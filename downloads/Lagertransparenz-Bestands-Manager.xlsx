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" sheetId="1" state="visible" r:id="rId3"/>
    <sheet name="Ergebnis" sheetId="2" state="visible" r:id="rId4"/>
    <sheet name="Daten" sheetId="3" state="visible" r:id="rId5"/>
  </sheets>
  <definedNames>
    <definedName function="false" hidden="true" localSheetId="2" name="_xlnm._FilterDatabase" vbProcedure="false">Daten!$A$1:$O$5001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<sst xmlns="http://schemas.openxmlformats.org/spreadsheetml/2006/main" count="243" uniqueCount="131">
  <si>
    <t xml:space="preserve">BESTANDS-MANAGER.COM</t>
  </si>
  <si>
    <t xml:space="preserve">Lagertransparenz</t>
  </si>
  <si>
    <t xml:space="preserve">Wo steckt Ihr Kapital? Bestandswert nach Warengruppe, Lagerort und ABC-Klasse – in 10 Minuten.</t>
  </si>
  <si>
    <t xml:space="preserve">SO GEHT'S · CA. 10 MINUTEN</t>
  </si>
  <si>
    <t xml:space="preserve">Exportieren Sie aus Ihrer Warenwirtschaft eine Bestandsliste: Artikelnummer, Bezeichnung, Lagerort, Warengruppe, Bestand, Wert je Einheit, Mengeneinheit.</t>
  </si>
  <si>
    <t xml:space="preserve">CSV-Datei in Excel über Daten → Aus Text/CSV öffnen (Trennzeichen Semikolon). Artikelnummer als Text, damit führende Nullen bleiben.</t>
  </si>
  <si>
    <t xml:space="preserve">Im Blatt „Daten“ die Beispielzeilen in den orangen Spalten A–G löschen.</t>
  </si>
  <si>
    <t xml:space="preserve">Ihre Werte ohne Überschrift kopieren, in „Daten“ auf A2 klicken: Rechtsklick → Einfügeoptionen → „Werte“.</t>
  </si>
  <si>
    <t xml:space="preserve">Mehrere Lagerorte? Kein Problem: eine Zeile je Artikel und Lagerort. Die Datei zählt je Artikel zusammen.</t>
  </si>
  <si>
    <t xml:space="preserve">Im Blatt „Ergebnis“ sehen Sie sofort, wo Ihr Kapital liegt.</t>
  </si>
  <si>
    <t xml:space="preserve">Ihre Daten bleiben auf Ihrem Rechner. Keine Makros, keine Internetverbindung. Die Beispieldaten sind erfunden und enthalten absichtlich 3 Datenfehler.</t>
  </si>
  <si>
    <t xml:space="preserve">EINSTELLUNGEN · ORANGE FELDER ANPASSEN</t>
  </si>
  <si>
    <t xml:space="preserve">Stichtag (Datum des Exports)</t>
  </si>
  <si>
    <t xml:space="preserve">Nur zur Dokumentation auf der Ergebnisseite.</t>
  </si>
  <si>
    <t xml:space="preserve">A-Artikel: bis Anteil am Bestandswert</t>
  </si>
  <si>
    <t xml:space="preserve">Die wertvollsten Artikel, die zusammen bis zu diesem Anteil ausmachen.</t>
  </si>
  <si>
    <t xml:space="preserve">B-Artikel: bis Anteil am Bestandswert</t>
  </si>
  <si>
    <t xml:space="preserve">Alles darüber sind C-Artikel.</t>
  </si>
  <si>
    <t xml:space="preserve">UND DANN?</t>
  </si>
  <si>
    <t xml:space="preserve">Diese Datei zeigt, WO das Kapital liegt – aber nicht, ob es zu viel ist. Dafür braucht es die Verkaufsdaten.</t>
  </si>
  <si>
    <t xml:space="preserve">Der Geld-im-Regal-Check (49 €) findet Ladenhüter, Überbestände und die 20 Artikel mit dem größten Hebel: bestands-manager.com</t>
  </si>
  <si>
    <t xml:space="preserve">Kostenlose Weitergabe erwünscht – bitte unverändert und mit Quellenangabe. © 2026 Bernd Schäfer, Bestands-Manager.com</t>
  </si>
  <si>
    <t xml:space="preserve">Ihr Ergebnis</t>
  </si>
  <si>
    <t xml:space="preserve">Wo Ihr Kapital im Lager liegt.</t>
  </si>
  <si>
    <t xml:space="preserve">Stichtag</t>
  </si>
  <si>
    <t xml:space="preserve">BESTANDSWERT GESAMT</t>
  </si>
  <si>
    <t xml:space="preserve">ARTIKEL MIT BESTAND</t>
  </si>
  <si>
    <t xml:space="preserve">A-ARTIKEL</t>
  </si>
  <si>
    <t xml:space="preserve">DATENQUALITÄT</t>
  </si>
  <si>
    <t xml:space="preserve">zu Ihren Bewertungspreisen</t>
  </si>
  <si>
    <t xml:space="preserve">je Artikel über alle Lager</t>
  </si>
  <si>
    <t xml:space="preserve">binden den Großteil des Kapitals</t>
  </si>
  <si>
    <t xml:space="preserve">Zeilen ohne Datenhinweis</t>
  </si>
  <si>
    <t xml:space="preserve">BESTANDSWERT NACH WARENGRUPPE</t>
  </si>
  <si>
    <t xml:space="preserve">NACH LAGERORT</t>
  </si>
  <si>
    <t xml:space="preserve">Warengruppe</t>
  </si>
  <si>
    <t xml:space="preserve">Wert</t>
  </si>
  <si>
    <t xml:space="preserve">Anteil</t>
  </si>
  <si>
    <t xml:space="preserve">Artikel</t>
  </si>
  <si>
    <t xml:space="preserve">Lagerort</t>
  </si>
  <si>
    <t xml:space="preserve">ABC-VERTEILUNG</t>
  </si>
  <si>
    <t xml:space="preserve">Klasse</t>
  </si>
  <si>
    <t xml:space="preserve">A</t>
  </si>
  <si>
    <t xml:space="preserve">B</t>
  </si>
  <si>
    <t xml:space="preserve">C</t>
  </si>
  <si>
    <t xml:space="preserve">DIE 15 ARTIKEL MIT DEM HÖCHSTEN BESTANDSWERT</t>
  </si>
  <si>
    <t xml:space="preserve">Artikelnummer</t>
  </si>
  <si>
    <t xml:space="preserve">Bezeichnung</t>
  </si>
  <si>
    <t xml:space="preserve">ABC</t>
  </si>
  <si>
    <t xml:space="preserve">Diese Auswertung zeigt, wo das Kapital liegt – nicht, ob es zu viel ist.</t>
  </si>
  <si>
    <t xml:space="preserve">Ob darin Ladenhüter und Überbestände stecken, zeigt der Geld-im-Regal-Check (49 €) mit Ihren Verkaufsdaten: bestands-manager.com</t>
  </si>
  <si>
    <t xml:space="preserve">Kostenloses Werkzeug · Weitergabe unverändert mit Quellenangabe erwünscht · © 2026 Bernd Schäfer, Bestands-Manager.com</t>
  </si>
  <si>
    <t xml:space="preserve">Lagerstandort</t>
  </si>
  <si>
    <t xml:space="preserve">Bestand (ME)</t>
  </si>
  <si>
    <t xml:space="preserve">Wert je ME (EUR)</t>
  </si>
  <si>
    <t xml:space="preserve">Mengeneinheit</t>
  </si>
  <si>
    <t xml:space="preserve">Bestandswert (€)</t>
  </si>
  <si>
    <t xml:space="preserve">Artikelwert alle Lager (€)</t>
  </si>
  <si>
    <t xml:space="preserve">erstes Vorkommen</t>
  </si>
  <si>
    <t xml:space="preserve">Sortierhilfe Artikel</t>
  </si>
  <si>
    <t xml:space="preserve">kum. Anteil</t>
  </si>
  <si>
    <t xml:space="preserve">Anteil Artikel</t>
  </si>
  <si>
    <t xml:space="preserve">Datenhinweis</t>
  </si>
  <si>
    <t xml:space="preserve">Sortierhilfe WG</t>
  </si>
  <si>
    <t xml:space="preserve">Sortierhilfe Lager</t>
  </si>
  <si>
    <t xml:space="preserve">0001001</t>
  </si>
  <si>
    <t xml:space="preserve">Hydraulikventil</t>
  </si>
  <si>
    <t xml:space="preserve">Hauptlager</t>
  </si>
  <si>
    <t xml:space="preserve">Hydraulik</t>
  </si>
  <si>
    <t xml:space="preserve">Stk</t>
  </si>
  <si>
    <t xml:space="preserve">0001002</t>
  </si>
  <si>
    <t xml:space="preserve">Hydraulikschlauch 1 m</t>
  </si>
  <si>
    <t xml:space="preserve">0001003</t>
  </si>
  <si>
    <t xml:space="preserve">Druckspeicher</t>
  </si>
  <si>
    <t xml:space="preserve">0001004</t>
  </si>
  <si>
    <t xml:space="preserve">Hydraulikzylinder</t>
  </si>
  <si>
    <t xml:space="preserve">0001005</t>
  </si>
  <si>
    <t xml:space="preserve">Kupplung DN10</t>
  </si>
  <si>
    <t xml:space="preserve">0001006</t>
  </si>
  <si>
    <t xml:space="preserve">Dichtungssatz</t>
  </si>
  <si>
    <t xml:space="preserve">Dichtungen</t>
  </si>
  <si>
    <t xml:space="preserve">Außenlager</t>
  </si>
  <si>
    <t xml:space="preserve">0001007</t>
  </si>
  <si>
    <t xml:space="preserve">O-Ring-Sortiment</t>
  </si>
  <si>
    <t xml:space="preserve">0001008</t>
  </si>
  <si>
    <t xml:space="preserve">Wellendichtring</t>
  </si>
  <si>
    <t xml:space="preserve">0001009</t>
  </si>
  <si>
    <t xml:space="preserve">Flachdichtung DN50</t>
  </si>
  <si>
    <t xml:space="preserve">0001010</t>
  </si>
  <si>
    <t xml:space="preserve">Industriepumpe</t>
  </si>
  <si>
    <t xml:space="preserve">Pumpen</t>
  </si>
  <si>
    <t xml:space="preserve">0001011</t>
  </si>
  <si>
    <t xml:space="preserve">Tauchpumpe</t>
  </si>
  <si>
    <t xml:space="preserve">0001012</t>
  </si>
  <si>
    <t xml:space="preserve">Pumpenlaufrad</t>
  </si>
  <si>
    <t xml:space="preserve">0001013</t>
  </si>
  <si>
    <t xml:space="preserve">Dosierpumpe</t>
  </si>
  <si>
    <t xml:space="preserve">0001014</t>
  </si>
  <si>
    <t xml:space="preserve">Kugellager 6205</t>
  </si>
  <si>
    <t xml:space="preserve">Lager</t>
  </si>
  <si>
    <t xml:space="preserve">0001015</t>
  </si>
  <si>
    <t xml:space="preserve">Pendelrollenlager</t>
  </si>
  <si>
    <t xml:space="preserve">0001016</t>
  </si>
  <si>
    <t xml:space="preserve">Stehlagereinheit</t>
  </si>
  <si>
    <t xml:space="preserve">0001017</t>
  </si>
  <si>
    <t xml:space="preserve">Nadelhülse</t>
  </si>
  <si>
    <t xml:space="preserve">0001018</t>
  </si>
  <si>
    <t xml:space="preserve">Keilriemen SPZ</t>
  </si>
  <si>
    <t xml:space="preserve">Antriebstechnik</t>
  </si>
  <si>
    <t xml:space="preserve">0001019</t>
  </si>
  <si>
    <t xml:space="preserve">Zahnriemen</t>
  </si>
  <si>
    <t xml:space="preserve">0001020</t>
  </si>
  <si>
    <t xml:space="preserve">Getriebemotor 0,75 kW</t>
  </si>
  <si>
    <t xml:space="preserve">0001021</t>
  </si>
  <si>
    <t xml:space="preserve">Kupplungsstern</t>
  </si>
  <si>
    <t xml:space="preserve">0001022</t>
  </si>
  <si>
    <t xml:space="preserve">Fett 1 kg</t>
  </si>
  <si>
    <t xml:space="preserve">Schmierstoffe</t>
  </si>
  <si>
    <t xml:space="preserve">0001023</t>
  </si>
  <si>
    <t xml:space="preserve">Getriebeöl 20 l</t>
  </si>
  <si>
    <t xml:space="preserve">0001024</t>
  </si>
  <si>
    <t xml:space="preserve">Kettenspray</t>
  </si>
  <si>
    <t xml:space="preserve">0001025</t>
  </si>
  <si>
    <t xml:space="preserve">Pneumatikzylinder</t>
  </si>
  <si>
    <t xml:space="preserve">Pneumatik</t>
  </si>
  <si>
    <t xml:space="preserve">0001026</t>
  </si>
  <si>
    <t xml:space="preserve">Magnetventil 5/2</t>
  </si>
  <si>
    <t xml:space="preserve">0001027</t>
  </si>
  <si>
    <t xml:space="preserve">Wartungseinheit</t>
  </si>
  <si>
    <t xml:space="preserve">0001028</t>
  </si>
  <si>
    <t xml:space="preserve">Steckverbinder 8 mm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</si>
</sst>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dd\.mm\.yyyy"/>
    <numFmt numFmtId="166" formatCode="0%"/>
    <numFmt numFmtId="167" formatCode="#,##0&quot; €&quot;"/>
    <numFmt numFmtId="168" formatCode="#,##0"/>
    <numFmt numFmtId="169" formatCode="0"/>
    <numFmt numFmtId="170" formatCode="@"/>
    <numFmt numFmtId="171" formatCode="#,##0.00"/>
    <numFmt numFmtId="172" formatCode="General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E46F14"/>
      <name val="Arial"/>
      <family val="0"/>
      <charset val="1"/>
    </font>
    <font>
      <b val="true"/>
      <sz val="24"/>
      <color rgb="FFFFFFFF"/>
      <name val="Arial"/>
      <family val="0"/>
      <charset val="1"/>
    </font>
    <font>
      <sz val="10"/>
      <color rgb="FFA9B6CB"/>
      <name val="Arial"/>
      <family val="0"/>
      <charset val="1"/>
    </font>
    <font>
      <b val="true"/>
      <sz val="10"/>
      <color rgb="FFE46F14"/>
      <name val="Arial"/>
      <family val="0"/>
      <charset val="1"/>
    </font>
    <font>
      <b val="true"/>
      <sz val="12"/>
      <color rgb="FFE46F14"/>
      <name val="Arial"/>
      <family val="0"/>
      <charset val="1"/>
    </font>
    <font>
      <sz val="11"/>
      <color rgb="FF0F1E38"/>
      <name val="Arial"/>
      <family val="0"/>
      <charset val="1"/>
    </font>
    <font>
      <i val="true"/>
      <sz val="9"/>
      <color rgb="FF4F5D73"/>
      <name val="Arial"/>
      <family val="0"/>
      <charset val="1"/>
    </font>
    <font>
      <b val="true"/>
      <sz val="11"/>
      <color rgb="FF0F1E38"/>
      <name val="Arial"/>
      <family val="0"/>
      <charset val="1"/>
    </font>
    <font>
      <sz val="9"/>
      <color rgb="FF4F5D73"/>
      <name val="Arial"/>
      <family val="0"/>
      <charset val="1"/>
    </font>
    <font>
      <sz val="10"/>
      <color rgb="FF0F1E38"/>
      <name val="Arial"/>
      <family val="0"/>
      <charset val="1"/>
    </font>
    <font>
      <b val="true"/>
      <sz val="10"/>
      <color rgb="FF0F1E38"/>
      <name val="Arial"/>
      <family val="0"/>
      <charset val="1"/>
    </font>
    <font>
      <sz val="10"/>
      <color rgb="FF4F5D73"/>
      <name val="Arial"/>
      <family val="0"/>
      <charset val="1"/>
    </font>
    <font>
      <b val="true"/>
      <sz val="8"/>
      <color rgb="FFE46F14"/>
      <name val="Arial"/>
      <family val="0"/>
      <charset val="1"/>
    </font>
    <font>
      <b val="true"/>
      <sz val="8"/>
      <color rgb="FF4F5D73"/>
      <name val="Arial"/>
      <family val="0"/>
      <charset val="1"/>
    </font>
    <font>
      <b val="true"/>
      <sz val="22"/>
      <color rgb="FFE46F14"/>
      <name val="Arial"/>
      <family val="0"/>
      <charset val="1"/>
    </font>
    <font>
      <b val="true"/>
      <sz val="22"/>
      <color rgb="FF0F1E38"/>
      <name val="Arial"/>
      <family val="0"/>
      <charset val="1"/>
    </font>
    <font>
      <sz val="8"/>
      <color rgb="FFA9B6CB"/>
      <name val="Arial"/>
      <family val="0"/>
      <charset val="1"/>
    </font>
    <font>
      <sz val="8"/>
      <color rgb="FF4F5D73"/>
      <name val="Arial"/>
      <family val="0"/>
      <charset val="1"/>
    </font>
    <font>
      <b val="true"/>
      <sz val="12"/>
      <color rgb="FF0F1E38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11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F1E38"/>
        <bgColor rgb="FF333333"/>
      </patternFill>
    </fill>
    <fill>
      <patternFill patternType="solid">
        <fgColor rgb="FFE46F14"/>
        <bgColor rgb="FFFF9900"/>
      </patternFill>
    </fill>
    <fill>
      <patternFill patternType="solid">
        <fgColor rgb="FFFCEBDC"/>
        <bgColor rgb="FFF4F6F9"/>
      </patternFill>
    </fill>
    <fill>
      <patternFill patternType="solid">
        <fgColor rgb="FFF4F6F9"/>
        <bgColor rgb="FFF8F9FB"/>
      </patternFill>
    </fill>
    <fill>
      <patternFill patternType="solid">
        <fgColor rgb="FFF8F9FB"/>
        <bgColor rgb="FFF4F6F9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E46F14"/>
      </bottom>
      <diagonal/>
    </border>
    <border diagonalUp="false" diagonalDown="false">
      <left style="thick">
        <color rgb="FFFFFFFF"/>
      </left>
      <right style="thick">
        <color rgb="FFFFFFFF"/>
      </right>
      <top/>
      <bottom/>
      <diagonal/>
    </border>
    <border diagonalUp="false" diagonalDown="false">
      <left/>
      <right/>
      <top/>
      <bottom style="thin">
        <color rgb="FFD9DFE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4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4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2" borderId="2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17" fillId="5" borderId="2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7" fontId="18" fillId="2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8" fontId="19" fillId="5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9" fontId="19" fillId="5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19" fillId="5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0" fillId="2" borderId="2" xfId="0" applyFont="true" applyBorder="true" applyAlignment="true" applyProtection="false">
      <alignment horizontal="general" vertical="top" textRotation="0" wrapText="false" indent="1" shrinkToFit="false"/>
      <protection locked="true" hidden="false"/>
    </xf>
    <xf numFmtId="164" fontId="21" fillId="5" borderId="2" xfId="0" applyFont="true" applyBorder="true" applyAlignment="true" applyProtection="false">
      <alignment horizontal="general" vertical="top" textRotation="0" wrapText="false" indent="1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2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4" fontId="13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3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6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6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6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3" fillId="6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2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70" fontId="25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25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71" fontId="25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7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E46F1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F1E38"/>
          <bgColor rgb="FF000000"/>
        </patternFill>
      </fill>
    </dxf>
    <dxf>
      <fill>
        <patternFill patternType="solid">
          <fgColor rgb="FFFCEBDC"/>
          <bgColor rgb="FF000000"/>
        </patternFill>
      </fill>
    </dxf>
    <dxf>
      <fill>
        <patternFill patternType="solid">
          <fgColor rgb="FFB23A2A"/>
          <bgColor rgb="FF000000"/>
        </patternFill>
      </fill>
    </dxf>
    <dxf>
      <font>
        <name val="Arial"/>
        <charset val="1"/>
        <family val="0"/>
        <b val="1"/>
        <color rgb="FFB23A2A"/>
      </font>
    </dxf>
    <dxf>
      <fill>
        <patternFill>
          <bgColor rgb="FFFCEBD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B6CB"/>
      <rgbColor rgb="FF808080"/>
      <rgbColor rgb="FF9999FF"/>
      <rgbColor rgb="FF993366"/>
      <rgbColor rgb="FFFCEBDC"/>
      <rgbColor rgb="FFF4F6F9"/>
      <rgbColor rgb="FF660066"/>
      <rgbColor rgb="FFFF8080"/>
      <rgbColor rgb="FF0066CC"/>
      <rgbColor rgb="FFD9DF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8F9FB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46F14"/>
      <rgbColor rgb="FF4F5D73"/>
      <rgbColor rgb="FF969696"/>
      <rgbColor rgb="FF0F1E38"/>
      <rgbColor rgb="FF339966"/>
      <rgbColor rgb="FF003300"/>
      <rgbColor rgb="FF333300"/>
      <rgbColor rgb="FFB23A2A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6"/>
  <sheetViews>
    <sheetView showFormulas="false" showGridLines="false" showRowColHeaders="fals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"/>
    <col collapsed="false" customWidth="true" hidden="false" outlineLevel="0" max="3" min="3" style="0" width="46"/>
    <col collapsed="false" customWidth="true" hidden="false" outlineLevel="0" max="4" min="4" style="0" width="16"/>
    <col collapsed="false" customWidth="true" hidden="false" outlineLevel="0" max="5" min="5" style="0" width="62"/>
    <col collapsed="false" customWidth="true" hidden="false" outlineLevel="0" max="6" min="6" style="0" width="3"/>
  </cols>
  <sheetData>
    <row r="1" customFormat="false" ht="9.75" hidden="false" customHeight="true" outlineLevel="0" collapsed="false">
      <c r="A1" s="1"/>
      <c r="B1" s="1"/>
      <c r="C1" s="1"/>
      <c r="D1" s="1"/>
      <c r="E1" s="1"/>
      <c r="F1" s="1"/>
    </row>
    <row r="2" customFormat="false" ht="18" hidden="false" customHeight="true" outlineLevel="0" collapsed="false">
      <c r="A2" s="1"/>
      <c r="B2" s="2" t="s">
        <v>0</v>
      </c>
      <c r="C2" s="1"/>
      <c r="D2" s="1"/>
      <c r="E2" s="1"/>
      <c r="F2" s="1"/>
    </row>
    <row r="3" customFormat="false" ht="33.75" hidden="false" customHeight="true" outlineLevel="0" collapsed="false">
      <c r="A3" s="1"/>
      <c r="B3" s="3" t="s">
        <v>1</v>
      </c>
      <c r="C3" s="1"/>
      <c r="D3" s="1"/>
      <c r="E3" s="1"/>
      <c r="F3" s="1"/>
    </row>
    <row r="4" customFormat="false" ht="19.5" hidden="false" customHeight="true" outlineLevel="0" collapsed="false">
      <c r="A4" s="1"/>
      <c r="B4" s="4" t="s">
        <v>2</v>
      </c>
      <c r="C4" s="1"/>
      <c r="D4" s="1"/>
      <c r="E4" s="1"/>
      <c r="F4" s="1"/>
    </row>
    <row r="5" customFormat="false" ht="9.75" hidden="false" customHeight="true" outlineLevel="0" collapsed="false">
      <c r="A5" s="1"/>
      <c r="B5" s="1"/>
      <c r="C5" s="1"/>
      <c r="D5" s="1"/>
      <c r="E5" s="1"/>
      <c r="F5" s="1"/>
    </row>
    <row r="6" customFormat="false" ht="3.75" hidden="false" customHeight="true" outlineLevel="0" collapsed="false">
      <c r="A6" s="5"/>
      <c r="B6" s="5"/>
      <c r="C6" s="5"/>
      <c r="D6" s="5"/>
      <c r="E6" s="5"/>
      <c r="F6" s="5"/>
    </row>
    <row r="8" customFormat="false" ht="24" hidden="false" customHeight="true" outlineLevel="0" collapsed="false">
      <c r="B8" s="6" t="s">
        <v>3</v>
      </c>
    </row>
    <row r="9" customFormat="false" ht="30" hidden="false" customHeight="true" outlineLevel="0" collapsed="false">
      <c r="B9" s="7" t="n">
        <v>1</v>
      </c>
      <c r="C9" s="8" t="s">
        <v>4</v>
      </c>
      <c r="D9" s="8"/>
      <c r="E9" s="8"/>
    </row>
    <row r="10" customFormat="false" ht="30" hidden="false" customHeight="true" outlineLevel="0" collapsed="false">
      <c r="B10" s="7" t="n">
        <v>2</v>
      </c>
      <c r="C10" s="8" t="s">
        <v>5</v>
      </c>
      <c r="D10" s="8"/>
      <c r="E10" s="8"/>
    </row>
    <row r="11" customFormat="false" ht="30" hidden="false" customHeight="true" outlineLevel="0" collapsed="false">
      <c r="B11" s="7" t="n">
        <v>3</v>
      </c>
      <c r="C11" s="8" t="s">
        <v>6</v>
      </c>
      <c r="D11" s="8"/>
      <c r="E11" s="8"/>
    </row>
    <row r="12" customFormat="false" ht="30" hidden="false" customHeight="true" outlineLevel="0" collapsed="false">
      <c r="B12" s="7" t="n">
        <v>4</v>
      </c>
      <c r="C12" s="8" t="s">
        <v>7</v>
      </c>
      <c r="D12" s="8"/>
      <c r="E12" s="8"/>
    </row>
    <row r="13" customFormat="false" ht="30" hidden="false" customHeight="true" outlineLevel="0" collapsed="false">
      <c r="B13" s="7" t="n">
        <v>5</v>
      </c>
      <c r="C13" s="8" t="s">
        <v>8</v>
      </c>
      <c r="D13" s="8"/>
      <c r="E13" s="8"/>
    </row>
    <row r="14" customFormat="false" ht="30" hidden="false" customHeight="true" outlineLevel="0" collapsed="false">
      <c r="B14" s="7" t="n">
        <v>6</v>
      </c>
      <c r="C14" s="8" t="s">
        <v>9</v>
      </c>
      <c r="D14" s="8"/>
      <c r="E14" s="8"/>
    </row>
    <row r="16" customFormat="false" ht="15" hidden="false" customHeight="false" outlineLevel="0" collapsed="false">
      <c r="C16" s="9" t="s">
        <v>10</v>
      </c>
    </row>
    <row r="18" customFormat="false" ht="24" hidden="false" customHeight="true" outlineLevel="0" collapsed="false">
      <c r="B18" s="6" t="s">
        <v>11</v>
      </c>
    </row>
    <row r="19" customFormat="false" ht="19.5" hidden="false" customHeight="true" outlineLevel="0" collapsed="false">
      <c r="C19" s="10" t="s">
        <v>12</v>
      </c>
      <c r="D19" s="11" t="n">
        <v>46326</v>
      </c>
      <c r="E19" s="12" t="s">
        <v>13</v>
      </c>
    </row>
    <row r="20" customFormat="false" ht="19.5" hidden="false" customHeight="true" outlineLevel="0" collapsed="false">
      <c r="C20" s="10" t="s">
        <v>14</v>
      </c>
      <c r="D20" s="13" t="n">
        <v>0.8</v>
      </c>
      <c r="E20" s="12" t="s">
        <v>15</v>
      </c>
    </row>
    <row r="21" customFormat="false" ht="19.5" hidden="false" customHeight="true" outlineLevel="0" collapsed="false">
      <c r="C21" s="10" t="s">
        <v>16</v>
      </c>
      <c r="D21" s="13" t="n">
        <v>0.95</v>
      </c>
      <c r="E21" s="12" t="s">
        <v>17</v>
      </c>
    </row>
    <row r="23" customFormat="false" ht="24" hidden="false" customHeight="true" outlineLevel="0" collapsed="false">
      <c r="B23" s="6" t="s">
        <v>18</v>
      </c>
    </row>
    <row r="24" customFormat="false" ht="18" hidden="false" customHeight="true" outlineLevel="0" collapsed="false">
      <c r="C24" s="14" t="s">
        <v>19</v>
      </c>
      <c r="D24" s="14"/>
      <c r="E24" s="14"/>
    </row>
    <row r="25" customFormat="false" ht="18" hidden="false" customHeight="true" outlineLevel="0" collapsed="false">
      <c r="C25" s="15" t="s">
        <v>20</v>
      </c>
      <c r="D25" s="15"/>
      <c r="E25" s="15"/>
    </row>
    <row r="26" customFormat="false" ht="18" hidden="false" customHeight="true" outlineLevel="0" collapsed="false">
      <c r="C26" s="16" t="s">
        <v>21</v>
      </c>
      <c r="D26" s="16"/>
      <c r="E26" s="16"/>
    </row>
  </sheetData>
  <sheetProtection sheet="true" password="dc34"/>
  <mergeCells count="9">
    <mergeCell ref="C9:E9"/>
    <mergeCell ref="C10:E10"/>
    <mergeCell ref="C11:E11"/>
    <mergeCell ref="C12:E12"/>
    <mergeCell ref="C13:E13"/>
    <mergeCell ref="C14:E14"/>
    <mergeCell ref="C24:E24"/>
    <mergeCell ref="C25:E25"/>
    <mergeCell ref="C26:E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50"/>
  <sheetViews>
    <sheetView showFormulas="false" showGridLines="false" showRowColHeaders="fals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3" min="2" style="0" width="24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3"/>
    <col collapsed="false" customWidth="true" hidden="false" outlineLevel="0" max="7" min="7" style="0" width="24"/>
    <col collapsed="false" customWidth="true" hidden="false" outlineLevel="0" max="8" min="8" style="0" width="16"/>
    <col collapsed="false" customWidth="true" hidden="false" outlineLevel="0" max="9" min="9" style="0" width="3"/>
  </cols>
  <sheetData>
    <row r="1" customFormat="false" ht="9.7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</row>
    <row r="2" customFormat="false" ht="18" hidden="false" customHeight="true" outlineLevel="0" collapsed="false">
      <c r="A2" s="1"/>
      <c r="B2" s="2" t="s">
        <v>0</v>
      </c>
      <c r="C2" s="1"/>
      <c r="D2" s="1"/>
      <c r="E2" s="1"/>
      <c r="F2" s="1"/>
      <c r="G2" s="1"/>
      <c r="H2" s="1"/>
      <c r="I2" s="1"/>
    </row>
    <row r="3" customFormat="false" ht="33.75" hidden="false" customHeight="true" outlineLevel="0" collapsed="false">
      <c r="A3" s="1"/>
      <c r="B3" s="3" t="s">
        <v>22</v>
      </c>
      <c r="C3" s="1"/>
      <c r="D3" s="1"/>
      <c r="E3" s="1"/>
      <c r="F3" s="1"/>
      <c r="G3" s="1"/>
      <c r="H3" s="1"/>
      <c r="I3" s="1"/>
    </row>
    <row r="4" customFormat="false" ht="19.5" hidden="false" customHeight="true" outlineLevel="0" collapsed="false">
      <c r="A4" s="1"/>
      <c r="B4" s="4" t="s">
        <v>23</v>
      </c>
      <c r="C4" s="1"/>
      <c r="D4" s="1"/>
      <c r="E4" s="1"/>
      <c r="F4" s="1"/>
      <c r="G4" s="1"/>
      <c r="H4" s="1"/>
      <c r="I4" s="1"/>
    </row>
    <row r="5" customFormat="false" ht="9.75" hidden="false" customHeight="true" outlineLevel="0" collapsed="false">
      <c r="A5" s="1"/>
      <c r="B5" s="1"/>
      <c r="C5" s="1"/>
      <c r="D5" s="1"/>
      <c r="E5" s="1"/>
      <c r="F5" s="1"/>
      <c r="G5" s="1"/>
      <c r="H5" s="1"/>
      <c r="I5" s="1"/>
    </row>
    <row r="6" customFormat="false" ht="3.75" hidden="false" customHeight="true" outlineLevel="0" collapsed="false">
      <c r="A6" s="5"/>
      <c r="B6" s="5"/>
      <c r="C6" s="5"/>
      <c r="D6" s="5"/>
      <c r="E6" s="5"/>
      <c r="F6" s="5"/>
      <c r="G6" s="5"/>
      <c r="H6" s="5"/>
      <c r="I6" s="5"/>
    </row>
    <row r="7" customFormat="false" ht="15" hidden="false" customHeight="false" outlineLevel="0" collapsed="false">
      <c r="B7" s="12" t="s">
        <v>24</v>
      </c>
      <c r="C7" s="17" t="n">
        <f aca="false">Start!$D$19</f>
        <v>46326</v>
      </c>
    </row>
    <row r="9" customFormat="false" ht="21.75" hidden="false" customHeight="true" outlineLevel="0" collapsed="false">
      <c r="B9" s="18" t="s">
        <v>25</v>
      </c>
      <c r="C9" s="19" t="s">
        <v>26</v>
      </c>
      <c r="D9" s="19"/>
      <c r="E9" s="19" t="s">
        <v>27</v>
      </c>
      <c r="F9" s="19"/>
      <c r="G9" s="19"/>
      <c r="H9" s="19" t="s">
        <v>28</v>
      </c>
    </row>
    <row r="10" customFormat="false" ht="39.75" hidden="false" customHeight="true" outlineLevel="0" collapsed="false">
      <c r="B10" s="20" t="n">
        <f aca="false">SUM(Daten!$H$2:$H$5001)</f>
        <v>142774.6</v>
      </c>
      <c r="C10" s="21" t="n">
        <f aca="false">SUMPRODUCT((Daten!$J$2:$J$5001=1)*(Daten!$I$2:$I$5001&gt;0))</f>
        <v>27</v>
      </c>
      <c r="D10" s="21"/>
      <c r="E10" s="22" t="n">
        <f aca="false">COUNTIFS(Daten!$N$2:$N$5001,"A",Daten!$J$2:$J$5001,1)</f>
        <v>5</v>
      </c>
      <c r="F10" s="22"/>
      <c r="G10" s="22"/>
      <c r="H10" s="23" t="n">
        <f aca="false">IF(COUNTA(Daten!$A$2:$A$5001)&gt;0,1-SUMPRODUCT((Daten!$A$2:$A$5001&lt;&gt;"")*(LEN(Daten!$O$2:$O$5001)&gt;0))/COUNTA(Daten!$A$2:$A$5001),0)</f>
        <v>0.911764705882353</v>
      </c>
    </row>
    <row r="11" customFormat="false" ht="21.75" hidden="false" customHeight="true" outlineLevel="0" collapsed="false">
      <c r="B11" s="24" t="s">
        <v>29</v>
      </c>
      <c r="C11" s="25" t="s">
        <v>30</v>
      </c>
      <c r="D11" s="25"/>
      <c r="E11" s="25" t="s">
        <v>31</v>
      </c>
      <c r="F11" s="25"/>
      <c r="G11" s="25"/>
      <c r="H11" s="25" t="s">
        <v>32</v>
      </c>
    </row>
    <row r="13" customFormat="false" ht="15" hidden="false" customHeight="false" outlineLevel="0" collapsed="false">
      <c r="B13" s="26" t="str">
        <f aca="false">"Die A-Artikel binden "&amp;FIXED(SUMIF(Daten!$N$2:$N$5001,"A",Daten!$H$2:$H$5001),0)&amp;" € – hier lohnt sich genaues Hinschauen am meisten."</f>
        <v>Die A-Artikel binden 113,485 € – hier lohnt sich genaues Hinschauen am meisten.</v>
      </c>
    </row>
    <row r="15" customFormat="false" ht="24" hidden="false" customHeight="true" outlineLevel="0" collapsed="false">
      <c r="B15" s="6" t="s">
        <v>33</v>
      </c>
      <c r="G15" s="6" t="s">
        <v>34</v>
      </c>
    </row>
    <row r="16" customFormat="false" ht="15" hidden="false" customHeight="false" outlineLevel="0" collapsed="false">
      <c r="B16" s="27" t="s">
        <v>35</v>
      </c>
      <c r="C16" s="27" t="s">
        <v>36</v>
      </c>
      <c r="D16" s="27" t="s">
        <v>37</v>
      </c>
      <c r="E16" s="27" t="s">
        <v>38</v>
      </c>
      <c r="G16" s="27" t="s">
        <v>39</v>
      </c>
      <c r="H16" s="27" t="s">
        <v>36</v>
      </c>
    </row>
    <row r="17" customFormat="false" ht="15" hidden="false" customHeight="false" outlineLevel="0" collapsed="false">
      <c r="B17" s="28" t="str">
        <f aca="false">IF(LARGE(Daten!$P$2:$P$5001,1)&lt;=0,"",INDEX(Daten!$D$2:$D$5001,MATCH(LARGE(Daten!$P$2:$P$5001,1),Daten!$P$2:$P$5001,0)))</f>
        <v>Lager</v>
      </c>
      <c r="C17" s="29" t="n">
        <f aca="false">IF(B17="","",SUMIF(Daten!$D$2:$D$5001,B17,Daten!$H$2:$H$5001))</f>
        <v>61592.4</v>
      </c>
      <c r="D17" s="30" t="n">
        <f aca="false">IF(B17="","",C17/MAX(1,SUM(Daten!$H$2:$H$5001)))</f>
        <v>0.43139606064384</v>
      </c>
      <c r="E17" s="31" t="n">
        <f aca="false">IF(B17="","",COUNTIFS(Daten!$D$2:$D$5001,B17,Daten!$J$2:$J$5001,1))</f>
        <v>4</v>
      </c>
      <c r="G17" s="28" t="str">
        <f aca="false">IF(LARGE(Daten!$Q$2:$Q$5001,1)&lt;=0,"",INDEX(Daten!$C$2:$C$5001,MATCH(LARGE(Daten!$Q$2:$Q$5001,1),Daten!$Q$2:$Q$5001,0)))</f>
        <v>Hauptlager</v>
      </c>
      <c r="H17" s="29" t="n">
        <f aca="false">IF(G17="","",SUMIF(Daten!$C$2:$C$5001,G17,Daten!$H$2:$H$5001))</f>
        <v>121032.7</v>
      </c>
    </row>
    <row r="18" customFormat="false" ht="15" hidden="false" customHeight="false" outlineLevel="0" collapsed="false">
      <c r="B18" s="32" t="str">
        <f aca="false">IF(LARGE(Daten!$P$2:$P$5001,2)&lt;=0,"",INDEX(Daten!$D$2:$D$5001,MATCH(LARGE(Daten!$P$2:$P$5001,2),Daten!$P$2:$P$5001,0)))</f>
        <v>Antriebstechnik</v>
      </c>
      <c r="C18" s="33" t="n">
        <f aca="false">IF(B18="","",SUMIF(Daten!$D$2:$D$5001,B18,Daten!$H$2:$H$5001))</f>
        <v>35396</v>
      </c>
      <c r="D18" s="34" t="n">
        <f aca="false">IF(B18="","",C18/MAX(1,SUM(Daten!$H$2:$H$5001)))</f>
        <v>0.247915245428809</v>
      </c>
      <c r="E18" s="35" t="n">
        <f aca="false">IF(B18="","",COUNTIFS(Daten!$D$2:$D$5001,B18,Daten!$J$2:$J$5001,1))</f>
        <v>4</v>
      </c>
      <c r="G18" s="32" t="str">
        <f aca="false">IF(LARGE(Daten!$Q$2:$Q$5001,2)&lt;=0,"",INDEX(Daten!$C$2:$C$5001,MATCH(LARGE(Daten!$Q$2:$Q$5001,2),Daten!$Q$2:$Q$5001,0)))</f>
        <v>Außenlager</v>
      </c>
      <c r="H18" s="33" t="n">
        <f aca="false">IF(G18="","",SUMIF(Daten!$C$2:$C$5001,G18,Daten!$H$2:$H$5001))</f>
        <v>21741.9</v>
      </c>
    </row>
    <row r="19" customFormat="false" ht="15" hidden="false" customHeight="false" outlineLevel="0" collapsed="false">
      <c r="B19" s="28" t="str">
        <f aca="false">IF(LARGE(Daten!$P$2:$P$5001,3)&lt;=0,"",INDEX(Daten!$D$2:$D$5001,MATCH(LARGE(Daten!$P$2:$P$5001,3),Daten!$P$2:$P$5001,0)))</f>
        <v>Hydraulik</v>
      </c>
      <c r="C19" s="29" t="n">
        <f aca="false">IF(B19="","",SUMIF(Daten!$D$2:$D$5001,B19,Daten!$H$2:$H$5001))</f>
        <v>28920</v>
      </c>
      <c r="D19" s="30" t="n">
        <f aca="false">IF(B19="","",C19/MAX(1,SUM(Daten!$H$2:$H$5001)))</f>
        <v>0.202557037456242</v>
      </c>
      <c r="E19" s="31" t="n">
        <f aca="false">IF(B19="","",COUNTIFS(Daten!$D$2:$D$5001,B19,Daten!$J$2:$J$5001,1))</f>
        <v>5</v>
      </c>
      <c r="G19" s="28" t="str">
        <f aca="false">IF(LARGE(Daten!$Q$2:$Q$5001,3)&lt;=0,"",INDEX(Daten!$C$2:$C$5001,MATCH(LARGE(Daten!$Q$2:$Q$5001,3),Daten!$Q$2:$Q$5001,0)))</f>
        <v/>
      </c>
      <c r="H19" s="29" t="str">
        <f aca="false">IF(G19="","",SUMIF(Daten!$C$2:$C$5001,G19,Daten!$H$2:$H$5001))</f>
        <v/>
      </c>
    </row>
    <row r="20" customFormat="false" ht="15" hidden="false" customHeight="false" outlineLevel="0" collapsed="false">
      <c r="B20" s="32" t="str">
        <f aca="false">IF(LARGE(Daten!$P$2:$P$5001,4)&lt;=0,"",INDEX(Daten!$D$2:$D$5001,MATCH(LARGE(Daten!$P$2:$P$5001,4),Daten!$P$2:$P$5001,0)))</f>
        <v>Pumpen</v>
      </c>
      <c r="C20" s="33" t="n">
        <f aca="false">IF(B20="","",SUMIF(Daten!$D$2:$D$5001,B20,Daten!$H$2:$H$5001))</f>
        <v>10890</v>
      </c>
      <c r="D20" s="34" t="n">
        <f aca="false">IF(B20="","",C20/MAX(1,SUM(Daten!$H$2:$H$5001)))</f>
        <v>0.0762740711583153</v>
      </c>
      <c r="E20" s="35" t="n">
        <f aca="false">IF(B20="","",COUNTIFS(Daten!$D$2:$D$5001,B20,Daten!$J$2:$J$5001,1))</f>
        <v>4</v>
      </c>
      <c r="G20" s="32" t="str">
        <f aca="false">IF(LARGE(Daten!$Q$2:$Q$5001,4)&lt;=0,"",INDEX(Daten!$C$2:$C$5001,MATCH(LARGE(Daten!$Q$2:$Q$5001,4),Daten!$Q$2:$Q$5001,0)))</f>
        <v/>
      </c>
      <c r="H20" s="33" t="str">
        <f aca="false">IF(G20="","",SUMIF(Daten!$C$2:$C$5001,G20,Daten!$H$2:$H$5001))</f>
        <v/>
      </c>
    </row>
    <row r="21" customFormat="false" ht="15" hidden="false" customHeight="false" outlineLevel="0" collapsed="false">
      <c r="B21" s="28" t="str">
        <f aca="false">IF(LARGE(Daten!$P$2:$P$5001,5)&lt;=0,"",INDEX(Daten!$D$2:$D$5001,MATCH(LARGE(Daten!$P$2:$P$5001,5),Daten!$P$2:$P$5001,0)))</f>
        <v>Dichtungen</v>
      </c>
      <c r="C21" s="29" t="n">
        <f aca="false">IF(B21="","",SUMIF(Daten!$D$2:$D$5001,B21,Daten!$H$2:$H$5001))</f>
        <v>3082.6</v>
      </c>
      <c r="D21" s="30" t="n">
        <f aca="false">IF(B21="","",C21/MAX(1,SUM(Daten!$H$2:$H$5001)))</f>
        <v>0.0215906750920682</v>
      </c>
      <c r="E21" s="31" t="n">
        <f aca="false">IF(B21="","",COUNTIFS(Daten!$D$2:$D$5001,B21,Daten!$J$2:$J$5001,1))</f>
        <v>4</v>
      </c>
      <c r="G21" s="28" t="str">
        <f aca="false">IF(LARGE(Daten!$Q$2:$Q$5001,5)&lt;=0,"",INDEX(Daten!$C$2:$C$5001,MATCH(LARGE(Daten!$Q$2:$Q$5001,5),Daten!$Q$2:$Q$5001,0)))</f>
        <v/>
      </c>
      <c r="H21" s="29" t="str">
        <f aca="false">IF(G21="","",SUMIF(Daten!$C$2:$C$5001,G21,Daten!$H$2:$H$5001))</f>
        <v/>
      </c>
    </row>
    <row r="22" customFormat="false" ht="15" hidden="false" customHeight="false" outlineLevel="0" collapsed="false">
      <c r="B22" s="32" t="str">
        <f aca="false">IF(LARGE(Daten!$P$2:$P$5001,6)&lt;=0,"",INDEX(Daten!$D$2:$D$5001,MATCH(LARGE(Daten!$P$2:$P$5001,6),Daten!$P$2:$P$5001,0)))</f>
        <v>Schmierstoffe</v>
      </c>
      <c r="C22" s="33" t="n">
        <f aca="false">IF(B22="","",SUMIF(Daten!$D$2:$D$5001,B22,Daten!$H$2:$H$5001))</f>
        <v>1911.2</v>
      </c>
      <c r="D22" s="34" t="n">
        <f aca="false">IF(B22="","",C22/MAX(1,SUM(Daten!$H$2:$H$5001)))</f>
        <v>0.013386134508519</v>
      </c>
      <c r="E22" s="35" t="n">
        <f aca="false">IF(B22="","",COUNTIFS(Daten!$D$2:$D$5001,B22,Daten!$J$2:$J$5001,1))</f>
        <v>3</v>
      </c>
      <c r="G22" s="32" t="str">
        <f aca="false">IF(LARGE(Daten!$Q$2:$Q$5001,6)&lt;=0,"",INDEX(Daten!$C$2:$C$5001,MATCH(LARGE(Daten!$Q$2:$Q$5001,6),Daten!$Q$2:$Q$5001,0)))</f>
        <v/>
      </c>
      <c r="H22" s="33" t="str">
        <f aca="false">IF(G22="","",SUMIF(Daten!$C$2:$C$5001,G22,Daten!$H$2:$H$5001))</f>
        <v/>
      </c>
    </row>
    <row r="23" customFormat="false" ht="15" hidden="false" customHeight="false" outlineLevel="0" collapsed="false">
      <c r="B23" s="28" t="str">
        <f aca="false">IF(LARGE(Daten!$P$2:$P$5001,7)&lt;=0,"",INDEX(Daten!$D$2:$D$5001,MATCH(LARGE(Daten!$P$2:$P$5001,7),Daten!$P$2:$P$5001,0)))</f>
        <v>Pneumatik</v>
      </c>
      <c r="C23" s="29" t="n">
        <f aca="false">IF(B23="","",SUMIF(Daten!$D$2:$D$5001,B23,Daten!$H$2:$H$5001))</f>
        <v>968.8</v>
      </c>
      <c r="D23" s="30" t="n">
        <f aca="false">IF(B23="","",C23/MAX(1,SUM(Daten!$H$2:$H$5001)))</f>
        <v>0.00678552067384535</v>
      </c>
      <c r="E23" s="31" t="n">
        <f aca="false">IF(B23="","",COUNTIFS(Daten!$D$2:$D$5001,B23,Daten!$J$2:$J$5001,1))</f>
        <v>4</v>
      </c>
    </row>
    <row r="24" customFormat="false" ht="24" hidden="false" customHeight="true" outlineLevel="0" collapsed="false">
      <c r="B24" s="32" t="str">
        <f aca="false">IF(LARGE(Daten!$P$2:$P$5001,8)&lt;=0,"",INDEX(Daten!$D$2:$D$5001,MATCH(LARGE(Daten!$P$2:$P$5001,8),Daten!$P$2:$P$5001,0)))</f>
        <v/>
      </c>
      <c r="C24" s="33" t="str">
        <f aca="false">IF(B24="","",SUMIF(Daten!$D$2:$D$5001,B24,Daten!$H$2:$H$5001))</f>
        <v/>
      </c>
      <c r="D24" s="34" t="str">
        <f aca="false">IF(B24="","",C24/MAX(1,SUM(Daten!$H$2:$H$5001)))</f>
        <v/>
      </c>
      <c r="E24" s="35" t="str">
        <f aca="false">IF(B24="","",COUNTIFS(Daten!$D$2:$D$5001,B24,Daten!$J$2:$J$5001,1))</f>
        <v/>
      </c>
      <c r="G24" s="6" t="s">
        <v>40</v>
      </c>
    </row>
    <row r="25" customFormat="false" ht="15" hidden="false" customHeight="false" outlineLevel="0" collapsed="false">
      <c r="B25" s="28" t="str">
        <f aca="false">IF(LARGE(Daten!$P$2:$P$5001,9)&lt;=0,"",INDEX(Daten!$D$2:$D$5001,MATCH(LARGE(Daten!$P$2:$P$5001,9),Daten!$P$2:$P$5001,0)))</f>
        <v/>
      </c>
      <c r="C25" s="29" t="str">
        <f aca="false">IF(B25="","",SUMIF(Daten!$D$2:$D$5001,B25,Daten!$H$2:$H$5001))</f>
        <v/>
      </c>
      <c r="D25" s="30" t="str">
        <f aca="false">IF(B25="","",C25/MAX(1,SUM(Daten!$H$2:$H$5001)))</f>
        <v/>
      </c>
      <c r="E25" s="31" t="str">
        <f aca="false">IF(B25="","",COUNTIFS(Daten!$D$2:$D$5001,B25,Daten!$J$2:$J$5001,1))</f>
        <v/>
      </c>
      <c r="G25" s="27" t="s">
        <v>41</v>
      </c>
      <c r="H25" s="27" t="s">
        <v>36</v>
      </c>
    </row>
    <row r="26" customFormat="false" ht="15" hidden="false" customHeight="false" outlineLevel="0" collapsed="false">
      <c r="B26" s="32" t="str">
        <f aca="false">IF(LARGE(Daten!$P$2:$P$5001,10)&lt;=0,"",INDEX(Daten!$D$2:$D$5001,MATCH(LARGE(Daten!$P$2:$P$5001,10),Daten!$P$2:$P$5001,0)))</f>
        <v/>
      </c>
      <c r="C26" s="33" t="str">
        <f aca="false">IF(B26="","",SUMIF(Daten!$D$2:$D$5001,B26,Daten!$H$2:$H$5001))</f>
        <v/>
      </c>
      <c r="D26" s="34" t="str">
        <f aca="false">IF(B26="","",C26/MAX(1,SUM(Daten!$H$2:$H$5001)))</f>
        <v/>
      </c>
      <c r="E26" s="35" t="str">
        <f aca="false">IF(B26="","",COUNTIFS(Daten!$D$2:$D$5001,B26,Daten!$J$2:$J$5001,1))</f>
        <v/>
      </c>
      <c r="G26" s="28" t="s">
        <v>42</v>
      </c>
      <c r="H26" s="29" t="n">
        <f aca="false">SUMIF(Daten!$N$2:$N$5001,G26,Daten!$H$2:$H$5001)</f>
        <v>113485</v>
      </c>
    </row>
    <row r="27" customFormat="false" ht="15" hidden="false" customHeight="false" outlineLevel="0" collapsed="false">
      <c r="B27" s="28" t="str">
        <f aca="false">IF(LARGE(Daten!$P$2:$P$5001,11)&lt;=0,"",INDEX(Daten!$D$2:$D$5001,MATCH(LARGE(Daten!$P$2:$P$5001,11),Daten!$P$2:$P$5001,0)))</f>
        <v/>
      </c>
      <c r="C27" s="29" t="str">
        <f aca="false">IF(B27="","",SUMIF(Daten!$D$2:$D$5001,B27,Daten!$H$2:$H$5001))</f>
        <v/>
      </c>
      <c r="D27" s="30" t="str">
        <f aca="false">IF(B27="","",C27/MAX(1,SUM(Daten!$H$2:$H$5001)))</f>
        <v/>
      </c>
      <c r="E27" s="31" t="str">
        <f aca="false">IF(B27="","",COUNTIFS(Daten!$D$2:$D$5001,B27,Daten!$J$2:$J$5001,1))</f>
        <v/>
      </c>
      <c r="G27" s="32" t="s">
        <v>43</v>
      </c>
      <c r="H27" s="33" t="n">
        <f aca="false">SUMIF(Daten!$N$2:$N$5001,G27,Daten!$H$2:$H$5001)</f>
        <v>20355</v>
      </c>
    </row>
    <row r="28" customFormat="false" ht="15" hidden="false" customHeight="false" outlineLevel="0" collapsed="false">
      <c r="B28" s="32" t="str">
        <f aca="false">IF(LARGE(Daten!$P$2:$P$5001,12)&lt;=0,"",INDEX(Daten!$D$2:$D$5001,MATCH(LARGE(Daten!$P$2:$P$5001,12),Daten!$P$2:$P$5001,0)))</f>
        <v/>
      </c>
      <c r="C28" s="33" t="str">
        <f aca="false">IF(B28="","",SUMIF(Daten!$D$2:$D$5001,B28,Daten!$H$2:$H$5001))</f>
        <v/>
      </c>
      <c r="D28" s="34" t="str">
        <f aca="false">IF(B28="","",C28/MAX(1,SUM(Daten!$H$2:$H$5001)))</f>
        <v/>
      </c>
      <c r="E28" s="35" t="str">
        <f aca="false">IF(B28="","",COUNTIFS(Daten!$D$2:$D$5001,B28,Daten!$J$2:$J$5001,1))</f>
        <v/>
      </c>
      <c r="G28" s="28" t="s">
        <v>44</v>
      </c>
      <c r="H28" s="29" t="n">
        <f aca="false">SUMIF(Daten!$N$2:$N$5001,G28,Daten!$H$2:$H$5001)</f>
        <v>8934.6</v>
      </c>
    </row>
    <row r="29" customFormat="false" ht="15" hidden="false" customHeight="false" outlineLevel="0" collapsed="false">
      <c r="G29" s="12" t="str">
        <f aca="false">"A: "&amp;COUNTIFS(Daten!$N$2:$N$5001,"A",Daten!$J$2:$J$5001,1)&amp;" · B: "&amp;COUNTIFS(Daten!$N$2:$N$5001,"B",Daten!$J$2:$J$5001,1)&amp;" · C: "&amp;COUNTIFS(Daten!$N$2:$N$5001,"C",Daten!$J$2:$J$5001,1)&amp;" Artikel"</f>
        <v>A: 5 · B: 5 · C: 17 Artikel</v>
      </c>
    </row>
    <row r="30" customFormat="false" ht="24" hidden="false" customHeight="true" outlineLevel="0" collapsed="false">
      <c r="B30" s="6" t="s">
        <v>45</v>
      </c>
    </row>
    <row r="31" customFormat="false" ht="15" hidden="false" customHeight="false" outlineLevel="0" collapsed="false">
      <c r="B31" s="27" t="s">
        <v>46</v>
      </c>
      <c r="C31" s="27" t="s">
        <v>47</v>
      </c>
      <c r="D31" s="27" t="s">
        <v>35</v>
      </c>
      <c r="E31" s="27" t="s">
        <v>36</v>
      </c>
      <c r="F31" s="27"/>
      <c r="G31" s="36" t="s">
        <v>48</v>
      </c>
    </row>
    <row r="32" customFormat="false" ht="15" hidden="false" customHeight="false" outlineLevel="0" collapsed="false">
      <c r="B32" s="28" t="str">
        <f aca="false">IF(LARGE(Daten!$K$2:$K$5001,1)&lt;=0,"",INDEX(Daten!$A$2:$A$5001,MATCH(LARGE(Daten!$K$2:$K$5001,1),Daten!$K$2:$K$5001,0)))</f>
        <v>0001016</v>
      </c>
      <c r="C32" s="28" t="str">
        <f aca="false">IF(LARGE(Daten!$K$2:$K$5001,1)&lt;=0,"",INDEX(Daten!$B$2:$B$5001,MATCH(LARGE(Daten!$K$2:$K$5001,1),Daten!$K$2:$K$5001,0)))</f>
        <v>Stehlagereinheit</v>
      </c>
      <c r="D32" s="28" t="str">
        <f aca="false">IF(LARGE(Daten!$K$2:$K$5001,1)&lt;=0,"",INDEX(Daten!$D$2:$D$5001,MATCH(LARGE(Daten!$K$2:$K$5001,1),Daten!$K$2:$K$5001,0)))</f>
        <v>Lager</v>
      </c>
      <c r="E32" s="29" t="n">
        <f aca="false">IF(LARGE(Daten!$K$2:$K$5001,1)&lt;=0,"",INDEX(Daten!$I$2:$I$5001,MATCH(LARGE(Daten!$K$2:$K$5001,1),Daten!$K$2:$K$5001,0)))</f>
        <v>60800</v>
      </c>
      <c r="F32" s="28"/>
      <c r="G32" s="37" t="str">
        <f aca="false">IF(LARGE(Daten!$K$2:$K$5001,1)&lt;=0,"",INDEX(Daten!$N$2:$N$5001,MATCH(LARGE(Daten!$K$2:$K$5001,1),Daten!$K$2:$K$5001,0)))</f>
        <v>A</v>
      </c>
    </row>
    <row r="33" customFormat="false" ht="15" hidden="false" customHeight="false" outlineLevel="0" collapsed="false">
      <c r="B33" s="32" t="str">
        <f aca="false">IF(LARGE(Daten!$K$2:$K$5001,2)&lt;=0,"",INDEX(Daten!$A$2:$A$5001,MATCH(LARGE(Daten!$K$2:$K$5001,2),Daten!$K$2:$K$5001,0)))</f>
        <v>0001019</v>
      </c>
      <c r="C33" s="32" t="str">
        <f aca="false">IF(LARGE(Daten!$K$2:$K$5001,2)&lt;=0,"",INDEX(Daten!$B$2:$B$5001,MATCH(LARGE(Daten!$K$2:$K$5001,2),Daten!$K$2:$K$5001,0)))</f>
        <v>Zahnriemen</v>
      </c>
      <c r="D33" s="32" t="str">
        <f aca="false">IF(LARGE(Daten!$K$2:$K$5001,2)&lt;=0,"",INDEX(Daten!$D$2:$D$5001,MATCH(LARGE(Daten!$K$2:$K$5001,2),Daten!$K$2:$K$5001,0)))</f>
        <v>Antriebstechnik</v>
      </c>
      <c r="E33" s="33" t="n">
        <f aca="false">IF(LARGE(Daten!$K$2:$K$5001,2)&lt;=0,"",INDEX(Daten!$I$2:$I$5001,MATCH(LARGE(Daten!$K$2:$K$5001,2),Daten!$K$2:$K$5001,0)))</f>
        <v>21600</v>
      </c>
      <c r="F33" s="32"/>
      <c r="G33" s="37" t="str">
        <f aca="false">IF(LARGE(Daten!$K$2:$K$5001,2)&lt;=0,"",INDEX(Daten!$N$2:$N$5001,MATCH(LARGE(Daten!$K$2:$K$5001,2),Daten!$K$2:$K$5001,0)))</f>
        <v>A</v>
      </c>
    </row>
    <row r="34" customFormat="false" ht="15" hidden="false" customHeight="false" outlineLevel="0" collapsed="false">
      <c r="B34" s="28" t="str">
        <f aca="false">IF(LARGE(Daten!$K$2:$K$5001,3)&lt;=0,"",INDEX(Daten!$A$2:$A$5001,MATCH(LARGE(Daten!$K$2:$K$5001,3),Daten!$K$2:$K$5001,0)))</f>
        <v>0001001</v>
      </c>
      <c r="C34" s="28" t="str">
        <f aca="false">IF(LARGE(Daten!$K$2:$K$5001,3)&lt;=0,"",INDEX(Daten!$B$2:$B$5001,MATCH(LARGE(Daten!$K$2:$K$5001,3),Daten!$K$2:$K$5001,0)))</f>
        <v>Hydraulikventil</v>
      </c>
      <c r="D34" s="28" t="str">
        <f aca="false">IF(LARGE(Daten!$K$2:$K$5001,3)&lt;=0,"",INDEX(Daten!$D$2:$D$5001,MATCH(LARGE(Daten!$K$2:$K$5001,3),Daten!$K$2:$K$5001,0)))</f>
        <v>Hydraulik</v>
      </c>
      <c r="E34" s="29" t="n">
        <f aca="false">IF(LARGE(Daten!$K$2:$K$5001,3)&lt;=0,"",INDEX(Daten!$I$2:$I$5001,MATCH(LARGE(Daten!$K$2:$K$5001,3),Daten!$K$2:$K$5001,0)))</f>
        <v>12125</v>
      </c>
      <c r="F34" s="28"/>
      <c r="G34" s="37" t="str">
        <f aca="false">IF(LARGE(Daten!$K$2:$K$5001,3)&lt;=0,"",INDEX(Daten!$N$2:$N$5001,MATCH(LARGE(Daten!$K$2:$K$5001,3),Daten!$K$2:$K$5001,0)))</f>
        <v>A</v>
      </c>
    </row>
    <row r="35" customFormat="false" ht="15" hidden="false" customHeight="false" outlineLevel="0" collapsed="false">
      <c r="B35" s="32" t="str">
        <f aca="false">IF(LARGE(Daten!$K$2:$K$5001,4)&lt;=0,"",INDEX(Daten!$A$2:$A$5001,MATCH(LARGE(Daten!$K$2:$K$5001,4),Daten!$K$2:$K$5001,0)))</f>
        <v>0001018</v>
      </c>
      <c r="C35" s="32" t="str">
        <f aca="false">IF(LARGE(Daten!$K$2:$K$5001,4)&lt;=0,"",INDEX(Daten!$B$2:$B$5001,MATCH(LARGE(Daten!$K$2:$K$5001,4),Daten!$K$2:$K$5001,0)))</f>
        <v>Keilriemen SPZ</v>
      </c>
      <c r="D35" s="32" t="str">
        <f aca="false">IF(LARGE(Daten!$K$2:$K$5001,4)&lt;=0,"",INDEX(Daten!$D$2:$D$5001,MATCH(LARGE(Daten!$K$2:$K$5001,4),Daten!$K$2:$K$5001,0)))</f>
        <v>Antriebstechnik</v>
      </c>
      <c r="E35" s="33" t="n">
        <f aca="false">IF(LARGE(Daten!$K$2:$K$5001,4)&lt;=0,"",INDEX(Daten!$I$2:$I$5001,MATCH(LARGE(Daten!$K$2:$K$5001,4),Daten!$K$2:$K$5001,0)))</f>
        <v>11520</v>
      </c>
      <c r="F35" s="32"/>
      <c r="G35" s="37" t="str">
        <f aca="false">IF(LARGE(Daten!$K$2:$K$5001,4)&lt;=0,"",INDEX(Daten!$N$2:$N$5001,MATCH(LARGE(Daten!$K$2:$K$5001,4),Daten!$K$2:$K$5001,0)))</f>
        <v>A</v>
      </c>
    </row>
    <row r="36" customFormat="false" ht="15" hidden="false" customHeight="false" outlineLevel="0" collapsed="false">
      <c r="B36" s="28" t="str">
        <f aca="false">IF(LARGE(Daten!$K$2:$K$5001,5)&lt;=0,"",INDEX(Daten!$A$2:$A$5001,MATCH(LARGE(Daten!$K$2:$K$5001,5),Daten!$K$2:$K$5001,0)))</f>
        <v>0001003</v>
      </c>
      <c r="C36" s="28" t="str">
        <f aca="false">IF(LARGE(Daten!$K$2:$K$5001,5)&lt;=0,"",INDEX(Daten!$B$2:$B$5001,MATCH(LARGE(Daten!$K$2:$K$5001,5),Daten!$K$2:$K$5001,0)))</f>
        <v>Druckspeicher</v>
      </c>
      <c r="D36" s="28" t="str">
        <f aca="false">IF(LARGE(Daten!$K$2:$K$5001,5)&lt;=0,"",INDEX(Daten!$D$2:$D$5001,MATCH(LARGE(Daten!$K$2:$K$5001,5),Daten!$K$2:$K$5001,0)))</f>
        <v>Hydraulik</v>
      </c>
      <c r="E36" s="29" t="n">
        <f aca="false">IF(LARGE(Daten!$K$2:$K$5001,5)&lt;=0,"",INDEX(Daten!$I$2:$I$5001,MATCH(LARGE(Daten!$K$2:$K$5001,5),Daten!$K$2:$K$5001,0)))</f>
        <v>7440</v>
      </c>
      <c r="F36" s="28"/>
      <c r="G36" s="37" t="str">
        <f aca="false">IF(LARGE(Daten!$K$2:$K$5001,5)&lt;=0,"",INDEX(Daten!$N$2:$N$5001,MATCH(LARGE(Daten!$K$2:$K$5001,5),Daten!$K$2:$K$5001,0)))</f>
        <v>A</v>
      </c>
    </row>
    <row r="37" customFormat="false" ht="15" hidden="false" customHeight="false" outlineLevel="0" collapsed="false">
      <c r="B37" s="32" t="str">
        <f aca="false">IF(LARGE(Daten!$K$2:$K$5001,6)&lt;=0,"",INDEX(Daten!$A$2:$A$5001,MATCH(LARGE(Daten!$K$2:$K$5001,6),Daten!$K$2:$K$5001,0)))</f>
        <v>0001011</v>
      </c>
      <c r="C37" s="32" t="str">
        <f aca="false">IF(LARGE(Daten!$K$2:$K$5001,6)&lt;=0,"",INDEX(Daten!$B$2:$B$5001,MATCH(LARGE(Daten!$K$2:$K$5001,6),Daten!$K$2:$K$5001,0)))</f>
        <v>Tauchpumpe</v>
      </c>
      <c r="D37" s="32" t="str">
        <f aca="false">IF(LARGE(Daten!$K$2:$K$5001,6)&lt;=0,"",INDEX(Daten!$D$2:$D$5001,MATCH(LARGE(Daten!$K$2:$K$5001,6),Daten!$K$2:$K$5001,0)))</f>
        <v>Pumpen</v>
      </c>
      <c r="E37" s="33" t="n">
        <f aca="false">IF(LARGE(Daten!$K$2:$K$5001,6)&lt;=0,"",INDEX(Daten!$I$2:$I$5001,MATCH(LARGE(Daten!$K$2:$K$5001,6),Daten!$K$2:$K$5001,0)))</f>
        <v>6300</v>
      </c>
      <c r="F37" s="32"/>
      <c r="G37" s="37" t="str">
        <f aca="false">IF(LARGE(Daten!$K$2:$K$5001,6)&lt;=0,"",INDEX(Daten!$N$2:$N$5001,MATCH(LARGE(Daten!$K$2:$K$5001,6),Daten!$K$2:$K$5001,0)))</f>
        <v>B</v>
      </c>
    </row>
    <row r="38" customFormat="false" ht="15" hidden="false" customHeight="false" outlineLevel="0" collapsed="false">
      <c r="B38" s="28" t="str">
        <f aca="false">IF(LARGE(Daten!$K$2:$K$5001,7)&lt;=0,"",INDEX(Daten!$A$2:$A$5001,MATCH(LARGE(Daten!$K$2:$K$5001,7),Daten!$K$2:$K$5001,0)))</f>
        <v>0001002</v>
      </c>
      <c r="C38" s="28" t="str">
        <f aca="false">IF(LARGE(Daten!$K$2:$K$5001,7)&lt;=0,"",INDEX(Daten!$B$2:$B$5001,MATCH(LARGE(Daten!$K$2:$K$5001,7),Daten!$K$2:$K$5001,0)))</f>
        <v>Hydraulikschlauch 1 m</v>
      </c>
      <c r="D38" s="28" t="str">
        <f aca="false">IF(LARGE(Daten!$K$2:$K$5001,7)&lt;=0,"",INDEX(Daten!$D$2:$D$5001,MATCH(LARGE(Daten!$K$2:$K$5001,7),Daten!$K$2:$K$5001,0)))</f>
        <v>Hydraulik</v>
      </c>
      <c r="E38" s="29" t="n">
        <f aca="false">IF(LARGE(Daten!$K$2:$K$5001,7)&lt;=0,"",INDEX(Daten!$I$2:$I$5001,MATCH(LARGE(Daten!$K$2:$K$5001,7),Daten!$K$2:$K$5001,0)))</f>
        <v>4975</v>
      </c>
      <c r="F38" s="28"/>
      <c r="G38" s="37" t="str">
        <f aca="false">IF(LARGE(Daten!$K$2:$K$5001,7)&lt;=0,"",INDEX(Daten!$N$2:$N$5001,MATCH(LARGE(Daten!$K$2:$K$5001,7),Daten!$K$2:$K$5001,0)))</f>
        <v>B</v>
      </c>
    </row>
    <row r="39" customFormat="false" ht="15" hidden="false" customHeight="false" outlineLevel="0" collapsed="false">
      <c r="B39" s="32" t="str">
        <f aca="false">IF(LARGE(Daten!$K$2:$K$5001,8)&lt;=0,"",INDEX(Daten!$A$2:$A$5001,MATCH(LARGE(Daten!$K$2:$K$5001,8),Daten!$K$2:$K$5001,0)))</f>
        <v>0001012</v>
      </c>
      <c r="C39" s="32" t="str">
        <f aca="false">IF(LARGE(Daten!$K$2:$K$5001,8)&lt;=0,"",INDEX(Daten!$B$2:$B$5001,MATCH(LARGE(Daten!$K$2:$K$5001,8),Daten!$K$2:$K$5001,0)))</f>
        <v>Pumpenlaufrad</v>
      </c>
      <c r="D39" s="32" t="str">
        <f aca="false">IF(LARGE(Daten!$K$2:$K$5001,8)&lt;=0,"",INDEX(Daten!$D$2:$D$5001,MATCH(LARGE(Daten!$K$2:$K$5001,8),Daten!$K$2:$K$5001,0)))</f>
        <v>Pumpen</v>
      </c>
      <c r="E39" s="33" t="n">
        <f aca="false">IF(LARGE(Daten!$K$2:$K$5001,8)&lt;=0,"",INDEX(Daten!$I$2:$I$5001,MATCH(LARGE(Daten!$K$2:$K$5001,8),Daten!$K$2:$K$5001,0)))</f>
        <v>3700</v>
      </c>
      <c r="F39" s="32"/>
      <c r="G39" s="37" t="str">
        <f aca="false">IF(LARGE(Daten!$K$2:$K$5001,8)&lt;=0,"",INDEX(Daten!$N$2:$N$5001,MATCH(LARGE(Daten!$K$2:$K$5001,8),Daten!$K$2:$K$5001,0)))</f>
        <v>B</v>
      </c>
    </row>
    <row r="40" customFormat="false" ht="15" hidden="false" customHeight="false" outlineLevel="0" collapsed="false">
      <c r="B40" s="28" t="str">
        <f aca="false">IF(LARGE(Daten!$K$2:$K$5001,9)&lt;=0,"",INDEX(Daten!$A$2:$A$5001,MATCH(LARGE(Daten!$K$2:$K$5001,9),Daten!$K$2:$K$5001,0)))</f>
        <v>0001005</v>
      </c>
      <c r="C40" s="28" t="str">
        <f aca="false">IF(LARGE(Daten!$K$2:$K$5001,9)&lt;=0,"",INDEX(Daten!$B$2:$B$5001,MATCH(LARGE(Daten!$K$2:$K$5001,9),Daten!$K$2:$K$5001,0)))</f>
        <v>Kupplung DN10</v>
      </c>
      <c r="D40" s="28" t="str">
        <f aca="false">IF(LARGE(Daten!$K$2:$K$5001,9)&lt;=0,"",INDEX(Daten!$D$2:$D$5001,MATCH(LARGE(Daten!$K$2:$K$5001,9),Daten!$K$2:$K$5001,0)))</f>
        <v>Hydraulik</v>
      </c>
      <c r="E40" s="29" t="n">
        <f aca="false">IF(LARGE(Daten!$K$2:$K$5001,9)&lt;=0,"",INDEX(Daten!$I$2:$I$5001,MATCH(LARGE(Daten!$K$2:$K$5001,9),Daten!$K$2:$K$5001,0)))</f>
        <v>3100</v>
      </c>
      <c r="F40" s="28"/>
      <c r="G40" s="37" t="str">
        <f aca="false">IF(LARGE(Daten!$K$2:$K$5001,9)&lt;=0,"",INDEX(Daten!$N$2:$N$5001,MATCH(LARGE(Daten!$K$2:$K$5001,9),Daten!$K$2:$K$5001,0)))</f>
        <v>B</v>
      </c>
    </row>
    <row r="41" customFormat="false" ht="15" hidden="false" customHeight="false" outlineLevel="0" collapsed="false">
      <c r="B41" s="32" t="str">
        <f aca="false">IF(LARGE(Daten!$K$2:$K$5001,10)&lt;=0,"",INDEX(Daten!$A$2:$A$5001,MATCH(LARGE(Daten!$K$2:$K$5001,10),Daten!$K$2:$K$5001,0)))</f>
        <v>0001008</v>
      </c>
      <c r="C41" s="32" t="str">
        <f aca="false">IF(LARGE(Daten!$K$2:$K$5001,10)&lt;=0,"",INDEX(Daten!$B$2:$B$5001,MATCH(LARGE(Daten!$K$2:$K$5001,10),Daten!$K$2:$K$5001,0)))</f>
        <v>Wellendichtring</v>
      </c>
      <c r="D41" s="32" t="str">
        <f aca="false">IF(LARGE(Daten!$K$2:$K$5001,10)&lt;=0,"",INDEX(Daten!$D$2:$D$5001,MATCH(LARGE(Daten!$K$2:$K$5001,10),Daten!$K$2:$K$5001,0)))</f>
        <v>Dichtungen</v>
      </c>
      <c r="E41" s="33" t="n">
        <f aca="false">IF(LARGE(Daten!$K$2:$K$5001,10)&lt;=0,"",INDEX(Daten!$I$2:$I$5001,MATCH(LARGE(Daten!$K$2:$K$5001,10),Daten!$K$2:$K$5001,0)))</f>
        <v>2280</v>
      </c>
      <c r="F41" s="32"/>
      <c r="G41" s="37" t="str">
        <f aca="false">IF(LARGE(Daten!$K$2:$K$5001,10)&lt;=0,"",INDEX(Daten!$N$2:$N$5001,MATCH(LARGE(Daten!$K$2:$K$5001,10),Daten!$K$2:$K$5001,0)))</f>
        <v>B</v>
      </c>
    </row>
    <row r="42" customFormat="false" ht="15" hidden="false" customHeight="false" outlineLevel="0" collapsed="false">
      <c r="B42" s="28" t="str">
        <f aca="false">IF(LARGE(Daten!$K$2:$K$5001,11)&lt;=0,"",INDEX(Daten!$A$2:$A$5001,MATCH(LARGE(Daten!$K$2:$K$5001,11),Daten!$K$2:$K$5001,0)))</f>
        <v>0001020</v>
      </c>
      <c r="C42" s="28" t="str">
        <f aca="false">IF(LARGE(Daten!$K$2:$K$5001,11)&lt;=0,"",INDEX(Daten!$B$2:$B$5001,MATCH(LARGE(Daten!$K$2:$K$5001,11),Daten!$K$2:$K$5001,0)))</f>
        <v>Getriebemotor 0,75 kW</v>
      </c>
      <c r="D42" s="28" t="str">
        <f aca="false">IF(LARGE(Daten!$K$2:$K$5001,11)&lt;=0,"",INDEX(Daten!$D$2:$D$5001,MATCH(LARGE(Daten!$K$2:$K$5001,11),Daten!$K$2:$K$5001,0)))</f>
        <v>Antriebstechnik</v>
      </c>
      <c r="E42" s="29" t="n">
        <f aca="false">IF(LARGE(Daten!$K$2:$K$5001,11)&lt;=0,"",INDEX(Daten!$I$2:$I$5001,MATCH(LARGE(Daten!$K$2:$K$5001,11),Daten!$K$2:$K$5001,0)))</f>
        <v>2240</v>
      </c>
      <c r="F42" s="28"/>
      <c r="G42" s="37" t="str">
        <f aca="false">IF(LARGE(Daten!$K$2:$K$5001,11)&lt;=0,"",INDEX(Daten!$N$2:$N$5001,MATCH(LARGE(Daten!$K$2:$K$5001,11),Daten!$K$2:$K$5001,0)))</f>
        <v>C</v>
      </c>
    </row>
    <row r="43" customFormat="false" ht="15" hidden="false" customHeight="false" outlineLevel="0" collapsed="false">
      <c r="B43" s="32" t="str">
        <f aca="false">IF(LARGE(Daten!$K$2:$K$5001,12)&lt;=0,"",INDEX(Daten!$A$2:$A$5001,MATCH(LARGE(Daten!$K$2:$K$5001,12),Daten!$K$2:$K$5001,0)))</f>
        <v>0001023</v>
      </c>
      <c r="C43" s="32" t="str">
        <f aca="false">IF(LARGE(Daten!$K$2:$K$5001,12)&lt;=0,"",INDEX(Daten!$B$2:$B$5001,MATCH(LARGE(Daten!$K$2:$K$5001,12),Daten!$K$2:$K$5001,0)))</f>
        <v>Getriebeöl 20 l</v>
      </c>
      <c r="D43" s="32" t="str">
        <f aca="false">IF(LARGE(Daten!$K$2:$K$5001,12)&lt;=0,"",INDEX(Daten!$D$2:$D$5001,MATCH(LARGE(Daten!$K$2:$K$5001,12),Daten!$K$2:$K$5001,0)))</f>
        <v>Schmierstoffe</v>
      </c>
      <c r="E43" s="33" t="n">
        <f aca="false">IF(LARGE(Daten!$K$2:$K$5001,12)&lt;=0,"",INDEX(Daten!$I$2:$I$5001,MATCH(LARGE(Daten!$K$2:$K$5001,12),Daten!$K$2:$K$5001,0)))</f>
        <v>1380</v>
      </c>
      <c r="F43" s="32"/>
      <c r="G43" s="37" t="str">
        <f aca="false">IF(LARGE(Daten!$K$2:$K$5001,12)&lt;=0,"",INDEX(Daten!$N$2:$N$5001,MATCH(LARGE(Daten!$K$2:$K$5001,12),Daten!$K$2:$K$5001,0)))</f>
        <v>C</v>
      </c>
    </row>
    <row r="44" customFormat="false" ht="15" hidden="false" customHeight="false" outlineLevel="0" collapsed="false">
      <c r="B44" s="28" t="str">
        <f aca="false">IF(LARGE(Daten!$K$2:$K$5001,13)&lt;=0,"",INDEX(Daten!$A$2:$A$5001,MATCH(LARGE(Daten!$K$2:$K$5001,13),Daten!$K$2:$K$5001,0)))</f>
        <v>0001004</v>
      </c>
      <c r="C44" s="28" t="str">
        <f aca="false">IF(LARGE(Daten!$K$2:$K$5001,13)&lt;=0,"",INDEX(Daten!$B$2:$B$5001,MATCH(LARGE(Daten!$K$2:$K$5001,13),Daten!$K$2:$K$5001,0)))</f>
        <v>Hydraulikzylinder</v>
      </c>
      <c r="D44" s="28" t="str">
        <f aca="false">IF(LARGE(Daten!$K$2:$K$5001,13)&lt;=0,"",INDEX(Daten!$D$2:$D$5001,MATCH(LARGE(Daten!$K$2:$K$5001,13),Daten!$K$2:$K$5001,0)))</f>
        <v>Hydraulik</v>
      </c>
      <c r="E44" s="29" t="n">
        <f aca="false">IF(LARGE(Daten!$K$2:$K$5001,13)&lt;=0,"",INDEX(Daten!$I$2:$I$5001,MATCH(LARGE(Daten!$K$2:$K$5001,13),Daten!$K$2:$K$5001,0)))</f>
        <v>1280</v>
      </c>
      <c r="F44" s="28"/>
      <c r="G44" s="37" t="str">
        <f aca="false">IF(LARGE(Daten!$K$2:$K$5001,13)&lt;=0,"",INDEX(Daten!$N$2:$N$5001,MATCH(LARGE(Daten!$K$2:$K$5001,13),Daten!$K$2:$K$5001,0)))</f>
        <v>C</v>
      </c>
    </row>
    <row r="45" customFormat="false" ht="15" hidden="false" customHeight="false" outlineLevel="0" collapsed="false">
      <c r="B45" s="32" t="str">
        <f aca="false">IF(LARGE(Daten!$K$2:$K$5001,14)&lt;=0,"",INDEX(Daten!$A$2:$A$5001,MATCH(LARGE(Daten!$K$2:$K$5001,14),Daten!$K$2:$K$5001,0)))</f>
        <v>0001013</v>
      </c>
      <c r="C45" s="32" t="str">
        <f aca="false">IF(LARGE(Daten!$K$2:$K$5001,14)&lt;=0,"",INDEX(Daten!$B$2:$B$5001,MATCH(LARGE(Daten!$K$2:$K$5001,14),Daten!$K$2:$K$5001,0)))</f>
        <v>Dosierpumpe</v>
      </c>
      <c r="D45" s="32" t="str">
        <f aca="false">IF(LARGE(Daten!$K$2:$K$5001,14)&lt;=0,"",INDEX(Daten!$D$2:$D$5001,MATCH(LARGE(Daten!$K$2:$K$5001,14),Daten!$K$2:$K$5001,0)))</f>
        <v>Pumpen</v>
      </c>
      <c r="E45" s="33" t="n">
        <f aca="false">IF(LARGE(Daten!$K$2:$K$5001,14)&lt;=0,"",INDEX(Daten!$I$2:$I$5001,MATCH(LARGE(Daten!$K$2:$K$5001,14),Daten!$K$2:$K$5001,0)))</f>
        <v>890</v>
      </c>
      <c r="F45" s="32"/>
      <c r="G45" s="37" t="str">
        <f aca="false">IF(LARGE(Daten!$K$2:$K$5001,14)&lt;=0,"",INDEX(Daten!$N$2:$N$5001,MATCH(LARGE(Daten!$K$2:$K$5001,14),Daten!$K$2:$K$5001,0)))</f>
        <v>C</v>
      </c>
    </row>
    <row r="46" customFormat="false" ht="15" hidden="false" customHeight="false" outlineLevel="0" collapsed="false">
      <c r="B46" s="28" t="str">
        <f aca="false">IF(LARGE(Daten!$K$2:$K$5001,15)&lt;=0,"",INDEX(Daten!$A$2:$A$5001,MATCH(LARGE(Daten!$K$2:$K$5001,15),Daten!$K$2:$K$5001,0)))</f>
        <v>0001007</v>
      </c>
      <c r="C46" s="28" t="str">
        <f aca="false">IF(LARGE(Daten!$K$2:$K$5001,15)&lt;=0,"",INDEX(Daten!$B$2:$B$5001,MATCH(LARGE(Daten!$K$2:$K$5001,15),Daten!$K$2:$K$5001,0)))</f>
        <v>O-Ring-Sortiment</v>
      </c>
      <c r="D46" s="28" t="str">
        <f aca="false">IF(LARGE(Daten!$K$2:$K$5001,15)&lt;=0,"",INDEX(Daten!$D$2:$D$5001,MATCH(LARGE(Daten!$K$2:$K$5001,15),Daten!$K$2:$K$5001,0)))</f>
        <v>Dichtungen</v>
      </c>
      <c r="E46" s="29" t="n">
        <f aca="false">IF(LARGE(Daten!$K$2:$K$5001,15)&lt;=0,"",INDEX(Daten!$I$2:$I$5001,MATCH(LARGE(Daten!$K$2:$K$5001,15),Daten!$K$2:$K$5001,0)))</f>
        <v>789.7</v>
      </c>
      <c r="F46" s="28"/>
      <c r="G46" s="37" t="str">
        <f aca="false">IF(LARGE(Daten!$K$2:$K$5001,15)&lt;=0,"",INDEX(Daten!$N$2:$N$5001,MATCH(LARGE(Daten!$K$2:$K$5001,15),Daten!$K$2:$K$5001,0)))</f>
        <v>C</v>
      </c>
    </row>
    <row r="48" customFormat="false" ht="15" hidden="false" customHeight="false" outlineLevel="0" collapsed="false">
      <c r="B48" s="38" t="s">
        <v>49</v>
      </c>
    </row>
    <row r="49" customFormat="false" ht="15" hidden="false" customHeight="false" outlineLevel="0" collapsed="false">
      <c r="B49" s="39" t="s">
        <v>50</v>
      </c>
    </row>
    <row r="50" customFormat="false" ht="15" hidden="false" customHeight="false" outlineLevel="0" collapsed="false">
      <c r="B50" s="40" t="s">
        <v>51</v>
      </c>
    </row>
  </sheetData>
  <sheetProtection sheet="true" password="dc34"/>
  <mergeCells count="6">
    <mergeCell ref="C9:D9"/>
    <mergeCell ref="E9:G9"/>
    <mergeCell ref="C10:D10"/>
    <mergeCell ref="E10:G10"/>
    <mergeCell ref="C11:D11"/>
    <mergeCell ref="E11:G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5001"/>
  <sheetViews>
    <sheetView showFormulas="false" showGridLines="true" showRowColHeaders="fals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4" min="4" style="0" width="15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14"/>
    <col collapsed="false" customWidth="true" hidden="false" outlineLevel="0" max="9" min="9" style="0" width="15"/>
    <col collapsed="false" customWidth="true" hidden="true" outlineLevel="0" max="13" min="10" style="0" width="6"/>
    <col collapsed="false" customWidth="true" hidden="false" outlineLevel="0" max="14" min="14" style="0" width="7"/>
    <col collapsed="false" customWidth="true" hidden="false" outlineLevel="0" max="15" min="15" style="0" width="36"/>
    <col collapsed="false" customWidth="true" hidden="true" outlineLevel="0" max="17" min="16" style="0" width="6"/>
  </cols>
  <sheetData>
    <row r="1" customFormat="false" ht="43.5" hidden="false" customHeight="true" outlineLevel="0" collapsed="false">
      <c r="A1" s="41" t="s">
        <v>46</v>
      </c>
      <c r="B1" s="41" t="s">
        <v>47</v>
      </c>
      <c r="C1" s="41" t="s">
        <v>52</v>
      </c>
      <c r="D1" s="41" t="s">
        <v>35</v>
      </c>
      <c r="E1" s="41" t="s">
        <v>53</v>
      </c>
      <c r="F1" s="41" t="s">
        <v>54</v>
      </c>
      <c r="G1" s="41" t="s">
        <v>55</v>
      </c>
      <c r="H1" s="42" t="s">
        <v>56</v>
      </c>
      <c r="I1" s="42" t="s">
        <v>57</v>
      </c>
      <c r="J1" s="42" t="s">
        <v>58</v>
      </c>
      <c r="K1" s="42" t="s">
        <v>59</v>
      </c>
      <c r="L1" s="42" t="s">
        <v>60</v>
      </c>
      <c r="M1" s="42" t="s">
        <v>61</v>
      </c>
      <c r="N1" s="42" t="s">
        <v>48</v>
      </c>
      <c r="O1" s="42" t="s">
        <v>62</v>
      </c>
      <c r="P1" s="42" t="s">
        <v>63</v>
      </c>
      <c r="Q1" s="42" t="s">
        <v>64</v>
      </c>
    </row>
    <row r="2" customFormat="false" ht="15" hidden="false" customHeight="false" outlineLevel="0" collapsed="false">
      <c r="A2" s="43" t="s">
        <v>65</v>
      </c>
      <c r="B2" s="44" t="s">
        <v>66</v>
      </c>
      <c r="C2" s="44" t="s">
        <v>67</v>
      </c>
      <c r="D2" s="44" t="s">
        <v>68</v>
      </c>
      <c r="E2" s="44" t="n">
        <v>250</v>
      </c>
      <c r="F2" s="45" t="n">
        <v>48.5</v>
      </c>
      <c r="G2" s="44" t="s">
        <v>69</v>
      </c>
      <c r="H2" s="46" t="n">
        <f aca="false">IF($A2="","",IF(OR(NOT(ISNUMBER(E2)),NOT(ISNUMBER(F2))),"",MAX(0,E2)*F2))</f>
        <v>12125</v>
      </c>
      <c r="I2" s="46" t="n">
        <f aca="false">IF($A2="","",SUMIF($A$2:$A$5001,$A2,$H$2:$H$5001))</f>
        <v>12125</v>
      </c>
      <c r="J2" s="47" t="n">
        <f aca="false">IF($A2="",0,IF(COUNTIF($A$2:A2,$A2)=1,1,0))</f>
        <v>1</v>
      </c>
      <c r="K2" s="47" t="n">
        <f aca="false">IF(J2=1,N(I2)+ROW()/10000000,0)</f>
        <v>12125.0000002</v>
      </c>
      <c r="L2" s="47" t="n">
        <f aca="false">IF(AND(J2=1,N(I2)&gt;0),SUMIF($K$2:$K$5001,"&gt;="&amp;K2,$I$2:$I$5001)/MAX(1,SUM($H$2:$H$5001)),"")</f>
        <v>0.662057536844789</v>
      </c>
      <c r="M2" s="47" t="n">
        <f aca="false">IF($A2="","",INDEX($L$2:$L$5001,MATCH($A2,$A$2:$A$5001,0)))</f>
        <v>0.662057536844789</v>
      </c>
      <c r="N2" s="48" t="str">
        <f aca="false">IF($A2="","",IF(N(M2)=0,"–",IF(M2&lt;=Start!$D$20,"A",IF(M2&lt;=Start!$D$21,"B","C"))))</f>
        <v>A</v>
      </c>
      <c r="O2" s="48" t="str">
        <f aca="false">IF($A2="","",IF(NOT(ISNUMBER(F2)),"Wert fehlt; ",IF(F2&lt;=0,"Wert ist 0; ",""))&amp;IF(NOT(ISNUMBER(E2)),"Bestand fehlt; ",IF(E2&lt;0,"Bestand negativ; ",IF(E2=0,"Nullbestand; ","")))&amp;IF(D2="","Warengruppe fehlt; ","")&amp;IF(B2="","Bezeichnung fehlt; ","")&amp;IF(COUNTIFS($A$2:$A$5001,$A2,$C$2:$C$5001,C2)&gt;1,"Artikel doppelt im selben Lager; ",""))</f>
        <v/>
      </c>
      <c r="P2" s="47" t="n">
        <f aca="false">IF(OR($A2="",D2=""),0,IF(COUNTIF($D$2:D2,D2)=1,SUMIF($D$2:$D$5001,D2,$H$2:$H$5001)+ROW()/10000000,0))</f>
        <v>28920.0000002</v>
      </c>
      <c r="Q2" s="47" t="n">
        <f aca="false">IF(OR($A2="",C2=""),0,IF(COUNTIF($C$2:C2,C2)=1,SUMIF($C$2:$C$5001,C2,$H$2:$H$5001)+ROW()/10000000,0))</f>
        <v>121032.7000002</v>
      </c>
    </row>
    <row r="3" customFormat="false" ht="15" hidden="false" customHeight="false" outlineLevel="0" collapsed="false">
      <c r="A3" s="43" t="s">
        <v>70</v>
      </c>
      <c r="B3" s="44" t="s">
        <v>71</v>
      </c>
      <c r="C3" s="44" t="s">
        <v>67</v>
      </c>
      <c r="D3" s="44" t="s">
        <v>68</v>
      </c>
      <c r="E3" s="44" t="n">
        <v>250</v>
      </c>
      <c r="F3" s="45" t="n">
        <v>19.9</v>
      </c>
      <c r="G3" s="44" t="s">
        <v>69</v>
      </c>
      <c r="H3" s="46" t="n">
        <f aca="false">IF($A3="","",IF(OR(NOT(ISNUMBER(E3)),NOT(ISNUMBER(F3))),"",MAX(0,E3)*F3))</f>
        <v>4975</v>
      </c>
      <c r="I3" s="46" t="n">
        <f aca="false">IF($A3="","",SUMIF($A$2:$A$5001,$A3,$H$2:$H$5001))</f>
        <v>4975</v>
      </c>
      <c r="J3" s="47" t="n">
        <f aca="false">IF($A3="",0,IF(COUNTIF($A$2:A3,$A3)=1,1,0))</f>
        <v>1</v>
      </c>
      <c r="K3" s="47" t="n">
        <f aca="false">IF(J3=1,N(I3)+ROW()/10000000,0)</f>
        <v>4975.0000003</v>
      </c>
      <c r="L3" s="47" t="n">
        <f aca="false">IF(AND(J3=1,N(I3)&gt;0),SUMIF($K$2:$K$5001,"&gt;="&amp;K3,$I$2:$I$5001)/MAX(1,SUM($H$2:$H$5001)),"")</f>
        <v>0.873824896024923</v>
      </c>
      <c r="M3" s="47" t="n">
        <f aca="false">IF($A3="","",INDEX($L$2:$L$5001,MATCH($A3,$A$2:$A$5001,0)))</f>
        <v>0.873824896024923</v>
      </c>
      <c r="N3" s="48" t="str">
        <f aca="false">IF($A3="","",IF(N(M3)=0,"–",IF(M3&lt;=Start!$D$20,"A",IF(M3&lt;=Start!$D$21,"B","C"))))</f>
        <v>B</v>
      </c>
      <c r="O3" s="48" t="str">
        <f aca="false">IF($A3="","",IF(NOT(ISNUMBER(F3)),"Wert fehlt; ",IF(F3&lt;=0,"Wert ist 0; ",""))&amp;IF(NOT(ISNUMBER(E3)),"Bestand fehlt; ",IF(E3&lt;0,"Bestand negativ; ",IF(E3=0,"Nullbestand; ","")))&amp;IF(D3="","Warengruppe fehlt; ","")&amp;IF(B3="","Bezeichnung fehlt; ","")&amp;IF(COUNTIFS($A$2:$A$5001,$A3,$C$2:$C$5001,C3)&gt;1,"Artikel doppelt im selben Lager; ",""))</f>
        <v/>
      </c>
      <c r="P3" s="47" t="n">
        <f aca="false">IF(OR($A3="",D3=""),0,IF(COUNTIF($D$2:D3,D3)=1,SUMIF($D$2:$D$5001,D3,$H$2:$H$5001)+ROW()/10000000,0))</f>
        <v>0</v>
      </c>
      <c r="Q3" s="47" t="n">
        <f aca="false">IF(OR($A3="",C3=""),0,IF(COUNTIF($C$2:C3,C3)=1,SUMIF($C$2:$C$5001,C3,$H$2:$H$5001)+ROW()/10000000,0))</f>
        <v>0</v>
      </c>
    </row>
    <row r="4" customFormat="false" ht="15" hidden="false" customHeight="false" outlineLevel="0" collapsed="false">
      <c r="A4" s="43" t="s">
        <v>72</v>
      </c>
      <c r="B4" s="44" t="s">
        <v>73</v>
      </c>
      <c r="C4" s="44" t="s">
        <v>67</v>
      </c>
      <c r="D4" s="44" t="s">
        <v>68</v>
      </c>
      <c r="E4" s="44" t="n">
        <v>24</v>
      </c>
      <c r="F4" s="45" t="n">
        <v>310</v>
      </c>
      <c r="G4" s="44" t="s">
        <v>69</v>
      </c>
      <c r="H4" s="46" t="n">
        <f aca="false">IF($A4="","",IF(OR(NOT(ISNUMBER(E4)),NOT(ISNUMBER(F4))),"",MAX(0,E4)*F4))</f>
        <v>7440</v>
      </c>
      <c r="I4" s="46" t="n">
        <f aca="false">IF($A4="","",SUMIF($A$2:$A$5001,$A4,$H$2:$H$5001))</f>
        <v>7440</v>
      </c>
      <c r="J4" s="47" t="n">
        <f aca="false">IF($A4="",0,IF(COUNTIF($A$2:A4,$A4)=1,1,0))</f>
        <v>1</v>
      </c>
      <c r="K4" s="47" t="n">
        <f aca="false">IF(J4=1,N(I4)+ROW()/10000000,0)</f>
        <v>7440.0000004</v>
      </c>
      <c r="L4" s="47" t="n">
        <f aca="false">IF(AND(J4=1,N(I4)&gt;0),SUMIF($K$2:$K$5001,"&gt;="&amp;K4,$I$2:$I$5001)/MAX(1,SUM($H$2:$H$5001)),"")</f>
        <v>0.794854266795355</v>
      </c>
      <c r="M4" s="47" t="n">
        <f aca="false">IF($A4="","",INDEX($L$2:$L$5001,MATCH($A4,$A$2:$A$5001,0)))</f>
        <v>0.794854266795355</v>
      </c>
      <c r="N4" s="48" t="str">
        <f aca="false">IF($A4="","",IF(N(M4)=0,"–",IF(M4&lt;=Start!$D$20,"A",IF(M4&lt;=Start!$D$21,"B","C"))))</f>
        <v>A</v>
      </c>
      <c r="O4" s="48" t="str">
        <f aca="false">IF($A4="","",IF(NOT(ISNUMBER(F4)),"Wert fehlt; ",IF(F4&lt;=0,"Wert ist 0; ",""))&amp;IF(NOT(ISNUMBER(E4)),"Bestand fehlt; ",IF(E4&lt;0,"Bestand negativ; ",IF(E4=0,"Nullbestand; ","")))&amp;IF(D4="","Warengruppe fehlt; ","")&amp;IF(B4="","Bezeichnung fehlt; ","")&amp;IF(COUNTIFS($A$2:$A$5001,$A4,$C$2:$C$5001,C4)&gt;1,"Artikel doppelt im selben Lager; ",""))</f>
        <v/>
      </c>
      <c r="P4" s="47" t="n">
        <f aca="false">IF(OR($A4="",D4=""),0,IF(COUNTIF($D$2:D4,D4)=1,SUMIF($D$2:$D$5001,D4,$H$2:$H$5001)+ROW()/10000000,0))</f>
        <v>0</v>
      </c>
      <c r="Q4" s="47" t="n">
        <f aca="false">IF(OR($A4="",C4=""),0,IF(COUNTIF($C$2:C4,C4)=1,SUMIF($C$2:$C$5001,C4,$H$2:$H$5001)+ROW()/10000000,0))</f>
        <v>0</v>
      </c>
    </row>
    <row r="5" customFormat="false" ht="15" hidden="false" customHeight="false" outlineLevel="0" collapsed="false">
      <c r="A5" s="43" t="s">
        <v>74</v>
      </c>
      <c r="B5" s="44" t="s">
        <v>75</v>
      </c>
      <c r="C5" s="44" t="s">
        <v>67</v>
      </c>
      <c r="D5" s="44" t="s">
        <v>68</v>
      </c>
      <c r="E5" s="44" t="n">
        <v>2</v>
      </c>
      <c r="F5" s="45" t="n">
        <v>640</v>
      </c>
      <c r="G5" s="44" t="s">
        <v>69</v>
      </c>
      <c r="H5" s="46" t="n">
        <f aca="false">IF($A5="","",IF(OR(NOT(ISNUMBER(E5)),NOT(ISNUMBER(F5))),"",MAX(0,E5)*F5))</f>
        <v>1280</v>
      </c>
      <c r="I5" s="46" t="n">
        <f aca="false">IF($A5="","",SUMIF($A$2:$A$5001,$A5,$H$2:$H$5001))</f>
        <v>1280</v>
      </c>
      <c r="J5" s="47" t="n">
        <f aca="false">IF($A5="",0,IF(COUNTIF($A$2:A5,$A5)=1,1,0))</f>
        <v>1</v>
      </c>
      <c r="K5" s="47" t="n">
        <f aca="false">IF(J5=1,N(I5)+ROW()/10000000,0)</f>
        <v>1280.0000005</v>
      </c>
      <c r="L5" s="47" t="n">
        <f aca="false">IF(AND(J5=1,N(I5)&gt;0),SUMIF($K$2:$K$5001,"&gt;="&amp;K5,$I$2:$I$5001)/MAX(1,SUM($H$2:$H$5001)),"")</f>
        <v>0.97174147222265</v>
      </c>
      <c r="M5" s="47" t="n">
        <f aca="false">IF($A5="","",INDEX($L$2:$L$5001,MATCH($A5,$A$2:$A$5001,0)))</f>
        <v>0.97174147222265</v>
      </c>
      <c r="N5" s="48" t="str">
        <f aca="false">IF($A5="","",IF(N(M5)=0,"–",IF(M5&lt;=Start!$D$20,"A",IF(M5&lt;=Start!$D$21,"B","C"))))</f>
        <v>C</v>
      </c>
      <c r="O5" s="48" t="str">
        <f aca="false">IF($A5="","",IF(NOT(ISNUMBER(F5)),"Wert fehlt; ",IF(F5&lt;=0,"Wert ist 0; ",""))&amp;IF(NOT(ISNUMBER(E5)),"Bestand fehlt; ",IF(E5&lt;0,"Bestand negativ; ",IF(E5=0,"Nullbestand; ","")))&amp;IF(D5="","Warengruppe fehlt; ","")&amp;IF(B5="","Bezeichnung fehlt; ","")&amp;IF(COUNTIFS($A$2:$A$5001,$A5,$C$2:$C$5001,C5)&gt;1,"Artikel doppelt im selben Lager; ",""))</f>
        <v/>
      </c>
      <c r="P5" s="47" t="n">
        <f aca="false">IF(OR($A5="",D5=""),0,IF(COUNTIF($D$2:D5,D5)=1,SUMIF($D$2:$D$5001,D5,$H$2:$H$5001)+ROW()/10000000,0))</f>
        <v>0</v>
      </c>
      <c r="Q5" s="47" t="n">
        <f aca="false">IF(OR($A5="",C5=""),0,IF(COUNTIF($C$2:C5,C5)=1,SUMIF($C$2:$C$5001,C5,$H$2:$H$5001)+ROW()/10000000,0))</f>
        <v>0</v>
      </c>
    </row>
    <row r="6" customFormat="false" ht="15" hidden="false" customHeight="false" outlineLevel="0" collapsed="false">
      <c r="A6" s="43" t="s">
        <v>76</v>
      </c>
      <c r="B6" s="44" t="s">
        <v>77</v>
      </c>
      <c r="C6" s="44" t="s">
        <v>67</v>
      </c>
      <c r="D6" s="44" t="s">
        <v>68</v>
      </c>
      <c r="E6" s="44" t="n">
        <v>250</v>
      </c>
      <c r="F6" s="45" t="n">
        <v>12.4</v>
      </c>
      <c r="G6" s="44" t="s">
        <v>69</v>
      </c>
      <c r="H6" s="46" t="n">
        <f aca="false">IF($A6="","",IF(OR(NOT(ISNUMBER(E6)),NOT(ISNUMBER(F6))),"",MAX(0,E6)*F6))</f>
        <v>3100</v>
      </c>
      <c r="I6" s="46" t="n">
        <f aca="false">IF($A6="","",SUMIF($A$2:$A$5001,$A6,$H$2:$H$5001))</f>
        <v>3100</v>
      </c>
      <c r="J6" s="47" t="n">
        <f aca="false">IF($A6="",0,IF(COUNTIF($A$2:A6,$A6)=1,1,0))</f>
        <v>1</v>
      </c>
      <c r="K6" s="47" t="n">
        <f aca="false">IF(J6=1,N(I6)+ROW()/10000000,0)</f>
        <v>3100.0000006</v>
      </c>
      <c r="L6" s="47" t="n">
        <f aca="false">IF(AND(J6=1,N(I6)&gt;0),SUMIF($K$2:$K$5001,"&gt;="&amp;K6,$I$2:$I$5001)/MAX(1,SUM($H$2:$H$5001)),"")</f>
        <v>0.921452415205506</v>
      </c>
      <c r="M6" s="47" t="n">
        <f aca="false">IF($A6="","",INDEX($L$2:$L$5001,MATCH($A6,$A$2:$A$5001,0)))</f>
        <v>0.921452415205506</v>
      </c>
      <c r="N6" s="48" t="str">
        <f aca="false">IF($A6="","",IF(N(M6)=0,"–",IF(M6&lt;=Start!$D$20,"A",IF(M6&lt;=Start!$D$21,"B","C"))))</f>
        <v>B</v>
      </c>
      <c r="O6" s="48" t="str">
        <f aca="false">IF($A6="","",IF(NOT(ISNUMBER(F6)),"Wert fehlt; ",IF(F6&lt;=0,"Wert ist 0; ",""))&amp;IF(NOT(ISNUMBER(E6)),"Bestand fehlt; ",IF(E6&lt;0,"Bestand negativ; ",IF(E6=0,"Nullbestand; ","")))&amp;IF(D6="","Warengruppe fehlt; ","")&amp;IF(B6="","Bezeichnung fehlt; ","")&amp;IF(COUNTIFS($A$2:$A$5001,$A6,$C$2:$C$5001,C6)&gt;1,"Artikel doppelt im selben Lager; ",""))</f>
        <v/>
      </c>
      <c r="P6" s="47" t="n">
        <f aca="false">IF(OR($A6="",D6=""),0,IF(COUNTIF($D$2:D6,D6)=1,SUMIF($D$2:$D$5001,D6,$H$2:$H$5001)+ROW()/10000000,0))</f>
        <v>0</v>
      </c>
      <c r="Q6" s="47" t="n">
        <f aca="false">IF(OR($A6="",C6=""),0,IF(COUNTIF($C$2:C6,C6)=1,SUMIF($C$2:$C$5001,C6,$H$2:$H$5001)+ROW()/10000000,0))</f>
        <v>0</v>
      </c>
    </row>
    <row r="7" customFormat="false" ht="15" hidden="false" customHeight="false" outlineLevel="0" collapsed="false">
      <c r="A7" s="43" t="s">
        <v>78</v>
      </c>
      <c r="B7" s="44" t="s">
        <v>79</v>
      </c>
      <c r="C7" s="44" t="s">
        <v>67</v>
      </c>
      <c r="D7" s="44" t="s">
        <v>80</v>
      </c>
      <c r="E7" s="44" t="n">
        <v>12</v>
      </c>
      <c r="F7" s="45" t="n">
        <v>0</v>
      </c>
      <c r="G7" s="44" t="s">
        <v>69</v>
      </c>
      <c r="H7" s="46" t="n">
        <f aca="false">IF($A7="","",IF(OR(NOT(ISNUMBER(E7)),NOT(ISNUMBER(F7))),"",MAX(0,E7)*F7))</f>
        <v>0</v>
      </c>
      <c r="I7" s="46" t="n">
        <f aca="false">IF($A7="","",SUMIF($A$2:$A$5001,$A7,$H$2:$H$5001))</f>
        <v>9.6</v>
      </c>
      <c r="J7" s="47" t="n">
        <f aca="false">IF($A7="",0,IF(COUNTIF($A$2:A7,$A7)=1,1,0))</f>
        <v>1</v>
      </c>
      <c r="K7" s="47" t="n">
        <f aca="false">IF(J7=1,N(I7)+ROW()/10000000,0)</f>
        <v>9.6000007</v>
      </c>
      <c r="L7" s="47" t="n">
        <f aca="false">IF(AND(J7=1,N(I7)&gt;0),SUMIF($K$2:$K$5001,"&gt;="&amp;K7,$I$2:$I$5001)/MAX(1,SUM($H$2:$H$5001)),"")</f>
        <v>0.999976886645104</v>
      </c>
      <c r="M7" s="47" t="n">
        <f aca="false">IF($A7="","",INDEX($L$2:$L$5001,MATCH($A7,$A$2:$A$5001,0)))</f>
        <v>0.999976886645104</v>
      </c>
      <c r="N7" s="48" t="str">
        <f aca="false">IF($A7="","",IF(N(M7)=0,"–",IF(M7&lt;=Start!$D$20,"A",IF(M7&lt;=Start!$D$21,"B","C"))))</f>
        <v>C</v>
      </c>
      <c r="O7" s="48" t="str">
        <f aca="false">IF($A7="","",IF(NOT(ISNUMBER(F7)),"Wert fehlt; ",IF(F7&lt;=0,"Wert ist 0; ",""))&amp;IF(NOT(ISNUMBER(E7)),"Bestand fehlt; ",IF(E7&lt;0,"Bestand negativ; ",IF(E7=0,"Nullbestand; ","")))&amp;IF(D7="","Warengruppe fehlt; ","")&amp;IF(B7="","Bezeichnung fehlt; ","")&amp;IF(COUNTIFS($A$2:$A$5001,$A7,$C$2:$C$5001,C7)&gt;1,"Artikel doppelt im selben Lager; ",""))</f>
        <v>Wert ist 0; </v>
      </c>
      <c r="P7" s="47" t="n">
        <f aca="false">IF(OR($A7="",D7=""),0,IF(COUNTIF($D$2:D7,D7)=1,SUMIF($D$2:$D$5001,D7,$H$2:$H$5001)+ROW()/10000000,0))</f>
        <v>3082.6000007</v>
      </c>
      <c r="Q7" s="47" t="n">
        <f aca="false">IF(OR($A7="",C7=""),0,IF(COUNTIF($C$2:C7,C7)=1,SUMIF($C$2:$C$5001,C7,$H$2:$H$5001)+ROW()/10000000,0))</f>
        <v>0</v>
      </c>
    </row>
    <row r="8" customFormat="false" ht="15" hidden="false" customHeight="false" outlineLevel="0" collapsed="false">
      <c r="A8" s="43" t="s">
        <v>78</v>
      </c>
      <c r="B8" s="44" t="s">
        <v>79</v>
      </c>
      <c r="C8" s="44" t="s">
        <v>81</v>
      </c>
      <c r="D8" s="44" t="s">
        <v>80</v>
      </c>
      <c r="E8" s="44" t="n">
        <v>4</v>
      </c>
      <c r="F8" s="45" t="n">
        <v>2.4</v>
      </c>
      <c r="G8" s="44" t="s">
        <v>69</v>
      </c>
      <c r="H8" s="46" t="n">
        <f aca="false">IF($A8="","",IF(OR(NOT(ISNUMBER(E8)),NOT(ISNUMBER(F8))),"",MAX(0,E8)*F8))</f>
        <v>9.6</v>
      </c>
      <c r="I8" s="46" t="n">
        <f aca="false">IF($A8="","",SUMIF($A$2:$A$5001,$A8,$H$2:$H$5001))</f>
        <v>9.6</v>
      </c>
      <c r="J8" s="47" t="n">
        <f aca="false">IF($A8="",0,IF(COUNTIF($A$2:A8,$A8)=1,1,0))</f>
        <v>0</v>
      </c>
      <c r="K8" s="47" t="n">
        <f aca="false">IF(J8=1,N(I8)+ROW()/10000000,0)</f>
        <v>0</v>
      </c>
      <c r="L8" s="47" t="str">
        <f aca="false">IF(AND(J8=1,N(I8)&gt;0),SUMIF($K$2:$K$5001,"&gt;="&amp;K8,$I$2:$I$5001)/MAX(1,SUM($H$2:$H$5001)),"")</f>
        <v/>
      </c>
      <c r="M8" s="47" t="n">
        <f aca="false">IF($A8="","",INDEX($L$2:$L$5001,MATCH($A8,$A$2:$A$5001,0)))</f>
        <v>0.999976886645104</v>
      </c>
      <c r="N8" s="48" t="str">
        <f aca="false">IF($A8="","",IF(N(M8)=0,"–",IF(M8&lt;=Start!$D$20,"A",IF(M8&lt;=Start!$D$21,"B","C"))))</f>
        <v>C</v>
      </c>
      <c r="O8" s="48" t="str">
        <f aca="false">IF($A8="","",IF(NOT(ISNUMBER(F8)),"Wert fehlt; ",IF(F8&lt;=0,"Wert ist 0; ",""))&amp;IF(NOT(ISNUMBER(E8)),"Bestand fehlt; ",IF(E8&lt;0,"Bestand negativ; ",IF(E8=0,"Nullbestand; ","")))&amp;IF(D8="","Warengruppe fehlt; ","")&amp;IF(B8="","Bezeichnung fehlt; ","")&amp;IF(COUNTIFS($A$2:$A$5001,$A8,$C$2:$C$5001,C8)&gt;1,"Artikel doppelt im selben Lager; ",""))</f>
        <v/>
      </c>
      <c r="P8" s="47" t="n">
        <f aca="false">IF(OR($A8="",D8=""),0,IF(COUNTIF($D$2:D8,D8)=1,SUMIF($D$2:$D$5001,D8,$H$2:$H$5001)+ROW()/10000000,0))</f>
        <v>0</v>
      </c>
      <c r="Q8" s="47" t="n">
        <f aca="false">IF(OR($A8="",C8=""),0,IF(COUNTIF($C$2:C8,C8)=1,SUMIF($C$2:$C$5001,C8,$H$2:$H$5001)+ROW()/10000000,0))</f>
        <v>21741.9000008</v>
      </c>
    </row>
    <row r="9" customFormat="false" ht="15" hidden="false" customHeight="false" outlineLevel="0" collapsed="false">
      <c r="A9" s="43" t="s">
        <v>82</v>
      </c>
      <c r="B9" s="44" t="s">
        <v>83</v>
      </c>
      <c r="C9" s="44" t="s">
        <v>67</v>
      </c>
      <c r="D9" s="44" t="s">
        <v>80</v>
      </c>
      <c r="E9" s="44" t="n">
        <v>40</v>
      </c>
      <c r="F9" s="45" t="n">
        <v>14.9</v>
      </c>
      <c r="G9" s="44" t="s">
        <v>69</v>
      </c>
      <c r="H9" s="46" t="n">
        <f aca="false">IF($A9="","",IF(OR(NOT(ISNUMBER(E9)),NOT(ISNUMBER(F9))),"",MAX(0,E9)*F9))</f>
        <v>596</v>
      </c>
      <c r="I9" s="46" t="n">
        <f aca="false">IF($A9="","",SUMIF($A$2:$A$5001,$A9,$H$2:$H$5001))</f>
        <v>789.7</v>
      </c>
      <c r="J9" s="47" t="n">
        <f aca="false">IF($A9="",0,IF(COUNTIF($A$2:A9,$A9)=1,1,0))</f>
        <v>1</v>
      </c>
      <c r="K9" s="47" t="n">
        <f aca="false">IF(J9=1,N(I9)+ROW()/10000000,0)</f>
        <v>789.7000009</v>
      </c>
      <c r="L9" s="47" t="n">
        <f aca="false">IF(AND(J9=1,N(I9)&gt;0),SUMIF($K$2:$K$5001,"&gt;="&amp;K9,$I$2:$I$5001)/MAX(1,SUM($H$2:$H$5001)),"")</f>
        <v>0.983506169864948</v>
      </c>
      <c r="M9" s="47" t="n">
        <f aca="false">IF($A9="","",INDEX($L$2:$L$5001,MATCH($A9,$A$2:$A$5001,0)))</f>
        <v>0.983506169864948</v>
      </c>
      <c r="N9" s="48" t="str">
        <f aca="false">IF($A9="","",IF(N(M9)=0,"–",IF(M9&lt;=Start!$D$20,"A",IF(M9&lt;=Start!$D$21,"B","C"))))</f>
        <v>C</v>
      </c>
      <c r="O9" s="48" t="str">
        <f aca="false">IF($A9="","",IF(NOT(ISNUMBER(F9)),"Wert fehlt; ",IF(F9&lt;=0,"Wert ist 0; ",""))&amp;IF(NOT(ISNUMBER(E9)),"Bestand fehlt; ",IF(E9&lt;0,"Bestand negativ; ",IF(E9=0,"Nullbestand; ","")))&amp;IF(D9="","Warengruppe fehlt; ","")&amp;IF(B9="","Bezeichnung fehlt; ","")&amp;IF(COUNTIFS($A$2:$A$5001,$A9,$C$2:$C$5001,C9)&gt;1,"Artikel doppelt im selben Lager; ",""))</f>
        <v/>
      </c>
      <c r="P9" s="47" t="n">
        <f aca="false">IF(OR($A9="",D9=""),0,IF(COUNTIF($D$2:D9,D9)=1,SUMIF($D$2:$D$5001,D9,$H$2:$H$5001)+ROW()/10000000,0))</f>
        <v>0</v>
      </c>
      <c r="Q9" s="47" t="n">
        <f aca="false">IF(OR($A9="",C9=""),0,IF(COUNTIF($C$2:C9,C9)=1,SUMIF($C$2:$C$5001,C9,$H$2:$H$5001)+ROW()/10000000,0))</f>
        <v>0</v>
      </c>
    </row>
    <row r="10" customFormat="false" ht="15" hidden="false" customHeight="false" outlineLevel="0" collapsed="false">
      <c r="A10" s="43" t="s">
        <v>82</v>
      </c>
      <c r="B10" s="44" t="s">
        <v>83</v>
      </c>
      <c r="C10" s="44" t="s">
        <v>81</v>
      </c>
      <c r="D10" s="44" t="s">
        <v>80</v>
      </c>
      <c r="E10" s="44" t="n">
        <v>13</v>
      </c>
      <c r="F10" s="45" t="n">
        <v>14.9</v>
      </c>
      <c r="G10" s="44" t="s">
        <v>69</v>
      </c>
      <c r="H10" s="46" t="n">
        <f aca="false">IF($A10="","",IF(OR(NOT(ISNUMBER(E10)),NOT(ISNUMBER(F10))),"",MAX(0,E10)*F10))</f>
        <v>193.7</v>
      </c>
      <c r="I10" s="46" t="n">
        <f aca="false">IF($A10="","",SUMIF($A$2:$A$5001,$A10,$H$2:$H$5001))</f>
        <v>789.7</v>
      </c>
      <c r="J10" s="47" t="n">
        <f aca="false">IF($A10="",0,IF(COUNTIF($A$2:A10,$A10)=1,1,0))</f>
        <v>0</v>
      </c>
      <c r="K10" s="47" t="n">
        <f aca="false">IF(J10=1,N(I10)+ROW()/10000000,0)</f>
        <v>0</v>
      </c>
      <c r="L10" s="47" t="str">
        <f aca="false">IF(AND(J10=1,N(I10)&gt;0),SUMIF($K$2:$K$5001,"&gt;="&amp;K10,$I$2:$I$5001)/MAX(1,SUM($H$2:$H$5001)),"")</f>
        <v/>
      </c>
      <c r="M10" s="47" t="n">
        <f aca="false">IF($A10="","",INDEX($L$2:$L$5001,MATCH($A10,$A$2:$A$5001,0)))</f>
        <v>0.983506169864948</v>
      </c>
      <c r="N10" s="48" t="str">
        <f aca="false">IF($A10="","",IF(N(M10)=0,"–",IF(M10&lt;=Start!$D$20,"A",IF(M10&lt;=Start!$D$21,"B","C"))))</f>
        <v>C</v>
      </c>
      <c r="O10" s="48" t="str">
        <f aca="false">IF($A10="","",IF(NOT(ISNUMBER(F10)),"Wert fehlt; ",IF(F10&lt;=0,"Wert ist 0; ",""))&amp;IF(NOT(ISNUMBER(E10)),"Bestand fehlt; ",IF(E10&lt;0,"Bestand negativ; ",IF(E10=0,"Nullbestand; ","")))&amp;IF(D10="","Warengruppe fehlt; ","")&amp;IF(B10="","Bezeichnung fehlt; ","")&amp;IF(COUNTIFS($A$2:$A$5001,$A10,$C$2:$C$5001,C10)&gt;1,"Artikel doppelt im selben Lager; ",""))</f>
        <v/>
      </c>
      <c r="P10" s="47" t="n">
        <f aca="false">IF(OR($A10="",D10=""),0,IF(COUNTIF($D$2:D10,D10)=1,SUMIF($D$2:$D$5001,D10,$H$2:$H$5001)+ROW()/10000000,0))</f>
        <v>0</v>
      </c>
      <c r="Q10" s="47" t="n">
        <f aca="false">IF(OR($A10="",C10=""),0,IF(COUNTIF($C$2:C10,C10)=1,SUMIF($C$2:$C$5001,C10,$H$2:$H$5001)+ROW()/10000000,0))</f>
        <v>0</v>
      </c>
    </row>
    <row r="11" customFormat="false" ht="15" hidden="false" customHeight="false" outlineLevel="0" collapsed="false">
      <c r="A11" s="43" t="s">
        <v>84</v>
      </c>
      <c r="B11" s="44" t="s">
        <v>85</v>
      </c>
      <c r="C11" s="44" t="s">
        <v>67</v>
      </c>
      <c r="D11" s="44" t="s">
        <v>80</v>
      </c>
      <c r="E11" s="44" t="n">
        <v>600</v>
      </c>
      <c r="F11" s="45" t="n">
        <v>3.8</v>
      </c>
      <c r="G11" s="44" t="s">
        <v>69</v>
      </c>
      <c r="H11" s="46" t="n">
        <f aca="false">IF($A11="","",IF(OR(NOT(ISNUMBER(E11)),NOT(ISNUMBER(F11))),"",MAX(0,E11)*F11))</f>
        <v>2280</v>
      </c>
      <c r="I11" s="46" t="n">
        <f aca="false">IF($A11="","",SUMIF($A$2:$A$5001,$A11,$H$2:$H$5001))</f>
        <v>2280</v>
      </c>
      <c r="J11" s="47" t="n">
        <f aca="false">IF($A11="",0,IF(COUNTIF($A$2:A11,$A11)=1,1,0))</f>
        <v>1</v>
      </c>
      <c r="K11" s="47" t="n">
        <f aca="false">IF(J11=1,N(I11)+ROW()/10000000,0)</f>
        <v>2280.0000011</v>
      </c>
      <c r="L11" s="47" t="n">
        <f aca="false">IF(AND(J11=1,N(I11)&gt;0),SUMIF($K$2:$K$5001,"&gt;="&amp;K11,$I$2:$I$5001)/MAX(1,SUM($H$2:$H$5001)),"")</f>
        <v>0.937421642224878</v>
      </c>
      <c r="M11" s="47" t="n">
        <f aca="false">IF($A11="","",INDEX($L$2:$L$5001,MATCH($A11,$A$2:$A$5001,0)))</f>
        <v>0.937421642224878</v>
      </c>
      <c r="N11" s="48" t="str">
        <f aca="false">IF($A11="","",IF(N(M11)=0,"–",IF(M11&lt;=Start!$D$20,"A",IF(M11&lt;=Start!$D$21,"B","C"))))</f>
        <v>B</v>
      </c>
      <c r="O11" s="48" t="str">
        <f aca="false">IF($A11="","",IF(NOT(ISNUMBER(F11)),"Wert fehlt; ",IF(F11&lt;=0,"Wert ist 0; ",""))&amp;IF(NOT(ISNUMBER(E11)),"Bestand fehlt; ",IF(E11&lt;0,"Bestand negativ; ",IF(E11=0,"Nullbestand; ","")))&amp;IF(D11="","Warengruppe fehlt; ","")&amp;IF(B11="","Bezeichnung fehlt; ","")&amp;IF(COUNTIFS($A$2:$A$5001,$A11,$C$2:$C$5001,C11)&gt;1,"Artikel doppelt im selben Lager; ",""))</f>
        <v/>
      </c>
      <c r="P11" s="47" t="n">
        <f aca="false">IF(OR($A11="",D11=""),0,IF(COUNTIF($D$2:D11,D11)=1,SUMIF($D$2:$D$5001,D11,$H$2:$H$5001)+ROW()/10000000,0))</f>
        <v>0</v>
      </c>
      <c r="Q11" s="47" t="n">
        <f aca="false">IF(OR($A11="",C11=""),0,IF(COUNTIF($C$2:C11,C11)=1,SUMIF($C$2:$C$5001,C11,$H$2:$H$5001)+ROW()/10000000,0))</f>
        <v>0</v>
      </c>
    </row>
    <row r="12" customFormat="false" ht="15" hidden="false" customHeight="false" outlineLevel="0" collapsed="false">
      <c r="A12" s="43" t="s">
        <v>86</v>
      </c>
      <c r="B12" s="44" t="s">
        <v>87</v>
      </c>
      <c r="C12" s="44" t="s">
        <v>67</v>
      </c>
      <c r="D12" s="44" t="s">
        <v>80</v>
      </c>
      <c r="E12" s="44" t="n">
        <v>3</v>
      </c>
      <c r="F12" s="45" t="n">
        <v>1.1</v>
      </c>
      <c r="G12" s="44" t="s">
        <v>69</v>
      </c>
      <c r="H12" s="46" t="n">
        <f aca="false">IF($A12="","",IF(OR(NOT(ISNUMBER(E12)),NOT(ISNUMBER(F12))),"",MAX(0,E12)*F12))</f>
        <v>3.3</v>
      </c>
      <c r="I12" s="46" t="n">
        <f aca="false">IF($A12="","",SUMIF($A$2:$A$5001,$A12,$H$2:$H$5001))</f>
        <v>3.3</v>
      </c>
      <c r="J12" s="47" t="n">
        <f aca="false">IF($A12="",0,IF(COUNTIF($A$2:A12,$A12)=1,1,0))</f>
        <v>1</v>
      </c>
      <c r="K12" s="47" t="n">
        <f aca="false">IF(J12=1,N(I12)+ROW()/10000000,0)</f>
        <v>3.3000012</v>
      </c>
      <c r="L12" s="47" t="n">
        <f aca="false">IF(AND(J12=1,N(I12)&gt;0),SUMIF($K$2:$K$5001,"&gt;="&amp;K12,$I$2:$I$5001)/MAX(1,SUM($H$2:$H$5001)),"")</f>
        <v>1</v>
      </c>
      <c r="M12" s="47" t="n">
        <f aca="false">IF($A12="","",INDEX($L$2:$L$5001,MATCH($A12,$A$2:$A$5001,0)))</f>
        <v>1</v>
      </c>
      <c r="N12" s="48" t="str">
        <f aca="false">IF($A12="","",IF(N(M12)=0,"–",IF(M12&lt;=Start!$D$20,"A",IF(M12&lt;=Start!$D$21,"B","C"))))</f>
        <v>C</v>
      </c>
      <c r="O12" s="48" t="str">
        <f aca="false">IF($A12="","",IF(NOT(ISNUMBER(F12)),"Wert fehlt; ",IF(F12&lt;=0,"Wert ist 0; ",""))&amp;IF(NOT(ISNUMBER(E12)),"Bestand fehlt; ",IF(E12&lt;0,"Bestand negativ; ",IF(E12=0,"Nullbestand; ","")))&amp;IF(D12="","Warengruppe fehlt; ","")&amp;IF(B12="","Bezeichnung fehlt; ","")&amp;IF(COUNTIFS($A$2:$A$5001,$A12,$C$2:$C$5001,C12)&gt;1,"Artikel doppelt im selben Lager; ",""))</f>
        <v/>
      </c>
      <c r="P12" s="47" t="n">
        <f aca="false">IF(OR($A12="",D12=""),0,IF(COUNTIF($D$2:D12,D12)=1,SUMIF($D$2:$D$5001,D12,$H$2:$H$5001)+ROW()/10000000,0))</f>
        <v>0</v>
      </c>
      <c r="Q12" s="47" t="n">
        <f aca="false">IF(OR($A12="",C12=""),0,IF(COUNTIF($C$2:C12,C12)=1,SUMIF($C$2:$C$5001,C12,$H$2:$H$5001)+ROW()/10000000,0))</f>
        <v>0</v>
      </c>
    </row>
    <row r="13" customFormat="false" ht="15" hidden="false" customHeight="false" outlineLevel="0" collapsed="false">
      <c r="A13" s="43" t="s">
        <v>88</v>
      </c>
      <c r="B13" s="44" t="s">
        <v>89</v>
      </c>
      <c r="C13" s="44" t="s">
        <v>67</v>
      </c>
      <c r="D13" s="44" t="s">
        <v>90</v>
      </c>
      <c r="E13" s="44" t="n">
        <v>-4</v>
      </c>
      <c r="F13" s="45" t="n">
        <v>1250</v>
      </c>
      <c r="G13" s="44" t="s">
        <v>69</v>
      </c>
      <c r="H13" s="46" t="n">
        <f aca="false">IF($A13="","",IF(OR(NOT(ISNUMBER(E13)),NOT(ISNUMBER(F13))),"",MAX(0,E13)*F13))</f>
        <v>0</v>
      </c>
      <c r="I13" s="46" t="n">
        <f aca="false">IF($A13="","",SUMIF($A$2:$A$5001,$A13,$H$2:$H$5001))</f>
        <v>0</v>
      </c>
      <c r="J13" s="47" t="n">
        <f aca="false">IF($A13="",0,IF(COUNTIF($A$2:A13,$A13)=1,1,0))</f>
        <v>1</v>
      </c>
      <c r="K13" s="47" t="n">
        <f aca="false">IF(J13=1,N(I13)+ROW()/10000000,0)</f>
        <v>1.3E-006</v>
      </c>
      <c r="L13" s="47" t="str">
        <f aca="false">IF(AND(J13=1,N(I13)&gt;0),SUMIF($K$2:$K$5001,"&gt;="&amp;K13,$I$2:$I$5001)/MAX(1,SUM($H$2:$H$5001)),"")</f>
        <v/>
      </c>
      <c r="M13" s="47" t="str">
        <f aca="false">IF($A13="","",INDEX($L$2:$L$5001,MATCH($A13,$A$2:$A$5001,0)))</f>
        <v/>
      </c>
      <c r="N13" s="48" t="str">
        <f aca="false">IF($A13="","",IF(N(M13)=0,"–",IF(M13&lt;=Start!$D$20,"A",IF(M13&lt;=Start!$D$21,"B","C"))))</f>
        <v>–</v>
      </c>
      <c r="O13" s="48" t="str">
        <f aca="false">IF($A13="","",IF(NOT(ISNUMBER(F13)),"Wert fehlt; ",IF(F13&lt;=0,"Wert ist 0; ",""))&amp;IF(NOT(ISNUMBER(E13)),"Bestand fehlt; ",IF(E13&lt;0,"Bestand negativ; ",IF(E13=0,"Nullbestand; ","")))&amp;IF(D13="","Warengruppe fehlt; ","")&amp;IF(B13="","Bezeichnung fehlt; ","")&amp;IF(COUNTIFS($A$2:$A$5001,$A13,$C$2:$C$5001,C13)&gt;1,"Artikel doppelt im selben Lager; ",""))</f>
        <v>Bestand negativ; </v>
      </c>
      <c r="P13" s="47" t="n">
        <f aca="false">IF(OR($A13="",D13=""),0,IF(COUNTIF($D$2:D13,D13)=1,SUMIF($D$2:$D$5001,D13,$H$2:$H$5001)+ROW()/10000000,0))</f>
        <v>10890.0000013</v>
      </c>
      <c r="Q13" s="47" t="n">
        <f aca="false">IF(OR($A13="",C13=""),0,IF(COUNTIF($C$2:C13,C13)=1,SUMIF($C$2:$C$5001,C13,$H$2:$H$5001)+ROW()/10000000,0))</f>
        <v>0</v>
      </c>
    </row>
    <row r="14" customFormat="false" ht="15" hidden="false" customHeight="false" outlineLevel="0" collapsed="false">
      <c r="A14" s="43" t="s">
        <v>91</v>
      </c>
      <c r="B14" s="44" t="s">
        <v>92</v>
      </c>
      <c r="C14" s="44" t="s">
        <v>67</v>
      </c>
      <c r="D14" s="44" t="s">
        <v>90</v>
      </c>
      <c r="E14" s="44" t="n">
        <v>15</v>
      </c>
      <c r="F14" s="45" t="n">
        <v>420</v>
      </c>
      <c r="G14" s="44" t="s">
        <v>69</v>
      </c>
      <c r="H14" s="46" t="n">
        <f aca="false">IF($A14="","",IF(OR(NOT(ISNUMBER(E14)),NOT(ISNUMBER(F14))),"",MAX(0,E14)*F14))</f>
        <v>6300</v>
      </c>
      <c r="I14" s="46" t="n">
        <f aca="false">IF($A14="","",SUMIF($A$2:$A$5001,$A14,$H$2:$H$5001))</f>
        <v>6300</v>
      </c>
      <c r="J14" s="47" t="n">
        <f aca="false">IF($A14="",0,IF(COUNTIF($A$2:A14,$A14)=1,1,0))</f>
        <v>1</v>
      </c>
      <c r="K14" s="47" t="n">
        <f aca="false">IF(J14=1,N(I14)+ROW()/10000000,0)</f>
        <v>6300.0000014</v>
      </c>
      <c r="L14" s="47" t="n">
        <f aca="false">IF(AND(J14=1,N(I14)&gt;0),SUMIF($K$2:$K$5001,"&gt;="&amp;K14,$I$2:$I$5001)/MAX(1,SUM($H$2:$H$5001)),"")</f>
        <v>0.838979762506777</v>
      </c>
      <c r="M14" s="47" t="n">
        <f aca="false">IF($A14="","",INDEX($L$2:$L$5001,MATCH($A14,$A$2:$A$5001,0)))</f>
        <v>0.838979762506777</v>
      </c>
      <c r="N14" s="48" t="str">
        <f aca="false">IF($A14="","",IF(N(M14)=0,"–",IF(M14&lt;=Start!$D$20,"A",IF(M14&lt;=Start!$D$21,"B","C"))))</f>
        <v>B</v>
      </c>
      <c r="O14" s="48" t="str">
        <f aca="false">IF($A14="","",IF(NOT(ISNUMBER(F14)),"Wert fehlt; ",IF(F14&lt;=0,"Wert ist 0; ",""))&amp;IF(NOT(ISNUMBER(E14)),"Bestand fehlt; ",IF(E14&lt;0,"Bestand negativ; ",IF(E14=0,"Nullbestand; ","")))&amp;IF(D14="","Warengruppe fehlt; ","")&amp;IF(B14="","Bezeichnung fehlt; ","")&amp;IF(COUNTIFS($A$2:$A$5001,$A14,$C$2:$C$5001,C14)&gt;1,"Artikel doppelt im selben Lager; ",""))</f>
        <v/>
      </c>
      <c r="P14" s="47" t="n">
        <f aca="false">IF(OR($A14="",D14=""),0,IF(COUNTIF($D$2:D14,D14)=1,SUMIF($D$2:$D$5001,D14,$H$2:$H$5001)+ROW()/10000000,0))</f>
        <v>0</v>
      </c>
      <c r="Q14" s="47" t="n">
        <f aca="false">IF(OR($A14="",C14=""),0,IF(COUNTIF($C$2:C14,C14)=1,SUMIF($C$2:$C$5001,C14,$H$2:$H$5001)+ROW()/10000000,0))</f>
        <v>0</v>
      </c>
    </row>
    <row r="15" customFormat="false" ht="15" hidden="false" customHeight="false" outlineLevel="0" collapsed="false">
      <c r="A15" s="43" t="s">
        <v>93</v>
      </c>
      <c r="B15" s="44" t="s">
        <v>94</v>
      </c>
      <c r="C15" s="44" t="s">
        <v>67</v>
      </c>
      <c r="D15" s="44" t="s">
        <v>90</v>
      </c>
      <c r="E15" s="44" t="n">
        <v>15</v>
      </c>
      <c r="F15" s="45" t="n">
        <v>185</v>
      </c>
      <c r="G15" s="44" t="s">
        <v>69</v>
      </c>
      <c r="H15" s="46" t="n">
        <f aca="false">IF($A15="","",IF(OR(NOT(ISNUMBER(E15)),NOT(ISNUMBER(F15))),"",MAX(0,E15)*F15))</f>
        <v>2775</v>
      </c>
      <c r="I15" s="46" t="n">
        <f aca="false">IF($A15="","",SUMIF($A$2:$A$5001,$A15,$H$2:$H$5001))</f>
        <v>3700</v>
      </c>
      <c r="J15" s="47" t="n">
        <f aca="false">IF($A15="",0,IF(COUNTIF($A$2:A15,$A15)=1,1,0))</f>
        <v>1</v>
      </c>
      <c r="K15" s="47" t="n">
        <f aca="false">IF(J15=1,N(I15)+ROW()/10000000,0)</f>
        <v>3700.0000015</v>
      </c>
      <c r="L15" s="47" t="n">
        <f aca="false">IF(AND(J15=1,N(I15)&gt;0),SUMIF($K$2:$K$5001,"&gt;="&amp;K15,$I$2:$I$5001)/MAX(1,SUM($H$2:$H$5001)),"")</f>
        <v>0.899739869696711</v>
      </c>
      <c r="M15" s="47" t="n">
        <f aca="false">IF($A15="","",INDEX($L$2:$L$5001,MATCH($A15,$A$2:$A$5001,0)))</f>
        <v>0.899739869696711</v>
      </c>
      <c r="N15" s="48" t="str">
        <f aca="false">IF($A15="","",IF(N(M15)=0,"–",IF(M15&lt;=Start!$D$20,"A",IF(M15&lt;=Start!$D$21,"B","C"))))</f>
        <v>B</v>
      </c>
      <c r="O15" s="48" t="str">
        <f aca="false">IF($A15="","",IF(NOT(ISNUMBER(F15)),"Wert fehlt; ",IF(F15&lt;=0,"Wert ist 0; ",""))&amp;IF(NOT(ISNUMBER(E15)),"Bestand fehlt; ",IF(E15&lt;0,"Bestand negativ; ",IF(E15=0,"Nullbestand; ","")))&amp;IF(D15="","Warengruppe fehlt; ","")&amp;IF(B15="","Bezeichnung fehlt; ","")&amp;IF(COUNTIFS($A$2:$A$5001,$A15,$C$2:$C$5001,C15)&gt;1,"Artikel doppelt im selben Lager; ",""))</f>
        <v/>
      </c>
      <c r="P15" s="47" t="n">
        <f aca="false">IF(OR($A15="",D15=""),0,IF(COUNTIF($D$2:D15,D15)=1,SUMIF($D$2:$D$5001,D15,$H$2:$H$5001)+ROW()/10000000,0))</f>
        <v>0</v>
      </c>
      <c r="Q15" s="47" t="n">
        <f aca="false">IF(OR($A15="",C15=""),0,IF(COUNTIF($C$2:C15,C15)=1,SUMIF($C$2:$C$5001,C15,$H$2:$H$5001)+ROW()/10000000,0))</f>
        <v>0</v>
      </c>
    </row>
    <row r="16" customFormat="false" ht="15" hidden="false" customHeight="false" outlineLevel="0" collapsed="false">
      <c r="A16" s="43" t="s">
        <v>93</v>
      </c>
      <c r="B16" s="44" t="s">
        <v>94</v>
      </c>
      <c r="C16" s="44" t="s">
        <v>81</v>
      </c>
      <c r="D16" s="44" t="s">
        <v>90</v>
      </c>
      <c r="E16" s="44" t="n">
        <v>5</v>
      </c>
      <c r="F16" s="45" t="n">
        <v>185</v>
      </c>
      <c r="G16" s="44" t="s">
        <v>69</v>
      </c>
      <c r="H16" s="46" t="n">
        <f aca="false">IF($A16="","",IF(OR(NOT(ISNUMBER(E16)),NOT(ISNUMBER(F16))),"",MAX(0,E16)*F16))</f>
        <v>925</v>
      </c>
      <c r="I16" s="46" t="n">
        <f aca="false">IF($A16="","",SUMIF($A$2:$A$5001,$A16,$H$2:$H$5001))</f>
        <v>3700</v>
      </c>
      <c r="J16" s="47" t="n">
        <f aca="false">IF($A16="",0,IF(COUNTIF($A$2:A16,$A16)=1,1,0))</f>
        <v>0</v>
      </c>
      <c r="K16" s="47" t="n">
        <f aca="false">IF(J16=1,N(I16)+ROW()/10000000,0)</f>
        <v>0</v>
      </c>
      <c r="L16" s="47" t="str">
        <f aca="false">IF(AND(J16=1,N(I16)&gt;0),SUMIF($K$2:$K$5001,"&gt;="&amp;K16,$I$2:$I$5001)/MAX(1,SUM($H$2:$H$5001)),"")</f>
        <v/>
      </c>
      <c r="M16" s="47" t="n">
        <f aca="false">IF($A16="","",INDEX($L$2:$L$5001,MATCH($A16,$A$2:$A$5001,0)))</f>
        <v>0.899739869696711</v>
      </c>
      <c r="N16" s="48" t="str">
        <f aca="false">IF($A16="","",IF(N(M16)=0,"–",IF(M16&lt;=Start!$D$20,"A",IF(M16&lt;=Start!$D$21,"B","C"))))</f>
        <v>B</v>
      </c>
      <c r="O16" s="48" t="str">
        <f aca="false">IF($A16="","",IF(NOT(ISNUMBER(F16)),"Wert fehlt; ",IF(F16&lt;=0,"Wert ist 0; ",""))&amp;IF(NOT(ISNUMBER(E16)),"Bestand fehlt; ",IF(E16&lt;0,"Bestand negativ; ",IF(E16=0,"Nullbestand; ","")))&amp;IF(D16="","Warengruppe fehlt; ","")&amp;IF(B16="","Bezeichnung fehlt; ","")&amp;IF(COUNTIFS($A$2:$A$5001,$A16,$C$2:$C$5001,C16)&gt;1,"Artikel doppelt im selben Lager; ",""))</f>
        <v/>
      </c>
      <c r="P16" s="47" t="n">
        <f aca="false">IF(OR($A16="",D16=""),0,IF(COUNTIF($D$2:D16,D16)=1,SUMIF($D$2:$D$5001,D16,$H$2:$H$5001)+ROW()/10000000,0))</f>
        <v>0</v>
      </c>
      <c r="Q16" s="47" t="n">
        <f aca="false">IF(OR($A16="",C16=""),0,IF(COUNTIF($C$2:C16,C16)=1,SUMIF($C$2:$C$5001,C16,$H$2:$H$5001)+ROW()/10000000,0))</f>
        <v>0</v>
      </c>
    </row>
    <row r="17" customFormat="false" ht="15" hidden="false" customHeight="false" outlineLevel="0" collapsed="false">
      <c r="A17" s="43" t="s">
        <v>95</v>
      </c>
      <c r="B17" s="44" t="s">
        <v>96</v>
      </c>
      <c r="C17" s="44" t="s">
        <v>67</v>
      </c>
      <c r="D17" s="44" t="s">
        <v>90</v>
      </c>
      <c r="E17" s="44" t="n">
        <v>1</v>
      </c>
      <c r="F17" s="45" t="n">
        <v>890</v>
      </c>
      <c r="G17" s="44" t="s">
        <v>69</v>
      </c>
      <c r="H17" s="46" t="n">
        <f aca="false">IF($A17="","",IF(OR(NOT(ISNUMBER(E17)),NOT(ISNUMBER(F17))),"",MAX(0,E17)*F17))</f>
        <v>890</v>
      </c>
      <c r="I17" s="46" t="n">
        <f aca="false">IF($A17="","",SUMIF($A$2:$A$5001,$A17,$H$2:$H$5001))</f>
        <v>890</v>
      </c>
      <c r="J17" s="47" t="n">
        <f aca="false">IF($A17="",0,IF(COUNTIF($A$2:A17,$A17)=1,1,0))</f>
        <v>1</v>
      </c>
      <c r="K17" s="47" t="n">
        <f aca="false">IF(J17=1,N(I17)+ROW()/10000000,0)</f>
        <v>890.0000017</v>
      </c>
      <c r="L17" s="47" t="n">
        <f aca="false">IF(AND(J17=1,N(I17)&gt;0),SUMIF($K$2:$K$5001,"&gt;="&amp;K17,$I$2:$I$5001)/MAX(1,SUM($H$2:$H$5001)),"")</f>
        <v>0.977975073997756</v>
      </c>
      <c r="M17" s="47" t="n">
        <f aca="false">IF($A17="","",INDEX($L$2:$L$5001,MATCH($A17,$A$2:$A$5001,0)))</f>
        <v>0.977975073997756</v>
      </c>
      <c r="N17" s="48" t="str">
        <f aca="false">IF($A17="","",IF(N(M17)=0,"–",IF(M17&lt;=Start!$D$20,"A",IF(M17&lt;=Start!$D$21,"B","C"))))</f>
        <v>C</v>
      </c>
      <c r="O17" s="48" t="str">
        <f aca="false">IF($A17="","",IF(NOT(ISNUMBER(F17)),"Wert fehlt; ",IF(F17&lt;=0,"Wert ist 0; ",""))&amp;IF(NOT(ISNUMBER(E17)),"Bestand fehlt; ",IF(E17&lt;0,"Bestand negativ; ",IF(E17=0,"Nullbestand; ","")))&amp;IF(D17="","Warengruppe fehlt; ","")&amp;IF(B17="","Bezeichnung fehlt; ","")&amp;IF(COUNTIFS($A$2:$A$5001,$A17,$C$2:$C$5001,C17)&gt;1,"Artikel doppelt im selben Lager; ",""))</f>
        <v/>
      </c>
      <c r="P17" s="47" t="n">
        <f aca="false">IF(OR($A17="",D17=""),0,IF(COUNTIF($D$2:D17,D17)=1,SUMIF($D$2:$D$5001,D17,$H$2:$H$5001)+ROW()/10000000,0))</f>
        <v>0</v>
      </c>
      <c r="Q17" s="47" t="n">
        <f aca="false">IF(OR($A17="",C17=""),0,IF(COUNTIF($C$2:C17,C17)=1,SUMIF($C$2:$C$5001,C17,$H$2:$H$5001)+ROW()/10000000,0))</f>
        <v>0</v>
      </c>
    </row>
    <row r="18" customFormat="false" ht="15" hidden="false" customHeight="false" outlineLevel="0" collapsed="false">
      <c r="A18" s="43" t="s">
        <v>97</v>
      </c>
      <c r="B18" s="44" t="s">
        <v>98</v>
      </c>
      <c r="C18" s="44" t="s">
        <v>67</v>
      </c>
      <c r="D18" s="44" t="s">
        <v>99</v>
      </c>
      <c r="E18" s="44" t="n">
        <v>8</v>
      </c>
      <c r="F18" s="45" t="n">
        <v>6.8</v>
      </c>
      <c r="G18" s="44" t="s">
        <v>69</v>
      </c>
      <c r="H18" s="46" t="n">
        <f aca="false">IF($A18="","",IF(OR(NOT(ISNUMBER(E18)),NOT(ISNUMBER(F18))),"",MAX(0,E18)*F18))</f>
        <v>54.4</v>
      </c>
      <c r="I18" s="46" t="n">
        <f aca="false">IF($A18="","",SUMIF($A$2:$A$5001,$A18,$H$2:$H$5001))</f>
        <v>68</v>
      </c>
      <c r="J18" s="47" t="n">
        <f aca="false">IF($A18="",0,IF(COUNTIF($A$2:A18,$A18)=1,1,0))</f>
        <v>1</v>
      </c>
      <c r="K18" s="47" t="n">
        <f aca="false">IF(J18=1,N(I18)+ROW()/10000000,0)</f>
        <v>68.0000018</v>
      </c>
      <c r="L18" s="47" t="n">
        <f aca="false">IF(AND(J18=1,N(I18)&gt;0),SUMIF($K$2:$K$5001,"&gt;="&amp;K18,$I$2:$I$5001)/MAX(1,SUM($H$2:$H$5001)),"")</f>
        <v>0.999567850303906</v>
      </c>
      <c r="M18" s="47" t="n">
        <f aca="false">IF($A18="","",INDEX($L$2:$L$5001,MATCH($A18,$A$2:$A$5001,0)))</f>
        <v>0.999567850303906</v>
      </c>
      <c r="N18" s="48" t="str">
        <f aca="false">IF($A18="","",IF(N(M18)=0,"–",IF(M18&lt;=Start!$D$20,"A",IF(M18&lt;=Start!$D$21,"B","C"))))</f>
        <v>C</v>
      </c>
      <c r="O18" s="48" t="str">
        <f aca="false">IF($A18="","",IF(NOT(ISNUMBER(F18)),"Wert fehlt; ",IF(F18&lt;=0,"Wert ist 0; ",""))&amp;IF(NOT(ISNUMBER(E18)),"Bestand fehlt; ",IF(E18&lt;0,"Bestand negativ; ",IF(E18=0,"Nullbestand; ","")))&amp;IF(D18="","Warengruppe fehlt; ","")&amp;IF(B18="","Bezeichnung fehlt; ","")&amp;IF(COUNTIFS($A$2:$A$5001,$A18,$C$2:$C$5001,C18)&gt;1,"Artikel doppelt im selben Lager; ",""))</f>
        <v/>
      </c>
      <c r="P18" s="47" t="n">
        <f aca="false">IF(OR($A18="",D18=""),0,IF(COUNTIF($D$2:D18,D18)=1,SUMIF($D$2:$D$5001,D18,$H$2:$H$5001)+ROW()/10000000,0))</f>
        <v>61592.4000018</v>
      </c>
      <c r="Q18" s="47" t="n">
        <f aca="false">IF(OR($A18="",C18=""),0,IF(COUNTIF($C$2:C18,C18)=1,SUMIF($C$2:$C$5001,C18,$H$2:$H$5001)+ROW()/10000000,0))</f>
        <v>0</v>
      </c>
    </row>
    <row r="19" customFormat="false" ht="15" hidden="false" customHeight="false" outlineLevel="0" collapsed="false">
      <c r="A19" s="43" t="s">
        <v>97</v>
      </c>
      <c r="B19" s="44" t="s">
        <v>98</v>
      </c>
      <c r="C19" s="44" t="s">
        <v>81</v>
      </c>
      <c r="D19" s="44"/>
      <c r="E19" s="44" t="n">
        <v>2</v>
      </c>
      <c r="F19" s="45" t="n">
        <v>6.8</v>
      </c>
      <c r="G19" s="44" t="s">
        <v>69</v>
      </c>
      <c r="H19" s="46" t="n">
        <f aca="false">IF($A19="","",IF(OR(NOT(ISNUMBER(E19)),NOT(ISNUMBER(F19))),"",MAX(0,E19)*F19))</f>
        <v>13.6</v>
      </c>
      <c r="I19" s="46" t="n">
        <f aca="false">IF($A19="","",SUMIF($A$2:$A$5001,$A19,$H$2:$H$5001))</f>
        <v>68</v>
      </c>
      <c r="J19" s="47" t="n">
        <f aca="false">IF($A19="",0,IF(COUNTIF($A$2:A19,$A19)=1,1,0))</f>
        <v>0</v>
      </c>
      <c r="K19" s="47" t="n">
        <f aca="false">IF(J19=1,N(I19)+ROW()/10000000,0)</f>
        <v>0</v>
      </c>
      <c r="L19" s="47" t="str">
        <f aca="false">IF(AND(J19=1,N(I19)&gt;0),SUMIF($K$2:$K$5001,"&gt;="&amp;K19,$I$2:$I$5001)/MAX(1,SUM($H$2:$H$5001)),"")</f>
        <v/>
      </c>
      <c r="M19" s="47" t="n">
        <f aca="false">IF($A19="","",INDEX($L$2:$L$5001,MATCH($A19,$A$2:$A$5001,0)))</f>
        <v>0.999567850303906</v>
      </c>
      <c r="N19" s="48" t="str">
        <f aca="false">IF($A19="","",IF(N(M19)=0,"–",IF(M19&lt;=Start!$D$20,"A",IF(M19&lt;=Start!$D$21,"B","C"))))</f>
        <v>C</v>
      </c>
      <c r="O19" s="48" t="str">
        <f aca="false">IF($A19="","",IF(NOT(ISNUMBER(F19)),"Wert fehlt; ",IF(F19&lt;=0,"Wert ist 0; ",""))&amp;IF(NOT(ISNUMBER(E19)),"Bestand fehlt; ",IF(E19&lt;0,"Bestand negativ; ",IF(E19=0,"Nullbestand; ","")))&amp;IF(D19="","Warengruppe fehlt; ","")&amp;IF(B19="","Bezeichnung fehlt; ","")&amp;IF(COUNTIFS($A$2:$A$5001,$A19,$C$2:$C$5001,C19)&gt;1,"Artikel doppelt im selben Lager; ",""))</f>
        <v>Warengruppe fehlt; </v>
      </c>
      <c r="P19" s="47" t="n">
        <f aca="false">IF(OR($A19="",D19=""),0,IF(COUNTIF($D$2:D19,D19)=1,SUMIF($D$2:$D$5001,D19,$H$2:$H$5001)+ROW()/10000000,0))</f>
        <v>0</v>
      </c>
      <c r="Q19" s="47" t="n">
        <f aca="false">IF(OR($A19="",C19=""),0,IF(COUNTIF($C$2:C19,C19)=1,SUMIF($C$2:$C$5001,C19,$H$2:$H$5001)+ROW()/10000000,0))</f>
        <v>0</v>
      </c>
    </row>
    <row r="20" customFormat="false" ht="15" hidden="false" customHeight="false" outlineLevel="0" collapsed="false">
      <c r="A20" s="43" t="s">
        <v>100</v>
      </c>
      <c r="B20" s="44" t="s">
        <v>101</v>
      </c>
      <c r="C20" s="44" t="s">
        <v>67</v>
      </c>
      <c r="D20" s="44" t="s">
        <v>99</v>
      </c>
      <c r="E20" s="44" t="n">
        <v>2</v>
      </c>
      <c r="F20" s="45" t="n">
        <v>94</v>
      </c>
      <c r="G20" s="44" t="s">
        <v>69</v>
      </c>
      <c r="H20" s="46" t="n">
        <f aca="false">IF($A20="","",IF(OR(NOT(ISNUMBER(E20)),NOT(ISNUMBER(F20))),"",MAX(0,E20)*F20))</f>
        <v>188</v>
      </c>
      <c r="I20" s="46" t="n">
        <f aca="false">IF($A20="","",SUMIF($A$2:$A$5001,$A20,$H$2:$H$5001))</f>
        <v>188</v>
      </c>
      <c r="J20" s="47" t="n">
        <f aca="false">IF($A20="",0,IF(COUNTIF($A$2:A20,$A20)=1,1,0))</f>
        <v>1</v>
      </c>
      <c r="K20" s="47" t="n">
        <f aca="false">IF(J20=1,N(I20)+ROW()/10000000,0)</f>
        <v>188.000002</v>
      </c>
      <c r="L20" s="47" t="n">
        <f aca="false">IF(AND(J20=1,N(I20)&gt;0),SUMIF($K$2:$K$5001,"&gt;="&amp;K20,$I$2:$I$5001)/MAX(1,SUM($H$2:$H$5001)),"")</f>
        <v>0.997808433713</v>
      </c>
      <c r="M20" s="47" t="n">
        <f aca="false">IF($A20="","",INDEX($L$2:$L$5001,MATCH($A20,$A$2:$A$5001,0)))</f>
        <v>0.997808433713</v>
      </c>
      <c r="N20" s="48" t="str">
        <f aca="false">IF($A20="","",IF(N(M20)=0,"–",IF(M20&lt;=Start!$D$20,"A",IF(M20&lt;=Start!$D$21,"B","C"))))</f>
        <v>C</v>
      </c>
      <c r="O20" s="48" t="str">
        <f aca="false">IF($A20="","",IF(NOT(ISNUMBER(F20)),"Wert fehlt; ",IF(F20&lt;=0,"Wert ist 0; ",""))&amp;IF(NOT(ISNUMBER(E20)),"Bestand fehlt; ",IF(E20&lt;0,"Bestand negativ; ",IF(E20=0,"Nullbestand; ","")))&amp;IF(D20="","Warengruppe fehlt; ","")&amp;IF(B20="","Bezeichnung fehlt; ","")&amp;IF(COUNTIFS($A$2:$A$5001,$A20,$C$2:$C$5001,C20)&gt;1,"Artikel doppelt im selben Lager; ",""))</f>
        <v/>
      </c>
      <c r="P20" s="47" t="n">
        <f aca="false">IF(OR($A20="",D20=""),0,IF(COUNTIF($D$2:D20,D20)=1,SUMIF($D$2:$D$5001,D20,$H$2:$H$5001)+ROW()/10000000,0))</f>
        <v>0</v>
      </c>
      <c r="Q20" s="47" t="n">
        <f aca="false">IF(OR($A20="",C20=""),0,IF(COUNTIF($C$2:C20,C20)=1,SUMIF($C$2:$C$5001,C20,$H$2:$H$5001)+ROW()/10000000,0))</f>
        <v>0</v>
      </c>
    </row>
    <row r="21" customFormat="false" ht="15" hidden="false" customHeight="false" outlineLevel="0" collapsed="false">
      <c r="A21" s="43" t="s">
        <v>102</v>
      </c>
      <c r="B21" s="44" t="s">
        <v>103</v>
      </c>
      <c r="C21" s="44" t="s">
        <v>67</v>
      </c>
      <c r="D21" s="44" t="s">
        <v>99</v>
      </c>
      <c r="E21" s="44" t="n">
        <v>1200</v>
      </c>
      <c r="F21" s="45" t="n">
        <v>38</v>
      </c>
      <c r="G21" s="44" t="s">
        <v>69</v>
      </c>
      <c r="H21" s="46" t="n">
        <f aca="false">IF($A21="","",IF(OR(NOT(ISNUMBER(E21)),NOT(ISNUMBER(F21))),"",MAX(0,E21)*F21))</f>
        <v>45600</v>
      </c>
      <c r="I21" s="46" t="n">
        <f aca="false">IF($A21="","",SUMIF($A$2:$A$5001,$A21,$H$2:$H$5001))</f>
        <v>60800</v>
      </c>
      <c r="J21" s="47" t="n">
        <f aca="false">IF($A21="",0,IF(COUNTIF($A$2:A21,$A21)=1,1,0))</f>
        <v>1</v>
      </c>
      <c r="K21" s="47" t="n">
        <f aca="false">IF(J21=1,N(I21)+ROW()/10000000,0)</f>
        <v>60800.0000021</v>
      </c>
      <c r="L21" s="47" t="n">
        <f aca="false">IF(AND(J21=1,N(I21)&gt;0),SUMIF($K$2:$K$5001,"&gt;="&amp;K21,$I$2:$I$5001)/MAX(1,SUM($H$2:$H$5001)),"")</f>
        <v>0.425846053849915</v>
      </c>
      <c r="M21" s="47" t="n">
        <f aca="false">IF($A21="","",INDEX($L$2:$L$5001,MATCH($A21,$A$2:$A$5001,0)))</f>
        <v>0.425846053849915</v>
      </c>
      <c r="N21" s="48" t="str">
        <f aca="false">IF($A21="","",IF(N(M21)=0,"–",IF(M21&lt;=Start!$D$20,"A",IF(M21&lt;=Start!$D$21,"B","C"))))</f>
        <v>A</v>
      </c>
      <c r="O21" s="48" t="str">
        <f aca="false">IF($A21="","",IF(NOT(ISNUMBER(F21)),"Wert fehlt; ",IF(F21&lt;=0,"Wert ist 0; ",""))&amp;IF(NOT(ISNUMBER(E21)),"Bestand fehlt; ",IF(E21&lt;0,"Bestand negativ; ",IF(E21=0,"Nullbestand; ","")))&amp;IF(D21="","Warengruppe fehlt; ","")&amp;IF(B21="","Bezeichnung fehlt; ","")&amp;IF(COUNTIFS($A$2:$A$5001,$A21,$C$2:$C$5001,C21)&gt;1,"Artikel doppelt im selben Lager; ",""))</f>
        <v/>
      </c>
      <c r="P21" s="47" t="n">
        <f aca="false">IF(OR($A21="",D21=""),0,IF(COUNTIF($D$2:D21,D21)=1,SUMIF($D$2:$D$5001,D21,$H$2:$H$5001)+ROW()/10000000,0))</f>
        <v>0</v>
      </c>
      <c r="Q21" s="47" t="n">
        <f aca="false">IF(OR($A21="",C21=""),0,IF(COUNTIF($C$2:C21,C21)=1,SUMIF($C$2:$C$5001,C21,$H$2:$H$5001)+ROW()/10000000,0))</f>
        <v>0</v>
      </c>
    </row>
    <row r="22" customFormat="false" ht="15" hidden="false" customHeight="false" outlineLevel="0" collapsed="false">
      <c r="A22" s="43" t="s">
        <v>102</v>
      </c>
      <c r="B22" s="44" t="s">
        <v>103</v>
      </c>
      <c r="C22" s="44" t="s">
        <v>81</v>
      </c>
      <c r="D22" s="44" t="s">
        <v>99</v>
      </c>
      <c r="E22" s="44" t="n">
        <v>400</v>
      </c>
      <c r="F22" s="45" t="n">
        <v>38</v>
      </c>
      <c r="G22" s="44" t="s">
        <v>69</v>
      </c>
      <c r="H22" s="46" t="n">
        <f aca="false">IF($A22="","",IF(OR(NOT(ISNUMBER(E22)),NOT(ISNUMBER(F22))),"",MAX(0,E22)*F22))</f>
        <v>15200</v>
      </c>
      <c r="I22" s="46" t="n">
        <f aca="false">IF($A22="","",SUMIF($A$2:$A$5001,$A22,$H$2:$H$5001))</f>
        <v>60800</v>
      </c>
      <c r="J22" s="47" t="n">
        <f aca="false">IF($A22="",0,IF(COUNTIF($A$2:A22,$A22)=1,1,0))</f>
        <v>0</v>
      </c>
      <c r="K22" s="47" t="n">
        <f aca="false">IF(J22=1,N(I22)+ROW()/10000000,0)</f>
        <v>0</v>
      </c>
      <c r="L22" s="47" t="str">
        <f aca="false">IF(AND(J22=1,N(I22)&gt;0),SUMIF($K$2:$K$5001,"&gt;="&amp;K22,$I$2:$I$5001)/MAX(1,SUM($H$2:$H$5001)),"")</f>
        <v/>
      </c>
      <c r="M22" s="47" t="n">
        <f aca="false">IF($A22="","",INDEX($L$2:$L$5001,MATCH($A22,$A$2:$A$5001,0)))</f>
        <v>0.425846053849915</v>
      </c>
      <c r="N22" s="48" t="str">
        <f aca="false">IF($A22="","",IF(N(M22)=0,"–",IF(M22&lt;=Start!$D$20,"A",IF(M22&lt;=Start!$D$21,"B","C"))))</f>
        <v>A</v>
      </c>
      <c r="O22" s="48" t="str">
        <f aca="false">IF($A22="","",IF(NOT(ISNUMBER(F22)),"Wert fehlt; ",IF(F22&lt;=0,"Wert ist 0; ",""))&amp;IF(NOT(ISNUMBER(E22)),"Bestand fehlt; ",IF(E22&lt;0,"Bestand negativ; ",IF(E22=0,"Nullbestand; ","")))&amp;IF(D22="","Warengruppe fehlt; ","")&amp;IF(B22="","Bezeichnung fehlt; ","")&amp;IF(COUNTIFS($A$2:$A$5001,$A22,$C$2:$C$5001,C22)&gt;1,"Artikel doppelt im selben Lager; ",""))</f>
        <v/>
      </c>
      <c r="P22" s="47" t="n">
        <f aca="false">IF(OR($A22="",D22=""),0,IF(COUNTIF($D$2:D22,D22)=1,SUMIF($D$2:$D$5001,D22,$H$2:$H$5001)+ROW()/10000000,0))</f>
        <v>0</v>
      </c>
      <c r="Q22" s="47" t="n">
        <f aca="false">IF(OR($A22="",C22=""),0,IF(COUNTIF($C$2:C22,C22)=1,SUMIF($C$2:$C$5001,C22,$H$2:$H$5001)+ROW()/10000000,0))</f>
        <v>0</v>
      </c>
    </row>
    <row r="23" customFormat="false" ht="15" hidden="false" customHeight="false" outlineLevel="0" collapsed="false">
      <c r="A23" s="43" t="s">
        <v>104</v>
      </c>
      <c r="B23" s="44" t="s">
        <v>105</v>
      </c>
      <c r="C23" s="44" t="s">
        <v>67</v>
      </c>
      <c r="D23" s="44" t="s">
        <v>99</v>
      </c>
      <c r="E23" s="44" t="n">
        <v>250</v>
      </c>
      <c r="F23" s="45" t="n">
        <v>2.2</v>
      </c>
      <c r="G23" s="44" t="s">
        <v>69</v>
      </c>
      <c r="H23" s="46" t="n">
        <f aca="false">IF($A23="","",IF(OR(NOT(ISNUMBER(E23)),NOT(ISNUMBER(F23))),"",MAX(0,E23)*F23))</f>
        <v>550</v>
      </c>
      <c r="I23" s="46" t="n">
        <f aca="false">IF($A23="","",SUMIF($A$2:$A$5001,$A23,$H$2:$H$5001))</f>
        <v>550</v>
      </c>
      <c r="J23" s="47" t="n">
        <f aca="false">IF($A23="",0,IF(COUNTIF($A$2:A23,$A23)=1,1,0))</f>
        <v>1</v>
      </c>
      <c r="K23" s="47" t="n">
        <f aca="false">IF(J23=1,N(I23)+ROW()/10000000,0)</f>
        <v>550.0000023</v>
      </c>
      <c r="L23" s="47" t="n">
        <f aca="false">IF(AND(J23=1,N(I23)&gt;0),SUMIF($K$2:$K$5001,"&gt;="&amp;K23,$I$2:$I$5001)/MAX(1,SUM($H$2:$H$5001)),"")</f>
        <v>0.987358395681025</v>
      </c>
      <c r="M23" s="47" t="n">
        <f aca="false">IF($A23="","",INDEX($L$2:$L$5001,MATCH($A23,$A$2:$A$5001,0)))</f>
        <v>0.987358395681025</v>
      </c>
      <c r="N23" s="48" t="str">
        <f aca="false">IF($A23="","",IF(N(M23)=0,"–",IF(M23&lt;=Start!$D$20,"A",IF(M23&lt;=Start!$D$21,"B","C"))))</f>
        <v>C</v>
      </c>
      <c r="O23" s="48" t="str">
        <f aca="false">IF($A23="","",IF(NOT(ISNUMBER(F23)),"Wert fehlt; ",IF(F23&lt;=0,"Wert ist 0; ",""))&amp;IF(NOT(ISNUMBER(E23)),"Bestand fehlt; ",IF(E23&lt;0,"Bestand negativ; ",IF(E23=0,"Nullbestand; ","")))&amp;IF(D23="","Warengruppe fehlt; ","")&amp;IF(B23="","Bezeichnung fehlt; ","")&amp;IF(COUNTIFS($A$2:$A$5001,$A23,$C$2:$C$5001,C23)&gt;1,"Artikel doppelt im selben Lager; ",""))</f>
        <v/>
      </c>
      <c r="P23" s="47" t="n">
        <f aca="false">IF(OR($A23="",D23=""),0,IF(COUNTIF($D$2:D23,D23)=1,SUMIF($D$2:$D$5001,D23,$H$2:$H$5001)+ROW()/10000000,0))</f>
        <v>0</v>
      </c>
      <c r="Q23" s="47" t="n">
        <f aca="false">IF(OR($A23="",C23=""),0,IF(COUNTIF($C$2:C23,C23)=1,SUMIF($C$2:$C$5001,C23,$H$2:$H$5001)+ROW()/10000000,0))</f>
        <v>0</v>
      </c>
    </row>
    <row r="24" customFormat="false" ht="15" hidden="false" customHeight="false" outlineLevel="0" collapsed="false">
      <c r="A24" s="43" t="s">
        <v>106</v>
      </c>
      <c r="B24" s="44" t="s">
        <v>107</v>
      </c>
      <c r="C24" s="44" t="s">
        <v>67</v>
      </c>
      <c r="D24" s="44" t="s">
        <v>108</v>
      </c>
      <c r="E24" s="44" t="n">
        <v>1200</v>
      </c>
      <c r="F24" s="45" t="n">
        <v>9.6</v>
      </c>
      <c r="G24" s="44" t="s">
        <v>69</v>
      </c>
      <c r="H24" s="46" t="n">
        <f aca="false">IF($A24="","",IF(OR(NOT(ISNUMBER(E24)),NOT(ISNUMBER(F24))),"",MAX(0,E24)*F24))</f>
        <v>11520</v>
      </c>
      <c r="I24" s="46" t="n">
        <f aca="false">IF($A24="","",SUMIF($A$2:$A$5001,$A24,$H$2:$H$5001))</f>
        <v>11520</v>
      </c>
      <c r="J24" s="47" t="n">
        <f aca="false">IF($A24="",0,IF(COUNTIF($A$2:A24,$A24)=1,1,0))</f>
        <v>1</v>
      </c>
      <c r="K24" s="47" t="n">
        <f aca="false">IF(J24=1,N(I24)+ROW()/10000000,0)</f>
        <v>11520.0000024</v>
      </c>
      <c r="L24" s="47" t="n">
        <f aca="false">IF(AND(J24=1,N(I24)&gt;0),SUMIF($K$2:$K$5001,"&gt;="&amp;K24,$I$2:$I$5001)/MAX(1,SUM($H$2:$H$5001)),"")</f>
        <v>0.742744157574247</v>
      </c>
      <c r="M24" s="47" t="n">
        <f aca="false">IF($A24="","",INDEX($L$2:$L$5001,MATCH($A24,$A$2:$A$5001,0)))</f>
        <v>0.742744157574247</v>
      </c>
      <c r="N24" s="48" t="str">
        <f aca="false">IF($A24="","",IF(N(M24)=0,"–",IF(M24&lt;=Start!$D$20,"A",IF(M24&lt;=Start!$D$21,"B","C"))))</f>
        <v>A</v>
      </c>
      <c r="O24" s="48" t="str">
        <f aca="false">IF($A24="","",IF(NOT(ISNUMBER(F24)),"Wert fehlt; ",IF(F24&lt;=0,"Wert ist 0; ",""))&amp;IF(NOT(ISNUMBER(E24)),"Bestand fehlt; ",IF(E24&lt;0,"Bestand negativ; ",IF(E24=0,"Nullbestand; ","")))&amp;IF(D24="","Warengruppe fehlt; ","")&amp;IF(B24="","Bezeichnung fehlt; ","")&amp;IF(COUNTIFS($A$2:$A$5001,$A24,$C$2:$C$5001,C24)&gt;1,"Artikel doppelt im selben Lager; ",""))</f>
        <v/>
      </c>
      <c r="P24" s="47" t="n">
        <f aca="false">IF(OR($A24="",D24=""),0,IF(COUNTIF($D$2:D24,D24)=1,SUMIF($D$2:$D$5001,D24,$H$2:$H$5001)+ROW()/10000000,0))</f>
        <v>35396.0000024</v>
      </c>
      <c r="Q24" s="47" t="n">
        <f aca="false">IF(OR($A24="",C24=""),0,IF(COUNTIF($C$2:C24,C24)=1,SUMIF($C$2:$C$5001,C24,$H$2:$H$5001)+ROW()/10000000,0))</f>
        <v>0</v>
      </c>
    </row>
    <row r="25" customFormat="false" ht="15" hidden="false" customHeight="false" outlineLevel="0" collapsed="false">
      <c r="A25" s="43" t="s">
        <v>109</v>
      </c>
      <c r="B25" s="44" t="s">
        <v>110</v>
      </c>
      <c r="C25" s="44" t="s">
        <v>67</v>
      </c>
      <c r="D25" s="44" t="s">
        <v>108</v>
      </c>
      <c r="E25" s="44" t="n">
        <v>600</v>
      </c>
      <c r="F25" s="45" t="n">
        <v>27</v>
      </c>
      <c r="G25" s="44" t="s">
        <v>69</v>
      </c>
      <c r="H25" s="46" t="n">
        <f aca="false">IF($A25="","",IF(OR(NOT(ISNUMBER(E25)),NOT(ISNUMBER(F25))),"",MAX(0,E25)*F25))</f>
        <v>16200</v>
      </c>
      <c r="I25" s="46" t="n">
        <f aca="false">IF($A25="","",SUMIF($A$2:$A$5001,$A25,$H$2:$H$5001))</f>
        <v>21600</v>
      </c>
      <c r="J25" s="47" t="n">
        <f aca="false">IF($A25="",0,IF(COUNTIF($A$2:A25,$A25)=1,1,0))</f>
        <v>1</v>
      </c>
      <c r="K25" s="47" t="n">
        <f aca="false">IF(J25=1,N(I25)+ROW()/10000000,0)</f>
        <v>21600.0000025</v>
      </c>
      <c r="L25" s="47" t="n">
        <f aca="false">IF(AND(J25=1,N(I25)&gt;0),SUMIF($K$2:$K$5001,"&gt;="&amp;K25,$I$2:$I$5001)/MAX(1,SUM($H$2:$H$5001)),"")</f>
        <v>0.577133467717647</v>
      </c>
      <c r="M25" s="47" t="n">
        <f aca="false">IF($A25="","",INDEX($L$2:$L$5001,MATCH($A25,$A$2:$A$5001,0)))</f>
        <v>0.577133467717647</v>
      </c>
      <c r="N25" s="48" t="str">
        <f aca="false">IF($A25="","",IF(N(M25)=0,"–",IF(M25&lt;=Start!$D$20,"A",IF(M25&lt;=Start!$D$21,"B","C"))))</f>
        <v>A</v>
      </c>
      <c r="O25" s="48" t="str">
        <f aca="false">IF($A25="","",IF(NOT(ISNUMBER(F25)),"Wert fehlt; ",IF(F25&lt;=0,"Wert ist 0; ",""))&amp;IF(NOT(ISNUMBER(E25)),"Bestand fehlt; ",IF(E25&lt;0,"Bestand negativ; ",IF(E25=0,"Nullbestand; ","")))&amp;IF(D25="","Warengruppe fehlt; ","")&amp;IF(B25="","Bezeichnung fehlt; ","")&amp;IF(COUNTIFS($A$2:$A$5001,$A25,$C$2:$C$5001,C25)&gt;1,"Artikel doppelt im selben Lager; ",""))</f>
        <v/>
      </c>
      <c r="P25" s="47" t="n">
        <f aca="false">IF(OR($A25="",D25=""),0,IF(COUNTIF($D$2:D25,D25)=1,SUMIF($D$2:$D$5001,D25,$H$2:$H$5001)+ROW()/10000000,0))</f>
        <v>0</v>
      </c>
      <c r="Q25" s="47" t="n">
        <f aca="false">IF(OR($A25="",C25=""),0,IF(COUNTIF($C$2:C25,C25)=1,SUMIF($C$2:$C$5001,C25,$H$2:$H$5001)+ROW()/10000000,0))</f>
        <v>0</v>
      </c>
    </row>
    <row r="26" customFormat="false" ht="15" hidden="false" customHeight="false" outlineLevel="0" collapsed="false">
      <c r="A26" s="43" t="s">
        <v>109</v>
      </c>
      <c r="B26" s="44" t="s">
        <v>110</v>
      </c>
      <c r="C26" s="44" t="s">
        <v>81</v>
      </c>
      <c r="D26" s="44" t="s">
        <v>108</v>
      </c>
      <c r="E26" s="44" t="n">
        <v>200</v>
      </c>
      <c r="F26" s="45" t="n">
        <v>27</v>
      </c>
      <c r="G26" s="44" t="s">
        <v>69</v>
      </c>
      <c r="H26" s="46" t="n">
        <f aca="false">IF($A26="","",IF(OR(NOT(ISNUMBER(E26)),NOT(ISNUMBER(F26))),"",MAX(0,E26)*F26))</f>
        <v>5400</v>
      </c>
      <c r="I26" s="46" t="n">
        <f aca="false">IF($A26="","",SUMIF($A$2:$A$5001,$A26,$H$2:$H$5001))</f>
        <v>21600</v>
      </c>
      <c r="J26" s="47" t="n">
        <f aca="false">IF($A26="",0,IF(COUNTIF($A$2:A26,$A26)=1,1,0))</f>
        <v>0</v>
      </c>
      <c r="K26" s="47" t="n">
        <f aca="false">IF(J26=1,N(I26)+ROW()/10000000,0)</f>
        <v>0</v>
      </c>
      <c r="L26" s="47" t="str">
        <f aca="false">IF(AND(J26=1,N(I26)&gt;0),SUMIF($K$2:$K$5001,"&gt;="&amp;K26,$I$2:$I$5001)/MAX(1,SUM($H$2:$H$5001)),"")</f>
        <v/>
      </c>
      <c r="M26" s="47" t="n">
        <f aca="false">IF($A26="","",INDEX($L$2:$L$5001,MATCH($A26,$A$2:$A$5001,0)))</f>
        <v>0.577133467717647</v>
      </c>
      <c r="N26" s="48" t="str">
        <f aca="false">IF($A26="","",IF(N(M26)=0,"–",IF(M26&lt;=Start!$D$20,"A",IF(M26&lt;=Start!$D$21,"B","C"))))</f>
        <v>A</v>
      </c>
      <c r="O26" s="48" t="str">
        <f aca="false">IF($A26="","",IF(NOT(ISNUMBER(F26)),"Wert fehlt; ",IF(F26&lt;=0,"Wert ist 0; ",""))&amp;IF(NOT(ISNUMBER(E26)),"Bestand fehlt; ",IF(E26&lt;0,"Bestand negativ; ",IF(E26=0,"Nullbestand; ","")))&amp;IF(D26="","Warengruppe fehlt; ","")&amp;IF(B26="","Bezeichnung fehlt; ","")&amp;IF(COUNTIFS($A$2:$A$5001,$A26,$C$2:$C$5001,C26)&gt;1,"Artikel doppelt im selben Lager; ",""))</f>
        <v/>
      </c>
      <c r="P26" s="47" t="n">
        <f aca="false">IF(OR($A26="",D26=""),0,IF(COUNTIF($D$2:D26,D26)=1,SUMIF($D$2:$D$5001,D26,$H$2:$H$5001)+ROW()/10000000,0))</f>
        <v>0</v>
      </c>
      <c r="Q26" s="47" t="n">
        <f aca="false">IF(OR($A26="",C26=""),0,IF(COUNTIF($C$2:C26,C26)=1,SUMIF($C$2:$C$5001,C26,$H$2:$H$5001)+ROW()/10000000,0))</f>
        <v>0</v>
      </c>
    </row>
    <row r="27" customFormat="false" ht="15" hidden="false" customHeight="false" outlineLevel="0" collapsed="false">
      <c r="A27" s="43" t="s">
        <v>111</v>
      </c>
      <c r="B27" s="44" t="s">
        <v>112</v>
      </c>
      <c r="C27" s="44" t="s">
        <v>67</v>
      </c>
      <c r="D27" s="44" t="s">
        <v>108</v>
      </c>
      <c r="E27" s="44" t="n">
        <v>4</v>
      </c>
      <c r="F27" s="45" t="n">
        <v>560</v>
      </c>
      <c r="G27" s="44" t="s">
        <v>69</v>
      </c>
      <c r="H27" s="46" t="n">
        <f aca="false">IF($A27="","",IF(OR(NOT(ISNUMBER(E27)),NOT(ISNUMBER(F27))),"",MAX(0,E27)*F27))</f>
        <v>2240</v>
      </c>
      <c r="I27" s="46" t="n">
        <f aca="false">IF($A27="","",SUMIF($A$2:$A$5001,$A27,$H$2:$H$5001))</f>
        <v>2240</v>
      </c>
      <c r="J27" s="47" t="n">
        <f aca="false">IF($A27="",0,IF(COUNTIF($A$2:A27,$A27)=1,1,0))</f>
        <v>1</v>
      </c>
      <c r="K27" s="47" t="n">
        <f aca="false">IF(J27=1,N(I27)+ROW()/10000000,0)</f>
        <v>2240.0000027</v>
      </c>
      <c r="L27" s="47" t="n">
        <f aca="false">IF(AND(J27=1,N(I27)&gt;0),SUMIF($K$2:$K$5001,"&gt;="&amp;K27,$I$2:$I$5001)/MAX(1,SUM($H$2:$H$5001)),"")</f>
        <v>0.953110707366717</v>
      </c>
      <c r="M27" s="47" t="n">
        <f aca="false">IF($A27="","",INDEX($L$2:$L$5001,MATCH($A27,$A$2:$A$5001,0)))</f>
        <v>0.953110707366717</v>
      </c>
      <c r="N27" s="48" t="str">
        <f aca="false">IF($A27="","",IF(N(M27)=0,"–",IF(M27&lt;=Start!$D$20,"A",IF(M27&lt;=Start!$D$21,"B","C"))))</f>
        <v>C</v>
      </c>
      <c r="O27" s="48" t="str">
        <f aca="false">IF($A27="","",IF(NOT(ISNUMBER(F27)),"Wert fehlt; ",IF(F27&lt;=0,"Wert ist 0; ",""))&amp;IF(NOT(ISNUMBER(E27)),"Bestand fehlt; ",IF(E27&lt;0,"Bestand negativ; ",IF(E27=0,"Nullbestand; ","")))&amp;IF(D27="","Warengruppe fehlt; ","")&amp;IF(B27="","Bezeichnung fehlt; ","")&amp;IF(COUNTIFS($A$2:$A$5001,$A27,$C$2:$C$5001,C27)&gt;1,"Artikel doppelt im selben Lager; ",""))</f>
        <v/>
      </c>
      <c r="P27" s="47" t="n">
        <f aca="false">IF(OR($A27="",D27=""),0,IF(COUNTIF($D$2:D27,D27)=1,SUMIF($D$2:$D$5001,D27,$H$2:$H$5001)+ROW()/10000000,0))</f>
        <v>0</v>
      </c>
      <c r="Q27" s="47" t="n">
        <f aca="false">IF(OR($A27="",C27=""),0,IF(COUNTIF($C$2:C27,C27)=1,SUMIF($C$2:$C$5001,C27,$H$2:$H$5001)+ROW()/10000000,0))</f>
        <v>0</v>
      </c>
    </row>
    <row r="28" customFormat="false" ht="15" hidden="false" customHeight="false" outlineLevel="0" collapsed="false">
      <c r="A28" s="43" t="s">
        <v>113</v>
      </c>
      <c r="B28" s="44" t="s">
        <v>114</v>
      </c>
      <c r="C28" s="44" t="s">
        <v>67</v>
      </c>
      <c r="D28" s="44" t="s">
        <v>108</v>
      </c>
      <c r="E28" s="44" t="n">
        <v>8</v>
      </c>
      <c r="F28" s="45" t="n">
        <v>4.5</v>
      </c>
      <c r="G28" s="44" t="s">
        <v>69</v>
      </c>
      <c r="H28" s="46" t="n">
        <f aca="false">IF($A28="","",IF(OR(NOT(ISNUMBER(E28)),NOT(ISNUMBER(F28))),"",MAX(0,E28)*F28))</f>
        <v>36</v>
      </c>
      <c r="I28" s="46" t="n">
        <f aca="false">IF($A28="","",SUMIF($A$2:$A$5001,$A28,$H$2:$H$5001))</f>
        <v>36</v>
      </c>
      <c r="J28" s="47" t="n">
        <f aca="false">IF($A28="",0,IF(COUNTIF($A$2:A28,$A28)=1,1,0))</f>
        <v>1</v>
      </c>
      <c r="K28" s="47" t="n">
        <f aca="false">IF(J28=1,N(I28)+ROW()/10000000,0)</f>
        <v>36.0000028</v>
      </c>
      <c r="L28" s="47" t="n">
        <f aca="false">IF(AND(J28=1,N(I28)&gt;0),SUMIF($K$2:$K$5001,"&gt;="&amp;K28,$I$2:$I$5001)/MAX(1,SUM($H$2:$H$5001)),"")</f>
        <v>0.999819995993685</v>
      </c>
      <c r="M28" s="47" t="n">
        <f aca="false">IF($A28="","",INDEX($L$2:$L$5001,MATCH($A28,$A$2:$A$5001,0)))</f>
        <v>0.999819995993685</v>
      </c>
      <c r="N28" s="48" t="str">
        <f aca="false">IF($A28="","",IF(N(M28)=0,"–",IF(M28&lt;=Start!$D$20,"A",IF(M28&lt;=Start!$D$21,"B","C"))))</f>
        <v>C</v>
      </c>
      <c r="O28" s="48" t="str">
        <f aca="false">IF($A28="","",IF(NOT(ISNUMBER(F28)),"Wert fehlt; ",IF(F28&lt;=0,"Wert ist 0; ",""))&amp;IF(NOT(ISNUMBER(E28)),"Bestand fehlt; ",IF(E28&lt;0,"Bestand negativ; ",IF(E28=0,"Nullbestand; ","")))&amp;IF(D28="","Warengruppe fehlt; ","")&amp;IF(B28="","Bezeichnung fehlt; ","")&amp;IF(COUNTIFS($A$2:$A$5001,$A28,$C$2:$C$5001,C28)&gt;1,"Artikel doppelt im selben Lager; ",""))</f>
        <v/>
      </c>
      <c r="P28" s="47" t="n">
        <f aca="false">IF(OR($A28="",D28=""),0,IF(COUNTIF($D$2:D28,D28)=1,SUMIF($D$2:$D$5001,D28,$H$2:$H$5001)+ROW()/10000000,0))</f>
        <v>0</v>
      </c>
      <c r="Q28" s="47" t="n">
        <f aca="false">IF(OR($A28="",C28=""),0,IF(COUNTIF($C$2:C28,C28)=1,SUMIF($C$2:$C$5001,C28,$H$2:$H$5001)+ROW()/10000000,0))</f>
        <v>0</v>
      </c>
    </row>
    <row r="29" customFormat="false" ht="15" hidden="false" customHeight="false" outlineLevel="0" collapsed="false">
      <c r="A29" s="43" t="s">
        <v>115</v>
      </c>
      <c r="B29" s="44" t="s">
        <v>116</v>
      </c>
      <c r="C29" s="44" t="s">
        <v>67</v>
      </c>
      <c r="D29" s="44" t="s">
        <v>117</v>
      </c>
      <c r="E29" s="44" t="n">
        <v>40</v>
      </c>
      <c r="F29" s="45" t="n">
        <v>11.5</v>
      </c>
      <c r="G29" s="44" t="s">
        <v>69</v>
      </c>
      <c r="H29" s="46" t="n">
        <f aca="false">IF($A29="","",IF(OR(NOT(ISNUMBER(E29)),NOT(ISNUMBER(F29))),"",MAX(0,E29)*F29))</f>
        <v>460</v>
      </c>
      <c r="I29" s="46" t="n">
        <f aca="false">IF($A29="","",SUMIF($A$2:$A$5001,$A29,$H$2:$H$5001))</f>
        <v>460</v>
      </c>
      <c r="J29" s="47" t="n">
        <f aca="false">IF($A29="",0,IF(COUNTIF($A$2:A29,$A29)=1,1,0))</f>
        <v>1</v>
      </c>
      <c r="K29" s="47" t="n">
        <f aca="false">IF(J29=1,N(I29)+ROW()/10000000,0)</f>
        <v>460.0000029</v>
      </c>
      <c r="L29" s="47" t="n">
        <f aca="false">IF(AND(J29=1,N(I29)&gt;0),SUMIF($K$2:$K$5001,"&gt;="&amp;K29,$I$2:$I$5001)/MAX(1,SUM($H$2:$H$5001)),"")</f>
        <v>0.994362442619346</v>
      </c>
      <c r="M29" s="47" t="n">
        <f aca="false">IF($A29="","",INDEX($L$2:$L$5001,MATCH($A29,$A$2:$A$5001,0)))</f>
        <v>0.994362442619346</v>
      </c>
      <c r="N29" s="48" t="str">
        <f aca="false">IF($A29="","",IF(N(M29)=0,"–",IF(M29&lt;=Start!$D$20,"A",IF(M29&lt;=Start!$D$21,"B","C"))))</f>
        <v>C</v>
      </c>
      <c r="O29" s="48" t="str">
        <f aca="false">IF($A29="","",IF(NOT(ISNUMBER(F29)),"Wert fehlt; ",IF(F29&lt;=0,"Wert ist 0; ",""))&amp;IF(NOT(ISNUMBER(E29)),"Bestand fehlt; ",IF(E29&lt;0,"Bestand negativ; ",IF(E29=0,"Nullbestand; ","")))&amp;IF(D29="","Warengruppe fehlt; ","")&amp;IF(B29="","Bezeichnung fehlt; ","")&amp;IF(COUNTIFS($A$2:$A$5001,$A29,$C$2:$C$5001,C29)&gt;1,"Artikel doppelt im selben Lager; ",""))</f>
        <v/>
      </c>
      <c r="P29" s="47" t="n">
        <f aca="false">IF(OR($A29="",D29=""),0,IF(COUNTIF($D$2:D29,D29)=1,SUMIF($D$2:$D$5001,D29,$H$2:$H$5001)+ROW()/10000000,0))</f>
        <v>1911.2000029</v>
      </c>
      <c r="Q29" s="47" t="n">
        <f aca="false">IF(OR($A29="",C29=""),0,IF(COUNTIF($C$2:C29,C29)=1,SUMIF($C$2:$C$5001,C29,$H$2:$H$5001)+ROW()/10000000,0))</f>
        <v>0</v>
      </c>
    </row>
    <row r="30" customFormat="false" ht="15" hidden="false" customHeight="false" outlineLevel="0" collapsed="false">
      <c r="A30" s="43" t="s">
        <v>118</v>
      </c>
      <c r="B30" s="44" t="s">
        <v>119</v>
      </c>
      <c r="C30" s="44" t="s">
        <v>67</v>
      </c>
      <c r="D30" s="44" t="s">
        <v>117</v>
      </c>
      <c r="E30" s="44" t="n">
        <v>10</v>
      </c>
      <c r="F30" s="45" t="n">
        <v>138</v>
      </c>
      <c r="G30" s="44" t="s">
        <v>69</v>
      </c>
      <c r="H30" s="46" t="n">
        <f aca="false">IF($A30="","",IF(OR(NOT(ISNUMBER(E30)),NOT(ISNUMBER(F30))),"",MAX(0,E30)*F30))</f>
        <v>1380</v>
      </c>
      <c r="I30" s="46" t="n">
        <f aca="false">IF($A30="","",SUMIF($A$2:$A$5001,$A30,$H$2:$H$5001))</f>
        <v>1380</v>
      </c>
      <c r="J30" s="47" t="n">
        <f aca="false">IF($A30="",0,IF(COUNTIF($A$2:A30,$A30)=1,1,0))</f>
        <v>1</v>
      </c>
      <c r="K30" s="47" t="n">
        <f aca="false">IF(J30=1,N(I30)+ROW()/10000000,0)</f>
        <v>1380.000003</v>
      </c>
      <c r="L30" s="47" t="n">
        <f aca="false">IF(AND(J30=1,N(I30)&gt;0),SUMIF($K$2:$K$5001,"&gt;="&amp;K30,$I$2:$I$5001)/MAX(1,SUM($H$2:$H$5001)),"")</f>
        <v>0.9627762921416</v>
      </c>
      <c r="M30" s="47" t="n">
        <f aca="false">IF($A30="","",INDEX($L$2:$L$5001,MATCH($A30,$A$2:$A$5001,0)))</f>
        <v>0.9627762921416</v>
      </c>
      <c r="N30" s="48" t="str">
        <f aca="false">IF($A30="","",IF(N(M30)=0,"–",IF(M30&lt;=Start!$D$20,"A",IF(M30&lt;=Start!$D$21,"B","C"))))</f>
        <v>C</v>
      </c>
      <c r="O30" s="48" t="str">
        <f aca="false">IF($A30="","",IF(NOT(ISNUMBER(F30)),"Wert fehlt; ",IF(F30&lt;=0,"Wert ist 0; ",""))&amp;IF(NOT(ISNUMBER(E30)),"Bestand fehlt; ",IF(E30&lt;0,"Bestand negativ; ",IF(E30=0,"Nullbestand; ","")))&amp;IF(D30="","Warengruppe fehlt; ","")&amp;IF(B30="","Bezeichnung fehlt; ","")&amp;IF(COUNTIFS($A$2:$A$5001,$A30,$C$2:$C$5001,C30)&gt;1,"Artikel doppelt im selben Lager; ",""))</f>
        <v/>
      </c>
      <c r="P30" s="47" t="n">
        <f aca="false">IF(OR($A30="",D30=""),0,IF(COUNTIF($D$2:D30,D30)=1,SUMIF($D$2:$D$5001,D30,$H$2:$H$5001)+ROW()/10000000,0))</f>
        <v>0</v>
      </c>
      <c r="Q30" s="47" t="n">
        <f aca="false">IF(OR($A30="",C30=""),0,IF(COUNTIF($C$2:C30,C30)=1,SUMIF($C$2:$C$5001,C30,$H$2:$H$5001)+ROW()/10000000,0))</f>
        <v>0</v>
      </c>
    </row>
    <row r="31" customFormat="false" ht="15" hidden="false" customHeight="false" outlineLevel="0" collapsed="false">
      <c r="A31" s="43" t="s">
        <v>120</v>
      </c>
      <c r="B31" s="44" t="s">
        <v>121</v>
      </c>
      <c r="C31" s="44" t="s">
        <v>67</v>
      </c>
      <c r="D31" s="44" t="s">
        <v>117</v>
      </c>
      <c r="E31" s="44" t="n">
        <v>8</v>
      </c>
      <c r="F31" s="45" t="n">
        <v>8.9</v>
      </c>
      <c r="G31" s="44" t="s">
        <v>69</v>
      </c>
      <c r="H31" s="46" t="n">
        <f aca="false">IF($A31="","",IF(OR(NOT(ISNUMBER(E31)),NOT(ISNUMBER(F31))),"",MAX(0,E31)*F31))</f>
        <v>71.2</v>
      </c>
      <c r="I31" s="46" t="n">
        <f aca="false">IF($A31="","",SUMIF($A$2:$A$5001,$A31,$H$2:$H$5001))</f>
        <v>71.2</v>
      </c>
      <c r="J31" s="47" t="n">
        <f aca="false">IF($A31="",0,IF(COUNTIF($A$2:A31,$A31)=1,1,0))</f>
        <v>1</v>
      </c>
      <c r="K31" s="47" t="n">
        <f aca="false">IF(J31=1,N(I31)+ROW()/10000000,0)</f>
        <v>71.2000031</v>
      </c>
      <c r="L31" s="47" t="n">
        <f aca="false">IF(AND(J31=1,N(I31)&gt;0),SUMIF($K$2:$K$5001,"&gt;="&amp;K31,$I$2:$I$5001)/MAX(1,SUM($H$2:$H$5001)),"")</f>
        <v>0.9990915751121</v>
      </c>
      <c r="M31" s="47" t="n">
        <f aca="false">IF($A31="","",INDEX($L$2:$L$5001,MATCH($A31,$A$2:$A$5001,0)))</f>
        <v>0.9990915751121</v>
      </c>
      <c r="N31" s="48" t="str">
        <f aca="false">IF($A31="","",IF(N(M31)=0,"–",IF(M31&lt;=Start!$D$20,"A",IF(M31&lt;=Start!$D$21,"B","C"))))</f>
        <v>C</v>
      </c>
      <c r="O31" s="48" t="str">
        <f aca="false">IF($A31="","",IF(NOT(ISNUMBER(F31)),"Wert fehlt; ",IF(F31&lt;=0,"Wert ist 0; ",""))&amp;IF(NOT(ISNUMBER(E31)),"Bestand fehlt; ",IF(E31&lt;0,"Bestand negativ; ",IF(E31=0,"Nullbestand; ","")))&amp;IF(D31="","Warengruppe fehlt; ","")&amp;IF(B31="","Bezeichnung fehlt; ","")&amp;IF(COUNTIFS($A$2:$A$5001,$A31,$C$2:$C$5001,C31)&gt;1,"Artikel doppelt im selben Lager; ",""))</f>
        <v/>
      </c>
      <c r="P31" s="47" t="n">
        <f aca="false">IF(OR($A31="",D31=""),0,IF(COUNTIF($D$2:D31,D31)=1,SUMIF($D$2:$D$5001,D31,$H$2:$H$5001)+ROW()/10000000,0))</f>
        <v>0</v>
      </c>
      <c r="Q31" s="47" t="n">
        <f aca="false">IF(OR($A31="",C31=""),0,IF(COUNTIF($C$2:C31,C31)=1,SUMIF($C$2:$C$5001,C31,$H$2:$H$5001)+ROW()/10000000,0))</f>
        <v>0</v>
      </c>
    </row>
    <row r="32" customFormat="false" ht="15" hidden="false" customHeight="false" outlineLevel="0" collapsed="false">
      <c r="A32" s="43" t="s">
        <v>122</v>
      </c>
      <c r="B32" s="44" t="s">
        <v>123</v>
      </c>
      <c r="C32" s="44" t="s">
        <v>67</v>
      </c>
      <c r="D32" s="44" t="s">
        <v>124</v>
      </c>
      <c r="E32" s="44" t="n">
        <v>4</v>
      </c>
      <c r="F32" s="45" t="n">
        <v>76</v>
      </c>
      <c r="G32" s="44" t="s">
        <v>69</v>
      </c>
      <c r="H32" s="46" t="n">
        <f aca="false">IF($A32="","",IF(OR(NOT(ISNUMBER(E32)),NOT(ISNUMBER(F32))),"",MAX(0,E32)*F32))</f>
        <v>304</v>
      </c>
      <c r="I32" s="46" t="n">
        <f aca="false">IF($A32="","",SUMIF($A$2:$A$5001,$A32,$H$2:$H$5001))</f>
        <v>304</v>
      </c>
      <c r="J32" s="47" t="n">
        <f aca="false">IF($A32="",0,IF(COUNTIF($A$2:A32,$A32)=1,1,0))</f>
        <v>1</v>
      </c>
      <c r="K32" s="47" t="n">
        <f aca="false">IF(J32=1,N(I32)+ROW()/10000000,0)</f>
        <v>304.0000032</v>
      </c>
      <c r="L32" s="47" t="n">
        <f aca="false">IF(AND(J32=1,N(I32)&gt;0),SUMIF($K$2:$K$5001,"&gt;="&amp;K32,$I$2:$I$5001)/MAX(1,SUM($H$2:$H$5001)),"")</f>
        <v>0.996491672888595</v>
      </c>
      <c r="M32" s="47" t="n">
        <f aca="false">IF($A32="","",INDEX($L$2:$L$5001,MATCH($A32,$A$2:$A$5001,0)))</f>
        <v>0.996491672888595</v>
      </c>
      <c r="N32" s="48" t="str">
        <f aca="false">IF($A32="","",IF(N(M32)=0,"–",IF(M32&lt;=Start!$D$20,"A",IF(M32&lt;=Start!$D$21,"B","C"))))</f>
        <v>C</v>
      </c>
      <c r="O32" s="48" t="str">
        <f aca="false">IF($A32="","",IF(NOT(ISNUMBER(F32)),"Wert fehlt; ",IF(F32&lt;=0,"Wert ist 0; ",""))&amp;IF(NOT(ISNUMBER(E32)),"Bestand fehlt; ",IF(E32&lt;0,"Bestand negativ; ",IF(E32=0,"Nullbestand; ","")))&amp;IF(D32="","Warengruppe fehlt; ","")&amp;IF(B32="","Bezeichnung fehlt; ","")&amp;IF(COUNTIFS($A$2:$A$5001,$A32,$C$2:$C$5001,C32)&gt;1,"Artikel doppelt im selben Lager; ",""))</f>
        <v/>
      </c>
      <c r="P32" s="47" t="n">
        <f aca="false">IF(OR($A32="",D32=""),0,IF(COUNTIF($D$2:D32,D32)=1,SUMIF($D$2:$D$5001,D32,$H$2:$H$5001)+ROW()/10000000,0))</f>
        <v>968.8000032</v>
      </c>
      <c r="Q32" s="47" t="n">
        <f aca="false">IF(OR($A32="",C32=""),0,IF(COUNTIF($C$2:C32,C32)=1,SUMIF($C$2:$C$5001,C32,$H$2:$H$5001)+ROW()/10000000,0))</f>
        <v>0</v>
      </c>
    </row>
    <row r="33" customFormat="false" ht="15" hidden="false" customHeight="false" outlineLevel="0" collapsed="false">
      <c r="A33" s="43" t="s">
        <v>125</v>
      </c>
      <c r="B33" s="44" t="s">
        <v>126</v>
      </c>
      <c r="C33" s="44" t="s">
        <v>67</v>
      </c>
      <c r="D33" s="44" t="s">
        <v>124</v>
      </c>
      <c r="E33" s="44" t="n">
        <v>10</v>
      </c>
      <c r="F33" s="45" t="n">
        <v>54</v>
      </c>
      <c r="G33" s="44" t="s">
        <v>69</v>
      </c>
      <c r="H33" s="46" t="n">
        <f aca="false">IF($A33="","",IF(OR(NOT(ISNUMBER(E33)),NOT(ISNUMBER(F33))),"",MAX(0,E33)*F33))</f>
        <v>540</v>
      </c>
      <c r="I33" s="46" t="n">
        <f aca="false">IF($A33="","",SUMIF($A$2:$A$5001,$A33,$H$2:$H$5001))</f>
        <v>540</v>
      </c>
      <c r="J33" s="47" t="n">
        <f aca="false">IF($A33="",0,IF(COUNTIF($A$2:A33,$A33)=1,1,0))</f>
        <v>1</v>
      </c>
      <c r="K33" s="47" t="n">
        <f aca="false">IF(J33=1,N(I33)+ROW()/10000000,0)</f>
        <v>540.0000033</v>
      </c>
      <c r="L33" s="47" t="n">
        <f aca="false">IF(AND(J33=1,N(I33)&gt;0),SUMIF($K$2:$K$5001,"&gt;="&amp;K33,$I$2:$I$5001)/MAX(1,SUM($H$2:$H$5001)),"")</f>
        <v>0.991140581027718</v>
      </c>
      <c r="M33" s="47" t="n">
        <f aca="false">IF($A33="","",INDEX($L$2:$L$5001,MATCH($A33,$A$2:$A$5001,0)))</f>
        <v>0.991140581027718</v>
      </c>
      <c r="N33" s="48" t="str">
        <f aca="false">IF($A33="","",IF(N(M33)=0,"–",IF(M33&lt;=Start!$D$20,"A",IF(M33&lt;=Start!$D$21,"B","C"))))</f>
        <v>C</v>
      </c>
      <c r="O33" s="48" t="str">
        <f aca="false">IF($A33="","",IF(NOT(ISNUMBER(F33)),"Wert fehlt; ",IF(F33&lt;=0,"Wert ist 0; ",""))&amp;IF(NOT(ISNUMBER(E33)),"Bestand fehlt; ",IF(E33&lt;0,"Bestand negativ; ",IF(E33=0,"Nullbestand; ","")))&amp;IF(D33="","Warengruppe fehlt; ","")&amp;IF(B33="","Bezeichnung fehlt; ","")&amp;IF(COUNTIFS($A$2:$A$5001,$A33,$C$2:$C$5001,C33)&gt;1,"Artikel doppelt im selben Lager; ",""))</f>
        <v/>
      </c>
      <c r="P33" s="47" t="n">
        <f aca="false">IF(OR($A33="",D33=""),0,IF(COUNTIF($D$2:D33,D33)=1,SUMIF($D$2:$D$5001,D33,$H$2:$H$5001)+ROW()/10000000,0))</f>
        <v>0</v>
      </c>
      <c r="Q33" s="47" t="n">
        <f aca="false">IF(OR($A33="",C33=""),0,IF(COUNTIF($C$2:C33,C33)=1,SUMIF($C$2:$C$5001,C33,$H$2:$H$5001)+ROW()/10000000,0))</f>
        <v>0</v>
      </c>
    </row>
    <row r="34" customFormat="false" ht="15" hidden="false" customHeight="false" outlineLevel="0" collapsed="false">
      <c r="A34" s="43" t="s">
        <v>127</v>
      </c>
      <c r="B34" s="44" t="s">
        <v>128</v>
      </c>
      <c r="C34" s="44" t="s">
        <v>67</v>
      </c>
      <c r="D34" s="44" t="s">
        <v>124</v>
      </c>
      <c r="E34" s="44" t="n">
        <v>1</v>
      </c>
      <c r="F34" s="45" t="n">
        <v>112</v>
      </c>
      <c r="G34" s="44" t="s">
        <v>69</v>
      </c>
      <c r="H34" s="46" t="n">
        <f aca="false">IF($A34="","",IF(OR(NOT(ISNUMBER(E34)),NOT(ISNUMBER(F34))),"",MAX(0,E34)*F34))</f>
        <v>112</v>
      </c>
      <c r="I34" s="46" t="n">
        <f aca="false">IF($A34="","",SUMIF($A$2:$A$5001,$A34,$H$2:$H$5001))</f>
        <v>112</v>
      </c>
      <c r="J34" s="47" t="n">
        <f aca="false">IF($A34="",0,IF(COUNTIF($A$2:A34,$A34)=1,1,0))</f>
        <v>1</v>
      </c>
      <c r="K34" s="47" t="n">
        <f aca="false">IF(J34=1,N(I34)+ROW()/10000000,0)</f>
        <v>112.0000034</v>
      </c>
      <c r="L34" s="47" t="n">
        <f aca="false">IF(AND(J34=1,N(I34)&gt;0),SUMIF($K$2:$K$5001,"&gt;="&amp;K34,$I$2:$I$5001)/MAX(1,SUM($H$2:$H$5001)),"")</f>
        <v>0.998592886970092</v>
      </c>
      <c r="M34" s="47" t="n">
        <f aca="false">IF($A34="","",INDEX($L$2:$L$5001,MATCH($A34,$A$2:$A$5001,0)))</f>
        <v>0.998592886970092</v>
      </c>
      <c r="N34" s="48" t="str">
        <f aca="false">IF($A34="","",IF(N(M34)=0,"–",IF(M34&lt;=Start!$D$20,"A",IF(M34&lt;=Start!$D$21,"B","C"))))</f>
        <v>C</v>
      </c>
      <c r="O34" s="48" t="str">
        <f aca="false">IF($A34="","",IF(NOT(ISNUMBER(F34)),"Wert fehlt; ",IF(F34&lt;=0,"Wert ist 0; ",""))&amp;IF(NOT(ISNUMBER(E34)),"Bestand fehlt; ",IF(E34&lt;0,"Bestand negativ; ",IF(E34=0,"Nullbestand; ","")))&amp;IF(D34="","Warengruppe fehlt; ","")&amp;IF(B34="","Bezeichnung fehlt; ","")&amp;IF(COUNTIFS($A$2:$A$5001,$A34,$C$2:$C$5001,C34)&gt;1,"Artikel doppelt im selben Lager; ",""))</f>
        <v/>
      </c>
      <c r="P34" s="47" t="n">
        <f aca="false">IF(OR($A34="",D34=""),0,IF(COUNTIF($D$2:D34,D34)=1,SUMIF($D$2:$D$5001,D34,$H$2:$H$5001)+ROW()/10000000,0))</f>
        <v>0</v>
      </c>
      <c r="Q34" s="47" t="n">
        <f aca="false">IF(OR($A34="",C34=""),0,IF(COUNTIF($C$2:C34,C34)=1,SUMIF($C$2:$C$5001,C34,$H$2:$H$5001)+ROW()/10000000,0))</f>
        <v>0</v>
      </c>
    </row>
    <row r="35" customFormat="false" ht="15" hidden="false" customHeight="false" outlineLevel="0" collapsed="false">
      <c r="A35" s="43" t="s">
        <v>129</v>
      </c>
      <c r="B35" s="44" t="s">
        <v>130</v>
      </c>
      <c r="C35" s="44" t="s">
        <v>67</v>
      </c>
      <c r="D35" s="44" t="s">
        <v>124</v>
      </c>
      <c r="E35" s="44" t="n">
        <v>8</v>
      </c>
      <c r="F35" s="45" t="n">
        <v>1.6</v>
      </c>
      <c r="G35" s="44" t="s">
        <v>69</v>
      </c>
      <c r="H35" s="46" t="n">
        <f aca="false">IF($A35="","",IF(OR(NOT(ISNUMBER(E35)),NOT(ISNUMBER(F35))),"",MAX(0,E35)*F35))</f>
        <v>12.8</v>
      </c>
      <c r="I35" s="46" t="n">
        <f aca="false">IF($A35="","",SUMIF($A$2:$A$5001,$A35,$H$2:$H$5001))</f>
        <v>12.8</v>
      </c>
      <c r="J35" s="47" t="n">
        <f aca="false">IF($A35="",0,IF(COUNTIF($A$2:A35,$A35)=1,1,0))</f>
        <v>1</v>
      </c>
      <c r="K35" s="47" t="n">
        <f aca="false">IF(J35=1,N(I35)+ROW()/10000000,0)</f>
        <v>12.8000035</v>
      </c>
      <c r="L35" s="47" t="n">
        <f aca="false">IF(AND(J35=1,N(I35)&gt;0),SUMIF($K$2:$K$5001,"&gt;="&amp;K35,$I$2:$I$5001)/MAX(1,SUM($H$2:$H$5001)),"")</f>
        <v>0.999909647794496</v>
      </c>
      <c r="M35" s="47" t="n">
        <f aca="false">IF($A35="","",INDEX($L$2:$L$5001,MATCH($A35,$A$2:$A$5001,0)))</f>
        <v>0.999909647794496</v>
      </c>
      <c r="N35" s="48" t="str">
        <f aca="false">IF($A35="","",IF(N(M35)=0,"–",IF(M35&lt;=Start!$D$20,"A",IF(M35&lt;=Start!$D$21,"B","C"))))</f>
        <v>C</v>
      </c>
      <c r="O35" s="48" t="str">
        <f aca="false">IF($A35="","",IF(NOT(ISNUMBER(F35)),"Wert fehlt; ",IF(F35&lt;=0,"Wert ist 0; ",""))&amp;IF(NOT(ISNUMBER(E35)),"Bestand fehlt; ",IF(E35&lt;0,"Bestand negativ; ",IF(E35=0,"Nullbestand; ","")))&amp;IF(D35="","Warengruppe fehlt; ","")&amp;IF(B35="","Bezeichnung fehlt; ","")&amp;IF(COUNTIFS($A$2:$A$5001,$A35,$C$2:$C$5001,C35)&gt;1,"Artikel doppelt im selben Lager; ",""))</f>
        <v/>
      </c>
      <c r="P35" s="47" t="n">
        <f aca="false">IF(OR($A35="",D35=""),0,IF(COUNTIF($D$2:D35,D35)=1,SUMIF($D$2:$D$5001,D35,$H$2:$H$5001)+ROW()/10000000,0))</f>
        <v>0</v>
      </c>
      <c r="Q35" s="47" t="n">
        <f aca="false">IF(OR($A35="",C35=""),0,IF(COUNTIF($C$2:C35,C35)=1,SUMIF($C$2:$C$5001,C35,$H$2:$H$5001)+ROW()/10000000,0))</f>
        <v>0</v>
      </c>
    </row>
    <row r="36" customFormat="false" ht="15" hidden="false" customHeight="false" outlineLevel="0" collapsed="false">
      <c r="A36" s="43"/>
      <c r="B36" s="44"/>
      <c r="C36" s="44"/>
      <c r="D36" s="44"/>
      <c r="E36" s="44"/>
      <c r="F36" s="44"/>
      <c r="G36" s="44"/>
      <c r="H36" s="46" t="str">
        <f aca="false">IF($A36="","",IF(OR(NOT(ISNUMBER(E36)),NOT(ISNUMBER(F36))),"",MAX(0,E36)*F36))</f>
        <v/>
      </c>
      <c r="I36" s="46" t="str">
        <f aca="false">IF($A36="","",SUMIF($A$2:$A$5001,$A36,$H$2:$H$5001))</f>
        <v/>
      </c>
      <c r="J36" s="47" t="n">
        <f aca="false">IF($A36="",0,IF(COUNTIF($A$2:A36,$A36)=1,1,0))</f>
        <v>0</v>
      </c>
      <c r="K36" s="47" t="n">
        <f aca="false">IF(J36=1,N(I36)+ROW()/10000000,0)</f>
        <v>0</v>
      </c>
      <c r="L36" s="47" t="str">
        <f aca="false">IF(AND(J36=1,N(I36)&gt;0),SUMIF($K$2:$K$5001,"&gt;="&amp;K36,$I$2:$I$5001)/MAX(1,SUM($H$2:$H$5001)),"")</f>
        <v/>
      </c>
      <c r="M36" s="47" t="str">
        <f aca="false">IF($A36="","",INDEX($L$2:$L$5001,MATCH($A36,$A$2:$A$5001,0)))</f>
        <v/>
      </c>
      <c r="N36" s="48" t="str">
        <f aca="false">IF($A36="","",IF(N(M36)=0,"–",IF(M36&lt;=Start!$D$20,"A",IF(M36&lt;=Start!$D$21,"B","C"))))</f>
        <v/>
      </c>
      <c r="O36" s="48" t="str">
        <f aca="false">IF($A36="","",IF(NOT(ISNUMBER(F36)),"Wert fehlt; ",IF(F36&lt;=0,"Wert ist 0; ",""))&amp;IF(NOT(ISNUMBER(E36)),"Bestand fehlt; ",IF(E36&lt;0,"Bestand negativ; ",IF(E36=0,"Nullbestand; ","")))&amp;IF(D36="","Warengruppe fehlt; ","")&amp;IF(B36="","Bezeichnung fehlt; ","")&amp;IF(COUNTIFS($A$2:$A$5001,$A36,$C$2:$C$5001,C36)&gt;1,"Artikel doppelt im selben Lager; ",""))</f>
        <v/>
      </c>
      <c r="P36" s="47" t="n">
        <f aca="false">IF(OR($A36="",D36=""),0,IF(COUNTIF($D$2:D36,D36)=1,SUMIF($D$2:$D$5001,D36,$H$2:$H$5001)+ROW()/10000000,0))</f>
        <v>0</v>
      </c>
      <c r="Q36" s="47" t="n">
        <f aca="false">IF(OR($A36="",C36=""),0,IF(COUNTIF($C$2:C36,C36)=1,SUMIF($C$2:$C$5001,C36,$H$2:$H$5001)+ROW()/10000000,0))</f>
        <v>0</v>
      </c>
    </row>
    <row r="37" customFormat="false" ht="15" hidden="false" customHeight="false" outlineLevel="0" collapsed="false">
      <c r="A37" s="43"/>
      <c r="B37" s="44"/>
      <c r="C37" s="44"/>
      <c r="D37" s="44"/>
      <c r="E37" s="44"/>
      <c r="F37" s="44"/>
      <c r="G37" s="44"/>
      <c r="H37" s="46" t="str">
        <f aca="false">IF($A37="","",IF(OR(NOT(ISNUMBER(E37)),NOT(ISNUMBER(F37))),"",MAX(0,E37)*F37))</f>
        <v/>
      </c>
      <c r="I37" s="46" t="str">
        <f aca="false">IF($A37="","",SUMIF($A$2:$A$5001,$A37,$H$2:$H$5001))</f>
        <v/>
      </c>
      <c r="J37" s="47" t="n">
        <f aca="false">IF($A37="",0,IF(COUNTIF($A$2:A37,$A37)=1,1,0))</f>
        <v>0</v>
      </c>
      <c r="K37" s="47" t="n">
        <f aca="false">IF(J37=1,N(I37)+ROW()/10000000,0)</f>
        <v>0</v>
      </c>
      <c r="L37" s="47" t="str">
        <f aca="false">IF(AND(J37=1,N(I37)&gt;0),SUMIF($K$2:$K$5001,"&gt;="&amp;K37,$I$2:$I$5001)/MAX(1,SUM($H$2:$H$5001)),"")</f>
        <v/>
      </c>
      <c r="M37" s="47" t="str">
        <f aca="false">IF($A37="","",INDEX($L$2:$L$5001,MATCH($A37,$A$2:$A$5001,0)))</f>
        <v/>
      </c>
      <c r="N37" s="48" t="str">
        <f aca="false">IF($A37="","",IF(N(M37)=0,"–",IF(M37&lt;=Start!$D$20,"A",IF(M37&lt;=Start!$D$21,"B","C"))))</f>
        <v/>
      </c>
      <c r="O37" s="48" t="str">
        <f aca="false">IF($A37="","",IF(NOT(ISNUMBER(F37)),"Wert fehlt; ",IF(F37&lt;=0,"Wert ist 0; ",""))&amp;IF(NOT(ISNUMBER(E37)),"Bestand fehlt; ",IF(E37&lt;0,"Bestand negativ; ",IF(E37=0,"Nullbestand; ","")))&amp;IF(D37="","Warengruppe fehlt; ","")&amp;IF(B37="","Bezeichnung fehlt; ","")&amp;IF(COUNTIFS($A$2:$A$5001,$A37,$C$2:$C$5001,C37)&gt;1,"Artikel doppelt im selben Lager; ",""))</f>
        <v/>
      </c>
      <c r="P37" s="47" t="n">
        <f aca="false">IF(OR($A37="",D37=""),0,IF(COUNTIF($D$2:D37,D37)=1,SUMIF($D$2:$D$5001,D37,$H$2:$H$5001)+ROW()/10000000,0))</f>
        <v>0</v>
      </c>
      <c r="Q37" s="47" t="n">
        <f aca="false">IF(OR($A37="",C37=""),0,IF(COUNTIF($C$2:C37,C37)=1,SUMIF($C$2:$C$5001,C37,$H$2:$H$5001)+ROW()/10000000,0))</f>
        <v>0</v>
      </c>
    </row>
    <row r="38" customFormat="false" ht="15" hidden="false" customHeight="false" outlineLevel="0" collapsed="false">
      <c r="A38" s="43"/>
      <c r="B38" s="44"/>
      <c r="C38" s="44"/>
      <c r="D38" s="44"/>
      <c r="E38" s="44"/>
      <c r="F38" s="44"/>
      <c r="G38" s="44"/>
      <c r="H38" s="46" t="str">
        <f aca="false">IF($A38="","",IF(OR(NOT(ISNUMBER(E38)),NOT(ISNUMBER(F38))),"",MAX(0,E38)*F38))</f>
        <v/>
      </c>
      <c r="I38" s="46" t="str">
        <f aca="false">IF($A38="","",SUMIF($A$2:$A$5001,$A38,$H$2:$H$5001))</f>
        <v/>
      </c>
      <c r="J38" s="47" t="n">
        <f aca="false">IF($A38="",0,IF(COUNTIF($A$2:A38,$A38)=1,1,0))</f>
        <v>0</v>
      </c>
      <c r="K38" s="47" t="n">
        <f aca="false">IF(J38=1,N(I38)+ROW()/10000000,0)</f>
        <v>0</v>
      </c>
      <c r="L38" s="47" t="str">
        <f aca="false">IF(AND(J38=1,N(I38)&gt;0),SUMIF($K$2:$K$5001,"&gt;="&amp;K38,$I$2:$I$5001)/MAX(1,SUM($H$2:$H$5001)),"")</f>
        <v/>
      </c>
      <c r="M38" s="47" t="str">
        <f aca="false">IF($A38="","",INDEX($L$2:$L$5001,MATCH($A38,$A$2:$A$5001,0)))</f>
        <v/>
      </c>
      <c r="N38" s="48" t="str">
        <f aca="false">IF($A38="","",IF(N(M38)=0,"–",IF(M38&lt;=Start!$D$20,"A",IF(M38&lt;=Start!$D$21,"B","C"))))</f>
        <v/>
      </c>
      <c r="O38" s="48" t="str">
        <f aca="false">IF($A38="","",IF(NOT(ISNUMBER(F38)),"Wert fehlt; ",IF(F38&lt;=0,"Wert ist 0; ",""))&amp;IF(NOT(ISNUMBER(E38)),"Bestand fehlt; ",IF(E38&lt;0,"Bestand negativ; ",IF(E38=0,"Nullbestand; ","")))&amp;IF(D38="","Warengruppe fehlt; ","")&amp;IF(B38="","Bezeichnung fehlt; ","")&amp;IF(COUNTIFS($A$2:$A$5001,$A38,$C$2:$C$5001,C38)&gt;1,"Artikel doppelt im selben Lager; ",""))</f>
        <v/>
      </c>
      <c r="P38" s="47" t="n">
        <f aca="false">IF(OR($A38="",D38=""),0,IF(COUNTIF($D$2:D38,D38)=1,SUMIF($D$2:$D$5001,D38,$H$2:$H$5001)+ROW()/10000000,0))</f>
        <v>0</v>
      </c>
      <c r="Q38" s="47" t="n">
        <f aca="false">IF(OR($A38="",C38=""),0,IF(COUNTIF($C$2:C38,C38)=1,SUMIF($C$2:$C$5001,C38,$H$2:$H$5001)+ROW()/10000000,0))</f>
        <v>0</v>
      </c>
    </row>
    <row r="39" customFormat="false" ht="15" hidden="false" customHeight="false" outlineLevel="0" collapsed="false">
      <c r="A39" s="43"/>
      <c r="B39" s="44"/>
      <c r="C39" s="44"/>
      <c r="D39" s="44"/>
      <c r="E39" s="44"/>
      <c r="F39" s="44"/>
      <c r="G39" s="44"/>
      <c r="H39" s="46" t="str">
        <f aca="false">IF($A39="","",IF(OR(NOT(ISNUMBER(E39)),NOT(ISNUMBER(F39))),"",MAX(0,E39)*F39))</f>
        <v/>
      </c>
      <c r="I39" s="46" t="str">
        <f aca="false">IF($A39="","",SUMIF($A$2:$A$5001,$A39,$H$2:$H$5001))</f>
        <v/>
      </c>
      <c r="J39" s="47" t="n">
        <f aca="false">IF($A39="",0,IF(COUNTIF($A$2:A39,$A39)=1,1,0))</f>
        <v>0</v>
      </c>
      <c r="K39" s="47" t="n">
        <f aca="false">IF(J39=1,N(I39)+ROW()/10000000,0)</f>
        <v>0</v>
      </c>
      <c r="L39" s="47" t="str">
        <f aca="false">IF(AND(J39=1,N(I39)&gt;0),SUMIF($K$2:$K$5001,"&gt;="&amp;K39,$I$2:$I$5001)/MAX(1,SUM($H$2:$H$5001)),"")</f>
        <v/>
      </c>
      <c r="M39" s="47" t="str">
        <f aca="false">IF($A39="","",INDEX($L$2:$L$5001,MATCH($A39,$A$2:$A$5001,0)))</f>
        <v/>
      </c>
      <c r="N39" s="48" t="str">
        <f aca="false">IF($A39="","",IF(N(M39)=0,"–",IF(M39&lt;=Start!$D$20,"A",IF(M39&lt;=Start!$D$21,"B","C"))))</f>
        <v/>
      </c>
      <c r="O39" s="48" t="str">
        <f aca="false">IF($A39="","",IF(NOT(ISNUMBER(F39)),"Wert fehlt; ",IF(F39&lt;=0,"Wert ist 0; ",""))&amp;IF(NOT(ISNUMBER(E39)),"Bestand fehlt; ",IF(E39&lt;0,"Bestand negativ; ",IF(E39=0,"Nullbestand; ","")))&amp;IF(D39="","Warengruppe fehlt; ","")&amp;IF(B39="","Bezeichnung fehlt; ","")&amp;IF(COUNTIFS($A$2:$A$5001,$A39,$C$2:$C$5001,C39)&gt;1,"Artikel doppelt im selben Lager; ",""))</f>
        <v/>
      </c>
      <c r="P39" s="47" t="n">
        <f aca="false">IF(OR($A39="",D39=""),0,IF(COUNTIF($D$2:D39,D39)=1,SUMIF($D$2:$D$5001,D39,$H$2:$H$5001)+ROW()/10000000,0))</f>
        <v>0</v>
      </c>
      <c r="Q39" s="47" t="n">
        <f aca="false">IF(OR($A39="",C39=""),0,IF(COUNTIF($C$2:C39,C39)=1,SUMIF($C$2:$C$5001,C39,$H$2:$H$5001)+ROW()/10000000,0))</f>
        <v>0</v>
      </c>
    </row>
    <row r="40" customFormat="false" ht="15" hidden="false" customHeight="false" outlineLevel="0" collapsed="false">
      <c r="A40" s="43"/>
      <c r="B40" s="44"/>
      <c r="C40" s="44"/>
      <c r="D40" s="44"/>
      <c r="E40" s="44"/>
      <c r="F40" s="44"/>
      <c r="G40" s="44"/>
      <c r="H40" s="46" t="str">
        <f aca="false">IF($A40="","",IF(OR(NOT(ISNUMBER(E40)),NOT(ISNUMBER(F40))),"",MAX(0,E40)*F40))</f>
        <v/>
      </c>
      <c r="I40" s="46" t="str">
        <f aca="false">IF($A40="","",SUMIF($A$2:$A$5001,$A40,$H$2:$H$5001))</f>
        <v/>
      </c>
      <c r="J40" s="47" t="n">
        <f aca="false">IF($A40="",0,IF(COUNTIF($A$2:A40,$A40)=1,1,0))</f>
        <v>0</v>
      </c>
      <c r="K40" s="47" t="n">
        <f aca="false">IF(J40=1,N(I40)+ROW()/10000000,0)</f>
        <v>0</v>
      </c>
      <c r="L40" s="47" t="str">
        <f aca="false">IF(AND(J40=1,N(I40)&gt;0),SUMIF($K$2:$K$5001,"&gt;="&amp;K40,$I$2:$I$5001)/MAX(1,SUM($H$2:$H$5001)),"")</f>
        <v/>
      </c>
      <c r="M40" s="47" t="str">
        <f aca="false">IF($A40="","",INDEX($L$2:$L$5001,MATCH($A40,$A$2:$A$5001,0)))</f>
        <v/>
      </c>
      <c r="N40" s="48" t="str">
        <f aca="false">IF($A40="","",IF(N(M40)=0,"–",IF(M40&lt;=Start!$D$20,"A",IF(M40&lt;=Start!$D$21,"B","C"))))</f>
        <v/>
      </c>
      <c r="O40" s="48" t="str">
        <f aca="false">IF($A40="","",IF(NOT(ISNUMBER(F40)),"Wert fehlt; ",IF(F40&lt;=0,"Wert ist 0; ",""))&amp;IF(NOT(ISNUMBER(E40)),"Bestand fehlt; ",IF(E40&lt;0,"Bestand negativ; ",IF(E40=0,"Nullbestand; ","")))&amp;IF(D40="","Warengruppe fehlt; ","")&amp;IF(B40="","Bezeichnung fehlt; ","")&amp;IF(COUNTIFS($A$2:$A$5001,$A40,$C$2:$C$5001,C40)&gt;1,"Artikel doppelt im selben Lager; ",""))</f>
        <v/>
      </c>
      <c r="P40" s="47" t="n">
        <f aca="false">IF(OR($A40="",D40=""),0,IF(COUNTIF($D$2:D40,D40)=1,SUMIF($D$2:$D$5001,D40,$H$2:$H$5001)+ROW()/10000000,0))</f>
        <v>0</v>
      </c>
      <c r="Q40" s="47" t="n">
        <f aca="false">IF(OR($A40="",C40=""),0,IF(COUNTIF($C$2:C40,C40)=1,SUMIF($C$2:$C$5001,C40,$H$2:$H$5001)+ROW()/10000000,0))</f>
        <v>0</v>
      </c>
    </row>
    <row r="41" customFormat="false" ht="15" hidden="false" customHeight="false" outlineLevel="0" collapsed="false">
      <c r="A41" s="43"/>
      <c r="B41" s="44"/>
      <c r="C41" s="44"/>
      <c r="D41" s="44"/>
      <c r="E41" s="44"/>
      <c r="F41" s="44"/>
      <c r="G41" s="44"/>
      <c r="H41" s="46" t="str">
        <f aca="false">IF($A41="","",IF(OR(NOT(ISNUMBER(E41)),NOT(ISNUMBER(F41))),"",MAX(0,E41)*F41))</f>
        <v/>
      </c>
      <c r="I41" s="46" t="str">
        <f aca="false">IF($A41="","",SUMIF($A$2:$A$5001,$A41,$H$2:$H$5001))</f>
        <v/>
      </c>
      <c r="J41" s="47" t="n">
        <f aca="false">IF($A41="",0,IF(COUNTIF($A$2:A41,$A41)=1,1,0))</f>
        <v>0</v>
      </c>
      <c r="K41" s="47" t="n">
        <f aca="false">IF(J41=1,N(I41)+ROW()/10000000,0)</f>
        <v>0</v>
      </c>
      <c r="L41" s="47" t="str">
        <f aca="false">IF(AND(J41=1,N(I41)&gt;0),SUMIF($K$2:$K$5001,"&gt;="&amp;K41,$I$2:$I$5001)/MAX(1,SUM($H$2:$H$5001)),"")</f>
        <v/>
      </c>
      <c r="M41" s="47" t="str">
        <f aca="false">IF($A41="","",INDEX($L$2:$L$5001,MATCH($A41,$A$2:$A$5001,0)))</f>
        <v/>
      </c>
      <c r="N41" s="48" t="str">
        <f aca="false">IF($A41="","",IF(N(M41)=0,"–",IF(M41&lt;=Start!$D$20,"A",IF(M41&lt;=Start!$D$21,"B","C"))))</f>
        <v/>
      </c>
      <c r="O41" s="48" t="str">
        <f aca="false">IF($A41="","",IF(NOT(ISNUMBER(F41)),"Wert fehlt; ",IF(F41&lt;=0,"Wert ist 0; ",""))&amp;IF(NOT(ISNUMBER(E41)),"Bestand fehlt; ",IF(E41&lt;0,"Bestand negativ; ",IF(E41=0,"Nullbestand; ","")))&amp;IF(D41="","Warengruppe fehlt; ","")&amp;IF(B41="","Bezeichnung fehlt; ","")&amp;IF(COUNTIFS($A$2:$A$5001,$A41,$C$2:$C$5001,C41)&gt;1,"Artikel doppelt im selben Lager; ",""))</f>
        <v/>
      </c>
      <c r="P41" s="47" t="n">
        <f aca="false">IF(OR($A41="",D41=""),0,IF(COUNTIF($D$2:D41,D41)=1,SUMIF($D$2:$D$5001,D41,$H$2:$H$5001)+ROW()/10000000,0))</f>
        <v>0</v>
      </c>
      <c r="Q41" s="47" t="n">
        <f aca="false">IF(OR($A41="",C41=""),0,IF(COUNTIF($C$2:C41,C41)=1,SUMIF($C$2:$C$5001,C41,$H$2:$H$5001)+ROW()/10000000,0))</f>
        <v>0</v>
      </c>
    </row>
    <row r="42" customFormat="false" ht="15" hidden="false" customHeight="false" outlineLevel="0" collapsed="false">
      <c r="A42" s="43"/>
      <c r="B42" s="44"/>
      <c r="C42" s="44"/>
      <c r="D42" s="44"/>
      <c r="E42" s="44"/>
      <c r="F42" s="44"/>
      <c r="G42" s="44"/>
      <c r="H42" s="46" t="str">
        <f aca="false">IF($A42="","",IF(OR(NOT(ISNUMBER(E42)),NOT(ISNUMBER(F42))),"",MAX(0,E42)*F42))</f>
        <v/>
      </c>
      <c r="I42" s="46" t="str">
        <f aca="false">IF($A42="","",SUMIF($A$2:$A$5001,$A42,$H$2:$H$5001))</f>
        <v/>
      </c>
      <c r="J42" s="47" t="n">
        <f aca="false">IF($A42="",0,IF(COUNTIF($A$2:A42,$A42)=1,1,0))</f>
        <v>0</v>
      </c>
      <c r="K42" s="47" t="n">
        <f aca="false">IF(J42=1,N(I42)+ROW()/10000000,0)</f>
        <v>0</v>
      </c>
      <c r="L42" s="47" t="str">
        <f aca="false">IF(AND(J42=1,N(I42)&gt;0),SUMIF($K$2:$K$5001,"&gt;="&amp;K42,$I$2:$I$5001)/MAX(1,SUM($H$2:$H$5001)),"")</f>
        <v/>
      </c>
      <c r="M42" s="47" t="str">
        <f aca="false">IF($A42="","",INDEX($L$2:$L$5001,MATCH($A42,$A$2:$A$5001,0)))</f>
        <v/>
      </c>
      <c r="N42" s="48" t="str">
        <f aca="false">IF($A42="","",IF(N(M42)=0,"–",IF(M42&lt;=Start!$D$20,"A",IF(M42&lt;=Start!$D$21,"B","C"))))</f>
        <v/>
      </c>
      <c r="O42" s="48" t="str">
        <f aca="false">IF($A42="","",IF(NOT(ISNUMBER(F42)),"Wert fehlt; ",IF(F42&lt;=0,"Wert ist 0; ",""))&amp;IF(NOT(ISNUMBER(E42)),"Bestand fehlt; ",IF(E42&lt;0,"Bestand negativ; ",IF(E42=0,"Nullbestand; ","")))&amp;IF(D42="","Warengruppe fehlt; ","")&amp;IF(B42="","Bezeichnung fehlt; ","")&amp;IF(COUNTIFS($A$2:$A$5001,$A42,$C$2:$C$5001,C42)&gt;1,"Artikel doppelt im selben Lager; ",""))</f>
        <v/>
      </c>
      <c r="P42" s="47" t="n">
        <f aca="false">IF(OR($A42="",D42=""),0,IF(COUNTIF($D$2:D42,D42)=1,SUMIF($D$2:$D$5001,D42,$H$2:$H$5001)+ROW()/10000000,0))</f>
        <v>0</v>
      </c>
      <c r="Q42" s="47" t="n">
        <f aca="false">IF(OR($A42="",C42=""),0,IF(COUNTIF($C$2:C42,C42)=1,SUMIF($C$2:$C$5001,C42,$H$2:$H$5001)+ROW()/10000000,0))</f>
        <v>0</v>
      </c>
    </row>
    <row r="43" customFormat="false" ht="15" hidden="false" customHeight="false" outlineLevel="0" collapsed="false">
      <c r="A43" s="43"/>
      <c r="B43" s="44"/>
      <c r="C43" s="44"/>
      <c r="D43" s="44"/>
      <c r="E43" s="44"/>
      <c r="F43" s="44"/>
      <c r="G43" s="44"/>
      <c r="H43" s="46" t="str">
        <f aca="false">IF($A43="","",IF(OR(NOT(ISNUMBER(E43)),NOT(ISNUMBER(F43))),"",MAX(0,E43)*F43))</f>
        <v/>
      </c>
      <c r="I43" s="46" t="str">
        <f aca="false">IF($A43="","",SUMIF($A$2:$A$5001,$A43,$H$2:$H$5001))</f>
        <v/>
      </c>
      <c r="J43" s="47" t="n">
        <f aca="false">IF($A43="",0,IF(COUNTIF($A$2:A43,$A43)=1,1,0))</f>
        <v>0</v>
      </c>
      <c r="K43" s="47" t="n">
        <f aca="false">IF(J43=1,N(I43)+ROW()/10000000,0)</f>
        <v>0</v>
      </c>
      <c r="L43" s="47" t="str">
        <f aca="false">IF(AND(J43=1,N(I43)&gt;0),SUMIF($K$2:$K$5001,"&gt;="&amp;K43,$I$2:$I$5001)/MAX(1,SUM($H$2:$H$5001)),"")</f>
        <v/>
      </c>
      <c r="M43" s="47" t="str">
        <f aca="false">IF($A43="","",INDEX($L$2:$L$5001,MATCH($A43,$A$2:$A$5001,0)))</f>
        <v/>
      </c>
      <c r="N43" s="48" t="str">
        <f aca="false">IF($A43="","",IF(N(M43)=0,"–",IF(M43&lt;=Start!$D$20,"A",IF(M43&lt;=Start!$D$21,"B","C"))))</f>
        <v/>
      </c>
      <c r="O43" s="48" t="str">
        <f aca="false">IF($A43="","",IF(NOT(ISNUMBER(F43)),"Wert fehlt; ",IF(F43&lt;=0,"Wert ist 0; ",""))&amp;IF(NOT(ISNUMBER(E43)),"Bestand fehlt; ",IF(E43&lt;0,"Bestand negativ; ",IF(E43=0,"Nullbestand; ","")))&amp;IF(D43="","Warengruppe fehlt; ","")&amp;IF(B43="","Bezeichnung fehlt; ","")&amp;IF(COUNTIFS($A$2:$A$5001,$A43,$C$2:$C$5001,C43)&gt;1,"Artikel doppelt im selben Lager; ",""))</f>
        <v/>
      </c>
      <c r="P43" s="47" t="n">
        <f aca="false">IF(OR($A43="",D43=""),0,IF(COUNTIF($D$2:D43,D43)=1,SUMIF($D$2:$D$5001,D43,$H$2:$H$5001)+ROW()/10000000,0))</f>
        <v>0</v>
      </c>
      <c r="Q43" s="47" t="n">
        <f aca="false">IF(OR($A43="",C43=""),0,IF(COUNTIF($C$2:C43,C43)=1,SUMIF($C$2:$C$5001,C43,$H$2:$H$5001)+ROW()/10000000,0))</f>
        <v>0</v>
      </c>
    </row>
    <row r="44" customFormat="false" ht="15" hidden="false" customHeight="false" outlineLevel="0" collapsed="false">
      <c r="A44" s="43"/>
      <c r="B44" s="44"/>
      <c r="C44" s="44"/>
      <c r="D44" s="44"/>
      <c r="E44" s="44"/>
      <c r="F44" s="44"/>
      <c r="G44" s="44"/>
      <c r="H44" s="46" t="str">
        <f aca="false">IF($A44="","",IF(OR(NOT(ISNUMBER(E44)),NOT(ISNUMBER(F44))),"",MAX(0,E44)*F44))</f>
        <v/>
      </c>
      <c r="I44" s="46" t="str">
        <f aca="false">IF($A44="","",SUMIF($A$2:$A$5001,$A44,$H$2:$H$5001))</f>
        <v/>
      </c>
      <c r="J44" s="47" t="n">
        <f aca="false">IF($A44="",0,IF(COUNTIF($A$2:A44,$A44)=1,1,0))</f>
        <v>0</v>
      </c>
      <c r="K44" s="47" t="n">
        <f aca="false">IF(J44=1,N(I44)+ROW()/10000000,0)</f>
        <v>0</v>
      </c>
      <c r="L44" s="47" t="str">
        <f aca="false">IF(AND(J44=1,N(I44)&gt;0),SUMIF($K$2:$K$5001,"&gt;="&amp;K44,$I$2:$I$5001)/MAX(1,SUM($H$2:$H$5001)),"")</f>
        <v/>
      </c>
      <c r="M44" s="47" t="str">
        <f aca="false">IF($A44="","",INDEX($L$2:$L$5001,MATCH($A44,$A$2:$A$5001,0)))</f>
        <v/>
      </c>
      <c r="N44" s="48" t="str">
        <f aca="false">IF($A44="","",IF(N(M44)=0,"–",IF(M44&lt;=Start!$D$20,"A",IF(M44&lt;=Start!$D$21,"B","C"))))</f>
        <v/>
      </c>
      <c r="O44" s="48" t="str">
        <f aca="false">IF($A44="","",IF(NOT(ISNUMBER(F44)),"Wert fehlt; ",IF(F44&lt;=0,"Wert ist 0; ",""))&amp;IF(NOT(ISNUMBER(E44)),"Bestand fehlt; ",IF(E44&lt;0,"Bestand negativ; ",IF(E44=0,"Nullbestand; ","")))&amp;IF(D44="","Warengruppe fehlt; ","")&amp;IF(B44="","Bezeichnung fehlt; ","")&amp;IF(COUNTIFS($A$2:$A$5001,$A44,$C$2:$C$5001,C44)&gt;1,"Artikel doppelt im selben Lager; ",""))</f>
        <v/>
      </c>
      <c r="P44" s="47" t="n">
        <f aca="false">IF(OR($A44="",D44=""),0,IF(COUNTIF($D$2:D44,D44)=1,SUMIF($D$2:$D$5001,D44,$H$2:$H$5001)+ROW()/10000000,0))</f>
        <v>0</v>
      </c>
      <c r="Q44" s="47" t="n">
        <f aca="false">IF(OR($A44="",C44=""),0,IF(COUNTIF($C$2:C44,C44)=1,SUMIF($C$2:$C$5001,C44,$H$2:$H$5001)+ROW()/10000000,0))</f>
        <v>0</v>
      </c>
    </row>
    <row r="45" customFormat="false" ht="15" hidden="false" customHeight="false" outlineLevel="0" collapsed="false">
      <c r="A45" s="43"/>
      <c r="B45" s="44"/>
      <c r="C45" s="44"/>
      <c r="D45" s="44"/>
      <c r="E45" s="44"/>
      <c r="F45" s="44"/>
      <c r="G45" s="44"/>
      <c r="H45" s="46" t="str">
        <f aca="false">IF($A45="","",IF(OR(NOT(ISNUMBER(E45)),NOT(ISNUMBER(F45))),"",MAX(0,E45)*F45))</f>
        <v/>
      </c>
      <c r="I45" s="46" t="str">
        <f aca="false">IF($A45="","",SUMIF($A$2:$A$5001,$A45,$H$2:$H$5001))</f>
        <v/>
      </c>
      <c r="J45" s="47" t="n">
        <f aca="false">IF($A45="",0,IF(COUNTIF($A$2:A45,$A45)=1,1,0))</f>
        <v>0</v>
      </c>
      <c r="K45" s="47" t="n">
        <f aca="false">IF(J45=1,N(I45)+ROW()/10000000,0)</f>
        <v>0</v>
      </c>
      <c r="L45" s="47" t="str">
        <f aca="false">IF(AND(J45=1,N(I45)&gt;0),SUMIF($K$2:$K$5001,"&gt;="&amp;K45,$I$2:$I$5001)/MAX(1,SUM($H$2:$H$5001)),"")</f>
        <v/>
      </c>
      <c r="M45" s="47" t="str">
        <f aca="false">IF($A45="","",INDEX($L$2:$L$5001,MATCH($A45,$A$2:$A$5001,0)))</f>
        <v/>
      </c>
      <c r="N45" s="48" t="str">
        <f aca="false">IF($A45="","",IF(N(M45)=0,"–",IF(M45&lt;=Start!$D$20,"A",IF(M45&lt;=Start!$D$21,"B","C"))))</f>
        <v/>
      </c>
      <c r="O45" s="48" t="str">
        <f aca="false">IF($A45="","",IF(NOT(ISNUMBER(F45)),"Wert fehlt; ",IF(F45&lt;=0,"Wert ist 0; ",""))&amp;IF(NOT(ISNUMBER(E45)),"Bestand fehlt; ",IF(E45&lt;0,"Bestand negativ; ",IF(E45=0,"Nullbestand; ","")))&amp;IF(D45="","Warengruppe fehlt; ","")&amp;IF(B45="","Bezeichnung fehlt; ","")&amp;IF(COUNTIFS($A$2:$A$5001,$A45,$C$2:$C$5001,C45)&gt;1,"Artikel doppelt im selben Lager; ",""))</f>
        <v/>
      </c>
      <c r="P45" s="47" t="n">
        <f aca="false">IF(OR($A45="",D45=""),0,IF(COUNTIF($D$2:D45,D45)=1,SUMIF($D$2:$D$5001,D45,$H$2:$H$5001)+ROW()/10000000,0))</f>
        <v>0</v>
      </c>
      <c r="Q45" s="47" t="n">
        <f aca="false">IF(OR($A45="",C45=""),0,IF(COUNTIF($C$2:C45,C45)=1,SUMIF($C$2:$C$5001,C45,$H$2:$H$5001)+ROW()/10000000,0))</f>
        <v>0</v>
      </c>
    </row>
    <row r="46" customFormat="false" ht="15" hidden="false" customHeight="false" outlineLevel="0" collapsed="false">
      <c r="A46" s="43"/>
      <c r="B46" s="44"/>
      <c r="C46" s="44"/>
      <c r="D46" s="44"/>
      <c r="E46" s="44"/>
      <c r="F46" s="44"/>
      <c r="G46" s="44"/>
      <c r="H46" s="46" t="str">
        <f aca="false">IF($A46="","",IF(OR(NOT(ISNUMBER(E46)),NOT(ISNUMBER(F46))),"",MAX(0,E46)*F46))</f>
        <v/>
      </c>
      <c r="I46" s="46" t="str">
        <f aca="false">IF($A46="","",SUMIF($A$2:$A$5001,$A46,$H$2:$H$5001))</f>
        <v/>
      </c>
      <c r="J46" s="47" t="n">
        <f aca="false">IF($A46="",0,IF(COUNTIF($A$2:A46,$A46)=1,1,0))</f>
        <v>0</v>
      </c>
      <c r="K46" s="47" t="n">
        <f aca="false">IF(J46=1,N(I46)+ROW()/10000000,0)</f>
        <v>0</v>
      </c>
      <c r="L46" s="47" t="str">
        <f aca="false">IF(AND(J46=1,N(I46)&gt;0),SUMIF($K$2:$K$5001,"&gt;="&amp;K46,$I$2:$I$5001)/MAX(1,SUM($H$2:$H$5001)),"")</f>
        <v/>
      </c>
      <c r="M46" s="47" t="str">
        <f aca="false">IF($A46="","",INDEX($L$2:$L$5001,MATCH($A46,$A$2:$A$5001,0)))</f>
        <v/>
      </c>
      <c r="N46" s="48" t="str">
        <f aca="false">IF($A46="","",IF(N(M46)=0,"–",IF(M46&lt;=Start!$D$20,"A",IF(M46&lt;=Start!$D$21,"B","C"))))</f>
        <v/>
      </c>
      <c r="O46" s="48" t="str">
        <f aca="false">IF($A46="","",IF(NOT(ISNUMBER(F46)),"Wert fehlt; ",IF(F46&lt;=0,"Wert ist 0; ",""))&amp;IF(NOT(ISNUMBER(E46)),"Bestand fehlt; ",IF(E46&lt;0,"Bestand negativ; ",IF(E46=0,"Nullbestand; ","")))&amp;IF(D46="","Warengruppe fehlt; ","")&amp;IF(B46="","Bezeichnung fehlt; ","")&amp;IF(COUNTIFS($A$2:$A$5001,$A46,$C$2:$C$5001,C46)&gt;1,"Artikel doppelt im selben Lager; ",""))</f>
        <v/>
      </c>
      <c r="P46" s="47" t="n">
        <f aca="false">IF(OR($A46="",D46=""),0,IF(COUNTIF($D$2:D46,D46)=1,SUMIF($D$2:$D$5001,D46,$H$2:$H$5001)+ROW()/10000000,0))</f>
        <v>0</v>
      </c>
      <c r="Q46" s="47" t="n">
        <f aca="false">IF(OR($A46="",C46=""),0,IF(COUNTIF($C$2:C46,C46)=1,SUMIF($C$2:$C$5001,C46,$H$2:$H$5001)+ROW()/10000000,0))</f>
        <v>0</v>
      </c>
    </row>
    <row r="47" customFormat="false" ht="15" hidden="false" customHeight="false" outlineLevel="0" collapsed="false">
      <c r="A47" s="43"/>
      <c r="B47" s="44"/>
      <c r="C47" s="44"/>
      <c r="D47" s="44"/>
      <c r="E47" s="44"/>
      <c r="F47" s="44"/>
      <c r="G47" s="44"/>
      <c r="H47" s="46" t="str">
        <f aca="false">IF($A47="","",IF(OR(NOT(ISNUMBER(E47)),NOT(ISNUMBER(F47))),"",MAX(0,E47)*F47))</f>
        <v/>
      </c>
      <c r="I47" s="46" t="str">
        <f aca="false">IF($A47="","",SUMIF($A$2:$A$5001,$A47,$H$2:$H$5001))</f>
        <v/>
      </c>
      <c r="J47" s="47" t="n">
        <f aca="false">IF($A47="",0,IF(COUNTIF($A$2:A47,$A47)=1,1,0))</f>
        <v>0</v>
      </c>
      <c r="K47" s="47" t="n">
        <f aca="false">IF(J47=1,N(I47)+ROW()/10000000,0)</f>
        <v>0</v>
      </c>
      <c r="L47" s="47" t="str">
        <f aca="false">IF(AND(J47=1,N(I47)&gt;0),SUMIF($K$2:$K$5001,"&gt;="&amp;K47,$I$2:$I$5001)/MAX(1,SUM($H$2:$H$5001)),"")</f>
        <v/>
      </c>
      <c r="M47" s="47" t="str">
        <f aca="false">IF($A47="","",INDEX($L$2:$L$5001,MATCH($A47,$A$2:$A$5001,0)))</f>
        <v/>
      </c>
      <c r="N47" s="48" t="str">
        <f aca="false">IF($A47="","",IF(N(M47)=0,"–",IF(M47&lt;=Start!$D$20,"A",IF(M47&lt;=Start!$D$21,"B","C"))))</f>
        <v/>
      </c>
      <c r="O47" s="48" t="str">
        <f aca="false">IF($A47="","",IF(NOT(ISNUMBER(F47)),"Wert fehlt; ",IF(F47&lt;=0,"Wert ist 0; ",""))&amp;IF(NOT(ISNUMBER(E47)),"Bestand fehlt; ",IF(E47&lt;0,"Bestand negativ; ",IF(E47=0,"Nullbestand; ","")))&amp;IF(D47="","Warengruppe fehlt; ","")&amp;IF(B47="","Bezeichnung fehlt; ","")&amp;IF(COUNTIFS($A$2:$A$5001,$A47,$C$2:$C$5001,C47)&gt;1,"Artikel doppelt im selben Lager; ",""))</f>
        <v/>
      </c>
      <c r="P47" s="47" t="n">
        <f aca="false">IF(OR($A47="",D47=""),0,IF(COUNTIF($D$2:D47,D47)=1,SUMIF($D$2:$D$5001,D47,$H$2:$H$5001)+ROW()/10000000,0))</f>
        <v>0</v>
      </c>
      <c r="Q47" s="47" t="n">
        <f aca="false">IF(OR($A47="",C47=""),0,IF(COUNTIF($C$2:C47,C47)=1,SUMIF($C$2:$C$5001,C47,$H$2:$H$5001)+ROW()/10000000,0))</f>
        <v>0</v>
      </c>
    </row>
    <row r="48" customFormat="false" ht="15" hidden="false" customHeight="false" outlineLevel="0" collapsed="false">
      <c r="A48" s="43"/>
      <c r="B48" s="44"/>
      <c r="C48" s="44"/>
      <c r="D48" s="44"/>
      <c r="E48" s="44"/>
      <c r="F48" s="44"/>
      <c r="G48" s="44"/>
      <c r="H48" s="46" t="str">
        <f aca="false">IF($A48="","",IF(OR(NOT(ISNUMBER(E48)),NOT(ISNUMBER(F48))),"",MAX(0,E48)*F48))</f>
        <v/>
      </c>
      <c r="I48" s="46" t="str">
        <f aca="false">IF($A48="","",SUMIF($A$2:$A$5001,$A48,$H$2:$H$5001))</f>
        <v/>
      </c>
      <c r="J48" s="47" t="n">
        <f aca="false">IF($A48="",0,IF(COUNTIF($A$2:A48,$A48)=1,1,0))</f>
        <v>0</v>
      </c>
      <c r="K48" s="47" t="n">
        <f aca="false">IF(J48=1,N(I48)+ROW()/10000000,0)</f>
        <v>0</v>
      </c>
      <c r="L48" s="47" t="str">
        <f aca="false">IF(AND(J48=1,N(I48)&gt;0),SUMIF($K$2:$K$5001,"&gt;="&amp;K48,$I$2:$I$5001)/MAX(1,SUM($H$2:$H$5001)),"")</f>
        <v/>
      </c>
      <c r="M48" s="47" t="str">
        <f aca="false">IF($A48="","",INDEX($L$2:$L$5001,MATCH($A48,$A$2:$A$5001,0)))</f>
        <v/>
      </c>
      <c r="N48" s="48" t="str">
        <f aca="false">IF($A48="","",IF(N(M48)=0,"–",IF(M48&lt;=Start!$D$20,"A",IF(M48&lt;=Start!$D$21,"B","C"))))</f>
        <v/>
      </c>
      <c r="O48" s="48" t="str">
        <f aca="false">IF($A48="","",IF(NOT(ISNUMBER(F48)),"Wert fehlt; ",IF(F48&lt;=0,"Wert ist 0; ",""))&amp;IF(NOT(ISNUMBER(E48)),"Bestand fehlt; ",IF(E48&lt;0,"Bestand negativ; ",IF(E48=0,"Nullbestand; ","")))&amp;IF(D48="","Warengruppe fehlt; ","")&amp;IF(B48="","Bezeichnung fehlt; ","")&amp;IF(COUNTIFS($A$2:$A$5001,$A48,$C$2:$C$5001,C48)&gt;1,"Artikel doppelt im selben Lager; ",""))</f>
        <v/>
      </c>
      <c r="P48" s="47" t="n">
        <f aca="false">IF(OR($A48="",D48=""),0,IF(COUNTIF($D$2:D48,D48)=1,SUMIF($D$2:$D$5001,D48,$H$2:$H$5001)+ROW()/10000000,0))</f>
        <v>0</v>
      </c>
      <c r="Q48" s="47" t="n">
        <f aca="false">IF(OR($A48="",C48=""),0,IF(COUNTIF($C$2:C48,C48)=1,SUMIF($C$2:$C$5001,C48,$H$2:$H$5001)+ROW()/10000000,0))</f>
        <v>0</v>
      </c>
    </row>
    <row r="49" customFormat="false" ht="15" hidden="false" customHeight="false" outlineLevel="0" collapsed="false">
      <c r="A49" s="43"/>
      <c r="B49" s="44"/>
      <c r="C49" s="44"/>
      <c r="D49" s="44"/>
      <c r="E49" s="44"/>
      <c r="F49" s="44"/>
      <c r="G49" s="44"/>
      <c r="H49" s="46" t="str">
        <f aca="false">IF($A49="","",IF(OR(NOT(ISNUMBER(E49)),NOT(ISNUMBER(F49))),"",MAX(0,E49)*F49))</f>
        <v/>
      </c>
      <c r="I49" s="46" t="str">
        <f aca="false">IF($A49="","",SUMIF($A$2:$A$5001,$A49,$H$2:$H$5001))</f>
        <v/>
      </c>
      <c r="J49" s="47" t="n">
        <f aca="false">IF($A49="",0,IF(COUNTIF($A$2:A49,$A49)=1,1,0))</f>
        <v>0</v>
      </c>
      <c r="K49" s="47" t="n">
        <f aca="false">IF(J49=1,N(I49)+ROW()/10000000,0)</f>
        <v>0</v>
      </c>
      <c r="L49" s="47" t="str">
        <f aca="false">IF(AND(J49=1,N(I49)&gt;0),SUMIF($K$2:$K$5001,"&gt;="&amp;K49,$I$2:$I$5001)/MAX(1,SUM($H$2:$H$5001)),"")</f>
        <v/>
      </c>
      <c r="M49" s="47" t="str">
        <f aca="false">IF($A49="","",INDEX($L$2:$L$5001,MATCH($A49,$A$2:$A$5001,0)))</f>
        <v/>
      </c>
      <c r="N49" s="48" t="str">
        <f aca="false">IF($A49="","",IF(N(M49)=0,"–",IF(M49&lt;=Start!$D$20,"A",IF(M49&lt;=Start!$D$21,"B","C"))))</f>
        <v/>
      </c>
      <c r="O49" s="48" t="str">
        <f aca="false">IF($A49="","",IF(NOT(ISNUMBER(F49)),"Wert fehlt; ",IF(F49&lt;=0,"Wert ist 0; ",""))&amp;IF(NOT(ISNUMBER(E49)),"Bestand fehlt; ",IF(E49&lt;0,"Bestand negativ; ",IF(E49=0,"Nullbestand; ","")))&amp;IF(D49="","Warengruppe fehlt; ","")&amp;IF(B49="","Bezeichnung fehlt; ","")&amp;IF(COUNTIFS($A$2:$A$5001,$A49,$C$2:$C$5001,C49)&gt;1,"Artikel doppelt im selben Lager; ",""))</f>
        <v/>
      </c>
      <c r="P49" s="47" t="n">
        <f aca="false">IF(OR($A49="",D49=""),0,IF(COUNTIF($D$2:D49,D49)=1,SUMIF($D$2:$D$5001,D49,$H$2:$H$5001)+ROW()/10000000,0))</f>
        <v>0</v>
      </c>
      <c r="Q49" s="47" t="n">
        <f aca="false">IF(OR($A49="",C49=""),0,IF(COUNTIF($C$2:C49,C49)=1,SUMIF($C$2:$C$5001,C49,$H$2:$H$5001)+ROW()/10000000,0))</f>
        <v>0</v>
      </c>
    </row>
    <row r="50" customFormat="false" ht="15" hidden="false" customHeight="false" outlineLevel="0" collapsed="false">
      <c r="A50" s="43"/>
      <c r="B50" s="44"/>
      <c r="C50" s="44"/>
      <c r="D50" s="44"/>
      <c r="E50" s="44"/>
      <c r="F50" s="44"/>
      <c r="G50" s="44"/>
      <c r="H50" s="46" t="str">
        <f aca="false">IF($A50="","",IF(OR(NOT(ISNUMBER(E50)),NOT(ISNUMBER(F50))),"",MAX(0,E50)*F50))</f>
        <v/>
      </c>
      <c r="I50" s="46" t="str">
        <f aca="false">IF($A50="","",SUMIF($A$2:$A$5001,$A50,$H$2:$H$5001))</f>
        <v/>
      </c>
      <c r="J50" s="47" t="n">
        <f aca="false">IF($A50="",0,IF(COUNTIF($A$2:A50,$A50)=1,1,0))</f>
        <v>0</v>
      </c>
      <c r="K50" s="47" t="n">
        <f aca="false">IF(J50=1,N(I50)+ROW()/10000000,0)</f>
        <v>0</v>
      </c>
      <c r="L50" s="47" t="str">
        <f aca="false">IF(AND(J50=1,N(I50)&gt;0),SUMIF($K$2:$K$5001,"&gt;="&amp;K50,$I$2:$I$5001)/MAX(1,SUM($H$2:$H$5001)),"")</f>
        <v/>
      </c>
      <c r="M50" s="47" t="str">
        <f aca="false">IF($A50="","",INDEX($L$2:$L$5001,MATCH($A50,$A$2:$A$5001,0)))</f>
        <v/>
      </c>
      <c r="N50" s="48" t="str">
        <f aca="false">IF($A50="","",IF(N(M50)=0,"–",IF(M50&lt;=Start!$D$20,"A",IF(M50&lt;=Start!$D$21,"B","C"))))</f>
        <v/>
      </c>
      <c r="O50" s="48" t="str">
        <f aca="false">IF($A50="","",IF(NOT(ISNUMBER(F50)),"Wert fehlt; ",IF(F50&lt;=0,"Wert ist 0; ",""))&amp;IF(NOT(ISNUMBER(E50)),"Bestand fehlt; ",IF(E50&lt;0,"Bestand negativ; ",IF(E50=0,"Nullbestand; ","")))&amp;IF(D50="","Warengruppe fehlt; ","")&amp;IF(B50="","Bezeichnung fehlt; ","")&amp;IF(COUNTIFS($A$2:$A$5001,$A50,$C$2:$C$5001,C50)&gt;1,"Artikel doppelt im selben Lager; ",""))</f>
        <v/>
      </c>
      <c r="P50" s="47" t="n">
        <f aca="false">IF(OR($A50="",D50=""),0,IF(COUNTIF($D$2:D50,D50)=1,SUMIF($D$2:$D$5001,D50,$H$2:$H$5001)+ROW()/10000000,0))</f>
        <v>0</v>
      </c>
      <c r="Q50" s="47" t="n">
        <f aca="false">IF(OR($A50="",C50=""),0,IF(COUNTIF($C$2:C50,C50)=1,SUMIF($C$2:$C$5001,C50,$H$2:$H$5001)+ROW()/10000000,0))</f>
        <v>0</v>
      </c>
    </row>
    <row r="51" customFormat="false" ht="15" hidden="false" customHeight="false" outlineLevel="0" collapsed="false">
      <c r="A51" s="43"/>
      <c r="B51" s="44"/>
      <c r="C51" s="44"/>
      <c r="D51" s="44"/>
      <c r="E51" s="44"/>
      <c r="F51" s="44"/>
      <c r="G51" s="44"/>
      <c r="H51" s="46" t="str">
        <f aca="false">IF($A51="","",IF(OR(NOT(ISNUMBER(E51)),NOT(ISNUMBER(F51))),"",MAX(0,E51)*F51))</f>
        <v/>
      </c>
      <c r="I51" s="46" t="str">
        <f aca="false">IF($A51="","",SUMIF($A$2:$A$5001,$A51,$H$2:$H$5001))</f>
        <v/>
      </c>
      <c r="J51" s="47" t="n">
        <f aca="false">IF($A51="",0,IF(COUNTIF($A$2:A51,$A51)=1,1,0))</f>
        <v>0</v>
      </c>
      <c r="K51" s="47" t="n">
        <f aca="false">IF(J51=1,N(I51)+ROW()/10000000,0)</f>
        <v>0</v>
      </c>
      <c r="L51" s="47" t="str">
        <f aca="false">IF(AND(J51=1,N(I51)&gt;0),SUMIF($K$2:$K$5001,"&gt;="&amp;K51,$I$2:$I$5001)/MAX(1,SUM($H$2:$H$5001)),"")</f>
        <v/>
      </c>
      <c r="M51" s="47" t="str">
        <f aca="false">IF($A51="","",INDEX($L$2:$L$5001,MATCH($A51,$A$2:$A$5001,0)))</f>
        <v/>
      </c>
      <c r="N51" s="48" t="str">
        <f aca="false">IF($A51="","",IF(N(M51)=0,"–",IF(M51&lt;=Start!$D$20,"A",IF(M51&lt;=Start!$D$21,"B","C"))))</f>
        <v/>
      </c>
      <c r="O51" s="48" t="str">
        <f aca="false">IF($A51="","",IF(NOT(ISNUMBER(F51)),"Wert fehlt; ",IF(F51&lt;=0,"Wert ist 0; ",""))&amp;IF(NOT(ISNUMBER(E51)),"Bestand fehlt; ",IF(E51&lt;0,"Bestand negativ; ",IF(E51=0,"Nullbestand; ","")))&amp;IF(D51="","Warengruppe fehlt; ","")&amp;IF(B51="","Bezeichnung fehlt; ","")&amp;IF(COUNTIFS($A$2:$A$5001,$A51,$C$2:$C$5001,C51)&gt;1,"Artikel doppelt im selben Lager; ",""))</f>
        <v/>
      </c>
      <c r="P51" s="47" t="n">
        <f aca="false">IF(OR($A51="",D51=""),0,IF(COUNTIF($D$2:D51,D51)=1,SUMIF($D$2:$D$5001,D51,$H$2:$H$5001)+ROW()/10000000,0))</f>
        <v>0</v>
      </c>
      <c r="Q51" s="47" t="n">
        <f aca="false">IF(OR($A51="",C51=""),0,IF(COUNTIF($C$2:C51,C51)=1,SUMIF($C$2:$C$5001,C51,$H$2:$H$5001)+ROW()/10000000,0))</f>
        <v>0</v>
      </c>
    </row>
    <row r="52" customFormat="false" ht="15" hidden="false" customHeight="false" outlineLevel="0" collapsed="false">
      <c r="A52" s="43"/>
      <c r="B52" s="44"/>
      <c r="C52" s="44"/>
      <c r="D52" s="44"/>
      <c r="E52" s="44"/>
      <c r="F52" s="44"/>
      <c r="G52" s="44"/>
      <c r="H52" s="46" t="str">
        <f aca="false">IF($A52="","",IF(OR(NOT(ISNUMBER(E52)),NOT(ISNUMBER(F52))),"",MAX(0,E52)*F52))</f>
        <v/>
      </c>
      <c r="I52" s="46" t="str">
        <f aca="false">IF($A52="","",SUMIF($A$2:$A$5001,$A52,$H$2:$H$5001))</f>
        <v/>
      </c>
      <c r="J52" s="47" t="n">
        <f aca="false">IF($A52="",0,IF(COUNTIF($A$2:A52,$A52)=1,1,0))</f>
        <v>0</v>
      </c>
      <c r="K52" s="47" t="n">
        <f aca="false">IF(J52=1,N(I52)+ROW()/10000000,0)</f>
        <v>0</v>
      </c>
      <c r="L52" s="47" t="str">
        <f aca="false">IF(AND(J52=1,N(I52)&gt;0),SUMIF($K$2:$K$5001,"&gt;="&amp;K52,$I$2:$I$5001)/MAX(1,SUM($H$2:$H$5001)),"")</f>
        <v/>
      </c>
      <c r="M52" s="47" t="str">
        <f aca="false">IF($A52="","",INDEX($L$2:$L$5001,MATCH($A52,$A$2:$A$5001,0)))</f>
        <v/>
      </c>
      <c r="N52" s="48" t="str">
        <f aca="false">IF($A52="","",IF(N(M52)=0,"–",IF(M52&lt;=Start!$D$20,"A",IF(M52&lt;=Start!$D$21,"B","C"))))</f>
        <v/>
      </c>
      <c r="O52" s="48" t="str">
        <f aca="false">IF($A52="","",IF(NOT(ISNUMBER(F52)),"Wert fehlt; ",IF(F52&lt;=0,"Wert ist 0; ",""))&amp;IF(NOT(ISNUMBER(E52)),"Bestand fehlt; ",IF(E52&lt;0,"Bestand negativ; ",IF(E52=0,"Nullbestand; ","")))&amp;IF(D52="","Warengruppe fehlt; ","")&amp;IF(B52="","Bezeichnung fehlt; ","")&amp;IF(COUNTIFS($A$2:$A$5001,$A52,$C$2:$C$5001,C52)&gt;1,"Artikel doppelt im selben Lager; ",""))</f>
        <v/>
      </c>
      <c r="P52" s="47" t="n">
        <f aca="false">IF(OR($A52="",D52=""),0,IF(COUNTIF($D$2:D52,D52)=1,SUMIF($D$2:$D$5001,D52,$H$2:$H$5001)+ROW()/10000000,0))</f>
        <v>0</v>
      </c>
      <c r="Q52" s="47" t="n">
        <f aca="false">IF(OR($A52="",C52=""),0,IF(COUNTIF($C$2:C52,C52)=1,SUMIF($C$2:$C$5001,C52,$H$2:$H$5001)+ROW()/10000000,0))</f>
        <v>0</v>
      </c>
    </row>
    <row r="53" customFormat="false" ht="15" hidden="false" customHeight="false" outlineLevel="0" collapsed="false">
      <c r="A53" s="43"/>
      <c r="B53" s="44"/>
      <c r="C53" s="44"/>
      <c r="D53" s="44"/>
      <c r="E53" s="44"/>
      <c r="F53" s="44"/>
      <c r="G53" s="44"/>
      <c r="H53" s="46" t="str">
        <f aca="false">IF($A53="","",IF(OR(NOT(ISNUMBER(E53)),NOT(ISNUMBER(F53))),"",MAX(0,E53)*F53))</f>
        <v/>
      </c>
      <c r="I53" s="46" t="str">
        <f aca="false">IF($A53="","",SUMIF($A$2:$A$5001,$A53,$H$2:$H$5001))</f>
        <v/>
      </c>
      <c r="J53" s="47" t="n">
        <f aca="false">IF($A53="",0,IF(COUNTIF($A$2:A53,$A53)=1,1,0))</f>
        <v>0</v>
      </c>
      <c r="K53" s="47" t="n">
        <f aca="false">IF(J53=1,N(I53)+ROW()/10000000,0)</f>
        <v>0</v>
      </c>
      <c r="L53" s="47" t="str">
        <f aca="false">IF(AND(J53=1,N(I53)&gt;0),SUMIF($K$2:$K$5001,"&gt;="&amp;K53,$I$2:$I$5001)/MAX(1,SUM($H$2:$H$5001)),"")</f>
        <v/>
      </c>
      <c r="M53" s="47" t="str">
        <f aca="false">IF($A53="","",INDEX($L$2:$L$5001,MATCH($A53,$A$2:$A$5001,0)))</f>
        <v/>
      </c>
      <c r="N53" s="48" t="str">
        <f aca="false">IF($A53="","",IF(N(M53)=0,"–",IF(M53&lt;=Start!$D$20,"A",IF(M53&lt;=Start!$D$21,"B","C"))))</f>
        <v/>
      </c>
      <c r="O53" s="48" t="str">
        <f aca="false">IF($A53="","",IF(NOT(ISNUMBER(F53)),"Wert fehlt; ",IF(F53&lt;=0,"Wert ist 0; ",""))&amp;IF(NOT(ISNUMBER(E53)),"Bestand fehlt; ",IF(E53&lt;0,"Bestand negativ; ",IF(E53=0,"Nullbestand; ","")))&amp;IF(D53="","Warengruppe fehlt; ","")&amp;IF(B53="","Bezeichnung fehlt; ","")&amp;IF(COUNTIFS($A$2:$A$5001,$A53,$C$2:$C$5001,C53)&gt;1,"Artikel doppelt im selben Lager; ",""))</f>
        <v/>
      </c>
      <c r="P53" s="47" t="n">
        <f aca="false">IF(OR($A53="",D53=""),0,IF(COUNTIF($D$2:D53,D53)=1,SUMIF($D$2:$D$5001,D53,$H$2:$H$5001)+ROW()/10000000,0))</f>
        <v>0</v>
      </c>
      <c r="Q53" s="47" t="n">
        <f aca="false">IF(OR($A53="",C53=""),0,IF(COUNTIF($C$2:C53,C53)=1,SUMIF($C$2:$C$5001,C53,$H$2:$H$5001)+ROW()/10000000,0))</f>
        <v>0</v>
      </c>
    </row>
    <row r="54" customFormat="false" ht="15" hidden="false" customHeight="false" outlineLevel="0" collapsed="false">
      <c r="A54" s="43"/>
      <c r="B54" s="44"/>
      <c r="C54" s="44"/>
      <c r="D54" s="44"/>
      <c r="E54" s="44"/>
      <c r="F54" s="44"/>
      <c r="G54" s="44"/>
      <c r="H54" s="46" t="str">
        <f aca="false">IF($A54="","",IF(OR(NOT(ISNUMBER(E54)),NOT(ISNUMBER(F54))),"",MAX(0,E54)*F54))</f>
        <v/>
      </c>
      <c r="I54" s="46" t="str">
        <f aca="false">IF($A54="","",SUMIF($A$2:$A$5001,$A54,$H$2:$H$5001))</f>
        <v/>
      </c>
      <c r="J54" s="47" t="n">
        <f aca="false">IF($A54="",0,IF(COUNTIF($A$2:A54,$A54)=1,1,0))</f>
        <v>0</v>
      </c>
      <c r="K54" s="47" t="n">
        <f aca="false">IF(J54=1,N(I54)+ROW()/10000000,0)</f>
        <v>0</v>
      </c>
      <c r="L54" s="47" t="str">
        <f aca="false">IF(AND(J54=1,N(I54)&gt;0),SUMIF($K$2:$K$5001,"&gt;="&amp;K54,$I$2:$I$5001)/MAX(1,SUM($H$2:$H$5001)),"")</f>
        <v/>
      </c>
      <c r="M54" s="47" t="str">
        <f aca="false">IF($A54="","",INDEX($L$2:$L$5001,MATCH($A54,$A$2:$A$5001,0)))</f>
        <v/>
      </c>
      <c r="N54" s="48" t="str">
        <f aca="false">IF($A54="","",IF(N(M54)=0,"–",IF(M54&lt;=Start!$D$20,"A",IF(M54&lt;=Start!$D$21,"B","C"))))</f>
        <v/>
      </c>
      <c r="O54" s="48" t="str">
        <f aca="false">IF($A54="","",IF(NOT(ISNUMBER(F54)),"Wert fehlt; ",IF(F54&lt;=0,"Wert ist 0; ",""))&amp;IF(NOT(ISNUMBER(E54)),"Bestand fehlt; ",IF(E54&lt;0,"Bestand negativ; ",IF(E54=0,"Nullbestand; ","")))&amp;IF(D54="","Warengruppe fehlt; ","")&amp;IF(B54="","Bezeichnung fehlt; ","")&amp;IF(COUNTIFS($A$2:$A$5001,$A54,$C$2:$C$5001,C54)&gt;1,"Artikel doppelt im selben Lager; ",""))</f>
        <v/>
      </c>
      <c r="P54" s="47" t="n">
        <f aca="false">IF(OR($A54="",D54=""),0,IF(COUNTIF($D$2:D54,D54)=1,SUMIF($D$2:$D$5001,D54,$H$2:$H$5001)+ROW()/10000000,0))</f>
        <v>0</v>
      </c>
      <c r="Q54" s="47" t="n">
        <f aca="false">IF(OR($A54="",C54=""),0,IF(COUNTIF($C$2:C54,C54)=1,SUMIF($C$2:$C$5001,C54,$H$2:$H$5001)+ROW()/10000000,0))</f>
        <v>0</v>
      </c>
    </row>
    <row r="55" customFormat="false" ht="15" hidden="false" customHeight="false" outlineLevel="0" collapsed="false">
      <c r="A55" s="43"/>
      <c r="B55" s="44"/>
      <c r="C55" s="44"/>
      <c r="D55" s="44"/>
      <c r="E55" s="44"/>
      <c r="F55" s="44"/>
      <c r="G55" s="44"/>
      <c r="H55" s="46" t="str">
        <f aca="false">IF($A55="","",IF(OR(NOT(ISNUMBER(E55)),NOT(ISNUMBER(F55))),"",MAX(0,E55)*F55))</f>
        <v/>
      </c>
      <c r="I55" s="46" t="str">
        <f aca="false">IF($A55="","",SUMIF($A$2:$A$5001,$A55,$H$2:$H$5001))</f>
        <v/>
      </c>
      <c r="J55" s="47" t="n">
        <f aca="false">IF($A55="",0,IF(COUNTIF($A$2:A55,$A55)=1,1,0))</f>
        <v>0</v>
      </c>
      <c r="K55" s="47" t="n">
        <f aca="false">IF(J55=1,N(I55)+ROW()/10000000,0)</f>
        <v>0</v>
      </c>
      <c r="L55" s="47" t="str">
        <f aca="false">IF(AND(J55=1,N(I55)&gt;0),SUMIF($K$2:$K$5001,"&gt;="&amp;K55,$I$2:$I$5001)/MAX(1,SUM($H$2:$H$5001)),"")</f>
        <v/>
      </c>
      <c r="M55" s="47" t="str">
        <f aca="false">IF($A55="","",INDEX($L$2:$L$5001,MATCH($A55,$A$2:$A$5001,0)))</f>
        <v/>
      </c>
      <c r="N55" s="48" t="str">
        <f aca="false">IF($A55="","",IF(N(M55)=0,"–",IF(M55&lt;=Start!$D$20,"A",IF(M55&lt;=Start!$D$21,"B","C"))))</f>
        <v/>
      </c>
      <c r="O55" s="48" t="str">
        <f aca="false">IF($A55="","",IF(NOT(ISNUMBER(F55)),"Wert fehlt; ",IF(F55&lt;=0,"Wert ist 0; ",""))&amp;IF(NOT(ISNUMBER(E55)),"Bestand fehlt; ",IF(E55&lt;0,"Bestand negativ; ",IF(E55=0,"Nullbestand; ","")))&amp;IF(D55="","Warengruppe fehlt; ","")&amp;IF(B55="","Bezeichnung fehlt; ","")&amp;IF(COUNTIFS($A$2:$A$5001,$A55,$C$2:$C$5001,C55)&gt;1,"Artikel doppelt im selben Lager; ",""))</f>
        <v/>
      </c>
      <c r="P55" s="47" t="n">
        <f aca="false">IF(OR($A55="",D55=""),0,IF(COUNTIF($D$2:D55,D55)=1,SUMIF($D$2:$D$5001,D55,$H$2:$H$5001)+ROW()/10000000,0))</f>
        <v>0</v>
      </c>
      <c r="Q55" s="47" t="n">
        <f aca="false">IF(OR($A55="",C55=""),0,IF(COUNTIF($C$2:C55,C55)=1,SUMIF($C$2:$C$5001,C55,$H$2:$H$5001)+ROW()/10000000,0))</f>
        <v>0</v>
      </c>
    </row>
    <row r="56" customFormat="false" ht="15" hidden="false" customHeight="false" outlineLevel="0" collapsed="false">
      <c r="A56" s="43"/>
      <c r="B56" s="44"/>
      <c r="C56" s="44"/>
      <c r="D56" s="44"/>
      <c r="E56" s="44"/>
      <c r="F56" s="44"/>
      <c r="G56" s="44"/>
      <c r="H56" s="46" t="str">
        <f aca="false">IF($A56="","",IF(OR(NOT(ISNUMBER(E56)),NOT(ISNUMBER(F56))),"",MAX(0,E56)*F56))</f>
        <v/>
      </c>
      <c r="I56" s="46" t="str">
        <f aca="false">IF($A56="","",SUMIF($A$2:$A$5001,$A56,$H$2:$H$5001))</f>
        <v/>
      </c>
      <c r="J56" s="47" t="n">
        <f aca="false">IF($A56="",0,IF(COUNTIF($A$2:A56,$A56)=1,1,0))</f>
        <v>0</v>
      </c>
      <c r="K56" s="47" t="n">
        <f aca="false">IF(J56=1,N(I56)+ROW()/10000000,0)</f>
        <v>0</v>
      </c>
      <c r="L56" s="47" t="str">
        <f aca="false">IF(AND(J56=1,N(I56)&gt;0),SUMIF($K$2:$K$5001,"&gt;="&amp;K56,$I$2:$I$5001)/MAX(1,SUM($H$2:$H$5001)),"")</f>
        <v/>
      </c>
      <c r="M56" s="47" t="str">
        <f aca="false">IF($A56="","",INDEX($L$2:$L$5001,MATCH($A56,$A$2:$A$5001,0)))</f>
        <v/>
      </c>
      <c r="N56" s="48" t="str">
        <f aca="false">IF($A56="","",IF(N(M56)=0,"–",IF(M56&lt;=Start!$D$20,"A",IF(M56&lt;=Start!$D$21,"B","C"))))</f>
        <v/>
      </c>
      <c r="O56" s="48" t="str">
        <f aca="false">IF($A56="","",IF(NOT(ISNUMBER(F56)),"Wert fehlt; ",IF(F56&lt;=0,"Wert ist 0; ",""))&amp;IF(NOT(ISNUMBER(E56)),"Bestand fehlt; ",IF(E56&lt;0,"Bestand negativ; ",IF(E56=0,"Nullbestand; ","")))&amp;IF(D56="","Warengruppe fehlt; ","")&amp;IF(B56="","Bezeichnung fehlt; ","")&amp;IF(COUNTIFS($A$2:$A$5001,$A56,$C$2:$C$5001,C56)&gt;1,"Artikel doppelt im selben Lager; ",""))</f>
        <v/>
      </c>
      <c r="P56" s="47" t="n">
        <f aca="false">IF(OR($A56="",D56=""),0,IF(COUNTIF($D$2:D56,D56)=1,SUMIF($D$2:$D$5001,D56,$H$2:$H$5001)+ROW()/10000000,0))</f>
        <v>0</v>
      </c>
      <c r="Q56" s="47" t="n">
        <f aca="false">IF(OR($A56="",C56=""),0,IF(COUNTIF($C$2:C56,C56)=1,SUMIF($C$2:$C$5001,C56,$H$2:$H$5001)+ROW()/10000000,0))</f>
        <v>0</v>
      </c>
    </row>
    <row r="57" customFormat="false" ht="15" hidden="false" customHeight="false" outlineLevel="0" collapsed="false">
      <c r="A57" s="43"/>
      <c r="B57" s="44"/>
      <c r="C57" s="44"/>
      <c r="D57" s="44"/>
      <c r="E57" s="44"/>
      <c r="F57" s="44"/>
      <c r="G57" s="44"/>
      <c r="H57" s="46" t="str">
        <f aca="false">IF($A57="","",IF(OR(NOT(ISNUMBER(E57)),NOT(ISNUMBER(F57))),"",MAX(0,E57)*F57))</f>
        <v/>
      </c>
      <c r="I57" s="46" t="str">
        <f aca="false">IF($A57="","",SUMIF($A$2:$A$5001,$A57,$H$2:$H$5001))</f>
        <v/>
      </c>
      <c r="J57" s="47" t="n">
        <f aca="false">IF($A57="",0,IF(COUNTIF($A$2:A57,$A57)=1,1,0))</f>
        <v>0</v>
      </c>
      <c r="K57" s="47" t="n">
        <f aca="false">IF(J57=1,N(I57)+ROW()/10000000,0)</f>
        <v>0</v>
      </c>
      <c r="L57" s="47" t="str">
        <f aca="false">IF(AND(J57=1,N(I57)&gt;0),SUMIF($K$2:$K$5001,"&gt;="&amp;K57,$I$2:$I$5001)/MAX(1,SUM($H$2:$H$5001)),"")</f>
        <v/>
      </c>
      <c r="M57" s="47" t="str">
        <f aca="false">IF($A57="","",INDEX($L$2:$L$5001,MATCH($A57,$A$2:$A$5001,0)))</f>
        <v/>
      </c>
      <c r="N57" s="48" t="str">
        <f aca="false">IF($A57="","",IF(N(M57)=0,"–",IF(M57&lt;=Start!$D$20,"A",IF(M57&lt;=Start!$D$21,"B","C"))))</f>
        <v/>
      </c>
      <c r="O57" s="48" t="str">
        <f aca="false">IF($A57="","",IF(NOT(ISNUMBER(F57)),"Wert fehlt; ",IF(F57&lt;=0,"Wert ist 0; ",""))&amp;IF(NOT(ISNUMBER(E57)),"Bestand fehlt; ",IF(E57&lt;0,"Bestand negativ; ",IF(E57=0,"Nullbestand; ","")))&amp;IF(D57="","Warengruppe fehlt; ","")&amp;IF(B57="","Bezeichnung fehlt; ","")&amp;IF(COUNTIFS($A$2:$A$5001,$A57,$C$2:$C$5001,C57)&gt;1,"Artikel doppelt im selben Lager; ",""))</f>
        <v/>
      </c>
      <c r="P57" s="47" t="n">
        <f aca="false">IF(OR($A57="",D57=""),0,IF(COUNTIF($D$2:D57,D57)=1,SUMIF($D$2:$D$5001,D57,$H$2:$H$5001)+ROW()/10000000,0))</f>
        <v>0</v>
      </c>
      <c r="Q57" s="47" t="n">
        <f aca="false">IF(OR($A57="",C57=""),0,IF(COUNTIF($C$2:C57,C57)=1,SUMIF($C$2:$C$5001,C57,$H$2:$H$5001)+ROW()/10000000,0))</f>
        <v>0</v>
      </c>
    </row>
    <row r="58" customFormat="false" ht="15" hidden="false" customHeight="false" outlineLevel="0" collapsed="false">
      <c r="A58" s="43"/>
      <c r="B58" s="44"/>
      <c r="C58" s="44"/>
      <c r="D58" s="44"/>
      <c r="E58" s="44"/>
      <c r="F58" s="44"/>
      <c r="G58" s="44"/>
      <c r="H58" s="46" t="str">
        <f aca="false">IF($A58="","",IF(OR(NOT(ISNUMBER(E58)),NOT(ISNUMBER(F58))),"",MAX(0,E58)*F58))</f>
        <v/>
      </c>
      <c r="I58" s="46" t="str">
        <f aca="false">IF($A58="","",SUMIF($A$2:$A$5001,$A58,$H$2:$H$5001))</f>
        <v/>
      </c>
      <c r="J58" s="47" t="n">
        <f aca="false">IF($A58="",0,IF(COUNTIF($A$2:A58,$A58)=1,1,0))</f>
        <v>0</v>
      </c>
      <c r="K58" s="47" t="n">
        <f aca="false">IF(J58=1,N(I58)+ROW()/10000000,0)</f>
        <v>0</v>
      </c>
      <c r="L58" s="47" t="str">
        <f aca="false">IF(AND(J58=1,N(I58)&gt;0),SUMIF($K$2:$K$5001,"&gt;="&amp;K58,$I$2:$I$5001)/MAX(1,SUM($H$2:$H$5001)),"")</f>
        <v/>
      </c>
      <c r="M58" s="47" t="str">
        <f aca="false">IF($A58="","",INDEX($L$2:$L$5001,MATCH($A58,$A$2:$A$5001,0)))</f>
        <v/>
      </c>
      <c r="N58" s="48" t="str">
        <f aca="false">IF($A58="","",IF(N(M58)=0,"–",IF(M58&lt;=Start!$D$20,"A",IF(M58&lt;=Start!$D$21,"B","C"))))</f>
        <v/>
      </c>
      <c r="O58" s="48" t="str">
        <f aca="false">IF($A58="","",IF(NOT(ISNUMBER(F58)),"Wert fehlt; ",IF(F58&lt;=0,"Wert ist 0; ",""))&amp;IF(NOT(ISNUMBER(E58)),"Bestand fehlt; ",IF(E58&lt;0,"Bestand negativ; ",IF(E58=0,"Nullbestand; ","")))&amp;IF(D58="","Warengruppe fehlt; ","")&amp;IF(B58="","Bezeichnung fehlt; ","")&amp;IF(COUNTIFS($A$2:$A$5001,$A58,$C$2:$C$5001,C58)&gt;1,"Artikel doppelt im selben Lager; ",""))</f>
        <v/>
      </c>
      <c r="P58" s="47" t="n">
        <f aca="false">IF(OR($A58="",D58=""),0,IF(COUNTIF($D$2:D58,D58)=1,SUMIF($D$2:$D$5001,D58,$H$2:$H$5001)+ROW()/10000000,0))</f>
        <v>0</v>
      </c>
      <c r="Q58" s="47" t="n">
        <f aca="false">IF(OR($A58="",C58=""),0,IF(COUNTIF($C$2:C58,C58)=1,SUMIF($C$2:$C$5001,C58,$H$2:$H$5001)+ROW()/10000000,0))</f>
        <v>0</v>
      </c>
    </row>
    <row r="59" customFormat="false" ht="15" hidden="false" customHeight="false" outlineLevel="0" collapsed="false">
      <c r="A59" s="43"/>
      <c r="B59" s="44"/>
      <c r="C59" s="44"/>
      <c r="D59" s="44"/>
      <c r="E59" s="44"/>
      <c r="F59" s="44"/>
      <c r="G59" s="44"/>
      <c r="H59" s="46" t="str">
        <f aca="false">IF($A59="","",IF(OR(NOT(ISNUMBER(E59)),NOT(ISNUMBER(F59))),"",MAX(0,E59)*F59))</f>
        <v/>
      </c>
      <c r="I59" s="46" t="str">
        <f aca="false">IF($A59="","",SUMIF($A$2:$A$5001,$A59,$H$2:$H$5001))</f>
        <v/>
      </c>
      <c r="J59" s="47" t="n">
        <f aca="false">IF($A59="",0,IF(COUNTIF($A$2:A59,$A59)=1,1,0))</f>
        <v>0</v>
      </c>
      <c r="K59" s="47" t="n">
        <f aca="false">IF(J59=1,N(I59)+ROW()/10000000,0)</f>
        <v>0</v>
      </c>
      <c r="L59" s="47" t="str">
        <f aca="false">IF(AND(J59=1,N(I59)&gt;0),SUMIF($K$2:$K$5001,"&gt;="&amp;K59,$I$2:$I$5001)/MAX(1,SUM($H$2:$H$5001)),"")</f>
        <v/>
      </c>
      <c r="M59" s="47" t="str">
        <f aca="false">IF($A59="","",INDEX($L$2:$L$5001,MATCH($A59,$A$2:$A$5001,0)))</f>
        <v/>
      </c>
      <c r="N59" s="48" t="str">
        <f aca="false">IF($A59="","",IF(N(M59)=0,"–",IF(M59&lt;=Start!$D$20,"A",IF(M59&lt;=Start!$D$21,"B","C"))))</f>
        <v/>
      </c>
      <c r="O59" s="48" t="str">
        <f aca="false">IF($A59="","",IF(NOT(ISNUMBER(F59)),"Wert fehlt; ",IF(F59&lt;=0,"Wert ist 0; ",""))&amp;IF(NOT(ISNUMBER(E59)),"Bestand fehlt; ",IF(E59&lt;0,"Bestand negativ; ",IF(E59=0,"Nullbestand; ","")))&amp;IF(D59="","Warengruppe fehlt; ","")&amp;IF(B59="","Bezeichnung fehlt; ","")&amp;IF(COUNTIFS($A$2:$A$5001,$A59,$C$2:$C$5001,C59)&gt;1,"Artikel doppelt im selben Lager; ",""))</f>
        <v/>
      </c>
      <c r="P59" s="47" t="n">
        <f aca="false">IF(OR($A59="",D59=""),0,IF(COUNTIF($D$2:D59,D59)=1,SUMIF($D$2:$D$5001,D59,$H$2:$H$5001)+ROW()/10000000,0))</f>
        <v>0</v>
      </c>
      <c r="Q59" s="47" t="n">
        <f aca="false">IF(OR($A59="",C59=""),0,IF(COUNTIF($C$2:C59,C59)=1,SUMIF($C$2:$C$5001,C59,$H$2:$H$5001)+ROW()/10000000,0))</f>
        <v>0</v>
      </c>
    </row>
    <row r="60" customFormat="false" ht="15" hidden="false" customHeight="false" outlineLevel="0" collapsed="false">
      <c r="A60" s="43"/>
      <c r="B60" s="44"/>
      <c r="C60" s="44"/>
      <c r="D60" s="44"/>
      <c r="E60" s="44"/>
      <c r="F60" s="44"/>
      <c r="G60" s="44"/>
      <c r="H60" s="46" t="str">
        <f aca="false">IF($A60="","",IF(OR(NOT(ISNUMBER(E60)),NOT(ISNUMBER(F60))),"",MAX(0,E60)*F60))</f>
        <v/>
      </c>
      <c r="I60" s="46" t="str">
        <f aca="false">IF($A60="","",SUMIF($A$2:$A$5001,$A60,$H$2:$H$5001))</f>
        <v/>
      </c>
      <c r="J60" s="47" t="n">
        <f aca="false">IF($A60="",0,IF(COUNTIF($A$2:A60,$A60)=1,1,0))</f>
        <v>0</v>
      </c>
      <c r="K60" s="47" t="n">
        <f aca="false">IF(J60=1,N(I60)+ROW()/10000000,0)</f>
        <v>0</v>
      </c>
      <c r="L60" s="47" t="str">
        <f aca="false">IF(AND(J60=1,N(I60)&gt;0),SUMIF($K$2:$K$5001,"&gt;="&amp;K60,$I$2:$I$5001)/MAX(1,SUM($H$2:$H$5001)),"")</f>
        <v/>
      </c>
      <c r="M60" s="47" t="str">
        <f aca="false">IF($A60="","",INDEX($L$2:$L$5001,MATCH($A60,$A$2:$A$5001,0)))</f>
        <v/>
      </c>
      <c r="N60" s="48" t="str">
        <f aca="false">IF($A60="","",IF(N(M60)=0,"–",IF(M60&lt;=Start!$D$20,"A",IF(M60&lt;=Start!$D$21,"B","C"))))</f>
        <v/>
      </c>
      <c r="O60" s="48" t="str">
        <f aca="false">IF($A60="","",IF(NOT(ISNUMBER(F60)),"Wert fehlt; ",IF(F60&lt;=0,"Wert ist 0; ",""))&amp;IF(NOT(ISNUMBER(E60)),"Bestand fehlt; ",IF(E60&lt;0,"Bestand negativ; ",IF(E60=0,"Nullbestand; ","")))&amp;IF(D60="","Warengruppe fehlt; ","")&amp;IF(B60="","Bezeichnung fehlt; ","")&amp;IF(COUNTIFS($A$2:$A$5001,$A60,$C$2:$C$5001,C60)&gt;1,"Artikel doppelt im selben Lager; ",""))</f>
        <v/>
      </c>
      <c r="P60" s="47" t="n">
        <f aca="false">IF(OR($A60="",D60=""),0,IF(COUNTIF($D$2:D60,D60)=1,SUMIF($D$2:$D$5001,D60,$H$2:$H$5001)+ROW()/10000000,0))</f>
        <v>0</v>
      </c>
      <c r="Q60" s="47" t="n">
        <f aca="false">IF(OR($A60="",C60=""),0,IF(COUNTIF($C$2:C60,C60)=1,SUMIF($C$2:$C$5001,C60,$H$2:$H$5001)+ROW()/10000000,0))</f>
        <v>0</v>
      </c>
    </row>
    <row r="61" customFormat="false" ht="15" hidden="false" customHeight="false" outlineLevel="0" collapsed="false">
      <c r="A61" s="43"/>
      <c r="B61" s="44"/>
      <c r="C61" s="44"/>
      <c r="D61" s="44"/>
      <c r="E61" s="44"/>
      <c r="F61" s="44"/>
      <c r="G61" s="44"/>
      <c r="H61" s="46" t="str">
        <f aca="false">IF($A61="","",IF(OR(NOT(ISNUMBER(E61)),NOT(ISNUMBER(F61))),"",MAX(0,E61)*F61))</f>
        <v/>
      </c>
      <c r="I61" s="46" t="str">
        <f aca="false">IF($A61="","",SUMIF($A$2:$A$5001,$A61,$H$2:$H$5001))</f>
        <v/>
      </c>
      <c r="J61" s="47" t="n">
        <f aca="false">IF($A61="",0,IF(COUNTIF($A$2:A61,$A61)=1,1,0))</f>
        <v>0</v>
      </c>
      <c r="K61" s="47" t="n">
        <f aca="false">IF(J61=1,N(I61)+ROW()/10000000,0)</f>
        <v>0</v>
      </c>
      <c r="L61" s="47" t="str">
        <f aca="false">IF(AND(J61=1,N(I61)&gt;0),SUMIF($K$2:$K$5001,"&gt;="&amp;K61,$I$2:$I$5001)/MAX(1,SUM($H$2:$H$5001)),"")</f>
        <v/>
      </c>
      <c r="M61" s="47" t="str">
        <f aca="false">IF($A61="","",INDEX($L$2:$L$5001,MATCH($A61,$A$2:$A$5001,0)))</f>
        <v/>
      </c>
      <c r="N61" s="48" t="str">
        <f aca="false">IF($A61="","",IF(N(M61)=0,"–",IF(M61&lt;=Start!$D$20,"A",IF(M61&lt;=Start!$D$21,"B","C"))))</f>
        <v/>
      </c>
      <c r="O61" s="48" t="str">
        <f aca="false">IF($A61="","",IF(NOT(ISNUMBER(F61)),"Wert fehlt; ",IF(F61&lt;=0,"Wert ist 0; ",""))&amp;IF(NOT(ISNUMBER(E61)),"Bestand fehlt; ",IF(E61&lt;0,"Bestand negativ; ",IF(E61=0,"Nullbestand; ","")))&amp;IF(D61="","Warengruppe fehlt; ","")&amp;IF(B61="","Bezeichnung fehlt; ","")&amp;IF(COUNTIFS($A$2:$A$5001,$A61,$C$2:$C$5001,C61)&gt;1,"Artikel doppelt im selben Lager; ",""))</f>
        <v/>
      </c>
      <c r="P61" s="47" t="n">
        <f aca="false">IF(OR($A61="",D61=""),0,IF(COUNTIF($D$2:D61,D61)=1,SUMIF($D$2:$D$5001,D61,$H$2:$H$5001)+ROW()/10000000,0))</f>
        <v>0</v>
      </c>
      <c r="Q61" s="47" t="n">
        <f aca="false">IF(OR($A61="",C61=""),0,IF(COUNTIF($C$2:C61,C61)=1,SUMIF($C$2:$C$5001,C61,$H$2:$H$5001)+ROW()/10000000,0))</f>
        <v>0</v>
      </c>
    </row>
    <row r="62" customFormat="false" ht="15" hidden="false" customHeight="false" outlineLevel="0" collapsed="false">
      <c r="A62" s="43"/>
      <c r="B62" s="44"/>
      <c r="C62" s="44"/>
      <c r="D62" s="44"/>
      <c r="E62" s="44"/>
      <c r="F62" s="44"/>
      <c r="G62" s="44"/>
      <c r="H62" s="46" t="str">
        <f aca="false">IF($A62="","",IF(OR(NOT(ISNUMBER(E62)),NOT(ISNUMBER(F62))),"",MAX(0,E62)*F62))</f>
        <v/>
      </c>
      <c r="I62" s="46" t="str">
        <f aca="false">IF($A62="","",SUMIF($A$2:$A$5001,$A62,$H$2:$H$5001))</f>
        <v/>
      </c>
      <c r="J62" s="47" t="n">
        <f aca="false">IF($A62="",0,IF(COUNTIF($A$2:A62,$A62)=1,1,0))</f>
        <v>0</v>
      </c>
      <c r="K62" s="47" t="n">
        <f aca="false">IF(J62=1,N(I62)+ROW()/10000000,0)</f>
        <v>0</v>
      </c>
      <c r="L62" s="47" t="str">
        <f aca="false">IF(AND(J62=1,N(I62)&gt;0),SUMIF($K$2:$K$5001,"&gt;="&amp;K62,$I$2:$I$5001)/MAX(1,SUM($H$2:$H$5001)),"")</f>
        <v/>
      </c>
      <c r="M62" s="47" t="str">
        <f aca="false">IF($A62="","",INDEX($L$2:$L$5001,MATCH($A62,$A$2:$A$5001,0)))</f>
        <v/>
      </c>
      <c r="N62" s="48" t="str">
        <f aca="false">IF($A62="","",IF(N(M62)=0,"–",IF(M62&lt;=Start!$D$20,"A",IF(M62&lt;=Start!$D$21,"B","C"))))</f>
        <v/>
      </c>
      <c r="O62" s="48" t="str">
        <f aca="false">IF($A62="","",IF(NOT(ISNUMBER(F62)),"Wert fehlt; ",IF(F62&lt;=0,"Wert ist 0; ",""))&amp;IF(NOT(ISNUMBER(E62)),"Bestand fehlt; ",IF(E62&lt;0,"Bestand negativ; ",IF(E62=0,"Nullbestand; ","")))&amp;IF(D62="","Warengruppe fehlt; ","")&amp;IF(B62="","Bezeichnung fehlt; ","")&amp;IF(COUNTIFS($A$2:$A$5001,$A62,$C$2:$C$5001,C62)&gt;1,"Artikel doppelt im selben Lager; ",""))</f>
        <v/>
      </c>
      <c r="P62" s="47" t="n">
        <f aca="false">IF(OR($A62="",D62=""),0,IF(COUNTIF($D$2:D62,D62)=1,SUMIF($D$2:$D$5001,D62,$H$2:$H$5001)+ROW()/10000000,0))</f>
        <v>0</v>
      </c>
      <c r="Q62" s="47" t="n">
        <f aca="false">IF(OR($A62="",C62=""),0,IF(COUNTIF($C$2:C62,C62)=1,SUMIF($C$2:$C$5001,C62,$H$2:$H$5001)+ROW()/10000000,0))</f>
        <v>0</v>
      </c>
    </row>
    <row r="63" customFormat="false" ht="15" hidden="false" customHeight="false" outlineLevel="0" collapsed="false">
      <c r="A63" s="43"/>
      <c r="B63" s="44"/>
      <c r="C63" s="44"/>
      <c r="D63" s="44"/>
      <c r="E63" s="44"/>
      <c r="F63" s="44"/>
      <c r="G63" s="44"/>
      <c r="H63" s="46" t="str">
        <f aca="false">IF($A63="","",IF(OR(NOT(ISNUMBER(E63)),NOT(ISNUMBER(F63))),"",MAX(0,E63)*F63))</f>
        <v/>
      </c>
      <c r="I63" s="46" t="str">
        <f aca="false">IF($A63="","",SUMIF($A$2:$A$5001,$A63,$H$2:$H$5001))</f>
        <v/>
      </c>
      <c r="J63" s="47" t="n">
        <f aca="false">IF($A63="",0,IF(COUNTIF($A$2:A63,$A63)=1,1,0))</f>
        <v>0</v>
      </c>
      <c r="K63" s="47" t="n">
        <f aca="false">IF(J63=1,N(I63)+ROW()/10000000,0)</f>
        <v>0</v>
      </c>
      <c r="L63" s="47" t="str">
        <f aca="false">IF(AND(J63=1,N(I63)&gt;0),SUMIF($K$2:$K$5001,"&gt;="&amp;K63,$I$2:$I$5001)/MAX(1,SUM($H$2:$H$5001)),"")</f>
        <v/>
      </c>
      <c r="M63" s="47" t="str">
        <f aca="false">IF($A63="","",INDEX($L$2:$L$5001,MATCH($A63,$A$2:$A$5001,0)))</f>
        <v/>
      </c>
      <c r="N63" s="48" t="str">
        <f aca="false">IF($A63="","",IF(N(M63)=0,"–",IF(M63&lt;=Start!$D$20,"A",IF(M63&lt;=Start!$D$21,"B","C"))))</f>
        <v/>
      </c>
      <c r="O63" s="48" t="str">
        <f aca="false">IF($A63="","",IF(NOT(ISNUMBER(F63)),"Wert fehlt; ",IF(F63&lt;=0,"Wert ist 0; ",""))&amp;IF(NOT(ISNUMBER(E63)),"Bestand fehlt; ",IF(E63&lt;0,"Bestand negativ; ",IF(E63=0,"Nullbestand; ","")))&amp;IF(D63="","Warengruppe fehlt; ","")&amp;IF(B63="","Bezeichnung fehlt; ","")&amp;IF(COUNTIFS($A$2:$A$5001,$A63,$C$2:$C$5001,C63)&gt;1,"Artikel doppelt im selben Lager; ",""))</f>
        <v/>
      </c>
      <c r="P63" s="47" t="n">
        <f aca="false">IF(OR($A63="",D63=""),0,IF(COUNTIF($D$2:D63,D63)=1,SUMIF($D$2:$D$5001,D63,$H$2:$H$5001)+ROW()/10000000,0))</f>
        <v>0</v>
      </c>
      <c r="Q63" s="47" t="n">
        <f aca="false">IF(OR($A63="",C63=""),0,IF(COUNTIF($C$2:C63,C63)=1,SUMIF($C$2:$C$5001,C63,$H$2:$H$5001)+ROW()/10000000,0))</f>
        <v>0</v>
      </c>
    </row>
    <row r="64" customFormat="false" ht="15" hidden="false" customHeight="false" outlineLevel="0" collapsed="false">
      <c r="A64" s="43"/>
      <c r="B64" s="44"/>
      <c r="C64" s="44"/>
      <c r="D64" s="44"/>
      <c r="E64" s="44"/>
      <c r="F64" s="44"/>
      <c r="G64" s="44"/>
      <c r="H64" s="46" t="str">
        <f aca="false">IF($A64="","",IF(OR(NOT(ISNUMBER(E64)),NOT(ISNUMBER(F64))),"",MAX(0,E64)*F64))</f>
        <v/>
      </c>
      <c r="I64" s="46" t="str">
        <f aca="false">IF($A64="","",SUMIF($A$2:$A$5001,$A64,$H$2:$H$5001))</f>
        <v/>
      </c>
      <c r="J64" s="47" t="n">
        <f aca="false">IF($A64="",0,IF(COUNTIF($A$2:A64,$A64)=1,1,0))</f>
        <v>0</v>
      </c>
      <c r="K64" s="47" t="n">
        <f aca="false">IF(J64=1,N(I64)+ROW()/10000000,0)</f>
        <v>0</v>
      </c>
      <c r="L64" s="47" t="str">
        <f aca="false">IF(AND(J64=1,N(I64)&gt;0),SUMIF($K$2:$K$5001,"&gt;="&amp;K64,$I$2:$I$5001)/MAX(1,SUM($H$2:$H$5001)),"")</f>
        <v/>
      </c>
      <c r="M64" s="47" t="str">
        <f aca="false">IF($A64="","",INDEX($L$2:$L$5001,MATCH($A64,$A$2:$A$5001,0)))</f>
        <v/>
      </c>
      <c r="N64" s="48" t="str">
        <f aca="false">IF($A64="","",IF(N(M64)=0,"–",IF(M64&lt;=Start!$D$20,"A",IF(M64&lt;=Start!$D$21,"B","C"))))</f>
        <v/>
      </c>
      <c r="O64" s="48" t="str">
        <f aca="false">IF($A64="","",IF(NOT(ISNUMBER(F64)),"Wert fehlt; ",IF(F64&lt;=0,"Wert ist 0; ",""))&amp;IF(NOT(ISNUMBER(E64)),"Bestand fehlt; ",IF(E64&lt;0,"Bestand negativ; ",IF(E64=0,"Nullbestand; ","")))&amp;IF(D64="","Warengruppe fehlt; ","")&amp;IF(B64="","Bezeichnung fehlt; ","")&amp;IF(COUNTIFS($A$2:$A$5001,$A64,$C$2:$C$5001,C64)&gt;1,"Artikel doppelt im selben Lager; ",""))</f>
        <v/>
      </c>
      <c r="P64" s="47" t="n">
        <f aca="false">IF(OR($A64="",D64=""),0,IF(COUNTIF($D$2:D64,D64)=1,SUMIF($D$2:$D$5001,D64,$H$2:$H$5001)+ROW()/10000000,0))</f>
        <v>0</v>
      </c>
      <c r="Q64" s="47" t="n">
        <f aca="false">IF(OR($A64="",C64=""),0,IF(COUNTIF($C$2:C64,C64)=1,SUMIF($C$2:$C$5001,C64,$H$2:$H$5001)+ROW()/10000000,0))</f>
        <v>0</v>
      </c>
    </row>
    <row r="65" customFormat="false" ht="15" hidden="false" customHeight="false" outlineLevel="0" collapsed="false">
      <c r="A65" s="43"/>
      <c r="B65" s="44"/>
      <c r="C65" s="44"/>
      <c r="D65" s="44"/>
      <c r="E65" s="44"/>
      <c r="F65" s="44"/>
      <c r="G65" s="44"/>
      <c r="H65" s="46" t="str">
        <f aca="false">IF($A65="","",IF(OR(NOT(ISNUMBER(E65)),NOT(ISNUMBER(F65))),"",MAX(0,E65)*F65))</f>
        <v/>
      </c>
      <c r="I65" s="46" t="str">
        <f aca="false">IF($A65="","",SUMIF($A$2:$A$5001,$A65,$H$2:$H$5001))</f>
        <v/>
      </c>
      <c r="J65" s="47" t="n">
        <f aca="false">IF($A65="",0,IF(COUNTIF($A$2:A65,$A65)=1,1,0))</f>
        <v>0</v>
      </c>
      <c r="K65" s="47" t="n">
        <f aca="false">IF(J65=1,N(I65)+ROW()/10000000,0)</f>
        <v>0</v>
      </c>
      <c r="L65" s="47" t="str">
        <f aca="false">IF(AND(J65=1,N(I65)&gt;0),SUMIF($K$2:$K$5001,"&gt;="&amp;K65,$I$2:$I$5001)/MAX(1,SUM($H$2:$H$5001)),"")</f>
        <v/>
      </c>
      <c r="M65" s="47" t="str">
        <f aca="false">IF($A65="","",INDEX($L$2:$L$5001,MATCH($A65,$A$2:$A$5001,0)))</f>
        <v/>
      </c>
      <c r="N65" s="48" t="str">
        <f aca="false">IF($A65="","",IF(N(M65)=0,"–",IF(M65&lt;=Start!$D$20,"A",IF(M65&lt;=Start!$D$21,"B","C"))))</f>
        <v/>
      </c>
      <c r="O65" s="48" t="str">
        <f aca="false">IF($A65="","",IF(NOT(ISNUMBER(F65)),"Wert fehlt; ",IF(F65&lt;=0,"Wert ist 0; ",""))&amp;IF(NOT(ISNUMBER(E65)),"Bestand fehlt; ",IF(E65&lt;0,"Bestand negativ; ",IF(E65=0,"Nullbestand; ","")))&amp;IF(D65="","Warengruppe fehlt; ","")&amp;IF(B65="","Bezeichnung fehlt; ","")&amp;IF(COUNTIFS($A$2:$A$5001,$A65,$C$2:$C$5001,C65)&gt;1,"Artikel doppelt im selben Lager; ",""))</f>
        <v/>
      </c>
      <c r="P65" s="47" t="n">
        <f aca="false">IF(OR($A65="",D65=""),0,IF(COUNTIF($D$2:D65,D65)=1,SUMIF($D$2:$D$5001,D65,$H$2:$H$5001)+ROW()/10000000,0))</f>
        <v>0</v>
      </c>
      <c r="Q65" s="47" t="n">
        <f aca="false">IF(OR($A65="",C65=""),0,IF(COUNTIF($C$2:C65,C65)=1,SUMIF($C$2:$C$5001,C65,$H$2:$H$5001)+ROW()/10000000,0))</f>
        <v>0</v>
      </c>
    </row>
    <row r="66" customFormat="false" ht="15" hidden="false" customHeight="false" outlineLevel="0" collapsed="false">
      <c r="A66" s="43"/>
      <c r="B66" s="44"/>
      <c r="C66" s="44"/>
      <c r="D66" s="44"/>
      <c r="E66" s="44"/>
      <c r="F66" s="44"/>
      <c r="G66" s="44"/>
      <c r="H66" s="46" t="str">
        <f aca="false">IF($A66="","",IF(OR(NOT(ISNUMBER(E66)),NOT(ISNUMBER(F66))),"",MAX(0,E66)*F66))</f>
        <v/>
      </c>
      <c r="I66" s="46" t="str">
        <f aca="false">IF($A66="","",SUMIF($A$2:$A$5001,$A66,$H$2:$H$5001))</f>
        <v/>
      </c>
      <c r="J66" s="47" t="n">
        <f aca="false">IF($A66="",0,IF(COUNTIF($A$2:A66,$A66)=1,1,0))</f>
        <v>0</v>
      </c>
      <c r="K66" s="47" t="n">
        <f aca="false">IF(J66=1,N(I66)+ROW()/10000000,0)</f>
        <v>0</v>
      </c>
      <c r="L66" s="47" t="str">
        <f aca="false">IF(AND(J66=1,N(I66)&gt;0),SUMIF($K$2:$K$5001,"&gt;="&amp;K66,$I$2:$I$5001)/MAX(1,SUM($H$2:$H$5001)),"")</f>
        <v/>
      </c>
      <c r="M66" s="47" t="str">
        <f aca="false">IF($A66="","",INDEX($L$2:$L$5001,MATCH($A66,$A$2:$A$5001,0)))</f>
        <v/>
      </c>
      <c r="N66" s="48" t="str">
        <f aca="false">IF($A66="","",IF(N(M66)=0,"–",IF(M66&lt;=Start!$D$20,"A",IF(M66&lt;=Start!$D$21,"B","C"))))</f>
        <v/>
      </c>
      <c r="O66" s="48" t="str">
        <f aca="false">IF($A66="","",IF(NOT(ISNUMBER(F66)),"Wert fehlt; ",IF(F66&lt;=0,"Wert ist 0; ",""))&amp;IF(NOT(ISNUMBER(E66)),"Bestand fehlt; ",IF(E66&lt;0,"Bestand negativ; ",IF(E66=0,"Nullbestand; ","")))&amp;IF(D66="","Warengruppe fehlt; ","")&amp;IF(B66="","Bezeichnung fehlt; ","")&amp;IF(COUNTIFS($A$2:$A$5001,$A66,$C$2:$C$5001,C66)&gt;1,"Artikel doppelt im selben Lager; ",""))</f>
        <v/>
      </c>
      <c r="P66" s="47" t="n">
        <f aca="false">IF(OR($A66="",D66=""),0,IF(COUNTIF($D$2:D66,D66)=1,SUMIF($D$2:$D$5001,D66,$H$2:$H$5001)+ROW()/10000000,0))</f>
        <v>0</v>
      </c>
      <c r="Q66" s="47" t="n">
        <f aca="false">IF(OR($A66="",C66=""),0,IF(COUNTIF($C$2:C66,C66)=1,SUMIF($C$2:$C$5001,C66,$H$2:$H$5001)+ROW()/10000000,0))</f>
        <v>0</v>
      </c>
    </row>
    <row r="67" customFormat="false" ht="15" hidden="false" customHeight="false" outlineLevel="0" collapsed="false">
      <c r="A67" s="43"/>
      <c r="B67" s="44"/>
      <c r="C67" s="44"/>
      <c r="D67" s="44"/>
      <c r="E67" s="44"/>
      <c r="F67" s="44"/>
      <c r="G67" s="44"/>
      <c r="H67" s="46" t="str">
        <f aca="false">IF($A67="","",IF(OR(NOT(ISNUMBER(E67)),NOT(ISNUMBER(F67))),"",MAX(0,E67)*F67))</f>
        <v/>
      </c>
      <c r="I67" s="46" t="str">
        <f aca="false">IF($A67="","",SUMIF($A$2:$A$5001,$A67,$H$2:$H$5001))</f>
        <v/>
      </c>
      <c r="J67" s="47" t="n">
        <f aca="false">IF($A67="",0,IF(COUNTIF($A$2:A67,$A67)=1,1,0))</f>
        <v>0</v>
      </c>
      <c r="K67" s="47" t="n">
        <f aca="false">IF(J67=1,N(I67)+ROW()/10000000,0)</f>
        <v>0</v>
      </c>
      <c r="L67" s="47" t="str">
        <f aca="false">IF(AND(J67=1,N(I67)&gt;0),SUMIF($K$2:$K$5001,"&gt;="&amp;K67,$I$2:$I$5001)/MAX(1,SUM($H$2:$H$5001)),"")</f>
        <v/>
      </c>
      <c r="M67" s="47" t="str">
        <f aca="false">IF($A67="","",INDEX($L$2:$L$5001,MATCH($A67,$A$2:$A$5001,0)))</f>
        <v/>
      </c>
      <c r="N67" s="48" t="str">
        <f aca="false">IF($A67="","",IF(N(M67)=0,"–",IF(M67&lt;=Start!$D$20,"A",IF(M67&lt;=Start!$D$21,"B","C"))))</f>
        <v/>
      </c>
      <c r="O67" s="48" t="str">
        <f aca="false">IF($A67="","",IF(NOT(ISNUMBER(F67)),"Wert fehlt; ",IF(F67&lt;=0,"Wert ist 0; ",""))&amp;IF(NOT(ISNUMBER(E67)),"Bestand fehlt; ",IF(E67&lt;0,"Bestand negativ; ",IF(E67=0,"Nullbestand; ","")))&amp;IF(D67="","Warengruppe fehlt; ","")&amp;IF(B67="","Bezeichnung fehlt; ","")&amp;IF(COUNTIFS($A$2:$A$5001,$A67,$C$2:$C$5001,C67)&gt;1,"Artikel doppelt im selben Lager; ",""))</f>
        <v/>
      </c>
      <c r="P67" s="47" t="n">
        <f aca="false">IF(OR($A67="",D67=""),0,IF(COUNTIF($D$2:D67,D67)=1,SUMIF($D$2:$D$5001,D67,$H$2:$H$5001)+ROW()/10000000,0))</f>
        <v>0</v>
      </c>
      <c r="Q67" s="47" t="n">
        <f aca="false">IF(OR($A67="",C67=""),0,IF(COUNTIF($C$2:C67,C67)=1,SUMIF($C$2:$C$5001,C67,$H$2:$H$5001)+ROW()/10000000,0))</f>
        <v>0</v>
      </c>
    </row>
    <row r="68" customFormat="false" ht="15" hidden="false" customHeight="false" outlineLevel="0" collapsed="false">
      <c r="A68" s="43"/>
      <c r="B68" s="44"/>
      <c r="C68" s="44"/>
      <c r="D68" s="44"/>
      <c r="E68" s="44"/>
      <c r="F68" s="44"/>
      <c r="G68" s="44"/>
      <c r="H68" s="46" t="str">
        <f aca="false">IF($A68="","",IF(OR(NOT(ISNUMBER(E68)),NOT(ISNUMBER(F68))),"",MAX(0,E68)*F68))</f>
        <v/>
      </c>
      <c r="I68" s="46" t="str">
        <f aca="false">IF($A68="","",SUMIF($A$2:$A$5001,$A68,$H$2:$H$5001))</f>
        <v/>
      </c>
      <c r="J68" s="47" t="n">
        <f aca="false">IF($A68="",0,IF(COUNTIF($A$2:A68,$A68)=1,1,0))</f>
        <v>0</v>
      </c>
      <c r="K68" s="47" t="n">
        <f aca="false">IF(J68=1,N(I68)+ROW()/10000000,0)</f>
        <v>0</v>
      </c>
      <c r="L68" s="47" t="str">
        <f aca="false">IF(AND(J68=1,N(I68)&gt;0),SUMIF($K$2:$K$5001,"&gt;="&amp;K68,$I$2:$I$5001)/MAX(1,SUM($H$2:$H$5001)),"")</f>
        <v/>
      </c>
      <c r="M68" s="47" t="str">
        <f aca="false">IF($A68="","",INDEX($L$2:$L$5001,MATCH($A68,$A$2:$A$5001,0)))</f>
        <v/>
      </c>
      <c r="N68" s="48" t="str">
        <f aca="false">IF($A68="","",IF(N(M68)=0,"–",IF(M68&lt;=Start!$D$20,"A",IF(M68&lt;=Start!$D$21,"B","C"))))</f>
        <v/>
      </c>
      <c r="O68" s="48" t="str">
        <f aca="false">IF($A68="","",IF(NOT(ISNUMBER(F68)),"Wert fehlt; ",IF(F68&lt;=0,"Wert ist 0; ",""))&amp;IF(NOT(ISNUMBER(E68)),"Bestand fehlt; ",IF(E68&lt;0,"Bestand negativ; ",IF(E68=0,"Nullbestand; ","")))&amp;IF(D68="","Warengruppe fehlt; ","")&amp;IF(B68="","Bezeichnung fehlt; ","")&amp;IF(COUNTIFS($A$2:$A$5001,$A68,$C$2:$C$5001,C68)&gt;1,"Artikel doppelt im selben Lager; ",""))</f>
        <v/>
      </c>
      <c r="P68" s="47" t="n">
        <f aca="false">IF(OR($A68="",D68=""),0,IF(COUNTIF($D$2:D68,D68)=1,SUMIF($D$2:$D$5001,D68,$H$2:$H$5001)+ROW()/10000000,0))</f>
        <v>0</v>
      </c>
      <c r="Q68" s="47" t="n">
        <f aca="false">IF(OR($A68="",C68=""),0,IF(COUNTIF($C$2:C68,C68)=1,SUMIF($C$2:$C$5001,C68,$H$2:$H$5001)+ROW()/10000000,0))</f>
        <v>0</v>
      </c>
    </row>
    <row r="69" customFormat="false" ht="15" hidden="false" customHeight="false" outlineLevel="0" collapsed="false">
      <c r="A69" s="43"/>
      <c r="B69" s="44"/>
      <c r="C69" s="44"/>
      <c r="D69" s="44"/>
      <c r="E69" s="44"/>
      <c r="F69" s="44"/>
      <c r="G69" s="44"/>
      <c r="H69" s="46" t="str">
        <f aca="false">IF($A69="","",IF(OR(NOT(ISNUMBER(E69)),NOT(ISNUMBER(F69))),"",MAX(0,E69)*F69))</f>
        <v/>
      </c>
      <c r="I69" s="46" t="str">
        <f aca="false">IF($A69="","",SUMIF($A$2:$A$5001,$A69,$H$2:$H$5001))</f>
        <v/>
      </c>
      <c r="J69" s="47" t="n">
        <f aca="false">IF($A69="",0,IF(COUNTIF($A$2:A69,$A69)=1,1,0))</f>
        <v>0</v>
      </c>
      <c r="K69" s="47" t="n">
        <f aca="false">IF(J69=1,N(I69)+ROW()/10000000,0)</f>
        <v>0</v>
      </c>
      <c r="L69" s="47" t="str">
        <f aca="false">IF(AND(J69=1,N(I69)&gt;0),SUMIF($K$2:$K$5001,"&gt;="&amp;K69,$I$2:$I$5001)/MAX(1,SUM($H$2:$H$5001)),"")</f>
        <v/>
      </c>
      <c r="M69" s="47" t="str">
        <f aca="false">IF($A69="","",INDEX($L$2:$L$5001,MATCH($A69,$A$2:$A$5001,0)))</f>
        <v/>
      </c>
      <c r="N69" s="48" t="str">
        <f aca="false">IF($A69="","",IF(N(M69)=0,"–",IF(M69&lt;=Start!$D$20,"A",IF(M69&lt;=Start!$D$21,"B","C"))))</f>
        <v/>
      </c>
      <c r="O69" s="48" t="str">
        <f aca="false">IF($A69="","",IF(NOT(ISNUMBER(F69)),"Wert fehlt; ",IF(F69&lt;=0,"Wert ist 0; ",""))&amp;IF(NOT(ISNUMBER(E69)),"Bestand fehlt; ",IF(E69&lt;0,"Bestand negativ; ",IF(E69=0,"Nullbestand; ","")))&amp;IF(D69="","Warengruppe fehlt; ","")&amp;IF(B69="","Bezeichnung fehlt; ","")&amp;IF(COUNTIFS($A$2:$A$5001,$A69,$C$2:$C$5001,C69)&gt;1,"Artikel doppelt im selben Lager; ",""))</f>
        <v/>
      </c>
      <c r="P69" s="47" t="n">
        <f aca="false">IF(OR($A69="",D69=""),0,IF(COUNTIF($D$2:D69,D69)=1,SUMIF($D$2:$D$5001,D69,$H$2:$H$5001)+ROW()/10000000,0))</f>
        <v>0</v>
      </c>
      <c r="Q69" s="47" t="n">
        <f aca="false">IF(OR($A69="",C69=""),0,IF(COUNTIF($C$2:C69,C69)=1,SUMIF($C$2:$C$5001,C69,$H$2:$H$5001)+ROW()/10000000,0))</f>
        <v>0</v>
      </c>
    </row>
    <row r="70" customFormat="false" ht="15" hidden="false" customHeight="false" outlineLevel="0" collapsed="false">
      <c r="A70" s="43"/>
      <c r="B70" s="44"/>
      <c r="C70" s="44"/>
      <c r="D70" s="44"/>
      <c r="E70" s="44"/>
      <c r="F70" s="44"/>
      <c r="G70" s="44"/>
      <c r="H70" s="46" t="str">
        <f aca="false">IF($A70="","",IF(OR(NOT(ISNUMBER(E70)),NOT(ISNUMBER(F70))),"",MAX(0,E70)*F70))</f>
        <v/>
      </c>
      <c r="I70" s="46" t="str">
        <f aca="false">IF($A70="","",SUMIF($A$2:$A$5001,$A70,$H$2:$H$5001))</f>
        <v/>
      </c>
      <c r="J70" s="47" t="n">
        <f aca="false">IF($A70="",0,IF(COUNTIF($A$2:A70,$A70)=1,1,0))</f>
        <v>0</v>
      </c>
      <c r="K70" s="47" t="n">
        <f aca="false">IF(J70=1,N(I70)+ROW()/10000000,0)</f>
        <v>0</v>
      </c>
      <c r="L70" s="47" t="str">
        <f aca="false">IF(AND(J70=1,N(I70)&gt;0),SUMIF($K$2:$K$5001,"&gt;="&amp;K70,$I$2:$I$5001)/MAX(1,SUM($H$2:$H$5001)),"")</f>
        <v/>
      </c>
      <c r="M70" s="47" t="str">
        <f aca="false">IF($A70="","",INDEX($L$2:$L$5001,MATCH($A70,$A$2:$A$5001,0)))</f>
        <v/>
      </c>
      <c r="N70" s="48" t="str">
        <f aca="false">IF($A70="","",IF(N(M70)=0,"–",IF(M70&lt;=Start!$D$20,"A",IF(M70&lt;=Start!$D$21,"B","C"))))</f>
        <v/>
      </c>
      <c r="O70" s="48" t="str">
        <f aca="false">IF($A70="","",IF(NOT(ISNUMBER(F70)),"Wert fehlt; ",IF(F70&lt;=0,"Wert ist 0; ",""))&amp;IF(NOT(ISNUMBER(E70)),"Bestand fehlt; ",IF(E70&lt;0,"Bestand negativ; ",IF(E70=0,"Nullbestand; ","")))&amp;IF(D70="","Warengruppe fehlt; ","")&amp;IF(B70="","Bezeichnung fehlt; ","")&amp;IF(COUNTIFS($A$2:$A$5001,$A70,$C$2:$C$5001,C70)&gt;1,"Artikel doppelt im selben Lager; ",""))</f>
        <v/>
      </c>
      <c r="P70" s="47" t="n">
        <f aca="false">IF(OR($A70="",D70=""),0,IF(COUNTIF($D$2:D70,D70)=1,SUMIF($D$2:$D$5001,D70,$H$2:$H$5001)+ROW()/10000000,0))</f>
        <v>0</v>
      </c>
      <c r="Q70" s="47" t="n">
        <f aca="false">IF(OR($A70="",C70=""),0,IF(COUNTIF($C$2:C70,C70)=1,SUMIF($C$2:$C$5001,C70,$H$2:$H$5001)+ROW()/10000000,0))</f>
        <v>0</v>
      </c>
    </row>
    <row r="71" customFormat="false" ht="15" hidden="false" customHeight="false" outlineLevel="0" collapsed="false">
      <c r="A71" s="43"/>
      <c r="B71" s="44"/>
      <c r="C71" s="44"/>
      <c r="D71" s="44"/>
      <c r="E71" s="44"/>
      <c r="F71" s="44"/>
      <c r="G71" s="44"/>
      <c r="H71" s="46" t="str">
        <f aca="false">IF($A71="","",IF(OR(NOT(ISNUMBER(E71)),NOT(ISNUMBER(F71))),"",MAX(0,E71)*F71))</f>
        <v/>
      </c>
      <c r="I71" s="46" t="str">
        <f aca="false">IF($A71="","",SUMIF($A$2:$A$5001,$A71,$H$2:$H$5001))</f>
        <v/>
      </c>
      <c r="J71" s="47" t="n">
        <f aca="false">IF($A71="",0,IF(COUNTIF($A$2:A71,$A71)=1,1,0))</f>
        <v>0</v>
      </c>
      <c r="K71" s="47" t="n">
        <f aca="false">IF(J71=1,N(I71)+ROW()/10000000,0)</f>
        <v>0</v>
      </c>
      <c r="L71" s="47" t="str">
        <f aca="false">IF(AND(J71=1,N(I71)&gt;0),SUMIF($K$2:$K$5001,"&gt;="&amp;K71,$I$2:$I$5001)/MAX(1,SUM($H$2:$H$5001)),"")</f>
        <v/>
      </c>
      <c r="M71" s="47" t="str">
        <f aca="false">IF($A71="","",INDEX($L$2:$L$5001,MATCH($A71,$A$2:$A$5001,0)))</f>
        <v/>
      </c>
      <c r="N71" s="48" t="str">
        <f aca="false">IF($A71="","",IF(N(M71)=0,"–",IF(M71&lt;=Start!$D$20,"A",IF(M71&lt;=Start!$D$21,"B","C"))))</f>
        <v/>
      </c>
      <c r="O71" s="48" t="str">
        <f aca="false">IF($A71="","",IF(NOT(ISNUMBER(F71)),"Wert fehlt; ",IF(F71&lt;=0,"Wert ist 0; ",""))&amp;IF(NOT(ISNUMBER(E71)),"Bestand fehlt; ",IF(E71&lt;0,"Bestand negativ; ",IF(E71=0,"Nullbestand; ","")))&amp;IF(D71="","Warengruppe fehlt; ","")&amp;IF(B71="","Bezeichnung fehlt; ","")&amp;IF(COUNTIFS($A$2:$A$5001,$A71,$C$2:$C$5001,C71)&gt;1,"Artikel doppelt im selben Lager; ",""))</f>
        <v/>
      </c>
      <c r="P71" s="47" t="n">
        <f aca="false">IF(OR($A71="",D71=""),0,IF(COUNTIF($D$2:D71,D71)=1,SUMIF($D$2:$D$5001,D71,$H$2:$H$5001)+ROW()/10000000,0))</f>
        <v>0</v>
      </c>
      <c r="Q71" s="47" t="n">
        <f aca="false">IF(OR($A71="",C71=""),0,IF(COUNTIF($C$2:C71,C71)=1,SUMIF($C$2:$C$5001,C71,$H$2:$H$5001)+ROW()/10000000,0))</f>
        <v>0</v>
      </c>
    </row>
    <row r="72" customFormat="false" ht="15" hidden="false" customHeight="false" outlineLevel="0" collapsed="false">
      <c r="A72" s="43"/>
      <c r="B72" s="44"/>
      <c r="C72" s="44"/>
      <c r="D72" s="44"/>
      <c r="E72" s="44"/>
      <c r="F72" s="44"/>
      <c r="G72" s="44"/>
      <c r="H72" s="46" t="str">
        <f aca="false">IF($A72="","",IF(OR(NOT(ISNUMBER(E72)),NOT(ISNUMBER(F72))),"",MAX(0,E72)*F72))</f>
        <v/>
      </c>
      <c r="I72" s="46" t="str">
        <f aca="false">IF($A72="","",SUMIF($A$2:$A$5001,$A72,$H$2:$H$5001))</f>
        <v/>
      </c>
      <c r="J72" s="47" t="n">
        <f aca="false">IF($A72="",0,IF(COUNTIF($A$2:A72,$A72)=1,1,0))</f>
        <v>0</v>
      </c>
      <c r="K72" s="47" t="n">
        <f aca="false">IF(J72=1,N(I72)+ROW()/10000000,0)</f>
        <v>0</v>
      </c>
      <c r="L72" s="47" t="str">
        <f aca="false">IF(AND(J72=1,N(I72)&gt;0),SUMIF($K$2:$K$5001,"&gt;="&amp;K72,$I$2:$I$5001)/MAX(1,SUM($H$2:$H$5001)),"")</f>
        <v/>
      </c>
      <c r="M72" s="47" t="str">
        <f aca="false">IF($A72="","",INDEX($L$2:$L$5001,MATCH($A72,$A$2:$A$5001,0)))</f>
        <v/>
      </c>
      <c r="N72" s="48" t="str">
        <f aca="false">IF($A72="","",IF(N(M72)=0,"–",IF(M72&lt;=Start!$D$20,"A",IF(M72&lt;=Start!$D$21,"B","C"))))</f>
        <v/>
      </c>
      <c r="O72" s="48" t="str">
        <f aca="false">IF($A72="","",IF(NOT(ISNUMBER(F72)),"Wert fehlt; ",IF(F72&lt;=0,"Wert ist 0; ",""))&amp;IF(NOT(ISNUMBER(E72)),"Bestand fehlt; ",IF(E72&lt;0,"Bestand negativ; ",IF(E72=0,"Nullbestand; ","")))&amp;IF(D72="","Warengruppe fehlt; ","")&amp;IF(B72="","Bezeichnung fehlt; ","")&amp;IF(COUNTIFS($A$2:$A$5001,$A72,$C$2:$C$5001,C72)&gt;1,"Artikel doppelt im selben Lager; ",""))</f>
        <v/>
      </c>
      <c r="P72" s="47" t="n">
        <f aca="false">IF(OR($A72="",D72=""),0,IF(COUNTIF($D$2:D72,D72)=1,SUMIF($D$2:$D$5001,D72,$H$2:$H$5001)+ROW()/10000000,0))</f>
        <v>0</v>
      </c>
      <c r="Q72" s="47" t="n">
        <f aca="false">IF(OR($A72="",C72=""),0,IF(COUNTIF($C$2:C72,C72)=1,SUMIF($C$2:$C$5001,C72,$H$2:$H$5001)+ROW()/10000000,0))</f>
        <v>0</v>
      </c>
    </row>
    <row r="73" customFormat="false" ht="15" hidden="false" customHeight="false" outlineLevel="0" collapsed="false">
      <c r="A73" s="43"/>
      <c r="B73" s="44"/>
      <c r="C73" s="44"/>
      <c r="D73" s="44"/>
      <c r="E73" s="44"/>
      <c r="F73" s="44"/>
      <c r="G73" s="44"/>
      <c r="H73" s="46" t="str">
        <f aca="false">IF($A73="","",IF(OR(NOT(ISNUMBER(E73)),NOT(ISNUMBER(F73))),"",MAX(0,E73)*F73))</f>
        <v/>
      </c>
      <c r="I73" s="46" t="str">
        <f aca="false">IF($A73="","",SUMIF($A$2:$A$5001,$A73,$H$2:$H$5001))</f>
        <v/>
      </c>
      <c r="J73" s="47" t="n">
        <f aca="false">IF($A73="",0,IF(COUNTIF($A$2:A73,$A73)=1,1,0))</f>
        <v>0</v>
      </c>
      <c r="K73" s="47" t="n">
        <f aca="false">IF(J73=1,N(I73)+ROW()/10000000,0)</f>
        <v>0</v>
      </c>
      <c r="L73" s="47" t="str">
        <f aca="false">IF(AND(J73=1,N(I73)&gt;0),SUMIF($K$2:$K$5001,"&gt;="&amp;K73,$I$2:$I$5001)/MAX(1,SUM($H$2:$H$5001)),"")</f>
        <v/>
      </c>
      <c r="M73" s="47" t="str">
        <f aca="false">IF($A73="","",INDEX($L$2:$L$5001,MATCH($A73,$A$2:$A$5001,0)))</f>
        <v/>
      </c>
      <c r="N73" s="48" t="str">
        <f aca="false">IF($A73="","",IF(N(M73)=0,"–",IF(M73&lt;=Start!$D$20,"A",IF(M73&lt;=Start!$D$21,"B","C"))))</f>
        <v/>
      </c>
      <c r="O73" s="48" t="str">
        <f aca="false">IF($A73="","",IF(NOT(ISNUMBER(F73)),"Wert fehlt; ",IF(F73&lt;=0,"Wert ist 0; ",""))&amp;IF(NOT(ISNUMBER(E73)),"Bestand fehlt; ",IF(E73&lt;0,"Bestand negativ; ",IF(E73=0,"Nullbestand; ","")))&amp;IF(D73="","Warengruppe fehlt; ","")&amp;IF(B73="","Bezeichnung fehlt; ","")&amp;IF(COUNTIFS($A$2:$A$5001,$A73,$C$2:$C$5001,C73)&gt;1,"Artikel doppelt im selben Lager; ",""))</f>
        <v/>
      </c>
      <c r="P73" s="47" t="n">
        <f aca="false">IF(OR($A73="",D73=""),0,IF(COUNTIF($D$2:D73,D73)=1,SUMIF($D$2:$D$5001,D73,$H$2:$H$5001)+ROW()/10000000,0))</f>
        <v>0</v>
      </c>
      <c r="Q73" s="47" t="n">
        <f aca="false">IF(OR($A73="",C73=""),0,IF(COUNTIF($C$2:C73,C73)=1,SUMIF($C$2:$C$5001,C73,$H$2:$H$5001)+ROW()/10000000,0))</f>
        <v>0</v>
      </c>
    </row>
    <row r="74" customFormat="false" ht="15" hidden="false" customHeight="false" outlineLevel="0" collapsed="false">
      <c r="A74" s="43"/>
      <c r="B74" s="44"/>
      <c r="C74" s="44"/>
      <c r="D74" s="44"/>
      <c r="E74" s="44"/>
      <c r="F74" s="44"/>
      <c r="G74" s="44"/>
      <c r="H74" s="46" t="str">
        <f aca="false">IF($A74="","",IF(OR(NOT(ISNUMBER(E74)),NOT(ISNUMBER(F74))),"",MAX(0,E74)*F74))</f>
        <v/>
      </c>
      <c r="I74" s="46" t="str">
        <f aca="false">IF($A74="","",SUMIF($A$2:$A$5001,$A74,$H$2:$H$5001))</f>
        <v/>
      </c>
      <c r="J74" s="47" t="n">
        <f aca="false">IF($A74="",0,IF(COUNTIF($A$2:A74,$A74)=1,1,0))</f>
        <v>0</v>
      </c>
      <c r="K74" s="47" t="n">
        <f aca="false">IF(J74=1,N(I74)+ROW()/10000000,0)</f>
        <v>0</v>
      </c>
      <c r="L74" s="47" t="str">
        <f aca="false">IF(AND(J74=1,N(I74)&gt;0),SUMIF($K$2:$K$5001,"&gt;="&amp;K74,$I$2:$I$5001)/MAX(1,SUM($H$2:$H$5001)),"")</f>
        <v/>
      </c>
      <c r="M74" s="47" t="str">
        <f aca="false">IF($A74="","",INDEX($L$2:$L$5001,MATCH($A74,$A$2:$A$5001,0)))</f>
        <v/>
      </c>
      <c r="N74" s="48" t="str">
        <f aca="false">IF($A74="","",IF(N(M74)=0,"–",IF(M74&lt;=Start!$D$20,"A",IF(M74&lt;=Start!$D$21,"B","C"))))</f>
        <v/>
      </c>
      <c r="O74" s="48" t="str">
        <f aca="false">IF($A74="","",IF(NOT(ISNUMBER(F74)),"Wert fehlt; ",IF(F74&lt;=0,"Wert ist 0; ",""))&amp;IF(NOT(ISNUMBER(E74)),"Bestand fehlt; ",IF(E74&lt;0,"Bestand negativ; ",IF(E74=0,"Nullbestand; ","")))&amp;IF(D74="","Warengruppe fehlt; ","")&amp;IF(B74="","Bezeichnung fehlt; ","")&amp;IF(COUNTIFS($A$2:$A$5001,$A74,$C$2:$C$5001,C74)&gt;1,"Artikel doppelt im selben Lager; ",""))</f>
        <v/>
      </c>
      <c r="P74" s="47" t="n">
        <f aca="false">IF(OR($A74="",D74=""),0,IF(COUNTIF($D$2:D74,D74)=1,SUMIF($D$2:$D$5001,D74,$H$2:$H$5001)+ROW()/10000000,0))</f>
        <v>0</v>
      </c>
      <c r="Q74" s="47" t="n">
        <f aca="false">IF(OR($A74="",C74=""),0,IF(COUNTIF($C$2:C74,C74)=1,SUMIF($C$2:$C$5001,C74,$H$2:$H$5001)+ROW()/10000000,0))</f>
        <v>0</v>
      </c>
    </row>
    <row r="75" customFormat="false" ht="15" hidden="false" customHeight="false" outlineLevel="0" collapsed="false">
      <c r="A75" s="43"/>
      <c r="B75" s="44"/>
      <c r="C75" s="44"/>
      <c r="D75" s="44"/>
      <c r="E75" s="44"/>
      <c r="F75" s="44"/>
      <c r="G75" s="44"/>
      <c r="H75" s="46" t="str">
        <f aca="false">IF($A75="","",IF(OR(NOT(ISNUMBER(E75)),NOT(ISNUMBER(F75))),"",MAX(0,E75)*F75))</f>
        <v/>
      </c>
      <c r="I75" s="46" t="str">
        <f aca="false">IF($A75="","",SUMIF($A$2:$A$5001,$A75,$H$2:$H$5001))</f>
        <v/>
      </c>
      <c r="J75" s="47" t="n">
        <f aca="false">IF($A75="",0,IF(COUNTIF($A$2:A75,$A75)=1,1,0))</f>
        <v>0</v>
      </c>
      <c r="K75" s="47" t="n">
        <f aca="false">IF(J75=1,N(I75)+ROW()/10000000,0)</f>
        <v>0</v>
      </c>
      <c r="L75" s="47" t="str">
        <f aca="false">IF(AND(J75=1,N(I75)&gt;0),SUMIF($K$2:$K$5001,"&gt;="&amp;K75,$I$2:$I$5001)/MAX(1,SUM($H$2:$H$5001)),"")</f>
        <v/>
      </c>
      <c r="M75" s="47" t="str">
        <f aca="false">IF($A75="","",INDEX($L$2:$L$5001,MATCH($A75,$A$2:$A$5001,0)))</f>
        <v/>
      </c>
      <c r="N75" s="48" t="str">
        <f aca="false">IF($A75="","",IF(N(M75)=0,"–",IF(M75&lt;=Start!$D$20,"A",IF(M75&lt;=Start!$D$21,"B","C"))))</f>
        <v/>
      </c>
      <c r="O75" s="48" t="str">
        <f aca="false">IF($A75="","",IF(NOT(ISNUMBER(F75)),"Wert fehlt; ",IF(F75&lt;=0,"Wert ist 0; ",""))&amp;IF(NOT(ISNUMBER(E75)),"Bestand fehlt; ",IF(E75&lt;0,"Bestand negativ; ",IF(E75=0,"Nullbestand; ","")))&amp;IF(D75="","Warengruppe fehlt; ","")&amp;IF(B75="","Bezeichnung fehlt; ","")&amp;IF(COUNTIFS($A$2:$A$5001,$A75,$C$2:$C$5001,C75)&gt;1,"Artikel doppelt im selben Lager; ",""))</f>
        <v/>
      </c>
      <c r="P75" s="47" t="n">
        <f aca="false">IF(OR($A75="",D75=""),0,IF(COUNTIF($D$2:D75,D75)=1,SUMIF($D$2:$D$5001,D75,$H$2:$H$5001)+ROW()/10000000,0))</f>
        <v>0</v>
      </c>
      <c r="Q75" s="47" t="n">
        <f aca="false">IF(OR($A75="",C75=""),0,IF(COUNTIF($C$2:C75,C75)=1,SUMIF($C$2:$C$5001,C75,$H$2:$H$5001)+ROW()/10000000,0))</f>
        <v>0</v>
      </c>
    </row>
    <row r="76" customFormat="false" ht="15" hidden="false" customHeight="false" outlineLevel="0" collapsed="false">
      <c r="A76" s="43"/>
      <c r="B76" s="44"/>
      <c r="C76" s="44"/>
      <c r="D76" s="44"/>
      <c r="E76" s="44"/>
      <c r="F76" s="44"/>
      <c r="G76" s="44"/>
      <c r="H76" s="46" t="str">
        <f aca="false">IF($A76="","",IF(OR(NOT(ISNUMBER(E76)),NOT(ISNUMBER(F76))),"",MAX(0,E76)*F76))</f>
        <v/>
      </c>
      <c r="I76" s="46" t="str">
        <f aca="false">IF($A76="","",SUMIF($A$2:$A$5001,$A76,$H$2:$H$5001))</f>
        <v/>
      </c>
      <c r="J76" s="47" t="n">
        <f aca="false">IF($A76="",0,IF(COUNTIF($A$2:A76,$A76)=1,1,0))</f>
        <v>0</v>
      </c>
      <c r="K76" s="47" t="n">
        <f aca="false">IF(J76=1,N(I76)+ROW()/10000000,0)</f>
        <v>0</v>
      </c>
      <c r="L76" s="47" t="str">
        <f aca="false">IF(AND(J76=1,N(I76)&gt;0),SUMIF($K$2:$K$5001,"&gt;="&amp;K76,$I$2:$I$5001)/MAX(1,SUM($H$2:$H$5001)),"")</f>
        <v/>
      </c>
      <c r="M76" s="47" t="str">
        <f aca="false">IF($A76="","",INDEX($L$2:$L$5001,MATCH($A76,$A$2:$A$5001,0)))</f>
        <v/>
      </c>
      <c r="N76" s="48" t="str">
        <f aca="false">IF($A76="","",IF(N(M76)=0,"–",IF(M76&lt;=Start!$D$20,"A",IF(M76&lt;=Start!$D$21,"B","C"))))</f>
        <v/>
      </c>
      <c r="O76" s="48" t="str">
        <f aca="false">IF($A76="","",IF(NOT(ISNUMBER(F76)),"Wert fehlt; ",IF(F76&lt;=0,"Wert ist 0; ",""))&amp;IF(NOT(ISNUMBER(E76)),"Bestand fehlt; ",IF(E76&lt;0,"Bestand negativ; ",IF(E76=0,"Nullbestand; ","")))&amp;IF(D76="","Warengruppe fehlt; ","")&amp;IF(B76="","Bezeichnung fehlt; ","")&amp;IF(COUNTIFS($A$2:$A$5001,$A76,$C$2:$C$5001,C76)&gt;1,"Artikel doppelt im selben Lager; ",""))</f>
        <v/>
      </c>
      <c r="P76" s="47" t="n">
        <f aca="false">IF(OR($A76="",D76=""),0,IF(COUNTIF($D$2:D76,D76)=1,SUMIF($D$2:$D$5001,D76,$H$2:$H$5001)+ROW()/10000000,0))</f>
        <v>0</v>
      </c>
      <c r="Q76" s="47" t="n">
        <f aca="false">IF(OR($A76="",C76=""),0,IF(COUNTIF($C$2:C76,C76)=1,SUMIF($C$2:$C$5001,C76,$H$2:$H$5001)+ROW()/10000000,0))</f>
        <v>0</v>
      </c>
    </row>
    <row r="77" customFormat="false" ht="15" hidden="false" customHeight="false" outlineLevel="0" collapsed="false">
      <c r="A77" s="43"/>
      <c r="B77" s="44"/>
      <c r="C77" s="44"/>
      <c r="D77" s="44"/>
      <c r="E77" s="44"/>
      <c r="F77" s="44"/>
      <c r="G77" s="44"/>
      <c r="H77" s="46" t="str">
        <f aca="false">IF($A77="","",IF(OR(NOT(ISNUMBER(E77)),NOT(ISNUMBER(F77))),"",MAX(0,E77)*F77))</f>
        <v/>
      </c>
      <c r="I77" s="46" t="str">
        <f aca="false">IF($A77="","",SUMIF($A$2:$A$5001,$A77,$H$2:$H$5001))</f>
        <v/>
      </c>
      <c r="J77" s="47" t="n">
        <f aca="false">IF($A77="",0,IF(COUNTIF($A$2:A77,$A77)=1,1,0))</f>
        <v>0</v>
      </c>
      <c r="K77" s="47" t="n">
        <f aca="false">IF(J77=1,N(I77)+ROW()/10000000,0)</f>
        <v>0</v>
      </c>
      <c r="L77" s="47" t="str">
        <f aca="false">IF(AND(J77=1,N(I77)&gt;0),SUMIF($K$2:$K$5001,"&gt;="&amp;K77,$I$2:$I$5001)/MAX(1,SUM($H$2:$H$5001)),"")</f>
        <v/>
      </c>
      <c r="M77" s="47" t="str">
        <f aca="false">IF($A77="","",INDEX($L$2:$L$5001,MATCH($A77,$A$2:$A$5001,0)))</f>
        <v/>
      </c>
      <c r="N77" s="48" t="str">
        <f aca="false">IF($A77="","",IF(N(M77)=0,"–",IF(M77&lt;=Start!$D$20,"A",IF(M77&lt;=Start!$D$21,"B","C"))))</f>
        <v/>
      </c>
      <c r="O77" s="48" t="str">
        <f aca="false">IF($A77="","",IF(NOT(ISNUMBER(F77)),"Wert fehlt; ",IF(F77&lt;=0,"Wert ist 0; ",""))&amp;IF(NOT(ISNUMBER(E77)),"Bestand fehlt; ",IF(E77&lt;0,"Bestand negativ; ",IF(E77=0,"Nullbestand; ","")))&amp;IF(D77="","Warengruppe fehlt; ","")&amp;IF(B77="","Bezeichnung fehlt; ","")&amp;IF(COUNTIFS($A$2:$A$5001,$A77,$C$2:$C$5001,C77)&gt;1,"Artikel doppelt im selben Lager; ",""))</f>
        <v/>
      </c>
      <c r="P77" s="47" t="n">
        <f aca="false">IF(OR($A77="",D77=""),0,IF(COUNTIF($D$2:D77,D77)=1,SUMIF($D$2:$D$5001,D77,$H$2:$H$5001)+ROW()/10000000,0))</f>
        <v>0</v>
      </c>
      <c r="Q77" s="47" t="n">
        <f aca="false">IF(OR($A77="",C77=""),0,IF(COUNTIF($C$2:C77,C77)=1,SUMIF($C$2:$C$5001,C77,$H$2:$H$5001)+ROW()/10000000,0))</f>
        <v>0</v>
      </c>
    </row>
    <row r="78" customFormat="false" ht="15" hidden="false" customHeight="false" outlineLevel="0" collapsed="false">
      <c r="A78" s="43"/>
      <c r="B78" s="44"/>
      <c r="C78" s="44"/>
      <c r="D78" s="44"/>
      <c r="E78" s="44"/>
      <c r="F78" s="44"/>
      <c r="G78" s="44"/>
      <c r="H78" s="46" t="str">
        <f aca="false">IF($A78="","",IF(OR(NOT(ISNUMBER(E78)),NOT(ISNUMBER(F78))),"",MAX(0,E78)*F78))</f>
        <v/>
      </c>
      <c r="I78" s="46" t="str">
        <f aca="false">IF($A78="","",SUMIF($A$2:$A$5001,$A78,$H$2:$H$5001))</f>
        <v/>
      </c>
      <c r="J78" s="47" t="n">
        <f aca="false">IF($A78="",0,IF(COUNTIF($A$2:A78,$A78)=1,1,0))</f>
        <v>0</v>
      </c>
      <c r="K78" s="47" t="n">
        <f aca="false">IF(J78=1,N(I78)+ROW()/10000000,0)</f>
        <v>0</v>
      </c>
      <c r="L78" s="47" t="str">
        <f aca="false">IF(AND(J78=1,N(I78)&gt;0),SUMIF($K$2:$K$5001,"&gt;="&amp;K78,$I$2:$I$5001)/MAX(1,SUM($H$2:$H$5001)),"")</f>
        <v/>
      </c>
      <c r="M78" s="47" t="str">
        <f aca="false">IF($A78="","",INDEX($L$2:$L$5001,MATCH($A78,$A$2:$A$5001,0)))</f>
        <v/>
      </c>
      <c r="N78" s="48" t="str">
        <f aca="false">IF($A78="","",IF(N(M78)=0,"–",IF(M78&lt;=Start!$D$20,"A",IF(M78&lt;=Start!$D$21,"B","C"))))</f>
        <v/>
      </c>
      <c r="O78" s="48" t="str">
        <f aca="false">IF($A78="","",IF(NOT(ISNUMBER(F78)),"Wert fehlt; ",IF(F78&lt;=0,"Wert ist 0; ",""))&amp;IF(NOT(ISNUMBER(E78)),"Bestand fehlt; ",IF(E78&lt;0,"Bestand negativ; ",IF(E78=0,"Nullbestand; ","")))&amp;IF(D78="","Warengruppe fehlt; ","")&amp;IF(B78="","Bezeichnung fehlt; ","")&amp;IF(COUNTIFS($A$2:$A$5001,$A78,$C$2:$C$5001,C78)&gt;1,"Artikel doppelt im selben Lager; ",""))</f>
        <v/>
      </c>
      <c r="P78" s="47" t="n">
        <f aca="false">IF(OR($A78="",D78=""),0,IF(COUNTIF($D$2:D78,D78)=1,SUMIF($D$2:$D$5001,D78,$H$2:$H$5001)+ROW()/10000000,0))</f>
        <v>0</v>
      </c>
      <c r="Q78" s="47" t="n">
        <f aca="false">IF(OR($A78="",C78=""),0,IF(COUNTIF($C$2:C78,C78)=1,SUMIF($C$2:$C$5001,C78,$H$2:$H$5001)+ROW()/10000000,0))</f>
        <v>0</v>
      </c>
    </row>
    <row r="79" customFormat="false" ht="15" hidden="false" customHeight="false" outlineLevel="0" collapsed="false">
      <c r="A79" s="43"/>
      <c r="B79" s="44"/>
      <c r="C79" s="44"/>
      <c r="D79" s="44"/>
      <c r="E79" s="44"/>
      <c r="F79" s="44"/>
      <c r="G79" s="44"/>
      <c r="H79" s="46" t="str">
        <f aca="false">IF($A79="","",IF(OR(NOT(ISNUMBER(E79)),NOT(ISNUMBER(F79))),"",MAX(0,E79)*F79))</f>
        <v/>
      </c>
      <c r="I79" s="46" t="str">
        <f aca="false">IF($A79="","",SUMIF($A$2:$A$5001,$A79,$H$2:$H$5001))</f>
        <v/>
      </c>
      <c r="J79" s="47" t="n">
        <f aca="false">IF($A79="",0,IF(COUNTIF($A$2:A79,$A79)=1,1,0))</f>
        <v>0</v>
      </c>
      <c r="K79" s="47" t="n">
        <f aca="false">IF(J79=1,N(I79)+ROW()/10000000,0)</f>
        <v>0</v>
      </c>
      <c r="L79" s="47" t="str">
        <f aca="false">IF(AND(J79=1,N(I79)&gt;0),SUMIF($K$2:$K$5001,"&gt;="&amp;K79,$I$2:$I$5001)/MAX(1,SUM($H$2:$H$5001)),"")</f>
        <v/>
      </c>
      <c r="M79" s="47" t="str">
        <f aca="false">IF($A79="","",INDEX($L$2:$L$5001,MATCH($A79,$A$2:$A$5001,0)))</f>
        <v/>
      </c>
      <c r="N79" s="48" t="str">
        <f aca="false">IF($A79="","",IF(N(M79)=0,"–",IF(M79&lt;=Start!$D$20,"A",IF(M79&lt;=Start!$D$21,"B","C"))))</f>
        <v/>
      </c>
      <c r="O79" s="48" t="str">
        <f aca="false">IF($A79="","",IF(NOT(ISNUMBER(F79)),"Wert fehlt; ",IF(F79&lt;=0,"Wert ist 0; ",""))&amp;IF(NOT(ISNUMBER(E79)),"Bestand fehlt; ",IF(E79&lt;0,"Bestand negativ; ",IF(E79=0,"Nullbestand; ","")))&amp;IF(D79="","Warengruppe fehlt; ","")&amp;IF(B79="","Bezeichnung fehlt; ","")&amp;IF(COUNTIFS($A$2:$A$5001,$A79,$C$2:$C$5001,C79)&gt;1,"Artikel doppelt im selben Lager; ",""))</f>
        <v/>
      </c>
      <c r="P79" s="47" t="n">
        <f aca="false">IF(OR($A79="",D79=""),0,IF(COUNTIF($D$2:D79,D79)=1,SUMIF($D$2:$D$5001,D79,$H$2:$H$5001)+ROW()/10000000,0))</f>
        <v>0</v>
      </c>
      <c r="Q79" s="47" t="n">
        <f aca="false">IF(OR($A79="",C79=""),0,IF(COUNTIF($C$2:C79,C79)=1,SUMIF($C$2:$C$5001,C79,$H$2:$H$5001)+ROW()/10000000,0))</f>
        <v>0</v>
      </c>
    </row>
    <row r="80" customFormat="false" ht="15" hidden="false" customHeight="false" outlineLevel="0" collapsed="false">
      <c r="A80" s="43"/>
      <c r="B80" s="44"/>
      <c r="C80" s="44"/>
      <c r="D80" s="44"/>
      <c r="E80" s="44"/>
      <c r="F80" s="44"/>
      <c r="G80" s="44"/>
      <c r="H80" s="46" t="str">
        <f aca="false">IF($A80="","",IF(OR(NOT(ISNUMBER(E80)),NOT(ISNUMBER(F80))),"",MAX(0,E80)*F80))</f>
        <v/>
      </c>
      <c r="I80" s="46" t="str">
        <f aca="false">IF($A80="","",SUMIF($A$2:$A$5001,$A80,$H$2:$H$5001))</f>
        <v/>
      </c>
      <c r="J80" s="47" t="n">
        <f aca="false">IF($A80="",0,IF(COUNTIF($A$2:A80,$A80)=1,1,0))</f>
        <v>0</v>
      </c>
      <c r="K80" s="47" t="n">
        <f aca="false">IF(J80=1,N(I80)+ROW()/10000000,0)</f>
        <v>0</v>
      </c>
      <c r="L80" s="47" t="str">
        <f aca="false">IF(AND(J80=1,N(I80)&gt;0),SUMIF($K$2:$K$5001,"&gt;="&amp;K80,$I$2:$I$5001)/MAX(1,SUM($H$2:$H$5001)),"")</f>
        <v/>
      </c>
      <c r="M80" s="47" t="str">
        <f aca="false">IF($A80="","",INDEX($L$2:$L$5001,MATCH($A80,$A$2:$A$5001,0)))</f>
        <v/>
      </c>
      <c r="N80" s="48" t="str">
        <f aca="false">IF($A80="","",IF(N(M80)=0,"–",IF(M80&lt;=Start!$D$20,"A",IF(M80&lt;=Start!$D$21,"B","C"))))</f>
        <v/>
      </c>
      <c r="O80" s="48" t="str">
        <f aca="false">IF($A80="","",IF(NOT(ISNUMBER(F80)),"Wert fehlt; ",IF(F80&lt;=0,"Wert ist 0; ",""))&amp;IF(NOT(ISNUMBER(E80)),"Bestand fehlt; ",IF(E80&lt;0,"Bestand negativ; ",IF(E80=0,"Nullbestand; ","")))&amp;IF(D80="","Warengruppe fehlt; ","")&amp;IF(B80="","Bezeichnung fehlt; ","")&amp;IF(COUNTIFS($A$2:$A$5001,$A80,$C$2:$C$5001,C80)&gt;1,"Artikel doppelt im selben Lager; ",""))</f>
        <v/>
      </c>
      <c r="P80" s="47" t="n">
        <f aca="false">IF(OR($A80="",D80=""),0,IF(COUNTIF($D$2:D80,D80)=1,SUMIF($D$2:$D$5001,D80,$H$2:$H$5001)+ROW()/10000000,0))</f>
        <v>0</v>
      </c>
      <c r="Q80" s="47" t="n">
        <f aca="false">IF(OR($A80="",C80=""),0,IF(COUNTIF($C$2:C80,C80)=1,SUMIF($C$2:$C$5001,C80,$H$2:$H$5001)+ROW()/10000000,0))</f>
        <v>0</v>
      </c>
    </row>
    <row r="81" customFormat="false" ht="15" hidden="false" customHeight="false" outlineLevel="0" collapsed="false">
      <c r="A81" s="43"/>
      <c r="B81" s="44"/>
      <c r="C81" s="44"/>
      <c r="D81" s="44"/>
      <c r="E81" s="44"/>
      <c r="F81" s="44"/>
      <c r="G81" s="44"/>
      <c r="H81" s="46" t="str">
        <f aca="false">IF($A81="","",IF(OR(NOT(ISNUMBER(E81)),NOT(ISNUMBER(F81))),"",MAX(0,E81)*F81))</f>
        <v/>
      </c>
      <c r="I81" s="46" t="str">
        <f aca="false">IF($A81="","",SUMIF($A$2:$A$5001,$A81,$H$2:$H$5001))</f>
        <v/>
      </c>
      <c r="J81" s="47" t="n">
        <f aca="false">IF($A81="",0,IF(COUNTIF($A$2:A81,$A81)=1,1,0))</f>
        <v>0</v>
      </c>
      <c r="K81" s="47" t="n">
        <f aca="false">IF(J81=1,N(I81)+ROW()/10000000,0)</f>
        <v>0</v>
      </c>
      <c r="L81" s="47" t="str">
        <f aca="false">IF(AND(J81=1,N(I81)&gt;0),SUMIF($K$2:$K$5001,"&gt;="&amp;K81,$I$2:$I$5001)/MAX(1,SUM($H$2:$H$5001)),"")</f>
        <v/>
      </c>
      <c r="M81" s="47" t="str">
        <f aca="false">IF($A81="","",INDEX($L$2:$L$5001,MATCH($A81,$A$2:$A$5001,0)))</f>
        <v/>
      </c>
      <c r="N81" s="48" t="str">
        <f aca="false">IF($A81="","",IF(N(M81)=0,"–",IF(M81&lt;=Start!$D$20,"A",IF(M81&lt;=Start!$D$21,"B","C"))))</f>
        <v/>
      </c>
      <c r="O81" s="48" t="str">
        <f aca="false">IF($A81="","",IF(NOT(ISNUMBER(F81)),"Wert fehlt; ",IF(F81&lt;=0,"Wert ist 0; ",""))&amp;IF(NOT(ISNUMBER(E81)),"Bestand fehlt; ",IF(E81&lt;0,"Bestand negativ; ",IF(E81=0,"Nullbestand; ","")))&amp;IF(D81="","Warengruppe fehlt; ","")&amp;IF(B81="","Bezeichnung fehlt; ","")&amp;IF(COUNTIFS($A$2:$A$5001,$A81,$C$2:$C$5001,C81)&gt;1,"Artikel doppelt im selben Lager; ",""))</f>
        <v/>
      </c>
      <c r="P81" s="47" t="n">
        <f aca="false">IF(OR($A81="",D81=""),0,IF(COUNTIF($D$2:D81,D81)=1,SUMIF($D$2:$D$5001,D81,$H$2:$H$5001)+ROW()/10000000,0))</f>
        <v>0</v>
      </c>
      <c r="Q81" s="47" t="n">
        <f aca="false">IF(OR($A81="",C81=""),0,IF(COUNTIF($C$2:C81,C81)=1,SUMIF($C$2:$C$5001,C81,$H$2:$H$5001)+ROW()/10000000,0))</f>
        <v>0</v>
      </c>
    </row>
    <row r="82" customFormat="false" ht="15" hidden="false" customHeight="false" outlineLevel="0" collapsed="false">
      <c r="A82" s="43"/>
      <c r="B82" s="44"/>
      <c r="C82" s="44"/>
      <c r="D82" s="44"/>
      <c r="E82" s="44"/>
      <c r="F82" s="44"/>
      <c r="G82" s="44"/>
      <c r="H82" s="46" t="str">
        <f aca="false">IF($A82="","",IF(OR(NOT(ISNUMBER(E82)),NOT(ISNUMBER(F82))),"",MAX(0,E82)*F82))</f>
        <v/>
      </c>
      <c r="I82" s="46" t="str">
        <f aca="false">IF($A82="","",SUMIF($A$2:$A$5001,$A82,$H$2:$H$5001))</f>
        <v/>
      </c>
      <c r="J82" s="47" t="n">
        <f aca="false">IF($A82="",0,IF(COUNTIF($A$2:A82,$A82)=1,1,0))</f>
        <v>0</v>
      </c>
      <c r="K82" s="47" t="n">
        <f aca="false">IF(J82=1,N(I82)+ROW()/10000000,0)</f>
        <v>0</v>
      </c>
      <c r="L82" s="47" t="str">
        <f aca="false">IF(AND(J82=1,N(I82)&gt;0),SUMIF($K$2:$K$5001,"&gt;="&amp;K82,$I$2:$I$5001)/MAX(1,SUM($H$2:$H$5001)),"")</f>
        <v/>
      </c>
      <c r="M82" s="47" t="str">
        <f aca="false">IF($A82="","",INDEX($L$2:$L$5001,MATCH($A82,$A$2:$A$5001,0)))</f>
        <v/>
      </c>
      <c r="N82" s="48" t="str">
        <f aca="false">IF($A82="","",IF(N(M82)=0,"–",IF(M82&lt;=Start!$D$20,"A",IF(M82&lt;=Start!$D$21,"B","C"))))</f>
        <v/>
      </c>
      <c r="O82" s="48" t="str">
        <f aca="false">IF($A82="","",IF(NOT(ISNUMBER(F82)),"Wert fehlt; ",IF(F82&lt;=0,"Wert ist 0; ",""))&amp;IF(NOT(ISNUMBER(E82)),"Bestand fehlt; ",IF(E82&lt;0,"Bestand negativ; ",IF(E82=0,"Nullbestand; ","")))&amp;IF(D82="","Warengruppe fehlt; ","")&amp;IF(B82="","Bezeichnung fehlt; ","")&amp;IF(COUNTIFS($A$2:$A$5001,$A82,$C$2:$C$5001,C82)&gt;1,"Artikel doppelt im selben Lager; ",""))</f>
        <v/>
      </c>
      <c r="P82" s="47" t="n">
        <f aca="false">IF(OR($A82="",D82=""),0,IF(COUNTIF($D$2:D82,D82)=1,SUMIF($D$2:$D$5001,D82,$H$2:$H$5001)+ROW()/10000000,0))</f>
        <v>0</v>
      </c>
      <c r="Q82" s="47" t="n">
        <f aca="false">IF(OR($A82="",C82=""),0,IF(COUNTIF($C$2:C82,C82)=1,SUMIF($C$2:$C$5001,C82,$H$2:$H$5001)+ROW()/10000000,0))</f>
        <v>0</v>
      </c>
    </row>
    <row r="83" customFormat="false" ht="15" hidden="false" customHeight="false" outlineLevel="0" collapsed="false">
      <c r="A83" s="43"/>
      <c r="B83" s="44"/>
      <c r="C83" s="44"/>
      <c r="D83" s="44"/>
      <c r="E83" s="44"/>
      <c r="F83" s="44"/>
      <c r="G83" s="44"/>
      <c r="H83" s="46" t="str">
        <f aca="false">IF($A83="","",IF(OR(NOT(ISNUMBER(E83)),NOT(ISNUMBER(F83))),"",MAX(0,E83)*F83))</f>
        <v/>
      </c>
      <c r="I83" s="46" t="str">
        <f aca="false">IF($A83="","",SUMIF($A$2:$A$5001,$A83,$H$2:$H$5001))</f>
        <v/>
      </c>
      <c r="J83" s="47" t="n">
        <f aca="false">IF($A83="",0,IF(COUNTIF($A$2:A83,$A83)=1,1,0))</f>
        <v>0</v>
      </c>
      <c r="K83" s="47" t="n">
        <f aca="false">IF(J83=1,N(I83)+ROW()/10000000,0)</f>
        <v>0</v>
      </c>
      <c r="L83" s="47" t="str">
        <f aca="false">IF(AND(J83=1,N(I83)&gt;0),SUMIF($K$2:$K$5001,"&gt;="&amp;K83,$I$2:$I$5001)/MAX(1,SUM($H$2:$H$5001)),"")</f>
        <v/>
      </c>
      <c r="M83" s="47" t="str">
        <f aca="false">IF($A83="","",INDEX($L$2:$L$5001,MATCH($A83,$A$2:$A$5001,0)))</f>
        <v/>
      </c>
      <c r="N83" s="48" t="str">
        <f aca="false">IF($A83="","",IF(N(M83)=0,"–",IF(M83&lt;=Start!$D$20,"A",IF(M83&lt;=Start!$D$21,"B","C"))))</f>
        <v/>
      </c>
      <c r="O83" s="48" t="str">
        <f aca="false">IF($A83="","",IF(NOT(ISNUMBER(F83)),"Wert fehlt; ",IF(F83&lt;=0,"Wert ist 0; ",""))&amp;IF(NOT(ISNUMBER(E83)),"Bestand fehlt; ",IF(E83&lt;0,"Bestand negativ; ",IF(E83=0,"Nullbestand; ","")))&amp;IF(D83="","Warengruppe fehlt; ","")&amp;IF(B83="","Bezeichnung fehlt; ","")&amp;IF(COUNTIFS($A$2:$A$5001,$A83,$C$2:$C$5001,C83)&gt;1,"Artikel doppelt im selben Lager; ",""))</f>
        <v/>
      </c>
      <c r="P83" s="47" t="n">
        <f aca="false">IF(OR($A83="",D83=""),0,IF(COUNTIF($D$2:D83,D83)=1,SUMIF($D$2:$D$5001,D83,$H$2:$H$5001)+ROW()/10000000,0))</f>
        <v>0</v>
      </c>
      <c r="Q83" s="47" t="n">
        <f aca="false">IF(OR($A83="",C83=""),0,IF(COUNTIF($C$2:C83,C83)=1,SUMIF($C$2:$C$5001,C83,$H$2:$H$5001)+ROW()/10000000,0))</f>
        <v>0</v>
      </c>
    </row>
    <row r="84" customFormat="false" ht="15" hidden="false" customHeight="false" outlineLevel="0" collapsed="false">
      <c r="A84" s="43"/>
      <c r="B84" s="44"/>
      <c r="C84" s="44"/>
      <c r="D84" s="44"/>
      <c r="E84" s="44"/>
      <c r="F84" s="44"/>
      <c r="G84" s="44"/>
      <c r="H84" s="46" t="str">
        <f aca="false">IF($A84="","",IF(OR(NOT(ISNUMBER(E84)),NOT(ISNUMBER(F84))),"",MAX(0,E84)*F84))</f>
        <v/>
      </c>
      <c r="I84" s="46" t="str">
        <f aca="false">IF($A84="","",SUMIF($A$2:$A$5001,$A84,$H$2:$H$5001))</f>
        <v/>
      </c>
      <c r="J84" s="47" t="n">
        <f aca="false">IF($A84="",0,IF(COUNTIF($A$2:A84,$A84)=1,1,0))</f>
        <v>0</v>
      </c>
      <c r="K84" s="47" t="n">
        <f aca="false">IF(J84=1,N(I84)+ROW()/10000000,0)</f>
        <v>0</v>
      </c>
      <c r="L84" s="47" t="str">
        <f aca="false">IF(AND(J84=1,N(I84)&gt;0),SUMIF($K$2:$K$5001,"&gt;="&amp;K84,$I$2:$I$5001)/MAX(1,SUM($H$2:$H$5001)),"")</f>
        <v/>
      </c>
      <c r="M84" s="47" t="str">
        <f aca="false">IF($A84="","",INDEX($L$2:$L$5001,MATCH($A84,$A$2:$A$5001,0)))</f>
        <v/>
      </c>
      <c r="N84" s="48" t="str">
        <f aca="false">IF($A84="","",IF(N(M84)=0,"–",IF(M84&lt;=Start!$D$20,"A",IF(M84&lt;=Start!$D$21,"B","C"))))</f>
        <v/>
      </c>
      <c r="O84" s="48" t="str">
        <f aca="false">IF($A84="","",IF(NOT(ISNUMBER(F84)),"Wert fehlt; ",IF(F84&lt;=0,"Wert ist 0; ",""))&amp;IF(NOT(ISNUMBER(E84)),"Bestand fehlt; ",IF(E84&lt;0,"Bestand negativ; ",IF(E84=0,"Nullbestand; ","")))&amp;IF(D84="","Warengruppe fehlt; ","")&amp;IF(B84="","Bezeichnung fehlt; ","")&amp;IF(COUNTIFS($A$2:$A$5001,$A84,$C$2:$C$5001,C84)&gt;1,"Artikel doppelt im selben Lager; ",""))</f>
        <v/>
      </c>
      <c r="P84" s="47" t="n">
        <f aca="false">IF(OR($A84="",D84=""),0,IF(COUNTIF($D$2:D84,D84)=1,SUMIF($D$2:$D$5001,D84,$H$2:$H$5001)+ROW()/10000000,0))</f>
        <v>0</v>
      </c>
      <c r="Q84" s="47" t="n">
        <f aca="false">IF(OR($A84="",C84=""),0,IF(COUNTIF($C$2:C84,C84)=1,SUMIF($C$2:$C$5001,C84,$H$2:$H$5001)+ROW()/10000000,0))</f>
        <v>0</v>
      </c>
    </row>
    <row r="85" customFormat="false" ht="15" hidden="false" customHeight="false" outlineLevel="0" collapsed="false">
      <c r="A85" s="43"/>
      <c r="B85" s="44"/>
      <c r="C85" s="44"/>
      <c r="D85" s="44"/>
      <c r="E85" s="44"/>
      <c r="F85" s="44"/>
      <c r="G85" s="44"/>
      <c r="H85" s="46" t="str">
        <f aca="false">IF($A85="","",IF(OR(NOT(ISNUMBER(E85)),NOT(ISNUMBER(F85))),"",MAX(0,E85)*F85))</f>
        <v/>
      </c>
      <c r="I85" s="46" t="str">
        <f aca="false">IF($A85="","",SUMIF($A$2:$A$5001,$A85,$H$2:$H$5001))</f>
        <v/>
      </c>
      <c r="J85" s="47" t="n">
        <f aca="false">IF($A85="",0,IF(COUNTIF($A$2:A85,$A85)=1,1,0))</f>
        <v>0</v>
      </c>
      <c r="K85" s="47" t="n">
        <f aca="false">IF(J85=1,N(I85)+ROW()/10000000,0)</f>
        <v>0</v>
      </c>
      <c r="L85" s="47" t="str">
        <f aca="false">IF(AND(J85=1,N(I85)&gt;0),SUMIF($K$2:$K$5001,"&gt;="&amp;K85,$I$2:$I$5001)/MAX(1,SUM($H$2:$H$5001)),"")</f>
        <v/>
      </c>
      <c r="M85" s="47" t="str">
        <f aca="false">IF($A85="","",INDEX($L$2:$L$5001,MATCH($A85,$A$2:$A$5001,0)))</f>
        <v/>
      </c>
      <c r="N85" s="48" t="str">
        <f aca="false">IF($A85="","",IF(N(M85)=0,"–",IF(M85&lt;=Start!$D$20,"A",IF(M85&lt;=Start!$D$21,"B","C"))))</f>
        <v/>
      </c>
      <c r="O85" s="48" t="str">
        <f aca="false">IF($A85="","",IF(NOT(ISNUMBER(F85)),"Wert fehlt; ",IF(F85&lt;=0,"Wert ist 0; ",""))&amp;IF(NOT(ISNUMBER(E85)),"Bestand fehlt; ",IF(E85&lt;0,"Bestand negativ; ",IF(E85=0,"Nullbestand; ","")))&amp;IF(D85="","Warengruppe fehlt; ","")&amp;IF(B85="","Bezeichnung fehlt; ","")&amp;IF(COUNTIFS($A$2:$A$5001,$A85,$C$2:$C$5001,C85)&gt;1,"Artikel doppelt im selben Lager; ",""))</f>
        <v/>
      </c>
      <c r="P85" s="47" t="n">
        <f aca="false">IF(OR($A85="",D85=""),0,IF(COUNTIF($D$2:D85,D85)=1,SUMIF($D$2:$D$5001,D85,$H$2:$H$5001)+ROW()/10000000,0))</f>
        <v>0</v>
      </c>
      <c r="Q85" s="47" t="n">
        <f aca="false">IF(OR($A85="",C85=""),0,IF(COUNTIF($C$2:C85,C85)=1,SUMIF($C$2:$C$5001,C85,$H$2:$H$5001)+ROW()/10000000,0))</f>
        <v>0</v>
      </c>
    </row>
    <row r="86" customFormat="false" ht="15" hidden="false" customHeight="false" outlineLevel="0" collapsed="false">
      <c r="A86" s="43"/>
      <c r="B86" s="44"/>
      <c r="C86" s="44"/>
      <c r="D86" s="44"/>
      <c r="E86" s="44"/>
      <c r="F86" s="44"/>
      <c r="G86" s="44"/>
      <c r="H86" s="46" t="str">
        <f aca="false">IF($A86="","",IF(OR(NOT(ISNUMBER(E86)),NOT(ISNUMBER(F86))),"",MAX(0,E86)*F86))</f>
        <v/>
      </c>
      <c r="I86" s="46" t="str">
        <f aca="false">IF($A86="","",SUMIF($A$2:$A$5001,$A86,$H$2:$H$5001))</f>
        <v/>
      </c>
      <c r="J86" s="47" t="n">
        <f aca="false">IF($A86="",0,IF(COUNTIF($A$2:A86,$A86)=1,1,0))</f>
        <v>0</v>
      </c>
      <c r="K86" s="47" t="n">
        <f aca="false">IF(J86=1,N(I86)+ROW()/10000000,0)</f>
        <v>0</v>
      </c>
      <c r="L86" s="47" t="str">
        <f aca="false">IF(AND(J86=1,N(I86)&gt;0),SUMIF($K$2:$K$5001,"&gt;="&amp;K86,$I$2:$I$5001)/MAX(1,SUM($H$2:$H$5001)),"")</f>
        <v/>
      </c>
      <c r="M86" s="47" t="str">
        <f aca="false">IF($A86="","",INDEX($L$2:$L$5001,MATCH($A86,$A$2:$A$5001,0)))</f>
        <v/>
      </c>
      <c r="N86" s="48" t="str">
        <f aca="false">IF($A86="","",IF(N(M86)=0,"–",IF(M86&lt;=Start!$D$20,"A",IF(M86&lt;=Start!$D$21,"B","C"))))</f>
        <v/>
      </c>
      <c r="O86" s="48" t="str">
        <f aca="false">IF($A86="","",IF(NOT(ISNUMBER(F86)),"Wert fehlt; ",IF(F86&lt;=0,"Wert ist 0; ",""))&amp;IF(NOT(ISNUMBER(E86)),"Bestand fehlt; ",IF(E86&lt;0,"Bestand negativ; ",IF(E86=0,"Nullbestand; ","")))&amp;IF(D86="","Warengruppe fehlt; ","")&amp;IF(B86="","Bezeichnung fehlt; ","")&amp;IF(COUNTIFS($A$2:$A$5001,$A86,$C$2:$C$5001,C86)&gt;1,"Artikel doppelt im selben Lager; ",""))</f>
        <v/>
      </c>
      <c r="P86" s="47" t="n">
        <f aca="false">IF(OR($A86="",D86=""),0,IF(COUNTIF($D$2:D86,D86)=1,SUMIF($D$2:$D$5001,D86,$H$2:$H$5001)+ROW()/10000000,0))</f>
        <v>0</v>
      </c>
      <c r="Q86" s="47" t="n">
        <f aca="false">IF(OR($A86="",C86=""),0,IF(COUNTIF($C$2:C86,C86)=1,SUMIF($C$2:$C$5001,C86,$H$2:$H$5001)+ROW()/10000000,0))</f>
        <v>0</v>
      </c>
    </row>
    <row r="87" customFormat="false" ht="15" hidden="false" customHeight="false" outlineLevel="0" collapsed="false">
      <c r="A87" s="43"/>
      <c r="B87" s="44"/>
      <c r="C87" s="44"/>
      <c r="D87" s="44"/>
      <c r="E87" s="44"/>
      <c r="F87" s="44"/>
      <c r="G87" s="44"/>
      <c r="H87" s="46" t="str">
        <f aca="false">IF($A87="","",IF(OR(NOT(ISNUMBER(E87)),NOT(ISNUMBER(F87))),"",MAX(0,E87)*F87))</f>
        <v/>
      </c>
      <c r="I87" s="46" t="str">
        <f aca="false">IF($A87="","",SUMIF($A$2:$A$5001,$A87,$H$2:$H$5001))</f>
        <v/>
      </c>
      <c r="J87" s="47" t="n">
        <f aca="false">IF($A87="",0,IF(COUNTIF($A$2:A87,$A87)=1,1,0))</f>
        <v>0</v>
      </c>
      <c r="K87" s="47" t="n">
        <f aca="false">IF(J87=1,N(I87)+ROW()/10000000,0)</f>
        <v>0</v>
      </c>
      <c r="L87" s="47" t="str">
        <f aca="false">IF(AND(J87=1,N(I87)&gt;0),SUMIF($K$2:$K$5001,"&gt;="&amp;K87,$I$2:$I$5001)/MAX(1,SUM($H$2:$H$5001)),"")</f>
        <v/>
      </c>
      <c r="M87" s="47" t="str">
        <f aca="false">IF($A87="","",INDEX($L$2:$L$5001,MATCH($A87,$A$2:$A$5001,0)))</f>
        <v/>
      </c>
      <c r="N87" s="48" t="str">
        <f aca="false">IF($A87="","",IF(N(M87)=0,"–",IF(M87&lt;=Start!$D$20,"A",IF(M87&lt;=Start!$D$21,"B","C"))))</f>
        <v/>
      </c>
      <c r="O87" s="48" t="str">
        <f aca="false">IF($A87="","",IF(NOT(ISNUMBER(F87)),"Wert fehlt; ",IF(F87&lt;=0,"Wert ist 0; ",""))&amp;IF(NOT(ISNUMBER(E87)),"Bestand fehlt; ",IF(E87&lt;0,"Bestand negativ; ",IF(E87=0,"Nullbestand; ","")))&amp;IF(D87="","Warengruppe fehlt; ","")&amp;IF(B87="","Bezeichnung fehlt; ","")&amp;IF(COUNTIFS($A$2:$A$5001,$A87,$C$2:$C$5001,C87)&gt;1,"Artikel doppelt im selben Lager; ",""))</f>
        <v/>
      </c>
      <c r="P87" s="47" t="n">
        <f aca="false">IF(OR($A87="",D87=""),0,IF(COUNTIF($D$2:D87,D87)=1,SUMIF($D$2:$D$5001,D87,$H$2:$H$5001)+ROW()/10000000,0))</f>
        <v>0</v>
      </c>
      <c r="Q87" s="47" t="n">
        <f aca="false">IF(OR($A87="",C87=""),0,IF(COUNTIF($C$2:C87,C87)=1,SUMIF($C$2:$C$5001,C87,$H$2:$H$5001)+ROW()/10000000,0))</f>
        <v>0</v>
      </c>
    </row>
    <row r="88" customFormat="false" ht="15" hidden="false" customHeight="false" outlineLevel="0" collapsed="false">
      <c r="A88" s="43"/>
      <c r="B88" s="44"/>
      <c r="C88" s="44"/>
      <c r="D88" s="44"/>
      <c r="E88" s="44"/>
      <c r="F88" s="44"/>
      <c r="G88" s="44"/>
      <c r="H88" s="46" t="str">
        <f aca="false">IF($A88="","",IF(OR(NOT(ISNUMBER(E88)),NOT(ISNUMBER(F88))),"",MAX(0,E88)*F88))</f>
        <v/>
      </c>
      <c r="I88" s="46" t="str">
        <f aca="false">IF($A88="","",SUMIF($A$2:$A$5001,$A88,$H$2:$H$5001))</f>
        <v/>
      </c>
      <c r="J88" s="47" t="n">
        <f aca="false">IF($A88="",0,IF(COUNTIF($A$2:A88,$A88)=1,1,0))</f>
        <v>0</v>
      </c>
      <c r="K88" s="47" t="n">
        <f aca="false">IF(J88=1,N(I88)+ROW()/10000000,0)</f>
        <v>0</v>
      </c>
      <c r="L88" s="47" t="str">
        <f aca="false">IF(AND(J88=1,N(I88)&gt;0),SUMIF($K$2:$K$5001,"&gt;="&amp;K88,$I$2:$I$5001)/MAX(1,SUM($H$2:$H$5001)),"")</f>
        <v/>
      </c>
      <c r="M88" s="47" t="str">
        <f aca="false">IF($A88="","",INDEX($L$2:$L$5001,MATCH($A88,$A$2:$A$5001,0)))</f>
        <v/>
      </c>
      <c r="N88" s="48" t="str">
        <f aca="false">IF($A88="","",IF(N(M88)=0,"–",IF(M88&lt;=Start!$D$20,"A",IF(M88&lt;=Start!$D$21,"B","C"))))</f>
        <v/>
      </c>
      <c r="O88" s="48" t="str">
        <f aca="false">IF($A88="","",IF(NOT(ISNUMBER(F88)),"Wert fehlt; ",IF(F88&lt;=0,"Wert ist 0; ",""))&amp;IF(NOT(ISNUMBER(E88)),"Bestand fehlt; ",IF(E88&lt;0,"Bestand negativ; ",IF(E88=0,"Nullbestand; ","")))&amp;IF(D88="","Warengruppe fehlt; ","")&amp;IF(B88="","Bezeichnung fehlt; ","")&amp;IF(COUNTIFS($A$2:$A$5001,$A88,$C$2:$C$5001,C88)&gt;1,"Artikel doppelt im selben Lager; ",""))</f>
        <v/>
      </c>
      <c r="P88" s="47" t="n">
        <f aca="false">IF(OR($A88="",D88=""),0,IF(COUNTIF($D$2:D88,D88)=1,SUMIF($D$2:$D$5001,D88,$H$2:$H$5001)+ROW()/10000000,0))</f>
        <v>0</v>
      </c>
      <c r="Q88" s="47" t="n">
        <f aca="false">IF(OR($A88="",C88=""),0,IF(COUNTIF($C$2:C88,C88)=1,SUMIF($C$2:$C$5001,C88,$H$2:$H$5001)+ROW()/10000000,0))</f>
        <v>0</v>
      </c>
    </row>
    <row r="89" customFormat="false" ht="15" hidden="false" customHeight="false" outlineLevel="0" collapsed="false">
      <c r="A89" s="43"/>
      <c r="B89" s="44"/>
      <c r="C89" s="44"/>
      <c r="D89" s="44"/>
      <c r="E89" s="44"/>
      <c r="F89" s="44"/>
      <c r="G89" s="44"/>
      <c r="H89" s="46" t="str">
        <f aca="false">IF($A89="","",IF(OR(NOT(ISNUMBER(E89)),NOT(ISNUMBER(F89))),"",MAX(0,E89)*F89))</f>
        <v/>
      </c>
      <c r="I89" s="46" t="str">
        <f aca="false">IF($A89="","",SUMIF($A$2:$A$5001,$A89,$H$2:$H$5001))</f>
        <v/>
      </c>
      <c r="J89" s="47" t="n">
        <f aca="false">IF($A89="",0,IF(COUNTIF($A$2:A89,$A89)=1,1,0))</f>
        <v>0</v>
      </c>
      <c r="K89" s="47" t="n">
        <f aca="false">IF(J89=1,N(I89)+ROW()/10000000,0)</f>
        <v>0</v>
      </c>
      <c r="L89" s="47" t="str">
        <f aca="false">IF(AND(J89=1,N(I89)&gt;0),SUMIF($K$2:$K$5001,"&gt;="&amp;K89,$I$2:$I$5001)/MAX(1,SUM($H$2:$H$5001)),"")</f>
        <v/>
      </c>
      <c r="M89" s="47" t="str">
        <f aca="false">IF($A89="","",INDEX($L$2:$L$5001,MATCH($A89,$A$2:$A$5001,0)))</f>
        <v/>
      </c>
      <c r="N89" s="48" t="str">
        <f aca="false">IF($A89="","",IF(N(M89)=0,"–",IF(M89&lt;=Start!$D$20,"A",IF(M89&lt;=Start!$D$21,"B","C"))))</f>
        <v/>
      </c>
      <c r="O89" s="48" t="str">
        <f aca="false">IF($A89="","",IF(NOT(ISNUMBER(F89)),"Wert fehlt; ",IF(F89&lt;=0,"Wert ist 0; ",""))&amp;IF(NOT(ISNUMBER(E89)),"Bestand fehlt; ",IF(E89&lt;0,"Bestand negativ; ",IF(E89=0,"Nullbestand; ","")))&amp;IF(D89="","Warengruppe fehlt; ","")&amp;IF(B89="","Bezeichnung fehlt; ","")&amp;IF(COUNTIFS($A$2:$A$5001,$A89,$C$2:$C$5001,C89)&gt;1,"Artikel doppelt im selben Lager; ",""))</f>
        <v/>
      </c>
      <c r="P89" s="47" t="n">
        <f aca="false">IF(OR($A89="",D89=""),0,IF(COUNTIF($D$2:D89,D89)=1,SUMIF($D$2:$D$5001,D89,$H$2:$H$5001)+ROW()/10000000,0))</f>
        <v>0</v>
      </c>
      <c r="Q89" s="47" t="n">
        <f aca="false">IF(OR($A89="",C89=""),0,IF(COUNTIF($C$2:C89,C89)=1,SUMIF($C$2:$C$5001,C89,$H$2:$H$5001)+ROW()/10000000,0))</f>
        <v>0</v>
      </c>
    </row>
    <row r="90" customFormat="false" ht="15" hidden="false" customHeight="false" outlineLevel="0" collapsed="false">
      <c r="A90" s="43"/>
      <c r="B90" s="44"/>
      <c r="C90" s="44"/>
      <c r="D90" s="44"/>
      <c r="E90" s="44"/>
      <c r="F90" s="44"/>
      <c r="G90" s="44"/>
      <c r="H90" s="46" t="str">
        <f aca="false">IF($A90="","",IF(OR(NOT(ISNUMBER(E90)),NOT(ISNUMBER(F90))),"",MAX(0,E90)*F90))</f>
        <v/>
      </c>
      <c r="I90" s="46" t="str">
        <f aca="false">IF($A90="","",SUMIF($A$2:$A$5001,$A90,$H$2:$H$5001))</f>
        <v/>
      </c>
      <c r="J90" s="47" t="n">
        <f aca="false">IF($A90="",0,IF(COUNTIF($A$2:A90,$A90)=1,1,0))</f>
        <v>0</v>
      </c>
      <c r="K90" s="47" t="n">
        <f aca="false">IF(J90=1,N(I90)+ROW()/10000000,0)</f>
        <v>0</v>
      </c>
      <c r="L90" s="47" t="str">
        <f aca="false">IF(AND(J90=1,N(I90)&gt;0),SUMIF($K$2:$K$5001,"&gt;="&amp;K90,$I$2:$I$5001)/MAX(1,SUM($H$2:$H$5001)),"")</f>
        <v/>
      </c>
      <c r="M90" s="47" t="str">
        <f aca="false">IF($A90="","",INDEX($L$2:$L$5001,MATCH($A90,$A$2:$A$5001,0)))</f>
        <v/>
      </c>
      <c r="N90" s="48" t="str">
        <f aca="false">IF($A90="","",IF(N(M90)=0,"–",IF(M90&lt;=Start!$D$20,"A",IF(M90&lt;=Start!$D$21,"B","C"))))</f>
        <v/>
      </c>
      <c r="O90" s="48" t="str">
        <f aca="false">IF($A90="","",IF(NOT(ISNUMBER(F90)),"Wert fehlt; ",IF(F90&lt;=0,"Wert ist 0; ",""))&amp;IF(NOT(ISNUMBER(E90)),"Bestand fehlt; ",IF(E90&lt;0,"Bestand negativ; ",IF(E90=0,"Nullbestand; ","")))&amp;IF(D90="","Warengruppe fehlt; ","")&amp;IF(B90="","Bezeichnung fehlt; ","")&amp;IF(COUNTIFS($A$2:$A$5001,$A90,$C$2:$C$5001,C90)&gt;1,"Artikel doppelt im selben Lager; ",""))</f>
        <v/>
      </c>
      <c r="P90" s="47" t="n">
        <f aca="false">IF(OR($A90="",D90=""),0,IF(COUNTIF($D$2:D90,D90)=1,SUMIF($D$2:$D$5001,D90,$H$2:$H$5001)+ROW()/10000000,0))</f>
        <v>0</v>
      </c>
      <c r="Q90" s="47" t="n">
        <f aca="false">IF(OR($A90="",C90=""),0,IF(COUNTIF($C$2:C90,C90)=1,SUMIF($C$2:$C$5001,C90,$H$2:$H$5001)+ROW()/10000000,0))</f>
        <v>0</v>
      </c>
    </row>
    <row r="91" customFormat="false" ht="15" hidden="false" customHeight="false" outlineLevel="0" collapsed="false">
      <c r="A91" s="43"/>
      <c r="B91" s="44"/>
      <c r="C91" s="44"/>
      <c r="D91" s="44"/>
      <c r="E91" s="44"/>
      <c r="F91" s="44"/>
      <c r="G91" s="44"/>
      <c r="H91" s="46" t="str">
        <f aca="false">IF($A91="","",IF(OR(NOT(ISNUMBER(E91)),NOT(ISNUMBER(F91))),"",MAX(0,E91)*F91))</f>
        <v/>
      </c>
      <c r="I91" s="46" t="str">
        <f aca="false">IF($A91="","",SUMIF($A$2:$A$5001,$A91,$H$2:$H$5001))</f>
        <v/>
      </c>
      <c r="J91" s="47" t="n">
        <f aca="false">IF($A91="",0,IF(COUNTIF($A$2:A91,$A91)=1,1,0))</f>
        <v>0</v>
      </c>
      <c r="K91" s="47" t="n">
        <f aca="false">IF(J91=1,N(I91)+ROW()/10000000,0)</f>
        <v>0</v>
      </c>
      <c r="L91" s="47" t="str">
        <f aca="false">IF(AND(J91=1,N(I91)&gt;0),SUMIF($K$2:$K$5001,"&gt;="&amp;K91,$I$2:$I$5001)/MAX(1,SUM($H$2:$H$5001)),"")</f>
        <v/>
      </c>
      <c r="M91" s="47" t="str">
        <f aca="false">IF($A91="","",INDEX($L$2:$L$5001,MATCH($A91,$A$2:$A$5001,0)))</f>
        <v/>
      </c>
      <c r="N91" s="48" t="str">
        <f aca="false">IF($A91="","",IF(N(M91)=0,"–",IF(M91&lt;=Start!$D$20,"A",IF(M91&lt;=Start!$D$21,"B","C"))))</f>
        <v/>
      </c>
      <c r="O91" s="48" t="str">
        <f aca="false">IF($A91="","",IF(NOT(ISNUMBER(F91)),"Wert fehlt; ",IF(F91&lt;=0,"Wert ist 0; ",""))&amp;IF(NOT(ISNUMBER(E91)),"Bestand fehlt; ",IF(E91&lt;0,"Bestand negativ; ",IF(E91=0,"Nullbestand; ","")))&amp;IF(D91="","Warengruppe fehlt; ","")&amp;IF(B91="","Bezeichnung fehlt; ","")&amp;IF(COUNTIFS($A$2:$A$5001,$A91,$C$2:$C$5001,C91)&gt;1,"Artikel doppelt im selben Lager; ",""))</f>
        <v/>
      </c>
      <c r="P91" s="47" t="n">
        <f aca="false">IF(OR($A91="",D91=""),0,IF(COUNTIF($D$2:D91,D91)=1,SUMIF($D$2:$D$5001,D91,$H$2:$H$5001)+ROW()/10000000,0))</f>
        <v>0</v>
      </c>
      <c r="Q91" s="47" t="n">
        <f aca="false">IF(OR($A91="",C91=""),0,IF(COUNTIF($C$2:C91,C91)=1,SUMIF($C$2:$C$5001,C91,$H$2:$H$5001)+ROW()/10000000,0))</f>
        <v>0</v>
      </c>
    </row>
    <row r="92" customFormat="false" ht="15" hidden="false" customHeight="false" outlineLevel="0" collapsed="false">
      <c r="A92" s="43"/>
      <c r="B92" s="44"/>
      <c r="C92" s="44"/>
      <c r="D92" s="44"/>
      <c r="E92" s="44"/>
      <c r="F92" s="44"/>
      <c r="G92" s="44"/>
      <c r="H92" s="46" t="str">
        <f aca="false">IF($A92="","",IF(OR(NOT(ISNUMBER(E92)),NOT(ISNUMBER(F92))),"",MAX(0,E92)*F92))</f>
        <v/>
      </c>
      <c r="I92" s="46" t="str">
        <f aca="false">IF($A92="","",SUMIF($A$2:$A$5001,$A92,$H$2:$H$5001))</f>
        <v/>
      </c>
      <c r="J92" s="47" t="n">
        <f aca="false">IF($A92="",0,IF(COUNTIF($A$2:A92,$A92)=1,1,0))</f>
        <v>0</v>
      </c>
      <c r="K92" s="47" t="n">
        <f aca="false">IF(J92=1,N(I92)+ROW()/10000000,0)</f>
        <v>0</v>
      </c>
      <c r="L92" s="47" t="str">
        <f aca="false">IF(AND(J92=1,N(I92)&gt;0),SUMIF($K$2:$K$5001,"&gt;="&amp;K92,$I$2:$I$5001)/MAX(1,SUM($H$2:$H$5001)),"")</f>
        <v/>
      </c>
      <c r="M92" s="47" t="str">
        <f aca="false">IF($A92="","",INDEX($L$2:$L$5001,MATCH($A92,$A$2:$A$5001,0)))</f>
        <v/>
      </c>
      <c r="N92" s="48" t="str">
        <f aca="false">IF($A92="","",IF(N(M92)=0,"–",IF(M92&lt;=Start!$D$20,"A",IF(M92&lt;=Start!$D$21,"B","C"))))</f>
        <v/>
      </c>
      <c r="O92" s="48" t="str">
        <f aca="false">IF($A92="","",IF(NOT(ISNUMBER(F92)),"Wert fehlt; ",IF(F92&lt;=0,"Wert ist 0; ",""))&amp;IF(NOT(ISNUMBER(E92)),"Bestand fehlt; ",IF(E92&lt;0,"Bestand negativ; ",IF(E92=0,"Nullbestand; ","")))&amp;IF(D92="","Warengruppe fehlt; ","")&amp;IF(B92="","Bezeichnung fehlt; ","")&amp;IF(COUNTIFS($A$2:$A$5001,$A92,$C$2:$C$5001,C92)&gt;1,"Artikel doppelt im selben Lager; ",""))</f>
        <v/>
      </c>
      <c r="P92" s="47" t="n">
        <f aca="false">IF(OR($A92="",D92=""),0,IF(COUNTIF($D$2:D92,D92)=1,SUMIF($D$2:$D$5001,D92,$H$2:$H$5001)+ROW()/10000000,0))</f>
        <v>0</v>
      </c>
      <c r="Q92" s="47" t="n">
        <f aca="false">IF(OR($A92="",C92=""),0,IF(COUNTIF($C$2:C92,C92)=1,SUMIF($C$2:$C$5001,C92,$H$2:$H$5001)+ROW()/10000000,0))</f>
        <v>0</v>
      </c>
    </row>
    <row r="93" customFormat="false" ht="15" hidden="false" customHeight="false" outlineLevel="0" collapsed="false">
      <c r="A93" s="43"/>
      <c r="B93" s="44"/>
      <c r="C93" s="44"/>
      <c r="D93" s="44"/>
      <c r="E93" s="44"/>
      <c r="F93" s="44"/>
      <c r="G93" s="44"/>
      <c r="H93" s="46" t="str">
        <f aca="false">IF($A93="","",IF(OR(NOT(ISNUMBER(E93)),NOT(ISNUMBER(F93))),"",MAX(0,E93)*F93))</f>
        <v/>
      </c>
      <c r="I93" s="46" t="str">
        <f aca="false">IF($A93="","",SUMIF($A$2:$A$5001,$A93,$H$2:$H$5001))</f>
        <v/>
      </c>
      <c r="J93" s="47" t="n">
        <f aca="false">IF($A93="",0,IF(COUNTIF($A$2:A93,$A93)=1,1,0))</f>
        <v>0</v>
      </c>
      <c r="K93" s="47" t="n">
        <f aca="false">IF(J93=1,N(I93)+ROW()/10000000,0)</f>
        <v>0</v>
      </c>
      <c r="L93" s="47" t="str">
        <f aca="false">IF(AND(J93=1,N(I93)&gt;0),SUMIF($K$2:$K$5001,"&gt;="&amp;K93,$I$2:$I$5001)/MAX(1,SUM($H$2:$H$5001)),"")</f>
        <v/>
      </c>
      <c r="M93" s="47" t="str">
        <f aca="false">IF($A93="","",INDEX($L$2:$L$5001,MATCH($A93,$A$2:$A$5001,0)))</f>
        <v/>
      </c>
      <c r="N93" s="48" t="str">
        <f aca="false">IF($A93="","",IF(N(M93)=0,"–",IF(M93&lt;=Start!$D$20,"A",IF(M93&lt;=Start!$D$21,"B","C"))))</f>
        <v/>
      </c>
      <c r="O93" s="48" t="str">
        <f aca="false">IF($A93="","",IF(NOT(ISNUMBER(F93)),"Wert fehlt; ",IF(F93&lt;=0,"Wert ist 0; ",""))&amp;IF(NOT(ISNUMBER(E93)),"Bestand fehlt; ",IF(E93&lt;0,"Bestand negativ; ",IF(E93=0,"Nullbestand; ","")))&amp;IF(D93="","Warengruppe fehlt; ","")&amp;IF(B93="","Bezeichnung fehlt; ","")&amp;IF(COUNTIFS($A$2:$A$5001,$A93,$C$2:$C$5001,C93)&gt;1,"Artikel doppelt im selben Lager; ",""))</f>
        <v/>
      </c>
      <c r="P93" s="47" t="n">
        <f aca="false">IF(OR($A93="",D93=""),0,IF(COUNTIF($D$2:D93,D93)=1,SUMIF($D$2:$D$5001,D93,$H$2:$H$5001)+ROW()/10000000,0))</f>
        <v>0</v>
      </c>
      <c r="Q93" s="47" t="n">
        <f aca="false">IF(OR($A93="",C93=""),0,IF(COUNTIF($C$2:C93,C93)=1,SUMIF($C$2:$C$5001,C93,$H$2:$H$5001)+ROW()/10000000,0))</f>
        <v>0</v>
      </c>
    </row>
    <row r="94" customFormat="false" ht="15" hidden="false" customHeight="false" outlineLevel="0" collapsed="false">
      <c r="A94" s="43"/>
      <c r="B94" s="44"/>
      <c r="C94" s="44"/>
      <c r="D94" s="44"/>
      <c r="E94" s="44"/>
      <c r="F94" s="44"/>
      <c r="G94" s="44"/>
      <c r="H94" s="46" t="str">
        <f aca="false">IF($A94="","",IF(OR(NOT(ISNUMBER(E94)),NOT(ISNUMBER(F94))),"",MAX(0,E94)*F94))</f>
        <v/>
      </c>
      <c r="I94" s="46" t="str">
        <f aca="false">IF($A94="","",SUMIF($A$2:$A$5001,$A94,$H$2:$H$5001))</f>
        <v/>
      </c>
      <c r="J94" s="47" t="n">
        <f aca="false">IF($A94="",0,IF(COUNTIF($A$2:A94,$A94)=1,1,0))</f>
        <v>0</v>
      </c>
      <c r="K94" s="47" t="n">
        <f aca="false">IF(J94=1,N(I94)+ROW()/10000000,0)</f>
        <v>0</v>
      </c>
      <c r="L94" s="47" t="str">
        <f aca="false">IF(AND(J94=1,N(I94)&gt;0),SUMIF($K$2:$K$5001,"&gt;="&amp;K94,$I$2:$I$5001)/MAX(1,SUM($H$2:$H$5001)),"")</f>
        <v/>
      </c>
      <c r="M94" s="47" t="str">
        <f aca="false">IF($A94="","",INDEX($L$2:$L$5001,MATCH($A94,$A$2:$A$5001,0)))</f>
        <v/>
      </c>
      <c r="N94" s="48" t="str">
        <f aca="false">IF($A94="","",IF(N(M94)=0,"–",IF(M94&lt;=Start!$D$20,"A",IF(M94&lt;=Start!$D$21,"B","C"))))</f>
        <v/>
      </c>
      <c r="O94" s="48" t="str">
        <f aca="false">IF($A94="","",IF(NOT(ISNUMBER(F94)),"Wert fehlt; ",IF(F94&lt;=0,"Wert ist 0; ",""))&amp;IF(NOT(ISNUMBER(E94)),"Bestand fehlt; ",IF(E94&lt;0,"Bestand negativ; ",IF(E94=0,"Nullbestand; ","")))&amp;IF(D94="","Warengruppe fehlt; ","")&amp;IF(B94="","Bezeichnung fehlt; ","")&amp;IF(COUNTIFS($A$2:$A$5001,$A94,$C$2:$C$5001,C94)&gt;1,"Artikel doppelt im selben Lager; ",""))</f>
        <v/>
      </c>
      <c r="P94" s="47" t="n">
        <f aca="false">IF(OR($A94="",D94=""),0,IF(COUNTIF($D$2:D94,D94)=1,SUMIF($D$2:$D$5001,D94,$H$2:$H$5001)+ROW()/10000000,0))</f>
        <v>0</v>
      </c>
      <c r="Q94" s="47" t="n">
        <f aca="false">IF(OR($A94="",C94=""),0,IF(COUNTIF($C$2:C94,C94)=1,SUMIF($C$2:$C$5001,C94,$H$2:$H$5001)+ROW()/10000000,0))</f>
        <v>0</v>
      </c>
    </row>
    <row r="95" customFormat="false" ht="15" hidden="false" customHeight="false" outlineLevel="0" collapsed="false">
      <c r="A95" s="43"/>
      <c r="B95" s="44"/>
      <c r="C95" s="44"/>
      <c r="D95" s="44"/>
      <c r="E95" s="44"/>
      <c r="F95" s="44"/>
      <c r="G95" s="44"/>
      <c r="H95" s="46" t="str">
        <f aca="false">IF($A95="","",IF(OR(NOT(ISNUMBER(E95)),NOT(ISNUMBER(F95))),"",MAX(0,E95)*F95))</f>
        <v/>
      </c>
      <c r="I95" s="46" t="str">
        <f aca="false">IF($A95="","",SUMIF($A$2:$A$5001,$A95,$H$2:$H$5001))</f>
        <v/>
      </c>
      <c r="J95" s="47" t="n">
        <f aca="false">IF($A95="",0,IF(COUNTIF($A$2:A95,$A95)=1,1,0))</f>
        <v>0</v>
      </c>
      <c r="K95" s="47" t="n">
        <f aca="false">IF(J95=1,N(I95)+ROW()/10000000,0)</f>
        <v>0</v>
      </c>
      <c r="L95" s="47" t="str">
        <f aca="false">IF(AND(J95=1,N(I95)&gt;0),SUMIF($K$2:$K$5001,"&gt;="&amp;K95,$I$2:$I$5001)/MAX(1,SUM($H$2:$H$5001)),"")</f>
        <v/>
      </c>
      <c r="M95" s="47" t="str">
        <f aca="false">IF($A95="","",INDEX($L$2:$L$5001,MATCH($A95,$A$2:$A$5001,0)))</f>
        <v/>
      </c>
      <c r="N95" s="48" t="str">
        <f aca="false">IF($A95="","",IF(N(M95)=0,"–",IF(M95&lt;=Start!$D$20,"A",IF(M95&lt;=Start!$D$21,"B","C"))))</f>
        <v/>
      </c>
      <c r="O95" s="48" t="str">
        <f aca="false">IF($A95="","",IF(NOT(ISNUMBER(F95)),"Wert fehlt; ",IF(F95&lt;=0,"Wert ist 0; ",""))&amp;IF(NOT(ISNUMBER(E95)),"Bestand fehlt; ",IF(E95&lt;0,"Bestand negativ; ",IF(E95=0,"Nullbestand; ","")))&amp;IF(D95="","Warengruppe fehlt; ","")&amp;IF(B95="","Bezeichnung fehlt; ","")&amp;IF(COUNTIFS($A$2:$A$5001,$A95,$C$2:$C$5001,C95)&gt;1,"Artikel doppelt im selben Lager; ",""))</f>
        <v/>
      </c>
      <c r="P95" s="47" t="n">
        <f aca="false">IF(OR($A95="",D95=""),0,IF(COUNTIF($D$2:D95,D95)=1,SUMIF($D$2:$D$5001,D95,$H$2:$H$5001)+ROW()/10000000,0))</f>
        <v>0</v>
      </c>
      <c r="Q95" s="47" t="n">
        <f aca="false">IF(OR($A95="",C95=""),0,IF(COUNTIF($C$2:C95,C95)=1,SUMIF($C$2:$C$5001,C95,$H$2:$H$5001)+ROW()/10000000,0))</f>
        <v>0</v>
      </c>
    </row>
    <row r="96" customFormat="false" ht="15" hidden="false" customHeight="false" outlineLevel="0" collapsed="false">
      <c r="A96" s="43"/>
      <c r="B96" s="44"/>
      <c r="C96" s="44"/>
      <c r="D96" s="44"/>
      <c r="E96" s="44"/>
      <c r="F96" s="44"/>
      <c r="G96" s="44"/>
      <c r="H96" s="46" t="str">
        <f aca="false">IF($A96="","",IF(OR(NOT(ISNUMBER(E96)),NOT(ISNUMBER(F96))),"",MAX(0,E96)*F96))</f>
        <v/>
      </c>
      <c r="I96" s="46" t="str">
        <f aca="false">IF($A96="","",SUMIF($A$2:$A$5001,$A96,$H$2:$H$5001))</f>
        <v/>
      </c>
      <c r="J96" s="47" t="n">
        <f aca="false">IF($A96="",0,IF(COUNTIF($A$2:A96,$A96)=1,1,0))</f>
        <v>0</v>
      </c>
      <c r="K96" s="47" t="n">
        <f aca="false">IF(J96=1,N(I96)+ROW()/10000000,0)</f>
        <v>0</v>
      </c>
      <c r="L96" s="47" t="str">
        <f aca="false">IF(AND(J96=1,N(I96)&gt;0),SUMIF($K$2:$K$5001,"&gt;="&amp;K96,$I$2:$I$5001)/MAX(1,SUM($H$2:$H$5001)),"")</f>
        <v/>
      </c>
      <c r="M96" s="47" t="str">
        <f aca="false">IF($A96="","",INDEX($L$2:$L$5001,MATCH($A96,$A$2:$A$5001,0)))</f>
        <v/>
      </c>
      <c r="N96" s="48" t="str">
        <f aca="false">IF($A96="","",IF(N(M96)=0,"–",IF(M96&lt;=Start!$D$20,"A",IF(M96&lt;=Start!$D$21,"B","C"))))</f>
        <v/>
      </c>
      <c r="O96" s="48" t="str">
        <f aca="false">IF($A96="","",IF(NOT(ISNUMBER(F96)),"Wert fehlt; ",IF(F96&lt;=0,"Wert ist 0; ",""))&amp;IF(NOT(ISNUMBER(E96)),"Bestand fehlt; ",IF(E96&lt;0,"Bestand negativ; ",IF(E96=0,"Nullbestand; ","")))&amp;IF(D96="","Warengruppe fehlt; ","")&amp;IF(B96="","Bezeichnung fehlt; ","")&amp;IF(COUNTIFS($A$2:$A$5001,$A96,$C$2:$C$5001,C96)&gt;1,"Artikel doppelt im selben Lager; ",""))</f>
        <v/>
      </c>
      <c r="P96" s="47" t="n">
        <f aca="false">IF(OR($A96="",D96=""),0,IF(COUNTIF($D$2:D96,D96)=1,SUMIF($D$2:$D$5001,D96,$H$2:$H$5001)+ROW()/10000000,0))</f>
        <v>0</v>
      </c>
      <c r="Q96" s="47" t="n">
        <f aca="false">IF(OR($A96="",C96=""),0,IF(COUNTIF($C$2:C96,C96)=1,SUMIF($C$2:$C$5001,C96,$H$2:$H$5001)+ROW()/10000000,0))</f>
        <v>0</v>
      </c>
    </row>
    <row r="97" customFormat="false" ht="15" hidden="false" customHeight="false" outlineLevel="0" collapsed="false">
      <c r="A97" s="43"/>
      <c r="B97" s="44"/>
      <c r="C97" s="44"/>
      <c r="D97" s="44"/>
      <c r="E97" s="44"/>
      <c r="F97" s="44"/>
      <c r="G97" s="44"/>
      <c r="H97" s="46" t="str">
        <f aca="false">IF($A97="","",IF(OR(NOT(ISNUMBER(E97)),NOT(ISNUMBER(F97))),"",MAX(0,E97)*F97))</f>
        <v/>
      </c>
      <c r="I97" s="46" t="str">
        <f aca="false">IF($A97="","",SUMIF($A$2:$A$5001,$A97,$H$2:$H$5001))</f>
        <v/>
      </c>
      <c r="J97" s="47" t="n">
        <f aca="false">IF($A97="",0,IF(COUNTIF($A$2:A97,$A97)=1,1,0))</f>
        <v>0</v>
      </c>
      <c r="K97" s="47" t="n">
        <f aca="false">IF(J97=1,N(I97)+ROW()/10000000,0)</f>
        <v>0</v>
      </c>
      <c r="L97" s="47" t="str">
        <f aca="false">IF(AND(J97=1,N(I97)&gt;0),SUMIF($K$2:$K$5001,"&gt;="&amp;K97,$I$2:$I$5001)/MAX(1,SUM($H$2:$H$5001)),"")</f>
        <v/>
      </c>
      <c r="M97" s="47" t="str">
        <f aca="false">IF($A97="","",INDEX($L$2:$L$5001,MATCH($A97,$A$2:$A$5001,0)))</f>
        <v/>
      </c>
      <c r="N97" s="48" t="str">
        <f aca="false">IF($A97="","",IF(N(M97)=0,"–",IF(M97&lt;=Start!$D$20,"A",IF(M97&lt;=Start!$D$21,"B","C"))))</f>
        <v/>
      </c>
      <c r="O97" s="48" t="str">
        <f aca="false">IF($A97="","",IF(NOT(ISNUMBER(F97)),"Wert fehlt; ",IF(F97&lt;=0,"Wert ist 0; ",""))&amp;IF(NOT(ISNUMBER(E97)),"Bestand fehlt; ",IF(E97&lt;0,"Bestand negativ; ",IF(E97=0,"Nullbestand; ","")))&amp;IF(D97="","Warengruppe fehlt; ","")&amp;IF(B97="","Bezeichnung fehlt; ","")&amp;IF(COUNTIFS($A$2:$A$5001,$A97,$C$2:$C$5001,C97)&gt;1,"Artikel doppelt im selben Lager; ",""))</f>
        <v/>
      </c>
      <c r="P97" s="47" t="n">
        <f aca="false">IF(OR($A97="",D97=""),0,IF(COUNTIF($D$2:D97,D97)=1,SUMIF($D$2:$D$5001,D97,$H$2:$H$5001)+ROW()/10000000,0))</f>
        <v>0</v>
      </c>
      <c r="Q97" s="47" t="n">
        <f aca="false">IF(OR($A97="",C97=""),0,IF(COUNTIF($C$2:C97,C97)=1,SUMIF($C$2:$C$5001,C97,$H$2:$H$5001)+ROW()/10000000,0))</f>
        <v>0</v>
      </c>
    </row>
    <row r="98" customFormat="false" ht="15" hidden="false" customHeight="false" outlineLevel="0" collapsed="false">
      <c r="A98" s="43"/>
      <c r="B98" s="44"/>
      <c r="C98" s="44"/>
      <c r="D98" s="44"/>
      <c r="E98" s="44"/>
      <c r="F98" s="44"/>
      <c r="G98" s="44"/>
      <c r="H98" s="46" t="str">
        <f aca="false">IF($A98="","",IF(OR(NOT(ISNUMBER(E98)),NOT(ISNUMBER(F98))),"",MAX(0,E98)*F98))</f>
        <v/>
      </c>
      <c r="I98" s="46" t="str">
        <f aca="false">IF($A98="","",SUMIF($A$2:$A$5001,$A98,$H$2:$H$5001))</f>
        <v/>
      </c>
      <c r="J98" s="47" t="n">
        <f aca="false">IF($A98="",0,IF(COUNTIF($A$2:A98,$A98)=1,1,0))</f>
        <v>0</v>
      </c>
      <c r="K98" s="47" t="n">
        <f aca="false">IF(J98=1,N(I98)+ROW()/10000000,0)</f>
        <v>0</v>
      </c>
      <c r="L98" s="47" t="str">
        <f aca="false">IF(AND(J98=1,N(I98)&gt;0),SUMIF($K$2:$K$5001,"&gt;="&amp;K98,$I$2:$I$5001)/MAX(1,SUM($H$2:$H$5001)),"")</f>
        <v/>
      </c>
      <c r="M98" s="47" t="str">
        <f aca="false">IF($A98="","",INDEX($L$2:$L$5001,MATCH($A98,$A$2:$A$5001,0)))</f>
        <v/>
      </c>
      <c r="N98" s="48" t="str">
        <f aca="false">IF($A98="","",IF(N(M98)=0,"–",IF(M98&lt;=Start!$D$20,"A",IF(M98&lt;=Start!$D$21,"B","C"))))</f>
        <v/>
      </c>
      <c r="O98" s="48" t="str">
        <f aca="false">IF($A98="","",IF(NOT(ISNUMBER(F98)),"Wert fehlt; ",IF(F98&lt;=0,"Wert ist 0; ",""))&amp;IF(NOT(ISNUMBER(E98)),"Bestand fehlt; ",IF(E98&lt;0,"Bestand negativ; ",IF(E98=0,"Nullbestand; ","")))&amp;IF(D98="","Warengruppe fehlt; ","")&amp;IF(B98="","Bezeichnung fehlt; ","")&amp;IF(COUNTIFS($A$2:$A$5001,$A98,$C$2:$C$5001,C98)&gt;1,"Artikel doppelt im selben Lager; ",""))</f>
        <v/>
      </c>
      <c r="P98" s="47" t="n">
        <f aca="false">IF(OR($A98="",D98=""),0,IF(COUNTIF($D$2:D98,D98)=1,SUMIF($D$2:$D$5001,D98,$H$2:$H$5001)+ROW()/10000000,0))</f>
        <v>0</v>
      </c>
      <c r="Q98" s="47" t="n">
        <f aca="false">IF(OR($A98="",C98=""),0,IF(COUNTIF($C$2:C98,C98)=1,SUMIF($C$2:$C$5001,C98,$H$2:$H$5001)+ROW()/10000000,0))</f>
        <v>0</v>
      </c>
    </row>
    <row r="99" customFormat="false" ht="15" hidden="false" customHeight="false" outlineLevel="0" collapsed="false">
      <c r="A99" s="43"/>
      <c r="B99" s="44"/>
      <c r="C99" s="44"/>
      <c r="D99" s="44"/>
      <c r="E99" s="44"/>
      <c r="F99" s="44"/>
      <c r="G99" s="44"/>
      <c r="H99" s="46" t="str">
        <f aca="false">IF($A99="","",IF(OR(NOT(ISNUMBER(E99)),NOT(ISNUMBER(F99))),"",MAX(0,E99)*F99))</f>
        <v/>
      </c>
      <c r="I99" s="46" t="str">
        <f aca="false">IF($A99="","",SUMIF($A$2:$A$5001,$A99,$H$2:$H$5001))</f>
        <v/>
      </c>
      <c r="J99" s="47" t="n">
        <f aca="false">IF($A99="",0,IF(COUNTIF($A$2:A99,$A99)=1,1,0))</f>
        <v>0</v>
      </c>
      <c r="K99" s="47" t="n">
        <f aca="false">IF(J99=1,N(I99)+ROW()/10000000,0)</f>
        <v>0</v>
      </c>
      <c r="L99" s="47" t="str">
        <f aca="false">IF(AND(J99=1,N(I99)&gt;0),SUMIF($K$2:$K$5001,"&gt;="&amp;K99,$I$2:$I$5001)/MAX(1,SUM($H$2:$H$5001)),"")</f>
        <v/>
      </c>
      <c r="M99" s="47" t="str">
        <f aca="false">IF($A99="","",INDEX($L$2:$L$5001,MATCH($A99,$A$2:$A$5001,0)))</f>
        <v/>
      </c>
      <c r="N99" s="48" t="str">
        <f aca="false">IF($A99="","",IF(N(M99)=0,"–",IF(M99&lt;=Start!$D$20,"A",IF(M99&lt;=Start!$D$21,"B","C"))))</f>
        <v/>
      </c>
      <c r="O99" s="48" t="str">
        <f aca="false">IF($A99="","",IF(NOT(ISNUMBER(F99)),"Wert fehlt; ",IF(F99&lt;=0,"Wert ist 0; ",""))&amp;IF(NOT(ISNUMBER(E99)),"Bestand fehlt; ",IF(E99&lt;0,"Bestand negativ; ",IF(E99=0,"Nullbestand; ","")))&amp;IF(D99="","Warengruppe fehlt; ","")&amp;IF(B99="","Bezeichnung fehlt; ","")&amp;IF(COUNTIFS($A$2:$A$5001,$A99,$C$2:$C$5001,C99)&gt;1,"Artikel doppelt im selben Lager; ",""))</f>
        <v/>
      </c>
      <c r="P99" s="47" t="n">
        <f aca="false">IF(OR($A99="",D99=""),0,IF(COUNTIF($D$2:D99,D99)=1,SUMIF($D$2:$D$5001,D99,$H$2:$H$5001)+ROW()/10000000,0))</f>
        <v>0</v>
      </c>
      <c r="Q99" s="47" t="n">
        <f aca="false">IF(OR($A99="",C99=""),0,IF(COUNTIF($C$2:C99,C99)=1,SUMIF($C$2:$C$5001,C99,$H$2:$H$5001)+ROW()/10000000,0))</f>
        <v>0</v>
      </c>
    </row>
    <row r="100" customFormat="false" ht="15" hidden="false" customHeight="false" outlineLevel="0" collapsed="false">
      <c r="A100" s="43"/>
      <c r="B100" s="44"/>
      <c r="C100" s="44"/>
      <c r="D100" s="44"/>
      <c r="E100" s="44"/>
      <c r="F100" s="44"/>
      <c r="G100" s="44"/>
      <c r="H100" s="46" t="str">
        <f aca="false">IF($A100="","",IF(OR(NOT(ISNUMBER(E100)),NOT(ISNUMBER(F100))),"",MAX(0,E100)*F100))</f>
        <v/>
      </c>
      <c r="I100" s="46" t="str">
        <f aca="false">IF($A100="","",SUMIF($A$2:$A$5001,$A100,$H$2:$H$5001))</f>
        <v/>
      </c>
      <c r="J100" s="47" t="n">
        <f aca="false">IF($A100="",0,IF(COUNTIF($A$2:A100,$A100)=1,1,0))</f>
        <v>0</v>
      </c>
      <c r="K100" s="47" t="n">
        <f aca="false">IF(J100=1,N(I100)+ROW()/10000000,0)</f>
        <v>0</v>
      </c>
      <c r="L100" s="47" t="str">
        <f aca="false">IF(AND(J100=1,N(I100)&gt;0),SUMIF($K$2:$K$5001,"&gt;="&amp;K100,$I$2:$I$5001)/MAX(1,SUM($H$2:$H$5001)),"")</f>
        <v/>
      </c>
      <c r="M100" s="47" t="str">
        <f aca="false">IF($A100="","",INDEX($L$2:$L$5001,MATCH($A100,$A$2:$A$5001,0)))</f>
        <v/>
      </c>
      <c r="N100" s="48" t="str">
        <f aca="false">IF($A100="","",IF(N(M100)=0,"–",IF(M100&lt;=Start!$D$20,"A",IF(M100&lt;=Start!$D$21,"B","C"))))</f>
        <v/>
      </c>
      <c r="O100" s="48" t="str">
        <f aca="false">IF($A100="","",IF(NOT(ISNUMBER(F100)),"Wert fehlt; ",IF(F100&lt;=0,"Wert ist 0; ",""))&amp;IF(NOT(ISNUMBER(E100)),"Bestand fehlt; ",IF(E100&lt;0,"Bestand negativ; ",IF(E100=0,"Nullbestand; ","")))&amp;IF(D100="","Warengruppe fehlt; ","")&amp;IF(B100="","Bezeichnung fehlt; ","")&amp;IF(COUNTIFS($A$2:$A$5001,$A100,$C$2:$C$5001,C100)&gt;1,"Artikel doppelt im selben Lager; ",""))</f>
        <v/>
      </c>
      <c r="P100" s="47" t="n">
        <f aca="false">IF(OR($A100="",D100=""),0,IF(COUNTIF($D$2:D100,D100)=1,SUMIF($D$2:$D$5001,D100,$H$2:$H$5001)+ROW()/10000000,0))</f>
        <v>0</v>
      </c>
      <c r="Q100" s="47" t="n">
        <f aca="false">IF(OR($A100="",C100=""),0,IF(COUNTIF($C$2:C100,C100)=1,SUMIF($C$2:$C$5001,C100,$H$2:$H$5001)+ROW()/10000000,0))</f>
        <v>0</v>
      </c>
    </row>
    <row r="101" customFormat="false" ht="15" hidden="false" customHeight="false" outlineLevel="0" collapsed="false">
      <c r="A101" s="43"/>
      <c r="B101" s="44"/>
      <c r="C101" s="44"/>
      <c r="D101" s="44"/>
      <c r="E101" s="44"/>
      <c r="F101" s="44"/>
      <c r="G101" s="44"/>
      <c r="H101" s="46" t="str">
        <f aca="false">IF($A101="","",IF(OR(NOT(ISNUMBER(E101)),NOT(ISNUMBER(F101))),"",MAX(0,E101)*F101))</f>
        <v/>
      </c>
      <c r="I101" s="46" t="str">
        <f aca="false">IF($A101="","",SUMIF($A$2:$A$5001,$A101,$H$2:$H$5001))</f>
        <v/>
      </c>
      <c r="J101" s="47" t="n">
        <f aca="false">IF($A101="",0,IF(COUNTIF($A$2:A101,$A101)=1,1,0))</f>
        <v>0</v>
      </c>
      <c r="K101" s="47" t="n">
        <f aca="false">IF(J101=1,N(I101)+ROW()/10000000,0)</f>
        <v>0</v>
      </c>
      <c r="L101" s="47" t="str">
        <f aca="false">IF(AND(J101=1,N(I101)&gt;0),SUMIF($K$2:$K$5001,"&gt;="&amp;K101,$I$2:$I$5001)/MAX(1,SUM($H$2:$H$5001)),"")</f>
        <v/>
      </c>
      <c r="M101" s="47" t="str">
        <f aca="false">IF($A101="","",INDEX($L$2:$L$5001,MATCH($A101,$A$2:$A$5001,0)))</f>
        <v/>
      </c>
      <c r="N101" s="48" t="str">
        <f aca="false">IF($A101="","",IF(N(M101)=0,"–",IF(M101&lt;=Start!$D$20,"A",IF(M101&lt;=Start!$D$21,"B","C"))))</f>
        <v/>
      </c>
      <c r="O101" s="48" t="str">
        <f aca="false">IF($A101="","",IF(NOT(ISNUMBER(F101)),"Wert fehlt; ",IF(F101&lt;=0,"Wert ist 0; ",""))&amp;IF(NOT(ISNUMBER(E101)),"Bestand fehlt; ",IF(E101&lt;0,"Bestand negativ; ",IF(E101=0,"Nullbestand; ","")))&amp;IF(D101="","Warengruppe fehlt; ","")&amp;IF(B101="","Bezeichnung fehlt; ","")&amp;IF(COUNTIFS($A$2:$A$5001,$A101,$C$2:$C$5001,C101)&gt;1,"Artikel doppelt im selben Lager; ",""))</f>
        <v/>
      </c>
      <c r="P101" s="47" t="n">
        <f aca="false">IF(OR($A101="",D101=""),0,IF(COUNTIF($D$2:D101,D101)=1,SUMIF($D$2:$D$5001,D101,$H$2:$H$5001)+ROW()/10000000,0))</f>
        <v>0</v>
      </c>
      <c r="Q101" s="47" t="n">
        <f aca="false">IF(OR($A101="",C101=""),0,IF(COUNTIF($C$2:C101,C101)=1,SUMIF($C$2:$C$5001,C101,$H$2:$H$5001)+ROW()/10000000,0))</f>
        <v>0</v>
      </c>
    </row>
    <row r="102" customFormat="false" ht="15" hidden="false" customHeight="false" outlineLevel="0" collapsed="false">
      <c r="A102" s="43"/>
      <c r="B102" s="44"/>
      <c r="C102" s="44"/>
      <c r="D102" s="44"/>
      <c r="E102" s="44"/>
      <c r="F102" s="44"/>
      <c r="G102" s="44"/>
      <c r="H102" s="46" t="str">
        <f aca="false">IF($A102="","",IF(OR(NOT(ISNUMBER(E102)),NOT(ISNUMBER(F102))),"",MAX(0,E102)*F102))</f>
        <v/>
      </c>
      <c r="I102" s="46" t="str">
        <f aca="false">IF($A102="","",SUMIF($A$2:$A$5001,$A102,$H$2:$H$5001))</f>
        <v/>
      </c>
      <c r="J102" s="47" t="n">
        <f aca="false">IF($A102="",0,IF(COUNTIF($A$2:A102,$A102)=1,1,0))</f>
        <v>0</v>
      </c>
      <c r="K102" s="47" t="n">
        <f aca="false">IF(J102=1,N(I102)+ROW()/10000000,0)</f>
        <v>0</v>
      </c>
      <c r="L102" s="47" t="str">
        <f aca="false">IF(AND(J102=1,N(I102)&gt;0),SUMIF($K$2:$K$5001,"&gt;="&amp;K102,$I$2:$I$5001)/MAX(1,SUM($H$2:$H$5001)),"")</f>
        <v/>
      </c>
      <c r="M102" s="47" t="str">
        <f aca="false">IF($A102="","",INDEX($L$2:$L$5001,MATCH($A102,$A$2:$A$5001,0)))</f>
        <v/>
      </c>
      <c r="N102" s="48" t="str">
        <f aca="false">IF($A102="","",IF(N(M102)=0,"–",IF(M102&lt;=Start!$D$20,"A",IF(M102&lt;=Start!$D$21,"B","C"))))</f>
        <v/>
      </c>
      <c r="O102" s="48" t="str">
        <f aca="false">IF($A102="","",IF(NOT(ISNUMBER(F102)),"Wert fehlt; ",IF(F102&lt;=0,"Wert ist 0; ",""))&amp;IF(NOT(ISNUMBER(E102)),"Bestand fehlt; ",IF(E102&lt;0,"Bestand negativ; ",IF(E102=0,"Nullbestand; ","")))&amp;IF(D102="","Warengruppe fehlt; ","")&amp;IF(B102="","Bezeichnung fehlt; ","")&amp;IF(COUNTIFS($A$2:$A$5001,$A102,$C$2:$C$5001,C102)&gt;1,"Artikel doppelt im selben Lager; ",""))</f>
        <v/>
      </c>
      <c r="P102" s="47" t="n">
        <f aca="false">IF(OR($A102="",D102=""),0,IF(COUNTIF($D$2:D102,D102)=1,SUMIF($D$2:$D$5001,D102,$H$2:$H$5001)+ROW()/10000000,0))</f>
        <v>0</v>
      </c>
      <c r="Q102" s="47" t="n">
        <f aca="false">IF(OR($A102="",C102=""),0,IF(COUNTIF($C$2:C102,C102)=1,SUMIF($C$2:$C$5001,C102,$H$2:$H$5001)+ROW()/10000000,0))</f>
        <v>0</v>
      </c>
    </row>
    <row r="103" customFormat="false" ht="15" hidden="false" customHeight="false" outlineLevel="0" collapsed="false">
      <c r="A103" s="43"/>
      <c r="B103" s="44"/>
      <c r="C103" s="44"/>
      <c r="D103" s="44"/>
      <c r="E103" s="44"/>
      <c r="F103" s="44"/>
      <c r="G103" s="44"/>
      <c r="H103" s="46" t="str">
        <f aca="false">IF($A103="","",IF(OR(NOT(ISNUMBER(E103)),NOT(ISNUMBER(F103))),"",MAX(0,E103)*F103))</f>
        <v/>
      </c>
      <c r="I103" s="46" t="str">
        <f aca="false">IF($A103="","",SUMIF($A$2:$A$5001,$A103,$H$2:$H$5001))</f>
        <v/>
      </c>
      <c r="J103" s="47" t="n">
        <f aca="false">IF($A103="",0,IF(COUNTIF($A$2:A103,$A103)=1,1,0))</f>
        <v>0</v>
      </c>
      <c r="K103" s="47" t="n">
        <f aca="false">IF(J103=1,N(I103)+ROW()/10000000,0)</f>
        <v>0</v>
      </c>
      <c r="L103" s="47" t="str">
        <f aca="false">IF(AND(J103=1,N(I103)&gt;0),SUMIF($K$2:$K$5001,"&gt;="&amp;K103,$I$2:$I$5001)/MAX(1,SUM($H$2:$H$5001)),"")</f>
        <v/>
      </c>
      <c r="M103" s="47" t="str">
        <f aca="false">IF($A103="","",INDEX($L$2:$L$5001,MATCH($A103,$A$2:$A$5001,0)))</f>
        <v/>
      </c>
      <c r="N103" s="48" t="str">
        <f aca="false">IF($A103="","",IF(N(M103)=0,"–",IF(M103&lt;=Start!$D$20,"A",IF(M103&lt;=Start!$D$21,"B","C"))))</f>
        <v/>
      </c>
      <c r="O103" s="48" t="str">
        <f aca="false">IF($A103="","",IF(NOT(ISNUMBER(F103)),"Wert fehlt; ",IF(F103&lt;=0,"Wert ist 0; ",""))&amp;IF(NOT(ISNUMBER(E103)),"Bestand fehlt; ",IF(E103&lt;0,"Bestand negativ; ",IF(E103=0,"Nullbestand; ","")))&amp;IF(D103="","Warengruppe fehlt; ","")&amp;IF(B103="","Bezeichnung fehlt; ","")&amp;IF(COUNTIFS($A$2:$A$5001,$A103,$C$2:$C$5001,C103)&gt;1,"Artikel doppelt im selben Lager; ",""))</f>
        <v/>
      </c>
      <c r="P103" s="47" t="n">
        <f aca="false">IF(OR($A103="",D103=""),0,IF(COUNTIF($D$2:D103,D103)=1,SUMIF($D$2:$D$5001,D103,$H$2:$H$5001)+ROW()/10000000,0))</f>
        <v>0</v>
      </c>
      <c r="Q103" s="47" t="n">
        <f aca="false">IF(OR($A103="",C103=""),0,IF(COUNTIF($C$2:C103,C103)=1,SUMIF($C$2:$C$5001,C103,$H$2:$H$5001)+ROW()/10000000,0))</f>
        <v>0</v>
      </c>
    </row>
    <row r="104" customFormat="false" ht="15" hidden="false" customHeight="false" outlineLevel="0" collapsed="false">
      <c r="A104" s="43"/>
      <c r="B104" s="44"/>
      <c r="C104" s="44"/>
      <c r="D104" s="44"/>
      <c r="E104" s="44"/>
      <c r="F104" s="44"/>
      <c r="G104" s="44"/>
      <c r="H104" s="46" t="str">
        <f aca="false">IF($A104="","",IF(OR(NOT(ISNUMBER(E104)),NOT(ISNUMBER(F104))),"",MAX(0,E104)*F104))</f>
        <v/>
      </c>
      <c r="I104" s="46" t="str">
        <f aca="false">IF($A104="","",SUMIF($A$2:$A$5001,$A104,$H$2:$H$5001))</f>
        <v/>
      </c>
      <c r="J104" s="47" t="n">
        <f aca="false">IF($A104="",0,IF(COUNTIF($A$2:A104,$A104)=1,1,0))</f>
        <v>0</v>
      </c>
      <c r="K104" s="47" t="n">
        <f aca="false">IF(J104=1,N(I104)+ROW()/10000000,0)</f>
        <v>0</v>
      </c>
      <c r="L104" s="47" t="str">
        <f aca="false">IF(AND(J104=1,N(I104)&gt;0),SUMIF($K$2:$K$5001,"&gt;="&amp;K104,$I$2:$I$5001)/MAX(1,SUM($H$2:$H$5001)),"")</f>
        <v/>
      </c>
      <c r="M104" s="47" t="str">
        <f aca="false">IF($A104="","",INDEX($L$2:$L$5001,MATCH($A104,$A$2:$A$5001,0)))</f>
        <v/>
      </c>
      <c r="N104" s="48" t="str">
        <f aca="false">IF($A104="","",IF(N(M104)=0,"–",IF(M104&lt;=Start!$D$20,"A",IF(M104&lt;=Start!$D$21,"B","C"))))</f>
        <v/>
      </c>
      <c r="O104" s="48" t="str">
        <f aca="false">IF($A104="","",IF(NOT(ISNUMBER(F104)),"Wert fehlt; ",IF(F104&lt;=0,"Wert ist 0; ",""))&amp;IF(NOT(ISNUMBER(E104)),"Bestand fehlt; ",IF(E104&lt;0,"Bestand negativ; ",IF(E104=0,"Nullbestand; ","")))&amp;IF(D104="","Warengruppe fehlt; ","")&amp;IF(B104="","Bezeichnung fehlt; ","")&amp;IF(COUNTIFS($A$2:$A$5001,$A104,$C$2:$C$5001,C104)&gt;1,"Artikel doppelt im selben Lager; ",""))</f>
        <v/>
      </c>
      <c r="P104" s="47" t="n">
        <f aca="false">IF(OR($A104="",D104=""),0,IF(COUNTIF($D$2:D104,D104)=1,SUMIF($D$2:$D$5001,D104,$H$2:$H$5001)+ROW()/10000000,0))</f>
        <v>0</v>
      </c>
      <c r="Q104" s="47" t="n">
        <f aca="false">IF(OR($A104="",C104=""),0,IF(COUNTIF($C$2:C104,C104)=1,SUMIF($C$2:$C$5001,C104,$H$2:$H$5001)+ROW()/10000000,0))</f>
        <v>0</v>
      </c>
    </row>
    <row r="105" customFormat="false" ht="15" hidden="false" customHeight="false" outlineLevel="0" collapsed="false">
      <c r="A105" s="43"/>
      <c r="B105" s="44"/>
      <c r="C105" s="44"/>
      <c r="D105" s="44"/>
      <c r="E105" s="44"/>
      <c r="F105" s="44"/>
      <c r="G105" s="44"/>
      <c r="H105" s="46" t="str">
        <f aca="false">IF($A105="","",IF(OR(NOT(ISNUMBER(E105)),NOT(ISNUMBER(F105))),"",MAX(0,E105)*F105))</f>
        <v/>
      </c>
      <c r="I105" s="46" t="str">
        <f aca="false">IF($A105="","",SUMIF($A$2:$A$5001,$A105,$H$2:$H$5001))</f>
        <v/>
      </c>
      <c r="J105" s="47" t="n">
        <f aca="false">IF($A105="",0,IF(COUNTIF($A$2:A105,$A105)=1,1,0))</f>
        <v>0</v>
      </c>
      <c r="K105" s="47" t="n">
        <f aca="false">IF(J105=1,N(I105)+ROW()/10000000,0)</f>
        <v>0</v>
      </c>
      <c r="L105" s="47" t="str">
        <f aca="false">IF(AND(J105=1,N(I105)&gt;0),SUMIF($K$2:$K$5001,"&gt;="&amp;K105,$I$2:$I$5001)/MAX(1,SUM($H$2:$H$5001)),"")</f>
        <v/>
      </c>
      <c r="M105" s="47" t="str">
        <f aca="false">IF($A105="","",INDEX($L$2:$L$5001,MATCH($A105,$A$2:$A$5001,0)))</f>
        <v/>
      </c>
      <c r="N105" s="48" t="str">
        <f aca="false">IF($A105="","",IF(N(M105)=0,"–",IF(M105&lt;=Start!$D$20,"A",IF(M105&lt;=Start!$D$21,"B","C"))))</f>
        <v/>
      </c>
      <c r="O105" s="48" t="str">
        <f aca="false">IF($A105="","",IF(NOT(ISNUMBER(F105)),"Wert fehlt; ",IF(F105&lt;=0,"Wert ist 0; ",""))&amp;IF(NOT(ISNUMBER(E105)),"Bestand fehlt; ",IF(E105&lt;0,"Bestand negativ; ",IF(E105=0,"Nullbestand; ","")))&amp;IF(D105="","Warengruppe fehlt; ","")&amp;IF(B105="","Bezeichnung fehlt; ","")&amp;IF(COUNTIFS($A$2:$A$5001,$A105,$C$2:$C$5001,C105)&gt;1,"Artikel doppelt im selben Lager; ",""))</f>
        <v/>
      </c>
      <c r="P105" s="47" t="n">
        <f aca="false">IF(OR($A105="",D105=""),0,IF(COUNTIF($D$2:D105,D105)=1,SUMIF($D$2:$D$5001,D105,$H$2:$H$5001)+ROW()/10000000,0))</f>
        <v>0</v>
      </c>
      <c r="Q105" s="47" t="n">
        <f aca="false">IF(OR($A105="",C105=""),0,IF(COUNTIF($C$2:C105,C105)=1,SUMIF($C$2:$C$5001,C105,$H$2:$H$5001)+ROW()/10000000,0))</f>
        <v>0</v>
      </c>
    </row>
    <row r="106" customFormat="false" ht="15" hidden="false" customHeight="false" outlineLevel="0" collapsed="false">
      <c r="A106" s="43"/>
      <c r="B106" s="44"/>
      <c r="C106" s="44"/>
      <c r="D106" s="44"/>
      <c r="E106" s="44"/>
      <c r="F106" s="44"/>
      <c r="G106" s="44"/>
      <c r="H106" s="46" t="str">
        <f aca="false">IF($A106="","",IF(OR(NOT(ISNUMBER(E106)),NOT(ISNUMBER(F106))),"",MAX(0,E106)*F106))</f>
        <v/>
      </c>
      <c r="I106" s="46" t="str">
        <f aca="false">IF($A106="","",SUMIF($A$2:$A$5001,$A106,$H$2:$H$5001))</f>
        <v/>
      </c>
      <c r="J106" s="47" t="n">
        <f aca="false">IF($A106="",0,IF(COUNTIF($A$2:A106,$A106)=1,1,0))</f>
        <v>0</v>
      </c>
      <c r="K106" s="47" t="n">
        <f aca="false">IF(J106=1,N(I106)+ROW()/10000000,0)</f>
        <v>0</v>
      </c>
      <c r="L106" s="47" t="str">
        <f aca="false">IF(AND(J106=1,N(I106)&gt;0),SUMIF($K$2:$K$5001,"&gt;="&amp;K106,$I$2:$I$5001)/MAX(1,SUM($H$2:$H$5001)),"")</f>
        <v/>
      </c>
      <c r="M106" s="47" t="str">
        <f aca="false">IF($A106="","",INDEX($L$2:$L$5001,MATCH($A106,$A$2:$A$5001,0)))</f>
        <v/>
      </c>
      <c r="N106" s="48" t="str">
        <f aca="false">IF($A106="","",IF(N(M106)=0,"–",IF(M106&lt;=Start!$D$20,"A",IF(M106&lt;=Start!$D$21,"B","C"))))</f>
        <v/>
      </c>
      <c r="O106" s="48" t="str">
        <f aca="false">IF($A106="","",IF(NOT(ISNUMBER(F106)),"Wert fehlt; ",IF(F106&lt;=0,"Wert ist 0; ",""))&amp;IF(NOT(ISNUMBER(E106)),"Bestand fehlt; ",IF(E106&lt;0,"Bestand negativ; ",IF(E106=0,"Nullbestand; ","")))&amp;IF(D106="","Warengruppe fehlt; ","")&amp;IF(B106="","Bezeichnung fehlt; ","")&amp;IF(COUNTIFS($A$2:$A$5001,$A106,$C$2:$C$5001,C106)&gt;1,"Artikel doppelt im selben Lager; ",""))</f>
        <v/>
      </c>
      <c r="P106" s="47" t="n">
        <f aca="false">IF(OR($A106="",D106=""),0,IF(COUNTIF($D$2:D106,D106)=1,SUMIF($D$2:$D$5001,D106,$H$2:$H$5001)+ROW()/10000000,0))</f>
        <v>0</v>
      </c>
      <c r="Q106" s="47" t="n">
        <f aca="false">IF(OR($A106="",C106=""),0,IF(COUNTIF($C$2:C106,C106)=1,SUMIF($C$2:$C$5001,C106,$H$2:$H$5001)+ROW()/10000000,0))</f>
        <v>0</v>
      </c>
    </row>
    <row r="107" customFormat="false" ht="15" hidden="false" customHeight="false" outlineLevel="0" collapsed="false">
      <c r="A107" s="43"/>
      <c r="B107" s="44"/>
      <c r="C107" s="44"/>
      <c r="D107" s="44"/>
      <c r="E107" s="44"/>
      <c r="F107" s="44"/>
      <c r="G107" s="44"/>
      <c r="H107" s="46" t="str">
        <f aca="false">IF($A107="","",IF(OR(NOT(ISNUMBER(E107)),NOT(ISNUMBER(F107))),"",MAX(0,E107)*F107))</f>
        <v/>
      </c>
      <c r="I107" s="46" t="str">
        <f aca="false">IF($A107="","",SUMIF($A$2:$A$5001,$A107,$H$2:$H$5001))</f>
        <v/>
      </c>
      <c r="J107" s="47" t="n">
        <f aca="false">IF($A107="",0,IF(COUNTIF($A$2:A107,$A107)=1,1,0))</f>
        <v>0</v>
      </c>
      <c r="K107" s="47" t="n">
        <f aca="false">IF(J107=1,N(I107)+ROW()/10000000,0)</f>
        <v>0</v>
      </c>
      <c r="L107" s="47" t="str">
        <f aca="false">IF(AND(J107=1,N(I107)&gt;0),SUMIF($K$2:$K$5001,"&gt;="&amp;K107,$I$2:$I$5001)/MAX(1,SUM($H$2:$H$5001)),"")</f>
        <v/>
      </c>
      <c r="M107" s="47" t="str">
        <f aca="false">IF($A107="","",INDEX($L$2:$L$5001,MATCH($A107,$A$2:$A$5001,0)))</f>
        <v/>
      </c>
      <c r="N107" s="48" t="str">
        <f aca="false">IF($A107="","",IF(N(M107)=0,"–",IF(M107&lt;=Start!$D$20,"A",IF(M107&lt;=Start!$D$21,"B","C"))))</f>
        <v/>
      </c>
      <c r="O107" s="48" t="str">
        <f aca="false">IF($A107="","",IF(NOT(ISNUMBER(F107)),"Wert fehlt; ",IF(F107&lt;=0,"Wert ist 0; ",""))&amp;IF(NOT(ISNUMBER(E107)),"Bestand fehlt; ",IF(E107&lt;0,"Bestand negativ; ",IF(E107=0,"Nullbestand; ","")))&amp;IF(D107="","Warengruppe fehlt; ","")&amp;IF(B107="","Bezeichnung fehlt; ","")&amp;IF(COUNTIFS($A$2:$A$5001,$A107,$C$2:$C$5001,C107)&gt;1,"Artikel doppelt im selben Lager; ",""))</f>
        <v/>
      </c>
      <c r="P107" s="47" t="n">
        <f aca="false">IF(OR($A107="",D107=""),0,IF(COUNTIF($D$2:D107,D107)=1,SUMIF($D$2:$D$5001,D107,$H$2:$H$5001)+ROW()/10000000,0))</f>
        <v>0</v>
      </c>
      <c r="Q107" s="47" t="n">
        <f aca="false">IF(OR($A107="",C107=""),0,IF(COUNTIF($C$2:C107,C107)=1,SUMIF($C$2:$C$5001,C107,$H$2:$H$5001)+ROW()/10000000,0))</f>
        <v>0</v>
      </c>
    </row>
    <row r="108" customFormat="false" ht="15" hidden="false" customHeight="false" outlineLevel="0" collapsed="false">
      <c r="A108" s="43"/>
      <c r="B108" s="44"/>
      <c r="C108" s="44"/>
      <c r="D108" s="44"/>
      <c r="E108" s="44"/>
      <c r="F108" s="44"/>
      <c r="G108" s="44"/>
      <c r="H108" s="46" t="str">
        <f aca="false">IF($A108="","",IF(OR(NOT(ISNUMBER(E108)),NOT(ISNUMBER(F108))),"",MAX(0,E108)*F108))</f>
        <v/>
      </c>
      <c r="I108" s="46" t="str">
        <f aca="false">IF($A108="","",SUMIF($A$2:$A$5001,$A108,$H$2:$H$5001))</f>
        <v/>
      </c>
      <c r="J108" s="47" t="n">
        <f aca="false">IF($A108="",0,IF(COUNTIF($A$2:A108,$A108)=1,1,0))</f>
        <v>0</v>
      </c>
      <c r="K108" s="47" t="n">
        <f aca="false">IF(J108=1,N(I108)+ROW()/10000000,0)</f>
        <v>0</v>
      </c>
      <c r="L108" s="47" t="str">
        <f aca="false">IF(AND(J108=1,N(I108)&gt;0),SUMIF($K$2:$K$5001,"&gt;="&amp;K108,$I$2:$I$5001)/MAX(1,SUM($H$2:$H$5001)),"")</f>
        <v/>
      </c>
      <c r="M108" s="47" t="str">
        <f aca="false">IF($A108="","",INDEX($L$2:$L$5001,MATCH($A108,$A$2:$A$5001,0)))</f>
        <v/>
      </c>
      <c r="N108" s="48" t="str">
        <f aca="false">IF($A108="","",IF(N(M108)=0,"–",IF(M108&lt;=Start!$D$20,"A",IF(M108&lt;=Start!$D$21,"B","C"))))</f>
        <v/>
      </c>
      <c r="O108" s="48" t="str">
        <f aca="false">IF($A108="","",IF(NOT(ISNUMBER(F108)),"Wert fehlt; ",IF(F108&lt;=0,"Wert ist 0; ",""))&amp;IF(NOT(ISNUMBER(E108)),"Bestand fehlt; ",IF(E108&lt;0,"Bestand negativ; ",IF(E108=0,"Nullbestand; ","")))&amp;IF(D108="","Warengruppe fehlt; ","")&amp;IF(B108="","Bezeichnung fehlt; ","")&amp;IF(COUNTIFS($A$2:$A$5001,$A108,$C$2:$C$5001,C108)&gt;1,"Artikel doppelt im selben Lager; ",""))</f>
        <v/>
      </c>
      <c r="P108" s="47" t="n">
        <f aca="false">IF(OR($A108="",D108=""),0,IF(COUNTIF($D$2:D108,D108)=1,SUMIF($D$2:$D$5001,D108,$H$2:$H$5001)+ROW()/10000000,0))</f>
        <v>0</v>
      </c>
      <c r="Q108" s="47" t="n">
        <f aca="false">IF(OR($A108="",C108=""),0,IF(COUNTIF($C$2:C108,C108)=1,SUMIF($C$2:$C$5001,C108,$H$2:$H$5001)+ROW()/10000000,0))</f>
        <v>0</v>
      </c>
    </row>
    <row r="109" customFormat="false" ht="15" hidden="false" customHeight="false" outlineLevel="0" collapsed="false">
      <c r="A109" s="43"/>
      <c r="B109" s="44"/>
      <c r="C109" s="44"/>
      <c r="D109" s="44"/>
      <c r="E109" s="44"/>
      <c r="F109" s="44"/>
      <c r="G109" s="44"/>
      <c r="H109" s="46" t="str">
        <f aca="false">IF($A109="","",IF(OR(NOT(ISNUMBER(E109)),NOT(ISNUMBER(F109))),"",MAX(0,E109)*F109))</f>
        <v/>
      </c>
      <c r="I109" s="46" t="str">
        <f aca="false">IF($A109="","",SUMIF($A$2:$A$5001,$A109,$H$2:$H$5001))</f>
        <v/>
      </c>
      <c r="J109" s="47" t="n">
        <f aca="false">IF($A109="",0,IF(COUNTIF($A$2:A109,$A109)=1,1,0))</f>
        <v>0</v>
      </c>
      <c r="K109" s="47" t="n">
        <f aca="false">IF(J109=1,N(I109)+ROW()/10000000,0)</f>
        <v>0</v>
      </c>
      <c r="L109" s="47" t="str">
        <f aca="false">IF(AND(J109=1,N(I109)&gt;0),SUMIF($K$2:$K$5001,"&gt;="&amp;K109,$I$2:$I$5001)/MAX(1,SUM($H$2:$H$5001)),"")</f>
        <v/>
      </c>
      <c r="M109" s="47" t="str">
        <f aca="false">IF($A109="","",INDEX($L$2:$L$5001,MATCH($A109,$A$2:$A$5001,0)))</f>
        <v/>
      </c>
      <c r="N109" s="48" t="str">
        <f aca="false">IF($A109="","",IF(N(M109)=0,"–",IF(M109&lt;=Start!$D$20,"A",IF(M109&lt;=Start!$D$21,"B","C"))))</f>
        <v/>
      </c>
      <c r="O109" s="48" t="str">
        <f aca="false">IF($A109="","",IF(NOT(ISNUMBER(F109)),"Wert fehlt; ",IF(F109&lt;=0,"Wert ist 0; ",""))&amp;IF(NOT(ISNUMBER(E109)),"Bestand fehlt; ",IF(E109&lt;0,"Bestand negativ; ",IF(E109=0,"Nullbestand; ","")))&amp;IF(D109="","Warengruppe fehlt; ","")&amp;IF(B109="","Bezeichnung fehlt; ","")&amp;IF(COUNTIFS($A$2:$A$5001,$A109,$C$2:$C$5001,C109)&gt;1,"Artikel doppelt im selben Lager; ",""))</f>
        <v/>
      </c>
      <c r="P109" s="47" t="n">
        <f aca="false">IF(OR($A109="",D109=""),0,IF(COUNTIF($D$2:D109,D109)=1,SUMIF($D$2:$D$5001,D109,$H$2:$H$5001)+ROW()/10000000,0))</f>
        <v>0</v>
      </c>
      <c r="Q109" s="47" t="n">
        <f aca="false">IF(OR($A109="",C109=""),0,IF(COUNTIF($C$2:C109,C109)=1,SUMIF($C$2:$C$5001,C109,$H$2:$H$5001)+ROW()/10000000,0))</f>
        <v>0</v>
      </c>
    </row>
    <row r="110" customFormat="false" ht="15" hidden="false" customHeight="false" outlineLevel="0" collapsed="false">
      <c r="A110" s="43"/>
      <c r="B110" s="44"/>
      <c r="C110" s="44"/>
      <c r="D110" s="44"/>
      <c r="E110" s="44"/>
      <c r="F110" s="44"/>
      <c r="G110" s="44"/>
      <c r="H110" s="46" t="str">
        <f aca="false">IF($A110="","",IF(OR(NOT(ISNUMBER(E110)),NOT(ISNUMBER(F110))),"",MAX(0,E110)*F110))</f>
        <v/>
      </c>
      <c r="I110" s="46" t="str">
        <f aca="false">IF($A110="","",SUMIF($A$2:$A$5001,$A110,$H$2:$H$5001))</f>
        <v/>
      </c>
      <c r="J110" s="47" t="n">
        <f aca="false">IF($A110="",0,IF(COUNTIF($A$2:A110,$A110)=1,1,0))</f>
        <v>0</v>
      </c>
      <c r="K110" s="47" t="n">
        <f aca="false">IF(J110=1,N(I110)+ROW()/10000000,0)</f>
        <v>0</v>
      </c>
      <c r="L110" s="47" t="str">
        <f aca="false">IF(AND(J110=1,N(I110)&gt;0),SUMIF($K$2:$K$5001,"&gt;="&amp;K110,$I$2:$I$5001)/MAX(1,SUM($H$2:$H$5001)),"")</f>
        <v/>
      </c>
      <c r="M110" s="47" t="str">
        <f aca="false">IF($A110="","",INDEX($L$2:$L$5001,MATCH($A110,$A$2:$A$5001,0)))</f>
        <v/>
      </c>
      <c r="N110" s="48" t="str">
        <f aca="false">IF($A110="","",IF(N(M110)=0,"–",IF(M110&lt;=Start!$D$20,"A",IF(M110&lt;=Start!$D$21,"B","C"))))</f>
        <v/>
      </c>
      <c r="O110" s="48" t="str">
        <f aca="false">IF($A110="","",IF(NOT(ISNUMBER(F110)),"Wert fehlt; ",IF(F110&lt;=0,"Wert ist 0; ",""))&amp;IF(NOT(ISNUMBER(E110)),"Bestand fehlt; ",IF(E110&lt;0,"Bestand negativ; ",IF(E110=0,"Nullbestand; ","")))&amp;IF(D110="","Warengruppe fehlt; ","")&amp;IF(B110="","Bezeichnung fehlt; ","")&amp;IF(COUNTIFS($A$2:$A$5001,$A110,$C$2:$C$5001,C110)&gt;1,"Artikel doppelt im selben Lager; ",""))</f>
        <v/>
      </c>
      <c r="P110" s="47" t="n">
        <f aca="false">IF(OR($A110="",D110=""),0,IF(COUNTIF($D$2:D110,D110)=1,SUMIF($D$2:$D$5001,D110,$H$2:$H$5001)+ROW()/10000000,0))</f>
        <v>0</v>
      </c>
      <c r="Q110" s="47" t="n">
        <f aca="false">IF(OR($A110="",C110=""),0,IF(COUNTIF($C$2:C110,C110)=1,SUMIF($C$2:$C$5001,C110,$H$2:$H$5001)+ROW()/10000000,0))</f>
        <v>0</v>
      </c>
    </row>
    <row r="111" customFormat="false" ht="15" hidden="false" customHeight="false" outlineLevel="0" collapsed="false">
      <c r="A111" s="43"/>
      <c r="B111" s="44"/>
      <c r="C111" s="44"/>
      <c r="D111" s="44"/>
      <c r="E111" s="44"/>
      <c r="F111" s="44"/>
      <c r="G111" s="44"/>
      <c r="H111" s="46" t="str">
        <f aca="false">IF($A111="","",IF(OR(NOT(ISNUMBER(E111)),NOT(ISNUMBER(F111))),"",MAX(0,E111)*F111))</f>
        <v/>
      </c>
      <c r="I111" s="46" t="str">
        <f aca="false">IF($A111="","",SUMIF($A$2:$A$5001,$A111,$H$2:$H$5001))</f>
        <v/>
      </c>
      <c r="J111" s="47" t="n">
        <f aca="false">IF($A111="",0,IF(COUNTIF($A$2:A111,$A111)=1,1,0))</f>
        <v>0</v>
      </c>
      <c r="K111" s="47" t="n">
        <f aca="false">IF(J111=1,N(I111)+ROW()/10000000,0)</f>
        <v>0</v>
      </c>
      <c r="L111" s="47" t="str">
        <f aca="false">IF(AND(J111=1,N(I111)&gt;0),SUMIF($K$2:$K$5001,"&gt;="&amp;K111,$I$2:$I$5001)/MAX(1,SUM($H$2:$H$5001)),"")</f>
        <v/>
      </c>
      <c r="M111" s="47" t="str">
        <f aca="false">IF($A111="","",INDEX($L$2:$L$5001,MATCH($A111,$A$2:$A$5001,0)))</f>
        <v/>
      </c>
      <c r="N111" s="48" t="str">
        <f aca="false">IF($A111="","",IF(N(M111)=0,"–",IF(M111&lt;=Start!$D$20,"A",IF(M111&lt;=Start!$D$21,"B","C"))))</f>
        <v/>
      </c>
      <c r="O111" s="48" t="str">
        <f aca="false">IF($A111="","",IF(NOT(ISNUMBER(F111)),"Wert fehlt; ",IF(F111&lt;=0,"Wert ist 0; ",""))&amp;IF(NOT(ISNUMBER(E111)),"Bestand fehlt; ",IF(E111&lt;0,"Bestand negativ; ",IF(E111=0,"Nullbestand; ","")))&amp;IF(D111="","Warengruppe fehlt; ","")&amp;IF(B111="","Bezeichnung fehlt; ","")&amp;IF(COUNTIFS($A$2:$A$5001,$A111,$C$2:$C$5001,C111)&gt;1,"Artikel doppelt im selben Lager; ",""))</f>
        <v/>
      </c>
      <c r="P111" s="47" t="n">
        <f aca="false">IF(OR($A111="",D111=""),0,IF(COUNTIF($D$2:D111,D111)=1,SUMIF($D$2:$D$5001,D111,$H$2:$H$5001)+ROW()/10000000,0))</f>
        <v>0</v>
      </c>
      <c r="Q111" s="47" t="n">
        <f aca="false">IF(OR($A111="",C111=""),0,IF(COUNTIF($C$2:C111,C111)=1,SUMIF($C$2:$C$5001,C111,$H$2:$H$5001)+ROW()/10000000,0))</f>
        <v>0</v>
      </c>
    </row>
    <row r="112" customFormat="false" ht="15" hidden="false" customHeight="false" outlineLevel="0" collapsed="false">
      <c r="A112" s="43"/>
      <c r="B112" s="44"/>
      <c r="C112" s="44"/>
      <c r="D112" s="44"/>
      <c r="E112" s="44"/>
      <c r="F112" s="44"/>
      <c r="G112" s="44"/>
      <c r="H112" s="46" t="str">
        <f aca="false">IF($A112="","",IF(OR(NOT(ISNUMBER(E112)),NOT(ISNUMBER(F112))),"",MAX(0,E112)*F112))</f>
        <v/>
      </c>
      <c r="I112" s="46" t="str">
        <f aca="false">IF($A112="","",SUMIF($A$2:$A$5001,$A112,$H$2:$H$5001))</f>
        <v/>
      </c>
      <c r="J112" s="47" t="n">
        <f aca="false">IF($A112="",0,IF(COUNTIF($A$2:A112,$A112)=1,1,0))</f>
        <v>0</v>
      </c>
      <c r="K112" s="47" t="n">
        <f aca="false">IF(J112=1,N(I112)+ROW()/10000000,0)</f>
        <v>0</v>
      </c>
      <c r="L112" s="47" t="str">
        <f aca="false">IF(AND(J112=1,N(I112)&gt;0),SUMIF($K$2:$K$5001,"&gt;="&amp;K112,$I$2:$I$5001)/MAX(1,SUM($H$2:$H$5001)),"")</f>
        <v/>
      </c>
      <c r="M112" s="47" t="str">
        <f aca="false">IF($A112="","",INDEX($L$2:$L$5001,MATCH($A112,$A$2:$A$5001,0)))</f>
        <v/>
      </c>
      <c r="N112" s="48" t="str">
        <f aca="false">IF($A112="","",IF(N(M112)=0,"–",IF(M112&lt;=Start!$D$20,"A",IF(M112&lt;=Start!$D$21,"B","C"))))</f>
        <v/>
      </c>
      <c r="O112" s="48" t="str">
        <f aca="false">IF($A112="","",IF(NOT(ISNUMBER(F112)),"Wert fehlt; ",IF(F112&lt;=0,"Wert ist 0; ",""))&amp;IF(NOT(ISNUMBER(E112)),"Bestand fehlt; ",IF(E112&lt;0,"Bestand negativ; ",IF(E112=0,"Nullbestand; ","")))&amp;IF(D112="","Warengruppe fehlt; ","")&amp;IF(B112="","Bezeichnung fehlt; ","")&amp;IF(COUNTIFS($A$2:$A$5001,$A112,$C$2:$C$5001,C112)&gt;1,"Artikel doppelt im selben Lager; ",""))</f>
        <v/>
      </c>
      <c r="P112" s="47" t="n">
        <f aca="false">IF(OR($A112="",D112=""),0,IF(COUNTIF($D$2:D112,D112)=1,SUMIF($D$2:$D$5001,D112,$H$2:$H$5001)+ROW()/10000000,0))</f>
        <v>0</v>
      </c>
      <c r="Q112" s="47" t="n">
        <f aca="false">IF(OR($A112="",C112=""),0,IF(COUNTIF($C$2:C112,C112)=1,SUMIF($C$2:$C$5001,C112,$H$2:$H$5001)+ROW()/10000000,0))</f>
        <v>0</v>
      </c>
    </row>
    <row r="113" customFormat="false" ht="15" hidden="false" customHeight="false" outlineLevel="0" collapsed="false">
      <c r="A113" s="43"/>
      <c r="B113" s="44"/>
      <c r="C113" s="44"/>
      <c r="D113" s="44"/>
      <c r="E113" s="44"/>
      <c r="F113" s="44"/>
      <c r="G113" s="44"/>
      <c r="H113" s="46" t="str">
        <f aca="false">IF($A113="","",IF(OR(NOT(ISNUMBER(E113)),NOT(ISNUMBER(F113))),"",MAX(0,E113)*F113))</f>
        <v/>
      </c>
      <c r="I113" s="46" t="str">
        <f aca="false">IF($A113="","",SUMIF($A$2:$A$5001,$A113,$H$2:$H$5001))</f>
        <v/>
      </c>
      <c r="J113" s="47" t="n">
        <f aca="false">IF($A113="",0,IF(COUNTIF($A$2:A113,$A113)=1,1,0))</f>
        <v>0</v>
      </c>
      <c r="K113" s="47" t="n">
        <f aca="false">IF(J113=1,N(I113)+ROW()/10000000,0)</f>
        <v>0</v>
      </c>
      <c r="L113" s="47" t="str">
        <f aca="false">IF(AND(J113=1,N(I113)&gt;0),SUMIF($K$2:$K$5001,"&gt;="&amp;K113,$I$2:$I$5001)/MAX(1,SUM($H$2:$H$5001)),"")</f>
        <v/>
      </c>
      <c r="M113" s="47" t="str">
        <f aca="false">IF($A113="","",INDEX($L$2:$L$5001,MATCH($A113,$A$2:$A$5001,0)))</f>
        <v/>
      </c>
      <c r="N113" s="48" t="str">
        <f aca="false">IF($A113="","",IF(N(M113)=0,"–",IF(M113&lt;=Start!$D$20,"A",IF(M113&lt;=Start!$D$21,"B","C"))))</f>
        <v/>
      </c>
      <c r="O113" s="48" t="str">
        <f aca="false">IF($A113="","",IF(NOT(ISNUMBER(F113)),"Wert fehlt; ",IF(F113&lt;=0,"Wert ist 0; ",""))&amp;IF(NOT(ISNUMBER(E113)),"Bestand fehlt; ",IF(E113&lt;0,"Bestand negativ; ",IF(E113=0,"Nullbestand; ","")))&amp;IF(D113="","Warengruppe fehlt; ","")&amp;IF(B113="","Bezeichnung fehlt; ","")&amp;IF(COUNTIFS($A$2:$A$5001,$A113,$C$2:$C$5001,C113)&gt;1,"Artikel doppelt im selben Lager; ",""))</f>
        <v/>
      </c>
      <c r="P113" s="47" t="n">
        <f aca="false">IF(OR($A113="",D113=""),0,IF(COUNTIF($D$2:D113,D113)=1,SUMIF($D$2:$D$5001,D113,$H$2:$H$5001)+ROW()/10000000,0))</f>
        <v>0</v>
      </c>
      <c r="Q113" s="47" t="n">
        <f aca="false">IF(OR($A113="",C113=""),0,IF(COUNTIF($C$2:C113,C113)=1,SUMIF($C$2:$C$5001,C113,$H$2:$H$5001)+ROW()/10000000,0))</f>
        <v>0</v>
      </c>
    </row>
    <row r="114" customFormat="false" ht="15" hidden="false" customHeight="false" outlineLevel="0" collapsed="false">
      <c r="A114" s="43"/>
      <c r="B114" s="44"/>
      <c r="C114" s="44"/>
      <c r="D114" s="44"/>
      <c r="E114" s="44"/>
      <c r="F114" s="44"/>
      <c r="G114" s="44"/>
      <c r="H114" s="46" t="str">
        <f aca="false">IF($A114="","",IF(OR(NOT(ISNUMBER(E114)),NOT(ISNUMBER(F114))),"",MAX(0,E114)*F114))</f>
        <v/>
      </c>
      <c r="I114" s="46" t="str">
        <f aca="false">IF($A114="","",SUMIF($A$2:$A$5001,$A114,$H$2:$H$5001))</f>
        <v/>
      </c>
      <c r="J114" s="47" t="n">
        <f aca="false">IF($A114="",0,IF(COUNTIF($A$2:A114,$A114)=1,1,0))</f>
        <v>0</v>
      </c>
      <c r="K114" s="47" t="n">
        <f aca="false">IF(J114=1,N(I114)+ROW()/10000000,0)</f>
        <v>0</v>
      </c>
      <c r="L114" s="47" t="str">
        <f aca="false">IF(AND(J114=1,N(I114)&gt;0),SUMIF($K$2:$K$5001,"&gt;="&amp;K114,$I$2:$I$5001)/MAX(1,SUM($H$2:$H$5001)),"")</f>
        <v/>
      </c>
      <c r="M114" s="47" t="str">
        <f aca="false">IF($A114="","",INDEX($L$2:$L$5001,MATCH($A114,$A$2:$A$5001,0)))</f>
        <v/>
      </c>
      <c r="N114" s="48" t="str">
        <f aca="false">IF($A114="","",IF(N(M114)=0,"–",IF(M114&lt;=Start!$D$20,"A",IF(M114&lt;=Start!$D$21,"B","C"))))</f>
        <v/>
      </c>
      <c r="O114" s="48" t="str">
        <f aca="false">IF($A114="","",IF(NOT(ISNUMBER(F114)),"Wert fehlt; ",IF(F114&lt;=0,"Wert ist 0; ",""))&amp;IF(NOT(ISNUMBER(E114)),"Bestand fehlt; ",IF(E114&lt;0,"Bestand negativ; ",IF(E114=0,"Nullbestand; ","")))&amp;IF(D114="","Warengruppe fehlt; ","")&amp;IF(B114="","Bezeichnung fehlt; ","")&amp;IF(COUNTIFS($A$2:$A$5001,$A114,$C$2:$C$5001,C114)&gt;1,"Artikel doppelt im selben Lager; ",""))</f>
        <v/>
      </c>
      <c r="P114" s="47" t="n">
        <f aca="false">IF(OR($A114="",D114=""),0,IF(COUNTIF($D$2:D114,D114)=1,SUMIF($D$2:$D$5001,D114,$H$2:$H$5001)+ROW()/10000000,0))</f>
        <v>0</v>
      </c>
      <c r="Q114" s="47" t="n">
        <f aca="false">IF(OR($A114="",C114=""),0,IF(COUNTIF($C$2:C114,C114)=1,SUMIF($C$2:$C$5001,C114,$H$2:$H$5001)+ROW()/10000000,0))</f>
        <v>0</v>
      </c>
    </row>
    <row r="115" customFormat="false" ht="15" hidden="false" customHeight="false" outlineLevel="0" collapsed="false">
      <c r="A115" s="43"/>
      <c r="B115" s="44"/>
      <c r="C115" s="44"/>
      <c r="D115" s="44"/>
      <c r="E115" s="44"/>
      <c r="F115" s="44"/>
      <c r="G115" s="44"/>
      <c r="H115" s="46" t="str">
        <f aca="false">IF($A115="","",IF(OR(NOT(ISNUMBER(E115)),NOT(ISNUMBER(F115))),"",MAX(0,E115)*F115))</f>
        <v/>
      </c>
      <c r="I115" s="46" t="str">
        <f aca="false">IF($A115="","",SUMIF($A$2:$A$5001,$A115,$H$2:$H$5001))</f>
        <v/>
      </c>
      <c r="J115" s="47" t="n">
        <f aca="false">IF($A115="",0,IF(COUNTIF($A$2:A115,$A115)=1,1,0))</f>
        <v>0</v>
      </c>
      <c r="K115" s="47" t="n">
        <f aca="false">IF(J115=1,N(I115)+ROW()/10000000,0)</f>
        <v>0</v>
      </c>
      <c r="L115" s="47" t="str">
        <f aca="false">IF(AND(J115=1,N(I115)&gt;0),SUMIF($K$2:$K$5001,"&gt;="&amp;K115,$I$2:$I$5001)/MAX(1,SUM($H$2:$H$5001)),"")</f>
        <v/>
      </c>
      <c r="M115" s="47" t="str">
        <f aca="false">IF($A115="","",INDEX($L$2:$L$5001,MATCH($A115,$A$2:$A$5001,0)))</f>
        <v/>
      </c>
      <c r="N115" s="48" t="str">
        <f aca="false">IF($A115="","",IF(N(M115)=0,"–",IF(M115&lt;=Start!$D$20,"A",IF(M115&lt;=Start!$D$21,"B","C"))))</f>
        <v/>
      </c>
      <c r="O115" s="48" t="str">
        <f aca="false">IF($A115="","",IF(NOT(ISNUMBER(F115)),"Wert fehlt; ",IF(F115&lt;=0,"Wert ist 0; ",""))&amp;IF(NOT(ISNUMBER(E115)),"Bestand fehlt; ",IF(E115&lt;0,"Bestand negativ; ",IF(E115=0,"Nullbestand; ","")))&amp;IF(D115="","Warengruppe fehlt; ","")&amp;IF(B115="","Bezeichnung fehlt; ","")&amp;IF(COUNTIFS($A$2:$A$5001,$A115,$C$2:$C$5001,C115)&gt;1,"Artikel doppelt im selben Lager; ",""))</f>
        <v/>
      </c>
      <c r="P115" s="47" t="n">
        <f aca="false">IF(OR($A115="",D115=""),0,IF(COUNTIF($D$2:D115,D115)=1,SUMIF($D$2:$D$5001,D115,$H$2:$H$5001)+ROW()/10000000,0))</f>
        <v>0</v>
      </c>
      <c r="Q115" s="47" t="n">
        <f aca="false">IF(OR($A115="",C115=""),0,IF(COUNTIF($C$2:C115,C115)=1,SUMIF($C$2:$C$5001,C115,$H$2:$H$5001)+ROW()/10000000,0))</f>
        <v>0</v>
      </c>
    </row>
    <row r="116" customFormat="false" ht="15" hidden="false" customHeight="false" outlineLevel="0" collapsed="false">
      <c r="A116" s="43"/>
      <c r="B116" s="44"/>
      <c r="C116" s="44"/>
      <c r="D116" s="44"/>
      <c r="E116" s="44"/>
      <c r="F116" s="44"/>
      <c r="G116" s="44"/>
      <c r="H116" s="46" t="str">
        <f aca="false">IF($A116="","",IF(OR(NOT(ISNUMBER(E116)),NOT(ISNUMBER(F116))),"",MAX(0,E116)*F116))</f>
        <v/>
      </c>
      <c r="I116" s="46" t="str">
        <f aca="false">IF($A116="","",SUMIF($A$2:$A$5001,$A116,$H$2:$H$5001))</f>
        <v/>
      </c>
      <c r="J116" s="47" t="n">
        <f aca="false">IF($A116="",0,IF(COUNTIF($A$2:A116,$A116)=1,1,0))</f>
        <v>0</v>
      </c>
      <c r="K116" s="47" t="n">
        <f aca="false">IF(J116=1,N(I116)+ROW()/10000000,0)</f>
        <v>0</v>
      </c>
      <c r="L116" s="47" t="str">
        <f aca="false">IF(AND(J116=1,N(I116)&gt;0),SUMIF($K$2:$K$5001,"&gt;="&amp;K116,$I$2:$I$5001)/MAX(1,SUM($H$2:$H$5001)),"")</f>
        <v/>
      </c>
      <c r="M116" s="47" t="str">
        <f aca="false">IF($A116="","",INDEX($L$2:$L$5001,MATCH($A116,$A$2:$A$5001,0)))</f>
        <v/>
      </c>
      <c r="N116" s="48" t="str">
        <f aca="false">IF($A116="","",IF(N(M116)=0,"–",IF(M116&lt;=Start!$D$20,"A",IF(M116&lt;=Start!$D$21,"B","C"))))</f>
        <v/>
      </c>
      <c r="O116" s="48" t="str">
        <f aca="false">IF($A116="","",IF(NOT(ISNUMBER(F116)),"Wert fehlt; ",IF(F116&lt;=0,"Wert ist 0; ",""))&amp;IF(NOT(ISNUMBER(E116)),"Bestand fehlt; ",IF(E116&lt;0,"Bestand negativ; ",IF(E116=0,"Nullbestand; ","")))&amp;IF(D116="","Warengruppe fehlt; ","")&amp;IF(B116="","Bezeichnung fehlt; ","")&amp;IF(COUNTIFS($A$2:$A$5001,$A116,$C$2:$C$5001,C116)&gt;1,"Artikel doppelt im selben Lager; ",""))</f>
        <v/>
      </c>
      <c r="P116" s="47" t="n">
        <f aca="false">IF(OR($A116="",D116=""),0,IF(COUNTIF($D$2:D116,D116)=1,SUMIF($D$2:$D$5001,D116,$H$2:$H$5001)+ROW()/10000000,0))</f>
        <v>0</v>
      </c>
      <c r="Q116" s="47" t="n">
        <f aca="false">IF(OR($A116="",C116=""),0,IF(COUNTIF($C$2:C116,C116)=1,SUMIF($C$2:$C$5001,C116,$H$2:$H$5001)+ROW()/10000000,0))</f>
        <v>0</v>
      </c>
    </row>
    <row r="117" customFormat="false" ht="15" hidden="false" customHeight="false" outlineLevel="0" collapsed="false">
      <c r="A117" s="43"/>
      <c r="B117" s="44"/>
      <c r="C117" s="44"/>
      <c r="D117" s="44"/>
      <c r="E117" s="44"/>
      <c r="F117" s="44"/>
      <c r="G117" s="44"/>
      <c r="H117" s="46" t="str">
        <f aca="false">IF($A117="","",IF(OR(NOT(ISNUMBER(E117)),NOT(ISNUMBER(F117))),"",MAX(0,E117)*F117))</f>
        <v/>
      </c>
      <c r="I117" s="46" t="str">
        <f aca="false">IF($A117="","",SUMIF($A$2:$A$5001,$A117,$H$2:$H$5001))</f>
        <v/>
      </c>
      <c r="J117" s="47" t="n">
        <f aca="false">IF($A117="",0,IF(COUNTIF($A$2:A117,$A117)=1,1,0))</f>
        <v>0</v>
      </c>
      <c r="K117" s="47" t="n">
        <f aca="false">IF(J117=1,N(I117)+ROW()/10000000,0)</f>
        <v>0</v>
      </c>
      <c r="L117" s="47" t="str">
        <f aca="false">IF(AND(J117=1,N(I117)&gt;0),SUMIF($K$2:$K$5001,"&gt;="&amp;K117,$I$2:$I$5001)/MAX(1,SUM($H$2:$H$5001)),"")</f>
        <v/>
      </c>
      <c r="M117" s="47" t="str">
        <f aca="false">IF($A117="","",INDEX($L$2:$L$5001,MATCH($A117,$A$2:$A$5001,0)))</f>
        <v/>
      </c>
      <c r="N117" s="48" t="str">
        <f aca="false">IF($A117="","",IF(N(M117)=0,"–",IF(M117&lt;=Start!$D$20,"A",IF(M117&lt;=Start!$D$21,"B","C"))))</f>
        <v/>
      </c>
      <c r="O117" s="48" t="str">
        <f aca="false">IF($A117="","",IF(NOT(ISNUMBER(F117)),"Wert fehlt; ",IF(F117&lt;=0,"Wert ist 0; ",""))&amp;IF(NOT(ISNUMBER(E117)),"Bestand fehlt; ",IF(E117&lt;0,"Bestand negativ; ",IF(E117=0,"Nullbestand; ","")))&amp;IF(D117="","Warengruppe fehlt; ","")&amp;IF(B117="","Bezeichnung fehlt; ","")&amp;IF(COUNTIFS($A$2:$A$5001,$A117,$C$2:$C$5001,C117)&gt;1,"Artikel doppelt im selben Lager; ",""))</f>
        <v/>
      </c>
      <c r="P117" s="47" t="n">
        <f aca="false">IF(OR($A117="",D117=""),0,IF(COUNTIF($D$2:D117,D117)=1,SUMIF($D$2:$D$5001,D117,$H$2:$H$5001)+ROW()/10000000,0))</f>
        <v>0</v>
      </c>
      <c r="Q117" s="47" t="n">
        <f aca="false">IF(OR($A117="",C117=""),0,IF(COUNTIF($C$2:C117,C117)=1,SUMIF($C$2:$C$5001,C117,$H$2:$H$5001)+ROW()/10000000,0))</f>
        <v>0</v>
      </c>
    </row>
    <row r="118" customFormat="false" ht="15" hidden="false" customHeight="false" outlineLevel="0" collapsed="false">
      <c r="A118" s="43"/>
      <c r="B118" s="44"/>
      <c r="C118" s="44"/>
      <c r="D118" s="44"/>
      <c r="E118" s="44"/>
      <c r="F118" s="44"/>
      <c r="G118" s="44"/>
      <c r="H118" s="46" t="str">
        <f aca="false">IF($A118="","",IF(OR(NOT(ISNUMBER(E118)),NOT(ISNUMBER(F118))),"",MAX(0,E118)*F118))</f>
        <v/>
      </c>
      <c r="I118" s="46" t="str">
        <f aca="false">IF($A118="","",SUMIF($A$2:$A$5001,$A118,$H$2:$H$5001))</f>
        <v/>
      </c>
      <c r="J118" s="47" t="n">
        <f aca="false">IF($A118="",0,IF(COUNTIF($A$2:A118,$A118)=1,1,0))</f>
        <v>0</v>
      </c>
      <c r="K118" s="47" t="n">
        <f aca="false">IF(J118=1,N(I118)+ROW()/10000000,0)</f>
        <v>0</v>
      </c>
      <c r="L118" s="47" t="str">
        <f aca="false">IF(AND(J118=1,N(I118)&gt;0),SUMIF($K$2:$K$5001,"&gt;="&amp;K118,$I$2:$I$5001)/MAX(1,SUM($H$2:$H$5001)),"")</f>
        <v/>
      </c>
      <c r="M118" s="47" t="str">
        <f aca="false">IF($A118="","",INDEX($L$2:$L$5001,MATCH($A118,$A$2:$A$5001,0)))</f>
        <v/>
      </c>
      <c r="N118" s="48" t="str">
        <f aca="false">IF($A118="","",IF(N(M118)=0,"–",IF(M118&lt;=Start!$D$20,"A",IF(M118&lt;=Start!$D$21,"B","C"))))</f>
        <v/>
      </c>
      <c r="O118" s="48" t="str">
        <f aca="false">IF($A118="","",IF(NOT(ISNUMBER(F118)),"Wert fehlt; ",IF(F118&lt;=0,"Wert ist 0; ",""))&amp;IF(NOT(ISNUMBER(E118)),"Bestand fehlt; ",IF(E118&lt;0,"Bestand negativ; ",IF(E118=0,"Nullbestand; ","")))&amp;IF(D118="","Warengruppe fehlt; ","")&amp;IF(B118="","Bezeichnung fehlt; ","")&amp;IF(COUNTIFS($A$2:$A$5001,$A118,$C$2:$C$5001,C118)&gt;1,"Artikel doppelt im selben Lager; ",""))</f>
        <v/>
      </c>
      <c r="P118" s="47" t="n">
        <f aca="false">IF(OR($A118="",D118=""),0,IF(COUNTIF($D$2:D118,D118)=1,SUMIF($D$2:$D$5001,D118,$H$2:$H$5001)+ROW()/10000000,0))</f>
        <v>0</v>
      </c>
      <c r="Q118" s="47" t="n">
        <f aca="false">IF(OR($A118="",C118=""),0,IF(COUNTIF($C$2:C118,C118)=1,SUMIF($C$2:$C$5001,C118,$H$2:$H$5001)+ROW()/10000000,0))</f>
        <v>0</v>
      </c>
    </row>
    <row r="119" customFormat="false" ht="15" hidden="false" customHeight="false" outlineLevel="0" collapsed="false">
      <c r="A119" s="43"/>
      <c r="B119" s="44"/>
      <c r="C119" s="44"/>
      <c r="D119" s="44"/>
      <c r="E119" s="44"/>
      <c r="F119" s="44"/>
      <c r="G119" s="44"/>
      <c r="H119" s="46" t="str">
        <f aca="false">IF($A119="","",IF(OR(NOT(ISNUMBER(E119)),NOT(ISNUMBER(F119))),"",MAX(0,E119)*F119))</f>
        <v/>
      </c>
      <c r="I119" s="46" t="str">
        <f aca="false">IF($A119="","",SUMIF($A$2:$A$5001,$A119,$H$2:$H$5001))</f>
        <v/>
      </c>
      <c r="J119" s="47" t="n">
        <f aca="false">IF($A119="",0,IF(COUNTIF($A$2:A119,$A119)=1,1,0))</f>
        <v>0</v>
      </c>
      <c r="K119" s="47" t="n">
        <f aca="false">IF(J119=1,N(I119)+ROW()/10000000,0)</f>
        <v>0</v>
      </c>
      <c r="L119" s="47" t="str">
        <f aca="false">IF(AND(J119=1,N(I119)&gt;0),SUMIF($K$2:$K$5001,"&gt;="&amp;K119,$I$2:$I$5001)/MAX(1,SUM($H$2:$H$5001)),"")</f>
        <v/>
      </c>
      <c r="M119" s="47" t="str">
        <f aca="false">IF($A119="","",INDEX($L$2:$L$5001,MATCH($A119,$A$2:$A$5001,0)))</f>
        <v/>
      </c>
      <c r="N119" s="48" t="str">
        <f aca="false">IF($A119="","",IF(N(M119)=0,"–",IF(M119&lt;=Start!$D$20,"A",IF(M119&lt;=Start!$D$21,"B","C"))))</f>
        <v/>
      </c>
      <c r="O119" s="48" t="str">
        <f aca="false">IF($A119="","",IF(NOT(ISNUMBER(F119)),"Wert fehlt; ",IF(F119&lt;=0,"Wert ist 0; ",""))&amp;IF(NOT(ISNUMBER(E119)),"Bestand fehlt; ",IF(E119&lt;0,"Bestand negativ; ",IF(E119=0,"Nullbestand; ","")))&amp;IF(D119="","Warengruppe fehlt; ","")&amp;IF(B119="","Bezeichnung fehlt; ","")&amp;IF(COUNTIFS($A$2:$A$5001,$A119,$C$2:$C$5001,C119)&gt;1,"Artikel doppelt im selben Lager; ",""))</f>
        <v/>
      </c>
      <c r="P119" s="47" t="n">
        <f aca="false">IF(OR($A119="",D119=""),0,IF(COUNTIF($D$2:D119,D119)=1,SUMIF($D$2:$D$5001,D119,$H$2:$H$5001)+ROW()/10000000,0))</f>
        <v>0</v>
      </c>
      <c r="Q119" s="47" t="n">
        <f aca="false">IF(OR($A119="",C119=""),0,IF(COUNTIF($C$2:C119,C119)=1,SUMIF($C$2:$C$5001,C119,$H$2:$H$5001)+ROW()/10000000,0))</f>
        <v>0</v>
      </c>
    </row>
    <row r="120" customFormat="false" ht="15" hidden="false" customHeight="false" outlineLevel="0" collapsed="false">
      <c r="A120" s="43"/>
      <c r="B120" s="44"/>
      <c r="C120" s="44"/>
      <c r="D120" s="44"/>
      <c r="E120" s="44"/>
      <c r="F120" s="44"/>
      <c r="G120" s="44"/>
      <c r="H120" s="46" t="str">
        <f aca="false">IF($A120="","",IF(OR(NOT(ISNUMBER(E120)),NOT(ISNUMBER(F120))),"",MAX(0,E120)*F120))</f>
        <v/>
      </c>
      <c r="I120" s="46" t="str">
        <f aca="false">IF($A120="","",SUMIF($A$2:$A$5001,$A120,$H$2:$H$5001))</f>
        <v/>
      </c>
      <c r="J120" s="47" t="n">
        <f aca="false">IF($A120="",0,IF(COUNTIF($A$2:A120,$A120)=1,1,0))</f>
        <v>0</v>
      </c>
      <c r="K120" s="47" t="n">
        <f aca="false">IF(J120=1,N(I120)+ROW()/10000000,0)</f>
        <v>0</v>
      </c>
      <c r="L120" s="47" t="str">
        <f aca="false">IF(AND(J120=1,N(I120)&gt;0),SUMIF($K$2:$K$5001,"&gt;="&amp;K120,$I$2:$I$5001)/MAX(1,SUM($H$2:$H$5001)),"")</f>
        <v/>
      </c>
      <c r="M120" s="47" t="str">
        <f aca="false">IF($A120="","",INDEX($L$2:$L$5001,MATCH($A120,$A$2:$A$5001,0)))</f>
        <v/>
      </c>
      <c r="N120" s="48" t="str">
        <f aca="false">IF($A120="","",IF(N(M120)=0,"–",IF(M120&lt;=Start!$D$20,"A",IF(M120&lt;=Start!$D$21,"B","C"))))</f>
        <v/>
      </c>
      <c r="O120" s="48" t="str">
        <f aca="false">IF($A120="","",IF(NOT(ISNUMBER(F120)),"Wert fehlt; ",IF(F120&lt;=0,"Wert ist 0; ",""))&amp;IF(NOT(ISNUMBER(E120)),"Bestand fehlt; ",IF(E120&lt;0,"Bestand negativ; ",IF(E120=0,"Nullbestand; ","")))&amp;IF(D120="","Warengruppe fehlt; ","")&amp;IF(B120="","Bezeichnung fehlt; ","")&amp;IF(COUNTIFS($A$2:$A$5001,$A120,$C$2:$C$5001,C120)&gt;1,"Artikel doppelt im selben Lager; ",""))</f>
        <v/>
      </c>
      <c r="P120" s="47" t="n">
        <f aca="false">IF(OR($A120="",D120=""),0,IF(COUNTIF($D$2:D120,D120)=1,SUMIF($D$2:$D$5001,D120,$H$2:$H$5001)+ROW()/10000000,0))</f>
        <v>0</v>
      </c>
      <c r="Q120" s="47" t="n">
        <f aca="false">IF(OR($A120="",C120=""),0,IF(COUNTIF($C$2:C120,C120)=1,SUMIF($C$2:$C$5001,C120,$H$2:$H$5001)+ROW()/10000000,0))</f>
        <v>0</v>
      </c>
    </row>
    <row r="121" customFormat="false" ht="15" hidden="false" customHeight="false" outlineLevel="0" collapsed="false">
      <c r="A121" s="43"/>
      <c r="B121" s="44"/>
      <c r="C121" s="44"/>
      <c r="D121" s="44"/>
      <c r="E121" s="44"/>
      <c r="F121" s="44"/>
      <c r="G121" s="44"/>
      <c r="H121" s="46" t="str">
        <f aca="false">IF($A121="","",IF(OR(NOT(ISNUMBER(E121)),NOT(ISNUMBER(F121))),"",MAX(0,E121)*F121))</f>
        <v/>
      </c>
      <c r="I121" s="46" t="str">
        <f aca="false">IF($A121="","",SUMIF($A$2:$A$5001,$A121,$H$2:$H$5001))</f>
        <v/>
      </c>
      <c r="J121" s="47" t="n">
        <f aca="false">IF($A121="",0,IF(COUNTIF($A$2:A121,$A121)=1,1,0))</f>
        <v>0</v>
      </c>
      <c r="K121" s="47" t="n">
        <f aca="false">IF(J121=1,N(I121)+ROW()/10000000,0)</f>
        <v>0</v>
      </c>
      <c r="L121" s="47" t="str">
        <f aca="false">IF(AND(J121=1,N(I121)&gt;0),SUMIF($K$2:$K$5001,"&gt;="&amp;K121,$I$2:$I$5001)/MAX(1,SUM($H$2:$H$5001)),"")</f>
        <v/>
      </c>
      <c r="M121" s="47" t="str">
        <f aca="false">IF($A121="","",INDEX($L$2:$L$5001,MATCH($A121,$A$2:$A$5001,0)))</f>
        <v/>
      </c>
      <c r="N121" s="48" t="str">
        <f aca="false">IF($A121="","",IF(N(M121)=0,"–",IF(M121&lt;=Start!$D$20,"A",IF(M121&lt;=Start!$D$21,"B","C"))))</f>
        <v/>
      </c>
      <c r="O121" s="48" t="str">
        <f aca="false">IF($A121="","",IF(NOT(ISNUMBER(F121)),"Wert fehlt; ",IF(F121&lt;=0,"Wert ist 0; ",""))&amp;IF(NOT(ISNUMBER(E121)),"Bestand fehlt; ",IF(E121&lt;0,"Bestand negativ; ",IF(E121=0,"Nullbestand; ","")))&amp;IF(D121="","Warengruppe fehlt; ","")&amp;IF(B121="","Bezeichnung fehlt; ","")&amp;IF(COUNTIFS($A$2:$A$5001,$A121,$C$2:$C$5001,C121)&gt;1,"Artikel doppelt im selben Lager; ",""))</f>
        <v/>
      </c>
      <c r="P121" s="47" t="n">
        <f aca="false">IF(OR($A121="",D121=""),0,IF(COUNTIF($D$2:D121,D121)=1,SUMIF($D$2:$D$5001,D121,$H$2:$H$5001)+ROW()/10000000,0))</f>
        <v>0</v>
      </c>
      <c r="Q121" s="47" t="n">
        <f aca="false">IF(OR($A121="",C121=""),0,IF(COUNTIF($C$2:C121,C121)=1,SUMIF($C$2:$C$5001,C121,$H$2:$H$5001)+ROW()/10000000,0))</f>
        <v>0</v>
      </c>
    </row>
    <row r="122" customFormat="false" ht="15" hidden="false" customHeight="false" outlineLevel="0" collapsed="false">
      <c r="A122" s="43"/>
      <c r="B122" s="44"/>
      <c r="C122" s="44"/>
      <c r="D122" s="44"/>
      <c r="E122" s="44"/>
      <c r="F122" s="44"/>
      <c r="G122" s="44"/>
      <c r="H122" s="46" t="str">
        <f aca="false">IF($A122="","",IF(OR(NOT(ISNUMBER(E122)),NOT(ISNUMBER(F122))),"",MAX(0,E122)*F122))</f>
        <v/>
      </c>
      <c r="I122" s="46" t="str">
        <f aca="false">IF($A122="","",SUMIF($A$2:$A$5001,$A122,$H$2:$H$5001))</f>
        <v/>
      </c>
      <c r="J122" s="47" t="n">
        <f aca="false">IF($A122="",0,IF(COUNTIF($A$2:A122,$A122)=1,1,0))</f>
        <v>0</v>
      </c>
      <c r="K122" s="47" t="n">
        <f aca="false">IF(J122=1,N(I122)+ROW()/10000000,0)</f>
        <v>0</v>
      </c>
      <c r="L122" s="47" t="str">
        <f aca="false">IF(AND(J122=1,N(I122)&gt;0),SUMIF($K$2:$K$5001,"&gt;="&amp;K122,$I$2:$I$5001)/MAX(1,SUM($H$2:$H$5001)),"")</f>
        <v/>
      </c>
      <c r="M122" s="47" t="str">
        <f aca="false">IF($A122="","",INDEX($L$2:$L$5001,MATCH($A122,$A$2:$A$5001,0)))</f>
        <v/>
      </c>
      <c r="N122" s="48" t="str">
        <f aca="false">IF($A122="","",IF(N(M122)=0,"–",IF(M122&lt;=Start!$D$20,"A",IF(M122&lt;=Start!$D$21,"B","C"))))</f>
        <v/>
      </c>
      <c r="O122" s="48" t="str">
        <f aca="false">IF($A122="","",IF(NOT(ISNUMBER(F122)),"Wert fehlt; ",IF(F122&lt;=0,"Wert ist 0; ",""))&amp;IF(NOT(ISNUMBER(E122)),"Bestand fehlt; ",IF(E122&lt;0,"Bestand negativ; ",IF(E122=0,"Nullbestand; ","")))&amp;IF(D122="","Warengruppe fehlt; ","")&amp;IF(B122="","Bezeichnung fehlt; ","")&amp;IF(COUNTIFS($A$2:$A$5001,$A122,$C$2:$C$5001,C122)&gt;1,"Artikel doppelt im selben Lager; ",""))</f>
        <v/>
      </c>
      <c r="P122" s="47" t="n">
        <f aca="false">IF(OR($A122="",D122=""),0,IF(COUNTIF($D$2:D122,D122)=1,SUMIF($D$2:$D$5001,D122,$H$2:$H$5001)+ROW()/10000000,0))</f>
        <v>0</v>
      </c>
      <c r="Q122" s="47" t="n">
        <f aca="false">IF(OR($A122="",C122=""),0,IF(COUNTIF($C$2:C122,C122)=1,SUMIF($C$2:$C$5001,C122,$H$2:$H$5001)+ROW()/10000000,0))</f>
        <v>0</v>
      </c>
    </row>
    <row r="123" customFormat="false" ht="15" hidden="false" customHeight="false" outlineLevel="0" collapsed="false">
      <c r="A123" s="43"/>
      <c r="B123" s="44"/>
      <c r="C123" s="44"/>
      <c r="D123" s="44"/>
      <c r="E123" s="44"/>
      <c r="F123" s="44"/>
      <c r="G123" s="44"/>
      <c r="H123" s="46" t="str">
        <f aca="false">IF($A123="","",IF(OR(NOT(ISNUMBER(E123)),NOT(ISNUMBER(F123))),"",MAX(0,E123)*F123))</f>
        <v/>
      </c>
      <c r="I123" s="46" t="str">
        <f aca="false">IF($A123="","",SUMIF($A$2:$A$5001,$A123,$H$2:$H$5001))</f>
        <v/>
      </c>
      <c r="J123" s="47" t="n">
        <f aca="false">IF($A123="",0,IF(COUNTIF($A$2:A123,$A123)=1,1,0))</f>
        <v>0</v>
      </c>
      <c r="K123" s="47" t="n">
        <f aca="false">IF(J123=1,N(I123)+ROW()/10000000,0)</f>
        <v>0</v>
      </c>
      <c r="L123" s="47" t="str">
        <f aca="false">IF(AND(J123=1,N(I123)&gt;0),SUMIF($K$2:$K$5001,"&gt;="&amp;K123,$I$2:$I$5001)/MAX(1,SUM($H$2:$H$5001)),"")</f>
        <v/>
      </c>
      <c r="M123" s="47" t="str">
        <f aca="false">IF($A123="","",INDEX($L$2:$L$5001,MATCH($A123,$A$2:$A$5001,0)))</f>
        <v/>
      </c>
      <c r="N123" s="48" t="str">
        <f aca="false">IF($A123="","",IF(N(M123)=0,"–",IF(M123&lt;=Start!$D$20,"A",IF(M123&lt;=Start!$D$21,"B","C"))))</f>
        <v/>
      </c>
      <c r="O123" s="48" t="str">
        <f aca="false">IF($A123="","",IF(NOT(ISNUMBER(F123)),"Wert fehlt; ",IF(F123&lt;=0,"Wert ist 0; ",""))&amp;IF(NOT(ISNUMBER(E123)),"Bestand fehlt; ",IF(E123&lt;0,"Bestand negativ; ",IF(E123=0,"Nullbestand; ","")))&amp;IF(D123="","Warengruppe fehlt; ","")&amp;IF(B123="","Bezeichnung fehlt; ","")&amp;IF(COUNTIFS($A$2:$A$5001,$A123,$C$2:$C$5001,C123)&gt;1,"Artikel doppelt im selben Lager; ",""))</f>
        <v/>
      </c>
      <c r="P123" s="47" t="n">
        <f aca="false">IF(OR($A123="",D123=""),0,IF(COUNTIF($D$2:D123,D123)=1,SUMIF($D$2:$D$5001,D123,$H$2:$H$5001)+ROW()/10000000,0))</f>
        <v>0</v>
      </c>
      <c r="Q123" s="47" t="n">
        <f aca="false">IF(OR($A123="",C123=""),0,IF(COUNTIF($C$2:C123,C123)=1,SUMIF($C$2:$C$5001,C123,$H$2:$H$5001)+ROW()/10000000,0))</f>
        <v>0</v>
      </c>
    </row>
    <row r="124" customFormat="false" ht="15" hidden="false" customHeight="false" outlineLevel="0" collapsed="false">
      <c r="A124" s="43"/>
      <c r="B124" s="44"/>
      <c r="C124" s="44"/>
      <c r="D124" s="44"/>
      <c r="E124" s="44"/>
      <c r="F124" s="44"/>
      <c r="G124" s="44"/>
      <c r="H124" s="46" t="str">
        <f aca="false">IF($A124="","",IF(OR(NOT(ISNUMBER(E124)),NOT(ISNUMBER(F124))),"",MAX(0,E124)*F124))</f>
        <v/>
      </c>
      <c r="I124" s="46" t="str">
        <f aca="false">IF($A124="","",SUMIF($A$2:$A$5001,$A124,$H$2:$H$5001))</f>
        <v/>
      </c>
      <c r="J124" s="47" t="n">
        <f aca="false">IF($A124="",0,IF(COUNTIF($A$2:A124,$A124)=1,1,0))</f>
        <v>0</v>
      </c>
      <c r="K124" s="47" t="n">
        <f aca="false">IF(J124=1,N(I124)+ROW()/10000000,0)</f>
        <v>0</v>
      </c>
      <c r="L124" s="47" t="str">
        <f aca="false">IF(AND(J124=1,N(I124)&gt;0),SUMIF($K$2:$K$5001,"&gt;="&amp;K124,$I$2:$I$5001)/MAX(1,SUM($H$2:$H$5001)),"")</f>
        <v/>
      </c>
      <c r="M124" s="47" t="str">
        <f aca="false">IF($A124="","",INDEX($L$2:$L$5001,MATCH($A124,$A$2:$A$5001,0)))</f>
        <v/>
      </c>
      <c r="N124" s="48" t="str">
        <f aca="false">IF($A124="","",IF(N(M124)=0,"–",IF(M124&lt;=Start!$D$20,"A",IF(M124&lt;=Start!$D$21,"B","C"))))</f>
        <v/>
      </c>
      <c r="O124" s="48" t="str">
        <f aca="false">IF($A124="","",IF(NOT(ISNUMBER(F124)),"Wert fehlt; ",IF(F124&lt;=0,"Wert ist 0; ",""))&amp;IF(NOT(ISNUMBER(E124)),"Bestand fehlt; ",IF(E124&lt;0,"Bestand negativ; ",IF(E124=0,"Nullbestand; ","")))&amp;IF(D124="","Warengruppe fehlt; ","")&amp;IF(B124="","Bezeichnung fehlt; ","")&amp;IF(COUNTIFS($A$2:$A$5001,$A124,$C$2:$C$5001,C124)&gt;1,"Artikel doppelt im selben Lager; ",""))</f>
        <v/>
      </c>
      <c r="P124" s="47" t="n">
        <f aca="false">IF(OR($A124="",D124=""),0,IF(COUNTIF($D$2:D124,D124)=1,SUMIF($D$2:$D$5001,D124,$H$2:$H$5001)+ROW()/10000000,0))</f>
        <v>0</v>
      </c>
      <c r="Q124" s="47" t="n">
        <f aca="false">IF(OR($A124="",C124=""),0,IF(COUNTIF($C$2:C124,C124)=1,SUMIF($C$2:$C$5001,C124,$H$2:$H$5001)+ROW()/10000000,0))</f>
        <v>0</v>
      </c>
    </row>
    <row r="125" customFormat="false" ht="15" hidden="false" customHeight="false" outlineLevel="0" collapsed="false">
      <c r="A125" s="43"/>
      <c r="B125" s="44"/>
      <c r="C125" s="44"/>
      <c r="D125" s="44"/>
      <c r="E125" s="44"/>
      <c r="F125" s="44"/>
      <c r="G125" s="44"/>
      <c r="H125" s="46" t="str">
        <f aca="false">IF($A125="","",IF(OR(NOT(ISNUMBER(E125)),NOT(ISNUMBER(F125))),"",MAX(0,E125)*F125))</f>
        <v/>
      </c>
      <c r="I125" s="46" t="str">
        <f aca="false">IF($A125="","",SUMIF($A$2:$A$5001,$A125,$H$2:$H$5001))</f>
        <v/>
      </c>
      <c r="J125" s="47" t="n">
        <f aca="false">IF($A125="",0,IF(COUNTIF($A$2:A125,$A125)=1,1,0))</f>
        <v>0</v>
      </c>
      <c r="K125" s="47" t="n">
        <f aca="false">IF(J125=1,N(I125)+ROW()/10000000,0)</f>
        <v>0</v>
      </c>
      <c r="L125" s="47" t="str">
        <f aca="false">IF(AND(J125=1,N(I125)&gt;0),SUMIF($K$2:$K$5001,"&gt;="&amp;K125,$I$2:$I$5001)/MAX(1,SUM($H$2:$H$5001)),"")</f>
        <v/>
      </c>
      <c r="M125" s="47" t="str">
        <f aca="false">IF($A125="","",INDEX($L$2:$L$5001,MATCH($A125,$A$2:$A$5001,0)))</f>
        <v/>
      </c>
      <c r="N125" s="48" t="str">
        <f aca="false">IF($A125="","",IF(N(M125)=0,"–",IF(M125&lt;=Start!$D$20,"A",IF(M125&lt;=Start!$D$21,"B","C"))))</f>
        <v/>
      </c>
      <c r="O125" s="48" t="str">
        <f aca="false">IF($A125="","",IF(NOT(ISNUMBER(F125)),"Wert fehlt; ",IF(F125&lt;=0,"Wert ist 0; ",""))&amp;IF(NOT(ISNUMBER(E125)),"Bestand fehlt; ",IF(E125&lt;0,"Bestand negativ; ",IF(E125=0,"Nullbestand; ","")))&amp;IF(D125="","Warengruppe fehlt; ","")&amp;IF(B125="","Bezeichnung fehlt; ","")&amp;IF(COUNTIFS($A$2:$A$5001,$A125,$C$2:$C$5001,C125)&gt;1,"Artikel doppelt im selben Lager; ",""))</f>
        <v/>
      </c>
      <c r="P125" s="47" t="n">
        <f aca="false">IF(OR($A125="",D125=""),0,IF(COUNTIF($D$2:D125,D125)=1,SUMIF($D$2:$D$5001,D125,$H$2:$H$5001)+ROW()/10000000,0))</f>
        <v>0</v>
      </c>
      <c r="Q125" s="47" t="n">
        <f aca="false">IF(OR($A125="",C125=""),0,IF(COUNTIF($C$2:C125,C125)=1,SUMIF($C$2:$C$5001,C125,$H$2:$H$5001)+ROW()/10000000,0))</f>
        <v>0</v>
      </c>
    </row>
    <row r="126" customFormat="false" ht="15" hidden="false" customHeight="false" outlineLevel="0" collapsed="false">
      <c r="A126" s="43"/>
      <c r="B126" s="44"/>
      <c r="C126" s="44"/>
      <c r="D126" s="44"/>
      <c r="E126" s="44"/>
      <c r="F126" s="44"/>
      <c r="G126" s="44"/>
      <c r="H126" s="46" t="str">
        <f aca="false">IF($A126="","",IF(OR(NOT(ISNUMBER(E126)),NOT(ISNUMBER(F126))),"",MAX(0,E126)*F126))</f>
        <v/>
      </c>
      <c r="I126" s="46" t="str">
        <f aca="false">IF($A126="","",SUMIF($A$2:$A$5001,$A126,$H$2:$H$5001))</f>
        <v/>
      </c>
      <c r="J126" s="47" t="n">
        <f aca="false">IF($A126="",0,IF(COUNTIF($A$2:A126,$A126)=1,1,0))</f>
        <v>0</v>
      </c>
      <c r="K126" s="47" t="n">
        <f aca="false">IF(J126=1,N(I126)+ROW()/10000000,0)</f>
        <v>0</v>
      </c>
      <c r="L126" s="47" t="str">
        <f aca="false">IF(AND(J126=1,N(I126)&gt;0),SUMIF($K$2:$K$5001,"&gt;="&amp;K126,$I$2:$I$5001)/MAX(1,SUM($H$2:$H$5001)),"")</f>
        <v/>
      </c>
      <c r="M126" s="47" t="str">
        <f aca="false">IF($A126="","",INDEX($L$2:$L$5001,MATCH($A126,$A$2:$A$5001,0)))</f>
        <v/>
      </c>
      <c r="N126" s="48" t="str">
        <f aca="false">IF($A126="","",IF(N(M126)=0,"–",IF(M126&lt;=Start!$D$20,"A",IF(M126&lt;=Start!$D$21,"B","C"))))</f>
        <v/>
      </c>
      <c r="O126" s="48" t="str">
        <f aca="false">IF($A126="","",IF(NOT(ISNUMBER(F126)),"Wert fehlt; ",IF(F126&lt;=0,"Wert ist 0; ",""))&amp;IF(NOT(ISNUMBER(E126)),"Bestand fehlt; ",IF(E126&lt;0,"Bestand negativ; ",IF(E126=0,"Nullbestand; ","")))&amp;IF(D126="","Warengruppe fehlt; ","")&amp;IF(B126="","Bezeichnung fehlt; ","")&amp;IF(COUNTIFS($A$2:$A$5001,$A126,$C$2:$C$5001,C126)&gt;1,"Artikel doppelt im selben Lager; ",""))</f>
        <v/>
      </c>
      <c r="P126" s="47" t="n">
        <f aca="false">IF(OR($A126="",D126=""),0,IF(COUNTIF($D$2:D126,D126)=1,SUMIF($D$2:$D$5001,D126,$H$2:$H$5001)+ROW()/10000000,0))</f>
        <v>0</v>
      </c>
      <c r="Q126" s="47" t="n">
        <f aca="false">IF(OR($A126="",C126=""),0,IF(COUNTIF($C$2:C126,C126)=1,SUMIF($C$2:$C$5001,C126,$H$2:$H$5001)+ROW()/10000000,0))</f>
        <v>0</v>
      </c>
    </row>
    <row r="127" customFormat="false" ht="15" hidden="false" customHeight="false" outlineLevel="0" collapsed="false">
      <c r="A127" s="43"/>
      <c r="B127" s="44"/>
      <c r="C127" s="44"/>
      <c r="D127" s="44"/>
      <c r="E127" s="44"/>
      <c r="F127" s="44"/>
      <c r="G127" s="44"/>
      <c r="H127" s="46" t="str">
        <f aca="false">IF($A127="","",IF(OR(NOT(ISNUMBER(E127)),NOT(ISNUMBER(F127))),"",MAX(0,E127)*F127))</f>
        <v/>
      </c>
      <c r="I127" s="46" t="str">
        <f aca="false">IF($A127="","",SUMIF($A$2:$A$5001,$A127,$H$2:$H$5001))</f>
        <v/>
      </c>
      <c r="J127" s="47" t="n">
        <f aca="false">IF($A127="",0,IF(COUNTIF($A$2:A127,$A127)=1,1,0))</f>
        <v>0</v>
      </c>
      <c r="K127" s="47" t="n">
        <f aca="false">IF(J127=1,N(I127)+ROW()/10000000,0)</f>
        <v>0</v>
      </c>
      <c r="L127" s="47" t="str">
        <f aca="false">IF(AND(J127=1,N(I127)&gt;0),SUMIF($K$2:$K$5001,"&gt;="&amp;K127,$I$2:$I$5001)/MAX(1,SUM($H$2:$H$5001)),"")</f>
        <v/>
      </c>
      <c r="M127" s="47" t="str">
        <f aca="false">IF($A127="","",INDEX($L$2:$L$5001,MATCH($A127,$A$2:$A$5001,0)))</f>
        <v/>
      </c>
      <c r="N127" s="48" t="str">
        <f aca="false">IF($A127="","",IF(N(M127)=0,"–",IF(M127&lt;=Start!$D$20,"A",IF(M127&lt;=Start!$D$21,"B","C"))))</f>
        <v/>
      </c>
      <c r="O127" s="48" t="str">
        <f aca="false">IF($A127="","",IF(NOT(ISNUMBER(F127)),"Wert fehlt; ",IF(F127&lt;=0,"Wert ist 0; ",""))&amp;IF(NOT(ISNUMBER(E127)),"Bestand fehlt; ",IF(E127&lt;0,"Bestand negativ; ",IF(E127=0,"Nullbestand; ","")))&amp;IF(D127="","Warengruppe fehlt; ","")&amp;IF(B127="","Bezeichnung fehlt; ","")&amp;IF(COUNTIFS($A$2:$A$5001,$A127,$C$2:$C$5001,C127)&gt;1,"Artikel doppelt im selben Lager; ",""))</f>
        <v/>
      </c>
      <c r="P127" s="47" t="n">
        <f aca="false">IF(OR($A127="",D127=""),0,IF(COUNTIF($D$2:D127,D127)=1,SUMIF($D$2:$D$5001,D127,$H$2:$H$5001)+ROW()/10000000,0))</f>
        <v>0</v>
      </c>
      <c r="Q127" s="47" t="n">
        <f aca="false">IF(OR($A127="",C127=""),0,IF(COUNTIF($C$2:C127,C127)=1,SUMIF($C$2:$C$5001,C127,$H$2:$H$5001)+ROW()/10000000,0))</f>
        <v>0</v>
      </c>
    </row>
    <row r="128" customFormat="false" ht="15" hidden="false" customHeight="false" outlineLevel="0" collapsed="false">
      <c r="A128" s="43"/>
      <c r="B128" s="44"/>
      <c r="C128" s="44"/>
      <c r="D128" s="44"/>
      <c r="E128" s="44"/>
      <c r="F128" s="44"/>
      <c r="G128" s="44"/>
      <c r="H128" s="46" t="str">
        <f aca="false">IF($A128="","",IF(OR(NOT(ISNUMBER(E128)),NOT(ISNUMBER(F128))),"",MAX(0,E128)*F128))</f>
        <v/>
      </c>
      <c r="I128" s="46" t="str">
        <f aca="false">IF($A128="","",SUMIF($A$2:$A$5001,$A128,$H$2:$H$5001))</f>
        <v/>
      </c>
      <c r="J128" s="47" t="n">
        <f aca="false">IF($A128="",0,IF(COUNTIF($A$2:A128,$A128)=1,1,0))</f>
        <v>0</v>
      </c>
      <c r="K128" s="47" t="n">
        <f aca="false">IF(J128=1,N(I128)+ROW()/10000000,0)</f>
        <v>0</v>
      </c>
      <c r="L128" s="47" t="str">
        <f aca="false">IF(AND(J128=1,N(I128)&gt;0),SUMIF($K$2:$K$5001,"&gt;="&amp;K128,$I$2:$I$5001)/MAX(1,SUM($H$2:$H$5001)),"")</f>
        <v/>
      </c>
      <c r="M128" s="47" t="str">
        <f aca="false">IF($A128="","",INDEX($L$2:$L$5001,MATCH($A128,$A$2:$A$5001,0)))</f>
        <v/>
      </c>
      <c r="N128" s="48" t="str">
        <f aca="false">IF($A128="","",IF(N(M128)=0,"–",IF(M128&lt;=Start!$D$20,"A",IF(M128&lt;=Start!$D$21,"B","C"))))</f>
        <v/>
      </c>
      <c r="O128" s="48" t="str">
        <f aca="false">IF($A128="","",IF(NOT(ISNUMBER(F128)),"Wert fehlt; ",IF(F128&lt;=0,"Wert ist 0; ",""))&amp;IF(NOT(ISNUMBER(E128)),"Bestand fehlt; ",IF(E128&lt;0,"Bestand negativ; ",IF(E128=0,"Nullbestand; ","")))&amp;IF(D128="","Warengruppe fehlt; ","")&amp;IF(B128="","Bezeichnung fehlt; ","")&amp;IF(COUNTIFS($A$2:$A$5001,$A128,$C$2:$C$5001,C128)&gt;1,"Artikel doppelt im selben Lager; ",""))</f>
        <v/>
      </c>
      <c r="P128" s="47" t="n">
        <f aca="false">IF(OR($A128="",D128=""),0,IF(COUNTIF($D$2:D128,D128)=1,SUMIF($D$2:$D$5001,D128,$H$2:$H$5001)+ROW()/10000000,0))</f>
        <v>0</v>
      </c>
      <c r="Q128" s="47" t="n">
        <f aca="false">IF(OR($A128="",C128=""),0,IF(COUNTIF($C$2:C128,C128)=1,SUMIF($C$2:$C$5001,C128,$H$2:$H$5001)+ROW()/10000000,0))</f>
        <v>0</v>
      </c>
    </row>
    <row r="129" customFormat="false" ht="15" hidden="false" customHeight="false" outlineLevel="0" collapsed="false">
      <c r="A129" s="43"/>
      <c r="B129" s="44"/>
      <c r="C129" s="44"/>
      <c r="D129" s="44"/>
      <c r="E129" s="44"/>
      <c r="F129" s="44"/>
      <c r="G129" s="44"/>
      <c r="H129" s="46" t="str">
        <f aca="false">IF($A129="","",IF(OR(NOT(ISNUMBER(E129)),NOT(ISNUMBER(F129))),"",MAX(0,E129)*F129))</f>
        <v/>
      </c>
      <c r="I129" s="46" t="str">
        <f aca="false">IF($A129="","",SUMIF($A$2:$A$5001,$A129,$H$2:$H$5001))</f>
        <v/>
      </c>
      <c r="J129" s="47" t="n">
        <f aca="false">IF($A129="",0,IF(COUNTIF($A$2:A129,$A129)=1,1,0))</f>
        <v>0</v>
      </c>
      <c r="K129" s="47" t="n">
        <f aca="false">IF(J129=1,N(I129)+ROW()/10000000,0)</f>
        <v>0</v>
      </c>
      <c r="L129" s="47" t="str">
        <f aca="false">IF(AND(J129=1,N(I129)&gt;0),SUMIF($K$2:$K$5001,"&gt;="&amp;K129,$I$2:$I$5001)/MAX(1,SUM($H$2:$H$5001)),"")</f>
        <v/>
      </c>
      <c r="M129" s="47" t="str">
        <f aca="false">IF($A129="","",INDEX($L$2:$L$5001,MATCH($A129,$A$2:$A$5001,0)))</f>
        <v/>
      </c>
      <c r="N129" s="48" t="str">
        <f aca="false">IF($A129="","",IF(N(M129)=0,"–",IF(M129&lt;=Start!$D$20,"A",IF(M129&lt;=Start!$D$21,"B","C"))))</f>
        <v/>
      </c>
      <c r="O129" s="48" t="str">
        <f aca="false">IF($A129="","",IF(NOT(ISNUMBER(F129)),"Wert fehlt; ",IF(F129&lt;=0,"Wert ist 0; ",""))&amp;IF(NOT(ISNUMBER(E129)),"Bestand fehlt; ",IF(E129&lt;0,"Bestand negativ; ",IF(E129=0,"Nullbestand; ","")))&amp;IF(D129="","Warengruppe fehlt; ","")&amp;IF(B129="","Bezeichnung fehlt; ","")&amp;IF(COUNTIFS($A$2:$A$5001,$A129,$C$2:$C$5001,C129)&gt;1,"Artikel doppelt im selben Lager; ",""))</f>
        <v/>
      </c>
      <c r="P129" s="47" t="n">
        <f aca="false">IF(OR($A129="",D129=""),0,IF(COUNTIF($D$2:D129,D129)=1,SUMIF($D$2:$D$5001,D129,$H$2:$H$5001)+ROW()/10000000,0))</f>
        <v>0</v>
      </c>
      <c r="Q129" s="47" t="n">
        <f aca="false">IF(OR($A129="",C129=""),0,IF(COUNTIF($C$2:C129,C129)=1,SUMIF($C$2:$C$5001,C129,$H$2:$H$5001)+ROW()/10000000,0))</f>
        <v>0</v>
      </c>
    </row>
    <row r="130" customFormat="false" ht="15" hidden="false" customHeight="false" outlineLevel="0" collapsed="false">
      <c r="A130" s="43"/>
      <c r="B130" s="44"/>
      <c r="C130" s="44"/>
      <c r="D130" s="44"/>
      <c r="E130" s="44"/>
      <c r="F130" s="44"/>
      <c r="G130" s="44"/>
      <c r="H130" s="46" t="str">
        <f aca="false">IF($A130="","",IF(OR(NOT(ISNUMBER(E130)),NOT(ISNUMBER(F130))),"",MAX(0,E130)*F130))</f>
        <v/>
      </c>
      <c r="I130" s="46" t="str">
        <f aca="false">IF($A130="","",SUMIF($A$2:$A$5001,$A130,$H$2:$H$5001))</f>
        <v/>
      </c>
      <c r="J130" s="47" t="n">
        <f aca="false">IF($A130="",0,IF(COUNTIF($A$2:A130,$A130)=1,1,0))</f>
        <v>0</v>
      </c>
      <c r="K130" s="47" t="n">
        <f aca="false">IF(J130=1,N(I130)+ROW()/10000000,0)</f>
        <v>0</v>
      </c>
      <c r="L130" s="47" t="str">
        <f aca="false">IF(AND(J130=1,N(I130)&gt;0),SUMIF($K$2:$K$5001,"&gt;="&amp;K130,$I$2:$I$5001)/MAX(1,SUM($H$2:$H$5001)),"")</f>
        <v/>
      </c>
      <c r="M130" s="47" t="str">
        <f aca="false">IF($A130="","",INDEX($L$2:$L$5001,MATCH($A130,$A$2:$A$5001,0)))</f>
        <v/>
      </c>
      <c r="N130" s="48" t="str">
        <f aca="false">IF($A130="","",IF(N(M130)=0,"–",IF(M130&lt;=Start!$D$20,"A",IF(M130&lt;=Start!$D$21,"B","C"))))</f>
        <v/>
      </c>
      <c r="O130" s="48" t="str">
        <f aca="false">IF($A130="","",IF(NOT(ISNUMBER(F130)),"Wert fehlt; ",IF(F130&lt;=0,"Wert ist 0; ",""))&amp;IF(NOT(ISNUMBER(E130)),"Bestand fehlt; ",IF(E130&lt;0,"Bestand negativ; ",IF(E130=0,"Nullbestand; ","")))&amp;IF(D130="","Warengruppe fehlt; ","")&amp;IF(B130="","Bezeichnung fehlt; ","")&amp;IF(COUNTIFS($A$2:$A$5001,$A130,$C$2:$C$5001,C130)&gt;1,"Artikel doppelt im selben Lager; ",""))</f>
        <v/>
      </c>
      <c r="P130" s="47" t="n">
        <f aca="false">IF(OR($A130="",D130=""),0,IF(COUNTIF($D$2:D130,D130)=1,SUMIF($D$2:$D$5001,D130,$H$2:$H$5001)+ROW()/10000000,0))</f>
        <v>0</v>
      </c>
      <c r="Q130" s="47" t="n">
        <f aca="false">IF(OR($A130="",C130=""),0,IF(COUNTIF($C$2:C130,C130)=1,SUMIF($C$2:$C$5001,C130,$H$2:$H$5001)+ROW()/10000000,0))</f>
        <v>0</v>
      </c>
    </row>
    <row r="131" customFormat="false" ht="15" hidden="false" customHeight="false" outlineLevel="0" collapsed="false">
      <c r="A131" s="43"/>
      <c r="B131" s="44"/>
      <c r="C131" s="44"/>
      <c r="D131" s="44"/>
      <c r="E131" s="44"/>
      <c r="F131" s="44"/>
      <c r="G131" s="44"/>
      <c r="H131" s="46" t="str">
        <f aca="false">IF($A131="","",IF(OR(NOT(ISNUMBER(E131)),NOT(ISNUMBER(F131))),"",MAX(0,E131)*F131))</f>
        <v/>
      </c>
      <c r="I131" s="46" t="str">
        <f aca="false">IF($A131="","",SUMIF($A$2:$A$5001,$A131,$H$2:$H$5001))</f>
        <v/>
      </c>
      <c r="J131" s="47" t="n">
        <f aca="false">IF($A131="",0,IF(COUNTIF($A$2:A131,$A131)=1,1,0))</f>
        <v>0</v>
      </c>
      <c r="K131" s="47" t="n">
        <f aca="false">IF(J131=1,N(I131)+ROW()/10000000,0)</f>
        <v>0</v>
      </c>
      <c r="L131" s="47" t="str">
        <f aca="false">IF(AND(J131=1,N(I131)&gt;0),SUMIF($K$2:$K$5001,"&gt;="&amp;K131,$I$2:$I$5001)/MAX(1,SUM($H$2:$H$5001)),"")</f>
        <v/>
      </c>
      <c r="M131" s="47" t="str">
        <f aca="false">IF($A131="","",INDEX($L$2:$L$5001,MATCH($A131,$A$2:$A$5001,0)))</f>
        <v/>
      </c>
      <c r="N131" s="48" t="str">
        <f aca="false">IF($A131="","",IF(N(M131)=0,"–",IF(M131&lt;=Start!$D$20,"A",IF(M131&lt;=Start!$D$21,"B","C"))))</f>
        <v/>
      </c>
      <c r="O131" s="48" t="str">
        <f aca="false">IF($A131="","",IF(NOT(ISNUMBER(F131)),"Wert fehlt; ",IF(F131&lt;=0,"Wert ist 0; ",""))&amp;IF(NOT(ISNUMBER(E131)),"Bestand fehlt; ",IF(E131&lt;0,"Bestand negativ; ",IF(E131=0,"Nullbestand; ","")))&amp;IF(D131="","Warengruppe fehlt; ","")&amp;IF(B131="","Bezeichnung fehlt; ","")&amp;IF(COUNTIFS($A$2:$A$5001,$A131,$C$2:$C$5001,C131)&gt;1,"Artikel doppelt im selben Lager; ",""))</f>
        <v/>
      </c>
      <c r="P131" s="47" t="n">
        <f aca="false">IF(OR($A131="",D131=""),0,IF(COUNTIF($D$2:D131,D131)=1,SUMIF($D$2:$D$5001,D131,$H$2:$H$5001)+ROW()/10000000,0))</f>
        <v>0</v>
      </c>
      <c r="Q131" s="47" t="n">
        <f aca="false">IF(OR($A131="",C131=""),0,IF(COUNTIF($C$2:C131,C131)=1,SUMIF($C$2:$C$5001,C131,$H$2:$H$5001)+ROW()/10000000,0))</f>
        <v>0</v>
      </c>
    </row>
    <row r="132" customFormat="false" ht="15" hidden="false" customHeight="false" outlineLevel="0" collapsed="false">
      <c r="A132" s="43"/>
      <c r="B132" s="44"/>
      <c r="C132" s="44"/>
      <c r="D132" s="44"/>
      <c r="E132" s="44"/>
      <c r="F132" s="44"/>
      <c r="G132" s="44"/>
      <c r="H132" s="46" t="str">
        <f aca="false">IF($A132="","",IF(OR(NOT(ISNUMBER(E132)),NOT(ISNUMBER(F132))),"",MAX(0,E132)*F132))</f>
        <v/>
      </c>
      <c r="I132" s="46" t="str">
        <f aca="false">IF($A132="","",SUMIF($A$2:$A$5001,$A132,$H$2:$H$5001))</f>
        <v/>
      </c>
      <c r="J132" s="47" t="n">
        <f aca="false">IF($A132="",0,IF(COUNTIF($A$2:A132,$A132)=1,1,0))</f>
        <v>0</v>
      </c>
      <c r="K132" s="47" t="n">
        <f aca="false">IF(J132=1,N(I132)+ROW()/10000000,0)</f>
        <v>0</v>
      </c>
      <c r="L132" s="47" t="str">
        <f aca="false">IF(AND(J132=1,N(I132)&gt;0),SUMIF($K$2:$K$5001,"&gt;="&amp;K132,$I$2:$I$5001)/MAX(1,SUM($H$2:$H$5001)),"")</f>
        <v/>
      </c>
      <c r="M132" s="47" t="str">
        <f aca="false">IF($A132="","",INDEX($L$2:$L$5001,MATCH($A132,$A$2:$A$5001,0)))</f>
        <v/>
      </c>
      <c r="N132" s="48" t="str">
        <f aca="false">IF($A132="","",IF(N(M132)=0,"–",IF(M132&lt;=Start!$D$20,"A",IF(M132&lt;=Start!$D$21,"B","C"))))</f>
        <v/>
      </c>
      <c r="O132" s="48" t="str">
        <f aca="false">IF($A132="","",IF(NOT(ISNUMBER(F132)),"Wert fehlt; ",IF(F132&lt;=0,"Wert ist 0; ",""))&amp;IF(NOT(ISNUMBER(E132)),"Bestand fehlt; ",IF(E132&lt;0,"Bestand negativ; ",IF(E132=0,"Nullbestand; ","")))&amp;IF(D132="","Warengruppe fehlt; ","")&amp;IF(B132="","Bezeichnung fehlt; ","")&amp;IF(COUNTIFS($A$2:$A$5001,$A132,$C$2:$C$5001,C132)&gt;1,"Artikel doppelt im selben Lager; ",""))</f>
        <v/>
      </c>
      <c r="P132" s="47" t="n">
        <f aca="false">IF(OR($A132="",D132=""),0,IF(COUNTIF($D$2:D132,D132)=1,SUMIF($D$2:$D$5001,D132,$H$2:$H$5001)+ROW()/10000000,0))</f>
        <v>0</v>
      </c>
      <c r="Q132" s="47" t="n">
        <f aca="false">IF(OR($A132="",C132=""),0,IF(COUNTIF($C$2:C132,C132)=1,SUMIF($C$2:$C$5001,C132,$H$2:$H$5001)+ROW()/10000000,0))</f>
        <v>0</v>
      </c>
    </row>
    <row r="133" customFormat="false" ht="15" hidden="false" customHeight="false" outlineLevel="0" collapsed="false">
      <c r="A133" s="43"/>
      <c r="B133" s="44"/>
      <c r="C133" s="44"/>
      <c r="D133" s="44"/>
      <c r="E133" s="44"/>
      <c r="F133" s="44"/>
      <c r="G133" s="44"/>
      <c r="H133" s="46" t="str">
        <f aca="false">IF($A133="","",IF(OR(NOT(ISNUMBER(E133)),NOT(ISNUMBER(F133))),"",MAX(0,E133)*F133))</f>
        <v/>
      </c>
      <c r="I133" s="46" t="str">
        <f aca="false">IF($A133="","",SUMIF($A$2:$A$5001,$A133,$H$2:$H$5001))</f>
        <v/>
      </c>
      <c r="J133" s="47" t="n">
        <f aca="false">IF($A133="",0,IF(COUNTIF($A$2:A133,$A133)=1,1,0))</f>
        <v>0</v>
      </c>
      <c r="K133" s="47" t="n">
        <f aca="false">IF(J133=1,N(I133)+ROW()/10000000,0)</f>
        <v>0</v>
      </c>
      <c r="L133" s="47" t="str">
        <f aca="false">IF(AND(J133=1,N(I133)&gt;0),SUMIF($K$2:$K$5001,"&gt;="&amp;K133,$I$2:$I$5001)/MAX(1,SUM($H$2:$H$5001)),"")</f>
        <v/>
      </c>
      <c r="M133" s="47" t="str">
        <f aca="false">IF($A133="","",INDEX($L$2:$L$5001,MATCH($A133,$A$2:$A$5001,0)))</f>
        <v/>
      </c>
      <c r="N133" s="48" t="str">
        <f aca="false">IF($A133="","",IF(N(M133)=0,"–",IF(M133&lt;=Start!$D$20,"A",IF(M133&lt;=Start!$D$21,"B","C"))))</f>
        <v/>
      </c>
      <c r="O133" s="48" t="str">
        <f aca="false">IF($A133="","",IF(NOT(ISNUMBER(F133)),"Wert fehlt; ",IF(F133&lt;=0,"Wert ist 0; ",""))&amp;IF(NOT(ISNUMBER(E133)),"Bestand fehlt; ",IF(E133&lt;0,"Bestand negativ; ",IF(E133=0,"Nullbestand; ","")))&amp;IF(D133="","Warengruppe fehlt; ","")&amp;IF(B133="","Bezeichnung fehlt; ","")&amp;IF(COUNTIFS($A$2:$A$5001,$A133,$C$2:$C$5001,C133)&gt;1,"Artikel doppelt im selben Lager; ",""))</f>
        <v/>
      </c>
      <c r="P133" s="47" t="n">
        <f aca="false">IF(OR($A133="",D133=""),0,IF(COUNTIF($D$2:D133,D133)=1,SUMIF($D$2:$D$5001,D133,$H$2:$H$5001)+ROW()/10000000,0))</f>
        <v>0</v>
      </c>
      <c r="Q133" s="47" t="n">
        <f aca="false">IF(OR($A133="",C133=""),0,IF(COUNTIF($C$2:C133,C133)=1,SUMIF($C$2:$C$5001,C133,$H$2:$H$5001)+ROW()/10000000,0))</f>
        <v>0</v>
      </c>
    </row>
    <row r="134" customFormat="false" ht="15" hidden="false" customHeight="false" outlineLevel="0" collapsed="false">
      <c r="A134" s="43"/>
      <c r="B134" s="44"/>
      <c r="C134" s="44"/>
      <c r="D134" s="44"/>
      <c r="E134" s="44"/>
      <c r="F134" s="44"/>
      <c r="G134" s="44"/>
      <c r="H134" s="46" t="str">
        <f aca="false">IF($A134="","",IF(OR(NOT(ISNUMBER(E134)),NOT(ISNUMBER(F134))),"",MAX(0,E134)*F134))</f>
        <v/>
      </c>
      <c r="I134" s="46" t="str">
        <f aca="false">IF($A134="","",SUMIF($A$2:$A$5001,$A134,$H$2:$H$5001))</f>
        <v/>
      </c>
      <c r="J134" s="47" t="n">
        <f aca="false">IF($A134="",0,IF(COUNTIF($A$2:A134,$A134)=1,1,0))</f>
        <v>0</v>
      </c>
      <c r="K134" s="47" t="n">
        <f aca="false">IF(J134=1,N(I134)+ROW()/10000000,0)</f>
        <v>0</v>
      </c>
      <c r="L134" s="47" t="str">
        <f aca="false">IF(AND(J134=1,N(I134)&gt;0),SUMIF($K$2:$K$5001,"&gt;="&amp;K134,$I$2:$I$5001)/MAX(1,SUM($H$2:$H$5001)),"")</f>
        <v/>
      </c>
      <c r="M134" s="47" t="str">
        <f aca="false">IF($A134="","",INDEX($L$2:$L$5001,MATCH($A134,$A$2:$A$5001,0)))</f>
        <v/>
      </c>
      <c r="N134" s="48" t="str">
        <f aca="false">IF($A134="","",IF(N(M134)=0,"–",IF(M134&lt;=Start!$D$20,"A",IF(M134&lt;=Start!$D$21,"B","C"))))</f>
        <v/>
      </c>
      <c r="O134" s="48" t="str">
        <f aca="false">IF($A134="","",IF(NOT(ISNUMBER(F134)),"Wert fehlt; ",IF(F134&lt;=0,"Wert ist 0; ",""))&amp;IF(NOT(ISNUMBER(E134)),"Bestand fehlt; ",IF(E134&lt;0,"Bestand negativ; ",IF(E134=0,"Nullbestand; ","")))&amp;IF(D134="","Warengruppe fehlt; ","")&amp;IF(B134="","Bezeichnung fehlt; ","")&amp;IF(COUNTIFS($A$2:$A$5001,$A134,$C$2:$C$5001,C134)&gt;1,"Artikel doppelt im selben Lager; ",""))</f>
        <v/>
      </c>
      <c r="P134" s="47" t="n">
        <f aca="false">IF(OR($A134="",D134=""),0,IF(COUNTIF($D$2:D134,D134)=1,SUMIF($D$2:$D$5001,D134,$H$2:$H$5001)+ROW()/10000000,0))</f>
        <v>0</v>
      </c>
      <c r="Q134" s="47" t="n">
        <f aca="false">IF(OR($A134="",C134=""),0,IF(COUNTIF($C$2:C134,C134)=1,SUMIF($C$2:$C$5001,C134,$H$2:$H$5001)+ROW()/10000000,0))</f>
        <v>0</v>
      </c>
    </row>
    <row r="135" customFormat="false" ht="15" hidden="false" customHeight="false" outlineLevel="0" collapsed="false">
      <c r="A135" s="43"/>
      <c r="B135" s="44"/>
      <c r="C135" s="44"/>
      <c r="D135" s="44"/>
      <c r="E135" s="44"/>
      <c r="F135" s="44"/>
      <c r="G135" s="44"/>
      <c r="H135" s="46" t="str">
        <f aca="false">IF($A135="","",IF(OR(NOT(ISNUMBER(E135)),NOT(ISNUMBER(F135))),"",MAX(0,E135)*F135))</f>
        <v/>
      </c>
      <c r="I135" s="46" t="str">
        <f aca="false">IF($A135="","",SUMIF($A$2:$A$5001,$A135,$H$2:$H$5001))</f>
        <v/>
      </c>
      <c r="J135" s="47" t="n">
        <f aca="false">IF($A135="",0,IF(COUNTIF($A$2:A135,$A135)=1,1,0))</f>
        <v>0</v>
      </c>
      <c r="K135" s="47" t="n">
        <f aca="false">IF(J135=1,N(I135)+ROW()/10000000,0)</f>
        <v>0</v>
      </c>
      <c r="L135" s="47" t="str">
        <f aca="false">IF(AND(J135=1,N(I135)&gt;0),SUMIF($K$2:$K$5001,"&gt;="&amp;K135,$I$2:$I$5001)/MAX(1,SUM($H$2:$H$5001)),"")</f>
        <v/>
      </c>
      <c r="M135" s="47" t="str">
        <f aca="false">IF($A135="","",INDEX($L$2:$L$5001,MATCH($A135,$A$2:$A$5001,0)))</f>
        <v/>
      </c>
      <c r="N135" s="48" t="str">
        <f aca="false">IF($A135="","",IF(N(M135)=0,"–",IF(M135&lt;=Start!$D$20,"A",IF(M135&lt;=Start!$D$21,"B","C"))))</f>
        <v/>
      </c>
      <c r="O135" s="48" t="str">
        <f aca="false">IF($A135="","",IF(NOT(ISNUMBER(F135)),"Wert fehlt; ",IF(F135&lt;=0,"Wert ist 0; ",""))&amp;IF(NOT(ISNUMBER(E135)),"Bestand fehlt; ",IF(E135&lt;0,"Bestand negativ; ",IF(E135=0,"Nullbestand; ","")))&amp;IF(D135="","Warengruppe fehlt; ","")&amp;IF(B135="","Bezeichnung fehlt; ","")&amp;IF(COUNTIFS($A$2:$A$5001,$A135,$C$2:$C$5001,C135)&gt;1,"Artikel doppelt im selben Lager; ",""))</f>
        <v/>
      </c>
      <c r="P135" s="47" t="n">
        <f aca="false">IF(OR($A135="",D135=""),0,IF(COUNTIF($D$2:D135,D135)=1,SUMIF($D$2:$D$5001,D135,$H$2:$H$5001)+ROW()/10000000,0))</f>
        <v>0</v>
      </c>
      <c r="Q135" s="47" t="n">
        <f aca="false">IF(OR($A135="",C135=""),0,IF(COUNTIF($C$2:C135,C135)=1,SUMIF($C$2:$C$5001,C135,$H$2:$H$5001)+ROW()/10000000,0))</f>
        <v>0</v>
      </c>
    </row>
    <row r="136" customFormat="false" ht="15" hidden="false" customHeight="false" outlineLevel="0" collapsed="false">
      <c r="A136" s="43"/>
      <c r="B136" s="44"/>
      <c r="C136" s="44"/>
      <c r="D136" s="44"/>
      <c r="E136" s="44"/>
      <c r="F136" s="44"/>
      <c r="G136" s="44"/>
      <c r="H136" s="46" t="str">
        <f aca="false">IF($A136="","",IF(OR(NOT(ISNUMBER(E136)),NOT(ISNUMBER(F136))),"",MAX(0,E136)*F136))</f>
        <v/>
      </c>
      <c r="I136" s="46" t="str">
        <f aca="false">IF($A136="","",SUMIF($A$2:$A$5001,$A136,$H$2:$H$5001))</f>
        <v/>
      </c>
      <c r="J136" s="47" t="n">
        <f aca="false">IF($A136="",0,IF(COUNTIF($A$2:A136,$A136)=1,1,0))</f>
        <v>0</v>
      </c>
      <c r="K136" s="47" t="n">
        <f aca="false">IF(J136=1,N(I136)+ROW()/10000000,0)</f>
        <v>0</v>
      </c>
      <c r="L136" s="47" t="str">
        <f aca="false">IF(AND(J136=1,N(I136)&gt;0),SUMIF($K$2:$K$5001,"&gt;="&amp;K136,$I$2:$I$5001)/MAX(1,SUM($H$2:$H$5001)),"")</f>
        <v/>
      </c>
      <c r="M136" s="47" t="str">
        <f aca="false">IF($A136="","",INDEX($L$2:$L$5001,MATCH($A136,$A$2:$A$5001,0)))</f>
        <v/>
      </c>
      <c r="N136" s="48" t="str">
        <f aca="false">IF($A136="","",IF(N(M136)=0,"–",IF(M136&lt;=Start!$D$20,"A",IF(M136&lt;=Start!$D$21,"B","C"))))</f>
        <v/>
      </c>
      <c r="O136" s="48" t="str">
        <f aca="false">IF($A136="","",IF(NOT(ISNUMBER(F136)),"Wert fehlt; ",IF(F136&lt;=0,"Wert ist 0; ",""))&amp;IF(NOT(ISNUMBER(E136)),"Bestand fehlt; ",IF(E136&lt;0,"Bestand negativ; ",IF(E136=0,"Nullbestand; ","")))&amp;IF(D136="","Warengruppe fehlt; ","")&amp;IF(B136="","Bezeichnung fehlt; ","")&amp;IF(COUNTIFS($A$2:$A$5001,$A136,$C$2:$C$5001,C136)&gt;1,"Artikel doppelt im selben Lager; ",""))</f>
        <v/>
      </c>
      <c r="P136" s="47" t="n">
        <f aca="false">IF(OR($A136="",D136=""),0,IF(COUNTIF($D$2:D136,D136)=1,SUMIF($D$2:$D$5001,D136,$H$2:$H$5001)+ROW()/10000000,0))</f>
        <v>0</v>
      </c>
      <c r="Q136" s="47" t="n">
        <f aca="false">IF(OR($A136="",C136=""),0,IF(COUNTIF($C$2:C136,C136)=1,SUMIF($C$2:$C$5001,C136,$H$2:$H$5001)+ROW()/10000000,0))</f>
        <v>0</v>
      </c>
    </row>
    <row r="137" customFormat="false" ht="15" hidden="false" customHeight="false" outlineLevel="0" collapsed="false">
      <c r="A137" s="43"/>
      <c r="B137" s="44"/>
      <c r="C137" s="44"/>
      <c r="D137" s="44"/>
      <c r="E137" s="44"/>
      <c r="F137" s="44"/>
      <c r="G137" s="44"/>
      <c r="H137" s="46" t="str">
        <f aca="false">IF($A137="","",IF(OR(NOT(ISNUMBER(E137)),NOT(ISNUMBER(F137))),"",MAX(0,E137)*F137))</f>
        <v/>
      </c>
      <c r="I137" s="46" t="str">
        <f aca="false">IF($A137="","",SUMIF($A$2:$A$5001,$A137,$H$2:$H$5001))</f>
        <v/>
      </c>
      <c r="J137" s="47" t="n">
        <f aca="false">IF($A137="",0,IF(COUNTIF($A$2:A137,$A137)=1,1,0))</f>
        <v>0</v>
      </c>
      <c r="K137" s="47" t="n">
        <f aca="false">IF(J137=1,N(I137)+ROW()/10000000,0)</f>
        <v>0</v>
      </c>
      <c r="L137" s="47" t="str">
        <f aca="false">IF(AND(J137=1,N(I137)&gt;0),SUMIF($K$2:$K$5001,"&gt;="&amp;K137,$I$2:$I$5001)/MAX(1,SUM($H$2:$H$5001)),"")</f>
        <v/>
      </c>
      <c r="M137" s="47" t="str">
        <f aca="false">IF($A137="","",INDEX($L$2:$L$5001,MATCH($A137,$A$2:$A$5001,0)))</f>
        <v/>
      </c>
      <c r="N137" s="48" t="str">
        <f aca="false">IF($A137="","",IF(N(M137)=0,"–",IF(M137&lt;=Start!$D$20,"A",IF(M137&lt;=Start!$D$21,"B","C"))))</f>
        <v/>
      </c>
      <c r="O137" s="48" t="str">
        <f aca="false">IF($A137="","",IF(NOT(ISNUMBER(F137)),"Wert fehlt; ",IF(F137&lt;=0,"Wert ist 0; ",""))&amp;IF(NOT(ISNUMBER(E137)),"Bestand fehlt; ",IF(E137&lt;0,"Bestand negativ; ",IF(E137=0,"Nullbestand; ","")))&amp;IF(D137="","Warengruppe fehlt; ","")&amp;IF(B137="","Bezeichnung fehlt; ","")&amp;IF(COUNTIFS($A$2:$A$5001,$A137,$C$2:$C$5001,C137)&gt;1,"Artikel doppelt im selben Lager; ",""))</f>
        <v/>
      </c>
      <c r="P137" s="47" t="n">
        <f aca="false">IF(OR($A137="",D137=""),0,IF(COUNTIF($D$2:D137,D137)=1,SUMIF($D$2:$D$5001,D137,$H$2:$H$5001)+ROW()/10000000,0))</f>
        <v>0</v>
      </c>
      <c r="Q137" s="47" t="n">
        <f aca="false">IF(OR($A137="",C137=""),0,IF(COUNTIF($C$2:C137,C137)=1,SUMIF($C$2:$C$5001,C137,$H$2:$H$5001)+ROW()/10000000,0))</f>
        <v>0</v>
      </c>
    </row>
    <row r="138" customFormat="false" ht="15" hidden="false" customHeight="false" outlineLevel="0" collapsed="false">
      <c r="A138" s="43"/>
      <c r="B138" s="44"/>
      <c r="C138" s="44"/>
      <c r="D138" s="44"/>
      <c r="E138" s="44"/>
      <c r="F138" s="44"/>
      <c r="G138" s="44"/>
      <c r="H138" s="46" t="str">
        <f aca="false">IF($A138="","",IF(OR(NOT(ISNUMBER(E138)),NOT(ISNUMBER(F138))),"",MAX(0,E138)*F138))</f>
        <v/>
      </c>
      <c r="I138" s="46" t="str">
        <f aca="false">IF($A138="","",SUMIF($A$2:$A$5001,$A138,$H$2:$H$5001))</f>
        <v/>
      </c>
      <c r="J138" s="47" t="n">
        <f aca="false">IF($A138="",0,IF(COUNTIF($A$2:A138,$A138)=1,1,0))</f>
        <v>0</v>
      </c>
      <c r="K138" s="47" t="n">
        <f aca="false">IF(J138=1,N(I138)+ROW()/10000000,0)</f>
        <v>0</v>
      </c>
      <c r="L138" s="47" t="str">
        <f aca="false">IF(AND(J138=1,N(I138)&gt;0),SUMIF($K$2:$K$5001,"&gt;="&amp;K138,$I$2:$I$5001)/MAX(1,SUM($H$2:$H$5001)),"")</f>
        <v/>
      </c>
      <c r="M138" s="47" t="str">
        <f aca="false">IF($A138="","",INDEX($L$2:$L$5001,MATCH($A138,$A$2:$A$5001,0)))</f>
        <v/>
      </c>
      <c r="N138" s="48" t="str">
        <f aca="false">IF($A138="","",IF(N(M138)=0,"–",IF(M138&lt;=Start!$D$20,"A",IF(M138&lt;=Start!$D$21,"B","C"))))</f>
        <v/>
      </c>
      <c r="O138" s="48" t="str">
        <f aca="false">IF($A138="","",IF(NOT(ISNUMBER(F138)),"Wert fehlt; ",IF(F138&lt;=0,"Wert ist 0; ",""))&amp;IF(NOT(ISNUMBER(E138)),"Bestand fehlt; ",IF(E138&lt;0,"Bestand negativ; ",IF(E138=0,"Nullbestand; ","")))&amp;IF(D138="","Warengruppe fehlt; ","")&amp;IF(B138="","Bezeichnung fehlt; ","")&amp;IF(COUNTIFS($A$2:$A$5001,$A138,$C$2:$C$5001,C138)&gt;1,"Artikel doppelt im selben Lager; ",""))</f>
        <v/>
      </c>
      <c r="P138" s="47" t="n">
        <f aca="false">IF(OR($A138="",D138=""),0,IF(COUNTIF($D$2:D138,D138)=1,SUMIF($D$2:$D$5001,D138,$H$2:$H$5001)+ROW()/10000000,0))</f>
        <v>0</v>
      </c>
      <c r="Q138" s="47" t="n">
        <f aca="false">IF(OR($A138="",C138=""),0,IF(COUNTIF($C$2:C138,C138)=1,SUMIF($C$2:$C$5001,C138,$H$2:$H$5001)+ROW()/10000000,0))</f>
        <v>0</v>
      </c>
    </row>
    <row r="139" customFormat="false" ht="15" hidden="false" customHeight="false" outlineLevel="0" collapsed="false">
      <c r="A139" s="43"/>
      <c r="B139" s="44"/>
      <c r="C139" s="44"/>
      <c r="D139" s="44"/>
      <c r="E139" s="44"/>
      <c r="F139" s="44"/>
      <c r="G139" s="44"/>
      <c r="H139" s="46" t="str">
        <f aca="false">IF($A139="","",IF(OR(NOT(ISNUMBER(E139)),NOT(ISNUMBER(F139))),"",MAX(0,E139)*F139))</f>
        <v/>
      </c>
      <c r="I139" s="46" t="str">
        <f aca="false">IF($A139="","",SUMIF($A$2:$A$5001,$A139,$H$2:$H$5001))</f>
        <v/>
      </c>
      <c r="J139" s="47" t="n">
        <f aca="false">IF($A139="",0,IF(COUNTIF($A$2:A139,$A139)=1,1,0))</f>
        <v>0</v>
      </c>
      <c r="K139" s="47" t="n">
        <f aca="false">IF(J139=1,N(I139)+ROW()/10000000,0)</f>
        <v>0</v>
      </c>
      <c r="L139" s="47" t="str">
        <f aca="false">IF(AND(J139=1,N(I139)&gt;0),SUMIF($K$2:$K$5001,"&gt;="&amp;K139,$I$2:$I$5001)/MAX(1,SUM($H$2:$H$5001)),"")</f>
        <v/>
      </c>
      <c r="M139" s="47" t="str">
        <f aca="false">IF($A139="","",INDEX($L$2:$L$5001,MATCH($A139,$A$2:$A$5001,0)))</f>
        <v/>
      </c>
      <c r="N139" s="48" t="str">
        <f aca="false">IF($A139="","",IF(N(M139)=0,"–",IF(M139&lt;=Start!$D$20,"A",IF(M139&lt;=Start!$D$21,"B","C"))))</f>
        <v/>
      </c>
      <c r="O139" s="48" t="str">
        <f aca="false">IF($A139="","",IF(NOT(ISNUMBER(F139)),"Wert fehlt; ",IF(F139&lt;=0,"Wert ist 0; ",""))&amp;IF(NOT(ISNUMBER(E139)),"Bestand fehlt; ",IF(E139&lt;0,"Bestand negativ; ",IF(E139=0,"Nullbestand; ","")))&amp;IF(D139="","Warengruppe fehlt; ","")&amp;IF(B139="","Bezeichnung fehlt; ","")&amp;IF(COUNTIFS($A$2:$A$5001,$A139,$C$2:$C$5001,C139)&gt;1,"Artikel doppelt im selben Lager; ",""))</f>
        <v/>
      </c>
      <c r="P139" s="47" t="n">
        <f aca="false">IF(OR($A139="",D139=""),0,IF(COUNTIF($D$2:D139,D139)=1,SUMIF($D$2:$D$5001,D139,$H$2:$H$5001)+ROW()/10000000,0))</f>
        <v>0</v>
      </c>
      <c r="Q139" s="47" t="n">
        <f aca="false">IF(OR($A139="",C139=""),0,IF(COUNTIF($C$2:C139,C139)=1,SUMIF($C$2:$C$5001,C139,$H$2:$H$5001)+ROW()/10000000,0))</f>
        <v>0</v>
      </c>
    </row>
    <row r="140" customFormat="false" ht="15" hidden="false" customHeight="false" outlineLevel="0" collapsed="false">
      <c r="A140" s="43"/>
      <c r="B140" s="44"/>
      <c r="C140" s="44"/>
      <c r="D140" s="44"/>
      <c r="E140" s="44"/>
      <c r="F140" s="44"/>
      <c r="G140" s="44"/>
      <c r="H140" s="46" t="str">
        <f aca="false">IF($A140="","",IF(OR(NOT(ISNUMBER(E140)),NOT(ISNUMBER(F140))),"",MAX(0,E140)*F140))</f>
        <v/>
      </c>
      <c r="I140" s="46" t="str">
        <f aca="false">IF($A140="","",SUMIF($A$2:$A$5001,$A140,$H$2:$H$5001))</f>
        <v/>
      </c>
      <c r="J140" s="47" t="n">
        <f aca="false">IF($A140="",0,IF(COUNTIF($A$2:A140,$A140)=1,1,0))</f>
        <v>0</v>
      </c>
      <c r="K140" s="47" t="n">
        <f aca="false">IF(J140=1,N(I140)+ROW()/10000000,0)</f>
        <v>0</v>
      </c>
      <c r="L140" s="47" t="str">
        <f aca="false">IF(AND(J140=1,N(I140)&gt;0),SUMIF($K$2:$K$5001,"&gt;="&amp;K140,$I$2:$I$5001)/MAX(1,SUM($H$2:$H$5001)),"")</f>
        <v/>
      </c>
      <c r="M140" s="47" t="str">
        <f aca="false">IF($A140="","",INDEX($L$2:$L$5001,MATCH($A140,$A$2:$A$5001,0)))</f>
        <v/>
      </c>
      <c r="N140" s="48" t="str">
        <f aca="false">IF($A140="","",IF(N(M140)=0,"–",IF(M140&lt;=Start!$D$20,"A",IF(M140&lt;=Start!$D$21,"B","C"))))</f>
        <v/>
      </c>
      <c r="O140" s="48" t="str">
        <f aca="false">IF($A140="","",IF(NOT(ISNUMBER(F140)),"Wert fehlt; ",IF(F140&lt;=0,"Wert ist 0; ",""))&amp;IF(NOT(ISNUMBER(E140)),"Bestand fehlt; ",IF(E140&lt;0,"Bestand negativ; ",IF(E140=0,"Nullbestand; ","")))&amp;IF(D140="","Warengruppe fehlt; ","")&amp;IF(B140="","Bezeichnung fehlt; ","")&amp;IF(COUNTIFS($A$2:$A$5001,$A140,$C$2:$C$5001,C140)&gt;1,"Artikel doppelt im selben Lager; ",""))</f>
        <v/>
      </c>
      <c r="P140" s="47" t="n">
        <f aca="false">IF(OR($A140="",D140=""),0,IF(COUNTIF($D$2:D140,D140)=1,SUMIF($D$2:$D$5001,D140,$H$2:$H$5001)+ROW()/10000000,0))</f>
        <v>0</v>
      </c>
      <c r="Q140" s="47" t="n">
        <f aca="false">IF(OR($A140="",C140=""),0,IF(COUNTIF($C$2:C140,C140)=1,SUMIF($C$2:$C$5001,C140,$H$2:$H$5001)+ROW()/10000000,0))</f>
        <v>0</v>
      </c>
    </row>
    <row r="141" customFormat="false" ht="15" hidden="false" customHeight="false" outlineLevel="0" collapsed="false">
      <c r="A141" s="43"/>
      <c r="B141" s="44"/>
      <c r="C141" s="44"/>
      <c r="D141" s="44"/>
      <c r="E141" s="44"/>
      <c r="F141" s="44"/>
      <c r="G141" s="44"/>
      <c r="H141" s="46" t="str">
        <f aca="false">IF($A141="","",IF(OR(NOT(ISNUMBER(E141)),NOT(ISNUMBER(F141))),"",MAX(0,E141)*F141))</f>
        <v/>
      </c>
      <c r="I141" s="46" t="str">
        <f aca="false">IF($A141="","",SUMIF($A$2:$A$5001,$A141,$H$2:$H$5001))</f>
        <v/>
      </c>
      <c r="J141" s="47" t="n">
        <f aca="false">IF($A141="",0,IF(COUNTIF($A$2:A141,$A141)=1,1,0))</f>
        <v>0</v>
      </c>
      <c r="K141" s="47" t="n">
        <f aca="false">IF(J141=1,N(I141)+ROW()/10000000,0)</f>
        <v>0</v>
      </c>
      <c r="L141" s="47" t="str">
        <f aca="false">IF(AND(J141=1,N(I141)&gt;0),SUMIF($K$2:$K$5001,"&gt;="&amp;K141,$I$2:$I$5001)/MAX(1,SUM($H$2:$H$5001)),"")</f>
        <v/>
      </c>
      <c r="M141" s="47" t="str">
        <f aca="false">IF($A141="","",INDEX($L$2:$L$5001,MATCH($A141,$A$2:$A$5001,0)))</f>
        <v/>
      </c>
      <c r="N141" s="48" t="str">
        <f aca="false">IF($A141="","",IF(N(M141)=0,"–",IF(M141&lt;=Start!$D$20,"A",IF(M141&lt;=Start!$D$21,"B","C"))))</f>
        <v/>
      </c>
      <c r="O141" s="48" t="str">
        <f aca="false">IF($A141="","",IF(NOT(ISNUMBER(F141)),"Wert fehlt; ",IF(F141&lt;=0,"Wert ist 0; ",""))&amp;IF(NOT(ISNUMBER(E141)),"Bestand fehlt; ",IF(E141&lt;0,"Bestand negativ; ",IF(E141=0,"Nullbestand; ","")))&amp;IF(D141="","Warengruppe fehlt; ","")&amp;IF(B141="","Bezeichnung fehlt; ","")&amp;IF(COUNTIFS($A$2:$A$5001,$A141,$C$2:$C$5001,C141)&gt;1,"Artikel doppelt im selben Lager; ",""))</f>
        <v/>
      </c>
      <c r="P141" s="47" t="n">
        <f aca="false">IF(OR($A141="",D141=""),0,IF(COUNTIF($D$2:D141,D141)=1,SUMIF($D$2:$D$5001,D141,$H$2:$H$5001)+ROW()/10000000,0))</f>
        <v>0</v>
      </c>
      <c r="Q141" s="47" t="n">
        <f aca="false">IF(OR($A141="",C141=""),0,IF(COUNTIF($C$2:C141,C141)=1,SUMIF($C$2:$C$5001,C141,$H$2:$H$5001)+ROW()/10000000,0))</f>
        <v>0</v>
      </c>
    </row>
    <row r="142" customFormat="false" ht="15" hidden="false" customHeight="false" outlineLevel="0" collapsed="false">
      <c r="A142" s="43"/>
      <c r="B142" s="44"/>
      <c r="C142" s="44"/>
      <c r="D142" s="44"/>
      <c r="E142" s="44"/>
      <c r="F142" s="44"/>
      <c r="G142" s="44"/>
      <c r="H142" s="46" t="str">
        <f aca="false">IF($A142="","",IF(OR(NOT(ISNUMBER(E142)),NOT(ISNUMBER(F142))),"",MAX(0,E142)*F142))</f>
        <v/>
      </c>
      <c r="I142" s="46" t="str">
        <f aca="false">IF($A142="","",SUMIF($A$2:$A$5001,$A142,$H$2:$H$5001))</f>
        <v/>
      </c>
      <c r="J142" s="47" t="n">
        <f aca="false">IF($A142="",0,IF(COUNTIF($A$2:A142,$A142)=1,1,0))</f>
        <v>0</v>
      </c>
      <c r="K142" s="47" t="n">
        <f aca="false">IF(J142=1,N(I142)+ROW()/10000000,0)</f>
        <v>0</v>
      </c>
      <c r="L142" s="47" t="str">
        <f aca="false">IF(AND(J142=1,N(I142)&gt;0),SUMIF($K$2:$K$5001,"&gt;="&amp;K142,$I$2:$I$5001)/MAX(1,SUM($H$2:$H$5001)),"")</f>
        <v/>
      </c>
      <c r="M142" s="47" t="str">
        <f aca="false">IF($A142="","",INDEX($L$2:$L$5001,MATCH($A142,$A$2:$A$5001,0)))</f>
        <v/>
      </c>
      <c r="N142" s="48" t="str">
        <f aca="false">IF($A142="","",IF(N(M142)=0,"–",IF(M142&lt;=Start!$D$20,"A",IF(M142&lt;=Start!$D$21,"B","C"))))</f>
        <v/>
      </c>
      <c r="O142" s="48" t="str">
        <f aca="false">IF($A142="","",IF(NOT(ISNUMBER(F142)),"Wert fehlt; ",IF(F142&lt;=0,"Wert ist 0; ",""))&amp;IF(NOT(ISNUMBER(E142)),"Bestand fehlt; ",IF(E142&lt;0,"Bestand negativ; ",IF(E142=0,"Nullbestand; ","")))&amp;IF(D142="","Warengruppe fehlt; ","")&amp;IF(B142="","Bezeichnung fehlt; ","")&amp;IF(COUNTIFS($A$2:$A$5001,$A142,$C$2:$C$5001,C142)&gt;1,"Artikel doppelt im selben Lager; ",""))</f>
        <v/>
      </c>
      <c r="P142" s="47" t="n">
        <f aca="false">IF(OR($A142="",D142=""),0,IF(COUNTIF($D$2:D142,D142)=1,SUMIF($D$2:$D$5001,D142,$H$2:$H$5001)+ROW()/10000000,0))</f>
        <v>0</v>
      </c>
      <c r="Q142" s="47" t="n">
        <f aca="false">IF(OR($A142="",C142=""),0,IF(COUNTIF($C$2:C142,C142)=1,SUMIF($C$2:$C$5001,C142,$H$2:$H$5001)+ROW()/10000000,0))</f>
        <v>0</v>
      </c>
    </row>
    <row r="143" customFormat="false" ht="15" hidden="false" customHeight="false" outlineLevel="0" collapsed="false">
      <c r="A143" s="43"/>
      <c r="B143" s="44"/>
      <c r="C143" s="44"/>
      <c r="D143" s="44"/>
      <c r="E143" s="44"/>
      <c r="F143" s="44"/>
      <c r="G143" s="44"/>
      <c r="H143" s="46" t="str">
        <f aca="false">IF($A143="","",IF(OR(NOT(ISNUMBER(E143)),NOT(ISNUMBER(F143))),"",MAX(0,E143)*F143))</f>
        <v/>
      </c>
      <c r="I143" s="46" t="str">
        <f aca="false">IF($A143="","",SUMIF($A$2:$A$5001,$A143,$H$2:$H$5001))</f>
        <v/>
      </c>
      <c r="J143" s="47" t="n">
        <f aca="false">IF($A143="",0,IF(COUNTIF($A$2:A143,$A143)=1,1,0))</f>
        <v>0</v>
      </c>
      <c r="K143" s="47" t="n">
        <f aca="false">IF(J143=1,N(I143)+ROW()/10000000,0)</f>
        <v>0</v>
      </c>
      <c r="L143" s="47" t="str">
        <f aca="false">IF(AND(J143=1,N(I143)&gt;0),SUMIF($K$2:$K$5001,"&gt;="&amp;K143,$I$2:$I$5001)/MAX(1,SUM($H$2:$H$5001)),"")</f>
        <v/>
      </c>
      <c r="M143" s="47" t="str">
        <f aca="false">IF($A143="","",INDEX($L$2:$L$5001,MATCH($A143,$A$2:$A$5001,0)))</f>
        <v/>
      </c>
      <c r="N143" s="48" t="str">
        <f aca="false">IF($A143="","",IF(N(M143)=0,"–",IF(M143&lt;=Start!$D$20,"A",IF(M143&lt;=Start!$D$21,"B","C"))))</f>
        <v/>
      </c>
      <c r="O143" s="48" t="str">
        <f aca="false">IF($A143="","",IF(NOT(ISNUMBER(F143)),"Wert fehlt; ",IF(F143&lt;=0,"Wert ist 0; ",""))&amp;IF(NOT(ISNUMBER(E143)),"Bestand fehlt; ",IF(E143&lt;0,"Bestand negativ; ",IF(E143=0,"Nullbestand; ","")))&amp;IF(D143="","Warengruppe fehlt; ","")&amp;IF(B143="","Bezeichnung fehlt; ","")&amp;IF(COUNTIFS($A$2:$A$5001,$A143,$C$2:$C$5001,C143)&gt;1,"Artikel doppelt im selben Lager; ",""))</f>
        <v/>
      </c>
      <c r="P143" s="47" t="n">
        <f aca="false">IF(OR($A143="",D143=""),0,IF(COUNTIF($D$2:D143,D143)=1,SUMIF($D$2:$D$5001,D143,$H$2:$H$5001)+ROW()/10000000,0))</f>
        <v>0</v>
      </c>
      <c r="Q143" s="47" t="n">
        <f aca="false">IF(OR($A143="",C143=""),0,IF(COUNTIF($C$2:C143,C143)=1,SUMIF($C$2:$C$5001,C143,$H$2:$H$5001)+ROW()/10000000,0))</f>
        <v>0</v>
      </c>
    </row>
    <row r="144" customFormat="false" ht="15" hidden="false" customHeight="false" outlineLevel="0" collapsed="false">
      <c r="A144" s="43"/>
      <c r="B144" s="44"/>
      <c r="C144" s="44"/>
      <c r="D144" s="44"/>
      <c r="E144" s="44"/>
      <c r="F144" s="44"/>
      <c r="G144" s="44"/>
      <c r="H144" s="46" t="str">
        <f aca="false">IF($A144="","",IF(OR(NOT(ISNUMBER(E144)),NOT(ISNUMBER(F144))),"",MAX(0,E144)*F144))</f>
        <v/>
      </c>
      <c r="I144" s="46" t="str">
        <f aca="false">IF($A144="","",SUMIF($A$2:$A$5001,$A144,$H$2:$H$5001))</f>
        <v/>
      </c>
      <c r="J144" s="47" t="n">
        <f aca="false">IF($A144="",0,IF(COUNTIF($A$2:A144,$A144)=1,1,0))</f>
        <v>0</v>
      </c>
      <c r="K144" s="47" t="n">
        <f aca="false">IF(J144=1,N(I144)+ROW()/10000000,0)</f>
        <v>0</v>
      </c>
      <c r="L144" s="47" t="str">
        <f aca="false">IF(AND(J144=1,N(I144)&gt;0),SUMIF($K$2:$K$5001,"&gt;="&amp;K144,$I$2:$I$5001)/MAX(1,SUM($H$2:$H$5001)),"")</f>
        <v/>
      </c>
      <c r="M144" s="47" t="str">
        <f aca="false">IF($A144="","",INDEX($L$2:$L$5001,MATCH($A144,$A$2:$A$5001,0)))</f>
        <v/>
      </c>
      <c r="N144" s="48" t="str">
        <f aca="false">IF($A144="","",IF(N(M144)=0,"–",IF(M144&lt;=Start!$D$20,"A",IF(M144&lt;=Start!$D$21,"B","C"))))</f>
        <v/>
      </c>
      <c r="O144" s="48" t="str">
        <f aca="false">IF($A144="","",IF(NOT(ISNUMBER(F144)),"Wert fehlt; ",IF(F144&lt;=0,"Wert ist 0; ",""))&amp;IF(NOT(ISNUMBER(E144)),"Bestand fehlt; ",IF(E144&lt;0,"Bestand negativ; ",IF(E144=0,"Nullbestand; ","")))&amp;IF(D144="","Warengruppe fehlt; ","")&amp;IF(B144="","Bezeichnung fehlt; ","")&amp;IF(COUNTIFS($A$2:$A$5001,$A144,$C$2:$C$5001,C144)&gt;1,"Artikel doppelt im selben Lager; ",""))</f>
        <v/>
      </c>
      <c r="P144" s="47" t="n">
        <f aca="false">IF(OR($A144="",D144=""),0,IF(COUNTIF($D$2:D144,D144)=1,SUMIF($D$2:$D$5001,D144,$H$2:$H$5001)+ROW()/10000000,0))</f>
        <v>0</v>
      </c>
      <c r="Q144" s="47" t="n">
        <f aca="false">IF(OR($A144="",C144=""),0,IF(COUNTIF($C$2:C144,C144)=1,SUMIF($C$2:$C$5001,C144,$H$2:$H$5001)+ROW()/10000000,0))</f>
        <v>0</v>
      </c>
    </row>
    <row r="145" customFormat="false" ht="15" hidden="false" customHeight="false" outlineLevel="0" collapsed="false">
      <c r="A145" s="43"/>
      <c r="B145" s="44"/>
      <c r="C145" s="44"/>
      <c r="D145" s="44"/>
      <c r="E145" s="44"/>
      <c r="F145" s="44"/>
      <c r="G145" s="44"/>
      <c r="H145" s="46" t="str">
        <f aca="false">IF($A145="","",IF(OR(NOT(ISNUMBER(E145)),NOT(ISNUMBER(F145))),"",MAX(0,E145)*F145))</f>
        <v/>
      </c>
      <c r="I145" s="46" t="str">
        <f aca="false">IF($A145="","",SUMIF($A$2:$A$5001,$A145,$H$2:$H$5001))</f>
        <v/>
      </c>
      <c r="J145" s="47" t="n">
        <f aca="false">IF($A145="",0,IF(COUNTIF($A$2:A145,$A145)=1,1,0))</f>
        <v>0</v>
      </c>
      <c r="K145" s="47" t="n">
        <f aca="false">IF(J145=1,N(I145)+ROW()/10000000,0)</f>
        <v>0</v>
      </c>
      <c r="L145" s="47" t="str">
        <f aca="false">IF(AND(J145=1,N(I145)&gt;0),SUMIF($K$2:$K$5001,"&gt;="&amp;K145,$I$2:$I$5001)/MAX(1,SUM($H$2:$H$5001)),"")</f>
        <v/>
      </c>
      <c r="M145" s="47" t="str">
        <f aca="false">IF($A145="","",INDEX($L$2:$L$5001,MATCH($A145,$A$2:$A$5001,0)))</f>
        <v/>
      </c>
      <c r="N145" s="48" t="str">
        <f aca="false">IF($A145="","",IF(N(M145)=0,"–",IF(M145&lt;=Start!$D$20,"A",IF(M145&lt;=Start!$D$21,"B","C"))))</f>
        <v/>
      </c>
      <c r="O145" s="48" t="str">
        <f aca="false">IF($A145="","",IF(NOT(ISNUMBER(F145)),"Wert fehlt; ",IF(F145&lt;=0,"Wert ist 0; ",""))&amp;IF(NOT(ISNUMBER(E145)),"Bestand fehlt; ",IF(E145&lt;0,"Bestand negativ; ",IF(E145=0,"Nullbestand; ","")))&amp;IF(D145="","Warengruppe fehlt; ","")&amp;IF(B145="","Bezeichnung fehlt; ","")&amp;IF(COUNTIFS($A$2:$A$5001,$A145,$C$2:$C$5001,C145)&gt;1,"Artikel doppelt im selben Lager; ",""))</f>
        <v/>
      </c>
      <c r="P145" s="47" t="n">
        <f aca="false">IF(OR($A145="",D145=""),0,IF(COUNTIF($D$2:D145,D145)=1,SUMIF($D$2:$D$5001,D145,$H$2:$H$5001)+ROW()/10000000,0))</f>
        <v>0</v>
      </c>
      <c r="Q145" s="47" t="n">
        <f aca="false">IF(OR($A145="",C145=""),0,IF(COUNTIF($C$2:C145,C145)=1,SUMIF($C$2:$C$5001,C145,$H$2:$H$5001)+ROW()/10000000,0))</f>
        <v>0</v>
      </c>
    </row>
    <row r="146" customFormat="false" ht="15" hidden="false" customHeight="false" outlineLevel="0" collapsed="false">
      <c r="A146" s="43"/>
      <c r="B146" s="44"/>
      <c r="C146" s="44"/>
      <c r="D146" s="44"/>
      <c r="E146" s="44"/>
      <c r="F146" s="44"/>
      <c r="G146" s="44"/>
      <c r="H146" s="46" t="str">
        <f aca="false">IF($A146="","",IF(OR(NOT(ISNUMBER(E146)),NOT(ISNUMBER(F146))),"",MAX(0,E146)*F146))</f>
        <v/>
      </c>
      <c r="I146" s="46" t="str">
        <f aca="false">IF($A146="","",SUMIF($A$2:$A$5001,$A146,$H$2:$H$5001))</f>
        <v/>
      </c>
      <c r="J146" s="47" t="n">
        <f aca="false">IF($A146="",0,IF(COUNTIF($A$2:A146,$A146)=1,1,0))</f>
        <v>0</v>
      </c>
      <c r="K146" s="47" t="n">
        <f aca="false">IF(J146=1,N(I146)+ROW()/10000000,0)</f>
        <v>0</v>
      </c>
      <c r="L146" s="47" t="str">
        <f aca="false">IF(AND(J146=1,N(I146)&gt;0),SUMIF($K$2:$K$5001,"&gt;="&amp;K146,$I$2:$I$5001)/MAX(1,SUM($H$2:$H$5001)),"")</f>
        <v/>
      </c>
      <c r="M146" s="47" t="str">
        <f aca="false">IF($A146="","",INDEX($L$2:$L$5001,MATCH($A146,$A$2:$A$5001,0)))</f>
        <v/>
      </c>
      <c r="N146" s="48" t="str">
        <f aca="false">IF($A146="","",IF(N(M146)=0,"–",IF(M146&lt;=Start!$D$20,"A",IF(M146&lt;=Start!$D$21,"B","C"))))</f>
        <v/>
      </c>
      <c r="O146" s="48" t="str">
        <f aca="false">IF($A146="","",IF(NOT(ISNUMBER(F146)),"Wert fehlt; ",IF(F146&lt;=0,"Wert ist 0; ",""))&amp;IF(NOT(ISNUMBER(E146)),"Bestand fehlt; ",IF(E146&lt;0,"Bestand negativ; ",IF(E146=0,"Nullbestand; ","")))&amp;IF(D146="","Warengruppe fehlt; ","")&amp;IF(B146="","Bezeichnung fehlt; ","")&amp;IF(COUNTIFS($A$2:$A$5001,$A146,$C$2:$C$5001,C146)&gt;1,"Artikel doppelt im selben Lager; ",""))</f>
        <v/>
      </c>
      <c r="P146" s="47" t="n">
        <f aca="false">IF(OR($A146="",D146=""),0,IF(COUNTIF($D$2:D146,D146)=1,SUMIF($D$2:$D$5001,D146,$H$2:$H$5001)+ROW()/10000000,0))</f>
        <v>0</v>
      </c>
      <c r="Q146" s="47" t="n">
        <f aca="false">IF(OR($A146="",C146=""),0,IF(COUNTIF($C$2:C146,C146)=1,SUMIF($C$2:$C$5001,C146,$H$2:$H$5001)+ROW()/10000000,0))</f>
        <v>0</v>
      </c>
    </row>
    <row r="147" customFormat="false" ht="15" hidden="false" customHeight="false" outlineLevel="0" collapsed="false">
      <c r="A147" s="43"/>
      <c r="B147" s="44"/>
      <c r="C147" s="44"/>
      <c r="D147" s="44"/>
      <c r="E147" s="44"/>
      <c r="F147" s="44"/>
      <c r="G147" s="44"/>
      <c r="H147" s="46" t="str">
        <f aca="false">IF($A147="","",IF(OR(NOT(ISNUMBER(E147)),NOT(ISNUMBER(F147))),"",MAX(0,E147)*F147))</f>
        <v/>
      </c>
      <c r="I147" s="46" t="str">
        <f aca="false">IF($A147="","",SUMIF($A$2:$A$5001,$A147,$H$2:$H$5001))</f>
        <v/>
      </c>
      <c r="J147" s="47" t="n">
        <f aca="false">IF($A147="",0,IF(COUNTIF($A$2:A147,$A147)=1,1,0))</f>
        <v>0</v>
      </c>
      <c r="K147" s="47" t="n">
        <f aca="false">IF(J147=1,N(I147)+ROW()/10000000,0)</f>
        <v>0</v>
      </c>
      <c r="L147" s="47" t="str">
        <f aca="false">IF(AND(J147=1,N(I147)&gt;0),SUMIF($K$2:$K$5001,"&gt;="&amp;K147,$I$2:$I$5001)/MAX(1,SUM($H$2:$H$5001)),"")</f>
        <v/>
      </c>
      <c r="M147" s="47" t="str">
        <f aca="false">IF($A147="","",INDEX($L$2:$L$5001,MATCH($A147,$A$2:$A$5001,0)))</f>
        <v/>
      </c>
      <c r="N147" s="48" t="str">
        <f aca="false">IF($A147="","",IF(N(M147)=0,"–",IF(M147&lt;=Start!$D$20,"A",IF(M147&lt;=Start!$D$21,"B","C"))))</f>
        <v/>
      </c>
      <c r="O147" s="48" t="str">
        <f aca="false">IF($A147="","",IF(NOT(ISNUMBER(F147)),"Wert fehlt; ",IF(F147&lt;=0,"Wert ist 0; ",""))&amp;IF(NOT(ISNUMBER(E147)),"Bestand fehlt; ",IF(E147&lt;0,"Bestand negativ; ",IF(E147=0,"Nullbestand; ","")))&amp;IF(D147="","Warengruppe fehlt; ","")&amp;IF(B147="","Bezeichnung fehlt; ","")&amp;IF(COUNTIFS($A$2:$A$5001,$A147,$C$2:$C$5001,C147)&gt;1,"Artikel doppelt im selben Lager; ",""))</f>
        <v/>
      </c>
      <c r="P147" s="47" t="n">
        <f aca="false">IF(OR($A147="",D147=""),0,IF(COUNTIF($D$2:D147,D147)=1,SUMIF($D$2:$D$5001,D147,$H$2:$H$5001)+ROW()/10000000,0))</f>
        <v>0</v>
      </c>
      <c r="Q147" s="47" t="n">
        <f aca="false">IF(OR($A147="",C147=""),0,IF(COUNTIF($C$2:C147,C147)=1,SUMIF($C$2:$C$5001,C147,$H$2:$H$5001)+ROW()/10000000,0))</f>
        <v>0</v>
      </c>
    </row>
    <row r="148" customFormat="false" ht="15" hidden="false" customHeight="false" outlineLevel="0" collapsed="false">
      <c r="A148" s="43"/>
      <c r="B148" s="44"/>
      <c r="C148" s="44"/>
      <c r="D148" s="44"/>
      <c r="E148" s="44"/>
      <c r="F148" s="44"/>
      <c r="G148" s="44"/>
      <c r="H148" s="46" t="str">
        <f aca="false">IF($A148="","",IF(OR(NOT(ISNUMBER(E148)),NOT(ISNUMBER(F148))),"",MAX(0,E148)*F148))</f>
        <v/>
      </c>
      <c r="I148" s="46" t="str">
        <f aca="false">IF($A148="","",SUMIF($A$2:$A$5001,$A148,$H$2:$H$5001))</f>
        <v/>
      </c>
      <c r="J148" s="47" t="n">
        <f aca="false">IF($A148="",0,IF(COUNTIF($A$2:A148,$A148)=1,1,0))</f>
        <v>0</v>
      </c>
      <c r="K148" s="47" t="n">
        <f aca="false">IF(J148=1,N(I148)+ROW()/10000000,0)</f>
        <v>0</v>
      </c>
      <c r="L148" s="47" t="str">
        <f aca="false">IF(AND(J148=1,N(I148)&gt;0),SUMIF($K$2:$K$5001,"&gt;="&amp;K148,$I$2:$I$5001)/MAX(1,SUM($H$2:$H$5001)),"")</f>
        <v/>
      </c>
      <c r="M148" s="47" t="str">
        <f aca="false">IF($A148="","",INDEX($L$2:$L$5001,MATCH($A148,$A$2:$A$5001,0)))</f>
        <v/>
      </c>
      <c r="N148" s="48" t="str">
        <f aca="false">IF($A148="","",IF(N(M148)=0,"–",IF(M148&lt;=Start!$D$20,"A",IF(M148&lt;=Start!$D$21,"B","C"))))</f>
        <v/>
      </c>
      <c r="O148" s="48" t="str">
        <f aca="false">IF($A148="","",IF(NOT(ISNUMBER(F148)),"Wert fehlt; ",IF(F148&lt;=0,"Wert ist 0; ",""))&amp;IF(NOT(ISNUMBER(E148)),"Bestand fehlt; ",IF(E148&lt;0,"Bestand negativ; ",IF(E148=0,"Nullbestand; ","")))&amp;IF(D148="","Warengruppe fehlt; ","")&amp;IF(B148="","Bezeichnung fehlt; ","")&amp;IF(COUNTIFS($A$2:$A$5001,$A148,$C$2:$C$5001,C148)&gt;1,"Artikel doppelt im selben Lager; ",""))</f>
        <v/>
      </c>
      <c r="P148" s="47" t="n">
        <f aca="false">IF(OR($A148="",D148=""),0,IF(COUNTIF($D$2:D148,D148)=1,SUMIF($D$2:$D$5001,D148,$H$2:$H$5001)+ROW()/10000000,0))</f>
        <v>0</v>
      </c>
      <c r="Q148" s="47" t="n">
        <f aca="false">IF(OR($A148="",C148=""),0,IF(COUNTIF($C$2:C148,C148)=1,SUMIF($C$2:$C$5001,C148,$H$2:$H$5001)+ROW()/10000000,0))</f>
        <v>0</v>
      </c>
    </row>
    <row r="149" customFormat="false" ht="15" hidden="false" customHeight="false" outlineLevel="0" collapsed="false">
      <c r="A149" s="43"/>
      <c r="B149" s="44"/>
      <c r="C149" s="44"/>
      <c r="D149" s="44"/>
      <c r="E149" s="44"/>
      <c r="F149" s="44"/>
      <c r="G149" s="44"/>
      <c r="H149" s="46" t="str">
        <f aca="false">IF($A149="","",IF(OR(NOT(ISNUMBER(E149)),NOT(ISNUMBER(F149))),"",MAX(0,E149)*F149))</f>
        <v/>
      </c>
      <c r="I149" s="46" t="str">
        <f aca="false">IF($A149="","",SUMIF($A$2:$A$5001,$A149,$H$2:$H$5001))</f>
        <v/>
      </c>
      <c r="J149" s="47" t="n">
        <f aca="false">IF($A149="",0,IF(COUNTIF($A$2:A149,$A149)=1,1,0))</f>
        <v>0</v>
      </c>
      <c r="K149" s="47" t="n">
        <f aca="false">IF(J149=1,N(I149)+ROW()/10000000,0)</f>
        <v>0</v>
      </c>
      <c r="L149" s="47" t="str">
        <f aca="false">IF(AND(J149=1,N(I149)&gt;0),SUMIF($K$2:$K$5001,"&gt;="&amp;K149,$I$2:$I$5001)/MAX(1,SUM($H$2:$H$5001)),"")</f>
        <v/>
      </c>
      <c r="M149" s="47" t="str">
        <f aca="false">IF($A149="","",INDEX($L$2:$L$5001,MATCH($A149,$A$2:$A$5001,0)))</f>
        <v/>
      </c>
      <c r="N149" s="48" t="str">
        <f aca="false">IF($A149="","",IF(N(M149)=0,"–",IF(M149&lt;=Start!$D$20,"A",IF(M149&lt;=Start!$D$21,"B","C"))))</f>
        <v/>
      </c>
      <c r="O149" s="48" t="str">
        <f aca="false">IF($A149="","",IF(NOT(ISNUMBER(F149)),"Wert fehlt; ",IF(F149&lt;=0,"Wert ist 0; ",""))&amp;IF(NOT(ISNUMBER(E149)),"Bestand fehlt; ",IF(E149&lt;0,"Bestand negativ; ",IF(E149=0,"Nullbestand; ","")))&amp;IF(D149="","Warengruppe fehlt; ","")&amp;IF(B149="","Bezeichnung fehlt; ","")&amp;IF(COUNTIFS($A$2:$A$5001,$A149,$C$2:$C$5001,C149)&gt;1,"Artikel doppelt im selben Lager; ",""))</f>
        <v/>
      </c>
      <c r="P149" s="47" t="n">
        <f aca="false">IF(OR($A149="",D149=""),0,IF(COUNTIF($D$2:D149,D149)=1,SUMIF($D$2:$D$5001,D149,$H$2:$H$5001)+ROW()/10000000,0))</f>
        <v>0</v>
      </c>
      <c r="Q149" s="47" t="n">
        <f aca="false">IF(OR($A149="",C149=""),0,IF(COUNTIF($C$2:C149,C149)=1,SUMIF($C$2:$C$5001,C149,$H$2:$H$5001)+ROW()/10000000,0))</f>
        <v>0</v>
      </c>
    </row>
    <row r="150" customFormat="false" ht="15" hidden="false" customHeight="false" outlineLevel="0" collapsed="false">
      <c r="A150" s="43"/>
      <c r="B150" s="44"/>
      <c r="C150" s="44"/>
      <c r="D150" s="44"/>
      <c r="E150" s="44"/>
      <c r="F150" s="44"/>
      <c r="G150" s="44"/>
      <c r="H150" s="46" t="str">
        <f aca="false">IF($A150="","",IF(OR(NOT(ISNUMBER(E150)),NOT(ISNUMBER(F150))),"",MAX(0,E150)*F150))</f>
        <v/>
      </c>
      <c r="I150" s="46" t="str">
        <f aca="false">IF($A150="","",SUMIF($A$2:$A$5001,$A150,$H$2:$H$5001))</f>
        <v/>
      </c>
      <c r="J150" s="47" t="n">
        <f aca="false">IF($A150="",0,IF(COUNTIF($A$2:A150,$A150)=1,1,0))</f>
        <v>0</v>
      </c>
      <c r="K150" s="47" t="n">
        <f aca="false">IF(J150=1,N(I150)+ROW()/10000000,0)</f>
        <v>0</v>
      </c>
      <c r="L150" s="47" t="str">
        <f aca="false">IF(AND(J150=1,N(I150)&gt;0),SUMIF($K$2:$K$5001,"&gt;="&amp;K150,$I$2:$I$5001)/MAX(1,SUM($H$2:$H$5001)),"")</f>
        <v/>
      </c>
      <c r="M150" s="47" t="str">
        <f aca="false">IF($A150="","",INDEX($L$2:$L$5001,MATCH($A150,$A$2:$A$5001,0)))</f>
        <v/>
      </c>
      <c r="N150" s="48" t="str">
        <f aca="false">IF($A150="","",IF(N(M150)=0,"–",IF(M150&lt;=Start!$D$20,"A",IF(M150&lt;=Start!$D$21,"B","C"))))</f>
        <v/>
      </c>
      <c r="O150" s="48" t="str">
        <f aca="false">IF($A150="","",IF(NOT(ISNUMBER(F150)),"Wert fehlt; ",IF(F150&lt;=0,"Wert ist 0; ",""))&amp;IF(NOT(ISNUMBER(E150)),"Bestand fehlt; ",IF(E150&lt;0,"Bestand negativ; ",IF(E150=0,"Nullbestand; ","")))&amp;IF(D150="","Warengruppe fehlt; ","")&amp;IF(B150="","Bezeichnung fehlt; ","")&amp;IF(COUNTIFS($A$2:$A$5001,$A150,$C$2:$C$5001,C150)&gt;1,"Artikel doppelt im selben Lager; ",""))</f>
        <v/>
      </c>
      <c r="P150" s="47" t="n">
        <f aca="false">IF(OR($A150="",D150=""),0,IF(COUNTIF($D$2:D150,D150)=1,SUMIF($D$2:$D$5001,D150,$H$2:$H$5001)+ROW()/10000000,0))</f>
        <v>0</v>
      </c>
      <c r="Q150" s="47" t="n">
        <f aca="false">IF(OR($A150="",C150=""),0,IF(COUNTIF($C$2:C150,C150)=1,SUMIF($C$2:$C$5001,C150,$H$2:$H$5001)+ROW()/10000000,0))</f>
        <v>0</v>
      </c>
    </row>
    <row r="151" customFormat="false" ht="15" hidden="false" customHeight="false" outlineLevel="0" collapsed="false">
      <c r="A151" s="43"/>
      <c r="B151" s="44"/>
      <c r="C151" s="44"/>
      <c r="D151" s="44"/>
      <c r="E151" s="44"/>
      <c r="F151" s="44"/>
      <c r="G151" s="44"/>
      <c r="H151" s="46" t="str">
        <f aca="false">IF($A151="","",IF(OR(NOT(ISNUMBER(E151)),NOT(ISNUMBER(F151))),"",MAX(0,E151)*F151))</f>
        <v/>
      </c>
      <c r="I151" s="46" t="str">
        <f aca="false">IF($A151="","",SUMIF($A$2:$A$5001,$A151,$H$2:$H$5001))</f>
        <v/>
      </c>
      <c r="J151" s="47" t="n">
        <f aca="false">IF($A151="",0,IF(COUNTIF($A$2:A151,$A151)=1,1,0))</f>
        <v>0</v>
      </c>
      <c r="K151" s="47" t="n">
        <f aca="false">IF(J151=1,N(I151)+ROW()/10000000,0)</f>
        <v>0</v>
      </c>
      <c r="L151" s="47" t="str">
        <f aca="false">IF(AND(J151=1,N(I151)&gt;0),SUMIF($K$2:$K$5001,"&gt;="&amp;K151,$I$2:$I$5001)/MAX(1,SUM($H$2:$H$5001)),"")</f>
        <v/>
      </c>
      <c r="M151" s="47" t="str">
        <f aca="false">IF($A151="","",INDEX($L$2:$L$5001,MATCH($A151,$A$2:$A$5001,0)))</f>
        <v/>
      </c>
      <c r="N151" s="48" t="str">
        <f aca="false">IF($A151="","",IF(N(M151)=0,"–",IF(M151&lt;=Start!$D$20,"A",IF(M151&lt;=Start!$D$21,"B","C"))))</f>
        <v/>
      </c>
      <c r="O151" s="48" t="str">
        <f aca="false">IF($A151="","",IF(NOT(ISNUMBER(F151)),"Wert fehlt; ",IF(F151&lt;=0,"Wert ist 0; ",""))&amp;IF(NOT(ISNUMBER(E151)),"Bestand fehlt; ",IF(E151&lt;0,"Bestand negativ; ",IF(E151=0,"Nullbestand; ","")))&amp;IF(D151="","Warengruppe fehlt; ","")&amp;IF(B151="","Bezeichnung fehlt; ","")&amp;IF(COUNTIFS($A$2:$A$5001,$A151,$C$2:$C$5001,C151)&gt;1,"Artikel doppelt im selben Lager; ",""))</f>
        <v/>
      </c>
      <c r="P151" s="47" t="n">
        <f aca="false">IF(OR($A151="",D151=""),0,IF(COUNTIF($D$2:D151,D151)=1,SUMIF($D$2:$D$5001,D151,$H$2:$H$5001)+ROW()/10000000,0))</f>
        <v>0</v>
      </c>
      <c r="Q151" s="47" t="n">
        <f aca="false">IF(OR($A151="",C151=""),0,IF(COUNTIF($C$2:C151,C151)=1,SUMIF($C$2:$C$5001,C151,$H$2:$H$5001)+ROW()/10000000,0))</f>
        <v>0</v>
      </c>
    </row>
    <row r="152" customFormat="false" ht="15" hidden="false" customHeight="false" outlineLevel="0" collapsed="false">
      <c r="A152" s="43"/>
      <c r="B152" s="44"/>
      <c r="C152" s="44"/>
      <c r="D152" s="44"/>
      <c r="E152" s="44"/>
      <c r="F152" s="44"/>
      <c r="G152" s="44"/>
      <c r="H152" s="46" t="str">
        <f aca="false">IF($A152="","",IF(OR(NOT(ISNUMBER(E152)),NOT(ISNUMBER(F152))),"",MAX(0,E152)*F152))</f>
        <v/>
      </c>
      <c r="I152" s="46" t="str">
        <f aca="false">IF($A152="","",SUMIF($A$2:$A$5001,$A152,$H$2:$H$5001))</f>
        <v/>
      </c>
      <c r="J152" s="47" t="n">
        <f aca="false">IF($A152="",0,IF(COUNTIF($A$2:A152,$A152)=1,1,0))</f>
        <v>0</v>
      </c>
      <c r="K152" s="47" t="n">
        <f aca="false">IF(J152=1,N(I152)+ROW()/10000000,0)</f>
        <v>0</v>
      </c>
      <c r="L152" s="47" t="str">
        <f aca="false">IF(AND(J152=1,N(I152)&gt;0),SUMIF($K$2:$K$5001,"&gt;="&amp;K152,$I$2:$I$5001)/MAX(1,SUM($H$2:$H$5001)),"")</f>
        <v/>
      </c>
      <c r="M152" s="47" t="str">
        <f aca="false">IF($A152="","",INDEX($L$2:$L$5001,MATCH($A152,$A$2:$A$5001,0)))</f>
        <v/>
      </c>
      <c r="N152" s="48" t="str">
        <f aca="false">IF($A152="","",IF(N(M152)=0,"–",IF(M152&lt;=Start!$D$20,"A",IF(M152&lt;=Start!$D$21,"B","C"))))</f>
        <v/>
      </c>
      <c r="O152" s="48" t="str">
        <f aca="false">IF($A152="","",IF(NOT(ISNUMBER(F152)),"Wert fehlt; ",IF(F152&lt;=0,"Wert ist 0; ",""))&amp;IF(NOT(ISNUMBER(E152)),"Bestand fehlt; ",IF(E152&lt;0,"Bestand negativ; ",IF(E152=0,"Nullbestand; ","")))&amp;IF(D152="","Warengruppe fehlt; ","")&amp;IF(B152="","Bezeichnung fehlt; ","")&amp;IF(COUNTIFS($A$2:$A$5001,$A152,$C$2:$C$5001,C152)&gt;1,"Artikel doppelt im selben Lager; ",""))</f>
        <v/>
      </c>
      <c r="P152" s="47" t="n">
        <f aca="false">IF(OR($A152="",D152=""),0,IF(COUNTIF($D$2:D152,D152)=1,SUMIF($D$2:$D$5001,D152,$H$2:$H$5001)+ROW()/10000000,0))</f>
        <v>0</v>
      </c>
      <c r="Q152" s="47" t="n">
        <f aca="false">IF(OR($A152="",C152=""),0,IF(COUNTIF($C$2:C152,C152)=1,SUMIF($C$2:$C$5001,C152,$H$2:$H$5001)+ROW()/10000000,0))</f>
        <v>0</v>
      </c>
    </row>
    <row r="153" customFormat="false" ht="15" hidden="false" customHeight="false" outlineLevel="0" collapsed="false">
      <c r="A153" s="43"/>
      <c r="B153" s="44"/>
      <c r="C153" s="44"/>
      <c r="D153" s="44"/>
      <c r="E153" s="44"/>
      <c r="F153" s="44"/>
      <c r="G153" s="44"/>
      <c r="H153" s="46" t="str">
        <f aca="false">IF($A153="","",IF(OR(NOT(ISNUMBER(E153)),NOT(ISNUMBER(F153))),"",MAX(0,E153)*F153))</f>
        <v/>
      </c>
      <c r="I153" s="46" t="str">
        <f aca="false">IF($A153="","",SUMIF($A$2:$A$5001,$A153,$H$2:$H$5001))</f>
        <v/>
      </c>
      <c r="J153" s="47" t="n">
        <f aca="false">IF($A153="",0,IF(COUNTIF($A$2:A153,$A153)=1,1,0))</f>
        <v>0</v>
      </c>
      <c r="K153" s="47" t="n">
        <f aca="false">IF(J153=1,N(I153)+ROW()/10000000,0)</f>
        <v>0</v>
      </c>
      <c r="L153" s="47" t="str">
        <f aca="false">IF(AND(J153=1,N(I153)&gt;0),SUMIF($K$2:$K$5001,"&gt;="&amp;K153,$I$2:$I$5001)/MAX(1,SUM($H$2:$H$5001)),"")</f>
        <v/>
      </c>
      <c r="M153" s="47" t="str">
        <f aca="false">IF($A153="","",INDEX($L$2:$L$5001,MATCH($A153,$A$2:$A$5001,0)))</f>
        <v/>
      </c>
      <c r="N153" s="48" t="str">
        <f aca="false">IF($A153="","",IF(N(M153)=0,"–",IF(M153&lt;=Start!$D$20,"A",IF(M153&lt;=Start!$D$21,"B","C"))))</f>
        <v/>
      </c>
      <c r="O153" s="48" t="str">
        <f aca="false">IF($A153="","",IF(NOT(ISNUMBER(F153)),"Wert fehlt; ",IF(F153&lt;=0,"Wert ist 0; ",""))&amp;IF(NOT(ISNUMBER(E153)),"Bestand fehlt; ",IF(E153&lt;0,"Bestand negativ; ",IF(E153=0,"Nullbestand; ","")))&amp;IF(D153="","Warengruppe fehlt; ","")&amp;IF(B153="","Bezeichnung fehlt; ","")&amp;IF(COUNTIFS($A$2:$A$5001,$A153,$C$2:$C$5001,C153)&gt;1,"Artikel doppelt im selben Lager; ",""))</f>
        <v/>
      </c>
      <c r="P153" s="47" t="n">
        <f aca="false">IF(OR($A153="",D153=""),0,IF(COUNTIF($D$2:D153,D153)=1,SUMIF($D$2:$D$5001,D153,$H$2:$H$5001)+ROW()/10000000,0))</f>
        <v>0</v>
      </c>
      <c r="Q153" s="47" t="n">
        <f aca="false">IF(OR($A153="",C153=""),0,IF(COUNTIF($C$2:C153,C153)=1,SUMIF($C$2:$C$5001,C153,$H$2:$H$5001)+ROW()/10000000,0))</f>
        <v>0</v>
      </c>
    </row>
    <row r="154" customFormat="false" ht="15" hidden="false" customHeight="false" outlineLevel="0" collapsed="false">
      <c r="A154" s="43"/>
      <c r="B154" s="44"/>
      <c r="C154" s="44"/>
      <c r="D154" s="44"/>
      <c r="E154" s="44"/>
      <c r="F154" s="44"/>
      <c r="G154" s="44"/>
      <c r="H154" s="46" t="str">
        <f aca="false">IF($A154="","",IF(OR(NOT(ISNUMBER(E154)),NOT(ISNUMBER(F154))),"",MAX(0,E154)*F154))</f>
        <v/>
      </c>
      <c r="I154" s="46" t="str">
        <f aca="false">IF($A154="","",SUMIF($A$2:$A$5001,$A154,$H$2:$H$5001))</f>
        <v/>
      </c>
      <c r="J154" s="47" t="n">
        <f aca="false">IF($A154="",0,IF(COUNTIF($A$2:A154,$A154)=1,1,0))</f>
        <v>0</v>
      </c>
      <c r="K154" s="47" t="n">
        <f aca="false">IF(J154=1,N(I154)+ROW()/10000000,0)</f>
        <v>0</v>
      </c>
      <c r="L154" s="47" t="str">
        <f aca="false">IF(AND(J154=1,N(I154)&gt;0),SUMIF($K$2:$K$5001,"&gt;="&amp;K154,$I$2:$I$5001)/MAX(1,SUM($H$2:$H$5001)),"")</f>
        <v/>
      </c>
      <c r="M154" s="47" t="str">
        <f aca="false">IF($A154="","",INDEX($L$2:$L$5001,MATCH($A154,$A$2:$A$5001,0)))</f>
        <v/>
      </c>
      <c r="N154" s="48" t="str">
        <f aca="false">IF($A154="","",IF(N(M154)=0,"–",IF(M154&lt;=Start!$D$20,"A",IF(M154&lt;=Start!$D$21,"B","C"))))</f>
        <v/>
      </c>
      <c r="O154" s="48" t="str">
        <f aca="false">IF($A154="","",IF(NOT(ISNUMBER(F154)),"Wert fehlt; ",IF(F154&lt;=0,"Wert ist 0; ",""))&amp;IF(NOT(ISNUMBER(E154)),"Bestand fehlt; ",IF(E154&lt;0,"Bestand negativ; ",IF(E154=0,"Nullbestand; ","")))&amp;IF(D154="","Warengruppe fehlt; ","")&amp;IF(B154="","Bezeichnung fehlt; ","")&amp;IF(COUNTIFS($A$2:$A$5001,$A154,$C$2:$C$5001,C154)&gt;1,"Artikel doppelt im selben Lager; ",""))</f>
        <v/>
      </c>
      <c r="P154" s="47" t="n">
        <f aca="false">IF(OR($A154="",D154=""),0,IF(COUNTIF($D$2:D154,D154)=1,SUMIF($D$2:$D$5001,D154,$H$2:$H$5001)+ROW()/10000000,0))</f>
        <v>0</v>
      </c>
      <c r="Q154" s="47" t="n">
        <f aca="false">IF(OR($A154="",C154=""),0,IF(COUNTIF($C$2:C154,C154)=1,SUMIF($C$2:$C$5001,C154,$H$2:$H$5001)+ROW()/10000000,0))</f>
        <v>0</v>
      </c>
    </row>
    <row r="155" customFormat="false" ht="15" hidden="false" customHeight="false" outlineLevel="0" collapsed="false">
      <c r="A155" s="43"/>
      <c r="B155" s="44"/>
      <c r="C155" s="44"/>
      <c r="D155" s="44"/>
      <c r="E155" s="44"/>
      <c r="F155" s="44"/>
      <c r="G155" s="44"/>
      <c r="H155" s="46" t="str">
        <f aca="false">IF($A155="","",IF(OR(NOT(ISNUMBER(E155)),NOT(ISNUMBER(F155))),"",MAX(0,E155)*F155))</f>
        <v/>
      </c>
      <c r="I155" s="46" t="str">
        <f aca="false">IF($A155="","",SUMIF($A$2:$A$5001,$A155,$H$2:$H$5001))</f>
        <v/>
      </c>
      <c r="J155" s="47" t="n">
        <f aca="false">IF($A155="",0,IF(COUNTIF($A$2:A155,$A155)=1,1,0))</f>
        <v>0</v>
      </c>
      <c r="K155" s="47" t="n">
        <f aca="false">IF(J155=1,N(I155)+ROW()/10000000,0)</f>
        <v>0</v>
      </c>
      <c r="L155" s="47" t="str">
        <f aca="false">IF(AND(J155=1,N(I155)&gt;0),SUMIF($K$2:$K$5001,"&gt;="&amp;K155,$I$2:$I$5001)/MAX(1,SUM($H$2:$H$5001)),"")</f>
        <v/>
      </c>
      <c r="M155" s="47" t="str">
        <f aca="false">IF($A155="","",INDEX($L$2:$L$5001,MATCH($A155,$A$2:$A$5001,0)))</f>
        <v/>
      </c>
      <c r="N155" s="48" t="str">
        <f aca="false">IF($A155="","",IF(N(M155)=0,"–",IF(M155&lt;=Start!$D$20,"A",IF(M155&lt;=Start!$D$21,"B","C"))))</f>
        <v/>
      </c>
      <c r="O155" s="48" t="str">
        <f aca="false">IF($A155="","",IF(NOT(ISNUMBER(F155)),"Wert fehlt; ",IF(F155&lt;=0,"Wert ist 0; ",""))&amp;IF(NOT(ISNUMBER(E155)),"Bestand fehlt; ",IF(E155&lt;0,"Bestand negativ; ",IF(E155=0,"Nullbestand; ","")))&amp;IF(D155="","Warengruppe fehlt; ","")&amp;IF(B155="","Bezeichnung fehlt; ","")&amp;IF(COUNTIFS($A$2:$A$5001,$A155,$C$2:$C$5001,C155)&gt;1,"Artikel doppelt im selben Lager; ",""))</f>
        <v/>
      </c>
      <c r="P155" s="47" t="n">
        <f aca="false">IF(OR($A155="",D155=""),0,IF(COUNTIF($D$2:D155,D155)=1,SUMIF($D$2:$D$5001,D155,$H$2:$H$5001)+ROW()/10000000,0))</f>
        <v>0</v>
      </c>
      <c r="Q155" s="47" t="n">
        <f aca="false">IF(OR($A155="",C155=""),0,IF(COUNTIF($C$2:C155,C155)=1,SUMIF($C$2:$C$5001,C155,$H$2:$H$5001)+ROW()/10000000,0))</f>
        <v>0</v>
      </c>
    </row>
    <row r="156" customFormat="false" ht="15" hidden="false" customHeight="false" outlineLevel="0" collapsed="false">
      <c r="A156" s="43"/>
      <c r="B156" s="44"/>
      <c r="C156" s="44"/>
      <c r="D156" s="44"/>
      <c r="E156" s="44"/>
      <c r="F156" s="44"/>
      <c r="G156" s="44"/>
      <c r="H156" s="46" t="str">
        <f aca="false">IF($A156="","",IF(OR(NOT(ISNUMBER(E156)),NOT(ISNUMBER(F156))),"",MAX(0,E156)*F156))</f>
        <v/>
      </c>
      <c r="I156" s="46" t="str">
        <f aca="false">IF($A156="","",SUMIF($A$2:$A$5001,$A156,$H$2:$H$5001))</f>
        <v/>
      </c>
      <c r="J156" s="47" t="n">
        <f aca="false">IF($A156="",0,IF(COUNTIF($A$2:A156,$A156)=1,1,0))</f>
        <v>0</v>
      </c>
      <c r="K156" s="47" t="n">
        <f aca="false">IF(J156=1,N(I156)+ROW()/10000000,0)</f>
        <v>0</v>
      </c>
      <c r="L156" s="47" t="str">
        <f aca="false">IF(AND(J156=1,N(I156)&gt;0),SUMIF($K$2:$K$5001,"&gt;="&amp;K156,$I$2:$I$5001)/MAX(1,SUM($H$2:$H$5001)),"")</f>
        <v/>
      </c>
      <c r="M156" s="47" t="str">
        <f aca="false">IF($A156="","",INDEX($L$2:$L$5001,MATCH($A156,$A$2:$A$5001,0)))</f>
        <v/>
      </c>
      <c r="N156" s="48" t="str">
        <f aca="false">IF($A156="","",IF(N(M156)=0,"–",IF(M156&lt;=Start!$D$20,"A",IF(M156&lt;=Start!$D$21,"B","C"))))</f>
        <v/>
      </c>
      <c r="O156" s="48" t="str">
        <f aca="false">IF($A156="","",IF(NOT(ISNUMBER(F156)),"Wert fehlt; ",IF(F156&lt;=0,"Wert ist 0; ",""))&amp;IF(NOT(ISNUMBER(E156)),"Bestand fehlt; ",IF(E156&lt;0,"Bestand negativ; ",IF(E156=0,"Nullbestand; ","")))&amp;IF(D156="","Warengruppe fehlt; ","")&amp;IF(B156="","Bezeichnung fehlt; ","")&amp;IF(COUNTIFS($A$2:$A$5001,$A156,$C$2:$C$5001,C156)&gt;1,"Artikel doppelt im selben Lager; ",""))</f>
        <v/>
      </c>
      <c r="P156" s="47" t="n">
        <f aca="false">IF(OR($A156="",D156=""),0,IF(COUNTIF($D$2:D156,D156)=1,SUMIF($D$2:$D$5001,D156,$H$2:$H$5001)+ROW()/10000000,0))</f>
        <v>0</v>
      </c>
      <c r="Q156" s="47" t="n">
        <f aca="false">IF(OR($A156="",C156=""),0,IF(COUNTIF($C$2:C156,C156)=1,SUMIF($C$2:$C$5001,C156,$H$2:$H$5001)+ROW()/10000000,0))</f>
        <v>0</v>
      </c>
    </row>
    <row r="157" customFormat="false" ht="15" hidden="false" customHeight="false" outlineLevel="0" collapsed="false">
      <c r="A157" s="43"/>
      <c r="B157" s="44"/>
      <c r="C157" s="44"/>
      <c r="D157" s="44"/>
      <c r="E157" s="44"/>
      <c r="F157" s="44"/>
      <c r="G157" s="44"/>
      <c r="H157" s="46" t="str">
        <f aca="false">IF($A157="","",IF(OR(NOT(ISNUMBER(E157)),NOT(ISNUMBER(F157))),"",MAX(0,E157)*F157))</f>
        <v/>
      </c>
      <c r="I157" s="46" t="str">
        <f aca="false">IF($A157="","",SUMIF($A$2:$A$5001,$A157,$H$2:$H$5001))</f>
        <v/>
      </c>
      <c r="J157" s="47" t="n">
        <f aca="false">IF($A157="",0,IF(COUNTIF($A$2:A157,$A157)=1,1,0))</f>
        <v>0</v>
      </c>
      <c r="K157" s="47" t="n">
        <f aca="false">IF(J157=1,N(I157)+ROW()/10000000,0)</f>
        <v>0</v>
      </c>
      <c r="L157" s="47" t="str">
        <f aca="false">IF(AND(J157=1,N(I157)&gt;0),SUMIF($K$2:$K$5001,"&gt;="&amp;K157,$I$2:$I$5001)/MAX(1,SUM($H$2:$H$5001)),"")</f>
        <v/>
      </c>
      <c r="M157" s="47" t="str">
        <f aca="false">IF($A157="","",INDEX($L$2:$L$5001,MATCH($A157,$A$2:$A$5001,0)))</f>
        <v/>
      </c>
      <c r="N157" s="48" t="str">
        <f aca="false">IF($A157="","",IF(N(M157)=0,"–",IF(M157&lt;=Start!$D$20,"A",IF(M157&lt;=Start!$D$21,"B","C"))))</f>
        <v/>
      </c>
      <c r="O157" s="48" t="str">
        <f aca="false">IF($A157="","",IF(NOT(ISNUMBER(F157)),"Wert fehlt; ",IF(F157&lt;=0,"Wert ist 0; ",""))&amp;IF(NOT(ISNUMBER(E157)),"Bestand fehlt; ",IF(E157&lt;0,"Bestand negativ; ",IF(E157=0,"Nullbestand; ","")))&amp;IF(D157="","Warengruppe fehlt; ","")&amp;IF(B157="","Bezeichnung fehlt; ","")&amp;IF(COUNTIFS($A$2:$A$5001,$A157,$C$2:$C$5001,C157)&gt;1,"Artikel doppelt im selben Lager; ",""))</f>
        <v/>
      </c>
      <c r="P157" s="47" t="n">
        <f aca="false">IF(OR($A157="",D157=""),0,IF(COUNTIF($D$2:D157,D157)=1,SUMIF($D$2:$D$5001,D157,$H$2:$H$5001)+ROW()/10000000,0))</f>
        <v>0</v>
      </c>
      <c r="Q157" s="47" t="n">
        <f aca="false">IF(OR($A157="",C157=""),0,IF(COUNTIF($C$2:C157,C157)=1,SUMIF($C$2:$C$5001,C157,$H$2:$H$5001)+ROW()/10000000,0))</f>
        <v>0</v>
      </c>
    </row>
    <row r="158" customFormat="false" ht="15" hidden="false" customHeight="false" outlineLevel="0" collapsed="false">
      <c r="A158" s="43"/>
      <c r="B158" s="44"/>
      <c r="C158" s="44"/>
      <c r="D158" s="44"/>
      <c r="E158" s="44"/>
      <c r="F158" s="44"/>
      <c r="G158" s="44"/>
      <c r="H158" s="46" t="str">
        <f aca="false">IF($A158="","",IF(OR(NOT(ISNUMBER(E158)),NOT(ISNUMBER(F158))),"",MAX(0,E158)*F158))</f>
        <v/>
      </c>
      <c r="I158" s="46" t="str">
        <f aca="false">IF($A158="","",SUMIF($A$2:$A$5001,$A158,$H$2:$H$5001))</f>
        <v/>
      </c>
      <c r="J158" s="47" t="n">
        <f aca="false">IF($A158="",0,IF(COUNTIF($A$2:A158,$A158)=1,1,0))</f>
        <v>0</v>
      </c>
      <c r="K158" s="47" t="n">
        <f aca="false">IF(J158=1,N(I158)+ROW()/10000000,0)</f>
        <v>0</v>
      </c>
      <c r="L158" s="47" t="str">
        <f aca="false">IF(AND(J158=1,N(I158)&gt;0),SUMIF($K$2:$K$5001,"&gt;="&amp;K158,$I$2:$I$5001)/MAX(1,SUM($H$2:$H$5001)),"")</f>
        <v/>
      </c>
      <c r="M158" s="47" t="str">
        <f aca="false">IF($A158="","",INDEX($L$2:$L$5001,MATCH($A158,$A$2:$A$5001,0)))</f>
        <v/>
      </c>
      <c r="N158" s="48" t="str">
        <f aca="false">IF($A158="","",IF(N(M158)=0,"–",IF(M158&lt;=Start!$D$20,"A",IF(M158&lt;=Start!$D$21,"B","C"))))</f>
        <v/>
      </c>
      <c r="O158" s="48" t="str">
        <f aca="false">IF($A158="","",IF(NOT(ISNUMBER(F158)),"Wert fehlt; ",IF(F158&lt;=0,"Wert ist 0; ",""))&amp;IF(NOT(ISNUMBER(E158)),"Bestand fehlt; ",IF(E158&lt;0,"Bestand negativ; ",IF(E158=0,"Nullbestand; ","")))&amp;IF(D158="","Warengruppe fehlt; ","")&amp;IF(B158="","Bezeichnung fehlt; ","")&amp;IF(COUNTIFS($A$2:$A$5001,$A158,$C$2:$C$5001,C158)&gt;1,"Artikel doppelt im selben Lager; ",""))</f>
        <v/>
      </c>
      <c r="P158" s="47" t="n">
        <f aca="false">IF(OR($A158="",D158=""),0,IF(COUNTIF($D$2:D158,D158)=1,SUMIF($D$2:$D$5001,D158,$H$2:$H$5001)+ROW()/10000000,0))</f>
        <v>0</v>
      </c>
      <c r="Q158" s="47" t="n">
        <f aca="false">IF(OR($A158="",C158=""),0,IF(COUNTIF($C$2:C158,C158)=1,SUMIF($C$2:$C$5001,C158,$H$2:$H$5001)+ROW()/10000000,0))</f>
        <v>0</v>
      </c>
    </row>
    <row r="159" customFormat="false" ht="15" hidden="false" customHeight="false" outlineLevel="0" collapsed="false">
      <c r="A159" s="43"/>
      <c r="B159" s="44"/>
      <c r="C159" s="44"/>
      <c r="D159" s="44"/>
      <c r="E159" s="44"/>
      <c r="F159" s="44"/>
      <c r="G159" s="44"/>
      <c r="H159" s="46" t="str">
        <f aca="false">IF($A159="","",IF(OR(NOT(ISNUMBER(E159)),NOT(ISNUMBER(F159))),"",MAX(0,E159)*F159))</f>
        <v/>
      </c>
      <c r="I159" s="46" t="str">
        <f aca="false">IF($A159="","",SUMIF($A$2:$A$5001,$A159,$H$2:$H$5001))</f>
        <v/>
      </c>
      <c r="J159" s="47" t="n">
        <f aca="false">IF($A159="",0,IF(COUNTIF($A$2:A159,$A159)=1,1,0))</f>
        <v>0</v>
      </c>
      <c r="K159" s="47" t="n">
        <f aca="false">IF(J159=1,N(I159)+ROW()/10000000,0)</f>
        <v>0</v>
      </c>
      <c r="L159" s="47" t="str">
        <f aca="false">IF(AND(J159=1,N(I159)&gt;0),SUMIF($K$2:$K$5001,"&gt;="&amp;K159,$I$2:$I$5001)/MAX(1,SUM($H$2:$H$5001)),"")</f>
        <v/>
      </c>
      <c r="M159" s="47" t="str">
        <f aca="false">IF($A159="","",INDEX($L$2:$L$5001,MATCH($A159,$A$2:$A$5001,0)))</f>
        <v/>
      </c>
      <c r="N159" s="48" t="str">
        <f aca="false">IF($A159="","",IF(N(M159)=0,"–",IF(M159&lt;=Start!$D$20,"A",IF(M159&lt;=Start!$D$21,"B","C"))))</f>
        <v/>
      </c>
      <c r="O159" s="48" t="str">
        <f aca="false">IF($A159="","",IF(NOT(ISNUMBER(F159)),"Wert fehlt; ",IF(F159&lt;=0,"Wert ist 0; ",""))&amp;IF(NOT(ISNUMBER(E159)),"Bestand fehlt; ",IF(E159&lt;0,"Bestand negativ; ",IF(E159=0,"Nullbestand; ","")))&amp;IF(D159="","Warengruppe fehlt; ","")&amp;IF(B159="","Bezeichnung fehlt; ","")&amp;IF(COUNTIFS($A$2:$A$5001,$A159,$C$2:$C$5001,C159)&gt;1,"Artikel doppelt im selben Lager; ",""))</f>
        <v/>
      </c>
      <c r="P159" s="47" t="n">
        <f aca="false">IF(OR($A159="",D159=""),0,IF(COUNTIF($D$2:D159,D159)=1,SUMIF($D$2:$D$5001,D159,$H$2:$H$5001)+ROW()/10000000,0))</f>
        <v>0</v>
      </c>
      <c r="Q159" s="47" t="n">
        <f aca="false">IF(OR($A159="",C159=""),0,IF(COUNTIF($C$2:C159,C159)=1,SUMIF($C$2:$C$5001,C159,$H$2:$H$5001)+ROW()/10000000,0))</f>
        <v>0</v>
      </c>
    </row>
    <row r="160" customFormat="false" ht="15" hidden="false" customHeight="false" outlineLevel="0" collapsed="false">
      <c r="A160" s="43"/>
      <c r="B160" s="44"/>
      <c r="C160" s="44"/>
      <c r="D160" s="44"/>
      <c r="E160" s="44"/>
      <c r="F160" s="44"/>
      <c r="G160" s="44"/>
      <c r="H160" s="46" t="str">
        <f aca="false">IF($A160="","",IF(OR(NOT(ISNUMBER(E160)),NOT(ISNUMBER(F160))),"",MAX(0,E160)*F160))</f>
        <v/>
      </c>
      <c r="I160" s="46" t="str">
        <f aca="false">IF($A160="","",SUMIF($A$2:$A$5001,$A160,$H$2:$H$5001))</f>
        <v/>
      </c>
      <c r="J160" s="47" t="n">
        <f aca="false">IF($A160="",0,IF(COUNTIF($A$2:A160,$A160)=1,1,0))</f>
        <v>0</v>
      </c>
      <c r="K160" s="47" t="n">
        <f aca="false">IF(J160=1,N(I160)+ROW()/10000000,0)</f>
        <v>0</v>
      </c>
      <c r="L160" s="47" t="str">
        <f aca="false">IF(AND(J160=1,N(I160)&gt;0),SUMIF($K$2:$K$5001,"&gt;="&amp;K160,$I$2:$I$5001)/MAX(1,SUM($H$2:$H$5001)),"")</f>
        <v/>
      </c>
      <c r="M160" s="47" t="str">
        <f aca="false">IF($A160="","",INDEX($L$2:$L$5001,MATCH($A160,$A$2:$A$5001,0)))</f>
        <v/>
      </c>
      <c r="N160" s="48" t="str">
        <f aca="false">IF($A160="","",IF(N(M160)=0,"–",IF(M160&lt;=Start!$D$20,"A",IF(M160&lt;=Start!$D$21,"B","C"))))</f>
        <v/>
      </c>
      <c r="O160" s="48" t="str">
        <f aca="false">IF($A160="","",IF(NOT(ISNUMBER(F160)),"Wert fehlt; ",IF(F160&lt;=0,"Wert ist 0; ",""))&amp;IF(NOT(ISNUMBER(E160)),"Bestand fehlt; ",IF(E160&lt;0,"Bestand negativ; ",IF(E160=0,"Nullbestand; ","")))&amp;IF(D160="","Warengruppe fehlt; ","")&amp;IF(B160="","Bezeichnung fehlt; ","")&amp;IF(COUNTIFS($A$2:$A$5001,$A160,$C$2:$C$5001,C160)&gt;1,"Artikel doppelt im selben Lager; ",""))</f>
        <v/>
      </c>
      <c r="P160" s="47" t="n">
        <f aca="false">IF(OR($A160="",D160=""),0,IF(COUNTIF($D$2:D160,D160)=1,SUMIF($D$2:$D$5001,D160,$H$2:$H$5001)+ROW()/10000000,0))</f>
        <v>0</v>
      </c>
      <c r="Q160" s="47" t="n">
        <f aca="false">IF(OR($A160="",C160=""),0,IF(COUNTIF($C$2:C160,C160)=1,SUMIF($C$2:$C$5001,C160,$H$2:$H$5001)+ROW()/10000000,0))</f>
        <v>0</v>
      </c>
    </row>
    <row r="161" customFormat="false" ht="15" hidden="false" customHeight="false" outlineLevel="0" collapsed="false">
      <c r="A161" s="43"/>
      <c r="B161" s="44"/>
      <c r="C161" s="44"/>
      <c r="D161" s="44"/>
      <c r="E161" s="44"/>
      <c r="F161" s="44"/>
      <c r="G161" s="44"/>
      <c r="H161" s="46" t="str">
        <f aca="false">IF($A161="","",IF(OR(NOT(ISNUMBER(E161)),NOT(ISNUMBER(F161))),"",MAX(0,E161)*F161))</f>
        <v/>
      </c>
      <c r="I161" s="46" t="str">
        <f aca="false">IF($A161="","",SUMIF($A$2:$A$5001,$A161,$H$2:$H$5001))</f>
        <v/>
      </c>
      <c r="J161" s="47" t="n">
        <f aca="false">IF($A161="",0,IF(COUNTIF($A$2:A161,$A161)=1,1,0))</f>
        <v>0</v>
      </c>
      <c r="K161" s="47" t="n">
        <f aca="false">IF(J161=1,N(I161)+ROW()/10000000,0)</f>
        <v>0</v>
      </c>
      <c r="L161" s="47" t="str">
        <f aca="false">IF(AND(J161=1,N(I161)&gt;0),SUMIF($K$2:$K$5001,"&gt;="&amp;K161,$I$2:$I$5001)/MAX(1,SUM($H$2:$H$5001)),"")</f>
        <v/>
      </c>
      <c r="M161" s="47" t="str">
        <f aca="false">IF($A161="","",INDEX($L$2:$L$5001,MATCH($A161,$A$2:$A$5001,0)))</f>
        <v/>
      </c>
      <c r="N161" s="48" t="str">
        <f aca="false">IF($A161="","",IF(N(M161)=0,"–",IF(M161&lt;=Start!$D$20,"A",IF(M161&lt;=Start!$D$21,"B","C"))))</f>
        <v/>
      </c>
      <c r="O161" s="48" t="str">
        <f aca="false">IF($A161="","",IF(NOT(ISNUMBER(F161)),"Wert fehlt; ",IF(F161&lt;=0,"Wert ist 0; ",""))&amp;IF(NOT(ISNUMBER(E161)),"Bestand fehlt; ",IF(E161&lt;0,"Bestand negativ; ",IF(E161=0,"Nullbestand; ","")))&amp;IF(D161="","Warengruppe fehlt; ","")&amp;IF(B161="","Bezeichnung fehlt; ","")&amp;IF(COUNTIFS($A$2:$A$5001,$A161,$C$2:$C$5001,C161)&gt;1,"Artikel doppelt im selben Lager; ",""))</f>
        <v/>
      </c>
      <c r="P161" s="47" t="n">
        <f aca="false">IF(OR($A161="",D161=""),0,IF(COUNTIF($D$2:D161,D161)=1,SUMIF($D$2:$D$5001,D161,$H$2:$H$5001)+ROW()/10000000,0))</f>
        <v>0</v>
      </c>
      <c r="Q161" s="47" t="n">
        <f aca="false">IF(OR($A161="",C161=""),0,IF(COUNTIF($C$2:C161,C161)=1,SUMIF($C$2:$C$5001,C161,$H$2:$H$5001)+ROW()/10000000,0))</f>
        <v>0</v>
      </c>
    </row>
    <row r="162" customFormat="false" ht="15" hidden="false" customHeight="false" outlineLevel="0" collapsed="false">
      <c r="A162" s="43"/>
      <c r="B162" s="44"/>
      <c r="C162" s="44"/>
      <c r="D162" s="44"/>
      <c r="E162" s="44"/>
      <c r="F162" s="44"/>
      <c r="G162" s="44"/>
      <c r="H162" s="46" t="str">
        <f aca="false">IF($A162="","",IF(OR(NOT(ISNUMBER(E162)),NOT(ISNUMBER(F162))),"",MAX(0,E162)*F162))</f>
        <v/>
      </c>
      <c r="I162" s="46" t="str">
        <f aca="false">IF($A162="","",SUMIF($A$2:$A$5001,$A162,$H$2:$H$5001))</f>
        <v/>
      </c>
      <c r="J162" s="47" t="n">
        <f aca="false">IF($A162="",0,IF(COUNTIF($A$2:A162,$A162)=1,1,0))</f>
        <v>0</v>
      </c>
      <c r="K162" s="47" t="n">
        <f aca="false">IF(J162=1,N(I162)+ROW()/10000000,0)</f>
        <v>0</v>
      </c>
      <c r="L162" s="47" t="str">
        <f aca="false">IF(AND(J162=1,N(I162)&gt;0),SUMIF($K$2:$K$5001,"&gt;="&amp;K162,$I$2:$I$5001)/MAX(1,SUM($H$2:$H$5001)),"")</f>
        <v/>
      </c>
      <c r="M162" s="47" t="str">
        <f aca="false">IF($A162="","",INDEX($L$2:$L$5001,MATCH($A162,$A$2:$A$5001,0)))</f>
        <v/>
      </c>
      <c r="N162" s="48" t="str">
        <f aca="false">IF($A162="","",IF(N(M162)=0,"–",IF(M162&lt;=Start!$D$20,"A",IF(M162&lt;=Start!$D$21,"B","C"))))</f>
        <v/>
      </c>
      <c r="O162" s="48" t="str">
        <f aca="false">IF($A162="","",IF(NOT(ISNUMBER(F162)),"Wert fehlt; ",IF(F162&lt;=0,"Wert ist 0; ",""))&amp;IF(NOT(ISNUMBER(E162)),"Bestand fehlt; ",IF(E162&lt;0,"Bestand negativ; ",IF(E162=0,"Nullbestand; ","")))&amp;IF(D162="","Warengruppe fehlt; ","")&amp;IF(B162="","Bezeichnung fehlt; ","")&amp;IF(COUNTIFS($A$2:$A$5001,$A162,$C$2:$C$5001,C162)&gt;1,"Artikel doppelt im selben Lager; ",""))</f>
        <v/>
      </c>
      <c r="P162" s="47" t="n">
        <f aca="false">IF(OR($A162="",D162=""),0,IF(COUNTIF($D$2:D162,D162)=1,SUMIF($D$2:$D$5001,D162,$H$2:$H$5001)+ROW()/10000000,0))</f>
        <v>0</v>
      </c>
      <c r="Q162" s="47" t="n">
        <f aca="false">IF(OR($A162="",C162=""),0,IF(COUNTIF($C$2:C162,C162)=1,SUMIF($C$2:$C$5001,C162,$H$2:$H$5001)+ROW()/10000000,0))</f>
        <v>0</v>
      </c>
    </row>
    <row r="163" customFormat="false" ht="15" hidden="false" customHeight="false" outlineLevel="0" collapsed="false">
      <c r="A163" s="43"/>
      <c r="B163" s="44"/>
      <c r="C163" s="44"/>
      <c r="D163" s="44"/>
      <c r="E163" s="44"/>
      <c r="F163" s="44"/>
      <c r="G163" s="44"/>
      <c r="H163" s="46" t="str">
        <f aca="false">IF($A163="","",IF(OR(NOT(ISNUMBER(E163)),NOT(ISNUMBER(F163))),"",MAX(0,E163)*F163))</f>
        <v/>
      </c>
      <c r="I163" s="46" t="str">
        <f aca="false">IF($A163="","",SUMIF($A$2:$A$5001,$A163,$H$2:$H$5001))</f>
        <v/>
      </c>
      <c r="J163" s="47" t="n">
        <f aca="false">IF($A163="",0,IF(COUNTIF($A$2:A163,$A163)=1,1,0))</f>
        <v>0</v>
      </c>
      <c r="K163" s="47" t="n">
        <f aca="false">IF(J163=1,N(I163)+ROW()/10000000,0)</f>
        <v>0</v>
      </c>
      <c r="L163" s="47" t="str">
        <f aca="false">IF(AND(J163=1,N(I163)&gt;0),SUMIF($K$2:$K$5001,"&gt;="&amp;K163,$I$2:$I$5001)/MAX(1,SUM($H$2:$H$5001)),"")</f>
        <v/>
      </c>
      <c r="M163" s="47" t="str">
        <f aca="false">IF($A163="","",INDEX($L$2:$L$5001,MATCH($A163,$A$2:$A$5001,0)))</f>
        <v/>
      </c>
      <c r="N163" s="48" t="str">
        <f aca="false">IF($A163="","",IF(N(M163)=0,"–",IF(M163&lt;=Start!$D$20,"A",IF(M163&lt;=Start!$D$21,"B","C"))))</f>
        <v/>
      </c>
      <c r="O163" s="48" t="str">
        <f aca="false">IF($A163="","",IF(NOT(ISNUMBER(F163)),"Wert fehlt; ",IF(F163&lt;=0,"Wert ist 0; ",""))&amp;IF(NOT(ISNUMBER(E163)),"Bestand fehlt; ",IF(E163&lt;0,"Bestand negativ; ",IF(E163=0,"Nullbestand; ","")))&amp;IF(D163="","Warengruppe fehlt; ","")&amp;IF(B163="","Bezeichnung fehlt; ","")&amp;IF(COUNTIFS($A$2:$A$5001,$A163,$C$2:$C$5001,C163)&gt;1,"Artikel doppelt im selben Lager; ",""))</f>
        <v/>
      </c>
      <c r="P163" s="47" t="n">
        <f aca="false">IF(OR($A163="",D163=""),0,IF(COUNTIF($D$2:D163,D163)=1,SUMIF($D$2:$D$5001,D163,$H$2:$H$5001)+ROW()/10000000,0))</f>
        <v>0</v>
      </c>
      <c r="Q163" s="47" t="n">
        <f aca="false">IF(OR($A163="",C163=""),0,IF(COUNTIF($C$2:C163,C163)=1,SUMIF($C$2:$C$5001,C163,$H$2:$H$5001)+ROW()/10000000,0))</f>
        <v>0</v>
      </c>
    </row>
    <row r="164" customFormat="false" ht="15" hidden="false" customHeight="false" outlineLevel="0" collapsed="false">
      <c r="A164" s="43"/>
      <c r="B164" s="44"/>
      <c r="C164" s="44"/>
      <c r="D164" s="44"/>
      <c r="E164" s="44"/>
      <c r="F164" s="44"/>
      <c r="G164" s="44"/>
      <c r="H164" s="46" t="str">
        <f aca="false">IF($A164="","",IF(OR(NOT(ISNUMBER(E164)),NOT(ISNUMBER(F164))),"",MAX(0,E164)*F164))</f>
        <v/>
      </c>
      <c r="I164" s="46" t="str">
        <f aca="false">IF($A164="","",SUMIF($A$2:$A$5001,$A164,$H$2:$H$5001))</f>
        <v/>
      </c>
      <c r="J164" s="47" t="n">
        <f aca="false">IF($A164="",0,IF(COUNTIF($A$2:A164,$A164)=1,1,0))</f>
        <v>0</v>
      </c>
      <c r="K164" s="47" t="n">
        <f aca="false">IF(J164=1,N(I164)+ROW()/10000000,0)</f>
        <v>0</v>
      </c>
      <c r="L164" s="47" t="str">
        <f aca="false">IF(AND(J164=1,N(I164)&gt;0),SUMIF($K$2:$K$5001,"&gt;="&amp;K164,$I$2:$I$5001)/MAX(1,SUM($H$2:$H$5001)),"")</f>
        <v/>
      </c>
      <c r="M164" s="47" t="str">
        <f aca="false">IF($A164="","",INDEX($L$2:$L$5001,MATCH($A164,$A$2:$A$5001,0)))</f>
        <v/>
      </c>
      <c r="N164" s="48" t="str">
        <f aca="false">IF($A164="","",IF(N(M164)=0,"–",IF(M164&lt;=Start!$D$20,"A",IF(M164&lt;=Start!$D$21,"B","C"))))</f>
        <v/>
      </c>
      <c r="O164" s="48" t="str">
        <f aca="false">IF($A164="","",IF(NOT(ISNUMBER(F164)),"Wert fehlt; ",IF(F164&lt;=0,"Wert ist 0; ",""))&amp;IF(NOT(ISNUMBER(E164)),"Bestand fehlt; ",IF(E164&lt;0,"Bestand negativ; ",IF(E164=0,"Nullbestand; ","")))&amp;IF(D164="","Warengruppe fehlt; ","")&amp;IF(B164="","Bezeichnung fehlt; ","")&amp;IF(COUNTIFS($A$2:$A$5001,$A164,$C$2:$C$5001,C164)&gt;1,"Artikel doppelt im selben Lager; ",""))</f>
        <v/>
      </c>
      <c r="P164" s="47" t="n">
        <f aca="false">IF(OR($A164="",D164=""),0,IF(COUNTIF($D$2:D164,D164)=1,SUMIF($D$2:$D$5001,D164,$H$2:$H$5001)+ROW()/10000000,0))</f>
        <v>0</v>
      </c>
      <c r="Q164" s="47" t="n">
        <f aca="false">IF(OR($A164="",C164=""),0,IF(COUNTIF($C$2:C164,C164)=1,SUMIF($C$2:$C$5001,C164,$H$2:$H$5001)+ROW()/10000000,0))</f>
        <v>0</v>
      </c>
    </row>
    <row r="165" customFormat="false" ht="15" hidden="false" customHeight="false" outlineLevel="0" collapsed="false">
      <c r="A165" s="43"/>
      <c r="B165" s="44"/>
      <c r="C165" s="44"/>
      <c r="D165" s="44"/>
      <c r="E165" s="44"/>
      <c r="F165" s="44"/>
      <c r="G165" s="44"/>
      <c r="H165" s="46" t="str">
        <f aca="false">IF($A165="","",IF(OR(NOT(ISNUMBER(E165)),NOT(ISNUMBER(F165))),"",MAX(0,E165)*F165))</f>
        <v/>
      </c>
      <c r="I165" s="46" t="str">
        <f aca="false">IF($A165="","",SUMIF($A$2:$A$5001,$A165,$H$2:$H$5001))</f>
        <v/>
      </c>
      <c r="J165" s="47" t="n">
        <f aca="false">IF($A165="",0,IF(COUNTIF($A$2:A165,$A165)=1,1,0))</f>
        <v>0</v>
      </c>
      <c r="K165" s="47" t="n">
        <f aca="false">IF(J165=1,N(I165)+ROW()/10000000,0)</f>
        <v>0</v>
      </c>
      <c r="L165" s="47" t="str">
        <f aca="false">IF(AND(J165=1,N(I165)&gt;0),SUMIF($K$2:$K$5001,"&gt;="&amp;K165,$I$2:$I$5001)/MAX(1,SUM($H$2:$H$5001)),"")</f>
        <v/>
      </c>
      <c r="M165" s="47" t="str">
        <f aca="false">IF($A165="","",INDEX($L$2:$L$5001,MATCH($A165,$A$2:$A$5001,0)))</f>
        <v/>
      </c>
      <c r="N165" s="48" t="str">
        <f aca="false">IF($A165="","",IF(N(M165)=0,"–",IF(M165&lt;=Start!$D$20,"A",IF(M165&lt;=Start!$D$21,"B","C"))))</f>
        <v/>
      </c>
      <c r="O165" s="48" t="str">
        <f aca="false">IF($A165="","",IF(NOT(ISNUMBER(F165)),"Wert fehlt; ",IF(F165&lt;=0,"Wert ist 0; ",""))&amp;IF(NOT(ISNUMBER(E165)),"Bestand fehlt; ",IF(E165&lt;0,"Bestand negativ; ",IF(E165=0,"Nullbestand; ","")))&amp;IF(D165="","Warengruppe fehlt; ","")&amp;IF(B165="","Bezeichnung fehlt; ","")&amp;IF(COUNTIFS($A$2:$A$5001,$A165,$C$2:$C$5001,C165)&gt;1,"Artikel doppelt im selben Lager; ",""))</f>
        <v/>
      </c>
      <c r="P165" s="47" t="n">
        <f aca="false">IF(OR($A165="",D165=""),0,IF(COUNTIF($D$2:D165,D165)=1,SUMIF($D$2:$D$5001,D165,$H$2:$H$5001)+ROW()/10000000,0))</f>
        <v>0</v>
      </c>
      <c r="Q165" s="47" t="n">
        <f aca="false">IF(OR($A165="",C165=""),0,IF(COUNTIF($C$2:C165,C165)=1,SUMIF($C$2:$C$5001,C165,$H$2:$H$5001)+ROW()/10000000,0))</f>
        <v>0</v>
      </c>
    </row>
    <row r="166" customFormat="false" ht="15" hidden="false" customHeight="false" outlineLevel="0" collapsed="false">
      <c r="A166" s="43"/>
      <c r="B166" s="44"/>
      <c r="C166" s="44"/>
      <c r="D166" s="44"/>
      <c r="E166" s="44"/>
      <c r="F166" s="44"/>
      <c r="G166" s="44"/>
      <c r="H166" s="46" t="str">
        <f aca="false">IF($A166="","",IF(OR(NOT(ISNUMBER(E166)),NOT(ISNUMBER(F166))),"",MAX(0,E166)*F166))</f>
        <v/>
      </c>
      <c r="I166" s="46" t="str">
        <f aca="false">IF($A166="","",SUMIF($A$2:$A$5001,$A166,$H$2:$H$5001))</f>
        <v/>
      </c>
      <c r="J166" s="47" t="n">
        <f aca="false">IF($A166="",0,IF(COUNTIF($A$2:A166,$A166)=1,1,0))</f>
        <v>0</v>
      </c>
      <c r="K166" s="47" t="n">
        <f aca="false">IF(J166=1,N(I166)+ROW()/10000000,0)</f>
        <v>0</v>
      </c>
      <c r="L166" s="47" t="str">
        <f aca="false">IF(AND(J166=1,N(I166)&gt;0),SUMIF($K$2:$K$5001,"&gt;="&amp;K166,$I$2:$I$5001)/MAX(1,SUM($H$2:$H$5001)),"")</f>
        <v/>
      </c>
      <c r="M166" s="47" t="str">
        <f aca="false">IF($A166="","",INDEX($L$2:$L$5001,MATCH($A166,$A$2:$A$5001,0)))</f>
        <v/>
      </c>
      <c r="N166" s="48" t="str">
        <f aca="false">IF($A166="","",IF(N(M166)=0,"–",IF(M166&lt;=Start!$D$20,"A",IF(M166&lt;=Start!$D$21,"B","C"))))</f>
        <v/>
      </c>
      <c r="O166" s="48" t="str">
        <f aca="false">IF($A166="","",IF(NOT(ISNUMBER(F166)),"Wert fehlt; ",IF(F166&lt;=0,"Wert ist 0; ",""))&amp;IF(NOT(ISNUMBER(E166)),"Bestand fehlt; ",IF(E166&lt;0,"Bestand negativ; ",IF(E166=0,"Nullbestand; ","")))&amp;IF(D166="","Warengruppe fehlt; ","")&amp;IF(B166="","Bezeichnung fehlt; ","")&amp;IF(COUNTIFS($A$2:$A$5001,$A166,$C$2:$C$5001,C166)&gt;1,"Artikel doppelt im selben Lager; ",""))</f>
        <v/>
      </c>
      <c r="P166" s="47" t="n">
        <f aca="false">IF(OR($A166="",D166=""),0,IF(COUNTIF($D$2:D166,D166)=1,SUMIF($D$2:$D$5001,D166,$H$2:$H$5001)+ROW()/10000000,0))</f>
        <v>0</v>
      </c>
      <c r="Q166" s="47" t="n">
        <f aca="false">IF(OR($A166="",C166=""),0,IF(COUNTIF($C$2:C166,C166)=1,SUMIF($C$2:$C$5001,C166,$H$2:$H$5001)+ROW()/10000000,0))</f>
        <v>0</v>
      </c>
    </row>
    <row r="167" customFormat="false" ht="15" hidden="false" customHeight="false" outlineLevel="0" collapsed="false">
      <c r="A167" s="43"/>
      <c r="B167" s="44"/>
      <c r="C167" s="44"/>
      <c r="D167" s="44"/>
      <c r="E167" s="44"/>
      <c r="F167" s="44"/>
      <c r="G167" s="44"/>
      <c r="H167" s="46" t="str">
        <f aca="false">IF($A167="","",IF(OR(NOT(ISNUMBER(E167)),NOT(ISNUMBER(F167))),"",MAX(0,E167)*F167))</f>
        <v/>
      </c>
      <c r="I167" s="46" t="str">
        <f aca="false">IF($A167="","",SUMIF($A$2:$A$5001,$A167,$H$2:$H$5001))</f>
        <v/>
      </c>
      <c r="J167" s="47" t="n">
        <f aca="false">IF($A167="",0,IF(COUNTIF($A$2:A167,$A167)=1,1,0))</f>
        <v>0</v>
      </c>
      <c r="K167" s="47" t="n">
        <f aca="false">IF(J167=1,N(I167)+ROW()/10000000,0)</f>
        <v>0</v>
      </c>
      <c r="L167" s="47" t="str">
        <f aca="false">IF(AND(J167=1,N(I167)&gt;0),SUMIF($K$2:$K$5001,"&gt;="&amp;K167,$I$2:$I$5001)/MAX(1,SUM($H$2:$H$5001)),"")</f>
        <v/>
      </c>
      <c r="M167" s="47" t="str">
        <f aca="false">IF($A167="","",INDEX($L$2:$L$5001,MATCH($A167,$A$2:$A$5001,0)))</f>
        <v/>
      </c>
      <c r="N167" s="48" t="str">
        <f aca="false">IF($A167="","",IF(N(M167)=0,"–",IF(M167&lt;=Start!$D$20,"A",IF(M167&lt;=Start!$D$21,"B","C"))))</f>
        <v/>
      </c>
      <c r="O167" s="48" t="str">
        <f aca="false">IF($A167="","",IF(NOT(ISNUMBER(F167)),"Wert fehlt; ",IF(F167&lt;=0,"Wert ist 0; ",""))&amp;IF(NOT(ISNUMBER(E167)),"Bestand fehlt; ",IF(E167&lt;0,"Bestand negativ; ",IF(E167=0,"Nullbestand; ","")))&amp;IF(D167="","Warengruppe fehlt; ","")&amp;IF(B167="","Bezeichnung fehlt; ","")&amp;IF(COUNTIFS($A$2:$A$5001,$A167,$C$2:$C$5001,C167)&gt;1,"Artikel doppelt im selben Lager; ",""))</f>
        <v/>
      </c>
      <c r="P167" s="47" t="n">
        <f aca="false">IF(OR($A167="",D167=""),0,IF(COUNTIF($D$2:D167,D167)=1,SUMIF($D$2:$D$5001,D167,$H$2:$H$5001)+ROW()/10000000,0))</f>
        <v>0</v>
      </c>
      <c r="Q167" s="47" t="n">
        <f aca="false">IF(OR($A167="",C167=""),0,IF(COUNTIF($C$2:C167,C167)=1,SUMIF($C$2:$C$5001,C167,$H$2:$H$5001)+ROW()/10000000,0))</f>
        <v>0</v>
      </c>
    </row>
    <row r="168" customFormat="false" ht="15" hidden="false" customHeight="false" outlineLevel="0" collapsed="false">
      <c r="A168" s="43"/>
      <c r="B168" s="44"/>
      <c r="C168" s="44"/>
      <c r="D168" s="44"/>
      <c r="E168" s="44"/>
      <c r="F168" s="44"/>
      <c r="G168" s="44"/>
      <c r="H168" s="46" t="str">
        <f aca="false">IF($A168="","",IF(OR(NOT(ISNUMBER(E168)),NOT(ISNUMBER(F168))),"",MAX(0,E168)*F168))</f>
        <v/>
      </c>
      <c r="I168" s="46" t="str">
        <f aca="false">IF($A168="","",SUMIF($A$2:$A$5001,$A168,$H$2:$H$5001))</f>
        <v/>
      </c>
      <c r="J168" s="47" t="n">
        <f aca="false">IF($A168="",0,IF(COUNTIF($A$2:A168,$A168)=1,1,0))</f>
        <v>0</v>
      </c>
      <c r="K168" s="47" t="n">
        <f aca="false">IF(J168=1,N(I168)+ROW()/10000000,0)</f>
        <v>0</v>
      </c>
      <c r="L168" s="47" t="str">
        <f aca="false">IF(AND(J168=1,N(I168)&gt;0),SUMIF($K$2:$K$5001,"&gt;="&amp;K168,$I$2:$I$5001)/MAX(1,SUM($H$2:$H$5001)),"")</f>
        <v/>
      </c>
      <c r="M168" s="47" t="str">
        <f aca="false">IF($A168="","",INDEX($L$2:$L$5001,MATCH($A168,$A$2:$A$5001,0)))</f>
        <v/>
      </c>
      <c r="N168" s="48" t="str">
        <f aca="false">IF($A168="","",IF(N(M168)=0,"–",IF(M168&lt;=Start!$D$20,"A",IF(M168&lt;=Start!$D$21,"B","C"))))</f>
        <v/>
      </c>
      <c r="O168" s="48" t="str">
        <f aca="false">IF($A168="","",IF(NOT(ISNUMBER(F168)),"Wert fehlt; ",IF(F168&lt;=0,"Wert ist 0; ",""))&amp;IF(NOT(ISNUMBER(E168)),"Bestand fehlt; ",IF(E168&lt;0,"Bestand negativ; ",IF(E168=0,"Nullbestand; ","")))&amp;IF(D168="","Warengruppe fehlt; ","")&amp;IF(B168="","Bezeichnung fehlt; ","")&amp;IF(COUNTIFS($A$2:$A$5001,$A168,$C$2:$C$5001,C168)&gt;1,"Artikel doppelt im selben Lager; ",""))</f>
        <v/>
      </c>
      <c r="P168" s="47" t="n">
        <f aca="false">IF(OR($A168="",D168=""),0,IF(COUNTIF($D$2:D168,D168)=1,SUMIF($D$2:$D$5001,D168,$H$2:$H$5001)+ROW()/10000000,0))</f>
        <v>0</v>
      </c>
      <c r="Q168" s="47" t="n">
        <f aca="false">IF(OR($A168="",C168=""),0,IF(COUNTIF($C$2:C168,C168)=1,SUMIF($C$2:$C$5001,C168,$H$2:$H$5001)+ROW()/10000000,0))</f>
        <v>0</v>
      </c>
    </row>
    <row r="169" customFormat="false" ht="15" hidden="false" customHeight="false" outlineLevel="0" collapsed="false">
      <c r="A169" s="43"/>
      <c r="B169" s="44"/>
      <c r="C169" s="44"/>
      <c r="D169" s="44"/>
      <c r="E169" s="44"/>
      <c r="F169" s="44"/>
      <c r="G169" s="44"/>
      <c r="H169" s="46" t="str">
        <f aca="false">IF($A169="","",IF(OR(NOT(ISNUMBER(E169)),NOT(ISNUMBER(F169))),"",MAX(0,E169)*F169))</f>
        <v/>
      </c>
      <c r="I169" s="46" t="str">
        <f aca="false">IF($A169="","",SUMIF($A$2:$A$5001,$A169,$H$2:$H$5001))</f>
        <v/>
      </c>
      <c r="J169" s="47" t="n">
        <f aca="false">IF($A169="",0,IF(COUNTIF($A$2:A169,$A169)=1,1,0))</f>
        <v>0</v>
      </c>
      <c r="K169" s="47" t="n">
        <f aca="false">IF(J169=1,N(I169)+ROW()/10000000,0)</f>
        <v>0</v>
      </c>
      <c r="L169" s="47" t="str">
        <f aca="false">IF(AND(J169=1,N(I169)&gt;0),SUMIF($K$2:$K$5001,"&gt;="&amp;K169,$I$2:$I$5001)/MAX(1,SUM($H$2:$H$5001)),"")</f>
        <v/>
      </c>
      <c r="M169" s="47" t="str">
        <f aca="false">IF($A169="","",INDEX($L$2:$L$5001,MATCH($A169,$A$2:$A$5001,0)))</f>
        <v/>
      </c>
      <c r="N169" s="48" t="str">
        <f aca="false">IF($A169="","",IF(N(M169)=0,"–",IF(M169&lt;=Start!$D$20,"A",IF(M169&lt;=Start!$D$21,"B","C"))))</f>
        <v/>
      </c>
      <c r="O169" s="48" t="str">
        <f aca="false">IF($A169="","",IF(NOT(ISNUMBER(F169)),"Wert fehlt; ",IF(F169&lt;=0,"Wert ist 0; ",""))&amp;IF(NOT(ISNUMBER(E169)),"Bestand fehlt; ",IF(E169&lt;0,"Bestand negativ; ",IF(E169=0,"Nullbestand; ","")))&amp;IF(D169="","Warengruppe fehlt; ","")&amp;IF(B169="","Bezeichnung fehlt; ","")&amp;IF(COUNTIFS($A$2:$A$5001,$A169,$C$2:$C$5001,C169)&gt;1,"Artikel doppelt im selben Lager; ",""))</f>
        <v/>
      </c>
      <c r="P169" s="47" t="n">
        <f aca="false">IF(OR($A169="",D169=""),0,IF(COUNTIF($D$2:D169,D169)=1,SUMIF($D$2:$D$5001,D169,$H$2:$H$5001)+ROW()/10000000,0))</f>
        <v>0</v>
      </c>
      <c r="Q169" s="47" t="n">
        <f aca="false">IF(OR($A169="",C169=""),0,IF(COUNTIF($C$2:C169,C169)=1,SUMIF($C$2:$C$5001,C169,$H$2:$H$5001)+ROW()/10000000,0))</f>
        <v>0</v>
      </c>
    </row>
    <row r="170" customFormat="false" ht="15" hidden="false" customHeight="false" outlineLevel="0" collapsed="false">
      <c r="A170" s="43"/>
      <c r="B170" s="44"/>
      <c r="C170" s="44"/>
      <c r="D170" s="44"/>
      <c r="E170" s="44"/>
      <c r="F170" s="44"/>
      <c r="G170" s="44"/>
      <c r="H170" s="46" t="str">
        <f aca="false">IF($A170="","",IF(OR(NOT(ISNUMBER(E170)),NOT(ISNUMBER(F170))),"",MAX(0,E170)*F170))</f>
        <v/>
      </c>
      <c r="I170" s="46" t="str">
        <f aca="false">IF($A170="","",SUMIF($A$2:$A$5001,$A170,$H$2:$H$5001))</f>
        <v/>
      </c>
      <c r="J170" s="47" t="n">
        <f aca="false">IF($A170="",0,IF(COUNTIF($A$2:A170,$A170)=1,1,0))</f>
        <v>0</v>
      </c>
      <c r="K170" s="47" t="n">
        <f aca="false">IF(J170=1,N(I170)+ROW()/10000000,0)</f>
        <v>0</v>
      </c>
      <c r="L170" s="47" t="str">
        <f aca="false">IF(AND(J170=1,N(I170)&gt;0),SUMIF($K$2:$K$5001,"&gt;="&amp;K170,$I$2:$I$5001)/MAX(1,SUM($H$2:$H$5001)),"")</f>
        <v/>
      </c>
      <c r="M170" s="47" t="str">
        <f aca="false">IF($A170="","",INDEX($L$2:$L$5001,MATCH($A170,$A$2:$A$5001,0)))</f>
        <v/>
      </c>
      <c r="N170" s="48" t="str">
        <f aca="false">IF($A170="","",IF(N(M170)=0,"–",IF(M170&lt;=Start!$D$20,"A",IF(M170&lt;=Start!$D$21,"B","C"))))</f>
        <v/>
      </c>
      <c r="O170" s="48" t="str">
        <f aca="false">IF($A170="","",IF(NOT(ISNUMBER(F170)),"Wert fehlt; ",IF(F170&lt;=0,"Wert ist 0; ",""))&amp;IF(NOT(ISNUMBER(E170)),"Bestand fehlt; ",IF(E170&lt;0,"Bestand negativ; ",IF(E170=0,"Nullbestand; ","")))&amp;IF(D170="","Warengruppe fehlt; ","")&amp;IF(B170="","Bezeichnung fehlt; ","")&amp;IF(COUNTIFS($A$2:$A$5001,$A170,$C$2:$C$5001,C170)&gt;1,"Artikel doppelt im selben Lager; ",""))</f>
        <v/>
      </c>
      <c r="P170" s="47" t="n">
        <f aca="false">IF(OR($A170="",D170=""),0,IF(COUNTIF($D$2:D170,D170)=1,SUMIF($D$2:$D$5001,D170,$H$2:$H$5001)+ROW()/10000000,0))</f>
        <v>0</v>
      </c>
      <c r="Q170" s="47" t="n">
        <f aca="false">IF(OR($A170="",C170=""),0,IF(COUNTIF($C$2:C170,C170)=1,SUMIF($C$2:$C$5001,C170,$H$2:$H$5001)+ROW()/10000000,0))</f>
        <v>0</v>
      </c>
    </row>
    <row r="171" customFormat="false" ht="15" hidden="false" customHeight="false" outlineLevel="0" collapsed="false">
      <c r="A171" s="43"/>
      <c r="B171" s="44"/>
      <c r="C171" s="44"/>
      <c r="D171" s="44"/>
      <c r="E171" s="44"/>
      <c r="F171" s="44"/>
      <c r="G171" s="44"/>
      <c r="H171" s="46" t="str">
        <f aca="false">IF($A171="","",IF(OR(NOT(ISNUMBER(E171)),NOT(ISNUMBER(F171))),"",MAX(0,E171)*F171))</f>
        <v/>
      </c>
      <c r="I171" s="46" t="str">
        <f aca="false">IF($A171="","",SUMIF($A$2:$A$5001,$A171,$H$2:$H$5001))</f>
        <v/>
      </c>
      <c r="J171" s="47" t="n">
        <f aca="false">IF($A171="",0,IF(COUNTIF($A$2:A171,$A171)=1,1,0))</f>
        <v>0</v>
      </c>
      <c r="K171" s="47" t="n">
        <f aca="false">IF(J171=1,N(I171)+ROW()/10000000,0)</f>
        <v>0</v>
      </c>
      <c r="L171" s="47" t="str">
        <f aca="false">IF(AND(J171=1,N(I171)&gt;0),SUMIF($K$2:$K$5001,"&gt;="&amp;K171,$I$2:$I$5001)/MAX(1,SUM($H$2:$H$5001)),"")</f>
        <v/>
      </c>
      <c r="M171" s="47" t="str">
        <f aca="false">IF($A171="","",INDEX($L$2:$L$5001,MATCH($A171,$A$2:$A$5001,0)))</f>
        <v/>
      </c>
      <c r="N171" s="48" t="str">
        <f aca="false">IF($A171="","",IF(N(M171)=0,"–",IF(M171&lt;=Start!$D$20,"A",IF(M171&lt;=Start!$D$21,"B","C"))))</f>
        <v/>
      </c>
      <c r="O171" s="48" t="str">
        <f aca="false">IF($A171="","",IF(NOT(ISNUMBER(F171)),"Wert fehlt; ",IF(F171&lt;=0,"Wert ist 0; ",""))&amp;IF(NOT(ISNUMBER(E171)),"Bestand fehlt; ",IF(E171&lt;0,"Bestand negativ; ",IF(E171=0,"Nullbestand; ","")))&amp;IF(D171="","Warengruppe fehlt; ","")&amp;IF(B171="","Bezeichnung fehlt; ","")&amp;IF(COUNTIFS($A$2:$A$5001,$A171,$C$2:$C$5001,C171)&gt;1,"Artikel doppelt im selben Lager; ",""))</f>
        <v/>
      </c>
      <c r="P171" s="47" t="n">
        <f aca="false">IF(OR($A171="",D171=""),0,IF(COUNTIF($D$2:D171,D171)=1,SUMIF($D$2:$D$5001,D171,$H$2:$H$5001)+ROW()/10000000,0))</f>
        <v>0</v>
      </c>
      <c r="Q171" s="47" t="n">
        <f aca="false">IF(OR($A171="",C171=""),0,IF(COUNTIF($C$2:C171,C171)=1,SUMIF($C$2:$C$5001,C171,$H$2:$H$5001)+ROW()/10000000,0))</f>
        <v>0</v>
      </c>
    </row>
    <row r="172" customFormat="false" ht="15" hidden="false" customHeight="false" outlineLevel="0" collapsed="false">
      <c r="A172" s="43"/>
      <c r="B172" s="44"/>
      <c r="C172" s="44"/>
      <c r="D172" s="44"/>
      <c r="E172" s="44"/>
      <c r="F172" s="44"/>
      <c r="G172" s="44"/>
      <c r="H172" s="46" t="str">
        <f aca="false">IF($A172="","",IF(OR(NOT(ISNUMBER(E172)),NOT(ISNUMBER(F172))),"",MAX(0,E172)*F172))</f>
        <v/>
      </c>
      <c r="I172" s="46" t="str">
        <f aca="false">IF($A172="","",SUMIF($A$2:$A$5001,$A172,$H$2:$H$5001))</f>
        <v/>
      </c>
      <c r="J172" s="47" t="n">
        <f aca="false">IF($A172="",0,IF(COUNTIF($A$2:A172,$A172)=1,1,0))</f>
        <v>0</v>
      </c>
      <c r="K172" s="47" t="n">
        <f aca="false">IF(J172=1,N(I172)+ROW()/10000000,0)</f>
        <v>0</v>
      </c>
      <c r="L172" s="47" t="str">
        <f aca="false">IF(AND(J172=1,N(I172)&gt;0),SUMIF($K$2:$K$5001,"&gt;="&amp;K172,$I$2:$I$5001)/MAX(1,SUM($H$2:$H$5001)),"")</f>
        <v/>
      </c>
      <c r="M172" s="47" t="str">
        <f aca="false">IF($A172="","",INDEX($L$2:$L$5001,MATCH($A172,$A$2:$A$5001,0)))</f>
        <v/>
      </c>
      <c r="N172" s="48" t="str">
        <f aca="false">IF($A172="","",IF(N(M172)=0,"–",IF(M172&lt;=Start!$D$20,"A",IF(M172&lt;=Start!$D$21,"B","C"))))</f>
        <v/>
      </c>
      <c r="O172" s="48" t="str">
        <f aca="false">IF($A172="","",IF(NOT(ISNUMBER(F172)),"Wert fehlt; ",IF(F172&lt;=0,"Wert ist 0; ",""))&amp;IF(NOT(ISNUMBER(E172)),"Bestand fehlt; ",IF(E172&lt;0,"Bestand negativ; ",IF(E172=0,"Nullbestand; ","")))&amp;IF(D172="","Warengruppe fehlt; ","")&amp;IF(B172="","Bezeichnung fehlt; ","")&amp;IF(COUNTIFS($A$2:$A$5001,$A172,$C$2:$C$5001,C172)&gt;1,"Artikel doppelt im selben Lager; ",""))</f>
        <v/>
      </c>
      <c r="P172" s="47" t="n">
        <f aca="false">IF(OR($A172="",D172=""),0,IF(COUNTIF($D$2:D172,D172)=1,SUMIF($D$2:$D$5001,D172,$H$2:$H$5001)+ROW()/10000000,0))</f>
        <v>0</v>
      </c>
      <c r="Q172" s="47" t="n">
        <f aca="false">IF(OR($A172="",C172=""),0,IF(COUNTIF($C$2:C172,C172)=1,SUMIF($C$2:$C$5001,C172,$H$2:$H$5001)+ROW()/10000000,0))</f>
        <v>0</v>
      </c>
    </row>
    <row r="173" customFormat="false" ht="15" hidden="false" customHeight="false" outlineLevel="0" collapsed="false">
      <c r="A173" s="43"/>
      <c r="B173" s="44"/>
      <c r="C173" s="44"/>
      <c r="D173" s="44"/>
      <c r="E173" s="44"/>
      <c r="F173" s="44"/>
      <c r="G173" s="44"/>
      <c r="H173" s="46" t="str">
        <f aca="false">IF($A173="","",IF(OR(NOT(ISNUMBER(E173)),NOT(ISNUMBER(F173))),"",MAX(0,E173)*F173))</f>
        <v/>
      </c>
      <c r="I173" s="46" t="str">
        <f aca="false">IF($A173="","",SUMIF($A$2:$A$5001,$A173,$H$2:$H$5001))</f>
        <v/>
      </c>
      <c r="J173" s="47" t="n">
        <f aca="false">IF($A173="",0,IF(COUNTIF($A$2:A173,$A173)=1,1,0))</f>
        <v>0</v>
      </c>
      <c r="K173" s="47" t="n">
        <f aca="false">IF(J173=1,N(I173)+ROW()/10000000,0)</f>
        <v>0</v>
      </c>
      <c r="L173" s="47" t="str">
        <f aca="false">IF(AND(J173=1,N(I173)&gt;0),SUMIF($K$2:$K$5001,"&gt;="&amp;K173,$I$2:$I$5001)/MAX(1,SUM($H$2:$H$5001)),"")</f>
        <v/>
      </c>
      <c r="M173" s="47" t="str">
        <f aca="false">IF($A173="","",INDEX($L$2:$L$5001,MATCH($A173,$A$2:$A$5001,0)))</f>
        <v/>
      </c>
      <c r="N173" s="48" t="str">
        <f aca="false">IF($A173="","",IF(N(M173)=0,"–",IF(M173&lt;=Start!$D$20,"A",IF(M173&lt;=Start!$D$21,"B","C"))))</f>
        <v/>
      </c>
      <c r="O173" s="48" t="str">
        <f aca="false">IF($A173="","",IF(NOT(ISNUMBER(F173)),"Wert fehlt; ",IF(F173&lt;=0,"Wert ist 0; ",""))&amp;IF(NOT(ISNUMBER(E173)),"Bestand fehlt; ",IF(E173&lt;0,"Bestand negativ; ",IF(E173=0,"Nullbestand; ","")))&amp;IF(D173="","Warengruppe fehlt; ","")&amp;IF(B173="","Bezeichnung fehlt; ","")&amp;IF(COUNTIFS($A$2:$A$5001,$A173,$C$2:$C$5001,C173)&gt;1,"Artikel doppelt im selben Lager; ",""))</f>
        <v/>
      </c>
      <c r="P173" s="47" t="n">
        <f aca="false">IF(OR($A173="",D173=""),0,IF(COUNTIF($D$2:D173,D173)=1,SUMIF($D$2:$D$5001,D173,$H$2:$H$5001)+ROW()/10000000,0))</f>
        <v>0</v>
      </c>
      <c r="Q173" s="47" t="n">
        <f aca="false">IF(OR($A173="",C173=""),0,IF(COUNTIF($C$2:C173,C173)=1,SUMIF($C$2:$C$5001,C173,$H$2:$H$5001)+ROW()/10000000,0))</f>
        <v>0</v>
      </c>
    </row>
    <row r="174" customFormat="false" ht="15" hidden="false" customHeight="false" outlineLevel="0" collapsed="false">
      <c r="A174" s="43"/>
      <c r="B174" s="44"/>
      <c r="C174" s="44"/>
      <c r="D174" s="44"/>
      <c r="E174" s="44"/>
      <c r="F174" s="44"/>
      <c r="G174" s="44"/>
      <c r="H174" s="46" t="str">
        <f aca="false">IF($A174="","",IF(OR(NOT(ISNUMBER(E174)),NOT(ISNUMBER(F174))),"",MAX(0,E174)*F174))</f>
        <v/>
      </c>
      <c r="I174" s="46" t="str">
        <f aca="false">IF($A174="","",SUMIF($A$2:$A$5001,$A174,$H$2:$H$5001))</f>
        <v/>
      </c>
      <c r="J174" s="47" t="n">
        <f aca="false">IF($A174="",0,IF(COUNTIF($A$2:A174,$A174)=1,1,0))</f>
        <v>0</v>
      </c>
      <c r="K174" s="47" t="n">
        <f aca="false">IF(J174=1,N(I174)+ROW()/10000000,0)</f>
        <v>0</v>
      </c>
      <c r="L174" s="47" t="str">
        <f aca="false">IF(AND(J174=1,N(I174)&gt;0),SUMIF($K$2:$K$5001,"&gt;="&amp;K174,$I$2:$I$5001)/MAX(1,SUM($H$2:$H$5001)),"")</f>
        <v/>
      </c>
      <c r="M174" s="47" t="str">
        <f aca="false">IF($A174="","",INDEX($L$2:$L$5001,MATCH($A174,$A$2:$A$5001,0)))</f>
        <v/>
      </c>
      <c r="N174" s="48" t="str">
        <f aca="false">IF($A174="","",IF(N(M174)=0,"–",IF(M174&lt;=Start!$D$20,"A",IF(M174&lt;=Start!$D$21,"B","C"))))</f>
        <v/>
      </c>
      <c r="O174" s="48" t="str">
        <f aca="false">IF($A174="","",IF(NOT(ISNUMBER(F174)),"Wert fehlt; ",IF(F174&lt;=0,"Wert ist 0; ",""))&amp;IF(NOT(ISNUMBER(E174)),"Bestand fehlt; ",IF(E174&lt;0,"Bestand negativ; ",IF(E174=0,"Nullbestand; ","")))&amp;IF(D174="","Warengruppe fehlt; ","")&amp;IF(B174="","Bezeichnung fehlt; ","")&amp;IF(COUNTIFS($A$2:$A$5001,$A174,$C$2:$C$5001,C174)&gt;1,"Artikel doppelt im selben Lager; ",""))</f>
        <v/>
      </c>
      <c r="P174" s="47" t="n">
        <f aca="false">IF(OR($A174="",D174=""),0,IF(COUNTIF($D$2:D174,D174)=1,SUMIF($D$2:$D$5001,D174,$H$2:$H$5001)+ROW()/10000000,0))</f>
        <v>0</v>
      </c>
      <c r="Q174" s="47" t="n">
        <f aca="false">IF(OR($A174="",C174=""),0,IF(COUNTIF($C$2:C174,C174)=1,SUMIF($C$2:$C$5001,C174,$H$2:$H$5001)+ROW()/10000000,0))</f>
        <v>0</v>
      </c>
    </row>
    <row r="175" customFormat="false" ht="15" hidden="false" customHeight="false" outlineLevel="0" collapsed="false">
      <c r="A175" s="43"/>
      <c r="B175" s="44"/>
      <c r="C175" s="44"/>
      <c r="D175" s="44"/>
      <c r="E175" s="44"/>
      <c r="F175" s="44"/>
      <c r="G175" s="44"/>
      <c r="H175" s="46" t="str">
        <f aca="false">IF($A175="","",IF(OR(NOT(ISNUMBER(E175)),NOT(ISNUMBER(F175))),"",MAX(0,E175)*F175))</f>
        <v/>
      </c>
      <c r="I175" s="46" t="str">
        <f aca="false">IF($A175="","",SUMIF($A$2:$A$5001,$A175,$H$2:$H$5001))</f>
        <v/>
      </c>
      <c r="J175" s="47" t="n">
        <f aca="false">IF($A175="",0,IF(COUNTIF($A$2:A175,$A175)=1,1,0))</f>
        <v>0</v>
      </c>
      <c r="K175" s="47" t="n">
        <f aca="false">IF(J175=1,N(I175)+ROW()/10000000,0)</f>
        <v>0</v>
      </c>
      <c r="L175" s="47" t="str">
        <f aca="false">IF(AND(J175=1,N(I175)&gt;0),SUMIF($K$2:$K$5001,"&gt;="&amp;K175,$I$2:$I$5001)/MAX(1,SUM($H$2:$H$5001)),"")</f>
        <v/>
      </c>
      <c r="M175" s="47" t="str">
        <f aca="false">IF($A175="","",INDEX($L$2:$L$5001,MATCH($A175,$A$2:$A$5001,0)))</f>
        <v/>
      </c>
      <c r="N175" s="48" t="str">
        <f aca="false">IF($A175="","",IF(N(M175)=0,"–",IF(M175&lt;=Start!$D$20,"A",IF(M175&lt;=Start!$D$21,"B","C"))))</f>
        <v/>
      </c>
      <c r="O175" s="48" t="str">
        <f aca="false">IF($A175="","",IF(NOT(ISNUMBER(F175)),"Wert fehlt; ",IF(F175&lt;=0,"Wert ist 0; ",""))&amp;IF(NOT(ISNUMBER(E175)),"Bestand fehlt; ",IF(E175&lt;0,"Bestand negativ; ",IF(E175=0,"Nullbestand; ","")))&amp;IF(D175="","Warengruppe fehlt; ","")&amp;IF(B175="","Bezeichnung fehlt; ","")&amp;IF(COUNTIFS($A$2:$A$5001,$A175,$C$2:$C$5001,C175)&gt;1,"Artikel doppelt im selben Lager; ",""))</f>
        <v/>
      </c>
      <c r="P175" s="47" t="n">
        <f aca="false">IF(OR($A175="",D175=""),0,IF(COUNTIF($D$2:D175,D175)=1,SUMIF($D$2:$D$5001,D175,$H$2:$H$5001)+ROW()/10000000,0))</f>
        <v>0</v>
      </c>
      <c r="Q175" s="47" t="n">
        <f aca="false">IF(OR($A175="",C175=""),0,IF(COUNTIF($C$2:C175,C175)=1,SUMIF($C$2:$C$5001,C175,$H$2:$H$5001)+ROW()/10000000,0))</f>
        <v>0</v>
      </c>
    </row>
    <row r="176" customFormat="false" ht="15" hidden="false" customHeight="false" outlineLevel="0" collapsed="false">
      <c r="A176" s="43"/>
      <c r="B176" s="44"/>
      <c r="C176" s="44"/>
      <c r="D176" s="44"/>
      <c r="E176" s="44"/>
      <c r="F176" s="44"/>
      <c r="G176" s="44"/>
      <c r="H176" s="46" t="str">
        <f aca="false">IF($A176="","",IF(OR(NOT(ISNUMBER(E176)),NOT(ISNUMBER(F176))),"",MAX(0,E176)*F176))</f>
        <v/>
      </c>
      <c r="I176" s="46" t="str">
        <f aca="false">IF($A176="","",SUMIF($A$2:$A$5001,$A176,$H$2:$H$5001))</f>
        <v/>
      </c>
      <c r="J176" s="47" t="n">
        <f aca="false">IF($A176="",0,IF(COUNTIF($A$2:A176,$A176)=1,1,0))</f>
        <v>0</v>
      </c>
      <c r="K176" s="47" t="n">
        <f aca="false">IF(J176=1,N(I176)+ROW()/10000000,0)</f>
        <v>0</v>
      </c>
      <c r="L176" s="47" t="str">
        <f aca="false">IF(AND(J176=1,N(I176)&gt;0),SUMIF($K$2:$K$5001,"&gt;="&amp;K176,$I$2:$I$5001)/MAX(1,SUM($H$2:$H$5001)),"")</f>
        <v/>
      </c>
      <c r="M176" s="47" t="str">
        <f aca="false">IF($A176="","",INDEX($L$2:$L$5001,MATCH($A176,$A$2:$A$5001,0)))</f>
        <v/>
      </c>
      <c r="N176" s="48" t="str">
        <f aca="false">IF($A176="","",IF(N(M176)=0,"–",IF(M176&lt;=Start!$D$20,"A",IF(M176&lt;=Start!$D$21,"B","C"))))</f>
        <v/>
      </c>
      <c r="O176" s="48" t="str">
        <f aca="false">IF($A176="","",IF(NOT(ISNUMBER(F176)),"Wert fehlt; ",IF(F176&lt;=0,"Wert ist 0; ",""))&amp;IF(NOT(ISNUMBER(E176)),"Bestand fehlt; ",IF(E176&lt;0,"Bestand negativ; ",IF(E176=0,"Nullbestand; ","")))&amp;IF(D176="","Warengruppe fehlt; ","")&amp;IF(B176="","Bezeichnung fehlt; ","")&amp;IF(COUNTIFS($A$2:$A$5001,$A176,$C$2:$C$5001,C176)&gt;1,"Artikel doppelt im selben Lager; ",""))</f>
        <v/>
      </c>
      <c r="P176" s="47" t="n">
        <f aca="false">IF(OR($A176="",D176=""),0,IF(COUNTIF($D$2:D176,D176)=1,SUMIF($D$2:$D$5001,D176,$H$2:$H$5001)+ROW()/10000000,0))</f>
        <v>0</v>
      </c>
      <c r="Q176" s="47" t="n">
        <f aca="false">IF(OR($A176="",C176=""),0,IF(COUNTIF($C$2:C176,C176)=1,SUMIF($C$2:$C$5001,C176,$H$2:$H$5001)+ROW()/10000000,0))</f>
        <v>0</v>
      </c>
    </row>
    <row r="177" customFormat="false" ht="15" hidden="false" customHeight="false" outlineLevel="0" collapsed="false">
      <c r="A177" s="43"/>
      <c r="B177" s="44"/>
      <c r="C177" s="44"/>
      <c r="D177" s="44"/>
      <c r="E177" s="44"/>
      <c r="F177" s="44"/>
      <c r="G177" s="44"/>
      <c r="H177" s="46" t="str">
        <f aca="false">IF($A177="","",IF(OR(NOT(ISNUMBER(E177)),NOT(ISNUMBER(F177))),"",MAX(0,E177)*F177))</f>
        <v/>
      </c>
      <c r="I177" s="46" t="str">
        <f aca="false">IF($A177="","",SUMIF($A$2:$A$5001,$A177,$H$2:$H$5001))</f>
        <v/>
      </c>
      <c r="J177" s="47" t="n">
        <f aca="false">IF($A177="",0,IF(COUNTIF($A$2:A177,$A177)=1,1,0))</f>
        <v>0</v>
      </c>
      <c r="K177" s="47" t="n">
        <f aca="false">IF(J177=1,N(I177)+ROW()/10000000,0)</f>
        <v>0</v>
      </c>
      <c r="L177" s="47" t="str">
        <f aca="false">IF(AND(J177=1,N(I177)&gt;0),SUMIF($K$2:$K$5001,"&gt;="&amp;K177,$I$2:$I$5001)/MAX(1,SUM($H$2:$H$5001)),"")</f>
        <v/>
      </c>
      <c r="M177" s="47" t="str">
        <f aca="false">IF($A177="","",INDEX($L$2:$L$5001,MATCH($A177,$A$2:$A$5001,0)))</f>
        <v/>
      </c>
      <c r="N177" s="48" t="str">
        <f aca="false">IF($A177="","",IF(N(M177)=0,"–",IF(M177&lt;=Start!$D$20,"A",IF(M177&lt;=Start!$D$21,"B","C"))))</f>
        <v/>
      </c>
      <c r="O177" s="48" t="str">
        <f aca="false">IF($A177="","",IF(NOT(ISNUMBER(F177)),"Wert fehlt; ",IF(F177&lt;=0,"Wert ist 0; ",""))&amp;IF(NOT(ISNUMBER(E177)),"Bestand fehlt; ",IF(E177&lt;0,"Bestand negativ; ",IF(E177=0,"Nullbestand; ","")))&amp;IF(D177="","Warengruppe fehlt; ","")&amp;IF(B177="","Bezeichnung fehlt; ","")&amp;IF(COUNTIFS($A$2:$A$5001,$A177,$C$2:$C$5001,C177)&gt;1,"Artikel doppelt im selben Lager; ",""))</f>
        <v/>
      </c>
      <c r="P177" s="47" t="n">
        <f aca="false">IF(OR($A177="",D177=""),0,IF(COUNTIF($D$2:D177,D177)=1,SUMIF($D$2:$D$5001,D177,$H$2:$H$5001)+ROW()/10000000,0))</f>
        <v>0</v>
      </c>
      <c r="Q177" s="47" t="n">
        <f aca="false">IF(OR($A177="",C177=""),0,IF(COUNTIF($C$2:C177,C177)=1,SUMIF($C$2:$C$5001,C177,$H$2:$H$5001)+ROW()/10000000,0))</f>
        <v>0</v>
      </c>
    </row>
    <row r="178" customFormat="false" ht="15" hidden="false" customHeight="false" outlineLevel="0" collapsed="false">
      <c r="A178" s="43"/>
      <c r="B178" s="44"/>
      <c r="C178" s="44"/>
      <c r="D178" s="44"/>
      <c r="E178" s="44"/>
      <c r="F178" s="44"/>
      <c r="G178" s="44"/>
      <c r="H178" s="46" t="str">
        <f aca="false">IF($A178="","",IF(OR(NOT(ISNUMBER(E178)),NOT(ISNUMBER(F178))),"",MAX(0,E178)*F178))</f>
        <v/>
      </c>
      <c r="I178" s="46" t="str">
        <f aca="false">IF($A178="","",SUMIF($A$2:$A$5001,$A178,$H$2:$H$5001))</f>
        <v/>
      </c>
      <c r="J178" s="47" t="n">
        <f aca="false">IF($A178="",0,IF(COUNTIF($A$2:A178,$A178)=1,1,0))</f>
        <v>0</v>
      </c>
      <c r="K178" s="47" t="n">
        <f aca="false">IF(J178=1,N(I178)+ROW()/10000000,0)</f>
        <v>0</v>
      </c>
      <c r="L178" s="47" t="str">
        <f aca="false">IF(AND(J178=1,N(I178)&gt;0),SUMIF($K$2:$K$5001,"&gt;="&amp;K178,$I$2:$I$5001)/MAX(1,SUM($H$2:$H$5001)),"")</f>
        <v/>
      </c>
      <c r="M178" s="47" t="str">
        <f aca="false">IF($A178="","",INDEX($L$2:$L$5001,MATCH($A178,$A$2:$A$5001,0)))</f>
        <v/>
      </c>
      <c r="N178" s="48" t="str">
        <f aca="false">IF($A178="","",IF(N(M178)=0,"–",IF(M178&lt;=Start!$D$20,"A",IF(M178&lt;=Start!$D$21,"B","C"))))</f>
        <v/>
      </c>
      <c r="O178" s="48" t="str">
        <f aca="false">IF($A178="","",IF(NOT(ISNUMBER(F178)),"Wert fehlt; ",IF(F178&lt;=0,"Wert ist 0; ",""))&amp;IF(NOT(ISNUMBER(E178)),"Bestand fehlt; ",IF(E178&lt;0,"Bestand negativ; ",IF(E178=0,"Nullbestand; ","")))&amp;IF(D178="","Warengruppe fehlt; ","")&amp;IF(B178="","Bezeichnung fehlt; ","")&amp;IF(COUNTIFS($A$2:$A$5001,$A178,$C$2:$C$5001,C178)&gt;1,"Artikel doppelt im selben Lager; ",""))</f>
        <v/>
      </c>
      <c r="P178" s="47" t="n">
        <f aca="false">IF(OR($A178="",D178=""),0,IF(COUNTIF($D$2:D178,D178)=1,SUMIF($D$2:$D$5001,D178,$H$2:$H$5001)+ROW()/10000000,0))</f>
        <v>0</v>
      </c>
      <c r="Q178" s="47" t="n">
        <f aca="false">IF(OR($A178="",C178=""),0,IF(COUNTIF($C$2:C178,C178)=1,SUMIF($C$2:$C$5001,C178,$H$2:$H$5001)+ROW()/10000000,0))</f>
        <v>0</v>
      </c>
    </row>
    <row r="179" customFormat="false" ht="15" hidden="false" customHeight="false" outlineLevel="0" collapsed="false">
      <c r="A179" s="43"/>
      <c r="B179" s="44"/>
      <c r="C179" s="44"/>
      <c r="D179" s="44"/>
      <c r="E179" s="44"/>
      <c r="F179" s="44"/>
      <c r="G179" s="44"/>
      <c r="H179" s="46" t="str">
        <f aca="false">IF($A179="","",IF(OR(NOT(ISNUMBER(E179)),NOT(ISNUMBER(F179))),"",MAX(0,E179)*F179))</f>
        <v/>
      </c>
      <c r="I179" s="46" t="str">
        <f aca="false">IF($A179="","",SUMIF($A$2:$A$5001,$A179,$H$2:$H$5001))</f>
        <v/>
      </c>
      <c r="J179" s="47" t="n">
        <f aca="false">IF($A179="",0,IF(COUNTIF($A$2:A179,$A179)=1,1,0))</f>
        <v>0</v>
      </c>
      <c r="K179" s="47" t="n">
        <f aca="false">IF(J179=1,N(I179)+ROW()/10000000,0)</f>
        <v>0</v>
      </c>
      <c r="L179" s="47" t="str">
        <f aca="false">IF(AND(J179=1,N(I179)&gt;0),SUMIF($K$2:$K$5001,"&gt;="&amp;K179,$I$2:$I$5001)/MAX(1,SUM($H$2:$H$5001)),"")</f>
        <v/>
      </c>
      <c r="M179" s="47" t="str">
        <f aca="false">IF($A179="","",INDEX($L$2:$L$5001,MATCH($A179,$A$2:$A$5001,0)))</f>
        <v/>
      </c>
      <c r="N179" s="48" t="str">
        <f aca="false">IF($A179="","",IF(N(M179)=0,"–",IF(M179&lt;=Start!$D$20,"A",IF(M179&lt;=Start!$D$21,"B","C"))))</f>
        <v/>
      </c>
      <c r="O179" s="48" t="str">
        <f aca="false">IF($A179="","",IF(NOT(ISNUMBER(F179)),"Wert fehlt; ",IF(F179&lt;=0,"Wert ist 0; ",""))&amp;IF(NOT(ISNUMBER(E179)),"Bestand fehlt; ",IF(E179&lt;0,"Bestand negativ; ",IF(E179=0,"Nullbestand; ","")))&amp;IF(D179="","Warengruppe fehlt; ","")&amp;IF(B179="","Bezeichnung fehlt; ","")&amp;IF(COUNTIFS($A$2:$A$5001,$A179,$C$2:$C$5001,C179)&gt;1,"Artikel doppelt im selben Lager; ",""))</f>
        <v/>
      </c>
      <c r="P179" s="47" t="n">
        <f aca="false">IF(OR($A179="",D179=""),0,IF(COUNTIF($D$2:D179,D179)=1,SUMIF($D$2:$D$5001,D179,$H$2:$H$5001)+ROW()/10000000,0))</f>
        <v>0</v>
      </c>
      <c r="Q179" s="47" t="n">
        <f aca="false">IF(OR($A179="",C179=""),0,IF(COUNTIF($C$2:C179,C179)=1,SUMIF($C$2:$C$5001,C179,$H$2:$H$5001)+ROW()/10000000,0))</f>
        <v>0</v>
      </c>
    </row>
    <row r="180" customFormat="false" ht="15" hidden="false" customHeight="false" outlineLevel="0" collapsed="false">
      <c r="A180" s="43"/>
      <c r="B180" s="44"/>
      <c r="C180" s="44"/>
      <c r="D180" s="44"/>
      <c r="E180" s="44"/>
      <c r="F180" s="44"/>
      <c r="G180" s="44"/>
      <c r="H180" s="46" t="str">
        <f aca="false">IF($A180="","",IF(OR(NOT(ISNUMBER(E180)),NOT(ISNUMBER(F180))),"",MAX(0,E180)*F180))</f>
        <v/>
      </c>
      <c r="I180" s="46" t="str">
        <f aca="false">IF($A180="","",SUMIF($A$2:$A$5001,$A180,$H$2:$H$5001))</f>
        <v/>
      </c>
      <c r="J180" s="47" t="n">
        <f aca="false">IF($A180="",0,IF(COUNTIF($A$2:A180,$A180)=1,1,0))</f>
        <v>0</v>
      </c>
      <c r="K180" s="47" t="n">
        <f aca="false">IF(J180=1,N(I180)+ROW()/10000000,0)</f>
        <v>0</v>
      </c>
      <c r="L180" s="47" t="str">
        <f aca="false">IF(AND(J180=1,N(I180)&gt;0),SUMIF($K$2:$K$5001,"&gt;="&amp;K180,$I$2:$I$5001)/MAX(1,SUM($H$2:$H$5001)),"")</f>
        <v/>
      </c>
      <c r="M180" s="47" t="str">
        <f aca="false">IF($A180="","",INDEX($L$2:$L$5001,MATCH($A180,$A$2:$A$5001,0)))</f>
        <v/>
      </c>
      <c r="N180" s="48" t="str">
        <f aca="false">IF($A180="","",IF(N(M180)=0,"–",IF(M180&lt;=Start!$D$20,"A",IF(M180&lt;=Start!$D$21,"B","C"))))</f>
        <v/>
      </c>
      <c r="O180" s="48" t="str">
        <f aca="false">IF($A180="","",IF(NOT(ISNUMBER(F180)),"Wert fehlt; ",IF(F180&lt;=0,"Wert ist 0; ",""))&amp;IF(NOT(ISNUMBER(E180)),"Bestand fehlt; ",IF(E180&lt;0,"Bestand negativ; ",IF(E180=0,"Nullbestand; ","")))&amp;IF(D180="","Warengruppe fehlt; ","")&amp;IF(B180="","Bezeichnung fehlt; ","")&amp;IF(COUNTIFS($A$2:$A$5001,$A180,$C$2:$C$5001,C180)&gt;1,"Artikel doppelt im selben Lager; ",""))</f>
        <v/>
      </c>
      <c r="P180" s="47" t="n">
        <f aca="false">IF(OR($A180="",D180=""),0,IF(COUNTIF($D$2:D180,D180)=1,SUMIF($D$2:$D$5001,D180,$H$2:$H$5001)+ROW()/10000000,0))</f>
        <v>0</v>
      </c>
      <c r="Q180" s="47" t="n">
        <f aca="false">IF(OR($A180="",C180=""),0,IF(COUNTIF($C$2:C180,C180)=1,SUMIF($C$2:$C$5001,C180,$H$2:$H$5001)+ROW()/10000000,0))</f>
        <v>0</v>
      </c>
    </row>
    <row r="181" customFormat="false" ht="15" hidden="false" customHeight="false" outlineLevel="0" collapsed="false">
      <c r="A181" s="43"/>
      <c r="B181" s="44"/>
      <c r="C181" s="44"/>
      <c r="D181" s="44"/>
      <c r="E181" s="44"/>
      <c r="F181" s="44"/>
      <c r="G181" s="44"/>
      <c r="H181" s="46" t="str">
        <f aca="false">IF($A181="","",IF(OR(NOT(ISNUMBER(E181)),NOT(ISNUMBER(F181))),"",MAX(0,E181)*F181))</f>
        <v/>
      </c>
      <c r="I181" s="46" t="str">
        <f aca="false">IF($A181="","",SUMIF($A$2:$A$5001,$A181,$H$2:$H$5001))</f>
        <v/>
      </c>
      <c r="J181" s="47" t="n">
        <f aca="false">IF($A181="",0,IF(COUNTIF($A$2:A181,$A181)=1,1,0))</f>
        <v>0</v>
      </c>
      <c r="K181" s="47" t="n">
        <f aca="false">IF(J181=1,N(I181)+ROW()/10000000,0)</f>
        <v>0</v>
      </c>
      <c r="L181" s="47" t="str">
        <f aca="false">IF(AND(J181=1,N(I181)&gt;0),SUMIF($K$2:$K$5001,"&gt;="&amp;K181,$I$2:$I$5001)/MAX(1,SUM($H$2:$H$5001)),"")</f>
        <v/>
      </c>
      <c r="M181" s="47" t="str">
        <f aca="false">IF($A181="","",INDEX($L$2:$L$5001,MATCH($A181,$A$2:$A$5001,0)))</f>
        <v/>
      </c>
      <c r="N181" s="48" t="str">
        <f aca="false">IF($A181="","",IF(N(M181)=0,"–",IF(M181&lt;=Start!$D$20,"A",IF(M181&lt;=Start!$D$21,"B","C"))))</f>
        <v/>
      </c>
      <c r="O181" s="48" t="str">
        <f aca="false">IF($A181="","",IF(NOT(ISNUMBER(F181)),"Wert fehlt; ",IF(F181&lt;=0,"Wert ist 0; ",""))&amp;IF(NOT(ISNUMBER(E181)),"Bestand fehlt; ",IF(E181&lt;0,"Bestand negativ; ",IF(E181=0,"Nullbestand; ","")))&amp;IF(D181="","Warengruppe fehlt; ","")&amp;IF(B181="","Bezeichnung fehlt; ","")&amp;IF(COUNTIFS($A$2:$A$5001,$A181,$C$2:$C$5001,C181)&gt;1,"Artikel doppelt im selben Lager; ",""))</f>
        <v/>
      </c>
      <c r="P181" s="47" t="n">
        <f aca="false">IF(OR($A181="",D181=""),0,IF(COUNTIF($D$2:D181,D181)=1,SUMIF($D$2:$D$5001,D181,$H$2:$H$5001)+ROW()/10000000,0))</f>
        <v>0</v>
      </c>
      <c r="Q181" s="47" t="n">
        <f aca="false">IF(OR($A181="",C181=""),0,IF(COUNTIF($C$2:C181,C181)=1,SUMIF($C$2:$C$5001,C181,$H$2:$H$5001)+ROW()/10000000,0))</f>
        <v>0</v>
      </c>
    </row>
    <row r="182" customFormat="false" ht="15" hidden="false" customHeight="false" outlineLevel="0" collapsed="false">
      <c r="A182" s="43"/>
      <c r="B182" s="44"/>
      <c r="C182" s="44"/>
      <c r="D182" s="44"/>
      <c r="E182" s="44"/>
      <c r="F182" s="44"/>
      <c r="G182" s="44"/>
      <c r="H182" s="46" t="str">
        <f aca="false">IF($A182="","",IF(OR(NOT(ISNUMBER(E182)),NOT(ISNUMBER(F182))),"",MAX(0,E182)*F182))</f>
        <v/>
      </c>
      <c r="I182" s="46" t="str">
        <f aca="false">IF($A182="","",SUMIF($A$2:$A$5001,$A182,$H$2:$H$5001))</f>
        <v/>
      </c>
      <c r="J182" s="47" t="n">
        <f aca="false">IF($A182="",0,IF(COUNTIF($A$2:A182,$A182)=1,1,0))</f>
        <v>0</v>
      </c>
      <c r="K182" s="47" t="n">
        <f aca="false">IF(J182=1,N(I182)+ROW()/10000000,0)</f>
        <v>0</v>
      </c>
      <c r="L182" s="47" t="str">
        <f aca="false">IF(AND(J182=1,N(I182)&gt;0),SUMIF($K$2:$K$5001,"&gt;="&amp;K182,$I$2:$I$5001)/MAX(1,SUM($H$2:$H$5001)),"")</f>
        <v/>
      </c>
      <c r="M182" s="47" t="str">
        <f aca="false">IF($A182="","",INDEX($L$2:$L$5001,MATCH($A182,$A$2:$A$5001,0)))</f>
        <v/>
      </c>
      <c r="N182" s="48" t="str">
        <f aca="false">IF($A182="","",IF(N(M182)=0,"–",IF(M182&lt;=Start!$D$20,"A",IF(M182&lt;=Start!$D$21,"B","C"))))</f>
        <v/>
      </c>
      <c r="O182" s="48" t="str">
        <f aca="false">IF($A182="","",IF(NOT(ISNUMBER(F182)),"Wert fehlt; ",IF(F182&lt;=0,"Wert ist 0; ",""))&amp;IF(NOT(ISNUMBER(E182)),"Bestand fehlt; ",IF(E182&lt;0,"Bestand negativ; ",IF(E182=0,"Nullbestand; ","")))&amp;IF(D182="","Warengruppe fehlt; ","")&amp;IF(B182="","Bezeichnung fehlt; ","")&amp;IF(COUNTIFS($A$2:$A$5001,$A182,$C$2:$C$5001,C182)&gt;1,"Artikel doppelt im selben Lager; ",""))</f>
        <v/>
      </c>
      <c r="P182" s="47" t="n">
        <f aca="false">IF(OR($A182="",D182=""),0,IF(COUNTIF($D$2:D182,D182)=1,SUMIF($D$2:$D$5001,D182,$H$2:$H$5001)+ROW()/10000000,0))</f>
        <v>0</v>
      </c>
      <c r="Q182" s="47" t="n">
        <f aca="false">IF(OR($A182="",C182=""),0,IF(COUNTIF($C$2:C182,C182)=1,SUMIF($C$2:$C$5001,C182,$H$2:$H$5001)+ROW()/10000000,0))</f>
        <v>0</v>
      </c>
    </row>
    <row r="183" customFormat="false" ht="15" hidden="false" customHeight="false" outlineLevel="0" collapsed="false">
      <c r="A183" s="43"/>
      <c r="B183" s="44"/>
      <c r="C183" s="44"/>
      <c r="D183" s="44"/>
      <c r="E183" s="44"/>
      <c r="F183" s="44"/>
      <c r="G183" s="44"/>
      <c r="H183" s="46" t="str">
        <f aca="false">IF($A183="","",IF(OR(NOT(ISNUMBER(E183)),NOT(ISNUMBER(F183))),"",MAX(0,E183)*F183))</f>
        <v/>
      </c>
      <c r="I183" s="46" t="str">
        <f aca="false">IF($A183="","",SUMIF($A$2:$A$5001,$A183,$H$2:$H$5001))</f>
        <v/>
      </c>
      <c r="J183" s="47" t="n">
        <f aca="false">IF($A183="",0,IF(COUNTIF($A$2:A183,$A183)=1,1,0))</f>
        <v>0</v>
      </c>
      <c r="K183" s="47" t="n">
        <f aca="false">IF(J183=1,N(I183)+ROW()/10000000,0)</f>
        <v>0</v>
      </c>
      <c r="L183" s="47" t="str">
        <f aca="false">IF(AND(J183=1,N(I183)&gt;0),SUMIF($K$2:$K$5001,"&gt;="&amp;K183,$I$2:$I$5001)/MAX(1,SUM($H$2:$H$5001)),"")</f>
        <v/>
      </c>
      <c r="M183" s="47" t="str">
        <f aca="false">IF($A183="","",INDEX($L$2:$L$5001,MATCH($A183,$A$2:$A$5001,0)))</f>
        <v/>
      </c>
      <c r="N183" s="48" t="str">
        <f aca="false">IF($A183="","",IF(N(M183)=0,"–",IF(M183&lt;=Start!$D$20,"A",IF(M183&lt;=Start!$D$21,"B","C"))))</f>
        <v/>
      </c>
      <c r="O183" s="48" t="str">
        <f aca="false">IF($A183="","",IF(NOT(ISNUMBER(F183)),"Wert fehlt; ",IF(F183&lt;=0,"Wert ist 0; ",""))&amp;IF(NOT(ISNUMBER(E183)),"Bestand fehlt; ",IF(E183&lt;0,"Bestand negativ; ",IF(E183=0,"Nullbestand; ","")))&amp;IF(D183="","Warengruppe fehlt; ","")&amp;IF(B183="","Bezeichnung fehlt; ","")&amp;IF(COUNTIFS($A$2:$A$5001,$A183,$C$2:$C$5001,C183)&gt;1,"Artikel doppelt im selben Lager; ",""))</f>
        <v/>
      </c>
      <c r="P183" s="47" t="n">
        <f aca="false">IF(OR($A183="",D183=""),0,IF(COUNTIF($D$2:D183,D183)=1,SUMIF($D$2:$D$5001,D183,$H$2:$H$5001)+ROW()/10000000,0))</f>
        <v>0</v>
      </c>
      <c r="Q183" s="47" t="n">
        <f aca="false">IF(OR($A183="",C183=""),0,IF(COUNTIF($C$2:C183,C183)=1,SUMIF($C$2:$C$5001,C183,$H$2:$H$5001)+ROW()/10000000,0))</f>
        <v>0</v>
      </c>
    </row>
    <row r="184" customFormat="false" ht="15" hidden="false" customHeight="false" outlineLevel="0" collapsed="false">
      <c r="A184" s="43"/>
      <c r="B184" s="44"/>
      <c r="C184" s="44"/>
      <c r="D184" s="44"/>
      <c r="E184" s="44"/>
      <c r="F184" s="44"/>
      <c r="G184" s="44"/>
      <c r="H184" s="46" t="str">
        <f aca="false">IF($A184="","",IF(OR(NOT(ISNUMBER(E184)),NOT(ISNUMBER(F184))),"",MAX(0,E184)*F184))</f>
        <v/>
      </c>
      <c r="I184" s="46" t="str">
        <f aca="false">IF($A184="","",SUMIF($A$2:$A$5001,$A184,$H$2:$H$5001))</f>
        <v/>
      </c>
      <c r="J184" s="47" t="n">
        <f aca="false">IF($A184="",0,IF(COUNTIF($A$2:A184,$A184)=1,1,0))</f>
        <v>0</v>
      </c>
      <c r="K184" s="47" t="n">
        <f aca="false">IF(J184=1,N(I184)+ROW()/10000000,0)</f>
        <v>0</v>
      </c>
      <c r="L184" s="47" t="str">
        <f aca="false">IF(AND(J184=1,N(I184)&gt;0),SUMIF($K$2:$K$5001,"&gt;="&amp;K184,$I$2:$I$5001)/MAX(1,SUM($H$2:$H$5001)),"")</f>
        <v/>
      </c>
      <c r="M184" s="47" t="str">
        <f aca="false">IF($A184="","",INDEX($L$2:$L$5001,MATCH($A184,$A$2:$A$5001,0)))</f>
        <v/>
      </c>
      <c r="N184" s="48" t="str">
        <f aca="false">IF($A184="","",IF(N(M184)=0,"–",IF(M184&lt;=Start!$D$20,"A",IF(M184&lt;=Start!$D$21,"B","C"))))</f>
        <v/>
      </c>
      <c r="O184" s="48" t="str">
        <f aca="false">IF($A184="","",IF(NOT(ISNUMBER(F184)),"Wert fehlt; ",IF(F184&lt;=0,"Wert ist 0; ",""))&amp;IF(NOT(ISNUMBER(E184)),"Bestand fehlt; ",IF(E184&lt;0,"Bestand negativ; ",IF(E184=0,"Nullbestand; ","")))&amp;IF(D184="","Warengruppe fehlt; ","")&amp;IF(B184="","Bezeichnung fehlt; ","")&amp;IF(COUNTIFS($A$2:$A$5001,$A184,$C$2:$C$5001,C184)&gt;1,"Artikel doppelt im selben Lager; ",""))</f>
        <v/>
      </c>
      <c r="P184" s="47" t="n">
        <f aca="false">IF(OR($A184="",D184=""),0,IF(COUNTIF($D$2:D184,D184)=1,SUMIF($D$2:$D$5001,D184,$H$2:$H$5001)+ROW()/10000000,0))</f>
        <v>0</v>
      </c>
      <c r="Q184" s="47" t="n">
        <f aca="false">IF(OR($A184="",C184=""),0,IF(COUNTIF($C$2:C184,C184)=1,SUMIF($C$2:$C$5001,C184,$H$2:$H$5001)+ROW()/10000000,0))</f>
        <v>0</v>
      </c>
    </row>
    <row r="185" customFormat="false" ht="15" hidden="false" customHeight="false" outlineLevel="0" collapsed="false">
      <c r="A185" s="43"/>
      <c r="B185" s="44"/>
      <c r="C185" s="44"/>
      <c r="D185" s="44"/>
      <c r="E185" s="44"/>
      <c r="F185" s="44"/>
      <c r="G185" s="44"/>
      <c r="H185" s="46" t="str">
        <f aca="false">IF($A185="","",IF(OR(NOT(ISNUMBER(E185)),NOT(ISNUMBER(F185))),"",MAX(0,E185)*F185))</f>
        <v/>
      </c>
      <c r="I185" s="46" t="str">
        <f aca="false">IF($A185="","",SUMIF($A$2:$A$5001,$A185,$H$2:$H$5001))</f>
        <v/>
      </c>
      <c r="J185" s="47" t="n">
        <f aca="false">IF($A185="",0,IF(COUNTIF($A$2:A185,$A185)=1,1,0))</f>
        <v>0</v>
      </c>
      <c r="K185" s="47" t="n">
        <f aca="false">IF(J185=1,N(I185)+ROW()/10000000,0)</f>
        <v>0</v>
      </c>
      <c r="L185" s="47" t="str">
        <f aca="false">IF(AND(J185=1,N(I185)&gt;0),SUMIF($K$2:$K$5001,"&gt;="&amp;K185,$I$2:$I$5001)/MAX(1,SUM($H$2:$H$5001)),"")</f>
        <v/>
      </c>
      <c r="M185" s="47" t="str">
        <f aca="false">IF($A185="","",INDEX($L$2:$L$5001,MATCH($A185,$A$2:$A$5001,0)))</f>
        <v/>
      </c>
      <c r="N185" s="48" t="str">
        <f aca="false">IF($A185="","",IF(N(M185)=0,"–",IF(M185&lt;=Start!$D$20,"A",IF(M185&lt;=Start!$D$21,"B","C"))))</f>
        <v/>
      </c>
      <c r="O185" s="48" t="str">
        <f aca="false">IF($A185="","",IF(NOT(ISNUMBER(F185)),"Wert fehlt; ",IF(F185&lt;=0,"Wert ist 0; ",""))&amp;IF(NOT(ISNUMBER(E185)),"Bestand fehlt; ",IF(E185&lt;0,"Bestand negativ; ",IF(E185=0,"Nullbestand; ","")))&amp;IF(D185="","Warengruppe fehlt; ","")&amp;IF(B185="","Bezeichnung fehlt; ","")&amp;IF(COUNTIFS($A$2:$A$5001,$A185,$C$2:$C$5001,C185)&gt;1,"Artikel doppelt im selben Lager; ",""))</f>
        <v/>
      </c>
      <c r="P185" s="47" t="n">
        <f aca="false">IF(OR($A185="",D185=""),0,IF(COUNTIF($D$2:D185,D185)=1,SUMIF($D$2:$D$5001,D185,$H$2:$H$5001)+ROW()/10000000,0))</f>
        <v>0</v>
      </c>
      <c r="Q185" s="47" t="n">
        <f aca="false">IF(OR($A185="",C185=""),0,IF(COUNTIF($C$2:C185,C185)=1,SUMIF($C$2:$C$5001,C185,$H$2:$H$5001)+ROW()/10000000,0))</f>
        <v>0</v>
      </c>
    </row>
    <row r="186" customFormat="false" ht="15" hidden="false" customHeight="false" outlineLevel="0" collapsed="false">
      <c r="A186" s="43"/>
      <c r="B186" s="44"/>
      <c r="C186" s="44"/>
      <c r="D186" s="44"/>
      <c r="E186" s="44"/>
      <c r="F186" s="44"/>
      <c r="G186" s="44"/>
      <c r="H186" s="46" t="str">
        <f aca="false">IF($A186="","",IF(OR(NOT(ISNUMBER(E186)),NOT(ISNUMBER(F186))),"",MAX(0,E186)*F186))</f>
        <v/>
      </c>
      <c r="I186" s="46" t="str">
        <f aca="false">IF($A186="","",SUMIF($A$2:$A$5001,$A186,$H$2:$H$5001))</f>
        <v/>
      </c>
      <c r="J186" s="47" t="n">
        <f aca="false">IF($A186="",0,IF(COUNTIF($A$2:A186,$A186)=1,1,0))</f>
        <v>0</v>
      </c>
      <c r="K186" s="47" t="n">
        <f aca="false">IF(J186=1,N(I186)+ROW()/10000000,0)</f>
        <v>0</v>
      </c>
      <c r="L186" s="47" t="str">
        <f aca="false">IF(AND(J186=1,N(I186)&gt;0),SUMIF($K$2:$K$5001,"&gt;="&amp;K186,$I$2:$I$5001)/MAX(1,SUM($H$2:$H$5001)),"")</f>
        <v/>
      </c>
      <c r="M186" s="47" t="str">
        <f aca="false">IF($A186="","",INDEX($L$2:$L$5001,MATCH($A186,$A$2:$A$5001,0)))</f>
        <v/>
      </c>
      <c r="N186" s="48" t="str">
        <f aca="false">IF($A186="","",IF(N(M186)=0,"–",IF(M186&lt;=Start!$D$20,"A",IF(M186&lt;=Start!$D$21,"B","C"))))</f>
        <v/>
      </c>
      <c r="O186" s="48" t="str">
        <f aca="false">IF($A186="","",IF(NOT(ISNUMBER(F186)),"Wert fehlt; ",IF(F186&lt;=0,"Wert ist 0; ",""))&amp;IF(NOT(ISNUMBER(E186)),"Bestand fehlt; ",IF(E186&lt;0,"Bestand negativ; ",IF(E186=0,"Nullbestand; ","")))&amp;IF(D186="","Warengruppe fehlt; ","")&amp;IF(B186="","Bezeichnung fehlt; ","")&amp;IF(COUNTIFS($A$2:$A$5001,$A186,$C$2:$C$5001,C186)&gt;1,"Artikel doppelt im selben Lager; ",""))</f>
        <v/>
      </c>
      <c r="P186" s="47" t="n">
        <f aca="false">IF(OR($A186="",D186=""),0,IF(COUNTIF($D$2:D186,D186)=1,SUMIF($D$2:$D$5001,D186,$H$2:$H$5001)+ROW()/10000000,0))</f>
        <v>0</v>
      </c>
      <c r="Q186" s="47" t="n">
        <f aca="false">IF(OR($A186="",C186=""),0,IF(COUNTIF($C$2:C186,C186)=1,SUMIF($C$2:$C$5001,C186,$H$2:$H$5001)+ROW()/10000000,0))</f>
        <v>0</v>
      </c>
    </row>
    <row r="187" customFormat="false" ht="15" hidden="false" customHeight="false" outlineLevel="0" collapsed="false">
      <c r="A187" s="43"/>
      <c r="B187" s="44"/>
      <c r="C187" s="44"/>
      <c r="D187" s="44"/>
      <c r="E187" s="44"/>
      <c r="F187" s="44"/>
      <c r="G187" s="44"/>
      <c r="H187" s="46" t="str">
        <f aca="false">IF($A187="","",IF(OR(NOT(ISNUMBER(E187)),NOT(ISNUMBER(F187))),"",MAX(0,E187)*F187))</f>
        <v/>
      </c>
      <c r="I187" s="46" t="str">
        <f aca="false">IF($A187="","",SUMIF($A$2:$A$5001,$A187,$H$2:$H$5001))</f>
        <v/>
      </c>
      <c r="J187" s="47" t="n">
        <f aca="false">IF($A187="",0,IF(COUNTIF($A$2:A187,$A187)=1,1,0))</f>
        <v>0</v>
      </c>
      <c r="K187" s="47" t="n">
        <f aca="false">IF(J187=1,N(I187)+ROW()/10000000,0)</f>
        <v>0</v>
      </c>
      <c r="L187" s="47" t="str">
        <f aca="false">IF(AND(J187=1,N(I187)&gt;0),SUMIF($K$2:$K$5001,"&gt;="&amp;K187,$I$2:$I$5001)/MAX(1,SUM($H$2:$H$5001)),"")</f>
        <v/>
      </c>
      <c r="M187" s="47" t="str">
        <f aca="false">IF($A187="","",INDEX($L$2:$L$5001,MATCH($A187,$A$2:$A$5001,0)))</f>
        <v/>
      </c>
      <c r="N187" s="48" t="str">
        <f aca="false">IF($A187="","",IF(N(M187)=0,"–",IF(M187&lt;=Start!$D$20,"A",IF(M187&lt;=Start!$D$21,"B","C"))))</f>
        <v/>
      </c>
      <c r="O187" s="48" t="str">
        <f aca="false">IF($A187="","",IF(NOT(ISNUMBER(F187)),"Wert fehlt; ",IF(F187&lt;=0,"Wert ist 0; ",""))&amp;IF(NOT(ISNUMBER(E187)),"Bestand fehlt; ",IF(E187&lt;0,"Bestand negativ; ",IF(E187=0,"Nullbestand; ","")))&amp;IF(D187="","Warengruppe fehlt; ","")&amp;IF(B187="","Bezeichnung fehlt; ","")&amp;IF(COUNTIFS($A$2:$A$5001,$A187,$C$2:$C$5001,C187)&gt;1,"Artikel doppelt im selben Lager; ",""))</f>
        <v/>
      </c>
      <c r="P187" s="47" t="n">
        <f aca="false">IF(OR($A187="",D187=""),0,IF(COUNTIF($D$2:D187,D187)=1,SUMIF($D$2:$D$5001,D187,$H$2:$H$5001)+ROW()/10000000,0))</f>
        <v>0</v>
      </c>
      <c r="Q187" s="47" t="n">
        <f aca="false">IF(OR($A187="",C187=""),0,IF(COUNTIF($C$2:C187,C187)=1,SUMIF($C$2:$C$5001,C187,$H$2:$H$5001)+ROW()/10000000,0))</f>
        <v>0</v>
      </c>
    </row>
    <row r="188" customFormat="false" ht="15" hidden="false" customHeight="false" outlineLevel="0" collapsed="false">
      <c r="A188" s="43"/>
      <c r="B188" s="44"/>
      <c r="C188" s="44"/>
      <c r="D188" s="44"/>
      <c r="E188" s="44"/>
      <c r="F188" s="44"/>
      <c r="G188" s="44"/>
      <c r="H188" s="46" t="str">
        <f aca="false">IF($A188="","",IF(OR(NOT(ISNUMBER(E188)),NOT(ISNUMBER(F188))),"",MAX(0,E188)*F188))</f>
        <v/>
      </c>
      <c r="I188" s="46" t="str">
        <f aca="false">IF($A188="","",SUMIF($A$2:$A$5001,$A188,$H$2:$H$5001))</f>
        <v/>
      </c>
      <c r="J188" s="47" t="n">
        <f aca="false">IF($A188="",0,IF(COUNTIF($A$2:A188,$A188)=1,1,0))</f>
        <v>0</v>
      </c>
      <c r="K188" s="47" t="n">
        <f aca="false">IF(J188=1,N(I188)+ROW()/10000000,0)</f>
        <v>0</v>
      </c>
      <c r="L188" s="47" t="str">
        <f aca="false">IF(AND(J188=1,N(I188)&gt;0),SUMIF($K$2:$K$5001,"&gt;="&amp;K188,$I$2:$I$5001)/MAX(1,SUM($H$2:$H$5001)),"")</f>
        <v/>
      </c>
      <c r="M188" s="47" t="str">
        <f aca="false">IF($A188="","",INDEX($L$2:$L$5001,MATCH($A188,$A$2:$A$5001,0)))</f>
        <v/>
      </c>
      <c r="N188" s="48" t="str">
        <f aca="false">IF($A188="","",IF(N(M188)=0,"–",IF(M188&lt;=Start!$D$20,"A",IF(M188&lt;=Start!$D$21,"B","C"))))</f>
        <v/>
      </c>
      <c r="O188" s="48" t="str">
        <f aca="false">IF($A188="","",IF(NOT(ISNUMBER(F188)),"Wert fehlt; ",IF(F188&lt;=0,"Wert ist 0; ",""))&amp;IF(NOT(ISNUMBER(E188)),"Bestand fehlt; ",IF(E188&lt;0,"Bestand negativ; ",IF(E188=0,"Nullbestand; ","")))&amp;IF(D188="","Warengruppe fehlt; ","")&amp;IF(B188="","Bezeichnung fehlt; ","")&amp;IF(COUNTIFS($A$2:$A$5001,$A188,$C$2:$C$5001,C188)&gt;1,"Artikel doppelt im selben Lager; ",""))</f>
        <v/>
      </c>
      <c r="P188" s="47" t="n">
        <f aca="false">IF(OR($A188="",D188=""),0,IF(COUNTIF($D$2:D188,D188)=1,SUMIF($D$2:$D$5001,D188,$H$2:$H$5001)+ROW()/10000000,0))</f>
        <v>0</v>
      </c>
      <c r="Q188" s="47" t="n">
        <f aca="false">IF(OR($A188="",C188=""),0,IF(COUNTIF($C$2:C188,C188)=1,SUMIF($C$2:$C$5001,C188,$H$2:$H$5001)+ROW()/10000000,0))</f>
        <v>0</v>
      </c>
    </row>
    <row r="189" customFormat="false" ht="15" hidden="false" customHeight="false" outlineLevel="0" collapsed="false">
      <c r="A189" s="43"/>
      <c r="B189" s="44"/>
      <c r="C189" s="44"/>
      <c r="D189" s="44"/>
      <c r="E189" s="44"/>
      <c r="F189" s="44"/>
      <c r="G189" s="44"/>
      <c r="H189" s="46" t="str">
        <f aca="false">IF($A189="","",IF(OR(NOT(ISNUMBER(E189)),NOT(ISNUMBER(F189))),"",MAX(0,E189)*F189))</f>
        <v/>
      </c>
      <c r="I189" s="46" t="str">
        <f aca="false">IF($A189="","",SUMIF($A$2:$A$5001,$A189,$H$2:$H$5001))</f>
        <v/>
      </c>
      <c r="J189" s="47" t="n">
        <f aca="false">IF($A189="",0,IF(COUNTIF($A$2:A189,$A189)=1,1,0))</f>
        <v>0</v>
      </c>
      <c r="K189" s="47" t="n">
        <f aca="false">IF(J189=1,N(I189)+ROW()/10000000,0)</f>
        <v>0</v>
      </c>
      <c r="L189" s="47" t="str">
        <f aca="false">IF(AND(J189=1,N(I189)&gt;0),SUMIF($K$2:$K$5001,"&gt;="&amp;K189,$I$2:$I$5001)/MAX(1,SUM($H$2:$H$5001)),"")</f>
        <v/>
      </c>
      <c r="M189" s="47" t="str">
        <f aca="false">IF($A189="","",INDEX($L$2:$L$5001,MATCH($A189,$A$2:$A$5001,0)))</f>
        <v/>
      </c>
      <c r="N189" s="48" t="str">
        <f aca="false">IF($A189="","",IF(N(M189)=0,"–",IF(M189&lt;=Start!$D$20,"A",IF(M189&lt;=Start!$D$21,"B","C"))))</f>
        <v/>
      </c>
      <c r="O189" s="48" t="str">
        <f aca="false">IF($A189="","",IF(NOT(ISNUMBER(F189)),"Wert fehlt; ",IF(F189&lt;=0,"Wert ist 0; ",""))&amp;IF(NOT(ISNUMBER(E189)),"Bestand fehlt; ",IF(E189&lt;0,"Bestand negativ; ",IF(E189=0,"Nullbestand; ","")))&amp;IF(D189="","Warengruppe fehlt; ","")&amp;IF(B189="","Bezeichnung fehlt; ","")&amp;IF(COUNTIFS($A$2:$A$5001,$A189,$C$2:$C$5001,C189)&gt;1,"Artikel doppelt im selben Lager; ",""))</f>
        <v/>
      </c>
      <c r="P189" s="47" t="n">
        <f aca="false">IF(OR($A189="",D189=""),0,IF(COUNTIF($D$2:D189,D189)=1,SUMIF($D$2:$D$5001,D189,$H$2:$H$5001)+ROW()/10000000,0))</f>
        <v>0</v>
      </c>
      <c r="Q189" s="47" t="n">
        <f aca="false">IF(OR($A189="",C189=""),0,IF(COUNTIF($C$2:C189,C189)=1,SUMIF($C$2:$C$5001,C189,$H$2:$H$5001)+ROW()/10000000,0))</f>
        <v>0</v>
      </c>
    </row>
    <row r="190" customFormat="false" ht="15" hidden="false" customHeight="false" outlineLevel="0" collapsed="false">
      <c r="A190" s="43"/>
      <c r="B190" s="44"/>
      <c r="C190" s="44"/>
      <c r="D190" s="44"/>
      <c r="E190" s="44"/>
      <c r="F190" s="44"/>
      <c r="G190" s="44"/>
      <c r="H190" s="46" t="str">
        <f aca="false">IF($A190="","",IF(OR(NOT(ISNUMBER(E190)),NOT(ISNUMBER(F190))),"",MAX(0,E190)*F190))</f>
        <v/>
      </c>
      <c r="I190" s="46" t="str">
        <f aca="false">IF($A190="","",SUMIF($A$2:$A$5001,$A190,$H$2:$H$5001))</f>
        <v/>
      </c>
      <c r="J190" s="47" t="n">
        <f aca="false">IF($A190="",0,IF(COUNTIF($A$2:A190,$A190)=1,1,0))</f>
        <v>0</v>
      </c>
      <c r="K190" s="47" t="n">
        <f aca="false">IF(J190=1,N(I190)+ROW()/10000000,0)</f>
        <v>0</v>
      </c>
      <c r="L190" s="47" t="str">
        <f aca="false">IF(AND(J190=1,N(I190)&gt;0),SUMIF($K$2:$K$5001,"&gt;="&amp;K190,$I$2:$I$5001)/MAX(1,SUM($H$2:$H$5001)),"")</f>
        <v/>
      </c>
      <c r="M190" s="47" t="str">
        <f aca="false">IF($A190="","",INDEX($L$2:$L$5001,MATCH($A190,$A$2:$A$5001,0)))</f>
        <v/>
      </c>
      <c r="N190" s="48" t="str">
        <f aca="false">IF($A190="","",IF(N(M190)=0,"–",IF(M190&lt;=Start!$D$20,"A",IF(M190&lt;=Start!$D$21,"B","C"))))</f>
        <v/>
      </c>
      <c r="O190" s="48" t="str">
        <f aca="false">IF($A190="","",IF(NOT(ISNUMBER(F190)),"Wert fehlt; ",IF(F190&lt;=0,"Wert ist 0; ",""))&amp;IF(NOT(ISNUMBER(E190)),"Bestand fehlt; ",IF(E190&lt;0,"Bestand negativ; ",IF(E190=0,"Nullbestand; ","")))&amp;IF(D190="","Warengruppe fehlt; ","")&amp;IF(B190="","Bezeichnung fehlt; ","")&amp;IF(COUNTIFS($A$2:$A$5001,$A190,$C$2:$C$5001,C190)&gt;1,"Artikel doppelt im selben Lager; ",""))</f>
        <v/>
      </c>
      <c r="P190" s="47" t="n">
        <f aca="false">IF(OR($A190="",D190=""),0,IF(COUNTIF($D$2:D190,D190)=1,SUMIF($D$2:$D$5001,D190,$H$2:$H$5001)+ROW()/10000000,0))</f>
        <v>0</v>
      </c>
      <c r="Q190" s="47" t="n">
        <f aca="false">IF(OR($A190="",C190=""),0,IF(COUNTIF($C$2:C190,C190)=1,SUMIF($C$2:$C$5001,C190,$H$2:$H$5001)+ROW()/10000000,0))</f>
        <v>0</v>
      </c>
    </row>
    <row r="191" customFormat="false" ht="15" hidden="false" customHeight="false" outlineLevel="0" collapsed="false">
      <c r="A191" s="43"/>
      <c r="B191" s="44"/>
      <c r="C191" s="44"/>
      <c r="D191" s="44"/>
      <c r="E191" s="44"/>
      <c r="F191" s="44"/>
      <c r="G191" s="44"/>
      <c r="H191" s="46" t="str">
        <f aca="false">IF($A191="","",IF(OR(NOT(ISNUMBER(E191)),NOT(ISNUMBER(F191))),"",MAX(0,E191)*F191))</f>
        <v/>
      </c>
      <c r="I191" s="46" t="str">
        <f aca="false">IF($A191="","",SUMIF($A$2:$A$5001,$A191,$H$2:$H$5001))</f>
        <v/>
      </c>
      <c r="J191" s="47" t="n">
        <f aca="false">IF($A191="",0,IF(COUNTIF($A$2:A191,$A191)=1,1,0))</f>
        <v>0</v>
      </c>
      <c r="K191" s="47" t="n">
        <f aca="false">IF(J191=1,N(I191)+ROW()/10000000,0)</f>
        <v>0</v>
      </c>
      <c r="L191" s="47" t="str">
        <f aca="false">IF(AND(J191=1,N(I191)&gt;0),SUMIF($K$2:$K$5001,"&gt;="&amp;K191,$I$2:$I$5001)/MAX(1,SUM($H$2:$H$5001)),"")</f>
        <v/>
      </c>
      <c r="M191" s="47" t="str">
        <f aca="false">IF($A191="","",INDEX($L$2:$L$5001,MATCH($A191,$A$2:$A$5001,0)))</f>
        <v/>
      </c>
      <c r="N191" s="48" t="str">
        <f aca="false">IF($A191="","",IF(N(M191)=0,"–",IF(M191&lt;=Start!$D$20,"A",IF(M191&lt;=Start!$D$21,"B","C"))))</f>
        <v/>
      </c>
      <c r="O191" s="48" t="str">
        <f aca="false">IF($A191="","",IF(NOT(ISNUMBER(F191)),"Wert fehlt; ",IF(F191&lt;=0,"Wert ist 0; ",""))&amp;IF(NOT(ISNUMBER(E191)),"Bestand fehlt; ",IF(E191&lt;0,"Bestand negativ; ",IF(E191=0,"Nullbestand; ","")))&amp;IF(D191="","Warengruppe fehlt; ","")&amp;IF(B191="","Bezeichnung fehlt; ","")&amp;IF(COUNTIFS($A$2:$A$5001,$A191,$C$2:$C$5001,C191)&gt;1,"Artikel doppelt im selben Lager; ",""))</f>
        <v/>
      </c>
      <c r="P191" s="47" t="n">
        <f aca="false">IF(OR($A191="",D191=""),0,IF(COUNTIF($D$2:D191,D191)=1,SUMIF($D$2:$D$5001,D191,$H$2:$H$5001)+ROW()/10000000,0))</f>
        <v>0</v>
      </c>
      <c r="Q191" s="47" t="n">
        <f aca="false">IF(OR($A191="",C191=""),0,IF(COUNTIF($C$2:C191,C191)=1,SUMIF($C$2:$C$5001,C191,$H$2:$H$5001)+ROW()/10000000,0))</f>
        <v>0</v>
      </c>
    </row>
    <row r="192" customFormat="false" ht="15" hidden="false" customHeight="false" outlineLevel="0" collapsed="false">
      <c r="A192" s="43"/>
      <c r="B192" s="44"/>
      <c r="C192" s="44"/>
      <c r="D192" s="44"/>
      <c r="E192" s="44"/>
      <c r="F192" s="44"/>
      <c r="G192" s="44"/>
      <c r="H192" s="46" t="str">
        <f aca="false">IF($A192="","",IF(OR(NOT(ISNUMBER(E192)),NOT(ISNUMBER(F192))),"",MAX(0,E192)*F192))</f>
        <v/>
      </c>
      <c r="I192" s="46" t="str">
        <f aca="false">IF($A192="","",SUMIF($A$2:$A$5001,$A192,$H$2:$H$5001))</f>
        <v/>
      </c>
      <c r="J192" s="47" t="n">
        <f aca="false">IF($A192="",0,IF(COUNTIF($A$2:A192,$A192)=1,1,0))</f>
        <v>0</v>
      </c>
      <c r="K192" s="47" t="n">
        <f aca="false">IF(J192=1,N(I192)+ROW()/10000000,0)</f>
        <v>0</v>
      </c>
      <c r="L192" s="47" t="str">
        <f aca="false">IF(AND(J192=1,N(I192)&gt;0),SUMIF($K$2:$K$5001,"&gt;="&amp;K192,$I$2:$I$5001)/MAX(1,SUM($H$2:$H$5001)),"")</f>
        <v/>
      </c>
      <c r="M192" s="47" t="str">
        <f aca="false">IF($A192="","",INDEX($L$2:$L$5001,MATCH($A192,$A$2:$A$5001,0)))</f>
        <v/>
      </c>
      <c r="N192" s="48" t="str">
        <f aca="false">IF($A192="","",IF(N(M192)=0,"–",IF(M192&lt;=Start!$D$20,"A",IF(M192&lt;=Start!$D$21,"B","C"))))</f>
        <v/>
      </c>
      <c r="O192" s="48" t="str">
        <f aca="false">IF($A192="","",IF(NOT(ISNUMBER(F192)),"Wert fehlt; ",IF(F192&lt;=0,"Wert ist 0; ",""))&amp;IF(NOT(ISNUMBER(E192)),"Bestand fehlt; ",IF(E192&lt;0,"Bestand negativ; ",IF(E192=0,"Nullbestand; ","")))&amp;IF(D192="","Warengruppe fehlt; ","")&amp;IF(B192="","Bezeichnung fehlt; ","")&amp;IF(COUNTIFS($A$2:$A$5001,$A192,$C$2:$C$5001,C192)&gt;1,"Artikel doppelt im selben Lager; ",""))</f>
        <v/>
      </c>
      <c r="P192" s="47" t="n">
        <f aca="false">IF(OR($A192="",D192=""),0,IF(COUNTIF($D$2:D192,D192)=1,SUMIF($D$2:$D$5001,D192,$H$2:$H$5001)+ROW()/10000000,0))</f>
        <v>0</v>
      </c>
      <c r="Q192" s="47" t="n">
        <f aca="false">IF(OR($A192="",C192=""),0,IF(COUNTIF($C$2:C192,C192)=1,SUMIF($C$2:$C$5001,C192,$H$2:$H$5001)+ROW()/10000000,0))</f>
        <v>0</v>
      </c>
    </row>
    <row r="193" customFormat="false" ht="15" hidden="false" customHeight="false" outlineLevel="0" collapsed="false">
      <c r="A193" s="43"/>
      <c r="B193" s="44"/>
      <c r="C193" s="44"/>
      <c r="D193" s="44"/>
      <c r="E193" s="44"/>
      <c r="F193" s="44"/>
      <c r="G193" s="44"/>
      <c r="H193" s="46" t="str">
        <f aca="false">IF($A193="","",IF(OR(NOT(ISNUMBER(E193)),NOT(ISNUMBER(F193))),"",MAX(0,E193)*F193))</f>
        <v/>
      </c>
      <c r="I193" s="46" t="str">
        <f aca="false">IF($A193="","",SUMIF($A$2:$A$5001,$A193,$H$2:$H$5001))</f>
        <v/>
      </c>
      <c r="J193" s="47" t="n">
        <f aca="false">IF($A193="",0,IF(COUNTIF($A$2:A193,$A193)=1,1,0))</f>
        <v>0</v>
      </c>
      <c r="K193" s="47" t="n">
        <f aca="false">IF(J193=1,N(I193)+ROW()/10000000,0)</f>
        <v>0</v>
      </c>
      <c r="L193" s="47" t="str">
        <f aca="false">IF(AND(J193=1,N(I193)&gt;0),SUMIF($K$2:$K$5001,"&gt;="&amp;K193,$I$2:$I$5001)/MAX(1,SUM($H$2:$H$5001)),"")</f>
        <v/>
      </c>
      <c r="M193" s="47" t="str">
        <f aca="false">IF($A193="","",INDEX($L$2:$L$5001,MATCH($A193,$A$2:$A$5001,0)))</f>
        <v/>
      </c>
      <c r="N193" s="48" t="str">
        <f aca="false">IF($A193="","",IF(N(M193)=0,"–",IF(M193&lt;=Start!$D$20,"A",IF(M193&lt;=Start!$D$21,"B","C"))))</f>
        <v/>
      </c>
      <c r="O193" s="48" t="str">
        <f aca="false">IF($A193="","",IF(NOT(ISNUMBER(F193)),"Wert fehlt; ",IF(F193&lt;=0,"Wert ist 0; ",""))&amp;IF(NOT(ISNUMBER(E193)),"Bestand fehlt; ",IF(E193&lt;0,"Bestand negativ; ",IF(E193=0,"Nullbestand; ","")))&amp;IF(D193="","Warengruppe fehlt; ","")&amp;IF(B193="","Bezeichnung fehlt; ","")&amp;IF(COUNTIFS($A$2:$A$5001,$A193,$C$2:$C$5001,C193)&gt;1,"Artikel doppelt im selben Lager; ",""))</f>
        <v/>
      </c>
      <c r="P193" s="47" t="n">
        <f aca="false">IF(OR($A193="",D193=""),0,IF(COUNTIF($D$2:D193,D193)=1,SUMIF($D$2:$D$5001,D193,$H$2:$H$5001)+ROW()/10000000,0))</f>
        <v>0</v>
      </c>
      <c r="Q193" s="47" t="n">
        <f aca="false">IF(OR($A193="",C193=""),0,IF(COUNTIF($C$2:C193,C193)=1,SUMIF($C$2:$C$5001,C193,$H$2:$H$5001)+ROW()/10000000,0))</f>
        <v>0</v>
      </c>
    </row>
    <row r="194" customFormat="false" ht="15" hidden="false" customHeight="false" outlineLevel="0" collapsed="false">
      <c r="A194" s="43"/>
      <c r="B194" s="44"/>
      <c r="C194" s="44"/>
      <c r="D194" s="44"/>
      <c r="E194" s="44"/>
      <c r="F194" s="44"/>
      <c r="G194" s="44"/>
      <c r="H194" s="46" t="str">
        <f aca="false">IF($A194="","",IF(OR(NOT(ISNUMBER(E194)),NOT(ISNUMBER(F194))),"",MAX(0,E194)*F194))</f>
        <v/>
      </c>
      <c r="I194" s="46" t="str">
        <f aca="false">IF($A194="","",SUMIF($A$2:$A$5001,$A194,$H$2:$H$5001))</f>
        <v/>
      </c>
      <c r="J194" s="47" t="n">
        <f aca="false">IF($A194="",0,IF(COUNTIF($A$2:A194,$A194)=1,1,0))</f>
        <v>0</v>
      </c>
      <c r="K194" s="47" t="n">
        <f aca="false">IF(J194=1,N(I194)+ROW()/10000000,0)</f>
        <v>0</v>
      </c>
      <c r="L194" s="47" t="str">
        <f aca="false">IF(AND(J194=1,N(I194)&gt;0),SUMIF($K$2:$K$5001,"&gt;="&amp;K194,$I$2:$I$5001)/MAX(1,SUM($H$2:$H$5001)),"")</f>
        <v/>
      </c>
      <c r="M194" s="47" t="str">
        <f aca="false">IF($A194="","",INDEX($L$2:$L$5001,MATCH($A194,$A$2:$A$5001,0)))</f>
        <v/>
      </c>
      <c r="N194" s="48" t="str">
        <f aca="false">IF($A194="","",IF(N(M194)=0,"–",IF(M194&lt;=Start!$D$20,"A",IF(M194&lt;=Start!$D$21,"B","C"))))</f>
        <v/>
      </c>
      <c r="O194" s="48" t="str">
        <f aca="false">IF($A194="","",IF(NOT(ISNUMBER(F194)),"Wert fehlt; ",IF(F194&lt;=0,"Wert ist 0; ",""))&amp;IF(NOT(ISNUMBER(E194)),"Bestand fehlt; ",IF(E194&lt;0,"Bestand negativ; ",IF(E194=0,"Nullbestand; ","")))&amp;IF(D194="","Warengruppe fehlt; ","")&amp;IF(B194="","Bezeichnung fehlt; ","")&amp;IF(COUNTIFS($A$2:$A$5001,$A194,$C$2:$C$5001,C194)&gt;1,"Artikel doppelt im selben Lager; ",""))</f>
        <v/>
      </c>
      <c r="P194" s="47" t="n">
        <f aca="false">IF(OR($A194="",D194=""),0,IF(COUNTIF($D$2:D194,D194)=1,SUMIF($D$2:$D$5001,D194,$H$2:$H$5001)+ROW()/10000000,0))</f>
        <v>0</v>
      </c>
      <c r="Q194" s="47" t="n">
        <f aca="false">IF(OR($A194="",C194=""),0,IF(COUNTIF($C$2:C194,C194)=1,SUMIF($C$2:$C$5001,C194,$H$2:$H$5001)+ROW()/10000000,0))</f>
        <v>0</v>
      </c>
    </row>
    <row r="195" customFormat="false" ht="15" hidden="false" customHeight="false" outlineLevel="0" collapsed="false">
      <c r="A195" s="43"/>
      <c r="B195" s="44"/>
      <c r="C195" s="44"/>
      <c r="D195" s="44"/>
      <c r="E195" s="44"/>
      <c r="F195" s="44"/>
      <c r="G195" s="44"/>
      <c r="H195" s="46" t="str">
        <f aca="false">IF($A195="","",IF(OR(NOT(ISNUMBER(E195)),NOT(ISNUMBER(F195))),"",MAX(0,E195)*F195))</f>
        <v/>
      </c>
      <c r="I195" s="46" t="str">
        <f aca="false">IF($A195="","",SUMIF($A$2:$A$5001,$A195,$H$2:$H$5001))</f>
        <v/>
      </c>
      <c r="J195" s="47" t="n">
        <f aca="false">IF($A195="",0,IF(COUNTIF($A$2:A195,$A195)=1,1,0))</f>
        <v>0</v>
      </c>
      <c r="K195" s="47" t="n">
        <f aca="false">IF(J195=1,N(I195)+ROW()/10000000,0)</f>
        <v>0</v>
      </c>
      <c r="L195" s="47" t="str">
        <f aca="false">IF(AND(J195=1,N(I195)&gt;0),SUMIF($K$2:$K$5001,"&gt;="&amp;K195,$I$2:$I$5001)/MAX(1,SUM($H$2:$H$5001)),"")</f>
        <v/>
      </c>
      <c r="M195" s="47" t="str">
        <f aca="false">IF($A195="","",INDEX($L$2:$L$5001,MATCH($A195,$A$2:$A$5001,0)))</f>
        <v/>
      </c>
      <c r="N195" s="48" t="str">
        <f aca="false">IF($A195="","",IF(N(M195)=0,"–",IF(M195&lt;=Start!$D$20,"A",IF(M195&lt;=Start!$D$21,"B","C"))))</f>
        <v/>
      </c>
      <c r="O195" s="48" t="str">
        <f aca="false">IF($A195="","",IF(NOT(ISNUMBER(F195)),"Wert fehlt; ",IF(F195&lt;=0,"Wert ist 0; ",""))&amp;IF(NOT(ISNUMBER(E195)),"Bestand fehlt; ",IF(E195&lt;0,"Bestand negativ; ",IF(E195=0,"Nullbestand; ","")))&amp;IF(D195="","Warengruppe fehlt; ","")&amp;IF(B195="","Bezeichnung fehlt; ","")&amp;IF(COUNTIFS($A$2:$A$5001,$A195,$C$2:$C$5001,C195)&gt;1,"Artikel doppelt im selben Lager; ",""))</f>
        <v/>
      </c>
      <c r="P195" s="47" t="n">
        <f aca="false">IF(OR($A195="",D195=""),0,IF(COUNTIF($D$2:D195,D195)=1,SUMIF($D$2:$D$5001,D195,$H$2:$H$5001)+ROW()/10000000,0))</f>
        <v>0</v>
      </c>
      <c r="Q195" s="47" t="n">
        <f aca="false">IF(OR($A195="",C195=""),0,IF(COUNTIF($C$2:C195,C195)=1,SUMIF($C$2:$C$5001,C195,$H$2:$H$5001)+ROW()/10000000,0))</f>
        <v>0</v>
      </c>
    </row>
    <row r="196" customFormat="false" ht="15" hidden="false" customHeight="false" outlineLevel="0" collapsed="false">
      <c r="A196" s="43"/>
      <c r="B196" s="44"/>
      <c r="C196" s="44"/>
      <c r="D196" s="44"/>
      <c r="E196" s="44"/>
      <c r="F196" s="44"/>
      <c r="G196" s="44"/>
      <c r="H196" s="46" t="str">
        <f aca="false">IF($A196="","",IF(OR(NOT(ISNUMBER(E196)),NOT(ISNUMBER(F196))),"",MAX(0,E196)*F196))</f>
        <v/>
      </c>
      <c r="I196" s="46" t="str">
        <f aca="false">IF($A196="","",SUMIF($A$2:$A$5001,$A196,$H$2:$H$5001))</f>
        <v/>
      </c>
      <c r="J196" s="47" t="n">
        <f aca="false">IF($A196="",0,IF(COUNTIF($A$2:A196,$A196)=1,1,0))</f>
        <v>0</v>
      </c>
      <c r="K196" s="47" t="n">
        <f aca="false">IF(J196=1,N(I196)+ROW()/10000000,0)</f>
        <v>0</v>
      </c>
      <c r="L196" s="47" t="str">
        <f aca="false">IF(AND(J196=1,N(I196)&gt;0),SUMIF($K$2:$K$5001,"&gt;="&amp;K196,$I$2:$I$5001)/MAX(1,SUM($H$2:$H$5001)),"")</f>
        <v/>
      </c>
      <c r="M196" s="47" t="str">
        <f aca="false">IF($A196="","",INDEX($L$2:$L$5001,MATCH($A196,$A$2:$A$5001,0)))</f>
        <v/>
      </c>
      <c r="N196" s="48" t="str">
        <f aca="false">IF($A196="","",IF(N(M196)=0,"–",IF(M196&lt;=Start!$D$20,"A",IF(M196&lt;=Start!$D$21,"B","C"))))</f>
        <v/>
      </c>
      <c r="O196" s="48" t="str">
        <f aca="false">IF($A196="","",IF(NOT(ISNUMBER(F196)),"Wert fehlt; ",IF(F196&lt;=0,"Wert ist 0; ",""))&amp;IF(NOT(ISNUMBER(E196)),"Bestand fehlt; ",IF(E196&lt;0,"Bestand negativ; ",IF(E196=0,"Nullbestand; ","")))&amp;IF(D196="","Warengruppe fehlt; ","")&amp;IF(B196="","Bezeichnung fehlt; ","")&amp;IF(COUNTIFS($A$2:$A$5001,$A196,$C$2:$C$5001,C196)&gt;1,"Artikel doppelt im selben Lager; ",""))</f>
        <v/>
      </c>
      <c r="P196" s="47" t="n">
        <f aca="false">IF(OR($A196="",D196=""),0,IF(COUNTIF($D$2:D196,D196)=1,SUMIF($D$2:$D$5001,D196,$H$2:$H$5001)+ROW()/10000000,0))</f>
        <v>0</v>
      </c>
      <c r="Q196" s="47" t="n">
        <f aca="false">IF(OR($A196="",C196=""),0,IF(COUNTIF($C$2:C196,C196)=1,SUMIF($C$2:$C$5001,C196,$H$2:$H$5001)+ROW()/10000000,0))</f>
        <v>0</v>
      </c>
    </row>
    <row r="197" customFormat="false" ht="15" hidden="false" customHeight="false" outlineLevel="0" collapsed="false">
      <c r="A197" s="43"/>
      <c r="B197" s="44"/>
      <c r="C197" s="44"/>
      <c r="D197" s="44"/>
      <c r="E197" s="44"/>
      <c r="F197" s="44"/>
      <c r="G197" s="44"/>
      <c r="H197" s="46" t="str">
        <f aca="false">IF($A197="","",IF(OR(NOT(ISNUMBER(E197)),NOT(ISNUMBER(F197))),"",MAX(0,E197)*F197))</f>
        <v/>
      </c>
      <c r="I197" s="46" t="str">
        <f aca="false">IF($A197="","",SUMIF($A$2:$A$5001,$A197,$H$2:$H$5001))</f>
        <v/>
      </c>
      <c r="J197" s="47" t="n">
        <f aca="false">IF($A197="",0,IF(COUNTIF($A$2:A197,$A197)=1,1,0))</f>
        <v>0</v>
      </c>
      <c r="K197" s="47" t="n">
        <f aca="false">IF(J197=1,N(I197)+ROW()/10000000,0)</f>
        <v>0</v>
      </c>
      <c r="L197" s="47" t="str">
        <f aca="false">IF(AND(J197=1,N(I197)&gt;0),SUMIF($K$2:$K$5001,"&gt;="&amp;K197,$I$2:$I$5001)/MAX(1,SUM($H$2:$H$5001)),"")</f>
        <v/>
      </c>
      <c r="M197" s="47" t="str">
        <f aca="false">IF($A197="","",INDEX($L$2:$L$5001,MATCH($A197,$A$2:$A$5001,0)))</f>
        <v/>
      </c>
      <c r="N197" s="48" t="str">
        <f aca="false">IF($A197="","",IF(N(M197)=0,"–",IF(M197&lt;=Start!$D$20,"A",IF(M197&lt;=Start!$D$21,"B","C"))))</f>
        <v/>
      </c>
      <c r="O197" s="48" t="str">
        <f aca="false">IF($A197="","",IF(NOT(ISNUMBER(F197)),"Wert fehlt; ",IF(F197&lt;=0,"Wert ist 0; ",""))&amp;IF(NOT(ISNUMBER(E197)),"Bestand fehlt; ",IF(E197&lt;0,"Bestand negativ; ",IF(E197=0,"Nullbestand; ","")))&amp;IF(D197="","Warengruppe fehlt; ","")&amp;IF(B197="","Bezeichnung fehlt; ","")&amp;IF(COUNTIFS($A$2:$A$5001,$A197,$C$2:$C$5001,C197)&gt;1,"Artikel doppelt im selben Lager; ",""))</f>
        <v/>
      </c>
      <c r="P197" s="47" t="n">
        <f aca="false">IF(OR($A197="",D197=""),0,IF(COUNTIF($D$2:D197,D197)=1,SUMIF($D$2:$D$5001,D197,$H$2:$H$5001)+ROW()/10000000,0))</f>
        <v>0</v>
      </c>
      <c r="Q197" s="47" t="n">
        <f aca="false">IF(OR($A197="",C197=""),0,IF(COUNTIF($C$2:C197,C197)=1,SUMIF($C$2:$C$5001,C197,$H$2:$H$5001)+ROW()/10000000,0))</f>
        <v>0</v>
      </c>
    </row>
    <row r="198" customFormat="false" ht="15" hidden="false" customHeight="false" outlineLevel="0" collapsed="false">
      <c r="A198" s="43"/>
      <c r="B198" s="44"/>
      <c r="C198" s="44"/>
      <c r="D198" s="44"/>
      <c r="E198" s="44"/>
      <c r="F198" s="44"/>
      <c r="G198" s="44"/>
      <c r="H198" s="46" t="str">
        <f aca="false">IF($A198="","",IF(OR(NOT(ISNUMBER(E198)),NOT(ISNUMBER(F198))),"",MAX(0,E198)*F198))</f>
        <v/>
      </c>
      <c r="I198" s="46" t="str">
        <f aca="false">IF($A198="","",SUMIF($A$2:$A$5001,$A198,$H$2:$H$5001))</f>
        <v/>
      </c>
      <c r="J198" s="47" t="n">
        <f aca="false">IF($A198="",0,IF(COUNTIF($A$2:A198,$A198)=1,1,0))</f>
        <v>0</v>
      </c>
      <c r="K198" s="47" t="n">
        <f aca="false">IF(J198=1,N(I198)+ROW()/10000000,0)</f>
        <v>0</v>
      </c>
      <c r="L198" s="47" t="str">
        <f aca="false">IF(AND(J198=1,N(I198)&gt;0),SUMIF($K$2:$K$5001,"&gt;="&amp;K198,$I$2:$I$5001)/MAX(1,SUM($H$2:$H$5001)),"")</f>
        <v/>
      </c>
      <c r="M198" s="47" t="str">
        <f aca="false">IF($A198="","",INDEX($L$2:$L$5001,MATCH($A198,$A$2:$A$5001,0)))</f>
        <v/>
      </c>
      <c r="N198" s="48" t="str">
        <f aca="false">IF($A198="","",IF(N(M198)=0,"–",IF(M198&lt;=Start!$D$20,"A",IF(M198&lt;=Start!$D$21,"B","C"))))</f>
        <v/>
      </c>
      <c r="O198" s="48" t="str">
        <f aca="false">IF($A198="","",IF(NOT(ISNUMBER(F198)),"Wert fehlt; ",IF(F198&lt;=0,"Wert ist 0; ",""))&amp;IF(NOT(ISNUMBER(E198)),"Bestand fehlt; ",IF(E198&lt;0,"Bestand negativ; ",IF(E198=0,"Nullbestand; ","")))&amp;IF(D198="","Warengruppe fehlt; ","")&amp;IF(B198="","Bezeichnung fehlt; ","")&amp;IF(COUNTIFS($A$2:$A$5001,$A198,$C$2:$C$5001,C198)&gt;1,"Artikel doppelt im selben Lager; ",""))</f>
        <v/>
      </c>
      <c r="P198" s="47" t="n">
        <f aca="false">IF(OR($A198="",D198=""),0,IF(COUNTIF($D$2:D198,D198)=1,SUMIF($D$2:$D$5001,D198,$H$2:$H$5001)+ROW()/10000000,0))</f>
        <v>0</v>
      </c>
      <c r="Q198" s="47" t="n">
        <f aca="false">IF(OR($A198="",C198=""),0,IF(COUNTIF($C$2:C198,C198)=1,SUMIF($C$2:$C$5001,C198,$H$2:$H$5001)+ROW()/10000000,0))</f>
        <v>0</v>
      </c>
    </row>
    <row r="199" customFormat="false" ht="15" hidden="false" customHeight="false" outlineLevel="0" collapsed="false">
      <c r="A199" s="43"/>
      <c r="B199" s="44"/>
      <c r="C199" s="44"/>
      <c r="D199" s="44"/>
      <c r="E199" s="44"/>
      <c r="F199" s="44"/>
      <c r="G199" s="44"/>
      <c r="H199" s="46" t="str">
        <f aca="false">IF($A199="","",IF(OR(NOT(ISNUMBER(E199)),NOT(ISNUMBER(F199))),"",MAX(0,E199)*F199))</f>
        <v/>
      </c>
      <c r="I199" s="46" t="str">
        <f aca="false">IF($A199="","",SUMIF($A$2:$A$5001,$A199,$H$2:$H$5001))</f>
        <v/>
      </c>
      <c r="J199" s="47" t="n">
        <f aca="false">IF($A199="",0,IF(COUNTIF($A$2:A199,$A199)=1,1,0))</f>
        <v>0</v>
      </c>
      <c r="K199" s="47" t="n">
        <f aca="false">IF(J199=1,N(I199)+ROW()/10000000,0)</f>
        <v>0</v>
      </c>
      <c r="L199" s="47" t="str">
        <f aca="false">IF(AND(J199=1,N(I199)&gt;0),SUMIF($K$2:$K$5001,"&gt;="&amp;K199,$I$2:$I$5001)/MAX(1,SUM($H$2:$H$5001)),"")</f>
        <v/>
      </c>
      <c r="M199" s="47" t="str">
        <f aca="false">IF($A199="","",INDEX($L$2:$L$5001,MATCH($A199,$A$2:$A$5001,0)))</f>
        <v/>
      </c>
      <c r="N199" s="48" t="str">
        <f aca="false">IF($A199="","",IF(N(M199)=0,"–",IF(M199&lt;=Start!$D$20,"A",IF(M199&lt;=Start!$D$21,"B","C"))))</f>
        <v/>
      </c>
      <c r="O199" s="48" t="str">
        <f aca="false">IF($A199="","",IF(NOT(ISNUMBER(F199)),"Wert fehlt; ",IF(F199&lt;=0,"Wert ist 0; ",""))&amp;IF(NOT(ISNUMBER(E199)),"Bestand fehlt; ",IF(E199&lt;0,"Bestand negativ; ",IF(E199=0,"Nullbestand; ","")))&amp;IF(D199="","Warengruppe fehlt; ","")&amp;IF(B199="","Bezeichnung fehlt; ","")&amp;IF(COUNTIFS($A$2:$A$5001,$A199,$C$2:$C$5001,C199)&gt;1,"Artikel doppelt im selben Lager; ",""))</f>
        <v/>
      </c>
      <c r="P199" s="47" t="n">
        <f aca="false">IF(OR($A199="",D199=""),0,IF(COUNTIF($D$2:D199,D199)=1,SUMIF($D$2:$D$5001,D199,$H$2:$H$5001)+ROW()/10000000,0))</f>
        <v>0</v>
      </c>
      <c r="Q199" s="47" t="n">
        <f aca="false">IF(OR($A199="",C199=""),0,IF(COUNTIF($C$2:C199,C199)=1,SUMIF($C$2:$C$5001,C199,$H$2:$H$5001)+ROW()/10000000,0))</f>
        <v>0</v>
      </c>
    </row>
    <row r="200" customFormat="false" ht="15" hidden="false" customHeight="false" outlineLevel="0" collapsed="false">
      <c r="A200" s="43"/>
      <c r="B200" s="44"/>
      <c r="C200" s="44"/>
      <c r="D200" s="44"/>
      <c r="E200" s="44"/>
      <c r="F200" s="44"/>
      <c r="G200" s="44"/>
      <c r="H200" s="46" t="str">
        <f aca="false">IF($A200="","",IF(OR(NOT(ISNUMBER(E200)),NOT(ISNUMBER(F200))),"",MAX(0,E200)*F200))</f>
        <v/>
      </c>
      <c r="I200" s="46" t="str">
        <f aca="false">IF($A200="","",SUMIF($A$2:$A$5001,$A200,$H$2:$H$5001))</f>
        <v/>
      </c>
      <c r="J200" s="47" t="n">
        <f aca="false">IF($A200="",0,IF(COUNTIF($A$2:A200,$A200)=1,1,0))</f>
        <v>0</v>
      </c>
      <c r="K200" s="47" t="n">
        <f aca="false">IF(J200=1,N(I200)+ROW()/10000000,0)</f>
        <v>0</v>
      </c>
      <c r="L200" s="47" t="str">
        <f aca="false">IF(AND(J200=1,N(I200)&gt;0),SUMIF($K$2:$K$5001,"&gt;="&amp;K200,$I$2:$I$5001)/MAX(1,SUM($H$2:$H$5001)),"")</f>
        <v/>
      </c>
      <c r="M200" s="47" t="str">
        <f aca="false">IF($A200="","",INDEX($L$2:$L$5001,MATCH($A200,$A$2:$A$5001,0)))</f>
        <v/>
      </c>
      <c r="N200" s="48" t="str">
        <f aca="false">IF($A200="","",IF(N(M200)=0,"–",IF(M200&lt;=Start!$D$20,"A",IF(M200&lt;=Start!$D$21,"B","C"))))</f>
        <v/>
      </c>
      <c r="O200" s="48" t="str">
        <f aca="false">IF($A200="","",IF(NOT(ISNUMBER(F200)),"Wert fehlt; ",IF(F200&lt;=0,"Wert ist 0; ",""))&amp;IF(NOT(ISNUMBER(E200)),"Bestand fehlt; ",IF(E200&lt;0,"Bestand negativ; ",IF(E200=0,"Nullbestand; ","")))&amp;IF(D200="","Warengruppe fehlt; ","")&amp;IF(B200="","Bezeichnung fehlt; ","")&amp;IF(COUNTIFS($A$2:$A$5001,$A200,$C$2:$C$5001,C200)&gt;1,"Artikel doppelt im selben Lager; ",""))</f>
        <v/>
      </c>
      <c r="P200" s="47" t="n">
        <f aca="false">IF(OR($A200="",D200=""),0,IF(COUNTIF($D$2:D200,D200)=1,SUMIF($D$2:$D$5001,D200,$H$2:$H$5001)+ROW()/10000000,0))</f>
        <v>0</v>
      </c>
      <c r="Q200" s="47" t="n">
        <f aca="false">IF(OR($A200="",C200=""),0,IF(COUNTIF($C$2:C200,C200)=1,SUMIF($C$2:$C$5001,C200,$H$2:$H$5001)+ROW()/10000000,0))</f>
        <v>0</v>
      </c>
    </row>
    <row r="201" customFormat="false" ht="15" hidden="false" customHeight="false" outlineLevel="0" collapsed="false">
      <c r="A201" s="43"/>
      <c r="B201" s="44"/>
      <c r="C201" s="44"/>
      <c r="D201" s="44"/>
      <c r="E201" s="44"/>
      <c r="F201" s="44"/>
      <c r="G201" s="44"/>
      <c r="H201" s="46" t="str">
        <f aca="false">IF($A201="","",IF(OR(NOT(ISNUMBER(E201)),NOT(ISNUMBER(F201))),"",MAX(0,E201)*F201))</f>
        <v/>
      </c>
      <c r="I201" s="46" t="str">
        <f aca="false">IF($A201="","",SUMIF($A$2:$A$5001,$A201,$H$2:$H$5001))</f>
        <v/>
      </c>
      <c r="J201" s="47" t="n">
        <f aca="false">IF($A201="",0,IF(COUNTIF($A$2:A201,$A201)=1,1,0))</f>
        <v>0</v>
      </c>
      <c r="K201" s="47" t="n">
        <f aca="false">IF(J201=1,N(I201)+ROW()/10000000,0)</f>
        <v>0</v>
      </c>
      <c r="L201" s="47" t="str">
        <f aca="false">IF(AND(J201=1,N(I201)&gt;0),SUMIF($K$2:$K$5001,"&gt;="&amp;K201,$I$2:$I$5001)/MAX(1,SUM($H$2:$H$5001)),"")</f>
        <v/>
      </c>
      <c r="M201" s="47" t="str">
        <f aca="false">IF($A201="","",INDEX($L$2:$L$5001,MATCH($A201,$A$2:$A$5001,0)))</f>
        <v/>
      </c>
      <c r="N201" s="48" t="str">
        <f aca="false">IF($A201="","",IF(N(M201)=0,"–",IF(M201&lt;=Start!$D$20,"A",IF(M201&lt;=Start!$D$21,"B","C"))))</f>
        <v/>
      </c>
      <c r="O201" s="48" t="str">
        <f aca="false">IF($A201="","",IF(NOT(ISNUMBER(F201)),"Wert fehlt; ",IF(F201&lt;=0,"Wert ist 0; ",""))&amp;IF(NOT(ISNUMBER(E201)),"Bestand fehlt; ",IF(E201&lt;0,"Bestand negativ; ",IF(E201=0,"Nullbestand; ","")))&amp;IF(D201="","Warengruppe fehlt; ","")&amp;IF(B201="","Bezeichnung fehlt; ","")&amp;IF(COUNTIFS($A$2:$A$5001,$A201,$C$2:$C$5001,C201)&gt;1,"Artikel doppelt im selben Lager; ",""))</f>
        <v/>
      </c>
      <c r="P201" s="47" t="n">
        <f aca="false">IF(OR($A201="",D201=""),0,IF(COUNTIF($D$2:D201,D201)=1,SUMIF($D$2:$D$5001,D201,$H$2:$H$5001)+ROW()/10000000,0))</f>
        <v>0</v>
      </c>
      <c r="Q201" s="47" t="n">
        <f aca="false">IF(OR($A201="",C201=""),0,IF(COUNTIF($C$2:C201,C201)=1,SUMIF($C$2:$C$5001,C201,$H$2:$H$5001)+ROW()/10000000,0))</f>
        <v>0</v>
      </c>
    </row>
    <row r="202" customFormat="false" ht="15" hidden="false" customHeight="false" outlineLevel="0" collapsed="false">
      <c r="A202" s="43"/>
      <c r="B202" s="44"/>
      <c r="C202" s="44"/>
      <c r="D202" s="44"/>
      <c r="E202" s="44"/>
      <c r="F202" s="44"/>
      <c r="G202" s="44"/>
      <c r="H202" s="46" t="str">
        <f aca="false">IF($A202="","",IF(OR(NOT(ISNUMBER(E202)),NOT(ISNUMBER(F202))),"",MAX(0,E202)*F202))</f>
        <v/>
      </c>
      <c r="I202" s="46" t="str">
        <f aca="false">IF($A202="","",SUMIF($A$2:$A$5001,$A202,$H$2:$H$5001))</f>
        <v/>
      </c>
      <c r="J202" s="47" t="n">
        <f aca="false">IF($A202="",0,IF(COUNTIF($A$2:A202,$A202)=1,1,0))</f>
        <v>0</v>
      </c>
      <c r="K202" s="47" t="n">
        <f aca="false">IF(J202=1,N(I202)+ROW()/10000000,0)</f>
        <v>0</v>
      </c>
      <c r="L202" s="47" t="str">
        <f aca="false">IF(AND(J202=1,N(I202)&gt;0),SUMIF($K$2:$K$5001,"&gt;="&amp;K202,$I$2:$I$5001)/MAX(1,SUM($H$2:$H$5001)),"")</f>
        <v/>
      </c>
      <c r="M202" s="47" t="str">
        <f aca="false">IF($A202="","",INDEX($L$2:$L$5001,MATCH($A202,$A$2:$A$5001,0)))</f>
        <v/>
      </c>
      <c r="N202" s="48" t="str">
        <f aca="false">IF($A202="","",IF(N(M202)=0,"–",IF(M202&lt;=Start!$D$20,"A",IF(M202&lt;=Start!$D$21,"B","C"))))</f>
        <v/>
      </c>
      <c r="O202" s="48" t="str">
        <f aca="false">IF($A202="","",IF(NOT(ISNUMBER(F202)),"Wert fehlt; ",IF(F202&lt;=0,"Wert ist 0; ",""))&amp;IF(NOT(ISNUMBER(E202)),"Bestand fehlt; ",IF(E202&lt;0,"Bestand negativ; ",IF(E202=0,"Nullbestand; ","")))&amp;IF(D202="","Warengruppe fehlt; ","")&amp;IF(B202="","Bezeichnung fehlt; ","")&amp;IF(COUNTIFS($A$2:$A$5001,$A202,$C$2:$C$5001,C202)&gt;1,"Artikel doppelt im selben Lager; ",""))</f>
        <v/>
      </c>
      <c r="P202" s="47" t="n">
        <f aca="false">IF(OR($A202="",D202=""),0,IF(COUNTIF($D$2:D202,D202)=1,SUMIF($D$2:$D$5001,D202,$H$2:$H$5001)+ROW()/10000000,0))</f>
        <v>0</v>
      </c>
      <c r="Q202" s="47" t="n">
        <f aca="false">IF(OR($A202="",C202=""),0,IF(COUNTIF($C$2:C202,C202)=1,SUMIF($C$2:$C$5001,C202,$H$2:$H$5001)+ROW()/10000000,0))</f>
        <v>0</v>
      </c>
    </row>
    <row r="203" customFormat="false" ht="15" hidden="false" customHeight="false" outlineLevel="0" collapsed="false">
      <c r="A203" s="43"/>
      <c r="B203" s="44"/>
      <c r="C203" s="44"/>
      <c r="D203" s="44"/>
      <c r="E203" s="44"/>
      <c r="F203" s="44"/>
      <c r="G203" s="44"/>
      <c r="H203" s="46" t="str">
        <f aca="false">IF($A203="","",IF(OR(NOT(ISNUMBER(E203)),NOT(ISNUMBER(F203))),"",MAX(0,E203)*F203))</f>
        <v/>
      </c>
      <c r="I203" s="46" t="str">
        <f aca="false">IF($A203="","",SUMIF($A$2:$A$5001,$A203,$H$2:$H$5001))</f>
        <v/>
      </c>
      <c r="J203" s="47" t="n">
        <f aca="false">IF($A203="",0,IF(COUNTIF($A$2:A203,$A203)=1,1,0))</f>
        <v>0</v>
      </c>
      <c r="K203" s="47" t="n">
        <f aca="false">IF(J203=1,N(I203)+ROW()/10000000,0)</f>
        <v>0</v>
      </c>
      <c r="L203" s="47" t="str">
        <f aca="false">IF(AND(J203=1,N(I203)&gt;0),SUMIF($K$2:$K$5001,"&gt;="&amp;K203,$I$2:$I$5001)/MAX(1,SUM($H$2:$H$5001)),"")</f>
        <v/>
      </c>
      <c r="M203" s="47" t="str">
        <f aca="false">IF($A203="","",INDEX($L$2:$L$5001,MATCH($A203,$A$2:$A$5001,0)))</f>
        <v/>
      </c>
      <c r="N203" s="48" t="str">
        <f aca="false">IF($A203="","",IF(N(M203)=0,"–",IF(M203&lt;=Start!$D$20,"A",IF(M203&lt;=Start!$D$21,"B","C"))))</f>
        <v/>
      </c>
      <c r="O203" s="48" t="str">
        <f aca="false">IF($A203="","",IF(NOT(ISNUMBER(F203)),"Wert fehlt; ",IF(F203&lt;=0,"Wert ist 0; ",""))&amp;IF(NOT(ISNUMBER(E203)),"Bestand fehlt; ",IF(E203&lt;0,"Bestand negativ; ",IF(E203=0,"Nullbestand; ","")))&amp;IF(D203="","Warengruppe fehlt; ","")&amp;IF(B203="","Bezeichnung fehlt; ","")&amp;IF(COUNTIFS($A$2:$A$5001,$A203,$C$2:$C$5001,C203)&gt;1,"Artikel doppelt im selben Lager; ",""))</f>
        <v/>
      </c>
      <c r="P203" s="47" t="n">
        <f aca="false">IF(OR($A203="",D203=""),0,IF(COUNTIF($D$2:D203,D203)=1,SUMIF($D$2:$D$5001,D203,$H$2:$H$5001)+ROW()/10000000,0))</f>
        <v>0</v>
      </c>
      <c r="Q203" s="47" t="n">
        <f aca="false">IF(OR($A203="",C203=""),0,IF(COUNTIF($C$2:C203,C203)=1,SUMIF($C$2:$C$5001,C203,$H$2:$H$5001)+ROW()/10000000,0))</f>
        <v>0</v>
      </c>
    </row>
    <row r="204" customFormat="false" ht="15" hidden="false" customHeight="false" outlineLevel="0" collapsed="false">
      <c r="A204" s="43"/>
      <c r="B204" s="44"/>
      <c r="C204" s="44"/>
      <c r="D204" s="44"/>
      <c r="E204" s="44"/>
      <c r="F204" s="44"/>
      <c r="G204" s="44"/>
      <c r="H204" s="46" t="str">
        <f aca="false">IF($A204="","",IF(OR(NOT(ISNUMBER(E204)),NOT(ISNUMBER(F204))),"",MAX(0,E204)*F204))</f>
        <v/>
      </c>
      <c r="I204" s="46" t="str">
        <f aca="false">IF($A204="","",SUMIF($A$2:$A$5001,$A204,$H$2:$H$5001))</f>
        <v/>
      </c>
      <c r="J204" s="47" t="n">
        <f aca="false">IF($A204="",0,IF(COUNTIF($A$2:A204,$A204)=1,1,0))</f>
        <v>0</v>
      </c>
      <c r="K204" s="47" t="n">
        <f aca="false">IF(J204=1,N(I204)+ROW()/10000000,0)</f>
        <v>0</v>
      </c>
      <c r="L204" s="47" t="str">
        <f aca="false">IF(AND(J204=1,N(I204)&gt;0),SUMIF($K$2:$K$5001,"&gt;="&amp;K204,$I$2:$I$5001)/MAX(1,SUM($H$2:$H$5001)),"")</f>
        <v/>
      </c>
      <c r="M204" s="47" t="str">
        <f aca="false">IF($A204="","",INDEX($L$2:$L$5001,MATCH($A204,$A$2:$A$5001,0)))</f>
        <v/>
      </c>
      <c r="N204" s="48" t="str">
        <f aca="false">IF($A204="","",IF(N(M204)=0,"–",IF(M204&lt;=Start!$D$20,"A",IF(M204&lt;=Start!$D$21,"B","C"))))</f>
        <v/>
      </c>
      <c r="O204" s="48" t="str">
        <f aca="false">IF($A204="","",IF(NOT(ISNUMBER(F204)),"Wert fehlt; ",IF(F204&lt;=0,"Wert ist 0; ",""))&amp;IF(NOT(ISNUMBER(E204)),"Bestand fehlt; ",IF(E204&lt;0,"Bestand negativ; ",IF(E204=0,"Nullbestand; ","")))&amp;IF(D204="","Warengruppe fehlt; ","")&amp;IF(B204="","Bezeichnung fehlt; ","")&amp;IF(COUNTIFS($A$2:$A$5001,$A204,$C$2:$C$5001,C204)&gt;1,"Artikel doppelt im selben Lager; ",""))</f>
        <v/>
      </c>
      <c r="P204" s="47" t="n">
        <f aca="false">IF(OR($A204="",D204=""),0,IF(COUNTIF($D$2:D204,D204)=1,SUMIF($D$2:$D$5001,D204,$H$2:$H$5001)+ROW()/10000000,0))</f>
        <v>0</v>
      </c>
      <c r="Q204" s="47" t="n">
        <f aca="false">IF(OR($A204="",C204=""),0,IF(COUNTIF($C$2:C204,C204)=1,SUMIF($C$2:$C$5001,C204,$H$2:$H$5001)+ROW()/10000000,0))</f>
        <v>0</v>
      </c>
    </row>
    <row r="205" customFormat="false" ht="15" hidden="false" customHeight="false" outlineLevel="0" collapsed="false">
      <c r="A205" s="43"/>
      <c r="B205" s="44"/>
      <c r="C205" s="44"/>
      <c r="D205" s="44"/>
      <c r="E205" s="44"/>
      <c r="F205" s="44"/>
      <c r="G205" s="44"/>
      <c r="H205" s="46" t="str">
        <f aca="false">IF($A205="","",IF(OR(NOT(ISNUMBER(E205)),NOT(ISNUMBER(F205))),"",MAX(0,E205)*F205))</f>
        <v/>
      </c>
      <c r="I205" s="46" t="str">
        <f aca="false">IF($A205="","",SUMIF($A$2:$A$5001,$A205,$H$2:$H$5001))</f>
        <v/>
      </c>
      <c r="J205" s="47" t="n">
        <f aca="false">IF($A205="",0,IF(COUNTIF($A$2:A205,$A205)=1,1,0))</f>
        <v>0</v>
      </c>
      <c r="K205" s="47" t="n">
        <f aca="false">IF(J205=1,N(I205)+ROW()/10000000,0)</f>
        <v>0</v>
      </c>
      <c r="L205" s="47" t="str">
        <f aca="false">IF(AND(J205=1,N(I205)&gt;0),SUMIF($K$2:$K$5001,"&gt;="&amp;K205,$I$2:$I$5001)/MAX(1,SUM($H$2:$H$5001)),"")</f>
        <v/>
      </c>
      <c r="M205" s="47" t="str">
        <f aca="false">IF($A205="","",INDEX($L$2:$L$5001,MATCH($A205,$A$2:$A$5001,0)))</f>
        <v/>
      </c>
      <c r="N205" s="48" t="str">
        <f aca="false">IF($A205="","",IF(N(M205)=0,"–",IF(M205&lt;=Start!$D$20,"A",IF(M205&lt;=Start!$D$21,"B","C"))))</f>
        <v/>
      </c>
      <c r="O205" s="48" t="str">
        <f aca="false">IF($A205="","",IF(NOT(ISNUMBER(F205)),"Wert fehlt; ",IF(F205&lt;=0,"Wert ist 0; ",""))&amp;IF(NOT(ISNUMBER(E205)),"Bestand fehlt; ",IF(E205&lt;0,"Bestand negativ; ",IF(E205=0,"Nullbestand; ","")))&amp;IF(D205="","Warengruppe fehlt; ","")&amp;IF(B205="","Bezeichnung fehlt; ","")&amp;IF(COUNTIFS($A$2:$A$5001,$A205,$C$2:$C$5001,C205)&gt;1,"Artikel doppelt im selben Lager; ",""))</f>
        <v/>
      </c>
      <c r="P205" s="47" t="n">
        <f aca="false">IF(OR($A205="",D205=""),0,IF(COUNTIF($D$2:D205,D205)=1,SUMIF($D$2:$D$5001,D205,$H$2:$H$5001)+ROW()/10000000,0))</f>
        <v>0</v>
      </c>
      <c r="Q205" s="47" t="n">
        <f aca="false">IF(OR($A205="",C205=""),0,IF(COUNTIF($C$2:C205,C205)=1,SUMIF($C$2:$C$5001,C205,$H$2:$H$5001)+ROW()/10000000,0))</f>
        <v>0</v>
      </c>
    </row>
    <row r="206" customFormat="false" ht="15" hidden="false" customHeight="false" outlineLevel="0" collapsed="false">
      <c r="A206" s="43"/>
      <c r="B206" s="44"/>
      <c r="C206" s="44"/>
      <c r="D206" s="44"/>
      <c r="E206" s="44"/>
      <c r="F206" s="44"/>
      <c r="G206" s="44"/>
      <c r="H206" s="46" t="str">
        <f aca="false">IF($A206="","",IF(OR(NOT(ISNUMBER(E206)),NOT(ISNUMBER(F206))),"",MAX(0,E206)*F206))</f>
        <v/>
      </c>
      <c r="I206" s="46" t="str">
        <f aca="false">IF($A206="","",SUMIF($A$2:$A$5001,$A206,$H$2:$H$5001))</f>
        <v/>
      </c>
      <c r="J206" s="47" t="n">
        <f aca="false">IF($A206="",0,IF(COUNTIF($A$2:A206,$A206)=1,1,0))</f>
        <v>0</v>
      </c>
      <c r="K206" s="47" t="n">
        <f aca="false">IF(J206=1,N(I206)+ROW()/10000000,0)</f>
        <v>0</v>
      </c>
      <c r="L206" s="47" t="str">
        <f aca="false">IF(AND(J206=1,N(I206)&gt;0),SUMIF($K$2:$K$5001,"&gt;="&amp;K206,$I$2:$I$5001)/MAX(1,SUM($H$2:$H$5001)),"")</f>
        <v/>
      </c>
      <c r="M206" s="47" t="str">
        <f aca="false">IF($A206="","",INDEX($L$2:$L$5001,MATCH($A206,$A$2:$A$5001,0)))</f>
        <v/>
      </c>
      <c r="N206" s="48" t="str">
        <f aca="false">IF($A206="","",IF(N(M206)=0,"–",IF(M206&lt;=Start!$D$20,"A",IF(M206&lt;=Start!$D$21,"B","C"))))</f>
        <v/>
      </c>
      <c r="O206" s="48" t="str">
        <f aca="false">IF($A206="","",IF(NOT(ISNUMBER(F206)),"Wert fehlt; ",IF(F206&lt;=0,"Wert ist 0; ",""))&amp;IF(NOT(ISNUMBER(E206)),"Bestand fehlt; ",IF(E206&lt;0,"Bestand negativ; ",IF(E206=0,"Nullbestand; ","")))&amp;IF(D206="","Warengruppe fehlt; ","")&amp;IF(B206="","Bezeichnung fehlt; ","")&amp;IF(COUNTIFS($A$2:$A$5001,$A206,$C$2:$C$5001,C206)&gt;1,"Artikel doppelt im selben Lager; ",""))</f>
        <v/>
      </c>
      <c r="P206" s="47" t="n">
        <f aca="false">IF(OR($A206="",D206=""),0,IF(COUNTIF($D$2:D206,D206)=1,SUMIF($D$2:$D$5001,D206,$H$2:$H$5001)+ROW()/10000000,0))</f>
        <v>0</v>
      </c>
      <c r="Q206" s="47" t="n">
        <f aca="false">IF(OR($A206="",C206=""),0,IF(COUNTIF($C$2:C206,C206)=1,SUMIF($C$2:$C$5001,C206,$H$2:$H$5001)+ROW()/10000000,0))</f>
        <v>0</v>
      </c>
    </row>
    <row r="207" customFormat="false" ht="15" hidden="false" customHeight="false" outlineLevel="0" collapsed="false">
      <c r="A207" s="43"/>
      <c r="B207" s="44"/>
      <c r="C207" s="44"/>
      <c r="D207" s="44"/>
      <c r="E207" s="44"/>
      <c r="F207" s="44"/>
      <c r="G207" s="44"/>
      <c r="H207" s="46" t="str">
        <f aca="false">IF($A207="","",IF(OR(NOT(ISNUMBER(E207)),NOT(ISNUMBER(F207))),"",MAX(0,E207)*F207))</f>
        <v/>
      </c>
      <c r="I207" s="46" t="str">
        <f aca="false">IF($A207="","",SUMIF($A$2:$A$5001,$A207,$H$2:$H$5001))</f>
        <v/>
      </c>
      <c r="J207" s="47" t="n">
        <f aca="false">IF($A207="",0,IF(COUNTIF($A$2:A207,$A207)=1,1,0))</f>
        <v>0</v>
      </c>
      <c r="K207" s="47" t="n">
        <f aca="false">IF(J207=1,N(I207)+ROW()/10000000,0)</f>
        <v>0</v>
      </c>
      <c r="L207" s="47" t="str">
        <f aca="false">IF(AND(J207=1,N(I207)&gt;0),SUMIF($K$2:$K$5001,"&gt;="&amp;K207,$I$2:$I$5001)/MAX(1,SUM($H$2:$H$5001)),"")</f>
        <v/>
      </c>
      <c r="M207" s="47" t="str">
        <f aca="false">IF($A207="","",INDEX($L$2:$L$5001,MATCH($A207,$A$2:$A$5001,0)))</f>
        <v/>
      </c>
      <c r="N207" s="48" t="str">
        <f aca="false">IF($A207="","",IF(N(M207)=0,"–",IF(M207&lt;=Start!$D$20,"A",IF(M207&lt;=Start!$D$21,"B","C"))))</f>
        <v/>
      </c>
      <c r="O207" s="48" t="str">
        <f aca="false">IF($A207="","",IF(NOT(ISNUMBER(F207)),"Wert fehlt; ",IF(F207&lt;=0,"Wert ist 0; ",""))&amp;IF(NOT(ISNUMBER(E207)),"Bestand fehlt; ",IF(E207&lt;0,"Bestand negativ; ",IF(E207=0,"Nullbestand; ","")))&amp;IF(D207="","Warengruppe fehlt; ","")&amp;IF(B207="","Bezeichnung fehlt; ","")&amp;IF(COUNTIFS($A$2:$A$5001,$A207,$C$2:$C$5001,C207)&gt;1,"Artikel doppelt im selben Lager; ",""))</f>
        <v/>
      </c>
      <c r="P207" s="47" t="n">
        <f aca="false">IF(OR($A207="",D207=""),0,IF(COUNTIF($D$2:D207,D207)=1,SUMIF($D$2:$D$5001,D207,$H$2:$H$5001)+ROW()/10000000,0))</f>
        <v>0</v>
      </c>
      <c r="Q207" s="47" t="n">
        <f aca="false">IF(OR($A207="",C207=""),0,IF(COUNTIF($C$2:C207,C207)=1,SUMIF($C$2:$C$5001,C207,$H$2:$H$5001)+ROW()/10000000,0))</f>
        <v>0</v>
      </c>
    </row>
    <row r="208" customFormat="false" ht="15" hidden="false" customHeight="false" outlineLevel="0" collapsed="false">
      <c r="A208" s="43"/>
      <c r="B208" s="44"/>
      <c r="C208" s="44"/>
      <c r="D208" s="44"/>
      <c r="E208" s="44"/>
      <c r="F208" s="44"/>
      <c r="G208" s="44"/>
      <c r="H208" s="46" t="str">
        <f aca="false">IF($A208="","",IF(OR(NOT(ISNUMBER(E208)),NOT(ISNUMBER(F208))),"",MAX(0,E208)*F208))</f>
        <v/>
      </c>
      <c r="I208" s="46" t="str">
        <f aca="false">IF($A208="","",SUMIF($A$2:$A$5001,$A208,$H$2:$H$5001))</f>
        <v/>
      </c>
      <c r="J208" s="47" t="n">
        <f aca="false">IF($A208="",0,IF(COUNTIF($A$2:A208,$A208)=1,1,0))</f>
        <v>0</v>
      </c>
      <c r="K208" s="47" t="n">
        <f aca="false">IF(J208=1,N(I208)+ROW()/10000000,0)</f>
        <v>0</v>
      </c>
      <c r="L208" s="47" t="str">
        <f aca="false">IF(AND(J208=1,N(I208)&gt;0),SUMIF($K$2:$K$5001,"&gt;="&amp;K208,$I$2:$I$5001)/MAX(1,SUM($H$2:$H$5001)),"")</f>
        <v/>
      </c>
      <c r="M208" s="47" t="str">
        <f aca="false">IF($A208="","",INDEX($L$2:$L$5001,MATCH($A208,$A$2:$A$5001,0)))</f>
        <v/>
      </c>
      <c r="N208" s="48" t="str">
        <f aca="false">IF($A208="","",IF(N(M208)=0,"–",IF(M208&lt;=Start!$D$20,"A",IF(M208&lt;=Start!$D$21,"B","C"))))</f>
        <v/>
      </c>
      <c r="O208" s="48" t="str">
        <f aca="false">IF($A208="","",IF(NOT(ISNUMBER(F208)),"Wert fehlt; ",IF(F208&lt;=0,"Wert ist 0; ",""))&amp;IF(NOT(ISNUMBER(E208)),"Bestand fehlt; ",IF(E208&lt;0,"Bestand negativ; ",IF(E208=0,"Nullbestand; ","")))&amp;IF(D208="","Warengruppe fehlt; ","")&amp;IF(B208="","Bezeichnung fehlt; ","")&amp;IF(COUNTIFS($A$2:$A$5001,$A208,$C$2:$C$5001,C208)&gt;1,"Artikel doppelt im selben Lager; ",""))</f>
        <v/>
      </c>
      <c r="P208" s="47" t="n">
        <f aca="false">IF(OR($A208="",D208=""),0,IF(COUNTIF($D$2:D208,D208)=1,SUMIF($D$2:$D$5001,D208,$H$2:$H$5001)+ROW()/10000000,0))</f>
        <v>0</v>
      </c>
      <c r="Q208" s="47" t="n">
        <f aca="false">IF(OR($A208="",C208=""),0,IF(COUNTIF($C$2:C208,C208)=1,SUMIF($C$2:$C$5001,C208,$H$2:$H$5001)+ROW()/10000000,0))</f>
        <v>0</v>
      </c>
    </row>
    <row r="209" customFormat="false" ht="15" hidden="false" customHeight="false" outlineLevel="0" collapsed="false">
      <c r="A209" s="43"/>
      <c r="B209" s="44"/>
      <c r="C209" s="44"/>
      <c r="D209" s="44"/>
      <c r="E209" s="44"/>
      <c r="F209" s="44"/>
      <c r="G209" s="44"/>
      <c r="H209" s="46" t="str">
        <f aca="false">IF($A209="","",IF(OR(NOT(ISNUMBER(E209)),NOT(ISNUMBER(F209))),"",MAX(0,E209)*F209))</f>
        <v/>
      </c>
      <c r="I209" s="46" t="str">
        <f aca="false">IF($A209="","",SUMIF($A$2:$A$5001,$A209,$H$2:$H$5001))</f>
        <v/>
      </c>
      <c r="J209" s="47" t="n">
        <f aca="false">IF($A209="",0,IF(COUNTIF($A$2:A209,$A209)=1,1,0))</f>
        <v>0</v>
      </c>
      <c r="K209" s="47" t="n">
        <f aca="false">IF(J209=1,N(I209)+ROW()/10000000,0)</f>
        <v>0</v>
      </c>
      <c r="L209" s="47" t="str">
        <f aca="false">IF(AND(J209=1,N(I209)&gt;0),SUMIF($K$2:$K$5001,"&gt;="&amp;K209,$I$2:$I$5001)/MAX(1,SUM($H$2:$H$5001)),"")</f>
        <v/>
      </c>
      <c r="M209" s="47" t="str">
        <f aca="false">IF($A209="","",INDEX($L$2:$L$5001,MATCH($A209,$A$2:$A$5001,0)))</f>
        <v/>
      </c>
      <c r="N209" s="48" t="str">
        <f aca="false">IF($A209="","",IF(N(M209)=0,"–",IF(M209&lt;=Start!$D$20,"A",IF(M209&lt;=Start!$D$21,"B","C"))))</f>
        <v/>
      </c>
      <c r="O209" s="48" t="str">
        <f aca="false">IF($A209="","",IF(NOT(ISNUMBER(F209)),"Wert fehlt; ",IF(F209&lt;=0,"Wert ist 0; ",""))&amp;IF(NOT(ISNUMBER(E209)),"Bestand fehlt; ",IF(E209&lt;0,"Bestand negativ; ",IF(E209=0,"Nullbestand; ","")))&amp;IF(D209="","Warengruppe fehlt; ","")&amp;IF(B209="","Bezeichnung fehlt; ","")&amp;IF(COUNTIFS($A$2:$A$5001,$A209,$C$2:$C$5001,C209)&gt;1,"Artikel doppelt im selben Lager; ",""))</f>
        <v/>
      </c>
      <c r="P209" s="47" t="n">
        <f aca="false">IF(OR($A209="",D209=""),0,IF(COUNTIF($D$2:D209,D209)=1,SUMIF($D$2:$D$5001,D209,$H$2:$H$5001)+ROW()/10000000,0))</f>
        <v>0</v>
      </c>
      <c r="Q209" s="47" t="n">
        <f aca="false">IF(OR($A209="",C209=""),0,IF(COUNTIF($C$2:C209,C209)=1,SUMIF($C$2:$C$5001,C209,$H$2:$H$5001)+ROW()/10000000,0))</f>
        <v>0</v>
      </c>
    </row>
    <row r="210" customFormat="false" ht="15" hidden="false" customHeight="false" outlineLevel="0" collapsed="false">
      <c r="A210" s="43"/>
      <c r="B210" s="44"/>
      <c r="C210" s="44"/>
      <c r="D210" s="44"/>
      <c r="E210" s="44"/>
      <c r="F210" s="44"/>
      <c r="G210" s="44"/>
      <c r="H210" s="46" t="str">
        <f aca="false">IF($A210="","",IF(OR(NOT(ISNUMBER(E210)),NOT(ISNUMBER(F210))),"",MAX(0,E210)*F210))</f>
        <v/>
      </c>
      <c r="I210" s="46" t="str">
        <f aca="false">IF($A210="","",SUMIF($A$2:$A$5001,$A210,$H$2:$H$5001))</f>
        <v/>
      </c>
      <c r="J210" s="47" t="n">
        <f aca="false">IF($A210="",0,IF(COUNTIF($A$2:A210,$A210)=1,1,0))</f>
        <v>0</v>
      </c>
      <c r="K210" s="47" t="n">
        <f aca="false">IF(J210=1,N(I210)+ROW()/10000000,0)</f>
        <v>0</v>
      </c>
      <c r="L210" s="47" t="str">
        <f aca="false">IF(AND(J210=1,N(I210)&gt;0),SUMIF($K$2:$K$5001,"&gt;="&amp;K210,$I$2:$I$5001)/MAX(1,SUM($H$2:$H$5001)),"")</f>
        <v/>
      </c>
      <c r="M210" s="47" t="str">
        <f aca="false">IF($A210="","",INDEX($L$2:$L$5001,MATCH($A210,$A$2:$A$5001,0)))</f>
        <v/>
      </c>
      <c r="N210" s="48" t="str">
        <f aca="false">IF($A210="","",IF(N(M210)=0,"–",IF(M210&lt;=Start!$D$20,"A",IF(M210&lt;=Start!$D$21,"B","C"))))</f>
        <v/>
      </c>
      <c r="O210" s="48" t="str">
        <f aca="false">IF($A210="","",IF(NOT(ISNUMBER(F210)),"Wert fehlt; ",IF(F210&lt;=0,"Wert ist 0; ",""))&amp;IF(NOT(ISNUMBER(E210)),"Bestand fehlt; ",IF(E210&lt;0,"Bestand negativ; ",IF(E210=0,"Nullbestand; ","")))&amp;IF(D210="","Warengruppe fehlt; ","")&amp;IF(B210="","Bezeichnung fehlt; ","")&amp;IF(COUNTIFS($A$2:$A$5001,$A210,$C$2:$C$5001,C210)&gt;1,"Artikel doppelt im selben Lager; ",""))</f>
        <v/>
      </c>
      <c r="P210" s="47" t="n">
        <f aca="false">IF(OR($A210="",D210=""),0,IF(COUNTIF($D$2:D210,D210)=1,SUMIF($D$2:$D$5001,D210,$H$2:$H$5001)+ROW()/10000000,0))</f>
        <v>0</v>
      </c>
      <c r="Q210" s="47" t="n">
        <f aca="false">IF(OR($A210="",C210=""),0,IF(COUNTIF($C$2:C210,C210)=1,SUMIF($C$2:$C$5001,C210,$H$2:$H$5001)+ROW()/10000000,0))</f>
        <v>0</v>
      </c>
    </row>
    <row r="211" customFormat="false" ht="15" hidden="false" customHeight="false" outlineLevel="0" collapsed="false">
      <c r="A211" s="43"/>
      <c r="B211" s="44"/>
      <c r="C211" s="44"/>
      <c r="D211" s="44"/>
      <c r="E211" s="44"/>
      <c r="F211" s="44"/>
      <c r="G211" s="44"/>
      <c r="H211" s="46" t="str">
        <f aca="false">IF($A211="","",IF(OR(NOT(ISNUMBER(E211)),NOT(ISNUMBER(F211))),"",MAX(0,E211)*F211))</f>
        <v/>
      </c>
      <c r="I211" s="46" t="str">
        <f aca="false">IF($A211="","",SUMIF($A$2:$A$5001,$A211,$H$2:$H$5001))</f>
        <v/>
      </c>
      <c r="J211" s="47" t="n">
        <f aca="false">IF($A211="",0,IF(COUNTIF($A$2:A211,$A211)=1,1,0))</f>
        <v>0</v>
      </c>
      <c r="K211" s="47" t="n">
        <f aca="false">IF(J211=1,N(I211)+ROW()/10000000,0)</f>
        <v>0</v>
      </c>
      <c r="L211" s="47" t="str">
        <f aca="false">IF(AND(J211=1,N(I211)&gt;0),SUMIF($K$2:$K$5001,"&gt;="&amp;K211,$I$2:$I$5001)/MAX(1,SUM($H$2:$H$5001)),"")</f>
        <v/>
      </c>
      <c r="M211" s="47" t="str">
        <f aca="false">IF($A211="","",INDEX($L$2:$L$5001,MATCH($A211,$A$2:$A$5001,0)))</f>
        <v/>
      </c>
      <c r="N211" s="48" t="str">
        <f aca="false">IF($A211="","",IF(N(M211)=0,"–",IF(M211&lt;=Start!$D$20,"A",IF(M211&lt;=Start!$D$21,"B","C"))))</f>
        <v/>
      </c>
      <c r="O211" s="48" t="str">
        <f aca="false">IF($A211="","",IF(NOT(ISNUMBER(F211)),"Wert fehlt; ",IF(F211&lt;=0,"Wert ist 0; ",""))&amp;IF(NOT(ISNUMBER(E211)),"Bestand fehlt; ",IF(E211&lt;0,"Bestand negativ; ",IF(E211=0,"Nullbestand; ","")))&amp;IF(D211="","Warengruppe fehlt; ","")&amp;IF(B211="","Bezeichnung fehlt; ","")&amp;IF(COUNTIFS($A$2:$A$5001,$A211,$C$2:$C$5001,C211)&gt;1,"Artikel doppelt im selben Lager; ",""))</f>
        <v/>
      </c>
      <c r="P211" s="47" t="n">
        <f aca="false">IF(OR($A211="",D211=""),0,IF(COUNTIF($D$2:D211,D211)=1,SUMIF($D$2:$D$5001,D211,$H$2:$H$5001)+ROW()/10000000,0))</f>
        <v>0</v>
      </c>
      <c r="Q211" s="47" t="n">
        <f aca="false">IF(OR($A211="",C211=""),0,IF(COUNTIF($C$2:C211,C211)=1,SUMIF($C$2:$C$5001,C211,$H$2:$H$5001)+ROW()/10000000,0))</f>
        <v>0</v>
      </c>
    </row>
    <row r="212" customFormat="false" ht="15" hidden="false" customHeight="false" outlineLevel="0" collapsed="false">
      <c r="A212" s="43"/>
      <c r="B212" s="44"/>
      <c r="C212" s="44"/>
      <c r="D212" s="44"/>
      <c r="E212" s="44"/>
      <c r="F212" s="44"/>
      <c r="G212" s="44"/>
      <c r="H212" s="46" t="str">
        <f aca="false">IF($A212="","",IF(OR(NOT(ISNUMBER(E212)),NOT(ISNUMBER(F212))),"",MAX(0,E212)*F212))</f>
        <v/>
      </c>
      <c r="I212" s="46" t="str">
        <f aca="false">IF($A212="","",SUMIF($A$2:$A$5001,$A212,$H$2:$H$5001))</f>
        <v/>
      </c>
      <c r="J212" s="47" t="n">
        <f aca="false">IF($A212="",0,IF(COUNTIF($A$2:A212,$A212)=1,1,0))</f>
        <v>0</v>
      </c>
      <c r="K212" s="47" t="n">
        <f aca="false">IF(J212=1,N(I212)+ROW()/10000000,0)</f>
        <v>0</v>
      </c>
      <c r="L212" s="47" t="str">
        <f aca="false">IF(AND(J212=1,N(I212)&gt;0),SUMIF($K$2:$K$5001,"&gt;="&amp;K212,$I$2:$I$5001)/MAX(1,SUM($H$2:$H$5001)),"")</f>
        <v/>
      </c>
      <c r="M212" s="47" t="str">
        <f aca="false">IF($A212="","",INDEX($L$2:$L$5001,MATCH($A212,$A$2:$A$5001,0)))</f>
        <v/>
      </c>
      <c r="N212" s="48" t="str">
        <f aca="false">IF($A212="","",IF(N(M212)=0,"–",IF(M212&lt;=Start!$D$20,"A",IF(M212&lt;=Start!$D$21,"B","C"))))</f>
        <v/>
      </c>
      <c r="O212" s="48" t="str">
        <f aca="false">IF($A212="","",IF(NOT(ISNUMBER(F212)),"Wert fehlt; ",IF(F212&lt;=0,"Wert ist 0; ",""))&amp;IF(NOT(ISNUMBER(E212)),"Bestand fehlt; ",IF(E212&lt;0,"Bestand negativ; ",IF(E212=0,"Nullbestand; ","")))&amp;IF(D212="","Warengruppe fehlt; ","")&amp;IF(B212="","Bezeichnung fehlt; ","")&amp;IF(COUNTIFS($A$2:$A$5001,$A212,$C$2:$C$5001,C212)&gt;1,"Artikel doppelt im selben Lager; ",""))</f>
        <v/>
      </c>
      <c r="P212" s="47" t="n">
        <f aca="false">IF(OR($A212="",D212=""),0,IF(COUNTIF($D$2:D212,D212)=1,SUMIF($D$2:$D$5001,D212,$H$2:$H$5001)+ROW()/10000000,0))</f>
        <v>0</v>
      </c>
      <c r="Q212" s="47" t="n">
        <f aca="false">IF(OR($A212="",C212=""),0,IF(COUNTIF($C$2:C212,C212)=1,SUMIF($C$2:$C$5001,C212,$H$2:$H$5001)+ROW()/10000000,0))</f>
        <v>0</v>
      </c>
    </row>
    <row r="213" customFormat="false" ht="15" hidden="false" customHeight="false" outlineLevel="0" collapsed="false">
      <c r="A213" s="43"/>
      <c r="B213" s="44"/>
      <c r="C213" s="44"/>
      <c r="D213" s="44"/>
      <c r="E213" s="44"/>
      <c r="F213" s="44"/>
      <c r="G213" s="44"/>
      <c r="H213" s="46" t="str">
        <f aca="false">IF($A213="","",IF(OR(NOT(ISNUMBER(E213)),NOT(ISNUMBER(F213))),"",MAX(0,E213)*F213))</f>
        <v/>
      </c>
      <c r="I213" s="46" t="str">
        <f aca="false">IF($A213="","",SUMIF($A$2:$A$5001,$A213,$H$2:$H$5001))</f>
        <v/>
      </c>
      <c r="J213" s="47" t="n">
        <f aca="false">IF($A213="",0,IF(COUNTIF($A$2:A213,$A213)=1,1,0))</f>
        <v>0</v>
      </c>
      <c r="K213" s="47" t="n">
        <f aca="false">IF(J213=1,N(I213)+ROW()/10000000,0)</f>
        <v>0</v>
      </c>
      <c r="L213" s="47" t="str">
        <f aca="false">IF(AND(J213=1,N(I213)&gt;0),SUMIF($K$2:$K$5001,"&gt;="&amp;K213,$I$2:$I$5001)/MAX(1,SUM($H$2:$H$5001)),"")</f>
        <v/>
      </c>
      <c r="M213" s="47" t="str">
        <f aca="false">IF($A213="","",INDEX($L$2:$L$5001,MATCH($A213,$A$2:$A$5001,0)))</f>
        <v/>
      </c>
      <c r="N213" s="48" t="str">
        <f aca="false">IF($A213="","",IF(N(M213)=0,"–",IF(M213&lt;=Start!$D$20,"A",IF(M213&lt;=Start!$D$21,"B","C"))))</f>
        <v/>
      </c>
      <c r="O213" s="48" t="str">
        <f aca="false">IF($A213="","",IF(NOT(ISNUMBER(F213)),"Wert fehlt; ",IF(F213&lt;=0,"Wert ist 0; ",""))&amp;IF(NOT(ISNUMBER(E213)),"Bestand fehlt; ",IF(E213&lt;0,"Bestand negativ; ",IF(E213=0,"Nullbestand; ","")))&amp;IF(D213="","Warengruppe fehlt; ","")&amp;IF(B213="","Bezeichnung fehlt; ","")&amp;IF(COUNTIFS($A$2:$A$5001,$A213,$C$2:$C$5001,C213)&gt;1,"Artikel doppelt im selben Lager; ",""))</f>
        <v/>
      </c>
      <c r="P213" s="47" t="n">
        <f aca="false">IF(OR($A213="",D213=""),0,IF(COUNTIF($D$2:D213,D213)=1,SUMIF($D$2:$D$5001,D213,$H$2:$H$5001)+ROW()/10000000,0))</f>
        <v>0</v>
      </c>
      <c r="Q213" s="47" t="n">
        <f aca="false">IF(OR($A213="",C213=""),0,IF(COUNTIF($C$2:C213,C213)=1,SUMIF($C$2:$C$5001,C213,$H$2:$H$5001)+ROW()/10000000,0))</f>
        <v>0</v>
      </c>
    </row>
    <row r="214" customFormat="false" ht="15" hidden="false" customHeight="false" outlineLevel="0" collapsed="false">
      <c r="A214" s="43"/>
      <c r="B214" s="44"/>
      <c r="C214" s="44"/>
      <c r="D214" s="44"/>
      <c r="E214" s="44"/>
      <c r="F214" s="44"/>
      <c r="G214" s="44"/>
      <c r="H214" s="46" t="str">
        <f aca="false">IF($A214="","",IF(OR(NOT(ISNUMBER(E214)),NOT(ISNUMBER(F214))),"",MAX(0,E214)*F214))</f>
        <v/>
      </c>
      <c r="I214" s="46" t="str">
        <f aca="false">IF($A214="","",SUMIF($A$2:$A$5001,$A214,$H$2:$H$5001))</f>
        <v/>
      </c>
      <c r="J214" s="47" t="n">
        <f aca="false">IF($A214="",0,IF(COUNTIF($A$2:A214,$A214)=1,1,0))</f>
        <v>0</v>
      </c>
      <c r="K214" s="47" t="n">
        <f aca="false">IF(J214=1,N(I214)+ROW()/10000000,0)</f>
        <v>0</v>
      </c>
      <c r="L214" s="47" t="str">
        <f aca="false">IF(AND(J214=1,N(I214)&gt;0),SUMIF($K$2:$K$5001,"&gt;="&amp;K214,$I$2:$I$5001)/MAX(1,SUM($H$2:$H$5001)),"")</f>
        <v/>
      </c>
      <c r="M214" s="47" t="str">
        <f aca="false">IF($A214="","",INDEX($L$2:$L$5001,MATCH($A214,$A$2:$A$5001,0)))</f>
        <v/>
      </c>
      <c r="N214" s="48" t="str">
        <f aca="false">IF($A214="","",IF(N(M214)=0,"–",IF(M214&lt;=Start!$D$20,"A",IF(M214&lt;=Start!$D$21,"B","C"))))</f>
        <v/>
      </c>
      <c r="O214" s="48" t="str">
        <f aca="false">IF($A214="","",IF(NOT(ISNUMBER(F214)),"Wert fehlt; ",IF(F214&lt;=0,"Wert ist 0; ",""))&amp;IF(NOT(ISNUMBER(E214)),"Bestand fehlt; ",IF(E214&lt;0,"Bestand negativ; ",IF(E214=0,"Nullbestand; ","")))&amp;IF(D214="","Warengruppe fehlt; ","")&amp;IF(B214="","Bezeichnung fehlt; ","")&amp;IF(COUNTIFS($A$2:$A$5001,$A214,$C$2:$C$5001,C214)&gt;1,"Artikel doppelt im selben Lager; ",""))</f>
        <v/>
      </c>
      <c r="P214" s="47" t="n">
        <f aca="false">IF(OR($A214="",D214=""),0,IF(COUNTIF($D$2:D214,D214)=1,SUMIF($D$2:$D$5001,D214,$H$2:$H$5001)+ROW()/10000000,0))</f>
        <v>0</v>
      </c>
      <c r="Q214" s="47" t="n">
        <f aca="false">IF(OR($A214="",C214=""),0,IF(COUNTIF($C$2:C214,C214)=1,SUMIF($C$2:$C$5001,C214,$H$2:$H$5001)+ROW()/10000000,0))</f>
        <v>0</v>
      </c>
    </row>
    <row r="215" customFormat="false" ht="15" hidden="false" customHeight="false" outlineLevel="0" collapsed="false">
      <c r="A215" s="43"/>
      <c r="B215" s="44"/>
      <c r="C215" s="44"/>
      <c r="D215" s="44"/>
      <c r="E215" s="44"/>
      <c r="F215" s="44"/>
      <c r="G215" s="44"/>
      <c r="H215" s="46" t="str">
        <f aca="false">IF($A215="","",IF(OR(NOT(ISNUMBER(E215)),NOT(ISNUMBER(F215))),"",MAX(0,E215)*F215))</f>
        <v/>
      </c>
      <c r="I215" s="46" t="str">
        <f aca="false">IF($A215="","",SUMIF($A$2:$A$5001,$A215,$H$2:$H$5001))</f>
        <v/>
      </c>
      <c r="J215" s="47" t="n">
        <f aca="false">IF($A215="",0,IF(COUNTIF($A$2:A215,$A215)=1,1,0))</f>
        <v>0</v>
      </c>
      <c r="K215" s="47" t="n">
        <f aca="false">IF(J215=1,N(I215)+ROW()/10000000,0)</f>
        <v>0</v>
      </c>
      <c r="L215" s="47" t="str">
        <f aca="false">IF(AND(J215=1,N(I215)&gt;0),SUMIF($K$2:$K$5001,"&gt;="&amp;K215,$I$2:$I$5001)/MAX(1,SUM($H$2:$H$5001)),"")</f>
        <v/>
      </c>
      <c r="M215" s="47" t="str">
        <f aca="false">IF($A215="","",INDEX($L$2:$L$5001,MATCH($A215,$A$2:$A$5001,0)))</f>
        <v/>
      </c>
      <c r="N215" s="48" t="str">
        <f aca="false">IF($A215="","",IF(N(M215)=0,"–",IF(M215&lt;=Start!$D$20,"A",IF(M215&lt;=Start!$D$21,"B","C"))))</f>
        <v/>
      </c>
      <c r="O215" s="48" t="str">
        <f aca="false">IF($A215="","",IF(NOT(ISNUMBER(F215)),"Wert fehlt; ",IF(F215&lt;=0,"Wert ist 0; ",""))&amp;IF(NOT(ISNUMBER(E215)),"Bestand fehlt; ",IF(E215&lt;0,"Bestand negativ; ",IF(E215=0,"Nullbestand; ","")))&amp;IF(D215="","Warengruppe fehlt; ","")&amp;IF(B215="","Bezeichnung fehlt; ","")&amp;IF(COUNTIFS($A$2:$A$5001,$A215,$C$2:$C$5001,C215)&gt;1,"Artikel doppelt im selben Lager; ",""))</f>
        <v/>
      </c>
      <c r="P215" s="47" t="n">
        <f aca="false">IF(OR($A215="",D215=""),0,IF(COUNTIF($D$2:D215,D215)=1,SUMIF($D$2:$D$5001,D215,$H$2:$H$5001)+ROW()/10000000,0))</f>
        <v>0</v>
      </c>
      <c r="Q215" s="47" t="n">
        <f aca="false">IF(OR($A215="",C215=""),0,IF(COUNTIF($C$2:C215,C215)=1,SUMIF($C$2:$C$5001,C215,$H$2:$H$5001)+ROW()/10000000,0))</f>
        <v>0</v>
      </c>
    </row>
    <row r="216" customFormat="false" ht="15" hidden="false" customHeight="false" outlineLevel="0" collapsed="false">
      <c r="A216" s="43"/>
      <c r="B216" s="44"/>
      <c r="C216" s="44"/>
      <c r="D216" s="44"/>
      <c r="E216" s="44"/>
      <c r="F216" s="44"/>
      <c r="G216" s="44"/>
      <c r="H216" s="46" t="str">
        <f aca="false">IF($A216="","",IF(OR(NOT(ISNUMBER(E216)),NOT(ISNUMBER(F216))),"",MAX(0,E216)*F216))</f>
        <v/>
      </c>
      <c r="I216" s="46" t="str">
        <f aca="false">IF($A216="","",SUMIF($A$2:$A$5001,$A216,$H$2:$H$5001))</f>
        <v/>
      </c>
      <c r="J216" s="47" t="n">
        <f aca="false">IF($A216="",0,IF(COUNTIF($A$2:A216,$A216)=1,1,0))</f>
        <v>0</v>
      </c>
      <c r="K216" s="47" t="n">
        <f aca="false">IF(J216=1,N(I216)+ROW()/10000000,0)</f>
        <v>0</v>
      </c>
      <c r="L216" s="47" t="str">
        <f aca="false">IF(AND(J216=1,N(I216)&gt;0),SUMIF($K$2:$K$5001,"&gt;="&amp;K216,$I$2:$I$5001)/MAX(1,SUM($H$2:$H$5001)),"")</f>
        <v/>
      </c>
      <c r="M216" s="47" t="str">
        <f aca="false">IF($A216="","",INDEX($L$2:$L$5001,MATCH($A216,$A$2:$A$5001,0)))</f>
        <v/>
      </c>
      <c r="N216" s="48" t="str">
        <f aca="false">IF($A216="","",IF(N(M216)=0,"–",IF(M216&lt;=Start!$D$20,"A",IF(M216&lt;=Start!$D$21,"B","C"))))</f>
        <v/>
      </c>
      <c r="O216" s="48" t="str">
        <f aca="false">IF($A216="","",IF(NOT(ISNUMBER(F216)),"Wert fehlt; ",IF(F216&lt;=0,"Wert ist 0; ",""))&amp;IF(NOT(ISNUMBER(E216)),"Bestand fehlt; ",IF(E216&lt;0,"Bestand negativ; ",IF(E216=0,"Nullbestand; ","")))&amp;IF(D216="","Warengruppe fehlt; ","")&amp;IF(B216="","Bezeichnung fehlt; ","")&amp;IF(COUNTIFS($A$2:$A$5001,$A216,$C$2:$C$5001,C216)&gt;1,"Artikel doppelt im selben Lager; ",""))</f>
        <v/>
      </c>
      <c r="P216" s="47" t="n">
        <f aca="false">IF(OR($A216="",D216=""),0,IF(COUNTIF($D$2:D216,D216)=1,SUMIF($D$2:$D$5001,D216,$H$2:$H$5001)+ROW()/10000000,0))</f>
        <v>0</v>
      </c>
      <c r="Q216" s="47" t="n">
        <f aca="false">IF(OR($A216="",C216=""),0,IF(COUNTIF($C$2:C216,C216)=1,SUMIF($C$2:$C$5001,C216,$H$2:$H$5001)+ROW()/10000000,0))</f>
        <v>0</v>
      </c>
    </row>
    <row r="217" customFormat="false" ht="15" hidden="false" customHeight="false" outlineLevel="0" collapsed="false">
      <c r="A217" s="43"/>
      <c r="B217" s="44"/>
      <c r="C217" s="44"/>
      <c r="D217" s="44"/>
      <c r="E217" s="44"/>
      <c r="F217" s="44"/>
      <c r="G217" s="44"/>
      <c r="H217" s="46" t="str">
        <f aca="false">IF($A217="","",IF(OR(NOT(ISNUMBER(E217)),NOT(ISNUMBER(F217))),"",MAX(0,E217)*F217))</f>
        <v/>
      </c>
      <c r="I217" s="46" t="str">
        <f aca="false">IF($A217="","",SUMIF($A$2:$A$5001,$A217,$H$2:$H$5001))</f>
        <v/>
      </c>
      <c r="J217" s="47" t="n">
        <f aca="false">IF($A217="",0,IF(COUNTIF($A$2:A217,$A217)=1,1,0))</f>
        <v>0</v>
      </c>
      <c r="K217" s="47" t="n">
        <f aca="false">IF(J217=1,N(I217)+ROW()/10000000,0)</f>
        <v>0</v>
      </c>
      <c r="L217" s="47" t="str">
        <f aca="false">IF(AND(J217=1,N(I217)&gt;0),SUMIF($K$2:$K$5001,"&gt;="&amp;K217,$I$2:$I$5001)/MAX(1,SUM($H$2:$H$5001)),"")</f>
        <v/>
      </c>
      <c r="M217" s="47" t="str">
        <f aca="false">IF($A217="","",INDEX($L$2:$L$5001,MATCH($A217,$A$2:$A$5001,0)))</f>
        <v/>
      </c>
      <c r="N217" s="48" t="str">
        <f aca="false">IF($A217="","",IF(N(M217)=0,"–",IF(M217&lt;=Start!$D$20,"A",IF(M217&lt;=Start!$D$21,"B","C"))))</f>
        <v/>
      </c>
      <c r="O217" s="48" t="str">
        <f aca="false">IF($A217="","",IF(NOT(ISNUMBER(F217)),"Wert fehlt; ",IF(F217&lt;=0,"Wert ist 0; ",""))&amp;IF(NOT(ISNUMBER(E217)),"Bestand fehlt; ",IF(E217&lt;0,"Bestand negativ; ",IF(E217=0,"Nullbestand; ","")))&amp;IF(D217="","Warengruppe fehlt; ","")&amp;IF(B217="","Bezeichnung fehlt; ","")&amp;IF(COUNTIFS($A$2:$A$5001,$A217,$C$2:$C$5001,C217)&gt;1,"Artikel doppelt im selben Lager; ",""))</f>
        <v/>
      </c>
      <c r="P217" s="47" t="n">
        <f aca="false">IF(OR($A217="",D217=""),0,IF(COUNTIF($D$2:D217,D217)=1,SUMIF($D$2:$D$5001,D217,$H$2:$H$5001)+ROW()/10000000,0))</f>
        <v>0</v>
      </c>
      <c r="Q217" s="47" t="n">
        <f aca="false">IF(OR($A217="",C217=""),0,IF(COUNTIF($C$2:C217,C217)=1,SUMIF($C$2:$C$5001,C217,$H$2:$H$5001)+ROW()/10000000,0))</f>
        <v>0</v>
      </c>
    </row>
    <row r="218" customFormat="false" ht="15" hidden="false" customHeight="false" outlineLevel="0" collapsed="false">
      <c r="A218" s="43"/>
      <c r="B218" s="44"/>
      <c r="C218" s="44"/>
      <c r="D218" s="44"/>
      <c r="E218" s="44"/>
      <c r="F218" s="44"/>
      <c r="G218" s="44"/>
      <c r="H218" s="46" t="str">
        <f aca="false">IF($A218="","",IF(OR(NOT(ISNUMBER(E218)),NOT(ISNUMBER(F218))),"",MAX(0,E218)*F218))</f>
        <v/>
      </c>
      <c r="I218" s="46" t="str">
        <f aca="false">IF($A218="","",SUMIF($A$2:$A$5001,$A218,$H$2:$H$5001))</f>
        <v/>
      </c>
      <c r="J218" s="47" t="n">
        <f aca="false">IF($A218="",0,IF(COUNTIF($A$2:A218,$A218)=1,1,0))</f>
        <v>0</v>
      </c>
      <c r="K218" s="47" t="n">
        <f aca="false">IF(J218=1,N(I218)+ROW()/10000000,0)</f>
        <v>0</v>
      </c>
      <c r="L218" s="47" t="str">
        <f aca="false">IF(AND(J218=1,N(I218)&gt;0),SUMIF($K$2:$K$5001,"&gt;="&amp;K218,$I$2:$I$5001)/MAX(1,SUM($H$2:$H$5001)),"")</f>
        <v/>
      </c>
      <c r="M218" s="47" t="str">
        <f aca="false">IF($A218="","",INDEX($L$2:$L$5001,MATCH($A218,$A$2:$A$5001,0)))</f>
        <v/>
      </c>
      <c r="N218" s="48" t="str">
        <f aca="false">IF($A218="","",IF(N(M218)=0,"–",IF(M218&lt;=Start!$D$20,"A",IF(M218&lt;=Start!$D$21,"B","C"))))</f>
        <v/>
      </c>
      <c r="O218" s="48" t="str">
        <f aca="false">IF($A218="","",IF(NOT(ISNUMBER(F218)),"Wert fehlt; ",IF(F218&lt;=0,"Wert ist 0; ",""))&amp;IF(NOT(ISNUMBER(E218)),"Bestand fehlt; ",IF(E218&lt;0,"Bestand negativ; ",IF(E218=0,"Nullbestand; ","")))&amp;IF(D218="","Warengruppe fehlt; ","")&amp;IF(B218="","Bezeichnung fehlt; ","")&amp;IF(COUNTIFS($A$2:$A$5001,$A218,$C$2:$C$5001,C218)&gt;1,"Artikel doppelt im selben Lager; ",""))</f>
        <v/>
      </c>
      <c r="P218" s="47" t="n">
        <f aca="false">IF(OR($A218="",D218=""),0,IF(COUNTIF($D$2:D218,D218)=1,SUMIF($D$2:$D$5001,D218,$H$2:$H$5001)+ROW()/10000000,0))</f>
        <v>0</v>
      </c>
      <c r="Q218" s="47" t="n">
        <f aca="false">IF(OR($A218="",C218=""),0,IF(COUNTIF($C$2:C218,C218)=1,SUMIF($C$2:$C$5001,C218,$H$2:$H$5001)+ROW()/10000000,0))</f>
        <v>0</v>
      </c>
    </row>
    <row r="219" customFormat="false" ht="15" hidden="false" customHeight="false" outlineLevel="0" collapsed="false">
      <c r="A219" s="43"/>
      <c r="B219" s="44"/>
      <c r="C219" s="44"/>
      <c r="D219" s="44"/>
      <c r="E219" s="44"/>
      <c r="F219" s="44"/>
      <c r="G219" s="44"/>
      <c r="H219" s="46" t="str">
        <f aca="false">IF($A219="","",IF(OR(NOT(ISNUMBER(E219)),NOT(ISNUMBER(F219))),"",MAX(0,E219)*F219))</f>
        <v/>
      </c>
      <c r="I219" s="46" t="str">
        <f aca="false">IF($A219="","",SUMIF($A$2:$A$5001,$A219,$H$2:$H$5001))</f>
        <v/>
      </c>
      <c r="J219" s="47" t="n">
        <f aca="false">IF($A219="",0,IF(COUNTIF($A$2:A219,$A219)=1,1,0))</f>
        <v>0</v>
      </c>
      <c r="K219" s="47" t="n">
        <f aca="false">IF(J219=1,N(I219)+ROW()/10000000,0)</f>
        <v>0</v>
      </c>
      <c r="L219" s="47" t="str">
        <f aca="false">IF(AND(J219=1,N(I219)&gt;0),SUMIF($K$2:$K$5001,"&gt;="&amp;K219,$I$2:$I$5001)/MAX(1,SUM($H$2:$H$5001)),"")</f>
        <v/>
      </c>
      <c r="M219" s="47" t="str">
        <f aca="false">IF($A219="","",INDEX($L$2:$L$5001,MATCH($A219,$A$2:$A$5001,0)))</f>
        <v/>
      </c>
      <c r="N219" s="48" t="str">
        <f aca="false">IF($A219="","",IF(N(M219)=0,"–",IF(M219&lt;=Start!$D$20,"A",IF(M219&lt;=Start!$D$21,"B","C"))))</f>
        <v/>
      </c>
      <c r="O219" s="48" t="str">
        <f aca="false">IF($A219="","",IF(NOT(ISNUMBER(F219)),"Wert fehlt; ",IF(F219&lt;=0,"Wert ist 0; ",""))&amp;IF(NOT(ISNUMBER(E219)),"Bestand fehlt; ",IF(E219&lt;0,"Bestand negativ; ",IF(E219=0,"Nullbestand; ","")))&amp;IF(D219="","Warengruppe fehlt; ","")&amp;IF(B219="","Bezeichnung fehlt; ","")&amp;IF(COUNTIFS($A$2:$A$5001,$A219,$C$2:$C$5001,C219)&gt;1,"Artikel doppelt im selben Lager; ",""))</f>
        <v/>
      </c>
      <c r="P219" s="47" t="n">
        <f aca="false">IF(OR($A219="",D219=""),0,IF(COUNTIF($D$2:D219,D219)=1,SUMIF($D$2:$D$5001,D219,$H$2:$H$5001)+ROW()/10000000,0))</f>
        <v>0</v>
      </c>
      <c r="Q219" s="47" t="n">
        <f aca="false">IF(OR($A219="",C219=""),0,IF(COUNTIF($C$2:C219,C219)=1,SUMIF($C$2:$C$5001,C219,$H$2:$H$5001)+ROW()/10000000,0))</f>
        <v>0</v>
      </c>
    </row>
    <row r="220" customFormat="false" ht="15" hidden="false" customHeight="false" outlineLevel="0" collapsed="false">
      <c r="A220" s="43"/>
      <c r="B220" s="44"/>
      <c r="C220" s="44"/>
      <c r="D220" s="44"/>
      <c r="E220" s="44"/>
      <c r="F220" s="44"/>
      <c r="G220" s="44"/>
      <c r="H220" s="46" t="str">
        <f aca="false">IF($A220="","",IF(OR(NOT(ISNUMBER(E220)),NOT(ISNUMBER(F220))),"",MAX(0,E220)*F220))</f>
        <v/>
      </c>
      <c r="I220" s="46" t="str">
        <f aca="false">IF($A220="","",SUMIF($A$2:$A$5001,$A220,$H$2:$H$5001))</f>
        <v/>
      </c>
      <c r="J220" s="47" t="n">
        <f aca="false">IF($A220="",0,IF(COUNTIF($A$2:A220,$A220)=1,1,0))</f>
        <v>0</v>
      </c>
      <c r="K220" s="47" t="n">
        <f aca="false">IF(J220=1,N(I220)+ROW()/10000000,0)</f>
        <v>0</v>
      </c>
      <c r="L220" s="47" t="str">
        <f aca="false">IF(AND(J220=1,N(I220)&gt;0),SUMIF($K$2:$K$5001,"&gt;="&amp;K220,$I$2:$I$5001)/MAX(1,SUM($H$2:$H$5001)),"")</f>
        <v/>
      </c>
      <c r="M220" s="47" t="str">
        <f aca="false">IF($A220="","",INDEX($L$2:$L$5001,MATCH($A220,$A$2:$A$5001,0)))</f>
        <v/>
      </c>
      <c r="N220" s="48" t="str">
        <f aca="false">IF($A220="","",IF(N(M220)=0,"–",IF(M220&lt;=Start!$D$20,"A",IF(M220&lt;=Start!$D$21,"B","C"))))</f>
        <v/>
      </c>
      <c r="O220" s="48" t="str">
        <f aca="false">IF($A220="","",IF(NOT(ISNUMBER(F220)),"Wert fehlt; ",IF(F220&lt;=0,"Wert ist 0; ",""))&amp;IF(NOT(ISNUMBER(E220)),"Bestand fehlt; ",IF(E220&lt;0,"Bestand negativ; ",IF(E220=0,"Nullbestand; ","")))&amp;IF(D220="","Warengruppe fehlt; ","")&amp;IF(B220="","Bezeichnung fehlt; ","")&amp;IF(COUNTIFS($A$2:$A$5001,$A220,$C$2:$C$5001,C220)&gt;1,"Artikel doppelt im selben Lager; ",""))</f>
        <v/>
      </c>
      <c r="P220" s="47" t="n">
        <f aca="false">IF(OR($A220="",D220=""),0,IF(COUNTIF($D$2:D220,D220)=1,SUMIF($D$2:$D$5001,D220,$H$2:$H$5001)+ROW()/10000000,0))</f>
        <v>0</v>
      </c>
      <c r="Q220" s="47" t="n">
        <f aca="false">IF(OR($A220="",C220=""),0,IF(COUNTIF($C$2:C220,C220)=1,SUMIF($C$2:$C$5001,C220,$H$2:$H$5001)+ROW()/10000000,0))</f>
        <v>0</v>
      </c>
    </row>
    <row r="221" customFormat="false" ht="15" hidden="false" customHeight="false" outlineLevel="0" collapsed="false">
      <c r="A221" s="43"/>
      <c r="B221" s="44"/>
      <c r="C221" s="44"/>
      <c r="D221" s="44"/>
      <c r="E221" s="44"/>
      <c r="F221" s="44"/>
      <c r="G221" s="44"/>
      <c r="H221" s="46" t="str">
        <f aca="false">IF($A221="","",IF(OR(NOT(ISNUMBER(E221)),NOT(ISNUMBER(F221))),"",MAX(0,E221)*F221))</f>
        <v/>
      </c>
      <c r="I221" s="46" t="str">
        <f aca="false">IF($A221="","",SUMIF($A$2:$A$5001,$A221,$H$2:$H$5001))</f>
        <v/>
      </c>
      <c r="J221" s="47" t="n">
        <f aca="false">IF($A221="",0,IF(COUNTIF($A$2:A221,$A221)=1,1,0))</f>
        <v>0</v>
      </c>
      <c r="K221" s="47" t="n">
        <f aca="false">IF(J221=1,N(I221)+ROW()/10000000,0)</f>
        <v>0</v>
      </c>
      <c r="L221" s="47" t="str">
        <f aca="false">IF(AND(J221=1,N(I221)&gt;0),SUMIF($K$2:$K$5001,"&gt;="&amp;K221,$I$2:$I$5001)/MAX(1,SUM($H$2:$H$5001)),"")</f>
        <v/>
      </c>
      <c r="M221" s="47" t="str">
        <f aca="false">IF($A221="","",INDEX($L$2:$L$5001,MATCH($A221,$A$2:$A$5001,0)))</f>
        <v/>
      </c>
      <c r="N221" s="48" t="str">
        <f aca="false">IF($A221="","",IF(N(M221)=0,"–",IF(M221&lt;=Start!$D$20,"A",IF(M221&lt;=Start!$D$21,"B","C"))))</f>
        <v/>
      </c>
      <c r="O221" s="48" t="str">
        <f aca="false">IF($A221="","",IF(NOT(ISNUMBER(F221)),"Wert fehlt; ",IF(F221&lt;=0,"Wert ist 0; ",""))&amp;IF(NOT(ISNUMBER(E221)),"Bestand fehlt; ",IF(E221&lt;0,"Bestand negativ; ",IF(E221=0,"Nullbestand; ","")))&amp;IF(D221="","Warengruppe fehlt; ","")&amp;IF(B221="","Bezeichnung fehlt; ","")&amp;IF(COUNTIFS($A$2:$A$5001,$A221,$C$2:$C$5001,C221)&gt;1,"Artikel doppelt im selben Lager; ",""))</f>
        <v/>
      </c>
      <c r="P221" s="47" t="n">
        <f aca="false">IF(OR($A221="",D221=""),0,IF(COUNTIF($D$2:D221,D221)=1,SUMIF($D$2:$D$5001,D221,$H$2:$H$5001)+ROW()/10000000,0))</f>
        <v>0</v>
      </c>
      <c r="Q221" s="47" t="n">
        <f aca="false">IF(OR($A221="",C221=""),0,IF(COUNTIF($C$2:C221,C221)=1,SUMIF($C$2:$C$5001,C221,$H$2:$H$5001)+ROW()/10000000,0))</f>
        <v>0</v>
      </c>
    </row>
    <row r="222" customFormat="false" ht="15" hidden="false" customHeight="false" outlineLevel="0" collapsed="false">
      <c r="A222" s="43"/>
      <c r="B222" s="44"/>
      <c r="C222" s="44"/>
      <c r="D222" s="44"/>
      <c r="E222" s="44"/>
      <c r="F222" s="44"/>
      <c r="G222" s="44"/>
      <c r="H222" s="46" t="str">
        <f aca="false">IF($A222="","",IF(OR(NOT(ISNUMBER(E222)),NOT(ISNUMBER(F222))),"",MAX(0,E222)*F222))</f>
        <v/>
      </c>
      <c r="I222" s="46" t="str">
        <f aca="false">IF($A222="","",SUMIF($A$2:$A$5001,$A222,$H$2:$H$5001))</f>
        <v/>
      </c>
      <c r="J222" s="47" t="n">
        <f aca="false">IF($A222="",0,IF(COUNTIF($A$2:A222,$A222)=1,1,0))</f>
        <v>0</v>
      </c>
      <c r="K222" s="47" t="n">
        <f aca="false">IF(J222=1,N(I222)+ROW()/10000000,0)</f>
        <v>0</v>
      </c>
      <c r="L222" s="47" t="str">
        <f aca="false">IF(AND(J222=1,N(I222)&gt;0),SUMIF($K$2:$K$5001,"&gt;="&amp;K222,$I$2:$I$5001)/MAX(1,SUM($H$2:$H$5001)),"")</f>
        <v/>
      </c>
      <c r="M222" s="47" t="str">
        <f aca="false">IF($A222="","",INDEX($L$2:$L$5001,MATCH($A222,$A$2:$A$5001,0)))</f>
        <v/>
      </c>
      <c r="N222" s="48" t="str">
        <f aca="false">IF($A222="","",IF(N(M222)=0,"–",IF(M222&lt;=Start!$D$20,"A",IF(M222&lt;=Start!$D$21,"B","C"))))</f>
        <v/>
      </c>
      <c r="O222" s="48" t="str">
        <f aca="false">IF($A222="","",IF(NOT(ISNUMBER(F222)),"Wert fehlt; ",IF(F222&lt;=0,"Wert ist 0; ",""))&amp;IF(NOT(ISNUMBER(E222)),"Bestand fehlt; ",IF(E222&lt;0,"Bestand negativ; ",IF(E222=0,"Nullbestand; ","")))&amp;IF(D222="","Warengruppe fehlt; ","")&amp;IF(B222="","Bezeichnung fehlt; ","")&amp;IF(COUNTIFS($A$2:$A$5001,$A222,$C$2:$C$5001,C222)&gt;1,"Artikel doppelt im selben Lager; ",""))</f>
        <v/>
      </c>
      <c r="P222" s="47" t="n">
        <f aca="false">IF(OR($A222="",D222=""),0,IF(COUNTIF($D$2:D222,D222)=1,SUMIF($D$2:$D$5001,D222,$H$2:$H$5001)+ROW()/10000000,0))</f>
        <v>0</v>
      </c>
      <c r="Q222" s="47" t="n">
        <f aca="false">IF(OR($A222="",C222=""),0,IF(COUNTIF($C$2:C222,C222)=1,SUMIF($C$2:$C$5001,C222,$H$2:$H$5001)+ROW()/10000000,0))</f>
        <v>0</v>
      </c>
    </row>
    <row r="223" customFormat="false" ht="15" hidden="false" customHeight="false" outlineLevel="0" collapsed="false">
      <c r="A223" s="43"/>
      <c r="B223" s="44"/>
      <c r="C223" s="44"/>
      <c r="D223" s="44"/>
      <c r="E223" s="44"/>
      <c r="F223" s="44"/>
      <c r="G223" s="44"/>
      <c r="H223" s="46" t="str">
        <f aca="false">IF($A223="","",IF(OR(NOT(ISNUMBER(E223)),NOT(ISNUMBER(F223))),"",MAX(0,E223)*F223))</f>
        <v/>
      </c>
      <c r="I223" s="46" t="str">
        <f aca="false">IF($A223="","",SUMIF($A$2:$A$5001,$A223,$H$2:$H$5001))</f>
        <v/>
      </c>
      <c r="J223" s="47" t="n">
        <f aca="false">IF($A223="",0,IF(COUNTIF($A$2:A223,$A223)=1,1,0))</f>
        <v>0</v>
      </c>
      <c r="K223" s="47" t="n">
        <f aca="false">IF(J223=1,N(I223)+ROW()/10000000,0)</f>
        <v>0</v>
      </c>
      <c r="L223" s="47" t="str">
        <f aca="false">IF(AND(J223=1,N(I223)&gt;0),SUMIF($K$2:$K$5001,"&gt;="&amp;K223,$I$2:$I$5001)/MAX(1,SUM($H$2:$H$5001)),"")</f>
        <v/>
      </c>
      <c r="M223" s="47" t="str">
        <f aca="false">IF($A223="","",INDEX($L$2:$L$5001,MATCH($A223,$A$2:$A$5001,0)))</f>
        <v/>
      </c>
      <c r="N223" s="48" t="str">
        <f aca="false">IF($A223="","",IF(N(M223)=0,"–",IF(M223&lt;=Start!$D$20,"A",IF(M223&lt;=Start!$D$21,"B","C"))))</f>
        <v/>
      </c>
      <c r="O223" s="48" t="str">
        <f aca="false">IF($A223="","",IF(NOT(ISNUMBER(F223)),"Wert fehlt; ",IF(F223&lt;=0,"Wert ist 0; ",""))&amp;IF(NOT(ISNUMBER(E223)),"Bestand fehlt; ",IF(E223&lt;0,"Bestand negativ; ",IF(E223=0,"Nullbestand; ","")))&amp;IF(D223="","Warengruppe fehlt; ","")&amp;IF(B223="","Bezeichnung fehlt; ","")&amp;IF(COUNTIFS($A$2:$A$5001,$A223,$C$2:$C$5001,C223)&gt;1,"Artikel doppelt im selben Lager; ",""))</f>
        <v/>
      </c>
      <c r="P223" s="47" t="n">
        <f aca="false">IF(OR($A223="",D223=""),0,IF(COUNTIF($D$2:D223,D223)=1,SUMIF($D$2:$D$5001,D223,$H$2:$H$5001)+ROW()/10000000,0))</f>
        <v>0</v>
      </c>
      <c r="Q223" s="47" t="n">
        <f aca="false">IF(OR($A223="",C223=""),0,IF(COUNTIF($C$2:C223,C223)=1,SUMIF($C$2:$C$5001,C223,$H$2:$H$5001)+ROW()/10000000,0))</f>
        <v>0</v>
      </c>
    </row>
    <row r="224" customFormat="false" ht="15" hidden="false" customHeight="false" outlineLevel="0" collapsed="false">
      <c r="A224" s="43"/>
      <c r="B224" s="44"/>
      <c r="C224" s="44"/>
      <c r="D224" s="44"/>
      <c r="E224" s="44"/>
      <c r="F224" s="44"/>
      <c r="G224" s="44"/>
      <c r="H224" s="46" t="str">
        <f aca="false">IF($A224="","",IF(OR(NOT(ISNUMBER(E224)),NOT(ISNUMBER(F224))),"",MAX(0,E224)*F224))</f>
        <v/>
      </c>
      <c r="I224" s="46" t="str">
        <f aca="false">IF($A224="","",SUMIF($A$2:$A$5001,$A224,$H$2:$H$5001))</f>
        <v/>
      </c>
      <c r="J224" s="47" t="n">
        <f aca="false">IF($A224="",0,IF(COUNTIF($A$2:A224,$A224)=1,1,0))</f>
        <v>0</v>
      </c>
      <c r="K224" s="47" t="n">
        <f aca="false">IF(J224=1,N(I224)+ROW()/10000000,0)</f>
        <v>0</v>
      </c>
      <c r="L224" s="47" t="str">
        <f aca="false">IF(AND(J224=1,N(I224)&gt;0),SUMIF($K$2:$K$5001,"&gt;="&amp;K224,$I$2:$I$5001)/MAX(1,SUM($H$2:$H$5001)),"")</f>
        <v/>
      </c>
      <c r="M224" s="47" t="str">
        <f aca="false">IF($A224="","",INDEX($L$2:$L$5001,MATCH($A224,$A$2:$A$5001,0)))</f>
        <v/>
      </c>
      <c r="N224" s="48" t="str">
        <f aca="false">IF($A224="","",IF(N(M224)=0,"–",IF(M224&lt;=Start!$D$20,"A",IF(M224&lt;=Start!$D$21,"B","C"))))</f>
        <v/>
      </c>
      <c r="O224" s="48" t="str">
        <f aca="false">IF($A224="","",IF(NOT(ISNUMBER(F224)),"Wert fehlt; ",IF(F224&lt;=0,"Wert ist 0; ",""))&amp;IF(NOT(ISNUMBER(E224)),"Bestand fehlt; ",IF(E224&lt;0,"Bestand negativ; ",IF(E224=0,"Nullbestand; ","")))&amp;IF(D224="","Warengruppe fehlt; ","")&amp;IF(B224="","Bezeichnung fehlt; ","")&amp;IF(COUNTIFS($A$2:$A$5001,$A224,$C$2:$C$5001,C224)&gt;1,"Artikel doppelt im selben Lager; ",""))</f>
        <v/>
      </c>
      <c r="P224" s="47" t="n">
        <f aca="false">IF(OR($A224="",D224=""),0,IF(COUNTIF($D$2:D224,D224)=1,SUMIF($D$2:$D$5001,D224,$H$2:$H$5001)+ROW()/10000000,0))</f>
        <v>0</v>
      </c>
      <c r="Q224" s="47" t="n">
        <f aca="false">IF(OR($A224="",C224=""),0,IF(COUNTIF($C$2:C224,C224)=1,SUMIF($C$2:$C$5001,C224,$H$2:$H$5001)+ROW()/10000000,0))</f>
        <v>0</v>
      </c>
    </row>
    <row r="225" customFormat="false" ht="15" hidden="false" customHeight="false" outlineLevel="0" collapsed="false">
      <c r="A225" s="43"/>
      <c r="B225" s="44"/>
      <c r="C225" s="44"/>
      <c r="D225" s="44"/>
      <c r="E225" s="44"/>
      <c r="F225" s="44"/>
      <c r="G225" s="44"/>
      <c r="H225" s="46" t="str">
        <f aca="false">IF($A225="","",IF(OR(NOT(ISNUMBER(E225)),NOT(ISNUMBER(F225))),"",MAX(0,E225)*F225))</f>
        <v/>
      </c>
      <c r="I225" s="46" t="str">
        <f aca="false">IF($A225="","",SUMIF($A$2:$A$5001,$A225,$H$2:$H$5001))</f>
        <v/>
      </c>
      <c r="J225" s="47" t="n">
        <f aca="false">IF($A225="",0,IF(COUNTIF($A$2:A225,$A225)=1,1,0))</f>
        <v>0</v>
      </c>
      <c r="K225" s="47" t="n">
        <f aca="false">IF(J225=1,N(I225)+ROW()/10000000,0)</f>
        <v>0</v>
      </c>
      <c r="L225" s="47" t="str">
        <f aca="false">IF(AND(J225=1,N(I225)&gt;0),SUMIF($K$2:$K$5001,"&gt;="&amp;K225,$I$2:$I$5001)/MAX(1,SUM($H$2:$H$5001)),"")</f>
        <v/>
      </c>
      <c r="M225" s="47" t="str">
        <f aca="false">IF($A225="","",INDEX($L$2:$L$5001,MATCH($A225,$A$2:$A$5001,0)))</f>
        <v/>
      </c>
      <c r="N225" s="48" t="str">
        <f aca="false">IF($A225="","",IF(N(M225)=0,"–",IF(M225&lt;=Start!$D$20,"A",IF(M225&lt;=Start!$D$21,"B","C"))))</f>
        <v/>
      </c>
      <c r="O225" s="48" t="str">
        <f aca="false">IF($A225="","",IF(NOT(ISNUMBER(F225)),"Wert fehlt; ",IF(F225&lt;=0,"Wert ist 0; ",""))&amp;IF(NOT(ISNUMBER(E225)),"Bestand fehlt; ",IF(E225&lt;0,"Bestand negativ; ",IF(E225=0,"Nullbestand; ","")))&amp;IF(D225="","Warengruppe fehlt; ","")&amp;IF(B225="","Bezeichnung fehlt; ","")&amp;IF(COUNTIFS($A$2:$A$5001,$A225,$C$2:$C$5001,C225)&gt;1,"Artikel doppelt im selben Lager; ",""))</f>
        <v/>
      </c>
      <c r="P225" s="47" t="n">
        <f aca="false">IF(OR($A225="",D225=""),0,IF(COUNTIF($D$2:D225,D225)=1,SUMIF($D$2:$D$5001,D225,$H$2:$H$5001)+ROW()/10000000,0))</f>
        <v>0</v>
      </c>
      <c r="Q225" s="47" t="n">
        <f aca="false">IF(OR($A225="",C225=""),0,IF(COUNTIF($C$2:C225,C225)=1,SUMIF($C$2:$C$5001,C225,$H$2:$H$5001)+ROW()/10000000,0))</f>
        <v>0</v>
      </c>
    </row>
    <row r="226" customFormat="false" ht="15" hidden="false" customHeight="false" outlineLevel="0" collapsed="false">
      <c r="A226" s="43"/>
      <c r="B226" s="44"/>
      <c r="C226" s="44"/>
      <c r="D226" s="44"/>
      <c r="E226" s="44"/>
      <c r="F226" s="44"/>
      <c r="G226" s="44"/>
      <c r="H226" s="46" t="str">
        <f aca="false">IF($A226="","",IF(OR(NOT(ISNUMBER(E226)),NOT(ISNUMBER(F226))),"",MAX(0,E226)*F226))</f>
        <v/>
      </c>
      <c r="I226" s="46" t="str">
        <f aca="false">IF($A226="","",SUMIF($A$2:$A$5001,$A226,$H$2:$H$5001))</f>
        <v/>
      </c>
      <c r="J226" s="47" t="n">
        <f aca="false">IF($A226="",0,IF(COUNTIF($A$2:A226,$A226)=1,1,0))</f>
        <v>0</v>
      </c>
      <c r="K226" s="47" t="n">
        <f aca="false">IF(J226=1,N(I226)+ROW()/10000000,0)</f>
        <v>0</v>
      </c>
      <c r="L226" s="47" t="str">
        <f aca="false">IF(AND(J226=1,N(I226)&gt;0),SUMIF($K$2:$K$5001,"&gt;="&amp;K226,$I$2:$I$5001)/MAX(1,SUM($H$2:$H$5001)),"")</f>
        <v/>
      </c>
      <c r="M226" s="47" t="str">
        <f aca="false">IF($A226="","",INDEX($L$2:$L$5001,MATCH($A226,$A$2:$A$5001,0)))</f>
        <v/>
      </c>
      <c r="N226" s="48" t="str">
        <f aca="false">IF($A226="","",IF(N(M226)=0,"–",IF(M226&lt;=Start!$D$20,"A",IF(M226&lt;=Start!$D$21,"B","C"))))</f>
        <v/>
      </c>
      <c r="O226" s="48" t="str">
        <f aca="false">IF($A226="","",IF(NOT(ISNUMBER(F226)),"Wert fehlt; ",IF(F226&lt;=0,"Wert ist 0; ",""))&amp;IF(NOT(ISNUMBER(E226)),"Bestand fehlt; ",IF(E226&lt;0,"Bestand negativ; ",IF(E226=0,"Nullbestand; ","")))&amp;IF(D226="","Warengruppe fehlt; ","")&amp;IF(B226="","Bezeichnung fehlt; ","")&amp;IF(COUNTIFS($A$2:$A$5001,$A226,$C$2:$C$5001,C226)&gt;1,"Artikel doppelt im selben Lager; ",""))</f>
        <v/>
      </c>
      <c r="P226" s="47" t="n">
        <f aca="false">IF(OR($A226="",D226=""),0,IF(COUNTIF($D$2:D226,D226)=1,SUMIF($D$2:$D$5001,D226,$H$2:$H$5001)+ROW()/10000000,0))</f>
        <v>0</v>
      </c>
      <c r="Q226" s="47" t="n">
        <f aca="false">IF(OR($A226="",C226=""),0,IF(COUNTIF($C$2:C226,C226)=1,SUMIF($C$2:$C$5001,C226,$H$2:$H$5001)+ROW()/10000000,0))</f>
        <v>0</v>
      </c>
    </row>
    <row r="227" customFormat="false" ht="15" hidden="false" customHeight="false" outlineLevel="0" collapsed="false">
      <c r="A227" s="43"/>
      <c r="B227" s="44"/>
      <c r="C227" s="44"/>
      <c r="D227" s="44"/>
      <c r="E227" s="44"/>
      <c r="F227" s="44"/>
      <c r="G227" s="44"/>
      <c r="H227" s="46" t="str">
        <f aca="false">IF($A227="","",IF(OR(NOT(ISNUMBER(E227)),NOT(ISNUMBER(F227))),"",MAX(0,E227)*F227))</f>
        <v/>
      </c>
      <c r="I227" s="46" t="str">
        <f aca="false">IF($A227="","",SUMIF($A$2:$A$5001,$A227,$H$2:$H$5001))</f>
        <v/>
      </c>
      <c r="J227" s="47" t="n">
        <f aca="false">IF($A227="",0,IF(COUNTIF($A$2:A227,$A227)=1,1,0))</f>
        <v>0</v>
      </c>
      <c r="K227" s="47" t="n">
        <f aca="false">IF(J227=1,N(I227)+ROW()/10000000,0)</f>
        <v>0</v>
      </c>
      <c r="L227" s="47" t="str">
        <f aca="false">IF(AND(J227=1,N(I227)&gt;0),SUMIF($K$2:$K$5001,"&gt;="&amp;K227,$I$2:$I$5001)/MAX(1,SUM($H$2:$H$5001)),"")</f>
        <v/>
      </c>
      <c r="M227" s="47" t="str">
        <f aca="false">IF($A227="","",INDEX($L$2:$L$5001,MATCH($A227,$A$2:$A$5001,0)))</f>
        <v/>
      </c>
      <c r="N227" s="48" t="str">
        <f aca="false">IF($A227="","",IF(N(M227)=0,"–",IF(M227&lt;=Start!$D$20,"A",IF(M227&lt;=Start!$D$21,"B","C"))))</f>
        <v/>
      </c>
      <c r="O227" s="48" t="str">
        <f aca="false">IF($A227="","",IF(NOT(ISNUMBER(F227)),"Wert fehlt; ",IF(F227&lt;=0,"Wert ist 0; ",""))&amp;IF(NOT(ISNUMBER(E227)),"Bestand fehlt; ",IF(E227&lt;0,"Bestand negativ; ",IF(E227=0,"Nullbestand; ","")))&amp;IF(D227="","Warengruppe fehlt; ","")&amp;IF(B227="","Bezeichnung fehlt; ","")&amp;IF(COUNTIFS($A$2:$A$5001,$A227,$C$2:$C$5001,C227)&gt;1,"Artikel doppelt im selben Lager; ",""))</f>
        <v/>
      </c>
      <c r="P227" s="47" t="n">
        <f aca="false">IF(OR($A227="",D227=""),0,IF(COUNTIF($D$2:D227,D227)=1,SUMIF($D$2:$D$5001,D227,$H$2:$H$5001)+ROW()/10000000,0))</f>
        <v>0</v>
      </c>
      <c r="Q227" s="47" t="n">
        <f aca="false">IF(OR($A227="",C227=""),0,IF(COUNTIF($C$2:C227,C227)=1,SUMIF($C$2:$C$5001,C227,$H$2:$H$5001)+ROW()/10000000,0))</f>
        <v>0</v>
      </c>
    </row>
    <row r="228" customFormat="false" ht="15" hidden="false" customHeight="false" outlineLevel="0" collapsed="false">
      <c r="A228" s="43"/>
      <c r="B228" s="44"/>
      <c r="C228" s="44"/>
      <c r="D228" s="44"/>
      <c r="E228" s="44"/>
      <c r="F228" s="44"/>
      <c r="G228" s="44"/>
      <c r="H228" s="46" t="str">
        <f aca="false">IF($A228="","",IF(OR(NOT(ISNUMBER(E228)),NOT(ISNUMBER(F228))),"",MAX(0,E228)*F228))</f>
        <v/>
      </c>
      <c r="I228" s="46" t="str">
        <f aca="false">IF($A228="","",SUMIF($A$2:$A$5001,$A228,$H$2:$H$5001))</f>
        <v/>
      </c>
      <c r="J228" s="47" t="n">
        <f aca="false">IF($A228="",0,IF(COUNTIF($A$2:A228,$A228)=1,1,0))</f>
        <v>0</v>
      </c>
      <c r="K228" s="47" t="n">
        <f aca="false">IF(J228=1,N(I228)+ROW()/10000000,0)</f>
        <v>0</v>
      </c>
      <c r="L228" s="47" t="str">
        <f aca="false">IF(AND(J228=1,N(I228)&gt;0),SUMIF($K$2:$K$5001,"&gt;="&amp;K228,$I$2:$I$5001)/MAX(1,SUM($H$2:$H$5001)),"")</f>
        <v/>
      </c>
      <c r="M228" s="47" t="str">
        <f aca="false">IF($A228="","",INDEX($L$2:$L$5001,MATCH($A228,$A$2:$A$5001,0)))</f>
        <v/>
      </c>
      <c r="N228" s="48" t="str">
        <f aca="false">IF($A228="","",IF(N(M228)=0,"–",IF(M228&lt;=Start!$D$20,"A",IF(M228&lt;=Start!$D$21,"B","C"))))</f>
        <v/>
      </c>
      <c r="O228" s="48" t="str">
        <f aca="false">IF($A228="","",IF(NOT(ISNUMBER(F228)),"Wert fehlt; ",IF(F228&lt;=0,"Wert ist 0; ",""))&amp;IF(NOT(ISNUMBER(E228)),"Bestand fehlt; ",IF(E228&lt;0,"Bestand negativ; ",IF(E228=0,"Nullbestand; ","")))&amp;IF(D228="","Warengruppe fehlt; ","")&amp;IF(B228="","Bezeichnung fehlt; ","")&amp;IF(COUNTIFS($A$2:$A$5001,$A228,$C$2:$C$5001,C228)&gt;1,"Artikel doppelt im selben Lager; ",""))</f>
        <v/>
      </c>
      <c r="P228" s="47" t="n">
        <f aca="false">IF(OR($A228="",D228=""),0,IF(COUNTIF($D$2:D228,D228)=1,SUMIF($D$2:$D$5001,D228,$H$2:$H$5001)+ROW()/10000000,0))</f>
        <v>0</v>
      </c>
      <c r="Q228" s="47" t="n">
        <f aca="false">IF(OR($A228="",C228=""),0,IF(COUNTIF($C$2:C228,C228)=1,SUMIF($C$2:$C$5001,C228,$H$2:$H$5001)+ROW()/10000000,0))</f>
        <v>0</v>
      </c>
    </row>
    <row r="229" customFormat="false" ht="15" hidden="false" customHeight="false" outlineLevel="0" collapsed="false">
      <c r="A229" s="43"/>
      <c r="B229" s="44"/>
      <c r="C229" s="44"/>
      <c r="D229" s="44"/>
      <c r="E229" s="44"/>
      <c r="F229" s="44"/>
      <c r="G229" s="44"/>
      <c r="H229" s="46" t="str">
        <f aca="false">IF($A229="","",IF(OR(NOT(ISNUMBER(E229)),NOT(ISNUMBER(F229))),"",MAX(0,E229)*F229))</f>
        <v/>
      </c>
      <c r="I229" s="46" t="str">
        <f aca="false">IF($A229="","",SUMIF($A$2:$A$5001,$A229,$H$2:$H$5001))</f>
        <v/>
      </c>
      <c r="J229" s="47" t="n">
        <f aca="false">IF($A229="",0,IF(COUNTIF($A$2:A229,$A229)=1,1,0))</f>
        <v>0</v>
      </c>
      <c r="K229" s="47" t="n">
        <f aca="false">IF(J229=1,N(I229)+ROW()/10000000,0)</f>
        <v>0</v>
      </c>
      <c r="L229" s="47" t="str">
        <f aca="false">IF(AND(J229=1,N(I229)&gt;0),SUMIF($K$2:$K$5001,"&gt;="&amp;K229,$I$2:$I$5001)/MAX(1,SUM($H$2:$H$5001)),"")</f>
        <v/>
      </c>
      <c r="M229" s="47" t="str">
        <f aca="false">IF($A229="","",INDEX($L$2:$L$5001,MATCH($A229,$A$2:$A$5001,0)))</f>
        <v/>
      </c>
      <c r="N229" s="48" t="str">
        <f aca="false">IF($A229="","",IF(N(M229)=0,"–",IF(M229&lt;=Start!$D$20,"A",IF(M229&lt;=Start!$D$21,"B","C"))))</f>
        <v/>
      </c>
      <c r="O229" s="48" t="str">
        <f aca="false">IF($A229="","",IF(NOT(ISNUMBER(F229)),"Wert fehlt; ",IF(F229&lt;=0,"Wert ist 0; ",""))&amp;IF(NOT(ISNUMBER(E229)),"Bestand fehlt; ",IF(E229&lt;0,"Bestand negativ; ",IF(E229=0,"Nullbestand; ","")))&amp;IF(D229="","Warengruppe fehlt; ","")&amp;IF(B229="","Bezeichnung fehlt; ","")&amp;IF(COUNTIFS($A$2:$A$5001,$A229,$C$2:$C$5001,C229)&gt;1,"Artikel doppelt im selben Lager; ",""))</f>
        <v/>
      </c>
      <c r="P229" s="47" t="n">
        <f aca="false">IF(OR($A229="",D229=""),0,IF(COUNTIF($D$2:D229,D229)=1,SUMIF($D$2:$D$5001,D229,$H$2:$H$5001)+ROW()/10000000,0))</f>
        <v>0</v>
      </c>
      <c r="Q229" s="47" t="n">
        <f aca="false">IF(OR($A229="",C229=""),0,IF(COUNTIF($C$2:C229,C229)=1,SUMIF($C$2:$C$5001,C229,$H$2:$H$5001)+ROW()/10000000,0))</f>
        <v>0</v>
      </c>
    </row>
    <row r="230" customFormat="false" ht="15" hidden="false" customHeight="false" outlineLevel="0" collapsed="false">
      <c r="A230" s="43"/>
      <c r="B230" s="44"/>
      <c r="C230" s="44"/>
      <c r="D230" s="44"/>
      <c r="E230" s="44"/>
      <c r="F230" s="44"/>
      <c r="G230" s="44"/>
      <c r="H230" s="46" t="str">
        <f aca="false">IF($A230="","",IF(OR(NOT(ISNUMBER(E230)),NOT(ISNUMBER(F230))),"",MAX(0,E230)*F230))</f>
        <v/>
      </c>
      <c r="I230" s="46" t="str">
        <f aca="false">IF($A230="","",SUMIF($A$2:$A$5001,$A230,$H$2:$H$5001))</f>
        <v/>
      </c>
      <c r="J230" s="47" t="n">
        <f aca="false">IF($A230="",0,IF(COUNTIF($A$2:A230,$A230)=1,1,0))</f>
        <v>0</v>
      </c>
      <c r="K230" s="47" t="n">
        <f aca="false">IF(J230=1,N(I230)+ROW()/10000000,0)</f>
        <v>0</v>
      </c>
      <c r="L230" s="47" t="str">
        <f aca="false">IF(AND(J230=1,N(I230)&gt;0),SUMIF($K$2:$K$5001,"&gt;="&amp;K230,$I$2:$I$5001)/MAX(1,SUM($H$2:$H$5001)),"")</f>
        <v/>
      </c>
      <c r="M230" s="47" t="str">
        <f aca="false">IF($A230="","",INDEX($L$2:$L$5001,MATCH($A230,$A$2:$A$5001,0)))</f>
        <v/>
      </c>
      <c r="N230" s="48" t="str">
        <f aca="false">IF($A230="","",IF(N(M230)=0,"–",IF(M230&lt;=Start!$D$20,"A",IF(M230&lt;=Start!$D$21,"B","C"))))</f>
        <v/>
      </c>
      <c r="O230" s="48" t="str">
        <f aca="false">IF($A230="","",IF(NOT(ISNUMBER(F230)),"Wert fehlt; ",IF(F230&lt;=0,"Wert ist 0; ",""))&amp;IF(NOT(ISNUMBER(E230)),"Bestand fehlt; ",IF(E230&lt;0,"Bestand negativ; ",IF(E230=0,"Nullbestand; ","")))&amp;IF(D230="","Warengruppe fehlt; ","")&amp;IF(B230="","Bezeichnung fehlt; ","")&amp;IF(COUNTIFS($A$2:$A$5001,$A230,$C$2:$C$5001,C230)&gt;1,"Artikel doppelt im selben Lager; ",""))</f>
        <v/>
      </c>
      <c r="P230" s="47" t="n">
        <f aca="false">IF(OR($A230="",D230=""),0,IF(COUNTIF($D$2:D230,D230)=1,SUMIF($D$2:$D$5001,D230,$H$2:$H$5001)+ROW()/10000000,0))</f>
        <v>0</v>
      </c>
      <c r="Q230" s="47" t="n">
        <f aca="false">IF(OR($A230="",C230=""),0,IF(COUNTIF($C$2:C230,C230)=1,SUMIF($C$2:$C$5001,C230,$H$2:$H$5001)+ROW()/10000000,0))</f>
        <v>0</v>
      </c>
    </row>
    <row r="231" customFormat="false" ht="15" hidden="false" customHeight="false" outlineLevel="0" collapsed="false">
      <c r="A231" s="43"/>
      <c r="B231" s="44"/>
      <c r="C231" s="44"/>
      <c r="D231" s="44"/>
      <c r="E231" s="44"/>
      <c r="F231" s="44"/>
      <c r="G231" s="44"/>
      <c r="H231" s="46" t="str">
        <f aca="false">IF($A231="","",IF(OR(NOT(ISNUMBER(E231)),NOT(ISNUMBER(F231))),"",MAX(0,E231)*F231))</f>
        <v/>
      </c>
      <c r="I231" s="46" t="str">
        <f aca="false">IF($A231="","",SUMIF($A$2:$A$5001,$A231,$H$2:$H$5001))</f>
        <v/>
      </c>
      <c r="J231" s="47" t="n">
        <f aca="false">IF($A231="",0,IF(COUNTIF($A$2:A231,$A231)=1,1,0))</f>
        <v>0</v>
      </c>
      <c r="K231" s="47" t="n">
        <f aca="false">IF(J231=1,N(I231)+ROW()/10000000,0)</f>
        <v>0</v>
      </c>
      <c r="L231" s="47" t="str">
        <f aca="false">IF(AND(J231=1,N(I231)&gt;0),SUMIF($K$2:$K$5001,"&gt;="&amp;K231,$I$2:$I$5001)/MAX(1,SUM($H$2:$H$5001)),"")</f>
        <v/>
      </c>
      <c r="M231" s="47" t="str">
        <f aca="false">IF($A231="","",INDEX($L$2:$L$5001,MATCH($A231,$A$2:$A$5001,0)))</f>
        <v/>
      </c>
      <c r="N231" s="48" t="str">
        <f aca="false">IF($A231="","",IF(N(M231)=0,"–",IF(M231&lt;=Start!$D$20,"A",IF(M231&lt;=Start!$D$21,"B","C"))))</f>
        <v/>
      </c>
      <c r="O231" s="48" t="str">
        <f aca="false">IF($A231="","",IF(NOT(ISNUMBER(F231)),"Wert fehlt; ",IF(F231&lt;=0,"Wert ist 0; ",""))&amp;IF(NOT(ISNUMBER(E231)),"Bestand fehlt; ",IF(E231&lt;0,"Bestand negativ; ",IF(E231=0,"Nullbestand; ","")))&amp;IF(D231="","Warengruppe fehlt; ","")&amp;IF(B231="","Bezeichnung fehlt; ","")&amp;IF(COUNTIFS($A$2:$A$5001,$A231,$C$2:$C$5001,C231)&gt;1,"Artikel doppelt im selben Lager; ",""))</f>
        <v/>
      </c>
      <c r="P231" s="47" t="n">
        <f aca="false">IF(OR($A231="",D231=""),0,IF(COUNTIF($D$2:D231,D231)=1,SUMIF($D$2:$D$5001,D231,$H$2:$H$5001)+ROW()/10000000,0))</f>
        <v>0</v>
      </c>
      <c r="Q231" s="47" t="n">
        <f aca="false">IF(OR($A231="",C231=""),0,IF(COUNTIF($C$2:C231,C231)=1,SUMIF($C$2:$C$5001,C231,$H$2:$H$5001)+ROW()/10000000,0))</f>
        <v>0</v>
      </c>
    </row>
    <row r="232" customFormat="false" ht="15" hidden="false" customHeight="false" outlineLevel="0" collapsed="false">
      <c r="A232" s="43"/>
      <c r="B232" s="44"/>
      <c r="C232" s="44"/>
      <c r="D232" s="44"/>
      <c r="E232" s="44"/>
      <c r="F232" s="44"/>
      <c r="G232" s="44"/>
      <c r="H232" s="46" t="str">
        <f aca="false">IF($A232="","",IF(OR(NOT(ISNUMBER(E232)),NOT(ISNUMBER(F232))),"",MAX(0,E232)*F232))</f>
        <v/>
      </c>
      <c r="I232" s="46" t="str">
        <f aca="false">IF($A232="","",SUMIF($A$2:$A$5001,$A232,$H$2:$H$5001))</f>
        <v/>
      </c>
      <c r="J232" s="47" t="n">
        <f aca="false">IF($A232="",0,IF(COUNTIF($A$2:A232,$A232)=1,1,0))</f>
        <v>0</v>
      </c>
      <c r="K232" s="47" t="n">
        <f aca="false">IF(J232=1,N(I232)+ROW()/10000000,0)</f>
        <v>0</v>
      </c>
      <c r="L232" s="47" t="str">
        <f aca="false">IF(AND(J232=1,N(I232)&gt;0),SUMIF($K$2:$K$5001,"&gt;="&amp;K232,$I$2:$I$5001)/MAX(1,SUM($H$2:$H$5001)),"")</f>
        <v/>
      </c>
      <c r="M232" s="47" t="str">
        <f aca="false">IF($A232="","",INDEX($L$2:$L$5001,MATCH($A232,$A$2:$A$5001,0)))</f>
        <v/>
      </c>
      <c r="N232" s="48" t="str">
        <f aca="false">IF($A232="","",IF(N(M232)=0,"–",IF(M232&lt;=Start!$D$20,"A",IF(M232&lt;=Start!$D$21,"B","C"))))</f>
        <v/>
      </c>
      <c r="O232" s="48" t="str">
        <f aca="false">IF($A232="","",IF(NOT(ISNUMBER(F232)),"Wert fehlt; ",IF(F232&lt;=0,"Wert ist 0; ",""))&amp;IF(NOT(ISNUMBER(E232)),"Bestand fehlt; ",IF(E232&lt;0,"Bestand negativ; ",IF(E232=0,"Nullbestand; ","")))&amp;IF(D232="","Warengruppe fehlt; ","")&amp;IF(B232="","Bezeichnung fehlt; ","")&amp;IF(COUNTIFS($A$2:$A$5001,$A232,$C$2:$C$5001,C232)&gt;1,"Artikel doppelt im selben Lager; ",""))</f>
        <v/>
      </c>
      <c r="P232" s="47" t="n">
        <f aca="false">IF(OR($A232="",D232=""),0,IF(COUNTIF($D$2:D232,D232)=1,SUMIF($D$2:$D$5001,D232,$H$2:$H$5001)+ROW()/10000000,0))</f>
        <v>0</v>
      </c>
      <c r="Q232" s="47" t="n">
        <f aca="false">IF(OR($A232="",C232=""),0,IF(COUNTIF($C$2:C232,C232)=1,SUMIF($C$2:$C$5001,C232,$H$2:$H$5001)+ROW()/10000000,0))</f>
        <v>0</v>
      </c>
    </row>
    <row r="233" customFormat="false" ht="15" hidden="false" customHeight="false" outlineLevel="0" collapsed="false">
      <c r="A233" s="43"/>
      <c r="B233" s="44"/>
      <c r="C233" s="44"/>
      <c r="D233" s="44"/>
      <c r="E233" s="44"/>
      <c r="F233" s="44"/>
      <c r="G233" s="44"/>
      <c r="H233" s="46" t="str">
        <f aca="false">IF($A233="","",IF(OR(NOT(ISNUMBER(E233)),NOT(ISNUMBER(F233))),"",MAX(0,E233)*F233))</f>
        <v/>
      </c>
      <c r="I233" s="46" t="str">
        <f aca="false">IF($A233="","",SUMIF($A$2:$A$5001,$A233,$H$2:$H$5001))</f>
        <v/>
      </c>
      <c r="J233" s="47" t="n">
        <f aca="false">IF($A233="",0,IF(COUNTIF($A$2:A233,$A233)=1,1,0))</f>
        <v>0</v>
      </c>
      <c r="K233" s="47" t="n">
        <f aca="false">IF(J233=1,N(I233)+ROW()/10000000,0)</f>
        <v>0</v>
      </c>
      <c r="L233" s="47" t="str">
        <f aca="false">IF(AND(J233=1,N(I233)&gt;0),SUMIF($K$2:$K$5001,"&gt;="&amp;K233,$I$2:$I$5001)/MAX(1,SUM($H$2:$H$5001)),"")</f>
        <v/>
      </c>
      <c r="M233" s="47" t="str">
        <f aca="false">IF($A233="","",INDEX($L$2:$L$5001,MATCH($A233,$A$2:$A$5001,0)))</f>
        <v/>
      </c>
      <c r="N233" s="48" t="str">
        <f aca="false">IF($A233="","",IF(N(M233)=0,"–",IF(M233&lt;=Start!$D$20,"A",IF(M233&lt;=Start!$D$21,"B","C"))))</f>
        <v/>
      </c>
      <c r="O233" s="48" t="str">
        <f aca="false">IF($A233="","",IF(NOT(ISNUMBER(F233)),"Wert fehlt; ",IF(F233&lt;=0,"Wert ist 0; ",""))&amp;IF(NOT(ISNUMBER(E233)),"Bestand fehlt; ",IF(E233&lt;0,"Bestand negativ; ",IF(E233=0,"Nullbestand; ","")))&amp;IF(D233="","Warengruppe fehlt; ","")&amp;IF(B233="","Bezeichnung fehlt; ","")&amp;IF(COUNTIFS($A$2:$A$5001,$A233,$C$2:$C$5001,C233)&gt;1,"Artikel doppelt im selben Lager; ",""))</f>
        <v/>
      </c>
      <c r="P233" s="47" t="n">
        <f aca="false">IF(OR($A233="",D233=""),0,IF(COUNTIF($D$2:D233,D233)=1,SUMIF($D$2:$D$5001,D233,$H$2:$H$5001)+ROW()/10000000,0))</f>
        <v>0</v>
      </c>
      <c r="Q233" s="47" t="n">
        <f aca="false">IF(OR($A233="",C233=""),0,IF(COUNTIF($C$2:C233,C233)=1,SUMIF($C$2:$C$5001,C233,$H$2:$H$5001)+ROW()/10000000,0))</f>
        <v>0</v>
      </c>
    </row>
    <row r="234" customFormat="false" ht="15" hidden="false" customHeight="false" outlineLevel="0" collapsed="false">
      <c r="A234" s="43"/>
      <c r="B234" s="44"/>
      <c r="C234" s="44"/>
      <c r="D234" s="44"/>
      <c r="E234" s="44"/>
      <c r="F234" s="44"/>
      <c r="G234" s="44"/>
      <c r="H234" s="46" t="str">
        <f aca="false">IF($A234="","",IF(OR(NOT(ISNUMBER(E234)),NOT(ISNUMBER(F234))),"",MAX(0,E234)*F234))</f>
        <v/>
      </c>
      <c r="I234" s="46" t="str">
        <f aca="false">IF($A234="","",SUMIF($A$2:$A$5001,$A234,$H$2:$H$5001))</f>
        <v/>
      </c>
      <c r="J234" s="47" t="n">
        <f aca="false">IF($A234="",0,IF(COUNTIF($A$2:A234,$A234)=1,1,0))</f>
        <v>0</v>
      </c>
      <c r="K234" s="47" t="n">
        <f aca="false">IF(J234=1,N(I234)+ROW()/10000000,0)</f>
        <v>0</v>
      </c>
      <c r="L234" s="47" t="str">
        <f aca="false">IF(AND(J234=1,N(I234)&gt;0),SUMIF($K$2:$K$5001,"&gt;="&amp;K234,$I$2:$I$5001)/MAX(1,SUM($H$2:$H$5001)),"")</f>
        <v/>
      </c>
      <c r="M234" s="47" t="str">
        <f aca="false">IF($A234="","",INDEX($L$2:$L$5001,MATCH($A234,$A$2:$A$5001,0)))</f>
        <v/>
      </c>
      <c r="N234" s="48" t="str">
        <f aca="false">IF($A234="","",IF(N(M234)=0,"–",IF(M234&lt;=Start!$D$20,"A",IF(M234&lt;=Start!$D$21,"B","C"))))</f>
        <v/>
      </c>
      <c r="O234" s="48" t="str">
        <f aca="false">IF($A234="","",IF(NOT(ISNUMBER(F234)),"Wert fehlt; ",IF(F234&lt;=0,"Wert ist 0; ",""))&amp;IF(NOT(ISNUMBER(E234)),"Bestand fehlt; ",IF(E234&lt;0,"Bestand negativ; ",IF(E234=0,"Nullbestand; ","")))&amp;IF(D234="","Warengruppe fehlt; ","")&amp;IF(B234="","Bezeichnung fehlt; ","")&amp;IF(COUNTIFS($A$2:$A$5001,$A234,$C$2:$C$5001,C234)&gt;1,"Artikel doppelt im selben Lager; ",""))</f>
        <v/>
      </c>
      <c r="P234" s="47" t="n">
        <f aca="false">IF(OR($A234="",D234=""),0,IF(COUNTIF($D$2:D234,D234)=1,SUMIF($D$2:$D$5001,D234,$H$2:$H$5001)+ROW()/10000000,0))</f>
        <v>0</v>
      </c>
      <c r="Q234" s="47" t="n">
        <f aca="false">IF(OR($A234="",C234=""),0,IF(COUNTIF($C$2:C234,C234)=1,SUMIF($C$2:$C$5001,C234,$H$2:$H$5001)+ROW()/10000000,0))</f>
        <v>0</v>
      </c>
    </row>
    <row r="235" customFormat="false" ht="15" hidden="false" customHeight="false" outlineLevel="0" collapsed="false">
      <c r="A235" s="43"/>
      <c r="B235" s="44"/>
      <c r="C235" s="44"/>
      <c r="D235" s="44"/>
      <c r="E235" s="44"/>
      <c r="F235" s="44"/>
      <c r="G235" s="44"/>
      <c r="H235" s="46" t="str">
        <f aca="false">IF($A235="","",IF(OR(NOT(ISNUMBER(E235)),NOT(ISNUMBER(F235))),"",MAX(0,E235)*F235))</f>
        <v/>
      </c>
      <c r="I235" s="46" t="str">
        <f aca="false">IF($A235="","",SUMIF($A$2:$A$5001,$A235,$H$2:$H$5001))</f>
        <v/>
      </c>
      <c r="J235" s="47" t="n">
        <f aca="false">IF($A235="",0,IF(COUNTIF($A$2:A235,$A235)=1,1,0))</f>
        <v>0</v>
      </c>
      <c r="K235" s="47" t="n">
        <f aca="false">IF(J235=1,N(I235)+ROW()/10000000,0)</f>
        <v>0</v>
      </c>
      <c r="L235" s="47" t="str">
        <f aca="false">IF(AND(J235=1,N(I235)&gt;0),SUMIF($K$2:$K$5001,"&gt;="&amp;K235,$I$2:$I$5001)/MAX(1,SUM($H$2:$H$5001)),"")</f>
        <v/>
      </c>
      <c r="M235" s="47" t="str">
        <f aca="false">IF($A235="","",INDEX($L$2:$L$5001,MATCH($A235,$A$2:$A$5001,0)))</f>
        <v/>
      </c>
      <c r="N235" s="48" t="str">
        <f aca="false">IF($A235="","",IF(N(M235)=0,"–",IF(M235&lt;=Start!$D$20,"A",IF(M235&lt;=Start!$D$21,"B","C"))))</f>
        <v/>
      </c>
      <c r="O235" s="48" t="str">
        <f aca="false">IF($A235="","",IF(NOT(ISNUMBER(F235)),"Wert fehlt; ",IF(F235&lt;=0,"Wert ist 0; ",""))&amp;IF(NOT(ISNUMBER(E235)),"Bestand fehlt; ",IF(E235&lt;0,"Bestand negativ; ",IF(E235=0,"Nullbestand; ","")))&amp;IF(D235="","Warengruppe fehlt; ","")&amp;IF(B235="","Bezeichnung fehlt; ","")&amp;IF(COUNTIFS($A$2:$A$5001,$A235,$C$2:$C$5001,C235)&gt;1,"Artikel doppelt im selben Lager; ",""))</f>
        <v/>
      </c>
      <c r="P235" s="47" t="n">
        <f aca="false">IF(OR($A235="",D235=""),0,IF(COUNTIF($D$2:D235,D235)=1,SUMIF($D$2:$D$5001,D235,$H$2:$H$5001)+ROW()/10000000,0))</f>
        <v>0</v>
      </c>
      <c r="Q235" s="47" t="n">
        <f aca="false">IF(OR($A235="",C235=""),0,IF(COUNTIF($C$2:C235,C235)=1,SUMIF($C$2:$C$5001,C235,$H$2:$H$5001)+ROW()/10000000,0))</f>
        <v>0</v>
      </c>
    </row>
    <row r="236" customFormat="false" ht="15" hidden="false" customHeight="false" outlineLevel="0" collapsed="false">
      <c r="A236" s="43"/>
      <c r="B236" s="44"/>
      <c r="C236" s="44"/>
      <c r="D236" s="44"/>
      <c r="E236" s="44"/>
      <c r="F236" s="44"/>
      <c r="G236" s="44"/>
      <c r="H236" s="46" t="str">
        <f aca="false">IF($A236="","",IF(OR(NOT(ISNUMBER(E236)),NOT(ISNUMBER(F236))),"",MAX(0,E236)*F236))</f>
        <v/>
      </c>
      <c r="I236" s="46" t="str">
        <f aca="false">IF($A236="","",SUMIF($A$2:$A$5001,$A236,$H$2:$H$5001))</f>
        <v/>
      </c>
      <c r="J236" s="47" t="n">
        <f aca="false">IF($A236="",0,IF(COUNTIF($A$2:A236,$A236)=1,1,0))</f>
        <v>0</v>
      </c>
      <c r="K236" s="47" t="n">
        <f aca="false">IF(J236=1,N(I236)+ROW()/10000000,0)</f>
        <v>0</v>
      </c>
      <c r="L236" s="47" t="str">
        <f aca="false">IF(AND(J236=1,N(I236)&gt;0),SUMIF($K$2:$K$5001,"&gt;="&amp;K236,$I$2:$I$5001)/MAX(1,SUM($H$2:$H$5001)),"")</f>
        <v/>
      </c>
      <c r="M236" s="47" t="str">
        <f aca="false">IF($A236="","",INDEX($L$2:$L$5001,MATCH($A236,$A$2:$A$5001,0)))</f>
        <v/>
      </c>
      <c r="N236" s="48" t="str">
        <f aca="false">IF($A236="","",IF(N(M236)=0,"–",IF(M236&lt;=Start!$D$20,"A",IF(M236&lt;=Start!$D$21,"B","C"))))</f>
        <v/>
      </c>
      <c r="O236" s="48" t="str">
        <f aca="false">IF($A236="","",IF(NOT(ISNUMBER(F236)),"Wert fehlt; ",IF(F236&lt;=0,"Wert ist 0; ",""))&amp;IF(NOT(ISNUMBER(E236)),"Bestand fehlt; ",IF(E236&lt;0,"Bestand negativ; ",IF(E236=0,"Nullbestand; ","")))&amp;IF(D236="","Warengruppe fehlt; ","")&amp;IF(B236="","Bezeichnung fehlt; ","")&amp;IF(COUNTIFS($A$2:$A$5001,$A236,$C$2:$C$5001,C236)&gt;1,"Artikel doppelt im selben Lager; ",""))</f>
        <v/>
      </c>
      <c r="P236" s="47" t="n">
        <f aca="false">IF(OR($A236="",D236=""),0,IF(COUNTIF($D$2:D236,D236)=1,SUMIF($D$2:$D$5001,D236,$H$2:$H$5001)+ROW()/10000000,0))</f>
        <v>0</v>
      </c>
      <c r="Q236" s="47" t="n">
        <f aca="false">IF(OR($A236="",C236=""),0,IF(COUNTIF($C$2:C236,C236)=1,SUMIF($C$2:$C$5001,C236,$H$2:$H$5001)+ROW()/10000000,0))</f>
        <v>0</v>
      </c>
    </row>
    <row r="237" customFormat="false" ht="15" hidden="false" customHeight="false" outlineLevel="0" collapsed="false">
      <c r="A237" s="43"/>
      <c r="B237" s="44"/>
      <c r="C237" s="44"/>
      <c r="D237" s="44"/>
      <c r="E237" s="44"/>
      <c r="F237" s="44"/>
      <c r="G237" s="44"/>
      <c r="H237" s="46" t="str">
        <f aca="false">IF($A237="","",IF(OR(NOT(ISNUMBER(E237)),NOT(ISNUMBER(F237))),"",MAX(0,E237)*F237))</f>
        <v/>
      </c>
      <c r="I237" s="46" t="str">
        <f aca="false">IF($A237="","",SUMIF($A$2:$A$5001,$A237,$H$2:$H$5001))</f>
        <v/>
      </c>
      <c r="J237" s="47" t="n">
        <f aca="false">IF($A237="",0,IF(COUNTIF($A$2:A237,$A237)=1,1,0))</f>
        <v>0</v>
      </c>
      <c r="K237" s="47" t="n">
        <f aca="false">IF(J237=1,N(I237)+ROW()/10000000,0)</f>
        <v>0</v>
      </c>
      <c r="L237" s="47" t="str">
        <f aca="false">IF(AND(J237=1,N(I237)&gt;0),SUMIF($K$2:$K$5001,"&gt;="&amp;K237,$I$2:$I$5001)/MAX(1,SUM($H$2:$H$5001)),"")</f>
        <v/>
      </c>
      <c r="M237" s="47" t="str">
        <f aca="false">IF($A237="","",INDEX($L$2:$L$5001,MATCH($A237,$A$2:$A$5001,0)))</f>
        <v/>
      </c>
      <c r="N237" s="48" t="str">
        <f aca="false">IF($A237="","",IF(N(M237)=0,"–",IF(M237&lt;=Start!$D$20,"A",IF(M237&lt;=Start!$D$21,"B","C"))))</f>
        <v/>
      </c>
      <c r="O237" s="48" t="str">
        <f aca="false">IF($A237="","",IF(NOT(ISNUMBER(F237)),"Wert fehlt; ",IF(F237&lt;=0,"Wert ist 0; ",""))&amp;IF(NOT(ISNUMBER(E237)),"Bestand fehlt; ",IF(E237&lt;0,"Bestand negativ; ",IF(E237=0,"Nullbestand; ","")))&amp;IF(D237="","Warengruppe fehlt; ","")&amp;IF(B237="","Bezeichnung fehlt; ","")&amp;IF(COUNTIFS($A$2:$A$5001,$A237,$C$2:$C$5001,C237)&gt;1,"Artikel doppelt im selben Lager; ",""))</f>
        <v/>
      </c>
      <c r="P237" s="47" t="n">
        <f aca="false">IF(OR($A237="",D237=""),0,IF(COUNTIF($D$2:D237,D237)=1,SUMIF($D$2:$D$5001,D237,$H$2:$H$5001)+ROW()/10000000,0))</f>
        <v>0</v>
      </c>
      <c r="Q237" s="47" t="n">
        <f aca="false">IF(OR($A237="",C237=""),0,IF(COUNTIF($C$2:C237,C237)=1,SUMIF($C$2:$C$5001,C237,$H$2:$H$5001)+ROW()/10000000,0))</f>
        <v>0</v>
      </c>
    </row>
    <row r="238" customFormat="false" ht="15" hidden="false" customHeight="false" outlineLevel="0" collapsed="false">
      <c r="A238" s="43"/>
      <c r="B238" s="44"/>
      <c r="C238" s="44"/>
      <c r="D238" s="44"/>
      <c r="E238" s="44"/>
      <c r="F238" s="44"/>
      <c r="G238" s="44"/>
      <c r="H238" s="46" t="str">
        <f aca="false">IF($A238="","",IF(OR(NOT(ISNUMBER(E238)),NOT(ISNUMBER(F238))),"",MAX(0,E238)*F238))</f>
        <v/>
      </c>
      <c r="I238" s="46" t="str">
        <f aca="false">IF($A238="","",SUMIF($A$2:$A$5001,$A238,$H$2:$H$5001))</f>
        <v/>
      </c>
      <c r="J238" s="47" t="n">
        <f aca="false">IF($A238="",0,IF(COUNTIF($A$2:A238,$A238)=1,1,0))</f>
        <v>0</v>
      </c>
      <c r="K238" s="47" t="n">
        <f aca="false">IF(J238=1,N(I238)+ROW()/10000000,0)</f>
        <v>0</v>
      </c>
      <c r="L238" s="47" t="str">
        <f aca="false">IF(AND(J238=1,N(I238)&gt;0),SUMIF($K$2:$K$5001,"&gt;="&amp;K238,$I$2:$I$5001)/MAX(1,SUM($H$2:$H$5001)),"")</f>
        <v/>
      </c>
      <c r="M238" s="47" t="str">
        <f aca="false">IF($A238="","",INDEX($L$2:$L$5001,MATCH($A238,$A$2:$A$5001,0)))</f>
        <v/>
      </c>
      <c r="N238" s="48" t="str">
        <f aca="false">IF($A238="","",IF(N(M238)=0,"–",IF(M238&lt;=Start!$D$20,"A",IF(M238&lt;=Start!$D$21,"B","C"))))</f>
        <v/>
      </c>
      <c r="O238" s="48" t="str">
        <f aca="false">IF($A238="","",IF(NOT(ISNUMBER(F238)),"Wert fehlt; ",IF(F238&lt;=0,"Wert ist 0; ",""))&amp;IF(NOT(ISNUMBER(E238)),"Bestand fehlt; ",IF(E238&lt;0,"Bestand negativ; ",IF(E238=0,"Nullbestand; ","")))&amp;IF(D238="","Warengruppe fehlt; ","")&amp;IF(B238="","Bezeichnung fehlt; ","")&amp;IF(COUNTIFS($A$2:$A$5001,$A238,$C$2:$C$5001,C238)&gt;1,"Artikel doppelt im selben Lager; ",""))</f>
        <v/>
      </c>
      <c r="P238" s="47" t="n">
        <f aca="false">IF(OR($A238="",D238=""),0,IF(COUNTIF($D$2:D238,D238)=1,SUMIF($D$2:$D$5001,D238,$H$2:$H$5001)+ROW()/10000000,0))</f>
        <v>0</v>
      </c>
      <c r="Q238" s="47" t="n">
        <f aca="false">IF(OR($A238="",C238=""),0,IF(COUNTIF($C$2:C238,C238)=1,SUMIF($C$2:$C$5001,C238,$H$2:$H$5001)+ROW()/10000000,0))</f>
        <v>0</v>
      </c>
    </row>
    <row r="239" customFormat="false" ht="15" hidden="false" customHeight="false" outlineLevel="0" collapsed="false">
      <c r="A239" s="43"/>
      <c r="B239" s="44"/>
      <c r="C239" s="44"/>
      <c r="D239" s="44"/>
      <c r="E239" s="44"/>
      <c r="F239" s="44"/>
      <c r="G239" s="44"/>
      <c r="H239" s="46" t="str">
        <f aca="false">IF($A239="","",IF(OR(NOT(ISNUMBER(E239)),NOT(ISNUMBER(F239))),"",MAX(0,E239)*F239))</f>
        <v/>
      </c>
      <c r="I239" s="46" t="str">
        <f aca="false">IF($A239="","",SUMIF($A$2:$A$5001,$A239,$H$2:$H$5001))</f>
        <v/>
      </c>
      <c r="J239" s="47" t="n">
        <f aca="false">IF($A239="",0,IF(COUNTIF($A$2:A239,$A239)=1,1,0))</f>
        <v>0</v>
      </c>
      <c r="K239" s="47" t="n">
        <f aca="false">IF(J239=1,N(I239)+ROW()/10000000,0)</f>
        <v>0</v>
      </c>
      <c r="L239" s="47" t="str">
        <f aca="false">IF(AND(J239=1,N(I239)&gt;0),SUMIF($K$2:$K$5001,"&gt;="&amp;K239,$I$2:$I$5001)/MAX(1,SUM($H$2:$H$5001)),"")</f>
        <v/>
      </c>
      <c r="M239" s="47" t="str">
        <f aca="false">IF($A239="","",INDEX($L$2:$L$5001,MATCH($A239,$A$2:$A$5001,0)))</f>
        <v/>
      </c>
      <c r="N239" s="48" t="str">
        <f aca="false">IF($A239="","",IF(N(M239)=0,"–",IF(M239&lt;=Start!$D$20,"A",IF(M239&lt;=Start!$D$21,"B","C"))))</f>
        <v/>
      </c>
      <c r="O239" s="48" t="str">
        <f aca="false">IF($A239="","",IF(NOT(ISNUMBER(F239)),"Wert fehlt; ",IF(F239&lt;=0,"Wert ist 0; ",""))&amp;IF(NOT(ISNUMBER(E239)),"Bestand fehlt; ",IF(E239&lt;0,"Bestand negativ; ",IF(E239=0,"Nullbestand; ","")))&amp;IF(D239="","Warengruppe fehlt; ","")&amp;IF(B239="","Bezeichnung fehlt; ","")&amp;IF(COUNTIFS($A$2:$A$5001,$A239,$C$2:$C$5001,C239)&gt;1,"Artikel doppelt im selben Lager; ",""))</f>
        <v/>
      </c>
      <c r="P239" s="47" t="n">
        <f aca="false">IF(OR($A239="",D239=""),0,IF(COUNTIF($D$2:D239,D239)=1,SUMIF($D$2:$D$5001,D239,$H$2:$H$5001)+ROW()/10000000,0))</f>
        <v>0</v>
      </c>
      <c r="Q239" s="47" t="n">
        <f aca="false">IF(OR($A239="",C239=""),0,IF(COUNTIF($C$2:C239,C239)=1,SUMIF($C$2:$C$5001,C239,$H$2:$H$5001)+ROW()/10000000,0))</f>
        <v>0</v>
      </c>
    </row>
    <row r="240" customFormat="false" ht="15" hidden="false" customHeight="false" outlineLevel="0" collapsed="false">
      <c r="A240" s="43"/>
      <c r="B240" s="44"/>
      <c r="C240" s="44"/>
      <c r="D240" s="44"/>
      <c r="E240" s="44"/>
      <c r="F240" s="44"/>
      <c r="G240" s="44"/>
      <c r="H240" s="46" t="str">
        <f aca="false">IF($A240="","",IF(OR(NOT(ISNUMBER(E240)),NOT(ISNUMBER(F240))),"",MAX(0,E240)*F240))</f>
        <v/>
      </c>
      <c r="I240" s="46" t="str">
        <f aca="false">IF($A240="","",SUMIF($A$2:$A$5001,$A240,$H$2:$H$5001))</f>
        <v/>
      </c>
      <c r="J240" s="47" t="n">
        <f aca="false">IF($A240="",0,IF(COUNTIF($A$2:A240,$A240)=1,1,0))</f>
        <v>0</v>
      </c>
      <c r="K240" s="47" t="n">
        <f aca="false">IF(J240=1,N(I240)+ROW()/10000000,0)</f>
        <v>0</v>
      </c>
      <c r="L240" s="47" t="str">
        <f aca="false">IF(AND(J240=1,N(I240)&gt;0),SUMIF($K$2:$K$5001,"&gt;="&amp;K240,$I$2:$I$5001)/MAX(1,SUM($H$2:$H$5001)),"")</f>
        <v/>
      </c>
      <c r="M240" s="47" t="str">
        <f aca="false">IF($A240="","",INDEX($L$2:$L$5001,MATCH($A240,$A$2:$A$5001,0)))</f>
        <v/>
      </c>
      <c r="N240" s="48" t="str">
        <f aca="false">IF($A240="","",IF(N(M240)=0,"–",IF(M240&lt;=Start!$D$20,"A",IF(M240&lt;=Start!$D$21,"B","C"))))</f>
        <v/>
      </c>
      <c r="O240" s="48" t="str">
        <f aca="false">IF($A240="","",IF(NOT(ISNUMBER(F240)),"Wert fehlt; ",IF(F240&lt;=0,"Wert ist 0; ",""))&amp;IF(NOT(ISNUMBER(E240)),"Bestand fehlt; ",IF(E240&lt;0,"Bestand negativ; ",IF(E240=0,"Nullbestand; ","")))&amp;IF(D240="","Warengruppe fehlt; ","")&amp;IF(B240="","Bezeichnung fehlt; ","")&amp;IF(COUNTIFS($A$2:$A$5001,$A240,$C$2:$C$5001,C240)&gt;1,"Artikel doppelt im selben Lager; ",""))</f>
        <v/>
      </c>
      <c r="P240" s="47" t="n">
        <f aca="false">IF(OR($A240="",D240=""),0,IF(COUNTIF($D$2:D240,D240)=1,SUMIF($D$2:$D$5001,D240,$H$2:$H$5001)+ROW()/10000000,0))</f>
        <v>0</v>
      </c>
      <c r="Q240" s="47" t="n">
        <f aca="false">IF(OR($A240="",C240=""),0,IF(COUNTIF($C$2:C240,C240)=1,SUMIF($C$2:$C$5001,C240,$H$2:$H$5001)+ROW()/10000000,0))</f>
        <v>0</v>
      </c>
    </row>
    <row r="241" customFormat="false" ht="15" hidden="false" customHeight="false" outlineLevel="0" collapsed="false">
      <c r="A241" s="43"/>
      <c r="B241" s="44"/>
      <c r="C241" s="44"/>
      <c r="D241" s="44"/>
      <c r="E241" s="44"/>
      <c r="F241" s="44"/>
      <c r="G241" s="44"/>
      <c r="H241" s="46" t="str">
        <f aca="false">IF($A241="","",IF(OR(NOT(ISNUMBER(E241)),NOT(ISNUMBER(F241))),"",MAX(0,E241)*F241))</f>
        <v/>
      </c>
      <c r="I241" s="46" t="str">
        <f aca="false">IF($A241="","",SUMIF($A$2:$A$5001,$A241,$H$2:$H$5001))</f>
        <v/>
      </c>
      <c r="J241" s="47" t="n">
        <f aca="false">IF($A241="",0,IF(COUNTIF($A$2:A241,$A241)=1,1,0))</f>
        <v>0</v>
      </c>
      <c r="K241" s="47" t="n">
        <f aca="false">IF(J241=1,N(I241)+ROW()/10000000,0)</f>
        <v>0</v>
      </c>
      <c r="L241" s="47" t="str">
        <f aca="false">IF(AND(J241=1,N(I241)&gt;0),SUMIF($K$2:$K$5001,"&gt;="&amp;K241,$I$2:$I$5001)/MAX(1,SUM($H$2:$H$5001)),"")</f>
        <v/>
      </c>
      <c r="M241" s="47" t="str">
        <f aca="false">IF($A241="","",INDEX($L$2:$L$5001,MATCH($A241,$A$2:$A$5001,0)))</f>
        <v/>
      </c>
      <c r="N241" s="48" t="str">
        <f aca="false">IF($A241="","",IF(N(M241)=0,"–",IF(M241&lt;=Start!$D$20,"A",IF(M241&lt;=Start!$D$21,"B","C"))))</f>
        <v/>
      </c>
      <c r="O241" s="48" t="str">
        <f aca="false">IF($A241="","",IF(NOT(ISNUMBER(F241)),"Wert fehlt; ",IF(F241&lt;=0,"Wert ist 0; ",""))&amp;IF(NOT(ISNUMBER(E241)),"Bestand fehlt; ",IF(E241&lt;0,"Bestand negativ; ",IF(E241=0,"Nullbestand; ","")))&amp;IF(D241="","Warengruppe fehlt; ","")&amp;IF(B241="","Bezeichnung fehlt; ","")&amp;IF(COUNTIFS($A$2:$A$5001,$A241,$C$2:$C$5001,C241)&gt;1,"Artikel doppelt im selben Lager; ",""))</f>
        <v/>
      </c>
      <c r="P241" s="47" t="n">
        <f aca="false">IF(OR($A241="",D241=""),0,IF(COUNTIF($D$2:D241,D241)=1,SUMIF($D$2:$D$5001,D241,$H$2:$H$5001)+ROW()/10000000,0))</f>
        <v>0</v>
      </c>
      <c r="Q241" s="47" t="n">
        <f aca="false">IF(OR($A241="",C241=""),0,IF(COUNTIF($C$2:C241,C241)=1,SUMIF($C$2:$C$5001,C241,$H$2:$H$5001)+ROW()/10000000,0))</f>
        <v>0</v>
      </c>
    </row>
    <row r="242" customFormat="false" ht="15" hidden="false" customHeight="false" outlineLevel="0" collapsed="false">
      <c r="A242" s="43"/>
      <c r="B242" s="44"/>
      <c r="C242" s="44"/>
      <c r="D242" s="44"/>
      <c r="E242" s="44"/>
      <c r="F242" s="44"/>
      <c r="G242" s="44"/>
      <c r="H242" s="46" t="str">
        <f aca="false">IF($A242="","",IF(OR(NOT(ISNUMBER(E242)),NOT(ISNUMBER(F242))),"",MAX(0,E242)*F242))</f>
        <v/>
      </c>
      <c r="I242" s="46" t="str">
        <f aca="false">IF($A242="","",SUMIF($A$2:$A$5001,$A242,$H$2:$H$5001))</f>
        <v/>
      </c>
      <c r="J242" s="47" t="n">
        <f aca="false">IF($A242="",0,IF(COUNTIF($A$2:A242,$A242)=1,1,0))</f>
        <v>0</v>
      </c>
      <c r="K242" s="47" t="n">
        <f aca="false">IF(J242=1,N(I242)+ROW()/10000000,0)</f>
        <v>0</v>
      </c>
      <c r="L242" s="47" t="str">
        <f aca="false">IF(AND(J242=1,N(I242)&gt;0),SUMIF($K$2:$K$5001,"&gt;="&amp;K242,$I$2:$I$5001)/MAX(1,SUM($H$2:$H$5001)),"")</f>
        <v/>
      </c>
      <c r="M242" s="47" t="str">
        <f aca="false">IF($A242="","",INDEX($L$2:$L$5001,MATCH($A242,$A$2:$A$5001,0)))</f>
        <v/>
      </c>
      <c r="N242" s="48" t="str">
        <f aca="false">IF($A242="","",IF(N(M242)=0,"–",IF(M242&lt;=Start!$D$20,"A",IF(M242&lt;=Start!$D$21,"B","C"))))</f>
        <v/>
      </c>
      <c r="O242" s="48" t="str">
        <f aca="false">IF($A242="","",IF(NOT(ISNUMBER(F242)),"Wert fehlt; ",IF(F242&lt;=0,"Wert ist 0; ",""))&amp;IF(NOT(ISNUMBER(E242)),"Bestand fehlt; ",IF(E242&lt;0,"Bestand negativ; ",IF(E242=0,"Nullbestand; ","")))&amp;IF(D242="","Warengruppe fehlt; ","")&amp;IF(B242="","Bezeichnung fehlt; ","")&amp;IF(COUNTIFS($A$2:$A$5001,$A242,$C$2:$C$5001,C242)&gt;1,"Artikel doppelt im selben Lager; ",""))</f>
        <v/>
      </c>
      <c r="P242" s="47" t="n">
        <f aca="false">IF(OR($A242="",D242=""),0,IF(COUNTIF($D$2:D242,D242)=1,SUMIF($D$2:$D$5001,D242,$H$2:$H$5001)+ROW()/10000000,0))</f>
        <v>0</v>
      </c>
      <c r="Q242" s="47" t="n">
        <f aca="false">IF(OR($A242="",C242=""),0,IF(COUNTIF($C$2:C242,C242)=1,SUMIF($C$2:$C$5001,C242,$H$2:$H$5001)+ROW()/10000000,0))</f>
        <v>0</v>
      </c>
    </row>
    <row r="243" customFormat="false" ht="15" hidden="false" customHeight="false" outlineLevel="0" collapsed="false">
      <c r="A243" s="43"/>
      <c r="B243" s="44"/>
      <c r="C243" s="44"/>
      <c r="D243" s="44"/>
      <c r="E243" s="44"/>
      <c r="F243" s="44"/>
      <c r="G243" s="44"/>
      <c r="H243" s="46" t="str">
        <f aca="false">IF($A243="","",IF(OR(NOT(ISNUMBER(E243)),NOT(ISNUMBER(F243))),"",MAX(0,E243)*F243))</f>
        <v/>
      </c>
      <c r="I243" s="46" t="str">
        <f aca="false">IF($A243="","",SUMIF($A$2:$A$5001,$A243,$H$2:$H$5001))</f>
        <v/>
      </c>
      <c r="J243" s="47" t="n">
        <f aca="false">IF($A243="",0,IF(COUNTIF($A$2:A243,$A243)=1,1,0))</f>
        <v>0</v>
      </c>
      <c r="K243" s="47" t="n">
        <f aca="false">IF(J243=1,N(I243)+ROW()/10000000,0)</f>
        <v>0</v>
      </c>
      <c r="L243" s="47" t="str">
        <f aca="false">IF(AND(J243=1,N(I243)&gt;0),SUMIF($K$2:$K$5001,"&gt;="&amp;K243,$I$2:$I$5001)/MAX(1,SUM($H$2:$H$5001)),"")</f>
        <v/>
      </c>
      <c r="M243" s="47" t="str">
        <f aca="false">IF($A243="","",INDEX($L$2:$L$5001,MATCH($A243,$A$2:$A$5001,0)))</f>
        <v/>
      </c>
      <c r="N243" s="48" t="str">
        <f aca="false">IF($A243="","",IF(N(M243)=0,"–",IF(M243&lt;=Start!$D$20,"A",IF(M243&lt;=Start!$D$21,"B","C"))))</f>
        <v/>
      </c>
      <c r="O243" s="48" t="str">
        <f aca="false">IF($A243="","",IF(NOT(ISNUMBER(F243)),"Wert fehlt; ",IF(F243&lt;=0,"Wert ist 0; ",""))&amp;IF(NOT(ISNUMBER(E243)),"Bestand fehlt; ",IF(E243&lt;0,"Bestand negativ; ",IF(E243=0,"Nullbestand; ","")))&amp;IF(D243="","Warengruppe fehlt; ","")&amp;IF(B243="","Bezeichnung fehlt; ","")&amp;IF(COUNTIFS($A$2:$A$5001,$A243,$C$2:$C$5001,C243)&gt;1,"Artikel doppelt im selben Lager; ",""))</f>
        <v/>
      </c>
      <c r="P243" s="47" t="n">
        <f aca="false">IF(OR($A243="",D243=""),0,IF(COUNTIF($D$2:D243,D243)=1,SUMIF($D$2:$D$5001,D243,$H$2:$H$5001)+ROW()/10000000,0))</f>
        <v>0</v>
      </c>
      <c r="Q243" s="47" t="n">
        <f aca="false">IF(OR($A243="",C243=""),0,IF(COUNTIF($C$2:C243,C243)=1,SUMIF($C$2:$C$5001,C243,$H$2:$H$5001)+ROW()/10000000,0))</f>
        <v>0</v>
      </c>
    </row>
    <row r="244" customFormat="false" ht="15" hidden="false" customHeight="false" outlineLevel="0" collapsed="false">
      <c r="A244" s="43"/>
      <c r="B244" s="44"/>
      <c r="C244" s="44"/>
      <c r="D244" s="44"/>
      <c r="E244" s="44"/>
      <c r="F244" s="44"/>
      <c r="G244" s="44"/>
      <c r="H244" s="46" t="str">
        <f aca="false">IF($A244="","",IF(OR(NOT(ISNUMBER(E244)),NOT(ISNUMBER(F244))),"",MAX(0,E244)*F244))</f>
        <v/>
      </c>
      <c r="I244" s="46" t="str">
        <f aca="false">IF($A244="","",SUMIF($A$2:$A$5001,$A244,$H$2:$H$5001))</f>
        <v/>
      </c>
      <c r="J244" s="47" t="n">
        <f aca="false">IF($A244="",0,IF(COUNTIF($A$2:A244,$A244)=1,1,0))</f>
        <v>0</v>
      </c>
      <c r="K244" s="47" t="n">
        <f aca="false">IF(J244=1,N(I244)+ROW()/10000000,0)</f>
        <v>0</v>
      </c>
      <c r="L244" s="47" t="str">
        <f aca="false">IF(AND(J244=1,N(I244)&gt;0),SUMIF($K$2:$K$5001,"&gt;="&amp;K244,$I$2:$I$5001)/MAX(1,SUM($H$2:$H$5001)),"")</f>
        <v/>
      </c>
      <c r="M244" s="47" t="str">
        <f aca="false">IF($A244="","",INDEX($L$2:$L$5001,MATCH($A244,$A$2:$A$5001,0)))</f>
        <v/>
      </c>
      <c r="N244" s="48" t="str">
        <f aca="false">IF($A244="","",IF(N(M244)=0,"–",IF(M244&lt;=Start!$D$20,"A",IF(M244&lt;=Start!$D$21,"B","C"))))</f>
        <v/>
      </c>
      <c r="O244" s="48" t="str">
        <f aca="false">IF($A244="","",IF(NOT(ISNUMBER(F244)),"Wert fehlt; ",IF(F244&lt;=0,"Wert ist 0; ",""))&amp;IF(NOT(ISNUMBER(E244)),"Bestand fehlt; ",IF(E244&lt;0,"Bestand negativ; ",IF(E244=0,"Nullbestand; ","")))&amp;IF(D244="","Warengruppe fehlt; ","")&amp;IF(B244="","Bezeichnung fehlt; ","")&amp;IF(COUNTIFS($A$2:$A$5001,$A244,$C$2:$C$5001,C244)&gt;1,"Artikel doppelt im selben Lager; ",""))</f>
        <v/>
      </c>
      <c r="P244" s="47" t="n">
        <f aca="false">IF(OR($A244="",D244=""),0,IF(COUNTIF($D$2:D244,D244)=1,SUMIF($D$2:$D$5001,D244,$H$2:$H$5001)+ROW()/10000000,0))</f>
        <v>0</v>
      </c>
      <c r="Q244" s="47" t="n">
        <f aca="false">IF(OR($A244="",C244=""),0,IF(COUNTIF($C$2:C244,C244)=1,SUMIF($C$2:$C$5001,C244,$H$2:$H$5001)+ROW()/10000000,0))</f>
        <v>0</v>
      </c>
    </row>
    <row r="245" customFormat="false" ht="15" hidden="false" customHeight="false" outlineLevel="0" collapsed="false">
      <c r="A245" s="43"/>
      <c r="B245" s="44"/>
      <c r="C245" s="44"/>
      <c r="D245" s="44"/>
      <c r="E245" s="44"/>
      <c r="F245" s="44"/>
      <c r="G245" s="44"/>
      <c r="H245" s="46" t="str">
        <f aca="false">IF($A245="","",IF(OR(NOT(ISNUMBER(E245)),NOT(ISNUMBER(F245))),"",MAX(0,E245)*F245))</f>
        <v/>
      </c>
      <c r="I245" s="46" t="str">
        <f aca="false">IF($A245="","",SUMIF($A$2:$A$5001,$A245,$H$2:$H$5001))</f>
        <v/>
      </c>
      <c r="J245" s="47" t="n">
        <f aca="false">IF($A245="",0,IF(COUNTIF($A$2:A245,$A245)=1,1,0))</f>
        <v>0</v>
      </c>
      <c r="K245" s="47" t="n">
        <f aca="false">IF(J245=1,N(I245)+ROW()/10000000,0)</f>
        <v>0</v>
      </c>
      <c r="L245" s="47" t="str">
        <f aca="false">IF(AND(J245=1,N(I245)&gt;0),SUMIF($K$2:$K$5001,"&gt;="&amp;K245,$I$2:$I$5001)/MAX(1,SUM($H$2:$H$5001)),"")</f>
        <v/>
      </c>
      <c r="M245" s="47" t="str">
        <f aca="false">IF($A245="","",INDEX($L$2:$L$5001,MATCH($A245,$A$2:$A$5001,0)))</f>
        <v/>
      </c>
      <c r="N245" s="48" t="str">
        <f aca="false">IF($A245="","",IF(N(M245)=0,"–",IF(M245&lt;=Start!$D$20,"A",IF(M245&lt;=Start!$D$21,"B","C"))))</f>
        <v/>
      </c>
      <c r="O245" s="48" t="str">
        <f aca="false">IF($A245="","",IF(NOT(ISNUMBER(F245)),"Wert fehlt; ",IF(F245&lt;=0,"Wert ist 0; ",""))&amp;IF(NOT(ISNUMBER(E245)),"Bestand fehlt; ",IF(E245&lt;0,"Bestand negativ; ",IF(E245=0,"Nullbestand; ","")))&amp;IF(D245="","Warengruppe fehlt; ","")&amp;IF(B245="","Bezeichnung fehlt; ","")&amp;IF(COUNTIFS($A$2:$A$5001,$A245,$C$2:$C$5001,C245)&gt;1,"Artikel doppelt im selben Lager; ",""))</f>
        <v/>
      </c>
      <c r="P245" s="47" t="n">
        <f aca="false">IF(OR($A245="",D245=""),0,IF(COUNTIF($D$2:D245,D245)=1,SUMIF($D$2:$D$5001,D245,$H$2:$H$5001)+ROW()/10000000,0))</f>
        <v>0</v>
      </c>
      <c r="Q245" s="47" t="n">
        <f aca="false">IF(OR($A245="",C245=""),0,IF(COUNTIF($C$2:C245,C245)=1,SUMIF($C$2:$C$5001,C245,$H$2:$H$5001)+ROW()/10000000,0))</f>
        <v>0</v>
      </c>
    </row>
    <row r="246" customFormat="false" ht="15" hidden="false" customHeight="false" outlineLevel="0" collapsed="false">
      <c r="A246" s="43"/>
      <c r="B246" s="44"/>
      <c r="C246" s="44"/>
      <c r="D246" s="44"/>
      <c r="E246" s="44"/>
      <c r="F246" s="44"/>
      <c r="G246" s="44"/>
      <c r="H246" s="46" t="str">
        <f aca="false">IF($A246="","",IF(OR(NOT(ISNUMBER(E246)),NOT(ISNUMBER(F246))),"",MAX(0,E246)*F246))</f>
        <v/>
      </c>
      <c r="I246" s="46" t="str">
        <f aca="false">IF($A246="","",SUMIF($A$2:$A$5001,$A246,$H$2:$H$5001))</f>
        <v/>
      </c>
      <c r="J246" s="47" t="n">
        <f aca="false">IF($A246="",0,IF(COUNTIF($A$2:A246,$A246)=1,1,0))</f>
        <v>0</v>
      </c>
      <c r="K246" s="47" t="n">
        <f aca="false">IF(J246=1,N(I246)+ROW()/10000000,0)</f>
        <v>0</v>
      </c>
      <c r="L246" s="47" t="str">
        <f aca="false">IF(AND(J246=1,N(I246)&gt;0),SUMIF($K$2:$K$5001,"&gt;="&amp;K246,$I$2:$I$5001)/MAX(1,SUM($H$2:$H$5001)),"")</f>
        <v/>
      </c>
      <c r="M246" s="47" t="str">
        <f aca="false">IF($A246="","",INDEX($L$2:$L$5001,MATCH($A246,$A$2:$A$5001,0)))</f>
        <v/>
      </c>
      <c r="N246" s="48" t="str">
        <f aca="false">IF($A246="","",IF(N(M246)=0,"–",IF(M246&lt;=Start!$D$20,"A",IF(M246&lt;=Start!$D$21,"B","C"))))</f>
        <v/>
      </c>
      <c r="O246" s="48" t="str">
        <f aca="false">IF($A246="","",IF(NOT(ISNUMBER(F246)),"Wert fehlt; ",IF(F246&lt;=0,"Wert ist 0; ",""))&amp;IF(NOT(ISNUMBER(E246)),"Bestand fehlt; ",IF(E246&lt;0,"Bestand negativ; ",IF(E246=0,"Nullbestand; ","")))&amp;IF(D246="","Warengruppe fehlt; ","")&amp;IF(B246="","Bezeichnung fehlt; ","")&amp;IF(COUNTIFS($A$2:$A$5001,$A246,$C$2:$C$5001,C246)&gt;1,"Artikel doppelt im selben Lager; ",""))</f>
        <v/>
      </c>
      <c r="P246" s="47" t="n">
        <f aca="false">IF(OR($A246="",D246=""),0,IF(COUNTIF($D$2:D246,D246)=1,SUMIF($D$2:$D$5001,D246,$H$2:$H$5001)+ROW()/10000000,0))</f>
        <v>0</v>
      </c>
      <c r="Q246" s="47" t="n">
        <f aca="false">IF(OR($A246="",C246=""),0,IF(COUNTIF($C$2:C246,C246)=1,SUMIF($C$2:$C$5001,C246,$H$2:$H$5001)+ROW()/10000000,0))</f>
        <v>0</v>
      </c>
    </row>
    <row r="247" customFormat="false" ht="15" hidden="false" customHeight="false" outlineLevel="0" collapsed="false">
      <c r="A247" s="43"/>
      <c r="B247" s="44"/>
      <c r="C247" s="44"/>
      <c r="D247" s="44"/>
      <c r="E247" s="44"/>
      <c r="F247" s="44"/>
      <c r="G247" s="44"/>
      <c r="H247" s="46" t="str">
        <f aca="false">IF($A247="","",IF(OR(NOT(ISNUMBER(E247)),NOT(ISNUMBER(F247))),"",MAX(0,E247)*F247))</f>
        <v/>
      </c>
      <c r="I247" s="46" t="str">
        <f aca="false">IF($A247="","",SUMIF($A$2:$A$5001,$A247,$H$2:$H$5001))</f>
        <v/>
      </c>
      <c r="J247" s="47" t="n">
        <f aca="false">IF($A247="",0,IF(COUNTIF($A$2:A247,$A247)=1,1,0))</f>
        <v>0</v>
      </c>
      <c r="K247" s="47" t="n">
        <f aca="false">IF(J247=1,N(I247)+ROW()/10000000,0)</f>
        <v>0</v>
      </c>
      <c r="L247" s="47" t="str">
        <f aca="false">IF(AND(J247=1,N(I247)&gt;0),SUMIF($K$2:$K$5001,"&gt;="&amp;K247,$I$2:$I$5001)/MAX(1,SUM($H$2:$H$5001)),"")</f>
        <v/>
      </c>
      <c r="M247" s="47" t="str">
        <f aca="false">IF($A247="","",INDEX($L$2:$L$5001,MATCH($A247,$A$2:$A$5001,0)))</f>
        <v/>
      </c>
      <c r="N247" s="48" t="str">
        <f aca="false">IF($A247="","",IF(N(M247)=0,"–",IF(M247&lt;=Start!$D$20,"A",IF(M247&lt;=Start!$D$21,"B","C"))))</f>
        <v/>
      </c>
      <c r="O247" s="48" t="str">
        <f aca="false">IF($A247="","",IF(NOT(ISNUMBER(F247)),"Wert fehlt; ",IF(F247&lt;=0,"Wert ist 0; ",""))&amp;IF(NOT(ISNUMBER(E247)),"Bestand fehlt; ",IF(E247&lt;0,"Bestand negativ; ",IF(E247=0,"Nullbestand; ","")))&amp;IF(D247="","Warengruppe fehlt; ","")&amp;IF(B247="","Bezeichnung fehlt; ","")&amp;IF(COUNTIFS($A$2:$A$5001,$A247,$C$2:$C$5001,C247)&gt;1,"Artikel doppelt im selben Lager; ",""))</f>
        <v/>
      </c>
      <c r="P247" s="47" t="n">
        <f aca="false">IF(OR($A247="",D247=""),0,IF(COUNTIF($D$2:D247,D247)=1,SUMIF($D$2:$D$5001,D247,$H$2:$H$5001)+ROW()/10000000,0))</f>
        <v>0</v>
      </c>
      <c r="Q247" s="47" t="n">
        <f aca="false">IF(OR($A247="",C247=""),0,IF(COUNTIF($C$2:C247,C247)=1,SUMIF($C$2:$C$5001,C247,$H$2:$H$5001)+ROW()/10000000,0))</f>
        <v>0</v>
      </c>
    </row>
    <row r="248" customFormat="false" ht="15" hidden="false" customHeight="false" outlineLevel="0" collapsed="false">
      <c r="A248" s="43"/>
      <c r="B248" s="44"/>
      <c r="C248" s="44"/>
      <c r="D248" s="44"/>
      <c r="E248" s="44"/>
      <c r="F248" s="44"/>
      <c r="G248" s="44"/>
      <c r="H248" s="46" t="str">
        <f aca="false">IF($A248="","",IF(OR(NOT(ISNUMBER(E248)),NOT(ISNUMBER(F248))),"",MAX(0,E248)*F248))</f>
        <v/>
      </c>
      <c r="I248" s="46" t="str">
        <f aca="false">IF($A248="","",SUMIF($A$2:$A$5001,$A248,$H$2:$H$5001))</f>
        <v/>
      </c>
      <c r="J248" s="47" t="n">
        <f aca="false">IF($A248="",0,IF(COUNTIF($A$2:A248,$A248)=1,1,0))</f>
        <v>0</v>
      </c>
      <c r="K248" s="47" t="n">
        <f aca="false">IF(J248=1,N(I248)+ROW()/10000000,0)</f>
        <v>0</v>
      </c>
      <c r="L248" s="47" t="str">
        <f aca="false">IF(AND(J248=1,N(I248)&gt;0),SUMIF($K$2:$K$5001,"&gt;="&amp;K248,$I$2:$I$5001)/MAX(1,SUM($H$2:$H$5001)),"")</f>
        <v/>
      </c>
      <c r="M248" s="47" t="str">
        <f aca="false">IF($A248="","",INDEX($L$2:$L$5001,MATCH($A248,$A$2:$A$5001,0)))</f>
        <v/>
      </c>
      <c r="N248" s="48" t="str">
        <f aca="false">IF($A248="","",IF(N(M248)=0,"–",IF(M248&lt;=Start!$D$20,"A",IF(M248&lt;=Start!$D$21,"B","C"))))</f>
        <v/>
      </c>
      <c r="O248" s="48" t="str">
        <f aca="false">IF($A248="","",IF(NOT(ISNUMBER(F248)),"Wert fehlt; ",IF(F248&lt;=0,"Wert ist 0; ",""))&amp;IF(NOT(ISNUMBER(E248)),"Bestand fehlt; ",IF(E248&lt;0,"Bestand negativ; ",IF(E248=0,"Nullbestand; ","")))&amp;IF(D248="","Warengruppe fehlt; ","")&amp;IF(B248="","Bezeichnung fehlt; ","")&amp;IF(COUNTIFS($A$2:$A$5001,$A248,$C$2:$C$5001,C248)&gt;1,"Artikel doppelt im selben Lager; ",""))</f>
        <v/>
      </c>
      <c r="P248" s="47" t="n">
        <f aca="false">IF(OR($A248="",D248=""),0,IF(COUNTIF($D$2:D248,D248)=1,SUMIF($D$2:$D$5001,D248,$H$2:$H$5001)+ROW()/10000000,0))</f>
        <v>0</v>
      </c>
      <c r="Q248" s="47" t="n">
        <f aca="false">IF(OR($A248="",C248=""),0,IF(COUNTIF($C$2:C248,C248)=1,SUMIF($C$2:$C$5001,C248,$H$2:$H$5001)+ROW()/10000000,0))</f>
        <v>0</v>
      </c>
    </row>
    <row r="249" customFormat="false" ht="15" hidden="false" customHeight="false" outlineLevel="0" collapsed="false">
      <c r="A249" s="43"/>
      <c r="B249" s="44"/>
      <c r="C249" s="44"/>
      <c r="D249" s="44"/>
      <c r="E249" s="44"/>
      <c r="F249" s="44"/>
      <c r="G249" s="44"/>
      <c r="H249" s="46" t="str">
        <f aca="false">IF($A249="","",IF(OR(NOT(ISNUMBER(E249)),NOT(ISNUMBER(F249))),"",MAX(0,E249)*F249))</f>
        <v/>
      </c>
      <c r="I249" s="46" t="str">
        <f aca="false">IF($A249="","",SUMIF($A$2:$A$5001,$A249,$H$2:$H$5001))</f>
        <v/>
      </c>
      <c r="J249" s="47" t="n">
        <f aca="false">IF($A249="",0,IF(COUNTIF($A$2:A249,$A249)=1,1,0))</f>
        <v>0</v>
      </c>
      <c r="K249" s="47" t="n">
        <f aca="false">IF(J249=1,N(I249)+ROW()/10000000,0)</f>
        <v>0</v>
      </c>
      <c r="L249" s="47" t="str">
        <f aca="false">IF(AND(J249=1,N(I249)&gt;0),SUMIF($K$2:$K$5001,"&gt;="&amp;K249,$I$2:$I$5001)/MAX(1,SUM($H$2:$H$5001)),"")</f>
        <v/>
      </c>
      <c r="M249" s="47" t="str">
        <f aca="false">IF($A249="","",INDEX($L$2:$L$5001,MATCH($A249,$A$2:$A$5001,0)))</f>
        <v/>
      </c>
      <c r="N249" s="48" t="str">
        <f aca="false">IF($A249="","",IF(N(M249)=0,"–",IF(M249&lt;=Start!$D$20,"A",IF(M249&lt;=Start!$D$21,"B","C"))))</f>
        <v/>
      </c>
      <c r="O249" s="48" t="str">
        <f aca="false">IF($A249="","",IF(NOT(ISNUMBER(F249)),"Wert fehlt; ",IF(F249&lt;=0,"Wert ist 0; ",""))&amp;IF(NOT(ISNUMBER(E249)),"Bestand fehlt; ",IF(E249&lt;0,"Bestand negativ; ",IF(E249=0,"Nullbestand; ","")))&amp;IF(D249="","Warengruppe fehlt; ","")&amp;IF(B249="","Bezeichnung fehlt; ","")&amp;IF(COUNTIFS($A$2:$A$5001,$A249,$C$2:$C$5001,C249)&gt;1,"Artikel doppelt im selben Lager; ",""))</f>
        <v/>
      </c>
      <c r="P249" s="47" t="n">
        <f aca="false">IF(OR($A249="",D249=""),0,IF(COUNTIF($D$2:D249,D249)=1,SUMIF($D$2:$D$5001,D249,$H$2:$H$5001)+ROW()/10000000,0))</f>
        <v>0</v>
      </c>
      <c r="Q249" s="47" t="n">
        <f aca="false">IF(OR($A249="",C249=""),0,IF(COUNTIF($C$2:C249,C249)=1,SUMIF($C$2:$C$5001,C249,$H$2:$H$5001)+ROW()/10000000,0))</f>
        <v>0</v>
      </c>
    </row>
    <row r="250" customFormat="false" ht="15" hidden="false" customHeight="false" outlineLevel="0" collapsed="false">
      <c r="A250" s="43"/>
      <c r="B250" s="44"/>
      <c r="C250" s="44"/>
      <c r="D250" s="44"/>
      <c r="E250" s="44"/>
      <c r="F250" s="44"/>
      <c r="G250" s="44"/>
      <c r="H250" s="46" t="str">
        <f aca="false">IF($A250="","",IF(OR(NOT(ISNUMBER(E250)),NOT(ISNUMBER(F250))),"",MAX(0,E250)*F250))</f>
        <v/>
      </c>
      <c r="I250" s="46" t="str">
        <f aca="false">IF($A250="","",SUMIF($A$2:$A$5001,$A250,$H$2:$H$5001))</f>
        <v/>
      </c>
      <c r="J250" s="47" t="n">
        <f aca="false">IF($A250="",0,IF(COUNTIF($A$2:A250,$A250)=1,1,0))</f>
        <v>0</v>
      </c>
      <c r="K250" s="47" t="n">
        <f aca="false">IF(J250=1,N(I250)+ROW()/10000000,0)</f>
        <v>0</v>
      </c>
      <c r="L250" s="47" t="str">
        <f aca="false">IF(AND(J250=1,N(I250)&gt;0),SUMIF($K$2:$K$5001,"&gt;="&amp;K250,$I$2:$I$5001)/MAX(1,SUM($H$2:$H$5001)),"")</f>
        <v/>
      </c>
      <c r="M250" s="47" t="str">
        <f aca="false">IF($A250="","",INDEX($L$2:$L$5001,MATCH($A250,$A$2:$A$5001,0)))</f>
        <v/>
      </c>
      <c r="N250" s="48" t="str">
        <f aca="false">IF($A250="","",IF(N(M250)=0,"–",IF(M250&lt;=Start!$D$20,"A",IF(M250&lt;=Start!$D$21,"B","C"))))</f>
        <v/>
      </c>
      <c r="O250" s="48" t="str">
        <f aca="false">IF($A250="","",IF(NOT(ISNUMBER(F250)),"Wert fehlt; ",IF(F250&lt;=0,"Wert ist 0; ",""))&amp;IF(NOT(ISNUMBER(E250)),"Bestand fehlt; ",IF(E250&lt;0,"Bestand negativ; ",IF(E250=0,"Nullbestand; ","")))&amp;IF(D250="","Warengruppe fehlt; ","")&amp;IF(B250="","Bezeichnung fehlt; ","")&amp;IF(COUNTIFS($A$2:$A$5001,$A250,$C$2:$C$5001,C250)&gt;1,"Artikel doppelt im selben Lager; ",""))</f>
        <v/>
      </c>
      <c r="P250" s="47" t="n">
        <f aca="false">IF(OR($A250="",D250=""),0,IF(COUNTIF($D$2:D250,D250)=1,SUMIF($D$2:$D$5001,D250,$H$2:$H$5001)+ROW()/10000000,0))</f>
        <v>0</v>
      </c>
      <c r="Q250" s="47" t="n">
        <f aca="false">IF(OR($A250="",C250=""),0,IF(COUNTIF($C$2:C250,C250)=1,SUMIF($C$2:$C$5001,C250,$H$2:$H$5001)+ROW()/10000000,0))</f>
        <v>0</v>
      </c>
    </row>
    <row r="251" customFormat="false" ht="15" hidden="false" customHeight="false" outlineLevel="0" collapsed="false">
      <c r="A251" s="43"/>
      <c r="B251" s="44"/>
      <c r="C251" s="44"/>
      <c r="D251" s="44"/>
      <c r="E251" s="44"/>
      <c r="F251" s="44"/>
      <c r="G251" s="44"/>
      <c r="H251" s="46" t="str">
        <f aca="false">IF($A251="","",IF(OR(NOT(ISNUMBER(E251)),NOT(ISNUMBER(F251))),"",MAX(0,E251)*F251))</f>
        <v/>
      </c>
      <c r="I251" s="46" t="str">
        <f aca="false">IF($A251="","",SUMIF($A$2:$A$5001,$A251,$H$2:$H$5001))</f>
        <v/>
      </c>
      <c r="J251" s="47" t="n">
        <f aca="false">IF($A251="",0,IF(COUNTIF($A$2:A251,$A251)=1,1,0))</f>
        <v>0</v>
      </c>
      <c r="K251" s="47" t="n">
        <f aca="false">IF(J251=1,N(I251)+ROW()/10000000,0)</f>
        <v>0</v>
      </c>
      <c r="L251" s="47" t="str">
        <f aca="false">IF(AND(J251=1,N(I251)&gt;0),SUMIF($K$2:$K$5001,"&gt;="&amp;K251,$I$2:$I$5001)/MAX(1,SUM($H$2:$H$5001)),"")</f>
        <v/>
      </c>
      <c r="M251" s="47" t="str">
        <f aca="false">IF($A251="","",INDEX($L$2:$L$5001,MATCH($A251,$A$2:$A$5001,0)))</f>
        <v/>
      </c>
      <c r="N251" s="48" t="str">
        <f aca="false">IF($A251="","",IF(N(M251)=0,"–",IF(M251&lt;=Start!$D$20,"A",IF(M251&lt;=Start!$D$21,"B","C"))))</f>
        <v/>
      </c>
      <c r="O251" s="48" t="str">
        <f aca="false">IF($A251="","",IF(NOT(ISNUMBER(F251)),"Wert fehlt; ",IF(F251&lt;=0,"Wert ist 0; ",""))&amp;IF(NOT(ISNUMBER(E251)),"Bestand fehlt; ",IF(E251&lt;0,"Bestand negativ; ",IF(E251=0,"Nullbestand; ","")))&amp;IF(D251="","Warengruppe fehlt; ","")&amp;IF(B251="","Bezeichnung fehlt; ","")&amp;IF(COUNTIFS($A$2:$A$5001,$A251,$C$2:$C$5001,C251)&gt;1,"Artikel doppelt im selben Lager; ",""))</f>
        <v/>
      </c>
      <c r="P251" s="47" t="n">
        <f aca="false">IF(OR($A251="",D251=""),0,IF(COUNTIF($D$2:D251,D251)=1,SUMIF($D$2:$D$5001,D251,$H$2:$H$5001)+ROW()/10000000,0))</f>
        <v>0</v>
      </c>
      <c r="Q251" s="47" t="n">
        <f aca="false">IF(OR($A251="",C251=""),0,IF(COUNTIF($C$2:C251,C251)=1,SUMIF($C$2:$C$5001,C251,$H$2:$H$5001)+ROW()/10000000,0))</f>
        <v>0</v>
      </c>
    </row>
    <row r="252" customFormat="false" ht="15" hidden="false" customHeight="false" outlineLevel="0" collapsed="false">
      <c r="A252" s="43"/>
      <c r="B252" s="44"/>
      <c r="C252" s="44"/>
      <c r="D252" s="44"/>
      <c r="E252" s="44"/>
      <c r="F252" s="44"/>
      <c r="G252" s="44"/>
      <c r="H252" s="46" t="str">
        <f aca="false">IF($A252="","",IF(OR(NOT(ISNUMBER(E252)),NOT(ISNUMBER(F252))),"",MAX(0,E252)*F252))</f>
        <v/>
      </c>
      <c r="I252" s="46" t="str">
        <f aca="false">IF($A252="","",SUMIF($A$2:$A$5001,$A252,$H$2:$H$5001))</f>
        <v/>
      </c>
      <c r="J252" s="47" t="n">
        <f aca="false">IF($A252="",0,IF(COUNTIF($A$2:A252,$A252)=1,1,0))</f>
        <v>0</v>
      </c>
      <c r="K252" s="47" t="n">
        <f aca="false">IF(J252=1,N(I252)+ROW()/10000000,0)</f>
        <v>0</v>
      </c>
      <c r="L252" s="47" t="str">
        <f aca="false">IF(AND(J252=1,N(I252)&gt;0),SUMIF($K$2:$K$5001,"&gt;="&amp;K252,$I$2:$I$5001)/MAX(1,SUM($H$2:$H$5001)),"")</f>
        <v/>
      </c>
      <c r="M252" s="47" t="str">
        <f aca="false">IF($A252="","",INDEX($L$2:$L$5001,MATCH($A252,$A$2:$A$5001,0)))</f>
        <v/>
      </c>
      <c r="N252" s="48" t="str">
        <f aca="false">IF($A252="","",IF(N(M252)=0,"–",IF(M252&lt;=Start!$D$20,"A",IF(M252&lt;=Start!$D$21,"B","C"))))</f>
        <v/>
      </c>
      <c r="O252" s="48" t="str">
        <f aca="false">IF($A252="","",IF(NOT(ISNUMBER(F252)),"Wert fehlt; ",IF(F252&lt;=0,"Wert ist 0; ",""))&amp;IF(NOT(ISNUMBER(E252)),"Bestand fehlt; ",IF(E252&lt;0,"Bestand negativ; ",IF(E252=0,"Nullbestand; ","")))&amp;IF(D252="","Warengruppe fehlt; ","")&amp;IF(B252="","Bezeichnung fehlt; ","")&amp;IF(COUNTIFS($A$2:$A$5001,$A252,$C$2:$C$5001,C252)&gt;1,"Artikel doppelt im selben Lager; ",""))</f>
        <v/>
      </c>
      <c r="P252" s="47" t="n">
        <f aca="false">IF(OR($A252="",D252=""),0,IF(COUNTIF($D$2:D252,D252)=1,SUMIF($D$2:$D$5001,D252,$H$2:$H$5001)+ROW()/10000000,0))</f>
        <v>0</v>
      </c>
      <c r="Q252" s="47" t="n">
        <f aca="false">IF(OR($A252="",C252=""),0,IF(COUNTIF($C$2:C252,C252)=1,SUMIF($C$2:$C$5001,C252,$H$2:$H$5001)+ROW()/10000000,0))</f>
        <v>0</v>
      </c>
    </row>
    <row r="253" customFormat="false" ht="15" hidden="false" customHeight="false" outlineLevel="0" collapsed="false">
      <c r="A253" s="43"/>
      <c r="B253" s="44"/>
      <c r="C253" s="44"/>
      <c r="D253" s="44"/>
      <c r="E253" s="44"/>
      <c r="F253" s="44"/>
      <c r="G253" s="44"/>
      <c r="H253" s="46" t="str">
        <f aca="false">IF($A253="","",IF(OR(NOT(ISNUMBER(E253)),NOT(ISNUMBER(F253))),"",MAX(0,E253)*F253))</f>
        <v/>
      </c>
      <c r="I253" s="46" t="str">
        <f aca="false">IF($A253="","",SUMIF($A$2:$A$5001,$A253,$H$2:$H$5001))</f>
        <v/>
      </c>
      <c r="J253" s="47" t="n">
        <f aca="false">IF($A253="",0,IF(COUNTIF($A$2:A253,$A253)=1,1,0))</f>
        <v>0</v>
      </c>
      <c r="K253" s="47" t="n">
        <f aca="false">IF(J253=1,N(I253)+ROW()/10000000,0)</f>
        <v>0</v>
      </c>
      <c r="L253" s="47" t="str">
        <f aca="false">IF(AND(J253=1,N(I253)&gt;0),SUMIF($K$2:$K$5001,"&gt;="&amp;K253,$I$2:$I$5001)/MAX(1,SUM($H$2:$H$5001)),"")</f>
        <v/>
      </c>
      <c r="M253" s="47" t="str">
        <f aca="false">IF($A253="","",INDEX($L$2:$L$5001,MATCH($A253,$A$2:$A$5001,0)))</f>
        <v/>
      </c>
      <c r="N253" s="48" t="str">
        <f aca="false">IF($A253="","",IF(N(M253)=0,"–",IF(M253&lt;=Start!$D$20,"A",IF(M253&lt;=Start!$D$21,"B","C"))))</f>
        <v/>
      </c>
      <c r="O253" s="48" t="str">
        <f aca="false">IF($A253="","",IF(NOT(ISNUMBER(F253)),"Wert fehlt; ",IF(F253&lt;=0,"Wert ist 0; ",""))&amp;IF(NOT(ISNUMBER(E253)),"Bestand fehlt; ",IF(E253&lt;0,"Bestand negativ; ",IF(E253=0,"Nullbestand; ","")))&amp;IF(D253="","Warengruppe fehlt; ","")&amp;IF(B253="","Bezeichnung fehlt; ","")&amp;IF(COUNTIFS($A$2:$A$5001,$A253,$C$2:$C$5001,C253)&gt;1,"Artikel doppelt im selben Lager; ",""))</f>
        <v/>
      </c>
      <c r="P253" s="47" t="n">
        <f aca="false">IF(OR($A253="",D253=""),0,IF(COUNTIF($D$2:D253,D253)=1,SUMIF($D$2:$D$5001,D253,$H$2:$H$5001)+ROW()/10000000,0))</f>
        <v>0</v>
      </c>
      <c r="Q253" s="47" t="n">
        <f aca="false">IF(OR($A253="",C253=""),0,IF(COUNTIF($C$2:C253,C253)=1,SUMIF($C$2:$C$5001,C253,$H$2:$H$5001)+ROW()/10000000,0))</f>
        <v>0</v>
      </c>
    </row>
    <row r="254" customFormat="false" ht="15" hidden="false" customHeight="false" outlineLevel="0" collapsed="false">
      <c r="A254" s="43"/>
      <c r="B254" s="44"/>
      <c r="C254" s="44"/>
      <c r="D254" s="44"/>
      <c r="E254" s="44"/>
      <c r="F254" s="44"/>
      <c r="G254" s="44"/>
      <c r="H254" s="46" t="str">
        <f aca="false">IF($A254="","",IF(OR(NOT(ISNUMBER(E254)),NOT(ISNUMBER(F254))),"",MAX(0,E254)*F254))</f>
        <v/>
      </c>
      <c r="I254" s="46" t="str">
        <f aca="false">IF($A254="","",SUMIF($A$2:$A$5001,$A254,$H$2:$H$5001))</f>
        <v/>
      </c>
      <c r="J254" s="47" t="n">
        <f aca="false">IF($A254="",0,IF(COUNTIF($A$2:A254,$A254)=1,1,0))</f>
        <v>0</v>
      </c>
      <c r="K254" s="47" t="n">
        <f aca="false">IF(J254=1,N(I254)+ROW()/10000000,0)</f>
        <v>0</v>
      </c>
      <c r="L254" s="47" t="str">
        <f aca="false">IF(AND(J254=1,N(I254)&gt;0),SUMIF($K$2:$K$5001,"&gt;="&amp;K254,$I$2:$I$5001)/MAX(1,SUM($H$2:$H$5001)),"")</f>
        <v/>
      </c>
      <c r="M254" s="47" t="str">
        <f aca="false">IF($A254="","",INDEX($L$2:$L$5001,MATCH($A254,$A$2:$A$5001,0)))</f>
        <v/>
      </c>
      <c r="N254" s="48" t="str">
        <f aca="false">IF($A254="","",IF(N(M254)=0,"–",IF(M254&lt;=Start!$D$20,"A",IF(M254&lt;=Start!$D$21,"B","C"))))</f>
        <v/>
      </c>
      <c r="O254" s="48" t="str">
        <f aca="false">IF($A254="","",IF(NOT(ISNUMBER(F254)),"Wert fehlt; ",IF(F254&lt;=0,"Wert ist 0; ",""))&amp;IF(NOT(ISNUMBER(E254)),"Bestand fehlt; ",IF(E254&lt;0,"Bestand negativ; ",IF(E254=0,"Nullbestand; ","")))&amp;IF(D254="","Warengruppe fehlt; ","")&amp;IF(B254="","Bezeichnung fehlt; ","")&amp;IF(COUNTIFS($A$2:$A$5001,$A254,$C$2:$C$5001,C254)&gt;1,"Artikel doppelt im selben Lager; ",""))</f>
        <v/>
      </c>
      <c r="P254" s="47" t="n">
        <f aca="false">IF(OR($A254="",D254=""),0,IF(COUNTIF($D$2:D254,D254)=1,SUMIF($D$2:$D$5001,D254,$H$2:$H$5001)+ROW()/10000000,0))</f>
        <v>0</v>
      </c>
      <c r="Q254" s="47" t="n">
        <f aca="false">IF(OR($A254="",C254=""),0,IF(COUNTIF($C$2:C254,C254)=1,SUMIF($C$2:$C$5001,C254,$H$2:$H$5001)+ROW()/10000000,0))</f>
        <v>0</v>
      </c>
    </row>
    <row r="255" customFormat="false" ht="15" hidden="false" customHeight="false" outlineLevel="0" collapsed="false">
      <c r="A255" s="43"/>
      <c r="B255" s="44"/>
      <c r="C255" s="44"/>
      <c r="D255" s="44"/>
      <c r="E255" s="44"/>
      <c r="F255" s="44"/>
      <c r="G255" s="44"/>
      <c r="H255" s="46" t="str">
        <f aca="false">IF($A255="","",IF(OR(NOT(ISNUMBER(E255)),NOT(ISNUMBER(F255))),"",MAX(0,E255)*F255))</f>
        <v/>
      </c>
      <c r="I255" s="46" t="str">
        <f aca="false">IF($A255="","",SUMIF($A$2:$A$5001,$A255,$H$2:$H$5001))</f>
        <v/>
      </c>
      <c r="J255" s="47" t="n">
        <f aca="false">IF($A255="",0,IF(COUNTIF($A$2:A255,$A255)=1,1,0))</f>
        <v>0</v>
      </c>
      <c r="K255" s="47" t="n">
        <f aca="false">IF(J255=1,N(I255)+ROW()/10000000,0)</f>
        <v>0</v>
      </c>
      <c r="L255" s="47" t="str">
        <f aca="false">IF(AND(J255=1,N(I255)&gt;0),SUMIF($K$2:$K$5001,"&gt;="&amp;K255,$I$2:$I$5001)/MAX(1,SUM($H$2:$H$5001)),"")</f>
        <v/>
      </c>
      <c r="M255" s="47" t="str">
        <f aca="false">IF($A255="","",INDEX($L$2:$L$5001,MATCH($A255,$A$2:$A$5001,0)))</f>
        <v/>
      </c>
      <c r="N255" s="48" t="str">
        <f aca="false">IF($A255="","",IF(N(M255)=0,"–",IF(M255&lt;=Start!$D$20,"A",IF(M255&lt;=Start!$D$21,"B","C"))))</f>
        <v/>
      </c>
      <c r="O255" s="48" t="str">
        <f aca="false">IF($A255="","",IF(NOT(ISNUMBER(F255)),"Wert fehlt; ",IF(F255&lt;=0,"Wert ist 0; ",""))&amp;IF(NOT(ISNUMBER(E255)),"Bestand fehlt; ",IF(E255&lt;0,"Bestand negativ; ",IF(E255=0,"Nullbestand; ","")))&amp;IF(D255="","Warengruppe fehlt; ","")&amp;IF(B255="","Bezeichnung fehlt; ","")&amp;IF(COUNTIFS($A$2:$A$5001,$A255,$C$2:$C$5001,C255)&gt;1,"Artikel doppelt im selben Lager; ",""))</f>
        <v/>
      </c>
      <c r="P255" s="47" t="n">
        <f aca="false">IF(OR($A255="",D255=""),0,IF(COUNTIF($D$2:D255,D255)=1,SUMIF($D$2:$D$5001,D255,$H$2:$H$5001)+ROW()/10000000,0))</f>
        <v>0</v>
      </c>
      <c r="Q255" s="47" t="n">
        <f aca="false">IF(OR($A255="",C255=""),0,IF(COUNTIF($C$2:C255,C255)=1,SUMIF($C$2:$C$5001,C255,$H$2:$H$5001)+ROW()/10000000,0))</f>
        <v>0</v>
      </c>
    </row>
    <row r="256" customFormat="false" ht="15" hidden="false" customHeight="false" outlineLevel="0" collapsed="false">
      <c r="A256" s="43"/>
      <c r="B256" s="44"/>
      <c r="C256" s="44"/>
      <c r="D256" s="44"/>
      <c r="E256" s="44"/>
      <c r="F256" s="44"/>
      <c r="G256" s="44"/>
      <c r="H256" s="46" t="str">
        <f aca="false">IF($A256="","",IF(OR(NOT(ISNUMBER(E256)),NOT(ISNUMBER(F256))),"",MAX(0,E256)*F256))</f>
        <v/>
      </c>
      <c r="I256" s="46" t="str">
        <f aca="false">IF($A256="","",SUMIF($A$2:$A$5001,$A256,$H$2:$H$5001))</f>
        <v/>
      </c>
      <c r="J256" s="47" t="n">
        <f aca="false">IF($A256="",0,IF(COUNTIF($A$2:A256,$A256)=1,1,0))</f>
        <v>0</v>
      </c>
      <c r="K256" s="47" t="n">
        <f aca="false">IF(J256=1,N(I256)+ROW()/10000000,0)</f>
        <v>0</v>
      </c>
      <c r="L256" s="47" t="str">
        <f aca="false">IF(AND(J256=1,N(I256)&gt;0),SUMIF($K$2:$K$5001,"&gt;="&amp;K256,$I$2:$I$5001)/MAX(1,SUM($H$2:$H$5001)),"")</f>
        <v/>
      </c>
      <c r="M256" s="47" t="str">
        <f aca="false">IF($A256="","",INDEX($L$2:$L$5001,MATCH($A256,$A$2:$A$5001,0)))</f>
        <v/>
      </c>
      <c r="N256" s="48" t="str">
        <f aca="false">IF($A256="","",IF(N(M256)=0,"–",IF(M256&lt;=Start!$D$20,"A",IF(M256&lt;=Start!$D$21,"B","C"))))</f>
        <v/>
      </c>
      <c r="O256" s="48" t="str">
        <f aca="false">IF($A256="","",IF(NOT(ISNUMBER(F256)),"Wert fehlt; ",IF(F256&lt;=0,"Wert ist 0; ",""))&amp;IF(NOT(ISNUMBER(E256)),"Bestand fehlt; ",IF(E256&lt;0,"Bestand negativ; ",IF(E256=0,"Nullbestand; ","")))&amp;IF(D256="","Warengruppe fehlt; ","")&amp;IF(B256="","Bezeichnung fehlt; ","")&amp;IF(COUNTIFS($A$2:$A$5001,$A256,$C$2:$C$5001,C256)&gt;1,"Artikel doppelt im selben Lager; ",""))</f>
        <v/>
      </c>
      <c r="P256" s="47" t="n">
        <f aca="false">IF(OR($A256="",D256=""),0,IF(COUNTIF($D$2:D256,D256)=1,SUMIF($D$2:$D$5001,D256,$H$2:$H$5001)+ROW()/10000000,0))</f>
        <v>0</v>
      </c>
      <c r="Q256" s="47" t="n">
        <f aca="false">IF(OR($A256="",C256=""),0,IF(COUNTIF($C$2:C256,C256)=1,SUMIF($C$2:$C$5001,C256,$H$2:$H$5001)+ROW()/10000000,0))</f>
        <v>0</v>
      </c>
    </row>
    <row r="257" customFormat="false" ht="15" hidden="false" customHeight="false" outlineLevel="0" collapsed="false">
      <c r="A257" s="43"/>
      <c r="B257" s="44"/>
      <c r="C257" s="44"/>
      <c r="D257" s="44"/>
      <c r="E257" s="44"/>
      <c r="F257" s="44"/>
      <c r="G257" s="44"/>
      <c r="H257" s="46" t="str">
        <f aca="false">IF($A257="","",IF(OR(NOT(ISNUMBER(E257)),NOT(ISNUMBER(F257))),"",MAX(0,E257)*F257))</f>
        <v/>
      </c>
      <c r="I257" s="46" t="str">
        <f aca="false">IF($A257="","",SUMIF($A$2:$A$5001,$A257,$H$2:$H$5001))</f>
        <v/>
      </c>
      <c r="J257" s="47" t="n">
        <f aca="false">IF($A257="",0,IF(COUNTIF($A$2:A257,$A257)=1,1,0))</f>
        <v>0</v>
      </c>
      <c r="K257" s="47" t="n">
        <f aca="false">IF(J257=1,N(I257)+ROW()/10000000,0)</f>
        <v>0</v>
      </c>
      <c r="L257" s="47" t="str">
        <f aca="false">IF(AND(J257=1,N(I257)&gt;0),SUMIF($K$2:$K$5001,"&gt;="&amp;K257,$I$2:$I$5001)/MAX(1,SUM($H$2:$H$5001)),"")</f>
        <v/>
      </c>
      <c r="M257" s="47" t="str">
        <f aca="false">IF($A257="","",INDEX($L$2:$L$5001,MATCH($A257,$A$2:$A$5001,0)))</f>
        <v/>
      </c>
      <c r="N257" s="48" t="str">
        <f aca="false">IF($A257="","",IF(N(M257)=0,"–",IF(M257&lt;=Start!$D$20,"A",IF(M257&lt;=Start!$D$21,"B","C"))))</f>
        <v/>
      </c>
      <c r="O257" s="48" t="str">
        <f aca="false">IF($A257="","",IF(NOT(ISNUMBER(F257)),"Wert fehlt; ",IF(F257&lt;=0,"Wert ist 0; ",""))&amp;IF(NOT(ISNUMBER(E257)),"Bestand fehlt; ",IF(E257&lt;0,"Bestand negativ; ",IF(E257=0,"Nullbestand; ","")))&amp;IF(D257="","Warengruppe fehlt; ","")&amp;IF(B257="","Bezeichnung fehlt; ","")&amp;IF(COUNTIFS($A$2:$A$5001,$A257,$C$2:$C$5001,C257)&gt;1,"Artikel doppelt im selben Lager; ",""))</f>
        <v/>
      </c>
      <c r="P257" s="47" t="n">
        <f aca="false">IF(OR($A257="",D257=""),0,IF(COUNTIF($D$2:D257,D257)=1,SUMIF($D$2:$D$5001,D257,$H$2:$H$5001)+ROW()/10000000,0))</f>
        <v>0</v>
      </c>
      <c r="Q257" s="47" t="n">
        <f aca="false">IF(OR($A257="",C257=""),0,IF(COUNTIF($C$2:C257,C257)=1,SUMIF($C$2:$C$5001,C257,$H$2:$H$5001)+ROW()/10000000,0))</f>
        <v>0</v>
      </c>
    </row>
    <row r="258" customFormat="false" ht="15" hidden="false" customHeight="false" outlineLevel="0" collapsed="false">
      <c r="A258" s="43"/>
      <c r="B258" s="44"/>
      <c r="C258" s="44"/>
      <c r="D258" s="44"/>
      <c r="E258" s="44"/>
      <c r="F258" s="44"/>
      <c r="G258" s="44"/>
      <c r="H258" s="46" t="str">
        <f aca="false">IF($A258="","",IF(OR(NOT(ISNUMBER(E258)),NOT(ISNUMBER(F258))),"",MAX(0,E258)*F258))</f>
        <v/>
      </c>
      <c r="I258" s="46" t="str">
        <f aca="false">IF($A258="","",SUMIF($A$2:$A$5001,$A258,$H$2:$H$5001))</f>
        <v/>
      </c>
      <c r="J258" s="47" t="n">
        <f aca="false">IF($A258="",0,IF(COUNTIF($A$2:A258,$A258)=1,1,0))</f>
        <v>0</v>
      </c>
      <c r="K258" s="47" t="n">
        <f aca="false">IF(J258=1,N(I258)+ROW()/10000000,0)</f>
        <v>0</v>
      </c>
      <c r="L258" s="47" t="str">
        <f aca="false">IF(AND(J258=1,N(I258)&gt;0),SUMIF($K$2:$K$5001,"&gt;="&amp;K258,$I$2:$I$5001)/MAX(1,SUM($H$2:$H$5001)),"")</f>
        <v/>
      </c>
      <c r="M258" s="47" t="str">
        <f aca="false">IF($A258="","",INDEX($L$2:$L$5001,MATCH($A258,$A$2:$A$5001,0)))</f>
        <v/>
      </c>
      <c r="N258" s="48" t="str">
        <f aca="false">IF($A258="","",IF(N(M258)=0,"–",IF(M258&lt;=Start!$D$20,"A",IF(M258&lt;=Start!$D$21,"B","C"))))</f>
        <v/>
      </c>
      <c r="O258" s="48" t="str">
        <f aca="false">IF($A258="","",IF(NOT(ISNUMBER(F258)),"Wert fehlt; ",IF(F258&lt;=0,"Wert ist 0; ",""))&amp;IF(NOT(ISNUMBER(E258)),"Bestand fehlt; ",IF(E258&lt;0,"Bestand negativ; ",IF(E258=0,"Nullbestand; ","")))&amp;IF(D258="","Warengruppe fehlt; ","")&amp;IF(B258="","Bezeichnung fehlt; ","")&amp;IF(COUNTIFS($A$2:$A$5001,$A258,$C$2:$C$5001,C258)&gt;1,"Artikel doppelt im selben Lager; ",""))</f>
        <v/>
      </c>
      <c r="P258" s="47" t="n">
        <f aca="false">IF(OR($A258="",D258=""),0,IF(COUNTIF($D$2:D258,D258)=1,SUMIF($D$2:$D$5001,D258,$H$2:$H$5001)+ROW()/10000000,0))</f>
        <v>0</v>
      </c>
      <c r="Q258" s="47" t="n">
        <f aca="false">IF(OR($A258="",C258=""),0,IF(COUNTIF($C$2:C258,C258)=1,SUMIF($C$2:$C$5001,C258,$H$2:$H$5001)+ROW()/10000000,0))</f>
        <v>0</v>
      </c>
    </row>
    <row r="259" customFormat="false" ht="15" hidden="false" customHeight="false" outlineLevel="0" collapsed="false">
      <c r="A259" s="43"/>
      <c r="B259" s="44"/>
      <c r="C259" s="44"/>
      <c r="D259" s="44"/>
      <c r="E259" s="44"/>
      <c r="F259" s="44"/>
      <c r="G259" s="44"/>
      <c r="H259" s="46" t="str">
        <f aca="false">IF($A259="","",IF(OR(NOT(ISNUMBER(E259)),NOT(ISNUMBER(F259))),"",MAX(0,E259)*F259))</f>
        <v/>
      </c>
      <c r="I259" s="46" t="str">
        <f aca="false">IF($A259="","",SUMIF($A$2:$A$5001,$A259,$H$2:$H$5001))</f>
        <v/>
      </c>
      <c r="J259" s="47" t="n">
        <f aca="false">IF($A259="",0,IF(COUNTIF($A$2:A259,$A259)=1,1,0))</f>
        <v>0</v>
      </c>
      <c r="K259" s="47" t="n">
        <f aca="false">IF(J259=1,N(I259)+ROW()/10000000,0)</f>
        <v>0</v>
      </c>
      <c r="L259" s="47" t="str">
        <f aca="false">IF(AND(J259=1,N(I259)&gt;0),SUMIF($K$2:$K$5001,"&gt;="&amp;K259,$I$2:$I$5001)/MAX(1,SUM($H$2:$H$5001)),"")</f>
        <v/>
      </c>
      <c r="M259" s="47" t="str">
        <f aca="false">IF($A259="","",INDEX($L$2:$L$5001,MATCH($A259,$A$2:$A$5001,0)))</f>
        <v/>
      </c>
      <c r="N259" s="48" t="str">
        <f aca="false">IF($A259="","",IF(N(M259)=0,"–",IF(M259&lt;=Start!$D$20,"A",IF(M259&lt;=Start!$D$21,"B","C"))))</f>
        <v/>
      </c>
      <c r="O259" s="48" t="str">
        <f aca="false">IF($A259="","",IF(NOT(ISNUMBER(F259)),"Wert fehlt; ",IF(F259&lt;=0,"Wert ist 0; ",""))&amp;IF(NOT(ISNUMBER(E259)),"Bestand fehlt; ",IF(E259&lt;0,"Bestand negativ; ",IF(E259=0,"Nullbestand; ","")))&amp;IF(D259="","Warengruppe fehlt; ","")&amp;IF(B259="","Bezeichnung fehlt; ","")&amp;IF(COUNTIFS($A$2:$A$5001,$A259,$C$2:$C$5001,C259)&gt;1,"Artikel doppelt im selben Lager; ",""))</f>
        <v/>
      </c>
      <c r="P259" s="47" t="n">
        <f aca="false">IF(OR($A259="",D259=""),0,IF(COUNTIF($D$2:D259,D259)=1,SUMIF($D$2:$D$5001,D259,$H$2:$H$5001)+ROW()/10000000,0))</f>
        <v>0</v>
      </c>
      <c r="Q259" s="47" t="n">
        <f aca="false">IF(OR($A259="",C259=""),0,IF(COUNTIF($C$2:C259,C259)=1,SUMIF($C$2:$C$5001,C259,$H$2:$H$5001)+ROW()/10000000,0))</f>
        <v>0</v>
      </c>
    </row>
    <row r="260" customFormat="false" ht="15" hidden="false" customHeight="false" outlineLevel="0" collapsed="false">
      <c r="A260" s="43"/>
      <c r="B260" s="44"/>
      <c r="C260" s="44"/>
      <c r="D260" s="44"/>
      <c r="E260" s="44"/>
      <c r="F260" s="44"/>
      <c r="G260" s="44"/>
      <c r="H260" s="46" t="str">
        <f aca="false">IF($A260="","",IF(OR(NOT(ISNUMBER(E260)),NOT(ISNUMBER(F260))),"",MAX(0,E260)*F260))</f>
        <v/>
      </c>
      <c r="I260" s="46" t="str">
        <f aca="false">IF($A260="","",SUMIF($A$2:$A$5001,$A260,$H$2:$H$5001))</f>
        <v/>
      </c>
      <c r="J260" s="47" t="n">
        <f aca="false">IF($A260="",0,IF(COUNTIF($A$2:A260,$A260)=1,1,0))</f>
        <v>0</v>
      </c>
      <c r="K260" s="47" t="n">
        <f aca="false">IF(J260=1,N(I260)+ROW()/10000000,0)</f>
        <v>0</v>
      </c>
      <c r="L260" s="47" t="str">
        <f aca="false">IF(AND(J260=1,N(I260)&gt;0),SUMIF($K$2:$K$5001,"&gt;="&amp;K260,$I$2:$I$5001)/MAX(1,SUM($H$2:$H$5001)),"")</f>
        <v/>
      </c>
      <c r="M260" s="47" t="str">
        <f aca="false">IF($A260="","",INDEX($L$2:$L$5001,MATCH($A260,$A$2:$A$5001,0)))</f>
        <v/>
      </c>
      <c r="N260" s="48" t="str">
        <f aca="false">IF($A260="","",IF(N(M260)=0,"–",IF(M260&lt;=Start!$D$20,"A",IF(M260&lt;=Start!$D$21,"B","C"))))</f>
        <v/>
      </c>
      <c r="O260" s="48" t="str">
        <f aca="false">IF($A260="","",IF(NOT(ISNUMBER(F260)),"Wert fehlt; ",IF(F260&lt;=0,"Wert ist 0; ",""))&amp;IF(NOT(ISNUMBER(E260)),"Bestand fehlt; ",IF(E260&lt;0,"Bestand negativ; ",IF(E260=0,"Nullbestand; ","")))&amp;IF(D260="","Warengruppe fehlt; ","")&amp;IF(B260="","Bezeichnung fehlt; ","")&amp;IF(COUNTIFS($A$2:$A$5001,$A260,$C$2:$C$5001,C260)&gt;1,"Artikel doppelt im selben Lager; ",""))</f>
        <v/>
      </c>
      <c r="P260" s="47" t="n">
        <f aca="false">IF(OR($A260="",D260=""),0,IF(COUNTIF($D$2:D260,D260)=1,SUMIF($D$2:$D$5001,D260,$H$2:$H$5001)+ROW()/10000000,0))</f>
        <v>0</v>
      </c>
      <c r="Q260" s="47" t="n">
        <f aca="false">IF(OR($A260="",C260=""),0,IF(COUNTIF($C$2:C260,C260)=1,SUMIF($C$2:$C$5001,C260,$H$2:$H$5001)+ROW()/10000000,0))</f>
        <v>0</v>
      </c>
    </row>
    <row r="261" customFormat="false" ht="15" hidden="false" customHeight="false" outlineLevel="0" collapsed="false">
      <c r="A261" s="43"/>
      <c r="B261" s="44"/>
      <c r="C261" s="44"/>
      <c r="D261" s="44"/>
      <c r="E261" s="44"/>
      <c r="F261" s="44"/>
      <c r="G261" s="44"/>
      <c r="H261" s="46" t="str">
        <f aca="false">IF($A261="","",IF(OR(NOT(ISNUMBER(E261)),NOT(ISNUMBER(F261))),"",MAX(0,E261)*F261))</f>
        <v/>
      </c>
      <c r="I261" s="46" t="str">
        <f aca="false">IF($A261="","",SUMIF($A$2:$A$5001,$A261,$H$2:$H$5001))</f>
        <v/>
      </c>
      <c r="J261" s="47" t="n">
        <f aca="false">IF($A261="",0,IF(COUNTIF($A$2:A261,$A261)=1,1,0))</f>
        <v>0</v>
      </c>
      <c r="K261" s="47" t="n">
        <f aca="false">IF(J261=1,N(I261)+ROW()/10000000,0)</f>
        <v>0</v>
      </c>
      <c r="L261" s="47" t="str">
        <f aca="false">IF(AND(J261=1,N(I261)&gt;0),SUMIF($K$2:$K$5001,"&gt;="&amp;K261,$I$2:$I$5001)/MAX(1,SUM($H$2:$H$5001)),"")</f>
        <v/>
      </c>
      <c r="M261" s="47" t="str">
        <f aca="false">IF($A261="","",INDEX($L$2:$L$5001,MATCH($A261,$A$2:$A$5001,0)))</f>
        <v/>
      </c>
      <c r="N261" s="48" t="str">
        <f aca="false">IF($A261="","",IF(N(M261)=0,"–",IF(M261&lt;=Start!$D$20,"A",IF(M261&lt;=Start!$D$21,"B","C"))))</f>
        <v/>
      </c>
      <c r="O261" s="48" t="str">
        <f aca="false">IF($A261="","",IF(NOT(ISNUMBER(F261)),"Wert fehlt; ",IF(F261&lt;=0,"Wert ist 0; ",""))&amp;IF(NOT(ISNUMBER(E261)),"Bestand fehlt; ",IF(E261&lt;0,"Bestand negativ; ",IF(E261=0,"Nullbestand; ","")))&amp;IF(D261="","Warengruppe fehlt; ","")&amp;IF(B261="","Bezeichnung fehlt; ","")&amp;IF(COUNTIFS($A$2:$A$5001,$A261,$C$2:$C$5001,C261)&gt;1,"Artikel doppelt im selben Lager; ",""))</f>
        <v/>
      </c>
      <c r="P261" s="47" t="n">
        <f aca="false">IF(OR($A261="",D261=""),0,IF(COUNTIF($D$2:D261,D261)=1,SUMIF($D$2:$D$5001,D261,$H$2:$H$5001)+ROW()/10000000,0))</f>
        <v>0</v>
      </c>
      <c r="Q261" s="47" t="n">
        <f aca="false">IF(OR($A261="",C261=""),0,IF(COUNTIF($C$2:C261,C261)=1,SUMIF($C$2:$C$5001,C261,$H$2:$H$5001)+ROW()/10000000,0))</f>
        <v>0</v>
      </c>
    </row>
    <row r="262" customFormat="false" ht="15" hidden="false" customHeight="false" outlineLevel="0" collapsed="false">
      <c r="A262" s="43"/>
      <c r="B262" s="44"/>
      <c r="C262" s="44"/>
      <c r="D262" s="44"/>
      <c r="E262" s="44"/>
      <c r="F262" s="44"/>
      <c r="G262" s="44"/>
      <c r="H262" s="46" t="str">
        <f aca="false">IF($A262="","",IF(OR(NOT(ISNUMBER(E262)),NOT(ISNUMBER(F262))),"",MAX(0,E262)*F262))</f>
        <v/>
      </c>
      <c r="I262" s="46" t="str">
        <f aca="false">IF($A262="","",SUMIF($A$2:$A$5001,$A262,$H$2:$H$5001))</f>
        <v/>
      </c>
      <c r="J262" s="47" t="n">
        <f aca="false">IF($A262="",0,IF(COUNTIF($A$2:A262,$A262)=1,1,0))</f>
        <v>0</v>
      </c>
      <c r="K262" s="47" t="n">
        <f aca="false">IF(J262=1,N(I262)+ROW()/10000000,0)</f>
        <v>0</v>
      </c>
      <c r="L262" s="47" t="str">
        <f aca="false">IF(AND(J262=1,N(I262)&gt;0),SUMIF($K$2:$K$5001,"&gt;="&amp;K262,$I$2:$I$5001)/MAX(1,SUM($H$2:$H$5001)),"")</f>
        <v/>
      </c>
      <c r="M262" s="47" t="str">
        <f aca="false">IF($A262="","",INDEX($L$2:$L$5001,MATCH($A262,$A$2:$A$5001,0)))</f>
        <v/>
      </c>
      <c r="N262" s="48" t="str">
        <f aca="false">IF($A262="","",IF(N(M262)=0,"–",IF(M262&lt;=Start!$D$20,"A",IF(M262&lt;=Start!$D$21,"B","C"))))</f>
        <v/>
      </c>
      <c r="O262" s="48" t="str">
        <f aca="false">IF($A262="","",IF(NOT(ISNUMBER(F262)),"Wert fehlt; ",IF(F262&lt;=0,"Wert ist 0; ",""))&amp;IF(NOT(ISNUMBER(E262)),"Bestand fehlt; ",IF(E262&lt;0,"Bestand negativ; ",IF(E262=0,"Nullbestand; ","")))&amp;IF(D262="","Warengruppe fehlt; ","")&amp;IF(B262="","Bezeichnung fehlt; ","")&amp;IF(COUNTIFS($A$2:$A$5001,$A262,$C$2:$C$5001,C262)&gt;1,"Artikel doppelt im selben Lager; ",""))</f>
        <v/>
      </c>
      <c r="P262" s="47" t="n">
        <f aca="false">IF(OR($A262="",D262=""),0,IF(COUNTIF($D$2:D262,D262)=1,SUMIF($D$2:$D$5001,D262,$H$2:$H$5001)+ROW()/10000000,0))</f>
        <v>0</v>
      </c>
      <c r="Q262" s="47" t="n">
        <f aca="false">IF(OR($A262="",C262=""),0,IF(COUNTIF($C$2:C262,C262)=1,SUMIF($C$2:$C$5001,C262,$H$2:$H$5001)+ROW()/10000000,0))</f>
        <v>0</v>
      </c>
    </row>
    <row r="263" customFormat="false" ht="15" hidden="false" customHeight="false" outlineLevel="0" collapsed="false">
      <c r="A263" s="43"/>
      <c r="B263" s="44"/>
      <c r="C263" s="44"/>
      <c r="D263" s="44"/>
      <c r="E263" s="44"/>
      <c r="F263" s="44"/>
      <c r="G263" s="44"/>
      <c r="H263" s="46" t="str">
        <f aca="false">IF($A263="","",IF(OR(NOT(ISNUMBER(E263)),NOT(ISNUMBER(F263))),"",MAX(0,E263)*F263))</f>
        <v/>
      </c>
      <c r="I263" s="46" t="str">
        <f aca="false">IF($A263="","",SUMIF($A$2:$A$5001,$A263,$H$2:$H$5001))</f>
        <v/>
      </c>
      <c r="J263" s="47" t="n">
        <f aca="false">IF($A263="",0,IF(COUNTIF($A$2:A263,$A263)=1,1,0))</f>
        <v>0</v>
      </c>
      <c r="K263" s="47" t="n">
        <f aca="false">IF(J263=1,N(I263)+ROW()/10000000,0)</f>
        <v>0</v>
      </c>
      <c r="L263" s="47" t="str">
        <f aca="false">IF(AND(J263=1,N(I263)&gt;0),SUMIF($K$2:$K$5001,"&gt;="&amp;K263,$I$2:$I$5001)/MAX(1,SUM($H$2:$H$5001)),"")</f>
        <v/>
      </c>
      <c r="M263" s="47" t="str">
        <f aca="false">IF($A263="","",INDEX($L$2:$L$5001,MATCH($A263,$A$2:$A$5001,0)))</f>
        <v/>
      </c>
      <c r="N263" s="48" t="str">
        <f aca="false">IF($A263="","",IF(N(M263)=0,"–",IF(M263&lt;=Start!$D$20,"A",IF(M263&lt;=Start!$D$21,"B","C"))))</f>
        <v/>
      </c>
      <c r="O263" s="48" t="str">
        <f aca="false">IF($A263="","",IF(NOT(ISNUMBER(F263)),"Wert fehlt; ",IF(F263&lt;=0,"Wert ist 0; ",""))&amp;IF(NOT(ISNUMBER(E263)),"Bestand fehlt; ",IF(E263&lt;0,"Bestand negativ; ",IF(E263=0,"Nullbestand; ","")))&amp;IF(D263="","Warengruppe fehlt; ","")&amp;IF(B263="","Bezeichnung fehlt; ","")&amp;IF(COUNTIFS($A$2:$A$5001,$A263,$C$2:$C$5001,C263)&gt;1,"Artikel doppelt im selben Lager; ",""))</f>
        <v/>
      </c>
      <c r="P263" s="47" t="n">
        <f aca="false">IF(OR($A263="",D263=""),0,IF(COUNTIF($D$2:D263,D263)=1,SUMIF($D$2:$D$5001,D263,$H$2:$H$5001)+ROW()/10000000,0))</f>
        <v>0</v>
      </c>
      <c r="Q263" s="47" t="n">
        <f aca="false">IF(OR($A263="",C263=""),0,IF(COUNTIF($C$2:C263,C263)=1,SUMIF($C$2:$C$5001,C263,$H$2:$H$5001)+ROW()/10000000,0))</f>
        <v>0</v>
      </c>
    </row>
    <row r="264" customFormat="false" ht="15" hidden="false" customHeight="false" outlineLevel="0" collapsed="false">
      <c r="A264" s="43"/>
      <c r="B264" s="44"/>
      <c r="C264" s="44"/>
      <c r="D264" s="44"/>
      <c r="E264" s="44"/>
      <c r="F264" s="44"/>
      <c r="G264" s="44"/>
      <c r="H264" s="46" t="str">
        <f aca="false">IF($A264="","",IF(OR(NOT(ISNUMBER(E264)),NOT(ISNUMBER(F264))),"",MAX(0,E264)*F264))</f>
        <v/>
      </c>
      <c r="I264" s="46" t="str">
        <f aca="false">IF($A264="","",SUMIF($A$2:$A$5001,$A264,$H$2:$H$5001))</f>
        <v/>
      </c>
      <c r="J264" s="47" t="n">
        <f aca="false">IF($A264="",0,IF(COUNTIF($A$2:A264,$A264)=1,1,0))</f>
        <v>0</v>
      </c>
      <c r="K264" s="47" t="n">
        <f aca="false">IF(J264=1,N(I264)+ROW()/10000000,0)</f>
        <v>0</v>
      </c>
      <c r="L264" s="47" t="str">
        <f aca="false">IF(AND(J264=1,N(I264)&gt;0),SUMIF($K$2:$K$5001,"&gt;="&amp;K264,$I$2:$I$5001)/MAX(1,SUM($H$2:$H$5001)),"")</f>
        <v/>
      </c>
      <c r="M264" s="47" t="str">
        <f aca="false">IF($A264="","",INDEX($L$2:$L$5001,MATCH($A264,$A$2:$A$5001,0)))</f>
        <v/>
      </c>
      <c r="N264" s="48" t="str">
        <f aca="false">IF($A264="","",IF(N(M264)=0,"–",IF(M264&lt;=Start!$D$20,"A",IF(M264&lt;=Start!$D$21,"B","C"))))</f>
        <v/>
      </c>
      <c r="O264" s="48" t="str">
        <f aca="false">IF($A264="","",IF(NOT(ISNUMBER(F264)),"Wert fehlt; ",IF(F264&lt;=0,"Wert ist 0; ",""))&amp;IF(NOT(ISNUMBER(E264)),"Bestand fehlt; ",IF(E264&lt;0,"Bestand negativ; ",IF(E264=0,"Nullbestand; ","")))&amp;IF(D264="","Warengruppe fehlt; ","")&amp;IF(B264="","Bezeichnung fehlt; ","")&amp;IF(COUNTIFS($A$2:$A$5001,$A264,$C$2:$C$5001,C264)&gt;1,"Artikel doppelt im selben Lager; ",""))</f>
        <v/>
      </c>
      <c r="P264" s="47" t="n">
        <f aca="false">IF(OR($A264="",D264=""),0,IF(COUNTIF($D$2:D264,D264)=1,SUMIF($D$2:$D$5001,D264,$H$2:$H$5001)+ROW()/10000000,0))</f>
        <v>0</v>
      </c>
      <c r="Q264" s="47" t="n">
        <f aca="false">IF(OR($A264="",C264=""),0,IF(COUNTIF($C$2:C264,C264)=1,SUMIF($C$2:$C$5001,C264,$H$2:$H$5001)+ROW()/10000000,0))</f>
        <v>0</v>
      </c>
    </row>
    <row r="265" customFormat="false" ht="15" hidden="false" customHeight="false" outlineLevel="0" collapsed="false">
      <c r="A265" s="43"/>
      <c r="B265" s="44"/>
      <c r="C265" s="44"/>
      <c r="D265" s="44"/>
      <c r="E265" s="44"/>
      <c r="F265" s="44"/>
      <c r="G265" s="44"/>
      <c r="H265" s="46" t="str">
        <f aca="false">IF($A265="","",IF(OR(NOT(ISNUMBER(E265)),NOT(ISNUMBER(F265))),"",MAX(0,E265)*F265))</f>
        <v/>
      </c>
      <c r="I265" s="46" t="str">
        <f aca="false">IF($A265="","",SUMIF($A$2:$A$5001,$A265,$H$2:$H$5001))</f>
        <v/>
      </c>
      <c r="J265" s="47" t="n">
        <f aca="false">IF($A265="",0,IF(COUNTIF($A$2:A265,$A265)=1,1,0))</f>
        <v>0</v>
      </c>
      <c r="K265" s="47" t="n">
        <f aca="false">IF(J265=1,N(I265)+ROW()/10000000,0)</f>
        <v>0</v>
      </c>
      <c r="L265" s="47" t="str">
        <f aca="false">IF(AND(J265=1,N(I265)&gt;0),SUMIF($K$2:$K$5001,"&gt;="&amp;K265,$I$2:$I$5001)/MAX(1,SUM($H$2:$H$5001)),"")</f>
        <v/>
      </c>
      <c r="M265" s="47" t="str">
        <f aca="false">IF($A265="","",INDEX($L$2:$L$5001,MATCH($A265,$A$2:$A$5001,0)))</f>
        <v/>
      </c>
      <c r="N265" s="48" t="str">
        <f aca="false">IF($A265="","",IF(N(M265)=0,"–",IF(M265&lt;=Start!$D$20,"A",IF(M265&lt;=Start!$D$21,"B","C"))))</f>
        <v/>
      </c>
      <c r="O265" s="48" t="str">
        <f aca="false">IF($A265="","",IF(NOT(ISNUMBER(F265)),"Wert fehlt; ",IF(F265&lt;=0,"Wert ist 0; ",""))&amp;IF(NOT(ISNUMBER(E265)),"Bestand fehlt; ",IF(E265&lt;0,"Bestand negativ; ",IF(E265=0,"Nullbestand; ","")))&amp;IF(D265="","Warengruppe fehlt; ","")&amp;IF(B265="","Bezeichnung fehlt; ","")&amp;IF(COUNTIFS($A$2:$A$5001,$A265,$C$2:$C$5001,C265)&gt;1,"Artikel doppelt im selben Lager; ",""))</f>
        <v/>
      </c>
      <c r="P265" s="47" t="n">
        <f aca="false">IF(OR($A265="",D265=""),0,IF(COUNTIF($D$2:D265,D265)=1,SUMIF($D$2:$D$5001,D265,$H$2:$H$5001)+ROW()/10000000,0))</f>
        <v>0</v>
      </c>
      <c r="Q265" s="47" t="n">
        <f aca="false">IF(OR($A265="",C265=""),0,IF(COUNTIF($C$2:C265,C265)=1,SUMIF($C$2:$C$5001,C265,$H$2:$H$5001)+ROW()/10000000,0))</f>
        <v>0</v>
      </c>
    </row>
    <row r="266" customFormat="false" ht="15" hidden="false" customHeight="false" outlineLevel="0" collapsed="false">
      <c r="A266" s="43"/>
      <c r="B266" s="44"/>
      <c r="C266" s="44"/>
      <c r="D266" s="44"/>
      <c r="E266" s="44"/>
      <c r="F266" s="44"/>
      <c r="G266" s="44"/>
      <c r="H266" s="46" t="str">
        <f aca="false">IF($A266="","",IF(OR(NOT(ISNUMBER(E266)),NOT(ISNUMBER(F266))),"",MAX(0,E266)*F266))</f>
        <v/>
      </c>
      <c r="I266" s="46" t="str">
        <f aca="false">IF($A266="","",SUMIF($A$2:$A$5001,$A266,$H$2:$H$5001))</f>
        <v/>
      </c>
      <c r="J266" s="47" t="n">
        <f aca="false">IF($A266="",0,IF(COUNTIF($A$2:A266,$A266)=1,1,0))</f>
        <v>0</v>
      </c>
      <c r="K266" s="47" t="n">
        <f aca="false">IF(J266=1,N(I266)+ROW()/10000000,0)</f>
        <v>0</v>
      </c>
      <c r="L266" s="47" t="str">
        <f aca="false">IF(AND(J266=1,N(I266)&gt;0),SUMIF($K$2:$K$5001,"&gt;="&amp;K266,$I$2:$I$5001)/MAX(1,SUM($H$2:$H$5001)),"")</f>
        <v/>
      </c>
      <c r="M266" s="47" t="str">
        <f aca="false">IF($A266="","",INDEX($L$2:$L$5001,MATCH($A266,$A$2:$A$5001,0)))</f>
        <v/>
      </c>
      <c r="N266" s="48" t="str">
        <f aca="false">IF($A266="","",IF(N(M266)=0,"–",IF(M266&lt;=Start!$D$20,"A",IF(M266&lt;=Start!$D$21,"B","C"))))</f>
        <v/>
      </c>
      <c r="O266" s="48" t="str">
        <f aca="false">IF($A266="","",IF(NOT(ISNUMBER(F266)),"Wert fehlt; ",IF(F266&lt;=0,"Wert ist 0; ",""))&amp;IF(NOT(ISNUMBER(E266)),"Bestand fehlt; ",IF(E266&lt;0,"Bestand negativ; ",IF(E266=0,"Nullbestand; ","")))&amp;IF(D266="","Warengruppe fehlt; ","")&amp;IF(B266="","Bezeichnung fehlt; ","")&amp;IF(COUNTIFS($A$2:$A$5001,$A266,$C$2:$C$5001,C266)&gt;1,"Artikel doppelt im selben Lager; ",""))</f>
        <v/>
      </c>
      <c r="P266" s="47" t="n">
        <f aca="false">IF(OR($A266="",D266=""),0,IF(COUNTIF($D$2:D266,D266)=1,SUMIF($D$2:$D$5001,D266,$H$2:$H$5001)+ROW()/10000000,0))</f>
        <v>0</v>
      </c>
      <c r="Q266" s="47" t="n">
        <f aca="false">IF(OR($A266="",C266=""),0,IF(COUNTIF($C$2:C266,C266)=1,SUMIF($C$2:$C$5001,C266,$H$2:$H$5001)+ROW()/10000000,0))</f>
        <v>0</v>
      </c>
    </row>
    <row r="267" customFormat="false" ht="15" hidden="false" customHeight="false" outlineLevel="0" collapsed="false">
      <c r="A267" s="43"/>
      <c r="B267" s="44"/>
      <c r="C267" s="44"/>
      <c r="D267" s="44"/>
      <c r="E267" s="44"/>
      <c r="F267" s="44"/>
      <c r="G267" s="44"/>
      <c r="H267" s="46" t="str">
        <f aca="false">IF($A267="","",IF(OR(NOT(ISNUMBER(E267)),NOT(ISNUMBER(F267))),"",MAX(0,E267)*F267))</f>
        <v/>
      </c>
      <c r="I267" s="46" t="str">
        <f aca="false">IF($A267="","",SUMIF($A$2:$A$5001,$A267,$H$2:$H$5001))</f>
        <v/>
      </c>
      <c r="J267" s="47" t="n">
        <f aca="false">IF($A267="",0,IF(COUNTIF($A$2:A267,$A267)=1,1,0))</f>
        <v>0</v>
      </c>
      <c r="K267" s="47" t="n">
        <f aca="false">IF(J267=1,N(I267)+ROW()/10000000,0)</f>
        <v>0</v>
      </c>
      <c r="L267" s="47" t="str">
        <f aca="false">IF(AND(J267=1,N(I267)&gt;0),SUMIF($K$2:$K$5001,"&gt;="&amp;K267,$I$2:$I$5001)/MAX(1,SUM($H$2:$H$5001)),"")</f>
        <v/>
      </c>
      <c r="M267" s="47" t="str">
        <f aca="false">IF($A267="","",INDEX($L$2:$L$5001,MATCH($A267,$A$2:$A$5001,0)))</f>
        <v/>
      </c>
      <c r="N267" s="48" t="str">
        <f aca="false">IF($A267="","",IF(N(M267)=0,"–",IF(M267&lt;=Start!$D$20,"A",IF(M267&lt;=Start!$D$21,"B","C"))))</f>
        <v/>
      </c>
      <c r="O267" s="48" t="str">
        <f aca="false">IF($A267="","",IF(NOT(ISNUMBER(F267)),"Wert fehlt; ",IF(F267&lt;=0,"Wert ist 0; ",""))&amp;IF(NOT(ISNUMBER(E267)),"Bestand fehlt; ",IF(E267&lt;0,"Bestand negativ; ",IF(E267=0,"Nullbestand; ","")))&amp;IF(D267="","Warengruppe fehlt; ","")&amp;IF(B267="","Bezeichnung fehlt; ","")&amp;IF(COUNTIFS($A$2:$A$5001,$A267,$C$2:$C$5001,C267)&gt;1,"Artikel doppelt im selben Lager; ",""))</f>
        <v/>
      </c>
      <c r="P267" s="47" t="n">
        <f aca="false">IF(OR($A267="",D267=""),0,IF(COUNTIF($D$2:D267,D267)=1,SUMIF($D$2:$D$5001,D267,$H$2:$H$5001)+ROW()/10000000,0))</f>
        <v>0</v>
      </c>
      <c r="Q267" s="47" t="n">
        <f aca="false">IF(OR($A267="",C267=""),0,IF(COUNTIF($C$2:C267,C267)=1,SUMIF($C$2:$C$5001,C267,$H$2:$H$5001)+ROW()/10000000,0))</f>
        <v>0</v>
      </c>
    </row>
    <row r="268" customFormat="false" ht="15" hidden="false" customHeight="false" outlineLevel="0" collapsed="false">
      <c r="A268" s="43"/>
      <c r="B268" s="44"/>
      <c r="C268" s="44"/>
      <c r="D268" s="44"/>
      <c r="E268" s="44"/>
      <c r="F268" s="44"/>
      <c r="G268" s="44"/>
      <c r="H268" s="46" t="str">
        <f aca="false">IF($A268="","",IF(OR(NOT(ISNUMBER(E268)),NOT(ISNUMBER(F268))),"",MAX(0,E268)*F268))</f>
        <v/>
      </c>
      <c r="I268" s="46" t="str">
        <f aca="false">IF($A268="","",SUMIF($A$2:$A$5001,$A268,$H$2:$H$5001))</f>
        <v/>
      </c>
      <c r="J268" s="47" t="n">
        <f aca="false">IF($A268="",0,IF(COUNTIF($A$2:A268,$A268)=1,1,0))</f>
        <v>0</v>
      </c>
      <c r="K268" s="47" t="n">
        <f aca="false">IF(J268=1,N(I268)+ROW()/10000000,0)</f>
        <v>0</v>
      </c>
      <c r="L268" s="47" t="str">
        <f aca="false">IF(AND(J268=1,N(I268)&gt;0),SUMIF($K$2:$K$5001,"&gt;="&amp;K268,$I$2:$I$5001)/MAX(1,SUM($H$2:$H$5001)),"")</f>
        <v/>
      </c>
      <c r="M268" s="47" t="str">
        <f aca="false">IF($A268="","",INDEX($L$2:$L$5001,MATCH($A268,$A$2:$A$5001,0)))</f>
        <v/>
      </c>
      <c r="N268" s="48" t="str">
        <f aca="false">IF($A268="","",IF(N(M268)=0,"–",IF(M268&lt;=Start!$D$20,"A",IF(M268&lt;=Start!$D$21,"B","C"))))</f>
        <v/>
      </c>
      <c r="O268" s="48" t="str">
        <f aca="false">IF($A268="","",IF(NOT(ISNUMBER(F268)),"Wert fehlt; ",IF(F268&lt;=0,"Wert ist 0; ",""))&amp;IF(NOT(ISNUMBER(E268)),"Bestand fehlt; ",IF(E268&lt;0,"Bestand negativ; ",IF(E268=0,"Nullbestand; ","")))&amp;IF(D268="","Warengruppe fehlt; ","")&amp;IF(B268="","Bezeichnung fehlt; ","")&amp;IF(COUNTIFS($A$2:$A$5001,$A268,$C$2:$C$5001,C268)&gt;1,"Artikel doppelt im selben Lager; ",""))</f>
        <v/>
      </c>
      <c r="P268" s="47" t="n">
        <f aca="false">IF(OR($A268="",D268=""),0,IF(COUNTIF($D$2:D268,D268)=1,SUMIF($D$2:$D$5001,D268,$H$2:$H$5001)+ROW()/10000000,0))</f>
        <v>0</v>
      </c>
      <c r="Q268" s="47" t="n">
        <f aca="false">IF(OR($A268="",C268=""),0,IF(COUNTIF($C$2:C268,C268)=1,SUMIF($C$2:$C$5001,C268,$H$2:$H$5001)+ROW()/10000000,0))</f>
        <v>0</v>
      </c>
    </row>
    <row r="269" customFormat="false" ht="15" hidden="false" customHeight="false" outlineLevel="0" collapsed="false">
      <c r="A269" s="43"/>
      <c r="B269" s="44"/>
      <c r="C269" s="44"/>
      <c r="D269" s="44"/>
      <c r="E269" s="44"/>
      <c r="F269" s="44"/>
      <c r="G269" s="44"/>
      <c r="H269" s="46" t="str">
        <f aca="false">IF($A269="","",IF(OR(NOT(ISNUMBER(E269)),NOT(ISNUMBER(F269))),"",MAX(0,E269)*F269))</f>
        <v/>
      </c>
      <c r="I269" s="46" t="str">
        <f aca="false">IF($A269="","",SUMIF($A$2:$A$5001,$A269,$H$2:$H$5001))</f>
        <v/>
      </c>
      <c r="J269" s="47" t="n">
        <f aca="false">IF($A269="",0,IF(COUNTIF($A$2:A269,$A269)=1,1,0))</f>
        <v>0</v>
      </c>
      <c r="K269" s="47" t="n">
        <f aca="false">IF(J269=1,N(I269)+ROW()/10000000,0)</f>
        <v>0</v>
      </c>
      <c r="L269" s="47" t="str">
        <f aca="false">IF(AND(J269=1,N(I269)&gt;0),SUMIF($K$2:$K$5001,"&gt;="&amp;K269,$I$2:$I$5001)/MAX(1,SUM($H$2:$H$5001)),"")</f>
        <v/>
      </c>
      <c r="M269" s="47" t="str">
        <f aca="false">IF($A269="","",INDEX($L$2:$L$5001,MATCH($A269,$A$2:$A$5001,0)))</f>
        <v/>
      </c>
      <c r="N269" s="48" t="str">
        <f aca="false">IF($A269="","",IF(N(M269)=0,"–",IF(M269&lt;=Start!$D$20,"A",IF(M269&lt;=Start!$D$21,"B","C"))))</f>
        <v/>
      </c>
      <c r="O269" s="48" t="str">
        <f aca="false">IF($A269="","",IF(NOT(ISNUMBER(F269)),"Wert fehlt; ",IF(F269&lt;=0,"Wert ist 0; ",""))&amp;IF(NOT(ISNUMBER(E269)),"Bestand fehlt; ",IF(E269&lt;0,"Bestand negativ; ",IF(E269=0,"Nullbestand; ","")))&amp;IF(D269="","Warengruppe fehlt; ","")&amp;IF(B269="","Bezeichnung fehlt; ","")&amp;IF(COUNTIFS($A$2:$A$5001,$A269,$C$2:$C$5001,C269)&gt;1,"Artikel doppelt im selben Lager; ",""))</f>
        <v/>
      </c>
      <c r="P269" s="47" t="n">
        <f aca="false">IF(OR($A269="",D269=""),0,IF(COUNTIF($D$2:D269,D269)=1,SUMIF($D$2:$D$5001,D269,$H$2:$H$5001)+ROW()/10000000,0))</f>
        <v>0</v>
      </c>
      <c r="Q269" s="47" t="n">
        <f aca="false">IF(OR($A269="",C269=""),0,IF(COUNTIF($C$2:C269,C269)=1,SUMIF($C$2:$C$5001,C269,$H$2:$H$5001)+ROW()/10000000,0))</f>
        <v>0</v>
      </c>
    </row>
    <row r="270" customFormat="false" ht="15" hidden="false" customHeight="false" outlineLevel="0" collapsed="false">
      <c r="A270" s="43"/>
      <c r="B270" s="44"/>
      <c r="C270" s="44"/>
      <c r="D270" s="44"/>
      <c r="E270" s="44"/>
      <c r="F270" s="44"/>
      <c r="G270" s="44"/>
      <c r="H270" s="46" t="str">
        <f aca="false">IF($A270="","",IF(OR(NOT(ISNUMBER(E270)),NOT(ISNUMBER(F270))),"",MAX(0,E270)*F270))</f>
        <v/>
      </c>
      <c r="I270" s="46" t="str">
        <f aca="false">IF($A270="","",SUMIF($A$2:$A$5001,$A270,$H$2:$H$5001))</f>
        <v/>
      </c>
      <c r="J270" s="47" t="n">
        <f aca="false">IF($A270="",0,IF(COUNTIF($A$2:A270,$A270)=1,1,0))</f>
        <v>0</v>
      </c>
      <c r="K270" s="47" t="n">
        <f aca="false">IF(J270=1,N(I270)+ROW()/10000000,0)</f>
        <v>0</v>
      </c>
      <c r="L270" s="47" t="str">
        <f aca="false">IF(AND(J270=1,N(I270)&gt;0),SUMIF($K$2:$K$5001,"&gt;="&amp;K270,$I$2:$I$5001)/MAX(1,SUM($H$2:$H$5001)),"")</f>
        <v/>
      </c>
      <c r="M270" s="47" t="str">
        <f aca="false">IF($A270="","",INDEX($L$2:$L$5001,MATCH($A270,$A$2:$A$5001,0)))</f>
        <v/>
      </c>
      <c r="N270" s="48" t="str">
        <f aca="false">IF($A270="","",IF(N(M270)=0,"–",IF(M270&lt;=Start!$D$20,"A",IF(M270&lt;=Start!$D$21,"B","C"))))</f>
        <v/>
      </c>
      <c r="O270" s="48" t="str">
        <f aca="false">IF($A270="","",IF(NOT(ISNUMBER(F270)),"Wert fehlt; ",IF(F270&lt;=0,"Wert ist 0; ",""))&amp;IF(NOT(ISNUMBER(E270)),"Bestand fehlt; ",IF(E270&lt;0,"Bestand negativ; ",IF(E270=0,"Nullbestand; ","")))&amp;IF(D270="","Warengruppe fehlt; ","")&amp;IF(B270="","Bezeichnung fehlt; ","")&amp;IF(COUNTIFS($A$2:$A$5001,$A270,$C$2:$C$5001,C270)&gt;1,"Artikel doppelt im selben Lager; ",""))</f>
        <v/>
      </c>
      <c r="P270" s="47" t="n">
        <f aca="false">IF(OR($A270="",D270=""),0,IF(COUNTIF($D$2:D270,D270)=1,SUMIF($D$2:$D$5001,D270,$H$2:$H$5001)+ROW()/10000000,0))</f>
        <v>0</v>
      </c>
      <c r="Q270" s="47" t="n">
        <f aca="false">IF(OR($A270="",C270=""),0,IF(COUNTIF($C$2:C270,C270)=1,SUMIF($C$2:$C$5001,C270,$H$2:$H$5001)+ROW()/10000000,0))</f>
        <v>0</v>
      </c>
    </row>
    <row r="271" customFormat="false" ht="15" hidden="false" customHeight="false" outlineLevel="0" collapsed="false">
      <c r="A271" s="43"/>
      <c r="B271" s="44"/>
      <c r="C271" s="44"/>
      <c r="D271" s="44"/>
      <c r="E271" s="44"/>
      <c r="F271" s="44"/>
      <c r="G271" s="44"/>
      <c r="H271" s="46" t="str">
        <f aca="false">IF($A271="","",IF(OR(NOT(ISNUMBER(E271)),NOT(ISNUMBER(F271))),"",MAX(0,E271)*F271))</f>
        <v/>
      </c>
      <c r="I271" s="46" t="str">
        <f aca="false">IF($A271="","",SUMIF($A$2:$A$5001,$A271,$H$2:$H$5001))</f>
        <v/>
      </c>
      <c r="J271" s="47" t="n">
        <f aca="false">IF($A271="",0,IF(COUNTIF($A$2:A271,$A271)=1,1,0))</f>
        <v>0</v>
      </c>
      <c r="K271" s="47" t="n">
        <f aca="false">IF(J271=1,N(I271)+ROW()/10000000,0)</f>
        <v>0</v>
      </c>
      <c r="L271" s="47" t="str">
        <f aca="false">IF(AND(J271=1,N(I271)&gt;0),SUMIF($K$2:$K$5001,"&gt;="&amp;K271,$I$2:$I$5001)/MAX(1,SUM($H$2:$H$5001)),"")</f>
        <v/>
      </c>
      <c r="M271" s="47" t="str">
        <f aca="false">IF($A271="","",INDEX($L$2:$L$5001,MATCH($A271,$A$2:$A$5001,0)))</f>
        <v/>
      </c>
      <c r="N271" s="48" t="str">
        <f aca="false">IF($A271="","",IF(N(M271)=0,"–",IF(M271&lt;=Start!$D$20,"A",IF(M271&lt;=Start!$D$21,"B","C"))))</f>
        <v/>
      </c>
      <c r="O271" s="48" t="str">
        <f aca="false">IF($A271="","",IF(NOT(ISNUMBER(F271)),"Wert fehlt; ",IF(F271&lt;=0,"Wert ist 0; ",""))&amp;IF(NOT(ISNUMBER(E271)),"Bestand fehlt; ",IF(E271&lt;0,"Bestand negativ; ",IF(E271=0,"Nullbestand; ","")))&amp;IF(D271="","Warengruppe fehlt; ","")&amp;IF(B271="","Bezeichnung fehlt; ","")&amp;IF(COUNTIFS($A$2:$A$5001,$A271,$C$2:$C$5001,C271)&gt;1,"Artikel doppelt im selben Lager; ",""))</f>
        <v/>
      </c>
      <c r="P271" s="47" t="n">
        <f aca="false">IF(OR($A271="",D271=""),0,IF(COUNTIF($D$2:D271,D271)=1,SUMIF($D$2:$D$5001,D271,$H$2:$H$5001)+ROW()/10000000,0))</f>
        <v>0</v>
      </c>
      <c r="Q271" s="47" t="n">
        <f aca="false">IF(OR($A271="",C271=""),0,IF(COUNTIF($C$2:C271,C271)=1,SUMIF($C$2:$C$5001,C271,$H$2:$H$5001)+ROW()/10000000,0))</f>
        <v>0</v>
      </c>
    </row>
    <row r="272" customFormat="false" ht="15" hidden="false" customHeight="false" outlineLevel="0" collapsed="false">
      <c r="A272" s="43"/>
      <c r="B272" s="44"/>
      <c r="C272" s="44"/>
      <c r="D272" s="44"/>
      <c r="E272" s="44"/>
      <c r="F272" s="44"/>
      <c r="G272" s="44"/>
      <c r="H272" s="46" t="str">
        <f aca="false">IF($A272="","",IF(OR(NOT(ISNUMBER(E272)),NOT(ISNUMBER(F272))),"",MAX(0,E272)*F272))</f>
        <v/>
      </c>
      <c r="I272" s="46" t="str">
        <f aca="false">IF($A272="","",SUMIF($A$2:$A$5001,$A272,$H$2:$H$5001))</f>
        <v/>
      </c>
      <c r="J272" s="47" t="n">
        <f aca="false">IF($A272="",0,IF(COUNTIF($A$2:A272,$A272)=1,1,0))</f>
        <v>0</v>
      </c>
      <c r="K272" s="47" t="n">
        <f aca="false">IF(J272=1,N(I272)+ROW()/10000000,0)</f>
        <v>0</v>
      </c>
      <c r="L272" s="47" t="str">
        <f aca="false">IF(AND(J272=1,N(I272)&gt;0),SUMIF($K$2:$K$5001,"&gt;="&amp;K272,$I$2:$I$5001)/MAX(1,SUM($H$2:$H$5001)),"")</f>
        <v/>
      </c>
      <c r="M272" s="47" t="str">
        <f aca="false">IF($A272="","",INDEX($L$2:$L$5001,MATCH($A272,$A$2:$A$5001,0)))</f>
        <v/>
      </c>
      <c r="N272" s="48" t="str">
        <f aca="false">IF($A272="","",IF(N(M272)=0,"–",IF(M272&lt;=Start!$D$20,"A",IF(M272&lt;=Start!$D$21,"B","C"))))</f>
        <v/>
      </c>
      <c r="O272" s="48" t="str">
        <f aca="false">IF($A272="","",IF(NOT(ISNUMBER(F272)),"Wert fehlt; ",IF(F272&lt;=0,"Wert ist 0; ",""))&amp;IF(NOT(ISNUMBER(E272)),"Bestand fehlt; ",IF(E272&lt;0,"Bestand negativ; ",IF(E272=0,"Nullbestand; ","")))&amp;IF(D272="","Warengruppe fehlt; ","")&amp;IF(B272="","Bezeichnung fehlt; ","")&amp;IF(COUNTIFS($A$2:$A$5001,$A272,$C$2:$C$5001,C272)&gt;1,"Artikel doppelt im selben Lager; ",""))</f>
        <v/>
      </c>
      <c r="P272" s="47" t="n">
        <f aca="false">IF(OR($A272="",D272=""),0,IF(COUNTIF($D$2:D272,D272)=1,SUMIF($D$2:$D$5001,D272,$H$2:$H$5001)+ROW()/10000000,0))</f>
        <v>0</v>
      </c>
      <c r="Q272" s="47" t="n">
        <f aca="false">IF(OR($A272="",C272=""),0,IF(COUNTIF($C$2:C272,C272)=1,SUMIF($C$2:$C$5001,C272,$H$2:$H$5001)+ROW()/10000000,0))</f>
        <v>0</v>
      </c>
    </row>
    <row r="273" customFormat="false" ht="15" hidden="false" customHeight="false" outlineLevel="0" collapsed="false">
      <c r="A273" s="43"/>
      <c r="B273" s="44"/>
      <c r="C273" s="44"/>
      <c r="D273" s="44"/>
      <c r="E273" s="44"/>
      <c r="F273" s="44"/>
      <c r="G273" s="44"/>
      <c r="H273" s="46" t="str">
        <f aca="false">IF($A273="","",IF(OR(NOT(ISNUMBER(E273)),NOT(ISNUMBER(F273))),"",MAX(0,E273)*F273))</f>
        <v/>
      </c>
      <c r="I273" s="46" t="str">
        <f aca="false">IF($A273="","",SUMIF($A$2:$A$5001,$A273,$H$2:$H$5001))</f>
        <v/>
      </c>
      <c r="J273" s="47" t="n">
        <f aca="false">IF($A273="",0,IF(COUNTIF($A$2:A273,$A273)=1,1,0))</f>
        <v>0</v>
      </c>
      <c r="K273" s="47" t="n">
        <f aca="false">IF(J273=1,N(I273)+ROW()/10000000,0)</f>
        <v>0</v>
      </c>
      <c r="L273" s="47" t="str">
        <f aca="false">IF(AND(J273=1,N(I273)&gt;0),SUMIF($K$2:$K$5001,"&gt;="&amp;K273,$I$2:$I$5001)/MAX(1,SUM($H$2:$H$5001)),"")</f>
        <v/>
      </c>
      <c r="M273" s="47" t="str">
        <f aca="false">IF($A273="","",INDEX($L$2:$L$5001,MATCH($A273,$A$2:$A$5001,0)))</f>
        <v/>
      </c>
      <c r="N273" s="48" t="str">
        <f aca="false">IF($A273="","",IF(N(M273)=0,"–",IF(M273&lt;=Start!$D$20,"A",IF(M273&lt;=Start!$D$21,"B","C"))))</f>
        <v/>
      </c>
      <c r="O273" s="48" t="str">
        <f aca="false">IF($A273="","",IF(NOT(ISNUMBER(F273)),"Wert fehlt; ",IF(F273&lt;=0,"Wert ist 0; ",""))&amp;IF(NOT(ISNUMBER(E273)),"Bestand fehlt; ",IF(E273&lt;0,"Bestand negativ; ",IF(E273=0,"Nullbestand; ","")))&amp;IF(D273="","Warengruppe fehlt; ","")&amp;IF(B273="","Bezeichnung fehlt; ","")&amp;IF(COUNTIFS($A$2:$A$5001,$A273,$C$2:$C$5001,C273)&gt;1,"Artikel doppelt im selben Lager; ",""))</f>
        <v/>
      </c>
      <c r="P273" s="47" t="n">
        <f aca="false">IF(OR($A273="",D273=""),0,IF(COUNTIF($D$2:D273,D273)=1,SUMIF($D$2:$D$5001,D273,$H$2:$H$5001)+ROW()/10000000,0))</f>
        <v>0</v>
      </c>
      <c r="Q273" s="47" t="n">
        <f aca="false">IF(OR($A273="",C273=""),0,IF(COUNTIF($C$2:C273,C273)=1,SUMIF($C$2:$C$5001,C273,$H$2:$H$5001)+ROW()/10000000,0))</f>
        <v>0</v>
      </c>
    </row>
    <row r="274" customFormat="false" ht="15" hidden="false" customHeight="false" outlineLevel="0" collapsed="false">
      <c r="A274" s="43"/>
      <c r="B274" s="44"/>
      <c r="C274" s="44"/>
      <c r="D274" s="44"/>
      <c r="E274" s="44"/>
      <c r="F274" s="44"/>
      <c r="G274" s="44"/>
      <c r="H274" s="46" t="str">
        <f aca="false">IF($A274="","",IF(OR(NOT(ISNUMBER(E274)),NOT(ISNUMBER(F274))),"",MAX(0,E274)*F274))</f>
        <v/>
      </c>
      <c r="I274" s="46" t="str">
        <f aca="false">IF($A274="","",SUMIF($A$2:$A$5001,$A274,$H$2:$H$5001))</f>
        <v/>
      </c>
      <c r="J274" s="47" t="n">
        <f aca="false">IF($A274="",0,IF(COUNTIF($A$2:A274,$A274)=1,1,0))</f>
        <v>0</v>
      </c>
      <c r="K274" s="47" t="n">
        <f aca="false">IF(J274=1,N(I274)+ROW()/10000000,0)</f>
        <v>0</v>
      </c>
      <c r="L274" s="47" t="str">
        <f aca="false">IF(AND(J274=1,N(I274)&gt;0),SUMIF($K$2:$K$5001,"&gt;="&amp;K274,$I$2:$I$5001)/MAX(1,SUM($H$2:$H$5001)),"")</f>
        <v/>
      </c>
      <c r="M274" s="47" t="str">
        <f aca="false">IF($A274="","",INDEX($L$2:$L$5001,MATCH($A274,$A$2:$A$5001,0)))</f>
        <v/>
      </c>
      <c r="N274" s="48" t="str">
        <f aca="false">IF($A274="","",IF(N(M274)=0,"–",IF(M274&lt;=Start!$D$20,"A",IF(M274&lt;=Start!$D$21,"B","C"))))</f>
        <v/>
      </c>
      <c r="O274" s="48" t="str">
        <f aca="false">IF($A274="","",IF(NOT(ISNUMBER(F274)),"Wert fehlt; ",IF(F274&lt;=0,"Wert ist 0; ",""))&amp;IF(NOT(ISNUMBER(E274)),"Bestand fehlt; ",IF(E274&lt;0,"Bestand negativ; ",IF(E274=0,"Nullbestand; ","")))&amp;IF(D274="","Warengruppe fehlt; ","")&amp;IF(B274="","Bezeichnung fehlt; ","")&amp;IF(COUNTIFS($A$2:$A$5001,$A274,$C$2:$C$5001,C274)&gt;1,"Artikel doppelt im selben Lager; ",""))</f>
        <v/>
      </c>
      <c r="P274" s="47" t="n">
        <f aca="false">IF(OR($A274="",D274=""),0,IF(COUNTIF($D$2:D274,D274)=1,SUMIF($D$2:$D$5001,D274,$H$2:$H$5001)+ROW()/10000000,0))</f>
        <v>0</v>
      </c>
      <c r="Q274" s="47" t="n">
        <f aca="false">IF(OR($A274="",C274=""),0,IF(COUNTIF($C$2:C274,C274)=1,SUMIF($C$2:$C$5001,C274,$H$2:$H$5001)+ROW()/10000000,0))</f>
        <v>0</v>
      </c>
    </row>
    <row r="275" customFormat="false" ht="15" hidden="false" customHeight="false" outlineLevel="0" collapsed="false">
      <c r="A275" s="43"/>
      <c r="B275" s="44"/>
      <c r="C275" s="44"/>
      <c r="D275" s="44"/>
      <c r="E275" s="44"/>
      <c r="F275" s="44"/>
      <c r="G275" s="44"/>
      <c r="H275" s="46" t="str">
        <f aca="false">IF($A275="","",IF(OR(NOT(ISNUMBER(E275)),NOT(ISNUMBER(F275))),"",MAX(0,E275)*F275))</f>
        <v/>
      </c>
      <c r="I275" s="46" t="str">
        <f aca="false">IF($A275="","",SUMIF($A$2:$A$5001,$A275,$H$2:$H$5001))</f>
        <v/>
      </c>
      <c r="J275" s="47" t="n">
        <f aca="false">IF($A275="",0,IF(COUNTIF($A$2:A275,$A275)=1,1,0))</f>
        <v>0</v>
      </c>
      <c r="K275" s="47" t="n">
        <f aca="false">IF(J275=1,N(I275)+ROW()/10000000,0)</f>
        <v>0</v>
      </c>
      <c r="L275" s="47" t="str">
        <f aca="false">IF(AND(J275=1,N(I275)&gt;0),SUMIF($K$2:$K$5001,"&gt;="&amp;K275,$I$2:$I$5001)/MAX(1,SUM($H$2:$H$5001)),"")</f>
        <v/>
      </c>
      <c r="M275" s="47" t="str">
        <f aca="false">IF($A275="","",INDEX($L$2:$L$5001,MATCH($A275,$A$2:$A$5001,0)))</f>
        <v/>
      </c>
      <c r="N275" s="48" t="str">
        <f aca="false">IF($A275="","",IF(N(M275)=0,"–",IF(M275&lt;=Start!$D$20,"A",IF(M275&lt;=Start!$D$21,"B","C"))))</f>
        <v/>
      </c>
      <c r="O275" s="48" t="str">
        <f aca="false">IF($A275="","",IF(NOT(ISNUMBER(F275)),"Wert fehlt; ",IF(F275&lt;=0,"Wert ist 0; ",""))&amp;IF(NOT(ISNUMBER(E275)),"Bestand fehlt; ",IF(E275&lt;0,"Bestand negativ; ",IF(E275=0,"Nullbestand; ","")))&amp;IF(D275="","Warengruppe fehlt; ","")&amp;IF(B275="","Bezeichnung fehlt; ","")&amp;IF(COUNTIFS($A$2:$A$5001,$A275,$C$2:$C$5001,C275)&gt;1,"Artikel doppelt im selben Lager; ",""))</f>
        <v/>
      </c>
      <c r="P275" s="47" t="n">
        <f aca="false">IF(OR($A275="",D275=""),0,IF(COUNTIF($D$2:D275,D275)=1,SUMIF($D$2:$D$5001,D275,$H$2:$H$5001)+ROW()/10000000,0))</f>
        <v>0</v>
      </c>
      <c r="Q275" s="47" t="n">
        <f aca="false">IF(OR($A275="",C275=""),0,IF(COUNTIF($C$2:C275,C275)=1,SUMIF($C$2:$C$5001,C275,$H$2:$H$5001)+ROW()/10000000,0))</f>
        <v>0</v>
      </c>
    </row>
    <row r="276" customFormat="false" ht="15" hidden="false" customHeight="false" outlineLevel="0" collapsed="false">
      <c r="A276" s="43"/>
      <c r="B276" s="44"/>
      <c r="C276" s="44"/>
      <c r="D276" s="44"/>
      <c r="E276" s="44"/>
      <c r="F276" s="44"/>
      <c r="G276" s="44"/>
      <c r="H276" s="46" t="str">
        <f aca="false">IF($A276="","",IF(OR(NOT(ISNUMBER(E276)),NOT(ISNUMBER(F276))),"",MAX(0,E276)*F276))</f>
        <v/>
      </c>
      <c r="I276" s="46" t="str">
        <f aca="false">IF($A276="","",SUMIF($A$2:$A$5001,$A276,$H$2:$H$5001))</f>
        <v/>
      </c>
      <c r="J276" s="47" t="n">
        <f aca="false">IF($A276="",0,IF(COUNTIF($A$2:A276,$A276)=1,1,0))</f>
        <v>0</v>
      </c>
      <c r="K276" s="47" t="n">
        <f aca="false">IF(J276=1,N(I276)+ROW()/10000000,0)</f>
        <v>0</v>
      </c>
      <c r="L276" s="47" t="str">
        <f aca="false">IF(AND(J276=1,N(I276)&gt;0),SUMIF($K$2:$K$5001,"&gt;="&amp;K276,$I$2:$I$5001)/MAX(1,SUM($H$2:$H$5001)),"")</f>
        <v/>
      </c>
      <c r="M276" s="47" t="str">
        <f aca="false">IF($A276="","",INDEX($L$2:$L$5001,MATCH($A276,$A$2:$A$5001,0)))</f>
        <v/>
      </c>
      <c r="N276" s="48" t="str">
        <f aca="false">IF($A276="","",IF(N(M276)=0,"–",IF(M276&lt;=Start!$D$20,"A",IF(M276&lt;=Start!$D$21,"B","C"))))</f>
        <v/>
      </c>
      <c r="O276" s="48" t="str">
        <f aca="false">IF($A276="","",IF(NOT(ISNUMBER(F276)),"Wert fehlt; ",IF(F276&lt;=0,"Wert ist 0; ",""))&amp;IF(NOT(ISNUMBER(E276)),"Bestand fehlt; ",IF(E276&lt;0,"Bestand negativ; ",IF(E276=0,"Nullbestand; ","")))&amp;IF(D276="","Warengruppe fehlt; ","")&amp;IF(B276="","Bezeichnung fehlt; ","")&amp;IF(COUNTIFS($A$2:$A$5001,$A276,$C$2:$C$5001,C276)&gt;1,"Artikel doppelt im selben Lager; ",""))</f>
        <v/>
      </c>
      <c r="P276" s="47" t="n">
        <f aca="false">IF(OR($A276="",D276=""),0,IF(COUNTIF($D$2:D276,D276)=1,SUMIF($D$2:$D$5001,D276,$H$2:$H$5001)+ROW()/10000000,0))</f>
        <v>0</v>
      </c>
      <c r="Q276" s="47" t="n">
        <f aca="false">IF(OR($A276="",C276=""),0,IF(COUNTIF($C$2:C276,C276)=1,SUMIF($C$2:$C$5001,C276,$H$2:$H$5001)+ROW()/10000000,0))</f>
        <v>0</v>
      </c>
    </row>
    <row r="277" customFormat="false" ht="15" hidden="false" customHeight="false" outlineLevel="0" collapsed="false">
      <c r="A277" s="43"/>
      <c r="B277" s="44"/>
      <c r="C277" s="44"/>
      <c r="D277" s="44"/>
      <c r="E277" s="44"/>
      <c r="F277" s="44"/>
      <c r="G277" s="44"/>
      <c r="H277" s="46" t="str">
        <f aca="false">IF($A277="","",IF(OR(NOT(ISNUMBER(E277)),NOT(ISNUMBER(F277))),"",MAX(0,E277)*F277))</f>
        <v/>
      </c>
      <c r="I277" s="46" t="str">
        <f aca="false">IF($A277="","",SUMIF($A$2:$A$5001,$A277,$H$2:$H$5001))</f>
        <v/>
      </c>
      <c r="J277" s="47" t="n">
        <f aca="false">IF($A277="",0,IF(COUNTIF($A$2:A277,$A277)=1,1,0))</f>
        <v>0</v>
      </c>
      <c r="K277" s="47" t="n">
        <f aca="false">IF(J277=1,N(I277)+ROW()/10000000,0)</f>
        <v>0</v>
      </c>
      <c r="L277" s="47" t="str">
        <f aca="false">IF(AND(J277=1,N(I277)&gt;0),SUMIF($K$2:$K$5001,"&gt;="&amp;K277,$I$2:$I$5001)/MAX(1,SUM($H$2:$H$5001)),"")</f>
        <v/>
      </c>
      <c r="M277" s="47" t="str">
        <f aca="false">IF($A277="","",INDEX($L$2:$L$5001,MATCH($A277,$A$2:$A$5001,0)))</f>
        <v/>
      </c>
      <c r="N277" s="48" t="str">
        <f aca="false">IF($A277="","",IF(N(M277)=0,"–",IF(M277&lt;=Start!$D$20,"A",IF(M277&lt;=Start!$D$21,"B","C"))))</f>
        <v/>
      </c>
      <c r="O277" s="48" t="str">
        <f aca="false">IF($A277="","",IF(NOT(ISNUMBER(F277)),"Wert fehlt; ",IF(F277&lt;=0,"Wert ist 0; ",""))&amp;IF(NOT(ISNUMBER(E277)),"Bestand fehlt; ",IF(E277&lt;0,"Bestand negativ; ",IF(E277=0,"Nullbestand; ","")))&amp;IF(D277="","Warengruppe fehlt; ","")&amp;IF(B277="","Bezeichnung fehlt; ","")&amp;IF(COUNTIFS($A$2:$A$5001,$A277,$C$2:$C$5001,C277)&gt;1,"Artikel doppelt im selben Lager; ",""))</f>
        <v/>
      </c>
      <c r="P277" s="47" t="n">
        <f aca="false">IF(OR($A277="",D277=""),0,IF(COUNTIF($D$2:D277,D277)=1,SUMIF($D$2:$D$5001,D277,$H$2:$H$5001)+ROW()/10000000,0))</f>
        <v>0</v>
      </c>
      <c r="Q277" s="47" t="n">
        <f aca="false">IF(OR($A277="",C277=""),0,IF(COUNTIF($C$2:C277,C277)=1,SUMIF($C$2:$C$5001,C277,$H$2:$H$5001)+ROW()/10000000,0))</f>
        <v>0</v>
      </c>
    </row>
    <row r="278" customFormat="false" ht="15" hidden="false" customHeight="false" outlineLevel="0" collapsed="false">
      <c r="A278" s="43"/>
      <c r="B278" s="44"/>
      <c r="C278" s="44"/>
      <c r="D278" s="44"/>
      <c r="E278" s="44"/>
      <c r="F278" s="44"/>
      <c r="G278" s="44"/>
      <c r="H278" s="46" t="str">
        <f aca="false">IF($A278="","",IF(OR(NOT(ISNUMBER(E278)),NOT(ISNUMBER(F278))),"",MAX(0,E278)*F278))</f>
        <v/>
      </c>
      <c r="I278" s="46" t="str">
        <f aca="false">IF($A278="","",SUMIF($A$2:$A$5001,$A278,$H$2:$H$5001))</f>
        <v/>
      </c>
      <c r="J278" s="47" t="n">
        <f aca="false">IF($A278="",0,IF(COUNTIF($A$2:A278,$A278)=1,1,0))</f>
        <v>0</v>
      </c>
      <c r="K278" s="47" t="n">
        <f aca="false">IF(J278=1,N(I278)+ROW()/10000000,0)</f>
        <v>0</v>
      </c>
      <c r="L278" s="47" t="str">
        <f aca="false">IF(AND(J278=1,N(I278)&gt;0),SUMIF($K$2:$K$5001,"&gt;="&amp;K278,$I$2:$I$5001)/MAX(1,SUM($H$2:$H$5001)),"")</f>
        <v/>
      </c>
      <c r="M278" s="47" t="str">
        <f aca="false">IF($A278="","",INDEX($L$2:$L$5001,MATCH($A278,$A$2:$A$5001,0)))</f>
        <v/>
      </c>
      <c r="N278" s="48" t="str">
        <f aca="false">IF($A278="","",IF(N(M278)=0,"–",IF(M278&lt;=Start!$D$20,"A",IF(M278&lt;=Start!$D$21,"B","C"))))</f>
        <v/>
      </c>
      <c r="O278" s="48" t="str">
        <f aca="false">IF($A278="","",IF(NOT(ISNUMBER(F278)),"Wert fehlt; ",IF(F278&lt;=0,"Wert ist 0; ",""))&amp;IF(NOT(ISNUMBER(E278)),"Bestand fehlt; ",IF(E278&lt;0,"Bestand negativ; ",IF(E278=0,"Nullbestand; ","")))&amp;IF(D278="","Warengruppe fehlt; ","")&amp;IF(B278="","Bezeichnung fehlt; ","")&amp;IF(COUNTIFS($A$2:$A$5001,$A278,$C$2:$C$5001,C278)&gt;1,"Artikel doppelt im selben Lager; ",""))</f>
        <v/>
      </c>
      <c r="P278" s="47" t="n">
        <f aca="false">IF(OR($A278="",D278=""),0,IF(COUNTIF($D$2:D278,D278)=1,SUMIF($D$2:$D$5001,D278,$H$2:$H$5001)+ROW()/10000000,0))</f>
        <v>0</v>
      </c>
      <c r="Q278" s="47" t="n">
        <f aca="false">IF(OR($A278="",C278=""),0,IF(COUNTIF($C$2:C278,C278)=1,SUMIF($C$2:$C$5001,C278,$H$2:$H$5001)+ROW()/10000000,0))</f>
        <v>0</v>
      </c>
    </row>
    <row r="279" customFormat="false" ht="15" hidden="false" customHeight="false" outlineLevel="0" collapsed="false">
      <c r="A279" s="43"/>
      <c r="B279" s="44"/>
      <c r="C279" s="44"/>
      <c r="D279" s="44"/>
      <c r="E279" s="44"/>
      <c r="F279" s="44"/>
      <c r="G279" s="44"/>
      <c r="H279" s="46" t="str">
        <f aca="false">IF($A279="","",IF(OR(NOT(ISNUMBER(E279)),NOT(ISNUMBER(F279))),"",MAX(0,E279)*F279))</f>
        <v/>
      </c>
      <c r="I279" s="46" t="str">
        <f aca="false">IF($A279="","",SUMIF($A$2:$A$5001,$A279,$H$2:$H$5001))</f>
        <v/>
      </c>
      <c r="J279" s="47" t="n">
        <f aca="false">IF($A279="",0,IF(COUNTIF($A$2:A279,$A279)=1,1,0))</f>
        <v>0</v>
      </c>
      <c r="K279" s="47" t="n">
        <f aca="false">IF(J279=1,N(I279)+ROW()/10000000,0)</f>
        <v>0</v>
      </c>
      <c r="L279" s="47" t="str">
        <f aca="false">IF(AND(J279=1,N(I279)&gt;0),SUMIF($K$2:$K$5001,"&gt;="&amp;K279,$I$2:$I$5001)/MAX(1,SUM($H$2:$H$5001)),"")</f>
        <v/>
      </c>
      <c r="M279" s="47" t="str">
        <f aca="false">IF($A279="","",INDEX($L$2:$L$5001,MATCH($A279,$A$2:$A$5001,0)))</f>
        <v/>
      </c>
      <c r="N279" s="48" t="str">
        <f aca="false">IF($A279="","",IF(N(M279)=0,"–",IF(M279&lt;=Start!$D$20,"A",IF(M279&lt;=Start!$D$21,"B","C"))))</f>
        <v/>
      </c>
      <c r="O279" s="48" t="str">
        <f aca="false">IF($A279="","",IF(NOT(ISNUMBER(F279)),"Wert fehlt; ",IF(F279&lt;=0,"Wert ist 0; ",""))&amp;IF(NOT(ISNUMBER(E279)),"Bestand fehlt; ",IF(E279&lt;0,"Bestand negativ; ",IF(E279=0,"Nullbestand; ","")))&amp;IF(D279="","Warengruppe fehlt; ","")&amp;IF(B279="","Bezeichnung fehlt; ","")&amp;IF(COUNTIFS($A$2:$A$5001,$A279,$C$2:$C$5001,C279)&gt;1,"Artikel doppelt im selben Lager; ",""))</f>
        <v/>
      </c>
      <c r="P279" s="47" t="n">
        <f aca="false">IF(OR($A279="",D279=""),0,IF(COUNTIF($D$2:D279,D279)=1,SUMIF($D$2:$D$5001,D279,$H$2:$H$5001)+ROW()/10000000,0))</f>
        <v>0</v>
      </c>
      <c r="Q279" s="47" t="n">
        <f aca="false">IF(OR($A279="",C279=""),0,IF(COUNTIF($C$2:C279,C279)=1,SUMIF($C$2:$C$5001,C279,$H$2:$H$5001)+ROW()/10000000,0))</f>
        <v>0</v>
      </c>
    </row>
    <row r="280" customFormat="false" ht="15" hidden="false" customHeight="false" outlineLevel="0" collapsed="false">
      <c r="A280" s="43"/>
      <c r="B280" s="44"/>
      <c r="C280" s="44"/>
      <c r="D280" s="44"/>
      <c r="E280" s="44"/>
      <c r="F280" s="44"/>
      <c r="G280" s="44"/>
      <c r="H280" s="46" t="str">
        <f aca="false">IF($A280="","",IF(OR(NOT(ISNUMBER(E280)),NOT(ISNUMBER(F280))),"",MAX(0,E280)*F280))</f>
        <v/>
      </c>
      <c r="I280" s="46" t="str">
        <f aca="false">IF($A280="","",SUMIF($A$2:$A$5001,$A280,$H$2:$H$5001))</f>
        <v/>
      </c>
      <c r="J280" s="47" t="n">
        <f aca="false">IF($A280="",0,IF(COUNTIF($A$2:A280,$A280)=1,1,0))</f>
        <v>0</v>
      </c>
      <c r="K280" s="47" t="n">
        <f aca="false">IF(J280=1,N(I280)+ROW()/10000000,0)</f>
        <v>0</v>
      </c>
      <c r="L280" s="47" t="str">
        <f aca="false">IF(AND(J280=1,N(I280)&gt;0),SUMIF($K$2:$K$5001,"&gt;="&amp;K280,$I$2:$I$5001)/MAX(1,SUM($H$2:$H$5001)),"")</f>
        <v/>
      </c>
      <c r="M280" s="47" t="str">
        <f aca="false">IF($A280="","",INDEX($L$2:$L$5001,MATCH($A280,$A$2:$A$5001,0)))</f>
        <v/>
      </c>
      <c r="N280" s="48" t="str">
        <f aca="false">IF($A280="","",IF(N(M280)=0,"–",IF(M280&lt;=Start!$D$20,"A",IF(M280&lt;=Start!$D$21,"B","C"))))</f>
        <v/>
      </c>
      <c r="O280" s="48" t="str">
        <f aca="false">IF($A280="","",IF(NOT(ISNUMBER(F280)),"Wert fehlt; ",IF(F280&lt;=0,"Wert ist 0; ",""))&amp;IF(NOT(ISNUMBER(E280)),"Bestand fehlt; ",IF(E280&lt;0,"Bestand negativ; ",IF(E280=0,"Nullbestand; ","")))&amp;IF(D280="","Warengruppe fehlt; ","")&amp;IF(B280="","Bezeichnung fehlt; ","")&amp;IF(COUNTIFS($A$2:$A$5001,$A280,$C$2:$C$5001,C280)&gt;1,"Artikel doppelt im selben Lager; ",""))</f>
        <v/>
      </c>
      <c r="P280" s="47" t="n">
        <f aca="false">IF(OR($A280="",D280=""),0,IF(COUNTIF($D$2:D280,D280)=1,SUMIF($D$2:$D$5001,D280,$H$2:$H$5001)+ROW()/10000000,0))</f>
        <v>0</v>
      </c>
      <c r="Q280" s="47" t="n">
        <f aca="false">IF(OR($A280="",C280=""),0,IF(COUNTIF($C$2:C280,C280)=1,SUMIF($C$2:$C$5001,C280,$H$2:$H$5001)+ROW()/10000000,0))</f>
        <v>0</v>
      </c>
    </row>
    <row r="281" customFormat="false" ht="15" hidden="false" customHeight="false" outlineLevel="0" collapsed="false">
      <c r="A281" s="43"/>
      <c r="B281" s="44"/>
      <c r="C281" s="44"/>
      <c r="D281" s="44"/>
      <c r="E281" s="44"/>
      <c r="F281" s="44"/>
      <c r="G281" s="44"/>
      <c r="H281" s="46" t="str">
        <f aca="false">IF($A281="","",IF(OR(NOT(ISNUMBER(E281)),NOT(ISNUMBER(F281))),"",MAX(0,E281)*F281))</f>
        <v/>
      </c>
      <c r="I281" s="46" t="str">
        <f aca="false">IF($A281="","",SUMIF($A$2:$A$5001,$A281,$H$2:$H$5001))</f>
        <v/>
      </c>
      <c r="J281" s="47" t="n">
        <f aca="false">IF($A281="",0,IF(COUNTIF($A$2:A281,$A281)=1,1,0))</f>
        <v>0</v>
      </c>
      <c r="K281" s="47" t="n">
        <f aca="false">IF(J281=1,N(I281)+ROW()/10000000,0)</f>
        <v>0</v>
      </c>
      <c r="L281" s="47" t="str">
        <f aca="false">IF(AND(J281=1,N(I281)&gt;0),SUMIF($K$2:$K$5001,"&gt;="&amp;K281,$I$2:$I$5001)/MAX(1,SUM($H$2:$H$5001)),"")</f>
        <v/>
      </c>
      <c r="M281" s="47" t="str">
        <f aca="false">IF($A281="","",INDEX($L$2:$L$5001,MATCH($A281,$A$2:$A$5001,0)))</f>
        <v/>
      </c>
      <c r="N281" s="48" t="str">
        <f aca="false">IF($A281="","",IF(N(M281)=0,"–",IF(M281&lt;=Start!$D$20,"A",IF(M281&lt;=Start!$D$21,"B","C"))))</f>
        <v/>
      </c>
      <c r="O281" s="48" t="str">
        <f aca="false">IF($A281="","",IF(NOT(ISNUMBER(F281)),"Wert fehlt; ",IF(F281&lt;=0,"Wert ist 0; ",""))&amp;IF(NOT(ISNUMBER(E281)),"Bestand fehlt; ",IF(E281&lt;0,"Bestand negativ; ",IF(E281=0,"Nullbestand; ","")))&amp;IF(D281="","Warengruppe fehlt; ","")&amp;IF(B281="","Bezeichnung fehlt; ","")&amp;IF(COUNTIFS($A$2:$A$5001,$A281,$C$2:$C$5001,C281)&gt;1,"Artikel doppelt im selben Lager; ",""))</f>
        <v/>
      </c>
      <c r="P281" s="47" t="n">
        <f aca="false">IF(OR($A281="",D281=""),0,IF(COUNTIF($D$2:D281,D281)=1,SUMIF($D$2:$D$5001,D281,$H$2:$H$5001)+ROW()/10000000,0))</f>
        <v>0</v>
      </c>
      <c r="Q281" s="47" t="n">
        <f aca="false">IF(OR($A281="",C281=""),0,IF(COUNTIF($C$2:C281,C281)=1,SUMIF($C$2:$C$5001,C281,$H$2:$H$5001)+ROW()/10000000,0))</f>
        <v>0</v>
      </c>
    </row>
    <row r="282" customFormat="false" ht="15" hidden="false" customHeight="false" outlineLevel="0" collapsed="false">
      <c r="A282" s="43"/>
      <c r="B282" s="44"/>
      <c r="C282" s="44"/>
      <c r="D282" s="44"/>
      <c r="E282" s="44"/>
      <c r="F282" s="44"/>
      <c r="G282" s="44"/>
      <c r="H282" s="46" t="str">
        <f aca="false">IF($A282="","",IF(OR(NOT(ISNUMBER(E282)),NOT(ISNUMBER(F282))),"",MAX(0,E282)*F282))</f>
        <v/>
      </c>
      <c r="I282" s="46" t="str">
        <f aca="false">IF($A282="","",SUMIF($A$2:$A$5001,$A282,$H$2:$H$5001))</f>
        <v/>
      </c>
      <c r="J282" s="47" t="n">
        <f aca="false">IF($A282="",0,IF(COUNTIF($A$2:A282,$A282)=1,1,0))</f>
        <v>0</v>
      </c>
      <c r="K282" s="47" t="n">
        <f aca="false">IF(J282=1,N(I282)+ROW()/10000000,0)</f>
        <v>0</v>
      </c>
      <c r="L282" s="47" t="str">
        <f aca="false">IF(AND(J282=1,N(I282)&gt;0),SUMIF($K$2:$K$5001,"&gt;="&amp;K282,$I$2:$I$5001)/MAX(1,SUM($H$2:$H$5001)),"")</f>
        <v/>
      </c>
      <c r="M282" s="47" t="str">
        <f aca="false">IF($A282="","",INDEX($L$2:$L$5001,MATCH($A282,$A$2:$A$5001,0)))</f>
        <v/>
      </c>
      <c r="N282" s="48" t="str">
        <f aca="false">IF($A282="","",IF(N(M282)=0,"–",IF(M282&lt;=Start!$D$20,"A",IF(M282&lt;=Start!$D$21,"B","C"))))</f>
        <v/>
      </c>
      <c r="O282" s="48" t="str">
        <f aca="false">IF($A282="","",IF(NOT(ISNUMBER(F282)),"Wert fehlt; ",IF(F282&lt;=0,"Wert ist 0; ",""))&amp;IF(NOT(ISNUMBER(E282)),"Bestand fehlt; ",IF(E282&lt;0,"Bestand negativ; ",IF(E282=0,"Nullbestand; ","")))&amp;IF(D282="","Warengruppe fehlt; ","")&amp;IF(B282="","Bezeichnung fehlt; ","")&amp;IF(COUNTIFS($A$2:$A$5001,$A282,$C$2:$C$5001,C282)&gt;1,"Artikel doppelt im selben Lager; ",""))</f>
        <v/>
      </c>
      <c r="P282" s="47" t="n">
        <f aca="false">IF(OR($A282="",D282=""),0,IF(COUNTIF($D$2:D282,D282)=1,SUMIF($D$2:$D$5001,D282,$H$2:$H$5001)+ROW()/10000000,0))</f>
        <v>0</v>
      </c>
      <c r="Q282" s="47" t="n">
        <f aca="false">IF(OR($A282="",C282=""),0,IF(COUNTIF($C$2:C282,C282)=1,SUMIF($C$2:$C$5001,C282,$H$2:$H$5001)+ROW()/10000000,0))</f>
        <v>0</v>
      </c>
    </row>
    <row r="283" customFormat="false" ht="15" hidden="false" customHeight="false" outlineLevel="0" collapsed="false">
      <c r="A283" s="43"/>
      <c r="B283" s="44"/>
      <c r="C283" s="44"/>
      <c r="D283" s="44"/>
      <c r="E283" s="44"/>
      <c r="F283" s="44"/>
      <c r="G283" s="44"/>
      <c r="H283" s="46" t="str">
        <f aca="false">IF($A283="","",IF(OR(NOT(ISNUMBER(E283)),NOT(ISNUMBER(F283))),"",MAX(0,E283)*F283))</f>
        <v/>
      </c>
      <c r="I283" s="46" t="str">
        <f aca="false">IF($A283="","",SUMIF($A$2:$A$5001,$A283,$H$2:$H$5001))</f>
        <v/>
      </c>
      <c r="J283" s="47" t="n">
        <f aca="false">IF($A283="",0,IF(COUNTIF($A$2:A283,$A283)=1,1,0))</f>
        <v>0</v>
      </c>
      <c r="K283" s="47" t="n">
        <f aca="false">IF(J283=1,N(I283)+ROW()/10000000,0)</f>
        <v>0</v>
      </c>
      <c r="L283" s="47" t="str">
        <f aca="false">IF(AND(J283=1,N(I283)&gt;0),SUMIF($K$2:$K$5001,"&gt;="&amp;K283,$I$2:$I$5001)/MAX(1,SUM($H$2:$H$5001)),"")</f>
        <v/>
      </c>
      <c r="M283" s="47" t="str">
        <f aca="false">IF($A283="","",INDEX($L$2:$L$5001,MATCH($A283,$A$2:$A$5001,0)))</f>
        <v/>
      </c>
      <c r="N283" s="48" t="str">
        <f aca="false">IF($A283="","",IF(N(M283)=0,"–",IF(M283&lt;=Start!$D$20,"A",IF(M283&lt;=Start!$D$21,"B","C"))))</f>
        <v/>
      </c>
      <c r="O283" s="48" t="str">
        <f aca="false">IF($A283="","",IF(NOT(ISNUMBER(F283)),"Wert fehlt; ",IF(F283&lt;=0,"Wert ist 0; ",""))&amp;IF(NOT(ISNUMBER(E283)),"Bestand fehlt; ",IF(E283&lt;0,"Bestand negativ; ",IF(E283=0,"Nullbestand; ","")))&amp;IF(D283="","Warengruppe fehlt; ","")&amp;IF(B283="","Bezeichnung fehlt; ","")&amp;IF(COUNTIFS($A$2:$A$5001,$A283,$C$2:$C$5001,C283)&gt;1,"Artikel doppelt im selben Lager; ",""))</f>
        <v/>
      </c>
      <c r="P283" s="47" t="n">
        <f aca="false">IF(OR($A283="",D283=""),0,IF(COUNTIF($D$2:D283,D283)=1,SUMIF($D$2:$D$5001,D283,$H$2:$H$5001)+ROW()/10000000,0))</f>
        <v>0</v>
      </c>
      <c r="Q283" s="47" t="n">
        <f aca="false">IF(OR($A283="",C283=""),0,IF(COUNTIF($C$2:C283,C283)=1,SUMIF($C$2:$C$5001,C283,$H$2:$H$5001)+ROW()/10000000,0))</f>
        <v>0</v>
      </c>
    </row>
    <row r="284" customFormat="false" ht="15" hidden="false" customHeight="false" outlineLevel="0" collapsed="false">
      <c r="A284" s="43"/>
      <c r="B284" s="44"/>
      <c r="C284" s="44"/>
      <c r="D284" s="44"/>
      <c r="E284" s="44"/>
      <c r="F284" s="44"/>
      <c r="G284" s="44"/>
      <c r="H284" s="46" t="str">
        <f aca="false">IF($A284="","",IF(OR(NOT(ISNUMBER(E284)),NOT(ISNUMBER(F284))),"",MAX(0,E284)*F284))</f>
        <v/>
      </c>
      <c r="I284" s="46" t="str">
        <f aca="false">IF($A284="","",SUMIF($A$2:$A$5001,$A284,$H$2:$H$5001))</f>
        <v/>
      </c>
      <c r="J284" s="47" t="n">
        <f aca="false">IF($A284="",0,IF(COUNTIF($A$2:A284,$A284)=1,1,0))</f>
        <v>0</v>
      </c>
      <c r="K284" s="47" t="n">
        <f aca="false">IF(J284=1,N(I284)+ROW()/10000000,0)</f>
        <v>0</v>
      </c>
      <c r="L284" s="47" t="str">
        <f aca="false">IF(AND(J284=1,N(I284)&gt;0),SUMIF($K$2:$K$5001,"&gt;="&amp;K284,$I$2:$I$5001)/MAX(1,SUM($H$2:$H$5001)),"")</f>
        <v/>
      </c>
      <c r="M284" s="47" t="str">
        <f aca="false">IF($A284="","",INDEX($L$2:$L$5001,MATCH($A284,$A$2:$A$5001,0)))</f>
        <v/>
      </c>
      <c r="N284" s="48" t="str">
        <f aca="false">IF($A284="","",IF(N(M284)=0,"–",IF(M284&lt;=Start!$D$20,"A",IF(M284&lt;=Start!$D$21,"B","C"))))</f>
        <v/>
      </c>
      <c r="O284" s="48" t="str">
        <f aca="false">IF($A284="","",IF(NOT(ISNUMBER(F284)),"Wert fehlt; ",IF(F284&lt;=0,"Wert ist 0; ",""))&amp;IF(NOT(ISNUMBER(E284)),"Bestand fehlt; ",IF(E284&lt;0,"Bestand negativ; ",IF(E284=0,"Nullbestand; ","")))&amp;IF(D284="","Warengruppe fehlt; ","")&amp;IF(B284="","Bezeichnung fehlt; ","")&amp;IF(COUNTIFS($A$2:$A$5001,$A284,$C$2:$C$5001,C284)&gt;1,"Artikel doppelt im selben Lager; ",""))</f>
        <v/>
      </c>
      <c r="P284" s="47" t="n">
        <f aca="false">IF(OR($A284="",D284=""),0,IF(COUNTIF($D$2:D284,D284)=1,SUMIF($D$2:$D$5001,D284,$H$2:$H$5001)+ROW()/10000000,0))</f>
        <v>0</v>
      </c>
      <c r="Q284" s="47" t="n">
        <f aca="false">IF(OR($A284="",C284=""),0,IF(COUNTIF($C$2:C284,C284)=1,SUMIF($C$2:$C$5001,C284,$H$2:$H$5001)+ROW()/10000000,0))</f>
        <v>0</v>
      </c>
    </row>
    <row r="285" customFormat="false" ht="15" hidden="false" customHeight="false" outlineLevel="0" collapsed="false">
      <c r="A285" s="43"/>
      <c r="B285" s="44"/>
      <c r="C285" s="44"/>
      <c r="D285" s="44"/>
      <c r="E285" s="44"/>
      <c r="F285" s="44"/>
      <c r="G285" s="44"/>
      <c r="H285" s="46" t="str">
        <f aca="false">IF($A285="","",IF(OR(NOT(ISNUMBER(E285)),NOT(ISNUMBER(F285))),"",MAX(0,E285)*F285))</f>
        <v/>
      </c>
      <c r="I285" s="46" t="str">
        <f aca="false">IF($A285="","",SUMIF($A$2:$A$5001,$A285,$H$2:$H$5001))</f>
        <v/>
      </c>
      <c r="J285" s="47" t="n">
        <f aca="false">IF($A285="",0,IF(COUNTIF($A$2:A285,$A285)=1,1,0))</f>
        <v>0</v>
      </c>
      <c r="K285" s="47" t="n">
        <f aca="false">IF(J285=1,N(I285)+ROW()/10000000,0)</f>
        <v>0</v>
      </c>
      <c r="L285" s="47" t="str">
        <f aca="false">IF(AND(J285=1,N(I285)&gt;0),SUMIF($K$2:$K$5001,"&gt;="&amp;K285,$I$2:$I$5001)/MAX(1,SUM($H$2:$H$5001)),"")</f>
        <v/>
      </c>
      <c r="M285" s="47" t="str">
        <f aca="false">IF($A285="","",INDEX($L$2:$L$5001,MATCH($A285,$A$2:$A$5001,0)))</f>
        <v/>
      </c>
      <c r="N285" s="48" t="str">
        <f aca="false">IF($A285="","",IF(N(M285)=0,"–",IF(M285&lt;=Start!$D$20,"A",IF(M285&lt;=Start!$D$21,"B","C"))))</f>
        <v/>
      </c>
      <c r="O285" s="48" t="str">
        <f aca="false">IF($A285="","",IF(NOT(ISNUMBER(F285)),"Wert fehlt; ",IF(F285&lt;=0,"Wert ist 0; ",""))&amp;IF(NOT(ISNUMBER(E285)),"Bestand fehlt; ",IF(E285&lt;0,"Bestand negativ; ",IF(E285=0,"Nullbestand; ","")))&amp;IF(D285="","Warengruppe fehlt; ","")&amp;IF(B285="","Bezeichnung fehlt; ","")&amp;IF(COUNTIFS($A$2:$A$5001,$A285,$C$2:$C$5001,C285)&gt;1,"Artikel doppelt im selben Lager; ",""))</f>
        <v/>
      </c>
      <c r="P285" s="47" t="n">
        <f aca="false">IF(OR($A285="",D285=""),0,IF(COUNTIF($D$2:D285,D285)=1,SUMIF($D$2:$D$5001,D285,$H$2:$H$5001)+ROW()/10000000,0))</f>
        <v>0</v>
      </c>
      <c r="Q285" s="47" t="n">
        <f aca="false">IF(OR($A285="",C285=""),0,IF(COUNTIF($C$2:C285,C285)=1,SUMIF($C$2:$C$5001,C285,$H$2:$H$5001)+ROW()/10000000,0))</f>
        <v>0</v>
      </c>
    </row>
    <row r="286" customFormat="false" ht="15" hidden="false" customHeight="false" outlineLevel="0" collapsed="false">
      <c r="A286" s="43"/>
      <c r="B286" s="44"/>
      <c r="C286" s="44"/>
      <c r="D286" s="44"/>
      <c r="E286" s="44"/>
      <c r="F286" s="44"/>
      <c r="G286" s="44"/>
      <c r="H286" s="46" t="str">
        <f aca="false">IF($A286="","",IF(OR(NOT(ISNUMBER(E286)),NOT(ISNUMBER(F286))),"",MAX(0,E286)*F286))</f>
        <v/>
      </c>
      <c r="I286" s="46" t="str">
        <f aca="false">IF($A286="","",SUMIF($A$2:$A$5001,$A286,$H$2:$H$5001))</f>
        <v/>
      </c>
      <c r="J286" s="47" t="n">
        <f aca="false">IF($A286="",0,IF(COUNTIF($A$2:A286,$A286)=1,1,0))</f>
        <v>0</v>
      </c>
      <c r="K286" s="47" t="n">
        <f aca="false">IF(J286=1,N(I286)+ROW()/10000000,0)</f>
        <v>0</v>
      </c>
      <c r="L286" s="47" t="str">
        <f aca="false">IF(AND(J286=1,N(I286)&gt;0),SUMIF($K$2:$K$5001,"&gt;="&amp;K286,$I$2:$I$5001)/MAX(1,SUM($H$2:$H$5001)),"")</f>
        <v/>
      </c>
      <c r="M286" s="47" t="str">
        <f aca="false">IF($A286="","",INDEX($L$2:$L$5001,MATCH($A286,$A$2:$A$5001,0)))</f>
        <v/>
      </c>
      <c r="N286" s="48" t="str">
        <f aca="false">IF($A286="","",IF(N(M286)=0,"–",IF(M286&lt;=Start!$D$20,"A",IF(M286&lt;=Start!$D$21,"B","C"))))</f>
        <v/>
      </c>
      <c r="O286" s="48" t="str">
        <f aca="false">IF($A286="","",IF(NOT(ISNUMBER(F286)),"Wert fehlt; ",IF(F286&lt;=0,"Wert ist 0; ",""))&amp;IF(NOT(ISNUMBER(E286)),"Bestand fehlt; ",IF(E286&lt;0,"Bestand negativ; ",IF(E286=0,"Nullbestand; ","")))&amp;IF(D286="","Warengruppe fehlt; ","")&amp;IF(B286="","Bezeichnung fehlt; ","")&amp;IF(COUNTIFS($A$2:$A$5001,$A286,$C$2:$C$5001,C286)&gt;1,"Artikel doppelt im selben Lager; ",""))</f>
        <v/>
      </c>
      <c r="P286" s="47" t="n">
        <f aca="false">IF(OR($A286="",D286=""),0,IF(COUNTIF($D$2:D286,D286)=1,SUMIF($D$2:$D$5001,D286,$H$2:$H$5001)+ROW()/10000000,0))</f>
        <v>0</v>
      </c>
      <c r="Q286" s="47" t="n">
        <f aca="false">IF(OR($A286="",C286=""),0,IF(COUNTIF($C$2:C286,C286)=1,SUMIF($C$2:$C$5001,C286,$H$2:$H$5001)+ROW()/10000000,0))</f>
        <v>0</v>
      </c>
    </row>
    <row r="287" customFormat="false" ht="15" hidden="false" customHeight="false" outlineLevel="0" collapsed="false">
      <c r="A287" s="43"/>
      <c r="B287" s="44"/>
      <c r="C287" s="44"/>
      <c r="D287" s="44"/>
      <c r="E287" s="44"/>
      <c r="F287" s="44"/>
      <c r="G287" s="44"/>
      <c r="H287" s="46" t="str">
        <f aca="false">IF($A287="","",IF(OR(NOT(ISNUMBER(E287)),NOT(ISNUMBER(F287))),"",MAX(0,E287)*F287))</f>
        <v/>
      </c>
      <c r="I287" s="46" t="str">
        <f aca="false">IF($A287="","",SUMIF($A$2:$A$5001,$A287,$H$2:$H$5001))</f>
        <v/>
      </c>
      <c r="J287" s="47" t="n">
        <f aca="false">IF($A287="",0,IF(COUNTIF($A$2:A287,$A287)=1,1,0))</f>
        <v>0</v>
      </c>
      <c r="K287" s="47" t="n">
        <f aca="false">IF(J287=1,N(I287)+ROW()/10000000,0)</f>
        <v>0</v>
      </c>
      <c r="L287" s="47" t="str">
        <f aca="false">IF(AND(J287=1,N(I287)&gt;0),SUMIF($K$2:$K$5001,"&gt;="&amp;K287,$I$2:$I$5001)/MAX(1,SUM($H$2:$H$5001)),"")</f>
        <v/>
      </c>
      <c r="M287" s="47" t="str">
        <f aca="false">IF($A287="","",INDEX($L$2:$L$5001,MATCH($A287,$A$2:$A$5001,0)))</f>
        <v/>
      </c>
      <c r="N287" s="48" t="str">
        <f aca="false">IF($A287="","",IF(N(M287)=0,"–",IF(M287&lt;=Start!$D$20,"A",IF(M287&lt;=Start!$D$21,"B","C"))))</f>
        <v/>
      </c>
      <c r="O287" s="48" t="str">
        <f aca="false">IF($A287="","",IF(NOT(ISNUMBER(F287)),"Wert fehlt; ",IF(F287&lt;=0,"Wert ist 0; ",""))&amp;IF(NOT(ISNUMBER(E287)),"Bestand fehlt; ",IF(E287&lt;0,"Bestand negativ; ",IF(E287=0,"Nullbestand; ","")))&amp;IF(D287="","Warengruppe fehlt; ","")&amp;IF(B287="","Bezeichnung fehlt; ","")&amp;IF(COUNTIFS($A$2:$A$5001,$A287,$C$2:$C$5001,C287)&gt;1,"Artikel doppelt im selben Lager; ",""))</f>
        <v/>
      </c>
      <c r="P287" s="47" t="n">
        <f aca="false">IF(OR($A287="",D287=""),0,IF(COUNTIF($D$2:D287,D287)=1,SUMIF($D$2:$D$5001,D287,$H$2:$H$5001)+ROW()/10000000,0))</f>
        <v>0</v>
      </c>
      <c r="Q287" s="47" t="n">
        <f aca="false">IF(OR($A287="",C287=""),0,IF(COUNTIF($C$2:C287,C287)=1,SUMIF($C$2:$C$5001,C287,$H$2:$H$5001)+ROW()/10000000,0))</f>
        <v>0</v>
      </c>
    </row>
    <row r="288" customFormat="false" ht="15" hidden="false" customHeight="false" outlineLevel="0" collapsed="false">
      <c r="A288" s="43"/>
      <c r="B288" s="44"/>
      <c r="C288" s="44"/>
      <c r="D288" s="44"/>
      <c r="E288" s="44"/>
      <c r="F288" s="44"/>
      <c r="G288" s="44"/>
      <c r="H288" s="46" t="str">
        <f aca="false">IF($A288="","",IF(OR(NOT(ISNUMBER(E288)),NOT(ISNUMBER(F288))),"",MAX(0,E288)*F288))</f>
        <v/>
      </c>
      <c r="I288" s="46" t="str">
        <f aca="false">IF($A288="","",SUMIF($A$2:$A$5001,$A288,$H$2:$H$5001))</f>
        <v/>
      </c>
      <c r="J288" s="47" t="n">
        <f aca="false">IF($A288="",0,IF(COUNTIF($A$2:A288,$A288)=1,1,0))</f>
        <v>0</v>
      </c>
      <c r="K288" s="47" t="n">
        <f aca="false">IF(J288=1,N(I288)+ROW()/10000000,0)</f>
        <v>0</v>
      </c>
      <c r="L288" s="47" t="str">
        <f aca="false">IF(AND(J288=1,N(I288)&gt;0),SUMIF($K$2:$K$5001,"&gt;="&amp;K288,$I$2:$I$5001)/MAX(1,SUM($H$2:$H$5001)),"")</f>
        <v/>
      </c>
      <c r="M288" s="47" t="str">
        <f aca="false">IF($A288="","",INDEX($L$2:$L$5001,MATCH($A288,$A$2:$A$5001,0)))</f>
        <v/>
      </c>
      <c r="N288" s="48" t="str">
        <f aca="false">IF($A288="","",IF(N(M288)=0,"–",IF(M288&lt;=Start!$D$20,"A",IF(M288&lt;=Start!$D$21,"B","C"))))</f>
        <v/>
      </c>
      <c r="O288" s="48" t="str">
        <f aca="false">IF($A288="","",IF(NOT(ISNUMBER(F288)),"Wert fehlt; ",IF(F288&lt;=0,"Wert ist 0; ",""))&amp;IF(NOT(ISNUMBER(E288)),"Bestand fehlt; ",IF(E288&lt;0,"Bestand negativ; ",IF(E288=0,"Nullbestand; ","")))&amp;IF(D288="","Warengruppe fehlt; ","")&amp;IF(B288="","Bezeichnung fehlt; ","")&amp;IF(COUNTIFS($A$2:$A$5001,$A288,$C$2:$C$5001,C288)&gt;1,"Artikel doppelt im selben Lager; ",""))</f>
        <v/>
      </c>
      <c r="P288" s="47" t="n">
        <f aca="false">IF(OR($A288="",D288=""),0,IF(COUNTIF($D$2:D288,D288)=1,SUMIF($D$2:$D$5001,D288,$H$2:$H$5001)+ROW()/10000000,0))</f>
        <v>0</v>
      </c>
      <c r="Q288" s="47" t="n">
        <f aca="false">IF(OR($A288="",C288=""),0,IF(COUNTIF($C$2:C288,C288)=1,SUMIF($C$2:$C$5001,C288,$H$2:$H$5001)+ROW()/10000000,0))</f>
        <v>0</v>
      </c>
    </row>
    <row r="289" customFormat="false" ht="15" hidden="false" customHeight="false" outlineLevel="0" collapsed="false">
      <c r="A289" s="43"/>
      <c r="B289" s="44"/>
      <c r="C289" s="44"/>
      <c r="D289" s="44"/>
      <c r="E289" s="44"/>
      <c r="F289" s="44"/>
      <c r="G289" s="44"/>
      <c r="H289" s="46" t="str">
        <f aca="false">IF($A289="","",IF(OR(NOT(ISNUMBER(E289)),NOT(ISNUMBER(F289))),"",MAX(0,E289)*F289))</f>
        <v/>
      </c>
      <c r="I289" s="46" t="str">
        <f aca="false">IF($A289="","",SUMIF($A$2:$A$5001,$A289,$H$2:$H$5001))</f>
        <v/>
      </c>
      <c r="J289" s="47" t="n">
        <f aca="false">IF($A289="",0,IF(COUNTIF($A$2:A289,$A289)=1,1,0))</f>
        <v>0</v>
      </c>
      <c r="K289" s="47" t="n">
        <f aca="false">IF(J289=1,N(I289)+ROW()/10000000,0)</f>
        <v>0</v>
      </c>
      <c r="L289" s="47" t="str">
        <f aca="false">IF(AND(J289=1,N(I289)&gt;0),SUMIF($K$2:$K$5001,"&gt;="&amp;K289,$I$2:$I$5001)/MAX(1,SUM($H$2:$H$5001)),"")</f>
        <v/>
      </c>
      <c r="M289" s="47" t="str">
        <f aca="false">IF($A289="","",INDEX($L$2:$L$5001,MATCH($A289,$A$2:$A$5001,0)))</f>
        <v/>
      </c>
      <c r="N289" s="48" t="str">
        <f aca="false">IF($A289="","",IF(N(M289)=0,"–",IF(M289&lt;=Start!$D$20,"A",IF(M289&lt;=Start!$D$21,"B","C"))))</f>
        <v/>
      </c>
      <c r="O289" s="48" t="str">
        <f aca="false">IF($A289="","",IF(NOT(ISNUMBER(F289)),"Wert fehlt; ",IF(F289&lt;=0,"Wert ist 0; ",""))&amp;IF(NOT(ISNUMBER(E289)),"Bestand fehlt; ",IF(E289&lt;0,"Bestand negativ; ",IF(E289=0,"Nullbestand; ","")))&amp;IF(D289="","Warengruppe fehlt; ","")&amp;IF(B289="","Bezeichnung fehlt; ","")&amp;IF(COUNTIFS($A$2:$A$5001,$A289,$C$2:$C$5001,C289)&gt;1,"Artikel doppelt im selben Lager; ",""))</f>
        <v/>
      </c>
      <c r="P289" s="47" t="n">
        <f aca="false">IF(OR($A289="",D289=""),0,IF(COUNTIF($D$2:D289,D289)=1,SUMIF($D$2:$D$5001,D289,$H$2:$H$5001)+ROW()/10000000,0))</f>
        <v>0</v>
      </c>
      <c r="Q289" s="47" t="n">
        <f aca="false">IF(OR($A289="",C289=""),0,IF(COUNTIF($C$2:C289,C289)=1,SUMIF($C$2:$C$5001,C289,$H$2:$H$5001)+ROW()/10000000,0))</f>
        <v>0</v>
      </c>
    </row>
    <row r="290" customFormat="false" ht="15" hidden="false" customHeight="false" outlineLevel="0" collapsed="false">
      <c r="A290" s="43"/>
      <c r="B290" s="44"/>
      <c r="C290" s="44"/>
      <c r="D290" s="44"/>
      <c r="E290" s="44"/>
      <c r="F290" s="44"/>
      <c r="G290" s="44"/>
      <c r="H290" s="46" t="str">
        <f aca="false">IF($A290="","",IF(OR(NOT(ISNUMBER(E290)),NOT(ISNUMBER(F290))),"",MAX(0,E290)*F290))</f>
        <v/>
      </c>
      <c r="I290" s="46" t="str">
        <f aca="false">IF($A290="","",SUMIF($A$2:$A$5001,$A290,$H$2:$H$5001))</f>
        <v/>
      </c>
      <c r="J290" s="47" t="n">
        <f aca="false">IF($A290="",0,IF(COUNTIF($A$2:A290,$A290)=1,1,0))</f>
        <v>0</v>
      </c>
      <c r="K290" s="47" t="n">
        <f aca="false">IF(J290=1,N(I290)+ROW()/10000000,0)</f>
        <v>0</v>
      </c>
      <c r="L290" s="47" t="str">
        <f aca="false">IF(AND(J290=1,N(I290)&gt;0),SUMIF($K$2:$K$5001,"&gt;="&amp;K290,$I$2:$I$5001)/MAX(1,SUM($H$2:$H$5001)),"")</f>
        <v/>
      </c>
      <c r="M290" s="47" t="str">
        <f aca="false">IF($A290="","",INDEX($L$2:$L$5001,MATCH($A290,$A$2:$A$5001,0)))</f>
        <v/>
      </c>
      <c r="N290" s="48" t="str">
        <f aca="false">IF($A290="","",IF(N(M290)=0,"–",IF(M290&lt;=Start!$D$20,"A",IF(M290&lt;=Start!$D$21,"B","C"))))</f>
        <v/>
      </c>
      <c r="O290" s="48" t="str">
        <f aca="false">IF($A290="","",IF(NOT(ISNUMBER(F290)),"Wert fehlt; ",IF(F290&lt;=0,"Wert ist 0; ",""))&amp;IF(NOT(ISNUMBER(E290)),"Bestand fehlt; ",IF(E290&lt;0,"Bestand negativ; ",IF(E290=0,"Nullbestand; ","")))&amp;IF(D290="","Warengruppe fehlt; ","")&amp;IF(B290="","Bezeichnung fehlt; ","")&amp;IF(COUNTIFS($A$2:$A$5001,$A290,$C$2:$C$5001,C290)&gt;1,"Artikel doppelt im selben Lager; ",""))</f>
        <v/>
      </c>
      <c r="P290" s="47" t="n">
        <f aca="false">IF(OR($A290="",D290=""),0,IF(COUNTIF($D$2:D290,D290)=1,SUMIF($D$2:$D$5001,D290,$H$2:$H$5001)+ROW()/10000000,0))</f>
        <v>0</v>
      </c>
      <c r="Q290" s="47" t="n">
        <f aca="false">IF(OR($A290="",C290=""),0,IF(COUNTIF($C$2:C290,C290)=1,SUMIF($C$2:$C$5001,C290,$H$2:$H$5001)+ROW()/10000000,0))</f>
        <v>0</v>
      </c>
    </row>
    <row r="291" customFormat="false" ht="15" hidden="false" customHeight="false" outlineLevel="0" collapsed="false">
      <c r="A291" s="43"/>
      <c r="B291" s="44"/>
      <c r="C291" s="44"/>
      <c r="D291" s="44"/>
      <c r="E291" s="44"/>
      <c r="F291" s="44"/>
      <c r="G291" s="44"/>
      <c r="H291" s="46" t="str">
        <f aca="false">IF($A291="","",IF(OR(NOT(ISNUMBER(E291)),NOT(ISNUMBER(F291))),"",MAX(0,E291)*F291))</f>
        <v/>
      </c>
      <c r="I291" s="46" t="str">
        <f aca="false">IF($A291="","",SUMIF($A$2:$A$5001,$A291,$H$2:$H$5001))</f>
        <v/>
      </c>
      <c r="J291" s="47" t="n">
        <f aca="false">IF($A291="",0,IF(COUNTIF($A$2:A291,$A291)=1,1,0))</f>
        <v>0</v>
      </c>
      <c r="K291" s="47" t="n">
        <f aca="false">IF(J291=1,N(I291)+ROW()/10000000,0)</f>
        <v>0</v>
      </c>
      <c r="L291" s="47" t="str">
        <f aca="false">IF(AND(J291=1,N(I291)&gt;0),SUMIF($K$2:$K$5001,"&gt;="&amp;K291,$I$2:$I$5001)/MAX(1,SUM($H$2:$H$5001)),"")</f>
        <v/>
      </c>
      <c r="M291" s="47" t="str">
        <f aca="false">IF($A291="","",INDEX($L$2:$L$5001,MATCH($A291,$A$2:$A$5001,0)))</f>
        <v/>
      </c>
      <c r="N291" s="48" t="str">
        <f aca="false">IF($A291="","",IF(N(M291)=0,"–",IF(M291&lt;=Start!$D$20,"A",IF(M291&lt;=Start!$D$21,"B","C"))))</f>
        <v/>
      </c>
      <c r="O291" s="48" t="str">
        <f aca="false">IF($A291="","",IF(NOT(ISNUMBER(F291)),"Wert fehlt; ",IF(F291&lt;=0,"Wert ist 0; ",""))&amp;IF(NOT(ISNUMBER(E291)),"Bestand fehlt; ",IF(E291&lt;0,"Bestand negativ; ",IF(E291=0,"Nullbestand; ","")))&amp;IF(D291="","Warengruppe fehlt; ","")&amp;IF(B291="","Bezeichnung fehlt; ","")&amp;IF(COUNTIFS($A$2:$A$5001,$A291,$C$2:$C$5001,C291)&gt;1,"Artikel doppelt im selben Lager; ",""))</f>
        <v/>
      </c>
      <c r="P291" s="47" t="n">
        <f aca="false">IF(OR($A291="",D291=""),0,IF(COUNTIF($D$2:D291,D291)=1,SUMIF($D$2:$D$5001,D291,$H$2:$H$5001)+ROW()/10000000,0))</f>
        <v>0</v>
      </c>
      <c r="Q291" s="47" t="n">
        <f aca="false">IF(OR($A291="",C291=""),0,IF(COUNTIF($C$2:C291,C291)=1,SUMIF($C$2:$C$5001,C291,$H$2:$H$5001)+ROW()/10000000,0))</f>
        <v>0</v>
      </c>
    </row>
    <row r="292" customFormat="false" ht="15" hidden="false" customHeight="false" outlineLevel="0" collapsed="false">
      <c r="A292" s="43"/>
      <c r="B292" s="44"/>
      <c r="C292" s="44"/>
      <c r="D292" s="44"/>
      <c r="E292" s="44"/>
      <c r="F292" s="44"/>
      <c r="G292" s="44"/>
      <c r="H292" s="46" t="str">
        <f aca="false">IF($A292="","",IF(OR(NOT(ISNUMBER(E292)),NOT(ISNUMBER(F292))),"",MAX(0,E292)*F292))</f>
        <v/>
      </c>
      <c r="I292" s="46" t="str">
        <f aca="false">IF($A292="","",SUMIF($A$2:$A$5001,$A292,$H$2:$H$5001))</f>
        <v/>
      </c>
      <c r="J292" s="47" t="n">
        <f aca="false">IF($A292="",0,IF(COUNTIF($A$2:A292,$A292)=1,1,0))</f>
        <v>0</v>
      </c>
      <c r="K292" s="47" t="n">
        <f aca="false">IF(J292=1,N(I292)+ROW()/10000000,0)</f>
        <v>0</v>
      </c>
      <c r="L292" s="47" t="str">
        <f aca="false">IF(AND(J292=1,N(I292)&gt;0),SUMIF($K$2:$K$5001,"&gt;="&amp;K292,$I$2:$I$5001)/MAX(1,SUM($H$2:$H$5001)),"")</f>
        <v/>
      </c>
      <c r="M292" s="47" t="str">
        <f aca="false">IF($A292="","",INDEX($L$2:$L$5001,MATCH($A292,$A$2:$A$5001,0)))</f>
        <v/>
      </c>
      <c r="N292" s="48" t="str">
        <f aca="false">IF($A292="","",IF(N(M292)=0,"–",IF(M292&lt;=Start!$D$20,"A",IF(M292&lt;=Start!$D$21,"B","C"))))</f>
        <v/>
      </c>
      <c r="O292" s="48" t="str">
        <f aca="false">IF($A292="","",IF(NOT(ISNUMBER(F292)),"Wert fehlt; ",IF(F292&lt;=0,"Wert ist 0; ",""))&amp;IF(NOT(ISNUMBER(E292)),"Bestand fehlt; ",IF(E292&lt;0,"Bestand negativ; ",IF(E292=0,"Nullbestand; ","")))&amp;IF(D292="","Warengruppe fehlt; ","")&amp;IF(B292="","Bezeichnung fehlt; ","")&amp;IF(COUNTIFS($A$2:$A$5001,$A292,$C$2:$C$5001,C292)&gt;1,"Artikel doppelt im selben Lager; ",""))</f>
        <v/>
      </c>
      <c r="P292" s="47" t="n">
        <f aca="false">IF(OR($A292="",D292=""),0,IF(COUNTIF($D$2:D292,D292)=1,SUMIF($D$2:$D$5001,D292,$H$2:$H$5001)+ROW()/10000000,0))</f>
        <v>0</v>
      </c>
      <c r="Q292" s="47" t="n">
        <f aca="false">IF(OR($A292="",C292=""),0,IF(COUNTIF($C$2:C292,C292)=1,SUMIF($C$2:$C$5001,C292,$H$2:$H$5001)+ROW()/10000000,0))</f>
        <v>0</v>
      </c>
    </row>
    <row r="293" customFormat="false" ht="15" hidden="false" customHeight="false" outlineLevel="0" collapsed="false">
      <c r="A293" s="43"/>
      <c r="B293" s="44"/>
      <c r="C293" s="44"/>
      <c r="D293" s="44"/>
      <c r="E293" s="44"/>
      <c r="F293" s="44"/>
      <c r="G293" s="44"/>
      <c r="H293" s="46" t="str">
        <f aca="false">IF($A293="","",IF(OR(NOT(ISNUMBER(E293)),NOT(ISNUMBER(F293))),"",MAX(0,E293)*F293))</f>
        <v/>
      </c>
      <c r="I293" s="46" t="str">
        <f aca="false">IF($A293="","",SUMIF($A$2:$A$5001,$A293,$H$2:$H$5001))</f>
        <v/>
      </c>
      <c r="J293" s="47" t="n">
        <f aca="false">IF($A293="",0,IF(COUNTIF($A$2:A293,$A293)=1,1,0))</f>
        <v>0</v>
      </c>
      <c r="K293" s="47" t="n">
        <f aca="false">IF(J293=1,N(I293)+ROW()/10000000,0)</f>
        <v>0</v>
      </c>
      <c r="L293" s="47" t="str">
        <f aca="false">IF(AND(J293=1,N(I293)&gt;0),SUMIF($K$2:$K$5001,"&gt;="&amp;K293,$I$2:$I$5001)/MAX(1,SUM($H$2:$H$5001)),"")</f>
        <v/>
      </c>
      <c r="M293" s="47" t="str">
        <f aca="false">IF($A293="","",INDEX($L$2:$L$5001,MATCH($A293,$A$2:$A$5001,0)))</f>
        <v/>
      </c>
      <c r="N293" s="48" t="str">
        <f aca="false">IF($A293="","",IF(N(M293)=0,"–",IF(M293&lt;=Start!$D$20,"A",IF(M293&lt;=Start!$D$21,"B","C"))))</f>
        <v/>
      </c>
      <c r="O293" s="48" t="str">
        <f aca="false">IF($A293="","",IF(NOT(ISNUMBER(F293)),"Wert fehlt; ",IF(F293&lt;=0,"Wert ist 0; ",""))&amp;IF(NOT(ISNUMBER(E293)),"Bestand fehlt; ",IF(E293&lt;0,"Bestand negativ; ",IF(E293=0,"Nullbestand; ","")))&amp;IF(D293="","Warengruppe fehlt; ","")&amp;IF(B293="","Bezeichnung fehlt; ","")&amp;IF(COUNTIFS($A$2:$A$5001,$A293,$C$2:$C$5001,C293)&gt;1,"Artikel doppelt im selben Lager; ",""))</f>
        <v/>
      </c>
      <c r="P293" s="47" t="n">
        <f aca="false">IF(OR($A293="",D293=""),0,IF(COUNTIF($D$2:D293,D293)=1,SUMIF($D$2:$D$5001,D293,$H$2:$H$5001)+ROW()/10000000,0))</f>
        <v>0</v>
      </c>
      <c r="Q293" s="47" t="n">
        <f aca="false">IF(OR($A293="",C293=""),0,IF(COUNTIF($C$2:C293,C293)=1,SUMIF($C$2:$C$5001,C293,$H$2:$H$5001)+ROW()/10000000,0))</f>
        <v>0</v>
      </c>
    </row>
    <row r="294" customFormat="false" ht="15" hidden="false" customHeight="false" outlineLevel="0" collapsed="false">
      <c r="A294" s="43"/>
      <c r="B294" s="44"/>
      <c r="C294" s="44"/>
      <c r="D294" s="44"/>
      <c r="E294" s="44"/>
      <c r="F294" s="44"/>
      <c r="G294" s="44"/>
      <c r="H294" s="46" t="str">
        <f aca="false">IF($A294="","",IF(OR(NOT(ISNUMBER(E294)),NOT(ISNUMBER(F294))),"",MAX(0,E294)*F294))</f>
        <v/>
      </c>
      <c r="I294" s="46" t="str">
        <f aca="false">IF($A294="","",SUMIF($A$2:$A$5001,$A294,$H$2:$H$5001))</f>
        <v/>
      </c>
      <c r="J294" s="47" t="n">
        <f aca="false">IF($A294="",0,IF(COUNTIF($A$2:A294,$A294)=1,1,0))</f>
        <v>0</v>
      </c>
      <c r="K294" s="47" t="n">
        <f aca="false">IF(J294=1,N(I294)+ROW()/10000000,0)</f>
        <v>0</v>
      </c>
      <c r="L294" s="47" t="str">
        <f aca="false">IF(AND(J294=1,N(I294)&gt;0),SUMIF($K$2:$K$5001,"&gt;="&amp;K294,$I$2:$I$5001)/MAX(1,SUM($H$2:$H$5001)),"")</f>
        <v/>
      </c>
      <c r="M294" s="47" t="str">
        <f aca="false">IF($A294="","",INDEX($L$2:$L$5001,MATCH($A294,$A$2:$A$5001,0)))</f>
        <v/>
      </c>
      <c r="N294" s="48" t="str">
        <f aca="false">IF($A294="","",IF(N(M294)=0,"–",IF(M294&lt;=Start!$D$20,"A",IF(M294&lt;=Start!$D$21,"B","C"))))</f>
        <v/>
      </c>
      <c r="O294" s="48" t="str">
        <f aca="false">IF($A294="","",IF(NOT(ISNUMBER(F294)),"Wert fehlt; ",IF(F294&lt;=0,"Wert ist 0; ",""))&amp;IF(NOT(ISNUMBER(E294)),"Bestand fehlt; ",IF(E294&lt;0,"Bestand negativ; ",IF(E294=0,"Nullbestand; ","")))&amp;IF(D294="","Warengruppe fehlt; ","")&amp;IF(B294="","Bezeichnung fehlt; ","")&amp;IF(COUNTIFS($A$2:$A$5001,$A294,$C$2:$C$5001,C294)&gt;1,"Artikel doppelt im selben Lager; ",""))</f>
        <v/>
      </c>
      <c r="P294" s="47" t="n">
        <f aca="false">IF(OR($A294="",D294=""),0,IF(COUNTIF($D$2:D294,D294)=1,SUMIF($D$2:$D$5001,D294,$H$2:$H$5001)+ROW()/10000000,0))</f>
        <v>0</v>
      </c>
      <c r="Q294" s="47" t="n">
        <f aca="false">IF(OR($A294="",C294=""),0,IF(COUNTIF($C$2:C294,C294)=1,SUMIF($C$2:$C$5001,C294,$H$2:$H$5001)+ROW()/10000000,0))</f>
        <v>0</v>
      </c>
    </row>
    <row r="295" customFormat="false" ht="15" hidden="false" customHeight="false" outlineLevel="0" collapsed="false">
      <c r="A295" s="43"/>
      <c r="B295" s="44"/>
      <c r="C295" s="44"/>
      <c r="D295" s="44"/>
      <c r="E295" s="44"/>
      <c r="F295" s="44"/>
      <c r="G295" s="44"/>
      <c r="H295" s="46" t="str">
        <f aca="false">IF($A295="","",IF(OR(NOT(ISNUMBER(E295)),NOT(ISNUMBER(F295))),"",MAX(0,E295)*F295))</f>
        <v/>
      </c>
      <c r="I295" s="46" t="str">
        <f aca="false">IF($A295="","",SUMIF($A$2:$A$5001,$A295,$H$2:$H$5001))</f>
        <v/>
      </c>
      <c r="J295" s="47" t="n">
        <f aca="false">IF($A295="",0,IF(COUNTIF($A$2:A295,$A295)=1,1,0))</f>
        <v>0</v>
      </c>
      <c r="K295" s="47" t="n">
        <f aca="false">IF(J295=1,N(I295)+ROW()/10000000,0)</f>
        <v>0</v>
      </c>
      <c r="L295" s="47" t="str">
        <f aca="false">IF(AND(J295=1,N(I295)&gt;0),SUMIF($K$2:$K$5001,"&gt;="&amp;K295,$I$2:$I$5001)/MAX(1,SUM($H$2:$H$5001)),"")</f>
        <v/>
      </c>
      <c r="M295" s="47" t="str">
        <f aca="false">IF($A295="","",INDEX($L$2:$L$5001,MATCH($A295,$A$2:$A$5001,0)))</f>
        <v/>
      </c>
      <c r="N295" s="48" t="str">
        <f aca="false">IF($A295="","",IF(N(M295)=0,"–",IF(M295&lt;=Start!$D$20,"A",IF(M295&lt;=Start!$D$21,"B","C"))))</f>
        <v/>
      </c>
      <c r="O295" s="48" t="str">
        <f aca="false">IF($A295="","",IF(NOT(ISNUMBER(F295)),"Wert fehlt; ",IF(F295&lt;=0,"Wert ist 0; ",""))&amp;IF(NOT(ISNUMBER(E295)),"Bestand fehlt; ",IF(E295&lt;0,"Bestand negativ; ",IF(E295=0,"Nullbestand; ","")))&amp;IF(D295="","Warengruppe fehlt; ","")&amp;IF(B295="","Bezeichnung fehlt; ","")&amp;IF(COUNTIFS($A$2:$A$5001,$A295,$C$2:$C$5001,C295)&gt;1,"Artikel doppelt im selben Lager; ",""))</f>
        <v/>
      </c>
      <c r="P295" s="47" t="n">
        <f aca="false">IF(OR($A295="",D295=""),0,IF(COUNTIF($D$2:D295,D295)=1,SUMIF($D$2:$D$5001,D295,$H$2:$H$5001)+ROW()/10000000,0))</f>
        <v>0</v>
      </c>
      <c r="Q295" s="47" t="n">
        <f aca="false">IF(OR($A295="",C295=""),0,IF(COUNTIF($C$2:C295,C295)=1,SUMIF($C$2:$C$5001,C295,$H$2:$H$5001)+ROW()/10000000,0))</f>
        <v>0</v>
      </c>
    </row>
    <row r="296" customFormat="false" ht="15" hidden="false" customHeight="false" outlineLevel="0" collapsed="false">
      <c r="A296" s="43"/>
      <c r="B296" s="44"/>
      <c r="C296" s="44"/>
      <c r="D296" s="44"/>
      <c r="E296" s="44"/>
      <c r="F296" s="44"/>
      <c r="G296" s="44"/>
      <c r="H296" s="46" t="str">
        <f aca="false">IF($A296="","",IF(OR(NOT(ISNUMBER(E296)),NOT(ISNUMBER(F296))),"",MAX(0,E296)*F296))</f>
        <v/>
      </c>
      <c r="I296" s="46" t="str">
        <f aca="false">IF($A296="","",SUMIF($A$2:$A$5001,$A296,$H$2:$H$5001))</f>
        <v/>
      </c>
      <c r="J296" s="47" t="n">
        <f aca="false">IF($A296="",0,IF(COUNTIF($A$2:A296,$A296)=1,1,0))</f>
        <v>0</v>
      </c>
      <c r="K296" s="47" t="n">
        <f aca="false">IF(J296=1,N(I296)+ROW()/10000000,0)</f>
        <v>0</v>
      </c>
      <c r="L296" s="47" t="str">
        <f aca="false">IF(AND(J296=1,N(I296)&gt;0),SUMIF($K$2:$K$5001,"&gt;="&amp;K296,$I$2:$I$5001)/MAX(1,SUM($H$2:$H$5001)),"")</f>
        <v/>
      </c>
      <c r="M296" s="47" t="str">
        <f aca="false">IF($A296="","",INDEX($L$2:$L$5001,MATCH($A296,$A$2:$A$5001,0)))</f>
        <v/>
      </c>
      <c r="N296" s="48" t="str">
        <f aca="false">IF($A296="","",IF(N(M296)=0,"–",IF(M296&lt;=Start!$D$20,"A",IF(M296&lt;=Start!$D$21,"B","C"))))</f>
        <v/>
      </c>
      <c r="O296" s="48" t="str">
        <f aca="false">IF($A296="","",IF(NOT(ISNUMBER(F296)),"Wert fehlt; ",IF(F296&lt;=0,"Wert ist 0; ",""))&amp;IF(NOT(ISNUMBER(E296)),"Bestand fehlt; ",IF(E296&lt;0,"Bestand negativ; ",IF(E296=0,"Nullbestand; ","")))&amp;IF(D296="","Warengruppe fehlt; ","")&amp;IF(B296="","Bezeichnung fehlt; ","")&amp;IF(COUNTIFS($A$2:$A$5001,$A296,$C$2:$C$5001,C296)&gt;1,"Artikel doppelt im selben Lager; ",""))</f>
        <v/>
      </c>
      <c r="P296" s="47" t="n">
        <f aca="false">IF(OR($A296="",D296=""),0,IF(COUNTIF($D$2:D296,D296)=1,SUMIF($D$2:$D$5001,D296,$H$2:$H$5001)+ROW()/10000000,0))</f>
        <v>0</v>
      </c>
      <c r="Q296" s="47" t="n">
        <f aca="false">IF(OR($A296="",C296=""),0,IF(COUNTIF($C$2:C296,C296)=1,SUMIF($C$2:$C$5001,C296,$H$2:$H$5001)+ROW()/10000000,0))</f>
        <v>0</v>
      </c>
    </row>
    <row r="297" customFormat="false" ht="15" hidden="false" customHeight="false" outlineLevel="0" collapsed="false">
      <c r="A297" s="43"/>
      <c r="B297" s="44"/>
      <c r="C297" s="44"/>
      <c r="D297" s="44"/>
      <c r="E297" s="44"/>
      <c r="F297" s="44"/>
      <c r="G297" s="44"/>
      <c r="H297" s="46" t="str">
        <f aca="false">IF($A297="","",IF(OR(NOT(ISNUMBER(E297)),NOT(ISNUMBER(F297))),"",MAX(0,E297)*F297))</f>
        <v/>
      </c>
      <c r="I297" s="46" t="str">
        <f aca="false">IF($A297="","",SUMIF($A$2:$A$5001,$A297,$H$2:$H$5001))</f>
        <v/>
      </c>
      <c r="J297" s="47" t="n">
        <f aca="false">IF($A297="",0,IF(COUNTIF($A$2:A297,$A297)=1,1,0))</f>
        <v>0</v>
      </c>
      <c r="K297" s="47" t="n">
        <f aca="false">IF(J297=1,N(I297)+ROW()/10000000,0)</f>
        <v>0</v>
      </c>
      <c r="L297" s="47" t="str">
        <f aca="false">IF(AND(J297=1,N(I297)&gt;0),SUMIF($K$2:$K$5001,"&gt;="&amp;K297,$I$2:$I$5001)/MAX(1,SUM($H$2:$H$5001)),"")</f>
        <v/>
      </c>
      <c r="M297" s="47" t="str">
        <f aca="false">IF($A297="","",INDEX($L$2:$L$5001,MATCH($A297,$A$2:$A$5001,0)))</f>
        <v/>
      </c>
      <c r="N297" s="48" t="str">
        <f aca="false">IF($A297="","",IF(N(M297)=0,"–",IF(M297&lt;=Start!$D$20,"A",IF(M297&lt;=Start!$D$21,"B","C"))))</f>
        <v/>
      </c>
      <c r="O297" s="48" t="str">
        <f aca="false">IF($A297="","",IF(NOT(ISNUMBER(F297)),"Wert fehlt; ",IF(F297&lt;=0,"Wert ist 0; ",""))&amp;IF(NOT(ISNUMBER(E297)),"Bestand fehlt; ",IF(E297&lt;0,"Bestand negativ; ",IF(E297=0,"Nullbestand; ","")))&amp;IF(D297="","Warengruppe fehlt; ","")&amp;IF(B297="","Bezeichnung fehlt; ","")&amp;IF(COUNTIFS($A$2:$A$5001,$A297,$C$2:$C$5001,C297)&gt;1,"Artikel doppelt im selben Lager; ",""))</f>
        <v/>
      </c>
      <c r="P297" s="47" t="n">
        <f aca="false">IF(OR($A297="",D297=""),0,IF(COUNTIF($D$2:D297,D297)=1,SUMIF($D$2:$D$5001,D297,$H$2:$H$5001)+ROW()/10000000,0))</f>
        <v>0</v>
      </c>
      <c r="Q297" s="47" t="n">
        <f aca="false">IF(OR($A297="",C297=""),0,IF(COUNTIF($C$2:C297,C297)=1,SUMIF($C$2:$C$5001,C297,$H$2:$H$5001)+ROW()/10000000,0))</f>
        <v>0</v>
      </c>
    </row>
    <row r="298" customFormat="false" ht="15" hidden="false" customHeight="false" outlineLevel="0" collapsed="false">
      <c r="A298" s="43"/>
      <c r="B298" s="44"/>
      <c r="C298" s="44"/>
      <c r="D298" s="44"/>
      <c r="E298" s="44"/>
      <c r="F298" s="44"/>
      <c r="G298" s="44"/>
      <c r="H298" s="46" t="str">
        <f aca="false">IF($A298="","",IF(OR(NOT(ISNUMBER(E298)),NOT(ISNUMBER(F298))),"",MAX(0,E298)*F298))</f>
        <v/>
      </c>
      <c r="I298" s="46" t="str">
        <f aca="false">IF($A298="","",SUMIF($A$2:$A$5001,$A298,$H$2:$H$5001))</f>
        <v/>
      </c>
      <c r="J298" s="47" t="n">
        <f aca="false">IF($A298="",0,IF(COUNTIF($A$2:A298,$A298)=1,1,0))</f>
        <v>0</v>
      </c>
      <c r="K298" s="47" t="n">
        <f aca="false">IF(J298=1,N(I298)+ROW()/10000000,0)</f>
        <v>0</v>
      </c>
      <c r="L298" s="47" t="str">
        <f aca="false">IF(AND(J298=1,N(I298)&gt;0),SUMIF($K$2:$K$5001,"&gt;="&amp;K298,$I$2:$I$5001)/MAX(1,SUM($H$2:$H$5001)),"")</f>
        <v/>
      </c>
      <c r="M298" s="47" t="str">
        <f aca="false">IF($A298="","",INDEX($L$2:$L$5001,MATCH($A298,$A$2:$A$5001,0)))</f>
        <v/>
      </c>
      <c r="N298" s="48" t="str">
        <f aca="false">IF($A298="","",IF(N(M298)=0,"–",IF(M298&lt;=Start!$D$20,"A",IF(M298&lt;=Start!$D$21,"B","C"))))</f>
        <v/>
      </c>
      <c r="O298" s="48" t="str">
        <f aca="false">IF($A298="","",IF(NOT(ISNUMBER(F298)),"Wert fehlt; ",IF(F298&lt;=0,"Wert ist 0; ",""))&amp;IF(NOT(ISNUMBER(E298)),"Bestand fehlt; ",IF(E298&lt;0,"Bestand negativ; ",IF(E298=0,"Nullbestand; ","")))&amp;IF(D298="","Warengruppe fehlt; ","")&amp;IF(B298="","Bezeichnung fehlt; ","")&amp;IF(COUNTIFS($A$2:$A$5001,$A298,$C$2:$C$5001,C298)&gt;1,"Artikel doppelt im selben Lager; ",""))</f>
        <v/>
      </c>
      <c r="P298" s="47" t="n">
        <f aca="false">IF(OR($A298="",D298=""),0,IF(COUNTIF($D$2:D298,D298)=1,SUMIF($D$2:$D$5001,D298,$H$2:$H$5001)+ROW()/10000000,0))</f>
        <v>0</v>
      </c>
      <c r="Q298" s="47" t="n">
        <f aca="false">IF(OR($A298="",C298=""),0,IF(COUNTIF($C$2:C298,C298)=1,SUMIF($C$2:$C$5001,C298,$H$2:$H$5001)+ROW()/10000000,0))</f>
        <v>0</v>
      </c>
    </row>
    <row r="299" customFormat="false" ht="15" hidden="false" customHeight="false" outlineLevel="0" collapsed="false">
      <c r="A299" s="43"/>
      <c r="B299" s="44"/>
      <c r="C299" s="44"/>
      <c r="D299" s="44"/>
      <c r="E299" s="44"/>
      <c r="F299" s="44"/>
      <c r="G299" s="44"/>
      <c r="H299" s="46" t="str">
        <f aca="false">IF($A299="","",IF(OR(NOT(ISNUMBER(E299)),NOT(ISNUMBER(F299))),"",MAX(0,E299)*F299))</f>
        <v/>
      </c>
      <c r="I299" s="46" t="str">
        <f aca="false">IF($A299="","",SUMIF($A$2:$A$5001,$A299,$H$2:$H$5001))</f>
        <v/>
      </c>
      <c r="J299" s="47" t="n">
        <f aca="false">IF($A299="",0,IF(COUNTIF($A$2:A299,$A299)=1,1,0))</f>
        <v>0</v>
      </c>
      <c r="K299" s="47" t="n">
        <f aca="false">IF(J299=1,N(I299)+ROW()/10000000,0)</f>
        <v>0</v>
      </c>
      <c r="L299" s="47" t="str">
        <f aca="false">IF(AND(J299=1,N(I299)&gt;0),SUMIF($K$2:$K$5001,"&gt;="&amp;K299,$I$2:$I$5001)/MAX(1,SUM($H$2:$H$5001)),"")</f>
        <v/>
      </c>
      <c r="M299" s="47" t="str">
        <f aca="false">IF($A299="","",INDEX($L$2:$L$5001,MATCH($A299,$A$2:$A$5001,0)))</f>
        <v/>
      </c>
      <c r="N299" s="48" t="str">
        <f aca="false">IF($A299="","",IF(N(M299)=0,"–",IF(M299&lt;=Start!$D$20,"A",IF(M299&lt;=Start!$D$21,"B","C"))))</f>
        <v/>
      </c>
      <c r="O299" s="48" t="str">
        <f aca="false">IF($A299="","",IF(NOT(ISNUMBER(F299)),"Wert fehlt; ",IF(F299&lt;=0,"Wert ist 0; ",""))&amp;IF(NOT(ISNUMBER(E299)),"Bestand fehlt; ",IF(E299&lt;0,"Bestand negativ; ",IF(E299=0,"Nullbestand; ","")))&amp;IF(D299="","Warengruppe fehlt; ","")&amp;IF(B299="","Bezeichnung fehlt; ","")&amp;IF(COUNTIFS($A$2:$A$5001,$A299,$C$2:$C$5001,C299)&gt;1,"Artikel doppelt im selben Lager; ",""))</f>
        <v/>
      </c>
      <c r="P299" s="47" t="n">
        <f aca="false">IF(OR($A299="",D299=""),0,IF(COUNTIF($D$2:D299,D299)=1,SUMIF($D$2:$D$5001,D299,$H$2:$H$5001)+ROW()/10000000,0))</f>
        <v>0</v>
      </c>
      <c r="Q299" s="47" t="n">
        <f aca="false">IF(OR($A299="",C299=""),0,IF(COUNTIF($C$2:C299,C299)=1,SUMIF($C$2:$C$5001,C299,$H$2:$H$5001)+ROW()/10000000,0))</f>
        <v>0</v>
      </c>
    </row>
    <row r="300" customFormat="false" ht="15" hidden="false" customHeight="false" outlineLevel="0" collapsed="false">
      <c r="A300" s="43"/>
      <c r="B300" s="44"/>
      <c r="C300" s="44"/>
      <c r="D300" s="44"/>
      <c r="E300" s="44"/>
      <c r="F300" s="44"/>
      <c r="G300" s="44"/>
      <c r="H300" s="46" t="str">
        <f aca="false">IF($A300="","",IF(OR(NOT(ISNUMBER(E300)),NOT(ISNUMBER(F300))),"",MAX(0,E300)*F300))</f>
        <v/>
      </c>
      <c r="I300" s="46" t="str">
        <f aca="false">IF($A300="","",SUMIF($A$2:$A$5001,$A300,$H$2:$H$5001))</f>
        <v/>
      </c>
      <c r="J300" s="47" t="n">
        <f aca="false">IF($A300="",0,IF(COUNTIF($A$2:A300,$A300)=1,1,0))</f>
        <v>0</v>
      </c>
      <c r="K300" s="47" t="n">
        <f aca="false">IF(J300=1,N(I300)+ROW()/10000000,0)</f>
        <v>0</v>
      </c>
      <c r="L300" s="47" t="str">
        <f aca="false">IF(AND(J300=1,N(I300)&gt;0),SUMIF($K$2:$K$5001,"&gt;="&amp;K300,$I$2:$I$5001)/MAX(1,SUM($H$2:$H$5001)),"")</f>
        <v/>
      </c>
      <c r="M300" s="47" t="str">
        <f aca="false">IF($A300="","",INDEX($L$2:$L$5001,MATCH($A300,$A$2:$A$5001,0)))</f>
        <v/>
      </c>
      <c r="N300" s="48" t="str">
        <f aca="false">IF($A300="","",IF(N(M300)=0,"–",IF(M300&lt;=Start!$D$20,"A",IF(M300&lt;=Start!$D$21,"B","C"))))</f>
        <v/>
      </c>
      <c r="O300" s="48" t="str">
        <f aca="false">IF($A300="","",IF(NOT(ISNUMBER(F300)),"Wert fehlt; ",IF(F300&lt;=0,"Wert ist 0; ",""))&amp;IF(NOT(ISNUMBER(E300)),"Bestand fehlt; ",IF(E300&lt;0,"Bestand negativ; ",IF(E300=0,"Nullbestand; ","")))&amp;IF(D300="","Warengruppe fehlt; ","")&amp;IF(B300="","Bezeichnung fehlt; ","")&amp;IF(COUNTIFS($A$2:$A$5001,$A300,$C$2:$C$5001,C300)&gt;1,"Artikel doppelt im selben Lager; ",""))</f>
        <v/>
      </c>
      <c r="P300" s="47" t="n">
        <f aca="false">IF(OR($A300="",D300=""),0,IF(COUNTIF($D$2:D300,D300)=1,SUMIF($D$2:$D$5001,D300,$H$2:$H$5001)+ROW()/10000000,0))</f>
        <v>0</v>
      </c>
      <c r="Q300" s="47" t="n">
        <f aca="false">IF(OR($A300="",C300=""),0,IF(COUNTIF($C$2:C300,C300)=1,SUMIF($C$2:$C$5001,C300,$H$2:$H$5001)+ROW()/10000000,0))</f>
        <v>0</v>
      </c>
    </row>
    <row r="301" customFormat="false" ht="15" hidden="false" customHeight="false" outlineLevel="0" collapsed="false">
      <c r="A301" s="43"/>
      <c r="B301" s="44"/>
      <c r="C301" s="44"/>
      <c r="D301" s="44"/>
      <c r="E301" s="44"/>
      <c r="F301" s="44"/>
      <c r="G301" s="44"/>
      <c r="H301" s="46" t="str">
        <f aca="false">IF($A301="","",IF(OR(NOT(ISNUMBER(E301)),NOT(ISNUMBER(F301))),"",MAX(0,E301)*F301))</f>
        <v/>
      </c>
      <c r="I301" s="46" t="str">
        <f aca="false">IF($A301="","",SUMIF($A$2:$A$5001,$A301,$H$2:$H$5001))</f>
        <v/>
      </c>
      <c r="J301" s="47" t="n">
        <f aca="false">IF($A301="",0,IF(COUNTIF($A$2:A301,$A301)=1,1,0))</f>
        <v>0</v>
      </c>
      <c r="K301" s="47" t="n">
        <f aca="false">IF(J301=1,N(I301)+ROW()/10000000,0)</f>
        <v>0</v>
      </c>
      <c r="L301" s="47" t="str">
        <f aca="false">IF(AND(J301=1,N(I301)&gt;0),SUMIF($K$2:$K$5001,"&gt;="&amp;K301,$I$2:$I$5001)/MAX(1,SUM($H$2:$H$5001)),"")</f>
        <v/>
      </c>
      <c r="M301" s="47" t="str">
        <f aca="false">IF($A301="","",INDEX($L$2:$L$5001,MATCH($A301,$A$2:$A$5001,0)))</f>
        <v/>
      </c>
      <c r="N301" s="48" t="str">
        <f aca="false">IF($A301="","",IF(N(M301)=0,"–",IF(M301&lt;=Start!$D$20,"A",IF(M301&lt;=Start!$D$21,"B","C"))))</f>
        <v/>
      </c>
      <c r="O301" s="48" t="str">
        <f aca="false">IF($A301="","",IF(NOT(ISNUMBER(F301)),"Wert fehlt; ",IF(F301&lt;=0,"Wert ist 0; ",""))&amp;IF(NOT(ISNUMBER(E301)),"Bestand fehlt; ",IF(E301&lt;0,"Bestand negativ; ",IF(E301=0,"Nullbestand; ","")))&amp;IF(D301="","Warengruppe fehlt; ","")&amp;IF(B301="","Bezeichnung fehlt; ","")&amp;IF(COUNTIFS($A$2:$A$5001,$A301,$C$2:$C$5001,C301)&gt;1,"Artikel doppelt im selben Lager; ",""))</f>
        <v/>
      </c>
      <c r="P301" s="47" t="n">
        <f aca="false">IF(OR($A301="",D301=""),0,IF(COUNTIF($D$2:D301,D301)=1,SUMIF($D$2:$D$5001,D301,$H$2:$H$5001)+ROW()/10000000,0))</f>
        <v>0</v>
      </c>
      <c r="Q301" s="47" t="n">
        <f aca="false">IF(OR($A301="",C301=""),0,IF(COUNTIF($C$2:C301,C301)=1,SUMIF($C$2:$C$5001,C301,$H$2:$H$5001)+ROW()/10000000,0))</f>
        <v>0</v>
      </c>
    </row>
    <row r="302" customFormat="false" ht="15" hidden="false" customHeight="false" outlineLevel="0" collapsed="false">
      <c r="A302" s="43"/>
      <c r="B302" s="44"/>
      <c r="C302" s="44"/>
      <c r="D302" s="44"/>
      <c r="E302" s="44"/>
      <c r="F302" s="44"/>
      <c r="G302" s="44"/>
      <c r="H302" s="46" t="str">
        <f aca="false">IF($A302="","",IF(OR(NOT(ISNUMBER(E302)),NOT(ISNUMBER(F302))),"",MAX(0,E302)*F302))</f>
        <v/>
      </c>
      <c r="I302" s="46" t="str">
        <f aca="false">IF($A302="","",SUMIF($A$2:$A$5001,$A302,$H$2:$H$5001))</f>
        <v/>
      </c>
      <c r="J302" s="47" t="n">
        <f aca="false">IF($A302="",0,IF(COUNTIF($A$2:A302,$A302)=1,1,0))</f>
        <v>0</v>
      </c>
      <c r="K302" s="47" t="n">
        <f aca="false">IF(J302=1,N(I302)+ROW()/10000000,0)</f>
        <v>0</v>
      </c>
      <c r="L302" s="47" t="str">
        <f aca="false">IF(AND(J302=1,N(I302)&gt;0),SUMIF($K$2:$K$5001,"&gt;="&amp;K302,$I$2:$I$5001)/MAX(1,SUM($H$2:$H$5001)),"")</f>
        <v/>
      </c>
      <c r="M302" s="47" t="str">
        <f aca="false">IF($A302="","",INDEX($L$2:$L$5001,MATCH($A302,$A$2:$A$5001,0)))</f>
        <v/>
      </c>
      <c r="N302" s="48" t="str">
        <f aca="false">IF($A302="","",IF(N(M302)=0,"–",IF(M302&lt;=Start!$D$20,"A",IF(M302&lt;=Start!$D$21,"B","C"))))</f>
        <v/>
      </c>
      <c r="O302" s="48" t="str">
        <f aca="false">IF($A302="","",IF(NOT(ISNUMBER(F302)),"Wert fehlt; ",IF(F302&lt;=0,"Wert ist 0; ",""))&amp;IF(NOT(ISNUMBER(E302)),"Bestand fehlt; ",IF(E302&lt;0,"Bestand negativ; ",IF(E302=0,"Nullbestand; ","")))&amp;IF(D302="","Warengruppe fehlt; ","")&amp;IF(B302="","Bezeichnung fehlt; ","")&amp;IF(COUNTIFS($A$2:$A$5001,$A302,$C$2:$C$5001,C302)&gt;1,"Artikel doppelt im selben Lager; ",""))</f>
        <v/>
      </c>
      <c r="P302" s="47" t="n">
        <f aca="false">IF(OR($A302="",D302=""),0,IF(COUNTIF($D$2:D302,D302)=1,SUMIF($D$2:$D$5001,D302,$H$2:$H$5001)+ROW()/10000000,0))</f>
        <v>0</v>
      </c>
      <c r="Q302" s="47" t="n">
        <f aca="false">IF(OR($A302="",C302=""),0,IF(COUNTIF($C$2:C302,C302)=1,SUMIF($C$2:$C$5001,C302,$H$2:$H$5001)+ROW()/10000000,0))</f>
        <v>0</v>
      </c>
    </row>
    <row r="303" customFormat="false" ht="15" hidden="false" customHeight="false" outlineLevel="0" collapsed="false">
      <c r="A303" s="43"/>
      <c r="B303" s="44"/>
      <c r="C303" s="44"/>
      <c r="D303" s="44"/>
      <c r="E303" s="44"/>
      <c r="F303" s="44"/>
      <c r="G303" s="44"/>
      <c r="H303" s="46" t="str">
        <f aca="false">IF($A303="","",IF(OR(NOT(ISNUMBER(E303)),NOT(ISNUMBER(F303))),"",MAX(0,E303)*F303))</f>
        <v/>
      </c>
      <c r="I303" s="46" t="str">
        <f aca="false">IF($A303="","",SUMIF($A$2:$A$5001,$A303,$H$2:$H$5001))</f>
        <v/>
      </c>
      <c r="J303" s="47" t="n">
        <f aca="false">IF($A303="",0,IF(COUNTIF($A$2:A303,$A303)=1,1,0))</f>
        <v>0</v>
      </c>
      <c r="K303" s="47" t="n">
        <f aca="false">IF(J303=1,N(I303)+ROW()/10000000,0)</f>
        <v>0</v>
      </c>
      <c r="L303" s="47" t="str">
        <f aca="false">IF(AND(J303=1,N(I303)&gt;0),SUMIF($K$2:$K$5001,"&gt;="&amp;K303,$I$2:$I$5001)/MAX(1,SUM($H$2:$H$5001)),"")</f>
        <v/>
      </c>
      <c r="M303" s="47" t="str">
        <f aca="false">IF($A303="","",INDEX($L$2:$L$5001,MATCH($A303,$A$2:$A$5001,0)))</f>
        <v/>
      </c>
      <c r="N303" s="48" t="str">
        <f aca="false">IF($A303="","",IF(N(M303)=0,"–",IF(M303&lt;=Start!$D$20,"A",IF(M303&lt;=Start!$D$21,"B","C"))))</f>
        <v/>
      </c>
      <c r="O303" s="48" t="str">
        <f aca="false">IF($A303="","",IF(NOT(ISNUMBER(F303)),"Wert fehlt; ",IF(F303&lt;=0,"Wert ist 0; ",""))&amp;IF(NOT(ISNUMBER(E303)),"Bestand fehlt; ",IF(E303&lt;0,"Bestand negativ; ",IF(E303=0,"Nullbestand; ","")))&amp;IF(D303="","Warengruppe fehlt; ","")&amp;IF(B303="","Bezeichnung fehlt; ","")&amp;IF(COUNTIFS($A$2:$A$5001,$A303,$C$2:$C$5001,C303)&gt;1,"Artikel doppelt im selben Lager; ",""))</f>
        <v/>
      </c>
      <c r="P303" s="47" t="n">
        <f aca="false">IF(OR($A303="",D303=""),0,IF(COUNTIF($D$2:D303,D303)=1,SUMIF($D$2:$D$5001,D303,$H$2:$H$5001)+ROW()/10000000,0))</f>
        <v>0</v>
      </c>
      <c r="Q303" s="47" t="n">
        <f aca="false">IF(OR($A303="",C303=""),0,IF(COUNTIF($C$2:C303,C303)=1,SUMIF($C$2:$C$5001,C303,$H$2:$H$5001)+ROW()/10000000,0))</f>
        <v>0</v>
      </c>
    </row>
    <row r="304" customFormat="false" ht="15" hidden="false" customHeight="false" outlineLevel="0" collapsed="false">
      <c r="A304" s="43"/>
      <c r="B304" s="44"/>
      <c r="C304" s="44"/>
      <c r="D304" s="44"/>
      <c r="E304" s="44"/>
      <c r="F304" s="44"/>
      <c r="G304" s="44"/>
      <c r="H304" s="46" t="str">
        <f aca="false">IF($A304="","",IF(OR(NOT(ISNUMBER(E304)),NOT(ISNUMBER(F304))),"",MAX(0,E304)*F304))</f>
        <v/>
      </c>
      <c r="I304" s="46" t="str">
        <f aca="false">IF($A304="","",SUMIF($A$2:$A$5001,$A304,$H$2:$H$5001))</f>
        <v/>
      </c>
      <c r="J304" s="47" t="n">
        <f aca="false">IF($A304="",0,IF(COUNTIF($A$2:A304,$A304)=1,1,0))</f>
        <v>0</v>
      </c>
      <c r="K304" s="47" t="n">
        <f aca="false">IF(J304=1,N(I304)+ROW()/10000000,0)</f>
        <v>0</v>
      </c>
      <c r="L304" s="47" t="str">
        <f aca="false">IF(AND(J304=1,N(I304)&gt;0),SUMIF($K$2:$K$5001,"&gt;="&amp;K304,$I$2:$I$5001)/MAX(1,SUM($H$2:$H$5001)),"")</f>
        <v/>
      </c>
      <c r="M304" s="47" t="str">
        <f aca="false">IF($A304="","",INDEX($L$2:$L$5001,MATCH($A304,$A$2:$A$5001,0)))</f>
        <v/>
      </c>
      <c r="N304" s="48" t="str">
        <f aca="false">IF($A304="","",IF(N(M304)=0,"–",IF(M304&lt;=Start!$D$20,"A",IF(M304&lt;=Start!$D$21,"B","C"))))</f>
        <v/>
      </c>
      <c r="O304" s="48" t="str">
        <f aca="false">IF($A304="","",IF(NOT(ISNUMBER(F304)),"Wert fehlt; ",IF(F304&lt;=0,"Wert ist 0; ",""))&amp;IF(NOT(ISNUMBER(E304)),"Bestand fehlt; ",IF(E304&lt;0,"Bestand negativ; ",IF(E304=0,"Nullbestand; ","")))&amp;IF(D304="","Warengruppe fehlt; ","")&amp;IF(B304="","Bezeichnung fehlt; ","")&amp;IF(COUNTIFS($A$2:$A$5001,$A304,$C$2:$C$5001,C304)&gt;1,"Artikel doppelt im selben Lager; ",""))</f>
        <v/>
      </c>
      <c r="P304" s="47" t="n">
        <f aca="false">IF(OR($A304="",D304=""),0,IF(COUNTIF($D$2:D304,D304)=1,SUMIF($D$2:$D$5001,D304,$H$2:$H$5001)+ROW()/10000000,0))</f>
        <v>0</v>
      </c>
      <c r="Q304" s="47" t="n">
        <f aca="false">IF(OR($A304="",C304=""),0,IF(COUNTIF($C$2:C304,C304)=1,SUMIF($C$2:$C$5001,C304,$H$2:$H$5001)+ROW()/10000000,0))</f>
        <v>0</v>
      </c>
    </row>
    <row r="305" customFormat="false" ht="15" hidden="false" customHeight="false" outlineLevel="0" collapsed="false">
      <c r="A305" s="43"/>
      <c r="B305" s="44"/>
      <c r="C305" s="44"/>
      <c r="D305" s="44"/>
      <c r="E305" s="44"/>
      <c r="F305" s="44"/>
      <c r="G305" s="44"/>
      <c r="H305" s="46" t="str">
        <f aca="false">IF($A305="","",IF(OR(NOT(ISNUMBER(E305)),NOT(ISNUMBER(F305))),"",MAX(0,E305)*F305))</f>
        <v/>
      </c>
      <c r="I305" s="46" t="str">
        <f aca="false">IF($A305="","",SUMIF($A$2:$A$5001,$A305,$H$2:$H$5001))</f>
        <v/>
      </c>
      <c r="J305" s="47" t="n">
        <f aca="false">IF($A305="",0,IF(COUNTIF($A$2:A305,$A305)=1,1,0))</f>
        <v>0</v>
      </c>
      <c r="K305" s="47" t="n">
        <f aca="false">IF(J305=1,N(I305)+ROW()/10000000,0)</f>
        <v>0</v>
      </c>
      <c r="L305" s="47" t="str">
        <f aca="false">IF(AND(J305=1,N(I305)&gt;0),SUMIF($K$2:$K$5001,"&gt;="&amp;K305,$I$2:$I$5001)/MAX(1,SUM($H$2:$H$5001)),"")</f>
        <v/>
      </c>
      <c r="M305" s="47" t="str">
        <f aca="false">IF($A305="","",INDEX($L$2:$L$5001,MATCH($A305,$A$2:$A$5001,0)))</f>
        <v/>
      </c>
      <c r="N305" s="48" t="str">
        <f aca="false">IF($A305="","",IF(N(M305)=0,"–",IF(M305&lt;=Start!$D$20,"A",IF(M305&lt;=Start!$D$21,"B","C"))))</f>
        <v/>
      </c>
      <c r="O305" s="48" t="str">
        <f aca="false">IF($A305="","",IF(NOT(ISNUMBER(F305)),"Wert fehlt; ",IF(F305&lt;=0,"Wert ist 0; ",""))&amp;IF(NOT(ISNUMBER(E305)),"Bestand fehlt; ",IF(E305&lt;0,"Bestand negativ; ",IF(E305=0,"Nullbestand; ","")))&amp;IF(D305="","Warengruppe fehlt; ","")&amp;IF(B305="","Bezeichnung fehlt; ","")&amp;IF(COUNTIFS($A$2:$A$5001,$A305,$C$2:$C$5001,C305)&gt;1,"Artikel doppelt im selben Lager; ",""))</f>
        <v/>
      </c>
      <c r="P305" s="47" t="n">
        <f aca="false">IF(OR($A305="",D305=""),0,IF(COUNTIF($D$2:D305,D305)=1,SUMIF($D$2:$D$5001,D305,$H$2:$H$5001)+ROW()/10000000,0))</f>
        <v>0</v>
      </c>
      <c r="Q305" s="47" t="n">
        <f aca="false">IF(OR($A305="",C305=""),0,IF(COUNTIF($C$2:C305,C305)=1,SUMIF($C$2:$C$5001,C305,$H$2:$H$5001)+ROW()/10000000,0))</f>
        <v>0</v>
      </c>
    </row>
    <row r="306" customFormat="false" ht="15" hidden="false" customHeight="false" outlineLevel="0" collapsed="false">
      <c r="A306" s="43"/>
      <c r="B306" s="44"/>
      <c r="C306" s="44"/>
      <c r="D306" s="44"/>
      <c r="E306" s="44"/>
      <c r="F306" s="44"/>
      <c r="G306" s="44"/>
      <c r="H306" s="46" t="str">
        <f aca="false">IF($A306="","",IF(OR(NOT(ISNUMBER(E306)),NOT(ISNUMBER(F306))),"",MAX(0,E306)*F306))</f>
        <v/>
      </c>
      <c r="I306" s="46" t="str">
        <f aca="false">IF($A306="","",SUMIF($A$2:$A$5001,$A306,$H$2:$H$5001))</f>
        <v/>
      </c>
      <c r="J306" s="47" t="n">
        <f aca="false">IF($A306="",0,IF(COUNTIF($A$2:A306,$A306)=1,1,0))</f>
        <v>0</v>
      </c>
      <c r="K306" s="47" t="n">
        <f aca="false">IF(J306=1,N(I306)+ROW()/10000000,0)</f>
        <v>0</v>
      </c>
      <c r="L306" s="47" t="str">
        <f aca="false">IF(AND(J306=1,N(I306)&gt;0),SUMIF($K$2:$K$5001,"&gt;="&amp;K306,$I$2:$I$5001)/MAX(1,SUM($H$2:$H$5001)),"")</f>
        <v/>
      </c>
      <c r="M306" s="47" t="str">
        <f aca="false">IF($A306="","",INDEX($L$2:$L$5001,MATCH($A306,$A$2:$A$5001,0)))</f>
        <v/>
      </c>
      <c r="N306" s="48" t="str">
        <f aca="false">IF($A306="","",IF(N(M306)=0,"–",IF(M306&lt;=Start!$D$20,"A",IF(M306&lt;=Start!$D$21,"B","C"))))</f>
        <v/>
      </c>
      <c r="O306" s="48" t="str">
        <f aca="false">IF($A306="","",IF(NOT(ISNUMBER(F306)),"Wert fehlt; ",IF(F306&lt;=0,"Wert ist 0; ",""))&amp;IF(NOT(ISNUMBER(E306)),"Bestand fehlt; ",IF(E306&lt;0,"Bestand negativ; ",IF(E306=0,"Nullbestand; ","")))&amp;IF(D306="","Warengruppe fehlt; ","")&amp;IF(B306="","Bezeichnung fehlt; ","")&amp;IF(COUNTIFS($A$2:$A$5001,$A306,$C$2:$C$5001,C306)&gt;1,"Artikel doppelt im selben Lager; ",""))</f>
        <v/>
      </c>
      <c r="P306" s="47" t="n">
        <f aca="false">IF(OR($A306="",D306=""),0,IF(COUNTIF($D$2:D306,D306)=1,SUMIF($D$2:$D$5001,D306,$H$2:$H$5001)+ROW()/10000000,0))</f>
        <v>0</v>
      </c>
      <c r="Q306" s="47" t="n">
        <f aca="false">IF(OR($A306="",C306=""),0,IF(COUNTIF($C$2:C306,C306)=1,SUMIF($C$2:$C$5001,C306,$H$2:$H$5001)+ROW()/10000000,0))</f>
        <v>0</v>
      </c>
    </row>
    <row r="307" customFormat="false" ht="15" hidden="false" customHeight="false" outlineLevel="0" collapsed="false">
      <c r="A307" s="43"/>
      <c r="B307" s="44"/>
      <c r="C307" s="44"/>
      <c r="D307" s="44"/>
      <c r="E307" s="44"/>
      <c r="F307" s="44"/>
      <c r="G307" s="44"/>
      <c r="H307" s="46" t="str">
        <f aca="false">IF($A307="","",IF(OR(NOT(ISNUMBER(E307)),NOT(ISNUMBER(F307))),"",MAX(0,E307)*F307))</f>
        <v/>
      </c>
      <c r="I307" s="46" t="str">
        <f aca="false">IF($A307="","",SUMIF($A$2:$A$5001,$A307,$H$2:$H$5001))</f>
        <v/>
      </c>
      <c r="J307" s="47" t="n">
        <f aca="false">IF($A307="",0,IF(COUNTIF($A$2:A307,$A307)=1,1,0))</f>
        <v>0</v>
      </c>
      <c r="K307" s="47" t="n">
        <f aca="false">IF(J307=1,N(I307)+ROW()/10000000,0)</f>
        <v>0</v>
      </c>
      <c r="L307" s="47" t="str">
        <f aca="false">IF(AND(J307=1,N(I307)&gt;0),SUMIF($K$2:$K$5001,"&gt;="&amp;K307,$I$2:$I$5001)/MAX(1,SUM($H$2:$H$5001)),"")</f>
        <v/>
      </c>
      <c r="M307" s="47" t="str">
        <f aca="false">IF($A307="","",INDEX($L$2:$L$5001,MATCH($A307,$A$2:$A$5001,0)))</f>
        <v/>
      </c>
      <c r="N307" s="48" t="str">
        <f aca="false">IF($A307="","",IF(N(M307)=0,"–",IF(M307&lt;=Start!$D$20,"A",IF(M307&lt;=Start!$D$21,"B","C"))))</f>
        <v/>
      </c>
      <c r="O307" s="48" t="str">
        <f aca="false">IF($A307="","",IF(NOT(ISNUMBER(F307)),"Wert fehlt; ",IF(F307&lt;=0,"Wert ist 0; ",""))&amp;IF(NOT(ISNUMBER(E307)),"Bestand fehlt; ",IF(E307&lt;0,"Bestand negativ; ",IF(E307=0,"Nullbestand; ","")))&amp;IF(D307="","Warengruppe fehlt; ","")&amp;IF(B307="","Bezeichnung fehlt; ","")&amp;IF(COUNTIFS($A$2:$A$5001,$A307,$C$2:$C$5001,C307)&gt;1,"Artikel doppelt im selben Lager; ",""))</f>
        <v/>
      </c>
      <c r="P307" s="47" t="n">
        <f aca="false">IF(OR($A307="",D307=""),0,IF(COUNTIF($D$2:D307,D307)=1,SUMIF($D$2:$D$5001,D307,$H$2:$H$5001)+ROW()/10000000,0))</f>
        <v>0</v>
      </c>
      <c r="Q307" s="47" t="n">
        <f aca="false">IF(OR($A307="",C307=""),0,IF(COUNTIF($C$2:C307,C307)=1,SUMIF($C$2:$C$5001,C307,$H$2:$H$5001)+ROW()/10000000,0))</f>
        <v>0</v>
      </c>
    </row>
    <row r="308" customFormat="false" ht="15" hidden="false" customHeight="false" outlineLevel="0" collapsed="false">
      <c r="A308" s="43"/>
      <c r="B308" s="44"/>
      <c r="C308" s="44"/>
      <c r="D308" s="44"/>
      <c r="E308" s="44"/>
      <c r="F308" s="44"/>
      <c r="G308" s="44"/>
      <c r="H308" s="46" t="str">
        <f aca="false">IF($A308="","",IF(OR(NOT(ISNUMBER(E308)),NOT(ISNUMBER(F308))),"",MAX(0,E308)*F308))</f>
        <v/>
      </c>
      <c r="I308" s="46" t="str">
        <f aca="false">IF($A308="","",SUMIF($A$2:$A$5001,$A308,$H$2:$H$5001))</f>
        <v/>
      </c>
      <c r="J308" s="47" t="n">
        <f aca="false">IF($A308="",0,IF(COUNTIF($A$2:A308,$A308)=1,1,0))</f>
        <v>0</v>
      </c>
      <c r="K308" s="47" t="n">
        <f aca="false">IF(J308=1,N(I308)+ROW()/10000000,0)</f>
        <v>0</v>
      </c>
      <c r="L308" s="47" t="str">
        <f aca="false">IF(AND(J308=1,N(I308)&gt;0),SUMIF($K$2:$K$5001,"&gt;="&amp;K308,$I$2:$I$5001)/MAX(1,SUM($H$2:$H$5001)),"")</f>
        <v/>
      </c>
      <c r="M308" s="47" t="str">
        <f aca="false">IF($A308="","",INDEX($L$2:$L$5001,MATCH($A308,$A$2:$A$5001,0)))</f>
        <v/>
      </c>
      <c r="N308" s="48" t="str">
        <f aca="false">IF($A308="","",IF(N(M308)=0,"–",IF(M308&lt;=Start!$D$20,"A",IF(M308&lt;=Start!$D$21,"B","C"))))</f>
        <v/>
      </c>
      <c r="O308" s="48" t="str">
        <f aca="false">IF($A308="","",IF(NOT(ISNUMBER(F308)),"Wert fehlt; ",IF(F308&lt;=0,"Wert ist 0; ",""))&amp;IF(NOT(ISNUMBER(E308)),"Bestand fehlt; ",IF(E308&lt;0,"Bestand negativ; ",IF(E308=0,"Nullbestand; ","")))&amp;IF(D308="","Warengruppe fehlt; ","")&amp;IF(B308="","Bezeichnung fehlt; ","")&amp;IF(COUNTIFS($A$2:$A$5001,$A308,$C$2:$C$5001,C308)&gt;1,"Artikel doppelt im selben Lager; ",""))</f>
        <v/>
      </c>
      <c r="P308" s="47" t="n">
        <f aca="false">IF(OR($A308="",D308=""),0,IF(COUNTIF($D$2:D308,D308)=1,SUMIF($D$2:$D$5001,D308,$H$2:$H$5001)+ROW()/10000000,0))</f>
        <v>0</v>
      </c>
      <c r="Q308" s="47" t="n">
        <f aca="false">IF(OR($A308="",C308=""),0,IF(COUNTIF($C$2:C308,C308)=1,SUMIF($C$2:$C$5001,C308,$H$2:$H$5001)+ROW()/10000000,0))</f>
        <v>0</v>
      </c>
    </row>
    <row r="309" customFormat="false" ht="15" hidden="false" customHeight="false" outlineLevel="0" collapsed="false">
      <c r="A309" s="43"/>
      <c r="B309" s="44"/>
      <c r="C309" s="44"/>
      <c r="D309" s="44"/>
      <c r="E309" s="44"/>
      <c r="F309" s="44"/>
      <c r="G309" s="44"/>
      <c r="H309" s="46" t="str">
        <f aca="false">IF($A309="","",IF(OR(NOT(ISNUMBER(E309)),NOT(ISNUMBER(F309))),"",MAX(0,E309)*F309))</f>
        <v/>
      </c>
      <c r="I309" s="46" t="str">
        <f aca="false">IF($A309="","",SUMIF($A$2:$A$5001,$A309,$H$2:$H$5001))</f>
        <v/>
      </c>
      <c r="J309" s="47" t="n">
        <f aca="false">IF($A309="",0,IF(COUNTIF($A$2:A309,$A309)=1,1,0))</f>
        <v>0</v>
      </c>
      <c r="K309" s="47" t="n">
        <f aca="false">IF(J309=1,N(I309)+ROW()/10000000,0)</f>
        <v>0</v>
      </c>
      <c r="L309" s="47" t="str">
        <f aca="false">IF(AND(J309=1,N(I309)&gt;0),SUMIF($K$2:$K$5001,"&gt;="&amp;K309,$I$2:$I$5001)/MAX(1,SUM($H$2:$H$5001)),"")</f>
        <v/>
      </c>
      <c r="M309" s="47" t="str">
        <f aca="false">IF($A309="","",INDEX($L$2:$L$5001,MATCH($A309,$A$2:$A$5001,0)))</f>
        <v/>
      </c>
      <c r="N309" s="48" t="str">
        <f aca="false">IF($A309="","",IF(N(M309)=0,"–",IF(M309&lt;=Start!$D$20,"A",IF(M309&lt;=Start!$D$21,"B","C"))))</f>
        <v/>
      </c>
      <c r="O309" s="48" t="str">
        <f aca="false">IF($A309="","",IF(NOT(ISNUMBER(F309)),"Wert fehlt; ",IF(F309&lt;=0,"Wert ist 0; ",""))&amp;IF(NOT(ISNUMBER(E309)),"Bestand fehlt; ",IF(E309&lt;0,"Bestand negativ; ",IF(E309=0,"Nullbestand; ","")))&amp;IF(D309="","Warengruppe fehlt; ","")&amp;IF(B309="","Bezeichnung fehlt; ","")&amp;IF(COUNTIFS($A$2:$A$5001,$A309,$C$2:$C$5001,C309)&gt;1,"Artikel doppelt im selben Lager; ",""))</f>
        <v/>
      </c>
      <c r="P309" s="47" t="n">
        <f aca="false">IF(OR($A309="",D309=""),0,IF(COUNTIF($D$2:D309,D309)=1,SUMIF($D$2:$D$5001,D309,$H$2:$H$5001)+ROW()/10000000,0))</f>
        <v>0</v>
      </c>
      <c r="Q309" s="47" t="n">
        <f aca="false">IF(OR($A309="",C309=""),0,IF(COUNTIF($C$2:C309,C309)=1,SUMIF($C$2:$C$5001,C309,$H$2:$H$5001)+ROW()/10000000,0))</f>
        <v>0</v>
      </c>
    </row>
    <row r="310" customFormat="false" ht="15" hidden="false" customHeight="false" outlineLevel="0" collapsed="false">
      <c r="A310" s="43"/>
      <c r="B310" s="44"/>
      <c r="C310" s="44"/>
      <c r="D310" s="44"/>
      <c r="E310" s="44"/>
      <c r="F310" s="44"/>
      <c r="G310" s="44"/>
      <c r="H310" s="46" t="str">
        <f aca="false">IF($A310="","",IF(OR(NOT(ISNUMBER(E310)),NOT(ISNUMBER(F310))),"",MAX(0,E310)*F310))</f>
        <v/>
      </c>
      <c r="I310" s="46" t="str">
        <f aca="false">IF($A310="","",SUMIF($A$2:$A$5001,$A310,$H$2:$H$5001))</f>
        <v/>
      </c>
      <c r="J310" s="47" t="n">
        <f aca="false">IF($A310="",0,IF(COUNTIF($A$2:A310,$A310)=1,1,0))</f>
        <v>0</v>
      </c>
      <c r="K310" s="47" t="n">
        <f aca="false">IF(J310=1,N(I310)+ROW()/10000000,0)</f>
        <v>0</v>
      </c>
      <c r="L310" s="47" t="str">
        <f aca="false">IF(AND(J310=1,N(I310)&gt;0),SUMIF($K$2:$K$5001,"&gt;="&amp;K310,$I$2:$I$5001)/MAX(1,SUM($H$2:$H$5001)),"")</f>
        <v/>
      </c>
      <c r="M310" s="47" t="str">
        <f aca="false">IF($A310="","",INDEX($L$2:$L$5001,MATCH($A310,$A$2:$A$5001,0)))</f>
        <v/>
      </c>
      <c r="N310" s="48" t="str">
        <f aca="false">IF($A310="","",IF(N(M310)=0,"–",IF(M310&lt;=Start!$D$20,"A",IF(M310&lt;=Start!$D$21,"B","C"))))</f>
        <v/>
      </c>
      <c r="O310" s="48" t="str">
        <f aca="false">IF($A310="","",IF(NOT(ISNUMBER(F310)),"Wert fehlt; ",IF(F310&lt;=0,"Wert ist 0; ",""))&amp;IF(NOT(ISNUMBER(E310)),"Bestand fehlt; ",IF(E310&lt;0,"Bestand negativ; ",IF(E310=0,"Nullbestand; ","")))&amp;IF(D310="","Warengruppe fehlt; ","")&amp;IF(B310="","Bezeichnung fehlt; ","")&amp;IF(COUNTIFS($A$2:$A$5001,$A310,$C$2:$C$5001,C310)&gt;1,"Artikel doppelt im selben Lager; ",""))</f>
        <v/>
      </c>
      <c r="P310" s="47" t="n">
        <f aca="false">IF(OR($A310="",D310=""),0,IF(COUNTIF($D$2:D310,D310)=1,SUMIF($D$2:$D$5001,D310,$H$2:$H$5001)+ROW()/10000000,0))</f>
        <v>0</v>
      </c>
      <c r="Q310" s="47" t="n">
        <f aca="false">IF(OR($A310="",C310=""),0,IF(COUNTIF($C$2:C310,C310)=1,SUMIF($C$2:$C$5001,C310,$H$2:$H$5001)+ROW()/10000000,0))</f>
        <v>0</v>
      </c>
    </row>
    <row r="311" customFormat="false" ht="15" hidden="false" customHeight="false" outlineLevel="0" collapsed="false">
      <c r="A311" s="43"/>
      <c r="B311" s="44"/>
      <c r="C311" s="44"/>
      <c r="D311" s="44"/>
      <c r="E311" s="44"/>
      <c r="F311" s="44"/>
      <c r="G311" s="44"/>
      <c r="H311" s="46" t="str">
        <f aca="false">IF($A311="","",IF(OR(NOT(ISNUMBER(E311)),NOT(ISNUMBER(F311))),"",MAX(0,E311)*F311))</f>
        <v/>
      </c>
      <c r="I311" s="46" t="str">
        <f aca="false">IF($A311="","",SUMIF($A$2:$A$5001,$A311,$H$2:$H$5001))</f>
        <v/>
      </c>
      <c r="J311" s="47" t="n">
        <f aca="false">IF($A311="",0,IF(COUNTIF($A$2:A311,$A311)=1,1,0))</f>
        <v>0</v>
      </c>
      <c r="K311" s="47" t="n">
        <f aca="false">IF(J311=1,N(I311)+ROW()/10000000,0)</f>
        <v>0</v>
      </c>
      <c r="L311" s="47" t="str">
        <f aca="false">IF(AND(J311=1,N(I311)&gt;0),SUMIF($K$2:$K$5001,"&gt;="&amp;K311,$I$2:$I$5001)/MAX(1,SUM($H$2:$H$5001)),"")</f>
        <v/>
      </c>
      <c r="M311" s="47" t="str">
        <f aca="false">IF($A311="","",INDEX($L$2:$L$5001,MATCH($A311,$A$2:$A$5001,0)))</f>
        <v/>
      </c>
      <c r="N311" s="48" t="str">
        <f aca="false">IF($A311="","",IF(N(M311)=0,"–",IF(M311&lt;=Start!$D$20,"A",IF(M311&lt;=Start!$D$21,"B","C"))))</f>
        <v/>
      </c>
      <c r="O311" s="48" t="str">
        <f aca="false">IF($A311="","",IF(NOT(ISNUMBER(F311)),"Wert fehlt; ",IF(F311&lt;=0,"Wert ist 0; ",""))&amp;IF(NOT(ISNUMBER(E311)),"Bestand fehlt; ",IF(E311&lt;0,"Bestand negativ; ",IF(E311=0,"Nullbestand; ","")))&amp;IF(D311="","Warengruppe fehlt; ","")&amp;IF(B311="","Bezeichnung fehlt; ","")&amp;IF(COUNTIFS($A$2:$A$5001,$A311,$C$2:$C$5001,C311)&gt;1,"Artikel doppelt im selben Lager; ",""))</f>
        <v/>
      </c>
      <c r="P311" s="47" t="n">
        <f aca="false">IF(OR($A311="",D311=""),0,IF(COUNTIF($D$2:D311,D311)=1,SUMIF($D$2:$D$5001,D311,$H$2:$H$5001)+ROW()/10000000,0))</f>
        <v>0</v>
      </c>
      <c r="Q311" s="47" t="n">
        <f aca="false">IF(OR($A311="",C311=""),0,IF(COUNTIF($C$2:C311,C311)=1,SUMIF($C$2:$C$5001,C311,$H$2:$H$5001)+ROW()/10000000,0))</f>
        <v>0</v>
      </c>
    </row>
    <row r="312" customFormat="false" ht="15" hidden="false" customHeight="false" outlineLevel="0" collapsed="false">
      <c r="A312" s="43"/>
      <c r="B312" s="44"/>
      <c r="C312" s="44"/>
      <c r="D312" s="44"/>
      <c r="E312" s="44"/>
      <c r="F312" s="44"/>
      <c r="G312" s="44"/>
      <c r="H312" s="46" t="str">
        <f aca="false">IF($A312="","",IF(OR(NOT(ISNUMBER(E312)),NOT(ISNUMBER(F312))),"",MAX(0,E312)*F312))</f>
        <v/>
      </c>
      <c r="I312" s="46" t="str">
        <f aca="false">IF($A312="","",SUMIF($A$2:$A$5001,$A312,$H$2:$H$5001))</f>
        <v/>
      </c>
      <c r="J312" s="47" t="n">
        <f aca="false">IF($A312="",0,IF(COUNTIF($A$2:A312,$A312)=1,1,0))</f>
        <v>0</v>
      </c>
      <c r="K312" s="47" t="n">
        <f aca="false">IF(J312=1,N(I312)+ROW()/10000000,0)</f>
        <v>0</v>
      </c>
      <c r="L312" s="47" t="str">
        <f aca="false">IF(AND(J312=1,N(I312)&gt;0),SUMIF($K$2:$K$5001,"&gt;="&amp;K312,$I$2:$I$5001)/MAX(1,SUM($H$2:$H$5001)),"")</f>
        <v/>
      </c>
      <c r="M312" s="47" t="str">
        <f aca="false">IF($A312="","",INDEX($L$2:$L$5001,MATCH($A312,$A$2:$A$5001,0)))</f>
        <v/>
      </c>
      <c r="N312" s="48" t="str">
        <f aca="false">IF($A312="","",IF(N(M312)=0,"–",IF(M312&lt;=Start!$D$20,"A",IF(M312&lt;=Start!$D$21,"B","C"))))</f>
        <v/>
      </c>
      <c r="O312" s="48" t="str">
        <f aca="false">IF($A312="","",IF(NOT(ISNUMBER(F312)),"Wert fehlt; ",IF(F312&lt;=0,"Wert ist 0; ",""))&amp;IF(NOT(ISNUMBER(E312)),"Bestand fehlt; ",IF(E312&lt;0,"Bestand negativ; ",IF(E312=0,"Nullbestand; ","")))&amp;IF(D312="","Warengruppe fehlt; ","")&amp;IF(B312="","Bezeichnung fehlt; ","")&amp;IF(COUNTIFS($A$2:$A$5001,$A312,$C$2:$C$5001,C312)&gt;1,"Artikel doppelt im selben Lager; ",""))</f>
        <v/>
      </c>
      <c r="P312" s="47" t="n">
        <f aca="false">IF(OR($A312="",D312=""),0,IF(COUNTIF($D$2:D312,D312)=1,SUMIF($D$2:$D$5001,D312,$H$2:$H$5001)+ROW()/10000000,0))</f>
        <v>0</v>
      </c>
      <c r="Q312" s="47" t="n">
        <f aca="false">IF(OR($A312="",C312=""),0,IF(COUNTIF($C$2:C312,C312)=1,SUMIF($C$2:$C$5001,C312,$H$2:$H$5001)+ROW()/10000000,0))</f>
        <v>0</v>
      </c>
    </row>
    <row r="313" customFormat="false" ht="15" hidden="false" customHeight="false" outlineLevel="0" collapsed="false">
      <c r="A313" s="43"/>
      <c r="B313" s="44"/>
      <c r="C313" s="44"/>
      <c r="D313" s="44"/>
      <c r="E313" s="44"/>
      <c r="F313" s="44"/>
      <c r="G313" s="44"/>
      <c r="H313" s="46" t="str">
        <f aca="false">IF($A313="","",IF(OR(NOT(ISNUMBER(E313)),NOT(ISNUMBER(F313))),"",MAX(0,E313)*F313))</f>
        <v/>
      </c>
      <c r="I313" s="46" t="str">
        <f aca="false">IF($A313="","",SUMIF($A$2:$A$5001,$A313,$H$2:$H$5001))</f>
        <v/>
      </c>
      <c r="J313" s="47" t="n">
        <f aca="false">IF($A313="",0,IF(COUNTIF($A$2:A313,$A313)=1,1,0))</f>
        <v>0</v>
      </c>
      <c r="K313" s="47" t="n">
        <f aca="false">IF(J313=1,N(I313)+ROW()/10000000,0)</f>
        <v>0</v>
      </c>
      <c r="L313" s="47" t="str">
        <f aca="false">IF(AND(J313=1,N(I313)&gt;0),SUMIF($K$2:$K$5001,"&gt;="&amp;K313,$I$2:$I$5001)/MAX(1,SUM($H$2:$H$5001)),"")</f>
        <v/>
      </c>
      <c r="M313" s="47" t="str">
        <f aca="false">IF($A313="","",INDEX($L$2:$L$5001,MATCH($A313,$A$2:$A$5001,0)))</f>
        <v/>
      </c>
      <c r="N313" s="48" t="str">
        <f aca="false">IF($A313="","",IF(N(M313)=0,"–",IF(M313&lt;=Start!$D$20,"A",IF(M313&lt;=Start!$D$21,"B","C"))))</f>
        <v/>
      </c>
      <c r="O313" s="48" t="str">
        <f aca="false">IF($A313="","",IF(NOT(ISNUMBER(F313)),"Wert fehlt; ",IF(F313&lt;=0,"Wert ist 0; ",""))&amp;IF(NOT(ISNUMBER(E313)),"Bestand fehlt; ",IF(E313&lt;0,"Bestand negativ; ",IF(E313=0,"Nullbestand; ","")))&amp;IF(D313="","Warengruppe fehlt; ","")&amp;IF(B313="","Bezeichnung fehlt; ","")&amp;IF(COUNTIFS($A$2:$A$5001,$A313,$C$2:$C$5001,C313)&gt;1,"Artikel doppelt im selben Lager; ",""))</f>
        <v/>
      </c>
      <c r="P313" s="47" t="n">
        <f aca="false">IF(OR($A313="",D313=""),0,IF(COUNTIF($D$2:D313,D313)=1,SUMIF($D$2:$D$5001,D313,$H$2:$H$5001)+ROW()/10000000,0))</f>
        <v>0</v>
      </c>
      <c r="Q313" s="47" t="n">
        <f aca="false">IF(OR($A313="",C313=""),0,IF(COUNTIF($C$2:C313,C313)=1,SUMIF($C$2:$C$5001,C313,$H$2:$H$5001)+ROW()/10000000,0))</f>
        <v>0</v>
      </c>
    </row>
    <row r="314" customFormat="false" ht="15" hidden="false" customHeight="false" outlineLevel="0" collapsed="false">
      <c r="A314" s="43"/>
      <c r="B314" s="44"/>
      <c r="C314" s="44"/>
      <c r="D314" s="44"/>
      <c r="E314" s="44"/>
      <c r="F314" s="44"/>
      <c r="G314" s="44"/>
      <c r="H314" s="46" t="str">
        <f aca="false">IF($A314="","",IF(OR(NOT(ISNUMBER(E314)),NOT(ISNUMBER(F314))),"",MAX(0,E314)*F314))</f>
        <v/>
      </c>
      <c r="I314" s="46" t="str">
        <f aca="false">IF($A314="","",SUMIF($A$2:$A$5001,$A314,$H$2:$H$5001))</f>
        <v/>
      </c>
      <c r="J314" s="47" t="n">
        <f aca="false">IF($A314="",0,IF(COUNTIF($A$2:A314,$A314)=1,1,0))</f>
        <v>0</v>
      </c>
      <c r="K314" s="47" t="n">
        <f aca="false">IF(J314=1,N(I314)+ROW()/10000000,0)</f>
        <v>0</v>
      </c>
      <c r="L314" s="47" t="str">
        <f aca="false">IF(AND(J314=1,N(I314)&gt;0),SUMIF($K$2:$K$5001,"&gt;="&amp;K314,$I$2:$I$5001)/MAX(1,SUM($H$2:$H$5001)),"")</f>
        <v/>
      </c>
      <c r="M314" s="47" t="str">
        <f aca="false">IF($A314="","",INDEX($L$2:$L$5001,MATCH($A314,$A$2:$A$5001,0)))</f>
        <v/>
      </c>
      <c r="N314" s="48" t="str">
        <f aca="false">IF($A314="","",IF(N(M314)=0,"–",IF(M314&lt;=Start!$D$20,"A",IF(M314&lt;=Start!$D$21,"B","C"))))</f>
        <v/>
      </c>
      <c r="O314" s="48" t="str">
        <f aca="false">IF($A314="","",IF(NOT(ISNUMBER(F314)),"Wert fehlt; ",IF(F314&lt;=0,"Wert ist 0; ",""))&amp;IF(NOT(ISNUMBER(E314)),"Bestand fehlt; ",IF(E314&lt;0,"Bestand negativ; ",IF(E314=0,"Nullbestand; ","")))&amp;IF(D314="","Warengruppe fehlt; ","")&amp;IF(B314="","Bezeichnung fehlt; ","")&amp;IF(COUNTIFS($A$2:$A$5001,$A314,$C$2:$C$5001,C314)&gt;1,"Artikel doppelt im selben Lager; ",""))</f>
        <v/>
      </c>
      <c r="P314" s="47" t="n">
        <f aca="false">IF(OR($A314="",D314=""),0,IF(COUNTIF($D$2:D314,D314)=1,SUMIF($D$2:$D$5001,D314,$H$2:$H$5001)+ROW()/10000000,0))</f>
        <v>0</v>
      </c>
      <c r="Q314" s="47" t="n">
        <f aca="false">IF(OR($A314="",C314=""),0,IF(COUNTIF($C$2:C314,C314)=1,SUMIF($C$2:$C$5001,C314,$H$2:$H$5001)+ROW()/10000000,0))</f>
        <v>0</v>
      </c>
    </row>
    <row r="315" customFormat="false" ht="15" hidden="false" customHeight="false" outlineLevel="0" collapsed="false">
      <c r="A315" s="43"/>
      <c r="B315" s="44"/>
      <c r="C315" s="44"/>
      <c r="D315" s="44"/>
      <c r="E315" s="44"/>
      <c r="F315" s="44"/>
      <c r="G315" s="44"/>
      <c r="H315" s="46" t="str">
        <f aca="false">IF($A315="","",IF(OR(NOT(ISNUMBER(E315)),NOT(ISNUMBER(F315))),"",MAX(0,E315)*F315))</f>
        <v/>
      </c>
      <c r="I315" s="46" t="str">
        <f aca="false">IF($A315="","",SUMIF($A$2:$A$5001,$A315,$H$2:$H$5001))</f>
        <v/>
      </c>
      <c r="J315" s="47" t="n">
        <f aca="false">IF($A315="",0,IF(COUNTIF($A$2:A315,$A315)=1,1,0))</f>
        <v>0</v>
      </c>
      <c r="K315" s="47" t="n">
        <f aca="false">IF(J315=1,N(I315)+ROW()/10000000,0)</f>
        <v>0</v>
      </c>
      <c r="L315" s="47" t="str">
        <f aca="false">IF(AND(J315=1,N(I315)&gt;0),SUMIF($K$2:$K$5001,"&gt;="&amp;K315,$I$2:$I$5001)/MAX(1,SUM($H$2:$H$5001)),"")</f>
        <v/>
      </c>
      <c r="M315" s="47" t="str">
        <f aca="false">IF($A315="","",INDEX($L$2:$L$5001,MATCH($A315,$A$2:$A$5001,0)))</f>
        <v/>
      </c>
      <c r="N315" s="48" t="str">
        <f aca="false">IF($A315="","",IF(N(M315)=0,"–",IF(M315&lt;=Start!$D$20,"A",IF(M315&lt;=Start!$D$21,"B","C"))))</f>
        <v/>
      </c>
      <c r="O315" s="48" t="str">
        <f aca="false">IF($A315="","",IF(NOT(ISNUMBER(F315)),"Wert fehlt; ",IF(F315&lt;=0,"Wert ist 0; ",""))&amp;IF(NOT(ISNUMBER(E315)),"Bestand fehlt; ",IF(E315&lt;0,"Bestand negativ; ",IF(E315=0,"Nullbestand; ","")))&amp;IF(D315="","Warengruppe fehlt; ","")&amp;IF(B315="","Bezeichnung fehlt; ","")&amp;IF(COUNTIFS($A$2:$A$5001,$A315,$C$2:$C$5001,C315)&gt;1,"Artikel doppelt im selben Lager; ",""))</f>
        <v/>
      </c>
      <c r="P315" s="47" t="n">
        <f aca="false">IF(OR($A315="",D315=""),0,IF(COUNTIF($D$2:D315,D315)=1,SUMIF($D$2:$D$5001,D315,$H$2:$H$5001)+ROW()/10000000,0))</f>
        <v>0</v>
      </c>
      <c r="Q315" s="47" t="n">
        <f aca="false">IF(OR($A315="",C315=""),0,IF(COUNTIF($C$2:C315,C315)=1,SUMIF($C$2:$C$5001,C315,$H$2:$H$5001)+ROW()/10000000,0))</f>
        <v>0</v>
      </c>
    </row>
    <row r="316" customFormat="false" ht="15" hidden="false" customHeight="false" outlineLevel="0" collapsed="false">
      <c r="A316" s="43"/>
      <c r="B316" s="44"/>
      <c r="C316" s="44"/>
      <c r="D316" s="44"/>
      <c r="E316" s="44"/>
      <c r="F316" s="44"/>
      <c r="G316" s="44"/>
      <c r="H316" s="46" t="str">
        <f aca="false">IF($A316="","",IF(OR(NOT(ISNUMBER(E316)),NOT(ISNUMBER(F316))),"",MAX(0,E316)*F316))</f>
        <v/>
      </c>
      <c r="I316" s="46" t="str">
        <f aca="false">IF($A316="","",SUMIF($A$2:$A$5001,$A316,$H$2:$H$5001))</f>
        <v/>
      </c>
      <c r="J316" s="47" t="n">
        <f aca="false">IF($A316="",0,IF(COUNTIF($A$2:A316,$A316)=1,1,0))</f>
        <v>0</v>
      </c>
      <c r="K316" s="47" t="n">
        <f aca="false">IF(J316=1,N(I316)+ROW()/10000000,0)</f>
        <v>0</v>
      </c>
      <c r="L316" s="47" t="str">
        <f aca="false">IF(AND(J316=1,N(I316)&gt;0),SUMIF($K$2:$K$5001,"&gt;="&amp;K316,$I$2:$I$5001)/MAX(1,SUM($H$2:$H$5001)),"")</f>
        <v/>
      </c>
      <c r="M316" s="47" t="str">
        <f aca="false">IF($A316="","",INDEX($L$2:$L$5001,MATCH($A316,$A$2:$A$5001,0)))</f>
        <v/>
      </c>
      <c r="N316" s="48" t="str">
        <f aca="false">IF($A316="","",IF(N(M316)=0,"–",IF(M316&lt;=Start!$D$20,"A",IF(M316&lt;=Start!$D$21,"B","C"))))</f>
        <v/>
      </c>
      <c r="O316" s="48" t="str">
        <f aca="false">IF($A316="","",IF(NOT(ISNUMBER(F316)),"Wert fehlt; ",IF(F316&lt;=0,"Wert ist 0; ",""))&amp;IF(NOT(ISNUMBER(E316)),"Bestand fehlt; ",IF(E316&lt;0,"Bestand negativ; ",IF(E316=0,"Nullbestand; ","")))&amp;IF(D316="","Warengruppe fehlt; ","")&amp;IF(B316="","Bezeichnung fehlt; ","")&amp;IF(COUNTIFS($A$2:$A$5001,$A316,$C$2:$C$5001,C316)&gt;1,"Artikel doppelt im selben Lager; ",""))</f>
        <v/>
      </c>
      <c r="P316" s="47" t="n">
        <f aca="false">IF(OR($A316="",D316=""),0,IF(COUNTIF($D$2:D316,D316)=1,SUMIF($D$2:$D$5001,D316,$H$2:$H$5001)+ROW()/10000000,0))</f>
        <v>0</v>
      </c>
      <c r="Q316" s="47" t="n">
        <f aca="false">IF(OR($A316="",C316=""),0,IF(COUNTIF($C$2:C316,C316)=1,SUMIF($C$2:$C$5001,C316,$H$2:$H$5001)+ROW()/10000000,0))</f>
        <v>0</v>
      </c>
    </row>
    <row r="317" customFormat="false" ht="15" hidden="false" customHeight="false" outlineLevel="0" collapsed="false">
      <c r="A317" s="43"/>
      <c r="B317" s="44"/>
      <c r="C317" s="44"/>
      <c r="D317" s="44"/>
      <c r="E317" s="44"/>
      <c r="F317" s="44"/>
      <c r="G317" s="44"/>
      <c r="H317" s="46" t="str">
        <f aca="false">IF($A317="","",IF(OR(NOT(ISNUMBER(E317)),NOT(ISNUMBER(F317))),"",MAX(0,E317)*F317))</f>
        <v/>
      </c>
      <c r="I317" s="46" t="str">
        <f aca="false">IF($A317="","",SUMIF($A$2:$A$5001,$A317,$H$2:$H$5001))</f>
        <v/>
      </c>
      <c r="J317" s="47" t="n">
        <f aca="false">IF($A317="",0,IF(COUNTIF($A$2:A317,$A317)=1,1,0))</f>
        <v>0</v>
      </c>
      <c r="K317" s="47" t="n">
        <f aca="false">IF(J317=1,N(I317)+ROW()/10000000,0)</f>
        <v>0</v>
      </c>
      <c r="L317" s="47" t="str">
        <f aca="false">IF(AND(J317=1,N(I317)&gt;0),SUMIF($K$2:$K$5001,"&gt;="&amp;K317,$I$2:$I$5001)/MAX(1,SUM($H$2:$H$5001)),"")</f>
        <v/>
      </c>
      <c r="M317" s="47" t="str">
        <f aca="false">IF($A317="","",INDEX($L$2:$L$5001,MATCH($A317,$A$2:$A$5001,0)))</f>
        <v/>
      </c>
      <c r="N317" s="48" t="str">
        <f aca="false">IF($A317="","",IF(N(M317)=0,"–",IF(M317&lt;=Start!$D$20,"A",IF(M317&lt;=Start!$D$21,"B","C"))))</f>
        <v/>
      </c>
      <c r="O317" s="48" t="str">
        <f aca="false">IF($A317="","",IF(NOT(ISNUMBER(F317)),"Wert fehlt; ",IF(F317&lt;=0,"Wert ist 0; ",""))&amp;IF(NOT(ISNUMBER(E317)),"Bestand fehlt; ",IF(E317&lt;0,"Bestand negativ; ",IF(E317=0,"Nullbestand; ","")))&amp;IF(D317="","Warengruppe fehlt; ","")&amp;IF(B317="","Bezeichnung fehlt; ","")&amp;IF(COUNTIFS($A$2:$A$5001,$A317,$C$2:$C$5001,C317)&gt;1,"Artikel doppelt im selben Lager; ",""))</f>
        <v/>
      </c>
      <c r="P317" s="47" t="n">
        <f aca="false">IF(OR($A317="",D317=""),0,IF(COUNTIF($D$2:D317,D317)=1,SUMIF($D$2:$D$5001,D317,$H$2:$H$5001)+ROW()/10000000,0))</f>
        <v>0</v>
      </c>
      <c r="Q317" s="47" t="n">
        <f aca="false">IF(OR($A317="",C317=""),0,IF(COUNTIF($C$2:C317,C317)=1,SUMIF($C$2:$C$5001,C317,$H$2:$H$5001)+ROW()/10000000,0))</f>
        <v>0</v>
      </c>
    </row>
    <row r="318" customFormat="false" ht="15" hidden="false" customHeight="false" outlineLevel="0" collapsed="false">
      <c r="A318" s="43"/>
      <c r="B318" s="44"/>
      <c r="C318" s="44"/>
      <c r="D318" s="44"/>
      <c r="E318" s="44"/>
      <c r="F318" s="44"/>
      <c r="G318" s="44"/>
      <c r="H318" s="46" t="str">
        <f aca="false">IF($A318="","",IF(OR(NOT(ISNUMBER(E318)),NOT(ISNUMBER(F318))),"",MAX(0,E318)*F318))</f>
        <v/>
      </c>
      <c r="I318" s="46" t="str">
        <f aca="false">IF($A318="","",SUMIF($A$2:$A$5001,$A318,$H$2:$H$5001))</f>
        <v/>
      </c>
      <c r="J318" s="47" t="n">
        <f aca="false">IF($A318="",0,IF(COUNTIF($A$2:A318,$A318)=1,1,0))</f>
        <v>0</v>
      </c>
      <c r="K318" s="47" t="n">
        <f aca="false">IF(J318=1,N(I318)+ROW()/10000000,0)</f>
        <v>0</v>
      </c>
      <c r="L318" s="47" t="str">
        <f aca="false">IF(AND(J318=1,N(I318)&gt;0),SUMIF($K$2:$K$5001,"&gt;="&amp;K318,$I$2:$I$5001)/MAX(1,SUM($H$2:$H$5001)),"")</f>
        <v/>
      </c>
      <c r="M318" s="47" t="str">
        <f aca="false">IF($A318="","",INDEX($L$2:$L$5001,MATCH($A318,$A$2:$A$5001,0)))</f>
        <v/>
      </c>
      <c r="N318" s="48" t="str">
        <f aca="false">IF($A318="","",IF(N(M318)=0,"–",IF(M318&lt;=Start!$D$20,"A",IF(M318&lt;=Start!$D$21,"B","C"))))</f>
        <v/>
      </c>
      <c r="O318" s="48" t="str">
        <f aca="false">IF($A318="","",IF(NOT(ISNUMBER(F318)),"Wert fehlt; ",IF(F318&lt;=0,"Wert ist 0; ",""))&amp;IF(NOT(ISNUMBER(E318)),"Bestand fehlt; ",IF(E318&lt;0,"Bestand negativ; ",IF(E318=0,"Nullbestand; ","")))&amp;IF(D318="","Warengruppe fehlt; ","")&amp;IF(B318="","Bezeichnung fehlt; ","")&amp;IF(COUNTIFS($A$2:$A$5001,$A318,$C$2:$C$5001,C318)&gt;1,"Artikel doppelt im selben Lager; ",""))</f>
        <v/>
      </c>
      <c r="P318" s="47" t="n">
        <f aca="false">IF(OR($A318="",D318=""),0,IF(COUNTIF($D$2:D318,D318)=1,SUMIF($D$2:$D$5001,D318,$H$2:$H$5001)+ROW()/10000000,0))</f>
        <v>0</v>
      </c>
      <c r="Q318" s="47" t="n">
        <f aca="false">IF(OR($A318="",C318=""),0,IF(COUNTIF($C$2:C318,C318)=1,SUMIF($C$2:$C$5001,C318,$H$2:$H$5001)+ROW()/10000000,0))</f>
        <v>0</v>
      </c>
    </row>
    <row r="319" customFormat="false" ht="15" hidden="false" customHeight="false" outlineLevel="0" collapsed="false">
      <c r="A319" s="43"/>
      <c r="B319" s="44"/>
      <c r="C319" s="44"/>
      <c r="D319" s="44"/>
      <c r="E319" s="44"/>
      <c r="F319" s="44"/>
      <c r="G319" s="44"/>
      <c r="H319" s="46" t="str">
        <f aca="false">IF($A319="","",IF(OR(NOT(ISNUMBER(E319)),NOT(ISNUMBER(F319))),"",MAX(0,E319)*F319))</f>
        <v/>
      </c>
      <c r="I319" s="46" t="str">
        <f aca="false">IF($A319="","",SUMIF($A$2:$A$5001,$A319,$H$2:$H$5001))</f>
        <v/>
      </c>
      <c r="J319" s="47" t="n">
        <f aca="false">IF($A319="",0,IF(COUNTIF($A$2:A319,$A319)=1,1,0))</f>
        <v>0</v>
      </c>
      <c r="K319" s="47" t="n">
        <f aca="false">IF(J319=1,N(I319)+ROW()/10000000,0)</f>
        <v>0</v>
      </c>
      <c r="L319" s="47" t="str">
        <f aca="false">IF(AND(J319=1,N(I319)&gt;0),SUMIF($K$2:$K$5001,"&gt;="&amp;K319,$I$2:$I$5001)/MAX(1,SUM($H$2:$H$5001)),"")</f>
        <v/>
      </c>
      <c r="M319" s="47" t="str">
        <f aca="false">IF($A319="","",INDEX($L$2:$L$5001,MATCH($A319,$A$2:$A$5001,0)))</f>
        <v/>
      </c>
      <c r="N319" s="48" t="str">
        <f aca="false">IF($A319="","",IF(N(M319)=0,"–",IF(M319&lt;=Start!$D$20,"A",IF(M319&lt;=Start!$D$21,"B","C"))))</f>
        <v/>
      </c>
      <c r="O319" s="48" t="str">
        <f aca="false">IF($A319="","",IF(NOT(ISNUMBER(F319)),"Wert fehlt; ",IF(F319&lt;=0,"Wert ist 0; ",""))&amp;IF(NOT(ISNUMBER(E319)),"Bestand fehlt; ",IF(E319&lt;0,"Bestand negativ; ",IF(E319=0,"Nullbestand; ","")))&amp;IF(D319="","Warengruppe fehlt; ","")&amp;IF(B319="","Bezeichnung fehlt; ","")&amp;IF(COUNTIFS($A$2:$A$5001,$A319,$C$2:$C$5001,C319)&gt;1,"Artikel doppelt im selben Lager; ",""))</f>
        <v/>
      </c>
      <c r="P319" s="47" t="n">
        <f aca="false">IF(OR($A319="",D319=""),0,IF(COUNTIF($D$2:D319,D319)=1,SUMIF($D$2:$D$5001,D319,$H$2:$H$5001)+ROW()/10000000,0))</f>
        <v>0</v>
      </c>
      <c r="Q319" s="47" t="n">
        <f aca="false">IF(OR($A319="",C319=""),0,IF(COUNTIF($C$2:C319,C319)=1,SUMIF($C$2:$C$5001,C319,$H$2:$H$5001)+ROW()/10000000,0))</f>
        <v>0</v>
      </c>
    </row>
    <row r="320" customFormat="false" ht="15" hidden="false" customHeight="false" outlineLevel="0" collapsed="false">
      <c r="A320" s="43"/>
      <c r="B320" s="44"/>
      <c r="C320" s="44"/>
      <c r="D320" s="44"/>
      <c r="E320" s="44"/>
      <c r="F320" s="44"/>
      <c r="G320" s="44"/>
      <c r="H320" s="46" t="str">
        <f aca="false">IF($A320="","",IF(OR(NOT(ISNUMBER(E320)),NOT(ISNUMBER(F320))),"",MAX(0,E320)*F320))</f>
        <v/>
      </c>
      <c r="I320" s="46" t="str">
        <f aca="false">IF($A320="","",SUMIF($A$2:$A$5001,$A320,$H$2:$H$5001))</f>
        <v/>
      </c>
      <c r="J320" s="47" t="n">
        <f aca="false">IF($A320="",0,IF(COUNTIF($A$2:A320,$A320)=1,1,0))</f>
        <v>0</v>
      </c>
      <c r="K320" s="47" t="n">
        <f aca="false">IF(J320=1,N(I320)+ROW()/10000000,0)</f>
        <v>0</v>
      </c>
      <c r="L320" s="47" t="str">
        <f aca="false">IF(AND(J320=1,N(I320)&gt;0),SUMIF($K$2:$K$5001,"&gt;="&amp;K320,$I$2:$I$5001)/MAX(1,SUM($H$2:$H$5001)),"")</f>
        <v/>
      </c>
      <c r="M320" s="47" t="str">
        <f aca="false">IF($A320="","",INDEX($L$2:$L$5001,MATCH($A320,$A$2:$A$5001,0)))</f>
        <v/>
      </c>
      <c r="N320" s="48" t="str">
        <f aca="false">IF($A320="","",IF(N(M320)=0,"–",IF(M320&lt;=Start!$D$20,"A",IF(M320&lt;=Start!$D$21,"B","C"))))</f>
        <v/>
      </c>
      <c r="O320" s="48" t="str">
        <f aca="false">IF($A320="","",IF(NOT(ISNUMBER(F320)),"Wert fehlt; ",IF(F320&lt;=0,"Wert ist 0; ",""))&amp;IF(NOT(ISNUMBER(E320)),"Bestand fehlt; ",IF(E320&lt;0,"Bestand negativ; ",IF(E320=0,"Nullbestand; ","")))&amp;IF(D320="","Warengruppe fehlt; ","")&amp;IF(B320="","Bezeichnung fehlt; ","")&amp;IF(COUNTIFS($A$2:$A$5001,$A320,$C$2:$C$5001,C320)&gt;1,"Artikel doppelt im selben Lager; ",""))</f>
        <v/>
      </c>
      <c r="P320" s="47" t="n">
        <f aca="false">IF(OR($A320="",D320=""),0,IF(COUNTIF($D$2:D320,D320)=1,SUMIF($D$2:$D$5001,D320,$H$2:$H$5001)+ROW()/10000000,0))</f>
        <v>0</v>
      </c>
      <c r="Q320" s="47" t="n">
        <f aca="false">IF(OR($A320="",C320=""),0,IF(COUNTIF($C$2:C320,C320)=1,SUMIF($C$2:$C$5001,C320,$H$2:$H$5001)+ROW()/10000000,0))</f>
        <v>0</v>
      </c>
    </row>
    <row r="321" customFormat="false" ht="15" hidden="false" customHeight="false" outlineLevel="0" collapsed="false">
      <c r="A321" s="43"/>
      <c r="B321" s="44"/>
      <c r="C321" s="44"/>
      <c r="D321" s="44"/>
      <c r="E321" s="44"/>
      <c r="F321" s="44"/>
      <c r="G321" s="44"/>
      <c r="H321" s="46" t="str">
        <f aca="false">IF($A321="","",IF(OR(NOT(ISNUMBER(E321)),NOT(ISNUMBER(F321))),"",MAX(0,E321)*F321))</f>
        <v/>
      </c>
      <c r="I321" s="46" t="str">
        <f aca="false">IF($A321="","",SUMIF($A$2:$A$5001,$A321,$H$2:$H$5001))</f>
        <v/>
      </c>
      <c r="J321" s="47" t="n">
        <f aca="false">IF($A321="",0,IF(COUNTIF($A$2:A321,$A321)=1,1,0))</f>
        <v>0</v>
      </c>
      <c r="K321" s="47" t="n">
        <f aca="false">IF(J321=1,N(I321)+ROW()/10000000,0)</f>
        <v>0</v>
      </c>
      <c r="L321" s="47" t="str">
        <f aca="false">IF(AND(J321=1,N(I321)&gt;0),SUMIF($K$2:$K$5001,"&gt;="&amp;K321,$I$2:$I$5001)/MAX(1,SUM($H$2:$H$5001)),"")</f>
        <v/>
      </c>
      <c r="M321" s="47" t="str">
        <f aca="false">IF($A321="","",INDEX($L$2:$L$5001,MATCH($A321,$A$2:$A$5001,0)))</f>
        <v/>
      </c>
      <c r="N321" s="48" t="str">
        <f aca="false">IF($A321="","",IF(N(M321)=0,"–",IF(M321&lt;=Start!$D$20,"A",IF(M321&lt;=Start!$D$21,"B","C"))))</f>
        <v/>
      </c>
      <c r="O321" s="48" t="str">
        <f aca="false">IF($A321="","",IF(NOT(ISNUMBER(F321)),"Wert fehlt; ",IF(F321&lt;=0,"Wert ist 0; ",""))&amp;IF(NOT(ISNUMBER(E321)),"Bestand fehlt; ",IF(E321&lt;0,"Bestand negativ; ",IF(E321=0,"Nullbestand; ","")))&amp;IF(D321="","Warengruppe fehlt; ","")&amp;IF(B321="","Bezeichnung fehlt; ","")&amp;IF(COUNTIFS($A$2:$A$5001,$A321,$C$2:$C$5001,C321)&gt;1,"Artikel doppelt im selben Lager; ",""))</f>
        <v/>
      </c>
      <c r="P321" s="47" t="n">
        <f aca="false">IF(OR($A321="",D321=""),0,IF(COUNTIF($D$2:D321,D321)=1,SUMIF($D$2:$D$5001,D321,$H$2:$H$5001)+ROW()/10000000,0))</f>
        <v>0</v>
      </c>
      <c r="Q321" s="47" t="n">
        <f aca="false">IF(OR($A321="",C321=""),0,IF(COUNTIF($C$2:C321,C321)=1,SUMIF($C$2:$C$5001,C321,$H$2:$H$5001)+ROW()/10000000,0))</f>
        <v>0</v>
      </c>
    </row>
    <row r="322" customFormat="false" ht="15" hidden="false" customHeight="false" outlineLevel="0" collapsed="false">
      <c r="A322" s="43"/>
      <c r="B322" s="44"/>
      <c r="C322" s="44"/>
      <c r="D322" s="44"/>
      <c r="E322" s="44"/>
      <c r="F322" s="44"/>
      <c r="G322" s="44"/>
      <c r="H322" s="46" t="str">
        <f aca="false">IF($A322="","",IF(OR(NOT(ISNUMBER(E322)),NOT(ISNUMBER(F322))),"",MAX(0,E322)*F322))</f>
        <v/>
      </c>
      <c r="I322" s="46" t="str">
        <f aca="false">IF($A322="","",SUMIF($A$2:$A$5001,$A322,$H$2:$H$5001))</f>
        <v/>
      </c>
      <c r="J322" s="47" t="n">
        <f aca="false">IF($A322="",0,IF(COUNTIF($A$2:A322,$A322)=1,1,0))</f>
        <v>0</v>
      </c>
      <c r="K322" s="47" t="n">
        <f aca="false">IF(J322=1,N(I322)+ROW()/10000000,0)</f>
        <v>0</v>
      </c>
      <c r="L322" s="47" t="str">
        <f aca="false">IF(AND(J322=1,N(I322)&gt;0),SUMIF($K$2:$K$5001,"&gt;="&amp;K322,$I$2:$I$5001)/MAX(1,SUM($H$2:$H$5001)),"")</f>
        <v/>
      </c>
      <c r="M322" s="47" t="str">
        <f aca="false">IF($A322="","",INDEX($L$2:$L$5001,MATCH($A322,$A$2:$A$5001,0)))</f>
        <v/>
      </c>
      <c r="N322" s="48" t="str">
        <f aca="false">IF($A322="","",IF(N(M322)=0,"–",IF(M322&lt;=Start!$D$20,"A",IF(M322&lt;=Start!$D$21,"B","C"))))</f>
        <v/>
      </c>
      <c r="O322" s="48" t="str">
        <f aca="false">IF($A322="","",IF(NOT(ISNUMBER(F322)),"Wert fehlt; ",IF(F322&lt;=0,"Wert ist 0; ",""))&amp;IF(NOT(ISNUMBER(E322)),"Bestand fehlt; ",IF(E322&lt;0,"Bestand negativ; ",IF(E322=0,"Nullbestand; ","")))&amp;IF(D322="","Warengruppe fehlt; ","")&amp;IF(B322="","Bezeichnung fehlt; ","")&amp;IF(COUNTIFS($A$2:$A$5001,$A322,$C$2:$C$5001,C322)&gt;1,"Artikel doppelt im selben Lager; ",""))</f>
        <v/>
      </c>
      <c r="P322" s="47" t="n">
        <f aca="false">IF(OR($A322="",D322=""),0,IF(COUNTIF($D$2:D322,D322)=1,SUMIF($D$2:$D$5001,D322,$H$2:$H$5001)+ROW()/10000000,0))</f>
        <v>0</v>
      </c>
      <c r="Q322" s="47" t="n">
        <f aca="false">IF(OR($A322="",C322=""),0,IF(COUNTIF($C$2:C322,C322)=1,SUMIF($C$2:$C$5001,C322,$H$2:$H$5001)+ROW()/10000000,0))</f>
        <v>0</v>
      </c>
    </row>
    <row r="323" customFormat="false" ht="15" hidden="false" customHeight="false" outlineLevel="0" collapsed="false">
      <c r="A323" s="43"/>
      <c r="B323" s="44"/>
      <c r="C323" s="44"/>
      <c r="D323" s="44"/>
      <c r="E323" s="44"/>
      <c r="F323" s="44"/>
      <c r="G323" s="44"/>
      <c r="H323" s="46" t="str">
        <f aca="false">IF($A323="","",IF(OR(NOT(ISNUMBER(E323)),NOT(ISNUMBER(F323))),"",MAX(0,E323)*F323))</f>
        <v/>
      </c>
      <c r="I323" s="46" t="str">
        <f aca="false">IF($A323="","",SUMIF($A$2:$A$5001,$A323,$H$2:$H$5001))</f>
        <v/>
      </c>
      <c r="J323" s="47" t="n">
        <f aca="false">IF($A323="",0,IF(COUNTIF($A$2:A323,$A323)=1,1,0))</f>
        <v>0</v>
      </c>
      <c r="K323" s="47" t="n">
        <f aca="false">IF(J323=1,N(I323)+ROW()/10000000,0)</f>
        <v>0</v>
      </c>
      <c r="L323" s="47" t="str">
        <f aca="false">IF(AND(J323=1,N(I323)&gt;0),SUMIF($K$2:$K$5001,"&gt;="&amp;K323,$I$2:$I$5001)/MAX(1,SUM($H$2:$H$5001)),"")</f>
        <v/>
      </c>
      <c r="M323" s="47" t="str">
        <f aca="false">IF($A323="","",INDEX($L$2:$L$5001,MATCH($A323,$A$2:$A$5001,0)))</f>
        <v/>
      </c>
      <c r="N323" s="48" t="str">
        <f aca="false">IF($A323="","",IF(N(M323)=0,"–",IF(M323&lt;=Start!$D$20,"A",IF(M323&lt;=Start!$D$21,"B","C"))))</f>
        <v/>
      </c>
      <c r="O323" s="48" t="str">
        <f aca="false">IF($A323="","",IF(NOT(ISNUMBER(F323)),"Wert fehlt; ",IF(F323&lt;=0,"Wert ist 0; ",""))&amp;IF(NOT(ISNUMBER(E323)),"Bestand fehlt; ",IF(E323&lt;0,"Bestand negativ; ",IF(E323=0,"Nullbestand; ","")))&amp;IF(D323="","Warengruppe fehlt; ","")&amp;IF(B323="","Bezeichnung fehlt; ","")&amp;IF(COUNTIFS($A$2:$A$5001,$A323,$C$2:$C$5001,C323)&gt;1,"Artikel doppelt im selben Lager; ",""))</f>
        <v/>
      </c>
      <c r="P323" s="47" t="n">
        <f aca="false">IF(OR($A323="",D323=""),0,IF(COUNTIF($D$2:D323,D323)=1,SUMIF($D$2:$D$5001,D323,$H$2:$H$5001)+ROW()/10000000,0))</f>
        <v>0</v>
      </c>
      <c r="Q323" s="47" t="n">
        <f aca="false">IF(OR($A323="",C323=""),0,IF(COUNTIF($C$2:C323,C323)=1,SUMIF($C$2:$C$5001,C323,$H$2:$H$5001)+ROW()/10000000,0))</f>
        <v>0</v>
      </c>
    </row>
    <row r="324" customFormat="false" ht="15" hidden="false" customHeight="false" outlineLevel="0" collapsed="false">
      <c r="A324" s="43"/>
      <c r="B324" s="44"/>
      <c r="C324" s="44"/>
      <c r="D324" s="44"/>
      <c r="E324" s="44"/>
      <c r="F324" s="44"/>
      <c r="G324" s="44"/>
      <c r="H324" s="46" t="str">
        <f aca="false">IF($A324="","",IF(OR(NOT(ISNUMBER(E324)),NOT(ISNUMBER(F324))),"",MAX(0,E324)*F324))</f>
        <v/>
      </c>
      <c r="I324" s="46" t="str">
        <f aca="false">IF($A324="","",SUMIF($A$2:$A$5001,$A324,$H$2:$H$5001))</f>
        <v/>
      </c>
      <c r="J324" s="47" t="n">
        <f aca="false">IF($A324="",0,IF(COUNTIF($A$2:A324,$A324)=1,1,0))</f>
        <v>0</v>
      </c>
      <c r="K324" s="47" t="n">
        <f aca="false">IF(J324=1,N(I324)+ROW()/10000000,0)</f>
        <v>0</v>
      </c>
      <c r="L324" s="47" t="str">
        <f aca="false">IF(AND(J324=1,N(I324)&gt;0),SUMIF($K$2:$K$5001,"&gt;="&amp;K324,$I$2:$I$5001)/MAX(1,SUM($H$2:$H$5001)),"")</f>
        <v/>
      </c>
      <c r="M324" s="47" t="str">
        <f aca="false">IF($A324="","",INDEX($L$2:$L$5001,MATCH($A324,$A$2:$A$5001,0)))</f>
        <v/>
      </c>
      <c r="N324" s="48" t="str">
        <f aca="false">IF($A324="","",IF(N(M324)=0,"–",IF(M324&lt;=Start!$D$20,"A",IF(M324&lt;=Start!$D$21,"B","C"))))</f>
        <v/>
      </c>
      <c r="O324" s="48" t="str">
        <f aca="false">IF($A324="","",IF(NOT(ISNUMBER(F324)),"Wert fehlt; ",IF(F324&lt;=0,"Wert ist 0; ",""))&amp;IF(NOT(ISNUMBER(E324)),"Bestand fehlt; ",IF(E324&lt;0,"Bestand negativ; ",IF(E324=0,"Nullbestand; ","")))&amp;IF(D324="","Warengruppe fehlt; ","")&amp;IF(B324="","Bezeichnung fehlt; ","")&amp;IF(COUNTIFS($A$2:$A$5001,$A324,$C$2:$C$5001,C324)&gt;1,"Artikel doppelt im selben Lager; ",""))</f>
        <v/>
      </c>
      <c r="P324" s="47" t="n">
        <f aca="false">IF(OR($A324="",D324=""),0,IF(COUNTIF($D$2:D324,D324)=1,SUMIF($D$2:$D$5001,D324,$H$2:$H$5001)+ROW()/10000000,0))</f>
        <v>0</v>
      </c>
      <c r="Q324" s="47" t="n">
        <f aca="false">IF(OR($A324="",C324=""),0,IF(COUNTIF($C$2:C324,C324)=1,SUMIF($C$2:$C$5001,C324,$H$2:$H$5001)+ROW()/10000000,0))</f>
        <v>0</v>
      </c>
    </row>
    <row r="325" customFormat="false" ht="15" hidden="false" customHeight="false" outlineLevel="0" collapsed="false">
      <c r="A325" s="43"/>
      <c r="B325" s="44"/>
      <c r="C325" s="44"/>
      <c r="D325" s="44"/>
      <c r="E325" s="44"/>
      <c r="F325" s="44"/>
      <c r="G325" s="44"/>
      <c r="H325" s="46" t="str">
        <f aca="false">IF($A325="","",IF(OR(NOT(ISNUMBER(E325)),NOT(ISNUMBER(F325))),"",MAX(0,E325)*F325))</f>
        <v/>
      </c>
      <c r="I325" s="46" t="str">
        <f aca="false">IF($A325="","",SUMIF($A$2:$A$5001,$A325,$H$2:$H$5001))</f>
        <v/>
      </c>
      <c r="J325" s="47" t="n">
        <f aca="false">IF($A325="",0,IF(COUNTIF($A$2:A325,$A325)=1,1,0))</f>
        <v>0</v>
      </c>
      <c r="K325" s="47" t="n">
        <f aca="false">IF(J325=1,N(I325)+ROW()/10000000,0)</f>
        <v>0</v>
      </c>
      <c r="L325" s="47" t="str">
        <f aca="false">IF(AND(J325=1,N(I325)&gt;0),SUMIF($K$2:$K$5001,"&gt;="&amp;K325,$I$2:$I$5001)/MAX(1,SUM($H$2:$H$5001)),"")</f>
        <v/>
      </c>
      <c r="M325" s="47" t="str">
        <f aca="false">IF($A325="","",INDEX($L$2:$L$5001,MATCH($A325,$A$2:$A$5001,0)))</f>
        <v/>
      </c>
      <c r="N325" s="48" t="str">
        <f aca="false">IF($A325="","",IF(N(M325)=0,"–",IF(M325&lt;=Start!$D$20,"A",IF(M325&lt;=Start!$D$21,"B","C"))))</f>
        <v/>
      </c>
      <c r="O325" s="48" t="str">
        <f aca="false">IF($A325="","",IF(NOT(ISNUMBER(F325)),"Wert fehlt; ",IF(F325&lt;=0,"Wert ist 0; ",""))&amp;IF(NOT(ISNUMBER(E325)),"Bestand fehlt; ",IF(E325&lt;0,"Bestand negativ; ",IF(E325=0,"Nullbestand; ","")))&amp;IF(D325="","Warengruppe fehlt; ","")&amp;IF(B325="","Bezeichnung fehlt; ","")&amp;IF(COUNTIFS($A$2:$A$5001,$A325,$C$2:$C$5001,C325)&gt;1,"Artikel doppelt im selben Lager; ",""))</f>
        <v/>
      </c>
      <c r="P325" s="47" t="n">
        <f aca="false">IF(OR($A325="",D325=""),0,IF(COUNTIF($D$2:D325,D325)=1,SUMIF($D$2:$D$5001,D325,$H$2:$H$5001)+ROW()/10000000,0))</f>
        <v>0</v>
      </c>
      <c r="Q325" s="47" t="n">
        <f aca="false">IF(OR($A325="",C325=""),0,IF(COUNTIF($C$2:C325,C325)=1,SUMIF($C$2:$C$5001,C325,$H$2:$H$5001)+ROW()/10000000,0))</f>
        <v>0</v>
      </c>
    </row>
    <row r="326" customFormat="false" ht="15" hidden="false" customHeight="false" outlineLevel="0" collapsed="false">
      <c r="A326" s="43"/>
      <c r="B326" s="44"/>
      <c r="C326" s="44"/>
      <c r="D326" s="44"/>
      <c r="E326" s="44"/>
      <c r="F326" s="44"/>
      <c r="G326" s="44"/>
      <c r="H326" s="46" t="str">
        <f aca="false">IF($A326="","",IF(OR(NOT(ISNUMBER(E326)),NOT(ISNUMBER(F326))),"",MAX(0,E326)*F326))</f>
        <v/>
      </c>
      <c r="I326" s="46" t="str">
        <f aca="false">IF($A326="","",SUMIF($A$2:$A$5001,$A326,$H$2:$H$5001))</f>
        <v/>
      </c>
      <c r="J326" s="47" t="n">
        <f aca="false">IF($A326="",0,IF(COUNTIF($A$2:A326,$A326)=1,1,0))</f>
        <v>0</v>
      </c>
      <c r="K326" s="47" t="n">
        <f aca="false">IF(J326=1,N(I326)+ROW()/10000000,0)</f>
        <v>0</v>
      </c>
      <c r="L326" s="47" t="str">
        <f aca="false">IF(AND(J326=1,N(I326)&gt;0),SUMIF($K$2:$K$5001,"&gt;="&amp;K326,$I$2:$I$5001)/MAX(1,SUM($H$2:$H$5001)),"")</f>
        <v/>
      </c>
      <c r="M326" s="47" t="str">
        <f aca="false">IF($A326="","",INDEX($L$2:$L$5001,MATCH($A326,$A$2:$A$5001,0)))</f>
        <v/>
      </c>
      <c r="N326" s="48" t="str">
        <f aca="false">IF($A326="","",IF(N(M326)=0,"–",IF(M326&lt;=Start!$D$20,"A",IF(M326&lt;=Start!$D$21,"B","C"))))</f>
        <v/>
      </c>
      <c r="O326" s="48" t="str">
        <f aca="false">IF($A326="","",IF(NOT(ISNUMBER(F326)),"Wert fehlt; ",IF(F326&lt;=0,"Wert ist 0; ",""))&amp;IF(NOT(ISNUMBER(E326)),"Bestand fehlt; ",IF(E326&lt;0,"Bestand negativ; ",IF(E326=0,"Nullbestand; ","")))&amp;IF(D326="","Warengruppe fehlt; ","")&amp;IF(B326="","Bezeichnung fehlt; ","")&amp;IF(COUNTIFS($A$2:$A$5001,$A326,$C$2:$C$5001,C326)&gt;1,"Artikel doppelt im selben Lager; ",""))</f>
        <v/>
      </c>
      <c r="P326" s="47" t="n">
        <f aca="false">IF(OR($A326="",D326=""),0,IF(COUNTIF($D$2:D326,D326)=1,SUMIF($D$2:$D$5001,D326,$H$2:$H$5001)+ROW()/10000000,0))</f>
        <v>0</v>
      </c>
      <c r="Q326" s="47" t="n">
        <f aca="false">IF(OR($A326="",C326=""),0,IF(COUNTIF($C$2:C326,C326)=1,SUMIF($C$2:$C$5001,C326,$H$2:$H$5001)+ROW()/10000000,0))</f>
        <v>0</v>
      </c>
    </row>
    <row r="327" customFormat="false" ht="15" hidden="false" customHeight="false" outlineLevel="0" collapsed="false">
      <c r="A327" s="43"/>
      <c r="B327" s="44"/>
      <c r="C327" s="44"/>
      <c r="D327" s="44"/>
      <c r="E327" s="44"/>
      <c r="F327" s="44"/>
      <c r="G327" s="44"/>
      <c r="H327" s="46" t="str">
        <f aca="false">IF($A327="","",IF(OR(NOT(ISNUMBER(E327)),NOT(ISNUMBER(F327))),"",MAX(0,E327)*F327))</f>
        <v/>
      </c>
      <c r="I327" s="46" t="str">
        <f aca="false">IF($A327="","",SUMIF($A$2:$A$5001,$A327,$H$2:$H$5001))</f>
        <v/>
      </c>
      <c r="J327" s="47" t="n">
        <f aca="false">IF($A327="",0,IF(COUNTIF($A$2:A327,$A327)=1,1,0))</f>
        <v>0</v>
      </c>
      <c r="K327" s="47" t="n">
        <f aca="false">IF(J327=1,N(I327)+ROW()/10000000,0)</f>
        <v>0</v>
      </c>
      <c r="L327" s="47" t="str">
        <f aca="false">IF(AND(J327=1,N(I327)&gt;0),SUMIF($K$2:$K$5001,"&gt;="&amp;K327,$I$2:$I$5001)/MAX(1,SUM($H$2:$H$5001)),"")</f>
        <v/>
      </c>
      <c r="M327" s="47" t="str">
        <f aca="false">IF($A327="","",INDEX($L$2:$L$5001,MATCH($A327,$A$2:$A$5001,0)))</f>
        <v/>
      </c>
      <c r="N327" s="48" t="str">
        <f aca="false">IF($A327="","",IF(N(M327)=0,"–",IF(M327&lt;=Start!$D$20,"A",IF(M327&lt;=Start!$D$21,"B","C"))))</f>
        <v/>
      </c>
      <c r="O327" s="48" t="str">
        <f aca="false">IF($A327="","",IF(NOT(ISNUMBER(F327)),"Wert fehlt; ",IF(F327&lt;=0,"Wert ist 0; ",""))&amp;IF(NOT(ISNUMBER(E327)),"Bestand fehlt; ",IF(E327&lt;0,"Bestand negativ; ",IF(E327=0,"Nullbestand; ","")))&amp;IF(D327="","Warengruppe fehlt; ","")&amp;IF(B327="","Bezeichnung fehlt; ","")&amp;IF(COUNTIFS($A$2:$A$5001,$A327,$C$2:$C$5001,C327)&gt;1,"Artikel doppelt im selben Lager; ",""))</f>
        <v/>
      </c>
      <c r="P327" s="47" t="n">
        <f aca="false">IF(OR($A327="",D327=""),0,IF(COUNTIF($D$2:D327,D327)=1,SUMIF($D$2:$D$5001,D327,$H$2:$H$5001)+ROW()/10000000,0))</f>
        <v>0</v>
      </c>
      <c r="Q327" s="47" t="n">
        <f aca="false">IF(OR($A327="",C327=""),0,IF(COUNTIF($C$2:C327,C327)=1,SUMIF($C$2:$C$5001,C327,$H$2:$H$5001)+ROW()/10000000,0))</f>
        <v>0</v>
      </c>
    </row>
    <row r="328" customFormat="false" ht="15" hidden="false" customHeight="false" outlineLevel="0" collapsed="false">
      <c r="A328" s="43"/>
      <c r="B328" s="44"/>
      <c r="C328" s="44"/>
      <c r="D328" s="44"/>
      <c r="E328" s="44"/>
      <c r="F328" s="44"/>
      <c r="G328" s="44"/>
      <c r="H328" s="46" t="str">
        <f aca="false">IF($A328="","",IF(OR(NOT(ISNUMBER(E328)),NOT(ISNUMBER(F328))),"",MAX(0,E328)*F328))</f>
        <v/>
      </c>
      <c r="I328" s="46" t="str">
        <f aca="false">IF($A328="","",SUMIF($A$2:$A$5001,$A328,$H$2:$H$5001))</f>
        <v/>
      </c>
      <c r="J328" s="47" t="n">
        <f aca="false">IF($A328="",0,IF(COUNTIF($A$2:A328,$A328)=1,1,0))</f>
        <v>0</v>
      </c>
      <c r="K328" s="47" t="n">
        <f aca="false">IF(J328=1,N(I328)+ROW()/10000000,0)</f>
        <v>0</v>
      </c>
      <c r="L328" s="47" t="str">
        <f aca="false">IF(AND(J328=1,N(I328)&gt;0),SUMIF($K$2:$K$5001,"&gt;="&amp;K328,$I$2:$I$5001)/MAX(1,SUM($H$2:$H$5001)),"")</f>
        <v/>
      </c>
      <c r="M328" s="47" t="str">
        <f aca="false">IF($A328="","",INDEX($L$2:$L$5001,MATCH($A328,$A$2:$A$5001,0)))</f>
        <v/>
      </c>
      <c r="N328" s="48" t="str">
        <f aca="false">IF($A328="","",IF(N(M328)=0,"–",IF(M328&lt;=Start!$D$20,"A",IF(M328&lt;=Start!$D$21,"B","C"))))</f>
        <v/>
      </c>
      <c r="O328" s="48" t="str">
        <f aca="false">IF($A328="","",IF(NOT(ISNUMBER(F328)),"Wert fehlt; ",IF(F328&lt;=0,"Wert ist 0; ",""))&amp;IF(NOT(ISNUMBER(E328)),"Bestand fehlt; ",IF(E328&lt;0,"Bestand negativ; ",IF(E328=0,"Nullbestand; ","")))&amp;IF(D328="","Warengruppe fehlt; ","")&amp;IF(B328="","Bezeichnung fehlt; ","")&amp;IF(COUNTIFS($A$2:$A$5001,$A328,$C$2:$C$5001,C328)&gt;1,"Artikel doppelt im selben Lager; ",""))</f>
        <v/>
      </c>
      <c r="P328" s="47" t="n">
        <f aca="false">IF(OR($A328="",D328=""),0,IF(COUNTIF($D$2:D328,D328)=1,SUMIF($D$2:$D$5001,D328,$H$2:$H$5001)+ROW()/10000000,0))</f>
        <v>0</v>
      </c>
      <c r="Q328" s="47" t="n">
        <f aca="false">IF(OR($A328="",C328=""),0,IF(COUNTIF($C$2:C328,C328)=1,SUMIF($C$2:$C$5001,C328,$H$2:$H$5001)+ROW()/10000000,0))</f>
        <v>0</v>
      </c>
    </row>
    <row r="329" customFormat="false" ht="15" hidden="false" customHeight="false" outlineLevel="0" collapsed="false">
      <c r="A329" s="43"/>
      <c r="B329" s="44"/>
      <c r="C329" s="44"/>
      <c r="D329" s="44"/>
      <c r="E329" s="44"/>
      <c r="F329" s="44"/>
      <c r="G329" s="44"/>
      <c r="H329" s="46" t="str">
        <f aca="false">IF($A329="","",IF(OR(NOT(ISNUMBER(E329)),NOT(ISNUMBER(F329))),"",MAX(0,E329)*F329))</f>
        <v/>
      </c>
      <c r="I329" s="46" t="str">
        <f aca="false">IF($A329="","",SUMIF($A$2:$A$5001,$A329,$H$2:$H$5001))</f>
        <v/>
      </c>
      <c r="J329" s="47" t="n">
        <f aca="false">IF($A329="",0,IF(COUNTIF($A$2:A329,$A329)=1,1,0))</f>
        <v>0</v>
      </c>
      <c r="K329" s="47" t="n">
        <f aca="false">IF(J329=1,N(I329)+ROW()/10000000,0)</f>
        <v>0</v>
      </c>
      <c r="L329" s="47" t="str">
        <f aca="false">IF(AND(J329=1,N(I329)&gt;0),SUMIF($K$2:$K$5001,"&gt;="&amp;K329,$I$2:$I$5001)/MAX(1,SUM($H$2:$H$5001)),"")</f>
        <v/>
      </c>
      <c r="M329" s="47" t="str">
        <f aca="false">IF($A329="","",INDEX($L$2:$L$5001,MATCH($A329,$A$2:$A$5001,0)))</f>
        <v/>
      </c>
      <c r="N329" s="48" t="str">
        <f aca="false">IF($A329="","",IF(N(M329)=0,"–",IF(M329&lt;=Start!$D$20,"A",IF(M329&lt;=Start!$D$21,"B","C"))))</f>
        <v/>
      </c>
      <c r="O329" s="48" t="str">
        <f aca="false">IF($A329="","",IF(NOT(ISNUMBER(F329)),"Wert fehlt; ",IF(F329&lt;=0,"Wert ist 0; ",""))&amp;IF(NOT(ISNUMBER(E329)),"Bestand fehlt; ",IF(E329&lt;0,"Bestand negativ; ",IF(E329=0,"Nullbestand; ","")))&amp;IF(D329="","Warengruppe fehlt; ","")&amp;IF(B329="","Bezeichnung fehlt; ","")&amp;IF(COUNTIFS($A$2:$A$5001,$A329,$C$2:$C$5001,C329)&gt;1,"Artikel doppelt im selben Lager; ",""))</f>
        <v/>
      </c>
      <c r="P329" s="47" t="n">
        <f aca="false">IF(OR($A329="",D329=""),0,IF(COUNTIF($D$2:D329,D329)=1,SUMIF($D$2:$D$5001,D329,$H$2:$H$5001)+ROW()/10000000,0))</f>
        <v>0</v>
      </c>
      <c r="Q329" s="47" t="n">
        <f aca="false">IF(OR($A329="",C329=""),0,IF(COUNTIF($C$2:C329,C329)=1,SUMIF($C$2:$C$5001,C329,$H$2:$H$5001)+ROW()/10000000,0))</f>
        <v>0</v>
      </c>
    </row>
    <row r="330" customFormat="false" ht="15" hidden="false" customHeight="false" outlineLevel="0" collapsed="false">
      <c r="A330" s="43"/>
      <c r="B330" s="44"/>
      <c r="C330" s="44"/>
      <c r="D330" s="44"/>
      <c r="E330" s="44"/>
      <c r="F330" s="44"/>
      <c r="G330" s="44"/>
      <c r="H330" s="46" t="str">
        <f aca="false">IF($A330="","",IF(OR(NOT(ISNUMBER(E330)),NOT(ISNUMBER(F330))),"",MAX(0,E330)*F330))</f>
        <v/>
      </c>
      <c r="I330" s="46" t="str">
        <f aca="false">IF($A330="","",SUMIF($A$2:$A$5001,$A330,$H$2:$H$5001))</f>
        <v/>
      </c>
      <c r="J330" s="47" t="n">
        <f aca="false">IF($A330="",0,IF(COUNTIF($A$2:A330,$A330)=1,1,0))</f>
        <v>0</v>
      </c>
      <c r="K330" s="47" t="n">
        <f aca="false">IF(J330=1,N(I330)+ROW()/10000000,0)</f>
        <v>0</v>
      </c>
      <c r="L330" s="47" t="str">
        <f aca="false">IF(AND(J330=1,N(I330)&gt;0),SUMIF($K$2:$K$5001,"&gt;="&amp;K330,$I$2:$I$5001)/MAX(1,SUM($H$2:$H$5001)),"")</f>
        <v/>
      </c>
      <c r="M330" s="47" t="str">
        <f aca="false">IF($A330="","",INDEX($L$2:$L$5001,MATCH($A330,$A$2:$A$5001,0)))</f>
        <v/>
      </c>
      <c r="N330" s="48" t="str">
        <f aca="false">IF($A330="","",IF(N(M330)=0,"–",IF(M330&lt;=Start!$D$20,"A",IF(M330&lt;=Start!$D$21,"B","C"))))</f>
        <v/>
      </c>
      <c r="O330" s="48" t="str">
        <f aca="false">IF($A330="","",IF(NOT(ISNUMBER(F330)),"Wert fehlt; ",IF(F330&lt;=0,"Wert ist 0; ",""))&amp;IF(NOT(ISNUMBER(E330)),"Bestand fehlt; ",IF(E330&lt;0,"Bestand negativ; ",IF(E330=0,"Nullbestand; ","")))&amp;IF(D330="","Warengruppe fehlt; ","")&amp;IF(B330="","Bezeichnung fehlt; ","")&amp;IF(COUNTIFS($A$2:$A$5001,$A330,$C$2:$C$5001,C330)&gt;1,"Artikel doppelt im selben Lager; ",""))</f>
        <v/>
      </c>
      <c r="P330" s="47" t="n">
        <f aca="false">IF(OR($A330="",D330=""),0,IF(COUNTIF($D$2:D330,D330)=1,SUMIF($D$2:$D$5001,D330,$H$2:$H$5001)+ROW()/10000000,0))</f>
        <v>0</v>
      </c>
      <c r="Q330" s="47" t="n">
        <f aca="false">IF(OR($A330="",C330=""),0,IF(COUNTIF($C$2:C330,C330)=1,SUMIF($C$2:$C$5001,C330,$H$2:$H$5001)+ROW()/10000000,0))</f>
        <v>0</v>
      </c>
    </row>
    <row r="331" customFormat="false" ht="15" hidden="false" customHeight="false" outlineLevel="0" collapsed="false">
      <c r="A331" s="43"/>
      <c r="B331" s="44"/>
      <c r="C331" s="44"/>
      <c r="D331" s="44"/>
      <c r="E331" s="44"/>
      <c r="F331" s="44"/>
      <c r="G331" s="44"/>
      <c r="H331" s="46" t="str">
        <f aca="false">IF($A331="","",IF(OR(NOT(ISNUMBER(E331)),NOT(ISNUMBER(F331))),"",MAX(0,E331)*F331))</f>
        <v/>
      </c>
      <c r="I331" s="46" t="str">
        <f aca="false">IF($A331="","",SUMIF($A$2:$A$5001,$A331,$H$2:$H$5001))</f>
        <v/>
      </c>
      <c r="J331" s="47" t="n">
        <f aca="false">IF($A331="",0,IF(COUNTIF($A$2:A331,$A331)=1,1,0))</f>
        <v>0</v>
      </c>
      <c r="K331" s="47" t="n">
        <f aca="false">IF(J331=1,N(I331)+ROW()/10000000,0)</f>
        <v>0</v>
      </c>
      <c r="L331" s="47" t="str">
        <f aca="false">IF(AND(J331=1,N(I331)&gt;0),SUMIF($K$2:$K$5001,"&gt;="&amp;K331,$I$2:$I$5001)/MAX(1,SUM($H$2:$H$5001)),"")</f>
        <v/>
      </c>
      <c r="M331" s="47" t="str">
        <f aca="false">IF($A331="","",INDEX($L$2:$L$5001,MATCH($A331,$A$2:$A$5001,0)))</f>
        <v/>
      </c>
      <c r="N331" s="48" t="str">
        <f aca="false">IF($A331="","",IF(N(M331)=0,"–",IF(M331&lt;=Start!$D$20,"A",IF(M331&lt;=Start!$D$21,"B","C"))))</f>
        <v/>
      </c>
      <c r="O331" s="48" t="str">
        <f aca="false">IF($A331="","",IF(NOT(ISNUMBER(F331)),"Wert fehlt; ",IF(F331&lt;=0,"Wert ist 0; ",""))&amp;IF(NOT(ISNUMBER(E331)),"Bestand fehlt; ",IF(E331&lt;0,"Bestand negativ; ",IF(E331=0,"Nullbestand; ","")))&amp;IF(D331="","Warengruppe fehlt; ","")&amp;IF(B331="","Bezeichnung fehlt; ","")&amp;IF(COUNTIFS($A$2:$A$5001,$A331,$C$2:$C$5001,C331)&gt;1,"Artikel doppelt im selben Lager; ",""))</f>
        <v/>
      </c>
      <c r="P331" s="47" t="n">
        <f aca="false">IF(OR($A331="",D331=""),0,IF(COUNTIF($D$2:D331,D331)=1,SUMIF($D$2:$D$5001,D331,$H$2:$H$5001)+ROW()/10000000,0))</f>
        <v>0</v>
      </c>
      <c r="Q331" s="47" t="n">
        <f aca="false">IF(OR($A331="",C331=""),0,IF(COUNTIF($C$2:C331,C331)=1,SUMIF($C$2:$C$5001,C331,$H$2:$H$5001)+ROW()/10000000,0))</f>
        <v>0</v>
      </c>
    </row>
    <row r="332" customFormat="false" ht="15" hidden="false" customHeight="false" outlineLevel="0" collapsed="false">
      <c r="A332" s="43"/>
      <c r="B332" s="44"/>
      <c r="C332" s="44"/>
      <c r="D332" s="44"/>
      <c r="E332" s="44"/>
      <c r="F332" s="44"/>
      <c r="G332" s="44"/>
      <c r="H332" s="46" t="str">
        <f aca="false">IF($A332="","",IF(OR(NOT(ISNUMBER(E332)),NOT(ISNUMBER(F332))),"",MAX(0,E332)*F332))</f>
        <v/>
      </c>
      <c r="I332" s="46" t="str">
        <f aca="false">IF($A332="","",SUMIF($A$2:$A$5001,$A332,$H$2:$H$5001))</f>
        <v/>
      </c>
      <c r="J332" s="47" t="n">
        <f aca="false">IF($A332="",0,IF(COUNTIF($A$2:A332,$A332)=1,1,0))</f>
        <v>0</v>
      </c>
      <c r="K332" s="47" t="n">
        <f aca="false">IF(J332=1,N(I332)+ROW()/10000000,0)</f>
        <v>0</v>
      </c>
      <c r="L332" s="47" t="str">
        <f aca="false">IF(AND(J332=1,N(I332)&gt;0),SUMIF($K$2:$K$5001,"&gt;="&amp;K332,$I$2:$I$5001)/MAX(1,SUM($H$2:$H$5001)),"")</f>
        <v/>
      </c>
      <c r="M332" s="47" t="str">
        <f aca="false">IF($A332="","",INDEX($L$2:$L$5001,MATCH($A332,$A$2:$A$5001,0)))</f>
        <v/>
      </c>
      <c r="N332" s="48" t="str">
        <f aca="false">IF($A332="","",IF(N(M332)=0,"–",IF(M332&lt;=Start!$D$20,"A",IF(M332&lt;=Start!$D$21,"B","C"))))</f>
        <v/>
      </c>
      <c r="O332" s="48" t="str">
        <f aca="false">IF($A332="","",IF(NOT(ISNUMBER(F332)),"Wert fehlt; ",IF(F332&lt;=0,"Wert ist 0; ",""))&amp;IF(NOT(ISNUMBER(E332)),"Bestand fehlt; ",IF(E332&lt;0,"Bestand negativ; ",IF(E332=0,"Nullbestand; ","")))&amp;IF(D332="","Warengruppe fehlt; ","")&amp;IF(B332="","Bezeichnung fehlt; ","")&amp;IF(COUNTIFS($A$2:$A$5001,$A332,$C$2:$C$5001,C332)&gt;1,"Artikel doppelt im selben Lager; ",""))</f>
        <v/>
      </c>
      <c r="P332" s="47" t="n">
        <f aca="false">IF(OR($A332="",D332=""),0,IF(COUNTIF($D$2:D332,D332)=1,SUMIF($D$2:$D$5001,D332,$H$2:$H$5001)+ROW()/10000000,0))</f>
        <v>0</v>
      </c>
      <c r="Q332" s="47" t="n">
        <f aca="false">IF(OR($A332="",C332=""),0,IF(COUNTIF($C$2:C332,C332)=1,SUMIF($C$2:$C$5001,C332,$H$2:$H$5001)+ROW()/10000000,0))</f>
        <v>0</v>
      </c>
    </row>
    <row r="333" customFormat="false" ht="15" hidden="false" customHeight="false" outlineLevel="0" collapsed="false">
      <c r="A333" s="43"/>
      <c r="B333" s="44"/>
      <c r="C333" s="44"/>
      <c r="D333" s="44"/>
      <c r="E333" s="44"/>
      <c r="F333" s="44"/>
      <c r="G333" s="44"/>
      <c r="H333" s="46" t="str">
        <f aca="false">IF($A333="","",IF(OR(NOT(ISNUMBER(E333)),NOT(ISNUMBER(F333))),"",MAX(0,E333)*F333))</f>
        <v/>
      </c>
      <c r="I333" s="46" t="str">
        <f aca="false">IF($A333="","",SUMIF($A$2:$A$5001,$A333,$H$2:$H$5001))</f>
        <v/>
      </c>
      <c r="J333" s="47" t="n">
        <f aca="false">IF($A333="",0,IF(COUNTIF($A$2:A333,$A333)=1,1,0))</f>
        <v>0</v>
      </c>
      <c r="K333" s="47" t="n">
        <f aca="false">IF(J333=1,N(I333)+ROW()/10000000,0)</f>
        <v>0</v>
      </c>
      <c r="L333" s="47" t="str">
        <f aca="false">IF(AND(J333=1,N(I333)&gt;0),SUMIF($K$2:$K$5001,"&gt;="&amp;K333,$I$2:$I$5001)/MAX(1,SUM($H$2:$H$5001)),"")</f>
        <v/>
      </c>
      <c r="M333" s="47" t="str">
        <f aca="false">IF($A333="","",INDEX($L$2:$L$5001,MATCH($A333,$A$2:$A$5001,0)))</f>
        <v/>
      </c>
      <c r="N333" s="48" t="str">
        <f aca="false">IF($A333="","",IF(N(M333)=0,"–",IF(M333&lt;=Start!$D$20,"A",IF(M333&lt;=Start!$D$21,"B","C"))))</f>
        <v/>
      </c>
      <c r="O333" s="48" t="str">
        <f aca="false">IF($A333="","",IF(NOT(ISNUMBER(F333)),"Wert fehlt; ",IF(F333&lt;=0,"Wert ist 0; ",""))&amp;IF(NOT(ISNUMBER(E333)),"Bestand fehlt; ",IF(E333&lt;0,"Bestand negativ; ",IF(E333=0,"Nullbestand; ","")))&amp;IF(D333="","Warengruppe fehlt; ","")&amp;IF(B333="","Bezeichnung fehlt; ","")&amp;IF(COUNTIFS($A$2:$A$5001,$A333,$C$2:$C$5001,C333)&gt;1,"Artikel doppelt im selben Lager; ",""))</f>
        <v/>
      </c>
      <c r="P333" s="47" t="n">
        <f aca="false">IF(OR($A333="",D333=""),0,IF(COUNTIF($D$2:D333,D333)=1,SUMIF($D$2:$D$5001,D333,$H$2:$H$5001)+ROW()/10000000,0))</f>
        <v>0</v>
      </c>
      <c r="Q333" s="47" t="n">
        <f aca="false">IF(OR($A333="",C333=""),0,IF(COUNTIF($C$2:C333,C333)=1,SUMIF($C$2:$C$5001,C333,$H$2:$H$5001)+ROW()/10000000,0))</f>
        <v>0</v>
      </c>
    </row>
    <row r="334" customFormat="false" ht="15" hidden="false" customHeight="false" outlineLevel="0" collapsed="false">
      <c r="A334" s="43"/>
      <c r="B334" s="44"/>
      <c r="C334" s="44"/>
      <c r="D334" s="44"/>
      <c r="E334" s="44"/>
      <c r="F334" s="44"/>
      <c r="G334" s="44"/>
      <c r="H334" s="46" t="str">
        <f aca="false">IF($A334="","",IF(OR(NOT(ISNUMBER(E334)),NOT(ISNUMBER(F334))),"",MAX(0,E334)*F334))</f>
        <v/>
      </c>
      <c r="I334" s="46" t="str">
        <f aca="false">IF($A334="","",SUMIF($A$2:$A$5001,$A334,$H$2:$H$5001))</f>
        <v/>
      </c>
      <c r="J334" s="47" t="n">
        <f aca="false">IF($A334="",0,IF(COUNTIF($A$2:A334,$A334)=1,1,0))</f>
        <v>0</v>
      </c>
      <c r="K334" s="47" t="n">
        <f aca="false">IF(J334=1,N(I334)+ROW()/10000000,0)</f>
        <v>0</v>
      </c>
      <c r="L334" s="47" t="str">
        <f aca="false">IF(AND(J334=1,N(I334)&gt;0),SUMIF($K$2:$K$5001,"&gt;="&amp;K334,$I$2:$I$5001)/MAX(1,SUM($H$2:$H$5001)),"")</f>
        <v/>
      </c>
      <c r="M334" s="47" t="str">
        <f aca="false">IF($A334="","",INDEX($L$2:$L$5001,MATCH($A334,$A$2:$A$5001,0)))</f>
        <v/>
      </c>
      <c r="N334" s="48" t="str">
        <f aca="false">IF($A334="","",IF(N(M334)=0,"–",IF(M334&lt;=Start!$D$20,"A",IF(M334&lt;=Start!$D$21,"B","C"))))</f>
        <v/>
      </c>
      <c r="O334" s="48" t="str">
        <f aca="false">IF($A334="","",IF(NOT(ISNUMBER(F334)),"Wert fehlt; ",IF(F334&lt;=0,"Wert ist 0; ",""))&amp;IF(NOT(ISNUMBER(E334)),"Bestand fehlt; ",IF(E334&lt;0,"Bestand negativ; ",IF(E334=0,"Nullbestand; ","")))&amp;IF(D334="","Warengruppe fehlt; ","")&amp;IF(B334="","Bezeichnung fehlt; ","")&amp;IF(COUNTIFS($A$2:$A$5001,$A334,$C$2:$C$5001,C334)&gt;1,"Artikel doppelt im selben Lager; ",""))</f>
        <v/>
      </c>
      <c r="P334" s="47" t="n">
        <f aca="false">IF(OR($A334="",D334=""),0,IF(COUNTIF($D$2:D334,D334)=1,SUMIF($D$2:$D$5001,D334,$H$2:$H$5001)+ROW()/10000000,0))</f>
        <v>0</v>
      </c>
      <c r="Q334" s="47" t="n">
        <f aca="false">IF(OR($A334="",C334=""),0,IF(COUNTIF($C$2:C334,C334)=1,SUMIF($C$2:$C$5001,C334,$H$2:$H$5001)+ROW()/10000000,0))</f>
        <v>0</v>
      </c>
    </row>
    <row r="335" customFormat="false" ht="15" hidden="false" customHeight="false" outlineLevel="0" collapsed="false">
      <c r="A335" s="43"/>
      <c r="B335" s="44"/>
      <c r="C335" s="44"/>
      <c r="D335" s="44"/>
      <c r="E335" s="44"/>
      <c r="F335" s="44"/>
      <c r="G335" s="44"/>
      <c r="H335" s="46" t="str">
        <f aca="false">IF($A335="","",IF(OR(NOT(ISNUMBER(E335)),NOT(ISNUMBER(F335))),"",MAX(0,E335)*F335))</f>
        <v/>
      </c>
      <c r="I335" s="46" t="str">
        <f aca="false">IF($A335="","",SUMIF($A$2:$A$5001,$A335,$H$2:$H$5001))</f>
        <v/>
      </c>
      <c r="J335" s="47" t="n">
        <f aca="false">IF($A335="",0,IF(COUNTIF($A$2:A335,$A335)=1,1,0))</f>
        <v>0</v>
      </c>
      <c r="K335" s="47" t="n">
        <f aca="false">IF(J335=1,N(I335)+ROW()/10000000,0)</f>
        <v>0</v>
      </c>
      <c r="L335" s="47" t="str">
        <f aca="false">IF(AND(J335=1,N(I335)&gt;0),SUMIF($K$2:$K$5001,"&gt;="&amp;K335,$I$2:$I$5001)/MAX(1,SUM($H$2:$H$5001)),"")</f>
        <v/>
      </c>
      <c r="M335" s="47" t="str">
        <f aca="false">IF($A335="","",INDEX($L$2:$L$5001,MATCH($A335,$A$2:$A$5001,0)))</f>
        <v/>
      </c>
      <c r="N335" s="48" t="str">
        <f aca="false">IF($A335="","",IF(N(M335)=0,"–",IF(M335&lt;=Start!$D$20,"A",IF(M335&lt;=Start!$D$21,"B","C"))))</f>
        <v/>
      </c>
      <c r="O335" s="48" t="str">
        <f aca="false">IF($A335="","",IF(NOT(ISNUMBER(F335)),"Wert fehlt; ",IF(F335&lt;=0,"Wert ist 0; ",""))&amp;IF(NOT(ISNUMBER(E335)),"Bestand fehlt; ",IF(E335&lt;0,"Bestand negativ; ",IF(E335=0,"Nullbestand; ","")))&amp;IF(D335="","Warengruppe fehlt; ","")&amp;IF(B335="","Bezeichnung fehlt; ","")&amp;IF(COUNTIFS($A$2:$A$5001,$A335,$C$2:$C$5001,C335)&gt;1,"Artikel doppelt im selben Lager; ",""))</f>
        <v/>
      </c>
      <c r="P335" s="47" t="n">
        <f aca="false">IF(OR($A335="",D335=""),0,IF(COUNTIF($D$2:D335,D335)=1,SUMIF($D$2:$D$5001,D335,$H$2:$H$5001)+ROW()/10000000,0))</f>
        <v>0</v>
      </c>
      <c r="Q335" s="47" t="n">
        <f aca="false">IF(OR($A335="",C335=""),0,IF(COUNTIF($C$2:C335,C335)=1,SUMIF($C$2:$C$5001,C335,$H$2:$H$5001)+ROW()/10000000,0))</f>
        <v>0</v>
      </c>
    </row>
    <row r="336" customFormat="false" ht="15" hidden="false" customHeight="false" outlineLevel="0" collapsed="false">
      <c r="A336" s="43"/>
      <c r="B336" s="44"/>
      <c r="C336" s="44"/>
      <c r="D336" s="44"/>
      <c r="E336" s="44"/>
      <c r="F336" s="44"/>
      <c r="G336" s="44"/>
      <c r="H336" s="46" t="str">
        <f aca="false">IF($A336="","",IF(OR(NOT(ISNUMBER(E336)),NOT(ISNUMBER(F336))),"",MAX(0,E336)*F336))</f>
        <v/>
      </c>
      <c r="I336" s="46" t="str">
        <f aca="false">IF($A336="","",SUMIF($A$2:$A$5001,$A336,$H$2:$H$5001))</f>
        <v/>
      </c>
      <c r="J336" s="47" t="n">
        <f aca="false">IF($A336="",0,IF(COUNTIF($A$2:A336,$A336)=1,1,0))</f>
        <v>0</v>
      </c>
      <c r="K336" s="47" t="n">
        <f aca="false">IF(J336=1,N(I336)+ROW()/10000000,0)</f>
        <v>0</v>
      </c>
      <c r="L336" s="47" t="str">
        <f aca="false">IF(AND(J336=1,N(I336)&gt;0),SUMIF($K$2:$K$5001,"&gt;="&amp;K336,$I$2:$I$5001)/MAX(1,SUM($H$2:$H$5001)),"")</f>
        <v/>
      </c>
      <c r="M336" s="47" t="str">
        <f aca="false">IF($A336="","",INDEX($L$2:$L$5001,MATCH($A336,$A$2:$A$5001,0)))</f>
        <v/>
      </c>
      <c r="N336" s="48" t="str">
        <f aca="false">IF($A336="","",IF(N(M336)=0,"–",IF(M336&lt;=Start!$D$20,"A",IF(M336&lt;=Start!$D$21,"B","C"))))</f>
        <v/>
      </c>
      <c r="O336" s="48" t="str">
        <f aca="false">IF($A336="","",IF(NOT(ISNUMBER(F336)),"Wert fehlt; ",IF(F336&lt;=0,"Wert ist 0; ",""))&amp;IF(NOT(ISNUMBER(E336)),"Bestand fehlt; ",IF(E336&lt;0,"Bestand negativ; ",IF(E336=0,"Nullbestand; ","")))&amp;IF(D336="","Warengruppe fehlt; ","")&amp;IF(B336="","Bezeichnung fehlt; ","")&amp;IF(COUNTIFS($A$2:$A$5001,$A336,$C$2:$C$5001,C336)&gt;1,"Artikel doppelt im selben Lager; ",""))</f>
        <v/>
      </c>
      <c r="P336" s="47" t="n">
        <f aca="false">IF(OR($A336="",D336=""),0,IF(COUNTIF($D$2:D336,D336)=1,SUMIF($D$2:$D$5001,D336,$H$2:$H$5001)+ROW()/10000000,0))</f>
        <v>0</v>
      </c>
      <c r="Q336" s="47" t="n">
        <f aca="false">IF(OR($A336="",C336=""),0,IF(COUNTIF($C$2:C336,C336)=1,SUMIF($C$2:$C$5001,C336,$H$2:$H$5001)+ROW()/10000000,0))</f>
        <v>0</v>
      </c>
    </row>
    <row r="337" customFormat="false" ht="15" hidden="false" customHeight="false" outlineLevel="0" collapsed="false">
      <c r="A337" s="43"/>
      <c r="B337" s="44"/>
      <c r="C337" s="44"/>
      <c r="D337" s="44"/>
      <c r="E337" s="44"/>
      <c r="F337" s="44"/>
      <c r="G337" s="44"/>
      <c r="H337" s="46" t="str">
        <f aca="false">IF($A337="","",IF(OR(NOT(ISNUMBER(E337)),NOT(ISNUMBER(F337))),"",MAX(0,E337)*F337))</f>
        <v/>
      </c>
      <c r="I337" s="46" t="str">
        <f aca="false">IF($A337="","",SUMIF($A$2:$A$5001,$A337,$H$2:$H$5001))</f>
        <v/>
      </c>
      <c r="J337" s="47" t="n">
        <f aca="false">IF($A337="",0,IF(COUNTIF($A$2:A337,$A337)=1,1,0))</f>
        <v>0</v>
      </c>
      <c r="K337" s="47" t="n">
        <f aca="false">IF(J337=1,N(I337)+ROW()/10000000,0)</f>
        <v>0</v>
      </c>
      <c r="L337" s="47" t="str">
        <f aca="false">IF(AND(J337=1,N(I337)&gt;0),SUMIF($K$2:$K$5001,"&gt;="&amp;K337,$I$2:$I$5001)/MAX(1,SUM($H$2:$H$5001)),"")</f>
        <v/>
      </c>
      <c r="M337" s="47" t="str">
        <f aca="false">IF($A337="","",INDEX($L$2:$L$5001,MATCH($A337,$A$2:$A$5001,0)))</f>
        <v/>
      </c>
      <c r="N337" s="48" t="str">
        <f aca="false">IF($A337="","",IF(N(M337)=0,"–",IF(M337&lt;=Start!$D$20,"A",IF(M337&lt;=Start!$D$21,"B","C"))))</f>
        <v/>
      </c>
      <c r="O337" s="48" t="str">
        <f aca="false">IF($A337="","",IF(NOT(ISNUMBER(F337)),"Wert fehlt; ",IF(F337&lt;=0,"Wert ist 0; ",""))&amp;IF(NOT(ISNUMBER(E337)),"Bestand fehlt; ",IF(E337&lt;0,"Bestand negativ; ",IF(E337=0,"Nullbestand; ","")))&amp;IF(D337="","Warengruppe fehlt; ","")&amp;IF(B337="","Bezeichnung fehlt; ","")&amp;IF(COUNTIFS($A$2:$A$5001,$A337,$C$2:$C$5001,C337)&gt;1,"Artikel doppelt im selben Lager; ",""))</f>
        <v/>
      </c>
      <c r="P337" s="47" t="n">
        <f aca="false">IF(OR($A337="",D337=""),0,IF(COUNTIF($D$2:D337,D337)=1,SUMIF($D$2:$D$5001,D337,$H$2:$H$5001)+ROW()/10000000,0))</f>
        <v>0</v>
      </c>
      <c r="Q337" s="47" t="n">
        <f aca="false">IF(OR($A337="",C337=""),0,IF(COUNTIF($C$2:C337,C337)=1,SUMIF($C$2:$C$5001,C337,$H$2:$H$5001)+ROW()/10000000,0))</f>
        <v>0</v>
      </c>
    </row>
    <row r="338" customFormat="false" ht="15" hidden="false" customHeight="false" outlineLevel="0" collapsed="false">
      <c r="A338" s="43"/>
      <c r="B338" s="44"/>
      <c r="C338" s="44"/>
      <c r="D338" s="44"/>
      <c r="E338" s="44"/>
      <c r="F338" s="44"/>
      <c r="G338" s="44"/>
      <c r="H338" s="46" t="str">
        <f aca="false">IF($A338="","",IF(OR(NOT(ISNUMBER(E338)),NOT(ISNUMBER(F338))),"",MAX(0,E338)*F338))</f>
        <v/>
      </c>
      <c r="I338" s="46" t="str">
        <f aca="false">IF($A338="","",SUMIF($A$2:$A$5001,$A338,$H$2:$H$5001))</f>
        <v/>
      </c>
      <c r="J338" s="47" t="n">
        <f aca="false">IF($A338="",0,IF(COUNTIF($A$2:A338,$A338)=1,1,0))</f>
        <v>0</v>
      </c>
      <c r="K338" s="47" t="n">
        <f aca="false">IF(J338=1,N(I338)+ROW()/10000000,0)</f>
        <v>0</v>
      </c>
      <c r="L338" s="47" t="str">
        <f aca="false">IF(AND(J338=1,N(I338)&gt;0),SUMIF($K$2:$K$5001,"&gt;="&amp;K338,$I$2:$I$5001)/MAX(1,SUM($H$2:$H$5001)),"")</f>
        <v/>
      </c>
      <c r="M338" s="47" t="str">
        <f aca="false">IF($A338="","",INDEX($L$2:$L$5001,MATCH($A338,$A$2:$A$5001,0)))</f>
        <v/>
      </c>
      <c r="N338" s="48" t="str">
        <f aca="false">IF($A338="","",IF(N(M338)=0,"–",IF(M338&lt;=Start!$D$20,"A",IF(M338&lt;=Start!$D$21,"B","C"))))</f>
        <v/>
      </c>
      <c r="O338" s="48" t="str">
        <f aca="false">IF($A338="","",IF(NOT(ISNUMBER(F338)),"Wert fehlt; ",IF(F338&lt;=0,"Wert ist 0; ",""))&amp;IF(NOT(ISNUMBER(E338)),"Bestand fehlt; ",IF(E338&lt;0,"Bestand negativ; ",IF(E338=0,"Nullbestand; ","")))&amp;IF(D338="","Warengruppe fehlt; ","")&amp;IF(B338="","Bezeichnung fehlt; ","")&amp;IF(COUNTIFS($A$2:$A$5001,$A338,$C$2:$C$5001,C338)&gt;1,"Artikel doppelt im selben Lager; ",""))</f>
        <v/>
      </c>
      <c r="P338" s="47" t="n">
        <f aca="false">IF(OR($A338="",D338=""),0,IF(COUNTIF($D$2:D338,D338)=1,SUMIF($D$2:$D$5001,D338,$H$2:$H$5001)+ROW()/10000000,0))</f>
        <v>0</v>
      </c>
      <c r="Q338" s="47" t="n">
        <f aca="false">IF(OR($A338="",C338=""),0,IF(COUNTIF($C$2:C338,C338)=1,SUMIF($C$2:$C$5001,C338,$H$2:$H$5001)+ROW()/10000000,0))</f>
        <v>0</v>
      </c>
    </row>
    <row r="339" customFormat="false" ht="15" hidden="false" customHeight="false" outlineLevel="0" collapsed="false">
      <c r="A339" s="43"/>
      <c r="B339" s="44"/>
      <c r="C339" s="44"/>
      <c r="D339" s="44"/>
      <c r="E339" s="44"/>
      <c r="F339" s="44"/>
      <c r="G339" s="44"/>
      <c r="H339" s="46" t="str">
        <f aca="false">IF($A339="","",IF(OR(NOT(ISNUMBER(E339)),NOT(ISNUMBER(F339))),"",MAX(0,E339)*F339))</f>
        <v/>
      </c>
      <c r="I339" s="46" t="str">
        <f aca="false">IF($A339="","",SUMIF($A$2:$A$5001,$A339,$H$2:$H$5001))</f>
        <v/>
      </c>
      <c r="J339" s="47" t="n">
        <f aca="false">IF($A339="",0,IF(COUNTIF($A$2:A339,$A339)=1,1,0))</f>
        <v>0</v>
      </c>
      <c r="K339" s="47" t="n">
        <f aca="false">IF(J339=1,N(I339)+ROW()/10000000,0)</f>
        <v>0</v>
      </c>
      <c r="L339" s="47" t="str">
        <f aca="false">IF(AND(J339=1,N(I339)&gt;0),SUMIF($K$2:$K$5001,"&gt;="&amp;K339,$I$2:$I$5001)/MAX(1,SUM($H$2:$H$5001)),"")</f>
        <v/>
      </c>
      <c r="M339" s="47" t="str">
        <f aca="false">IF($A339="","",INDEX($L$2:$L$5001,MATCH($A339,$A$2:$A$5001,0)))</f>
        <v/>
      </c>
      <c r="N339" s="48" t="str">
        <f aca="false">IF($A339="","",IF(N(M339)=0,"–",IF(M339&lt;=Start!$D$20,"A",IF(M339&lt;=Start!$D$21,"B","C"))))</f>
        <v/>
      </c>
      <c r="O339" s="48" t="str">
        <f aca="false">IF($A339="","",IF(NOT(ISNUMBER(F339)),"Wert fehlt; ",IF(F339&lt;=0,"Wert ist 0; ",""))&amp;IF(NOT(ISNUMBER(E339)),"Bestand fehlt; ",IF(E339&lt;0,"Bestand negativ; ",IF(E339=0,"Nullbestand; ","")))&amp;IF(D339="","Warengruppe fehlt; ","")&amp;IF(B339="","Bezeichnung fehlt; ","")&amp;IF(COUNTIFS($A$2:$A$5001,$A339,$C$2:$C$5001,C339)&gt;1,"Artikel doppelt im selben Lager; ",""))</f>
        <v/>
      </c>
      <c r="P339" s="47" t="n">
        <f aca="false">IF(OR($A339="",D339=""),0,IF(COUNTIF($D$2:D339,D339)=1,SUMIF($D$2:$D$5001,D339,$H$2:$H$5001)+ROW()/10000000,0))</f>
        <v>0</v>
      </c>
      <c r="Q339" s="47" t="n">
        <f aca="false">IF(OR($A339="",C339=""),0,IF(COUNTIF($C$2:C339,C339)=1,SUMIF($C$2:$C$5001,C339,$H$2:$H$5001)+ROW()/10000000,0))</f>
        <v>0</v>
      </c>
    </row>
    <row r="340" customFormat="false" ht="15" hidden="false" customHeight="false" outlineLevel="0" collapsed="false">
      <c r="A340" s="43"/>
      <c r="B340" s="44"/>
      <c r="C340" s="44"/>
      <c r="D340" s="44"/>
      <c r="E340" s="44"/>
      <c r="F340" s="44"/>
      <c r="G340" s="44"/>
      <c r="H340" s="46" t="str">
        <f aca="false">IF($A340="","",IF(OR(NOT(ISNUMBER(E340)),NOT(ISNUMBER(F340))),"",MAX(0,E340)*F340))</f>
        <v/>
      </c>
      <c r="I340" s="46" t="str">
        <f aca="false">IF($A340="","",SUMIF($A$2:$A$5001,$A340,$H$2:$H$5001))</f>
        <v/>
      </c>
      <c r="J340" s="47" t="n">
        <f aca="false">IF($A340="",0,IF(COUNTIF($A$2:A340,$A340)=1,1,0))</f>
        <v>0</v>
      </c>
      <c r="K340" s="47" t="n">
        <f aca="false">IF(J340=1,N(I340)+ROW()/10000000,0)</f>
        <v>0</v>
      </c>
      <c r="L340" s="47" t="str">
        <f aca="false">IF(AND(J340=1,N(I340)&gt;0),SUMIF($K$2:$K$5001,"&gt;="&amp;K340,$I$2:$I$5001)/MAX(1,SUM($H$2:$H$5001)),"")</f>
        <v/>
      </c>
      <c r="M340" s="47" t="str">
        <f aca="false">IF($A340="","",INDEX($L$2:$L$5001,MATCH($A340,$A$2:$A$5001,0)))</f>
        <v/>
      </c>
      <c r="N340" s="48" t="str">
        <f aca="false">IF($A340="","",IF(N(M340)=0,"–",IF(M340&lt;=Start!$D$20,"A",IF(M340&lt;=Start!$D$21,"B","C"))))</f>
        <v/>
      </c>
      <c r="O340" s="48" t="str">
        <f aca="false">IF($A340="","",IF(NOT(ISNUMBER(F340)),"Wert fehlt; ",IF(F340&lt;=0,"Wert ist 0; ",""))&amp;IF(NOT(ISNUMBER(E340)),"Bestand fehlt; ",IF(E340&lt;0,"Bestand negativ; ",IF(E340=0,"Nullbestand; ","")))&amp;IF(D340="","Warengruppe fehlt; ","")&amp;IF(B340="","Bezeichnung fehlt; ","")&amp;IF(COUNTIFS($A$2:$A$5001,$A340,$C$2:$C$5001,C340)&gt;1,"Artikel doppelt im selben Lager; ",""))</f>
        <v/>
      </c>
      <c r="P340" s="47" t="n">
        <f aca="false">IF(OR($A340="",D340=""),0,IF(COUNTIF($D$2:D340,D340)=1,SUMIF($D$2:$D$5001,D340,$H$2:$H$5001)+ROW()/10000000,0))</f>
        <v>0</v>
      </c>
      <c r="Q340" s="47" t="n">
        <f aca="false">IF(OR($A340="",C340=""),0,IF(COUNTIF($C$2:C340,C340)=1,SUMIF($C$2:$C$5001,C340,$H$2:$H$5001)+ROW()/10000000,0))</f>
        <v>0</v>
      </c>
    </row>
    <row r="341" customFormat="false" ht="15" hidden="false" customHeight="false" outlineLevel="0" collapsed="false">
      <c r="A341" s="43"/>
      <c r="B341" s="44"/>
      <c r="C341" s="44"/>
      <c r="D341" s="44"/>
      <c r="E341" s="44"/>
      <c r="F341" s="44"/>
      <c r="G341" s="44"/>
      <c r="H341" s="46" t="str">
        <f aca="false">IF($A341="","",IF(OR(NOT(ISNUMBER(E341)),NOT(ISNUMBER(F341))),"",MAX(0,E341)*F341))</f>
        <v/>
      </c>
      <c r="I341" s="46" t="str">
        <f aca="false">IF($A341="","",SUMIF($A$2:$A$5001,$A341,$H$2:$H$5001))</f>
        <v/>
      </c>
      <c r="J341" s="47" t="n">
        <f aca="false">IF($A341="",0,IF(COUNTIF($A$2:A341,$A341)=1,1,0))</f>
        <v>0</v>
      </c>
      <c r="K341" s="47" t="n">
        <f aca="false">IF(J341=1,N(I341)+ROW()/10000000,0)</f>
        <v>0</v>
      </c>
      <c r="L341" s="47" t="str">
        <f aca="false">IF(AND(J341=1,N(I341)&gt;0),SUMIF($K$2:$K$5001,"&gt;="&amp;K341,$I$2:$I$5001)/MAX(1,SUM($H$2:$H$5001)),"")</f>
        <v/>
      </c>
      <c r="M341" s="47" t="str">
        <f aca="false">IF($A341="","",INDEX($L$2:$L$5001,MATCH($A341,$A$2:$A$5001,0)))</f>
        <v/>
      </c>
      <c r="N341" s="48" t="str">
        <f aca="false">IF($A341="","",IF(N(M341)=0,"–",IF(M341&lt;=Start!$D$20,"A",IF(M341&lt;=Start!$D$21,"B","C"))))</f>
        <v/>
      </c>
      <c r="O341" s="48" t="str">
        <f aca="false">IF($A341="","",IF(NOT(ISNUMBER(F341)),"Wert fehlt; ",IF(F341&lt;=0,"Wert ist 0; ",""))&amp;IF(NOT(ISNUMBER(E341)),"Bestand fehlt; ",IF(E341&lt;0,"Bestand negativ; ",IF(E341=0,"Nullbestand; ","")))&amp;IF(D341="","Warengruppe fehlt; ","")&amp;IF(B341="","Bezeichnung fehlt; ","")&amp;IF(COUNTIFS($A$2:$A$5001,$A341,$C$2:$C$5001,C341)&gt;1,"Artikel doppelt im selben Lager; ",""))</f>
        <v/>
      </c>
      <c r="P341" s="47" t="n">
        <f aca="false">IF(OR($A341="",D341=""),0,IF(COUNTIF($D$2:D341,D341)=1,SUMIF($D$2:$D$5001,D341,$H$2:$H$5001)+ROW()/10000000,0))</f>
        <v>0</v>
      </c>
      <c r="Q341" s="47" t="n">
        <f aca="false">IF(OR($A341="",C341=""),0,IF(COUNTIF($C$2:C341,C341)=1,SUMIF($C$2:$C$5001,C341,$H$2:$H$5001)+ROW()/10000000,0))</f>
        <v>0</v>
      </c>
    </row>
    <row r="342" customFormat="false" ht="15" hidden="false" customHeight="false" outlineLevel="0" collapsed="false">
      <c r="A342" s="43"/>
      <c r="B342" s="44"/>
      <c r="C342" s="44"/>
      <c r="D342" s="44"/>
      <c r="E342" s="44"/>
      <c r="F342" s="44"/>
      <c r="G342" s="44"/>
      <c r="H342" s="46" t="str">
        <f aca="false">IF($A342="","",IF(OR(NOT(ISNUMBER(E342)),NOT(ISNUMBER(F342))),"",MAX(0,E342)*F342))</f>
        <v/>
      </c>
      <c r="I342" s="46" t="str">
        <f aca="false">IF($A342="","",SUMIF($A$2:$A$5001,$A342,$H$2:$H$5001))</f>
        <v/>
      </c>
      <c r="J342" s="47" t="n">
        <f aca="false">IF($A342="",0,IF(COUNTIF($A$2:A342,$A342)=1,1,0))</f>
        <v>0</v>
      </c>
      <c r="K342" s="47" t="n">
        <f aca="false">IF(J342=1,N(I342)+ROW()/10000000,0)</f>
        <v>0</v>
      </c>
      <c r="L342" s="47" t="str">
        <f aca="false">IF(AND(J342=1,N(I342)&gt;0),SUMIF($K$2:$K$5001,"&gt;="&amp;K342,$I$2:$I$5001)/MAX(1,SUM($H$2:$H$5001)),"")</f>
        <v/>
      </c>
      <c r="M342" s="47" t="str">
        <f aca="false">IF($A342="","",INDEX($L$2:$L$5001,MATCH($A342,$A$2:$A$5001,0)))</f>
        <v/>
      </c>
      <c r="N342" s="48" t="str">
        <f aca="false">IF($A342="","",IF(N(M342)=0,"–",IF(M342&lt;=Start!$D$20,"A",IF(M342&lt;=Start!$D$21,"B","C"))))</f>
        <v/>
      </c>
      <c r="O342" s="48" t="str">
        <f aca="false">IF($A342="","",IF(NOT(ISNUMBER(F342)),"Wert fehlt; ",IF(F342&lt;=0,"Wert ist 0; ",""))&amp;IF(NOT(ISNUMBER(E342)),"Bestand fehlt; ",IF(E342&lt;0,"Bestand negativ; ",IF(E342=0,"Nullbestand; ","")))&amp;IF(D342="","Warengruppe fehlt; ","")&amp;IF(B342="","Bezeichnung fehlt; ","")&amp;IF(COUNTIFS($A$2:$A$5001,$A342,$C$2:$C$5001,C342)&gt;1,"Artikel doppelt im selben Lager; ",""))</f>
        <v/>
      </c>
      <c r="P342" s="47" t="n">
        <f aca="false">IF(OR($A342="",D342=""),0,IF(COUNTIF($D$2:D342,D342)=1,SUMIF($D$2:$D$5001,D342,$H$2:$H$5001)+ROW()/10000000,0))</f>
        <v>0</v>
      </c>
      <c r="Q342" s="47" t="n">
        <f aca="false">IF(OR($A342="",C342=""),0,IF(COUNTIF($C$2:C342,C342)=1,SUMIF($C$2:$C$5001,C342,$H$2:$H$5001)+ROW()/10000000,0))</f>
        <v>0</v>
      </c>
    </row>
    <row r="343" customFormat="false" ht="15" hidden="false" customHeight="false" outlineLevel="0" collapsed="false">
      <c r="A343" s="43"/>
      <c r="B343" s="44"/>
      <c r="C343" s="44"/>
      <c r="D343" s="44"/>
      <c r="E343" s="44"/>
      <c r="F343" s="44"/>
      <c r="G343" s="44"/>
      <c r="H343" s="46" t="str">
        <f aca="false">IF($A343="","",IF(OR(NOT(ISNUMBER(E343)),NOT(ISNUMBER(F343))),"",MAX(0,E343)*F343))</f>
        <v/>
      </c>
      <c r="I343" s="46" t="str">
        <f aca="false">IF($A343="","",SUMIF($A$2:$A$5001,$A343,$H$2:$H$5001))</f>
        <v/>
      </c>
      <c r="J343" s="47" t="n">
        <f aca="false">IF($A343="",0,IF(COUNTIF($A$2:A343,$A343)=1,1,0))</f>
        <v>0</v>
      </c>
      <c r="K343" s="47" t="n">
        <f aca="false">IF(J343=1,N(I343)+ROW()/10000000,0)</f>
        <v>0</v>
      </c>
      <c r="L343" s="47" t="str">
        <f aca="false">IF(AND(J343=1,N(I343)&gt;0),SUMIF($K$2:$K$5001,"&gt;="&amp;K343,$I$2:$I$5001)/MAX(1,SUM($H$2:$H$5001)),"")</f>
        <v/>
      </c>
      <c r="M343" s="47" t="str">
        <f aca="false">IF($A343="","",INDEX($L$2:$L$5001,MATCH($A343,$A$2:$A$5001,0)))</f>
        <v/>
      </c>
      <c r="N343" s="48" t="str">
        <f aca="false">IF($A343="","",IF(N(M343)=0,"–",IF(M343&lt;=Start!$D$20,"A",IF(M343&lt;=Start!$D$21,"B","C"))))</f>
        <v/>
      </c>
      <c r="O343" s="48" t="str">
        <f aca="false">IF($A343="","",IF(NOT(ISNUMBER(F343)),"Wert fehlt; ",IF(F343&lt;=0,"Wert ist 0; ",""))&amp;IF(NOT(ISNUMBER(E343)),"Bestand fehlt; ",IF(E343&lt;0,"Bestand negativ; ",IF(E343=0,"Nullbestand; ","")))&amp;IF(D343="","Warengruppe fehlt; ","")&amp;IF(B343="","Bezeichnung fehlt; ","")&amp;IF(COUNTIFS($A$2:$A$5001,$A343,$C$2:$C$5001,C343)&gt;1,"Artikel doppelt im selben Lager; ",""))</f>
        <v/>
      </c>
      <c r="P343" s="47" t="n">
        <f aca="false">IF(OR($A343="",D343=""),0,IF(COUNTIF($D$2:D343,D343)=1,SUMIF($D$2:$D$5001,D343,$H$2:$H$5001)+ROW()/10000000,0))</f>
        <v>0</v>
      </c>
      <c r="Q343" s="47" t="n">
        <f aca="false">IF(OR($A343="",C343=""),0,IF(COUNTIF($C$2:C343,C343)=1,SUMIF($C$2:$C$5001,C343,$H$2:$H$5001)+ROW()/10000000,0))</f>
        <v>0</v>
      </c>
    </row>
    <row r="344" customFormat="false" ht="15" hidden="false" customHeight="false" outlineLevel="0" collapsed="false">
      <c r="A344" s="43"/>
      <c r="B344" s="44"/>
      <c r="C344" s="44"/>
      <c r="D344" s="44"/>
      <c r="E344" s="44"/>
      <c r="F344" s="44"/>
      <c r="G344" s="44"/>
      <c r="H344" s="46" t="str">
        <f aca="false">IF($A344="","",IF(OR(NOT(ISNUMBER(E344)),NOT(ISNUMBER(F344))),"",MAX(0,E344)*F344))</f>
        <v/>
      </c>
      <c r="I344" s="46" t="str">
        <f aca="false">IF($A344="","",SUMIF($A$2:$A$5001,$A344,$H$2:$H$5001))</f>
        <v/>
      </c>
      <c r="J344" s="47" t="n">
        <f aca="false">IF($A344="",0,IF(COUNTIF($A$2:A344,$A344)=1,1,0))</f>
        <v>0</v>
      </c>
      <c r="K344" s="47" t="n">
        <f aca="false">IF(J344=1,N(I344)+ROW()/10000000,0)</f>
        <v>0</v>
      </c>
      <c r="L344" s="47" t="str">
        <f aca="false">IF(AND(J344=1,N(I344)&gt;0),SUMIF($K$2:$K$5001,"&gt;="&amp;K344,$I$2:$I$5001)/MAX(1,SUM($H$2:$H$5001)),"")</f>
        <v/>
      </c>
      <c r="M344" s="47" t="str">
        <f aca="false">IF($A344="","",INDEX($L$2:$L$5001,MATCH($A344,$A$2:$A$5001,0)))</f>
        <v/>
      </c>
      <c r="N344" s="48" t="str">
        <f aca="false">IF($A344="","",IF(N(M344)=0,"–",IF(M344&lt;=Start!$D$20,"A",IF(M344&lt;=Start!$D$21,"B","C"))))</f>
        <v/>
      </c>
      <c r="O344" s="48" t="str">
        <f aca="false">IF($A344="","",IF(NOT(ISNUMBER(F344)),"Wert fehlt; ",IF(F344&lt;=0,"Wert ist 0; ",""))&amp;IF(NOT(ISNUMBER(E344)),"Bestand fehlt; ",IF(E344&lt;0,"Bestand negativ; ",IF(E344=0,"Nullbestand; ","")))&amp;IF(D344="","Warengruppe fehlt; ","")&amp;IF(B344="","Bezeichnung fehlt; ","")&amp;IF(COUNTIFS($A$2:$A$5001,$A344,$C$2:$C$5001,C344)&gt;1,"Artikel doppelt im selben Lager; ",""))</f>
        <v/>
      </c>
      <c r="P344" s="47" t="n">
        <f aca="false">IF(OR($A344="",D344=""),0,IF(COUNTIF($D$2:D344,D344)=1,SUMIF($D$2:$D$5001,D344,$H$2:$H$5001)+ROW()/10000000,0))</f>
        <v>0</v>
      </c>
      <c r="Q344" s="47" t="n">
        <f aca="false">IF(OR($A344="",C344=""),0,IF(COUNTIF($C$2:C344,C344)=1,SUMIF($C$2:$C$5001,C344,$H$2:$H$5001)+ROW()/10000000,0))</f>
        <v>0</v>
      </c>
    </row>
    <row r="345" customFormat="false" ht="15" hidden="false" customHeight="false" outlineLevel="0" collapsed="false">
      <c r="A345" s="43"/>
      <c r="B345" s="44"/>
      <c r="C345" s="44"/>
      <c r="D345" s="44"/>
      <c r="E345" s="44"/>
      <c r="F345" s="44"/>
      <c r="G345" s="44"/>
      <c r="H345" s="46" t="str">
        <f aca="false">IF($A345="","",IF(OR(NOT(ISNUMBER(E345)),NOT(ISNUMBER(F345))),"",MAX(0,E345)*F345))</f>
        <v/>
      </c>
      <c r="I345" s="46" t="str">
        <f aca="false">IF($A345="","",SUMIF($A$2:$A$5001,$A345,$H$2:$H$5001))</f>
        <v/>
      </c>
      <c r="J345" s="47" t="n">
        <f aca="false">IF($A345="",0,IF(COUNTIF($A$2:A345,$A345)=1,1,0))</f>
        <v>0</v>
      </c>
      <c r="K345" s="47" t="n">
        <f aca="false">IF(J345=1,N(I345)+ROW()/10000000,0)</f>
        <v>0</v>
      </c>
      <c r="L345" s="47" t="str">
        <f aca="false">IF(AND(J345=1,N(I345)&gt;0),SUMIF($K$2:$K$5001,"&gt;="&amp;K345,$I$2:$I$5001)/MAX(1,SUM($H$2:$H$5001)),"")</f>
        <v/>
      </c>
      <c r="M345" s="47" t="str">
        <f aca="false">IF($A345="","",INDEX($L$2:$L$5001,MATCH($A345,$A$2:$A$5001,0)))</f>
        <v/>
      </c>
      <c r="N345" s="48" t="str">
        <f aca="false">IF($A345="","",IF(N(M345)=0,"–",IF(M345&lt;=Start!$D$20,"A",IF(M345&lt;=Start!$D$21,"B","C"))))</f>
        <v/>
      </c>
      <c r="O345" s="48" t="str">
        <f aca="false">IF($A345="","",IF(NOT(ISNUMBER(F345)),"Wert fehlt; ",IF(F345&lt;=0,"Wert ist 0; ",""))&amp;IF(NOT(ISNUMBER(E345)),"Bestand fehlt; ",IF(E345&lt;0,"Bestand negativ; ",IF(E345=0,"Nullbestand; ","")))&amp;IF(D345="","Warengruppe fehlt; ","")&amp;IF(B345="","Bezeichnung fehlt; ","")&amp;IF(COUNTIFS($A$2:$A$5001,$A345,$C$2:$C$5001,C345)&gt;1,"Artikel doppelt im selben Lager; ",""))</f>
        <v/>
      </c>
      <c r="P345" s="47" t="n">
        <f aca="false">IF(OR($A345="",D345=""),0,IF(COUNTIF($D$2:D345,D345)=1,SUMIF($D$2:$D$5001,D345,$H$2:$H$5001)+ROW()/10000000,0))</f>
        <v>0</v>
      </c>
      <c r="Q345" s="47" t="n">
        <f aca="false">IF(OR($A345="",C345=""),0,IF(COUNTIF($C$2:C345,C345)=1,SUMIF($C$2:$C$5001,C345,$H$2:$H$5001)+ROW()/10000000,0))</f>
        <v>0</v>
      </c>
    </row>
    <row r="346" customFormat="false" ht="15" hidden="false" customHeight="false" outlineLevel="0" collapsed="false">
      <c r="A346" s="43"/>
      <c r="B346" s="44"/>
      <c r="C346" s="44"/>
      <c r="D346" s="44"/>
      <c r="E346" s="44"/>
      <c r="F346" s="44"/>
      <c r="G346" s="44"/>
      <c r="H346" s="46" t="str">
        <f aca="false">IF($A346="","",IF(OR(NOT(ISNUMBER(E346)),NOT(ISNUMBER(F346))),"",MAX(0,E346)*F346))</f>
        <v/>
      </c>
      <c r="I346" s="46" t="str">
        <f aca="false">IF($A346="","",SUMIF($A$2:$A$5001,$A346,$H$2:$H$5001))</f>
        <v/>
      </c>
      <c r="J346" s="47" t="n">
        <f aca="false">IF($A346="",0,IF(COUNTIF($A$2:A346,$A346)=1,1,0))</f>
        <v>0</v>
      </c>
      <c r="K346" s="47" t="n">
        <f aca="false">IF(J346=1,N(I346)+ROW()/10000000,0)</f>
        <v>0</v>
      </c>
      <c r="L346" s="47" t="str">
        <f aca="false">IF(AND(J346=1,N(I346)&gt;0),SUMIF($K$2:$K$5001,"&gt;="&amp;K346,$I$2:$I$5001)/MAX(1,SUM($H$2:$H$5001)),"")</f>
        <v/>
      </c>
      <c r="M346" s="47" t="str">
        <f aca="false">IF($A346="","",INDEX($L$2:$L$5001,MATCH($A346,$A$2:$A$5001,0)))</f>
        <v/>
      </c>
      <c r="N346" s="48" t="str">
        <f aca="false">IF($A346="","",IF(N(M346)=0,"–",IF(M346&lt;=Start!$D$20,"A",IF(M346&lt;=Start!$D$21,"B","C"))))</f>
        <v/>
      </c>
      <c r="O346" s="48" t="str">
        <f aca="false">IF($A346="","",IF(NOT(ISNUMBER(F346)),"Wert fehlt; ",IF(F346&lt;=0,"Wert ist 0; ",""))&amp;IF(NOT(ISNUMBER(E346)),"Bestand fehlt; ",IF(E346&lt;0,"Bestand negativ; ",IF(E346=0,"Nullbestand; ","")))&amp;IF(D346="","Warengruppe fehlt; ","")&amp;IF(B346="","Bezeichnung fehlt; ","")&amp;IF(COUNTIFS($A$2:$A$5001,$A346,$C$2:$C$5001,C346)&gt;1,"Artikel doppelt im selben Lager; ",""))</f>
        <v/>
      </c>
      <c r="P346" s="47" t="n">
        <f aca="false">IF(OR($A346="",D346=""),0,IF(COUNTIF($D$2:D346,D346)=1,SUMIF($D$2:$D$5001,D346,$H$2:$H$5001)+ROW()/10000000,0))</f>
        <v>0</v>
      </c>
      <c r="Q346" s="47" t="n">
        <f aca="false">IF(OR($A346="",C346=""),0,IF(COUNTIF($C$2:C346,C346)=1,SUMIF($C$2:$C$5001,C346,$H$2:$H$5001)+ROW()/10000000,0))</f>
        <v>0</v>
      </c>
    </row>
    <row r="347" customFormat="false" ht="15" hidden="false" customHeight="false" outlineLevel="0" collapsed="false">
      <c r="A347" s="43"/>
      <c r="B347" s="44"/>
      <c r="C347" s="44"/>
      <c r="D347" s="44"/>
      <c r="E347" s="44"/>
      <c r="F347" s="44"/>
      <c r="G347" s="44"/>
      <c r="H347" s="46" t="str">
        <f aca="false">IF($A347="","",IF(OR(NOT(ISNUMBER(E347)),NOT(ISNUMBER(F347))),"",MAX(0,E347)*F347))</f>
        <v/>
      </c>
      <c r="I347" s="46" t="str">
        <f aca="false">IF($A347="","",SUMIF($A$2:$A$5001,$A347,$H$2:$H$5001))</f>
        <v/>
      </c>
      <c r="J347" s="47" t="n">
        <f aca="false">IF($A347="",0,IF(COUNTIF($A$2:A347,$A347)=1,1,0))</f>
        <v>0</v>
      </c>
      <c r="K347" s="47" t="n">
        <f aca="false">IF(J347=1,N(I347)+ROW()/10000000,0)</f>
        <v>0</v>
      </c>
      <c r="L347" s="47" t="str">
        <f aca="false">IF(AND(J347=1,N(I347)&gt;0),SUMIF($K$2:$K$5001,"&gt;="&amp;K347,$I$2:$I$5001)/MAX(1,SUM($H$2:$H$5001)),"")</f>
        <v/>
      </c>
      <c r="M347" s="47" t="str">
        <f aca="false">IF($A347="","",INDEX($L$2:$L$5001,MATCH($A347,$A$2:$A$5001,0)))</f>
        <v/>
      </c>
      <c r="N347" s="48" t="str">
        <f aca="false">IF($A347="","",IF(N(M347)=0,"–",IF(M347&lt;=Start!$D$20,"A",IF(M347&lt;=Start!$D$21,"B","C"))))</f>
        <v/>
      </c>
      <c r="O347" s="48" t="str">
        <f aca="false">IF($A347="","",IF(NOT(ISNUMBER(F347)),"Wert fehlt; ",IF(F347&lt;=0,"Wert ist 0; ",""))&amp;IF(NOT(ISNUMBER(E347)),"Bestand fehlt; ",IF(E347&lt;0,"Bestand negativ; ",IF(E347=0,"Nullbestand; ","")))&amp;IF(D347="","Warengruppe fehlt; ","")&amp;IF(B347="","Bezeichnung fehlt; ","")&amp;IF(COUNTIFS($A$2:$A$5001,$A347,$C$2:$C$5001,C347)&gt;1,"Artikel doppelt im selben Lager; ",""))</f>
        <v/>
      </c>
      <c r="P347" s="47" t="n">
        <f aca="false">IF(OR($A347="",D347=""),0,IF(COUNTIF($D$2:D347,D347)=1,SUMIF($D$2:$D$5001,D347,$H$2:$H$5001)+ROW()/10000000,0))</f>
        <v>0</v>
      </c>
      <c r="Q347" s="47" t="n">
        <f aca="false">IF(OR($A347="",C347=""),0,IF(COUNTIF($C$2:C347,C347)=1,SUMIF($C$2:$C$5001,C347,$H$2:$H$5001)+ROW()/10000000,0))</f>
        <v>0</v>
      </c>
    </row>
    <row r="348" customFormat="false" ht="15" hidden="false" customHeight="false" outlineLevel="0" collapsed="false">
      <c r="A348" s="43"/>
      <c r="B348" s="44"/>
      <c r="C348" s="44"/>
      <c r="D348" s="44"/>
      <c r="E348" s="44"/>
      <c r="F348" s="44"/>
      <c r="G348" s="44"/>
      <c r="H348" s="46" t="str">
        <f aca="false">IF($A348="","",IF(OR(NOT(ISNUMBER(E348)),NOT(ISNUMBER(F348))),"",MAX(0,E348)*F348))</f>
        <v/>
      </c>
      <c r="I348" s="46" t="str">
        <f aca="false">IF($A348="","",SUMIF($A$2:$A$5001,$A348,$H$2:$H$5001))</f>
        <v/>
      </c>
      <c r="J348" s="47" t="n">
        <f aca="false">IF($A348="",0,IF(COUNTIF($A$2:A348,$A348)=1,1,0))</f>
        <v>0</v>
      </c>
      <c r="K348" s="47" t="n">
        <f aca="false">IF(J348=1,N(I348)+ROW()/10000000,0)</f>
        <v>0</v>
      </c>
      <c r="L348" s="47" t="str">
        <f aca="false">IF(AND(J348=1,N(I348)&gt;0),SUMIF($K$2:$K$5001,"&gt;="&amp;K348,$I$2:$I$5001)/MAX(1,SUM($H$2:$H$5001)),"")</f>
        <v/>
      </c>
      <c r="M348" s="47" t="str">
        <f aca="false">IF($A348="","",INDEX($L$2:$L$5001,MATCH($A348,$A$2:$A$5001,0)))</f>
        <v/>
      </c>
      <c r="N348" s="48" t="str">
        <f aca="false">IF($A348="","",IF(N(M348)=0,"–",IF(M348&lt;=Start!$D$20,"A",IF(M348&lt;=Start!$D$21,"B","C"))))</f>
        <v/>
      </c>
      <c r="O348" s="48" t="str">
        <f aca="false">IF($A348="","",IF(NOT(ISNUMBER(F348)),"Wert fehlt; ",IF(F348&lt;=0,"Wert ist 0; ",""))&amp;IF(NOT(ISNUMBER(E348)),"Bestand fehlt; ",IF(E348&lt;0,"Bestand negativ; ",IF(E348=0,"Nullbestand; ","")))&amp;IF(D348="","Warengruppe fehlt; ","")&amp;IF(B348="","Bezeichnung fehlt; ","")&amp;IF(COUNTIFS($A$2:$A$5001,$A348,$C$2:$C$5001,C348)&gt;1,"Artikel doppelt im selben Lager; ",""))</f>
        <v/>
      </c>
      <c r="P348" s="47" t="n">
        <f aca="false">IF(OR($A348="",D348=""),0,IF(COUNTIF($D$2:D348,D348)=1,SUMIF($D$2:$D$5001,D348,$H$2:$H$5001)+ROW()/10000000,0))</f>
        <v>0</v>
      </c>
      <c r="Q348" s="47" t="n">
        <f aca="false">IF(OR($A348="",C348=""),0,IF(COUNTIF($C$2:C348,C348)=1,SUMIF($C$2:$C$5001,C348,$H$2:$H$5001)+ROW()/10000000,0))</f>
        <v>0</v>
      </c>
    </row>
    <row r="349" customFormat="false" ht="15" hidden="false" customHeight="false" outlineLevel="0" collapsed="false">
      <c r="A349" s="43"/>
      <c r="B349" s="44"/>
      <c r="C349" s="44"/>
      <c r="D349" s="44"/>
      <c r="E349" s="44"/>
      <c r="F349" s="44"/>
      <c r="G349" s="44"/>
      <c r="H349" s="46" t="str">
        <f aca="false">IF($A349="","",IF(OR(NOT(ISNUMBER(E349)),NOT(ISNUMBER(F349))),"",MAX(0,E349)*F349))</f>
        <v/>
      </c>
      <c r="I349" s="46" t="str">
        <f aca="false">IF($A349="","",SUMIF($A$2:$A$5001,$A349,$H$2:$H$5001))</f>
        <v/>
      </c>
      <c r="J349" s="47" t="n">
        <f aca="false">IF($A349="",0,IF(COUNTIF($A$2:A349,$A349)=1,1,0))</f>
        <v>0</v>
      </c>
      <c r="K349" s="47" t="n">
        <f aca="false">IF(J349=1,N(I349)+ROW()/10000000,0)</f>
        <v>0</v>
      </c>
      <c r="L349" s="47" t="str">
        <f aca="false">IF(AND(J349=1,N(I349)&gt;0),SUMIF($K$2:$K$5001,"&gt;="&amp;K349,$I$2:$I$5001)/MAX(1,SUM($H$2:$H$5001)),"")</f>
        <v/>
      </c>
      <c r="M349" s="47" t="str">
        <f aca="false">IF($A349="","",INDEX($L$2:$L$5001,MATCH($A349,$A$2:$A$5001,0)))</f>
        <v/>
      </c>
      <c r="N349" s="48" t="str">
        <f aca="false">IF($A349="","",IF(N(M349)=0,"–",IF(M349&lt;=Start!$D$20,"A",IF(M349&lt;=Start!$D$21,"B","C"))))</f>
        <v/>
      </c>
      <c r="O349" s="48" t="str">
        <f aca="false">IF($A349="","",IF(NOT(ISNUMBER(F349)),"Wert fehlt; ",IF(F349&lt;=0,"Wert ist 0; ",""))&amp;IF(NOT(ISNUMBER(E349)),"Bestand fehlt; ",IF(E349&lt;0,"Bestand negativ; ",IF(E349=0,"Nullbestand; ","")))&amp;IF(D349="","Warengruppe fehlt; ","")&amp;IF(B349="","Bezeichnung fehlt; ","")&amp;IF(COUNTIFS($A$2:$A$5001,$A349,$C$2:$C$5001,C349)&gt;1,"Artikel doppelt im selben Lager; ",""))</f>
        <v/>
      </c>
      <c r="P349" s="47" t="n">
        <f aca="false">IF(OR($A349="",D349=""),0,IF(COUNTIF($D$2:D349,D349)=1,SUMIF($D$2:$D$5001,D349,$H$2:$H$5001)+ROW()/10000000,0))</f>
        <v>0</v>
      </c>
      <c r="Q349" s="47" t="n">
        <f aca="false">IF(OR($A349="",C349=""),0,IF(COUNTIF($C$2:C349,C349)=1,SUMIF($C$2:$C$5001,C349,$H$2:$H$5001)+ROW()/10000000,0))</f>
        <v>0</v>
      </c>
    </row>
    <row r="350" customFormat="false" ht="15" hidden="false" customHeight="false" outlineLevel="0" collapsed="false">
      <c r="A350" s="43"/>
      <c r="B350" s="44"/>
      <c r="C350" s="44"/>
      <c r="D350" s="44"/>
      <c r="E350" s="44"/>
      <c r="F350" s="44"/>
      <c r="G350" s="44"/>
      <c r="H350" s="46" t="str">
        <f aca="false">IF($A350="","",IF(OR(NOT(ISNUMBER(E350)),NOT(ISNUMBER(F350))),"",MAX(0,E350)*F350))</f>
        <v/>
      </c>
      <c r="I350" s="46" t="str">
        <f aca="false">IF($A350="","",SUMIF($A$2:$A$5001,$A350,$H$2:$H$5001))</f>
        <v/>
      </c>
      <c r="J350" s="47" t="n">
        <f aca="false">IF($A350="",0,IF(COUNTIF($A$2:A350,$A350)=1,1,0))</f>
        <v>0</v>
      </c>
      <c r="K350" s="47" t="n">
        <f aca="false">IF(J350=1,N(I350)+ROW()/10000000,0)</f>
        <v>0</v>
      </c>
      <c r="L350" s="47" t="str">
        <f aca="false">IF(AND(J350=1,N(I350)&gt;0),SUMIF($K$2:$K$5001,"&gt;="&amp;K350,$I$2:$I$5001)/MAX(1,SUM($H$2:$H$5001)),"")</f>
        <v/>
      </c>
      <c r="M350" s="47" t="str">
        <f aca="false">IF($A350="","",INDEX($L$2:$L$5001,MATCH($A350,$A$2:$A$5001,0)))</f>
        <v/>
      </c>
      <c r="N350" s="48" t="str">
        <f aca="false">IF($A350="","",IF(N(M350)=0,"–",IF(M350&lt;=Start!$D$20,"A",IF(M350&lt;=Start!$D$21,"B","C"))))</f>
        <v/>
      </c>
      <c r="O350" s="48" t="str">
        <f aca="false">IF($A350="","",IF(NOT(ISNUMBER(F350)),"Wert fehlt; ",IF(F350&lt;=0,"Wert ist 0; ",""))&amp;IF(NOT(ISNUMBER(E350)),"Bestand fehlt; ",IF(E350&lt;0,"Bestand negativ; ",IF(E350=0,"Nullbestand; ","")))&amp;IF(D350="","Warengruppe fehlt; ","")&amp;IF(B350="","Bezeichnung fehlt; ","")&amp;IF(COUNTIFS($A$2:$A$5001,$A350,$C$2:$C$5001,C350)&gt;1,"Artikel doppelt im selben Lager; ",""))</f>
        <v/>
      </c>
      <c r="P350" s="47" t="n">
        <f aca="false">IF(OR($A350="",D350=""),0,IF(COUNTIF($D$2:D350,D350)=1,SUMIF($D$2:$D$5001,D350,$H$2:$H$5001)+ROW()/10000000,0))</f>
        <v>0</v>
      </c>
      <c r="Q350" s="47" t="n">
        <f aca="false">IF(OR($A350="",C350=""),0,IF(COUNTIF($C$2:C350,C350)=1,SUMIF($C$2:$C$5001,C350,$H$2:$H$5001)+ROW()/10000000,0))</f>
        <v>0</v>
      </c>
    </row>
    <row r="351" customFormat="false" ht="15" hidden="false" customHeight="false" outlineLevel="0" collapsed="false">
      <c r="A351" s="43"/>
      <c r="B351" s="44"/>
      <c r="C351" s="44"/>
      <c r="D351" s="44"/>
      <c r="E351" s="44"/>
      <c r="F351" s="44"/>
      <c r="G351" s="44"/>
      <c r="H351" s="46" t="str">
        <f aca="false">IF($A351="","",IF(OR(NOT(ISNUMBER(E351)),NOT(ISNUMBER(F351))),"",MAX(0,E351)*F351))</f>
        <v/>
      </c>
      <c r="I351" s="46" t="str">
        <f aca="false">IF($A351="","",SUMIF($A$2:$A$5001,$A351,$H$2:$H$5001))</f>
        <v/>
      </c>
      <c r="J351" s="47" t="n">
        <f aca="false">IF($A351="",0,IF(COUNTIF($A$2:A351,$A351)=1,1,0))</f>
        <v>0</v>
      </c>
      <c r="K351" s="47" t="n">
        <f aca="false">IF(J351=1,N(I351)+ROW()/10000000,0)</f>
        <v>0</v>
      </c>
      <c r="L351" s="47" t="str">
        <f aca="false">IF(AND(J351=1,N(I351)&gt;0),SUMIF($K$2:$K$5001,"&gt;="&amp;K351,$I$2:$I$5001)/MAX(1,SUM($H$2:$H$5001)),"")</f>
        <v/>
      </c>
      <c r="M351" s="47" t="str">
        <f aca="false">IF($A351="","",INDEX($L$2:$L$5001,MATCH($A351,$A$2:$A$5001,0)))</f>
        <v/>
      </c>
      <c r="N351" s="48" t="str">
        <f aca="false">IF($A351="","",IF(N(M351)=0,"–",IF(M351&lt;=Start!$D$20,"A",IF(M351&lt;=Start!$D$21,"B","C"))))</f>
        <v/>
      </c>
      <c r="O351" s="48" t="str">
        <f aca="false">IF($A351="","",IF(NOT(ISNUMBER(F351)),"Wert fehlt; ",IF(F351&lt;=0,"Wert ist 0; ",""))&amp;IF(NOT(ISNUMBER(E351)),"Bestand fehlt; ",IF(E351&lt;0,"Bestand negativ; ",IF(E351=0,"Nullbestand; ","")))&amp;IF(D351="","Warengruppe fehlt; ","")&amp;IF(B351="","Bezeichnung fehlt; ","")&amp;IF(COUNTIFS($A$2:$A$5001,$A351,$C$2:$C$5001,C351)&gt;1,"Artikel doppelt im selben Lager; ",""))</f>
        <v/>
      </c>
      <c r="P351" s="47" t="n">
        <f aca="false">IF(OR($A351="",D351=""),0,IF(COUNTIF($D$2:D351,D351)=1,SUMIF($D$2:$D$5001,D351,$H$2:$H$5001)+ROW()/10000000,0))</f>
        <v>0</v>
      </c>
      <c r="Q351" s="47" t="n">
        <f aca="false">IF(OR($A351="",C351=""),0,IF(COUNTIF($C$2:C351,C351)=1,SUMIF($C$2:$C$5001,C351,$H$2:$H$5001)+ROW()/10000000,0))</f>
        <v>0</v>
      </c>
    </row>
    <row r="352" customFormat="false" ht="15" hidden="false" customHeight="false" outlineLevel="0" collapsed="false">
      <c r="A352" s="43"/>
      <c r="B352" s="44"/>
      <c r="C352" s="44"/>
      <c r="D352" s="44"/>
      <c r="E352" s="44"/>
      <c r="F352" s="44"/>
      <c r="G352" s="44"/>
      <c r="H352" s="46" t="str">
        <f aca="false">IF($A352="","",IF(OR(NOT(ISNUMBER(E352)),NOT(ISNUMBER(F352))),"",MAX(0,E352)*F352))</f>
        <v/>
      </c>
      <c r="I352" s="46" t="str">
        <f aca="false">IF($A352="","",SUMIF($A$2:$A$5001,$A352,$H$2:$H$5001))</f>
        <v/>
      </c>
      <c r="J352" s="47" t="n">
        <f aca="false">IF($A352="",0,IF(COUNTIF($A$2:A352,$A352)=1,1,0))</f>
        <v>0</v>
      </c>
      <c r="K352" s="47" t="n">
        <f aca="false">IF(J352=1,N(I352)+ROW()/10000000,0)</f>
        <v>0</v>
      </c>
      <c r="L352" s="47" t="str">
        <f aca="false">IF(AND(J352=1,N(I352)&gt;0),SUMIF($K$2:$K$5001,"&gt;="&amp;K352,$I$2:$I$5001)/MAX(1,SUM($H$2:$H$5001)),"")</f>
        <v/>
      </c>
      <c r="M352" s="47" t="str">
        <f aca="false">IF($A352="","",INDEX($L$2:$L$5001,MATCH($A352,$A$2:$A$5001,0)))</f>
        <v/>
      </c>
      <c r="N352" s="48" t="str">
        <f aca="false">IF($A352="","",IF(N(M352)=0,"–",IF(M352&lt;=Start!$D$20,"A",IF(M352&lt;=Start!$D$21,"B","C"))))</f>
        <v/>
      </c>
      <c r="O352" s="48" t="str">
        <f aca="false">IF($A352="","",IF(NOT(ISNUMBER(F352)),"Wert fehlt; ",IF(F352&lt;=0,"Wert ist 0; ",""))&amp;IF(NOT(ISNUMBER(E352)),"Bestand fehlt; ",IF(E352&lt;0,"Bestand negativ; ",IF(E352=0,"Nullbestand; ","")))&amp;IF(D352="","Warengruppe fehlt; ","")&amp;IF(B352="","Bezeichnung fehlt; ","")&amp;IF(COUNTIFS($A$2:$A$5001,$A352,$C$2:$C$5001,C352)&gt;1,"Artikel doppelt im selben Lager; ",""))</f>
        <v/>
      </c>
      <c r="P352" s="47" t="n">
        <f aca="false">IF(OR($A352="",D352=""),0,IF(COUNTIF($D$2:D352,D352)=1,SUMIF($D$2:$D$5001,D352,$H$2:$H$5001)+ROW()/10000000,0))</f>
        <v>0</v>
      </c>
      <c r="Q352" s="47" t="n">
        <f aca="false">IF(OR($A352="",C352=""),0,IF(COUNTIF($C$2:C352,C352)=1,SUMIF($C$2:$C$5001,C352,$H$2:$H$5001)+ROW()/10000000,0))</f>
        <v>0</v>
      </c>
    </row>
    <row r="353" customFormat="false" ht="15" hidden="false" customHeight="false" outlineLevel="0" collapsed="false">
      <c r="A353" s="43"/>
      <c r="B353" s="44"/>
      <c r="C353" s="44"/>
      <c r="D353" s="44"/>
      <c r="E353" s="44"/>
      <c r="F353" s="44"/>
      <c r="G353" s="44"/>
      <c r="H353" s="46" t="str">
        <f aca="false">IF($A353="","",IF(OR(NOT(ISNUMBER(E353)),NOT(ISNUMBER(F353))),"",MAX(0,E353)*F353))</f>
        <v/>
      </c>
      <c r="I353" s="46" t="str">
        <f aca="false">IF($A353="","",SUMIF($A$2:$A$5001,$A353,$H$2:$H$5001))</f>
        <v/>
      </c>
      <c r="J353" s="47" t="n">
        <f aca="false">IF($A353="",0,IF(COUNTIF($A$2:A353,$A353)=1,1,0))</f>
        <v>0</v>
      </c>
      <c r="K353" s="47" t="n">
        <f aca="false">IF(J353=1,N(I353)+ROW()/10000000,0)</f>
        <v>0</v>
      </c>
      <c r="L353" s="47" t="str">
        <f aca="false">IF(AND(J353=1,N(I353)&gt;0),SUMIF($K$2:$K$5001,"&gt;="&amp;K353,$I$2:$I$5001)/MAX(1,SUM($H$2:$H$5001)),"")</f>
        <v/>
      </c>
      <c r="M353" s="47" t="str">
        <f aca="false">IF($A353="","",INDEX($L$2:$L$5001,MATCH($A353,$A$2:$A$5001,0)))</f>
        <v/>
      </c>
      <c r="N353" s="48" t="str">
        <f aca="false">IF($A353="","",IF(N(M353)=0,"–",IF(M353&lt;=Start!$D$20,"A",IF(M353&lt;=Start!$D$21,"B","C"))))</f>
        <v/>
      </c>
      <c r="O353" s="48" t="str">
        <f aca="false">IF($A353="","",IF(NOT(ISNUMBER(F353)),"Wert fehlt; ",IF(F353&lt;=0,"Wert ist 0; ",""))&amp;IF(NOT(ISNUMBER(E353)),"Bestand fehlt; ",IF(E353&lt;0,"Bestand negativ; ",IF(E353=0,"Nullbestand; ","")))&amp;IF(D353="","Warengruppe fehlt; ","")&amp;IF(B353="","Bezeichnung fehlt; ","")&amp;IF(COUNTIFS($A$2:$A$5001,$A353,$C$2:$C$5001,C353)&gt;1,"Artikel doppelt im selben Lager; ",""))</f>
        <v/>
      </c>
      <c r="P353" s="47" t="n">
        <f aca="false">IF(OR($A353="",D353=""),0,IF(COUNTIF($D$2:D353,D353)=1,SUMIF($D$2:$D$5001,D353,$H$2:$H$5001)+ROW()/10000000,0))</f>
        <v>0</v>
      </c>
      <c r="Q353" s="47" t="n">
        <f aca="false">IF(OR($A353="",C353=""),0,IF(COUNTIF($C$2:C353,C353)=1,SUMIF($C$2:$C$5001,C353,$H$2:$H$5001)+ROW()/10000000,0))</f>
        <v>0</v>
      </c>
    </row>
    <row r="354" customFormat="false" ht="15" hidden="false" customHeight="false" outlineLevel="0" collapsed="false">
      <c r="A354" s="43"/>
      <c r="B354" s="44"/>
      <c r="C354" s="44"/>
      <c r="D354" s="44"/>
      <c r="E354" s="44"/>
      <c r="F354" s="44"/>
      <c r="G354" s="44"/>
      <c r="H354" s="46" t="str">
        <f aca="false">IF($A354="","",IF(OR(NOT(ISNUMBER(E354)),NOT(ISNUMBER(F354))),"",MAX(0,E354)*F354))</f>
        <v/>
      </c>
      <c r="I354" s="46" t="str">
        <f aca="false">IF($A354="","",SUMIF($A$2:$A$5001,$A354,$H$2:$H$5001))</f>
        <v/>
      </c>
      <c r="J354" s="47" t="n">
        <f aca="false">IF($A354="",0,IF(COUNTIF($A$2:A354,$A354)=1,1,0))</f>
        <v>0</v>
      </c>
      <c r="K354" s="47" t="n">
        <f aca="false">IF(J354=1,N(I354)+ROW()/10000000,0)</f>
        <v>0</v>
      </c>
      <c r="L354" s="47" t="str">
        <f aca="false">IF(AND(J354=1,N(I354)&gt;0),SUMIF($K$2:$K$5001,"&gt;="&amp;K354,$I$2:$I$5001)/MAX(1,SUM($H$2:$H$5001)),"")</f>
        <v/>
      </c>
      <c r="M354" s="47" t="str">
        <f aca="false">IF($A354="","",INDEX($L$2:$L$5001,MATCH($A354,$A$2:$A$5001,0)))</f>
        <v/>
      </c>
      <c r="N354" s="48" t="str">
        <f aca="false">IF($A354="","",IF(N(M354)=0,"–",IF(M354&lt;=Start!$D$20,"A",IF(M354&lt;=Start!$D$21,"B","C"))))</f>
        <v/>
      </c>
      <c r="O354" s="48" t="str">
        <f aca="false">IF($A354="","",IF(NOT(ISNUMBER(F354)),"Wert fehlt; ",IF(F354&lt;=0,"Wert ist 0; ",""))&amp;IF(NOT(ISNUMBER(E354)),"Bestand fehlt; ",IF(E354&lt;0,"Bestand negativ; ",IF(E354=0,"Nullbestand; ","")))&amp;IF(D354="","Warengruppe fehlt; ","")&amp;IF(B354="","Bezeichnung fehlt; ","")&amp;IF(COUNTIFS($A$2:$A$5001,$A354,$C$2:$C$5001,C354)&gt;1,"Artikel doppelt im selben Lager; ",""))</f>
        <v/>
      </c>
      <c r="P354" s="47" t="n">
        <f aca="false">IF(OR($A354="",D354=""),0,IF(COUNTIF($D$2:D354,D354)=1,SUMIF($D$2:$D$5001,D354,$H$2:$H$5001)+ROW()/10000000,0))</f>
        <v>0</v>
      </c>
      <c r="Q354" s="47" t="n">
        <f aca="false">IF(OR($A354="",C354=""),0,IF(COUNTIF($C$2:C354,C354)=1,SUMIF($C$2:$C$5001,C354,$H$2:$H$5001)+ROW()/10000000,0))</f>
        <v>0</v>
      </c>
    </row>
    <row r="355" customFormat="false" ht="15" hidden="false" customHeight="false" outlineLevel="0" collapsed="false">
      <c r="A355" s="43"/>
      <c r="B355" s="44"/>
      <c r="C355" s="44"/>
      <c r="D355" s="44"/>
      <c r="E355" s="44"/>
      <c r="F355" s="44"/>
      <c r="G355" s="44"/>
      <c r="H355" s="46" t="str">
        <f aca="false">IF($A355="","",IF(OR(NOT(ISNUMBER(E355)),NOT(ISNUMBER(F355))),"",MAX(0,E355)*F355))</f>
        <v/>
      </c>
      <c r="I355" s="46" t="str">
        <f aca="false">IF($A355="","",SUMIF($A$2:$A$5001,$A355,$H$2:$H$5001))</f>
        <v/>
      </c>
      <c r="J355" s="47" t="n">
        <f aca="false">IF($A355="",0,IF(COUNTIF($A$2:A355,$A355)=1,1,0))</f>
        <v>0</v>
      </c>
      <c r="K355" s="47" t="n">
        <f aca="false">IF(J355=1,N(I355)+ROW()/10000000,0)</f>
        <v>0</v>
      </c>
      <c r="L355" s="47" t="str">
        <f aca="false">IF(AND(J355=1,N(I355)&gt;0),SUMIF($K$2:$K$5001,"&gt;="&amp;K355,$I$2:$I$5001)/MAX(1,SUM($H$2:$H$5001)),"")</f>
        <v/>
      </c>
      <c r="M355" s="47" t="str">
        <f aca="false">IF($A355="","",INDEX($L$2:$L$5001,MATCH($A355,$A$2:$A$5001,0)))</f>
        <v/>
      </c>
      <c r="N355" s="48" t="str">
        <f aca="false">IF($A355="","",IF(N(M355)=0,"–",IF(M355&lt;=Start!$D$20,"A",IF(M355&lt;=Start!$D$21,"B","C"))))</f>
        <v/>
      </c>
      <c r="O355" s="48" t="str">
        <f aca="false">IF($A355="","",IF(NOT(ISNUMBER(F355)),"Wert fehlt; ",IF(F355&lt;=0,"Wert ist 0; ",""))&amp;IF(NOT(ISNUMBER(E355)),"Bestand fehlt; ",IF(E355&lt;0,"Bestand negativ; ",IF(E355=0,"Nullbestand; ","")))&amp;IF(D355="","Warengruppe fehlt; ","")&amp;IF(B355="","Bezeichnung fehlt; ","")&amp;IF(COUNTIFS($A$2:$A$5001,$A355,$C$2:$C$5001,C355)&gt;1,"Artikel doppelt im selben Lager; ",""))</f>
        <v/>
      </c>
      <c r="P355" s="47" t="n">
        <f aca="false">IF(OR($A355="",D355=""),0,IF(COUNTIF($D$2:D355,D355)=1,SUMIF($D$2:$D$5001,D355,$H$2:$H$5001)+ROW()/10000000,0))</f>
        <v>0</v>
      </c>
      <c r="Q355" s="47" t="n">
        <f aca="false">IF(OR($A355="",C355=""),0,IF(COUNTIF($C$2:C355,C355)=1,SUMIF($C$2:$C$5001,C355,$H$2:$H$5001)+ROW()/10000000,0))</f>
        <v>0</v>
      </c>
    </row>
    <row r="356" customFormat="false" ht="15" hidden="false" customHeight="false" outlineLevel="0" collapsed="false">
      <c r="A356" s="43"/>
      <c r="B356" s="44"/>
      <c r="C356" s="44"/>
      <c r="D356" s="44"/>
      <c r="E356" s="44"/>
      <c r="F356" s="44"/>
      <c r="G356" s="44"/>
      <c r="H356" s="46" t="str">
        <f aca="false">IF($A356="","",IF(OR(NOT(ISNUMBER(E356)),NOT(ISNUMBER(F356))),"",MAX(0,E356)*F356))</f>
        <v/>
      </c>
      <c r="I356" s="46" t="str">
        <f aca="false">IF($A356="","",SUMIF($A$2:$A$5001,$A356,$H$2:$H$5001))</f>
        <v/>
      </c>
      <c r="J356" s="47" t="n">
        <f aca="false">IF($A356="",0,IF(COUNTIF($A$2:A356,$A356)=1,1,0))</f>
        <v>0</v>
      </c>
      <c r="K356" s="47" t="n">
        <f aca="false">IF(J356=1,N(I356)+ROW()/10000000,0)</f>
        <v>0</v>
      </c>
      <c r="L356" s="47" t="str">
        <f aca="false">IF(AND(J356=1,N(I356)&gt;0),SUMIF($K$2:$K$5001,"&gt;="&amp;K356,$I$2:$I$5001)/MAX(1,SUM($H$2:$H$5001)),"")</f>
        <v/>
      </c>
      <c r="M356" s="47" t="str">
        <f aca="false">IF($A356="","",INDEX($L$2:$L$5001,MATCH($A356,$A$2:$A$5001,0)))</f>
        <v/>
      </c>
      <c r="N356" s="48" t="str">
        <f aca="false">IF($A356="","",IF(N(M356)=0,"–",IF(M356&lt;=Start!$D$20,"A",IF(M356&lt;=Start!$D$21,"B","C"))))</f>
        <v/>
      </c>
      <c r="O356" s="48" t="str">
        <f aca="false">IF($A356="","",IF(NOT(ISNUMBER(F356)),"Wert fehlt; ",IF(F356&lt;=0,"Wert ist 0; ",""))&amp;IF(NOT(ISNUMBER(E356)),"Bestand fehlt; ",IF(E356&lt;0,"Bestand negativ; ",IF(E356=0,"Nullbestand; ","")))&amp;IF(D356="","Warengruppe fehlt; ","")&amp;IF(B356="","Bezeichnung fehlt; ","")&amp;IF(COUNTIFS($A$2:$A$5001,$A356,$C$2:$C$5001,C356)&gt;1,"Artikel doppelt im selben Lager; ",""))</f>
        <v/>
      </c>
      <c r="P356" s="47" t="n">
        <f aca="false">IF(OR($A356="",D356=""),0,IF(COUNTIF($D$2:D356,D356)=1,SUMIF($D$2:$D$5001,D356,$H$2:$H$5001)+ROW()/10000000,0))</f>
        <v>0</v>
      </c>
      <c r="Q356" s="47" t="n">
        <f aca="false">IF(OR($A356="",C356=""),0,IF(COUNTIF($C$2:C356,C356)=1,SUMIF($C$2:$C$5001,C356,$H$2:$H$5001)+ROW()/10000000,0))</f>
        <v>0</v>
      </c>
    </row>
    <row r="357" customFormat="false" ht="15" hidden="false" customHeight="false" outlineLevel="0" collapsed="false">
      <c r="A357" s="43"/>
      <c r="B357" s="44"/>
      <c r="C357" s="44"/>
      <c r="D357" s="44"/>
      <c r="E357" s="44"/>
      <c r="F357" s="44"/>
      <c r="G357" s="44"/>
      <c r="H357" s="46" t="str">
        <f aca="false">IF($A357="","",IF(OR(NOT(ISNUMBER(E357)),NOT(ISNUMBER(F357))),"",MAX(0,E357)*F357))</f>
        <v/>
      </c>
      <c r="I357" s="46" t="str">
        <f aca="false">IF($A357="","",SUMIF($A$2:$A$5001,$A357,$H$2:$H$5001))</f>
        <v/>
      </c>
      <c r="J357" s="47" t="n">
        <f aca="false">IF($A357="",0,IF(COUNTIF($A$2:A357,$A357)=1,1,0))</f>
        <v>0</v>
      </c>
      <c r="K357" s="47" t="n">
        <f aca="false">IF(J357=1,N(I357)+ROW()/10000000,0)</f>
        <v>0</v>
      </c>
      <c r="L357" s="47" t="str">
        <f aca="false">IF(AND(J357=1,N(I357)&gt;0),SUMIF($K$2:$K$5001,"&gt;="&amp;K357,$I$2:$I$5001)/MAX(1,SUM($H$2:$H$5001)),"")</f>
        <v/>
      </c>
      <c r="M357" s="47" t="str">
        <f aca="false">IF($A357="","",INDEX($L$2:$L$5001,MATCH($A357,$A$2:$A$5001,0)))</f>
        <v/>
      </c>
      <c r="N357" s="48" t="str">
        <f aca="false">IF($A357="","",IF(N(M357)=0,"–",IF(M357&lt;=Start!$D$20,"A",IF(M357&lt;=Start!$D$21,"B","C"))))</f>
        <v/>
      </c>
      <c r="O357" s="48" t="str">
        <f aca="false">IF($A357="","",IF(NOT(ISNUMBER(F357)),"Wert fehlt; ",IF(F357&lt;=0,"Wert ist 0; ",""))&amp;IF(NOT(ISNUMBER(E357)),"Bestand fehlt; ",IF(E357&lt;0,"Bestand negativ; ",IF(E357=0,"Nullbestand; ","")))&amp;IF(D357="","Warengruppe fehlt; ","")&amp;IF(B357="","Bezeichnung fehlt; ","")&amp;IF(COUNTIFS($A$2:$A$5001,$A357,$C$2:$C$5001,C357)&gt;1,"Artikel doppelt im selben Lager; ",""))</f>
        <v/>
      </c>
      <c r="P357" s="47" t="n">
        <f aca="false">IF(OR($A357="",D357=""),0,IF(COUNTIF($D$2:D357,D357)=1,SUMIF($D$2:$D$5001,D357,$H$2:$H$5001)+ROW()/10000000,0))</f>
        <v>0</v>
      </c>
      <c r="Q357" s="47" t="n">
        <f aca="false">IF(OR($A357="",C357=""),0,IF(COUNTIF($C$2:C357,C357)=1,SUMIF($C$2:$C$5001,C357,$H$2:$H$5001)+ROW()/10000000,0))</f>
        <v>0</v>
      </c>
    </row>
    <row r="358" customFormat="false" ht="15" hidden="false" customHeight="false" outlineLevel="0" collapsed="false">
      <c r="A358" s="43"/>
      <c r="B358" s="44"/>
      <c r="C358" s="44"/>
      <c r="D358" s="44"/>
      <c r="E358" s="44"/>
      <c r="F358" s="44"/>
      <c r="G358" s="44"/>
      <c r="H358" s="46" t="str">
        <f aca="false">IF($A358="","",IF(OR(NOT(ISNUMBER(E358)),NOT(ISNUMBER(F358))),"",MAX(0,E358)*F358))</f>
        <v/>
      </c>
      <c r="I358" s="46" t="str">
        <f aca="false">IF($A358="","",SUMIF($A$2:$A$5001,$A358,$H$2:$H$5001))</f>
        <v/>
      </c>
      <c r="J358" s="47" t="n">
        <f aca="false">IF($A358="",0,IF(COUNTIF($A$2:A358,$A358)=1,1,0))</f>
        <v>0</v>
      </c>
      <c r="K358" s="47" t="n">
        <f aca="false">IF(J358=1,N(I358)+ROW()/10000000,0)</f>
        <v>0</v>
      </c>
      <c r="L358" s="47" t="str">
        <f aca="false">IF(AND(J358=1,N(I358)&gt;0),SUMIF($K$2:$K$5001,"&gt;="&amp;K358,$I$2:$I$5001)/MAX(1,SUM($H$2:$H$5001)),"")</f>
        <v/>
      </c>
      <c r="M358" s="47" t="str">
        <f aca="false">IF($A358="","",INDEX($L$2:$L$5001,MATCH($A358,$A$2:$A$5001,0)))</f>
        <v/>
      </c>
      <c r="N358" s="48" t="str">
        <f aca="false">IF($A358="","",IF(N(M358)=0,"–",IF(M358&lt;=Start!$D$20,"A",IF(M358&lt;=Start!$D$21,"B","C"))))</f>
        <v/>
      </c>
      <c r="O358" s="48" t="str">
        <f aca="false">IF($A358="","",IF(NOT(ISNUMBER(F358)),"Wert fehlt; ",IF(F358&lt;=0,"Wert ist 0; ",""))&amp;IF(NOT(ISNUMBER(E358)),"Bestand fehlt; ",IF(E358&lt;0,"Bestand negativ; ",IF(E358=0,"Nullbestand; ","")))&amp;IF(D358="","Warengruppe fehlt; ","")&amp;IF(B358="","Bezeichnung fehlt; ","")&amp;IF(COUNTIFS($A$2:$A$5001,$A358,$C$2:$C$5001,C358)&gt;1,"Artikel doppelt im selben Lager; ",""))</f>
        <v/>
      </c>
      <c r="P358" s="47" t="n">
        <f aca="false">IF(OR($A358="",D358=""),0,IF(COUNTIF($D$2:D358,D358)=1,SUMIF($D$2:$D$5001,D358,$H$2:$H$5001)+ROW()/10000000,0))</f>
        <v>0</v>
      </c>
      <c r="Q358" s="47" t="n">
        <f aca="false">IF(OR($A358="",C358=""),0,IF(COUNTIF($C$2:C358,C358)=1,SUMIF($C$2:$C$5001,C358,$H$2:$H$5001)+ROW()/10000000,0))</f>
        <v>0</v>
      </c>
    </row>
    <row r="359" customFormat="false" ht="15" hidden="false" customHeight="false" outlineLevel="0" collapsed="false">
      <c r="A359" s="43"/>
      <c r="B359" s="44"/>
      <c r="C359" s="44"/>
      <c r="D359" s="44"/>
      <c r="E359" s="44"/>
      <c r="F359" s="44"/>
      <c r="G359" s="44"/>
      <c r="H359" s="46" t="str">
        <f aca="false">IF($A359="","",IF(OR(NOT(ISNUMBER(E359)),NOT(ISNUMBER(F359))),"",MAX(0,E359)*F359))</f>
        <v/>
      </c>
      <c r="I359" s="46" t="str">
        <f aca="false">IF($A359="","",SUMIF($A$2:$A$5001,$A359,$H$2:$H$5001))</f>
        <v/>
      </c>
      <c r="J359" s="47" t="n">
        <f aca="false">IF($A359="",0,IF(COUNTIF($A$2:A359,$A359)=1,1,0))</f>
        <v>0</v>
      </c>
      <c r="K359" s="47" t="n">
        <f aca="false">IF(J359=1,N(I359)+ROW()/10000000,0)</f>
        <v>0</v>
      </c>
      <c r="L359" s="47" t="str">
        <f aca="false">IF(AND(J359=1,N(I359)&gt;0),SUMIF($K$2:$K$5001,"&gt;="&amp;K359,$I$2:$I$5001)/MAX(1,SUM($H$2:$H$5001)),"")</f>
        <v/>
      </c>
      <c r="M359" s="47" t="str">
        <f aca="false">IF($A359="","",INDEX($L$2:$L$5001,MATCH($A359,$A$2:$A$5001,0)))</f>
        <v/>
      </c>
      <c r="N359" s="48" t="str">
        <f aca="false">IF($A359="","",IF(N(M359)=0,"–",IF(M359&lt;=Start!$D$20,"A",IF(M359&lt;=Start!$D$21,"B","C"))))</f>
        <v/>
      </c>
      <c r="O359" s="48" t="str">
        <f aca="false">IF($A359="","",IF(NOT(ISNUMBER(F359)),"Wert fehlt; ",IF(F359&lt;=0,"Wert ist 0; ",""))&amp;IF(NOT(ISNUMBER(E359)),"Bestand fehlt; ",IF(E359&lt;0,"Bestand negativ; ",IF(E359=0,"Nullbestand; ","")))&amp;IF(D359="","Warengruppe fehlt; ","")&amp;IF(B359="","Bezeichnung fehlt; ","")&amp;IF(COUNTIFS($A$2:$A$5001,$A359,$C$2:$C$5001,C359)&gt;1,"Artikel doppelt im selben Lager; ",""))</f>
        <v/>
      </c>
      <c r="P359" s="47" t="n">
        <f aca="false">IF(OR($A359="",D359=""),0,IF(COUNTIF($D$2:D359,D359)=1,SUMIF($D$2:$D$5001,D359,$H$2:$H$5001)+ROW()/10000000,0))</f>
        <v>0</v>
      </c>
      <c r="Q359" s="47" t="n">
        <f aca="false">IF(OR($A359="",C359=""),0,IF(COUNTIF($C$2:C359,C359)=1,SUMIF($C$2:$C$5001,C359,$H$2:$H$5001)+ROW()/10000000,0))</f>
        <v>0</v>
      </c>
    </row>
    <row r="360" customFormat="false" ht="15" hidden="false" customHeight="false" outlineLevel="0" collapsed="false">
      <c r="A360" s="43"/>
      <c r="B360" s="44"/>
      <c r="C360" s="44"/>
      <c r="D360" s="44"/>
      <c r="E360" s="44"/>
      <c r="F360" s="44"/>
      <c r="G360" s="44"/>
      <c r="H360" s="46" t="str">
        <f aca="false">IF($A360="","",IF(OR(NOT(ISNUMBER(E360)),NOT(ISNUMBER(F360))),"",MAX(0,E360)*F360))</f>
        <v/>
      </c>
      <c r="I360" s="46" t="str">
        <f aca="false">IF($A360="","",SUMIF($A$2:$A$5001,$A360,$H$2:$H$5001))</f>
        <v/>
      </c>
      <c r="J360" s="47" t="n">
        <f aca="false">IF($A360="",0,IF(COUNTIF($A$2:A360,$A360)=1,1,0))</f>
        <v>0</v>
      </c>
      <c r="K360" s="47" t="n">
        <f aca="false">IF(J360=1,N(I360)+ROW()/10000000,0)</f>
        <v>0</v>
      </c>
      <c r="L360" s="47" t="str">
        <f aca="false">IF(AND(J360=1,N(I360)&gt;0),SUMIF($K$2:$K$5001,"&gt;="&amp;K360,$I$2:$I$5001)/MAX(1,SUM($H$2:$H$5001)),"")</f>
        <v/>
      </c>
      <c r="M360" s="47" t="str">
        <f aca="false">IF($A360="","",INDEX($L$2:$L$5001,MATCH($A360,$A$2:$A$5001,0)))</f>
        <v/>
      </c>
      <c r="N360" s="48" t="str">
        <f aca="false">IF($A360="","",IF(N(M360)=0,"–",IF(M360&lt;=Start!$D$20,"A",IF(M360&lt;=Start!$D$21,"B","C"))))</f>
        <v/>
      </c>
      <c r="O360" s="48" t="str">
        <f aca="false">IF($A360="","",IF(NOT(ISNUMBER(F360)),"Wert fehlt; ",IF(F360&lt;=0,"Wert ist 0; ",""))&amp;IF(NOT(ISNUMBER(E360)),"Bestand fehlt; ",IF(E360&lt;0,"Bestand negativ; ",IF(E360=0,"Nullbestand; ","")))&amp;IF(D360="","Warengruppe fehlt; ","")&amp;IF(B360="","Bezeichnung fehlt; ","")&amp;IF(COUNTIFS($A$2:$A$5001,$A360,$C$2:$C$5001,C360)&gt;1,"Artikel doppelt im selben Lager; ",""))</f>
        <v/>
      </c>
      <c r="P360" s="47" t="n">
        <f aca="false">IF(OR($A360="",D360=""),0,IF(COUNTIF($D$2:D360,D360)=1,SUMIF($D$2:$D$5001,D360,$H$2:$H$5001)+ROW()/10000000,0))</f>
        <v>0</v>
      </c>
      <c r="Q360" s="47" t="n">
        <f aca="false">IF(OR($A360="",C360=""),0,IF(COUNTIF($C$2:C360,C360)=1,SUMIF($C$2:$C$5001,C360,$H$2:$H$5001)+ROW()/10000000,0))</f>
        <v>0</v>
      </c>
    </row>
    <row r="361" customFormat="false" ht="15" hidden="false" customHeight="false" outlineLevel="0" collapsed="false">
      <c r="A361" s="43"/>
      <c r="B361" s="44"/>
      <c r="C361" s="44"/>
      <c r="D361" s="44"/>
      <c r="E361" s="44"/>
      <c r="F361" s="44"/>
      <c r="G361" s="44"/>
      <c r="H361" s="46" t="str">
        <f aca="false">IF($A361="","",IF(OR(NOT(ISNUMBER(E361)),NOT(ISNUMBER(F361))),"",MAX(0,E361)*F361))</f>
        <v/>
      </c>
      <c r="I361" s="46" t="str">
        <f aca="false">IF($A361="","",SUMIF($A$2:$A$5001,$A361,$H$2:$H$5001))</f>
        <v/>
      </c>
      <c r="J361" s="47" t="n">
        <f aca="false">IF($A361="",0,IF(COUNTIF($A$2:A361,$A361)=1,1,0))</f>
        <v>0</v>
      </c>
      <c r="K361" s="47" t="n">
        <f aca="false">IF(J361=1,N(I361)+ROW()/10000000,0)</f>
        <v>0</v>
      </c>
      <c r="L361" s="47" t="str">
        <f aca="false">IF(AND(J361=1,N(I361)&gt;0),SUMIF($K$2:$K$5001,"&gt;="&amp;K361,$I$2:$I$5001)/MAX(1,SUM($H$2:$H$5001)),"")</f>
        <v/>
      </c>
      <c r="M361" s="47" t="str">
        <f aca="false">IF($A361="","",INDEX($L$2:$L$5001,MATCH($A361,$A$2:$A$5001,0)))</f>
        <v/>
      </c>
      <c r="N361" s="48" t="str">
        <f aca="false">IF($A361="","",IF(N(M361)=0,"–",IF(M361&lt;=Start!$D$20,"A",IF(M361&lt;=Start!$D$21,"B","C"))))</f>
        <v/>
      </c>
      <c r="O361" s="48" t="str">
        <f aca="false">IF($A361="","",IF(NOT(ISNUMBER(F361)),"Wert fehlt; ",IF(F361&lt;=0,"Wert ist 0; ",""))&amp;IF(NOT(ISNUMBER(E361)),"Bestand fehlt; ",IF(E361&lt;0,"Bestand negativ; ",IF(E361=0,"Nullbestand; ","")))&amp;IF(D361="","Warengruppe fehlt; ","")&amp;IF(B361="","Bezeichnung fehlt; ","")&amp;IF(COUNTIFS($A$2:$A$5001,$A361,$C$2:$C$5001,C361)&gt;1,"Artikel doppelt im selben Lager; ",""))</f>
        <v/>
      </c>
      <c r="P361" s="47" t="n">
        <f aca="false">IF(OR($A361="",D361=""),0,IF(COUNTIF($D$2:D361,D361)=1,SUMIF($D$2:$D$5001,D361,$H$2:$H$5001)+ROW()/10000000,0))</f>
        <v>0</v>
      </c>
      <c r="Q361" s="47" t="n">
        <f aca="false">IF(OR($A361="",C361=""),0,IF(COUNTIF($C$2:C361,C361)=1,SUMIF($C$2:$C$5001,C361,$H$2:$H$5001)+ROW()/10000000,0))</f>
        <v>0</v>
      </c>
    </row>
    <row r="362" customFormat="false" ht="15" hidden="false" customHeight="false" outlineLevel="0" collapsed="false">
      <c r="A362" s="43"/>
      <c r="B362" s="44"/>
      <c r="C362" s="44"/>
      <c r="D362" s="44"/>
      <c r="E362" s="44"/>
      <c r="F362" s="44"/>
      <c r="G362" s="44"/>
      <c r="H362" s="46" t="str">
        <f aca="false">IF($A362="","",IF(OR(NOT(ISNUMBER(E362)),NOT(ISNUMBER(F362))),"",MAX(0,E362)*F362))</f>
        <v/>
      </c>
      <c r="I362" s="46" t="str">
        <f aca="false">IF($A362="","",SUMIF($A$2:$A$5001,$A362,$H$2:$H$5001))</f>
        <v/>
      </c>
      <c r="J362" s="47" t="n">
        <f aca="false">IF($A362="",0,IF(COUNTIF($A$2:A362,$A362)=1,1,0))</f>
        <v>0</v>
      </c>
      <c r="K362" s="47" t="n">
        <f aca="false">IF(J362=1,N(I362)+ROW()/10000000,0)</f>
        <v>0</v>
      </c>
      <c r="L362" s="47" t="str">
        <f aca="false">IF(AND(J362=1,N(I362)&gt;0),SUMIF($K$2:$K$5001,"&gt;="&amp;K362,$I$2:$I$5001)/MAX(1,SUM($H$2:$H$5001)),"")</f>
        <v/>
      </c>
      <c r="M362" s="47" t="str">
        <f aca="false">IF($A362="","",INDEX($L$2:$L$5001,MATCH($A362,$A$2:$A$5001,0)))</f>
        <v/>
      </c>
      <c r="N362" s="48" t="str">
        <f aca="false">IF($A362="","",IF(N(M362)=0,"–",IF(M362&lt;=Start!$D$20,"A",IF(M362&lt;=Start!$D$21,"B","C"))))</f>
        <v/>
      </c>
      <c r="O362" s="48" t="str">
        <f aca="false">IF($A362="","",IF(NOT(ISNUMBER(F362)),"Wert fehlt; ",IF(F362&lt;=0,"Wert ist 0; ",""))&amp;IF(NOT(ISNUMBER(E362)),"Bestand fehlt; ",IF(E362&lt;0,"Bestand negativ; ",IF(E362=0,"Nullbestand; ","")))&amp;IF(D362="","Warengruppe fehlt; ","")&amp;IF(B362="","Bezeichnung fehlt; ","")&amp;IF(COUNTIFS($A$2:$A$5001,$A362,$C$2:$C$5001,C362)&gt;1,"Artikel doppelt im selben Lager; ",""))</f>
        <v/>
      </c>
      <c r="P362" s="47" t="n">
        <f aca="false">IF(OR($A362="",D362=""),0,IF(COUNTIF($D$2:D362,D362)=1,SUMIF($D$2:$D$5001,D362,$H$2:$H$5001)+ROW()/10000000,0))</f>
        <v>0</v>
      </c>
      <c r="Q362" s="47" t="n">
        <f aca="false">IF(OR($A362="",C362=""),0,IF(COUNTIF($C$2:C362,C362)=1,SUMIF($C$2:$C$5001,C362,$H$2:$H$5001)+ROW()/10000000,0))</f>
        <v>0</v>
      </c>
    </row>
    <row r="363" customFormat="false" ht="15" hidden="false" customHeight="false" outlineLevel="0" collapsed="false">
      <c r="A363" s="43"/>
      <c r="B363" s="44"/>
      <c r="C363" s="44"/>
      <c r="D363" s="44"/>
      <c r="E363" s="44"/>
      <c r="F363" s="44"/>
      <c r="G363" s="44"/>
      <c r="H363" s="46" t="str">
        <f aca="false">IF($A363="","",IF(OR(NOT(ISNUMBER(E363)),NOT(ISNUMBER(F363))),"",MAX(0,E363)*F363))</f>
        <v/>
      </c>
      <c r="I363" s="46" t="str">
        <f aca="false">IF($A363="","",SUMIF($A$2:$A$5001,$A363,$H$2:$H$5001))</f>
        <v/>
      </c>
      <c r="J363" s="47" t="n">
        <f aca="false">IF($A363="",0,IF(COUNTIF($A$2:A363,$A363)=1,1,0))</f>
        <v>0</v>
      </c>
      <c r="K363" s="47" t="n">
        <f aca="false">IF(J363=1,N(I363)+ROW()/10000000,0)</f>
        <v>0</v>
      </c>
      <c r="L363" s="47" t="str">
        <f aca="false">IF(AND(J363=1,N(I363)&gt;0),SUMIF($K$2:$K$5001,"&gt;="&amp;K363,$I$2:$I$5001)/MAX(1,SUM($H$2:$H$5001)),"")</f>
        <v/>
      </c>
      <c r="M363" s="47" t="str">
        <f aca="false">IF($A363="","",INDEX($L$2:$L$5001,MATCH($A363,$A$2:$A$5001,0)))</f>
        <v/>
      </c>
      <c r="N363" s="48" t="str">
        <f aca="false">IF($A363="","",IF(N(M363)=0,"–",IF(M363&lt;=Start!$D$20,"A",IF(M363&lt;=Start!$D$21,"B","C"))))</f>
        <v/>
      </c>
      <c r="O363" s="48" t="str">
        <f aca="false">IF($A363="","",IF(NOT(ISNUMBER(F363)),"Wert fehlt; ",IF(F363&lt;=0,"Wert ist 0; ",""))&amp;IF(NOT(ISNUMBER(E363)),"Bestand fehlt; ",IF(E363&lt;0,"Bestand negativ; ",IF(E363=0,"Nullbestand; ","")))&amp;IF(D363="","Warengruppe fehlt; ","")&amp;IF(B363="","Bezeichnung fehlt; ","")&amp;IF(COUNTIFS($A$2:$A$5001,$A363,$C$2:$C$5001,C363)&gt;1,"Artikel doppelt im selben Lager; ",""))</f>
        <v/>
      </c>
      <c r="P363" s="47" t="n">
        <f aca="false">IF(OR($A363="",D363=""),0,IF(COUNTIF($D$2:D363,D363)=1,SUMIF($D$2:$D$5001,D363,$H$2:$H$5001)+ROW()/10000000,0))</f>
        <v>0</v>
      </c>
      <c r="Q363" s="47" t="n">
        <f aca="false">IF(OR($A363="",C363=""),0,IF(COUNTIF($C$2:C363,C363)=1,SUMIF($C$2:$C$5001,C363,$H$2:$H$5001)+ROW()/10000000,0))</f>
        <v>0</v>
      </c>
    </row>
    <row r="364" customFormat="false" ht="15" hidden="false" customHeight="false" outlineLevel="0" collapsed="false">
      <c r="A364" s="43"/>
      <c r="B364" s="44"/>
      <c r="C364" s="44"/>
      <c r="D364" s="44"/>
      <c r="E364" s="44"/>
      <c r="F364" s="44"/>
      <c r="G364" s="44"/>
      <c r="H364" s="46" t="str">
        <f aca="false">IF($A364="","",IF(OR(NOT(ISNUMBER(E364)),NOT(ISNUMBER(F364))),"",MAX(0,E364)*F364))</f>
        <v/>
      </c>
      <c r="I364" s="46" t="str">
        <f aca="false">IF($A364="","",SUMIF($A$2:$A$5001,$A364,$H$2:$H$5001))</f>
        <v/>
      </c>
      <c r="J364" s="47" t="n">
        <f aca="false">IF($A364="",0,IF(COUNTIF($A$2:A364,$A364)=1,1,0))</f>
        <v>0</v>
      </c>
      <c r="K364" s="47" t="n">
        <f aca="false">IF(J364=1,N(I364)+ROW()/10000000,0)</f>
        <v>0</v>
      </c>
      <c r="L364" s="47" t="str">
        <f aca="false">IF(AND(J364=1,N(I364)&gt;0),SUMIF($K$2:$K$5001,"&gt;="&amp;K364,$I$2:$I$5001)/MAX(1,SUM($H$2:$H$5001)),"")</f>
        <v/>
      </c>
      <c r="M364" s="47" t="str">
        <f aca="false">IF($A364="","",INDEX($L$2:$L$5001,MATCH($A364,$A$2:$A$5001,0)))</f>
        <v/>
      </c>
      <c r="N364" s="48" t="str">
        <f aca="false">IF($A364="","",IF(N(M364)=0,"–",IF(M364&lt;=Start!$D$20,"A",IF(M364&lt;=Start!$D$21,"B","C"))))</f>
        <v/>
      </c>
      <c r="O364" s="48" t="str">
        <f aca="false">IF($A364="","",IF(NOT(ISNUMBER(F364)),"Wert fehlt; ",IF(F364&lt;=0,"Wert ist 0; ",""))&amp;IF(NOT(ISNUMBER(E364)),"Bestand fehlt; ",IF(E364&lt;0,"Bestand negativ; ",IF(E364=0,"Nullbestand; ","")))&amp;IF(D364="","Warengruppe fehlt; ","")&amp;IF(B364="","Bezeichnung fehlt; ","")&amp;IF(COUNTIFS($A$2:$A$5001,$A364,$C$2:$C$5001,C364)&gt;1,"Artikel doppelt im selben Lager; ",""))</f>
        <v/>
      </c>
      <c r="P364" s="47" t="n">
        <f aca="false">IF(OR($A364="",D364=""),0,IF(COUNTIF($D$2:D364,D364)=1,SUMIF($D$2:$D$5001,D364,$H$2:$H$5001)+ROW()/10000000,0))</f>
        <v>0</v>
      </c>
      <c r="Q364" s="47" t="n">
        <f aca="false">IF(OR($A364="",C364=""),0,IF(COUNTIF($C$2:C364,C364)=1,SUMIF($C$2:$C$5001,C364,$H$2:$H$5001)+ROW()/10000000,0))</f>
        <v>0</v>
      </c>
    </row>
    <row r="365" customFormat="false" ht="15" hidden="false" customHeight="false" outlineLevel="0" collapsed="false">
      <c r="A365" s="43"/>
      <c r="B365" s="44"/>
      <c r="C365" s="44"/>
      <c r="D365" s="44"/>
      <c r="E365" s="44"/>
      <c r="F365" s="44"/>
      <c r="G365" s="44"/>
      <c r="H365" s="46" t="str">
        <f aca="false">IF($A365="","",IF(OR(NOT(ISNUMBER(E365)),NOT(ISNUMBER(F365))),"",MAX(0,E365)*F365))</f>
        <v/>
      </c>
      <c r="I365" s="46" t="str">
        <f aca="false">IF($A365="","",SUMIF($A$2:$A$5001,$A365,$H$2:$H$5001))</f>
        <v/>
      </c>
      <c r="J365" s="47" t="n">
        <f aca="false">IF($A365="",0,IF(COUNTIF($A$2:A365,$A365)=1,1,0))</f>
        <v>0</v>
      </c>
      <c r="K365" s="47" t="n">
        <f aca="false">IF(J365=1,N(I365)+ROW()/10000000,0)</f>
        <v>0</v>
      </c>
      <c r="L365" s="47" t="str">
        <f aca="false">IF(AND(J365=1,N(I365)&gt;0),SUMIF($K$2:$K$5001,"&gt;="&amp;K365,$I$2:$I$5001)/MAX(1,SUM($H$2:$H$5001)),"")</f>
        <v/>
      </c>
      <c r="M365" s="47" t="str">
        <f aca="false">IF($A365="","",INDEX($L$2:$L$5001,MATCH($A365,$A$2:$A$5001,0)))</f>
        <v/>
      </c>
      <c r="N365" s="48" t="str">
        <f aca="false">IF($A365="","",IF(N(M365)=0,"–",IF(M365&lt;=Start!$D$20,"A",IF(M365&lt;=Start!$D$21,"B","C"))))</f>
        <v/>
      </c>
      <c r="O365" s="48" t="str">
        <f aca="false">IF($A365="","",IF(NOT(ISNUMBER(F365)),"Wert fehlt; ",IF(F365&lt;=0,"Wert ist 0; ",""))&amp;IF(NOT(ISNUMBER(E365)),"Bestand fehlt; ",IF(E365&lt;0,"Bestand negativ; ",IF(E365=0,"Nullbestand; ","")))&amp;IF(D365="","Warengruppe fehlt; ","")&amp;IF(B365="","Bezeichnung fehlt; ","")&amp;IF(COUNTIFS($A$2:$A$5001,$A365,$C$2:$C$5001,C365)&gt;1,"Artikel doppelt im selben Lager; ",""))</f>
        <v/>
      </c>
      <c r="P365" s="47" t="n">
        <f aca="false">IF(OR($A365="",D365=""),0,IF(COUNTIF($D$2:D365,D365)=1,SUMIF($D$2:$D$5001,D365,$H$2:$H$5001)+ROW()/10000000,0))</f>
        <v>0</v>
      </c>
      <c r="Q365" s="47" t="n">
        <f aca="false">IF(OR($A365="",C365=""),0,IF(COUNTIF($C$2:C365,C365)=1,SUMIF($C$2:$C$5001,C365,$H$2:$H$5001)+ROW()/10000000,0))</f>
        <v>0</v>
      </c>
    </row>
    <row r="366" customFormat="false" ht="15" hidden="false" customHeight="false" outlineLevel="0" collapsed="false">
      <c r="A366" s="43"/>
      <c r="B366" s="44"/>
      <c r="C366" s="44"/>
      <c r="D366" s="44"/>
      <c r="E366" s="44"/>
      <c r="F366" s="44"/>
      <c r="G366" s="44"/>
      <c r="H366" s="46" t="str">
        <f aca="false">IF($A366="","",IF(OR(NOT(ISNUMBER(E366)),NOT(ISNUMBER(F366))),"",MAX(0,E366)*F366))</f>
        <v/>
      </c>
      <c r="I366" s="46" t="str">
        <f aca="false">IF($A366="","",SUMIF($A$2:$A$5001,$A366,$H$2:$H$5001))</f>
        <v/>
      </c>
      <c r="J366" s="47" t="n">
        <f aca="false">IF($A366="",0,IF(COUNTIF($A$2:A366,$A366)=1,1,0))</f>
        <v>0</v>
      </c>
      <c r="K366" s="47" t="n">
        <f aca="false">IF(J366=1,N(I366)+ROW()/10000000,0)</f>
        <v>0</v>
      </c>
      <c r="L366" s="47" t="str">
        <f aca="false">IF(AND(J366=1,N(I366)&gt;0),SUMIF($K$2:$K$5001,"&gt;="&amp;K366,$I$2:$I$5001)/MAX(1,SUM($H$2:$H$5001)),"")</f>
        <v/>
      </c>
      <c r="M366" s="47" t="str">
        <f aca="false">IF($A366="","",INDEX($L$2:$L$5001,MATCH($A366,$A$2:$A$5001,0)))</f>
        <v/>
      </c>
      <c r="N366" s="48" t="str">
        <f aca="false">IF($A366="","",IF(N(M366)=0,"–",IF(M366&lt;=Start!$D$20,"A",IF(M366&lt;=Start!$D$21,"B","C"))))</f>
        <v/>
      </c>
      <c r="O366" s="48" t="str">
        <f aca="false">IF($A366="","",IF(NOT(ISNUMBER(F366)),"Wert fehlt; ",IF(F366&lt;=0,"Wert ist 0; ",""))&amp;IF(NOT(ISNUMBER(E366)),"Bestand fehlt; ",IF(E366&lt;0,"Bestand negativ; ",IF(E366=0,"Nullbestand; ","")))&amp;IF(D366="","Warengruppe fehlt; ","")&amp;IF(B366="","Bezeichnung fehlt; ","")&amp;IF(COUNTIFS($A$2:$A$5001,$A366,$C$2:$C$5001,C366)&gt;1,"Artikel doppelt im selben Lager; ",""))</f>
        <v/>
      </c>
      <c r="P366" s="47" t="n">
        <f aca="false">IF(OR($A366="",D366=""),0,IF(COUNTIF($D$2:D366,D366)=1,SUMIF($D$2:$D$5001,D366,$H$2:$H$5001)+ROW()/10000000,0))</f>
        <v>0</v>
      </c>
      <c r="Q366" s="47" t="n">
        <f aca="false">IF(OR($A366="",C366=""),0,IF(COUNTIF($C$2:C366,C366)=1,SUMIF($C$2:$C$5001,C366,$H$2:$H$5001)+ROW()/10000000,0))</f>
        <v>0</v>
      </c>
    </row>
    <row r="367" customFormat="false" ht="15" hidden="false" customHeight="false" outlineLevel="0" collapsed="false">
      <c r="A367" s="43"/>
      <c r="B367" s="44"/>
      <c r="C367" s="44"/>
      <c r="D367" s="44"/>
      <c r="E367" s="44"/>
      <c r="F367" s="44"/>
      <c r="G367" s="44"/>
      <c r="H367" s="46" t="str">
        <f aca="false">IF($A367="","",IF(OR(NOT(ISNUMBER(E367)),NOT(ISNUMBER(F367))),"",MAX(0,E367)*F367))</f>
        <v/>
      </c>
      <c r="I367" s="46" t="str">
        <f aca="false">IF($A367="","",SUMIF($A$2:$A$5001,$A367,$H$2:$H$5001))</f>
        <v/>
      </c>
      <c r="J367" s="47" t="n">
        <f aca="false">IF($A367="",0,IF(COUNTIF($A$2:A367,$A367)=1,1,0))</f>
        <v>0</v>
      </c>
      <c r="K367" s="47" t="n">
        <f aca="false">IF(J367=1,N(I367)+ROW()/10000000,0)</f>
        <v>0</v>
      </c>
      <c r="L367" s="47" t="str">
        <f aca="false">IF(AND(J367=1,N(I367)&gt;0),SUMIF($K$2:$K$5001,"&gt;="&amp;K367,$I$2:$I$5001)/MAX(1,SUM($H$2:$H$5001)),"")</f>
        <v/>
      </c>
      <c r="M367" s="47" t="str">
        <f aca="false">IF($A367="","",INDEX($L$2:$L$5001,MATCH($A367,$A$2:$A$5001,0)))</f>
        <v/>
      </c>
      <c r="N367" s="48" t="str">
        <f aca="false">IF($A367="","",IF(N(M367)=0,"–",IF(M367&lt;=Start!$D$20,"A",IF(M367&lt;=Start!$D$21,"B","C"))))</f>
        <v/>
      </c>
      <c r="O367" s="48" t="str">
        <f aca="false">IF($A367="","",IF(NOT(ISNUMBER(F367)),"Wert fehlt; ",IF(F367&lt;=0,"Wert ist 0; ",""))&amp;IF(NOT(ISNUMBER(E367)),"Bestand fehlt; ",IF(E367&lt;0,"Bestand negativ; ",IF(E367=0,"Nullbestand; ","")))&amp;IF(D367="","Warengruppe fehlt; ","")&amp;IF(B367="","Bezeichnung fehlt; ","")&amp;IF(COUNTIFS($A$2:$A$5001,$A367,$C$2:$C$5001,C367)&gt;1,"Artikel doppelt im selben Lager; ",""))</f>
        <v/>
      </c>
      <c r="P367" s="47" t="n">
        <f aca="false">IF(OR($A367="",D367=""),0,IF(COUNTIF($D$2:D367,D367)=1,SUMIF($D$2:$D$5001,D367,$H$2:$H$5001)+ROW()/10000000,0))</f>
        <v>0</v>
      </c>
      <c r="Q367" s="47" t="n">
        <f aca="false">IF(OR($A367="",C367=""),0,IF(COUNTIF($C$2:C367,C367)=1,SUMIF($C$2:$C$5001,C367,$H$2:$H$5001)+ROW()/10000000,0))</f>
        <v>0</v>
      </c>
    </row>
    <row r="368" customFormat="false" ht="15" hidden="false" customHeight="false" outlineLevel="0" collapsed="false">
      <c r="A368" s="43"/>
      <c r="B368" s="44"/>
      <c r="C368" s="44"/>
      <c r="D368" s="44"/>
      <c r="E368" s="44"/>
      <c r="F368" s="44"/>
      <c r="G368" s="44"/>
      <c r="H368" s="46" t="str">
        <f aca="false">IF($A368="","",IF(OR(NOT(ISNUMBER(E368)),NOT(ISNUMBER(F368))),"",MAX(0,E368)*F368))</f>
        <v/>
      </c>
      <c r="I368" s="46" t="str">
        <f aca="false">IF($A368="","",SUMIF($A$2:$A$5001,$A368,$H$2:$H$5001))</f>
        <v/>
      </c>
      <c r="J368" s="47" t="n">
        <f aca="false">IF($A368="",0,IF(COUNTIF($A$2:A368,$A368)=1,1,0))</f>
        <v>0</v>
      </c>
      <c r="K368" s="47" t="n">
        <f aca="false">IF(J368=1,N(I368)+ROW()/10000000,0)</f>
        <v>0</v>
      </c>
      <c r="L368" s="47" t="str">
        <f aca="false">IF(AND(J368=1,N(I368)&gt;0),SUMIF($K$2:$K$5001,"&gt;="&amp;K368,$I$2:$I$5001)/MAX(1,SUM($H$2:$H$5001)),"")</f>
        <v/>
      </c>
      <c r="M368" s="47" t="str">
        <f aca="false">IF($A368="","",INDEX($L$2:$L$5001,MATCH($A368,$A$2:$A$5001,0)))</f>
        <v/>
      </c>
      <c r="N368" s="48" t="str">
        <f aca="false">IF($A368="","",IF(N(M368)=0,"–",IF(M368&lt;=Start!$D$20,"A",IF(M368&lt;=Start!$D$21,"B","C"))))</f>
        <v/>
      </c>
      <c r="O368" s="48" t="str">
        <f aca="false">IF($A368="","",IF(NOT(ISNUMBER(F368)),"Wert fehlt; ",IF(F368&lt;=0,"Wert ist 0; ",""))&amp;IF(NOT(ISNUMBER(E368)),"Bestand fehlt; ",IF(E368&lt;0,"Bestand negativ; ",IF(E368=0,"Nullbestand; ","")))&amp;IF(D368="","Warengruppe fehlt; ","")&amp;IF(B368="","Bezeichnung fehlt; ","")&amp;IF(COUNTIFS($A$2:$A$5001,$A368,$C$2:$C$5001,C368)&gt;1,"Artikel doppelt im selben Lager; ",""))</f>
        <v/>
      </c>
      <c r="P368" s="47" t="n">
        <f aca="false">IF(OR($A368="",D368=""),0,IF(COUNTIF($D$2:D368,D368)=1,SUMIF($D$2:$D$5001,D368,$H$2:$H$5001)+ROW()/10000000,0))</f>
        <v>0</v>
      </c>
      <c r="Q368" s="47" t="n">
        <f aca="false">IF(OR($A368="",C368=""),0,IF(COUNTIF($C$2:C368,C368)=1,SUMIF($C$2:$C$5001,C368,$H$2:$H$5001)+ROW()/10000000,0))</f>
        <v>0</v>
      </c>
    </row>
    <row r="369" customFormat="false" ht="15" hidden="false" customHeight="false" outlineLevel="0" collapsed="false">
      <c r="A369" s="43"/>
      <c r="B369" s="44"/>
      <c r="C369" s="44"/>
      <c r="D369" s="44"/>
      <c r="E369" s="44"/>
      <c r="F369" s="44"/>
      <c r="G369" s="44"/>
      <c r="H369" s="46" t="str">
        <f aca="false">IF($A369="","",IF(OR(NOT(ISNUMBER(E369)),NOT(ISNUMBER(F369))),"",MAX(0,E369)*F369))</f>
        <v/>
      </c>
      <c r="I369" s="46" t="str">
        <f aca="false">IF($A369="","",SUMIF($A$2:$A$5001,$A369,$H$2:$H$5001))</f>
        <v/>
      </c>
      <c r="J369" s="47" t="n">
        <f aca="false">IF($A369="",0,IF(COUNTIF($A$2:A369,$A369)=1,1,0))</f>
        <v>0</v>
      </c>
      <c r="K369" s="47" t="n">
        <f aca="false">IF(J369=1,N(I369)+ROW()/10000000,0)</f>
        <v>0</v>
      </c>
      <c r="L369" s="47" t="str">
        <f aca="false">IF(AND(J369=1,N(I369)&gt;0),SUMIF($K$2:$K$5001,"&gt;="&amp;K369,$I$2:$I$5001)/MAX(1,SUM($H$2:$H$5001)),"")</f>
        <v/>
      </c>
      <c r="M369" s="47" t="str">
        <f aca="false">IF($A369="","",INDEX($L$2:$L$5001,MATCH($A369,$A$2:$A$5001,0)))</f>
        <v/>
      </c>
      <c r="N369" s="48" t="str">
        <f aca="false">IF($A369="","",IF(N(M369)=0,"–",IF(M369&lt;=Start!$D$20,"A",IF(M369&lt;=Start!$D$21,"B","C"))))</f>
        <v/>
      </c>
      <c r="O369" s="48" t="str">
        <f aca="false">IF($A369="","",IF(NOT(ISNUMBER(F369)),"Wert fehlt; ",IF(F369&lt;=0,"Wert ist 0; ",""))&amp;IF(NOT(ISNUMBER(E369)),"Bestand fehlt; ",IF(E369&lt;0,"Bestand negativ; ",IF(E369=0,"Nullbestand; ","")))&amp;IF(D369="","Warengruppe fehlt; ","")&amp;IF(B369="","Bezeichnung fehlt; ","")&amp;IF(COUNTIFS($A$2:$A$5001,$A369,$C$2:$C$5001,C369)&gt;1,"Artikel doppelt im selben Lager; ",""))</f>
        <v/>
      </c>
      <c r="P369" s="47" t="n">
        <f aca="false">IF(OR($A369="",D369=""),0,IF(COUNTIF($D$2:D369,D369)=1,SUMIF($D$2:$D$5001,D369,$H$2:$H$5001)+ROW()/10000000,0))</f>
        <v>0</v>
      </c>
      <c r="Q369" s="47" t="n">
        <f aca="false">IF(OR($A369="",C369=""),0,IF(COUNTIF($C$2:C369,C369)=1,SUMIF($C$2:$C$5001,C369,$H$2:$H$5001)+ROW()/10000000,0))</f>
        <v>0</v>
      </c>
    </row>
    <row r="370" customFormat="false" ht="15" hidden="false" customHeight="false" outlineLevel="0" collapsed="false">
      <c r="A370" s="43"/>
      <c r="B370" s="44"/>
      <c r="C370" s="44"/>
      <c r="D370" s="44"/>
      <c r="E370" s="44"/>
      <c r="F370" s="44"/>
      <c r="G370" s="44"/>
      <c r="H370" s="46" t="str">
        <f aca="false">IF($A370="","",IF(OR(NOT(ISNUMBER(E370)),NOT(ISNUMBER(F370))),"",MAX(0,E370)*F370))</f>
        <v/>
      </c>
      <c r="I370" s="46" t="str">
        <f aca="false">IF($A370="","",SUMIF($A$2:$A$5001,$A370,$H$2:$H$5001))</f>
        <v/>
      </c>
      <c r="J370" s="47" t="n">
        <f aca="false">IF($A370="",0,IF(COUNTIF($A$2:A370,$A370)=1,1,0))</f>
        <v>0</v>
      </c>
      <c r="K370" s="47" t="n">
        <f aca="false">IF(J370=1,N(I370)+ROW()/10000000,0)</f>
        <v>0</v>
      </c>
      <c r="L370" s="47" t="str">
        <f aca="false">IF(AND(J370=1,N(I370)&gt;0),SUMIF($K$2:$K$5001,"&gt;="&amp;K370,$I$2:$I$5001)/MAX(1,SUM($H$2:$H$5001)),"")</f>
        <v/>
      </c>
      <c r="M370" s="47" t="str">
        <f aca="false">IF($A370="","",INDEX($L$2:$L$5001,MATCH($A370,$A$2:$A$5001,0)))</f>
        <v/>
      </c>
      <c r="N370" s="48" t="str">
        <f aca="false">IF($A370="","",IF(N(M370)=0,"–",IF(M370&lt;=Start!$D$20,"A",IF(M370&lt;=Start!$D$21,"B","C"))))</f>
        <v/>
      </c>
      <c r="O370" s="48" t="str">
        <f aca="false">IF($A370="","",IF(NOT(ISNUMBER(F370)),"Wert fehlt; ",IF(F370&lt;=0,"Wert ist 0; ",""))&amp;IF(NOT(ISNUMBER(E370)),"Bestand fehlt; ",IF(E370&lt;0,"Bestand negativ; ",IF(E370=0,"Nullbestand; ","")))&amp;IF(D370="","Warengruppe fehlt; ","")&amp;IF(B370="","Bezeichnung fehlt; ","")&amp;IF(COUNTIFS($A$2:$A$5001,$A370,$C$2:$C$5001,C370)&gt;1,"Artikel doppelt im selben Lager; ",""))</f>
        <v/>
      </c>
      <c r="P370" s="47" t="n">
        <f aca="false">IF(OR($A370="",D370=""),0,IF(COUNTIF($D$2:D370,D370)=1,SUMIF($D$2:$D$5001,D370,$H$2:$H$5001)+ROW()/10000000,0))</f>
        <v>0</v>
      </c>
      <c r="Q370" s="47" t="n">
        <f aca="false">IF(OR($A370="",C370=""),0,IF(COUNTIF($C$2:C370,C370)=1,SUMIF($C$2:$C$5001,C370,$H$2:$H$5001)+ROW()/10000000,0))</f>
        <v>0</v>
      </c>
    </row>
    <row r="371" customFormat="false" ht="15" hidden="false" customHeight="false" outlineLevel="0" collapsed="false">
      <c r="A371" s="43"/>
      <c r="B371" s="44"/>
      <c r="C371" s="44"/>
      <c r="D371" s="44"/>
      <c r="E371" s="44"/>
      <c r="F371" s="44"/>
      <c r="G371" s="44"/>
      <c r="H371" s="46" t="str">
        <f aca="false">IF($A371="","",IF(OR(NOT(ISNUMBER(E371)),NOT(ISNUMBER(F371))),"",MAX(0,E371)*F371))</f>
        <v/>
      </c>
      <c r="I371" s="46" t="str">
        <f aca="false">IF($A371="","",SUMIF($A$2:$A$5001,$A371,$H$2:$H$5001))</f>
        <v/>
      </c>
      <c r="J371" s="47" t="n">
        <f aca="false">IF($A371="",0,IF(COUNTIF($A$2:A371,$A371)=1,1,0))</f>
        <v>0</v>
      </c>
      <c r="K371" s="47" t="n">
        <f aca="false">IF(J371=1,N(I371)+ROW()/10000000,0)</f>
        <v>0</v>
      </c>
      <c r="L371" s="47" t="str">
        <f aca="false">IF(AND(J371=1,N(I371)&gt;0),SUMIF($K$2:$K$5001,"&gt;="&amp;K371,$I$2:$I$5001)/MAX(1,SUM($H$2:$H$5001)),"")</f>
        <v/>
      </c>
      <c r="M371" s="47" t="str">
        <f aca="false">IF($A371="","",INDEX($L$2:$L$5001,MATCH($A371,$A$2:$A$5001,0)))</f>
        <v/>
      </c>
      <c r="N371" s="48" t="str">
        <f aca="false">IF($A371="","",IF(N(M371)=0,"–",IF(M371&lt;=Start!$D$20,"A",IF(M371&lt;=Start!$D$21,"B","C"))))</f>
        <v/>
      </c>
      <c r="O371" s="48" t="str">
        <f aca="false">IF($A371="","",IF(NOT(ISNUMBER(F371)),"Wert fehlt; ",IF(F371&lt;=0,"Wert ist 0; ",""))&amp;IF(NOT(ISNUMBER(E371)),"Bestand fehlt; ",IF(E371&lt;0,"Bestand negativ; ",IF(E371=0,"Nullbestand; ","")))&amp;IF(D371="","Warengruppe fehlt; ","")&amp;IF(B371="","Bezeichnung fehlt; ","")&amp;IF(COUNTIFS($A$2:$A$5001,$A371,$C$2:$C$5001,C371)&gt;1,"Artikel doppelt im selben Lager; ",""))</f>
        <v/>
      </c>
      <c r="P371" s="47" t="n">
        <f aca="false">IF(OR($A371="",D371=""),0,IF(COUNTIF($D$2:D371,D371)=1,SUMIF($D$2:$D$5001,D371,$H$2:$H$5001)+ROW()/10000000,0))</f>
        <v>0</v>
      </c>
      <c r="Q371" s="47" t="n">
        <f aca="false">IF(OR($A371="",C371=""),0,IF(COUNTIF($C$2:C371,C371)=1,SUMIF($C$2:$C$5001,C371,$H$2:$H$5001)+ROW()/10000000,0))</f>
        <v>0</v>
      </c>
    </row>
    <row r="372" customFormat="false" ht="15" hidden="false" customHeight="false" outlineLevel="0" collapsed="false">
      <c r="A372" s="43"/>
      <c r="B372" s="44"/>
      <c r="C372" s="44"/>
      <c r="D372" s="44"/>
      <c r="E372" s="44"/>
      <c r="F372" s="44"/>
      <c r="G372" s="44"/>
      <c r="H372" s="46" t="str">
        <f aca="false">IF($A372="","",IF(OR(NOT(ISNUMBER(E372)),NOT(ISNUMBER(F372))),"",MAX(0,E372)*F372))</f>
        <v/>
      </c>
      <c r="I372" s="46" t="str">
        <f aca="false">IF($A372="","",SUMIF($A$2:$A$5001,$A372,$H$2:$H$5001))</f>
        <v/>
      </c>
      <c r="J372" s="47" t="n">
        <f aca="false">IF($A372="",0,IF(COUNTIF($A$2:A372,$A372)=1,1,0))</f>
        <v>0</v>
      </c>
      <c r="K372" s="47" t="n">
        <f aca="false">IF(J372=1,N(I372)+ROW()/10000000,0)</f>
        <v>0</v>
      </c>
      <c r="L372" s="47" t="str">
        <f aca="false">IF(AND(J372=1,N(I372)&gt;0),SUMIF($K$2:$K$5001,"&gt;="&amp;K372,$I$2:$I$5001)/MAX(1,SUM($H$2:$H$5001)),"")</f>
        <v/>
      </c>
      <c r="M372" s="47" t="str">
        <f aca="false">IF($A372="","",INDEX($L$2:$L$5001,MATCH($A372,$A$2:$A$5001,0)))</f>
        <v/>
      </c>
      <c r="N372" s="48" t="str">
        <f aca="false">IF($A372="","",IF(N(M372)=0,"–",IF(M372&lt;=Start!$D$20,"A",IF(M372&lt;=Start!$D$21,"B","C"))))</f>
        <v/>
      </c>
      <c r="O372" s="48" t="str">
        <f aca="false">IF($A372="","",IF(NOT(ISNUMBER(F372)),"Wert fehlt; ",IF(F372&lt;=0,"Wert ist 0; ",""))&amp;IF(NOT(ISNUMBER(E372)),"Bestand fehlt; ",IF(E372&lt;0,"Bestand negativ; ",IF(E372=0,"Nullbestand; ","")))&amp;IF(D372="","Warengruppe fehlt; ","")&amp;IF(B372="","Bezeichnung fehlt; ","")&amp;IF(COUNTIFS($A$2:$A$5001,$A372,$C$2:$C$5001,C372)&gt;1,"Artikel doppelt im selben Lager; ",""))</f>
        <v/>
      </c>
      <c r="P372" s="47" t="n">
        <f aca="false">IF(OR($A372="",D372=""),0,IF(COUNTIF($D$2:D372,D372)=1,SUMIF($D$2:$D$5001,D372,$H$2:$H$5001)+ROW()/10000000,0))</f>
        <v>0</v>
      </c>
      <c r="Q372" s="47" t="n">
        <f aca="false">IF(OR($A372="",C372=""),0,IF(COUNTIF($C$2:C372,C372)=1,SUMIF($C$2:$C$5001,C372,$H$2:$H$5001)+ROW()/10000000,0))</f>
        <v>0</v>
      </c>
    </row>
    <row r="373" customFormat="false" ht="15" hidden="false" customHeight="false" outlineLevel="0" collapsed="false">
      <c r="A373" s="43"/>
      <c r="B373" s="44"/>
      <c r="C373" s="44"/>
      <c r="D373" s="44"/>
      <c r="E373" s="44"/>
      <c r="F373" s="44"/>
      <c r="G373" s="44"/>
      <c r="H373" s="46" t="str">
        <f aca="false">IF($A373="","",IF(OR(NOT(ISNUMBER(E373)),NOT(ISNUMBER(F373))),"",MAX(0,E373)*F373))</f>
        <v/>
      </c>
      <c r="I373" s="46" t="str">
        <f aca="false">IF($A373="","",SUMIF($A$2:$A$5001,$A373,$H$2:$H$5001))</f>
        <v/>
      </c>
      <c r="J373" s="47" t="n">
        <f aca="false">IF($A373="",0,IF(COUNTIF($A$2:A373,$A373)=1,1,0))</f>
        <v>0</v>
      </c>
      <c r="K373" s="47" t="n">
        <f aca="false">IF(J373=1,N(I373)+ROW()/10000000,0)</f>
        <v>0</v>
      </c>
      <c r="L373" s="47" t="str">
        <f aca="false">IF(AND(J373=1,N(I373)&gt;0),SUMIF($K$2:$K$5001,"&gt;="&amp;K373,$I$2:$I$5001)/MAX(1,SUM($H$2:$H$5001)),"")</f>
        <v/>
      </c>
      <c r="M373" s="47" t="str">
        <f aca="false">IF($A373="","",INDEX($L$2:$L$5001,MATCH($A373,$A$2:$A$5001,0)))</f>
        <v/>
      </c>
      <c r="N373" s="48" t="str">
        <f aca="false">IF($A373="","",IF(N(M373)=0,"–",IF(M373&lt;=Start!$D$20,"A",IF(M373&lt;=Start!$D$21,"B","C"))))</f>
        <v/>
      </c>
      <c r="O373" s="48" t="str">
        <f aca="false">IF($A373="","",IF(NOT(ISNUMBER(F373)),"Wert fehlt; ",IF(F373&lt;=0,"Wert ist 0; ",""))&amp;IF(NOT(ISNUMBER(E373)),"Bestand fehlt; ",IF(E373&lt;0,"Bestand negativ; ",IF(E373=0,"Nullbestand; ","")))&amp;IF(D373="","Warengruppe fehlt; ","")&amp;IF(B373="","Bezeichnung fehlt; ","")&amp;IF(COUNTIFS($A$2:$A$5001,$A373,$C$2:$C$5001,C373)&gt;1,"Artikel doppelt im selben Lager; ",""))</f>
        <v/>
      </c>
      <c r="P373" s="47" t="n">
        <f aca="false">IF(OR($A373="",D373=""),0,IF(COUNTIF($D$2:D373,D373)=1,SUMIF($D$2:$D$5001,D373,$H$2:$H$5001)+ROW()/10000000,0))</f>
        <v>0</v>
      </c>
      <c r="Q373" s="47" t="n">
        <f aca="false">IF(OR($A373="",C373=""),0,IF(COUNTIF($C$2:C373,C373)=1,SUMIF($C$2:$C$5001,C373,$H$2:$H$5001)+ROW()/10000000,0))</f>
        <v>0</v>
      </c>
    </row>
    <row r="374" customFormat="false" ht="15" hidden="false" customHeight="false" outlineLevel="0" collapsed="false">
      <c r="A374" s="43"/>
      <c r="B374" s="44"/>
      <c r="C374" s="44"/>
      <c r="D374" s="44"/>
      <c r="E374" s="44"/>
      <c r="F374" s="44"/>
      <c r="G374" s="44"/>
      <c r="H374" s="46" t="str">
        <f aca="false">IF($A374="","",IF(OR(NOT(ISNUMBER(E374)),NOT(ISNUMBER(F374))),"",MAX(0,E374)*F374))</f>
        <v/>
      </c>
      <c r="I374" s="46" t="str">
        <f aca="false">IF($A374="","",SUMIF($A$2:$A$5001,$A374,$H$2:$H$5001))</f>
        <v/>
      </c>
      <c r="J374" s="47" t="n">
        <f aca="false">IF($A374="",0,IF(COUNTIF($A$2:A374,$A374)=1,1,0))</f>
        <v>0</v>
      </c>
      <c r="K374" s="47" t="n">
        <f aca="false">IF(J374=1,N(I374)+ROW()/10000000,0)</f>
        <v>0</v>
      </c>
      <c r="L374" s="47" t="str">
        <f aca="false">IF(AND(J374=1,N(I374)&gt;0),SUMIF($K$2:$K$5001,"&gt;="&amp;K374,$I$2:$I$5001)/MAX(1,SUM($H$2:$H$5001)),"")</f>
        <v/>
      </c>
      <c r="M374" s="47" t="str">
        <f aca="false">IF($A374="","",INDEX($L$2:$L$5001,MATCH($A374,$A$2:$A$5001,0)))</f>
        <v/>
      </c>
      <c r="N374" s="48" t="str">
        <f aca="false">IF($A374="","",IF(N(M374)=0,"–",IF(M374&lt;=Start!$D$20,"A",IF(M374&lt;=Start!$D$21,"B","C"))))</f>
        <v/>
      </c>
      <c r="O374" s="48" t="str">
        <f aca="false">IF($A374="","",IF(NOT(ISNUMBER(F374)),"Wert fehlt; ",IF(F374&lt;=0,"Wert ist 0; ",""))&amp;IF(NOT(ISNUMBER(E374)),"Bestand fehlt; ",IF(E374&lt;0,"Bestand negativ; ",IF(E374=0,"Nullbestand; ","")))&amp;IF(D374="","Warengruppe fehlt; ","")&amp;IF(B374="","Bezeichnung fehlt; ","")&amp;IF(COUNTIFS($A$2:$A$5001,$A374,$C$2:$C$5001,C374)&gt;1,"Artikel doppelt im selben Lager; ",""))</f>
        <v/>
      </c>
      <c r="P374" s="47" t="n">
        <f aca="false">IF(OR($A374="",D374=""),0,IF(COUNTIF($D$2:D374,D374)=1,SUMIF($D$2:$D$5001,D374,$H$2:$H$5001)+ROW()/10000000,0))</f>
        <v>0</v>
      </c>
      <c r="Q374" s="47" t="n">
        <f aca="false">IF(OR($A374="",C374=""),0,IF(COUNTIF($C$2:C374,C374)=1,SUMIF($C$2:$C$5001,C374,$H$2:$H$5001)+ROW()/10000000,0))</f>
        <v>0</v>
      </c>
    </row>
    <row r="375" customFormat="false" ht="15" hidden="false" customHeight="false" outlineLevel="0" collapsed="false">
      <c r="A375" s="43"/>
      <c r="B375" s="44"/>
      <c r="C375" s="44"/>
      <c r="D375" s="44"/>
      <c r="E375" s="44"/>
      <c r="F375" s="44"/>
      <c r="G375" s="44"/>
      <c r="H375" s="46" t="str">
        <f aca="false">IF($A375="","",IF(OR(NOT(ISNUMBER(E375)),NOT(ISNUMBER(F375))),"",MAX(0,E375)*F375))</f>
        <v/>
      </c>
      <c r="I375" s="46" t="str">
        <f aca="false">IF($A375="","",SUMIF($A$2:$A$5001,$A375,$H$2:$H$5001))</f>
        <v/>
      </c>
      <c r="J375" s="47" t="n">
        <f aca="false">IF($A375="",0,IF(COUNTIF($A$2:A375,$A375)=1,1,0))</f>
        <v>0</v>
      </c>
      <c r="K375" s="47" t="n">
        <f aca="false">IF(J375=1,N(I375)+ROW()/10000000,0)</f>
        <v>0</v>
      </c>
      <c r="L375" s="47" t="str">
        <f aca="false">IF(AND(J375=1,N(I375)&gt;0),SUMIF($K$2:$K$5001,"&gt;="&amp;K375,$I$2:$I$5001)/MAX(1,SUM($H$2:$H$5001)),"")</f>
        <v/>
      </c>
      <c r="M375" s="47" t="str">
        <f aca="false">IF($A375="","",INDEX($L$2:$L$5001,MATCH($A375,$A$2:$A$5001,0)))</f>
        <v/>
      </c>
      <c r="N375" s="48" t="str">
        <f aca="false">IF($A375="","",IF(N(M375)=0,"–",IF(M375&lt;=Start!$D$20,"A",IF(M375&lt;=Start!$D$21,"B","C"))))</f>
        <v/>
      </c>
      <c r="O375" s="48" t="str">
        <f aca="false">IF($A375="","",IF(NOT(ISNUMBER(F375)),"Wert fehlt; ",IF(F375&lt;=0,"Wert ist 0; ",""))&amp;IF(NOT(ISNUMBER(E375)),"Bestand fehlt; ",IF(E375&lt;0,"Bestand negativ; ",IF(E375=0,"Nullbestand; ","")))&amp;IF(D375="","Warengruppe fehlt; ","")&amp;IF(B375="","Bezeichnung fehlt; ","")&amp;IF(COUNTIFS($A$2:$A$5001,$A375,$C$2:$C$5001,C375)&gt;1,"Artikel doppelt im selben Lager; ",""))</f>
        <v/>
      </c>
      <c r="P375" s="47" t="n">
        <f aca="false">IF(OR($A375="",D375=""),0,IF(COUNTIF($D$2:D375,D375)=1,SUMIF($D$2:$D$5001,D375,$H$2:$H$5001)+ROW()/10000000,0))</f>
        <v>0</v>
      </c>
      <c r="Q375" s="47" t="n">
        <f aca="false">IF(OR($A375="",C375=""),0,IF(COUNTIF($C$2:C375,C375)=1,SUMIF($C$2:$C$5001,C375,$H$2:$H$5001)+ROW()/10000000,0))</f>
        <v>0</v>
      </c>
    </row>
    <row r="376" customFormat="false" ht="15" hidden="false" customHeight="false" outlineLevel="0" collapsed="false">
      <c r="A376" s="43"/>
      <c r="B376" s="44"/>
      <c r="C376" s="44"/>
      <c r="D376" s="44"/>
      <c r="E376" s="44"/>
      <c r="F376" s="44"/>
      <c r="G376" s="44"/>
      <c r="H376" s="46" t="str">
        <f aca="false">IF($A376="","",IF(OR(NOT(ISNUMBER(E376)),NOT(ISNUMBER(F376))),"",MAX(0,E376)*F376))</f>
        <v/>
      </c>
      <c r="I376" s="46" t="str">
        <f aca="false">IF($A376="","",SUMIF($A$2:$A$5001,$A376,$H$2:$H$5001))</f>
        <v/>
      </c>
      <c r="J376" s="47" t="n">
        <f aca="false">IF($A376="",0,IF(COUNTIF($A$2:A376,$A376)=1,1,0))</f>
        <v>0</v>
      </c>
      <c r="K376" s="47" t="n">
        <f aca="false">IF(J376=1,N(I376)+ROW()/10000000,0)</f>
        <v>0</v>
      </c>
      <c r="L376" s="47" t="str">
        <f aca="false">IF(AND(J376=1,N(I376)&gt;0),SUMIF($K$2:$K$5001,"&gt;="&amp;K376,$I$2:$I$5001)/MAX(1,SUM($H$2:$H$5001)),"")</f>
        <v/>
      </c>
      <c r="M376" s="47" t="str">
        <f aca="false">IF($A376="","",INDEX($L$2:$L$5001,MATCH($A376,$A$2:$A$5001,0)))</f>
        <v/>
      </c>
      <c r="N376" s="48" t="str">
        <f aca="false">IF($A376="","",IF(N(M376)=0,"–",IF(M376&lt;=Start!$D$20,"A",IF(M376&lt;=Start!$D$21,"B","C"))))</f>
        <v/>
      </c>
      <c r="O376" s="48" t="str">
        <f aca="false">IF($A376="","",IF(NOT(ISNUMBER(F376)),"Wert fehlt; ",IF(F376&lt;=0,"Wert ist 0; ",""))&amp;IF(NOT(ISNUMBER(E376)),"Bestand fehlt; ",IF(E376&lt;0,"Bestand negativ; ",IF(E376=0,"Nullbestand; ","")))&amp;IF(D376="","Warengruppe fehlt; ","")&amp;IF(B376="","Bezeichnung fehlt; ","")&amp;IF(COUNTIFS($A$2:$A$5001,$A376,$C$2:$C$5001,C376)&gt;1,"Artikel doppelt im selben Lager; ",""))</f>
        <v/>
      </c>
      <c r="P376" s="47" t="n">
        <f aca="false">IF(OR($A376="",D376=""),0,IF(COUNTIF($D$2:D376,D376)=1,SUMIF($D$2:$D$5001,D376,$H$2:$H$5001)+ROW()/10000000,0))</f>
        <v>0</v>
      </c>
      <c r="Q376" s="47" t="n">
        <f aca="false">IF(OR($A376="",C376=""),0,IF(COUNTIF($C$2:C376,C376)=1,SUMIF($C$2:$C$5001,C376,$H$2:$H$5001)+ROW()/10000000,0))</f>
        <v>0</v>
      </c>
    </row>
    <row r="377" customFormat="false" ht="15" hidden="false" customHeight="false" outlineLevel="0" collapsed="false">
      <c r="A377" s="43"/>
      <c r="B377" s="44"/>
      <c r="C377" s="44"/>
      <c r="D377" s="44"/>
      <c r="E377" s="44"/>
      <c r="F377" s="44"/>
      <c r="G377" s="44"/>
      <c r="H377" s="46" t="str">
        <f aca="false">IF($A377="","",IF(OR(NOT(ISNUMBER(E377)),NOT(ISNUMBER(F377))),"",MAX(0,E377)*F377))</f>
        <v/>
      </c>
      <c r="I377" s="46" t="str">
        <f aca="false">IF($A377="","",SUMIF($A$2:$A$5001,$A377,$H$2:$H$5001))</f>
        <v/>
      </c>
      <c r="J377" s="47" t="n">
        <f aca="false">IF($A377="",0,IF(COUNTIF($A$2:A377,$A377)=1,1,0))</f>
        <v>0</v>
      </c>
      <c r="K377" s="47" t="n">
        <f aca="false">IF(J377=1,N(I377)+ROW()/10000000,0)</f>
        <v>0</v>
      </c>
      <c r="L377" s="47" t="str">
        <f aca="false">IF(AND(J377=1,N(I377)&gt;0),SUMIF($K$2:$K$5001,"&gt;="&amp;K377,$I$2:$I$5001)/MAX(1,SUM($H$2:$H$5001)),"")</f>
        <v/>
      </c>
      <c r="M377" s="47" t="str">
        <f aca="false">IF($A377="","",INDEX($L$2:$L$5001,MATCH($A377,$A$2:$A$5001,0)))</f>
        <v/>
      </c>
      <c r="N377" s="48" t="str">
        <f aca="false">IF($A377="","",IF(N(M377)=0,"–",IF(M377&lt;=Start!$D$20,"A",IF(M377&lt;=Start!$D$21,"B","C"))))</f>
        <v/>
      </c>
      <c r="O377" s="48" t="str">
        <f aca="false">IF($A377="","",IF(NOT(ISNUMBER(F377)),"Wert fehlt; ",IF(F377&lt;=0,"Wert ist 0; ",""))&amp;IF(NOT(ISNUMBER(E377)),"Bestand fehlt; ",IF(E377&lt;0,"Bestand negativ; ",IF(E377=0,"Nullbestand; ","")))&amp;IF(D377="","Warengruppe fehlt; ","")&amp;IF(B377="","Bezeichnung fehlt; ","")&amp;IF(COUNTIFS($A$2:$A$5001,$A377,$C$2:$C$5001,C377)&gt;1,"Artikel doppelt im selben Lager; ",""))</f>
        <v/>
      </c>
      <c r="P377" s="47" t="n">
        <f aca="false">IF(OR($A377="",D377=""),0,IF(COUNTIF($D$2:D377,D377)=1,SUMIF($D$2:$D$5001,D377,$H$2:$H$5001)+ROW()/10000000,0))</f>
        <v>0</v>
      </c>
      <c r="Q377" s="47" t="n">
        <f aca="false">IF(OR($A377="",C377=""),0,IF(COUNTIF($C$2:C377,C377)=1,SUMIF($C$2:$C$5001,C377,$H$2:$H$5001)+ROW()/10000000,0))</f>
        <v>0</v>
      </c>
    </row>
    <row r="378" customFormat="false" ht="15" hidden="false" customHeight="false" outlineLevel="0" collapsed="false">
      <c r="A378" s="43"/>
      <c r="B378" s="44"/>
      <c r="C378" s="44"/>
      <c r="D378" s="44"/>
      <c r="E378" s="44"/>
      <c r="F378" s="44"/>
      <c r="G378" s="44"/>
      <c r="H378" s="46" t="str">
        <f aca="false">IF($A378="","",IF(OR(NOT(ISNUMBER(E378)),NOT(ISNUMBER(F378))),"",MAX(0,E378)*F378))</f>
        <v/>
      </c>
      <c r="I378" s="46" t="str">
        <f aca="false">IF($A378="","",SUMIF($A$2:$A$5001,$A378,$H$2:$H$5001))</f>
        <v/>
      </c>
      <c r="J378" s="47" t="n">
        <f aca="false">IF($A378="",0,IF(COUNTIF($A$2:A378,$A378)=1,1,0))</f>
        <v>0</v>
      </c>
      <c r="K378" s="47" t="n">
        <f aca="false">IF(J378=1,N(I378)+ROW()/10000000,0)</f>
        <v>0</v>
      </c>
      <c r="L378" s="47" t="str">
        <f aca="false">IF(AND(J378=1,N(I378)&gt;0),SUMIF($K$2:$K$5001,"&gt;="&amp;K378,$I$2:$I$5001)/MAX(1,SUM($H$2:$H$5001)),"")</f>
        <v/>
      </c>
      <c r="M378" s="47" t="str">
        <f aca="false">IF($A378="","",INDEX($L$2:$L$5001,MATCH($A378,$A$2:$A$5001,0)))</f>
        <v/>
      </c>
      <c r="N378" s="48" t="str">
        <f aca="false">IF($A378="","",IF(N(M378)=0,"–",IF(M378&lt;=Start!$D$20,"A",IF(M378&lt;=Start!$D$21,"B","C"))))</f>
        <v/>
      </c>
      <c r="O378" s="48" t="str">
        <f aca="false">IF($A378="","",IF(NOT(ISNUMBER(F378)),"Wert fehlt; ",IF(F378&lt;=0,"Wert ist 0; ",""))&amp;IF(NOT(ISNUMBER(E378)),"Bestand fehlt; ",IF(E378&lt;0,"Bestand negativ; ",IF(E378=0,"Nullbestand; ","")))&amp;IF(D378="","Warengruppe fehlt; ","")&amp;IF(B378="","Bezeichnung fehlt; ","")&amp;IF(COUNTIFS($A$2:$A$5001,$A378,$C$2:$C$5001,C378)&gt;1,"Artikel doppelt im selben Lager; ",""))</f>
        <v/>
      </c>
      <c r="P378" s="47" t="n">
        <f aca="false">IF(OR($A378="",D378=""),0,IF(COUNTIF($D$2:D378,D378)=1,SUMIF($D$2:$D$5001,D378,$H$2:$H$5001)+ROW()/10000000,0))</f>
        <v>0</v>
      </c>
      <c r="Q378" s="47" t="n">
        <f aca="false">IF(OR($A378="",C378=""),0,IF(COUNTIF($C$2:C378,C378)=1,SUMIF($C$2:$C$5001,C378,$H$2:$H$5001)+ROW()/10000000,0))</f>
        <v>0</v>
      </c>
    </row>
    <row r="379" customFormat="false" ht="15" hidden="false" customHeight="false" outlineLevel="0" collapsed="false">
      <c r="A379" s="43"/>
      <c r="B379" s="44"/>
      <c r="C379" s="44"/>
      <c r="D379" s="44"/>
      <c r="E379" s="44"/>
      <c r="F379" s="44"/>
      <c r="G379" s="44"/>
      <c r="H379" s="46" t="str">
        <f aca="false">IF($A379="","",IF(OR(NOT(ISNUMBER(E379)),NOT(ISNUMBER(F379))),"",MAX(0,E379)*F379))</f>
        <v/>
      </c>
      <c r="I379" s="46" t="str">
        <f aca="false">IF($A379="","",SUMIF($A$2:$A$5001,$A379,$H$2:$H$5001))</f>
        <v/>
      </c>
      <c r="J379" s="47" t="n">
        <f aca="false">IF($A379="",0,IF(COUNTIF($A$2:A379,$A379)=1,1,0))</f>
        <v>0</v>
      </c>
      <c r="K379" s="47" t="n">
        <f aca="false">IF(J379=1,N(I379)+ROW()/10000000,0)</f>
        <v>0</v>
      </c>
      <c r="L379" s="47" t="str">
        <f aca="false">IF(AND(J379=1,N(I379)&gt;0),SUMIF($K$2:$K$5001,"&gt;="&amp;K379,$I$2:$I$5001)/MAX(1,SUM($H$2:$H$5001)),"")</f>
        <v/>
      </c>
      <c r="M379" s="47" t="str">
        <f aca="false">IF($A379="","",INDEX($L$2:$L$5001,MATCH($A379,$A$2:$A$5001,0)))</f>
        <v/>
      </c>
      <c r="N379" s="48" t="str">
        <f aca="false">IF($A379="","",IF(N(M379)=0,"–",IF(M379&lt;=Start!$D$20,"A",IF(M379&lt;=Start!$D$21,"B","C"))))</f>
        <v/>
      </c>
      <c r="O379" s="48" t="str">
        <f aca="false">IF($A379="","",IF(NOT(ISNUMBER(F379)),"Wert fehlt; ",IF(F379&lt;=0,"Wert ist 0; ",""))&amp;IF(NOT(ISNUMBER(E379)),"Bestand fehlt; ",IF(E379&lt;0,"Bestand negativ; ",IF(E379=0,"Nullbestand; ","")))&amp;IF(D379="","Warengruppe fehlt; ","")&amp;IF(B379="","Bezeichnung fehlt; ","")&amp;IF(COUNTIFS($A$2:$A$5001,$A379,$C$2:$C$5001,C379)&gt;1,"Artikel doppelt im selben Lager; ",""))</f>
        <v/>
      </c>
      <c r="P379" s="47" t="n">
        <f aca="false">IF(OR($A379="",D379=""),0,IF(COUNTIF($D$2:D379,D379)=1,SUMIF($D$2:$D$5001,D379,$H$2:$H$5001)+ROW()/10000000,0))</f>
        <v>0</v>
      </c>
      <c r="Q379" s="47" t="n">
        <f aca="false">IF(OR($A379="",C379=""),0,IF(COUNTIF($C$2:C379,C379)=1,SUMIF($C$2:$C$5001,C379,$H$2:$H$5001)+ROW()/10000000,0))</f>
        <v>0</v>
      </c>
    </row>
    <row r="380" customFormat="false" ht="15" hidden="false" customHeight="false" outlineLevel="0" collapsed="false">
      <c r="A380" s="43"/>
      <c r="B380" s="44"/>
      <c r="C380" s="44"/>
      <c r="D380" s="44"/>
      <c r="E380" s="44"/>
      <c r="F380" s="44"/>
      <c r="G380" s="44"/>
      <c r="H380" s="46" t="str">
        <f aca="false">IF($A380="","",IF(OR(NOT(ISNUMBER(E380)),NOT(ISNUMBER(F380))),"",MAX(0,E380)*F380))</f>
        <v/>
      </c>
      <c r="I380" s="46" t="str">
        <f aca="false">IF($A380="","",SUMIF($A$2:$A$5001,$A380,$H$2:$H$5001))</f>
        <v/>
      </c>
      <c r="J380" s="47" t="n">
        <f aca="false">IF($A380="",0,IF(COUNTIF($A$2:A380,$A380)=1,1,0))</f>
        <v>0</v>
      </c>
      <c r="K380" s="47" t="n">
        <f aca="false">IF(J380=1,N(I380)+ROW()/10000000,0)</f>
        <v>0</v>
      </c>
      <c r="L380" s="47" t="str">
        <f aca="false">IF(AND(J380=1,N(I380)&gt;0),SUMIF($K$2:$K$5001,"&gt;="&amp;K380,$I$2:$I$5001)/MAX(1,SUM($H$2:$H$5001)),"")</f>
        <v/>
      </c>
      <c r="M380" s="47" t="str">
        <f aca="false">IF($A380="","",INDEX($L$2:$L$5001,MATCH($A380,$A$2:$A$5001,0)))</f>
        <v/>
      </c>
      <c r="N380" s="48" t="str">
        <f aca="false">IF($A380="","",IF(N(M380)=0,"–",IF(M380&lt;=Start!$D$20,"A",IF(M380&lt;=Start!$D$21,"B","C"))))</f>
        <v/>
      </c>
      <c r="O380" s="48" t="str">
        <f aca="false">IF($A380="","",IF(NOT(ISNUMBER(F380)),"Wert fehlt; ",IF(F380&lt;=0,"Wert ist 0; ",""))&amp;IF(NOT(ISNUMBER(E380)),"Bestand fehlt; ",IF(E380&lt;0,"Bestand negativ; ",IF(E380=0,"Nullbestand; ","")))&amp;IF(D380="","Warengruppe fehlt; ","")&amp;IF(B380="","Bezeichnung fehlt; ","")&amp;IF(COUNTIFS($A$2:$A$5001,$A380,$C$2:$C$5001,C380)&gt;1,"Artikel doppelt im selben Lager; ",""))</f>
        <v/>
      </c>
      <c r="P380" s="47" t="n">
        <f aca="false">IF(OR($A380="",D380=""),0,IF(COUNTIF($D$2:D380,D380)=1,SUMIF($D$2:$D$5001,D380,$H$2:$H$5001)+ROW()/10000000,0))</f>
        <v>0</v>
      </c>
      <c r="Q380" s="47" t="n">
        <f aca="false">IF(OR($A380="",C380=""),0,IF(COUNTIF($C$2:C380,C380)=1,SUMIF($C$2:$C$5001,C380,$H$2:$H$5001)+ROW()/10000000,0))</f>
        <v>0</v>
      </c>
    </row>
    <row r="381" customFormat="false" ht="15" hidden="false" customHeight="false" outlineLevel="0" collapsed="false">
      <c r="A381" s="43"/>
      <c r="B381" s="44"/>
      <c r="C381" s="44"/>
      <c r="D381" s="44"/>
      <c r="E381" s="44"/>
      <c r="F381" s="44"/>
      <c r="G381" s="44"/>
      <c r="H381" s="46" t="str">
        <f aca="false">IF($A381="","",IF(OR(NOT(ISNUMBER(E381)),NOT(ISNUMBER(F381))),"",MAX(0,E381)*F381))</f>
        <v/>
      </c>
      <c r="I381" s="46" t="str">
        <f aca="false">IF($A381="","",SUMIF($A$2:$A$5001,$A381,$H$2:$H$5001))</f>
        <v/>
      </c>
      <c r="J381" s="47" t="n">
        <f aca="false">IF($A381="",0,IF(COUNTIF($A$2:A381,$A381)=1,1,0))</f>
        <v>0</v>
      </c>
      <c r="K381" s="47" t="n">
        <f aca="false">IF(J381=1,N(I381)+ROW()/10000000,0)</f>
        <v>0</v>
      </c>
      <c r="L381" s="47" t="str">
        <f aca="false">IF(AND(J381=1,N(I381)&gt;0),SUMIF($K$2:$K$5001,"&gt;="&amp;K381,$I$2:$I$5001)/MAX(1,SUM($H$2:$H$5001)),"")</f>
        <v/>
      </c>
      <c r="M381" s="47" t="str">
        <f aca="false">IF($A381="","",INDEX($L$2:$L$5001,MATCH($A381,$A$2:$A$5001,0)))</f>
        <v/>
      </c>
      <c r="N381" s="48" t="str">
        <f aca="false">IF($A381="","",IF(N(M381)=0,"–",IF(M381&lt;=Start!$D$20,"A",IF(M381&lt;=Start!$D$21,"B","C"))))</f>
        <v/>
      </c>
      <c r="O381" s="48" t="str">
        <f aca="false">IF($A381="","",IF(NOT(ISNUMBER(F381)),"Wert fehlt; ",IF(F381&lt;=0,"Wert ist 0; ",""))&amp;IF(NOT(ISNUMBER(E381)),"Bestand fehlt; ",IF(E381&lt;0,"Bestand negativ; ",IF(E381=0,"Nullbestand; ","")))&amp;IF(D381="","Warengruppe fehlt; ","")&amp;IF(B381="","Bezeichnung fehlt; ","")&amp;IF(COUNTIFS($A$2:$A$5001,$A381,$C$2:$C$5001,C381)&gt;1,"Artikel doppelt im selben Lager; ",""))</f>
        <v/>
      </c>
      <c r="P381" s="47" t="n">
        <f aca="false">IF(OR($A381="",D381=""),0,IF(COUNTIF($D$2:D381,D381)=1,SUMIF($D$2:$D$5001,D381,$H$2:$H$5001)+ROW()/10000000,0))</f>
        <v>0</v>
      </c>
      <c r="Q381" s="47" t="n">
        <f aca="false">IF(OR($A381="",C381=""),0,IF(COUNTIF($C$2:C381,C381)=1,SUMIF($C$2:$C$5001,C381,$H$2:$H$5001)+ROW()/10000000,0))</f>
        <v>0</v>
      </c>
    </row>
    <row r="382" customFormat="false" ht="15" hidden="false" customHeight="false" outlineLevel="0" collapsed="false">
      <c r="A382" s="43"/>
      <c r="B382" s="44"/>
      <c r="C382" s="44"/>
      <c r="D382" s="44"/>
      <c r="E382" s="44"/>
      <c r="F382" s="44"/>
      <c r="G382" s="44"/>
      <c r="H382" s="46" t="str">
        <f aca="false">IF($A382="","",IF(OR(NOT(ISNUMBER(E382)),NOT(ISNUMBER(F382))),"",MAX(0,E382)*F382))</f>
        <v/>
      </c>
      <c r="I382" s="46" t="str">
        <f aca="false">IF($A382="","",SUMIF($A$2:$A$5001,$A382,$H$2:$H$5001))</f>
        <v/>
      </c>
      <c r="J382" s="47" t="n">
        <f aca="false">IF($A382="",0,IF(COUNTIF($A$2:A382,$A382)=1,1,0))</f>
        <v>0</v>
      </c>
      <c r="K382" s="47" t="n">
        <f aca="false">IF(J382=1,N(I382)+ROW()/10000000,0)</f>
        <v>0</v>
      </c>
      <c r="L382" s="47" t="str">
        <f aca="false">IF(AND(J382=1,N(I382)&gt;0),SUMIF($K$2:$K$5001,"&gt;="&amp;K382,$I$2:$I$5001)/MAX(1,SUM($H$2:$H$5001)),"")</f>
        <v/>
      </c>
      <c r="M382" s="47" t="str">
        <f aca="false">IF($A382="","",INDEX($L$2:$L$5001,MATCH($A382,$A$2:$A$5001,0)))</f>
        <v/>
      </c>
      <c r="N382" s="48" t="str">
        <f aca="false">IF($A382="","",IF(N(M382)=0,"–",IF(M382&lt;=Start!$D$20,"A",IF(M382&lt;=Start!$D$21,"B","C"))))</f>
        <v/>
      </c>
      <c r="O382" s="48" t="str">
        <f aca="false">IF($A382="","",IF(NOT(ISNUMBER(F382)),"Wert fehlt; ",IF(F382&lt;=0,"Wert ist 0; ",""))&amp;IF(NOT(ISNUMBER(E382)),"Bestand fehlt; ",IF(E382&lt;0,"Bestand negativ; ",IF(E382=0,"Nullbestand; ","")))&amp;IF(D382="","Warengruppe fehlt; ","")&amp;IF(B382="","Bezeichnung fehlt; ","")&amp;IF(COUNTIFS($A$2:$A$5001,$A382,$C$2:$C$5001,C382)&gt;1,"Artikel doppelt im selben Lager; ",""))</f>
        <v/>
      </c>
      <c r="P382" s="47" t="n">
        <f aca="false">IF(OR($A382="",D382=""),0,IF(COUNTIF($D$2:D382,D382)=1,SUMIF($D$2:$D$5001,D382,$H$2:$H$5001)+ROW()/10000000,0))</f>
        <v>0</v>
      </c>
      <c r="Q382" s="47" t="n">
        <f aca="false">IF(OR($A382="",C382=""),0,IF(COUNTIF($C$2:C382,C382)=1,SUMIF($C$2:$C$5001,C382,$H$2:$H$5001)+ROW()/10000000,0))</f>
        <v>0</v>
      </c>
    </row>
    <row r="383" customFormat="false" ht="15" hidden="false" customHeight="false" outlineLevel="0" collapsed="false">
      <c r="A383" s="43"/>
      <c r="B383" s="44"/>
      <c r="C383" s="44"/>
      <c r="D383" s="44"/>
      <c r="E383" s="44"/>
      <c r="F383" s="44"/>
      <c r="G383" s="44"/>
      <c r="H383" s="46" t="str">
        <f aca="false">IF($A383="","",IF(OR(NOT(ISNUMBER(E383)),NOT(ISNUMBER(F383))),"",MAX(0,E383)*F383))</f>
        <v/>
      </c>
      <c r="I383" s="46" t="str">
        <f aca="false">IF($A383="","",SUMIF($A$2:$A$5001,$A383,$H$2:$H$5001))</f>
        <v/>
      </c>
      <c r="J383" s="47" t="n">
        <f aca="false">IF($A383="",0,IF(COUNTIF($A$2:A383,$A383)=1,1,0))</f>
        <v>0</v>
      </c>
      <c r="K383" s="47" t="n">
        <f aca="false">IF(J383=1,N(I383)+ROW()/10000000,0)</f>
        <v>0</v>
      </c>
      <c r="L383" s="47" t="str">
        <f aca="false">IF(AND(J383=1,N(I383)&gt;0),SUMIF($K$2:$K$5001,"&gt;="&amp;K383,$I$2:$I$5001)/MAX(1,SUM($H$2:$H$5001)),"")</f>
        <v/>
      </c>
      <c r="M383" s="47" t="str">
        <f aca="false">IF($A383="","",INDEX($L$2:$L$5001,MATCH($A383,$A$2:$A$5001,0)))</f>
        <v/>
      </c>
      <c r="N383" s="48" t="str">
        <f aca="false">IF($A383="","",IF(N(M383)=0,"–",IF(M383&lt;=Start!$D$20,"A",IF(M383&lt;=Start!$D$21,"B","C"))))</f>
        <v/>
      </c>
      <c r="O383" s="48" t="str">
        <f aca="false">IF($A383="","",IF(NOT(ISNUMBER(F383)),"Wert fehlt; ",IF(F383&lt;=0,"Wert ist 0; ",""))&amp;IF(NOT(ISNUMBER(E383)),"Bestand fehlt; ",IF(E383&lt;0,"Bestand negativ; ",IF(E383=0,"Nullbestand; ","")))&amp;IF(D383="","Warengruppe fehlt; ","")&amp;IF(B383="","Bezeichnung fehlt; ","")&amp;IF(COUNTIFS($A$2:$A$5001,$A383,$C$2:$C$5001,C383)&gt;1,"Artikel doppelt im selben Lager; ",""))</f>
        <v/>
      </c>
      <c r="P383" s="47" t="n">
        <f aca="false">IF(OR($A383="",D383=""),0,IF(COUNTIF($D$2:D383,D383)=1,SUMIF($D$2:$D$5001,D383,$H$2:$H$5001)+ROW()/10000000,0))</f>
        <v>0</v>
      </c>
      <c r="Q383" s="47" t="n">
        <f aca="false">IF(OR($A383="",C383=""),0,IF(COUNTIF($C$2:C383,C383)=1,SUMIF($C$2:$C$5001,C383,$H$2:$H$5001)+ROW()/10000000,0))</f>
        <v>0</v>
      </c>
    </row>
    <row r="384" customFormat="false" ht="15" hidden="false" customHeight="false" outlineLevel="0" collapsed="false">
      <c r="A384" s="43"/>
      <c r="B384" s="44"/>
      <c r="C384" s="44"/>
      <c r="D384" s="44"/>
      <c r="E384" s="44"/>
      <c r="F384" s="44"/>
      <c r="G384" s="44"/>
      <c r="H384" s="46" t="str">
        <f aca="false">IF($A384="","",IF(OR(NOT(ISNUMBER(E384)),NOT(ISNUMBER(F384))),"",MAX(0,E384)*F384))</f>
        <v/>
      </c>
      <c r="I384" s="46" t="str">
        <f aca="false">IF($A384="","",SUMIF($A$2:$A$5001,$A384,$H$2:$H$5001))</f>
        <v/>
      </c>
      <c r="J384" s="47" t="n">
        <f aca="false">IF($A384="",0,IF(COUNTIF($A$2:A384,$A384)=1,1,0))</f>
        <v>0</v>
      </c>
      <c r="K384" s="47" t="n">
        <f aca="false">IF(J384=1,N(I384)+ROW()/10000000,0)</f>
        <v>0</v>
      </c>
      <c r="L384" s="47" t="str">
        <f aca="false">IF(AND(J384=1,N(I384)&gt;0),SUMIF($K$2:$K$5001,"&gt;="&amp;K384,$I$2:$I$5001)/MAX(1,SUM($H$2:$H$5001)),"")</f>
        <v/>
      </c>
      <c r="M384" s="47" t="str">
        <f aca="false">IF($A384="","",INDEX($L$2:$L$5001,MATCH($A384,$A$2:$A$5001,0)))</f>
        <v/>
      </c>
      <c r="N384" s="48" t="str">
        <f aca="false">IF($A384="","",IF(N(M384)=0,"–",IF(M384&lt;=Start!$D$20,"A",IF(M384&lt;=Start!$D$21,"B","C"))))</f>
        <v/>
      </c>
      <c r="O384" s="48" t="str">
        <f aca="false">IF($A384="","",IF(NOT(ISNUMBER(F384)),"Wert fehlt; ",IF(F384&lt;=0,"Wert ist 0; ",""))&amp;IF(NOT(ISNUMBER(E384)),"Bestand fehlt; ",IF(E384&lt;0,"Bestand negativ; ",IF(E384=0,"Nullbestand; ","")))&amp;IF(D384="","Warengruppe fehlt; ","")&amp;IF(B384="","Bezeichnung fehlt; ","")&amp;IF(COUNTIFS($A$2:$A$5001,$A384,$C$2:$C$5001,C384)&gt;1,"Artikel doppelt im selben Lager; ",""))</f>
        <v/>
      </c>
      <c r="P384" s="47" t="n">
        <f aca="false">IF(OR($A384="",D384=""),0,IF(COUNTIF($D$2:D384,D384)=1,SUMIF($D$2:$D$5001,D384,$H$2:$H$5001)+ROW()/10000000,0))</f>
        <v>0</v>
      </c>
      <c r="Q384" s="47" t="n">
        <f aca="false">IF(OR($A384="",C384=""),0,IF(COUNTIF($C$2:C384,C384)=1,SUMIF($C$2:$C$5001,C384,$H$2:$H$5001)+ROW()/10000000,0))</f>
        <v>0</v>
      </c>
    </row>
    <row r="385" customFormat="false" ht="15" hidden="false" customHeight="false" outlineLevel="0" collapsed="false">
      <c r="A385" s="43"/>
      <c r="B385" s="44"/>
      <c r="C385" s="44"/>
      <c r="D385" s="44"/>
      <c r="E385" s="44"/>
      <c r="F385" s="44"/>
      <c r="G385" s="44"/>
      <c r="H385" s="46" t="str">
        <f aca="false">IF($A385="","",IF(OR(NOT(ISNUMBER(E385)),NOT(ISNUMBER(F385))),"",MAX(0,E385)*F385))</f>
        <v/>
      </c>
      <c r="I385" s="46" t="str">
        <f aca="false">IF($A385="","",SUMIF($A$2:$A$5001,$A385,$H$2:$H$5001))</f>
        <v/>
      </c>
      <c r="J385" s="47" t="n">
        <f aca="false">IF($A385="",0,IF(COUNTIF($A$2:A385,$A385)=1,1,0))</f>
        <v>0</v>
      </c>
      <c r="K385" s="47" t="n">
        <f aca="false">IF(J385=1,N(I385)+ROW()/10000000,0)</f>
        <v>0</v>
      </c>
      <c r="L385" s="47" t="str">
        <f aca="false">IF(AND(J385=1,N(I385)&gt;0),SUMIF($K$2:$K$5001,"&gt;="&amp;K385,$I$2:$I$5001)/MAX(1,SUM($H$2:$H$5001)),"")</f>
        <v/>
      </c>
      <c r="M385" s="47" t="str">
        <f aca="false">IF($A385="","",INDEX($L$2:$L$5001,MATCH($A385,$A$2:$A$5001,0)))</f>
        <v/>
      </c>
      <c r="N385" s="48" t="str">
        <f aca="false">IF($A385="","",IF(N(M385)=0,"–",IF(M385&lt;=Start!$D$20,"A",IF(M385&lt;=Start!$D$21,"B","C"))))</f>
        <v/>
      </c>
      <c r="O385" s="48" t="str">
        <f aca="false">IF($A385="","",IF(NOT(ISNUMBER(F385)),"Wert fehlt; ",IF(F385&lt;=0,"Wert ist 0; ",""))&amp;IF(NOT(ISNUMBER(E385)),"Bestand fehlt; ",IF(E385&lt;0,"Bestand negativ; ",IF(E385=0,"Nullbestand; ","")))&amp;IF(D385="","Warengruppe fehlt; ","")&amp;IF(B385="","Bezeichnung fehlt; ","")&amp;IF(COUNTIFS($A$2:$A$5001,$A385,$C$2:$C$5001,C385)&gt;1,"Artikel doppelt im selben Lager; ",""))</f>
        <v/>
      </c>
      <c r="P385" s="47" t="n">
        <f aca="false">IF(OR($A385="",D385=""),0,IF(COUNTIF($D$2:D385,D385)=1,SUMIF($D$2:$D$5001,D385,$H$2:$H$5001)+ROW()/10000000,0))</f>
        <v>0</v>
      </c>
      <c r="Q385" s="47" t="n">
        <f aca="false">IF(OR($A385="",C385=""),0,IF(COUNTIF($C$2:C385,C385)=1,SUMIF($C$2:$C$5001,C385,$H$2:$H$5001)+ROW()/10000000,0))</f>
        <v>0</v>
      </c>
    </row>
    <row r="386" customFormat="false" ht="15" hidden="false" customHeight="false" outlineLevel="0" collapsed="false">
      <c r="A386" s="43"/>
      <c r="B386" s="44"/>
      <c r="C386" s="44"/>
      <c r="D386" s="44"/>
      <c r="E386" s="44"/>
      <c r="F386" s="44"/>
      <c r="G386" s="44"/>
      <c r="H386" s="46" t="str">
        <f aca="false">IF($A386="","",IF(OR(NOT(ISNUMBER(E386)),NOT(ISNUMBER(F386))),"",MAX(0,E386)*F386))</f>
        <v/>
      </c>
      <c r="I386" s="46" t="str">
        <f aca="false">IF($A386="","",SUMIF($A$2:$A$5001,$A386,$H$2:$H$5001))</f>
        <v/>
      </c>
      <c r="J386" s="47" t="n">
        <f aca="false">IF($A386="",0,IF(COUNTIF($A$2:A386,$A386)=1,1,0))</f>
        <v>0</v>
      </c>
      <c r="K386" s="47" t="n">
        <f aca="false">IF(J386=1,N(I386)+ROW()/10000000,0)</f>
        <v>0</v>
      </c>
      <c r="L386" s="47" t="str">
        <f aca="false">IF(AND(J386=1,N(I386)&gt;0),SUMIF($K$2:$K$5001,"&gt;="&amp;K386,$I$2:$I$5001)/MAX(1,SUM($H$2:$H$5001)),"")</f>
        <v/>
      </c>
      <c r="M386" s="47" t="str">
        <f aca="false">IF($A386="","",INDEX($L$2:$L$5001,MATCH($A386,$A$2:$A$5001,0)))</f>
        <v/>
      </c>
      <c r="N386" s="48" t="str">
        <f aca="false">IF($A386="","",IF(N(M386)=0,"–",IF(M386&lt;=Start!$D$20,"A",IF(M386&lt;=Start!$D$21,"B","C"))))</f>
        <v/>
      </c>
      <c r="O386" s="48" t="str">
        <f aca="false">IF($A386="","",IF(NOT(ISNUMBER(F386)),"Wert fehlt; ",IF(F386&lt;=0,"Wert ist 0; ",""))&amp;IF(NOT(ISNUMBER(E386)),"Bestand fehlt; ",IF(E386&lt;0,"Bestand negativ; ",IF(E386=0,"Nullbestand; ","")))&amp;IF(D386="","Warengruppe fehlt; ","")&amp;IF(B386="","Bezeichnung fehlt; ","")&amp;IF(COUNTIFS($A$2:$A$5001,$A386,$C$2:$C$5001,C386)&gt;1,"Artikel doppelt im selben Lager; ",""))</f>
        <v/>
      </c>
      <c r="P386" s="47" t="n">
        <f aca="false">IF(OR($A386="",D386=""),0,IF(COUNTIF($D$2:D386,D386)=1,SUMIF($D$2:$D$5001,D386,$H$2:$H$5001)+ROW()/10000000,0))</f>
        <v>0</v>
      </c>
      <c r="Q386" s="47" t="n">
        <f aca="false">IF(OR($A386="",C386=""),0,IF(COUNTIF($C$2:C386,C386)=1,SUMIF($C$2:$C$5001,C386,$H$2:$H$5001)+ROW()/10000000,0))</f>
        <v>0</v>
      </c>
    </row>
    <row r="387" customFormat="false" ht="15" hidden="false" customHeight="false" outlineLevel="0" collapsed="false">
      <c r="A387" s="43"/>
      <c r="B387" s="44"/>
      <c r="C387" s="44"/>
      <c r="D387" s="44"/>
      <c r="E387" s="44"/>
      <c r="F387" s="44"/>
      <c r="G387" s="44"/>
      <c r="H387" s="46" t="str">
        <f aca="false">IF($A387="","",IF(OR(NOT(ISNUMBER(E387)),NOT(ISNUMBER(F387))),"",MAX(0,E387)*F387))</f>
        <v/>
      </c>
      <c r="I387" s="46" t="str">
        <f aca="false">IF($A387="","",SUMIF($A$2:$A$5001,$A387,$H$2:$H$5001))</f>
        <v/>
      </c>
      <c r="J387" s="47" t="n">
        <f aca="false">IF($A387="",0,IF(COUNTIF($A$2:A387,$A387)=1,1,0))</f>
        <v>0</v>
      </c>
      <c r="K387" s="47" t="n">
        <f aca="false">IF(J387=1,N(I387)+ROW()/10000000,0)</f>
        <v>0</v>
      </c>
      <c r="L387" s="47" t="str">
        <f aca="false">IF(AND(J387=1,N(I387)&gt;0),SUMIF($K$2:$K$5001,"&gt;="&amp;K387,$I$2:$I$5001)/MAX(1,SUM($H$2:$H$5001)),"")</f>
        <v/>
      </c>
      <c r="M387" s="47" t="str">
        <f aca="false">IF($A387="","",INDEX($L$2:$L$5001,MATCH($A387,$A$2:$A$5001,0)))</f>
        <v/>
      </c>
      <c r="N387" s="48" t="str">
        <f aca="false">IF($A387="","",IF(N(M387)=0,"–",IF(M387&lt;=Start!$D$20,"A",IF(M387&lt;=Start!$D$21,"B","C"))))</f>
        <v/>
      </c>
      <c r="O387" s="48" t="str">
        <f aca="false">IF($A387="","",IF(NOT(ISNUMBER(F387)),"Wert fehlt; ",IF(F387&lt;=0,"Wert ist 0; ",""))&amp;IF(NOT(ISNUMBER(E387)),"Bestand fehlt; ",IF(E387&lt;0,"Bestand negativ; ",IF(E387=0,"Nullbestand; ","")))&amp;IF(D387="","Warengruppe fehlt; ","")&amp;IF(B387="","Bezeichnung fehlt; ","")&amp;IF(COUNTIFS($A$2:$A$5001,$A387,$C$2:$C$5001,C387)&gt;1,"Artikel doppelt im selben Lager; ",""))</f>
        <v/>
      </c>
      <c r="P387" s="47" t="n">
        <f aca="false">IF(OR($A387="",D387=""),0,IF(COUNTIF($D$2:D387,D387)=1,SUMIF($D$2:$D$5001,D387,$H$2:$H$5001)+ROW()/10000000,0))</f>
        <v>0</v>
      </c>
      <c r="Q387" s="47" t="n">
        <f aca="false">IF(OR($A387="",C387=""),0,IF(COUNTIF($C$2:C387,C387)=1,SUMIF($C$2:$C$5001,C387,$H$2:$H$5001)+ROW()/10000000,0))</f>
        <v>0</v>
      </c>
    </row>
    <row r="388" customFormat="false" ht="15" hidden="false" customHeight="false" outlineLevel="0" collapsed="false">
      <c r="A388" s="43"/>
      <c r="B388" s="44"/>
      <c r="C388" s="44"/>
      <c r="D388" s="44"/>
      <c r="E388" s="44"/>
      <c r="F388" s="44"/>
      <c r="G388" s="44"/>
      <c r="H388" s="46" t="str">
        <f aca="false">IF($A388="","",IF(OR(NOT(ISNUMBER(E388)),NOT(ISNUMBER(F388))),"",MAX(0,E388)*F388))</f>
        <v/>
      </c>
      <c r="I388" s="46" t="str">
        <f aca="false">IF($A388="","",SUMIF($A$2:$A$5001,$A388,$H$2:$H$5001))</f>
        <v/>
      </c>
      <c r="J388" s="47" t="n">
        <f aca="false">IF($A388="",0,IF(COUNTIF($A$2:A388,$A388)=1,1,0))</f>
        <v>0</v>
      </c>
      <c r="K388" s="47" t="n">
        <f aca="false">IF(J388=1,N(I388)+ROW()/10000000,0)</f>
        <v>0</v>
      </c>
      <c r="L388" s="47" t="str">
        <f aca="false">IF(AND(J388=1,N(I388)&gt;0),SUMIF($K$2:$K$5001,"&gt;="&amp;K388,$I$2:$I$5001)/MAX(1,SUM($H$2:$H$5001)),"")</f>
        <v/>
      </c>
      <c r="M388" s="47" t="str">
        <f aca="false">IF($A388="","",INDEX($L$2:$L$5001,MATCH($A388,$A$2:$A$5001,0)))</f>
        <v/>
      </c>
      <c r="N388" s="48" t="str">
        <f aca="false">IF($A388="","",IF(N(M388)=0,"–",IF(M388&lt;=Start!$D$20,"A",IF(M388&lt;=Start!$D$21,"B","C"))))</f>
        <v/>
      </c>
      <c r="O388" s="48" t="str">
        <f aca="false">IF($A388="","",IF(NOT(ISNUMBER(F388)),"Wert fehlt; ",IF(F388&lt;=0,"Wert ist 0; ",""))&amp;IF(NOT(ISNUMBER(E388)),"Bestand fehlt; ",IF(E388&lt;0,"Bestand negativ; ",IF(E388=0,"Nullbestand; ","")))&amp;IF(D388="","Warengruppe fehlt; ","")&amp;IF(B388="","Bezeichnung fehlt; ","")&amp;IF(COUNTIFS($A$2:$A$5001,$A388,$C$2:$C$5001,C388)&gt;1,"Artikel doppelt im selben Lager; ",""))</f>
        <v/>
      </c>
      <c r="P388" s="47" t="n">
        <f aca="false">IF(OR($A388="",D388=""),0,IF(COUNTIF($D$2:D388,D388)=1,SUMIF($D$2:$D$5001,D388,$H$2:$H$5001)+ROW()/10000000,0))</f>
        <v>0</v>
      </c>
      <c r="Q388" s="47" t="n">
        <f aca="false">IF(OR($A388="",C388=""),0,IF(COUNTIF($C$2:C388,C388)=1,SUMIF($C$2:$C$5001,C388,$H$2:$H$5001)+ROW()/10000000,0))</f>
        <v>0</v>
      </c>
    </row>
    <row r="389" customFormat="false" ht="15" hidden="false" customHeight="false" outlineLevel="0" collapsed="false">
      <c r="A389" s="43"/>
      <c r="B389" s="44"/>
      <c r="C389" s="44"/>
      <c r="D389" s="44"/>
      <c r="E389" s="44"/>
      <c r="F389" s="44"/>
      <c r="G389" s="44"/>
      <c r="H389" s="46" t="str">
        <f aca="false">IF($A389="","",IF(OR(NOT(ISNUMBER(E389)),NOT(ISNUMBER(F389))),"",MAX(0,E389)*F389))</f>
        <v/>
      </c>
      <c r="I389" s="46" t="str">
        <f aca="false">IF($A389="","",SUMIF($A$2:$A$5001,$A389,$H$2:$H$5001))</f>
        <v/>
      </c>
      <c r="J389" s="47" t="n">
        <f aca="false">IF($A389="",0,IF(COUNTIF($A$2:A389,$A389)=1,1,0))</f>
        <v>0</v>
      </c>
      <c r="K389" s="47" t="n">
        <f aca="false">IF(J389=1,N(I389)+ROW()/10000000,0)</f>
        <v>0</v>
      </c>
      <c r="L389" s="47" t="str">
        <f aca="false">IF(AND(J389=1,N(I389)&gt;0),SUMIF($K$2:$K$5001,"&gt;="&amp;K389,$I$2:$I$5001)/MAX(1,SUM($H$2:$H$5001)),"")</f>
        <v/>
      </c>
      <c r="M389" s="47" t="str">
        <f aca="false">IF($A389="","",INDEX($L$2:$L$5001,MATCH($A389,$A$2:$A$5001,0)))</f>
        <v/>
      </c>
      <c r="N389" s="48" t="str">
        <f aca="false">IF($A389="","",IF(N(M389)=0,"–",IF(M389&lt;=Start!$D$20,"A",IF(M389&lt;=Start!$D$21,"B","C"))))</f>
        <v/>
      </c>
      <c r="O389" s="48" t="str">
        <f aca="false">IF($A389="","",IF(NOT(ISNUMBER(F389)),"Wert fehlt; ",IF(F389&lt;=0,"Wert ist 0; ",""))&amp;IF(NOT(ISNUMBER(E389)),"Bestand fehlt; ",IF(E389&lt;0,"Bestand negativ; ",IF(E389=0,"Nullbestand; ","")))&amp;IF(D389="","Warengruppe fehlt; ","")&amp;IF(B389="","Bezeichnung fehlt; ","")&amp;IF(COUNTIFS($A$2:$A$5001,$A389,$C$2:$C$5001,C389)&gt;1,"Artikel doppelt im selben Lager; ",""))</f>
        <v/>
      </c>
      <c r="P389" s="47" t="n">
        <f aca="false">IF(OR($A389="",D389=""),0,IF(COUNTIF($D$2:D389,D389)=1,SUMIF($D$2:$D$5001,D389,$H$2:$H$5001)+ROW()/10000000,0))</f>
        <v>0</v>
      </c>
      <c r="Q389" s="47" t="n">
        <f aca="false">IF(OR($A389="",C389=""),0,IF(COUNTIF($C$2:C389,C389)=1,SUMIF($C$2:$C$5001,C389,$H$2:$H$5001)+ROW()/10000000,0))</f>
        <v>0</v>
      </c>
    </row>
    <row r="390" customFormat="false" ht="15" hidden="false" customHeight="false" outlineLevel="0" collapsed="false">
      <c r="A390" s="43"/>
      <c r="B390" s="44"/>
      <c r="C390" s="44"/>
      <c r="D390" s="44"/>
      <c r="E390" s="44"/>
      <c r="F390" s="44"/>
      <c r="G390" s="44"/>
      <c r="H390" s="46" t="str">
        <f aca="false">IF($A390="","",IF(OR(NOT(ISNUMBER(E390)),NOT(ISNUMBER(F390))),"",MAX(0,E390)*F390))</f>
        <v/>
      </c>
      <c r="I390" s="46" t="str">
        <f aca="false">IF($A390="","",SUMIF($A$2:$A$5001,$A390,$H$2:$H$5001))</f>
        <v/>
      </c>
      <c r="J390" s="47" t="n">
        <f aca="false">IF($A390="",0,IF(COUNTIF($A$2:A390,$A390)=1,1,0))</f>
        <v>0</v>
      </c>
      <c r="K390" s="47" t="n">
        <f aca="false">IF(J390=1,N(I390)+ROW()/10000000,0)</f>
        <v>0</v>
      </c>
      <c r="L390" s="47" t="str">
        <f aca="false">IF(AND(J390=1,N(I390)&gt;0),SUMIF($K$2:$K$5001,"&gt;="&amp;K390,$I$2:$I$5001)/MAX(1,SUM($H$2:$H$5001)),"")</f>
        <v/>
      </c>
      <c r="M390" s="47" t="str">
        <f aca="false">IF($A390="","",INDEX($L$2:$L$5001,MATCH($A390,$A$2:$A$5001,0)))</f>
        <v/>
      </c>
      <c r="N390" s="48" t="str">
        <f aca="false">IF($A390="","",IF(N(M390)=0,"–",IF(M390&lt;=Start!$D$20,"A",IF(M390&lt;=Start!$D$21,"B","C"))))</f>
        <v/>
      </c>
      <c r="O390" s="48" t="str">
        <f aca="false">IF($A390="","",IF(NOT(ISNUMBER(F390)),"Wert fehlt; ",IF(F390&lt;=0,"Wert ist 0; ",""))&amp;IF(NOT(ISNUMBER(E390)),"Bestand fehlt; ",IF(E390&lt;0,"Bestand negativ; ",IF(E390=0,"Nullbestand; ","")))&amp;IF(D390="","Warengruppe fehlt; ","")&amp;IF(B390="","Bezeichnung fehlt; ","")&amp;IF(COUNTIFS($A$2:$A$5001,$A390,$C$2:$C$5001,C390)&gt;1,"Artikel doppelt im selben Lager; ",""))</f>
        <v/>
      </c>
      <c r="P390" s="47" t="n">
        <f aca="false">IF(OR($A390="",D390=""),0,IF(COUNTIF($D$2:D390,D390)=1,SUMIF($D$2:$D$5001,D390,$H$2:$H$5001)+ROW()/10000000,0))</f>
        <v>0</v>
      </c>
      <c r="Q390" s="47" t="n">
        <f aca="false">IF(OR($A390="",C390=""),0,IF(COUNTIF($C$2:C390,C390)=1,SUMIF($C$2:$C$5001,C390,$H$2:$H$5001)+ROW()/10000000,0))</f>
        <v>0</v>
      </c>
    </row>
    <row r="391" customFormat="false" ht="15" hidden="false" customHeight="false" outlineLevel="0" collapsed="false">
      <c r="A391" s="43"/>
      <c r="B391" s="44"/>
      <c r="C391" s="44"/>
      <c r="D391" s="44"/>
      <c r="E391" s="44"/>
      <c r="F391" s="44"/>
      <c r="G391" s="44"/>
      <c r="H391" s="46" t="str">
        <f aca="false">IF($A391="","",IF(OR(NOT(ISNUMBER(E391)),NOT(ISNUMBER(F391))),"",MAX(0,E391)*F391))</f>
        <v/>
      </c>
      <c r="I391" s="46" t="str">
        <f aca="false">IF($A391="","",SUMIF($A$2:$A$5001,$A391,$H$2:$H$5001))</f>
        <v/>
      </c>
      <c r="J391" s="47" t="n">
        <f aca="false">IF($A391="",0,IF(COUNTIF($A$2:A391,$A391)=1,1,0))</f>
        <v>0</v>
      </c>
      <c r="K391" s="47" t="n">
        <f aca="false">IF(J391=1,N(I391)+ROW()/10000000,0)</f>
        <v>0</v>
      </c>
      <c r="L391" s="47" t="str">
        <f aca="false">IF(AND(J391=1,N(I391)&gt;0),SUMIF($K$2:$K$5001,"&gt;="&amp;K391,$I$2:$I$5001)/MAX(1,SUM($H$2:$H$5001)),"")</f>
        <v/>
      </c>
      <c r="M391" s="47" t="str">
        <f aca="false">IF($A391="","",INDEX($L$2:$L$5001,MATCH($A391,$A$2:$A$5001,0)))</f>
        <v/>
      </c>
      <c r="N391" s="48" t="str">
        <f aca="false">IF($A391="","",IF(N(M391)=0,"–",IF(M391&lt;=Start!$D$20,"A",IF(M391&lt;=Start!$D$21,"B","C"))))</f>
        <v/>
      </c>
      <c r="O391" s="48" t="str">
        <f aca="false">IF($A391="","",IF(NOT(ISNUMBER(F391)),"Wert fehlt; ",IF(F391&lt;=0,"Wert ist 0; ",""))&amp;IF(NOT(ISNUMBER(E391)),"Bestand fehlt; ",IF(E391&lt;0,"Bestand negativ; ",IF(E391=0,"Nullbestand; ","")))&amp;IF(D391="","Warengruppe fehlt; ","")&amp;IF(B391="","Bezeichnung fehlt; ","")&amp;IF(COUNTIFS($A$2:$A$5001,$A391,$C$2:$C$5001,C391)&gt;1,"Artikel doppelt im selben Lager; ",""))</f>
        <v/>
      </c>
      <c r="P391" s="47" t="n">
        <f aca="false">IF(OR($A391="",D391=""),0,IF(COUNTIF($D$2:D391,D391)=1,SUMIF($D$2:$D$5001,D391,$H$2:$H$5001)+ROW()/10000000,0))</f>
        <v>0</v>
      </c>
      <c r="Q391" s="47" t="n">
        <f aca="false">IF(OR($A391="",C391=""),0,IF(COUNTIF($C$2:C391,C391)=1,SUMIF($C$2:$C$5001,C391,$H$2:$H$5001)+ROW()/10000000,0))</f>
        <v>0</v>
      </c>
    </row>
    <row r="392" customFormat="false" ht="15" hidden="false" customHeight="false" outlineLevel="0" collapsed="false">
      <c r="A392" s="43"/>
      <c r="B392" s="44"/>
      <c r="C392" s="44"/>
      <c r="D392" s="44"/>
      <c r="E392" s="44"/>
      <c r="F392" s="44"/>
      <c r="G392" s="44"/>
      <c r="H392" s="46" t="str">
        <f aca="false">IF($A392="","",IF(OR(NOT(ISNUMBER(E392)),NOT(ISNUMBER(F392))),"",MAX(0,E392)*F392))</f>
        <v/>
      </c>
      <c r="I392" s="46" t="str">
        <f aca="false">IF($A392="","",SUMIF($A$2:$A$5001,$A392,$H$2:$H$5001))</f>
        <v/>
      </c>
      <c r="J392" s="47" t="n">
        <f aca="false">IF($A392="",0,IF(COUNTIF($A$2:A392,$A392)=1,1,0))</f>
        <v>0</v>
      </c>
      <c r="K392" s="47" t="n">
        <f aca="false">IF(J392=1,N(I392)+ROW()/10000000,0)</f>
        <v>0</v>
      </c>
      <c r="L392" s="47" t="str">
        <f aca="false">IF(AND(J392=1,N(I392)&gt;0),SUMIF($K$2:$K$5001,"&gt;="&amp;K392,$I$2:$I$5001)/MAX(1,SUM($H$2:$H$5001)),"")</f>
        <v/>
      </c>
      <c r="M392" s="47" t="str">
        <f aca="false">IF($A392="","",INDEX($L$2:$L$5001,MATCH($A392,$A$2:$A$5001,0)))</f>
        <v/>
      </c>
      <c r="N392" s="48" t="str">
        <f aca="false">IF($A392="","",IF(N(M392)=0,"–",IF(M392&lt;=Start!$D$20,"A",IF(M392&lt;=Start!$D$21,"B","C"))))</f>
        <v/>
      </c>
      <c r="O392" s="48" t="str">
        <f aca="false">IF($A392="","",IF(NOT(ISNUMBER(F392)),"Wert fehlt; ",IF(F392&lt;=0,"Wert ist 0; ",""))&amp;IF(NOT(ISNUMBER(E392)),"Bestand fehlt; ",IF(E392&lt;0,"Bestand negativ; ",IF(E392=0,"Nullbestand; ","")))&amp;IF(D392="","Warengruppe fehlt; ","")&amp;IF(B392="","Bezeichnung fehlt; ","")&amp;IF(COUNTIFS($A$2:$A$5001,$A392,$C$2:$C$5001,C392)&gt;1,"Artikel doppelt im selben Lager; ",""))</f>
        <v/>
      </c>
      <c r="P392" s="47" t="n">
        <f aca="false">IF(OR($A392="",D392=""),0,IF(COUNTIF($D$2:D392,D392)=1,SUMIF($D$2:$D$5001,D392,$H$2:$H$5001)+ROW()/10000000,0))</f>
        <v>0</v>
      </c>
      <c r="Q392" s="47" t="n">
        <f aca="false">IF(OR($A392="",C392=""),0,IF(COUNTIF($C$2:C392,C392)=1,SUMIF($C$2:$C$5001,C392,$H$2:$H$5001)+ROW()/10000000,0))</f>
        <v>0</v>
      </c>
    </row>
    <row r="393" customFormat="false" ht="15" hidden="false" customHeight="false" outlineLevel="0" collapsed="false">
      <c r="A393" s="43"/>
      <c r="B393" s="44"/>
      <c r="C393" s="44"/>
      <c r="D393" s="44"/>
      <c r="E393" s="44"/>
      <c r="F393" s="44"/>
      <c r="G393" s="44"/>
      <c r="H393" s="46" t="str">
        <f aca="false">IF($A393="","",IF(OR(NOT(ISNUMBER(E393)),NOT(ISNUMBER(F393))),"",MAX(0,E393)*F393))</f>
        <v/>
      </c>
      <c r="I393" s="46" t="str">
        <f aca="false">IF($A393="","",SUMIF($A$2:$A$5001,$A393,$H$2:$H$5001))</f>
        <v/>
      </c>
      <c r="J393" s="47" t="n">
        <f aca="false">IF($A393="",0,IF(COUNTIF($A$2:A393,$A393)=1,1,0))</f>
        <v>0</v>
      </c>
      <c r="K393" s="47" t="n">
        <f aca="false">IF(J393=1,N(I393)+ROW()/10000000,0)</f>
        <v>0</v>
      </c>
      <c r="L393" s="47" t="str">
        <f aca="false">IF(AND(J393=1,N(I393)&gt;0),SUMIF($K$2:$K$5001,"&gt;="&amp;K393,$I$2:$I$5001)/MAX(1,SUM($H$2:$H$5001)),"")</f>
        <v/>
      </c>
      <c r="M393" s="47" t="str">
        <f aca="false">IF($A393="","",INDEX($L$2:$L$5001,MATCH($A393,$A$2:$A$5001,0)))</f>
        <v/>
      </c>
      <c r="N393" s="48" t="str">
        <f aca="false">IF($A393="","",IF(N(M393)=0,"–",IF(M393&lt;=Start!$D$20,"A",IF(M393&lt;=Start!$D$21,"B","C"))))</f>
        <v/>
      </c>
      <c r="O393" s="48" t="str">
        <f aca="false">IF($A393="","",IF(NOT(ISNUMBER(F393)),"Wert fehlt; ",IF(F393&lt;=0,"Wert ist 0; ",""))&amp;IF(NOT(ISNUMBER(E393)),"Bestand fehlt; ",IF(E393&lt;0,"Bestand negativ; ",IF(E393=0,"Nullbestand; ","")))&amp;IF(D393="","Warengruppe fehlt; ","")&amp;IF(B393="","Bezeichnung fehlt; ","")&amp;IF(COUNTIFS($A$2:$A$5001,$A393,$C$2:$C$5001,C393)&gt;1,"Artikel doppelt im selben Lager; ",""))</f>
        <v/>
      </c>
      <c r="P393" s="47" t="n">
        <f aca="false">IF(OR($A393="",D393=""),0,IF(COUNTIF($D$2:D393,D393)=1,SUMIF($D$2:$D$5001,D393,$H$2:$H$5001)+ROW()/10000000,0))</f>
        <v>0</v>
      </c>
      <c r="Q393" s="47" t="n">
        <f aca="false">IF(OR($A393="",C393=""),0,IF(COUNTIF($C$2:C393,C393)=1,SUMIF($C$2:$C$5001,C393,$H$2:$H$5001)+ROW()/10000000,0))</f>
        <v>0</v>
      </c>
    </row>
    <row r="394" customFormat="false" ht="15" hidden="false" customHeight="false" outlineLevel="0" collapsed="false">
      <c r="A394" s="43"/>
      <c r="B394" s="44"/>
      <c r="C394" s="44"/>
      <c r="D394" s="44"/>
      <c r="E394" s="44"/>
      <c r="F394" s="44"/>
      <c r="G394" s="44"/>
      <c r="H394" s="46" t="str">
        <f aca="false">IF($A394="","",IF(OR(NOT(ISNUMBER(E394)),NOT(ISNUMBER(F394))),"",MAX(0,E394)*F394))</f>
        <v/>
      </c>
      <c r="I394" s="46" t="str">
        <f aca="false">IF($A394="","",SUMIF($A$2:$A$5001,$A394,$H$2:$H$5001))</f>
        <v/>
      </c>
      <c r="J394" s="47" t="n">
        <f aca="false">IF($A394="",0,IF(COUNTIF($A$2:A394,$A394)=1,1,0))</f>
        <v>0</v>
      </c>
      <c r="K394" s="47" t="n">
        <f aca="false">IF(J394=1,N(I394)+ROW()/10000000,0)</f>
        <v>0</v>
      </c>
      <c r="L394" s="47" t="str">
        <f aca="false">IF(AND(J394=1,N(I394)&gt;0),SUMIF($K$2:$K$5001,"&gt;="&amp;K394,$I$2:$I$5001)/MAX(1,SUM($H$2:$H$5001)),"")</f>
        <v/>
      </c>
      <c r="M394" s="47" t="str">
        <f aca="false">IF($A394="","",INDEX($L$2:$L$5001,MATCH($A394,$A$2:$A$5001,0)))</f>
        <v/>
      </c>
      <c r="N394" s="48" t="str">
        <f aca="false">IF($A394="","",IF(N(M394)=0,"–",IF(M394&lt;=Start!$D$20,"A",IF(M394&lt;=Start!$D$21,"B","C"))))</f>
        <v/>
      </c>
      <c r="O394" s="48" t="str">
        <f aca="false">IF($A394="","",IF(NOT(ISNUMBER(F394)),"Wert fehlt; ",IF(F394&lt;=0,"Wert ist 0; ",""))&amp;IF(NOT(ISNUMBER(E394)),"Bestand fehlt; ",IF(E394&lt;0,"Bestand negativ; ",IF(E394=0,"Nullbestand; ","")))&amp;IF(D394="","Warengruppe fehlt; ","")&amp;IF(B394="","Bezeichnung fehlt; ","")&amp;IF(COUNTIFS($A$2:$A$5001,$A394,$C$2:$C$5001,C394)&gt;1,"Artikel doppelt im selben Lager; ",""))</f>
        <v/>
      </c>
      <c r="P394" s="47" t="n">
        <f aca="false">IF(OR($A394="",D394=""),0,IF(COUNTIF($D$2:D394,D394)=1,SUMIF($D$2:$D$5001,D394,$H$2:$H$5001)+ROW()/10000000,0))</f>
        <v>0</v>
      </c>
      <c r="Q394" s="47" t="n">
        <f aca="false">IF(OR($A394="",C394=""),0,IF(COUNTIF($C$2:C394,C394)=1,SUMIF($C$2:$C$5001,C394,$H$2:$H$5001)+ROW()/10000000,0))</f>
        <v>0</v>
      </c>
    </row>
    <row r="395" customFormat="false" ht="15" hidden="false" customHeight="false" outlineLevel="0" collapsed="false">
      <c r="A395" s="43"/>
      <c r="B395" s="44"/>
      <c r="C395" s="44"/>
      <c r="D395" s="44"/>
      <c r="E395" s="44"/>
      <c r="F395" s="44"/>
      <c r="G395" s="44"/>
      <c r="H395" s="46" t="str">
        <f aca="false">IF($A395="","",IF(OR(NOT(ISNUMBER(E395)),NOT(ISNUMBER(F395))),"",MAX(0,E395)*F395))</f>
        <v/>
      </c>
      <c r="I395" s="46" t="str">
        <f aca="false">IF($A395="","",SUMIF($A$2:$A$5001,$A395,$H$2:$H$5001))</f>
        <v/>
      </c>
      <c r="J395" s="47" t="n">
        <f aca="false">IF($A395="",0,IF(COUNTIF($A$2:A395,$A395)=1,1,0))</f>
        <v>0</v>
      </c>
      <c r="K395" s="47" t="n">
        <f aca="false">IF(J395=1,N(I395)+ROW()/10000000,0)</f>
        <v>0</v>
      </c>
      <c r="L395" s="47" t="str">
        <f aca="false">IF(AND(J395=1,N(I395)&gt;0),SUMIF($K$2:$K$5001,"&gt;="&amp;K395,$I$2:$I$5001)/MAX(1,SUM($H$2:$H$5001)),"")</f>
        <v/>
      </c>
      <c r="M395" s="47" t="str">
        <f aca="false">IF($A395="","",INDEX($L$2:$L$5001,MATCH($A395,$A$2:$A$5001,0)))</f>
        <v/>
      </c>
      <c r="N395" s="48" t="str">
        <f aca="false">IF($A395="","",IF(N(M395)=0,"–",IF(M395&lt;=Start!$D$20,"A",IF(M395&lt;=Start!$D$21,"B","C"))))</f>
        <v/>
      </c>
      <c r="O395" s="48" t="str">
        <f aca="false">IF($A395="","",IF(NOT(ISNUMBER(F395)),"Wert fehlt; ",IF(F395&lt;=0,"Wert ist 0; ",""))&amp;IF(NOT(ISNUMBER(E395)),"Bestand fehlt; ",IF(E395&lt;0,"Bestand negativ; ",IF(E395=0,"Nullbestand; ","")))&amp;IF(D395="","Warengruppe fehlt; ","")&amp;IF(B395="","Bezeichnung fehlt; ","")&amp;IF(COUNTIFS($A$2:$A$5001,$A395,$C$2:$C$5001,C395)&gt;1,"Artikel doppelt im selben Lager; ",""))</f>
        <v/>
      </c>
      <c r="P395" s="47" t="n">
        <f aca="false">IF(OR($A395="",D395=""),0,IF(COUNTIF($D$2:D395,D395)=1,SUMIF($D$2:$D$5001,D395,$H$2:$H$5001)+ROW()/10000000,0))</f>
        <v>0</v>
      </c>
      <c r="Q395" s="47" t="n">
        <f aca="false">IF(OR($A395="",C395=""),0,IF(COUNTIF($C$2:C395,C395)=1,SUMIF($C$2:$C$5001,C395,$H$2:$H$5001)+ROW()/10000000,0))</f>
        <v>0</v>
      </c>
    </row>
    <row r="396" customFormat="false" ht="15" hidden="false" customHeight="false" outlineLevel="0" collapsed="false">
      <c r="A396" s="43"/>
      <c r="B396" s="44"/>
      <c r="C396" s="44"/>
      <c r="D396" s="44"/>
      <c r="E396" s="44"/>
      <c r="F396" s="44"/>
      <c r="G396" s="44"/>
      <c r="H396" s="46" t="str">
        <f aca="false">IF($A396="","",IF(OR(NOT(ISNUMBER(E396)),NOT(ISNUMBER(F396))),"",MAX(0,E396)*F396))</f>
        <v/>
      </c>
      <c r="I396" s="46" t="str">
        <f aca="false">IF($A396="","",SUMIF($A$2:$A$5001,$A396,$H$2:$H$5001))</f>
        <v/>
      </c>
      <c r="J396" s="47" t="n">
        <f aca="false">IF($A396="",0,IF(COUNTIF($A$2:A396,$A396)=1,1,0))</f>
        <v>0</v>
      </c>
      <c r="K396" s="47" t="n">
        <f aca="false">IF(J396=1,N(I396)+ROW()/10000000,0)</f>
        <v>0</v>
      </c>
      <c r="L396" s="47" t="str">
        <f aca="false">IF(AND(J396=1,N(I396)&gt;0),SUMIF($K$2:$K$5001,"&gt;="&amp;K396,$I$2:$I$5001)/MAX(1,SUM($H$2:$H$5001)),"")</f>
        <v/>
      </c>
      <c r="M396" s="47" t="str">
        <f aca="false">IF($A396="","",INDEX($L$2:$L$5001,MATCH($A396,$A$2:$A$5001,0)))</f>
        <v/>
      </c>
      <c r="N396" s="48" t="str">
        <f aca="false">IF($A396="","",IF(N(M396)=0,"–",IF(M396&lt;=Start!$D$20,"A",IF(M396&lt;=Start!$D$21,"B","C"))))</f>
        <v/>
      </c>
      <c r="O396" s="48" t="str">
        <f aca="false">IF($A396="","",IF(NOT(ISNUMBER(F396)),"Wert fehlt; ",IF(F396&lt;=0,"Wert ist 0; ",""))&amp;IF(NOT(ISNUMBER(E396)),"Bestand fehlt; ",IF(E396&lt;0,"Bestand negativ; ",IF(E396=0,"Nullbestand; ","")))&amp;IF(D396="","Warengruppe fehlt; ","")&amp;IF(B396="","Bezeichnung fehlt; ","")&amp;IF(COUNTIFS($A$2:$A$5001,$A396,$C$2:$C$5001,C396)&gt;1,"Artikel doppelt im selben Lager; ",""))</f>
        <v/>
      </c>
      <c r="P396" s="47" t="n">
        <f aca="false">IF(OR($A396="",D396=""),0,IF(COUNTIF($D$2:D396,D396)=1,SUMIF($D$2:$D$5001,D396,$H$2:$H$5001)+ROW()/10000000,0))</f>
        <v>0</v>
      </c>
      <c r="Q396" s="47" t="n">
        <f aca="false">IF(OR($A396="",C396=""),0,IF(COUNTIF($C$2:C396,C396)=1,SUMIF($C$2:$C$5001,C396,$H$2:$H$5001)+ROW()/10000000,0))</f>
        <v>0</v>
      </c>
    </row>
    <row r="397" customFormat="false" ht="15" hidden="false" customHeight="false" outlineLevel="0" collapsed="false">
      <c r="A397" s="43"/>
      <c r="B397" s="44"/>
      <c r="C397" s="44"/>
      <c r="D397" s="44"/>
      <c r="E397" s="44"/>
      <c r="F397" s="44"/>
      <c r="G397" s="44"/>
      <c r="H397" s="46" t="str">
        <f aca="false">IF($A397="","",IF(OR(NOT(ISNUMBER(E397)),NOT(ISNUMBER(F397))),"",MAX(0,E397)*F397))</f>
        <v/>
      </c>
      <c r="I397" s="46" t="str">
        <f aca="false">IF($A397="","",SUMIF($A$2:$A$5001,$A397,$H$2:$H$5001))</f>
        <v/>
      </c>
      <c r="J397" s="47" t="n">
        <f aca="false">IF($A397="",0,IF(COUNTIF($A$2:A397,$A397)=1,1,0))</f>
        <v>0</v>
      </c>
      <c r="K397" s="47" t="n">
        <f aca="false">IF(J397=1,N(I397)+ROW()/10000000,0)</f>
        <v>0</v>
      </c>
      <c r="L397" s="47" t="str">
        <f aca="false">IF(AND(J397=1,N(I397)&gt;0),SUMIF($K$2:$K$5001,"&gt;="&amp;K397,$I$2:$I$5001)/MAX(1,SUM($H$2:$H$5001)),"")</f>
        <v/>
      </c>
      <c r="M397" s="47" t="str">
        <f aca="false">IF($A397="","",INDEX($L$2:$L$5001,MATCH($A397,$A$2:$A$5001,0)))</f>
        <v/>
      </c>
      <c r="N397" s="48" t="str">
        <f aca="false">IF($A397="","",IF(N(M397)=0,"–",IF(M397&lt;=Start!$D$20,"A",IF(M397&lt;=Start!$D$21,"B","C"))))</f>
        <v/>
      </c>
      <c r="O397" s="48" t="str">
        <f aca="false">IF($A397="","",IF(NOT(ISNUMBER(F397)),"Wert fehlt; ",IF(F397&lt;=0,"Wert ist 0; ",""))&amp;IF(NOT(ISNUMBER(E397)),"Bestand fehlt; ",IF(E397&lt;0,"Bestand negativ; ",IF(E397=0,"Nullbestand; ","")))&amp;IF(D397="","Warengruppe fehlt; ","")&amp;IF(B397="","Bezeichnung fehlt; ","")&amp;IF(COUNTIFS($A$2:$A$5001,$A397,$C$2:$C$5001,C397)&gt;1,"Artikel doppelt im selben Lager; ",""))</f>
        <v/>
      </c>
      <c r="P397" s="47" t="n">
        <f aca="false">IF(OR($A397="",D397=""),0,IF(COUNTIF($D$2:D397,D397)=1,SUMIF($D$2:$D$5001,D397,$H$2:$H$5001)+ROW()/10000000,0))</f>
        <v>0</v>
      </c>
      <c r="Q397" s="47" t="n">
        <f aca="false">IF(OR($A397="",C397=""),0,IF(COUNTIF($C$2:C397,C397)=1,SUMIF($C$2:$C$5001,C397,$H$2:$H$5001)+ROW()/10000000,0))</f>
        <v>0</v>
      </c>
    </row>
    <row r="398" customFormat="false" ht="15" hidden="false" customHeight="false" outlineLevel="0" collapsed="false">
      <c r="A398" s="43"/>
      <c r="B398" s="44"/>
      <c r="C398" s="44"/>
      <c r="D398" s="44"/>
      <c r="E398" s="44"/>
      <c r="F398" s="44"/>
      <c r="G398" s="44"/>
      <c r="H398" s="46" t="str">
        <f aca="false">IF($A398="","",IF(OR(NOT(ISNUMBER(E398)),NOT(ISNUMBER(F398))),"",MAX(0,E398)*F398))</f>
        <v/>
      </c>
      <c r="I398" s="46" t="str">
        <f aca="false">IF($A398="","",SUMIF($A$2:$A$5001,$A398,$H$2:$H$5001))</f>
        <v/>
      </c>
      <c r="J398" s="47" t="n">
        <f aca="false">IF($A398="",0,IF(COUNTIF($A$2:A398,$A398)=1,1,0))</f>
        <v>0</v>
      </c>
      <c r="K398" s="47" t="n">
        <f aca="false">IF(J398=1,N(I398)+ROW()/10000000,0)</f>
        <v>0</v>
      </c>
      <c r="L398" s="47" t="str">
        <f aca="false">IF(AND(J398=1,N(I398)&gt;0),SUMIF($K$2:$K$5001,"&gt;="&amp;K398,$I$2:$I$5001)/MAX(1,SUM($H$2:$H$5001)),"")</f>
        <v/>
      </c>
      <c r="M398" s="47" t="str">
        <f aca="false">IF($A398="","",INDEX($L$2:$L$5001,MATCH($A398,$A$2:$A$5001,0)))</f>
        <v/>
      </c>
      <c r="N398" s="48" t="str">
        <f aca="false">IF($A398="","",IF(N(M398)=0,"–",IF(M398&lt;=Start!$D$20,"A",IF(M398&lt;=Start!$D$21,"B","C"))))</f>
        <v/>
      </c>
      <c r="O398" s="48" t="str">
        <f aca="false">IF($A398="","",IF(NOT(ISNUMBER(F398)),"Wert fehlt; ",IF(F398&lt;=0,"Wert ist 0; ",""))&amp;IF(NOT(ISNUMBER(E398)),"Bestand fehlt; ",IF(E398&lt;0,"Bestand negativ; ",IF(E398=0,"Nullbestand; ","")))&amp;IF(D398="","Warengruppe fehlt; ","")&amp;IF(B398="","Bezeichnung fehlt; ","")&amp;IF(COUNTIFS($A$2:$A$5001,$A398,$C$2:$C$5001,C398)&gt;1,"Artikel doppelt im selben Lager; ",""))</f>
        <v/>
      </c>
      <c r="P398" s="47" t="n">
        <f aca="false">IF(OR($A398="",D398=""),0,IF(COUNTIF($D$2:D398,D398)=1,SUMIF($D$2:$D$5001,D398,$H$2:$H$5001)+ROW()/10000000,0))</f>
        <v>0</v>
      </c>
      <c r="Q398" s="47" t="n">
        <f aca="false">IF(OR($A398="",C398=""),0,IF(COUNTIF($C$2:C398,C398)=1,SUMIF($C$2:$C$5001,C398,$H$2:$H$5001)+ROW()/10000000,0))</f>
        <v>0</v>
      </c>
    </row>
    <row r="399" customFormat="false" ht="15" hidden="false" customHeight="false" outlineLevel="0" collapsed="false">
      <c r="A399" s="43"/>
      <c r="B399" s="44"/>
      <c r="C399" s="44"/>
      <c r="D399" s="44"/>
      <c r="E399" s="44"/>
      <c r="F399" s="44"/>
      <c r="G399" s="44"/>
      <c r="H399" s="46" t="str">
        <f aca="false">IF($A399="","",IF(OR(NOT(ISNUMBER(E399)),NOT(ISNUMBER(F399))),"",MAX(0,E399)*F399))</f>
        <v/>
      </c>
      <c r="I399" s="46" t="str">
        <f aca="false">IF($A399="","",SUMIF($A$2:$A$5001,$A399,$H$2:$H$5001))</f>
        <v/>
      </c>
      <c r="J399" s="47" t="n">
        <f aca="false">IF($A399="",0,IF(COUNTIF($A$2:A399,$A399)=1,1,0))</f>
        <v>0</v>
      </c>
      <c r="K399" s="47" t="n">
        <f aca="false">IF(J399=1,N(I399)+ROW()/10000000,0)</f>
        <v>0</v>
      </c>
      <c r="L399" s="47" t="str">
        <f aca="false">IF(AND(J399=1,N(I399)&gt;0),SUMIF($K$2:$K$5001,"&gt;="&amp;K399,$I$2:$I$5001)/MAX(1,SUM($H$2:$H$5001)),"")</f>
        <v/>
      </c>
      <c r="M399" s="47" t="str">
        <f aca="false">IF($A399="","",INDEX($L$2:$L$5001,MATCH($A399,$A$2:$A$5001,0)))</f>
        <v/>
      </c>
      <c r="N399" s="48" t="str">
        <f aca="false">IF($A399="","",IF(N(M399)=0,"–",IF(M399&lt;=Start!$D$20,"A",IF(M399&lt;=Start!$D$21,"B","C"))))</f>
        <v/>
      </c>
      <c r="O399" s="48" t="str">
        <f aca="false">IF($A399="","",IF(NOT(ISNUMBER(F399)),"Wert fehlt; ",IF(F399&lt;=0,"Wert ist 0; ",""))&amp;IF(NOT(ISNUMBER(E399)),"Bestand fehlt; ",IF(E399&lt;0,"Bestand negativ; ",IF(E399=0,"Nullbestand; ","")))&amp;IF(D399="","Warengruppe fehlt; ","")&amp;IF(B399="","Bezeichnung fehlt; ","")&amp;IF(COUNTIFS($A$2:$A$5001,$A399,$C$2:$C$5001,C399)&gt;1,"Artikel doppelt im selben Lager; ",""))</f>
        <v/>
      </c>
      <c r="P399" s="47" t="n">
        <f aca="false">IF(OR($A399="",D399=""),0,IF(COUNTIF($D$2:D399,D399)=1,SUMIF($D$2:$D$5001,D399,$H$2:$H$5001)+ROW()/10000000,0))</f>
        <v>0</v>
      </c>
      <c r="Q399" s="47" t="n">
        <f aca="false">IF(OR($A399="",C399=""),0,IF(COUNTIF($C$2:C399,C399)=1,SUMIF($C$2:$C$5001,C399,$H$2:$H$5001)+ROW()/10000000,0))</f>
        <v>0</v>
      </c>
    </row>
    <row r="400" customFormat="false" ht="15" hidden="false" customHeight="false" outlineLevel="0" collapsed="false">
      <c r="A400" s="43"/>
      <c r="B400" s="44"/>
      <c r="C400" s="44"/>
      <c r="D400" s="44"/>
      <c r="E400" s="44"/>
      <c r="F400" s="44"/>
      <c r="G400" s="44"/>
      <c r="H400" s="46" t="str">
        <f aca="false">IF($A400="","",IF(OR(NOT(ISNUMBER(E400)),NOT(ISNUMBER(F400))),"",MAX(0,E400)*F400))</f>
        <v/>
      </c>
      <c r="I400" s="46" t="str">
        <f aca="false">IF($A400="","",SUMIF($A$2:$A$5001,$A400,$H$2:$H$5001))</f>
        <v/>
      </c>
      <c r="J400" s="47" t="n">
        <f aca="false">IF($A400="",0,IF(COUNTIF($A$2:A400,$A400)=1,1,0))</f>
        <v>0</v>
      </c>
      <c r="K400" s="47" t="n">
        <f aca="false">IF(J400=1,N(I400)+ROW()/10000000,0)</f>
        <v>0</v>
      </c>
      <c r="L400" s="47" t="str">
        <f aca="false">IF(AND(J400=1,N(I400)&gt;0),SUMIF($K$2:$K$5001,"&gt;="&amp;K400,$I$2:$I$5001)/MAX(1,SUM($H$2:$H$5001)),"")</f>
        <v/>
      </c>
      <c r="M400" s="47" t="str">
        <f aca="false">IF($A400="","",INDEX($L$2:$L$5001,MATCH($A400,$A$2:$A$5001,0)))</f>
        <v/>
      </c>
      <c r="N400" s="48" t="str">
        <f aca="false">IF($A400="","",IF(N(M400)=0,"–",IF(M400&lt;=Start!$D$20,"A",IF(M400&lt;=Start!$D$21,"B","C"))))</f>
        <v/>
      </c>
      <c r="O400" s="48" t="str">
        <f aca="false">IF($A400="","",IF(NOT(ISNUMBER(F400)),"Wert fehlt; ",IF(F400&lt;=0,"Wert ist 0; ",""))&amp;IF(NOT(ISNUMBER(E400)),"Bestand fehlt; ",IF(E400&lt;0,"Bestand negativ; ",IF(E400=0,"Nullbestand; ","")))&amp;IF(D400="","Warengruppe fehlt; ","")&amp;IF(B400="","Bezeichnung fehlt; ","")&amp;IF(COUNTIFS($A$2:$A$5001,$A400,$C$2:$C$5001,C400)&gt;1,"Artikel doppelt im selben Lager; ",""))</f>
        <v/>
      </c>
      <c r="P400" s="47" t="n">
        <f aca="false">IF(OR($A400="",D400=""),0,IF(COUNTIF($D$2:D400,D400)=1,SUMIF($D$2:$D$5001,D400,$H$2:$H$5001)+ROW()/10000000,0))</f>
        <v>0</v>
      </c>
      <c r="Q400" s="47" t="n">
        <f aca="false">IF(OR($A400="",C400=""),0,IF(COUNTIF($C$2:C400,C400)=1,SUMIF($C$2:$C$5001,C400,$H$2:$H$5001)+ROW()/10000000,0))</f>
        <v>0</v>
      </c>
    </row>
    <row r="401" customFormat="false" ht="15" hidden="false" customHeight="false" outlineLevel="0" collapsed="false">
      <c r="A401" s="43"/>
      <c r="B401" s="44"/>
      <c r="C401" s="44"/>
      <c r="D401" s="44"/>
      <c r="E401" s="44"/>
      <c r="F401" s="44"/>
      <c r="G401" s="44"/>
      <c r="H401" s="46" t="str">
        <f aca="false">IF($A401="","",IF(OR(NOT(ISNUMBER(E401)),NOT(ISNUMBER(F401))),"",MAX(0,E401)*F401))</f>
        <v/>
      </c>
      <c r="I401" s="46" t="str">
        <f aca="false">IF($A401="","",SUMIF($A$2:$A$5001,$A401,$H$2:$H$5001))</f>
        <v/>
      </c>
      <c r="J401" s="47" t="n">
        <f aca="false">IF($A401="",0,IF(COUNTIF($A$2:A401,$A401)=1,1,0))</f>
        <v>0</v>
      </c>
      <c r="K401" s="47" t="n">
        <f aca="false">IF(J401=1,N(I401)+ROW()/10000000,0)</f>
        <v>0</v>
      </c>
      <c r="L401" s="47" t="str">
        <f aca="false">IF(AND(J401=1,N(I401)&gt;0),SUMIF($K$2:$K$5001,"&gt;="&amp;K401,$I$2:$I$5001)/MAX(1,SUM($H$2:$H$5001)),"")</f>
        <v/>
      </c>
      <c r="M401" s="47" t="str">
        <f aca="false">IF($A401="","",INDEX($L$2:$L$5001,MATCH($A401,$A$2:$A$5001,0)))</f>
        <v/>
      </c>
      <c r="N401" s="48" t="str">
        <f aca="false">IF($A401="","",IF(N(M401)=0,"–",IF(M401&lt;=Start!$D$20,"A",IF(M401&lt;=Start!$D$21,"B","C"))))</f>
        <v/>
      </c>
      <c r="O401" s="48" t="str">
        <f aca="false">IF($A401="","",IF(NOT(ISNUMBER(F401)),"Wert fehlt; ",IF(F401&lt;=0,"Wert ist 0; ",""))&amp;IF(NOT(ISNUMBER(E401)),"Bestand fehlt; ",IF(E401&lt;0,"Bestand negativ; ",IF(E401=0,"Nullbestand; ","")))&amp;IF(D401="","Warengruppe fehlt; ","")&amp;IF(B401="","Bezeichnung fehlt; ","")&amp;IF(COUNTIFS($A$2:$A$5001,$A401,$C$2:$C$5001,C401)&gt;1,"Artikel doppelt im selben Lager; ",""))</f>
        <v/>
      </c>
      <c r="P401" s="47" t="n">
        <f aca="false">IF(OR($A401="",D401=""),0,IF(COUNTIF($D$2:D401,D401)=1,SUMIF($D$2:$D$5001,D401,$H$2:$H$5001)+ROW()/10000000,0))</f>
        <v>0</v>
      </c>
      <c r="Q401" s="47" t="n">
        <f aca="false">IF(OR($A401="",C401=""),0,IF(COUNTIF($C$2:C401,C401)=1,SUMIF($C$2:$C$5001,C401,$H$2:$H$5001)+ROW()/10000000,0))</f>
        <v>0</v>
      </c>
    </row>
    <row r="402" customFormat="false" ht="15" hidden="false" customHeight="false" outlineLevel="0" collapsed="false">
      <c r="A402" s="43"/>
      <c r="B402" s="44"/>
      <c r="C402" s="44"/>
      <c r="D402" s="44"/>
      <c r="E402" s="44"/>
      <c r="F402" s="44"/>
      <c r="G402" s="44"/>
      <c r="H402" s="46" t="str">
        <f aca="false">IF($A402="","",IF(OR(NOT(ISNUMBER(E402)),NOT(ISNUMBER(F402))),"",MAX(0,E402)*F402))</f>
        <v/>
      </c>
      <c r="I402" s="46" t="str">
        <f aca="false">IF($A402="","",SUMIF($A$2:$A$5001,$A402,$H$2:$H$5001))</f>
        <v/>
      </c>
      <c r="J402" s="47" t="n">
        <f aca="false">IF($A402="",0,IF(COUNTIF($A$2:A402,$A402)=1,1,0))</f>
        <v>0</v>
      </c>
      <c r="K402" s="47" t="n">
        <f aca="false">IF(J402=1,N(I402)+ROW()/10000000,0)</f>
        <v>0</v>
      </c>
      <c r="L402" s="47" t="str">
        <f aca="false">IF(AND(J402=1,N(I402)&gt;0),SUMIF($K$2:$K$5001,"&gt;="&amp;K402,$I$2:$I$5001)/MAX(1,SUM($H$2:$H$5001)),"")</f>
        <v/>
      </c>
      <c r="M402" s="47" t="str">
        <f aca="false">IF($A402="","",INDEX($L$2:$L$5001,MATCH($A402,$A$2:$A$5001,0)))</f>
        <v/>
      </c>
      <c r="N402" s="48" t="str">
        <f aca="false">IF($A402="","",IF(N(M402)=0,"–",IF(M402&lt;=Start!$D$20,"A",IF(M402&lt;=Start!$D$21,"B","C"))))</f>
        <v/>
      </c>
      <c r="O402" s="48" t="str">
        <f aca="false">IF($A402="","",IF(NOT(ISNUMBER(F402)),"Wert fehlt; ",IF(F402&lt;=0,"Wert ist 0; ",""))&amp;IF(NOT(ISNUMBER(E402)),"Bestand fehlt; ",IF(E402&lt;0,"Bestand negativ; ",IF(E402=0,"Nullbestand; ","")))&amp;IF(D402="","Warengruppe fehlt; ","")&amp;IF(B402="","Bezeichnung fehlt; ","")&amp;IF(COUNTIFS($A$2:$A$5001,$A402,$C$2:$C$5001,C402)&gt;1,"Artikel doppelt im selben Lager; ",""))</f>
        <v/>
      </c>
      <c r="P402" s="47" t="n">
        <f aca="false">IF(OR($A402="",D402=""),0,IF(COUNTIF($D$2:D402,D402)=1,SUMIF($D$2:$D$5001,D402,$H$2:$H$5001)+ROW()/10000000,0))</f>
        <v>0</v>
      </c>
      <c r="Q402" s="47" t="n">
        <f aca="false">IF(OR($A402="",C402=""),0,IF(COUNTIF($C$2:C402,C402)=1,SUMIF($C$2:$C$5001,C402,$H$2:$H$5001)+ROW()/10000000,0))</f>
        <v>0</v>
      </c>
    </row>
    <row r="403" customFormat="false" ht="15" hidden="false" customHeight="false" outlineLevel="0" collapsed="false">
      <c r="A403" s="43"/>
      <c r="B403" s="44"/>
      <c r="C403" s="44"/>
      <c r="D403" s="44"/>
      <c r="E403" s="44"/>
      <c r="F403" s="44"/>
      <c r="G403" s="44"/>
      <c r="H403" s="46" t="str">
        <f aca="false">IF($A403="","",IF(OR(NOT(ISNUMBER(E403)),NOT(ISNUMBER(F403))),"",MAX(0,E403)*F403))</f>
        <v/>
      </c>
      <c r="I403" s="46" t="str">
        <f aca="false">IF($A403="","",SUMIF($A$2:$A$5001,$A403,$H$2:$H$5001))</f>
        <v/>
      </c>
      <c r="J403" s="47" t="n">
        <f aca="false">IF($A403="",0,IF(COUNTIF($A$2:A403,$A403)=1,1,0))</f>
        <v>0</v>
      </c>
      <c r="K403" s="47" t="n">
        <f aca="false">IF(J403=1,N(I403)+ROW()/10000000,0)</f>
        <v>0</v>
      </c>
      <c r="L403" s="47" t="str">
        <f aca="false">IF(AND(J403=1,N(I403)&gt;0),SUMIF($K$2:$K$5001,"&gt;="&amp;K403,$I$2:$I$5001)/MAX(1,SUM($H$2:$H$5001)),"")</f>
        <v/>
      </c>
      <c r="M403" s="47" t="str">
        <f aca="false">IF($A403="","",INDEX($L$2:$L$5001,MATCH($A403,$A$2:$A$5001,0)))</f>
        <v/>
      </c>
      <c r="N403" s="48" t="str">
        <f aca="false">IF($A403="","",IF(N(M403)=0,"–",IF(M403&lt;=Start!$D$20,"A",IF(M403&lt;=Start!$D$21,"B","C"))))</f>
        <v/>
      </c>
      <c r="O403" s="48" t="str">
        <f aca="false">IF($A403="","",IF(NOT(ISNUMBER(F403)),"Wert fehlt; ",IF(F403&lt;=0,"Wert ist 0; ",""))&amp;IF(NOT(ISNUMBER(E403)),"Bestand fehlt; ",IF(E403&lt;0,"Bestand negativ; ",IF(E403=0,"Nullbestand; ","")))&amp;IF(D403="","Warengruppe fehlt; ","")&amp;IF(B403="","Bezeichnung fehlt; ","")&amp;IF(COUNTIFS($A$2:$A$5001,$A403,$C$2:$C$5001,C403)&gt;1,"Artikel doppelt im selben Lager; ",""))</f>
        <v/>
      </c>
      <c r="P403" s="47" t="n">
        <f aca="false">IF(OR($A403="",D403=""),0,IF(COUNTIF($D$2:D403,D403)=1,SUMIF($D$2:$D$5001,D403,$H$2:$H$5001)+ROW()/10000000,0))</f>
        <v>0</v>
      </c>
      <c r="Q403" s="47" t="n">
        <f aca="false">IF(OR($A403="",C403=""),0,IF(COUNTIF($C$2:C403,C403)=1,SUMIF($C$2:$C$5001,C403,$H$2:$H$5001)+ROW()/10000000,0))</f>
        <v>0</v>
      </c>
    </row>
    <row r="404" customFormat="false" ht="15" hidden="false" customHeight="false" outlineLevel="0" collapsed="false">
      <c r="A404" s="43"/>
      <c r="B404" s="44"/>
      <c r="C404" s="44"/>
      <c r="D404" s="44"/>
      <c r="E404" s="44"/>
      <c r="F404" s="44"/>
      <c r="G404" s="44"/>
      <c r="H404" s="46" t="str">
        <f aca="false">IF($A404="","",IF(OR(NOT(ISNUMBER(E404)),NOT(ISNUMBER(F404))),"",MAX(0,E404)*F404))</f>
        <v/>
      </c>
      <c r="I404" s="46" t="str">
        <f aca="false">IF($A404="","",SUMIF($A$2:$A$5001,$A404,$H$2:$H$5001))</f>
        <v/>
      </c>
      <c r="J404" s="47" t="n">
        <f aca="false">IF($A404="",0,IF(COUNTIF($A$2:A404,$A404)=1,1,0))</f>
        <v>0</v>
      </c>
      <c r="K404" s="47" t="n">
        <f aca="false">IF(J404=1,N(I404)+ROW()/10000000,0)</f>
        <v>0</v>
      </c>
      <c r="L404" s="47" t="str">
        <f aca="false">IF(AND(J404=1,N(I404)&gt;0),SUMIF($K$2:$K$5001,"&gt;="&amp;K404,$I$2:$I$5001)/MAX(1,SUM($H$2:$H$5001)),"")</f>
        <v/>
      </c>
      <c r="M404" s="47" t="str">
        <f aca="false">IF($A404="","",INDEX($L$2:$L$5001,MATCH($A404,$A$2:$A$5001,0)))</f>
        <v/>
      </c>
      <c r="N404" s="48" t="str">
        <f aca="false">IF($A404="","",IF(N(M404)=0,"–",IF(M404&lt;=Start!$D$20,"A",IF(M404&lt;=Start!$D$21,"B","C"))))</f>
        <v/>
      </c>
      <c r="O404" s="48" t="str">
        <f aca="false">IF($A404="","",IF(NOT(ISNUMBER(F404)),"Wert fehlt; ",IF(F404&lt;=0,"Wert ist 0; ",""))&amp;IF(NOT(ISNUMBER(E404)),"Bestand fehlt; ",IF(E404&lt;0,"Bestand negativ; ",IF(E404=0,"Nullbestand; ","")))&amp;IF(D404="","Warengruppe fehlt; ","")&amp;IF(B404="","Bezeichnung fehlt; ","")&amp;IF(COUNTIFS($A$2:$A$5001,$A404,$C$2:$C$5001,C404)&gt;1,"Artikel doppelt im selben Lager; ",""))</f>
        <v/>
      </c>
      <c r="P404" s="47" t="n">
        <f aca="false">IF(OR($A404="",D404=""),0,IF(COUNTIF($D$2:D404,D404)=1,SUMIF($D$2:$D$5001,D404,$H$2:$H$5001)+ROW()/10000000,0))</f>
        <v>0</v>
      </c>
      <c r="Q404" s="47" t="n">
        <f aca="false">IF(OR($A404="",C404=""),0,IF(COUNTIF($C$2:C404,C404)=1,SUMIF($C$2:$C$5001,C404,$H$2:$H$5001)+ROW()/10000000,0))</f>
        <v>0</v>
      </c>
    </row>
    <row r="405" customFormat="false" ht="15" hidden="false" customHeight="false" outlineLevel="0" collapsed="false">
      <c r="A405" s="43"/>
      <c r="B405" s="44"/>
      <c r="C405" s="44"/>
      <c r="D405" s="44"/>
      <c r="E405" s="44"/>
      <c r="F405" s="44"/>
      <c r="G405" s="44"/>
      <c r="H405" s="46" t="str">
        <f aca="false">IF($A405="","",IF(OR(NOT(ISNUMBER(E405)),NOT(ISNUMBER(F405))),"",MAX(0,E405)*F405))</f>
        <v/>
      </c>
      <c r="I405" s="46" t="str">
        <f aca="false">IF($A405="","",SUMIF($A$2:$A$5001,$A405,$H$2:$H$5001))</f>
        <v/>
      </c>
      <c r="J405" s="47" t="n">
        <f aca="false">IF($A405="",0,IF(COUNTIF($A$2:A405,$A405)=1,1,0))</f>
        <v>0</v>
      </c>
      <c r="K405" s="47" t="n">
        <f aca="false">IF(J405=1,N(I405)+ROW()/10000000,0)</f>
        <v>0</v>
      </c>
      <c r="L405" s="47" t="str">
        <f aca="false">IF(AND(J405=1,N(I405)&gt;0),SUMIF($K$2:$K$5001,"&gt;="&amp;K405,$I$2:$I$5001)/MAX(1,SUM($H$2:$H$5001)),"")</f>
        <v/>
      </c>
      <c r="M405" s="47" t="str">
        <f aca="false">IF($A405="","",INDEX($L$2:$L$5001,MATCH($A405,$A$2:$A$5001,0)))</f>
        <v/>
      </c>
      <c r="N405" s="48" t="str">
        <f aca="false">IF($A405="","",IF(N(M405)=0,"–",IF(M405&lt;=Start!$D$20,"A",IF(M405&lt;=Start!$D$21,"B","C"))))</f>
        <v/>
      </c>
      <c r="O405" s="48" t="str">
        <f aca="false">IF($A405="","",IF(NOT(ISNUMBER(F405)),"Wert fehlt; ",IF(F405&lt;=0,"Wert ist 0; ",""))&amp;IF(NOT(ISNUMBER(E405)),"Bestand fehlt; ",IF(E405&lt;0,"Bestand negativ; ",IF(E405=0,"Nullbestand; ","")))&amp;IF(D405="","Warengruppe fehlt; ","")&amp;IF(B405="","Bezeichnung fehlt; ","")&amp;IF(COUNTIFS($A$2:$A$5001,$A405,$C$2:$C$5001,C405)&gt;1,"Artikel doppelt im selben Lager; ",""))</f>
        <v/>
      </c>
      <c r="P405" s="47" t="n">
        <f aca="false">IF(OR($A405="",D405=""),0,IF(COUNTIF($D$2:D405,D405)=1,SUMIF($D$2:$D$5001,D405,$H$2:$H$5001)+ROW()/10000000,0))</f>
        <v>0</v>
      </c>
      <c r="Q405" s="47" t="n">
        <f aca="false">IF(OR($A405="",C405=""),0,IF(COUNTIF($C$2:C405,C405)=1,SUMIF($C$2:$C$5001,C405,$H$2:$H$5001)+ROW()/10000000,0))</f>
        <v>0</v>
      </c>
    </row>
    <row r="406" customFormat="false" ht="15" hidden="false" customHeight="false" outlineLevel="0" collapsed="false">
      <c r="A406" s="43"/>
      <c r="B406" s="44"/>
      <c r="C406" s="44"/>
      <c r="D406" s="44"/>
      <c r="E406" s="44"/>
      <c r="F406" s="44"/>
      <c r="G406" s="44"/>
      <c r="H406" s="46" t="str">
        <f aca="false">IF($A406="","",IF(OR(NOT(ISNUMBER(E406)),NOT(ISNUMBER(F406))),"",MAX(0,E406)*F406))</f>
        <v/>
      </c>
      <c r="I406" s="46" t="str">
        <f aca="false">IF($A406="","",SUMIF($A$2:$A$5001,$A406,$H$2:$H$5001))</f>
        <v/>
      </c>
      <c r="J406" s="47" t="n">
        <f aca="false">IF($A406="",0,IF(COUNTIF($A$2:A406,$A406)=1,1,0))</f>
        <v>0</v>
      </c>
      <c r="K406" s="47" t="n">
        <f aca="false">IF(J406=1,N(I406)+ROW()/10000000,0)</f>
        <v>0</v>
      </c>
      <c r="L406" s="47" t="str">
        <f aca="false">IF(AND(J406=1,N(I406)&gt;0),SUMIF($K$2:$K$5001,"&gt;="&amp;K406,$I$2:$I$5001)/MAX(1,SUM($H$2:$H$5001)),"")</f>
        <v/>
      </c>
      <c r="M406" s="47" t="str">
        <f aca="false">IF($A406="","",INDEX($L$2:$L$5001,MATCH($A406,$A$2:$A$5001,0)))</f>
        <v/>
      </c>
      <c r="N406" s="48" t="str">
        <f aca="false">IF($A406="","",IF(N(M406)=0,"–",IF(M406&lt;=Start!$D$20,"A",IF(M406&lt;=Start!$D$21,"B","C"))))</f>
        <v/>
      </c>
      <c r="O406" s="48" t="str">
        <f aca="false">IF($A406="","",IF(NOT(ISNUMBER(F406)),"Wert fehlt; ",IF(F406&lt;=0,"Wert ist 0; ",""))&amp;IF(NOT(ISNUMBER(E406)),"Bestand fehlt; ",IF(E406&lt;0,"Bestand negativ; ",IF(E406=0,"Nullbestand; ","")))&amp;IF(D406="","Warengruppe fehlt; ","")&amp;IF(B406="","Bezeichnung fehlt; ","")&amp;IF(COUNTIFS($A$2:$A$5001,$A406,$C$2:$C$5001,C406)&gt;1,"Artikel doppelt im selben Lager; ",""))</f>
        <v/>
      </c>
      <c r="P406" s="47" t="n">
        <f aca="false">IF(OR($A406="",D406=""),0,IF(COUNTIF($D$2:D406,D406)=1,SUMIF($D$2:$D$5001,D406,$H$2:$H$5001)+ROW()/10000000,0))</f>
        <v>0</v>
      </c>
      <c r="Q406" s="47" t="n">
        <f aca="false">IF(OR($A406="",C406=""),0,IF(COUNTIF($C$2:C406,C406)=1,SUMIF($C$2:$C$5001,C406,$H$2:$H$5001)+ROW()/10000000,0))</f>
        <v>0</v>
      </c>
    </row>
    <row r="407" customFormat="false" ht="15" hidden="false" customHeight="false" outlineLevel="0" collapsed="false">
      <c r="A407" s="43"/>
      <c r="B407" s="44"/>
      <c r="C407" s="44"/>
      <c r="D407" s="44"/>
      <c r="E407" s="44"/>
      <c r="F407" s="44"/>
      <c r="G407" s="44"/>
      <c r="H407" s="46" t="str">
        <f aca="false">IF($A407="","",IF(OR(NOT(ISNUMBER(E407)),NOT(ISNUMBER(F407))),"",MAX(0,E407)*F407))</f>
        <v/>
      </c>
      <c r="I407" s="46" t="str">
        <f aca="false">IF($A407="","",SUMIF($A$2:$A$5001,$A407,$H$2:$H$5001))</f>
        <v/>
      </c>
      <c r="J407" s="47" t="n">
        <f aca="false">IF($A407="",0,IF(COUNTIF($A$2:A407,$A407)=1,1,0))</f>
        <v>0</v>
      </c>
      <c r="K407" s="47" t="n">
        <f aca="false">IF(J407=1,N(I407)+ROW()/10000000,0)</f>
        <v>0</v>
      </c>
      <c r="L407" s="47" t="str">
        <f aca="false">IF(AND(J407=1,N(I407)&gt;0),SUMIF($K$2:$K$5001,"&gt;="&amp;K407,$I$2:$I$5001)/MAX(1,SUM($H$2:$H$5001)),"")</f>
        <v/>
      </c>
      <c r="M407" s="47" t="str">
        <f aca="false">IF($A407="","",INDEX($L$2:$L$5001,MATCH($A407,$A$2:$A$5001,0)))</f>
        <v/>
      </c>
      <c r="N407" s="48" t="str">
        <f aca="false">IF($A407="","",IF(N(M407)=0,"–",IF(M407&lt;=Start!$D$20,"A",IF(M407&lt;=Start!$D$21,"B","C"))))</f>
        <v/>
      </c>
      <c r="O407" s="48" t="str">
        <f aca="false">IF($A407="","",IF(NOT(ISNUMBER(F407)),"Wert fehlt; ",IF(F407&lt;=0,"Wert ist 0; ",""))&amp;IF(NOT(ISNUMBER(E407)),"Bestand fehlt; ",IF(E407&lt;0,"Bestand negativ; ",IF(E407=0,"Nullbestand; ","")))&amp;IF(D407="","Warengruppe fehlt; ","")&amp;IF(B407="","Bezeichnung fehlt; ","")&amp;IF(COUNTIFS($A$2:$A$5001,$A407,$C$2:$C$5001,C407)&gt;1,"Artikel doppelt im selben Lager; ",""))</f>
        <v/>
      </c>
      <c r="P407" s="47" t="n">
        <f aca="false">IF(OR($A407="",D407=""),0,IF(COUNTIF($D$2:D407,D407)=1,SUMIF($D$2:$D$5001,D407,$H$2:$H$5001)+ROW()/10000000,0))</f>
        <v>0</v>
      </c>
      <c r="Q407" s="47" t="n">
        <f aca="false">IF(OR($A407="",C407=""),0,IF(COUNTIF($C$2:C407,C407)=1,SUMIF($C$2:$C$5001,C407,$H$2:$H$5001)+ROW()/10000000,0))</f>
        <v>0</v>
      </c>
    </row>
    <row r="408" customFormat="false" ht="15" hidden="false" customHeight="false" outlineLevel="0" collapsed="false">
      <c r="A408" s="43"/>
      <c r="B408" s="44"/>
      <c r="C408" s="44"/>
      <c r="D408" s="44"/>
      <c r="E408" s="44"/>
      <c r="F408" s="44"/>
      <c r="G408" s="44"/>
      <c r="H408" s="46" t="str">
        <f aca="false">IF($A408="","",IF(OR(NOT(ISNUMBER(E408)),NOT(ISNUMBER(F408))),"",MAX(0,E408)*F408))</f>
        <v/>
      </c>
      <c r="I408" s="46" t="str">
        <f aca="false">IF($A408="","",SUMIF($A$2:$A$5001,$A408,$H$2:$H$5001))</f>
        <v/>
      </c>
      <c r="J408" s="47" t="n">
        <f aca="false">IF($A408="",0,IF(COUNTIF($A$2:A408,$A408)=1,1,0))</f>
        <v>0</v>
      </c>
      <c r="K408" s="47" t="n">
        <f aca="false">IF(J408=1,N(I408)+ROW()/10000000,0)</f>
        <v>0</v>
      </c>
      <c r="L408" s="47" t="str">
        <f aca="false">IF(AND(J408=1,N(I408)&gt;0),SUMIF($K$2:$K$5001,"&gt;="&amp;K408,$I$2:$I$5001)/MAX(1,SUM($H$2:$H$5001)),"")</f>
        <v/>
      </c>
      <c r="M408" s="47" t="str">
        <f aca="false">IF($A408="","",INDEX($L$2:$L$5001,MATCH($A408,$A$2:$A$5001,0)))</f>
        <v/>
      </c>
      <c r="N408" s="48" t="str">
        <f aca="false">IF($A408="","",IF(N(M408)=0,"–",IF(M408&lt;=Start!$D$20,"A",IF(M408&lt;=Start!$D$21,"B","C"))))</f>
        <v/>
      </c>
      <c r="O408" s="48" t="str">
        <f aca="false">IF($A408="","",IF(NOT(ISNUMBER(F408)),"Wert fehlt; ",IF(F408&lt;=0,"Wert ist 0; ",""))&amp;IF(NOT(ISNUMBER(E408)),"Bestand fehlt; ",IF(E408&lt;0,"Bestand negativ; ",IF(E408=0,"Nullbestand; ","")))&amp;IF(D408="","Warengruppe fehlt; ","")&amp;IF(B408="","Bezeichnung fehlt; ","")&amp;IF(COUNTIFS($A$2:$A$5001,$A408,$C$2:$C$5001,C408)&gt;1,"Artikel doppelt im selben Lager; ",""))</f>
        <v/>
      </c>
      <c r="P408" s="47" t="n">
        <f aca="false">IF(OR($A408="",D408=""),0,IF(COUNTIF($D$2:D408,D408)=1,SUMIF($D$2:$D$5001,D408,$H$2:$H$5001)+ROW()/10000000,0))</f>
        <v>0</v>
      </c>
      <c r="Q408" s="47" t="n">
        <f aca="false">IF(OR($A408="",C408=""),0,IF(COUNTIF($C$2:C408,C408)=1,SUMIF($C$2:$C$5001,C408,$H$2:$H$5001)+ROW()/10000000,0))</f>
        <v>0</v>
      </c>
    </row>
    <row r="409" customFormat="false" ht="15" hidden="false" customHeight="false" outlineLevel="0" collapsed="false">
      <c r="A409" s="43"/>
      <c r="B409" s="44"/>
      <c r="C409" s="44"/>
      <c r="D409" s="44"/>
      <c r="E409" s="44"/>
      <c r="F409" s="44"/>
      <c r="G409" s="44"/>
      <c r="H409" s="46" t="str">
        <f aca="false">IF($A409="","",IF(OR(NOT(ISNUMBER(E409)),NOT(ISNUMBER(F409))),"",MAX(0,E409)*F409))</f>
        <v/>
      </c>
      <c r="I409" s="46" t="str">
        <f aca="false">IF($A409="","",SUMIF($A$2:$A$5001,$A409,$H$2:$H$5001))</f>
        <v/>
      </c>
      <c r="J409" s="47" t="n">
        <f aca="false">IF($A409="",0,IF(COUNTIF($A$2:A409,$A409)=1,1,0))</f>
        <v>0</v>
      </c>
      <c r="K409" s="47" t="n">
        <f aca="false">IF(J409=1,N(I409)+ROW()/10000000,0)</f>
        <v>0</v>
      </c>
      <c r="L409" s="47" t="str">
        <f aca="false">IF(AND(J409=1,N(I409)&gt;0),SUMIF($K$2:$K$5001,"&gt;="&amp;K409,$I$2:$I$5001)/MAX(1,SUM($H$2:$H$5001)),"")</f>
        <v/>
      </c>
      <c r="M409" s="47" t="str">
        <f aca="false">IF($A409="","",INDEX($L$2:$L$5001,MATCH($A409,$A$2:$A$5001,0)))</f>
        <v/>
      </c>
      <c r="N409" s="48" t="str">
        <f aca="false">IF($A409="","",IF(N(M409)=0,"–",IF(M409&lt;=Start!$D$20,"A",IF(M409&lt;=Start!$D$21,"B","C"))))</f>
        <v/>
      </c>
      <c r="O409" s="48" t="str">
        <f aca="false">IF($A409="","",IF(NOT(ISNUMBER(F409)),"Wert fehlt; ",IF(F409&lt;=0,"Wert ist 0; ",""))&amp;IF(NOT(ISNUMBER(E409)),"Bestand fehlt; ",IF(E409&lt;0,"Bestand negativ; ",IF(E409=0,"Nullbestand; ","")))&amp;IF(D409="","Warengruppe fehlt; ","")&amp;IF(B409="","Bezeichnung fehlt; ","")&amp;IF(COUNTIFS($A$2:$A$5001,$A409,$C$2:$C$5001,C409)&gt;1,"Artikel doppelt im selben Lager; ",""))</f>
        <v/>
      </c>
      <c r="P409" s="47" t="n">
        <f aca="false">IF(OR($A409="",D409=""),0,IF(COUNTIF($D$2:D409,D409)=1,SUMIF($D$2:$D$5001,D409,$H$2:$H$5001)+ROW()/10000000,0))</f>
        <v>0</v>
      </c>
      <c r="Q409" s="47" t="n">
        <f aca="false">IF(OR($A409="",C409=""),0,IF(COUNTIF($C$2:C409,C409)=1,SUMIF($C$2:$C$5001,C409,$H$2:$H$5001)+ROW()/10000000,0))</f>
        <v>0</v>
      </c>
    </row>
    <row r="410" customFormat="false" ht="15" hidden="false" customHeight="false" outlineLevel="0" collapsed="false">
      <c r="A410" s="43"/>
      <c r="B410" s="44"/>
      <c r="C410" s="44"/>
      <c r="D410" s="44"/>
      <c r="E410" s="44"/>
      <c r="F410" s="44"/>
      <c r="G410" s="44"/>
      <c r="H410" s="46" t="str">
        <f aca="false">IF($A410="","",IF(OR(NOT(ISNUMBER(E410)),NOT(ISNUMBER(F410))),"",MAX(0,E410)*F410))</f>
        <v/>
      </c>
      <c r="I410" s="46" t="str">
        <f aca="false">IF($A410="","",SUMIF($A$2:$A$5001,$A410,$H$2:$H$5001))</f>
        <v/>
      </c>
      <c r="J410" s="47" t="n">
        <f aca="false">IF($A410="",0,IF(COUNTIF($A$2:A410,$A410)=1,1,0))</f>
        <v>0</v>
      </c>
      <c r="K410" s="47" t="n">
        <f aca="false">IF(J410=1,N(I410)+ROW()/10000000,0)</f>
        <v>0</v>
      </c>
      <c r="L410" s="47" t="str">
        <f aca="false">IF(AND(J410=1,N(I410)&gt;0),SUMIF($K$2:$K$5001,"&gt;="&amp;K410,$I$2:$I$5001)/MAX(1,SUM($H$2:$H$5001)),"")</f>
        <v/>
      </c>
      <c r="M410" s="47" t="str">
        <f aca="false">IF($A410="","",INDEX($L$2:$L$5001,MATCH($A410,$A$2:$A$5001,0)))</f>
        <v/>
      </c>
      <c r="N410" s="48" t="str">
        <f aca="false">IF($A410="","",IF(N(M410)=0,"–",IF(M410&lt;=Start!$D$20,"A",IF(M410&lt;=Start!$D$21,"B","C"))))</f>
        <v/>
      </c>
      <c r="O410" s="48" t="str">
        <f aca="false">IF($A410="","",IF(NOT(ISNUMBER(F410)),"Wert fehlt; ",IF(F410&lt;=0,"Wert ist 0; ",""))&amp;IF(NOT(ISNUMBER(E410)),"Bestand fehlt; ",IF(E410&lt;0,"Bestand negativ; ",IF(E410=0,"Nullbestand; ","")))&amp;IF(D410="","Warengruppe fehlt; ","")&amp;IF(B410="","Bezeichnung fehlt; ","")&amp;IF(COUNTIFS($A$2:$A$5001,$A410,$C$2:$C$5001,C410)&gt;1,"Artikel doppelt im selben Lager; ",""))</f>
        <v/>
      </c>
      <c r="P410" s="47" t="n">
        <f aca="false">IF(OR($A410="",D410=""),0,IF(COUNTIF($D$2:D410,D410)=1,SUMIF($D$2:$D$5001,D410,$H$2:$H$5001)+ROW()/10000000,0))</f>
        <v>0</v>
      </c>
      <c r="Q410" s="47" t="n">
        <f aca="false">IF(OR($A410="",C410=""),0,IF(COUNTIF($C$2:C410,C410)=1,SUMIF($C$2:$C$5001,C410,$H$2:$H$5001)+ROW()/10000000,0))</f>
        <v>0</v>
      </c>
    </row>
    <row r="411" customFormat="false" ht="15" hidden="false" customHeight="false" outlineLevel="0" collapsed="false">
      <c r="A411" s="43"/>
      <c r="B411" s="44"/>
      <c r="C411" s="44"/>
      <c r="D411" s="44"/>
      <c r="E411" s="44"/>
      <c r="F411" s="44"/>
      <c r="G411" s="44"/>
      <c r="H411" s="46" t="str">
        <f aca="false">IF($A411="","",IF(OR(NOT(ISNUMBER(E411)),NOT(ISNUMBER(F411))),"",MAX(0,E411)*F411))</f>
        <v/>
      </c>
      <c r="I411" s="46" t="str">
        <f aca="false">IF($A411="","",SUMIF($A$2:$A$5001,$A411,$H$2:$H$5001))</f>
        <v/>
      </c>
      <c r="J411" s="47" t="n">
        <f aca="false">IF($A411="",0,IF(COUNTIF($A$2:A411,$A411)=1,1,0))</f>
        <v>0</v>
      </c>
      <c r="K411" s="47" t="n">
        <f aca="false">IF(J411=1,N(I411)+ROW()/10000000,0)</f>
        <v>0</v>
      </c>
      <c r="L411" s="47" t="str">
        <f aca="false">IF(AND(J411=1,N(I411)&gt;0),SUMIF($K$2:$K$5001,"&gt;="&amp;K411,$I$2:$I$5001)/MAX(1,SUM($H$2:$H$5001)),"")</f>
        <v/>
      </c>
      <c r="M411" s="47" t="str">
        <f aca="false">IF($A411="","",INDEX($L$2:$L$5001,MATCH($A411,$A$2:$A$5001,0)))</f>
        <v/>
      </c>
      <c r="N411" s="48" t="str">
        <f aca="false">IF($A411="","",IF(N(M411)=0,"–",IF(M411&lt;=Start!$D$20,"A",IF(M411&lt;=Start!$D$21,"B","C"))))</f>
        <v/>
      </c>
      <c r="O411" s="48" t="str">
        <f aca="false">IF($A411="","",IF(NOT(ISNUMBER(F411)),"Wert fehlt; ",IF(F411&lt;=0,"Wert ist 0; ",""))&amp;IF(NOT(ISNUMBER(E411)),"Bestand fehlt; ",IF(E411&lt;0,"Bestand negativ; ",IF(E411=0,"Nullbestand; ","")))&amp;IF(D411="","Warengruppe fehlt; ","")&amp;IF(B411="","Bezeichnung fehlt; ","")&amp;IF(COUNTIFS($A$2:$A$5001,$A411,$C$2:$C$5001,C411)&gt;1,"Artikel doppelt im selben Lager; ",""))</f>
        <v/>
      </c>
      <c r="P411" s="47" t="n">
        <f aca="false">IF(OR($A411="",D411=""),0,IF(COUNTIF($D$2:D411,D411)=1,SUMIF($D$2:$D$5001,D411,$H$2:$H$5001)+ROW()/10000000,0))</f>
        <v>0</v>
      </c>
      <c r="Q411" s="47" t="n">
        <f aca="false">IF(OR($A411="",C411=""),0,IF(COUNTIF($C$2:C411,C411)=1,SUMIF($C$2:$C$5001,C411,$H$2:$H$5001)+ROW()/10000000,0))</f>
        <v>0</v>
      </c>
    </row>
    <row r="412" customFormat="false" ht="15" hidden="false" customHeight="false" outlineLevel="0" collapsed="false">
      <c r="A412" s="43"/>
      <c r="B412" s="44"/>
      <c r="C412" s="44"/>
      <c r="D412" s="44"/>
      <c r="E412" s="44"/>
      <c r="F412" s="44"/>
      <c r="G412" s="44"/>
      <c r="H412" s="46" t="str">
        <f aca="false">IF($A412="","",IF(OR(NOT(ISNUMBER(E412)),NOT(ISNUMBER(F412))),"",MAX(0,E412)*F412))</f>
        <v/>
      </c>
      <c r="I412" s="46" t="str">
        <f aca="false">IF($A412="","",SUMIF($A$2:$A$5001,$A412,$H$2:$H$5001))</f>
        <v/>
      </c>
      <c r="J412" s="47" t="n">
        <f aca="false">IF($A412="",0,IF(COUNTIF($A$2:A412,$A412)=1,1,0))</f>
        <v>0</v>
      </c>
      <c r="K412" s="47" t="n">
        <f aca="false">IF(J412=1,N(I412)+ROW()/10000000,0)</f>
        <v>0</v>
      </c>
      <c r="L412" s="47" t="str">
        <f aca="false">IF(AND(J412=1,N(I412)&gt;0),SUMIF($K$2:$K$5001,"&gt;="&amp;K412,$I$2:$I$5001)/MAX(1,SUM($H$2:$H$5001)),"")</f>
        <v/>
      </c>
      <c r="M412" s="47" t="str">
        <f aca="false">IF($A412="","",INDEX($L$2:$L$5001,MATCH($A412,$A$2:$A$5001,0)))</f>
        <v/>
      </c>
      <c r="N412" s="48" t="str">
        <f aca="false">IF($A412="","",IF(N(M412)=0,"–",IF(M412&lt;=Start!$D$20,"A",IF(M412&lt;=Start!$D$21,"B","C"))))</f>
        <v/>
      </c>
      <c r="O412" s="48" t="str">
        <f aca="false">IF($A412="","",IF(NOT(ISNUMBER(F412)),"Wert fehlt; ",IF(F412&lt;=0,"Wert ist 0; ",""))&amp;IF(NOT(ISNUMBER(E412)),"Bestand fehlt; ",IF(E412&lt;0,"Bestand negativ; ",IF(E412=0,"Nullbestand; ","")))&amp;IF(D412="","Warengruppe fehlt; ","")&amp;IF(B412="","Bezeichnung fehlt; ","")&amp;IF(COUNTIFS($A$2:$A$5001,$A412,$C$2:$C$5001,C412)&gt;1,"Artikel doppelt im selben Lager; ",""))</f>
        <v/>
      </c>
      <c r="P412" s="47" t="n">
        <f aca="false">IF(OR($A412="",D412=""),0,IF(COUNTIF($D$2:D412,D412)=1,SUMIF($D$2:$D$5001,D412,$H$2:$H$5001)+ROW()/10000000,0))</f>
        <v>0</v>
      </c>
      <c r="Q412" s="47" t="n">
        <f aca="false">IF(OR($A412="",C412=""),0,IF(COUNTIF($C$2:C412,C412)=1,SUMIF($C$2:$C$5001,C412,$H$2:$H$5001)+ROW()/10000000,0))</f>
        <v>0</v>
      </c>
    </row>
    <row r="413" customFormat="false" ht="15" hidden="false" customHeight="false" outlineLevel="0" collapsed="false">
      <c r="A413" s="43"/>
      <c r="B413" s="44"/>
      <c r="C413" s="44"/>
      <c r="D413" s="44"/>
      <c r="E413" s="44"/>
      <c r="F413" s="44"/>
      <c r="G413" s="44"/>
      <c r="H413" s="46" t="str">
        <f aca="false">IF($A413="","",IF(OR(NOT(ISNUMBER(E413)),NOT(ISNUMBER(F413))),"",MAX(0,E413)*F413))</f>
        <v/>
      </c>
      <c r="I413" s="46" t="str">
        <f aca="false">IF($A413="","",SUMIF($A$2:$A$5001,$A413,$H$2:$H$5001))</f>
        <v/>
      </c>
      <c r="J413" s="47" t="n">
        <f aca="false">IF($A413="",0,IF(COUNTIF($A$2:A413,$A413)=1,1,0))</f>
        <v>0</v>
      </c>
      <c r="K413" s="47" t="n">
        <f aca="false">IF(J413=1,N(I413)+ROW()/10000000,0)</f>
        <v>0</v>
      </c>
      <c r="L413" s="47" t="str">
        <f aca="false">IF(AND(J413=1,N(I413)&gt;0),SUMIF($K$2:$K$5001,"&gt;="&amp;K413,$I$2:$I$5001)/MAX(1,SUM($H$2:$H$5001)),"")</f>
        <v/>
      </c>
      <c r="M413" s="47" t="str">
        <f aca="false">IF($A413="","",INDEX($L$2:$L$5001,MATCH($A413,$A$2:$A$5001,0)))</f>
        <v/>
      </c>
      <c r="N413" s="48" t="str">
        <f aca="false">IF($A413="","",IF(N(M413)=0,"–",IF(M413&lt;=Start!$D$20,"A",IF(M413&lt;=Start!$D$21,"B","C"))))</f>
        <v/>
      </c>
      <c r="O413" s="48" t="str">
        <f aca="false">IF($A413="","",IF(NOT(ISNUMBER(F413)),"Wert fehlt; ",IF(F413&lt;=0,"Wert ist 0; ",""))&amp;IF(NOT(ISNUMBER(E413)),"Bestand fehlt; ",IF(E413&lt;0,"Bestand negativ; ",IF(E413=0,"Nullbestand; ","")))&amp;IF(D413="","Warengruppe fehlt; ","")&amp;IF(B413="","Bezeichnung fehlt; ","")&amp;IF(COUNTIFS($A$2:$A$5001,$A413,$C$2:$C$5001,C413)&gt;1,"Artikel doppelt im selben Lager; ",""))</f>
        <v/>
      </c>
      <c r="P413" s="47" t="n">
        <f aca="false">IF(OR($A413="",D413=""),0,IF(COUNTIF($D$2:D413,D413)=1,SUMIF($D$2:$D$5001,D413,$H$2:$H$5001)+ROW()/10000000,0))</f>
        <v>0</v>
      </c>
      <c r="Q413" s="47" t="n">
        <f aca="false">IF(OR($A413="",C413=""),0,IF(COUNTIF($C$2:C413,C413)=1,SUMIF($C$2:$C$5001,C413,$H$2:$H$5001)+ROW()/10000000,0))</f>
        <v>0</v>
      </c>
    </row>
    <row r="414" customFormat="false" ht="15" hidden="false" customHeight="false" outlineLevel="0" collapsed="false">
      <c r="A414" s="43"/>
      <c r="B414" s="44"/>
      <c r="C414" s="44"/>
      <c r="D414" s="44"/>
      <c r="E414" s="44"/>
      <c r="F414" s="44"/>
      <c r="G414" s="44"/>
      <c r="H414" s="46" t="str">
        <f aca="false">IF($A414="","",IF(OR(NOT(ISNUMBER(E414)),NOT(ISNUMBER(F414))),"",MAX(0,E414)*F414))</f>
        <v/>
      </c>
      <c r="I414" s="46" t="str">
        <f aca="false">IF($A414="","",SUMIF($A$2:$A$5001,$A414,$H$2:$H$5001))</f>
        <v/>
      </c>
      <c r="J414" s="47" t="n">
        <f aca="false">IF($A414="",0,IF(COUNTIF($A$2:A414,$A414)=1,1,0))</f>
        <v>0</v>
      </c>
      <c r="K414" s="47" t="n">
        <f aca="false">IF(J414=1,N(I414)+ROW()/10000000,0)</f>
        <v>0</v>
      </c>
      <c r="L414" s="47" t="str">
        <f aca="false">IF(AND(J414=1,N(I414)&gt;0),SUMIF($K$2:$K$5001,"&gt;="&amp;K414,$I$2:$I$5001)/MAX(1,SUM($H$2:$H$5001)),"")</f>
        <v/>
      </c>
      <c r="M414" s="47" t="str">
        <f aca="false">IF($A414="","",INDEX($L$2:$L$5001,MATCH($A414,$A$2:$A$5001,0)))</f>
        <v/>
      </c>
      <c r="N414" s="48" t="str">
        <f aca="false">IF($A414="","",IF(N(M414)=0,"–",IF(M414&lt;=Start!$D$20,"A",IF(M414&lt;=Start!$D$21,"B","C"))))</f>
        <v/>
      </c>
      <c r="O414" s="48" t="str">
        <f aca="false">IF($A414="","",IF(NOT(ISNUMBER(F414)),"Wert fehlt; ",IF(F414&lt;=0,"Wert ist 0; ",""))&amp;IF(NOT(ISNUMBER(E414)),"Bestand fehlt; ",IF(E414&lt;0,"Bestand negativ; ",IF(E414=0,"Nullbestand; ","")))&amp;IF(D414="","Warengruppe fehlt; ","")&amp;IF(B414="","Bezeichnung fehlt; ","")&amp;IF(COUNTIFS($A$2:$A$5001,$A414,$C$2:$C$5001,C414)&gt;1,"Artikel doppelt im selben Lager; ",""))</f>
        <v/>
      </c>
      <c r="P414" s="47" t="n">
        <f aca="false">IF(OR($A414="",D414=""),0,IF(COUNTIF($D$2:D414,D414)=1,SUMIF($D$2:$D$5001,D414,$H$2:$H$5001)+ROW()/10000000,0))</f>
        <v>0</v>
      </c>
      <c r="Q414" s="47" t="n">
        <f aca="false">IF(OR($A414="",C414=""),0,IF(COUNTIF($C$2:C414,C414)=1,SUMIF($C$2:$C$5001,C414,$H$2:$H$5001)+ROW()/10000000,0))</f>
        <v>0</v>
      </c>
    </row>
    <row r="415" customFormat="false" ht="15" hidden="false" customHeight="false" outlineLevel="0" collapsed="false">
      <c r="A415" s="43"/>
      <c r="B415" s="44"/>
      <c r="C415" s="44"/>
      <c r="D415" s="44"/>
      <c r="E415" s="44"/>
      <c r="F415" s="44"/>
      <c r="G415" s="44"/>
      <c r="H415" s="46" t="str">
        <f aca="false">IF($A415="","",IF(OR(NOT(ISNUMBER(E415)),NOT(ISNUMBER(F415))),"",MAX(0,E415)*F415))</f>
        <v/>
      </c>
      <c r="I415" s="46" t="str">
        <f aca="false">IF($A415="","",SUMIF($A$2:$A$5001,$A415,$H$2:$H$5001))</f>
        <v/>
      </c>
      <c r="J415" s="47" t="n">
        <f aca="false">IF($A415="",0,IF(COUNTIF($A$2:A415,$A415)=1,1,0))</f>
        <v>0</v>
      </c>
      <c r="K415" s="47" t="n">
        <f aca="false">IF(J415=1,N(I415)+ROW()/10000000,0)</f>
        <v>0</v>
      </c>
      <c r="L415" s="47" t="str">
        <f aca="false">IF(AND(J415=1,N(I415)&gt;0),SUMIF($K$2:$K$5001,"&gt;="&amp;K415,$I$2:$I$5001)/MAX(1,SUM($H$2:$H$5001)),"")</f>
        <v/>
      </c>
      <c r="M415" s="47" t="str">
        <f aca="false">IF($A415="","",INDEX($L$2:$L$5001,MATCH($A415,$A$2:$A$5001,0)))</f>
        <v/>
      </c>
      <c r="N415" s="48" t="str">
        <f aca="false">IF($A415="","",IF(N(M415)=0,"–",IF(M415&lt;=Start!$D$20,"A",IF(M415&lt;=Start!$D$21,"B","C"))))</f>
        <v/>
      </c>
      <c r="O415" s="48" t="str">
        <f aca="false">IF($A415="","",IF(NOT(ISNUMBER(F415)),"Wert fehlt; ",IF(F415&lt;=0,"Wert ist 0; ",""))&amp;IF(NOT(ISNUMBER(E415)),"Bestand fehlt; ",IF(E415&lt;0,"Bestand negativ; ",IF(E415=0,"Nullbestand; ","")))&amp;IF(D415="","Warengruppe fehlt; ","")&amp;IF(B415="","Bezeichnung fehlt; ","")&amp;IF(COUNTIFS($A$2:$A$5001,$A415,$C$2:$C$5001,C415)&gt;1,"Artikel doppelt im selben Lager; ",""))</f>
        <v/>
      </c>
      <c r="P415" s="47" t="n">
        <f aca="false">IF(OR($A415="",D415=""),0,IF(COUNTIF($D$2:D415,D415)=1,SUMIF($D$2:$D$5001,D415,$H$2:$H$5001)+ROW()/10000000,0))</f>
        <v>0</v>
      </c>
      <c r="Q415" s="47" t="n">
        <f aca="false">IF(OR($A415="",C415=""),0,IF(COUNTIF($C$2:C415,C415)=1,SUMIF($C$2:$C$5001,C415,$H$2:$H$5001)+ROW()/10000000,0))</f>
        <v>0</v>
      </c>
    </row>
    <row r="416" customFormat="false" ht="15" hidden="false" customHeight="false" outlineLevel="0" collapsed="false">
      <c r="A416" s="43"/>
      <c r="B416" s="44"/>
      <c r="C416" s="44"/>
      <c r="D416" s="44"/>
      <c r="E416" s="44"/>
      <c r="F416" s="44"/>
      <c r="G416" s="44"/>
      <c r="H416" s="46" t="str">
        <f aca="false">IF($A416="","",IF(OR(NOT(ISNUMBER(E416)),NOT(ISNUMBER(F416))),"",MAX(0,E416)*F416))</f>
        <v/>
      </c>
      <c r="I416" s="46" t="str">
        <f aca="false">IF($A416="","",SUMIF($A$2:$A$5001,$A416,$H$2:$H$5001))</f>
        <v/>
      </c>
      <c r="J416" s="47" t="n">
        <f aca="false">IF($A416="",0,IF(COUNTIF($A$2:A416,$A416)=1,1,0))</f>
        <v>0</v>
      </c>
      <c r="K416" s="47" t="n">
        <f aca="false">IF(J416=1,N(I416)+ROW()/10000000,0)</f>
        <v>0</v>
      </c>
      <c r="L416" s="47" t="str">
        <f aca="false">IF(AND(J416=1,N(I416)&gt;0),SUMIF($K$2:$K$5001,"&gt;="&amp;K416,$I$2:$I$5001)/MAX(1,SUM($H$2:$H$5001)),"")</f>
        <v/>
      </c>
      <c r="M416" s="47" t="str">
        <f aca="false">IF($A416="","",INDEX($L$2:$L$5001,MATCH($A416,$A$2:$A$5001,0)))</f>
        <v/>
      </c>
      <c r="N416" s="48" t="str">
        <f aca="false">IF($A416="","",IF(N(M416)=0,"–",IF(M416&lt;=Start!$D$20,"A",IF(M416&lt;=Start!$D$21,"B","C"))))</f>
        <v/>
      </c>
      <c r="O416" s="48" t="str">
        <f aca="false">IF($A416="","",IF(NOT(ISNUMBER(F416)),"Wert fehlt; ",IF(F416&lt;=0,"Wert ist 0; ",""))&amp;IF(NOT(ISNUMBER(E416)),"Bestand fehlt; ",IF(E416&lt;0,"Bestand negativ; ",IF(E416=0,"Nullbestand; ","")))&amp;IF(D416="","Warengruppe fehlt; ","")&amp;IF(B416="","Bezeichnung fehlt; ","")&amp;IF(COUNTIFS($A$2:$A$5001,$A416,$C$2:$C$5001,C416)&gt;1,"Artikel doppelt im selben Lager; ",""))</f>
        <v/>
      </c>
      <c r="P416" s="47" t="n">
        <f aca="false">IF(OR($A416="",D416=""),0,IF(COUNTIF($D$2:D416,D416)=1,SUMIF($D$2:$D$5001,D416,$H$2:$H$5001)+ROW()/10000000,0))</f>
        <v>0</v>
      </c>
      <c r="Q416" s="47" t="n">
        <f aca="false">IF(OR($A416="",C416=""),0,IF(COUNTIF($C$2:C416,C416)=1,SUMIF($C$2:$C$5001,C416,$H$2:$H$5001)+ROW()/10000000,0))</f>
        <v>0</v>
      </c>
    </row>
    <row r="417" customFormat="false" ht="15" hidden="false" customHeight="false" outlineLevel="0" collapsed="false">
      <c r="A417" s="43"/>
      <c r="B417" s="44"/>
      <c r="C417" s="44"/>
      <c r="D417" s="44"/>
      <c r="E417" s="44"/>
      <c r="F417" s="44"/>
      <c r="G417" s="44"/>
      <c r="H417" s="46" t="str">
        <f aca="false">IF($A417="","",IF(OR(NOT(ISNUMBER(E417)),NOT(ISNUMBER(F417))),"",MAX(0,E417)*F417))</f>
        <v/>
      </c>
      <c r="I417" s="46" t="str">
        <f aca="false">IF($A417="","",SUMIF($A$2:$A$5001,$A417,$H$2:$H$5001))</f>
        <v/>
      </c>
      <c r="J417" s="47" t="n">
        <f aca="false">IF($A417="",0,IF(COUNTIF($A$2:A417,$A417)=1,1,0))</f>
        <v>0</v>
      </c>
      <c r="K417" s="47" t="n">
        <f aca="false">IF(J417=1,N(I417)+ROW()/10000000,0)</f>
        <v>0</v>
      </c>
      <c r="L417" s="47" t="str">
        <f aca="false">IF(AND(J417=1,N(I417)&gt;0),SUMIF($K$2:$K$5001,"&gt;="&amp;K417,$I$2:$I$5001)/MAX(1,SUM($H$2:$H$5001)),"")</f>
        <v/>
      </c>
      <c r="M417" s="47" t="str">
        <f aca="false">IF($A417="","",INDEX($L$2:$L$5001,MATCH($A417,$A$2:$A$5001,0)))</f>
        <v/>
      </c>
      <c r="N417" s="48" t="str">
        <f aca="false">IF($A417="","",IF(N(M417)=0,"–",IF(M417&lt;=Start!$D$20,"A",IF(M417&lt;=Start!$D$21,"B","C"))))</f>
        <v/>
      </c>
      <c r="O417" s="48" t="str">
        <f aca="false">IF($A417="","",IF(NOT(ISNUMBER(F417)),"Wert fehlt; ",IF(F417&lt;=0,"Wert ist 0; ",""))&amp;IF(NOT(ISNUMBER(E417)),"Bestand fehlt; ",IF(E417&lt;0,"Bestand negativ; ",IF(E417=0,"Nullbestand; ","")))&amp;IF(D417="","Warengruppe fehlt; ","")&amp;IF(B417="","Bezeichnung fehlt; ","")&amp;IF(COUNTIFS($A$2:$A$5001,$A417,$C$2:$C$5001,C417)&gt;1,"Artikel doppelt im selben Lager; ",""))</f>
        <v/>
      </c>
      <c r="P417" s="47" t="n">
        <f aca="false">IF(OR($A417="",D417=""),0,IF(COUNTIF($D$2:D417,D417)=1,SUMIF($D$2:$D$5001,D417,$H$2:$H$5001)+ROW()/10000000,0))</f>
        <v>0</v>
      </c>
      <c r="Q417" s="47" t="n">
        <f aca="false">IF(OR($A417="",C417=""),0,IF(COUNTIF($C$2:C417,C417)=1,SUMIF($C$2:$C$5001,C417,$H$2:$H$5001)+ROW()/10000000,0))</f>
        <v>0</v>
      </c>
    </row>
    <row r="418" customFormat="false" ht="15" hidden="false" customHeight="false" outlineLevel="0" collapsed="false">
      <c r="A418" s="43"/>
      <c r="B418" s="44"/>
      <c r="C418" s="44"/>
      <c r="D418" s="44"/>
      <c r="E418" s="44"/>
      <c r="F418" s="44"/>
      <c r="G418" s="44"/>
      <c r="H418" s="46" t="str">
        <f aca="false">IF($A418="","",IF(OR(NOT(ISNUMBER(E418)),NOT(ISNUMBER(F418))),"",MAX(0,E418)*F418))</f>
        <v/>
      </c>
      <c r="I418" s="46" t="str">
        <f aca="false">IF($A418="","",SUMIF($A$2:$A$5001,$A418,$H$2:$H$5001))</f>
        <v/>
      </c>
      <c r="J418" s="47" t="n">
        <f aca="false">IF($A418="",0,IF(COUNTIF($A$2:A418,$A418)=1,1,0))</f>
        <v>0</v>
      </c>
      <c r="K418" s="47" t="n">
        <f aca="false">IF(J418=1,N(I418)+ROW()/10000000,0)</f>
        <v>0</v>
      </c>
      <c r="L418" s="47" t="str">
        <f aca="false">IF(AND(J418=1,N(I418)&gt;0),SUMIF($K$2:$K$5001,"&gt;="&amp;K418,$I$2:$I$5001)/MAX(1,SUM($H$2:$H$5001)),"")</f>
        <v/>
      </c>
      <c r="M418" s="47" t="str">
        <f aca="false">IF($A418="","",INDEX($L$2:$L$5001,MATCH($A418,$A$2:$A$5001,0)))</f>
        <v/>
      </c>
      <c r="N418" s="48" t="str">
        <f aca="false">IF($A418="","",IF(N(M418)=0,"–",IF(M418&lt;=Start!$D$20,"A",IF(M418&lt;=Start!$D$21,"B","C"))))</f>
        <v/>
      </c>
      <c r="O418" s="48" t="str">
        <f aca="false">IF($A418="","",IF(NOT(ISNUMBER(F418)),"Wert fehlt; ",IF(F418&lt;=0,"Wert ist 0; ",""))&amp;IF(NOT(ISNUMBER(E418)),"Bestand fehlt; ",IF(E418&lt;0,"Bestand negativ; ",IF(E418=0,"Nullbestand; ","")))&amp;IF(D418="","Warengruppe fehlt; ","")&amp;IF(B418="","Bezeichnung fehlt; ","")&amp;IF(COUNTIFS($A$2:$A$5001,$A418,$C$2:$C$5001,C418)&gt;1,"Artikel doppelt im selben Lager; ",""))</f>
        <v/>
      </c>
      <c r="P418" s="47" t="n">
        <f aca="false">IF(OR($A418="",D418=""),0,IF(COUNTIF($D$2:D418,D418)=1,SUMIF($D$2:$D$5001,D418,$H$2:$H$5001)+ROW()/10000000,0))</f>
        <v>0</v>
      </c>
      <c r="Q418" s="47" t="n">
        <f aca="false">IF(OR($A418="",C418=""),0,IF(COUNTIF($C$2:C418,C418)=1,SUMIF($C$2:$C$5001,C418,$H$2:$H$5001)+ROW()/10000000,0))</f>
        <v>0</v>
      </c>
    </row>
    <row r="419" customFormat="false" ht="15" hidden="false" customHeight="false" outlineLevel="0" collapsed="false">
      <c r="A419" s="43"/>
      <c r="B419" s="44"/>
      <c r="C419" s="44"/>
      <c r="D419" s="44"/>
      <c r="E419" s="44"/>
      <c r="F419" s="44"/>
      <c r="G419" s="44"/>
      <c r="H419" s="46" t="str">
        <f aca="false">IF($A419="","",IF(OR(NOT(ISNUMBER(E419)),NOT(ISNUMBER(F419))),"",MAX(0,E419)*F419))</f>
        <v/>
      </c>
      <c r="I419" s="46" t="str">
        <f aca="false">IF($A419="","",SUMIF($A$2:$A$5001,$A419,$H$2:$H$5001))</f>
        <v/>
      </c>
      <c r="J419" s="47" t="n">
        <f aca="false">IF($A419="",0,IF(COUNTIF($A$2:A419,$A419)=1,1,0))</f>
        <v>0</v>
      </c>
      <c r="K419" s="47" t="n">
        <f aca="false">IF(J419=1,N(I419)+ROW()/10000000,0)</f>
        <v>0</v>
      </c>
      <c r="L419" s="47" t="str">
        <f aca="false">IF(AND(J419=1,N(I419)&gt;0),SUMIF($K$2:$K$5001,"&gt;="&amp;K419,$I$2:$I$5001)/MAX(1,SUM($H$2:$H$5001)),"")</f>
        <v/>
      </c>
      <c r="M419" s="47" t="str">
        <f aca="false">IF($A419="","",INDEX($L$2:$L$5001,MATCH($A419,$A$2:$A$5001,0)))</f>
        <v/>
      </c>
      <c r="N419" s="48" t="str">
        <f aca="false">IF($A419="","",IF(N(M419)=0,"–",IF(M419&lt;=Start!$D$20,"A",IF(M419&lt;=Start!$D$21,"B","C"))))</f>
        <v/>
      </c>
      <c r="O419" s="48" t="str">
        <f aca="false">IF($A419="","",IF(NOT(ISNUMBER(F419)),"Wert fehlt; ",IF(F419&lt;=0,"Wert ist 0; ",""))&amp;IF(NOT(ISNUMBER(E419)),"Bestand fehlt; ",IF(E419&lt;0,"Bestand negativ; ",IF(E419=0,"Nullbestand; ","")))&amp;IF(D419="","Warengruppe fehlt; ","")&amp;IF(B419="","Bezeichnung fehlt; ","")&amp;IF(COUNTIFS($A$2:$A$5001,$A419,$C$2:$C$5001,C419)&gt;1,"Artikel doppelt im selben Lager; ",""))</f>
        <v/>
      </c>
      <c r="P419" s="47" t="n">
        <f aca="false">IF(OR($A419="",D419=""),0,IF(COUNTIF($D$2:D419,D419)=1,SUMIF($D$2:$D$5001,D419,$H$2:$H$5001)+ROW()/10000000,0))</f>
        <v>0</v>
      </c>
      <c r="Q419" s="47" t="n">
        <f aca="false">IF(OR($A419="",C419=""),0,IF(COUNTIF($C$2:C419,C419)=1,SUMIF($C$2:$C$5001,C419,$H$2:$H$5001)+ROW()/10000000,0))</f>
        <v>0</v>
      </c>
    </row>
    <row r="420" customFormat="false" ht="15" hidden="false" customHeight="false" outlineLevel="0" collapsed="false">
      <c r="A420" s="43"/>
      <c r="B420" s="44"/>
      <c r="C420" s="44"/>
      <c r="D420" s="44"/>
      <c r="E420" s="44"/>
      <c r="F420" s="44"/>
      <c r="G420" s="44"/>
      <c r="H420" s="46" t="str">
        <f aca="false">IF($A420="","",IF(OR(NOT(ISNUMBER(E420)),NOT(ISNUMBER(F420))),"",MAX(0,E420)*F420))</f>
        <v/>
      </c>
      <c r="I420" s="46" t="str">
        <f aca="false">IF($A420="","",SUMIF($A$2:$A$5001,$A420,$H$2:$H$5001))</f>
        <v/>
      </c>
      <c r="J420" s="47" t="n">
        <f aca="false">IF($A420="",0,IF(COUNTIF($A$2:A420,$A420)=1,1,0))</f>
        <v>0</v>
      </c>
      <c r="K420" s="47" t="n">
        <f aca="false">IF(J420=1,N(I420)+ROW()/10000000,0)</f>
        <v>0</v>
      </c>
      <c r="L420" s="47" t="str">
        <f aca="false">IF(AND(J420=1,N(I420)&gt;0),SUMIF($K$2:$K$5001,"&gt;="&amp;K420,$I$2:$I$5001)/MAX(1,SUM($H$2:$H$5001)),"")</f>
        <v/>
      </c>
      <c r="M420" s="47" t="str">
        <f aca="false">IF($A420="","",INDEX($L$2:$L$5001,MATCH($A420,$A$2:$A$5001,0)))</f>
        <v/>
      </c>
      <c r="N420" s="48" t="str">
        <f aca="false">IF($A420="","",IF(N(M420)=0,"–",IF(M420&lt;=Start!$D$20,"A",IF(M420&lt;=Start!$D$21,"B","C"))))</f>
        <v/>
      </c>
      <c r="O420" s="48" t="str">
        <f aca="false">IF($A420="","",IF(NOT(ISNUMBER(F420)),"Wert fehlt; ",IF(F420&lt;=0,"Wert ist 0; ",""))&amp;IF(NOT(ISNUMBER(E420)),"Bestand fehlt; ",IF(E420&lt;0,"Bestand negativ; ",IF(E420=0,"Nullbestand; ","")))&amp;IF(D420="","Warengruppe fehlt; ","")&amp;IF(B420="","Bezeichnung fehlt; ","")&amp;IF(COUNTIFS($A$2:$A$5001,$A420,$C$2:$C$5001,C420)&gt;1,"Artikel doppelt im selben Lager; ",""))</f>
        <v/>
      </c>
      <c r="P420" s="47" t="n">
        <f aca="false">IF(OR($A420="",D420=""),0,IF(COUNTIF($D$2:D420,D420)=1,SUMIF($D$2:$D$5001,D420,$H$2:$H$5001)+ROW()/10000000,0))</f>
        <v>0</v>
      </c>
      <c r="Q420" s="47" t="n">
        <f aca="false">IF(OR($A420="",C420=""),0,IF(COUNTIF($C$2:C420,C420)=1,SUMIF($C$2:$C$5001,C420,$H$2:$H$5001)+ROW()/10000000,0))</f>
        <v>0</v>
      </c>
    </row>
    <row r="421" customFormat="false" ht="15" hidden="false" customHeight="false" outlineLevel="0" collapsed="false">
      <c r="A421" s="43"/>
      <c r="B421" s="44"/>
      <c r="C421" s="44"/>
      <c r="D421" s="44"/>
      <c r="E421" s="44"/>
      <c r="F421" s="44"/>
      <c r="G421" s="44"/>
      <c r="H421" s="46" t="str">
        <f aca="false">IF($A421="","",IF(OR(NOT(ISNUMBER(E421)),NOT(ISNUMBER(F421))),"",MAX(0,E421)*F421))</f>
        <v/>
      </c>
      <c r="I421" s="46" t="str">
        <f aca="false">IF($A421="","",SUMIF($A$2:$A$5001,$A421,$H$2:$H$5001))</f>
        <v/>
      </c>
      <c r="J421" s="47" t="n">
        <f aca="false">IF($A421="",0,IF(COUNTIF($A$2:A421,$A421)=1,1,0))</f>
        <v>0</v>
      </c>
      <c r="K421" s="47" t="n">
        <f aca="false">IF(J421=1,N(I421)+ROW()/10000000,0)</f>
        <v>0</v>
      </c>
      <c r="L421" s="47" t="str">
        <f aca="false">IF(AND(J421=1,N(I421)&gt;0),SUMIF($K$2:$K$5001,"&gt;="&amp;K421,$I$2:$I$5001)/MAX(1,SUM($H$2:$H$5001)),"")</f>
        <v/>
      </c>
      <c r="M421" s="47" t="str">
        <f aca="false">IF($A421="","",INDEX($L$2:$L$5001,MATCH($A421,$A$2:$A$5001,0)))</f>
        <v/>
      </c>
      <c r="N421" s="48" t="str">
        <f aca="false">IF($A421="","",IF(N(M421)=0,"–",IF(M421&lt;=Start!$D$20,"A",IF(M421&lt;=Start!$D$21,"B","C"))))</f>
        <v/>
      </c>
      <c r="O421" s="48" t="str">
        <f aca="false">IF($A421="","",IF(NOT(ISNUMBER(F421)),"Wert fehlt; ",IF(F421&lt;=0,"Wert ist 0; ",""))&amp;IF(NOT(ISNUMBER(E421)),"Bestand fehlt; ",IF(E421&lt;0,"Bestand negativ; ",IF(E421=0,"Nullbestand; ","")))&amp;IF(D421="","Warengruppe fehlt; ","")&amp;IF(B421="","Bezeichnung fehlt; ","")&amp;IF(COUNTIFS($A$2:$A$5001,$A421,$C$2:$C$5001,C421)&gt;1,"Artikel doppelt im selben Lager; ",""))</f>
        <v/>
      </c>
      <c r="P421" s="47" t="n">
        <f aca="false">IF(OR($A421="",D421=""),0,IF(COUNTIF($D$2:D421,D421)=1,SUMIF($D$2:$D$5001,D421,$H$2:$H$5001)+ROW()/10000000,0))</f>
        <v>0</v>
      </c>
      <c r="Q421" s="47" t="n">
        <f aca="false">IF(OR($A421="",C421=""),0,IF(COUNTIF($C$2:C421,C421)=1,SUMIF($C$2:$C$5001,C421,$H$2:$H$5001)+ROW()/10000000,0))</f>
        <v>0</v>
      </c>
    </row>
    <row r="422" customFormat="false" ht="15" hidden="false" customHeight="false" outlineLevel="0" collapsed="false">
      <c r="A422" s="43"/>
      <c r="B422" s="44"/>
      <c r="C422" s="44"/>
      <c r="D422" s="44"/>
      <c r="E422" s="44"/>
      <c r="F422" s="44"/>
      <c r="G422" s="44"/>
      <c r="H422" s="46" t="str">
        <f aca="false">IF($A422="","",IF(OR(NOT(ISNUMBER(E422)),NOT(ISNUMBER(F422))),"",MAX(0,E422)*F422))</f>
        <v/>
      </c>
      <c r="I422" s="46" t="str">
        <f aca="false">IF($A422="","",SUMIF($A$2:$A$5001,$A422,$H$2:$H$5001))</f>
        <v/>
      </c>
      <c r="J422" s="47" t="n">
        <f aca="false">IF($A422="",0,IF(COUNTIF($A$2:A422,$A422)=1,1,0))</f>
        <v>0</v>
      </c>
      <c r="K422" s="47" t="n">
        <f aca="false">IF(J422=1,N(I422)+ROW()/10000000,0)</f>
        <v>0</v>
      </c>
      <c r="L422" s="47" t="str">
        <f aca="false">IF(AND(J422=1,N(I422)&gt;0),SUMIF($K$2:$K$5001,"&gt;="&amp;K422,$I$2:$I$5001)/MAX(1,SUM($H$2:$H$5001)),"")</f>
        <v/>
      </c>
      <c r="M422" s="47" t="str">
        <f aca="false">IF($A422="","",INDEX($L$2:$L$5001,MATCH($A422,$A$2:$A$5001,0)))</f>
        <v/>
      </c>
      <c r="N422" s="48" t="str">
        <f aca="false">IF($A422="","",IF(N(M422)=0,"–",IF(M422&lt;=Start!$D$20,"A",IF(M422&lt;=Start!$D$21,"B","C"))))</f>
        <v/>
      </c>
      <c r="O422" s="48" t="str">
        <f aca="false">IF($A422="","",IF(NOT(ISNUMBER(F422)),"Wert fehlt; ",IF(F422&lt;=0,"Wert ist 0; ",""))&amp;IF(NOT(ISNUMBER(E422)),"Bestand fehlt; ",IF(E422&lt;0,"Bestand negativ; ",IF(E422=0,"Nullbestand; ","")))&amp;IF(D422="","Warengruppe fehlt; ","")&amp;IF(B422="","Bezeichnung fehlt; ","")&amp;IF(COUNTIFS($A$2:$A$5001,$A422,$C$2:$C$5001,C422)&gt;1,"Artikel doppelt im selben Lager; ",""))</f>
        <v/>
      </c>
      <c r="P422" s="47" t="n">
        <f aca="false">IF(OR($A422="",D422=""),0,IF(COUNTIF($D$2:D422,D422)=1,SUMIF($D$2:$D$5001,D422,$H$2:$H$5001)+ROW()/10000000,0))</f>
        <v>0</v>
      </c>
      <c r="Q422" s="47" t="n">
        <f aca="false">IF(OR($A422="",C422=""),0,IF(COUNTIF($C$2:C422,C422)=1,SUMIF($C$2:$C$5001,C422,$H$2:$H$5001)+ROW()/10000000,0))</f>
        <v>0</v>
      </c>
    </row>
    <row r="423" customFormat="false" ht="15" hidden="false" customHeight="false" outlineLevel="0" collapsed="false">
      <c r="A423" s="43"/>
      <c r="B423" s="44"/>
      <c r="C423" s="44"/>
      <c r="D423" s="44"/>
      <c r="E423" s="44"/>
      <c r="F423" s="44"/>
      <c r="G423" s="44"/>
      <c r="H423" s="46" t="str">
        <f aca="false">IF($A423="","",IF(OR(NOT(ISNUMBER(E423)),NOT(ISNUMBER(F423))),"",MAX(0,E423)*F423))</f>
        <v/>
      </c>
      <c r="I423" s="46" t="str">
        <f aca="false">IF($A423="","",SUMIF($A$2:$A$5001,$A423,$H$2:$H$5001))</f>
        <v/>
      </c>
      <c r="J423" s="47" t="n">
        <f aca="false">IF($A423="",0,IF(COUNTIF($A$2:A423,$A423)=1,1,0))</f>
        <v>0</v>
      </c>
      <c r="K423" s="47" t="n">
        <f aca="false">IF(J423=1,N(I423)+ROW()/10000000,0)</f>
        <v>0</v>
      </c>
      <c r="L423" s="47" t="str">
        <f aca="false">IF(AND(J423=1,N(I423)&gt;0),SUMIF($K$2:$K$5001,"&gt;="&amp;K423,$I$2:$I$5001)/MAX(1,SUM($H$2:$H$5001)),"")</f>
        <v/>
      </c>
      <c r="M423" s="47" t="str">
        <f aca="false">IF($A423="","",INDEX($L$2:$L$5001,MATCH($A423,$A$2:$A$5001,0)))</f>
        <v/>
      </c>
      <c r="N423" s="48" t="str">
        <f aca="false">IF($A423="","",IF(N(M423)=0,"–",IF(M423&lt;=Start!$D$20,"A",IF(M423&lt;=Start!$D$21,"B","C"))))</f>
        <v/>
      </c>
      <c r="O423" s="48" t="str">
        <f aca="false">IF($A423="","",IF(NOT(ISNUMBER(F423)),"Wert fehlt; ",IF(F423&lt;=0,"Wert ist 0; ",""))&amp;IF(NOT(ISNUMBER(E423)),"Bestand fehlt; ",IF(E423&lt;0,"Bestand negativ; ",IF(E423=0,"Nullbestand; ","")))&amp;IF(D423="","Warengruppe fehlt; ","")&amp;IF(B423="","Bezeichnung fehlt; ","")&amp;IF(COUNTIFS($A$2:$A$5001,$A423,$C$2:$C$5001,C423)&gt;1,"Artikel doppelt im selben Lager; ",""))</f>
        <v/>
      </c>
      <c r="P423" s="47" t="n">
        <f aca="false">IF(OR($A423="",D423=""),0,IF(COUNTIF($D$2:D423,D423)=1,SUMIF($D$2:$D$5001,D423,$H$2:$H$5001)+ROW()/10000000,0))</f>
        <v>0</v>
      </c>
      <c r="Q423" s="47" t="n">
        <f aca="false">IF(OR($A423="",C423=""),0,IF(COUNTIF($C$2:C423,C423)=1,SUMIF($C$2:$C$5001,C423,$H$2:$H$5001)+ROW()/10000000,0))</f>
        <v>0</v>
      </c>
    </row>
    <row r="424" customFormat="false" ht="15" hidden="false" customHeight="false" outlineLevel="0" collapsed="false">
      <c r="A424" s="43"/>
      <c r="B424" s="44"/>
      <c r="C424" s="44"/>
      <c r="D424" s="44"/>
      <c r="E424" s="44"/>
      <c r="F424" s="44"/>
      <c r="G424" s="44"/>
      <c r="H424" s="46" t="str">
        <f aca="false">IF($A424="","",IF(OR(NOT(ISNUMBER(E424)),NOT(ISNUMBER(F424))),"",MAX(0,E424)*F424))</f>
        <v/>
      </c>
      <c r="I424" s="46" t="str">
        <f aca="false">IF($A424="","",SUMIF($A$2:$A$5001,$A424,$H$2:$H$5001))</f>
        <v/>
      </c>
      <c r="J424" s="47" t="n">
        <f aca="false">IF($A424="",0,IF(COUNTIF($A$2:A424,$A424)=1,1,0))</f>
        <v>0</v>
      </c>
      <c r="K424" s="47" t="n">
        <f aca="false">IF(J424=1,N(I424)+ROW()/10000000,0)</f>
        <v>0</v>
      </c>
      <c r="L424" s="47" t="str">
        <f aca="false">IF(AND(J424=1,N(I424)&gt;0),SUMIF($K$2:$K$5001,"&gt;="&amp;K424,$I$2:$I$5001)/MAX(1,SUM($H$2:$H$5001)),"")</f>
        <v/>
      </c>
      <c r="M424" s="47" t="str">
        <f aca="false">IF($A424="","",INDEX($L$2:$L$5001,MATCH($A424,$A$2:$A$5001,0)))</f>
        <v/>
      </c>
      <c r="N424" s="48" t="str">
        <f aca="false">IF($A424="","",IF(N(M424)=0,"–",IF(M424&lt;=Start!$D$20,"A",IF(M424&lt;=Start!$D$21,"B","C"))))</f>
        <v/>
      </c>
      <c r="O424" s="48" t="str">
        <f aca="false">IF($A424="","",IF(NOT(ISNUMBER(F424)),"Wert fehlt; ",IF(F424&lt;=0,"Wert ist 0; ",""))&amp;IF(NOT(ISNUMBER(E424)),"Bestand fehlt; ",IF(E424&lt;0,"Bestand negativ; ",IF(E424=0,"Nullbestand; ","")))&amp;IF(D424="","Warengruppe fehlt; ","")&amp;IF(B424="","Bezeichnung fehlt; ","")&amp;IF(COUNTIFS($A$2:$A$5001,$A424,$C$2:$C$5001,C424)&gt;1,"Artikel doppelt im selben Lager; ",""))</f>
        <v/>
      </c>
      <c r="P424" s="47" t="n">
        <f aca="false">IF(OR($A424="",D424=""),0,IF(COUNTIF($D$2:D424,D424)=1,SUMIF($D$2:$D$5001,D424,$H$2:$H$5001)+ROW()/10000000,0))</f>
        <v>0</v>
      </c>
      <c r="Q424" s="47" t="n">
        <f aca="false">IF(OR($A424="",C424=""),0,IF(COUNTIF($C$2:C424,C424)=1,SUMIF($C$2:$C$5001,C424,$H$2:$H$5001)+ROW()/10000000,0))</f>
        <v>0</v>
      </c>
    </row>
    <row r="425" customFormat="false" ht="15" hidden="false" customHeight="false" outlineLevel="0" collapsed="false">
      <c r="A425" s="43"/>
      <c r="B425" s="44"/>
      <c r="C425" s="44"/>
      <c r="D425" s="44"/>
      <c r="E425" s="44"/>
      <c r="F425" s="44"/>
      <c r="G425" s="44"/>
      <c r="H425" s="46" t="str">
        <f aca="false">IF($A425="","",IF(OR(NOT(ISNUMBER(E425)),NOT(ISNUMBER(F425))),"",MAX(0,E425)*F425))</f>
        <v/>
      </c>
      <c r="I425" s="46" t="str">
        <f aca="false">IF($A425="","",SUMIF($A$2:$A$5001,$A425,$H$2:$H$5001))</f>
        <v/>
      </c>
      <c r="J425" s="47" t="n">
        <f aca="false">IF($A425="",0,IF(COUNTIF($A$2:A425,$A425)=1,1,0))</f>
        <v>0</v>
      </c>
      <c r="K425" s="47" t="n">
        <f aca="false">IF(J425=1,N(I425)+ROW()/10000000,0)</f>
        <v>0</v>
      </c>
      <c r="L425" s="47" t="str">
        <f aca="false">IF(AND(J425=1,N(I425)&gt;0),SUMIF($K$2:$K$5001,"&gt;="&amp;K425,$I$2:$I$5001)/MAX(1,SUM($H$2:$H$5001)),"")</f>
        <v/>
      </c>
      <c r="M425" s="47" t="str">
        <f aca="false">IF($A425="","",INDEX($L$2:$L$5001,MATCH($A425,$A$2:$A$5001,0)))</f>
        <v/>
      </c>
      <c r="N425" s="48" t="str">
        <f aca="false">IF($A425="","",IF(N(M425)=0,"–",IF(M425&lt;=Start!$D$20,"A",IF(M425&lt;=Start!$D$21,"B","C"))))</f>
        <v/>
      </c>
      <c r="O425" s="48" t="str">
        <f aca="false">IF($A425="","",IF(NOT(ISNUMBER(F425)),"Wert fehlt; ",IF(F425&lt;=0,"Wert ist 0; ",""))&amp;IF(NOT(ISNUMBER(E425)),"Bestand fehlt; ",IF(E425&lt;0,"Bestand negativ; ",IF(E425=0,"Nullbestand; ","")))&amp;IF(D425="","Warengruppe fehlt; ","")&amp;IF(B425="","Bezeichnung fehlt; ","")&amp;IF(COUNTIFS($A$2:$A$5001,$A425,$C$2:$C$5001,C425)&gt;1,"Artikel doppelt im selben Lager; ",""))</f>
        <v/>
      </c>
      <c r="P425" s="47" t="n">
        <f aca="false">IF(OR($A425="",D425=""),0,IF(COUNTIF($D$2:D425,D425)=1,SUMIF($D$2:$D$5001,D425,$H$2:$H$5001)+ROW()/10000000,0))</f>
        <v>0</v>
      </c>
      <c r="Q425" s="47" t="n">
        <f aca="false">IF(OR($A425="",C425=""),0,IF(COUNTIF($C$2:C425,C425)=1,SUMIF($C$2:$C$5001,C425,$H$2:$H$5001)+ROW()/10000000,0))</f>
        <v>0</v>
      </c>
    </row>
    <row r="426" customFormat="false" ht="15" hidden="false" customHeight="false" outlineLevel="0" collapsed="false">
      <c r="A426" s="43"/>
      <c r="B426" s="44"/>
      <c r="C426" s="44"/>
      <c r="D426" s="44"/>
      <c r="E426" s="44"/>
      <c r="F426" s="44"/>
      <c r="G426" s="44"/>
      <c r="H426" s="46" t="str">
        <f aca="false">IF($A426="","",IF(OR(NOT(ISNUMBER(E426)),NOT(ISNUMBER(F426))),"",MAX(0,E426)*F426))</f>
        <v/>
      </c>
      <c r="I426" s="46" t="str">
        <f aca="false">IF($A426="","",SUMIF($A$2:$A$5001,$A426,$H$2:$H$5001))</f>
        <v/>
      </c>
      <c r="J426" s="47" t="n">
        <f aca="false">IF($A426="",0,IF(COUNTIF($A$2:A426,$A426)=1,1,0))</f>
        <v>0</v>
      </c>
      <c r="K426" s="47" t="n">
        <f aca="false">IF(J426=1,N(I426)+ROW()/10000000,0)</f>
        <v>0</v>
      </c>
      <c r="L426" s="47" t="str">
        <f aca="false">IF(AND(J426=1,N(I426)&gt;0),SUMIF($K$2:$K$5001,"&gt;="&amp;K426,$I$2:$I$5001)/MAX(1,SUM($H$2:$H$5001)),"")</f>
        <v/>
      </c>
      <c r="M426" s="47" t="str">
        <f aca="false">IF($A426="","",INDEX($L$2:$L$5001,MATCH($A426,$A$2:$A$5001,0)))</f>
        <v/>
      </c>
      <c r="N426" s="48" t="str">
        <f aca="false">IF($A426="","",IF(N(M426)=0,"–",IF(M426&lt;=Start!$D$20,"A",IF(M426&lt;=Start!$D$21,"B","C"))))</f>
        <v/>
      </c>
      <c r="O426" s="48" t="str">
        <f aca="false">IF($A426="","",IF(NOT(ISNUMBER(F426)),"Wert fehlt; ",IF(F426&lt;=0,"Wert ist 0; ",""))&amp;IF(NOT(ISNUMBER(E426)),"Bestand fehlt; ",IF(E426&lt;0,"Bestand negativ; ",IF(E426=0,"Nullbestand; ","")))&amp;IF(D426="","Warengruppe fehlt; ","")&amp;IF(B426="","Bezeichnung fehlt; ","")&amp;IF(COUNTIFS($A$2:$A$5001,$A426,$C$2:$C$5001,C426)&gt;1,"Artikel doppelt im selben Lager; ",""))</f>
        <v/>
      </c>
      <c r="P426" s="47" t="n">
        <f aca="false">IF(OR($A426="",D426=""),0,IF(COUNTIF($D$2:D426,D426)=1,SUMIF($D$2:$D$5001,D426,$H$2:$H$5001)+ROW()/10000000,0))</f>
        <v>0</v>
      </c>
      <c r="Q426" s="47" t="n">
        <f aca="false">IF(OR($A426="",C426=""),0,IF(COUNTIF($C$2:C426,C426)=1,SUMIF($C$2:$C$5001,C426,$H$2:$H$5001)+ROW()/10000000,0))</f>
        <v>0</v>
      </c>
    </row>
    <row r="427" customFormat="false" ht="15" hidden="false" customHeight="false" outlineLevel="0" collapsed="false">
      <c r="A427" s="43"/>
      <c r="B427" s="44"/>
      <c r="C427" s="44"/>
      <c r="D427" s="44"/>
      <c r="E427" s="44"/>
      <c r="F427" s="44"/>
      <c r="G427" s="44"/>
      <c r="H427" s="46" t="str">
        <f aca="false">IF($A427="","",IF(OR(NOT(ISNUMBER(E427)),NOT(ISNUMBER(F427))),"",MAX(0,E427)*F427))</f>
        <v/>
      </c>
      <c r="I427" s="46" t="str">
        <f aca="false">IF($A427="","",SUMIF($A$2:$A$5001,$A427,$H$2:$H$5001))</f>
        <v/>
      </c>
      <c r="J427" s="47" t="n">
        <f aca="false">IF($A427="",0,IF(COUNTIF($A$2:A427,$A427)=1,1,0))</f>
        <v>0</v>
      </c>
      <c r="K427" s="47" t="n">
        <f aca="false">IF(J427=1,N(I427)+ROW()/10000000,0)</f>
        <v>0</v>
      </c>
      <c r="L427" s="47" t="str">
        <f aca="false">IF(AND(J427=1,N(I427)&gt;0),SUMIF($K$2:$K$5001,"&gt;="&amp;K427,$I$2:$I$5001)/MAX(1,SUM($H$2:$H$5001)),"")</f>
        <v/>
      </c>
      <c r="M427" s="47" t="str">
        <f aca="false">IF($A427="","",INDEX($L$2:$L$5001,MATCH($A427,$A$2:$A$5001,0)))</f>
        <v/>
      </c>
      <c r="N427" s="48" t="str">
        <f aca="false">IF($A427="","",IF(N(M427)=0,"–",IF(M427&lt;=Start!$D$20,"A",IF(M427&lt;=Start!$D$21,"B","C"))))</f>
        <v/>
      </c>
      <c r="O427" s="48" t="str">
        <f aca="false">IF($A427="","",IF(NOT(ISNUMBER(F427)),"Wert fehlt; ",IF(F427&lt;=0,"Wert ist 0; ",""))&amp;IF(NOT(ISNUMBER(E427)),"Bestand fehlt; ",IF(E427&lt;0,"Bestand negativ; ",IF(E427=0,"Nullbestand; ","")))&amp;IF(D427="","Warengruppe fehlt; ","")&amp;IF(B427="","Bezeichnung fehlt; ","")&amp;IF(COUNTIFS($A$2:$A$5001,$A427,$C$2:$C$5001,C427)&gt;1,"Artikel doppelt im selben Lager; ",""))</f>
        <v/>
      </c>
      <c r="P427" s="47" t="n">
        <f aca="false">IF(OR($A427="",D427=""),0,IF(COUNTIF($D$2:D427,D427)=1,SUMIF($D$2:$D$5001,D427,$H$2:$H$5001)+ROW()/10000000,0))</f>
        <v>0</v>
      </c>
      <c r="Q427" s="47" t="n">
        <f aca="false">IF(OR($A427="",C427=""),0,IF(COUNTIF($C$2:C427,C427)=1,SUMIF($C$2:$C$5001,C427,$H$2:$H$5001)+ROW()/10000000,0))</f>
        <v>0</v>
      </c>
    </row>
    <row r="428" customFormat="false" ht="15" hidden="false" customHeight="false" outlineLevel="0" collapsed="false">
      <c r="A428" s="43"/>
      <c r="B428" s="44"/>
      <c r="C428" s="44"/>
      <c r="D428" s="44"/>
      <c r="E428" s="44"/>
      <c r="F428" s="44"/>
      <c r="G428" s="44"/>
      <c r="H428" s="46" t="str">
        <f aca="false">IF($A428="","",IF(OR(NOT(ISNUMBER(E428)),NOT(ISNUMBER(F428))),"",MAX(0,E428)*F428))</f>
        <v/>
      </c>
      <c r="I428" s="46" t="str">
        <f aca="false">IF($A428="","",SUMIF($A$2:$A$5001,$A428,$H$2:$H$5001))</f>
        <v/>
      </c>
      <c r="J428" s="47" t="n">
        <f aca="false">IF($A428="",0,IF(COUNTIF($A$2:A428,$A428)=1,1,0))</f>
        <v>0</v>
      </c>
      <c r="K428" s="47" t="n">
        <f aca="false">IF(J428=1,N(I428)+ROW()/10000000,0)</f>
        <v>0</v>
      </c>
      <c r="L428" s="47" t="str">
        <f aca="false">IF(AND(J428=1,N(I428)&gt;0),SUMIF($K$2:$K$5001,"&gt;="&amp;K428,$I$2:$I$5001)/MAX(1,SUM($H$2:$H$5001)),"")</f>
        <v/>
      </c>
      <c r="M428" s="47" t="str">
        <f aca="false">IF($A428="","",INDEX($L$2:$L$5001,MATCH($A428,$A$2:$A$5001,0)))</f>
        <v/>
      </c>
      <c r="N428" s="48" t="str">
        <f aca="false">IF($A428="","",IF(N(M428)=0,"–",IF(M428&lt;=Start!$D$20,"A",IF(M428&lt;=Start!$D$21,"B","C"))))</f>
        <v/>
      </c>
      <c r="O428" s="48" t="str">
        <f aca="false">IF($A428="","",IF(NOT(ISNUMBER(F428)),"Wert fehlt; ",IF(F428&lt;=0,"Wert ist 0; ",""))&amp;IF(NOT(ISNUMBER(E428)),"Bestand fehlt; ",IF(E428&lt;0,"Bestand negativ; ",IF(E428=0,"Nullbestand; ","")))&amp;IF(D428="","Warengruppe fehlt; ","")&amp;IF(B428="","Bezeichnung fehlt; ","")&amp;IF(COUNTIFS($A$2:$A$5001,$A428,$C$2:$C$5001,C428)&gt;1,"Artikel doppelt im selben Lager; ",""))</f>
        <v/>
      </c>
      <c r="P428" s="47" t="n">
        <f aca="false">IF(OR($A428="",D428=""),0,IF(COUNTIF($D$2:D428,D428)=1,SUMIF($D$2:$D$5001,D428,$H$2:$H$5001)+ROW()/10000000,0))</f>
        <v>0</v>
      </c>
      <c r="Q428" s="47" t="n">
        <f aca="false">IF(OR($A428="",C428=""),0,IF(COUNTIF($C$2:C428,C428)=1,SUMIF($C$2:$C$5001,C428,$H$2:$H$5001)+ROW()/10000000,0))</f>
        <v>0</v>
      </c>
    </row>
    <row r="429" customFormat="false" ht="15" hidden="false" customHeight="false" outlineLevel="0" collapsed="false">
      <c r="A429" s="43"/>
      <c r="B429" s="44"/>
      <c r="C429" s="44"/>
      <c r="D429" s="44"/>
      <c r="E429" s="44"/>
      <c r="F429" s="44"/>
      <c r="G429" s="44"/>
      <c r="H429" s="46" t="str">
        <f aca="false">IF($A429="","",IF(OR(NOT(ISNUMBER(E429)),NOT(ISNUMBER(F429))),"",MAX(0,E429)*F429))</f>
        <v/>
      </c>
      <c r="I429" s="46" t="str">
        <f aca="false">IF($A429="","",SUMIF($A$2:$A$5001,$A429,$H$2:$H$5001))</f>
        <v/>
      </c>
      <c r="J429" s="47" t="n">
        <f aca="false">IF($A429="",0,IF(COUNTIF($A$2:A429,$A429)=1,1,0))</f>
        <v>0</v>
      </c>
      <c r="K429" s="47" t="n">
        <f aca="false">IF(J429=1,N(I429)+ROW()/10000000,0)</f>
        <v>0</v>
      </c>
      <c r="L429" s="47" t="str">
        <f aca="false">IF(AND(J429=1,N(I429)&gt;0),SUMIF($K$2:$K$5001,"&gt;="&amp;K429,$I$2:$I$5001)/MAX(1,SUM($H$2:$H$5001)),"")</f>
        <v/>
      </c>
      <c r="M429" s="47" t="str">
        <f aca="false">IF($A429="","",INDEX($L$2:$L$5001,MATCH($A429,$A$2:$A$5001,0)))</f>
        <v/>
      </c>
      <c r="N429" s="48" t="str">
        <f aca="false">IF($A429="","",IF(N(M429)=0,"–",IF(M429&lt;=Start!$D$20,"A",IF(M429&lt;=Start!$D$21,"B","C"))))</f>
        <v/>
      </c>
      <c r="O429" s="48" t="str">
        <f aca="false">IF($A429="","",IF(NOT(ISNUMBER(F429)),"Wert fehlt; ",IF(F429&lt;=0,"Wert ist 0; ",""))&amp;IF(NOT(ISNUMBER(E429)),"Bestand fehlt; ",IF(E429&lt;0,"Bestand negativ; ",IF(E429=0,"Nullbestand; ","")))&amp;IF(D429="","Warengruppe fehlt; ","")&amp;IF(B429="","Bezeichnung fehlt; ","")&amp;IF(COUNTIFS($A$2:$A$5001,$A429,$C$2:$C$5001,C429)&gt;1,"Artikel doppelt im selben Lager; ",""))</f>
        <v/>
      </c>
      <c r="P429" s="47" t="n">
        <f aca="false">IF(OR($A429="",D429=""),0,IF(COUNTIF($D$2:D429,D429)=1,SUMIF($D$2:$D$5001,D429,$H$2:$H$5001)+ROW()/10000000,0))</f>
        <v>0</v>
      </c>
      <c r="Q429" s="47" t="n">
        <f aca="false">IF(OR($A429="",C429=""),0,IF(COUNTIF($C$2:C429,C429)=1,SUMIF($C$2:$C$5001,C429,$H$2:$H$5001)+ROW()/10000000,0))</f>
        <v>0</v>
      </c>
    </row>
    <row r="430" customFormat="false" ht="15" hidden="false" customHeight="false" outlineLevel="0" collapsed="false">
      <c r="A430" s="43"/>
      <c r="B430" s="44"/>
      <c r="C430" s="44"/>
      <c r="D430" s="44"/>
      <c r="E430" s="44"/>
      <c r="F430" s="44"/>
      <c r="G430" s="44"/>
      <c r="H430" s="46" t="str">
        <f aca="false">IF($A430="","",IF(OR(NOT(ISNUMBER(E430)),NOT(ISNUMBER(F430))),"",MAX(0,E430)*F430))</f>
        <v/>
      </c>
      <c r="I430" s="46" t="str">
        <f aca="false">IF($A430="","",SUMIF($A$2:$A$5001,$A430,$H$2:$H$5001))</f>
        <v/>
      </c>
      <c r="J430" s="47" t="n">
        <f aca="false">IF($A430="",0,IF(COUNTIF($A$2:A430,$A430)=1,1,0))</f>
        <v>0</v>
      </c>
      <c r="K430" s="47" t="n">
        <f aca="false">IF(J430=1,N(I430)+ROW()/10000000,0)</f>
        <v>0</v>
      </c>
      <c r="L430" s="47" t="str">
        <f aca="false">IF(AND(J430=1,N(I430)&gt;0),SUMIF($K$2:$K$5001,"&gt;="&amp;K430,$I$2:$I$5001)/MAX(1,SUM($H$2:$H$5001)),"")</f>
        <v/>
      </c>
      <c r="M430" s="47" t="str">
        <f aca="false">IF($A430="","",INDEX($L$2:$L$5001,MATCH($A430,$A$2:$A$5001,0)))</f>
        <v/>
      </c>
      <c r="N430" s="48" t="str">
        <f aca="false">IF($A430="","",IF(N(M430)=0,"–",IF(M430&lt;=Start!$D$20,"A",IF(M430&lt;=Start!$D$21,"B","C"))))</f>
        <v/>
      </c>
      <c r="O430" s="48" t="str">
        <f aca="false">IF($A430="","",IF(NOT(ISNUMBER(F430)),"Wert fehlt; ",IF(F430&lt;=0,"Wert ist 0; ",""))&amp;IF(NOT(ISNUMBER(E430)),"Bestand fehlt; ",IF(E430&lt;0,"Bestand negativ; ",IF(E430=0,"Nullbestand; ","")))&amp;IF(D430="","Warengruppe fehlt; ","")&amp;IF(B430="","Bezeichnung fehlt; ","")&amp;IF(COUNTIFS($A$2:$A$5001,$A430,$C$2:$C$5001,C430)&gt;1,"Artikel doppelt im selben Lager; ",""))</f>
        <v/>
      </c>
      <c r="P430" s="47" t="n">
        <f aca="false">IF(OR($A430="",D430=""),0,IF(COUNTIF($D$2:D430,D430)=1,SUMIF($D$2:$D$5001,D430,$H$2:$H$5001)+ROW()/10000000,0))</f>
        <v>0</v>
      </c>
      <c r="Q430" s="47" t="n">
        <f aca="false">IF(OR($A430="",C430=""),0,IF(COUNTIF($C$2:C430,C430)=1,SUMIF($C$2:$C$5001,C430,$H$2:$H$5001)+ROW()/10000000,0))</f>
        <v>0</v>
      </c>
    </row>
    <row r="431" customFormat="false" ht="15" hidden="false" customHeight="false" outlineLevel="0" collapsed="false">
      <c r="A431" s="43"/>
      <c r="B431" s="44"/>
      <c r="C431" s="44"/>
      <c r="D431" s="44"/>
      <c r="E431" s="44"/>
      <c r="F431" s="44"/>
      <c r="G431" s="44"/>
      <c r="H431" s="46" t="str">
        <f aca="false">IF($A431="","",IF(OR(NOT(ISNUMBER(E431)),NOT(ISNUMBER(F431))),"",MAX(0,E431)*F431))</f>
        <v/>
      </c>
      <c r="I431" s="46" t="str">
        <f aca="false">IF($A431="","",SUMIF($A$2:$A$5001,$A431,$H$2:$H$5001))</f>
        <v/>
      </c>
      <c r="J431" s="47" t="n">
        <f aca="false">IF($A431="",0,IF(COUNTIF($A$2:A431,$A431)=1,1,0))</f>
        <v>0</v>
      </c>
      <c r="K431" s="47" t="n">
        <f aca="false">IF(J431=1,N(I431)+ROW()/10000000,0)</f>
        <v>0</v>
      </c>
      <c r="L431" s="47" t="str">
        <f aca="false">IF(AND(J431=1,N(I431)&gt;0),SUMIF($K$2:$K$5001,"&gt;="&amp;K431,$I$2:$I$5001)/MAX(1,SUM($H$2:$H$5001)),"")</f>
        <v/>
      </c>
      <c r="M431" s="47" t="str">
        <f aca="false">IF($A431="","",INDEX($L$2:$L$5001,MATCH($A431,$A$2:$A$5001,0)))</f>
        <v/>
      </c>
      <c r="N431" s="48" t="str">
        <f aca="false">IF($A431="","",IF(N(M431)=0,"–",IF(M431&lt;=Start!$D$20,"A",IF(M431&lt;=Start!$D$21,"B","C"))))</f>
        <v/>
      </c>
      <c r="O431" s="48" t="str">
        <f aca="false">IF($A431="","",IF(NOT(ISNUMBER(F431)),"Wert fehlt; ",IF(F431&lt;=0,"Wert ist 0; ",""))&amp;IF(NOT(ISNUMBER(E431)),"Bestand fehlt; ",IF(E431&lt;0,"Bestand negativ; ",IF(E431=0,"Nullbestand; ","")))&amp;IF(D431="","Warengruppe fehlt; ","")&amp;IF(B431="","Bezeichnung fehlt; ","")&amp;IF(COUNTIFS($A$2:$A$5001,$A431,$C$2:$C$5001,C431)&gt;1,"Artikel doppelt im selben Lager; ",""))</f>
        <v/>
      </c>
      <c r="P431" s="47" t="n">
        <f aca="false">IF(OR($A431="",D431=""),0,IF(COUNTIF($D$2:D431,D431)=1,SUMIF($D$2:$D$5001,D431,$H$2:$H$5001)+ROW()/10000000,0))</f>
        <v>0</v>
      </c>
      <c r="Q431" s="47" t="n">
        <f aca="false">IF(OR($A431="",C431=""),0,IF(COUNTIF($C$2:C431,C431)=1,SUMIF($C$2:$C$5001,C431,$H$2:$H$5001)+ROW()/10000000,0))</f>
        <v>0</v>
      </c>
    </row>
    <row r="432" customFormat="false" ht="15" hidden="false" customHeight="false" outlineLevel="0" collapsed="false">
      <c r="A432" s="43"/>
      <c r="B432" s="44"/>
      <c r="C432" s="44"/>
      <c r="D432" s="44"/>
      <c r="E432" s="44"/>
      <c r="F432" s="44"/>
      <c r="G432" s="44"/>
      <c r="H432" s="46" t="str">
        <f aca="false">IF($A432="","",IF(OR(NOT(ISNUMBER(E432)),NOT(ISNUMBER(F432))),"",MAX(0,E432)*F432))</f>
        <v/>
      </c>
      <c r="I432" s="46" t="str">
        <f aca="false">IF($A432="","",SUMIF($A$2:$A$5001,$A432,$H$2:$H$5001))</f>
        <v/>
      </c>
      <c r="J432" s="47" t="n">
        <f aca="false">IF($A432="",0,IF(COUNTIF($A$2:A432,$A432)=1,1,0))</f>
        <v>0</v>
      </c>
      <c r="K432" s="47" t="n">
        <f aca="false">IF(J432=1,N(I432)+ROW()/10000000,0)</f>
        <v>0</v>
      </c>
      <c r="L432" s="47" t="str">
        <f aca="false">IF(AND(J432=1,N(I432)&gt;0),SUMIF($K$2:$K$5001,"&gt;="&amp;K432,$I$2:$I$5001)/MAX(1,SUM($H$2:$H$5001)),"")</f>
        <v/>
      </c>
      <c r="M432" s="47" t="str">
        <f aca="false">IF($A432="","",INDEX($L$2:$L$5001,MATCH($A432,$A$2:$A$5001,0)))</f>
        <v/>
      </c>
      <c r="N432" s="48" t="str">
        <f aca="false">IF($A432="","",IF(N(M432)=0,"–",IF(M432&lt;=Start!$D$20,"A",IF(M432&lt;=Start!$D$21,"B","C"))))</f>
        <v/>
      </c>
      <c r="O432" s="48" t="str">
        <f aca="false">IF($A432="","",IF(NOT(ISNUMBER(F432)),"Wert fehlt; ",IF(F432&lt;=0,"Wert ist 0; ",""))&amp;IF(NOT(ISNUMBER(E432)),"Bestand fehlt; ",IF(E432&lt;0,"Bestand negativ; ",IF(E432=0,"Nullbestand; ","")))&amp;IF(D432="","Warengruppe fehlt; ","")&amp;IF(B432="","Bezeichnung fehlt; ","")&amp;IF(COUNTIFS($A$2:$A$5001,$A432,$C$2:$C$5001,C432)&gt;1,"Artikel doppelt im selben Lager; ",""))</f>
        <v/>
      </c>
      <c r="P432" s="47" t="n">
        <f aca="false">IF(OR($A432="",D432=""),0,IF(COUNTIF($D$2:D432,D432)=1,SUMIF($D$2:$D$5001,D432,$H$2:$H$5001)+ROW()/10000000,0))</f>
        <v>0</v>
      </c>
      <c r="Q432" s="47" t="n">
        <f aca="false">IF(OR($A432="",C432=""),0,IF(COUNTIF($C$2:C432,C432)=1,SUMIF($C$2:$C$5001,C432,$H$2:$H$5001)+ROW()/10000000,0))</f>
        <v>0</v>
      </c>
    </row>
    <row r="433" customFormat="false" ht="15" hidden="false" customHeight="false" outlineLevel="0" collapsed="false">
      <c r="A433" s="43"/>
      <c r="B433" s="44"/>
      <c r="C433" s="44"/>
      <c r="D433" s="44"/>
      <c r="E433" s="44"/>
      <c r="F433" s="44"/>
      <c r="G433" s="44"/>
      <c r="H433" s="46" t="str">
        <f aca="false">IF($A433="","",IF(OR(NOT(ISNUMBER(E433)),NOT(ISNUMBER(F433))),"",MAX(0,E433)*F433))</f>
        <v/>
      </c>
      <c r="I433" s="46" t="str">
        <f aca="false">IF($A433="","",SUMIF($A$2:$A$5001,$A433,$H$2:$H$5001))</f>
        <v/>
      </c>
      <c r="J433" s="47" t="n">
        <f aca="false">IF($A433="",0,IF(COUNTIF($A$2:A433,$A433)=1,1,0))</f>
        <v>0</v>
      </c>
      <c r="K433" s="47" t="n">
        <f aca="false">IF(J433=1,N(I433)+ROW()/10000000,0)</f>
        <v>0</v>
      </c>
      <c r="L433" s="47" t="str">
        <f aca="false">IF(AND(J433=1,N(I433)&gt;0),SUMIF($K$2:$K$5001,"&gt;="&amp;K433,$I$2:$I$5001)/MAX(1,SUM($H$2:$H$5001)),"")</f>
        <v/>
      </c>
      <c r="M433" s="47" t="str">
        <f aca="false">IF($A433="","",INDEX($L$2:$L$5001,MATCH($A433,$A$2:$A$5001,0)))</f>
        <v/>
      </c>
      <c r="N433" s="48" t="str">
        <f aca="false">IF($A433="","",IF(N(M433)=0,"–",IF(M433&lt;=Start!$D$20,"A",IF(M433&lt;=Start!$D$21,"B","C"))))</f>
        <v/>
      </c>
      <c r="O433" s="48" t="str">
        <f aca="false">IF($A433="","",IF(NOT(ISNUMBER(F433)),"Wert fehlt; ",IF(F433&lt;=0,"Wert ist 0; ",""))&amp;IF(NOT(ISNUMBER(E433)),"Bestand fehlt; ",IF(E433&lt;0,"Bestand negativ; ",IF(E433=0,"Nullbestand; ","")))&amp;IF(D433="","Warengruppe fehlt; ","")&amp;IF(B433="","Bezeichnung fehlt; ","")&amp;IF(COUNTIFS($A$2:$A$5001,$A433,$C$2:$C$5001,C433)&gt;1,"Artikel doppelt im selben Lager; ",""))</f>
        <v/>
      </c>
      <c r="P433" s="47" t="n">
        <f aca="false">IF(OR($A433="",D433=""),0,IF(COUNTIF($D$2:D433,D433)=1,SUMIF($D$2:$D$5001,D433,$H$2:$H$5001)+ROW()/10000000,0))</f>
        <v>0</v>
      </c>
      <c r="Q433" s="47" t="n">
        <f aca="false">IF(OR($A433="",C433=""),0,IF(COUNTIF($C$2:C433,C433)=1,SUMIF($C$2:$C$5001,C433,$H$2:$H$5001)+ROW()/10000000,0))</f>
        <v>0</v>
      </c>
    </row>
    <row r="434" customFormat="false" ht="15" hidden="false" customHeight="false" outlineLevel="0" collapsed="false">
      <c r="A434" s="43"/>
      <c r="B434" s="44"/>
      <c r="C434" s="44"/>
      <c r="D434" s="44"/>
      <c r="E434" s="44"/>
      <c r="F434" s="44"/>
      <c r="G434" s="44"/>
      <c r="H434" s="46" t="str">
        <f aca="false">IF($A434="","",IF(OR(NOT(ISNUMBER(E434)),NOT(ISNUMBER(F434))),"",MAX(0,E434)*F434))</f>
        <v/>
      </c>
      <c r="I434" s="46" t="str">
        <f aca="false">IF($A434="","",SUMIF($A$2:$A$5001,$A434,$H$2:$H$5001))</f>
        <v/>
      </c>
      <c r="J434" s="47" t="n">
        <f aca="false">IF($A434="",0,IF(COUNTIF($A$2:A434,$A434)=1,1,0))</f>
        <v>0</v>
      </c>
      <c r="K434" s="47" t="n">
        <f aca="false">IF(J434=1,N(I434)+ROW()/10000000,0)</f>
        <v>0</v>
      </c>
      <c r="L434" s="47" t="str">
        <f aca="false">IF(AND(J434=1,N(I434)&gt;0),SUMIF($K$2:$K$5001,"&gt;="&amp;K434,$I$2:$I$5001)/MAX(1,SUM($H$2:$H$5001)),"")</f>
        <v/>
      </c>
      <c r="M434" s="47" t="str">
        <f aca="false">IF($A434="","",INDEX($L$2:$L$5001,MATCH($A434,$A$2:$A$5001,0)))</f>
        <v/>
      </c>
      <c r="N434" s="48" t="str">
        <f aca="false">IF($A434="","",IF(N(M434)=0,"–",IF(M434&lt;=Start!$D$20,"A",IF(M434&lt;=Start!$D$21,"B","C"))))</f>
        <v/>
      </c>
      <c r="O434" s="48" t="str">
        <f aca="false">IF($A434="","",IF(NOT(ISNUMBER(F434)),"Wert fehlt; ",IF(F434&lt;=0,"Wert ist 0; ",""))&amp;IF(NOT(ISNUMBER(E434)),"Bestand fehlt; ",IF(E434&lt;0,"Bestand negativ; ",IF(E434=0,"Nullbestand; ","")))&amp;IF(D434="","Warengruppe fehlt; ","")&amp;IF(B434="","Bezeichnung fehlt; ","")&amp;IF(COUNTIFS($A$2:$A$5001,$A434,$C$2:$C$5001,C434)&gt;1,"Artikel doppelt im selben Lager; ",""))</f>
        <v/>
      </c>
      <c r="P434" s="47" t="n">
        <f aca="false">IF(OR($A434="",D434=""),0,IF(COUNTIF($D$2:D434,D434)=1,SUMIF($D$2:$D$5001,D434,$H$2:$H$5001)+ROW()/10000000,0))</f>
        <v>0</v>
      </c>
      <c r="Q434" s="47" t="n">
        <f aca="false">IF(OR($A434="",C434=""),0,IF(COUNTIF($C$2:C434,C434)=1,SUMIF($C$2:$C$5001,C434,$H$2:$H$5001)+ROW()/10000000,0))</f>
        <v>0</v>
      </c>
    </row>
    <row r="435" customFormat="false" ht="15" hidden="false" customHeight="false" outlineLevel="0" collapsed="false">
      <c r="A435" s="43"/>
      <c r="B435" s="44"/>
      <c r="C435" s="44"/>
      <c r="D435" s="44"/>
      <c r="E435" s="44"/>
      <c r="F435" s="44"/>
      <c r="G435" s="44"/>
      <c r="H435" s="46" t="str">
        <f aca="false">IF($A435="","",IF(OR(NOT(ISNUMBER(E435)),NOT(ISNUMBER(F435))),"",MAX(0,E435)*F435))</f>
        <v/>
      </c>
      <c r="I435" s="46" t="str">
        <f aca="false">IF($A435="","",SUMIF($A$2:$A$5001,$A435,$H$2:$H$5001))</f>
        <v/>
      </c>
      <c r="J435" s="47" t="n">
        <f aca="false">IF($A435="",0,IF(COUNTIF($A$2:A435,$A435)=1,1,0))</f>
        <v>0</v>
      </c>
      <c r="K435" s="47" t="n">
        <f aca="false">IF(J435=1,N(I435)+ROW()/10000000,0)</f>
        <v>0</v>
      </c>
      <c r="L435" s="47" t="str">
        <f aca="false">IF(AND(J435=1,N(I435)&gt;0),SUMIF($K$2:$K$5001,"&gt;="&amp;K435,$I$2:$I$5001)/MAX(1,SUM($H$2:$H$5001)),"")</f>
        <v/>
      </c>
      <c r="M435" s="47" t="str">
        <f aca="false">IF($A435="","",INDEX($L$2:$L$5001,MATCH($A435,$A$2:$A$5001,0)))</f>
        <v/>
      </c>
      <c r="N435" s="48" t="str">
        <f aca="false">IF($A435="","",IF(N(M435)=0,"–",IF(M435&lt;=Start!$D$20,"A",IF(M435&lt;=Start!$D$21,"B","C"))))</f>
        <v/>
      </c>
      <c r="O435" s="48" t="str">
        <f aca="false">IF($A435="","",IF(NOT(ISNUMBER(F435)),"Wert fehlt; ",IF(F435&lt;=0,"Wert ist 0; ",""))&amp;IF(NOT(ISNUMBER(E435)),"Bestand fehlt; ",IF(E435&lt;0,"Bestand negativ; ",IF(E435=0,"Nullbestand; ","")))&amp;IF(D435="","Warengruppe fehlt; ","")&amp;IF(B435="","Bezeichnung fehlt; ","")&amp;IF(COUNTIFS($A$2:$A$5001,$A435,$C$2:$C$5001,C435)&gt;1,"Artikel doppelt im selben Lager; ",""))</f>
        <v/>
      </c>
      <c r="P435" s="47" t="n">
        <f aca="false">IF(OR($A435="",D435=""),0,IF(COUNTIF($D$2:D435,D435)=1,SUMIF($D$2:$D$5001,D435,$H$2:$H$5001)+ROW()/10000000,0))</f>
        <v>0</v>
      </c>
      <c r="Q435" s="47" t="n">
        <f aca="false">IF(OR($A435="",C435=""),0,IF(COUNTIF($C$2:C435,C435)=1,SUMIF($C$2:$C$5001,C435,$H$2:$H$5001)+ROW()/10000000,0))</f>
        <v>0</v>
      </c>
    </row>
    <row r="436" customFormat="false" ht="15" hidden="false" customHeight="false" outlineLevel="0" collapsed="false">
      <c r="A436" s="43"/>
      <c r="B436" s="44"/>
      <c r="C436" s="44"/>
      <c r="D436" s="44"/>
      <c r="E436" s="44"/>
      <c r="F436" s="44"/>
      <c r="G436" s="44"/>
      <c r="H436" s="46" t="str">
        <f aca="false">IF($A436="","",IF(OR(NOT(ISNUMBER(E436)),NOT(ISNUMBER(F436))),"",MAX(0,E436)*F436))</f>
        <v/>
      </c>
      <c r="I436" s="46" t="str">
        <f aca="false">IF($A436="","",SUMIF($A$2:$A$5001,$A436,$H$2:$H$5001))</f>
        <v/>
      </c>
      <c r="J436" s="47" t="n">
        <f aca="false">IF($A436="",0,IF(COUNTIF($A$2:A436,$A436)=1,1,0))</f>
        <v>0</v>
      </c>
      <c r="K436" s="47" t="n">
        <f aca="false">IF(J436=1,N(I436)+ROW()/10000000,0)</f>
        <v>0</v>
      </c>
      <c r="L436" s="47" t="str">
        <f aca="false">IF(AND(J436=1,N(I436)&gt;0),SUMIF($K$2:$K$5001,"&gt;="&amp;K436,$I$2:$I$5001)/MAX(1,SUM($H$2:$H$5001)),"")</f>
        <v/>
      </c>
      <c r="M436" s="47" t="str">
        <f aca="false">IF($A436="","",INDEX($L$2:$L$5001,MATCH($A436,$A$2:$A$5001,0)))</f>
        <v/>
      </c>
      <c r="N436" s="48" t="str">
        <f aca="false">IF($A436="","",IF(N(M436)=0,"–",IF(M436&lt;=Start!$D$20,"A",IF(M436&lt;=Start!$D$21,"B","C"))))</f>
        <v/>
      </c>
      <c r="O436" s="48" t="str">
        <f aca="false">IF($A436="","",IF(NOT(ISNUMBER(F436)),"Wert fehlt; ",IF(F436&lt;=0,"Wert ist 0; ",""))&amp;IF(NOT(ISNUMBER(E436)),"Bestand fehlt; ",IF(E436&lt;0,"Bestand negativ; ",IF(E436=0,"Nullbestand; ","")))&amp;IF(D436="","Warengruppe fehlt; ","")&amp;IF(B436="","Bezeichnung fehlt; ","")&amp;IF(COUNTIFS($A$2:$A$5001,$A436,$C$2:$C$5001,C436)&gt;1,"Artikel doppelt im selben Lager; ",""))</f>
        <v/>
      </c>
      <c r="P436" s="47" t="n">
        <f aca="false">IF(OR($A436="",D436=""),0,IF(COUNTIF($D$2:D436,D436)=1,SUMIF($D$2:$D$5001,D436,$H$2:$H$5001)+ROW()/10000000,0))</f>
        <v>0</v>
      </c>
      <c r="Q436" s="47" t="n">
        <f aca="false">IF(OR($A436="",C436=""),0,IF(COUNTIF($C$2:C436,C436)=1,SUMIF($C$2:$C$5001,C436,$H$2:$H$5001)+ROW()/10000000,0))</f>
        <v>0</v>
      </c>
    </row>
    <row r="437" customFormat="false" ht="15" hidden="false" customHeight="false" outlineLevel="0" collapsed="false">
      <c r="A437" s="43"/>
      <c r="B437" s="44"/>
      <c r="C437" s="44"/>
      <c r="D437" s="44"/>
      <c r="E437" s="44"/>
      <c r="F437" s="44"/>
      <c r="G437" s="44"/>
      <c r="H437" s="46" t="str">
        <f aca="false">IF($A437="","",IF(OR(NOT(ISNUMBER(E437)),NOT(ISNUMBER(F437))),"",MAX(0,E437)*F437))</f>
        <v/>
      </c>
      <c r="I437" s="46" t="str">
        <f aca="false">IF($A437="","",SUMIF($A$2:$A$5001,$A437,$H$2:$H$5001))</f>
        <v/>
      </c>
      <c r="J437" s="47" t="n">
        <f aca="false">IF($A437="",0,IF(COUNTIF($A$2:A437,$A437)=1,1,0))</f>
        <v>0</v>
      </c>
      <c r="K437" s="47" t="n">
        <f aca="false">IF(J437=1,N(I437)+ROW()/10000000,0)</f>
        <v>0</v>
      </c>
      <c r="L437" s="47" t="str">
        <f aca="false">IF(AND(J437=1,N(I437)&gt;0),SUMIF($K$2:$K$5001,"&gt;="&amp;K437,$I$2:$I$5001)/MAX(1,SUM($H$2:$H$5001)),"")</f>
        <v/>
      </c>
      <c r="M437" s="47" t="str">
        <f aca="false">IF($A437="","",INDEX($L$2:$L$5001,MATCH($A437,$A$2:$A$5001,0)))</f>
        <v/>
      </c>
      <c r="N437" s="48" t="str">
        <f aca="false">IF($A437="","",IF(N(M437)=0,"–",IF(M437&lt;=Start!$D$20,"A",IF(M437&lt;=Start!$D$21,"B","C"))))</f>
        <v/>
      </c>
      <c r="O437" s="48" t="str">
        <f aca="false">IF($A437="","",IF(NOT(ISNUMBER(F437)),"Wert fehlt; ",IF(F437&lt;=0,"Wert ist 0; ",""))&amp;IF(NOT(ISNUMBER(E437)),"Bestand fehlt; ",IF(E437&lt;0,"Bestand negativ; ",IF(E437=0,"Nullbestand; ","")))&amp;IF(D437="","Warengruppe fehlt; ","")&amp;IF(B437="","Bezeichnung fehlt; ","")&amp;IF(COUNTIFS($A$2:$A$5001,$A437,$C$2:$C$5001,C437)&gt;1,"Artikel doppelt im selben Lager; ",""))</f>
        <v/>
      </c>
      <c r="P437" s="47" t="n">
        <f aca="false">IF(OR($A437="",D437=""),0,IF(COUNTIF($D$2:D437,D437)=1,SUMIF($D$2:$D$5001,D437,$H$2:$H$5001)+ROW()/10000000,0))</f>
        <v>0</v>
      </c>
      <c r="Q437" s="47" t="n">
        <f aca="false">IF(OR($A437="",C437=""),0,IF(COUNTIF($C$2:C437,C437)=1,SUMIF($C$2:$C$5001,C437,$H$2:$H$5001)+ROW()/10000000,0))</f>
        <v>0</v>
      </c>
    </row>
    <row r="438" customFormat="false" ht="15" hidden="false" customHeight="false" outlineLevel="0" collapsed="false">
      <c r="A438" s="43"/>
      <c r="B438" s="44"/>
      <c r="C438" s="44"/>
      <c r="D438" s="44"/>
      <c r="E438" s="44"/>
      <c r="F438" s="44"/>
      <c r="G438" s="44"/>
      <c r="H438" s="46" t="str">
        <f aca="false">IF($A438="","",IF(OR(NOT(ISNUMBER(E438)),NOT(ISNUMBER(F438))),"",MAX(0,E438)*F438))</f>
        <v/>
      </c>
      <c r="I438" s="46" t="str">
        <f aca="false">IF($A438="","",SUMIF($A$2:$A$5001,$A438,$H$2:$H$5001))</f>
        <v/>
      </c>
      <c r="J438" s="47" t="n">
        <f aca="false">IF($A438="",0,IF(COUNTIF($A$2:A438,$A438)=1,1,0))</f>
        <v>0</v>
      </c>
      <c r="K438" s="47" t="n">
        <f aca="false">IF(J438=1,N(I438)+ROW()/10000000,0)</f>
        <v>0</v>
      </c>
      <c r="L438" s="47" t="str">
        <f aca="false">IF(AND(J438=1,N(I438)&gt;0),SUMIF($K$2:$K$5001,"&gt;="&amp;K438,$I$2:$I$5001)/MAX(1,SUM($H$2:$H$5001)),"")</f>
        <v/>
      </c>
      <c r="M438" s="47" t="str">
        <f aca="false">IF($A438="","",INDEX($L$2:$L$5001,MATCH($A438,$A$2:$A$5001,0)))</f>
        <v/>
      </c>
      <c r="N438" s="48" t="str">
        <f aca="false">IF($A438="","",IF(N(M438)=0,"–",IF(M438&lt;=Start!$D$20,"A",IF(M438&lt;=Start!$D$21,"B","C"))))</f>
        <v/>
      </c>
      <c r="O438" s="48" t="str">
        <f aca="false">IF($A438="","",IF(NOT(ISNUMBER(F438)),"Wert fehlt; ",IF(F438&lt;=0,"Wert ist 0; ",""))&amp;IF(NOT(ISNUMBER(E438)),"Bestand fehlt; ",IF(E438&lt;0,"Bestand negativ; ",IF(E438=0,"Nullbestand; ","")))&amp;IF(D438="","Warengruppe fehlt; ","")&amp;IF(B438="","Bezeichnung fehlt; ","")&amp;IF(COUNTIFS($A$2:$A$5001,$A438,$C$2:$C$5001,C438)&gt;1,"Artikel doppelt im selben Lager; ",""))</f>
        <v/>
      </c>
      <c r="P438" s="47" t="n">
        <f aca="false">IF(OR($A438="",D438=""),0,IF(COUNTIF($D$2:D438,D438)=1,SUMIF($D$2:$D$5001,D438,$H$2:$H$5001)+ROW()/10000000,0))</f>
        <v>0</v>
      </c>
      <c r="Q438" s="47" t="n">
        <f aca="false">IF(OR($A438="",C438=""),0,IF(COUNTIF($C$2:C438,C438)=1,SUMIF($C$2:$C$5001,C438,$H$2:$H$5001)+ROW()/10000000,0))</f>
        <v>0</v>
      </c>
    </row>
    <row r="439" customFormat="false" ht="15" hidden="false" customHeight="false" outlineLevel="0" collapsed="false">
      <c r="A439" s="43"/>
      <c r="B439" s="44"/>
      <c r="C439" s="44"/>
      <c r="D439" s="44"/>
      <c r="E439" s="44"/>
      <c r="F439" s="44"/>
      <c r="G439" s="44"/>
      <c r="H439" s="46" t="str">
        <f aca="false">IF($A439="","",IF(OR(NOT(ISNUMBER(E439)),NOT(ISNUMBER(F439))),"",MAX(0,E439)*F439))</f>
        <v/>
      </c>
      <c r="I439" s="46" t="str">
        <f aca="false">IF($A439="","",SUMIF($A$2:$A$5001,$A439,$H$2:$H$5001))</f>
        <v/>
      </c>
      <c r="J439" s="47" t="n">
        <f aca="false">IF($A439="",0,IF(COUNTIF($A$2:A439,$A439)=1,1,0))</f>
        <v>0</v>
      </c>
      <c r="K439" s="47" t="n">
        <f aca="false">IF(J439=1,N(I439)+ROW()/10000000,0)</f>
        <v>0</v>
      </c>
      <c r="L439" s="47" t="str">
        <f aca="false">IF(AND(J439=1,N(I439)&gt;0),SUMIF($K$2:$K$5001,"&gt;="&amp;K439,$I$2:$I$5001)/MAX(1,SUM($H$2:$H$5001)),"")</f>
        <v/>
      </c>
      <c r="M439" s="47" t="str">
        <f aca="false">IF($A439="","",INDEX($L$2:$L$5001,MATCH($A439,$A$2:$A$5001,0)))</f>
        <v/>
      </c>
      <c r="N439" s="48" t="str">
        <f aca="false">IF($A439="","",IF(N(M439)=0,"–",IF(M439&lt;=Start!$D$20,"A",IF(M439&lt;=Start!$D$21,"B","C"))))</f>
        <v/>
      </c>
      <c r="O439" s="48" t="str">
        <f aca="false">IF($A439="","",IF(NOT(ISNUMBER(F439)),"Wert fehlt; ",IF(F439&lt;=0,"Wert ist 0; ",""))&amp;IF(NOT(ISNUMBER(E439)),"Bestand fehlt; ",IF(E439&lt;0,"Bestand negativ; ",IF(E439=0,"Nullbestand; ","")))&amp;IF(D439="","Warengruppe fehlt; ","")&amp;IF(B439="","Bezeichnung fehlt; ","")&amp;IF(COUNTIFS($A$2:$A$5001,$A439,$C$2:$C$5001,C439)&gt;1,"Artikel doppelt im selben Lager; ",""))</f>
        <v/>
      </c>
      <c r="P439" s="47" t="n">
        <f aca="false">IF(OR($A439="",D439=""),0,IF(COUNTIF($D$2:D439,D439)=1,SUMIF($D$2:$D$5001,D439,$H$2:$H$5001)+ROW()/10000000,0))</f>
        <v>0</v>
      </c>
      <c r="Q439" s="47" t="n">
        <f aca="false">IF(OR($A439="",C439=""),0,IF(COUNTIF($C$2:C439,C439)=1,SUMIF($C$2:$C$5001,C439,$H$2:$H$5001)+ROW()/10000000,0))</f>
        <v>0</v>
      </c>
    </row>
    <row r="440" customFormat="false" ht="15" hidden="false" customHeight="false" outlineLevel="0" collapsed="false">
      <c r="A440" s="43"/>
      <c r="B440" s="44"/>
      <c r="C440" s="44"/>
      <c r="D440" s="44"/>
      <c r="E440" s="44"/>
      <c r="F440" s="44"/>
      <c r="G440" s="44"/>
      <c r="H440" s="46" t="str">
        <f aca="false">IF($A440="","",IF(OR(NOT(ISNUMBER(E440)),NOT(ISNUMBER(F440))),"",MAX(0,E440)*F440))</f>
        <v/>
      </c>
      <c r="I440" s="46" t="str">
        <f aca="false">IF($A440="","",SUMIF($A$2:$A$5001,$A440,$H$2:$H$5001))</f>
        <v/>
      </c>
      <c r="J440" s="47" t="n">
        <f aca="false">IF($A440="",0,IF(COUNTIF($A$2:A440,$A440)=1,1,0))</f>
        <v>0</v>
      </c>
      <c r="K440" s="47" t="n">
        <f aca="false">IF(J440=1,N(I440)+ROW()/10000000,0)</f>
        <v>0</v>
      </c>
      <c r="L440" s="47" t="str">
        <f aca="false">IF(AND(J440=1,N(I440)&gt;0),SUMIF($K$2:$K$5001,"&gt;="&amp;K440,$I$2:$I$5001)/MAX(1,SUM($H$2:$H$5001)),"")</f>
        <v/>
      </c>
      <c r="M440" s="47" t="str">
        <f aca="false">IF($A440="","",INDEX($L$2:$L$5001,MATCH($A440,$A$2:$A$5001,0)))</f>
        <v/>
      </c>
      <c r="N440" s="48" t="str">
        <f aca="false">IF($A440="","",IF(N(M440)=0,"–",IF(M440&lt;=Start!$D$20,"A",IF(M440&lt;=Start!$D$21,"B","C"))))</f>
        <v/>
      </c>
      <c r="O440" s="48" t="str">
        <f aca="false">IF($A440="","",IF(NOT(ISNUMBER(F440)),"Wert fehlt; ",IF(F440&lt;=0,"Wert ist 0; ",""))&amp;IF(NOT(ISNUMBER(E440)),"Bestand fehlt; ",IF(E440&lt;0,"Bestand negativ; ",IF(E440=0,"Nullbestand; ","")))&amp;IF(D440="","Warengruppe fehlt; ","")&amp;IF(B440="","Bezeichnung fehlt; ","")&amp;IF(COUNTIFS($A$2:$A$5001,$A440,$C$2:$C$5001,C440)&gt;1,"Artikel doppelt im selben Lager; ",""))</f>
        <v/>
      </c>
      <c r="P440" s="47" t="n">
        <f aca="false">IF(OR($A440="",D440=""),0,IF(COUNTIF($D$2:D440,D440)=1,SUMIF($D$2:$D$5001,D440,$H$2:$H$5001)+ROW()/10000000,0))</f>
        <v>0</v>
      </c>
      <c r="Q440" s="47" t="n">
        <f aca="false">IF(OR($A440="",C440=""),0,IF(COUNTIF($C$2:C440,C440)=1,SUMIF($C$2:$C$5001,C440,$H$2:$H$5001)+ROW()/10000000,0))</f>
        <v>0</v>
      </c>
    </row>
    <row r="441" customFormat="false" ht="15" hidden="false" customHeight="false" outlineLevel="0" collapsed="false">
      <c r="A441" s="43"/>
      <c r="B441" s="44"/>
      <c r="C441" s="44"/>
      <c r="D441" s="44"/>
      <c r="E441" s="44"/>
      <c r="F441" s="44"/>
      <c r="G441" s="44"/>
      <c r="H441" s="46" t="str">
        <f aca="false">IF($A441="","",IF(OR(NOT(ISNUMBER(E441)),NOT(ISNUMBER(F441))),"",MAX(0,E441)*F441))</f>
        <v/>
      </c>
      <c r="I441" s="46" t="str">
        <f aca="false">IF($A441="","",SUMIF($A$2:$A$5001,$A441,$H$2:$H$5001))</f>
        <v/>
      </c>
      <c r="J441" s="47" t="n">
        <f aca="false">IF($A441="",0,IF(COUNTIF($A$2:A441,$A441)=1,1,0))</f>
        <v>0</v>
      </c>
      <c r="K441" s="47" t="n">
        <f aca="false">IF(J441=1,N(I441)+ROW()/10000000,0)</f>
        <v>0</v>
      </c>
      <c r="L441" s="47" t="str">
        <f aca="false">IF(AND(J441=1,N(I441)&gt;0),SUMIF($K$2:$K$5001,"&gt;="&amp;K441,$I$2:$I$5001)/MAX(1,SUM($H$2:$H$5001)),"")</f>
        <v/>
      </c>
      <c r="M441" s="47" t="str">
        <f aca="false">IF($A441="","",INDEX($L$2:$L$5001,MATCH($A441,$A$2:$A$5001,0)))</f>
        <v/>
      </c>
      <c r="N441" s="48" t="str">
        <f aca="false">IF($A441="","",IF(N(M441)=0,"–",IF(M441&lt;=Start!$D$20,"A",IF(M441&lt;=Start!$D$21,"B","C"))))</f>
        <v/>
      </c>
      <c r="O441" s="48" t="str">
        <f aca="false">IF($A441="","",IF(NOT(ISNUMBER(F441)),"Wert fehlt; ",IF(F441&lt;=0,"Wert ist 0; ",""))&amp;IF(NOT(ISNUMBER(E441)),"Bestand fehlt; ",IF(E441&lt;0,"Bestand negativ; ",IF(E441=0,"Nullbestand; ","")))&amp;IF(D441="","Warengruppe fehlt; ","")&amp;IF(B441="","Bezeichnung fehlt; ","")&amp;IF(COUNTIFS($A$2:$A$5001,$A441,$C$2:$C$5001,C441)&gt;1,"Artikel doppelt im selben Lager; ",""))</f>
        <v/>
      </c>
      <c r="P441" s="47" t="n">
        <f aca="false">IF(OR($A441="",D441=""),0,IF(COUNTIF($D$2:D441,D441)=1,SUMIF($D$2:$D$5001,D441,$H$2:$H$5001)+ROW()/10000000,0))</f>
        <v>0</v>
      </c>
      <c r="Q441" s="47" t="n">
        <f aca="false">IF(OR($A441="",C441=""),0,IF(COUNTIF($C$2:C441,C441)=1,SUMIF($C$2:$C$5001,C441,$H$2:$H$5001)+ROW()/10000000,0))</f>
        <v>0</v>
      </c>
    </row>
    <row r="442" customFormat="false" ht="15" hidden="false" customHeight="false" outlineLevel="0" collapsed="false">
      <c r="A442" s="43"/>
      <c r="B442" s="44"/>
      <c r="C442" s="44"/>
      <c r="D442" s="44"/>
      <c r="E442" s="44"/>
      <c r="F442" s="44"/>
      <c r="G442" s="44"/>
      <c r="H442" s="46" t="str">
        <f aca="false">IF($A442="","",IF(OR(NOT(ISNUMBER(E442)),NOT(ISNUMBER(F442))),"",MAX(0,E442)*F442))</f>
        <v/>
      </c>
      <c r="I442" s="46" t="str">
        <f aca="false">IF($A442="","",SUMIF($A$2:$A$5001,$A442,$H$2:$H$5001))</f>
        <v/>
      </c>
      <c r="J442" s="47" t="n">
        <f aca="false">IF($A442="",0,IF(COUNTIF($A$2:A442,$A442)=1,1,0))</f>
        <v>0</v>
      </c>
      <c r="K442" s="47" t="n">
        <f aca="false">IF(J442=1,N(I442)+ROW()/10000000,0)</f>
        <v>0</v>
      </c>
      <c r="L442" s="47" t="str">
        <f aca="false">IF(AND(J442=1,N(I442)&gt;0),SUMIF($K$2:$K$5001,"&gt;="&amp;K442,$I$2:$I$5001)/MAX(1,SUM($H$2:$H$5001)),"")</f>
        <v/>
      </c>
      <c r="M442" s="47" t="str">
        <f aca="false">IF($A442="","",INDEX($L$2:$L$5001,MATCH($A442,$A$2:$A$5001,0)))</f>
        <v/>
      </c>
      <c r="N442" s="48" t="str">
        <f aca="false">IF($A442="","",IF(N(M442)=0,"–",IF(M442&lt;=Start!$D$20,"A",IF(M442&lt;=Start!$D$21,"B","C"))))</f>
        <v/>
      </c>
      <c r="O442" s="48" t="str">
        <f aca="false">IF($A442="","",IF(NOT(ISNUMBER(F442)),"Wert fehlt; ",IF(F442&lt;=0,"Wert ist 0; ",""))&amp;IF(NOT(ISNUMBER(E442)),"Bestand fehlt; ",IF(E442&lt;0,"Bestand negativ; ",IF(E442=0,"Nullbestand; ","")))&amp;IF(D442="","Warengruppe fehlt; ","")&amp;IF(B442="","Bezeichnung fehlt; ","")&amp;IF(COUNTIFS($A$2:$A$5001,$A442,$C$2:$C$5001,C442)&gt;1,"Artikel doppelt im selben Lager; ",""))</f>
        <v/>
      </c>
      <c r="P442" s="47" t="n">
        <f aca="false">IF(OR($A442="",D442=""),0,IF(COUNTIF($D$2:D442,D442)=1,SUMIF($D$2:$D$5001,D442,$H$2:$H$5001)+ROW()/10000000,0))</f>
        <v>0</v>
      </c>
      <c r="Q442" s="47" t="n">
        <f aca="false">IF(OR($A442="",C442=""),0,IF(COUNTIF($C$2:C442,C442)=1,SUMIF($C$2:$C$5001,C442,$H$2:$H$5001)+ROW()/10000000,0))</f>
        <v>0</v>
      </c>
    </row>
    <row r="443" customFormat="false" ht="15" hidden="false" customHeight="false" outlineLevel="0" collapsed="false">
      <c r="A443" s="43"/>
      <c r="B443" s="44"/>
      <c r="C443" s="44"/>
      <c r="D443" s="44"/>
      <c r="E443" s="44"/>
      <c r="F443" s="44"/>
      <c r="G443" s="44"/>
      <c r="H443" s="46" t="str">
        <f aca="false">IF($A443="","",IF(OR(NOT(ISNUMBER(E443)),NOT(ISNUMBER(F443))),"",MAX(0,E443)*F443))</f>
        <v/>
      </c>
      <c r="I443" s="46" t="str">
        <f aca="false">IF($A443="","",SUMIF($A$2:$A$5001,$A443,$H$2:$H$5001))</f>
        <v/>
      </c>
      <c r="J443" s="47" t="n">
        <f aca="false">IF($A443="",0,IF(COUNTIF($A$2:A443,$A443)=1,1,0))</f>
        <v>0</v>
      </c>
      <c r="K443" s="47" t="n">
        <f aca="false">IF(J443=1,N(I443)+ROW()/10000000,0)</f>
        <v>0</v>
      </c>
      <c r="L443" s="47" t="str">
        <f aca="false">IF(AND(J443=1,N(I443)&gt;0),SUMIF($K$2:$K$5001,"&gt;="&amp;K443,$I$2:$I$5001)/MAX(1,SUM($H$2:$H$5001)),"")</f>
        <v/>
      </c>
      <c r="M443" s="47" t="str">
        <f aca="false">IF($A443="","",INDEX($L$2:$L$5001,MATCH($A443,$A$2:$A$5001,0)))</f>
        <v/>
      </c>
      <c r="N443" s="48" t="str">
        <f aca="false">IF($A443="","",IF(N(M443)=0,"–",IF(M443&lt;=Start!$D$20,"A",IF(M443&lt;=Start!$D$21,"B","C"))))</f>
        <v/>
      </c>
      <c r="O443" s="48" t="str">
        <f aca="false">IF($A443="","",IF(NOT(ISNUMBER(F443)),"Wert fehlt; ",IF(F443&lt;=0,"Wert ist 0; ",""))&amp;IF(NOT(ISNUMBER(E443)),"Bestand fehlt; ",IF(E443&lt;0,"Bestand negativ; ",IF(E443=0,"Nullbestand; ","")))&amp;IF(D443="","Warengruppe fehlt; ","")&amp;IF(B443="","Bezeichnung fehlt; ","")&amp;IF(COUNTIFS($A$2:$A$5001,$A443,$C$2:$C$5001,C443)&gt;1,"Artikel doppelt im selben Lager; ",""))</f>
        <v/>
      </c>
      <c r="P443" s="47" t="n">
        <f aca="false">IF(OR($A443="",D443=""),0,IF(COUNTIF($D$2:D443,D443)=1,SUMIF($D$2:$D$5001,D443,$H$2:$H$5001)+ROW()/10000000,0))</f>
        <v>0</v>
      </c>
      <c r="Q443" s="47" t="n">
        <f aca="false">IF(OR($A443="",C443=""),0,IF(COUNTIF($C$2:C443,C443)=1,SUMIF($C$2:$C$5001,C443,$H$2:$H$5001)+ROW()/10000000,0))</f>
        <v>0</v>
      </c>
    </row>
    <row r="444" customFormat="false" ht="15" hidden="false" customHeight="false" outlineLevel="0" collapsed="false">
      <c r="A444" s="43"/>
      <c r="B444" s="44"/>
      <c r="C444" s="44"/>
      <c r="D444" s="44"/>
      <c r="E444" s="44"/>
      <c r="F444" s="44"/>
      <c r="G444" s="44"/>
      <c r="H444" s="46" t="str">
        <f aca="false">IF($A444="","",IF(OR(NOT(ISNUMBER(E444)),NOT(ISNUMBER(F444))),"",MAX(0,E444)*F444))</f>
        <v/>
      </c>
      <c r="I444" s="46" t="str">
        <f aca="false">IF($A444="","",SUMIF($A$2:$A$5001,$A444,$H$2:$H$5001))</f>
        <v/>
      </c>
      <c r="J444" s="47" t="n">
        <f aca="false">IF($A444="",0,IF(COUNTIF($A$2:A444,$A444)=1,1,0))</f>
        <v>0</v>
      </c>
      <c r="K444" s="47" t="n">
        <f aca="false">IF(J444=1,N(I444)+ROW()/10000000,0)</f>
        <v>0</v>
      </c>
      <c r="L444" s="47" t="str">
        <f aca="false">IF(AND(J444=1,N(I444)&gt;0),SUMIF($K$2:$K$5001,"&gt;="&amp;K444,$I$2:$I$5001)/MAX(1,SUM($H$2:$H$5001)),"")</f>
        <v/>
      </c>
      <c r="M444" s="47" t="str">
        <f aca="false">IF($A444="","",INDEX($L$2:$L$5001,MATCH($A444,$A$2:$A$5001,0)))</f>
        <v/>
      </c>
      <c r="N444" s="48" t="str">
        <f aca="false">IF($A444="","",IF(N(M444)=0,"–",IF(M444&lt;=Start!$D$20,"A",IF(M444&lt;=Start!$D$21,"B","C"))))</f>
        <v/>
      </c>
      <c r="O444" s="48" t="str">
        <f aca="false">IF($A444="","",IF(NOT(ISNUMBER(F444)),"Wert fehlt; ",IF(F444&lt;=0,"Wert ist 0; ",""))&amp;IF(NOT(ISNUMBER(E444)),"Bestand fehlt; ",IF(E444&lt;0,"Bestand negativ; ",IF(E444=0,"Nullbestand; ","")))&amp;IF(D444="","Warengruppe fehlt; ","")&amp;IF(B444="","Bezeichnung fehlt; ","")&amp;IF(COUNTIFS($A$2:$A$5001,$A444,$C$2:$C$5001,C444)&gt;1,"Artikel doppelt im selben Lager; ",""))</f>
        <v/>
      </c>
      <c r="P444" s="47" t="n">
        <f aca="false">IF(OR($A444="",D444=""),0,IF(COUNTIF($D$2:D444,D444)=1,SUMIF($D$2:$D$5001,D444,$H$2:$H$5001)+ROW()/10000000,0))</f>
        <v>0</v>
      </c>
      <c r="Q444" s="47" t="n">
        <f aca="false">IF(OR($A444="",C444=""),0,IF(COUNTIF($C$2:C444,C444)=1,SUMIF($C$2:$C$5001,C444,$H$2:$H$5001)+ROW()/10000000,0))</f>
        <v>0</v>
      </c>
    </row>
    <row r="445" customFormat="false" ht="15" hidden="false" customHeight="false" outlineLevel="0" collapsed="false">
      <c r="A445" s="43"/>
      <c r="B445" s="44"/>
      <c r="C445" s="44"/>
      <c r="D445" s="44"/>
      <c r="E445" s="44"/>
      <c r="F445" s="44"/>
      <c r="G445" s="44"/>
      <c r="H445" s="46" t="str">
        <f aca="false">IF($A445="","",IF(OR(NOT(ISNUMBER(E445)),NOT(ISNUMBER(F445))),"",MAX(0,E445)*F445))</f>
        <v/>
      </c>
      <c r="I445" s="46" t="str">
        <f aca="false">IF($A445="","",SUMIF($A$2:$A$5001,$A445,$H$2:$H$5001))</f>
        <v/>
      </c>
      <c r="J445" s="47" t="n">
        <f aca="false">IF($A445="",0,IF(COUNTIF($A$2:A445,$A445)=1,1,0))</f>
        <v>0</v>
      </c>
      <c r="K445" s="47" t="n">
        <f aca="false">IF(J445=1,N(I445)+ROW()/10000000,0)</f>
        <v>0</v>
      </c>
      <c r="L445" s="47" t="str">
        <f aca="false">IF(AND(J445=1,N(I445)&gt;0),SUMIF($K$2:$K$5001,"&gt;="&amp;K445,$I$2:$I$5001)/MAX(1,SUM($H$2:$H$5001)),"")</f>
        <v/>
      </c>
      <c r="M445" s="47" t="str">
        <f aca="false">IF($A445="","",INDEX($L$2:$L$5001,MATCH($A445,$A$2:$A$5001,0)))</f>
        <v/>
      </c>
      <c r="N445" s="48" t="str">
        <f aca="false">IF($A445="","",IF(N(M445)=0,"–",IF(M445&lt;=Start!$D$20,"A",IF(M445&lt;=Start!$D$21,"B","C"))))</f>
        <v/>
      </c>
      <c r="O445" s="48" t="str">
        <f aca="false">IF($A445="","",IF(NOT(ISNUMBER(F445)),"Wert fehlt; ",IF(F445&lt;=0,"Wert ist 0; ",""))&amp;IF(NOT(ISNUMBER(E445)),"Bestand fehlt; ",IF(E445&lt;0,"Bestand negativ; ",IF(E445=0,"Nullbestand; ","")))&amp;IF(D445="","Warengruppe fehlt; ","")&amp;IF(B445="","Bezeichnung fehlt; ","")&amp;IF(COUNTIFS($A$2:$A$5001,$A445,$C$2:$C$5001,C445)&gt;1,"Artikel doppelt im selben Lager; ",""))</f>
        <v/>
      </c>
      <c r="P445" s="47" t="n">
        <f aca="false">IF(OR($A445="",D445=""),0,IF(COUNTIF($D$2:D445,D445)=1,SUMIF($D$2:$D$5001,D445,$H$2:$H$5001)+ROW()/10000000,0))</f>
        <v>0</v>
      </c>
      <c r="Q445" s="47" t="n">
        <f aca="false">IF(OR($A445="",C445=""),0,IF(COUNTIF($C$2:C445,C445)=1,SUMIF($C$2:$C$5001,C445,$H$2:$H$5001)+ROW()/10000000,0))</f>
        <v>0</v>
      </c>
    </row>
    <row r="446" customFormat="false" ht="15" hidden="false" customHeight="false" outlineLevel="0" collapsed="false">
      <c r="A446" s="43"/>
      <c r="B446" s="44"/>
      <c r="C446" s="44"/>
      <c r="D446" s="44"/>
      <c r="E446" s="44"/>
      <c r="F446" s="44"/>
      <c r="G446" s="44"/>
      <c r="H446" s="46" t="str">
        <f aca="false">IF($A446="","",IF(OR(NOT(ISNUMBER(E446)),NOT(ISNUMBER(F446))),"",MAX(0,E446)*F446))</f>
        <v/>
      </c>
      <c r="I446" s="46" t="str">
        <f aca="false">IF($A446="","",SUMIF($A$2:$A$5001,$A446,$H$2:$H$5001))</f>
        <v/>
      </c>
      <c r="J446" s="47" t="n">
        <f aca="false">IF($A446="",0,IF(COUNTIF($A$2:A446,$A446)=1,1,0))</f>
        <v>0</v>
      </c>
      <c r="K446" s="47" t="n">
        <f aca="false">IF(J446=1,N(I446)+ROW()/10000000,0)</f>
        <v>0</v>
      </c>
      <c r="L446" s="47" t="str">
        <f aca="false">IF(AND(J446=1,N(I446)&gt;0),SUMIF($K$2:$K$5001,"&gt;="&amp;K446,$I$2:$I$5001)/MAX(1,SUM($H$2:$H$5001)),"")</f>
        <v/>
      </c>
      <c r="M446" s="47" t="str">
        <f aca="false">IF($A446="","",INDEX($L$2:$L$5001,MATCH($A446,$A$2:$A$5001,0)))</f>
        <v/>
      </c>
      <c r="N446" s="48" t="str">
        <f aca="false">IF($A446="","",IF(N(M446)=0,"–",IF(M446&lt;=Start!$D$20,"A",IF(M446&lt;=Start!$D$21,"B","C"))))</f>
        <v/>
      </c>
      <c r="O446" s="48" t="str">
        <f aca="false">IF($A446="","",IF(NOT(ISNUMBER(F446)),"Wert fehlt; ",IF(F446&lt;=0,"Wert ist 0; ",""))&amp;IF(NOT(ISNUMBER(E446)),"Bestand fehlt; ",IF(E446&lt;0,"Bestand negativ; ",IF(E446=0,"Nullbestand; ","")))&amp;IF(D446="","Warengruppe fehlt; ","")&amp;IF(B446="","Bezeichnung fehlt; ","")&amp;IF(COUNTIFS($A$2:$A$5001,$A446,$C$2:$C$5001,C446)&gt;1,"Artikel doppelt im selben Lager; ",""))</f>
        <v/>
      </c>
      <c r="P446" s="47" t="n">
        <f aca="false">IF(OR($A446="",D446=""),0,IF(COUNTIF($D$2:D446,D446)=1,SUMIF($D$2:$D$5001,D446,$H$2:$H$5001)+ROW()/10000000,0))</f>
        <v>0</v>
      </c>
      <c r="Q446" s="47" t="n">
        <f aca="false">IF(OR($A446="",C446=""),0,IF(COUNTIF($C$2:C446,C446)=1,SUMIF($C$2:$C$5001,C446,$H$2:$H$5001)+ROW()/10000000,0))</f>
        <v>0</v>
      </c>
    </row>
    <row r="447" customFormat="false" ht="15" hidden="false" customHeight="false" outlineLevel="0" collapsed="false">
      <c r="A447" s="43"/>
      <c r="B447" s="44"/>
      <c r="C447" s="44"/>
      <c r="D447" s="44"/>
      <c r="E447" s="44"/>
      <c r="F447" s="44"/>
      <c r="G447" s="44"/>
      <c r="H447" s="46" t="str">
        <f aca="false">IF($A447="","",IF(OR(NOT(ISNUMBER(E447)),NOT(ISNUMBER(F447))),"",MAX(0,E447)*F447))</f>
        <v/>
      </c>
      <c r="I447" s="46" t="str">
        <f aca="false">IF($A447="","",SUMIF($A$2:$A$5001,$A447,$H$2:$H$5001))</f>
        <v/>
      </c>
      <c r="J447" s="47" t="n">
        <f aca="false">IF($A447="",0,IF(COUNTIF($A$2:A447,$A447)=1,1,0))</f>
        <v>0</v>
      </c>
      <c r="K447" s="47" t="n">
        <f aca="false">IF(J447=1,N(I447)+ROW()/10000000,0)</f>
        <v>0</v>
      </c>
      <c r="L447" s="47" t="str">
        <f aca="false">IF(AND(J447=1,N(I447)&gt;0),SUMIF($K$2:$K$5001,"&gt;="&amp;K447,$I$2:$I$5001)/MAX(1,SUM($H$2:$H$5001)),"")</f>
        <v/>
      </c>
      <c r="M447" s="47" t="str">
        <f aca="false">IF($A447="","",INDEX($L$2:$L$5001,MATCH($A447,$A$2:$A$5001,0)))</f>
        <v/>
      </c>
      <c r="N447" s="48" t="str">
        <f aca="false">IF($A447="","",IF(N(M447)=0,"–",IF(M447&lt;=Start!$D$20,"A",IF(M447&lt;=Start!$D$21,"B","C"))))</f>
        <v/>
      </c>
      <c r="O447" s="48" t="str">
        <f aca="false">IF($A447="","",IF(NOT(ISNUMBER(F447)),"Wert fehlt; ",IF(F447&lt;=0,"Wert ist 0; ",""))&amp;IF(NOT(ISNUMBER(E447)),"Bestand fehlt; ",IF(E447&lt;0,"Bestand negativ; ",IF(E447=0,"Nullbestand; ","")))&amp;IF(D447="","Warengruppe fehlt; ","")&amp;IF(B447="","Bezeichnung fehlt; ","")&amp;IF(COUNTIFS($A$2:$A$5001,$A447,$C$2:$C$5001,C447)&gt;1,"Artikel doppelt im selben Lager; ",""))</f>
        <v/>
      </c>
      <c r="P447" s="47" t="n">
        <f aca="false">IF(OR($A447="",D447=""),0,IF(COUNTIF($D$2:D447,D447)=1,SUMIF($D$2:$D$5001,D447,$H$2:$H$5001)+ROW()/10000000,0))</f>
        <v>0</v>
      </c>
      <c r="Q447" s="47" t="n">
        <f aca="false">IF(OR($A447="",C447=""),0,IF(COUNTIF($C$2:C447,C447)=1,SUMIF($C$2:$C$5001,C447,$H$2:$H$5001)+ROW()/10000000,0))</f>
        <v>0</v>
      </c>
    </row>
    <row r="448" customFormat="false" ht="15" hidden="false" customHeight="false" outlineLevel="0" collapsed="false">
      <c r="A448" s="43"/>
      <c r="B448" s="44"/>
      <c r="C448" s="44"/>
      <c r="D448" s="44"/>
      <c r="E448" s="44"/>
      <c r="F448" s="44"/>
      <c r="G448" s="44"/>
      <c r="H448" s="46" t="str">
        <f aca="false">IF($A448="","",IF(OR(NOT(ISNUMBER(E448)),NOT(ISNUMBER(F448))),"",MAX(0,E448)*F448))</f>
        <v/>
      </c>
      <c r="I448" s="46" t="str">
        <f aca="false">IF($A448="","",SUMIF($A$2:$A$5001,$A448,$H$2:$H$5001))</f>
        <v/>
      </c>
      <c r="J448" s="47" t="n">
        <f aca="false">IF($A448="",0,IF(COUNTIF($A$2:A448,$A448)=1,1,0))</f>
        <v>0</v>
      </c>
      <c r="K448" s="47" t="n">
        <f aca="false">IF(J448=1,N(I448)+ROW()/10000000,0)</f>
        <v>0</v>
      </c>
      <c r="L448" s="47" t="str">
        <f aca="false">IF(AND(J448=1,N(I448)&gt;0),SUMIF($K$2:$K$5001,"&gt;="&amp;K448,$I$2:$I$5001)/MAX(1,SUM($H$2:$H$5001)),"")</f>
        <v/>
      </c>
      <c r="M448" s="47" t="str">
        <f aca="false">IF($A448="","",INDEX($L$2:$L$5001,MATCH($A448,$A$2:$A$5001,0)))</f>
        <v/>
      </c>
      <c r="N448" s="48" t="str">
        <f aca="false">IF($A448="","",IF(N(M448)=0,"–",IF(M448&lt;=Start!$D$20,"A",IF(M448&lt;=Start!$D$21,"B","C"))))</f>
        <v/>
      </c>
      <c r="O448" s="48" t="str">
        <f aca="false">IF($A448="","",IF(NOT(ISNUMBER(F448)),"Wert fehlt; ",IF(F448&lt;=0,"Wert ist 0; ",""))&amp;IF(NOT(ISNUMBER(E448)),"Bestand fehlt; ",IF(E448&lt;0,"Bestand negativ; ",IF(E448=0,"Nullbestand; ","")))&amp;IF(D448="","Warengruppe fehlt; ","")&amp;IF(B448="","Bezeichnung fehlt; ","")&amp;IF(COUNTIFS($A$2:$A$5001,$A448,$C$2:$C$5001,C448)&gt;1,"Artikel doppelt im selben Lager; ",""))</f>
        <v/>
      </c>
      <c r="P448" s="47" t="n">
        <f aca="false">IF(OR($A448="",D448=""),0,IF(COUNTIF($D$2:D448,D448)=1,SUMIF($D$2:$D$5001,D448,$H$2:$H$5001)+ROW()/10000000,0))</f>
        <v>0</v>
      </c>
      <c r="Q448" s="47" t="n">
        <f aca="false">IF(OR($A448="",C448=""),0,IF(COUNTIF($C$2:C448,C448)=1,SUMIF($C$2:$C$5001,C448,$H$2:$H$5001)+ROW()/10000000,0))</f>
        <v>0</v>
      </c>
    </row>
    <row r="449" customFormat="false" ht="15" hidden="false" customHeight="false" outlineLevel="0" collapsed="false">
      <c r="A449" s="43"/>
      <c r="B449" s="44"/>
      <c r="C449" s="44"/>
      <c r="D449" s="44"/>
      <c r="E449" s="44"/>
      <c r="F449" s="44"/>
      <c r="G449" s="44"/>
      <c r="H449" s="46" t="str">
        <f aca="false">IF($A449="","",IF(OR(NOT(ISNUMBER(E449)),NOT(ISNUMBER(F449))),"",MAX(0,E449)*F449))</f>
        <v/>
      </c>
      <c r="I449" s="46" t="str">
        <f aca="false">IF($A449="","",SUMIF($A$2:$A$5001,$A449,$H$2:$H$5001))</f>
        <v/>
      </c>
      <c r="J449" s="47" t="n">
        <f aca="false">IF($A449="",0,IF(COUNTIF($A$2:A449,$A449)=1,1,0))</f>
        <v>0</v>
      </c>
      <c r="K449" s="47" t="n">
        <f aca="false">IF(J449=1,N(I449)+ROW()/10000000,0)</f>
        <v>0</v>
      </c>
      <c r="L449" s="47" t="str">
        <f aca="false">IF(AND(J449=1,N(I449)&gt;0),SUMIF($K$2:$K$5001,"&gt;="&amp;K449,$I$2:$I$5001)/MAX(1,SUM($H$2:$H$5001)),"")</f>
        <v/>
      </c>
      <c r="M449" s="47" t="str">
        <f aca="false">IF($A449="","",INDEX($L$2:$L$5001,MATCH($A449,$A$2:$A$5001,0)))</f>
        <v/>
      </c>
      <c r="N449" s="48" t="str">
        <f aca="false">IF($A449="","",IF(N(M449)=0,"–",IF(M449&lt;=Start!$D$20,"A",IF(M449&lt;=Start!$D$21,"B","C"))))</f>
        <v/>
      </c>
      <c r="O449" s="48" t="str">
        <f aca="false">IF($A449="","",IF(NOT(ISNUMBER(F449)),"Wert fehlt; ",IF(F449&lt;=0,"Wert ist 0; ",""))&amp;IF(NOT(ISNUMBER(E449)),"Bestand fehlt; ",IF(E449&lt;0,"Bestand negativ; ",IF(E449=0,"Nullbestand; ","")))&amp;IF(D449="","Warengruppe fehlt; ","")&amp;IF(B449="","Bezeichnung fehlt; ","")&amp;IF(COUNTIFS($A$2:$A$5001,$A449,$C$2:$C$5001,C449)&gt;1,"Artikel doppelt im selben Lager; ",""))</f>
        <v/>
      </c>
      <c r="P449" s="47" t="n">
        <f aca="false">IF(OR($A449="",D449=""),0,IF(COUNTIF($D$2:D449,D449)=1,SUMIF($D$2:$D$5001,D449,$H$2:$H$5001)+ROW()/10000000,0))</f>
        <v>0</v>
      </c>
      <c r="Q449" s="47" t="n">
        <f aca="false">IF(OR($A449="",C449=""),0,IF(COUNTIF($C$2:C449,C449)=1,SUMIF($C$2:$C$5001,C449,$H$2:$H$5001)+ROW()/10000000,0))</f>
        <v>0</v>
      </c>
    </row>
    <row r="450" customFormat="false" ht="15" hidden="false" customHeight="false" outlineLevel="0" collapsed="false">
      <c r="A450" s="43"/>
      <c r="B450" s="44"/>
      <c r="C450" s="44"/>
      <c r="D450" s="44"/>
      <c r="E450" s="44"/>
      <c r="F450" s="44"/>
      <c r="G450" s="44"/>
      <c r="H450" s="46" t="str">
        <f aca="false">IF($A450="","",IF(OR(NOT(ISNUMBER(E450)),NOT(ISNUMBER(F450))),"",MAX(0,E450)*F450))</f>
        <v/>
      </c>
      <c r="I450" s="46" t="str">
        <f aca="false">IF($A450="","",SUMIF($A$2:$A$5001,$A450,$H$2:$H$5001))</f>
        <v/>
      </c>
      <c r="J450" s="47" t="n">
        <f aca="false">IF($A450="",0,IF(COUNTIF($A$2:A450,$A450)=1,1,0))</f>
        <v>0</v>
      </c>
      <c r="K450" s="47" t="n">
        <f aca="false">IF(J450=1,N(I450)+ROW()/10000000,0)</f>
        <v>0</v>
      </c>
      <c r="L450" s="47" t="str">
        <f aca="false">IF(AND(J450=1,N(I450)&gt;0),SUMIF($K$2:$K$5001,"&gt;="&amp;K450,$I$2:$I$5001)/MAX(1,SUM($H$2:$H$5001)),"")</f>
        <v/>
      </c>
      <c r="M450" s="47" t="str">
        <f aca="false">IF($A450="","",INDEX($L$2:$L$5001,MATCH($A450,$A$2:$A$5001,0)))</f>
        <v/>
      </c>
      <c r="N450" s="48" t="str">
        <f aca="false">IF($A450="","",IF(N(M450)=0,"–",IF(M450&lt;=Start!$D$20,"A",IF(M450&lt;=Start!$D$21,"B","C"))))</f>
        <v/>
      </c>
      <c r="O450" s="48" t="str">
        <f aca="false">IF($A450="","",IF(NOT(ISNUMBER(F450)),"Wert fehlt; ",IF(F450&lt;=0,"Wert ist 0; ",""))&amp;IF(NOT(ISNUMBER(E450)),"Bestand fehlt; ",IF(E450&lt;0,"Bestand negativ; ",IF(E450=0,"Nullbestand; ","")))&amp;IF(D450="","Warengruppe fehlt; ","")&amp;IF(B450="","Bezeichnung fehlt; ","")&amp;IF(COUNTIFS($A$2:$A$5001,$A450,$C$2:$C$5001,C450)&gt;1,"Artikel doppelt im selben Lager; ",""))</f>
        <v/>
      </c>
      <c r="P450" s="47" t="n">
        <f aca="false">IF(OR($A450="",D450=""),0,IF(COUNTIF($D$2:D450,D450)=1,SUMIF($D$2:$D$5001,D450,$H$2:$H$5001)+ROW()/10000000,0))</f>
        <v>0</v>
      </c>
      <c r="Q450" s="47" t="n">
        <f aca="false">IF(OR($A450="",C450=""),0,IF(COUNTIF($C$2:C450,C450)=1,SUMIF($C$2:$C$5001,C450,$H$2:$H$5001)+ROW()/10000000,0))</f>
        <v>0</v>
      </c>
    </row>
    <row r="451" customFormat="false" ht="15" hidden="false" customHeight="false" outlineLevel="0" collapsed="false">
      <c r="A451" s="43"/>
      <c r="B451" s="44"/>
      <c r="C451" s="44"/>
      <c r="D451" s="44"/>
      <c r="E451" s="44"/>
      <c r="F451" s="44"/>
      <c r="G451" s="44"/>
      <c r="H451" s="46" t="str">
        <f aca="false">IF($A451="","",IF(OR(NOT(ISNUMBER(E451)),NOT(ISNUMBER(F451))),"",MAX(0,E451)*F451))</f>
        <v/>
      </c>
      <c r="I451" s="46" t="str">
        <f aca="false">IF($A451="","",SUMIF($A$2:$A$5001,$A451,$H$2:$H$5001))</f>
        <v/>
      </c>
      <c r="J451" s="47" t="n">
        <f aca="false">IF($A451="",0,IF(COUNTIF($A$2:A451,$A451)=1,1,0))</f>
        <v>0</v>
      </c>
      <c r="K451" s="47" t="n">
        <f aca="false">IF(J451=1,N(I451)+ROW()/10000000,0)</f>
        <v>0</v>
      </c>
      <c r="L451" s="47" t="str">
        <f aca="false">IF(AND(J451=1,N(I451)&gt;0),SUMIF($K$2:$K$5001,"&gt;="&amp;K451,$I$2:$I$5001)/MAX(1,SUM($H$2:$H$5001)),"")</f>
        <v/>
      </c>
      <c r="M451" s="47" t="str">
        <f aca="false">IF($A451="","",INDEX($L$2:$L$5001,MATCH($A451,$A$2:$A$5001,0)))</f>
        <v/>
      </c>
      <c r="N451" s="48" t="str">
        <f aca="false">IF($A451="","",IF(N(M451)=0,"–",IF(M451&lt;=Start!$D$20,"A",IF(M451&lt;=Start!$D$21,"B","C"))))</f>
        <v/>
      </c>
      <c r="O451" s="48" t="str">
        <f aca="false">IF($A451="","",IF(NOT(ISNUMBER(F451)),"Wert fehlt; ",IF(F451&lt;=0,"Wert ist 0; ",""))&amp;IF(NOT(ISNUMBER(E451)),"Bestand fehlt; ",IF(E451&lt;0,"Bestand negativ; ",IF(E451=0,"Nullbestand; ","")))&amp;IF(D451="","Warengruppe fehlt; ","")&amp;IF(B451="","Bezeichnung fehlt; ","")&amp;IF(COUNTIFS($A$2:$A$5001,$A451,$C$2:$C$5001,C451)&gt;1,"Artikel doppelt im selben Lager; ",""))</f>
        <v/>
      </c>
      <c r="P451" s="47" t="n">
        <f aca="false">IF(OR($A451="",D451=""),0,IF(COUNTIF($D$2:D451,D451)=1,SUMIF($D$2:$D$5001,D451,$H$2:$H$5001)+ROW()/10000000,0))</f>
        <v>0</v>
      </c>
      <c r="Q451" s="47" t="n">
        <f aca="false">IF(OR($A451="",C451=""),0,IF(COUNTIF($C$2:C451,C451)=1,SUMIF($C$2:$C$5001,C451,$H$2:$H$5001)+ROW()/10000000,0))</f>
        <v>0</v>
      </c>
    </row>
    <row r="452" customFormat="false" ht="15" hidden="false" customHeight="false" outlineLevel="0" collapsed="false">
      <c r="A452" s="43"/>
      <c r="B452" s="44"/>
      <c r="C452" s="44"/>
      <c r="D452" s="44"/>
      <c r="E452" s="44"/>
      <c r="F452" s="44"/>
      <c r="G452" s="44"/>
      <c r="H452" s="46" t="str">
        <f aca="false">IF($A452="","",IF(OR(NOT(ISNUMBER(E452)),NOT(ISNUMBER(F452))),"",MAX(0,E452)*F452))</f>
        <v/>
      </c>
      <c r="I452" s="46" t="str">
        <f aca="false">IF($A452="","",SUMIF($A$2:$A$5001,$A452,$H$2:$H$5001))</f>
        <v/>
      </c>
      <c r="J452" s="47" t="n">
        <f aca="false">IF($A452="",0,IF(COUNTIF($A$2:A452,$A452)=1,1,0))</f>
        <v>0</v>
      </c>
      <c r="K452" s="47" t="n">
        <f aca="false">IF(J452=1,N(I452)+ROW()/10000000,0)</f>
        <v>0</v>
      </c>
      <c r="L452" s="47" t="str">
        <f aca="false">IF(AND(J452=1,N(I452)&gt;0),SUMIF($K$2:$K$5001,"&gt;="&amp;K452,$I$2:$I$5001)/MAX(1,SUM($H$2:$H$5001)),"")</f>
        <v/>
      </c>
      <c r="M452" s="47" t="str">
        <f aca="false">IF($A452="","",INDEX($L$2:$L$5001,MATCH($A452,$A$2:$A$5001,0)))</f>
        <v/>
      </c>
      <c r="N452" s="48" t="str">
        <f aca="false">IF($A452="","",IF(N(M452)=0,"–",IF(M452&lt;=Start!$D$20,"A",IF(M452&lt;=Start!$D$21,"B","C"))))</f>
        <v/>
      </c>
      <c r="O452" s="48" t="str">
        <f aca="false">IF($A452="","",IF(NOT(ISNUMBER(F452)),"Wert fehlt; ",IF(F452&lt;=0,"Wert ist 0; ",""))&amp;IF(NOT(ISNUMBER(E452)),"Bestand fehlt; ",IF(E452&lt;0,"Bestand negativ; ",IF(E452=0,"Nullbestand; ","")))&amp;IF(D452="","Warengruppe fehlt; ","")&amp;IF(B452="","Bezeichnung fehlt; ","")&amp;IF(COUNTIFS($A$2:$A$5001,$A452,$C$2:$C$5001,C452)&gt;1,"Artikel doppelt im selben Lager; ",""))</f>
        <v/>
      </c>
      <c r="P452" s="47" t="n">
        <f aca="false">IF(OR($A452="",D452=""),0,IF(COUNTIF($D$2:D452,D452)=1,SUMIF($D$2:$D$5001,D452,$H$2:$H$5001)+ROW()/10000000,0))</f>
        <v>0</v>
      </c>
      <c r="Q452" s="47" t="n">
        <f aca="false">IF(OR($A452="",C452=""),0,IF(COUNTIF($C$2:C452,C452)=1,SUMIF($C$2:$C$5001,C452,$H$2:$H$5001)+ROW()/10000000,0))</f>
        <v>0</v>
      </c>
    </row>
    <row r="453" customFormat="false" ht="15" hidden="false" customHeight="false" outlineLevel="0" collapsed="false">
      <c r="A453" s="43"/>
      <c r="B453" s="44"/>
      <c r="C453" s="44"/>
      <c r="D453" s="44"/>
      <c r="E453" s="44"/>
      <c r="F453" s="44"/>
      <c r="G453" s="44"/>
      <c r="H453" s="46" t="str">
        <f aca="false">IF($A453="","",IF(OR(NOT(ISNUMBER(E453)),NOT(ISNUMBER(F453))),"",MAX(0,E453)*F453))</f>
        <v/>
      </c>
      <c r="I453" s="46" t="str">
        <f aca="false">IF($A453="","",SUMIF($A$2:$A$5001,$A453,$H$2:$H$5001))</f>
        <v/>
      </c>
      <c r="J453" s="47" t="n">
        <f aca="false">IF($A453="",0,IF(COUNTIF($A$2:A453,$A453)=1,1,0))</f>
        <v>0</v>
      </c>
      <c r="K453" s="47" t="n">
        <f aca="false">IF(J453=1,N(I453)+ROW()/10000000,0)</f>
        <v>0</v>
      </c>
      <c r="L453" s="47" t="str">
        <f aca="false">IF(AND(J453=1,N(I453)&gt;0),SUMIF($K$2:$K$5001,"&gt;="&amp;K453,$I$2:$I$5001)/MAX(1,SUM($H$2:$H$5001)),"")</f>
        <v/>
      </c>
      <c r="M453" s="47" t="str">
        <f aca="false">IF($A453="","",INDEX($L$2:$L$5001,MATCH($A453,$A$2:$A$5001,0)))</f>
        <v/>
      </c>
      <c r="N453" s="48" t="str">
        <f aca="false">IF($A453="","",IF(N(M453)=0,"–",IF(M453&lt;=Start!$D$20,"A",IF(M453&lt;=Start!$D$21,"B","C"))))</f>
        <v/>
      </c>
      <c r="O453" s="48" t="str">
        <f aca="false">IF($A453="","",IF(NOT(ISNUMBER(F453)),"Wert fehlt; ",IF(F453&lt;=0,"Wert ist 0; ",""))&amp;IF(NOT(ISNUMBER(E453)),"Bestand fehlt; ",IF(E453&lt;0,"Bestand negativ; ",IF(E453=0,"Nullbestand; ","")))&amp;IF(D453="","Warengruppe fehlt; ","")&amp;IF(B453="","Bezeichnung fehlt; ","")&amp;IF(COUNTIFS($A$2:$A$5001,$A453,$C$2:$C$5001,C453)&gt;1,"Artikel doppelt im selben Lager; ",""))</f>
        <v/>
      </c>
      <c r="P453" s="47" t="n">
        <f aca="false">IF(OR($A453="",D453=""),0,IF(COUNTIF($D$2:D453,D453)=1,SUMIF($D$2:$D$5001,D453,$H$2:$H$5001)+ROW()/10000000,0))</f>
        <v>0</v>
      </c>
      <c r="Q453" s="47" t="n">
        <f aca="false">IF(OR($A453="",C453=""),0,IF(COUNTIF($C$2:C453,C453)=1,SUMIF($C$2:$C$5001,C453,$H$2:$H$5001)+ROW()/10000000,0))</f>
        <v>0</v>
      </c>
    </row>
    <row r="454" customFormat="false" ht="15" hidden="false" customHeight="false" outlineLevel="0" collapsed="false">
      <c r="A454" s="43"/>
      <c r="B454" s="44"/>
      <c r="C454" s="44"/>
      <c r="D454" s="44"/>
      <c r="E454" s="44"/>
      <c r="F454" s="44"/>
      <c r="G454" s="44"/>
      <c r="H454" s="46" t="str">
        <f aca="false">IF($A454="","",IF(OR(NOT(ISNUMBER(E454)),NOT(ISNUMBER(F454))),"",MAX(0,E454)*F454))</f>
        <v/>
      </c>
      <c r="I454" s="46" t="str">
        <f aca="false">IF($A454="","",SUMIF($A$2:$A$5001,$A454,$H$2:$H$5001))</f>
        <v/>
      </c>
      <c r="J454" s="47" t="n">
        <f aca="false">IF($A454="",0,IF(COUNTIF($A$2:A454,$A454)=1,1,0))</f>
        <v>0</v>
      </c>
      <c r="K454" s="47" t="n">
        <f aca="false">IF(J454=1,N(I454)+ROW()/10000000,0)</f>
        <v>0</v>
      </c>
      <c r="L454" s="47" t="str">
        <f aca="false">IF(AND(J454=1,N(I454)&gt;0),SUMIF($K$2:$K$5001,"&gt;="&amp;K454,$I$2:$I$5001)/MAX(1,SUM($H$2:$H$5001)),"")</f>
        <v/>
      </c>
      <c r="M454" s="47" t="str">
        <f aca="false">IF($A454="","",INDEX($L$2:$L$5001,MATCH($A454,$A$2:$A$5001,0)))</f>
        <v/>
      </c>
      <c r="N454" s="48" t="str">
        <f aca="false">IF($A454="","",IF(N(M454)=0,"–",IF(M454&lt;=Start!$D$20,"A",IF(M454&lt;=Start!$D$21,"B","C"))))</f>
        <v/>
      </c>
      <c r="O454" s="48" t="str">
        <f aca="false">IF($A454="","",IF(NOT(ISNUMBER(F454)),"Wert fehlt; ",IF(F454&lt;=0,"Wert ist 0; ",""))&amp;IF(NOT(ISNUMBER(E454)),"Bestand fehlt; ",IF(E454&lt;0,"Bestand negativ; ",IF(E454=0,"Nullbestand; ","")))&amp;IF(D454="","Warengruppe fehlt; ","")&amp;IF(B454="","Bezeichnung fehlt; ","")&amp;IF(COUNTIFS($A$2:$A$5001,$A454,$C$2:$C$5001,C454)&gt;1,"Artikel doppelt im selben Lager; ",""))</f>
        <v/>
      </c>
      <c r="P454" s="47" t="n">
        <f aca="false">IF(OR($A454="",D454=""),0,IF(COUNTIF($D$2:D454,D454)=1,SUMIF($D$2:$D$5001,D454,$H$2:$H$5001)+ROW()/10000000,0))</f>
        <v>0</v>
      </c>
      <c r="Q454" s="47" t="n">
        <f aca="false">IF(OR($A454="",C454=""),0,IF(COUNTIF($C$2:C454,C454)=1,SUMIF($C$2:$C$5001,C454,$H$2:$H$5001)+ROW()/10000000,0))</f>
        <v>0</v>
      </c>
    </row>
    <row r="455" customFormat="false" ht="15" hidden="false" customHeight="false" outlineLevel="0" collapsed="false">
      <c r="A455" s="43"/>
      <c r="B455" s="44"/>
      <c r="C455" s="44"/>
      <c r="D455" s="44"/>
      <c r="E455" s="44"/>
      <c r="F455" s="44"/>
      <c r="G455" s="44"/>
      <c r="H455" s="46" t="str">
        <f aca="false">IF($A455="","",IF(OR(NOT(ISNUMBER(E455)),NOT(ISNUMBER(F455))),"",MAX(0,E455)*F455))</f>
        <v/>
      </c>
      <c r="I455" s="46" t="str">
        <f aca="false">IF($A455="","",SUMIF($A$2:$A$5001,$A455,$H$2:$H$5001))</f>
        <v/>
      </c>
      <c r="J455" s="47" t="n">
        <f aca="false">IF($A455="",0,IF(COUNTIF($A$2:A455,$A455)=1,1,0))</f>
        <v>0</v>
      </c>
      <c r="K455" s="47" t="n">
        <f aca="false">IF(J455=1,N(I455)+ROW()/10000000,0)</f>
        <v>0</v>
      </c>
      <c r="L455" s="47" t="str">
        <f aca="false">IF(AND(J455=1,N(I455)&gt;0),SUMIF($K$2:$K$5001,"&gt;="&amp;K455,$I$2:$I$5001)/MAX(1,SUM($H$2:$H$5001)),"")</f>
        <v/>
      </c>
      <c r="M455" s="47" t="str">
        <f aca="false">IF($A455="","",INDEX($L$2:$L$5001,MATCH($A455,$A$2:$A$5001,0)))</f>
        <v/>
      </c>
      <c r="N455" s="48" t="str">
        <f aca="false">IF($A455="","",IF(N(M455)=0,"–",IF(M455&lt;=Start!$D$20,"A",IF(M455&lt;=Start!$D$21,"B","C"))))</f>
        <v/>
      </c>
      <c r="O455" s="48" t="str">
        <f aca="false">IF($A455="","",IF(NOT(ISNUMBER(F455)),"Wert fehlt; ",IF(F455&lt;=0,"Wert ist 0; ",""))&amp;IF(NOT(ISNUMBER(E455)),"Bestand fehlt; ",IF(E455&lt;0,"Bestand negativ; ",IF(E455=0,"Nullbestand; ","")))&amp;IF(D455="","Warengruppe fehlt; ","")&amp;IF(B455="","Bezeichnung fehlt; ","")&amp;IF(COUNTIFS($A$2:$A$5001,$A455,$C$2:$C$5001,C455)&gt;1,"Artikel doppelt im selben Lager; ",""))</f>
        <v/>
      </c>
      <c r="P455" s="47" t="n">
        <f aca="false">IF(OR($A455="",D455=""),0,IF(COUNTIF($D$2:D455,D455)=1,SUMIF($D$2:$D$5001,D455,$H$2:$H$5001)+ROW()/10000000,0))</f>
        <v>0</v>
      </c>
      <c r="Q455" s="47" t="n">
        <f aca="false">IF(OR($A455="",C455=""),0,IF(COUNTIF($C$2:C455,C455)=1,SUMIF($C$2:$C$5001,C455,$H$2:$H$5001)+ROW()/10000000,0))</f>
        <v>0</v>
      </c>
    </row>
    <row r="456" customFormat="false" ht="15" hidden="false" customHeight="false" outlineLevel="0" collapsed="false">
      <c r="A456" s="43"/>
      <c r="B456" s="44"/>
      <c r="C456" s="44"/>
      <c r="D456" s="44"/>
      <c r="E456" s="44"/>
      <c r="F456" s="44"/>
      <c r="G456" s="44"/>
      <c r="H456" s="46" t="str">
        <f aca="false">IF($A456="","",IF(OR(NOT(ISNUMBER(E456)),NOT(ISNUMBER(F456))),"",MAX(0,E456)*F456))</f>
        <v/>
      </c>
      <c r="I456" s="46" t="str">
        <f aca="false">IF($A456="","",SUMIF($A$2:$A$5001,$A456,$H$2:$H$5001))</f>
        <v/>
      </c>
      <c r="J456" s="47" t="n">
        <f aca="false">IF($A456="",0,IF(COUNTIF($A$2:A456,$A456)=1,1,0))</f>
        <v>0</v>
      </c>
      <c r="K456" s="47" t="n">
        <f aca="false">IF(J456=1,N(I456)+ROW()/10000000,0)</f>
        <v>0</v>
      </c>
      <c r="L456" s="47" t="str">
        <f aca="false">IF(AND(J456=1,N(I456)&gt;0),SUMIF($K$2:$K$5001,"&gt;="&amp;K456,$I$2:$I$5001)/MAX(1,SUM($H$2:$H$5001)),"")</f>
        <v/>
      </c>
      <c r="M456" s="47" t="str">
        <f aca="false">IF($A456="","",INDEX($L$2:$L$5001,MATCH($A456,$A$2:$A$5001,0)))</f>
        <v/>
      </c>
      <c r="N456" s="48" t="str">
        <f aca="false">IF($A456="","",IF(N(M456)=0,"–",IF(M456&lt;=Start!$D$20,"A",IF(M456&lt;=Start!$D$21,"B","C"))))</f>
        <v/>
      </c>
      <c r="O456" s="48" t="str">
        <f aca="false">IF($A456="","",IF(NOT(ISNUMBER(F456)),"Wert fehlt; ",IF(F456&lt;=0,"Wert ist 0; ",""))&amp;IF(NOT(ISNUMBER(E456)),"Bestand fehlt; ",IF(E456&lt;0,"Bestand negativ; ",IF(E456=0,"Nullbestand; ","")))&amp;IF(D456="","Warengruppe fehlt; ","")&amp;IF(B456="","Bezeichnung fehlt; ","")&amp;IF(COUNTIFS($A$2:$A$5001,$A456,$C$2:$C$5001,C456)&gt;1,"Artikel doppelt im selben Lager; ",""))</f>
        <v/>
      </c>
      <c r="P456" s="47" t="n">
        <f aca="false">IF(OR($A456="",D456=""),0,IF(COUNTIF($D$2:D456,D456)=1,SUMIF($D$2:$D$5001,D456,$H$2:$H$5001)+ROW()/10000000,0))</f>
        <v>0</v>
      </c>
      <c r="Q456" s="47" t="n">
        <f aca="false">IF(OR($A456="",C456=""),0,IF(COUNTIF($C$2:C456,C456)=1,SUMIF($C$2:$C$5001,C456,$H$2:$H$5001)+ROW()/10000000,0))</f>
        <v>0</v>
      </c>
    </row>
    <row r="457" customFormat="false" ht="15" hidden="false" customHeight="false" outlineLevel="0" collapsed="false">
      <c r="A457" s="43"/>
      <c r="B457" s="44"/>
      <c r="C457" s="44"/>
      <c r="D457" s="44"/>
      <c r="E457" s="44"/>
      <c r="F457" s="44"/>
      <c r="G457" s="44"/>
      <c r="H457" s="46" t="str">
        <f aca="false">IF($A457="","",IF(OR(NOT(ISNUMBER(E457)),NOT(ISNUMBER(F457))),"",MAX(0,E457)*F457))</f>
        <v/>
      </c>
      <c r="I457" s="46" t="str">
        <f aca="false">IF($A457="","",SUMIF($A$2:$A$5001,$A457,$H$2:$H$5001))</f>
        <v/>
      </c>
      <c r="J457" s="47" t="n">
        <f aca="false">IF($A457="",0,IF(COUNTIF($A$2:A457,$A457)=1,1,0))</f>
        <v>0</v>
      </c>
      <c r="K457" s="47" t="n">
        <f aca="false">IF(J457=1,N(I457)+ROW()/10000000,0)</f>
        <v>0</v>
      </c>
      <c r="L457" s="47" t="str">
        <f aca="false">IF(AND(J457=1,N(I457)&gt;0),SUMIF($K$2:$K$5001,"&gt;="&amp;K457,$I$2:$I$5001)/MAX(1,SUM($H$2:$H$5001)),"")</f>
        <v/>
      </c>
      <c r="M457" s="47" t="str">
        <f aca="false">IF($A457="","",INDEX($L$2:$L$5001,MATCH($A457,$A$2:$A$5001,0)))</f>
        <v/>
      </c>
      <c r="N457" s="48" t="str">
        <f aca="false">IF($A457="","",IF(N(M457)=0,"–",IF(M457&lt;=Start!$D$20,"A",IF(M457&lt;=Start!$D$21,"B","C"))))</f>
        <v/>
      </c>
      <c r="O457" s="48" t="str">
        <f aca="false">IF($A457="","",IF(NOT(ISNUMBER(F457)),"Wert fehlt; ",IF(F457&lt;=0,"Wert ist 0; ",""))&amp;IF(NOT(ISNUMBER(E457)),"Bestand fehlt; ",IF(E457&lt;0,"Bestand negativ; ",IF(E457=0,"Nullbestand; ","")))&amp;IF(D457="","Warengruppe fehlt; ","")&amp;IF(B457="","Bezeichnung fehlt; ","")&amp;IF(COUNTIFS($A$2:$A$5001,$A457,$C$2:$C$5001,C457)&gt;1,"Artikel doppelt im selben Lager; ",""))</f>
        <v/>
      </c>
      <c r="P457" s="47" t="n">
        <f aca="false">IF(OR($A457="",D457=""),0,IF(COUNTIF($D$2:D457,D457)=1,SUMIF($D$2:$D$5001,D457,$H$2:$H$5001)+ROW()/10000000,0))</f>
        <v>0</v>
      </c>
      <c r="Q457" s="47" t="n">
        <f aca="false">IF(OR($A457="",C457=""),0,IF(COUNTIF($C$2:C457,C457)=1,SUMIF($C$2:$C$5001,C457,$H$2:$H$5001)+ROW()/10000000,0))</f>
        <v>0</v>
      </c>
    </row>
    <row r="458" customFormat="false" ht="15" hidden="false" customHeight="false" outlineLevel="0" collapsed="false">
      <c r="A458" s="43"/>
      <c r="B458" s="44"/>
      <c r="C458" s="44"/>
      <c r="D458" s="44"/>
      <c r="E458" s="44"/>
      <c r="F458" s="44"/>
      <c r="G458" s="44"/>
      <c r="H458" s="46" t="str">
        <f aca="false">IF($A458="","",IF(OR(NOT(ISNUMBER(E458)),NOT(ISNUMBER(F458))),"",MAX(0,E458)*F458))</f>
        <v/>
      </c>
      <c r="I458" s="46" t="str">
        <f aca="false">IF($A458="","",SUMIF($A$2:$A$5001,$A458,$H$2:$H$5001))</f>
        <v/>
      </c>
      <c r="J458" s="47" t="n">
        <f aca="false">IF($A458="",0,IF(COUNTIF($A$2:A458,$A458)=1,1,0))</f>
        <v>0</v>
      </c>
      <c r="K458" s="47" t="n">
        <f aca="false">IF(J458=1,N(I458)+ROW()/10000000,0)</f>
        <v>0</v>
      </c>
      <c r="L458" s="47" t="str">
        <f aca="false">IF(AND(J458=1,N(I458)&gt;0),SUMIF($K$2:$K$5001,"&gt;="&amp;K458,$I$2:$I$5001)/MAX(1,SUM($H$2:$H$5001)),"")</f>
        <v/>
      </c>
      <c r="M458" s="47" t="str">
        <f aca="false">IF($A458="","",INDEX($L$2:$L$5001,MATCH($A458,$A$2:$A$5001,0)))</f>
        <v/>
      </c>
      <c r="N458" s="48" t="str">
        <f aca="false">IF($A458="","",IF(N(M458)=0,"–",IF(M458&lt;=Start!$D$20,"A",IF(M458&lt;=Start!$D$21,"B","C"))))</f>
        <v/>
      </c>
      <c r="O458" s="48" t="str">
        <f aca="false">IF($A458="","",IF(NOT(ISNUMBER(F458)),"Wert fehlt; ",IF(F458&lt;=0,"Wert ist 0; ",""))&amp;IF(NOT(ISNUMBER(E458)),"Bestand fehlt; ",IF(E458&lt;0,"Bestand negativ; ",IF(E458=0,"Nullbestand; ","")))&amp;IF(D458="","Warengruppe fehlt; ","")&amp;IF(B458="","Bezeichnung fehlt; ","")&amp;IF(COUNTIFS($A$2:$A$5001,$A458,$C$2:$C$5001,C458)&gt;1,"Artikel doppelt im selben Lager; ",""))</f>
        <v/>
      </c>
      <c r="P458" s="47" t="n">
        <f aca="false">IF(OR($A458="",D458=""),0,IF(COUNTIF($D$2:D458,D458)=1,SUMIF($D$2:$D$5001,D458,$H$2:$H$5001)+ROW()/10000000,0))</f>
        <v>0</v>
      </c>
      <c r="Q458" s="47" t="n">
        <f aca="false">IF(OR($A458="",C458=""),0,IF(COUNTIF($C$2:C458,C458)=1,SUMIF($C$2:$C$5001,C458,$H$2:$H$5001)+ROW()/10000000,0))</f>
        <v>0</v>
      </c>
    </row>
    <row r="459" customFormat="false" ht="15" hidden="false" customHeight="false" outlineLevel="0" collapsed="false">
      <c r="A459" s="43"/>
      <c r="B459" s="44"/>
      <c r="C459" s="44"/>
      <c r="D459" s="44"/>
      <c r="E459" s="44"/>
      <c r="F459" s="44"/>
      <c r="G459" s="44"/>
      <c r="H459" s="46" t="str">
        <f aca="false">IF($A459="","",IF(OR(NOT(ISNUMBER(E459)),NOT(ISNUMBER(F459))),"",MAX(0,E459)*F459))</f>
        <v/>
      </c>
      <c r="I459" s="46" t="str">
        <f aca="false">IF($A459="","",SUMIF($A$2:$A$5001,$A459,$H$2:$H$5001))</f>
        <v/>
      </c>
      <c r="J459" s="47" t="n">
        <f aca="false">IF($A459="",0,IF(COUNTIF($A$2:A459,$A459)=1,1,0))</f>
        <v>0</v>
      </c>
      <c r="K459" s="47" t="n">
        <f aca="false">IF(J459=1,N(I459)+ROW()/10000000,0)</f>
        <v>0</v>
      </c>
      <c r="L459" s="47" t="str">
        <f aca="false">IF(AND(J459=1,N(I459)&gt;0),SUMIF($K$2:$K$5001,"&gt;="&amp;K459,$I$2:$I$5001)/MAX(1,SUM($H$2:$H$5001)),"")</f>
        <v/>
      </c>
      <c r="M459" s="47" t="str">
        <f aca="false">IF($A459="","",INDEX($L$2:$L$5001,MATCH($A459,$A$2:$A$5001,0)))</f>
        <v/>
      </c>
      <c r="N459" s="48" t="str">
        <f aca="false">IF($A459="","",IF(N(M459)=0,"–",IF(M459&lt;=Start!$D$20,"A",IF(M459&lt;=Start!$D$21,"B","C"))))</f>
        <v/>
      </c>
      <c r="O459" s="48" t="str">
        <f aca="false">IF($A459="","",IF(NOT(ISNUMBER(F459)),"Wert fehlt; ",IF(F459&lt;=0,"Wert ist 0; ",""))&amp;IF(NOT(ISNUMBER(E459)),"Bestand fehlt; ",IF(E459&lt;0,"Bestand negativ; ",IF(E459=0,"Nullbestand; ","")))&amp;IF(D459="","Warengruppe fehlt; ","")&amp;IF(B459="","Bezeichnung fehlt; ","")&amp;IF(COUNTIFS($A$2:$A$5001,$A459,$C$2:$C$5001,C459)&gt;1,"Artikel doppelt im selben Lager; ",""))</f>
        <v/>
      </c>
      <c r="P459" s="47" t="n">
        <f aca="false">IF(OR($A459="",D459=""),0,IF(COUNTIF($D$2:D459,D459)=1,SUMIF($D$2:$D$5001,D459,$H$2:$H$5001)+ROW()/10000000,0))</f>
        <v>0</v>
      </c>
      <c r="Q459" s="47" t="n">
        <f aca="false">IF(OR($A459="",C459=""),0,IF(COUNTIF($C$2:C459,C459)=1,SUMIF($C$2:$C$5001,C459,$H$2:$H$5001)+ROW()/10000000,0))</f>
        <v>0</v>
      </c>
    </row>
    <row r="460" customFormat="false" ht="15" hidden="false" customHeight="false" outlineLevel="0" collapsed="false">
      <c r="A460" s="43"/>
      <c r="B460" s="44"/>
      <c r="C460" s="44"/>
      <c r="D460" s="44"/>
      <c r="E460" s="44"/>
      <c r="F460" s="44"/>
      <c r="G460" s="44"/>
      <c r="H460" s="46" t="str">
        <f aca="false">IF($A460="","",IF(OR(NOT(ISNUMBER(E460)),NOT(ISNUMBER(F460))),"",MAX(0,E460)*F460))</f>
        <v/>
      </c>
      <c r="I460" s="46" t="str">
        <f aca="false">IF($A460="","",SUMIF($A$2:$A$5001,$A460,$H$2:$H$5001))</f>
        <v/>
      </c>
      <c r="J460" s="47" t="n">
        <f aca="false">IF($A460="",0,IF(COUNTIF($A$2:A460,$A460)=1,1,0))</f>
        <v>0</v>
      </c>
      <c r="K460" s="47" t="n">
        <f aca="false">IF(J460=1,N(I460)+ROW()/10000000,0)</f>
        <v>0</v>
      </c>
      <c r="L460" s="47" t="str">
        <f aca="false">IF(AND(J460=1,N(I460)&gt;0),SUMIF($K$2:$K$5001,"&gt;="&amp;K460,$I$2:$I$5001)/MAX(1,SUM($H$2:$H$5001)),"")</f>
        <v/>
      </c>
      <c r="M460" s="47" t="str">
        <f aca="false">IF($A460="","",INDEX($L$2:$L$5001,MATCH($A460,$A$2:$A$5001,0)))</f>
        <v/>
      </c>
      <c r="N460" s="48" t="str">
        <f aca="false">IF($A460="","",IF(N(M460)=0,"–",IF(M460&lt;=Start!$D$20,"A",IF(M460&lt;=Start!$D$21,"B","C"))))</f>
        <v/>
      </c>
      <c r="O460" s="48" t="str">
        <f aca="false">IF($A460="","",IF(NOT(ISNUMBER(F460)),"Wert fehlt; ",IF(F460&lt;=0,"Wert ist 0; ",""))&amp;IF(NOT(ISNUMBER(E460)),"Bestand fehlt; ",IF(E460&lt;0,"Bestand negativ; ",IF(E460=0,"Nullbestand; ","")))&amp;IF(D460="","Warengruppe fehlt; ","")&amp;IF(B460="","Bezeichnung fehlt; ","")&amp;IF(COUNTIFS($A$2:$A$5001,$A460,$C$2:$C$5001,C460)&gt;1,"Artikel doppelt im selben Lager; ",""))</f>
        <v/>
      </c>
      <c r="P460" s="47" t="n">
        <f aca="false">IF(OR($A460="",D460=""),0,IF(COUNTIF($D$2:D460,D460)=1,SUMIF($D$2:$D$5001,D460,$H$2:$H$5001)+ROW()/10000000,0))</f>
        <v>0</v>
      </c>
      <c r="Q460" s="47" t="n">
        <f aca="false">IF(OR($A460="",C460=""),0,IF(COUNTIF($C$2:C460,C460)=1,SUMIF($C$2:$C$5001,C460,$H$2:$H$5001)+ROW()/10000000,0))</f>
        <v>0</v>
      </c>
    </row>
    <row r="461" customFormat="false" ht="15" hidden="false" customHeight="false" outlineLevel="0" collapsed="false">
      <c r="A461" s="43"/>
      <c r="B461" s="44"/>
      <c r="C461" s="44"/>
      <c r="D461" s="44"/>
      <c r="E461" s="44"/>
      <c r="F461" s="44"/>
      <c r="G461" s="44"/>
      <c r="H461" s="46" t="str">
        <f aca="false">IF($A461="","",IF(OR(NOT(ISNUMBER(E461)),NOT(ISNUMBER(F461))),"",MAX(0,E461)*F461))</f>
        <v/>
      </c>
      <c r="I461" s="46" t="str">
        <f aca="false">IF($A461="","",SUMIF($A$2:$A$5001,$A461,$H$2:$H$5001))</f>
        <v/>
      </c>
      <c r="J461" s="47" t="n">
        <f aca="false">IF($A461="",0,IF(COUNTIF($A$2:A461,$A461)=1,1,0))</f>
        <v>0</v>
      </c>
      <c r="K461" s="47" t="n">
        <f aca="false">IF(J461=1,N(I461)+ROW()/10000000,0)</f>
        <v>0</v>
      </c>
      <c r="L461" s="47" t="str">
        <f aca="false">IF(AND(J461=1,N(I461)&gt;0),SUMIF($K$2:$K$5001,"&gt;="&amp;K461,$I$2:$I$5001)/MAX(1,SUM($H$2:$H$5001)),"")</f>
        <v/>
      </c>
      <c r="M461" s="47" t="str">
        <f aca="false">IF($A461="","",INDEX($L$2:$L$5001,MATCH($A461,$A$2:$A$5001,0)))</f>
        <v/>
      </c>
      <c r="N461" s="48" t="str">
        <f aca="false">IF($A461="","",IF(N(M461)=0,"–",IF(M461&lt;=Start!$D$20,"A",IF(M461&lt;=Start!$D$21,"B","C"))))</f>
        <v/>
      </c>
      <c r="O461" s="48" t="str">
        <f aca="false">IF($A461="","",IF(NOT(ISNUMBER(F461)),"Wert fehlt; ",IF(F461&lt;=0,"Wert ist 0; ",""))&amp;IF(NOT(ISNUMBER(E461)),"Bestand fehlt; ",IF(E461&lt;0,"Bestand negativ; ",IF(E461=0,"Nullbestand; ","")))&amp;IF(D461="","Warengruppe fehlt; ","")&amp;IF(B461="","Bezeichnung fehlt; ","")&amp;IF(COUNTIFS($A$2:$A$5001,$A461,$C$2:$C$5001,C461)&gt;1,"Artikel doppelt im selben Lager; ",""))</f>
        <v/>
      </c>
      <c r="P461" s="47" t="n">
        <f aca="false">IF(OR($A461="",D461=""),0,IF(COUNTIF($D$2:D461,D461)=1,SUMIF($D$2:$D$5001,D461,$H$2:$H$5001)+ROW()/10000000,0))</f>
        <v>0</v>
      </c>
      <c r="Q461" s="47" t="n">
        <f aca="false">IF(OR($A461="",C461=""),0,IF(COUNTIF($C$2:C461,C461)=1,SUMIF($C$2:$C$5001,C461,$H$2:$H$5001)+ROW()/10000000,0))</f>
        <v>0</v>
      </c>
    </row>
    <row r="462" customFormat="false" ht="15" hidden="false" customHeight="false" outlineLevel="0" collapsed="false">
      <c r="A462" s="43"/>
      <c r="B462" s="44"/>
      <c r="C462" s="44"/>
      <c r="D462" s="44"/>
      <c r="E462" s="44"/>
      <c r="F462" s="44"/>
      <c r="G462" s="44"/>
      <c r="H462" s="46" t="str">
        <f aca="false">IF($A462="","",IF(OR(NOT(ISNUMBER(E462)),NOT(ISNUMBER(F462))),"",MAX(0,E462)*F462))</f>
        <v/>
      </c>
      <c r="I462" s="46" t="str">
        <f aca="false">IF($A462="","",SUMIF($A$2:$A$5001,$A462,$H$2:$H$5001))</f>
        <v/>
      </c>
      <c r="J462" s="47" t="n">
        <f aca="false">IF($A462="",0,IF(COUNTIF($A$2:A462,$A462)=1,1,0))</f>
        <v>0</v>
      </c>
      <c r="K462" s="47" t="n">
        <f aca="false">IF(J462=1,N(I462)+ROW()/10000000,0)</f>
        <v>0</v>
      </c>
      <c r="L462" s="47" t="str">
        <f aca="false">IF(AND(J462=1,N(I462)&gt;0),SUMIF($K$2:$K$5001,"&gt;="&amp;K462,$I$2:$I$5001)/MAX(1,SUM($H$2:$H$5001)),"")</f>
        <v/>
      </c>
      <c r="M462" s="47" t="str">
        <f aca="false">IF($A462="","",INDEX($L$2:$L$5001,MATCH($A462,$A$2:$A$5001,0)))</f>
        <v/>
      </c>
      <c r="N462" s="48" t="str">
        <f aca="false">IF($A462="","",IF(N(M462)=0,"–",IF(M462&lt;=Start!$D$20,"A",IF(M462&lt;=Start!$D$21,"B","C"))))</f>
        <v/>
      </c>
      <c r="O462" s="48" t="str">
        <f aca="false">IF($A462="","",IF(NOT(ISNUMBER(F462)),"Wert fehlt; ",IF(F462&lt;=0,"Wert ist 0; ",""))&amp;IF(NOT(ISNUMBER(E462)),"Bestand fehlt; ",IF(E462&lt;0,"Bestand negativ; ",IF(E462=0,"Nullbestand; ","")))&amp;IF(D462="","Warengruppe fehlt; ","")&amp;IF(B462="","Bezeichnung fehlt; ","")&amp;IF(COUNTIFS($A$2:$A$5001,$A462,$C$2:$C$5001,C462)&gt;1,"Artikel doppelt im selben Lager; ",""))</f>
        <v/>
      </c>
      <c r="P462" s="47" t="n">
        <f aca="false">IF(OR($A462="",D462=""),0,IF(COUNTIF($D$2:D462,D462)=1,SUMIF($D$2:$D$5001,D462,$H$2:$H$5001)+ROW()/10000000,0))</f>
        <v>0</v>
      </c>
      <c r="Q462" s="47" t="n">
        <f aca="false">IF(OR($A462="",C462=""),0,IF(COUNTIF($C$2:C462,C462)=1,SUMIF($C$2:$C$5001,C462,$H$2:$H$5001)+ROW()/10000000,0))</f>
        <v>0</v>
      </c>
    </row>
    <row r="463" customFormat="false" ht="15" hidden="false" customHeight="false" outlineLevel="0" collapsed="false">
      <c r="A463" s="43"/>
      <c r="B463" s="44"/>
      <c r="C463" s="44"/>
      <c r="D463" s="44"/>
      <c r="E463" s="44"/>
      <c r="F463" s="44"/>
      <c r="G463" s="44"/>
      <c r="H463" s="46" t="str">
        <f aca="false">IF($A463="","",IF(OR(NOT(ISNUMBER(E463)),NOT(ISNUMBER(F463))),"",MAX(0,E463)*F463))</f>
        <v/>
      </c>
      <c r="I463" s="46" t="str">
        <f aca="false">IF($A463="","",SUMIF($A$2:$A$5001,$A463,$H$2:$H$5001))</f>
        <v/>
      </c>
      <c r="J463" s="47" t="n">
        <f aca="false">IF($A463="",0,IF(COUNTIF($A$2:A463,$A463)=1,1,0))</f>
        <v>0</v>
      </c>
      <c r="K463" s="47" t="n">
        <f aca="false">IF(J463=1,N(I463)+ROW()/10000000,0)</f>
        <v>0</v>
      </c>
      <c r="L463" s="47" t="str">
        <f aca="false">IF(AND(J463=1,N(I463)&gt;0),SUMIF($K$2:$K$5001,"&gt;="&amp;K463,$I$2:$I$5001)/MAX(1,SUM($H$2:$H$5001)),"")</f>
        <v/>
      </c>
      <c r="M463" s="47" t="str">
        <f aca="false">IF($A463="","",INDEX($L$2:$L$5001,MATCH($A463,$A$2:$A$5001,0)))</f>
        <v/>
      </c>
      <c r="N463" s="48" t="str">
        <f aca="false">IF($A463="","",IF(N(M463)=0,"–",IF(M463&lt;=Start!$D$20,"A",IF(M463&lt;=Start!$D$21,"B","C"))))</f>
        <v/>
      </c>
      <c r="O463" s="48" t="str">
        <f aca="false">IF($A463="","",IF(NOT(ISNUMBER(F463)),"Wert fehlt; ",IF(F463&lt;=0,"Wert ist 0; ",""))&amp;IF(NOT(ISNUMBER(E463)),"Bestand fehlt; ",IF(E463&lt;0,"Bestand negativ; ",IF(E463=0,"Nullbestand; ","")))&amp;IF(D463="","Warengruppe fehlt; ","")&amp;IF(B463="","Bezeichnung fehlt; ","")&amp;IF(COUNTIFS($A$2:$A$5001,$A463,$C$2:$C$5001,C463)&gt;1,"Artikel doppelt im selben Lager; ",""))</f>
        <v/>
      </c>
      <c r="P463" s="47" t="n">
        <f aca="false">IF(OR($A463="",D463=""),0,IF(COUNTIF($D$2:D463,D463)=1,SUMIF($D$2:$D$5001,D463,$H$2:$H$5001)+ROW()/10000000,0))</f>
        <v>0</v>
      </c>
      <c r="Q463" s="47" t="n">
        <f aca="false">IF(OR($A463="",C463=""),0,IF(COUNTIF($C$2:C463,C463)=1,SUMIF($C$2:$C$5001,C463,$H$2:$H$5001)+ROW()/10000000,0))</f>
        <v>0</v>
      </c>
    </row>
    <row r="464" customFormat="false" ht="15" hidden="false" customHeight="false" outlineLevel="0" collapsed="false">
      <c r="A464" s="43"/>
      <c r="B464" s="44"/>
      <c r="C464" s="44"/>
      <c r="D464" s="44"/>
      <c r="E464" s="44"/>
      <c r="F464" s="44"/>
      <c r="G464" s="44"/>
      <c r="H464" s="46" t="str">
        <f aca="false">IF($A464="","",IF(OR(NOT(ISNUMBER(E464)),NOT(ISNUMBER(F464))),"",MAX(0,E464)*F464))</f>
        <v/>
      </c>
      <c r="I464" s="46" t="str">
        <f aca="false">IF($A464="","",SUMIF($A$2:$A$5001,$A464,$H$2:$H$5001))</f>
        <v/>
      </c>
      <c r="J464" s="47" t="n">
        <f aca="false">IF($A464="",0,IF(COUNTIF($A$2:A464,$A464)=1,1,0))</f>
        <v>0</v>
      </c>
      <c r="K464" s="47" t="n">
        <f aca="false">IF(J464=1,N(I464)+ROW()/10000000,0)</f>
        <v>0</v>
      </c>
      <c r="L464" s="47" t="str">
        <f aca="false">IF(AND(J464=1,N(I464)&gt;0),SUMIF($K$2:$K$5001,"&gt;="&amp;K464,$I$2:$I$5001)/MAX(1,SUM($H$2:$H$5001)),"")</f>
        <v/>
      </c>
      <c r="M464" s="47" t="str">
        <f aca="false">IF($A464="","",INDEX($L$2:$L$5001,MATCH($A464,$A$2:$A$5001,0)))</f>
        <v/>
      </c>
      <c r="N464" s="48" t="str">
        <f aca="false">IF($A464="","",IF(N(M464)=0,"–",IF(M464&lt;=Start!$D$20,"A",IF(M464&lt;=Start!$D$21,"B","C"))))</f>
        <v/>
      </c>
      <c r="O464" s="48" t="str">
        <f aca="false">IF($A464="","",IF(NOT(ISNUMBER(F464)),"Wert fehlt; ",IF(F464&lt;=0,"Wert ist 0; ",""))&amp;IF(NOT(ISNUMBER(E464)),"Bestand fehlt; ",IF(E464&lt;0,"Bestand negativ; ",IF(E464=0,"Nullbestand; ","")))&amp;IF(D464="","Warengruppe fehlt; ","")&amp;IF(B464="","Bezeichnung fehlt; ","")&amp;IF(COUNTIFS($A$2:$A$5001,$A464,$C$2:$C$5001,C464)&gt;1,"Artikel doppelt im selben Lager; ",""))</f>
        <v/>
      </c>
      <c r="P464" s="47" t="n">
        <f aca="false">IF(OR($A464="",D464=""),0,IF(COUNTIF($D$2:D464,D464)=1,SUMIF($D$2:$D$5001,D464,$H$2:$H$5001)+ROW()/10000000,0))</f>
        <v>0</v>
      </c>
      <c r="Q464" s="47" t="n">
        <f aca="false">IF(OR($A464="",C464=""),0,IF(COUNTIF($C$2:C464,C464)=1,SUMIF($C$2:$C$5001,C464,$H$2:$H$5001)+ROW()/10000000,0))</f>
        <v>0</v>
      </c>
    </row>
    <row r="465" customFormat="false" ht="15" hidden="false" customHeight="false" outlineLevel="0" collapsed="false">
      <c r="A465" s="43"/>
      <c r="B465" s="44"/>
      <c r="C465" s="44"/>
      <c r="D465" s="44"/>
      <c r="E465" s="44"/>
      <c r="F465" s="44"/>
      <c r="G465" s="44"/>
      <c r="H465" s="46" t="str">
        <f aca="false">IF($A465="","",IF(OR(NOT(ISNUMBER(E465)),NOT(ISNUMBER(F465))),"",MAX(0,E465)*F465))</f>
        <v/>
      </c>
      <c r="I465" s="46" t="str">
        <f aca="false">IF($A465="","",SUMIF($A$2:$A$5001,$A465,$H$2:$H$5001))</f>
        <v/>
      </c>
      <c r="J465" s="47" t="n">
        <f aca="false">IF($A465="",0,IF(COUNTIF($A$2:A465,$A465)=1,1,0))</f>
        <v>0</v>
      </c>
      <c r="K465" s="47" t="n">
        <f aca="false">IF(J465=1,N(I465)+ROW()/10000000,0)</f>
        <v>0</v>
      </c>
      <c r="L465" s="47" t="str">
        <f aca="false">IF(AND(J465=1,N(I465)&gt;0),SUMIF($K$2:$K$5001,"&gt;="&amp;K465,$I$2:$I$5001)/MAX(1,SUM($H$2:$H$5001)),"")</f>
        <v/>
      </c>
      <c r="M465" s="47" t="str">
        <f aca="false">IF($A465="","",INDEX($L$2:$L$5001,MATCH($A465,$A$2:$A$5001,0)))</f>
        <v/>
      </c>
      <c r="N465" s="48" t="str">
        <f aca="false">IF($A465="","",IF(N(M465)=0,"–",IF(M465&lt;=Start!$D$20,"A",IF(M465&lt;=Start!$D$21,"B","C"))))</f>
        <v/>
      </c>
      <c r="O465" s="48" t="str">
        <f aca="false">IF($A465="","",IF(NOT(ISNUMBER(F465)),"Wert fehlt; ",IF(F465&lt;=0,"Wert ist 0; ",""))&amp;IF(NOT(ISNUMBER(E465)),"Bestand fehlt; ",IF(E465&lt;0,"Bestand negativ; ",IF(E465=0,"Nullbestand; ","")))&amp;IF(D465="","Warengruppe fehlt; ","")&amp;IF(B465="","Bezeichnung fehlt; ","")&amp;IF(COUNTIFS($A$2:$A$5001,$A465,$C$2:$C$5001,C465)&gt;1,"Artikel doppelt im selben Lager; ",""))</f>
        <v/>
      </c>
      <c r="P465" s="47" t="n">
        <f aca="false">IF(OR($A465="",D465=""),0,IF(COUNTIF($D$2:D465,D465)=1,SUMIF($D$2:$D$5001,D465,$H$2:$H$5001)+ROW()/10000000,0))</f>
        <v>0</v>
      </c>
      <c r="Q465" s="47" t="n">
        <f aca="false">IF(OR($A465="",C465=""),0,IF(COUNTIF($C$2:C465,C465)=1,SUMIF($C$2:$C$5001,C465,$H$2:$H$5001)+ROW()/10000000,0))</f>
        <v>0</v>
      </c>
    </row>
    <row r="466" customFormat="false" ht="15" hidden="false" customHeight="false" outlineLevel="0" collapsed="false">
      <c r="A466" s="43"/>
      <c r="B466" s="44"/>
      <c r="C466" s="44"/>
      <c r="D466" s="44"/>
      <c r="E466" s="44"/>
      <c r="F466" s="44"/>
      <c r="G466" s="44"/>
      <c r="H466" s="46" t="str">
        <f aca="false">IF($A466="","",IF(OR(NOT(ISNUMBER(E466)),NOT(ISNUMBER(F466))),"",MAX(0,E466)*F466))</f>
        <v/>
      </c>
      <c r="I466" s="46" t="str">
        <f aca="false">IF($A466="","",SUMIF($A$2:$A$5001,$A466,$H$2:$H$5001))</f>
        <v/>
      </c>
      <c r="J466" s="47" t="n">
        <f aca="false">IF($A466="",0,IF(COUNTIF($A$2:A466,$A466)=1,1,0))</f>
        <v>0</v>
      </c>
      <c r="K466" s="47" t="n">
        <f aca="false">IF(J466=1,N(I466)+ROW()/10000000,0)</f>
        <v>0</v>
      </c>
      <c r="L466" s="47" t="str">
        <f aca="false">IF(AND(J466=1,N(I466)&gt;0),SUMIF($K$2:$K$5001,"&gt;="&amp;K466,$I$2:$I$5001)/MAX(1,SUM($H$2:$H$5001)),"")</f>
        <v/>
      </c>
      <c r="M466" s="47" t="str">
        <f aca="false">IF($A466="","",INDEX($L$2:$L$5001,MATCH($A466,$A$2:$A$5001,0)))</f>
        <v/>
      </c>
      <c r="N466" s="48" t="str">
        <f aca="false">IF($A466="","",IF(N(M466)=0,"–",IF(M466&lt;=Start!$D$20,"A",IF(M466&lt;=Start!$D$21,"B","C"))))</f>
        <v/>
      </c>
      <c r="O466" s="48" t="str">
        <f aca="false">IF($A466="","",IF(NOT(ISNUMBER(F466)),"Wert fehlt; ",IF(F466&lt;=0,"Wert ist 0; ",""))&amp;IF(NOT(ISNUMBER(E466)),"Bestand fehlt; ",IF(E466&lt;0,"Bestand negativ; ",IF(E466=0,"Nullbestand; ","")))&amp;IF(D466="","Warengruppe fehlt; ","")&amp;IF(B466="","Bezeichnung fehlt; ","")&amp;IF(COUNTIFS($A$2:$A$5001,$A466,$C$2:$C$5001,C466)&gt;1,"Artikel doppelt im selben Lager; ",""))</f>
        <v/>
      </c>
      <c r="P466" s="47" t="n">
        <f aca="false">IF(OR($A466="",D466=""),0,IF(COUNTIF($D$2:D466,D466)=1,SUMIF($D$2:$D$5001,D466,$H$2:$H$5001)+ROW()/10000000,0))</f>
        <v>0</v>
      </c>
      <c r="Q466" s="47" t="n">
        <f aca="false">IF(OR($A466="",C466=""),0,IF(COUNTIF($C$2:C466,C466)=1,SUMIF($C$2:$C$5001,C466,$H$2:$H$5001)+ROW()/10000000,0))</f>
        <v>0</v>
      </c>
    </row>
    <row r="467" customFormat="false" ht="15" hidden="false" customHeight="false" outlineLevel="0" collapsed="false">
      <c r="A467" s="43"/>
      <c r="B467" s="44"/>
      <c r="C467" s="44"/>
      <c r="D467" s="44"/>
      <c r="E467" s="44"/>
      <c r="F467" s="44"/>
      <c r="G467" s="44"/>
      <c r="H467" s="46" t="str">
        <f aca="false">IF($A467="","",IF(OR(NOT(ISNUMBER(E467)),NOT(ISNUMBER(F467))),"",MAX(0,E467)*F467))</f>
        <v/>
      </c>
      <c r="I467" s="46" t="str">
        <f aca="false">IF($A467="","",SUMIF($A$2:$A$5001,$A467,$H$2:$H$5001))</f>
        <v/>
      </c>
      <c r="J467" s="47" t="n">
        <f aca="false">IF($A467="",0,IF(COUNTIF($A$2:A467,$A467)=1,1,0))</f>
        <v>0</v>
      </c>
      <c r="K467" s="47" t="n">
        <f aca="false">IF(J467=1,N(I467)+ROW()/10000000,0)</f>
        <v>0</v>
      </c>
      <c r="L467" s="47" t="str">
        <f aca="false">IF(AND(J467=1,N(I467)&gt;0),SUMIF($K$2:$K$5001,"&gt;="&amp;K467,$I$2:$I$5001)/MAX(1,SUM($H$2:$H$5001)),"")</f>
        <v/>
      </c>
      <c r="M467" s="47" t="str">
        <f aca="false">IF($A467="","",INDEX($L$2:$L$5001,MATCH($A467,$A$2:$A$5001,0)))</f>
        <v/>
      </c>
      <c r="N467" s="48" t="str">
        <f aca="false">IF($A467="","",IF(N(M467)=0,"–",IF(M467&lt;=Start!$D$20,"A",IF(M467&lt;=Start!$D$21,"B","C"))))</f>
        <v/>
      </c>
      <c r="O467" s="48" t="str">
        <f aca="false">IF($A467="","",IF(NOT(ISNUMBER(F467)),"Wert fehlt; ",IF(F467&lt;=0,"Wert ist 0; ",""))&amp;IF(NOT(ISNUMBER(E467)),"Bestand fehlt; ",IF(E467&lt;0,"Bestand negativ; ",IF(E467=0,"Nullbestand; ","")))&amp;IF(D467="","Warengruppe fehlt; ","")&amp;IF(B467="","Bezeichnung fehlt; ","")&amp;IF(COUNTIFS($A$2:$A$5001,$A467,$C$2:$C$5001,C467)&gt;1,"Artikel doppelt im selben Lager; ",""))</f>
        <v/>
      </c>
      <c r="P467" s="47" t="n">
        <f aca="false">IF(OR($A467="",D467=""),0,IF(COUNTIF($D$2:D467,D467)=1,SUMIF($D$2:$D$5001,D467,$H$2:$H$5001)+ROW()/10000000,0))</f>
        <v>0</v>
      </c>
      <c r="Q467" s="47" t="n">
        <f aca="false">IF(OR($A467="",C467=""),0,IF(COUNTIF($C$2:C467,C467)=1,SUMIF($C$2:$C$5001,C467,$H$2:$H$5001)+ROW()/10000000,0))</f>
        <v>0</v>
      </c>
    </row>
    <row r="468" customFormat="false" ht="15" hidden="false" customHeight="false" outlineLevel="0" collapsed="false">
      <c r="A468" s="43"/>
      <c r="B468" s="44"/>
      <c r="C468" s="44"/>
      <c r="D468" s="44"/>
      <c r="E468" s="44"/>
      <c r="F468" s="44"/>
      <c r="G468" s="44"/>
      <c r="H468" s="46" t="str">
        <f aca="false">IF($A468="","",IF(OR(NOT(ISNUMBER(E468)),NOT(ISNUMBER(F468))),"",MAX(0,E468)*F468))</f>
        <v/>
      </c>
      <c r="I468" s="46" t="str">
        <f aca="false">IF($A468="","",SUMIF($A$2:$A$5001,$A468,$H$2:$H$5001))</f>
        <v/>
      </c>
      <c r="J468" s="47" t="n">
        <f aca="false">IF($A468="",0,IF(COUNTIF($A$2:A468,$A468)=1,1,0))</f>
        <v>0</v>
      </c>
      <c r="K468" s="47" t="n">
        <f aca="false">IF(J468=1,N(I468)+ROW()/10000000,0)</f>
        <v>0</v>
      </c>
      <c r="L468" s="47" t="str">
        <f aca="false">IF(AND(J468=1,N(I468)&gt;0),SUMIF($K$2:$K$5001,"&gt;="&amp;K468,$I$2:$I$5001)/MAX(1,SUM($H$2:$H$5001)),"")</f>
        <v/>
      </c>
      <c r="M468" s="47" t="str">
        <f aca="false">IF($A468="","",INDEX($L$2:$L$5001,MATCH($A468,$A$2:$A$5001,0)))</f>
        <v/>
      </c>
      <c r="N468" s="48" t="str">
        <f aca="false">IF($A468="","",IF(N(M468)=0,"–",IF(M468&lt;=Start!$D$20,"A",IF(M468&lt;=Start!$D$21,"B","C"))))</f>
        <v/>
      </c>
      <c r="O468" s="48" t="str">
        <f aca="false">IF($A468="","",IF(NOT(ISNUMBER(F468)),"Wert fehlt; ",IF(F468&lt;=0,"Wert ist 0; ",""))&amp;IF(NOT(ISNUMBER(E468)),"Bestand fehlt; ",IF(E468&lt;0,"Bestand negativ; ",IF(E468=0,"Nullbestand; ","")))&amp;IF(D468="","Warengruppe fehlt; ","")&amp;IF(B468="","Bezeichnung fehlt; ","")&amp;IF(COUNTIFS($A$2:$A$5001,$A468,$C$2:$C$5001,C468)&gt;1,"Artikel doppelt im selben Lager; ",""))</f>
        <v/>
      </c>
      <c r="P468" s="47" t="n">
        <f aca="false">IF(OR($A468="",D468=""),0,IF(COUNTIF($D$2:D468,D468)=1,SUMIF($D$2:$D$5001,D468,$H$2:$H$5001)+ROW()/10000000,0))</f>
        <v>0</v>
      </c>
      <c r="Q468" s="47" t="n">
        <f aca="false">IF(OR($A468="",C468=""),0,IF(COUNTIF($C$2:C468,C468)=1,SUMIF($C$2:$C$5001,C468,$H$2:$H$5001)+ROW()/10000000,0))</f>
        <v>0</v>
      </c>
    </row>
    <row r="469" customFormat="false" ht="15" hidden="false" customHeight="false" outlineLevel="0" collapsed="false">
      <c r="A469" s="43"/>
      <c r="B469" s="44"/>
      <c r="C469" s="44"/>
      <c r="D469" s="44"/>
      <c r="E469" s="44"/>
      <c r="F469" s="44"/>
      <c r="G469" s="44"/>
      <c r="H469" s="46" t="str">
        <f aca="false">IF($A469="","",IF(OR(NOT(ISNUMBER(E469)),NOT(ISNUMBER(F469))),"",MAX(0,E469)*F469))</f>
        <v/>
      </c>
      <c r="I469" s="46" t="str">
        <f aca="false">IF($A469="","",SUMIF($A$2:$A$5001,$A469,$H$2:$H$5001))</f>
        <v/>
      </c>
      <c r="J469" s="47" t="n">
        <f aca="false">IF($A469="",0,IF(COUNTIF($A$2:A469,$A469)=1,1,0))</f>
        <v>0</v>
      </c>
      <c r="K469" s="47" t="n">
        <f aca="false">IF(J469=1,N(I469)+ROW()/10000000,0)</f>
        <v>0</v>
      </c>
      <c r="L469" s="47" t="str">
        <f aca="false">IF(AND(J469=1,N(I469)&gt;0),SUMIF($K$2:$K$5001,"&gt;="&amp;K469,$I$2:$I$5001)/MAX(1,SUM($H$2:$H$5001)),"")</f>
        <v/>
      </c>
      <c r="M469" s="47" t="str">
        <f aca="false">IF($A469="","",INDEX($L$2:$L$5001,MATCH($A469,$A$2:$A$5001,0)))</f>
        <v/>
      </c>
      <c r="N469" s="48" t="str">
        <f aca="false">IF($A469="","",IF(N(M469)=0,"–",IF(M469&lt;=Start!$D$20,"A",IF(M469&lt;=Start!$D$21,"B","C"))))</f>
        <v/>
      </c>
      <c r="O469" s="48" t="str">
        <f aca="false">IF($A469="","",IF(NOT(ISNUMBER(F469)),"Wert fehlt; ",IF(F469&lt;=0,"Wert ist 0; ",""))&amp;IF(NOT(ISNUMBER(E469)),"Bestand fehlt; ",IF(E469&lt;0,"Bestand negativ; ",IF(E469=0,"Nullbestand; ","")))&amp;IF(D469="","Warengruppe fehlt; ","")&amp;IF(B469="","Bezeichnung fehlt; ","")&amp;IF(COUNTIFS($A$2:$A$5001,$A469,$C$2:$C$5001,C469)&gt;1,"Artikel doppelt im selben Lager; ",""))</f>
        <v/>
      </c>
      <c r="P469" s="47" t="n">
        <f aca="false">IF(OR($A469="",D469=""),0,IF(COUNTIF($D$2:D469,D469)=1,SUMIF($D$2:$D$5001,D469,$H$2:$H$5001)+ROW()/10000000,0))</f>
        <v>0</v>
      </c>
      <c r="Q469" s="47" t="n">
        <f aca="false">IF(OR($A469="",C469=""),0,IF(COUNTIF($C$2:C469,C469)=1,SUMIF($C$2:$C$5001,C469,$H$2:$H$5001)+ROW()/10000000,0))</f>
        <v>0</v>
      </c>
    </row>
    <row r="470" customFormat="false" ht="15" hidden="false" customHeight="false" outlineLevel="0" collapsed="false">
      <c r="A470" s="43"/>
      <c r="B470" s="44"/>
      <c r="C470" s="44"/>
      <c r="D470" s="44"/>
      <c r="E470" s="44"/>
      <c r="F470" s="44"/>
      <c r="G470" s="44"/>
      <c r="H470" s="46" t="str">
        <f aca="false">IF($A470="","",IF(OR(NOT(ISNUMBER(E470)),NOT(ISNUMBER(F470))),"",MAX(0,E470)*F470))</f>
        <v/>
      </c>
      <c r="I470" s="46" t="str">
        <f aca="false">IF($A470="","",SUMIF($A$2:$A$5001,$A470,$H$2:$H$5001))</f>
        <v/>
      </c>
      <c r="J470" s="47" t="n">
        <f aca="false">IF($A470="",0,IF(COUNTIF($A$2:A470,$A470)=1,1,0))</f>
        <v>0</v>
      </c>
      <c r="K470" s="47" t="n">
        <f aca="false">IF(J470=1,N(I470)+ROW()/10000000,0)</f>
        <v>0</v>
      </c>
      <c r="L470" s="47" t="str">
        <f aca="false">IF(AND(J470=1,N(I470)&gt;0),SUMIF($K$2:$K$5001,"&gt;="&amp;K470,$I$2:$I$5001)/MAX(1,SUM($H$2:$H$5001)),"")</f>
        <v/>
      </c>
      <c r="M470" s="47" t="str">
        <f aca="false">IF($A470="","",INDEX($L$2:$L$5001,MATCH($A470,$A$2:$A$5001,0)))</f>
        <v/>
      </c>
      <c r="N470" s="48" t="str">
        <f aca="false">IF($A470="","",IF(N(M470)=0,"–",IF(M470&lt;=Start!$D$20,"A",IF(M470&lt;=Start!$D$21,"B","C"))))</f>
        <v/>
      </c>
      <c r="O470" s="48" t="str">
        <f aca="false">IF($A470="","",IF(NOT(ISNUMBER(F470)),"Wert fehlt; ",IF(F470&lt;=0,"Wert ist 0; ",""))&amp;IF(NOT(ISNUMBER(E470)),"Bestand fehlt; ",IF(E470&lt;0,"Bestand negativ; ",IF(E470=0,"Nullbestand; ","")))&amp;IF(D470="","Warengruppe fehlt; ","")&amp;IF(B470="","Bezeichnung fehlt; ","")&amp;IF(COUNTIFS($A$2:$A$5001,$A470,$C$2:$C$5001,C470)&gt;1,"Artikel doppelt im selben Lager; ",""))</f>
        <v/>
      </c>
      <c r="P470" s="47" t="n">
        <f aca="false">IF(OR($A470="",D470=""),0,IF(COUNTIF($D$2:D470,D470)=1,SUMIF($D$2:$D$5001,D470,$H$2:$H$5001)+ROW()/10000000,0))</f>
        <v>0</v>
      </c>
      <c r="Q470" s="47" t="n">
        <f aca="false">IF(OR($A470="",C470=""),0,IF(COUNTIF($C$2:C470,C470)=1,SUMIF($C$2:$C$5001,C470,$H$2:$H$5001)+ROW()/10000000,0))</f>
        <v>0</v>
      </c>
    </row>
    <row r="471" customFormat="false" ht="15" hidden="false" customHeight="false" outlineLevel="0" collapsed="false">
      <c r="A471" s="43"/>
      <c r="B471" s="44"/>
      <c r="C471" s="44"/>
      <c r="D471" s="44"/>
      <c r="E471" s="44"/>
      <c r="F471" s="44"/>
      <c r="G471" s="44"/>
      <c r="H471" s="46" t="str">
        <f aca="false">IF($A471="","",IF(OR(NOT(ISNUMBER(E471)),NOT(ISNUMBER(F471))),"",MAX(0,E471)*F471))</f>
        <v/>
      </c>
      <c r="I471" s="46" t="str">
        <f aca="false">IF($A471="","",SUMIF($A$2:$A$5001,$A471,$H$2:$H$5001))</f>
        <v/>
      </c>
      <c r="J471" s="47" t="n">
        <f aca="false">IF($A471="",0,IF(COUNTIF($A$2:A471,$A471)=1,1,0))</f>
        <v>0</v>
      </c>
      <c r="K471" s="47" t="n">
        <f aca="false">IF(J471=1,N(I471)+ROW()/10000000,0)</f>
        <v>0</v>
      </c>
      <c r="L471" s="47" t="str">
        <f aca="false">IF(AND(J471=1,N(I471)&gt;0),SUMIF($K$2:$K$5001,"&gt;="&amp;K471,$I$2:$I$5001)/MAX(1,SUM($H$2:$H$5001)),"")</f>
        <v/>
      </c>
      <c r="M471" s="47" t="str">
        <f aca="false">IF($A471="","",INDEX($L$2:$L$5001,MATCH($A471,$A$2:$A$5001,0)))</f>
        <v/>
      </c>
      <c r="N471" s="48" t="str">
        <f aca="false">IF($A471="","",IF(N(M471)=0,"–",IF(M471&lt;=Start!$D$20,"A",IF(M471&lt;=Start!$D$21,"B","C"))))</f>
        <v/>
      </c>
      <c r="O471" s="48" t="str">
        <f aca="false">IF($A471="","",IF(NOT(ISNUMBER(F471)),"Wert fehlt; ",IF(F471&lt;=0,"Wert ist 0; ",""))&amp;IF(NOT(ISNUMBER(E471)),"Bestand fehlt; ",IF(E471&lt;0,"Bestand negativ; ",IF(E471=0,"Nullbestand; ","")))&amp;IF(D471="","Warengruppe fehlt; ","")&amp;IF(B471="","Bezeichnung fehlt; ","")&amp;IF(COUNTIFS($A$2:$A$5001,$A471,$C$2:$C$5001,C471)&gt;1,"Artikel doppelt im selben Lager; ",""))</f>
        <v/>
      </c>
      <c r="P471" s="47" t="n">
        <f aca="false">IF(OR($A471="",D471=""),0,IF(COUNTIF($D$2:D471,D471)=1,SUMIF($D$2:$D$5001,D471,$H$2:$H$5001)+ROW()/10000000,0))</f>
        <v>0</v>
      </c>
      <c r="Q471" s="47" t="n">
        <f aca="false">IF(OR($A471="",C471=""),0,IF(COUNTIF($C$2:C471,C471)=1,SUMIF($C$2:$C$5001,C471,$H$2:$H$5001)+ROW()/10000000,0))</f>
        <v>0</v>
      </c>
    </row>
    <row r="472" customFormat="false" ht="15" hidden="false" customHeight="false" outlineLevel="0" collapsed="false">
      <c r="A472" s="43"/>
      <c r="B472" s="44"/>
      <c r="C472" s="44"/>
      <c r="D472" s="44"/>
      <c r="E472" s="44"/>
      <c r="F472" s="44"/>
      <c r="G472" s="44"/>
      <c r="H472" s="46" t="str">
        <f aca="false">IF($A472="","",IF(OR(NOT(ISNUMBER(E472)),NOT(ISNUMBER(F472))),"",MAX(0,E472)*F472))</f>
        <v/>
      </c>
      <c r="I472" s="46" t="str">
        <f aca="false">IF($A472="","",SUMIF($A$2:$A$5001,$A472,$H$2:$H$5001))</f>
        <v/>
      </c>
      <c r="J472" s="47" t="n">
        <f aca="false">IF($A472="",0,IF(COUNTIF($A$2:A472,$A472)=1,1,0))</f>
        <v>0</v>
      </c>
      <c r="K472" s="47" t="n">
        <f aca="false">IF(J472=1,N(I472)+ROW()/10000000,0)</f>
        <v>0</v>
      </c>
      <c r="L472" s="47" t="str">
        <f aca="false">IF(AND(J472=1,N(I472)&gt;0),SUMIF($K$2:$K$5001,"&gt;="&amp;K472,$I$2:$I$5001)/MAX(1,SUM($H$2:$H$5001)),"")</f>
        <v/>
      </c>
      <c r="M472" s="47" t="str">
        <f aca="false">IF($A472="","",INDEX($L$2:$L$5001,MATCH($A472,$A$2:$A$5001,0)))</f>
        <v/>
      </c>
      <c r="N472" s="48" t="str">
        <f aca="false">IF($A472="","",IF(N(M472)=0,"–",IF(M472&lt;=Start!$D$20,"A",IF(M472&lt;=Start!$D$21,"B","C"))))</f>
        <v/>
      </c>
      <c r="O472" s="48" t="str">
        <f aca="false">IF($A472="","",IF(NOT(ISNUMBER(F472)),"Wert fehlt; ",IF(F472&lt;=0,"Wert ist 0; ",""))&amp;IF(NOT(ISNUMBER(E472)),"Bestand fehlt; ",IF(E472&lt;0,"Bestand negativ; ",IF(E472=0,"Nullbestand; ","")))&amp;IF(D472="","Warengruppe fehlt; ","")&amp;IF(B472="","Bezeichnung fehlt; ","")&amp;IF(COUNTIFS($A$2:$A$5001,$A472,$C$2:$C$5001,C472)&gt;1,"Artikel doppelt im selben Lager; ",""))</f>
        <v/>
      </c>
      <c r="P472" s="47" t="n">
        <f aca="false">IF(OR($A472="",D472=""),0,IF(COUNTIF($D$2:D472,D472)=1,SUMIF($D$2:$D$5001,D472,$H$2:$H$5001)+ROW()/10000000,0))</f>
        <v>0</v>
      </c>
      <c r="Q472" s="47" t="n">
        <f aca="false">IF(OR($A472="",C472=""),0,IF(COUNTIF($C$2:C472,C472)=1,SUMIF($C$2:$C$5001,C472,$H$2:$H$5001)+ROW()/10000000,0))</f>
        <v>0</v>
      </c>
    </row>
    <row r="473" customFormat="false" ht="15" hidden="false" customHeight="false" outlineLevel="0" collapsed="false">
      <c r="A473" s="43"/>
      <c r="B473" s="44"/>
      <c r="C473" s="44"/>
      <c r="D473" s="44"/>
      <c r="E473" s="44"/>
      <c r="F473" s="44"/>
      <c r="G473" s="44"/>
      <c r="H473" s="46" t="str">
        <f aca="false">IF($A473="","",IF(OR(NOT(ISNUMBER(E473)),NOT(ISNUMBER(F473))),"",MAX(0,E473)*F473))</f>
        <v/>
      </c>
      <c r="I473" s="46" t="str">
        <f aca="false">IF($A473="","",SUMIF($A$2:$A$5001,$A473,$H$2:$H$5001))</f>
        <v/>
      </c>
      <c r="J473" s="47" t="n">
        <f aca="false">IF($A473="",0,IF(COUNTIF($A$2:A473,$A473)=1,1,0))</f>
        <v>0</v>
      </c>
      <c r="K473" s="47" t="n">
        <f aca="false">IF(J473=1,N(I473)+ROW()/10000000,0)</f>
        <v>0</v>
      </c>
      <c r="L473" s="47" t="str">
        <f aca="false">IF(AND(J473=1,N(I473)&gt;0),SUMIF($K$2:$K$5001,"&gt;="&amp;K473,$I$2:$I$5001)/MAX(1,SUM($H$2:$H$5001)),"")</f>
        <v/>
      </c>
      <c r="M473" s="47" t="str">
        <f aca="false">IF($A473="","",INDEX($L$2:$L$5001,MATCH($A473,$A$2:$A$5001,0)))</f>
        <v/>
      </c>
      <c r="N473" s="48" t="str">
        <f aca="false">IF($A473="","",IF(N(M473)=0,"–",IF(M473&lt;=Start!$D$20,"A",IF(M473&lt;=Start!$D$21,"B","C"))))</f>
        <v/>
      </c>
      <c r="O473" s="48" t="str">
        <f aca="false">IF($A473="","",IF(NOT(ISNUMBER(F473)),"Wert fehlt; ",IF(F473&lt;=0,"Wert ist 0; ",""))&amp;IF(NOT(ISNUMBER(E473)),"Bestand fehlt; ",IF(E473&lt;0,"Bestand negativ; ",IF(E473=0,"Nullbestand; ","")))&amp;IF(D473="","Warengruppe fehlt; ","")&amp;IF(B473="","Bezeichnung fehlt; ","")&amp;IF(COUNTIFS($A$2:$A$5001,$A473,$C$2:$C$5001,C473)&gt;1,"Artikel doppelt im selben Lager; ",""))</f>
        <v/>
      </c>
      <c r="P473" s="47" t="n">
        <f aca="false">IF(OR($A473="",D473=""),0,IF(COUNTIF($D$2:D473,D473)=1,SUMIF($D$2:$D$5001,D473,$H$2:$H$5001)+ROW()/10000000,0))</f>
        <v>0</v>
      </c>
      <c r="Q473" s="47" t="n">
        <f aca="false">IF(OR($A473="",C473=""),0,IF(COUNTIF($C$2:C473,C473)=1,SUMIF($C$2:$C$5001,C473,$H$2:$H$5001)+ROW()/10000000,0))</f>
        <v>0</v>
      </c>
    </row>
    <row r="474" customFormat="false" ht="15" hidden="false" customHeight="false" outlineLevel="0" collapsed="false">
      <c r="A474" s="43"/>
      <c r="B474" s="44"/>
      <c r="C474" s="44"/>
      <c r="D474" s="44"/>
      <c r="E474" s="44"/>
      <c r="F474" s="44"/>
      <c r="G474" s="44"/>
      <c r="H474" s="46" t="str">
        <f aca="false">IF($A474="","",IF(OR(NOT(ISNUMBER(E474)),NOT(ISNUMBER(F474))),"",MAX(0,E474)*F474))</f>
        <v/>
      </c>
      <c r="I474" s="46" t="str">
        <f aca="false">IF($A474="","",SUMIF($A$2:$A$5001,$A474,$H$2:$H$5001))</f>
        <v/>
      </c>
      <c r="J474" s="47" t="n">
        <f aca="false">IF($A474="",0,IF(COUNTIF($A$2:A474,$A474)=1,1,0))</f>
        <v>0</v>
      </c>
      <c r="K474" s="47" t="n">
        <f aca="false">IF(J474=1,N(I474)+ROW()/10000000,0)</f>
        <v>0</v>
      </c>
      <c r="L474" s="47" t="str">
        <f aca="false">IF(AND(J474=1,N(I474)&gt;0),SUMIF($K$2:$K$5001,"&gt;="&amp;K474,$I$2:$I$5001)/MAX(1,SUM($H$2:$H$5001)),"")</f>
        <v/>
      </c>
      <c r="M474" s="47" t="str">
        <f aca="false">IF($A474="","",INDEX($L$2:$L$5001,MATCH($A474,$A$2:$A$5001,0)))</f>
        <v/>
      </c>
      <c r="N474" s="48" t="str">
        <f aca="false">IF($A474="","",IF(N(M474)=0,"–",IF(M474&lt;=Start!$D$20,"A",IF(M474&lt;=Start!$D$21,"B","C"))))</f>
        <v/>
      </c>
      <c r="O474" s="48" t="str">
        <f aca="false">IF($A474="","",IF(NOT(ISNUMBER(F474)),"Wert fehlt; ",IF(F474&lt;=0,"Wert ist 0; ",""))&amp;IF(NOT(ISNUMBER(E474)),"Bestand fehlt; ",IF(E474&lt;0,"Bestand negativ; ",IF(E474=0,"Nullbestand; ","")))&amp;IF(D474="","Warengruppe fehlt; ","")&amp;IF(B474="","Bezeichnung fehlt; ","")&amp;IF(COUNTIFS($A$2:$A$5001,$A474,$C$2:$C$5001,C474)&gt;1,"Artikel doppelt im selben Lager; ",""))</f>
        <v/>
      </c>
      <c r="P474" s="47" t="n">
        <f aca="false">IF(OR($A474="",D474=""),0,IF(COUNTIF($D$2:D474,D474)=1,SUMIF($D$2:$D$5001,D474,$H$2:$H$5001)+ROW()/10000000,0))</f>
        <v>0</v>
      </c>
      <c r="Q474" s="47" t="n">
        <f aca="false">IF(OR($A474="",C474=""),0,IF(COUNTIF($C$2:C474,C474)=1,SUMIF($C$2:$C$5001,C474,$H$2:$H$5001)+ROW()/10000000,0))</f>
        <v>0</v>
      </c>
    </row>
    <row r="475" customFormat="false" ht="15" hidden="false" customHeight="false" outlineLevel="0" collapsed="false">
      <c r="A475" s="43"/>
      <c r="B475" s="44"/>
      <c r="C475" s="44"/>
      <c r="D475" s="44"/>
      <c r="E475" s="44"/>
      <c r="F475" s="44"/>
      <c r="G475" s="44"/>
      <c r="H475" s="46" t="str">
        <f aca="false">IF($A475="","",IF(OR(NOT(ISNUMBER(E475)),NOT(ISNUMBER(F475))),"",MAX(0,E475)*F475))</f>
        <v/>
      </c>
      <c r="I475" s="46" t="str">
        <f aca="false">IF($A475="","",SUMIF($A$2:$A$5001,$A475,$H$2:$H$5001))</f>
        <v/>
      </c>
      <c r="J475" s="47" t="n">
        <f aca="false">IF($A475="",0,IF(COUNTIF($A$2:A475,$A475)=1,1,0))</f>
        <v>0</v>
      </c>
      <c r="K475" s="47" t="n">
        <f aca="false">IF(J475=1,N(I475)+ROW()/10000000,0)</f>
        <v>0</v>
      </c>
      <c r="L475" s="47" t="str">
        <f aca="false">IF(AND(J475=1,N(I475)&gt;0),SUMIF($K$2:$K$5001,"&gt;="&amp;K475,$I$2:$I$5001)/MAX(1,SUM($H$2:$H$5001)),"")</f>
        <v/>
      </c>
      <c r="M475" s="47" t="str">
        <f aca="false">IF($A475="","",INDEX($L$2:$L$5001,MATCH($A475,$A$2:$A$5001,0)))</f>
        <v/>
      </c>
      <c r="N475" s="48" t="str">
        <f aca="false">IF($A475="","",IF(N(M475)=0,"–",IF(M475&lt;=Start!$D$20,"A",IF(M475&lt;=Start!$D$21,"B","C"))))</f>
        <v/>
      </c>
      <c r="O475" s="48" t="str">
        <f aca="false">IF($A475="","",IF(NOT(ISNUMBER(F475)),"Wert fehlt; ",IF(F475&lt;=0,"Wert ist 0; ",""))&amp;IF(NOT(ISNUMBER(E475)),"Bestand fehlt; ",IF(E475&lt;0,"Bestand negativ; ",IF(E475=0,"Nullbestand; ","")))&amp;IF(D475="","Warengruppe fehlt; ","")&amp;IF(B475="","Bezeichnung fehlt; ","")&amp;IF(COUNTIFS($A$2:$A$5001,$A475,$C$2:$C$5001,C475)&gt;1,"Artikel doppelt im selben Lager; ",""))</f>
        <v/>
      </c>
      <c r="P475" s="47" t="n">
        <f aca="false">IF(OR($A475="",D475=""),0,IF(COUNTIF($D$2:D475,D475)=1,SUMIF($D$2:$D$5001,D475,$H$2:$H$5001)+ROW()/10000000,0))</f>
        <v>0</v>
      </c>
      <c r="Q475" s="47" t="n">
        <f aca="false">IF(OR($A475="",C475=""),0,IF(COUNTIF($C$2:C475,C475)=1,SUMIF($C$2:$C$5001,C475,$H$2:$H$5001)+ROW()/10000000,0))</f>
        <v>0</v>
      </c>
    </row>
    <row r="476" customFormat="false" ht="15" hidden="false" customHeight="false" outlineLevel="0" collapsed="false">
      <c r="A476" s="43"/>
      <c r="B476" s="44"/>
      <c r="C476" s="44"/>
      <c r="D476" s="44"/>
      <c r="E476" s="44"/>
      <c r="F476" s="44"/>
      <c r="G476" s="44"/>
      <c r="H476" s="46" t="str">
        <f aca="false">IF($A476="","",IF(OR(NOT(ISNUMBER(E476)),NOT(ISNUMBER(F476))),"",MAX(0,E476)*F476))</f>
        <v/>
      </c>
      <c r="I476" s="46" t="str">
        <f aca="false">IF($A476="","",SUMIF($A$2:$A$5001,$A476,$H$2:$H$5001))</f>
        <v/>
      </c>
      <c r="J476" s="47" t="n">
        <f aca="false">IF($A476="",0,IF(COUNTIF($A$2:A476,$A476)=1,1,0))</f>
        <v>0</v>
      </c>
      <c r="K476" s="47" t="n">
        <f aca="false">IF(J476=1,N(I476)+ROW()/10000000,0)</f>
        <v>0</v>
      </c>
      <c r="L476" s="47" t="str">
        <f aca="false">IF(AND(J476=1,N(I476)&gt;0),SUMIF($K$2:$K$5001,"&gt;="&amp;K476,$I$2:$I$5001)/MAX(1,SUM($H$2:$H$5001)),"")</f>
        <v/>
      </c>
      <c r="M476" s="47" t="str">
        <f aca="false">IF($A476="","",INDEX($L$2:$L$5001,MATCH($A476,$A$2:$A$5001,0)))</f>
        <v/>
      </c>
      <c r="N476" s="48" t="str">
        <f aca="false">IF($A476="","",IF(N(M476)=0,"–",IF(M476&lt;=Start!$D$20,"A",IF(M476&lt;=Start!$D$21,"B","C"))))</f>
        <v/>
      </c>
      <c r="O476" s="48" t="str">
        <f aca="false">IF($A476="","",IF(NOT(ISNUMBER(F476)),"Wert fehlt; ",IF(F476&lt;=0,"Wert ist 0; ",""))&amp;IF(NOT(ISNUMBER(E476)),"Bestand fehlt; ",IF(E476&lt;0,"Bestand negativ; ",IF(E476=0,"Nullbestand; ","")))&amp;IF(D476="","Warengruppe fehlt; ","")&amp;IF(B476="","Bezeichnung fehlt; ","")&amp;IF(COUNTIFS($A$2:$A$5001,$A476,$C$2:$C$5001,C476)&gt;1,"Artikel doppelt im selben Lager; ",""))</f>
        <v/>
      </c>
      <c r="P476" s="47" t="n">
        <f aca="false">IF(OR($A476="",D476=""),0,IF(COUNTIF($D$2:D476,D476)=1,SUMIF($D$2:$D$5001,D476,$H$2:$H$5001)+ROW()/10000000,0))</f>
        <v>0</v>
      </c>
      <c r="Q476" s="47" t="n">
        <f aca="false">IF(OR($A476="",C476=""),0,IF(COUNTIF($C$2:C476,C476)=1,SUMIF($C$2:$C$5001,C476,$H$2:$H$5001)+ROW()/10000000,0))</f>
        <v>0</v>
      </c>
    </row>
    <row r="477" customFormat="false" ht="15" hidden="false" customHeight="false" outlineLevel="0" collapsed="false">
      <c r="A477" s="43"/>
      <c r="B477" s="44"/>
      <c r="C477" s="44"/>
      <c r="D477" s="44"/>
      <c r="E477" s="44"/>
      <c r="F477" s="44"/>
      <c r="G477" s="44"/>
      <c r="H477" s="46" t="str">
        <f aca="false">IF($A477="","",IF(OR(NOT(ISNUMBER(E477)),NOT(ISNUMBER(F477))),"",MAX(0,E477)*F477))</f>
        <v/>
      </c>
      <c r="I477" s="46" t="str">
        <f aca="false">IF($A477="","",SUMIF($A$2:$A$5001,$A477,$H$2:$H$5001))</f>
        <v/>
      </c>
      <c r="J477" s="47" t="n">
        <f aca="false">IF($A477="",0,IF(COUNTIF($A$2:A477,$A477)=1,1,0))</f>
        <v>0</v>
      </c>
      <c r="K477" s="47" t="n">
        <f aca="false">IF(J477=1,N(I477)+ROW()/10000000,0)</f>
        <v>0</v>
      </c>
      <c r="L477" s="47" t="str">
        <f aca="false">IF(AND(J477=1,N(I477)&gt;0),SUMIF($K$2:$K$5001,"&gt;="&amp;K477,$I$2:$I$5001)/MAX(1,SUM($H$2:$H$5001)),"")</f>
        <v/>
      </c>
      <c r="M477" s="47" t="str">
        <f aca="false">IF($A477="","",INDEX($L$2:$L$5001,MATCH($A477,$A$2:$A$5001,0)))</f>
        <v/>
      </c>
      <c r="N477" s="48" t="str">
        <f aca="false">IF($A477="","",IF(N(M477)=0,"–",IF(M477&lt;=Start!$D$20,"A",IF(M477&lt;=Start!$D$21,"B","C"))))</f>
        <v/>
      </c>
      <c r="O477" s="48" t="str">
        <f aca="false">IF($A477="","",IF(NOT(ISNUMBER(F477)),"Wert fehlt; ",IF(F477&lt;=0,"Wert ist 0; ",""))&amp;IF(NOT(ISNUMBER(E477)),"Bestand fehlt; ",IF(E477&lt;0,"Bestand negativ; ",IF(E477=0,"Nullbestand; ","")))&amp;IF(D477="","Warengruppe fehlt; ","")&amp;IF(B477="","Bezeichnung fehlt; ","")&amp;IF(COUNTIFS($A$2:$A$5001,$A477,$C$2:$C$5001,C477)&gt;1,"Artikel doppelt im selben Lager; ",""))</f>
        <v/>
      </c>
      <c r="P477" s="47" t="n">
        <f aca="false">IF(OR($A477="",D477=""),0,IF(COUNTIF($D$2:D477,D477)=1,SUMIF($D$2:$D$5001,D477,$H$2:$H$5001)+ROW()/10000000,0))</f>
        <v>0</v>
      </c>
      <c r="Q477" s="47" t="n">
        <f aca="false">IF(OR($A477="",C477=""),0,IF(COUNTIF($C$2:C477,C477)=1,SUMIF($C$2:$C$5001,C477,$H$2:$H$5001)+ROW()/10000000,0))</f>
        <v>0</v>
      </c>
    </row>
    <row r="478" customFormat="false" ht="15" hidden="false" customHeight="false" outlineLevel="0" collapsed="false">
      <c r="A478" s="43"/>
      <c r="B478" s="44"/>
      <c r="C478" s="44"/>
      <c r="D478" s="44"/>
      <c r="E478" s="44"/>
      <c r="F478" s="44"/>
      <c r="G478" s="44"/>
      <c r="H478" s="46" t="str">
        <f aca="false">IF($A478="","",IF(OR(NOT(ISNUMBER(E478)),NOT(ISNUMBER(F478))),"",MAX(0,E478)*F478))</f>
        <v/>
      </c>
      <c r="I478" s="46" t="str">
        <f aca="false">IF($A478="","",SUMIF($A$2:$A$5001,$A478,$H$2:$H$5001))</f>
        <v/>
      </c>
      <c r="J478" s="47" t="n">
        <f aca="false">IF($A478="",0,IF(COUNTIF($A$2:A478,$A478)=1,1,0))</f>
        <v>0</v>
      </c>
      <c r="K478" s="47" t="n">
        <f aca="false">IF(J478=1,N(I478)+ROW()/10000000,0)</f>
        <v>0</v>
      </c>
      <c r="L478" s="47" t="str">
        <f aca="false">IF(AND(J478=1,N(I478)&gt;0),SUMIF($K$2:$K$5001,"&gt;="&amp;K478,$I$2:$I$5001)/MAX(1,SUM($H$2:$H$5001)),"")</f>
        <v/>
      </c>
      <c r="M478" s="47" t="str">
        <f aca="false">IF($A478="","",INDEX($L$2:$L$5001,MATCH($A478,$A$2:$A$5001,0)))</f>
        <v/>
      </c>
      <c r="N478" s="48" t="str">
        <f aca="false">IF($A478="","",IF(N(M478)=0,"–",IF(M478&lt;=Start!$D$20,"A",IF(M478&lt;=Start!$D$21,"B","C"))))</f>
        <v/>
      </c>
      <c r="O478" s="48" t="str">
        <f aca="false">IF($A478="","",IF(NOT(ISNUMBER(F478)),"Wert fehlt; ",IF(F478&lt;=0,"Wert ist 0; ",""))&amp;IF(NOT(ISNUMBER(E478)),"Bestand fehlt; ",IF(E478&lt;0,"Bestand negativ; ",IF(E478=0,"Nullbestand; ","")))&amp;IF(D478="","Warengruppe fehlt; ","")&amp;IF(B478="","Bezeichnung fehlt; ","")&amp;IF(COUNTIFS($A$2:$A$5001,$A478,$C$2:$C$5001,C478)&gt;1,"Artikel doppelt im selben Lager; ",""))</f>
        <v/>
      </c>
      <c r="P478" s="47" t="n">
        <f aca="false">IF(OR($A478="",D478=""),0,IF(COUNTIF($D$2:D478,D478)=1,SUMIF($D$2:$D$5001,D478,$H$2:$H$5001)+ROW()/10000000,0))</f>
        <v>0</v>
      </c>
      <c r="Q478" s="47" t="n">
        <f aca="false">IF(OR($A478="",C478=""),0,IF(COUNTIF($C$2:C478,C478)=1,SUMIF($C$2:$C$5001,C478,$H$2:$H$5001)+ROW()/10000000,0))</f>
        <v>0</v>
      </c>
    </row>
    <row r="479" customFormat="false" ht="15" hidden="false" customHeight="false" outlineLevel="0" collapsed="false">
      <c r="A479" s="43"/>
      <c r="B479" s="44"/>
      <c r="C479" s="44"/>
      <c r="D479" s="44"/>
      <c r="E479" s="44"/>
      <c r="F479" s="44"/>
      <c r="G479" s="44"/>
      <c r="H479" s="46" t="str">
        <f aca="false">IF($A479="","",IF(OR(NOT(ISNUMBER(E479)),NOT(ISNUMBER(F479))),"",MAX(0,E479)*F479))</f>
        <v/>
      </c>
      <c r="I479" s="46" t="str">
        <f aca="false">IF($A479="","",SUMIF($A$2:$A$5001,$A479,$H$2:$H$5001))</f>
        <v/>
      </c>
      <c r="J479" s="47" t="n">
        <f aca="false">IF($A479="",0,IF(COUNTIF($A$2:A479,$A479)=1,1,0))</f>
        <v>0</v>
      </c>
      <c r="K479" s="47" t="n">
        <f aca="false">IF(J479=1,N(I479)+ROW()/10000000,0)</f>
        <v>0</v>
      </c>
      <c r="L479" s="47" t="str">
        <f aca="false">IF(AND(J479=1,N(I479)&gt;0),SUMIF($K$2:$K$5001,"&gt;="&amp;K479,$I$2:$I$5001)/MAX(1,SUM($H$2:$H$5001)),"")</f>
        <v/>
      </c>
      <c r="M479" s="47" t="str">
        <f aca="false">IF($A479="","",INDEX($L$2:$L$5001,MATCH($A479,$A$2:$A$5001,0)))</f>
        <v/>
      </c>
      <c r="N479" s="48" t="str">
        <f aca="false">IF($A479="","",IF(N(M479)=0,"–",IF(M479&lt;=Start!$D$20,"A",IF(M479&lt;=Start!$D$21,"B","C"))))</f>
        <v/>
      </c>
      <c r="O479" s="48" t="str">
        <f aca="false">IF($A479="","",IF(NOT(ISNUMBER(F479)),"Wert fehlt; ",IF(F479&lt;=0,"Wert ist 0; ",""))&amp;IF(NOT(ISNUMBER(E479)),"Bestand fehlt; ",IF(E479&lt;0,"Bestand negativ; ",IF(E479=0,"Nullbestand; ","")))&amp;IF(D479="","Warengruppe fehlt; ","")&amp;IF(B479="","Bezeichnung fehlt; ","")&amp;IF(COUNTIFS($A$2:$A$5001,$A479,$C$2:$C$5001,C479)&gt;1,"Artikel doppelt im selben Lager; ",""))</f>
        <v/>
      </c>
      <c r="P479" s="47" t="n">
        <f aca="false">IF(OR($A479="",D479=""),0,IF(COUNTIF($D$2:D479,D479)=1,SUMIF($D$2:$D$5001,D479,$H$2:$H$5001)+ROW()/10000000,0))</f>
        <v>0</v>
      </c>
      <c r="Q479" s="47" t="n">
        <f aca="false">IF(OR($A479="",C479=""),0,IF(COUNTIF($C$2:C479,C479)=1,SUMIF($C$2:$C$5001,C479,$H$2:$H$5001)+ROW()/10000000,0))</f>
        <v>0</v>
      </c>
    </row>
    <row r="480" customFormat="false" ht="15" hidden="false" customHeight="false" outlineLevel="0" collapsed="false">
      <c r="A480" s="43"/>
      <c r="B480" s="44"/>
      <c r="C480" s="44"/>
      <c r="D480" s="44"/>
      <c r="E480" s="44"/>
      <c r="F480" s="44"/>
      <c r="G480" s="44"/>
      <c r="H480" s="46" t="str">
        <f aca="false">IF($A480="","",IF(OR(NOT(ISNUMBER(E480)),NOT(ISNUMBER(F480))),"",MAX(0,E480)*F480))</f>
        <v/>
      </c>
      <c r="I480" s="46" t="str">
        <f aca="false">IF($A480="","",SUMIF($A$2:$A$5001,$A480,$H$2:$H$5001))</f>
        <v/>
      </c>
      <c r="J480" s="47" t="n">
        <f aca="false">IF($A480="",0,IF(COUNTIF($A$2:A480,$A480)=1,1,0))</f>
        <v>0</v>
      </c>
      <c r="K480" s="47" t="n">
        <f aca="false">IF(J480=1,N(I480)+ROW()/10000000,0)</f>
        <v>0</v>
      </c>
      <c r="L480" s="47" t="str">
        <f aca="false">IF(AND(J480=1,N(I480)&gt;0),SUMIF($K$2:$K$5001,"&gt;="&amp;K480,$I$2:$I$5001)/MAX(1,SUM($H$2:$H$5001)),"")</f>
        <v/>
      </c>
      <c r="M480" s="47" t="str">
        <f aca="false">IF($A480="","",INDEX($L$2:$L$5001,MATCH($A480,$A$2:$A$5001,0)))</f>
        <v/>
      </c>
      <c r="N480" s="48" t="str">
        <f aca="false">IF($A480="","",IF(N(M480)=0,"–",IF(M480&lt;=Start!$D$20,"A",IF(M480&lt;=Start!$D$21,"B","C"))))</f>
        <v/>
      </c>
      <c r="O480" s="48" t="str">
        <f aca="false">IF($A480="","",IF(NOT(ISNUMBER(F480)),"Wert fehlt; ",IF(F480&lt;=0,"Wert ist 0; ",""))&amp;IF(NOT(ISNUMBER(E480)),"Bestand fehlt; ",IF(E480&lt;0,"Bestand negativ; ",IF(E480=0,"Nullbestand; ","")))&amp;IF(D480="","Warengruppe fehlt; ","")&amp;IF(B480="","Bezeichnung fehlt; ","")&amp;IF(COUNTIFS($A$2:$A$5001,$A480,$C$2:$C$5001,C480)&gt;1,"Artikel doppelt im selben Lager; ",""))</f>
        <v/>
      </c>
      <c r="P480" s="47" t="n">
        <f aca="false">IF(OR($A480="",D480=""),0,IF(COUNTIF($D$2:D480,D480)=1,SUMIF($D$2:$D$5001,D480,$H$2:$H$5001)+ROW()/10000000,0))</f>
        <v>0</v>
      </c>
      <c r="Q480" s="47" t="n">
        <f aca="false">IF(OR($A480="",C480=""),0,IF(COUNTIF($C$2:C480,C480)=1,SUMIF($C$2:$C$5001,C480,$H$2:$H$5001)+ROW()/10000000,0))</f>
        <v>0</v>
      </c>
    </row>
    <row r="481" customFormat="false" ht="15" hidden="false" customHeight="false" outlineLevel="0" collapsed="false">
      <c r="A481" s="43"/>
      <c r="B481" s="44"/>
      <c r="C481" s="44"/>
      <c r="D481" s="44"/>
      <c r="E481" s="44"/>
      <c r="F481" s="44"/>
      <c r="G481" s="44"/>
      <c r="H481" s="46" t="str">
        <f aca="false">IF($A481="","",IF(OR(NOT(ISNUMBER(E481)),NOT(ISNUMBER(F481))),"",MAX(0,E481)*F481))</f>
        <v/>
      </c>
      <c r="I481" s="46" t="str">
        <f aca="false">IF($A481="","",SUMIF($A$2:$A$5001,$A481,$H$2:$H$5001))</f>
        <v/>
      </c>
      <c r="J481" s="47" t="n">
        <f aca="false">IF($A481="",0,IF(COUNTIF($A$2:A481,$A481)=1,1,0))</f>
        <v>0</v>
      </c>
      <c r="K481" s="47" t="n">
        <f aca="false">IF(J481=1,N(I481)+ROW()/10000000,0)</f>
        <v>0</v>
      </c>
      <c r="L481" s="47" t="str">
        <f aca="false">IF(AND(J481=1,N(I481)&gt;0),SUMIF($K$2:$K$5001,"&gt;="&amp;K481,$I$2:$I$5001)/MAX(1,SUM($H$2:$H$5001)),"")</f>
        <v/>
      </c>
      <c r="M481" s="47" t="str">
        <f aca="false">IF($A481="","",INDEX($L$2:$L$5001,MATCH($A481,$A$2:$A$5001,0)))</f>
        <v/>
      </c>
      <c r="N481" s="48" t="str">
        <f aca="false">IF($A481="","",IF(N(M481)=0,"–",IF(M481&lt;=Start!$D$20,"A",IF(M481&lt;=Start!$D$21,"B","C"))))</f>
        <v/>
      </c>
      <c r="O481" s="48" t="str">
        <f aca="false">IF($A481="","",IF(NOT(ISNUMBER(F481)),"Wert fehlt; ",IF(F481&lt;=0,"Wert ist 0; ",""))&amp;IF(NOT(ISNUMBER(E481)),"Bestand fehlt; ",IF(E481&lt;0,"Bestand negativ; ",IF(E481=0,"Nullbestand; ","")))&amp;IF(D481="","Warengruppe fehlt; ","")&amp;IF(B481="","Bezeichnung fehlt; ","")&amp;IF(COUNTIFS($A$2:$A$5001,$A481,$C$2:$C$5001,C481)&gt;1,"Artikel doppelt im selben Lager; ",""))</f>
        <v/>
      </c>
      <c r="P481" s="47" t="n">
        <f aca="false">IF(OR($A481="",D481=""),0,IF(COUNTIF($D$2:D481,D481)=1,SUMIF($D$2:$D$5001,D481,$H$2:$H$5001)+ROW()/10000000,0))</f>
        <v>0</v>
      </c>
      <c r="Q481" s="47" t="n">
        <f aca="false">IF(OR($A481="",C481=""),0,IF(COUNTIF($C$2:C481,C481)=1,SUMIF($C$2:$C$5001,C481,$H$2:$H$5001)+ROW()/10000000,0))</f>
        <v>0</v>
      </c>
    </row>
    <row r="482" customFormat="false" ht="15" hidden="false" customHeight="false" outlineLevel="0" collapsed="false">
      <c r="A482" s="43"/>
      <c r="B482" s="44"/>
      <c r="C482" s="44"/>
      <c r="D482" s="44"/>
      <c r="E482" s="44"/>
      <c r="F482" s="44"/>
      <c r="G482" s="44"/>
      <c r="H482" s="46" t="str">
        <f aca="false">IF($A482="","",IF(OR(NOT(ISNUMBER(E482)),NOT(ISNUMBER(F482))),"",MAX(0,E482)*F482))</f>
        <v/>
      </c>
      <c r="I482" s="46" t="str">
        <f aca="false">IF($A482="","",SUMIF($A$2:$A$5001,$A482,$H$2:$H$5001))</f>
        <v/>
      </c>
      <c r="J482" s="47" t="n">
        <f aca="false">IF($A482="",0,IF(COUNTIF($A$2:A482,$A482)=1,1,0))</f>
        <v>0</v>
      </c>
      <c r="K482" s="47" t="n">
        <f aca="false">IF(J482=1,N(I482)+ROW()/10000000,0)</f>
        <v>0</v>
      </c>
      <c r="L482" s="47" t="str">
        <f aca="false">IF(AND(J482=1,N(I482)&gt;0),SUMIF($K$2:$K$5001,"&gt;="&amp;K482,$I$2:$I$5001)/MAX(1,SUM($H$2:$H$5001)),"")</f>
        <v/>
      </c>
      <c r="M482" s="47" t="str">
        <f aca="false">IF($A482="","",INDEX($L$2:$L$5001,MATCH($A482,$A$2:$A$5001,0)))</f>
        <v/>
      </c>
      <c r="N482" s="48" t="str">
        <f aca="false">IF($A482="","",IF(N(M482)=0,"–",IF(M482&lt;=Start!$D$20,"A",IF(M482&lt;=Start!$D$21,"B","C"))))</f>
        <v/>
      </c>
      <c r="O482" s="48" t="str">
        <f aca="false">IF($A482="","",IF(NOT(ISNUMBER(F482)),"Wert fehlt; ",IF(F482&lt;=0,"Wert ist 0; ",""))&amp;IF(NOT(ISNUMBER(E482)),"Bestand fehlt; ",IF(E482&lt;0,"Bestand negativ; ",IF(E482=0,"Nullbestand; ","")))&amp;IF(D482="","Warengruppe fehlt; ","")&amp;IF(B482="","Bezeichnung fehlt; ","")&amp;IF(COUNTIFS($A$2:$A$5001,$A482,$C$2:$C$5001,C482)&gt;1,"Artikel doppelt im selben Lager; ",""))</f>
        <v/>
      </c>
      <c r="P482" s="47" t="n">
        <f aca="false">IF(OR($A482="",D482=""),0,IF(COUNTIF($D$2:D482,D482)=1,SUMIF($D$2:$D$5001,D482,$H$2:$H$5001)+ROW()/10000000,0))</f>
        <v>0</v>
      </c>
      <c r="Q482" s="47" t="n">
        <f aca="false">IF(OR($A482="",C482=""),0,IF(COUNTIF($C$2:C482,C482)=1,SUMIF($C$2:$C$5001,C482,$H$2:$H$5001)+ROW()/10000000,0))</f>
        <v>0</v>
      </c>
    </row>
    <row r="483" customFormat="false" ht="15" hidden="false" customHeight="false" outlineLevel="0" collapsed="false">
      <c r="A483" s="43"/>
      <c r="B483" s="44"/>
      <c r="C483" s="44"/>
      <c r="D483" s="44"/>
      <c r="E483" s="44"/>
      <c r="F483" s="44"/>
      <c r="G483" s="44"/>
      <c r="H483" s="46" t="str">
        <f aca="false">IF($A483="","",IF(OR(NOT(ISNUMBER(E483)),NOT(ISNUMBER(F483))),"",MAX(0,E483)*F483))</f>
        <v/>
      </c>
      <c r="I483" s="46" t="str">
        <f aca="false">IF($A483="","",SUMIF($A$2:$A$5001,$A483,$H$2:$H$5001))</f>
        <v/>
      </c>
      <c r="J483" s="47" t="n">
        <f aca="false">IF($A483="",0,IF(COUNTIF($A$2:A483,$A483)=1,1,0))</f>
        <v>0</v>
      </c>
      <c r="K483" s="47" t="n">
        <f aca="false">IF(J483=1,N(I483)+ROW()/10000000,0)</f>
        <v>0</v>
      </c>
      <c r="L483" s="47" t="str">
        <f aca="false">IF(AND(J483=1,N(I483)&gt;0),SUMIF($K$2:$K$5001,"&gt;="&amp;K483,$I$2:$I$5001)/MAX(1,SUM($H$2:$H$5001)),"")</f>
        <v/>
      </c>
      <c r="M483" s="47" t="str">
        <f aca="false">IF($A483="","",INDEX($L$2:$L$5001,MATCH($A483,$A$2:$A$5001,0)))</f>
        <v/>
      </c>
      <c r="N483" s="48" t="str">
        <f aca="false">IF($A483="","",IF(N(M483)=0,"–",IF(M483&lt;=Start!$D$20,"A",IF(M483&lt;=Start!$D$21,"B","C"))))</f>
        <v/>
      </c>
      <c r="O483" s="48" t="str">
        <f aca="false">IF($A483="","",IF(NOT(ISNUMBER(F483)),"Wert fehlt; ",IF(F483&lt;=0,"Wert ist 0; ",""))&amp;IF(NOT(ISNUMBER(E483)),"Bestand fehlt; ",IF(E483&lt;0,"Bestand negativ; ",IF(E483=0,"Nullbestand; ","")))&amp;IF(D483="","Warengruppe fehlt; ","")&amp;IF(B483="","Bezeichnung fehlt; ","")&amp;IF(COUNTIFS($A$2:$A$5001,$A483,$C$2:$C$5001,C483)&gt;1,"Artikel doppelt im selben Lager; ",""))</f>
        <v/>
      </c>
      <c r="P483" s="47" t="n">
        <f aca="false">IF(OR($A483="",D483=""),0,IF(COUNTIF($D$2:D483,D483)=1,SUMIF($D$2:$D$5001,D483,$H$2:$H$5001)+ROW()/10000000,0))</f>
        <v>0</v>
      </c>
      <c r="Q483" s="47" t="n">
        <f aca="false">IF(OR($A483="",C483=""),0,IF(COUNTIF($C$2:C483,C483)=1,SUMIF($C$2:$C$5001,C483,$H$2:$H$5001)+ROW()/10000000,0))</f>
        <v>0</v>
      </c>
    </row>
    <row r="484" customFormat="false" ht="15" hidden="false" customHeight="false" outlineLevel="0" collapsed="false">
      <c r="A484" s="43"/>
      <c r="B484" s="44"/>
      <c r="C484" s="44"/>
      <c r="D484" s="44"/>
      <c r="E484" s="44"/>
      <c r="F484" s="44"/>
      <c r="G484" s="44"/>
      <c r="H484" s="46" t="str">
        <f aca="false">IF($A484="","",IF(OR(NOT(ISNUMBER(E484)),NOT(ISNUMBER(F484))),"",MAX(0,E484)*F484))</f>
        <v/>
      </c>
      <c r="I484" s="46" t="str">
        <f aca="false">IF($A484="","",SUMIF($A$2:$A$5001,$A484,$H$2:$H$5001))</f>
        <v/>
      </c>
      <c r="J484" s="47" t="n">
        <f aca="false">IF($A484="",0,IF(COUNTIF($A$2:A484,$A484)=1,1,0))</f>
        <v>0</v>
      </c>
      <c r="K484" s="47" t="n">
        <f aca="false">IF(J484=1,N(I484)+ROW()/10000000,0)</f>
        <v>0</v>
      </c>
      <c r="L484" s="47" t="str">
        <f aca="false">IF(AND(J484=1,N(I484)&gt;0),SUMIF($K$2:$K$5001,"&gt;="&amp;K484,$I$2:$I$5001)/MAX(1,SUM($H$2:$H$5001)),"")</f>
        <v/>
      </c>
      <c r="M484" s="47" t="str">
        <f aca="false">IF($A484="","",INDEX($L$2:$L$5001,MATCH($A484,$A$2:$A$5001,0)))</f>
        <v/>
      </c>
      <c r="N484" s="48" t="str">
        <f aca="false">IF($A484="","",IF(N(M484)=0,"–",IF(M484&lt;=Start!$D$20,"A",IF(M484&lt;=Start!$D$21,"B","C"))))</f>
        <v/>
      </c>
      <c r="O484" s="48" t="str">
        <f aca="false">IF($A484="","",IF(NOT(ISNUMBER(F484)),"Wert fehlt; ",IF(F484&lt;=0,"Wert ist 0; ",""))&amp;IF(NOT(ISNUMBER(E484)),"Bestand fehlt; ",IF(E484&lt;0,"Bestand negativ; ",IF(E484=0,"Nullbestand; ","")))&amp;IF(D484="","Warengruppe fehlt; ","")&amp;IF(B484="","Bezeichnung fehlt; ","")&amp;IF(COUNTIFS($A$2:$A$5001,$A484,$C$2:$C$5001,C484)&gt;1,"Artikel doppelt im selben Lager; ",""))</f>
        <v/>
      </c>
      <c r="P484" s="47" t="n">
        <f aca="false">IF(OR($A484="",D484=""),0,IF(COUNTIF($D$2:D484,D484)=1,SUMIF($D$2:$D$5001,D484,$H$2:$H$5001)+ROW()/10000000,0))</f>
        <v>0</v>
      </c>
      <c r="Q484" s="47" t="n">
        <f aca="false">IF(OR($A484="",C484=""),0,IF(COUNTIF($C$2:C484,C484)=1,SUMIF($C$2:$C$5001,C484,$H$2:$H$5001)+ROW()/10000000,0))</f>
        <v>0</v>
      </c>
    </row>
    <row r="485" customFormat="false" ht="15" hidden="false" customHeight="false" outlineLevel="0" collapsed="false">
      <c r="A485" s="43"/>
      <c r="B485" s="44"/>
      <c r="C485" s="44"/>
      <c r="D485" s="44"/>
      <c r="E485" s="44"/>
      <c r="F485" s="44"/>
      <c r="G485" s="44"/>
      <c r="H485" s="46" t="str">
        <f aca="false">IF($A485="","",IF(OR(NOT(ISNUMBER(E485)),NOT(ISNUMBER(F485))),"",MAX(0,E485)*F485))</f>
        <v/>
      </c>
      <c r="I485" s="46" t="str">
        <f aca="false">IF($A485="","",SUMIF($A$2:$A$5001,$A485,$H$2:$H$5001))</f>
        <v/>
      </c>
      <c r="J485" s="47" t="n">
        <f aca="false">IF($A485="",0,IF(COUNTIF($A$2:A485,$A485)=1,1,0))</f>
        <v>0</v>
      </c>
      <c r="K485" s="47" t="n">
        <f aca="false">IF(J485=1,N(I485)+ROW()/10000000,0)</f>
        <v>0</v>
      </c>
      <c r="L485" s="47" t="str">
        <f aca="false">IF(AND(J485=1,N(I485)&gt;0),SUMIF($K$2:$K$5001,"&gt;="&amp;K485,$I$2:$I$5001)/MAX(1,SUM($H$2:$H$5001)),"")</f>
        <v/>
      </c>
      <c r="M485" s="47" t="str">
        <f aca="false">IF($A485="","",INDEX($L$2:$L$5001,MATCH($A485,$A$2:$A$5001,0)))</f>
        <v/>
      </c>
      <c r="N485" s="48" t="str">
        <f aca="false">IF($A485="","",IF(N(M485)=0,"–",IF(M485&lt;=Start!$D$20,"A",IF(M485&lt;=Start!$D$21,"B","C"))))</f>
        <v/>
      </c>
      <c r="O485" s="48" t="str">
        <f aca="false">IF($A485="","",IF(NOT(ISNUMBER(F485)),"Wert fehlt; ",IF(F485&lt;=0,"Wert ist 0; ",""))&amp;IF(NOT(ISNUMBER(E485)),"Bestand fehlt; ",IF(E485&lt;0,"Bestand negativ; ",IF(E485=0,"Nullbestand; ","")))&amp;IF(D485="","Warengruppe fehlt; ","")&amp;IF(B485="","Bezeichnung fehlt; ","")&amp;IF(COUNTIFS($A$2:$A$5001,$A485,$C$2:$C$5001,C485)&gt;1,"Artikel doppelt im selben Lager; ",""))</f>
        <v/>
      </c>
      <c r="P485" s="47" t="n">
        <f aca="false">IF(OR($A485="",D485=""),0,IF(COUNTIF($D$2:D485,D485)=1,SUMIF($D$2:$D$5001,D485,$H$2:$H$5001)+ROW()/10000000,0))</f>
        <v>0</v>
      </c>
      <c r="Q485" s="47" t="n">
        <f aca="false">IF(OR($A485="",C485=""),0,IF(COUNTIF($C$2:C485,C485)=1,SUMIF($C$2:$C$5001,C485,$H$2:$H$5001)+ROW()/10000000,0))</f>
        <v>0</v>
      </c>
    </row>
    <row r="486" customFormat="false" ht="15" hidden="false" customHeight="false" outlineLevel="0" collapsed="false">
      <c r="A486" s="43"/>
      <c r="B486" s="44"/>
      <c r="C486" s="44"/>
      <c r="D486" s="44"/>
      <c r="E486" s="44"/>
      <c r="F486" s="44"/>
      <c r="G486" s="44"/>
      <c r="H486" s="46" t="str">
        <f aca="false">IF($A486="","",IF(OR(NOT(ISNUMBER(E486)),NOT(ISNUMBER(F486))),"",MAX(0,E486)*F486))</f>
        <v/>
      </c>
      <c r="I486" s="46" t="str">
        <f aca="false">IF($A486="","",SUMIF($A$2:$A$5001,$A486,$H$2:$H$5001))</f>
        <v/>
      </c>
      <c r="J486" s="47" t="n">
        <f aca="false">IF($A486="",0,IF(COUNTIF($A$2:A486,$A486)=1,1,0))</f>
        <v>0</v>
      </c>
      <c r="K486" s="47" t="n">
        <f aca="false">IF(J486=1,N(I486)+ROW()/10000000,0)</f>
        <v>0</v>
      </c>
      <c r="L486" s="47" t="str">
        <f aca="false">IF(AND(J486=1,N(I486)&gt;0),SUMIF($K$2:$K$5001,"&gt;="&amp;K486,$I$2:$I$5001)/MAX(1,SUM($H$2:$H$5001)),"")</f>
        <v/>
      </c>
      <c r="M486" s="47" t="str">
        <f aca="false">IF($A486="","",INDEX($L$2:$L$5001,MATCH($A486,$A$2:$A$5001,0)))</f>
        <v/>
      </c>
      <c r="N486" s="48" t="str">
        <f aca="false">IF($A486="","",IF(N(M486)=0,"–",IF(M486&lt;=Start!$D$20,"A",IF(M486&lt;=Start!$D$21,"B","C"))))</f>
        <v/>
      </c>
      <c r="O486" s="48" t="str">
        <f aca="false">IF($A486="","",IF(NOT(ISNUMBER(F486)),"Wert fehlt; ",IF(F486&lt;=0,"Wert ist 0; ",""))&amp;IF(NOT(ISNUMBER(E486)),"Bestand fehlt; ",IF(E486&lt;0,"Bestand negativ; ",IF(E486=0,"Nullbestand; ","")))&amp;IF(D486="","Warengruppe fehlt; ","")&amp;IF(B486="","Bezeichnung fehlt; ","")&amp;IF(COUNTIFS($A$2:$A$5001,$A486,$C$2:$C$5001,C486)&gt;1,"Artikel doppelt im selben Lager; ",""))</f>
        <v/>
      </c>
      <c r="P486" s="47" t="n">
        <f aca="false">IF(OR($A486="",D486=""),0,IF(COUNTIF($D$2:D486,D486)=1,SUMIF($D$2:$D$5001,D486,$H$2:$H$5001)+ROW()/10000000,0))</f>
        <v>0</v>
      </c>
      <c r="Q486" s="47" t="n">
        <f aca="false">IF(OR($A486="",C486=""),0,IF(COUNTIF($C$2:C486,C486)=1,SUMIF($C$2:$C$5001,C486,$H$2:$H$5001)+ROW()/10000000,0))</f>
        <v>0</v>
      </c>
    </row>
    <row r="487" customFormat="false" ht="15" hidden="false" customHeight="false" outlineLevel="0" collapsed="false">
      <c r="A487" s="43"/>
      <c r="B487" s="44"/>
      <c r="C487" s="44"/>
      <c r="D487" s="44"/>
      <c r="E487" s="44"/>
      <c r="F487" s="44"/>
      <c r="G487" s="44"/>
      <c r="H487" s="46" t="str">
        <f aca="false">IF($A487="","",IF(OR(NOT(ISNUMBER(E487)),NOT(ISNUMBER(F487))),"",MAX(0,E487)*F487))</f>
        <v/>
      </c>
      <c r="I487" s="46" t="str">
        <f aca="false">IF($A487="","",SUMIF($A$2:$A$5001,$A487,$H$2:$H$5001))</f>
        <v/>
      </c>
      <c r="J487" s="47" t="n">
        <f aca="false">IF($A487="",0,IF(COUNTIF($A$2:A487,$A487)=1,1,0))</f>
        <v>0</v>
      </c>
      <c r="K487" s="47" t="n">
        <f aca="false">IF(J487=1,N(I487)+ROW()/10000000,0)</f>
        <v>0</v>
      </c>
      <c r="L487" s="47" t="str">
        <f aca="false">IF(AND(J487=1,N(I487)&gt;0),SUMIF($K$2:$K$5001,"&gt;="&amp;K487,$I$2:$I$5001)/MAX(1,SUM($H$2:$H$5001)),"")</f>
        <v/>
      </c>
      <c r="M487" s="47" t="str">
        <f aca="false">IF($A487="","",INDEX($L$2:$L$5001,MATCH($A487,$A$2:$A$5001,0)))</f>
        <v/>
      </c>
      <c r="N487" s="48" t="str">
        <f aca="false">IF($A487="","",IF(N(M487)=0,"–",IF(M487&lt;=Start!$D$20,"A",IF(M487&lt;=Start!$D$21,"B","C"))))</f>
        <v/>
      </c>
      <c r="O487" s="48" t="str">
        <f aca="false">IF($A487="","",IF(NOT(ISNUMBER(F487)),"Wert fehlt; ",IF(F487&lt;=0,"Wert ist 0; ",""))&amp;IF(NOT(ISNUMBER(E487)),"Bestand fehlt; ",IF(E487&lt;0,"Bestand negativ; ",IF(E487=0,"Nullbestand; ","")))&amp;IF(D487="","Warengruppe fehlt; ","")&amp;IF(B487="","Bezeichnung fehlt; ","")&amp;IF(COUNTIFS($A$2:$A$5001,$A487,$C$2:$C$5001,C487)&gt;1,"Artikel doppelt im selben Lager; ",""))</f>
        <v/>
      </c>
      <c r="P487" s="47" t="n">
        <f aca="false">IF(OR($A487="",D487=""),0,IF(COUNTIF($D$2:D487,D487)=1,SUMIF($D$2:$D$5001,D487,$H$2:$H$5001)+ROW()/10000000,0))</f>
        <v>0</v>
      </c>
      <c r="Q487" s="47" t="n">
        <f aca="false">IF(OR($A487="",C487=""),0,IF(COUNTIF($C$2:C487,C487)=1,SUMIF($C$2:$C$5001,C487,$H$2:$H$5001)+ROW()/10000000,0))</f>
        <v>0</v>
      </c>
    </row>
    <row r="488" customFormat="false" ht="15" hidden="false" customHeight="false" outlineLevel="0" collapsed="false">
      <c r="A488" s="43"/>
      <c r="B488" s="44"/>
      <c r="C488" s="44"/>
      <c r="D488" s="44"/>
      <c r="E488" s="44"/>
      <c r="F488" s="44"/>
      <c r="G488" s="44"/>
      <c r="H488" s="46" t="str">
        <f aca="false">IF($A488="","",IF(OR(NOT(ISNUMBER(E488)),NOT(ISNUMBER(F488))),"",MAX(0,E488)*F488))</f>
        <v/>
      </c>
      <c r="I488" s="46" t="str">
        <f aca="false">IF($A488="","",SUMIF($A$2:$A$5001,$A488,$H$2:$H$5001))</f>
        <v/>
      </c>
      <c r="J488" s="47" t="n">
        <f aca="false">IF($A488="",0,IF(COUNTIF($A$2:A488,$A488)=1,1,0))</f>
        <v>0</v>
      </c>
      <c r="K488" s="47" t="n">
        <f aca="false">IF(J488=1,N(I488)+ROW()/10000000,0)</f>
        <v>0</v>
      </c>
      <c r="L488" s="47" t="str">
        <f aca="false">IF(AND(J488=1,N(I488)&gt;0),SUMIF($K$2:$K$5001,"&gt;="&amp;K488,$I$2:$I$5001)/MAX(1,SUM($H$2:$H$5001)),"")</f>
        <v/>
      </c>
      <c r="M488" s="47" t="str">
        <f aca="false">IF($A488="","",INDEX($L$2:$L$5001,MATCH($A488,$A$2:$A$5001,0)))</f>
        <v/>
      </c>
      <c r="N488" s="48" t="str">
        <f aca="false">IF($A488="","",IF(N(M488)=0,"–",IF(M488&lt;=Start!$D$20,"A",IF(M488&lt;=Start!$D$21,"B","C"))))</f>
        <v/>
      </c>
      <c r="O488" s="48" t="str">
        <f aca="false">IF($A488="","",IF(NOT(ISNUMBER(F488)),"Wert fehlt; ",IF(F488&lt;=0,"Wert ist 0; ",""))&amp;IF(NOT(ISNUMBER(E488)),"Bestand fehlt; ",IF(E488&lt;0,"Bestand negativ; ",IF(E488=0,"Nullbestand; ","")))&amp;IF(D488="","Warengruppe fehlt; ","")&amp;IF(B488="","Bezeichnung fehlt; ","")&amp;IF(COUNTIFS($A$2:$A$5001,$A488,$C$2:$C$5001,C488)&gt;1,"Artikel doppelt im selben Lager; ",""))</f>
        <v/>
      </c>
      <c r="P488" s="47" t="n">
        <f aca="false">IF(OR($A488="",D488=""),0,IF(COUNTIF($D$2:D488,D488)=1,SUMIF($D$2:$D$5001,D488,$H$2:$H$5001)+ROW()/10000000,0))</f>
        <v>0</v>
      </c>
      <c r="Q488" s="47" t="n">
        <f aca="false">IF(OR($A488="",C488=""),0,IF(COUNTIF($C$2:C488,C488)=1,SUMIF($C$2:$C$5001,C488,$H$2:$H$5001)+ROW()/10000000,0))</f>
        <v>0</v>
      </c>
    </row>
    <row r="489" customFormat="false" ht="15" hidden="false" customHeight="false" outlineLevel="0" collapsed="false">
      <c r="A489" s="43"/>
      <c r="B489" s="44"/>
      <c r="C489" s="44"/>
      <c r="D489" s="44"/>
      <c r="E489" s="44"/>
      <c r="F489" s="44"/>
      <c r="G489" s="44"/>
      <c r="H489" s="46" t="str">
        <f aca="false">IF($A489="","",IF(OR(NOT(ISNUMBER(E489)),NOT(ISNUMBER(F489))),"",MAX(0,E489)*F489))</f>
        <v/>
      </c>
      <c r="I489" s="46" t="str">
        <f aca="false">IF($A489="","",SUMIF($A$2:$A$5001,$A489,$H$2:$H$5001))</f>
        <v/>
      </c>
      <c r="J489" s="47" t="n">
        <f aca="false">IF($A489="",0,IF(COUNTIF($A$2:A489,$A489)=1,1,0))</f>
        <v>0</v>
      </c>
      <c r="K489" s="47" t="n">
        <f aca="false">IF(J489=1,N(I489)+ROW()/10000000,0)</f>
        <v>0</v>
      </c>
      <c r="L489" s="47" t="str">
        <f aca="false">IF(AND(J489=1,N(I489)&gt;0),SUMIF($K$2:$K$5001,"&gt;="&amp;K489,$I$2:$I$5001)/MAX(1,SUM($H$2:$H$5001)),"")</f>
        <v/>
      </c>
      <c r="M489" s="47" t="str">
        <f aca="false">IF($A489="","",INDEX($L$2:$L$5001,MATCH($A489,$A$2:$A$5001,0)))</f>
        <v/>
      </c>
      <c r="N489" s="48" t="str">
        <f aca="false">IF($A489="","",IF(N(M489)=0,"–",IF(M489&lt;=Start!$D$20,"A",IF(M489&lt;=Start!$D$21,"B","C"))))</f>
        <v/>
      </c>
      <c r="O489" s="48" t="str">
        <f aca="false">IF($A489="","",IF(NOT(ISNUMBER(F489)),"Wert fehlt; ",IF(F489&lt;=0,"Wert ist 0; ",""))&amp;IF(NOT(ISNUMBER(E489)),"Bestand fehlt; ",IF(E489&lt;0,"Bestand negativ; ",IF(E489=0,"Nullbestand; ","")))&amp;IF(D489="","Warengruppe fehlt; ","")&amp;IF(B489="","Bezeichnung fehlt; ","")&amp;IF(COUNTIFS($A$2:$A$5001,$A489,$C$2:$C$5001,C489)&gt;1,"Artikel doppelt im selben Lager; ",""))</f>
        <v/>
      </c>
      <c r="P489" s="47" t="n">
        <f aca="false">IF(OR($A489="",D489=""),0,IF(COUNTIF($D$2:D489,D489)=1,SUMIF($D$2:$D$5001,D489,$H$2:$H$5001)+ROW()/10000000,0))</f>
        <v>0</v>
      </c>
      <c r="Q489" s="47" t="n">
        <f aca="false">IF(OR($A489="",C489=""),0,IF(COUNTIF($C$2:C489,C489)=1,SUMIF($C$2:$C$5001,C489,$H$2:$H$5001)+ROW()/10000000,0))</f>
        <v>0</v>
      </c>
    </row>
    <row r="490" customFormat="false" ht="15" hidden="false" customHeight="false" outlineLevel="0" collapsed="false">
      <c r="A490" s="43"/>
      <c r="B490" s="44"/>
      <c r="C490" s="44"/>
      <c r="D490" s="44"/>
      <c r="E490" s="44"/>
      <c r="F490" s="44"/>
      <c r="G490" s="44"/>
      <c r="H490" s="46" t="str">
        <f aca="false">IF($A490="","",IF(OR(NOT(ISNUMBER(E490)),NOT(ISNUMBER(F490))),"",MAX(0,E490)*F490))</f>
        <v/>
      </c>
      <c r="I490" s="46" t="str">
        <f aca="false">IF($A490="","",SUMIF($A$2:$A$5001,$A490,$H$2:$H$5001))</f>
        <v/>
      </c>
      <c r="J490" s="47" t="n">
        <f aca="false">IF($A490="",0,IF(COUNTIF($A$2:A490,$A490)=1,1,0))</f>
        <v>0</v>
      </c>
      <c r="K490" s="47" t="n">
        <f aca="false">IF(J490=1,N(I490)+ROW()/10000000,0)</f>
        <v>0</v>
      </c>
      <c r="L490" s="47" t="str">
        <f aca="false">IF(AND(J490=1,N(I490)&gt;0),SUMIF($K$2:$K$5001,"&gt;="&amp;K490,$I$2:$I$5001)/MAX(1,SUM($H$2:$H$5001)),"")</f>
        <v/>
      </c>
      <c r="M490" s="47" t="str">
        <f aca="false">IF($A490="","",INDEX($L$2:$L$5001,MATCH($A490,$A$2:$A$5001,0)))</f>
        <v/>
      </c>
      <c r="N490" s="48" t="str">
        <f aca="false">IF($A490="","",IF(N(M490)=0,"–",IF(M490&lt;=Start!$D$20,"A",IF(M490&lt;=Start!$D$21,"B","C"))))</f>
        <v/>
      </c>
      <c r="O490" s="48" t="str">
        <f aca="false">IF($A490="","",IF(NOT(ISNUMBER(F490)),"Wert fehlt; ",IF(F490&lt;=0,"Wert ist 0; ",""))&amp;IF(NOT(ISNUMBER(E490)),"Bestand fehlt; ",IF(E490&lt;0,"Bestand negativ; ",IF(E490=0,"Nullbestand; ","")))&amp;IF(D490="","Warengruppe fehlt; ","")&amp;IF(B490="","Bezeichnung fehlt; ","")&amp;IF(COUNTIFS($A$2:$A$5001,$A490,$C$2:$C$5001,C490)&gt;1,"Artikel doppelt im selben Lager; ",""))</f>
        <v/>
      </c>
      <c r="P490" s="47" t="n">
        <f aca="false">IF(OR($A490="",D490=""),0,IF(COUNTIF($D$2:D490,D490)=1,SUMIF($D$2:$D$5001,D490,$H$2:$H$5001)+ROW()/10000000,0))</f>
        <v>0</v>
      </c>
      <c r="Q490" s="47" t="n">
        <f aca="false">IF(OR($A490="",C490=""),0,IF(COUNTIF($C$2:C490,C490)=1,SUMIF($C$2:$C$5001,C490,$H$2:$H$5001)+ROW()/10000000,0))</f>
        <v>0</v>
      </c>
    </row>
    <row r="491" customFormat="false" ht="15" hidden="false" customHeight="false" outlineLevel="0" collapsed="false">
      <c r="A491" s="43"/>
      <c r="B491" s="44"/>
      <c r="C491" s="44"/>
      <c r="D491" s="44"/>
      <c r="E491" s="44"/>
      <c r="F491" s="44"/>
      <c r="G491" s="44"/>
      <c r="H491" s="46" t="str">
        <f aca="false">IF($A491="","",IF(OR(NOT(ISNUMBER(E491)),NOT(ISNUMBER(F491))),"",MAX(0,E491)*F491))</f>
        <v/>
      </c>
      <c r="I491" s="46" t="str">
        <f aca="false">IF($A491="","",SUMIF($A$2:$A$5001,$A491,$H$2:$H$5001))</f>
        <v/>
      </c>
      <c r="J491" s="47" t="n">
        <f aca="false">IF($A491="",0,IF(COUNTIF($A$2:A491,$A491)=1,1,0))</f>
        <v>0</v>
      </c>
      <c r="K491" s="47" t="n">
        <f aca="false">IF(J491=1,N(I491)+ROW()/10000000,0)</f>
        <v>0</v>
      </c>
      <c r="L491" s="47" t="str">
        <f aca="false">IF(AND(J491=1,N(I491)&gt;0),SUMIF($K$2:$K$5001,"&gt;="&amp;K491,$I$2:$I$5001)/MAX(1,SUM($H$2:$H$5001)),"")</f>
        <v/>
      </c>
      <c r="M491" s="47" t="str">
        <f aca="false">IF($A491="","",INDEX($L$2:$L$5001,MATCH($A491,$A$2:$A$5001,0)))</f>
        <v/>
      </c>
      <c r="N491" s="48" t="str">
        <f aca="false">IF($A491="","",IF(N(M491)=0,"–",IF(M491&lt;=Start!$D$20,"A",IF(M491&lt;=Start!$D$21,"B","C"))))</f>
        <v/>
      </c>
      <c r="O491" s="48" t="str">
        <f aca="false">IF($A491="","",IF(NOT(ISNUMBER(F491)),"Wert fehlt; ",IF(F491&lt;=0,"Wert ist 0; ",""))&amp;IF(NOT(ISNUMBER(E491)),"Bestand fehlt; ",IF(E491&lt;0,"Bestand negativ; ",IF(E491=0,"Nullbestand; ","")))&amp;IF(D491="","Warengruppe fehlt; ","")&amp;IF(B491="","Bezeichnung fehlt; ","")&amp;IF(COUNTIFS($A$2:$A$5001,$A491,$C$2:$C$5001,C491)&gt;1,"Artikel doppelt im selben Lager; ",""))</f>
        <v/>
      </c>
      <c r="P491" s="47" t="n">
        <f aca="false">IF(OR($A491="",D491=""),0,IF(COUNTIF($D$2:D491,D491)=1,SUMIF($D$2:$D$5001,D491,$H$2:$H$5001)+ROW()/10000000,0))</f>
        <v>0</v>
      </c>
      <c r="Q491" s="47" t="n">
        <f aca="false">IF(OR($A491="",C491=""),0,IF(COUNTIF($C$2:C491,C491)=1,SUMIF($C$2:$C$5001,C491,$H$2:$H$5001)+ROW()/10000000,0))</f>
        <v>0</v>
      </c>
    </row>
    <row r="492" customFormat="false" ht="15" hidden="false" customHeight="false" outlineLevel="0" collapsed="false">
      <c r="A492" s="43"/>
      <c r="B492" s="44"/>
      <c r="C492" s="44"/>
      <c r="D492" s="44"/>
      <c r="E492" s="44"/>
      <c r="F492" s="44"/>
      <c r="G492" s="44"/>
      <c r="H492" s="46" t="str">
        <f aca="false">IF($A492="","",IF(OR(NOT(ISNUMBER(E492)),NOT(ISNUMBER(F492))),"",MAX(0,E492)*F492))</f>
        <v/>
      </c>
      <c r="I492" s="46" t="str">
        <f aca="false">IF($A492="","",SUMIF($A$2:$A$5001,$A492,$H$2:$H$5001))</f>
        <v/>
      </c>
      <c r="J492" s="47" t="n">
        <f aca="false">IF($A492="",0,IF(COUNTIF($A$2:A492,$A492)=1,1,0))</f>
        <v>0</v>
      </c>
      <c r="K492" s="47" t="n">
        <f aca="false">IF(J492=1,N(I492)+ROW()/10000000,0)</f>
        <v>0</v>
      </c>
      <c r="L492" s="47" t="str">
        <f aca="false">IF(AND(J492=1,N(I492)&gt;0),SUMIF($K$2:$K$5001,"&gt;="&amp;K492,$I$2:$I$5001)/MAX(1,SUM($H$2:$H$5001)),"")</f>
        <v/>
      </c>
      <c r="M492" s="47" t="str">
        <f aca="false">IF($A492="","",INDEX($L$2:$L$5001,MATCH($A492,$A$2:$A$5001,0)))</f>
        <v/>
      </c>
      <c r="N492" s="48" t="str">
        <f aca="false">IF($A492="","",IF(N(M492)=0,"–",IF(M492&lt;=Start!$D$20,"A",IF(M492&lt;=Start!$D$21,"B","C"))))</f>
        <v/>
      </c>
      <c r="O492" s="48" t="str">
        <f aca="false">IF($A492="","",IF(NOT(ISNUMBER(F492)),"Wert fehlt; ",IF(F492&lt;=0,"Wert ist 0; ",""))&amp;IF(NOT(ISNUMBER(E492)),"Bestand fehlt; ",IF(E492&lt;0,"Bestand negativ; ",IF(E492=0,"Nullbestand; ","")))&amp;IF(D492="","Warengruppe fehlt; ","")&amp;IF(B492="","Bezeichnung fehlt; ","")&amp;IF(COUNTIFS($A$2:$A$5001,$A492,$C$2:$C$5001,C492)&gt;1,"Artikel doppelt im selben Lager; ",""))</f>
        <v/>
      </c>
      <c r="P492" s="47" t="n">
        <f aca="false">IF(OR($A492="",D492=""),0,IF(COUNTIF($D$2:D492,D492)=1,SUMIF($D$2:$D$5001,D492,$H$2:$H$5001)+ROW()/10000000,0))</f>
        <v>0</v>
      </c>
      <c r="Q492" s="47" t="n">
        <f aca="false">IF(OR($A492="",C492=""),0,IF(COUNTIF($C$2:C492,C492)=1,SUMIF($C$2:$C$5001,C492,$H$2:$H$5001)+ROW()/10000000,0))</f>
        <v>0</v>
      </c>
    </row>
    <row r="493" customFormat="false" ht="15" hidden="false" customHeight="false" outlineLevel="0" collapsed="false">
      <c r="A493" s="43"/>
      <c r="B493" s="44"/>
      <c r="C493" s="44"/>
      <c r="D493" s="44"/>
      <c r="E493" s="44"/>
      <c r="F493" s="44"/>
      <c r="G493" s="44"/>
      <c r="H493" s="46" t="str">
        <f aca="false">IF($A493="","",IF(OR(NOT(ISNUMBER(E493)),NOT(ISNUMBER(F493))),"",MAX(0,E493)*F493))</f>
        <v/>
      </c>
      <c r="I493" s="46" t="str">
        <f aca="false">IF($A493="","",SUMIF($A$2:$A$5001,$A493,$H$2:$H$5001))</f>
        <v/>
      </c>
      <c r="J493" s="47" t="n">
        <f aca="false">IF($A493="",0,IF(COUNTIF($A$2:A493,$A493)=1,1,0))</f>
        <v>0</v>
      </c>
      <c r="K493" s="47" t="n">
        <f aca="false">IF(J493=1,N(I493)+ROW()/10000000,0)</f>
        <v>0</v>
      </c>
      <c r="L493" s="47" t="str">
        <f aca="false">IF(AND(J493=1,N(I493)&gt;0),SUMIF($K$2:$K$5001,"&gt;="&amp;K493,$I$2:$I$5001)/MAX(1,SUM($H$2:$H$5001)),"")</f>
        <v/>
      </c>
      <c r="M493" s="47" t="str">
        <f aca="false">IF($A493="","",INDEX($L$2:$L$5001,MATCH($A493,$A$2:$A$5001,0)))</f>
        <v/>
      </c>
      <c r="N493" s="48" t="str">
        <f aca="false">IF($A493="","",IF(N(M493)=0,"–",IF(M493&lt;=Start!$D$20,"A",IF(M493&lt;=Start!$D$21,"B","C"))))</f>
        <v/>
      </c>
      <c r="O493" s="48" t="str">
        <f aca="false">IF($A493="","",IF(NOT(ISNUMBER(F493)),"Wert fehlt; ",IF(F493&lt;=0,"Wert ist 0; ",""))&amp;IF(NOT(ISNUMBER(E493)),"Bestand fehlt; ",IF(E493&lt;0,"Bestand negativ; ",IF(E493=0,"Nullbestand; ","")))&amp;IF(D493="","Warengruppe fehlt; ","")&amp;IF(B493="","Bezeichnung fehlt; ","")&amp;IF(COUNTIFS($A$2:$A$5001,$A493,$C$2:$C$5001,C493)&gt;1,"Artikel doppelt im selben Lager; ",""))</f>
        <v/>
      </c>
      <c r="P493" s="47" t="n">
        <f aca="false">IF(OR($A493="",D493=""),0,IF(COUNTIF($D$2:D493,D493)=1,SUMIF($D$2:$D$5001,D493,$H$2:$H$5001)+ROW()/10000000,0))</f>
        <v>0</v>
      </c>
      <c r="Q493" s="47" t="n">
        <f aca="false">IF(OR($A493="",C493=""),0,IF(COUNTIF($C$2:C493,C493)=1,SUMIF($C$2:$C$5001,C493,$H$2:$H$5001)+ROW()/10000000,0))</f>
        <v>0</v>
      </c>
    </row>
    <row r="494" customFormat="false" ht="15" hidden="false" customHeight="false" outlineLevel="0" collapsed="false">
      <c r="A494" s="43"/>
      <c r="B494" s="44"/>
      <c r="C494" s="44"/>
      <c r="D494" s="44"/>
      <c r="E494" s="44"/>
      <c r="F494" s="44"/>
      <c r="G494" s="44"/>
      <c r="H494" s="46" t="str">
        <f aca="false">IF($A494="","",IF(OR(NOT(ISNUMBER(E494)),NOT(ISNUMBER(F494))),"",MAX(0,E494)*F494))</f>
        <v/>
      </c>
      <c r="I494" s="46" t="str">
        <f aca="false">IF($A494="","",SUMIF($A$2:$A$5001,$A494,$H$2:$H$5001))</f>
        <v/>
      </c>
      <c r="J494" s="47" t="n">
        <f aca="false">IF($A494="",0,IF(COUNTIF($A$2:A494,$A494)=1,1,0))</f>
        <v>0</v>
      </c>
      <c r="K494" s="47" t="n">
        <f aca="false">IF(J494=1,N(I494)+ROW()/10000000,0)</f>
        <v>0</v>
      </c>
      <c r="L494" s="47" t="str">
        <f aca="false">IF(AND(J494=1,N(I494)&gt;0),SUMIF($K$2:$K$5001,"&gt;="&amp;K494,$I$2:$I$5001)/MAX(1,SUM($H$2:$H$5001)),"")</f>
        <v/>
      </c>
      <c r="M494" s="47" t="str">
        <f aca="false">IF($A494="","",INDEX($L$2:$L$5001,MATCH($A494,$A$2:$A$5001,0)))</f>
        <v/>
      </c>
      <c r="N494" s="48" t="str">
        <f aca="false">IF($A494="","",IF(N(M494)=0,"–",IF(M494&lt;=Start!$D$20,"A",IF(M494&lt;=Start!$D$21,"B","C"))))</f>
        <v/>
      </c>
      <c r="O494" s="48" t="str">
        <f aca="false">IF($A494="","",IF(NOT(ISNUMBER(F494)),"Wert fehlt; ",IF(F494&lt;=0,"Wert ist 0; ",""))&amp;IF(NOT(ISNUMBER(E494)),"Bestand fehlt; ",IF(E494&lt;0,"Bestand negativ; ",IF(E494=0,"Nullbestand; ","")))&amp;IF(D494="","Warengruppe fehlt; ","")&amp;IF(B494="","Bezeichnung fehlt; ","")&amp;IF(COUNTIFS($A$2:$A$5001,$A494,$C$2:$C$5001,C494)&gt;1,"Artikel doppelt im selben Lager; ",""))</f>
        <v/>
      </c>
      <c r="P494" s="47" t="n">
        <f aca="false">IF(OR($A494="",D494=""),0,IF(COUNTIF($D$2:D494,D494)=1,SUMIF($D$2:$D$5001,D494,$H$2:$H$5001)+ROW()/10000000,0))</f>
        <v>0</v>
      </c>
      <c r="Q494" s="47" t="n">
        <f aca="false">IF(OR($A494="",C494=""),0,IF(COUNTIF($C$2:C494,C494)=1,SUMIF($C$2:$C$5001,C494,$H$2:$H$5001)+ROW()/10000000,0))</f>
        <v>0</v>
      </c>
    </row>
    <row r="495" customFormat="false" ht="15" hidden="false" customHeight="false" outlineLevel="0" collapsed="false">
      <c r="A495" s="43"/>
      <c r="B495" s="44"/>
      <c r="C495" s="44"/>
      <c r="D495" s="44"/>
      <c r="E495" s="44"/>
      <c r="F495" s="44"/>
      <c r="G495" s="44"/>
      <c r="H495" s="46" t="str">
        <f aca="false">IF($A495="","",IF(OR(NOT(ISNUMBER(E495)),NOT(ISNUMBER(F495))),"",MAX(0,E495)*F495))</f>
        <v/>
      </c>
      <c r="I495" s="46" t="str">
        <f aca="false">IF($A495="","",SUMIF($A$2:$A$5001,$A495,$H$2:$H$5001))</f>
        <v/>
      </c>
      <c r="J495" s="47" t="n">
        <f aca="false">IF($A495="",0,IF(COUNTIF($A$2:A495,$A495)=1,1,0))</f>
        <v>0</v>
      </c>
      <c r="K495" s="47" t="n">
        <f aca="false">IF(J495=1,N(I495)+ROW()/10000000,0)</f>
        <v>0</v>
      </c>
      <c r="L495" s="47" t="str">
        <f aca="false">IF(AND(J495=1,N(I495)&gt;0),SUMIF($K$2:$K$5001,"&gt;="&amp;K495,$I$2:$I$5001)/MAX(1,SUM($H$2:$H$5001)),"")</f>
        <v/>
      </c>
      <c r="M495" s="47" t="str">
        <f aca="false">IF($A495="","",INDEX($L$2:$L$5001,MATCH($A495,$A$2:$A$5001,0)))</f>
        <v/>
      </c>
      <c r="N495" s="48" t="str">
        <f aca="false">IF($A495="","",IF(N(M495)=0,"–",IF(M495&lt;=Start!$D$20,"A",IF(M495&lt;=Start!$D$21,"B","C"))))</f>
        <v/>
      </c>
      <c r="O495" s="48" t="str">
        <f aca="false">IF($A495="","",IF(NOT(ISNUMBER(F495)),"Wert fehlt; ",IF(F495&lt;=0,"Wert ist 0; ",""))&amp;IF(NOT(ISNUMBER(E495)),"Bestand fehlt; ",IF(E495&lt;0,"Bestand negativ; ",IF(E495=0,"Nullbestand; ","")))&amp;IF(D495="","Warengruppe fehlt; ","")&amp;IF(B495="","Bezeichnung fehlt; ","")&amp;IF(COUNTIFS($A$2:$A$5001,$A495,$C$2:$C$5001,C495)&gt;1,"Artikel doppelt im selben Lager; ",""))</f>
        <v/>
      </c>
      <c r="P495" s="47" t="n">
        <f aca="false">IF(OR($A495="",D495=""),0,IF(COUNTIF($D$2:D495,D495)=1,SUMIF($D$2:$D$5001,D495,$H$2:$H$5001)+ROW()/10000000,0))</f>
        <v>0</v>
      </c>
      <c r="Q495" s="47" t="n">
        <f aca="false">IF(OR($A495="",C495=""),0,IF(COUNTIF($C$2:C495,C495)=1,SUMIF($C$2:$C$5001,C495,$H$2:$H$5001)+ROW()/10000000,0))</f>
        <v>0</v>
      </c>
    </row>
    <row r="496" customFormat="false" ht="15" hidden="false" customHeight="false" outlineLevel="0" collapsed="false">
      <c r="A496" s="43"/>
      <c r="B496" s="44"/>
      <c r="C496" s="44"/>
      <c r="D496" s="44"/>
      <c r="E496" s="44"/>
      <c r="F496" s="44"/>
      <c r="G496" s="44"/>
      <c r="H496" s="46" t="str">
        <f aca="false">IF($A496="","",IF(OR(NOT(ISNUMBER(E496)),NOT(ISNUMBER(F496))),"",MAX(0,E496)*F496))</f>
        <v/>
      </c>
      <c r="I496" s="46" t="str">
        <f aca="false">IF($A496="","",SUMIF($A$2:$A$5001,$A496,$H$2:$H$5001))</f>
        <v/>
      </c>
      <c r="J496" s="47" t="n">
        <f aca="false">IF($A496="",0,IF(COUNTIF($A$2:A496,$A496)=1,1,0))</f>
        <v>0</v>
      </c>
      <c r="K496" s="47" t="n">
        <f aca="false">IF(J496=1,N(I496)+ROW()/10000000,0)</f>
        <v>0</v>
      </c>
      <c r="L496" s="47" t="str">
        <f aca="false">IF(AND(J496=1,N(I496)&gt;0),SUMIF($K$2:$K$5001,"&gt;="&amp;K496,$I$2:$I$5001)/MAX(1,SUM($H$2:$H$5001)),"")</f>
        <v/>
      </c>
      <c r="M496" s="47" t="str">
        <f aca="false">IF($A496="","",INDEX($L$2:$L$5001,MATCH($A496,$A$2:$A$5001,0)))</f>
        <v/>
      </c>
      <c r="N496" s="48" t="str">
        <f aca="false">IF($A496="","",IF(N(M496)=0,"–",IF(M496&lt;=Start!$D$20,"A",IF(M496&lt;=Start!$D$21,"B","C"))))</f>
        <v/>
      </c>
      <c r="O496" s="48" t="str">
        <f aca="false">IF($A496="","",IF(NOT(ISNUMBER(F496)),"Wert fehlt; ",IF(F496&lt;=0,"Wert ist 0; ",""))&amp;IF(NOT(ISNUMBER(E496)),"Bestand fehlt; ",IF(E496&lt;0,"Bestand negativ; ",IF(E496=0,"Nullbestand; ","")))&amp;IF(D496="","Warengruppe fehlt; ","")&amp;IF(B496="","Bezeichnung fehlt; ","")&amp;IF(COUNTIFS($A$2:$A$5001,$A496,$C$2:$C$5001,C496)&gt;1,"Artikel doppelt im selben Lager; ",""))</f>
        <v/>
      </c>
      <c r="P496" s="47" t="n">
        <f aca="false">IF(OR($A496="",D496=""),0,IF(COUNTIF($D$2:D496,D496)=1,SUMIF($D$2:$D$5001,D496,$H$2:$H$5001)+ROW()/10000000,0))</f>
        <v>0</v>
      </c>
      <c r="Q496" s="47" t="n">
        <f aca="false">IF(OR($A496="",C496=""),0,IF(COUNTIF($C$2:C496,C496)=1,SUMIF($C$2:$C$5001,C496,$H$2:$H$5001)+ROW()/10000000,0))</f>
        <v>0</v>
      </c>
    </row>
    <row r="497" customFormat="false" ht="15" hidden="false" customHeight="false" outlineLevel="0" collapsed="false">
      <c r="A497" s="43"/>
      <c r="B497" s="44"/>
      <c r="C497" s="44"/>
      <c r="D497" s="44"/>
      <c r="E497" s="44"/>
      <c r="F497" s="44"/>
      <c r="G497" s="44"/>
      <c r="H497" s="46" t="str">
        <f aca="false">IF($A497="","",IF(OR(NOT(ISNUMBER(E497)),NOT(ISNUMBER(F497))),"",MAX(0,E497)*F497))</f>
        <v/>
      </c>
      <c r="I497" s="46" t="str">
        <f aca="false">IF($A497="","",SUMIF($A$2:$A$5001,$A497,$H$2:$H$5001))</f>
        <v/>
      </c>
      <c r="J497" s="47" t="n">
        <f aca="false">IF($A497="",0,IF(COUNTIF($A$2:A497,$A497)=1,1,0))</f>
        <v>0</v>
      </c>
      <c r="K497" s="47" t="n">
        <f aca="false">IF(J497=1,N(I497)+ROW()/10000000,0)</f>
        <v>0</v>
      </c>
      <c r="L497" s="47" t="str">
        <f aca="false">IF(AND(J497=1,N(I497)&gt;0),SUMIF($K$2:$K$5001,"&gt;="&amp;K497,$I$2:$I$5001)/MAX(1,SUM($H$2:$H$5001)),"")</f>
        <v/>
      </c>
      <c r="M497" s="47" t="str">
        <f aca="false">IF($A497="","",INDEX($L$2:$L$5001,MATCH($A497,$A$2:$A$5001,0)))</f>
        <v/>
      </c>
      <c r="N497" s="48" t="str">
        <f aca="false">IF($A497="","",IF(N(M497)=0,"–",IF(M497&lt;=Start!$D$20,"A",IF(M497&lt;=Start!$D$21,"B","C"))))</f>
        <v/>
      </c>
      <c r="O497" s="48" t="str">
        <f aca="false">IF($A497="","",IF(NOT(ISNUMBER(F497)),"Wert fehlt; ",IF(F497&lt;=0,"Wert ist 0; ",""))&amp;IF(NOT(ISNUMBER(E497)),"Bestand fehlt; ",IF(E497&lt;0,"Bestand negativ; ",IF(E497=0,"Nullbestand; ","")))&amp;IF(D497="","Warengruppe fehlt; ","")&amp;IF(B497="","Bezeichnung fehlt; ","")&amp;IF(COUNTIFS($A$2:$A$5001,$A497,$C$2:$C$5001,C497)&gt;1,"Artikel doppelt im selben Lager; ",""))</f>
        <v/>
      </c>
      <c r="P497" s="47" t="n">
        <f aca="false">IF(OR($A497="",D497=""),0,IF(COUNTIF($D$2:D497,D497)=1,SUMIF($D$2:$D$5001,D497,$H$2:$H$5001)+ROW()/10000000,0))</f>
        <v>0</v>
      </c>
      <c r="Q497" s="47" t="n">
        <f aca="false">IF(OR($A497="",C497=""),0,IF(COUNTIF($C$2:C497,C497)=1,SUMIF($C$2:$C$5001,C497,$H$2:$H$5001)+ROW()/10000000,0))</f>
        <v>0</v>
      </c>
    </row>
    <row r="498" customFormat="false" ht="15" hidden="false" customHeight="false" outlineLevel="0" collapsed="false">
      <c r="A498" s="43"/>
      <c r="B498" s="44"/>
      <c r="C498" s="44"/>
      <c r="D498" s="44"/>
      <c r="E498" s="44"/>
      <c r="F498" s="44"/>
      <c r="G498" s="44"/>
      <c r="H498" s="46" t="str">
        <f aca="false">IF($A498="","",IF(OR(NOT(ISNUMBER(E498)),NOT(ISNUMBER(F498))),"",MAX(0,E498)*F498))</f>
        <v/>
      </c>
      <c r="I498" s="46" t="str">
        <f aca="false">IF($A498="","",SUMIF($A$2:$A$5001,$A498,$H$2:$H$5001))</f>
        <v/>
      </c>
      <c r="J498" s="47" t="n">
        <f aca="false">IF($A498="",0,IF(COUNTIF($A$2:A498,$A498)=1,1,0))</f>
        <v>0</v>
      </c>
      <c r="K498" s="47" t="n">
        <f aca="false">IF(J498=1,N(I498)+ROW()/10000000,0)</f>
        <v>0</v>
      </c>
      <c r="L498" s="47" t="str">
        <f aca="false">IF(AND(J498=1,N(I498)&gt;0),SUMIF($K$2:$K$5001,"&gt;="&amp;K498,$I$2:$I$5001)/MAX(1,SUM($H$2:$H$5001)),"")</f>
        <v/>
      </c>
      <c r="M498" s="47" t="str">
        <f aca="false">IF($A498="","",INDEX($L$2:$L$5001,MATCH($A498,$A$2:$A$5001,0)))</f>
        <v/>
      </c>
      <c r="N498" s="48" t="str">
        <f aca="false">IF($A498="","",IF(N(M498)=0,"–",IF(M498&lt;=Start!$D$20,"A",IF(M498&lt;=Start!$D$21,"B","C"))))</f>
        <v/>
      </c>
      <c r="O498" s="48" t="str">
        <f aca="false">IF($A498="","",IF(NOT(ISNUMBER(F498)),"Wert fehlt; ",IF(F498&lt;=0,"Wert ist 0; ",""))&amp;IF(NOT(ISNUMBER(E498)),"Bestand fehlt; ",IF(E498&lt;0,"Bestand negativ; ",IF(E498=0,"Nullbestand; ","")))&amp;IF(D498="","Warengruppe fehlt; ","")&amp;IF(B498="","Bezeichnung fehlt; ","")&amp;IF(COUNTIFS($A$2:$A$5001,$A498,$C$2:$C$5001,C498)&gt;1,"Artikel doppelt im selben Lager; ",""))</f>
        <v/>
      </c>
      <c r="P498" s="47" t="n">
        <f aca="false">IF(OR($A498="",D498=""),0,IF(COUNTIF($D$2:D498,D498)=1,SUMIF($D$2:$D$5001,D498,$H$2:$H$5001)+ROW()/10000000,0))</f>
        <v>0</v>
      </c>
      <c r="Q498" s="47" t="n">
        <f aca="false">IF(OR($A498="",C498=""),0,IF(COUNTIF($C$2:C498,C498)=1,SUMIF($C$2:$C$5001,C498,$H$2:$H$5001)+ROW()/10000000,0))</f>
        <v>0</v>
      </c>
    </row>
    <row r="499" customFormat="false" ht="15" hidden="false" customHeight="false" outlineLevel="0" collapsed="false">
      <c r="A499" s="43"/>
      <c r="B499" s="44"/>
      <c r="C499" s="44"/>
      <c r="D499" s="44"/>
      <c r="E499" s="44"/>
      <c r="F499" s="44"/>
      <c r="G499" s="44"/>
      <c r="H499" s="46" t="str">
        <f aca="false">IF($A499="","",IF(OR(NOT(ISNUMBER(E499)),NOT(ISNUMBER(F499))),"",MAX(0,E499)*F499))</f>
        <v/>
      </c>
      <c r="I499" s="46" t="str">
        <f aca="false">IF($A499="","",SUMIF($A$2:$A$5001,$A499,$H$2:$H$5001))</f>
        <v/>
      </c>
      <c r="J499" s="47" t="n">
        <f aca="false">IF($A499="",0,IF(COUNTIF($A$2:A499,$A499)=1,1,0))</f>
        <v>0</v>
      </c>
      <c r="K499" s="47" t="n">
        <f aca="false">IF(J499=1,N(I499)+ROW()/10000000,0)</f>
        <v>0</v>
      </c>
      <c r="L499" s="47" t="str">
        <f aca="false">IF(AND(J499=1,N(I499)&gt;0),SUMIF($K$2:$K$5001,"&gt;="&amp;K499,$I$2:$I$5001)/MAX(1,SUM($H$2:$H$5001)),"")</f>
        <v/>
      </c>
      <c r="M499" s="47" t="str">
        <f aca="false">IF($A499="","",INDEX($L$2:$L$5001,MATCH($A499,$A$2:$A$5001,0)))</f>
        <v/>
      </c>
      <c r="N499" s="48" t="str">
        <f aca="false">IF($A499="","",IF(N(M499)=0,"–",IF(M499&lt;=Start!$D$20,"A",IF(M499&lt;=Start!$D$21,"B","C"))))</f>
        <v/>
      </c>
      <c r="O499" s="48" t="str">
        <f aca="false">IF($A499="","",IF(NOT(ISNUMBER(F499)),"Wert fehlt; ",IF(F499&lt;=0,"Wert ist 0; ",""))&amp;IF(NOT(ISNUMBER(E499)),"Bestand fehlt; ",IF(E499&lt;0,"Bestand negativ; ",IF(E499=0,"Nullbestand; ","")))&amp;IF(D499="","Warengruppe fehlt; ","")&amp;IF(B499="","Bezeichnung fehlt; ","")&amp;IF(COUNTIFS($A$2:$A$5001,$A499,$C$2:$C$5001,C499)&gt;1,"Artikel doppelt im selben Lager; ",""))</f>
        <v/>
      </c>
      <c r="P499" s="47" t="n">
        <f aca="false">IF(OR($A499="",D499=""),0,IF(COUNTIF($D$2:D499,D499)=1,SUMIF($D$2:$D$5001,D499,$H$2:$H$5001)+ROW()/10000000,0))</f>
        <v>0</v>
      </c>
      <c r="Q499" s="47" t="n">
        <f aca="false">IF(OR($A499="",C499=""),0,IF(COUNTIF($C$2:C499,C499)=1,SUMIF($C$2:$C$5001,C499,$H$2:$H$5001)+ROW()/10000000,0))</f>
        <v>0</v>
      </c>
    </row>
    <row r="500" customFormat="false" ht="15" hidden="false" customHeight="false" outlineLevel="0" collapsed="false">
      <c r="A500" s="43"/>
      <c r="B500" s="44"/>
      <c r="C500" s="44"/>
      <c r="D500" s="44"/>
      <c r="E500" s="44"/>
      <c r="F500" s="44"/>
      <c r="G500" s="44"/>
      <c r="H500" s="46" t="str">
        <f aca="false">IF($A500="","",IF(OR(NOT(ISNUMBER(E500)),NOT(ISNUMBER(F500))),"",MAX(0,E500)*F500))</f>
        <v/>
      </c>
      <c r="I500" s="46" t="str">
        <f aca="false">IF($A500="","",SUMIF($A$2:$A$5001,$A500,$H$2:$H$5001))</f>
        <v/>
      </c>
      <c r="J500" s="47" t="n">
        <f aca="false">IF($A500="",0,IF(COUNTIF($A$2:A500,$A500)=1,1,0))</f>
        <v>0</v>
      </c>
      <c r="K500" s="47" t="n">
        <f aca="false">IF(J500=1,N(I500)+ROW()/10000000,0)</f>
        <v>0</v>
      </c>
      <c r="L500" s="47" t="str">
        <f aca="false">IF(AND(J500=1,N(I500)&gt;0),SUMIF($K$2:$K$5001,"&gt;="&amp;K500,$I$2:$I$5001)/MAX(1,SUM($H$2:$H$5001)),"")</f>
        <v/>
      </c>
      <c r="M500" s="47" t="str">
        <f aca="false">IF($A500="","",INDEX($L$2:$L$5001,MATCH($A500,$A$2:$A$5001,0)))</f>
        <v/>
      </c>
      <c r="N500" s="48" t="str">
        <f aca="false">IF($A500="","",IF(N(M500)=0,"–",IF(M500&lt;=Start!$D$20,"A",IF(M500&lt;=Start!$D$21,"B","C"))))</f>
        <v/>
      </c>
      <c r="O500" s="48" t="str">
        <f aca="false">IF($A500="","",IF(NOT(ISNUMBER(F500)),"Wert fehlt; ",IF(F500&lt;=0,"Wert ist 0; ",""))&amp;IF(NOT(ISNUMBER(E500)),"Bestand fehlt; ",IF(E500&lt;0,"Bestand negativ; ",IF(E500=0,"Nullbestand; ","")))&amp;IF(D500="","Warengruppe fehlt; ","")&amp;IF(B500="","Bezeichnung fehlt; ","")&amp;IF(COUNTIFS($A$2:$A$5001,$A500,$C$2:$C$5001,C500)&gt;1,"Artikel doppelt im selben Lager; ",""))</f>
        <v/>
      </c>
      <c r="P500" s="47" t="n">
        <f aca="false">IF(OR($A500="",D500=""),0,IF(COUNTIF($D$2:D500,D500)=1,SUMIF($D$2:$D$5001,D500,$H$2:$H$5001)+ROW()/10000000,0))</f>
        <v>0</v>
      </c>
      <c r="Q500" s="47" t="n">
        <f aca="false">IF(OR($A500="",C500=""),0,IF(COUNTIF($C$2:C500,C500)=1,SUMIF($C$2:$C$5001,C500,$H$2:$H$5001)+ROW()/10000000,0))</f>
        <v>0</v>
      </c>
    </row>
    <row r="501" customFormat="false" ht="15" hidden="false" customHeight="false" outlineLevel="0" collapsed="false">
      <c r="A501" s="43"/>
      <c r="B501" s="44"/>
      <c r="C501" s="44"/>
      <c r="D501" s="44"/>
      <c r="E501" s="44"/>
      <c r="F501" s="44"/>
      <c r="G501" s="44"/>
      <c r="H501" s="46" t="str">
        <f aca="false">IF($A501="","",IF(OR(NOT(ISNUMBER(E501)),NOT(ISNUMBER(F501))),"",MAX(0,E501)*F501))</f>
        <v/>
      </c>
      <c r="I501" s="46" t="str">
        <f aca="false">IF($A501="","",SUMIF($A$2:$A$5001,$A501,$H$2:$H$5001))</f>
        <v/>
      </c>
      <c r="J501" s="47" t="n">
        <f aca="false">IF($A501="",0,IF(COUNTIF($A$2:A501,$A501)=1,1,0))</f>
        <v>0</v>
      </c>
      <c r="K501" s="47" t="n">
        <f aca="false">IF(J501=1,N(I501)+ROW()/10000000,0)</f>
        <v>0</v>
      </c>
      <c r="L501" s="47" t="str">
        <f aca="false">IF(AND(J501=1,N(I501)&gt;0),SUMIF($K$2:$K$5001,"&gt;="&amp;K501,$I$2:$I$5001)/MAX(1,SUM($H$2:$H$5001)),"")</f>
        <v/>
      </c>
      <c r="M501" s="47" t="str">
        <f aca="false">IF($A501="","",INDEX($L$2:$L$5001,MATCH($A501,$A$2:$A$5001,0)))</f>
        <v/>
      </c>
      <c r="N501" s="48" t="str">
        <f aca="false">IF($A501="","",IF(N(M501)=0,"–",IF(M501&lt;=Start!$D$20,"A",IF(M501&lt;=Start!$D$21,"B","C"))))</f>
        <v/>
      </c>
      <c r="O501" s="48" t="str">
        <f aca="false">IF($A501="","",IF(NOT(ISNUMBER(F501)),"Wert fehlt; ",IF(F501&lt;=0,"Wert ist 0; ",""))&amp;IF(NOT(ISNUMBER(E501)),"Bestand fehlt; ",IF(E501&lt;0,"Bestand negativ; ",IF(E501=0,"Nullbestand; ","")))&amp;IF(D501="","Warengruppe fehlt; ","")&amp;IF(B501="","Bezeichnung fehlt; ","")&amp;IF(COUNTIFS($A$2:$A$5001,$A501,$C$2:$C$5001,C501)&gt;1,"Artikel doppelt im selben Lager; ",""))</f>
        <v/>
      </c>
      <c r="P501" s="47" t="n">
        <f aca="false">IF(OR($A501="",D501=""),0,IF(COUNTIF($D$2:D501,D501)=1,SUMIF($D$2:$D$5001,D501,$H$2:$H$5001)+ROW()/10000000,0))</f>
        <v>0</v>
      </c>
      <c r="Q501" s="47" t="n">
        <f aca="false">IF(OR($A501="",C501=""),0,IF(COUNTIF($C$2:C501,C501)=1,SUMIF($C$2:$C$5001,C501,$H$2:$H$5001)+ROW()/10000000,0))</f>
        <v>0</v>
      </c>
    </row>
    <row r="502" customFormat="false" ht="15" hidden="false" customHeight="false" outlineLevel="0" collapsed="false">
      <c r="A502" s="43"/>
      <c r="B502" s="44"/>
      <c r="C502" s="44"/>
      <c r="D502" s="44"/>
      <c r="E502" s="44"/>
      <c r="F502" s="44"/>
      <c r="G502" s="44"/>
      <c r="H502" s="46" t="str">
        <f aca="false">IF($A502="","",IF(OR(NOT(ISNUMBER(E502)),NOT(ISNUMBER(F502))),"",MAX(0,E502)*F502))</f>
        <v/>
      </c>
      <c r="I502" s="46" t="str">
        <f aca="false">IF($A502="","",SUMIF($A$2:$A$5001,$A502,$H$2:$H$5001))</f>
        <v/>
      </c>
      <c r="J502" s="47" t="n">
        <f aca="false">IF($A502="",0,IF(COUNTIF($A$2:A502,$A502)=1,1,0))</f>
        <v>0</v>
      </c>
      <c r="K502" s="47" t="n">
        <f aca="false">IF(J502=1,N(I502)+ROW()/10000000,0)</f>
        <v>0</v>
      </c>
      <c r="L502" s="47" t="str">
        <f aca="false">IF(AND(J502=1,N(I502)&gt;0),SUMIF($K$2:$K$5001,"&gt;="&amp;K502,$I$2:$I$5001)/MAX(1,SUM($H$2:$H$5001)),"")</f>
        <v/>
      </c>
      <c r="M502" s="47" t="str">
        <f aca="false">IF($A502="","",INDEX($L$2:$L$5001,MATCH($A502,$A$2:$A$5001,0)))</f>
        <v/>
      </c>
      <c r="N502" s="48" t="str">
        <f aca="false">IF($A502="","",IF(N(M502)=0,"–",IF(M502&lt;=Start!$D$20,"A",IF(M502&lt;=Start!$D$21,"B","C"))))</f>
        <v/>
      </c>
      <c r="O502" s="48" t="str">
        <f aca="false">IF($A502="","",IF(NOT(ISNUMBER(F502)),"Wert fehlt; ",IF(F502&lt;=0,"Wert ist 0; ",""))&amp;IF(NOT(ISNUMBER(E502)),"Bestand fehlt; ",IF(E502&lt;0,"Bestand negativ; ",IF(E502=0,"Nullbestand; ","")))&amp;IF(D502="","Warengruppe fehlt; ","")&amp;IF(B502="","Bezeichnung fehlt; ","")&amp;IF(COUNTIFS($A$2:$A$5001,$A502,$C$2:$C$5001,C502)&gt;1,"Artikel doppelt im selben Lager; ",""))</f>
        <v/>
      </c>
      <c r="P502" s="47" t="n">
        <f aca="false">IF(OR($A502="",D502=""),0,IF(COUNTIF($D$2:D502,D502)=1,SUMIF($D$2:$D$5001,D502,$H$2:$H$5001)+ROW()/10000000,0))</f>
        <v>0</v>
      </c>
      <c r="Q502" s="47" t="n">
        <f aca="false">IF(OR($A502="",C502=""),0,IF(COUNTIF($C$2:C502,C502)=1,SUMIF($C$2:$C$5001,C502,$H$2:$H$5001)+ROW()/10000000,0))</f>
        <v>0</v>
      </c>
    </row>
    <row r="503" customFormat="false" ht="15" hidden="false" customHeight="false" outlineLevel="0" collapsed="false">
      <c r="A503" s="43"/>
      <c r="B503" s="44"/>
      <c r="C503" s="44"/>
      <c r="D503" s="44"/>
      <c r="E503" s="44"/>
      <c r="F503" s="44"/>
      <c r="G503" s="44"/>
      <c r="H503" s="46" t="str">
        <f aca="false">IF($A503="","",IF(OR(NOT(ISNUMBER(E503)),NOT(ISNUMBER(F503))),"",MAX(0,E503)*F503))</f>
        <v/>
      </c>
      <c r="I503" s="46" t="str">
        <f aca="false">IF($A503="","",SUMIF($A$2:$A$5001,$A503,$H$2:$H$5001))</f>
        <v/>
      </c>
      <c r="J503" s="47" t="n">
        <f aca="false">IF($A503="",0,IF(COUNTIF($A$2:A503,$A503)=1,1,0))</f>
        <v>0</v>
      </c>
      <c r="K503" s="47" t="n">
        <f aca="false">IF(J503=1,N(I503)+ROW()/10000000,0)</f>
        <v>0</v>
      </c>
      <c r="L503" s="47" t="str">
        <f aca="false">IF(AND(J503=1,N(I503)&gt;0),SUMIF($K$2:$K$5001,"&gt;="&amp;K503,$I$2:$I$5001)/MAX(1,SUM($H$2:$H$5001)),"")</f>
        <v/>
      </c>
      <c r="M503" s="47" t="str">
        <f aca="false">IF($A503="","",INDEX($L$2:$L$5001,MATCH($A503,$A$2:$A$5001,0)))</f>
        <v/>
      </c>
      <c r="N503" s="48" t="str">
        <f aca="false">IF($A503="","",IF(N(M503)=0,"–",IF(M503&lt;=Start!$D$20,"A",IF(M503&lt;=Start!$D$21,"B","C"))))</f>
        <v/>
      </c>
      <c r="O503" s="48" t="str">
        <f aca="false">IF($A503="","",IF(NOT(ISNUMBER(F503)),"Wert fehlt; ",IF(F503&lt;=0,"Wert ist 0; ",""))&amp;IF(NOT(ISNUMBER(E503)),"Bestand fehlt; ",IF(E503&lt;0,"Bestand negativ; ",IF(E503=0,"Nullbestand; ","")))&amp;IF(D503="","Warengruppe fehlt; ","")&amp;IF(B503="","Bezeichnung fehlt; ","")&amp;IF(COUNTIFS($A$2:$A$5001,$A503,$C$2:$C$5001,C503)&gt;1,"Artikel doppelt im selben Lager; ",""))</f>
        <v/>
      </c>
      <c r="P503" s="47" t="n">
        <f aca="false">IF(OR($A503="",D503=""),0,IF(COUNTIF($D$2:D503,D503)=1,SUMIF($D$2:$D$5001,D503,$H$2:$H$5001)+ROW()/10000000,0))</f>
        <v>0</v>
      </c>
      <c r="Q503" s="47" t="n">
        <f aca="false">IF(OR($A503="",C503=""),0,IF(COUNTIF($C$2:C503,C503)=1,SUMIF($C$2:$C$5001,C503,$H$2:$H$5001)+ROW()/10000000,0))</f>
        <v>0</v>
      </c>
    </row>
    <row r="504" customFormat="false" ht="15" hidden="false" customHeight="false" outlineLevel="0" collapsed="false">
      <c r="A504" s="43"/>
      <c r="B504" s="44"/>
      <c r="C504" s="44"/>
      <c r="D504" s="44"/>
      <c r="E504" s="44"/>
      <c r="F504" s="44"/>
      <c r="G504" s="44"/>
      <c r="H504" s="46" t="str">
        <f aca="false">IF($A504="","",IF(OR(NOT(ISNUMBER(E504)),NOT(ISNUMBER(F504))),"",MAX(0,E504)*F504))</f>
        <v/>
      </c>
      <c r="I504" s="46" t="str">
        <f aca="false">IF($A504="","",SUMIF($A$2:$A$5001,$A504,$H$2:$H$5001))</f>
        <v/>
      </c>
      <c r="J504" s="47" t="n">
        <f aca="false">IF($A504="",0,IF(COUNTIF($A$2:A504,$A504)=1,1,0))</f>
        <v>0</v>
      </c>
      <c r="K504" s="47" t="n">
        <f aca="false">IF(J504=1,N(I504)+ROW()/10000000,0)</f>
        <v>0</v>
      </c>
      <c r="L504" s="47" t="str">
        <f aca="false">IF(AND(J504=1,N(I504)&gt;0),SUMIF($K$2:$K$5001,"&gt;="&amp;K504,$I$2:$I$5001)/MAX(1,SUM($H$2:$H$5001)),"")</f>
        <v/>
      </c>
      <c r="M504" s="47" t="str">
        <f aca="false">IF($A504="","",INDEX($L$2:$L$5001,MATCH($A504,$A$2:$A$5001,0)))</f>
        <v/>
      </c>
      <c r="N504" s="48" t="str">
        <f aca="false">IF($A504="","",IF(N(M504)=0,"–",IF(M504&lt;=Start!$D$20,"A",IF(M504&lt;=Start!$D$21,"B","C"))))</f>
        <v/>
      </c>
      <c r="O504" s="48" t="str">
        <f aca="false">IF($A504="","",IF(NOT(ISNUMBER(F504)),"Wert fehlt; ",IF(F504&lt;=0,"Wert ist 0; ",""))&amp;IF(NOT(ISNUMBER(E504)),"Bestand fehlt; ",IF(E504&lt;0,"Bestand negativ; ",IF(E504=0,"Nullbestand; ","")))&amp;IF(D504="","Warengruppe fehlt; ","")&amp;IF(B504="","Bezeichnung fehlt; ","")&amp;IF(COUNTIFS($A$2:$A$5001,$A504,$C$2:$C$5001,C504)&gt;1,"Artikel doppelt im selben Lager; ",""))</f>
        <v/>
      </c>
      <c r="P504" s="47" t="n">
        <f aca="false">IF(OR($A504="",D504=""),0,IF(COUNTIF($D$2:D504,D504)=1,SUMIF($D$2:$D$5001,D504,$H$2:$H$5001)+ROW()/10000000,0))</f>
        <v>0</v>
      </c>
      <c r="Q504" s="47" t="n">
        <f aca="false">IF(OR($A504="",C504=""),0,IF(COUNTIF($C$2:C504,C504)=1,SUMIF($C$2:$C$5001,C504,$H$2:$H$5001)+ROW()/10000000,0))</f>
        <v>0</v>
      </c>
    </row>
    <row r="505" customFormat="false" ht="15" hidden="false" customHeight="false" outlineLevel="0" collapsed="false">
      <c r="A505" s="43"/>
      <c r="B505" s="44"/>
      <c r="C505" s="44"/>
      <c r="D505" s="44"/>
      <c r="E505" s="44"/>
      <c r="F505" s="44"/>
      <c r="G505" s="44"/>
      <c r="H505" s="46" t="str">
        <f aca="false">IF($A505="","",IF(OR(NOT(ISNUMBER(E505)),NOT(ISNUMBER(F505))),"",MAX(0,E505)*F505))</f>
        <v/>
      </c>
      <c r="I505" s="46" t="str">
        <f aca="false">IF($A505="","",SUMIF($A$2:$A$5001,$A505,$H$2:$H$5001))</f>
        <v/>
      </c>
      <c r="J505" s="47" t="n">
        <f aca="false">IF($A505="",0,IF(COUNTIF($A$2:A505,$A505)=1,1,0))</f>
        <v>0</v>
      </c>
      <c r="K505" s="47" t="n">
        <f aca="false">IF(J505=1,N(I505)+ROW()/10000000,0)</f>
        <v>0</v>
      </c>
      <c r="L505" s="47" t="str">
        <f aca="false">IF(AND(J505=1,N(I505)&gt;0),SUMIF($K$2:$K$5001,"&gt;="&amp;K505,$I$2:$I$5001)/MAX(1,SUM($H$2:$H$5001)),"")</f>
        <v/>
      </c>
      <c r="M505" s="47" t="str">
        <f aca="false">IF($A505="","",INDEX($L$2:$L$5001,MATCH($A505,$A$2:$A$5001,0)))</f>
        <v/>
      </c>
      <c r="N505" s="48" t="str">
        <f aca="false">IF($A505="","",IF(N(M505)=0,"–",IF(M505&lt;=Start!$D$20,"A",IF(M505&lt;=Start!$D$21,"B","C"))))</f>
        <v/>
      </c>
      <c r="O505" s="48" t="str">
        <f aca="false">IF($A505="","",IF(NOT(ISNUMBER(F505)),"Wert fehlt; ",IF(F505&lt;=0,"Wert ist 0; ",""))&amp;IF(NOT(ISNUMBER(E505)),"Bestand fehlt; ",IF(E505&lt;0,"Bestand negativ; ",IF(E505=0,"Nullbestand; ","")))&amp;IF(D505="","Warengruppe fehlt; ","")&amp;IF(B505="","Bezeichnung fehlt; ","")&amp;IF(COUNTIFS($A$2:$A$5001,$A505,$C$2:$C$5001,C505)&gt;1,"Artikel doppelt im selben Lager; ",""))</f>
        <v/>
      </c>
      <c r="P505" s="47" t="n">
        <f aca="false">IF(OR($A505="",D505=""),0,IF(COUNTIF($D$2:D505,D505)=1,SUMIF($D$2:$D$5001,D505,$H$2:$H$5001)+ROW()/10000000,0))</f>
        <v>0</v>
      </c>
      <c r="Q505" s="47" t="n">
        <f aca="false">IF(OR($A505="",C505=""),0,IF(COUNTIF($C$2:C505,C505)=1,SUMIF($C$2:$C$5001,C505,$H$2:$H$5001)+ROW()/10000000,0))</f>
        <v>0</v>
      </c>
    </row>
    <row r="506" customFormat="false" ht="15" hidden="false" customHeight="false" outlineLevel="0" collapsed="false">
      <c r="A506" s="43"/>
      <c r="B506" s="44"/>
      <c r="C506" s="44"/>
      <c r="D506" s="44"/>
      <c r="E506" s="44"/>
      <c r="F506" s="44"/>
      <c r="G506" s="44"/>
      <c r="H506" s="46" t="str">
        <f aca="false">IF($A506="","",IF(OR(NOT(ISNUMBER(E506)),NOT(ISNUMBER(F506))),"",MAX(0,E506)*F506))</f>
        <v/>
      </c>
      <c r="I506" s="46" t="str">
        <f aca="false">IF($A506="","",SUMIF($A$2:$A$5001,$A506,$H$2:$H$5001))</f>
        <v/>
      </c>
      <c r="J506" s="47" t="n">
        <f aca="false">IF($A506="",0,IF(COUNTIF($A$2:A506,$A506)=1,1,0))</f>
        <v>0</v>
      </c>
      <c r="K506" s="47" t="n">
        <f aca="false">IF(J506=1,N(I506)+ROW()/10000000,0)</f>
        <v>0</v>
      </c>
      <c r="L506" s="47" t="str">
        <f aca="false">IF(AND(J506=1,N(I506)&gt;0),SUMIF($K$2:$K$5001,"&gt;="&amp;K506,$I$2:$I$5001)/MAX(1,SUM($H$2:$H$5001)),"")</f>
        <v/>
      </c>
      <c r="M506" s="47" t="str">
        <f aca="false">IF($A506="","",INDEX($L$2:$L$5001,MATCH($A506,$A$2:$A$5001,0)))</f>
        <v/>
      </c>
      <c r="N506" s="48" t="str">
        <f aca="false">IF($A506="","",IF(N(M506)=0,"–",IF(M506&lt;=Start!$D$20,"A",IF(M506&lt;=Start!$D$21,"B","C"))))</f>
        <v/>
      </c>
      <c r="O506" s="48" t="str">
        <f aca="false">IF($A506="","",IF(NOT(ISNUMBER(F506)),"Wert fehlt; ",IF(F506&lt;=0,"Wert ist 0; ",""))&amp;IF(NOT(ISNUMBER(E506)),"Bestand fehlt; ",IF(E506&lt;0,"Bestand negativ; ",IF(E506=0,"Nullbestand; ","")))&amp;IF(D506="","Warengruppe fehlt; ","")&amp;IF(B506="","Bezeichnung fehlt; ","")&amp;IF(COUNTIFS($A$2:$A$5001,$A506,$C$2:$C$5001,C506)&gt;1,"Artikel doppelt im selben Lager; ",""))</f>
        <v/>
      </c>
      <c r="P506" s="47" t="n">
        <f aca="false">IF(OR($A506="",D506=""),0,IF(COUNTIF($D$2:D506,D506)=1,SUMIF($D$2:$D$5001,D506,$H$2:$H$5001)+ROW()/10000000,0))</f>
        <v>0</v>
      </c>
      <c r="Q506" s="47" t="n">
        <f aca="false">IF(OR($A506="",C506=""),0,IF(COUNTIF($C$2:C506,C506)=1,SUMIF($C$2:$C$5001,C506,$H$2:$H$5001)+ROW()/10000000,0))</f>
        <v>0</v>
      </c>
    </row>
    <row r="507" customFormat="false" ht="15" hidden="false" customHeight="false" outlineLevel="0" collapsed="false">
      <c r="A507" s="43"/>
      <c r="B507" s="44"/>
      <c r="C507" s="44"/>
      <c r="D507" s="44"/>
      <c r="E507" s="44"/>
      <c r="F507" s="44"/>
      <c r="G507" s="44"/>
      <c r="H507" s="46" t="str">
        <f aca="false">IF($A507="","",IF(OR(NOT(ISNUMBER(E507)),NOT(ISNUMBER(F507))),"",MAX(0,E507)*F507))</f>
        <v/>
      </c>
      <c r="I507" s="46" t="str">
        <f aca="false">IF($A507="","",SUMIF($A$2:$A$5001,$A507,$H$2:$H$5001))</f>
        <v/>
      </c>
      <c r="J507" s="47" t="n">
        <f aca="false">IF($A507="",0,IF(COUNTIF($A$2:A507,$A507)=1,1,0))</f>
        <v>0</v>
      </c>
      <c r="K507" s="47" t="n">
        <f aca="false">IF(J507=1,N(I507)+ROW()/10000000,0)</f>
        <v>0</v>
      </c>
      <c r="L507" s="47" t="str">
        <f aca="false">IF(AND(J507=1,N(I507)&gt;0),SUMIF($K$2:$K$5001,"&gt;="&amp;K507,$I$2:$I$5001)/MAX(1,SUM($H$2:$H$5001)),"")</f>
        <v/>
      </c>
      <c r="M507" s="47" t="str">
        <f aca="false">IF($A507="","",INDEX($L$2:$L$5001,MATCH($A507,$A$2:$A$5001,0)))</f>
        <v/>
      </c>
      <c r="N507" s="48" t="str">
        <f aca="false">IF($A507="","",IF(N(M507)=0,"–",IF(M507&lt;=Start!$D$20,"A",IF(M507&lt;=Start!$D$21,"B","C"))))</f>
        <v/>
      </c>
      <c r="O507" s="48" t="str">
        <f aca="false">IF($A507="","",IF(NOT(ISNUMBER(F507)),"Wert fehlt; ",IF(F507&lt;=0,"Wert ist 0; ",""))&amp;IF(NOT(ISNUMBER(E507)),"Bestand fehlt; ",IF(E507&lt;0,"Bestand negativ; ",IF(E507=0,"Nullbestand; ","")))&amp;IF(D507="","Warengruppe fehlt; ","")&amp;IF(B507="","Bezeichnung fehlt; ","")&amp;IF(COUNTIFS($A$2:$A$5001,$A507,$C$2:$C$5001,C507)&gt;1,"Artikel doppelt im selben Lager; ",""))</f>
        <v/>
      </c>
      <c r="P507" s="47" t="n">
        <f aca="false">IF(OR($A507="",D507=""),0,IF(COUNTIF($D$2:D507,D507)=1,SUMIF($D$2:$D$5001,D507,$H$2:$H$5001)+ROW()/10000000,0))</f>
        <v>0</v>
      </c>
      <c r="Q507" s="47" t="n">
        <f aca="false">IF(OR($A507="",C507=""),0,IF(COUNTIF($C$2:C507,C507)=1,SUMIF($C$2:$C$5001,C507,$H$2:$H$5001)+ROW()/10000000,0))</f>
        <v>0</v>
      </c>
    </row>
    <row r="508" customFormat="false" ht="15" hidden="false" customHeight="false" outlineLevel="0" collapsed="false">
      <c r="A508" s="43"/>
      <c r="B508" s="44"/>
      <c r="C508" s="44"/>
      <c r="D508" s="44"/>
      <c r="E508" s="44"/>
      <c r="F508" s="44"/>
      <c r="G508" s="44"/>
      <c r="H508" s="46" t="str">
        <f aca="false">IF($A508="","",IF(OR(NOT(ISNUMBER(E508)),NOT(ISNUMBER(F508))),"",MAX(0,E508)*F508))</f>
        <v/>
      </c>
      <c r="I508" s="46" t="str">
        <f aca="false">IF($A508="","",SUMIF($A$2:$A$5001,$A508,$H$2:$H$5001))</f>
        <v/>
      </c>
      <c r="J508" s="47" t="n">
        <f aca="false">IF($A508="",0,IF(COUNTIF($A$2:A508,$A508)=1,1,0))</f>
        <v>0</v>
      </c>
      <c r="K508" s="47" t="n">
        <f aca="false">IF(J508=1,N(I508)+ROW()/10000000,0)</f>
        <v>0</v>
      </c>
      <c r="L508" s="47" t="str">
        <f aca="false">IF(AND(J508=1,N(I508)&gt;0),SUMIF($K$2:$K$5001,"&gt;="&amp;K508,$I$2:$I$5001)/MAX(1,SUM($H$2:$H$5001)),"")</f>
        <v/>
      </c>
      <c r="M508" s="47" t="str">
        <f aca="false">IF($A508="","",INDEX($L$2:$L$5001,MATCH($A508,$A$2:$A$5001,0)))</f>
        <v/>
      </c>
      <c r="N508" s="48" t="str">
        <f aca="false">IF($A508="","",IF(N(M508)=0,"–",IF(M508&lt;=Start!$D$20,"A",IF(M508&lt;=Start!$D$21,"B","C"))))</f>
        <v/>
      </c>
      <c r="O508" s="48" t="str">
        <f aca="false">IF($A508="","",IF(NOT(ISNUMBER(F508)),"Wert fehlt; ",IF(F508&lt;=0,"Wert ist 0; ",""))&amp;IF(NOT(ISNUMBER(E508)),"Bestand fehlt; ",IF(E508&lt;0,"Bestand negativ; ",IF(E508=0,"Nullbestand; ","")))&amp;IF(D508="","Warengruppe fehlt; ","")&amp;IF(B508="","Bezeichnung fehlt; ","")&amp;IF(COUNTIFS($A$2:$A$5001,$A508,$C$2:$C$5001,C508)&gt;1,"Artikel doppelt im selben Lager; ",""))</f>
        <v/>
      </c>
      <c r="P508" s="47" t="n">
        <f aca="false">IF(OR($A508="",D508=""),0,IF(COUNTIF($D$2:D508,D508)=1,SUMIF($D$2:$D$5001,D508,$H$2:$H$5001)+ROW()/10000000,0))</f>
        <v>0</v>
      </c>
      <c r="Q508" s="47" t="n">
        <f aca="false">IF(OR($A508="",C508=""),0,IF(COUNTIF($C$2:C508,C508)=1,SUMIF($C$2:$C$5001,C508,$H$2:$H$5001)+ROW()/10000000,0))</f>
        <v>0</v>
      </c>
    </row>
    <row r="509" customFormat="false" ht="15" hidden="false" customHeight="false" outlineLevel="0" collapsed="false">
      <c r="A509" s="43"/>
      <c r="B509" s="44"/>
      <c r="C509" s="44"/>
      <c r="D509" s="44"/>
      <c r="E509" s="44"/>
      <c r="F509" s="44"/>
      <c r="G509" s="44"/>
      <c r="H509" s="46" t="str">
        <f aca="false">IF($A509="","",IF(OR(NOT(ISNUMBER(E509)),NOT(ISNUMBER(F509))),"",MAX(0,E509)*F509))</f>
        <v/>
      </c>
      <c r="I509" s="46" t="str">
        <f aca="false">IF($A509="","",SUMIF($A$2:$A$5001,$A509,$H$2:$H$5001))</f>
        <v/>
      </c>
      <c r="J509" s="47" t="n">
        <f aca="false">IF($A509="",0,IF(COUNTIF($A$2:A509,$A509)=1,1,0))</f>
        <v>0</v>
      </c>
      <c r="K509" s="47" t="n">
        <f aca="false">IF(J509=1,N(I509)+ROW()/10000000,0)</f>
        <v>0</v>
      </c>
      <c r="L509" s="47" t="str">
        <f aca="false">IF(AND(J509=1,N(I509)&gt;0),SUMIF($K$2:$K$5001,"&gt;="&amp;K509,$I$2:$I$5001)/MAX(1,SUM($H$2:$H$5001)),"")</f>
        <v/>
      </c>
      <c r="M509" s="47" t="str">
        <f aca="false">IF($A509="","",INDEX($L$2:$L$5001,MATCH($A509,$A$2:$A$5001,0)))</f>
        <v/>
      </c>
      <c r="N509" s="48" t="str">
        <f aca="false">IF($A509="","",IF(N(M509)=0,"–",IF(M509&lt;=Start!$D$20,"A",IF(M509&lt;=Start!$D$21,"B","C"))))</f>
        <v/>
      </c>
      <c r="O509" s="48" t="str">
        <f aca="false">IF($A509="","",IF(NOT(ISNUMBER(F509)),"Wert fehlt; ",IF(F509&lt;=0,"Wert ist 0; ",""))&amp;IF(NOT(ISNUMBER(E509)),"Bestand fehlt; ",IF(E509&lt;0,"Bestand negativ; ",IF(E509=0,"Nullbestand; ","")))&amp;IF(D509="","Warengruppe fehlt; ","")&amp;IF(B509="","Bezeichnung fehlt; ","")&amp;IF(COUNTIFS($A$2:$A$5001,$A509,$C$2:$C$5001,C509)&gt;1,"Artikel doppelt im selben Lager; ",""))</f>
        <v/>
      </c>
      <c r="P509" s="47" t="n">
        <f aca="false">IF(OR($A509="",D509=""),0,IF(COUNTIF($D$2:D509,D509)=1,SUMIF($D$2:$D$5001,D509,$H$2:$H$5001)+ROW()/10000000,0))</f>
        <v>0</v>
      </c>
      <c r="Q509" s="47" t="n">
        <f aca="false">IF(OR($A509="",C509=""),0,IF(COUNTIF($C$2:C509,C509)=1,SUMIF($C$2:$C$5001,C509,$H$2:$H$5001)+ROW()/10000000,0))</f>
        <v>0</v>
      </c>
    </row>
    <row r="510" customFormat="false" ht="15" hidden="false" customHeight="false" outlineLevel="0" collapsed="false">
      <c r="A510" s="43"/>
      <c r="B510" s="44"/>
      <c r="C510" s="44"/>
      <c r="D510" s="44"/>
      <c r="E510" s="44"/>
      <c r="F510" s="44"/>
      <c r="G510" s="44"/>
      <c r="H510" s="46" t="str">
        <f aca="false">IF($A510="","",IF(OR(NOT(ISNUMBER(E510)),NOT(ISNUMBER(F510))),"",MAX(0,E510)*F510))</f>
        <v/>
      </c>
      <c r="I510" s="46" t="str">
        <f aca="false">IF($A510="","",SUMIF($A$2:$A$5001,$A510,$H$2:$H$5001))</f>
        <v/>
      </c>
      <c r="J510" s="47" t="n">
        <f aca="false">IF($A510="",0,IF(COUNTIF($A$2:A510,$A510)=1,1,0))</f>
        <v>0</v>
      </c>
      <c r="K510" s="47" t="n">
        <f aca="false">IF(J510=1,N(I510)+ROW()/10000000,0)</f>
        <v>0</v>
      </c>
      <c r="L510" s="47" t="str">
        <f aca="false">IF(AND(J510=1,N(I510)&gt;0),SUMIF($K$2:$K$5001,"&gt;="&amp;K510,$I$2:$I$5001)/MAX(1,SUM($H$2:$H$5001)),"")</f>
        <v/>
      </c>
      <c r="M510" s="47" t="str">
        <f aca="false">IF($A510="","",INDEX($L$2:$L$5001,MATCH($A510,$A$2:$A$5001,0)))</f>
        <v/>
      </c>
      <c r="N510" s="48" t="str">
        <f aca="false">IF($A510="","",IF(N(M510)=0,"–",IF(M510&lt;=Start!$D$20,"A",IF(M510&lt;=Start!$D$21,"B","C"))))</f>
        <v/>
      </c>
      <c r="O510" s="48" t="str">
        <f aca="false">IF($A510="","",IF(NOT(ISNUMBER(F510)),"Wert fehlt; ",IF(F510&lt;=0,"Wert ist 0; ",""))&amp;IF(NOT(ISNUMBER(E510)),"Bestand fehlt; ",IF(E510&lt;0,"Bestand negativ; ",IF(E510=0,"Nullbestand; ","")))&amp;IF(D510="","Warengruppe fehlt; ","")&amp;IF(B510="","Bezeichnung fehlt; ","")&amp;IF(COUNTIFS($A$2:$A$5001,$A510,$C$2:$C$5001,C510)&gt;1,"Artikel doppelt im selben Lager; ",""))</f>
        <v/>
      </c>
      <c r="P510" s="47" t="n">
        <f aca="false">IF(OR($A510="",D510=""),0,IF(COUNTIF($D$2:D510,D510)=1,SUMIF($D$2:$D$5001,D510,$H$2:$H$5001)+ROW()/10000000,0))</f>
        <v>0</v>
      </c>
      <c r="Q510" s="47" t="n">
        <f aca="false">IF(OR($A510="",C510=""),0,IF(COUNTIF($C$2:C510,C510)=1,SUMIF($C$2:$C$5001,C510,$H$2:$H$5001)+ROW()/10000000,0))</f>
        <v>0</v>
      </c>
    </row>
    <row r="511" customFormat="false" ht="15" hidden="false" customHeight="false" outlineLevel="0" collapsed="false">
      <c r="A511" s="43"/>
      <c r="B511" s="44"/>
      <c r="C511" s="44"/>
      <c r="D511" s="44"/>
      <c r="E511" s="44"/>
      <c r="F511" s="44"/>
      <c r="G511" s="44"/>
      <c r="H511" s="46" t="str">
        <f aca="false">IF($A511="","",IF(OR(NOT(ISNUMBER(E511)),NOT(ISNUMBER(F511))),"",MAX(0,E511)*F511))</f>
        <v/>
      </c>
      <c r="I511" s="46" t="str">
        <f aca="false">IF($A511="","",SUMIF($A$2:$A$5001,$A511,$H$2:$H$5001))</f>
        <v/>
      </c>
      <c r="J511" s="47" t="n">
        <f aca="false">IF($A511="",0,IF(COUNTIF($A$2:A511,$A511)=1,1,0))</f>
        <v>0</v>
      </c>
      <c r="K511" s="47" t="n">
        <f aca="false">IF(J511=1,N(I511)+ROW()/10000000,0)</f>
        <v>0</v>
      </c>
      <c r="L511" s="47" t="str">
        <f aca="false">IF(AND(J511=1,N(I511)&gt;0),SUMIF($K$2:$K$5001,"&gt;="&amp;K511,$I$2:$I$5001)/MAX(1,SUM($H$2:$H$5001)),"")</f>
        <v/>
      </c>
      <c r="M511" s="47" t="str">
        <f aca="false">IF($A511="","",INDEX($L$2:$L$5001,MATCH($A511,$A$2:$A$5001,0)))</f>
        <v/>
      </c>
      <c r="N511" s="48" t="str">
        <f aca="false">IF($A511="","",IF(N(M511)=0,"–",IF(M511&lt;=Start!$D$20,"A",IF(M511&lt;=Start!$D$21,"B","C"))))</f>
        <v/>
      </c>
      <c r="O511" s="48" t="str">
        <f aca="false">IF($A511="","",IF(NOT(ISNUMBER(F511)),"Wert fehlt; ",IF(F511&lt;=0,"Wert ist 0; ",""))&amp;IF(NOT(ISNUMBER(E511)),"Bestand fehlt; ",IF(E511&lt;0,"Bestand negativ; ",IF(E511=0,"Nullbestand; ","")))&amp;IF(D511="","Warengruppe fehlt; ","")&amp;IF(B511="","Bezeichnung fehlt; ","")&amp;IF(COUNTIFS($A$2:$A$5001,$A511,$C$2:$C$5001,C511)&gt;1,"Artikel doppelt im selben Lager; ",""))</f>
        <v/>
      </c>
      <c r="P511" s="47" t="n">
        <f aca="false">IF(OR($A511="",D511=""),0,IF(COUNTIF($D$2:D511,D511)=1,SUMIF($D$2:$D$5001,D511,$H$2:$H$5001)+ROW()/10000000,0))</f>
        <v>0</v>
      </c>
      <c r="Q511" s="47" t="n">
        <f aca="false">IF(OR($A511="",C511=""),0,IF(COUNTIF($C$2:C511,C511)=1,SUMIF($C$2:$C$5001,C511,$H$2:$H$5001)+ROW()/10000000,0))</f>
        <v>0</v>
      </c>
    </row>
    <row r="512" customFormat="false" ht="15" hidden="false" customHeight="false" outlineLevel="0" collapsed="false">
      <c r="A512" s="43"/>
      <c r="B512" s="44"/>
      <c r="C512" s="44"/>
      <c r="D512" s="44"/>
      <c r="E512" s="44"/>
      <c r="F512" s="44"/>
      <c r="G512" s="44"/>
      <c r="H512" s="46" t="str">
        <f aca="false">IF($A512="","",IF(OR(NOT(ISNUMBER(E512)),NOT(ISNUMBER(F512))),"",MAX(0,E512)*F512))</f>
        <v/>
      </c>
      <c r="I512" s="46" t="str">
        <f aca="false">IF($A512="","",SUMIF($A$2:$A$5001,$A512,$H$2:$H$5001))</f>
        <v/>
      </c>
      <c r="J512" s="47" t="n">
        <f aca="false">IF($A512="",0,IF(COUNTIF($A$2:A512,$A512)=1,1,0))</f>
        <v>0</v>
      </c>
      <c r="K512" s="47" t="n">
        <f aca="false">IF(J512=1,N(I512)+ROW()/10000000,0)</f>
        <v>0</v>
      </c>
      <c r="L512" s="47" t="str">
        <f aca="false">IF(AND(J512=1,N(I512)&gt;0),SUMIF($K$2:$K$5001,"&gt;="&amp;K512,$I$2:$I$5001)/MAX(1,SUM($H$2:$H$5001)),"")</f>
        <v/>
      </c>
      <c r="M512" s="47" t="str">
        <f aca="false">IF($A512="","",INDEX($L$2:$L$5001,MATCH($A512,$A$2:$A$5001,0)))</f>
        <v/>
      </c>
      <c r="N512" s="48" t="str">
        <f aca="false">IF($A512="","",IF(N(M512)=0,"–",IF(M512&lt;=Start!$D$20,"A",IF(M512&lt;=Start!$D$21,"B","C"))))</f>
        <v/>
      </c>
      <c r="O512" s="48" t="str">
        <f aca="false">IF($A512="","",IF(NOT(ISNUMBER(F512)),"Wert fehlt; ",IF(F512&lt;=0,"Wert ist 0; ",""))&amp;IF(NOT(ISNUMBER(E512)),"Bestand fehlt; ",IF(E512&lt;0,"Bestand negativ; ",IF(E512=0,"Nullbestand; ","")))&amp;IF(D512="","Warengruppe fehlt; ","")&amp;IF(B512="","Bezeichnung fehlt; ","")&amp;IF(COUNTIFS($A$2:$A$5001,$A512,$C$2:$C$5001,C512)&gt;1,"Artikel doppelt im selben Lager; ",""))</f>
        <v/>
      </c>
      <c r="P512" s="47" t="n">
        <f aca="false">IF(OR($A512="",D512=""),0,IF(COUNTIF($D$2:D512,D512)=1,SUMIF($D$2:$D$5001,D512,$H$2:$H$5001)+ROW()/10000000,0))</f>
        <v>0</v>
      </c>
      <c r="Q512" s="47" t="n">
        <f aca="false">IF(OR($A512="",C512=""),0,IF(COUNTIF($C$2:C512,C512)=1,SUMIF($C$2:$C$5001,C512,$H$2:$H$5001)+ROW()/10000000,0))</f>
        <v>0</v>
      </c>
    </row>
    <row r="513" customFormat="false" ht="15" hidden="false" customHeight="false" outlineLevel="0" collapsed="false">
      <c r="A513" s="43"/>
      <c r="B513" s="44"/>
      <c r="C513" s="44"/>
      <c r="D513" s="44"/>
      <c r="E513" s="44"/>
      <c r="F513" s="44"/>
      <c r="G513" s="44"/>
      <c r="H513" s="46" t="str">
        <f aca="false">IF($A513="","",IF(OR(NOT(ISNUMBER(E513)),NOT(ISNUMBER(F513))),"",MAX(0,E513)*F513))</f>
        <v/>
      </c>
      <c r="I513" s="46" t="str">
        <f aca="false">IF($A513="","",SUMIF($A$2:$A$5001,$A513,$H$2:$H$5001))</f>
        <v/>
      </c>
      <c r="J513" s="47" t="n">
        <f aca="false">IF($A513="",0,IF(COUNTIF($A$2:A513,$A513)=1,1,0))</f>
        <v>0</v>
      </c>
      <c r="K513" s="47" t="n">
        <f aca="false">IF(J513=1,N(I513)+ROW()/10000000,0)</f>
        <v>0</v>
      </c>
      <c r="L513" s="47" t="str">
        <f aca="false">IF(AND(J513=1,N(I513)&gt;0),SUMIF($K$2:$K$5001,"&gt;="&amp;K513,$I$2:$I$5001)/MAX(1,SUM($H$2:$H$5001)),"")</f>
        <v/>
      </c>
      <c r="M513" s="47" t="str">
        <f aca="false">IF($A513="","",INDEX($L$2:$L$5001,MATCH($A513,$A$2:$A$5001,0)))</f>
        <v/>
      </c>
      <c r="N513" s="48" t="str">
        <f aca="false">IF($A513="","",IF(N(M513)=0,"–",IF(M513&lt;=Start!$D$20,"A",IF(M513&lt;=Start!$D$21,"B","C"))))</f>
        <v/>
      </c>
      <c r="O513" s="48" t="str">
        <f aca="false">IF($A513="","",IF(NOT(ISNUMBER(F513)),"Wert fehlt; ",IF(F513&lt;=0,"Wert ist 0; ",""))&amp;IF(NOT(ISNUMBER(E513)),"Bestand fehlt; ",IF(E513&lt;0,"Bestand negativ; ",IF(E513=0,"Nullbestand; ","")))&amp;IF(D513="","Warengruppe fehlt; ","")&amp;IF(B513="","Bezeichnung fehlt; ","")&amp;IF(COUNTIFS($A$2:$A$5001,$A513,$C$2:$C$5001,C513)&gt;1,"Artikel doppelt im selben Lager; ",""))</f>
        <v/>
      </c>
      <c r="P513" s="47" t="n">
        <f aca="false">IF(OR($A513="",D513=""),0,IF(COUNTIF($D$2:D513,D513)=1,SUMIF($D$2:$D$5001,D513,$H$2:$H$5001)+ROW()/10000000,0))</f>
        <v>0</v>
      </c>
      <c r="Q513" s="47" t="n">
        <f aca="false">IF(OR($A513="",C513=""),0,IF(COUNTIF($C$2:C513,C513)=1,SUMIF($C$2:$C$5001,C513,$H$2:$H$5001)+ROW()/10000000,0))</f>
        <v>0</v>
      </c>
    </row>
    <row r="514" customFormat="false" ht="15" hidden="false" customHeight="false" outlineLevel="0" collapsed="false">
      <c r="A514" s="43"/>
      <c r="B514" s="44"/>
      <c r="C514" s="44"/>
      <c r="D514" s="44"/>
      <c r="E514" s="44"/>
      <c r="F514" s="44"/>
      <c r="G514" s="44"/>
      <c r="H514" s="46" t="str">
        <f aca="false">IF($A514="","",IF(OR(NOT(ISNUMBER(E514)),NOT(ISNUMBER(F514))),"",MAX(0,E514)*F514))</f>
        <v/>
      </c>
      <c r="I514" s="46" t="str">
        <f aca="false">IF($A514="","",SUMIF($A$2:$A$5001,$A514,$H$2:$H$5001))</f>
        <v/>
      </c>
      <c r="J514" s="47" t="n">
        <f aca="false">IF($A514="",0,IF(COUNTIF($A$2:A514,$A514)=1,1,0))</f>
        <v>0</v>
      </c>
      <c r="K514" s="47" t="n">
        <f aca="false">IF(J514=1,N(I514)+ROW()/10000000,0)</f>
        <v>0</v>
      </c>
      <c r="L514" s="47" t="str">
        <f aca="false">IF(AND(J514=1,N(I514)&gt;0),SUMIF($K$2:$K$5001,"&gt;="&amp;K514,$I$2:$I$5001)/MAX(1,SUM($H$2:$H$5001)),"")</f>
        <v/>
      </c>
      <c r="M514" s="47" t="str">
        <f aca="false">IF($A514="","",INDEX($L$2:$L$5001,MATCH($A514,$A$2:$A$5001,0)))</f>
        <v/>
      </c>
      <c r="N514" s="48" t="str">
        <f aca="false">IF($A514="","",IF(N(M514)=0,"–",IF(M514&lt;=Start!$D$20,"A",IF(M514&lt;=Start!$D$21,"B","C"))))</f>
        <v/>
      </c>
      <c r="O514" s="48" t="str">
        <f aca="false">IF($A514="","",IF(NOT(ISNUMBER(F514)),"Wert fehlt; ",IF(F514&lt;=0,"Wert ist 0; ",""))&amp;IF(NOT(ISNUMBER(E514)),"Bestand fehlt; ",IF(E514&lt;0,"Bestand negativ; ",IF(E514=0,"Nullbestand; ","")))&amp;IF(D514="","Warengruppe fehlt; ","")&amp;IF(B514="","Bezeichnung fehlt; ","")&amp;IF(COUNTIFS($A$2:$A$5001,$A514,$C$2:$C$5001,C514)&gt;1,"Artikel doppelt im selben Lager; ",""))</f>
        <v/>
      </c>
      <c r="P514" s="47" t="n">
        <f aca="false">IF(OR($A514="",D514=""),0,IF(COUNTIF($D$2:D514,D514)=1,SUMIF($D$2:$D$5001,D514,$H$2:$H$5001)+ROW()/10000000,0))</f>
        <v>0</v>
      </c>
      <c r="Q514" s="47" t="n">
        <f aca="false">IF(OR($A514="",C514=""),0,IF(COUNTIF($C$2:C514,C514)=1,SUMIF($C$2:$C$5001,C514,$H$2:$H$5001)+ROW()/10000000,0))</f>
        <v>0</v>
      </c>
    </row>
    <row r="515" customFormat="false" ht="15" hidden="false" customHeight="false" outlineLevel="0" collapsed="false">
      <c r="A515" s="43"/>
      <c r="B515" s="44"/>
      <c r="C515" s="44"/>
      <c r="D515" s="44"/>
      <c r="E515" s="44"/>
      <c r="F515" s="44"/>
      <c r="G515" s="44"/>
      <c r="H515" s="46" t="str">
        <f aca="false">IF($A515="","",IF(OR(NOT(ISNUMBER(E515)),NOT(ISNUMBER(F515))),"",MAX(0,E515)*F515))</f>
        <v/>
      </c>
      <c r="I515" s="46" t="str">
        <f aca="false">IF($A515="","",SUMIF($A$2:$A$5001,$A515,$H$2:$H$5001))</f>
        <v/>
      </c>
      <c r="J515" s="47" t="n">
        <f aca="false">IF($A515="",0,IF(COUNTIF($A$2:A515,$A515)=1,1,0))</f>
        <v>0</v>
      </c>
      <c r="K515" s="47" t="n">
        <f aca="false">IF(J515=1,N(I515)+ROW()/10000000,0)</f>
        <v>0</v>
      </c>
      <c r="L515" s="47" t="str">
        <f aca="false">IF(AND(J515=1,N(I515)&gt;0),SUMIF($K$2:$K$5001,"&gt;="&amp;K515,$I$2:$I$5001)/MAX(1,SUM($H$2:$H$5001)),"")</f>
        <v/>
      </c>
      <c r="M515" s="47" t="str">
        <f aca="false">IF($A515="","",INDEX($L$2:$L$5001,MATCH($A515,$A$2:$A$5001,0)))</f>
        <v/>
      </c>
      <c r="N515" s="48" t="str">
        <f aca="false">IF($A515="","",IF(N(M515)=0,"–",IF(M515&lt;=Start!$D$20,"A",IF(M515&lt;=Start!$D$21,"B","C"))))</f>
        <v/>
      </c>
      <c r="O515" s="48" t="str">
        <f aca="false">IF($A515="","",IF(NOT(ISNUMBER(F515)),"Wert fehlt; ",IF(F515&lt;=0,"Wert ist 0; ",""))&amp;IF(NOT(ISNUMBER(E515)),"Bestand fehlt; ",IF(E515&lt;0,"Bestand negativ; ",IF(E515=0,"Nullbestand; ","")))&amp;IF(D515="","Warengruppe fehlt; ","")&amp;IF(B515="","Bezeichnung fehlt; ","")&amp;IF(COUNTIFS($A$2:$A$5001,$A515,$C$2:$C$5001,C515)&gt;1,"Artikel doppelt im selben Lager; ",""))</f>
        <v/>
      </c>
      <c r="P515" s="47" t="n">
        <f aca="false">IF(OR($A515="",D515=""),0,IF(COUNTIF($D$2:D515,D515)=1,SUMIF($D$2:$D$5001,D515,$H$2:$H$5001)+ROW()/10000000,0))</f>
        <v>0</v>
      </c>
      <c r="Q515" s="47" t="n">
        <f aca="false">IF(OR($A515="",C515=""),0,IF(COUNTIF($C$2:C515,C515)=1,SUMIF($C$2:$C$5001,C515,$H$2:$H$5001)+ROW()/10000000,0))</f>
        <v>0</v>
      </c>
    </row>
    <row r="516" customFormat="false" ht="15" hidden="false" customHeight="false" outlineLevel="0" collapsed="false">
      <c r="A516" s="43"/>
      <c r="B516" s="44"/>
      <c r="C516" s="44"/>
      <c r="D516" s="44"/>
      <c r="E516" s="44"/>
      <c r="F516" s="44"/>
      <c r="G516" s="44"/>
      <c r="H516" s="46" t="str">
        <f aca="false">IF($A516="","",IF(OR(NOT(ISNUMBER(E516)),NOT(ISNUMBER(F516))),"",MAX(0,E516)*F516))</f>
        <v/>
      </c>
      <c r="I516" s="46" t="str">
        <f aca="false">IF($A516="","",SUMIF($A$2:$A$5001,$A516,$H$2:$H$5001))</f>
        <v/>
      </c>
      <c r="J516" s="47" t="n">
        <f aca="false">IF($A516="",0,IF(COUNTIF($A$2:A516,$A516)=1,1,0))</f>
        <v>0</v>
      </c>
      <c r="K516" s="47" t="n">
        <f aca="false">IF(J516=1,N(I516)+ROW()/10000000,0)</f>
        <v>0</v>
      </c>
      <c r="L516" s="47" t="str">
        <f aca="false">IF(AND(J516=1,N(I516)&gt;0),SUMIF($K$2:$K$5001,"&gt;="&amp;K516,$I$2:$I$5001)/MAX(1,SUM($H$2:$H$5001)),"")</f>
        <v/>
      </c>
      <c r="M516" s="47" t="str">
        <f aca="false">IF($A516="","",INDEX($L$2:$L$5001,MATCH($A516,$A$2:$A$5001,0)))</f>
        <v/>
      </c>
      <c r="N516" s="48" t="str">
        <f aca="false">IF($A516="","",IF(N(M516)=0,"–",IF(M516&lt;=Start!$D$20,"A",IF(M516&lt;=Start!$D$21,"B","C"))))</f>
        <v/>
      </c>
      <c r="O516" s="48" t="str">
        <f aca="false">IF($A516="","",IF(NOT(ISNUMBER(F516)),"Wert fehlt; ",IF(F516&lt;=0,"Wert ist 0; ",""))&amp;IF(NOT(ISNUMBER(E516)),"Bestand fehlt; ",IF(E516&lt;0,"Bestand negativ; ",IF(E516=0,"Nullbestand; ","")))&amp;IF(D516="","Warengruppe fehlt; ","")&amp;IF(B516="","Bezeichnung fehlt; ","")&amp;IF(COUNTIFS($A$2:$A$5001,$A516,$C$2:$C$5001,C516)&gt;1,"Artikel doppelt im selben Lager; ",""))</f>
        <v/>
      </c>
      <c r="P516" s="47" t="n">
        <f aca="false">IF(OR($A516="",D516=""),0,IF(COUNTIF($D$2:D516,D516)=1,SUMIF($D$2:$D$5001,D516,$H$2:$H$5001)+ROW()/10000000,0))</f>
        <v>0</v>
      </c>
      <c r="Q516" s="47" t="n">
        <f aca="false">IF(OR($A516="",C516=""),0,IF(COUNTIF($C$2:C516,C516)=1,SUMIF($C$2:$C$5001,C516,$H$2:$H$5001)+ROW()/10000000,0))</f>
        <v>0</v>
      </c>
    </row>
    <row r="517" customFormat="false" ht="15" hidden="false" customHeight="false" outlineLevel="0" collapsed="false">
      <c r="A517" s="43"/>
      <c r="B517" s="44"/>
      <c r="C517" s="44"/>
      <c r="D517" s="44"/>
      <c r="E517" s="44"/>
      <c r="F517" s="44"/>
      <c r="G517" s="44"/>
      <c r="H517" s="46" t="str">
        <f aca="false">IF($A517="","",IF(OR(NOT(ISNUMBER(E517)),NOT(ISNUMBER(F517))),"",MAX(0,E517)*F517))</f>
        <v/>
      </c>
      <c r="I517" s="46" t="str">
        <f aca="false">IF($A517="","",SUMIF($A$2:$A$5001,$A517,$H$2:$H$5001))</f>
        <v/>
      </c>
      <c r="J517" s="47" t="n">
        <f aca="false">IF($A517="",0,IF(COUNTIF($A$2:A517,$A517)=1,1,0))</f>
        <v>0</v>
      </c>
      <c r="K517" s="47" t="n">
        <f aca="false">IF(J517=1,N(I517)+ROW()/10000000,0)</f>
        <v>0</v>
      </c>
      <c r="L517" s="47" t="str">
        <f aca="false">IF(AND(J517=1,N(I517)&gt;0),SUMIF($K$2:$K$5001,"&gt;="&amp;K517,$I$2:$I$5001)/MAX(1,SUM($H$2:$H$5001)),"")</f>
        <v/>
      </c>
      <c r="M517" s="47" t="str">
        <f aca="false">IF($A517="","",INDEX($L$2:$L$5001,MATCH($A517,$A$2:$A$5001,0)))</f>
        <v/>
      </c>
      <c r="N517" s="48" t="str">
        <f aca="false">IF($A517="","",IF(N(M517)=0,"–",IF(M517&lt;=Start!$D$20,"A",IF(M517&lt;=Start!$D$21,"B","C"))))</f>
        <v/>
      </c>
      <c r="O517" s="48" t="str">
        <f aca="false">IF($A517="","",IF(NOT(ISNUMBER(F517)),"Wert fehlt; ",IF(F517&lt;=0,"Wert ist 0; ",""))&amp;IF(NOT(ISNUMBER(E517)),"Bestand fehlt; ",IF(E517&lt;0,"Bestand negativ; ",IF(E517=0,"Nullbestand; ","")))&amp;IF(D517="","Warengruppe fehlt; ","")&amp;IF(B517="","Bezeichnung fehlt; ","")&amp;IF(COUNTIFS($A$2:$A$5001,$A517,$C$2:$C$5001,C517)&gt;1,"Artikel doppelt im selben Lager; ",""))</f>
        <v/>
      </c>
      <c r="P517" s="47" t="n">
        <f aca="false">IF(OR($A517="",D517=""),0,IF(COUNTIF($D$2:D517,D517)=1,SUMIF($D$2:$D$5001,D517,$H$2:$H$5001)+ROW()/10000000,0))</f>
        <v>0</v>
      </c>
      <c r="Q517" s="47" t="n">
        <f aca="false">IF(OR($A517="",C517=""),0,IF(COUNTIF($C$2:C517,C517)=1,SUMIF($C$2:$C$5001,C517,$H$2:$H$5001)+ROW()/10000000,0))</f>
        <v>0</v>
      </c>
    </row>
    <row r="518" customFormat="false" ht="15" hidden="false" customHeight="false" outlineLevel="0" collapsed="false">
      <c r="A518" s="43"/>
      <c r="B518" s="44"/>
      <c r="C518" s="44"/>
      <c r="D518" s="44"/>
      <c r="E518" s="44"/>
      <c r="F518" s="44"/>
      <c r="G518" s="44"/>
      <c r="H518" s="46" t="str">
        <f aca="false">IF($A518="","",IF(OR(NOT(ISNUMBER(E518)),NOT(ISNUMBER(F518))),"",MAX(0,E518)*F518))</f>
        <v/>
      </c>
      <c r="I518" s="46" t="str">
        <f aca="false">IF($A518="","",SUMIF($A$2:$A$5001,$A518,$H$2:$H$5001))</f>
        <v/>
      </c>
      <c r="J518" s="47" t="n">
        <f aca="false">IF($A518="",0,IF(COUNTIF($A$2:A518,$A518)=1,1,0))</f>
        <v>0</v>
      </c>
      <c r="K518" s="47" t="n">
        <f aca="false">IF(J518=1,N(I518)+ROW()/10000000,0)</f>
        <v>0</v>
      </c>
      <c r="L518" s="47" t="str">
        <f aca="false">IF(AND(J518=1,N(I518)&gt;0),SUMIF($K$2:$K$5001,"&gt;="&amp;K518,$I$2:$I$5001)/MAX(1,SUM($H$2:$H$5001)),"")</f>
        <v/>
      </c>
      <c r="M518" s="47" t="str">
        <f aca="false">IF($A518="","",INDEX($L$2:$L$5001,MATCH($A518,$A$2:$A$5001,0)))</f>
        <v/>
      </c>
      <c r="N518" s="48" t="str">
        <f aca="false">IF($A518="","",IF(N(M518)=0,"–",IF(M518&lt;=Start!$D$20,"A",IF(M518&lt;=Start!$D$21,"B","C"))))</f>
        <v/>
      </c>
      <c r="O518" s="48" t="str">
        <f aca="false">IF($A518="","",IF(NOT(ISNUMBER(F518)),"Wert fehlt; ",IF(F518&lt;=0,"Wert ist 0; ",""))&amp;IF(NOT(ISNUMBER(E518)),"Bestand fehlt; ",IF(E518&lt;0,"Bestand negativ; ",IF(E518=0,"Nullbestand; ","")))&amp;IF(D518="","Warengruppe fehlt; ","")&amp;IF(B518="","Bezeichnung fehlt; ","")&amp;IF(COUNTIFS($A$2:$A$5001,$A518,$C$2:$C$5001,C518)&gt;1,"Artikel doppelt im selben Lager; ",""))</f>
        <v/>
      </c>
      <c r="P518" s="47" t="n">
        <f aca="false">IF(OR($A518="",D518=""),0,IF(COUNTIF($D$2:D518,D518)=1,SUMIF($D$2:$D$5001,D518,$H$2:$H$5001)+ROW()/10000000,0))</f>
        <v>0</v>
      </c>
      <c r="Q518" s="47" t="n">
        <f aca="false">IF(OR($A518="",C518=""),0,IF(COUNTIF($C$2:C518,C518)=1,SUMIF($C$2:$C$5001,C518,$H$2:$H$5001)+ROW()/10000000,0))</f>
        <v>0</v>
      </c>
    </row>
    <row r="519" customFormat="false" ht="15" hidden="false" customHeight="false" outlineLevel="0" collapsed="false">
      <c r="A519" s="43"/>
      <c r="B519" s="44"/>
      <c r="C519" s="44"/>
      <c r="D519" s="44"/>
      <c r="E519" s="44"/>
      <c r="F519" s="44"/>
      <c r="G519" s="44"/>
      <c r="H519" s="46" t="str">
        <f aca="false">IF($A519="","",IF(OR(NOT(ISNUMBER(E519)),NOT(ISNUMBER(F519))),"",MAX(0,E519)*F519))</f>
        <v/>
      </c>
      <c r="I519" s="46" t="str">
        <f aca="false">IF($A519="","",SUMIF($A$2:$A$5001,$A519,$H$2:$H$5001))</f>
        <v/>
      </c>
      <c r="J519" s="47" t="n">
        <f aca="false">IF($A519="",0,IF(COUNTIF($A$2:A519,$A519)=1,1,0))</f>
        <v>0</v>
      </c>
      <c r="K519" s="47" t="n">
        <f aca="false">IF(J519=1,N(I519)+ROW()/10000000,0)</f>
        <v>0</v>
      </c>
      <c r="L519" s="47" t="str">
        <f aca="false">IF(AND(J519=1,N(I519)&gt;0),SUMIF($K$2:$K$5001,"&gt;="&amp;K519,$I$2:$I$5001)/MAX(1,SUM($H$2:$H$5001)),"")</f>
        <v/>
      </c>
      <c r="M519" s="47" t="str">
        <f aca="false">IF($A519="","",INDEX($L$2:$L$5001,MATCH($A519,$A$2:$A$5001,0)))</f>
        <v/>
      </c>
      <c r="N519" s="48" t="str">
        <f aca="false">IF($A519="","",IF(N(M519)=0,"–",IF(M519&lt;=Start!$D$20,"A",IF(M519&lt;=Start!$D$21,"B","C"))))</f>
        <v/>
      </c>
      <c r="O519" s="48" t="str">
        <f aca="false">IF($A519="","",IF(NOT(ISNUMBER(F519)),"Wert fehlt; ",IF(F519&lt;=0,"Wert ist 0; ",""))&amp;IF(NOT(ISNUMBER(E519)),"Bestand fehlt; ",IF(E519&lt;0,"Bestand negativ; ",IF(E519=0,"Nullbestand; ","")))&amp;IF(D519="","Warengruppe fehlt; ","")&amp;IF(B519="","Bezeichnung fehlt; ","")&amp;IF(COUNTIFS($A$2:$A$5001,$A519,$C$2:$C$5001,C519)&gt;1,"Artikel doppelt im selben Lager; ",""))</f>
        <v/>
      </c>
      <c r="P519" s="47" t="n">
        <f aca="false">IF(OR($A519="",D519=""),0,IF(COUNTIF($D$2:D519,D519)=1,SUMIF($D$2:$D$5001,D519,$H$2:$H$5001)+ROW()/10000000,0))</f>
        <v>0</v>
      </c>
      <c r="Q519" s="47" t="n">
        <f aca="false">IF(OR($A519="",C519=""),0,IF(COUNTIF($C$2:C519,C519)=1,SUMIF($C$2:$C$5001,C519,$H$2:$H$5001)+ROW()/10000000,0))</f>
        <v>0</v>
      </c>
    </row>
    <row r="520" customFormat="false" ht="15" hidden="false" customHeight="false" outlineLevel="0" collapsed="false">
      <c r="A520" s="43"/>
      <c r="B520" s="44"/>
      <c r="C520" s="44"/>
      <c r="D520" s="44"/>
      <c r="E520" s="44"/>
      <c r="F520" s="44"/>
      <c r="G520" s="44"/>
      <c r="H520" s="46" t="str">
        <f aca="false">IF($A520="","",IF(OR(NOT(ISNUMBER(E520)),NOT(ISNUMBER(F520))),"",MAX(0,E520)*F520))</f>
        <v/>
      </c>
      <c r="I520" s="46" t="str">
        <f aca="false">IF($A520="","",SUMIF($A$2:$A$5001,$A520,$H$2:$H$5001))</f>
        <v/>
      </c>
      <c r="J520" s="47" t="n">
        <f aca="false">IF($A520="",0,IF(COUNTIF($A$2:A520,$A520)=1,1,0))</f>
        <v>0</v>
      </c>
      <c r="K520" s="47" t="n">
        <f aca="false">IF(J520=1,N(I520)+ROW()/10000000,0)</f>
        <v>0</v>
      </c>
      <c r="L520" s="47" t="str">
        <f aca="false">IF(AND(J520=1,N(I520)&gt;0),SUMIF($K$2:$K$5001,"&gt;="&amp;K520,$I$2:$I$5001)/MAX(1,SUM($H$2:$H$5001)),"")</f>
        <v/>
      </c>
      <c r="M520" s="47" t="str">
        <f aca="false">IF($A520="","",INDEX($L$2:$L$5001,MATCH($A520,$A$2:$A$5001,0)))</f>
        <v/>
      </c>
      <c r="N520" s="48" t="str">
        <f aca="false">IF($A520="","",IF(N(M520)=0,"–",IF(M520&lt;=Start!$D$20,"A",IF(M520&lt;=Start!$D$21,"B","C"))))</f>
        <v/>
      </c>
      <c r="O520" s="48" t="str">
        <f aca="false">IF($A520="","",IF(NOT(ISNUMBER(F520)),"Wert fehlt; ",IF(F520&lt;=0,"Wert ist 0; ",""))&amp;IF(NOT(ISNUMBER(E520)),"Bestand fehlt; ",IF(E520&lt;0,"Bestand negativ; ",IF(E520=0,"Nullbestand; ","")))&amp;IF(D520="","Warengruppe fehlt; ","")&amp;IF(B520="","Bezeichnung fehlt; ","")&amp;IF(COUNTIFS($A$2:$A$5001,$A520,$C$2:$C$5001,C520)&gt;1,"Artikel doppelt im selben Lager; ",""))</f>
        <v/>
      </c>
      <c r="P520" s="47" t="n">
        <f aca="false">IF(OR($A520="",D520=""),0,IF(COUNTIF($D$2:D520,D520)=1,SUMIF($D$2:$D$5001,D520,$H$2:$H$5001)+ROW()/10000000,0))</f>
        <v>0</v>
      </c>
      <c r="Q520" s="47" t="n">
        <f aca="false">IF(OR($A520="",C520=""),0,IF(COUNTIF($C$2:C520,C520)=1,SUMIF($C$2:$C$5001,C520,$H$2:$H$5001)+ROW()/10000000,0))</f>
        <v>0</v>
      </c>
    </row>
    <row r="521" customFormat="false" ht="15" hidden="false" customHeight="false" outlineLevel="0" collapsed="false">
      <c r="A521" s="43"/>
      <c r="B521" s="44"/>
      <c r="C521" s="44"/>
      <c r="D521" s="44"/>
      <c r="E521" s="44"/>
      <c r="F521" s="44"/>
      <c r="G521" s="44"/>
      <c r="H521" s="46" t="str">
        <f aca="false">IF($A521="","",IF(OR(NOT(ISNUMBER(E521)),NOT(ISNUMBER(F521))),"",MAX(0,E521)*F521))</f>
        <v/>
      </c>
      <c r="I521" s="46" t="str">
        <f aca="false">IF($A521="","",SUMIF($A$2:$A$5001,$A521,$H$2:$H$5001))</f>
        <v/>
      </c>
      <c r="J521" s="47" t="n">
        <f aca="false">IF($A521="",0,IF(COUNTIF($A$2:A521,$A521)=1,1,0))</f>
        <v>0</v>
      </c>
      <c r="K521" s="47" t="n">
        <f aca="false">IF(J521=1,N(I521)+ROW()/10000000,0)</f>
        <v>0</v>
      </c>
      <c r="L521" s="47" t="str">
        <f aca="false">IF(AND(J521=1,N(I521)&gt;0),SUMIF($K$2:$K$5001,"&gt;="&amp;K521,$I$2:$I$5001)/MAX(1,SUM($H$2:$H$5001)),"")</f>
        <v/>
      </c>
      <c r="M521" s="47" t="str">
        <f aca="false">IF($A521="","",INDEX($L$2:$L$5001,MATCH($A521,$A$2:$A$5001,0)))</f>
        <v/>
      </c>
      <c r="N521" s="48" t="str">
        <f aca="false">IF($A521="","",IF(N(M521)=0,"–",IF(M521&lt;=Start!$D$20,"A",IF(M521&lt;=Start!$D$21,"B","C"))))</f>
        <v/>
      </c>
      <c r="O521" s="48" t="str">
        <f aca="false">IF($A521="","",IF(NOT(ISNUMBER(F521)),"Wert fehlt; ",IF(F521&lt;=0,"Wert ist 0; ",""))&amp;IF(NOT(ISNUMBER(E521)),"Bestand fehlt; ",IF(E521&lt;0,"Bestand negativ; ",IF(E521=0,"Nullbestand; ","")))&amp;IF(D521="","Warengruppe fehlt; ","")&amp;IF(B521="","Bezeichnung fehlt; ","")&amp;IF(COUNTIFS($A$2:$A$5001,$A521,$C$2:$C$5001,C521)&gt;1,"Artikel doppelt im selben Lager; ",""))</f>
        <v/>
      </c>
      <c r="P521" s="47" t="n">
        <f aca="false">IF(OR($A521="",D521=""),0,IF(COUNTIF($D$2:D521,D521)=1,SUMIF($D$2:$D$5001,D521,$H$2:$H$5001)+ROW()/10000000,0))</f>
        <v>0</v>
      </c>
      <c r="Q521" s="47" t="n">
        <f aca="false">IF(OR($A521="",C521=""),0,IF(COUNTIF($C$2:C521,C521)=1,SUMIF($C$2:$C$5001,C521,$H$2:$H$5001)+ROW()/10000000,0))</f>
        <v>0</v>
      </c>
    </row>
    <row r="522" customFormat="false" ht="15" hidden="false" customHeight="false" outlineLevel="0" collapsed="false">
      <c r="A522" s="43"/>
      <c r="B522" s="44"/>
      <c r="C522" s="44"/>
      <c r="D522" s="44"/>
      <c r="E522" s="44"/>
      <c r="F522" s="44"/>
      <c r="G522" s="44"/>
      <c r="H522" s="46" t="str">
        <f aca="false">IF($A522="","",IF(OR(NOT(ISNUMBER(E522)),NOT(ISNUMBER(F522))),"",MAX(0,E522)*F522))</f>
        <v/>
      </c>
      <c r="I522" s="46" t="str">
        <f aca="false">IF($A522="","",SUMIF($A$2:$A$5001,$A522,$H$2:$H$5001))</f>
        <v/>
      </c>
      <c r="J522" s="47" t="n">
        <f aca="false">IF($A522="",0,IF(COUNTIF($A$2:A522,$A522)=1,1,0))</f>
        <v>0</v>
      </c>
      <c r="K522" s="47" t="n">
        <f aca="false">IF(J522=1,N(I522)+ROW()/10000000,0)</f>
        <v>0</v>
      </c>
      <c r="L522" s="47" t="str">
        <f aca="false">IF(AND(J522=1,N(I522)&gt;0),SUMIF($K$2:$K$5001,"&gt;="&amp;K522,$I$2:$I$5001)/MAX(1,SUM($H$2:$H$5001)),"")</f>
        <v/>
      </c>
      <c r="M522" s="47" t="str">
        <f aca="false">IF($A522="","",INDEX($L$2:$L$5001,MATCH($A522,$A$2:$A$5001,0)))</f>
        <v/>
      </c>
      <c r="N522" s="48" t="str">
        <f aca="false">IF($A522="","",IF(N(M522)=0,"–",IF(M522&lt;=Start!$D$20,"A",IF(M522&lt;=Start!$D$21,"B","C"))))</f>
        <v/>
      </c>
      <c r="O522" s="48" t="str">
        <f aca="false">IF($A522="","",IF(NOT(ISNUMBER(F522)),"Wert fehlt; ",IF(F522&lt;=0,"Wert ist 0; ",""))&amp;IF(NOT(ISNUMBER(E522)),"Bestand fehlt; ",IF(E522&lt;0,"Bestand negativ; ",IF(E522=0,"Nullbestand; ","")))&amp;IF(D522="","Warengruppe fehlt; ","")&amp;IF(B522="","Bezeichnung fehlt; ","")&amp;IF(COUNTIFS($A$2:$A$5001,$A522,$C$2:$C$5001,C522)&gt;1,"Artikel doppelt im selben Lager; ",""))</f>
        <v/>
      </c>
      <c r="P522" s="47" t="n">
        <f aca="false">IF(OR($A522="",D522=""),0,IF(COUNTIF($D$2:D522,D522)=1,SUMIF($D$2:$D$5001,D522,$H$2:$H$5001)+ROW()/10000000,0))</f>
        <v>0</v>
      </c>
      <c r="Q522" s="47" t="n">
        <f aca="false">IF(OR($A522="",C522=""),0,IF(COUNTIF($C$2:C522,C522)=1,SUMIF($C$2:$C$5001,C522,$H$2:$H$5001)+ROW()/10000000,0))</f>
        <v>0</v>
      </c>
    </row>
    <row r="523" customFormat="false" ht="15" hidden="false" customHeight="false" outlineLevel="0" collapsed="false">
      <c r="A523" s="43"/>
      <c r="B523" s="44"/>
      <c r="C523" s="44"/>
      <c r="D523" s="44"/>
      <c r="E523" s="44"/>
      <c r="F523" s="44"/>
      <c r="G523" s="44"/>
      <c r="H523" s="46" t="str">
        <f aca="false">IF($A523="","",IF(OR(NOT(ISNUMBER(E523)),NOT(ISNUMBER(F523))),"",MAX(0,E523)*F523))</f>
        <v/>
      </c>
      <c r="I523" s="46" t="str">
        <f aca="false">IF($A523="","",SUMIF($A$2:$A$5001,$A523,$H$2:$H$5001))</f>
        <v/>
      </c>
      <c r="J523" s="47" t="n">
        <f aca="false">IF($A523="",0,IF(COUNTIF($A$2:A523,$A523)=1,1,0))</f>
        <v>0</v>
      </c>
      <c r="K523" s="47" t="n">
        <f aca="false">IF(J523=1,N(I523)+ROW()/10000000,0)</f>
        <v>0</v>
      </c>
      <c r="L523" s="47" t="str">
        <f aca="false">IF(AND(J523=1,N(I523)&gt;0),SUMIF($K$2:$K$5001,"&gt;="&amp;K523,$I$2:$I$5001)/MAX(1,SUM($H$2:$H$5001)),"")</f>
        <v/>
      </c>
      <c r="M523" s="47" t="str">
        <f aca="false">IF($A523="","",INDEX($L$2:$L$5001,MATCH($A523,$A$2:$A$5001,0)))</f>
        <v/>
      </c>
      <c r="N523" s="48" t="str">
        <f aca="false">IF($A523="","",IF(N(M523)=0,"–",IF(M523&lt;=Start!$D$20,"A",IF(M523&lt;=Start!$D$21,"B","C"))))</f>
        <v/>
      </c>
      <c r="O523" s="48" t="str">
        <f aca="false">IF($A523="","",IF(NOT(ISNUMBER(F523)),"Wert fehlt; ",IF(F523&lt;=0,"Wert ist 0; ",""))&amp;IF(NOT(ISNUMBER(E523)),"Bestand fehlt; ",IF(E523&lt;0,"Bestand negativ; ",IF(E523=0,"Nullbestand; ","")))&amp;IF(D523="","Warengruppe fehlt; ","")&amp;IF(B523="","Bezeichnung fehlt; ","")&amp;IF(COUNTIFS($A$2:$A$5001,$A523,$C$2:$C$5001,C523)&gt;1,"Artikel doppelt im selben Lager; ",""))</f>
        <v/>
      </c>
      <c r="P523" s="47" t="n">
        <f aca="false">IF(OR($A523="",D523=""),0,IF(COUNTIF($D$2:D523,D523)=1,SUMIF($D$2:$D$5001,D523,$H$2:$H$5001)+ROW()/10000000,0))</f>
        <v>0</v>
      </c>
      <c r="Q523" s="47" t="n">
        <f aca="false">IF(OR($A523="",C523=""),0,IF(COUNTIF($C$2:C523,C523)=1,SUMIF($C$2:$C$5001,C523,$H$2:$H$5001)+ROW()/10000000,0))</f>
        <v>0</v>
      </c>
    </row>
    <row r="524" customFormat="false" ht="15" hidden="false" customHeight="false" outlineLevel="0" collapsed="false">
      <c r="A524" s="43"/>
      <c r="B524" s="44"/>
      <c r="C524" s="44"/>
      <c r="D524" s="44"/>
      <c r="E524" s="44"/>
      <c r="F524" s="44"/>
      <c r="G524" s="44"/>
      <c r="H524" s="46" t="str">
        <f aca="false">IF($A524="","",IF(OR(NOT(ISNUMBER(E524)),NOT(ISNUMBER(F524))),"",MAX(0,E524)*F524))</f>
        <v/>
      </c>
      <c r="I524" s="46" t="str">
        <f aca="false">IF($A524="","",SUMIF($A$2:$A$5001,$A524,$H$2:$H$5001))</f>
        <v/>
      </c>
      <c r="J524" s="47" t="n">
        <f aca="false">IF($A524="",0,IF(COUNTIF($A$2:A524,$A524)=1,1,0))</f>
        <v>0</v>
      </c>
      <c r="K524" s="47" t="n">
        <f aca="false">IF(J524=1,N(I524)+ROW()/10000000,0)</f>
        <v>0</v>
      </c>
      <c r="L524" s="47" t="str">
        <f aca="false">IF(AND(J524=1,N(I524)&gt;0),SUMIF($K$2:$K$5001,"&gt;="&amp;K524,$I$2:$I$5001)/MAX(1,SUM($H$2:$H$5001)),"")</f>
        <v/>
      </c>
      <c r="M524" s="47" t="str">
        <f aca="false">IF($A524="","",INDEX($L$2:$L$5001,MATCH($A524,$A$2:$A$5001,0)))</f>
        <v/>
      </c>
      <c r="N524" s="48" t="str">
        <f aca="false">IF($A524="","",IF(N(M524)=0,"–",IF(M524&lt;=Start!$D$20,"A",IF(M524&lt;=Start!$D$21,"B","C"))))</f>
        <v/>
      </c>
      <c r="O524" s="48" t="str">
        <f aca="false">IF($A524="","",IF(NOT(ISNUMBER(F524)),"Wert fehlt; ",IF(F524&lt;=0,"Wert ist 0; ",""))&amp;IF(NOT(ISNUMBER(E524)),"Bestand fehlt; ",IF(E524&lt;0,"Bestand negativ; ",IF(E524=0,"Nullbestand; ","")))&amp;IF(D524="","Warengruppe fehlt; ","")&amp;IF(B524="","Bezeichnung fehlt; ","")&amp;IF(COUNTIFS($A$2:$A$5001,$A524,$C$2:$C$5001,C524)&gt;1,"Artikel doppelt im selben Lager; ",""))</f>
        <v/>
      </c>
      <c r="P524" s="47" t="n">
        <f aca="false">IF(OR($A524="",D524=""),0,IF(COUNTIF($D$2:D524,D524)=1,SUMIF($D$2:$D$5001,D524,$H$2:$H$5001)+ROW()/10000000,0))</f>
        <v>0</v>
      </c>
      <c r="Q524" s="47" t="n">
        <f aca="false">IF(OR($A524="",C524=""),0,IF(COUNTIF($C$2:C524,C524)=1,SUMIF($C$2:$C$5001,C524,$H$2:$H$5001)+ROW()/10000000,0))</f>
        <v>0</v>
      </c>
    </row>
    <row r="525" customFormat="false" ht="15" hidden="false" customHeight="false" outlineLevel="0" collapsed="false">
      <c r="A525" s="43"/>
      <c r="B525" s="44"/>
      <c r="C525" s="44"/>
      <c r="D525" s="44"/>
      <c r="E525" s="44"/>
      <c r="F525" s="44"/>
      <c r="G525" s="44"/>
      <c r="H525" s="46" t="str">
        <f aca="false">IF($A525="","",IF(OR(NOT(ISNUMBER(E525)),NOT(ISNUMBER(F525))),"",MAX(0,E525)*F525))</f>
        <v/>
      </c>
      <c r="I525" s="46" t="str">
        <f aca="false">IF($A525="","",SUMIF($A$2:$A$5001,$A525,$H$2:$H$5001))</f>
        <v/>
      </c>
      <c r="J525" s="47" t="n">
        <f aca="false">IF($A525="",0,IF(COUNTIF($A$2:A525,$A525)=1,1,0))</f>
        <v>0</v>
      </c>
      <c r="K525" s="47" t="n">
        <f aca="false">IF(J525=1,N(I525)+ROW()/10000000,0)</f>
        <v>0</v>
      </c>
      <c r="L525" s="47" t="str">
        <f aca="false">IF(AND(J525=1,N(I525)&gt;0),SUMIF($K$2:$K$5001,"&gt;="&amp;K525,$I$2:$I$5001)/MAX(1,SUM($H$2:$H$5001)),"")</f>
        <v/>
      </c>
      <c r="M525" s="47" t="str">
        <f aca="false">IF($A525="","",INDEX($L$2:$L$5001,MATCH($A525,$A$2:$A$5001,0)))</f>
        <v/>
      </c>
      <c r="N525" s="48" t="str">
        <f aca="false">IF($A525="","",IF(N(M525)=0,"–",IF(M525&lt;=Start!$D$20,"A",IF(M525&lt;=Start!$D$21,"B","C"))))</f>
        <v/>
      </c>
      <c r="O525" s="48" t="str">
        <f aca="false">IF($A525="","",IF(NOT(ISNUMBER(F525)),"Wert fehlt; ",IF(F525&lt;=0,"Wert ist 0; ",""))&amp;IF(NOT(ISNUMBER(E525)),"Bestand fehlt; ",IF(E525&lt;0,"Bestand negativ; ",IF(E525=0,"Nullbestand; ","")))&amp;IF(D525="","Warengruppe fehlt; ","")&amp;IF(B525="","Bezeichnung fehlt; ","")&amp;IF(COUNTIFS($A$2:$A$5001,$A525,$C$2:$C$5001,C525)&gt;1,"Artikel doppelt im selben Lager; ",""))</f>
        <v/>
      </c>
      <c r="P525" s="47" t="n">
        <f aca="false">IF(OR($A525="",D525=""),0,IF(COUNTIF($D$2:D525,D525)=1,SUMIF($D$2:$D$5001,D525,$H$2:$H$5001)+ROW()/10000000,0))</f>
        <v>0</v>
      </c>
      <c r="Q525" s="47" t="n">
        <f aca="false">IF(OR($A525="",C525=""),0,IF(COUNTIF($C$2:C525,C525)=1,SUMIF($C$2:$C$5001,C525,$H$2:$H$5001)+ROW()/10000000,0))</f>
        <v>0</v>
      </c>
    </row>
    <row r="526" customFormat="false" ht="15" hidden="false" customHeight="false" outlineLevel="0" collapsed="false">
      <c r="A526" s="43"/>
      <c r="B526" s="44"/>
      <c r="C526" s="44"/>
      <c r="D526" s="44"/>
      <c r="E526" s="44"/>
      <c r="F526" s="44"/>
      <c r="G526" s="44"/>
      <c r="H526" s="46" t="str">
        <f aca="false">IF($A526="","",IF(OR(NOT(ISNUMBER(E526)),NOT(ISNUMBER(F526))),"",MAX(0,E526)*F526))</f>
        <v/>
      </c>
      <c r="I526" s="46" t="str">
        <f aca="false">IF($A526="","",SUMIF($A$2:$A$5001,$A526,$H$2:$H$5001))</f>
        <v/>
      </c>
      <c r="J526" s="47" t="n">
        <f aca="false">IF($A526="",0,IF(COUNTIF($A$2:A526,$A526)=1,1,0))</f>
        <v>0</v>
      </c>
      <c r="K526" s="47" t="n">
        <f aca="false">IF(J526=1,N(I526)+ROW()/10000000,0)</f>
        <v>0</v>
      </c>
      <c r="L526" s="47" t="str">
        <f aca="false">IF(AND(J526=1,N(I526)&gt;0),SUMIF($K$2:$K$5001,"&gt;="&amp;K526,$I$2:$I$5001)/MAX(1,SUM($H$2:$H$5001)),"")</f>
        <v/>
      </c>
      <c r="M526" s="47" t="str">
        <f aca="false">IF($A526="","",INDEX($L$2:$L$5001,MATCH($A526,$A$2:$A$5001,0)))</f>
        <v/>
      </c>
      <c r="N526" s="48" t="str">
        <f aca="false">IF($A526="","",IF(N(M526)=0,"–",IF(M526&lt;=Start!$D$20,"A",IF(M526&lt;=Start!$D$21,"B","C"))))</f>
        <v/>
      </c>
      <c r="O526" s="48" t="str">
        <f aca="false">IF($A526="","",IF(NOT(ISNUMBER(F526)),"Wert fehlt; ",IF(F526&lt;=0,"Wert ist 0; ",""))&amp;IF(NOT(ISNUMBER(E526)),"Bestand fehlt; ",IF(E526&lt;0,"Bestand negativ; ",IF(E526=0,"Nullbestand; ","")))&amp;IF(D526="","Warengruppe fehlt; ","")&amp;IF(B526="","Bezeichnung fehlt; ","")&amp;IF(COUNTIFS($A$2:$A$5001,$A526,$C$2:$C$5001,C526)&gt;1,"Artikel doppelt im selben Lager; ",""))</f>
        <v/>
      </c>
      <c r="P526" s="47" t="n">
        <f aca="false">IF(OR($A526="",D526=""),0,IF(COUNTIF($D$2:D526,D526)=1,SUMIF($D$2:$D$5001,D526,$H$2:$H$5001)+ROW()/10000000,0))</f>
        <v>0</v>
      </c>
      <c r="Q526" s="47" t="n">
        <f aca="false">IF(OR($A526="",C526=""),0,IF(COUNTIF($C$2:C526,C526)=1,SUMIF($C$2:$C$5001,C526,$H$2:$H$5001)+ROW()/10000000,0))</f>
        <v>0</v>
      </c>
    </row>
    <row r="527" customFormat="false" ht="15" hidden="false" customHeight="false" outlineLevel="0" collapsed="false">
      <c r="A527" s="43"/>
      <c r="B527" s="44"/>
      <c r="C527" s="44"/>
      <c r="D527" s="44"/>
      <c r="E527" s="44"/>
      <c r="F527" s="44"/>
      <c r="G527" s="44"/>
      <c r="H527" s="46" t="str">
        <f aca="false">IF($A527="","",IF(OR(NOT(ISNUMBER(E527)),NOT(ISNUMBER(F527))),"",MAX(0,E527)*F527))</f>
        <v/>
      </c>
      <c r="I527" s="46" t="str">
        <f aca="false">IF($A527="","",SUMIF($A$2:$A$5001,$A527,$H$2:$H$5001))</f>
        <v/>
      </c>
      <c r="J527" s="47" t="n">
        <f aca="false">IF($A527="",0,IF(COUNTIF($A$2:A527,$A527)=1,1,0))</f>
        <v>0</v>
      </c>
      <c r="K527" s="47" t="n">
        <f aca="false">IF(J527=1,N(I527)+ROW()/10000000,0)</f>
        <v>0</v>
      </c>
      <c r="L527" s="47" t="str">
        <f aca="false">IF(AND(J527=1,N(I527)&gt;0),SUMIF($K$2:$K$5001,"&gt;="&amp;K527,$I$2:$I$5001)/MAX(1,SUM($H$2:$H$5001)),"")</f>
        <v/>
      </c>
      <c r="M527" s="47" t="str">
        <f aca="false">IF($A527="","",INDEX($L$2:$L$5001,MATCH($A527,$A$2:$A$5001,0)))</f>
        <v/>
      </c>
      <c r="N527" s="48" t="str">
        <f aca="false">IF($A527="","",IF(N(M527)=0,"–",IF(M527&lt;=Start!$D$20,"A",IF(M527&lt;=Start!$D$21,"B","C"))))</f>
        <v/>
      </c>
      <c r="O527" s="48" t="str">
        <f aca="false">IF($A527="","",IF(NOT(ISNUMBER(F527)),"Wert fehlt; ",IF(F527&lt;=0,"Wert ist 0; ",""))&amp;IF(NOT(ISNUMBER(E527)),"Bestand fehlt; ",IF(E527&lt;0,"Bestand negativ; ",IF(E527=0,"Nullbestand; ","")))&amp;IF(D527="","Warengruppe fehlt; ","")&amp;IF(B527="","Bezeichnung fehlt; ","")&amp;IF(COUNTIFS($A$2:$A$5001,$A527,$C$2:$C$5001,C527)&gt;1,"Artikel doppelt im selben Lager; ",""))</f>
        <v/>
      </c>
      <c r="P527" s="47" t="n">
        <f aca="false">IF(OR($A527="",D527=""),0,IF(COUNTIF($D$2:D527,D527)=1,SUMIF($D$2:$D$5001,D527,$H$2:$H$5001)+ROW()/10000000,0))</f>
        <v>0</v>
      </c>
      <c r="Q527" s="47" t="n">
        <f aca="false">IF(OR($A527="",C527=""),0,IF(COUNTIF($C$2:C527,C527)=1,SUMIF($C$2:$C$5001,C527,$H$2:$H$5001)+ROW()/10000000,0))</f>
        <v>0</v>
      </c>
    </row>
    <row r="528" customFormat="false" ht="15" hidden="false" customHeight="false" outlineLevel="0" collapsed="false">
      <c r="A528" s="43"/>
      <c r="B528" s="44"/>
      <c r="C528" s="44"/>
      <c r="D528" s="44"/>
      <c r="E528" s="44"/>
      <c r="F528" s="44"/>
      <c r="G528" s="44"/>
      <c r="H528" s="46" t="str">
        <f aca="false">IF($A528="","",IF(OR(NOT(ISNUMBER(E528)),NOT(ISNUMBER(F528))),"",MAX(0,E528)*F528))</f>
        <v/>
      </c>
      <c r="I528" s="46" t="str">
        <f aca="false">IF($A528="","",SUMIF($A$2:$A$5001,$A528,$H$2:$H$5001))</f>
        <v/>
      </c>
      <c r="J528" s="47" t="n">
        <f aca="false">IF($A528="",0,IF(COUNTIF($A$2:A528,$A528)=1,1,0))</f>
        <v>0</v>
      </c>
      <c r="K528" s="47" t="n">
        <f aca="false">IF(J528=1,N(I528)+ROW()/10000000,0)</f>
        <v>0</v>
      </c>
      <c r="L528" s="47" t="str">
        <f aca="false">IF(AND(J528=1,N(I528)&gt;0),SUMIF($K$2:$K$5001,"&gt;="&amp;K528,$I$2:$I$5001)/MAX(1,SUM($H$2:$H$5001)),"")</f>
        <v/>
      </c>
      <c r="M528" s="47" t="str">
        <f aca="false">IF($A528="","",INDEX($L$2:$L$5001,MATCH($A528,$A$2:$A$5001,0)))</f>
        <v/>
      </c>
      <c r="N528" s="48" t="str">
        <f aca="false">IF($A528="","",IF(N(M528)=0,"–",IF(M528&lt;=Start!$D$20,"A",IF(M528&lt;=Start!$D$21,"B","C"))))</f>
        <v/>
      </c>
      <c r="O528" s="48" t="str">
        <f aca="false">IF($A528="","",IF(NOT(ISNUMBER(F528)),"Wert fehlt; ",IF(F528&lt;=0,"Wert ist 0; ",""))&amp;IF(NOT(ISNUMBER(E528)),"Bestand fehlt; ",IF(E528&lt;0,"Bestand negativ; ",IF(E528=0,"Nullbestand; ","")))&amp;IF(D528="","Warengruppe fehlt; ","")&amp;IF(B528="","Bezeichnung fehlt; ","")&amp;IF(COUNTIFS($A$2:$A$5001,$A528,$C$2:$C$5001,C528)&gt;1,"Artikel doppelt im selben Lager; ",""))</f>
        <v/>
      </c>
      <c r="P528" s="47" t="n">
        <f aca="false">IF(OR($A528="",D528=""),0,IF(COUNTIF($D$2:D528,D528)=1,SUMIF($D$2:$D$5001,D528,$H$2:$H$5001)+ROW()/10000000,0))</f>
        <v>0</v>
      </c>
      <c r="Q528" s="47" t="n">
        <f aca="false">IF(OR($A528="",C528=""),0,IF(COUNTIF($C$2:C528,C528)=1,SUMIF($C$2:$C$5001,C528,$H$2:$H$5001)+ROW()/10000000,0))</f>
        <v>0</v>
      </c>
    </row>
    <row r="529" customFormat="false" ht="15" hidden="false" customHeight="false" outlineLevel="0" collapsed="false">
      <c r="A529" s="43"/>
      <c r="B529" s="44"/>
      <c r="C529" s="44"/>
      <c r="D529" s="44"/>
      <c r="E529" s="44"/>
      <c r="F529" s="44"/>
      <c r="G529" s="44"/>
      <c r="H529" s="46" t="str">
        <f aca="false">IF($A529="","",IF(OR(NOT(ISNUMBER(E529)),NOT(ISNUMBER(F529))),"",MAX(0,E529)*F529))</f>
        <v/>
      </c>
      <c r="I529" s="46" t="str">
        <f aca="false">IF($A529="","",SUMIF($A$2:$A$5001,$A529,$H$2:$H$5001))</f>
        <v/>
      </c>
      <c r="J529" s="47" t="n">
        <f aca="false">IF($A529="",0,IF(COUNTIF($A$2:A529,$A529)=1,1,0))</f>
        <v>0</v>
      </c>
      <c r="K529" s="47" t="n">
        <f aca="false">IF(J529=1,N(I529)+ROW()/10000000,0)</f>
        <v>0</v>
      </c>
      <c r="L529" s="47" t="str">
        <f aca="false">IF(AND(J529=1,N(I529)&gt;0),SUMIF($K$2:$K$5001,"&gt;="&amp;K529,$I$2:$I$5001)/MAX(1,SUM($H$2:$H$5001)),"")</f>
        <v/>
      </c>
      <c r="M529" s="47" t="str">
        <f aca="false">IF($A529="","",INDEX($L$2:$L$5001,MATCH($A529,$A$2:$A$5001,0)))</f>
        <v/>
      </c>
      <c r="N529" s="48" t="str">
        <f aca="false">IF($A529="","",IF(N(M529)=0,"–",IF(M529&lt;=Start!$D$20,"A",IF(M529&lt;=Start!$D$21,"B","C"))))</f>
        <v/>
      </c>
      <c r="O529" s="48" t="str">
        <f aca="false">IF($A529="","",IF(NOT(ISNUMBER(F529)),"Wert fehlt; ",IF(F529&lt;=0,"Wert ist 0; ",""))&amp;IF(NOT(ISNUMBER(E529)),"Bestand fehlt; ",IF(E529&lt;0,"Bestand negativ; ",IF(E529=0,"Nullbestand; ","")))&amp;IF(D529="","Warengruppe fehlt; ","")&amp;IF(B529="","Bezeichnung fehlt; ","")&amp;IF(COUNTIFS($A$2:$A$5001,$A529,$C$2:$C$5001,C529)&gt;1,"Artikel doppelt im selben Lager; ",""))</f>
        <v/>
      </c>
      <c r="P529" s="47" t="n">
        <f aca="false">IF(OR($A529="",D529=""),0,IF(COUNTIF($D$2:D529,D529)=1,SUMIF($D$2:$D$5001,D529,$H$2:$H$5001)+ROW()/10000000,0))</f>
        <v>0</v>
      </c>
      <c r="Q529" s="47" t="n">
        <f aca="false">IF(OR($A529="",C529=""),0,IF(COUNTIF($C$2:C529,C529)=1,SUMIF($C$2:$C$5001,C529,$H$2:$H$5001)+ROW()/10000000,0))</f>
        <v>0</v>
      </c>
    </row>
    <row r="530" customFormat="false" ht="15" hidden="false" customHeight="false" outlineLevel="0" collapsed="false">
      <c r="A530" s="43"/>
      <c r="B530" s="44"/>
      <c r="C530" s="44"/>
      <c r="D530" s="44"/>
      <c r="E530" s="44"/>
      <c r="F530" s="44"/>
      <c r="G530" s="44"/>
      <c r="H530" s="46" t="str">
        <f aca="false">IF($A530="","",IF(OR(NOT(ISNUMBER(E530)),NOT(ISNUMBER(F530))),"",MAX(0,E530)*F530))</f>
        <v/>
      </c>
      <c r="I530" s="46" t="str">
        <f aca="false">IF($A530="","",SUMIF($A$2:$A$5001,$A530,$H$2:$H$5001))</f>
        <v/>
      </c>
      <c r="J530" s="47" t="n">
        <f aca="false">IF($A530="",0,IF(COUNTIF($A$2:A530,$A530)=1,1,0))</f>
        <v>0</v>
      </c>
      <c r="K530" s="47" t="n">
        <f aca="false">IF(J530=1,N(I530)+ROW()/10000000,0)</f>
        <v>0</v>
      </c>
      <c r="L530" s="47" t="str">
        <f aca="false">IF(AND(J530=1,N(I530)&gt;0),SUMIF($K$2:$K$5001,"&gt;="&amp;K530,$I$2:$I$5001)/MAX(1,SUM($H$2:$H$5001)),"")</f>
        <v/>
      </c>
      <c r="M530" s="47" t="str">
        <f aca="false">IF($A530="","",INDEX($L$2:$L$5001,MATCH($A530,$A$2:$A$5001,0)))</f>
        <v/>
      </c>
      <c r="N530" s="48" t="str">
        <f aca="false">IF($A530="","",IF(N(M530)=0,"–",IF(M530&lt;=Start!$D$20,"A",IF(M530&lt;=Start!$D$21,"B","C"))))</f>
        <v/>
      </c>
      <c r="O530" s="48" t="str">
        <f aca="false">IF($A530="","",IF(NOT(ISNUMBER(F530)),"Wert fehlt; ",IF(F530&lt;=0,"Wert ist 0; ",""))&amp;IF(NOT(ISNUMBER(E530)),"Bestand fehlt; ",IF(E530&lt;0,"Bestand negativ; ",IF(E530=0,"Nullbestand; ","")))&amp;IF(D530="","Warengruppe fehlt; ","")&amp;IF(B530="","Bezeichnung fehlt; ","")&amp;IF(COUNTIFS($A$2:$A$5001,$A530,$C$2:$C$5001,C530)&gt;1,"Artikel doppelt im selben Lager; ",""))</f>
        <v/>
      </c>
      <c r="P530" s="47" t="n">
        <f aca="false">IF(OR($A530="",D530=""),0,IF(COUNTIF($D$2:D530,D530)=1,SUMIF($D$2:$D$5001,D530,$H$2:$H$5001)+ROW()/10000000,0))</f>
        <v>0</v>
      </c>
      <c r="Q530" s="47" t="n">
        <f aca="false">IF(OR($A530="",C530=""),0,IF(COUNTIF($C$2:C530,C530)=1,SUMIF($C$2:$C$5001,C530,$H$2:$H$5001)+ROW()/10000000,0))</f>
        <v>0</v>
      </c>
    </row>
    <row r="531" customFormat="false" ht="15" hidden="false" customHeight="false" outlineLevel="0" collapsed="false">
      <c r="A531" s="43"/>
      <c r="B531" s="44"/>
      <c r="C531" s="44"/>
      <c r="D531" s="44"/>
      <c r="E531" s="44"/>
      <c r="F531" s="44"/>
      <c r="G531" s="44"/>
      <c r="H531" s="46" t="str">
        <f aca="false">IF($A531="","",IF(OR(NOT(ISNUMBER(E531)),NOT(ISNUMBER(F531))),"",MAX(0,E531)*F531))</f>
        <v/>
      </c>
      <c r="I531" s="46" t="str">
        <f aca="false">IF($A531="","",SUMIF($A$2:$A$5001,$A531,$H$2:$H$5001))</f>
        <v/>
      </c>
      <c r="J531" s="47" t="n">
        <f aca="false">IF($A531="",0,IF(COUNTIF($A$2:A531,$A531)=1,1,0))</f>
        <v>0</v>
      </c>
      <c r="K531" s="47" t="n">
        <f aca="false">IF(J531=1,N(I531)+ROW()/10000000,0)</f>
        <v>0</v>
      </c>
      <c r="L531" s="47" t="str">
        <f aca="false">IF(AND(J531=1,N(I531)&gt;0),SUMIF($K$2:$K$5001,"&gt;="&amp;K531,$I$2:$I$5001)/MAX(1,SUM($H$2:$H$5001)),"")</f>
        <v/>
      </c>
      <c r="M531" s="47" t="str">
        <f aca="false">IF($A531="","",INDEX($L$2:$L$5001,MATCH($A531,$A$2:$A$5001,0)))</f>
        <v/>
      </c>
      <c r="N531" s="48" t="str">
        <f aca="false">IF($A531="","",IF(N(M531)=0,"–",IF(M531&lt;=Start!$D$20,"A",IF(M531&lt;=Start!$D$21,"B","C"))))</f>
        <v/>
      </c>
      <c r="O531" s="48" t="str">
        <f aca="false">IF($A531="","",IF(NOT(ISNUMBER(F531)),"Wert fehlt; ",IF(F531&lt;=0,"Wert ist 0; ",""))&amp;IF(NOT(ISNUMBER(E531)),"Bestand fehlt; ",IF(E531&lt;0,"Bestand negativ; ",IF(E531=0,"Nullbestand; ","")))&amp;IF(D531="","Warengruppe fehlt; ","")&amp;IF(B531="","Bezeichnung fehlt; ","")&amp;IF(COUNTIFS($A$2:$A$5001,$A531,$C$2:$C$5001,C531)&gt;1,"Artikel doppelt im selben Lager; ",""))</f>
        <v/>
      </c>
      <c r="P531" s="47" t="n">
        <f aca="false">IF(OR($A531="",D531=""),0,IF(COUNTIF($D$2:D531,D531)=1,SUMIF($D$2:$D$5001,D531,$H$2:$H$5001)+ROW()/10000000,0))</f>
        <v>0</v>
      </c>
      <c r="Q531" s="47" t="n">
        <f aca="false">IF(OR($A531="",C531=""),0,IF(COUNTIF($C$2:C531,C531)=1,SUMIF($C$2:$C$5001,C531,$H$2:$H$5001)+ROW()/10000000,0))</f>
        <v>0</v>
      </c>
    </row>
    <row r="532" customFormat="false" ht="15" hidden="false" customHeight="false" outlineLevel="0" collapsed="false">
      <c r="A532" s="43"/>
      <c r="B532" s="44"/>
      <c r="C532" s="44"/>
      <c r="D532" s="44"/>
      <c r="E532" s="44"/>
      <c r="F532" s="44"/>
      <c r="G532" s="44"/>
      <c r="H532" s="46" t="str">
        <f aca="false">IF($A532="","",IF(OR(NOT(ISNUMBER(E532)),NOT(ISNUMBER(F532))),"",MAX(0,E532)*F532))</f>
        <v/>
      </c>
      <c r="I532" s="46" t="str">
        <f aca="false">IF($A532="","",SUMIF($A$2:$A$5001,$A532,$H$2:$H$5001))</f>
        <v/>
      </c>
      <c r="J532" s="47" t="n">
        <f aca="false">IF($A532="",0,IF(COUNTIF($A$2:A532,$A532)=1,1,0))</f>
        <v>0</v>
      </c>
      <c r="K532" s="47" t="n">
        <f aca="false">IF(J532=1,N(I532)+ROW()/10000000,0)</f>
        <v>0</v>
      </c>
      <c r="L532" s="47" t="str">
        <f aca="false">IF(AND(J532=1,N(I532)&gt;0),SUMIF($K$2:$K$5001,"&gt;="&amp;K532,$I$2:$I$5001)/MAX(1,SUM($H$2:$H$5001)),"")</f>
        <v/>
      </c>
      <c r="M532" s="47" t="str">
        <f aca="false">IF($A532="","",INDEX($L$2:$L$5001,MATCH($A532,$A$2:$A$5001,0)))</f>
        <v/>
      </c>
      <c r="N532" s="48" t="str">
        <f aca="false">IF($A532="","",IF(N(M532)=0,"–",IF(M532&lt;=Start!$D$20,"A",IF(M532&lt;=Start!$D$21,"B","C"))))</f>
        <v/>
      </c>
      <c r="O532" s="48" t="str">
        <f aca="false">IF($A532="","",IF(NOT(ISNUMBER(F532)),"Wert fehlt; ",IF(F532&lt;=0,"Wert ist 0; ",""))&amp;IF(NOT(ISNUMBER(E532)),"Bestand fehlt; ",IF(E532&lt;0,"Bestand negativ; ",IF(E532=0,"Nullbestand; ","")))&amp;IF(D532="","Warengruppe fehlt; ","")&amp;IF(B532="","Bezeichnung fehlt; ","")&amp;IF(COUNTIFS($A$2:$A$5001,$A532,$C$2:$C$5001,C532)&gt;1,"Artikel doppelt im selben Lager; ",""))</f>
        <v/>
      </c>
      <c r="P532" s="47" t="n">
        <f aca="false">IF(OR($A532="",D532=""),0,IF(COUNTIF($D$2:D532,D532)=1,SUMIF($D$2:$D$5001,D532,$H$2:$H$5001)+ROW()/10000000,0))</f>
        <v>0</v>
      </c>
      <c r="Q532" s="47" t="n">
        <f aca="false">IF(OR($A532="",C532=""),0,IF(COUNTIF($C$2:C532,C532)=1,SUMIF($C$2:$C$5001,C532,$H$2:$H$5001)+ROW()/10000000,0))</f>
        <v>0</v>
      </c>
    </row>
    <row r="533" customFormat="false" ht="15" hidden="false" customHeight="false" outlineLevel="0" collapsed="false">
      <c r="A533" s="43"/>
      <c r="B533" s="44"/>
      <c r="C533" s="44"/>
      <c r="D533" s="44"/>
      <c r="E533" s="44"/>
      <c r="F533" s="44"/>
      <c r="G533" s="44"/>
      <c r="H533" s="46" t="str">
        <f aca="false">IF($A533="","",IF(OR(NOT(ISNUMBER(E533)),NOT(ISNUMBER(F533))),"",MAX(0,E533)*F533))</f>
        <v/>
      </c>
      <c r="I533" s="46" t="str">
        <f aca="false">IF($A533="","",SUMIF($A$2:$A$5001,$A533,$H$2:$H$5001))</f>
        <v/>
      </c>
      <c r="J533" s="47" t="n">
        <f aca="false">IF($A533="",0,IF(COUNTIF($A$2:A533,$A533)=1,1,0))</f>
        <v>0</v>
      </c>
      <c r="K533" s="47" t="n">
        <f aca="false">IF(J533=1,N(I533)+ROW()/10000000,0)</f>
        <v>0</v>
      </c>
      <c r="L533" s="47" t="str">
        <f aca="false">IF(AND(J533=1,N(I533)&gt;0),SUMIF($K$2:$K$5001,"&gt;="&amp;K533,$I$2:$I$5001)/MAX(1,SUM($H$2:$H$5001)),"")</f>
        <v/>
      </c>
      <c r="M533" s="47" t="str">
        <f aca="false">IF($A533="","",INDEX($L$2:$L$5001,MATCH($A533,$A$2:$A$5001,0)))</f>
        <v/>
      </c>
      <c r="N533" s="48" t="str">
        <f aca="false">IF($A533="","",IF(N(M533)=0,"–",IF(M533&lt;=Start!$D$20,"A",IF(M533&lt;=Start!$D$21,"B","C"))))</f>
        <v/>
      </c>
      <c r="O533" s="48" t="str">
        <f aca="false">IF($A533="","",IF(NOT(ISNUMBER(F533)),"Wert fehlt; ",IF(F533&lt;=0,"Wert ist 0; ",""))&amp;IF(NOT(ISNUMBER(E533)),"Bestand fehlt; ",IF(E533&lt;0,"Bestand negativ; ",IF(E533=0,"Nullbestand; ","")))&amp;IF(D533="","Warengruppe fehlt; ","")&amp;IF(B533="","Bezeichnung fehlt; ","")&amp;IF(COUNTIFS($A$2:$A$5001,$A533,$C$2:$C$5001,C533)&gt;1,"Artikel doppelt im selben Lager; ",""))</f>
        <v/>
      </c>
      <c r="P533" s="47" t="n">
        <f aca="false">IF(OR($A533="",D533=""),0,IF(COUNTIF($D$2:D533,D533)=1,SUMIF($D$2:$D$5001,D533,$H$2:$H$5001)+ROW()/10000000,0))</f>
        <v>0</v>
      </c>
      <c r="Q533" s="47" t="n">
        <f aca="false">IF(OR($A533="",C533=""),0,IF(COUNTIF($C$2:C533,C533)=1,SUMIF($C$2:$C$5001,C533,$H$2:$H$5001)+ROW()/10000000,0))</f>
        <v>0</v>
      </c>
    </row>
    <row r="534" customFormat="false" ht="15" hidden="false" customHeight="false" outlineLevel="0" collapsed="false">
      <c r="A534" s="43"/>
      <c r="B534" s="44"/>
      <c r="C534" s="44"/>
      <c r="D534" s="44"/>
      <c r="E534" s="44"/>
      <c r="F534" s="44"/>
      <c r="G534" s="44"/>
      <c r="H534" s="46" t="str">
        <f aca="false">IF($A534="","",IF(OR(NOT(ISNUMBER(E534)),NOT(ISNUMBER(F534))),"",MAX(0,E534)*F534))</f>
        <v/>
      </c>
      <c r="I534" s="46" t="str">
        <f aca="false">IF($A534="","",SUMIF($A$2:$A$5001,$A534,$H$2:$H$5001))</f>
        <v/>
      </c>
      <c r="J534" s="47" t="n">
        <f aca="false">IF($A534="",0,IF(COUNTIF($A$2:A534,$A534)=1,1,0))</f>
        <v>0</v>
      </c>
      <c r="K534" s="47" t="n">
        <f aca="false">IF(J534=1,N(I534)+ROW()/10000000,0)</f>
        <v>0</v>
      </c>
      <c r="L534" s="47" t="str">
        <f aca="false">IF(AND(J534=1,N(I534)&gt;0),SUMIF($K$2:$K$5001,"&gt;="&amp;K534,$I$2:$I$5001)/MAX(1,SUM($H$2:$H$5001)),"")</f>
        <v/>
      </c>
      <c r="M534" s="47" t="str">
        <f aca="false">IF($A534="","",INDEX($L$2:$L$5001,MATCH($A534,$A$2:$A$5001,0)))</f>
        <v/>
      </c>
      <c r="N534" s="48" t="str">
        <f aca="false">IF($A534="","",IF(N(M534)=0,"–",IF(M534&lt;=Start!$D$20,"A",IF(M534&lt;=Start!$D$21,"B","C"))))</f>
        <v/>
      </c>
      <c r="O534" s="48" t="str">
        <f aca="false">IF($A534="","",IF(NOT(ISNUMBER(F534)),"Wert fehlt; ",IF(F534&lt;=0,"Wert ist 0; ",""))&amp;IF(NOT(ISNUMBER(E534)),"Bestand fehlt; ",IF(E534&lt;0,"Bestand negativ; ",IF(E534=0,"Nullbestand; ","")))&amp;IF(D534="","Warengruppe fehlt; ","")&amp;IF(B534="","Bezeichnung fehlt; ","")&amp;IF(COUNTIFS($A$2:$A$5001,$A534,$C$2:$C$5001,C534)&gt;1,"Artikel doppelt im selben Lager; ",""))</f>
        <v/>
      </c>
      <c r="P534" s="47" t="n">
        <f aca="false">IF(OR($A534="",D534=""),0,IF(COUNTIF($D$2:D534,D534)=1,SUMIF($D$2:$D$5001,D534,$H$2:$H$5001)+ROW()/10000000,0))</f>
        <v>0</v>
      </c>
      <c r="Q534" s="47" t="n">
        <f aca="false">IF(OR($A534="",C534=""),0,IF(COUNTIF($C$2:C534,C534)=1,SUMIF($C$2:$C$5001,C534,$H$2:$H$5001)+ROW()/10000000,0))</f>
        <v>0</v>
      </c>
    </row>
    <row r="535" customFormat="false" ht="15" hidden="false" customHeight="false" outlineLevel="0" collapsed="false">
      <c r="A535" s="43"/>
      <c r="B535" s="44"/>
      <c r="C535" s="44"/>
      <c r="D535" s="44"/>
      <c r="E535" s="44"/>
      <c r="F535" s="44"/>
      <c r="G535" s="44"/>
      <c r="H535" s="46" t="str">
        <f aca="false">IF($A535="","",IF(OR(NOT(ISNUMBER(E535)),NOT(ISNUMBER(F535))),"",MAX(0,E535)*F535))</f>
        <v/>
      </c>
      <c r="I535" s="46" t="str">
        <f aca="false">IF($A535="","",SUMIF($A$2:$A$5001,$A535,$H$2:$H$5001))</f>
        <v/>
      </c>
      <c r="J535" s="47" t="n">
        <f aca="false">IF($A535="",0,IF(COUNTIF($A$2:A535,$A535)=1,1,0))</f>
        <v>0</v>
      </c>
      <c r="K535" s="47" t="n">
        <f aca="false">IF(J535=1,N(I535)+ROW()/10000000,0)</f>
        <v>0</v>
      </c>
      <c r="L535" s="47" t="str">
        <f aca="false">IF(AND(J535=1,N(I535)&gt;0),SUMIF($K$2:$K$5001,"&gt;="&amp;K535,$I$2:$I$5001)/MAX(1,SUM($H$2:$H$5001)),"")</f>
        <v/>
      </c>
      <c r="M535" s="47" t="str">
        <f aca="false">IF($A535="","",INDEX($L$2:$L$5001,MATCH($A535,$A$2:$A$5001,0)))</f>
        <v/>
      </c>
      <c r="N535" s="48" t="str">
        <f aca="false">IF($A535="","",IF(N(M535)=0,"–",IF(M535&lt;=Start!$D$20,"A",IF(M535&lt;=Start!$D$21,"B","C"))))</f>
        <v/>
      </c>
      <c r="O535" s="48" t="str">
        <f aca="false">IF($A535="","",IF(NOT(ISNUMBER(F535)),"Wert fehlt; ",IF(F535&lt;=0,"Wert ist 0; ",""))&amp;IF(NOT(ISNUMBER(E535)),"Bestand fehlt; ",IF(E535&lt;0,"Bestand negativ; ",IF(E535=0,"Nullbestand; ","")))&amp;IF(D535="","Warengruppe fehlt; ","")&amp;IF(B535="","Bezeichnung fehlt; ","")&amp;IF(COUNTIFS($A$2:$A$5001,$A535,$C$2:$C$5001,C535)&gt;1,"Artikel doppelt im selben Lager; ",""))</f>
        <v/>
      </c>
      <c r="P535" s="47" t="n">
        <f aca="false">IF(OR($A535="",D535=""),0,IF(COUNTIF($D$2:D535,D535)=1,SUMIF($D$2:$D$5001,D535,$H$2:$H$5001)+ROW()/10000000,0))</f>
        <v>0</v>
      </c>
      <c r="Q535" s="47" t="n">
        <f aca="false">IF(OR($A535="",C535=""),0,IF(COUNTIF($C$2:C535,C535)=1,SUMIF($C$2:$C$5001,C535,$H$2:$H$5001)+ROW()/10000000,0))</f>
        <v>0</v>
      </c>
    </row>
    <row r="536" customFormat="false" ht="15" hidden="false" customHeight="false" outlineLevel="0" collapsed="false">
      <c r="A536" s="43"/>
      <c r="B536" s="44"/>
      <c r="C536" s="44"/>
      <c r="D536" s="44"/>
      <c r="E536" s="44"/>
      <c r="F536" s="44"/>
      <c r="G536" s="44"/>
      <c r="H536" s="46" t="str">
        <f aca="false">IF($A536="","",IF(OR(NOT(ISNUMBER(E536)),NOT(ISNUMBER(F536))),"",MAX(0,E536)*F536))</f>
        <v/>
      </c>
      <c r="I536" s="46" t="str">
        <f aca="false">IF($A536="","",SUMIF($A$2:$A$5001,$A536,$H$2:$H$5001))</f>
        <v/>
      </c>
      <c r="J536" s="47" t="n">
        <f aca="false">IF($A536="",0,IF(COUNTIF($A$2:A536,$A536)=1,1,0))</f>
        <v>0</v>
      </c>
      <c r="K536" s="47" t="n">
        <f aca="false">IF(J536=1,N(I536)+ROW()/10000000,0)</f>
        <v>0</v>
      </c>
      <c r="L536" s="47" t="str">
        <f aca="false">IF(AND(J536=1,N(I536)&gt;0),SUMIF($K$2:$K$5001,"&gt;="&amp;K536,$I$2:$I$5001)/MAX(1,SUM($H$2:$H$5001)),"")</f>
        <v/>
      </c>
      <c r="M536" s="47" t="str">
        <f aca="false">IF($A536="","",INDEX($L$2:$L$5001,MATCH($A536,$A$2:$A$5001,0)))</f>
        <v/>
      </c>
      <c r="N536" s="48" t="str">
        <f aca="false">IF($A536="","",IF(N(M536)=0,"–",IF(M536&lt;=Start!$D$20,"A",IF(M536&lt;=Start!$D$21,"B","C"))))</f>
        <v/>
      </c>
      <c r="O536" s="48" t="str">
        <f aca="false">IF($A536="","",IF(NOT(ISNUMBER(F536)),"Wert fehlt; ",IF(F536&lt;=0,"Wert ist 0; ",""))&amp;IF(NOT(ISNUMBER(E536)),"Bestand fehlt; ",IF(E536&lt;0,"Bestand negativ; ",IF(E536=0,"Nullbestand; ","")))&amp;IF(D536="","Warengruppe fehlt; ","")&amp;IF(B536="","Bezeichnung fehlt; ","")&amp;IF(COUNTIFS($A$2:$A$5001,$A536,$C$2:$C$5001,C536)&gt;1,"Artikel doppelt im selben Lager; ",""))</f>
        <v/>
      </c>
      <c r="P536" s="47" t="n">
        <f aca="false">IF(OR($A536="",D536=""),0,IF(COUNTIF($D$2:D536,D536)=1,SUMIF($D$2:$D$5001,D536,$H$2:$H$5001)+ROW()/10000000,0))</f>
        <v>0</v>
      </c>
      <c r="Q536" s="47" t="n">
        <f aca="false">IF(OR($A536="",C536=""),0,IF(COUNTIF($C$2:C536,C536)=1,SUMIF($C$2:$C$5001,C536,$H$2:$H$5001)+ROW()/10000000,0))</f>
        <v>0</v>
      </c>
    </row>
    <row r="537" customFormat="false" ht="15" hidden="false" customHeight="false" outlineLevel="0" collapsed="false">
      <c r="A537" s="43"/>
      <c r="B537" s="44"/>
      <c r="C537" s="44"/>
      <c r="D537" s="44"/>
      <c r="E537" s="44"/>
      <c r="F537" s="44"/>
      <c r="G537" s="44"/>
      <c r="H537" s="46" t="str">
        <f aca="false">IF($A537="","",IF(OR(NOT(ISNUMBER(E537)),NOT(ISNUMBER(F537))),"",MAX(0,E537)*F537))</f>
        <v/>
      </c>
      <c r="I537" s="46" t="str">
        <f aca="false">IF($A537="","",SUMIF($A$2:$A$5001,$A537,$H$2:$H$5001))</f>
        <v/>
      </c>
      <c r="J537" s="47" t="n">
        <f aca="false">IF($A537="",0,IF(COUNTIF($A$2:A537,$A537)=1,1,0))</f>
        <v>0</v>
      </c>
      <c r="K537" s="47" t="n">
        <f aca="false">IF(J537=1,N(I537)+ROW()/10000000,0)</f>
        <v>0</v>
      </c>
      <c r="L537" s="47" t="str">
        <f aca="false">IF(AND(J537=1,N(I537)&gt;0),SUMIF($K$2:$K$5001,"&gt;="&amp;K537,$I$2:$I$5001)/MAX(1,SUM($H$2:$H$5001)),"")</f>
        <v/>
      </c>
      <c r="M537" s="47" t="str">
        <f aca="false">IF($A537="","",INDEX($L$2:$L$5001,MATCH($A537,$A$2:$A$5001,0)))</f>
        <v/>
      </c>
      <c r="N537" s="48" t="str">
        <f aca="false">IF($A537="","",IF(N(M537)=0,"–",IF(M537&lt;=Start!$D$20,"A",IF(M537&lt;=Start!$D$21,"B","C"))))</f>
        <v/>
      </c>
      <c r="O537" s="48" t="str">
        <f aca="false">IF($A537="","",IF(NOT(ISNUMBER(F537)),"Wert fehlt; ",IF(F537&lt;=0,"Wert ist 0; ",""))&amp;IF(NOT(ISNUMBER(E537)),"Bestand fehlt; ",IF(E537&lt;0,"Bestand negativ; ",IF(E537=0,"Nullbestand; ","")))&amp;IF(D537="","Warengruppe fehlt; ","")&amp;IF(B537="","Bezeichnung fehlt; ","")&amp;IF(COUNTIFS($A$2:$A$5001,$A537,$C$2:$C$5001,C537)&gt;1,"Artikel doppelt im selben Lager; ",""))</f>
        <v/>
      </c>
      <c r="P537" s="47" t="n">
        <f aca="false">IF(OR($A537="",D537=""),0,IF(COUNTIF($D$2:D537,D537)=1,SUMIF($D$2:$D$5001,D537,$H$2:$H$5001)+ROW()/10000000,0))</f>
        <v>0</v>
      </c>
      <c r="Q537" s="47" t="n">
        <f aca="false">IF(OR($A537="",C537=""),0,IF(COUNTIF($C$2:C537,C537)=1,SUMIF($C$2:$C$5001,C537,$H$2:$H$5001)+ROW()/10000000,0))</f>
        <v>0</v>
      </c>
    </row>
    <row r="538" customFormat="false" ht="15" hidden="false" customHeight="false" outlineLevel="0" collapsed="false">
      <c r="A538" s="43"/>
      <c r="B538" s="44"/>
      <c r="C538" s="44"/>
      <c r="D538" s="44"/>
      <c r="E538" s="44"/>
      <c r="F538" s="44"/>
      <c r="G538" s="44"/>
      <c r="H538" s="46" t="str">
        <f aca="false">IF($A538="","",IF(OR(NOT(ISNUMBER(E538)),NOT(ISNUMBER(F538))),"",MAX(0,E538)*F538))</f>
        <v/>
      </c>
      <c r="I538" s="46" t="str">
        <f aca="false">IF($A538="","",SUMIF($A$2:$A$5001,$A538,$H$2:$H$5001))</f>
        <v/>
      </c>
      <c r="J538" s="47" t="n">
        <f aca="false">IF($A538="",0,IF(COUNTIF($A$2:A538,$A538)=1,1,0))</f>
        <v>0</v>
      </c>
      <c r="K538" s="47" t="n">
        <f aca="false">IF(J538=1,N(I538)+ROW()/10000000,0)</f>
        <v>0</v>
      </c>
      <c r="L538" s="47" t="str">
        <f aca="false">IF(AND(J538=1,N(I538)&gt;0),SUMIF($K$2:$K$5001,"&gt;="&amp;K538,$I$2:$I$5001)/MAX(1,SUM($H$2:$H$5001)),"")</f>
        <v/>
      </c>
      <c r="M538" s="47" t="str">
        <f aca="false">IF($A538="","",INDEX($L$2:$L$5001,MATCH($A538,$A$2:$A$5001,0)))</f>
        <v/>
      </c>
      <c r="N538" s="48" t="str">
        <f aca="false">IF($A538="","",IF(N(M538)=0,"–",IF(M538&lt;=Start!$D$20,"A",IF(M538&lt;=Start!$D$21,"B","C"))))</f>
        <v/>
      </c>
      <c r="O538" s="48" t="str">
        <f aca="false">IF($A538="","",IF(NOT(ISNUMBER(F538)),"Wert fehlt; ",IF(F538&lt;=0,"Wert ist 0; ",""))&amp;IF(NOT(ISNUMBER(E538)),"Bestand fehlt; ",IF(E538&lt;0,"Bestand negativ; ",IF(E538=0,"Nullbestand; ","")))&amp;IF(D538="","Warengruppe fehlt; ","")&amp;IF(B538="","Bezeichnung fehlt; ","")&amp;IF(COUNTIFS($A$2:$A$5001,$A538,$C$2:$C$5001,C538)&gt;1,"Artikel doppelt im selben Lager; ",""))</f>
        <v/>
      </c>
      <c r="P538" s="47" t="n">
        <f aca="false">IF(OR($A538="",D538=""),0,IF(COUNTIF($D$2:D538,D538)=1,SUMIF($D$2:$D$5001,D538,$H$2:$H$5001)+ROW()/10000000,0))</f>
        <v>0</v>
      </c>
      <c r="Q538" s="47" t="n">
        <f aca="false">IF(OR($A538="",C538=""),0,IF(COUNTIF($C$2:C538,C538)=1,SUMIF($C$2:$C$5001,C538,$H$2:$H$5001)+ROW()/10000000,0))</f>
        <v>0</v>
      </c>
    </row>
    <row r="539" customFormat="false" ht="15" hidden="false" customHeight="false" outlineLevel="0" collapsed="false">
      <c r="A539" s="43"/>
      <c r="B539" s="44"/>
      <c r="C539" s="44"/>
      <c r="D539" s="44"/>
      <c r="E539" s="44"/>
      <c r="F539" s="44"/>
      <c r="G539" s="44"/>
      <c r="H539" s="46" t="str">
        <f aca="false">IF($A539="","",IF(OR(NOT(ISNUMBER(E539)),NOT(ISNUMBER(F539))),"",MAX(0,E539)*F539))</f>
        <v/>
      </c>
      <c r="I539" s="46" t="str">
        <f aca="false">IF($A539="","",SUMIF($A$2:$A$5001,$A539,$H$2:$H$5001))</f>
        <v/>
      </c>
      <c r="J539" s="47" t="n">
        <f aca="false">IF($A539="",0,IF(COUNTIF($A$2:A539,$A539)=1,1,0))</f>
        <v>0</v>
      </c>
      <c r="K539" s="47" t="n">
        <f aca="false">IF(J539=1,N(I539)+ROW()/10000000,0)</f>
        <v>0</v>
      </c>
      <c r="L539" s="47" t="str">
        <f aca="false">IF(AND(J539=1,N(I539)&gt;0),SUMIF($K$2:$K$5001,"&gt;="&amp;K539,$I$2:$I$5001)/MAX(1,SUM($H$2:$H$5001)),"")</f>
        <v/>
      </c>
      <c r="M539" s="47" t="str">
        <f aca="false">IF($A539="","",INDEX($L$2:$L$5001,MATCH($A539,$A$2:$A$5001,0)))</f>
        <v/>
      </c>
      <c r="N539" s="48" t="str">
        <f aca="false">IF($A539="","",IF(N(M539)=0,"–",IF(M539&lt;=Start!$D$20,"A",IF(M539&lt;=Start!$D$21,"B","C"))))</f>
        <v/>
      </c>
      <c r="O539" s="48" t="str">
        <f aca="false">IF($A539="","",IF(NOT(ISNUMBER(F539)),"Wert fehlt; ",IF(F539&lt;=0,"Wert ist 0; ",""))&amp;IF(NOT(ISNUMBER(E539)),"Bestand fehlt; ",IF(E539&lt;0,"Bestand negativ; ",IF(E539=0,"Nullbestand; ","")))&amp;IF(D539="","Warengruppe fehlt; ","")&amp;IF(B539="","Bezeichnung fehlt; ","")&amp;IF(COUNTIFS($A$2:$A$5001,$A539,$C$2:$C$5001,C539)&gt;1,"Artikel doppelt im selben Lager; ",""))</f>
        <v/>
      </c>
      <c r="P539" s="47" t="n">
        <f aca="false">IF(OR($A539="",D539=""),0,IF(COUNTIF($D$2:D539,D539)=1,SUMIF($D$2:$D$5001,D539,$H$2:$H$5001)+ROW()/10000000,0))</f>
        <v>0</v>
      </c>
      <c r="Q539" s="47" t="n">
        <f aca="false">IF(OR($A539="",C539=""),0,IF(COUNTIF($C$2:C539,C539)=1,SUMIF($C$2:$C$5001,C539,$H$2:$H$5001)+ROW()/10000000,0))</f>
        <v>0</v>
      </c>
    </row>
    <row r="540" customFormat="false" ht="15" hidden="false" customHeight="false" outlineLevel="0" collapsed="false">
      <c r="A540" s="43"/>
      <c r="B540" s="44"/>
      <c r="C540" s="44"/>
      <c r="D540" s="44"/>
      <c r="E540" s="44"/>
      <c r="F540" s="44"/>
      <c r="G540" s="44"/>
      <c r="H540" s="46" t="str">
        <f aca="false">IF($A540="","",IF(OR(NOT(ISNUMBER(E540)),NOT(ISNUMBER(F540))),"",MAX(0,E540)*F540))</f>
        <v/>
      </c>
      <c r="I540" s="46" t="str">
        <f aca="false">IF($A540="","",SUMIF($A$2:$A$5001,$A540,$H$2:$H$5001))</f>
        <v/>
      </c>
      <c r="J540" s="47" t="n">
        <f aca="false">IF($A540="",0,IF(COUNTIF($A$2:A540,$A540)=1,1,0))</f>
        <v>0</v>
      </c>
      <c r="K540" s="47" t="n">
        <f aca="false">IF(J540=1,N(I540)+ROW()/10000000,0)</f>
        <v>0</v>
      </c>
      <c r="L540" s="47" t="str">
        <f aca="false">IF(AND(J540=1,N(I540)&gt;0),SUMIF($K$2:$K$5001,"&gt;="&amp;K540,$I$2:$I$5001)/MAX(1,SUM($H$2:$H$5001)),"")</f>
        <v/>
      </c>
      <c r="M540" s="47" t="str">
        <f aca="false">IF($A540="","",INDEX($L$2:$L$5001,MATCH($A540,$A$2:$A$5001,0)))</f>
        <v/>
      </c>
      <c r="N540" s="48" t="str">
        <f aca="false">IF($A540="","",IF(N(M540)=0,"–",IF(M540&lt;=Start!$D$20,"A",IF(M540&lt;=Start!$D$21,"B","C"))))</f>
        <v/>
      </c>
      <c r="O540" s="48" t="str">
        <f aca="false">IF($A540="","",IF(NOT(ISNUMBER(F540)),"Wert fehlt; ",IF(F540&lt;=0,"Wert ist 0; ",""))&amp;IF(NOT(ISNUMBER(E540)),"Bestand fehlt; ",IF(E540&lt;0,"Bestand negativ; ",IF(E540=0,"Nullbestand; ","")))&amp;IF(D540="","Warengruppe fehlt; ","")&amp;IF(B540="","Bezeichnung fehlt; ","")&amp;IF(COUNTIFS($A$2:$A$5001,$A540,$C$2:$C$5001,C540)&gt;1,"Artikel doppelt im selben Lager; ",""))</f>
        <v/>
      </c>
      <c r="P540" s="47" t="n">
        <f aca="false">IF(OR($A540="",D540=""),0,IF(COUNTIF($D$2:D540,D540)=1,SUMIF($D$2:$D$5001,D540,$H$2:$H$5001)+ROW()/10000000,0))</f>
        <v>0</v>
      </c>
      <c r="Q540" s="47" t="n">
        <f aca="false">IF(OR($A540="",C540=""),0,IF(COUNTIF($C$2:C540,C540)=1,SUMIF($C$2:$C$5001,C540,$H$2:$H$5001)+ROW()/10000000,0))</f>
        <v>0</v>
      </c>
    </row>
    <row r="541" customFormat="false" ht="15" hidden="false" customHeight="false" outlineLevel="0" collapsed="false">
      <c r="A541" s="43"/>
      <c r="B541" s="44"/>
      <c r="C541" s="44"/>
      <c r="D541" s="44"/>
      <c r="E541" s="44"/>
      <c r="F541" s="44"/>
      <c r="G541" s="44"/>
      <c r="H541" s="46" t="str">
        <f aca="false">IF($A541="","",IF(OR(NOT(ISNUMBER(E541)),NOT(ISNUMBER(F541))),"",MAX(0,E541)*F541))</f>
        <v/>
      </c>
      <c r="I541" s="46" t="str">
        <f aca="false">IF($A541="","",SUMIF($A$2:$A$5001,$A541,$H$2:$H$5001))</f>
        <v/>
      </c>
      <c r="J541" s="47" t="n">
        <f aca="false">IF($A541="",0,IF(COUNTIF($A$2:A541,$A541)=1,1,0))</f>
        <v>0</v>
      </c>
      <c r="K541" s="47" t="n">
        <f aca="false">IF(J541=1,N(I541)+ROW()/10000000,0)</f>
        <v>0</v>
      </c>
      <c r="L541" s="47" t="str">
        <f aca="false">IF(AND(J541=1,N(I541)&gt;0),SUMIF($K$2:$K$5001,"&gt;="&amp;K541,$I$2:$I$5001)/MAX(1,SUM($H$2:$H$5001)),"")</f>
        <v/>
      </c>
      <c r="M541" s="47" t="str">
        <f aca="false">IF($A541="","",INDEX($L$2:$L$5001,MATCH($A541,$A$2:$A$5001,0)))</f>
        <v/>
      </c>
      <c r="N541" s="48" t="str">
        <f aca="false">IF($A541="","",IF(N(M541)=0,"–",IF(M541&lt;=Start!$D$20,"A",IF(M541&lt;=Start!$D$21,"B","C"))))</f>
        <v/>
      </c>
      <c r="O541" s="48" t="str">
        <f aca="false">IF($A541="","",IF(NOT(ISNUMBER(F541)),"Wert fehlt; ",IF(F541&lt;=0,"Wert ist 0; ",""))&amp;IF(NOT(ISNUMBER(E541)),"Bestand fehlt; ",IF(E541&lt;0,"Bestand negativ; ",IF(E541=0,"Nullbestand; ","")))&amp;IF(D541="","Warengruppe fehlt; ","")&amp;IF(B541="","Bezeichnung fehlt; ","")&amp;IF(COUNTIFS($A$2:$A$5001,$A541,$C$2:$C$5001,C541)&gt;1,"Artikel doppelt im selben Lager; ",""))</f>
        <v/>
      </c>
      <c r="P541" s="47" t="n">
        <f aca="false">IF(OR($A541="",D541=""),0,IF(COUNTIF($D$2:D541,D541)=1,SUMIF($D$2:$D$5001,D541,$H$2:$H$5001)+ROW()/10000000,0))</f>
        <v>0</v>
      </c>
      <c r="Q541" s="47" t="n">
        <f aca="false">IF(OR($A541="",C541=""),0,IF(COUNTIF($C$2:C541,C541)=1,SUMIF($C$2:$C$5001,C541,$H$2:$H$5001)+ROW()/10000000,0))</f>
        <v>0</v>
      </c>
    </row>
    <row r="542" customFormat="false" ht="15" hidden="false" customHeight="false" outlineLevel="0" collapsed="false">
      <c r="A542" s="43"/>
      <c r="B542" s="44"/>
      <c r="C542" s="44"/>
      <c r="D542" s="44"/>
      <c r="E542" s="44"/>
      <c r="F542" s="44"/>
      <c r="G542" s="44"/>
      <c r="H542" s="46" t="str">
        <f aca="false">IF($A542="","",IF(OR(NOT(ISNUMBER(E542)),NOT(ISNUMBER(F542))),"",MAX(0,E542)*F542))</f>
        <v/>
      </c>
      <c r="I542" s="46" t="str">
        <f aca="false">IF($A542="","",SUMIF($A$2:$A$5001,$A542,$H$2:$H$5001))</f>
        <v/>
      </c>
      <c r="J542" s="47" t="n">
        <f aca="false">IF($A542="",0,IF(COUNTIF($A$2:A542,$A542)=1,1,0))</f>
        <v>0</v>
      </c>
      <c r="K542" s="47" t="n">
        <f aca="false">IF(J542=1,N(I542)+ROW()/10000000,0)</f>
        <v>0</v>
      </c>
      <c r="L542" s="47" t="str">
        <f aca="false">IF(AND(J542=1,N(I542)&gt;0),SUMIF($K$2:$K$5001,"&gt;="&amp;K542,$I$2:$I$5001)/MAX(1,SUM($H$2:$H$5001)),"")</f>
        <v/>
      </c>
      <c r="M542" s="47" t="str">
        <f aca="false">IF($A542="","",INDEX($L$2:$L$5001,MATCH($A542,$A$2:$A$5001,0)))</f>
        <v/>
      </c>
      <c r="N542" s="48" t="str">
        <f aca="false">IF($A542="","",IF(N(M542)=0,"–",IF(M542&lt;=Start!$D$20,"A",IF(M542&lt;=Start!$D$21,"B","C"))))</f>
        <v/>
      </c>
      <c r="O542" s="48" t="str">
        <f aca="false">IF($A542="","",IF(NOT(ISNUMBER(F542)),"Wert fehlt; ",IF(F542&lt;=0,"Wert ist 0; ",""))&amp;IF(NOT(ISNUMBER(E542)),"Bestand fehlt; ",IF(E542&lt;0,"Bestand negativ; ",IF(E542=0,"Nullbestand; ","")))&amp;IF(D542="","Warengruppe fehlt; ","")&amp;IF(B542="","Bezeichnung fehlt; ","")&amp;IF(COUNTIFS($A$2:$A$5001,$A542,$C$2:$C$5001,C542)&gt;1,"Artikel doppelt im selben Lager; ",""))</f>
        <v/>
      </c>
      <c r="P542" s="47" t="n">
        <f aca="false">IF(OR($A542="",D542=""),0,IF(COUNTIF($D$2:D542,D542)=1,SUMIF($D$2:$D$5001,D542,$H$2:$H$5001)+ROW()/10000000,0))</f>
        <v>0</v>
      </c>
      <c r="Q542" s="47" t="n">
        <f aca="false">IF(OR($A542="",C542=""),0,IF(COUNTIF($C$2:C542,C542)=1,SUMIF($C$2:$C$5001,C542,$H$2:$H$5001)+ROW()/10000000,0))</f>
        <v>0</v>
      </c>
    </row>
    <row r="543" customFormat="false" ht="15" hidden="false" customHeight="false" outlineLevel="0" collapsed="false">
      <c r="A543" s="43"/>
      <c r="B543" s="44"/>
      <c r="C543" s="44"/>
      <c r="D543" s="44"/>
      <c r="E543" s="44"/>
      <c r="F543" s="44"/>
      <c r="G543" s="44"/>
      <c r="H543" s="46" t="str">
        <f aca="false">IF($A543="","",IF(OR(NOT(ISNUMBER(E543)),NOT(ISNUMBER(F543))),"",MAX(0,E543)*F543))</f>
        <v/>
      </c>
      <c r="I543" s="46" t="str">
        <f aca="false">IF($A543="","",SUMIF($A$2:$A$5001,$A543,$H$2:$H$5001))</f>
        <v/>
      </c>
      <c r="J543" s="47" t="n">
        <f aca="false">IF($A543="",0,IF(COUNTIF($A$2:A543,$A543)=1,1,0))</f>
        <v>0</v>
      </c>
      <c r="K543" s="47" t="n">
        <f aca="false">IF(J543=1,N(I543)+ROW()/10000000,0)</f>
        <v>0</v>
      </c>
      <c r="L543" s="47" t="str">
        <f aca="false">IF(AND(J543=1,N(I543)&gt;0),SUMIF($K$2:$K$5001,"&gt;="&amp;K543,$I$2:$I$5001)/MAX(1,SUM($H$2:$H$5001)),"")</f>
        <v/>
      </c>
      <c r="M543" s="47" t="str">
        <f aca="false">IF($A543="","",INDEX($L$2:$L$5001,MATCH($A543,$A$2:$A$5001,0)))</f>
        <v/>
      </c>
      <c r="N543" s="48" t="str">
        <f aca="false">IF($A543="","",IF(N(M543)=0,"–",IF(M543&lt;=Start!$D$20,"A",IF(M543&lt;=Start!$D$21,"B","C"))))</f>
        <v/>
      </c>
      <c r="O543" s="48" t="str">
        <f aca="false">IF($A543="","",IF(NOT(ISNUMBER(F543)),"Wert fehlt; ",IF(F543&lt;=0,"Wert ist 0; ",""))&amp;IF(NOT(ISNUMBER(E543)),"Bestand fehlt; ",IF(E543&lt;0,"Bestand negativ; ",IF(E543=0,"Nullbestand; ","")))&amp;IF(D543="","Warengruppe fehlt; ","")&amp;IF(B543="","Bezeichnung fehlt; ","")&amp;IF(COUNTIFS($A$2:$A$5001,$A543,$C$2:$C$5001,C543)&gt;1,"Artikel doppelt im selben Lager; ",""))</f>
        <v/>
      </c>
      <c r="P543" s="47" t="n">
        <f aca="false">IF(OR($A543="",D543=""),0,IF(COUNTIF($D$2:D543,D543)=1,SUMIF($D$2:$D$5001,D543,$H$2:$H$5001)+ROW()/10000000,0))</f>
        <v>0</v>
      </c>
      <c r="Q543" s="47" t="n">
        <f aca="false">IF(OR($A543="",C543=""),0,IF(COUNTIF($C$2:C543,C543)=1,SUMIF($C$2:$C$5001,C543,$H$2:$H$5001)+ROW()/10000000,0))</f>
        <v>0</v>
      </c>
    </row>
    <row r="544" customFormat="false" ht="15" hidden="false" customHeight="false" outlineLevel="0" collapsed="false">
      <c r="A544" s="43"/>
      <c r="B544" s="44"/>
      <c r="C544" s="44"/>
      <c r="D544" s="44"/>
      <c r="E544" s="44"/>
      <c r="F544" s="44"/>
      <c r="G544" s="44"/>
      <c r="H544" s="46" t="str">
        <f aca="false">IF($A544="","",IF(OR(NOT(ISNUMBER(E544)),NOT(ISNUMBER(F544))),"",MAX(0,E544)*F544))</f>
        <v/>
      </c>
      <c r="I544" s="46" t="str">
        <f aca="false">IF($A544="","",SUMIF($A$2:$A$5001,$A544,$H$2:$H$5001))</f>
        <v/>
      </c>
      <c r="J544" s="47" t="n">
        <f aca="false">IF($A544="",0,IF(COUNTIF($A$2:A544,$A544)=1,1,0))</f>
        <v>0</v>
      </c>
      <c r="K544" s="47" t="n">
        <f aca="false">IF(J544=1,N(I544)+ROW()/10000000,0)</f>
        <v>0</v>
      </c>
      <c r="L544" s="47" t="str">
        <f aca="false">IF(AND(J544=1,N(I544)&gt;0),SUMIF($K$2:$K$5001,"&gt;="&amp;K544,$I$2:$I$5001)/MAX(1,SUM($H$2:$H$5001)),"")</f>
        <v/>
      </c>
      <c r="M544" s="47" t="str">
        <f aca="false">IF($A544="","",INDEX($L$2:$L$5001,MATCH($A544,$A$2:$A$5001,0)))</f>
        <v/>
      </c>
      <c r="N544" s="48" t="str">
        <f aca="false">IF($A544="","",IF(N(M544)=0,"–",IF(M544&lt;=Start!$D$20,"A",IF(M544&lt;=Start!$D$21,"B","C"))))</f>
        <v/>
      </c>
      <c r="O544" s="48" t="str">
        <f aca="false">IF($A544="","",IF(NOT(ISNUMBER(F544)),"Wert fehlt; ",IF(F544&lt;=0,"Wert ist 0; ",""))&amp;IF(NOT(ISNUMBER(E544)),"Bestand fehlt; ",IF(E544&lt;0,"Bestand negativ; ",IF(E544=0,"Nullbestand; ","")))&amp;IF(D544="","Warengruppe fehlt; ","")&amp;IF(B544="","Bezeichnung fehlt; ","")&amp;IF(COUNTIFS($A$2:$A$5001,$A544,$C$2:$C$5001,C544)&gt;1,"Artikel doppelt im selben Lager; ",""))</f>
        <v/>
      </c>
      <c r="P544" s="47" t="n">
        <f aca="false">IF(OR($A544="",D544=""),0,IF(COUNTIF($D$2:D544,D544)=1,SUMIF($D$2:$D$5001,D544,$H$2:$H$5001)+ROW()/10000000,0))</f>
        <v>0</v>
      </c>
      <c r="Q544" s="47" t="n">
        <f aca="false">IF(OR($A544="",C544=""),0,IF(COUNTIF($C$2:C544,C544)=1,SUMIF($C$2:$C$5001,C544,$H$2:$H$5001)+ROW()/10000000,0))</f>
        <v>0</v>
      </c>
    </row>
    <row r="545" customFormat="false" ht="15" hidden="false" customHeight="false" outlineLevel="0" collapsed="false">
      <c r="A545" s="43"/>
      <c r="B545" s="44"/>
      <c r="C545" s="44"/>
      <c r="D545" s="44"/>
      <c r="E545" s="44"/>
      <c r="F545" s="44"/>
      <c r="G545" s="44"/>
      <c r="H545" s="46" t="str">
        <f aca="false">IF($A545="","",IF(OR(NOT(ISNUMBER(E545)),NOT(ISNUMBER(F545))),"",MAX(0,E545)*F545))</f>
        <v/>
      </c>
      <c r="I545" s="46" t="str">
        <f aca="false">IF($A545="","",SUMIF($A$2:$A$5001,$A545,$H$2:$H$5001))</f>
        <v/>
      </c>
      <c r="J545" s="47" t="n">
        <f aca="false">IF($A545="",0,IF(COUNTIF($A$2:A545,$A545)=1,1,0))</f>
        <v>0</v>
      </c>
      <c r="K545" s="47" t="n">
        <f aca="false">IF(J545=1,N(I545)+ROW()/10000000,0)</f>
        <v>0</v>
      </c>
      <c r="L545" s="47" t="str">
        <f aca="false">IF(AND(J545=1,N(I545)&gt;0),SUMIF($K$2:$K$5001,"&gt;="&amp;K545,$I$2:$I$5001)/MAX(1,SUM($H$2:$H$5001)),"")</f>
        <v/>
      </c>
      <c r="M545" s="47" t="str">
        <f aca="false">IF($A545="","",INDEX($L$2:$L$5001,MATCH($A545,$A$2:$A$5001,0)))</f>
        <v/>
      </c>
      <c r="N545" s="48" t="str">
        <f aca="false">IF($A545="","",IF(N(M545)=0,"–",IF(M545&lt;=Start!$D$20,"A",IF(M545&lt;=Start!$D$21,"B","C"))))</f>
        <v/>
      </c>
      <c r="O545" s="48" t="str">
        <f aca="false">IF($A545="","",IF(NOT(ISNUMBER(F545)),"Wert fehlt; ",IF(F545&lt;=0,"Wert ist 0; ",""))&amp;IF(NOT(ISNUMBER(E545)),"Bestand fehlt; ",IF(E545&lt;0,"Bestand negativ; ",IF(E545=0,"Nullbestand; ","")))&amp;IF(D545="","Warengruppe fehlt; ","")&amp;IF(B545="","Bezeichnung fehlt; ","")&amp;IF(COUNTIFS($A$2:$A$5001,$A545,$C$2:$C$5001,C545)&gt;1,"Artikel doppelt im selben Lager; ",""))</f>
        <v/>
      </c>
      <c r="P545" s="47" t="n">
        <f aca="false">IF(OR($A545="",D545=""),0,IF(COUNTIF($D$2:D545,D545)=1,SUMIF($D$2:$D$5001,D545,$H$2:$H$5001)+ROW()/10000000,0))</f>
        <v>0</v>
      </c>
      <c r="Q545" s="47" t="n">
        <f aca="false">IF(OR($A545="",C545=""),0,IF(COUNTIF($C$2:C545,C545)=1,SUMIF($C$2:$C$5001,C545,$H$2:$H$5001)+ROW()/10000000,0))</f>
        <v>0</v>
      </c>
    </row>
    <row r="546" customFormat="false" ht="15" hidden="false" customHeight="false" outlineLevel="0" collapsed="false">
      <c r="A546" s="43"/>
      <c r="B546" s="44"/>
      <c r="C546" s="44"/>
      <c r="D546" s="44"/>
      <c r="E546" s="44"/>
      <c r="F546" s="44"/>
      <c r="G546" s="44"/>
      <c r="H546" s="46" t="str">
        <f aca="false">IF($A546="","",IF(OR(NOT(ISNUMBER(E546)),NOT(ISNUMBER(F546))),"",MAX(0,E546)*F546))</f>
        <v/>
      </c>
      <c r="I546" s="46" t="str">
        <f aca="false">IF($A546="","",SUMIF($A$2:$A$5001,$A546,$H$2:$H$5001))</f>
        <v/>
      </c>
      <c r="J546" s="47" t="n">
        <f aca="false">IF($A546="",0,IF(COUNTIF($A$2:A546,$A546)=1,1,0))</f>
        <v>0</v>
      </c>
      <c r="K546" s="47" t="n">
        <f aca="false">IF(J546=1,N(I546)+ROW()/10000000,0)</f>
        <v>0</v>
      </c>
      <c r="L546" s="47" t="str">
        <f aca="false">IF(AND(J546=1,N(I546)&gt;0),SUMIF($K$2:$K$5001,"&gt;="&amp;K546,$I$2:$I$5001)/MAX(1,SUM($H$2:$H$5001)),"")</f>
        <v/>
      </c>
      <c r="M546" s="47" t="str">
        <f aca="false">IF($A546="","",INDEX($L$2:$L$5001,MATCH($A546,$A$2:$A$5001,0)))</f>
        <v/>
      </c>
      <c r="N546" s="48" t="str">
        <f aca="false">IF($A546="","",IF(N(M546)=0,"–",IF(M546&lt;=Start!$D$20,"A",IF(M546&lt;=Start!$D$21,"B","C"))))</f>
        <v/>
      </c>
      <c r="O546" s="48" t="str">
        <f aca="false">IF($A546="","",IF(NOT(ISNUMBER(F546)),"Wert fehlt; ",IF(F546&lt;=0,"Wert ist 0; ",""))&amp;IF(NOT(ISNUMBER(E546)),"Bestand fehlt; ",IF(E546&lt;0,"Bestand negativ; ",IF(E546=0,"Nullbestand; ","")))&amp;IF(D546="","Warengruppe fehlt; ","")&amp;IF(B546="","Bezeichnung fehlt; ","")&amp;IF(COUNTIFS($A$2:$A$5001,$A546,$C$2:$C$5001,C546)&gt;1,"Artikel doppelt im selben Lager; ",""))</f>
        <v/>
      </c>
      <c r="P546" s="47" t="n">
        <f aca="false">IF(OR($A546="",D546=""),0,IF(COUNTIF($D$2:D546,D546)=1,SUMIF($D$2:$D$5001,D546,$H$2:$H$5001)+ROW()/10000000,0))</f>
        <v>0</v>
      </c>
      <c r="Q546" s="47" t="n">
        <f aca="false">IF(OR($A546="",C546=""),0,IF(COUNTIF($C$2:C546,C546)=1,SUMIF($C$2:$C$5001,C546,$H$2:$H$5001)+ROW()/10000000,0))</f>
        <v>0</v>
      </c>
    </row>
    <row r="547" customFormat="false" ht="15" hidden="false" customHeight="false" outlineLevel="0" collapsed="false">
      <c r="A547" s="43"/>
      <c r="B547" s="44"/>
      <c r="C547" s="44"/>
      <c r="D547" s="44"/>
      <c r="E547" s="44"/>
      <c r="F547" s="44"/>
      <c r="G547" s="44"/>
      <c r="H547" s="46" t="str">
        <f aca="false">IF($A547="","",IF(OR(NOT(ISNUMBER(E547)),NOT(ISNUMBER(F547))),"",MAX(0,E547)*F547))</f>
        <v/>
      </c>
      <c r="I547" s="46" t="str">
        <f aca="false">IF($A547="","",SUMIF($A$2:$A$5001,$A547,$H$2:$H$5001))</f>
        <v/>
      </c>
      <c r="J547" s="47" t="n">
        <f aca="false">IF($A547="",0,IF(COUNTIF($A$2:A547,$A547)=1,1,0))</f>
        <v>0</v>
      </c>
      <c r="K547" s="47" t="n">
        <f aca="false">IF(J547=1,N(I547)+ROW()/10000000,0)</f>
        <v>0</v>
      </c>
      <c r="L547" s="47" t="str">
        <f aca="false">IF(AND(J547=1,N(I547)&gt;0),SUMIF($K$2:$K$5001,"&gt;="&amp;K547,$I$2:$I$5001)/MAX(1,SUM($H$2:$H$5001)),"")</f>
        <v/>
      </c>
      <c r="M547" s="47" t="str">
        <f aca="false">IF($A547="","",INDEX($L$2:$L$5001,MATCH($A547,$A$2:$A$5001,0)))</f>
        <v/>
      </c>
      <c r="N547" s="48" t="str">
        <f aca="false">IF($A547="","",IF(N(M547)=0,"–",IF(M547&lt;=Start!$D$20,"A",IF(M547&lt;=Start!$D$21,"B","C"))))</f>
        <v/>
      </c>
      <c r="O547" s="48" t="str">
        <f aca="false">IF($A547="","",IF(NOT(ISNUMBER(F547)),"Wert fehlt; ",IF(F547&lt;=0,"Wert ist 0; ",""))&amp;IF(NOT(ISNUMBER(E547)),"Bestand fehlt; ",IF(E547&lt;0,"Bestand negativ; ",IF(E547=0,"Nullbestand; ","")))&amp;IF(D547="","Warengruppe fehlt; ","")&amp;IF(B547="","Bezeichnung fehlt; ","")&amp;IF(COUNTIFS($A$2:$A$5001,$A547,$C$2:$C$5001,C547)&gt;1,"Artikel doppelt im selben Lager; ",""))</f>
        <v/>
      </c>
      <c r="P547" s="47" t="n">
        <f aca="false">IF(OR($A547="",D547=""),0,IF(COUNTIF($D$2:D547,D547)=1,SUMIF($D$2:$D$5001,D547,$H$2:$H$5001)+ROW()/10000000,0))</f>
        <v>0</v>
      </c>
      <c r="Q547" s="47" t="n">
        <f aca="false">IF(OR($A547="",C547=""),0,IF(COUNTIF($C$2:C547,C547)=1,SUMIF($C$2:$C$5001,C547,$H$2:$H$5001)+ROW()/10000000,0))</f>
        <v>0</v>
      </c>
    </row>
    <row r="548" customFormat="false" ht="15" hidden="false" customHeight="false" outlineLevel="0" collapsed="false">
      <c r="A548" s="43"/>
      <c r="B548" s="44"/>
      <c r="C548" s="44"/>
      <c r="D548" s="44"/>
      <c r="E548" s="44"/>
      <c r="F548" s="44"/>
      <c r="G548" s="44"/>
      <c r="H548" s="46" t="str">
        <f aca="false">IF($A548="","",IF(OR(NOT(ISNUMBER(E548)),NOT(ISNUMBER(F548))),"",MAX(0,E548)*F548))</f>
        <v/>
      </c>
      <c r="I548" s="46" t="str">
        <f aca="false">IF($A548="","",SUMIF($A$2:$A$5001,$A548,$H$2:$H$5001))</f>
        <v/>
      </c>
      <c r="J548" s="47" t="n">
        <f aca="false">IF($A548="",0,IF(COUNTIF($A$2:A548,$A548)=1,1,0))</f>
        <v>0</v>
      </c>
      <c r="K548" s="47" t="n">
        <f aca="false">IF(J548=1,N(I548)+ROW()/10000000,0)</f>
        <v>0</v>
      </c>
      <c r="L548" s="47" t="str">
        <f aca="false">IF(AND(J548=1,N(I548)&gt;0),SUMIF($K$2:$K$5001,"&gt;="&amp;K548,$I$2:$I$5001)/MAX(1,SUM($H$2:$H$5001)),"")</f>
        <v/>
      </c>
      <c r="M548" s="47" t="str">
        <f aca="false">IF($A548="","",INDEX($L$2:$L$5001,MATCH($A548,$A$2:$A$5001,0)))</f>
        <v/>
      </c>
      <c r="N548" s="48" t="str">
        <f aca="false">IF($A548="","",IF(N(M548)=0,"–",IF(M548&lt;=Start!$D$20,"A",IF(M548&lt;=Start!$D$21,"B","C"))))</f>
        <v/>
      </c>
      <c r="O548" s="48" t="str">
        <f aca="false">IF($A548="","",IF(NOT(ISNUMBER(F548)),"Wert fehlt; ",IF(F548&lt;=0,"Wert ist 0; ",""))&amp;IF(NOT(ISNUMBER(E548)),"Bestand fehlt; ",IF(E548&lt;0,"Bestand negativ; ",IF(E548=0,"Nullbestand; ","")))&amp;IF(D548="","Warengruppe fehlt; ","")&amp;IF(B548="","Bezeichnung fehlt; ","")&amp;IF(COUNTIFS($A$2:$A$5001,$A548,$C$2:$C$5001,C548)&gt;1,"Artikel doppelt im selben Lager; ",""))</f>
        <v/>
      </c>
      <c r="P548" s="47" t="n">
        <f aca="false">IF(OR($A548="",D548=""),0,IF(COUNTIF($D$2:D548,D548)=1,SUMIF($D$2:$D$5001,D548,$H$2:$H$5001)+ROW()/10000000,0))</f>
        <v>0</v>
      </c>
      <c r="Q548" s="47" t="n">
        <f aca="false">IF(OR($A548="",C548=""),0,IF(COUNTIF($C$2:C548,C548)=1,SUMIF($C$2:$C$5001,C548,$H$2:$H$5001)+ROW()/10000000,0))</f>
        <v>0</v>
      </c>
    </row>
    <row r="549" customFormat="false" ht="15" hidden="false" customHeight="false" outlineLevel="0" collapsed="false">
      <c r="A549" s="43"/>
      <c r="B549" s="44"/>
      <c r="C549" s="44"/>
      <c r="D549" s="44"/>
      <c r="E549" s="44"/>
      <c r="F549" s="44"/>
      <c r="G549" s="44"/>
      <c r="H549" s="46" t="str">
        <f aca="false">IF($A549="","",IF(OR(NOT(ISNUMBER(E549)),NOT(ISNUMBER(F549))),"",MAX(0,E549)*F549))</f>
        <v/>
      </c>
      <c r="I549" s="46" t="str">
        <f aca="false">IF($A549="","",SUMIF($A$2:$A$5001,$A549,$H$2:$H$5001))</f>
        <v/>
      </c>
      <c r="J549" s="47" t="n">
        <f aca="false">IF($A549="",0,IF(COUNTIF($A$2:A549,$A549)=1,1,0))</f>
        <v>0</v>
      </c>
      <c r="K549" s="47" t="n">
        <f aca="false">IF(J549=1,N(I549)+ROW()/10000000,0)</f>
        <v>0</v>
      </c>
      <c r="L549" s="47" t="str">
        <f aca="false">IF(AND(J549=1,N(I549)&gt;0),SUMIF($K$2:$K$5001,"&gt;="&amp;K549,$I$2:$I$5001)/MAX(1,SUM($H$2:$H$5001)),"")</f>
        <v/>
      </c>
      <c r="M549" s="47" t="str">
        <f aca="false">IF($A549="","",INDEX($L$2:$L$5001,MATCH($A549,$A$2:$A$5001,0)))</f>
        <v/>
      </c>
      <c r="N549" s="48" t="str">
        <f aca="false">IF($A549="","",IF(N(M549)=0,"–",IF(M549&lt;=Start!$D$20,"A",IF(M549&lt;=Start!$D$21,"B","C"))))</f>
        <v/>
      </c>
      <c r="O549" s="48" t="str">
        <f aca="false">IF($A549="","",IF(NOT(ISNUMBER(F549)),"Wert fehlt; ",IF(F549&lt;=0,"Wert ist 0; ",""))&amp;IF(NOT(ISNUMBER(E549)),"Bestand fehlt; ",IF(E549&lt;0,"Bestand negativ; ",IF(E549=0,"Nullbestand; ","")))&amp;IF(D549="","Warengruppe fehlt; ","")&amp;IF(B549="","Bezeichnung fehlt; ","")&amp;IF(COUNTIFS($A$2:$A$5001,$A549,$C$2:$C$5001,C549)&gt;1,"Artikel doppelt im selben Lager; ",""))</f>
        <v/>
      </c>
      <c r="P549" s="47" t="n">
        <f aca="false">IF(OR($A549="",D549=""),0,IF(COUNTIF($D$2:D549,D549)=1,SUMIF($D$2:$D$5001,D549,$H$2:$H$5001)+ROW()/10000000,0))</f>
        <v>0</v>
      </c>
      <c r="Q549" s="47" t="n">
        <f aca="false">IF(OR($A549="",C549=""),0,IF(COUNTIF($C$2:C549,C549)=1,SUMIF($C$2:$C$5001,C549,$H$2:$H$5001)+ROW()/10000000,0))</f>
        <v>0</v>
      </c>
    </row>
    <row r="550" customFormat="false" ht="15" hidden="false" customHeight="false" outlineLevel="0" collapsed="false">
      <c r="A550" s="43"/>
      <c r="B550" s="44"/>
      <c r="C550" s="44"/>
      <c r="D550" s="44"/>
      <c r="E550" s="44"/>
      <c r="F550" s="44"/>
      <c r="G550" s="44"/>
      <c r="H550" s="46" t="str">
        <f aca="false">IF($A550="","",IF(OR(NOT(ISNUMBER(E550)),NOT(ISNUMBER(F550))),"",MAX(0,E550)*F550))</f>
        <v/>
      </c>
      <c r="I550" s="46" t="str">
        <f aca="false">IF($A550="","",SUMIF($A$2:$A$5001,$A550,$H$2:$H$5001))</f>
        <v/>
      </c>
      <c r="J550" s="47" t="n">
        <f aca="false">IF($A550="",0,IF(COUNTIF($A$2:A550,$A550)=1,1,0))</f>
        <v>0</v>
      </c>
      <c r="K550" s="47" t="n">
        <f aca="false">IF(J550=1,N(I550)+ROW()/10000000,0)</f>
        <v>0</v>
      </c>
      <c r="L550" s="47" t="str">
        <f aca="false">IF(AND(J550=1,N(I550)&gt;0),SUMIF($K$2:$K$5001,"&gt;="&amp;K550,$I$2:$I$5001)/MAX(1,SUM($H$2:$H$5001)),"")</f>
        <v/>
      </c>
      <c r="M550" s="47" t="str">
        <f aca="false">IF($A550="","",INDEX($L$2:$L$5001,MATCH($A550,$A$2:$A$5001,0)))</f>
        <v/>
      </c>
      <c r="N550" s="48" t="str">
        <f aca="false">IF($A550="","",IF(N(M550)=0,"–",IF(M550&lt;=Start!$D$20,"A",IF(M550&lt;=Start!$D$21,"B","C"))))</f>
        <v/>
      </c>
      <c r="O550" s="48" t="str">
        <f aca="false">IF($A550="","",IF(NOT(ISNUMBER(F550)),"Wert fehlt; ",IF(F550&lt;=0,"Wert ist 0; ",""))&amp;IF(NOT(ISNUMBER(E550)),"Bestand fehlt; ",IF(E550&lt;0,"Bestand negativ; ",IF(E550=0,"Nullbestand; ","")))&amp;IF(D550="","Warengruppe fehlt; ","")&amp;IF(B550="","Bezeichnung fehlt; ","")&amp;IF(COUNTIFS($A$2:$A$5001,$A550,$C$2:$C$5001,C550)&gt;1,"Artikel doppelt im selben Lager; ",""))</f>
        <v/>
      </c>
      <c r="P550" s="47" t="n">
        <f aca="false">IF(OR($A550="",D550=""),0,IF(COUNTIF($D$2:D550,D550)=1,SUMIF($D$2:$D$5001,D550,$H$2:$H$5001)+ROW()/10000000,0))</f>
        <v>0</v>
      </c>
      <c r="Q550" s="47" t="n">
        <f aca="false">IF(OR($A550="",C550=""),0,IF(COUNTIF($C$2:C550,C550)=1,SUMIF($C$2:$C$5001,C550,$H$2:$H$5001)+ROW()/10000000,0))</f>
        <v>0</v>
      </c>
    </row>
    <row r="551" customFormat="false" ht="15" hidden="false" customHeight="false" outlineLevel="0" collapsed="false">
      <c r="A551" s="43"/>
      <c r="B551" s="44"/>
      <c r="C551" s="44"/>
      <c r="D551" s="44"/>
      <c r="E551" s="44"/>
      <c r="F551" s="44"/>
      <c r="G551" s="44"/>
      <c r="H551" s="46" t="str">
        <f aca="false">IF($A551="","",IF(OR(NOT(ISNUMBER(E551)),NOT(ISNUMBER(F551))),"",MAX(0,E551)*F551))</f>
        <v/>
      </c>
      <c r="I551" s="46" t="str">
        <f aca="false">IF($A551="","",SUMIF($A$2:$A$5001,$A551,$H$2:$H$5001))</f>
        <v/>
      </c>
      <c r="J551" s="47" t="n">
        <f aca="false">IF($A551="",0,IF(COUNTIF($A$2:A551,$A551)=1,1,0))</f>
        <v>0</v>
      </c>
      <c r="K551" s="47" t="n">
        <f aca="false">IF(J551=1,N(I551)+ROW()/10000000,0)</f>
        <v>0</v>
      </c>
      <c r="L551" s="47" t="str">
        <f aca="false">IF(AND(J551=1,N(I551)&gt;0),SUMIF($K$2:$K$5001,"&gt;="&amp;K551,$I$2:$I$5001)/MAX(1,SUM($H$2:$H$5001)),"")</f>
        <v/>
      </c>
      <c r="M551" s="47" t="str">
        <f aca="false">IF($A551="","",INDEX($L$2:$L$5001,MATCH($A551,$A$2:$A$5001,0)))</f>
        <v/>
      </c>
      <c r="N551" s="48" t="str">
        <f aca="false">IF($A551="","",IF(N(M551)=0,"–",IF(M551&lt;=Start!$D$20,"A",IF(M551&lt;=Start!$D$21,"B","C"))))</f>
        <v/>
      </c>
      <c r="O551" s="48" t="str">
        <f aca="false">IF($A551="","",IF(NOT(ISNUMBER(F551)),"Wert fehlt; ",IF(F551&lt;=0,"Wert ist 0; ",""))&amp;IF(NOT(ISNUMBER(E551)),"Bestand fehlt; ",IF(E551&lt;0,"Bestand negativ; ",IF(E551=0,"Nullbestand; ","")))&amp;IF(D551="","Warengruppe fehlt; ","")&amp;IF(B551="","Bezeichnung fehlt; ","")&amp;IF(COUNTIFS($A$2:$A$5001,$A551,$C$2:$C$5001,C551)&gt;1,"Artikel doppelt im selben Lager; ",""))</f>
        <v/>
      </c>
      <c r="P551" s="47" t="n">
        <f aca="false">IF(OR($A551="",D551=""),0,IF(COUNTIF($D$2:D551,D551)=1,SUMIF($D$2:$D$5001,D551,$H$2:$H$5001)+ROW()/10000000,0))</f>
        <v>0</v>
      </c>
      <c r="Q551" s="47" t="n">
        <f aca="false">IF(OR($A551="",C551=""),0,IF(COUNTIF($C$2:C551,C551)=1,SUMIF($C$2:$C$5001,C551,$H$2:$H$5001)+ROW()/10000000,0))</f>
        <v>0</v>
      </c>
    </row>
    <row r="552" customFormat="false" ht="15" hidden="false" customHeight="false" outlineLevel="0" collapsed="false">
      <c r="A552" s="43"/>
      <c r="B552" s="44"/>
      <c r="C552" s="44"/>
      <c r="D552" s="44"/>
      <c r="E552" s="44"/>
      <c r="F552" s="44"/>
      <c r="G552" s="44"/>
      <c r="H552" s="46" t="str">
        <f aca="false">IF($A552="","",IF(OR(NOT(ISNUMBER(E552)),NOT(ISNUMBER(F552))),"",MAX(0,E552)*F552))</f>
        <v/>
      </c>
      <c r="I552" s="46" t="str">
        <f aca="false">IF($A552="","",SUMIF($A$2:$A$5001,$A552,$H$2:$H$5001))</f>
        <v/>
      </c>
      <c r="J552" s="47" t="n">
        <f aca="false">IF($A552="",0,IF(COUNTIF($A$2:A552,$A552)=1,1,0))</f>
        <v>0</v>
      </c>
      <c r="K552" s="47" t="n">
        <f aca="false">IF(J552=1,N(I552)+ROW()/10000000,0)</f>
        <v>0</v>
      </c>
      <c r="L552" s="47" t="str">
        <f aca="false">IF(AND(J552=1,N(I552)&gt;0),SUMIF($K$2:$K$5001,"&gt;="&amp;K552,$I$2:$I$5001)/MAX(1,SUM($H$2:$H$5001)),"")</f>
        <v/>
      </c>
      <c r="M552" s="47" t="str">
        <f aca="false">IF($A552="","",INDEX($L$2:$L$5001,MATCH($A552,$A$2:$A$5001,0)))</f>
        <v/>
      </c>
      <c r="N552" s="48" t="str">
        <f aca="false">IF($A552="","",IF(N(M552)=0,"–",IF(M552&lt;=Start!$D$20,"A",IF(M552&lt;=Start!$D$21,"B","C"))))</f>
        <v/>
      </c>
      <c r="O552" s="48" t="str">
        <f aca="false">IF($A552="","",IF(NOT(ISNUMBER(F552)),"Wert fehlt; ",IF(F552&lt;=0,"Wert ist 0; ",""))&amp;IF(NOT(ISNUMBER(E552)),"Bestand fehlt; ",IF(E552&lt;0,"Bestand negativ; ",IF(E552=0,"Nullbestand; ","")))&amp;IF(D552="","Warengruppe fehlt; ","")&amp;IF(B552="","Bezeichnung fehlt; ","")&amp;IF(COUNTIFS($A$2:$A$5001,$A552,$C$2:$C$5001,C552)&gt;1,"Artikel doppelt im selben Lager; ",""))</f>
        <v/>
      </c>
      <c r="P552" s="47" t="n">
        <f aca="false">IF(OR($A552="",D552=""),0,IF(COUNTIF($D$2:D552,D552)=1,SUMIF($D$2:$D$5001,D552,$H$2:$H$5001)+ROW()/10000000,0))</f>
        <v>0</v>
      </c>
      <c r="Q552" s="47" t="n">
        <f aca="false">IF(OR($A552="",C552=""),0,IF(COUNTIF($C$2:C552,C552)=1,SUMIF($C$2:$C$5001,C552,$H$2:$H$5001)+ROW()/10000000,0))</f>
        <v>0</v>
      </c>
    </row>
    <row r="553" customFormat="false" ht="15" hidden="false" customHeight="false" outlineLevel="0" collapsed="false">
      <c r="A553" s="43"/>
      <c r="B553" s="44"/>
      <c r="C553" s="44"/>
      <c r="D553" s="44"/>
      <c r="E553" s="44"/>
      <c r="F553" s="44"/>
      <c r="G553" s="44"/>
      <c r="H553" s="46" t="str">
        <f aca="false">IF($A553="","",IF(OR(NOT(ISNUMBER(E553)),NOT(ISNUMBER(F553))),"",MAX(0,E553)*F553))</f>
        <v/>
      </c>
      <c r="I553" s="46" t="str">
        <f aca="false">IF($A553="","",SUMIF($A$2:$A$5001,$A553,$H$2:$H$5001))</f>
        <v/>
      </c>
      <c r="J553" s="47" t="n">
        <f aca="false">IF($A553="",0,IF(COUNTIF($A$2:A553,$A553)=1,1,0))</f>
        <v>0</v>
      </c>
      <c r="K553" s="47" t="n">
        <f aca="false">IF(J553=1,N(I553)+ROW()/10000000,0)</f>
        <v>0</v>
      </c>
      <c r="L553" s="47" t="str">
        <f aca="false">IF(AND(J553=1,N(I553)&gt;0),SUMIF($K$2:$K$5001,"&gt;="&amp;K553,$I$2:$I$5001)/MAX(1,SUM($H$2:$H$5001)),"")</f>
        <v/>
      </c>
      <c r="M553" s="47" t="str">
        <f aca="false">IF($A553="","",INDEX($L$2:$L$5001,MATCH($A553,$A$2:$A$5001,0)))</f>
        <v/>
      </c>
      <c r="N553" s="48" t="str">
        <f aca="false">IF($A553="","",IF(N(M553)=0,"–",IF(M553&lt;=Start!$D$20,"A",IF(M553&lt;=Start!$D$21,"B","C"))))</f>
        <v/>
      </c>
      <c r="O553" s="48" t="str">
        <f aca="false">IF($A553="","",IF(NOT(ISNUMBER(F553)),"Wert fehlt; ",IF(F553&lt;=0,"Wert ist 0; ",""))&amp;IF(NOT(ISNUMBER(E553)),"Bestand fehlt; ",IF(E553&lt;0,"Bestand negativ; ",IF(E553=0,"Nullbestand; ","")))&amp;IF(D553="","Warengruppe fehlt; ","")&amp;IF(B553="","Bezeichnung fehlt; ","")&amp;IF(COUNTIFS($A$2:$A$5001,$A553,$C$2:$C$5001,C553)&gt;1,"Artikel doppelt im selben Lager; ",""))</f>
        <v/>
      </c>
      <c r="P553" s="47" t="n">
        <f aca="false">IF(OR($A553="",D553=""),0,IF(COUNTIF($D$2:D553,D553)=1,SUMIF($D$2:$D$5001,D553,$H$2:$H$5001)+ROW()/10000000,0))</f>
        <v>0</v>
      </c>
      <c r="Q553" s="47" t="n">
        <f aca="false">IF(OR($A553="",C553=""),0,IF(COUNTIF($C$2:C553,C553)=1,SUMIF($C$2:$C$5001,C553,$H$2:$H$5001)+ROW()/10000000,0))</f>
        <v>0</v>
      </c>
    </row>
    <row r="554" customFormat="false" ht="15" hidden="false" customHeight="false" outlineLevel="0" collapsed="false">
      <c r="A554" s="43"/>
      <c r="B554" s="44"/>
      <c r="C554" s="44"/>
      <c r="D554" s="44"/>
      <c r="E554" s="44"/>
      <c r="F554" s="44"/>
      <c r="G554" s="44"/>
      <c r="H554" s="46" t="str">
        <f aca="false">IF($A554="","",IF(OR(NOT(ISNUMBER(E554)),NOT(ISNUMBER(F554))),"",MAX(0,E554)*F554))</f>
        <v/>
      </c>
      <c r="I554" s="46" t="str">
        <f aca="false">IF($A554="","",SUMIF($A$2:$A$5001,$A554,$H$2:$H$5001))</f>
        <v/>
      </c>
      <c r="J554" s="47" t="n">
        <f aca="false">IF($A554="",0,IF(COUNTIF($A$2:A554,$A554)=1,1,0))</f>
        <v>0</v>
      </c>
      <c r="K554" s="47" t="n">
        <f aca="false">IF(J554=1,N(I554)+ROW()/10000000,0)</f>
        <v>0</v>
      </c>
      <c r="L554" s="47" t="str">
        <f aca="false">IF(AND(J554=1,N(I554)&gt;0),SUMIF($K$2:$K$5001,"&gt;="&amp;K554,$I$2:$I$5001)/MAX(1,SUM($H$2:$H$5001)),"")</f>
        <v/>
      </c>
      <c r="M554" s="47" t="str">
        <f aca="false">IF($A554="","",INDEX($L$2:$L$5001,MATCH($A554,$A$2:$A$5001,0)))</f>
        <v/>
      </c>
      <c r="N554" s="48" t="str">
        <f aca="false">IF($A554="","",IF(N(M554)=0,"–",IF(M554&lt;=Start!$D$20,"A",IF(M554&lt;=Start!$D$21,"B","C"))))</f>
        <v/>
      </c>
      <c r="O554" s="48" t="str">
        <f aca="false">IF($A554="","",IF(NOT(ISNUMBER(F554)),"Wert fehlt; ",IF(F554&lt;=0,"Wert ist 0; ",""))&amp;IF(NOT(ISNUMBER(E554)),"Bestand fehlt; ",IF(E554&lt;0,"Bestand negativ; ",IF(E554=0,"Nullbestand; ","")))&amp;IF(D554="","Warengruppe fehlt; ","")&amp;IF(B554="","Bezeichnung fehlt; ","")&amp;IF(COUNTIFS($A$2:$A$5001,$A554,$C$2:$C$5001,C554)&gt;1,"Artikel doppelt im selben Lager; ",""))</f>
        <v/>
      </c>
      <c r="P554" s="47" t="n">
        <f aca="false">IF(OR($A554="",D554=""),0,IF(COUNTIF($D$2:D554,D554)=1,SUMIF($D$2:$D$5001,D554,$H$2:$H$5001)+ROW()/10000000,0))</f>
        <v>0</v>
      </c>
      <c r="Q554" s="47" t="n">
        <f aca="false">IF(OR($A554="",C554=""),0,IF(COUNTIF($C$2:C554,C554)=1,SUMIF($C$2:$C$5001,C554,$H$2:$H$5001)+ROW()/10000000,0))</f>
        <v>0</v>
      </c>
    </row>
    <row r="555" customFormat="false" ht="15" hidden="false" customHeight="false" outlineLevel="0" collapsed="false">
      <c r="A555" s="43"/>
      <c r="B555" s="44"/>
      <c r="C555" s="44"/>
      <c r="D555" s="44"/>
      <c r="E555" s="44"/>
      <c r="F555" s="44"/>
      <c r="G555" s="44"/>
      <c r="H555" s="46" t="str">
        <f aca="false">IF($A555="","",IF(OR(NOT(ISNUMBER(E555)),NOT(ISNUMBER(F555))),"",MAX(0,E555)*F555))</f>
        <v/>
      </c>
      <c r="I555" s="46" t="str">
        <f aca="false">IF($A555="","",SUMIF($A$2:$A$5001,$A555,$H$2:$H$5001))</f>
        <v/>
      </c>
      <c r="J555" s="47" t="n">
        <f aca="false">IF($A555="",0,IF(COUNTIF($A$2:A555,$A555)=1,1,0))</f>
        <v>0</v>
      </c>
      <c r="K555" s="47" t="n">
        <f aca="false">IF(J555=1,N(I555)+ROW()/10000000,0)</f>
        <v>0</v>
      </c>
      <c r="L555" s="47" t="str">
        <f aca="false">IF(AND(J555=1,N(I555)&gt;0),SUMIF($K$2:$K$5001,"&gt;="&amp;K555,$I$2:$I$5001)/MAX(1,SUM($H$2:$H$5001)),"")</f>
        <v/>
      </c>
      <c r="M555" s="47" t="str">
        <f aca="false">IF($A555="","",INDEX($L$2:$L$5001,MATCH($A555,$A$2:$A$5001,0)))</f>
        <v/>
      </c>
      <c r="N555" s="48" t="str">
        <f aca="false">IF($A555="","",IF(N(M555)=0,"–",IF(M555&lt;=Start!$D$20,"A",IF(M555&lt;=Start!$D$21,"B","C"))))</f>
        <v/>
      </c>
      <c r="O555" s="48" t="str">
        <f aca="false">IF($A555="","",IF(NOT(ISNUMBER(F555)),"Wert fehlt; ",IF(F555&lt;=0,"Wert ist 0; ",""))&amp;IF(NOT(ISNUMBER(E555)),"Bestand fehlt; ",IF(E555&lt;0,"Bestand negativ; ",IF(E555=0,"Nullbestand; ","")))&amp;IF(D555="","Warengruppe fehlt; ","")&amp;IF(B555="","Bezeichnung fehlt; ","")&amp;IF(COUNTIFS($A$2:$A$5001,$A555,$C$2:$C$5001,C555)&gt;1,"Artikel doppelt im selben Lager; ",""))</f>
        <v/>
      </c>
      <c r="P555" s="47" t="n">
        <f aca="false">IF(OR($A555="",D555=""),0,IF(COUNTIF($D$2:D555,D555)=1,SUMIF($D$2:$D$5001,D555,$H$2:$H$5001)+ROW()/10000000,0))</f>
        <v>0</v>
      </c>
      <c r="Q555" s="47" t="n">
        <f aca="false">IF(OR($A555="",C555=""),0,IF(COUNTIF($C$2:C555,C555)=1,SUMIF($C$2:$C$5001,C555,$H$2:$H$5001)+ROW()/10000000,0))</f>
        <v>0</v>
      </c>
    </row>
    <row r="556" customFormat="false" ht="15" hidden="false" customHeight="false" outlineLevel="0" collapsed="false">
      <c r="A556" s="43"/>
      <c r="B556" s="44"/>
      <c r="C556" s="44"/>
      <c r="D556" s="44"/>
      <c r="E556" s="44"/>
      <c r="F556" s="44"/>
      <c r="G556" s="44"/>
      <c r="H556" s="46" t="str">
        <f aca="false">IF($A556="","",IF(OR(NOT(ISNUMBER(E556)),NOT(ISNUMBER(F556))),"",MAX(0,E556)*F556))</f>
        <v/>
      </c>
      <c r="I556" s="46" t="str">
        <f aca="false">IF($A556="","",SUMIF($A$2:$A$5001,$A556,$H$2:$H$5001))</f>
        <v/>
      </c>
      <c r="J556" s="47" t="n">
        <f aca="false">IF($A556="",0,IF(COUNTIF($A$2:A556,$A556)=1,1,0))</f>
        <v>0</v>
      </c>
      <c r="K556" s="47" t="n">
        <f aca="false">IF(J556=1,N(I556)+ROW()/10000000,0)</f>
        <v>0</v>
      </c>
      <c r="L556" s="47" t="str">
        <f aca="false">IF(AND(J556=1,N(I556)&gt;0),SUMIF($K$2:$K$5001,"&gt;="&amp;K556,$I$2:$I$5001)/MAX(1,SUM($H$2:$H$5001)),"")</f>
        <v/>
      </c>
      <c r="M556" s="47" t="str">
        <f aca="false">IF($A556="","",INDEX($L$2:$L$5001,MATCH($A556,$A$2:$A$5001,0)))</f>
        <v/>
      </c>
      <c r="N556" s="48" t="str">
        <f aca="false">IF($A556="","",IF(N(M556)=0,"–",IF(M556&lt;=Start!$D$20,"A",IF(M556&lt;=Start!$D$21,"B","C"))))</f>
        <v/>
      </c>
      <c r="O556" s="48" t="str">
        <f aca="false">IF($A556="","",IF(NOT(ISNUMBER(F556)),"Wert fehlt; ",IF(F556&lt;=0,"Wert ist 0; ",""))&amp;IF(NOT(ISNUMBER(E556)),"Bestand fehlt; ",IF(E556&lt;0,"Bestand negativ; ",IF(E556=0,"Nullbestand; ","")))&amp;IF(D556="","Warengruppe fehlt; ","")&amp;IF(B556="","Bezeichnung fehlt; ","")&amp;IF(COUNTIFS($A$2:$A$5001,$A556,$C$2:$C$5001,C556)&gt;1,"Artikel doppelt im selben Lager; ",""))</f>
        <v/>
      </c>
      <c r="P556" s="47" t="n">
        <f aca="false">IF(OR($A556="",D556=""),0,IF(COUNTIF($D$2:D556,D556)=1,SUMIF($D$2:$D$5001,D556,$H$2:$H$5001)+ROW()/10000000,0))</f>
        <v>0</v>
      </c>
      <c r="Q556" s="47" t="n">
        <f aca="false">IF(OR($A556="",C556=""),0,IF(COUNTIF($C$2:C556,C556)=1,SUMIF($C$2:$C$5001,C556,$H$2:$H$5001)+ROW()/10000000,0))</f>
        <v>0</v>
      </c>
    </row>
    <row r="557" customFormat="false" ht="15" hidden="false" customHeight="false" outlineLevel="0" collapsed="false">
      <c r="A557" s="43"/>
      <c r="B557" s="44"/>
      <c r="C557" s="44"/>
      <c r="D557" s="44"/>
      <c r="E557" s="44"/>
      <c r="F557" s="44"/>
      <c r="G557" s="44"/>
      <c r="H557" s="46" t="str">
        <f aca="false">IF($A557="","",IF(OR(NOT(ISNUMBER(E557)),NOT(ISNUMBER(F557))),"",MAX(0,E557)*F557))</f>
        <v/>
      </c>
      <c r="I557" s="46" t="str">
        <f aca="false">IF($A557="","",SUMIF($A$2:$A$5001,$A557,$H$2:$H$5001))</f>
        <v/>
      </c>
      <c r="J557" s="47" t="n">
        <f aca="false">IF($A557="",0,IF(COUNTIF($A$2:A557,$A557)=1,1,0))</f>
        <v>0</v>
      </c>
      <c r="K557" s="47" t="n">
        <f aca="false">IF(J557=1,N(I557)+ROW()/10000000,0)</f>
        <v>0</v>
      </c>
      <c r="L557" s="47" t="str">
        <f aca="false">IF(AND(J557=1,N(I557)&gt;0),SUMIF($K$2:$K$5001,"&gt;="&amp;K557,$I$2:$I$5001)/MAX(1,SUM($H$2:$H$5001)),"")</f>
        <v/>
      </c>
      <c r="M557" s="47" t="str">
        <f aca="false">IF($A557="","",INDEX($L$2:$L$5001,MATCH($A557,$A$2:$A$5001,0)))</f>
        <v/>
      </c>
      <c r="N557" s="48" t="str">
        <f aca="false">IF($A557="","",IF(N(M557)=0,"–",IF(M557&lt;=Start!$D$20,"A",IF(M557&lt;=Start!$D$21,"B","C"))))</f>
        <v/>
      </c>
      <c r="O557" s="48" t="str">
        <f aca="false">IF($A557="","",IF(NOT(ISNUMBER(F557)),"Wert fehlt; ",IF(F557&lt;=0,"Wert ist 0; ",""))&amp;IF(NOT(ISNUMBER(E557)),"Bestand fehlt; ",IF(E557&lt;0,"Bestand negativ; ",IF(E557=0,"Nullbestand; ","")))&amp;IF(D557="","Warengruppe fehlt; ","")&amp;IF(B557="","Bezeichnung fehlt; ","")&amp;IF(COUNTIFS($A$2:$A$5001,$A557,$C$2:$C$5001,C557)&gt;1,"Artikel doppelt im selben Lager; ",""))</f>
        <v/>
      </c>
      <c r="P557" s="47" t="n">
        <f aca="false">IF(OR($A557="",D557=""),0,IF(COUNTIF($D$2:D557,D557)=1,SUMIF($D$2:$D$5001,D557,$H$2:$H$5001)+ROW()/10000000,0))</f>
        <v>0</v>
      </c>
      <c r="Q557" s="47" t="n">
        <f aca="false">IF(OR($A557="",C557=""),0,IF(COUNTIF($C$2:C557,C557)=1,SUMIF($C$2:$C$5001,C557,$H$2:$H$5001)+ROW()/10000000,0))</f>
        <v>0</v>
      </c>
    </row>
    <row r="558" customFormat="false" ht="15" hidden="false" customHeight="false" outlineLevel="0" collapsed="false">
      <c r="A558" s="43"/>
      <c r="B558" s="44"/>
      <c r="C558" s="44"/>
      <c r="D558" s="44"/>
      <c r="E558" s="44"/>
      <c r="F558" s="44"/>
      <c r="G558" s="44"/>
      <c r="H558" s="46" t="str">
        <f aca="false">IF($A558="","",IF(OR(NOT(ISNUMBER(E558)),NOT(ISNUMBER(F558))),"",MAX(0,E558)*F558))</f>
        <v/>
      </c>
      <c r="I558" s="46" t="str">
        <f aca="false">IF($A558="","",SUMIF($A$2:$A$5001,$A558,$H$2:$H$5001))</f>
        <v/>
      </c>
      <c r="J558" s="47" t="n">
        <f aca="false">IF($A558="",0,IF(COUNTIF($A$2:A558,$A558)=1,1,0))</f>
        <v>0</v>
      </c>
      <c r="K558" s="47" t="n">
        <f aca="false">IF(J558=1,N(I558)+ROW()/10000000,0)</f>
        <v>0</v>
      </c>
      <c r="L558" s="47" t="str">
        <f aca="false">IF(AND(J558=1,N(I558)&gt;0),SUMIF($K$2:$K$5001,"&gt;="&amp;K558,$I$2:$I$5001)/MAX(1,SUM($H$2:$H$5001)),"")</f>
        <v/>
      </c>
      <c r="M558" s="47" t="str">
        <f aca="false">IF($A558="","",INDEX($L$2:$L$5001,MATCH($A558,$A$2:$A$5001,0)))</f>
        <v/>
      </c>
      <c r="N558" s="48" t="str">
        <f aca="false">IF($A558="","",IF(N(M558)=0,"–",IF(M558&lt;=Start!$D$20,"A",IF(M558&lt;=Start!$D$21,"B","C"))))</f>
        <v/>
      </c>
      <c r="O558" s="48" t="str">
        <f aca="false">IF($A558="","",IF(NOT(ISNUMBER(F558)),"Wert fehlt; ",IF(F558&lt;=0,"Wert ist 0; ",""))&amp;IF(NOT(ISNUMBER(E558)),"Bestand fehlt; ",IF(E558&lt;0,"Bestand negativ; ",IF(E558=0,"Nullbestand; ","")))&amp;IF(D558="","Warengruppe fehlt; ","")&amp;IF(B558="","Bezeichnung fehlt; ","")&amp;IF(COUNTIFS($A$2:$A$5001,$A558,$C$2:$C$5001,C558)&gt;1,"Artikel doppelt im selben Lager; ",""))</f>
        <v/>
      </c>
      <c r="P558" s="47" t="n">
        <f aca="false">IF(OR($A558="",D558=""),0,IF(COUNTIF($D$2:D558,D558)=1,SUMIF($D$2:$D$5001,D558,$H$2:$H$5001)+ROW()/10000000,0))</f>
        <v>0</v>
      </c>
      <c r="Q558" s="47" t="n">
        <f aca="false">IF(OR($A558="",C558=""),0,IF(COUNTIF($C$2:C558,C558)=1,SUMIF($C$2:$C$5001,C558,$H$2:$H$5001)+ROW()/10000000,0))</f>
        <v>0</v>
      </c>
    </row>
    <row r="559" customFormat="false" ht="15" hidden="false" customHeight="false" outlineLevel="0" collapsed="false">
      <c r="A559" s="43"/>
      <c r="B559" s="44"/>
      <c r="C559" s="44"/>
      <c r="D559" s="44"/>
      <c r="E559" s="44"/>
      <c r="F559" s="44"/>
      <c r="G559" s="44"/>
      <c r="H559" s="46" t="str">
        <f aca="false">IF($A559="","",IF(OR(NOT(ISNUMBER(E559)),NOT(ISNUMBER(F559))),"",MAX(0,E559)*F559))</f>
        <v/>
      </c>
      <c r="I559" s="46" t="str">
        <f aca="false">IF($A559="","",SUMIF($A$2:$A$5001,$A559,$H$2:$H$5001))</f>
        <v/>
      </c>
      <c r="J559" s="47" t="n">
        <f aca="false">IF($A559="",0,IF(COUNTIF($A$2:A559,$A559)=1,1,0))</f>
        <v>0</v>
      </c>
      <c r="K559" s="47" t="n">
        <f aca="false">IF(J559=1,N(I559)+ROW()/10000000,0)</f>
        <v>0</v>
      </c>
      <c r="L559" s="47" t="str">
        <f aca="false">IF(AND(J559=1,N(I559)&gt;0),SUMIF($K$2:$K$5001,"&gt;="&amp;K559,$I$2:$I$5001)/MAX(1,SUM($H$2:$H$5001)),"")</f>
        <v/>
      </c>
      <c r="M559" s="47" t="str">
        <f aca="false">IF($A559="","",INDEX($L$2:$L$5001,MATCH($A559,$A$2:$A$5001,0)))</f>
        <v/>
      </c>
      <c r="N559" s="48" t="str">
        <f aca="false">IF($A559="","",IF(N(M559)=0,"–",IF(M559&lt;=Start!$D$20,"A",IF(M559&lt;=Start!$D$21,"B","C"))))</f>
        <v/>
      </c>
      <c r="O559" s="48" t="str">
        <f aca="false">IF($A559="","",IF(NOT(ISNUMBER(F559)),"Wert fehlt; ",IF(F559&lt;=0,"Wert ist 0; ",""))&amp;IF(NOT(ISNUMBER(E559)),"Bestand fehlt; ",IF(E559&lt;0,"Bestand negativ; ",IF(E559=0,"Nullbestand; ","")))&amp;IF(D559="","Warengruppe fehlt; ","")&amp;IF(B559="","Bezeichnung fehlt; ","")&amp;IF(COUNTIFS($A$2:$A$5001,$A559,$C$2:$C$5001,C559)&gt;1,"Artikel doppelt im selben Lager; ",""))</f>
        <v/>
      </c>
      <c r="P559" s="47" t="n">
        <f aca="false">IF(OR($A559="",D559=""),0,IF(COUNTIF($D$2:D559,D559)=1,SUMIF($D$2:$D$5001,D559,$H$2:$H$5001)+ROW()/10000000,0))</f>
        <v>0</v>
      </c>
      <c r="Q559" s="47" t="n">
        <f aca="false">IF(OR($A559="",C559=""),0,IF(COUNTIF($C$2:C559,C559)=1,SUMIF($C$2:$C$5001,C559,$H$2:$H$5001)+ROW()/10000000,0))</f>
        <v>0</v>
      </c>
    </row>
    <row r="560" customFormat="false" ht="15" hidden="false" customHeight="false" outlineLevel="0" collapsed="false">
      <c r="A560" s="43"/>
      <c r="B560" s="44"/>
      <c r="C560" s="44"/>
      <c r="D560" s="44"/>
      <c r="E560" s="44"/>
      <c r="F560" s="44"/>
      <c r="G560" s="44"/>
      <c r="H560" s="46" t="str">
        <f aca="false">IF($A560="","",IF(OR(NOT(ISNUMBER(E560)),NOT(ISNUMBER(F560))),"",MAX(0,E560)*F560))</f>
        <v/>
      </c>
      <c r="I560" s="46" t="str">
        <f aca="false">IF($A560="","",SUMIF($A$2:$A$5001,$A560,$H$2:$H$5001))</f>
        <v/>
      </c>
      <c r="J560" s="47" t="n">
        <f aca="false">IF($A560="",0,IF(COUNTIF($A$2:A560,$A560)=1,1,0))</f>
        <v>0</v>
      </c>
      <c r="K560" s="47" t="n">
        <f aca="false">IF(J560=1,N(I560)+ROW()/10000000,0)</f>
        <v>0</v>
      </c>
      <c r="L560" s="47" t="str">
        <f aca="false">IF(AND(J560=1,N(I560)&gt;0),SUMIF($K$2:$K$5001,"&gt;="&amp;K560,$I$2:$I$5001)/MAX(1,SUM($H$2:$H$5001)),"")</f>
        <v/>
      </c>
      <c r="M560" s="47" t="str">
        <f aca="false">IF($A560="","",INDEX($L$2:$L$5001,MATCH($A560,$A$2:$A$5001,0)))</f>
        <v/>
      </c>
      <c r="N560" s="48" t="str">
        <f aca="false">IF($A560="","",IF(N(M560)=0,"–",IF(M560&lt;=Start!$D$20,"A",IF(M560&lt;=Start!$D$21,"B","C"))))</f>
        <v/>
      </c>
      <c r="O560" s="48" t="str">
        <f aca="false">IF($A560="","",IF(NOT(ISNUMBER(F560)),"Wert fehlt; ",IF(F560&lt;=0,"Wert ist 0; ",""))&amp;IF(NOT(ISNUMBER(E560)),"Bestand fehlt; ",IF(E560&lt;0,"Bestand negativ; ",IF(E560=0,"Nullbestand; ","")))&amp;IF(D560="","Warengruppe fehlt; ","")&amp;IF(B560="","Bezeichnung fehlt; ","")&amp;IF(COUNTIFS($A$2:$A$5001,$A560,$C$2:$C$5001,C560)&gt;1,"Artikel doppelt im selben Lager; ",""))</f>
        <v/>
      </c>
      <c r="P560" s="47" t="n">
        <f aca="false">IF(OR($A560="",D560=""),0,IF(COUNTIF($D$2:D560,D560)=1,SUMIF($D$2:$D$5001,D560,$H$2:$H$5001)+ROW()/10000000,0))</f>
        <v>0</v>
      </c>
      <c r="Q560" s="47" t="n">
        <f aca="false">IF(OR($A560="",C560=""),0,IF(COUNTIF($C$2:C560,C560)=1,SUMIF($C$2:$C$5001,C560,$H$2:$H$5001)+ROW()/10000000,0))</f>
        <v>0</v>
      </c>
    </row>
    <row r="561" customFormat="false" ht="15" hidden="false" customHeight="false" outlineLevel="0" collapsed="false">
      <c r="A561" s="43"/>
      <c r="B561" s="44"/>
      <c r="C561" s="44"/>
      <c r="D561" s="44"/>
      <c r="E561" s="44"/>
      <c r="F561" s="44"/>
      <c r="G561" s="44"/>
      <c r="H561" s="46" t="str">
        <f aca="false">IF($A561="","",IF(OR(NOT(ISNUMBER(E561)),NOT(ISNUMBER(F561))),"",MAX(0,E561)*F561))</f>
        <v/>
      </c>
      <c r="I561" s="46" t="str">
        <f aca="false">IF($A561="","",SUMIF($A$2:$A$5001,$A561,$H$2:$H$5001))</f>
        <v/>
      </c>
      <c r="J561" s="47" t="n">
        <f aca="false">IF($A561="",0,IF(COUNTIF($A$2:A561,$A561)=1,1,0))</f>
        <v>0</v>
      </c>
      <c r="K561" s="47" t="n">
        <f aca="false">IF(J561=1,N(I561)+ROW()/10000000,0)</f>
        <v>0</v>
      </c>
      <c r="L561" s="47" t="str">
        <f aca="false">IF(AND(J561=1,N(I561)&gt;0),SUMIF($K$2:$K$5001,"&gt;="&amp;K561,$I$2:$I$5001)/MAX(1,SUM($H$2:$H$5001)),"")</f>
        <v/>
      </c>
      <c r="M561" s="47" t="str">
        <f aca="false">IF($A561="","",INDEX($L$2:$L$5001,MATCH($A561,$A$2:$A$5001,0)))</f>
        <v/>
      </c>
      <c r="N561" s="48" t="str">
        <f aca="false">IF($A561="","",IF(N(M561)=0,"–",IF(M561&lt;=Start!$D$20,"A",IF(M561&lt;=Start!$D$21,"B","C"))))</f>
        <v/>
      </c>
      <c r="O561" s="48" t="str">
        <f aca="false">IF($A561="","",IF(NOT(ISNUMBER(F561)),"Wert fehlt; ",IF(F561&lt;=0,"Wert ist 0; ",""))&amp;IF(NOT(ISNUMBER(E561)),"Bestand fehlt; ",IF(E561&lt;0,"Bestand negativ; ",IF(E561=0,"Nullbestand; ","")))&amp;IF(D561="","Warengruppe fehlt; ","")&amp;IF(B561="","Bezeichnung fehlt; ","")&amp;IF(COUNTIFS($A$2:$A$5001,$A561,$C$2:$C$5001,C561)&gt;1,"Artikel doppelt im selben Lager; ",""))</f>
        <v/>
      </c>
      <c r="P561" s="47" t="n">
        <f aca="false">IF(OR($A561="",D561=""),0,IF(COUNTIF($D$2:D561,D561)=1,SUMIF($D$2:$D$5001,D561,$H$2:$H$5001)+ROW()/10000000,0))</f>
        <v>0</v>
      </c>
      <c r="Q561" s="47" t="n">
        <f aca="false">IF(OR($A561="",C561=""),0,IF(COUNTIF($C$2:C561,C561)=1,SUMIF($C$2:$C$5001,C561,$H$2:$H$5001)+ROW()/10000000,0))</f>
        <v>0</v>
      </c>
    </row>
    <row r="562" customFormat="false" ht="15" hidden="false" customHeight="false" outlineLevel="0" collapsed="false">
      <c r="A562" s="43"/>
      <c r="B562" s="44"/>
      <c r="C562" s="44"/>
      <c r="D562" s="44"/>
      <c r="E562" s="44"/>
      <c r="F562" s="44"/>
      <c r="G562" s="44"/>
      <c r="H562" s="46" t="str">
        <f aca="false">IF($A562="","",IF(OR(NOT(ISNUMBER(E562)),NOT(ISNUMBER(F562))),"",MAX(0,E562)*F562))</f>
        <v/>
      </c>
      <c r="I562" s="46" t="str">
        <f aca="false">IF($A562="","",SUMIF($A$2:$A$5001,$A562,$H$2:$H$5001))</f>
        <v/>
      </c>
      <c r="J562" s="47" t="n">
        <f aca="false">IF($A562="",0,IF(COUNTIF($A$2:A562,$A562)=1,1,0))</f>
        <v>0</v>
      </c>
      <c r="K562" s="47" t="n">
        <f aca="false">IF(J562=1,N(I562)+ROW()/10000000,0)</f>
        <v>0</v>
      </c>
      <c r="L562" s="47" t="str">
        <f aca="false">IF(AND(J562=1,N(I562)&gt;0),SUMIF($K$2:$K$5001,"&gt;="&amp;K562,$I$2:$I$5001)/MAX(1,SUM($H$2:$H$5001)),"")</f>
        <v/>
      </c>
      <c r="M562" s="47" t="str">
        <f aca="false">IF($A562="","",INDEX($L$2:$L$5001,MATCH($A562,$A$2:$A$5001,0)))</f>
        <v/>
      </c>
      <c r="N562" s="48" t="str">
        <f aca="false">IF($A562="","",IF(N(M562)=0,"–",IF(M562&lt;=Start!$D$20,"A",IF(M562&lt;=Start!$D$21,"B","C"))))</f>
        <v/>
      </c>
      <c r="O562" s="48" t="str">
        <f aca="false">IF($A562="","",IF(NOT(ISNUMBER(F562)),"Wert fehlt; ",IF(F562&lt;=0,"Wert ist 0; ",""))&amp;IF(NOT(ISNUMBER(E562)),"Bestand fehlt; ",IF(E562&lt;0,"Bestand negativ; ",IF(E562=0,"Nullbestand; ","")))&amp;IF(D562="","Warengruppe fehlt; ","")&amp;IF(B562="","Bezeichnung fehlt; ","")&amp;IF(COUNTIFS($A$2:$A$5001,$A562,$C$2:$C$5001,C562)&gt;1,"Artikel doppelt im selben Lager; ",""))</f>
        <v/>
      </c>
      <c r="P562" s="47" t="n">
        <f aca="false">IF(OR($A562="",D562=""),0,IF(COUNTIF($D$2:D562,D562)=1,SUMIF($D$2:$D$5001,D562,$H$2:$H$5001)+ROW()/10000000,0))</f>
        <v>0</v>
      </c>
      <c r="Q562" s="47" t="n">
        <f aca="false">IF(OR($A562="",C562=""),0,IF(COUNTIF($C$2:C562,C562)=1,SUMIF($C$2:$C$5001,C562,$H$2:$H$5001)+ROW()/10000000,0))</f>
        <v>0</v>
      </c>
    </row>
    <row r="563" customFormat="false" ht="15" hidden="false" customHeight="false" outlineLevel="0" collapsed="false">
      <c r="A563" s="43"/>
      <c r="B563" s="44"/>
      <c r="C563" s="44"/>
      <c r="D563" s="44"/>
      <c r="E563" s="44"/>
      <c r="F563" s="44"/>
      <c r="G563" s="44"/>
      <c r="H563" s="46" t="str">
        <f aca="false">IF($A563="","",IF(OR(NOT(ISNUMBER(E563)),NOT(ISNUMBER(F563))),"",MAX(0,E563)*F563))</f>
        <v/>
      </c>
      <c r="I563" s="46" t="str">
        <f aca="false">IF($A563="","",SUMIF($A$2:$A$5001,$A563,$H$2:$H$5001))</f>
        <v/>
      </c>
      <c r="J563" s="47" t="n">
        <f aca="false">IF($A563="",0,IF(COUNTIF($A$2:A563,$A563)=1,1,0))</f>
        <v>0</v>
      </c>
      <c r="K563" s="47" t="n">
        <f aca="false">IF(J563=1,N(I563)+ROW()/10000000,0)</f>
        <v>0</v>
      </c>
      <c r="L563" s="47" t="str">
        <f aca="false">IF(AND(J563=1,N(I563)&gt;0),SUMIF($K$2:$K$5001,"&gt;="&amp;K563,$I$2:$I$5001)/MAX(1,SUM($H$2:$H$5001)),"")</f>
        <v/>
      </c>
      <c r="M563" s="47" t="str">
        <f aca="false">IF($A563="","",INDEX($L$2:$L$5001,MATCH($A563,$A$2:$A$5001,0)))</f>
        <v/>
      </c>
      <c r="N563" s="48" t="str">
        <f aca="false">IF($A563="","",IF(N(M563)=0,"–",IF(M563&lt;=Start!$D$20,"A",IF(M563&lt;=Start!$D$21,"B","C"))))</f>
        <v/>
      </c>
      <c r="O563" s="48" t="str">
        <f aca="false">IF($A563="","",IF(NOT(ISNUMBER(F563)),"Wert fehlt; ",IF(F563&lt;=0,"Wert ist 0; ",""))&amp;IF(NOT(ISNUMBER(E563)),"Bestand fehlt; ",IF(E563&lt;0,"Bestand negativ; ",IF(E563=0,"Nullbestand; ","")))&amp;IF(D563="","Warengruppe fehlt; ","")&amp;IF(B563="","Bezeichnung fehlt; ","")&amp;IF(COUNTIFS($A$2:$A$5001,$A563,$C$2:$C$5001,C563)&gt;1,"Artikel doppelt im selben Lager; ",""))</f>
        <v/>
      </c>
      <c r="P563" s="47" t="n">
        <f aca="false">IF(OR($A563="",D563=""),0,IF(COUNTIF($D$2:D563,D563)=1,SUMIF($D$2:$D$5001,D563,$H$2:$H$5001)+ROW()/10000000,0))</f>
        <v>0</v>
      </c>
      <c r="Q563" s="47" t="n">
        <f aca="false">IF(OR($A563="",C563=""),0,IF(COUNTIF($C$2:C563,C563)=1,SUMIF($C$2:$C$5001,C563,$H$2:$H$5001)+ROW()/10000000,0))</f>
        <v>0</v>
      </c>
    </row>
    <row r="564" customFormat="false" ht="15" hidden="false" customHeight="false" outlineLevel="0" collapsed="false">
      <c r="A564" s="43"/>
      <c r="B564" s="44"/>
      <c r="C564" s="44"/>
      <c r="D564" s="44"/>
      <c r="E564" s="44"/>
      <c r="F564" s="44"/>
      <c r="G564" s="44"/>
      <c r="H564" s="46" t="str">
        <f aca="false">IF($A564="","",IF(OR(NOT(ISNUMBER(E564)),NOT(ISNUMBER(F564))),"",MAX(0,E564)*F564))</f>
        <v/>
      </c>
      <c r="I564" s="46" t="str">
        <f aca="false">IF($A564="","",SUMIF($A$2:$A$5001,$A564,$H$2:$H$5001))</f>
        <v/>
      </c>
      <c r="J564" s="47" t="n">
        <f aca="false">IF($A564="",0,IF(COUNTIF($A$2:A564,$A564)=1,1,0))</f>
        <v>0</v>
      </c>
      <c r="K564" s="47" t="n">
        <f aca="false">IF(J564=1,N(I564)+ROW()/10000000,0)</f>
        <v>0</v>
      </c>
      <c r="L564" s="47" t="str">
        <f aca="false">IF(AND(J564=1,N(I564)&gt;0),SUMIF($K$2:$K$5001,"&gt;="&amp;K564,$I$2:$I$5001)/MAX(1,SUM($H$2:$H$5001)),"")</f>
        <v/>
      </c>
      <c r="M564" s="47" t="str">
        <f aca="false">IF($A564="","",INDEX($L$2:$L$5001,MATCH($A564,$A$2:$A$5001,0)))</f>
        <v/>
      </c>
      <c r="N564" s="48" t="str">
        <f aca="false">IF($A564="","",IF(N(M564)=0,"–",IF(M564&lt;=Start!$D$20,"A",IF(M564&lt;=Start!$D$21,"B","C"))))</f>
        <v/>
      </c>
      <c r="O564" s="48" t="str">
        <f aca="false">IF($A564="","",IF(NOT(ISNUMBER(F564)),"Wert fehlt; ",IF(F564&lt;=0,"Wert ist 0; ",""))&amp;IF(NOT(ISNUMBER(E564)),"Bestand fehlt; ",IF(E564&lt;0,"Bestand negativ; ",IF(E564=0,"Nullbestand; ","")))&amp;IF(D564="","Warengruppe fehlt; ","")&amp;IF(B564="","Bezeichnung fehlt; ","")&amp;IF(COUNTIFS($A$2:$A$5001,$A564,$C$2:$C$5001,C564)&gt;1,"Artikel doppelt im selben Lager; ",""))</f>
        <v/>
      </c>
      <c r="P564" s="47" t="n">
        <f aca="false">IF(OR($A564="",D564=""),0,IF(COUNTIF($D$2:D564,D564)=1,SUMIF($D$2:$D$5001,D564,$H$2:$H$5001)+ROW()/10000000,0))</f>
        <v>0</v>
      </c>
      <c r="Q564" s="47" t="n">
        <f aca="false">IF(OR($A564="",C564=""),0,IF(COUNTIF($C$2:C564,C564)=1,SUMIF($C$2:$C$5001,C564,$H$2:$H$5001)+ROW()/10000000,0))</f>
        <v>0</v>
      </c>
    </row>
    <row r="565" customFormat="false" ht="15" hidden="false" customHeight="false" outlineLevel="0" collapsed="false">
      <c r="A565" s="43"/>
      <c r="B565" s="44"/>
      <c r="C565" s="44"/>
      <c r="D565" s="44"/>
      <c r="E565" s="44"/>
      <c r="F565" s="44"/>
      <c r="G565" s="44"/>
      <c r="H565" s="46" t="str">
        <f aca="false">IF($A565="","",IF(OR(NOT(ISNUMBER(E565)),NOT(ISNUMBER(F565))),"",MAX(0,E565)*F565))</f>
        <v/>
      </c>
      <c r="I565" s="46" t="str">
        <f aca="false">IF($A565="","",SUMIF($A$2:$A$5001,$A565,$H$2:$H$5001))</f>
        <v/>
      </c>
      <c r="J565" s="47" t="n">
        <f aca="false">IF($A565="",0,IF(COUNTIF($A$2:A565,$A565)=1,1,0))</f>
        <v>0</v>
      </c>
      <c r="K565" s="47" t="n">
        <f aca="false">IF(J565=1,N(I565)+ROW()/10000000,0)</f>
        <v>0</v>
      </c>
      <c r="L565" s="47" t="str">
        <f aca="false">IF(AND(J565=1,N(I565)&gt;0),SUMIF($K$2:$K$5001,"&gt;="&amp;K565,$I$2:$I$5001)/MAX(1,SUM($H$2:$H$5001)),"")</f>
        <v/>
      </c>
      <c r="M565" s="47" t="str">
        <f aca="false">IF($A565="","",INDEX($L$2:$L$5001,MATCH($A565,$A$2:$A$5001,0)))</f>
        <v/>
      </c>
      <c r="N565" s="48" t="str">
        <f aca="false">IF($A565="","",IF(N(M565)=0,"–",IF(M565&lt;=Start!$D$20,"A",IF(M565&lt;=Start!$D$21,"B","C"))))</f>
        <v/>
      </c>
      <c r="O565" s="48" t="str">
        <f aca="false">IF($A565="","",IF(NOT(ISNUMBER(F565)),"Wert fehlt; ",IF(F565&lt;=0,"Wert ist 0; ",""))&amp;IF(NOT(ISNUMBER(E565)),"Bestand fehlt; ",IF(E565&lt;0,"Bestand negativ; ",IF(E565=0,"Nullbestand; ","")))&amp;IF(D565="","Warengruppe fehlt; ","")&amp;IF(B565="","Bezeichnung fehlt; ","")&amp;IF(COUNTIFS($A$2:$A$5001,$A565,$C$2:$C$5001,C565)&gt;1,"Artikel doppelt im selben Lager; ",""))</f>
        <v/>
      </c>
      <c r="P565" s="47" t="n">
        <f aca="false">IF(OR($A565="",D565=""),0,IF(COUNTIF($D$2:D565,D565)=1,SUMIF($D$2:$D$5001,D565,$H$2:$H$5001)+ROW()/10000000,0))</f>
        <v>0</v>
      </c>
      <c r="Q565" s="47" t="n">
        <f aca="false">IF(OR($A565="",C565=""),0,IF(COUNTIF($C$2:C565,C565)=1,SUMIF($C$2:$C$5001,C565,$H$2:$H$5001)+ROW()/10000000,0))</f>
        <v>0</v>
      </c>
    </row>
    <row r="566" customFormat="false" ht="15" hidden="false" customHeight="false" outlineLevel="0" collapsed="false">
      <c r="A566" s="43"/>
      <c r="B566" s="44"/>
      <c r="C566" s="44"/>
      <c r="D566" s="44"/>
      <c r="E566" s="44"/>
      <c r="F566" s="44"/>
      <c r="G566" s="44"/>
      <c r="H566" s="46" t="str">
        <f aca="false">IF($A566="","",IF(OR(NOT(ISNUMBER(E566)),NOT(ISNUMBER(F566))),"",MAX(0,E566)*F566))</f>
        <v/>
      </c>
      <c r="I566" s="46" t="str">
        <f aca="false">IF($A566="","",SUMIF($A$2:$A$5001,$A566,$H$2:$H$5001))</f>
        <v/>
      </c>
      <c r="J566" s="47" t="n">
        <f aca="false">IF($A566="",0,IF(COUNTIF($A$2:A566,$A566)=1,1,0))</f>
        <v>0</v>
      </c>
      <c r="K566" s="47" t="n">
        <f aca="false">IF(J566=1,N(I566)+ROW()/10000000,0)</f>
        <v>0</v>
      </c>
      <c r="L566" s="47" t="str">
        <f aca="false">IF(AND(J566=1,N(I566)&gt;0),SUMIF($K$2:$K$5001,"&gt;="&amp;K566,$I$2:$I$5001)/MAX(1,SUM($H$2:$H$5001)),"")</f>
        <v/>
      </c>
      <c r="M566" s="47" t="str">
        <f aca="false">IF($A566="","",INDEX($L$2:$L$5001,MATCH($A566,$A$2:$A$5001,0)))</f>
        <v/>
      </c>
      <c r="N566" s="48" t="str">
        <f aca="false">IF($A566="","",IF(N(M566)=0,"–",IF(M566&lt;=Start!$D$20,"A",IF(M566&lt;=Start!$D$21,"B","C"))))</f>
        <v/>
      </c>
      <c r="O566" s="48" t="str">
        <f aca="false">IF($A566="","",IF(NOT(ISNUMBER(F566)),"Wert fehlt; ",IF(F566&lt;=0,"Wert ist 0; ",""))&amp;IF(NOT(ISNUMBER(E566)),"Bestand fehlt; ",IF(E566&lt;0,"Bestand negativ; ",IF(E566=0,"Nullbestand; ","")))&amp;IF(D566="","Warengruppe fehlt; ","")&amp;IF(B566="","Bezeichnung fehlt; ","")&amp;IF(COUNTIFS($A$2:$A$5001,$A566,$C$2:$C$5001,C566)&gt;1,"Artikel doppelt im selben Lager; ",""))</f>
        <v/>
      </c>
      <c r="P566" s="47" t="n">
        <f aca="false">IF(OR($A566="",D566=""),0,IF(COUNTIF($D$2:D566,D566)=1,SUMIF($D$2:$D$5001,D566,$H$2:$H$5001)+ROW()/10000000,0))</f>
        <v>0</v>
      </c>
      <c r="Q566" s="47" t="n">
        <f aca="false">IF(OR($A566="",C566=""),0,IF(COUNTIF($C$2:C566,C566)=1,SUMIF($C$2:$C$5001,C566,$H$2:$H$5001)+ROW()/10000000,0))</f>
        <v>0</v>
      </c>
    </row>
    <row r="567" customFormat="false" ht="15" hidden="false" customHeight="false" outlineLevel="0" collapsed="false">
      <c r="A567" s="43"/>
      <c r="B567" s="44"/>
      <c r="C567" s="44"/>
      <c r="D567" s="44"/>
      <c r="E567" s="44"/>
      <c r="F567" s="44"/>
      <c r="G567" s="44"/>
      <c r="H567" s="46" t="str">
        <f aca="false">IF($A567="","",IF(OR(NOT(ISNUMBER(E567)),NOT(ISNUMBER(F567))),"",MAX(0,E567)*F567))</f>
        <v/>
      </c>
      <c r="I567" s="46" t="str">
        <f aca="false">IF($A567="","",SUMIF($A$2:$A$5001,$A567,$H$2:$H$5001))</f>
        <v/>
      </c>
      <c r="J567" s="47" t="n">
        <f aca="false">IF($A567="",0,IF(COUNTIF($A$2:A567,$A567)=1,1,0))</f>
        <v>0</v>
      </c>
      <c r="K567" s="47" t="n">
        <f aca="false">IF(J567=1,N(I567)+ROW()/10000000,0)</f>
        <v>0</v>
      </c>
      <c r="L567" s="47" t="str">
        <f aca="false">IF(AND(J567=1,N(I567)&gt;0),SUMIF($K$2:$K$5001,"&gt;="&amp;K567,$I$2:$I$5001)/MAX(1,SUM($H$2:$H$5001)),"")</f>
        <v/>
      </c>
      <c r="M567" s="47" t="str">
        <f aca="false">IF($A567="","",INDEX($L$2:$L$5001,MATCH($A567,$A$2:$A$5001,0)))</f>
        <v/>
      </c>
      <c r="N567" s="48" t="str">
        <f aca="false">IF($A567="","",IF(N(M567)=0,"–",IF(M567&lt;=Start!$D$20,"A",IF(M567&lt;=Start!$D$21,"B","C"))))</f>
        <v/>
      </c>
      <c r="O567" s="48" t="str">
        <f aca="false">IF($A567="","",IF(NOT(ISNUMBER(F567)),"Wert fehlt; ",IF(F567&lt;=0,"Wert ist 0; ",""))&amp;IF(NOT(ISNUMBER(E567)),"Bestand fehlt; ",IF(E567&lt;0,"Bestand negativ; ",IF(E567=0,"Nullbestand; ","")))&amp;IF(D567="","Warengruppe fehlt; ","")&amp;IF(B567="","Bezeichnung fehlt; ","")&amp;IF(COUNTIFS($A$2:$A$5001,$A567,$C$2:$C$5001,C567)&gt;1,"Artikel doppelt im selben Lager; ",""))</f>
        <v/>
      </c>
      <c r="P567" s="47" t="n">
        <f aca="false">IF(OR($A567="",D567=""),0,IF(COUNTIF($D$2:D567,D567)=1,SUMIF($D$2:$D$5001,D567,$H$2:$H$5001)+ROW()/10000000,0))</f>
        <v>0</v>
      </c>
      <c r="Q567" s="47" t="n">
        <f aca="false">IF(OR($A567="",C567=""),0,IF(COUNTIF($C$2:C567,C567)=1,SUMIF($C$2:$C$5001,C567,$H$2:$H$5001)+ROW()/10000000,0))</f>
        <v>0</v>
      </c>
    </row>
    <row r="568" customFormat="false" ht="15" hidden="false" customHeight="false" outlineLevel="0" collapsed="false">
      <c r="A568" s="43"/>
      <c r="B568" s="44"/>
      <c r="C568" s="44"/>
      <c r="D568" s="44"/>
      <c r="E568" s="44"/>
      <c r="F568" s="44"/>
      <c r="G568" s="44"/>
      <c r="H568" s="46" t="str">
        <f aca="false">IF($A568="","",IF(OR(NOT(ISNUMBER(E568)),NOT(ISNUMBER(F568))),"",MAX(0,E568)*F568))</f>
        <v/>
      </c>
      <c r="I568" s="46" t="str">
        <f aca="false">IF($A568="","",SUMIF($A$2:$A$5001,$A568,$H$2:$H$5001))</f>
        <v/>
      </c>
      <c r="J568" s="47" t="n">
        <f aca="false">IF($A568="",0,IF(COUNTIF($A$2:A568,$A568)=1,1,0))</f>
        <v>0</v>
      </c>
      <c r="K568" s="47" t="n">
        <f aca="false">IF(J568=1,N(I568)+ROW()/10000000,0)</f>
        <v>0</v>
      </c>
      <c r="L568" s="47" t="str">
        <f aca="false">IF(AND(J568=1,N(I568)&gt;0),SUMIF($K$2:$K$5001,"&gt;="&amp;K568,$I$2:$I$5001)/MAX(1,SUM($H$2:$H$5001)),"")</f>
        <v/>
      </c>
      <c r="M568" s="47" t="str">
        <f aca="false">IF($A568="","",INDEX($L$2:$L$5001,MATCH($A568,$A$2:$A$5001,0)))</f>
        <v/>
      </c>
      <c r="N568" s="48" t="str">
        <f aca="false">IF($A568="","",IF(N(M568)=0,"–",IF(M568&lt;=Start!$D$20,"A",IF(M568&lt;=Start!$D$21,"B","C"))))</f>
        <v/>
      </c>
      <c r="O568" s="48" t="str">
        <f aca="false">IF($A568="","",IF(NOT(ISNUMBER(F568)),"Wert fehlt; ",IF(F568&lt;=0,"Wert ist 0; ",""))&amp;IF(NOT(ISNUMBER(E568)),"Bestand fehlt; ",IF(E568&lt;0,"Bestand negativ; ",IF(E568=0,"Nullbestand; ","")))&amp;IF(D568="","Warengruppe fehlt; ","")&amp;IF(B568="","Bezeichnung fehlt; ","")&amp;IF(COUNTIFS($A$2:$A$5001,$A568,$C$2:$C$5001,C568)&gt;1,"Artikel doppelt im selben Lager; ",""))</f>
        <v/>
      </c>
      <c r="P568" s="47" t="n">
        <f aca="false">IF(OR($A568="",D568=""),0,IF(COUNTIF($D$2:D568,D568)=1,SUMIF($D$2:$D$5001,D568,$H$2:$H$5001)+ROW()/10000000,0))</f>
        <v>0</v>
      </c>
      <c r="Q568" s="47" t="n">
        <f aca="false">IF(OR($A568="",C568=""),0,IF(COUNTIF($C$2:C568,C568)=1,SUMIF($C$2:$C$5001,C568,$H$2:$H$5001)+ROW()/10000000,0))</f>
        <v>0</v>
      </c>
    </row>
    <row r="569" customFormat="false" ht="15" hidden="false" customHeight="false" outlineLevel="0" collapsed="false">
      <c r="A569" s="43"/>
      <c r="B569" s="44"/>
      <c r="C569" s="44"/>
      <c r="D569" s="44"/>
      <c r="E569" s="44"/>
      <c r="F569" s="44"/>
      <c r="G569" s="44"/>
      <c r="H569" s="46" t="str">
        <f aca="false">IF($A569="","",IF(OR(NOT(ISNUMBER(E569)),NOT(ISNUMBER(F569))),"",MAX(0,E569)*F569))</f>
        <v/>
      </c>
      <c r="I569" s="46" t="str">
        <f aca="false">IF($A569="","",SUMIF($A$2:$A$5001,$A569,$H$2:$H$5001))</f>
        <v/>
      </c>
      <c r="J569" s="47" t="n">
        <f aca="false">IF($A569="",0,IF(COUNTIF($A$2:A569,$A569)=1,1,0))</f>
        <v>0</v>
      </c>
      <c r="K569" s="47" t="n">
        <f aca="false">IF(J569=1,N(I569)+ROW()/10000000,0)</f>
        <v>0</v>
      </c>
      <c r="L569" s="47" t="str">
        <f aca="false">IF(AND(J569=1,N(I569)&gt;0),SUMIF($K$2:$K$5001,"&gt;="&amp;K569,$I$2:$I$5001)/MAX(1,SUM($H$2:$H$5001)),"")</f>
        <v/>
      </c>
      <c r="M569" s="47" t="str">
        <f aca="false">IF($A569="","",INDEX($L$2:$L$5001,MATCH($A569,$A$2:$A$5001,0)))</f>
        <v/>
      </c>
      <c r="N569" s="48" t="str">
        <f aca="false">IF($A569="","",IF(N(M569)=0,"–",IF(M569&lt;=Start!$D$20,"A",IF(M569&lt;=Start!$D$21,"B","C"))))</f>
        <v/>
      </c>
      <c r="O569" s="48" t="str">
        <f aca="false">IF($A569="","",IF(NOT(ISNUMBER(F569)),"Wert fehlt; ",IF(F569&lt;=0,"Wert ist 0; ",""))&amp;IF(NOT(ISNUMBER(E569)),"Bestand fehlt; ",IF(E569&lt;0,"Bestand negativ; ",IF(E569=0,"Nullbestand; ","")))&amp;IF(D569="","Warengruppe fehlt; ","")&amp;IF(B569="","Bezeichnung fehlt; ","")&amp;IF(COUNTIFS($A$2:$A$5001,$A569,$C$2:$C$5001,C569)&gt;1,"Artikel doppelt im selben Lager; ",""))</f>
        <v/>
      </c>
      <c r="P569" s="47" t="n">
        <f aca="false">IF(OR($A569="",D569=""),0,IF(COUNTIF($D$2:D569,D569)=1,SUMIF($D$2:$D$5001,D569,$H$2:$H$5001)+ROW()/10000000,0))</f>
        <v>0</v>
      </c>
      <c r="Q569" s="47" t="n">
        <f aca="false">IF(OR($A569="",C569=""),0,IF(COUNTIF($C$2:C569,C569)=1,SUMIF($C$2:$C$5001,C569,$H$2:$H$5001)+ROW()/10000000,0))</f>
        <v>0</v>
      </c>
    </row>
    <row r="570" customFormat="false" ht="15" hidden="false" customHeight="false" outlineLevel="0" collapsed="false">
      <c r="A570" s="43"/>
      <c r="B570" s="44"/>
      <c r="C570" s="44"/>
      <c r="D570" s="44"/>
      <c r="E570" s="44"/>
      <c r="F570" s="44"/>
      <c r="G570" s="44"/>
      <c r="H570" s="46" t="str">
        <f aca="false">IF($A570="","",IF(OR(NOT(ISNUMBER(E570)),NOT(ISNUMBER(F570))),"",MAX(0,E570)*F570))</f>
        <v/>
      </c>
      <c r="I570" s="46" t="str">
        <f aca="false">IF($A570="","",SUMIF($A$2:$A$5001,$A570,$H$2:$H$5001))</f>
        <v/>
      </c>
      <c r="J570" s="47" t="n">
        <f aca="false">IF($A570="",0,IF(COUNTIF($A$2:A570,$A570)=1,1,0))</f>
        <v>0</v>
      </c>
      <c r="K570" s="47" t="n">
        <f aca="false">IF(J570=1,N(I570)+ROW()/10000000,0)</f>
        <v>0</v>
      </c>
      <c r="L570" s="47" t="str">
        <f aca="false">IF(AND(J570=1,N(I570)&gt;0),SUMIF($K$2:$K$5001,"&gt;="&amp;K570,$I$2:$I$5001)/MAX(1,SUM($H$2:$H$5001)),"")</f>
        <v/>
      </c>
      <c r="M570" s="47" t="str">
        <f aca="false">IF($A570="","",INDEX($L$2:$L$5001,MATCH($A570,$A$2:$A$5001,0)))</f>
        <v/>
      </c>
      <c r="N570" s="48" t="str">
        <f aca="false">IF($A570="","",IF(N(M570)=0,"–",IF(M570&lt;=Start!$D$20,"A",IF(M570&lt;=Start!$D$21,"B","C"))))</f>
        <v/>
      </c>
      <c r="O570" s="48" t="str">
        <f aca="false">IF($A570="","",IF(NOT(ISNUMBER(F570)),"Wert fehlt; ",IF(F570&lt;=0,"Wert ist 0; ",""))&amp;IF(NOT(ISNUMBER(E570)),"Bestand fehlt; ",IF(E570&lt;0,"Bestand negativ; ",IF(E570=0,"Nullbestand; ","")))&amp;IF(D570="","Warengruppe fehlt; ","")&amp;IF(B570="","Bezeichnung fehlt; ","")&amp;IF(COUNTIFS($A$2:$A$5001,$A570,$C$2:$C$5001,C570)&gt;1,"Artikel doppelt im selben Lager; ",""))</f>
        <v/>
      </c>
      <c r="P570" s="47" t="n">
        <f aca="false">IF(OR($A570="",D570=""),0,IF(COUNTIF($D$2:D570,D570)=1,SUMIF($D$2:$D$5001,D570,$H$2:$H$5001)+ROW()/10000000,0))</f>
        <v>0</v>
      </c>
      <c r="Q570" s="47" t="n">
        <f aca="false">IF(OR($A570="",C570=""),0,IF(COUNTIF($C$2:C570,C570)=1,SUMIF($C$2:$C$5001,C570,$H$2:$H$5001)+ROW()/10000000,0))</f>
        <v>0</v>
      </c>
    </row>
    <row r="571" customFormat="false" ht="15" hidden="false" customHeight="false" outlineLevel="0" collapsed="false">
      <c r="A571" s="43"/>
      <c r="B571" s="44"/>
      <c r="C571" s="44"/>
      <c r="D571" s="44"/>
      <c r="E571" s="44"/>
      <c r="F571" s="44"/>
      <c r="G571" s="44"/>
      <c r="H571" s="46" t="str">
        <f aca="false">IF($A571="","",IF(OR(NOT(ISNUMBER(E571)),NOT(ISNUMBER(F571))),"",MAX(0,E571)*F571))</f>
        <v/>
      </c>
      <c r="I571" s="46" t="str">
        <f aca="false">IF($A571="","",SUMIF($A$2:$A$5001,$A571,$H$2:$H$5001))</f>
        <v/>
      </c>
      <c r="J571" s="47" t="n">
        <f aca="false">IF($A571="",0,IF(COUNTIF($A$2:A571,$A571)=1,1,0))</f>
        <v>0</v>
      </c>
      <c r="K571" s="47" t="n">
        <f aca="false">IF(J571=1,N(I571)+ROW()/10000000,0)</f>
        <v>0</v>
      </c>
      <c r="L571" s="47" t="str">
        <f aca="false">IF(AND(J571=1,N(I571)&gt;0),SUMIF($K$2:$K$5001,"&gt;="&amp;K571,$I$2:$I$5001)/MAX(1,SUM($H$2:$H$5001)),"")</f>
        <v/>
      </c>
      <c r="M571" s="47" t="str">
        <f aca="false">IF($A571="","",INDEX($L$2:$L$5001,MATCH($A571,$A$2:$A$5001,0)))</f>
        <v/>
      </c>
      <c r="N571" s="48" t="str">
        <f aca="false">IF($A571="","",IF(N(M571)=0,"–",IF(M571&lt;=Start!$D$20,"A",IF(M571&lt;=Start!$D$21,"B","C"))))</f>
        <v/>
      </c>
      <c r="O571" s="48" t="str">
        <f aca="false">IF($A571="","",IF(NOT(ISNUMBER(F571)),"Wert fehlt; ",IF(F571&lt;=0,"Wert ist 0; ",""))&amp;IF(NOT(ISNUMBER(E571)),"Bestand fehlt; ",IF(E571&lt;0,"Bestand negativ; ",IF(E571=0,"Nullbestand; ","")))&amp;IF(D571="","Warengruppe fehlt; ","")&amp;IF(B571="","Bezeichnung fehlt; ","")&amp;IF(COUNTIFS($A$2:$A$5001,$A571,$C$2:$C$5001,C571)&gt;1,"Artikel doppelt im selben Lager; ",""))</f>
        <v/>
      </c>
      <c r="P571" s="47" t="n">
        <f aca="false">IF(OR($A571="",D571=""),0,IF(COUNTIF($D$2:D571,D571)=1,SUMIF($D$2:$D$5001,D571,$H$2:$H$5001)+ROW()/10000000,0))</f>
        <v>0</v>
      </c>
      <c r="Q571" s="47" t="n">
        <f aca="false">IF(OR($A571="",C571=""),0,IF(COUNTIF($C$2:C571,C571)=1,SUMIF($C$2:$C$5001,C571,$H$2:$H$5001)+ROW()/10000000,0))</f>
        <v>0</v>
      </c>
    </row>
    <row r="572" customFormat="false" ht="15" hidden="false" customHeight="false" outlineLevel="0" collapsed="false">
      <c r="A572" s="43"/>
      <c r="B572" s="44"/>
      <c r="C572" s="44"/>
      <c r="D572" s="44"/>
      <c r="E572" s="44"/>
      <c r="F572" s="44"/>
      <c r="G572" s="44"/>
      <c r="H572" s="46" t="str">
        <f aca="false">IF($A572="","",IF(OR(NOT(ISNUMBER(E572)),NOT(ISNUMBER(F572))),"",MAX(0,E572)*F572))</f>
        <v/>
      </c>
      <c r="I572" s="46" t="str">
        <f aca="false">IF($A572="","",SUMIF($A$2:$A$5001,$A572,$H$2:$H$5001))</f>
        <v/>
      </c>
      <c r="J572" s="47" t="n">
        <f aca="false">IF($A572="",0,IF(COUNTIF($A$2:A572,$A572)=1,1,0))</f>
        <v>0</v>
      </c>
      <c r="K572" s="47" t="n">
        <f aca="false">IF(J572=1,N(I572)+ROW()/10000000,0)</f>
        <v>0</v>
      </c>
      <c r="L572" s="47" t="str">
        <f aca="false">IF(AND(J572=1,N(I572)&gt;0),SUMIF($K$2:$K$5001,"&gt;="&amp;K572,$I$2:$I$5001)/MAX(1,SUM($H$2:$H$5001)),"")</f>
        <v/>
      </c>
      <c r="M572" s="47" t="str">
        <f aca="false">IF($A572="","",INDEX($L$2:$L$5001,MATCH($A572,$A$2:$A$5001,0)))</f>
        <v/>
      </c>
      <c r="N572" s="48" t="str">
        <f aca="false">IF($A572="","",IF(N(M572)=0,"–",IF(M572&lt;=Start!$D$20,"A",IF(M572&lt;=Start!$D$21,"B","C"))))</f>
        <v/>
      </c>
      <c r="O572" s="48" t="str">
        <f aca="false">IF($A572="","",IF(NOT(ISNUMBER(F572)),"Wert fehlt; ",IF(F572&lt;=0,"Wert ist 0; ",""))&amp;IF(NOT(ISNUMBER(E572)),"Bestand fehlt; ",IF(E572&lt;0,"Bestand negativ; ",IF(E572=0,"Nullbestand; ","")))&amp;IF(D572="","Warengruppe fehlt; ","")&amp;IF(B572="","Bezeichnung fehlt; ","")&amp;IF(COUNTIFS($A$2:$A$5001,$A572,$C$2:$C$5001,C572)&gt;1,"Artikel doppelt im selben Lager; ",""))</f>
        <v/>
      </c>
      <c r="P572" s="47" t="n">
        <f aca="false">IF(OR($A572="",D572=""),0,IF(COUNTIF($D$2:D572,D572)=1,SUMIF($D$2:$D$5001,D572,$H$2:$H$5001)+ROW()/10000000,0))</f>
        <v>0</v>
      </c>
      <c r="Q572" s="47" t="n">
        <f aca="false">IF(OR($A572="",C572=""),0,IF(COUNTIF($C$2:C572,C572)=1,SUMIF($C$2:$C$5001,C572,$H$2:$H$5001)+ROW()/10000000,0))</f>
        <v>0</v>
      </c>
    </row>
    <row r="573" customFormat="false" ht="15" hidden="false" customHeight="false" outlineLevel="0" collapsed="false">
      <c r="A573" s="43"/>
      <c r="B573" s="44"/>
      <c r="C573" s="44"/>
      <c r="D573" s="44"/>
      <c r="E573" s="44"/>
      <c r="F573" s="44"/>
      <c r="G573" s="44"/>
      <c r="H573" s="46" t="str">
        <f aca="false">IF($A573="","",IF(OR(NOT(ISNUMBER(E573)),NOT(ISNUMBER(F573))),"",MAX(0,E573)*F573))</f>
        <v/>
      </c>
      <c r="I573" s="46" t="str">
        <f aca="false">IF($A573="","",SUMIF($A$2:$A$5001,$A573,$H$2:$H$5001))</f>
        <v/>
      </c>
      <c r="J573" s="47" t="n">
        <f aca="false">IF($A573="",0,IF(COUNTIF($A$2:A573,$A573)=1,1,0))</f>
        <v>0</v>
      </c>
      <c r="K573" s="47" t="n">
        <f aca="false">IF(J573=1,N(I573)+ROW()/10000000,0)</f>
        <v>0</v>
      </c>
      <c r="L573" s="47" t="str">
        <f aca="false">IF(AND(J573=1,N(I573)&gt;0),SUMIF($K$2:$K$5001,"&gt;="&amp;K573,$I$2:$I$5001)/MAX(1,SUM($H$2:$H$5001)),"")</f>
        <v/>
      </c>
      <c r="M573" s="47" t="str">
        <f aca="false">IF($A573="","",INDEX($L$2:$L$5001,MATCH($A573,$A$2:$A$5001,0)))</f>
        <v/>
      </c>
      <c r="N573" s="48" t="str">
        <f aca="false">IF($A573="","",IF(N(M573)=0,"–",IF(M573&lt;=Start!$D$20,"A",IF(M573&lt;=Start!$D$21,"B","C"))))</f>
        <v/>
      </c>
      <c r="O573" s="48" t="str">
        <f aca="false">IF($A573="","",IF(NOT(ISNUMBER(F573)),"Wert fehlt; ",IF(F573&lt;=0,"Wert ist 0; ",""))&amp;IF(NOT(ISNUMBER(E573)),"Bestand fehlt; ",IF(E573&lt;0,"Bestand negativ; ",IF(E573=0,"Nullbestand; ","")))&amp;IF(D573="","Warengruppe fehlt; ","")&amp;IF(B573="","Bezeichnung fehlt; ","")&amp;IF(COUNTIFS($A$2:$A$5001,$A573,$C$2:$C$5001,C573)&gt;1,"Artikel doppelt im selben Lager; ",""))</f>
        <v/>
      </c>
      <c r="P573" s="47" t="n">
        <f aca="false">IF(OR($A573="",D573=""),0,IF(COUNTIF($D$2:D573,D573)=1,SUMIF($D$2:$D$5001,D573,$H$2:$H$5001)+ROW()/10000000,0))</f>
        <v>0</v>
      </c>
      <c r="Q573" s="47" t="n">
        <f aca="false">IF(OR($A573="",C573=""),0,IF(COUNTIF($C$2:C573,C573)=1,SUMIF($C$2:$C$5001,C573,$H$2:$H$5001)+ROW()/10000000,0))</f>
        <v>0</v>
      </c>
    </row>
    <row r="574" customFormat="false" ht="15" hidden="false" customHeight="false" outlineLevel="0" collapsed="false">
      <c r="A574" s="43"/>
      <c r="B574" s="44"/>
      <c r="C574" s="44"/>
      <c r="D574" s="44"/>
      <c r="E574" s="44"/>
      <c r="F574" s="44"/>
      <c r="G574" s="44"/>
      <c r="H574" s="46" t="str">
        <f aca="false">IF($A574="","",IF(OR(NOT(ISNUMBER(E574)),NOT(ISNUMBER(F574))),"",MAX(0,E574)*F574))</f>
        <v/>
      </c>
      <c r="I574" s="46" t="str">
        <f aca="false">IF($A574="","",SUMIF($A$2:$A$5001,$A574,$H$2:$H$5001))</f>
        <v/>
      </c>
      <c r="J574" s="47" t="n">
        <f aca="false">IF($A574="",0,IF(COUNTIF($A$2:A574,$A574)=1,1,0))</f>
        <v>0</v>
      </c>
      <c r="K574" s="47" t="n">
        <f aca="false">IF(J574=1,N(I574)+ROW()/10000000,0)</f>
        <v>0</v>
      </c>
      <c r="L574" s="47" t="str">
        <f aca="false">IF(AND(J574=1,N(I574)&gt;0),SUMIF($K$2:$K$5001,"&gt;="&amp;K574,$I$2:$I$5001)/MAX(1,SUM($H$2:$H$5001)),"")</f>
        <v/>
      </c>
      <c r="M574" s="47" t="str">
        <f aca="false">IF($A574="","",INDEX($L$2:$L$5001,MATCH($A574,$A$2:$A$5001,0)))</f>
        <v/>
      </c>
      <c r="N574" s="48" t="str">
        <f aca="false">IF($A574="","",IF(N(M574)=0,"–",IF(M574&lt;=Start!$D$20,"A",IF(M574&lt;=Start!$D$21,"B","C"))))</f>
        <v/>
      </c>
      <c r="O574" s="48" t="str">
        <f aca="false">IF($A574="","",IF(NOT(ISNUMBER(F574)),"Wert fehlt; ",IF(F574&lt;=0,"Wert ist 0; ",""))&amp;IF(NOT(ISNUMBER(E574)),"Bestand fehlt; ",IF(E574&lt;0,"Bestand negativ; ",IF(E574=0,"Nullbestand; ","")))&amp;IF(D574="","Warengruppe fehlt; ","")&amp;IF(B574="","Bezeichnung fehlt; ","")&amp;IF(COUNTIFS($A$2:$A$5001,$A574,$C$2:$C$5001,C574)&gt;1,"Artikel doppelt im selben Lager; ",""))</f>
        <v/>
      </c>
      <c r="P574" s="47" t="n">
        <f aca="false">IF(OR($A574="",D574=""),0,IF(COUNTIF($D$2:D574,D574)=1,SUMIF($D$2:$D$5001,D574,$H$2:$H$5001)+ROW()/10000000,0))</f>
        <v>0</v>
      </c>
      <c r="Q574" s="47" t="n">
        <f aca="false">IF(OR($A574="",C574=""),0,IF(COUNTIF($C$2:C574,C574)=1,SUMIF($C$2:$C$5001,C574,$H$2:$H$5001)+ROW()/10000000,0))</f>
        <v>0</v>
      </c>
    </row>
    <row r="575" customFormat="false" ht="15" hidden="false" customHeight="false" outlineLevel="0" collapsed="false">
      <c r="A575" s="43"/>
      <c r="B575" s="44"/>
      <c r="C575" s="44"/>
      <c r="D575" s="44"/>
      <c r="E575" s="44"/>
      <c r="F575" s="44"/>
      <c r="G575" s="44"/>
      <c r="H575" s="46" t="str">
        <f aca="false">IF($A575="","",IF(OR(NOT(ISNUMBER(E575)),NOT(ISNUMBER(F575))),"",MAX(0,E575)*F575))</f>
        <v/>
      </c>
      <c r="I575" s="46" t="str">
        <f aca="false">IF($A575="","",SUMIF($A$2:$A$5001,$A575,$H$2:$H$5001))</f>
        <v/>
      </c>
      <c r="J575" s="47" t="n">
        <f aca="false">IF($A575="",0,IF(COUNTIF($A$2:A575,$A575)=1,1,0))</f>
        <v>0</v>
      </c>
      <c r="K575" s="47" t="n">
        <f aca="false">IF(J575=1,N(I575)+ROW()/10000000,0)</f>
        <v>0</v>
      </c>
      <c r="L575" s="47" t="str">
        <f aca="false">IF(AND(J575=1,N(I575)&gt;0),SUMIF($K$2:$K$5001,"&gt;="&amp;K575,$I$2:$I$5001)/MAX(1,SUM($H$2:$H$5001)),"")</f>
        <v/>
      </c>
      <c r="M575" s="47" t="str">
        <f aca="false">IF($A575="","",INDEX($L$2:$L$5001,MATCH($A575,$A$2:$A$5001,0)))</f>
        <v/>
      </c>
      <c r="N575" s="48" t="str">
        <f aca="false">IF($A575="","",IF(N(M575)=0,"–",IF(M575&lt;=Start!$D$20,"A",IF(M575&lt;=Start!$D$21,"B","C"))))</f>
        <v/>
      </c>
      <c r="O575" s="48" t="str">
        <f aca="false">IF($A575="","",IF(NOT(ISNUMBER(F575)),"Wert fehlt; ",IF(F575&lt;=0,"Wert ist 0; ",""))&amp;IF(NOT(ISNUMBER(E575)),"Bestand fehlt; ",IF(E575&lt;0,"Bestand negativ; ",IF(E575=0,"Nullbestand; ","")))&amp;IF(D575="","Warengruppe fehlt; ","")&amp;IF(B575="","Bezeichnung fehlt; ","")&amp;IF(COUNTIFS($A$2:$A$5001,$A575,$C$2:$C$5001,C575)&gt;1,"Artikel doppelt im selben Lager; ",""))</f>
        <v/>
      </c>
      <c r="P575" s="47" t="n">
        <f aca="false">IF(OR($A575="",D575=""),0,IF(COUNTIF($D$2:D575,D575)=1,SUMIF($D$2:$D$5001,D575,$H$2:$H$5001)+ROW()/10000000,0))</f>
        <v>0</v>
      </c>
      <c r="Q575" s="47" t="n">
        <f aca="false">IF(OR($A575="",C575=""),0,IF(COUNTIF($C$2:C575,C575)=1,SUMIF($C$2:$C$5001,C575,$H$2:$H$5001)+ROW()/10000000,0))</f>
        <v>0</v>
      </c>
    </row>
    <row r="576" customFormat="false" ht="15" hidden="false" customHeight="false" outlineLevel="0" collapsed="false">
      <c r="A576" s="43"/>
      <c r="B576" s="44"/>
      <c r="C576" s="44"/>
      <c r="D576" s="44"/>
      <c r="E576" s="44"/>
      <c r="F576" s="44"/>
      <c r="G576" s="44"/>
      <c r="H576" s="46" t="str">
        <f aca="false">IF($A576="","",IF(OR(NOT(ISNUMBER(E576)),NOT(ISNUMBER(F576))),"",MAX(0,E576)*F576))</f>
        <v/>
      </c>
      <c r="I576" s="46" t="str">
        <f aca="false">IF($A576="","",SUMIF($A$2:$A$5001,$A576,$H$2:$H$5001))</f>
        <v/>
      </c>
      <c r="J576" s="47" t="n">
        <f aca="false">IF($A576="",0,IF(COUNTIF($A$2:A576,$A576)=1,1,0))</f>
        <v>0</v>
      </c>
      <c r="K576" s="47" t="n">
        <f aca="false">IF(J576=1,N(I576)+ROW()/10000000,0)</f>
        <v>0</v>
      </c>
      <c r="L576" s="47" t="str">
        <f aca="false">IF(AND(J576=1,N(I576)&gt;0),SUMIF($K$2:$K$5001,"&gt;="&amp;K576,$I$2:$I$5001)/MAX(1,SUM($H$2:$H$5001)),"")</f>
        <v/>
      </c>
      <c r="M576" s="47" t="str">
        <f aca="false">IF($A576="","",INDEX($L$2:$L$5001,MATCH($A576,$A$2:$A$5001,0)))</f>
        <v/>
      </c>
      <c r="N576" s="48" t="str">
        <f aca="false">IF($A576="","",IF(N(M576)=0,"–",IF(M576&lt;=Start!$D$20,"A",IF(M576&lt;=Start!$D$21,"B","C"))))</f>
        <v/>
      </c>
      <c r="O576" s="48" t="str">
        <f aca="false">IF($A576="","",IF(NOT(ISNUMBER(F576)),"Wert fehlt; ",IF(F576&lt;=0,"Wert ist 0; ",""))&amp;IF(NOT(ISNUMBER(E576)),"Bestand fehlt; ",IF(E576&lt;0,"Bestand negativ; ",IF(E576=0,"Nullbestand; ","")))&amp;IF(D576="","Warengruppe fehlt; ","")&amp;IF(B576="","Bezeichnung fehlt; ","")&amp;IF(COUNTIFS($A$2:$A$5001,$A576,$C$2:$C$5001,C576)&gt;1,"Artikel doppelt im selben Lager; ",""))</f>
        <v/>
      </c>
      <c r="P576" s="47" t="n">
        <f aca="false">IF(OR($A576="",D576=""),0,IF(COUNTIF($D$2:D576,D576)=1,SUMIF($D$2:$D$5001,D576,$H$2:$H$5001)+ROW()/10000000,0))</f>
        <v>0</v>
      </c>
      <c r="Q576" s="47" t="n">
        <f aca="false">IF(OR($A576="",C576=""),0,IF(COUNTIF($C$2:C576,C576)=1,SUMIF($C$2:$C$5001,C576,$H$2:$H$5001)+ROW()/10000000,0))</f>
        <v>0</v>
      </c>
    </row>
    <row r="577" customFormat="false" ht="15" hidden="false" customHeight="false" outlineLevel="0" collapsed="false">
      <c r="A577" s="43"/>
      <c r="B577" s="44"/>
      <c r="C577" s="44"/>
      <c r="D577" s="44"/>
      <c r="E577" s="44"/>
      <c r="F577" s="44"/>
      <c r="G577" s="44"/>
      <c r="H577" s="46" t="str">
        <f aca="false">IF($A577="","",IF(OR(NOT(ISNUMBER(E577)),NOT(ISNUMBER(F577))),"",MAX(0,E577)*F577))</f>
        <v/>
      </c>
      <c r="I577" s="46" t="str">
        <f aca="false">IF($A577="","",SUMIF($A$2:$A$5001,$A577,$H$2:$H$5001))</f>
        <v/>
      </c>
      <c r="J577" s="47" t="n">
        <f aca="false">IF($A577="",0,IF(COUNTIF($A$2:A577,$A577)=1,1,0))</f>
        <v>0</v>
      </c>
      <c r="K577" s="47" t="n">
        <f aca="false">IF(J577=1,N(I577)+ROW()/10000000,0)</f>
        <v>0</v>
      </c>
      <c r="L577" s="47" t="str">
        <f aca="false">IF(AND(J577=1,N(I577)&gt;0),SUMIF($K$2:$K$5001,"&gt;="&amp;K577,$I$2:$I$5001)/MAX(1,SUM($H$2:$H$5001)),"")</f>
        <v/>
      </c>
      <c r="M577" s="47" t="str">
        <f aca="false">IF($A577="","",INDEX($L$2:$L$5001,MATCH($A577,$A$2:$A$5001,0)))</f>
        <v/>
      </c>
      <c r="N577" s="48" t="str">
        <f aca="false">IF($A577="","",IF(N(M577)=0,"–",IF(M577&lt;=Start!$D$20,"A",IF(M577&lt;=Start!$D$21,"B","C"))))</f>
        <v/>
      </c>
      <c r="O577" s="48" t="str">
        <f aca="false">IF($A577="","",IF(NOT(ISNUMBER(F577)),"Wert fehlt; ",IF(F577&lt;=0,"Wert ist 0; ",""))&amp;IF(NOT(ISNUMBER(E577)),"Bestand fehlt; ",IF(E577&lt;0,"Bestand negativ; ",IF(E577=0,"Nullbestand; ","")))&amp;IF(D577="","Warengruppe fehlt; ","")&amp;IF(B577="","Bezeichnung fehlt; ","")&amp;IF(COUNTIFS($A$2:$A$5001,$A577,$C$2:$C$5001,C577)&gt;1,"Artikel doppelt im selben Lager; ",""))</f>
        <v/>
      </c>
      <c r="P577" s="47" t="n">
        <f aca="false">IF(OR($A577="",D577=""),0,IF(COUNTIF($D$2:D577,D577)=1,SUMIF($D$2:$D$5001,D577,$H$2:$H$5001)+ROW()/10000000,0))</f>
        <v>0</v>
      </c>
      <c r="Q577" s="47" t="n">
        <f aca="false">IF(OR($A577="",C577=""),0,IF(COUNTIF($C$2:C577,C577)=1,SUMIF($C$2:$C$5001,C577,$H$2:$H$5001)+ROW()/10000000,0))</f>
        <v>0</v>
      </c>
    </row>
    <row r="578" customFormat="false" ht="15" hidden="false" customHeight="false" outlineLevel="0" collapsed="false">
      <c r="A578" s="43"/>
      <c r="B578" s="44"/>
      <c r="C578" s="44"/>
      <c r="D578" s="44"/>
      <c r="E578" s="44"/>
      <c r="F578" s="44"/>
      <c r="G578" s="44"/>
      <c r="H578" s="46" t="str">
        <f aca="false">IF($A578="","",IF(OR(NOT(ISNUMBER(E578)),NOT(ISNUMBER(F578))),"",MAX(0,E578)*F578))</f>
        <v/>
      </c>
      <c r="I578" s="46" t="str">
        <f aca="false">IF($A578="","",SUMIF($A$2:$A$5001,$A578,$H$2:$H$5001))</f>
        <v/>
      </c>
      <c r="J578" s="47" t="n">
        <f aca="false">IF($A578="",0,IF(COUNTIF($A$2:A578,$A578)=1,1,0))</f>
        <v>0</v>
      </c>
      <c r="K578" s="47" t="n">
        <f aca="false">IF(J578=1,N(I578)+ROW()/10000000,0)</f>
        <v>0</v>
      </c>
      <c r="L578" s="47" t="str">
        <f aca="false">IF(AND(J578=1,N(I578)&gt;0),SUMIF($K$2:$K$5001,"&gt;="&amp;K578,$I$2:$I$5001)/MAX(1,SUM($H$2:$H$5001)),"")</f>
        <v/>
      </c>
      <c r="M578" s="47" t="str">
        <f aca="false">IF($A578="","",INDEX($L$2:$L$5001,MATCH($A578,$A$2:$A$5001,0)))</f>
        <v/>
      </c>
      <c r="N578" s="48" t="str">
        <f aca="false">IF($A578="","",IF(N(M578)=0,"–",IF(M578&lt;=Start!$D$20,"A",IF(M578&lt;=Start!$D$21,"B","C"))))</f>
        <v/>
      </c>
      <c r="O578" s="48" t="str">
        <f aca="false">IF($A578="","",IF(NOT(ISNUMBER(F578)),"Wert fehlt; ",IF(F578&lt;=0,"Wert ist 0; ",""))&amp;IF(NOT(ISNUMBER(E578)),"Bestand fehlt; ",IF(E578&lt;0,"Bestand negativ; ",IF(E578=0,"Nullbestand; ","")))&amp;IF(D578="","Warengruppe fehlt; ","")&amp;IF(B578="","Bezeichnung fehlt; ","")&amp;IF(COUNTIFS($A$2:$A$5001,$A578,$C$2:$C$5001,C578)&gt;1,"Artikel doppelt im selben Lager; ",""))</f>
        <v/>
      </c>
      <c r="P578" s="47" t="n">
        <f aca="false">IF(OR($A578="",D578=""),0,IF(COUNTIF($D$2:D578,D578)=1,SUMIF($D$2:$D$5001,D578,$H$2:$H$5001)+ROW()/10000000,0))</f>
        <v>0</v>
      </c>
      <c r="Q578" s="47" t="n">
        <f aca="false">IF(OR($A578="",C578=""),0,IF(COUNTIF($C$2:C578,C578)=1,SUMIF($C$2:$C$5001,C578,$H$2:$H$5001)+ROW()/10000000,0))</f>
        <v>0</v>
      </c>
    </row>
    <row r="579" customFormat="false" ht="15" hidden="false" customHeight="false" outlineLevel="0" collapsed="false">
      <c r="A579" s="43"/>
      <c r="B579" s="44"/>
      <c r="C579" s="44"/>
      <c r="D579" s="44"/>
      <c r="E579" s="44"/>
      <c r="F579" s="44"/>
      <c r="G579" s="44"/>
      <c r="H579" s="46" t="str">
        <f aca="false">IF($A579="","",IF(OR(NOT(ISNUMBER(E579)),NOT(ISNUMBER(F579))),"",MAX(0,E579)*F579))</f>
        <v/>
      </c>
      <c r="I579" s="46" t="str">
        <f aca="false">IF($A579="","",SUMIF($A$2:$A$5001,$A579,$H$2:$H$5001))</f>
        <v/>
      </c>
      <c r="J579" s="47" t="n">
        <f aca="false">IF($A579="",0,IF(COUNTIF($A$2:A579,$A579)=1,1,0))</f>
        <v>0</v>
      </c>
      <c r="K579" s="47" t="n">
        <f aca="false">IF(J579=1,N(I579)+ROW()/10000000,0)</f>
        <v>0</v>
      </c>
      <c r="L579" s="47" t="str">
        <f aca="false">IF(AND(J579=1,N(I579)&gt;0),SUMIF($K$2:$K$5001,"&gt;="&amp;K579,$I$2:$I$5001)/MAX(1,SUM($H$2:$H$5001)),"")</f>
        <v/>
      </c>
      <c r="M579" s="47" t="str">
        <f aca="false">IF($A579="","",INDEX($L$2:$L$5001,MATCH($A579,$A$2:$A$5001,0)))</f>
        <v/>
      </c>
      <c r="N579" s="48" t="str">
        <f aca="false">IF($A579="","",IF(N(M579)=0,"–",IF(M579&lt;=Start!$D$20,"A",IF(M579&lt;=Start!$D$21,"B","C"))))</f>
        <v/>
      </c>
      <c r="O579" s="48" t="str">
        <f aca="false">IF($A579="","",IF(NOT(ISNUMBER(F579)),"Wert fehlt; ",IF(F579&lt;=0,"Wert ist 0; ",""))&amp;IF(NOT(ISNUMBER(E579)),"Bestand fehlt; ",IF(E579&lt;0,"Bestand negativ; ",IF(E579=0,"Nullbestand; ","")))&amp;IF(D579="","Warengruppe fehlt; ","")&amp;IF(B579="","Bezeichnung fehlt; ","")&amp;IF(COUNTIFS($A$2:$A$5001,$A579,$C$2:$C$5001,C579)&gt;1,"Artikel doppelt im selben Lager; ",""))</f>
        <v/>
      </c>
      <c r="P579" s="47" t="n">
        <f aca="false">IF(OR($A579="",D579=""),0,IF(COUNTIF($D$2:D579,D579)=1,SUMIF($D$2:$D$5001,D579,$H$2:$H$5001)+ROW()/10000000,0))</f>
        <v>0</v>
      </c>
      <c r="Q579" s="47" t="n">
        <f aca="false">IF(OR($A579="",C579=""),0,IF(COUNTIF($C$2:C579,C579)=1,SUMIF($C$2:$C$5001,C579,$H$2:$H$5001)+ROW()/10000000,0))</f>
        <v>0</v>
      </c>
    </row>
    <row r="580" customFormat="false" ht="15" hidden="false" customHeight="false" outlineLevel="0" collapsed="false">
      <c r="A580" s="43"/>
      <c r="B580" s="44"/>
      <c r="C580" s="44"/>
      <c r="D580" s="44"/>
      <c r="E580" s="44"/>
      <c r="F580" s="44"/>
      <c r="G580" s="44"/>
      <c r="H580" s="46" t="str">
        <f aca="false">IF($A580="","",IF(OR(NOT(ISNUMBER(E580)),NOT(ISNUMBER(F580))),"",MAX(0,E580)*F580))</f>
        <v/>
      </c>
      <c r="I580" s="46" t="str">
        <f aca="false">IF($A580="","",SUMIF($A$2:$A$5001,$A580,$H$2:$H$5001))</f>
        <v/>
      </c>
      <c r="J580" s="47" t="n">
        <f aca="false">IF($A580="",0,IF(COUNTIF($A$2:A580,$A580)=1,1,0))</f>
        <v>0</v>
      </c>
      <c r="K580" s="47" t="n">
        <f aca="false">IF(J580=1,N(I580)+ROW()/10000000,0)</f>
        <v>0</v>
      </c>
      <c r="L580" s="47" t="str">
        <f aca="false">IF(AND(J580=1,N(I580)&gt;0),SUMIF($K$2:$K$5001,"&gt;="&amp;K580,$I$2:$I$5001)/MAX(1,SUM($H$2:$H$5001)),"")</f>
        <v/>
      </c>
      <c r="M580" s="47" t="str">
        <f aca="false">IF($A580="","",INDEX($L$2:$L$5001,MATCH($A580,$A$2:$A$5001,0)))</f>
        <v/>
      </c>
      <c r="N580" s="48" t="str">
        <f aca="false">IF($A580="","",IF(N(M580)=0,"–",IF(M580&lt;=Start!$D$20,"A",IF(M580&lt;=Start!$D$21,"B","C"))))</f>
        <v/>
      </c>
      <c r="O580" s="48" t="str">
        <f aca="false">IF($A580="","",IF(NOT(ISNUMBER(F580)),"Wert fehlt; ",IF(F580&lt;=0,"Wert ist 0; ",""))&amp;IF(NOT(ISNUMBER(E580)),"Bestand fehlt; ",IF(E580&lt;0,"Bestand negativ; ",IF(E580=0,"Nullbestand; ","")))&amp;IF(D580="","Warengruppe fehlt; ","")&amp;IF(B580="","Bezeichnung fehlt; ","")&amp;IF(COUNTIFS($A$2:$A$5001,$A580,$C$2:$C$5001,C580)&gt;1,"Artikel doppelt im selben Lager; ",""))</f>
        <v/>
      </c>
      <c r="P580" s="47" t="n">
        <f aca="false">IF(OR($A580="",D580=""),0,IF(COUNTIF($D$2:D580,D580)=1,SUMIF($D$2:$D$5001,D580,$H$2:$H$5001)+ROW()/10000000,0))</f>
        <v>0</v>
      </c>
      <c r="Q580" s="47" t="n">
        <f aca="false">IF(OR($A580="",C580=""),0,IF(COUNTIF($C$2:C580,C580)=1,SUMIF($C$2:$C$5001,C580,$H$2:$H$5001)+ROW()/10000000,0))</f>
        <v>0</v>
      </c>
    </row>
    <row r="581" customFormat="false" ht="15" hidden="false" customHeight="false" outlineLevel="0" collapsed="false">
      <c r="A581" s="43"/>
      <c r="B581" s="44"/>
      <c r="C581" s="44"/>
      <c r="D581" s="44"/>
      <c r="E581" s="44"/>
      <c r="F581" s="44"/>
      <c r="G581" s="44"/>
      <c r="H581" s="46" t="str">
        <f aca="false">IF($A581="","",IF(OR(NOT(ISNUMBER(E581)),NOT(ISNUMBER(F581))),"",MAX(0,E581)*F581))</f>
        <v/>
      </c>
      <c r="I581" s="46" t="str">
        <f aca="false">IF($A581="","",SUMIF($A$2:$A$5001,$A581,$H$2:$H$5001))</f>
        <v/>
      </c>
      <c r="J581" s="47" t="n">
        <f aca="false">IF($A581="",0,IF(COUNTIF($A$2:A581,$A581)=1,1,0))</f>
        <v>0</v>
      </c>
      <c r="K581" s="47" t="n">
        <f aca="false">IF(J581=1,N(I581)+ROW()/10000000,0)</f>
        <v>0</v>
      </c>
      <c r="L581" s="47" t="str">
        <f aca="false">IF(AND(J581=1,N(I581)&gt;0),SUMIF($K$2:$K$5001,"&gt;="&amp;K581,$I$2:$I$5001)/MAX(1,SUM($H$2:$H$5001)),"")</f>
        <v/>
      </c>
      <c r="M581" s="47" t="str">
        <f aca="false">IF($A581="","",INDEX($L$2:$L$5001,MATCH($A581,$A$2:$A$5001,0)))</f>
        <v/>
      </c>
      <c r="N581" s="48" t="str">
        <f aca="false">IF($A581="","",IF(N(M581)=0,"–",IF(M581&lt;=Start!$D$20,"A",IF(M581&lt;=Start!$D$21,"B","C"))))</f>
        <v/>
      </c>
      <c r="O581" s="48" t="str">
        <f aca="false">IF($A581="","",IF(NOT(ISNUMBER(F581)),"Wert fehlt; ",IF(F581&lt;=0,"Wert ist 0; ",""))&amp;IF(NOT(ISNUMBER(E581)),"Bestand fehlt; ",IF(E581&lt;0,"Bestand negativ; ",IF(E581=0,"Nullbestand; ","")))&amp;IF(D581="","Warengruppe fehlt; ","")&amp;IF(B581="","Bezeichnung fehlt; ","")&amp;IF(COUNTIFS($A$2:$A$5001,$A581,$C$2:$C$5001,C581)&gt;1,"Artikel doppelt im selben Lager; ",""))</f>
        <v/>
      </c>
      <c r="P581" s="47" t="n">
        <f aca="false">IF(OR($A581="",D581=""),0,IF(COUNTIF($D$2:D581,D581)=1,SUMIF($D$2:$D$5001,D581,$H$2:$H$5001)+ROW()/10000000,0))</f>
        <v>0</v>
      </c>
      <c r="Q581" s="47" t="n">
        <f aca="false">IF(OR($A581="",C581=""),0,IF(COUNTIF($C$2:C581,C581)=1,SUMIF($C$2:$C$5001,C581,$H$2:$H$5001)+ROW()/10000000,0))</f>
        <v>0</v>
      </c>
    </row>
    <row r="582" customFormat="false" ht="15" hidden="false" customHeight="false" outlineLevel="0" collapsed="false">
      <c r="A582" s="43"/>
      <c r="B582" s="44"/>
      <c r="C582" s="44"/>
      <c r="D582" s="44"/>
      <c r="E582" s="44"/>
      <c r="F582" s="44"/>
      <c r="G582" s="44"/>
      <c r="H582" s="46" t="str">
        <f aca="false">IF($A582="","",IF(OR(NOT(ISNUMBER(E582)),NOT(ISNUMBER(F582))),"",MAX(0,E582)*F582))</f>
        <v/>
      </c>
      <c r="I582" s="46" t="str">
        <f aca="false">IF($A582="","",SUMIF($A$2:$A$5001,$A582,$H$2:$H$5001))</f>
        <v/>
      </c>
      <c r="J582" s="47" t="n">
        <f aca="false">IF($A582="",0,IF(COUNTIF($A$2:A582,$A582)=1,1,0))</f>
        <v>0</v>
      </c>
      <c r="K582" s="47" t="n">
        <f aca="false">IF(J582=1,N(I582)+ROW()/10000000,0)</f>
        <v>0</v>
      </c>
      <c r="L582" s="47" t="str">
        <f aca="false">IF(AND(J582=1,N(I582)&gt;0),SUMIF($K$2:$K$5001,"&gt;="&amp;K582,$I$2:$I$5001)/MAX(1,SUM($H$2:$H$5001)),"")</f>
        <v/>
      </c>
      <c r="M582" s="47" t="str">
        <f aca="false">IF($A582="","",INDEX($L$2:$L$5001,MATCH($A582,$A$2:$A$5001,0)))</f>
        <v/>
      </c>
      <c r="N582" s="48" t="str">
        <f aca="false">IF($A582="","",IF(N(M582)=0,"–",IF(M582&lt;=Start!$D$20,"A",IF(M582&lt;=Start!$D$21,"B","C"))))</f>
        <v/>
      </c>
      <c r="O582" s="48" t="str">
        <f aca="false">IF($A582="","",IF(NOT(ISNUMBER(F582)),"Wert fehlt; ",IF(F582&lt;=0,"Wert ist 0; ",""))&amp;IF(NOT(ISNUMBER(E582)),"Bestand fehlt; ",IF(E582&lt;0,"Bestand negativ; ",IF(E582=0,"Nullbestand; ","")))&amp;IF(D582="","Warengruppe fehlt; ","")&amp;IF(B582="","Bezeichnung fehlt; ","")&amp;IF(COUNTIFS($A$2:$A$5001,$A582,$C$2:$C$5001,C582)&gt;1,"Artikel doppelt im selben Lager; ",""))</f>
        <v/>
      </c>
      <c r="P582" s="47" t="n">
        <f aca="false">IF(OR($A582="",D582=""),0,IF(COUNTIF($D$2:D582,D582)=1,SUMIF($D$2:$D$5001,D582,$H$2:$H$5001)+ROW()/10000000,0))</f>
        <v>0</v>
      </c>
      <c r="Q582" s="47" t="n">
        <f aca="false">IF(OR($A582="",C582=""),0,IF(COUNTIF($C$2:C582,C582)=1,SUMIF($C$2:$C$5001,C582,$H$2:$H$5001)+ROW()/10000000,0))</f>
        <v>0</v>
      </c>
    </row>
    <row r="583" customFormat="false" ht="15" hidden="false" customHeight="false" outlineLevel="0" collapsed="false">
      <c r="A583" s="43"/>
      <c r="B583" s="44"/>
      <c r="C583" s="44"/>
      <c r="D583" s="44"/>
      <c r="E583" s="44"/>
      <c r="F583" s="44"/>
      <c r="G583" s="44"/>
      <c r="H583" s="46" t="str">
        <f aca="false">IF($A583="","",IF(OR(NOT(ISNUMBER(E583)),NOT(ISNUMBER(F583))),"",MAX(0,E583)*F583))</f>
        <v/>
      </c>
      <c r="I583" s="46" t="str">
        <f aca="false">IF($A583="","",SUMIF($A$2:$A$5001,$A583,$H$2:$H$5001))</f>
        <v/>
      </c>
      <c r="J583" s="47" t="n">
        <f aca="false">IF($A583="",0,IF(COUNTIF($A$2:A583,$A583)=1,1,0))</f>
        <v>0</v>
      </c>
      <c r="K583" s="47" t="n">
        <f aca="false">IF(J583=1,N(I583)+ROW()/10000000,0)</f>
        <v>0</v>
      </c>
      <c r="L583" s="47" t="str">
        <f aca="false">IF(AND(J583=1,N(I583)&gt;0),SUMIF($K$2:$K$5001,"&gt;="&amp;K583,$I$2:$I$5001)/MAX(1,SUM($H$2:$H$5001)),"")</f>
        <v/>
      </c>
      <c r="M583" s="47" t="str">
        <f aca="false">IF($A583="","",INDEX($L$2:$L$5001,MATCH($A583,$A$2:$A$5001,0)))</f>
        <v/>
      </c>
      <c r="N583" s="48" t="str">
        <f aca="false">IF($A583="","",IF(N(M583)=0,"–",IF(M583&lt;=Start!$D$20,"A",IF(M583&lt;=Start!$D$21,"B","C"))))</f>
        <v/>
      </c>
      <c r="O583" s="48" t="str">
        <f aca="false">IF($A583="","",IF(NOT(ISNUMBER(F583)),"Wert fehlt; ",IF(F583&lt;=0,"Wert ist 0; ",""))&amp;IF(NOT(ISNUMBER(E583)),"Bestand fehlt; ",IF(E583&lt;0,"Bestand negativ; ",IF(E583=0,"Nullbestand; ","")))&amp;IF(D583="","Warengruppe fehlt; ","")&amp;IF(B583="","Bezeichnung fehlt; ","")&amp;IF(COUNTIFS($A$2:$A$5001,$A583,$C$2:$C$5001,C583)&gt;1,"Artikel doppelt im selben Lager; ",""))</f>
        <v/>
      </c>
      <c r="P583" s="47" t="n">
        <f aca="false">IF(OR($A583="",D583=""),0,IF(COUNTIF($D$2:D583,D583)=1,SUMIF($D$2:$D$5001,D583,$H$2:$H$5001)+ROW()/10000000,0))</f>
        <v>0</v>
      </c>
      <c r="Q583" s="47" t="n">
        <f aca="false">IF(OR($A583="",C583=""),0,IF(COUNTIF($C$2:C583,C583)=1,SUMIF($C$2:$C$5001,C583,$H$2:$H$5001)+ROW()/10000000,0))</f>
        <v>0</v>
      </c>
    </row>
    <row r="584" customFormat="false" ht="15" hidden="false" customHeight="false" outlineLevel="0" collapsed="false">
      <c r="A584" s="43"/>
      <c r="B584" s="44"/>
      <c r="C584" s="44"/>
      <c r="D584" s="44"/>
      <c r="E584" s="44"/>
      <c r="F584" s="44"/>
      <c r="G584" s="44"/>
      <c r="H584" s="46" t="str">
        <f aca="false">IF($A584="","",IF(OR(NOT(ISNUMBER(E584)),NOT(ISNUMBER(F584))),"",MAX(0,E584)*F584))</f>
        <v/>
      </c>
      <c r="I584" s="46" t="str">
        <f aca="false">IF($A584="","",SUMIF($A$2:$A$5001,$A584,$H$2:$H$5001))</f>
        <v/>
      </c>
      <c r="J584" s="47" t="n">
        <f aca="false">IF($A584="",0,IF(COUNTIF($A$2:A584,$A584)=1,1,0))</f>
        <v>0</v>
      </c>
      <c r="K584" s="47" t="n">
        <f aca="false">IF(J584=1,N(I584)+ROW()/10000000,0)</f>
        <v>0</v>
      </c>
      <c r="L584" s="47" t="str">
        <f aca="false">IF(AND(J584=1,N(I584)&gt;0),SUMIF($K$2:$K$5001,"&gt;="&amp;K584,$I$2:$I$5001)/MAX(1,SUM($H$2:$H$5001)),"")</f>
        <v/>
      </c>
      <c r="M584" s="47" t="str">
        <f aca="false">IF($A584="","",INDEX($L$2:$L$5001,MATCH($A584,$A$2:$A$5001,0)))</f>
        <v/>
      </c>
      <c r="N584" s="48" t="str">
        <f aca="false">IF($A584="","",IF(N(M584)=0,"–",IF(M584&lt;=Start!$D$20,"A",IF(M584&lt;=Start!$D$21,"B","C"))))</f>
        <v/>
      </c>
      <c r="O584" s="48" t="str">
        <f aca="false">IF($A584="","",IF(NOT(ISNUMBER(F584)),"Wert fehlt; ",IF(F584&lt;=0,"Wert ist 0; ",""))&amp;IF(NOT(ISNUMBER(E584)),"Bestand fehlt; ",IF(E584&lt;0,"Bestand negativ; ",IF(E584=0,"Nullbestand; ","")))&amp;IF(D584="","Warengruppe fehlt; ","")&amp;IF(B584="","Bezeichnung fehlt; ","")&amp;IF(COUNTIFS($A$2:$A$5001,$A584,$C$2:$C$5001,C584)&gt;1,"Artikel doppelt im selben Lager; ",""))</f>
        <v/>
      </c>
      <c r="P584" s="47" t="n">
        <f aca="false">IF(OR($A584="",D584=""),0,IF(COUNTIF($D$2:D584,D584)=1,SUMIF($D$2:$D$5001,D584,$H$2:$H$5001)+ROW()/10000000,0))</f>
        <v>0</v>
      </c>
      <c r="Q584" s="47" t="n">
        <f aca="false">IF(OR($A584="",C584=""),0,IF(COUNTIF($C$2:C584,C584)=1,SUMIF($C$2:$C$5001,C584,$H$2:$H$5001)+ROW()/10000000,0))</f>
        <v>0</v>
      </c>
    </row>
    <row r="585" customFormat="false" ht="15" hidden="false" customHeight="false" outlineLevel="0" collapsed="false">
      <c r="A585" s="43"/>
      <c r="B585" s="44"/>
      <c r="C585" s="44"/>
      <c r="D585" s="44"/>
      <c r="E585" s="44"/>
      <c r="F585" s="44"/>
      <c r="G585" s="44"/>
      <c r="H585" s="46" t="str">
        <f aca="false">IF($A585="","",IF(OR(NOT(ISNUMBER(E585)),NOT(ISNUMBER(F585))),"",MAX(0,E585)*F585))</f>
        <v/>
      </c>
      <c r="I585" s="46" t="str">
        <f aca="false">IF($A585="","",SUMIF($A$2:$A$5001,$A585,$H$2:$H$5001))</f>
        <v/>
      </c>
      <c r="J585" s="47" t="n">
        <f aca="false">IF($A585="",0,IF(COUNTIF($A$2:A585,$A585)=1,1,0))</f>
        <v>0</v>
      </c>
      <c r="K585" s="47" t="n">
        <f aca="false">IF(J585=1,N(I585)+ROW()/10000000,0)</f>
        <v>0</v>
      </c>
      <c r="L585" s="47" t="str">
        <f aca="false">IF(AND(J585=1,N(I585)&gt;0),SUMIF($K$2:$K$5001,"&gt;="&amp;K585,$I$2:$I$5001)/MAX(1,SUM($H$2:$H$5001)),"")</f>
        <v/>
      </c>
      <c r="M585" s="47" t="str">
        <f aca="false">IF($A585="","",INDEX($L$2:$L$5001,MATCH($A585,$A$2:$A$5001,0)))</f>
        <v/>
      </c>
      <c r="N585" s="48" t="str">
        <f aca="false">IF($A585="","",IF(N(M585)=0,"–",IF(M585&lt;=Start!$D$20,"A",IF(M585&lt;=Start!$D$21,"B","C"))))</f>
        <v/>
      </c>
      <c r="O585" s="48" t="str">
        <f aca="false">IF($A585="","",IF(NOT(ISNUMBER(F585)),"Wert fehlt; ",IF(F585&lt;=0,"Wert ist 0; ",""))&amp;IF(NOT(ISNUMBER(E585)),"Bestand fehlt; ",IF(E585&lt;0,"Bestand negativ; ",IF(E585=0,"Nullbestand; ","")))&amp;IF(D585="","Warengruppe fehlt; ","")&amp;IF(B585="","Bezeichnung fehlt; ","")&amp;IF(COUNTIFS($A$2:$A$5001,$A585,$C$2:$C$5001,C585)&gt;1,"Artikel doppelt im selben Lager; ",""))</f>
        <v/>
      </c>
      <c r="P585" s="47" t="n">
        <f aca="false">IF(OR($A585="",D585=""),0,IF(COUNTIF($D$2:D585,D585)=1,SUMIF($D$2:$D$5001,D585,$H$2:$H$5001)+ROW()/10000000,0))</f>
        <v>0</v>
      </c>
      <c r="Q585" s="47" t="n">
        <f aca="false">IF(OR($A585="",C585=""),0,IF(COUNTIF($C$2:C585,C585)=1,SUMIF($C$2:$C$5001,C585,$H$2:$H$5001)+ROW()/10000000,0))</f>
        <v>0</v>
      </c>
    </row>
    <row r="586" customFormat="false" ht="15" hidden="false" customHeight="false" outlineLevel="0" collapsed="false">
      <c r="A586" s="43"/>
      <c r="B586" s="44"/>
      <c r="C586" s="44"/>
      <c r="D586" s="44"/>
      <c r="E586" s="44"/>
      <c r="F586" s="44"/>
      <c r="G586" s="44"/>
      <c r="H586" s="46" t="str">
        <f aca="false">IF($A586="","",IF(OR(NOT(ISNUMBER(E586)),NOT(ISNUMBER(F586))),"",MAX(0,E586)*F586))</f>
        <v/>
      </c>
      <c r="I586" s="46" t="str">
        <f aca="false">IF($A586="","",SUMIF($A$2:$A$5001,$A586,$H$2:$H$5001))</f>
        <v/>
      </c>
      <c r="J586" s="47" t="n">
        <f aca="false">IF($A586="",0,IF(COUNTIF($A$2:A586,$A586)=1,1,0))</f>
        <v>0</v>
      </c>
      <c r="K586" s="47" t="n">
        <f aca="false">IF(J586=1,N(I586)+ROW()/10000000,0)</f>
        <v>0</v>
      </c>
      <c r="L586" s="47" t="str">
        <f aca="false">IF(AND(J586=1,N(I586)&gt;0),SUMIF($K$2:$K$5001,"&gt;="&amp;K586,$I$2:$I$5001)/MAX(1,SUM($H$2:$H$5001)),"")</f>
        <v/>
      </c>
      <c r="M586" s="47" t="str">
        <f aca="false">IF($A586="","",INDEX($L$2:$L$5001,MATCH($A586,$A$2:$A$5001,0)))</f>
        <v/>
      </c>
      <c r="N586" s="48" t="str">
        <f aca="false">IF($A586="","",IF(N(M586)=0,"–",IF(M586&lt;=Start!$D$20,"A",IF(M586&lt;=Start!$D$21,"B","C"))))</f>
        <v/>
      </c>
      <c r="O586" s="48" t="str">
        <f aca="false">IF($A586="","",IF(NOT(ISNUMBER(F586)),"Wert fehlt; ",IF(F586&lt;=0,"Wert ist 0; ",""))&amp;IF(NOT(ISNUMBER(E586)),"Bestand fehlt; ",IF(E586&lt;0,"Bestand negativ; ",IF(E586=0,"Nullbestand; ","")))&amp;IF(D586="","Warengruppe fehlt; ","")&amp;IF(B586="","Bezeichnung fehlt; ","")&amp;IF(COUNTIFS($A$2:$A$5001,$A586,$C$2:$C$5001,C586)&gt;1,"Artikel doppelt im selben Lager; ",""))</f>
        <v/>
      </c>
      <c r="P586" s="47" t="n">
        <f aca="false">IF(OR($A586="",D586=""),0,IF(COUNTIF($D$2:D586,D586)=1,SUMIF($D$2:$D$5001,D586,$H$2:$H$5001)+ROW()/10000000,0))</f>
        <v>0</v>
      </c>
      <c r="Q586" s="47" t="n">
        <f aca="false">IF(OR($A586="",C586=""),0,IF(COUNTIF($C$2:C586,C586)=1,SUMIF($C$2:$C$5001,C586,$H$2:$H$5001)+ROW()/10000000,0))</f>
        <v>0</v>
      </c>
    </row>
    <row r="587" customFormat="false" ht="15" hidden="false" customHeight="false" outlineLevel="0" collapsed="false">
      <c r="A587" s="43"/>
      <c r="B587" s="44"/>
      <c r="C587" s="44"/>
      <c r="D587" s="44"/>
      <c r="E587" s="44"/>
      <c r="F587" s="44"/>
      <c r="G587" s="44"/>
      <c r="H587" s="46" t="str">
        <f aca="false">IF($A587="","",IF(OR(NOT(ISNUMBER(E587)),NOT(ISNUMBER(F587))),"",MAX(0,E587)*F587))</f>
        <v/>
      </c>
      <c r="I587" s="46" t="str">
        <f aca="false">IF($A587="","",SUMIF($A$2:$A$5001,$A587,$H$2:$H$5001))</f>
        <v/>
      </c>
      <c r="J587" s="47" t="n">
        <f aca="false">IF($A587="",0,IF(COUNTIF($A$2:A587,$A587)=1,1,0))</f>
        <v>0</v>
      </c>
      <c r="K587" s="47" t="n">
        <f aca="false">IF(J587=1,N(I587)+ROW()/10000000,0)</f>
        <v>0</v>
      </c>
      <c r="L587" s="47" t="str">
        <f aca="false">IF(AND(J587=1,N(I587)&gt;0),SUMIF($K$2:$K$5001,"&gt;="&amp;K587,$I$2:$I$5001)/MAX(1,SUM($H$2:$H$5001)),"")</f>
        <v/>
      </c>
      <c r="M587" s="47" t="str">
        <f aca="false">IF($A587="","",INDEX($L$2:$L$5001,MATCH($A587,$A$2:$A$5001,0)))</f>
        <v/>
      </c>
      <c r="N587" s="48" t="str">
        <f aca="false">IF($A587="","",IF(N(M587)=0,"–",IF(M587&lt;=Start!$D$20,"A",IF(M587&lt;=Start!$D$21,"B","C"))))</f>
        <v/>
      </c>
      <c r="O587" s="48" t="str">
        <f aca="false">IF($A587="","",IF(NOT(ISNUMBER(F587)),"Wert fehlt; ",IF(F587&lt;=0,"Wert ist 0; ",""))&amp;IF(NOT(ISNUMBER(E587)),"Bestand fehlt; ",IF(E587&lt;0,"Bestand negativ; ",IF(E587=0,"Nullbestand; ","")))&amp;IF(D587="","Warengruppe fehlt; ","")&amp;IF(B587="","Bezeichnung fehlt; ","")&amp;IF(COUNTIFS($A$2:$A$5001,$A587,$C$2:$C$5001,C587)&gt;1,"Artikel doppelt im selben Lager; ",""))</f>
        <v/>
      </c>
      <c r="P587" s="47" t="n">
        <f aca="false">IF(OR($A587="",D587=""),0,IF(COUNTIF($D$2:D587,D587)=1,SUMIF($D$2:$D$5001,D587,$H$2:$H$5001)+ROW()/10000000,0))</f>
        <v>0</v>
      </c>
      <c r="Q587" s="47" t="n">
        <f aca="false">IF(OR($A587="",C587=""),0,IF(COUNTIF($C$2:C587,C587)=1,SUMIF($C$2:$C$5001,C587,$H$2:$H$5001)+ROW()/10000000,0))</f>
        <v>0</v>
      </c>
    </row>
    <row r="588" customFormat="false" ht="15" hidden="false" customHeight="false" outlineLevel="0" collapsed="false">
      <c r="A588" s="43"/>
      <c r="B588" s="44"/>
      <c r="C588" s="44"/>
      <c r="D588" s="44"/>
      <c r="E588" s="44"/>
      <c r="F588" s="44"/>
      <c r="G588" s="44"/>
      <c r="H588" s="46" t="str">
        <f aca="false">IF($A588="","",IF(OR(NOT(ISNUMBER(E588)),NOT(ISNUMBER(F588))),"",MAX(0,E588)*F588))</f>
        <v/>
      </c>
      <c r="I588" s="46" t="str">
        <f aca="false">IF($A588="","",SUMIF($A$2:$A$5001,$A588,$H$2:$H$5001))</f>
        <v/>
      </c>
      <c r="J588" s="47" t="n">
        <f aca="false">IF($A588="",0,IF(COUNTIF($A$2:A588,$A588)=1,1,0))</f>
        <v>0</v>
      </c>
      <c r="K588" s="47" t="n">
        <f aca="false">IF(J588=1,N(I588)+ROW()/10000000,0)</f>
        <v>0</v>
      </c>
      <c r="L588" s="47" t="str">
        <f aca="false">IF(AND(J588=1,N(I588)&gt;0),SUMIF($K$2:$K$5001,"&gt;="&amp;K588,$I$2:$I$5001)/MAX(1,SUM($H$2:$H$5001)),"")</f>
        <v/>
      </c>
      <c r="M588" s="47" t="str">
        <f aca="false">IF($A588="","",INDEX($L$2:$L$5001,MATCH($A588,$A$2:$A$5001,0)))</f>
        <v/>
      </c>
      <c r="N588" s="48" t="str">
        <f aca="false">IF($A588="","",IF(N(M588)=0,"–",IF(M588&lt;=Start!$D$20,"A",IF(M588&lt;=Start!$D$21,"B","C"))))</f>
        <v/>
      </c>
      <c r="O588" s="48" t="str">
        <f aca="false">IF($A588="","",IF(NOT(ISNUMBER(F588)),"Wert fehlt; ",IF(F588&lt;=0,"Wert ist 0; ",""))&amp;IF(NOT(ISNUMBER(E588)),"Bestand fehlt; ",IF(E588&lt;0,"Bestand negativ; ",IF(E588=0,"Nullbestand; ","")))&amp;IF(D588="","Warengruppe fehlt; ","")&amp;IF(B588="","Bezeichnung fehlt; ","")&amp;IF(COUNTIFS($A$2:$A$5001,$A588,$C$2:$C$5001,C588)&gt;1,"Artikel doppelt im selben Lager; ",""))</f>
        <v/>
      </c>
      <c r="P588" s="47" t="n">
        <f aca="false">IF(OR($A588="",D588=""),0,IF(COUNTIF($D$2:D588,D588)=1,SUMIF($D$2:$D$5001,D588,$H$2:$H$5001)+ROW()/10000000,0))</f>
        <v>0</v>
      </c>
      <c r="Q588" s="47" t="n">
        <f aca="false">IF(OR($A588="",C588=""),0,IF(COUNTIF($C$2:C588,C588)=1,SUMIF($C$2:$C$5001,C588,$H$2:$H$5001)+ROW()/10000000,0))</f>
        <v>0</v>
      </c>
    </row>
    <row r="589" customFormat="false" ht="15" hidden="false" customHeight="false" outlineLevel="0" collapsed="false">
      <c r="A589" s="43"/>
      <c r="B589" s="44"/>
      <c r="C589" s="44"/>
      <c r="D589" s="44"/>
      <c r="E589" s="44"/>
      <c r="F589" s="44"/>
      <c r="G589" s="44"/>
      <c r="H589" s="46" t="str">
        <f aca="false">IF($A589="","",IF(OR(NOT(ISNUMBER(E589)),NOT(ISNUMBER(F589))),"",MAX(0,E589)*F589))</f>
        <v/>
      </c>
      <c r="I589" s="46" t="str">
        <f aca="false">IF($A589="","",SUMIF($A$2:$A$5001,$A589,$H$2:$H$5001))</f>
        <v/>
      </c>
      <c r="J589" s="47" t="n">
        <f aca="false">IF($A589="",0,IF(COUNTIF($A$2:A589,$A589)=1,1,0))</f>
        <v>0</v>
      </c>
      <c r="K589" s="47" t="n">
        <f aca="false">IF(J589=1,N(I589)+ROW()/10000000,0)</f>
        <v>0</v>
      </c>
      <c r="L589" s="47" t="str">
        <f aca="false">IF(AND(J589=1,N(I589)&gt;0),SUMIF($K$2:$K$5001,"&gt;="&amp;K589,$I$2:$I$5001)/MAX(1,SUM($H$2:$H$5001)),"")</f>
        <v/>
      </c>
      <c r="M589" s="47" t="str">
        <f aca="false">IF($A589="","",INDEX($L$2:$L$5001,MATCH($A589,$A$2:$A$5001,0)))</f>
        <v/>
      </c>
      <c r="N589" s="48" t="str">
        <f aca="false">IF($A589="","",IF(N(M589)=0,"–",IF(M589&lt;=Start!$D$20,"A",IF(M589&lt;=Start!$D$21,"B","C"))))</f>
        <v/>
      </c>
      <c r="O589" s="48" t="str">
        <f aca="false">IF($A589="","",IF(NOT(ISNUMBER(F589)),"Wert fehlt; ",IF(F589&lt;=0,"Wert ist 0; ",""))&amp;IF(NOT(ISNUMBER(E589)),"Bestand fehlt; ",IF(E589&lt;0,"Bestand negativ; ",IF(E589=0,"Nullbestand; ","")))&amp;IF(D589="","Warengruppe fehlt; ","")&amp;IF(B589="","Bezeichnung fehlt; ","")&amp;IF(COUNTIFS($A$2:$A$5001,$A589,$C$2:$C$5001,C589)&gt;1,"Artikel doppelt im selben Lager; ",""))</f>
        <v/>
      </c>
      <c r="P589" s="47" t="n">
        <f aca="false">IF(OR($A589="",D589=""),0,IF(COUNTIF($D$2:D589,D589)=1,SUMIF($D$2:$D$5001,D589,$H$2:$H$5001)+ROW()/10000000,0))</f>
        <v>0</v>
      </c>
      <c r="Q589" s="47" t="n">
        <f aca="false">IF(OR($A589="",C589=""),0,IF(COUNTIF($C$2:C589,C589)=1,SUMIF($C$2:$C$5001,C589,$H$2:$H$5001)+ROW()/10000000,0))</f>
        <v>0</v>
      </c>
    </row>
    <row r="590" customFormat="false" ht="15" hidden="false" customHeight="false" outlineLevel="0" collapsed="false">
      <c r="A590" s="43"/>
      <c r="B590" s="44"/>
      <c r="C590" s="44"/>
      <c r="D590" s="44"/>
      <c r="E590" s="44"/>
      <c r="F590" s="44"/>
      <c r="G590" s="44"/>
      <c r="H590" s="46" t="str">
        <f aca="false">IF($A590="","",IF(OR(NOT(ISNUMBER(E590)),NOT(ISNUMBER(F590))),"",MAX(0,E590)*F590))</f>
        <v/>
      </c>
      <c r="I590" s="46" t="str">
        <f aca="false">IF($A590="","",SUMIF($A$2:$A$5001,$A590,$H$2:$H$5001))</f>
        <v/>
      </c>
      <c r="J590" s="47" t="n">
        <f aca="false">IF($A590="",0,IF(COUNTIF($A$2:A590,$A590)=1,1,0))</f>
        <v>0</v>
      </c>
      <c r="K590" s="47" t="n">
        <f aca="false">IF(J590=1,N(I590)+ROW()/10000000,0)</f>
        <v>0</v>
      </c>
      <c r="L590" s="47" t="str">
        <f aca="false">IF(AND(J590=1,N(I590)&gt;0),SUMIF($K$2:$K$5001,"&gt;="&amp;K590,$I$2:$I$5001)/MAX(1,SUM($H$2:$H$5001)),"")</f>
        <v/>
      </c>
      <c r="M590" s="47" t="str">
        <f aca="false">IF($A590="","",INDEX($L$2:$L$5001,MATCH($A590,$A$2:$A$5001,0)))</f>
        <v/>
      </c>
      <c r="N590" s="48" t="str">
        <f aca="false">IF($A590="","",IF(N(M590)=0,"–",IF(M590&lt;=Start!$D$20,"A",IF(M590&lt;=Start!$D$21,"B","C"))))</f>
        <v/>
      </c>
      <c r="O590" s="48" t="str">
        <f aca="false">IF($A590="","",IF(NOT(ISNUMBER(F590)),"Wert fehlt; ",IF(F590&lt;=0,"Wert ist 0; ",""))&amp;IF(NOT(ISNUMBER(E590)),"Bestand fehlt; ",IF(E590&lt;0,"Bestand negativ; ",IF(E590=0,"Nullbestand; ","")))&amp;IF(D590="","Warengruppe fehlt; ","")&amp;IF(B590="","Bezeichnung fehlt; ","")&amp;IF(COUNTIFS($A$2:$A$5001,$A590,$C$2:$C$5001,C590)&gt;1,"Artikel doppelt im selben Lager; ",""))</f>
        <v/>
      </c>
      <c r="P590" s="47" t="n">
        <f aca="false">IF(OR($A590="",D590=""),0,IF(COUNTIF($D$2:D590,D590)=1,SUMIF($D$2:$D$5001,D590,$H$2:$H$5001)+ROW()/10000000,0))</f>
        <v>0</v>
      </c>
      <c r="Q590" s="47" t="n">
        <f aca="false">IF(OR($A590="",C590=""),0,IF(COUNTIF($C$2:C590,C590)=1,SUMIF($C$2:$C$5001,C590,$H$2:$H$5001)+ROW()/10000000,0))</f>
        <v>0</v>
      </c>
    </row>
    <row r="591" customFormat="false" ht="15" hidden="false" customHeight="false" outlineLevel="0" collapsed="false">
      <c r="A591" s="43"/>
      <c r="B591" s="44"/>
      <c r="C591" s="44"/>
      <c r="D591" s="44"/>
      <c r="E591" s="44"/>
      <c r="F591" s="44"/>
      <c r="G591" s="44"/>
      <c r="H591" s="46" t="str">
        <f aca="false">IF($A591="","",IF(OR(NOT(ISNUMBER(E591)),NOT(ISNUMBER(F591))),"",MAX(0,E591)*F591))</f>
        <v/>
      </c>
      <c r="I591" s="46" t="str">
        <f aca="false">IF($A591="","",SUMIF($A$2:$A$5001,$A591,$H$2:$H$5001))</f>
        <v/>
      </c>
      <c r="J591" s="47" t="n">
        <f aca="false">IF($A591="",0,IF(COUNTIF($A$2:A591,$A591)=1,1,0))</f>
        <v>0</v>
      </c>
      <c r="K591" s="47" t="n">
        <f aca="false">IF(J591=1,N(I591)+ROW()/10000000,0)</f>
        <v>0</v>
      </c>
      <c r="L591" s="47" t="str">
        <f aca="false">IF(AND(J591=1,N(I591)&gt;0),SUMIF($K$2:$K$5001,"&gt;="&amp;K591,$I$2:$I$5001)/MAX(1,SUM($H$2:$H$5001)),"")</f>
        <v/>
      </c>
      <c r="M591" s="47" t="str">
        <f aca="false">IF($A591="","",INDEX($L$2:$L$5001,MATCH($A591,$A$2:$A$5001,0)))</f>
        <v/>
      </c>
      <c r="N591" s="48" t="str">
        <f aca="false">IF($A591="","",IF(N(M591)=0,"–",IF(M591&lt;=Start!$D$20,"A",IF(M591&lt;=Start!$D$21,"B","C"))))</f>
        <v/>
      </c>
      <c r="O591" s="48" t="str">
        <f aca="false">IF($A591="","",IF(NOT(ISNUMBER(F591)),"Wert fehlt; ",IF(F591&lt;=0,"Wert ist 0; ",""))&amp;IF(NOT(ISNUMBER(E591)),"Bestand fehlt; ",IF(E591&lt;0,"Bestand negativ; ",IF(E591=0,"Nullbestand; ","")))&amp;IF(D591="","Warengruppe fehlt; ","")&amp;IF(B591="","Bezeichnung fehlt; ","")&amp;IF(COUNTIFS($A$2:$A$5001,$A591,$C$2:$C$5001,C591)&gt;1,"Artikel doppelt im selben Lager; ",""))</f>
        <v/>
      </c>
      <c r="P591" s="47" t="n">
        <f aca="false">IF(OR($A591="",D591=""),0,IF(COUNTIF($D$2:D591,D591)=1,SUMIF($D$2:$D$5001,D591,$H$2:$H$5001)+ROW()/10000000,0))</f>
        <v>0</v>
      </c>
      <c r="Q591" s="47" t="n">
        <f aca="false">IF(OR($A591="",C591=""),0,IF(COUNTIF($C$2:C591,C591)=1,SUMIF($C$2:$C$5001,C591,$H$2:$H$5001)+ROW()/10000000,0))</f>
        <v>0</v>
      </c>
    </row>
    <row r="592" customFormat="false" ht="15" hidden="false" customHeight="false" outlineLevel="0" collapsed="false">
      <c r="A592" s="43"/>
      <c r="B592" s="44"/>
      <c r="C592" s="44"/>
      <c r="D592" s="44"/>
      <c r="E592" s="44"/>
      <c r="F592" s="44"/>
      <c r="G592" s="44"/>
      <c r="H592" s="46" t="str">
        <f aca="false">IF($A592="","",IF(OR(NOT(ISNUMBER(E592)),NOT(ISNUMBER(F592))),"",MAX(0,E592)*F592))</f>
        <v/>
      </c>
      <c r="I592" s="46" t="str">
        <f aca="false">IF($A592="","",SUMIF($A$2:$A$5001,$A592,$H$2:$H$5001))</f>
        <v/>
      </c>
      <c r="J592" s="47" t="n">
        <f aca="false">IF($A592="",0,IF(COUNTIF($A$2:A592,$A592)=1,1,0))</f>
        <v>0</v>
      </c>
      <c r="K592" s="47" t="n">
        <f aca="false">IF(J592=1,N(I592)+ROW()/10000000,0)</f>
        <v>0</v>
      </c>
      <c r="L592" s="47" t="str">
        <f aca="false">IF(AND(J592=1,N(I592)&gt;0),SUMIF($K$2:$K$5001,"&gt;="&amp;K592,$I$2:$I$5001)/MAX(1,SUM($H$2:$H$5001)),"")</f>
        <v/>
      </c>
      <c r="M592" s="47" t="str">
        <f aca="false">IF($A592="","",INDEX($L$2:$L$5001,MATCH($A592,$A$2:$A$5001,0)))</f>
        <v/>
      </c>
      <c r="N592" s="48" t="str">
        <f aca="false">IF($A592="","",IF(N(M592)=0,"–",IF(M592&lt;=Start!$D$20,"A",IF(M592&lt;=Start!$D$21,"B","C"))))</f>
        <v/>
      </c>
      <c r="O592" s="48" t="str">
        <f aca="false">IF($A592="","",IF(NOT(ISNUMBER(F592)),"Wert fehlt; ",IF(F592&lt;=0,"Wert ist 0; ",""))&amp;IF(NOT(ISNUMBER(E592)),"Bestand fehlt; ",IF(E592&lt;0,"Bestand negativ; ",IF(E592=0,"Nullbestand; ","")))&amp;IF(D592="","Warengruppe fehlt; ","")&amp;IF(B592="","Bezeichnung fehlt; ","")&amp;IF(COUNTIFS($A$2:$A$5001,$A592,$C$2:$C$5001,C592)&gt;1,"Artikel doppelt im selben Lager; ",""))</f>
        <v/>
      </c>
      <c r="P592" s="47" t="n">
        <f aca="false">IF(OR($A592="",D592=""),0,IF(COUNTIF($D$2:D592,D592)=1,SUMIF($D$2:$D$5001,D592,$H$2:$H$5001)+ROW()/10000000,0))</f>
        <v>0</v>
      </c>
      <c r="Q592" s="47" t="n">
        <f aca="false">IF(OR($A592="",C592=""),0,IF(COUNTIF($C$2:C592,C592)=1,SUMIF($C$2:$C$5001,C592,$H$2:$H$5001)+ROW()/10000000,0))</f>
        <v>0</v>
      </c>
    </row>
    <row r="593" customFormat="false" ht="15" hidden="false" customHeight="false" outlineLevel="0" collapsed="false">
      <c r="A593" s="43"/>
      <c r="B593" s="44"/>
      <c r="C593" s="44"/>
      <c r="D593" s="44"/>
      <c r="E593" s="44"/>
      <c r="F593" s="44"/>
      <c r="G593" s="44"/>
      <c r="H593" s="46" t="str">
        <f aca="false">IF($A593="","",IF(OR(NOT(ISNUMBER(E593)),NOT(ISNUMBER(F593))),"",MAX(0,E593)*F593))</f>
        <v/>
      </c>
      <c r="I593" s="46" t="str">
        <f aca="false">IF($A593="","",SUMIF($A$2:$A$5001,$A593,$H$2:$H$5001))</f>
        <v/>
      </c>
      <c r="J593" s="47" t="n">
        <f aca="false">IF($A593="",0,IF(COUNTIF($A$2:A593,$A593)=1,1,0))</f>
        <v>0</v>
      </c>
      <c r="K593" s="47" t="n">
        <f aca="false">IF(J593=1,N(I593)+ROW()/10000000,0)</f>
        <v>0</v>
      </c>
      <c r="L593" s="47" t="str">
        <f aca="false">IF(AND(J593=1,N(I593)&gt;0),SUMIF($K$2:$K$5001,"&gt;="&amp;K593,$I$2:$I$5001)/MAX(1,SUM($H$2:$H$5001)),"")</f>
        <v/>
      </c>
      <c r="M593" s="47" t="str">
        <f aca="false">IF($A593="","",INDEX($L$2:$L$5001,MATCH($A593,$A$2:$A$5001,0)))</f>
        <v/>
      </c>
      <c r="N593" s="48" t="str">
        <f aca="false">IF($A593="","",IF(N(M593)=0,"–",IF(M593&lt;=Start!$D$20,"A",IF(M593&lt;=Start!$D$21,"B","C"))))</f>
        <v/>
      </c>
      <c r="O593" s="48" t="str">
        <f aca="false">IF($A593="","",IF(NOT(ISNUMBER(F593)),"Wert fehlt; ",IF(F593&lt;=0,"Wert ist 0; ",""))&amp;IF(NOT(ISNUMBER(E593)),"Bestand fehlt; ",IF(E593&lt;0,"Bestand negativ; ",IF(E593=0,"Nullbestand; ","")))&amp;IF(D593="","Warengruppe fehlt; ","")&amp;IF(B593="","Bezeichnung fehlt; ","")&amp;IF(COUNTIFS($A$2:$A$5001,$A593,$C$2:$C$5001,C593)&gt;1,"Artikel doppelt im selben Lager; ",""))</f>
        <v/>
      </c>
      <c r="P593" s="47" t="n">
        <f aca="false">IF(OR($A593="",D593=""),0,IF(COUNTIF($D$2:D593,D593)=1,SUMIF($D$2:$D$5001,D593,$H$2:$H$5001)+ROW()/10000000,0))</f>
        <v>0</v>
      </c>
      <c r="Q593" s="47" t="n">
        <f aca="false">IF(OR($A593="",C593=""),0,IF(COUNTIF($C$2:C593,C593)=1,SUMIF($C$2:$C$5001,C593,$H$2:$H$5001)+ROW()/10000000,0))</f>
        <v>0</v>
      </c>
    </row>
    <row r="594" customFormat="false" ht="15" hidden="false" customHeight="false" outlineLevel="0" collapsed="false">
      <c r="A594" s="43"/>
      <c r="B594" s="44"/>
      <c r="C594" s="44"/>
      <c r="D594" s="44"/>
      <c r="E594" s="44"/>
      <c r="F594" s="44"/>
      <c r="G594" s="44"/>
      <c r="H594" s="46" t="str">
        <f aca="false">IF($A594="","",IF(OR(NOT(ISNUMBER(E594)),NOT(ISNUMBER(F594))),"",MAX(0,E594)*F594))</f>
        <v/>
      </c>
      <c r="I594" s="46" t="str">
        <f aca="false">IF($A594="","",SUMIF($A$2:$A$5001,$A594,$H$2:$H$5001))</f>
        <v/>
      </c>
      <c r="J594" s="47" t="n">
        <f aca="false">IF($A594="",0,IF(COUNTIF($A$2:A594,$A594)=1,1,0))</f>
        <v>0</v>
      </c>
      <c r="K594" s="47" t="n">
        <f aca="false">IF(J594=1,N(I594)+ROW()/10000000,0)</f>
        <v>0</v>
      </c>
      <c r="L594" s="47" t="str">
        <f aca="false">IF(AND(J594=1,N(I594)&gt;0),SUMIF($K$2:$K$5001,"&gt;="&amp;K594,$I$2:$I$5001)/MAX(1,SUM($H$2:$H$5001)),"")</f>
        <v/>
      </c>
      <c r="M594" s="47" t="str">
        <f aca="false">IF($A594="","",INDEX($L$2:$L$5001,MATCH($A594,$A$2:$A$5001,0)))</f>
        <v/>
      </c>
      <c r="N594" s="48" t="str">
        <f aca="false">IF($A594="","",IF(N(M594)=0,"–",IF(M594&lt;=Start!$D$20,"A",IF(M594&lt;=Start!$D$21,"B","C"))))</f>
        <v/>
      </c>
      <c r="O594" s="48" t="str">
        <f aca="false">IF($A594="","",IF(NOT(ISNUMBER(F594)),"Wert fehlt; ",IF(F594&lt;=0,"Wert ist 0; ",""))&amp;IF(NOT(ISNUMBER(E594)),"Bestand fehlt; ",IF(E594&lt;0,"Bestand negativ; ",IF(E594=0,"Nullbestand; ","")))&amp;IF(D594="","Warengruppe fehlt; ","")&amp;IF(B594="","Bezeichnung fehlt; ","")&amp;IF(COUNTIFS($A$2:$A$5001,$A594,$C$2:$C$5001,C594)&gt;1,"Artikel doppelt im selben Lager; ",""))</f>
        <v/>
      </c>
      <c r="P594" s="47" t="n">
        <f aca="false">IF(OR($A594="",D594=""),0,IF(COUNTIF($D$2:D594,D594)=1,SUMIF($D$2:$D$5001,D594,$H$2:$H$5001)+ROW()/10000000,0))</f>
        <v>0</v>
      </c>
      <c r="Q594" s="47" t="n">
        <f aca="false">IF(OR($A594="",C594=""),0,IF(COUNTIF($C$2:C594,C594)=1,SUMIF($C$2:$C$5001,C594,$H$2:$H$5001)+ROW()/10000000,0))</f>
        <v>0</v>
      </c>
    </row>
    <row r="595" customFormat="false" ht="15" hidden="false" customHeight="false" outlineLevel="0" collapsed="false">
      <c r="A595" s="43"/>
      <c r="B595" s="44"/>
      <c r="C595" s="44"/>
      <c r="D595" s="44"/>
      <c r="E595" s="44"/>
      <c r="F595" s="44"/>
      <c r="G595" s="44"/>
      <c r="H595" s="46" t="str">
        <f aca="false">IF($A595="","",IF(OR(NOT(ISNUMBER(E595)),NOT(ISNUMBER(F595))),"",MAX(0,E595)*F595))</f>
        <v/>
      </c>
      <c r="I595" s="46" t="str">
        <f aca="false">IF($A595="","",SUMIF($A$2:$A$5001,$A595,$H$2:$H$5001))</f>
        <v/>
      </c>
      <c r="J595" s="47" t="n">
        <f aca="false">IF($A595="",0,IF(COUNTIF($A$2:A595,$A595)=1,1,0))</f>
        <v>0</v>
      </c>
      <c r="K595" s="47" t="n">
        <f aca="false">IF(J595=1,N(I595)+ROW()/10000000,0)</f>
        <v>0</v>
      </c>
      <c r="L595" s="47" t="str">
        <f aca="false">IF(AND(J595=1,N(I595)&gt;0),SUMIF($K$2:$K$5001,"&gt;="&amp;K595,$I$2:$I$5001)/MAX(1,SUM($H$2:$H$5001)),"")</f>
        <v/>
      </c>
      <c r="M595" s="47" t="str">
        <f aca="false">IF($A595="","",INDEX($L$2:$L$5001,MATCH($A595,$A$2:$A$5001,0)))</f>
        <v/>
      </c>
      <c r="N595" s="48" t="str">
        <f aca="false">IF($A595="","",IF(N(M595)=0,"–",IF(M595&lt;=Start!$D$20,"A",IF(M595&lt;=Start!$D$21,"B","C"))))</f>
        <v/>
      </c>
      <c r="O595" s="48" t="str">
        <f aca="false">IF($A595="","",IF(NOT(ISNUMBER(F595)),"Wert fehlt; ",IF(F595&lt;=0,"Wert ist 0; ",""))&amp;IF(NOT(ISNUMBER(E595)),"Bestand fehlt; ",IF(E595&lt;0,"Bestand negativ; ",IF(E595=0,"Nullbestand; ","")))&amp;IF(D595="","Warengruppe fehlt; ","")&amp;IF(B595="","Bezeichnung fehlt; ","")&amp;IF(COUNTIFS($A$2:$A$5001,$A595,$C$2:$C$5001,C595)&gt;1,"Artikel doppelt im selben Lager; ",""))</f>
        <v/>
      </c>
      <c r="P595" s="47" t="n">
        <f aca="false">IF(OR($A595="",D595=""),0,IF(COUNTIF($D$2:D595,D595)=1,SUMIF($D$2:$D$5001,D595,$H$2:$H$5001)+ROW()/10000000,0))</f>
        <v>0</v>
      </c>
      <c r="Q595" s="47" t="n">
        <f aca="false">IF(OR($A595="",C595=""),0,IF(COUNTIF($C$2:C595,C595)=1,SUMIF($C$2:$C$5001,C595,$H$2:$H$5001)+ROW()/10000000,0))</f>
        <v>0</v>
      </c>
    </row>
    <row r="596" customFormat="false" ht="15" hidden="false" customHeight="false" outlineLevel="0" collapsed="false">
      <c r="A596" s="43"/>
      <c r="B596" s="44"/>
      <c r="C596" s="44"/>
      <c r="D596" s="44"/>
      <c r="E596" s="44"/>
      <c r="F596" s="44"/>
      <c r="G596" s="44"/>
      <c r="H596" s="46" t="str">
        <f aca="false">IF($A596="","",IF(OR(NOT(ISNUMBER(E596)),NOT(ISNUMBER(F596))),"",MAX(0,E596)*F596))</f>
        <v/>
      </c>
      <c r="I596" s="46" t="str">
        <f aca="false">IF($A596="","",SUMIF($A$2:$A$5001,$A596,$H$2:$H$5001))</f>
        <v/>
      </c>
      <c r="J596" s="47" t="n">
        <f aca="false">IF($A596="",0,IF(COUNTIF($A$2:A596,$A596)=1,1,0))</f>
        <v>0</v>
      </c>
      <c r="K596" s="47" t="n">
        <f aca="false">IF(J596=1,N(I596)+ROW()/10000000,0)</f>
        <v>0</v>
      </c>
      <c r="L596" s="47" t="str">
        <f aca="false">IF(AND(J596=1,N(I596)&gt;0),SUMIF($K$2:$K$5001,"&gt;="&amp;K596,$I$2:$I$5001)/MAX(1,SUM($H$2:$H$5001)),"")</f>
        <v/>
      </c>
      <c r="M596" s="47" t="str">
        <f aca="false">IF($A596="","",INDEX($L$2:$L$5001,MATCH($A596,$A$2:$A$5001,0)))</f>
        <v/>
      </c>
      <c r="N596" s="48" t="str">
        <f aca="false">IF($A596="","",IF(N(M596)=0,"–",IF(M596&lt;=Start!$D$20,"A",IF(M596&lt;=Start!$D$21,"B","C"))))</f>
        <v/>
      </c>
      <c r="O596" s="48" t="str">
        <f aca="false">IF($A596="","",IF(NOT(ISNUMBER(F596)),"Wert fehlt; ",IF(F596&lt;=0,"Wert ist 0; ",""))&amp;IF(NOT(ISNUMBER(E596)),"Bestand fehlt; ",IF(E596&lt;0,"Bestand negativ; ",IF(E596=0,"Nullbestand; ","")))&amp;IF(D596="","Warengruppe fehlt; ","")&amp;IF(B596="","Bezeichnung fehlt; ","")&amp;IF(COUNTIFS($A$2:$A$5001,$A596,$C$2:$C$5001,C596)&gt;1,"Artikel doppelt im selben Lager; ",""))</f>
        <v/>
      </c>
      <c r="P596" s="47" t="n">
        <f aca="false">IF(OR($A596="",D596=""),0,IF(COUNTIF($D$2:D596,D596)=1,SUMIF($D$2:$D$5001,D596,$H$2:$H$5001)+ROW()/10000000,0))</f>
        <v>0</v>
      </c>
      <c r="Q596" s="47" t="n">
        <f aca="false">IF(OR($A596="",C596=""),0,IF(COUNTIF($C$2:C596,C596)=1,SUMIF($C$2:$C$5001,C596,$H$2:$H$5001)+ROW()/10000000,0))</f>
        <v>0</v>
      </c>
    </row>
    <row r="597" customFormat="false" ht="15" hidden="false" customHeight="false" outlineLevel="0" collapsed="false">
      <c r="A597" s="43"/>
      <c r="B597" s="44"/>
      <c r="C597" s="44"/>
      <c r="D597" s="44"/>
      <c r="E597" s="44"/>
      <c r="F597" s="44"/>
      <c r="G597" s="44"/>
      <c r="H597" s="46" t="str">
        <f aca="false">IF($A597="","",IF(OR(NOT(ISNUMBER(E597)),NOT(ISNUMBER(F597))),"",MAX(0,E597)*F597))</f>
        <v/>
      </c>
      <c r="I597" s="46" t="str">
        <f aca="false">IF($A597="","",SUMIF($A$2:$A$5001,$A597,$H$2:$H$5001))</f>
        <v/>
      </c>
      <c r="J597" s="47" t="n">
        <f aca="false">IF($A597="",0,IF(COUNTIF($A$2:A597,$A597)=1,1,0))</f>
        <v>0</v>
      </c>
      <c r="K597" s="47" t="n">
        <f aca="false">IF(J597=1,N(I597)+ROW()/10000000,0)</f>
        <v>0</v>
      </c>
      <c r="L597" s="47" t="str">
        <f aca="false">IF(AND(J597=1,N(I597)&gt;0),SUMIF($K$2:$K$5001,"&gt;="&amp;K597,$I$2:$I$5001)/MAX(1,SUM($H$2:$H$5001)),"")</f>
        <v/>
      </c>
      <c r="M597" s="47" t="str">
        <f aca="false">IF($A597="","",INDEX($L$2:$L$5001,MATCH($A597,$A$2:$A$5001,0)))</f>
        <v/>
      </c>
      <c r="N597" s="48" t="str">
        <f aca="false">IF($A597="","",IF(N(M597)=0,"–",IF(M597&lt;=Start!$D$20,"A",IF(M597&lt;=Start!$D$21,"B","C"))))</f>
        <v/>
      </c>
      <c r="O597" s="48" t="str">
        <f aca="false">IF($A597="","",IF(NOT(ISNUMBER(F597)),"Wert fehlt; ",IF(F597&lt;=0,"Wert ist 0; ",""))&amp;IF(NOT(ISNUMBER(E597)),"Bestand fehlt; ",IF(E597&lt;0,"Bestand negativ; ",IF(E597=0,"Nullbestand; ","")))&amp;IF(D597="","Warengruppe fehlt; ","")&amp;IF(B597="","Bezeichnung fehlt; ","")&amp;IF(COUNTIFS($A$2:$A$5001,$A597,$C$2:$C$5001,C597)&gt;1,"Artikel doppelt im selben Lager; ",""))</f>
        <v/>
      </c>
      <c r="P597" s="47" t="n">
        <f aca="false">IF(OR($A597="",D597=""),0,IF(COUNTIF($D$2:D597,D597)=1,SUMIF($D$2:$D$5001,D597,$H$2:$H$5001)+ROW()/10000000,0))</f>
        <v>0</v>
      </c>
      <c r="Q597" s="47" t="n">
        <f aca="false">IF(OR($A597="",C597=""),0,IF(COUNTIF($C$2:C597,C597)=1,SUMIF($C$2:$C$5001,C597,$H$2:$H$5001)+ROW()/10000000,0))</f>
        <v>0</v>
      </c>
    </row>
    <row r="598" customFormat="false" ht="15" hidden="false" customHeight="false" outlineLevel="0" collapsed="false">
      <c r="A598" s="43"/>
      <c r="B598" s="44"/>
      <c r="C598" s="44"/>
      <c r="D598" s="44"/>
      <c r="E598" s="44"/>
      <c r="F598" s="44"/>
      <c r="G598" s="44"/>
      <c r="H598" s="46" t="str">
        <f aca="false">IF($A598="","",IF(OR(NOT(ISNUMBER(E598)),NOT(ISNUMBER(F598))),"",MAX(0,E598)*F598))</f>
        <v/>
      </c>
      <c r="I598" s="46" t="str">
        <f aca="false">IF($A598="","",SUMIF($A$2:$A$5001,$A598,$H$2:$H$5001))</f>
        <v/>
      </c>
      <c r="J598" s="47" t="n">
        <f aca="false">IF($A598="",0,IF(COUNTIF($A$2:A598,$A598)=1,1,0))</f>
        <v>0</v>
      </c>
      <c r="K598" s="47" t="n">
        <f aca="false">IF(J598=1,N(I598)+ROW()/10000000,0)</f>
        <v>0</v>
      </c>
      <c r="L598" s="47" t="str">
        <f aca="false">IF(AND(J598=1,N(I598)&gt;0),SUMIF($K$2:$K$5001,"&gt;="&amp;K598,$I$2:$I$5001)/MAX(1,SUM($H$2:$H$5001)),"")</f>
        <v/>
      </c>
      <c r="M598" s="47" t="str">
        <f aca="false">IF($A598="","",INDEX($L$2:$L$5001,MATCH($A598,$A$2:$A$5001,0)))</f>
        <v/>
      </c>
      <c r="N598" s="48" t="str">
        <f aca="false">IF($A598="","",IF(N(M598)=0,"–",IF(M598&lt;=Start!$D$20,"A",IF(M598&lt;=Start!$D$21,"B","C"))))</f>
        <v/>
      </c>
      <c r="O598" s="48" t="str">
        <f aca="false">IF($A598="","",IF(NOT(ISNUMBER(F598)),"Wert fehlt; ",IF(F598&lt;=0,"Wert ist 0; ",""))&amp;IF(NOT(ISNUMBER(E598)),"Bestand fehlt; ",IF(E598&lt;0,"Bestand negativ; ",IF(E598=0,"Nullbestand; ","")))&amp;IF(D598="","Warengruppe fehlt; ","")&amp;IF(B598="","Bezeichnung fehlt; ","")&amp;IF(COUNTIFS($A$2:$A$5001,$A598,$C$2:$C$5001,C598)&gt;1,"Artikel doppelt im selben Lager; ",""))</f>
        <v/>
      </c>
      <c r="P598" s="47" t="n">
        <f aca="false">IF(OR($A598="",D598=""),0,IF(COUNTIF($D$2:D598,D598)=1,SUMIF($D$2:$D$5001,D598,$H$2:$H$5001)+ROW()/10000000,0))</f>
        <v>0</v>
      </c>
      <c r="Q598" s="47" t="n">
        <f aca="false">IF(OR($A598="",C598=""),0,IF(COUNTIF($C$2:C598,C598)=1,SUMIF($C$2:$C$5001,C598,$H$2:$H$5001)+ROW()/10000000,0))</f>
        <v>0</v>
      </c>
    </row>
    <row r="599" customFormat="false" ht="15" hidden="false" customHeight="false" outlineLevel="0" collapsed="false">
      <c r="A599" s="43"/>
      <c r="B599" s="44"/>
      <c r="C599" s="44"/>
      <c r="D599" s="44"/>
      <c r="E599" s="44"/>
      <c r="F599" s="44"/>
      <c r="G599" s="44"/>
      <c r="H599" s="46" t="str">
        <f aca="false">IF($A599="","",IF(OR(NOT(ISNUMBER(E599)),NOT(ISNUMBER(F599))),"",MAX(0,E599)*F599))</f>
        <v/>
      </c>
      <c r="I599" s="46" t="str">
        <f aca="false">IF($A599="","",SUMIF($A$2:$A$5001,$A599,$H$2:$H$5001))</f>
        <v/>
      </c>
      <c r="J599" s="47" t="n">
        <f aca="false">IF($A599="",0,IF(COUNTIF($A$2:A599,$A599)=1,1,0))</f>
        <v>0</v>
      </c>
      <c r="K599" s="47" t="n">
        <f aca="false">IF(J599=1,N(I599)+ROW()/10000000,0)</f>
        <v>0</v>
      </c>
      <c r="L599" s="47" t="str">
        <f aca="false">IF(AND(J599=1,N(I599)&gt;0),SUMIF($K$2:$K$5001,"&gt;="&amp;K599,$I$2:$I$5001)/MAX(1,SUM($H$2:$H$5001)),"")</f>
        <v/>
      </c>
      <c r="M599" s="47" t="str">
        <f aca="false">IF($A599="","",INDEX($L$2:$L$5001,MATCH($A599,$A$2:$A$5001,0)))</f>
        <v/>
      </c>
      <c r="N599" s="48" t="str">
        <f aca="false">IF($A599="","",IF(N(M599)=0,"–",IF(M599&lt;=Start!$D$20,"A",IF(M599&lt;=Start!$D$21,"B","C"))))</f>
        <v/>
      </c>
      <c r="O599" s="48" t="str">
        <f aca="false">IF($A599="","",IF(NOT(ISNUMBER(F599)),"Wert fehlt; ",IF(F599&lt;=0,"Wert ist 0; ",""))&amp;IF(NOT(ISNUMBER(E599)),"Bestand fehlt; ",IF(E599&lt;0,"Bestand negativ; ",IF(E599=0,"Nullbestand; ","")))&amp;IF(D599="","Warengruppe fehlt; ","")&amp;IF(B599="","Bezeichnung fehlt; ","")&amp;IF(COUNTIFS($A$2:$A$5001,$A599,$C$2:$C$5001,C599)&gt;1,"Artikel doppelt im selben Lager; ",""))</f>
        <v/>
      </c>
      <c r="P599" s="47" t="n">
        <f aca="false">IF(OR($A599="",D599=""),0,IF(COUNTIF($D$2:D599,D599)=1,SUMIF($D$2:$D$5001,D599,$H$2:$H$5001)+ROW()/10000000,0))</f>
        <v>0</v>
      </c>
      <c r="Q599" s="47" t="n">
        <f aca="false">IF(OR($A599="",C599=""),0,IF(COUNTIF($C$2:C599,C599)=1,SUMIF($C$2:$C$5001,C599,$H$2:$H$5001)+ROW()/10000000,0))</f>
        <v>0</v>
      </c>
    </row>
    <row r="600" customFormat="false" ht="15" hidden="false" customHeight="false" outlineLevel="0" collapsed="false">
      <c r="A600" s="43"/>
      <c r="B600" s="44"/>
      <c r="C600" s="44"/>
      <c r="D600" s="44"/>
      <c r="E600" s="44"/>
      <c r="F600" s="44"/>
      <c r="G600" s="44"/>
      <c r="H600" s="46" t="str">
        <f aca="false">IF($A600="","",IF(OR(NOT(ISNUMBER(E600)),NOT(ISNUMBER(F600))),"",MAX(0,E600)*F600))</f>
        <v/>
      </c>
      <c r="I600" s="46" t="str">
        <f aca="false">IF($A600="","",SUMIF($A$2:$A$5001,$A600,$H$2:$H$5001))</f>
        <v/>
      </c>
      <c r="J600" s="47" t="n">
        <f aca="false">IF($A600="",0,IF(COUNTIF($A$2:A600,$A600)=1,1,0))</f>
        <v>0</v>
      </c>
      <c r="K600" s="47" t="n">
        <f aca="false">IF(J600=1,N(I600)+ROW()/10000000,0)</f>
        <v>0</v>
      </c>
      <c r="L600" s="47" t="str">
        <f aca="false">IF(AND(J600=1,N(I600)&gt;0),SUMIF($K$2:$K$5001,"&gt;="&amp;K600,$I$2:$I$5001)/MAX(1,SUM($H$2:$H$5001)),"")</f>
        <v/>
      </c>
      <c r="M600" s="47" t="str">
        <f aca="false">IF($A600="","",INDEX($L$2:$L$5001,MATCH($A600,$A$2:$A$5001,0)))</f>
        <v/>
      </c>
      <c r="N600" s="48" t="str">
        <f aca="false">IF($A600="","",IF(N(M600)=0,"–",IF(M600&lt;=Start!$D$20,"A",IF(M600&lt;=Start!$D$21,"B","C"))))</f>
        <v/>
      </c>
      <c r="O600" s="48" t="str">
        <f aca="false">IF($A600="","",IF(NOT(ISNUMBER(F600)),"Wert fehlt; ",IF(F600&lt;=0,"Wert ist 0; ",""))&amp;IF(NOT(ISNUMBER(E600)),"Bestand fehlt; ",IF(E600&lt;0,"Bestand negativ; ",IF(E600=0,"Nullbestand; ","")))&amp;IF(D600="","Warengruppe fehlt; ","")&amp;IF(B600="","Bezeichnung fehlt; ","")&amp;IF(COUNTIFS($A$2:$A$5001,$A600,$C$2:$C$5001,C600)&gt;1,"Artikel doppelt im selben Lager; ",""))</f>
        <v/>
      </c>
      <c r="P600" s="47" t="n">
        <f aca="false">IF(OR($A600="",D600=""),0,IF(COUNTIF($D$2:D600,D600)=1,SUMIF($D$2:$D$5001,D600,$H$2:$H$5001)+ROW()/10000000,0))</f>
        <v>0</v>
      </c>
      <c r="Q600" s="47" t="n">
        <f aca="false">IF(OR($A600="",C600=""),0,IF(COUNTIF($C$2:C600,C600)=1,SUMIF($C$2:$C$5001,C600,$H$2:$H$5001)+ROW()/10000000,0))</f>
        <v>0</v>
      </c>
    </row>
    <row r="601" customFormat="false" ht="15" hidden="false" customHeight="false" outlineLevel="0" collapsed="false">
      <c r="A601" s="43"/>
      <c r="B601" s="44"/>
      <c r="C601" s="44"/>
      <c r="D601" s="44"/>
      <c r="E601" s="44"/>
      <c r="F601" s="44"/>
      <c r="G601" s="44"/>
      <c r="H601" s="46" t="str">
        <f aca="false">IF($A601="","",IF(OR(NOT(ISNUMBER(E601)),NOT(ISNUMBER(F601))),"",MAX(0,E601)*F601))</f>
        <v/>
      </c>
      <c r="I601" s="46" t="str">
        <f aca="false">IF($A601="","",SUMIF($A$2:$A$5001,$A601,$H$2:$H$5001))</f>
        <v/>
      </c>
      <c r="J601" s="47" t="n">
        <f aca="false">IF($A601="",0,IF(COUNTIF($A$2:A601,$A601)=1,1,0))</f>
        <v>0</v>
      </c>
      <c r="K601" s="47" t="n">
        <f aca="false">IF(J601=1,N(I601)+ROW()/10000000,0)</f>
        <v>0</v>
      </c>
      <c r="L601" s="47" t="str">
        <f aca="false">IF(AND(J601=1,N(I601)&gt;0),SUMIF($K$2:$K$5001,"&gt;="&amp;K601,$I$2:$I$5001)/MAX(1,SUM($H$2:$H$5001)),"")</f>
        <v/>
      </c>
      <c r="M601" s="47" t="str">
        <f aca="false">IF($A601="","",INDEX($L$2:$L$5001,MATCH($A601,$A$2:$A$5001,0)))</f>
        <v/>
      </c>
      <c r="N601" s="48" t="str">
        <f aca="false">IF($A601="","",IF(N(M601)=0,"–",IF(M601&lt;=Start!$D$20,"A",IF(M601&lt;=Start!$D$21,"B","C"))))</f>
        <v/>
      </c>
      <c r="O601" s="48" t="str">
        <f aca="false">IF($A601="","",IF(NOT(ISNUMBER(F601)),"Wert fehlt; ",IF(F601&lt;=0,"Wert ist 0; ",""))&amp;IF(NOT(ISNUMBER(E601)),"Bestand fehlt; ",IF(E601&lt;0,"Bestand negativ; ",IF(E601=0,"Nullbestand; ","")))&amp;IF(D601="","Warengruppe fehlt; ","")&amp;IF(B601="","Bezeichnung fehlt; ","")&amp;IF(COUNTIFS($A$2:$A$5001,$A601,$C$2:$C$5001,C601)&gt;1,"Artikel doppelt im selben Lager; ",""))</f>
        <v/>
      </c>
      <c r="P601" s="47" t="n">
        <f aca="false">IF(OR($A601="",D601=""),0,IF(COUNTIF($D$2:D601,D601)=1,SUMIF($D$2:$D$5001,D601,$H$2:$H$5001)+ROW()/10000000,0))</f>
        <v>0</v>
      </c>
      <c r="Q601" s="47" t="n">
        <f aca="false">IF(OR($A601="",C601=""),0,IF(COUNTIF($C$2:C601,C601)=1,SUMIF($C$2:$C$5001,C601,$H$2:$H$5001)+ROW()/10000000,0))</f>
        <v>0</v>
      </c>
    </row>
    <row r="602" customFormat="false" ht="15" hidden="false" customHeight="false" outlineLevel="0" collapsed="false">
      <c r="A602" s="43"/>
      <c r="B602" s="44"/>
      <c r="C602" s="44"/>
      <c r="D602" s="44"/>
      <c r="E602" s="44"/>
      <c r="F602" s="44"/>
      <c r="G602" s="44"/>
      <c r="H602" s="46" t="str">
        <f aca="false">IF($A602="","",IF(OR(NOT(ISNUMBER(E602)),NOT(ISNUMBER(F602))),"",MAX(0,E602)*F602))</f>
        <v/>
      </c>
      <c r="I602" s="46" t="str">
        <f aca="false">IF($A602="","",SUMIF($A$2:$A$5001,$A602,$H$2:$H$5001))</f>
        <v/>
      </c>
      <c r="J602" s="47" t="n">
        <f aca="false">IF($A602="",0,IF(COUNTIF($A$2:A602,$A602)=1,1,0))</f>
        <v>0</v>
      </c>
      <c r="K602" s="47" t="n">
        <f aca="false">IF(J602=1,N(I602)+ROW()/10000000,0)</f>
        <v>0</v>
      </c>
      <c r="L602" s="47" t="str">
        <f aca="false">IF(AND(J602=1,N(I602)&gt;0),SUMIF($K$2:$K$5001,"&gt;="&amp;K602,$I$2:$I$5001)/MAX(1,SUM($H$2:$H$5001)),"")</f>
        <v/>
      </c>
      <c r="M602" s="47" t="str">
        <f aca="false">IF($A602="","",INDEX($L$2:$L$5001,MATCH($A602,$A$2:$A$5001,0)))</f>
        <v/>
      </c>
      <c r="N602" s="48" t="str">
        <f aca="false">IF($A602="","",IF(N(M602)=0,"–",IF(M602&lt;=Start!$D$20,"A",IF(M602&lt;=Start!$D$21,"B","C"))))</f>
        <v/>
      </c>
      <c r="O602" s="48" t="str">
        <f aca="false">IF($A602="","",IF(NOT(ISNUMBER(F602)),"Wert fehlt; ",IF(F602&lt;=0,"Wert ist 0; ",""))&amp;IF(NOT(ISNUMBER(E602)),"Bestand fehlt; ",IF(E602&lt;0,"Bestand negativ; ",IF(E602=0,"Nullbestand; ","")))&amp;IF(D602="","Warengruppe fehlt; ","")&amp;IF(B602="","Bezeichnung fehlt; ","")&amp;IF(COUNTIFS($A$2:$A$5001,$A602,$C$2:$C$5001,C602)&gt;1,"Artikel doppelt im selben Lager; ",""))</f>
        <v/>
      </c>
      <c r="P602" s="47" t="n">
        <f aca="false">IF(OR($A602="",D602=""),0,IF(COUNTIF($D$2:D602,D602)=1,SUMIF($D$2:$D$5001,D602,$H$2:$H$5001)+ROW()/10000000,0))</f>
        <v>0</v>
      </c>
      <c r="Q602" s="47" t="n">
        <f aca="false">IF(OR($A602="",C602=""),0,IF(COUNTIF($C$2:C602,C602)=1,SUMIF($C$2:$C$5001,C602,$H$2:$H$5001)+ROW()/10000000,0))</f>
        <v>0</v>
      </c>
    </row>
    <row r="603" customFormat="false" ht="15" hidden="false" customHeight="false" outlineLevel="0" collapsed="false">
      <c r="A603" s="43"/>
      <c r="B603" s="44"/>
      <c r="C603" s="44"/>
      <c r="D603" s="44"/>
      <c r="E603" s="44"/>
      <c r="F603" s="44"/>
      <c r="G603" s="44"/>
      <c r="H603" s="46" t="str">
        <f aca="false">IF($A603="","",IF(OR(NOT(ISNUMBER(E603)),NOT(ISNUMBER(F603))),"",MAX(0,E603)*F603))</f>
        <v/>
      </c>
      <c r="I603" s="46" t="str">
        <f aca="false">IF($A603="","",SUMIF($A$2:$A$5001,$A603,$H$2:$H$5001))</f>
        <v/>
      </c>
      <c r="J603" s="47" t="n">
        <f aca="false">IF($A603="",0,IF(COUNTIF($A$2:A603,$A603)=1,1,0))</f>
        <v>0</v>
      </c>
      <c r="K603" s="47" t="n">
        <f aca="false">IF(J603=1,N(I603)+ROW()/10000000,0)</f>
        <v>0</v>
      </c>
      <c r="L603" s="47" t="str">
        <f aca="false">IF(AND(J603=1,N(I603)&gt;0),SUMIF($K$2:$K$5001,"&gt;="&amp;K603,$I$2:$I$5001)/MAX(1,SUM($H$2:$H$5001)),"")</f>
        <v/>
      </c>
      <c r="M603" s="47" t="str">
        <f aca="false">IF($A603="","",INDEX($L$2:$L$5001,MATCH($A603,$A$2:$A$5001,0)))</f>
        <v/>
      </c>
      <c r="N603" s="48" t="str">
        <f aca="false">IF($A603="","",IF(N(M603)=0,"–",IF(M603&lt;=Start!$D$20,"A",IF(M603&lt;=Start!$D$21,"B","C"))))</f>
        <v/>
      </c>
      <c r="O603" s="48" t="str">
        <f aca="false">IF($A603="","",IF(NOT(ISNUMBER(F603)),"Wert fehlt; ",IF(F603&lt;=0,"Wert ist 0; ",""))&amp;IF(NOT(ISNUMBER(E603)),"Bestand fehlt; ",IF(E603&lt;0,"Bestand negativ; ",IF(E603=0,"Nullbestand; ","")))&amp;IF(D603="","Warengruppe fehlt; ","")&amp;IF(B603="","Bezeichnung fehlt; ","")&amp;IF(COUNTIFS($A$2:$A$5001,$A603,$C$2:$C$5001,C603)&gt;1,"Artikel doppelt im selben Lager; ",""))</f>
        <v/>
      </c>
      <c r="P603" s="47" t="n">
        <f aca="false">IF(OR($A603="",D603=""),0,IF(COUNTIF($D$2:D603,D603)=1,SUMIF($D$2:$D$5001,D603,$H$2:$H$5001)+ROW()/10000000,0))</f>
        <v>0</v>
      </c>
      <c r="Q603" s="47" t="n">
        <f aca="false">IF(OR($A603="",C603=""),0,IF(COUNTIF($C$2:C603,C603)=1,SUMIF($C$2:$C$5001,C603,$H$2:$H$5001)+ROW()/10000000,0))</f>
        <v>0</v>
      </c>
    </row>
    <row r="604" customFormat="false" ht="15" hidden="false" customHeight="false" outlineLevel="0" collapsed="false">
      <c r="A604" s="43"/>
      <c r="B604" s="44"/>
      <c r="C604" s="44"/>
      <c r="D604" s="44"/>
      <c r="E604" s="44"/>
      <c r="F604" s="44"/>
      <c r="G604" s="44"/>
      <c r="H604" s="46" t="str">
        <f aca="false">IF($A604="","",IF(OR(NOT(ISNUMBER(E604)),NOT(ISNUMBER(F604))),"",MAX(0,E604)*F604))</f>
        <v/>
      </c>
      <c r="I604" s="46" t="str">
        <f aca="false">IF($A604="","",SUMIF($A$2:$A$5001,$A604,$H$2:$H$5001))</f>
        <v/>
      </c>
      <c r="J604" s="47" t="n">
        <f aca="false">IF($A604="",0,IF(COUNTIF($A$2:A604,$A604)=1,1,0))</f>
        <v>0</v>
      </c>
      <c r="K604" s="47" t="n">
        <f aca="false">IF(J604=1,N(I604)+ROW()/10000000,0)</f>
        <v>0</v>
      </c>
      <c r="L604" s="47" t="str">
        <f aca="false">IF(AND(J604=1,N(I604)&gt;0),SUMIF($K$2:$K$5001,"&gt;="&amp;K604,$I$2:$I$5001)/MAX(1,SUM($H$2:$H$5001)),"")</f>
        <v/>
      </c>
      <c r="M604" s="47" t="str">
        <f aca="false">IF($A604="","",INDEX($L$2:$L$5001,MATCH($A604,$A$2:$A$5001,0)))</f>
        <v/>
      </c>
      <c r="N604" s="48" t="str">
        <f aca="false">IF($A604="","",IF(N(M604)=0,"–",IF(M604&lt;=Start!$D$20,"A",IF(M604&lt;=Start!$D$21,"B","C"))))</f>
        <v/>
      </c>
      <c r="O604" s="48" t="str">
        <f aca="false">IF($A604="","",IF(NOT(ISNUMBER(F604)),"Wert fehlt; ",IF(F604&lt;=0,"Wert ist 0; ",""))&amp;IF(NOT(ISNUMBER(E604)),"Bestand fehlt; ",IF(E604&lt;0,"Bestand negativ; ",IF(E604=0,"Nullbestand; ","")))&amp;IF(D604="","Warengruppe fehlt; ","")&amp;IF(B604="","Bezeichnung fehlt; ","")&amp;IF(COUNTIFS($A$2:$A$5001,$A604,$C$2:$C$5001,C604)&gt;1,"Artikel doppelt im selben Lager; ",""))</f>
        <v/>
      </c>
      <c r="P604" s="47" t="n">
        <f aca="false">IF(OR($A604="",D604=""),0,IF(COUNTIF($D$2:D604,D604)=1,SUMIF($D$2:$D$5001,D604,$H$2:$H$5001)+ROW()/10000000,0))</f>
        <v>0</v>
      </c>
      <c r="Q604" s="47" t="n">
        <f aca="false">IF(OR($A604="",C604=""),0,IF(COUNTIF($C$2:C604,C604)=1,SUMIF($C$2:$C$5001,C604,$H$2:$H$5001)+ROW()/10000000,0))</f>
        <v>0</v>
      </c>
    </row>
    <row r="605" customFormat="false" ht="15" hidden="false" customHeight="false" outlineLevel="0" collapsed="false">
      <c r="A605" s="43"/>
      <c r="B605" s="44"/>
      <c r="C605" s="44"/>
      <c r="D605" s="44"/>
      <c r="E605" s="44"/>
      <c r="F605" s="44"/>
      <c r="G605" s="44"/>
      <c r="H605" s="46" t="str">
        <f aca="false">IF($A605="","",IF(OR(NOT(ISNUMBER(E605)),NOT(ISNUMBER(F605))),"",MAX(0,E605)*F605))</f>
        <v/>
      </c>
      <c r="I605" s="46" t="str">
        <f aca="false">IF($A605="","",SUMIF($A$2:$A$5001,$A605,$H$2:$H$5001))</f>
        <v/>
      </c>
      <c r="J605" s="47" t="n">
        <f aca="false">IF($A605="",0,IF(COUNTIF($A$2:A605,$A605)=1,1,0))</f>
        <v>0</v>
      </c>
      <c r="K605" s="47" t="n">
        <f aca="false">IF(J605=1,N(I605)+ROW()/10000000,0)</f>
        <v>0</v>
      </c>
      <c r="L605" s="47" t="str">
        <f aca="false">IF(AND(J605=1,N(I605)&gt;0),SUMIF($K$2:$K$5001,"&gt;="&amp;K605,$I$2:$I$5001)/MAX(1,SUM($H$2:$H$5001)),"")</f>
        <v/>
      </c>
      <c r="M605" s="47" t="str">
        <f aca="false">IF($A605="","",INDEX($L$2:$L$5001,MATCH($A605,$A$2:$A$5001,0)))</f>
        <v/>
      </c>
      <c r="N605" s="48" t="str">
        <f aca="false">IF($A605="","",IF(N(M605)=0,"–",IF(M605&lt;=Start!$D$20,"A",IF(M605&lt;=Start!$D$21,"B","C"))))</f>
        <v/>
      </c>
      <c r="O605" s="48" t="str">
        <f aca="false">IF($A605="","",IF(NOT(ISNUMBER(F605)),"Wert fehlt; ",IF(F605&lt;=0,"Wert ist 0; ",""))&amp;IF(NOT(ISNUMBER(E605)),"Bestand fehlt; ",IF(E605&lt;0,"Bestand negativ; ",IF(E605=0,"Nullbestand; ","")))&amp;IF(D605="","Warengruppe fehlt; ","")&amp;IF(B605="","Bezeichnung fehlt; ","")&amp;IF(COUNTIFS($A$2:$A$5001,$A605,$C$2:$C$5001,C605)&gt;1,"Artikel doppelt im selben Lager; ",""))</f>
        <v/>
      </c>
      <c r="P605" s="47" t="n">
        <f aca="false">IF(OR($A605="",D605=""),0,IF(COUNTIF($D$2:D605,D605)=1,SUMIF($D$2:$D$5001,D605,$H$2:$H$5001)+ROW()/10000000,0))</f>
        <v>0</v>
      </c>
      <c r="Q605" s="47" t="n">
        <f aca="false">IF(OR($A605="",C605=""),0,IF(COUNTIF($C$2:C605,C605)=1,SUMIF($C$2:$C$5001,C605,$H$2:$H$5001)+ROW()/10000000,0))</f>
        <v>0</v>
      </c>
    </row>
    <row r="606" customFormat="false" ht="15" hidden="false" customHeight="false" outlineLevel="0" collapsed="false">
      <c r="A606" s="43"/>
      <c r="B606" s="44"/>
      <c r="C606" s="44"/>
      <c r="D606" s="44"/>
      <c r="E606" s="44"/>
      <c r="F606" s="44"/>
      <c r="G606" s="44"/>
      <c r="H606" s="46" t="str">
        <f aca="false">IF($A606="","",IF(OR(NOT(ISNUMBER(E606)),NOT(ISNUMBER(F606))),"",MAX(0,E606)*F606))</f>
        <v/>
      </c>
      <c r="I606" s="46" t="str">
        <f aca="false">IF($A606="","",SUMIF($A$2:$A$5001,$A606,$H$2:$H$5001))</f>
        <v/>
      </c>
      <c r="J606" s="47" t="n">
        <f aca="false">IF($A606="",0,IF(COUNTIF($A$2:A606,$A606)=1,1,0))</f>
        <v>0</v>
      </c>
      <c r="K606" s="47" t="n">
        <f aca="false">IF(J606=1,N(I606)+ROW()/10000000,0)</f>
        <v>0</v>
      </c>
      <c r="L606" s="47" t="str">
        <f aca="false">IF(AND(J606=1,N(I606)&gt;0),SUMIF($K$2:$K$5001,"&gt;="&amp;K606,$I$2:$I$5001)/MAX(1,SUM($H$2:$H$5001)),"")</f>
        <v/>
      </c>
      <c r="M606" s="47" t="str">
        <f aca="false">IF($A606="","",INDEX($L$2:$L$5001,MATCH($A606,$A$2:$A$5001,0)))</f>
        <v/>
      </c>
      <c r="N606" s="48" t="str">
        <f aca="false">IF($A606="","",IF(N(M606)=0,"–",IF(M606&lt;=Start!$D$20,"A",IF(M606&lt;=Start!$D$21,"B","C"))))</f>
        <v/>
      </c>
      <c r="O606" s="48" t="str">
        <f aca="false">IF($A606="","",IF(NOT(ISNUMBER(F606)),"Wert fehlt; ",IF(F606&lt;=0,"Wert ist 0; ",""))&amp;IF(NOT(ISNUMBER(E606)),"Bestand fehlt; ",IF(E606&lt;0,"Bestand negativ; ",IF(E606=0,"Nullbestand; ","")))&amp;IF(D606="","Warengruppe fehlt; ","")&amp;IF(B606="","Bezeichnung fehlt; ","")&amp;IF(COUNTIFS($A$2:$A$5001,$A606,$C$2:$C$5001,C606)&gt;1,"Artikel doppelt im selben Lager; ",""))</f>
        <v/>
      </c>
      <c r="P606" s="47" t="n">
        <f aca="false">IF(OR($A606="",D606=""),0,IF(COUNTIF($D$2:D606,D606)=1,SUMIF($D$2:$D$5001,D606,$H$2:$H$5001)+ROW()/10000000,0))</f>
        <v>0</v>
      </c>
      <c r="Q606" s="47" t="n">
        <f aca="false">IF(OR($A606="",C606=""),0,IF(COUNTIF($C$2:C606,C606)=1,SUMIF($C$2:$C$5001,C606,$H$2:$H$5001)+ROW()/10000000,0))</f>
        <v>0</v>
      </c>
    </row>
    <row r="607" customFormat="false" ht="15" hidden="false" customHeight="false" outlineLevel="0" collapsed="false">
      <c r="A607" s="43"/>
      <c r="B607" s="44"/>
      <c r="C607" s="44"/>
      <c r="D607" s="44"/>
      <c r="E607" s="44"/>
      <c r="F607" s="44"/>
      <c r="G607" s="44"/>
      <c r="H607" s="46" t="str">
        <f aca="false">IF($A607="","",IF(OR(NOT(ISNUMBER(E607)),NOT(ISNUMBER(F607))),"",MAX(0,E607)*F607))</f>
        <v/>
      </c>
      <c r="I607" s="46" t="str">
        <f aca="false">IF($A607="","",SUMIF($A$2:$A$5001,$A607,$H$2:$H$5001))</f>
        <v/>
      </c>
      <c r="J607" s="47" t="n">
        <f aca="false">IF($A607="",0,IF(COUNTIF($A$2:A607,$A607)=1,1,0))</f>
        <v>0</v>
      </c>
      <c r="K607" s="47" t="n">
        <f aca="false">IF(J607=1,N(I607)+ROW()/10000000,0)</f>
        <v>0</v>
      </c>
      <c r="L607" s="47" t="str">
        <f aca="false">IF(AND(J607=1,N(I607)&gt;0),SUMIF($K$2:$K$5001,"&gt;="&amp;K607,$I$2:$I$5001)/MAX(1,SUM($H$2:$H$5001)),"")</f>
        <v/>
      </c>
      <c r="M607" s="47" t="str">
        <f aca="false">IF($A607="","",INDEX($L$2:$L$5001,MATCH($A607,$A$2:$A$5001,0)))</f>
        <v/>
      </c>
      <c r="N607" s="48" t="str">
        <f aca="false">IF($A607="","",IF(N(M607)=0,"–",IF(M607&lt;=Start!$D$20,"A",IF(M607&lt;=Start!$D$21,"B","C"))))</f>
        <v/>
      </c>
      <c r="O607" s="48" t="str">
        <f aca="false">IF($A607="","",IF(NOT(ISNUMBER(F607)),"Wert fehlt; ",IF(F607&lt;=0,"Wert ist 0; ",""))&amp;IF(NOT(ISNUMBER(E607)),"Bestand fehlt; ",IF(E607&lt;0,"Bestand negativ; ",IF(E607=0,"Nullbestand; ","")))&amp;IF(D607="","Warengruppe fehlt; ","")&amp;IF(B607="","Bezeichnung fehlt; ","")&amp;IF(COUNTIFS($A$2:$A$5001,$A607,$C$2:$C$5001,C607)&gt;1,"Artikel doppelt im selben Lager; ",""))</f>
        <v/>
      </c>
      <c r="P607" s="47" t="n">
        <f aca="false">IF(OR($A607="",D607=""),0,IF(COUNTIF($D$2:D607,D607)=1,SUMIF($D$2:$D$5001,D607,$H$2:$H$5001)+ROW()/10000000,0))</f>
        <v>0</v>
      </c>
      <c r="Q607" s="47" t="n">
        <f aca="false">IF(OR($A607="",C607=""),0,IF(COUNTIF($C$2:C607,C607)=1,SUMIF($C$2:$C$5001,C607,$H$2:$H$5001)+ROW()/10000000,0))</f>
        <v>0</v>
      </c>
    </row>
    <row r="608" customFormat="false" ht="15" hidden="false" customHeight="false" outlineLevel="0" collapsed="false">
      <c r="A608" s="43"/>
      <c r="B608" s="44"/>
      <c r="C608" s="44"/>
      <c r="D608" s="44"/>
      <c r="E608" s="44"/>
      <c r="F608" s="44"/>
      <c r="G608" s="44"/>
      <c r="H608" s="46" t="str">
        <f aca="false">IF($A608="","",IF(OR(NOT(ISNUMBER(E608)),NOT(ISNUMBER(F608))),"",MAX(0,E608)*F608))</f>
        <v/>
      </c>
      <c r="I608" s="46" t="str">
        <f aca="false">IF($A608="","",SUMIF($A$2:$A$5001,$A608,$H$2:$H$5001))</f>
        <v/>
      </c>
      <c r="J608" s="47" t="n">
        <f aca="false">IF($A608="",0,IF(COUNTIF($A$2:A608,$A608)=1,1,0))</f>
        <v>0</v>
      </c>
      <c r="K608" s="47" t="n">
        <f aca="false">IF(J608=1,N(I608)+ROW()/10000000,0)</f>
        <v>0</v>
      </c>
      <c r="L608" s="47" t="str">
        <f aca="false">IF(AND(J608=1,N(I608)&gt;0),SUMIF($K$2:$K$5001,"&gt;="&amp;K608,$I$2:$I$5001)/MAX(1,SUM($H$2:$H$5001)),"")</f>
        <v/>
      </c>
      <c r="M608" s="47" t="str">
        <f aca="false">IF($A608="","",INDEX($L$2:$L$5001,MATCH($A608,$A$2:$A$5001,0)))</f>
        <v/>
      </c>
      <c r="N608" s="48" t="str">
        <f aca="false">IF($A608="","",IF(N(M608)=0,"–",IF(M608&lt;=Start!$D$20,"A",IF(M608&lt;=Start!$D$21,"B","C"))))</f>
        <v/>
      </c>
      <c r="O608" s="48" t="str">
        <f aca="false">IF($A608="","",IF(NOT(ISNUMBER(F608)),"Wert fehlt; ",IF(F608&lt;=0,"Wert ist 0; ",""))&amp;IF(NOT(ISNUMBER(E608)),"Bestand fehlt; ",IF(E608&lt;0,"Bestand negativ; ",IF(E608=0,"Nullbestand; ","")))&amp;IF(D608="","Warengruppe fehlt; ","")&amp;IF(B608="","Bezeichnung fehlt; ","")&amp;IF(COUNTIFS($A$2:$A$5001,$A608,$C$2:$C$5001,C608)&gt;1,"Artikel doppelt im selben Lager; ",""))</f>
        <v/>
      </c>
      <c r="P608" s="47" t="n">
        <f aca="false">IF(OR($A608="",D608=""),0,IF(COUNTIF($D$2:D608,D608)=1,SUMIF($D$2:$D$5001,D608,$H$2:$H$5001)+ROW()/10000000,0))</f>
        <v>0</v>
      </c>
      <c r="Q608" s="47" t="n">
        <f aca="false">IF(OR($A608="",C608=""),0,IF(COUNTIF($C$2:C608,C608)=1,SUMIF($C$2:$C$5001,C608,$H$2:$H$5001)+ROW()/10000000,0))</f>
        <v>0</v>
      </c>
    </row>
    <row r="609" customFormat="false" ht="15" hidden="false" customHeight="false" outlineLevel="0" collapsed="false">
      <c r="A609" s="43"/>
      <c r="B609" s="44"/>
      <c r="C609" s="44"/>
      <c r="D609" s="44"/>
      <c r="E609" s="44"/>
      <c r="F609" s="44"/>
      <c r="G609" s="44"/>
      <c r="H609" s="46" t="str">
        <f aca="false">IF($A609="","",IF(OR(NOT(ISNUMBER(E609)),NOT(ISNUMBER(F609))),"",MAX(0,E609)*F609))</f>
        <v/>
      </c>
      <c r="I609" s="46" t="str">
        <f aca="false">IF($A609="","",SUMIF($A$2:$A$5001,$A609,$H$2:$H$5001))</f>
        <v/>
      </c>
      <c r="J609" s="47" t="n">
        <f aca="false">IF($A609="",0,IF(COUNTIF($A$2:A609,$A609)=1,1,0))</f>
        <v>0</v>
      </c>
      <c r="K609" s="47" t="n">
        <f aca="false">IF(J609=1,N(I609)+ROW()/10000000,0)</f>
        <v>0</v>
      </c>
      <c r="L609" s="47" t="str">
        <f aca="false">IF(AND(J609=1,N(I609)&gt;0),SUMIF($K$2:$K$5001,"&gt;="&amp;K609,$I$2:$I$5001)/MAX(1,SUM($H$2:$H$5001)),"")</f>
        <v/>
      </c>
      <c r="M609" s="47" t="str">
        <f aca="false">IF($A609="","",INDEX($L$2:$L$5001,MATCH($A609,$A$2:$A$5001,0)))</f>
        <v/>
      </c>
      <c r="N609" s="48" t="str">
        <f aca="false">IF($A609="","",IF(N(M609)=0,"–",IF(M609&lt;=Start!$D$20,"A",IF(M609&lt;=Start!$D$21,"B","C"))))</f>
        <v/>
      </c>
      <c r="O609" s="48" t="str">
        <f aca="false">IF($A609="","",IF(NOT(ISNUMBER(F609)),"Wert fehlt; ",IF(F609&lt;=0,"Wert ist 0; ",""))&amp;IF(NOT(ISNUMBER(E609)),"Bestand fehlt; ",IF(E609&lt;0,"Bestand negativ; ",IF(E609=0,"Nullbestand; ","")))&amp;IF(D609="","Warengruppe fehlt; ","")&amp;IF(B609="","Bezeichnung fehlt; ","")&amp;IF(COUNTIFS($A$2:$A$5001,$A609,$C$2:$C$5001,C609)&gt;1,"Artikel doppelt im selben Lager; ",""))</f>
        <v/>
      </c>
      <c r="P609" s="47" t="n">
        <f aca="false">IF(OR($A609="",D609=""),0,IF(COUNTIF($D$2:D609,D609)=1,SUMIF($D$2:$D$5001,D609,$H$2:$H$5001)+ROW()/10000000,0))</f>
        <v>0</v>
      </c>
      <c r="Q609" s="47" t="n">
        <f aca="false">IF(OR($A609="",C609=""),0,IF(COUNTIF($C$2:C609,C609)=1,SUMIF($C$2:$C$5001,C609,$H$2:$H$5001)+ROW()/10000000,0))</f>
        <v>0</v>
      </c>
    </row>
    <row r="610" customFormat="false" ht="15" hidden="false" customHeight="false" outlineLevel="0" collapsed="false">
      <c r="A610" s="43"/>
      <c r="B610" s="44"/>
      <c r="C610" s="44"/>
      <c r="D610" s="44"/>
      <c r="E610" s="44"/>
      <c r="F610" s="44"/>
      <c r="G610" s="44"/>
      <c r="H610" s="46" t="str">
        <f aca="false">IF($A610="","",IF(OR(NOT(ISNUMBER(E610)),NOT(ISNUMBER(F610))),"",MAX(0,E610)*F610))</f>
        <v/>
      </c>
      <c r="I610" s="46" t="str">
        <f aca="false">IF($A610="","",SUMIF($A$2:$A$5001,$A610,$H$2:$H$5001))</f>
        <v/>
      </c>
      <c r="J610" s="47" t="n">
        <f aca="false">IF($A610="",0,IF(COUNTIF($A$2:A610,$A610)=1,1,0))</f>
        <v>0</v>
      </c>
      <c r="K610" s="47" t="n">
        <f aca="false">IF(J610=1,N(I610)+ROW()/10000000,0)</f>
        <v>0</v>
      </c>
      <c r="L610" s="47" t="str">
        <f aca="false">IF(AND(J610=1,N(I610)&gt;0),SUMIF($K$2:$K$5001,"&gt;="&amp;K610,$I$2:$I$5001)/MAX(1,SUM($H$2:$H$5001)),"")</f>
        <v/>
      </c>
      <c r="M610" s="47" t="str">
        <f aca="false">IF($A610="","",INDEX($L$2:$L$5001,MATCH($A610,$A$2:$A$5001,0)))</f>
        <v/>
      </c>
      <c r="N610" s="48" t="str">
        <f aca="false">IF($A610="","",IF(N(M610)=0,"–",IF(M610&lt;=Start!$D$20,"A",IF(M610&lt;=Start!$D$21,"B","C"))))</f>
        <v/>
      </c>
      <c r="O610" s="48" t="str">
        <f aca="false">IF($A610="","",IF(NOT(ISNUMBER(F610)),"Wert fehlt; ",IF(F610&lt;=0,"Wert ist 0; ",""))&amp;IF(NOT(ISNUMBER(E610)),"Bestand fehlt; ",IF(E610&lt;0,"Bestand negativ; ",IF(E610=0,"Nullbestand; ","")))&amp;IF(D610="","Warengruppe fehlt; ","")&amp;IF(B610="","Bezeichnung fehlt; ","")&amp;IF(COUNTIFS($A$2:$A$5001,$A610,$C$2:$C$5001,C610)&gt;1,"Artikel doppelt im selben Lager; ",""))</f>
        <v/>
      </c>
      <c r="P610" s="47" t="n">
        <f aca="false">IF(OR($A610="",D610=""),0,IF(COUNTIF($D$2:D610,D610)=1,SUMIF($D$2:$D$5001,D610,$H$2:$H$5001)+ROW()/10000000,0))</f>
        <v>0</v>
      </c>
      <c r="Q610" s="47" t="n">
        <f aca="false">IF(OR($A610="",C610=""),0,IF(COUNTIF($C$2:C610,C610)=1,SUMIF($C$2:$C$5001,C610,$H$2:$H$5001)+ROW()/10000000,0))</f>
        <v>0</v>
      </c>
    </row>
    <row r="611" customFormat="false" ht="15" hidden="false" customHeight="false" outlineLevel="0" collapsed="false">
      <c r="A611" s="43"/>
      <c r="B611" s="44"/>
      <c r="C611" s="44"/>
      <c r="D611" s="44"/>
      <c r="E611" s="44"/>
      <c r="F611" s="44"/>
      <c r="G611" s="44"/>
      <c r="H611" s="46" t="str">
        <f aca="false">IF($A611="","",IF(OR(NOT(ISNUMBER(E611)),NOT(ISNUMBER(F611))),"",MAX(0,E611)*F611))</f>
        <v/>
      </c>
      <c r="I611" s="46" t="str">
        <f aca="false">IF($A611="","",SUMIF($A$2:$A$5001,$A611,$H$2:$H$5001))</f>
        <v/>
      </c>
      <c r="J611" s="47" t="n">
        <f aca="false">IF($A611="",0,IF(COUNTIF($A$2:A611,$A611)=1,1,0))</f>
        <v>0</v>
      </c>
      <c r="K611" s="47" t="n">
        <f aca="false">IF(J611=1,N(I611)+ROW()/10000000,0)</f>
        <v>0</v>
      </c>
      <c r="L611" s="47" t="str">
        <f aca="false">IF(AND(J611=1,N(I611)&gt;0),SUMIF($K$2:$K$5001,"&gt;="&amp;K611,$I$2:$I$5001)/MAX(1,SUM($H$2:$H$5001)),"")</f>
        <v/>
      </c>
      <c r="M611" s="47" t="str">
        <f aca="false">IF($A611="","",INDEX($L$2:$L$5001,MATCH($A611,$A$2:$A$5001,0)))</f>
        <v/>
      </c>
      <c r="N611" s="48" t="str">
        <f aca="false">IF($A611="","",IF(N(M611)=0,"–",IF(M611&lt;=Start!$D$20,"A",IF(M611&lt;=Start!$D$21,"B","C"))))</f>
        <v/>
      </c>
      <c r="O611" s="48" t="str">
        <f aca="false">IF($A611="","",IF(NOT(ISNUMBER(F611)),"Wert fehlt; ",IF(F611&lt;=0,"Wert ist 0; ",""))&amp;IF(NOT(ISNUMBER(E611)),"Bestand fehlt; ",IF(E611&lt;0,"Bestand negativ; ",IF(E611=0,"Nullbestand; ","")))&amp;IF(D611="","Warengruppe fehlt; ","")&amp;IF(B611="","Bezeichnung fehlt; ","")&amp;IF(COUNTIFS($A$2:$A$5001,$A611,$C$2:$C$5001,C611)&gt;1,"Artikel doppelt im selben Lager; ",""))</f>
        <v/>
      </c>
      <c r="P611" s="47" t="n">
        <f aca="false">IF(OR($A611="",D611=""),0,IF(COUNTIF($D$2:D611,D611)=1,SUMIF($D$2:$D$5001,D611,$H$2:$H$5001)+ROW()/10000000,0))</f>
        <v>0</v>
      </c>
      <c r="Q611" s="47" t="n">
        <f aca="false">IF(OR($A611="",C611=""),0,IF(COUNTIF($C$2:C611,C611)=1,SUMIF($C$2:$C$5001,C611,$H$2:$H$5001)+ROW()/10000000,0))</f>
        <v>0</v>
      </c>
    </row>
    <row r="612" customFormat="false" ht="15" hidden="false" customHeight="false" outlineLevel="0" collapsed="false">
      <c r="A612" s="43"/>
      <c r="B612" s="44"/>
      <c r="C612" s="44"/>
      <c r="D612" s="44"/>
      <c r="E612" s="44"/>
      <c r="F612" s="44"/>
      <c r="G612" s="44"/>
      <c r="H612" s="46" t="str">
        <f aca="false">IF($A612="","",IF(OR(NOT(ISNUMBER(E612)),NOT(ISNUMBER(F612))),"",MAX(0,E612)*F612))</f>
        <v/>
      </c>
      <c r="I612" s="46" t="str">
        <f aca="false">IF($A612="","",SUMIF($A$2:$A$5001,$A612,$H$2:$H$5001))</f>
        <v/>
      </c>
      <c r="J612" s="47" t="n">
        <f aca="false">IF($A612="",0,IF(COUNTIF($A$2:A612,$A612)=1,1,0))</f>
        <v>0</v>
      </c>
      <c r="K612" s="47" t="n">
        <f aca="false">IF(J612=1,N(I612)+ROW()/10000000,0)</f>
        <v>0</v>
      </c>
      <c r="L612" s="47" t="str">
        <f aca="false">IF(AND(J612=1,N(I612)&gt;0),SUMIF($K$2:$K$5001,"&gt;="&amp;K612,$I$2:$I$5001)/MAX(1,SUM($H$2:$H$5001)),"")</f>
        <v/>
      </c>
      <c r="M612" s="47" t="str">
        <f aca="false">IF($A612="","",INDEX($L$2:$L$5001,MATCH($A612,$A$2:$A$5001,0)))</f>
        <v/>
      </c>
      <c r="N612" s="48" t="str">
        <f aca="false">IF($A612="","",IF(N(M612)=0,"–",IF(M612&lt;=Start!$D$20,"A",IF(M612&lt;=Start!$D$21,"B","C"))))</f>
        <v/>
      </c>
      <c r="O612" s="48" t="str">
        <f aca="false">IF($A612="","",IF(NOT(ISNUMBER(F612)),"Wert fehlt; ",IF(F612&lt;=0,"Wert ist 0; ",""))&amp;IF(NOT(ISNUMBER(E612)),"Bestand fehlt; ",IF(E612&lt;0,"Bestand negativ; ",IF(E612=0,"Nullbestand; ","")))&amp;IF(D612="","Warengruppe fehlt; ","")&amp;IF(B612="","Bezeichnung fehlt; ","")&amp;IF(COUNTIFS($A$2:$A$5001,$A612,$C$2:$C$5001,C612)&gt;1,"Artikel doppelt im selben Lager; ",""))</f>
        <v/>
      </c>
      <c r="P612" s="47" t="n">
        <f aca="false">IF(OR($A612="",D612=""),0,IF(COUNTIF($D$2:D612,D612)=1,SUMIF($D$2:$D$5001,D612,$H$2:$H$5001)+ROW()/10000000,0))</f>
        <v>0</v>
      </c>
      <c r="Q612" s="47" t="n">
        <f aca="false">IF(OR($A612="",C612=""),0,IF(COUNTIF($C$2:C612,C612)=1,SUMIF($C$2:$C$5001,C612,$H$2:$H$5001)+ROW()/10000000,0))</f>
        <v>0</v>
      </c>
    </row>
    <row r="613" customFormat="false" ht="15" hidden="false" customHeight="false" outlineLevel="0" collapsed="false">
      <c r="A613" s="43"/>
      <c r="B613" s="44"/>
      <c r="C613" s="44"/>
      <c r="D613" s="44"/>
      <c r="E613" s="44"/>
      <c r="F613" s="44"/>
      <c r="G613" s="44"/>
      <c r="H613" s="46" t="str">
        <f aca="false">IF($A613="","",IF(OR(NOT(ISNUMBER(E613)),NOT(ISNUMBER(F613))),"",MAX(0,E613)*F613))</f>
        <v/>
      </c>
      <c r="I613" s="46" t="str">
        <f aca="false">IF($A613="","",SUMIF($A$2:$A$5001,$A613,$H$2:$H$5001))</f>
        <v/>
      </c>
      <c r="J613" s="47" t="n">
        <f aca="false">IF($A613="",0,IF(COUNTIF($A$2:A613,$A613)=1,1,0))</f>
        <v>0</v>
      </c>
      <c r="K613" s="47" t="n">
        <f aca="false">IF(J613=1,N(I613)+ROW()/10000000,0)</f>
        <v>0</v>
      </c>
      <c r="L613" s="47" t="str">
        <f aca="false">IF(AND(J613=1,N(I613)&gt;0),SUMIF($K$2:$K$5001,"&gt;="&amp;K613,$I$2:$I$5001)/MAX(1,SUM($H$2:$H$5001)),"")</f>
        <v/>
      </c>
      <c r="M613" s="47" t="str">
        <f aca="false">IF($A613="","",INDEX($L$2:$L$5001,MATCH($A613,$A$2:$A$5001,0)))</f>
        <v/>
      </c>
      <c r="N613" s="48" t="str">
        <f aca="false">IF($A613="","",IF(N(M613)=0,"–",IF(M613&lt;=Start!$D$20,"A",IF(M613&lt;=Start!$D$21,"B","C"))))</f>
        <v/>
      </c>
      <c r="O613" s="48" t="str">
        <f aca="false">IF($A613="","",IF(NOT(ISNUMBER(F613)),"Wert fehlt; ",IF(F613&lt;=0,"Wert ist 0; ",""))&amp;IF(NOT(ISNUMBER(E613)),"Bestand fehlt; ",IF(E613&lt;0,"Bestand negativ; ",IF(E613=0,"Nullbestand; ","")))&amp;IF(D613="","Warengruppe fehlt; ","")&amp;IF(B613="","Bezeichnung fehlt; ","")&amp;IF(COUNTIFS($A$2:$A$5001,$A613,$C$2:$C$5001,C613)&gt;1,"Artikel doppelt im selben Lager; ",""))</f>
        <v/>
      </c>
      <c r="P613" s="47" t="n">
        <f aca="false">IF(OR($A613="",D613=""),0,IF(COUNTIF($D$2:D613,D613)=1,SUMIF($D$2:$D$5001,D613,$H$2:$H$5001)+ROW()/10000000,0))</f>
        <v>0</v>
      </c>
      <c r="Q613" s="47" t="n">
        <f aca="false">IF(OR($A613="",C613=""),0,IF(COUNTIF($C$2:C613,C613)=1,SUMIF($C$2:$C$5001,C613,$H$2:$H$5001)+ROW()/10000000,0))</f>
        <v>0</v>
      </c>
    </row>
    <row r="614" customFormat="false" ht="15" hidden="false" customHeight="false" outlineLevel="0" collapsed="false">
      <c r="A614" s="43"/>
      <c r="B614" s="44"/>
      <c r="C614" s="44"/>
      <c r="D614" s="44"/>
      <c r="E614" s="44"/>
      <c r="F614" s="44"/>
      <c r="G614" s="44"/>
      <c r="H614" s="46" t="str">
        <f aca="false">IF($A614="","",IF(OR(NOT(ISNUMBER(E614)),NOT(ISNUMBER(F614))),"",MAX(0,E614)*F614))</f>
        <v/>
      </c>
      <c r="I614" s="46" t="str">
        <f aca="false">IF($A614="","",SUMIF($A$2:$A$5001,$A614,$H$2:$H$5001))</f>
        <v/>
      </c>
      <c r="J614" s="47" t="n">
        <f aca="false">IF($A614="",0,IF(COUNTIF($A$2:A614,$A614)=1,1,0))</f>
        <v>0</v>
      </c>
      <c r="K614" s="47" t="n">
        <f aca="false">IF(J614=1,N(I614)+ROW()/10000000,0)</f>
        <v>0</v>
      </c>
      <c r="L614" s="47" t="str">
        <f aca="false">IF(AND(J614=1,N(I614)&gt;0),SUMIF($K$2:$K$5001,"&gt;="&amp;K614,$I$2:$I$5001)/MAX(1,SUM($H$2:$H$5001)),"")</f>
        <v/>
      </c>
      <c r="M614" s="47" t="str">
        <f aca="false">IF($A614="","",INDEX($L$2:$L$5001,MATCH($A614,$A$2:$A$5001,0)))</f>
        <v/>
      </c>
      <c r="N614" s="48" t="str">
        <f aca="false">IF($A614="","",IF(N(M614)=0,"–",IF(M614&lt;=Start!$D$20,"A",IF(M614&lt;=Start!$D$21,"B","C"))))</f>
        <v/>
      </c>
      <c r="O614" s="48" t="str">
        <f aca="false">IF($A614="","",IF(NOT(ISNUMBER(F614)),"Wert fehlt; ",IF(F614&lt;=0,"Wert ist 0; ",""))&amp;IF(NOT(ISNUMBER(E614)),"Bestand fehlt; ",IF(E614&lt;0,"Bestand negativ; ",IF(E614=0,"Nullbestand; ","")))&amp;IF(D614="","Warengruppe fehlt; ","")&amp;IF(B614="","Bezeichnung fehlt; ","")&amp;IF(COUNTIFS($A$2:$A$5001,$A614,$C$2:$C$5001,C614)&gt;1,"Artikel doppelt im selben Lager; ",""))</f>
        <v/>
      </c>
      <c r="P614" s="47" t="n">
        <f aca="false">IF(OR($A614="",D614=""),0,IF(COUNTIF($D$2:D614,D614)=1,SUMIF($D$2:$D$5001,D614,$H$2:$H$5001)+ROW()/10000000,0))</f>
        <v>0</v>
      </c>
      <c r="Q614" s="47" t="n">
        <f aca="false">IF(OR($A614="",C614=""),0,IF(COUNTIF($C$2:C614,C614)=1,SUMIF($C$2:$C$5001,C614,$H$2:$H$5001)+ROW()/10000000,0))</f>
        <v>0</v>
      </c>
    </row>
    <row r="615" customFormat="false" ht="15" hidden="false" customHeight="false" outlineLevel="0" collapsed="false">
      <c r="A615" s="43"/>
      <c r="B615" s="44"/>
      <c r="C615" s="44"/>
      <c r="D615" s="44"/>
      <c r="E615" s="44"/>
      <c r="F615" s="44"/>
      <c r="G615" s="44"/>
      <c r="H615" s="46" t="str">
        <f aca="false">IF($A615="","",IF(OR(NOT(ISNUMBER(E615)),NOT(ISNUMBER(F615))),"",MAX(0,E615)*F615))</f>
        <v/>
      </c>
      <c r="I615" s="46" t="str">
        <f aca="false">IF($A615="","",SUMIF($A$2:$A$5001,$A615,$H$2:$H$5001))</f>
        <v/>
      </c>
      <c r="J615" s="47" t="n">
        <f aca="false">IF($A615="",0,IF(COUNTIF($A$2:A615,$A615)=1,1,0))</f>
        <v>0</v>
      </c>
      <c r="K615" s="47" t="n">
        <f aca="false">IF(J615=1,N(I615)+ROW()/10000000,0)</f>
        <v>0</v>
      </c>
      <c r="L615" s="47" t="str">
        <f aca="false">IF(AND(J615=1,N(I615)&gt;0),SUMIF($K$2:$K$5001,"&gt;="&amp;K615,$I$2:$I$5001)/MAX(1,SUM($H$2:$H$5001)),"")</f>
        <v/>
      </c>
      <c r="M615" s="47" t="str">
        <f aca="false">IF($A615="","",INDEX($L$2:$L$5001,MATCH($A615,$A$2:$A$5001,0)))</f>
        <v/>
      </c>
      <c r="N615" s="48" t="str">
        <f aca="false">IF($A615="","",IF(N(M615)=0,"–",IF(M615&lt;=Start!$D$20,"A",IF(M615&lt;=Start!$D$21,"B","C"))))</f>
        <v/>
      </c>
      <c r="O615" s="48" t="str">
        <f aca="false">IF($A615="","",IF(NOT(ISNUMBER(F615)),"Wert fehlt; ",IF(F615&lt;=0,"Wert ist 0; ",""))&amp;IF(NOT(ISNUMBER(E615)),"Bestand fehlt; ",IF(E615&lt;0,"Bestand negativ; ",IF(E615=0,"Nullbestand; ","")))&amp;IF(D615="","Warengruppe fehlt; ","")&amp;IF(B615="","Bezeichnung fehlt; ","")&amp;IF(COUNTIFS($A$2:$A$5001,$A615,$C$2:$C$5001,C615)&gt;1,"Artikel doppelt im selben Lager; ",""))</f>
        <v/>
      </c>
      <c r="P615" s="47" t="n">
        <f aca="false">IF(OR($A615="",D615=""),0,IF(COUNTIF($D$2:D615,D615)=1,SUMIF($D$2:$D$5001,D615,$H$2:$H$5001)+ROW()/10000000,0))</f>
        <v>0</v>
      </c>
      <c r="Q615" s="47" t="n">
        <f aca="false">IF(OR($A615="",C615=""),0,IF(COUNTIF($C$2:C615,C615)=1,SUMIF($C$2:$C$5001,C615,$H$2:$H$5001)+ROW()/10000000,0))</f>
        <v>0</v>
      </c>
    </row>
    <row r="616" customFormat="false" ht="15" hidden="false" customHeight="false" outlineLevel="0" collapsed="false">
      <c r="A616" s="43"/>
      <c r="B616" s="44"/>
      <c r="C616" s="44"/>
      <c r="D616" s="44"/>
      <c r="E616" s="44"/>
      <c r="F616" s="44"/>
      <c r="G616" s="44"/>
      <c r="H616" s="46" t="str">
        <f aca="false">IF($A616="","",IF(OR(NOT(ISNUMBER(E616)),NOT(ISNUMBER(F616))),"",MAX(0,E616)*F616))</f>
        <v/>
      </c>
      <c r="I616" s="46" t="str">
        <f aca="false">IF($A616="","",SUMIF($A$2:$A$5001,$A616,$H$2:$H$5001))</f>
        <v/>
      </c>
      <c r="J616" s="47" t="n">
        <f aca="false">IF($A616="",0,IF(COUNTIF($A$2:A616,$A616)=1,1,0))</f>
        <v>0</v>
      </c>
      <c r="K616" s="47" t="n">
        <f aca="false">IF(J616=1,N(I616)+ROW()/10000000,0)</f>
        <v>0</v>
      </c>
      <c r="L616" s="47" t="str">
        <f aca="false">IF(AND(J616=1,N(I616)&gt;0),SUMIF($K$2:$K$5001,"&gt;="&amp;K616,$I$2:$I$5001)/MAX(1,SUM($H$2:$H$5001)),"")</f>
        <v/>
      </c>
      <c r="M616" s="47" t="str">
        <f aca="false">IF($A616="","",INDEX($L$2:$L$5001,MATCH($A616,$A$2:$A$5001,0)))</f>
        <v/>
      </c>
      <c r="N616" s="48" t="str">
        <f aca="false">IF($A616="","",IF(N(M616)=0,"–",IF(M616&lt;=Start!$D$20,"A",IF(M616&lt;=Start!$D$21,"B","C"))))</f>
        <v/>
      </c>
      <c r="O616" s="48" t="str">
        <f aca="false">IF($A616="","",IF(NOT(ISNUMBER(F616)),"Wert fehlt; ",IF(F616&lt;=0,"Wert ist 0; ",""))&amp;IF(NOT(ISNUMBER(E616)),"Bestand fehlt; ",IF(E616&lt;0,"Bestand negativ; ",IF(E616=0,"Nullbestand; ","")))&amp;IF(D616="","Warengruppe fehlt; ","")&amp;IF(B616="","Bezeichnung fehlt; ","")&amp;IF(COUNTIFS($A$2:$A$5001,$A616,$C$2:$C$5001,C616)&gt;1,"Artikel doppelt im selben Lager; ",""))</f>
        <v/>
      </c>
      <c r="P616" s="47" t="n">
        <f aca="false">IF(OR($A616="",D616=""),0,IF(COUNTIF($D$2:D616,D616)=1,SUMIF($D$2:$D$5001,D616,$H$2:$H$5001)+ROW()/10000000,0))</f>
        <v>0</v>
      </c>
      <c r="Q616" s="47" t="n">
        <f aca="false">IF(OR($A616="",C616=""),0,IF(COUNTIF($C$2:C616,C616)=1,SUMIF($C$2:$C$5001,C616,$H$2:$H$5001)+ROW()/10000000,0))</f>
        <v>0</v>
      </c>
    </row>
    <row r="617" customFormat="false" ht="15" hidden="false" customHeight="false" outlineLevel="0" collapsed="false">
      <c r="A617" s="43"/>
      <c r="B617" s="44"/>
      <c r="C617" s="44"/>
      <c r="D617" s="44"/>
      <c r="E617" s="44"/>
      <c r="F617" s="44"/>
      <c r="G617" s="44"/>
      <c r="H617" s="46" t="str">
        <f aca="false">IF($A617="","",IF(OR(NOT(ISNUMBER(E617)),NOT(ISNUMBER(F617))),"",MAX(0,E617)*F617))</f>
        <v/>
      </c>
      <c r="I617" s="46" t="str">
        <f aca="false">IF($A617="","",SUMIF($A$2:$A$5001,$A617,$H$2:$H$5001))</f>
        <v/>
      </c>
      <c r="J617" s="47" t="n">
        <f aca="false">IF($A617="",0,IF(COUNTIF($A$2:A617,$A617)=1,1,0))</f>
        <v>0</v>
      </c>
      <c r="K617" s="47" t="n">
        <f aca="false">IF(J617=1,N(I617)+ROW()/10000000,0)</f>
        <v>0</v>
      </c>
      <c r="L617" s="47" t="str">
        <f aca="false">IF(AND(J617=1,N(I617)&gt;0),SUMIF($K$2:$K$5001,"&gt;="&amp;K617,$I$2:$I$5001)/MAX(1,SUM($H$2:$H$5001)),"")</f>
        <v/>
      </c>
      <c r="M617" s="47" t="str">
        <f aca="false">IF($A617="","",INDEX($L$2:$L$5001,MATCH($A617,$A$2:$A$5001,0)))</f>
        <v/>
      </c>
      <c r="N617" s="48" t="str">
        <f aca="false">IF($A617="","",IF(N(M617)=0,"–",IF(M617&lt;=Start!$D$20,"A",IF(M617&lt;=Start!$D$21,"B","C"))))</f>
        <v/>
      </c>
      <c r="O617" s="48" t="str">
        <f aca="false">IF($A617="","",IF(NOT(ISNUMBER(F617)),"Wert fehlt; ",IF(F617&lt;=0,"Wert ist 0; ",""))&amp;IF(NOT(ISNUMBER(E617)),"Bestand fehlt; ",IF(E617&lt;0,"Bestand negativ; ",IF(E617=0,"Nullbestand; ","")))&amp;IF(D617="","Warengruppe fehlt; ","")&amp;IF(B617="","Bezeichnung fehlt; ","")&amp;IF(COUNTIFS($A$2:$A$5001,$A617,$C$2:$C$5001,C617)&gt;1,"Artikel doppelt im selben Lager; ",""))</f>
        <v/>
      </c>
      <c r="P617" s="47" t="n">
        <f aca="false">IF(OR($A617="",D617=""),0,IF(COUNTIF($D$2:D617,D617)=1,SUMIF($D$2:$D$5001,D617,$H$2:$H$5001)+ROW()/10000000,0))</f>
        <v>0</v>
      </c>
      <c r="Q617" s="47" t="n">
        <f aca="false">IF(OR($A617="",C617=""),0,IF(COUNTIF($C$2:C617,C617)=1,SUMIF($C$2:$C$5001,C617,$H$2:$H$5001)+ROW()/10000000,0))</f>
        <v>0</v>
      </c>
    </row>
    <row r="618" customFormat="false" ht="15" hidden="false" customHeight="false" outlineLevel="0" collapsed="false">
      <c r="A618" s="43"/>
      <c r="B618" s="44"/>
      <c r="C618" s="44"/>
      <c r="D618" s="44"/>
      <c r="E618" s="44"/>
      <c r="F618" s="44"/>
      <c r="G618" s="44"/>
      <c r="H618" s="46" t="str">
        <f aca="false">IF($A618="","",IF(OR(NOT(ISNUMBER(E618)),NOT(ISNUMBER(F618))),"",MAX(0,E618)*F618))</f>
        <v/>
      </c>
      <c r="I618" s="46" t="str">
        <f aca="false">IF($A618="","",SUMIF($A$2:$A$5001,$A618,$H$2:$H$5001))</f>
        <v/>
      </c>
      <c r="J618" s="47" t="n">
        <f aca="false">IF($A618="",0,IF(COUNTIF($A$2:A618,$A618)=1,1,0))</f>
        <v>0</v>
      </c>
      <c r="K618" s="47" t="n">
        <f aca="false">IF(J618=1,N(I618)+ROW()/10000000,0)</f>
        <v>0</v>
      </c>
      <c r="L618" s="47" t="str">
        <f aca="false">IF(AND(J618=1,N(I618)&gt;0),SUMIF($K$2:$K$5001,"&gt;="&amp;K618,$I$2:$I$5001)/MAX(1,SUM($H$2:$H$5001)),"")</f>
        <v/>
      </c>
      <c r="M618" s="47" t="str">
        <f aca="false">IF($A618="","",INDEX($L$2:$L$5001,MATCH($A618,$A$2:$A$5001,0)))</f>
        <v/>
      </c>
      <c r="N618" s="48" t="str">
        <f aca="false">IF($A618="","",IF(N(M618)=0,"–",IF(M618&lt;=Start!$D$20,"A",IF(M618&lt;=Start!$D$21,"B","C"))))</f>
        <v/>
      </c>
      <c r="O618" s="48" t="str">
        <f aca="false">IF($A618="","",IF(NOT(ISNUMBER(F618)),"Wert fehlt; ",IF(F618&lt;=0,"Wert ist 0; ",""))&amp;IF(NOT(ISNUMBER(E618)),"Bestand fehlt; ",IF(E618&lt;0,"Bestand negativ; ",IF(E618=0,"Nullbestand; ","")))&amp;IF(D618="","Warengruppe fehlt; ","")&amp;IF(B618="","Bezeichnung fehlt; ","")&amp;IF(COUNTIFS($A$2:$A$5001,$A618,$C$2:$C$5001,C618)&gt;1,"Artikel doppelt im selben Lager; ",""))</f>
        <v/>
      </c>
      <c r="P618" s="47" t="n">
        <f aca="false">IF(OR($A618="",D618=""),0,IF(COUNTIF($D$2:D618,D618)=1,SUMIF($D$2:$D$5001,D618,$H$2:$H$5001)+ROW()/10000000,0))</f>
        <v>0</v>
      </c>
      <c r="Q618" s="47" t="n">
        <f aca="false">IF(OR($A618="",C618=""),0,IF(COUNTIF($C$2:C618,C618)=1,SUMIF($C$2:$C$5001,C618,$H$2:$H$5001)+ROW()/10000000,0))</f>
        <v>0</v>
      </c>
    </row>
    <row r="619" customFormat="false" ht="15" hidden="false" customHeight="false" outlineLevel="0" collapsed="false">
      <c r="A619" s="43"/>
      <c r="B619" s="44"/>
      <c r="C619" s="44"/>
      <c r="D619" s="44"/>
      <c r="E619" s="44"/>
      <c r="F619" s="44"/>
      <c r="G619" s="44"/>
      <c r="H619" s="46" t="str">
        <f aca="false">IF($A619="","",IF(OR(NOT(ISNUMBER(E619)),NOT(ISNUMBER(F619))),"",MAX(0,E619)*F619))</f>
        <v/>
      </c>
      <c r="I619" s="46" t="str">
        <f aca="false">IF($A619="","",SUMIF($A$2:$A$5001,$A619,$H$2:$H$5001))</f>
        <v/>
      </c>
      <c r="J619" s="47" t="n">
        <f aca="false">IF($A619="",0,IF(COUNTIF($A$2:A619,$A619)=1,1,0))</f>
        <v>0</v>
      </c>
      <c r="K619" s="47" t="n">
        <f aca="false">IF(J619=1,N(I619)+ROW()/10000000,0)</f>
        <v>0</v>
      </c>
      <c r="L619" s="47" t="str">
        <f aca="false">IF(AND(J619=1,N(I619)&gt;0),SUMIF($K$2:$K$5001,"&gt;="&amp;K619,$I$2:$I$5001)/MAX(1,SUM($H$2:$H$5001)),"")</f>
        <v/>
      </c>
      <c r="M619" s="47" t="str">
        <f aca="false">IF($A619="","",INDEX($L$2:$L$5001,MATCH($A619,$A$2:$A$5001,0)))</f>
        <v/>
      </c>
      <c r="N619" s="48" t="str">
        <f aca="false">IF($A619="","",IF(N(M619)=0,"–",IF(M619&lt;=Start!$D$20,"A",IF(M619&lt;=Start!$D$21,"B","C"))))</f>
        <v/>
      </c>
      <c r="O619" s="48" t="str">
        <f aca="false">IF($A619="","",IF(NOT(ISNUMBER(F619)),"Wert fehlt; ",IF(F619&lt;=0,"Wert ist 0; ",""))&amp;IF(NOT(ISNUMBER(E619)),"Bestand fehlt; ",IF(E619&lt;0,"Bestand negativ; ",IF(E619=0,"Nullbestand; ","")))&amp;IF(D619="","Warengruppe fehlt; ","")&amp;IF(B619="","Bezeichnung fehlt; ","")&amp;IF(COUNTIFS($A$2:$A$5001,$A619,$C$2:$C$5001,C619)&gt;1,"Artikel doppelt im selben Lager; ",""))</f>
        <v/>
      </c>
      <c r="P619" s="47" t="n">
        <f aca="false">IF(OR($A619="",D619=""),0,IF(COUNTIF($D$2:D619,D619)=1,SUMIF($D$2:$D$5001,D619,$H$2:$H$5001)+ROW()/10000000,0))</f>
        <v>0</v>
      </c>
      <c r="Q619" s="47" t="n">
        <f aca="false">IF(OR($A619="",C619=""),0,IF(COUNTIF($C$2:C619,C619)=1,SUMIF($C$2:$C$5001,C619,$H$2:$H$5001)+ROW()/10000000,0))</f>
        <v>0</v>
      </c>
    </row>
    <row r="620" customFormat="false" ht="15" hidden="false" customHeight="false" outlineLevel="0" collapsed="false">
      <c r="A620" s="43"/>
      <c r="B620" s="44"/>
      <c r="C620" s="44"/>
      <c r="D620" s="44"/>
      <c r="E620" s="44"/>
      <c r="F620" s="44"/>
      <c r="G620" s="44"/>
      <c r="H620" s="46" t="str">
        <f aca="false">IF($A620="","",IF(OR(NOT(ISNUMBER(E620)),NOT(ISNUMBER(F620))),"",MAX(0,E620)*F620))</f>
        <v/>
      </c>
      <c r="I620" s="46" t="str">
        <f aca="false">IF($A620="","",SUMIF($A$2:$A$5001,$A620,$H$2:$H$5001))</f>
        <v/>
      </c>
      <c r="J620" s="47" t="n">
        <f aca="false">IF($A620="",0,IF(COUNTIF($A$2:A620,$A620)=1,1,0))</f>
        <v>0</v>
      </c>
      <c r="K620" s="47" t="n">
        <f aca="false">IF(J620=1,N(I620)+ROW()/10000000,0)</f>
        <v>0</v>
      </c>
      <c r="L620" s="47" t="str">
        <f aca="false">IF(AND(J620=1,N(I620)&gt;0),SUMIF($K$2:$K$5001,"&gt;="&amp;K620,$I$2:$I$5001)/MAX(1,SUM($H$2:$H$5001)),"")</f>
        <v/>
      </c>
      <c r="M620" s="47" t="str">
        <f aca="false">IF($A620="","",INDEX($L$2:$L$5001,MATCH($A620,$A$2:$A$5001,0)))</f>
        <v/>
      </c>
      <c r="N620" s="48" t="str">
        <f aca="false">IF($A620="","",IF(N(M620)=0,"–",IF(M620&lt;=Start!$D$20,"A",IF(M620&lt;=Start!$D$21,"B","C"))))</f>
        <v/>
      </c>
      <c r="O620" s="48" t="str">
        <f aca="false">IF($A620="","",IF(NOT(ISNUMBER(F620)),"Wert fehlt; ",IF(F620&lt;=0,"Wert ist 0; ",""))&amp;IF(NOT(ISNUMBER(E620)),"Bestand fehlt; ",IF(E620&lt;0,"Bestand negativ; ",IF(E620=0,"Nullbestand; ","")))&amp;IF(D620="","Warengruppe fehlt; ","")&amp;IF(B620="","Bezeichnung fehlt; ","")&amp;IF(COUNTIFS($A$2:$A$5001,$A620,$C$2:$C$5001,C620)&gt;1,"Artikel doppelt im selben Lager; ",""))</f>
        <v/>
      </c>
      <c r="P620" s="47" t="n">
        <f aca="false">IF(OR($A620="",D620=""),0,IF(COUNTIF($D$2:D620,D620)=1,SUMIF($D$2:$D$5001,D620,$H$2:$H$5001)+ROW()/10000000,0))</f>
        <v>0</v>
      </c>
      <c r="Q620" s="47" t="n">
        <f aca="false">IF(OR($A620="",C620=""),0,IF(COUNTIF($C$2:C620,C620)=1,SUMIF($C$2:$C$5001,C620,$H$2:$H$5001)+ROW()/10000000,0))</f>
        <v>0</v>
      </c>
    </row>
    <row r="621" customFormat="false" ht="15" hidden="false" customHeight="false" outlineLevel="0" collapsed="false">
      <c r="A621" s="43"/>
      <c r="B621" s="44"/>
      <c r="C621" s="44"/>
      <c r="D621" s="44"/>
      <c r="E621" s="44"/>
      <c r="F621" s="44"/>
      <c r="G621" s="44"/>
      <c r="H621" s="46" t="str">
        <f aca="false">IF($A621="","",IF(OR(NOT(ISNUMBER(E621)),NOT(ISNUMBER(F621))),"",MAX(0,E621)*F621))</f>
        <v/>
      </c>
      <c r="I621" s="46" t="str">
        <f aca="false">IF($A621="","",SUMIF($A$2:$A$5001,$A621,$H$2:$H$5001))</f>
        <v/>
      </c>
      <c r="J621" s="47" t="n">
        <f aca="false">IF($A621="",0,IF(COUNTIF($A$2:A621,$A621)=1,1,0))</f>
        <v>0</v>
      </c>
      <c r="K621" s="47" t="n">
        <f aca="false">IF(J621=1,N(I621)+ROW()/10000000,0)</f>
        <v>0</v>
      </c>
      <c r="L621" s="47" t="str">
        <f aca="false">IF(AND(J621=1,N(I621)&gt;0),SUMIF($K$2:$K$5001,"&gt;="&amp;K621,$I$2:$I$5001)/MAX(1,SUM($H$2:$H$5001)),"")</f>
        <v/>
      </c>
      <c r="M621" s="47" t="str">
        <f aca="false">IF($A621="","",INDEX($L$2:$L$5001,MATCH($A621,$A$2:$A$5001,0)))</f>
        <v/>
      </c>
      <c r="N621" s="48" t="str">
        <f aca="false">IF($A621="","",IF(N(M621)=0,"–",IF(M621&lt;=Start!$D$20,"A",IF(M621&lt;=Start!$D$21,"B","C"))))</f>
        <v/>
      </c>
      <c r="O621" s="48" t="str">
        <f aca="false">IF($A621="","",IF(NOT(ISNUMBER(F621)),"Wert fehlt; ",IF(F621&lt;=0,"Wert ist 0; ",""))&amp;IF(NOT(ISNUMBER(E621)),"Bestand fehlt; ",IF(E621&lt;0,"Bestand negativ; ",IF(E621=0,"Nullbestand; ","")))&amp;IF(D621="","Warengruppe fehlt; ","")&amp;IF(B621="","Bezeichnung fehlt; ","")&amp;IF(COUNTIFS($A$2:$A$5001,$A621,$C$2:$C$5001,C621)&gt;1,"Artikel doppelt im selben Lager; ",""))</f>
        <v/>
      </c>
      <c r="P621" s="47" t="n">
        <f aca="false">IF(OR($A621="",D621=""),0,IF(COUNTIF($D$2:D621,D621)=1,SUMIF($D$2:$D$5001,D621,$H$2:$H$5001)+ROW()/10000000,0))</f>
        <v>0</v>
      </c>
      <c r="Q621" s="47" t="n">
        <f aca="false">IF(OR($A621="",C621=""),0,IF(COUNTIF($C$2:C621,C621)=1,SUMIF($C$2:$C$5001,C621,$H$2:$H$5001)+ROW()/10000000,0))</f>
        <v>0</v>
      </c>
    </row>
    <row r="622" customFormat="false" ht="15" hidden="false" customHeight="false" outlineLevel="0" collapsed="false">
      <c r="A622" s="43"/>
      <c r="B622" s="44"/>
      <c r="C622" s="44"/>
      <c r="D622" s="44"/>
      <c r="E622" s="44"/>
      <c r="F622" s="44"/>
      <c r="G622" s="44"/>
      <c r="H622" s="46" t="str">
        <f aca="false">IF($A622="","",IF(OR(NOT(ISNUMBER(E622)),NOT(ISNUMBER(F622))),"",MAX(0,E622)*F622))</f>
        <v/>
      </c>
      <c r="I622" s="46" t="str">
        <f aca="false">IF($A622="","",SUMIF($A$2:$A$5001,$A622,$H$2:$H$5001))</f>
        <v/>
      </c>
      <c r="J622" s="47" t="n">
        <f aca="false">IF($A622="",0,IF(COUNTIF($A$2:A622,$A622)=1,1,0))</f>
        <v>0</v>
      </c>
      <c r="K622" s="47" t="n">
        <f aca="false">IF(J622=1,N(I622)+ROW()/10000000,0)</f>
        <v>0</v>
      </c>
      <c r="L622" s="47" t="str">
        <f aca="false">IF(AND(J622=1,N(I622)&gt;0),SUMIF($K$2:$K$5001,"&gt;="&amp;K622,$I$2:$I$5001)/MAX(1,SUM($H$2:$H$5001)),"")</f>
        <v/>
      </c>
      <c r="M622" s="47" t="str">
        <f aca="false">IF($A622="","",INDEX($L$2:$L$5001,MATCH($A622,$A$2:$A$5001,0)))</f>
        <v/>
      </c>
      <c r="N622" s="48" t="str">
        <f aca="false">IF($A622="","",IF(N(M622)=0,"–",IF(M622&lt;=Start!$D$20,"A",IF(M622&lt;=Start!$D$21,"B","C"))))</f>
        <v/>
      </c>
      <c r="O622" s="48" t="str">
        <f aca="false">IF($A622="","",IF(NOT(ISNUMBER(F622)),"Wert fehlt; ",IF(F622&lt;=0,"Wert ist 0; ",""))&amp;IF(NOT(ISNUMBER(E622)),"Bestand fehlt; ",IF(E622&lt;0,"Bestand negativ; ",IF(E622=0,"Nullbestand; ","")))&amp;IF(D622="","Warengruppe fehlt; ","")&amp;IF(B622="","Bezeichnung fehlt; ","")&amp;IF(COUNTIFS($A$2:$A$5001,$A622,$C$2:$C$5001,C622)&gt;1,"Artikel doppelt im selben Lager; ",""))</f>
        <v/>
      </c>
      <c r="P622" s="47" t="n">
        <f aca="false">IF(OR($A622="",D622=""),0,IF(COUNTIF($D$2:D622,D622)=1,SUMIF($D$2:$D$5001,D622,$H$2:$H$5001)+ROW()/10000000,0))</f>
        <v>0</v>
      </c>
      <c r="Q622" s="47" t="n">
        <f aca="false">IF(OR($A622="",C622=""),0,IF(COUNTIF($C$2:C622,C622)=1,SUMIF($C$2:$C$5001,C622,$H$2:$H$5001)+ROW()/10000000,0))</f>
        <v>0</v>
      </c>
    </row>
    <row r="623" customFormat="false" ht="15" hidden="false" customHeight="false" outlineLevel="0" collapsed="false">
      <c r="A623" s="43"/>
      <c r="B623" s="44"/>
      <c r="C623" s="44"/>
      <c r="D623" s="44"/>
      <c r="E623" s="44"/>
      <c r="F623" s="44"/>
      <c r="G623" s="44"/>
      <c r="H623" s="46" t="str">
        <f aca="false">IF($A623="","",IF(OR(NOT(ISNUMBER(E623)),NOT(ISNUMBER(F623))),"",MAX(0,E623)*F623))</f>
        <v/>
      </c>
      <c r="I623" s="46" t="str">
        <f aca="false">IF($A623="","",SUMIF($A$2:$A$5001,$A623,$H$2:$H$5001))</f>
        <v/>
      </c>
      <c r="J623" s="47" t="n">
        <f aca="false">IF($A623="",0,IF(COUNTIF($A$2:A623,$A623)=1,1,0))</f>
        <v>0</v>
      </c>
      <c r="K623" s="47" t="n">
        <f aca="false">IF(J623=1,N(I623)+ROW()/10000000,0)</f>
        <v>0</v>
      </c>
      <c r="L623" s="47" t="str">
        <f aca="false">IF(AND(J623=1,N(I623)&gt;0),SUMIF($K$2:$K$5001,"&gt;="&amp;K623,$I$2:$I$5001)/MAX(1,SUM($H$2:$H$5001)),"")</f>
        <v/>
      </c>
      <c r="M623" s="47" t="str">
        <f aca="false">IF($A623="","",INDEX($L$2:$L$5001,MATCH($A623,$A$2:$A$5001,0)))</f>
        <v/>
      </c>
      <c r="N623" s="48" t="str">
        <f aca="false">IF($A623="","",IF(N(M623)=0,"–",IF(M623&lt;=Start!$D$20,"A",IF(M623&lt;=Start!$D$21,"B","C"))))</f>
        <v/>
      </c>
      <c r="O623" s="48" t="str">
        <f aca="false">IF($A623="","",IF(NOT(ISNUMBER(F623)),"Wert fehlt; ",IF(F623&lt;=0,"Wert ist 0; ",""))&amp;IF(NOT(ISNUMBER(E623)),"Bestand fehlt; ",IF(E623&lt;0,"Bestand negativ; ",IF(E623=0,"Nullbestand; ","")))&amp;IF(D623="","Warengruppe fehlt; ","")&amp;IF(B623="","Bezeichnung fehlt; ","")&amp;IF(COUNTIFS($A$2:$A$5001,$A623,$C$2:$C$5001,C623)&gt;1,"Artikel doppelt im selben Lager; ",""))</f>
        <v/>
      </c>
      <c r="P623" s="47" t="n">
        <f aca="false">IF(OR($A623="",D623=""),0,IF(COUNTIF($D$2:D623,D623)=1,SUMIF($D$2:$D$5001,D623,$H$2:$H$5001)+ROW()/10000000,0))</f>
        <v>0</v>
      </c>
      <c r="Q623" s="47" t="n">
        <f aca="false">IF(OR($A623="",C623=""),0,IF(COUNTIF($C$2:C623,C623)=1,SUMIF($C$2:$C$5001,C623,$H$2:$H$5001)+ROW()/10000000,0))</f>
        <v>0</v>
      </c>
    </row>
    <row r="624" customFormat="false" ht="15" hidden="false" customHeight="false" outlineLevel="0" collapsed="false">
      <c r="A624" s="43"/>
      <c r="B624" s="44"/>
      <c r="C624" s="44"/>
      <c r="D624" s="44"/>
      <c r="E624" s="44"/>
      <c r="F624" s="44"/>
      <c r="G624" s="44"/>
      <c r="H624" s="46" t="str">
        <f aca="false">IF($A624="","",IF(OR(NOT(ISNUMBER(E624)),NOT(ISNUMBER(F624))),"",MAX(0,E624)*F624))</f>
        <v/>
      </c>
      <c r="I624" s="46" t="str">
        <f aca="false">IF($A624="","",SUMIF($A$2:$A$5001,$A624,$H$2:$H$5001))</f>
        <v/>
      </c>
      <c r="J624" s="47" t="n">
        <f aca="false">IF($A624="",0,IF(COUNTIF($A$2:A624,$A624)=1,1,0))</f>
        <v>0</v>
      </c>
      <c r="K624" s="47" t="n">
        <f aca="false">IF(J624=1,N(I624)+ROW()/10000000,0)</f>
        <v>0</v>
      </c>
      <c r="L624" s="47" t="str">
        <f aca="false">IF(AND(J624=1,N(I624)&gt;0),SUMIF($K$2:$K$5001,"&gt;="&amp;K624,$I$2:$I$5001)/MAX(1,SUM($H$2:$H$5001)),"")</f>
        <v/>
      </c>
      <c r="M624" s="47" t="str">
        <f aca="false">IF($A624="","",INDEX($L$2:$L$5001,MATCH($A624,$A$2:$A$5001,0)))</f>
        <v/>
      </c>
      <c r="N624" s="48" t="str">
        <f aca="false">IF($A624="","",IF(N(M624)=0,"–",IF(M624&lt;=Start!$D$20,"A",IF(M624&lt;=Start!$D$21,"B","C"))))</f>
        <v/>
      </c>
      <c r="O624" s="48" t="str">
        <f aca="false">IF($A624="","",IF(NOT(ISNUMBER(F624)),"Wert fehlt; ",IF(F624&lt;=0,"Wert ist 0; ",""))&amp;IF(NOT(ISNUMBER(E624)),"Bestand fehlt; ",IF(E624&lt;0,"Bestand negativ; ",IF(E624=0,"Nullbestand; ","")))&amp;IF(D624="","Warengruppe fehlt; ","")&amp;IF(B624="","Bezeichnung fehlt; ","")&amp;IF(COUNTIFS($A$2:$A$5001,$A624,$C$2:$C$5001,C624)&gt;1,"Artikel doppelt im selben Lager; ",""))</f>
        <v/>
      </c>
      <c r="P624" s="47" t="n">
        <f aca="false">IF(OR($A624="",D624=""),0,IF(COUNTIF($D$2:D624,D624)=1,SUMIF($D$2:$D$5001,D624,$H$2:$H$5001)+ROW()/10000000,0))</f>
        <v>0</v>
      </c>
      <c r="Q624" s="47" t="n">
        <f aca="false">IF(OR($A624="",C624=""),0,IF(COUNTIF($C$2:C624,C624)=1,SUMIF($C$2:$C$5001,C624,$H$2:$H$5001)+ROW()/10000000,0))</f>
        <v>0</v>
      </c>
    </row>
    <row r="625" customFormat="false" ht="15" hidden="false" customHeight="false" outlineLevel="0" collapsed="false">
      <c r="A625" s="43"/>
      <c r="B625" s="44"/>
      <c r="C625" s="44"/>
      <c r="D625" s="44"/>
      <c r="E625" s="44"/>
      <c r="F625" s="44"/>
      <c r="G625" s="44"/>
      <c r="H625" s="46" t="str">
        <f aca="false">IF($A625="","",IF(OR(NOT(ISNUMBER(E625)),NOT(ISNUMBER(F625))),"",MAX(0,E625)*F625))</f>
        <v/>
      </c>
      <c r="I625" s="46" t="str">
        <f aca="false">IF($A625="","",SUMIF($A$2:$A$5001,$A625,$H$2:$H$5001))</f>
        <v/>
      </c>
      <c r="J625" s="47" t="n">
        <f aca="false">IF($A625="",0,IF(COUNTIF($A$2:A625,$A625)=1,1,0))</f>
        <v>0</v>
      </c>
      <c r="K625" s="47" t="n">
        <f aca="false">IF(J625=1,N(I625)+ROW()/10000000,0)</f>
        <v>0</v>
      </c>
      <c r="L625" s="47" t="str">
        <f aca="false">IF(AND(J625=1,N(I625)&gt;0),SUMIF($K$2:$K$5001,"&gt;="&amp;K625,$I$2:$I$5001)/MAX(1,SUM($H$2:$H$5001)),"")</f>
        <v/>
      </c>
      <c r="M625" s="47" t="str">
        <f aca="false">IF($A625="","",INDEX($L$2:$L$5001,MATCH($A625,$A$2:$A$5001,0)))</f>
        <v/>
      </c>
      <c r="N625" s="48" t="str">
        <f aca="false">IF($A625="","",IF(N(M625)=0,"–",IF(M625&lt;=Start!$D$20,"A",IF(M625&lt;=Start!$D$21,"B","C"))))</f>
        <v/>
      </c>
      <c r="O625" s="48" t="str">
        <f aca="false">IF($A625="","",IF(NOT(ISNUMBER(F625)),"Wert fehlt; ",IF(F625&lt;=0,"Wert ist 0; ",""))&amp;IF(NOT(ISNUMBER(E625)),"Bestand fehlt; ",IF(E625&lt;0,"Bestand negativ; ",IF(E625=0,"Nullbestand; ","")))&amp;IF(D625="","Warengruppe fehlt; ","")&amp;IF(B625="","Bezeichnung fehlt; ","")&amp;IF(COUNTIFS($A$2:$A$5001,$A625,$C$2:$C$5001,C625)&gt;1,"Artikel doppelt im selben Lager; ",""))</f>
        <v/>
      </c>
      <c r="P625" s="47" t="n">
        <f aca="false">IF(OR($A625="",D625=""),0,IF(COUNTIF($D$2:D625,D625)=1,SUMIF($D$2:$D$5001,D625,$H$2:$H$5001)+ROW()/10000000,0))</f>
        <v>0</v>
      </c>
      <c r="Q625" s="47" t="n">
        <f aca="false">IF(OR($A625="",C625=""),0,IF(COUNTIF($C$2:C625,C625)=1,SUMIF($C$2:$C$5001,C625,$H$2:$H$5001)+ROW()/10000000,0))</f>
        <v>0</v>
      </c>
    </row>
    <row r="626" customFormat="false" ht="15" hidden="false" customHeight="false" outlineLevel="0" collapsed="false">
      <c r="A626" s="43"/>
      <c r="B626" s="44"/>
      <c r="C626" s="44"/>
      <c r="D626" s="44"/>
      <c r="E626" s="44"/>
      <c r="F626" s="44"/>
      <c r="G626" s="44"/>
      <c r="H626" s="46" t="str">
        <f aca="false">IF($A626="","",IF(OR(NOT(ISNUMBER(E626)),NOT(ISNUMBER(F626))),"",MAX(0,E626)*F626))</f>
        <v/>
      </c>
      <c r="I626" s="46" t="str">
        <f aca="false">IF($A626="","",SUMIF($A$2:$A$5001,$A626,$H$2:$H$5001))</f>
        <v/>
      </c>
      <c r="J626" s="47" t="n">
        <f aca="false">IF($A626="",0,IF(COUNTIF($A$2:A626,$A626)=1,1,0))</f>
        <v>0</v>
      </c>
      <c r="K626" s="47" t="n">
        <f aca="false">IF(J626=1,N(I626)+ROW()/10000000,0)</f>
        <v>0</v>
      </c>
      <c r="L626" s="47" t="str">
        <f aca="false">IF(AND(J626=1,N(I626)&gt;0),SUMIF($K$2:$K$5001,"&gt;="&amp;K626,$I$2:$I$5001)/MAX(1,SUM($H$2:$H$5001)),"")</f>
        <v/>
      </c>
      <c r="M626" s="47" t="str">
        <f aca="false">IF($A626="","",INDEX($L$2:$L$5001,MATCH($A626,$A$2:$A$5001,0)))</f>
        <v/>
      </c>
      <c r="N626" s="48" t="str">
        <f aca="false">IF($A626="","",IF(N(M626)=0,"–",IF(M626&lt;=Start!$D$20,"A",IF(M626&lt;=Start!$D$21,"B","C"))))</f>
        <v/>
      </c>
      <c r="O626" s="48" t="str">
        <f aca="false">IF($A626="","",IF(NOT(ISNUMBER(F626)),"Wert fehlt; ",IF(F626&lt;=0,"Wert ist 0; ",""))&amp;IF(NOT(ISNUMBER(E626)),"Bestand fehlt; ",IF(E626&lt;0,"Bestand negativ; ",IF(E626=0,"Nullbestand; ","")))&amp;IF(D626="","Warengruppe fehlt; ","")&amp;IF(B626="","Bezeichnung fehlt; ","")&amp;IF(COUNTIFS($A$2:$A$5001,$A626,$C$2:$C$5001,C626)&gt;1,"Artikel doppelt im selben Lager; ",""))</f>
        <v/>
      </c>
      <c r="P626" s="47" t="n">
        <f aca="false">IF(OR($A626="",D626=""),0,IF(COUNTIF($D$2:D626,D626)=1,SUMIF($D$2:$D$5001,D626,$H$2:$H$5001)+ROW()/10000000,0))</f>
        <v>0</v>
      </c>
      <c r="Q626" s="47" t="n">
        <f aca="false">IF(OR($A626="",C626=""),0,IF(COUNTIF($C$2:C626,C626)=1,SUMIF($C$2:$C$5001,C626,$H$2:$H$5001)+ROW()/10000000,0))</f>
        <v>0</v>
      </c>
    </row>
    <row r="627" customFormat="false" ht="15" hidden="false" customHeight="false" outlineLevel="0" collapsed="false">
      <c r="A627" s="43"/>
      <c r="B627" s="44"/>
      <c r="C627" s="44"/>
      <c r="D627" s="44"/>
      <c r="E627" s="44"/>
      <c r="F627" s="44"/>
      <c r="G627" s="44"/>
      <c r="H627" s="46" t="str">
        <f aca="false">IF($A627="","",IF(OR(NOT(ISNUMBER(E627)),NOT(ISNUMBER(F627))),"",MAX(0,E627)*F627))</f>
        <v/>
      </c>
      <c r="I627" s="46" t="str">
        <f aca="false">IF($A627="","",SUMIF($A$2:$A$5001,$A627,$H$2:$H$5001))</f>
        <v/>
      </c>
      <c r="J627" s="47" t="n">
        <f aca="false">IF($A627="",0,IF(COUNTIF($A$2:A627,$A627)=1,1,0))</f>
        <v>0</v>
      </c>
      <c r="K627" s="47" t="n">
        <f aca="false">IF(J627=1,N(I627)+ROW()/10000000,0)</f>
        <v>0</v>
      </c>
      <c r="L627" s="47" t="str">
        <f aca="false">IF(AND(J627=1,N(I627)&gt;0),SUMIF($K$2:$K$5001,"&gt;="&amp;K627,$I$2:$I$5001)/MAX(1,SUM($H$2:$H$5001)),"")</f>
        <v/>
      </c>
      <c r="M627" s="47" t="str">
        <f aca="false">IF($A627="","",INDEX($L$2:$L$5001,MATCH($A627,$A$2:$A$5001,0)))</f>
        <v/>
      </c>
      <c r="N627" s="48" t="str">
        <f aca="false">IF($A627="","",IF(N(M627)=0,"–",IF(M627&lt;=Start!$D$20,"A",IF(M627&lt;=Start!$D$21,"B","C"))))</f>
        <v/>
      </c>
      <c r="O627" s="48" t="str">
        <f aca="false">IF($A627="","",IF(NOT(ISNUMBER(F627)),"Wert fehlt; ",IF(F627&lt;=0,"Wert ist 0; ",""))&amp;IF(NOT(ISNUMBER(E627)),"Bestand fehlt; ",IF(E627&lt;0,"Bestand negativ; ",IF(E627=0,"Nullbestand; ","")))&amp;IF(D627="","Warengruppe fehlt; ","")&amp;IF(B627="","Bezeichnung fehlt; ","")&amp;IF(COUNTIFS($A$2:$A$5001,$A627,$C$2:$C$5001,C627)&gt;1,"Artikel doppelt im selben Lager; ",""))</f>
        <v/>
      </c>
      <c r="P627" s="47" t="n">
        <f aca="false">IF(OR($A627="",D627=""),0,IF(COUNTIF($D$2:D627,D627)=1,SUMIF($D$2:$D$5001,D627,$H$2:$H$5001)+ROW()/10000000,0))</f>
        <v>0</v>
      </c>
      <c r="Q627" s="47" t="n">
        <f aca="false">IF(OR($A627="",C627=""),0,IF(COUNTIF($C$2:C627,C627)=1,SUMIF($C$2:$C$5001,C627,$H$2:$H$5001)+ROW()/10000000,0))</f>
        <v>0</v>
      </c>
    </row>
    <row r="628" customFormat="false" ht="15" hidden="false" customHeight="false" outlineLevel="0" collapsed="false">
      <c r="A628" s="43"/>
      <c r="B628" s="44"/>
      <c r="C628" s="44"/>
      <c r="D628" s="44"/>
      <c r="E628" s="44"/>
      <c r="F628" s="44"/>
      <c r="G628" s="44"/>
      <c r="H628" s="46" t="str">
        <f aca="false">IF($A628="","",IF(OR(NOT(ISNUMBER(E628)),NOT(ISNUMBER(F628))),"",MAX(0,E628)*F628))</f>
        <v/>
      </c>
      <c r="I628" s="46" t="str">
        <f aca="false">IF($A628="","",SUMIF($A$2:$A$5001,$A628,$H$2:$H$5001))</f>
        <v/>
      </c>
      <c r="J628" s="47" t="n">
        <f aca="false">IF($A628="",0,IF(COUNTIF($A$2:A628,$A628)=1,1,0))</f>
        <v>0</v>
      </c>
      <c r="K628" s="47" t="n">
        <f aca="false">IF(J628=1,N(I628)+ROW()/10000000,0)</f>
        <v>0</v>
      </c>
      <c r="L628" s="47" t="str">
        <f aca="false">IF(AND(J628=1,N(I628)&gt;0),SUMIF($K$2:$K$5001,"&gt;="&amp;K628,$I$2:$I$5001)/MAX(1,SUM($H$2:$H$5001)),"")</f>
        <v/>
      </c>
      <c r="M628" s="47" t="str">
        <f aca="false">IF($A628="","",INDEX($L$2:$L$5001,MATCH($A628,$A$2:$A$5001,0)))</f>
        <v/>
      </c>
      <c r="N628" s="48" t="str">
        <f aca="false">IF($A628="","",IF(N(M628)=0,"–",IF(M628&lt;=Start!$D$20,"A",IF(M628&lt;=Start!$D$21,"B","C"))))</f>
        <v/>
      </c>
      <c r="O628" s="48" t="str">
        <f aca="false">IF($A628="","",IF(NOT(ISNUMBER(F628)),"Wert fehlt; ",IF(F628&lt;=0,"Wert ist 0; ",""))&amp;IF(NOT(ISNUMBER(E628)),"Bestand fehlt; ",IF(E628&lt;0,"Bestand negativ; ",IF(E628=0,"Nullbestand; ","")))&amp;IF(D628="","Warengruppe fehlt; ","")&amp;IF(B628="","Bezeichnung fehlt; ","")&amp;IF(COUNTIFS($A$2:$A$5001,$A628,$C$2:$C$5001,C628)&gt;1,"Artikel doppelt im selben Lager; ",""))</f>
        <v/>
      </c>
      <c r="P628" s="47" t="n">
        <f aca="false">IF(OR($A628="",D628=""),0,IF(COUNTIF($D$2:D628,D628)=1,SUMIF($D$2:$D$5001,D628,$H$2:$H$5001)+ROW()/10000000,0))</f>
        <v>0</v>
      </c>
      <c r="Q628" s="47" t="n">
        <f aca="false">IF(OR($A628="",C628=""),0,IF(COUNTIF($C$2:C628,C628)=1,SUMIF($C$2:$C$5001,C628,$H$2:$H$5001)+ROW()/10000000,0))</f>
        <v>0</v>
      </c>
    </row>
    <row r="629" customFormat="false" ht="15" hidden="false" customHeight="false" outlineLevel="0" collapsed="false">
      <c r="A629" s="43"/>
      <c r="B629" s="44"/>
      <c r="C629" s="44"/>
      <c r="D629" s="44"/>
      <c r="E629" s="44"/>
      <c r="F629" s="44"/>
      <c r="G629" s="44"/>
      <c r="H629" s="46" t="str">
        <f aca="false">IF($A629="","",IF(OR(NOT(ISNUMBER(E629)),NOT(ISNUMBER(F629))),"",MAX(0,E629)*F629))</f>
        <v/>
      </c>
      <c r="I629" s="46" t="str">
        <f aca="false">IF($A629="","",SUMIF($A$2:$A$5001,$A629,$H$2:$H$5001))</f>
        <v/>
      </c>
      <c r="J629" s="47" t="n">
        <f aca="false">IF($A629="",0,IF(COUNTIF($A$2:A629,$A629)=1,1,0))</f>
        <v>0</v>
      </c>
      <c r="K629" s="47" t="n">
        <f aca="false">IF(J629=1,N(I629)+ROW()/10000000,0)</f>
        <v>0</v>
      </c>
      <c r="L629" s="47" t="str">
        <f aca="false">IF(AND(J629=1,N(I629)&gt;0),SUMIF($K$2:$K$5001,"&gt;="&amp;K629,$I$2:$I$5001)/MAX(1,SUM($H$2:$H$5001)),"")</f>
        <v/>
      </c>
      <c r="M629" s="47" t="str">
        <f aca="false">IF($A629="","",INDEX($L$2:$L$5001,MATCH($A629,$A$2:$A$5001,0)))</f>
        <v/>
      </c>
      <c r="N629" s="48" t="str">
        <f aca="false">IF($A629="","",IF(N(M629)=0,"–",IF(M629&lt;=Start!$D$20,"A",IF(M629&lt;=Start!$D$21,"B","C"))))</f>
        <v/>
      </c>
      <c r="O629" s="48" t="str">
        <f aca="false">IF($A629="","",IF(NOT(ISNUMBER(F629)),"Wert fehlt; ",IF(F629&lt;=0,"Wert ist 0; ",""))&amp;IF(NOT(ISNUMBER(E629)),"Bestand fehlt; ",IF(E629&lt;0,"Bestand negativ; ",IF(E629=0,"Nullbestand; ","")))&amp;IF(D629="","Warengruppe fehlt; ","")&amp;IF(B629="","Bezeichnung fehlt; ","")&amp;IF(COUNTIFS($A$2:$A$5001,$A629,$C$2:$C$5001,C629)&gt;1,"Artikel doppelt im selben Lager; ",""))</f>
        <v/>
      </c>
      <c r="P629" s="47" t="n">
        <f aca="false">IF(OR($A629="",D629=""),0,IF(COUNTIF($D$2:D629,D629)=1,SUMIF($D$2:$D$5001,D629,$H$2:$H$5001)+ROW()/10000000,0))</f>
        <v>0</v>
      </c>
      <c r="Q629" s="47" t="n">
        <f aca="false">IF(OR($A629="",C629=""),0,IF(COUNTIF($C$2:C629,C629)=1,SUMIF($C$2:$C$5001,C629,$H$2:$H$5001)+ROW()/10000000,0))</f>
        <v>0</v>
      </c>
    </row>
    <row r="630" customFormat="false" ht="15" hidden="false" customHeight="false" outlineLevel="0" collapsed="false">
      <c r="A630" s="43"/>
      <c r="B630" s="44"/>
      <c r="C630" s="44"/>
      <c r="D630" s="44"/>
      <c r="E630" s="44"/>
      <c r="F630" s="44"/>
      <c r="G630" s="44"/>
      <c r="H630" s="46" t="str">
        <f aca="false">IF($A630="","",IF(OR(NOT(ISNUMBER(E630)),NOT(ISNUMBER(F630))),"",MAX(0,E630)*F630))</f>
        <v/>
      </c>
      <c r="I630" s="46" t="str">
        <f aca="false">IF($A630="","",SUMIF($A$2:$A$5001,$A630,$H$2:$H$5001))</f>
        <v/>
      </c>
      <c r="J630" s="47" t="n">
        <f aca="false">IF($A630="",0,IF(COUNTIF($A$2:A630,$A630)=1,1,0))</f>
        <v>0</v>
      </c>
      <c r="K630" s="47" t="n">
        <f aca="false">IF(J630=1,N(I630)+ROW()/10000000,0)</f>
        <v>0</v>
      </c>
      <c r="L630" s="47" t="str">
        <f aca="false">IF(AND(J630=1,N(I630)&gt;0),SUMIF($K$2:$K$5001,"&gt;="&amp;K630,$I$2:$I$5001)/MAX(1,SUM($H$2:$H$5001)),"")</f>
        <v/>
      </c>
      <c r="M630" s="47" t="str">
        <f aca="false">IF($A630="","",INDEX($L$2:$L$5001,MATCH($A630,$A$2:$A$5001,0)))</f>
        <v/>
      </c>
      <c r="N630" s="48" t="str">
        <f aca="false">IF($A630="","",IF(N(M630)=0,"–",IF(M630&lt;=Start!$D$20,"A",IF(M630&lt;=Start!$D$21,"B","C"))))</f>
        <v/>
      </c>
      <c r="O630" s="48" t="str">
        <f aca="false">IF($A630="","",IF(NOT(ISNUMBER(F630)),"Wert fehlt; ",IF(F630&lt;=0,"Wert ist 0; ",""))&amp;IF(NOT(ISNUMBER(E630)),"Bestand fehlt; ",IF(E630&lt;0,"Bestand negativ; ",IF(E630=0,"Nullbestand; ","")))&amp;IF(D630="","Warengruppe fehlt; ","")&amp;IF(B630="","Bezeichnung fehlt; ","")&amp;IF(COUNTIFS($A$2:$A$5001,$A630,$C$2:$C$5001,C630)&gt;1,"Artikel doppelt im selben Lager; ",""))</f>
        <v/>
      </c>
      <c r="P630" s="47" t="n">
        <f aca="false">IF(OR($A630="",D630=""),0,IF(COUNTIF($D$2:D630,D630)=1,SUMIF($D$2:$D$5001,D630,$H$2:$H$5001)+ROW()/10000000,0))</f>
        <v>0</v>
      </c>
      <c r="Q630" s="47" t="n">
        <f aca="false">IF(OR($A630="",C630=""),0,IF(COUNTIF($C$2:C630,C630)=1,SUMIF($C$2:$C$5001,C630,$H$2:$H$5001)+ROW()/10000000,0))</f>
        <v>0</v>
      </c>
    </row>
    <row r="631" customFormat="false" ht="15" hidden="false" customHeight="false" outlineLevel="0" collapsed="false">
      <c r="A631" s="43"/>
      <c r="B631" s="44"/>
      <c r="C631" s="44"/>
      <c r="D631" s="44"/>
      <c r="E631" s="44"/>
      <c r="F631" s="44"/>
      <c r="G631" s="44"/>
      <c r="H631" s="46" t="str">
        <f aca="false">IF($A631="","",IF(OR(NOT(ISNUMBER(E631)),NOT(ISNUMBER(F631))),"",MAX(0,E631)*F631))</f>
        <v/>
      </c>
      <c r="I631" s="46" t="str">
        <f aca="false">IF($A631="","",SUMIF($A$2:$A$5001,$A631,$H$2:$H$5001))</f>
        <v/>
      </c>
      <c r="J631" s="47" t="n">
        <f aca="false">IF($A631="",0,IF(COUNTIF($A$2:A631,$A631)=1,1,0))</f>
        <v>0</v>
      </c>
      <c r="K631" s="47" t="n">
        <f aca="false">IF(J631=1,N(I631)+ROW()/10000000,0)</f>
        <v>0</v>
      </c>
      <c r="L631" s="47" t="str">
        <f aca="false">IF(AND(J631=1,N(I631)&gt;0),SUMIF($K$2:$K$5001,"&gt;="&amp;K631,$I$2:$I$5001)/MAX(1,SUM($H$2:$H$5001)),"")</f>
        <v/>
      </c>
      <c r="M631" s="47" t="str">
        <f aca="false">IF($A631="","",INDEX($L$2:$L$5001,MATCH($A631,$A$2:$A$5001,0)))</f>
        <v/>
      </c>
      <c r="N631" s="48" t="str">
        <f aca="false">IF($A631="","",IF(N(M631)=0,"–",IF(M631&lt;=Start!$D$20,"A",IF(M631&lt;=Start!$D$21,"B","C"))))</f>
        <v/>
      </c>
      <c r="O631" s="48" t="str">
        <f aca="false">IF($A631="","",IF(NOT(ISNUMBER(F631)),"Wert fehlt; ",IF(F631&lt;=0,"Wert ist 0; ",""))&amp;IF(NOT(ISNUMBER(E631)),"Bestand fehlt; ",IF(E631&lt;0,"Bestand negativ; ",IF(E631=0,"Nullbestand; ","")))&amp;IF(D631="","Warengruppe fehlt; ","")&amp;IF(B631="","Bezeichnung fehlt; ","")&amp;IF(COUNTIFS($A$2:$A$5001,$A631,$C$2:$C$5001,C631)&gt;1,"Artikel doppelt im selben Lager; ",""))</f>
        <v/>
      </c>
      <c r="P631" s="47" t="n">
        <f aca="false">IF(OR($A631="",D631=""),0,IF(COUNTIF($D$2:D631,D631)=1,SUMIF($D$2:$D$5001,D631,$H$2:$H$5001)+ROW()/10000000,0))</f>
        <v>0</v>
      </c>
      <c r="Q631" s="47" t="n">
        <f aca="false">IF(OR($A631="",C631=""),0,IF(COUNTIF($C$2:C631,C631)=1,SUMIF($C$2:$C$5001,C631,$H$2:$H$5001)+ROW()/10000000,0))</f>
        <v>0</v>
      </c>
    </row>
    <row r="632" customFormat="false" ht="15" hidden="false" customHeight="false" outlineLevel="0" collapsed="false">
      <c r="A632" s="43"/>
      <c r="B632" s="44"/>
      <c r="C632" s="44"/>
      <c r="D632" s="44"/>
      <c r="E632" s="44"/>
      <c r="F632" s="44"/>
      <c r="G632" s="44"/>
      <c r="H632" s="46" t="str">
        <f aca="false">IF($A632="","",IF(OR(NOT(ISNUMBER(E632)),NOT(ISNUMBER(F632))),"",MAX(0,E632)*F632))</f>
        <v/>
      </c>
      <c r="I632" s="46" t="str">
        <f aca="false">IF($A632="","",SUMIF($A$2:$A$5001,$A632,$H$2:$H$5001))</f>
        <v/>
      </c>
      <c r="J632" s="47" t="n">
        <f aca="false">IF($A632="",0,IF(COUNTIF($A$2:A632,$A632)=1,1,0))</f>
        <v>0</v>
      </c>
      <c r="K632" s="47" t="n">
        <f aca="false">IF(J632=1,N(I632)+ROW()/10000000,0)</f>
        <v>0</v>
      </c>
      <c r="L632" s="47" t="str">
        <f aca="false">IF(AND(J632=1,N(I632)&gt;0),SUMIF($K$2:$K$5001,"&gt;="&amp;K632,$I$2:$I$5001)/MAX(1,SUM($H$2:$H$5001)),"")</f>
        <v/>
      </c>
      <c r="M632" s="47" t="str">
        <f aca="false">IF($A632="","",INDEX($L$2:$L$5001,MATCH($A632,$A$2:$A$5001,0)))</f>
        <v/>
      </c>
      <c r="N632" s="48" t="str">
        <f aca="false">IF($A632="","",IF(N(M632)=0,"–",IF(M632&lt;=Start!$D$20,"A",IF(M632&lt;=Start!$D$21,"B","C"))))</f>
        <v/>
      </c>
      <c r="O632" s="48" t="str">
        <f aca="false">IF($A632="","",IF(NOT(ISNUMBER(F632)),"Wert fehlt; ",IF(F632&lt;=0,"Wert ist 0; ",""))&amp;IF(NOT(ISNUMBER(E632)),"Bestand fehlt; ",IF(E632&lt;0,"Bestand negativ; ",IF(E632=0,"Nullbestand; ","")))&amp;IF(D632="","Warengruppe fehlt; ","")&amp;IF(B632="","Bezeichnung fehlt; ","")&amp;IF(COUNTIFS($A$2:$A$5001,$A632,$C$2:$C$5001,C632)&gt;1,"Artikel doppelt im selben Lager; ",""))</f>
        <v/>
      </c>
      <c r="P632" s="47" t="n">
        <f aca="false">IF(OR($A632="",D632=""),0,IF(COUNTIF($D$2:D632,D632)=1,SUMIF($D$2:$D$5001,D632,$H$2:$H$5001)+ROW()/10000000,0))</f>
        <v>0</v>
      </c>
      <c r="Q632" s="47" t="n">
        <f aca="false">IF(OR($A632="",C632=""),0,IF(COUNTIF($C$2:C632,C632)=1,SUMIF($C$2:$C$5001,C632,$H$2:$H$5001)+ROW()/10000000,0))</f>
        <v>0</v>
      </c>
    </row>
    <row r="633" customFormat="false" ht="15" hidden="false" customHeight="false" outlineLevel="0" collapsed="false">
      <c r="A633" s="43"/>
      <c r="B633" s="44"/>
      <c r="C633" s="44"/>
      <c r="D633" s="44"/>
      <c r="E633" s="44"/>
      <c r="F633" s="44"/>
      <c r="G633" s="44"/>
      <c r="H633" s="46" t="str">
        <f aca="false">IF($A633="","",IF(OR(NOT(ISNUMBER(E633)),NOT(ISNUMBER(F633))),"",MAX(0,E633)*F633))</f>
        <v/>
      </c>
      <c r="I633" s="46" t="str">
        <f aca="false">IF($A633="","",SUMIF($A$2:$A$5001,$A633,$H$2:$H$5001))</f>
        <v/>
      </c>
      <c r="J633" s="47" t="n">
        <f aca="false">IF($A633="",0,IF(COUNTIF($A$2:A633,$A633)=1,1,0))</f>
        <v>0</v>
      </c>
      <c r="K633" s="47" t="n">
        <f aca="false">IF(J633=1,N(I633)+ROW()/10000000,0)</f>
        <v>0</v>
      </c>
      <c r="L633" s="47" t="str">
        <f aca="false">IF(AND(J633=1,N(I633)&gt;0),SUMIF($K$2:$K$5001,"&gt;="&amp;K633,$I$2:$I$5001)/MAX(1,SUM($H$2:$H$5001)),"")</f>
        <v/>
      </c>
      <c r="M633" s="47" t="str">
        <f aca="false">IF($A633="","",INDEX($L$2:$L$5001,MATCH($A633,$A$2:$A$5001,0)))</f>
        <v/>
      </c>
      <c r="N633" s="48" t="str">
        <f aca="false">IF($A633="","",IF(N(M633)=0,"–",IF(M633&lt;=Start!$D$20,"A",IF(M633&lt;=Start!$D$21,"B","C"))))</f>
        <v/>
      </c>
      <c r="O633" s="48" t="str">
        <f aca="false">IF($A633="","",IF(NOT(ISNUMBER(F633)),"Wert fehlt; ",IF(F633&lt;=0,"Wert ist 0; ",""))&amp;IF(NOT(ISNUMBER(E633)),"Bestand fehlt; ",IF(E633&lt;0,"Bestand negativ; ",IF(E633=0,"Nullbestand; ","")))&amp;IF(D633="","Warengruppe fehlt; ","")&amp;IF(B633="","Bezeichnung fehlt; ","")&amp;IF(COUNTIFS($A$2:$A$5001,$A633,$C$2:$C$5001,C633)&gt;1,"Artikel doppelt im selben Lager; ",""))</f>
        <v/>
      </c>
      <c r="P633" s="47" t="n">
        <f aca="false">IF(OR($A633="",D633=""),0,IF(COUNTIF($D$2:D633,D633)=1,SUMIF($D$2:$D$5001,D633,$H$2:$H$5001)+ROW()/10000000,0))</f>
        <v>0</v>
      </c>
      <c r="Q633" s="47" t="n">
        <f aca="false">IF(OR($A633="",C633=""),0,IF(COUNTIF($C$2:C633,C633)=1,SUMIF($C$2:$C$5001,C633,$H$2:$H$5001)+ROW()/10000000,0))</f>
        <v>0</v>
      </c>
    </row>
    <row r="634" customFormat="false" ht="15" hidden="false" customHeight="false" outlineLevel="0" collapsed="false">
      <c r="A634" s="43"/>
      <c r="B634" s="44"/>
      <c r="C634" s="44"/>
      <c r="D634" s="44"/>
      <c r="E634" s="44"/>
      <c r="F634" s="44"/>
      <c r="G634" s="44"/>
      <c r="H634" s="46" t="str">
        <f aca="false">IF($A634="","",IF(OR(NOT(ISNUMBER(E634)),NOT(ISNUMBER(F634))),"",MAX(0,E634)*F634))</f>
        <v/>
      </c>
      <c r="I634" s="46" t="str">
        <f aca="false">IF($A634="","",SUMIF($A$2:$A$5001,$A634,$H$2:$H$5001))</f>
        <v/>
      </c>
      <c r="J634" s="47" t="n">
        <f aca="false">IF($A634="",0,IF(COUNTIF($A$2:A634,$A634)=1,1,0))</f>
        <v>0</v>
      </c>
      <c r="K634" s="47" t="n">
        <f aca="false">IF(J634=1,N(I634)+ROW()/10000000,0)</f>
        <v>0</v>
      </c>
      <c r="L634" s="47" t="str">
        <f aca="false">IF(AND(J634=1,N(I634)&gt;0),SUMIF($K$2:$K$5001,"&gt;="&amp;K634,$I$2:$I$5001)/MAX(1,SUM($H$2:$H$5001)),"")</f>
        <v/>
      </c>
      <c r="M634" s="47" t="str">
        <f aca="false">IF($A634="","",INDEX($L$2:$L$5001,MATCH($A634,$A$2:$A$5001,0)))</f>
        <v/>
      </c>
      <c r="N634" s="48" t="str">
        <f aca="false">IF($A634="","",IF(N(M634)=0,"–",IF(M634&lt;=Start!$D$20,"A",IF(M634&lt;=Start!$D$21,"B","C"))))</f>
        <v/>
      </c>
      <c r="O634" s="48" t="str">
        <f aca="false">IF($A634="","",IF(NOT(ISNUMBER(F634)),"Wert fehlt; ",IF(F634&lt;=0,"Wert ist 0; ",""))&amp;IF(NOT(ISNUMBER(E634)),"Bestand fehlt; ",IF(E634&lt;0,"Bestand negativ; ",IF(E634=0,"Nullbestand; ","")))&amp;IF(D634="","Warengruppe fehlt; ","")&amp;IF(B634="","Bezeichnung fehlt; ","")&amp;IF(COUNTIFS($A$2:$A$5001,$A634,$C$2:$C$5001,C634)&gt;1,"Artikel doppelt im selben Lager; ",""))</f>
        <v/>
      </c>
      <c r="P634" s="47" t="n">
        <f aca="false">IF(OR($A634="",D634=""),0,IF(COUNTIF($D$2:D634,D634)=1,SUMIF($D$2:$D$5001,D634,$H$2:$H$5001)+ROW()/10000000,0))</f>
        <v>0</v>
      </c>
      <c r="Q634" s="47" t="n">
        <f aca="false">IF(OR($A634="",C634=""),0,IF(COUNTIF($C$2:C634,C634)=1,SUMIF($C$2:$C$5001,C634,$H$2:$H$5001)+ROW()/10000000,0))</f>
        <v>0</v>
      </c>
    </row>
    <row r="635" customFormat="false" ht="15" hidden="false" customHeight="false" outlineLevel="0" collapsed="false">
      <c r="A635" s="43"/>
      <c r="B635" s="44"/>
      <c r="C635" s="44"/>
      <c r="D635" s="44"/>
      <c r="E635" s="44"/>
      <c r="F635" s="44"/>
      <c r="G635" s="44"/>
      <c r="H635" s="46" t="str">
        <f aca="false">IF($A635="","",IF(OR(NOT(ISNUMBER(E635)),NOT(ISNUMBER(F635))),"",MAX(0,E635)*F635))</f>
        <v/>
      </c>
      <c r="I635" s="46" t="str">
        <f aca="false">IF($A635="","",SUMIF($A$2:$A$5001,$A635,$H$2:$H$5001))</f>
        <v/>
      </c>
      <c r="J635" s="47" t="n">
        <f aca="false">IF($A635="",0,IF(COUNTIF($A$2:A635,$A635)=1,1,0))</f>
        <v>0</v>
      </c>
      <c r="K635" s="47" t="n">
        <f aca="false">IF(J635=1,N(I635)+ROW()/10000000,0)</f>
        <v>0</v>
      </c>
      <c r="L635" s="47" t="str">
        <f aca="false">IF(AND(J635=1,N(I635)&gt;0),SUMIF($K$2:$K$5001,"&gt;="&amp;K635,$I$2:$I$5001)/MAX(1,SUM($H$2:$H$5001)),"")</f>
        <v/>
      </c>
      <c r="M635" s="47" t="str">
        <f aca="false">IF($A635="","",INDEX($L$2:$L$5001,MATCH($A635,$A$2:$A$5001,0)))</f>
        <v/>
      </c>
      <c r="N635" s="48" t="str">
        <f aca="false">IF($A635="","",IF(N(M635)=0,"–",IF(M635&lt;=Start!$D$20,"A",IF(M635&lt;=Start!$D$21,"B","C"))))</f>
        <v/>
      </c>
      <c r="O635" s="48" t="str">
        <f aca="false">IF($A635="","",IF(NOT(ISNUMBER(F635)),"Wert fehlt; ",IF(F635&lt;=0,"Wert ist 0; ",""))&amp;IF(NOT(ISNUMBER(E635)),"Bestand fehlt; ",IF(E635&lt;0,"Bestand negativ; ",IF(E635=0,"Nullbestand; ","")))&amp;IF(D635="","Warengruppe fehlt; ","")&amp;IF(B635="","Bezeichnung fehlt; ","")&amp;IF(COUNTIFS($A$2:$A$5001,$A635,$C$2:$C$5001,C635)&gt;1,"Artikel doppelt im selben Lager; ",""))</f>
        <v/>
      </c>
      <c r="P635" s="47" t="n">
        <f aca="false">IF(OR($A635="",D635=""),0,IF(COUNTIF($D$2:D635,D635)=1,SUMIF($D$2:$D$5001,D635,$H$2:$H$5001)+ROW()/10000000,0))</f>
        <v>0</v>
      </c>
      <c r="Q635" s="47" t="n">
        <f aca="false">IF(OR($A635="",C635=""),0,IF(COUNTIF($C$2:C635,C635)=1,SUMIF($C$2:$C$5001,C635,$H$2:$H$5001)+ROW()/10000000,0))</f>
        <v>0</v>
      </c>
    </row>
    <row r="636" customFormat="false" ht="15" hidden="false" customHeight="false" outlineLevel="0" collapsed="false">
      <c r="A636" s="43"/>
      <c r="B636" s="44"/>
      <c r="C636" s="44"/>
      <c r="D636" s="44"/>
      <c r="E636" s="44"/>
      <c r="F636" s="44"/>
      <c r="G636" s="44"/>
      <c r="H636" s="46" t="str">
        <f aca="false">IF($A636="","",IF(OR(NOT(ISNUMBER(E636)),NOT(ISNUMBER(F636))),"",MAX(0,E636)*F636))</f>
        <v/>
      </c>
      <c r="I636" s="46" t="str">
        <f aca="false">IF($A636="","",SUMIF($A$2:$A$5001,$A636,$H$2:$H$5001))</f>
        <v/>
      </c>
      <c r="J636" s="47" t="n">
        <f aca="false">IF($A636="",0,IF(COUNTIF($A$2:A636,$A636)=1,1,0))</f>
        <v>0</v>
      </c>
      <c r="K636" s="47" t="n">
        <f aca="false">IF(J636=1,N(I636)+ROW()/10000000,0)</f>
        <v>0</v>
      </c>
      <c r="L636" s="47" t="str">
        <f aca="false">IF(AND(J636=1,N(I636)&gt;0),SUMIF($K$2:$K$5001,"&gt;="&amp;K636,$I$2:$I$5001)/MAX(1,SUM($H$2:$H$5001)),"")</f>
        <v/>
      </c>
      <c r="M636" s="47" t="str">
        <f aca="false">IF($A636="","",INDEX($L$2:$L$5001,MATCH($A636,$A$2:$A$5001,0)))</f>
        <v/>
      </c>
      <c r="N636" s="48" t="str">
        <f aca="false">IF($A636="","",IF(N(M636)=0,"–",IF(M636&lt;=Start!$D$20,"A",IF(M636&lt;=Start!$D$21,"B","C"))))</f>
        <v/>
      </c>
      <c r="O636" s="48" t="str">
        <f aca="false">IF($A636="","",IF(NOT(ISNUMBER(F636)),"Wert fehlt; ",IF(F636&lt;=0,"Wert ist 0; ",""))&amp;IF(NOT(ISNUMBER(E636)),"Bestand fehlt; ",IF(E636&lt;0,"Bestand negativ; ",IF(E636=0,"Nullbestand; ","")))&amp;IF(D636="","Warengruppe fehlt; ","")&amp;IF(B636="","Bezeichnung fehlt; ","")&amp;IF(COUNTIFS($A$2:$A$5001,$A636,$C$2:$C$5001,C636)&gt;1,"Artikel doppelt im selben Lager; ",""))</f>
        <v/>
      </c>
      <c r="P636" s="47" t="n">
        <f aca="false">IF(OR($A636="",D636=""),0,IF(COUNTIF($D$2:D636,D636)=1,SUMIF($D$2:$D$5001,D636,$H$2:$H$5001)+ROW()/10000000,0))</f>
        <v>0</v>
      </c>
      <c r="Q636" s="47" t="n">
        <f aca="false">IF(OR($A636="",C636=""),0,IF(COUNTIF($C$2:C636,C636)=1,SUMIF($C$2:$C$5001,C636,$H$2:$H$5001)+ROW()/10000000,0))</f>
        <v>0</v>
      </c>
    </row>
    <row r="637" customFormat="false" ht="15" hidden="false" customHeight="false" outlineLevel="0" collapsed="false">
      <c r="A637" s="43"/>
      <c r="B637" s="44"/>
      <c r="C637" s="44"/>
      <c r="D637" s="44"/>
      <c r="E637" s="44"/>
      <c r="F637" s="44"/>
      <c r="G637" s="44"/>
      <c r="H637" s="46" t="str">
        <f aca="false">IF($A637="","",IF(OR(NOT(ISNUMBER(E637)),NOT(ISNUMBER(F637))),"",MAX(0,E637)*F637))</f>
        <v/>
      </c>
      <c r="I637" s="46" t="str">
        <f aca="false">IF($A637="","",SUMIF($A$2:$A$5001,$A637,$H$2:$H$5001))</f>
        <v/>
      </c>
      <c r="J637" s="47" t="n">
        <f aca="false">IF($A637="",0,IF(COUNTIF($A$2:A637,$A637)=1,1,0))</f>
        <v>0</v>
      </c>
      <c r="K637" s="47" t="n">
        <f aca="false">IF(J637=1,N(I637)+ROW()/10000000,0)</f>
        <v>0</v>
      </c>
      <c r="L637" s="47" t="str">
        <f aca="false">IF(AND(J637=1,N(I637)&gt;0),SUMIF($K$2:$K$5001,"&gt;="&amp;K637,$I$2:$I$5001)/MAX(1,SUM($H$2:$H$5001)),"")</f>
        <v/>
      </c>
      <c r="M637" s="47" t="str">
        <f aca="false">IF($A637="","",INDEX($L$2:$L$5001,MATCH($A637,$A$2:$A$5001,0)))</f>
        <v/>
      </c>
      <c r="N637" s="48" t="str">
        <f aca="false">IF($A637="","",IF(N(M637)=0,"–",IF(M637&lt;=Start!$D$20,"A",IF(M637&lt;=Start!$D$21,"B","C"))))</f>
        <v/>
      </c>
      <c r="O637" s="48" t="str">
        <f aca="false">IF($A637="","",IF(NOT(ISNUMBER(F637)),"Wert fehlt; ",IF(F637&lt;=0,"Wert ist 0; ",""))&amp;IF(NOT(ISNUMBER(E637)),"Bestand fehlt; ",IF(E637&lt;0,"Bestand negativ; ",IF(E637=0,"Nullbestand; ","")))&amp;IF(D637="","Warengruppe fehlt; ","")&amp;IF(B637="","Bezeichnung fehlt; ","")&amp;IF(COUNTIFS($A$2:$A$5001,$A637,$C$2:$C$5001,C637)&gt;1,"Artikel doppelt im selben Lager; ",""))</f>
        <v/>
      </c>
      <c r="P637" s="47" t="n">
        <f aca="false">IF(OR($A637="",D637=""),0,IF(COUNTIF($D$2:D637,D637)=1,SUMIF($D$2:$D$5001,D637,$H$2:$H$5001)+ROW()/10000000,0))</f>
        <v>0</v>
      </c>
      <c r="Q637" s="47" t="n">
        <f aca="false">IF(OR($A637="",C637=""),0,IF(COUNTIF($C$2:C637,C637)=1,SUMIF($C$2:$C$5001,C637,$H$2:$H$5001)+ROW()/10000000,0))</f>
        <v>0</v>
      </c>
    </row>
    <row r="638" customFormat="false" ht="15" hidden="false" customHeight="false" outlineLevel="0" collapsed="false">
      <c r="A638" s="43"/>
      <c r="B638" s="44"/>
      <c r="C638" s="44"/>
      <c r="D638" s="44"/>
      <c r="E638" s="44"/>
      <c r="F638" s="44"/>
      <c r="G638" s="44"/>
      <c r="H638" s="46" t="str">
        <f aca="false">IF($A638="","",IF(OR(NOT(ISNUMBER(E638)),NOT(ISNUMBER(F638))),"",MAX(0,E638)*F638))</f>
        <v/>
      </c>
      <c r="I638" s="46" t="str">
        <f aca="false">IF($A638="","",SUMIF($A$2:$A$5001,$A638,$H$2:$H$5001))</f>
        <v/>
      </c>
      <c r="J638" s="47" t="n">
        <f aca="false">IF($A638="",0,IF(COUNTIF($A$2:A638,$A638)=1,1,0))</f>
        <v>0</v>
      </c>
      <c r="K638" s="47" t="n">
        <f aca="false">IF(J638=1,N(I638)+ROW()/10000000,0)</f>
        <v>0</v>
      </c>
      <c r="L638" s="47" t="str">
        <f aca="false">IF(AND(J638=1,N(I638)&gt;0),SUMIF($K$2:$K$5001,"&gt;="&amp;K638,$I$2:$I$5001)/MAX(1,SUM($H$2:$H$5001)),"")</f>
        <v/>
      </c>
      <c r="M638" s="47" t="str">
        <f aca="false">IF($A638="","",INDEX($L$2:$L$5001,MATCH($A638,$A$2:$A$5001,0)))</f>
        <v/>
      </c>
      <c r="N638" s="48" t="str">
        <f aca="false">IF($A638="","",IF(N(M638)=0,"–",IF(M638&lt;=Start!$D$20,"A",IF(M638&lt;=Start!$D$21,"B","C"))))</f>
        <v/>
      </c>
      <c r="O638" s="48" t="str">
        <f aca="false">IF($A638="","",IF(NOT(ISNUMBER(F638)),"Wert fehlt; ",IF(F638&lt;=0,"Wert ist 0; ",""))&amp;IF(NOT(ISNUMBER(E638)),"Bestand fehlt; ",IF(E638&lt;0,"Bestand negativ; ",IF(E638=0,"Nullbestand; ","")))&amp;IF(D638="","Warengruppe fehlt; ","")&amp;IF(B638="","Bezeichnung fehlt; ","")&amp;IF(COUNTIFS($A$2:$A$5001,$A638,$C$2:$C$5001,C638)&gt;1,"Artikel doppelt im selben Lager; ",""))</f>
        <v/>
      </c>
      <c r="P638" s="47" t="n">
        <f aca="false">IF(OR($A638="",D638=""),0,IF(COUNTIF($D$2:D638,D638)=1,SUMIF($D$2:$D$5001,D638,$H$2:$H$5001)+ROW()/10000000,0))</f>
        <v>0</v>
      </c>
      <c r="Q638" s="47" t="n">
        <f aca="false">IF(OR($A638="",C638=""),0,IF(COUNTIF($C$2:C638,C638)=1,SUMIF($C$2:$C$5001,C638,$H$2:$H$5001)+ROW()/10000000,0))</f>
        <v>0</v>
      </c>
    </row>
    <row r="639" customFormat="false" ht="15" hidden="false" customHeight="false" outlineLevel="0" collapsed="false">
      <c r="A639" s="43"/>
      <c r="B639" s="44"/>
      <c r="C639" s="44"/>
      <c r="D639" s="44"/>
      <c r="E639" s="44"/>
      <c r="F639" s="44"/>
      <c r="G639" s="44"/>
      <c r="H639" s="46" t="str">
        <f aca="false">IF($A639="","",IF(OR(NOT(ISNUMBER(E639)),NOT(ISNUMBER(F639))),"",MAX(0,E639)*F639))</f>
        <v/>
      </c>
      <c r="I639" s="46" t="str">
        <f aca="false">IF($A639="","",SUMIF($A$2:$A$5001,$A639,$H$2:$H$5001))</f>
        <v/>
      </c>
      <c r="J639" s="47" t="n">
        <f aca="false">IF($A639="",0,IF(COUNTIF($A$2:A639,$A639)=1,1,0))</f>
        <v>0</v>
      </c>
      <c r="K639" s="47" t="n">
        <f aca="false">IF(J639=1,N(I639)+ROW()/10000000,0)</f>
        <v>0</v>
      </c>
      <c r="L639" s="47" t="str">
        <f aca="false">IF(AND(J639=1,N(I639)&gt;0),SUMIF($K$2:$K$5001,"&gt;="&amp;K639,$I$2:$I$5001)/MAX(1,SUM($H$2:$H$5001)),"")</f>
        <v/>
      </c>
      <c r="M639" s="47" t="str">
        <f aca="false">IF($A639="","",INDEX($L$2:$L$5001,MATCH($A639,$A$2:$A$5001,0)))</f>
        <v/>
      </c>
      <c r="N639" s="48" t="str">
        <f aca="false">IF($A639="","",IF(N(M639)=0,"–",IF(M639&lt;=Start!$D$20,"A",IF(M639&lt;=Start!$D$21,"B","C"))))</f>
        <v/>
      </c>
      <c r="O639" s="48" t="str">
        <f aca="false">IF($A639="","",IF(NOT(ISNUMBER(F639)),"Wert fehlt; ",IF(F639&lt;=0,"Wert ist 0; ",""))&amp;IF(NOT(ISNUMBER(E639)),"Bestand fehlt; ",IF(E639&lt;0,"Bestand negativ; ",IF(E639=0,"Nullbestand; ","")))&amp;IF(D639="","Warengruppe fehlt; ","")&amp;IF(B639="","Bezeichnung fehlt; ","")&amp;IF(COUNTIFS($A$2:$A$5001,$A639,$C$2:$C$5001,C639)&gt;1,"Artikel doppelt im selben Lager; ",""))</f>
        <v/>
      </c>
      <c r="P639" s="47" t="n">
        <f aca="false">IF(OR($A639="",D639=""),0,IF(COUNTIF($D$2:D639,D639)=1,SUMIF($D$2:$D$5001,D639,$H$2:$H$5001)+ROW()/10000000,0))</f>
        <v>0</v>
      </c>
      <c r="Q639" s="47" t="n">
        <f aca="false">IF(OR($A639="",C639=""),0,IF(COUNTIF($C$2:C639,C639)=1,SUMIF($C$2:$C$5001,C639,$H$2:$H$5001)+ROW()/10000000,0))</f>
        <v>0</v>
      </c>
    </row>
    <row r="640" customFormat="false" ht="15" hidden="false" customHeight="false" outlineLevel="0" collapsed="false">
      <c r="A640" s="43"/>
      <c r="B640" s="44"/>
      <c r="C640" s="44"/>
      <c r="D640" s="44"/>
      <c r="E640" s="44"/>
      <c r="F640" s="44"/>
      <c r="G640" s="44"/>
      <c r="H640" s="46" t="str">
        <f aca="false">IF($A640="","",IF(OR(NOT(ISNUMBER(E640)),NOT(ISNUMBER(F640))),"",MAX(0,E640)*F640))</f>
        <v/>
      </c>
      <c r="I640" s="46" t="str">
        <f aca="false">IF($A640="","",SUMIF($A$2:$A$5001,$A640,$H$2:$H$5001))</f>
        <v/>
      </c>
      <c r="J640" s="47" t="n">
        <f aca="false">IF($A640="",0,IF(COUNTIF($A$2:A640,$A640)=1,1,0))</f>
        <v>0</v>
      </c>
      <c r="K640" s="47" t="n">
        <f aca="false">IF(J640=1,N(I640)+ROW()/10000000,0)</f>
        <v>0</v>
      </c>
      <c r="L640" s="47" t="str">
        <f aca="false">IF(AND(J640=1,N(I640)&gt;0),SUMIF($K$2:$K$5001,"&gt;="&amp;K640,$I$2:$I$5001)/MAX(1,SUM($H$2:$H$5001)),"")</f>
        <v/>
      </c>
      <c r="M640" s="47" t="str">
        <f aca="false">IF($A640="","",INDEX($L$2:$L$5001,MATCH($A640,$A$2:$A$5001,0)))</f>
        <v/>
      </c>
      <c r="N640" s="48" t="str">
        <f aca="false">IF($A640="","",IF(N(M640)=0,"–",IF(M640&lt;=Start!$D$20,"A",IF(M640&lt;=Start!$D$21,"B","C"))))</f>
        <v/>
      </c>
      <c r="O640" s="48" t="str">
        <f aca="false">IF($A640="","",IF(NOT(ISNUMBER(F640)),"Wert fehlt; ",IF(F640&lt;=0,"Wert ist 0; ",""))&amp;IF(NOT(ISNUMBER(E640)),"Bestand fehlt; ",IF(E640&lt;0,"Bestand negativ; ",IF(E640=0,"Nullbestand; ","")))&amp;IF(D640="","Warengruppe fehlt; ","")&amp;IF(B640="","Bezeichnung fehlt; ","")&amp;IF(COUNTIFS($A$2:$A$5001,$A640,$C$2:$C$5001,C640)&gt;1,"Artikel doppelt im selben Lager; ",""))</f>
        <v/>
      </c>
      <c r="P640" s="47" t="n">
        <f aca="false">IF(OR($A640="",D640=""),0,IF(COUNTIF($D$2:D640,D640)=1,SUMIF($D$2:$D$5001,D640,$H$2:$H$5001)+ROW()/10000000,0))</f>
        <v>0</v>
      </c>
      <c r="Q640" s="47" t="n">
        <f aca="false">IF(OR($A640="",C640=""),0,IF(COUNTIF($C$2:C640,C640)=1,SUMIF($C$2:$C$5001,C640,$H$2:$H$5001)+ROW()/10000000,0))</f>
        <v>0</v>
      </c>
    </row>
    <row r="641" customFormat="false" ht="15" hidden="false" customHeight="false" outlineLevel="0" collapsed="false">
      <c r="A641" s="43"/>
      <c r="B641" s="44"/>
      <c r="C641" s="44"/>
      <c r="D641" s="44"/>
      <c r="E641" s="44"/>
      <c r="F641" s="44"/>
      <c r="G641" s="44"/>
      <c r="H641" s="46" t="str">
        <f aca="false">IF($A641="","",IF(OR(NOT(ISNUMBER(E641)),NOT(ISNUMBER(F641))),"",MAX(0,E641)*F641))</f>
        <v/>
      </c>
      <c r="I641" s="46" t="str">
        <f aca="false">IF($A641="","",SUMIF($A$2:$A$5001,$A641,$H$2:$H$5001))</f>
        <v/>
      </c>
      <c r="J641" s="47" t="n">
        <f aca="false">IF($A641="",0,IF(COUNTIF($A$2:A641,$A641)=1,1,0))</f>
        <v>0</v>
      </c>
      <c r="K641" s="47" t="n">
        <f aca="false">IF(J641=1,N(I641)+ROW()/10000000,0)</f>
        <v>0</v>
      </c>
      <c r="L641" s="47" t="str">
        <f aca="false">IF(AND(J641=1,N(I641)&gt;0),SUMIF($K$2:$K$5001,"&gt;="&amp;K641,$I$2:$I$5001)/MAX(1,SUM($H$2:$H$5001)),"")</f>
        <v/>
      </c>
      <c r="M641" s="47" t="str">
        <f aca="false">IF($A641="","",INDEX($L$2:$L$5001,MATCH($A641,$A$2:$A$5001,0)))</f>
        <v/>
      </c>
      <c r="N641" s="48" t="str">
        <f aca="false">IF($A641="","",IF(N(M641)=0,"–",IF(M641&lt;=Start!$D$20,"A",IF(M641&lt;=Start!$D$21,"B","C"))))</f>
        <v/>
      </c>
      <c r="O641" s="48" t="str">
        <f aca="false">IF($A641="","",IF(NOT(ISNUMBER(F641)),"Wert fehlt; ",IF(F641&lt;=0,"Wert ist 0; ",""))&amp;IF(NOT(ISNUMBER(E641)),"Bestand fehlt; ",IF(E641&lt;0,"Bestand negativ; ",IF(E641=0,"Nullbestand; ","")))&amp;IF(D641="","Warengruppe fehlt; ","")&amp;IF(B641="","Bezeichnung fehlt; ","")&amp;IF(COUNTIFS($A$2:$A$5001,$A641,$C$2:$C$5001,C641)&gt;1,"Artikel doppelt im selben Lager; ",""))</f>
        <v/>
      </c>
      <c r="P641" s="47" t="n">
        <f aca="false">IF(OR($A641="",D641=""),0,IF(COUNTIF($D$2:D641,D641)=1,SUMIF($D$2:$D$5001,D641,$H$2:$H$5001)+ROW()/10000000,0))</f>
        <v>0</v>
      </c>
      <c r="Q641" s="47" t="n">
        <f aca="false">IF(OR($A641="",C641=""),0,IF(COUNTIF($C$2:C641,C641)=1,SUMIF($C$2:$C$5001,C641,$H$2:$H$5001)+ROW()/10000000,0))</f>
        <v>0</v>
      </c>
    </row>
    <row r="642" customFormat="false" ht="15" hidden="false" customHeight="false" outlineLevel="0" collapsed="false">
      <c r="A642" s="43"/>
      <c r="B642" s="44"/>
      <c r="C642" s="44"/>
      <c r="D642" s="44"/>
      <c r="E642" s="44"/>
      <c r="F642" s="44"/>
      <c r="G642" s="44"/>
      <c r="H642" s="46" t="str">
        <f aca="false">IF($A642="","",IF(OR(NOT(ISNUMBER(E642)),NOT(ISNUMBER(F642))),"",MAX(0,E642)*F642))</f>
        <v/>
      </c>
      <c r="I642" s="46" t="str">
        <f aca="false">IF($A642="","",SUMIF($A$2:$A$5001,$A642,$H$2:$H$5001))</f>
        <v/>
      </c>
      <c r="J642" s="47" t="n">
        <f aca="false">IF($A642="",0,IF(COUNTIF($A$2:A642,$A642)=1,1,0))</f>
        <v>0</v>
      </c>
      <c r="K642" s="47" t="n">
        <f aca="false">IF(J642=1,N(I642)+ROW()/10000000,0)</f>
        <v>0</v>
      </c>
      <c r="L642" s="47" t="str">
        <f aca="false">IF(AND(J642=1,N(I642)&gt;0),SUMIF($K$2:$K$5001,"&gt;="&amp;K642,$I$2:$I$5001)/MAX(1,SUM($H$2:$H$5001)),"")</f>
        <v/>
      </c>
      <c r="M642" s="47" t="str">
        <f aca="false">IF($A642="","",INDEX($L$2:$L$5001,MATCH($A642,$A$2:$A$5001,0)))</f>
        <v/>
      </c>
      <c r="N642" s="48" t="str">
        <f aca="false">IF($A642="","",IF(N(M642)=0,"–",IF(M642&lt;=Start!$D$20,"A",IF(M642&lt;=Start!$D$21,"B","C"))))</f>
        <v/>
      </c>
      <c r="O642" s="48" t="str">
        <f aca="false">IF($A642="","",IF(NOT(ISNUMBER(F642)),"Wert fehlt; ",IF(F642&lt;=0,"Wert ist 0; ",""))&amp;IF(NOT(ISNUMBER(E642)),"Bestand fehlt; ",IF(E642&lt;0,"Bestand negativ; ",IF(E642=0,"Nullbestand; ","")))&amp;IF(D642="","Warengruppe fehlt; ","")&amp;IF(B642="","Bezeichnung fehlt; ","")&amp;IF(COUNTIFS($A$2:$A$5001,$A642,$C$2:$C$5001,C642)&gt;1,"Artikel doppelt im selben Lager; ",""))</f>
        <v/>
      </c>
      <c r="P642" s="47" t="n">
        <f aca="false">IF(OR($A642="",D642=""),0,IF(COUNTIF($D$2:D642,D642)=1,SUMIF($D$2:$D$5001,D642,$H$2:$H$5001)+ROW()/10000000,0))</f>
        <v>0</v>
      </c>
      <c r="Q642" s="47" t="n">
        <f aca="false">IF(OR($A642="",C642=""),0,IF(COUNTIF($C$2:C642,C642)=1,SUMIF($C$2:$C$5001,C642,$H$2:$H$5001)+ROW()/10000000,0))</f>
        <v>0</v>
      </c>
    </row>
    <row r="643" customFormat="false" ht="15" hidden="false" customHeight="false" outlineLevel="0" collapsed="false">
      <c r="A643" s="43"/>
      <c r="B643" s="44"/>
      <c r="C643" s="44"/>
      <c r="D643" s="44"/>
      <c r="E643" s="44"/>
      <c r="F643" s="44"/>
      <c r="G643" s="44"/>
      <c r="H643" s="46" t="str">
        <f aca="false">IF($A643="","",IF(OR(NOT(ISNUMBER(E643)),NOT(ISNUMBER(F643))),"",MAX(0,E643)*F643))</f>
        <v/>
      </c>
      <c r="I643" s="46" t="str">
        <f aca="false">IF($A643="","",SUMIF($A$2:$A$5001,$A643,$H$2:$H$5001))</f>
        <v/>
      </c>
      <c r="J643" s="47" t="n">
        <f aca="false">IF($A643="",0,IF(COUNTIF($A$2:A643,$A643)=1,1,0))</f>
        <v>0</v>
      </c>
      <c r="K643" s="47" t="n">
        <f aca="false">IF(J643=1,N(I643)+ROW()/10000000,0)</f>
        <v>0</v>
      </c>
      <c r="L643" s="47" t="str">
        <f aca="false">IF(AND(J643=1,N(I643)&gt;0),SUMIF($K$2:$K$5001,"&gt;="&amp;K643,$I$2:$I$5001)/MAX(1,SUM($H$2:$H$5001)),"")</f>
        <v/>
      </c>
      <c r="M643" s="47" t="str">
        <f aca="false">IF($A643="","",INDEX($L$2:$L$5001,MATCH($A643,$A$2:$A$5001,0)))</f>
        <v/>
      </c>
      <c r="N643" s="48" t="str">
        <f aca="false">IF($A643="","",IF(N(M643)=0,"–",IF(M643&lt;=Start!$D$20,"A",IF(M643&lt;=Start!$D$21,"B","C"))))</f>
        <v/>
      </c>
      <c r="O643" s="48" t="str">
        <f aca="false">IF($A643="","",IF(NOT(ISNUMBER(F643)),"Wert fehlt; ",IF(F643&lt;=0,"Wert ist 0; ",""))&amp;IF(NOT(ISNUMBER(E643)),"Bestand fehlt; ",IF(E643&lt;0,"Bestand negativ; ",IF(E643=0,"Nullbestand; ","")))&amp;IF(D643="","Warengruppe fehlt; ","")&amp;IF(B643="","Bezeichnung fehlt; ","")&amp;IF(COUNTIFS($A$2:$A$5001,$A643,$C$2:$C$5001,C643)&gt;1,"Artikel doppelt im selben Lager; ",""))</f>
        <v/>
      </c>
      <c r="P643" s="47" t="n">
        <f aca="false">IF(OR($A643="",D643=""),0,IF(COUNTIF($D$2:D643,D643)=1,SUMIF($D$2:$D$5001,D643,$H$2:$H$5001)+ROW()/10000000,0))</f>
        <v>0</v>
      </c>
      <c r="Q643" s="47" t="n">
        <f aca="false">IF(OR($A643="",C643=""),0,IF(COUNTIF($C$2:C643,C643)=1,SUMIF($C$2:$C$5001,C643,$H$2:$H$5001)+ROW()/10000000,0))</f>
        <v>0</v>
      </c>
    </row>
    <row r="644" customFormat="false" ht="15" hidden="false" customHeight="false" outlineLevel="0" collapsed="false">
      <c r="A644" s="43"/>
      <c r="B644" s="44"/>
      <c r="C644" s="44"/>
      <c r="D644" s="44"/>
      <c r="E644" s="44"/>
      <c r="F644" s="44"/>
      <c r="G644" s="44"/>
      <c r="H644" s="46" t="str">
        <f aca="false">IF($A644="","",IF(OR(NOT(ISNUMBER(E644)),NOT(ISNUMBER(F644))),"",MAX(0,E644)*F644))</f>
        <v/>
      </c>
      <c r="I644" s="46" t="str">
        <f aca="false">IF($A644="","",SUMIF($A$2:$A$5001,$A644,$H$2:$H$5001))</f>
        <v/>
      </c>
      <c r="J644" s="47" t="n">
        <f aca="false">IF($A644="",0,IF(COUNTIF($A$2:A644,$A644)=1,1,0))</f>
        <v>0</v>
      </c>
      <c r="K644" s="47" t="n">
        <f aca="false">IF(J644=1,N(I644)+ROW()/10000000,0)</f>
        <v>0</v>
      </c>
      <c r="L644" s="47" t="str">
        <f aca="false">IF(AND(J644=1,N(I644)&gt;0),SUMIF($K$2:$K$5001,"&gt;="&amp;K644,$I$2:$I$5001)/MAX(1,SUM($H$2:$H$5001)),"")</f>
        <v/>
      </c>
      <c r="M644" s="47" t="str">
        <f aca="false">IF($A644="","",INDEX($L$2:$L$5001,MATCH($A644,$A$2:$A$5001,0)))</f>
        <v/>
      </c>
      <c r="N644" s="48" t="str">
        <f aca="false">IF($A644="","",IF(N(M644)=0,"–",IF(M644&lt;=Start!$D$20,"A",IF(M644&lt;=Start!$D$21,"B","C"))))</f>
        <v/>
      </c>
      <c r="O644" s="48" t="str">
        <f aca="false">IF($A644="","",IF(NOT(ISNUMBER(F644)),"Wert fehlt; ",IF(F644&lt;=0,"Wert ist 0; ",""))&amp;IF(NOT(ISNUMBER(E644)),"Bestand fehlt; ",IF(E644&lt;0,"Bestand negativ; ",IF(E644=0,"Nullbestand; ","")))&amp;IF(D644="","Warengruppe fehlt; ","")&amp;IF(B644="","Bezeichnung fehlt; ","")&amp;IF(COUNTIFS($A$2:$A$5001,$A644,$C$2:$C$5001,C644)&gt;1,"Artikel doppelt im selben Lager; ",""))</f>
        <v/>
      </c>
      <c r="P644" s="47" t="n">
        <f aca="false">IF(OR($A644="",D644=""),0,IF(COUNTIF($D$2:D644,D644)=1,SUMIF($D$2:$D$5001,D644,$H$2:$H$5001)+ROW()/10000000,0))</f>
        <v>0</v>
      </c>
      <c r="Q644" s="47" t="n">
        <f aca="false">IF(OR($A644="",C644=""),0,IF(COUNTIF($C$2:C644,C644)=1,SUMIF($C$2:$C$5001,C644,$H$2:$H$5001)+ROW()/10000000,0))</f>
        <v>0</v>
      </c>
    </row>
    <row r="645" customFormat="false" ht="15" hidden="false" customHeight="false" outlineLevel="0" collapsed="false">
      <c r="A645" s="43"/>
      <c r="B645" s="44"/>
      <c r="C645" s="44"/>
      <c r="D645" s="44"/>
      <c r="E645" s="44"/>
      <c r="F645" s="44"/>
      <c r="G645" s="44"/>
      <c r="H645" s="46" t="str">
        <f aca="false">IF($A645="","",IF(OR(NOT(ISNUMBER(E645)),NOT(ISNUMBER(F645))),"",MAX(0,E645)*F645))</f>
        <v/>
      </c>
      <c r="I645" s="46" t="str">
        <f aca="false">IF($A645="","",SUMIF($A$2:$A$5001,$A645,$H$2:$H$5001))</f>
        <v/>
      </c>
      <c r="J645" s="47" t="n">
        <f aca="false">IF($A645="",0,IF(COUNTIF($A$2:A645,$A645)=1,1,0))</f>
        <v>0</v>
      </c>
      <c r="K645" s="47" t="n">
        <f aca="false">IF(J645=1,N(I645)+ROW()/10000000,0)</f>
        <v>0</v>
      </c>
      <c r="L645" s="47" t="str">
        <f aca="false">IF(AND(J645=1,N(I645)&gt;0),SUMIF($K$2:$K$5001,"&gt;="&amp;K645,$I$2:$I$5001)/MAX(1,SUM($H$2:$H$5001)),"")</f>
        <v/>
      </c>
      <c r="M645" s="47" t="str">
        <f aca="false">IF($A645="","",INDEX($L$2:$L$5001,MATCH($A645,$A$2:$A$5001,0)))</f>
        <v/>
      </c>
      <c r="N645" s="48" t="str">
        <f aca="false">IF($A645="","",IF(N(M645)=0,"–",IF(M645&lt;=Start!$D$20,"A",IF(M645&lt;=Start!$D$21,"B","C"))))</f>
        <v/>
      </c>
      <c r="O645" s="48" t="str">
        <f aca="false">IF($A645="","",IF(NOT(ISNUMBER(F645)),"Wert fehlt; ",IF(F645&lt;=0,"Wert ist 0; ",""))&amp;IF(NOT(ISNUMBER(E645)),"Bestand fehlt; ",IF(E645&lt;0,"Bestand negativ; ",IF(E645=0,"Nullbestand; ","")))&amp;IF(D645="","Warengruppe fehlt; ","")&amp;IF(B645="","Bezeichnung fehlt; ","")&amp;IF(COUNTIFS($A$2:$A$5001,$A645,$C$2:$C$5001,C645)&gt;1,"Artikel doppelt im selben Lager; ",""))</f>
        <v/>
      </c>
      <c r="P645" s="47" t="n">
        <f aca="false">IF(OR($A645="",D645=""),0,IF(COUNTIF($D$2:D645,D645)=1,SUMIF($D$2:$D$5001,D645,$H$2:$H$5001)+ROW()/10000000,0))</f>
        <v>0</v>
      </c>
      <c r="Q645" s="47" t="n">
        <f aca="false">IF(OR($A645="",C645=""),0,IF(COUNTIF($C$2:C645,C645)=1,SUMIF($C$2:$C$5001,C645,$H$2:$H$5001)+ROW()/10000000,0))</f>
        <v>0</v>
      </c>
    </row>
    <row r="646" customFormat="false" ht="15" hidden="false" customHeight="false" outlineLevel="0" collapsed="false">
      <c r="A646" s="43"/>
      <c r="B646" s="44"/>
      <c r="C646" s="44"/>
      <c r="D646" s="44"/>
      <c r="E646" s="44"/>
      <c r="F646" s="44"/>
      <c r="G646" s="44"/>
      <c r="H646" s="46" t="str">
        <f aca="false">IF($A646="","",IF(OR(NOT(ISNUMBER(E646)),NOT(ISNUMBER(F646))),"",MAX(0,E646)*F646))</f>
        <v/>
      </c>
      <c r="I646" s="46" t="str">
        <f aca="false">IF($A646="","",SUMIF($A$2:$A$5001,$A646,$H$2:$H$5001))</f>
        <v/>
      </c>
      <c r="J646" s="47" t="n">
        <f aca="false">IF($A646="",0,IF(COUNTIF($A$2:A646,$A646)=1,1,0))</f>
        <v>0</v>
      </c>
      <c r="K646" s="47" t="n">
        <f aca="false">IF(J646=1,N(I646)+ROW()/10000000,0)</f>
        <v>0</v>
      </c>
      <c r="L646" s="47" t="str">
        <f aca="false">IF(AND(J646=1,N(I646)&gt;0),SUMIF($K$2:$K$5001,"&gt;="&amp;K646,$I$2:$I$5001)/MAX(1,SUM($H$2:$H$5001)),"")</f>
        <v/>
      </c>
      <c r="M646" s="47" t="str">
        <f aca="false">IF($A646="","",INDEX($L$2:$L$5001,MATCH($A646,$A$2:$A$5001,0)))</f>
        <v/>
      </c>
      <c r="N646" s="48" t="str">
        <f aca="false">IF($A646="","",IF(N(M646)=0,"–",IF(M646&lt;=Start!$D$20,"A",IF(M646&lt;=Start!$D$21,"B","C"))))</f>
        <v/>
      </c>
      <c r="O646" s="48" t="str">
        <f aca="false">IF($A646="","",IF(NOT(ISNUMBER(F646)),"Wert fehlt; ",IF(F646&lt;=0,"Wert ist 0; ",""))&amp;IF(NOT(ISNUMBER(E646)),"Bestand fehlt; ",IF(E646&lt;0,"Bestand negativ; ",IF(E646=0,"Nullbestand; ","")))&amp;IF(D646="","Warengruppe fehlt; ","")&amp;IF(B646="","Bezeichnung fehlt; ","")&amp;IF(COUNTIFS($A$2:$A$5001,$A646,$C$2:$C$5001,C646)&gt;1,"Artikel doppelt im selben Lager; ",""))</f>
        <v/>
      </c>
      <c r="P646" s="47" t="n">
        <f aca="false">IF(OR($A646="",D646=""),0,IF(COUNTIF($D$2:D646,D646)=1,SUMIF($D$2:$D$5001,D646,$H$2:$H$5001)+ROW()/10000000,0))</f>
        <v>0</v>
      </c>
      <c r="Q646" s="47" t="n">
        <f aca="false">IF(OR($A646="",C646=""),0,IF(COUNTIF($C$2:C646,C646)=1,SUMIF($C$2:$C$5001,C646,$H$2:$H$5001)+ROW()/10000000,0))</f>
        <v>0</v>
      </c>
    </row>
    <row r="647" customFormat="false" ht="15" hidden="false" customHeight="false" outlineLevel="0" collapsed="false">
      <c r="A647" s="43"/>
      <c r="B647" s="44"/>
      <c r="C647" s="44"/>
      <c r="D647" s="44"/>
      <c r="E647" s="44"/>
      <c r="F647" s="44"/>
      <c r="G647" s="44"/>
      <c r="H647" s="46" t="str">
        <f aca="false">IF($A647="","",IF(OR(NOT(ISNUMBER(E647)),NOT(ISNUMBER(F647))),"",MAX(0,E647)*F647))</f>
        <v/>
      </c>
      <c r="I647" s="46" t="str">
        <f aca="false">IF($A647="","",SUMIF($A$2:$A$5001,$A647,$H$2:$H$5001))</f>
        <v/>
      </c>
      <c r="J647" s="47" t="n">
        <f aca="false">IF($A647="",0,IF(COUNTIF($A$2:A647,$A647)=1,1,0))</f>
        <v>0</v>
      </c>
      <c r="K647" s="47" t="n">
        <f aca="false">IF(J647=1,N(I647)+ROW()/10000000,0)</f>
        <v>0</v>
      </c>
      <c r="L647" s="47" t="str">
        <f aca="false">IF(AND(J647=1,N(I647)&gt;0),SUMIF($K$2:$K$5001,"&gt;="&amp;K647,$I$2:$I$5001)/MAX(1,SUM($H$2:$H$5001)),"")</f>
        <v/>
      </c>
      <c r="M647" s="47" t="str">
        <f aca="false">IF($A647="","",INDEX($L$2:$L$5001,MATCH($A647,$A$2:$A$5001,0)))</f>
        <v/>
      </c>
      <c r="N647" s="48" t="str">
        <f aca="false">IF($A647="","",IF(N(M647)=0,"–",IF(M647&lt;=Start!$D$20,"A",IF(M647&lt;=Start!$D$21,"B","C"))))</f>
        <v/>
      </c>
      <c r="O647" s="48" t="str">
        <f aca="false">IF($A647="","",IF(NOT(ISNUMBER(F647)),"Wert fehlt; ",IF(F647&lt;=0,"Wert ist 0; ",""))&amp;IF(NOT(ISNUMBER(E647)),"Bestand fehlt; ",IF(E647&lt;0,"Bestand negativ; ",IF(E647=0,"Nullbestand; ","")))&amp;IF(D647="","Warengruppe fehlt; ","")&amp;IF(B647="","Bezeichnung fehlt; ","")&amp;IF(COUNTIFS($A$2:$A$5001,$A647,$C$2:$C$5001,C647)&gt;1,"Artikel doppelt im selben Lager; ",""))</f>
        <v/>
      </c>
      <c r="P647" s="47" t="n">
        <f aca="false">IF(OR($A647="",D647=""),0,IF(COUNTIF($D$2:D647,D647)=1,SUMIF($D$2:$D$5001,D647,$H$2:$H$5001)+ROW()/10000000,0))</f>
        <v>0</v>
      </c>
      <c r="Q647" s="47" t="n">
        <f aca="false">IF(OR($A647="",C647=""),0,IF(COUNTIF($C$2:C647,C647)=1,SUMIF($C$2:$C$5001,C647,$H$2:$H$5001)+ROW()/10000000,0))</f>
        <v>0</v>
      </c>
    </row>
    <row r="648" customFormat="false" ht="15" hidden="false" customHeight="false" outlineLevel="0" collapsed="false">
      <c r="A648" s="43"/>
      <c r="B648" s="44"/>
      <c r="C648" s="44"/>
      <c r="D648" s="44"/>
      <c r="E648" s="44"/>
      <c r="F648" s="44"/>
      <c r="G648" s="44"/>
      <c r="H648" s="46" t="str">
        <f aca="false">IF($A648="","",IF(OR(NOT(ISNUMBER(E648)),NOT(ISNUMBER(F648))),"",MAX(0,E648)*F648))</f>
        <v/>
      </c>
      <c r="I648" s="46" t="str">
        <f aca="false">IF($A648="","",SUMIF($A$2:$A$5001,$A648,$H$2:$H$5001))</f>
        <v/>
      </c>
      <c r="J648" s="47" t="n">
        <f aca="false">IF($A648="",0,IF(COUNTIF($A$2:A648,$A648)=1,1,0))</f>
        <v>0</v>
      </c>
      <c r="K648" s="47" t="n">
        <f aca="false">IF(J648=1,N(I648)+ROW()/10000000,0)</f>
        <v>0</v>
      </c>
      <c r="L648" s="47" t="str">
        <f aca="false">IF(AND(J648=1,N(I648)&gt;0),SUMIF($K$2:$K$5001,"&gt;="&amp;K648,$I$2:$I$5001)/MAX(1,SUM($H$2:$H$5001)),"")</f>
        <v/>
      </c>
      <c r="M648" s="47" t="str">
        <f aca="false">IF($A648="","",INDEX($L$2:$L$5001,MATCH($A648,$A$2:$A$5001,0)))</f>
        <v/>
      </c>
      <c r="N648" s="48" t="str">
        <f aca="false">IF($A648="","",IF(N(M648)=0,"–",IF(M648&lt;=Start!$D$20,"A",IF(M648&lt;=Start!$D$21,"B","C"))))</f>
        <v/>
      </c>
      <c r="O648" s="48" t="str">
        <f aca="false">IF($A648="","",IF(NOT(ISNUMBER(F648)),"Wert fehlt; ",IF(F648&lt;=0,"Wert ist 0; ",""))&amp;IF(NOT(ISNUMBER(E648)),"Bestand fehlt; ",IF(E648&lt;0,"Bestand negativ; ",IF(E648=0,"Nullbestand; ","")))&amp;IF(D648="","Warengruppe fehlt; ","")&amp;IF(B648="","Bezeichnung fehlt; ","")&amp;IF(COUNTIFS($A$2:$A$5001,$A648,$C$2:$C$5001,C648)&gt;1,"Artikel doppelt im selben Lager; ",""))</f>
        <v/>
      </c>
      <c r="P648" s="47" t="n">
        <f aca="false">IF(OR($A648="",D648=""),0,IF(COUNTIF($D$2:D648,D648)=1,SUMIF($D$2:$D$5001,D648,$H$2:$H$5001)+ROW()/10000000,0))</f>
        <v>0</v>
      </c>
      <c r="Q648" s="47" t="n">
        <f aca="false">IF(OR($A648="",C648=""),0,IF(COUNTIF($C$2:C648,C648)=1,SUMIF($C$2:$C$5001,C648,$H$2:$H$5001)+ROW()/10000000,0))</f>
        <v>0</v>
      </c>
    </row>
    <row r="649" customFormat="false" ht="15" hidden="false" customHeight="false" outlineLevel="0" collapsed="false">
      <c r="A649" s="43"/>
      <c r="B649" s="44"/>
      <c r="C649" s="44"/>
      <c r="D649" s="44"/>
      <c r="E649" s="44"/>
      <c r="F649" s="44"/>
      <c r="G649" s="44"/>
      <c r="H649" s="46" t="str">
        <f aca="false">IF($A649="","",IF(OR(NOT(ISNUMBER(E649)),NOT(ISNUMBER(F649))),"",MAX(0,E649)*F649))</f>
        <v/>
      </c>
      <c r="I649" s="46" t="str">
        <f aca="false">IF($A649="","",SUMIF($A$2:$A$5001,$A649,$H$2:$H$5001))</f>
        <v/>
      </c>
      <c r="J649" s="47" t="n">
        <f aca="false">IF($A649="",0,IF(COUNTIF($A$2:A649,$A649)=1,1,0))</f>
        <v>0</v>
      </c>
      <c r="K649" s="47" t="n">
        <f aca="false">IF(J649=1,N(I649)+ROW()/10000000,0)</f>
        <v>0</v>
      </c>
      <c r="L649" s="47" t="str">
        <f aca="false">IF(AND(J649=1,N(I649)&gt;0),SUMIF($K$2:$K$5001,"&gt;="&amp;K649,$I$2:$I$5001)/MAX(1,SUM($H$2:$H$5001)),"")</f>
        <v/>
      </c>
      <c r="M649" s="47" t="str">
        <f aca="false">IF($A649="","",INDEX($L$2:$L$5001,MATCH($A649,$A$2:$A$5001,0)))</f>
        <v/>
      </c>
      <c r="N649" s="48" t="str">
        <f aca="false">IF($A649="","",IF(N(M649)=0,"–",IF(M649&lt;=Start!$D$20,"A",IF(M649&lt;=Start!$D$21,"B","C"))))</f>
        <v/>
      </c>
      <c r="O649" s="48" t="str">
        <f aca="false">IF($A649="","",IF(NOT(ISNUMBER(F649)),"Wert fehlt; ",IF(F649&lt;=0,"Wert ist 0; ",""))&amp;IF(NOT(ISNUMBER(E649)),"Bestand fehlt; ",IF(E649&lt;0,"Bestand negativ; ",IF(E649=0,"Nullbestand; ","")))&amp;IF(D649="","Warengruppe fehlt; ","")&amp;IF(B649="","Bezeichnung fehlt; ","")&amp;IF(COUNTIFS($A$2:$A$5001,$A649,$C$2:$C$5001,C649)&gt;1,"Artikel doppelt im selben Lager; ",""))</f>
        <v/>
      </c>
      <c r="P649" s="47" t="n">
        <f aca="false">IF(OR($A649="",D649=""),0,IF(COUNTIF($D$2:D649,D649)=1,SUMIF($D$2:$D$5001,D649,$H$2:$H$5001)+ROW()/10000000,0))</f>
        <v>0</v>
      </c>
      <c r="Q649" s="47" t="n">
        <f aca="false">IF(OR($A649="",C649=""),0,IF(COUNTIF($C$2:C649,C649)=1,SUMIF($C$2:$C$5001,C649,$H$2:$H$5001)+ROW()/10000000,0))</f>
        <v>0</v>
      </c>
    </row>
    <row r="650" customFormat="false" ht="15" hidden="false" customHeight="false" outlineLevel="0" collapsed="false">
      <c r="A650" s="43"/>
      <c r="B650" s="44"/>
      <c r="C650" s="44"/>
      <c r="D650" s="44"/>
      <c r="E650" s="44"/>
      <c r="F650" s="44"/>
      <c r="G650" s="44"/>
      <c r="H650" s="46" t="str">
        <f aca="false">IF($A650="","",IF(OR(NOT(ISNUMBER(E650)),NOT(ISNUMBER(F650))),"",MAX(0,E650)*F650))</f>
        <v/>
      </c>
      <c r="I650" s="46" t="str">
        <f aca="false">IF($A650="","",SUMIF($A$2:$A$5001,$A650,$H$2:$H$5001))</f>
        <v/>
      </c>
      <c r="J650" s="47" t="n">
        <f aca="false">IF($A650="",0,IF(COUNTIF($A$2:A650,$A650)=1,1,0))</f>
        <v>0</v>
      </c>
      <c r="K650" s="47" t="n">
        <f aca="false">IF(J650=1,N(I650)+ROW()/10000000,0)</f>
        <v>0</v>
      </c>
      <c r="L650" s="47" t="str">
        <f aca="false">IF(AND(J650=1,N(I650)&gt;0),SUMIF($K$2:$K$5001,"&gt;="&amp;K650,$I$2:$I$5001)/MAX(1,SUM($H$2:$H$5001)),"")</f>
        <v/>
      </c>
      <c r="M650" s="47" t="str">
        <f aca="false">IF($A650="","",INDEX($L$2:$L$5001,MATCH($A650,$A$2:$A$5001,0)))</f>
        <v/>
      </c>
      <c r="N650" s="48" t="str">
        <f aca="false">IF($A650="","",IF(N(M650)=0,"–",IF(M650&lt;=Start!$D$20,"A",IF(M650&lt;=Start!$D$21,"B","C"))))</f>
        <v/>
      </c>
      <c r="O650" s="48" t="str">
        <f aca="false">IF($A650="","",IF(NOT(ISNUMBER(F650)),"Wert fehlt; ",IF(F650&lt;=0,"Wert ist 0; ",""))&amp;IF(NOT(ISNUMBER(E650)),"Bestand fehlt; ",IF(E650&lt;0,"Bestand negativ; ",IF(E650=0,"Nullbestand; ","")))&amp;IF(D650="","Warengruppe fehlt; ","")&amp;IF(B650="","Bezeichnung fehlt; ","")&amp;IF(COUNTIFS($A$2:$A$5001,$A650,$C$2:$C$5001,C650)&gt;1,"Artikel doppelt im selben Lager; ",""))</f>
        <v/>
      </c>
      <c r="P650" s="47" t="n">
        <f aca="false">IF(OR($A650="",D650=""),0,IF(COUNTIF($D$2:D650,D650)=1,SUMIF($D$2:$D$5001,D650,$H$2:$H$5001)+ROW()/10000000,0))</f>
        <v>0</v>
      </c>
      <c r="Q650" s="47" t="n">
        <f aca="false">IF(OR($A650="",C650=""),0,IF(COUNTIF($C$2:C650,C650)=1,SUMIF($C$2:$C$5001,C650,$H$2:$H$5001)+ROW()/10000000,0))</f>
        <v>0</v>
      </c>
    </row>
    <row r="651" customFormat="false" ht="15" hidden="false" customHeight="false" outlineLevel="0" collapsed="false">
      <c r="A651" s="43"/>
      <c r="B651" s="44"/>
      <c r="C651" s="44"/>
      <c r="D651" s="44"/>
      <c r="E651" s="44"/>
      <c r="F651" s="44"/>
      <c r="G651" s="44"/>
      <c r="H651" s="46" t="str">
        <f aca="false">IF($A651="","",IF(OR(NOT(ISNUMBER(E651)),NOT(ISNUMBER(F651))),"",MAX(0,E651)*F651))</f>
        <v/>
      </c>
      <c r="I651" s="46" t="str">
        <f aca="false">IF($A651="","",SUMIF($A$2:$A$5001,$A651,$H$2:$H$5001))</f>
        <v/>
      </c>
      <c r="J651" s="47" t="n">
        <f aca="false">IF($A651="",0,IF(COUNTIF($A$2:A651,$A651)=1,1,0))</f>
        <v>0</v>
      </c>
      <c r="K651" s="47" t="n">
        <f aca="false">IF(J651=1,N(I651)+ROW()/10000000,0)</f>
        <v>0</v>
      </c>
      <c r="L651" s="47" t="str">
        <f aca="false">IF(AND(J651=1,N(I651)&gt;0),SUMIF($K$2:$K$5001,"&gt;="&amp;K651,$I$2:$I$5001)/MAX(1,SUM($H$2:$H$5001)),"")</f>
        <v/>
      </c>
      <c r="M651" s="47" t="str">
        <f aca="false">IF($A651="","",INDEX($L$2:$L$5001,MATCH($A651,$A$2:$A$5001,0)))</f>
        <v/>
      </c>
      <c r="N651" s="48" t="str">
        <f aca="false">IF($A651="","",IF(N(M651)=0,"–",IF(M651&lt;=Start!$D$20,"A",IF(M651&lt;=Start!$D$21,"B","C"))))</f>
        <v/>
      </c>
      <c r="O651" s="48" t="str">
        <f aca="false">IF($A651="","",IF(NOT(ISNUMBER(F651)),"Wert fehlt; ",IF(F651&lt;=0,"Wert ist 0; ",""))&amp;IF(NOT(ISNUMBER(E651)),"Bestand fehlt; ",IF(E651&lt;0,"Bestand negativ; ",IF(E651=0,"Nullbestand; ","")))&amp;IF(D651="","Warengruppe fehlt; ","")&amp;IF(B651="","Bezeichnung fehlt; ","")&amp;IF(COUNTIFS($A$2:$A$5001,$A651,$C$2:$C$5001,C651)&gt;1,"Artikel doppelt im selben Lager; ",""))</f>
        <v/>
      </c>
      <c r="P651" s="47" t="n">
        <f aca="false">IF(OR($A651="",D651=""),0,IF(COUNTIF($D$2:D651,D651)=1,SUMIF($D$2:$D$5001,D651,$H$2:$H$5001)+ROW()/10000000,0))</f>
        <v>0</v>
      </c>
      <c r="Q651" s="47" t="n">
        <f aca="false">IF(OR($A651="",C651=""),0,IF(COUNTIF($C$2:C651,C651)=1,SUMIF($C$2:$C$5001,C651,$H$2:$H$5001)+ROW()/10000000,0))</f>
        <v>0</v>
      </c>
    </row>
    <row r="652" customFormat="false" ht="15" hidden="false" customHeight="false" outlineLevel="0" collapsed="false">
      <c r="A652" s="43"/>
      <c r="B652" s="44"/>
      <c r="C652" s="44"/>
      <c r="D652" s="44"/>
      <c r="E652" s="44"/>
      <c r="F652" s="44"/>
      <c r="G652" s="44"/>
      <c r="H652" s="46" t="str">
        <f aca="false">IF($A652="","",IF(OR(NOT(ISNUMBER(E652)),NOT(ISNUMBER(F652))),"",MAX(0,E652)*F652))</f>
        <v/>
      </c>
      <c r="I652" s="46" t="str">
        <f aca="false">IF($A652="","",SUMIF($A$2:$A$5001,$A652,$H$2:$H$5001))</f>
        <v/>
      </c>
      <c r="J652" s="47" t="n">
        <f aca="false">IF($A652="",0,IF(COUNTIF($A$2:A652,$A652)=1,1,0))</f>
        <v>0</v>
      </c>
      <c r="K652" s="47" t="n">
        <f aca="false">IF(J652=1,N(I652)+ROW()/10000000,0)</f>
        <v>0</v>
      </c>
      <c r="L652" s="47" t="str">
        <f aca="false">IF(AND(J652=1,N(I652)&gt;0),SUMIF($K$2:$K$5001,"&gt;="&amp;K652,$I$2:$I$5001)/MAX(1,SUM($H$2:$H$5001)),"")</f>
        <v/>
      </c>
      <c r="M652" s="47" t="str">
        <f aca="false">IF($A652="","",INDEX($L$2:$L$5001,MATCH($A652,$A$2:$A$5001,0)))</f>
        <v/>
      </c>
      <c r="N652" s="48" t="str">
        <f aca="false">IF($A652="","",IF(N(M652)=0,"–",IF(M652&lt;=Start!$D$20,"A",IF(M652&lt;=Start!$D$21,"B","C"))))</f>
        <v/>
      </c>
      <c r="O652" s="48" t="str">
        <f aca="false">IF($A652="","",IF(NOT(ISNUMBER(F652)),"Wert fehlt; ",IF(F652&lt;=0,"Wert ist 0; ",""))&amp;IF(NOT(ISNUMBER(E652)),"Bestand fehlt; ",IF(E652&lt;0,"Bestand negativ; ",IF(E652=0,"Nullbestand; ","")))&amp;IF(D652="","Warengruppe fehlt; ","")&amp;IF(B652="","Bezeichnung fehlt; ","")&amp;IF(COUNTIFS($A$2:$A$5001,$A652,$C$2:$C$5001,C652)&gt;1,"Artikel doppelt im selben Lager; ",""))</f>
        <v/>
      </c>
      <c r="P652" s="47" t="n">
        <f aca="false">IF(OR($A652="",D652=""),0,IF(COUNTIF($D$2:D652,D652)=1,SUMIF($D$2:$D$5001,D652,$H$2:$H$5001)+ROW()/10000000,0))</f>
        <v>0</v>
      </c>
      <c r="Q652" s="47" t="n">
        <f aca="false">IF(OR($A652="",C652=""),0,IF(COUNTIF($C$2:C652,C652)=1,SUMIF($C$2:$C$5001,C652,$H$2:$H$5001)+ROW()/10000000,0))</f>
        <v>0</v>
      </c>
    </row>
    <row r="653" customFormat="false" ht="15" hidden="false" customHeight="false" outlineLevel="0" collapsed="false">
      <c r="A653" s="43"/>
      <c r="B653" s="44"/>
      <c r="C653" s="44"/>
      <c r="D653" s="44"/>
      <c r="E653" s="44"/>
      <c r="F653" s="44"/>
      <c r="G653" s="44"/>
      <c r="H653" s="46" t="str">
        <f aca="false">IF($A653="","",IF(OR(NOT(ISNUMBER(E653)),NOT(ISNUMBER(F653))),"",MAX(0,E653)*F653))</f>
        <v/>
      </c>
      <c r="I653" s="46" t="str">
        <f aca="false">IF($A653="","",SUMIF($A$2:$A$5001,$A653,$H$2:$H$5001))</f>
        <v/>
      </c>
      <c r="J653" s="47" t="n">
        <f aca="false">IF($A653="",0,IF(COUNTIF($A$2:A653,$A653)=1,1,0))</f>
        <v>0</v>
      </c>
      <c r="K653" s="47" t="n">
        <f aca="false">IF(J653=1,N(I653)+ROW()/10000000,0)</f>
        <v>0</v>
      </c>
      <c r="L653" s="47" t="str">
        <f aca="false">IF(AND(J653=1,N(I653)&gt;0),SUMIF($K$2:$K$5001,"&gt;="&amp;K653,$I$2:$I$5001)/MAX(1,SUM($H$2:$H$5001)),"")</f>
        <v/>
      </c>
      <c r="M653" s="47" t="str">
        <f aca="false">IF($A653="","",INDEX($L$2:$L$5001,MATCH($A653,$A$2:$A$5001,0)))</f>
        <v/>
      </c>
      <c r="N653" s="48" t="str">
        <f aca="false">IF($A653="","",IF(N(M653)=0,"–",IF(M653&lt;=Start!$D$20,"A",IF(M653&lt;=Start!$D$21,"B","C"))))</f>
        <v/>
      </c>
      <c r="O653" s="48" t="str">
        <f aca="false">IF($A653="","",IF(NOT(ISNUMBER(F653)),"Wert fehlt; ",IF(F653&lt;=0,"Wert ist 0; ",""))&amp;IF(NOT(ISNUMBER(E653)),"Bestand fehlt; ",IF(E653&lt;0,"Bestand negativ; ",IF(E653=0,"Nullbestand; ","")))&amp;IF(D653="","Warengruppe fehlt; ","")&amp;IF(B653="","Bezeichnung fehlt; ","")&amp;IF(COUNTIFS($A$2:$A$5001,$A653,$C$2:$C$5001,C653)&gt;1,"Artikel doppelt im selben Lager; ",""))</f>
        <v/>
      </c>
      <c r="P653" s="47" t="n">
        <f aca="false">IF(OR($A653="",D653=""),0,IF(COUNTIF($D$2:D653,D653)=1,SUMIF($D$2:$D$5001,D653,$H$2:$H$5001)+ROW()/10000000,0))</f>
        <v>0</v>
      </c>
      <c r="Q653" s="47" t="n">
        <f aca="false">IF(OR($A653="",C653=""),0,IF(COUNTIF($C$2:C653,C653)=1,SUMIF($C$2:$C$5001,C653,$H$2:$H$5001)+ROW()/10000000,0))</f>
        <v>0</v>
      </c>
    </row>
    <row r="654" customFormat="false" ht="15" hidden="false" customHeight="false" outlineLevel="0" collapsed="false">
      <c r="A654" s="43"/>
      <c r="B654" s="44"/>
      <c r="C654" s="44"/>
      <c r="D654" s="44"/>
      <c r="E654" s="44"/>
      <c r="F654" s="44"/>
      <c r="G654" s="44"/>
      <c r="H654" s="46" t="str">
        <f aca="false">IF($A654="","",IF(OR(NOT(ISNUMBER(E654)),NOT(ISNUMBER(F654))),"",MAX(0,E654)*F654))</f>
        <v/>
      </c>
      <c r="I654" s="46" t="str">
        <f aca="false">IF($A654="","",SUMIF($A$2:$A$5001,$A654,$H$2:$H$5001))</f>
        <v/>
      </c>
      <c r="J654" s="47" t="n">
        <f aca="false">IF($A654="",0,IF(COUNTIF($A$2:A654,$A654)=1,1,0))</f>
        <v>0</v>
      </c>
      <c r="K654" s="47" t="n">
        <f aca="false">IF(J654=1,N(I654)+ROW()/10000000,0)</f>
        <v>0</v>
      </c>
      <c r="L654" s="47" t="str">
        <f aca="false">IF(AND(J654=1,N(I654)&gt;0),SUMIF($K$2:$K$5001,"&gt;="&amp;K654,$I$2:$I$5001)/MAX(1,SUM($H$2:$H$5001)),"")</f>
        <v/>
      </c>
      <c r="M654" s="47" t="str">
        <f aca="false">IF($A654="","",INDEX($L$2:$L$5001,MATCH($A654,$A$2:$A$5001,0)))</f>
        <v/>
      </c>
      <c r="N654" s="48" t="str">
        <f aca="false">IF($A654="","",IF(N(M654)=0,"–",IF(M654&lt;=Start!$D$20,"A",IF(M654&lt;=Start!$D$21,"B","C"))))</f>
        <v/>
      </c>
      <c r="O654" s="48" t="str">
        <f aca="false">IF($A654="","",IF(NOT(ISNUMBER(F654)),"Wert fehlt; ",IF(F654&lt;=0,"Wert ist 0; ",""))&amp;IF(NOT(ISNUMBER(E654)),"Bestand fehlt; ",IF(E654&lt;0,"Bestand negativ; ",IF(E654=0,"Nullbestand; ","")))&amp;IF(D654="","Warengruppe fehlt; ","")&amp;IF(B654="","Bezeichnung fehlt; ","")&amp;IF(COUNTIFS($A$2:$A$5001,$A654,$C$2:$C$5001,C654)&gt;1,"Artikel doppelt im selben Lager; ",""))</f>
        <v/>
      </c>
      <c r="P654" s="47" t="n">
        <f aca="false">IF(OR($A654="",D654=""),0,IF(COUNTIF($D$2:D654,D654)=1,SUMIF($D$2:$D$5001,D654,$H$2:$H$5001)+ROW()/10000000,0))</f>
        <v>0</v>
      </c>
      <c r="Q654" s="47" t="n">
        <f aca="false">IF(OR($A654="",C654=""),0,IF(COUNTIF($C$2:C654,C654)=1,SUMIF($C$2:$C$5001,C654,$H$2:$H$5001)+ROW()/10000000,0))</f>
        <v>0</v>
      </c>
    </row>
    <row r="655" customFormat="false" ht="15" hidden="false" customHeight="false" outlineLevel="0" collapsed="false">
      <c r="A655" s="43"/>
      <c r="B655" s="44"/>
      <c r="C655" s="44"/>
      <c r="D655" s="44"/>
      <c r="E655" s="44"/>
      <c r="F655" s="44"/>
      <c r="G655" s="44"/>
      <c r="H655" s="46" t="str">
        <f aca="false">IF($A655="","",IF(OR(NOT(ISNUMBER(E655)),NOT(ISNUMBER(F655))),"",MAX(0,E655)*F655))</f>
        <v/>
      </c>
      <c r="I655" s="46" t="str">
        <f aca="false">IF($A655="","",SUMIF($A$2:$A$5001,$A655,$H$2:$H$5001))</f>
        <v/>
      </c>
      <c r="J655" s="47" t="n">
        <f aca="false">IF($A655="",0,IF(COUNTIF($A$2:A655,$A655)=1,1,0))</f>
        <v>0</v>
      </c>
      <c r="K655" s="47" t="n">
        <f aca="false">IF(J655=1,N(I655)+ROW()/10000000,0)</f>
        <v>0</v>
      </c>
      <c r="L655" s="47" t="str">
        <f aca="false">IF(AND(J655=1,N(I655)&gt;0),SUMIF($K$2:$K$5001,"&gt;="&amp;K655,$I$2:$I$5001)/MAX(1,SUM($H$2:$H$5001)),"")</f>
        <v/>
      </c>
      <c r="M655" s="47" t="str">
        <f aca="false">IF($A655="","",INDEX($L$2:$L$5001,MATCH($A655,$A$2:$A$5001,0)))</f>
        <v/>
      </c>
      <c r="N655" s="48" t="str">
        <f aca="false">IF($A655="","",IF(N(M655)=0,"–",IF(M655&lt;=Start!$D$20,"A",IF(M655&lt;=Start!$D$21,"B","C"))))</f>
        <v/>
      </c>
      <c r="O655" s="48" t="str">
        <f aca="false">IF($A655="","",IF(NOT(ISNUMBER(F655)),"Wert fehlt; ",IF(F655&lt;=0,"Wert ist 0; ",""))&amp;IF(NOT(ISNUMBER(E655)),"Bestand fehlt; ",IF(E655&lt;0,"Bestand negativ; ",IF(E655=0,"Nullbestand; ","")))&amp;IF(D655="","Warengruppe fehlt; ","")&amp;IF(B655="","Bezeichnung fehlt; ","")&amp;IF(COUNTIFS($A$2:$A$5001,$A655,$C$2:$C$5001,C655)&gt;1,"Artikel doppelt im selben Lager; ",""))</f>
        <v/>
      </c>
      <c r="P655" s="47" t="n">
        <f aca="false">IF(OR($A655="",D655=""),0,IF(COUNTIF($D$2:D655,D655)=1,SUMIF($D$2:$D$5001,D655,$H$2:$H$5001)+ROW()/10000000,0))</f>
        <v>0</v>
      </c>
      <c r="Q655" s="47" t="n">
        <f aca="false">IF(OR($A655="",C655=""),0,IF(COUNTIF($C$2:C655,C655)=1,SUMIF($C$2:$C$5001,C655,$H$2:$H$5001)+ROW()/10000000,0))</f>
        <v>0</v>
      </c>
    </row>
    <row r="656" customFormat="false" ht="15" hidden="false" customHeight="false" outlineLevel="0" collapsed="false">
      <c r="A656" s="43"/>
      <c r="B656" s="44"/>
      <c r="C656" s="44"/>
      <c r="D656" s="44"/>
      <c r="E656" s="44"/>
      <c r="F656" s="44"/>
      <c r="G656" s="44"/>
      <c r="H656" s="46" t="str">
        <f aca="false">IF($A656="","",IF(OR(NOT(ISNUMBER(E656)),NOT(ISNUMBER(F656))),"",MAX(0,E656)*F656))</f>
        <v/>
      </c>
      <c r="I656" s="46" t="str">
        <f aca="false">IF($A656="","",SUMIF($A$2:$A$5001,$A656,$H$2:$H$5001))</f>
        <v/>
      </c>
      <c r="J656" s="47" t="n">
        <f aca="false">IF($A656="",0,IF(COUNTIF($A$2:A656,$A656)=1,1,0))</f>
        <v>0</v>
      </c>
      <c r="K656" s="47" t="n">
        <f aca="false">IF(J656=1,N(I656)+ROW()/10000000,0)</f>
        <v>0</v>
      </c>
      <c r="L656" s="47" t="str">
        <f aca="false">IF(AND(J656=1,N(I656)&gt;0),SUMIF($K$2:$K$5001,"&gt;="&amp;K656,$I$2:$I$5001)/MAX(1,SUM($H$2:$H$5001)),"")</f>
        <v/>
      </c>
      <c r="M656" s="47" t="str">
        <f aca="false">IF($A656="","",INDEX($L$2:$L$5001,MATCH($A656,$A$2:$A$5001,0)))</f>
        <v/>
      </c>
      <c r="N656" s="48" t="str">
        <f aca="false">IF($A656="","",IF(N(M656)=0,"–",IF(M656&lt;=Start!$D$20,"A",IF(M656&lt;=Start!$D$21,"B","C"))))</f>
        <v/>
      </c>
      <c r="O656" s="48" t="str">
        <f aca="false">IF($A656="","",IF(NOT(ISNUMBER(F656)),"Wert fehlt; ",IF(F656&lt;=0,"Wert ist 0; ",""))&amp;IF(NOT(ISNUMBER(E656)),"Bestand fehlt; ",IF(E656&lt;0,"Bestand negativ; ",IF(E656=0,"Nullbestand; ","")))&amp;IF(D656="","Warengruppe fehlt; ","")&amp;IF(B656="","Bezeichnung fehlt; ","")&amp;IF(COUNTIFS($A$2:$A$5001,$A656,$C$2:$C$5001,C656)&gt;1,"Artikel doppelt im selben Lager; ",""))</f>
        <v/>
      </c>
      <c r="P656" s="47" t="n">
        <f aca="false">IF(OR($A656="",D656=""),0,IF(COUNTIF($D$2:D656,D656)=1,SUMIF($D$2:$D$5001,D656,$H$2:$H$5001)+ROW()/10000000,0))</f>
        <v>0</v>
      </c>
      <c r="Q656" s="47" t="n">
        <f aca="false">IF(OR($A656="",C656=""),0,IF(COUNTIF($C$2:C656,C656)=1,SUMIF($C$2:$C$5001,C656,$H$2:$H$5001)+ROW()/10000000,0))</f>
        <v>0</v>
      </c>
    </row>
    <row r="657" customFormat="false" ht="15" hidden="false" customHeight="false" outlineLevel="0" collapsed="false">
      <c r="A657" s="43"/>
      <c r="B657" s="44"/>
      <c r="C657" s="44"/>
      <c r="D657" s="44"/>
      <c r="E657" s="44"/>
      <c r="F657" s="44"/>
      <c r="G657" s="44"/>
      <c r="H657" s="46" t="str">
        <f aca="false">IF($A657="","",IF(OR(NOT(ISNUMBER(E657)),NOT(ISNUMBER(F657))),"",MAX(0,E657)*F657))</f>
        <v/>
      </c>
      <c r="I657" s="46" t="str">
        <f aca="false">IF($A657="","",SUMIF($A$2:$A$5001,$A657,$H$2:$H$5001))</f>
        <v/>
      </c>
      <c r="J657" s="47" t="n">
        <f aca="false">IF($A657="",0,IF(COUNTIF($A$2:A657,$A657)=1,1,0))</f>
        <v>0</v>
      </c>
      <c r="K657" s="47" t="n">
        <f aca="false">IF(J657=1,N(I657)+ROW()/10000000,0)</f>
        <v>0</v>
      </c>
      <c r="L657" s="47" t="str">
        <f aca="false">IF(AND(J657=1,N(I657)&gt;0),SUMIF($K$2:$K$5001,"&gt;="&amp;K657,$I$2:$I$5001)/MAX(1,SUM($H$2:$H$5001)),"")</f>
        <v/>
      </c>
      <c r="M657" s="47" t="str">
        <f aca="false">IF($A657="","",INDEX($L$2:$L$5001,MATCH($A657,$A$2:$A$5001,0)))</f>
        <v/>
      </c>
      <c r="N657" s="48" t="str">
        <f aca="false">IF($A657="","",IF(N(M657)=0,"–",IF(M657&lt;=Start!$D$20,"A",IF(M657&lt;=Start!$D$21,"B","C"))))</f>
        <v/>
      </c>
      <c r="O657" s="48" t="str">
        <f aca="false">IF($A657="","",IF(NOT(ISNUMBER(F657)),"Wert fehlt; ",IF(F657&lt;=0,"Wert ist 0; ",""))&amp;IF(NOT(ISNUMBER(E657)),"Bestand fehlt; ",IF(E657&lt;0,"Bestand negativ; ",IF(E657=0,"Nullbestand; ","")))&amp;IF(D657="","Warengruppe fehlt; ","")&amp;IF(B657="","Bezeichnung fehlt; ","")&amp;IF(COUNTIFS($A$2:$A$5001,$A657,$C$2:$C$5001,C657)&gt;1,"Artikel doppelt im selben Lager; ",""))</f>
        <v/>
      </c>
      <c r="P657" s="47" t="n">
        <f aca="false">IF(OR($A657="",D657=""),0,IF(COUNTIF($D$2:D657,D657)=1,SUMIF($D$2:$D$5001,D657,$H$2:$H$5001)+ROW()/10000000,0))</f>
        <v>0</v>
      </c>
      <c r="Q657" s="47" t="n">
        <f aca="false">IF(OR($A657="",C657=""),0,IF(COUNTIF($C$2:C657,C657)=1,SUMIF($C$2:$C$5001,C657,$H$2:$H$5001)+ROW()/10000000,0))</f>
        <v>0</v>
      </c>
    </row>
    <row r="658" customFormat="false" ht="15" hidden="false" customHeight="false" outlineLevel="0" collapsed="false">
      <c r="A658" s="43"/>
      <c r="B658" s="44"/>
      <c r="C658" s="44"/>
      <c r="D658" s="44"/>
      <c r="E658" s="44"/>
      <c r="F658" s="44"/>
      <c r="G658" s="44"/>
      <c r="H658" s="46" t="str">
        <f aca="false">IF($A658="","",IF(OR(NOT(ISNUMBER(E658)),NOT(ISNUMBER(F658))),"",MAX(0,E658)*F658))</f>
        <v/>
      </c>
      <c r="I658" s="46" t="str">
        <f aca="false">IF($A658="","",SUMIF($A$2:$A$5001,$A658,$H$2:$H$5001))</f>
        <v/>
      </c>
      <c r="J658" s="47" t="n">
        <f aca="false">IF($A658="",0,IF(COUNTIF($A$2:A658,$A658)=1,1,0))</f>
        <v>0</v>
      </c>
      <c r="K658" s="47" t="n">
        <f aca="false">IF(J658=1,N(I658)+ROW()/10000000,0)</f>
        <v>0</v>
      </c>
      <c r="L658" s="47" t="str">
        <f aca="false">IF(AND(J658=1,N(I658)&gt;0),SUMIF($K$2:$K$5001,"&gt;="&amp;K658,$I$2:$I$5001)/MAX(1,SUM($H$2:$H$5001)),"")</f>
        <v/>
      </c>
      <c r="M658" s="47" t="str">
        <f aca="false">IF($A658="","",INDEX($L$2:$L$5001,MATCH($A658,$A$2:$A$5001,0)))</f>
        <v/>
      </c>
      <c r="N658" s="48" t="str">
        <f aca="false">IF($A658="","",IF(N(M658)=0,"–",IF(M658&lt;=Start!$D$20,"A",IF(M658&lt;=Start!$D$21,"B","C"))))</f>
        <v/>
      </c>
      <c r="O658" s="48" t="str">
        <f aca="false">IF($A658="","",IF(NOT(ISNUMBER(F658)),"Wert fehlt; ",IF(F658&lt;=0,"Wert ist 0; ",""))&amp;IF(NOT(ISNUMBER(E658)),"Bestand fehlt; ",IF(E658&lt;0,"Bestand negativ; ",IF(E658=0,"Nullbestand; ","")))&amp;IF(D658="","Warengruppe fehlt; ","")&amp;IF(B658="","Bezeichnung fehlt; ","")&amp;IF(COUNTIFS($A$2:$A$5001,$A658,$C$2:$C$5001,C658)&gt;1,"Artikel doppelt im selben Lager; ",""))</f>
        <v/>
      </c>
      <c r="P658" s="47" t="n">
        <f aca="false">IF(OR($A658="",D658=""),0,IF(COUNTIF($D$2:D658,D658)=1,SUMIF($D$2:$D$5001,D658,$H$2:$H$5001)+ROW()/10000000,0))</f>
        <v>0</v>
      </c>
      <c r="Q658" s="47" t="n">
        <f aca="false">IF(OR($A658="",C658=""),0,IF(COUNTIF($C$2:C658,C658)=1,SUMIF($C$2:$C$5001,C658,$H$2:$H$5001)+ROW()/10000000,0))</f>
        <v>0</v>
      </c>
    </row>
    <row r="659" customFormat="false" ht="15" hidden="false" customHeight="false" outlineLevel="0" collapsed="false">
      <c r="A659" s="43"/>
      <c r="B659" s="44"/>
      <c r="C659" s="44"/>
      <c r="D659" s="44"/>
      <c r="E659" s="44"/>
      <c r="F659" s="44"/>
      <c r="G659" s="44"/>
      <c r="H659" s="46" t="str">
        <f aca="false">IF($A659="","",IF(OR(NOT(ISNUMBER(E659)),NOT(ISNUMBER(F659))),"",MAX(0,E659)*F659))</f>
        <v/>
      </c>
      <c r="I659" s="46" t="str">
        <f aca="false">IF($A659="","",SUMIF($A$2:$A$5001,$A659,$H$2:$H$5001))</f>
        <v/>
      </c>
      <c r="J659" s="47" t="n">
        <f aca="false">IF($A659="",0,IF(COUNTIF($A$2:A659,$A659)=1,1,0))</f>
        <v>0</v>
      </c>
      <c r="K659" s="47" t="n">
        <f aca="false">IF(J659=1,N(I659)+ROW()/10000000,0)</f>
        <v>0</v>
      </c>
      <c r="L659" s="47" t="str">
        <f aca="false">IF(AND(J659=1,N(I659)&gt;0),SUMIF($K$2:$K$5001,"&gt;="&amp;K659,$I$2:$I$5001)/MAX(1,SUM($H$2:$H$5001)),"")</f>
        <v/>
      </c>
      <c r="M659" s="47" t="str">
        <f aca="false">IF($A659="","",INDEX($L$2:$L$5001,MATCH($A659,$A$2:$A$5001,0)))</f>
        <v/>
      </c>
      <c r="N659" s="48" t="str">
        <f aca="false">IF($A659="","",IF(N(M659)=0,"–",IF(M659&lt;=Start!$D$20,"A",IF(M659&lt;=Start!$D$21,"B","C"))))</f>
        <v/>
      </c>
      <c r="O659" s="48" t="str">
        <f aca="false">IF($A659="","",IF(NOT(ISNUMBER(F659)),"Wert fehlt; ",IF(F659&lt;=0,"Wert ist 0; ",""))&amp;IF(NOT(ISNUMBER(E659)),"Bestand fehlt; ",IF(E659&lt;0,"Bestand negativ; ",IF(E659=0,"Nullbestand; ","")))&amp;IF(D659="","Warengruppe fehlt; ","")&amp;IF(B659="","Bezeichnung fehlt; ","")&amp;IF(COUNTIFS($A$2:$A$5001,$A659,$C$2:$C$5001,C659)&gt;1,"Artikel doppelt im selben Lager; ",""))</f>
        <v/>
      </c>
      <c r="P659" s="47" t="n">
        <f aca="false">IF(OR($A659="",D659=""),0,IF(COUNTIF($D$2:D659,D659)=1,SUMIF($D$2:$D$5001,D659,$H$2:$H$5001)+ROW()/10000000,0))</f>
        <v>0</v>
      </c>
      <c r="Q659" s="47" t="n">
        <f aca="false">IF(OR($A659="",C659=""),0,IF(COUNTIF($C$2:C659,C659)=1,SUMIF($C$2:$C$5001,C659,$H$2:$H$5001)+ROW()/10000000,0))</f>
        <v>0</v>
      </c>
    </row>
    <row r="660" customFormat="false" ht="15" hidden="false" customHeight="false" outlineLevel="0" collapsed="false">
      <c r="A660" s="43"/>
      <c r="B660" s="44"/>
      <c r="C660" s="44"/>
      <c r="D660" s="44"/>
      <c r="E660" s="44"/>
      <c r="F660" s="44"/>
      <c r="G660" s="44"/>
      <c r="H660" s="46" t="str">
        <f aca="false">IF($A660="","",IF(OR(NOT(ISNUMBER(E660)),NOT(ISNUMBER(F660))),"",MAX(0,E660)*F660))</f>
        <v/>
      </c>
      <c r="I660" s="46" t="str">
        <f aca="false">IF($A660="","",SUMIF($A$2:$A$5001,$A660,$H$2:$H$5001))</f>
        <v/>
      </c>
      <c r="J660" s="47" t="n">
        <f aca="false">IF($A660="",0,IF(COUNTIF($A$2:A660,$A660)=1,1,0))</f>
        <v>0</v>
      </c>
      <c r="K660" s="47" t="n">
        <f aca="false">IF(J660=1,N(I660)+ROW()/10000000,0)</f>
        <v>0</v>
      </c>
      <c r="L660" s="47" t="str">
        <f aca="false">IF(AND(J660=1,N(I660)&gt;0),SUMIF($K$2:$K$5001,"&gt;="&amp;K660,$I$2:$I$5001)/MAX(1,SUM($H$2:$H$5001)),"")</f>
        <v/>
      </c>
      <c r="M660" s="47" t="str">
        <f aca="false">IF($A660="","",INDEX($L$2:$L$5001,MATCH($A660,$A$2:$A$5001,0)))</f>
        <v/>
      </c>
      <c r="N660" s="48" t="str">
        <f aca="false">IF($A660="","",IF(N(M660)=0,"–",IF(M660&lt;=Start!$D$20,"A",IF(M660&lt;=Start!$D$21,"B","C"))))</f>
        <v/>
      </c>
      <c r="O660" s="48" t="str">
        <f aca="false">IF($A660="","",IF(NOT(ISNUMBER(F660)),"Wert fehlt; ",IF(F660&lt;=0,"Wert ist 0; ",""))&amp;IF(NOT(ISNUMBER(E660)),"Bestand fehlt; ",IF(E660&lt;0,"Bestand negativ; ",IF(E660=0,"Nullbestand; ","")))&amp;IF(D660="","Warengruppe fehlt; ","")&amp;IF(B660="","Bezeichnung fehlt; ","")&amp;IF(COUNTIFS($A$2:$A$5001,$A660,$C$2:$C$5001,C660)&gt;1,"Artikel doppelt im selben Lager; ",""))</f>
        <v/>
      </c>
      <c r="P660" s="47" t="n">
        <f aca="false">IF(OR($A660="",D660=""),0,IF(COUNTIF($D$2:D660,D660)=1,SUMIF($D$2:$D$5001,D660,$H$2:$H$5001)+ROW()/10000000,0))</f>
        <v>0</v>
      </c>
      <c r="Q660" s="47" t="n">
        <f aca="false">IF(OR($A660="",C660=""),0,IF(COUNTIF($C$2:C660,C660)=1,SUMIF($C$2:$C$5001,C660,$H$2:$H$5001)+ROW()/10000000,0))</f>
        <v>0</v>
      </c>
    </row>
    <row r="661" customFormat="false" ht="15" hidden="false" customHeight="false" outlineLevel="0" collapsed="false">
      <c r="A661" s="43"/>
      <c r="B661" s="44"/>
      <c r="C661" s="44"/>
      <c r="D661" s="44"/>
      <c r="E661" s="44"/>
      <c r="F661" s="44"/>
      <c r="G661" s="44"/>
      <c r="H661" s="46" t="str">
        <f aca="false">IF($A661="","",IF(OR(NOT(ISNUMBER(E661)),NOT(ISNUMBER(F661))),"",MAX(0,E661)*F661))</f>
        <v/>
      </c>
      <c r="I661" s="46" t="str">
        <f aca="false">IF($A661="","",SUMIF($A$2:$A$5001,$A661,$H$2:$H$5001))</f>
        <v/>
      </c>
      <c r="J661" s="47" t="n">
        <f aca="false">IF($A661="",0,IF(COUNTIF($A$2:A661,$A661)=1,1,0))</f>
        <v>0</v>
      </c>
      <c r="K661" s="47" t="n">
        <f aca="false">IF(J661=1,N(I661)+ROW()/10000000,0)</f>
        <v>0</v>
      </c>
      <c r="L661" s="47" t="str">
        <f aca="false">IF(AND(J661=1,N(I661)&gt;0),SUMIF($K$2:$K$5001,"&gt;="&amp;K661,$I$2:$I$5001)/MAX(1,SUM($H$2:$H$5001)),"")</f>
        <v/>
      </c>
      <c r="M661" s="47" t="str">
        <f aca="false">IF($A661="","",INDEX($L$2:$L$5001,MATCH($A661,$A$2:$A$5001,0)))</f>
        <v/>
      </c>
      <c r="N661" s="48" t="str">
        <f aca="false">IF($A661="","",IF(N(M661)=0,"–",IF(M661&lt;=Start!$D$20,"A",IF(M661&lt;=Start!$D$21,"B","C"))))</f>
        <v/>
      </c>
      <c r="O661" s="48" t="str">
        <f aca="false">IF($A661="","",IF(NOT(ISNUMBER(F661)),"Wert fehlt; ",IF(F661&lt;=0,"Wert ist 0; ",""))&amp;IF(NOT(ISNUMBER(E661)),"Bestand fehlt; ",IF(E661&lt;0,"Bestand negativ; ",IF(E661=0,"Nullbestand; ","")))&amp;IF(D661="","Warengruppe fehlt; ","")&amp;IF(B661="","Bezeichnung fehlt; ","")&amp;IF(COUNTIFS($A$2:$A$5001,$A661,$C$2:$C$5001,C661)&gt;1,"Artikel doppelt im selben Lager; ",""))</f>
        <v/>
      </c>
      <c r="P661" s="47" t="n">
        <f aca="false">IF(OR($A661="",D661=""),0,IF(COUNTIF($D$2:D661,D661)=1,SUMIF($D$2:$D$5001,D661,$H$2:$H$5001)+ROW()/10000000,0))</f>
        <v>0</v>
      </c>
      <c r="Q661" s="47" t="n">
        <f aca="false">IF(OR($A661="",C661=""),0,IF(COUNTIF($C$2:C661,C661)=1,SUMIF($C$2:$C$5001,C661,$H$2:$H$5001)+ROW()/10000000,0))</f>
        <v>0</v>
      </c>
    </row>
    <row r="662" customFormat="false" ht="15" hidden="false" customHeight="false" outlineLevel="0" collapsed="false">
      <c r="A662" s="43"/>
      <c r="B662" s="44"/>
      <c r="C662" s="44"/>
      <c r="D662" s="44"/>
      <c r="E662" s="44"/>
      <c r="F662" s="44"/>
      <c r="G662" s="44"/>
      <c r="H662" s="46" t="str">
        <f aca="false">IF($A662="","",IF(OR(NOT(ISNUMBER(E662)),NOT(ISNUMBER(F662))),"",MAX(0,E662)*F662))</f>
        <v/>
      </c>
      <c r="I662" s="46" t="str">
        <f aca="false">IF($A662="","",SUMIF($A$2:$A$5001,$A662,$H$2:$H$5001))</f>
        <v/>
      </c>
      <c r="J662" s="47" t="n">
        <f aca="false">IF($A662="",0,IF(COUNTIF($A$2:A662,$A662)=1,1,0))</f>
        <v>0</v>
      </c>
      <c r="K662" s="47" t="n">
        <f aca="false">IF(J662=1,N(I662)+ROW()/10000000,0)</f>
        <v>0</v>
      </c>
      <c r="L662" s="47" t="str">
        <f aca="false">IF(AND(J662=1,N(I662)&gt;0),SUMIF($K$2:$K$5001,"&gt;="&amp;K662,$I$2:$I$5001)/MAX(1,SUM($H$2:$H$5001)),"")</f>
        <v/>
      </c>
      <c r="M662" s="47" t="str">
        <f aca="false">IF($A662="","",INDEX($L$2:$L$5001,MATCH($A662,$A$2:$A$5001,0)))</f>
        <v/>
      </c>
      <c r="N662" s="48" t="str">
        <f aca="false">IF($A662="","",IF(N(M662)=0,"–",IF(M662&lt;=Start!$D$20,"A",IF(M662&lt;=Start!$D$21,"B","C"))))</f>
        <v/>
      </c>
      <c r="O662" s="48" t="str">
        <f aca="false">IF($A662="","",IF(NOT(ISNUMBER(F662)),"Wert fehlt; ",IF(F662&lt;=0,"Wert ist 0; ",""))&amp;IF(NOT(ISNUMBER(E662)),"Bestand fehlt; ",IF(E662&lt;0,"Bestand negativ; ",IF(E662=0,"Nullbestand; ","")))&amp;IF(D662="","Warengruppe fehlt; ","")&amp;IF(B662="","Bezeichnung fehlt; ","")&amp;IF(COUNTIFS($A$2:$A$5001,$A662,$C$2:$C$5001,C662)&gt;1,"Artikel doppelt im selben Lager; ",""))</f>
        <v/>
      </c>
      <c r="P662" s="47" t="n">
        <f aca="false">IF(OR($A662="",D662=""),0,IF(COUNTIF($D$2:D662,D662)=1,SUMIF($D$2:$D$5001,D662,$H$2:$H$5001)+ROW()/10000000,0))</f>
        <v>0</v>
      </c>
      <c r="Q662" s="47" t="n">
        <f aca="false">IF(OR($A662="",C662=""),0,IF(COUNTIF($C$2:C662,C662)=1,SUMIF($C$2:$C$5001,C662,$H$2:$H$5001)+ROW()/10000000,0))</f>
        <v>0</v>
      </c>
    </row>
    <row r="663" customFormat="false" ht="15" hidden="false" customHeight="false" outlineLevel="0" collapsed="false">
      <c r="A663" s="43"/>
      <c r="B663" s="44"/>
      <c r="C663" s="44"/>
      <c r="D663" s="44"/>
      <c r="E663" s="44"/>
      <c r="F663" s="44"/>
      <c r="G663" s="44"/>
      <c r="H663" s="46" t="str">
        <f aca="false">IF($A663="","",IF(OR(NOT(ISNUMBER(E663)),NOT(ISNUMBER(F663))),"",MAX(0,E663)*F663))</f>
        <v/>
      </c>
      <c r="I663" s="46" t="str">
        <f aca="false">IF($A663="","",SUMIF($A$2:$A$5001,$A663,$H$2:$H$5001))</f>
        <v/>
      </c>
      <c r="J663" s="47" t="n">
        <f aca="false">IF($A663="",0,IF(COUNTIF($A$2:A663,$A663)=1,1,0))</f>
        <v>0</v>
      </c>
      <c r="K663" s="47" t="n">
        <f aca="false">IF(J663=1,N(I663)+ROW()/10000000,0)</f>
        <v>0</v>
      </c>
      <c r="L663" s="47" t="str">
        <f aca="false">IF(AND(J663=1,N(I663)&gt;0),SUMIF($K$2:$K$5001,"&gt;="&amp;K663,$I$2:$I$5001)/MAX(1,SUM($H$2:$H$5001)),"")</f>
        <v/>
      </c>
      <c r="M663" s="47" t="str">
        <f aca="false">IF($A663="","",INDEX($L$2:$L$5001,MATCH($A663,$A$2:$A$5001,0)))</f>
        <v/>
      </c>
      <c r="N663" s="48" t="str">
        <f aca="false">IF($A663="","",IF(N(M663)=0,"–",IF(M663&lt;=Start!$D$20,"A",IF(M663&lt;=Start!$D$21,"B","C"))))</f>
        <v/>
      </c>
      <c r="O663" s="48" t="str">
        <f aca="false">IF($A663="","",IF(NOT(ISNUMBER(F663)),"Wert fehlt; ",IF(F663&lt;=0,"Wert ist 0; ",""))&amp;IF(NOT(ISNUMBER(E663)),"Bestand fehlt; ",IF(E663&lt;0,"Bestand negativ; ",IF(E663=0,"Nullbestand; ","")))&amp;IF(D663="","Warengruppe fehlt; ","")&amp;IF(B663="","Bezeichnung fehlt; ","")&amp;IF(COUNTIFS($A$2:$A$5001,$A663,$C$2:$C$5001,C663)&gt;1,"Artikel doppelt im selben Lager; ",""))</f>
        <v/>
      </c>
      <c r="P663" s="47" t="n">
        <f aca="false">IF(OR($A663="",D663=""),0,IF(COUNTIF($D$2:D663,D663)=1,SUMIF($D$2:$D$5001,D663,$H$2:$H$5001)+ROW()/10000000,0))</f>
        <v>0</v>
      </c>
      <c r="Q663" s="47" t="n">
        <f aca="false">IF(OR($A663="",C663=""),0,IF(COUNTIF($C$2:C663,C663)=1,SUMIF($C$2:$C$5001,C663,$H$2:$H$5001)+ROW()/10000000,0))</f>
        <v>0</v>
      </c>
    </row>
    <row r="664" customFormat="false" ht="15" hidden="false" customHeight="false" outlineLevel="0" collapsed="false">
      <c r="A664" s="43"/>
      <c r="B664" s="44"/>
      <c r="C664" s="44"/>
      <c r="D664" s="44"/>
      <c r="E664" s="44"/>
      <c r="F664" s="44"/>
      <c r="G664" s="44"/>
      <c r="H664" s="46" t="str">
        <f aca="false">IF($A664="","",IF(OR(NOT(ISNUMBER(E664)),NOT(ISNUMBER(F664))),"",MAX(0,E664)*F664))</f>
        <v/>
      </c>
      <c r="I664" s="46" t="str">
        <f aca="false">IF($A664="","",SUMIF($A$2:$A$5001,$A664,$H$2:$H$5001))</f>
        <v/>
      </c>
      <c r="J664" s="47" t="n">
        <f aca="false">IF($A664="",0,IF(COUNTIF($A$2:A664,$A664)=1,1,0))</f>
        <v>0</v>
      </c>
      <c r="K664" s="47" t="n">
        <f aca="false">IF(J664=1,N(I664)+ROW()/10000000,0)</f>
        <v>0</v>
      </c>
      <c r="L664" s="47" t="str">
        <f aca="false">IF(AND(J664=1,N(I664)&gt;0),SUMIF($K$2:$K$5001,"&gt;="&amp;K664,$I$2:$I$5001)/MAX(1,SUM($H$2:$H$5001)),"")</f>
        <v/>
      </c>
      <c r="M664" s="47" t="str">
        <f aca="false">IF($A664="","",INDEX($L$2:$L$5001,MATCH($A664,$A$2:$A$5001,0)))</f>
        <v/>
      </c>
      <c r="N664" s="48" t="str">
        <f aca="false">IF($A664="","",IF(N(M664)=0,"–",IF(M664&lt;=Start!$D$20,"A",IF(M664&lt;=Start!$D$21,"B","C"))))</f>
        <v/>
      </c>
      <c r="O664" s="48" t="str">
        <f aca="false">IF($A664="","",IF(NOT(ISNUMBER(F664)),"Wert fehlt; ",IF(F664&lt;=0,"Wert ist 0; ",""))&amp;IF(NOT(ISNUMBER(E664)),"Bestand fehlt; ",IF(E664&lt;0,"Bestand negativ; ",IF(E664=0,"Nullbestand; ","")))&amp;IF(D664="","Warengruppe fehlt; ","")&amp;IF(B664="","Bezeichnung fehlt; ","")&amp;IF(COUNTIFS($A$2:$A$5001,$A664,$C$2:$C$5001,C664)&gt;1,"Artikel doppelt im selben Lager; ",""))</f>
        <v/>
      </c>
      <c r="P664" s="47" t="n">
        <f aca="false">IF(OR($A664="",D664=""),0,IF(COUNTIF($D$2:D664,D664)=1,SUMIF($D$2:$D$5001,D664,$H$2:$H$5001)+ROW()/10000000,0))</f>
        <v>0</v>
      </c>
      <c r="Q664" s="47" t="n">
        <f aca="false">IF(OR($A664="",C664=""),0,IF(COUNTIF($C$2:C664,C664)=1,SUMIF($C$2:$C$5001,C664,$H$2:$H$5001)+ROW()/10000000,0))</f>
        <v>0</v>
      </c>
    </row>
    <row r="665" customFormat="false" ht="15" hidden="false" customHeight="false" outlineLevel="0" collapsed="false">
      <c r="A665" s="43"/>
      <c r="B665" s="44"/>
      <c r="C665" s="44"/>
      <c r="D665" s="44"/>
      <c r="E665" s="44"/>
      <c r="F665" s="44"/>
      <c r="G665" s="44"/>
      <c r="H665" s="46" t="str">
        <f aca="false">IF($A665="","",IF(OR(NOT(ISNUMBER(E665)),NOT(ISNUMBER(F665))),"",MAX(0,E665)*F665))</f>
        <v/>
      </c>
      <c r="I665" s="46" t="str">
        <f aca="false">IF($A665="","",SUMIF($A$2:$A$5001,$A665,$H$2:$H$5001))</f>
        <v/>
      </c>
      <c r="J665" s="47" t="n">
        <f aca="false">IF($A665="",0,IF(COUNTIF($A$2:A665,$A665)=1,1,0))</f>
        <v>0</v>
      </c>
      <c r="K665" s="47" t="n">
        <f aca="false">IF(J665=1,N(I665)+ROW()/10000000,0)</f>
        <v>0</v>
      </c>
      <c r="L665" s="47" t="str">
        <f aca="false">IF(AND(J665=1,N(I665)&gt;0),SUMIF($K$2:$K$5001,"&gt;="&amp;K665,$I$2:$I$5001)/MAX(1,SUM($H$2:$H$5001)),"")</f>
        <v/>
      </c>
      <c r="M665" s="47" t="str">
        <f aca="false">IF($A665="","",INDEX($L$2:$L$5001,MATCH($A665,$A$2:$A$5001,0)))</f>
        <v/>
      </c>
      <c r="N665" s="48" t="str">
        <f aca="false">IF($A665="","",IF(N(M665)=0,"–",IF(M665&lt;=Start!$D$20,"A",IF(M665&lt;=Start!$D$21,"B","C"))))</f>
        <v/>
      </c>
      <c r="O665" s="48" t="str">
        <f aca="false">IF($A665="","",IF(NOT(ISNUMBER(F665)),"Wert fehlt; ",IF(F665&lt;=0,"Wert ist 0; ",""))&amp;IF(NOT(ISNUMBER(E665)),"Bestand fehlt; ",IF(E665&lt;0,"Bestand negativ; ",IF(E665=0,"Nullbestand; ","")))&amp;IF(D665="","Warengruppe fehlt; ","")&amp;IF(B665="","Bezeichnung fehlt; ","")&amp;IF(COUNTIFS($A$2:$A$5001,$A665,$C$2:$C$5001,C665)&gt;1,"Artikel doppelt im selben Lager; ",""))</f>
        <v/>
      </c>
      <c r="P665" s="47" t="n">
        <f aca="false">IF(OR($A665="",D665=""),0,IF(COUNTIF($D$2:D665,D665)=1,SUMIF($D$2:$D$5001,D665,$H$2:$H$5001)+ROW()/10000000,0))</f>
        <v>0</v>
      </c>
      <c r="Q665" s="47" t="n">
        <f aca="false">IF(OR($A665="",C665=""),0,IF(COUNTIF($C$2:C665,C665)=1,SUMIF($C$2:$C$5001,C665,$H$2:$H$5001)+ROW()/10000000,0))</f>
        <v>0</v>
      </c>
    </row>
    <row r="666" customFormat="false" ht="15" hidden="false" customHeight="false" outlineLevel="0" collapsed="false">
      <c r="A666" s="43"/>
      <c r="B666" s="44"/>
      <c r="C666" s="44"/>
      <c r="D666" s="44"/>
      <c r="E666" s="44"/>
      <c r="F666" s="44"/>
      <c r="G666" s="44"/>
      <c r="H666" s="46" t="str">
        <f aca="false">IF($A666="","",IF(OR(NOT(ISNUMBER(E666)),NOT(ISNUMBER(F666))),"",MAX(0,E666)*F666))</f>
        <v/>
      </c>
      <c r="I666" s="46" t="str">
        <f aca="false">IF($A666="","",SUMIF($A$2:$A$5001,$A666,$H$2:$H$5001))</f>
        <v/>
      </c>
      <c r="J666" s="47" t="n">
        <f aca="false">IF($A666="",0,IF(COUNTIF($A$2:A666,$A666)=1,1,0))</f>
        <v>0</v>
      </c>
      <c r="K666" s="47" t="n">
        <f aca="false">IF(J666=1,N(I666)+ROW()/10000000,0)</f>
        <v>0</v>
      </c>
      <c r="L666" s="47" t="str">
        <f aca="false">IF(AND(J666=1,N(I666)&gt;0),SUMIF($K$2:$K$5001,"&gt;="&amp;K666,$I$2:$I$5001)/MAX(1,SUM($H$2:$H$5001)),"")</f>
        <v/>
      </c>
      <c r="M666" s="47" t="str">
        <f aca="false">IF($A666="","",INDEX($L$2:$L$5001,MATCH($A666,$A$2:$A$5001,0)))</f>
        <v/>
      </c>
      <c r="N666" s="48" t="str">
        <f aca="false">IF($A666="","",IF(N(M666)=0,"–",IF(M666&lt;=Start!$D$20,"A",IF(M666&lt;=Start!$D$21,"B","C"))))</f>
        <v/>
      </c>
      <c r="O666" s="48" t="str">
        <f aca="false">IF($A666="","",IF(NOT(ISNUMBER(F666)),"Wert fehlt; ",IF(F666&lt;=0,"Wert ist 0; ",""))&amp;IF(NOT(ISNUMBER(E666)),"Bestand fehlt; ",IF(E666&lt;0,"Bestand negativ; ",IF(E666=0,"Nullbestand; ","")))&amp;IF(D666="","Warengruppe fehlt; ","")&amp;IF(B666="","Bezeichnung fehlt; ","")&amp;IF(COUNTIFS($A$2:$A$5001,$A666,$C$2:$C$5001,C666)&gt;1,"Artikel doppelt im selben Lager; ",""))</f>
        <v/>
      </c>
      <c r="P666" s="47" t="n">
        <f aca="false">IF(OR($A666="",D666=""),0,IF(COUNTIF($D$2:D666,D666)=1,SUMIF($D$2:$D$5001,D666,$H$2:$H$5001)+ROW()/10000000,0))</f>
        <v>0</v>
      </c>
      <c r="Q666" s="47" t="n">
        <f aca="false">IF(OR($A666="",C666=""),0,IF(COUNTIF($C$2:C666,C666)=1,SUMIF($C$2:$C$5001,C666,$H$2:$H$5001)+ROW()/10000000,0))</f>
        <v>0</v>
      </c>
    </row>
    <row r="667" customFormat="false" ht="15" hidden="false" customHeight="false" outlineLevel="0" collapsed="false">
      <c r="A667" s="43"/>
      <c r="B667" s="44"/>
      <c r="C667" s="44"/>
      <c r="D667" s="44"/>
      <c r="E667" s="44"/>
      <c r="F667" s="44"/>
      <c r="G667" s="44"/>
      <c r="H667" s="46" t="str">
        <f aca="false">IF($A667="","",IF(OR(NOT(ISNUMBER(E667)),NOT(ISNUMBER(F667))),"",MAX(0,E667)*F667))</f>
        <v/>
      </c>
      <c r="I667" s="46" t="str">
        <f aca="false">IF($A667="","",SUMIF($A$2:$A$5001,$A667,$H$2:$H$5001))</f>
        <v/>
      </c>
      <c r="J667" s="47" t="n">
        <f aca="false">IF($A667="",0,IF(COUNTIF($A$2:A667,$A667)=1,1,0))</f>
        <v>0</v>
      </c>
      <c r="K667" s="47" t="n">
        <f aca="false">IF(J667=1,N(I667)+ROW()/10000000,0)</f>
        <v>0</v>
      </c>
      <c r="L667" s="47" t="str">
        <f aca="false">IF(AND(J667=1,N(I667)&gt;0),SUMIF($K$2:$K$5001,"&gt;="&amp;K667,$I$2:$I$5001)/MAX(1,SUM($H$2:$H$5001)),"")</f>
        <v/>
      </c>
      <c r="M667" s="47" t="str">
        <f aca="false">IF($A667="","",INDEX($L$2:$L$5001,MATCH($A667,$A$2:$A$5001,0)))</f>
        <v/>
      </c>
      <c r="N667" s="48" t="str">
        <f aca="false">IF($A667="","",IF(N(M667)=0,"–",IF(M667&lt;=Start!$D$20,"A",IF(M667&lt;=Start!$D$21,"B","C"))))</f>
        <v/>
      </c>
      <c r="O667" s="48" t="str">
        <f aca="false">IF($A667="","",IF(NOT(ISNUMBER(F667)),"Wert fehlt; ",IF(F667&lt;=0,"Wert ist 0; ",""))&amp;IF(NOT(ISNUMBER(E667)),"Bestand fehlt; ",IF(E667&lt;0,"Bestand negativ; ",IF(E667=0,"Nullbestand; ","")))&amp;IF(D667="","Warengruppe fehlt; ","")&amp;IF(B667="","Bezeichnung fehlt; ","")&amp;IF(COUNTIFS($A$2:$A$5001,$A667,$C$2:$C$5001,C667)&gt;1,"Artikel doppelt im selben Lager; ",""))</f>
        <v/>
      </c>
      <c r="P667" s="47" t="n">
        <f aca="false">IF(OR($A667="",D667=""),0,IF(COUNTIF($D$2:D667,D667)=1,SUMIF($D$2:$D$5001,D667,$H$2:$H$5001)+ROW()/10000000,0))</f>
        <v>0</v>
      </c>
      <c r="Q667" s="47" t="n">
        <f aca="false">IF(OR($A667="",C667=""),0,IF(COUNTIF($C$2:C667,C667)=1,SUMIF($C$2:$C$5001,C667,$H$2:$H$5001)+ROW()/10000000,0))</f>
        <v>0</v>
      </c>
    </row>
    <row r="668" customFormat="false" ht="15" hidden="false" customHeight="false" outlineLevel="0" collapsed="false">
      <c r="A668" s="43"/>
      <c r="B668" s="44"/>
      <c r="C668" s="44"/>
      <c r="D668" s="44"/>
      <c r="E668" s="44"/>
      <c r="F668" s="44"/>
      <c r="G668" s="44"/>
      <c r="H668" s="46" t="str">
        <f aca="false">IF($A668="","",IF(OR(NOT(ISNUMBER(E668)),NOT(ISNUMBER(F668))),"",MAX(0,E668)*F668))</f>
        <v/>
      </c>
      <c r="I668" s="46" t="str">
        <f aca="false">IF($A668="","",SUMIF($A$2:$A$5001,$A668,$H$2:$H$5001))</f>
        <v/>
      </c>
      <c r="J668" s="47" t="n">
        <f aca="false">IF($A668="",0,IF(COUNTIF($A$2:A668,$A668)=1,1,0))</f>
        <v>0</v>
      </c>
      <c r="K668" s="47" t="n">
        <f aca="false">IF(J668=1,N(I668)+ROW()/10000000,0)</f>
        <v>0</v>
      </c>
      <c r="L668" s="47" t="str">
        <f aca="false">IF(AND(J668=1,N(I668)&gt;0),SUMIF($K$2:$K$5001,"&gt;="&amp;K668,$I$2:$I$5001)/MAX(1,SUM($H$2:$H$5001)),"")</f>
        <v/>
      </c>
      <c r="M668" s="47" t="str">
        <f aca="false">IF($A668="","",INDEX($L$2:$L$5001,MATCH($A668,$A$2:$A$5001,0)))</f>
        <v/>
      </c>
      <c r="N668" s="48" t="str">
        <f aca="false">IF($A668="","",IF(N(M668)=0,"–",IF(M668&lt;=Start!$D$20,"A",IF(M668&lt;=Start!$D$21,"B","C"))))</f>
        <v/>
      </c>
      <c r="O668" s="48" t="str">
        <f aca="false">IF($A668="","",IF(NOT(ISNUMBER(F668)),"Wert fehlt; ",IF(F668&lt;=0,"Wert ist 0; ",""))&amp;IF(NOT(ISNUMBER(E668)),"Bestand fehlt; ",IF(E668&lt;0,"Bestand negativ; ",IF(E668=0,"Nullbestand; ","")))&amp;IF(D668="","Warengruppe fehlt; ","")&amp;IF(B668="","Bezeichnung fehlt; ","")&amp;IF(COUNTIFS($A$2:$A$5001,$A668,$C$2:$C$5001,C668)&gt;1,"Artikel doppelt im selben Lager; ",""))</f>
        <v/>
      </c>
      <c r="P668" s="47" t="n">
        <f aca="false">IF(OR($A668="",D668=""),0,IF(COUNTIF($D$2:D668,D668)=1,SUMIF($D$2:$D$5001,D668,$H$2:$H$5001)+ROW()/10000000,0))</f>
        <v>0</v>
      </c>
      <c r="Q668" s="47" t="n">
        <f aca="false">IF(OR($A668="",C668=""),0,IF(COUNTIF($C$2:C668,C668)=1,SUMIF($C$2:$C$5001,C668,$H$2:$H$5001)+ROW()/10000000,0))</f>
        <v>0</v>
      </c>
    </row>
    <row r="669" customFormat="false" ht="15" hidden="false" customHeight="false" outlineLevel="0" collapsed="false">
      <c r="A669" s="43"/>
      <c r="B669" s="44"/>
      <c r="C669" s="44"/>
      <c r="D669" s="44"/>
      <c r="E669" s="44"/>
      <c r="F669" s="44"/>
      <c r="G669" s="44"/>
      <c r="H669" s="46" t="str">
        <f aca="false">IF($A669="","",IF(OR(NOT(ISNUMBER(E669)),NOT(ISNUMBER(F669))),"",MAX(0,E669)*F669))</f>
        <v/>
      </c>
      <c r="I669" s="46" t="str">
        <f aca="false">IF($A669="","",SUMIF($A$2:$A$5001,$A669,$H$2:$H$5001))</f>
        <v/>
      </c>
      <c r="J669" s="47" t="n">
        <f aca="false">IF($A669="",0,IF(COUNTIF($A$2:A669,$A669)=1,1,0))</f>
        <v>0</v>
      </c>
      <c r="K669" s="47" t="n">
        <f aca="false">IF(J669=1,N(I669)+ROW()/10000000,0)</f>
        <v>0</v>
      </c>
      <c r="L669" s="47" t="str">
        <f aca="false">IF(AND(J669=1,N(I669)&gt;0),SUMIF($K$2:$K$5001,"&gt;="&amp;K669,$I$2:$I$5001)/MAX(1,SUM($H$2:$H$5001)),"")</f>
        <v/>
      </c>
      <c r="M669" s="47" t="str">
        <f aca="false">IF($A669="","",INDEX($L$2:$L$5001,MATCH($A669,$A$2:$A$5001,0)))</f>
        <v/>
      </c>
      <c r="N669" s="48" t="str">
        <f aca="false">IF($A669="","",IF(N(M669)=0,"–",IF(M669&lt;=Start!$D$20,"A",IF(M669&lt;=Start!$D$21,"B","C"))))</f>
        <v/>
      </c>
      <c r="O669" s="48" t="str">
        <f aca="false">IF($A669="","",IF(NOT(ISNUMBER(F669)),"Wert fehlt; ",IF(F669&lt;=0,"Wert ist 0; ",""))&amp;IF(NOT(ISNUMBER(E669)),"Bestand fehlt; ",IF(E669&lt;0,"Bestand negativ; ",IF(E669=0,"Nullbestand; ","")))&amp;IF(D669="","Warengruppe fehlt; ","")&amp;IF(B669="","Bezeichnung fehlt; ","")&amp;IF(COUNTIFS($A$2:$A$5001,$A669,$C$2:$C$5001,C669)&gt;1,"Artikel doppelt im selben Lager; ",""))</f>
        <v/>
      </c>
      <c r="P669" s="47" t="n">
        <f aca="false">IF(OR($A669="",D669=""),0,IF(COUNTIF($D$2:D669,D669)=1,SUMIF($D$2:$D$5001,D669,$H$2:$H$5001)+ROW()/10000000,0))</f>
        <v>0</v>
      </c>
      <c r="Q669" s="47" t="n">
        <f aca="false">IF(OR($A669="",C669=""),0,IF(COUNTIF($C$2:C669,C669)=1,SUMIF($C$2:$C$5001,C669,$H$2:$H$5001)+ROW()/10000000,0))</f>
        <v>0</v>
      </c>
    </row>
    <row r="670" customFormat="false" ht="15" hidden="false" customHeight="false" outlineLevel="0" collapsed="false">
      <c r="A670" s="43"/>
      <c r="B670" s="44"/>
      <c r="C670" s="44"/>
      <c r="D670" s="44"/>
      <c r="E670" s="44"/>
      <c r="F670" s="44"/>
      <c r="G670" s="44"/>
      <c r="H670" s="46" t="str">
        <f aca="false">IF($A670="","",IF(OR(NOT(ISNUMBER(E670)),NOT(ISNUMBER(F670))),"",MAX(0,E670)*F670))</f>
        <v/>
      </c>
      <c r="I670" s="46" t="str">
        <f aca="false">IF($A670="","",SUMIF($A$2:$A$5001,$A670,$H$2:$H$5001))</f>
        <v/>
      </c>
      <c r="J670" s="47" t="n">
        <f aca="false">IF($A670="",0,IF(COUNTIF($A$2:A670,$A670)=1,1,0))</f>
        <v>0</v>
      </c>
      <c r="K670" s="47" t="n">
        <f aca="false">IF(J670=1,N(I670)+ROW()/10000000,0)</f>
        <v>0</v>
      </c>
      <c r="L670" s="47" t="str">
        <f aca="false">IF(AND(J670=1,N(I670)&gt;0),SUMIF($K$2:$K$5001,"&gt;="&amp;K670,$I$2:$I$5001)/MAX(1,SUM($H$2:$H$5001)),"")</f>
        <v/>
      </c>
      <c r="M670" s="47" t="str">
        <f aca="false">IF($A670="","",INDEX($L$2:$L$5001,MATCH($A670,$A$2:$A$5001,0)))</f>
        <v/>
      </c>
      <c r="N670" s="48" t="str">
        <f aca="false">IF($A670="","",IF(N(M670)=0,"–",IF(M670&lt;=Start!$D$20,"A",IF(M670&lt;=Start!$D$21,"B","C"))))</f>
        <v/>
      </c>
      <c r="O670" s="48" t="str">
        <f aca="false">IF($A670="","",IF(NOT(ISNUMBER(F670)),"Wert fehlt; ",IF(F670&lt;=0,"Wert ist 0; ",""))&amp;IF(NOT(ISNUMBER(E670)),"Bestand fehlt; ",IF(E670&lt;0,"Bestand negativ; ",IF(E670=0,"Nullbestand; ","")))&amp;IF(D670="","Warengruppe fehlt; ","")&amp;IF(B670="","Bezeichnung fehlt; ","")&amp;IF(COUNTIFS($A$2:$A$5001,$A670,$C$2:$C$5001,C670)&gt;1,"Artikel doppelt im selben Lager; ",""))</f>
        <v/>
      </c>
      <c r="P670" s="47" t="n">
        <f aca="false">IF(OR($A670="",D670=""),0,IF(COUNTIF($D$2:D670,D670)=1,SUMIF($D$2:$D$5001,D670,$H$2:$H$5001)+ROW()/10000000,0))</f>
        <v>0</v>
      </c>
      <c r="Q670" s="47" t="n">
        <f aca="false">IF(OR($A670="",C670=""),0,IF(COUNTIF($C$2:C670,C670)=1,SUMIF($C$2:$C$5001,C670,$H$2:$H$5001)+ROW()/10000000,0))</f>
        <v>0</v>
      </c>
    </row>
    <row r="671" customFormat="false" ht="15" hidden="false" customHeight="false" outlineLevel="0" collapsed="false">
      <c r="A671" s="43"/>
      <c r="B671" s="44"/>
      <c r="C671" s="44"/>
      <c r="D671" s="44"/>
      <c r="E671" s="44"/>
      <c r="F671" s="44"/>
      <c r="G671" s="44"/>
      <c r="H671" s="46" t="str">
        <f aca="false">IF($A671="","",IF(OR(NOT(ISNUMBER(E671)),NOT(ISNUMBER(F671))),"",MAX(0,E671)*F671))</f>
        <v/>
      </c>
      <c r="I671" s="46" t="str">
        <f aca="false">IF($A671="","",SUMIF($A$2:$A$5001,$A671,$H$2:$H$5001))</f>
        <v/>
      </c>
      <c r="J671" s="47" t="n">
        <f aca="false">IF($A671="",0,IF(COUNTIF($A$2:A671,$A671)=1,1,0))</f>
        <v>0</v>
      </c>
      <c r="K671" s="47" t="n">
        <f aca="false">IF(J671=1,N(I671)+ROW()/10000000,0)</f>
        <v>0</v>
      </c>
      <c r="L671" s="47" t="str">
        <f aca="false">IF(AND(J671=1,N(I671)&gt;0),SUMIF($K$2:$K$5001,"&gt;="&amp;K671,$I$2:$I$5001)/MAX(1,SUM($H$2:$H$5001)),"")</f>
        <v/>
      </c>
      <c r="M671" s="47" t="str">
        <f aca="false">IF($A671="","",INDEX($L$2:$L$5001,MATCH($A671,$A$2:$A$5001,0)))</f>
        <v/>
      </c>
      <c r="N671" s="48" t="str">
        <f aca="false">IF($A671="","",IF(N(M671)=0,"–",IF(M671&lt;=Start!$D$20,"A",IF(M671&lt;=Start!$D$21,"B","C"))))</f>
        <v/>
      </c>
      <c r="O671" s="48" t="str">
        <f aca="false">IF($A671="","",IF(NOT(ISNUMBER(F671)),"Wert fehlt; ",IF(F671&lt;=0,"Wert ist 0; ",""))&amp;IF(NOT(ISNUMBER(E671)),"Bestand fehlt; ",IF(E671&lt;0,"Bestand negativ; ",IF(E671=0,"Nullbestand; ","")))&amp;IF(D671="","Warengruppe fehlt; ","")&amp;IF(B671="","Bezeichnung fehlt; ","")&amp;IF(COUNTIFS($A$2:$A$5001,$A671,$C$2:$C$5001,C671)&gt;1,"Artikel doppelt im selben Lager; ",""))</f>
        <v/>
      </c>
      <c r="P671" s="47" t="n">
        <f aca="false">IF(OR($A671="",D671=""),0,IF(COUNTIF($D$2:D671,D671)=1,SUMIF($D$2:$D$5001,D671,$H$2:$H$5001)+ROW()/10000000,0))</f>
        <v>0</v>
      </c>
      <c r="Q671" s="47" t="n">
        <f aca="false">IF(OR($A671="",C671=""),0,IF(COUNTIF($C$2:C671,C671)=1,SUMIF($C$2:$C$5001,C671,$H$2:$H$5001)+ROW()/10000000,0))</f>
        <v>0</v>
      </c>
    </row>
    <row r="672" customFormat="false" ht="15" hidden="false" customHeight="false" outlineLevel="0" collapsed="false">
      <c r="A672" s="43"/>
      <c r="B672" s="44"/>
      <c r="C672" s="44"/>
      <c r="D672" s="44"/>
      <c r="E672" s="44"/>
      <c r="F672" s="44"/>
      <c r="G672" s="44"/>
      <c r="H672" s="46" t="str">
        <f aca="false">IF($A672="","",IF(OR(NOT(ISNUMBER(E672)),NOT(ISNUMBER(F672))),"",MAX(0,E672)*F672))</f>
        <v/>
      </c>
      <c r="I672" s="46" t="str">
        <f aca="false">IF($A672="","",SUMIF($A$2:$A$5001,$A672,$H$2:$H$5001))</f>
        <v/>
      </c>
      <c r="J672" s="47" t="n">
        <f aca="false">IF($A672="",0,IF(COUNTIF($A$2:A672,$A672)=1,1,0))</f>
        <v>0</v>
      </c>
      <c r="K672" s="47" t="n">
        <f aca="false">IF(J672=1,N(I672)+ROW()/10000000,0)</f>
        <v>0</v>
      </c>
      <c r="L672" s="47" t="str">
        <f aca="false">IF(AND(J672=1,N(I672)&gt;0),SUMIF($K$2:$K$5001,"&gt;="&amp;K672,$I$2:$I$5001)/MAX(1,SUM($H$2:$H$5001)),"")</f>
        <v/>
      </c>
      <c r="M672" s="47" t="str">
        <f aca="false">IF($A672="","",INDEX($L$2:$L$5001,MATCH($A672,$A$2:$A$5001,0)))</f>
        <v/>
      </c>
      <c r="N672" s="48" t="str">
        <f aca="false">IF($A672="","",IF(N(M672)=0,"–",IF(M672&lt;=Start!$D$20,"A",IF(M672&lt;=Start!$D$21,"B","C"))))</f>
        <v/>
      </c>
      <c r="O672" s="48" t="str">
        <f aca="false">IF($A672="","",IF(NOT(ISNUMBER(F672)),"Wert fehlt; ",IF(F672&lt;=0,"Wert ist 0; ",""))&amp;IF(NOT(ISNUMBER(E672)),"Bestand fehlt; ",IF(E672&lt;0,"Bestand negativ; ",IF(E672=0,"Nullbestand; ","")))&amp;IF(D672="","Warengruppe fehlt; ","")&amp;IF(B672="","Bezeichnung fehlt; ","")&amp;IF(COUNTIFS($A$2:$A$5001,$A672,$C$2:$C$5001,C672)&gt;1,"Artikel doppelt im selben Lager; ",""))</f>
        <v/>
      </c>
      <c r="P672" s="47" t="n">
        <f aca="false">IF(OR($A672="",D672=""),0,IF(COUNTIF($D$2:D672,D672)=1,SUMIF($D$2:$D$5001,D672,$H$2:$H$5001)+ROW()/10000000,0))</f>
        <v>0</v>
      </c>
      <c r="Q672" s="47" t="n">
        <f aca="false">IF(OR($A672="",C672=""),0,IF(COUNTIF($C$2:C672,C672)=1,SUMIF($C$2:$C$5001,C672,$H$2:$H$5001)+ROW()/10000000,0))</f>
        <v>0</v>
      </c>
    </row>
    <row r="673" customFormat="false" ht="15" hidden="false" customHeight="false" outlineLevel="0" collapsed="false">
      <c r="A673" s="43"/>
      <c r="B673" s="44"/>
      <c r="C673" s="44"/>
      <c r="D673" s="44"/>
      <c r="E673" s="44"/>
      <c r="F673" s="44"/>
      <c r="G673" s="44"/>
      <c r="H673" s="46" t="str">
        <f aca="false">IF($A673="","",IF(OR(NOT(ISNUMBER(E673)),NOT(ISNUMBER(F673))),"",MAX(0,E673)*F673))</f>
        <v/>
      </c>
      <c r="I673" s="46" t="str">
        <f aca="false">IF($A673="","",SUMIF($A$2:$A$5001,$A673,$H$2:$H$5001))</f>
        <v/>
      </c>
      <c r="J673" s="47" t="n">
        <f aca="false">IF($A673="",0,IF(COUNTIF($A$2:A673,$A673)=1,1,0))</f>
        <v>0</v>
      </c>
      <c r="K673" s="47" t="n">
        <f aca="false">IF(J673=1,N(I673)+ROW()/10000000,0)</f>
        <v>0</v>
      </c>
      <c r="L673" s="47" t="str">
        <f aca="false">IF(AND(J673=1,N(I673)&gt;0),SUMIF($K$2:$K$5001,"&gt;="&amp;K673,$I$2:$I$5001)/MAX(1,SUM($H$2:$H$5001)),"")</f>
        <v/>
      </c>
      <c r="M673" s="47" t="str">
        <f aca="false">IF($A673="","",INDEX($L$2:$L$5001,MATCH($A673,$A$2:$A$5001,0)))</f>
        <v/>
      </c>
      <c r="N673" s="48" t="str">
        <f aca="false">IF($A673="","",IF(N(M673)=0,"–",IF(M673&lt;=Start!$D$20,"A",IF(M673&lt;=Start!$D$21,"B","C"))))</f>
        <v/>
      </c>
      <c r="O673" s="48" t="str">
        <f aca="false">IF($A673="","",IF(NOT(ISNUMBER(F673)),"Wert fehlt; ",IF(F673&lt;=0,"Wert ist 0; ",""))&amp;IF(NOT(ISNUMBER(E673)),"Bestand fehlt; ",IF(E673&lt;0,"Bestand negativ; ",IF(E673=0,"Nullbestand; ","")))&amp;IF(D673="","Warengruppe fehlt; ","")&amp;IF(B673="","Bezeichnung fehlt; ","")&amp;IF(COUNTIFS($A$2:$A$5001,$A673,$C$2:$C$5001,C673)&gt;1,"Artikel doppelt im selben Lager; ",""))</f>
        <v/>
      </c>
      <c r="P673" s="47" t="n">
        <f aca="false">IF(OR($A673="",D673=""),0,IF(COUNTIF($D$2:D673,D673)=1,SUMIF($D$2:$D$5001,D673,$H$2:$H$5001)+ROW()/10000000,0))</f>
        <v>0</v>
      </c>
      <c r="Q673" s="47" t="n">
        <f aca="false">IF(OR($A673="",C673=""),0,IF(COUNTIF($C$2:C673,C673)=1,SUMIF($C$2:$C$5001,C673,$H$2:$H$5001)+ROW()/10000000,0))</f>
        <v>0</v>
      </c>
    </row>
    <row r="674" customFormat="false" ht="15" hidden="false" customHeight="false" outlineLevel="0" collapsed="false">
      <c r="A674" s="43"/>
      <c r="B674" s="44"/>
      <c r="C674" s="44"/>
      <c r="D674" s="44"/>
      <c r="E674" s="44"/>
      <c r="F674" s="44"/>
      <c r="G674" s="44"/>
      <c r="H674" s="46" t="str">
        <f aca="false">IF($A674="","",IF(OR(NOT(ISNUMBER(E674)),NOT(ISNUMBER(F674))),"",MAX(0,E674)*F674))</f>
        <v/>
      </c>
      <c r="I674" s="46" t="str">
        <f aca="false">IF($A674="","",SUMIF($A$2:$A$5001,$A674,$H$2:$H$5001))</f>
        <v/>
      </c>
      <c r="J674" s="47" t="n">
        <f aca="false">IF($A674="",0,IF(COUNTIF($A$2:A674,$A674)=1,1,0))</f>
        <v>0</v>
      </c>
      <c r="K674" s="47" t="n">
        <f aca="false">IF(J674=1,N(I674)+ROW()/10000000,0)</f>
        <v>0</v>
      </c>
      <c r="L674" s="47" t="str">
        <f aca="false">IF(AND(J674=1,N(I674)&gt;0),SUMIF($K$2:$K$5001,"&gt;="&amp;K674,$I$2:$I$5001)/MAX(1,SUM($H$2:$H$5001)),"")</f>
        <v/>
      </c>
      <c r="M674" s="47" t="str">
        <f aca="false">IF($A674="","",INDEX($L$2:$L$5001,MATCH($A674,$A$2:$A$5001,0)))</f>
        <v/>
      </c>
      <c r="N674" s="48" t="str">
        <f aca="false">IF($A674="","",IF(N(M674)=0,"–",IF(M674&lt;=Start!$D$20,"A",IF(M674&lt;=Start!$D$21,"B","C"))))</f>
        <v/>
      </c>
      <c r="O674" s="48" t="str">
        <f aca="false">IF($A674="","",IF(NOT(ISNUMBER(F674)),"Wert fehlt; ",IF(F674&lt;=0,"Wert ist 0; ",""))&amp;IF(NOT(ISNUMBER(E674)),"Bestand fehlt; ",IF(E674&lt;0,"Bestand negativ; ",IF(E674=0,"Nullbestand; ","")))&amp;IF(D674="","Warengruppe fehlt; ","")&amp;IF(B674="","Bezeichnung fehlt; ","")&amp;IF(COUNTIFS($A$2:$A$5001,$A674,$C$2:$C$5001,C674)&gt;1,"Artikel doppelt im selben Lager; ",""))</f>
        <v/>
      </c>
      <c r="P674" s="47" t="n">
        <f aca="false">IF(OR($A674="",D674=""),0,IF(COUNTIF($D$2:D674,D674)=1,SUMIF($D$2:$D$5001,D674,$H$2:$H$5001)+ROW()/10000000,0))</f>
        <v>0</v>
      </c>
      <c r="Q674" s="47" t="n">
        <f aca="false">IF(OR($A674="",C674=""),0,IF(COUNTIF($C$2:C674,C674)=1,SUMIF($C$2:$C$5001,C674,$H$2:$H$5001)+ROW()/10000000,0))</f>
        <v>0</v>
      </c>
    </row>
    <row r="675" customFormat="false" ht="15" hidden="false" customHeight="false" outlineLevel="0" collapsed="false">
      <c r="A675" s="43"/>
      <c r="B675" s="44"/>
      <c r="C675" s="44"/>
      <c r="D675" s="44"/>
      <c r="E675" s="44"/>
      <c r="F675" s="44"/>
      <c r="G675" s="44"/>
      <c r="H675" s="46" t="str">
        <f aca="false">IF($A675="","",IF(OR(NOT(ISNUMBER(E675)),NOT(ISNUMBER(F675))),"",MAX(0,E675)*F675))</f>
        <v/>
      </c>
      <c r="I675" s="46" t="str">
        <f aca="false">IF($A675="","",SUMIF($A$2:$A$5001,$A675,$H$2:$H$5001))</f>
        <v/>
      </c>
      <c r="J675" s="47" t="n">
        <f aca="false">IF($A675="",0,IF(COUNTIF($A$2:A675,$A675)=1,1,0))</f>
        <v>0</v>
      </c>
      <c r="K675" s="47" t="n">
        <f aca="false">IF(J675=1,N(I675)+ROW()/10000000,0)</f>
        <v>0</v>
      </c>
      <c r="L675" s="47" t="str">
        <f aca="false">IF(AND(J675=1,N(I675)&gt;0),SUMIF($K$2:$K$5001,"&gt;="&amp;K675,$I$2:$I$5001)/MAX(1,SUM($H$2:$H$5001)),"")</f>
        <v/>
      </c>
      <c r="M675" s="47" t="str">
        <f aca="false">IF($A675="","",INDEX($L$2:$L$5001,MATCH($A675,$A$2:$A$5001,0)))</f>
        <v/>
      </c>
      <c r="N675" s="48" t="str">
        <f aca="false">IF($A675="","",IF(N(M675)=0,"–",IF(M675&lt;=Start!$D$20,"A",IF(M675&lt;=Start!$D$21,"B","C"))))</f>
        <v/>
      </c>
      <c r="O675" s="48" t="str">
        <f aca="false">IF($A675="","",IF(NOT(ISNUMBER(F675)),"Wert fehlt; ",IF(F675&lt;=0,"Wert ist 0; ",""))&amp;IF(NOT(ISNUMBER(E675)),"Bestand fehlt; ",IF(E675&lt;0,"Bestand negativ; ",IF(E675=0,"Nullbestand; ","")))&amp;IF(D675="","Warengruppe fehlt; ","")&amp;IF(B675="","Bezeichnung fehlt; ","")&amp;IF(COUNTIFS($A$2:$A$5001,$A675,$C$2:$C$5001,C675)&gt;1,"Artikel doppelt im selben Lager; ",""))</f>
        <v/>
      </c>
      <c r="P675" s="47" t="n">
        <f aca="false">IF(OR($A675="",D675=""),0,IF(COUNTIF($D$2:D675,D675)=1,SUMIF($D$2:$D$5001,D675,$H$2:$H$5001)+ROW()/10000000,0))</f>
        <v>0</v>
      </c>
      <c r="Q675" s="47" t="n">
        <f aca="false">IF(OR($A675="",C675=""),0,IF(COUNTIF($C$2:C675,C675)=1,SUMIF($C$2:$C$5001,C675,$H$2:$H$5001)+ROW()/10000000,0))</f>
        <v>0</v>
      </c>
    </row>
    <row r="676" customFormat="false" ht="15" hidden="false" customHeight="false" outlineLevel="0" collapsed="false">
      <c r="A676" s="43"/>
      <c r="B676" s="44"/>
      <c r="C676" s="44"/>
      <c r="D676" s="44"/>
      <c r="E676" s="44"/>
      <c r="F676" s="44"/>
      <c r="G676" s="44"/>
      <c r="H676" s="46" t="str">
        <f aca="false">IF($A676="","",IF(OR(NOT(ISNUMBER(E676)),NOT(ISNUMBER(F676))),"",MAX(0,E676)*F676))</f>
        <v/>
      </c>
      <c r="I676" s="46" t="str">
        <f aca="false">IF($A676="","",SUMIF($A$2:$A$5001,$A676,$H$2:$H$5001))</f>
        <v/>
      </c>
      <c r="J676" s="47" t="n">
        <f aca="false">IF($A676="",0,IF(COUNTIF($A$2:A676,$A676)=1,1,0))</f>
        <v>0</v>
      </c>
      <c r="K676" s="47" t="n">
        <f aca="false">IF(J676=1,N(I676)+ROW()/10000000,0)</f>
        <v>0</v>
      </c>
      <c r="L676" s="47" t="str">
        <f aca="false">IF(AND(J676=1,N(I676)&gt;0),SUMIF($K$2:$K$5001,"&gt;="&amp;K676,$I$2:$I$5001)/MAX(1,SUM($H$2:$H$5001)),"")</f>
        <v/>
      </c>
      <c r="M676" s="47" t="str">
        <f aca="false">IF($A676="","",INDEX($L$2:$L$5001,MATCH($A676,$A$2:$A$5001,0)))</f>
        <v/>
      </c>
      <c r="N676" s="48" t="str">
        <f aca="false">IF($A676="","",IF(N(M676)=0,"–",IF(M676&lt;=Start!$D$20,"A",IF(M676&lt;=Start!$D$21,"B","C"))))</f>
        <v/>
      </c>
      <c r="O676" s="48" t="str">
        <f aca="false">IF($A676="","",IF(NOT(ISNUMBER(F676)),"Wert fehlt; ",IF(F676&lt;=0,"Wert ist 0; ",""))&amp;IF(NOT(ISNUMBER(E676)),"Bestand fehlt; ",IF(E676&lt;0,"Bestand negativ; ",IF(E676=0,"Nullbestand; ","")))&amp;IF(D676="","Warengruppe fehlt; ","")&amp;IF(B676="","Bezeichnung fehlt; ","")&amp;IF(COUNTIFS($A$2:$A$5001,$A676,$C$2:$C$5001,C676)&gt;1,"Artikel doppelt im selben Lager; ",""))</f>
        <v/>
      </c>
      <c r="P676" s="47" t="n">
        <f aca="false">IF(OR($A676="",D676=""),0,IF(COUNTIF($D$2:D676,D676)=1,SUMIF($D$2:$D$5001,D676,$H$2:$H$5001)+ROW()/10000000,0))</f>
        <v>0</v>
      </c>
      <c r="Q676" s="47" t="n">
        <f aca="false">IF(OR($A676="",C676=""),0,IF(COUNTIF($C$2:C676,C676)=1,SUMIF($C$2:$C$5001,C676,$H$2:$H$5001)+ROW()/10000000,0))</f>
        <v>0</v>
      </c>
    </row>
    <row r="677" customFormat="false" ht="15" hidden="false" customHeight="false" outlineLevel="0" collapsed="false">
      <c r="A677" s="43"/>
      <c r="B677" s="44"/>
      <c r="C677" s="44"/>
      <c r="D677" s="44"/>
      <c r="E677" s="44"/>
      <c r="F677" s="44"/>
      <c r="G677" s="44"/>
      <c r="H677" s="46" t="str">
        <f aca="false">IF($A677="","",IF(OR(NOT(ISNUMBER(E677)),NOT(ISNUMBER(F677))),"",MAX(0,E677)*F677))</f>
        <v/>
      </c>
      <c r="I677" s="46" t="str">
        <f aca="false">IF($A677="","",SUMIF($A$2:$A$5001,$A677,$H$2:$H$5001))</f>
        <v/>
      </c>
      <c r="J677" s="47" t="n">
        <f aca="false">IF($A677="",0,IF(COUNTIF($A$2:A677,$A677)=1,1,0))</f>
        <v>0</v>
      </c>
      <c r="K677" s="47" t="n">
        <f aca="false">IF(J677=1,N(I677)+ROW()/10000000,0)</f>
        <v>0</v>
      </c>
      <c r="L677" s="47" t="str">
        <f aca="false">IF(AND(J677=1,N(I677)&gt;0),SUMIF($K$2:$K$5001,"&gt;="&amp;K677,$I$2:$I$5001)/MAX(1,SUM($H$2:$H$5001)),"")</f>
        <v/>
      </c>
      <c r="M677" s="47" t="str">
        <f aca="false">IF($A677="","",INDEX($L$2:$L$5001,MATCH($A677,$A$2:$A$5001,0)))</f>
        <v/>
      </c>
      <c r="N677" s="48" t="str">
        <f aca="false">IF($A677="","",IF(N(M677)=0,"–",IF(M677&lt;=Start!$D$20,"A",IF(M677&lt;=Start!$D$21,"B","C"))))</f>
        <v/>
      </c>
      <c r="O677" s="48" t="str">
        <f aca="false">IF($A677="","",IF(NOT(ISNUMBER(F677)),"Wert fehlt; ",IF(F677&lt;=0,"Wert ist 0; ",""))&amp;IF(NOT(ISNUMBER(E677)),"Bestand fehlt; ",IF(E677&lt;0,"Bestand negativ; ",IF(E677=0,"Nullbestand; ","")))&amp;IF(D677="","Warengruppe fehlt; ","")&amp;IF(B677="","Bezeichnung fehlt; ","")&amp;IF(COUNTIFS($A$2:$A$5001,$A677,$C$2:$C$5001,C677)&gt;1,"Artikel doppelt im selben Lager; ",""))</f>
        <v/>
      </c>
      <c r="P677" s="47" t="n">
        <f aca="false">IF(OR($A677="",D677=""),0,IF(COUNTIF($D$2:D677,D677)=1,SUMIF($D$2:$D$5001,D677,$H$2:$H$5001)+ROW()/10000000,0))</f>
        <v>0</v>
      </c>
      <c r="Q677" s="47" t="n">
        <f aca="false">IF(OR($A677="",C677=""),0,IF(COUNTIF($C$2:C677,C677)=1,SUMIF($C$2:$C$5001,C677,$H$2:$H$5001)+ROW()/10000000,0))</f>
        <v>0</v>
      </c>
    </row>
    <row r="678" customFormat="false" ht="15" hidden="false" customHeight="false" outlineLevel="0" collapsed="false">
      <c r="A678" s="43"/>
      <c r="B678" s="44"/>
      <c r="C678" s="44"/>
      <c r="D678" s="44"/>
      <c r="E678" s="44"/>
      <c r="F678" s="44"/>
      <c r="G678" s="44"/>
      <c r="H678" s="46" t="str">
        <f aca="false">IF($A678="","",IF(OR(NOT(ISNUMBER(E678)),NOT(ISNUMBER(F678))),"",MAX(0,E678)*F678))</f>
        <v/>
      </c>
      <c r="I678" s="46" t="str">
        <f aca="false">IF($A678="","",SUMIF($A$2:$A$5001,$A678,$H$2:$H$5001))</f>
        <v/>
      </c>
      <c r="J678" s="47" t="n">
        <f aca="false">IF($A678="",0,IF(COUNTIF($A$2:A678,$A678)=1,1,0))</f>
        <v>0</v>
      </c>
      <c r="K678" s="47" t="n">
        <f aca="false">IF(J678=1,N(I678)+ROW()/10000000,0)</f>
        <v>0</v>
      </c>
      <c r="L678" s="47" t="str">
        <f aca="false">IF(AND(J678=1,N(I678)&gt;0),SUMIF($K$2:$K$5001,"&gt;="&amp;K678,$I$2:$I$5001)/MAX(1,SUM($H$2:$H$5001)),"")</f>
        <v/>
      </c>
      <c r="M678" s="47" t="str">
        <f aca="false">IF($A678="","",INDEX($L$2:$L$5001,MATCH($A678,$A$2:$A$5001,0)))</f>
        <v/>
      </c>
      <c r="N678" s="48" t="str">
        <f aca="false">IF($A678="","",IF(N(M678)=0,"–",IF(M678&lt;=Start!$D$20,"A",IF(M678&lt;=Start!$D$21,"B","C"))))</f>
        <v/>
      </c>
      <c r="O678" s="48" t="str">
        <f aca="false">IF($A678="","",IF(NOT(ISNUMBER(F678)),"Wert fehlt; ",IF(F678&lt;=0,"Wert ist 0; ",""))&amp;IF(NOT(ISNUMBER(E678)),"Bestand fehlt; ",IF(E678&lt;0,"Bestand negativ; ",IF(E678=0,"Nullbestand; ","")))&amp;IF(D678="","Warengruppe fehlt; ","")&amp;IF(B678="","Bezeichnung fehlt; ","")&amp;IF(COUNTIFS($A$2:$A$5001,$A678,$C$2:$C$5001,C678)&gt;1,"Artikel doppelt im selben Lager; ",""))</f>
        <v/>
      </c>
      <c r="P678" s="47" t="n">
        <f aca="false">IF(OR($A678="",D678=""),0,IF(COUNTIF($D$2:D678,D678)=1,SUMIF($D$2:$D$5001,D678,$H$2:$H$5001)+ROW()/10000000,0))</f>
        <v>0</v>
      </c>
      <c r="Q678" s="47" t="n">
        <f aca="false">IF(OR($A678="",C678=""),0,IF(COUNTIF($C$2:C678,C678)=1,SUMIF($C$2:$C$5001,C678,$H$2:$H$5001)+ROW()/10000000,0))</f>
        <v>0</v>
      </c>
    </row>
    <row r="679" customFormat="false" ht="15" hidden="false" customHeight="false" outlineLevel="0" collapsed="false">
      <c r="A679" s="43"/>
      <c r="B679" s="44"/>
      <c r="C679" s="44"/>
      <c r="D679" s="44"/>
      <c r="E679" s="44"/>
      <c r="F679" s="44"/>
      <c r="G679" s="44"/>
      <c r="H679" s="46" t="str">
        <f aca="false">IF($A679="","",IF(OR(NOT(ISNUMBER(E679)),NOT(ISNUMBER(F679))),"",MAX(0,E679)*F679))</f>
        <v/>
      </c>
      <c r="I679" s="46" t="str">
        <f aca="false">IF($A679="","",SUMIF($A$2:$A$5001,$A679,$H$2:$H$5001))</f>
        <v/>
      </c>
      <c r="J679" s="47" t="n">
        <f aca="false">IF($A679="",0,IF(COUNTIF($A$2:A679,$A679)=1,1,0))</f>
        <v>0</v>
      </c>
      <c r="K679" s="47" t="n">
        <f aca="false">IF(J679=1,N(I679)+ROW()/10000000,0)</f>
        <v>0</v>
      </c>
      <c r="L679" s="47" t="str">
        <f aca="false">IF(AND(J679=1,N(I679)&gt;0),SUMIF($K$2:$K$5001,"&gt;="&amp;K679,$I$2:$I$5001)/MAX(1,SUM($H$2:$H$5001)),"")</f>
        <v/>
      </c>
      <c r="M679" s="47" t="str">
        <f aca="false">IF($A679="","",INDEX($L$2:$L$5001,MATCH($A679,$A$2:$A$5001,0)))</f>
        <v/>
      </c>
      <c r="N679" s="48" t="str">
        <f aca="false">IF($A679="","",IF(N(M679)=0,"–",IF(M679&lt;=Start!$D$20,"A",IF(M679&lt;=Start!$D$21,"B","C"))))</f>
        <v/>
      </c>
      <c r="O679" s="48" t="str">
        <f aca="false">IF($A679="","",IF(NOT(ISNUMBER(F679)),"Wert fehlt; ",IF(F679&lt;=0,"Wert ist 0; ",""))&amp;IF(NOT(ISNUMBER(E679)),"Bestand fehlt; ",IF(E679&lt;0,"Bestand negativ; ",IF(E679=0,"Nullbestand; ","")))&amp;IF(D679="","Warengruppe fehlt; ","")&amp;IF(B679="","Bezeichnung fehlt; ","")&amp;IF(COUNTIFS($A$2:$A$5001,$A679,$C$2:$C$5001,C679)&gt;1,"Artikel doppelt im selben Lager; ",""))</f>
        <v/>
      </c>
      <c r="P679" s="47" t="n">
        <f aca="false">IF(OR($A679="",D679=""),0,IF(COUNTIF($D$2:D679,D679)=1,SUMIF($D$2:$D$5001,D679,$H$2:$H$5001)+ROW()/10000000,0))</f>
        <v>0</v>
      </c>
      <c r="Q679" s="47" t="n">
        <f aca="false">IF(OR($A679="",C679=""),0,IF(COUNTIF($C$2:C679,C679)=1,SUMIF($C$2:$C$5001,C679,$H$2:$H$5001)+ROW()/10000000,0))</f>
        <v>0</v>
      </c>
    </row>
    <row r="680" customFormat="false" ht="15" hidden="false" customHeight="false" outlineLevel="0" collapsed="false">
      <c r="A680" s="43"/>
      <c r="B680" s="44"/>
      <c r="C680" s="44"/>
      <c r="D680" s="44"/>
      <c r="E680" s="44"/>
      <c r="F680" s="44"/>
      <c r="G680" s="44"/>
      <c r="H680" s="46" t="str">
        <f aca="false">IF($A680="","",IF(OR(NOT(ISNUMBER(E680)),NOT(ISNUMBER(F680))),"",MAX(0,E680)*F680))</f>
        <v/>
      </c>
      <c r="I680" s="46" t="str">
        <f aca="false">IF($A680="","",SUMIF($A$2:$A$5001,$A680,$H$2:$H$5001))</f>
        <v/>
      </c>
      <c r="J680" s="47" t="n">
        <f aca="false">IF($A680="",0,IF(COUNTIF($A$2:A680,$A680)=1,1,0))</f>
        <v>0</v>
      </c>
      <c r="K680" s="47" t="n">
        <f aca="false">IF(J680=1,N(I680)+ROW()/10000000,0)</f>
        <v>0</v>
      </c>
      <c r="L680" s="47" t="str">
        <f aca="false">IF(AND(J680=1,N(I680)&gt;0),SUMIF($K$2:$K$5001,"&gt;="&amp;K680,$I$2:$I$5001)/MAX(1,SUM($H$2:$H$5001)),"")</f>
        <v/>
      </c>
      <c r="M680" s="47" t="str">
        <f aca="false">IF($A680="","",INDEX($L$2:$L$5001,MATCH($A680,$A$2:$A$5001,0)))</f>
        <v/>
      </c>
      <c r="N680" s="48" t="str">
        <f aca="false">IF($A680="","",IF(N(M680)=0,"–",IF(M680&lt;=Start!$D$20,"A",IF(M680&lt;=Start!$D$21,"B","C"))))</f>
        <v/>
      </c>
      <c r="O680" s="48" t="str">
        <f aca="false">IF($A680="","",IF(NOT(ISNUMBER(F680)),"Wert fehlt; ",IF(F680&lt;=0,"Wert ist 0; ",""))&amp;IF(NOT(ISNUMBER(E680)),"Bestand fehlt; ",IF(E680&lt;0,"Bestand negativ; ",IF(E680=0,"Nullbestand; ","")))&amp;IF(D680="","Warengruppe fehlt; ","")&amp;IF(B680="","Bezeichnung fehlt; ","")&amp;IF(COUNTIFS($A$2:$A$5001,$A680,$C$2:$C$5001,C680)&gt;1,"Artikel doppelt im selben Lager; ",""))</f>
        <v/>
      </c>
      <c r="P680" s="47" t="n">
        <f aca="false">IF(OR($A680="",D680=""),0,IF(COUNTIF($D$2:D680,D680)=1,SUMIF($D$2:$D$5001,D680,$H$2:$H$5001)+ROW()/10000000,0))</f>
        <v>0</v>
      </c>
      <c r="Q680" s="47" t="n">
        <f aca="false">IF(OR($A680="",C680=""),0,IF(COUNTIF($C$2:C680,C680)=1,SUMIF($C$2:$C$5001,C680,$H$2:$H$5001)+ROW()/10000000,0))</f>
        <v>0</v>
      </c>
    </row>
    <row r="681" customFormat="false" ht="15" hidden="false" customHeight="false" outlineLevel="0" collapsed="false">
      <c r="A681" s="43"/>
      <c r="B681" s="44"/>
      <c r="C681" s="44"/>
      <c r="D681" s="44"/>
      <c r="E681" s="44"/>
      <c r="F681" s="44"/>
      <c r="G681" s="44"/>
      <c r="H681" s="46" t="str">
        <f aca="false">IF($A681="","",IF(OR(NOT(ISNUMBER(E681)),NOT(ISNUMBER(F681))),"",MAX(0,E681)*F681))</f>
        <v/>
      </c>
      <c r="I681" s="46" t="str">
        <f aca="false">IF($A681="","",SUMIF($A$2:$A$5001,$A681,$H$2:$H$5001))</f>
        <v/>
      </c>
      <c r="J681" s="47" t="n">
        <f aca="false">IF($A681="",0,IF(COUNTIF($A$2:A681,$A681)=1,1,0))</f>
        <v>0</v>
      </c>
      <c r="K681" s="47" t="n">
        <f aca="false">IF(J681=1,N(I681)+ROW()/10000000,0)</f>
        <v>0</v>
      </c>
      <c r="L681" s="47" t="str">
        <f aca="false">IF(AND(J681=1,N(I681)&gt;0),SUMIF($K$2:$K$5001,"&gt;="&amp;K681,$I$2:$I$5001)/MAX(1,SUM($H$2:$H$5001)),"")</f>
        <v/>
      </c>
      <c r="M681" s="47" t="str">
        <f aca="false">IF($A681="","",INDEX($L$2:$L$5001,MATCH($A681,$A$2:$A$5001,0)))</f>
        <v/>
      </c>
      <c r="N681" s="48" t="str">
        <f aca="false">IF($A681="","",IF(N(M681)=0,"–",IF(M681&lt;=Start!$D$20,"A",IF(M681&lt;=Start!$D$21,"B","C"))))</f>
        <v/>
      </c>
      <c r="O681" s="48" t="str">
        <f aca="false">IF($A681="","",IF(NOT(ISNUMBER(F681)),"Wert fehlt; ",IF(F681&lt;=0,"Wert ist 0; ",""))&amp;IF(NOT(ISNUMBER(E681)),"Bestand fehlt; ",IF(E681&lt;0,"Bestand negativ; ",IF(E681=0,"Nullbestand; ","")))&amp;IF(D681="","Warengruppe fehlt; ","")&amp;IF(B681="","Bezeichnung fehlt; ","")&amp;IF(COUNTIFS($A$2:$A$5001,$A681,$C$2:$C$5001,C681)&gt;1,"Artikel doppelt im selben Lager; ",""))</f>
        <v/>
      </c>
      <c r="P681" s="47" t="n">
        <f aca="false">IF(OR($A681="",D681=""),0,IF(COUNTIF($D$2:D681,D681)=1,SUMIF($D$2:$D$5001,D681,$H$2:$H$5001)+ROW()/10000000,0))</f>
        <v>0</v>
      </c>
      <c r="Q681" s="47" t="n">
        <f aca="false">IF(OR($A681="",C681=""),0,IF(COUNTIF($C$2:C681,C681)=1,SUMIF($C$2:$C$5001,C681,$H$2:$H$5001)+ROW()/10000000,0))</f>
        <v>0</v>
      </c>
    </row>
    <row r="682" customFormat="false" ht="15" hidden="false" customHeight="false" outlineLevel="0" collapsed="false">
      <c r="A682" s="43"/>
      <c r="B682" s="44"/>
      <c r="C682" s="44"/>
      <c r="D682" s="44"/>
      <c r="E682" s="44"/>
      <c r="F682" s="44"/>
      <c r="G682" s="44"/>
      <c r="H682" s="46" t="str">
        <f aca="false">IF($A682="","",IF(OR(NOT(ISNUMBER(E682)),NOT(ISNUMBER(F682))),"",MAX(0,E682)*F682))</f>
        <v/>
      </c>
      <c r="I682" s="46" t="str">
        <f aca="false">IF($A682="","",SUMIF($A$2:$A$5001,$A682,$H$2:$H$5001))</f>
        <v/>
      </c>
      <c r="J682" s="47" t="n">
        <f aca="false">IF($A682="",0,IF(COUNTIF($A$2:A682,$A682)=1,1,0))</f>
        <v>0</v>
      </c>
      <c r="K682" s="47" t="n">
        <f aca="false">IF(J682=1,N(I682)+ROW()/10000000,0)</f>
        <v>0</v>
      </c>
      <c r="L682" s="47" t="str">
        <f aca="false">IF(AND(J682=1,N(I682)&gt;0),SUMIF($K$2:$K$5001,"&gt;="&amp;K682,$I$2:$I$5001)/MAX(1,SUM($H$2:$H$5001)),"")</f>
        <v/>
      </c>
      <c r="M682" s="47" t="str">
        <f aca="false">IF($A682="","",INDEX($L$2:$L$5001,MATCH($A682,$A$2:$A$5001,0)))</f>
        <v/>
      </c>
      <c r="N682" s="48" t="str">
        <f aca="false">IF($A682="","",IF(N(M682)=0,"–",IF(M682&lt;=Start!$D$20,"A",IF(M682&lt;=Start!$D$21,"B","C"))))</f>
        <v/>
      </c>
      <c r="O682" s="48" t="str">
        <f aca="false">IF($A682="","",IF(NOT(ISNUMBER(F682)),"Wert fehlt; ",IF(F682&lt;=0,"Wert ist 0; ",""))&amp;IF(NOT(ISNUMBER(E682)),"Bestand fehlt; ",IF(E682&lt;0,"Bestand negativ; ",IF(E682=0,"Nullbestand; ","")))&amp;IF(D682="","Warengruppe fehlt; ","")&amp;IF(B682="","Bezeichnung fehlt; ","")&amp;IF(COUNTIFS($A$2:$A$5001,$A682,$C$2:$C$5001,C682)&gt;1,"Artikel doppelt im selben Lager; ",""))</f>
        <v/>
      </c>
      <c r="P682" s="47" t="n">
        <f aca="false">IF(OR($A682="",D682=""),0,IF(COUNTIF($D$2:D682,D682)=1,SUMIF($D$2:$D$5001,D682,$H$2:$H$5001)+ROW()/10000000,0))</f>
        <v>0</v>
      </c>
      <c r="Q682" s="47" t="n">
        <f aca="false">IF(OR($A682="",C682=""),0,IF(COUNTIF($C$2:C682,C682)=1,SUMIF($C$2:$C$5001,C682,$H$2:$H$5001)+ROW()/10000000,0))</f>
        <v>0</v>
      </c>
    </row>
    <row r="683" customFormat="false" ht="15" hidden="false" customHeight="false" outlineLevel="0" collapsed="false">
      <c r="A683" s="43"/>
      <c r="B683" s="44"/>
      <c r="C683" s="44"/>
      <c r="D683" s="44"/>
      <c r="E683" s="44"/>
      <c r="F683" s="44"/>
      <c r="G683" s="44"/>
      <c r="H683" s="46" t="str">
        <f aca="false">IF($A683="","",IF(OR(NOT(ISNUMBER(E683)),NOT(ISNUMBER(F683))),"",MAX(0,E683)*F683))</f>
        <v/>
      </c>
      <c r="I683" s="46" t="str">
        <f aca="false">IF($A683="","",SUMIF($A$2:$A$5001,$A683,$H$2:$H$5001))</f>
        <v/>
      </c>
      <c r="J683" s="47" t="n">
        <f aca="false">IF($A683="",0,IF(COUNTIF($A$2:A683,$A683)=1,1,0))</f>
        <v>0</v>
      </c>
      <c r="K683" s="47" t="n">
        <f aca="false">IF(J683=1,N(I683)+ROW()/10000000,0)</f>
        <v>0</v>
      </c>
      <c r="L683" s="47" t="str">
        <f aca="false">IF(AND(J683=1,N(I683)&gt;0),SUMIF($K$2:$K$5001,"&gt;="&amp;K683,$I$2:$I$5001)/MAX(1,SUM($H$2:$H$5001)),"")</f>
        <v/>
      </c>
      <c r="M683" s="47" t="str">
        <f aca="false">IF($A683="","",INDEX($L$2:$L$5001,MATCH($A683,$A$2:$A$5001,0)))</f>
        <v/>
      </c>
      <c r="N683" s="48" t="str">
        <f aca="false">IF($A683="","",IF(N(M683)=0,"–",IF(M683&lt;=Start!$D$20,"A",IF(M683&lt;=Start!$D$21,"B","C"))))</f>
        <v/>
      </c>
      <c r="O683" s="48" t="str">
        <f aca="false">IF($A683="","",IF(NOT(ISNUMBER(F683)),"Wert fehlt; ",IF(F683&lt;=0,"Wert ist 0; ",""))&amp;IF(NOT(ISNUMBER(E683)),"Bestand fehlt; ",IF(E683&lt;0,"Bestand negativ; ",IF(E683=0,"Nullbestand; ","")))&amp;IF(D683="","Warengruppe fehlt; ","")&amp;IF(B683="","Bezeichnung fehlt; ","")&amp;IF(COUNTIFS($A$2:$A$5001,$A683,$C$2:$C$5001,C683)&gt;1,"Artikel doppelt im selben Lager; ",""))</f>
        <v/>
      </c>
      <c r="P683" s="47" t="n">
        <f aca="false">IF(OR($A683="",D683=""),0,IF(COUNTIF($D$2:D683,D683)=1,SUMIF($D$2:$D$5001,D683,$H$2:$H$5001)+ROW()/10000000,0))</f>
        <v>0</v>
      </c>
      <c r="Q683" s="47" t="n">
        <f aca="false">IF(OR($A683="",C683=""),0,IF(COUNTIF($C$2:C683,C683)=1,SUMIF($C$2:$C$5001,C683,$H$2:$H$5001)+ROW()/10000000,0))</f>
        <v>0</v>
      </c>
    </row>
    <row r="684" customFormat="false" ht="15" hidden="false" customHeight="false" outlineLevel="0" collapsed="false">
      <c r="A684" s="43"/>
      <c r="B684" s="44"/>
      <c r="C684" s="44"/>
      <c r="D684" s="44"/>
      <c r="E684" s="44"/>
      <c r="F684" s="44"/>
      <c r="G684" s="44"/>
      <c r="H684" s="46" t="str">
        <f aca="false">IF($A684="","",IF(OR(NOT(ISNUMBER(E684)),NOT(ISNUMBER(F684))),"",MAX(0,E684)*F684))</f>
        <v/>
      </c>
      <c r="I684" s="46" t="str">
        <f aca="false">IF($A684="","",SUMIF($A$2:$A$5001,$A684,$H$2:$H$5001))</f>
        <v/>
      </c>
      <c r="J684" s="47" t="n">
        <f aca="false">IF($A684="",0,IF(COUNTIF($A$2:A684,$A684)=1,1,0))</f>
        <v>0</v>
      </c>
      <c r="K684" s="47" t="n">
        <f aca="false">IF(J684=1,N(I684)+ROW()/10000000,0)</f>
        <v>0</v>
      </c>
      <c r="L684" s="47" t="str">
        <f aca="false">IF(AND(J684=1,N(I684)&gt;0),SUMIF($K$2:$K$5001,"&gt;="&amp;K684,$I$2:$I$5001)/MAX(1,SUM($H$2:$H$5001)),"")</f>
        <v/>
      </c>
      <c r="M684" s="47" t="str">
        <f aca="false">IF($A684="","",INDEX($L$2:$L$5001,MATCH($A684,$A$2:$A$5001,0)))</f>
        <v/>
      </c>
      <c r="N684" s="48" t="str">
        <f aca="false">IF($A684="","",IF(N(M684)=0,"–",IF(M684&lt;=Start!$D$20,"A",IF(M684&lt;=Start!$D$21,"B","C"))))</f>
        <v/>
      </c>
      <c r="O684" s="48" t="str">
        <f aca="false">IF($A684="","",IF(NOT(ISNUMBER(F684)),"Wert fehlt; ",IF(F684&lt;=0,"Wert ist 0; ",""))&amp;IF(NOT(ISNUMBER(E684)),"Bestand fehlt; ",IF(E684&lt;0,"Bestand negativ; ",IF(E684=0,"Nullbestand; ","")))&amp;IF(D684="","Warengruppe fehlt; ","")&amp;IF(B684="","Bezeichnung fehlt; ","")&amp;IF(COUNTIFS($A$2:$A$5001,$A684,$C$2:$C$5001,C684)&gt;1,"Artikel doppelt im selben Lager; ",""))</f>
        <v/>
      </c>
      <c r="P684" s="47" t="n">
        <f aca="false">IF(OR($A684="",D684=""),0,IF(COUNTIF($D$2:D684,D684)=1,SUMIF($D$2:$D$5001,D684,$H$2:$H$5001)+ROW()/10000000,0))</f>
        <v>0</v>
      </c>
      <c r="Q684" s="47" t="n">
        <f aca="false">IF(OR($A684="",C684=""),0,IF(COUNTIF($C$2:C684,C684)=1,SUMIF($C$2:$C$5001,C684,$H$2:$H$5001)+ROW()/10000000,0))</f>
        <v>0</v>
      </c>
    </row>
    <row r="685" customFormat="false" ht="15" hidden="false" customHeight="false" outlineLevel="0" collapsed="false">
      <c r="A685" s="43"/>
      <c r="B685" s="44"/>
      <c r="C685" s="44"/>
      <c r="D685" s="44"/>
      <c r="E685" s="44"/>
      <c r="F685" s="44"/>
      <c r="G685" s="44"/>
      <c r="H685" s="46" t="str">
        <f aca="false">IF($A685="","",IF(OR(NOT(ISNUMBER(E685)),NOT(ISNUMBER(F685))),"",MAX(0,E685)*F685))</f>
        <v/>
      </c>
      <c r="I685" s="46" t="str">
        <f aca="false">IF($A685="","",SUMIF($A$2:$A$5001,$A685,$H$2:$H$5001))</f>
        <v/>
      </c>
      <c r="J685" s="47" t="n">
        <f aca="false">IF($A685="",0,IF(COUNTIF($A$2:A685,$A685)=1,1,0))</f>
        <v>0</v>
      </c>
      <c r="K685" s="47" t="n">
        <f aca="false">IF(J685=1,N(I685)+ROW()/10000000,0)</f>
        <v>0</v>
      </c>
      <c r="L685" s="47" t="str">
        <f aca="false">IF(AND(J685=1,N(I685)&gt;0),SUMIF($K$2:$K$5001,"&gt;="&amp;K685,$I$2:$I$5001)/MAX(1,SUM($H$2:$H$5001)),"")</f>
        <v/>
      </c>
      <c r="M685" s="47" t="str">
        <f aca="false">IF($A685="","",INDEX($L$2:$L$5001,MATCH($A685,$A$2:$A$5001,0)))</f>
        <v/>
      </c>
      <c r="N685" s="48" t="str">
        <f aca="false">IF($A685="","",IF(N(M685)=0,"–",IF(M685&lt;=Start!$D$20,"A",IF(M685&lt;=Start!$D$21,"B","C"))))</f>
        <v/>
      </c>
      <c r="O685" s="48" t="str">
        <f aca="false">IF($A685="","",IF(NOT(ISNUMBER(F685)),"Wert fehlt; ",IF(F685&lt;=0,"Wert ist 0; ",""))&amp;IF(NOT(ISNUMBER(E685)),"Bestand fehlt; ",IF(E685&lt;0,"Bestand negativ; ",IF(E685=0,"Nullbestand; ","")))&amp;IF(D685="","Warengruppe fehlt; ","")&amp;IF(B685="","Bezeichnung fehlt; ","")&amp;IF(COUNTIFS($A$2:$A$5001,$A685,$C$2:$C$5001,C685)&gt;1,"Artikel doppelt im selben Lager; ",""))</f>
        <v/>
      </c>
      <c r="P685" s="47" t="n">
        <f aca="false">IF(OR($A685="",D685=""),0,IF(COUNTIF($D$2:D685,D685)=1,SUMIF($D$2:$D$5001,D685,$H$2:$H$5001)+ROW()/10000000,0))</f>
        <v>0</v>
      </c>
      <c r="Q685" s="47" t="n">
        <f aca="false">IF(OR($A685="",C685=""),0,IF(COUNTIF($C$2:C685,C685)=1,SUMIF($C$2:$C$5001,C685,$H$2:$H$5001)+ROW()/10000000,0))</f>
        <v>0</v>
      </c>
    </row>
    <row r="686" customFormat="false" ht="15" hidden="false" customHeight="false" outlineLevel="0" collapsed="false">
      <c r="A686" s="43"/>
      <c r="B686" s="44"/>
      <c r="C686" s="44"/>
      <c r="D686" s="44"/>
      <c r="E686" s="44"/>
      <c r="F686" s="44"/>
      <c r="G686" s="44"/>
      <c r="H686" s="46" t="str">
        <f aca="false">IF($A686="","",IF(OR(NOT(ISNUMBER(E686)),NOT(ISNUMBER(F686))),"",MAX(0,E686)*F686))</f>
        <v/>
      </c>
      <c r="I686" s="46" t="str">
        <f aca="false">IF($A686="","",SUMIF($A$2:$A$5001,$A686,$H$2:$H$5001))</f>
        <v/>
      </c>
      <c r="J686" s="47" t="n">
        <f aca="false">IF($A686="",0,IF(COUNTIF($A$2:A686,$A686)=1,1,0))</f>
        <v>0</v>
      </c>
      <c r="K686" s="47" t="n">
        <f aca="false">IF(J686=1,N(I686)+ROW()/10000000,0)</f>
        <v>0</v>
      </c>
      <c r="L686" s="47" t="str">
        <f aca="false">IF(AND(J686=1,N(I686)&gt;0),SUMIF($K$2:$K$5001,"&gt;="&amp;K686,$I$2:$I$5001)/MAX(1,SUM($H$2:$H$5001)),"")</f>
        <v/>
      </c>
      <c r="M686" s="47" t="str">
        <f aca="false">IF($A686="","",INDEX($L$2:$L$5001,MATCH($A686,$A$2:$A$5001,0)))</f>
        <v/>
      </c>
      <c r="N686" s="48" t="str">
        <f aca="false">IF($A686="","",IF(N(M686)=0,"–",IF(M686&lt;=Start!$D$20,"A",IF(M686&lt;=Start!$D$21,"B","C"))))</f>
        <v/>
      </c>
      <c r="O686" s="48" t="str">
        <f aca="false">IF($A686="","",IF(NOT(ISNUMBER(F686)),"Wert fehlt; ",IF(F686&lt;=0,"Wert ist 0; ",""))&amp;IF(NOT(ISNUMBER(E686)),"Bestand fehlt; ",IF(E686&lt;0,"Bestand negativ; ",IF(E686=0,"Nullbestand; ","")))&amp;IF(D686="","Warengruppe fehlt; ","")&amp;IF(B686="","Bezeichnung fehlt; ","")&amp;IF(COUNTIFS($A$2:$A$5001,$A686,$C$2:$C$5001,C686)&gt;1,"Artikel doppelt im selben Lager; ",""))</f>
        <v/>
      </c>
      <c r="P686" s="47" t="n">
        <f aca="false">IF(OR($A686="",D686=""),0,IF(COUNTIF($D$2:D686,D686)=1,SUMIF($D$2:$D$5001,D686,$H$2:$H$5001)+ROW()/10000000,0))</f>
        <v>0</v>
      </c>
      <c r="Q686" s="47" t="n">
        <f aca="false">IF(OR($A686="",C686=""),0,IF(COUNTIF($C$2:C686,C686)=1,SUMIF($C$2:$C$5001,C686,$H$2:$H$5001)+ROW()/10000000,0))</f>
        <v>0</v>
      </c>
    </row>
    <row r="687" customFormat="false" ht="15" hidden="false" customHeight="false" outlineLevel="0" collapsed="false">
      <c r="A687" s="43"/>
      <c r="B687" s="44"/>
      <c r="C687" s="44"/>
      <c r="D687" s="44"/>
      <c r="E687" s="44"/>
      <c r="F687" s="44"/>
      <c r="G687" s="44"/>
      <c r="H687" s="46" t="str">
        <f aca="false">IF($A687="","",IF(OR(NOT(ISNUMBER(E687)),NOT(ISNUMBER(F687))),"",MAX(0,E687)*F687))</f>
        <v/>
      </c>
      <c r="I687" s="46" t="str">
        <f aca="false">IF($A687="","",SUMIF($A$2:$A$5001,$A687,$H$2:$H$5001))</f>
        <v/>
      </c>
      <c r="J687" s="47" t="n">
        <f aca="false">IF($A687="",0,IF(COUNTIF($A$2:A687,$A687)=1,1,0))</f>
        <v>0</v>
      </c>
      <c r="K687" s="47" t="n">
        <f aca="false">IF(J687=1,N(I687)+ROW()/10000000,0)</f>
        <v>0</v>
      </c>
      <c r="L687" s="47" t="str">
        <f aca="false">IF(AND(J687=1,N(I687)&gt;0),SUMIF($K$2:$K$5001,"&gt;="&amp;K687,$I$2:$I$5001)/MAX(1,SUM($H$2:$H$5001)),"")</f>
        <v/>
      </c>
      <c r="M687" s="47" t="str">
        <f aca="false">IF($A687="","",INDEX($L$2:$L$5001,MATCH($A687,$A$2:$A$5001,0)))</f>
        <v/>
      </c>
      <c r="N687" s="48" t="str">
        <f aca="false">IF($A687="","",IF(N(M687)=0,"–",IF(M687&lt;=Start!$D$20,"A",IF(M687&lt;=Start!$D$21,"B","C"))))</f>
        <v/>
      </c>
      <c r="O687" s="48" t="str">
        <f aca="false">IF($A687="","",IF(NOT(ISNUMBER(F687)),"Wert fehlt; ",IF(F687&lt;=0,"Wert ist 0; ",""))&amp;IF(NOT(ISNUMBER(E687)),"Bestand fehlt; ",IF(E687&lt;0,"Bestand negativ; ",IF(E687=0,"Nullbestand; ","")))&amp;IF(D687="","Warengruppe fehlt; ","")&amp;IF(B687="","Bezeichnung fehlt; ","")&amp;IF(COUNTIFS($A$2:$A$5001,$A687,$C$2:$C$5001,C687)&gt;1,"Artikel doppelt im selben Lager; ",""))</f>
        <v/>
      </c>
      <c r="P687" s="47" t="n">
        <f aca="false">IF(OR($A687="",D687=""),0,IF(COUNTIF($D$2:D687,D687)=1,SUMIF($D$2:$D$5001,D687,$H$2:$H$5001)+ROW()/10000000,0))</f>
        <v>0</v>
      </c>
      <c r="Q687" s="47" t="n">
        <f aca="false">IF(OR($A687="",C687=""),0,IF(COUNTIF($C$2:C687,C687)=1,SUMIF($C$2:$C$5001,C687,$H$2:$H$5001)+ROW()/10000000,0))</f>
        <v>0</v>
      </c>
    </row>
    <row r="688" customFormat="false" ht="15" hidden="false" customHeight="false" outlineLevel="0" collapsed="false">
      <c r="A688" s="43"/>
      <c r="B688" s="44"/>
      <c r="C688" s="44"/>
      <c r="D688" s="44"/>
      <c r="E688" s="44"/>
      <c r="F688" s="44"/>
      <c r="G688" s="44"/>
      <c r="H688" s="46" t="str">
        <f aca="false">IF($A688="","",IF(OR(NOT(ISNUMBER(E688)),NOT(ISNUMBER(F688))),"",MAX(0,E688)*F688))</f>
        <v/>
      </c>
      <c r="I688" s="46" t="str">
        <f aca="false">IF($A688="","",SUMIF($A$2:$A$5001,$A688,$H$2:$H$5001))</f>
        <v/>
      </c>
      <c r="J688" s="47" t="n">
        <f aca="false">IF($A688="",0,IF(COUNTIF($A$2:A688,$A688)=1,1,0))</f>
        <v>0</v>
      </c>
      <c r="K688" s="47" t="n">
        <f aca="false">IF(J688=1,N(I688)+ROW()/10000000,0)</f>
        <v>0</v>
      </c>
      <c r="L688" s="47" t="str">
        <f aca="false">IF(AND(J688=1,N(I688)&gt;0),SUMIF($K$2:$K$5001,"&gt;="&amp;K688,$I$2:$I$5001)/MAX(1,SUM($H$2:$H$5001)),"")</f>
        <v/>
      </c>
      <c r="M688" s="47" t="str">
        <f aca="false">IF($A688="","",INDEX($L$2:$L$5001,MATCH($A688,$A$2:$A$5001,0)))</f>
        <v/>
      </c>
      <c r="N688" s="48" t="str">
        <f aca="false">IF($A688="","",IF(N(M688)=0,"–",IF(M688&lt;=Start!$D$20,"A",IF(M688&lt;=Start!$D$21,"B","C"))))</f>
        <v/>
      </c>
      <c r="O688" s="48" t="str">
        <f aca="false">IF($A688="","",IF(NOT(ISNUMBER(F688)),"Wert fehlt; ",IF(F688&lt;=0,"Wert ist 0; ",""))&amp;IF(NOT(ISNUMBER(E688)),"Bestand fehlt; ",IF(E688&lt;0,"Bestand negativ; ",IF(E688=0,"Nullbestand; ","")))&amp;IF(D688="","Warengruppe fehlt; ","")&amp;IF(B688="","Bezeichnung fehlt; ","")&amp;IF(COUNTIFS($A$2:$A$5001,$A688,$C$2:$C$5001,C688)&gt;1,"Artikel doppelt im selben Lager; ",""))</f>
        <v/>
      </c>
      <c r="P688" s="47" t="n">
        <f aca="false">IF(OR($A688="",D688=""),0,IF(COUNTIF($D$2:D688,D688)=1,SUMIF($D$2:$D$5001,D688,$H$2:$H$5001)+ROW()/10000000,0))</f>
        <v>0</v>
      </c>
      <c r="Q688" s="47" t="n">
        <f aca="false">IF(OR($A688="",C688=""),0,IF(COUNTIF($C$2:C688,C688)=1,SUMIF($C$2:$C$5001,C688,$H$2:$H$5001)+ROW()/10000000,0))</f>
        <v>0</v>
      </c>
    </row>
    <row r="689" customFormat="false" ht="15" hidden="false" customHeight="false" outlineLevel="0" collapsed="false">
      <c r="A689" s="43"/>
      <c r="B689" s="44"/>
      <c r="C689" s="44"/>
      <c r="D689" s="44"/>
      <c r="E689" s="44"/>
      <c r="F689" s="44"/>
      <c r="G689" s="44"/>
      <c r="H689" s="46" t="str">
        <f aca="false">IF($A689="","",IF(OR(NOT(ISNUMBER(E689)),NOT(ISNUMBER(F689))),"",MAX(0,E689)*F689))</f>
        <v/>
      </c>
      <c r="I689" s="46" t="str">
        <f aca="false">IF($A689="","",SUMIF($A$2:$A$5001,$A689,$H$2:$H$5001))</f>
        <v/>
      </c>
      <c r="J689" s="47" t="n">
        <f aca="false">IF($A689="",0,IF(COUNTIF($A$2:A689,$A689)=1,1,0))</f>
        <v>0</v>
      </c>
      <c r="K689" s="47" t="n">
        <f aca="false">IF(J689=1,N(I689)+ROW()/10000000,0)</f>
        <v>0</v>
      </c>
      <c r="L689" s="47" t="str">
        <f aca="false">IF(AND(J689=1,N(I689)&gt;0),SUMIF($K$2:$K$5001,"&gt;="&amp;K689,$I$2:$I$5001)/MAX(1,SUM($H$2:$H$5001)),"")</f>
        <v/>
      </c>
      <c r="M689" s="47" t="str">
        <f aca="false">IF($A689="","",INDEX($L$2:$L$5001,MATCH($A689,$A$2:$A$5001,0)))</f>
        <v/>
      </c>
      <c r="N689" s="48" t="str">
        <f aca="false">IF($A689="","",IF(N(M689)=0,"–",IF(M689&lt;=Start!$D$20,"A",IF(M689&lt;=Start!$D$21,"B","C"))))</f>
        <v/>
      </c>
      <c r="O689" s="48" t="str">
        <f aca="false">IF($A689="","",IF(NOT(ISNUMBER(F689)),"Wert fehlt; ",IF(F689&lt;=0,"Wert ist 0; ",""))&amp;IF(NOT(ISNUMBER(E689)),"Bestand fehlt; ",IF(E689&lt;0,"Bestand negativ; ",IF(E689=0,"Nullbestand; ","")))&amp;IF(D689="","Warengruppe fehlt; ","")&amp;IF(B689="","Bezeichnung fehlt; ","")&amp;IF(COUNTIFS($A$2:$A$5001,$A689,$C$2:$C$5001,C689)&gt;1,"Artikel doppelt im selben Lager; ",""))</f>
        <v/>
      </c>
      <c r="P689" s="47" t="n">
        <f aca="false">IF(OR($A689="",D689=""),0,IF(COUNTIF($D$2:D689,D689)=1,SUMIF($D$2:$D$5001,D689,$H$2:$H$5001)+ROW()/10000000,0))</f>
        <v>0</v>
      </c>
      <c r="Q689" s="47" t="n">
        <f aca="false">IF(OR($A689="",C689=""),0,IF(COUNTIF($C$2:C689,C689)=1,SUMIF($C$2:$C$5001,C689,$H$2:$H$5001)+ROW()/10000000,0))</f>
        <v>0</v>
      </c>
    </row>
    <row r="690" customFormat="false" ht="15" hidden="false" customHeight="false" outlineLevel="0" collapsed="false">
      <c r="A690" s="43"/>
      <c r="B690" s="44"/>
      <c r="C690" s="44"/>
      <c r="D690" s="44"/>
      <c r="E690" s="44"/>
      <c r="F690" s="44"/>
      <c r="G690" s="44"/>
      <c r="H690" s="46" t="str">
        <f aca="false">IF($A690="","",IF(OR(NOT(ISNUMBER(E690)),NOT(ISNUMBER(F690))),"",MAX(0,E690)*F690))</f>
        <v/>
      </c>
      <c r="I690" s="46" t="str">
        <f aca="false">IF($A690="","",SUMIF($A$2:$A$5001,$A690,$H$2:$H$5001))</f>
        <v/>
      </c>
      <c r="J690" s="47" t="n">
        <f aca="false">IF($A690="",0,IF(COUNTIF($A$2:A690,$A690)=1,1,0))</f>
        <v>0</v>
      </c>
      <c r="K690" s="47" t="n">
        <f aca="false">IF(J690=1,N(I690)+ROW()/10000000,0)</f>
        <v>0</v>
      </c>
      <c r="L690" s="47" t="str">
        <f aca="false">IF(AND(J690=1,N(I690)&gt;0),SUMIF($K$2:$K$5001,"&gt;="&amp;K690,$I$2:$I$5001)/MAX(1,SUM($H$2:$H$5001)),"")</f>
        <v/>
      </c>
      <c r="M690" s="47" t="str">
        <f aca="false">IF($A690="","",INDEX($L$2:$L$5001,MATCH($A690,$A$2:$A$5001,0)))</f>
        <v/>
      </c>
      <c r="N690" s="48" t="str">
        <f aca="false">IF($A690="","",IF(N(M690)=0,"–",IF(M690&lt;=Start!$D$20,"A",IF(M690&lt;=Start!$D$21,"B","C"))))</f>
        <v/>
      </c>
      <c r="O690" s="48" t="str">
        <f aca="false">IF($A690="","",IF(NOT(ISNUMBER(F690)),"Wert fehlt; ",IF(F690&lt;=0,"Wert ist 0; ",""))&amp;IF(NOT(ISNUMBER(E690)),"Bestand fehlt; ",IF(E690&lt;0,"Bestand negativ; ",IF(E690=0,"Nullbestand; ","")))&amp;IF(D690="","Warengruppe fehlt; ","")&amp;IF(B690="","Bezeichnung fehlt; ","")&amp;IF(COUNTIFS($A$2:$A$5001,$A690,$C$2:$C$5001,C690)&gt;1,"Artikel doppelt im selben Lager; ",""))</f>
        <v/>
      </c>
      <c r="P690" s="47" t="n">
        <f aca="false">IF(OR($A690="",D690=""),0,IF(COUNTIF($D$2:D690,D690)=1,SUMIF($D$2:$D$5001,D690,$H$2:$H$5001)+ROW()/10000000,0))</f>
        <v>0</v>
      </c>
      <c r="Q690" s="47" t="n">
        <f aca="false">IF(OR($A690="",C690=""),0,IF(COUNTIF($C$2:C690,C690)=1,SUMIF($C$2:$C$5001,C690,$H$2:$H$5001)+ROW()/10000000,0))</f>
        <v>0</v>
      </c>
    </row>
    <row r="691" customFormat="false" ht="15" hidden="false" customHeight="false" outlineLevel="0" collapsed="false">
      <c r="A691" s="43"/>
      <c r="B691" s="44"/>
      <c r="C691" s="44"/>
      <c r="D691" s="44"/>
      <c r="E691" s="44"/>
      <c r="F691" s="44"/>
      <c r="G691" s="44"/>
      <c r="H691" s="46" t="str">
        <f aca="false">IF($A691="","",IF(OR(NOT(ISNUMBER(E691)),NOT(ISNUMBER(F691))),"",MAX(0,E691)*F691))</f>
        <v/>
      </c>
      <c r="I691" s="46" t="str">
        <f aca="false">IF($A691="","",SUMIF($A$2:$A$5001,$A691,$H$2:$H$5001))</f>
        <v/>
      </c>
      <c r="J691" s="47" t="n">
        <f aca="false">IF($A691="",0,IF(COUNTIF($A$2:A691,$A691)=1,1,0))</f>
        <v>0</v>
      </c>
      <c r="K691" s="47" t="n">
        <f aca="false">IF(J691=1,N(I691)+ROW()/10000000,0)</f>
        <v>0</v>
      </c>
      <c r="L691" s="47" t="str">
        <f aca="false">IF(AND(J691=1,N(I691)&gt;0),SUMIF($K$2:$K$5001,"&gt;="&amp;K691,$I$2:$I$5001)/MAX(1,SUM($H$2:$H$5001)),"")</f>
        <v/>
      </c>
      <c r="M691" s="47" t="str">
        <f aca="false">IF($A691="","",INDEX($L$2:$L$5001,MATCH($A691,$A$2:$A$5001,0)))</f>
        <v/>
      </c>
      <c r="N691" s="48" t="str">
        <f aca="false">IF($A691="","",IF(N(M691)=0,"–",IF(M691&lt;=Start!$D$20,"A",IF(M691&lt;=Start!$D$21,"B","C"))))</f>
        <v/>
      </c>
      <c r="O691" s="48" t="str">
        <f aca="false">IF($A691="","",IF(NOT(ISNUMBER(F691)),"Wert fehlt; ",IF(F691&lt;=0,"Wert ist 0; ",""))&amp;IF(NOT(ISNUMBER(E691)),"Bestand fehlt; ",IF(E691&lt;0,"Bestand negativ; ",IF(E691=0,"Nullbestand; ","")))&amp;IF(D691="","Warengruppe fehlt; ","")&amp;IF(B691="","Bezeichnung fehlt; ","")&amp;IF(COUNTIFS($A$2:$A$5001,$A691,$C$2:$C$5001,C691)&gt;1,"Artikel doppelt im selben Lager; ",""))</f>
        <v/>
      </c>
      <c r="P691" s="47" t="n">
        <f aca="false">IF(OR($A691="",D691=""),0,IF(COUNTIF($D$2:D691,D691)=1,SUMIF($D$2:$D$5001,D691,$H$2:$H$5001)+ROW()/10000000,0))</f>
        <v>0</v>
      </c>
      <c r="Q691" s="47" t="n">
        <f aca="false">IF(OR($A691="",C691=""),0,IF(COUNTIF($C$2:C691,C691)=1,SUMIF($C$2:$C$5001,C691,$H$2:$H$5001)+ROW()/10000000,0))</f>
        <v>0</v>
      </c>
    </row>
    <row r="692" customFormat="false" ht="15" hidden="false" customHeight="false" outlineLevel="0" collapsed="false">
      <c r="A692" s="43"/>
      <c r="B692" s="44"/>
      <c r="C692" s="44"/>
      <c r="D692" s="44"/>
      <c r="E692" s="44"/>
      <c r="F692" s="44"/>
      <c r="G692" s="44"/>
      <c r="H692" s="46" t="str">
        <f aca="false">IF($A692="","",IF(OR(NOT(ISNUMBER(E692)),NOT(ISNUMBER(F692))),"",MAX(0,E692)*F692))</f>
        <v/>
      </c>
      <c r="I692" s="46" t="str">
        <f aca="false">IF($A692="","",SUMIF($A$2:$A$5001,$A692,$H$2:$H$5001))</f>
        <v/>
      </c>
      <c r="J692" s="47" t="n">
        <f aca="false">IF($A692="",0,IF(COUNTIF($A$2:A692,$A692)=1,1,0))</f>
        <v>0</v>
      </c>
      <c r="K692" s="47" t="n">
        <f aca="false">IF(J692=1,N(I692)+ROW()/10000000,0)</f>
        <v>0</v>
      </c>
      <c r="L692" s="47" t="str">
        <f aca="false">IF(AND(J692=1,N(I692)&gt;0),SUMIF($K$2:$K$5001,"&gt;="&amp;K692,$I$2:$I$5001)/MAX(1,SUM($H$2:$H$5001)),"")</f>
        <v/>
      </c>
      <c r="M692" s="47" t="str">
        <f aca="false">IF($A692="","",INDEX($L$2:$L$5001,MATCH($A692,$A$2:$A$5001,0)))</f>
        <v/>
      </c>
      <c r="N692" s="48" t="str">
        <f aca="false">IF($A692="","",IF(N(M692)=0,"–",IF(M692&lt;=Start!$D$20,"A",IF(M692&lt;=Start!$D$21,"B","C"))))</f>
        <v/>
      </c>
      <c r="O692" s="48" t="str">
        <f aca="false">IF($A692="","",IF(NOT(ISNUMBER(F692)),"Wert fehlt; ",IF(F692&lt;=0,"Wert ist 0; ",""))&amp;IF(NOT(ISNUMBER(E692)),"Bestand fehlt; ",IF(E692&lt;0,"Bestand negativ; ",IF(E692=0,"Nullbestand; ","")))&amp;IF(D692="","Warengruppe fehlt; ","")&amp;IF(B692="","Bezeichnung fehlt; ","")&amp;IF(COUNTIFS($A$2:$A$5001,$A692,$C$2:$C$5001,C692)&gt;1,"Artikel doppelt im selben Lager; ",""))</f>
        <v/>
      </c>
      <c r="P692" s="47" t="n">
        <f aca="false">IF(OR($A692="",D692=""),0,IF(COUNTIF($D$2:D692,D692)=1,SUMIF($D$2:$D$5001,D692,$H$2:$H$5001)+ROW()/10000000,0))</f>
        <v>0</v>
      </c>
      <c r="Q692" s="47" t="n">
        <f aca="false">IF(OR($A692="",C692=""),0,IF(COUNTIF($C$2:C692,C692)=1,SUMIF($C$2:$C$5001,C692,$H$2:$H$5001)+ROW()/10000000,0))</f>
        <v>0</v>
      </c>
    </row>
    <row r="693" customFormat="false" ht="15" hidden="false" customHeight="false" outlineLevel="0" collapsed="false">
      <c r="A693" s="43"/>
      <c r="B693" s="44"/>
      <c r="C693" s="44"/>
      <c r="D693" s="44"/>
      <c r="E693" s="44"/>
      <c r="F693" s="44"/>
      <c r="G693" s="44"/>
      <c r="H693" s="46" t="str">
        <f aca="false">IF($A693="","",IF(OR(NOT(ISNUMBER(E693)),NOT(ISNUMBER(F693))),"",MAX(0,E693)*F693))</f>
        <v/>
      </c>
      <c r="I693" s="46" t="str">
        <f aca="false">IF($A693="","",SUMIF($A$2:$A$5001,$A693,$H$2:$H$5001))</f>
        <v/>
      </c>
      <c r="J693" s="47" t="n">
        <f aca="false">IF($A693="",0,IF(COUNTIF($A$2:A693,$A693)=1,1,0))</f>
        <v>0</v>
      </c>
      <c r="K693" s="47" t="n">
        <f aca="false">IF(J693=1,N(I693)+ROW()/10000000,0)</f>
        <v>0</v>
      </c>
      <c r="L693" s="47" t="str">
        <f aca="false">IF(AND(J693=1,N(I693)&gt;0),SUMIF($K$2:$K$5001,"&gt;="&amp;K693,$I$2:$I$5001)/MAX(1,SUM($H$2:$H$5001)),"")</f>
        <v/>
      </c>
      <c r="M693" s="47" t="str">
        <f aca="false">IF($A693="","",INDEX($L$2:$L$5001,MATCH($A693,$A$2:$A$5001,0)))</f>
        <v/>
      </c>
      <c r="N693" s="48" t="str">
        <f aca="false">IF($A693="","",IF(N(M693)=0,"–",IF(M693&lt;=Start!$D$20,"A",IF(M693&lt;=Start!$D$21,"B","C"))))</f>
        <v/>
      </c>
      <c r="O693" s="48" t="str">
        <f aca="false">IF($A693="","",IF(NOT(ISNUMBER(F693)),"Wert fehlt; ",IF(F693&lt;=0,"Wert ist 0; ",""))&amp;IF(NOT(ISNUMBER(E693)),"Bestand fehlt; ",IF(E693&lt;0,"Bestand negativ; ",IF(E693=0,"Nullbestand; ","")))&amp;IF(D693="","Warengruppe fehlt; ","")&amp;IF(B693="","Bezeichnung fehlt; ","")&amp;IF(COUNTIFS($A$2:$A$5001,$A693,$C$2:$C$5001,C693)&gt;1,"Artikel doppelt im selben Lager; ",""))</f>
        <v/>
      </c>
      <c r="P693" s="47" t="n">
        <f aca="false">IF(OR($A693="",D693=""),0,IF(COUNTIF($D$2:D693,D693)=1,SUMIF($D$2:$D$5001,D693,$H$2:$H$5001)+ROW()/10000000,0))</f>
        <v>0</v>
      </c>
      <c r="Q693" s="47" t="n">
        <f aca="false">IF(OR($A693="",C693=""),0,IF(COUNTIF($C$2:C693,C693)=1,SUMIF($C$2:$C$5001,C693,$H$2:$H$5001)+ROW()/10000000,0))</f>
        <v>0</v>
      </c>
    </row>
    <row r="694" customFormat="false" ht="15" hidden="false" customHeight="false" outlineLevel="0" collapsed="false">
      <c r="A694" s="43"/>
      <c r="B694" s="44"/>
      <c r="C694" s="44"/>
      <c r="D694" s="44"/>
      <c r="E694" s="44"/>
      <c r="F694" s="44"/>
      <c r="G694" s="44"/>
      <c r="H694" s="46" t="str">
        <f aca="false">IF($A694="","",IF(OR(NOT(ISNUMBER(E694)),NOT(ISNUMBER(F694))),"",MAX(0,E694)*F694))</f>
        <v/>
      </c>
      <c r="I694" s="46" t="str">
        <f aca="false">IF($A694="","",SUMIF($A$2:$A$5001,$A694,$H$2:$H$5001))</f>
        <v/>
      </c>
      <c r="J694" s="47" t="n">
        <f aca="false">IF($A694="",0,IF(COUNTIF($A$2:A694,$A694)=1,1,0))</f>
        <v>0</v>
      </c>
      <c r="K694" s="47" t="n">
        <f aca="false">IF(J694=1,N(I694)+ROW()/10000000,0)</f>
        <v>0</v>
      </c>
      <c r="L694" s="47" t="str">
        <f aca="false">IF(AND(J694=1,N(I694)&gt;0),SUMIF($K$2:$K$5001,"&gt;="&amp;K694,$I$2:$I$5001)/MAX(1,SUM($H$2:$H$5001)),"")</f>
        <v/>
      </c>
      <c r="M694" s="47" t="str">
        <f aca="false">IF($A694="","",INDEX($L$2:$L$5001,MATCH($A694,$A$2:$A$5001,0)))</f>
        <v/>
      </c>
      <c r="N694" s="48" t="str">
        <f aca="false">IF($A694="","",IF(N(M694)=0,"–",IF(M694&lt;=Start!$D$20,"A",IF(M694&lt;=Start!$D$21,"B","C"))))</f>
        <v/>
      </c>
      <c r="O694" s="48" t="str">
        <f aca="false">IF($A694="","",IF(NOT(ISNUMBER(F694)),"Wert fehlt; ",IF(F694&lt;=0,"Wert ist 0; ",""))&amp;IF(NOT(ISNUMBER(E694)),"Bestand fehlt; ",IF(E694&lt;0,"Bestand negativ; ",IF(E694=0,"Nullbestand; ","")))&amp;IF(D694="","Warengruppe fehlt; ","")&amp;IF(B694="","Bezeichnung fehlt; ","")&amp;IF(COUNTIFS($A$2:$A$5001,$A694,$C$2:$C$5001,C694)&gt;1,"Artikel doppelt im selben Lager; ",""))</f>
        <v/>
      </c>
      <c r="P694" s="47" t="n">
        <f aca="false">IF(OR($A694="",D694=""),0,IF(COUNTIF($D$2:D694,D694)=1,SUMIF($D$2:$D$5001,D694,$H$2:$H$5001)+ROW()/10000000,0))</f>
        <v>0</v>
      </c>
      <c r="Q694" s="47" t="n">
        <f aca="false">IF(OR($A694="",C694=""),0,IF(COUNTIF($C$2:C694,C694)=1,SUMIF($C$2:$C$5001,C694,$H$2:$H$5001)+ROW()/10000000,0))</f>
        <v>0</v>
      </c>
    </row>
    <row r="695" customFormat="false" ht="15" hidden="false" customHeight="false" outlineLevel="0" collapsed="false">
      <c r="A695" s="43"/>
      <c r="B695" s="44"/>
      <c r="C695" s="44"/>
      <c r="D695" s="44"/>
      <c r="E695" s="44"/>
      <c r="F695" s="44"/>
      <c r="G695" s="44"/>
      <c r="H695" s="46" t="str">
        <f aca="false">IF($A695="","",IF(OR(NOT(ISNUMBER(E695)),NOT(ISNUMBER(F695))),"",MAX(0,E695)*F695))</f>
        <v/>
      </c>
      <c r="I695" s="46" t="str">
        <f aca="false">IF($A695="","",SUMIF($A$2:$A$5001,$A695,$H$2:$H$5001))</f>
        <v/>
      </c>
      <c r="J695" s="47" t="n">
        <f aca="false">IF($A695="",0,IF(COUNTIF($A$2:A695,$A695)=1,1,0))</f>
        <v>0</v>
      </c>
      <c r="K695" s="47" t="n">
        <f aca="false">IF(J695=1,N(I695)+ROW()/10000000,0)</f>
        <v>0</v>
      </c>
      <c r="L695" s="47" t="str">
        <f aca="false">IF(AND(J695=1,N(I695)&gt;0),SUMIF($K$2:$K$5001,"&gt;="&amp;K695,$I$2:$I$5001)/MAX(1,SUM($H$2:$H$5001)),"")</f>
        <v/>
      </c>
      <c r="M695" s="47" t="str">
        <f aca="false">IF($A695="","",INDEX($L$2:$L$5001,MATCH($A695,$A$2:$A$5001,0)))</f>
        <v/>
      </c>
      <c r="N695" s="48" t="str">
        <f aca="false">IF($A695="","",IF(N(M695)=0,"–",IF(M695&lt;=Start!$D$20,"A",IF(M695&lt;=Start!$D$21,"B","C"))))</f>
        <v/>
      </c>
      <c r="O695" s="48" t="str">
        <f aca="false">IF($A695="","",IF(NOT(ISNUMBER(F695)),"Wert fehlt; ",IF(F695&lt;=0,"Wert ist 0; ",""))&amp;IF(NOT(ISNUMBER(E695)),"Bestand fehlt; ",IF(E695&lt;0,"Bestand negativ; ",IF(E695=0,"Nullbestand; ","")))&amp;IF(D695="","Warengruppe fehlt; ","")&amp;IF(B695="","Bezeichnung fehlt; ","")&amp;IF(COUNTIFS($A$2:$A$5001,$A695,$C$2:$C$5001,C695)&gt;1,"Artikel doppelt im selben Lager; ",""))</f>
        <v/>
      </c>
      <c r="P695" s="47" t="n">
        <f aca="false">IF(OR($A695="",D695=""),0,IF(COUNTIF($D$2:D695,D695)=1,SUMIF($D$2:$D$5001,D695,$H$2:$H$5001)+ROW()/10000000,0))</f>
        <v>0</v>
      </c>
      <c r="Q695" s="47" t="n">
        <f aca="false">IF(OR($A695="",C695=""),0,IF(COUNTIF($C$2:C695,C695)=1,SUMIF($C$2:$C$5001,C695,$H$2:$H$5001)+ROW()/10000000,0))</f>
        <v>0</v>
      </c>
    </row>
    <row r="696" customFormat="false" ht="15" hidden="false" customHeight="false" outlineLevel="0" collapsed="false">
      <c r="A696" s="43"/>
      <c r="B696" s="44"/>
      <c r="C696" s="44"/>
      <c r="D696" s="44"/>
      <c r="E696" s="44"/>
      <c r="F696" s="44"/>
      <c r="G696" s="44"/>
      <c r="H696" s="46" t="str">
        <f aca="false">IF($A696="","",IF(OR(NOT(ISNUMBER(E696)),NOT(ISNUMBER(F696))),"",MAX(0,E696)*F696))</f>
        <v/>
      </c>
      <c r="I696" s="46" t="str">
        <f aca="false">IF($A696="","",SUMIF($A$2:$A$5001,$A696,$H$2:$H$5001))</f>
        <v/>
      </c>
      <c r="J696" s="47" t="n">
        <f aca="false">IF($A696="",0,IF(COUNTIF($A$2:A696,$A696)=1,1,0))</f>
        <v>0</v>
      </c>
      <c r="K696" s="47" t="n">
        <f aca="false">IF(J696=1,N(I696)+ROW()/10000000,0)</f>
        <v>0</v>
      </c>
      <c r="L696" s="47" t="str">
        <f aca="false">IF(AND(J696=1,N(I696)&gt;0),SUMIF($K$2:$K$5001,"&gt;="&amp;K696,$I$2:$I$5001)/MAX(1,SUM($H$2:$H$5001)),"")</f>
        <v/>
      </c>
      <c r="M696" s="47" t="str">
        <f aca="false">IF($A696="","",INDEX($L$2:$L$5001,MATCH($A696,$A$2:$A$5001,0)))</f>
        <v/>
      </c>
      <c r="N696" s="48" t="str">
        <f aca="false">IF($A696="","",IF(N(M696)=0,"–",IF(M696&lt;=Start!$D$20,"A",IF(M696&lt;=Start!$D$21,"B","C"))))</f>
        <v/>
      </c>
      <c r="O696" s="48" t="str">
        <f aca="false">IF($A696="","",IF(NOT(ISNUMBER(F696)),"Wert fehlt; ",IF(F696&lt;=0,"Wert ist 0; ",""))&amp;IF(NOT(ISNUMBER(E696)),"Bestand fehlt; ",IF(E696&lt;0,"Bestand negativ; ",IF(E696=0,"Nullbestand; ","")))&amp;IF(D696="","Warengruppe fehlt; ","")&amp;IF(B696="","Bezeichnung fehlt; ","")&amp;IF(COUNTIFS($A$2:$A$5001,$A696,$C$2:$C$5001,C696)&gt;1,"Artikel doppelt im selben Lager; ",""))</f>
        <v/>
      </c>
      <c r="P696" s="47" t="n">
        <f aca="false">IF(OR($A696="",D696=""),0,IF(COUNTIF($D$2:D696,D696)=1,SUMIF($D$2:$D$5001,D696,$H$2:$H$5001)+ROW()/10000000,0))</f>
        <v>0</v>
      </c>
      <c r="Q696" s="47" t="n">
        <f aca="false">IF(OR($A696="",C696=""),0,IF(COUNTIF($C$2:C696,C696)=1,SUMIF($C$2:$C$5001,C696,$H$2:$H$5001)+ROW()/10000000,0))</f>
        <v>0</v>
      </c>
    </row>
    <row r="697" customFormat="false" ht="15" hidden="false" customHeight="false" outlineLevel="0" collapsed="false">
      <c r="A697" s="43"/>
      <c r="B697" s="44"/>
      <c r="C697" s="44"/>
      <c r="D697" s="44"/>
      <c r="E697" s="44"/>
      <c r="F697" s="44"/>
      <c r="G697" s="44"/>
      <c r="H697" s="46" t="str">
        <f aca="false">IF($A697="","",IF(OR(NOT(ISNUMBER(E697)),NOT(ISNUMBER(F697))),"",MAX(0,E697)*F697))</f>
        <v/>
      </c>
      <c r="I697" s="46" t="str">
        <f aca="false">IF($A697="","",SUMIF($A$2:$A$5001,$A697,$H$2:$H$5001))</f>
        <v/>
      </c>
      <c r="J697" s="47" t="n">
        <f aca="false">IF($A697="",0,IF(COUNTIF($A$2:A697,$A697)=1,1,0))</f>
        <v>0</v>
      </c>
      <c r="K697" s="47" t="n">
        <f aca="false">IF(J697=1,N(I697)+ROW()/10000000,0)</f>
        <v>0</v>
      </c>
      <c r="L697" s="47" t="str">
        <f aca="false">IF(AND(J697=1,N(I697)&gt;0),SUMIF($K$2:$K$5001,"&gt;="&amp;K697,$I$2:$I$5001)/MAX(1,SUM($H$2:$H$5001)),"")</f>
        <v/>
      </c>
      <c r="M697" s="47" t="str">
        <f aca="false">IF($A697="","",INDEX($L$2:$L$5001,MATCH($A697,$A$2:$A$5001,0)))</f>
        <v/>
      </c>
      <c r="N697" s="48" t="str">
        <f aca="false">IF($A697="","",IF(N(M697)=0,"–",IF(M697&lt;=Start!$D$20,"A",IF(M697&lt;=Start!$D$21,"B","C"))))</f>
        <v/>
      </c>
      <c r="O697" s="48" t="str">
        <f aca="false">IF($A697="","",IF(NOT(ISNUMBER(F697)),"Wert fehlt; ",IF(F697&lt;=0,"Wert ist 0; ",""))&amp;IF(NOT(ISNUMBER(E697)),"Bestand fehlt; ",IF(E697&lt;0,"Bestand negativ; ",IF(E697=0,"Nullbestand; ","")))&amp;IF(D697="","Warengruppe fehlt; ","")&amp;IF(B697="","Bezeichnung fehlt; ","")&amp;IF(COUNTIFS($A$2:$A$5001,$A697,$C$2:$C$5001,C697)&gt;1,"Artikel doppelt im selben Lager; ",""))</f>
        <v/>
      </c>
      <c r="P697" s="47" t="n">
        <f aca="false">IF(OR($A697="",D697=""),0,IF(COUNTIF($D$2:D697,D697)=1,SUMIF($D$2:$D$5001,D697,$H$2:$H$5001)+ROW()/10000000,0))</f>
        <v>0</v>
      </c>
      <c r="Q697" s="47" t="n">
        <f aca="false">IF(OR($A697="",C697=""),0,IF(COUNTIF($C$2:C697,C697)=1,SUMIF($C$2:$C$5001,C697,$H$2:$H$5001)+ROW()/10000000,0))</f>
        <v>0</v>
      </c>
    </row>
    <row r="698" customFormat="false" ht="15" hidden="false" customHeight="false" outlineLevel="0" collapsed="false">
      <c r="A698" s="43"/>
      <c r="B698" s="44"/>
      <c r="C698" s="44"/>
      <c r="D698" s="44"/>
      <c r="E698" s="44"/>
      <c r="F698" s="44"/>
      <c r="G698" s="44"/>
      <c r="H698" s="46" t="str">
        <f aca="false">IF($A698="","",IF(OR(NOT(ISNUMBER(E698)),NOT(ISNUMBER(F698))),"",MAX(0,E698)*F698))</f>
        <v/>
      </c>
      <c r="I698" s="46" t="str">
        <f aca="false">IF($A698="","",SUMIF($A$2:$A$5001,$A698,$H$2:$H$5001))</f>
        <v/>
      </c>
      <c r="J698" s="47" t="n">
        <f aca="false">IF($A698="",0,IF(COUNTIF($A$2:A698,$A698)=1,1,0))</f>
        <v>0</v>
      </c>
      <c r="K698" s="47" t="n">
        <f aca="false">IF(J698=1,N(I698)+ROW()/10000000,0)</f>
        <v>0</v>
      </c>
      <c r="L698" s="47" t="str">
        <f aca="false">IF(AND(J698=1,N(I698)&gt;0),SUMIF($K$2:$K$5001,"&gt;="&amp;K698,$I$2:$I$5001)/MAX(1,SUM($H$2:$H$5001)),"")</f>
        <v/>
      </c>
      <c r="M698" s="47" t="str">
        <f aca="false">IF($A698="","",INDEX($L$2:$L$5001,MATCH($A698,$A$2:$A$5001,0)))</f>
        <v/>
      </c>
      <c r="N698" s="48" t="str">
        <f aca="false">IF($A698="","",IF(N(M698)=0,"–",IF(M698&lt;=Start!$D$20,"A",IF(M698&lt;=Start!$D$21,"B","C"))))</f>
        <v/>
      </c>
      <c r="O698" s="48" t="str">
        <f aca="false">IF($A698="","",IF(NOT(ISNUMBER(F698)),"Wert fehlt; ",IF(F698&lt;=0,"Wert ist 0; ",""))&amp;IF(NOT(ISNUMBER(E698)),"Bestand fehlt; ",IF(E698&lt;0,"Bestand negativ; ",IF(E698=0,"Nullbestand; ","")))&amp;IF(D698="","Warengruppe fehlt; ","")&amp;IF(B698="","Bezeichnung fehlt; ","")&amp;IF(COUNTIFS($A$2:$A$5001,$A698,$C$2:$C$5001,C698)&gt;1,"Artikel doppelt im selben Lager; ",""))</f>
        <v/>
      </c>
      <c r="P698" s="47" t="n">
        <f aca="false">IF(OR($A698="",D698=""),0,IF(COUNTIF($D$2:D698,D698)=1,SUMIF($D$2:$D$5001,D698,$H$2:$H$5001)+ROW()/10000000,0))</f>
        <v>0</v>
      </c>
      <c r="Q698" s="47" t="n">
        <f aca="false">IF(OR($A698="",C698=""),0,IF(COUNTIF($C$2:C698,C698)=1,SUMIF($C$2:$C$5001,C698,$H$2:$H$5001)+ROW()/10000000,0))</f>
        <v>0</v>
      </c>
    </row>
    <row r="699" customFormat="false" ht="15" hidden="false" customHeight="false" outlineLevel="0" collapsed="false">
      <c r="A699" s="43"/>
      <c r="B699" s="44"/>
      <c r="C699" s="44"/>
      <c r="D699" s="44"/>
      <c r="E699" s="44"/>
      <c r="F699" s="44"/>
      <c r="G699" s="44"/>
      <c r="H699" s="46" t="str">
        <f aca="false">IF($A699="","",IF(OR(NOT(ISNUMBER(E699)),NOT(ISNUMBER(F699))),"",MAX(0,E699)*F699))</f>
        <v/>
      </c>
      <c r="I699" s="46" t="str">
        <f aca="false">IF($A699="","",SUMIF($A$2:$A$5001,$A699,$H$2:$H$5001))</f>
        <v/>
      </c>
      <c r="J699" s="47" t="n">
        <f aca="false">IF($A699="",0,IF(COUNTIF($A$2:A699,$A699)=1,1,0))</f>
        <v>0</v>
      </c>
      <c r="K699" s="47" t="n">
        <f aca="false">IF(J699=1,N(I699)+ROW()/10000000,0)</f>
        <v>0</v>
      </c>
      <c r="L699" s="47" t="str">
        <f aca="false">IF(AND(J699=1,N(I699)&gt;0),SUMIF($K$2:$K$5001,"&gt;="&amp;K699,$I$2:$I$5001)/MAX(1,SUM($H$2:$H$5001)),"")</f>
        <v/>
      </c>
      <c r="M699" s="47" t="str">
        <f aca="false">IF($A699="","",INDEX($L$2:$L$5001,MATCH($A699,$A$2:$A$5001,0)))</f>
        <v/>
      </c>
      <c r="N699" s="48" t="str">
        <f aca="false">IF($A699="","",IF(N(M699)=0,"–",IF(M699&lt;=Start!$D$20,"A",IF(M699&lt;=Start!$D$21,"B","C"))))</f>
        <v/>
      </c>
      <c r="O699" s="48" t="str">
        <f aca="false">IF($A699="","",IF(NOT(ISNUMBER(F699)),"Wert fehlt; ",IF(F699&lt;=0,"Wert ist 0; ",""))&amp;IF(NOT(ISNUMBER(E699)),"Bestand fehlt; ",IF(E699&lt;0,"Bestand negativ; ",IF(E699=0,"Nullbestand; ","")))&amp;IF(D699="","Warengruppe fehlt; ","")&amp;IF(B699="","Bezeichnung fehlt; ","")&amp;IF(COUNTIFS($A$2:$A$5001,$A699,$C$2:$C$5001,C699)&gt;1,"Artikel doppelt im selben Lager; ",""))</f>
        <v/>
      </c>
      <c r="P699" s="47" t="n">
        <f aca="false">IF(OR($A699="",D699=""),0,IF(COUNTIF($D$2:D699,D699)=1,SUMIF($D$2:$D$5001,D699,$H$2:$H$5001)+ROW()/10000000,0))</f>
        <v>0</v>
      </c>
      <c r="Q699" s="47" t="n">
        <f aca="false">IF(OR($A699="",C699=""),0,IF(COUNTIF($C$2:C699,C699)=1,SUMIF($C$2:$C$5001,C699,$H$2:$H$5001)+ROW()/10000000,0))</f>
        <v>0</v>
      </c>
    </row>
    <row r="700" customFormat="false" ht="15" hidden="false" customHeight="false" outlineLevel="0" collapsed="false">
      <c r="A700" s="43"/>
      <c r="B700" s="44"/>
      <c r="C700" s="44"/>
      <c r="D700" s="44"/>
      <c r="E700" s="44"/>
      <c r="F700" s="44"/>
      <c r="G700" s="44"/>
      <c r="H700" s="46" t="str">
        <f aca="false">IF($A700="","",IF(OR(NOT(ISNUMBER(E700)),NOT(ISNUMBER(F700))),"",MAX(0,E700)*F700))</f>
        <v/>
      </c>
      <c r="I700" s="46" t="str">
        <f aca="false">IF($A700="","",SUMIF($A$2:$A$5001,$A700,$H$2:$H$5001))</f>
        <v/>
      </c>
      <c r="J700" s="47" t="n">
        <f aca="false">IF($A700="",0,IF(COUNTIF($A$2:A700,$A700)=1,1,0))</f>
        <v>0</v>
      </c>
      <c r="K700" s="47" t="n">
        <f aca="false">IF(J700=1,N(I700)+ROW()/10000000,0)</f>
        <v>0</v>
      </c>
      <c r="L700" s="47" t="str">
        <f aca="false">IF(AND(J700=1,N(I700)&gt;0),SUMIF($K$2:$K$5001,"&gt;="&amp;K700,$I$2:$I$5001)/MAX(1,SUM($H$2:$H$5001)),"")</f>
        <v/>
      </c>
      <c r="M700" s="47" t="str">
        <f aca="false">IF($A700="","",INDEX($L$2:$L$5001,MATCH($A700,$A$2:$A$5001,0)))</f>
        <v/>
      </c>
      <c r="N700" s="48" t="str">
        <f aca="false">IF($A700="","",IF(N(M700)=0,"–",IF(M700&lt;=Start!$D$20,"A",IF(M700&lt;=Start!$D$21,"B","C"))))</f>
        <v/>
      </c>
      <c r="O700" s="48" t="str">
        <f aca="false">IF($A700="","",IF(NOT(ISNUMBER(F700)),"Wert fehlt; ",IF(F700&lt;=0,"Wert ist 0; ",""))&amp;IF(NOT(ISNUMBER(E700)),"Bestand fehlt; ",IF(E700&lt;0,"Bestand negativ; ",IF(E700=0,"Nullbestand; ","")))&amp;IF(D700="","Warengruppe fehlt; ","")&amp;IF(B700="","Bezeichnung fehlt; ","")&amp;IF(COUNTIFS($A$2:$A$5001,$A700,$C$2:$C$5001,C700)&gt;1,"Artikel doppelt im selben Lager; ",""))</f>
        <v/>
      </c>
      <c r="P700" s="47" t="n">
        <f aca="false">IF(OR($A700="",D700=""),0,IF(COUNTIF($D$2:D700,D700)=1,SUMIF($D$2:$D$5001,D700,$H$2:$H$5001)+ROW()/10000000,0))</f>
        <v>0</v>
      </c>
      <c r="Q700" s="47" t="n">
        <f aca="false">IF(OR($A700="",C700=""),0,IF(COUNTIF($C$2:C700,C700)=1,SUMIF($C$2:$C$5001,C700,$H$2:$H$5001)+ROW()/10000000,0))</f>
        <v>0</v>
      </c>
    </row>
    <row r="701" customFormat="false" ht="15" hidden="false" customHeight="false" outlineLevel="0" collapsed="false">
      <c r="A701" s="43"/>
      <c r="B701" s="44"/>
      <c r="C701" s="44"/>
      <c r="D701" s="44"/>
      <c r="E701" s="44"/>
      <c r="F701" s="44"/>
      <c r="G701" s="44"/>
      <c r="H701" s="46" t="str">
        <f aca="false">IF($A701="","",IF(OR(NOT(ISNUMBER(E701)),NOT(ISNUMBER(F701))),"",MAX(0,E701)*F701))</f>
        <v/>
      </c>
      <c r="I701" s="46" t="str">
        <f aca="false">IF($A701="","",SUMIF($A$2:$A$5001,$A701,$H$2:$H$5001))</f>
        <v/>
      </c>
      <c r="J701" s="47" t="n">
        <f aca="false">IF($A701="",0,IF(COUNTIF($A$2:A701,$A701)=1,1,0))</f>
        <v>0</v>
      </c>
      <c r="K701" s="47" t="n">
        <f aca="false">IF(J701=1,N(I701)+ROW()/10000000,0)</f>
        <v>0</v>
      </c>
      <c r="L701" s="47" t="str">
        <f aca="false">IF(AND(J701=1,N(I701)&gt;0),SUMIF($K$2:$K$5001,"&gt;="&amp;K701,$I$2:$I$5001)/MAX(1,SUM($H$2:$H$5001)),"")</f>
        <v/>
      </c>
      <c r="M701" s="47" t="str">
        <f aca="false">IF($A701="","",INDEX($L$2:$L$5001,MATCH($A701,$A$2:$A$5001,0)))</f>
        <v/>
      </c>
      <c r="N701" s="48" t="str">
        <f aca="false">IF($A701="","",IF(N(M701)=0,"–",IF(M701&lt;=Start!$D$20,"A",IF(M701&lt;=Start!$D$21,"B","C"))))</f>
        <v/>
      </c>
      <c r="O701" s="48" t="str">
        <f aca="false">IF($A701="","",IF(NOT(ISNUMBER(F701)),"Wert fehlt; ",IF(F701&lt;=0,"Wert ist 0; ",""))&amp;IF(NOT(ISNUMBER(E701)),"Bestand fehlt; ",IF(E701&lt;0,"Bestand negativ; ",IF(E701=0,"Nullbestand; ","")))&amp;IF(D701="","Warengruppe fehlt; ","")&amp;IF(B701="","Bezeichnung fehlt; ","")&amp;IF(COUNTIFS($A$2:$A$5001,$A701,$C$2:$C$5001,C701)&gt;1,"Artikel doppelt im selben Lager; ",""))</f>
        <v/>
      </c>
      <c r="P701" s="47" t="n">
        <f aca="false">IF(OR($A701="",D701=""),0,IF(COUNTIF($D$2:D701,D701)=1,SUMIF($D$2:$D$5001,D701,$H$2:$H$5001)+ROW()/10000000,0))</f>
        <v>0</v>
      </c>
      <c r="Q701" s="47" t="n">
        <f aca="false">IF(OR($A701="",C701=""),0,IF(COUNTIF($C$2:C701,C701)=1,SUMIF($C$2:$C$5001,C701,$H$2:$H$5001)+ROW()/10000000,0))</f>
        <v>0</v>
      </c>
    </row>
    <row r="702" customFormat="false" ht="15" hidden="false" customHeight="false" outlineLevel="0" collapsed="false">
      <c r="A702" s="43"/>
      <c r="B702" s="44"/>
      <c r="C702" s="44"/>
      <c r="D702" s="44"/>
      <c r="E702" s="44"/>
      <c r="F702" s="44"/>
      <c r="G702" s="44"/>
      <c r="H702" s="46" t="str">
        <f aca="false">IF($A702="","",IF(OR(NOT(ISNUMBER(E702)),NOT(ISNUMBER(F702))),"",MAX(0,E702)*F702))</f>
        <v/>
      </c>
      <c r="I702" s="46" t="str">
        <f aca="false">IF($A702="","",SUMIF($A$2:$A$5001,$A702,$H$2:$H$5001))</f>
        <v/>
      </c>
      <c r="J702" s="47" t="n">
        <f aca="false">IF($A702="",0,IF(COUNTIF($A$2:A702,$A702)=1,1,0))</f>
        <v>0</v>
      </c>
      <c r="K702" s="47" t="n">
        <f aca="false">IF(J702=1,N(I702)+ROW()/10000000,0)</f>
        <v>0</v>
      </c>
      <c r="L702" s="47" t="str">
        <f aca="false">IF(AND(J702=1,N(I702)&gt;0),SUMIF($K$2:$K$5001,"&gt;="&amp;K702,$I$2:$I$5001)/MAX(1,SUM($H$2:$H$5001)),"")</f>
        <v/>
      </c>
      <c r="M702" s="47" t="str">
        <f aca="false">IF($A702="","",INDEX($L$2:$L$5001,MATCH($A702,$A$2:$A$5001,0)))</f>
        <v/>
      </c>
      <c r="N702" s="48" t="str">
        <f aca="false">IF($A702="","",IF(N(M702)=0,"–",IF(M702&lt;=Start!$D$20,"A",IF(M702&lt;=Start!$D$21,"B","C"))))</f>
        <v/>
      </c>
      <c r="O702" s="48" t="str">
        <f aca="false">IF($A702="","",IF(NOT(ISNUMBER(F702)),"Wert fehlt; ",IF(F702&lt;=0,"Wert ist 0; ",""))&amp;IF(NOT(ISNUMBER(E702)),"Bestand fehlt; ",IF(E702&lt;0,"Bestand negativ; ",IF(E702=0,"Nullbestand; ","")))&amp;IF(D702="","Warengruppe fehlt; ","")&amp;IF(B702="","Bezeichnung fehlt; ","")&amp;IF(COUNTIFS($A$2:$A$5001,$A702,$C$2:$C$5001,C702)&gt;1,"Artikel doppelt im selben Lager; ",""))</f>
        <v/>
      </c>
      <c r="P702" s="47" t="n">
        <f aca="false">IF(OR($A702="",D702=""),0,IF(COUNTIF($D$2:D702,D702)=1,SUMIF($D$2:$D$5001,D702,$H$2:$H$5001)+ROW()/10000000,0))</f>
        <v>0</v>
      </c>
      <c r="Q702" s="47" t="n">
        <f aca="false">IF(OR($A702="",C702=""),0,IF(COUNTIF($C$2:C702,C702)=1,SUMIF($C$2:$C$5001,C702,$H$2:$H$5001)+ROW()/10000000,0))</f>
        <v>0</v>
      </c>
    </row>
    <row r="703" customFormat="false" ht="15" hidden="false" customHeight="false" outlineLevel="0" collapsed="false">
      <c r="A703" s="43"/>
      <c r="B703" s="44"/>
      <c r="C703" s="44"/>
      <c r="D703" s="44"/>
      <c r="E703" s="44"/>
      <c r="F703" s="44"/>
      <c r="G703" s="44"/>
      <c r="H703" s="46" t="str">
        <f aca="false">IF($A703="","",IF(OR(NOT(ISNUMBER(E703)),NOT(ISNUMBER(F703))),"",MAX(0,E703)*F703))</f>
        <v/>
      </c>
      <c r="I703" s="46" t="str">
        <f aca="false">IF($A703="","",SUMIF($A$2:$A$5001,$A703,$H$2:$H$5001))</f>
        <v/>
      </c>
      <c r="J703" s="47" t="n">
        <f aca="false">IF($A703="",0,IF(COUNTIF($A$2:A703,$A703)=1,1,0))</f>
        <v>0</v>
      </c>
      <c r="K703" s="47" t="n">
        <f aca="false">IF(J703=1,N(I703)+ROW()/10000000,0)</f>
        <v>0</v>
      </c>
      <c r="L703" s="47" t="str">
        <f aca="false">IF(AND(J703=1,N(I703)&gt;0),SUMIF($K$2:$K$5001,"&gt;="&amp;K703,$I$2:$I$5001)/MAX(1,SUM($H$2:$H$5001)),"")</f>
        <v/>
      </c>
      <c r="M703" s="47" t="str">
        <f aca="false">IF($A703="","",INDEX($L$2:$L$5001,MATCH($A703,$A$2:$A$5001,0)))</f>
        <v/>
      </c>
      <c r="N703" s="48" t="str">
        <f aca="false">IF($A703="","",IF(N(M703)=0,"–",IF(M703&lt;=Start!$D$20,"A",IF(M703&lt;=Start!$D$21,"B","C"))))</f>
        <v/>
      </c>
      <c r="O703" s="48" t="str">
        <f aca="false">IF($A703="","",IF(NOT(ISNUMBER(F703)),"Wert fehlt; ",IF(F703&lt;=0,"Wert ist 0; ",""))&amp;IF(NOT(ISNUMBER(E703)),"Bestand fehlt; ",IF(E703&lt;0,"Bestand negativ; ",IF(E703=0,"Nullbestand; ","")))&amp;IF(D703="","Warengruppe fehlt; ","")&amp;IF(B703="","Bezeichnung fehlt; ","")&amp;IF(COUNTIFS($A$2:$A$5001,$A703,$C$2:$C$5001,C703)&gt;1,"Artikel doppelt im selben Lager; ",""))</f>
        <v/>
      </c>
      <c r="P703" s="47" t="n">
        <f aca="false">IF(OR($A703="",D703=""),0,IF(COUNTIF($D$2:D703,D703)=1,SUMIF($D$2:$D$5001,D703,$H$2:$H$5001)+ROW()/10000000,0))</f>
        <v>0</v>
      </c>
      <c r="Q703" s="47" t="n">
        <f aca="false">IF(OR($A703="",C703=""),0,IF(COUNTIF($C$2:C703,C703)=1,SUMIF($C$2:$C$5001,C703,$H$2:$H$5001)+ROW()/10000000,0))</f>
        <v>0</v>
      </c>
    </row>
    <row r="704" customFormat="false" ht="15" hidden="false" customHeight="false" outlineLevel="0" collapsed="false">
      <c r="A704" s="43"/>
      <c r="B704" s="44"/>
      <c r="C704" s="44"/>
      <c r="D704" s="44"/>
      <c r="E704" s="44"/>
      <c r="F704" s="44"/>
      <c r="G704" s="44"/>
      <c r="H704" s="46" t="str">
        <f aca="false">IF($A704="","",IF(OR(NOT(ISNUMBER(E704)),NOT(ISNUMBER(F704))),"",MAX(0,E704)*F704))</f>
        <v/>
      </c>
      <c r="I704" s="46" t="str">
        <f aca="false">IF($A704="","",SUMIF($A$2:$A$5001,$A704,$H$2:$H$5001))</f>
        <v/>
      </c>
      <c r="J704" s="47" t="n">
        <f aca="false">IF($A704="",0,IF(COUNTIF($A$2:A704,$A704)=1,1,0))</f>
        <v>0</v>
      </c>
      <c r="K704" s="47" t="n">
        <f aca="false">IF(J704=1,N(I704)+ROW()/10000000,0)</f>
        <v>0</v>
      </c>
      <c r="L704" s="47" t="str">
        <f aca="false">IF(AND(J704=1,N(I704)&gt;0),SUMIF($K$2:$K$5001,"&gt;="&amp;K704,$I$2:$I$5001)/MAX(1,SUM($H$2:$H$5001)),"")</f>
        <v/>
      </c>
      <c r="M704" s="47" t="str">
        <f aca="false">IF($A704="","",INDEX($L$2:$L$5001,MATCH($A704,$A$2:$A$5001,0)))</f>
        <v/>
      </c>
      <c r="N704" s="48" t="str">
        <f aca="false">IF($A704="","",IF(N(M704)=0,"–",IF(M704&lt;=Start!$D$20,"A",IF(M704&lt;=Start!$D$21,"B","C"))))</f>
        <v/>
      </c>
      <c r="O704" s="48" t="str">
        <f aca="false">IF($A704="","",IF(NOT(ISNUMBER(F704)),"Wert fehlt; ",IF(F704&lt;=0,"Wert ist 0; ",""))&amp;IF(NOT(ISNUMBER(E704)),"Bestand fehlt; ",IF(E704&lt;0,"Bestand negativ; ",IF(E704=0,"Nullbestand; ","")))&amp;IF(D704="","Warengruppe fehlt; ","")&amp;IF(B704="","Bezeichnung fehlt; ","")&amp;IF(COUNTIFS($A$2:$A$5001,$A704,$C$2:$C$5001,C704)&gt;1,"Artikel doppelt im selben Lager; ",""))</f>
        <v/>
      </c>
      <c r="P704" s="47" t="n">
        <f aca="false">IF(OR($A704="",D704=""),0,IF(COUNTIF($D$2:D704,D704)=1,SUMIF($D$2:$D$5001,D704,$H$2:$H$5001)+ROW()/10000000,0))</f>
        <v>0</v>
      </c>
      <c r="Q704" s="47" t="n">
        <f aca="false">IF(OR($A704="",C704=""),0,IF(COUNTIF($C$2:C704,C704)=1,SUMIF($C$2:$C$5001,C704,$H$2:$H$5001)+ROW()/10000000,0))</f>
        <v>0</v>
      </c>
    </row>
    <row r="705" customFormat="false" ht="15" hidden="false" customHeight="false" outlineLevel="0" collapsed="false">
      <c r="A705" s="43"/>
      <c r="B705" s="44"/>
      <c r="C705" s="44"/>
      <c r="D705" s="44"/>
      <c r="E705" s="44"/>
      <c r="F705" s="44"/>
      <c r="G705" s="44"/>
      <c r="H705" s="46" t="str">
        <f aca="false">IF($A705="","",IF(OR(NOT(ISNUMBER(E705)),NOT(ISNUMBER(F705))),"",MAX(0,E705)*F705))</f>
        <v/>
      </c>
      <c r="I705" s="46" t="str">
        <f aca="false">IF($A705="","",SUMIF($A$2:$A$5001,$A705,$H$2:$H$5001))</f>
        <v/>
      </c>
      <c r="J705" s="47" t="n">
        <f aca="false">IF($A705="",0,IF(COUNTIF($A$2:A705,$A705)=1,1,0))</f>
        <v>0</v>
      </c>
      <c r="K705" s="47" t="n">
        <f aca="false">IF(J705=1,N(I705)+ROW()/10000000,0)</f>
        <v>0</v>
      </c>
      <c r="L705" s="47" t="str">
        <f aca="false">IF(AND(J705=1,N(I705)&gt;0),SUMIF($K$2:$K$5001,"&gt;="&amp;K705,$I$2:$I$5001)/MAX(1,SUM($H$2:$H$5001)),"")</f>
        <v/>
      </c>
      <c r="M705" s="47" t="str">
        <f aca="false">IF($A705="","",INDEX($L$2:$L$5001,MATCH($A705,$A$2:$A$5001,0)))</f>
        <v/>
      </c>
      <c r="N705" s="48" t="str">
        <f aca="false">IF($A705="","",IF(N(M705)=0,"–",IF(M705&lt;=Start!$D$20,"A",IF(M705&lt;=Start!$D$21,"B","C"))))</f>
        <v/>
      </c>
      <c r="O705" s="48" t="str">
        <f aca="false">IF($A705="","",IF(NOT(ISNUMBER(F705)),"Wert fehlt; ",IF(F705&lt;=0,"Wert ist 0; ",""))&amp;IF(NOT(ISNUMBER(E705)),"Bestand fehlt; ",IF(E705&lt;0,"Bestand negativ; ",IF(E705=0,"Nullbestand; ","")))&amp;IF(D705="","Warengruppe fehlt; ","")&amp;IF(B705="","Bezeichnung fehlt; ","")&amp;IF(COUNTIFS($A$2:$A$5001,$A705,$C$2:$C$5001,C705)&gt;1,"Artikel doppelt im selben Lager; ",""))</f>
        <v/>
      </c>
      <c r="P705" s="47" t="n">
        <f aca="false">IF(OR($A705="",D705=""),0,IF(COUNTIF($D$2:D705,D705)=1,SUMIF($D$2:$D$5001,D705,$H$2:$H$5001)+ROW()/10000000,0))</f>
        <v>0</v>
      </c>
      <c r="Q705" s="47" t="n">
        <f aca="false">IF(OR($A705="",C705=""),0,IF(COUNTIF($C$2:C705,C705)=1,SUMIF($C$2:$C$5001,C705,$H$2:$H$5001)+ROW()/10000000,0))</f>
        <v>0</v>
      </c>
    </row>
    <row r="706" customFormat="false" ht="15" hidden="false" customHeight="false" outlineLevel="0" collapsed="false">
      <c r="A706" s="43"/>
      <c r="B706" s="44"/>
      <c r="C706" s="44"/>
      <c r="D706" s="44"/>
      <c r="E706" s="44"/>
      <c r="F706" s="44"/>
      <c r="G706" s="44"/>
      <c r="H706" s="46" t="str">
        <f aca="false">IF($A706="","",IF(OR(NOT(ISNUMBER(E706)),NOT(ISNUMBER(F706))),"",MAX(0,E706)*F706))</f>
        <v/>
      </c>
      <c r="I706" s="46" t="str">
        <f aca="false">IF($A706="","",SUMIF($A$2:$A$5001,$A706,$H$2:$H$5001))</f>
        <v/>
      </c>
      <c r="J706" s="47" t="n">
        <f aca="false">IF($A706="",0,IF(COUNTIF($A$2:A706,$A706)=1,1,0))</f>
        <v>0</v>
      </c>
      <c r="K706" s="47" t="n">
        <f aca="false">IF(J706=1,N(I706)+ROW()/10000000,0)</f>
        <v>0</v>
      </c>
      <c r="L706" s="47" t="str">
        <f aca="false">IF(AND(J706=1,N(I706)&gt;0),SUMIF($K$2:$K$5001,"&gt;="&amp;K706,$I$2:$I$5001)/MAX(1,SUM($H$2:$H$5001)),"")</f>
        <v/>
      </c>
      <c r="M706" s="47" t="str">
        <f aca="false">IF($A706="","",INDEX($L$2:$L$5001,MATCH($A706,$A$2:$A$5001,0)))</f>
        <v/>
      </c>
      <c r="N706" s="48" t="str">
        <f aca="false">IF($A706="","",IF(N(M706)=0,"–",IF(M706&lt;=Start!$D$20,"A",IF(M706&lt;=Start!$D$21,"B","C"))))</f>
        <v/>
      </c>
      <c r="O706" s="48" t="str">
        <f aca="false">IF($A706="","",IF(NOT(ISNUMBER(F706)),"Wert fehlt; ",IF(F706&lt;=0,"Wert ist 0; ",""))&amp;IF(NOT(ISNUMBER(E706)),"Bestand fehlt; ",IF(E706&lt;0,"Bestand negativ; ",IF(E706=0,"Nullbestand; ","")))&amp;IF(D706="","Warengruppe fehlt; ","")&amp;IF(B706="","Bezeichnung fehlt; ","")&amp;IF(COUNTIFS($A$2:$A$5001,$A706,$C$2:$C$5001,C706)&gt;1,"Artikel doppelt im selben Lager; ",""))</f>
        <v/>
      </c>
      <c r="P706" s="47" t="n">
        <f aca="false">IF(OR($A706="",D706=""),0,IF(COUNTIF($D$2:D706,D706)=1,SUMIF($D$2:$D$5001,D706,$H$2:$H$5001)+ROW()/10000000,0))</f>
        <v>0</v>
      </c>
      <c r="Q706" s="47" t="n">
        <f aca="false">IF(OR($A706="",C706=""),0,IF(COUNTIF($C$2:C706,C706)=1,SUMIF($C$2:$C$5001,C706,$H$2:$H$5001)+ROW()/10000000,0))</f>
        <v>0</v>
      </c>
    </row>
    <row r="707" customFormat="false" ht="15" hidden="false" customHeight="false" outlineLevel="0" collapsed="false">
      <c r="A707" s="43"/>
      <c r="B707" s="44"/>
      <c r="C707" s="44"/>
      <c r="D707" s="44"/>
      <c r="E707" s="44"/>
      <c r="F707" s="44"/>
      <c r="G707" s="44"/>
      <c r="H707" s="46" t="str">
        <f aca="false">IF($A707="","",IF(OR(NOT(ISNUMBER(E707)),NOT(ISNUMBER(F707))),"",MAX(0,E707)*F707))</f>
        <v/>
      </c>
      <c r="I707" s="46" t="str">
        <f aca="false">IF($A707="","",SUMIF($A$2:$A$5001,$A707,$H$2:$H$5001))</f>
        <v/>
      </c>
      <c r="J707" s="47" t="n">
        <f aca="false">IF($A707="",0,IF(COUNTIF($A$2:A707,$A707)=1,1,0))</f>
        <v>0</v>
      </c>
      <c r="K707" s="47" t="n">
        <f aca="false">IF(J707=1,N(I707)+ROW()/10000000,0)</f>
        <v>0</v>
      </c>
      <c r="L707" s="47" t="str">
        <f aca="false">IF(AND(J707=1,N(I707)&gt;0),SUMIF($K$2:$K$5001,"&gt;="&amp;K707,$I$2:$I$5001)/MAX(1,SUM($H$2:$H$5001)),"")</f>
        <v/>
      </c>
      <c r="M707" s="47" t="str">
        <f aca="false">IF($A707="","",INDEX($L$2:$L$5001,MATCH($A707,$A$2:$A$5001,0)))</f>
        <v/>
      </c>
      <c r="N707" s="48" t="str">
        <f aca="false">IF($A707="","",IF(N(M707)=0,"–",IF(M707&lt;=Start!$D$20,"A",IF(M707&lt;=Start!$D$21,"B","C"))))</f>
        <v/>
      </c>
      <c r="O707" s="48" t="str">
        <f aca="false">IF($A707="","",IF(NOT(ISNUMBER(F707)),"Wert fehlt; ",IF(F707&lt;=0,"Wert ist 0; ",""))&amp;IF(NOT(ISNUMBER(E707)),"Bestand fehlt; ",IF(E707&lt;0,"Bestand negativ; ",IF(E707=0,"Nullbestand; ","")))&amp;IF(D707="","Warengruppe fehlt; ","")&amp;IF(B707="","Bezeichnung fehlt; ","")&amp;IF(COUNTIFS($A$2:$A$5001,$A707,$C$2:$C$5001,C707)&gt;1,"Artikel doppelt im selben Lager; ",""))</f>
        <v/>
      </c>
      <c r="P707" s="47" t="n">
        <f aca="false">IF(OR($A707="",D707=""),0,IF(COUNTIF($D$2:D707,D707)=1,SUMIF($D$2:$D$5001,D707,$H$2:$H$5001)+ROW()/10000000,0))</f>
        <v>0</v>
      </c>
      <c r="Q707" s="47" t="n">
        <f aca="false">IF(OR($A707="",C707=""),0,IF(COUNTIF($C$2:C707,C707)=1,SUMIF($C$2:$C$5001,C707,$H$2:$H$5001)+ROW()/10000000,0))</f>
        <v>0</v>
      </c>
    </row>
    <row r="708" customFormat="false" ht="15" hidden="false" customHeight="false" outlineLevel="0" collapsed="false">
      <c r="A708" s="43"/>
      <c r="B708" s="44"/>
      <c r="C708" s="44"/>
      <c r="D708" s="44"/>
      <c r="E708" s="44"/>
      <c r="F708" s="44"/>
      <c r="G708" s="44"/>
      <c r="H708" s="46" t="str">
        <f aca="false">IF($A708="","",IF(OR(NOT(ISNUMBER(E708)),NOT(ISNUMBER(F708))),"",MAX(0,E708)*F708))</f>
        <v/>
      </c>
      <c r="I708" s="46" t="str">
        <f aca="false">IF($A708="","",SUMIF($A$2:$A$5001,$A708,$H$2:$H$5001))</f>
        <v/>
      </c>
      <c r="J708" s="47" t="n">
        <f aca="false">IF($A708="",0,IF(COUNTIF($A$2:A708,$A708)=1,1,0))</f>
        <v>0</v>
      </c>
      <c r="K708" s="47" t="n">
        <f aca="false">IF(J708=1,N(I708)+ROW()/10000000,0)</f>
        <v>0</v>
      </c>
      <c r="L708" s="47" t="str">
        <f aca="false">IF(AND(J708=1,N(I708)&gt;0),SUMIF($K$2:$K$5001,"&gt;="&amp;K708,$I$2:$I$5001)/MAX(1,SUM($H$2:$H$5001)),"")</f>
        <v/>
      </c>
      <c r="M708" s="47" t="str">
        <f aca="false">IF($A708="","",INDEX($L$2:$L$5001,MATCH($A708,$A$2:$A$5001,0)))</f>
        <v/>
      </c>
      <c r="N708" s="48" t="str">
        <f aca="false">IF($A708="","",IF(N(M708)=0,"–",IF(M708&lt;=Start!$D$20,"A",IF(M708&lt;=Start!$D$21,"B","C"))))</f>
        <v/>
      </c>
      <c r="O708" s="48" t="str">
        <f aca="false">IF($A708="","",IF(NOT(ISNUMBER(F708)),"Wert fehlt; ",IF(F708&lt;=0,"Wert ist 0; ",""))&amp;IF(NOT(ISNUMBER(E708)),"Bestand fehlt; ",IF(E708&lt;0,"Bestand negativ; ",IF(E708=0,"Nullbestand; ","")))&amp;IF(D708="","Warengruppe fehlt; ","")&amp;IF(B708="","Bezeichnung fehlt; ","")&amp;IF(COUNTIFS($A$2:$A$5001,$A708,$C$2:$C$5001,C708)&gt;1,"Artikel doppelt im selben Lager; ",""))</f>
        <v/>
      </c>
      <c r="P708" s="47" t="n">
        <f aca="false">IF(OR($A708="",D708=""),0,IF(COUNTIF($D$2:D708,D708)=1,SUMIF($D$2:$D$5001,D708,$H$2:$H$5001)+ROW()/10000000,0))</f>
        <v>0</v>
      </c>
      <c r="Q708" s="47" t="n">
        <f aca="false">IF(OR($A708="",C708=""),0,IF(COUNTIF($C$2:C708,C708)=1,SUMIF($C$2:$C$5001,C708,$H$2:$H$5001)+ROW()/10000000,0))</f>
        <v>0</v>
      </c>
    </row>
    <row r="709" customFormat="false" ht="15" hidden="false" customHeight="false" outlineLevel="0" collapsed="false">
      <c r="A709" s="43"/>
      <c r="B709" s="44"/>
      <c r="C709" s="44"/>
      <c r="D709" s="44"/>
      <c r="E709" s="44"/>
      <c r="F709" s="44"/>
      <c r="G709" s="44"/>
      <c r="H709" s="46" t="str">
        <f aca="false">IF($A709="","",IF(OR(NOT(ISNUMBER(E709)),NOT(ISNUMBER(F709))),"",MAX(0,E709)*F709))</f>
        <v/>
      </c>
      <c r="I709" s="46" t="str">
        <f aca="false">IF($A709="","",SUMIF($A$2:$A$5001,$A709,$H$2:$H$5001))</f>
        <v/>
      </c>
      <c r="J709" s="47" t="n">
        <f aca="false">IF($A709="",0,IF(COUNTIF($A$2:A709,$A709)=1,1,0))</f>
        <v>0</v>
      </c>
      <c r="K709" s="47" t="n">
        <f aca="false">IF(J709=1,N(I709)+ROW()/10000000,0)</f>
        <v>0</v>
      </c>
      <c r="L709" s="47" t="str">
        <f aca="false">IF(AND(J709=1,N(I709)&gt;0),SUMIF($K$2:$K$5001,"&gt;="&amp;K709,$I$2:$I$5001)/MAX(1,SUM($H$2:$H$5001)),"")</f>
        <v/>
      </c>
      <c r="M709" s="47" t="str">
        <f aca="false">IF($A709="","",INDEX($L$2:$L$5001,MATCH($A709,$A$2:$A$5001,0)))</f>
        <v/>
      </c>
      <c r="N709" s="48" t="str">
        <f aca="false">IF($A709="","",IF(N(M709)=0,"–",IF(M709&lt;=Start!$D$20,"A",IF(M709&lt;=Start!$D$21,"B","C"))))</f>
        <v/>
      </c>
      <c r="O709" s="48" t="str">
        <f aca="false">IF($A709="","",IF(NOT(ISNUMBER(F709)),"Wert fehlt; ",IF(F709&lt;=0,"Wert ist 0; ",""))&amp;IF(NOT(ISNUMBER(E709)),"Bestand fehlt; ",IF(E709&lt;0,"Bestand negativ; ",IF(E709=0,"Nullbestand; ","")))&amp;IF(D709="","Warengruppe fehlt; ","")&amp;IF(B709="","Bezeichnung fehlt; ","")&amp;IF(COUNTIFS($A$2:$A$5001,$A709,$C$2:$C$5001,C709)&gt;1,"Artikel doppelt im selben Lager; ",""))</f>
        <v/>
      </c>
      <c r="P709" s="47" t="n">
        <f aca="false">IF(OR($A709="",D709=""),0,IF(COUNTIF($D$2:D709,D709)=1,SUMIF($D$2:$D$5001,D709,$H$2:$H$5001)+ROW()/10000000,0))</f>
        <v>0</v>
      </c>
      <c r="Q709" s="47" t="n">
        <f aca="false">IF(OR($A709="",C709=""),0,IF(COUNTIF($C$2:C709,C709)=1,SUMIF($C$2:$C$5001,C709,$H$2:$H$5001)+ROW()/10000000,0))</f>
        <v>0</v>
      </c>
    </row>
    <row r="710" customFormat="false" ht="15" hidden="false" customHeight="false" outlineLevel="0" collapsed="false">
      <c r="A710" s="43"/>
      <c r="B710" s="44"/>
      <c r="C710" s="44"/>
      <c r="D710" s="44"/>
      <c r="E710" s="44"/>
      <c r="F710" s="44"/>
      <c r="G710" s="44"/>
      <c r="H710" s="46" t="str">
        <f aca="false">IF($A710="","",IF(OR(NOT(ISNUMBER(E710)),NOT(ISNUMBER(F710))),"",MAX(0,E710)*F710))</f>
        <v/>
      </c>
      <c r="I710" s="46" t="str">
        <f aca="false">IF($A710="","",SUMIF($A$2:$A$5001,$A710,$H$2:$H$5001))</f>
        <v/>
      </c>
      <c r="J710" s="47" t="n">
        <f aca="false">IF($A710="",0,IF(COUNTIF($A$2:A710,$A710)=1,1,0))</f>
        <v>0</v>
      </c>
      <c r="K710" s="47" t="n">
        <f aca="false">IF(J710=1,N(I710)+ROW()/10000000,0)</f>
        <v>0</v>
      </c>
      <c r="L710" s="47" t="str">
        <f aca="false">IF(AND(J710=1,N(I710)&gt;0),SUMIF($K$2:$K$5001,"&gt;="&amp;K710,$I$2:$I$5001)/MAX(1,SUM($H$2:$H$5001)),"")</f>
        <v/>
      </c>
      <c r="M710" s="47" t="str">
        <f aca="false">IF($A710="","",INDEX($L$2:$L$5001,MATCH($A710,$A$2:$A$5001,0)))</f>
        <v/>
      </c>
      <c r="N710" s="48" t="str">
        <f aca="false">IF($A710="","",IF(N(M710)=0,"–",IF(M710&lt;=Start!$D$20,"A",IF(M710&lt;=Start!$D$21,"B","C"))))</f>
        <v/>
      </c>
      <c r="O710" s="48" t="str">
        <f aca="false">IF($A710="","",IF(NOT(ISNUMBER(F710)),"Wert fehlt; ",IF(F710&lt;=0,"Wert ist 0; ",""))&amp;IF(NOT(ISNUMBER(E710)),"Bestand fehlt; ",IF(E710&lt;0,"Bestand negativ; ",IF(E710=0,"Nullbestand; ","")))&amp;IF(D710="","Warengruppe fehlt; ","")&amp;IF(B710="","Bezeichnung fehlt; ","")&amp;IF(COUNTIFS($A$2:$A$5001,$A710,$C$2:$C$5001,C710)&gt;1,"Artikel doppelt im selben Lager; ",""))</f>
        <v/>
      </c>
      <c r="P710" s="47" t="n">
        <f aca="false">IF(OR($A710="",D710=""),0,IF(COUNTIF($D$2:D710,D710)=1,SUMIF($D$2:$D$5001,D710,$H$2:$H$5001)+ROW()/10000000,0))</f>
        <v>0</v>
      </c>
      <c r="Q710" s="47" t="n">
        <f aca="false">IF(OR($A710="",C710=""),0,IF(COUNTIF($C$2:C710,C710)=1,SUMIF($C$2:$C$5001,C710,$H$2:$H$5001)+ROW()/10000000,0))</f>
        <v>0</v>
      </c>
    </row>
    <row r="711" customFormat="false" ht="15" hidden="false" customHeight="false" outlineLevel="0" collapsed="false">
      <c r="A711" s="43"/>
      <c r="B711" s="44"/>
      <c r="C711" s="44"/>
      <c r="D711" s="44"/>
      <c r="E711" s="44"/>
      <c r="F711" s="44"/>
      <c r="G711" s="44"/>
      <c r="H711" s="46" t="str">
        <f aca="false">IF($A711="","",IF(OR(NOT(ISNUMBER(E711)),NOT(ISNUMBER(F711))),"",MAX(0,E711)*F711))</f>
        <v/>
      </c>
      <c r="I711" s="46" t="str">
        <f aca="false">IF($A711="","",SUMIF($A$2:$A$5001,$A711,$H$2:$H$5001))</f>
        <v/>
      </c>
      <c r="J711" s="47" t="n">
        <f aca="false">IF($A711="",0,IF(COUNTIF($A$2:A711,$A711)=1,1,0))</f>
        <v>0</v>
      </c>
      <c r="K711" s="47" t="n">
        <f aca="false">IF(J711=1,N(I711)+ROW()/10000000,0)</f>
        <v>0</v>
      </c>
      <c r="L711" s="47" t="str">
        <f aca="false">IF(AND(J711=1,N(I711)&gt;0),SUMIF($K$2:$K$5001,"&gt;="&amp;K711,$I$2:$I$5001)/MAX(1,SUM($H$2:$H$5001)),"")</f>
        <v/>
      </c>
      <c r="M711" s="47" t="str">
        <f aca="false">IF($A711="","",INDEX($L$2:$L$5001,MATCH($A711,$A$2:$A$5001,0)))</f>
        <v/>
      </c>
      <c r="N711" s="48" t="str">
        <f aca="false">IF($A711="","",IF(N(M711)=0,"–",IF(M711&lt;=Start!$D$20,"A",IF(M711&lt;=Start!$D$21,"B","C"))))</f>
        <v/>
      </c>
      <c r="O711" s="48" t="str">
        <f aca="false">IF($A711="","",IF(NOT(ISNUMBER(F711)),"Wert fehlt; ",IF(F711&lt;=0,"Wert ist 0; ",""))&amp;IF(NOT(ISNUMBER(E711)),"Bestand fehlt; ",IF(E711&lt;0,"Bestand negativ; ",IF(E711=0,"Nullbestand; ","")))&amp;IF(D711="","Warengruppe fehlt; ","")&amp;IF(B711="","Bezeichnung fehlt; ","")&amp;IF(COUNTIFS($A$2:$A$5001,$A711,$C$2:$C$5001,C711)&gt;1,"Artikel doppelt im selben Lager; ",""))</f>
        <v/>
      </c>
      <c r="P711" s="47" t="n">
        <f aca="false">IF(OR($A711="",D711=""),0,IF(COUNTIF($D$2:D711,D711)=1,SUMIF($D$2:$D$5001,D711,$H$2:$H$5001)+ROW()/10000000,0))</f>
        <v>0</v>
      </c>
      <c r="Q711" s="47" t="n">
        <f aca="false">IF(OR($A711="",C711=""),0,IF(COUNTIF($C$2:C711,C711)=1,SUMIF($C$2:$C$5001,C711,$H$2:$H$5001)+ROW()/10000000,0))</f>
        <v>0</v>
      </c>
    </row>
    <row r="712" customFormat="false" ht="15" hidden="false" customHeight="false" outlineLevel="0" collapsed="false">
      <c r="A712" s="43"/>
      <c r="B712" s="44"/>
      <c r="C712" s="44"/>
      <c r="D712" s="44"/>
      <c r="E712" s="44"/>
      <c r="F712" s="44"/>
      <c r="G712" s="44"/>
      <c r="H712" s="46" t="str">
        <f aca="false">IF($A712="","",IF(OR(NOT(ISNUMBER(E712)),NOT(ISNUMBER(F712))),"",MAX(0,E712)*F712))</f>
        <v/>
      </c>
      <c r="I712" s="46" t="str">
        <f aca="false">IF($A712="","",SUMIF($A$2:$A$5001,$A712,$H$2:$H$5001))</f>
        <v/>
      </c>
      <c r="J712" s="47" t="n">
        <f aca="false">IF($A712="",0,IF(COUNTIF($A$2:A712,$A712)=1,1,0))</f>
        <v>0</v>
      </c>
      <c r="K712" s="47" t="n">
        <f aca="false">IF(J712=1,N(I712)+ROW()/10000000,0)</f>
        <v>0</v>
      </c>
      <c r="L712" s="47" t="str">
        <f aca="false">IF(AND(J712=1,N(I712)&gt;0),SUMIF($K$2:$K$5001,"&gt;="&amp;K712,$I$2:$I$5001)/MAX(1,SUM($H$2:$H$5001)),"")</f>
        <v/>
      </c>
      <c r="M712" s="47" t="str">
        <f aca="false">IF($A712="","",INDEX($L$2:$L$5001,MATCH($A712,$A$2:$A$5001,0)))</f>
        <v/>
      </c>
      <c r="N712" s="48" t="str">
        <f aca="false">IF($A712="","",IF(N(M712)=0,"–",IF(M712&lt;=Start!$D$20,"A",IF(M712&lt;=Start!$D$21,"B","C"))))</f>
        <v/>
      </c>
      <c r="O712" s="48" t="str">
        <f aca="false">IF($A712="","",IF(NOT(ISNUMBER(F712)),"Wert fehlt; ",IF(F712&lt;=0,"Wert ist 0; ",""))&amp;IF(NOT(ISNUMBER(E712)),"Bestand fehlt; ",IF(E712&lt;0,"Bestand negativ; ",IF(E712=0,"Nullbestand; ","")))&amp;IF(D712="","Warengruppe fehlt; ","")&amp;IF(B712="","Bezeichnung fehlt; ","")&amp;IF(COUNTIFS($A$2:$A$5001,$A712,$C$2:$C$5001,C712)&gt;1,"Artikel doppelt im selben Lager; ",""))</f>
        <v/>
      </c>
      <c r="P712" s="47" t="n">
        <f aca="false">IF(OR($A712="",D712=""),0,IF(COUNTIF($D$2:D712,D712)=1,SUMIF($D$2:$D$5001,D712,$H$2:$H$5001)+ROW()/10000000,0))</f>
        <v>0</v>
      </c>
      <c r="Q712" s="47" t="n">
        <f aca="false">IF(OR($A712="",C712=""),0,IF(COUNTIF($C$2:C712,C712)=1,SUMIF($C$2:$C$5001,C712,$H$2:$H$5001)+ROW()/10000000,0))</f>
        <v>0</v>
      </c>
    </row>
    <row r="713" customFormat="false" ht="15" hidden="false" customHeight="false" outlineLevel="0" collapsed="false">
      <c r="A713" s="43"/>
      <c r="B713" s="44"/>
      <c r="C713" s="44"/>
      <c r="D713" s="44"/>
      <c r="E713" s="44"/>
      <c r="F713" s="44"/>
      <c r="G713" s="44"/>
      <c r="H713" s="46" t="str">
        <f aca="false">IF($A713="","",IF(OR(NOT(ISNUMBER(E713)),NOT(ISNUMBER(F713))),"",MAX(0,E713)*F713))</f>
        <v/>
      </c>
      <c r="I713" s="46" t="str">
        <f aca="false">IF($A713="","",SUMIF($A$2:$A$5001,$A713,$H$2:$H$5001))</f>
        <v/>
      </c>
      <c r="J713" s="47" t="n">
        <f aca="false">IF($A713="",0,IF(COUNTIF($A$2:A713,$A713)=1,1,0))</f>
        <v>0</v>
      </c>
      <c r="K713" s="47" t="n">
        <f aca="false">IF(J713=1,N(I713)+ROW()/10000000,0)</f>
        <v>0</v>
      </c>
      <c r="L713" s="47" t="str">
        <f aca="false">IF(AND(J713=1,N(I713)&gt;0),SUMIF($K$2:$K$5001,"&gt;="&amp;K713,$I$2:$I$5001)/MAX(1,SUM($H$2:$H$5001)),"")</f>
        <v/>
      </c>
      <c r="M713" s="47" t="str">
        <f aca="false">IF($A713="","",INDEX($L$2:$L$5001,MATCH($A713,$A$2:$A$5001,0)))</f>
        <v/>
      </c>
      <c r="N713" s="48" t="str">
        <f aca="false">IF($A713="","",IF(N(M713)=0,"–",IF(M713&lt;=Start!$D$20,"A",IF(M713&lt;=Start!$D$21,"B","C"))))</f>
        <v/>
      </c>
      <c r="O713" s="48" t="str">
        <f aca="false">IF($A713="","",IF(NOT(ISNUMBER(F713)),"Wert fehlt; ",IF(F713&lt;=0,"Wert ist 0; ",""))&amp;IF(NOT(ISNUMBER(E713)),"Bestand fehlt; ",IF(E713&lt;0,"Bestand negativ; ",IF(E713=0,"Nullbestand; ","")))&amp;IF(D713="","Warengruppe fehlt; ","")&amp;IF(B713="","Bezeichnung fehlt; ","")&amp;IF(COUNTIFS($A$2:$A$5001,$A713,$C$2:$C$5001,C713)&gt;1,"Artikel doppelt im selben Lager; ",""))</f>
        <v/>
      </c>
      <c r="P713" s="47" t="n">
        <f aca="false">IF(OR($A713="",D713=""),0,IF(COUNTIF($D$2:D713,D713)=1,SUMIF($D$2:$D$5001,D713,$H$2:$H$5001)+ROW()/10000000,0))</f>
        <v>0</v>
      </c>
      <c r="Q713" s="47" t="n">
        <f aca="false">IF(OR($A713="",C713=""),0,IF(COUNTIF($C$2:C713,C713)=1,SUMIF($C$2:$C$5001,C713,$H$2:$H$5001)+ROW()/10000000,0))</f>
        <v>0</v>
      </c>
    </row>
    <row r="714" customFormat="false" ht="15" hidden="false" customHeight="false" outlineLevel="0" collapsed="false">
      <c r="A714" s="43"/>
      <c r="B714" s="44"/>
      <c r="C714" s="44"/>
      <c r="D714" s="44"/>
      <c r="E714" s="44"/>
      <c r="F714" s="44"/>
      <c r="G714" s="44"/>
      <c r="H714" s="46" t="str">
        <f aca="false">IF($A714="","",IF(OR(NOT(ISNUMBER(E714)),NOT(ISNUMBER(F714))),"",MAX(0,E714)*F714))</f>
        <v/>
      </c>
      <c r="I714" s="46" t="str">
        <f aca="false">IF($A714="","",SUMIF($A$2:$A$5001,$A714,$H$2:$H$5001))</f>
        <v/>
      </c>
      <c r="J714" s="47" t="n">
        <f aca="false">IF($A714="",0,IF(COUNTIF($A$2:A714,$A714)=1,1,0))</f>
        <v>0</v>
      </c>
      <c r="K714" s="47" t="n">
        <f aca="false">IF(J714=1,N(I714)+ROW()/10000000,0)</f>
        <v>0</v>
      </c>
      <c r="L714" s="47" t="str">
        <f aca="false">IF(AND(J714=1,N(I714)&gt;0),SUMIF($K$2:$K$5001,"&gt;="&amp;K714,$I$2:$I$5001)/MAX(1,SUM($H$2:$H$5001)),"")</f>
        <v/>
      </c>
      <c r="M714" s="47" t="str">
        <f aca="false">IF($A714="","",INDEX($L$2:$L$5001,MATCH($A714,$A$2:$A$5001,0)))</f>
        <v/>
      </c>
      <c r="N714" s="48" t="str">
        <f aca="false">IF($A714="","",IF(N(M714)=0,"–",IF(M714&lt;=Start!$D$20,"A",IF(M714&lt;=Start!$D$21,"B","C"))))</f>
        <v/>
      </c>
      <c r="O714" s="48" t="str">
        <f aca="false">IF($A714="","",IF(NOT(ISNUMBER(F714)),"Wert fehlt; ",IF(F714&lt;=0,"Wert ist 0; ",""))&amp;IF(NOT(ISNUMBER(E714)),"Bestand fehlt; ",IF(E714&lt;0,"Bestand negativ; ",IF(E714=0,"Nullbestand; ","")))&amp;IF(D714="","Warengruppe fehlt; ","")&amp;IF(B714="","Bezeichnung fehlt; ","")&amp;IF(COUNTIFS($A$2:$A$5001,$A714,$C$2:$C$5001,C714)&gt;1,"Artikel doppelt im selben Lager; ",""))</f>
        <v/>
      </c>
      <c r="P714" s="47" t="n">
        <f aca="false">IF(OR($A714="",D714=""),0,IF(COUNTIF($D$2:D714,D714)=1,SUMIF($D$2:$D$5001,D714,$H$2:$H$5001)+ROW()/10000000,0))</f>
        <v>0</v>
      </c>
      <c r="Q714" s="47" t="n">
        <f aca="false">IF(OR($A714="",C714=""),0,IF(COUNTIF($C$2:C714,C714)=1,SUMIF($C$2:$C$5001,C714,$H$2:$H$5001)+ROW()/10000000,0))</f>
        <v>0</v>
      </c>
    </row>
    <row r="715" customFormat="false" ht="15" hidden="false" customHeight="false" outlineLevel="0" collapsed="false">
      <c r="A715" s="43"/>
      <c r="B715" s="44"/>
      <c r="C715" s="44"/>
      <c r="D715" s="44"/>
      <c r="E715" s="44"/>
      <c r="F715" s="44"/>
      <c r="G715" s="44"/>
      <c r="H715" s="46" t="str">
        <f aca="false">IF($A715="","",IF(OR(NOT(ISNUMBER(E715)),NOT(ISNUMBER(F715))),"",MAX(0,E715)*F715))</f>
        <v/>
      </c>
      <c r="I715" s="46" t="str">
        <f aca="false">IF($A715="","",SUMIF($A$2:$A$5001,$A715,$H$2:$H$5001))</f>
        <v/>
      </c>
      <c r="J715" s="47" t="n">
        <f aca="false">IF($A715="",0,IF(COUNTIF($A$2:A715,$A715)=1,1,0))</f>
        <v>0</v>
      </c>
      <c r="K715" s="47" t="n">
        <f aca="false">IF(J715=1,N(I715)+ROW()/10000000,0)</f>
        <v>0</v>
      </c>
      <c r="L715" s="47" t="str">
        <f aca="false">IF(AND(J715=1,N(I715)&gt;0),SUMIF($K$2:$K$5001,"&gt;="&amp;K715,$I$2:$I$5001)/MAX(1,SUM($H$2:$H$5001)),"")</f>
        <v/>
      </c>
      <c r="M715" s="47" t="str">
        <f aca="false">IF($A715="","",INDEX($L$2:$L$5001,MATCH($A715,$A$2:$A$5001,0)))</f>
        <v/>
      </c>
      <c r="N715" s="48" t="str">
        <f aca="false">IF($A715="","",IF(N(M715)=0,"–",IF(M715&lt;=Start!$D$20,"A",IF(M715&lt;=Start!$D$21,"B","C"))))</f>
        <v/>
      </c>
      <c r="O715" s="48" t="str">
        <f aca="false">IF($A715="","",IF(NOT(ISNUMBER(F715)),"Wert fehlt; ",IF(F715&lt;=0,"Wert ist 0; ",""))&amp;IF(NOT(ISNUMBER(E715)),"Bestand fehlt; ",IF(E715&lt;0,"Bestand negativ; ",IF(E715=0,"Nullbestand; ","")))&amp;IF(D715="","Warengruppe fehlt; ","")&amp;IF(B715="","Bezeichnung fehlt; ","")&amp;IF(COUNTIFS($A$2:$A$5001,$A715,$C$2:$C$5001,C715)&gt;1,"Artikel doppelt im selben Lager; ",""))</f>
        <v/>
      </c>
      <c r="P715" s="47" t="n">
        <f aca="false">IF(OR($A715="",D715=""),0,IF(COUNTIF($D$2:D715,D715)=1,SUMIF($D$2:$D$5001,D715,$H$2:$H$5001)+ROW()/10000000,0))</f>
        <v>0</v>
      </c>
      <c r="Q715" s="47" t="n">
        <f aca="false">IF(OR($A715="",C715=""),0,IF(COUNTIF($C$2:C715,C715)=1,SUMIF($C$2:$C$5001,C715,$H$2:$H$5001)+ROW()/10000000,0))</f>
        <v>0</v>
      </c>
    </row>
    <row r="716" customFormat="false" ht="15" hidden="false" customHeight="false" outlineLevel="0" collapsed="false">
      <c r="A716" s="43"/>
      <c r="B716" s="44"/>
      <c r="C716" s="44"/>
      <c r="D716" s="44"/>
      <c r="E716" s="44"/>
      <c r="F716" s="44"/>
      <c r="G716" s="44"/>
      <c r="H716" s="46" t="str">
        <f aca="false">IF($A716="","",IF(OR(NOT(ISNUMBER(E716)),NOT(ISNUMBER(F716))),"",MAX(0,E716)*F716))</f>
        <v/>
      </c>
      <c r="I716" s="46" t="str">
        <f aca="false">IF($A716="","",SUMIF($A$2:$A$5001,$A716,$H$2:$H$5001))</f>
        <v/>
      </c>
      <c r="J716" s="47" t="n">
        <f aca="false">IF($A716="",0,IF(COUNTIF($A$2:A716,$A716)=1,1,0))</f>
        <v>0</v>
      </c>
      <c r="K716" s="47" t="n">
        <f aca="false">IF(J716=1,N(I716)+ROW()/10000000,0)</f>
        <v>0</v>
      </c>
      <c r="L716" s="47" t="str">
        <f aca="false">IF(AND(J716=1,N(I716)&gt;0),SUMIF($K$2:$K$5001,"&gt;="&amp;K716,$I$2:$I$5001)/MAX(1,SUM($H$2:$H$5001)),"")</f>
        <v/>
      </c>
      <c r="M716" s="47" t="str">
        <f aca="false">IF($A716="","",INDEX($L$2:$L$5001,MATCH($A716,$A$2:$A$5001,0)))</f>
        <v/>
      </c>
      <c r="N716" s="48" t="str">
        <f aca="false">IF($A716="","",IF(N(M716)=0,"–",IF(M716&lt;=Start!$D$20,"A",IF(M716&lt;=Start!$D$21,"B","C"))))</f>
        <v/>
      </c>
      <c r="O716" s="48" t="str">
        <f aca="false">IF($A716="","",IF(NOT(ISNUMBER(F716)),"Wert fehlt; ",IF(F716&lt;=0,"Wert ist 0; ",""))&amp;IF(NOT(ISNUMBER(E716)),"Bestand fehlt; ",IF(E716&lt;0,"Bestand negativ; ",IF(E716=0,"Nullbestand; ","")))&amp;IF(D716="","Warengruppe fehlt; ","")&amp;IF(B716="","Bezeichnung fehlt; ","")&amp;IF(COUNTIFS($A$2:$A$5001,$A716,$C$2:$C$5001,C716)&gt;1,"Artikel doppelt im selben Lager; ",""))</f>
        <v/>
      </c>
      <c r="P716" s="47" t="n">
        <f aca="false">IF(OR($A716="",D716=""),0,IF(COUNTIF($D$2:D716,D716)=1,SUMIF($D$2:$D$5001,D716,$H$2:$H$5001)+ROW()/10000000,0))</f>
        <v>0</v>
      </c>
      <c r="Q716" s="47" t="n">
        <f aca="false">IF(OR($A716="",C716=""),0,IF(COUNTIF($C$2:C716,C716)=1,SUMIF($C$2:$C$5001,C716,$H$2:$H$5001)+ROW()/10000000,0))</f>
        <v>0</v>
      </c>
    </row>
    <row r="717" customFormat="false" ht="15" hidden="false" customHeight="false" outlineLevel="0" collapsed="false">
      <c r="A717" s="43"/>
      <c r="B717" s="44"/>
      <c r="C717" s="44"/>
      <c r="D717" s="44"/>
      <c r="E717" s="44"/>
      <c r="F717" s="44"/>
      <c r="G717" s="44"/>
      <c r="H717" s="46" t="str">
        <f aca="false">IF($A717="","",IF(OR(NOT(ISNUMBER(E717)),NOT(ISNUMBER(F717))),"",MAX(0,E717)*F717))</f>
        <v/>
      </c>
      <c r="I717" s="46" t="str">
        <f aca="false">IF($A717="","",SUMIF($A$2:$A$5001,$A717,$H$2:$H$5001))</f>
        <v/>
      </c>
      <c r="J717" s="47" t="n">
        <f aca="false">IF($A717="",0,IF(COUNTIF($A$2:A717,$A717)=1,1,0))</f>
        <v>0</v>
      </c>
      <c r="K717" s="47" t="n">
        <f aca="false">IF(J717=1,N(I717)+ROW()/10000000,0)</f>
        <v>0</v>
      </c>
      <c r="L717" s="47" t="str">
        <f aca="false">IF(AND(J717=1,N(I717)&gt;0),SUMIF($K$2:$K$5001,"&gt;="&amp;K717,$I$2:$I$5001)/MAX(1,SUM($H$2:$H$5001)),"")</f>
        <v/>
      </c>
      <c r="M717" s="47" t="str">
        <f aca="false">IF($A717="","",INDEX($L$2:$L$5001,MATCH($A717,$A$2:$A$5001,0)))</f>
        <v/>
      </c>
      <c r="N717" s="48" t="str">
        <f aca="false">IF($A717="","",IF(N(M717)=0,"–",IF(M717&lt;=Start!$D$20,"A",IF(M717&lt;=Start!$D$21,"B","C"))))</f>
        <v/>
      </c>
      <c r="O717" s="48" t="str">
        <f aca="false">IF($A717="","",IF(NOT(ISNUMBER(F717)),"Wert fehlt; ",IF(F717&lt;=0,"Wert ist 0; ",""))&amp;IF(NOT(ISNUMBER(E717)),"Bestand fehlt; ",IF(E717&lt;0,"Bestand negativ; ",IF(E717=0,"Nullbestand; ","")))&amp;IF(D717="","Warengruppe fehlt; ","")&amp;IF(B717="","Bezeichnung fehlt; ","")&amp;IF(COUNTIFS($A$2:$A$5001,$A717,$C$2:$C$5001,C717)&gt;1,"Artikel doppelt im selben Lager; ",""))</f>
        <v/>
      </c>
      <c r="P717" s="47" t="n">
        <f aca="false">IF(OR($A717="",D717=""),0,IF(COUNTIF($D$2:D717,D717)=1,SUMIF($D$2:$D$5001,D717,$H$2:$H$5001)+ROW()/10000000,0))</f>
        <v>0</v>
      </c>
      <c r="Q717" s="47" t="n">
        <f aca="false">IF(OR($A717="",C717=""),0,IF(COUNTIF($C$2:C717,C717)=1,SUMIF($C$2:$C$5001,C717,$H$2:$H$5001)+ROW()/10000000,0))</f>
        <v>0</v>
      </c>
    </row>
    <row r="718" customFormat="false" ht="15" hidden="false" customHeight="false" outlineLevel="0" collapsed="false">
      <c r="A718" s="43"/>
      <c r="B718" s="44"/>
      <c r="C718" s="44"/>
      <c r="D718" s="44"/>
      <c r="E718" s="44"/>
      <c r="F718" s="44"/>
      <c r="G718" s="44"/>
      <c r="H718" s="46" t="str">
        <f aca="false">IF($A718="","",IF(OR(NOT(ISNUMBER(E718)),NOT(ISNUMBER(F718))),"",MAX(0,E718)*F718))</f>
        <v/>
      </c>
      <c r="I718" s="46" t="str">
        <f aca="false">IF($A718="","",SUMIF($A$2:$A$5001,$A718,$H$2:$H$5001))</f>
        <v/>
      </c>
      <c r="J718" s="47" t="n">
        <f aca="false">IF($A718="",0,IF(COUNTIF($A$2:A718,$A718)=1,1,0))</f>
        <v>0</v>
      </c>
      <c r="K718" s="47" t="n">
        <f aca="false">IF(J718=1,N(I718)+ROW()/10000000,0)</f>
        <v>0</v>
      </c>
      <c r="L718" s="47" t="str">
        <f aca="false">IF(AND(J718=1,N(I718)&gt;0),SUMIF($K$2:$K$5001,"&gt;="&amp;K718,$I$2:$I$5001)/MAX(1,SUM($H$2:$H$5001)),"")</f>
        <v/>
      </c>
      <c r="M718" s="47" t="str">
        <f aca="false">IF($A718="","",INDEX($L$2:$L$5001,MATCH($A718,$A$2:$A$5001,0)))</f>
        <v/>
      </c>
      <c r="N718" s="48" t="str">
        <f aca="false">IF($A718="","",IF(N(M718)=0,"–",IF(M718&lt;=Start!$D$20,"A",IF(M718&lt;=Start!$D$21,"B","C"))))</f>
        <v/>
      </c>
      <c r="O718" s="48" t="str">
        <f aca="false">IF($A718="","",IF(NOT(ISNUMBER(F718)),"Wert fehlt; ",IF(F718&lt;=0,"Wert ist 0; ",""))&amp;IF(NOT(ISNUMBER(E718)),"Bestand fehlt; ",IF(E718&lt;0,"Bestand negativ; ",IF(E718=0,"Nullbestand; ","")))&amp;IF(D718="","Warengruppe fehlt; ","")&amp;IF(B718="","Bezeichnung fehlt; ","")&amp;IF(COUNTIFS($A$2:$A$5001,$A718,$C$2:$C$5001,C718)&gt;1,"Artikel doppelt im selben Lager; ",""))</f>
        <v/>
      </c>
      <c r="P718" s="47" t="n">
        <f aca="false">IF(OR($A718="",D718=""),0,IF(COUNTIF($D$2:D718,D718)=1,SUMIF($D$2:$D$5001,D718,$H$2:$H$5001)+ROW()/10000000,0))</f>
        <v>0</v>
      </c>
      <c r="Q718" s="47" t="n">
        <f aca="false">IF(OR($A718="",C718=""),0,IF(COUNTIF($C$2:C718,C718)=1,SUMIF($C$2:$C$5001,C718,$H$2:$H$5001)+ROW()/10000000,0))</f>
        <v>0</v>
      </c>
    </row>
    <row r="719" customFormat="false" ht="15" hidden="false" customHeight="false" outlineLevel="0" collapsed="false">
      <c r="A719" s="43"/>
      <c r="B719" s="44"/>
      <c r="C719" s="44"/>
      <c r="D719" s="44"/>
      <c r="E719" s="44"/>
      <c r="F719" s="44"/>
      <c r="G719" s="44"/>
      <c r="H719" s="46" t="str">
        <f aca="false">IF($A719="","",IF(OR(NOT(ISNUMBER(E719)),NOT(ISNUMBER(F719))),"",MAX(0,E719)*F719))</f>
        <v/>
      </c>
      <c r="I719" s="46" t="str">
        <f aca="false">IF($A719="","",SUMIF($A$2:$A$5001,$A719,$H$2:$H$5001))</f>
        <v/>
      </c>
      <c r="J719" s="47" t="n">
        <f aca="false">IF($A719="",0,IF(COUNTIF($A$2:A719,$A719)=1,1,0))</f>
        <v>0</v>
      </c>
      <c r="K719" s="47" t="n">
        <f aca="false">IF(J719=1,N(I719)+ROW()/10000000,0)</f>
        <v>0</v>
      </c>
      <c r="L719" s="47" t="str">
        <f aca="false">IF(AND(J719=1,N(I719)&gt;0),SUMIF($K$2:$K$5001,"&gt;="&amp;K719,$I$2:$I$5001)/MAX(1,SUM($H$2:$H$5001)),"")</f>
        <v/>
      </c>
      <c r="M719" s="47" t="str">
        <f aca="false">IF($A719="","",INDEX($L$2:$L$5001,MATCH($A719,$A$2:$A$5001,0)))</f>
        <v/>
      </c>
      <c r="N719" s="48" t="str">
        <f aca="false">IF($A719="","",IF(N(M719)=0,"–",IF(M719&lt;=Start!$D$20,"A",IF(M719&lt;=Start!$D$21,"B","C"))))</f>
        <v/>
      </c>
      <c r="O719" s="48" t="str">
        <f aca="false">IF($A719="","",IF(NOT(ISNUMBER(F719)),"Wert fehlt; ",IF(F719&lt;=0,"Wert ist 0; ",""))&amp;IF(NOT(ISNUMBER(E719)),"Bestand fehlt; ",IF(E719&lt;0,"Bestand negativ; ",IF(E719=0,"Nullbestand; ","")))&amp;IF(D719="","Warengruppe fehlt; ","")&amp;IF(B719="","Bezeichnung fehlt; ","")&amp;IF(COUNTIFS($A$2:$A$5001,$A719,$C$2:$C$5001,C719)&gt;1,"Artikel doppelt im selben Lager; ",""))</f>
        <v/>
      </c>
      <c r="P719" s="47" t="n">
        <f aca="false">IF(OR($A719="",D719=""),0,IF(COUNTIF($D$2:D719,D719)=1,SUMIF($D$2:$D$5001,D719,$H$2:$H$5001)+ROW()/10000000,0))</f>
        <v>0</v>
      </c>
      <c r="Q719" s="47" t="n">
        <f aca="false">IF(OR($A719="",C719=""),0,IF(COUNTIF($C$2:C719,C719)=1,SUMIF($C$2:$C$5001,C719,$H$2:$H$5001)+ROW()/10000000,0))</f>
        <v>0</v>
      </c>
    </row>
    <row r="720" customFormat="false" ht="15" hidden="false" customHeight="false" outlineLevel="0" collapsed="false">
      <c r="A720" s="43"/>
      <c r="B720" s="44"/>
      <c r="C720" s="44"/>
      <c r="D720" s="44"/>
      <c r="E720" s="44"/>
      <c r="F720" s="44"/>
      <c r="G720" s="44"/>
      <c r="H720" s="46" t="str">
        <f aca="false">IF($A720="","",IF(OR(NOT(ISNUMBER(E720)),NOT(ISNUMBER(F720))),"",MAX(0,E720)*F720))</f>
        <v/>
      </c>
      <c r="I720" s="46" t="str">
        <f aca="false">IF($A720="","",SUMIF($A$2:$A$5001,$A720,$H$2:$H$5001))</f>
        <v/>
      </c>
      <c r="J720" s="47" t="n">
        <f aca="false">IF($A720="",0,IF(COUNTIF($A$2:A720,$A720)=1,1,0))</f>
        <v>0</v>
      </c>
      <c r="K720" s="47" t="n">
        <f aca="false">IF(J720=1,N(I720)+ROW()/10000000,0)</f>
        <v>0</v>
      </c>
      <c r="L720" s="47" t="str">
        <f aca="false">IF(AND(J720=1,N(I720)&gt;0),SUMIF($K$2:$K$5001,"&gt;="&amp;K720,$I$2:$I$5001)/MAX(1,SUM($H$2:$H$5001)),"")</f>
        <v/>
      </c>
      <c r="M720" s="47" t="str">
        <f aca="false">IF($A720="","",INDEX($L$2:$L$5001,MATCH($A720,$A$2:$A$5001,0)))</f>
        <v/>
      </c>
      <c r="N720" s="48" t="str">
        <f aca="false">IF($A720="","",IF(N(M720)=0,"–",IF(M720&lt;=Start!$D$20,"A",IF(M720&lt;=Start!$D$21,"B","C"))))</f>
        <v/>
      </c>
      <c r="O720" s="48" t="str">
        <f aca="false">IF($A720="","",IF(NOT(ISNUMBER(F720)),"Wert fehlt; ",IF(F720&lt;=0,"Wert ist 0; ",""))&amp;IF(NOT(ISNUMBER(E720)),"Bestand fehlt; ",IF(E720&lt;0,"Bestand negativ; ",IF(E720=0,"Nullbestand; ","")))&amp;IF(D720="","Warengruppe fehlt; ","")&amp;IF(B720="","Bezeichnung fehlt; ","")&amp;IF(COUNTIFS($A$2:$A$5001,$A720,$C$2:$C$5001,C720)&gt;1,"Artikel doppelt im selben Lager; ",""))</f>
        <v/>
      </c>
      <c r="P720" s="47" t="n">
        <f aca="false">IF(OR($A720="",D720=""),0,IF(COUNTIF($D$2:D720,D720)=1,SUMIF($D$2:$D$5001,D720,$H$2:$H$5001)+ROW()/10000000,0))</f>
        <v>0</v>
      </c>
      <c r="Q720" s="47" t="n">
        <f aca="false">IF(OR($A720="",C720=""),0,IF(COUNTIF($C$2:C720,C720)=1,SUMIF($C$2:$C$5001,C720,$H$2:$H$5001)+ROW()/10000000,0))</f>
        <v>0</v>
      </c>
    </row>
    <row r="721" customFormat="false" ht="15" hidden="false" customHeight="false" outlineLevel="0" collapsed="false">
      <c r="A721" s="43"/>
      <c r="B721" s="44"/>
      <c r="C721" s="44"/>
      <c r="D721" s="44"/>
      <c r="E721" s="44"/>
      <c r="F721" s="44"/>
      <c r="G721" s="44"/>
      <c r="H721" s="46" t="str">
        <f aca="false">IF($A721="","",IF(OR(NOT(ISNUMBER(E721)),NOT(ISNUMBER(F721))),"",MAX(0,E721)*F721))</f>
        <v/>
      </c>
      <c r="I721" s="46" t="str">
        <f aca="false">IF($A721="","",SUMIF($A$2:$A$5001,$A721,$H$2:$H$5001))</f>
        <v/>
      </c>
      <c r="J721" s="47" t="n">
        <f aca="false">IF($A721="",0,IF(COUNTIF($A$2:A721,$A721)=1,1,0))</f>
        <v>0</v>
      </c>
      <c r="K721" s="47" t="n">
        <f aca="false">IF(J721=1,N(I721)+ROW()/10000000,0)</f>
        <v>0</v>
      </c>
      <c r="L721" s="47" t="str">
        <f aca="false">IF(AND(J721=1,N(I721)&gt;0),SUMIF($K$2:$K$5001,"&gt;="&amp;K721,$I$2:$I$5001)/MAX(1,SUM($H$2:$H$5001)),"")</f>
        <v/>
      </c>
      <c r="M721" s="47" t="str">
        <f aca="false">IF($A721="","",INDEX($L$2:$L$5001,MATCH($A721,$A$2:$A$5001,0)))</f>
        <v/>
      </c>
      <c r="N721" s="48" t="str">
        <f aca="false">IF($A721="","",IF(N(M721)=0,"–",IF(M721&lt;=Start!$D$20,"A",IF(M721&lt;=Start!$D$21,"B","C"))))</f>
        <v/>
      </c>
      <c r="O721" s="48" t="str">
        <f aca="false">IF($A721="","",IF(NOT(ISNUMBER(F721)),"Wert fehlt; ",IF(F721&lt;=0,"Wert ist 0; ",""))&amp;IF(NOT(ISNUMBER(E721)),"Bestand fehlt; ",IF(E721&lt;0,"Bestand negativ; ",IF(E721=0,"Nullbestand; ","")))&amp;IF(D721="","Warengruppe fehlt; ","")&amp;IF(B721="","Bezeichnung fehlt; ","")&amp;IF(COUNTIFS($A$2:$A$5001,$A721,$C$2:$C$5001,C721)&gt;1,"Artikel doppelt im selben Lager; ",""))</f>
        <v/>
      </c>
      <c r="P721" s="47" t="n">
        <f aca="false">IF(OR($A721="",D721=""),0,IF(COUNTIF($D$2:D721,D721)=1,SUMIF($D$2:$D$5001,D721,$H$2:$H$5001)+ROW()/10000000,0))</f>
        <v>0</v>
      </c>
      <c r="Q721" s="47" t="n">
        <f aca="false">IF(OR($A721="",C721=""),0,IF(COUNTIF($C$2:C721,C721)=1,SUMIF($C$2:$C$5001,C721,$H$2:$H$5001)+ROW()/10000000,0))</f>
        <v>0</v>
      </c>
    </row>
    <row r="722" customFormat="false" ht="15" hidden="false" customHeight="false" outlineLevel="0" collapsed="false">
      <c r="A722" s="43"/>
      <c r="B722" s="44"/>
      <c r="C722" s="44"/>
      <c r="D722" s="44"/>
      <c r="E722" s="44"/>
      <c r="F722" s="44"/>
      <c r="G722" s="44"/>
      <c r="H722" s="46" t="str">
        <f aca="false">IF($A722="","",IF(OR(NOT(ISNUMBER(E722)),NOT(ISNUMBER(F722))),"",MAX(0,E722)*F722))</f>
        <v/>
      </c>
      <c r="I722" s="46" t="str">
        <f aca="false">IF($A722="","",SUMIF($A$2:$A$5001,$A722,$H$2:$H$5001))</f>
        <v/>
      </c>
      <c r="J722" s="47" t="n">
        <f aca="false">IF($A722="",0,IF(COUNTIF($A$2:A722,$A722)=1,1,0))</f>
        <v>0</v>
      </c>
      <c r="K722" s="47" t="n">
        <f aca="false">IF(J722=1,N(I722)+ROW()/10000000,0)</f>
        <v>0</v>
      </c>
      <c r="L722" s="47" t="str">
        <f aca="false">IF(AND(J722=1,N(I722)&gt;0),SUMIF($K$2:$K$5001,"&gt;="&amp;K722,$I$2:$I$5001)/MAX(1,SUM($H$2:$H$5001)),"")</f>
        <v/>
      </c>
      <c r="M722" s="47" t="str">
        <f aca="false">IF($A722="","",INDEX($L$2:$L$5001,MATCH($A722,$A$2:$A$5001,0)))</f>
        <v/>
      </c>
      <c r="N722" s="48" t="str">
        <f aca="false">IF($A722="","",IF(N(M722)=0,"–",IF(M722&lt;=Start!$D$20,"A",IF(M722&lt;=Start!$D$21,"B","C"))))</f>
        <v/>
      </c>
      <c r="O722" s="48" t="str">
        <f aca="false">IF($A722="","",IF(NOT(ISNUMBER(F722)),"Wert fehlt; ",IF(F722&lt;=0,"Wert ist 0; ",""))&amp;IF(NOT(ISNUMBER(E722)),"Bestand fehlt; ",IF(E722&lt;0,"Bestand negativ; ",IF(E722=0,"Nullbestand; ","")))&amp;IF(D722="","Warengruppe fehlt; ","")&amp;IF(B722="","Bezeichnung fehlt; ","")&amp;IF(COUNTIFS($A$2:$A$5001,$A722,$C$2:$C$5001,C722)&gt;1,"Artikel doppelt im selben Lager; ",""))</f>
        <v/>
      </c>
      <c r="P722" s="47" t="n">
        <f aca="false">IF(OR($A722="",D722=""),0,IF(COUNTIF($D$2:D722,D722)=1,SUMIF($D$2:$D$5001,D722,$H$2:$H$5001)+ROW()/10000000,0))</f>
        <v>0</v>
      </c>
      <c r="Q722" s="47" t="n">
        <f aca="false">IF(OR($A722="",C722=""),0,IF(COUNTIF($C$2:C722,C722)=1,SUMIF($C$2:$C$5001,C722,$H$2:$H$5001)+ROW()/10000000,0))</f>
        <v>0</v>
      </c>
    </row>
    <row r="723" customFormat="false" ht="15" hidden="false" customHeight="false" outlineLevel="0" collapsed="false">
      <c r="A723" s="43"/>
      <c r="B723" s="44"/>
      <c r="C723" s="44"/>
      <c r="D723" s="44"/>
      <c r="E723" s="44"/>
      <c r="F723" s="44"/>
      <c r="G723" s="44"/>
      <c r="H723" s="46" t="str">
        <f aca="false">IF($A723="","",IF(OR(NOT(ISNUMBER(E723)),NOT(ISNUMBER(F723))),"",MAX(0,E723)*F723))</f>
        <v/>
      </c>
      <c r="I723" s="46" t="str">
        <f aca="false">IF($A723="","",SUMIF($A$2:$A$5001,$A723,$H$2:$H$5001))</f>
        <v/>
      </c>
      <c r="J723" s="47" t="n">
        <f aca="false">IF($A723="",0,IF(COUNTIF($A$2:A723,$A723)=1,1,0))</f>
        <v>0</v>
      </c>
      <c r="K723" s="47" t="n">
        <f aca="false">IF(J723=1,N(I723)+ROW()/10000000,0)</f>
        <v>0</v>
      </c>
      <c r="L723" s="47" t="str">
        <f aca="false">IF(AND(J723=1,N(I723)&gt;0),SUMIF($K$2:$K$5001,"&gt;="&amp;K723,$I$2:$I$5001)/MAX(1,SUM($H$2:$H$5001)),"")</f>
        <v/>
      </c>
      <c r="M723" s="47" t="str">
        <f aca="false">IF($A723="","",INDEX($L$2:$L$5001,MATCH($A723,$A$2:$A$5001,0)))</f>
        <v/>
      </c>
      <c r="N723" s="48" t="str">
        <f aca="false">IF($A723="","",IF(N(M723)=0,"–",IF(M723&lt;=Start!$D$20,"A",IF(M723&lt;=Start!$D$21,"B","C"))))</f>
        <v/>
      </c>
      <c r="O723" s="48" t="str">
        <f aca="false">IF($A723="","",IF(NOT(ISNUMBER(F723)),"Wert fehlt; ",IF(F723&lt;=0,"Wert ist 0; ",""))&amp;IF(NOT(ISNUMBER(E723)),"Bestand fehlt; ",IF(E723&lt;0,"Bestand negativ; ",IF(E723=0,"Nullbestand; ","")))&amp;IF(D723="","Warengruppe fehlt; ","")&amp;IF(B723="","Bezeichnung fehlt; ","")&amp;IF(COUNTIFS($A$2:$A$5001,$A723,$C$2:$C$5001,C723)&gt;1,"Artikel doppelt im selben Lager; ",""))</f>
        <v/>
      </c>
      <c r="P723" s="47" t="n">
        <f aca="false">IF(OR($A723="",D723=""),0,IF(COUNTIF($D$2:D723,D723)=1,SUMIF($D$2:$D$5001,D723,$H$2:$H$5001)+ROW()/10000000,0))</f>
        <v>0</v>
      </c>
      <c r="Q723" s="47" t="n">
        <f aca="false">IF(OR($A723="",C723=""),0,IF(COUNTIF($C$2:C723,C723)=1,SUMIF($C$2:$C$5001,C723,$H$2:$H$5001)+ROW()/10000000,0))</f>
        <v>0</v>
      </c>
    </row>
    <row r="724" customFormat="false" ht="15" hidden="false" customHeight="false" outlineLevel="0" collapsed="false">
      <c r="A724" s="43"/>
      <c r="B724" s="44"/>
      <c r="C724" s="44"/>
      <c r="D724" s="44"/>
      <c r="E724" s="44"/>
      <c r="F724" s="44"/>
      <c r="G724" s="44"/>
      <c r="H724" s="46" t="str">
        <f aca="false">IF($A724="","",IF(OR(NOT(ISNUMBER(E724)),NOT(ISNUMBER(F724))),"",MAX(0,E724)*F724))</f>
        <v/>
      </c>
      <c r="I724" s="46" t="str">
        <f aca="false">IF($A724="","",SUMIF($A$2:$A$5001,$A724,$H$2:$H$5001))</f>
        <v/>
      </c>
      <c r="J724" s="47" t="n">
        <f aca="false">IF($A724="",0,IF(COUNTIF($A$2:A724,$A724)=1,1,0))</f>
        <v>0</v>
      </c>
      <c r="K724" s="47" t="n">
        <f aca="false">IF(J724=1,N(I724)+ROW()/10000000,0)</f>
        <v>0</v>
      </c>
      <c r="L724" s="47" t="str">
        <f aca="false">IF(AND(J724=1,N(I724)&gt;0),SUMIF($K$2:$K$5001,"&gt;="&amp;K724,$I$2:$I$5001)/MAX(1,SUM($H$2:$H$5001)),"")</f>
        <v/>
      </c>
      <c r="M724" s="47" t="str">
        <f aca="false">IF($A724="","",INDEX($L$2:$L$5001,MATCH($A724,$A$2:$A$5001,0)))</f>
        <v/>
      </c>
      <c r="N724" s="48" t="str">
        <f aca="false">IF($A724="","",IF(N(M724)=0,"–",IF(M724&lt;=Start!$D$20,"A",IF(M724&lt;=Start!$D$21,"B","C"))))</f>
        <v/>
      </c>
      <c r="O724" s="48" t="str">
        <f aca="false">IF($A724="","",IF(NOT(ISNUMBER(F724)),"Wert fehlt; ",IF(F724&lt;=0,"Wert ist 0; ",""))&amp;IF(NOT(ISNUMBER(E724)),"Bestand fehlt; ",IF(E724&lt;0,"Bestand negativ; ",IF(E724=0,"Nullbestand; ","")))&amp;IF(D724="","Warengruppe fehlt; ","")&amp;IF(B724="","Bezeichnung fehlt; ","")&amp;IF(COUNTIFS($A$2:$A$5001,$A724,$C$2:$C$5001,C724)&gt;1,"Artikel doppelt im selben Lager; ",""))</f>
        <v/>
      </c>
      <c r="P724" s="47" t="n">
        <f aca="false">IF(OR($A724="",D724=""),0,IF(COUNTIF($D$2:D724,D724)=1,SUMIF($D$2:$D$5001,D724,$H$2:$H$5001)+ROW()/10000000,0))</f>
        <v>0</v>
      </c>
      <c r="Q724" s="47" t="n">
        <f aca="false">IF(OR($A724="",C724=""),0,IF(COUNTIF($C$2:C724,C724)=1,SUMIF($C$2:$C$5001,C724,$H$2:$H$5001)+ROW()/10000000,0))</f>
        <v>0</v>
      </c>
    </row>
    <row r="725" customFormat="false" ht="15" hidden="false" customHeight="false" outlineLevel="0" collapsed="false">
      <c r="A725" s="43"/>
      <c r="B725" s="44"/>
      <c r="C725" s="44"/>
      <c r="D725" s="44"/>
      <c r="E725" s="44"/>
      <c r="F725" s="44"/>
      <c r="G725" s="44"/>
      <c r="H725" s="46" t="str">
        <f aca="false">IF($A725="","",IF(OR(NOT(ISNUMBER(E725)),NOT(ISNUMBER(F725))),"",MAX(0,E725)*F725))</f>
        <v/>
      </c>
      <c r="I725" s="46" t="str">
        <f aca="false">IF($A725="","",SUMIF($A$2:$A$5001,$A725,$H$2:$H$5001))</f>
        <v/>
      </c>
      <c r="J725" s="47" t="n">
        <f aca="false">IF($A725="",0,IF(COUNTIF($A$2:A725,$A725)=1,1,0))</f>
        <v>0</v>
      </c>
      <c r="K725" s="47" t="n">
        <f aca="false">IF(J725=1,N(I725)+ROW()/10000000,0)</f>
        <v>0</v>
      </c>
      <c r="L725" s="47" t="str">
        <f aca="false">IF(AND(J725=1,N(I725)&gt;0),SUMIF($K$2:$K$5001,"&gt;="&amp;K725,$I$2:$I$5001)/MAX(1,SUM($H$2:$H$5001)),"")</f>
        <v/>
      </c>
      <c r="M725" s="47" t="str">
        <f aca="false">IF($A725="","",INDEX($L$2:$L$5001,MATCH($A725,$A$2:$A$5001,0)))</f>
        <v/>
      </c>
      <c r="N725" s="48" t="str">
        <f aca="false">IF($A725="","",IF(N(M725)=0,"–",IF(M725&lt;=Start!$D$20,"A",IF(M725&lt;=Start!$D$21,"B","C"))))</f>
        <v/>
      </c>
      <c r="O725" s="48" t="str">
        <f aca="false">IF($A725="","",IF(NOT(ISNUMBER(F725)),"Wert fehlt; ",IF(F725&lt;=0,"Wert ist 0; ",""))&amp;IF(NOT(ISNUMBER(E725)),"Bestand fehlt; ",IF(E725&lt;0,"Bestand negativ; ",IF(E725=0,"Nullbestand; ","")))&amp;IF(D725="","Warengruppe fehlt; ","")&amp;IF(B725="","Bezeichnung fehlt; ","")&amp;IF(COUNTIFS($A$2:$A$5001,$A725,$C$2:$C$5001,C725)&gt;1,"Artikel doppelt im selben Lager; ",""))</f>
        <v/>
      </c>
      <c r="P725" s="47" t="n">
        <f aca="false">IF(OR($A725="",D725=""),0,IF(COUNTIF($D$2:D725,D725)=1,SUMIF($D$2:$D$5001,D725,$H$2:$H$5001)+ROW()/10000000,0))</f>
        <v>0</v>
      </c>
      <c r="Q725" s="47" t="n">
        <f aca="false">IF(OR($A725="",C725=""),0,IF(COUNTIF($C$2:C725,C725)=1,SUMIF($C$2:$C$5001,C725,$H$2:$H$5001)+ROW()/10000000,0))</f>
        <v>0</v>
      </c>
    </row>
    <row r="726" customFormat="false" ht="15" hidden="false" customHeight="false" outlineLevel="0" collapsed="false">
      <c r="A726" s="43"/>
      <c r="B726" s="44"/>
      <c r="C726" s="44"/>
      <c r="D726" s="44"/>
      <c r="E726" s="44"/>
      <c r="F726" s="44"/>
      <c r="G726" s="44"/>
      <c r="H726" s="46" t="str">
        <f aca="false">IF($A726="","",IF(OR(NOT(ISNUMBER(E726)),NOT(ISNUMBER(F726))),"",MAX(0,E726)*F726))</f>
        <v/>
      </c>
      <c r="I726" s="46" t="str">
        <f aca="false">IF($A726="","",SUMIF($A$2:$A$5001,$A726,$H$2:$H$5001))</f>
        <v/>
      </c>
      <c r="J726" s="47" t="n">
        <f aca="false">IF($A726="",0,IF(COUNTIF($A$2:A726,$A726)=1,1,0))</f>
        <v>0</v>
      </c>
      <c r="K726" s="47" t="n">
        <f aca="false">IF(J726=1,N(I726)+ROW()/10000000,0)</f>
        <v>0</v>
      </c>
      <c r="L726" s="47" t="str">
        <f aca="false">IF(AND(J726=1,N(I726)&gt;0),SUMIF($K$2:$K$5001,"&gt;="&amp;K726,$I$2:$I$5001)/MAX(1,SUM($H$2:$H$5001)),"")</f>
        <v/>
      </c>
      <c r="M726" s="47" t="str">
        <f aca="false">IF($A726="","",INDEX($L$2:$L$5001,MATCH($A726,$A$2:$A$5001,0)))</f>
        <v/>
      </c>
      <c r="N726" s="48" t="str">
        <f aca="false">IF($A726="","",IF(N(M726)=0,"–",IF(M726&lt;=Start!$D$20,"A",IF(M726&lt;=Start!$D$21,"B","C"))))</f>
        <v/>
      </c>
      <c r="O726" s="48" t="str">
        <f aca="false">IF($A726="","",IF(NOT(ISNUMBER(F726)),"Wert fehlt; ",IF(F726&lt;=0,"Wert ist 0; ",""))&amp;IF(NOT(ISNUMBER(E726)),"Bestand fehlt; ",IF(E726&lt;0,"Bestand negativ; ",IF(E726=0,"Nullbestand; ","")))&amp;IF(D726="","Warengruppe fehlt; ","")&amp;IF(B726="","Bezeichnung fehlt; ","")&amp;IF(COUNTIFS($A$2:$A$5001,$A726,$C$2:$C$5001,C726)&gt;1,"Artikel doppelt im selben Lager; ",""))</f>
        <v/>
      </c>
      <c r="P726" s="47" t="n">
        <f aca="false">IF(OR($A726="",D726=""),0,IF(COUNTIF($D$2:D726,D726)=1,SUMIF($D$2:$D$5001,D726,$H$2:$H$5001)+ROW()/10000000,0))</f>
        <v>0</v>
      </c>
      <c r="Q726" s="47" t="n">
        <f aca="false">IF(OR($A726="",C726=""),0,IF(COUNTIF($C$2:C726,C726)=1,SUMIF($C$2:$C$5001,C726,$H$2:$H$5001)+ROW()/10000000,0))</f>
        <v>0</v>
      </c>
    </row>
    <row r="727" customFormat="false" ht="15" hidden="false" customHeight="false" outlineLevel="0" collapsed="false">
      <c r="A727" s="43"/>
      <c r="B727" s="44"/>
      <c r="C727" s="44"/>
      <c r="D727" s="44"/>
      <c r="E727" s="44"/>
      <c r="F727" s="44"/>
      <c r="G727" s="44"/>
      <c r="H727" s="46" t="str">
        <f aca="false">IF($A727="","",IF(OR(NOT(ISNUMBER(E727)),NOT(ISNUMBER(F727))),"",MAX(0,E727)*F727))</f>
        <v/>
      </c>
      <c r="I727" s="46" t="str">
        <f aca="false">IF($A727="","",SUMIF($A$2:$A$5001,$A727,$H$2:$H$5001))</f>
        <v/>
      </c>
      <c r="J727" s="47" t="n">
        <f aca="false">IF($A727="",0,IF(COUNTIF($A$2:A727,$A727)=1,1,0))</f>
        <v>0</v>
      </c>
      <c r="K727" s="47" t="n">
        <f aca="false">IF(J727=1,N(I727)+ROW()/10000000,0)</f>
        <v>0</v>
      </c>
      <c r="L727" s="47" t="str">
        <f aca="false">IF(AND(J727=1,N(I727)&gt;0),SUMIF($K$2:$K$5001,"&gt;="&amp;K727,$I$2:$I$5001)/MAX(1,SUM($H$2:$H$5001)),"")</f>
        <v/>
      </c>
      <c r="M727" s="47" t="str">
        <f aca="false">IF($A727="","",INDEX($L$2:$L$5001,MATCH($A727,$A$2:$A$5001,0)))</f>
        <v/>
      </c>
      <c r="N727" s="48" t="str">
        <f aca="false">IF($A727="","",IF(N(M727)=0,"–",IF(M727&lt;=Start!$D$20,"A",IF(M727&lt;=Start!$D$21,"B","C"))))</f>
        <v/>
      </c>
      <c r="O727" s="48" t="str">
        <f aca="false">IF($A727="","",IF(NOT(ISNUMBER(F727)),"Wert fehlt; ",IF(F727&lt;=0,"Wert ist 0; ",""))&amp;IF(NOT(ISNUMBER(E727)),"Bestand fehlt; ",IF(E727&lt;0,"Bestand negativ; ",IF(E727=0,"Nullbestand; ","")))&amp;IF(D727="","Warengruppe fehlt; ","")&amp;IF(B727="","Bezeichnung fehlt; ","")&amp;IF(COUNTIFS($A$2:$A$5001,$A727,$C$2:$C$5001,C727)&gt;1,"Artikel doppelt im selben Lager; ",""))</f>
        <v/>
      </c>
      <c r="P727" s="47" t="n">
        <f aca="false">IF(OR($A727="",D727=""),0,IF(COUNTIF($D$2:D727,D727)=1,SUMIF($D$2:$D$5001,D727,$H$2:$H$5001)+ROW()/10000000,0))</f>
        <v>0</v>
      </c>
      <c r="Q727" s="47" t="n">
        <f aca="false">IF(OR($A727="",C727=""),0,IF(COUNTIF($C$2:C727,C727)=1,SUMIF($C$2:$C$5001,C727,$H$2:$H$5001)+ROW()/10000000,0))</f>
        <v>0</v>
      </c>
    </row>
    <row r="728" customFormat="false" ht="15" hidden="false" customHeight="false" outlineLevel="0" collapsed="false">
      <c r="A728" s="43"/>
      <c r="B728" s="44"/>
      <c r="C728" s="44"/>
      <c r="D728" s="44"/>
      <c r="E728" s="44"/>
      <c r="F728" s="44"/>
      <c r="G728" s="44"/>
      <c r="H728" s="46" t="str">
        <f aca="false">IF($A728="","",IF(OR(NOT(ISNUMBER(E728)),NOT(ISNUMBER(F728))),"",MAX(0,E728)*F728))</f>
        <v/>
      </c>
      <c r="I728" s="46" t="str">
        <f aca="false">IF($A728="","",SUMIF($A$2:$A$5001,$A728,$H$2:$H$5001))</f>
        <v/>
      </c>
      <c r="J728" s="47" t="n">
        <f aca="false">IF($A728="",0,IF(COUNTIF($A$2:A728,$A728)=1,1,0))</f>
        <v>0</v>
      </c>
      <c r="K728" s="47" t="n">
        <f aca="false">IF(J728=1,N(I728)+ROW()/10000000,0)</f>
        <v>0</v>
      </c>
      <c r="L728" s="47" t="str">
        <f aca="false">IF(AND(J728=1,N(I728)&gt;0),SUMIF($K$2:$K$5001,"&gt;="&amp;K728,$I$2:$I$5001)/MAX(1,SUM($H$2:$H$5001)),"")</f>
        <v/>
      </c>
      <c r="M728" s="47" t="str">
        <f aca="false">IF($A728="","",INDEX($L$2:$L$5001,MATCH($A728,$A$2:$A$5001,0)))</f>
        <v/>
      </c>
      <c r="N728" s="48" t="str">
        <f aca="false">IF($A728="","",IF(N(M728)=0,"–",IF(M728&lt;=Start!$D$20,"A",IF(M728&lt;=Start!$D$21,"B","C"))))</f>
        <v/>
      </c>
      <c r="O728" s="48" t="str">
        <f aca="false">IF($A728="","",IF(NOT(ISNUMBER(F728)),"Wert fehlt; ",IF(F728&lt;=0,"Wert ist 0; ",""))&amp;IF(NOT(ISNUMBER(E728)),"Bestand fehlt; ",IF(E728&lt;0,"Bestand negativ; ",IF(E728=0,"Nullbestand; ","")))&amp;IF(D728="","Warengruppe fehlt; ","")&amp;IF(B728="","Bezeichnung fehlt; ","")&amp;IF(COUNTIFS($A$2:$A$5001,$A728,$C$2:$C$5001,C728)&gt;1,"Artikel doppelt im selben Lager; ",""))</f>
        <v/>
      </c>
      <c r="P728" s="47" t="n">
        <f aca="false">IF(OR($A728="",D728=""),0,IF(COUNTIF($D$2:D728,D728)=1,SUMIF($D$2:$D$5001,D728,$H$2:$H$5001)+ROW()/10000000,0))</f>
        <v>0</v>
      </c>
      <c r="Q728" s="47" t="n">
        <f aca="false">IF(OR($A728="",C728=""),0,IF(COUNTIF($C$2:C728,C728)=1,SUMIF($C$2:$C$5001,C728,$H$2:$H$5001)+ROW()/10000000,0))</f>
        <v>0</v>
      </c>
    </row>
    <row r="729" customFormat="false" ht="15" hidden="false" customHeight="false" outlineLevel="0" collapsed="false">
      <c r="A729" s="43"/>
      <c r="B729" s="44"/>
      <c r="C729" s="44"/>
      <c r="D729" s="44"/>
      <c r="E729" s="44"/>
      <c r="F729" s="44"/>
      <c r="G729" s="44"/>
      <c r="H729" s="46" t="str">
        <f aca="false">IF($A729="","",IF(OR(NOT(ISNUMBER(E729)),NOT(ISNUMBER(F729))),"",MAX(0,E729)*F729))</f>
        <v/>
      </c>
      <c r="I729" s="46" t="str">
        <f aca="false">IF($A729="","",SUMIF($A$2:$A$5001,$A729,$H$2:$H$5001))</f>
        <v/>
      </c>
      <c r="J729" s="47" t="n">
        <f aca="false">IF($A729="",0,IF(COUNTIF($A$2:A729,$A729)=1,1,0))</f>
        <v>0</v>
      </c>
      <c r="K729" s="47" t="n">
        <f aca="false">IF(J729=1,N(I729)+ROW()/10000000,0)</f>
        <v>0</v>
      </c>
      <c r="L729" s="47" t="str">
        <f aca="false">IF(AND(J729=1,N(I729)&gt;0),SUMIF($K$2:$K$5001,"&gt;="&amp;K729,$I$2:$I$5001)/MAX(1,SUM($H$2:$H$5001)),"")</f>
        <v/>
      </c>
      <c r="M729" s="47" t="str">
        <f aca="false">IF($A729="","",INDEX($L$2:$L$5001,MATCH($A729,$A$2:$A$5001,0)))</f>
        <v/>
      </c>
      <c r="N729" s="48" t="str">
        <f aca="false">IF($A729="","",IF(N(M729)=0,"–",IF(M729&lt;=Start!$D$20,"A",IF(M729&lt;=Start!$D$21,"B","C"))))</f>
        <v/>
      </c>
      <c r="O729" s="48" t="str">
        <f aca="false">IF($A729="","",IF(NOT(ISNUMBER(F729)),"Wert fehlt; ",IF(F729&lt;=0,"Wert ist 0; ",""))&amp;IF(NOT(ISNUMBER(E729)),"Bestand fehlt; ",IF(E729&lt;0,"Bestand negativ; ",IF(E729=0,"Nullbestand; ","")))&amp;IF(D729="","Warengruppe fehlt; ","")&amp;IF(B729="","Bezeichnung fehlt; ","")&amp;IF(COUNTIFS($A$2:$A$5001,$A729,$C$2:$C$5001,C729)&gt;1,"Artikel doppelt im selben Lager; ",""))</f>
        <v/>
      </c>
      <c r="P729" s="47" t="n">
        <f aca="false">IF(OR($A729="",D729=""),0,IF(COUNTIF($D$2:D729,D729)=1,SUMIF($D$2:$D$5001,D729,$H$2:$H$5001)+ROW()/10000000,0))</f>
        <v>0</v>
      </c>
      <c r="Q729" s="47" t="n">
        <f aca="false">IF(OR($A729="",C729=""),0,IF(COUNTIF($C$2:C729,C729)=1,SUMIF($C$2:$C$5001,C729,$H$2:$H$5001)+ROW()/10000000,0))</f>
        <v>0</v>
      </c>
    </row>
    <row r="730" customFormat="false" ht="15" hidden="false" customHeight="false" outlineLevel="0" collapsed="false">
      <c r="A730" s="43"/>
      <c r="B730" s="44"/>
      <c r="C730" s="44"/>
      <c r="D730" s="44"/>
      <c r="E730" s="44"/>
      <c r="F730" s="44"/>
      <c r="G730" s="44"/>
      <c r="H730" s="46" t="str">
        <f aca="false">IF($A730="","",IF(OR(NOT(ISNUMBER(E730)),NOT(ISNUMBER(F730))),"",MAX(0,E730)*F730))</f>
        <v/>
      </c>
      <c r="I730" s="46" t="str">
        <f aca="false">IF($A730="","",SUMIF($A$2:$A$5001,$A730,$H$2:$H$5001))</f>
        <v/>
      </c>
      <c r="J730" s="47" t="n">
        <f aca="false">IF($A730="",0,IF(COUNTIF($A$2:A730,$A730)=1,1,0))</f>
        <v>0</v>
      </c>
      <c r="K730" s="47" t="n">
        <f aca="false">IF(J730=1,N(I730)+ROW()/10000000,0)</f>
        <v>0</v>
      </c>
      <c r="L730" s="47" t="str">
        <f aca="false">IF(AND(J730=1,N(I730)&gt;0),SUMIF($K$2:$K$5001,"&gt;="&amp;K730,$I$2:$I$5001)/MAX(1,SUM($H$2:$H$5001)),"")</f>
        <v/>
      </c>
      <c r="M730" s="47" t="str">
        <f aca="false">IF($A730="","",INDEX($L$2:$L$5001,MATCH($A730,$A$2:$A$5001,0)))</f>
        <v/>
      </c>
      <c r="N730" s="48" t="str">
        <f aca="false">IF($A730="","",IF(N(M730)=0,"–",IF(M730&lt;=Start!$D$20,"A",IF(M730&lt;=Start!$D$21,"B","C"))))</f>
        <v/>
      </c>
      <c r="O730" s="48" t="str">
        <f aca="false">IF($A730="","",IF(NOT(ISNUMBER(F730)),"Wert fehlt; ",IF(F730&lt;=0,"Wert ist 0; ",""))&amp;IF(NOT(ISNUMBER(E730)),"Bestand fehlt; ",IF(E730&lt;0,"Bestand negativ; ",IF(E730=0,"Nullbestand; ","")))&amp;IF(D730="","Warengruppe fehlt; ","")&amp;IF(B730="","Bezeichnung fehlt; ","")&amp;IF(COUNTIFS($A$2:$A$5001,$A730,$C$2:$C$5001,C730)&gt;1,"Artikel doppelt im selben Lager; ",""))</f>
        <v/>
      </c>
      <c r="P730" s="47" t="n">
        <f aca="false">IF(OR($A730="",D730=""),0,IF(COUNTIF($D$2:D730,D730)=1,SUMIF($D$2:$D$5001,D730,$H$2:$H$5001)+ROW()/10000000,0))</f>
        <v>0</v>
      </c>
      <c r="Q730" s="47" t="n">
        <f aca="false">IF(OR($A730="",C730=""),0,IF(COUNTIF($C$2:C730,C730)=1,SUMIF($C$2:$C$5001,C730,$H$2:$H$5001)+ROW()/10000000,0))</f>
        <v>0</v>
      </c>
    </row>
    <row r="731" customFormat="false" ht="15" hidden="false" customHeight="false" outlineLevel="0" collapsed="false">
      <c r="A731" s="43"/>
      <c r="B731" s="44"/>
      <c r="C731" s="44"/>
      <c r="D731" s="44"/>
      <c r="E731" s="44"/>
      <c r="F731" s="44"/>
      <c r="G731" s="44"/>
      <c r="H731" s="46" t="str">
        <f aca="false">IF($A731="","",IF(OR(NOT(ISNUMBER(E731)),NOT(ISNUMBER(F731))),"",MAX(0,E731)*F731))</f>
        <v/>
      </c>
      <c r="I731" s="46" t="str">
        <f aca="false">IF($A731="","",SUMIF($A$2:$A$5001,$A731,$H$2:$H$5001))</f>
        <v/>
      </c>
      <c r="J731" s="47" t="n">
        <f aca="false">IF($A731="",0,IF(COUNTIF($A$2:A731,$A731)=1,1,0))</f>
        <v>0</v>
      </c>
      <c r="K731" s="47" t="n">
        <f aca="false">IF(J731=1,N(I731)+ROW()/10000000,0)</f>
        <v>0</v>
      </c>
      <c r="L731" s="47" t="str">
        <f aca="false">IF(AND(J731=1,N(I731)&gt;0),SUMIF($K$2:$K$5001,"&gt;="&amp;K731,$I$2:$I$5001)/MAX(1,SUM($H$2:$H$5001)),"")</f>
        <v/>
      </c>
      <c r="M731" s="47" t="str">
        <f aca="false">IF($A731="","",INDEX($L$2:$L$5001,MATCH($A731,$A$2:$A$5001,0)))</f>
        <v/>
      </c>
      <c r="N731" s="48" t="str">
        <f aca="false">IF($A731="","",IF(N(M731)=0,"–",IF(M731&lt;=Start!$D$20,"A",IF(M731&lt;=Start!$D$21,"B","C"))))</f>
        <v/>
      </c>
      <c r="O731" s="48" t="str">
        <f aca="false">IF($A731="","",IF(NOT(ISNUMBER(F731)),"Wert fehlt; ",IF(F731&lt;=0,"Wert ist 0; ",""))&amp;IF(NOT(ISNUMBER(E731)),"Bestand fehlt; ",IF(E731&lt;0,"Bestand negativ; ",IF(E731=0,"Nullbestand; ","")))&amp;IF(D731="","Warengruppe fehlt; ","")&amp;IF(B731="","Bezeichnung fehlt; ","")&amp;IF(COUNTIFS($A$2:$A$5001,$A731,$C$2:$C$5001,C731)&gt;1,"Artikel doppelt im selben Lager; ",""))</f>
        <v/>
      </c>
      <c r="P731" s="47" t="n">
        <f aca="false">IF(OR($A731="",D731=""),0,IF(COUNTIF($D$2:D731,D731)=1,SUMIF($D$2:$D$5001,D731,$H$2:$H$5001)+ROW()/10000000,0))</f>
        <v>0</v>
      </c>
      <c r="Q731" s="47" t="n">
        <f aca="false">IF(OR($A731="",C731=""),0,IF(COUNTIF($C$2:C731,C731)=1,SUMIF($C$2:$C$5001,C731,$H$2:$H$5001)+ROW()/10000000,0))</f>
        <v>0</v>
      </c>
    </row>
    <row r="732" customFormat="false" ht="15" hidden="false" customHeight="false" outlineLevel="0" collapsed="false">
      <c r="A732" s="43"/>
      <c r="B732" s="44"/>
      <c r="C732" s="44"/>
      <c r="D732" s="44"/>
      <c r="E732" s="44"/>
      <c r="F732" s="44"/>
      <c r="G732" s="44"/>
      <c r="H732" s="46" t="str">
        <f aca="false">IF($A732="","",IF(OR(NOT(ISNUMBER(E732)),NOT(ISNUMBER(F732))),"",MAX(0,E732)*F732))</f>
        <v/>
      </c>
      <c r="I732" s="46" t="str">
        <f aca="false">IF($A732="","",SUMIF($A$2:$A$5001,$A732,$H$2:$H$5001))</f>
        <v/>
      </c>
      <c r="J732" s="47" t="n">
        <f aca="false">IF($A732="",0,IF(COUNTIF($A$2:A732,$A732)=1,1,0))</f>
        <v>0</v>
      </c>
      <c r="K732" s="47" t="n">
        <f aca="false">IF(J732=1,N(I732)+ROW()/10000000,0)</f>
        <v>0</v>
      </c>
      <c r="L732" s="47" t="str">
        <f aca="false">IF(AND(J732=1,N(I732)&gt;0),SUMIF($K$2:$K$5001,"&gt;="&amp;K732,$I$2:$I$5001)/MAX(1,SUM($H$2:$H$5001)),"")</f>
        <v/>
      </c>
      <c r="M732" s="47" t="str">
        <f aca="false">IF($A732="","",INDEX($L$2:$L$5001,MATCH($A732,$A$2:$A$5001,0)))</f>
        <v/>
      </c>
      <c r="N732" s="48" t="str">
        <f aca="false">IF($A732="","",IF(N(M732)=0,"–",IF(M732&lt;=Start!$D$20,"A",IF(M732&lt;=Start!$D$21,"B","C"))))</f>
        <v/>
      </c>
      <c r="O732" s="48" t="str">
        <f aca="false">IF($A732="","",IF(NOT(ISNUMBER(F732)),"Wert fehlt; ",IF(F732&lt;=0,"Wert ist 0; ",""))&amp;IF(NOT(ISNUMBER(E732)),"Bestand fehlt; ",IF(E732&lt;0,"Bestand negativ; ",IF(E732=0,"Nullbestand; ","")))&amp;IF(D732="","Warengruppe fehlt; ","")&amp;IF(B732="","Bezeichnung fehlt; ","")&amp;IF(COUNTIFS($A$2:$A$5001,$A732,$C$2:$C$5001,C732)&gt;1,"Artikel doppelt im selben Lager; ",""))</f>
        <v/>
      </c>
      <c r="P732" s="47" t="n">
        <f aca="false">IF(OR($A732="",D732=""),0,IF(COUNTIF($D$2:D732,D732)=1,SUMIF($D$2:$D$5001,D732,$H$2:$H$5001)+ROW()/10000000,0))</f>
        <v>0</v>
      </c>
      <c r="Q732" s="47" t="n">
        <f aca="false">IF(OR($A732="",C732=""),0,IF(COUNTIF($C$2:C732,C732)=1,SUMIF($C$2:$C$5001,C732,$H$2:$H$5001)+ROW()/10000000,0))</f>
        <v>0</v>
      </c>
    </row>
    <row r="733" customFormat="false" ht="15" hidden="false" customHeight="false" outlineLevel="0" collapsed="false">
      <c r="A733" s="43"/>
      <c r="B733" s="44"/>
      <c r="C733" s="44"/>
      <c r="D733" s="44"/>
      <c r="E733" s="44"/>
      <c r="F733" s="44"/>
      <c r="G733" s="44"/>
      <c r="H733" s="46" t="str">
        <f aca="false">IF($A733="","",IF(OR(NOT(ISNUMBER(E733)),NOT(ISNUMBER(F733))),"",MAX(0,E733)*F733))</f>
        <v/>
      </c>
      <c r="I733" s="46" t="str">
        <f aca="false">IF($A733="","",SUMIF($A$2:$A$5001,$A733,$H$2:$H$5001))</f>
        <v/>
      </c>
      <c r="J733" s="47" t="n">
        <f aca="false">IF($A733="",0,IF(COUNTIF($A$2:A733,$A733)=1,1,0))</f>
        <v>0</v>
      </c>
      <c r="K733" s="47" t="n">
        <f aca="false">IF(J733=1,N(I733)+ROW()/10000000,0)</f>
        <v>0</v>
      </c>
      <c r="L733" s="47" t="str">
        <f aca="false">IF(AND(J733=1,N(I733)&gt;0),SUMIF($K$2:$K$5001,"&gt;="&amp;K733,$I$2:$I$5001)/MAX(1,SUM($H$2:$H$5001)),"")</f>
        <v/>
      </c>
      <c r="M733" s="47" t="str">
        <f aca="false">IF($A733="","",INDEX($L$2:$L$5001,MATCH($A733,$A$2:$A$5001,0)))</f>
        <v/>
      </c>
      <c r="N733" s="48" t="str">
        <f aca="false">IF($A733="","",IF(N(M733)=0,"–",IF(M733&lt;=Start!$D$20,"A",IF(M733&lt;=Start!$D$21,"B","C"))))</f>
        <v/>
      </c>
      <c r="O733" s="48" t="str">
        <f aca="false">IF($A733="","",IF(NOT(ISNUMBER(F733)),"Wert fehlt; ",IF(F733&lt;=0,"Wert ist 0; ",""))&amp;IF(NOT(ISNUMBER(E733)),"Bestand fehlt; ",IF(E733&lt;0,"Bestand negativ; ",IF(E733=0,"Nullbestand; ","")))&amp;IF(D733="","Warengruppe fehlt; ","")&amp;IF(B733="","Bezeichnung fehlt; ","")&amp;IF(COUNTIFS($A$2:$A$5001,$A733,$C$2:$C$5001,C733)&gt;1,"Artikel doppelt im selben Lager; ",""))</f>
        <v/>
      </c>
      <c r="P733" s="47" t="n">
        <f aca="false">IF(OR($A733="",D733=""),0,IF(COUNTIF($D$2:D733,D733)=1,SUMIF($D$2:$D$5001,D733,$H$2:$H$5001)+ROW()/10000000,0))</f>
        <v>0</v>
      </c>
      <c r="Q733" s="47" t="n">
        <f aca="false">IF(OR($A733="",C733=""),0,IF(COUNTIF($C$2:C733,C733)=1,SUMIF($C$2:$C$5001,C733,$H$2:$H$5001)+ROW()/10000000,0))</f>
        <v>0</v>
      </c>
    </row>
    <row r="734" customFormat="false" ht="15" hidden="false" customHeight="false" outlineLevel="0" collapsed="false">
      <c r="A734" s="43"/>
      <c r="B734" s="44"/>
      <c r="C734" s="44"/>
      <c r="D734" s="44"/>
      <c r="E734" s="44"/>
      <c r="F734" s="44"/>
      <c r="G734" s="44"/>
      <c r="H734" s="46" t="str">
        <f aca="false">IF($A734="","",IF(OR(NOT(ISNUMBER(E734)),NOT(ISNUMBER(F734))),"",MAX(0,E734)*F734))</f>
        <v/>
      </c>
      <c r="I734" s="46" t="str">
        <f aca="false">IF($A734="","",SUMIF($A$2:$A$5001,$A734,$H$2:$H$5001))</f>
        <v/>
      </c>
      <c r="J734" s="47" t="n">
        <f aca="false">IF($A734="",0,IF(COUNTIF($A$2:A734,$A734)=1,1,0))</f>
        <v>0</v>
      </c>
      <c r="K734" s="47" t="n">
        <f aca="false">IF(J734=1,N(I734)+ROW()/10000000,0)</f>
        <v>0</v>
      </c>
      <c r="L734" s="47" t="str">
        <f aca="false">IF(AND(J734=1,N(I734)&gt;0),SUMIF($K$2:$K$5001,"&gt;="&amp;K734,$I$2:$I$5001)/MAX(1,SUM($H$2:$H$5001)),"")</f>
        <v/>
      </c>
      <c r="M734" s="47" t="str">
        <f aca="false">IF($A734="","",INDEX($L$2:$L$5001,MATCH($A734,$A$2:$A$5001,0)))</f>
        <v/>
      </c>
      <c r="N734" s="48" t="str">
        <f aca="false">IF($A734="","",IF(N(M734)=0,"–",IF(M734&lt;=Start!$D$20,"A",IF(M734&lt;=Start!$D$21,"B","C"))))</f>
        <v/>
      </c>
      <c r="O734" s="48" t="str">
        <f aca="false">IF($A734="","",IF(NOT(ISNUMBER(F734)),"Wert fehlt; ",IF(F734&lt;=0,"Wert ist 0; ",""))&amp;IF(NOT(ISNUMBER(E734)),"Bestand fehlt; ",IF(E734&lt;0,"Bestand negativ; ",IF(E734=0,"Nullbestand; ","")))&amp;IF(D734="","Warengruppe fehlt; ","")&amp;IF(B734="","Bezeichnung fehlt; ","")&amp;IF(COUNTIFS($A$2:$A$5001,$A734,$C$2:$C$5001,C734)&gt;1,"Artikel doppelt im selben Lager; ",""))</f>
        <v/>
      </c>
      <c r="P734" s="47" t="n">
        <f aca="false">IF(OR($A734="",D734=""),0,IF(COUNTIF($D$2:D734,D734)=1,SUMIF($D$2:$D$5001,D734,$H$2:$H$5001)+ROW()/10000000,0))</f>
        <v>0</v>
      </c>
      <c r="Q734" s="47" t="n">
        <f aca="false">IF(OR($A734="",C734=""),0,IF(COUNTIF($C$2:C734,C734)=1,SUMIF($C$2:$C$5001,C734,$H$2:$H$5001)+ROW()/10000000,0))</f>
        <v>0</v>
      </c>
    </row>
    <row r="735" customFormat="false" ht="15" hidden="false" customHeight="false" outlineLevel="0" collapsed="false">
      <c r="A735" s="43"/>
      <c r="B735" s="44"/>
      <c r="C735" s="44"/>
      <c r="D735" s="44"/>
      <c r="E735" s="44"/>
      <c r="F735" s="44"/>
      <c r="G735" s="44"/>
      <c r="H735" s="46" t="str">
        <f aca="false">IF($A735="","",IF(OR(NOT(ISNUMBER(E735)),NOT(ISNUMBER(F735))),"",MAX(0,E735)*F735))</f>
        <v/>
      </c>
      <c r="I735" s="46" t="str">
        <f aca="false">IF($A735="","",SUMIF($A$2:$A$5001,$A735,$H$2:$H$5001))</f>
        <v/>
      </c>
      <c r="J735" s="47" t="n">
        <f aca="false">IF($A735="",0,IF(COUNTIF($A$2:A735,$A735)=1,1,0))</f>
        <v>0</v>
      </c>
      <c r="K735" s="47" t="n">
        <f aca="false">IF(J735=1,N(I735)+ROW()/10000000,0)</f>
        <v>0</v>
      </c>
      <c r="L735" s="47" t="str">
        <f aca="false">IF(AND(J735=1,N(I735)&gt;0),SUMIF($K$2:$K$5001,"&gt;="&amp;K735,$I$2:$I$5001)/MAX(1,SUM($H$2:$H$5001)),"")</f>
        <v/>
      </c>
      <c r="M735" s="47" t="str">
        <f aca="false">IF($A735="","",INDEX($L$2:$L$5001,MATCH($A735,$A$2:$A$5001,0)))</f>
        <v/>
      </c>
      <c r="N735" s="48" t="str">
        <f aca="false">IF($A735="","",IF(N(M735)=0,"–",IF(M735&lt;=Start!$D$20,"A",IF(M735&lt;=Start!$D$21,"B","C"))))</f>
        <v/>
      </c>
      <c r="O735" s="48" t="str">
        <f aca="false">IF($A735="","",IF(NOT(ISNUMBER(F735)),"Wert fehlt; ",IF(F735&lt;=0,"Wert ist 0; ",""))&amp;IF(NOT(ISNUMBER(E735)),"Bestand fehlt; ",IF(E735&lt;0,"Bestand negativ; ",IF(E735=0,"Nullbestand; ","")))&amp;IF(D735="","Warengruppe fehlt; ","")&amp;IF(B735="","Bezeichnung fehlt; ","")&amp;IF(COUNTIFS($A$2:$A$5001,$A735,$C$2:$C$5001,C735)&gt;1,"Artikel doppelt im selben Lager; ",""))</f>
        <v/>
      </c>
      <c r="P735" s="47" t="n">
        <f aca="false">IF(OR($A735="",D735=""),0,IF(COUNTIF($D$2:D735,D735)=1,SUMIF($D$2:$D$5001,D735,$H$2:$H$5001)+ROW()/10000000,0))</f>
        <v>0</v>
      </c>
      <c r="Q735" s="47" t="n">
        <f aca="false">IF(OR($A735="",C735=""),0,IF(COUNTIF($C$2:C735,C735)=1,SUMIF($C$2:$C$5001,C735,$H$2:$H$5001)+ROW()/10000000,0))</f>
        <v>0</v>
      </c>
    </row>
    <row r="736" customFormat="false" ht="15" hidden="false" customHeight="false" outlineLevel="0" collapsed="false">
      <c r="A736" s="43"/>
      <c r="B736" s="44"/>
      <c r="C736" s="44"/>
      <c r="D736" s="44"/>
      <c r="E736" s="44"/>
      <c r="F736" s="44"/>
      <c r="G736" s="44"/>
      <c r="H736" s="46" t="str">
        <f aca="false">IF($A736="","",IF(OR(NOT(ISNUMBER(E736)),NOT(ISNUMBER(F736))),"",MAX(0,E736)*F736))</f>
        <v/>
      </c>
      <c r="I736" s="46" t="str">
        <f aca="false">IF($A736="","",SUMIF($A$2:$A$5001,$A736,$H$2:$H$5001))</f>
        <v/>
      </c>
      <c r="J736" s="47" t="n">
        <f aca="false">IF($A736="",0,IF(COUNTIF($A$2:A736,$A736)=1,1,0))</f>
        <v>0</v>
      </c>
      <c r="K736" s="47" t="n">
        <f aca="false">IF(J736=1,N(I736)+ROW()/10000000,0)</f>
        <v>0</v>
      </c>
      <c r="L736" s="47" t="str">
        <f aca="false">IF(AND(J736=1,N(I736)&gt;0),SUMIF($K$2:$K$5001,"&gt;="&amp;K736,$I$2:$I$5001)/MAX(1,SUM($H$2:$H$5001)),"")</f>
        <v/>
      </c>
      <c r="M736" s="47" t="str">
        <f aca="false">IF($A736="","",INDEX($L$2:$L$5001,MATCH($A736,$A$2:$A$5001,0)))</f>
        <v/>
      </c>
      <c r="N736" s="48" t="str">
        <f aca="false">IF($A736="","",IF(N(M736)=0,"–",IF(M736&lt;=Start!$D$20,"A",IF(M736&lt;=Start!$D$21,"B","C"))))</f>
        <v/>
      </c>
      <c r="O736" s="48" t="str">
        <f aca="false">IF($A736="","",IF(NOT(ISNUMBER(F736)),"Wert fehlt; ",IF(F736&lt;=0,"Wert ist 0; ",""))&amp;IF(NOT(ISNUMBER(E736)),"Bestand fehlt; ",IF(E736&lt;0,"Bestand negativ; ",IF(E736=0,"Nullbestand; ","")))&amp;IF(D736="","Warengruppe fehlt; ","")&amp;IF(B736="","Bezeichnung fehlt; ","")&amp;IF(COUNTIFS($A$2:$A$5001,$A736,$C$2:$C$5001,C736)&gt;1,"Artikel doppelt im selben Lager; ",""))</f>
        <v/>
      </c>
      <c r="P736" s="47" t="n">
        <f aca="false">IF(OR($A736="",D736=""),0,IF(COUNTIF($D$2:D736,D736)=1,SUMIF($D$2:$D$5001,D736,$H$2:$H$5001)+ROW()/10000000,0))</f>
        <v>0</v>
      </c>
      <c r="Q736" s="47" t="n">
        <f aca="false">IF(OR($A736="",C736=""),0,IF(COUNTIF($C$2:C736,C736)=1,SUMIF($C$2:$C$5001,C736,$H$2:$H$5001)+ROW()/10000000,0))</f>
        <v>0</v>
      </c>
    </row>
    <row r="737" customFormat="false" ht="15" hidden="false" customHeight="false" outlineLevel="0" collapsed="false">
      <c r="A737" s="43"/>
      <c r="B737" s="44"/>
      <c r="C737" s="44"/>
      <c r="D737" s="44"/>
      <c r="E737" s="44"/>
      <c r="F737" s="44"/>
      <c r="G737" s="44"/>
      <c r="H737" s="46" t="str">
        <f aca="false">IF($A737="","",IF(OR(NOT(ISNUMBER(E737)),NOT(ISNUMBER(F737))),"",MAX(0,E737)*F737))</f>
        <v/>
      </c>
      <c r="I737" s="46" t="str">
        <f aca="false">IF($A737="","",SUMIF($A$2:$A$5001,$A737,$H$2:$H$5001))</f>
        <v/>
      </c>
      <c r="J737" s="47" t="n">
        <f aca="false">IF($A737="",0,IF(COUNTIF($A$2:A737,$A737)=1,1,0))</f>
        <v>0</v>
      </c>
      <c r="K737" s="47" t="n">
        <f aca="false">IF(J737=1,N(I737)+ROW()/10000000,0)</f>
        <v>0</v>
      </c>
      <c r="L737" s="47" t="str">
        <f aca="false">IF(AND(J737=1,N(I737)&gt;0),SUMIF($K$2:$K$5001,"&gt;="&amp;K737,$I$2:$I$5001)/MAX(1,SUM($H$2:$H$5001)),"")</f>
        <v/>
      </c>
      <c r="M737" s="47" t="str">
        <f aca="false">IF($A737="","",INDEX($L$2:$L$5001,MATCH($A737,$A$2:$A$5001,0)))</f>
        <v/>
      </c>
      <c r="N737" s="48" t="str">
        <f aca="false">IF($A737="","",IF(N(M737)=0,"–",IF(M737&lt;=Start!$D$20,"A",IF(M737&lt;=Start!$D$21,"B","C"))))</f>
        <v/>
      </c>
      <c r="O737" s="48" t="str">
        <f aca="false">IF($A737="","",IF(NOT(ISNUMBER(F737)),"Wert fehlt; ",IF(F737&lt;=0,"Wert ist 0; ",""))&amp;IF(NOT(ISNUMBER(E737)),"Bestand fehlt; ",IF(E737&lt;0,"Bestand negativ; ",IF(E737=0,"Nullbestand; ","")))&amp;IF(D737="","Warengruppe fehlt; ","")&amp;IF(B737="","Bezeichnung fehlt; ","")&amp;IF(COUNTIFS($A$2:$A$5001,$A737,$C$2:$C$5001,C737)&gt;1,"Artikel doppelt im selben Lager; ",""))</f>
        <v/>
      </c>
      <c r="P737" s="47" t="n">
        <f aca="false">IF(OR($A737="",D737=""),0,IF(COUNTIF($D$2:D737,D737)=1,SUMIF($D$2:$D$5001,D737,$H$2:$H$5001)+ROW()/10000000,0))</f>
        <v>0</v>
      </c>
      <c r="Q737" s="47" t="n">
        <f aca="false">IF(OR($A737="",C737=""),0,IF(COUNTIF($C$2:C737,C737)=1,SUMIF($C$2:$C$5001,C737,$H$2:$H$5001)+ROW()/10000000,0))</f>
        <v>0</v>
      </c>
    </row>
    <row r="738" customFormat="false" ht="15" hidden="false" customHeight="false" outlineLevel="0" collapsed="false">
      <c r="A738" s="43"/>
      <c r="B738" s="44"/>
      <c r="C738" s="44"/>
      <c r="D738" s="44"/>
      <c r="E738" s="44"/>
      <c r="F738" s="44"/>
      <c r="G738" s="44"/>
      <c r="H738" s="46" t="str">
        <f aca="false">IF($A738="","",IF(OR(NOT(ISNUMBER(E738)),NOT(ISNUMBER(F738))),"",MAX(0,E738)*F738))</f>
        <v/>
      </c>
      <c r="I738" s="46" t="str">
        <f aca="false">IF($A738="","",SUMIF($A$2:$A$5001,$A738,$H$2:$H$5001))</f>
        <v/>
      </c>
      <c r="J738" s="47" t="n">
        <f aca="false">IF($A738="",0,IF(COUNTIF($A$2:A738,$A738)=1,1,0))</f>
        <v>0</v>
      </c>
      <c r="K738" s="47" t="n">
        <f aca="false">IF(J738=1,N(I738)+ROW()/10000000,0)</f>
        <v>0</v>
      </c>
      <c r="L738" s="47" t="str">
        <f aca="false">IF(AND(J738=1,N(I738)&gt;0),SUMIF($K$2:$K$5001,"&gt;="&amp;K738,$I$2:$I$5001)/MAX(1,SUM($H$2:$H$5001)),"")</f>
        <v/>
      </c>
      <c r="M738" s="47" t="str">
        <f aca="false">IF($A738="","",INDEX($L$2:$L$5001,MATCH($A738,$A$2:$A$5001,0)))</f>
        <v/>
      </c>
      <c r="N738" s="48" t="str">
        <f aca="false">IF($A738="","",IF(N(M738)=0,"–",IF(M738&lt;=Start!$D$20,"A",IF(M738&lt;=Start!$D$21,"B","C"))))</f>
        <v/>
      </c>
      <c r="O738" s="48" t="str">
        <f aca="false">IF($A738="","",IF(NOT(ISNUMBER(F738)),"Wert fehlt; ",IF(F738&lt;=0,"Wert ist 0; ",""))&amp;IF(NOT(ISNUMBER(E738)),"Bestand fehlt; ",IF(E738&lt;0,"Bestand negativ; ",IF(E738=0,"Nullbestand; ","")))&amp;IF(D738="","Warengruppe fehlt; ","")&amp;IF(B738="","Bezeichnung fehlt; ","")&amp;IF(COUNTIFS($A$2:$A$5001,$A738,$C$2:$C$5001,C738)&gt;1,"Artikel doppelt im selben Lager; ",""))</f>
        <v/>
      </c>
      <c r="P738" s="47" t="n">
        <f aca="false">IF(OR($A738="",D738=""),0,IF(COUNTIF($D$2:D738,D738)=1,SUMIF($D$2:$D$5001,D738,$H$2:$H$5001)+ROW()/10000000,0))</f>
        <v>0</v>
      </c>
      <c r="Q738" s="47" t="n">
        <f aca="false">IF(OR($A738="",C738=""),0,IF(COUNTIF($C$2:C738,C738)=1,SUMIF($C$2:$C$5001,C738,$H$2:$H$5001)+ROW()/10000000,0))</f>
        <v>0</v>
      </c>
    </row>
    <row r="739" customFormat="false" ht="15" hidden="false" customHeight="false" outlineLevel="0" collapsed="false">
      <c r="A739" s="43"/>
      <c r="B739" s="44"/>
      <c r="C739" s="44"/>
      <c r="D739" s="44"/>
      <c r="E739" s="44"/>
      <c r="F739" s="44"/>
      <c r="G739" s="44"/>
      <c r="H739" s="46" t="str">
        <f aca="false">IF($A739="","",IF(OR(NOT(ISNUMBER(E739)),NOT(ISNUMBER(F739))),"",MAX(0,E739)*F739))</f>
        <v/>
      </c>
      <c r="I739" s="46" t="str">
        <f aca="false">IF($A739="","",SUMIF($A$2:$A$5001,$A739,$H$2:$H$5001))</f>
        <v/>
      </c>
      <c r="J739" s="47" t="n">
        <f aca="false">IF($A739="",0,IF(COUNTIF($A$2:A739,$A739)=1,1,0))</f>
        <v>0</v>
      </c>
      <c r="K739" s="47" t="n">
        <f aca="false">IF(J739=1,N(I739)+ROW()/10000000,0)</f>
        <v>0</v>
      </c>
      <c r="L739" s="47" t="str">
        <f aca="false">IF(AND(J739=1,N(I739)&gt;0),SUMIF($K$2:$K$5001,"&gt;="&amp;K739,$I$2:$I$5001)/MAX(1,SUM($H$2:$H$5001)),"")</f>
        <v/>
      </c>
      <c r="M739" s="47" t="str">
        <f aca="false">IF($A739="","",INDEX($L$2:$L$5001,MATCH($A739,$A$2:$A$5001,0)))</f>
        <v/>
      </c>
      <c r="N739" s="48" t="str">
        <f aca="false">IF($A739="","",IF(N(M739)=0,"–",IF(M739&lt;=Start!$D$20,"A",IF(M739&lt;=Start!$D$21,"B","C"))))</f>
        <v/>
      </c>
      <c r="O739" s="48" t="str">
        <f aca="false">IF($A739="","",IF(NOT(ISNUMBER(F739)),"Wert fehlt; ",IF(F739&lt;=0,"Wert ist 0; ",""))&amp;IF(NOT(ISNUMBER(E739)),"Bestand fehlt; ",IF(E739&lt;0,"Bestand negativ; ",IF(E739=0,"Nullbestand; ","")))&amp;IF(D739="","Warengruppe fehlt; ","")&amp;IF(B739="","Bezeichnung fehlt; ","")&amp;IF(COUNTIFS($A$2:$A$5001,$A739,$C$2:$C$5001,C739)&gt;1,"Artikel doppelt im selben Lager; ",""))</f>
        <v/>
      </c>
      <c r="P739" s="47" t="n">
        <f aca="false">IF(OR($A739="",D739=""),0,IF(COUNTIF($D$2:D739,D739)=1,SUMIF($D$2:$D$5001,D739,$H$2:$H$5001)+ROW()/10000000,0))</f>
        <v>0</v>
      </c>
      <c r="Q739" s="47" t="n">
        <f aca="false">IF(OR($A739="",C739=""),0,IF(COUNTIF($C$2:C739,C739)=1,SUMIF($C$2:$C$5001,C739,$H$2:$H$5001)+ROW()/10000000,0))</f>
        <v>0</v>
      </c>
    </row>
    <row r="740" customFormat="false" ht="15" hidden="false" customHeight="false" outlineLevel="0" collapsed="false">
      <c r="A740" s="43"/>
      <c r="B740" s="44"/>
      <c r="C740" s="44"/>
      <c r="D740" s="44"/>
      <c r="E740" s="44"/>
      <c r="F740" s="44"/>
      <c r="G740" s="44"/>
      <c r="H740" s="46" t="str">
        <f aca="false">IF($A740="","",IF(OR(NOT(ISNUMBER(E740)),NOT(ISNUMBER(F740))),"",MAX(0,E740)*F740))</f>
        <v/>
      </c>
      <c r="I740" s="46" t="str">
        <f aca="false">IF($A740="","",SUMIF($A$2:$A$5001,$A740,$H$2:$H$5001))</f>
        <v/>
      </c>
      <c r="J740" s="47" t="n">
        <f aca="false">IF($A740="",0,IF(COUNTIF($A$2:A740,$A740)=1,1,0))</f>
        <v>0</v>
      </c>
      <c r="K740" s="47" t="n">
        <f aca="false">IF(J740=1,N(I740)+ROW()/10000000,0)</f>
        <v>0</v>
      </c>
      <c r="L740" s="47" t="str">
        <f aca="false">IF(AND(J740=1,N(I740)&gt;0),SUMIF($K$2:$K$5001,"&gt;="&amp;K740,$I$2:$I$5001)/MAX(1,SUM($H$2:$H$5001)),"")</f>
        <v/>
      </c>
      <c r="M740" s="47" t="str">
        <f aca="false">IF($A740="","",INDEX($L$2:$L$5001,MATCH($A740,$A$2:$A$5001,0)))</f>
        <v/>
      </c>
      <c r="N740" s="48" t="str">
        <f aca="false">IF($A740="","",IF(N(M740)=0,"–",IF(M740&lt;=Start!$D$20,"A",IF(M740&lt;=Start!$D$21,"B","C"))))</f>
        <v/>
      </c>
      <c r="O740" s="48" t="str">
        <f aca="false">IF($A740="","",IF(NOT(ISNUMBER(F740)),"Wert fehlt; ",IF(F740&lt;=0,"Wert ist 0; ",""))&amp;IF(NOT(ISNUMBER(E740)),"Bestand fehlt; ",IF(E740&lt;0,"Bestand negativ; ",IF(E740=0,"Nullbestand; ","")))&amp;IF(D740="","Warengruppe fehlt; ","")&amp;IF(B740="","Bezeichnung fehlt; ","")&amp;IF(COUNTIFS($A$2:$A$5001,$A740,$C$2:$C$5001,C740)&gt;1,"Artikel doppelt im selben Lager; ",""))</f>
        <v/>
      </c>
      <c r="P740" s="47" t="n">
        <f aca="false">IF(OR($A740="",D740=""),0,IF(COUNTIF($D$2:D740,D740)=1,SUMIF($D$2:$D$5001,D740,$H$2:$H$5001)+ROW()/10000000,0))</f>
        <v>0</v>
      </c>
      <c r="Q740" s="47" t="n">
        <f aca="false">IF(OR($A740="",C740=""),0,IF(COUNTIF($C$2:C740,C740)=1,SUMIF($C$2:$C$5001,C740,$H$2:$H$5001)+ROW()/10000000,0))</f>
        <v>0</v>
      </c>
    </row>
    <row r="741" customFormat="false" ht="15" hidden="false" customHeight="false" outlineLevel="0" collapsed="false">
      <c r="A741" s="43"/>
      <c r="B741" s="44"/>
      <c r="C741" s="44"/>
      <c r="D741" s="44"/>
      <c r="E741" s="44"/>
      <c r="F741" s="44"/>
      <c r="G741" s="44"/>
      <c r="H741" s="46" t="str">
        <f aca="false">IF($A741="","",IF(OR(NOT(ISNUMBER(E741)),NOT(ISNUMBER(F741))),"",MAX(0,E741)*F741))</f>
        <v/>
      </c>
      <c r="I741" s="46" t="str">
        <f aca="false">IF($A741="","",SUMIF($A$2:$A$5001,$A741,$H$2:$H$5001))</f>
        <v/>
      </c>
      <c r="J741" s="47" t="n">
        <f aca="false">IF($A741="",0,IF(COUNTIF($A$2:A741,$A741)=1,1,0))</f>
        <v>0</v>
      </c>
      <c r="K741" s="47" t="n">
        <f aca="false">IF(J741=1,N(I741)+ROW()/10000000,0)</f>
        <v>0</v>
      </c>
      <c r="L741" s="47" t="str">
        <f aca="false">IF(AND(J741=1,N(I741)&gt;0),SUMIF($K$2:$K$5001,"&gt;="&amp;K741,$I$2:$I$5001)/MAX(1,SUM($H$2:$H$5001)),"")</f>
        <v/>
      </c>
      <c r="M741" s="47" t="str">
        <f aca="false">IF($A741="","",INDEX($L$2:$L$5001,MATCH($A741,$A$2:$A$5001,0)))</f>
        <v/>
      </c>
      <c r="N741" s="48" t="str">
        <f aca="false">IF($A741="","",IF(N(M741)=0,"–",IF(M741&lt;=Start!$D$20,"A",IF(M741&lt;=Start!$D$21,"B","C"))))</f>
        <v/>
      </c>
      <c r="O741" s="48" t="str">
        <f aca="false">IF($A741="","",IF(NOT(ISNUMBER(F741)),"Wert fehlt; ",IF(F741&lt;=0,"Wert ist 0; ",""))&amp;IF(NOT(ISNUMBER(E741)),"Bestand fehlt; ",IF(E741&lt;0,"Bestand negativ; ",IF(E741=0,"Nullbestand; ","")))&amp;IF(D741="","Warengruppe fehlt; ","")&amp;IF(B741="","Bezeichnung fehlt; ","")&amp;IF(COUNTIFS($A$2:$A$5001,$A741,$C$2:$C$5001,C741)&gt;1,"Artikel doppelt im selben Lager; ",""))</f>
        <v/>
      </c>
      <c r="P741" s="47" t="n">
        <f aca="false">IF(OR($A741="",D741=""),0,IF(COUNTIF($D$2:D741,D741)=1,SUMIF($D$2:$D$5001,D741,$H$2:$H$5001)+ROW()/10000000,0))</f>
        <v>0</v>
      </c>
      <c r="Q741" s="47" t="n">
        <f aca="false">IF(OR($A741="",C741=""),0,IF(COUNTIF($C$2:C741,C741)=1,SUMIF($C$2:$C$5001,C741,$H$2:$H$5001)+ROW()/10000000,0))</f>
        <v>0</v>
      </c>
    </row>
    <row r="742" customFormat="false" ht="15" hidden="false" customHeight="false" outlineLevel="0" collapsed="false">
      <c r="A742" s="43"/>
      <c r="B742" s="44"/>
      <c r="C742" s="44"/>
      <c r="D742" s="44"/>
      <c r="E742" s="44"/>
      <c r="F742" s="44"/>
      <c r="G742" s="44"/>
      <c r="H742" s="46" t="str">
        <f aca="false">IF($A742="","",IF(OR(NOT(ISNUMBER(E742)),NOT(ISNUMBER(F742))),"",MAX(0,E742)*F742))</f>
        <v/>
      </c>
      <c r="I742" s="46" t="str">
        <f aca="false">IF($A742="","",SUMIF($A$2:$A$5001,$A742,$H$2:$H$5001))</f>
        <v/>
      </c>
      <c r="J742" s="47" t="n">
        <f aca="false">IF($A742="",0,IF(COUNTIF($A$2:A742,$A742)=1,1,0))</f>
        <v>0</v>
      </c>
      <c r="K742" s="47" t="n">
        <f aca="false">IF(J742=1,N(I742)+ROW()/10000000,0)</f>
        <v>0</v>
      </c>
      <c r="L742" s="47" t="str">
        <f aca="false">IF(AND(J742=1,N(I742)&gt;0),SUMIF($K$2:$K$5001,"&gt;="&amp;K742,$I$2:$I$5001)/MAX(1,SUM($H$2:$H$5001)),"")</f>
        <v/>
      </c>
      <c r="M742" s="47" t="str">
        <f aca="false">IF($A742="","",INDEX($L$2:$L$5001,MATCH($A742,$A$2:$A$5001,0)))</f>
        <v/>
      </c>
      <c r="N742" s="48" t="str">
        <f aca="false">IF($A742="","",IF(N(M742)=0,"–",IF(M742&lt;=Start!$D$20,"A",IF(M742&lt;=Start!$D$21,"B","C"))))</f>
        <v/>
      </c>
      <c r="O742" s="48" t="str">
        <f aca="false">IF($A742="","",IF(NOT(ISNUMBER(F742)),"Wert fehlt; ",IF(F742&lt;=0,"Wert ist 0; ",""))&amp;IF(NOT(ISNUMBER(E742)),"Bestand fehlt; ",IF(E742&lt;0,"Bestand negativ; ",IF(E742=0,"Nullbestand; ","")))&amp;IF(D742="","Warengruppe fehlt; ","")&amp;IF(B742="","Bezeichnung fehlt; ","")&amp;IF(COUNTIFS($A$2:$A$5001,$A742,$C$2:$C$5001,C742)&gt;1,"Artikel doppelt im selben Lager; ",""))</f>
        <v/>
      </c>
      <c r="P742" s="47" t="n">
        <f aca="false">IF(OR($A742="",D742=""),0,IF(COUNTIF($D$2:D742,D742)=1,SUMIF($D$2:$D$5001,D742,$H$2:$H$5001)+ROW()/10000000,0))</f>
        <v>0</v>
      </c>
      <c r="Q742" s="47" t="n">
        <f aca="false">IF(OR($A742="",C742=""),0,IF(COUNTIF($C$2:C742,C742)=1,SUMIF($C$2:$C$5001,C742,$H$2:$H$5001)+ROW()/10000000,0))</f>
        <v>0</v>
      </c>
    </row>
    <row r="743" customFormat="false" ht="15" hidden="false" customHeight="false" outlineLevel="0" collapsed="false">
      <c r="A743" s="43"/>
      <c r="B743" s="44"/>
      <c r="C743" s="44"/>
      <c r="D743" s="44"/>
      <c r="E743" s="44"/>
      <c r="F743" s="44"/>
      <c r="G743" s="44"/>
      <c r="H743" s="46" t="str">
        <f aca="false">IF($A743="","",IF(OR(NOT(ISNUMBER(E743)),NOT(ISNUMBER(F743))),"",MAX(0,E743)*F743))</f>
        <v/>
      </c>
      <c r="I743" s="46" t="str">
        <f aca="false">IF($A743="","",SUMIF($A$2:$A$5001,$A743,$H$2:$H$5001))</f>
        <v/>
      </c>
      <c r="J743" s="47" t="n">
        <f aca="false">IF($A743="",0,IF(COUNTIF($A$2:A743,$A743)=1,1,0))</f>
        <v>0</v>
      </c>
      <c r="K743" s="47" t="n">
        <f aca="false">IF(J743=1,N(I743)+ROW()/10000000,0)</f>
        <v>0</v>
      </c>
      <c r="L743" s="47" t="str">
        <f aca="false">IF(AND(J743=1,N(I743)&gt;0),SUMIF($K$2:$K$5001,"&gt;="&amp;K743,$I$2:$I$5001)/MAX(1,SUM($H$2:$H$5001)),"")</f>
        <v/>
      </c>
      <c r="M743" s="47" t="str">
        <f aca="false">IF($A743="","",INDEX($L$2:$L$5001,MATCH($A743,$A$2:$A$5001,0)))</f>
        <v/>
      </c>
      <c r="N743" s="48" t="str">
        <f aca="false">IF($A743="","",IF(N(M743)=0,"–",IF(M743&lt;=Start!$D$20,"A",IF(M743&lt;=Start!$D$21,"B","C"))))</f>
        <v/>
      </c>
      <c r="O743" s="48" t="str">
        <f aca="false">IF($A743="","",IF(NOT(ISNUMBER(F743)),"Wert fehlt; ",IF(F743&lt;=0,"Wert ist 0; ",""))&amp;IF(NOT(ISNUMBER(E743)),"Bestand fehlt; ",IF(E743&lt;0,"Bestand negativ; ",IF(E743=0,"Nullbestand; ","")))&amp;IF(D743="","Warengruppe fehlt; ","")&amp;IF(B743="","Bezeichnung fehlt; ","")&amp;IF(COUNTIFS($A$2:$A$5001,$A743,$C$2:$C$5001,C743)&gt;1,"Artikel doppelt im selben Lager; ",""))</f>
        <v/>
      </c>
      <c r="P743" s="47" t="n">
        <f aca="false">IF(OR($A743="",D743=""),0,IF(COUNTIF($D$2:D743,D743)=1,SUMIF($D$2:$D$5001,D743,$H$2:$H$5001)+ROW()/10000000,0))</f>
        <v>0</v>
      </c>
      <c r="Q743" s="47" t="n">
        <f aca="false">IF(OR($A743="",C743=""),0,IF(COUNTIF($C$2:C743,C743)=1,SUMIF($C$2:$C$5001,C743,$H$2:$H$5001)+ROW()/10000000,0))</f>
        <v>0</v>
      </c>
    </row>
    <row r="744" customFormat="false" ht="15" hidden="false" customHeight="false" outlineLevel="0" collapsed="false">
      <c r="A744" s="43"/>
      <c r="B744" s="44"/>
      <c r="C744" s="44"/>
      <c r="D744" s="44"/>
      <c r="E744" s="44"/>
      <c r="F744" s="44"/>
      <c r="G744" s="44"/>
      <c r="H744" s="46" t="str">
        <f aca="false">IF($A744="","",IF(OR(NOT(ISNUMBER(E744)),NOT(ISNUMBER(F744))),"",MAX(0,E744)*F744))</f>
        <v/>
      </c>
      <c r="I744" s="46" t="str">
        <f aca="false">IF($A744="","",SUMIF($A$2:$A$5001,$A744,$H$2:$H$5001))</f>
        <v/>
      </c>
      <c r="J744" s="47" t="n">
        <f aca="false">IF($A744="",0,IF(COUNTIF($A$2:A744,$A744)=1,1,0))</f>
        <v>0</v>
      </c>
      <c r="K744" s="47" t="n">
        <f aca="false">IF(J744=1,N(I744)+ROW()/10000000,0)</f>
        <v>0</v>
      </c>
      <c r="L744" s="47" t="str">
        <f aca="false">IF(AND(J744=1,N(I744)&gt;0),SUMIF($K$2:$K$5001,"&gt;="&amp;K744,$I$2:$I$5001)/MAX(1,SUM($H$2:$H$5001)),"")</f>
        <v/>
      </c>
      <c r="M744" s="47" t="str">
        <f aca="false">IF($A744="","",INDEX($L$2:$L$5001,MATCH($A744,$A$2:$A$5001,0)))</f>
        <v/>
      </c>
      <c r="N744" s="48" t="str">
        <f aca="false">IF($A744="","",IF(N(M744)=0,"–",IF(M744&lt;=Start!$D$20,"A",IF(M744&lt;=Start!$D$21,"B","C"))))</f>
        <v/>
      </c>
      <c r="O744" s="48" t="str">
        <f aca="false">IF($A744="","",IF(NOT(ISNUMBER(F744)),"Wert fehlt; ",IF(F744&lt;=0,"Wert ist 0; ",""))&amp;IF(NOT(ISNUMBER(E744)),"Bestand fehlt; ",IF(E744&lt;0,"Bestand negativ; ",IF(E744=0,"Nullbestand; ","")))&amp;IF(D744="","Warengruppe fehlt; ","")&amp;IF(B744="","Bezeichnung fehlt; ","")&amp;IF(COUNTIFS($A$2:$A$5001,$A744,$C$2:$C$5001,C744)&gt;1,"Artikel doppelt im selben Lager; ",""))</f>
        <v/>
      </c>
      <c r="P744" s="47" t="n">
        <f aca="false">IF(OR($A744="",D744=""),0,IF(COUNTIF($D$2:D744,D744)=1,SUMIF($D$2:$D$5001,D744,$H$2:$H$5001)+ROW()/10000000,0))</f>
        <v>0</v>
      </c>
      <c r="Q744" s="47" t="n">
        <f aca="false">IF(OR($A744="",C744=""),0,IF(COUNTIF($C$2:C744,C744)=1,SUMIF($C$2:$C$5001,C744,$H$2:$H$5001)+ROW()/10000000,0))</f>
        <v>0</v>
      </c>
    </row>
    <row r="745" customFormat="false" ht="15" hidden="false" customHeight="false" outlineLevel="0" collapsed="false">
      <c r="A745" s="43"/>
      <c r="B745" s="44"/>
      <c r="C745" s="44"/>
      <c r="D745" s="44"/>
      <c r="E745" s="44"/>
      <c r="F745" s="44"/>
      <c r="G745" s="44"/>
      <c r="H745" s="46" t="str">
        <f aca="false">IF($A745="","",IF(OR(NOT(ISNUMBER(E745)),NOT(ISNUMBER(F745))),"",MAX(0,E745)*F745))</f>
        <v/>
      </c>
      <c r="I745" s="46" t="str">
        <f aca="false">IF($A745="","",SUMIF($A$2:$A$5001,$A745,$H$2:$H$5001))</f>
        <v/>
      </c>
      <c r="J745" s="47" t="n">
        <f aca="false">IF($A745="",0,IF(COUNTIF($A$2:A745,$A745)=1,1,0))</f>
        <v>0</v>
      </c>
      <c r="K745" s="47" t="n">
        <f aca="false">IF(J745=1,N(I745)+ROW()/10000000,0)</f>
        <v>0</v>
      </c>
      <c r="L745" s="47" t="str">
        <f aca="false">IF(AND(J745=1,N(I745)&gt;0),SUMIF($K$2:$K$5001,"&gt;="&amp;K745,$I$2:$I$5001)/MAX(1,SUM($H$2:$H$5001)),"")</f>
        <v/>
      </c>
      <c r="M745" s="47" t="str">
        <f aca="false">IF($A745="","",INDEX($L$2:$L$5001,MATCH($A745,$A$2:$A$5001,0)))</f>
        <v/>
      </c>
      <c r="N745" s="48" t="str">
        <f aca="false">IF($A745="","",IF(N(M745)=0,"–",IF(M745&lt;=Start!$D$20,"A",IF(M745&lt;=Start!$D$21,"B","C"))))</f>
        <v/>
      </c>
      <c r="O745" s="48" t="str">
        <f aca="false">IF($A745="","",IF(NOT(ISNUMBER(F745)),"Wert fehlt; ",IF(F745&lt;=0,"Wert ist 0; ",""))&amp;IF(NOT(ISNUMBER(E745)),"Bestand fehlt; ",IF(E745&lt;0,"Bestand negativ; ",IF(E745=0,"Nullbestand; ","")))&amp;IF(D745="","Warengruppe fehlt; ","")&amp;IF(B745="","Bezeichnung fehlt; ","")&amp;IF(COUNTIFS($A$2:$A$5001,$A745,$C$2:$C$5001,C745)&gt;1,"Artikel doppelt im selben Lager; ",""))</f>
        <v/>
      </c>
      <c r="P745" s="47" t="n">
        <f aca="false">IF(OR($A745="",D745=""),0,IF(COUNTIF($D$2:D745,D745)=1,SUMIF($D$2:$D$5001,D745,$H$2:$H$5001)+ROW()/10000000,0))</f>
        <v>0</v>
      </c>
      <c r="Q745" s="47" t="n">
        <f aca="false">IF(OR($A745="",C745=""),0,IF(COUNTIF($C$2:C745,C745)=1,SUMIF($C$2:$C$5001,C745,$H$2:$H$5001)+ROW()/10000000,0))</f>
        <v>0</v>
      </c>
    </row>
    <row r="746" customFormat="false" ht="15" hidden="false" customHeight="false" outlineLevel="0" collapsed="false">
      <c r="A746" s="43"/>
      <c r="B746" s="44"/>
      <c r="C746" s="44"/>
      <c r="D746" s="44"/>
      <c r="E746" s="44"/>
      <c r="F746" s="44"/>
      <c r="G746" s="44"/>
      <c r="H746" s="46" t="str">
        <f aca="false">IF($A746="","",IF(OR(NOT(ISNUMBER(E746)),NOT(ISNUMBER(F746))),"",MAX(0,E746)*F746))</f>
        <v/>
      </c>
      <c r="I746" s="46" t="str">
        <f aca="false">IF($A746="","",SUMIF($A$2:$A$5001,$A746,$H$2:$H$5001))</f>
        <v/>
      </c>
      <c r="J746" s="47" t="n">
        <f aca="false">IF($A746="",0,IF(COUNTIF($A$2:A746,$A746)=1,1,0))</f>
        <v>0</v>
      </c>
      <c r="K746" s="47" t="n">
        <f aca="false">IF(J746=1,N(I746)+ROW()/10000000,0)</f>
        <v>0</v>
      </c>
      <c r="L746" s="47" t="str">
        <f aca="false">IF(AND(J746=1,N(I746)&gt;0),SUMIF($K$2:$K$5001,"&gt;="&amp;K746,$I$2:$I$5001)/MAX(1,SUM($H$2:$H$5001)),"")</f>
        <v/>
      </c>
      <c r="M746" s="47" t="str">
        <f aca="false">IF($A746="","",INDEX($L$2:$L$5001,MATCH($A746,$A$2:$A$5001,0)))</f>
        <v/>
      </c>
      <c r="N746" s="48" t="str">
        <f aca="false">IF($A746="","",IF(N(M746)=0,"–",IF(M746&lt;=Start!$D$20,"A",IF(M746&lt;=Start!$D$21,"B","C"))))</f>
        <v/>
      </c>
      <c r="O746" s="48" t="str">
        <f aca="false">IF($A746="","",IF(NOT(ISNUMBER(F746)),"Wert fehlt; ",IF(F746&lt;=0,"Wert ist 0; ",""))&amp;IF(NOT(ISNUMBER(E746)),"Bestand fehlt; ",IF(E746&lt;0,"Bestand negativ; ",IF(E746=0,"Nullbestand; ","")))&amp;IF(D746="","Warengruppe fehlt; ","")&amp;IF(B746="","Bezeichnung fehlt; ","")&amp;IF(COUNTIFS($A$2:$A$5001,$A746,$C$2:$C$5001,C746)&gt;1,"Artikel doppelt im selben Lager; ",""))</f>
        <v/>
      </c>
      <c r="P746" s="47" t="n">
        <f aca="false">IF(OR($A746="",D746=""),0,IF(COUNTIF($D$2:D746,D746)=1,SUMIF($D$2:$D$5001,D746,$H$2:$H$5001)+ROW()/10000000,0))</f>
        <v>0</v>
      </c>
      <c r="Q746" s="47" t="n">
        <f aca="false">IF(OR($A746="",C746=""),0,IF(COUNTIF($C$2:C746,C746)=1,SUMIF($C$2:$C$5001,C746,$H$2:$H$5001)+ROW()/10000000,0))</f>
        <v>0</v>
      </c>
    </row>
    <row r="747" customFormat="false" ht="15" hidden="false" customHeight="false" outlineLevel="0" collapsed="false">
      <c r="A747" s="43"/>
      <c r="B747" s="44"/>
      <c r="C747" s="44"/>
      <c r="D747" s="44"/>
      <c r="E747" s="44"/>
      <c r="F747" s="44"/>
      <c r="G747" s="44"/>
      <c r="H747" s="46" t="str">
        <f aca="false">IF($A747="","",IF(OR(NOT(ISNUMBER(E747)),NOT(ISNUMBER(F747))),"",MAX(0,E747)*F747))</f>
        <v/>
      </c>
      <c r="I747" s="46" t="str">
        <f aca="false">IF($A747="","",SUMIF($A$2:$A$5001,$A747,$H$2:$H$5001))</f>
        <v/>
      </c>
      <c r="J747" s="47" t="n">
        <f aca="false">IF($A747="",0,IF(COUNTIF($A$2:A747,$A747)=1,1,0))</f>
        <v>0</v>
      </c>
      <c r="K747" s="47" t="n">
        <f aca="false">IF(J747=1,N(I747)+ROW()/10000000,0)</f>
        <v>0</v>
      </c>
      <c r="L747" s="47" t="str">
        <f aca="false">IF(AND(J747=1,N(I747)&gt;0),SUMIF($K$2:$K$5001,"&gt;="&amp;K747,$I$2:$I$5001)/MAX(1,SUM($H$2:$H$5001)),"")</f>
        <v/>
      </c>
      <c r="M747" s="47" t="str">
        <f aca="false">IF($A747="","",INDEX($L$2:$L$5001,MATCH($A747,$A$2:$A$5001,0)))</f>
        <v/>
      </c>
      <c r="N747" s="48" t="str">
        <f aca="false">IF($A747="","",IF(N(M747)=0,"–",IF(M747&lt;=Start!$D$20,"A",IF(M747&lt;=Start!$D$21,"B","C"))))</f>
        <v/>
      </c>
      <c r="O747" s="48" t="str">
        <f aca="false">IF($A747="","",IF(NOT(ISNUMBER(F747)),"Wert fehlt; ",IF(F747&lt;=0,"Wert ist 0; ",""))&amp;IF(NOT(ISNUMBER(E747)),"Bestand fehlt; ",IF(E747&lt;0,"Bestand negativ; ",IF(E747=0,"Nullbestand; ","")))&amp;IF(D747="","Warengruppe fehlt; ","")&amp;IF(B747="","Bezeichnung fehlt; ","")&amp;IF(COUNTIFS($A$2:$A$5001,$A747,$C$2:$C$5001,C747)&gt;1,"Artikel doppelt im selben Lager; ",""))</f>
        <v/>
      </c>
      <c r="P747" s="47" t="n">
        <f aca="false">IF(OR($A747="",D747=""),0,IF(COUNTIF($D$2:D747,D747)=1,SUMIF($D$2:$D$5001,D747,$H$2:$H$5001)+ROW()/10000000,0))</f>
        <v>0</v>
      </c>
      <c r="Q747" s="47" t="n">
        <f aca="false">IF(OR($A747="",C747=""),0,IF(COUNTIF($C$2:C747,C747)=1,SUMIF($C$2:$C$5001,C747,$H$2:$H$5001)+ROW()/10000000,0))</f>
        <v>0</v>
      </c>
    </row>
    <row r="748" customFormat="false" ht="15" hidden="false" customHeight="false" outlineLevel="0" collapsed="false">
      <c r="A748" s="43"/>
      <c r="B748" s="44"/>
      <c r="C748" s="44"/>
      <c r="D748" s="44"/>
      <c r="E748" s="44"/>
      <c r="F748" s="44"/>
      <c r="G748" s="44"/>
      <c r="H748" s="46" t="str">
        <f aca="false">IF($A748="","",IF(OR(NOT(ISNUMBER(E748)),NOT(ISNUMBER(F748))),"",MAX(0,E748)*F748))</f>
        <v/>
      </c>
      <c r="I748" s="46" t="str">
        <f aca="false">IF($A748="","",SUMIF($A$2:$A$5001,$A748,$H$2:$H$5001))</f>
        <v/>
      </c>
      <c r="J748" s="47" t="n">
        <f aca="false">IF($A748="",0,IF(COUNTIF($A$2:A748,$A748)=1,1,0))</f>
        <v>0</v>
      </c>
      <c r="K748" s="47" t="n">
        <f aca="false">IF(J748=1,N(I748)+ROW()/10000000,0)</f>
        <v>0</v>
      </c>
      <c r="L748" s="47" t="str">
        <f aca="false">IF(AND(J748=1,N(I748)&gt;0),SUMIF($K$2:$K$5001,"&gt;="&amp;K748,$I$2:$I$5001)/MAX(1,SUM($H$2:$H$5001)),"")</f>
        <v/>
      </c>
      <c r="M748" s="47" t="str">
        <f aca="false">IF($A748="","",INDEX($L$2:$L$5001,MATCH($A748,$A$2:$A$5001,0)))</f>
        <v/>
      </c>
      <c r="N748" s="48" t="str">
        <f aca="false">IF($A748="","",IF(N(M748)=0,"–",IF(M748&lt;=Start!$D$20,"A",IF(M748&lt;=Start!$D$21,"B","C"))))</f>
        <v/>
      </c>
      <c r="O748" s="48" t="str">
        <f aca="false">IF($A748="","",IF(NOT(ISNUMBER(F748)),"Wert fehlt; ",IF(F748&lt;=0,"Wert ist 0; ",""))&amp;IF(NOT(ISNUMBER(E748)),"Bestand fehlt; ",IF(E748&lt;0,"Bestand negativ; ",IF(E748=0,"Nullbestand; ","")))&amp;IF(D748="","Warengruppe fehlt; ","")&amp;IF(B748="","Bezeichnung fehlt; ","")&amp;IF(COUNTIFS($A$2:$A$5001,$A748,$C$2:$C$5001,C748)&gt;1,"Artikel doppelt im selben Lager; ",""))</f>
        <v/>
      </c>
      <c r="P748" s="47" t="n">
        <f aca="false">IF(OR($A748="",D748=""),0,IF(COUNTIF($D$2:D748,D748)=1,SUMIF($D$2:$D$5001,D748,$H$2:$H$5001)+ROW()/10000000,0))</f>
        <v>0</v>
      </c>
      <c r="Q748" s="47" t="n">
        <f aca="false">IF(OR($A748="",C748=""),0,IF(COUNTIF($C$2:C748,C748)=1,SUMIF($C$2:$C$5001,C748,$H$2:$H$5001)+ROW()/10000000,0))</f>
        <v>0</v>
      </c>
    </row>
    <row r="749" customFormat="false" ht="15" hidden="false" customHeight="false" outlineLevel="0" collapsed="false">
      <c r="A749" s="43"/>
      <c r="B749" s="44"/>
      <c r="C749" s="44"/>
      <c r="D749" s="44"/>
      <c r="E749" s="44"/>
      <c r="F749" s="44"/>
      <c r="G749" s="44"/>
      <c r="H749" s="46" t="str">
        <f aca="false">IF($A749="","",IF(OR(NOT(ISNUMBER(E749)),NOT(ISNUMBER(F749))),"",MAX(0,E749)*F749))</f>
        <v/>
      </c>
      <c r="I749" s="46" t="str">
        <f aca="false">IF($A749="","",SUMIF($A$2:$A$5001,$A749,$H$2:$H$5001))</f>
        <v/>
      </c>
      <c r="J749" s="47" t="n">
        <f aca="false">IF($A749="",0,IF(COUNTIF($A$2:A749,$A749)=1,1,0))</f>
        <v>0</v>
      </c>
      <c r="K749" s="47" t="n">
        <f aca="false">IF(J749=1,N(I749)+ROW()/10000000,0)</f>
        <v>0</v>
      </c>
      <c r="L749" s="47" t="str">
        <f aca="false">IF(AND(J749=1,N(I749)&gt;0),SUMIF($K$2:$K$5001,"&gt;="&amp;K749,$I$2:$I$5001)/MAX(1,SUM($H$2:$H$5001)),"")</f>
        <v/>
      </c>
      <c r="M749" s="47" t="str">
        <f aca="false">IF($A749="","",INDEX($L$2:$L$5001,MATCH($A749,$A$2:$A$5001,0)))</f>
        <v/>
      </c>
      <c r="N749" s="48" t="str">
        <f aca="false">IF($A749="","",IF(N(M749)=0,"–",IF(M749&lt;=Start!$D$20,"A",IF(M749&lt;=Start!$D$21,"B","C"))))</f>
        <v/>
      </c>
      <c r="O749" s="48" t="str">
        <f aca="false">IF($A749="","",IF(NOT(ISNUMBER(F749)),"Wert fehlt; ",IF(F749&lt;=0,"Wert ist 0; ",""))&amp;IF(NOT(ISNUMBER(E749)),"Bestand fehlt; ",IF(E749&lt;0,"Bestand negativ; ",IF(E749=0,"Nullbestand; ","")))&amp;IF(D749="","Warengruppe fehlt; ","")&amp;IF(B749="","Bezeichnung fehlt; ","")&amp;IF(COUNTIFS($A$2:$A$5001,$A749,$C$2:$C$5001,C749)&gt;1,"Artikel doppelt im selben Lager; ",""))</f>
        <v/>
      </c>
      <c r="P749" s="47" t="n">
        <f aca="false">IF(OR($A749="",D749=""),0,IF(COUNTIF($D$2:D749,D749)=1,SUMIF($D$2:$D$5001,D749,$H$2:$H$5001)+ROW()/10000000,0))</f>
        <v>0</v>
      </c>
      <c r="Q749" s="47" t="n">
        <f aca="false">IF(OR($A749="",C749=""),0,IF(COUNTIF($C$2:C749,C749)=1,SUMIF($C$2:$C$5001,C749,$H$2:$H$5001)+ROW()/10000000,0))</f>
        <v>0</v>
      </c>
    </row>
    <row r="750" customFormat="false" ht="15" hidden="false" customHeight="false" outlineLevel="0" collapsed="false">
      <c r="A750" s="43"/>
      <c r="B750" s="44"/>
      <c r="C750" s="44"/>
      <c r="D750" s="44"/>
      <c r="E750" s="44"/>
      <c r="F750" s="44"/>
      <c r="G750" s="44"/>
      <c r="H750" s="46" t="str">
        <f aca="false">IF($A750="","",IF(OR(NOT(ISNUMBER(E750)),NOT(ISNUMBER(F750))),"",MAX(0,E750)*F750))</f>
        <v/>
      </c>
      <c r="I750" s="46" t="str">
        <f aca="false">IF($A750="","",SUMIF($A$2:$A$5001,$A750,$H$2:$H$5001))</f>
        <v/>
      </c>
      <c r="J750" s="47" t="n">
        <f aca="false">IF($A750="",0,IF(COUNTIF($A$2:A750,$A750)=1,1,0))</f>
        <v>0</v>
      </c>
      <c r="K750" s="47" t="n">
        <f aca="false">IF(J750=1,N(I750)+ROW()/10000000,0)</f>
        <v>0</v>
      </c>
      <c r="L750" s="47" t="str">
        <f aca="false">IF(AND(J750=1,N(I750)&gt;0),SUMIF($K$2:$K$5001,"&gt;="&amp;K750,$I$2:$I$5001)/MAX(1,SUM($H$2:$H$5001)),"")</f>
        <v/>
      </c>
      <c r="M750" s="47" t="str">
        <f aca="false">IF($A750="","",INDEX($L$2:$L$5001,MATCH($A750,$A$2:$A$5001,0)))</f>
        <v/>
      </c>
      <c r="N750" s="48" t="str">
        <f aca="false">IF($A750="","",IF(N(M750)=0,"–",IF(M750&lt;=Start!$D$20,"A",IF(M750&lt;=Start!$D$21,"B","C"))))</f>
        <v/>
      </c>
      <c r="O750" s="48" t="str">
        <f aca="false">IF($A750="","",IF(NOT(ISNUMBER(F750)),"Wert fehlt; ",IF(F750&lt;=0,"Wert ist 0; ",""))&amp;IF(NOT(ISNUMBER(E750)),"Bestand fehlt; ",IF(E750&lt;0,"Bestand negativ; ",IF(E750=0,"Nullbestand; ","")))&amp;IF(D750="","Warengruppe fehlt; ","")&amp;IF(B750="","Bezeichnung fehlt; ","")&amp;IF(COUNTIFS($A$2:$A$5001,$A750,$C$2:$C$5001,C750)&gt;1,"Artikel doppelt im selben Lager; ",""))</f>
        <v/>
      </c>
      <c r="P750" s="47" t="n">
        <f aca="false">IF(OR($A750="",D750=""),0,IF(COUNTIF($D$2:D750,D750)=1,SUMIF($D$2:$D$5001,D750,$H$2:$H$5001)+ROW()/10000000,0))</f>
        <v>0</v>
      </c>
      <c r="Q750" s="47" t="n">
        <f aca="false">IF(OR($A750="",C750=""),0,IF(COUNTIF($C$2:C750,C750)=1,SUMIF($C$2:$C$5001,C750,$H$2:$H$5001)+ROW()/10000000,0))</f>
        <v>0</v>
      </c>
    </row>
    <row r="751" customFormat="false" ht="15" hidden="false" customHeight="false" outlineLevel="0" collapsed="false">
      <c r="A751" s="43"/>
      <c r="B751" s="44"/>
      <c r="C751" s="44"/>
      <c r="D751" s="44"/>
      <c r="E751" s="44"/>
      <c r="F751" s="44"/>
      <c r="G751" s="44"/>
      <c r="H751" s="46" t="str">
        <f aca="false">IF($A751="","",IF(OR(NOT(ISNUMBER(E751)),NOT(ISNUMBER(F751))),"",MAX(0,E751)*F751))</f>
        <v/>
      </c>
      <c r="I751" s="46" t="str">
        <f aca="false">IF($A751="","",SUMIF($A$2:$A$5001,$A751,$H$2:$H$5001))</f>
        <v/>
      </c>
      <c r="J751" s="47" t="n">
        <f aca="false">IF($A751="",0,IF(COUNTIF($A$2:A751,$A751)=1,1,0))</f>
        <v>0</v>
      </c>
      <c r="K751" s="47" t="n">
        <f aca="false">IF(J751=1,N(I751)+ROW()/10000000,0)</f>
        <v>0</v>
      </c>
      <c r="L751" s="47" t="str">
        <f aca="false">IF(AND(J751=1,N(I751)&gt;0),SUMIF($K$2:$K$5001,"&gt;="&amp;K751,$I$2:$I$5001)/MAX(1,SUM($H$2:$H$5001)),"")</f>
        <v/>
      </c>
      <c r="M751" s="47" t="str">
        <f aca="false">IF($A751="","",INDEX($L$2:$L$5001,MATCH($A751,$A$2:$A$5001,0)))</f>
        <v/>
      </c>
      <c r="N751" s="48" t="str">
        <f aca="false">IF($A751="","",IF(N(M751)=0,"–",IF(M751&lt;=Start!$D$20,"A",IF(M751&lt;=Start!$D$21,"B","C"))))</f>
        <v/>
      </c>
      <c r="O751" s="48" t="str">
        <f aca="false">IF($A751="","",IF(NOT(ISNUMBER(F751)),"Wert fehlt; ",IF(F751&lt;=0,"Wert ist 0; ",""))&amp;IF(NOT(ISNUMBER(E751)),"Bestand fehlt; ",IF(E751&lt;0,"Bestand negativ; ",IF(E751=0,"Nullbestand; ","")))&amp;IF(D751="","Warengruppe fehlt; ","")&amp;IF(B751="","Bezeichnung fehlt; ","")&amp;IF(COUNTIFS($A$2:$A$5001,$A751,$C$2:$C$5001,C751)&gt;1,"Artikel doppelt im selben Lager; ",""))</f>
        <v/>
      </c>
      <c r="P751" s="47" t="n">
        <f aca="false">IF(OR($A751="",D751=""),0,IF(COUNTIF($D$2:D751,D751)=1,SUMIF($D$2:$D$5001,D751,$H$2:$H$5001)+ROW()/10000000,0))</f>
        <v>0</v>
      </c>
      <c r="Q751" s="47" t="n">
        <f aca="false">IF(OR($A751="",C751=""),0,IF(COUNTIF($C$2:C751,C751)=1,SUMIF($C$2:$C$5001,C751,$H$2:$H$5001)+ROW()/10000000,0))</f>
        <v>0</v>
      </c>
    </row>
    <row r="752" customFormat="false" ht="15" hidden="false" customHeight="false" outlineLevel="0" collapsed="false">
      <c r="A752" s="43"/>
      <c r="B752" s="44"/>
      <c r="C752" s="44"/>
      <c r="D752" s="44"/>
      <c r="E752" s="44"/>
      <c r="F752" s="44"/>
      <c r="G752" s="44"/>
      <c r="H752" s="46" t="str">
        <f aca="false">IF($A752="","",IF(OR(NOT(ISNUMBER(E752)),NOT(ISNUMBER(F752))),"",MAX(0,E752)*F752))</f>
        <v/>
      </c>
      <c r="I752" s="46" t="str">
        <f aca="false">IF($A752="","",SUMIF($A$2:$A$5001,$A752,$H$2:$H$5001))</f>
        <v/>
      </c>
      <c r="J752" s="47" t="n">
        <f aca="false">IF($A752="",0,IF(COUNTIF($A$2:A752,$A752)=1,1,0))</f>
        <v>0</v>
      </c>
      <c r="K752" s="47" t="n">
        <f aca="false">IF(J752=1,N(I752)+ROW()/10000000,0)</f>
        <v>0</v>
      </c>
      <c r="L752" s="47" t="str">
        <f aca="false">IF(AND(J752=1,N(I752)&gt;0),SUMIF($K$2:$K$5001,"&gt;="&amp;K752,$I$2:$I$5001)/MAX(1,SUM($H$2:$H$5001)),"")</f>
        <v/>
      </c>
      <c r="M752" s="47" t="str">
        <f aca="false">IF($A752="","",INDEX($L$2:$L$5001,MATCH($A752,$A$2:$A$5001,0)))</f>
        <v/>
      </c>
      <c r="N752" s="48" t="str">
        <f aca="false">IF($A752="","",IF(N(M752)=0,"–",IF(M752&lt;=Start!$D$20,"A",IF(M752&lt;=Start!$D$21,"B","C"))))</f>
        <v/>
      </c>
      <c r="O752" s="48" t="str">
        <f aca="false">IF($A752="","",IF(NOT(ISNUMBER(F752)),"Wert fehlt; ",IF(F752&lt;=0,"Wert ist 0; ",""))&amp;IF(NOT(ISNUMBER(E752)),"Bestand fehlt; ",IF(E752&lt;0,"Bestand negativ; ",IF(E752=0,"Nullbestand; ","")))&amp;IF(D752="","Warengruppe fehlt; ","")&amp;IF(B752="","Bezeichnung fehlt; ","")&amp;IF(COUNTIFS($A$2:$A$5001,$A752,$C$2:$C$5001,C752)&gt;1,"Artikel doppelt im selben Lager; ",""))</f>
        <v/>
      </c>
      <c r="P752" s="47" t="n">
        <f aca="false">IF(OR($A752="",D752=""),0,IF(COUNTIF($D$2:D752,D752)=1,SUMIF($D$2:$D$5001,D752,$H$2:$H$5001)+ROW()/10000000,0))</f>
        <v>0</v>
      </c>
      <c r="Q752" s="47" t="n">
        <f aca="false">IF(OR($A752="",C752=""),0,IF(COUNTIF($C$2:C752,C752)=1,SUMIF($C$2:$C$5001,C752,$H$2:$H$5001)+ROW()/10000000,0))</f>
        <v>0</v>
      </c>
    </row>
    <row r="753" customFormat="false" ht="15" hidden="false" customHeight="false" outlineLevel="0" collapsed="false">
      <c r="A753" s="43"/>
      <c r="B753" s="44"/>
      <c r="C753" s="44"/>
      <c r="D753" s="44"/>
      <c r="E753" s="44"/>
      <c r="F753" s="44"/>
      <c r="G753" s="44"/>
      <c r="H753" s="46" t="str">
        <f aca="false">IF($A753="","",IF(OR(NOT(ISNUMBER(E753)),NOT(ISNUMBER(F753))),"",MAX(0,E753)*F753))</f>
        <v/>
      </c>
      <c r="I753" s="46" t="str">
        <f aca="false">IF($A753="","",SUMIF($A$2:$A$5001,$A753,$H$2:$H$5001))</f>
        <v/>
      </c>
      <c r="J753" s="47" t="n">
        <f aca="false">IF($A753="",0,IF(COUNTIF($A$2:A753,$A753)=1,1,0))</f>
        <v>0</v>
      </c>
      <c r="K753" s="47" t="n">
        <f aca="false">IF(J753=1,N(I753)+ROW()/10000000,0)</f>
        <v>0</v>
      </c>
      <c r="L753" s="47" t="str">
        <f aca="false">IF(AND(J753=1,N(I753)&gt;0),SUMIF($K$2:$K$5001,"&gt;="&amp;K753,$I$2:$I$5001)/MAX(1,SUM($H$2:$H$5001)),"")</f>
        <v/>
      </c>
      <c r="M753" s="47" t="str">
        <f aca="false">IF($A753="","",INDEX($L$2:$L$5001,MATCH($A753,$A$2:$A$5001,0)))</f>
        <v/>
      </c>
      <c r="N753" s="48" t="str">
        <f aca="false">IF($A753="","",IF(N(M753)=0,"–",IF(M753&lt;=Start!$D$20,"A",IF(M753&lt;=Start!$D$21,"B","C"))))</f>
        <v/>
      </c>
      <c r="O753" s="48" t="str">
        <f aca="false">IF($A753="","",IF(NOT(ISNUMBER(F753)),"Wert fehlt; ",IF(F753&lt;=0,"Wert ist 0; ",""))&amp;IF(NOT(ISNUMBER(E753)),"Bestand fehlt; ",IF(E753&lt;0,"Bestand negativ; ",IF(E753=0,"Nullbestand; ","")))&amp;IF(D753="","Warengruppe fehlt; ","")&amp;IF(B753="","Bezeichnung fehlt; ","")&amp;IF(COUNTIFS($A$2:$A$5001,$A753,$C$2:$C$5001,C753)&gt;1,"Artikel doppelt im selben Lager; ",""))</f>
        <v/>
      </c>
      <c r="P753" s="47" t="n">
        <f aca="false">IF(OR($A753="",D753=""),0,IF(COUNTIF($D$2:D753,D753)=1,SUMIF($D$2:$D$5001,D753,$H$2:$H$5001)+ROW()/10000000,0))</f>
        <v>0</v>
      </c>
      <c r="Q753" s="47" t="n">
        <f aca="false">IF(OR($A753="",C753=""),0,IF(COUNTIF($C$2:C753,C753)=1,SUMIF($C$2:$C$5001,C753,$H$2:$H$5001)+ROW()/10000000,0))</f>
        <v>0</v>
      </c>
    </row>
    <row r="754" customFormat="false" ht="15" hidden="false" customHeight="false" outlineLevel="0" collapsed="false">
      <c r="A754" s="43"/>
      <c r="B754" s="44"/>
      <c r="C754" s="44"/>
      <c r="D754" s="44"/>
      <c r="E754" s="44"/>
      <c r="F754" s="44"/>
      <c r="G754" s="44"/>
      <c r="H754" s="46" t="str">
        <f aca="false">IF($A754="","",IF(OR(NOT(ISNUMBER(E754)),NOT(ISNUMBER(F754))),"",MAX(0,E754)*F754))</f>
        <v/>
      </c>
      <c r="I754" s="46" t="str">
        <f aca="false">IF($A754="","",SUMIF($A$2:$A$5001,$A754,$H$2:$H$5001))</f>
        <v/>
      </c>
      <c r="J754" s="47" t="n">
        <f aca="false">IF($A754="",0,IF(COUNTIF($A$2:A754,$A754)=1,1,0))</f>
        <v>0</v>
      </c>
      <c r="K754" s="47" t="n">
        <f aca="false">IF(J754=1,N(I754)+ROW()/10000000,0)</f>
        <v>0</v>
      </c>
      <c r="L754" s="47" t="str">
        <f aca="false">IF(AND(J754=1,N(I754)&gt;0),SUMIF($K$2:$K$5001,"&gt;="&amp;K754,$I$2:$I$5001)/MAX(1,SUM($H$2:$H$5001)),"")</f>
        <v/>
      </c>
      <c r="M754" s="47" t="str">
        <f aca="false">IF($A754="","",INDEX($L$2:$L$5001,MATCH($A754,$A$2:$A$5001,0)))</f>
        <v/>
      </c>
      <c r="N754" s="48" t="str">
        <f aca="false">IF($A754="","",IF(N(M754)=0,"–",IF(M754&lt;=Start!$D$20,"A",IF(M754&lt;=Start!$D$21,"B","C"))))</f>
        <v/>
      </c>
      <c r="O754" s="48" t="str">
        <f aca="false">IF($A754="","",IF(NOT(ISNUMBER(F754)),"Wert fehlt; ",IF(F754&lt;=0,"Wert ist 0; ",""))&amp;IF(NOT(ISNUMBER(E754)),"Bestand fehlt; ",IF(E754&lt;0,"Bestand negativ; ",IF(E754=0,"Nullbestand; ","")))&amp;IF(D754="","Warengruppe fehlt; ","")&amp;IF(B754="","Bezeichnung fehlt; ","")&amp;IF(COUNTIFS($A$2:$A$5001,$A754,$C$2:$C$5001,C754)&gt;1,"Artikel doppelt im selben Lager; ",""))</f>
        <v/>
      </c>
      <c r="P754" s="47" t="n">
        <f aca="false">IF(OR($A754="",D754=""),0,IF(COUNTIF($D$2:D754,D754)=1,SUMIF($D$2:$D$5001,D754,$H$2:$H$5001)+ROW()/10000000,0))</f>
        <v>0</v>
      </c>
      <c r="Q754" s="47" t="n">
        <f aca="false">IF(OR($A754="",C754=""),0,IF(COUNTIF($C$2:C754,C754)=1,SUMIF($C$2:$C$5001,C754,$H$2:$H$5001)+ROW()/10000000,0))</f>
        <v>0</v>
      </c>
    </row>
    <row r="755" customFormat="false" ht="15" hidden="false" customHeight="false" outlineLevel="0" collapsed="false">
      <c r="A755" s="43"/>
      <c r="B755" s="44"/>
      <c r="C755" s="44"/>
      <c r="D755" s="44"/>
      <c r="E755" s="44"/>
      <c r="F755" s="44"/>
      <c r="G755" s="44"/>
      <c r="H755" s="46" t="str">
        <f aca="false">IF($A755="","",IF(OR(NOT(ISNUMBER(E755)),NOT(ISNUMBER(F755))),"",MAX(0,E755)*F755))</f>
        <v/>
      </c>
      <c r="I755" s="46" t="str">
        <f aca="false">IF($A755="","",SUMIF($A$2:$A$5001,$A755,$H$2:$H$5001))</f>
        <v/>
      </c>
      <c r="J755" s="47" t="n">
        <f aca="false">IF($A755="",0,IF(COUNTIF($A$2:A755,$A755)=1,1,0))</f>
        <v>0</v>
      </c>
      <c r="K755" s="47" t="n">
        <f aca="false">IF(J755=1,N(I755)+ROW()/10000000,0)</f>
        <v>0</v>
      </c>
      <c r="L755" s="47" t="str">
        <f aca="false">IF(AND(J755=1,N(I755)&gt;0),SUMIF($K$2:$K$5001,"&gt;="&amp;K755,$I$2:$I$5001)/MAX(1,SUM($H$2:$H$5001)),"")</f>
        <v/>
      </c>
      <c r="M755" s="47" t="str">
        <f aca="false">IF($A755="","",INDEX($L$2:$L$5001,MATCH($A755,$A$2:$A$5001,0)))</f>
        <v/>
      </c>
      <c r="N755" s="48" t="str">
        <f aca="false">IF($A755="","",IF(N(M755)=0,"–",IF(M755&lt;=Start!$D$20,"A",IF(M755&lt;=Start!$D$21,"B","C"))))</f>
        <v/>
      </c>
      <c r="O755" s="48" t="str">
        <f aca="false">IF($A755="","",IF(NOT(ISNUMBER(F755)),"Wert fehlt; ",IF(F755&lt;=0,"Wert ist 0; ",""))&amp;IF(NOT(ISNUMBER(E755)),"Bestand fehlt; ",IF(E755&lt;0,"Bestand negativ; ",IF(E755=0,"Nullbestand; ","")))&amp;IF(D755="","Warengruppe fehlt; ","")&amp;IF(B755="","Bezeichnung fehlt; ","")&amp;IF(COUNTIFS($A$2:$A$5001,$A755,$C$2:$C$5001,C755)&gt;1,"Artikel doppelt im selben Lager; ",""))</f>
        <v/>
      </c>
      <c r="P755" s="47" t="n">
        <f aca="false">IF(OR($A755="",D755=""),0,IF(COUNTIF($D$2:D755,D755)=1,SUMIF($D$2:$D$5001,D755,$H$2:$H$5001)+ROW()/10000000,0))</f>
        <v>0</v>
      </c>
      <c r="Q755" s="47" t="n">
        <f aca="false">IF(OR($A755="",C755=""),0,IF(COUNTIF($C$2:C755,C755)=1,SUMIF($C$2:$C$5001,C755,$H$2:$H$5001)+ROW()/10000000,0))</f>
        <v>0</v>
      </c>
    </row>
    <row r="756" customFormat="false" ht="15" hidden="false" customHeight="false" outlineLevel="0" collapsed="false">
      <c r="A756" s="43"/>
      <c r="B756" s="44"/>
      <c r="C756" s="44"/>
      <c r="D756" s="44"/>
      <c r="E756" s="44"/>
      <c r="F756" s="44"/>
      <c r="G756" s="44"/>
      <c r="H756" s="46" t="str">
        <f aca="false">IF($A756="","",IF(OR(NOT(ISNUMBER(E756)),NOT(ISNUMBER(F756))),"",MAX(0,E756)*F756))</f>
        <v/>
      </c>
      <c r="I756" s="46" t="str">
        <f aca="false">IF($A756="","",SUMIF($A$2:$A$5001,$A756,$H$2:$H$5001))</f>
        <v/>
      </c>
      <c r="J756" s="47" t="n">
        <f aca="false">IF($A756="",0,IF(COUNTIF($A$2:A756,$A756)=1,1,0))</f>
        <v>0</v>
      </c>
      <c r="K756" s="47" t="n">
        <f aca="false">IF(J756=1,N(I756)+ROW()/10000000,0)</f>
        <v>0</v>
      </c>
      <c r="L756" s="47" t="str">
        <f aca="false">IF(AND(J756=1,N(I756)&gt;0),SUMIF($K$2:$K$5001,"&gt;="&amp;K756,$I$2:$I$5001)/MAX(1,SUM($H$2:$H$5001)),"")</f>
        <v/>
      </c>
      <c r="M756" s="47" t="str">
        <f aca="false">IF($A756="","",INDEX($L$2:$L$5001,MATCH($A756,$A$2:$A$5001,0)))</f>
        <v/>
      </c>
      <c r="N756" s="48" t="str">
        <f aca="false">IF($A756="","",IF(N(M756)=0,"–",IF(M756&lt;=Start!$D$20,"A",IF(M756&lt;=Start!$D$21,"B","C"))))</f>
        <v/>
      </c>
      <c r="O756" s="48" t="str">
        <f aca="false">IF($A756="","",IF(NOT(ISNUMBER(F756)),"Wert fehlt; ",IF(F756&lt;=0,"Wert ist 0; ",""))&amp;IF(NOT(ISNUMBER(E756)),"Bestand fehlt; ",IF(E756&lt;0,"Bestand negativ; ",IF(E756=0,"Nullbestand; ","")))&amp;IF(D756="","Warengruppe fehlt; ","")&amp;IF(B756="","Bezeichnung fehlt; ","")&amp;IF(COUNTIFS($A$2:$A$5001,$A756,$C$2:$C$5001,C756)&gt;1,"Artikel doppelt im selben Lager; ",""))</f>
        <v/>
      </c>
      <c r="P756" s="47" t="n">
        <f aca="false">IF(OR($A756="",D756=""),0,IF(COUNTIF($D$2:D756,D756)=1,SUMIF($D$2:$D$5001,D756,$H$2:$H$5001)+ROW()/10000000,0))</f>
        <v>0</v>
      </c>
      <c r="Q756" s="47" t="n">
        <f aca="false">IF(OR($A756="",C756=""),0,IF(COUNTIF($C$2:C756,C756)=1,SUMIF($C$2:$C$5001,C756,$H$2:$H$5001)+ROW()/10000000,0))</f>
        <v>0</v>
      </c>
    </row>
    <row r="757" customFormat="false" ht="15" hidden="false" customHeight="false" outlineLevel="0" collapsed="false">
      <c r="A757" s="43"/>
      <c r="B757" s="44"/>
      <c r="C757" s="44"/>
      <c r="D757" s="44"/>
      <c r="E757" s="44"/>
      <c r="F757" s="44"/>
      <c r="G757" s="44"/>
      <c r="H757" s="46" t="str">
        <f aca="false">IF($A757="","",IF(OR(NOT(ISNUMBER(E757)),NOT(ISNUMBER(F757))),"",MAX(0,E757)*F757))</f>
        <v/>
      </c>
      <c r="I757" s="46" t="str">
        <f aca="false">IF($A757="","",SUMIF($A$2:$A$5001,$A757,$H$2:$H$5001))</f>
        <v/>
      </c>
      <c r="J757" s="47" t="n">
        <f aca="false">IF($A757="",0,IF(COUNTIF($A$2:A757,$A757)=1,1,0))</f>
        <v>0</v>
      </c>
      <c r="K757" s="47" t="n">
        <f aca="false">IF(J757=1,N(I757)+ROW()/10000000,0)</f>
        <v>0</v>
      </c>
      <c r="L757" s="47" t="str">
        <f aca="false">IF(AND(J757=1,N(I757)&gt;0),SUMIF($K$2:$K$5001,"&gt;="&amp;K757,$I$2:$I$5001)/MAX(1,SUM($H$2:$H$5001)),"")</f>
        <v/>
      </c>
      <c r="M757" s="47" t="str">
        <f aca="false">IF($A757="","",INDEX($L$2:$L$5001,MATCH($A757,$A$2:$A$5001,0)))</f>
        <v/>
      </c>
      <c r="N757" s="48" t="str">
        <f aca="false">IF($A757="","",IF(N(M757)=0,"–",IF(M757&lt;=Start!$D$20,"A",IF(M757&lt;=Start!$D$21,"B","C"))))</f>
        <v/>
      </c>
      <c r="O757" s="48" t="str">
        <f aca="false">IF($A757="","",IF(NOT(ISNUMBER(F757)),"Wert fehlt; ",IF(F757&lt;=0,"Wert ist 0; ",""))&amp;IF(NOT(ISNUMBER(E757)),"Bestand fehlt; ",IF(E757&lt;0,"Bestand negativ; ",IF(E757=0,"Nullbestand; ","")))&amp;IF(D757="","Warengruppe fehlt; ","")&amp;IF(B757="","Bezeichnung fehlt; ","")&amp;IF(COUNTIFS($A$2:$A$5001,$A757,$C$2:$C$5001,C757)&gt;1,"Artikel doppelt im selben Lager; ",""))</f>
        <v/>
      </c>
      <c r="P757" s="47" t="n">
        <f aca="false">IF(OR($A757="",D757=""),0,IF(COUNTIF($D$2:D757,D757)=1,SUMIF($D$2:$D$5001,D757,$H$2:$H$5001)+ROW()/10000000,0))</f>
        <v>0</v>
      </c>
      <c r="Q757" s="47" t="n">
        <f aca="false">IF(OR($A757="",C757=""),0,IF(COUNTIF($C$2:C757,C757)=1,SUMIF($C$2:$C$5001,C757,$H$2:$H$5001)+ROW()/10000000,0))</f>
        <v>0</v>
      </c>
    </row>
    <row r="758" customFormat="false" ht="15" hidden="false" customHeight="false" outlineLevel="0" collapsed="false">
      <c r="A758" s="43"/>
      <c r="B758" s="44"/>
      <c r="C758" s="44"/>
      <c r="D758" s="44"/>
      <c r="E758" s="44"/>
      <c r="F758" s="44"/>
      <c r="G758" s="44"/>
      <c r="H758" s="46" t="str">
        <f aca="false">IF($A758="","",IF(OR(NOT(ISNUMBER(E758)),NOT(ISNUMBER(F758))),"",MAX(0,E758)*F758))</f>
        <v/>
      </c>
      <c r="I758" s="46" t="str">
        <f aca="false">IF($A758="","",SUMIF($A$2:$A$5001,$A758,$H$2:$H$5001))</f>
        <v/>
      </c>
      <c r="J758" s="47" t="n">
        <f aca="false">IF($A758="",0,IF(COUNTIF($A$2:A758,$A758)=1,1,0))</f>
        <v>0</v>
      </c>
      <c r="K758" s="47" t="n">
        <f aca="false">IF(J758=1,N(I758)+ROW()/10000000,0)</f>
        <v>0</v>
      </c>
      <c r="L758" s="47" t="str">
        <f aca="false">IF(AND(J758=1,N(I758)&gt;0),SUMIF($K$2:$K$5001,"&gt;="&amp;K758,$I$2:$I$5001)/MAX(1,SUM($H$2:$H$5001)),"")</f>
        <v/>
      </c>
      <c r="M758" s="47" t="str">
        <f aca="false">IF($A758="","",INDEX($L$2:$L$5001,MATCH($A758,$A$2:$A$5001,0)))</f>
        <v/>
      </c>
      <c r="N758" s="48" t="str">
        <f aca="false">IF($A758="","",IF(N(M758)=0,"–",IF(M758&lt;=Start!$D$20,"A",IF(M758&lt;=Start!$D$21,"B","C"))))</f>
        <v/>
      </c>
      <c r="O758" s="48" t="str">
        <f aca="false">IF($A758="","",IF(NOT(ISNUMBER(F758)),"Wert fehlt; ",IF(F758&lt;=0,"Wert ist 0; ",""))&amp;IF(NOT(ISNUMBER(E758)),"Bestand fehlt; ",IF(E758&lt;0,"Bestand negativ; ",IF(E758=0,"Nullbestand; ","")))&amp;IF(D758="","Warengruppe fehlt; ","")&amp;IF(B758="","Bezeichnung fehlt; ","")&amp;IF(COUNTIFS($A$2:$A$5001,$A758,$C$2:$C$5001,C758)&gt;1,"Artikel doppelt im selben Lager; ",""))</f>
        <v/>
      </c>
      <c r="P758" s="47" t="n">
        <f aca="false">IF(OR($A758="",D758=""),0,IF(COUNTIF($D$2:D758,D758)=1,SUMIF($D$2:$D$5001,D758,$H$2:$H$5001)+ROW()/10000000,0))</f>
        <v>0</v>
      </c>
      <c r="Q758" s="47" t="n">
        <f aca="false">IF(OR($A758="",C758=""),0,IF(COUNTIF($C$2:C758,C758)=1,SUMIF($C$2:$C$5001,C758,$H$2:$H$5001)+ROW()/10000000,0))</f>
        <v>0</v>
      </c>
    </row>
    <row r="759" customFormat="false" ht="15" hidden="false" customHeight="false" outlineLevel="0" collapsed="false">
      <c r="A759" s="43"/>
      <c r="B759" s="44"/>
      <c r="C759" s="44"/>
      <c r="D759" s="44"/>
      <c r="E759" s="44"/>
      <c r="F759" s="44"/>
      <c r="G759" s="44"/>
      <c r="H759" s="46" t="str">
        <f aca="false">IF($A759="","",IF(OR(NOT(ISNUMBER(E759)),NOT(ISNUMBER(F759))),"",MAX(0,E759)*F759))</f>
        <v/>
      </c>
      <c r="I759" s="46" t="str">
        <f aca="false">IF($A759="","",SUMIF($A$2:$A$5001,$A759,$H$2:$H$5001))</f>
        <v/>
      </c>
      <c r="J759" s="47" t="n">
        <f aca="false">IF($A759="",0,IF(COUNTIF($A$2:A759,$A759)=1,1,0))</f>
        <v>0</v>
      </c>
      <c r="K759" s="47" t="n">
        <f aca="false">IF(J759=1,N(I759)+ROW()/10000000,0)</f>
        <v>0</v>
      </c>
      <c r="L759" s="47" t="str">
        <f aca="false">IF(AND(J759=1,N(I759)&gt;0),SUMIF($K$2:$K$5001,"&gt;="&amp;K759,$I$2:$I$5001)/MAX(1,SUM($H$2:$H$5001)),"")</f>
        <v/>
      </c>
      <c r="M759" s="47" t="str">
        <f aca="false">IF($A759="","",INDEX($L$2:$L$5001,MATCH($A759,$A$2:$A$5001,0)))</f>
        <v/>
      </c>
      <c r="N759" s="48" t="str">
        <f aca="false">IF($A759="","",IF(N(M759)=0,"–",IF(M759&lt;=Start!$D$20,"A",IF(M759&lt;=Start!$D$21,"B","C"))))</f>
        <v/>
      </c>
      <c r="O759" s="48" t="str">
        <f aca="false">IF($A759="","",IF(NOT(ISNUMBER(F759)),"Wert fehlt; ",IF(F759&lt;=0,"Wert ist 0; ",""))&amp;IF(NOT(ISNUMBER(E759)),"Bestand fehlt; ",IF(E759&lt;0,"Bestand negativ; ",IF(E759=0,"Nullbestand; ","")))&amp;IF(D759="","Warengruppe fehlt; ","")&amp;IF(B759="","Bezeichnung fehlt; ","")&amp;IF(COUNTIFS($A$2:$A$5001,$A759,$C$2:$C$5001,C759)&gt;1,"Artikel doppelt im selben Lager; ",""))</f>
        <v/>
      </c>
      <c r="P759" s="47" t="n">
        <f aca="false">IF(OR($A759="",D759=""),0,IF(COUNTIF($D$2:D759,D759)=1,SUMIF($D$2:$D$5001,D759,$H$2:$H$5001)+ROW()/10000000,0))</f>
        <v>0</v>
      </c>
      <c r="Q759" s="47" t="n">
        <f aca="false">IF(OR($A759="",C759=""),0,IF(COUNTIF($C$2:C759,C759)=1,SUMIF($C$2:$C$5001,C759,$H$2:$H$5001)+ROW()/10000000,0))</f>
        <v>0</v>
      </c>
    </row>
    <row r="760" customFormat="false" ht="15" hidden="false" customHeight="false" outlineLevel="0" collapsed="false">
      <c r="A760" s="43"/>
      <c r="B760" s="44"/>
      <c r="C760" s="44"/>
      <c r="D760" s="44"/>
      <c r="E760" s="44"/>
      <c r="F760" s="44"/>
      <c r="G760" s="44"/>
      <c r="H760" s="46" t="str">
        <f aca="false">IF($A760="","",IF(OR(NOT(ISNUMBER(E760)),NOT(ISNUMBER(F760))),"",MAX(0,E760)*F760))</f>
        <v/>
      </c>
      <c r="I760" s="46" t="str">
        <f aca="false">IF($A760="","",SUMIF($A$2:$A$5001,$A760,$H$2:$H$5001))</f>
        <v/>
      </c>
      <c r="J760" s="47" t="n">
        <f aca="false">IF($A760="",0,IF(COUNTIF($A$2:A760,$A760)=1,1,0))</f>
        <v>0</v>
      </c>
      <c r="K760" s="47" t="n">
        <f aca="false">IF(J760=1,N(I760)+ROW()/10000000,0)</f>
        <v>0</v>
      </c>
      <c r="L760" s="47" t="str">
        <f aca="false">IF(AND(J760=1,N(I760)&gt;0),SUMIF($K$2:$K$5001,"&gt;="&amp;K760,$I$2:$I$5001)/MAX(1,SUM($H$2:$H$5001)),"")</f>
        <v/>
      </c>
      <c r="M760" s="47" t="str">
        <f aca="false">IF($A760="","",INDEX($L$2:$L$5001,MATCH($A760,$A$2:$A$5001,0)))</f>
        <v/>
      </c>
      <c r="N760" s="48" t="str">
        <f aca="false">IF($A760="","",IF(N(M760)=0,"–",IF(M760&lt;=Start!$D$20,"A",IF(M760&lt;=Start!$D$21,"B","C"))))</f>
        <v/>
      </c>
      <c r="O760" s="48" t="str">
        <f aca="false">IF($A760="","",IF(NOT(ISNUMBER(F760)),"Wert fehlt; ",IF(F760&lt;=0,"Wert ist 0; ",""))&amp;IF(NOT(ISNUMBER(E760)),"Bestand fehlt; ",IF(E760&lt;0,"Bestand negativ; ",IF(E760=0,"Nullbestand; ","")))&amp;IF(D760="","Warengruppe fehlt; ","")&amp;IF(B760="","Bezeichnung fehlt; ","")&amp;IF(COUNTIFS($A$2:$A$5001,$A760,$C$2:$C$5001,C760)&gt;1,"Artikel doppelt im selben Lager; ",""))</f>
        <v/>
      </c>
      <c r="P760" s="47" t="n">
        <f aca="false">IF(OR($A760="",D760=""),0,IF(COUNTIF($D$2:D760,D760)=1,SUMIF($D$2:$D$5001,D760,$H$2:$H$5001)+ROW()/10000000,0))</f>
        <v>0</v>
      </c>
      <c r="Q760" s="47" t="n">
        <f aca="false">IF(OR($A760="",C760=""),0,IF(COUNTIF($C$2:C760,C760)=1,SUMIF($C$2:$C$5001,C760,$H$2:$H$5001)+ROW()/10000000,0))</f>
        <v>0</v>
      </c>
    </row>
    <row r="761" customFormat="false" ht="15" hidden="false" customHeight="false" outlineLevel="0" collapsed="false">
      <c r="A761" s="43"/>
      <c r="B761" s="44"/>
      <c r="C761" s="44"/>
      <c r="D761" s="44"/>
      <c r="E761" s="44"/>
      <c r="F761" s="44"/>
      <c r="G761" s="44"/>
      <c r="H761" s="46" t="str">
        <f aca="false">IF($A761="","",IF(OR(NOT(ISNUMBER(E761)),NOT(ISNUMBER(F761))),"",MAX(0,E761)*F761))</f>
        <v/>
      </c>
      <c r="I761" s="46" t="str">
        <f aca="false">IF($A761="","",SUMIF($A$2:$A$5001,$A761,$H$2:$H$5001))</f>
        <v/>
      </c>
      <c r="J761" s="47" t="n">
        <f aca="false">IF($A761="",0,IF(COUNTIF($A$2:A761,$A761)=1,1,0))</f>
        <v>0</v>
      </c>
      <c r="K761" s="47" t="n">
        <f aca="false">IF(J761=1,N(I761)+ROW()/10000000,0)</f>
        <v>0</v>
      </c>
      <c r="L761" s="47" t="str">
        <f aca="false">IF(AND(J761=1,N(I761)&gt;0),SUMIF($K$2:$K$5001,"&gt;="&amp;K761,$I$2:$I$5001)/MAX(1,SUM($H$2:$H$5001)),"")</f>
        <v/>
      </c>
      <c r="M761" s="47" t="str">
        <f aca="false">IF($A761="","",INDEX($L$2:$L$5001,MATCH($A761,$A$2:$A$5001,0)))</f>
        <v/>
      </c>
      <c r="N761" s="48" t="str">
        <f aca="false">IF($A761="","",IF(N(M761)=0,"–",IF(M761&lt;=Start!$D$20,"A",IF(M761&lt;=Start!$D$21,"B","C"))))</f>
        <v/>
      </c>
      <c r="O761" s="48" t="str">
        <f aca="false">IF($A761="","",IF(NOT(ISNUMBER(F761)),"Wert fehlt; ",IF(F761&lt;=0,"Wert ist 0; ",""))&amp;IF(NOT(ISNUMBER(E761)),"Bestand fehlt; ",IF(E761&lt;0,"Bestand negativ; ",IF(E761=0,"Nullbestand; ","")))&amp;IF(D761="","Warengruppe fehlt; ","")&amp;IF(B761="","Bezeichnung fehlt; ","")&amp;IF(COUNTIFS($A$2:$A$5001,$A761,$C$2:$C$5001,C761)&gt;1,"Artikel doppelt im selben Lager; ",""))</f>
        <v/>
      </c>
      <c r="P761" s="47" t="n">
        <f aca="false">IF(OR($A761="",D761=""),0,IF(COUNTIF($D$2:D761,D761)=1,SUMIF($D$2:$D$5001,D761,$H$2:$H$5001)+ROW()/10000000,0))</f>
        <v>0</v>
      </c>
      <c r="Q761" s="47" t="n">
        <f aca="false">IF(OR($A761="",C761=""),0,IF(COUNTIF($C$2:C761,C761)=1,SUMIF($C$2:$C$5001,C761,$H$2:$H$5001)+ROW()/10000000,0))</f>
        <v>0</v>
      </c>
    </row>
    <row r="762" customFormat="false" ht="15" hidden="false" customHeight="false" outlineLevel="0" collapsed="false">
      <c r="A762" s="43"/>
      <c r="B762" s="44"/>
      <c r="C762" s="44"/>
      <c r="D762" s="44"/>
      <c r="E762" s="44"/>
      <c r="F762" s="44"/>
      <c r="G762" s="44"/>
      <c r="H762" s="46" t="str">
        <f aca="false">IF($A762="","",IF(OR(NOT(ISNUMBER(E762)),NOT(ISNUMBER(F762))),"",MAX(0,E762)*F762))</f>
        <v/>
      </c>
      <c r="I762" s="46" t="str">
        <f aca="false">IF($A762="","",SUMIF($A$2:$A$5001,$A762,$H$2:$H$5001))</f>
        <v/>
      </c>
      <c r="J762" s="47" t="n">
        <f aca="false">IF($A762="",0,IF(COUNTIF($A$2:A762,$A762)=1,1,0))</f>
        <v>0</v>
      </c>
      <c r="K762" s="47" t="n">
        <f aca="false">IF(J762=1,N(I762)+ROW()/10000000,0)</f>
        <v>0</v>
      </c>
      <c r="L762" s="47" t="str">
        <f aca="false">IF(AND(J762=1,N(I762)&gt;0),SUMIF($K$2:$K$5001,"&gt;="&amp;K762,$I$2:$I$5001)/MAX(1,SUM($H$2:$H$5001)),"")</f>
        <v/>
      </c>
      <c r="M762" s="47" t="str">
        <f aca="false">IF($A762="","",INDEX($L$2:$L$5001,MATCH($A762,$A$2:$A$5001,0)))</f>
        <v/>
      </c>
      <c r="N762" s="48" t="str">
        <f aca="false">IF($A762="","",IF(N(M762)=0,"–",IF(M762&lt;=Start!$D$20,"A",IF(M762&lt;=Start!$D$21,"B","C"))))</f>
        <v/>
      </c>
      <c r="O762" s="48" t="str">
        <f aca="false">IF($A762="","",IF(NOT(ISNUMBER(F762)),"Wert fehlt; ",IF(F762&lt;=0,"Wert ist 0; ",""))&amp;IF(NOT(ISNUMBER(E762)),"Bestand fehlt; ",IF(E762&lt;0,"Bestand negativ; ",IF(E762=0,"Nullbestand; ","")))&amp;IF(D762="","Warengruppe fehlt; ","")&amp;IF(B762="","Bezeichnung fehlt; ","")&amp;IF(COUNTIFS($A$2:$A$5001,$A762,$C$2:$C$5001,C762)&gt;1,"Artikel doppelt im selben Lager; ",""))</f>
        <v/>
      </c>
      <c r="P762" s="47" t="n">
        <f aca="false">IF(OR($A762="",D762=""),0,IF(COUNTIF($D$2:D762,D762)=1,SUMIF($D$2:$D$5001,D762,$H$2:$H$5001)+ROW()/10000000,0))</f>
        <v>0</v>
      </c>
      <c r="Q762" s="47" t="n">
        <f aca="false">IF(OR($A762="",C762=""),0,IF(COUNTIF($C$2:C762,C762)=1,SUMIF($C$2:$C$5001,C762,$H$2:$H$5001)+ROW()/10000000,0))</f>
        <v>0</v>
      </c>
    </row>
    <row r="763" customFormat="false" ht="15" hidden="false" customHeight="false" outlineLevel="0" collapsed="false">
      <c r="A763" s="43"/>
      <c r="B763" s="44"/>
      <c r="C763" s="44"/>
      <c r="D763" s="44"/>
      <c r="E763" s="44"/>
      <c r="F763" s="44"/>
      <c r="G763" s="44"/>
      <c r="H763" s="46" t="str">
        <f aca="false">IF($A763="","",IF(OR(NOT(ISNUMBER(E763)),NOT(ISNUMBER(F763))),"",MAX(0,E763)*F763))</f>
        <v/>
      </c>
      <c r="I763" s="46" t="str">
        <f aca="false">IF($A763="","",SUMIF($A$2:$A$5001,$A763,$H$2:$H$5001))</f>
        <v/>
      </c>
      <c r="J763" s="47" t="n">
        <f aca="false">IF($A763="",0,IF(COUNTIF($A$2:A763,$A763)=1,1,0))</f>
        <v>0</v>
      </c>
      <c r="K763" s="47" t="n">
        <f aca="false">IF(J763=1,N(I763)+ROW()/10000000,0)</f>
        <v>0</v>
      </c>
      <c r="L763" s="47" t="str">
        <f aca="false">IF(AND(J763=1,N(I763)&gt;0),SUMIF($K$2:$K$5001,"&gt;="&amp;K763,$I$2:$I$5001)/MAX(1,SUM($H$2:$H$5001)),"")</f>
        <v/>
      </c>
      <c r="M763" s="47" t="str">
        <f aca="false">IF($A763="","",INDEX($L$2:$L$5001,MATCH($A763,$A$2:$A$5001,0)))</f>
        <v/>
      </c>
      <c r="N763" s="48" t="str">
        <f aca="false">IF($A763="","",IF(N(M763)=0,"–",IF(M763&lt;=Start!$D$20,"A",IF(M763&lt;=Start!$D$21,"B","C"))))</f>
        <v/>
      </c>
      <c r="O763" s="48" t="str">
        <f aca="false">IF($A763="","",IF(NOT(ISNUMBER(F763)),"Wert fehlt; ",IF(F763&lt;=0,"Wert ist 0; ",""))&amp;IF(NOT(ISNUMBER(E763)),"Bestand fehlt; ",IF(E763&lt;0,"Bestand negativ; ",IF(E763=0,"Nullbestand; ","")))&amp;IF(D763="","Warengruppe fehlt; ","")&amp;IF(B763="","Bezeichnung fehlt; ","")&amp;IF(COUNTIFS($A$2:$A$5001,$A763,$C$2:$C$5001,C763)&gt;1,"Artikel doppelt im selben Lager; ",""))</f>
        <v/>
      </c>
      <c r="P763" s="47" t="n">
        <f aca="false">IF(OR($A763="",D763=""),0,IF(COUNTIF($D$2:D763,D763)=1,SUMIF($D$2:$D$5001,D763,$H$2:$H$5001)+ROW()/10000000,0))</f>
        <v>0</v>
      </c>
      <c r="Q763" s="47" t="n">
        <f aca="false">IF(OR($A763="",C763=""),0,IF(COUNTIF($C$2:C763,C763)=1,SUMIF($C$2:$C$5001,C763,$H$2:$H$5001)+ROW()/10000000,0))</f>
        <v>0</v>
      </c>
    </row>
    <row r="764" customFormat="false" ht="15" hidden="false" customHeight="false" outlineLevel="0" collapsed="false">
      <c r="A764" s="43"/>
      <c r="B764" s="44"/>
      <c r="C764" s="44"/>
      <c r="D764" s="44"/>
      <c r="E764" s="44"/>
      <c r="F764" s="44"/>
      <c r="G764" s="44"/>
      <c r="H764" s="46" t="str">
        <f aca="false">IF($A764="","",IF(OR(NOT(ISNUMBER(E764)),NOT(ISNUMBER(F764))),"",MAX(0,E764)*F764))</f>
        <v/>
      </c>
      <c r="I764" s="46" t="str">
        <f aca="false">IF($A764="","",SUMIF($A$2:$A$5001,$A764,$H$2:$H$5001))</f>
        <v/>
      </c>
      <c r="J764" s="47" t="n">
        <f aca="false">IF($A764="",0,IF(COUNTIF($A$2:A764,$A764)=1,1,0))</f>
        <v>0</v>
      </c>
      <c r="K764" s="47" t="n">
        <f aca="false">IF(J764=1,N(I764)+ROW()/10000000,0)</f>
        <v>0</v>
      </c>
      <c r="L764" s="47" t="str">
        <f aca="false">IF(AND(J764=1,N(I764)&gt;0),SUMIF($K$2:$K$5001,"&gt;="&amp;K764,$I$2:$I$5001)/MAX(1,SUM($H$2:$H$5001)),"")</f>
        <v/>
      </c>
      <c r="M764" s="47" t="str">
        <f aca="false">IF($A764="","",INDEX($L$2:$L$5001,MATCH($A764,$A$2:$A$5001,0)))</f>
        <v/>
      </c>
      <c r="N764" s="48" t="str">
        <f aca="false">IF($A764="","",IF(N(M764)=0,"–",IF(M764&lt;=Start!$D$20,"A",IF(M764&lt;=Start!$D$21,"B","C"))))</f>
        <v/>
      </c>
      <c r="O764" s="48" t="str">
        <f aca="false">IF($A764="","",IF(NOT(ISNUMBER(F764)),"Wert fehlt; ",IF(F764&lt;=0,"Wert ist 0; ",""))&amp;IF(NOT(ISNUMBER(E764)),"Bestand fehlt; ",IF(E764&lt;0,"Bestand negativ; ",IF(E764=0,"Nullbestand; ","")))&amp;IF(D764="","Warengruppe fehlt; ","")&amp;IF(B764="","Bezeichnung fehlt; ","")&amp;IF(COUNTIFS($A$2:$A$5001,$A764,$C$2:$C$5001,C764)&gt;1,"Artikel doppelt im selben Lager; ",""))</f>
        <v/>
      </c>
      <c r="P764" s="47" t="n">
        <f aca="false">IF(OR($A764="",D764=""),0,IF(COUNTIF($D$2:D764,D764)=1,SUMIF($D$2:$D$5001,D764,$H$2:$H$5001)+ROW()/10000000,0))</f>
        <v>0</v>
      </c>
      <c r="Q764" s="47" t="n">
        <f aca="false">IF(OR($A764="",C764=""),0,IF(COUNTIF($C$2:C764,C764)=1,SUMIF($C$2:$C$5001,C764,$H$2:$H$5001)+ROW()/10000000,0))</f>
        <v>0</v>
      </c>
    </row>
    <row r="765" customFormat="false" ht="15" hidden="false" customHeight="false" outlineLevel="0" collapsed="false">
      <c r="A765" s="43"/>
      <c r="B765" s="44"/>
      <c r="C765" s="44"/>
      <c r="D765" s="44"/>
      <c r="E765" s="44"/>
      <c r="F765" s="44"/>
      <c r="G765" s="44"/>
      <c r="H765" s="46" t="str">
        <f aca="false">IF($A765="","",IF(OR(NOT(ISNUMBER(E765)),NOT(ISNUMBER(F765))),"",MAX(0,E765)*F765))</f>
        <v/>
      </c>
      <c r="I765" s="46" t="str">
        <f aca="false">IF($A765="","",SUMIF($A$2:$A$5001,$A765,$H$2:$H$5001))</f>
        <v/>
      </c>
      <c r="J765" s="47" t="n">
        <f aca="false">IF($A765="",0,IF(COUNTIF($A$2:A765,$A765)=1,1,0))</f>
        <v>0</v>
      </c>
      <c r="K765" s="47" t="n">
        <f aca="false">IF(J765=1,N(I765)+ROW()/10000000,0)</f>
        <v>0</v>
      </c>
      <c r="L765" s="47" t="str">
        <f aca="false">IF(AND(J765=1,N(I765)&gt;0),SUMIF($K$2:$K$5001,"&gt;="&amp;K765,$I$2:$I$5001)/MAX(1,SUM($H$2:$H$5001)),"")</f>
        <v/>
      </c>
      <c r="M765" s="47" t="str">
        <f aca="false">IF($A765="","",INDEX($L$2:$L$5001,MATCH($A765,$A$2:$A$5001,0)))</f>
        <v/>
      </c>
      <c r="N765" s="48" t="str">
        <f aca="false">IF($A765="","",IF(N(M765)=0,"–",IF(M765&lt;=Start!$D$20,"A",IF(M765&lt;=Start!$D$21,"B","C"))))</f>
        <v/>
      </c>
      <c r="O765" s="48" t="str">
        <f aca="false">IF($A765="","",IF(NOT(ISNUMBER(F765)),"Wert fehlt; ",IF(F765&lt;=0,"Wert ist 0; ",""))&amp;IF(NOT(ISNUMBER(E765)),"Bestand fehlt; ",IF(E765&lt;0,"Bestand negativ; ",IF(E765=0,"Nullbestand; ","")))&amp;IF(D765="","Warengruppe fehlt; ","")&amp;IF(B765="","Bezeichnung fehlt; ","")&amp;IF(COUNTIFS($A$2:$A$5001,$A765,$C$2:$C$5001,C765)&gt;1,"Artikel doppelt im selben Lager; ",""))</f>
        <v/>
      </c>
      <c r="P765" s="47" t="n">
        <f aca="false">IF(OR($A765="",D765=""),0,IF(COUNTIF($D$2:D765,D765)=1,SUMIF($D$2:$D$5001,D765,$H$2:$H$5001)+ROW()/10000000,0))</f>
        <v>0</v>
      </c>
      <c r="Q765" s="47" t="n">
        <f aca="false">IF(OR($A765="",C765=""),0,IF(COUNTIF($C$2:C765,C765)=1,SUMIF($C$2:$C$5001,C765,$H$2:$H$5001)+ROW()/10000000,0))</f>
        <v>0</v>
      </c>
    </row>
    <row r="766" customFormat="false" ht="15" hidden="false" customHeight="false" outlineLevel="0" collapsed="false">
      <c r="A766" s="43"/>
      <c r="B766" s="44"/>
      <c r="C766" s="44"/>
      <c r="D766" s="44"/>
      <c r="E766" s="44"/>
      <c r="F766" s="44"/>
      <c r="G766" s="44"/>
      <c r="H766" s="46" t="str">
        <f aca="false">IF($A766="","",IF(OR(NOT(ISNUMBER(E766)),NOT(ISNUMBER(F766))),"",MAX(0,E766)*F766))</f>
        <v/>
      </c>
      <c r="I766" s="46" t="str">
        <f aca="false">IF($A766="","",SUMIF($A$2:$A$5001,$A766,$H$2:$H$5001))</f>
        <v/>
      </c>
      <c r="J766" s="47" t="n">
        <f aca="false">IF($A766="",0,IF(COUNTIF($A$2:A766,$A766)=1,1,0))</f>
        <v>0</v>
      </c>
      <c r="K766" s="47" t="n">
        <f aca="false">IF(J766=1,N(I766)+ROW()/10000000,0)</f>
        <v>0</v>
      </c>
      <c r="L766" s="47" t="str">
        <f aca="false">IF(AND(J766=1,N(I766)&gt;0),SUMIF($K$2:$K$5001,"&gt;="&amp;K766,$I$2:$I$5001)/MAX(1,SUM($H$2:$H$5001)),"")</f>
        <v/>
      </c>
      <c r="M766" s="47" t="str">
        <f aca="false">IF($A766="","",INDEX($L$2:$L$5001,MATCH($A766,$A$2:$A$5001,0)))</f>
        <v/>
      </c>
      <c r="N766" s="48" t="str">
        <f aca="false">IF($A766="","",IF(N(M766)=0,"–",IF(M766&lt;=Start!$D$20,"A",IF(M766&lt;=Start!$D$21,"B","C"))))</f>
        <v/>
      </c>
      <c r="O766" s="48" t="str">
        <f aca="false">IF($A766="","",IF(NOT(ISNUMBER(F766)),"Wert fehlt; ",IF(F766&lt;=0,"Wert ist 0; ",""))&amp;IF(NOT(ISNUMBER(E766)),"Bestand fehlt; ",IF(E766&lt;0,"Bestand negativ; ",IF(E766=0,"Nullbestand; ","")))&amp;IF(D766="","Warengruppe fehlt; ","")&amp;IF(B766="","Bezeichnung fehlt; ","")&amp;IF(COUNTIFS($A$2:$A$5001,$A766,$C$2:$C$5001,C766)&gt;1,"Artikel doppelt im selben Lager; ",""))</f>
        <v/>
      </c>
      <c r="P766" s="47" t="n">
        <f aca="false">IF(OR($A766="",D766=""),0,IF(COUNTIF($D$2:D766,D766)=1,SUMIF($D$2:$D$5001,D766,$H$2:$H$5001)+ROW()/10000000,0))</f>
        <v>0</v>
      </c>
      <c r="Q766" s="47" t="n">
        <f aca="false">IF(OR($A766="",C766=""),0,IF(COUNTIF($C$2:C766,C766)=1,SUMIF($C$2:$C$5001,C766,$H$2:$H$5001)+ROW()/10000000,0))</f>
        <v>0</v>
      </c>
    </row>
    <row r="767" customFormat="false" ht="15" hidden="false" customHeight="false" outlineLevel="0" collapsed="false">
      <c r="A767" s="43"/>
      <c r="B767" s="44"/>
      <c r="C767" s="44"/>
      <c r="D767" s="44"/>
      <c r="E767" s="44"/>
      <c r="F767" s="44"/>
      <c r="G767" s="44"/>
      <c r="H767" s="46" t="str">
        <f aca="false">IF($A767="","",IF(OR(NOT(ISNUMBER(E767)),NOT(ISNUMBER(F767))),"",MAX(0,E767)*F767))</f>
        <v/>
      </c>
      <c r="I767" s="46" t="str">
        <f aca="false">IF($A767="","",SUMIF($A$2:$A$5001,$A767,$H$2:$H$5001))</f>
        <v/>
      </c>
      <c r="J767" s="47" t="n">
        <f aca="false">IF($A767="",0,IF(COUNTIF($A$2:A767,$A767)=1,1,0))</f>
        <v>0</v>
      </c>
      <c r="K767" s="47" t="n">
        <f aca="false">IF(J767=1,N(I767)+ROW()/10000000,0)</f>
        <v>0</v>
      </c>
      <c r="L767" s="47" t="str">
        <f aca="false">IF(AND(J767=1,N(I767)&gt;0),SUMIF($K$2:$K$5001,"&gt;="&amp;K767,$I$2:$I$5001)/MAX(1,SUM($H$2:$H$5001)),"")</f>
        <v/>
      </c>
      <c r="M767" s="47" t="str">
        <f aca="false">IF($A767="","",INDEX($L$2:$L$5001,MATCH($A767,$A$2:$A$5001,0)))</f>
        <v/>
      </c>
      <c r="N767" s="48" t="str">
        <f aca="false">IF($A767="","",IF(N(M767)=0,"–",IF(M767&lt;=Start!$D$20,"A",IF(M767&lt;=Start!$D$21,"B","C"))))</f>
        <v/>
      </c>
      <c r="O767" s="48" t="str">
        <f aca="false">IF($A767="","",IF(NOT(ISNUMBER(F767)),"Wert fehlt; ",IF(F767&lt;=0,"Wert ist 0; ",""))&amp;IF(NOT(ISNUMBER(E767)),"Bestand fehlt; ",IF(E767&lt;0,"Bestand negativ; ",IF(E767=0,"Nullbestand; ","")))&amp;IF(D767="","Warengruppe fehlt; ","")&amp;IF(B767="","Bezeichnung fehlt; ","")&amp;IF(COUNTIFS($A$2:$A$5001,$A767,$C$2:$C$5001,C767)&gt;1,"Artikel doppelt im selben Lager; ",""))</f>
        <v/>
      </c>
      <c r="P767" s="47" t="n">
        <f aca="false">IF(OR($A767="",D767=""),0,IF(COUNTIF($D$2:D767,D767)=1,SUMIF($D$2:$D$5001,D767,$H$2:$H$5001)+ROW()/10000000,0))</f>
        <v>0</v>
      </c>
      <c r="Q767" s="47" t="n">
        <f aca="false">IF(OR($A767="",C767=""),0,IF(COUNTIF($C$2:C767,C767)=1,SUMIF($C$2:$C$5001,C767,$H$2:$H$5001)+ROW()/10000000,0))</f>
        <v>0</v>
      </c>
    </row>
    <row r="768" customFormat="false" ht="15" hidden="false" customHeight="false" outlineLevel="0" collapsed="false">
      <c r="A768" s="43"/>
      <c r="B768" s="44"/>
      <c r="C768" s="44"/>
      <c r="D768" s="44"/>
      <c r="E768" s="44"/>
      <c r="F768" s="44"/>
      <c r="G768" s="44"/>
      <c r="H768" s="46" t="str">
        <f aca="false">IF($A768="","",IF(OR(NOT(ISNUMBER(E768)),NOT(ISNUMBER(F768))),"",MAX(0,E768)*F768))</f>
        <v/>
      </c>
      <c r="I768" s="46" t="str">
        <f aca="false">IF($A768="","",SUMIF($A$2:$A$5001,$A768,$H$2:$H$5001))</f>
        <v/>
      </c>
      <c r="J768" s="47" t="n">
        <f aca="false">IF($A768="",0,IF(COUNTIF($A$2:A768,$A768)=1,1,0))</f>
        <v>0</v>
      </c>
      <c r="K768" s="47" t="n">
        <f aca="false">IF(J768=1,N(I768)+ROW()/10000000,0)</f>
        <v>0</v>
      </c>
      <c r="L768" s="47" t="str">
        <f aca="false">IF(AND(J768=1,N(I768)&gt;0),SUMIF($K$2:$K$5001,"&gt;="&amp;K768,$I$2:$I$5001)/MAX(1,SUM($H$2:$H$5001)),"")</f>
        <v/>
      </c>
      <c r="M768" s="47" t="str">
        <f aca="false">IF($A768="","",INDEX($L$2:$L$5001,MATCH($A768,$A$2:$A$5001,0)))</f>
        <v/>
      </c>
      <c r="N768" s="48" t="str">
        <f aca="false">IF($A768="","",IF(N(M768)=0,"–",IF(M768&lt;=Start!$D$20,"A",IF(M768&lt;=Start!$D$21,"B","C"))))</f>
        <v/>
      </c>
      <c r="O768" s="48" t="str">
        <f aca="false">IF($A768="","",IF(NOT(ISNUMBER(F768)),"Wert fehlt; ",IF(F768&lt;=0,"Wert ist 0; ",""))&amp;IF(NOT(ISNUMBER(E768)),"Bestand fehlt; ",IF(E768&lt;0,"Bestand negativ; ",IF(E768=0,"Nullbestand; ","")))&amp;IF(D768="","Warengruppe fehlt; ","")&amp;IF(B768="","Bezeichnung fehlt; ","")&amp;IF(COUNTIFS($A$2:$A$5001,$A768,$C$2:$C$5001,C768)&gt;1,"Artikel doppelt im selben Lager; ",""))</f>
        <v/>
      </c>
      <c r="P768" s="47" t="n">
        <f aca="false">IF(OR($A768="",D768=""),0,IF(COUNTIF($D$2:D768,D768)=1,SUMIF($D$2:$D$5001,D768,$H$2:$H$5001)+ROW()/10000000,0))</f>
        <v>0</v>
      </c>
      <c r="Q768" s="47" t="n">
        <f aca="false">IF(OR($A768="",C768=""),0,IF(COUNTIF($C$2:C768,C768)=1,SUMIF($C$2:$C$5001,C768,$H$2:$H$5001)+ROW()/10000000,0))</f>
        <v>0</v>
      </c>
    </row>
    <row r="769" customFormat="false" ht="15" hidden="false" customHeight="false" outlineLevel="0" collapsed="false">
      <c r="A769" s="43"/>
      <c r="B769" s="44"/>
      <c r="C769" s="44"/>
      <c r="D769" s="44"/>
      <c r="E769" s="44"/>
      <c r="F769" s="44"/>
      <c r="G769" s="44"/>
      <c r="H769" s="46" t="str">
        <f aca="false">IF($A769="","",IF(OR(NOT(ISNUMBER(E769)),NOT(ISNUMBER(F769))),"",MAX(0,E769)*F769))</f>
        <v/>
      </c>
      <c r="I769" s="46" t="str">
        <f aca="false">IF($A769="","",SUMIF($A$2:$A$5001,$A769,$H$2:$H$5001))</f>
        <v/>
      </c>
      <c r="J769" s="47" t="n">
        <f aca="false">IF($A769="",0,IF(COUNTIF($A$2:A769,$A769)=1,1,0))</f>
        <v>0</v>
      </c>
      <c r="K769" s="47" t="n">
        <f aca="false">IF(J769=1,N(I769)+ROW()/10000000,0)</f>
        <v>0</v>
      </c>
      <c r="L769" s="47" t="str">
        <f aca="false">IF(AND(J769=1,N(I769)&gt;0),SUMIF($K$2:$K$5001,"&gt;="&amp;K769,$I$2:$I$5001)/MAX(1,SUM($H$2:$H$5001)),"")</f>
        <v/>
      </c>
      <c r="M769" s="47" t="str">
        <f aca="false">IF($A769="","",INDEX($L$2:$L$5001,MATCH($A769,$A$2:$A$5001,0)))</f>
        <v/>
      </c>
      <c r="N769" s="48" t="str">
        <f aca="false">IF($A769="","",IF(N(M769)=0,"–",IF(M769&lt;=Start!$D$20,"A",IF(M769&lt;=Start!$D$21,"B","C"))))</f>
        <v/>
      </c>
      <c r="O769" s="48" t="str">
        <f aca="false">IF($A769="","",IF(NOT(ISNUMBER(F769)),"Wert fehlt; ",IF(F769&lt;=0,"Wert ist 0; ",""))&amp;IF(NOT(ISNUMBER(E769)),"Bestand fehlt; ",IF(E769&lt;0,"Bestand negativ; ",IF(E769=0,"Nullbestand; ","")))&amp;IF(D769="","Warengruppe fehlt; ","")&amp;IF(B769="","Bezeichnung fehlt; ","")&amp;IF(COUNTIFS($A$2:$A$5001,$A769,$C$2:$C$5001,C769)&gt;1,"Artikel doppelt im selben Lager; ",""))</f>
        <v/>
      </c>
      <c r="P769" s="47" t="n">
        <f aca="false">IF(OR($A769="",D769=""),0,IF(COUNTIF($D$2:D769,D769)=1,SUMIF($D$2:$D$5001,D769,$H$2:$H$5001)+ROW()/10000000,0))</f>
        <v>0</v>
      </c>
      <c r="Q769" s="47" t="n">
        <f aca="false">IF(OR($A769="",C769=""),0,IF(COUNTIF($C$2:C769,C769)=1,SUMIF($C$2:$C$5001,C769,$H$2:$H$5001)+ROW()/10000000,0))</f>
        <v>0</v>
      </c>
    </row>
    <row r="770" customFormat="false" ht="15" hidden="false" customHeight="false" outlineLevel="0" collapsed="false">
      <c r="A770" s="43"/>
      <c r="B770" s="44"/>
      <c r="C770" s="44"/>
      <c r="D770" s="44"/>
      <c r="E770" s="44"/>
      <c r="F770" s="44"/>
      <c r="G770" s="44"/>
      <c r="H770" s="46" t="str">
        <f aca="false">IF($A770="","",IF(OR(NOT(ISNUMBER(E770)),NOT(ISNUMBER(F770))),"",MAX(0,E770)*F770))</f>
        <v/>
      </c>
      <c r="I770" s="46" t="str">
        <f aca="false">IF($A770="","",SUMIF($A$2:$A$5001,$A770,$H$2:$H$5001))</f>
        <v/>
      </c>
      <c r="J770" s="47" t="n">
        <f aca="false">IF($A770="",0,IF(COUNTIF($A$2:A770,$A770)=1,1,0))</f>
        <v>0</v>
      </c>
      <c r="K770" s="47" t="n">
        <f aca="false">IF(J770=1,N(I770)+ROW()/10000000,0)</f>
        <v>0</v>
      </c>
      <c r="L770" s="47" t="str">
        <f aca="false">IF(AND(J770=1,N(I770)&gt;0),SUMIF($K$2:$K$5001,"&gt;="&amp;K770,$I$2:$I$5001)/MAX(1,SUM($H$2:$H$5001)),"")</f>
        <v/>
      </c>
      <c r="M770" s="47" t="str">
        <f aca="false">IF($A770="","",INDEX($L$2:$L$5001,MATCH($A770,$A$2:$A$5001,0)))</f>
        <v/>
      </c>
      <c r="N770" s="48" t="str">
        <f aca="false">IF($A770="","",IF(N(M770)=0,"–",IF(M770&lt;=Start!$D$20,"A",IF(M770&lt;=Start!$D$21,"B","C"))))</f>
        <v/>
      </c>
      <c r="O770" s="48" t="str">
        <f aca="false">IF($A770="","",IF(NOT(ISNUMBER(F770)),"Wert fehlt; ",IF(F770&lt;=0,"Wert ist 0; ",""))&amp;IF(NOT(ISNUMBER(E770)),"Bestand fehlt; ",IF(E770&lt;0,"Bestand negativ; ",IF(E770=0,"Nullbestand; ","")))&amp;IF(D770="","Warengruppe fehlt; ","")&amp;IF(B770="","Bezeichnung fehlt; ","")&amp;IF(COUNTIFS($A$2:$A$5001,$A770,$C$2:$C$5001,C770)&gt;1,"Artikel doppelt im selben Lager; ",""))</f>
        <v/>
      </c>
      <c r="P770" s="47" t="n">
        <f aca="false">IF(OR($A770="",D770=""),0,IF(COUNTIF($D$2:D770,D770)=1,SUMIF($D$2:$D$5001,D770,$H$2:$H$5001)+ROW()/10000000,0))</f>
        <v>0</v>
      </c>
      <c r="Q770" s="47" t="n">
        <f aca="false">IF(OR($A770="",C770=""),0,IF(COUNTIF($C$2:C770,C770)=1,SUMIF($C$2:$C$5001,C770,$H$2:$H$5001)+ROW()/10000000,0))</f>
        <v>0</v>
      </c>
    </row>
    <row r="771" customFormat="false" ht="15" hidden="false" customHeight="false" outlineLevel="0" collapsed="false">
      <c r="A771" s="43"/>
      <c r="B771" s="44"/>
      <c r="C771" s="44"/>
      <c r="D771" s="44"/>
      <c r="E771" s="44"/>
      <c r="F771" s="44"/>
      <c r="G771" s="44"/>
      <c r="H771" s="46" t="str">
        <f aca="false">IF($A771="","",IF(OR(NOT(ISNUMBER(E771)),NOT(ISNUMBER(F771))),"",MAX(0,E771)*F771))</f>
        <v/>
      </c>
      <c r="I771" s="46" t="str">
        <f aca="false">IF($A771="","",SUMIF($A$2:$A$5001,$A771,$H$2:$H$5001))</f>
        <v/>
      </c>
      <c r="J771" s="47" t="n">
        <f aca="false">IF($A771="",0,IF(COUNTIF($A$2:A771,$A771)=1,1,0))</f>
        <v>0</v>
      </c>
      <c r="K771" s="47" t="n">
        <f aca="false">IF(J771=1,N(I771)+ROW()/10000000,0)</f>
        <v>0</v>
      </c>
      <c r="L771" s="47" t="str">
        <f aca="false">IF(AND(J771=1,N(I771)&gt;0),SUMIF($K$2:$K$5001,"&gt;="&amp;K771,$I$2:$I$5001)/MAX(1,SUM($H$2:$H$5001)),"")</f>
        <v/>
      </c>
      <c r="M771" s="47" t="str">
        <f aca="false">IF($A771="","",INDEX($L$2:$L$5001,MATCH($A771,$A$2:$A$5001,0)))</f>
        <v/>
      </c>
      <c r="N771" s="48" t="str">
        <f aca="false">IF($A771="","",IF(N(M771)=0,"–",IF(M771&lt;=Start!$D$20,"A",IF(M771&lt;=Start!$D$21,"B","C"))))</f>
        <v/>
      </c>
      <c r="O771" s="48" t="str">
        <f aca="false">IF($A771="","",IF(NOT(ISNUMBER(F771)),"Wert fehlt; ",IF(F771&lt;=0,"Wert ist 0; ",""))&amp;IF(NOT(ISNUMBER(E771)),"Bestand fehlt; ",IF(E771&lt;0,"Bestand negativ; ",IF(E771=0,"Nullbestand; ","")))&amp;IF(D771="","Warengruppe fehlt; ","")&amp;IF(B771="","Bezeichnung fehlt; ","")&amp;IF(COUNTIFS($A$2:$A$5001,$A771,$C$2:$C$5001,C771)&gt;1,"Artikel doppelt im selben Lager; ",""))</f>
        <v/>
      </c>
      <c r="P771" s="47" t="n">
        <f aca="false">IF(OR($A771="",D771=""),0,IF(COUNTIF($D$2:D771,D771)=1,SUMIF($D$2:$D$5001,D771,$H$2:$H$5001)+ROW()/10000000,0))</f>
        <v>0</v>
      </c>
      <c r="Q771" s="47" t="n">
        <f aca="false">IF(OR($A771="",C771=""),0,IF(COUNTIF($C$2:C771,C771)=1,SUMIF($C$2:$C$5001,C771,$H$2:$H$5001)+ROW()/10000000,0))</f>
        <v>0</v>
      </c>
    </row>
    <row r="772" customFormat="false" ht="15" hidden="false" customHeight="false" outlineLevel="0" collapsed="false">
      <c r="A772" s="43"/>
      <c r="B772" s="44"/>
      <c r="C772" s="44"/>
      <c r="D772" s="44"/>
      <c r="E772" s="44"/>
      <c r="F772" s="44"/>
      <c r="G772" s="44"/>
      <c r="H772" s="46" t="str">
        <f aca="false">IF($A772="","",IF(OR(NOT(ISNUMBER(E772)),NOT(ISNUMBER(F772))),"",MAX(0,E772)*F772))</f>
        <v/>
      </c>
      <c r="I772" s="46" t="str">
        <f aca="false">IF($A772="","",SUMIF($A$2:$A$5001,$A772,$H$2:$H$5001))</f>
        <v/>
      </c>
      <c r="J772" s="47" t="n">
        <f aca="false">IF($A772="",0,IF(COUNTIF($A$2:A772,$A772)=1,1,0))</f>
        <v>0</v>
      </c>
      <c r="K772" s="47" t="n">
        <f aca="false">IF(J772=1,N(I772)+ROW()/10000000,0)</f>
        <v>0</v>
      </c>
      <c r="L772" s="47" t="str">
        <f aca="false">IF(AND(J772=1,N(I772)&gt;0),SUMIF($K$2:$K$5001,"&gt;="&amp;K772,$I$2:$I$5001)/MAX(1,SUM($H$2:$H$5001)),"")</f>
        <v/>
      </c>
      <c r="M772" s="47" t="str">
        <f aca="false">IF($A772="","",INDEX($L$2:$L$5001,MATCH($A772,$A$2:$A$5001,0)))</f>
        <v/>
      </c>
      <c r="N772" s="48" t="str">
        <f aca="false">IF($A772="","",IF(N(M772)=0,"–",IF(M772&lt;=Start!$D$20,"A",IF(M772&lt;=Start!$D$21,"B","C"))))</f>
        <v/>
      </c>
      <c r="O772" s="48" t="str">
        <f aca="false">IF($A772="","",IF(NOT(ISNUMBER(F772)),"Wert fehlt; ",IF(F772&lt;=0,"Wert ist 0; ",""))&amp;IF(NOT(ISNUMBER(E772)),"Bestand fehlt; ",IF(E772&lt;0,"Bestand negativ; ",IF(E772=0,"Nullbestand; ","")))&amp;IF(D772="","Warengruppe fehlt; ","")&amp;IF(B772="","Bezeichnung fehlt; ","")&amp;IF(COUNTIFS($A$2:$A$5001,$A772,$C$2:$C$5001,C772)&gt;1,"Artikel doppelt im selben Lager; ",""))</f>
        <v/>
      </c>
      <c r="P772" s="47" t="n">
        <f aca="false">IF(OR($A772="",D772=""),0,IF(COUNTIF($D$2:D772,D772)=1,SUMIF($D$2:$D$5001,D772,$H$2:$H$5001)+ROW()/10000000,0))</f>
        <v>0</v>
      </c>
      <c r="Q772" s="47" t="n">
        <f aca="false">IF(OR($A772="",C772=""),0,IF(COUNTIF($C$2:C772,C772)=1,SUMIF($C$2:$C$5001,C772,$H$2:$H$5001)+ROW()/10000000,0))</f>
        <v>0</v>
      </c>
    </row>
    <row r="773" customFormat="false" ht="15" hidden="false" customHeight="false" outlineLevel="0" collapsed="false">
      <c r="A773" s="43"/>
      <c r="B773" s="44"/>
      <c r="C773" s="44"/>
      <c r="D773" s="44"/>
      <c r="E773" s="44"/>
      <c r="F773" s="44"/>
      <c r="G773" s="44"/>
      <c r="H773" s="46" t="str">
        <f aca="false">IF($A773="","",IF(OR(NOT(ISNUMBER(E773)),NOT(ISNUMBER(F773))),"",MAX(0,E773)*F773))</f>
        <v/>
      </c>
      <c r="I773" s="46" t="str">
        <f aca="false">IF($A773="","",SUMIF($A$2:$A$5001,$A773,$H$2:$H$5001))</f>
        <v/>
      </c>
      <c r="J773" s="47" t="n">
        <f aca="false">IF($A773="",0,IF(COUNTIF($A$2:A773,$A773)=1,1,0))</f>
        <v>0</v>
      </c>
      <c r="K773" s="47" t="n">
        <f aca="false">IF(J773=1,N(I773)+ROW()/10000000,0)</f>
        <v>0</v>
      </c>
      <c r="L773" s="47" t="str">
        <f aca="false">IF(AND(J773=1,N(I773)&gt;0),SUMIF($K$2:$K$5001,"&gt;="&amp;K773,$I$2:$I$5001)/MAX(1,SUM($H$2:$H$5001)),"")</f>
        <v/>
      </c>
      <c r="M773" s="47" t="str">
        <f aca="false">IF($A773="","",INDEX($L$2:$L$5001,MATCH($A773,$A$2:$A$5001,0)))</f>
        <v/>
      </c>
      <c r="N773" s="48" t="str">
        <f aca="false">IF($A773="","",IF(N(M773)=0,"–",IF(M773&lt;=Start!$D$20,"A",IF(M773&lt;=Start!$D$21,"B","C"))))</f>
        <v/>
      </c>
      <c r="O773" s="48" t="str">
        <f aca="false">IF($A773="","",IF(NOT(ISNUMBER(F773)),"Wert fehlt; ",IF(F773&lt;=0,"Wert ist 0; ",""))&amp;IF(NOT(ISNUMBER(E773)),"Bestand fehlt; ",IF(E773&lt;0,"Bestand negativ; ",IF(E773=0,"Nullbestand; ","")))&amp;IF(D773="","Warengruppe fehlt; ","")&amp;IF(B773="","Bezeichnung fehlt; ","")&amp;IF(COUNTIFS($A$2:$A$5001,$A773,$C$2:$C$5001,C773)&gt;1,"Artikel doppelt im selben Lager; ",""))</f>
        <v/>
      </c>
      <c r="P773" s="47" t="n">
        <f aca="false">IF(OR($A773="",D773=""),0,IF(COUNTIF($D$2:D773,D773)=1,SUMIF($D$2:$D$5001,D773,$H$2:$H$5001)+ROW()/10000000,0))</f>
        <v>0</v>
      </c>
      <c r="Q773" s="47" t="n">
        <f aca="false">IF(OR($A773="",C773=""),0,IF(COUNTIF($C$2:C773,C773)=1,SUMIF($C$2:$C$5001,C773,$H$2:$H$5001)+ROW()/10000000,0))</f>
        <v>0</v>
      </c>
    </row>
    <row r="774" customFormat="false" ht="15" hidden="false" customHeight="false" outlineLevel="0" collapsed="false">
      <c r="A774" s="43"/>
      <c r="B774" s="44"/>
      <c r="C774" s="44"/>
      <c r="D774" s="44"/>
      <c r="E774" s="44"/>
      <c r="F774" s="44"/>
      <c r="G774" s="44"/>
      <c r="H774" s="46" t="str">
        <f aca="false">IF($A774="","",IF(OR(NOT(ISNUMBER(E774)),NOT(ISNUMBER(F774))),"",MAX(0,E774)*F774))</f>
        <v/>
      </c>
      <c r="I774" s="46" t="str">
        <f aca="false">IF($A774="","",SUMIF($A$2:$A$5001,$A774,$H$2:$H$5001))</f>
        <v/>
      </c>
      <c r="J774" s="47" t="n">
        <f aca="false">IF($A774="",0,IF(COUNTIF($A$2:A774,$A774)=1,1,0))</f>
        <v>0</v>
      </c>
      <c r="K774" s="47" t="n">
        <f aca="false">IF(J774=1,N(I774)+ROW()/10000000,0)</f>
        <v>0</v>
      </c>
      <c r="L774" s="47" t="str">
        <f aca="false">IF(AND(J774=1,N(I774)&gt;0),SUMIF($K$2:$K$5001,"&gt;="&amp;K774,$I$2:$I$5001)/MAX(1,SUM($H$2:$H$5001)),"")</f>
        <v/>
      </c>
      <c r="M774" s="47" t="str">
        <f aca="false">IF($A774="","",INDEX($L$2:$L$5001,MATCH($A774,$A$2:$A$5001,0)))</f>
        <v/>
      </c>
      <c r="N774" s="48" t="str">
        <f aca="false">IF($A774="","",IF(N(M774)=0,"–",IF(M774&lt;=Start!$D$20,"A",IF(M774&lt;=Start!$D$21,"B","C"))))</f>
        <v/>
      </c>
      <c r="O774" s="48" t="str">
        <f aca="false">IF($A774="","",IF(NOT(ISNUMBER(F774)),"Wert fehlt; ",IF(F774&lt;=0,"Wert ist 0; ",""))&amp;IF(NOT(ISNUMBER(E774)),"Bestand fehlt; ",IF(E774&lt;0,"Bestand negativ; ",IF(E774=0,"Nullbestand; ","")))&amp;IF(D774="","Warengruppe fehlt; ","")&amp;IF(B774="","Bezeichnung fehlt; ","")&amp;IF(COUNTIFS($A$2:$A$5001,$A774,$C$2:$C$5001,C774)&gt;1,"Artikel doppelt im selben Lager; ",""))</f>
        <v/>
      </c>
      <c r="P774" s="47" t="n">
        <f aca="false">IF(OR($A774="",D774=""),0,IF(COUNTIF($D$2:D774,D774)=1,SUMIF($D$2:$D$5001,D774,$H$2:$H$5001)+ROW()/10000000,0))</f>
        <v>0</v>
      </c>
      <c r="Q774" s="47" t="n">
        <f aca="false">IF(OR($A774="",C774=""),0,IF(COUNTIF($C$2:C774,C774)=1,SUMIF($C$2:$C$5001,C774,$H$2:$H$5001)+ROW()/10000000,0))</f>
        <v>0</v>
      </c>
    </row>
    <row r="775" customFormat="false" ht="15" hidden="false" customHeight="false" outlineLevel="0" collapsed="false">
      <c r="A775" s="43"/>
      <c r="B775" s="44"/>
      <c r="C775" s="44"/>
      <c r="D775" s="44"/>
      <c r="E775" s="44"/>
      <c r="F775" s="44"/>
      <c r="G775" s="44"/>
      <c r="H775" s="46" t="str">
        <f aca="false">IF($A775="","",IF(OR(NOT(ISNUMBER(E775)),NOT(ISNUMBER(F775))),"",MAX(0,E775)*F775))</f>
        <v/>
      </c>
      <c r="I775" s="46" t="str">
        <f aca="false">IF($A775="","",SUMIF($A$2:$A$5001,$A775,$H$2:$H$5001))</f>
        <v/>
      </c>
      <c r="J775" s="47" t="n">
        <f aca="false">IF($A775="",0,IF(COUNTIF($A$2:A775,$A775)=1,1,0))</f>
        <v>0</v>
      </c>
      <c r="K775" s="47" t="n">
        <f aca="false">IF(J775=1,N(I775)+ROW()/10000000,0)</f>
        <v>0</v>
      </c>
      <c r="L775" s="47" t="str">
        <f aca="false">IF(AND(J775=1,N(I775)&gt;0),SUMIF($K$2:$K$5001,"&gt;="&amp;K775,$I$2:$I$5001)/MAX(1,SUM($H$2:$H$5001)),"")</f>
        <v/>
      </c>
      <c r="M775" s="47" t="str">
        <f aca="false">IF($A775="","",INDEX($L$2:$L$5001,MATCH($A775,$A$2:$A$5001,0)))</f>
        <v/>
      </c>
      <c r="N775" s="48" t="str">
        <f aca="false">IF($A775="","",IF(N(M775)=0,"–",IF(M775&lt;=Start!$D$20,"A",IF(M775&lt;=Start!$D$21,"B","C"))))</f>
        <v/>
      </c>
      <c r="O775" s="48" t="str">
        <f aca="false">IF($A775="","",IF(NOT(ISNUMBER(F775)),"Wert fehlt; ",IF(F775&lt;=0,"Wert ist 0; ",""))&amp;IF(NOT(ISNUMBER(E775)),"Bestand fehlt; ",IF(E775&lt;0,"Bestand negativ; ",IF(E775=0,"Nullbestand; ","")))&amp;IF(D775="","Warengruppe fehlt; ","")&amp;IF(B775="","Bezeichnung fehlt; ","")&amp;IF(COUNTIFS($A$2:$A$5001,$A775,$C$2:$C$5001,C775)&gt;1,"Artikel doppelt im selben Lager; ",""))</f>
        <v/>
      </c>
      <c r="P775" s="47" t="n">
        <f aca="false">IF(OR($A775="",D775=""),0,IF(COUNTIF($D$2:D775,D775)=1,SUMIF($D$2:$D$5001,D775,$H$2:$H$5001)+ROW()/10000000,0))</f>
        <v>0</v>
      </c>
      <c r="Q775" s="47" t="n">
        <f aca="false">IF(OR($A775="",C775=""),0,IF(COUNTIF($C$2:C775,C775)=1,SUMIF($C$2:$C$5001,C775,$H$2:$H$5001)+ROW()/10000000,0))</f>
        <v>0</v>
      </c>
    </row>
    <row r="776" customFormat="false" ht="15" hidden="false" customHeight="false" outlineLevel="0" collapsed="false">
      <c r="A776" s="43"/>
      <c r="B776" s="44"/>
      <c r="C776" s="44"/>
      <c r="D776" s="44"/>
      <c r="E776" s="44"/>
      <c r="F776" s="44"/>
      <c r="G776" s="44"/>
      <c r="H776" s="46" t="str">
        <f aca="false">IF($A776="","",IF(OR(NOT(ISNUMBER(E776)),NOT(ISNUMBER(F776))),"",MAX(0,E776)*F776))</f>
        <v/>
      </c>
      <c r="I776" s="46" t="str">
        <f aca="false">IF($A776="","",SUMIF($A$2:$A$5001,$A776,$H$2:$H$5001))</f>
        <v/>
      </c>
      <c r="J776" s="47" t="n">
        <f aca="false">IF($A776="",0,IF(COUNTIF($A$2:A776,$A776)=1,1,0))</f>
        <v>0</v>
      </c>
      <c r="K776" s="47" t="n">
        <f aca="false">IF(J776=1,N(I776)+ROW()/10000000,0)</f>
        <v>0</v>
      </c>
      <c r="L776" s="47" t="str">
        <f aca="false">IF(AND(J776=1,N(I776)&gt;0),SUMIF($K$2:$K$5001,"&gt;="&amp;K776,$I$2:$I$5001)/MAX(1,SUM($H$2:$H$5001)),"")</f>
        <v/>
      </c>
      <c r="M776" s="47" t="str">
        <f aca="false">IF($A776="","",INDEX($L$2:$L$5001,MATCH($A776,$A$2:$A$5001,0)))</f>
        <v/>
      </c>
      <c r="N776" s="48" t="str">
        <f aca="false">IF($A776="","",IF(N(M776)=0,"–",IF(M776&lt;=Start!$D$20,"A",IF(M776&lt;=Start!$D$21,"B","C"))))</f>
        <v/>
      </c>
      <c r="O776" s="48" t="str">
        <f aca="false">IF($A776="","",IF(NOT(ISNUMBER(F776)),"Wert fehlt; ",IF(F776&lt;=0,"Wert ist 0; ",""))&amp;IF(NOT(ISNUMBER(E776)),"Bestand fehlt; ",IF(E776&lt;0,"Bestand negativ; ",IF(E776=0,"Nullbestand; ","")))&amp;IF(D776="","Warengruppe fehlt; ","")&amp;IF(B776="","Bezeichnung fehlt; ","")&amp;IF(COUNTIFS($A$2:$A$5001,$A776,$C$2:$C$5001,C776)&gt;1,"Artikel doppelt im selben Lager; ",""))</f>
        <v/>
      </c>
      <c r="P776" s="47" t="n">
        <f aca="false">IF(OR($A776="",D776=""),0,IF(COUNTIF($D$2:D776,D776)=1,SUMIF($D$2:$D$5001,D776,$H$2:$H$5001)+ROW()/10000000,0))</f>
        <v>0</v>
      </c>
      <c r="Q776" s="47" t="n">
        <f aca="false">IF(OR($A776="",C776=""),0,IF(COUNTIF($C$2:C776,C776)=1,SUMIF($C$2:$C$5001,C776,$H$2:$H$5001)+ROW()/10000000,0))</f>
        <v>0</v>
      </c>
    </row>
    <row r="777" customFormat="false" ht="15" hidden="false" customHeight="false" outlineLevel="0" collapsed="false">
      <c r="A777" s="43"/>
      <c r="B777" s="44"/>
      <c r="C777" s="44"/>
      <c r="D777" s="44"/>
      <c r="E777" s="44"/>
      <c r="F777" s="44"/>
      <c r="G777" s="44"/>
      <c r="H777" s="46" t="str">
        <f aca="false">IF($A777="","",IF(OR(NOT(ISNUMBER(E777)),NOT(ISNUMBER(F777))),"",MAX(0,E777)*F777))</f>
        <v/>
      </c>
      <c r="I777" s="46" t="str">
        <f aca="false">IF($A777="","",SUMIF($A$2:$A$5001,$A777,$H$2:$H$5001))</f>
        <v/>
      </c>
      <c r="J777" s="47" t="n">
        <f aca="false">IF($A777="",0,IF(COUNTIF($A$2:A777,$A777)=1,1,0))</f>
        <v>0</v>
      </c>
      <c r="K777" s="47" t="n">
        <f aca="false">IF(J777=1,N(I777)+ROW()/10000000,0)</f>
        <v>0</v>
      </c>
      <c r="L777" s="47" t="str">
        <f aca="false">IF(AND(J777=1,N(I777)&gt;0),SUMIF($K$2:$K$5001,"&gt;="&amp;K777,$I$2:$I$5001)/MAX(1,SUM($H$2:$H$5001)),"")</f>
        <v/>
      </c>
      <c r="M777" s="47" t="str">
        <f aca="false">IF($A777="","",INDEX($L$2:$L$5001,MATCH($A777,$A$2:$A$5001,0)))</f>
        <v/>
      </c>
      <c r="N777" s="48" t="str">
        <f aca="false">IF($A777="","",IF(N(M777)=0,"–",IF(M777&lt;=Start!$D$20,"A",IF(M777&lt;=Start!$D$21,"B","C"))))</f>
        <v/>
      </c>
      <c r="O777" s="48" t="str">
        <f aca="false">IF($A777="","",IF(NOT(ISNUMBER(F777)),"Wert fehlt; ",IF(F777&lt;=0,"Wert ist 0; ",""))&amp;IF(NOT(ISNUMBER(E777)),"Bestand fehlt; ",IF(E777&lt;0,"Bestand negativ; ",IF(E777=0,"Nullbestand; ","")))&amp;IF(D777="","Warengruppe fehlt; ","")&amp;IF(B777="","Bezeichnung fehlt; ","")&amp;IF(COUNTIFS($A$2:$A$5001,$A777,$C$2:$C$5001,C777)&gt;1,"Artikel doppelt im selben Lager; ",""))</f>
        <v/>
      </c>
      <c r="P777" s="47" t="n">
        <f aca="false">IF(OR($A777="",D777=""),0,IF(COUNTIF($D$2:D777,D777)=1,SUMIF($D$2:$D$5001,D777,$H$2:$H$5001)+ROW()/10000000,0))</f>
        <v>0</v>
      </c>
      <c r="Q777" s="47" t="n">
        <f aca="false">IF(OR($A777="",C777=""),0,IF(COUNTIF($C$2:C777,C777)=1,SUMIF($C$2:$C$5001,C777,$H$2:$H$5001)+ROW()/10000000,0))</f>
        <v>0</v>
      </c>
    </row>
    <row r="778" customFormat="false" ht="15" hidden="false" customHeight="false" outlineLevel="0" collapsed="false">
      <c r="A778" s="43"/>
      <c r="B778" s="44"/>
      <c r="C778" s="44"/>
      <c r="D778" s="44"/>
      <c r="E778" s="44"/>
      <c r="F778" s="44"/>
      <c r="G778" s="44"/>
      <c r="H778" s="46" t="str">
        <f aca="false">IF($A778="","",IF(OR(NOT(ISNUMBER(E778)),NOT(ISNUMBER(F778))),"",MAX(0,E778)*F778))</f>
        <v/>
      </c>
      <c r="I778" s="46" t="str">
        <f aca="false">IF($A778="","",SUMIF($A$2:$A$5001,$A778,$H$2:$H$5001))</f>
        <v/>
      </c>
      <c r="J778" s="47" t="n">
        <f aca="false">IF($A778="",0,IF(COUNTIF($A$2:A778,$A778)=1,1,0))</f>
        <v>0</v>
      </c>
      <c r="K778" s="47" t="n">
        <f aca="false">IF(J778=1,N(I778)+ROW()/10000000,0)</f>
        <v>0</v>
      </c>
      <c r="L778" s="47" t="str">
        <f aca="false">IF(AND(J778=1,N(I778)&gt;0),SUMIF($K$2:$K$5001,"&gt;="&amp;K778,$I$2:$I$5001)/MAX(1,SUM($H$2:$H$5001)),"")</f>
        <v/>
      </c>
      <c r="M778" s="47" t="str">
        <f aca="false">IF($A778="","",INDEX($L$2:$L$5001,MATCH($A778,$A$2:$A$5001,0)))</f>
        <v/>
      </c>
      <c r="N778" s="48" t="str">
        <f aca="false">IF($A778="","",IF(N(M778)=0,"–",IF(M778&lt;=Start!$D$20,"A",IF(M778&lt;=Start!$D$21,"B","C"))))</f>
        <v/>
      </c>
      <c r="O778" s="48" t="str">
        <f aca="false">IF($A778="","",IF(NOT(ISNUMBER(F778)),"Wert fehlt; ",IF(F778&lt;=0,"Wert ist 0; ",""))&amp;IF(NOT(ISNUMBER(E778)),"Bestand fehlt; ",IF(E778&lt;0,"Bestand negativ; ",IF(E778=0,"Nullbestand; ","")))&amp;IF(D778="","Warengruppe fehlt; ","")&amp;IF(B778="","Bezeichnung fehlt; ","")&amp;IF(COUNTIFS($A$2:$A$5001,$A778,$C$2:$C$5001,C778)&gt;1,"Artikel doppelt im selben Lager; ",""))</f>
        <v/>
      </c>
      <c r="P778" s="47" t="n">
        <f aca="false">IF(OR($A778="",D778=""),0,IF(COUNTIF($D$2:D778,D778)=1,SUMIF($D$2:$D$5001,D778,$H$2:$H$5001)+ROW()/10000000,0))</f>
        <v>0</v>
      </c>
      <c r="Q778" s="47" t="n">
        <f aca="false">IF(OR($A778="",C778=""),0,IF(COUNTIF($C$2:C778,C778)=1,SUMIF($C$2:$C$5001,C778,$H$2:$H$5001)+ROW()/10000000,0))</f>
        <v>0</v>
      </c>
    </row>
    <row r="779" customFormat="false" ht="15" hidden="false" customHeight="false" outlineLevel="0" collapsed="false">
      <c r="A779" s="43"/>
      <c r="B779" s="44"/>
      <c r="C779" s="44"/>
      <c r="D779" s="44"/>
      <c r="E779" s="44"/>
      <c r="F779" s="44"/>
      <c r="G779" s="44"/>
      <c r="H779" s="46" t="str">
        <f aca="false">IF($A779="","",IF(OR(NOT(ISNUMBER(E779)),NOT(ISNUMBER(F779))),"",MAX(0,E779)*F779))</f>
        <v/>
      </c>
      <c r="I779" s="46" t="str">
        <f aca="false">IF($A779="","",SUMIF($A$2:$A$5001,$A779,$H$2:$H$5001))</f>
        <v/>
      </c>
      <c r="J779" s="47" t="n">
        <f aca="false">IF($A779="",0,IF(COUNTIF($A$2:A779,$A779)=1,1,0))</f>
        <v>0</v>
      </c>
      <c r="K779" s="47" t="n">
        <f aca="false">IF(J779=1,N(I779)+ROW()/10000000,0)</f>
        <v>0</v>
      </c>
      <c r="L779" s="47" t="str">
        <f aca="false">IF(AND(J779=1,N(I779)&gt;0),SUMIF($K$2:$K$5001,"&gt;="&amp;K779,$I$2:$I$5001)/MAX(1,SUM($H$2:$H$5001)),"")</f>
        <v/>
      </c>
      <c r="M779" s="47" t="str">
        <f aca="false">IF($A779="","",INDEX($L$2:$L$5001,MATCH($A779,$A$2:$A$5001,0)))</f>
        <v/>
      </c>
      <c r="N779" s="48" t="str">
        <f aca="false">IF($A779="","",IF(N(M779)=0,"–",IF(M779&lt;=Start!$D$20,"A",IF(M779&lt;=Start!$D$21,"B","C"))))</f>
        <v/>
      </c>
      <c r="O779" s="48" t="str">
        <f aca="false">IF($A779="","",IF(NOT(ISNUMBER(F779)),"Wert fehlt; ",IF(F779&lt;=0,"Wert ist 0; ",""))&amp;IF(NOT(ISNUMBER(E779)),"Bestand fehlt; ",IF(E779&lt;0,"Bestand negativ; ",IF(E779=0,"Nullbestand; ","")))&amp;IF(D779="","Warengruppe fehlt; ","")&amp;IF(B779="","Bezeichnung fehlt; ","")&amp;IF(COUNTIFS($A$2:$A$5001,$A779,$C$2:$C$5001,C779)&gt;1,"Artikel doppelt im selben Lager; ",""))</f>
        <v/>
      </c>
      <c r="P779" s="47" t="n">
        <f aca="false">IF(OR($A779="",D779=""),0,IF(COUNTIF($D$2:D779,D779)=1,SUMIF($D$2:$D$5001,D779,$H$2:$H$5001)+ROW()/10000000,0))</f>
        <v>0</v>
      </c>
      <c r="Q779" s="47" t="n">
        <f aca="false">IF(OR($A779="",C779=""),0,IF(COUNTIF($C$2:C779,C779)=1,SUMIF($C$2:$C$5001,C779,$H$2:$H$5001)+ROW()/10000000,0))</f>
        <v>0</v>
      </c>
    </row>
    <row r="780" customFormat="false" ht="15" hidden="false" customHeight="false" outlineLevel="0" collapsed="false">
      <c r="A780" s="43"/>
      <c r="B780" s="44"/>
      <c r="C780" s="44"/>
      <c r="D780" s="44"/>
      <c r="E780" s="44"/>
      <c r="F780" s="44"/>
      <c r="G780" s="44"/>
      <c r="H780" s="46" t="str">
        <f aca="false">IF($A780="","",IF(OR(NOT(ISNUMBER(E780)),NOT(ISNUMBER(F780))),"",MAX(0,E780)*F780))</f>
        <v/>
      </c>
      <c r="I780" s="46" t="str">
        <f aca="false">IF($A780="","",SUMIF($A$2:$A$5001,$A780,$H$2:$H$5001))</f>
        <v/>
      </c>
      <c r="J780" s="47" t="n">
        <f aca="false">IF($A780="",0,IF(COUNTIF($A$2:A780,$A780)=1,1,0))</f>
        <v>0</v>
      </c>
      <c r="K780" s="47" t="n">
        <f aca="false">IF(J780=1,N(I780)+ROW()/10000000,0)</f>
        <v>0</v>
      </c>
      <c r="L780" s="47" t="str">
        <f aca="false">IF(AND(J780=1,N(I780)&gt;0),SUMIF($K$2:$K$5001,"&gt;="&amp;K780,$I$2:$I$5001)/MAX(1,SUM($H$2:$H$5001)),"")</f>
        <v/>
      </c>
      <c r="M780" s="47" t="str">
        <f aca="false">IF($A780="","",INDEX($L$2:$L$5001,MATCH($A780,$A$2:$A$5001,0)))</f>
        <v/>
      </c>
      <c r="N780" s="48" t="str">
        <f aca="false">IF($A780="","",IF(N(M780)=0,"–",IF(M780&lt;=Start!$D$20,"A",IF(M780&lt;=Start!$D$21,"B","C"))))</f>
        <v/>
      </c>
      <c r="O780" s="48" t="str">
        <f aca="false">IF($A780="","",IF(NOT(ISNUMBER(F780)),"Wert fehlt; ",IF(F780&lt;=0,"Wert ist 0; ",""))&amp;IF(NOT(ISNUMBER(E780)),"Bestand fehlt; ",IF(E780&lt;0,"Bestand negativ; ",IF(E780=0,"Nullbestand; ","")))&amp;IF(D780="","Warengruppe fehlt; ","")&amp;IF(B780="","Bezeichnung fehlt; ","")&amp;IF(COUNTIFS($A$2:$A$5001,$A780,$C$2:$C$5001,C780)&gt;1,"Artikel doppelt im selben Lager; ",""))</f>
        <v/>
      </c>
      <c r="P780" s="47" t="n">
        <f aca="false">IF(OR($A780="",D780=""),0,IF(COUNTIF($D$2:D780,D780)=1,SUMIF($D$2:$D$5001,D780,$H$2:$H$5001)+ROW()/10000000,0))</f>
        <v>0</v>
      </c>
      <c r="Q780" s="47" t="n">
        <f aca="false">IF(OR($A780="",C780=""),0,IF(COUNTIF($C$2:C780,C780)=1,SUMIF($C$2:$C$5001,C780,$H$2:$H$5001)+ROW()/10000000,0))</f>
        <v>0</v>
      </c>
    </row>
    <row r="781" customFormat="false" ht="15" hidden="false" customHeight="false" outlineLevel="0" collapsed="false">
      <c r="A781" s="43"/>
      <c r="B781" s="44"/>
      <c r="C781" s="44"/>
      <c r="D781" s="44"/>
      <c r="E781" s="44"/>
      <c r="F781" s="44"/>
      <c r="G781" s="44"/>
      <c r="H781" s="46" t="str">
        <f aca="false">IF($A781="","",IF(OR(NOT(ISNUMBER(E781)),NOT(ISNUMBER(F781))),"",MAX(0,E781)*F781))</f>
        <v/>
      </c>
      <c r="I781" s="46" t="str">
        <f aca="false">IF($A781="","",SUMIF($A$2:$A$5001,$A781,$H$2:$H$5001))</f>
        <v/>
      </c>
      <c r="J781" s="47" t="n">
        <f aca="false">IF($A781="",0,IF(COUNTIF($A$2:A781,$A781)=1,1,0))</f>
        <v>0</v>
      </c>
      <c r="K781" s="47" t="n">
        <f aca="false">IF(J781=1,N(I781)+ROW()/10000000,0)</f>
        <v>0</v>
      </c>
      <c r="L781" s="47" t="str">
        <f aca="false">IF(AND(J781=1,N(I781)&gt;0),SUMIF($K$2:$K$5001,"&gt;="&amp;K781,$I$2:$I$5001)/MAX(1,SUM($H$2:$H$5001)),"")</f>
        <v/>
      </c>
      <c r="M781" s="47" t="str">
        <f aca="false">IF($A781="","",INDEX($L$2:$L$5001,MATCH($A781,$A$2:$A$5001,0)))</f>
        <v/>
      </c>
      <c r="N781" s="48" t="str">
        <f aca="false">IF($A781="","",IF(N(M781)=0,"–",IF(M781&lt;=Start!$D$20,"A",IF(M781&lt;=Start!$D$21,"B","C"))))</f>
        <v/>
      </c>
      <c r="O781" s="48" t="str">
        <f aca="false">IF($A781="","",IF(NOT(ISNUMBER(F781)),"Wert fehlt; ",IF(F781&lt;=0,"Wert ist 0; ",""))&amp;IF(NOT(ISNUMBER(E781)),"Bestand fehlt; ",IF(E781&lt;0,"Bestand negativ; ",IF(E781=0,"Nullbestand; ","")))&amp;IF(D781="","Warengruppe fehlt; ","")&amp;IF(B781="","Bezeichnung fehlt; ","")&amp;IF(COUNTIFS($A$2:$A$5001,$A781,$C$2:$C$5001,C781)&gt;1,"Artikel doppelt im selben Lager; ",""))</f>
        <v/>
      </c>
      <c r="P781" s="47" t="n">
        <f aca="false">IF(OR($A781="",D781=""),0,IF(COUNTIF($D$2:D781,D781)=1,SUMIF($D$2:$D$5001,D781,$H$2:$H$5001)+ROW()/10000000,0))</f>
        <v>0</v>
      </c>
      <c r="Q781" s="47" t="n">
        <f aca="false">IF(OR($A781="",C781=""),0,IF(COUNTIF($C$2:C781,C781)=1,SUMIF($C$2:$C$5001,C781,$H$2:$H$5001)+ROW()/10000000,0))</f>
        <v>0</v>
      </c>
    </row>
    <row r="782" customFormat="false" ht="15" hidden="false" customHeight="false" outlineLevel="0" collapsed="false">
      <c r="A782" s="43"/>
      <c r="B782" s="44"/>
      <c r="C782" s="44"/>
      <c r="D782" s="44"/>
      <c r="E782" s="44"/>
      <c r="F782" s="44"/>
      <c r="G782" s="44"/>
      <c r="H782" s="46" t="str">
        <f aca="false">IF($A782="","",IF(OR(NOT(ISNUMBER(E782)),NOT(ISNUMBER(F782))),"",MAX(0,E782)*F782))</f>
        <v/>
      </c>
      <c r="I782" s="46" t="str">
        <f aca="false">IF($A782="","",SUMIF($A$2:$A$5001,$A782,$H$2:$H$5001))</f>
        <v/>
      </c>
      <c r="J782" s="47" t="n">
        <f aca="false">IF($A782="",0,IF(COUNTIF($A$2:A782,$A782)=1,1,0))</f>
        <v>0</v>
      </c>
      <c r="K782" s="47" t="n">
        <f aca="false">IF(J782=1,N(I782)+ROW()/10000000,0)</f>
        <v>0</v>
      </c>
      <c r="L782" s="47" t="str">
        <f aca="false">IF(AND(J782=1,N(I782)&gt;0),SUMIF($K$2:$K$5001,"&gt;="&amp;K782,$I$2:$I$5001)/MAX(1,SUM($H$2:$H$5001)),"")</f>
        <v/>
      </c>
      <c r="M782" s="47" t="str">
        <f aca="false">IF($A782="","",INDEX($L$2:$L$5001,MATCH($A782,$A$2:$A$5001,0)))</f>
        <v/>
      </c>
      <c r="N782" s="48" t="str">
        <f aca="false">IF($A782="","",IF(N(M782)=0,"–",IF(M782&lt;=Start!$D$20,"A",IF(M782&lt;=Start!$D$21,"B","C"))))</f>
        <v/>
      </c>
      <c r="O782" s="48" t="str">
        <f aca="false">IF($A782="","",IF(NOT(ISNUMBER(F782)),"Wert fehlt; ",IF(F782&lt;=0,"Wert ist 0; ",""))&amp;IF(NOT(ISNUMBER(E782)),"Bestand fehlt; ",IF(E782&lt;0,"Bestand negativ; ",IF(E782=0,"Nullbestand; ","")))&amp;IF(D782="","Warengruppe fehlt; ","")&amp;IF(B782="","Bezeichnung fehlt; ","")&amp;IF(COUNTIFS($A$2:$A$5001,$A782,$C$2:$C$5001,C782)&gt;1,"Artikel doppelt im selben Lager; ",""))</f>
        <v/>
      </c>
      <c r="P782" s="47" t="n">
        <f aca="false">IF(OR($A782="",D782=""),0,IF(COUNTIF($D$2:D782,D782)=1,SUMIF($D$2:$D$5001,D782,$H$2:$H$5001)+ROW()/10000000,0))</f>
        <v>0</v>
      </c>
      <c r="Q782" s="47" t="n">
        <f aca="false">IF(OR($A782="",C782=""),0,IF(COUNTIF($C$2:C782,C782)=1,SUMIF($C$2:$C$5001,C782,$H$2:$H$5001)+ROW()/10000000,0))</f>
        <v>0</v>
      </c>
    </row>
    <row r="783" customFormat="false" ht="15" hidden="false" customHeight="false" outlineLevel="0" collapsed="false">
      <c r="A783" s="43"/>
      <c r="B783" s="44"/>
      <c r="C783" s="44"/>
      <c r="D783" s="44"/>
      <c r="E783" s="44"/>
      <c r="F783" s="44"/>
      <c r="G783" s="44"/>
      <c r="H783" s="46" t="str">
        <f aca="false">IF($A783="","",IF(OR(NOT(ISNUMBER(E783)),NOT(ISNUMBER(F783))),"",MAX(0,E783)*F783))</f>
        <v/>
      </c>
      <c r="I783" s="46" t="str">
        <f aca="false">IF($A783="","",SUMIF($A$2:$A$5001,$A783,$H$2:$H$5001))</f>
        <v/>
      </c>
      <c r="J783" s="47" t="n">
        <f aca="false">IF($A783="",0,IF(COUNTIF($A$2:A783,$A783)=1,1,0))</f>
        <v>0</v>
      </c>
      <c r="K783" s="47" t="n">
        <f aca="false">IF(J783=1,N(I783)+ROW()/10000000,0)</f>
        <v>0</v>
      </c>
      <c r="L783" s="47" t="str">
        <f aca="false">IF(AND(J783=1,N(I783)&gt;0),SUMIF($K$2:$K$5001,"&gt;="&amp;K783,$I$2:$I$5001)/MAX(1,SUM($H$2:$H$5001)),"")</f>
        <v/>
      </c>
      <c r="M783" s="47" t="str">
        <f aca="false">IF($A783="","",INDEX($L$2:$L$5001,MATCH($A783,$A$2:$A$5001,0)))</f>
        <v/>
      </c>
      <c r="N783" s="48" t="str">
        <f aca="false">IF($A783="","",IF(N(M783)=0,"–",IF(M783&lt;=Start!$D$20,"A",IF(M783&lt;=Start!$D$21,"B","C"))))</f>
        <v/>
      </c>
      <c r="O783" s="48" t="str">
        <f aca="false">IF($A783="","",IF(NOT(ISNUMBER(F783)),"Wert fehlt; ",IF(F783&lt;=0,"Wert ist 0; ",""))&amp;IF(NOT(ISNUMBER(E783)),"Bestand fehlt; ",IF(E783&lt;0,"Bestand negativ; ",IF(E783=0,"Nullbestand; ","")))&amp;IF(D783="","Warengruppe fehlt; ","")&amp;IF(B783="","Bezeichnung fehlt; ","")&amp;IF(COUNTIFS($A$2:$A$5001,$A783,$C$2:$C$5001,C783)&gt;1,"Artikel doppelt im selben Lager; ",""))</f>
        <v/>
      </c>
      <c r="P783" s="47" t="n">
        <f aca="false">IF(OR($A783="",D783=""),0,IF(COUNTIF($D$2:D783,D783)=1,SUMIF($D$2:$D$5001,D783,$H$2:$H$5001)+ROW()/10000000,0))</f>
        <v>0</v>
      </c>
      <c r="Q783" s="47" t="n">
        <f aca="false">IF(OR($A783="",C783=""),0,IF(COUNTIF($C$2:C783,C783)=1,SUMIF($C$2:$C$5001,C783,$H$2:$H$5001)+ROW()/10000000,0))</f>
        <v>0</v>
      </c>
    </row>
    <row r="784" customFormat="false" ht="15" hidden="false" customHeight="false" outlineLevel="0" collapsed="false">
      <c r="A784" s="43"/>
      <c r="B784" s="44"/>
      <c r="C784" s="44"/>
      <c r="D784" s="44"/>
      <c r="E784" s="44"/>
      <c r="F784" s="44"/>
      <c r="G784" s="44"/>
      <c r="H784" s="46" t="str">
        <f aca="false">IF($A784="","",IF(OR(NOT(ISNUMBER(E784)),NOT(ISNUMBER(F784))),"",MAX(0,E784)*F784))</f>
        <v/>
      </c>
      <c r="I784" s="46" t="str">
        <f aca="false">IF($A784="","",SUMIF($A$2:$A$5001,$A784,$H$2:$H$5001))</f>
        <v/>
      </c>
      <c r="J784" s="47" t="n">
        <f aca="false">IF($A784="",0,IF(COUNTIF($A$2:A784,$A784)=1,1,0))</f>
        <v>0</v>
      </c>
      <c r="K784" s="47" t="n">
        <f aca="false">IF(J784=1,N(I784)+ROW()/10000000,0)</f>
        <v>0</v>
      </c>
      <c r="L784" s="47" t="str">
        <f aca="false">IF(AND(J784=1,N(I784)&gt;0),SUMIF($K$2:$K$5001,"&gt;="&amp;K784,$I$2:$I$5001)/MAX(1,SUM($H$2:$H$5001)),"")</f>
        <v/>
      </c>
      <c r="M784" s="47" t="str">
        <f aca="false">IF($A784="","",INDEX($L$2:$L$5001,MATCH($A784,$A$2:$A$5001,0)))</f>
        <v/>
      </c>
      <c r="N784" s="48" t="str">
        <f aca="false">IF($A784="","",IF(N(M784)=0,"–",IF(M784&lt;=Start!$D$20,"A",IF(M784&lt;=Start!$D$21,"B","C"))))</f>
        <v/>
      </c>
      <c r="O784" s="48" t="str">
        <f aca="false">IF($A784="","",IF(NOT(ISNUMBER(F784)),"Wert fehlt; ",IF(F784&lt;=0,"Wert ist 0; ",""))&amp;IF(NOT(ISNUMBER(E784)),"Bestand fehlt; ",IF(E784&lt;0,"Bestand negativ; ",IF(E784=0,"Nullbestand; ","")))&amp;IF(D784="","Warengruppe fehlt; ","")&amp;IF(B784="","Bezeichnung fehlt; ","")&amp;IF(COUNTIFS($A$2:$A$5001,$A784,$C$2:$C$5001,C784)&gt;1,"Artikel doppelt im selben Lager; ",""))</f>
        <v/>
      </c>
      <c r="P784" s="47" t="n">
        <f aca="false">IF(OR($A784="",D784=""),0,IF(COUNTIF($D$2:D784,D784)=1,SUMIF($D$2:$D$5001,D784,$H$2:$H$5001)+ROW()/10000000,0))</f>
        <v>0</v>
      </c>
      <c r="Q784" s="47" t="n">
        <f aca="false">IF(OR($A784="",C784=""),0,IF(COUNTIF($C$2:C784,C784)=1,SUMIF($C$2:$C$5001,C784,$H$2:$H$5001)+ROW()/10000000,0))</f>
        <v>0</v>
      </c>
    </row>
    <row r="785" customFormat="false" ht="15" hidden="false" customHeight="false" outlineLevel="0" collapsed="false">
      <c r="A785" s="43"/>
      <c r="B785" s="44"/>
      <c r="C785" s="44"/>
      <c r="D785" s="44"/>
      <c r="E785" s="44"/>
      <c r="F785" s="44"/>
      <c r="G785" s="44"/>
      <c r="H785" s="46" t="str">
        <f aca="false">IF($A785="","",IF(OR(NOT(ISNUMBER(E785)),NOT(ISNUMBER(F785))),"",MAX(0,E785)*F785))</f>
        <v/>
      </c>
      <c r="I785" s="46" t="str">
        <f aca="false">IF($A785="","",SUMIF($A$2:$A$5001,$A785,$H$2:$H$5001))</f>
        <v/>
      </c>
      <c r="J785" s="47" t="n">
        <f aca="false">IF($A785="",0,IF(COUNTIF($A$2:A785,$A785)=1,1,0))</f>
        <v>0</v>
      </c>
      <c r="K785" s="47" t="n">
        <f aca="false">IF(J785=1,N(I785)+ROW()/10000000,0)</f>
        <v>0</v>
      </c>
      <c r="L785" s="47" t="str">
        <f aca="false">IF(AND(J785=1,N(I785)&gt;0),SUMIF($K$2:$K$5001,"&gt;="&amp;K785,$I$2:$I$5001)/MAX(1,SUM($H$2:$H$5001)),"")</f>
        <v/>
      </c>
      <c r="M785" s="47" t="str">
        <f aca="false">IF($A785="","",INDEX($L$2:$L$5001,MATCH($A785,$A$2:$A$5001,0)))</f>
        <v/>
      </c>
      <c r="N785" s="48" t="str">
        <f aca="false">IF($A785="","",IF(N(M785)=0,"–",IF(M785&lt;=Start!$D$20,"A",IF(M785&lt;=Start!$D$21,"B","C"))))</f>
        <v/>
      </c>
      <c r="O785" s="48" t="str">
        <f aca="false">IF($A785="","",IF(NOT(ISNUMBER(F785)),"Wert fehlt; ",IF(F785&lt;=0,"Wert ist 0; ",""))&amp;IF(NOT(ISNUMBER(E785)),"Bestand fehlt; ",IF(E785&lt;0,"Bestand negativ; ",IF(E785=0,"Nullbestand; ","")))&amp;IF(D785="","Warengruppe fehlt; ","")&amp;IF(B785="","Bezeichnung fehlt; ","")&amp;IF(COUNTIFS($A$2:$A$5001,$A785,$C$2:$C$5001,C785)&gt;1,"Artikel doppelt im selben Lager; ",""))</f>
        <v/>
      </c>
      <c r="P785" s="47" t="n">
        <f aca="false">IF(OR($A785="",D785=""),0,IF(COUNTIF($D$2:D785,D785)=1,SUMIF($D$2:$D$5001,D785,$H$2:$H$5001)+ROW()/10000000,0))</f>
        <v>0</v>
      </c>
      <c r="Q785" s="47" t="n">
        <f aca="false">IF(OR($A785="",C785=""),0,IF(COUNTIF($C$2:C785,C785)=1,SUMIF($C$2:$C$5001,C785,$H$2:$H$5001)+ROW()/10000000,0))</f>
        <v>0</v>
      </c>
    </row>
    <row r="786" customFormat="false" ht="15" hidden="false" customHeight="false" outlineLevel="0" collapsed="false">
      <c r="A786" s="43"/>
      <c r="B786" s="44"/>
      <c r="C786" s="44"/>
      <c r="D786" s="44"/>
      <c r="E786" s="44"/>
      <c r="F786" s="44"/>
      <c r="G786" s="44"/>
      <c r="H786" s="46" t="str">
        <f aca="false">IF($A786="","",IF(OR(NOT(ISNUMBER(E786)),NOT(ISNUMBER(F786))),"",MAX(0,E786)*F786))</f>
        <v/>
      </c>
      <c r="I786" s="46" t="str">
        <f aca="false">IF($A786="","",SUMIF($A$2:$A$5001,$A786,$H$2:$H$5001))</f>
        <v/>
      </c>
      <c r="J786" s="47" t="n">
        <f aca="false">IF($A786="",0,IF(COUNTIF($A$2:A786,$A786)=1,1,0))</f>
        <v>0</v>
      </c>
      <c r="K786" s="47" t="n">
        <f aca="false">IF(J786=1,N(I786)+ROW()/10000000,0)</f>
        <v>0</v>
      </c>
      <c r="L786" s="47" t="str">
        <f aca="false">IF(AND(J786=1,N(I786)&gt;0),SUMIF($K$2:$K$5001,"&gt;="&amp;K786,$I$2:$I$5001)/MAX(1,SUM($H$2:$H$5001)),"")</f>
        <v/>
      </c>
      <c r="M786" s="47" t="str">
        <f aca="false">IF($A786="","",INDEX($L$2:$L$5001,MATCH($A786,$A$2:$A$5001,0)))</f>
        <v/>
      </c>
      <c r="N786" s="48" t="str">
        <f aca="false">IF($A786="","",IF(N(M786)=0,"–",IF(M786&lt;=Start!$D$20,"A",IF(M786&lt;=Start!$D$21,"B","C"))))</f>
        <v/>
      </c>
      <c r="O786" s="48" t="str">
        <f aca="false">IF($A786="","",IF(NOT(ISNUMBER(F786)),"Wert fehlt; ",IF(F786&lt;=0,"Wert ist 0; ",""))&amp;IF(NOT(ISNUMBER(E786)),"Bestand fehlt; ",IF(E786&lt;0,"Bestand negativ; ",IF(E786=0,"Nullbestand; ","")))&amp;IF(D786="","Warengruppe fehlt; ","")&amp;IF(B786="","Bezeichnung fehlt; ","")&amp;IF(COUNTIFS($A$2:$A$5001,$A786,$C$2:$C$5001,C786)&gt;1,"Artikel doppelt im selben Lager; ",""))</f>
        <v/>
      </c>
      <c r="P786" s="47" t="n">
        <f aca="false">IF(OR($A786="",D786=""),0,IF(COUNTIF($D$2:D786,D786)=1,SUMIF($D$2:$D$5001,D786,$H$2:$H$5001)+ROW()/10000000,0))</f>
        <v>0</v>
      </c>
      <c r="Q786" s="47" t="n">
        <f aca="false">IF(OR($A786="",C786=""),0,IF(COUNTIF($C$2:C786,C786)=1,SUMIF($C$2:$C$5001,C786,$H$2:$H$5001)+ROW()/10000000,0))</f>
        <v>0</v>
      </c>
    </row>
    <row r="787" customFormat="false" ht="15" hidden="false" customHeight="false" outlineLevel="0" collapsed="false">
      <c r="A787" s="43"/>
      <c r="B787" s="44"/>
      <c r="C787" s="44"/>
      <c r="D787" s="44"/>
      <c r="E787" s="44"/>
      <c r="F787" s="44"/>
      <c r="G787" s="44"/>
      <c r="H787" s="46" t="str">
        <f aca="false">IF($A787="","",IF(OR(NOT(ISNUMBER(E787)),NOT(ISNUMBER(F787))),"",MAX(0,E787)*F787))</f>
        <v/>
      </c>
      <c r="I787" s="46" t="str">
        <f aca="false">IF($A787="","",SUMIF($A$2:$A$5001,$A787,$H$2:$H$5001))</f>
        <v/>
      </c>
      <c r="J787" s="47" t="n">
        <f aca="false">IF($A787="",0,IF(COUNTIF($A$2:A787,$A787)=1,1,0))</f>
        <v>0</v>
      </c>
      <c r="K787" s="47" t="n">
        <f aca="false">IF(J787=1,N(I787)+ROW()/10000000,0)</f>
        <v>0</v>
      </c>
      <c r="L787" s="47" t="str">
        <f aca="false">IF(AND(J787=1,N(I787)&gt;0),SUMIF($K$2:$K$5001,"&gt;="&amp;K787,$I$2:$I$5001)/MAX(1,SUM($H$2:$H$5001)),"")</f>
        <v/>
      </c>
      <c r="M787" s="47" t="str">
        <f aca="false">IF($A787="","",INDEX($L$2:$L$5001,MATCH($A787,$A$2:$A$5001,0)))</f>
        <v/>
      </c>
      <c r="N787" s="48" t="str">
        <f aca="false">IF($A787="","",IF(N(M787)=0,"–",IF(M787&lt;=Start!$D$20,"A",IF(M787&lt;=Start!$D$21,"B","C"))))</f>
        <v/>
      </c>
      <c r="O787" s="48" t="str">
        <f aca="false">IF($A787="","",IF(NOT(ISNUMBER(F787)),"Wert fehlt; ",IF(F787&lt;=0,"Wert ist 0; ",""))&amp;IF(NOT(ISNUMBER(E787)),"Bestand fehlt; ",IF(E787&lt;0,"Bestand negativ; ",IF(E787=0,"Nullbestand; ","")))&amp;IF(D787="","Warengruppe fehlt; ","")&amp;IF(B787="","Bezeichnung fehlt; ","")&amp;IF(COUNTIFS($A$2:$A$5001,$A787,$C$2:$C$5001,C787)&gt;1,"Artikel doppelt im selben Lager; ",""))</f>
        <v/>
      </c>
      <c r="P787" s="47" t="n">
        <f aca="false">IF(OR($A787="",D787=""),0,IF(COUNTIF($D$2:D787,D787)=1,SUMIF($D$2:$D$5001,D787,$H$2:$H$5001)+ROW()/10000000,0))</f>
        <v>0</v>
      </c>
      <c r="Q787" s="47" t="n">
        <f aca="false">IF(OR($A787="",C787=""),0,IF(COUNTIF($C$2:C787,C787)=1,SUMIF($C$2:$C$5001,C787,$H$2:$H$5001)+ROW()/10000000,0))</f>
        <v>0</v>
      </c>
    </row>
    <row r="788" customFormat="false" ht="15" hidden="false" customHeight="false" outlineLevel="0" collapsed="false">
      <c r="A788" s="43"/>
      <c r="B788" s="44"/>
      <c r="C788" s="44"/>
      <c r="D788" s="44"/>
      <c r="E788" s="44"/>
      <c r="F788" s="44"/>
      <c r="G788" s="44"/>
      <c r="H788" s="46" t="str">
        <f aca="false">IF($A788="","",IF(OR(NOT(ISNUMBER(E788)),NOT(ISNUMBER(F788))),"",MAX(0,E788)*F788))</f>
        <v/>
      </c>
      <c r="I788" s="46" t="str">
        <f aca="false">IF($A788="","",SUMIF($A$2:$A$5001,$A788,$H$2:$H$5001))</f>
        <v/>
      </c>
      <c r="J788" s="47" t="n">
        <f aca="false">IF($A788="",0,IF(COUNTIF($A$2:A788,$A788)=1,1,0))</f>
        <v>0</v>
      </c>
      <c r="K788" s="47" t="n">
        <f aca="false">IF(J788=1,N(I788)+ROW()/10000000,0)</f>
        <v>0</v>
      </c>
      <c r="L788" s="47" t="str">
        <f aca="false">IF(AND(J788=1,N(I788)&gt;0),SUMIF($K$2:$K$5001,"&gt;="&amp;K788,$I$2:$I$5001)/MAX(1,SUM($H$2:$H$5001)),"")</f>
        <v/>
      </c>
      <c r="M788" s="47" t="str">
        <f aca="false">IF($A788="","",INDEX($L$2:$L$5001,MATCH($A788,$A$2:$A$5001,0)))</f>
        <v/>
      </c>
      <c r="N788" s="48" t="str">
        <f aca="false">IF($A788="","",IF(N(M788)=0,"–",IF(M788&lt;=Start!$D$20,"A",IF(M788&lt;=Start!$D$21,"B","C"))))</f>
        <v/>
      </c>
      <c r="O788" s="48" t="str">
        <f aca="false">IF($A788="","",IF(NOT(ISNUMBER(F788)),"Wert fehlt; ",IF(F788&lt;=0,"Wert ist 0; ",""))&amp;IF(NOT(ISNUMBER(E788)),"Bestand fehlt; ",IF(E788&lt;0,"Bestand negativ; ",IF(E788=0,"Nullbestand; ","")))&amp;IF(D788="","Warengruppe fehlt; ","")&amp;IF(B788="","Bezeichnung fehlt; ","")&amp;IF(COUNTIFS($A$2:$A$5001,$A788,$C$2:$C$5001,C788)&gt;1,"Artikel doppelt im selben Lager; ",""))</f>
        <v/>
      </c>
      <c r="P788" s="47" t="n">
        <f aca="false">IF(OR($A788="",D788=""),0,IF(COUNTIF($D$2:D788,D788)=1,SUMIF($D$2:$D$5001,D788,$H$2:$H$5001)+ROW()/10000000,0))</f>
        <v>0</v>
      </c>
      <c r="Q788" s="47" t="n">
        <f aca="false">IF(OR($A788="",C788=""),0,IF(COUNTIF($C$2:C788,C788)=1,SUMIF($C$2:$C$5001,C788,$H$2:$H$5001)+ROW()/10000000,0))</f>
        <v>0</v>
      </c>
    </row>
    <row r="789" customFormat="false" ht="15" hidden="false" customHeight="false" outlineLevel="0" collapsed="false">
      <c r="A789" s="43"/>
      <c r="B789" s="44"/>
      <c r="C789" s="44"/>
      <c r="D789" s="44"/>
      <c r="E789" s="44"/>
      <c r="F789" s="44"/>
      <c r="G789" s="44"/>
      <c r="H789" s="46" t="str">
        <f aca="false">IF($A789="","",IF(OR(NOT(ISNUMBER(E789)),NOT(ISNUMBER(F789))),"",MAX(0,E789)*F789))</f>
        <v/>
      </c>
      <c r="I789" s="46" t="str">
        <f aca="false">IF($A789="","",SUMIF($A$2:$A$5001,$A789,$H$2:$H$5001))</f>
        <v/>
      </c>
      <c r="J789" s="47" t="n">
        <f aca="false">IF($A789="",0,IF(COUNTIF($A$2:A789,$A789)=1,1,0))</f>
        <v>0</v>
      </c>
      <c r="K789" s="47" t="n">
        <f aca="false">IF(J789=1,N(I789)+ROW()/10000000,0)</f>
        <v>0</v>
      </c>
      <c r="L789" s="47" t="str">
        <f aca="false">IF(AND(J789=1,N(I789)&gt;0),SUMIF($K$2:$K$5001,"&gt;="&amp;K789,$I$2:$I$5001)/MAX(1,SUM($H$2:$H$5001)),"")</f>
        <v/>
      </c>
      <c r="M789" s="47" t="str">
        <f aca="false">IF($A789="","",INDEX($L$2:$L$5001,MATCH($A789,$A$2:$A$5001,0)))</f>
        <v/>
      </c>
      <c r="N789" s="48" t="str">
        <f aca="false">IF($A789="","",IF(N(M789)=0,"–",IF(M789&lt;=Start!$D$20,"A",IF(M789&lt;=Start!$D$21,"B","C"))))</f>
        <v/>
      </c>
      <c r="O789" s="48" t="str">
        <f aca="false">IF($A789="","",IF(NOT(ISNUMBER(F789)),"Wert fehlt; ",IF(F789&lt;=0,"Wert ist 0; ",""))&amp;IF(NOT(ISNUMBER(E789)),"Bestand fehlt; ",IF(E789&lt;0,"Bestand negativ; ",IF(E789=0,"Nullbestand; ","")))&amp;IF(D789="","Warengruppe fehlt; ","")&amp;IF(B789="","Bezeichnung fehlt; ","")&amp;IF(COUNTIFS($A$2:$A$5001,$A789,$C$2:$C$5001,C789)&gt;1,"Artikel doppelt im selben Lager; ",""))</f>
        <v/>
      </c>
      <c r="P789" s="47" t="n">
        <f aca="false">IF(OR($A789="",D789=""),0,IF(COUNTIF($D$2:D789,D789)=1,SUMIF($D$2:$D$5001,D789,$H$2:$H$5001)+ROW()/10000000,0))</f>
        <v>0</v>
      </c>
      <c r="Q789" s="47" t="n">
        <f aca="false">IF(OR($A789="",C789=""),0,IF(COUNTIF($C$2:C789,C789)=1,SUMIF($C$2:$C$5001,C789,$H$2:$H$5001)+ROW()/10000000,0))</f>
        <v>0</v>
      </c>
    </row>
    <row r="790" customFormat="false" ht="15" hidden="false" customHeight="false" outlineLevel="0" collapsed="false">
      <c r="A790" s="43"/>
      <c r="B790" s="44"/>
      <c r="C790" s="44"/>
      <c r="D790" s="44"/>
      <c r="E790" s="44"/>
      <c r="F790" s="44"/>
      <c r="G790" s="44"/>
      <c r="H790" s="46" t="str">
        <f aca="false">IF($A790="","",IF(OR(NOT(ISNUMBER(E790)),NOT(ISNUMBER(F790))),"",MAX(0,E790)*F790))</f>
        <v/>
      </c>
      <c r="I790" s="46" t="str">
        <f aca="false">IF($A790="","",SUMIF($A$2:$A$5001,$A790,$H$2:$H$5001))</f>
        <v/>
      </c>
      <c r="J790" s="47" t="n">
        <f aca="false">IF($A790="",0,IF(COUNTIF($A$2:A790,$A790)=1,1,0))</f>
        <v>0</v>
      </c>
      <c r="K790" s="47" t="n">
        <f aca="false">IF(J790=1,N(I790)+ROW()/10000000,0)</f>
        <v>0</v>
      </c>
      <c r="L790" s="47" t="str">
        <f aca="false">IF(AND(J790=1,N(I790)&gt;0),SUMIF($K$2:$K$5001,"&gt;="&amp;K790,$I$2:$I$5001)/MAX(1,SUM($H$2:$H$5001)),"")</f>
        <v/>
      </c>
      <c r="M790" s="47" t="str">
        <f aca="false">IF($A790="","",INDEX($L$2:$L$5001,MATCH($A790,$A$2:$A$5001,0)))</f>
        <v/>
      </c>
      <c r="N790" s="48" t="str">
        <f aca="false">IF($A790="","",IF(N(M790)=0,"–",IF(M790&lt;=Start!$D$20,"A",IF(M790&lt;=Start!$D$21,"B","C"))))</f>
        <v/>
      </c>
      <c r="O790" s="48" t="str">
        <f aca="false">IF($A790="","",IF(NOT(ISNUMBER(F790)),"Wert fehlt; ",IF(F790&lt;=0,"Wert ist 0; ",""))&amp;IF(NOT(ISNUMBER(E790)),"Bestand fehlt; ",IF(E790&lt;0,"Bestand negativ; ",IF(E790=0,"Nullbestand; ","")))&amp;IF(D790="","Warengruppe fehlt; ","")&amp;IF(B790="","Bezeichnung fehlt; ","")&amp;IF(COUNTIFS($A$2:$A$5001,$A790,$C$2:$C$5001,C790)&gt;1,"Artikel doppelt im selben Lager; ",""))</f>
        <v/>
      </c>
      <c r="P790" s="47" t="n">
        <f aca="false">IF(OR($A790="",D790=""),0,IF(COUNTIF($D$2:D790,D790)=1,SUMIF($D$2:$D$5001,D790,$H$2:$H$5001)+ROW()/10000000,0))</f>
        <v>0</v>
      </c>
      <c r="Q790" s="47" t="n">
        <f aca="false">IF(OR($A790="",C790=""),0,IF(COUNTIF($C$2:C790,C790)=1,SUMIF($C$2:$C$5001,C790,$H$2:$H$5001)+ROW()/10000000,0))</f>
        <v>0</v>
      </c>
    </row>
    <row r="791" customFormat="false" ht="15" hidden="false" customHeight="false" outlineLevel="0" collapsed="false">
      <c r="A791" s="43"/>
      <c r="B791" s="44"/>
      <c r="C791" s="44"/>
      <c r="D791" s="44"/>
      <c r="E791" s="44"/>
      <c r="F791" s="44"/>
      <c r="G791" s="44"/>
      <c r="H791" s="46" t="str">
        <f aca="false">IF($A791="","",IF(OR(NOT(ISNUMBER(E791)),NOT(ISNUMBER(F791))),"",MAX(0,E791)*F791))</f>
        <v/>
      </c>
      <c r="I791" s="46" t="str">
        <f aca="false">IF($A791="","",SUMIF($A$2:$A$5001,$A791,$H$2:$H$5001))</f>
        <v/>
      </c>
      <c r="J791" s="47" t="n">
        <f aca="false">IF($A791="",0,IF(COUNTIF($A$2:A791,$A791)=1,1,0))</f>
        <v>0</v>
      </c>
      <c r="K791" s="47" t="n">
        <f aca="false">IF(J791=1,N(I791)+ROW()/10000000,0)</f>
        <v>0</v>
      </c>
      <c r="L791" s="47" t="str">
        <f aca="false">IF(AND(J791=1,N(I791)&gt;0),SUMIF($K$2:$K$5001,"&gt;="&amp;K791,$I$2:$I$5001)/MAX(1,SUM($H$2:$H$5001)),"")</f>
        <v/>
      </c>
      <c r="M791" s="47" t="str">
        <f aca="false">IF($A791="","",INDEX($L$2:$L$5001,MATCH($A791,$A$2:$A$5001,0)))</f>
        <v/>
      </c>
      <c r="N791" s="48" t="str">
        <f aca="false">IF($A791="","",IF(N(M791)=0,"–",IF(M791&lt;=Start!$D$20,"A",IF(M791&lt;=Start!$D$21,"B","C"))))</f>
        <v/>
      </c>
      <c r="O791" s="48" t="str">
        <f aca="false">IF($A791="","",IF(NOT(ISNUMBER(F791)),"Wert fehlt; ",IF(F791&lt;=0,"Wert ist 0; ",""))&amp;IF(NOT(ISNUMBER(E791)),"Bestand fehlt; ",IF(E791&lt;0,"Bestand negativ; ",IF(E791=0,"Nullbestand; ","")))&amp;IF(D791="","Warengruppe fehlt; ","")&amp;IF(B791="","Bezeichnung fehlt; ","")&amp;IF(COUNTIFS($A$2:$A$5001,$A791,$C$2:$C$5001,C791)&gt;1,"Artikel doppelt im selben Lager; ",""))</f>
        <v/>
      </c>
      <c r="P791" s="47" t="n">
        <f aca="false">IF(OR($A791="",D791=""),0,IF(COUNTIF($D$2:D791,D791)=1,SUMIF($D$2:$D$5001,D791,$H$2:$H$5001)+ROW()/10000000,0))</f>
        <v>0</v>
      </c>
      <c r="Q791" s="47" t="n">
        <f aca="false">IF(OR($A791="",C791=""),0,IF(COUNTIF($C$2:C791,C791)=1,SUMIF($C$2:$C$5001,C791,$H$2:$H$5001)+ROW()/10000000,0))</f>
        <v>0</v>
      </c>
    </row>
    <row r="792" customFormat="false" ht="15" hidden="false" customHeight="false" outlineLevel="0" collapsed="false">
      <c r="A792" s="43"/>
      <c r="B792" s="44"/>
      <c r="C792" s="44"/>
      <c r="D792" s="44"/>
      <c r="E792" s="44"/>
      <c r="F792" s="44"/>
      <c r="G792" s="44"/>
      <c r="H792" s="46" t="str">
        <f aca="false">IF($A792="","",IF(OR(NOT(ISNUMBER(E792)),NOT(ISNUMBER(F792))),"",MAX(0,E792)*F792))</f>
        <v/>
      </c>
      <c r="I792" s="46" t="str">
        <f aca="false">IF($A792="","",SUMIF($A$2:$A$5001,$A792,$H$2:$H$5001))</f>
        <v/>
      </c>
      <c r="J792" s="47" t="n">
        <f aca="false">IF($A792="",0,IF(COUNTIF($A$2:A792,$A792)=1,1,0))</f>
        <v>0</v>
      </c>
      <c r="K792" s="47" t="n">
        <f aca="false">IF(J792=1,N(I792)+ROW()/10000000,0)</f>
        <v>0</v>
      </c>
      <c r="L792" s="47" t="str">
        <f aca="false">IF(AND(J792=1,N(I792)&gt;0),SUMIF($K$2:$K$5001,"&gt;="&amp;K792,$I$2:$I$5001)/MAX(1,SUM($H$2:$H$5001)),"")</f>
        <v/>
      </c>
      <c r="M792" s="47" t="str">
        <f aca="false">IF($A792="","",INDEX($L$2:$L$5001,MATCH($A792,$A$2:$A$5001,0)))</f>
        <v/>
      </c>
      <c r="N792" s="48" t="str">
        <f aca="false">IF($A792="","",IF(N(M792)=0,"–",IF(M792&lt;=Start!$D$20,"A",IF(M792&lt;=Start!$D$21,"B","C"))))</f>
        <v/>
      </c>
      <c r="O792" s="48" t="str">
        <f aca="false">IF($A792="","",IF(NOT(ISNUMBER(F792)),"Wert fehlt; ",IF(F792&lt;=0,"Wert ist 0; ",""))&amp;IF(NOT(ISNUMBER(E792)),"Bestand fehlt; ",IF(E792&lt;0,"Bestand negativ; ",IF(E792=0,"Nullbestand; ","")))&amp;IF(D792="","Warengruppe fehlt; ","")&amp;IF(B792="","Bezeichnung fehlt; ","")&amp;IF(COUNTIFS($A$2:$A$5001,$A792,$C$2:$C$5001,C792)&gt;1,"Artikel doppelt im selben Lager; ",""))</f>
        <v/>
      </c>
      <c r="P792" s="47" t="n">
        <f aca="false">IF(OR($A792="",D792=""),0,IF(COUNTIF($D$2:D792,D792)=1,SUMIF($D$2:$D$5001,D792,$H$2:$H$5001)+ROW()/10000000,0))</f>
        <v>0</v>
      </c>
      <c r="Q792" s="47" t="n">
        <f aca="false">IF(OR($A792="",C792=""),0,IF(COUNTIF($C$2:C792,C792)=1,SUMIF($C$2:$C$5001,C792,$H$2:$H$5001)+ROW()/10000000,0))</f>
        <v>0</v>
      </c>
    </row>
    <row r="793" customFormat="false" ht="15" hidden="false" customHeight="false" outlineLevel="0" collapsed="false">
      <c r="A793" s="43"/>
      <c r="B793" s="44"/>
      <c r="C793" s="44"/>
      <c r="D793" s="44"/>
      <c r="E793" s="44"/>
      <c r="F793" s="44"/>
      <c r="G793" s="44"/>
      <c r="H793" s="46" t="str">
        <f aca="false">IF($A793="","",IF(OR(NOT(ISNUMBER(E793)),NOT(ISNUMBER(F793))),"",MAX(0,E793)*F793))</f>
        <v/>
      </c>
      <c r="I793" s="46" t="str">
        <f aca="false">IF($A793="","",SUMIF($A$2:$A$5001,$A793,$H$2:$H$5001))</f>
        <v/>
      </c>
      <c r="J793" s="47" t="n">
        <f aca="false">IF($A793="",0,IF(COUNTIF($A$2:A793,$A793)=1,1,0))</f>
        <v>0</v>
      </c>
      <c r="K793" s="47" t="n">
        <f aca="false">IF(J793=1,N(I793)+ROW()/10000000,0)</f>
        <v>0</v>
      </c>
      <c r="L793" s="47" t="str">
        <f aca="false">IF(AND(J793=1,N(I793)&gt;0),SUMIF($K$2:$K$5001,"&gt;="&amp;K793,$I$2:$I$5001)/MAX(1,SUM($H$2:$H$5001)),"")</f>
        <v/>
      </c>
      <c r="M793" s="47" t="str">
        <f aca="false">IF($A793="","",INDEX($L$2:$L$5001,MATCH($A793,$A$2:$A$5001,0)))</f>
        <v/>
      </c>
      <c r="N793" s="48" t="str">
        <f aca="false">IF($A793="","",IF(N(M793)=0,"–",IF(M793&lt;=Start!$D$20,"A",IF(M793&lt;=Start!$D$21,"B","C"))))</f>
        <v/>
      </c>
      <c r="O793" s="48" t="str">
        <f aca="false">IF($A793="","",IF(NOT(ISNUMBER(F793)),"Wert fehlt; ",IF(F793&lt;=0,"Wert ist 0; ",""))&amp;IF(NOT(ISNUMBER(E793)),"Bestand fehlt; ",IF(E793&lt;0,"Bestand negativ; ",IF(E793=0,"Nullbestand; ","")))&amp;IF(D793="","Warengruppe fehlt; ","")&amp;IF(B793="","Bezeichnung fehlt; ","")&amp;IF(COUNTIFS($A$2:$A$5001,$A793,$C$2:$C$5001,C793)&gt;1,"Artikel doppelt im selben Lager; ",""))</f>
        <v/>
      </c>
      <c r="P793" s="47" t="n">
        <f aca="false">IF(OR($A793="",D793=""),0,IF(COUNTIF($D$2:D793,D793)=1,SUMIF($D$2:$D$5001,D793,$H$2:$H$5001)+ROW()/10000000,0))</f>
        <v>0</v>
      </c>
      <c r="Q793" s="47" t="n">
        <f aca="false">IF(OR($A793="",C793=""),0,IF(COUNTIF($C$2:C793,C793)=1,SUMIF($C$2:$C$5001,C793,$H$2:$H$5001)+ROW()/10000000,0))</f>
        <v>0</v>
      </c>
    </row>
    <row r="794" customFormat="false" ht="15" hidden="false" customHeight="false" outlineLevel="0" collapsed="false">
      <c r="A794" s="43"/>
      <c r="B794" s="44"/>
      <c r="C794" s="44"/>
      <c r="D794" s="44"/>
      <c r="E794" s="44"/>
      <c r="F794" s="44"/>
      <c r="G794" s="44"/>
      <c r="H794" s="46" t="str">
        <f aca="false">IF($A794="","",IF(OR(NOT(ISNUMBER(E794)),NOT(ISNUMBER(F794))),"",MAX(0,E794)*F794))</f>
        <v/>
      </c>
      <c r="I794" s="46" t="str">
        <f aca="false">IF($A794="","",SUMIF($A$2:$A$5001,$A794,$H$2:$H$5001))</f>
        <v/>
      </c>
      <c r="J794" s="47" t="n">
        <f aca="false">IF($A794="",0,IF(COUNTIF($A$2:A794,$A794)=1,1,0))</f>
        <v>0</v>
      </c>
      <c r="K794" s="47" t="n">
        <f aca="false">IF(J794=1,N(I794)+ROW()/10000000,0)</f>
        <v>0</v>
      </c>
      <c r="L794" s="47" t="str">
        <f aca="false">IF(AND(J794=1,N(I794)&gt;0),SUMIF($K$2:$K$5001,"&gt;="&amp;K794,$I$2:$I$5001)/MAX(1,SUM($H$2:$H$5001)),"")</f>
        <v/>
      </c>
      <c r="M794" s="47" t="str">
        <f aca="false">IF($A794="","",INDEX($L$2:$L$5001,MATCH($A794,$A$2:$A$5001,0)))</f>
        <v/>
      </c>
      <c r="N794" s="48" t="str">
        <f aca="false">IF($A794="","",IF(N(M794)=0,"–",IF(M794&lt;=Start!$D$20,"A",IF(M794&lt;=Start!$D$21,"B","C"))))</f>
        <v/>
      </c>
      <c r="O794" s="48" t="str">
        <f aca="false">IF($A794="","",IF(NOT(ISNUMBER(F794)),"Wert fehlt; ",IF(F794&lt;=0,"Wert ist 0; ",""))&amp;IF(NOT(ISNUMBER(E794)),"Bestand fehlt; ",IF(E794&lt;0,"Bestand negativ; ",IF(E794=0,"Nullbestand; ","")))&amp;IF(D794="","Warengruppe fehlt; ","")&amp;IF(B794="","Bezeichnung fehlt; ","")&amp;IF(COUNTIFS($A$2:$A$5001,$A794,$C$2:$C$5001,C794)&gt;1,"Artikel doppelt im selben Lager; ",""))</f>
        <v/>
      </c>
      <c r="P794" s="47" t="n">
        <f aca="false">IF(OR($A794="",D794=""),0,IF(COUNTIF($D$2:D794,D794)=1,SUMIF($D$2:$D$5001,D794,$H$2:$H$5001)+ROW()/10000000,0))</f>
        <v>0</v>
      </c>
      <c r="Q794" s="47" t="n">
        <f aca="false">IF(OR($A794="",C794=""),0,IF(COUNTIF($C$2:C794,C794)=1,SUMIF($C$2:$C$5001,C794,$H$2:$H$5001)+ROW()/10000000,0))</f>
        <v>0</v>
      </c>
    </row>
    <row r="795" customFormat="false" ht="15" hidden="false" customHeight="false" outlineLevel="0" collapsed="false">
      <c r="A795" s="43"/>
      <c r="B795" s="44"/>
      <c r="C795" s="44"/>
      <c r="D795" s="44"/>
      <c r="E795" s="44"/>
      <c r="F795" s="44"/>
      <c r="G795" s="44"/>
      <c r="H795" s="46" t="str">
        <f aca="false">IF($A795="","",IF(OR(NOT(ISNUMBER(E795)),NOT(ISNUMBER(F795))),"",MAX(0,E795)*F795))</f>
        <v/>
      </c>
      <c r="I795" s="46" t="str">
        <f aca="false">IF($A795="","",SUMIF($A$2:$A$5001,$A795,$H$2:$H$5001))</f>
        <v/>
      </c>
      <c r="J795" s="47" t="n">
        <f aca="false">IF($A795="",0,IF(COUNTIF($A$2:A795,$A795)=1,1,0))</f>
        <v>0</v>
      </c>
      <c r="K795" s="47" t="n">
        <f aca="false">IF(J795=1,N(I795)+ROW()/10000000,0)</f>
        <v>0</v>
      </c>
      <c r="L795" s="47" t="str">
        <f aca="false">IF(AND(J795=1,N(I795)&gt;0),SUMIF($K$2:$K$5001,"&gt;="&amp;K795,$I$2:$I$5001)/MAX(1,SUM($H$2:$H$5001)),"")</f>
        <v/>
      </c>
      <c r="M795" s="47" t="str">
        <f aca="false">IF($A795="","",INDEX($L$2:$L$5001,MATCH($A795,$A$2:$A$5001,0)))</f>
        <v/>
      </c>
      <c r="N795" s="48" t="str">
        <f aca="false">IF($A795="","",IF(N(M795)=0,"–",IF(M795&lt;=Start!$D$20,"A",IF(M795&lt;=Start!$D$21,"B","C"))))</f>
        <v/>
      </c>
      <c r="O795" s="48" t="str">
        <f aca="false">IF($A795="","",IF(NOT(ISNUMBER(F795)),"Wert fehlt; ",IF(F795&lt;=0,"Wert ist 0; ",""))&amp;IF(NOT(ISNUMBER(E795)),"Bestand fehlt; ",IF(E795&lt;0,"Bestand negativ; ",IF(E795=0,"Nullbestand; ","")))&amp;IF(D795="","Warengruppe fehlt; ","")&amp;IF(B795="","Bezeichnung fehlt; ","")&amp;IF(COUNTIFS($A$2:$A$5001,$A795,$C$2:$C$5001,C795)&gt;1,"Artikel doppelt im selben Lager; ",""))</f>
        <v/>
      </c>
      <c r="P795" s="47" t="n">
        <f aca="false">IF(OR($A795="",D795=""),0,IF(COUNTIF($D$2:D795,D795)=1,SUMIF($D$2:$D$5001,D795,$H$2:$H$5001)+ROW()/10000000,0))</f>
        <v>0</v>
      </c>
      <c r="Q795" s="47" t="n">
        <f aca="false">IF(OR($A795="",C795=""),0,IF(COUNTIF($C$2:C795,C795)=1,SUMIF($C$2:$C$5001,C795,$H$2:$H$5001)+ROW()/10000000,0))</f>
        <v>0</v>
      </c>
    </row>
    <row r="796" customFormat="false" ht="15" hidden="false" customHeight="false" outlineLevel="0" collapsed="false">
      <c r="A796" s="43"/>
      <c r="B796" s="44"/>
      <c r="C796" s="44"/>
      <c r="D796" s="44"/>
      <c r="E796" s="44"/>
      <c r="F796" s="44"/>
      <c r="G796" s="44"/>
      <c r="H796" s="46" t="str">
        <f aca="false">IF($A796="","",IF(OR(NOT(ISNUMBER(E796)),NOT(ISNUMBER(F796))),"",MAX(0,E796)*F796))</f>
        <v/>
      </c>
      <c r="I796" s="46" t="str">
        <f aca="false">IF($A796="","",SUMIF($A$2:$A$5001,$A796,$H$2:$H$5001))</f>
        <v/>
      </c>
      <c r="J796" s="47" t="n">
        <f aca="false">IF($A796="",0,IF(COUNTIF($A$2:A796,$A796)=1,1,0))</f>
        <v>0</v>
      </c>
      <c r="K796" s="47" t="n">
        <f aca="false">IF(J796=1,N(I796)+ROW()/10000000,0)</f>
        <v>0</v>
      </c>
      <c r="L796" s="47" t="str">
        <f aca="false">IF(AND(J796=1,N(I796)&gt;0),SUMIF($K$2:$K$5001,"&gt;="&amp;K796,$I$2:$I$5001)/MAX(1,SUM($H$2:$H$5001)),"")</f>
        <v/>
      </c>
      <c r="M796" s="47" t="str">
        <f aca="false">IF($A796="","",INDEX($L$2:$L$5001,MATCH($A796,$A$2:$A$5001,0)))</f>
        <v/>
      </c>
      <c r="N796" s="48" t="str">
        <f aca="false">IF($A796="","",IF(N(M796)=0,"–",IF(M796&lt;=Start!$D$20,"A",IF(M796&lt;=Start!$D$21,"B","C"))))</f>
        <v/>
      </c>
      <c r="O796" s="48" t="str">
        <f aca="false">IF($A796="","",IF(NOT(ISNUMBER(F796)),"Wert fehlt; ",IF(F796&lt;=0,"Wert ist 0; ",""))&amp;IF(NOT(ISNUMBER(E796)),"Bestand fehlt; ",IF(E796&lt;0,"Bestand negativ; ",IF(E796=0,"Nullbestand; ","")))&amp;IF(D796="","Warengruppe fehlt; ","")&amp;IF(B796="","Bezeichnung fehlt; ","")&amp;IF(COUNTIFS($A$2:$A$5001,$A796,$C$2:$C$5001,C796)&gt;1,"Artikel doppelt im selben Lager; ",""))</f>
        <v/>
      </c>
      <c r="P796" s="47" t="n">
        <f aca="false">IF(OR($A796="",D796=""),0,IF(COUNTIF($D$2:D796,D796)=1,SUMIF($D$2:$D$5001,D796,$H$2:$H$5001)+ROW()/10000000,0))</f>
        <v>0</v>
      </c>
      <c r="Q796" s="47" t="n">
        <f aca="false">IF(OR($A796="",C796=""),0,IF(COUNTIF($C$2:C796,C796)=1,SUMIF($C$2:$C$5001,C796,$H$2:$H$5001)+ROW()/10000000,0))</f>
        <v>0</v>
      </c>
    </row>
    <row r="797" customFormat="false" ht="15" hidden="false" customHeight="false" outlineLevel="0" collapsed="false">
      <c r="A797" s="43"/>
      <c r="B797" s="44"/>
      <c r="C797" s="44"/>
      <c r="D797" s="44"/>
      <c r="E797" s="44"/>
      <c r="F797" s="44"/>
      <c r="G797" s="44"/>
      <c r="H797" s="46" t="str">
        <f aca="false">IF($A797="","",IF(OR(NOT(ISNUMBER(E797)),NOT(ISNUMBER(F797))),"",MAX(0,E797)*F797))</f>
        <v/>
      </c>
      <c r="I797" s="46" t="str">
        <f aca="false">IF($A797="","",SUMIF($A$2:$A$5001,$A797,$H$2:$H$5001))</f>
        <v/>
      </c>
      <c r="J797" s="47" t="n">
        <f aca="false">IF($A797="",0,IF(COUNTIF($A$2:A797,$A797)=1,1,0))</f>
        <v>0</v>
      </c>
      <c r="K797" s="47" t="n">
        <f aca="false">IF(J797=1,N(I797)+ROW()/10000000,0)</f>
        <v>0</v>
      </c>
      <c r="L797" s="47" t="str">
        <f aca="false">IF(AND(J797=1,N(I797)&gt;0),SUMIF($K$2:$K$5001,"&gt;="&amp;K797,$I$2:$I$5001)/MAX(1,SUM($H$2:$H$5001)),"")</f>
        <v/>
      </c>
      <c r="M797" s="47" t="str">
        <f aca="false">IF($A797="","",INDEX($L$2:$L$5001,MATCH($A797,$A$2:$A$5001,0)))</f>
        <v/>
      </c>
      <c r="N797" s="48" t="str">
        <f aca="false">IF($A797="","",IF(N(M797)=0,"–",IF(M797&lt;=Start!$D$20,"A",IF(M797&lt;=Start!$D$21,"B","C"))))</f>
        <v/>
      </c>
      <c r="O797" s="48" t="str">
        <f aca="false">IF($A797="","",IF(NOT(ISNUMBER(F797)),"Wert fehlt; ",IF(F797&lt;=0,"Wert ist 0; ",""))&amp;IF(NOT(ISNUMBER(E797)),"Bestand fehlt; ",IF(E797&lt;0,"Bestand negativ; ",IF(E797=0,"Nullbestand; ","")))&amp;IF(D797="","Warengruppe fehlt; ","")&amp;IF(B797="","Bezeichnung fehlt; ","")&amp;IF(COUNTIFS($A$2:$A$5001,$A797,$C$2:$C$5001,C797)&gt;1,"Artikel doppelt im selben Lager; ",""))</f>
        <v/>
      </c>
      <c r="P797" s="47" t="n">
        <f aca="false">IF(OR($A797="",D797=""),0,IF(COUNTIF($D$2:D797,D797)=1,SUMIF($D$2:$D$5001,D797,$H$2:$H$5001)+ROW()/10000000,0))</f>
        <v>0</v>
      </c>
      <c r="Q797" s="47" t="n">
        <f aca="false">IF(OR($A797="",C797=""),0,IF(COUNTIF($C$2:C797,C797)=1,SUMIF($C$2:$C$5001,C797,$H$2:$H$5001)+ROW()/10000000,0))</f>
        <v>0</v>
      </c>
    </row>
    <row r="798" customFormat="false" ht="15" hidden="false" customHeight="false" outlineLevel="0" collapsed="false">
      <c r="A798" s="43"/>
      <c r="B798" s="44"/>
      <c r="C798" s="44"/>
      <c r="D798" s="44"/>
      <c r="E798" s="44"/>
      <c r="F798" s="44"/>
      <c r="G798" s="44"/>
      <c r="H798" s="46" t="str">
        <f aca="false">IF($A798="","",IF(OR(NOT(ISNUMBER(E798)),NOT(ISNUMBER(F798))),"",MAX(0,E798)*F798))</f>
        <v/>
      </c>
      <c r="I798" s="46" t="str">
        <f aca="false">IF($A798="","",SUMIF($A$2:$A$5001,$A798,$H$2:$H$5001))</f>
        <v/>
      </c>
      <c r="J798" s="47" t="n">
        <f aca="false">IF($A798="",0,IF(COUNTIF($A$2:A798,$A798)=1,1,0))</f>
        <v>0</v>
      </c>
      <c r="K798" s="47" t="n">
        <f aca="false">IF(J798=1,N(I798)+ROW()/10000000,0)</f>
        <v>0</v>
      </c>
      <c r="L798" s="47" t="str">
        <f aca="false">IF(AND(J798=1,N(I798)&gt;0),SUMIF($K$2:$K$5001,"&gt;="&amp;K798,$I$2:$I$5001)/MAX(1,SUM($H$2:$H$5001)),"")</f>
        <v/>
      </c>
      <c r="M798" s="47" t="str">
        <f aca="false">IF($A798="","",INDEX($L$2:$L$5001,MATCH($A798,$A$2:$A$5001,0)))</f>
        <v/>
      </c>
      <c r="N798" s="48" t="str">
        <f aca="false">IF($A798="","",IF(N(M798)=0,"–",IF(M798&lt;=Start!$D$20,"A",IF(M798&lt;=Start!$D$21,"B","C"))))</f>
        <v/>
      </c>
      <c r="O798" s="48" t="str">
        <f aca="false">IF($A798="","",IF(NOT(ISNUMBER(F798)),"Wert fehlt; ",IF(F798&lt;=0,"Wert ist 0; ",""))&amp;IF(NOT(ISNUMBER(E798)),"Bestand fehlt; ",IF(E798&lt;0,"Bestand negativ; ",IF(E798=0,"Nullbestand; ","")))&amp;IF(D798="","Warengruppe fehlt; ","")&amp;IF(B798="","Bezeichnung fehlt; ","")&amp;IF(COUNTIFS($A$2:$A$5001,$A798,$C$2:$C$5001,C798)&gt;1,"Artikel doppelt im selben Lager; ",""))</f>
        <v/>
      </c>
      <c r="P798" s="47" t="n">
        <f aca="false">IF(OR($A798="",D798=""),0,IF(COUNTIF($D$2:D798,D798)=1,SUMIF($D$2:$D$5001,D798,$H$2:$H$5001)+ROW()/10000000,0))</f>
        <v>0</v>
      </c>
      <c r="Q798" s="47" t="n">
        <f aca="false">IF(OR($A798="",C798=""),0,IF(COUNTIF($C$2:C798,C798)=1,SUMIF($C$2:$C$5001,C798,$H$2:$H$5001)+ROW()/10000000,0))</f>
        <v>0</v>
      </c>
    </row>
    <row r="799" customFormat="false" ht="15" hidden="false" customHeight="false" outlineLevel="0" collapsed="false">
      <c r="A799" s="43"/>
      <c r="B799" s="44"/>
      <c r="C799" s="44"/>
      <c r="D799" s="44"/>
      <c r="E799" s="44"/>
      <c r="F799" s="44"/>
      <c r="G799" s="44"/>
      <c r="H799" s="46" t="str">
        <f aca="false">IF($A799="","",IF(OR(NOT(ISNUMBER(E799)),NOT(ISNUMBER(F799))),"",MAX(0,E799)*F799))</f>
        <v/>
      </c>
      <c r="I799" s="46" t="str">
        <f aca="false">IF($A799="","",SUMIF($A$2:$A$5001,$A799,$H$2:$H$5001))</f>
        <v/>
      </c>
      <c r="J799" s="47" t="n">
        <f aca="false">IF($A799="",0,IF(COUNTIF($A$2:A799,$A799)=1,1,0))</f>
        <v>0</v>
      </c>
      <c r="K799" s="47" t="n">
        <f aca="false">IF(J799=1,N(I799)+ROW()/10000000,0)</f>
        <v>0</v>
      </c>
      <c r="L799" s="47" t="str">
        <f aca="false">IF(AND(J799=1,N(I799)&gt;0),SUMIF($K$2:$K$5001,"&gt;="&amp;K799,$I$2:$I$5001)/MAX(1,SUM($H$2:$H$5001)),"")</f>
        <v/>
      </c>
      <c r="M799" s="47" t="str">
        <f aca="false">IF($A799="","",INDEX($L$2:$L$5001,MATCH($A799,$A$2:$A$5001,0)))</f>
        <v/>
      </c>
      <c r="N799" s="48" t="str">
        <f aca="false">IF($A799="","",IF(N(M799)=0,"–",IF(M799&lt;=Start!$D$20,"A",IF(M799&lt;=Start!$D$21,"B","C"))))</f>
        <v/>
      </c>
      <c r="O799" s="48" t="str">
        <f aca="false">IF($A799="","",IF(NOT(ISNUMBER(F799)),"Wert fehlt; ",IF(F799&lt;=0,"Wert ist 0; ",""))&amp;IF(NOT(ISNUMBER(E799)),"Bestand fehlt; ",IF(E799&lt;0,"Bestand negativ; ",IF(E799=0,"Nullbestand; ","")))&amp;IF(D799="","Warengruppe fehlt; ","")&amp;IF(B799="","Bezeichnung fehlt; ","")&amp;IF(COUNTIFS($A$2:$A$5001,$A799,$C$2:$C$5001,C799)&gt;1,"Artikel doppelt im selben Lager; ",""))</f>
        <v/>
      </c>
      <c r="P799" s="47" t="n">
        <f aca="false">IF(OR($A799="",D799=""),0,IF(COUNTIF($D$2:D799,D799)=1,SUMIF($D$2:$D$5001,D799,$H$2:$H$5001)+ROW()/10000000,0))</f>
        <v>0</v>
      </c>
      <c r="Q799" s="47" t="n">
        <f aca="false">IF(OR($A799="",C799=""),0,IF(COUNTIF($C$2:C799,C799)=1,SUMIF($C$2:$C$5001,C799,$H$2:$H$5001)+ROW()/10000000,0))</f>
        <v>0</v>
      </c>
    </row>
    <row r="800" customFormat="false" ht="15" hidden="false" customHeight="false" outlineLevel="0" collapsed="false">
      <c r="A800" s="43"/>
      <c r="B800" s="44"/>
      <c r="C800" s="44"/>
      <c r="D800" s="44"/>
      <c r="E800" s="44"/>
      <c r="F800" s="44"/>
      <c r="G800" s="44"/>
      <c r="H800" s="46" t="str">
        <f aca="false">IF($A800="","",IF(OR(NOT(ISNUMBER(E800)),NOT(ISNUMBER(F800))),"",MAX(0,E800)*F800))</f>
        <v/>
      </c>
      <c r="I800" s="46" t="str">
        <f aca="false">IF($A800="","",SUMIF($A$2:$A$5001,$A800,$H$2:$H$5001))</f>
        <v/>
      </c>
      <c r="J800" s="47" t="n">
        <f aca="false">IF($A800="",0,IF(COUNTIF($A$2:A800,$A800)=1,1,0))</f>
        <v>0</v>
      </c>
      <c r="K800" s="47" t="n">
        <f aca="false">IF(J800=1,N(I800)+ROW()/10000000,0)</f>
        <v>0</v>
      </c>
      <c r="L800" s="47" t="str">
        <f aca="false">IF(AND(J800=1,N(I800)&gt;0),SUMIF($K$2:$K$5001,"&gt;="&amp;K800,$I$2:$I$5001)/MAX(1,SUM($H$2:$H$5001)),"")</f>
        <v/>
      </c>
      <c r="M800" s="47" t="str">
        <f aca="false">IF($A800="","",INDEX($L$2:$L$5001,MATCH($A800,$A$2:$A$5001,0)))</f>
        <v/>
      </c>
      <c r="N800" s="48" t="str">
        <f aca="false">IF($A800="","",IF(N(M800)=0,"–",IF(M800&lt;=Start!$D$20,"A",IF(M800&lt;=Start!$D$21,"B","C"))))</f>
        <v/>
      </c>
      <c r="O800" s="48" t="str">
        <f aca="false">IF($A800="","",IF(NOT(ISNUMBER(F800)),"Wert fehlt; ",IF(F800&lt;=0,"Wert ist 0; ",""))&amp;IF(NOT(ISNUMBER(E800)),"Bestand fehlt; ",IF(E800&lt;0,"Bestand negativ; ",IF(E800=0,"Nullbestand; ","")))&amp;IF(D800="","Warengruppe fehlt; ","")&amp;IF(B800="","Bezeichnung fehlt; ","")&amp;IF(COUNTIFS($A$2:$A$5001,$A800,$C$2:$C$5001,C800)&gt;1,"Artikel doppelt im selben Lager; ",""))</f>
        <v/>
      </c>
      <c r="P800" s="47" t="n">
        <f aca="false">IF(OR($A800="",D800=""),0,IF(COUNTIF($D$2:D800,D800)=1,SUMIF($D$2:$D$5001,D800,$H$2:$H$5001)+ROW()/10000000,0))</f>
        <v>0</v>
      </c>
      <c r="Q800" s="47" t="n">
        <f aca="false">IF(OR($A800="",C800=""),0,IF(COUNTIF($C$2:C800,C800)=1,SUMIF($C$2:$C$5001,C800,$H$2:$H$5001)+ROW()/10000000,0))</f>
        <v>0</v>
      </c>
    </row>
    <row r="801" customFormat="false" ht="15" hidden="false" customHeight="false" outlineLevel="0" collapsed="false">
      <c r="A801" s="43"/>
      <c r="B801" s="44"/>
      <c r="C801" s="44"/>
      <c r="D801" s="44"/>
      <c r="E801" s="44"/>
      <c r="F801" s="44"/>
      <c r="G801" s="44"/>
      <c r="H801" s="46" t="str">
        <f aca="false">IF($A801="","",IF(OR(NOT(ISNUMBER(E801)),NOT(ISNUMBER(F801))),"",MAX(0,E801)*F801))</f>
        <v/>
      </c>
      <c r="I801" s="46" t="str">
        <f aca="false">IF($A801="","",SUMIF($A$2:$A$5001,$A801,$H$2:$H$5001))</f>
        <v/>
      </c>
      <c r="J801" s="47" t="n">
        <f aca="false">IF($A801="",0,IF(COUNTIF($A$2:A801,$A801)=1,1,0))</f>
        <v>0</v>
      </c>
      <c r="K801" s="47" t="n">
        <f aca="false">IF(J801=1,N(I801)+ROW()/10000000,0)</f>
        <v>0</v>
      </c>
      <c r="L801" s="47" t="str">
        <f aca="false">IF(AND(J801=1,N(I801)&gt;0),SUMIF($K$2:$K$5001,"&gt;="&amp;K801,$I$2:$I$5001)/MAX(1,SUM($H$2:$H$5001)),"")</f>
        <v/>
      </c>
      <c r="M801" s="47" t="str">
        <f aca="false">IF($A801="","",INDEX($L$2:$L$5001,MATCH($A801,$A$2:$A$5001,0)))</f>
        <v/>
      </c>
      <c r="N801" s="48" t="str">
        <f aca="false">IF($A801="","",IF(N(M801)=0,"–",IF(M801&lt;=Start!$D$20,"A",IF(M801&lt;=Start!$D$21,"B","C"))))</f>
        <v/>
      </c>
      <c r="O801" s="48" t="str">
        <f aca="false">IF($A801="","",IF(NOT(ISNUMBER(F801)),"Wert fehlt; ",IF(F801&lt;=0,"Wert ist 0; ",""))&amp;IF(NOT(ISNUMBER(E801)),"Bestand fehlt; ",IF(E801&lt;0,"Bestand negativ; ",IF(E801=0,"Nullbestand; ","")))&amp;IF(D801="","Warengruppe fehlt; ","")&amp;IF(B801="","Bezeichnung fehlt; ","")&amp;IF(COUNTIFS($A$2:$A$5001,$A801,$C$2:$C$5001,C801)&gt;1,"Artikel doppelt im selben Lager; ",""))</f>
        <v/>
      </c>
      <c r="P801" s="47" t="n">
        <f aca="false">IF(OR($A801="",D801=""),0,IF(COUNTIF($D$2:D801,D801)=1,SUMIF($D$2:$D$5001,D801,$H$2:$H$5001)+ROW()/10000000,0))</f>
        <v>0</v>
      </c>
      <c r="Q801" s="47" t="n">
        <f aca="false">IF(OR($A801="",C801=""),0,IF(COUNTIF($C$2:C801,C801)=1,SUMIF($C$2:$C$5001,C801,$H$2:$H$5001)+ROW()/10000000,0))</f>
        <v>0</v>
      </c>
    </row>
    <row r="802" customFormat="false" ht="15" hidden="false" customHeight="false" outlineLevel="0" collapsed="false">
      <c r="A802" s="43"/>
      <c r="B802" s="44"/>
      <c r="C802" s="44"/>
      <c r="D802" s="44"/>
      <c r="E802" s="44"/>
      <c r="F802" s="44"/>
      <c r="G802" s="44"/>
      <c r="H802" s="46" t="str">
        <f aca="false">IF($A802="","",IF(OR(NOT(ISNUMBER(E802)),NOT(ISNUMBER(F802))),"",MAX(0,E802)*F802))</f>
        <v/>
      </c>
      <c r="I802" s="46" t="str">
        <f aca="false">IF($A802="","",SUMIF($A$2:$A$5001,$A802,$H$2:$H$5001))</f>
        <v/>
      </c>
      <c r="J802" s="47" t="n">
        <f aca="false">IF($A802="",0,IF(COUNTIF($A$2:A802,$A802)=1,1,0))</f>
        <v>0</v>
      </c>
      <c r="K802" s="47" t="n">
        <f aca="false">IF(J802=1,N(I802)+ROW()/10000000,0)</f>
        <v>0</v>
      </c>
      <c r="L802" s="47" t="str">
        <f aca="false">IF(AND(J802=1,N(I802)&gt;0),SUMIF($K$2:$K$5001,"&gt;="&amp;K802,$I$2:$I$5001)/MAX(1,SUM($H$2:$H$5001)),"")</f>
        <v/>
      </c>
      <c r="M802" s="47" t="str">
        <f aca="false">IF($A802="","",INDEX($L$2:$L$5001,MATCH($A802,$A$2:$A$5001,0)))</f>
        <v/>
      </c>
      <c r="N802" s="48" t="str">
        <f aca="false">IF($A802="","",IF(N(M802)=0,"–",IF(M802&lt;=Start!$D$20,"A",IF(M802&lt;=Start!$D$21,"B","C"))))</f>
        <v/>
      </c>
      <c r="O802" s="48" t="str">
        <f aca="false">IF($A802="","",IF(NOT(ISNUMBER(F802)),"Wert fehlt; ",IF(F802&lt;=0,"Wert ist 0; ",""))&amp;IF(NOT(ISNUMBER(E802)),"Bestand fehlt; ",IF(E802&lt;0,"Bestand negativ; ",IF(E802=0,"Nullbestand; ","")))&amp;IF(D802="","Warengruppe fehlt; ","")&amp;IF(B802="","Bezeichnung fehlt; ","")&amp;IF(COUNTIFS($A$2:$A$5001,$A802,$C$2:$C$5001,C802)&gt;1,"Artikel doppelt im selben Lager; ",""))</f>
        <v/>
      </c>
      <c r="P802" s="47" t="n">
        <f aca="false">IF(OR($A802="",D802=""),0,IF(COUNTIF($D$2:D802,D802)=1,SUMIF($D$2:$D$5001,D802,$H$2:$H$5001)+ROW()/10000000,0))</f>
        <v>0</v>
      </c>
      <c r="Q802" s="47" t="n">
        <f aca="false">IF(OR($A802="",C802=""),0,IF(COUNTIF($C$2:C802,C802)=1,SUMIF($C$2:$C$5001,C802,$H$2:$H$5001)+ROW()/10000000,0))</f>
        <v>0</v>
      </c>
    </row>
    <row r="803" customFormat="false" ht="15" hidden="false" customHeight="false" outlineLevel="0" collapsed="false">
      <c r="A803" s="43"/>
      <c r="B803" s="44"/>
      <c r="C803" s="44"/>
      <c r="D803" s="44"/>
      <c r="E803" s="44"/>
      <c r="F803" s="44"/>
      <c r="G803" s="44"/>
      <c r="H803" s="46" t="str">
        <f aca="false">IF($A803="","",IF(OR(NOT(ISNUMBER(E803)),NOT(ISNUMBER(F803))),"",MAX(0,E803)*F803))</f>
        <v/>
      </c>
      <c r="I803" s="46" t="str">
        <f aca="false">IF($A803="","",SUMIF($A$2:$A$5001,$A803,$H$2:$H$5001))</f>
        <v/>
      </c>
      <c r="J803" s="47" t="n">
        <f aca="false">IF($A803="",0,IF(COUNTIF($A$2:A803,$A803)=1,1,0))</f>
        <v>0</v>
      </c>
      <c r="K803" s="47" t="n">
        <f aca="false">IF(J803=1,N(I803)+ROW()/10000000,0)</f>
        <v>0</v>
      </c>
      <c r="L803" s="47" t="str">
        <f aca="false">IF(AND(J803=1,N(I803)&gt;0),SUMIF($K$2:$K$5001,"&gt;="&amp;K803,$I$2:$I$5001)/MAX(1,SUM($H$2:$H$5001)),"")</f>
        <v/>
      </c>
      <c r="M803" s="47" t="str">
        <f aca="false">IF($A803="","",INDEX($L$2:$L$5001,MATCH($A803,$A$2:$A$5001,0)))</f>
        <v/>
      </c>
      <c r="N803" s="48" t="str">
        <f aca="false">IF($A803="","",IF(N(M803)=0,"–",IF(M803&lt;=Start!$D$20,"A",IF(M803&lt;=Start!$D$21,"B","C"))))</f>
        <v/>
      </c>
      <c r="O803" s="48" t="str">
        <f aca="false">IF($A803="","",IF(NOT(ISNUMBER(F803)),"Wert fehlt; ",IF(F803&lt;=0,"Wert ist 0; ",""))&amp;IF(NOT(ISNUMBER(E803)),"Bestand fehlt; ",IF(E803&lt;0,"Bestand negativ; ",IF(E803=0,"Nullbestand; ","")))&amp;IF(D803="","Warengruppe fehlt; ","")&amp;IF(B803="","Bezeichnung fehlt; ","")&amp;IF(COUNTIFS($A$2:$A$5001,$A803,$C$2:$C$5001,C803)&gt;1,"Artikel doppelt im selben Lager; ",""))</f>
        <v/>
      </c>
      <c r="P803" s="47" t="n">
        <f aca="false">IF(OR($A803="",D803=""),0,IF(COUNTIF($D$2:D803,D803)=1,SUMIF($D$2:$D$5001,D803,$H$2:$H$5001)+ROW()/10000000,0))</f>
        <v>0</v>
      </c>
      <c r="Q803" s="47" t="n">
        <f aca="false">IF(OR($A803="",C803=""),0,IF(COUNTIF($C$2:C803,C803)=1,SUMIF($C$2:$C$5001,C803,$H$2:$H$5001)+ROW()/10000000,0))</f>
        <v>0</v>
      </c>
    </row>
    <row r="804" customFormat="false" ht="15" hidden="false" customHeight="false" outlineLevel="0" collapsed="false">
      <c r="A804" s="43"/>
      <c r="B804" s="44"/>
      <c r="C804" s="44"/>
      <c r="D804" s="44"/>
      <c r="E804" s="44"/>
      <c r="F804" s="44"/>
      <c r="G804" s="44"/>
      <c r="H804" s="46" t="str">
        <f aca="false">IF($A804="","",IF(OR(NOT(ISNUMBER(E804)),NOT(ISNUMBER(F804))),"",MAX(0,E804)*F804))</f>
        <v/>
      </c>
      <c r="I804" s="46" t="str">
        <f aca="false">IF($A804="","",SUMIF($A$2:$A$5001,$A804,$H$2:$H$5001))</f>
        <v/>
      </c>
      <c r="J804" s="47" t="n">
        <f aca="false">IF($A804="",0,IF(COUNTIF($A$2:A804,$A804)=1,1,0))</f>
        <v>0</v>
      </c>
      <c r="K804" s="47" t="n">
        <f aca="false">IF(J804=1,N(I804)+ROW()/10000000,0)</f>
        <v>0</v>
      </c>
      <c r="L804" s="47" t="str">
        <f aca="false">IF(AND(J804=1,N(I804)&gt;0),SUMIF($K$2:$K$5001,"&gt;="&amp;K804,$I$2:$I$5001)/MAX(1,SUM($H$2:$H$5001)),"")</f>
        <v/>
      </c>
      <c r="M804" s="47" t="str">
        <f aca="false">IF($A804="","",INDEX($L$2:$L$5001,MATCH($A804,$A$2:$A$5001,0)))</f>
        <v/>
      </c>
      <c r="N804" s="48" t="str">
        <f aca="false">IF($A804="","",IF(N(M804)=0,"–",IF(M804&lt;=Start!$D$20,"A",IF(M804&lt;=Start!$D$21,"B","C"))))</f>
        <v/>
      </c>
      <c r="O804" s="48" t="str">
        <f aca="false">IF($A804="","",IF(NOT(ISNUMBER(F804)),"Wert fehlt; ",IF(F804&lt;=0,"Wert ist 0; ",""))&amp;IF(NOT(ISNUMBER(E804)),"Bestand fehlt; ",IF(E804&lt;0,"Bestand negativ; ",IF(E804=0,"Nullbestand; ","")))&amp;IF(D804="","Warengruppe fehlt; ","")&amp;IF(B804="","Bezeichnung fehlt; ","")&amp;IF(COUNTIFS($A$2:$A$5001,$A804,$C$2:$C$5001,C804)&gt;1,"Artikel doppelt im selben Lager; ",""))</f>
        <v/>
      </c>
      <c r="P804" s="47" t="n">
        <f aca="false">IF(OR($A804="",D804=""),0,IF(COUNTIF($D$2:D804,D804)=1,SUMIF($D$2:$D$5001,D804,$H$2:$H$5001)+ROW()/10000000,0))</f>
        <v>0</v>
      </c>
      <c r="Q804" s="47" t="n">
        <f aca="false">IF(OR($A804="",C804=""),0,IF(COUNTIF($C$2:C804,C804)=1,SUMIF($C$2:$C$5001,C804,$H$2:$H$5001)+ROW()/10000000,0))</f>
        <v>0</v>
      </c>
    </row>
    <row r="805" customFormat="false" ht="15" hidden="false" customHeight="false" outlineLevel="0" collapsed="false">
      <c r="A805" s="43"/>
      <c r="B805" s="44"/>
      <c r="C805" s="44"/>
      <c r="D805" s="44"/>
      <c r="E805" s="44"/>
      <c r="F805" s="44"/>
      <c r="G805" s="44"/>
      <c r="H805" s="46" t="str">
        <f aca="false">IF($A805="","",IF(OR(NOT(ISNUMBER(E805)),NOT(ISNUMBER(F805))),"",MAX(0,E805)*F805))</f>
        <v/>
      </c>
      <c r="I805" s="46" t="str">
        <f aca="false">IF($A805="","",SUMIF($A$2:$A$5001,$A805,$H$2:$H$5001))</f>
        <v/>
      </c>
      <c r="J805" s="47" t="n">
        <f aca="false">IF($A805="",0,IF(COUNTIF($A$2:A805,$A805)=1,1,0))</f>
        <v>0</v>
      </c>
      <c r="K805" s="47" t="n">
        <f aca="false">IF(J805=1,N(I805)+ROW()/10000000,0)</f>
        <v>0</v>
      </c>
      <c r="L805" s="47" t="str">
        <f aca="false">IF(AND(J805=1,N(I805)&gt;0),SUMIF($K$2:$K$5001,"&gt;="&amp;K805,$I$2:$I$5001)/MAX(1,SUM($H$2:$H$5001)),"")</f>
        <v/>
      </c>
      <c r="M805" s="47" t="str">
        <f aca="false">IF($A805="","",INDEX($L$2:$L$5001,MATCH($A805,$A$2:$A$5001,0)))</f>
        <v/>
      </c>
      <c r="N805" s="48" t="str">
        <f aca="false">IF($A805="","",IF(N(M805)=0,"–",IF(M805&lt;=Start!$D$20,"A",IF(M805&lt;=Start!$D$21,"B","C"))))</f>
        <v/>
      </c>
      <c r="O805" s="48" t="str">
        <f aca="false">IF($A805="","",IF(NOT(ISNUMBER(F805)),"Wert fehlt; ",IF(F805&lt;=0,"Wert ist 0; ",""))&amp;IF(NOT(ISNUMBER(E805)),"Bestand fehlt; ",IF(E805&lt;0,"Bestand negativ; ",IF(E805=0,"Nullbestand; ","")))&amp;IF(D805="","Warengruppe fehlt; ","")&amp;IF(B805="","Bezeichnung fehlt; ","")&amp;IF(COUNTIFS($A$2:$A$5001,$A805,$C$2:$C$5001,C805)&gt;1,"Artikel doppelt im selben Lager; ",""))</f>
        <v/>
      </c>
      <c r="P805" s="47" t="n">
        <f aca="false">IF(OR($A805="",D805=""),0,IF(COUNTIF($D$2:D805,D805)=1,SUMIF($D$2:$D$5001,D805,$H$2:$H$5001)+ROW()/10000000,0))</f>
        <v>0</v>
      </c>
      <c r="Q805" s="47" t="n">
        <f aca="false">IF(OR($A805="",C805=""),0,IF(COUNTIF($C$2:C805,C805)=1,SUMIF($C$2:$C$5001,C805,$H$2:$H$5001)+ROW()/10000000,0))</f>
        <v>0</v>
      </c>
    </row>
    <row r="806" customFormat="false" ht="15" hidden="false" customHeight="false" outlineLevel="0" collapsed="false">
      <c r="A806" s="43"/>
      <c r="B806" s="44"/>
      <c r="C806" s="44"/>
      <c r="D806" s="44"/>
      <c r="E806" s="44"/>
      <c r="F806" s="44"/>
      <c r="G806" s="44"/>
      <c r="H806" s="46" t="str">
        <f aca="false">IF($A806="","",IF(OR(NOT(ISNUMBER(E806)),NOT(ISNUMBER(F806))),"",MAX(0,E806)*F806))</f>
        <v/>
      </c>
      <c r="I806" s="46" t="str">
        <f aca="false">IF($A806="","",SUMIF($A$2:$A$5001,$A806,$H$2:$H$5001))</f>
        <v/>
      </c>
      <c r="J806" s="47" t="n">
        <f aca="false">IF($A806="",0,IF(COUNTIF($A$2:A806,$A806)=1,1,0))</f>
        <v>0</v>
      </c>
      <c r="K806" s="47" t="n">
        <f aca="false">IF(J806=1,N(I806)+ROW()/10000000,0)</f>
        <v>0</v>
      </c>
      <c r="L806" s="47" t="str">
        <f aca="false">IF(AND(J806=1,N(I806)&gt;0),SUMIF($K$2:$K$5001,"&gt;="&amp;K806,$I$2:$I$5001)/MAX(1,SUM($H$2:$H$5001)),"")</f>
        <v/>
      </c>
      <c r="M806" s="47" t="str">
        <f aca="false">IF($A806="","",INDEX($L$2:$L$5001,MATCH($A806,$A$2:$A$5001,0)))</f>
        <v/>
      </c>
      <c r="N806" s="48" t="str">
        <f aca="false">IF($A806="","",IF(N(M806)=0,"–",IF(M806&lt;=Start!$D$20,"A",IF(M806&lt;=Start!$D$21,"B","C"))))</f>
        <v/>
      </c>
      <c r="O806" s="48" t="str">
        <f aca="false">IF($A806="","",IF(NOT(ISNUMBER(F806)),"Wert fehlt; ",IF(F806&lt;=0,"Wert ist 0; ",""))&amp;IF(NOT(ISNUMBER(E806)),"Bestand fehlt; ",IF(E806&lt;0,"Bestand negativ; ",IF(E806=0,"Nullbestand; ","")))&amp;IF(D806="","Warengruppe fehlt; ","")&amp;IF(B806="","Bezeichnung fehlt; ","")&amp;IF(COUNTIFS($A$2:$A$5001,$A806,$C$2:$C$5001,C806)&gt;1,"Artikel doppelt im selben Lager; ",""))</f>
        <v/>
      </c>
      <c r="P806" s="47" t="n">
        <f aca="false">IF(OR($A806="",D806=""),0,IF(COUNTIF($D$2:D806,D806)=1,SUMIF($D$2:$D$5001,D806,$H$2:$H$5001)+ROW()/10000000,0))</f>
        <v>0</v>
      </c>
      <c r="Q806" s="47" t="n">
        <f aca="false">IF(OR($A806="",C806=""),0,IF(COUNTIF($C$2:C806,C806)=1,SUMIF($C$2:$C$5001,C806,$H$2:$H$5001)+ROW()/10000000,0))</f>
        <v>0</v>
      </c>
    </row>
    <row r="807" customFormat="false" ht="15" hidden="false" customHeight="false" outlineLevel="0" collapsed="false">
      <c r="A807" s="43"/>
      <c r="B807" s="44"/>
      <c r="C807" s="44"/>
      <c r="D807" s="44"/>
      <c r="E807" s="44"/>
      <c r="F807" s="44"/>
      <c r="G807" s="44"/>
      <c r="H807" s="46" t="str">
        <f aca="false">IF($A807="","",IF(OR(NOT(ISNUMBER(E807)),NOT(ISNUMBER(F807))),"",MAX(0,E807)*F807))</f>
        <v/>
      </c>
      <c r="I807" s="46" t="str">
        <f aca="false">IF($A807="","",SUMIF($A$2:$A$5001,$A807,$H$2:$H$5001))</f>
        <v/>
      </c>
      <c r="J807" s="47" t="n">
        <f aca="false">IF($A807="",0,IF(COUNTIF($A$2:A807,$A807)=1,1,0))</f>
        <v>0</v>
      </c>
      <c r="K807" s="47" t="n">
        <f aca="false">IF(J807=1,N(I807)+ROW()/10000000,0)</f>
        <v>0</v>
      </c>
      <c r="L807" s="47" t="str">
        <f aca="false">IF(AND(J807=1,N(I807)&gt;0),SUMIF($K$2:$K$5001,"&gt;="&amp;K807,$I$2:$I$5001)/MAX(1,SUM($H$2:$H$5001)),"")</f>
        <v/>
      </c>
      <c r="M807" s="47" t="str">
        <f aca="false">IF($A807="","",INDEX($L$2:$L$5001,MATCH($A807,$A$2:$A$5001,0)))</f>
        <v/>
      </c>
      <c r="N807" s="48" t="str">
        <f aca="false">IF($A807="","",IF(N(M807)=0,"–",IF(M807&lt;=Start!$D$20,"A",IF(M807&lt;=Start!$D$21,"B","C"))))</f>
        <v/>
      </c>
      <c r="O807" s="48" t="str">
        <f aca="false">IF($A807="","",IF(NOT(ISNUMBER(F807)),"Wert fehlt; ",IF(F807&lt;=0,"Wert ist 0; ",""))&amp;IF(NOT(ISNUMBER(E807)),"Bestand fehlt; ",IF(E807&lt;0,"Bestand negativ; ",IF(E807=0,"Nullbestand; ","")))&amp;IF(D807="","Warengruppe fehlt; ","")&amp;IF(B807="","Bezeichnung fehlt; ","")&amp;IF(COUNTIFS($A$2:$A$5001,$A807,$C$2:$C$5001,C807)&gt;1,"Artikel doppelt im selben Lager; ",""))</f>
        <v/>
      </c>
      <c r="P807" s="47" t="n">
        <f aca="false">IF(OR($A807="",D807=""),0,IF(COUNTIF($D$2:D807,D807)=1,SUMIF($D$2:$D$5001,D807,$H$2:$H$5001)+ROW()/10000000,0))</f>
        <v>0</v>
      </c>
      <c r="Q807" s="47" t="n">
        <f aca="false">IF(OR($A807="",C807=""),0,IF(COUNTIF($C$2:C807,C807)=1,SUMIF($C$2:$C$5001,C807,$H$2:$H$5001)+ROW()/10000000,0))</f>
        <v>0</v>
      </c>
    </row>
    <row r="808" customFormat="false" ht="15" hidden="false" customHeight="false" outlineLevel="0" collapsed="false">
      <c r="A808" s="43"/>
      <c r="B808" s="44"/>
      <c r="C808" s="44"/>
      <c r="D808" s="44"/>
      <c r="E808" s="44"/>
      <c r="F808" s="44"/>
      <c r="G808" s="44"/>
      <c r="H808" s="46" t="str">
        <f aca="false">IF($A808="","",IF(OR(NOT(ISNUMBER(E808)),NOT(ISNUMBER(F808))),"",MAX(0,E808)*F808))</f>
        <v/>
      </c>
      <c r="I808" s="46" t="str">
        <f aca="false">IF($A808="","",SUMIF($A$2:$A$5001,$A808,$H$2:$H$5001))</f>
        <v/>
      </c>
      <c r="J808" s="47" t="n">
        <f aca="false">IF($A808="",0,IF(COUNTIF($A$2:A808,$A808)=1,1,0))</f>
        <v>0</v>
      </c>
      <c r="K808" s="47" t="n">
        <f aca="false">IF(J808=1,N(I808)+ROW()/10000000,0)</f>
        <v>0</v>
      </c>
      <c r="L808" s="47" t="str">
        <f aca="false">IF(AND(J808=1,N(I808)&gt;0),SUMIF($K$2:$K$5001,"&gt;="&amp;K808,$I$2:$I$5001)/MAX(1,SUM($H$2:$H$5001)),"")</f>
        <v/>
      </c>
      <c r="M808" s="47" t="str">
        <f aca="false">IF($A808="","",INDEX($L$2:$L$5001,MATCH($A808,$A$2:$A$5001,0)))</f>
        <v/>
      </c>
      <c r="N808" s="48" t="str">
        <f aca="false">IF($A808="","",IF(N(M808)=0,"–",IF(M808&lt;=Start!$D$20,"A",IF(M808&lt;=Start!$D$21,"B","C"))))</f>
        <v/>
      </c>
      <c r="O808" s="48" t="str">
        <f aca="false">IF($A808="","",IF(NOT(ISNUMBER(F808)),"Wert fehlt; ",IF(F808&lt;=0,"Wert ist 0; ",""))&amp;IF(NOT(ISNUMBER(E808)),"Bestand fehlt; ",IF(E808&lt;0,"Bestand negativ; ",IF(E808=0,"Nullbestand; ","")))&amp;IF(D808="","Warengruppe fehlt; ","")&amp;IF(B808="","Bezeichnung fehlt; ","")&amp;IF(COUNTIFS($A$2:$A$5001,$A808,$C$2:$C$5001,C808)&gt;1,"Artikel doppelt im selben Lager; ",""))</f>
        <v/>
      </c>
      <c r="P808" s="47" t="n">
        <f aca="false">IF(OR($A808="",D808=""),0,IF(COUNTIF($D$2:D808,D808)=1,SUMIF($D$2:$D$5001,D808,$H$2:$H$5001)+ROW()/10000000,0))</f>
        <v>0</v>
      </c>
      <c r="Q808" s="47" t="n">
        <f aca="false">IF(OR($A808="",C808=""),0,IF(COUNTIF($C$2:C808,C808)=1,SUMIF($C$2:$C$5001,C808,$H$2:$H$5001)+ROW()/10000000,0))</f>
        <v>0</v>
      </c>
    </row>
    <row r="809" customFormat="false" ht="15" hidden="false" customHeight="false" outlineLevel="0" collapsed="false">
      <c r="A809" s="43"/>
      <c r="B809" s="44"/>
      <c r="C809" s="44"/>
      <c r="D809" s="44"/>
      <c r="E809" s="44"/>
      <c r="F809" s="44"/>
      <c r="G809" s="44"/>
      <c r="H809" s="46" t="str">
        <f aca="false">IF($A809="","",IF(OR(NOT(ISNUMBER(E809)),NOT(ISNUMBER(F809))),"",MAX(0,E809)*F809))</f>
        <v/>
      </c>
      <c r="I809" s="46" t="str">
        <f aca="false">IF($A809="","",SUMIF($A$2:$A$5001,$A809,$H$2:$H$5001))</f>
        <v/>
      </c>
      <c r="J809" s="47" t="n">
        <f aca="false">IF($A809="",0,IF(COUNTIF($A$2:A809,$A809)=1,1,0))</f>
        <v>0</v>
      </c>
      <c r="K809" s="47" t="n">
        <f aca="false">IF(J809=1,N(I809)+ROW()/10000000,0)</f>
        <v>0</v>
      </c>
      <c r="L809" s="47" t="str">
        <f aca="false">IF(AND(J809=1,N(I809)&gt;0),SUMIF($K$2:$K$5001,"&gt;="&amp;K809,$I$2:$I$5001)/MAX(1,SUM($H$2:$H$5001)),"")</f>
        <v/>
      </c>
      <c r="M809" s="47" t="str">
        <f aca="false">IF($A809="","",INDEX($L$2:$L$5001,MATCH($A809,$A$2:$A$5001,0)))</f>
        <v/>
      </c>
      <c r="N809" s="48" t="str">
        <f aca="false">IF($A809="","",IF(N(M809)=0,"–",IF(M809&lt;=Start!$D$20,"A",IF(M809&lt;=Start!$D$21,"B","C"))))</f>
        <v/>
      </c>
      <c r="O809" s="48" t="str">
        <f aca="false">IF($A809="","",IF(NOT(ISNUMBER(F809)),"Wert fehlt; ",IF(F809&lt;=0,"Wert ist 0; ",""))&amp;IF(NOT(ISNUMBER(E809)),"Bestand fehlt; ",IF(E809&lt;0,"Bestand negativ; ",IF(E809=0,"Nullbestand; ","")))&amp;IF(D809="","Warengruppe fehlt; ","")&amp;IF(B809="","Bezeichnung fehlt; ","")&amp;IF(COUNTIFS($A$2:$A$5001,$A809,$C$2:$C$5001,C809)&gt;1,"Artikel doppelt im selben Lager; ",""))</f>
        <v/>
      </c>
      <c r="P809" s="47" t="n">
        <f aca="false">IF(OR($A809="",D809=""),0,IF(COUNTIF($D$2:D809,D809)=1,SUMIF($D$2:$D$5001,D809,$H$2:$H$5001)+ROW()/10000000,0))</f>
        <v>0</v>
      </c>
      <c r="Q809" s="47" t="n">
        <f aca="false">IF(OR($A809="",C809=""),0,IF(COUNTIF($C$2:C809,C809)=1,SUMIF($C$2:$C$5001,C809,$H$2:$H$5001)+ROW()/10000000,0))</f>
        <v>0</v>
      </c>
    </row>
    <row r="810" customFormat="false" ht="15" hidden="false" customHeight="false" outlineLevel="0" collapsed="false">
      <c r="A810" s="43"/>
      <c r="B810" s="44"/>
      <c r="C810" s="44"/>
      <c r="D810" s="44"/>
      <c r="E810" s="44"/>
      <c r="F810" s="44"/>
      <c r="G810" s="44"/>
      <c r="H810" s="46" t="str">
        <f aca="false">IF($A810="","",IF(OR(NOT(ISNUMBER(E810)),NOT(ISNUMBER(F810))),"",MAX(0,E810)*F810))</f>
        <v/>
      </c>
      <c r="I810" s="46" t="str">
        <f aca="false">IF($A810="","",SUMIF($A$2:$A$5001,$A810,$H$2:$H$5001))</f>
        <v/>
      </c>
      <c r="J810" s="47" t="n">
        <f aca="false">IF($A810="",0,IF(COUNTIF($A$2:A810,$A810)=1,1,0))</f>
        <v>0</v>
      </c>
      <c r="K810" s="47" t="n">
        <f aca="false">IF(J810=1,N(I810)+ROW()/10000000,0)</f>
        <v>0</v>
      </c>
      <c r="L810" s="47" t="str">
        <f aca="false">IF(AND(J810=1,N(I810)&gt;0),SUMIF($K$2:$K$5001,"&gt;="&amp;K810,$I$2:$I$5001)/MAX(1,SUM($H$2:$H$5001)),"")</f>
        <v/>
      </c>
      <c r="M810" s="47" t="str">
        <f aca="false">IF($A810="","",INDEX($L$2:$L$5001,MATCH($A810,$A$2:$A$5001,0)))</f>
        <v/>
      </c>
      <c r="N810" s="48" t="str">
        <f aca="false">IF($A810="","",IF(N(M810)=0,"–",IF(M810&lt;=Start!$D$20,"A",IF(M810&lt;=Start!$D$21,"B","C"))))</f>
        <v/>
      </c>
      <c r="O810" s="48" t="str">
        <f aca="false">IF($A810="","",IF(NOT(ISNUMBER(F810)),"Wert fehlt; ",IF(F810&lt;=0,"Wert ist 0; ",""))&amp;IF(NOT(ISNUMBER(E810)),"Bestand fehlt; ",IF(E810&lt;0,"Bestand negativ; ",IF(E810=0,"Nullbestand; ","")))&amp;IF(D810="","Warengruppe fehlt; ","")&amp;IF(B810="","Bezeichnung fehlt; ","")&amp;IF(COUNTIFS($A$2:$A$5001,$A810,$C$2:$C$5001,C810)&gt;1,"Artikel doppelt im selben Lager; ",""))</f>
        <v/>
      </c>
      <c r="P810" s="47" t="n">
        <f aca="false">IF(OR($A810="",D810=""),0,IF(COUNTIF($D$2:D810,D810)=1,SUMIF($D$2:$D$5001,D810,$H$2:$H$5001)+ROW()/10000000,0))</f>
        <v>0</v>
      </c>
      <c r="Q810" s="47" t="n">
        <f aca="false">IF(OR($A810="",C810=""),0,IF(COUNTIF($C$2:C810,C810)=1,SUMIF($C$2:$C$5001,C810,$H$2:$H$5001)+ROW()/10000000,0))</f>
        <v>0</v>
      </c>
    </row>
    <row r="811" customFormat="false" ht="15" hidden="false" customHeight="false" outlineLevel="0" collapsed="false">
      <c r="A811" s="43"/>
      <c r="B811" s="44"/>
      <c r="C811" s="44"/>
      <c r="D811" s="44"/>
      <c r="E811" s="44"/>
      <c r="F811" s="44"/>
      <c r="G811" s="44"/>
      <c r="H811" s="46" t="str">
        <f aca="false">IF($A811="","",IF(OR(NOT(ISNUMBER(E811)),NOT(ISNUMBER(F811))),"",MAX(0,E811)*F811))</f>
        <v/>
      </c>
      <c r="I811" s="46" t="str">
        <f aca="false">IF($A811="","",SUMIF($A$2:$A$5001,$A811,$H$2:$H$5001))</f>
        <v/>
      </c>
      <c r="J811" s="47" t="n">
        <f aca="false">IF($A811="",0,IF(COUNTIF($A$2:A811,$A811)=1,1,0))</f>
        <v>0</v>
      </c>
      <c r="K811" s="47" t="n">
        <f aca="false">IF(J811=1,N(I811)+ROW()/10000000,0)</f>
        <v>0</v>
      </c>
      <c r="L811" s="47" t="str">
        <f aca="false">IF(AND(J811=1,N(I811)&gt;0),SUMIF($K$2:$K$5001,"&gt;="&amp;K811,$I$2:$I$5001)/MAX(1,SUM($H$2:$H$5001)),"")</f>
        <v/>
      </c>
      <c r="M811" s="47" t="str">
        <f aca="false">IF($A811="","",INDEX($L$2:$L$5001,MATCH($A811,$A$2:$A$5001,0)))</f>
        <v/>
      </c>
      <c r="N811" s="48" t="str">
        <f aca="false">IF($A811="","",IF(N(M811)=0,"–",IF(M811&lt;=Start!$D$20,"A",IF(M811&lt;=Start!$D$21,"B","C"))))</f>
        <v/>
      </c>
      <c r="O811" s="48" t="str">
        <f aca="false">IF($A811="","",IF(NOT(ISNUMBER(F811)),"Wert fehlt; ",IF(F811&lt;=0,"Wert ist 0; ",""))&amp;IF(NOT(ISNUMBER(E811)),"Bestand fehlt; ",IF(E811&lt;0,"Bestand negativ; ",IF(E811=0,"Nullbestand; ","")))&amp;IF(D811="","Warengruppe fehlt; ","")&amp;IF(B811="","Bezeichnung fehlt; ","")&amp;IF(COUNTIFS($A$2:$A$5001,$A811,$C$2:$C$5001,C811)&gt;1,"Artikel doppelt im selben Lager; ",""))</f>
        <v/>
      </c>
      <c r="P811" s="47" t="n">
        <f aca="false">IF(OR($A811="",D811=""),0,IF(COUNTIF($D$2:D811,D811)=1,SUMIF($D$2:$D$5001,D811,$H$2:$H$5001)+ROW()/10000000,0))</f>
        <v>0</v>
      </c>
      <c r="Q811" s="47" t="n">
        <f aca="false">IF(OR($A811="",C811=""),0,IF(COUNTIF($C$2:C811,C811)=1,SUMIF($C$2:$C$5001,C811,$H$2:$H$5001)+ROW()/10000000,0))</f>
        <v>0</v>
      </c>
    </row>
    <row r="812" customFormat="false" ht="15" hidden="false" customHeight="false" outlineLevel="0" collapsed="false">
      <c r="A812" s="43"/>
      <c r="B812" s="44"/>
      <c r="C812" s="44"/>
      <c r="D812" s="44"/>
      <c r="E812" s="44"/>
      <c r="F812" s="44"/>
      <c r="G812" s="44"/>
      <c r="H812" s="46" t="str">
        <f aca="false">IF($A812="","",IF(OR(NOT(ISNUMBER(E812)),NOT(ISNUMBER(F812))),"",MAX(0,E812)*F812))</f>
        <v/>
      </c>
      <c r="I812" s="46" t="str">
        <f aca="false">IF($A812="","",SUMIF($A$2:$A$5001,$A812,$H$2:$H$5001))</f>
        <v/>
      </c>
      <c r="J812" s="47" t="n">
        <f aca="false">IF($A812="",0,IF(COUNTIF($A$2:A812,$A812)=1,1,0))</f>
        <v>0</v>
      </c>
      <c r="K812" s="47" t="n">
        <f aca="false">IF(J812=1,N(I812)+ROW()/10000000,0)</f>
        <v>0</v>
      </c>
      <c r="L812" s="47" t="str">
        <f aca="false">IF(AND(J812=1,N(I812)&gt;0),SUMIF($K$2:$K$5001,"&gt;="&amp;K812,$I$2:$I$5001)/MAX(1,SUM($H$2:$H$5001)),"")</f>
        <v/>
      </c>
      <c r="M812" s="47" t="str">
        <f aca="false">IF($A812="","",INDEX($L$2:$L$5001,MATCH($A812,$A$2:$A$5001,0)))</f>
        <v/>
      </c>
      <c r="N812" s="48" t="str">
        <f aca="false">IF($A812="","",IF(N(M812)=0,"–",IF(M812&lt;=Start!$D$20,"A",IF(M812&lt;=Start!$D$21,"B","C"))))</f>
        <v/>
      </c>
      <c r="O812" s="48" t="str">
        <f aca="false">IF($A812="","",IF(NOT(ISNUMBER(F812)),"Wert fehlt; ",IF(F812&lt;=0,"Wert ist 0; ",""))&amp;IF(NOT(ISNUMBER(E812)),"Bestand fehlt; ",IF(E812&lt;0,"Bestand negativ; ",IF(E812=0,"Nullbestand; ","")))&amp;IF(D812="","Warengruppe fehlt; ","")&amp;IF(B812="","Bezeichnung fehlt; ","")&amp;IF(COUNTIFS($A$2:$A$5001,$A812,$C$2:$C$5001,C812)&gt;1,"Artikel doppelt im selben Lager; ",""))</f>
        <v/>
      </c>
      <c r="P812" s="47" t="n">
        <f aca="false">IF(OR($A812="",D812=""),0,IF(COUNTIF($D$2:D812,D812)=1,SUMIF($D$2:$D$5001,D812,$H$2:$H$5001)+ROW()/10000000,0))</f>
        <v>0</v>
      </c>
      <c r="Q812" s="47" t="n">
        <f aca="false">IF(OR($A812="",C812=""),0,IF(COUNTIF($C$2:C812,C812)=1,SUMIF($C$2:$C$5001,C812,$H$2:$H$5001)+ROW()/10000000,0))</f>
        <v>0</v>
      </c>
    </row>
    <row r="813" customFormat="false" ht="15" hidden="false" customHeight="false" outlineLevel="0" collapsed="false">
      <c r="A813" s="43"/>
      <c r="B813" s="44"/>
      <c r="C813" s="44"/>
      <c r="D813" s="44"/>
      <c r="E813" s="44"/>
      <c r="F813" s="44"/>
      <c r="G813" s="44"/>
      <c r="H813" s="46" t="str">
        <f aca="false">IF($A813="","",IF(OR(NOT(ISNUMBER(E813)),NOT(ISNUMBER(F813))),"",MAX(0,E813)*F813))</f>
        <v/>
      </c>
      <c r="I813" s="46" t="str">
        <f aca="false">IF($A813="","",SUMIF($A$2:$A$5001,$A813,$H$2:$H$5001))</f>
        <v/>
      </c>
      <c r="J813" s="47" t="n">
        <f aca="false">IF($A813="",0,IF(COUNTIF($A$2:A813,$A813)=1,1,0))</f>
        <v>0</v>
      </c>
      <c r="K813" s="47" t="n">
        <f aca="false">IF(J813=1,N(I813)+ROW()/10000000,0)</f>
        <v>0</v>
      </c>
      <c r="L813" s="47" t="str">
        <f aca="false">IF(AND(J813=1,N(I813)&gt;0),SUMIF($K$2:$K$5001,"&gt;="&amp;K813,$I$2:$I$5001)/MAX(1,SUM($H$2:$H$5001)),"")</f>
        <v/>
      </c>
      <c r="M813" s="47" t="str">
        <f aca="false">IF($A813="","",INDEX($L$2:$L$5001,MATCH($A813,$A$2:$A$5001,0)))</f>
        <v/>
      </c>
      <c r="N813" s="48" t="str">
        <f aca="false">IF($A813="","",IF(N(M813)=0,"–",IF(M813&lt;=Start!$D$20,"A",IF(M813&lt;=Start!$D$21,"B","C"))))</f>
        <v/>
      </c>
      <c r="O813" s="48" t="str">
        <f aca="false">IF($A813="","",IF(NOT(ISNUMBER(F813)),"Wert fehlt; ",IF(F813&lt;=0,"Wert ist 0; ",""))&amp;IF(NOT(ISNUMBER(E813)),"Bestand fehlt; ",IF(E813&lt;0,"Bestand negativ; ",IF(E813=0,"Nullbestand; ","")))&amp;IF(D813="","Warengruppe fehlt; ","")&amp;IF(B813="","Bezeichnung fehlt; ","")&amp;IF(COUNTIFS($A$2:$A$5001,$A813,$C$2:$C$5001,C813)&gt;1,"Artikel doppelt im selben Lager; ",""))</f>
        <v/>
      </c>
      <c r="P813" s="47" t="n">
        <f aca="false">IF(OR($A813="",D813=""),0,IF(COUNTIF($D$2:D813,D813)=1,SUMIF($D$2:$D$5001,D813,$H$2:$H$5001)+ROW()/10000000,0))</f>
        <v>0</v>
      </c>
      <c r="Q813" s="47" t="n">
        <f aca="false">IF(OR($A813="",C813=""),0,IF(COUNTIF($C$2:C813,C813)=1,SUMIF($C$2:$C$5001,C813,$H$2:$H$5001)+ROW()/10000000,0))</f>
        <v>0</v>
      </c>
    </row>
    <row r="814" customFormat="false" ht="15" hidden="false" customHeight="false" outlineLevel="0" collapsed="false">
      <c r="A814" s="43"/>
      <c r="B814" s="44"/>
      <c r="C814" s="44"/>
      <c r="D814" s="44"/>
      <c r="E814" s="44"/>
      <c r="F814" s="44"/>
      <c r="G814" s="44"/>
      <c r="H814" s="46" t="str">
        <f aca="false">IF($A814="","",IF(OR(NOT(ISNUMBER(E814)),NOT(ISNUMBER(F814))),"",MAX(0,E814)*F814))</f>
        <v/>
      </c>
      <c r="I814" s="46" t="str">
        <f aca="false">IF($A814="","",SUMIF($A$2:$A$5001,$A814,$H$2:$H$5001))</f>
        <v/>
      </c>
      <c r="J814" s="47" t="n">
        <f aca="false">IF($A814="",0,IF(COUNTIF($A$2:A814,$A814)=1,1,0))</f>
        <v>0</v>
      </c>
      <c r="K814" s="47" t="n">
        <f aca="false">IF(J814=1,N(I814)+ROW()/10000000,0)</f>
        <v>0</v>
      </c>
      <c r="L814" s="47" t="str">
        <f aca="false">IF(AND(J814=1,N(I814)&gt;0),SUMIF($K$2:$K$5001,"&gt;="&amp;K814,$I$2:$I$5001)/MAX(1,SUM($H$2:$H$5001)),"")</f>
        <v/>
      </c>
      <c r="M814" s="47" t="str">
        <f aca="false">IF($A814="","",INDEX($L$2:$L$5001,MATCH($A814,$A$2:$A$5001,0)))</f>
        <v/>
      </c>
      <c r="N814" s="48" t="str">
        <f aca="false">IF($A814="","",IF(N(M814)=0,"–",IF(M814&lt;=Start!$D$20,"A",IF(M814&lt;=Start!$D$21,"B","C"))))</f>
        <v/>
      </c>
      <c r="O814" s="48" t="str">
        <f aca="false">IF($A814="","",IF(NOT(ISNUMBER(F814)),"Wert fehlt; ",IF(F814&lt;=0,"Wert ist 0; ",""))&amp;IF(NOT(ISNUMBER(E814)),"Bestand fehlt; ",IF(E814&lt;0,"Bestand negativ; ",IF(E814=0,"Nullbestand; ","")))&amp;IF(D814="","Warengruppe fehlt; ","")&amp;IF(B814="","Bezeichnung fehlt; ","")&amp;IF(COUNTIFS($A$2:$A$5001,$A814,$C$2:$C$5001,C814)&gt;1,"Artikel doppelt im selben Lager; ",""))</f>
        <v/>
      </c>
      <c r="P814" s="47" t="n">
        <f aca="false">IF(OR($A814="",D814=""),0,IF(COUNTIF($D$2:D814,D814)=1,SUMIF($D$2:$D$5001,D814,$H$2:$H$5001)+ROW()/10000000,0))</f>
        <v>0</v>
      </c>
      <c r="Q814" s="47" t="n">
        <f aca="false">IF(OR($A814="",C814=""),0,IF(COUNTIF($C$2:C814,C814)=1,SUMIF($C$2:$C$5001,C814,$H$2:$H$5001)+ROW()/10000000,0))</f>
        <v>0</v>
      </c>
    </row>
    <row r="815" customFormat="false" ht="15" hidden="false" customHeight="false" outlineLevel="0" collapsed="false">
      <c r="A815" s="43"/>
      <c r="B815" s="44"/>
      <c r="C815" s="44"/>
      <c r="D815" s="44"/>
      <c r="E815" s="44"/>
      <c r="F815" s="44"/>
      <c r="G815" s="44"/>
      <c r="H815" s="46" t="str">
        <f aca="false">IF($A815="","",IF(OR(NOT(ISNUMBER(E815)),NOT(ISNUMBER(F815))),"",MAX(0,E815)*F815))</f>
        <v/>
      </c>
      <c r="I815" s="46" t="str">
        <f aca="false">IF($A815="","",SUMIF($A$2:$A$5001,$A815,$H$2:$H$5001))</f>
        <v/>
      </c>
      <c r="J815" s="47" t="n">
        <f aca="false">IF($A815="",0,IF(COUNTIF($A$2:A815,$A815)=1,1,0))</f>
        <v>0</v>
      </c>
      <c r="K815" s="47" t="n">
        <f aca="false">IF(J815=1,N(I815)+ROW()/10000000,0)</f>
        <v>0</v>
      </c>
      <c r="L815" s="47" t="str">
        <f aca="false">IF(AND(J815=1,N(I815)&gt;0),SUMIF($K$2:$K$5001,"&gt;="&amp;K815,$I$2:$I$5001)/MAX(1,SUM($H$2:$H$5001)),"")</f>
        <v/>
      </c>
      <c r="M815" s="47" t="str">
        <f aca="false">IF($A815="","",INDEX($L$2:$L$5001,MATCH($A815,$A$2:$A$5001,0)))</f>
        <v/>
      </c>
      <c r="N815" s="48" t="str">
        <f aca="false">IF($A815="","",IF(N(M815)=0,"–",IF(M815&lt;=Start!$D$20,"A",IF(M815&lt;=Start!$D$21,"B","C"))))</f>
        <v/>
      </c>
      <c r="O815" s="48" t="str">
        <f aca="false">IF($A815="","",IF(NOT(ISNUMBER(F815)),"Wert fehlt; ",IF(F815&lt;=0,"Wert ist 0; ",""))&amp;IF(NOT(ISNUMBER(E815)),"Bestand fehlt; ",IF(E815&lt;0,"Bestand negativ; ",IF(E815=0,"Nullbestand; ","")))&amp;IF(D815="","Warengruppe fehlt; ","")&amp;IF(B815="","Bezeichnung fehlt; ","")&amp;IF(COUNTIFS($A$2:$A$5001,$A815,$C$2:$C$5001,C815)&gt;1,"Artikel doppelt im selben Lager; ",""))</f>
        <v/>
      </c>
      <c r="P815" s="47" t="n">
        <f aca="false">IF(OR($A815="",D815=""),0,IF(COUNTIF($D$2:D815,D815)=1,SUMIF($D$2:$D$5001,D815,$H$2:$H$5001)+ROW()/10000000,0))</f>
        <v>0</v>
      </c>
      <c r="Q815" s="47" t="n">
        <f aca="false">IF(OR($A815="",C815=""),0,IF(COUNTIF($C$2:C815,C815)=1,SUMIF($C$2:$C$5001,C815,$H$2:$H$5001)+ROW()/10000000,0))</f>
        <v>0</v>
      </c>
    </row>
    <row r="816" customFormat="false" ht="15" hidden="false" customHeight="false" outlineLevel="0" collapsed="false">
      <c r="A816" s="43"/>
      <c r="B816" s="44"/>
      <c r="C816" s="44"/>
      <c r="D816" s="44"/>
      <c r="E816" s="44"/>
      <c r="F816" s="44"/>
      <c r="G816" s="44"/>
      <c r="H816" s="46" t="str">
        <f aca="false">IF($A816="","",IF(OR(NOT(ISNUMBER(E816)),NOT(ISNUMBER(F816))),"",MAX(0,E816)*F816))</f>
        <v/>
      </c>
      <c r="I816" s="46" t="str">
        <f aca="false">IF($A816="","",SUMIF($A$2:$A$5001,$A816,$H$2:$H$5001))</f>
        <v/>
      </c>
      <c r="J816" s="47" t="n">
        <f aca="false">IF($A816="",0,IF(COUNTIF($A$2:A816,$A816)=1,1,0))</f>
        <v>0</v>
      </c>
      <c r="K816" s="47" t="n">
        <f aca="false">IF(J816=1,N(I816)+ROW()/10000000,0)</f>
        <v>0</v>
      </c>
      <c r="L816" s="47" t="str">
        <f aca="false">IF(AND(J816=1,N(I816)&gt;0),SUMIF($K$2:$K$5001,"&gt;="&amp;K816,$I$2:$I$5001)/MAX(1,SUM($H$2:$H$5001)),"")</f>
        <v/>
      </c>
      <c r="M816" s="47" t="str">
        <f aca="false">IF($A816="","",INDEX($L$2:$L$5001,MATCH($A816,$A$2:$A$5001,0)))</f>
        <v/>
      </c>
      <c r="N816" s="48" t="str">
        <f aca="false">IF($A816="","",IF(N(M816)=0,"–",IF(M816&lt;=Start!$D$20,"A",IF(M816&lt;=Start!$D$21,"B","C"))))</f>
        <v/>
      </c>
      <c r="O816" s="48" t="str">
        <f aca="false">IF($A816="","",IF(NOT(ISNUMBER(F816)),"Wert fehlt; ",IF(F816&lt;=0,"Wert ist 0; ",""))&amp;IF(NOT(ISNUMBER(E816)),"Bestand fehlt; ",IF(E816&lt;0,"Bestand negativ; ",IF(E816=0,"Nullbestand; ","")))&amp;IF(D816="","Warengruppe fehlt; ","")&amp;IF(B816="","Bezeichnung fehlt; ","")&amp;IF(COUNTIFS($A$2:$A$5001,$A816,$C$2:$C$5001,C816)&gt;1,"Artikel doppelt im selben Lager; ",""))</f>
        <v/>
      </c>
      <c r="P816" s="47" t="n">
        <f aca="false">IF(OR($A816="",D816=""),0,IF(COUNTIF($D$2:D816,D816)=1,SUMIF($D$2:$D$5001,D816,$H$2:$H$5001)+ROW()/10000000,0))</f>
        <v>0</v>
      </c>
      <c r="Q816" s="47" t="n">
        <f aca="false">IF(OR($A816="",C816=""),0,IF(COUNTIF($C$2:C816,C816)=1,SUMIF($C$2:$C$5001,C816,$H$2:$H$5001)+ROW()/10000000,0))</f>
        <v>0</v>
      </c>
    </row>
    <row r="817" customFormat="false" ht="15" hidden="false" customHeight="false" outlineLevel="0" collapsed="false">
      <c r="A817" s="43"/>
      <c r="B817" s="44"/>
      <c r="C817" s="44"/>
      <c r="D817" s="44"/>
      <c r="E817" s="44"/>
      <c r="F817" s="44"/>
      <c r="G817" s="44"/>
      <c r="H817" s="46" t="str">
        <f aca="false">IF($A817="","",IF(OR(NOT(ISNUMBER(E817)),NOT(ISNUMBER(F817))),"",MAX(0,E817)*F817))</f>
        <v/>
      </c>
      <c r="I817" s="46" t="str">
        <f aca="false">IF($A817="","",SUMIF($A$2:$A$5001,$A817,$H$2:$H$5001))</f>
        <v/>
      </c>
      <c r="J817" s="47" t="n">
        <f aca="false">IF($A817="",0,IF(COUNTIF($A$2:A817,$A817)=1,1,0))</f>
        <v>0</v>
      </c>
      <c r="K817" s="47" t="n">
        <f aca="false">IF(J817=1,N(I817)+ROW()/10000000,0)</f>
        <v>0</v>
      </c>
      <c r="L817" s="47" t="str">
        <f aca="false">IF(AND(J817=1,N(I817)&gt;0),SUMIF($K$2:$K$5001,"&gt;="&amp;K817,$I$2:$I$5001)/MAX(1,SUM($H$2:$H$5001)),"")</f>
        <v/>
      </c>
      <c r="M817" s="47" t="str">
        <f aca="false">IF($A817="","",INDEX($L$2:$L$5001,MATCH($A817,$A$2:$A$5001,0)))</f>
        <v/>
      </c>
      <c r="N817" s="48" t="str">
        <f aca="false">IF($A817="","",IF(N(M817)=0,"–",IF(M817&lt;=Start!$D$20,"A",IF(M817&lt;=Start!$D$21,"B","C"))))</f>
        <v/>
      </c>
      <c r="O817" s="48" t="str">
        <f aca="false">IF($A817="","",IF(NOT(ISNUMBER(F817)),"Wert fehlt; ",IF(F817&lt;=0,"Wert ist 0; ",""))&amp;IF(NOT(ISNUMBER(E817)),"Bestand fehlt; ",IF(E817&lt;0,"Bestand negativ; ",IF(E817=0,"Nullbestand; ","")))&amp;IF(D817="","Warengruppe fehlt; ","")&amp;IF(B817="","Bezeichnung fehlt; ","")&amp;IF(COUNTIFS($A$2:$A$5001,$A817,$C$2:$C$5001,C817)&gt;1,"Artikel doppelt im selben Lager; ",""))</f>
        <v/>
      </c>
      <c r="P817" s="47" t="n">
        <f aca="false">IF(OR($A817="",D817=""),0,IF(COUNTIF($D$2:D817,D817)=1,SUMIF($D$2:$D$5001,D817,$H$2:$H$5001)+ROW()/10000000,0))</f>
        <v>0</v>
      </c>
      <c r="Q817" s="47" t="n">
        <f aca="false">IF(OR($A817="",C817=""),0,IF(COUNTIF($C$2:C817,C817)=1,SUMIF($C$2:$C$5001,C817,$H$2:$H$5001)+ROW()/10000000,0))</f>
        <v>0</v>
      </c>
    </row>
    <row r="818" customFormat="false" ht="15" hidden="false" customHeight="false" outlineLevel="0" collapsed="false">
      <c r="A818" s="43"/>
      <c r="B818" s="44"/>
      <c r="C818" s="44"/>
      <c r="D818" s="44"/>
      <c r="E818" s="44"/>
      <c r="F818" s="44"/>
      <c r="G818" s="44"/>
      <c r="H818" s="46" t="str">
        <f aca="false">IF($A818="","",IF(OR(NOT(ISNUMBER(E818)),NOT(ISNUMBER(F818))),"",MAX(0,E818)*F818))</f>
        <v/>
      </c>
      <c r="I818" s="46" t="str">
        <f aca="false">IF($A818="","",SUMIF($A$2:$A$5001,$A818,$H$2:$H$5001))</f>
        <v/>
      </c>
      <c r="J818" s="47" t="n">
        <f aca="false">IF($A818="",0,IF(COUNTIF($A$2:A818,$A818)=1,1,0))</f>
        <v>0</v>
      </c>
      <c r="K818" s="47" t="n">
        <f aca="false">IF(J818=1,N(I818)+ROW()/10000000,0)</f>
        <v>0</v>
      </c>
      <c r="L818" s="47" t="str">
        <f aca="false">IF(AND(J818=1,N(I818)&gt;0),SUMIF($K$2:$K$5001,"&gt;="&amp;K818,$I$2:$I$5001)/MAX(1,SUM($H$2:$H$5001)),"")</f>
        <v/>
      </c>
      <c r="M818" s="47" t="str">
        <f aca="false">IF($A818="","",INDEX($L$2:$L$5001,MATCH($A818,$A$2:$A$5001,0)))</f>
        <v/>
      </c>
      <c r="N818" s="48" t="str">
        <f aca="false">IF($A818="","",IF(N(M818)=0,"–",IF(M818&lt;=Start!$D$20,"A",IF(M818&lt;=Start!$D$21,"B","C"))))</f>
        <v/>
      </c>
      <c r="O818" s="48" t="str">
        <f aca="false">IF($A818="","",IF(NOT(ISNUMBER(F818)),"Wert fehlt; ",IF(F818&lt;=0,"Wert ist 0; ",""))&amp;IF(NOT(ISNUMBER(E818)),"Bestand fehlt; ",IF(E818&lt;0,"Bestand negativ; ",IF(E818=0,"Nullbestand; ","")))&amp;IF(D818="","Warengruppe fehlt; ","")&amp;IF(B818="","Bezeichnung fehlt; ","")&amp;IF(COUNTIFS($A$2:$A$5001,$A818,$C$2:$C$5001,C818)&gt;1,"Artikel doppelt im selben Lager; ",""))</f>
        <v/>
      </c>
      <c r="P818" s="47" t="n">
        <f aca="false">IF(OR($A818="",D818=""),0,IF(COUNTIF($D$2:D818,D818)=1,SUMIF($D$2:$D$5001,D818,$H$2:$H$5001)+ROW()/10000000,0))</f>
        <v>0</v>
      </c>
      <c r="Q818" s="47" t="n">
        <f aca="false">IF(OR($A818="",C818=""),0,IF(COUNTIF($C$2:C818,C818)=1,SUMIF($C$2:$C$5001,C818,$H$2:$H$5001)+ROW()/10000000,0))</f>
        <v>0</v>
      </c>
    </row>
    <row r="819" customFormat="false" ht="15" hidden="false" customHeight="false" outlineLevel="0" collapsed="false">
      <c r="A819" s="43"/>
      <c r="B819" s="44"/>
      <c r="C819" s="44"/>
      <c r="D819" s="44"/>
      <c r="E819" s="44"/>
      <c r="F819" s="44"/>
      <c r="G819" s="44"/>
      <c r="H819" s="46" t="str">
        <f aca="false">IF($A819="","",IF(OR(NOT(ISNUMBER(E819)),NOT(ISNUMBER(F819))),"",MAX(0,E819)*F819))</f>
        <v/>
      </c>
      <c r="I819" s="46" t="str">
        <f aca="false">IF($A819="","",SUMIF($A$2:$A$5001,$A819,$H$2:$H$5001))</f>
        <v/>
      </c>
      <c r="J819" s="47" t="n">
        <f aca="false">IF($A819="",0,IF(COUNTIF($A$2:A819,$A819)=1,1,0))</f>
        <v>0</v>
      </c>
      <c r="K819" s="47" t="n">
        <f aca="false">IF(J819=1,N(I819)+ROW()/10000000,0)</f>
        <v>0</v>
      </c>
      <c r="L819" s="47" t="str">
        <f aca="false">IF(AND(J819=1,N(I819)&gt;0),SUMIF($K$2:$K$5001,"&gt;="&amp;K819,$I$2:$I$5001)/MAX(1,SUM($H$2:$H$5001)),"")</f>
        <v/>
      </c>
      <c r="M819" s="47" t="str">
        <f aca="false">IF($A819="","",INDEX($L$2:$L$5001,MATCH($A819,$A$2:$A$5001,0)))</f>
        <v/>
      </c>
      <c r="N819" s="48" t="str">
        <f aca="false">IF($A819="","",IF(N(M819)=0,"–",IF(M819&lt;=Start!$D$20,"A",IF(M819&lt;=Start!$D$21,"B","C"))))</f>
        <v/>
      </c>
      <c r="O819" s="48" t="str">
        <f aca="false">IF($A819="","",IF(NOT(ISNUMBER(F819)),"Wert fehlt; ",IF(F819&lt;=0,"Wert ist 0; ",""))&amp;IF(NOT(ISNUMBER(E819)),"Bestand fehlt; ",IF(E819&lt;0,"Bestand negativ; ",IF(E819=0,"Nullbestand; ","")))&amp;IF(D819="","Warengruppe fehlt; ","")&amp;IF(B819="","Bezeichnung fehlt; ","")&amp;IF(COUNTIFS($A$2:$A$5001,$A819,$C$2:$C$5001,C819)&gt;1,"Artikel doppelt im selben Lager; ",""))</f>
        <v/>
      </c>
      <c r="P819" s="47" t="n">
        <f aca="false">IF(OR($A819="",D819=""),0,IF(COUNTIF($D$2:D819,D819)=1,SUMIF($D$2:$D$5001,D819,$H$2:$H$5001)+ROW()/10000000,0))</f>
        <v>0</v>
      </c>
      <c r="Q819" s="47" t="n">
        <f aca="false">IF(OR($A819="",C819=""),0,IF(COUNTIF($C$2:C819,C819)=1,SUMIF($C$2:$C$5001,C819,$H$2:$H$5001)+ROW()/10000000,0))</f>
        <v>0</v>
      </c>
    </row>
    <row r="820" customFormat="false" ht="15" hidden="false" customHeight="false" outlineLevel="0" collapsed="false">
      <c r="A820" s="43"/>
      <c r="B820" s="44"/>
      <c r="C820" s="44"/>
      <c r="D820" s="44"/>
      <c r="E820" s="44"/>
      <c r="F820" s="44"/>
      <c r="G820" s="44"/>
      <c r="H820" s="46" t="str">
        <f aca="false">IF($A820="","",IF(OR(NOT(ISNUMBER(E820)),NOT(ISNUMBER(F820))),"",MAX(0,E820)*F820))</f>
        <v/>
      </c>
      <c r="I820" s="46" t="str">
        <f aca="false">IF($A820="","",SUMIF($A$2:$A$5001,$A820,$H$2:$H$5001))</f>
        <v/>
      </c>
      <c r="J820" s="47" t="n">
        <f aca="false">IF($A820="",0,IF(COUNTIF($A$2:A820,$A820)=1,1,0))</f>
        <v>0</v>
      </c>
      <c r="K820" s="47" t="n">
        <f aca="false">IF(J820=1,N(I820)+ROW()/10000000,0)</f>
        <v>0</v>
      </c>
      <c r="L820" s="47" t="str">
        <f aca="false">IF(AND(J820=1,N(I820)&gt;0),SUMIF($K$2:$K$5001,"&gt;="&amp;K820,$I$2:$I$5001)/MAX(1,SUM($H$2:$H$5001)),"")</f>
        <v/>
      </c>
      <c r="M820" s="47" t="str">
        <f aca="false">IF($A820="","",INDEX($L$2:$L$5001,MATCH($A820,$A$2:$A$5001,0)))</f>
        <v/>
      </c>
      <c r="N820" s="48" t="str">
        <f aca="false">IF($A820="","",IF(N(M820)=0,"–",IF(M820&lt;=Start!$D$20,"A",IF(M820&lt;=Start!$D$21,"B","C"))))</f>
        <v/>
      </c>
      <c r="O820" s="48" t="str">
        <f aca="false">IF($A820="","",IF(NOT(ISNUMBER(F820)),"Wert fehlt; ",IF(F820&lt;=0,"Wert ist 0; ",""))&amp;IF(NOT(ISNUMBER(E820)),"Bestand fehlt; ",IF(E820&lt;0,"Bestand negativ; ",IF(E820=0,"Nullbestand; ","")))&amp;IF(D820="","Warengruppe fehlt; ","")&amp;IF(B820="","Bezeichnung fehlt; ","")&amp;IF(COUNTIFS($A$2:$A$5001,$A820,$C$2:$C$5001,C820)&gt;1,"Artikel doppelt im selben Lager; ",""))</f>
        <v/>
      </c>
      <c r="P820" s="47" t="n">
        <f aca="false">IF(OR($A820="",D820=""),0,IF(COUNTIF($D$2:D820,D820)=1,SUMIF($D$2:$D$5001,D820,$H$2:$H$5001)+ROW()/10000000,0))</f>
        <v>0</v>
      </c>
      <c r="Q820" s="47" t="n">
        <f aca="false">IF(OR($A820="",C820=""),0,IF(COUNTIF($C$2:C820,C820)=1,SUMIF($C$2:$C$5001,C820,$H$2:$H$5001)+ROW()/10000000,0))</f>
        <v>0</v>
      </c>
    </row>
    <row r="821" customFormat="false" ht="15" hidden="false" customHeight="false" outlineLevel="0" collapsed="false">
      <c r="A821" s="43"/>
      <c r="B821" s="44"/>
      <c r="C821" s="44"/>
      <c r="D821" s="44"/>
      <c r="E821" s="44"/>
      <c r="F821" s="44"/>
      <c r="G821" s="44"/>
      <c r="H821" s="46" t="str">
        <f aca="false">IF($A821="","",IF(OR(NOT(ISNUMBER(E821)),NOT(ISNUMBER(F821))),"",MAX(0,E821)*F821))</f>
        <v/>
      </c>
      <c r="I821" s="46" t="str">
        <f aca="false">IF($A821="","",SUMIF($A$2:$A$5001,$A821,$H$2:$H$5001))</f>
        <v/>
      </c>
      <c r="J821" s="47" t="n">
        <f aca="false">IF($A821="",0,IF(COUNTIF($A$2:A821,$A821)=1,1,0))</f>
        <v>0</v>
      </c>
      <c r="K821" s="47" t="n">
        <f aca="false">IF(J821=1,N(I821)+ROW()/10000000,0)</f>
        <v>0</v>
      </c>
      <c r="L821" s="47" t="str">
        <f aca="false">IF(AND(J821=1,N(I821)&gt;0),SUMIF($K$2:$K$5001,"&gt;="&amp;K821,$I$2:$I$5001)/MAX(1,SUM($H$2:$H$5001)),"")</f>
        <v/>
      </c>
      <c r="M821" s="47" t="str">
        <f aca="false">IF($A821="","",INDEX($L$2:$L$5001,MATCH($A821,$A$2:$A$5001,0)))</f>
        <v/>
      </c>
      <c r="N821" s="48" t="str">
        <f aca="false">IF($A821="","",IF(N(M821)=0,"–",IF(M821&lt;=Start!$D$20,"A",IF(M821&lt;=Start!$D$21,"B","C"))))</f>
        <v/>
      </c>
      <c r="O821" s="48" t="str">
        <f aca="false">IF($A821="","",IF(NOT(ISNUMBER(F821)),"Wert fehlt; ",IF(F821&lt;=0,"Wert ist 0; ",""))&amp;IF(NOT(ISNUMBER(E821)),"Bestand fehlt; ",IF(E821&lt;0,"Bestand negativ; ",IF(E821=0,"Nullbestand; ","")))&amp;IF(D821="","Warengruppe fehlt; ","")&amp;IF(B821="","Bezeichnung fehlt; ","")&amp;IF(COUNTIFS($A$2:$A$5001,$A821,$C$2:$C$5001,C821)&gt;1,"Artikel doppelt im selben Lager; ",""))</f>
        <v/>
      </c>
      <c r="P821" s="47" t="n">
        <f aca="false">IF(OR($A821="",D821=""),0,IF(COUNTIF($D$2:D821,D821)=1,SUMIF($D$2:$D$5001,D821,$H$2:$H$5001)+ROW()/10000000,0))</f>
        <v>0</v>
      </c>
      <c r="Q821" s="47" t="n">
        <f aca="false">IF(OR($A821="",C821=""),0,IF(COUNTIF($C$2:C821,C821)=1,SUMIF($C$2:$C$5001,C821,$H$2:$H$5001)+ROW()/10000000,0))</f>
        <v>0</v>
      </c>
    </row>
    <row r="822" customFormat="false" ht="15" hidden="false" customHeight="false" outlineLevel="0" collapsed="false">
      <c r="A822" s="43"/>
      <c r="B822" s="44"/>
      <c r="C822" s="44"/>
      <c r="D822" s="44"/>
      <c r="E822" s="44"/>
      <c r="F822" s="44"/>
      <c r="G822" s="44"/>
      <c r="H822" s="46" t="str">
        <f aca="false">IF($A822="","",IF(OR(NOT(ISNUMBER(E822)),NOT(ISNUMBER(F822))),"",MAX(0,E822)*F822))</f>
        <v/>
      </c>
      <c r="I822" s="46" t="str">
        <f aca="false">IF($A822="","",SUMIF($A$2:$A$5001,$A822,$H$2:$H$5001))</f>
        <v/>
      </c>
      <c r="J822" s="47" t="n">
        <f aca="false">IF($A822="",0,IF(COUNTIF($A$2:A822,$A822)=1,1,0))</f>
        <v>0</v>
      </c>
      <c r="K822" s="47" t="n">
        <f aca="false">IF(J822=1,N(I822)+ROW()/10000000,0)</f>
        <v>0</v>
      </c>
      <c r="L822" s="47" t="str">
        <f aca="false">IF(AND(J822=1,N(I822)&gt;0),SUMIF($K$2:$K$5001,"&gt;="&amp;K822,$I$2:$I$5001)/MAX(1,SUM($H$2:$H$5001)),"")</f>
        <v/>
      </c>
      <c r="M822" s="47" t="str">
        <f aca="false">IF($A822="","",INDEX($L$2:$L$5001,MATCH($A822,$A$2:$A$5001,0)))</f>
        <v/>
      </c>
      <c r="N822" s="48" t="str">
        <f aca="false">IF($A822="","",IF(N(M822)=0,"–",IF(M822&lt;=Start!$D$20,"A",IF(M822&lt;=Start!$D$21,"B","C"))))</f>
        <v/>
      </c>
      <c r="O822" s="48" t="str">
        <f aca="false">IF($A822="","",IF(NOT(ISNUMBER(F822)),"Wert fehlt; ",IF(F822&lt;=0,"Wert ist 0; ",""))&amp;IF(NOT(ISNUMBER(E822)),"Bestand fehlt; ",IF(E822&lt;0,"Bestand negativ; ",IF(E822=0,"Nullbestand; ","")))&amp;IF(D822="","Warengruppe fehlt; ","")&amp;IF(B822="","Bezeichnung fehlt; ","")&amp;IF(COUNTIFS($A$2:$A$5001,$A822,$C$2:$C$5001,C822)&gt;1,"Artikel doppelt im selben Lager; ",""))</f>
        <v/>
      </c>
      <c r="P822" s="47" t="n">
        <f aca="false">IF(OR($A822="",D822=""),0,IF(COUNTIF($D$2:D822,D822)=1,SUMIF($D$2:$D$5001,D822,$H$2:$H$5001)+ROW()/10000000,0))</f>
        <v>0</v>
      </c>
      <c r="Q822" s="47" t="n">
        <f aca="false">IF(OR($A822="",C822=""),0,IF(COUNTIF($C$2:C822,C822)=1,SUMIF($C$2:$C$5001,C822,$H$2:$H$5001)+ROW()/10000000,0))</f>
        <v>0</v>
      </c>
    </row>
    <row r="823" customFormat="false" ht="15" hidden="false" customHeight="false" outlineLevel="0" collapsed="false">
      <c r="A823" s="43"/>
      <c r="B823" s="44"/>
      <c r="C823" s="44"/>
      <c r="D823" s="44"/>
      <c r="E823" s="44"/>
      <c r="F823" s="44"/>
      <c r="G823" s="44"/>
      <c r="H823" s="46" t="str">
        <f aca="false">IF($A823="","",IF(OR(NOT(ISNUMBER(E823)),NOT(ISNUMBER(F823))),"",MAX(0,E823)*F823))</f>
        <v/>
      </c>
      <c r="I823" s="46" t="str">
        <f aca="false">IF($A823="","",SUMIF($A$2:$A$5001,$A823,$H$2:$H$5001))</f>
        <v/>
      </c>
      <c r="J823" s="47" t="n">
        <f aca="false">IF($A823="",0,IF(COUNTIF($A$2:A823,$A823)=1,1,0))</f>
        <v>0</v>
      </c>
      <c r="K823" s="47" t="n">
        <f aca="false">IF(J823=1,N(I823)+ROW()/10000000,0)</f>
        <v>0</v>
      </c>
      <c r="L823" s="47" t="str">
        <f aca="false">IF(AND(J823=1,N(I823)&gt;0),SUMIF($K$2:$K$5001,"&gt;="&amp;K823,$I$2:$I$5001)/MAX(1,SUM($H$2:$H$5001)),"")</f>
        <v/>
      </c>
      <c r="M823" s="47" t="str">
        <f aca="false">IF($A823="","",INDEX($L$2:$L$5001,MATCH($A823,$A$2:$A$5001,0)))</f>
        <v/>
      </c>
      <c r="N823" s="48" t="str">
        <f aca="false">IF($A823="","",IF(N(M823)=0,"–",IF(M823&lt;=Start!$D$20,"A",IF(M823&lt;=Start!$D$21,"B","C"))))</f>
        <v/>
      </c>
      <c r="O823" s="48" t="str">
        <f aca="false">IF($A823="","",IF(NOT(ISNUMBER(F823)),"Wert fehlt; ",IF(F823&lt;=0,"Wert ist 0; ",""))&amp;IF(NOT(ISNUMBER(E823)),"Bestand fehlt; ",IF(E823&lt;0,"Bestand negativ; ",IF(E823=0,"Nullbestand; ","")))&amp;IF(D823="","Warengruppe fehlt; ","")&amp;IF(B823="","Bezeichnung fehlt; ","")&amp;IF(COUNTIFS($A$2:$A$5001,$A823,$C$2:$C$5001,C823)&gt;1,"Artikel doppelt im selben Lager; ",""))</f>
        <v/>
      </c>
      <c r="P823" s="47" t="n">
        <f aca="false">IF(OR($A823="",D823=""),0,IF(COUNTIF($D$2:D823,D823)=1,SUMIF($D$2:$D$5001,D823,$H$2:$H$5001)+ROW()/10000000,0))</f>
        <v>0</v>
      </c>
      <c r="Q823" s="47" t="n">
        <f aca="false">IF(OR($A823="",C823=""),0,IF(COUNTIF($C$2:C823,C823)=1,SUMIF($C$2:$C$5001,C823,$H$2:$H$5001)+ROW()/10000000,0))</f>
        <v>0</v>
      </c>
    </row>
    <row r="824" customFormat="false" ht="15" hidden="false" customHeight="false" outlineLevel="0" collapsed="false">
      <c r="A824" s="43"/>
      <c r="B824" s="44"/>
      <c r="C824" s="44"/>
      <c r="D824" s="44"/>
      <c r="E824" s="44"/>
      <c r="F824" s="44"/>
      <c r="G824" s="44"/>
      <c r="H824" s="46" t="str">
        <f aca="false">IF($A824="","",IF(OR(NOT(ISNUMBER(E824)),NOT(ISNUMBER(F824))),"",MAX(0,E824)*F824))</f>
        <v/>
      </c>
      <c r="I824" s="46" t="str">
        <f aca="false">IF($A824="","",SUMIF($A$2:$A$5001,$A824,$H$2:$H$5001))</f>
        <v/>
      </c>
      <c r="J824" s="47" t="n">
        <f aca="false">IF($A824="",0,IF(COUNTIF($A$2:A824,$A824)=1,1,0))</f>
        <v>0</v>
      </c>
      <c r="K824" s="47" t="n">
        <f aca="false">IF(J824=1,N(I824)+ROW()/10000000,0)</f>
        <v>0</v>
      </c>
      <c r="L824" s="47" t="str">
        <f aca="false">IF(AND(J824=1,N(I824)&gt;0),SUMIF($K$2:$K$5001,"&gt;="&amp;K824,$I$2:$I$5001)/MAX(1,SUM($H$2:$H$5001)),"")</f>
        <v/>
      </c>
      <c r="M824" s="47" t="str">
        <f aca="false">IF($A824="","",INDEX($L$2:$L$5001,MATCH($A824,$A$2:$A$5001,0)))</f>
        <v/>
      </c>
      <c r="N824" s="48" t="str">
        <f aca="false">IF($A824="","",IF(N(M824)=0,"–",IF(M824&lt;=Start!$D$20,"A",IF(M824&lt;=Start!$D$21,"B","C"))))</f>
        <v/>
      </c>
      <c r="O824" s="48" t="str">
        <f aca="false">IF($A824="","",IF(NOT(ISNUMBER(F824)),"Wert fehlt; ",IF(F824&lt;=0,"Wert ist 0; ",""))&amp;IF(NOT(ISNUMBER(E824)),"Bestand fehlt; ",IF(E824&lt;0,"Bestand negativ; ",IF(E824=0,"Nullbestand; ","")))&amp;IF(D824="","Warengruppe fehlt; ","")&amp;IF(B824="","Bezeichnung fehlt; ","")&amp;IF(COUNTIFS($A$2:$A$5001,$A824,$C$2:$C$5001,C824)&gt;1,"Artikel doppelt im selben Lager; ",""))</f>
        <v/>
      </c>
      <c r="P824" s="47" t="n">
        <f aca="false">IF(OR($A824="",D824=""),0,IF(COUNTIF($D$2:D824,D824)=1,SUMIF($D$2:$D$5001,D824,$H$2:$H$5001)+ROW()/10000000,0))</f>
        <v>0</v>
      </c>
      <c r="Q824" s="47" t="n">
        <f aca="false">IF(OR($A824="",C824=""),0,IF(COUNTIF($C$2:C824,C824)=1,SUMIF($C$2:$C$5001,C824,$H$2:$H$5001)+ROW()/10000000,0))</f>
        <v>0</v>
      </c>
    </row>
    <row r="825" customFormat="false" ht="15" hidden="false" customHeight="false" outlineLevel="0" collapsed="false">
      <c r="A825" s="43"/>
      <c r="B825" s="44"/>
      <c r="C825" s="44"/>
      <c r="D825" s="44"/>
      <c r="E825" s="44"/>
      <c r="F825" s="44"/>
      <c r="G825" s="44"/>
      <c r="H825" s="46" t="str">
        <f aca="false">IF($A825="","",IF(OR(NOT(ISNUMBER(E825)),NOT(ISNUMBER(F825))),"",MAX(0,E825)*F825))</f>
        <v/>
      </c>
      <c r="I825" s="46" t="str">
        <f aca="false">IF($A825="","",SUMIF($A$2:$A$5001,$A825,$H$2:$H$5001))</f>
        <v/>
      </c>
      <c r="J825" s="47" t="n">
        <f aca="false">IF($A825="",0,IF(COUNTIF($A$2:A825,$A825)=1,1,0))</f>
        <v>0</v>
      </c>
      <c r="K825" s="47" t="n">
        <f aca="false">IF(J825=1,N(I825)+ROW()/10000000,0)</f>
        <v>0</v>
      </c>
      <c r="L825" s="47" t="str">
        <f aca="false">IF(AND(J825=1,N(I825)&gt;0),SUMIF($K$2:$K$5001,"&gt;="&amp;K825,$I$2:$I$5001)/MAX(1,SUM($H$2:$H$5001)),"")</f>
        <v/>
      </c>
      <c r="M825" s="47" t="str">
        <f aca="false">IF($A825="","",INDEX($L$2:$L$5001,MATCH($A825,$A$2:$A$5001,0)))</f>
        <v/>
      </c>
      <c r="N825" s="48" t="str">
        <f aca="false">IF($A825="","",IF(N(M825)=0,"–",IF(M825&lt;=Start!$D$20,"A",IF(M825&lt;=Start!$D$21,"B","C"))))</f>
        <v/>
      </c>
      <c r="O825" s="48" t="str">
        <f aca="false">IF($A825="","",IF(NOT(ISNUMBER(F825)),"Wert fehlt; ",IF(F825&lt;=0,"Wert ist 0; ",""))&amp;IF(NOT(ISNUMBER(E825)),"Bestand fehlt; ",IF(E825&lt;0,"Bestand negativ; ",IF(E825=0,"Nullbestand; ","")))&amp;IF(D825="","Warengruppe fehlt; ","")&amp;IF(B825="","Bezeichnung fehlt; ","")&amp;IF(COUNTIFS($A$2:$A$5001,$A825,$C$2:$C$5001,C825)&gt;1,"Artikel doppelt im selben Lager; ",""))</f>
        <v/>
      </c>
      <c r="P825" s="47" t="n">
        <f aca="false">IF(OR($A825="",D825=""),0,IF(COUNTIF($D$2:D825,D825)=1,SUMIF($D$2:$D$5001,D825,$H$2:$H$5001)+ROW()/10000000,0))</f>
        <v>0</v>
      </c>
      <c r="Q825" s="47" t="n">
        <f aca="false">IF(OR($A825="",C825=""),0,IF(COUNTIF($C$2:C825,C825)=1,SUMIF($C$2:$C$5001,C825,$H$2:$H$5001)+ROW()/10000000,0))</f>
        <v>0</v>
      </c>
    </row>
    <row r="826" customFormat="false" ht="15" hidden="false" customHeight="false" outlineLevel="0" collapsed="false">
      <c r="A826" s="43"/>
      <c r="B826" s="44"/>
      <c r="C826" s="44"/>
      <c r="D826" s="44"/>
      <c r="E826" s="44"/>
      <c r="F826" s="44"/>
      <c r="G826" s="44"/>
      <c r="H826" s="46" t="str">
        <f aca="false">IF($A826="","",IF(OR(NOT(ISNUMBER(E826)),NOT(ISNUMBER(F826))),"",MAX(0,E826)*F826))</f>
        <v/>
      </c>
      <c r="I826" s="46" t="str">
        <f aca="false">IF($A826="","",SUMIF($A$2:$A$5001,$A826,$H$2:$H$5001))</f>
        <v/>
      </c>
      <c r="J826" s="47" t="n">
        <f aca="false">IF($A826="",0,IF(COUNTIF($A$2:A826,$A826)=1,1,0))</f>
        <v>0</v>
      </c>
      <c r="K826" s="47" t="n">
        <f aca="false">IF(J826=1,N(I826)+ROW()/10000000,0)</f>
        <v>0</v>
      </c>
      <c r="L826" s="47" t="str">
        <f aca="false">IF(AND(J826=1,N(I826)&gt;0),SUMIF($K$2:$K$5001,"&gt;="&amp;K826,$I$2:$I$5001)/MAX(1,SUM($H$2:$H$5001)),"")</f>
        <v/>
      </c>
      <c r="M826" s="47" t="str">
        <f aca="false">IF($A826="","",INDEX($L$2:$L$5001,MATCH($A826,$A$2:$A$5001,0)))</f>
        <v/>
      </c>
      <c r="N826" s="48" t="str">
        <f aca="false">IF($A826="","",IF(N(M826)=0,"–",IF(M826&lt;=Start!$D$20,"A",IF(M826&lt;=Start!$D$21,"B","C"))))</f>
        <v/>
      </c>
      <c r="O826" s="48" t="str">
        <f aca="false">IF($A826="","",IF(NOT(ISNUMBER(F826)),"Wert fehlt; ",IF(F826&lt;=0,"Wert ist 0; ",""))&amp;IF(NOT(ISNUMBER(E826)),"Bestand fehlt; ",IF(E826&lt;0,"Bestand negativ; ",IF(E826=0,"Nullbestand; ","")))&amp;IF(D826="","Warengruppe fehlt; ","")&amp;IF(B826="","Bezeichnung fehlt; ","")&amp;IF(COUNTIFS($A$2:$A$5001,$A826,$C$2:$C$5001,C826)&gt;1,"Artikel doppelt im selben Lager; ",""))</f>
        <v/>
      </c>
      <c r="P826" s="47" t="n">
        <f aca="false">IF(OR($A826="",D826=""),0,IF(COUNTIF($D$2:D826,D826)=1,SUMIF($D$2:$D$5001,D826,$H$2:$H$5001)+ROW()/10000000,0))</f>
        <v>0</v>
      </c>
      <c r="Q826" s="47" t="n">
        <f aca="false">IF(OR($A826="",C826=""),0,IF(COUNTIF($C$2:C826,C826)=1,SUMIF($C$2:$C$5001,C826,$H$2:$H$5001)+ROW()/10000000,0))</f>
        <v>0</v>
      </c>
    </row>
    <row r="827" customFormat="false" ht="15" hidden="false" customHeight="false" outlineLevel="0" collapsed="false">
      <c r="A827" s="43"/>
      <c r="B827" s="44"/>
      <c r="C827" s="44"/>
      <c r="D827" s="44"/>
      <c r="E827" s="44"/>
      <c r="F827" s="44"/>
      <c r="G827" s="44"/>
      <c r="H827" s="46" t="str">
        <f aca="false">IF($A827="","",IF(OR(NOT(ISNUMBER(E827)),NOT(ISNUMBER(F827))),"",MAX(0,E827)*F827))</f>
        <v/>
      </c>
      <c r="I827" s="46" t="str">
        <f aca="false">IF($A827="","",SUMIF($A$2:$A$5001,$A827,$H$2:$H$5001))</f>
        <v/>
      </c>
      <c r="J827" s="47" t="n">
        <f aca="false">IF($A827="",0,IF(COUNTIF($A$2:A827,$A827)=1,1,0))</f>
        <v>0</v>
      </c>
      <c r="K827" s="47" t="n">
        <f aca="false">IF(J827=1,N(I827)+ROW()/10000000,0)</f>
        <v>0</v>
      </c>
      <c r="L827" s="47" t="str">
        <f aca="false">IF(AND(J827=1,N(I827)&gt;0),SUMIF($K$2:$K$5001,"&gt;="&amp;K827,$I$2:$I$5001)/MAX(1,SUM($H$2:$H$5001)),"")</f>
        <v/>
      </c>
      <c r="M827" s="47" t="str">
        <f aca="false">IF($A827="","",INDEX($L$2:$L$5001,MATCH($A827,$A$2:$A$5001,0)))</f>
        <v/>
      </c>
      <c r="N827" s="48" t="str">
        <f aca="false">IF($A827="","",IF(N(M827)=0,"–",IF(M827&lt;=Start!$D$20,"A",IF(M827&lt;=Start!$D$21,"B","C"))))</f>
        <v/>
      </c>
      <c r="O827" s="48" t="str">
        <f aca="false">IF($A827="","",IF(NOT(ISNUMBER(F827)),"Wert fehlt; ",IF(F827&lt;=0,"Wert ist 0; ",""))&amp;IF(NOT(ISNUMBER(E827)),"Bestand fehlt; ",IF(E827&lt;0,"Bestand negativ; ",IF(E827=0,"Nullbestand; ","")))&amp;IF(D827="","Warengruppe fehlt; ","")&amp;IF(B827="","Bezeichnung fehlt; ","")&amp;IF(COUNTIFS($A$2:$A$5001,$A827,$C$2:$C$5001,C827)&gt;1,"Artikel doppelt im selben Lager; ",""))</f>
        <v/>
      </c>
      <c r="P827" s="47" t="n">
        <f aca="false">IF(OR($A827="",D827=""),0,IF(COUNTIF($D$2:D827,D827)=1,SUMIF($D$2:$D$5001,D827,$H$2:$H$5001)+ROW()/10000000,0))</f>
        <v>0</v>
      </c>
      <c r="Q827" s="47" t="n">
        <f aca="false">IF(OR($A827="",C827=""),0,IF(COUNTIF($C$2:C827,C827)=1,SUMIF($C$2:$C$5001,C827,$H$2:$H$5001)+ROW()/10000000,0))</f>
        <v>0</v>
      </c>
    </row>
    <row r="828" customFormat="false" ht="15" hidden="false" customHeight="false" outlineLevel="0" collapsed="false">
      <c r="A828" s="43"/>
      <c r="B828" s="44"/>
      <c r="C828" s="44"/>
      <c r="D828" s="44"/>
      <c r="E828" s="44"/>
      <c r="F828" s="44"/>
      <c r="G828" s="44"/>
      <c r="H828" s="46" t="str">
        <f aca="false">IF($A828="","",IF(OR(NOT(ISNUMBER(E828)),NOT(ISNUMBER(F828))),"",MAX(0,E828)*F828))</f>
        <v/>
      </c>
      <c r="I828" s="46" t="str">
        <f aca="false">IF($A828="","",SUMIF($A$2:$A$5001,$A828,$H$2:$H$5001))</f>
        <v/>
      </c>
      <c r="J828" s="47" t="n">
        <f aca="false">IF($A828="",0,IF(COUNTIF($A$2:A828,$A828)=1,1,0))</f>
        <v>0</v>
      </c>
      <c r="K828" s="47" t="n">
        <f aca="false">IF(J828=1,N(I828)+ROW()/10000000,0)</f>
        <v>0</v>
      </c>
      <c r="L828" s="47" t="str">
        <f aca="false">IF(AND(J828=1,N(I828)&gt;0),SUMIF($K$2:$K$5001,"&gt;="&amp;K828,$I$2:$I$5001)/MAX(1,SUM($H$2:$H$5001)),"")</f>
        <v/>
      </c>
      <c r="M828" s="47" t="str">
        <f aca="false">IF($A828="","",INDEX($L$2:$L$5001,MATCH($A828,$A$2:$A$5001,0)))</f>
        <v/>
      </c>
      <c r="N828" s="48" t="str">
        <f aca="false">IF($A828="","",IF(N(M828)=0,"–",IF(M828&lt;=Start!$D$20,"A",IF(M828&lt;=Start!$D$21,"B","C"))))</f>
        <v/>
      </c>
      <c r="O828" s="48" t="str">
        <f aca="false">IF($A828="","",IF(NOT(ISNUMBER(F828)),"Wert fehlt; ",IF(F828&lt;=0,"Wert ist 0; ",""))&amp;IF(NOT(ISNUMBER(E828)),"Bestand fehlt; ",IF(E828&lt;0,"Bestand negativ; ",IF(E828=0,"Nullbestand; ","")))&amp;IF(D828="","Warengruppe fehlt; ","")&amp;IF(B828="","Bezeichnung fehlt; ","")&amp;IF(COUNTIFS($A$2:$A$5001,$A828,$C$2:$C$5001,C828)&gt;1,"Artikel doppelt im selben Lager; ",""))</f>
        <v/>
      </c>
      <c r="P828" s="47" t="n">
        <f aca="false">IF(OR($A828="",D828=""),0,IF(COUNTIF($D$2:D828,D828)=1,SUMIF($D$2:$D$5001,D828,$H$2:$H$5001)+ROW()/10000000,0))</f>
        <v>0</v>
      </c>
      <c r="Q828" s="47" t="n">
        <f aca="false">IF(OR($A828="",C828=""),0,IF(COUNTIF($C$2:C828,C828)=1,SUMIF($C$2:$C$5001,C828,$H$2:$H$5001)+ROW()/10000000,0))</f>
        <v>0</v>
      </c>
    </row>
    <row r="829" customFormat="false" ht="15" hidden="false" customHeight="false" outlineLevel="0" collapsed="false">
      <c r="A829" s="43"/>
      <c r="B829" s="44"/>
      <c r="C829" s="44"/>
      <c r="D829" s="44"/>
      <c r="E829" s="44"/>
      <c r="F829" s="44"/>
      <c r="G829" s="44"/>
      <c r="H829" s="46" t="str">
        <f aca="false">IF($A829="","",IF(OR(NOT(ISNUMBER(E829)),NOT(ISNUMBER(F829))),"",MAX(0,E829)*F829))</f>
        <v/>
      </c>
      <c r="I829" s="46" t="str">
        <f aca="false">IF($A829="","",SUMIF($A$2:$A$5001,$A829,$H$2:$H$5001))</f>
        <v/>
      </c>
      <c r="J829" s="47" t="n">
        <f aca="false">IF($A829="",0,IF(COUNTIF($A$2:A829,$A829)=1,1,0))</f>
        <v>0</v>
      </c>
      <c r="K829" s="47" t="n">
        <f aca="false">IF(J829=1,N(I829)+ROW()/10000000,0)</f>
        <v>0</v>
      </c>
      <c r="L829" s="47" t="str">
        <f aca="false">IF(AND(J829=1,N(I829)&gt;0),SUMIF($K$2:$K$5001,"&gt;="&amp;K829,$I$2:$I$5001)/MAX(1,SUM($H$2:$H$5001)),"")</f>
        <v/>
      </c>
      <c r="M829" s="47" t="str">
        <f aca="false">IF($A829="","",INDEX($L$2:$L$5001,MATCH($A829,$A$2:$A$5001,0)))</f>
        <v/>
      </c>
      <c r="N829" s="48" t="str">
        <f aca="false">IF($A829="","",IF(N(M829)=0,"–",IF(M829&lt;=Start!$D$20,"A",IF(M829&lt;=Start!$D$21,"B","C"))))</f>
        <v/>
      </c>
      <c r="O829" s="48" t="str">
        <f aca="false">IF($A829="","",IF(NOT(ISNUMBER(F829)),"Wert fehlt; ",IF(F829&lt;=0,"Wert ist 0; ",""))&amp;IF(NOT(ISNUMBER(E829)),"Bestand fehlt; ",IF(E829&lt;0,"Bestand negativ; ",IF(E829=0,"Nullbestand; ","")))&amp;IF(D829="","Warengruppe fehlt; ","")&amp;IF(B829="","Bezeichnung fehlt; ","")&amp;IF(COUNTIFS($A$2:$A$5001,$A829,$C$2:$C$5001,C829)&gt;1,"Artikel doppelt im selben Lager; ",""))</f>
        <v/>
      </c>
      <c r="P829" s="47" t="n">
        <f aca="false">IF(OR($A829="",D829=""),0,IF(COUNTIF($D$2:D829,D829)=1,SUMIF($D$2:$D$5001,D829,$H$2:$H$5001)+ROW()/10000000,0))</f>
        <v>0</v>
      </c>
      <c r="Q829" s="47" t="n">
        <f aca="false">IF(OR($A829="",C829=""),0,IF(COUNTIF($C$2:C829,C829)=1,SUMIF($C$2:$C$5001,C829,$H$2:$H$5001)+ROW()/10000000,0))</f>
        <v>0</v>
      </c>
    </row>
    <row r="830" customFormat="false" ht="15" hidden="false" customHeight="false" outlineLevel="0" collapsed="false">
      <c r="A830" s="43"/>
      <c r="B830" s="44"/>
      <c r="C830" s="44"/>
      <c r="D830" s="44"/>
      <c r="E830" s="44"/>
      <c r="F830" s="44"/>
      <c r="G830" s="44"/>
      <c r="H830" s="46" t="str">
        <f aca="false">IF($A830="","",IF(OR(NOT(ISNUMBER(E830)),NOT(ISNUMBER(F830))),"",MAX(0,E830)*F830))</f>
        <v/>
      </c>
      <c r="I830" s="46" t="str">
        <f aca="false">IF($A830="","",SUMIF($A$2:$A$5001,$A830,$H$2:$H$5001))</f>
        <v/>
      </c>
      <c r="J830" s="47" t="n">
        <f aca="false">IF($A830="",0,IF(COUNTIF($A$2:A830,$A830)=1,1,0))</f>
        <v>0</v>
      </c>
      <c r="K830" s="47" t="n">
        <f aca="false">IF(J830=1,N(I830)+ROW()/10000000,0)</f>
        <v>0</v>
      </c>
      <c r="L830" s="47" t="str">
        <f aca="false">IF(AND(J830=1,N(I830)&gt;0),SUMIF($K$2:$K$5001,"&gt;="&amp;K830,$I$2:$I$5001)/MAX(1,SUM($H$2:$H$5001)),"")</f>
        <v/>
      </c>
      <c r="M830" s="47" t="str">
        <f aca="false">IF($A830="","",INDEX($L$2:$L$5001,MATCH($A830,$A$2:$A$5001,0)))</f>
        <v/>
      </c>
      <c r="N830" s="48" t="str">
        <f aca="false">IF($A830="","",IF(N(M830)=0,"–",IF(M830&lt;=Start!$D$20,"A",IF(M830&lt;=Start!$D$21,"B","C"))))</f>
        <v/>
      </c>
      <c r="O830" s="48" t="str">
        <f aca="false">IF($A830="","",IF(NOT(ISNUMBER(F830)),"Wert fehlt; ",IF(F830&lt;=0,"Wert ist 0; ",""))&amp;IF(NOT(ISNUMBER(E830)),"Bestand fehlt; ",IF(E830&lt;0,"Bestand negativ; ",IF(E830=0,"Nullbestand; ","")))&amp;IF(D830="","Warengruppe fehlt; ","")&amp;IF(B830="","Bezeichnung fehlt; ","")&amp;IF(COUNTIFS($A$2:$A$5001,$A830,$C$2:$C$5001,C830)&gt;1,"Artikel doppelt im selben Lager; ",""))</f>
        <v/>
      </c>
      <c r="P830" s="47" t="n">
        <f aca="false">IF(OR($A830="",D830=""),0,IF(COUNTIF($D$2:D830,D830)=1,SUMIF($D$2:$D$5001,D830,$H$2:$H$5001)+ROW()/10000000,0))</f>
        <v>0</v>
      </c>
      <c r="Q830" s="47" t="n">
        <f aca="false">IF(OR($A830="",C830=""),0,IF(COUNTIF($C$2:C830,C830)=1,SUMIF($C$2:$C$5001,C830,$H$2:$H$5001)+ROW()/10000000,0))</f>
        <v>0</v>
      </c>
    </row>
    <row r="831" customFormat="false" ht="15" hidden="false" customHeight="false" outlineLevel="0" collapsed="false">
      <c r="A831" s="43"/>
      <c r="B831" s="44"/>
      <c r="C831" s="44"/>
      <c r="D831" s="44"/>
      <c r="E831" s="44"/>
      <c r="F831" s="44"/>
      <c r="G831" s="44"/>
      <c r="H831" s="46" t="str">
        <f aca="false">IF($A831="","",IF(OR(NOT(ISNUMBER(E831)),NOT(ISNUMBER(F831))),"",MAX(0,E831)*F831))</f>
        <v/>
      </c>
      <c r="I831" s="46" t="str">
        <f aca="false">IF($A831="","",SUMIF($A$2:$A$5001,$A831,$H$2:$H$5001))</f>
        <v/>
      </c>
      <c r="J831" s="47" t="n">
        <f aca="false">IF($A831="",0,IF(COUNTIF($A$2:A831,$A831)=1,1,0))</f>
        <v>0</v>
      </c>
      <c r="K831" s="47" t="n">
        <f aca="false">IF(J831=1,N(I831)+ROW()/10000000,0)</f>
        <v>0</v>
      </c>
      <c r="L831" s="47" t="str">
        <f aca="false">IF(AND(J831=1,N(I831)&gt;0),SUMIF($K$2:$K$5001,"&gt;="&amp;K831,$I$2:$I$5001)/MAX(1,SUM($H$2:$H$5001)),"")</f>
        <v/>
      </c>
      <c r="M831" s="47" t="str">
        <f aca="false">IF($A831="","",INDEX($L$2:$L$5001,MATCH($A831,$A$2:$A$5001,0)))</f>
        <v/>
      </c>
      <c r="N831" s="48" t="str">
        <f aca="false">IF($A831="","",IF(N(M831)=0,"–",IF(M831&lt;=Start!$D$20,"A",IF(M831&lt;=Start!$D$21,"B","C"))))</f>
        <v/>
      </c>
      <c r="O831" s="48" t="str">
        <f aca="false">IF($A831="","",IF(NOT(ISNUMBER(F831)),"Wert fehlt; ",IF(F831&lt;=0,"Wert ist 0; ",""))&amp;IF(NOT(ISNUMBER(E831)),"Bestand fehlt; ",IF(E831&lt;0,"Bestand negativ; ",IF(E831=0,"Nullbestand; ","")))&amp;IF(D831="","Warengruppe fehlt; ","")&amp;IF(B831="","Bezeichnung fehlt; ","")&amp;IF(COUNTIFS($A$2:$A$5001,$A831,$C$2:$C$5001,C831)&gt;1,"Artikel doppelt im selben Lager; ",""))</f>
        <v/>
      </c>
      <c r="P831" s="47" t="n">
        <f aca="false">IF(OR($A831="",D831=""),0,IF(COUNTIF($D$2:D831,D831)=1,SUMIF($D$2:$D$5001,D831,$H$2:$H$5001)+ROW()/10000000,0))</f>
        <v>0</v>
      </c>
      <c r="Q831" s="47" t="n">
        <f aca="false">IF(OR($A831="",C831=""),0,IF(COUNTIF($C$2:C831,C831)=1,SUMIF($C$2:$C$5001,C831,$H$2:$H$5001)+ROW()/10000000,0))</f>
        <v>0</v>
      </c>
    </row>
    <row r="832" customFormat="false" ht="15" hidden="false" customHeight="false" outlineLevel="0" collapsed="false">
      <c r="A832" s="43"/>
      <c r="B832" s="44"/>
      <c r="C832" s="44"/>
      <c r="D832" s="44"/>
      <c r="E832" s="44"/>
      <c r="F832" s="44"/>
      <c r="G832" s="44"/>
      <c r="H832" s="46" t="str">
        <f aca="false">IF($A832="","",IF(OR(NOT(ISNUMBER(E832)),NOT(ISNUMBER(F832))),"",MAX(0,E832)*F832))</f>
        <v/>
      </c>
      <c r="I832" s="46" t="str">
        <f aca="false">IF($A832="","",SUMIF($A$2:$A$5001,$A832,$H$2:$H$5001))</f>
        <v/>
      </c>
      <c r="J832" s="47" t="n">
        <f aca="false">IF($A832="",0,IF(COUNTIF($A$2:A832,$A832)=1,1,0))</f>
        <v>0</v>
      </c>
      <c r="K832" s="47" t="n">
        <f aca="false">IF(J832=1,N(I832)+ROW()/10000000,0)</f>
        <v>0</v>
      </c>
      <c r="L832" s="47" t="str">
        <f aca="false">IF(AND(J832=1,N(I832)&gt;0),SUMIF($K$2:$K$5001,"&gt;="&amp;K832,$I$2:$I$5001)/MAX(1,SUM($H$2:$H$5001)),"")</f>
        <v/>
      </c>
      <c r="M832" s="47" t="str">
        <f aca="false">IF($A832="","",INDEX($L$2:$L$5001,MATCH($A832,$A$2:$A$5001,0)))</f>
        <v/>
      </c>
      <c r="N832" s="48" t="str">
        <f aca="false">IF($A832="","",IF(N(M832)=0,"–",IF(M832&lt;=Start!$D$20,"A",IF(M832&lt;=Start!$D$21,"B","C"))))</f>
        <v/>
      </c>
      <c r="O832" s="48" t="str">
        <f aca="false">IF($A832="","",IF(NOT(ISNUMBER(F832)),"Wert fehlt; ",IF(F832&lt;=0,"Wert ist 0; ",""))&amp;IF(NOT(ISNUMBER(E832)),"Bestand fehlt; ",IF(E832&lt;0,"Bestand negativ; ",IF(E832=0,"Nullbestand; ","")))&amp;IF(D832="","Warengruppe fehlt; ","")&amp;IF(B832="","Bezeichnung fehlt; ","")&amp;IF(COUNTIFS($A$2:$A$5001,$A832,$C$2:$C$5001,C832)&gt;1,"Artikel doppelt im selben Lager; ",""))</f>
        <v/>
      </c>
      <c r="P832" s="47" t="n">
        <f aca="false">IF(OR($A832="",D832=""),0,IF(COUNTIF($D$2:D832,D832)=1,SUMIF($D$2:$D$5001,D832,$H$2:$H$5001)+ROW()/10000000,0))</f>
        <v>0</v>
      </c>
      <c r="Q832" s="47" t="n">
        <f aca="false">IF(OR($A832="",C832=""),0,IF(COUNTIF($C$2:C832,C832)=1,SUMIF($C$2:$C$5001,C832,$H$2:$H$5001)+ROW()/10000000,0))</f>
        <v>0</v>
      </c>
    </row>
    <row r="833" customFormat="false" ht="15" hidden="false" customHeight="false" outlineLevel="0" collapsed="false">
      <c r="A833" s="43"/>
      <c r="B833" s="44"/>
      <c r="C833" s="44"/>
      <c r="D833" s="44"/>
      <c r="E833" s="44"/>
      <c r="F833" s="44"/>
      <c r="G833" s="44"/>
      <c r="H833" s="46" t="str">
        <f aca="false">IF($A833="","",IF(OR(NOT(ISNUMBER(E833)),NOT(ISNUMBER(F833))),"",MAX(0,E833)*F833))</f>
        <v/>
      </c>
      <c r="I833" s="46" t="str">
        <f aca="false">IF($A833="","",SUMIF($A$2:$A$5001,$A833,$H$2:$H$5001))</f>
        <v/>
      </c>
      <c r="J833" s="47" t="n">
        <f aca="false">IF($A833="",0,IF(COUNTIF($A$2:A833,$A833)=1,1,0))</f>
        <v>0</v>
      </c>
      <c r="K833" s="47" t="n">
        <f aca="false">IF(J833=1,N(I833)+ROW()/10000000,0)</f>
        <v>0</v>
      </c>
      <c r="L833" s="47" t="str">
        <f aca="false">IF(AND(J833=1,N(I833)&gt;0),SUMIF($K$2:$K$5001,"&gt;="&amp;K833,$I$2:$I$5001)/MAX(1,SUM($H$2:$H$5001)),"")</f>
        <v/>
      </c>
      <c r="M833" s="47" t="str">
        <f aca="false">IF($A833="","",INDEX($L$2:$L$5001,MATCH($A833,$A$2:$A$5001,0)))</f>
        <v/>
      </c>
      <c r="N833" s="48" t="str">
        <f aca="false">IF($A833="","",IF(N(M833)=0,"–",IF(M833&lt;=Start!$D$20,"A",IF(M833&lt;=Start!$D$21,"B","C"))))</f>
        <v/>
      </c>
      <c r="O833" s="48" t="str">
        <f aca="false">IF($A833="","",IF(NOT(ISNUMBER(F833)),"Wert fehlt; ",IF(F833&lt;=0,"Wert ist 0; ",""))&amp;IF(NOT(ISNUMBER(E833)),"Bestand fehlt; ",IF(E833&lt;0,"Bestand negativ; ",IF(E833=0,"Nullbestand; ","")))&amp;IF(D833="","Warengruppe fehlt; ","")&amp;IF(B833="","Bezeichnung fehlt; ","")&amp;IF(COUNTIFS($A$2:$A$5001,$A833,$C$2:$C$5001,C833)&gt;1,"Artikel doppelt im selben Lager; ",""))</f>
        <v/>
      </c>
      <c r="P833" s="47" t="n">
        <f aca="false">IF(OR($A833="",D833=""),0,IF(COUNTIF($D$2:D833,D833)=1,SUMIF($D$2:$D$5001,D833,$H$2:$H$5001)+ROW()/10000000,0))</f>
        <v>0</v>
      </c>
      <c r="Q833" s="47" t="n">
        <f aca="false">IF(OR($A833="",C833=""),0,IF(COUNTIF($C$2:C833,C833)=1,SUMIF($C$2:$C$5001,C833,$H$2:$H$5001)+ROW()/10000000,0))</f>
        <v>0</v>
      </c>
    </row>
    <row r="834" customFormat="false" ht="15" hidden="false" customHeight="false" outlineLevel="0" collapsed="false">
      <c r="A834" s="43"/>
      <c r="B834" s="44"/>
      <c r="C834" s="44"/>
      <c r="D834" s="44"/>
      <c r="E834" s="44"/>
      <c r="F834" s="44"/>
      <c r="G834" s="44"/>
      <c r="H834" s="46" t="str">
        <f aca="false">IF($A834="","",IF(OR(NOT(ISNUMBER(E834)),NOT(ISNUMBER(F834))),"",MAX(0,E834)*F834))</f>
        <v/>
      </c>
      <c r="I834" s="46" t="str">
        <f aca="false">IF($A834="","",SUMIF($A$2:$A$5001,$A834,$H$2:$H$5001))</f>
        <v/>
      </c>
      <c r="J834" s="47" t="n">
        <f aca="false">IF($A834="",0,IF(COUNTIF($A$2:A834,$A834)=1,1,0))</f>
        <v>0</v>
      </c>
      <c r="K834" s="47" t="n">
        <f aca="false">IF(J834=1,N(I834)+ROW()/10000000,0)</f>
        <v>0</v>
      </c>
      <c r="L834" s="47" t="str">
        <f aca="false">IF(AND(J834=1,N(I834)&gt;0),SUMIF($K$2:$K$5001,"&gt;="&amp;K834,$I$2:$I$5001)/MAX(1,SUM($H$2:$H$5001)),"")</f>
        <v/>
      </c>
      <c r="M834" s="47" t="str">
        <f aca="false">IF($A834="","",INDEX($L$2:$L$5001,MATCH($A834,$A$2:$A$5001,0)))</f>
        <v/>
      </c>
      <c r="N834" s="48" t="str">
        <f aca="false">IF($A834="","",IF(N(M834)=0,"–",IF(M834&lt;=Start!$D$20,"A",IF(M834&lt;=Start!$D$21,"B","C"))))</f>
        <v/>
      </c>
      <c r="O834" s="48" t="str">
        <f aca="false">IF($A834="","",IF(NOT(ISNUMBER(F834)),"Wert fehlt; ",IF(F834&lt;=0,"Wert ist 0; ",""))&amp;IF(NOT(ISNUMBER(E834)),"Bestand fehlt; ",IF(E834&lt;0,"Bestand negativ; ",IF(E834=0,"Nullbestand; ","")))&amp;IF(D834="","Warengruppe fehlt; ","")&amp;IF(B834="","Bezeichnung fehlt; ","")&amp;IF(COUNTIFS($A$2:$A$5001,$A834,$C$2:$C$5001,C834)&gt;1,"Artikel doppelt im selben Lager; ",""))</f>
        <v/>
      </c>
      <c r="P834" s="47" t="n">
        <f aca="false">IF(OR($A834="",D834=""),0,IF(COUNTIF($D$2:D834,D834)=1,SUMIF($D$2:$D$5001,D834,$H$2:$H$5001)+ROW()/10000000,0))</f>
        <v>0</v>
      </c>
      <c r="Q834" s="47" t="n">
        <f aca="false">IF(OR($A834="",C834=""),0,IF(COUNTIF($C$2:C834,C834)=1,SUMIF($C$2:$C$5001,C834,$H$2:$H$5001)+ROW()/10000000,0))</f>
        <v>0</v>
      </c>
    </row>
    <row r="835" customFormat="false" ht="15" hidden="false" customHeight="false" outlineLevel="0" collapsed="false">
      <c r="A835" s="43"/>
      <c r="B835" s="44"/>
      <c r="C835" s="44"/>
      <c r="D835" s="44"/>
      <c r="E835" s="44"/>
      <c r="F835" s="44"/>
      <c r="G835" s="44"/>
      <c r="H835" s="46" t="str">
        <f aca="false">IF($A835="","",IF(OR(NOT(ISNUMBER(E835)),NOT(ISNUMBER(F835))),"",MAX(0,E835)*F835))</f>
        <v/>
      </c>
      <c r="I835" s="46" t="str">
        <f aca="false">IF($A835="","",SUMIF($A$2:$A$5001,$A835,$H$2:$H$5001))</f>
        <v/>
      </c>
      <c r="J835" s="47" t="n">
        <f aca="false">IF($A835="",0,IF(COUNTIF($A$2:A835,$A835)=1,1,0))</f>
        <v>0</v>
      </c>
      <c r="K835" s="47" t="n">
        <f aca="false">IF(J835=1,N(I835)+ROW()/10000000,0)</f>
        <v>0</v>
      </c>
      <c r="L835" s="47" t="str">
        <f aca="false">IF(AND(J835=1,N(I835)&gt;0),SUMIF($K$2:$K$5001,"&gt;="&amp;K835,$I$2:$I$5001)/MAX(1,SUM($H$2:$H$5001)),"")</f>
        <v/>
      </c>
      <c r="M835" s="47" t="str">
        <f aca="false">IF($A835="","",INDEX($L$2:$L$5001,MATCH($A835,$A$2:$A$5001,0)))</f>
        <v/>
      </c>
      <c r="N835" s="48" t="str">
        <f aca="false">IF($A835="","",IF(N(M835)=0,"–",IF(M835&lt;=Start!$D$20,"A",IF(M835&lt;=Start!$D$21,"B","C"))))</f>
        <v/>
      </c>
      <c r="O835" s="48" t="str">
        <f aca="false">IF($A835="","",IF(NOT(ISNUMBER(F835)),"Wert fehlt; ",IF(F835&lt;=0,"Wert ist 0; ",""))&amp;IF(NOT(ISNUMBER(E835)),"Bestand fehlt; ",IF(E835&lt;0,"Bestand negativ; ",IF(E835=0,"Nullbestand; ","")))&amp;IF(D835="","Warengruppe fehlt; ","")&amp;IF(B835="","Bezeichnung fehlt; ","")&amp;IF(COUNTIFS($A$2:$A$5001,$A835,$C$2:$C$5001,C835)&gt;1,"Artikel doppelt im selben Lager; ",""))</f>
        <v/>
      </c>
      <c r="P835" s="47" t="n">
        <f aca="false">IF(OR($A835="",D835=""),0,IF(COUNTIF($D$2:D835,D835)=1,SUMIF($D$2:$D$5001,D835,$H$2:$H$5001)+ROW()/10000000,0))</f>
        <v>0</v>
      </c>
      <c r="Q835" s="47" t="n">
        <f aca="false">IF(OR($A835="",C835=""),0,IF(COUNTIF($C$2:C835,C835)=1,SUMIF($C$2:$C$5001,C835,$H$2:$H$5001)+ROW()/10000000,0))</f>
        <v>0</v>
      </c>
    </row>
    <row r="836" customFormat="false" ht="15" hidden="false" customHeight="false" outlineLevel="0" collapsed="false">
      <c r="A836" s="43"/>
      <c r="B836" s="44"/>
      <c r="C836" s="44"/>
      <c r="D836" s="44"/>
      <c r="E836" s="44"/>
      <c r="F836" s="44"/>
      <c r="G836" s="44"/>
      <c r="H836" s="46" t="str">
        <f aca="false">IF($A836="","",IF(OR(NOT(ISNUMBER(E836)),NOT(ISNUMBER(F836))),"",MAX(0,E836)*F836))</f>
        <v/>
      </c>
      <c r="I836" s="46" t="str">
        <f aca="false">IF($A836="","",SUMIF($A$2:$A$5001,$A836,$H$2:$H$5001))</f>
        <v/>
      </c>
      <c r="J836" s="47" t="n">
        <f aca="false">IF($A836="",0,IF(COUNTIF($A$2:A836,$A836)=1,1,0))</f>
        <v>0</v>
      </c>
      <c r="K836" s="47" t="n">
        <f aca="false">IF(J836=1,N(I836)+ROW()/10000000,0)</f>
        <v>0</v>
      </c>
      <c r="L836" s="47" t="str">
        <f aca="false">IF(AND(J836=1,N(I836)&gt;0),SUMIF($K$2:$K$5001,"&gt;="&amp;K836,$I$2:$I$5001)/MAX(1,SUM($H$2:$H$5001)),"")</f>
        <v/>
      </c>
      <c r="M836" s="47" t="str">
        <f aca="false">IF($A836="","",INDEX($L$2:$L$5001,MATCH($A836,$A$2:$A$5001,0)))</f>
        <v/>
      </c>
      <c r="N836" s="48" t="str">
        <f aca="false">IF($A836="","",IF(N(M836)=0,"–",IF(M836&lt;=Start!$D$20,"A",IF(M836&lt;=Start!$D$21,"B","C"))))</f>
        <v/>
      </c>
      <c r="O836" s="48" t="str">
        <f aca="false">IF($A836="","",IF(NOT(ISNUMBER(F836)),"Wert fehlt; ",IF(F836&lt;=0,"Wert ist 0; ",""))&amp;IF(NOT(ISNUMBER(E836)),"Bestand fehlt; ",IF(E836&lt;0,"Bestand negativ; ",IF(E836=0,"Nullbestand; ","")))&amp;IF(D836="","Warengruppe fehlt; ","")&amp;IF(B836="","Bezeichnung fehlt; ","")&amp;IF(COUNTIFS($A$2:$A$5001,$A836,$C$2:$C$5001,C836)&gt;1,"Artikel doppelt im selben Lager; ",""))</f>
        <v/>
      </c>
      <c r="P836" s="47" t="n">
        <f aca="false">IF(OR($A836="",D836=""),0,IF(COUNTIF($D$2:D836,D836)=1,SUMIF($D$2:$D$5001,D836,$H$2:$H$5001)+ROW()/10000000,0))</f>
        <v>0</v>
      </c>
      <c r="Q836" s="47" t="n">
        <f aca="false">IF(OR($A836="",C836=""),0,IF(COUNTIF($C$2:C836,C836)=1,SUMIF($C$2:$C$5001,C836,$H$2:$H$5001)+ROW()/10000000,0))</f>
        <v>0</v>
      </c>
    </row>
    <row r="837" customFormat="false" ht="15" hidden="false" customHeight="false" outlineLevel="0" collapsed="false">
      <c r="A837" s="43"/>
      <c r="B837" s="44"/>
      <c r="C837" s="44"/>
      <c r="D837" s="44"/>
      <c r="E837" s="44"/>
      <c r="F837" s="44"/>
      <c r="G837" s="44"/>
      <c r="H837" s="46" t="str">
        <f aca="false">IF($A837="","",IF(OR(NOT(ISNUMBER(E837)),NOT(ISNUMBER(F837))),"",MAX(0,E837)*F837))</f>
        <v/>
      </c>
      <c r="I837" s="46" t="str">
        <f aca="false">IF($A837="","",SUMIF($A$2:$A$5001,$A837,$H$2:$H$5001))</f>
        <v/>
      </c>
      <c r="J837" s="47" t="n">
        <f aca="false">IF($A837="",0,IF(COUNTIF($A$2:A837,$A837)=1,1,0))</f>
        <v>0</v>
      </c>
      <c r="K837" s="47" t="n">
        <f aca="false">IF(J837=1,N(I837)+ROW()/10000000,0)</f>
        <v>0</v>
      </c>
      <c r="L837" s="47" t="str">
        <f aca="false">IF(AND(J837=1,N(I837)&gt;0),SUMIF($K$2:$K$5001,"&gt;="&amp;K837,$I$2:$I$5001)/MAX(1,SUM($H$2:$H$5001)),"")</f>
        <v/>
      </c>
      <c r="M837" s="47" t="str">
        <f aca="false">IF($A837="","",INDEX($L$2:$L$5001,MATCH($A837,$A$2:$A$5001,0)))</f>
        <v/>
      </c>
      <c r="N837" s="48" t="str">
        <f aca="false">IF($A837="","",IF(N(M837)=0,"–",IF(M837&lt;=Start!$D$20,"A",IF(M837&lt;=Start!$D$21,"B","C"))))</f>
        <v/>
      </c>
      <c r="O837" s="48" t="str">
        <f aca="false">IF($A837="","",IF(NOT(ISNUMBER(F837)),"Wert fehlt; ",IF(F837&lt;=0,"Wert ist 0; ",""))&amp;IF(NOT(ISNUMBER(E837)),"Bestand fehlt; ",IF(E837&lt;0,"Bestand negativ; ",IF(E837=0,"Nullbestand; ","")))&amp;IF(D837="","Warengruppe fehlt; ","")&amp;IF(B837="","Bezeichnung fehlt; ","")&amp;IF(COUNTIFS($A$2:$A$5001,$A837,$C$2:$C$5001,C837)&gt;1,"Artikel doppelt im selben Lager; ",""))</f>
        <v/>
      </c>
      <c r="P837" s="47" t="n">
        <f aca="false">IF(OR($A837="",D837=""),0,IF(COUNTIF($D$2:D837,D837)=1,SUMIF($D$2:$D$5001,D837,$H$2:$H$5001)+ROW()/10000000,0))</f>
        <v>0</v>
      </c>
      <c r="Q837" s="47" t="n">
        <f aca="false">IF(OR($A837="",C837=""),0,IF(COUNTIF($C$2:C837,C837)=1,SUMIF($C$2:$C$5001,C837,$H$2:$H$5001)+ROW()/10000000,0))</f>
        <v>0</v>
      </c>
    </row>
    <row r="838" customFormat="false" ht="15" hidden="false" customHeight="false" outlineLevel="0" collapsed="false">
      <c r="A838" s="43"/>
      <c r="B838" s="44"/>
      <c r="C838" s="44"/>
      <c r="D838" s="44"/>
      <c r="E838" s="44"/>
      <c r="F838" s="44"/>
      <c r="G838" s="44"/>
      <c r="H838" s="46" t="str">
        <f aca="false">IF($A838="","",IF(OR(NOT(ISNUMBER(E838)),NOT(ISNUMBER(F838))),"",MAX(0,E838)*F838))</f>
        <v/>
      </c>
      <c r="I838" s="46" t="str">
        <f aca="false">IF($A838="","",SUMIF($A$2:$A$5001,$A838,$H$2:$H$5001))</f>
        <v/>
      </c>
      <c r="J838" s="47" t="n">
        <f aca="false">IF($A838="",0,IF(COUNTIF($A$2:A838,$A838)=1,1,0))</f>
        <v>0</v>
      </c>
      <c r="K838" s="47" t="n">
        <f aca="false">IF(J838=1,N(I838)+ROW()/10000000,0)</f>
        <v>0</v>
      </c>
      <c r="L838" s="47" t="str">
        <f aca="false">IF(AND(J838=1,N(I838)&gt;0),SUMIF($K$2:$K$5001,"&gt;="&amp;K838,$I$2:$I$5001)/MAX(1,SUM($H$2:$H$5001)),"")</f>
        <v/>
      </c>
      <c r="M838" s="47" t="str">
        <f aca="false">IF($A838="","",INDEX($L$2:$L$5001,MATCH($A838,$A$2:$A$5001,0)))</f>
        <v/>
      </c>
      <c r="N838" s="48" t="str">
        <f aca="false">IF($A838="","",IF(N(M838)=0,"–",IF(M838&lt;=Start!$D$20,"A",IF(M838&lt;=Start!$D$21,"B","C"))))</f>
        <v/>
      </c>
      <c r="O838" s="48" t="str">
        <f aca="false">IF($A838="","",IF(NOT(ISNUMBER(F838)),"Wert fehlt; ",IF(F838&lt;=0,"Wert ist 0; ",""))&amp;IF(NOT(ISNUMBER(E838)),"Bestand fehlt; ",IF(E838&lt;0,"Bestand negativ; ",IF(E838=0,"Nullbestand; ","")))&amp;IF(D838="","Warengruppe fehlt; ","")&amp;IF(B838="","Bezeichnung fehlt; ","")&amp;IF(COUNTIFS($A$2:$A$5001,$A838,$C$2:$C$5001,C838)&gt;1,"Artikel doppelt im selben Lager; ",""))</f>
        <v/>
      </c>
      <c r="P838" s="47" t="n">
        <f aca="false">IF(OR($A838="",D838=""),0,IF(COUNTIF($D$2:D838,D838)=1,SUMIF($D$2:$D$5001,D838,$H$2:$H$5001)+ROW()/10000000,0))</f>
        <v>0</v>
      </c>
      <c r="Q838" s="47" t="n">
        <f aca="false">IF(OR($A838="",C838=""),0,IF(COUNTIF($C$2:C838,C838)=1,SUMIF($C$2:$C$5001,C838,$H$2:$H$5001)+ROW()/10000000,0))</f>
        <v>0</v>
      </c>
    </row>
    <row r="839" customFormat="false" ht="15" hidden="false" customHeight="false" outlineLevel="0" collapsed="false">
      <c r="A839" s="43"/>
      <c r="B839" s="44"/>
      <c r="C839" s="44"/>
      <c r="D839" s="44"/>
      <c r="E839" s="44"/>
      <c r="F839" s="44"/>
      <c r="G839" s="44"/>
      <c r="H839" s="46" t="str">
        <f aca="false">IF($A839="","",IF(OR(NOT(ISNUMBER(E839)),NOT(ISNUMBER(F839))),"",MAX(0,E839)*F839))</f>
        <v/>
      </c>
      <c r="I839" s="46" t="str">
        <f aca="false">IF($A839="","",SUMIF($A$2:$A$5001,$A839,$H$2:$H$5001))</f>
        <v/>
      </c>
      <c r="J839" s="47" t="n">
        <f aca="false">IF($A839="",0,IF(COUNTIF($A$2:A839,$A839)=1,1,0))</f>
        <v>0</v>
      </c>
      <c r="K839" s="47" t="n">
        <f aca="false">IF(J839=1,N(I839)+ROW()/10000000,0)</f>
        <v>0</v>
      </c>
      <c r="L839" s="47" t="str">
        <f aca="false">IF(AND(J839=1,N(I839)&gt;0),SUMIF($K$2:$K$5001,"&gt;="&amp;K839,$I$2:$I$5001)/MAX(1,SUM($H$2:$H$5001)),"")</f>
        <v/>
      </c>
      <c r="M839" s="47" t="str">
        <f aca="false">IF($A839="","",INDEX($L$2:$L$5001,MATCH($A839,$A$2:$A$5001,0)))</f>
        <v/>
      </c>
      <c r="N839" s="48" t="str">
        <f aca="false">IF($A839="","",IF(N(M839)=0,"–",IF(M839&lt;=Start!$D$20,"A",IF(M839&lt;=Start!$D$21,"B","C"))))</f>
        <v/>
      </c>
      <c r="O839" s="48" t="str">
        <f aca="false">IF($A839="","",IF(NOT(ISNUMBER(F839)),"Wert fehlt; ",IF(F839&lt;=0,"Wert ist 0; ",""))&amp;IF(NOT(ISNUMBER(E839)),"Bestand fehlt; ",IF(E839&lt;0,"Bestand negativ; ",IF(E839=0,"Nullbestand; ","")))&amp;IF(D839="","Warengruppe fehlt; ","")&amp;IF(B839="","Bezeichnung fehlt; ","")&amp;IF(COUNTIFS($A$2:$A$5001,$A839,$C$2:$C$5001,C839)&gt;1,"Artikel doppelt im selben Lager; ",""))</f>
        <v/>
      </c>
      <c r="P839" s="47" t="n">
        <f aca="false">IF(OR($A839="",D839=""),0,IF(COUNTIF($D$2:D839,D839)=1,SUMIF($D$2:$D$5001,D839,$H$2:$H$5001)+ROW()/10000000,0))</f>
        <v>0</v>
      </c>
      <c r="Q839" s="47" t="n">
        <f aca="false">IF(OR($A839="",C839=""),0,IF(COUNTIF($C$2:C839,C839)=1,SUMIF($C$2:$C$5001,C839,$H$2:$H$5001)+ROW()/10000000,0))</f>
        <v>0</v>
      </c>
    </row>
    <row r="840" customFormat="false" ht="15" hidden="false" customHeight="false" outlineLevel="0" collapsed="false">
      <c r="A840" s="43"/>
      <c r="B840" s="44"/>
      <c r="C840" s="44"/>
      <c r="D840" s="44"/>
      <c r="E840" s="44"/>
      <c r="F840" s="44"/>
      <c r="G840" s="44"/>
      <c r="H840" s="46" t="str">
        <f aca="false">IF($A840="","",IF(OR(NOT(ISNUMBER(E840)),NOT(ISNUMBER(F840))),"",MAX(0,E840)*F840))</f>
        <v/>
      </c>
      <c r="I840" s="46" t="str">
        <f aca="false">IF($A840="","",SUMIF($A$2:$A$5001,$A840,$H$2:$H$5001))</f>
        <v/>
      </c>
      <c r="J840" s="47" t="n">
        <f aca="false">IF($A840="",0,IF(COUNTIF($A$2:A840,$A840)=1,1,0))</f>
        <v>0</v>
      </c>
      <c r="K840" s="47" t="n">
        <f aca="false">IF(J840=1,N(I840)+ROW()/10000000,0)</f>
        <v>0</v>
      </c>
      <c r="L840" s="47" t="str">
        <f aca="false">IF(AND(J840=1,N(I840)&gt;0),SUMIF($K$2:$K$5001,"&gt;="&amp;K840,$I$2:$I$5001)/MAX(1,SUM($H$2:$H$5001)),"")</f>
        <v/>
      </c>
      <c r="M840" s="47" t="str">
        <f aca="false">IF($A840="","",INDEX($L$2:$L$5001,MATCH($A840,$A$2:$A$5001,0)))</f>
        <v/>
      </c>
      <c r="N840" s="48" t="str">
        <f aca="false">IF($A840="","",IF(N(M840)=0,"–",IF(M840&lt;=Start!$D$20,"A",IF(M840&lt;=Start!$D$21,"B","C"))))</f>
        <v/>
      </c>
      <c r="O840" s="48" t="str">
        <f aca="false">IF($A840="","",IF(NOT(ISNUMBER(F840)),"Wert fehlt; ",IF(F840&lt;=0,"Wert ist 0; ",""))&amp;IF(NOT(ISNUMBER(E840)),"Bestand fehlt; ",IF(E840&lt;0,"Bestand negativ; ",IF(E840=0,"Nullbestand; ","")))&amp;IF(D840="","Warengruppe fehlt; ","")&amp;IF(B840="","Bezeichnung fehlt; ","")&amp;IF(COUNTIFS($A$2:$A$5001,$A840,$C$2:$C$5001,C840)&gt;1,"Artikel doppelt im selben Lager; ",""))</f>
        <v/>
      </c>
      <c r="P840" s="47" t="n">
        <f aca="false">IF(OR($A840="",D840=""),0,IF(COUNTIF($D$2:D840,D840)=1,SUMIF($D$2:$D$5001,D840,$H$2:$H$5001)+ROW()/10000000,0))</f>
        <v>0</v>
      </c>
      <c r="Q840" s="47" t="n">
        <f aca="false">IF(OR($A840="",C840=""),0,IF(COUNTIF($C$2:C840,C840)=1,SUMIF($C$2:$C$5001,C840,$H$2:$H$5001)+ROW()/10000000,0))</f>
        <v>0</v>
      </c>
    </row>
    <row r="841" customFormat="false" ht="15" hidden="false" customHeight="false" outlineLevel="0" collapsed="false">
      <c r="A841" s="43"/>
      <c r="B841" s="44"/>
      <c r="C841" s="44"/>
      <c r="D841" s="44"/>
      <c r="E841" s="44"/>
      <c r="F841" s="44"/>
      <c r="G841" s="44"/>
      <c r="H841" s="46" t="str">
        <f aca="false">IF($A841="","",IF(OR(NOT(ISNUMBER(E841)),NOT(ISNUMBER(F841))),"",MAX(0,E841)*F841))</f>
        <v/>
      </c>
      <c r="I841" s="46" t="str">
        <f aca="false">IF($A841="","",SUMIF($A$2:$A$5001,$A841,$H$2:$H$5001))</f>
        <v/>
      </c>
      <c r="J841" s="47" t="n">
        <f aca="false">IF($A841="",0,IF(COUNTIF($A$2:A841,$A841)=1,1,0))</f>
        <v>0</v>
      </c>
      <c r="K841" s="47" t="n">
        <f aca="false">IF(J841=1,N(I841)+ROW()/10000000,0)</f>
        <v>0</v>
      </c>
      <c r="L841" s="47" t="str">
        <f aca="false">IF(AND(J841=1,N(I841)&gt;0),SUMIF($K$2:$K$5001,"&gt;="&amp;K841,$I$2:$I$5001)/MAX(1,SUM($H$2:$H$5001)),"")</f>
        <v/>
      </c>
      <c r="M841" s="47" t="str">
        <f aca="false">IF($A841="","",INDEX($L$2:$L$5001,MATCH($A841,$A$2:$A$5001,0)))</f>
        <v/>
      </c>
      <c r="N841" s="48" t="str">
        <f aca="false">IF($A841="","",IF(N(M841)=0,"–",IF(M841&lt;=Start!$D$20,"A",IF(M841&lt;=Start!$D$21,"B","C"))))</f>
        <v/>
      </c>
      <c r="O841" s="48" t="str">
        <f aca="false">IF($A841="","",IF(NOT(ISNUMBER(F841)),"Wert fehlt; ",IF(F841&lt;=0,"Wert ist 0; ",""))&amp;IF(NOT(ISNUMBER(E841)),"Bestand fehlt; ",IF(E841&lt;0,"Bestand negativ; ",IF(E841=0,"Nullbestand; ","")))&amp;IF(D841="","Warengruppe fehlt; ","")&amp;IF(B841="","Bezeichnung fehlt; ","")&amp;IF(COUNTIFS($A$2:$A$5001,$A841,$C$2:$C$5001,C841)&gt;1,"Artikel doppelt im selben Lager; ",""))</f>
        <v/>
      </c>
      <c r="P841" s="47" t="n">
        <f aca="false">IF(OR($A841="",D841=""),0,IF(COUNTIF($D$2:D841,D841)=1,SUMIF($D$2:$D$5001,D841,$H$2:$H$5001)+ROW()/10000000,0))</f>
        <v>0</v>
      </c>
      <c r="Q841" s="47" t="n">
        <f aca="false">IF(OR($A841="",C841=""),0,IF(COUNTIF($C$2:C841,C841)=1,SUMIF($C$2:$C$5001,C841,$H$2:$H$5001)+ROW()/10000000,0))</f>
        <v>0</v>
      </c>
    </row>
    <row r="842" customFormat="false" ht="15" hidden="false" customHeight="false" outlineLevel="0" collapsed="false">
      <c r="A842" s="43"/>
      <c r="B842" s="44"/>
      <c r="C842" s="44"/>
      <c r="D842" s="44"/>
      <c r="E842" s="44"/>
      <c r="F842" s="44"/>
      <c r="G842" s="44"/>
      <c r="H842" s="46" t="str">
        <f aca="false">IF($A842="","",IF(OR(NOT(ISNUMBER(E842)),NOT(ISNUMBER(F842))),"",MAX(0,E842)*F842))</f>
        <v/>
      </c>
      <c r="I842" s="46" t="str">
        <f aca="false">IF($A842="","",SUMIF($A$2:$A$5001,$A842,$H$2:$H$5001))</f>
        <v/>
      </c>
      <c r="J842" s="47" t="n">
        <f aca="false">IF($A842="",0,IF(COUNTIF($A$2:A842,$A842)=1,1,0))</f>
        <v>0</v>
      </c>
      <c r="K842" s="47" t="n">
        <f aca="false">IF(J842=1,N(I842)+ROW()/10000000,0)</f>
        <v>0</v>
      </c>
      <c r="L842" s="47" t="str">
        <f aca="false">IF(AND(J842=1,N(I842)&gt;0),SUMIF($K$2:$K$5001,"&gt;="&amp;K842,$I$2:$I$5001)/MAX(1,SUM($H$2:$H$5001)),"")</f>
        <v/>
      </c>
      <c r="M842" s="47" t="str">
        <f aca="false">IF($A842="","",INDEX($L$2:$L$5001,MATCH($A842,$A$2:$A$5001,0)))</f>
        <v/>
      </c>
      <c r="N842" s="48" t="str">
        <f aca="false">IF($A842="","",IF(N(M842)=0,"–",IF(M842&lt;=Start!$D$20,"A",IF(M842&lt;=Start!$D$21,"B","C"))))</f>
        <v/>
      </c>
      <c r="O842" s="48" t="str">
        <f aca="false">IF($A842="","",IF(NOT(ISNUMBER(F842)),"Wert fehlt; ",IF(F842&lt;=0,"Wert ist 0; ",""))&amp;IF(NOT(ISNUMBER(E842)),"Bestand fehlt; ",IF(E842&lt;0,"Bestand negativ; ",IF(E842=0,"Nullbestand; ","")))&amp;IF(D842="","Warengruppe fehlt; ","")&amp;IF(B842="","Bezeichnung fehlt; ","")&amp;IF(COUNTIFS($A$2:$A$5001,$A842,$C$2:$C$5001,C842)&gt;1,"Artikel doppelt im selben Lager; ",""))</f>
        <v/>
      </c>
      <c r="P842" s="47" t="n">
        <f aca="false">IF(OR($A842="",D842=""),0,IF(COUNTIF($D$2:D842,D842)=1,SUMIF($D$2:$D$5001,D842,$H$2:$H$5001)+ROW()/10000000,0))</f>
        <v>0</v>
      </c>
      <c r="Q842" s="47" t="n">
        <f aca="false">IF(OR($A842="",C842=""),0,IF(COUNTIF($C$2:C842,C842)=1,SUMIF($C$2:$C$5001,C842,$H$2:$H$5001)+ROW()/10000000,0))</f>
        <v>0</v>
      </c>
    </row>
    <row r="843" customFormat="false" ht="15" hidden="false" customHeight="false" outlineLevel="0" collapsed="false">
      <c r="A843" s="43"/>
      <c r="B843" s="44"/>
      <c r="C843" s="44"/>
      <c r="D843" s="44"/>
      <c r="E843" s="44"/>
      <c r="F843" s="44"/>
      <c r="G843" s="44"/>
      <c r="H843" s="46" t="str">
        <f aca="false">IF($A843="","",IF(OR(NOT(ISNUMBER(E843)),NOT(ISNUMBER(F843))),"",MAX(0,E843)*F843))</f>
        <v/>
      </c>
      <c r="I843" s="46" t="str">
        <f aca="false">IF($A843="","",SUMIF($A$2:$A$5001,$A843,$H$2:$H$5001))</f>
        <v/>
      </c>
      <c r="J843" s="47" t="n">
        <f aca="false">IF($A843="",0,IF(COUNTIF($A$2:A843,$A843)=1,1,0))</f>
        <v>0</v>
      </c>
      <c r="K843" s="47" t="n">
        <f aca="false">IF(J843=1,N(I843)+ROW()/10000000,0)</f>
        <v>0</v>
      </c>
      <c r="L843" s="47" t="str">
        <f aca="false">IF(AND(J843=1,N(I843)&gt;0),SUMIF($K$2:$K$5001,"&gt;="&amp;K843,$I$2:$I$5001)/MAX(1,SUM($H$2:$H$5001)),"")</f>
        <v/>
      </c>
      <c r="M843" s="47" t="str">
        <f aca="false">IF($A843="","",INDEX($L$2:$L$5001,MATCH($A843,$A$2:$A$5001,0)))</f>
        <v/>
      </c>
      <c r="N843" s="48" t="str">
        <f aca="false">IF($A843="","",IF(N(M843)=0,"–",IF(M843&lt;=Start!$D$20,"A",IF(M843&lt;=Start!$D$21,"B","C"))))</f>
        <v/>
      </c>
      <c r="O843" s="48" t="str">
        <f aca="false">IF($A843="","",IF(NOT(ISNUMBER(F843)),"Wert fehlt; ",IF(F843&lt;=0,"Wert ist 0; ",""))&amp;IF(NOT(ISNUMBER(E843)),"Bestand fehlt; ",IF(E843&lt;0,"Bestand negativ; ",IF(E843=0,"Nullbestand; ","")))&amp;IF(D843="","Warengruppe fehlt; ","")&amp;IF(B843="","Bezeichnung fehlt; ","")&amp;IF(COUNTIFS($A$2:$A$5001,$A843,$C$2:$C$5001,C843)&gt;1,"Artikel doppelt im selben Lager; ",""))</f>
        <v/>
      </c>
      <c r="P843" s="47" t="n">
        <f aca="false">IF(OR($A843="",D843=""),0,IF(COUNTIF($D$2:D843,D843)=1,SUMIF($D$2:$D$5001,D843,$H$2:$H$5001)+ROW()/10000000,0))</f>
        <v>0</v>
      </c>
      <c r="Q843" s="47" t="n">
        <f aca="false">IF(OR($A843="",C843=""),0,IF(COUNTIF($C$2:C843,C843)=1,SUMIF($C$2:$C$5001,C843,$H$2:$H$5001)+ROW()/10000000,0))</f>
        <v>0</v>
      </c>
    </row>
    <row r="844" customFormat="false" ht="15" hidden="false" customHeight="false" outlineLevel="0" collapsed="false">
      <c r="A844" s="43"/>
      <c r="B844" s="44"/>
      <c r="C844" s="44"/>
      <c r="D844" s="44"/>
      <c r="E844" s="44"/>
      <c r="F844" s="44"/>
      <c r="G844" s="44"/>
      <c r="H844" s="46" t="str">
        <f aca="false">IF($A844="","",IF(OR(NOT(ISNUMBER(E844)),NOT(ISNUMBER(F844))),"",MAX(0,E844)*F844))</f>
        <v/>
      </c>
      <c r="I844" s="46" t="str">
        <f aca="false">IF($A844="","",SUMIF($A$2:$A$5001,$A844,$H$2:$H$5001))</f>
        <v/>
      </c>
      <c r="J844" s="47" t="n">
        <f aca="false">IF($A844="",0,IF(COUNTIF($A$2:A844,$A844)=1,1,0))</f>
        <v>0</v>
      </c>
      <c r="K844" s="47" t="n">
        <f aca="false">IF(J844=1,N(I844)+ROW()/10000000,0)</f>
        <v>0</v>
      </c>
      <c r="L844" s="47" t="str">
        <f aca="false">IF(AND(J844=1,N(I844)&gt;0),SUMIF($K$2:$K$5001,"&gt;="&amp;K844,$I$2:$I$5001)/MAX(1,SUM($H$2:$H$5001)),"")</f>
        <v/>
      </c>
      <c r="M844" s="47" t="str">
        <f aca="false">IF($A844="","",INDEX($L$2:$L$5001,MATCH($A844,$A$2:$A$5001,0)))</f>
        <v/>
      </c>
      <c r="N844" s="48" t="str">
        <f aca="false">IF($A844="","",IF(N(M844)=0,"–",IF(M844&lt;=Start!$D$20,"A",IF(M844&lt;=Start!$D$21,"B","C"))))</f>
        <v/>
      </c>
      <c r="O844" s="48" t="str">
        <f aca="false">IF($A844="","",IF(NOT(ISNUMBER(F844)),"Wert fehlt; ",IF(F844&lt;=0,"Wert ist 0; ",""))&amp;IF(NOT(ISNUMBER(E844)),"Bestand fehlt; ",IF(E844&lt;0,"Bestand negativ; ",IF(E844=0,"Nullbestand; ","")))&amp;IF(D844="","Warengruppe fehlt; ","")&amp;IF(B844="","Bezeichnung fehlt; ","")&amp;IF(COUNTIFS($A$2:$A$5001,$A844,$C$2:$C$5001,C844)&gt;1,"Artikel doppelt im selben Lager; ",""))</f>
        <v/>
      </c>
      <c r="P844" s="47" t="n">
        <f aca="false">IF(OR($A844="",D844=""),0,IF(COUNTIF($D$2:D844,D844)=1,SUMIF($D$2:$D$5001,D844,$H$2:$H$5001)+ROW()/10000000,0))</f>
        <v>0</v>
      </c>
      <c r="Q844" s="47" t="n">
        <f aca="false">IF(OR($A844="",C844=""),0,IF(COUNTIF($C$2:C844,C844)=1,SUMIF($C$2:$C$5001,C844,$H$2:$H$5001)+ROW()/10000000,0))</f>
        <v>0</v>
      </c>
    </row>
    <row r="845" customFormat="false" ht="15" hidden="false" customHeight="false" outlineLevel="0" collapsed="false">
      <c r="A845" s="43"/>
      <c r="B845" s="44"/>
      <c r="C845" s="44"/>
      <c r="D845" s="44"/>
      <c r="E845" s="44"/>
      <c r="F845" s="44"/>
      <c r="G845" s="44"/>
      <c r="H845" s="46" t="str">
        <f aca="false">IF($A845="","",IF(OR(NOT(ISNUMBER(E845)),NOT(ISNUMBER(F845))),"",MAX(0,E845)*F845))</f>
        <v/>
      </c>
      <c r="I845" s="46" t="str">
        <f aca="false">IF($A845="","",SUMIF($A$2:$A$5001,$A845,$H$2:$H$5001))</f>
        <v/>
      </c>
      <c r="J845" s="47" t="n">
        <f aca="false">IF($A845="",0,IF(COUNTIF($A$2:A845,$A845)=1,1,0))</f>
        <v>0</v>
      </c>
      <c r="K845" s="47" t="n">
        <f aca="false">IF(J845=1,N(I845)+ROW()/10000000,0)</f>
        <v>0</v>
      </c>
      <c r="L845" s="47" t="str">
        <f aca="false">IF(AND(J845=1,N(I845)&gt;0),SUMIF($K$2:$K$5001,"&gt;="&amp;K845,$I$2:$I$5001)/MAX(1,SUM($H$2:$H$5001)),"")</f>
        <v/>
      </c>
      <c r="M845" s="47" t="str">
        <f aca="false">IF($A845="","",INDEX($L$2:$L$5001,MATCH($A845,$A$2:$A$5001,0)))</f>
        <v/>
      </c>
      <c r="N845" s="48" t="str">
        <f aca="false">IF($A845="","",IF(N(M845)=0,"–",IF(M845&lt;=Start!$D$20,"A",IF(M845&lt;=Start!$D$21,"B","C"))))</f>
        <v/>
      </c>
      <c r="O845" s="48" t="str">
        <f aca="false">IF($A845="","",IF(NOT(ISNUMBER(F845)),"Wert fehlt; ",IF(F845&lt;=0,"Wert ist 0; ",""))&amp;IF(NOT(ISNUMBER(E845)),"Bestand fehlt; ",IF(E845&lt;0,"Bestand negativ; ",IF(E845=0,"Nullbestand; ","")))&amp;IF(D845="","Warengruppe fehlt; ","")&amp;IF(B845="","Bezeichnung fehlt; ","")&amp;IF(COUNTIFS($A$2:$A$5001,$A845,$C$2:$C$5001,C845)&gt;1,"Artikel doppelt im selben Lager; ",""))</f>
        <v/>
      </c>
      <c r="P845" s="47" t="n">
        <f aca="false">IF(OR($A845="",D845=""),0,IF(COUNTIF($D$2:D845,D845)=1,SUMIF($D$2:$D$5001,D845,$H$2:$H$5001)+ROW()/10000000,0))</f>
        <v>0</v>
      </c>
      <c r="Q845" s="47" t="n">
        <f aca="false">IF(OR($A845="",C845=""),0,IF(COUNTIF($C$2:C845,C845)=1,SUMIF($C$2:$C$5001,C845,$H$2:$H$5001)+ROW()/10000000,0))</f>
        <v>0</v>
      </c>
    </row>
    <row r="846" customFormat="false" ht="15" hidden="false" customHeight="false" outlineLevel="0" collapsed="false">
      <c r="A846" s="43"/>
      <c r="B846" s="44"/>
      <c r="C846" s="44"/>
      <c r="D846" s="44"/>
      <c r="E846" s="44"/>
      <c r="F846" s="44"/>
      <c r="G846" s="44"/>
      <c r="H846" s="46" t="str">
        <f aca="false">IF($A846="","",IF(OR(NOT(ISNUMBER(E846)),NOT(ISNUMBER(F846))),"",MAX(0,E846)*F846))</f>
        <v/>
      </c>
      <c r="I846" s="46" t="str">
        <f aca="false">IF($A846="","",SUMIF($A$2:$A$5001,$A846,$H$2:$H$5001))</f>
        <v/>
      </c>
      <c r="J846" s="47" t="n">
        <f aca="false">IF($A846="",0,IF(COUNTIF($A$2:A846,$A846)=1,1,0))</f>
        <v>0</v>
      </c>
      <c r="K846" s="47" t="n">
        <f aca="false">IF(J846=1,N(I846)+ROW()/10000000,0)</f>
        <v>0</v>
      </c>
      <c r="L846" s="47" t="str">
        <f aca="false">IF(AND(J846=1,N(I846)&gt;0),SUMIF($K$2:$K$5001,"&gt;="&amp;K846,$I$2:$I$5001)/MAX(1,SUM($H$2:$H$5001)),"")</f>
        <v/>
      </c>
      <c r="M846" s="47" t="str">
        <f aca="false">IF($A846="","",INDEX($L$2:$L$5001,MATCH($A846,$A$2:$A$5001,0)))</f>
        <v/>
      </c>
      <c r="N846" s="48" t="str">
        <f aca="false">IF($A846="","",IF(N(M846)=0,"–",IF(M846&lt;=Start!$D$20,"A",IF(M846&lt;=Start!$D$21,"B","C"))))</f>
        <v/>
      </c>
      <c r="O846" s="48" t="str">
        <f aca="false">IF($A846="","",IF(NOT(ISNUMBER(F846)),"Wert fehlt; ",IF(F846&lt;=0,"Wert ist 0; ",""))&amp;IF(NOT(ISNUMBER(E846)),"Bestand fehlt; ",IF(E846&lt;0,"Bestand negativ; ",IF(E846=0,"Nullbestand; ","")))&amp;IF(D846="","Warengruppe fehlt; ","")&amp;IF(B846="","Bezeichnung fehlt; ","")&amp;IF(COUNTIFS($A$2:$A$5001,$A846,$C$2:$C$5001,C846)&gt;1,"Artikel doppelt im selben Lager; ",""))</f>
        <v/>
      </c>
      <c r="P846" s="47" t="n">
        <f aca="false">IF(OR($A846="",D846=""),0,IF(COUNTIF($D$2:D846,D846)=1,SUMIF($D$2:$D$5001,D846,$H$2:$H$5001)+ROW()/10000000,0))</f>
        <v>0</v>
      </c>
      <c r="Q846" s="47" t="n">
        <f aca="false">IF(OR($A846="",C846=""),0,IF(COUNTIF($C$2:C846,C846)=1,SUMIF($C$2:$C$5001,C846,$H$2:$H$5001)+ROW()/10000000,0))</f>
        <v>0</v>
      </c>
    </row>
    <row r="847" customFormat="false" ht="15" hidden="false" customHeight="false" outlineLevel="0" collapsed="false">
      <c r="A847" s="43"/>
      <c r="B847" s="44"/>
      <c r="C847" s="44"/>
      <c r="D847" s="44"/>
      <c r="E847" s="44"/>
      <c r="F847" s="44"/>
      <c r="G847" s="44"/>
      <c r="H847" s="46" t="str">
        <f aca="false">IF($A847="","",IF(OR(NOT(ISNUMBER(E847)),NOT(ISNUMBER(F847))),"",MAX(0,E847)*F847))</f>
        <v/>
      </c>
      <c r="I847" s="46" t="str">
        <f aca="false">IF($A847="","",SUMIF($A$2:$A$5001,$A847,$H$2:$H$5001))</f>
        <v/>
      </c>
      <c r="J847" s="47" t="n">
        <f aca="false">IF($A847="",0,IF(COUNTIF($A$2:A847,$A847)=1,1,0))</f>
        <v>0</v>
      </c>
      <c r="K847" s="47" t="n">
        <f aca="false">IF(J847=1,N(I847)+ROW()/10000000,0)</f>
        <v>0</v>
      </c>
      <c r="L847" s="47" t="str">
        <f aca="false">IF(AND(J847=1,N(I847)&gt;0),SUMIF($K$2:$K$5001,"&gt;="&amp;K847,$I$2:$I$5001)/MAX(1,SUM($H$2:$H$5001)),"")</f>
        <v/>
      </c>
      <c r="M847" s="47" t="str">
        <f aca="false">IF($A847="","",INDEX($L$2:$L$5001,MATCH($A847,$A$2:$A$5001,0)))</f>
        <v/>
      </c>
      <c r="N847" s="48" t="str">
        <f aca="false">IF($A847="","",IF(N(M847)=0,"–",IF(M847&lt;=Start!$D$20,"A",IF(M847&lt;=Start!$D$21,"B","C"))))</f>
        <v/>
      </c>
      <c r="O847" s="48" t="str">
        <f aca="false">IF($A847="","",IF(NOT(ISNUMBER(F847)),"Wert fehlt; ",IF(F847&lt;=0,"Wert ist 0; ",""))&amp;IF(NOT(ISNUMBER(E847)),"Bestand fehlt; ",IF(E847&lt;0,"Bestand negativ; ",IF(E847=0,"Nullbestand; ","")))&amp;IF(D847="","Warengruppe fehlt; ","")&amp;IF(B847="","Bezeichnung fehlt; ","")&amp;IF(COUNTIFS($A$2:$A$5001,$A847,$C$2:$C$5001,C847)&gt;1,"Artikel doppelt im selben Lager; ",""))</f>
        <v/>
      </c>
      <c r="P847" s="47" t="n">
        <f aca="false">IF(OR($A847="",D847=""),0,IF(COUNTIF($D$2:D847,D847)=1,SUMIF($D$2:$D$5001,D847,$H$2:$H$5001)+ROW()/10000000,0))</f>
        <v>0</v>
      </c>
      <c r="Q847" s="47" t="n">
        <f aca="false">IF(OR($A847="",C847=""),0,IF(COUNTIF($C$2:C847,C847)=1,SUMIF($C$2:$C$5001,C847,$H$2:$H$5001)+ROW()/10000000,0))</f>
        <v>0</v>
      </c>
    </row>
    <row r="848" customFormat="false" ht="15" hidden="false" customHeight="false" outlineLevel="0" collapsed="false">
      <c r="A848" s="43"/>
      <c r="B848" s="44"/>
      <c r="C848" s="44"/>
      <c r="D848" s="44"/>
      <c r="E848" s="44"/>
      <c r="F848" s="44"/>
      <c r="G848" s="44"/>
      <c r="H848" s="46" t="str">
        <f aca="false">IF($A848="","",IF(OR(NOT(ISNUMBER(E848)),NOT(ISNUMBER(F848))),"",MAX(0,E848)*F848))</f>
        <v/>
      </c>
      <c r="I848" s="46" t="str">
        <f aca="false">IF($A848="","",SUMIF($A$2:$A$5001,$A848,$H$2:$H$5001))</f>
        <v/>
      </c>
      <c r="J848" s="47" t="n">
        <f aca="false">IF($A848="",0,IF(COUNTIF($A$2:A848,$A848)=1,1,0))</f>
        <v>0</v>
      </c>
      <c r="K848" s="47" t="n">
        <f aca="false">IF(J848=1,N(I848)+ROW()/10000000,0)</f>
        <v>0</v>
      </c>
      <c r="L848" s="47" t="str">
        <f aca="false">IF(AND(J848=1,N(I848)&gt;0),SUMIF($K$2:$K$5001,"&gt;="&amp;K848,$I$2:$I$5001)/MAX(1,SUM($H$2:$H$5001)),"")</f>
        <v/>
      </c>
      <c r="M848" s="47" t="str">
        <f aca="false">IF($A848="","",INDEX($L$2:$L$5001,MATCH($A848,$A$2:$A$5001,0)))</f>
        <v/>
      </c>
      <c r="N848" s="48" t="str">
        <f aca="false">IF($A848="","",IF(N(M848)=0,"–",IF(M848&lt;=Start!$D$20,"A",IF(M848&lt;=Start!$D$21,"B","C"))))</f>
        <v/>
      </c>
      <c r="O848" s="48" t="str">
        <f aca="false">IF($A848="","",IF(NOT(ISNUMBER(F848)),"Wert fehlt; ",IF(F848&lt;=0,"Wert ist 0; ",""))&amp;IF(NOT(ISNUMBER(E848)),"Bestand fehlt; ",IF(E848&lt;0,"Bestand negativ; ",IF(E848=0,"Nullbestand; ","")))&amp;IF(D848="","Warengruppe fehlt; ","")&amp;IF(B848="","Bezeichnung fehlt; ","")&amp;IF(COUNTIFS($A$2:$A$5001,$A848,$C$2:$C$5001,C848)&gt;1,"Artikel doppelt im selben Lager; ",""))</f>
        <v/>
      </c>
      <c r="P848" s="47" t="n">
        <f aca="false">IF(OR($A848="",D848=""),0,IF(COUNTIF($D$2:D848,D848)=1,SUMIF($D$2:$D$5001,D848,$H$2:$H$5001)+ROW()/10000000,0))</f>
        <v>0</v>
      </c>
      <c r="Q848" s="47" t="n">
        <f aca="false">IF(OR($A848="",C848=""),0,IF(COUNTIF($C$2:C848,C848)=1,SUMIF($C$2:$C$5001,C848,$H$2:$H$5001)+ROW()/10000000,0))</f>
        <v>0</v>
      </c>
    </row>
    <row r="849" customFormat="false" ht="15" hidden="false" customHeight="false" outlineLevel="0" collapsed="false">
      <c r="A849" s="43"/>
      <c r="B849" s="44"/>
      <c r="C849" s="44"/>
      <c r="D849" s="44"/>
      <c r="E849" s="44"/>
      <c r="F849" s="44"/>
      <c r="G849" s="44"/>
      <c r="H849" s="46" t="str">
        <f aca="false">IF($A849="","",IF(OR(NOT(ISNUMBER(E849)),NOT(ISNUMBER(F849))),"",MAX(0,E849)*F849))</f>
        <v/>
      </c>
      <c r="I849" s="46" t="str">
        <f aca="false">IF($A849="","",SUMIF($A$2:$A$5001,$A849,$H$2:$H$5001))</f>
        <v/>
      </c>
      <c r="J849" s="47" t="n">
        <f aca="false">IF($A849="",0,IF(COUNTIF($A$2:A849,$A849)=1,1,0))</f>
        <v>0</v>
      </c>
      <c r="K849" s="47" t="n">
        <f aca="false">IF(J849=1,N(I849)+ROW()/10000000,0)</f>
        <v>0</v>
      </c>
      <c r="L849" s="47" t="str">
        <f aca="false">IF(AND(J849=1,N(I849)&gt;0),SUMIF($K$2:$K$5001,"&gt;="&amp;K849,$I$2:$I$5001)/MAX(1,SUM($H$2:$H$5001)),"")</f>
        <v/>
      </c>
      <c r="M849" s="47" t="str">
        <f aca="false">IF($A849="","",INDEX($L$2:$L$5001,MATCH($A849,$A$2:$A$5001,0)))</f>
        <v/>
      </c>
      <c r="N849" s="48" t="str">
        <f aca="false">IF($A849="","",IF(N(M849)=0,"–",IF(M849&lt;=Start!$D$20,"A",IF(M849&lt;=Start!$D$21,"B","C"))))</f>
        <v/>
      </c>
      <c r="O849" s="48" t="str">
        <f aca="false">IF($A849="","",IF(NOT(ISNUMBER(F849)),"Wert fehlt; ",IF(F849&lt;=0,"Wert ist 0; ",""))&amp;IF(NOT(ISNUMBER(E849)),"Bestand fehlt; ",IF(E849&lt;0,"Bestand negativ; ",IF(E849=0,"Nullbestand; ","")))&amp;IF(D849="","Warengruppe fehlt; ","")&amp;IF(B849="","Bezeichnung fehlt; ","")&amp;IF(COUNTIFS($A$2:$A$5001,$A849,$C$2:$C$5001,C849)&gt;1,"Artikel doppelt im selben Lager; ",""))</f>
        <v/>
      </c>
      <c r="P849" s="47" t="n">
        <f aca="false">IF(OR($A849="",D849=""),0,IF(COUNTIF($D$2:D849,D849)=1,SUMIF($D$2:$D$5001,D849,$H$2:$H$5001)+ROW()/10000000,0))</f>
        <v>0</v>
      </c>
      <c r="Q849" s="47" t="n">
        <f aca="false">IF(OR($A849="",C849=""),0,IF(COUNTIF($C$2:C849,C849)=1,SUMIF($C$2:$C$5001,C849,$H$2:$H$5001)+ROW()/10000000,0))</f>
        <v>0</v>
      </c>
    </row>
    <row r="850" customFormat="false" ht="15" hidden="false" customHeight="false" outlineLevel="0" collapsed="false">
      <c r="A850" s="43"/>
      <c r="B850" s="44"/>
      <c r="C850" s="44"/>
      <c r="D850" s="44"/>
      <c r="E850" s="44"/>
      <c r="F850" s="44"/>
      <c r="G850" s="44"/>
      <c r="H850" s="46" t="str">
        <f aca="false">IF($A850="","",IF(OR(NOT(ISNUMBER(E850)),NOT(ISNUMBER(F850))),"",MAX(0,E850)*F850))</f>
        <v/>
      </c>
      <c r="I850" s="46" t="str">
        <f aca="false">IF($A850="","",SUMIF($A$2:$A$5001,$A850,$H$2:$H$5001))</f>
        <v/>
      </c>
      <c r="J850" s="47" t="n">
        <f aca="false">IF($A850="",0,IF(COUNTIF($A$2:A850,$A850)=1,1,0))</f>
        <v>0</v>
      </c>
      <c r="K850" s="47" t="n">
        <f aca="false">IF(J850=1,N(I850)+ROW()/10000000,0)</f>
        <v>0</v>
      </c>
      <c r="L850" s="47" t="str">
        <f aca="false">IF(AND(J850=1,N(I850)&gt;0),SUMIF($K$2:$K$5001,"&gt;="&amp;K850,$I$2:$I$5001)/MAX(1,SUM($H$2:$H$5001)),"")</f>
        <v/>
      </c>
      <c r="M850" s="47" t="str">
        <f aca="false">IF($A850="","",INDEX($L$2:$L$5001,MATCH($A850,$A$2:$A$5001,0)))</f>
        <v/>
      </c>
      <c r="N850" s="48" t="str">
        <f aca="false">IF($A850="","",IF(N(M850)=0,"–",IF(M850&lt;=Start!$D$20,"A",IF(M850&lt;=Start!$D$21,"B","C"))))</f>
        <v/>
      </c>
      <c r="O850" s="48" t="str">
        <f aca="false">IF($A850="","",IF(NOT(ISNUMBER(F850)),"Wert fehlt; ",IF(F850&lt;=0,"Wert ist 0; ",""))&amp;IF(NOT(ISNUMBER(E850)),"Bestand fehlt; ",IF(E850&lt;0,"Bestand negativ; ",IF(E850=0,"Nullbestand; ","")))&amp;IF(D850="","Warengruppe fehlt; ","")&amp;IF(B850="","Bezeichnung fehlt; ","")&amp;IF(COUNTIFS($A$2:$A$5001,$A850,$C$2:$C$5001,C850)&gt;1,"Artikel doppelt im selben Lager; ",""))</f>
        <v/>
      </c>
      <c r="P850" s="47" t="n">
        <f aca="false">IF(OR($A850="",D850=""),0,IF(COUNTIF($D$2:D850,D850)=1,SUMIF($D$2:$D$5001,D850,$H$2:$H$5001)+ROW()/10000000,0))</f>
        <v>0</v>
      </c>
      <c r="Q850" s="47" t="n">
        <f aca="false">IF(OR($A850="",C850=""),0,IF(COUNTIF($C$2:C850,C850)=1,SUMIF($C$2:$C$5001,C850,$H$2:$H$5001)+ROW()/10000000,0))</f>
        <v>0</v>
      </c>
    </row>
    <row r="851" customFormat="false" ht="15" hidden="false" customHeight="false" outlineLevel="0" collapsed="false">
      <c r="A851" s="43"/>
      <c r="B851" s="44"/>
      <c r="C851" s="44"/>
      <c r="D851" s="44"/>
      <c r="E851" s="44"/>
      <c r="F851" s="44"/>
      <c r="G851" s="44"/>
      <c r="H851" s="46" t="str">
        <f aca="false">IF($A851="","",IF(OR(NOT(ISNUMBER(E851)),NOT(ISNUMBER(F851))),"",MAX(0,E851)*F851))</f>
        <v/>
      </c>
      <c r="I851" s="46" t="str">
        <f aca="false">IF($A851="","",SUMIF($A$2:$A$5001,$A851,$H$2:$H$5001))</f>
        <v/>
      </c>
      <c r="J851" s="47" t="n">
        <f aca="false">IF($A851="",0,IF(COUNTIF($A$2:A851,$A851)=1,1,0))</f>
        <v>0</v>
      </c>
      <c r="K851" s="47" t="n">
        <f aca="false">IF(J851=1,N(I851)+ROW()/10000000,0)</f>
        <v>0</v>
      </c>
      <c r="L851" s="47" t="str">
        <f aca="false">IF(AND(J851=1,N(I851)&gt;0),SUMIF($K$2:$K$5001,"&gt;="&amp;K851,$I$2:$I$5001)/MAX(1,SUM($H$2:$H$5001)),"")</f>
        <v/>
      </c>
      <c r="M851" s="47" t="str">
        <f aca="false">IF($A851="","",INDEX($L$2:$L$5001,MATCH($A851,$A$2:$A$5001,0)))</f>
        <v/>
      </c>
      <c r="N851" s="48" t="str">
        <f aca="false">IF($A851="","",IF(N(M851)=0,"–",IF(M851&lt;=Start!$D$20,"A",IF(M851&lt;=Start!$D$21,"B","C"))))</f>
        <v/>
      </c>
      <c r="O851" s="48" t="str">
        <f aca="false">IF($A851="","",IF(NOT(ISNUMBER(F851)),"Wert fehlt; ",IF(F851&lt;=0,"Wert ist 0; ",""))&amp;IF(NOT(ISNUMBER(E851)),"Bestand fehlt; ",IF(E851&lt;0,"Bestand negativ; ",IF(E851=0,"Nullbestand; ","")))&amp;IF(D851="","Warengruppe fehlt; ","")&amp;IF(B851="","Bezeichnung fehlt; ","")&amp;IF(COUNTIFS($A$2:$A$5001,$A851,$C$2:$C$5001,C851)&gt;1,"Artikel doppelt im selben Lager; ",""))</f>
        <v/>
      </c>
      <c r="P851" s="47" t="n">
        <f aca="false">IF(OR($A851="",D851=""),0,IF(COUNTIF($D$2:D851,D851)=1,SUMIF($D$2:$D$5001,D851,$H$2:$H$5001)+ROW()/10000000,0))</f>
        <v>0</v>
      </c>
      <c r="Q851" s="47" t="n">
        <f aca="false">IF(OR($A851="",C851=""),0,IF(COUNTIF($C$2:C851,C851)=1,SUMIF($C$2:$C$5001,C851,$H$2:$H$5001)+ROW()/10000000,0))</f>
        <v>0</v>
      </c>
    </row>
    <row r="852" customFormat="false" ht="15" hidden="false" customHeight="false" outlineLevel="0" collapsed="false">
      <c r="A852" s="43"/>
      <c r="B852" s="44"/>
      <c r="C852" s="44"/>
      <c r="D852" s="44"/>
      <c r="E852" s="44"/>
      <c r="F852" s="44"/>
      <c r="G852" s="44"/>
      <c r="H852" s="46" t="str">
        <f aca="false">IF($A852="","",IF(OR(NOT(ISNUMBER(E852)),NOT(ISNUMBER(F852))),"",MAX(0,E852)*F852))</f>
        <v/>
      </c>
      <c r="I852" s="46" t="str">
        <f aca="false">IF($A852="","",SUMIF($A$2:$A$5001,$A852,$H$2:$H$5001))</f>
        <v/>
      </c>
      <c r="J852" s="47" t="n">
        <f aca="false">IF($A852="",0,IF(COUNTIF($A$2:A852,$A852)=1,1,0))</f>
        <v>0</v>
      </c>
      <c r="K852" s="47" t="n">
        <f aca="false">IF(J852=1,N(I852)+ROW()/10000000,0)</f>
        <v>0</v>
      </c>
      <c r="L852" s="47" t="str">
        <f aca="false">IF(AND(J852=1,N(I852)&gt;0),SUMIF($K$2:$K$5001,"&gt;="&amp;K852,$I$2:$I$5001)/MAX(1,SUM($H$2:$H$5001)),"")</f>
        <v/>
      </c>
      <c r="M852" s="47" t="str">
        <f aca="false">IF($A852="","",INDEX($L$2:$L$5001,MATCH($A852,$A$2:$A$5001,0)))</f>
        <v/>
      </c>
      <c r="N852" s="48" t="str">
        <f aca="false">IF($A852="","",IF(N(M852)=0,"–",IF(M852&lt;=Start!$D$20,"A",IF(M852&lt;=Start!$D$21,"B","C"))))</f>
        <v/>
      </c>
      <c r="O852" s="48" t="str">
        <f aca="false">IF($A852="","",IF(NOT(ISNUMBER(F852)),"Wert fehlt; ",IF(F852&lt;=0,"Wert ist 0; ",""))&amp;IF(NOT(ISNUMBER(E852)),"Bestand fehlt; ",IF(E852&lt;0,"Bestand negativ; ",IF(E852=0,"Nullbestand; ","")))&amp;IF(D852="","Warengruppe fehlt; ","")&amp;IF(B852="","Bezeichnung fehlt; ","")&amp;IF(COUNTIFS($A$2:$A$5001,$A852,$C$2:$C$5001,C852)&gt;1,"Artikel doppelt im selben Lager; ",""))</f>
        <v/>
      </c>
      <c r="P852" s="47" t="n">
        <f aca="false">IF(OR($A852="",D852=""),0,IF(COUNTIF($D$2:D852,D852)=1,SUMIF($D$2:$D$5001,D852,$H$2:$H$5001)+ROW()/10000000,0))</f>
        <v>0</v>
      </c>
      <c r="Q852" s="47" t="n">
        <f aca="false">IF(OR($A852="",C852=""),0,IF(COUNTIF($C$2:C852,C852)=1,SUMIF($C$2:$C$5001,C852,$H$2:$H$5001)+ROW()/10000000,0))</f>
        <v>0</v>
      </c>
    </row>
    <row r="853" customFormat="false" ht="15" hidden="false" customHeight="false" outlineLevel="0" collapsed="false">
      <c r="A853" s="43"/>
      <c r="B853" s="44"/>
      <c r="C853" s="44"/>
      <c r="D853" s="44"/>
      <c r="E853" s="44"/>
      <c r="F853" s="44"/>
      <c r="G853" s="44"/>
      <c r="H853" s="46" t="str">
        <f aca="false">IF($A853="","",IF(OR(NOT(ISNUMBER(E853)),NOT(ISNUMBER(F853))),"",MAX(0,E853)*F853))</f>
        <v/>
      </c>
      <c r="I853" s="46" t="str">
        <f aca="false">IF($A853="","",SUMIF($A$2:$A$5001,$A853,$H$2:$H$5001))</f>
        <v/>
      </c>
      <c r="J853" s="47" t="n">
        <f aca="false">IF($A853="",0,IF(COUNTIF($A$2:A853,$A853)=1,1,0))</f>
        <v>0</v>
      </c>
      <c r="K853" s="47" t="n">
        <f aca="false">IF(J853=1,N(I853)+ROW()/10000000,0)</f>
        <v>0</v>
      </c>
      <c r="L853" s="47" t="str">
        <f aca="false">IF(AND(J853=1,N(I853)&gt;0),SUMIF($K$2:$K$5001,"&gt;="&amp;K853,$I$2:$I$5001)/MAX(1,SUM($H$2:$H$5001)),"")</f>
        <v/>
      </c>
      <c r="M853" s="47" t="str">
        <f aca="false">IF($A853="","",INDEX($L$2:$L$5001,MATCH($A853,$A$2:$A$5001,0)))</f>
        <v/>
      </c>
      <c r="N853" s="48" t="str">
        <f aca="false">IF($A853="","",IF(N(M853)=0,"–",IF(M853&lt;=Start!$D$20,"A",IF(M853&lt;=Start!$D$21,"B","C"))))</f>
        <v/>
      </c>
      <c r="O853" s="48" t="str">
        <f aca="false">IF($A853="","",IF(NOT(ISNUMBER(F853)),"Wert fehlt; ",IF(F853&lt;=0,"Wert ist 0; ",""))&amp;IF(NOT(ISNUMBER(E853)),"Bestand fehlt; ",IF(E853&lt;0,"Bestand negativ; ",IF(E853=0,"Nullbestand; ","")))&amp;IF(D853="","Warengruppe fehlt; ","")&amp;IF(B853="","Bezeichnung fehlt; ","")&amp;IF(COUNTIFS($A$2:$A$5001,$A853,$C$2:$C$5001,C853)&gt;1,"Artikel doppelt im selben Lager; ",""))</f>
        <v/>
      </c>
      <c r="P853" s="47" t="n">
        <f aca="false">IF(OR($A853="",D853=""),0,IF(COUNTIF($D$2:D853,D853)=1,SUMIF($D$2:$D$5001,D853,$H$2:$H$5001)+ROW()/10000000,0))</f>
        <v>0</v>
      </c>
      <c r="Q853" s="47" t="n">
        <f aca="false">IF(OR($A853="",C853=""),0,IF(COUNTIF($C$2:C853,C853)=1,SUMIF($C$2:$C$5001,C853,$H$2:$H$5001)+ROW()/10000000,0))</f>
        <v>0</v>
      </c>
    </row>
    <row r="854" customFormat="false" ht="15" hidden="false" customHeight="false" outlineLevel="0" collapsed="false">
      <c r="A854" s="43"/>
      <c r="B854" s="44"/>
      <c r="C854" s="44"/>
      <c r="D854" s="44"/>
      <c r="E854" s="44"/>
      <c r="F854" s="44"/>
      <c r="G854" s="44"/>
      <c r="H854" s="46" t="str">
        <f aca="false">IF($A854="","",IF(OR(NOT(ISNUMBER(E854)),NOT(ISNUMBER(F854))),"",MAX(0,E854)*F854))</f>
        <v/>
      </c>
      <c r="I854" s="46" t="str">
        <f aca="false">IF($A854="","",SUMIF($A$2:$A$5001,$A854,$H$2:$H$5001))</f>
        <v/>
      </c>
      <c r="J854" s="47" t="n">
        <f aca="false">IF($A854="",0,IF(COUNTIF($A$2:A854,$A854)=1,1,0))</f>
        <v>0</v>
      </c>
      <c r="K854" s="47" t="n">
        <f aca="false">IF(J854=1,N(I854)+ROW()/10000000,0)</f>
        <v>0</v>
      </c>
      <c r="L854" s="47" t="str">
        <f aca="false">IF(AND(J854=1,N(I854)&gt;0),SUMIF($K$2:$K$5001,"&gt;="&amp;K854,$I$2:$I$5001)/MAX(1,SUM($H$2:$H$5001)),"")</f>
        <v/>
      </c>
      <c r="M854" s="47" t="str">
        <f aca="false">IF($A854="","",INDEX($L$2:$L$5001,MATCH($A854,$A$2:$A$5001,0)))</f>
        <v/>
      </c>
      <c r="N854" s="48" t="str">
        <f aca="false">IF($A854="","",IF(N(M854)=0,"–",IF(M854&lt;=Start!$D$20,"A",IF(M854&lt;=Start!$D$21,"B","C"))))</f>
        <v/>
      </c>
      <c r="O854" s="48" t="str">
        <f aca="false">IF($A854="","",IF(NOT(ISNUMBER(F854)),"Wert fehlt; ",IF(F854&lt;=0,"Wert ist 0; ",""))&amp;IF(NOT(ISNUMBER(E854)),"Bestand fehlt; ",IF(E854&lt;0,"Bestand negativ; ",IF(E854=0,"Nullbestand; ","")))&amp;IF(D854="","Warengruppe fehlt; ","")&amp;IF(B854="","Bezeichnung fehlt; ","")&amp;IF(COUNTIFS($A$2:$A$5001,$A854,$C$2:$C$5001,C854)&gt;1,"Artikel doppelt im selben Lager; ",""))</f>
        <v/>
      </c>
      <c r="P854" s="47" t="n">
        <f aca="false">IF(OR($A854="",D854=""),0,IF(COUNTIF($D$2:D854,D854)=1,SUMIF($D$2:$D$5001,D854,$H$2:$H$5001)+ROW()/10000000,0))</f>
        <v>0</v>
      </c>
      <c r="Q854" s="47" t="n">
        <f aca="false">IF(OR($A854="",C854=""),0,IF(COUNTIF($C$2:C854,C854)=1,SUMIF($C$2:$C$5001,C854,$H$2:$H$5001)+ROW()/10000000,0))</f>
        <v>0</v>
      </c>
    </row>
    <row r="855" customFormat="false" ht="15" hidden="false" customHeight="false" outlineLevel="0" collapsed="false">
      <c r="A855" s="43"/>
      <c r="B855" s="44"/>
      <c r="C855" s="44"/>
      <c r="D855" s="44"/>
      <c r="E855" s="44"/>
      <c r="F855" s="44"/>
      <c r="G855" s="44"/>
      <c r="H855" s="46" t="str">
        <f aca="false">IF($A855="","",IF(OR(NOT(ISNUMBER(E855)),NOT(ISNUMBER(F855))),"",MAX(0,E855)*F855))</f>
        <v/>
      </c>
      <c r="I855" s="46" t="str">
        <f aca="false">IF($A855="","",SUMIF($A$2:$A$5001,$A855,$H$2:$H$5001))</f>
        <v/>
      </c>
      <c r="J855" s="47" t="n">
        <f aca="false">IF($A855="",0,IF(COUNTIF($A$2:A855,$A855)=1,1,0))</f>
        <v>0</v>
      </c>
      <c r="K855" s="47" t="n">
        <f aca="false">IF(J855=1,N(I855)+ROW()/10000000,0)</f>
        <v>0</v>
      </c>
      <c r="L855" s="47" t="str">
        <f aca="false">IF(AND(J855=1,N(I855)&gt;0),SUMIF($K$2:$K$5001,"&gt;="&amp;K855,$I$2:$I$5001)/MAX(1,SUM($H$2:$H$5001)),"")</f>
        <v/>
      </c>
      <c r="M855" s="47" t="str">
        <f aca="false">IF($A855="","",INDEX($L$2:$L$5001,MATCH($A855,$A$2:$A$5001,0)))</f>
        <v/>
      </c>
      <c r="N855" s="48" t="str">
        <f aca="false">IF($A855="","",IF(N(M855)=0,"–",IF(M855&lt;=Start!$D$20,"A",IF(M855&lt;=Start!$D$21,"B","C"))))</f>
        <v/>
      </c>
      <c r="O855" s="48" t="str">
        <f aca="false">IF($A855="","",IF(NOT(ISNUMBER(F855)),"Wert fehlt; ",IF(F855&lt;=0,"Wert ist 0; ",""))&amp;IF(NOT(ISNUMBER(E855)),"Bestand fehlt; ",IF(E855&lt;0,"Bestand negativ; ",IF(E855=0,"Nullbestand; ","")))&amp;IF(D855="","Warengruppe fehlt; ","")&amp;IF(B855="","Bezeichnung fehlt; ","")&amp;IF(COUNTIFS($A$2:$A$5001,$A855,$C$2:$C$5001,C855)&gt;1,"Artikel doppelt im selben Lager; ",""))</f>
        <v/>
      </c>
      <c r="P855" s="47" t="n">
        <f aca="false">IF(OR($A855="",D855=""),0,IF(COUNTIF($D$2:D855,D855)=1,SUMIF($D$2:$D$5001,D855,$H$2:$H$5001)+ROW()/10000000,0))</f>
        <v>0</v>
      </c>
      <c r="Q855" s="47" t="n">
        <f aca="false">IF(OR($A855="",C855=""),0,IF(COUNTIF($C$2:C855,C855)=1,SUMIF($C$2:$C$5001,C855,$H$2:$H$5001)+ROW()/10000000,0))</f>
        <v>0</v>
      </c>
    </row>
    <row r="856" customFormat="false" ht="15" hidden="false" customHeight="false" outlineLevel="0" collapsed="false">
      <c r="A856" s="43"/>
      <c r="B856" s="44"/>
      <c r="C856" s="44"/>
      <c r="D856" s="44"/>
      <c r="E856" s="44"/>
      <c r="F856" s="44"/>
      <c r="G856" s="44"/>
      <c r="H856" s="46" t="str">
        <f aca="false">IF($A856="","",IF(OR(NOT(ISNUMBER(E856)),NOT(ISNUMBER(F856))),"",MAX(0,E856)*F856))</f>
        <v/>
      </c>
      <c r="I856" s="46" t="str">
        <f aca="false">IF($A856="","",SUMIF($A$2:$A$5001,$A856,$H$2:$H$5001))</f>
        <v/>
      </c>
      <c r="J856" s="47" t="n">
        <f aca="false">IF($A856="",0,IF(COUNTIF($A$2:A856,$A856)=1,1,0))</f>
        <v>0</v>
      </c>
      <c r="K856" s="47" t="n">
        <f aca="false">IF(J856=1,N(I856)+ROW()/10000000,0)</f>
        <v>0</v>
      </c>
      <c r="L856" s="47" t="str">
        <f aca="false">IF(AND(J856=1,N(I856)&gt;0),SUMIF($K$2:$K$5001,"&gt;="&amp;K856,$I$2:$I$5001)/MAX(1,SUM($H$2:$H$5001)),"")</f>
        <v/>
      </c>
      <c r="M856" s="47" t="str">
        <f aca="false">IF($A856="","",INDEX($L$2:$L$5001,MATCH($A856,$A$2:$A$5001,0)))</f>
        <v/>
      </c>
      <c r="N856" s="48" t="str">
        <f aca="false">IF($A856="","",IF(N(M856)=0,"–",IF(M856&lt;=Start!$D$20,"A",IF(M856&lt;=Start!$D$21,"B","C"))))</f>
        <v/>
      </c>
      <c r="O856" s="48" t="str">
        <f aca="false">IF($A856="","",IF(NOT(ISNUMBER(F856)),"Wert fehlt; ",IF(F856&lt;=0,"Wert ist 0; ",""))&amp;IF(NOT(ISNUMBER(E856)),"Bestand fehlt; ",IF(E856&lt;0,"Bestand negativ; ",IF(E856=0,"Nullbestand; ","")))&amp;IF(D856="","Warengruppe fehlt; ","")&amp;IF(B856="","Bezeichnung fehlt; ","")&amp;IF(COUNTIFS($A$2:$A$5001,$A856,$C$2:$C$5001,C856)&gt;1,"Artikel doppelt im selben Lager; ",""))</f>
        <v/>
      </c>
      <c r="P856" s="47" t="n">
        <f aca="false">IF(OR($A856="",D856=""),0,IF(COUNTIF($D$2:D856,D856)=1,SUMIF($D$2:$D$5001,D856,$H$2:$H$5001)+ROW()/10000000,0))</f>
        <v>0</v>
      </c>
      <c r="Q856" s="47" t="n">
        <f aca="false">IF(OR($A856="",C856=""),0,IF(COUNTIF($C$2:C856,C856)=1,SUMIF($C$2:$C$5001,C856,$H$2:$H$5001)+ROW()/10000000,0))</f>
        <v>0</v>
      </c>
    </row>
    <row r="857" customFormat="false" ht="15" hidden="false" customHeight="false" outlineLevel="0" collapsed="false">
      <c r="A857" s="43"/>
      <c r="B857" s="44"/>
      <c r="C857" s="44"/>
      <c r="D857" s="44"/>
      <c r="E857" s="44"/>
      <c r="F857" s="44"/>
      <c r="G857" s="44"/>
      <c r="H857" s="46" t="str">
        <f aca="false">IF($A857="","",IF(OR(NOT(ISNUMBER(E857)),NOT(ISNUMBER(F857))),"",MAX(0,E857)*F857))</f>
        <v/>
      </c>
      <c r="I857" s="46" t="str">
        <f aca="false">IF($A857="","",SUMIF($A$2:$A$5001,$A857,$H$2:$H$5001))</f>
        <v/>
      </c>
      <c r="J857" s="47" t="n">
        <f aca="false">IF($A857="",0,IF(COUNTIF($A$2:A857,$A857)=1,1,0))</f>
        <v>0</v>
      </c>
      <c r="K857" s="47" t="n">
        <f aca="false">IF(J857=1,N(I857)+ROW()/10000000,0)</f>
        <v>0</v>
      </c>
      <c r="L857" s="47" t="str">
        <f aca="false">IF(AND(J857=1,N(I857)&gt;0),SUMIF($K$2:$K$5001,"&gt;="&amp;K857,$I$2:$I$5001)/MAX(1,SUM($H$2:$H$5001)),"")</f>
        <v/>
      </c>
      <c r="M857" s="47" t="str">
        <f aca="false">IF($A857="","",INDEX($L$2:$L$5001,MATCH($A857,$A$2:$A$5001,0)))</f>
        <v/>
      </c>
      <c r="N857" s="48" t="str">
        <f aca="false">IF($A857="","",IF(N(M857)=0,"–",IF(M857&lt;=Start!$D$20,"A",IF(M857&lt;=Start!$D$21,"B","C"))))</f>
        <v/>
      </c>
      <c r="O857" s="48" t="str">
        <f aca="false">IF($A857="","",IF(NOT(ISNUMBER(F857)),"Wert fehlt; ",IF(F857&lt;=0,"Wert ist 0; ",""))&amp;IF(NOT(ISNUMBER(E857)),"Bestand fehlt; ",IF(E857&lt;0,"Bestand negativ; ",IF(E857=0,"Nullbestand; ","")))&amp;IF(D857="","Warengruppe fehlt; ","")&amp;IF(B857="","Bezeichnung fehlt; ","")&amp;IF(COUNTIFS($A$2:$A$5001,$A857,$C$2:$C$5001,C857)&gt;1,"Artikel doppelt im selben Lager; ",""))</f>
        <v/>
      </c>
      <c r="P857" s="47" t="n">
        <f aca="false">IF(OR($A857="",D857=""),0,IF(COUNTIF($D$2:D857,D857)=1,SUMIF($D$2:$D$5001,D857,$H$2:$H$5001)+ROW()/10000000,0))</f>
        <v>0</v>
      </c>
      <c r="Q857" s="47" t="n">
        <f aca="false">IF(OR($A857="",C857=""),0,IF(COUNTIF($C$2:C857,C857)=1,SUMIF($C$2:$C$5001,C857,$H$2:$H$5001)+ROW()/10000000,0))</f>
        <v>0</v>
      </c>
    </row>
    <row r="858" customFormat="false" ht="15" hidden="false" customHeight="false" outlineLevel="0" collapsed="false">
      <c r="A858" s="43"/>
      <c r="B858" s="44"/>
      <c r="C858" s="44"/>
      <c r="D858" s="44"/>
      <c r="E858" s="44"/>
      <c r="F858" s="44"/>
      <c r="G858" s="44"/>
      <c r="H858" s="46" t="str">
        <f aca="false">IF($A858="","",IF(OR(NOT(ISNUMBER(E858)),NOT(ISNUMBER(F858))),"",MAX(0,E858)*F858))</f>
        <v/>
      </c>
      <c r="I858" s="46" t="str">
        <f aca="false">IF($A858="","",SUMIF($A$2:$A$5001,$A858,$H$2:$H$5001))</f>
        <v/>
      </c>
      <c r="J858" s="47" t="n">
        <f aca="false">IF($A858="",0,IF(COUNTIF($A$2:A858,$A858)=1,1,0))</f>
        <v>0</v>
      </c>
      <c r="K858" s="47" t="n">
        <f aca="false">IF(J858=1,N(I858)+ROW()/10000000,0)</f>
        <v>0</v>
      </c>
      <c r="L858" s="47" t="str">
        <f aca="false">IF(AND(J858=1,N(I858)&gt;0),SUMIF($K$2:$K$5001,"&gt;="&amp;K858,$I$2:$I$5001)/MAX(1,SUM($H$2:$H$5001)),"")</f>
        <v/>
      </c>
      <c r="M858" s="47" t="str">
        <f aca="false">IF($A858="","",INDEX($L$2:$L$5001,MATCH($A858,$A$2:$A$5001,0)))</f>
        <v/>
      </c>
      <c r="N858" s="48" t="str">
        <f aca="false">IF($A858="","",IF(N(M858)=0,"–",IF(M858&lt;=Start!$D$20,"A",IF(M858&lt;=Start!$D$21,"B","C"))))</f>
        <v/>
      </c>
      <c r="O858" s="48" t="str">
        <f aca="false">IF($A858="","",IF(NOT(ISNUMBER(F858)),"Wert fehlt; ",IF(F858&lt;=0,"Wert ist 0; ",""))&amp;IF(NOT(ISNUMBER(E858)),"Bestand fehlt; ",IF(E858&lt;0,"Bestand negativ; ",IF(E858=0,"Nullbestand; ","")))&amp;IF(D858="","Warengruppe fehlt; ","")&amp;IF(B858="","Bezeichnung fehlt; ","")&amp;IF(COUNTIFS($A$2:$A$5001,$A858,$C$2:$C$5001,C858)&gt;1,"Artikel doppelt im selben Lager; ",""))</f>
        <v/>
      </c>
      <c r="P858" s="47" t="n">
        <f aca="false">IF(OR($A858="",D858=""),0,IF(COUNTIF($D$2:D858,D858)=1,SUMIF($D$2:$D$5001,D858,$H$2:$H$5001)+ROW()/10000000,0))</f>
        <v>0</v>
      </c>
      <c r="Q858" s="47" t="n">
        <f aca="false">IF(OR($A858="",C858=""),0,IF(COUNTIF($C$2:C858,C858)=1,SUMIF($C$2:$C$5001,C858,$H$2:$H$5001)+ROW()/10000000,0))</f>
        <v>0</v>
      </c>
    </row>
    <row r="859" customFormat="false" ht="15" hidden="false" customHeight="false" outlineLevel="0" collapsed="false">
      <c r="A859" s="43"/>
      <c r="B859" s="44"/>
      <c r="C859" s="44"/>
      <c r="D859" s="44"/>
      <c r="E859" s="44"/>
      <c r="F859" s="44"/>
      <c r="G859" s="44"/>
      <c r="H859" s="46" t="str">
        <f aca="false">IF($A859="","",IF(OR(NOT(ISNUMBER(E859)),NOT(ISNUMBER(F859))),"",MAX(0,E859)*F859))</f>
        <v/>
      </c>
      <c r="I859" s="46" t="str">
        <f aca="false">IF($A859="","",SUMIF($A$2:$A$5001,$A859,$H$2:$H$5001))</f>
        <v/>
      </c>
      <c r="J859" s="47" t="n">
        <f aca="false">IF($A859="",0,IF(COUNTIF($A$2:A859,$A859)=1,1,0))</f>
        <v>0</v>
      </c>
      <c r="K859" s="47" t="n">
        <f aca="false">IF(J859=1,N(I859)+ROW()/10000000,0)</f>
        <v>0</v>
      </c>
      <c r="L859" s="47" t="str">
        <f aca="false">IF(AND(J859=1,N(I859)&gt;0),SUMIF($K$2:$K$5001,"&gt;="&amp;K859,$I$2:$I$5001)/MAX(1,SUM($H$2:$H$5001)),"")</f>
        <v/>
      </c>
      <c r="M859" s="47" t="str">
        <f aca="false">IF($A859="","",INDEX($L$2:$L$5001,MATCH($A859,$A$2:$A$5001,0)))</f>
        <v/>
      </c>
      <c r="N859" s="48" t="str">
        <f aca="false">IF($A859="","",IF(N(M859)=0,"–",IF(M859&lt;=Start!$D$20,"A",IF(M859&lt;=Start!$D$21,"B","C"))))</f>
        <v/>
      </c>
      <c r="O859" s="48" t="str">
        <f aca="false">IF($A859="","",IF(NOT(ISNUMBER(F859)),"Wert fehlt; ",IF(F859&lt;=0,"Wert ist 0; ",""))&amp;IF(NOT(ISNUMBER(E859)),"Bestand fehlt; ",IF(E859&lt;0,"Bestand negativ; ",IF(E859=0,"Nullbestand; ","")))&amp;IF(D859="","Warengruppe fehlt; ","")&amp;IF(B859="","Bezeichnung fehlt; ","")&amp;IF(COUNTIFS($A$2:$A$5001,$A859,$C$2:$C$5001,C859)&gt;1,"Artikel doppelt im selben Lager; ",""))</f>
        <v/>
      </c>
      <c r="P859" s="47" t="n">
        <f aca="false">IF(OR($A859="",D859=""),0,IF(COUNTIF($D$2:D859,D859)=1,SUMIF($D$2:$D$5001,D859,$H$2:$H$5001)+ROW()/10000000,0))</f>
        <v>0</v>
      </c>
      <c r="Q859" s="47" t="n">
        <f aca="false">IF(OR($A859="",C859=""),0,IF(COUNTIF($C$2:C859,C859)=1,SUMIF($C$2:$C$5001,C859,$H$2:$H$5001)+ROW()/10000000,0))</f>
        <v>0</v>
      </c>
    </row>
    <row r="860" customFormat="false" ht="15" hidden="false" customHeight="false" outlineLevel="0" collapsed="false">
      <c r="A860" s="43"/>
      <c r="B860" s="44"/>
      <c r="C860" s="44"/>
      <c r="D860" s="44"/>
      <c r="E860" s="44"/>
      <c r="F860" s="44"/>
      <c r="G860" s="44"/>
      <c r="H860" s="46" t="str">
        <f aca="false">IF($A860="","",IF(OR(NOT(ISNUMBER(E860)),NOT(ISNUMBER(F860))),"",MAX(0,E860)*F860))</f>
        <v/>
      </c>
      <c r="I860" s="46" t="str">
        <f aca="false">IF($A860="","",SUMIF($A$2:$A$5001,$A860,$H$2:$H$5001))</f>
        <v/>
      </c>
      <c r="J860" s="47" t="n">
        <f aca="false">IF($A860="",0,IF(COUNTIF($A$2:A860,$A860)=1,1,0))</f>
        <v>0</v>
      </c>
      <c r="K860" s="47" t="n">
        <f aca="false">IF(J860=1,N(I860)+ROW()/10000000,0)</f>
        <v>0</v>
      </c>
      <c r="L860" s="47" t="str">
        <f aca="false">IF(AND(J860=1,N(I860)&gt;0),SUMIF($K$2:$K$5001,"&gt;="&amp;K860,$I$2:$I$5001)/MAX(1,SUM($H$2:$H$5001)),"")</f>
        <v/>
      </c>
      <c r="M860" s="47" t="str">
        <f aca="false">IF($A860="","",INDEX($L$2:$L$5001,MATCH($A860,$A$2:$A$5001,0)))</f>
        <v/>
      </c>
      <c r="N860" s="48" t="str">
        <f aca="false">IF($A860="","",IF(N(M860)=0,"–",IF(M860&lt;=Start!$D$20,"A",IF(M860&lt;=Start!$D$21,"B","C"))))</f>
        <v/>
      </c>
      <c r="O860" s="48" t="str">
        <f aca="false">IF($A860="","",IF(NOT(ISNUMBER(F860)),"Wert fehlt; ",IF(F860&lt;=0,"Wert ist 0; ",""))&amp;IF(NOT(ISNUMBER(E860)),"Bestand fehlt; ",IF(E860&lt;0,"Bestand negativ; ",IF(E860=0,"Nullbestand; ","")))&amp;IF(D860="","Warengruppe fehlt; ","")&amp;IF(B860="","Bezeichnung fehlt; ","")&amp;IF(COUNTIFS($A$2:$A$5001,$A860,$C$2:$C$5001,C860)&gt;1,"Artikel doppelt im selben Lager; ",""))</f>
        <v/>
      </c>
      <c r="P860" s="47" t="n">
        <f aca="false">IF(OR($A860="",D860=""),0,IF(COUNTIF($D$2:D860,D860)=1,SUMIF($D$2:$D$5001,D860,$H$2:$H$5001)+ROW()/10000000,0))</f>
        <v>0</v>
      </c>
      <c r="Q860" s="47" t="n">
        <f aca="false">IF(OR($A860="",C860=""),0,IF(COUNTIF($C$2:C860,C860)=1,SUMIF($C$2:$C$5001,C860,$H$2:$H$5001)+ROW()/10000000,0))</f>
        <v>0</v>
      </c>
    </row>
    <row r="861" customFormat="false" ht="15" hidden="false" customHeight="false" outlineLevel="0" collapsed="false">
      <c r="A861" s="43"/>
      <c r="B861" s="44"/>
      <c r="C861" s="44"/>
      <c r="D861" s="44"/>
      <c r="E861" s="44"/>
      <c r="F861" s="44"/>
      <c r="G861" s="44"/>
      <c r="H861" s="46" t="str">
        <f aca="false">IF($A861="","",IF(OR(NOT(ISNUMBER(E861)),NOT(ISNUMBER(F861))),"",MAX(0,E861)*F861))</f>
        <v/>
      </c>
      <c r="I861" s="46" t="str">
        <f aca="false">IF($A861="","",SUMIF($A$2:$A$5001,$A861,$H$2:$H$5001))</f>
        <v/>
      </c>
      <c r="J861" s="47" t="n">
        <f aca="false">IF($A861="",0,IF(COUNTIF($A$2:A861,$A861)=1,1,0))</f>
        <v>0</v>
      </c>
      <c r="K861" s="47" t="n">
        <f aca="false">IF(J861=1,N(I861)+ROW()/10000000,0)</f>
        <v>0</v>
      </c>
      <c r="L861" s="47" t="str">
        <f aca="false">IF(AND(J861=1,N(I861)&gt;0),SUMIF($K$2:$K$5001,"&gt;="&amp;K861,$I$2:$I$5001)/MAX(1,SUM($H$2:$H$5001)),"")</f>
        <v/>
      </c>
      <c r="M861" s="47" t="str">
        <f aca="false">IF($A861="","",INDEX($L$2:$L$5001,MATCH($A861,$A$2:$A$5001,0)))</f>
        <v/>
      </c>
      <c r="N861" s="48" t="str">
        <f aca="false">IF($A861="","",IF(N(M861)=0,"–",IF(M861&lt;=Start!$D$20,"A",IF(M861&lt;=Start!$D$21,"B","C"))))</f>
        <v/>
      </c>
      <c r="O861" s="48" t="str">
        <f aca="false">IF($A861="","",IF(NOT(ISNUMBER(F861)),"Wert fehlt; ",IF(F861&lt;=0,"Wert ist 0; ",""))&amp;IF(NOT(ISNUMBER(E861)),"Bestand fehlt; ",IF(E861&lt;0,"Bestand negativ; ",IF(E861=0,"Nullbestand; ","")))&amp;IF(D861="","Warengruppe fehlt; ","")&amp;IF(B861="","Bezeichnung fehlt; ","")&amp;IF(COUNTIFS($A$2:$A$5001,$A861,$C$2:$C$5001,C861)&gt;1,"Artikel doppelt im selben Lager; ",""))</f>
        <v/>
      </c>
      <c r="P861" s="47" t="n">
        <f aca="false">IF(OR($A861="",D861=""),0,IF(COUNTIF($D$2:D861,D861)=1,SUMIF($D$2:$D$5001,D861,$H$2:$H$5001)+ROW()/10000000,0))</f>
        <v>0</v>
      </c>
      <c r="Q861" s="47" t="n">
        <f aca="false">IF(OR($A861="",C861=""),0,IF(COUNTIF($C$2:C861,C861)=1,SUMIF($C$2:$C$5001,C861,$H$2:$H$5001)+ROW()/10000000,0))</f>
        <v>0</v>
      </c>
    </row>
    <row r="862" customFormat="false" ht="15" hidden="false" customHeight="false" outlineLevel="0" collapsed="false">
      <c r="A862" s="43"/>
      <c r="B862" s="44"/>
      <c r="C862" s="44"/>
      <c r="D862" s="44"/>
      <c r="E862" s="44"/>
      <c r="F862" s="44"/>
      <c r="G862" s="44"/>
      <c r="H862" s="46" t="str">
        <f aca="false">IF($A862="","",IF(OR(NOT(ISNUMBER(E862)),NOT(ISNUMBER(F862))),"",MAX(0,E862)*F862))</f>
        <v/>
      </c>
      <c r="I862" s="46" t="str">
        <f aca="false">IF($A862="","",SUMIF($A$2:$A$5001,$A862,$H$2:$H$5001))</f>
        <v/>
      </c>
      <c r="J862" s="47" t="n">
        <f aca="false">IF($A862="",0,IF(COUNTIF($A$2:A862,$A862)=1,1,0))</f>
        <v>0</v>
      </c>
      <c r="K862" s="47" t="n">
        <f aca="false">IF(J862=1,N(I862)+ROW()/10000000,0)</f>
        <v>0</v>
      </c>
      <c r="L862" s="47" t="str">
        <f aca="false">IF(AND(J862=1,N(I862)&gt;0),SUMIF($K$2:$K$5001,"&gt;="&amp;K862,$I$2:$I$5001)/MAX(1,SUM($H$2:$H$5001)),"")</f>
        <v/>
      </c>
      <c r="M862" s="47" t="str">
        <f aca="false">IF($A862="","",INDEX($L$2:$L$5001,MATCH($A862,$A$2:$A$5001,0)))</f>
        <v/>
      </c>
      <c r="N862" s="48" t="str">
        <f aca="false">IF($A862="","",IF(N(M862)=0,"–",IF(M862&lt;=Start!$D$20,"A",IF(M862&lt;=Start!$D$21,"B","C"))))</f>
        <v/>
      </c>
      <c r="O862" s="48" t="str">
        <f aca="false">IF($A862="","",IF(NOT(ISNUMBER(F862)),"Wert fehlt; ",IF(F862&lt;=0,"Wert ist 0; ",""))&amp;IF(NOT(ISNUMBER(E862)),"Bestand fehlt; ",IF(E862&lt;0,"Bestand negativ; ",IF(E862=0,"Nullbestand; ","")))&amp;IF(D862="","Warengruppe fehlt; ","")&amp;IF(B862="","Bezeichnung fehlt; ","")&amp;IF(COUNTIFS($A$2:$A$5001,$A862,$C$2:$C$5001,C862)&gt;1,"Artikel doppelt im selben Lager; ",""))</f>
        <v/>
      </c>
      <c r="P862" s="47" t="n">
        <f aca="false">IF(OR($A862="",D862=""),0,IF(COUNTIF($D$2:D862,D862)=1,SUMIF($D$2:$D$5001,D862,$H$2:$H$5001)+ROW()/10000000,0))</f>
        <v>0</v>
      </c>
      <c r="Q862" s="47" t="n">
        <f aca="false">IF(OR($A862="",C862=""),0,IF(COUNTIF($C$2:C862,C862)=1,SUMIF($C$2:$C$5001,C862,$H$2:$H$5001)+ROW()/10000000,0))</f>
        <v>0</v>
      </c>
    </row>
    <row r="863" customFormat="false" ht="15" hidden="false" customHeight="false" outlineLevel="0" collapsed="false">
      <c r="A863" s="43"/>
      <c r="B863" s="44"/>
      <c r="C863" s="44"/>
      <c r="D863" s="44"/>
      <c r="E863" s="44"/>
      <c r="F863" s="44"/>
      <c r="G863" s="44"/>
      <c r="H863" s="46" t="str">
        <f aca="false">IF($A863="","",IF(OR(NOT(ISNUMBER(E863)),NOT(ISNUMBER(F863))),"",MAX(0,E863)*F863))</f>
        <v/>
      </c>
      <c r="I863" s="46" t="str">
        <f aca="false">IF($A863="","",SUMIF($A$2:$A$5001,$A863,$H$2:$H$5001))</f>
        <v/>
      </c>
      <c r="J863" s="47" t="n">
        <f aca="false">IF($A863="",0,IF(COUNTIF($A$2:A863,$A863)=1,1,0))</f>
        <v>0</v>
      </c>
      <c r="K863" s="47" t="n">
        <f aca="false">IF(J863=1,N(I863)+ROW()/10000000,0)</f>
        <v>0</v>
      </c>
      <c r="L863" s="47" t="str">
        <f aca="false">IF(AND(J863=1,N(I863)&gt;0),SUMIF($K$2:$K$5001,"&gt;="&amp;K863,$I$2:$I$5001)/MAX(1,SUM($H$2:$H$5001)),"")</f>
        <v/>
      </c>
      <c r="M863" s="47" t="str">
        <f aca="false">IF($A863="","",INDEX($L$2:$L$5001,MATCH($A863,$A$2:$A$5001,0)))</f>
        <v/>
      </c>
      <c r="N863" s="48" t="str">
        <f aca="false">IF($A863="","",IF(N(M863)=0,"–",IF(M863&lt;=Start!$D$20,"A",IF(M863&lt;=Start!$D$21,"B","C"))))</f>
        <v/>
      </c>
      <c r="O863" s="48" t="str">
        <f aca="false">IF($A863="","",IF(NOT(ISNUMBER(F863)),"Wert fehlt; ",IF(F863&lt;=0,"Wert ist 0; ",""))&amp;IF(NOT(ISNUMBER(E863)),"Bestand fehlt; ",IF(E863&lt;0,"Bestand negativ; ",IF(E863=0,"Nullbestand; ","")))&amp;IF(D863="","Warengruppe fehlt; ","")&amp;IF(B863="","Bezeichnung fehlt; ","")&amp;IF(COUNTIFS($A$2:$A$5001,$A863,$C$2:$C$5001,C863)&gt;1,"Artikel doppelt im selben Lager; ",""))</f>
        <v/>
      </c>
      <c r="P863" s="47" t="n">
        <f aca="false">IF(OR($A863="",D863=""),0,IF(COUNTIF($D$2:D863,D863)=1,SUMIF($D$2:$D$5001,D863,$H$2:$H$5001)+ROW()/10000000,0))</f>
        <v>0</v>
      </c>
      <c r="Q863" s="47" t="n">
        <f aca="false">IF(OR($A863="",C863=""),0,IF(COUNTIF($C$2:C863,C863)=1,SUMIF($C$2:$C$5001,C863,$H$2:$H$5001)+ROW()/10000000,0))</f>
        <v>0</v>
      </c>
    </row>
    <row r="864" customFormat="false" ht="15" hidden="false" customHeight="false" outlineLevel="0" collapsed="false">
      <c r="A864" s="43"/>
      <c r="B864" s="44"/>
      <c r="C864" s="44"/>
      <c r="D864" s="44"/>
      <c r="E864" s="44"/>
      <c r="F864" s="44"/>
      <c r="G864" s="44"/>
      <c r="H864" s="46" t="str">
        <f aca="false">IF($A864="","",IF(OR(NOT(ISNUMBER(E864)),NOT(ISNUMBER(F864))),"",MAX(0,E864)*F864))</f>
        <v/>
      </c>
      <c r="I864" s="46" t="str">
        <f aca="false">IF($A864="","",SUMIF($A$2:$A$5001,$A864,$H$2:$H$5001))</f>
        <v/>
      </c>
      <c r="J864" s="47" t="n">
        <f aca="false">IF($A864="",0,IF(COUNTIF($A$2:A864,$A864)=1,1,0))</f>
        <v>0</v>
      </c>
      <c r="K864" s="47" t="n">
        <f aca="false">IF(J864=1,N(I864)+ROW()/10000000,0)</f>
        <v>0</v>
      </c>
      <c r="L864" s="47" t="str">
        <f aca="false">IF(AND(J864=1,N(I864)&gt;0),SUMIF($K$2:$K$5001,"&gt;="&amp;K864,$I$2:$I$5001)/MAX(1,SUM($H$2:$H$5001)),"")</f>
        <v/>
      </c>
      <c r="M864" s="47" t="str">
        <f aca="false">IF($A864="","",INDEX($L$2:$L$5001,MATCH($A864,$A$2:$A$5001,0)))</f>
        <v/>
      </c>
      <c r="N864" s="48" t="str">
        <f aca="false">IF($A864="","",IF(N(M864)=0,"–",IF(M864&lt;=Start!$D$20,"A",IF(M864&lt;=Start!$D$21,"B","C"))))</f>
        <v/>
      </c>
      <c r="O864" s="48" t="str">
        <f aca="false">IF($A864="","",IF(NOT(ISNUMBER(F864)),"Wert fehlt; ",IF(F864&lt;=0,"Wert ist 0; ",""))&amp;IF(NOT(ISNUMBER(E864)),"Bestand fehlt; ",IF(E864&lt;0,"Bestand negativ; ",IF(E864=0,"Nullbestand; ","")))&amp;IF(D864="","Warengruppe fehlt; ","")&amp;IF(B864="","Bezeichnung fehlt; ","")&amp;IF(COUNTIFS($A$2:$A$5001,$A864,$C$2:$C$5001,C864)&gt;1,"Artikel doppelt im selben Lager; ",""))</f>
        <v/>
      </c>
      <c r="P864" s="47" t="n">
        <f aca="false">IF(OR($A864="",D864=""),0,IF(COUNTIF($D$2:D864,D864)=1,SUMIF($D$2:$D$5001,D864,$H$2:$H$5001)+ROW()/10000000,0))</f>
        <v>0</v>
      </c>
      <c r="Q864" s="47" t="n">
        <f aca="false">IF(OR($A864="",C864=""),0,IF(COUNTIF($C$2:C864,C864)=1,SUMIF($C$2:$C$5001,C864,$H$2:$H$5001)+ROW()/10000000,0))</f>
        <v>0</v>
      </c>
    </row>
    <row r="865" customFormat="false" ht="15" hidden="false" customHeight="false" outlineLevel="0" collapsed="false">
      <c r="A865" s="43"/>
      <c r="B865" s="44"/>
      <c r="C865" s="44"/>
      <c r="D865" s="44"/>
      <c r="E865" s="44"/>
      <c r="F865" s="44"/>
      <c r="G865" s="44"/>
      <c r="H865" s="46" t="str">
        <f aca="false">IF($A865="","",IF(OR(NOT(ISNUMBER(E865)),NOT(ISNUMBER(F865))),"",MAX(0,E865)*F865))</f>
        <v/>
      </c>
      <c r="I865" s="46" t="str">
        <f aca="false">IF($A865="","",SUMIF($A$2:$A$5001,$A865,$H$2:$H$5001))</f>
        <v/>
      </c>
      <c r="J865" s="47" t="n">
        <f aca="false">IF($A865="",0,IF(COUNTIF($A$2:A865,$A865)=1,1,0))</f>
        <v>0</v>
      </c>
      <c r="K865" s="47" t="n">
        <f aca="false">IF(J865=1,N(I865)+ROW()/10000000,0)</f>
        <v>0</v>
      </c>
      <c r="L865" s="47" t="str">
        <f aca="false">IF(AND(J865=1,N(I865)&gt;0),SUMIF($K$2:$K$5001,"&gt;="&amp;K865,$I$2:$I$5001)/MAX(1,SUM($H$2:$H$5001)),"")</f>
        <v/>
      </c>
      <c r="M865" s="47" t="str">
        <f aca="false">IF($A865="","",INDEX($L$2:$L$5001,MATCH($A865,$A$2:$A$5001,0)))</f>
        <v/>
      </c>
      <c r="N865" s="48" t="str">
        <f aca="false">IF($A865="","",IF(N(M865)=0,"–",IF(M865&lt;=Start!$D$20,"A",IF(M865&lt;=Start!$D$21,"B","C"))))</f>
        <v/>
      </c>
      <c r="O865" s="48" t="str">
        <f aca="false">IF($A865="","",IF(NOT(ISNUMBER(F865)),"Wert fehlt; ",IF(F865&lt;=0,"Wert ist 0; ",""))&amp;IF(NOT(ISNUMBER(E865)),"Bestand fehlt; ",IF(E865&lt;0,"Bestand negativ; ",IF(E865=0,"Nullbestand; ","")))&amp;IF(D865="","Warengruppe fehlt; ","")&amp;IF(B865="","Bezeichnung fehlt; ","")&amp;IF(COUNTIFS($A$2:$A$5001,$A865,$C$2:$C$5001,C865)&gt;1,"Artikel doppelt im selben Lager; ",""))</f>
        <v/>
      </c>
      <c r="P865" s="47" t="n">
        <f aca="false">IF(OR($A865="",D865=""),0,IF(COUNTIF($D$2:D865,D865)=1,SUMIF($D$2:$D$5001,D865,$H$2:$H$5001)+ROW()/10000000,0))</f>
        <v>0</v>
      </c>
      <c r="Q865" s="47" t="n">
        <f aca="false">IF(OR($A865="",C865=""),0,IF(COUNTIF($C$2:C865,C865)=1,SUMIF($C$2:$C$5001,C865,$H$2:$H$5001)+ROW()/10000000,0))</f>
        <v>0</v>
      </c>
    </row>
    <row r="866" customFormat="false" ht="15" hidden="false" customHeight="false" outlineLevel="0" collapsed="false">
      <c r="A866" s="43"/>
      <c r="B866" s="44"/>
      <c r="C866" s="44"/>
      <c r="D866" s="44"/>
      <c r="E866" s="44"/>
      <c r="F866" s="44"/>
      <c r="G866" s="44"/>
      <c r="H866" s="46" t="str">
        <f aca="false">IF($A866="","",IF(OR(NOT(ISNUMBER(E866)),NOT(ISNUMBER(F866))),"",MAX(0,E866)*F866))</f>
        <v/>
      </c>
      <c r="I866" s="46" t="str">
        <f aca="false">IF($A866="","",SUMIF($A$2:$A$5001,$A866,$H$2:$H$5001))</f>
        <v/>
      </c>
      <c r="J866" s="47" t="n">
        <f aca="false">IF($A866="",0,IF(COUNTIF($A$2:A866,$A866)=1,1,0))</f>
        <v>0</v>
      </c>
      <c r="K866" s="47" t="n">
        <f aca="false">IF(J866=1,N(I866)+ROW()/10000000,0)</f>
        <v>0</v>
      </c>
      <c r="L866" s="47" t="str">
        <f aca="false">IF(AND(J866=1,N(I866)&gt;0),SUMIF($K$2:$K$5001,"&gt;="&amp;K866,$I$2:$I$5001)/MAX(1,SUM($H$2:$H$5001)),"")</f>
        <v/>
      </c>
      <c r="M866" s="47" t="str">
        <f aca="false">IF($A866="","",INDEX($L$2:$L$5001,MATCH($A866,$A$2:$A$5001,0)))</f>
        <v/>
      </c>
      <c r="N866" s="48" t="str">
        <f aca="false">IF($A866="","",IF(N(M866)=0,"–",IF(M866&lt;=Start!$D$20,"A",IF(M866&lt;=Start!$D$21,"B","C"))))</f>
        <v/>
      </c>
      <c r="O866" s="48" t="str">
        <f aca="false">IF($A866="","",IF(NOT(ISNUMBER(F866)),"Wert fehlt; ",IF(F866&lt;=0,"Wert ist 0; ",""))&amp;IF(NOT(ISNUMBER(E866)),"Bestand fehlt; ",IF(E866&lt;0,"Bestand negativ; ",IF(E866=0,"Nullbestand; ","")))&amp;IF(D866="","Warengruppe fehlt; ","")&amp;IF(B866="","Bezeichnung fehlt; ","")&amp;IF(COUNTIFS($A$2:$A$5001,$A866,$C$2:$C$5001,C866)&gt;1,"Artikel doppelt im selben Lager; ",""))</f>
        <v/>
      </c>
      <c r="P866" s="47" t="n">
        <f aca="false">IF(OR($A866="",D866=""),0,IF(COUNTIF($D$2:D866,D866)=1,SUMIF($D$2:$D$5001,D866,$H$2:$H$5001)+ROW()/10000000,0))</f>
        <v>0</v>
      </c>
      <c r="Q866" s="47" t="n">
        <f aca="false">IF(OR($A866="",C866=""),0,IF(COUNTIF($C$2:C866,C866)=1,SUMIF($C$2:$C$5001,C866,$H$2:$H$5001)+ROW()/10000000,0))</f>
        <v>0</v>
      </c>
    </row>
    <row r="867" customFormat="false" ht="15" hidden="false" customHeight="false" outlineLevel="0" collapsed="false">
      <c r="A867" s="43"/>
      <c r="B867" s="44"/>
      <c r="C867" s="44"/>
      <c r="D867" s="44"/>
      <c r="E867" s="44"/>
      <c r="F867" s="44"/>
      <c r="G867" s="44"/>
      <c r="H867" s="46" t="str">
        <f aca="false">IF($A867="","",IF(OR(NOT(ISNUMBER(E867)),NOT(ISNUMBER(F867))),"",MAX(0,E867)*F867))</f>
        <v/>
      </c>
      <c r="I867" s="46" t="str">
        <f aca="false">IF($A867="","",SUMIF($A$2:$A$5001,$A867,$H$2:$H$5001))</f>
        <v/>
      </c>
      <c r="J867" s="47" t="n">
        <f aca="false">IF($A867="",0,IF(COUNTIF($A$2:A867,$A867)=1,1,0))</f>
        <v>0</v>
      </c>
      <c r="K867" s="47" t="n">
        <f aca="false">IF(J867=1,N(I867)+ROW()/10000000,0)</f>
        <v>0</v>
      </c>
      <c r="L867" s="47" t="str">
        <f aca="false">IF(AND(J867=1,N(I867)&gt;0),SUMIF($K$2:$K$5001,"&gt;="&amp;K867,$I$2:$I$5001)/MAX(1,SUM($H$2:$H$5001)),"")</f>
        <v/>
      </c>
      <c r="M867" s="47" t="str">
        <f aca="false">IF($A867="","",INDEX($L$2:$L$5001,MATCH($A867,$A$2:$A$5001,0)))</f>
        <v/>
      </c>
      <c r="N867" s="48" t="str">
        <f aca="false">IF($A867="","",IF(N(M867)=0,"–",IF(M867&lt;=Start!$D$20,"A",IF(M867&lt;=Start!$D$21,"B","C"))))</f>
        <v/>
      </c>
      <c r="O867" s="48" t="str">
        <f aca="false">IF($A867="","",IF(NOT(ISNUMBER(F867)),"Wert fehlt; ",IF(F867&lt;=0,"Wert ist 0; ",""))&amp;IF(NOT(ISNUMBER(E867)),"Bestand fehlt; ",IF(E867&lt;0,"Bestand negativ; ",IF(E867=0,"Nullbestand; ","")))&amp;IF(D867="","Warengruppe fehlt; ","")&amp;IF(B867="","Bezeichnung fehlt; ","")&amp;IF(COUNTIFS($A$2:$A$5001,$A867,$C$2:$C$5001,C867)&gt;1,"Artikel doppelt im selben Lager; ",""))</f>
        <v/>
      </c>
      <c r="P867" s="47" t="n">
        <f aca="false">IF(OR($A867="",D867=""),0,IF(COUNTIF($D$2:D867,D867)=1,SUMIF($D$2:$D$5001,D867,$H$2:$H$5001)+ROW()/10000000,0))</f>
        <v>0</v>
      </c>
      <c r="Q867" s="47" t="n">
        <f aca="false">IF(OR($A867="",C867=""),0,IF(COUNTIF($C$2:C867,C867)=1,SUMIF($C$2:$C$5001,C867,$H$2:$H$5001)+ROW()/10000000,0))</f>
        <v>0</v>
      </c>
    </row>
    <row r="868" customFormat="false" ht="15" hidden="false" customHeight="false" outlineLevel="0" collapsed="false">
      <c r="A868" s="43"/>
      <c r="B868" s="44"/>
      <c r="C868" s="44"/>
      <c r="D868" s="44"/>
      <c r="E868" s="44"/>
      <c r="F868" s="44"/>
      <c r="G868" s="44"/>
      <c r="H868" s="46" t="str">
        <f aca="false">IF($A868="","",IF(OR(NOT(ISNUMBER(E868)),NOT(ISNUMBER(F868))),"",MAX(0,E868)*F868))</f>
        <v/>
      </c>
      <c r="I868" s="46" t="str">
        <f aca="false">IF($A868="","",SUMIF($A$2:$A$5001,$A868,$H$2:$H$5001))</f>
        <v/>
      </c>
      <c r="J868" s="47" t="n">
        <f aca="false">IF($A868="",0,IF(COUNTIF($A$2:A868,$A868)=1,1,0))</f>
        <v>0</v>
      </c>
      <c r="K868" s="47" t="n">
        <f aca="false">IF(J868=1,N(I868)+ROW()/10000000,0)</f>
        <v>0</v>
      </c>
      <c r="L868" s="47" t="str">
        <f aca="false">IF(AND(J868=1,N(I868)&gt;0),SUMIF($K$2:$K$5001,"&gt;="&amp;K868,$I$2:$I$5001)/MAX(1,SUM($H$2:$H$5001)),"")</f>
        <v/>
      </c>
      <c r="M868" s="47" t="str">
        <f aca="false">IF($A868="","",INDEX($L$2:$L$5001,MATCH($A868,$A$2:$A$5001,0)))</f>
        <v/>
      </c>
      <c r="N868" s="48" t="str">
        <f aca="false">IF($A868="","",IF(N(M868)=0,"–",IF(M868&lt;=Start!$D$20,"A",IF(M868&lt;=Start!$D$21,"B","C"))))</f>
        <v/>
      </c>
      <c r="O868" s="48" t="str">
        <f aca="false">IF($A868="","",IF(NOT(ISNUMBER(F868)),"Wert fehlt; ",IF(F868&lt;=0,"Wert ist 0; ",""))&amp;IF(NOT(ISNUMBER(E868)),"Bestand fehlt; ",IF(E868&lt;0,"Bestand negativ; ",IF(E868=0,"Nullbestand; ","")))&amp;IF(D868="","Warengruppe fehlt; ","")&amp;IF(B868="","Bezeichnung fehlt; ","")&amp;IF(COUNTIFS($A$2:$A$5001,$A868,$C$2:$C$5001,C868)&gt;1,"Artikel doppelt im selben Lager; ",""))</f>
        <v/>
      </c>
      <c r="P868" s="47" t="n">
        <f aca="false">IF(OR($A868="",D868=""),0,IF(COUNTIF($D$2:D868,D868)=1,SUMIF($D$2:$D$5001,D868,$H$2:$H$5001)+ROW()/10000000,0))</f>
        <v>0</v>
      </c>
      <c r="Q868" s="47" t="n">
        <f aca="false">IF(OR($A868="",C868=""),0,IF(COUNTIF($C$2:C868,C868)=1,SUMIF($C$2:$C$5001,C868,$H$2:$H$5001)+ROW()/10000000,0))</f>
        <v>0</v>
      </c>
    </row>
    <row r="869" customFormat="false" ht="15" hidden="false" customHeight="false" outlineLevel="0" collapsed="false">
      <c r="A869" s="43"/>
      <c r="B869" s="44"/>
      <c r="C869" s="44"/>
      <c r="D869" s="44"/>
      <c r="E869" s="44"/>
      <c r="F869" s="44"/>
      <c r="G869" s="44"/>
      <c r="H869" s="46" t="str">
        <f aca="false">IF($A869="","",IF(OR(NOT(ISNUMBER(E869)),NOT(ISNUMBER(F869))),"",MAX(0,E869)*F869))</f>
        <v/>
      </c>
      <c r="I869" s="46" t="str">
        <f aca="false">IF($A869="","",SUMIF($A$2:$A$5001,$A869,$H$2:$H$5001))</f>
        <v/>
      </c>
      <c r="J869" s="47" t="n">
        <f aca="false">IF($A869="",0,IF(COUNTIF($A$2:A869,$A869)=1,1,0))</f>
        <v>0</v>
      </c>
      <c r="K869" s="47" t="n">
        <f aca="false">IF(J869=1,N(I869)+ROW()/10000000,0)</f>
        <v>0</v>
      </c>
      <c r="L869" s="47" t="str">
        <f aca="false">IF(AND(J869=1,N(I869)&gt;0),SUMIF($K$2:$K$5001,"&gt;="&amp;K869,$I$2:$I$5001)/MAX(1,SUM($H$2:$H$5001)),"")</f>
        <v/>
      </c>
      <c r="M869" s="47" t="str">
        <f aca="false">IF($A869="","",INDEX($L$2:$L$5001,MATCH($A869,$A$2:$A$5001,0)))</f>
        <v/>
      </c>
      <c r="N869" s="48" t="str">
        <f aca="false">IF($A869="","",IF(N(M869)=0,"–",IF(M869&lt;=Start!$D$20,"A",IF(M869&lt;=Start!$D$21,"B","C"))))</f>
        <v/>
      </c>
      <c r="O869" s="48" t="str">
        <f aca="false">IF($A869="","",IF(NOT(ISNUMBER(F869)),"Wert fehlt; ",IF(F869&lt;=0,"Wert ist 0; ",""))&amp;IF(NOT(ISNUMBER(E869)),"Bestand fehlt; ",IF(E869&lt;0,"Bestand negativ; ",IF(E869=0,"Nullbestand; ","")))&amp;IF(D869="","Warengruppe fehlt; ","")&amp;IF(B869="","Bezeichnung fehlt; ","")&amp;IF(COUNTIFS($A$2:$A$5001,$A869,$C$2:$C$5001,C869)&gt;1,"Artikel doppelt im selben Lager; ",""))</f>
        <v/>
      </c>
      <c r="P869" s="47" t="n">
        <f aca="false">IF(OR($A869="",D869=""),0,IF(COUNTIF($D$2:D869,D869)=1,SUMIF($D$2:$D$5001,D869,$H$2:$H$5001)+ROW()/10000000,0))</f>
        <v>0</v>
      </c>
      <c r="Q869" s="47" t="n">
        <f aca="false">IF(OR($A869="",C869=""),0,IF(COUNTIF($C$2:C869,C869)=1,SUMIF($C$2:$C$5001,C869,$H$2:$H$5001)+ROW()/10000000,0))</f>
        <v>0</v>
      </c>
    </row>
    <row r="870" customFormat="false" ht="15" hidden="false" customHeight="false" outlineLevel="0" collapsed="false">
      <c r="A870" s="43"/>
      <c r="B870" s="44"/>
      <c r="C870" s="44"/>
      <c r="D870" s="44"/>
      <c r="E870" s="44"/>
      <c r="F870" s="44"/>
      <c r="G870" s="44"/>
      <c r="H870" s="46" t="str">
        <f aca="false">IF($A870="","",IF(OR(NOT(ISNUMBER(E870)),NOT(ISNUMBER(F870))),"",MAX(0,E870)*F870))</f>
        <v/>
      </c>
      <c r="I870" s="46" t="str">
        <f aca="false">IF($A870="","",SUMIF($A$2:$A$5001,$A870,$H$2:$H$5001))</f>
        <v/>
      </c>
      <c r="J870" s="47" t="n">
        <f aca="false">IF($A870="",0,IF(COUNTIF($A$2:A870,$A870)=1,1,0))</f>
        <v>0</v>
      </c>
      <c r="K870" s="47" t="n">
        <f aca="false">IF(J870=1,N(I870)+ROW()/10000000,0)</f>
        <v>0</v>
      </c>
      <c r="L870" s="47" t="str">
        <f aca="false">IF(AND(J870=1,N(I870)&gt;0),SUMIF($K$2:$K$5001,"&gt;="&amp;K870,$I$2:$I$5001)/MAX(1,SUM($H$2:$H$5001)),"")</f>
        <v/>
      </c>
      <c r="M870" s="47" t="str">
        <f aca="false">IF($A870="","",INDEX($L$2:$L$5001,MATCH($A870,$A$2:$A$5001,0)))</f>
        <v/>
      </c>
      <c r="N870" s="48" t="str">
        <f aca="false">IF($A870="","",IF(N(M870)=0,"–",IF(M870&lt;=Start!$D$20,"A",IF(M870&lt;=Start!$D$21,"B","C"))))</f>
        <v/>
      </c>
      <c r="O870" s="48" t="str">
        <f aca="false">IF($A870="","",IF(NOT(ISNUMBER(F870)),"Wert fehlt; ",IF(F870&lt;=0,"Wert ist 0; ",""))&amp;IF(NOT(ISNUMBER(E870)),"Bestand fehlt; ",IF(E870&lt;0,"Bestand negativ; ",IF(E870=0,"Nullbestand; ","")))&amp;IF(D870="","Warengruppe fehlt; ","")&amp;IF(B870="","Bezeichnung fehlt; ","")&amp;IF(COUNTIFS($A$2:$A$5001,$A870,$C$2:$C$5001,C870)&gt;1,"Artikel doppelt im selben Lager; ",""))</f>
        <v/>
      </c>
      <c r="P870" s="47" t="n">
        <f aca="false">IF(OR($A870="",D870=""),0,IF(COUNTIF($D$2:D870,D870)=1,SUMIF($D$2:$D$5001,D870,$H$2:$H$5001)+ROW()/10000000,0))</f>
        <v>0</v>
      </c>
      <c r="Q870" s="47" t="n">
        <f aca="false">IF(OR($A870="",C870=""),0,IF(COUNTIF($C$2:C870,C870)=1,SUMIF($C$2:$C$5001,C870,$H$2:$H$5001)+ROW()/10000000,0))</f>
        <v>0</v>
      </c>
    </row>
    <row r="871" customFormat="false" ht="15" hidden="false" customHeight="false" outlineLevel="0" collapsed="false">
      <c r="A871" s="43"/>
      <c r="B871" s="44"/>
      <c r="C871" s="44"/>
      <c r="D871" s="44"/>
      <c r="E871" s="44"/>
      <c r="F871" s="44"/>
      <c r="G871" s="44"/>
      <c r="H871" s="46" t="str">
        <f aca="false">IF($A871="","",IF(OR(NOT(ISNUMBER(E871)),NOT(ISNUMBER(F871))),"",MAX(0,E871)*F871))</f>
        <v/>
      </c>
      <c r="I871" s="46" t="str">
        <f aca="false">IF($A871="","",SUMIF($A$2:$A$5001,$A871,$H$2:$H$5001))</f>
        <v/>
      </c>
      <c r="J871" s="47" t="n">
        <f aca="false">IF($A871="",0,IF(COUNTIF($A$2:A871,$A871)=1,1,0))</f>
        <v>0</v>
      </c>
      <c r="K871" s="47" t="n">
        <f aca="false">IF(J871=1,N(I871)+ROW()/10000000,0)</f>
        <v>0</v>
      </c>
      <c r="L871" s="47" t="str">
        <f aca="false">IF(AND(J871=1,N(I871)&gt;0),SUMIF($K$2:$K$5001,"&gt;="&amp;K871,$I$2:$I$5001)/MAX(1,SUM($H$2:$H$5001)),"")</f>
        <v/>
      </c>
      <c r="M871" s="47" t="str">
        <f aca="false">IF($A871="","",INDEX($L$2:$L$5001,MATCH($A871,$A$2:$A$5001,0)))</f>
        <v/>
      </c>
      <c r="N871" s="48" t="str">
        <f aca="false">IF($A871="","",IF(N(M871)=0,"–",IF(M871&lt;=Start!$D$20,"A",IF(M871&lt;=Start!$D$21,"B","C"))))</f>
        <v/>
      </c>
      <c r="O871" s="48" t="str">
        <f aca="false">IF($A871="","",IF(NOT(ISNUMBER(F871)),"Wert fehlt; ",IF(F871&lt;=0,"Wert ist 0; ",""))&amp;IF(NOT(ISNUMBER(E871)),"Bestand fehlt; ",IF(E871&lt;0,"Bestand negativ; ",IF(E871=0,"Nullbestand; ","")))&amp;IF(D871="","Warengruppe fehlt; ","")&amp;IF(B871="","Bezeichnung fehlt; ","")&amp;IF(COUNTIFS($A$2:$A$5001,$A871,$C$2:$C$5001,C871)&gt;1,"Artikel doppelt im selben Lager; ",""))</f>
        <v/>
      </c>
      <c r="P871" s="47" t="n">
        <f aca="false">IF(OR($A871="",D871=""),0,IF(COUNTIF($D$2:D871,D871)=1,SUMIF($D$2:$D$5001,D871,$H$2:$H$5001)+ROW()/10000000,0))</f>
        <v>0</v>
      </c>
      <c r="Q871" s="47" t="n">
        <f aca="false">IF(OR($A871="",C871=""),0,IF(COUNTIF($C$2:C871,C871)=1,SUMIF($C$2:$C$5001,C871,$H$2:$H$5001)+ROW()/10000000,0))</f>
        <v>0</v>
      </c>
    </row>
    <row r="872" customFormat="false" ht="15" hidden="false" customHeight="false" outlineLevel="0" collapsed="false">
      <c r="A872" s="43"/>
      <c r="B872" s="44"/>
      <c r="C872" s="44"/>
      <c r="D872" s="44"/>
      <c r="E872" s="44"/>
      <c r="F872" s="44"/>
      <c r="G872" s="44"/>
      <c r="H872" s="46" t="str">
        <f aca="false">IF($A872="","",IF(OR(NOT(ISNUMBER(E872)),NOT(ISNUMBER(F872))),"",MAX(0,E872)*F872))</f>
        <v/>
      </c>
      <c r="I872" s="46" t="str">
        <f aca="false">IF($A872="","",SUMIF($A$2:$A$5001,$A872,$H$2:$H$5001))</f>
        <v/>
      </c>
      <c r="J872" s="47" t="n">
        <f aca="false">IF($A872="",0,IF(COUNTIF($A$2:A872,$A872)=1,1,0))</f>
        <v>0</v>
      </c>
      <c r="K872" s="47" t="n">
        <f aca="false">IF(J872=1,N(I872)+ROW()/10000000,0)</f>
        <v>0</v>
      </c>
      <c r="L872" s="47" t="str">
        <f aca="false">IF(AND(J872=1,N(I872)&gt;0),SUMIF($K$2:$K$5001,"&gt;="&amp;K872,$I$2:$I$5001)/MAX(1,SUM($H$2:$H$5001)),"")</f>
        <v/>
      </c>
      <c r="M872" s="47" t="str">
        <f aca="false">IF($A872="","",INDEX($L$2:$L$5001,MATCH($A872,$A$2:$A$5001,0)))</f>
        <v/>
      </c>
      <c r="N872" s="48" t="str">
        <f aca="false">IF($A872="","",IF(N(M872)=0,"–",IF(M872&lt;=Start!$D$20,"A",IF(M872&lt;=Start!$D$21,"B","C"))))</f>
        <v/>
      </c>
      <c r="O872" s="48" t="str">
        <f aca="false">IF($A872="","",IF(NOT(ISNUMBER(F872)),"Wert fehlt; ",IF(F872&lt;=0,"Wert ist 0; ",""))&amp;IF(NOT(ISNUMBER(E872)),"Bestand fehlt; ",IF(E872&lt;0,"Bestand negativ; ",IF(E872=0,"Nullbestand; ","")))&amp;IF(D872="","Warengruppe fehlt; ","")&amp;IF(B872="","Bezeichnung fehlt; ","")&amp;IF(COUNTIFS($A$2:$A$5001,$A872,$C$2:$C$5001,C872)&gt;1,"Artikel doppelt im selben Lager; ",""))</f>
        <v/>
      </c>
      <c r="P872" s="47" t="n">
        <f aca="false">IF(OR($A872="",D872=""),0,IF(COUNTIF($D$2:D872,D872)=1,SUMIF($D$2:$D$5001,D872,$H$2:$H$5001)+ROW()/10000000,0))</f>
        <v>0</v>
      </c>
      <c r="Q872" s="47" t="n">
        <f aca="false">IF(OR($A872="",C872=""),0,IF(COUNTIF($C$2:C872,C872)=1,SUMIF($C$2:$C$5001,C872,$H$2:$H$5001)+ROW()/10000000,0))</f>
        <v>0</v>
      </c>
    </row>
    <row r="873" customFormat="false" ht="15" hidden="false" customHeight="false" outlineLevel="0" collapsed="false">
      <c r="A873" s="43"/>
      <c r="B873" s="44"/>
      <c r="C873" s="44"/>
      <c r="D873" s="44"/>
      <c r="E873" s="44"/>
      <c r="F873" s="44"/>
      <c r="G873" s="44"/>
      <c r="H873" s="46" t="str">
        <f aca="false">IF($A873="","",IF(OR(NOT(ISNUMBER(E873)),NOT(ISNUMBER(F873))),"",MAX(0,E873)*F873))</f>
        <v/>
      </c>
      <c r="I873" s="46" t="str">
        <f aca="false">IF($A873="","",SUMIF($A$2:$A$5001,$A873,$H$2:$H$5001))</f>
        <v/>
      </c>
      <c r="J873" s="47" t="n">
        <f aca="false">IF($A873="",0,IF(COUNTIF($A$2:A873,$A873)=1,1,0))</f>
        <v>0</v>
      </c>
      <c r="K873" s="47" t="n">
        <f aca="false">IF(J873=1,N(I873)+ROW()/10000000,0)</f>
        <v>0</v>
      </c>
      <c r="L873" s="47" t="str">
        <f aca="false">IF(AND(J873=1,N(I873)&gt;0),SUMIF($K$2:$K$5001,"&gt;="&amp;K873,$I$2:$I$5001)/MAX(1,SUM($H$2:$H$5001)),"")</f>
        <v/>
      </c>
      <c r="M873" s="47" t="str">
        <f aca="false">IF($A873="","",INDEX($L$2:$L$5001,MATCH($A873,$A$2:$A$5001,0)))</f>
        <v/>
      </c>
      <c r="N873" s="48" t="str">
        <f aca="false">IF($A873="","",IF(N(M873)=0,"–",IF(M873&lt;=Start!$D$20,"A",IF(M873&lt;=Start!$D$21,"B","C"))))</f>
        <v/>
      </c>
      <c r="O873" s="48" t="str">
        <f aca="false">IF($A873="","",IF(NOT(ISNUMBER(F873)),"Wert fehlt; ",IF(F873&lt;=0,"Wert ist 0; ",""))&amp;IF(NOT(ISNUMBER(E873)),"Bestand fehlt; ",IF(E873&lt;0,"Bestand negativ; ",IF(E873=0,"Nullbestand; ","")))&amp;IF(D873="","Warengruppe fehlt; ","")&amp;IF(B873="","Bezeichnung fehlt; ","")&amp;IF(COUNTIFS($A$2:$A$5001,$A873,$C$2:$C$5001,C873)&gt;1,"Artikel doppelt im selben Lager; ",""))</f>
        <v/>
      </c>
      <c r="P873" s="47" t="n">
        <f aca="false">IF(OR($A873="",D873=""),0,IF(COUNTIF($D$2:D873,D873)=1,SUMIF($D$2:$D$5001,D873,$H$2:$H$5001)+ROW()/10000000,0))</f>
        <v>0</v>
      </c>
      <c r="Q873" s="47" t="n">
        <f aca="false">IF(OR($A873="",C873=""),0,IF(COUNTIF($C$2:C873,C873)=1,SUMIF($C$2:$C$5001,C873,$H$2:$H$5001)+ROW()/10000000,0))</f>
        <v>0</v>
      </c>
    </row>
    <row r="874" customFormat="false" ht="15" hidden="false" customHeight="false" outlineLevel="0" collapsed="false">
      <c r="A874" s="43"/>
      <c r="B874" s="44"/>
      <c r="C874" s="44"/>
      <c r="D874" s="44"/>
      <c r="E874" s="44"/>
      <c r="F874" s="44"/>
      <c r="G874" s="44"/>
      <c r="H874" s="46" t="str">
        <f aca="false">IF($A874="","",IF(OR(NOT(ISNUMBER(E874)),NOT(ISNUMBER(F874))),"",MAX(0,E874)*F874))</f>
        <v/>
      </c>
      <c r="I874" s="46" t="str">
        <f aca="false">IF($A874="","",SUMIF($A$2:$A$5001,$A874,$H$2:$H$5001))</f>
        <v/>
      </c>
      <c r="J874" s="47" t="n">
        <f aca="false">IF($A874="",0,IF(COUNTIF($A$2:A874,$A874)=1,1,0))</f>
        <v>0</v>
      </c>
      <c r="K874" s="47" t="n">
        <f aca="false">IF(J874=1,N(I874)+ROW()/10000000,0)</f>
        <v>0</v>
      </c>
      <c r="L874" s="47" t="str">
        <f aca="false">IF(AND(J874=1,N(I874)&gt;0),SUMIF($K$2:$K$5001,"&gt;="&amp;K874,$I$2:$I$5001)/MAX(1,SUM($H$2:$H$5001)),"")</f>
        <v/>
      </c>
      <c r="M874" s="47" t="str">
        <f aca="false">IF($A874="","",INDEX($L$2:$L$5001,MATCH($A874,$A$2:$A$5001,0)))</f>
        <v/>
      </c>
      <c r="N874" s="48" t="str">
        <f aca="false">IF($A874="","",IF(N(M874)=0,"–",IF(M874&lt;=Start!$D$20,"A",IF(M874&lt;=Start!$D$21,"B","C"))))</f>
        <v/>
      </c>
      <c r="O874" s="48" t="str">
        <f aca="false">IF($A874="","",IF(NOT(ISNUMBER(F874)),"Wert fehlt; ",IF(F874&lt;=0,"Wert ist 0; ",""))&amp;IF(NOT(ISNUMBER(E874)),"Bestand fehlt; ",IF(E874&lt;0,"Bestand negativ; ",IF(E874=0,"Nullbestand; ","")))&amp;IF(D874="","Warengruppe fehlt; ","")&amp;IF(B874="","Bezeichnung fehlt; ","")&amp;IF(COUNTIFS($A$2:$A$5001,$A874,$C$2:$C$5001,C874)&gt;1,"Artikel doppelt im selben Lager; ",""))</f>
        <v/>
      </c>
      <c r="P874" s="47" t="n">
        <f aca="false">IF(OR($A874="",D874=""),0,IF(COUNTIF($D$2:D874,D874)=1,SUMIF($D$2:$D$5001,D874,$H$2:$H$5001)+ROW()/10000000,0))</f>
        <v>0</v>
      </c>
      <c r="Q874" s="47" t="n">
        <f aca="false">IF(OR($A874="",C874=""),0,IF(COUNTIF($C$2:C874,C874)=1,SUMIF($C$2:$C$5001,C874,$H$2:$H$5001)+ROW()/10000000,0))</f>
        <v>0</v>
      </c>
    </row>
    <row r="875" customFormat="false" ht="15" hidden="false" customHeight="false" outlineLevel="0" collapsed="false">
      <c r="A875" s="43"/>
      <c r="B875" s="44"/>
      <c r="C875" s="44"/>
      <c r="D875" s="44"/>
      <c r="E875" s="44"/>
      <c r="F875" s="44"/>
      <c r="G875" s="44"/>
      <c r="H875" s="46" t="str">
        <f aca="false">IF($A875="","",IF(OR(NOT(ISNUMBER(E875)),NOT(ISNUMBER(F875))),"",MAX(0,E875)*F875))</f>
        <v/>
      </c>
      <c r="I875" s="46" t="str">
        <f aca="false">IF($A875="","",SUMIF($A$2:$A$5001,$A875,$H$2:$H$5001))</f>
        <v/>
      </c>
      <c r="J875" s="47" t="n">
        <f aca="false">IF($A875="",0,IF(COUNTIF($A$2:A875,$A875)=1,1,0))</f>
        <v>0</v>
      </c>
      <c r="K875" s="47" t="n">
        <f aca="false">IF(J875=1,N(I875)+ROW()/10000000,0)</f>
        <v>0</v>
      </c>
      <c r="L875" s="47" t="str">
        <f aca="false">IF(AND(J875=1,N(I875)&gt;0),SUMIF($K$2:$K$5001,"&gt;="&amp;K875,$I$2:$I$5001)/MAX(1,SUM($H$2:$H$5001)),"")</f>
        <v/>
      </c>
      <c r="M875" s="47" t="str">
        <f aca="false">IF($A875="","",INDEX($L$2:$L$5001,MATCH($A875,$A$2:$A$5001,0)))</f>
        <v/>
      </c>
      <c r="N875" s="48" t="str">
        <f aca="false">IF($A875="","",IF(N(M875)=0,"–",IF(M875&lt;=Start!$D$20,"A",IF(M875&lt;=Start!$D$21,"B","C"))))</f>
        <v/>
      </c>
      <c r="O875" s="48" t="str">
        <f aca="false">IF($A875="","",IF(NOT(ISNUMBER(F875)),"Wert fehlt; ",IF(F875&lt;=0,"Wert ist 0; ",""))&amp;IF(NOT(ISNUMBER(E875)),"Bestand fehlt; ",IF(E875&lt;0,"Bestand negativ; ",IF(E875=0,"Nullbestand; ","")))&amp;IF(D875="","Warengruppe fehlt; ","")&amp;IF(B875="","Bezeichnung fehlt; ","")&amp;IF(COUNTIFS($A$2:$A$5001,$A875,$C$2:$C$5001,C875)&gt;1,"Artikel doppelt im selben Lager; ",""))</f>
        <v/>
      </c>
      <c r="P875" s="47" t="n">
        <f aca="false">IF(OR($A875="",D875=""),0,IF(COUNTIF($D$2:D875,D875)=1,SUMIF($D$2:$D$5001,D875,$H$2:$H$5001)+ROW()/10000000,0))</f>
        <v>0</v>
      </c>
      <c r="Q875" s="47" t="n">
        <f aca="false">IF(OR($A875="",C875=""),0,IF(COUNTIF($C$2:C875,C875)=1,SUMIF($C$2:$C$5001,C875,$H$2:$H$5001)+ROW()/10000000,0))</f>
        <v>0</v>
      </c>
    </row>
    <row r="876" customFormat="false" ht="15" hidden="false" customHeight="false" outlineLevel="0" collapsed="false">
      <c r="A876" s="43"/>
      <c r="B876" s="44"/>
      <c r="C876" s="44"/>
      <c r="D876" s="44"/>
      <c r="E876" s="44"/>
      <c r="F876" s="44"/>
      <c r="G876" s="44"/>
      <c r="H876" s="46" t="str">
        <f aca="false">IF($A876="","",IF(OR(NOT(ISNUMBER(E876)),NOT(ISNUMBER(F876))),"",MAX(0,E876)*F876))</f>
        <v/>
      </c>
      <c r="I876" s="46" t="str">
        <f aca="false">IF($A876="","",SUMIF($A$2:$A$5001,$A876,$H$2:$H$5001))</f>
        <v/>
      </c>
      <c r="J876" s="47" t="n">
        <f aca="false">IF($A876="",0,IF(COUNTIF($A$2:A876,$A876)=1,1,0))</f>
        <v>0</v>
      </c>
      <c r="K876" s="47" t="n">
        <f aca="false">IF(J876=1,N(I876)+ROW()/10000000,0)</f>
        <v>0</v>
      </c>
      <c r="L876" s="47" t="str">
        <f aca="false">IF(AND(J876=1,N(I876)&gt;0),SUMIF($K$2:$K$5001,"&gt;="&amp;K876,$I$2:$I$5001)/MAX(1,SUM($H$2:$H$5001)),"")</f>
        <v/>
      </c>
      <c r="M876" s="47" t="str">
        <f aca="false">IF($A876="","",INDEX($L$2:$L$5001,MATCH($A876,$A$2:$A$5001,0)))</f>
        <v/>
      </c>
      <c r="N876" s="48" t="str">
        <f aca="false">IF($A876="","",IF(N(M876)=0,"–",IF(M876&lt;=Start!$D$20,"A",IF(M876&lt;=Start!$D$21,"B","C"))))</f>
        <v/>
      </c>
      <c r="O876" s="48" t="str">
        <f aca="false">IF($A876="","",IF(NOT(ISNUMBER(F876)),"Wert fehlt; ",IF(F876&lt;=0,"Wert ist 0; ",""))&amp;IF(NOT(ISNUMBER(E876)),"Bestand fehlt; ",IF(E876&lt;0,"Bestand negativ; ",IF(E876=0,"Nullbestand; ","")))&amp;IF(D876="","Warengruppe fehlt; ","")&amp;IF(B876="","Bezeichnung fehlt; ","")&amp;IF(COUNTIFS($A$2:$A$5001,$A876,$C$2:$C$5001,C876)&gt;1,"Artikel doppelt im selben Lager; ",""))</f>
        <v/>
      </c>
      <c r="P876" s="47" t="n">
        <f aca="false">IF(OR($A876="",D876=""),0,IF(COUNTIF($D$2:D876,D876)=1,SUMIF($D$2:$D$5001,D876,$H$2:$H$5001)+ROW()/10000000,0))</f>
        <v>0</v>
      </c>
      <c r="Q876" s="47" t="n">
        <f aca="false">IF(OR($A876="",C876=""),0,IF(COUNTIF($C$2:C876,C876)=1,SUMIF($C$2:$C$5001,C876,$H$2:$H$5001)+ROW()/10000000,0))</f>
        <v>0</v>
      </c>
    </row>
    <row r="877" customFormat="false" ht="15" hidden="false" customHeight="false" outlineLevel="0" collapsed="false">
      <c r="A877" s="43"/>
      <c r="B877" s="44"/>
      <c r="C877" s="44"/>
      <c r="D877" s="44"/>
      <c r="E877" s="44"/>
      <c r="F877" s="44"/>
      <c r="G877" s="44"/>
      <c r="H877" s="46" t="str">
        <f aca="false">IF($A877="","",IF(OR(NOT(ISNUMBER(E877)),NOT(ISNUMBER(F877))),"",MAX(0,E877)*F877))</f>
        <v/>
      </c>
      <c r="I877" s="46" t="str">
        <f aca="false">IF($A877="","",SUMIF($A$2:$A$5001,$A877,$H$2:$H$5001))</f>
        <v/>
      </c>
      <c r="J877" s="47" t="n">
        <f aca="false">IF($A877="",0,IF(COUNTIF($A$2:A877,$A877)=1,1,0))</f>
        <v>0</v>
      </c>
      <c r="K877" s="47" t="n">
        <f aca="false">IF(J877=1,N(I877)+ROW()/10000000,0)</f>
        <v>0</v>
      </c>
      <c r="L877" s="47" t="str">
        <f aca="false">IF(AND(J877=1,N(I877)&gt;0),SUMIF($K$2:$K$5001,"&gt;="&amp;K877,$I$2:$I$5001)/MAX(1,SUM($H$2:$H$5001)),"")</f>
        <v/>
      </c>
      <c r="M877" s="47" t="str">
        <f aca="false">IF($A877="","",INDEX($L$2:$L$5001,MATCH($A877,$A$2:$A$5001,0)))</f>
        <v/>
      </c>
      <c r="N877" s="48" t="str">
        <f aca="false">IF($A877="","",IF(N(M877)=0,"–",IF(M877&lt;=Start!$D$20,"A",IF(M877&lt;=Start!$D$21,"B","C"))))</f>
        <v/>
      </c>
      <c r="O877" s="48" t="str">
        <f aca="false">IF($A877="","",IF(NOT(ISNUMBER(F877)),"Wert fehlt; ",IF(F877&lt;=0,"Wert ist 0; ",""))&amp;IF(NOT(ISNUMBER(E877)),"Bestand fehlt; ",IF(E877&lt;0,"Bestand negativ; ",IF(E877=0,"Nullbestand; ","")))&amp;IF(D877="","Warengruppe fehlt; ","")&amp;IF(B877="","Bezeichnung fehlt; ","")&amp;IF(COUNTIFS($A$2:$A$5001,$A877,$C$2:$C$5001,C877)&gt;1,"Artikel doppelt im selben Lager; ",""))</f>
        <v/>
      </c>
      <c r="P877" s="47" t="n">
        <f aca="false">IF(OR($A877="",D877=""),0,IF(COUNTIF($D$2:D877,D877)=1,SUMIF($D$2:$D$5001,D877,$H$2:$H$5001)+ROW()/10000000,0))</f>
        <v>0</v>
      </c>
      <c r="Q877" s="47" t="n">
        <f aca="false">IF(OR($A877="",C877=""),0,IF(COUNTIF($C$2:C877,C877)=1,SUMIF($C$2:$C$5001,C877,$H$2:$H$5001)+ROW()/10000000,0))</f>
        <v>0</v>
      </c>
    </row>
    <row r="878" customFormat="false" ht="15" hidden="false" customHeight="false" outlineLevel="0" collapsed="false">
      <c r="A878" s="43"/>
      <c r="B878" s="44"/>
      <c r="C878" s="44"/>
      <c r="D878" s="44"/>
      <c r="E878" s="44"/>
      <c r="F878" s="44"/>
      <c r="G878" s="44"/>
      <c r="H878" s="46" t="str">
        <f aca="false">IF($A878="","",IF(OR(NOT(ISNUMBER(E878)),NOT(ISNUMBER(F878))),"",MAX(0,E878)*F878))</f>
        <v/>
      </c>
      <c r="I878" s="46" t="str">
        <f aca="false">IF($A878="","",SUMIF($A$2:$A$5001,$A878,$H$2:$H$5001))</f>
        <v/>
      </c>
      <c r="J878" s="47" t="n">
        <f aca="false">IF($A878="",0,IF(COUNTIF($A$2:A878,$A878)=1,1,0))</f>
        <v>0</v>
      </c>
      <c r="K878" s="47" t="n">
        <f aca="false">IF(J878=1,N(I878)+ROW()/10000000,0)</f>
        <v>0</v>
      </c>
      <c r="L878" s="47" t="str">
        <f aca="false">IF(AND(J878=1,N(I878)&gt;0),SUMIF($K$2:$K$5001,"&gt;="&amp;K878,$I$2:$I$5001)/MAX(1,SUM($H$2:$H$5001)),"")</f>
        <v/>
      </c>
      <c r="M878" s="47" t="str">
        <f aca="false">IF($A878="","",INDEX($L$2:$L$5001,MATCH($A878,$A$2:$A$5001,0)))</f>
        <v/>
      </c>
      <c r="N878" s="48" t="str">
        <f aca="false">IF($A878="","",IF(N(M878)=0,"–",IF(M878&lt;=Start!$D$20,"A",IF(M878&lt;=Start!$D$21,"B","C"))))</f>
        <v/>
      </c>
      <c r="O878" s="48" t="str">
        <f aca="false">IF($A878="","",IF(NOT(ISNUMBER(F878)),"Wert fehlt; ",IF(F878&lt;=0,"Wert ist 0; ",""))&amp;IF(NOT(ISNUMBER(E878)),"Bestand fehlt; ",IF(E878&lt;0,"Bestand negativ; ",IF(E878=0,"Nullbestand; ","")))&amp;IF(D878="","Warengruppe fehlt; ","")&amp;IF(B878="","Bezeichnung fehlt; ","")&amp;IF(COUNTIFS($A$2:$A$5001,$A878,$C$2:$C$5001,C878)&gt;1,"Artikel doppelt im selben Lager; ",""))</f>
        <v/>
      </c>
      <c r="P878" s="47" t="n">
        <f aca="false">IF(OR($A878="",D878=""),0,IF(COUNTIF($D$2:D878,D878)=1,SUMIF($D$2:$D$5001,D878,$H$2:$H$5001)+ROW()/10000000,0))</f>
        <v>0</v>
      </c>
      <c r="Q878" s="47" t="n">
        <f aca="false">IF(OR($A878="",C878=""),0,IF(COUNTIF($C$2:C878,C878)=1,SUMIF($C$2:$C$5001,C878,$H$2:$H$5001)+ROW()/10000000,0))</f>
        <v>0</v>
      </c>
    </row>
    <row r="879" customFormat="false" ht="15" hidden="false" customHeight="false" outlineLevel="0" collapsed="false">
      <c r="A879" s="43"/>
      <c r="B879" s="44"/>
      <c r="C879" s="44"/>
      <c r="D879" s="44"/>
      <c r="E879" s="44"/>
      <c r="F879" s="44"/>
      <c r="G879" s="44"/>
      <c r="H879" s="46" t="str">
        <f aca="false">IF($A879="","",IF(OR(NOT(ISNUMBER(E879)),NOT(ISNUMBER(F879))),"",MAX(0,E879)*F879))</f>
        <v/>
      </c>
      <c r="I879" s="46" t="str">
        <f aca="false">IF($A879="","",SUMIF($A$2:$A$5001,$A879,$H$2:$H$5001))</f>
        <v/>
      </c>
      <c r="J879" s="47" t="n">
        <f aca="false">IF($A879="",0,IF(COUNTIF($A$2:A879,$A879)=1,1,0))</f>
        <v>0</v>
      </c>
      <c r="K879" s="47" t="n">
        <f aca="false">IF(J879=1,N(I879)+ROW()/10000000,0)</f>
        <v>0</v>
      </c>
      <c r="L879" s="47" t="str">
        <f aca="false">IF(AND(J879=1,N(I879)&gt;0),SUMIF($K$2:$K$5001,"&gt;="&amp;K879,$I$2:$I$5001)/MAX(1,SUM($H$2:$H$5001)),"")</f>
        <v/>
      </c>
      <c r="M879" s="47" t="str">
        <f aca="false">IF($A879="","",INDEX($L$2:$L$5001,MATCH($A879,$A$2:$A$5001,0)))</f>
        <v/>
      </c>
      <c r="N879" s="48" t="str">
        <f aca="false">IF($A879="","",IF(N(M879)=0,"–",IF(M879&lt;=Start!$D$20,"A",IF(M879&lt;=Start!$D$21,"B","C"))))</f>
        <v/>
      </c>
      <c r="O879" s="48" t="str">
        <f aca="false">IF($A879="","",IF(NOT(ISNUMBER(F879)),"Wert fehlt; ",IF(F879&lt;=0,"Wert ist 0; ",""))&amp;IF(NOT(ISNUMBER(E879)),"Bestand fehlt; ",IF(E879&lt;0,"Bestand negativ; ",IF(E879=0,"Nullbestand; ","")))&amp;IF(D879="","Warengruppe fehlt; ","")&amp;IF(B879="","Bezeichnung fehlt; ","")&amp;IF(COUNTIFS($A$2:$A$5001,$A879,$C$2:$C$5001,C879)&gt;1,"Artikel doppelt im selben Lager; ",""))</f>
        <v/>
      </c>
      <c r="P879" s="47" t="n">
        <f aca="false">IF(OR($A879="",D879=""),0,IF(COUNTIF($D$2:D879,D879)=1,SUMIF($D$2:$D$5001,D879,$H$2:$H$5001)+ROW()/10000000,0))</f>
        <v>0</v>
      </c>
      <c r="Q879" s="47" t="n">
        <f aca="false">IF(OR($A879="",C879=""),0,IF(COUNTIF($C$2:C879,C879)=1,SUMIF($C$2:$C$5001,C879,$H$2:$H$5001)+ROW()/10000000,0))</f>
        <v>0</v>
      </c>
    </row>
    <row r="880" customFormat="false" ht="15" hidden="false" customHeight="false" outlineLevel="0" collapsed="false">
      <c r="A880" s="43"/>
      <c r="B880" s="44"/>
      <c r="C880" s="44"/>
      <c r="D880" s="44"/>
      <c r="E880" s="44"/>
      <c r="F880" s="44"/>
      <c r="G880" s="44"/>
      <c r="H880" s="46" t="str">
        <f aca="false">IF($A880="","",IF(OR(NOT(ISNUMBER(E880)),NOT(ISNUMBER(F880))),"",MAX(0,E880)*F880))</f>
        <v/>
      </c>
      <c r="I880" s="46" t="str">
        <f aca="false">IF($A880="","",SUMIF($A$2:$A$5001,$A880,$H$2:$H$5001))</f>
        <v/>
      </c>
      <c r="J880" s="47" t="n">
        <f aca="false">IF($A880="",0,IF(COUNTIF($A$2:A880,$A880)=1,1,0))</f>
        <v>0</v>
      </c>
      <c r="K880" s="47" t="n">
        <f aca="false">IF(J880=1,N(I880)+ROW()/10000000,0)</f>
        <v>0</v>
      </c>
      <c r="L880" s="47" t="str">
        <f aca="false">IF(AND(J880=1,N(I880)&gt;0),SUMIF($K$2:$K$5001,"&gt;="&amp;K880,$I$2:$I$5001)/MAX(1,SUM($H$2:$H$5001)),"")</f>
        <v/>
      </c>
      <c r="M880" s="47" t="str">
        <f aca="false">IF($A880="","",INDEX($L$2:$L$5001,MATCH($A880,$A$2:$A$5001,0)))</f>
        <v/>
      </c>
      <c r="N880" s="48" t="str">
        <f aca="false">IF($A880="","",IF(N(M880)=0,"–",IF(M880&lt;=Start!$D$20,"A",IF(M880&lt;=Start!$D$21,"B","C"))))</f>
        <v/>
      </c>
      <c r="O880" s="48" t="str">
        <f aca="false">IF($A880="","",IF(NOT(ISNUMBER(F880)),"Wert fehlt; ",IF(F880&lt;=0,"Wert ist 0; ",""))&amp;IF(NOT(ISNUMBER(E880)),"Bestand fehlt; ",IF(E880&lt;0,"Bestand negativ; ",IF(E880=0,"Nullbestand; ","")))&amp;IF(D880="","Warengruppe fehlt; ","")&amp;IF(B880="","Bezeichnung fehlt; ","")&amp;IF(COUNTIFS($A$2:$A$5001,$A880,$C$2:$C$5001,C880)&gt;1,"Artikel doppelt im selben Lager; ",""))</f>
        <v/>
      </c>
      <c r="P880" s="47" t="n">
        <f aca="false">IF(OR($A880="",D880=""),0,IF(COUNTIF($D$2:D880,D880)=1,SUMIF($D$2:$D$5001,D880,$H$2:$H$5001)+ROW()/10000000,0))</f>
        <v>0</v>
      </c>
      <c r="Q880" s="47" t="n">
        <f aca="false">IF(OR($A880="",C880=""),0,IF(COUNTIF($C$2:C880,C880)=1,SUMIF($C$2:$C$5001,C880,$H$2:$H$5001)+ROW()/10000000,0))</f>
        <v>0</v>
      </c>
    </row>
    <row r="881" customFormat="false" ht="15" hidden="false" customHeight="false" outlineLevel="0" collapsed="false">
      <c r="A881" s="43"/>
      <c r="B881" s="44"/>
      <c r="C881" s="44"/>
      <c r="D881" s="44"/>
      <c r="E881" s="44"/>
      <c r="F881" s="44"/>
      <c r="G881" s="44"/>
      <c r="H881" s="46" t="str">
        <f aca="false">IF($A881="","",IF(OR(NOT(ISNUMBER(E881)),NOT(ISNUMBER(F881))),"",MAX(0,E881)*F881))</f>
        <v/>
      </c>
      <c r="I881" s="46" t="str">
        <f aca="false">IF($A881="","",SUMIF($A$2:$A$5001,$A881,$H$2:$H$5001))</f>
        <v/>
      </c>
      <c r="J881" s="47" t="n">
        <f aca="false">IF($A881="",0,IF(COUNTIF($A$2:A881,$A881)=1,1,0))</f>
        <v>0</v>
      </c>
      <c r="K881" s="47" t="n">
        <f aca="false">IF(J881=1,N(I881)+ROW()/10000000,0)</f>
        <v>0</v>
      </c>
      <c r="L881" s="47" t="str">
        <f aca="false">IF(AND(J881=1,N(I881)&gt;0),SUMIF($K$2:$K$5001,"&gt;="&amp;K881,$I$2:$I$5001)/MAX(1,SUM($H$2:$H$5001)),"")</f>
        <v/>
      </c>
      <c r="M881" s="47" t="str">
        <f aca="false">IF($A881="","",INDEX($L$2:$L$5001,MATCH($A881,$A$2:$A$5001,0)))</f>
        <v/>
      </c>
      <c r="N881" s="48" t="str">
        <f aca="false">IF($A881="","",IF(N(M881)=0,"–",IF(M881&lt;=Start!$D$20,"A",IF(M881&lt;=Start!$D$21,"B","C"))))</f>
        <v/>
      </c>
      <c r="O881" s="48" t="str">
        <f aca="false">IF($A881="","",IF(NOT(ISNUMBER(F881)),"Wert fehlt; ",IF(F881&lt;=0,"Wert ist 0; ",""))&amp;IF(NOT(ISNUMBER(E881)),"Bestand fehlt; ",IF(E881&lt;0,"Bestand negativ; ",IF(E881=0,"Nullbestand; ","")))&amp;IF(D881="","Warengruppe fehlt; ","")&amp;IF(B881="","Bezeichnung fehlt; ","")&amp;IF(COUNTIFS($A$2:$A$5001,$A881,$C$2:$C$5001,C881)&gt;1,"Artikel doppelt im selben Lager; ",""))</f>
        <v/>
      </c>
      <c r="P881" s="47" t="n">
        <f aca="false">IF(OR($A881="",D881=""),0,IF(COUNTIF($D$2:D881,D881)=1,SUMIF($D$2:$D$5001,D881,$H$2:$H$5001)+ROW()/10000000,0))</f>
        <v>0</v>
      </c>
      <c r="Q881" s="47" t="n">
        <f aca="false">IF(OR($A881="",C881=""),0,IF(COUNTIF($C$2:C881,C881)=1,SUMIF($C$2:$C$5001,C881,$H$2:$H$5001)+ROW()/10000000,0))</f>
        <v>0</v>
      </c>
    </row>
    <row r="882" customFormat="false" ht="15" hidden="false" customHeight="false" outlineLevel="0" collapsed="false">
      <c r="A882" s="43"/>
      <c r="B882" s="44"/>
      <c r="C882" s="44"/>
      <c r="D882" s="44"/>
      <c r="E882" s="44"/>
      <c r="F882" s="44"/>
      <c r="G882" s="44"/>
      <c r="H882" s="46" t="str">
        <f aca="false">IF($A882="","",IF(OR(NOT(ISNUMBER(E882)),NOT(ISNUMBER(F882))),"",MAX(0,E882)*F882))</f>
        <v/>
      </c>
      <c r="I882" s="46" t="str">
        <f aca="false">IF($A882="","",SUMIF($A$2:$A$5001,$A882,$H$2:$H$5001))</f>
        <v/>
      </c>
      <c r="J882" s="47" t="n">
        <f aca="false">IF($A882="",0,IF(COUNTIF($A$2:A882,$A882)=1,1,0))</f>
        <v>0</v>
      </c>
      <c r="K882" s="47" t="n">
        <f aca="false">IF(J882=1,N(I882)+ROW()/10000000,0)</f>
        <v>0</v>
      </c>
      <c r="L882" s="47" t="str">
        <f aca="false">IF(AND(J882=1,N(I882)&gt;0),SUMIF($K$2:$K$5001,"&gt;="&amp;K882,$I$2:$I$5001)/MAX(1,SUM($H$2:$H$5001)),"")</f>
        <v/>
      </c>
      <c r="M882" s="47" t="str">
        <f aca="false">IF($A882="","",INDEX($L$2:$L$5001,MATCH($A882,$A$2:$A$5001,0)))</f>
        <v/>
      </c>
      <c r="N882" s="48" t="str">
        <f aca="false">IF($A882="","",IF(N(M882)=0,"–",IF(M882&lt;=Start!$D$20,"A",IF(M882&lt;=Start!$D$21,"B","C"))))</f>
        <v/>
      </c>
      <c r="O882" s="48" t="str">
        <f aca="false">IF($A882="","",IF(NOT(ISNUMBER(F882)),"Wert fehlt; ",IF(F882&lt;=0,"Wert ist 0; ",""))&amp;IF(NOT(ISNUMBER(E882)),"Bestand fehlt; ",IF(E882&lt;0,"Bestand negativ; ",IF(E882=0,"Nullbestand; ","")))&amp;IF(D882="","Warengruppe fehlt; ","")&amp;IF(B882="","Bezeichnung fehlt; ","")&amp;IF(COUNTIFS($A$2:$A$5001,$A882,$C$2:$C$5001,C882)&gt;1,"Artikel doppelt im selben Lager; ",""))</f>
        <v/>
      </c>
      <c r="P882" s="47" t="n">
        <f aca="false">IF(OR($A882="",D882=""),0,IF(COUNTIF($D$2:D882,D882)=1,SUMIF($D$2:$D$5001,D882,$H$2:$H$5001)+ROW()/10000000,0))</f>
        <v>0</v>
      </c>
      <c r="Q882" s="47" t="n">
        <f aca="false">IF(OR($A882="",C882=""),0,IF(COUNTIF($C$2:C882,C882)=1,SUMIF($C$2:$C$5001,C882,$H$2:$H$5001)+ROW()/10000000,0))</f>
        <v>0</v>
      </c>
    </row>
    <row r="883" customFormat="false" ht="15" hidden="false" customHeight="false" outlineLevel="0" collapsed="false">
      <c r="A883" s="43"/>
      <c r="B883" s="44"/>
      <c r="C883" s="44"/>
      <c r="D883" s="44"/>
      <c r="E883" s="44"/>
      <c r="F883" s="44"/>
      <c r="G883" s="44"/>
      <c r="H883" s="46" t="str">
        <f aca="false">IF($A883="","",IF(OR(NOT(ISNUMBER(E883)),NOT(ISNUMBER(F883))),"",MAX(0,E883)*F883))</f>
        <v/>
      </c>
      <c r="I883" s="46" t="str">
        <f aca="false">IF($A883="","",SUMIF($A$2:$A$5001,$A883,$H$2:$H$5001))</f>
        <v/>
      </c>
      <c r="J883" s="47" t="n">
        <f aca="false">IF($A883="",0,IF(COUNTIF($A$2:A883,$A883)=1,1,0))</f>
        <v>0</v>
      </c>
      <c r="K883" s="47" t="n">
        <f aca="false">IF(J883=1,N(I883)+ROW()/10000000,0)</f>
        <v>0</v>
      </c>
      <c r="L883" s="47" t="str">
        <f aca="false">IF(AND(J883=1,N(I883)&gt;0),SUMIF($K$2:$K$5001,"&gt;="&amp;K883,$I$2:$I$5001)/MAX(1,SUM($H$2:$H$5001)),"")</f>
        <v/>
      </c>
      <c r="M883" s="47" t="str">
        <f aca="false">IF($A883="","",INDEX($L$2:$L$5001,MATCH($A883,$A$2:$A$5001,0)))</f>
        <v/>
      </c>
      <c r="N883" s="48" t="str">
        <f aca="false">IF($A883="","",IF(N(M883)=0,"–",IF(M883&lt;=Start!$D$20,"A",IF(M883&lt;=Start!$D$21,"B","C"))))</f>
        <v/>
      </c>
      <c r="O883" s="48" t="str">
        <f aca="false">IF($A883="","",IF(NOT(ISNUMBER(F883)),"Wert fehlt; ",IF(F883&lt;=0,"Wert ist 0; ",""))&amp;IF(NOT(ISNUMBER(E883)),"Bestand fehlt; ",IF(E883&lt;0,"Bestand negativ; ",IF(E883=0,"Nullbestand; ","")))&amp;IF(D883="","Warengruppe fehlt; ","")&amp;IF(B883="","Bezeichnung fehlt; ","")&amp;IF(COUNTIFS($A$2:$A$5001,$A883,$C$2:$C$5001,C883)&gt;1,"Artikel doppelt im selben Lager; ",""))</f>
        <v/>
      </c>
      <c r="P883" s="47" t="n">
        <f aca="false">IF(OR($A883="",D883=""),0,IF(COUNTIF($D$2:D883,D883)=1,SUMIF($D$2:$D$5001,D883,$H$2:$H$5001)+ROW()/10000000,0))</f>
        <v>0</v>
      </c>
      <c r="Q883" s="47" t="n">
        <f aca="false">IF(OR($A883="",C883=""),0,IF(COUNTIF($C$2:C883,C883)=1,SUMIF($C$2:$C$5001,C883,$H$2:$H$5001)+ROW()/10000000,0))</f>
        <v>0</v>
      </c>
    </row>
    <row r="884" customFormat="false" ht="15" hidden="false" customHeight="false" outlineLevel="0" collapsed="false">
      <c r="A884" s="43"/>
      <c r="B884" s="44"/>
      <c r="C884" s="44"/>
      <c r="D884" s="44"/>
      <c r="E884" s="44"/>
      <c r="F884" s="44"/>
      <c r="G884" s="44"/>
      <c r="H884" s="46" t="str">
        <f aca="false">IF($A884="","",IF(OR(NOT(ISNUMBER(E884)),NOT(ISNUMBER(F884))),"",MAX(0,E884)*F884))</f>
        <v/>
      </c>
      <c r="I884" s="46" t="str">
        <f aca="false">IF($A884="","",SUMIF($A$2:$A$5001,$A884,$H$2:$H$5001))</f>
        <v/>
      </c>
      <c r="J884" s="47" t="n">
        <f aca="false">IF($A884="",0,IF(COUNTIF($A$2:A884,$A884)=1,1,0))</f>
        <v>0</v>
      </c>
      <c r="K884" s="47" t="n">
        <f aca="false">IF(J884=1,N(I884)+ROW()/10000000,0)</f>
        <v>0</v>
      </c>
      <c r="L884" s="47" t="str">
        <f aca="false">IF(AND(J884=1,N(I884)&gt;0),SUMIF($K$2:$K$5001,"&gt;="&amp;K884,$I$2:$I$5001)/MAX(1,SUM($H$2:$H$5001)),"")</f>
        <v/>
      </c>
      <c r="M884" s="47" t="str">
        <f aca="false">IF($A884="","",INDEX($L$2:$L$5001,MATCH($A884,$A$2:$A$5001,0)))</f>
        <v/>
      </c>
      <c r="N884" s="48" t="str">
        <f aca="false">IF($A884="","",IF(N(M884)=0,"–",IF(M884&lt;=Start!$D$20,"A",IF(M884&lt;=Start!$D$21,"B","C"))))</f>
        <v/>
      </c>
      <c r="O884" s="48" t="str">
        <f aca="false">IF($A884="","",IF(NOT(ISNUMBER(F884)),"Wert fehlt; ",IF(F884&lt;=0,"Wert ist 0; ",""))&amp;IF(NOT(ISNUMBER(E884)),"Bestand fehlt; ",IF(E884&lt;0,"Bestand negativ; ",IF(E884=0,"Nullbestand; ","")))&amp;IF(D884="","Warengruppe fehlt; ","")&amp;IF(B884="","Bezeichnung fehlt; ","")&amp;IF(COUNTIFS($A$2:$A$5001,$A884,$C$2:$C$5001,C884)&gt;1,"Artikel doppelt im selben Lager; ",""))</f>
        <v/>
      </c>
      <c r="P884" s="47" t="n">
        <f aca="false">IF(OR($A884="",D884=""),0,IF(COUNTIF($D$2:D884,D884)=1,SUMIF($D$2:$D$5001,D884,$H$2:$H$5001)+ROW()/10000000,0))</f>
        <v>0</v>
      </c>
      <c r="Q884" s="47" t="n">
        <f aca="false">IF(OR($A884="",C884=""),0,IF(COUNTIF($C$2:C884,C884)=1,SUMIF($C$2:$C$5001,C884,$H$2:$H$5001)+ROW()/10000000,0))</f>
        <v>0</v>
      </c>
    </row>
    <row r="885" customFormat="false" ht="15" hidden="false" customHeight="false" outlineLevel="0" collapsed="false">
      <c r="A885" s="43"/>
      <c r="B885" s="44"/>
      <c r="C885" s="44"/>
      <c r="D885" s="44"/>
      <c r="E885" s="44"/>
      <c r="F885" s="44"/>
      <c r="G885" s="44"/>
      <c r="H885" s="46" t="str">
        <f aca="false">IF($A885="","",IF(OR(NOT(ISNUMBER(E885)),NOT(ISNUMBER(F885))),"",MAX(0,E885)*F885))</f>
        <v/>
      </c>
      <c r="I885" s="46" t="str">
        <f aca="false">IF($A885="","",SUMIF($A$2:$A$5001,$A885,$H$2:$H$5001))</f>
        <v/>
      </c>
      <c r="J885" s="47" t="n">
        <f aca="false">IF($A885="",0,IF(COUNTIF($A$2:A885,$A885)=1,1,0))</f>
        <v>0</v>
      </c>
      <c r="K885" s="47" t="n">
        <f aca="false">IF(J885=1,N(I885)+ROW()/10000000,0)</f>
        <v>0</v>
      </c>
      <c r="L885" s="47" t="str">
        <f aca="false">IF(AND(J885=1,N(I885)&gt;0),SUMIF($K$2:$K$5001,"&gt;="&amp;K885,$I$2:$I$5001)/MAX(1,SUM($H$2:$H$5001)),"")</f>
        <v/>
      </c>
      <c r="M885" s="47" t="str">
        <f aca="false">IF($A885="","",INDEX($L$2:$L$5001,MATCH($A885,$A$2:$A$5001,0)))</f>
        <v/>
      </c>
      <c r="N885" s="48" t="str">
        <f aca="false">IF($A885="","",IF(N(M885)=0,"–",IF(M885&lt;=Start!$D$20,"A",IF(M885&lt;=Start!$D$21,"B","C"))))</f>
        <v/>
      </c>
      <c r="O885" s="48" t="str">
        <f aca="false">IF($A885="","",IF(NOT(ISNUMBER(F885)),"Wert fehlt; ",IF(F885&lt;=0,"Wert ist 0; ",""))&amp;IF(NOT(ISNUMBER(E885)),"Bestand fehlt; ",IF(E885&lt;0,"Bestand negativ; ",IF(E885=0,"Nullbestand; ","")))&amp;IF(D885="","Warengruppe fehlt; ","")&amp;IF(B885="","Bezeichnung fehlt; ","")&amp;IF(COUNTIFS($A$2:$A$5001,$A885,$C$2:$C$5001,C885)&gt;1,"Artikel doppelt im selben Lager; ",""))</f>
        <v/>
      </c>
      <c r="P885" s="47" t="n">
        <f aca="false">IF(OR($A885="",D885=""),0,IF(COUNTIF($D$2:D885,D885)=1,SUMIF($D$2:$D$5001,D885,$H$2:$H$5001)+ROW()/10000000,0))</f>
        <v>0</v>
      </c>
      <c r="Q885" s="47" t="n">
        <f aca="false">IF(OR($A885="",C885=""),0,IF(COUNTIF($C$2:C885,C885)=1,SUMIF($C$2:$C$5001,C885,$H$2:$H$5001)+ROW()/10000000,0))</f>
        <v>0</v>
      </c>
    </row>
    <row r="886" customFormat="false" ht="15" hidden="false" customHeight="false" outlineLevel="0" collapsed="false">
      <c r="A886" s="43"/>
      <c r="B886" s="44"/>
      <c r="C886" s="44"/>
      <c r="D886" s="44"/>
      <c r="E886" s="44"/>
      <c r="F886" s="44"/>
      <c r="G886" s="44"/>
      <c r="H886" s="46" t="str">
        <f aca="false">IF($A886="","",IF(OR(NOT(ISNUMBER(E886)),NOT(ISNUMBER(F886))),"",MAX(0,E886)*F886))</f>
        <v/>
      </c>
      <c r="I886" s="46" t="str">
        <f aca="false">IF($A886="","",SUMIF($A$2:$A$5001,$A886,$H$2:$H$5001))</f>
        <v/>
      </c>
      <c r="J886" s="47" t="n">
        <f aca="false">IF($A886="",0,IF(COUNTIF($A$2:A886,$A886)=1,1,0))</f>
        <v>0</v>
      </c>
      <c r="K886" s="47" t="n">
        <f aca="false">IF(J886=1,N(I886)+ROW()/10000000,0)</f>
        <v>0</v>
      </c>
      <c r="L886" s="47" t="str">
        <f aca="false">IF(AND(J886=1,N(I886)&gt;0),SUMIF($K$2:$K$5001,"&gt;="&amp;K886,$I$2:$I$5001)/MAX(1,SUM($H$2:$H$5001)),"")</f>
        <v/>
      </c>
      <c r="M886" s="47" t="str">
        <f aca="false">IF($A886="","",INDEX($L$2:$L$5001,MATCH($A886,$A$2:$A$5001,0)))</f>
        <v/>
      </c>
      <c r="N886" s="48" t="str">
        <f aca="false">IF($A886="","",IF(N(M886)=0,"–",IF(M886&lt;=Start!$D$20,"A",IF(M886&lt;=Start!$D$21,"B","C"))))</f>
        <v/>
      </c>
      <c r="O886" s="48" t="str">
        <f aca="false">IF($A886="","",IF(NOT(ISNUMBER(F886)),"Wert fehlt; ",IF(F886&lt;=0,"Wert ist 0; ",""))&amp;IF(NOT(ISNUMBER(E886)),"Bestand fehlt; ",IF(E886&lt;0,"Bestand negativ; ",IF(E886=0,"Nullbestand; ","")))&amp;IF(D886="","Warengruppe fehlt; ","")&amp;IF(B886="","Bezeichnung fehlt; ","")&amp;IF(COUNTIFS($A$2:$A$5001,$A886,$C$2:$C$5001,C886)&gt;1,"Artikel doppelt im selben Lager; ",""))</f>
        <v/>
      </c>
      <c r="P886" s="47" t="n">
        <f aca="false">IF(OR($A886="",D886=""),0,IF(COUNTIF($D$2:D886,D886)=1,SUMIF($D$2:$D$5001,D886,$H$2:$H$5001)+ROW()/10000000,0))</f>
        <v>0</v>
      </c>
      <c r="Q886" s="47" t="n">
        <f aca="false">IF(OR($A886="",C886=""),0,IF(COUNTIF($C$2:C886,C886)=1,SUMIF($C$2:$C$5001,C886,$H$2:$H$5001)+ROW()/10000000,0))</f>
        <v>0</v>
      </c>
    </row>
    <row r="887" customFormat="false" ht="15" hidden="false" customHeight="false" outlineLevel="0" collapsed="false">
      <c r="A887" s="43"/>
      <c r="B887" s="44"/>
      <c r="C887" s="44"/>
      <c r="D887" s="44"/>
      <c r="E887" s="44"/>
      <c r="F887" s="44"/>
      <c r="G887" s="44"/>
      <c r="H887" s="46" t="str">
        <f aca="false">IF($A887="","",IF(OR(NOT(ISNUMBER(E887)),NOT(ISNUMBER(F887))),"",MAX(0,E887)*F887))</f>
        <v/>
      </c>
      <c r="I887" s="46" t="str">
        <f aca="false">IF($A887="","",SUMIF($A$2:$A$5001,$A887,$H$2:$H$5001))</f>
        <v/>
      </c>
      <c r="J887" s="47" t="n">
        <f aca="false">IF($A887="",0,IF(COUNTIF($A$2:A887,$A887)=1,1,0))</f>
        <v>0</v>
      </c>
      <c r="K887" s="47" t="n">
        <f aca="false">IF(J887=1,N(I887)+ROW()/10000000,0)</f>
        <v>0</v>
      </c>
      <c r="L887" s="47" t="str">
        <f aca="false">IF(AND(J887=1,N(I887)&gt;0),SUMIF($K$2:$K$5001,"&gt;="&amp;K887,$I$2:$I$5001)/MAX(1,SUM($H$2:$H$5001)),"")</f>
        <v/>
      </c>
      <c r="M887" s="47" t="str">
        <f aca="false">IF($A887="","",INDEX($L$2:$L$5001,MATCH($A887,$A$2:$A$5001,0)))</f>
        <v/>
      </c>
      <c r="N887" s="48" t="str">
        <f aca="false">IF($A887="","",IF(N(M887)=0,"–",IF(M887&lt;=Start!$D$20,"A",IF(M887&lt;=Start!$D$21,"B","C"))))</f>
        <v/>
      </c>
      <c r="O887" s="48" t="str">
        <f aca="false">IF($A887="","",IF(NOT(ISNUMBER(F887)),"Wert fehlt; ",IF(F887&lt;=0,"Wert ist 0; ",""))&amp;IF(NOT(ISNUMBER(E887)),"Bestand fehlt; ",IF(E887&lt;0,"Bestand negativ; ",IF(E887=0,"Nullbestand; ","")))&amp;IF(D887="","Warengruppe fehlt; ","")&amp;IF(B887="","Bezeichnung fehlt; ","")&amp;IF(COUNTIFS($A$2:$A$5001,$A887,$C$2:$C$5001,C887)&gt;1,"Artikel doppelt im selben Lager; ",""))</f>
        <v/>
      </c>
      <c r="P887" s="47" t="n">
        <f aca="false">IF(OR($A887="",D887=""),0,IF(COUNTIF($D$2:D887,D887)=1,SUMIF($D$2:$D$5001,D887,$H$2:$H$5001)+ROW()/10000000,0))</f>
        <v>0</v>
      </c>
      <c r="Q887" s="47" t="n">
        <f aca="false">IF(OR($A887="",C887=""),0,IF(COUNTIF($C$2:C887,C887)=1,SUMIF($C$2:$C$5001,C887,$H$2:$H$5001)+ROW()/10000000,0))</f>
        <v>0</v>
      </c>
    </row>
    <row r="888" customFormat="false" ht="15" hidden="false" customHeight="false" outlineLevel="0" collapsed="false">
      <c r="A888" s="43"/>
      <c r="B888" s="44"/>
      <c r="C888" s="44"/>
      <c r="D888" s="44"/>
      <c r="E888" s="44"/>
      <c r="F888" s="44"/>
      <c r="G888" s="44"/>
      <c r="H888" s="46" t="str">
        <f aca="false">IF($A888="","",IF(OR(NOT(ISNUMBER(E888)),NOT(ISNUMBER(F888))),"",MAX(0,E888)*F888))</f>
        <v/>
      </c>
      <c r="I888" s="46" t="str">
        <f aca="false">IF($A888="","",SUMIF($A$2:$A$5001,$A888,$H$2:$H$5001))</f>
        <v/>
      </c>
      <c r="J888" s="47" t="n">
        <f aca="false">IF($A888="",0,IF(COUNTIF($A$2:A888,$A888)=1,1,0))</f>
        <v>0</v>
      </c>
      <c r="K888" s="47" t="n">
        <f aca="false">IF(J888=1,N(I888)+ROW()/10000000,0)</f>
        <v>0</v>
      </c>
      <c r="L888" s="47" t="str">
        <f aca="false">IF(AND(J888=1,N(I888)&gt;0),SUMIF($K$2:$K$5001,"&gt;="&amp;K888,$I$2:$I$5001)/MAX(1,SUM($H$2:$H$5001)),"")</f>
        <v/>
      </c>
      <c r="M888" s="47" t="str">
        <f aca="false">IF($A888="","",INDEX($L$2:$L$5001,MATCH($A888,$A$2:$A$5001,0)))</f>
        <v/>
      </c>
      <c r="N888" s="48" t="str">
        <f aca="false">IF($A888="","",IF(N(M888)=0,"–",IF(M888&lt;=Start!$D$20,"A",IF(M888&lt;=Start!$D$21,"B","C"))))</f>
        <v/>
      </c>
      <c r="O888" s="48" t="str">
        <f aca="false">IF($A888="","",IF(NOT(ISNUMBER(F888)),"Wert fehlt; ",IF(F888&lt;=0,"Wert ist 0; ",""))&amp;IF(NOT(ISNUMBER(E888)),"Bestand fehlt; ",IF(E888&lt;0,"Bestand negativ; ",IF(E888=0,"Nullbestand; ","")))&amp;IF(D888="","Warengruppe fehlt; ","")&amp;IF(B888="","Bezeichnung fehlt; ","")&amp;IF(COUNTIFS($A$2:$A$5001,$A888,$C$2:$C$5001,C888)&gt;1,"Artikel doppelt im selben Lager; ",""))</f>
        <v/>
      </c>
      <c r="P888" s="47" t="n">
        <f aca="false">IF(OR($A888="",D888=""),0,IF(COUNTIF($D$2:D888,D888)=1,SUMIF($D$2:$D$5001,D888,$H$2:$H$5001)+ROW()/10000000,0))</f>
        <v>0</v>
      </c>
      <c r="Q888" s="47" t="n">
        <f aca="false">IF(OR($A888="",C888=""),0,IF(COUNTIF($C$2:C888,C888)=1,SUMIF($C$2:$C$5001,C888,$H$2:$H$5001)+ROW()/10000000,0))</f>
        <v>0</v>
      </c>
    </row>
    <row r="889" customFormat="false" ht="15" hidden="false" customHeight="false" outlineLevel="0" collapsed="false">
      <c r="A889" s="43"/>
      <c r="B889" s="44"/>
      <c r="C889" s="44"/>
      <c r="D889" s="44"/>
      <c r="E889" s="44"/>
      <c r="F889" s="44"/>
      <c r="G889" s="44"/>
      <c r="H889" s="46" t="str">
        <f aca="false">IF($A889="","",IF(OR(NOT(ISNUMBER(E889)),NOT(ISNUMBER(F889))),"",MAX(0,E889)*F889))</f>
        <v/>
      </c>
      <c r="I889" s="46" t="str">
        <f aca="false">IF($A889="","",SUMIF($A$2:$A$5001,$A889,$H$2:$H$5001))</f>
        <v/>
      </c>
      <c r="J889" s="47" t="n">
        <f aca="false">IF($A889="",0,IF(COUNTIF($A$2:A889,$A889)=1,1,0))</f>
        <v>0</v>
      </c>
      <c r="K889" s="47" t="n">
        <f aca="false">IF(J889=1,N(I889)+ROW()/10000000,0)</f>
        <v>0</v>
      </c>
      <c r="L889" s="47" t="str">
        <f aca="false">IF(AND(J889=1,N(I889)&gt;0),SUMIF($K$2:$K$5001,"&gt;="&amp;K889,$I$2:$I$5001)/MAX(1,SUM($H$2:$H$5001)),"")</f>
        <v/>
      </c>
      <c r="M889" s="47" t="str">
        <f aca="false">IF($A889="","",INDEX($L$2:$L$5001,MATCH($A889,$A$2:$A$5001,0)))</f>
        <v/>
      </c>
      <c r="N889" s="48" t="str">
        <f aca="false">IF($A889="","",IF(N(M889)=0,"–",IF(M889&lt;=Start!$D$20,"A",IF(M889&lt;=Start!$D$21,"B","C"))))</f>
        <v/>
      </c>
      <c r="O889" s="48" t="str">
        <f aca="false">IF($A889="","",IF(NOT(ISNUMBER(F889)),"Wert fehlt; ",IF(F889&lt;=0,"Wert ist 0; ",""))&amp;IF(NOT(ISNUMBER(E889)),"Bestand fehlt; ",IF(E889&lt;0,"Bestand negativ; ",IF(E889=0,"Nullbestand; ","")))&amp;IF(D889="","Warengruppe fehlt; ","")&amp;IF(B889="","Bezeichnung fehlt; ","")&amp;IF(COUNTIFS($A$2:$A$5001,$A889,$C$2:$C$5001,C889)&gt;1,"Artikel doppelt im selben Lager; ",""))</f>
        <v/>
      </c>
      <c r="P889" s="47" t="n">
        <f aca="false">IF(OR($A889="",D889=""),0,IF(COUNTIF($D$2:D889,D889)=1,SUMIF($D$2:$D$5001,D889,$H$2:$H$5001)+ROW()/10000000,0))</f>
        <v>0</v>
      </c>
      <c r="Q889" s="47" t="n">
        <f aca="false">IF(OR($A889="",C889=""),0,IF(COUNTIF($C$2:C889,C889)=1,SUMIF($C$2:$C$5001,C889,$H$2:$H$5001)+ROW()/10000000,0))</f>
        <v>0</v>
      </c>
    </row>
    <row r="890" customFormat="false" ht="15" hidden="false" customHeight="false" outlineLevel="0" collapsed="false">
      <c r="A890" s="43"/>
      <c r="B890" s="44"/>
      <c r="C890" s="44"/>
      <c r="D890" s="44"/>
      <c r="E890" s="44"/>
      <c r="F890" s="44"/>
      <c r="G890" s="44"/>
      <c r="H890" s="46" t="str">
        <f aca="false">IF($A890="","",IF(OR(NOT(ISNUMBER(E890)),NOT(ISNUMBER(F890))),"",MAX(0,E890)*F890))</f>
        <v/>
      </c>
      <c r="I890" s="46" t="str">
        <f aca="false">IF($A890="","",SUMIF($A$2:$A$5001,$A890,$H$2:$H$5001))</f>
        <v/>
      </c>
      <c r="J890" s="47" t="n">
        <f aca="false">IF($A890="",0,IF(COUNTIF($A$2:A890,$A890)=1,1,0))</f>
        <v>0</v>
      </c>
      <c r="K890" s="47" t="n">
        <f aca="false">IF(J890=1,N(I890)+ROW()/10000000,0)</f>
        <v>0</v>
      </c>
      <c r="L890" s="47" t="str">
        <f aca="false">IF(AND(J890=1,N(I890)&gt;0),SUMIF($K$2:$K$5001,"&gt;="&amp;K890,$I$2:$I$5001)/MAX(1,SUM($H$2:$H$5001)),"")</f>
        <v/>
      </c>
      <c r="M890" s="47" t="str">
        <f aca="false">IF($A890="","",INDEX($L$2:$L$5001,MATCH($A890,$A$2:$A$5001,0)))</f>
        <v/>
      </c>
      <c r="N890" s="48" t="str">
        <f aca="false">IF($A890="","",IF(N(M890)=0,"–",IF(M890&lt;=Start!$D$20,"A",IF(M890&lt;=Start!$D$21,"B","C"))))</f>
        <v/>
      </c>
      <c r="O890" s="48" t="str">
        <f aca="false">IF($A890="","",IF(NOT(ISNUMBER(F890)),"Wert fehlt; ",IF(F890&lt;=0,"Wert ist 0; ",""))&amp;IF(NOT(ISNUMBER(E890)),"Bestand fehlt; ",IF(E890&lt;0,"Bestand negativ; ",IF(E890=0,"Nullbestand; ","")))&amp;IF(D890="","Warengruppe fehlt; ","")&amp;IF(B890="","Bezeichnung fehlt; ","")&amp;IF(COUNTIFS($A$2:$A$5001,$A890,$C$2:$C$5001,C890)&gt;1,"Artikel doppelt im selben Lager; ",""))</f>
        <v/>
      </c>
      <c r="P890" s="47" t="n">
        <f aca="false">IF(OR($A890="",D890=""),0,IF(COUNTIF($D$2:D890,D890)=1,SUMIF($D$2:$D$5001,D890,$H$2:$H$5001)+ROW()/10000000,0))</f>
        <v>0</v>
      </c>
      <c r="Q890" s="47" t="n">
        <f aca="false">IF(OR($A890="",C890=""),0,IF(COUNTIF($C$2:C890,C890)=1,SUMIF($C$2:$C$5001,C890,$H$2:$H$5001)+ROW()/10000000,0))</f>
        <v>0</v>
      </c>
    </row>
    <row r="891" customFormat="false" ht="15" hidden="false" customHeight="false" outlineLevel="0" collapsed="false">
      <c r="A891" s="43"/>
      <c r="B891" s="44"/>
      <c r="C891" s="44"/>
      <c r="D891" s="44"/>
      <c r="E891" s="44"/>
      <c r="F891" s="44"/>
      <c r="G891" s="44"/>
      <c r="H891" s="46" t="str">
        <f aca="false">IF($A891="","",IF(OR(NOT(ISNUMBER(E891)),NOT(ISNUMBER(F891))),"",MAX(0,E891)*F891))</f>
        <v/>
      </c>
      <c r="I891" s="46" t="str">
        <f aca="false">IF($A891="","",SUMIF($A$2:$A$5001,$A891,$H$2:$H$5001))</f>
        <v/>
      </c>
      <c r="J891" s="47" t="n">
        <f aca="false">IF($A891="",0,IF(COUNTIF($A$2:A891,$A891)=1,1,0))</f>
        <v>0</v>
      </c>
      <c r="K891" s="47" t="n">
        <f aca="false">IF(J891=1,N(I891)+ROW()/10000000,0)</f>
        <v>0</v>
      </c>
      <c r="L891" s="47" t="str">
        <f aca="false">IF(AND(J891=1,N(I891)&gt;0),SUMIF($K$2:$K$5001,"&gt;="&amp;K891,$I$2:$I$5001)/MAX(1,SUM($H$2:$H$5001)),"")</f>
        <v/>
      </c>
      <c r="M891" s="47" t="str">
        <f aca="false">IF($A891="","",INDEX($L$2:$L$5001,MATCH($A891,$A$2:$A$5001,0)))</f>
        <v/>
      </c>
      <c r="N891" s="48" t="str">
        <f aca="false">IF($A891="","",IF(N(M891)=0,"–",IF(M891&lt;=Start!$D$20,"A",IF(M891&lt;=Start!$D$21,"B","C"))))</f>
        <v/>
      </c>
      <c r="O891" s="48" t="str">
        <f aca="false">IF($A891="","",IF(NOT(ISNUMBER(F891)),"Wert fehlt; ",IF(F891&lt;=0,"Wert ist 0; ",""))&amp;IF(NOT(ISNUMBER(E891)),"Bestand fehlt; ",IF(E891&lt;0,"Bestand negativ; ",IF(E891=0,"Nullbestand; ","")))&amp;IF(D891="","Warengruppe fehlt; ","")&amp;IF(B891="","Bezeichnung fehlt; ","")&amp;IF(COUNTIFS($A$2:$A$5001,$A891,$C$2:$C$5001,C891)&gt;1,"Artikel doppelt im selben Lager; ",""))</f>
        <v/>
      </c>
      <c r="P891" s="47" t="n">
        <f aca="false">IF(OR($A891="",D891=""),0,IF(COUNTIF($D$2:D891,D891)=1,SUMIF($D$2:$D$5001,D891,$H$2:$H$5001)+ROW()/10000000,0))</f>
        <v>0</v>
      </c>
      <c r="Q891" s="47" t="n">
        <f aca="false">IF(OR($A891="",C891=""),0,IF(COUNTIF($C$2:C891,C891)=1,SUMIF($C$2:$C$5001,C891,$H$2:$H$5001)+ROW()/10000000,0))</f>
        <v>0</v>
      </c>
    </row>
    <row r="892" customFormat="false" ht="15" hidden="false" customHeight="false" outlineLevel="0" collapsed="false">
      <c r="A892" s="43"/>
      <c r="B892" s="44"/>
      <c r="C892" s="44"/>
      <c r="D892" s="44"/>
      <c r="E892" s="44"/>
      <c r="F892" s="44"/>
      <c r="G892" s="44"/>
      <c r="H892" s="46" t="str">
        <f aca="false">IF($A892="","",IF(OR(NOT(ISNUMBER(E892)),NOT(ISNUMBER(F892))),"",MAX(0,E892)*F892))</f>
        <v/>
      </c>
      <c r="I892" s="46" t="str">
        <f aca="false">IF($A892="","",SUMIF($A$2:$A$5001,$A892,$H$2:$H$5001))</f>
        <v/>
      </c>
      <c r="J892" s="47" t="n">
        <f aca="false">IF($A892="",0,IF(COUNTIF($A$2:A892,$A892)=1,1,0))</f>
        <v>0</v>
      </c>
      <c r="K892" s="47" t="n">
        <f aca="false">IF(J892=1,N(I892)+ROW()/10000000,0)</f>
        <v>0</v>
      </c>
      <c r="L892" s="47" t="str">
        <f aca="false">IF(AND(J892=1,N(I892)&gt;0),SUMIF($K$2:$K$5001,"&gt;="&amp;K892,$I$2:$I$5001)/MAX(1,SUM($H$2:$H$5001)),"")</f>
        <v/>
      </c>
      <c r="M892" s="47" t="str">
        <f aca="false">IF($A892="","",INDEX($L$2:$L$5001,MATCH($A892,$A$2:$A$5001,0)))</f>
        <v/>
      </c>
      <c r="N892" s="48" t="str">
        <f aca="false">IF($A892="","",IF(N(M892)=0,"–",IF(M892&lt;=Start!$D$20,"A",IF(M892&lt;=Start!$D$21,"B","C"))))</f>
        <v/>
      </c>
      <c r="O892" s="48" t="str">
        <f aca="false">IF($A892="","",IF(NOT(ISNUMBER(F892)),"Wert fehlt; ",IF(F892&lt;=0,"Wert ist 0; ",""))&amp;IF(NOT(ISNUMBER(E892)),"Bestand fehlt; ",IF(E892&lt;0,"Bestand negativ; ",IF(E892=0,"Nullbestand; ","")))&amp;IF(D892="","Warengruppe fehlt; ","")&amp;IF(B892="","Bezeichnung fehlt; ","")&amp;IF(COUNTIFS($A$2:$A$5001,$A892,$C$2:$C$5001,C892)&gt;1,"Artikel doppelt im selben Lager; ",""))</f>
        <v/>
      </c>
      <c r="P892" s="47" t="n">
        <f aca="false">IF(OR($A892="",D892=""),0,IF(COUNTIF($D$2:D892,D892)=1,SUMIF($D$2:$D$5001,D892,$H$2:$H$5001)+ROW()/10000000,0))</f>
        <v>0</v>
      </c>
      <c r="Q892" s="47" t="n">
        <f aca="false">IF(OR($A892="",C892=""),0,IF(COUNTIF($C$2:C892,C892)=1,SUMIF($C$2:$C$5001,C892,$H$2:$H$5001)+ROW()/10000000,0))</f>
        <v>0</v>
      </c>
    </row>
    <row r="893" customFormat="false" ht="15" hidden="false" customHeight="false" outlineLevel="0" collapsed="false">
      <c r="A893" s="43"/>
      <c r="B893" s="44"/>
      <c r="C893" s="44"/>
      <c r="D893" s="44"/>
      <c r="E893" s="44"/>
      <c r="F893" s="44"/>
      <c r="G893" s="44"/>
      <c r="H893" s="46" t="str">
        <f aca="false">IF($A893="","",IF(OR(NOT(ISNUMBER(E893)),NOT(ISNUMBER(F893))),"",MAX(0,E893)*F893))</f>
        <v/>
      </c>
      <c r="I893" s="46" t="str">
        <f aca="false">IF($A893="","",SUMIF($A$2:$A$5001,$A893,$H$2:$H$5001))</f>
        <v/>
      </c>
      <c r="J893" s="47" t="n">
        <f aca="false">IF($A893="",0,IF(COUNTIF($A$2:A893,$A893)=1,1,0))</f>
        <v>0</v>
      </c>
      <c r="K893" s="47" t="n">
        <f aca="false">IF(J893=1,N(I893)+ROW()/10000000,0)</f>
        <v>0</v>
      </c>
      <c r="L893" s="47" t="str">
        <f aca="false">IF(AND(J893=1,N(I893)&gt;0),SUMIF($K$2:$K$5001,"&gt;="&amp;K893,$I$2:$I$5001)/MAX(1,SUM($H$2:$H$5001)),"")</f>
        <v/>
      </c>
      <c r="M893" s="47" t="str">
        <f aca="false">IF($A893="","",INDEX($L$2:$L$5001,MATCH($A893,$A$2:$A$5001,0)))</f>
        <v/>
      </c>
      <c r="N893" s="48" t="str">
        <f aca="false">IF($A893="","",IF(N(M893)=0,"–",IF(M893&lt;=Start!$D$20,"A",IF(M893&lt;=Start!$D$21,"B","C"))))</f>
        <v/>
      </c>
      <c r="O893" s="48" t="str">
        <f aca="false">IF($A893="","",IF(NOT(ISNUMBER(F893)),"Wert fehlt; ",IF(F893&lt;=0,"Wert ist 0; ",""))&amp;IF(NOT(ISNUMBER(E893)),"Bestand fehlt; ",IF(E893&lt;0,"Bestand negativ; ",IF(E893=0,"Nullbestand; ","")))&amp;IF(D893="","Warengruppe fehlt; ","")&amp;IF(B893="","Bezeichnung fehlt; ","")&amp;IF(COUNTIFS($A$2:$A$5001,$A893,$C$2:$C$5001,C893)&gt;1,"Artikel doppelt im selben Lager; ",""))</f>
        <v/>
      </c>
      <c r="P893" s="47" t="n">
        <f aca="false">IF(OR($A893="",D893=""),0,IF(COUNTIF($D$2:D893,D893)=1,SUMIF($D$2:$D$5001,D893,$H$2:$H$5001)+ROW()/10000000,0))</f>
        <v>0</v>
      </c>
      <c r="Q893" s="47" t="n">
        <f aca="false">IF(OR($A893="",C893=""),0,IF(COUNTIF($C$2:C893,C893)=1,SUMIF($C$2:$C$5001,C893,$H$2:$H$5001)+ROW()/10000000,0))</f>
        <v>0</v>
      </c>
    </row>
    <row r="894" customFormat="false" ht="15" hidden="false" customHeight="false" outlineLevel="0" collapsed="false">
      <c r="A894" s="43"/>
      <c r="B894" s="44"/>
      <c r="C894" s="44"/>
      <c r="D894" s="44"/>
      <c r="E894" s="44"/>
      <c r="F894" s="44"/>
      <c r="G894" s="44"/>
      <c r="H894" s="46" t="str">
        <f aca="false">IF($A894="","",IF(OR(NOT(ISNUMBER(E894)),NOT(ISNUMBER(F894))),"",MAX(0,E894)*F894))</f>
        <v/>
      </c>
      <c r="I894" s="46" t="str">
        <f aca="false">IF($A894="","",SUMIF($A$2:$A$5001,$A894,$H$2:$H$5001))</f>
        <v/>
      </c>
      <c r="J894" s="47" t="n">
        <f aca="false">IF($A894="",0,IF(COUNTIF($A$2:A894,$A894)=1,1,0))</f>
        <v>0</v>
      </c>
      <c r="K894" s="47" t="n">
        <f aca="false">IF(J894=1,N(I894)+ROW()/10000000,0)</f>
        <v>0</v>
      </c>
      <c r="L894" s="47" t="str">
        <f aca="false">IF(AND(J894=1,N(I894)&gt;0),SUMIF($K$2:$K$5001,"&gt;="&amp;K894,$I$2:$I$5001)/MAX(1,SUM($H$2:$H$5001)),"")</f>
        <v/>
      </c>
      <c r="M894" s="47" t="str">
        <f aca="false">IF($A894="","",INDEX($L$2:$L$5001,MATCH($A894,$A$2:$A$5001,0)))</f>
        <v/>
      </c>
      <c r="N894" s="48" t="str">
        <f aca="false">IF($A894="","",IF(N(M894)=0,"–",IF(M894&lt;=Start!$D$20,"A",IF(M894&lt;=Start!$D$21,"B","C"))))</f>
        <v/>
      </c>
      <c r="O894" s="48" t="str">
        <f aca="false">IF($A894="","",IF(NOT(ISNUMBER(F894)),"Wert fehlt; ",IF(F894&lt;=0,"Wert ist 0; ",""))&amp;IF(NOT(ISNUMBER(E894)),"Bestand fehlt; ",IF(E894&lt;0,"Bestand negativ; ",IF(E894=0,"Nullbestand; ","")))&amp;IF(D894="","Warengruppe fehlt; ","")&amp;IF(B894="","Bezeichnung fehlt; ","")&amp;IF(COUNTIFS($A$2:$A$5001,$A894,$C$2:$C$5001,C894)&gt;1,"Artikel doppelt im selben Lager; ",""))</f>
        <v/>
      </c>
      <c r="P894" s="47" t="n">
        <f aca="false">IF(OR($A894="",D894=""),0,IF(COUNTIF($D$2:D894,D894)=1,SUMIF($D$2:$D$5001,D894,$H$2:$H$5001)+ROW()/10000000,0))</f>
        <v>0</v>
      </c>
      <c r="Q894" s="47" t="n">
        <f aca="false">IF(OR($A894="",C894=""),0,IF(COUNTIF($C$2:C894,C894)=1,SUMIF($C$2:$C$5001,C894,$H$2:$H$5001)+ROW()/10000000,0))</f>
        <v>0</v>
      </c>
    </row>
    <row r="895" customFormat="false" ht="15" hidden="false" customHeight="false" outlineLevel="0" collapsed="false">
      <c r="A895" s="43"/>
      <c r="B895" s="44"/>
      <c r="C895" s="44"/>
      <c r="D895" s="44"/>
      <c r="E895" s="44"/>
      <c r="F895" s="44"/>
      <c r="G895" s="44"/>
      <c r="H895" s="46" t="str">
        <f aca="false">IF($A895="","",IF(OR(NOT(ISNUMBER(E895)),NOT(ISNUMBER(F895))),"",MAX(0,E895)*F895))</f>
        <v/>
      </c>
      <c r="I895" s="46" t="str">
        <f aca="false">IF($A895="","",SUMIF($A$2:$A$5001,$A895,$H$2:$H$5001))</f>
        <v/>
      </c>
      <c r="J895" s="47" t="n">
        <f aca="false">IF($A895="",0,IF(COUNTIF($A$2:A895,$A895)=1,1,0))</f>
        <v>0</v>
      </c>
      <c r="K895" s="47" t="n">
        <f aca="false">IF(J895=1,N(I895)+ROW()/10000000,0)</f>
        <v>0</v>
      </c>
      <c r="L895" s="47" t="str">
        <f aca="false">IF(AND(J895=1,N(I895)&gt;0),SUMIF($K$2:$K$5001,"&gt;="&amp;K895,$I$2:$I$5001)/MAX(1,SUM($H$2:$H$5001)),"")</f>
        <v/>
      </c>
      <c r="M895" s="47" t="str">
        <f aca="false">IF($A895="","",INDEX($L$2:$L$5001,MATCH($A895,$A$2:$A$5001,0)))</f>
        <v/>
      </c>
      <c r="N895" s="48" t="str">
        <f aca="false">IF($A895="","",IF(N(M895)=0,"–",IF(M895&lt;=Start!$D$20,"A",IF(M895&lt;=Start!$D$21,"B","C"))))</f>
        <v/>
      </c>
      <c r="O895" s="48" t="str">
        <f aca="false">IF($A895="","",IF(NOT(ISNUMBER(F895)),"Wert fehlt; ",IF(F895&lt;=0,"Wert ist 0; ",""))&amp;IF(NOT(ISNUMBER(E895)),"Bestand fehlt; ",IF(E895&lt;0,"Bestand negativ; ",IF(E895=0,"Nullbestand; ","")))&amp;IF(D895="","Warengruppe fehlt; ","")&amp;IF(B895="","Bezeichnung fehlt; ","")&amp;IF(COUNTIFS($A$2:$A$5001,$A895,$C$2:$C$5001,C895)&gt;1,"Artikel doppelt im selben Lager; ",""))</f>
        <v/>
      </c>
      <c r="P895" s="47" t="n">
        <f aca="false">IF(OR($A895="",D895=""),0,IF(COUNTIF($D$2:D895,D895)=1,SUMIF($D$2:$D$5001,D895,$H$2:$H$5001)+ROW()/10000000,0))</f>
        <v>0</v>
      </c>
      <c r="Q895" s="47" t="n">
        <f aca="false">IF(OR($A895="",C895=""),0,IF(COUNTIF($C$2:C895,C895)=1,SUMIF($C$2:$C$5001,C895,$H$2:$H$5001)+ROW()/10000000,0))</f>
        <v>0</v>
      </c>
    </row>
    <row r="896" customFormat="false" ht="15" hidden="false" customHeight="false" outlineLevel="0" collapsed="false">
      <c r="A896" s="43"/>
      <c r="B896" s="44"/>
      <c r="C896" s="44"/>
      <c r="D896" s="44"/>
      <c r="E896" s="44"/>
      <c r="F896" s="44"/>
      <c r="G896" s="44"/>
      <c r="H896" s="46" t="str">
        <f aca="false">IF($A896="","",IF(OR(NOT(ISNUMBER(E896)),NOT(ISNUMBER(F896))),"",MAX(0,E896)*F896))</f>
        <v/>
      </c>
      <c r="I896" s="46" t="str">
        <f aca="false">IF($A896="","",SUMIF($A$2:$A$5001,$A896,$H$2:$H$5001))</f>
        <v/>
      </c>
      <c r="J896" s="47" t="n">
        <f aca="false">IF($A896="",0,IF(COUNTIF($A$2:A896,$A896)=1,1,0))</f>
        <v>0</v>
      </c>
      <c r="K896" s="47" t="n">
        <f aca="false">IF(J896=1,N(I896)+ROW()/10000000,0)</f>
        <v>0</v>
      </c>
      <c r="L896" s="47" t="str">
        <f aca="false">IF(AND(J896=1,N(I896)&gt;0),SUMIF($K$2:$K$5001,"&gt;="&amp;K896,$I$2:$I$5001)/MAX(1,SUM($H$2:$H$5001)),"")</f>
        <v/>
      </c>
      <c r="M896" s="47" t="str">
        <f aca="false">IF($A896="","",INDEX($L$2:$L$5001,MATCH($A896,$A$2:$A$5001,0)))</f>
        <v/>
      </c>
      <c r="N896" s="48" t="str">
        <f aca="false">IF($A896="","",IF(N(M896)=0,"–",IF(M896&lt;=Start!$D$20,"A",IF(M896&lt;=Start!$D$21,"B","C"))))</f>
        <v/>
      </c>
      <c r="O896" s="48" t="str">
        <f aca="false">IF($A896="","",IF(NOT(ISNUMBER(F896)),"Wert fehlt; ",IF(F896&lt;=0,"Wert ist 0; ",""))&amp;IF(NOT(ISNUMBER(E896)),"Bestand fehlt; ",IF(E896&lt;0,"Bestand negativ; ",IF(E896=0,"Nullbestand; ","")))&amp;IF(D896="","Warengruppe fehlt; ","")&amp;IF(B896="","Bezeichnung fehlt; ","")&amp;IF(COUNTIFS($A$2:$A$5001,$A896,$C$2:$C$5001,C896)&gt;1,"Artikel doppelt im selben Lager; ",""))</f>
        <v/>
      </c>
      <c r="P896" s="47" t="n">
        <f aca="false">IF(OR($A896="",D896=""),0,IF(COUNTIF($D$2:D896,D896)=1,SUMIF($D$2:$D$5001,D896,$H$2:$H$5001)+ROW()/10000000,0))</f>
        <v>0</v>
      </c>
      <c r="Q896" s="47" t="n">
        <f aca="false">IF(OR($A896="",C896=""),0,IF(COUNTIF($C$2:C896,C896)=1,SUMIF($C$2:$C$5001,C896,$H$2:$H$5001)+ROW()/10000000,0))</f>
        <v>0</v>
      </c>
    </row>
    <row r="897" customFormat="false" ht="15" hidden="false" customHeight="false" outlineLevel="0" collapsed="false">
      <c r="A897" s="43"/>
      <c r="B897" s="44"/>
      <c r="C897" s="44"/>
      <c r="D897" s="44"/>
      <c r="E897" s="44"/>
      <c r="F897" s="44"/>
      <c r="G897" s="44"/>
      <c r="H897" s="46" t="str">
        <f aca="false">IF($A897="","",IF(OR(NOT(ISNUMBER(E897)),NOT(ISNUMBER(F897))),"",MAX(0,E897)*F897))</f>
        <v/>
      </c>
      <c r="I897" s="46" t="str">
        <f aca="false">IF($A897="","",SUMIF($A$2:$A$5001,$A897,$H$2:$H$5001))</f>
        <v/>
      </c>
      <c r="J897" s="47" t="n">
        <f aca="false">IF($A897="",0,IF(COUNTIF($A$2:A897,$A897)=1,1,0))</f>
        <v>0</v>
      </c>
      <c r="K897" s="47" t="n">
        <f aca="false">IF(J897=1,N(I897)+ROW()/10000000,0)</f>
        <v>0</v>
      </c>
      <c r="L897" s="47" t="str">
        <f aca="false">IF(AND(J897=1,N(I897)&gt;0),SUMIF($K$2:$K$5001,"&gt;="&amp;K897,$I$2:$I$5001)/MAX(1,SUM($H$2:$H$5001)),"")</f>
        <v/>
      </c>
      <c r="M897" s="47" t="str">
        <f aca="false">IF($A897="","",INDEX($L$2:$L$5001,MATCH($A897,$A$2:$A$5001,0)))</f>
        <v/>
      </c>
      <c r="N897" s="48" t="str">
        <f aca="false">IF($A897="","",IF(N(M897)=0,"–",IF(M897&lt;=Start!$D$20,"A",IF(M897&lt;=Start!$D$21,"B","C"))))</f>
        <v/>
      </c>
      <c r="O897" s="48" t="str">
        <f aca="false">IF($A897="","",IF(NOT(ISNUMBER(F897)),"Wert fehlt; ",IF(F897&lt;=0,"Wert ist 0; ",""))&amp;IF(NOT(ISNUMBER(E897)),"Bestand fehlt; ",IF(E897&lt;0,"Bestand negativ; ",IF(E897=0,"Nullbestand; ","")))&amp;IF(D897="","Warengruppe fehlt; ","")&amp;IF(B897="","Bezeichnung fehlt; ","")&amp;IF(COUNTIFS($A$2:$A$5001,$A897,$C$2:$C$5001,C897)&gt;1,"Artikel doppelt im selben Lager; ",""))</f>
        <v/>
      </c>
      <c r="P897" s="47" t="n">
        <f aca="false">IF(OR($A897="",D897=""),0,IF(COUNTIF($D$2:D897,D897)=1,SUMIF($D$2:$D$5001,D897,$H$2:$H$5001)+ROW()/10000000,0))</f>
        <v>0</v>
      </c>
      <c r="Q897" s="47" t="n">
        <f aca="false">IF(OR($A897="",C897=""),0,IF(COUNTIF($C$2:C897,C897)=1,SUMIF($C$2:$C$5001,C897,$H$2:$H$5001)+ROW()/10000000,0))</f>
        <v>0</v>
      </c>
    </row>
    <row r="898" customFormat="false" ht="15" hidden="false" customHeight="false" outlineLevel="0" collapsed="false">
      <c r="A898" s="43"/>
      <c r="B898" s="44"/>
      <c r="C898" s="44"/>
      <c r="D898" s="44"/>
      <c r="E898" s="44"/>
      <c r="F898" s="44"/>
      <c r="G898" s="44"/>
      <c r="H898" s="46" t="str">
        <f aca="false">IF($A898="","",IF(OR(NOT(ISNUMBER(E898)),NOT(ISNUMBER(F898))),"",MAX(0,E898)*F898))</f>
        <v/>
      </c>
      <c r="I898" s="46" t="str">
        <f aca="false">IF($A898="","",SUMIF($A$2:$A$5001,$A898,$H$2:$H$5001))</f>
        <v/>
      </c>
      <c r="J898" s="47" t="n">
        <f aca="false">IF($A898="",0,IF(COUNTIF($A$2:A898,$A898)=1,1,0))</f>
        <v>0</v>
      </c>
      <c r="K898" s="47" t="n">
        <f aca="false">IF(J898=1,N(I898)+ROW()/10000000,0)</f>
        <v>0</v>
      </c>
      <c r="L898" s="47" t="str">
        <f aca="false">IF(AND(J898=1,N(I898)&gt;0),SUMIF($K$2:$K$5001,"&gt;="&amp;K898,$I$2:$I$5001)/MAX(1,SUM($H$2:$H$5001)),"")</f>
        <v/>
      </c>
      <c r="M898" s="47" t="str">
        <f aca="false">IF($A898="","",INDEX($L$2:$L$5001,MATCH($A898,$A$2:$A$5001,0)))</f>
        <v/>
      </c>
      <c r="N898" s="48" t="str">
        <f aca="false">IF($A898="","",IF(N(M898)=0,"–",IF(M898&lt;=Start!$D$20,"A",IF(M898&lt;=Start!$D$21,"B","C"))))</f>
        <v/>
      </c>
      <c r="O898" s="48" t="str">
        <f aca="false">IF($A898="","",IF(NOT(ISNUMBER(F898)),"Wert fehlt; ",IF(F898&lt;=0,"Wert ist 0; ",""))&amp;IF(NOT(ISNUMBER(E898)),"Bestand fehlt; ",IF(E898&lt;0,"Bestand negativ; ",IF(E898=0,"Nullbestand; ","")))&amp;IF(D898="","Warengruppe fehlt; ","")&amp;IF(B898="","Bezeichnung fehlt; ","")&amp;IF(COUNTIFS($A$2:$A$5001,$A898,$C$2:$C$5001,C898)&gt;1,"Artikel doppelt im selben Lager; ",""))</f>
        <v/>
      </c>
      <c r="P898" s="47" t="n">
        <f aca="false">IF(OR($A898="",D898=""),0,IF(COUNTIF($D$2:D898,D898)=1,SUMIF($D$2:$D$5001,D898,$H$2:$H$5001)+ROW()/10000000,0))</f>
        <v>0</v>
      </c>
      <c r="Q898" s="47" t="n">
        <f aca="false">IF(OR($A898="",C898=""),0,IF(COUNTIF($C$2:C898,C898)=1,SUMIF($C$2:$C$5001,C898,$H$2:$H$5001)+ROW()/10000000,0))</f>
        <v>0</v>
      </c>
    </row>
    <row r="899" customFormat="false" ht="15" hidden="false" customHeight="false" outlineLevel="0" collapsed="false">
      <c r="A899" s="43"/>
      <c r="B899" s="44"/>
      <c r="C899" s="44"/>
      <c r="D899" s="44"/>
      <c r="E899" s="44"/>
      <c r="F899" s="44"/>
      <c r="G899" s="44"/>
      <c r="H899" s="46" t="str">
        <f aca="false">IF($A899="","",IF(OR(NOT(ISNUMBER(E899)),NOT(ISNUMBER(F899))),"",MAX(0,E899)*F899))</f>
        <v/>
      </c>
      <c r="I899" s="46" t="str">
        <f aca="false">IF($A899="","",SUMIF($A$2:$A$5001,$A899,$H$2:$H$5001))</f>
        <v/>
      </c>
      <c r="J899" s="47" t="n">
        <f aca="false">IF($A899="",0,IF(COUNTIF($A$2:A899,$A899)=1,1,0))</f>
        <v>0</v>
      </c>
      <c r="K899" s="47" t="n">
        <f aca="false">IF(J899=1,N(I899)+ROW()/10000000,0)</f>
        <v>0</v>
      </c>
      <c r="L899" s="47" t="str">
        <f aca="false">IF(AND(J899=1,N(I899)&gt;0),SUMIF($K$2:$K$5001,"&gt;="&amp;K899,$I$2:$I$5001)/MAX(1,SUM($H$2:$H$5001)),"")</f>
        <v/>
      </c>
      <c r="M899" s="47" t="str">
        <f aca="false">IF($A899="","",INDEX($L$2:$L$5001,MATCH($A899,$A$2:$A$5001,0)))</f>
        <v/>
      </c>
      <c r="N899" s="48" t="str">
        <f aca="false">IF($A899="","",IF(N(M899)=0,"–",IF(M899&lt;=Start!$D$20,"A",IF(M899&lt;=Start!$D$21,"B","C"))))</f>
        <v/>
      </c>
      <c r="O899" s="48" t="str">
        <f aca="false">IF($A899="","",IF(NOT(ISNUMBER(F899)),"Wert fehlt; ",IF(F899&lt;=0,"Wert ist 0; ",""))&amp;IF(NOT(ISNUMBER(E899)),"Bestand fehlt; ",IF(E899&lt;0,"Bestand negativ; ",IF(E899=0,"Nullbestand; ","")))&amp;IF(D899="","Warengruppe fehlt; ","")&amp;IF(B899="","Bezeichnung fehlt; ","")&amp;IF(COUNTIFS($A$2:$A$5001,$A899,$C$2:$C$5001,C899)&gt;1,"Artikel doppelt im selben Lager; ",""))</f>
        <v/>
      </c>
      <c r="P899" s="47" t="n">
        <f aca="false">IF(OR($A899="",D899=""),0,IF(COUNTIF($D$2:D899,D899)=1,SUMIF($D$2:$D$5001,D899,$H$2:$H$5001)+ROW()/10000000,0))</f>
        <v>0</v>
      </c>
      <c r="Q899" s="47" t="n">
        <f aca="false">IF(OR($A899="",C899=""),0,IF(COUNTIF($C$2:C899,C899)=1,SUMIF($C$2:$C$5001,C899,$H$2:$H$5001)+ROW()/10000000,0))</f>
        <v>0</v>
      </c>
    </row>
    <row r="900" customFormat="false" ht="15" hidden="false" customHeight="false" outlineLevel="0" collapsed="false">
      <c r="A900" s="43"/>
      <c r="B900" s="44"/>
      <c r="C900" s="44"/>
      <c r="D900" s="44"/>
      <c r="E900" s="44"/>
      <c r="F900" s="44"/>
      <c r="G900" s="44"/>
      <c r="H900" s="46" t="str">
        <f aca="false">IF($A900="","",IF(OR(NOT(ISNUMBER(E900)),NOT(ISNUMBER(F900))),"",MAX(0,E900)*F900))</f>
        <v/>
      </c>
      <c r="I900" s="46" t="str">
        <f aca="false">IF($A900="","",SUMIF($A$2:$A$5001,$A900,$H$2:$H$5001))</f>
        <v/>
      </c>
      <c r="J900" s="47" t="n">
        <f aca="false">IF($A900="",0,IF(COUNTIF($A$2:A900,$A900)=1,1,0))</f>
        <v>0</v>
      </c>
      <c r="K900" s="47" t="n">
        <f aca="false">IF(J900=1,N(I900)+ROW()/10000000,0)</f>
        <v>0</v>
      </c>
      <c r="L900" s="47" t="str">
        <f aca="false">IF(AND(J900=1,N(I900)&gt;0),SUMIF($K$2:$K$5001,"&gt;="&amp;K900,$I$2:$I$5001)/MAX(1,SUM($H$2:$H$5001)),"")</f>
        <v/>
      </c>
      <c r="M900" s="47" t="str">
        <f aca="false">IF($A900="","",INDEX($L$2:$L$5001,MATCH($A900,$A$2:$A$5001,0)))</f>
        <v/>
      </c>
      <c r="N900" s="48" t="str">
        <f aca="false">IF($A900="","",IF(N(M900)=0,"–",IF(M900&lt;=Start!$D$20,"A",IF(M900&lt;=Start!$D$21,"B","C"))))</f>
        <v/>
      </c>
      <c r="O900" s="48" t="str">
        <f aca="false">IF($A900="","",IF(NOT(ISNUMBER(F900)),"Wert fehlt; ",IF(F900&lt;=0,"Wert ist 0; ",""))&amp;IF(NOT(ISNUMBER(E900)),"Bestand fehlt; ",IF(E900&lt;0,"Bestand negativ; ",IF(E900=0,"Nullbestand; ","")))&amp;IF(D900="","Warengruppe fehlt; ","")&amp;IF(B900="","Bezeichnung fehlt; ","")&amp;IF(COUNTIFS($A$2:$A$5001,$A900,$C$2:$C$5001,C900)&gt;1,"Artikel doppelt im selben Lager; ",""))</f>
        <v/>
      </c>
      <c r="P900" s="47" t="n">
        <f aca="false">IF(OR($A900="",D900=""),0,IF(COUNTIF($D$2:D900,D900)=1,SUMIF($D$2:$D$5001,D900,$H$2:$H$5001)+ROW()/10000000,0))</f>
        <v>0</v>
      </c>
      <c r="Q900" s="47" t="n">
        <f aca="false">IF(OR($A900="",C900=""),0,IF(COUNTIF($C$2:C900,C900)=1,SUMIF($C$2:$C$5001,C900,$H$2:$H$5001)+ROW()/10000000,0))</f>
        <v>0</v>
      </c>
    </row>
    <row r="901" customFormat="false" ht="15" hidden="false" customHeight="false" outlineLevel="0" collapsed="false">
      <c r="A901" s="43"/>
      <c r="B901" s="44"/>
      <c r="C901" s="44"/>
      <c r="D901" s="44"/>
      <c r="E901" s="44"/>
      <c r="F901" s="44"/>
      <c r="G901" s="44"/>
      <c r="H901" s="46" t="str">
        <f aca="false">IF($A901="","",IF(OR(NOT(ISNUMBER(E901)),NOT(ISNUMBER(F901))),"",MAX(0,E901)*F901))</f>
        <v/>
      </c>
      <c r="I901" s="46" t="str">
        <f aca="false">IF($A901="","",SUMIF($A$2:$A$5001,$A901,$H$2:$H$5001))</f>
        <v/>
      </c>
      <c r="J901" s="47" t="n">
        <f aca="false">IF($A901="",0,IF(COUNTIF($A$2:A901,$A901)=1,1,0))</f>
        <v>0</v>
      </c>
      <c r="K901" s="47" t="n">
        <f aca="false">IF(J901=1,N(I901)+ROW()/10000000,0)</f>
        <v>0</v>
      </c>
      <c r="L901" s="47" t="str">
        <f aca="false">IF(AND(J901=1,N(I901)&gt;0),SUMIF($K$2:$K$5001,"&gt;="&amp;K901,$I$2:$I$5001)/MAX(1,SUM($H$2:$H$5001)),"")</f>
        <v/>
      </c>
      <c r="M901" s="47" t="str">
        <f aca="false">IF($A901="","",INDEX($L$2:$L$5001,MATCH($A901,$A$2:$A$5001,0)))</f>
        <v/>
      </c>
      <c r="N901" s="48" t="str">
        <f aca="false">IF($A901="","",IF(N(M901)=0,"–",IF(M901&lt;=Start!$D$20,"A",IF(M901&lt;=Start!$D$21,"B","C"))))</f>
        <v/>
      </c>
      <c r="O901" s="48" t="str">
        <f aca="false">IF($A901="","",IF(NOT(ISNUMBER(F901)),"Wert fehlt; ",IF(F901&lt;=0,"Wert ist 0; ",""))&amp;IF(NOT(ISNUMBER(E901)),"Bestand fehlt; ",IF(E901&lt;0,"Bestand negativ; ",IF(E901=0,"Nullbestand; ","")))&amp;IF(D901="","Warengruppe fehlt; ","")&amp;IF(B901="","Bezeichnung fehlt; ","")&amp;IF(COUNTIFS($A$2:$A$5001,$A901,$C$2:$C$5001,C901)&gt;1,"Artikel doppelt im selben Lager; ",""))</f>
        <v/>
      </c>
      <c r="P901" s="47" t="n">
        <f aca="false">IF(OR($A901="",D901=""),0,IF(COUNTIF($D$2:D901,D901)=1,SUMIF($D$2:$D$5001,D901,$H$2:$H$5001)+ROW()/10000000,0))</f>
        <v>0</v>
      </c>
      <c r="Q901" s="47" t="n">
        <f aca="false">IF(OR($A901="",C901=""),0,IF(COUNTIF($C$2:C901,C901)=1,SUMIF($C$2:$C$5001,C901,$H$2:$H$5001)+ROW()/10000000,0))</f>
        <v>0</v>
      </c>
    </row>
    <row r="902" customFormat="false" ht="15" hidden="false" customHeight="false" outlineLevel="0" collapsed="false">
      <c r="A902" s="43"/>
      <c r="B902" s="44"/>
      <c r="C902" s="44"/>
      <c r="D902" s="44"/>
      <c r="E902" s="44"/>
      <c r="F902" s="44"/>
      <c r="G902" s="44"/>
      <c r="H902" s="46" t="str">
        <f aca="false">IF($A902="","",IF(OR(NOT(ISNUMBER(E902)),NOT(ISNUMBER(F902))),"",MAX(0,E902)*F902))</f>
        <v/>
      </c>
      <c r="I902" s="46" t="str">
        <f aca="false">IF($A902="","",SUMIF($A$2:$A$5001,$A902,$H$2:$H$5001))</f>
        <v/>
      </c>
      <c r="J902" s="47" t="n">
        <f aca="false">IF($A902="",0,IF(COUNTIF($A$2:A902,$A902)=1,1,0))</f>
        <v>0</v>
      </c>
      <c r="K902" s="47" t="n">
        <f aca="false">IF(J902=1,N(I902)+ROW()/10000000,0)</f>
        <v>0</v>
      </c>
      <c r="L902" s="47" t="str">
        <f aca="false">IF(AND(J902=1,N(I902)&gt;0),SUMIF($K$2:$K$5001,"&gt;="&amp;K902,$I$2:$I$5001)/MAX(1,SUM($H$2:$H$5001)),"")</f>
        <v/>
      </c>
      <c r="M902" s="47" t="str">
        <f aca="false">IF($A902="","",INDEX($L$2:$L$5001,MATCH($A902,$A$2:$A$5001,0)))</f>
        <v/>
      </c>
      <c r="N902" s="48" t="str">
        <f aca="false">IF($A902="","",IF(N(M902)=0,"–",IF(M902&lt;=Start!$D$20,"A",IF(M902&lt;=Start!$D$21,"B","C"))))</f>
        <v/>
      </c>
      <c r="O902" s="48" t="str">
        <f aca="false">IF($A902="","",IF(NOT(ISNUMBER(F902)),"Wert fehlt; ",IF(F902&lt;=0,"Wert ist 0; ",""))&amp;IF(NOT(ISNUMBER(E902)),"Bestand fehlt; ",IF(E902&lt;0,"Bestand negativ; ",IF(E902=0,"Nullbestand; ","")))&amp;IF(D902="","Warengruppe fehlt; ","")&amp;IF(B902="","Bezeichnung fehlt; ","")&amp;IF(COUNTIFS($A$2:$A$5001,$A902,$C$2:$C$5001,C902)&gt;1,"Artikel doppelt im selben Lager; ",""))</f>
        <v/>
      </c>
      <c r="P902" s="47" t="n">
        <f aca="false">IF(OR($A902="",D902=""),0,IF(COUNTIF($D$2:D902,D902)=1,SUMIF($D$2:$D$5001,D902,$H$2:$H$5001)+ROW()/10000000,0))</f>
        <v>0</v>
      </c>
      <c r="Q902" s="47" t="n">
        <f aca="false">IF(OR($A902="",C902=""),0,IF(COUNTIF($C$2:C902,C902)=1,SUMIF($C$2:$C$5001,C902,$H$2:$H$5001)+ROW()/10000000,0))</f>
        <v>0</v>
      </c>
    </row>
    <row r="903" customFormat="false" ht="15" hidden="false" customHeight="false" outlineLevel="0" collapsed="false">
      <c r="A903" s="43"/>
      <c r="B903" s="44"/>
      <c r="C903" s="44"/>
      <c r="D903" s="44"/>
      <c r="E903" s="44"/>
      <c r="F903" s="44"/>
      <c r="G903" s="44"/>
      <c r="H903" s="46" t="str">
        <f aca="false">IF($A903="","",IF(OR(NOT(ISNUMBER(E903)),NOT(ISNUMBER(F903))),"",MAX(0,E903)*F903))</f>
        <v/>
      </c>
      <c r="I903" s="46" t="str">
        <f aca="false">IF($A903="","",SUMIF($A$2:$A$5001,$A903,$H$2:$H$5001))</f>
        <v/>
      </c>
      <c r="J903" s="47" t="n">
        <f aca="false">IF($A903="",0,IF(COUNTIF($A$2:A903,$A903)=1,1,0))</f>
        <v>0</v>
      </c>
      <c r="K903" s="47" t="n">
        <f aca="false">IF(J903=1,N(I903)+ROW()/10000000,0)</f>
        <v>0</v>
      </c>
      <c r="L903" s="47" t="str">
        <f aca="false">IF(AND(J903=1,N(I903)&gt;0),SUMIF($K$2:$K$5001,"&gt;="&amp;K903,$I$2:$I$5001)/MAX(1,SUM($H$2:$H$5001)),"")</f>
        <v/>
      </c>
      <c r="M903" s="47" t="str">
        <f aca="false">IF($A903="","",INDEX($L$2:$L$5001,MATCH($A903,$A$2:$A$5001,0)))</f>
        <v/>
      </c>
      <c r="N903" s="48" t="str">
        <f aca="false">IF($A903="","",IF(N(M903)=0,"–",IF(M903&lt;=Start!$D$20,"A",IF(M903&lt;=Start!$D$21,"B","C"))))</f>
        <v/>
      </c>
      <c r="O903" s="48" t="str">
        <f aca="false">IF($A903="","",IF(NOT(ISNUMBER(F903)),"Wert fehlt; ",IF(F903&lt;=0,"Wert ist 0; ",""))&amp;IF(NOT(ISNUMBER(E903)),"Bestand fehlt; ",IF(E903&lt;0,"Bestand negativ; ",IF(E903=0,"Nullbestand; ","")))&amp;IF(D903="","Warengruppe fehlt; ","")&amp;IF(B903="","Bezeichnung fehlt; ","")&amp;IF(COUNTIFS($A$2:$A$5001,$A903,$C$2:$C$5001,C903)&gt;1,"Artikel doppelt im selben Lager; ",""))</f>
        <v/>
      </c>
      <c r="P903" s="47" t="n">
        <f aca="false">IF(OR($A903="",D903=""),0,IF(COUNTIF($D$2:D903,D903)=1,SUMIF($D$2:$D$5001,D903,$H$2:$H$5001)+ROW()/10000000,0))</f>
        <v>0</v>
      </c>
      <c r="Q903" s="47" t="n">
        <f aca="false">IF(OR($A903="",C903=""),0,IF(COUNTIF($C$2:C903,C903)=1,SUMIF($C$2:$C$5001,C903,$H$2:$H$5001)+ROW()/10000000,0))</f>
        <v>0</v>
      </c>
    </row>
    <row r="904" customFormat="false" ht="15" hidden="false" customHeight="false" outlineLevel="0" collapsed="false">
      <c r="A904" s="43"/>
      <c r="B904" s="44"/>
      <c r="C904" s="44"/>
      <c r="D904" s="44"/>
      <c r="E904" s="44"/>
      <c r="F904" s="44"/>
      <c r="G904" s="44"/>
      <c r="H904" s="46" t="str">
        <f aca="false">IF($A904="","",IF(OR(NOT(ISNUMBER(E904)),NOT(ISNUMBER(F904))),"",MAX(0,E904)*F904))</f>
        <v/>
      </c>
      <c r="I904" s="46" t="str">
        <f aca="false">IF($A904="","",SUMIF($A$2:$A$5001,$A904,$H$2:$H$5001))</f>
        <v/>
      </c>
      <c r="J904" s="47" t="n">
        <f aca="false">IF($A904="",0,IF(COUNTIF($A$2:A904,$A904)=1,1,0))</f>
        <v>0</v>
      </c>
      <c r="K904" s="47" t="n">
        <f aca="false">IF(J904=1,N(I904)+ROW()/10000000,0)</f>
        <v>0</v>
      </c>
      <c r="L904" s="47" t="str">
        <f aca="false">IF(AND(J904=1,N(I904)&gt;0),SUMIF($K$2:$K$5001,"&gt;="&amp;K904,$I$2:$I$5001)/MAX(1,SUM($H$2:$H$5001)),"")</f>
        <v/>
      </c>
      <c r="M904" s="47" t="str">
        <f aca="false">IF($A904="","",INDEX($L$2:$L$5001,MATCH($A904,$A$2:$A$5001,0)))</f>
        <v/>
      </c>
      <c r="N904" s="48" t="str">
        <f aca="false">IF($A904="","",IF(N(M904)=0,"–",IF(M904&lt;=Start!$D$20,"A",IF(M904&lt;=Start!$D$21,"B","C"))))</f>
        <v/>
      </c>
      <c r="O904" s="48" t="str">
        <f aca="false">IF($A904="","",IF(NOT(ISNUMBER(F904)),"Wert fehlt; ",IF(F904&lt;=0,"Wert ist 0; ",""))&amp;IF(NOT(ISNUMBER(E904)),"Bestand fehlt; ",IF(E904&lt;0,"Bestand negativ; ",IF(E904=0,"Nullbestand; ","")))&amp;IF(D904="","Warengruppe fehlt; ","")&amp;IF(B904="","Bezeichnung fehlt; ","")&amp;IF(COUNTIFS($A$2:$A$5001,$A904,$C$2:$C$5001,C904)&gt;1,"Artikel doppelt im selben Lager; ",""))</f>
        <v/>
      </c>
      <c r="P904" s="47" t="n">
        <f aca="false">IF(OR($A904="",D904=""),0,IF(COUNTIF($D$2:D904,D904)=1,SUMIF($D$2:$D$5001,D904,$H$2:$H$5001)+ROW()/10000000,0))</f>
        <v>0</v>
      </c>
      <c r="Q904" s="47" t="n">
        <f aca="false">IF(OR($A904="",C904=""),0,IF(COUNTIF($C$2:C904,C904)=1,SUMIF($C$2:$C$5001,C904,$H$2:$H$5001)+ROW()/10000000,0))</f>
        <v>0</v>
      </c>
    </row>
    <row r="905" customFormat="false" ht="15" hidden="false" customHeight="false" outlineLevel="0" collapsed="false">
      <c r="A905" s="43"/>
      <c r="B905" s="44"/>
      <c r="C905" s="44"/>
      <c r="D905" s="44"/>
      <c r="E905" s="44"/>
      <c r="F905" s="44"/>
      <c r="G905" s="44"/>
      <c r="H905" s="46" t="str">
        <f aca="false">IF($A905="","",IF(OR(NOT(ISNUMBER(E905)),NOT(ISNUMBER(F905))),"",MAX(0,E905)*F905))</f>
        <v/>
      </c>
      <c r="I905" s="46" t="str">
        <f aca="false">IF($A905="","",SUMIF($A$2:$A$5001,$A905,$H$2:$H$5001))</f>
        <v/>
      </c>
      <c r="J905" s="47" t="n">
        <f aca="false">IF($A905="",0,IF(COUNTIF($A$2:A905,$A905)=1,1,0))</f>
        <v>0</v>
      </c>
      <c r="K905" s="47" t="n">
        <f aca="false">IF(J905=1,N(I905)+ROW()/10000000,0)</f>
        <v>0</v>
      </c>
      <c r="L905" s="47" t="str">
        <f aca="false">IF(AND(J905=1,N(I905)&gt;0),SUMIF($K$2:$K$5001,"&gt;="&amp;K905,$I$2:$I$5001)/MAX(1,SUM($H$2:$H$5001)),"")</f>
        <v/>
      </c>
      <c r="M905" s="47" t="str">
        <f aca="false">IF($A905="","",INDEX($L$2:$L$5001,MATCH($A905,$A$2:$A$5001,0)))</f>
        <v/>
      </c>
      <c r="N905" s="48" t="str">
        <f aca="false">IF($A905="","",IF(N(M905)=0,"–",IF(M905&lt;=Start!$D$20,"A",IF(M905&lt;=Start!$D$21,"B","C"))))</f>
        <v/>
      </c>
      <c r="O905" s="48" t="str">
        <f aca="false">IF($A905="","",IF(NOT(ISNUMBER(F905)),"Wert fehlt; ",IF(F905&lt;=0,"Wert ist 0; ",""))&amp;IF(NOT(ISNUMBER(E905)),"Bestand fehlt; ",IF(E905&lt;0,"Bestand negativ; ",IF(E905=0,"Nullbestand; ","")))&amp;IF(D905="","Warengruppe fehlt; ","")&amp;IF(B905="","Bezeichnung fehlt; ","")&amp;IF(COUNTIFS($A$2:$A$5001,$A905,$C$2:$C$5001,C905)&gt;1,"Artikel doppelt im selben Lager; ",""))</f>
        <v/>
      </c>
      <c r="P905" s="47" t="n">
        <f aca="false">IF(OR($A905="",D905=""),0,IF(COUNTIF($D$2:D905,D905)=1,SUMIF($D$2:$D$5001,D905,$H$2:$H$5001)+ROW()/10000000,0))</f>
        <v>0</v>
      </c>
      <c r="Q905" s="47" t="n">
        <f aca="false">IF(OR($A905="",C905=""),0,IF(COUNTIF($C$2:C905,C905)=1,SUMIF($C$2:$C$5001,C905,$H$2:$H$5001)+ROW()/10000000,0))</f>
        <v>0</v>
      </c>
    </row>
    <row r="906" customFormat="false" ht="15" hidden="false" customHeight="false" outlineLevel="0" collapsed="false">
      <c r="A906" s="43"/>
      <c r="B906" s="44"/>
      <c r="C906" s="44"/>
      <c r="D906" s="44"/>
      <c r="E906" s="44"/>
      <c r="F906" s="44"/>
      <c r="G906" s="44"/>
      <c r="H906" s="46" t="str">
        <f aca="false">IF($A906="","",IF(OR(NOT(ISNUMBER(E906)),NOT(ISNUMBER(F906))),"",MAX(0,E906)*F906))</f>
        <v/>
      </c>
      <c r="I906" s="46" t="str">
        <f aca="false">IF($A906="","",SUMIF($A$2:$A$5001,$A906,$H$2:$H$5001))</f>
        <v/>
      </c>
      <c r="J906" s="47" t="n">
        <f aca="false">IF($A906="",0,IF(COUNTIF($A$2:A906,$A906)=1,1,0))</f>
        <v>0</v>
      </c>
      <c r="K906" s="47" t="n">
        <f aca="false">IF(J906=1,N(I906)+ROW()/10000000,0)</f>
        <v>0</v>
      </c>
      <c r="L906" s="47" t="str">
        <f aca="false">IF(AND(J906=1,N(I906)&gt;0),SUMIF($K$2:$K$5001,"&gt;="&amp;K906,$I$2:$I$5001)/MAX(1,SUM($H$2:$H$5001)),"")</f>
        <v/>
      </c>
      <c r="M906" s="47" t="str">
        <f aca="false">IF($A906="","",INDEX($L$2:$L$5001,MATCH($A906,$A$2:$A$5001,0)))</f>
        <v/>
      </c>
      <c r="N906" s="48" t="str">
        <f aca="false">IF($A906="","",IF(N(M906)=0,"–",IF(M906&lt;=Start!$D$20,"A",IF(M906&lt;=Start!$D$21,"B","C"))))</f>
        <v/>
      </c>
      <c r="O906" s="48" t="str">
        <f aca="false">IF($A906="","",IF(NOT(ISNUMBER(F906)),"Wert fehlt; ",IF(F906&lt;=0,"Wert ist 0; ",""))&amp;IF(NOT(ISNUMBER(E906)),"Bestand fehlt; ",IF(E906&lt;0,"Bestand negativ; ",IF(E906=0,"Nullbestand; ","")))&amp;IF(D906="","Warengruppe fehlt; ","")&amp;IF(B906="","Bezeichnung fehlt; ","")&amp;IF(COUNTIFS($A$2:$A$5001,$A906,$C$2:$C$5001,C906)&gt;1,"Artikel doppelt im selben Lager; ",""))</f>
        <v/>
      </c>
      <c r="P906" s="47" t="n">
        <f aca="false">IF(OR($A906="",D906=""),0,IF(COUNTIF($D$2:D906,D906)=1,SUMIF($D$2:$D$5001,D906,$H$2:$H$5001)+ROW()/10000000,0))</f>
        <v>0</v>
      </c>
      <c r="Q906" s="47" t="n">
        <f aca="false">IF(OR($A906="",C906=""),0,IF(COUNTIF($C$2:C906,C906)=1,SUMIF($C$2:$C$5001,C906,$H$2:$H$5001)+ROW()/10000000,0))</f>
        <v>0</v>
      </c>
    </row>
    <row r="907" customFormat="false" ht="15" hidden="false" customHeight="false" outlineLevel="0" collapsed="false">
      <c r="A907" s="43"/>
      <c r="B907" s="44"/>
      <c r="C907" s="44"/>
      <c r="D907" s="44"/>
      <c r="E907" s="44"/>
      <c r="F907" s="44"/>
      <c r="G907" s="44"/>
      <c r="H907" s="46" t="str">
        <f aca="false">IF($A907="","",IF(OR(NOT(ISNUMBER(E907)),NOT(ISNUMBER(F907))),"",MAX(0,E907)*F907))</f>
        <v/>
      </c>
      <c r="I907" s="46" t="str">
        <f aca="false">IF($A907="","",SUMIF($A$2:$A$5001,$A907,$H$2:$H$5001))</f>
        <v/>
      </c>
      <c r="J907" s="47" t="n">
        <f aca="false">IF($A907="",0,IF(COUNTIF($A$2:A907,$A907)=1,1,0))</f>
        <v>0</v>
      </c>
      <c r="K907" s="47" t="n">
        <f aca="false">IF(J907=1,N(I907)+ROW()/10000000,0)</f>
        <v>0</v>
      </c>
      <c r="L907" s="47" t="str">
        <f aca="false">IF(AND(J907=1,N(I907)&gt;0),SUMIF($K$2:$K$5001,"&gt;="&amp;K907,$I$2:$I$5001)/MAX(1,SUM($H$2:$H$5001)),"")</f>
        <v/>
      </c>
      <c r="M907" s="47" t="str">
        <f aca="false">IF($A907="","",INDEX($L$2:$L$5001,MATCH($A907,$A$2:$A$5001,0)))</f>
        <v/>
      </c>
      <c r="N907" s="48" t="str">
        <f aca="false">IF($A907="","",IF(N(M907)=0,"–",IF(M907&lt;=Start!$D$20,"A",IF(M907&lt;=Start!$D$21,"B","C"))))</f>
        <v/>
      </c>
      <c r="O907" s="48" t="str">
        <f aca="false">IF($A907="","",IF(NOT(ISNUMBER(F907)),"Wert fehlt; ",IF(F907&lt;=0,"Wert ist 0; ",""))&amp;IF(NOT(ISNUMBER(E907)),"Bestand fehlt; ",IF(E907&lt;0,"Bestand negativ; ",IF(E907=0,"Nullbestand; ","")))&amp;IF(D907="","Warengruppe fehlt; ","")&amp;IF(B907="","Bezeichnung fehlt; ","")&amp;IF(COUNTIFS($A$2:$A$5001,$A907,$C$2:$C$5001,C907)&gt;1,"Artikel doppelt im selben Lager; ",""))</f>
        <v/>
      </c>
      <c r="P907" s="47" t="n">
        <f aca="false">IF(OR($A907="",D907=""),0,IF(COUNTIF($D$2:D907,D907)=1,SUMIF($D$2:$D$5001,D907,$H$2:$H$5001)+ROW()/10000000,0))</f>
        <v>0</v>
      </c>
      <c r="Q907" s="47" t="n">
        <f aca="false">IF(OR($A907="",C907=""),0,IF(COUNTIF($C$2:C907,C907)=1,SUMIF($C$2:$C$5001,C907,$H$2:$H$5001)+ROW()/10000000,0))</f>
        <v>0</v>
      </c>
    </row>
    <row r="908" customFormat="false" ht="15" hidden="false" customHeight="false" outlineLevel="0" collapsed="false">
      <c r="A908" s="43"/>
      <c r="B908" s="44"/>
      <c r="C908" s="44"/>
      <c r="D908" s="44"/>
      <c r="E908" s="44"/>
      <c r="F908" s="44"/>
      <c r="G908" s="44"/>
      <c r="H908" s="46" t="str">
        <f aca="false">IF($A908="","",IF(OR(NOT(ISNUMBER(E908)),NOT(ISNUMBER(F908))),"",MAX(0,E908)*F908))</f>
        <v/>
      </c>
      <c r="I908" s="46" t="str">
        <f aca="false">IF($A908="","",SUMIF($A$2:$A$5001,$A908,$H$2:$H$5001))</f>
        <v/>
      </c>
      <c r="J908" s="47" t="n">
        <f aca="false">IF($A908="",0,IF(COUNTIF($A$2:A908,$A908)=1,1,0))</f>
        <v>0</v>
      </c>
      <c r="K908" s="47" t="n">
        <f aca="false">IF(J908=1,N(I908)+ROW()/10000000,0)</f>
        <v>0</v>
      </c>
      <c r="L908" s="47" t="str">
        <f aca="false">IF(AND(J908=1,N(I908)&gt;0),SUMIF($K$2:$K$5001,"&gt;="&amp;K908,$I$2:$I$5001)/MAX(1,SUM($H$2:$H$5001)),"")</f>
        <v/>
      </c>
      <c r="M908" s="47" t="str">
        <f aca="false">IF($A908="","",INDEX($L$2:$L$5001,MATCH($A908,$A$2:$A$5001,0)))</f>
        <v/>
      </c>
      <c r="N908" s="48" t="str">
        <f aca="false">IF($A908="","",IF(N(M908)=0,"–",IF(M908&lt;=Start!$D$20,"A",IF(M908&lt;=Start!$D$21,"B","C"))))</f>
        <v/>
      </c>
      <c r="O908" s="48" t="str">
        <f aca="false">IF($A908="","",IF(NOT(ISNUMBER(F908)),"Wert fehlt; ",IF(F908&lt;=0,"Wert ist 0; ",""))&amp;IF(NOT(ISNUMBER(E908)),"Bestand fehlt; ",IF(E908&lt;0,"Bestand negativ; ",IF(E908=0,"Nullbestand; ","")))&amp;IF(D908="","Warengruppe fehlt; ","")&amp;IF(B908="","Bezeichnung fehlt; ","")&amp;IF(COUNTIFS($A$2:$A$5001,$A908,$C$2:$C$5001,C908)&gt;1,"Artikel doppelt im selben Lager; ",""))</f>
        <v/>
      </c>
      <c r="P908" s="47" t="n">
        <f aca="false">IF(OR($A908="",D908=""),0,IF(COUNTIF($D$2:D908,D908)=1,SUMIF($D$2:$D$5001,D908,$H$2:$H$5001)+ROW()/10000000,0))</f>
        <v>0</v>
      </c>
      <c r="Q908" s="47" t="n">
        <f aca="false">IF(OR($A908="",C908=""),0,IF(COUNTIF($C$2:C908,C908)=1,SUMIF($C$2:$C$5001,C908,$H$2:$H$5001)+ROW()/10000000,0))</f>
        <v>0</v>
      </c>
    </row>
    <row r="909" customFormat="false" ht="15" hidden="false" customHeight="false" outlineLevel="0" collapsed="false">
      <c r="A909" s="43"/>
      <c r="B909" s="44"/>
      <c r="C909" s="44"/>
      <c r="D909" s="44"/>
      <c r="E909" s="44"/>
      <c r="F909" s="44"/>
      <c r="G909" s="44"/>
      <c r="H909" s="46" t="str">
        <f aca="false">IF($A909="","",IF(OR(NOT(ISNUMBER(E909)),NOT(ISNUMBER(F909))),"",MAX(0,E909)*F909))</f>
        <v/>
      </c>
      <c r="I909" s="46" t="str">
        <f aca="false">IF($A909="","",SUMIF($A$2:$A$5001,$A909,$H$2:$H$5001))</f>
        <v/>
      </c>
      <c r="J909" s="47" t="n">
        <f aca="false">IF($A909="",0,IF(COUNTIF($A$2:A909,$A909)=1,1,0))</f>
        <v>0</v>
      </c>
      <c r="K909" s="47" t="n">
        <f aca="false">IF(J909=1,N(I909)+ROW()/10000000,0)</f>
        <v>0</v>
      </c>
      <c r="L909" s="47" t="str">
        <f aca="false">IF(AND(J909=1,N(I909)&gt;0),SUMIF($K$2:$K$5001,"&gt;="&amp;K909,$I$2:$I$5001)/MAX(1,SUM($H$2:$H$5001)),"")</f>
        <v/>
      </c>
      <c r="M909" s="47" t="str">
        <f aca="false">IF($A909="","",INDEX($L$2:$L$5001,MATCH($A909,$A$2:$A$5001,0)))</f>
        <v/>
      </c>
      <c r="N909" s="48" t="str">
        <f aca="false">IF($A909="","",IF(N(M909)=0,"–",IF(M909&lt;=Start!$D$20,"A",IF(M909&lt;=Start!$D$21,"B","C"))))</f>
        <v/>
      </c>
      <c r="O909" s="48" t="str">
        <f aca="false">IF($A909="","",IF(NOT(ISNUMBER(F909)),"Wert fehlt; ",IF(F909&lt;=0,"Wert ist 0; ",""))&amp;IF(NOT(ISNUMBER(E909)),"Bestand fehlt; ",IF(E909&lt;0,"Bestand negativ; ",IF(E909=0,"Nullbestand; ","")))&amp;IF(D909="","Warengruppe fehlt; ","")&amp;IF(B909="","Bezeichnung fehlt; ","")&amp;IF(COUNTIFS($A$2:$A$5001,$A909,$C$2:$C$5001,C909)&gt;1,"Artikel doppelt im selben Lager; ",""))</f>
        <v/>
      </c>
      <c r="P909" s="47" t="n">
        <f aca="false">IF(OR($A909="",D909=""),0,IF(COUNTIF($D$2:D909,D909)=1,SUMIF($D$2:$D$5001,D909,$H$2:$H$5001)+ROW()/10000000,0))</f>
        <v>0</v>
      </c>
      <c r="Q909" s="47" t="n">
        <f aca="false">IF(OR($A909="",C909=""),0,IF(COUNTIF($C$2:C909,C909)=1,SUMIF($C$2:$C$5001,C909,$H$2:$H$5001)+ROW()/10000000,0))</f>
        <v>0</v>
      </c>
    </row>
    <row r="910" customFormat="false" ht="15" hidden="false" customHeight="false" outlineLevel="0" collapsed="false">
      <c r="A910" s="43"/>
      <c r="B910" s="44"/>
      <c r="C910" s="44"/>
      <c r="D910" s="44"/>
      <c r="E910" s="44"/>
      <c r="F910" s="44"/>
      <c r="G910" s="44"/>
      <c r="H910" s="46" t="str">
        <f aca="false">IF($A910="","",IF(OR(NOT(ISNUMBER(E910)),NOT(ISNUMBER(F910))),"",MAX(0,E910)*F910))</f>
        <v/>
      </c>
      <c r="I910" s="46" t="str">
        <f aca="false">IF($A910="","",SUMIF($A$2:$A$5001,$A910,$H$2:$H$5001))</f>
        <v/>
      </c>
      <c r="J910" s="47" t="n">
        <f aca="false">IF($A910="",0,IF(COUNTIF($A$2:A910,$A910)=1,1,0))</f>
        <v>0</v>
      </c>
      <c r="K910" s="47" t="n">
        <f aca="false">IF(J910=1,N(I910)+ROW()/10000000,0)</f>
        <v>0</v>
      </c>
      <c r="L910" s="47" t="str">
        <f aca="false">IF(AND(J910=1,N(I910)&gt;0),SUMIF($K$2:$K$5001,"&gt;="&amp;K910,$I$2:$I$5001)/MAX(1,SUM($H$2:$H$5001)),"")</f>
        <v/>
      </c>
      <c r="M910" s="47" t="str">
        <f aca="false">IF($A910="","",INDEX($L$2:$L$5001,MATCH($A910,$A$2:$A$5001,0)))</f>
        <v/>
      </c>
      <c r="N910" s="48" t="str">
        <f aca="false">IF($A910="","",IF(N(M910)=0,"–",IF(M910&lt;=Start!$D$20,"A",IF(M910&lt;=Start!$D$21,"B","C"))))</f>
        <v/>
      </c>
      <c r="O910" s="48" t="str">
        <f aca="false">IF($A910="","",IF(NOT(ISNUMBER(F910)),"Wert fehlt; ",IF(F910&lt;=0,"Wert ist 0; ",""))&amp;IF(NOT(ISNUMBER(E910)),"Bestand fehlt; ",IF(E910&lt;0,"Bestand negativ; ",IF(E910=0,"Nullbestand; ","")))&amp;IF(D910="","Warengruppe fehlt; ","")&amp;IF(B910="","Bezeichnung fehlt; ","")&amp;IF(COUNTIFS($A$2:$A$5001,$A910,$C$2:$C$5001,C910)&gt;1,"Artikel doppelt im selben Lager; ",""))</f>
        <v/>
      </c>
      <c r="P910" s="47" t="n">
        <f aca="false">IF(OR($A910="",D910=""),0,IF(COUNTIF($D$2:D910,D910)=1,SUMIF($D$2:$D$5001,D910,$H$2:$H$5001)+ROW()/10000000,0))</f>
        <v>0</v>
      </c>
      <c r="Q910" s="47" t="n">
        <f aca="false">IF(OR($A910="",C910=""),0,IF(COUNTIF($C$2:C910,C910)=1,SUMIF($C$2:$C$5001,C910,$H$2:$H$5001)+ROW()/10000000,0))</f>
        <v>0</v>
      </c>
    </row>
    <row r="911" customFormat="false" ht="15" hidden="false" customHeight="false" outlineLevel="0" collapsed="false">
      <c r="A911" s="43"/>
      <c r="B911" s="44"/>
      <c r="C911" s="44"/>
      <c r="D911" s="44"/>
      <c r="E911" s="44"/>
      <c r="F911" s="44"/>
      <c r="G911" s="44"/>
      <c r="H911" s="46" t="str">
        <f aca="false">IF($A911="","",IF(OR(NOT(ISNUMBER(E911)),NOT(ISNUMBER(F911))),"",MAX(0,E911)*F911))</f>
        <v/>
      </c>
      <c r="I911" s="46" t="str">
        <f aca="false">IF($A911="","",SUMIF($A$2:$A$5001,$A911,$H$2:$H$5001))</f>
        <v/>
      </c>
      <c r="J911" s="47" t="n">
        <f aca="false">IF($A911="",0,IF(COUNTIF($A$2:A911,$A911)=1,1,0))</f>
        <v>0</v>
      </c>
      <c r="K911" s="47" t="n">
        <f aca="false">IF(J911=1,N(I911)+ROW()/10000000,0)</f>
        <v>0</v>
      </c>
      <c r="L911" s="47" t="str">
        <f aca="false">IF(AND(J911=1,N(I911)&gt;0),SUMIF($K$2:$K$5001,"&gt;="&amp;K911,$I$2:$I$5001)/MAX(1,SUM($H$2:$H$5001)),"")</f>
        <v/>
      </c>
      <c r="M911" s="47" t="str">
        <f aca="false">IF($A911="","",INDEX($L$2:$L$5001,MATCH($A911,$A$2:$A$5001,0)))</f>
        <v/>
      </c>
      <c r="N911" s="48" t="str">
        <f aca="false">IF($A911="","",IF(N(M911)=0,"–",IF(M911&lt;=Start!$D$20,"A",IF(M911&lt;=Start!$D$21,"B","C"))))</f>
        <v/>
      </c>
      <c r="O911" s="48" t="str">
        <f aca="false">IF($A911="","",IF(NOT(ISNUMBER(F911)),"Wert fehlt; ",IF(F911&lt;=0,"Wert ist 0; ",""))&amp;IF(NOT(ISNUMBER(E911)),"Bestand fehlt; ",IF(E911&lt;0,"Bestand negativ; ",IF(E911=0,"Nullbestand; ","")))&amp;IF(D911="","Warengruppe fehlt; ","")&amp;IF(B911="","Bezeichnung fehlt; ","")&amp;IF(COUNTIFS($A$2:$A$5001,$A911,$C$2:$C$5001,C911)&gt;1,"Artikel doppelt im selben Lager; ",""))</f>
        <v/>
      </c>
      <c r="P911" s="47" t="n">
        <f aca="false">IF(OR($A911="",D911=""),0,IF(COUNTIF($D$2:D911,D911)=1,SUMIF($D$2:$D$5001,D911,$H$2:$H$5001)+ROW()/10000000,0))</f>
        <v>0</v>
      </c>
      <c r="Q911" s="47" t="n">
        <f aca="false">IF(OR($A911="",C911=""),0,IF(COUNTIF($C$2:C911,C911)=1,SUMIF($C$2:$C$5001,C911,$H$2:$H$5001)+ROW()/10000000,0))</f>
        <v>0</v>
      </c>
    </row>
    <row r="912" customFormat="false" ht="15" hidden="false" customHeight="false" outlineLevel="0" collapsed="false">
      <c r="A912" s="43"/>
      <c r="B912" s="44"/>
      <c r="C912" s="44"/>
      <c r="D912" s="44"/>
      <c r="E912" s="44"/>
      <c r="F912" s="44"/>
      <c r="G912" s="44"/>
      <c r="H912" s="46" t="str">
        <f aca="false">IF($A912="","",IF(OR(NOT(ISNUMBER(E912)),NOT(ISNUMBER(F912))),"",MAX(0,E912)*F912))</f>
        <v/>
      </c>
      <c r="I912" s="46" t="str">
        <f aca="false">IF($A912="","",SUMIF($A$2:$A$5001,$A912,$H$2:$H$5001))</f>
        <v/>
      </c>
      <c r="J912" s="47" t="n">
        <f aca="false">IF($A912="",0,IF(COUNTIF($A$2:A912,$A912)=1,1,0))</f>
        <v>0</v>
      </c>
      <c r="K912" s="47" t="n">
        <f aca="false">IF(J912=1,N(I912)+ROW()/10000000,0)</f>
        <v>0</v>
      </c>
      <c r="L912" s="47" t="str">
        <f aca="false">IF(AND(J912=1,N(I912)&gt;0),SUMIF($K$2:$K$5001,"&gt;="&amp;K912,$I$2:$I$5001)/MAX(1,SUM($H$2:$H$5001)),"")</f>
        <v/>
      </c>
      <c r="M912" s="47" t="str">
        <f aca="false">IF($A912="","",INDEX($L$2:$L$5001,MATCH($A912,$A$2:$A$5001,0)))</f>
        <v/>
      </c>
      <c r="N912" s="48" t="str">
        <f aca="false">IF($A912="","",IF(N(M912)=0,"–",IF(M912&lt;=Start!$D$20,"A",IF(M912&lt;=Start!$D$21,"B","C"))))</f>
        <v/>
      </c>
      <c r="O912" s="48" t="str">
        <f aca="false">IF($A912="","",IF(NOT(ISNUMBER(F912)),"Wert fehlt; ",IF(F912&lt;=0,"Wert ist 0; ",""))&amp;IF(NOT(ISNUMBER(E912)),"Bestand fehlt; ",IF(E912&lt;0,"Bestand negativ; ",IF(E912=0,"Nullbestand; ","")))&amp;IF(D912="","Warengruppe fehlt; ","")&amp;IF(B912="","Bezeichnung fehlt; ","")&amp;IF(COUNTIFS($A$2:$A$5001,$A912,$C$2:$C$5001,C912)&gt;1,"Artikel doppelt im selben Lager; ",""))</f>
        <v/>
      </c>
      <c r="P912" s="47" t="n">
        <f aca="false">IF(OR($A912="",D912=""),0,IF(COUNTIF($D$2:D912,D912)=1,SUMIF($D$2:$D$5001,D912,$H$2:$H$5001)+ROW()/10000000,0))</f>
        <v>0</v>
      </c>
      <c r="Q912" s="47" t="n">
        <f aca="false">IF(OR($A912="",C912=""),0,IF(COUNTIF($C$2:C912,C912)=1,SUMIF($C$2:$C$5001,C912,$H$2:$H$5001)+ROW()/10000000,0))</f>
        <v>0</v>
      </c>
    </row>
    <row r="913" customFormat="false" ht="15" hidden="false" customHeight="false" outlineLevel="0" collapsed="false">
      <c r="A913" s="43"/>
      <c r="B913" s="44"/>
      <c r="C913" s="44"/>
      <c r="D913" s="44"/>
      <c r="E913" s="44"/>
      <c r="F913" s="44"/>
      <c r="G913" s="44"/>
      <c r="H913" s="46" t="str">
        <f aca="false">IF($A913="","",IF(OR(NOT(ISNUMBER(E913)),NOT(ISNUMBER(F913))),"",MAX(0,E913)*F913))</f>
        <v/>
      </c>
      <c r="I913" s="46" t="str">
        <f aca="false">IF($A913="","",SUMIF($A$2:$A$5001,$A913,$H$2:$H$5001))</f>
        <v/>
      </c>
      <c r="J913" s="47" t="n">
        <f aca="false">IF($A913="",0,IF(COUNTIF($A$2:A913,$A913)=1,1,0))</f>
        <v>0</v>
      </c>
      <c r="K913" s="47" t="n">
        <f aca="false">IF(J913=1,N(I913)+ROW()/10000000,0)</f>
        <v>0</v>
      </c>
      <c r="L913" s="47" t="str">
        <f aca="false">IF(AND(J913=1,N(I913)&gt;0),SUMIF($K$2:$K$5001,"&gt;="&amp;K913,$I$2:$I$5001)/MAX(1,SUM($H$2:$H$5001)),"")</f>
        <v/>
      </c>
      <c r="M913" s="47" t="str">
        <f aca="false">IF($A913="","",INDEX($L$2:$L$5001,MATCH($A913,$A$2:$A$5001,0)))</f>
        <v/>
      </c>
      <c r="N913" s="48" t="str">
        <f aca="false">IF($A913="","",IF(N(M913)=0,"–",IF(M913&lt;=Start!$D$20,"A",IF(M913&lt;=Start!$D$21,"B","C"))))</f>
        <v/>
      </c>
      <c r="O913" s="48" t="str">
        <f aca="false">IF($A913="","",IF(NOT(ISNUMBER(F913)),"Wert fehlt; ",IF(F913&lt;=0,"Wert ist 0; ",""))&amp;IF(NOT(ISNUMBER(E913)),"Bestand fehlt; ",IF(E913&lt;0,"Bestand negativ; ",IF(E913=0,"Nullbestand; ","")))&amp;IF(D913="","Warengruppe fehlt; ","")&amp;IF(B913="","Bezeichnung fehlt; ","")&amp;IF(COUNTIFS($A$2:$A$5001,$A913,$C$2:$C$5001,C913)&gt;1,"Artikel doppelt im selben Lager; ",""))</f>
        <v/>
      </c>
      <c r="P913" s="47" t="n">
        <f aca="false">IF(OR($A913="",D913=""),0,IF(COUNTIF($D$2:D913,D913)=1,SUMIF($D$2:$D$5001,D913,$H$2:$H$5001)+ROW()/10000000,0))</f>
        <v>0</v>
      </c>
      <c r="Q913" s="47" t="n">
        <f aca="false">IF(OR($A913="",C913=""),0,IF(COUNTIF($C$2:C913,C913)=1,SUMIF($C$2:$C$5001,C913,$H$2:$H$5001)+ROW()/10000000,0))</f>
        <v>0</v>
      </c>
    </row>
    <row r="914" customFormat="false" ht="15" hidden="false" customHeight="false" outlineLevel="0" collapsed="false">
      <c r="A914" s="43"/>
      <c r="B914" s="44"/>
      <c r="C914" s="44"/>
      <c r="D914" s="44"/>
      <c r="E914" s="44"/>
      <c r="F914" s="44"/>
      <c r="G914" s="44"/>
      <c r="H914" s="46" t="str">
        <f aca="false">IF($A914="","",IF(OR(NOT(ISNUMBER(E914)),NOT(ISNUMBER(F914))),"",MAX(0,E914)*F914))</f>
        <v/>
      </c>
      <c r="I914" s="46" t="str">
        <f aca="false">IF($A914="","",SUMIF($A$2:$A$5001,$A914,$H$2:$H$5001))</f>
        <v/>
      </c>
      <c r="J914" s="47" t="n">
        <f aca="false">IF($A914="",0,IF(COUNTIF($A$2:A914,$A914)=1,1,0))</f>
        <v>0</v>
      </c>
      <c r="K914" s="47" t="n">
        <f aca="false">IF(J914=1,N(I914)+ROW()/10000000,0)</f>
        <v>0</v>
      </c>
      <c r="L914" s="47" t="str">
        <f aca="false">IF(AND(J914=1,N(I914)&gt;0),SUMIF($K$2:$K$5001,"&gt;="&amp;K914,$I$2:$I$5001)/MAX(1,SUM($H$2:$H$5001)),"")</f>
        <v/>
      </c>
      <c r="M914" s="47" t="str">
        <f aca="false">IF($A914="","",INDEX($L$2:$L$5001,MATCH($A914,$A$2:$A$5001,0)))</f>
        <v/>
      </c>
      <c r="N914" s="48" t="str">
        <f aca="false">IF($A914="","",IF(N(M914)=0,"–",IF(M914&lt;=Start!$D$20,"A",IF(M914&lt;=Start!$D$21,"B","C"))))</f>
        <v/>
      </c>
      <c r="O914" s="48" t="str">
        <f aca="false">IF($A914="","",IF(NOT(ISNUMBER(F914)),"Wert fehlt; ",IF(F914&lt;=0,"Wert ist 0; ",""))&amp;IF(NOT(ISNUMBER(E914)),"Bestand fehlt; ",IF(E914&lt;0,"Bestand negativ; ",IF(E914=0,"Nullbestand; ","")))&amp;IF(D914="","Warengruppe fehlt; ","")&amp;IF(B914="","Bezeichnung fehlt; ","")&amp;IF(COUNTIFS($A$2:$A$5001,$A914,$C$2:$C$5001,C914)&gt;1,"Artikel doppelt im selben Lager; ",""))</f>
        <v/>
      </c>
      <c r="P914" s="47" t="n">
        <f aca="false">IF(OR($A914="",D914=""),0,IF(COUNTIF($D$2:D914,D914)=1,SUMIF($D$2:$D$5001,D914,$H$2:$H$5001)+ROW()/10000000,0))</f>
        <v>0</v>
      </c>
      <c r="Q914" s="47" t="n">
        <f aca="false">IF(OR($A914="",C914=""),0,IF(COUNTIF($C$2:C914,C914)=1,SUMIF($C$2:$C$5001,C914,$H$2:$H$5001)+ROW()/10000000,0))</f>
        <v>0</v>
      </c>
    </row>
    <row r="915" customFormat="false" ht="15" hidden="false" customHeight="false" outlineLevel="0" collapsed="false">
      <c r="A915" s="43"/>
      <c r="B915" s="44"/>
      <c r="C915" s="44"/>
      <c r="D915" s="44"/>
      <c r="E915" s="44"/>
      <c r="F915" s="44"/>
      <c r="G915" s="44"/>
      <c r="H915" s="46" t="str">
        <f aca="false">IF($A915="","",IF(OR(NOT(ISNUMBER(E915)),NOT(ISNUMBER(F915))),"",MAX(0,E915)*F915))</f>
        <v/>
      </c>
      <c r="I915" s="46" t="str">
        <f aca="false">IF($A915="","",SUMIF($A$2:$A$5001,$A915,$H$2:$H$5001))</f>
        <v/>
      </c>
      <c r="J915" s="47" t="n">
        <f aca="false">IF($A915="",0,IF(COUNTIF($A$2:A915,$A915)=1,1,0))</f>
        <v>0</v>
      </c>
      <c r="K915" s="47" t="n">
        <f aca="false">IF(J915=1,N(I915)+ROW()/10000000,0)</f>
        <v>0</v>
      </c>
      <c r="L915" s="47" t="str">
        <f aca="false">IF(AND(J915=1,N(I915)&gt;0),SUMIF($K$2:$K$5001,"&gt;="&amp;K915,$I$2:$I$5001)/MAX(1,SUM($H$2:$H$5001)),"")</f>
        <v/>
      </c>
      <c r="M915" s="47" t="str">
        <f aca="false">IF($A915="","",INDEX($L$2:$L$5001,MATCH($A915,$A$2:$A$5001,0)))</f>
        <v/>
      </c>
      <c r="N915" s="48" t="str">
        <f aca="false">IF($A915="","",IF(N(M915)=0,"–",IF(M915&lt;=Start!$D$20,"A",IF(M915&lt;=Start!$D$21,"B","C"))))</f>
        <v/>
      </c>
      <c r="O915" s="48" t="str">
        <f aca="false">IF($A915="","",IF(NOT(ISNUMBER(F915)),"Wert fehlt; ",IF(F915&lt;=0,"Wert ist 0; ",""))&amp;IF(NOT(ISNUMBER(E915)),"Bestand fehlt; ",IF(E915&lt;0,"Bestand negativ; ",IF(E915=0,"Nullbestand; ","")))&amp;IF(D915="","Warengruppe fehlt; ","")&amp;IF(B915="","Bezeichnung fehlt; ","")&amp;IF(COUNTIFS($A$2:$A$5001,$A915,$C$2:$C$5001,C915)&gt;1,"Artikel doppelt im selben Lager; ",""))</f>
        <v/>
      </c>
      <c r="P915" s="47" t="n">
        <f aca="false">IF(OR($A915="",D915=""),0,IF(COUNTIF($D$2:D915,D915)=1,SUMIF($D$2:$D$5001,D915,$H$2:$H$5001)+ROW()/10000000,0))</f>
        <v>0</v>
      </c>
      <c r="Q915" s="47" t="n">
        <f aca="false">IF(OR($A915="",C915=""),0,IF(COUNTIF($C$2:C915,C915)=1,SUMIF($C$2:$C$5001,C915,$H$2:$H$5001)+ROW()/10000000,0))</f>
        <v>0</v>
      </c>
    </row>
    <row r="916" customFormat="false" ht="15" hidden="false" customHeight="false" outlineLevel="0" collapsed="false">
      <c r="A916" s="43"/>
      <c r="B916" s="44"/>
      <c r="C916" s="44"/>
      <c r="D916" s="44"/>
      <c r="E916" s="44"/>
      <c r="F916" s="44"/>
      <c r="G916" s="44"/>
      <c r="H916" s="46" t="str">
        <f aca="false">IF($A916="","",IF(OR(NOT(ISNUMBER(E916)),NOT(ISNUMBER(F916))),"",MAX(0,E916)*F916))</f>
        <v/>
      </c>
      <c r="I916" s="46" t="str">
        <f aca="false">IF($A916="","",SUMIF($A$2:$A$5001,$A916,$H$2:$H$5001))</f>
        <v/>
      </c>
      <c r="J916" s="47" t="n">
        <f aca="false">IF($A916="",0,IF(COUNTIF($A$2:A916,$A916)=1,1,0))</f>
        <v>0</v>
      </c>
      <c r="K916" s="47" t="n">
        <f aca="false">IF(J916=1,N(I916)+ROW()/10000000,0)</f>
        <v>0</v>
      </c>
      <c r="L916" s="47" t="str">
        <f aca="false">IF(AND(J916=1,N(I916)&gt;0),SUMIF($K$2:$K$5001,"&gt;="&amp;K916,$I$2:$I$5001)/MAX(1,SUM($H$2:$H$5001)),"")</f>
        <v/>
      </c>
      <c r="M916" s="47" t="str">
        <f aca="false">IF($A916="","",INDEX($L$2:$L$5001,MATCH($A916,$A$2:$A$5001,0)))</f>
        <v/>
      </c>
      <c r="N916" s="48" t="str">
        <f aca="false">IF($A916="","",IF(N(M916)=0,"–",IF(M916&lt;=Start!$D$20,"A",IF(M916&lt;=Start!$D$21,"B","C"))))</f>
        <v/>
      </c>
      <c r="O916" s="48" t="str">
        <f aca="false">IF($A916="","",IF(NOT(ISNUMBER(F916)),"Wert fehlt; ",IF(F916&lt;=0,"Wert ist 0; ",""))&amp;IF(NOT(ISNUMBER(E916)),"Bestand fehlt; ",IF(E916&lt;0,"Bestand negativ; ",IF(E916=0,"Nullbestand; ","")))&amp;IF(D916="","Warengruppe fehlt; ","")&amp;IF(B916="","Bezeichnung fehlt; ","")&amp;IF(COUNTIFS($A$2:$A$5001,$A916,$C$2:$C$5001,C916)&gt;1,"Artikel doppelt im selben Lager; ",""))</f>
        <v/>
      </c>
      <c r="P916" s="47" t="n">
        <f aca="false">IF(OR($A916="",D916=""),0,IF(COUNTIF($D$2:D916,D916)=1,SUMIF($D$2:$D$5001,D916,$H$2:$H$5001)+ROW()/10000000,0))</f>
        <v>0</v>
      </c>
      <c r="Q916" s="47" t="n">
        <f aca="false">IF(OR($A916="",C916=""),0,IF(COUNTIF($C$2:C916,C916)=1,SUMIF($C$2:$C$5001,C916,$H$2:$H$5001)+ROW()/10000000,0))</f>
        <v>0</v>
      </c>
    </row>
    <row r="917" customFormat="false" ht="15" hidden="false" customHeight="false" outlineLevel="0" collapsed="false">
      <c r="A917" s="43"/>
      <c r="B917" s="44"/>
      <c r="C917" s="44"/>
      <c r="D917" s="44"/>
      <c r="E917" s="44"/>
      <c r="F917" s="44"/>
      <c r="G917" s="44"/>
      <c r="H917" s="46" t="str">
        <f aca="false">IF($A917="","",IF(OR(NOT(ISNUMBER(E917)),NOT(ISNUMBER(F917))),"",MAX(0,E917)*F917))</f>
        <v/>
      </c>
      <c r="I917" s="46" t="str">
        <f aca="false">IF($A917="","",SUMIF($A$2:$A$5001,$A917,$H$2:$H$5001))</f>
        <v/>
      </c>
      <c r="J917" s="47" t="n">
        <f aca="false">IF($A917="",0,IF(COUNTIF($A$2:A917,$A917)=1,1,0))</f>
        <v>0</v>
      </c>
      <c r="K917" s="47" t="n">
        <f aca="false">IF(J917=1,N(I917)+ROW()/10000000,0)</f>
        <v>0</v>
      </c>
      <c r="L917" s="47" t="str">
        <f aca="false">IF(AND(J917=1,N(I917)&gt;0),SUMIF($K$2:$K$5001,"&gt;="&amp;K917,$I$2:$I$5001)/MAX(1,SUM($H$2:$H$5001)),"")</f>
        <v/>
      </c>
      <c r="M917" s="47" t="str">
        <f aca="false">IF($A917="","",INDEX($L$2:$L$5001,MATCH($A917,$A$2:$A$5001,0)))</f>
        <v/>
      </c>
      <c r="N917" s="48" t="str">
        <f aca="false">IF($A917="","",IF(N(M917)=0,"–",IF(M917&lt;=Start!$D$20,"A",IF(M917&lt;=Start!$D$21,"B","C"))))</f>
        <v/>
      </c>
      <c r="O917" s="48" t="str">
        <f aca="false">IF($A917="","",IF(NOT(ISNUMBER(F917)),"Wert fehlt; ",IF(F917&lt;=0,"Wert ist 0; ",""))&amp;IF(NOT(ISNUMBER(E917)),"Bestand fehlt; ",IF(E917&lt;0,"Bestand negativ; ",IF(E917=0,"Nullbestand; ","")))&amp;IF(D917="","Warengruppe fehlt; ","")&amp;IF(B917="","Bezeichnung fehlt; ","")&amp;IF(COUNTIFS($A$2:$A$5001,$A917,$C$2:$C$5001,C917)&gt;1,"Artikel doppelt im selben Lager; ",""))</f>
        <v/>
      </c>
      <c r="P917" s="47" t="n">
        <f aca="false">IF(OR($A917="",D917=""),0,IF(COUNTIF($D$2:D917,D917)=1,SUMIF($D$2:$D$5001,D917,$H$2:$H$5001)+ROW()/10000000,0))</f>
        <v>0</v>
      </c>
      <c r="Q917" s="47" t="n">
        <f aca="false">IF(OR($A917="",C917=""),0,IF(COUNTIF($C$2:C917,C917)=1,SUMIF($C$2:$C$5001,C917,$H$2:$H$5001)+ROW()/10000000,0))</f>
        <v>0</v>
      </c>
    </row>
    <row r="918" customFormat="false" ht="15" hidden="false" customHeight="false" outlineLevel="0" collapsed="false">
      <c r="A918" s="43"/>
      <c r="B918" s="44"/>
      <c r="C918" s="44"/>
      <c r="D918" s="44"/>
      <c r="E918" s="44"/>
      <c r="F918" s="44"/>
      <c r="G918" s="44"/>
      <c r="H918" s="46" t="str">
        <f aca="false">IF($A918="","",IF(OR(NOT(ISNUMBER(E918)),NOT(ISNUMBER(F918))),"",MAX(0,E918)*F918))</f>
        <v/>
      </c>
      <c r="I918" s="46" t="str">
        <f aca="false">IF($A918="","",SUMIF($A$2:$A$5001,$A918,$H$2:$H$5001))</f>
        <v/>
      </c>
      <c r="J918" s="47" t="n">
        <f aca="false">IF($A918="",0,IF(COUNTIF($A$2:A918,$A918)=1,1,0))</f>
        <v>0</v>
      </c>
      <c r="K918" s="47" t="n">
        <f aca="false">IF(J918=1,N(I918)+ROW()/10000000,0)</f>
        <v>0</v>
      </c>
      <c r="L918" s="47" t="str">
        <f aca="false">IF(AND(J918=1,N(I918)&gt;0),SUMIF($K$2:$K$5001,"&gt;="&amp;K918,$I$2:$I$5001)/MAX(1,SUM($H$2:$H$5001)),"")</f>
        <v/>
      </c>
      <c r="M918" s="47" t="str">
        <f aca="false">IF($A918="","",INDEX($L$2:$L$5001,MATCH($A918,$A$2:$A$5001,0)))</f>
        <v/>
      </c>
      <c r="N918" s="48" t="str">
        <f aca="false">IF($A918="","",IF(N(M918)=0,"–",IF(M918&lt;=Start!$D$20,"A",IF(M918&lt;=Start!$D$21,"B","C"))))</f>
        <v/>
      </c>
      <c r="O918" s="48" t="str">
        <f aca="false">IF($A918="","",IF(NOT(ISNUMBER(F918)),"Wert fehlt; ",IF(F918&lt;=0,"Wert ist 0; ",""))&amp;IF(NOT(ISNUMBER(E918)),"Bestand fehlt; ",IF(E918&lt;0,"Bestand negativ; ",IF(E918=0,"Nullbestand; ","")))&amp;IF(D918="","Warengruppe fehlt; ","")&amp;IF(B918="","Bezeichnung fehlt; ","")&amp;IF(COUNTIFS($A$2:$A$5001,$A918,$C$2:$C$5001,C918)&gt;1,"Artikel doppelt im selben Lager; ",""))</f>
        <v/>
      </c>
      <c r="P918" s="47" t="n">
        <f aca="false">IF(OR($A918="",D918=""),0,IF(COUNTIF($D$2:D918,D918)=1,SUMIF($D$2:$D$5001,D918,$H$2:$H$5001)+ROW()/10000000,0))</f>
        <v>0</v>
      </c>
      <c r="Q918" s="47" t="n">
        <f aca="false">IF(OR($A918="",C918=""),0,IF(COUNTIF($C$2:C918,C918)=1,SUMIF($C$2:$C$5001,C918,$H$2:$H$5001)+ROW()/10000000,0))</f>
        <v>0</v>
      </c>
    </row>
    <row r="919" customFormat="false" ht="15" hidden="false" customHeight="false" outlineLevel="0" collapsed="false">
      <c r="A919" s="43"/>
      <c r="B919" s="44"/>
      <c r="C919" s="44"/>
      <c r="D919" s="44"/>
      <c r="E919" s="44"/>
      <c r="F919" s="44"/>
      <c r="G919" s="44"/>
      <c r="H919" s="46" t="str">
        <f aca="false">IF($A919="","",IF(OR(NOT(ISNUMBER(E919)),NOT(ISNUMBER(F919))),"",MAX(0,E919)*F919))</f>
        <v/>
      </c>
      <c r="I919" s="46" t="str">
        <f aca="false">IF($A919="","",SUMIF($A$2:$A$5001,$A919,$H$2:$H$5001))</f>
        <v/>
      </c>
      <c r="J919" s="47" t="n">
        <f aca="false">IF($A919="",0,IF(COUNTIF($A$2:A919,$A919)=1,1,0))</f>
        <v>0</v>
      </c>
      <c r="K919" s="47" t="n">
        <f aca="false">IF(J919=1,N(I919)+ROW()/10000000,0)</f>
        <v>0</v>
      </c>
      <c r="L919" s="47" t="str">
        <f aca="false">IF(AND(J919=1,N(I919)&gt;0),SUMIF($K$2:$K$5001,"&gt;="&amp;K919,$I$2:$I$5001)/MAX(1,SUM($H$2:$H$5001)),"")</f>
        <v/>
      </c>
      <c r="M919" s="47" t="str">
        <f aca="false">IF($A919="","",INDEX($L$2:$L$5001,MATCH($A919,$A$2:$A$5001,0)))</f>
        <v/>
      </c>
      <c r="N919" s="48" t="str">
        <f aca="false">IF($A919="","",IF(N(M919)=0,"–",IF(M919&lt;=Start!$D$20,"A",IF(M919&lt;=Start!$D$21,"B","C"))))</f>
        <v/>
      </c>
      <c r="O919" s="48" t="str">
        <f aca="false">IF($A919="","",IF(NOT(ISNUMBER(F919)),"Wert fehlt; ",IF(F919&lt;=0,"Wert ist 0; ",""))&amp;IF(NOT(ISNUMBER(E919)),"Bestand fehlt; ",IF(E919&lt;0,"Bestand negativ; ",IF(E919=0,"Nullbestand; ","")))&amp;IF(D919="","Warengruppe fehlt; ","")&amp;IF(B919="","Bezeichnung fehlt; ","")&amp;IF(COUNTIFS($A$2:$A$5001,$A919,$C$2:$C$5001,C919)&gt;1,"Artikel doppelt im selben Lager; ",""))</f>
        <v/>
      </c>
      <c r="P919" s="47" t="n">
        <f aca="false">IF(OR($A919="",D919=""),0,IF(COUNTIF($D$2:D919,D919)=1,SUMIF($D$2:$D$5001,D919,$H$2:$H$5001)+ROW()/10000000,0))</f>
        <v>0</v>
      </c>
      <c r="Q919" s="47" t="n">
        <f aca="false">IF(OR($A919="",C919=""),0,IF(COUNTIF($C$2:C919,C919)=1,SUMIF($C$2:$C$5001,C919,$H$2:$H$5001)+ROW()/10000000,0))</f>
        <v>0</v>
      </c>
    </row>
    <row r="920" customFormat="false" ht="15" hidden="false" customHeight="false" outlineLevel="0" collapsed="false">
      <c r="A920" s="43"/>
      <c r="B920" s="44"/>
      <c r="C920" s="44"/>
      <c r="D920" s="44"/>
      <c r="E920" s="44"/>
      <c r="F920" s="44"/>
      <c r="G920" s="44"/>
      <c r="H920" s="46" t="str">
        <f aca="false">IF($A920="","",IF(OR(NOT(ISNUMBER(E920)),NOT(ISNUMBER(F920))),"",MAX(0,E920)*F920))</f>
        <v/>
      </c>
      <c r="I920" s="46" t="str">
        <f aca="false">IF($A920="","",SUMIF($A$2:$A$5001,$A920,$H$2:$H$5001))</f>
        <v/>
      </c>
      <c r="J920" s="47" t="n">
        <f aca="false">IF($A920="",0,IF(COUNTIF($A$2:A920,$A920)=1,1,0))</f>
        <v>0</v>
      </c>
      <c r="K920" s="47" t="n">
        <f aca="false">IF(J920=1,N(I920)+ROW()/10000000,0)</f>
        <v>0</v>
      </c>
      <c r="L920" s="47" t="str">
        <f aca="false">IF(AND(J920=1,N(I920)&gt;0),SUMIF($K$2:$K$5001,"&gt;="&amp;K920,$I$2:$I$5001)/MAX(1,SUM($H$2:$H$5001)),"")</f>
        <v/>
      </c>
      <c r="M920" s="47" t="str">
        <f aca="false">IF($A920="","",INDEX($L$2:$L$5001,MATCH($A920,$A$2:$A$5001,0)))</f>
        <v/>
      </c>
      <c r="N920" s="48" t="str">
        <f aca="false">IF($A920="","",IF(N(M920)=0,"–",IF(M920&lt;=Start!$D$20,"A",IF(M920&lt;=Start!$D$21,"B","C"))))</f>
        <v/>
      </c>
      <c r="O920" s="48" t="str">
        <f aca="false">IF($A920="","",IF(NOT(ISNUMBER(F920)),"Wert fehlt; ",IF(F920&lt;=0,"Wert ist 0; ",""))&amp;IF(NOT(ISNUMBER(E920)),"Bestand fehlt; ",IF(E920&lt;0,"Bestand negativ; ",IF(E920=0,"Nullbestand; ","")))&amp;IF(D920="","Warengruppe fehlt; ","")&amp;IF(B920="","Bezeichnung fehlt; ","")&amp;IF(COUNTIFS($A$2:$A$5001,$A920,$C$2:$C$5001,C920)&gt;1,"Artikel doppelt im selben Lager; ",""))</f>
        <v/>
      </c>
      <c r="P920" s="47" t="n">
        <f aca="false">IF(OR($A920="",D920=""),0,IF(COUNTIF($D$2:D920,D920)=1,SUMIF($D$2:$D$5001,D920,$H$2:$H$5001)+ROW()/10000000,0))</f>
        <v>0</v>
      </c>
      <c r="Q920" s="47" t="n">
        <f aca="false">IF(OR($A920="",C920=""),0,IF(COUNTIF($C$2:C920,C920)=1,SUMIF($C$2:$C$5001,C920,$H$2:$H$5001)+ROW()/10000000,0))</f>
        <v>0</v>
      </c>
    </row>
    <row r="921" customFormat="false" ht="15" hidden="false" customHeight="false" outlineLevel="0" collapsed="false">
      <c r="A921" s="43"/>
      <c r="B921" s="44"/>
      <c r="C921" s="44"/>
      <c r="D921" s="44"/>
      <c r="E921" s="44"/>
      <c r="F921" s="44"/>
      <c r="G921" s="44"/>
      <c r="H921" s="46" t="str">
        <f aca="false">IF($A921="","",IF(OR(NOT(ISNUMBER(E921)),NOT(ISNUMBER(F921))),"",MAX(0,E921)*F921))</f>
        <v/>
      </c>
      <c r="I921" s="46" t="str">
        <f aca="false">IF($A921="","",SUMIF($A$2:$A$5001,$A921,$H$2:$H$5001))</f>
        <v/>
      </c>
      <c r="J921" s="47" t="n">
        <f aca="false">IF($A921="",0,IF(COUNTIF($A$2:A921,$A921)=1,1,0))</f>
        <v>0</v>
      </c>
      <c r="K921" s="47" t="n">
        <f aca="false">IF(J921=1,N(I921)+ROW()/10000000,0)</f>
        <v>0</v>
      </c>
      <c r="L921" s="47" t="str">
        <f aca="false">IF(AND(J921=1,N(I921)&gt;0),SUMIF($K$2:$K$5001,"&gt;="&amp;K921,$I$2:$I$5001)/MAX(1,SUM($H$2:$H$5001)),"")</f>
        <v/>
      </c>
      <c r="M921" s="47" t="str">
        <f aca="false">IF($A921="","",INDEX($L$2:$L$5001,MATCH($A921,$A$2:$A$5001,0)))</f>
        <v/>
      </c>
      <c r="N921" s="48" t="str">
        <f aca="false">IF($A921="","",IF(N(M921)=0,"–",IF(M921&lt;=Start!$D$20,"A",IF(M921&lt;=Start!$D$21,"B","C"))))</f>
        <v/>
      </c>
      <c r="O921" s="48" t="str">
        <f aca="false">IF($A921="","",IF(NOT(ISNUMBER(F921)),"Wert fehlt; ",IF(F921&lt;=0,"Wert ist 0; ",""))&amp;IF(NOT(ISNUMBER(E921)),"Bestand fehlt; ",IF(E921&lt;0,"Bestand negativ; ",IF(E921=0,"Nullbestand; ","")))&amp;IF(D921="","Warengruppe fehlt; ","")&amp;IF(B921="","Bezeichnung fehlt; ","")&amp;IF(COUNTIFS($A$2:$A$5001,$A921,$C$2:$C$5001,C921)&gt;1,"Artikel doppelt im selben Lager; ",""))</f>
        <v/>
      </c>
      <c r="P921" s="47" t="n">
        <f aca="false">IF(OR($A921="",D921=""),0,IF(COUNTIF($D$2:D921,D921)=1,SUMIF($D$2:$D$5001,D921,$H$2:$H$5001)+ROW()/10000000,0))</f>
        <v>0</v>
      </c>
      <c r="Q921" s="47" t="n">
        <f aca="false">IF(OR($A921="",C921=""),0,IF(COUNTIF($C$2:C921,C921)=1,SUMIF($C$2:$C$5001,C921,$H$2:$H$5001)+ROW()/10000000,0))</f>
        <v>0</v>
      </c>
    </row>
    <row r="922" customFormat="false" ht="15" hidden="false" customHeight="false" outlineLevel="0" collapsed="false">
      <c r="A922" s="43"/>
      <c r="B922" s="44"/>
      <c r="C922" s="44"/>
      <c r="D922" s="44"/>
      <c r="E922" s="44"/>
      <c r="F922" s="44"/>
      <c r="G922" s="44"/>
      <c r="H922" s="46" t="str">
        <f aca="false">IF($A922="","",IF(OR(NOT(ISNUMBER(E922)),NOT(ISNUMBER(F922))),"",MAX(0,E922)*F922))</f>
        <v/>
      </c>
      <c r="I922" s="46" t="str">
        <f aca="false">IF($A922="","",SUMIF($A$2:$A$5001,$A922,$H$2:$H$5001))</f>
        <v/>
      </c>
      <c r="J922" s="47" t="n">
        <f aca="false">IF($A922="",0,IF(COUNTIF($A$2:A922,$A922)=1,1,0))</f>
        <v>0</v>
      </c>
      <c r="K922" s="47" t="n">
        <f aca="false">IF(J922=1,N(I922)+ROW()/10000000,0)</f>
        <v>0</v>
      </c>
      <c r="L922" s="47" t="str">
        <f aca="false">IF(AND(J922=1,N(I922)&gt;0),SUMIF($K$2:$K$5001,"&gt;="&amp;K922,$I$2:$I$5001)/MAX(1,SUM($H$2:$H$5001)),"")</f>
        <v/>
      </c>
      <c r="M922" s="47" t="str">
        <f aca="false">IF($A922="","",INDEX($L$2:$L$5001,MATCH($A922,$A$2:$A$5001,0)))</f>
        <v/>
      </c>
      <c r="N922" s="48" t="str">
        <f aca="false">IF($A922="","",IF(N(M922)=0,"–",IF(M922&lt;=Start!$D$20,"A",IF(M922&lt;=Start!$D$21,"B","C"))))</f>
        <v/>
      </c>
      <c r="O922" s="48" t="str">
        <f aca="false">IF($A922="","",IF(NOT(ISNUMBER(F922)),"Wert fehlt; ",IF(F922&lt;=0,"Wert ist 0; ",""))&amp;IF(NOT(ISNUMBER(E922)),"Bestand fehlt; ",IF(E922&lt;0,"Bestand negativ; ",IF(E922=0,"Nullbestand; ","")))&amp;IF(D922="","Warengruppe fehlt; ","")&amp;IF(B922="","Bezeichnung fehlt; ","")&amp;IF(COUNTIFS($A$2:$A$5001,$A922,$C$2:$C$5001,C922)&gt;1,"Artikel doppelt im selben Lager; ",""))</f>
        <v/>
      </c>
      <c r="P922" s="47" t="n">
        <f aca="false">IF(OR($A922="",D922=""),0,IF(COUNTIF($D$2:D922,D922)=1,SUMIF($D$2:$D$5001,D922,$H$2:$H$5001)+ROW()/10000000,0))</f>
        <v>0</v>
      </c>
      <c r="Q922" s="47" t="n">
        <f aca="false">IF(OR($A922="",C922=""),0,IF(COUNTIF($C$2:C922,C922)=1,SUMIF($C$2:$C$5001,C922,$H$2:$H$5001)+ROW()/10000000,0))</f>
        <v>0</v>
      </c>
    </row>
    <row r="923" customFormat="false" ht="15" hidden="false" customHeight="false" outlineLevel="0" collapsed="false">
      <c r="A923" s="43"/>
      <c r="B923" s="44"/>
      <c r="C923" s="44"/>
      <c r="D923" s="44"/>
      <c r="E923" s="44"/>
      <c r="F923" s="44"/>
      <c r="G923" s="44"/>
      <c r="H923" s="46" t="str">
        <f aca="false">IF($A923="","",IF(OR(NOT(ISNUMBER(E923)),NOT(ISNUMBER(F923))),"",MAX(0,E923)*F923))</f>
        <v/>
      </c>
      <c r="I923" s="46" t="str">
        <f aca="false">IF($A923="","",SUMIF($A$2:$A$5001,$A923,$H$2:$H$5001))</f>
        <v/>
      </c>
      <c r="J923" s="47" t="n">
        <f aca="false">IF($A923="",0,IF(COUNTIF($A$2:A923,$A923)=1,1,0))</f>
        <v>0</v>
      </c>
      <c r="K923" s="47" t="n">
        <f aca="false">IF(J923=1,N(I923)+ROW()/10000000,0)</f>
        <v>0</v>
      </c>
      <c r="L923" s="47" t="str">
        <f aca="false">IF(AND(J923=1,N(I923)&gt;0),SUMIF($K$2:$K$5001,"&gt;="&amp;K923,$I$2:$I$5001)/MAX(1,SUM($H$2:$H$5001)),"")</f>
        <v/>
      </c>
      <c r="M923" s="47" t="str">
        <f aca="false">IF($A923="","",INDEX($L$2:$L$5001,MATCH($A923,$A$2:$A$5001,0)))</f>
        <v/>
      </c>
      <c r="N923" s="48" t="str">
        <f aca="false">IF($A923="","",IF(N(M923)=0,"–",IF(M923&lt;=Start!$D$20,"A",IF(M923&lt;=Start!$D$21,"B","C"))))</f>
        <v/>
      </c>
      <c r="O923" s="48" t="str">
        <f aca="false">IF($A923="","",IF(NOT(ISNUMBER(F923)),"Wert fehlt; ",IF(F923&lt;=0,"Wert ist 0; ",""))&amp;IF(NOT(ISNUMBER(E923)),"Bestand fehlt; ",IF(E923&lt;0,"Bestand negativ; ",IF(E923=0,"Nullbestand; ","")))&amp;IF(D923="","Warengruppe fehlt; ","")&amp;IF(B923="","Bezeichnung fehlt; ","")&amp;IF(COUNTIFS($A$2:$A$5001,$A923,$C$2:$C$5001,C923)&gt;1,"Artikel doppelt im selben Lager; ",""))</f>
        <v/>
      </c>
      <c r="P923" s="47" t="n">
        <f aca="false">IF(OR($A923="",D923=""),0,IF(COUNTIF($D$2:D923,D923)=1,SUMIF($D$2:$D$5001,D923,$H$2:$H$5001)+ROW()/10000000,0))</f>
        <v>0</v>
      </c>
      <c r="Q923" s="47" t="n">
        <f aca="false">IF(OR($A923="",C923=""),0,IF(COUNTIF($C$2:C923,C923)=1,SUMIF($C$2:$C$5001,C923,$H$2:$H$5001)+ROW()/10000000,0))</f>
        <v>0</v>
      </c>
    </row>
    <row r="924" customFormat="false" ht="15" hidden="false" customHeight="false" outlineLevel="0" collapsed="false">
      <c r="A924" s="43"/>
      <c r="B924" s="44"/>
      <c r="C924" s="44"/>
      <c r="D924" s="44"/>
      <c r="E924" s="44"/>
      <c r="F924" s="44"/>
      <c r="G924" s="44"/>
      <c r="H924" s="46" t="str">
        <f aca="false">IF($A924="","",IF(OR(NOT(ISNUMBER(E924)),NOT(ISNUMBER(F924))),"",MAX(0,E924)*F924))</f>
        <v/>
      </c>
      <c r="I924" s="46" t="str">
        <f aca="false">IF($A924="","",SUMIF($A$2:$A$5001,$A924,$H$2:$H$5001))</f>
        <v/>
      </c>
      <c r="J924" s="47" t="n">
        <f aca="false">IF($A924="",0,IF(COUNTIF($A$2:A924,$A924)=1,1,0))</f>
        <v>0</v>
      </c>
      <c r="K924" s="47" t="n">
        <f aca="false">IF(J924=1,N(I924)+ROW()/10000000,0)</f>
        <v>0</v>
      </c>
      <c r="L924" s="47" t="str">
        <f aca="false">IF(AND(J924=1,N(I924)&gt;0),SUMIF($K$2:$K$5001,"&gt;="&amp;K924,$I$2:$I$5001)/MAX(1,SUM($H$2:$H$5001)),"")</f>
        <v/>
      </c>
      <c r="M924" s="47" t="str">
        <f aca="false">IF($A924="","",INDEX($L$2:$L$5001,MATCH($A924,$A$2:$A$5001,0)))</f>
        <v/>
      </c>
      <c r="N924" s="48" t="str">
        <f aca="false">IF($A924="","",IF(N(M924)=0,"–",IF(M924&lt;=Start!$D$20,"A",IF(M924&lt;=Start!$D$21,"B","C"))))</f>
        <v/>
      </c>
      <c r="O924" s="48" t="str">
        <f aca="false">IF($A924="","",IF(NOT(ISNUMBER(F924)),"Wert fehlt; ",IF(F924&lt;=0,"Wert ist 0; ",""))&amp;IF(NOT(ISNUMBER(E924)),"Bestand fehlt; ",IF(E924&lt;0,"Bestand negativ; ",IF(E924=0,"Nullbestand; ","")))&amp;IF(D924="","Warengruppe fehlt; ","")&amp;IF(B924="","Bezeichnung fehlt; ","")&amp;IF(COUNTIFS($A$2:$A$5001,$A924,$C$2:$C$5001,C924)&gt;1,"Artikel doppelt im selben Lager; ",""))</f>
        <v/>
      </c>
      <c r="P924" s="47" t="n">
        <f aca="false">IF(OR($A924="",D924=""),0,IF(COUNTIF($D$2:D924,D924)=1,SUMIF($D$2:$D$5001,D924,$H$2:$H$5001)+ROW()/10000000,0))</f>
        <v>0</v>
      </c>
      <c r="Q924" s="47" t="n">
        <f aca="false">IF(OR($A924="",C924=""),0,IF(COUNTIF($C$2:C924,C924)=1,SUMIF($C$2:$C$5001,C924,$H$2:$H$5001)+ROW()/10000000,0))</f>
        <v>0</v>
      </c>
    </row>
    <row r="925" customFormat="false" ht="15" hidden="false" customHeight="false" outlineLevel="0" collapsed="false">
      <c r="A925" s="43"/>
      <c r="B925" s="44"/>
      <c r="C925" s="44"/>
      <c r="D925" s="44"/>
      <c r="E925" s="44"/>
      <c r="F925" s="44"/>
      <c r="G925" s="44"/>
      <c r="H925" s="46" t="str">
        <f aca="false">IF($A925="","",IF(OR(NOT(ISNUMBER(E925)),NOT(ISNUMBER(F925))),"",MAX(0,E925)*F925))</f>
        <v/>
      </c>
      <c r="I925" s="46" t="str">
        <f aca="false">IF($A925="","",SUMIF($A$2:$A$5001,$A925,$H$2:$H$5001))</f>
        <v/>
      </c>
      <c r="J925" s="47" t="n">
        <f aca="false">IF($A925="",0,IF(COUNTIF($A$2:A925,$A925)=1,1,0))</f>
        <v>0</v>
      </c>
      <c r="K925" s="47" t="n">
        <f aca="false">IF(J925=1,N(I925)+ROW()/10000000,0)</f>
        <v>0</v>
      </c>
      <c r="L925" s="47" t="str">
        <f aca="false">IF(AND(J925=1,N(I925)&gt;0),SUMIF($K$2:$K$5001,"&gt;="&amp;K925,$I$2:$I$5001)/MAX(1,SUM($H$2:$H$5001)),"")</f>
        <v/>
      </c>
      <c r="M925" s="47" t="str">
        <f aca="false">IF($A925="","",INDEX($L$2:$L$5001,MATCH($A925,$A$2:$A$5001,0)))</f>
        <v/>
      </c>
      <c r="N925" s="48" t="str">
        <f aca="false">IF($A925="","",IF(N(M925)=0,"–",IF(M925&lt;=Start!$D$20,"A",IF(M925&lt;=Start!$D$21,"B","C"))))</f>
        <v/>
      </c>
      <c r="O925" s="48" t="str">
        <f aca="false">IF($A925="","",IF(NOT(ISNUMBER(F925)),"Wert fehlt; ",IF(F925&lt;=0,"Wert ist 0; ",""))&amp;IF(NOT(ISNUMBER(E925)),"Bestand fehlt; ",IF(E925&lt;0,"Bestand negativ; ",IF(E925=0,"Nullbestand; ","")))&amp;IF(D925="","Warengruppe fehlt; ","")&amp;IF(B925="","Bezeichnung fehlt; ","")&amp;IF(COUNTIFS($A$2:$A$5001,$A925,$C$2:$C$5001,C925)&gt;1,"Artikel doppelt im selben Lager; ",""))</f>
        <v/>
      </c>
      <c r="P925" s="47" t="n">
        <f aca="false">IF(OR($A925="",D925=""),0,IF(COUNTIF($D$2:D925,D925)=1,SUMIF($D$2:$D$5001,D925,$H$2:$H$5001)+ROW()/10000000,0))</f>
        <v>0</v>
      </c>
      <c r="Q925" s="47" t="n">
        <f aca="false">IF(OR($A925="",C925=""),0,IF(COUNTIF($C$2:C925,C925)=1,SUMIF($C$2:$C$5001,C925,$H$2:$H$5001)+ROW()/10000000,0))</f>
        <v>0</v>
      </c>
    </row>
    <row r="926" customFormat="false" ht="15" hidden="false" customHeight="false" outlineLevel="0" collapsed="false">
      <c r="A926" s="43"/>
      <c r="B926" s="44"/>
      <c r="C926" s="44"/>
      <c r="D926" s="44"/>
      <c r="E926" s="44"/>
      <c r="F926" s="44"/>
      <c r="G926" s="44"/>
      <c r="H926" s="46" t="str">
        <f aca="false">IF($A926="","",IF(OR(NOT(ISNUMBER(E926)),NOT(ISNUMBER(F926))),"",MAX(0,E926)*F926))</f>
        <v/>
      </c>
      <c r="I926" s="46" t="str">
        <f aca="false">IF($A926="","",SUMIF($A$2:$A$5001,$A926,$H$2:$H$5001))</f>
        <v/>
      </c>
      <c r="J926" s="47" t="n">
        <f aca="false">IF($A926="",0,IF(COUNTIF($A$2:A926,$A926)=1,1,0))</f>
        <v>0</v>
      </c>
      <c r="K926" s="47" t="n">
        <f aca="false">IF(J926=1,N(I926)+ROW()/10000000,0)</f>
        <v>0</v>
      </c>
      <c r="L926" s="47" t="str">
        <f aca="false">IF(AND(J926=1,N(I926)&gt;0),SUMIF($K$2:$K$5001,"&gt;="&amp;K926,$I$2:$I$5001)/MAX(1,SUM($H$2:$H$5001)),"")</f>
        <v/>
      </c>
      <c r="M926" s="47" t="str">
        <f aca="false">IF($A926="","",INDEX($L$2:$L$5001,MATCH($A926,$A$2:$A$5001,0)))</f>
        <v/>
      </c>
      <c r="N926" s="48" t="str">
        <f aca="false">IF($A926="","",IF(N(M926)=0,"–",IF(M926&lt;=Start!$D$20,"A",IF(M926&lt;=Start!$D$21,"B","C"))))</f>
        <v/>
      </c>
      <c r="O926" s="48" t="str">
        <f aca="false">IF($A926="","",IF(NOT(ISNUMBER(F926)),"Wert fehlt; ",IF(F926&lt;=0,"Wert ist 0; ",""))&amp;IF(NOT(ISNUMBER(E926)),"Bestand fehlt; ",IF(E926&lt;0,"Bestand negativ; ",IF(E926=0,"Nullbestand; ","")))&amp;IF(D926="","Warengruppe fehlt; ","")&amp;IF(B926="","Bezeichnung fehlt; ","")&amp;IF(COUNTIFS($A$2:$A$5001,$A926,$C$2:$C$5001,C926)&gt;1,"Artikel doppelt im selben Lager; ",""))</f>
        <v/>
      </c>
      <c r="P926" s="47" t="n">
        <f aca="false">IF(OR($A926="",D926=""),0,IF(COUNTIF($D$2:D926,D926)=1,SUMIF($D$2:$D$5001,D926,$H$2:$H$5001)+ROW()/10000000,0))</f>
        <v>0</v>
      </c>
      <c r="Q926" s="47" t="n">
        <f aca="false">IF(OR($A926="",C926=""),0,IF(COUNTIF($C$2:C926,C926)=1,SUMIF($C$2:$C$5001,C926,$H$2:$H$5001)+ROW()/10000000,0))</f>
        <v>0</v>
      </c>
    </row>
    <row r="927" customFormat="false" ht="15" hidden="false" customHeight="false" outlineLevel="0" collapsed="false">
      <c r="A927" s="43"/>
      <c r="B927" s="44"/>
      <c r="C927" s="44"/>
      <c r="D927" s="44"/>
      <c r="E927" s="44"/>
      <c r="F927" s="44"/>
      <c r="G927" s="44"/>
      <c r="H927" s="46" t="str">
        <f aca="false">IF($A927="","",IF(OR(NOT(ISNUMBER(E927)),NOT(ISNUMBER(F927))),"",MAX(0,E927)*F927))</f>
        <v/>
      </c>
      <c r="I927" s="46" t="str">
        <f aca="false">IF($A927="","",SUMIF($A$2:$A$5001,$A927,$H$2:$H$5001))</f>
        <v/>
      </c>
      <c r="J927" s="47" t="n">
        <f aca="false">IF($A927="",0,IF(COUNTIF($A$2:A927,$A927)=1,1,0))</f>
        <v>0</v>
      </c>
      <c r="K927" s="47" t="n">
        <f aca="false">IF(J927=1,N(I927)+ROW()/10000000,0)</f>
        <v>0</v>
      </c>
      <c r="L927" s="47" t="str">
        <f aca="false">IF(AND(J927=1,N(I927)&gt;0),SUMIF($K$2:$K$5001,"&gt;="&amp;K927,$I$2:$I$5001)/MAX(1,SUM($H$2:$H$5001)),"")</f>
        <v/>
      </c>
      <c r="M927" s="47" t="str">
        <f aca="false">IF($A927="","",INDEX($L$2:$L$5001,MATCH($A927,$A$2:$A$5001,0)))</f>
        <v/>
      </c>
      <c r="N927" s="48" t="str">
        <f aca="false">IF($A927="","",IF(N(M927)=0,"–",IF(M927&lt;=Start!$D$20,"A",IF(M927&lt;=Start!$D$21,"B","C"))))</f>
        <v/>
      </c>
      <c r="O927" s="48" t="str">
        <f aca="false">IF($A927="","",IF(NOT(ISNUMBER(F927)),"Wert fehlt; ",IF(F927&lt;=0,"Wert ist 0; ",""))&amp;IF(NOT(ISNUMBER(E927)),"Bestand fehlt; ",IF(E927&lt;0,"Bestand negativ; ",IF(E927=0,"Nullbestand; ","")))&amp;IF(D927="","Warengruppe fehlt; ","")&amp;IF(B927="","Bezeichnung fehlt; ","")&amp;IF(COUNTIFS($A$2:$A$5001,$A927,$C$2:$C$5001,C927)&gt;1,"Artikel doppelt im selben Lager; ",""))</f>
        <v/>
      </c>
      <c r="P927" s="47" t="n">
        <f aca="false">IF(OR($A927="",D927=""),0,IF(COUNTIF($D$2:D927,D927)=1,SUMIF($D$2:$D$5001,D927,$H$2:$H$5001)+ROW()/10000000,0))</f>
        <v>0</v>
      </c>
      <c r="Q927" s="47" t="n">
        <f aca="false">IF(OR($A927="",C927=""),0,IF(COUNTIF($C$2:C927,C927)=1,SUMIF($C$2:$C$5001,C927,$H$2:$H$5001)+ROW()/10000000,0))</f>
        <v>0</v>
      </c>
    </row>
    <row r="928" customFormat="false" ht="15" hidden="false" customHeight="false" outlineLevel="0" collapsed="false">
      <c r="A928" s="43"/>
      <c r="B928" s="44"/>
      <c r="C928" s="44"/>
      <c r="D928" s="44"/>
      <c r="E928" s="44"/>
      <c r="F928" s="44"/>
      <c r="G928" s="44"/>
      <c r="H928" s="46" t="str">
        <f aca="false">IF($A928="","",IF(OR(NOT(ISNUMBER(E928)),NOT(ISNUMBER(F928))),"",MAX(0,E928)*F928))</f>
        <v/>
      </c>
      <c r="I928" s="46" t="str">
        <f aca="false">IF($A928="","",SUMIF($A$2:$A$5001,$A928,$H$2:$H$5001))</f>
        <v/>
      </c>
      <c r="J928" s="47" t="n">
        <f aca="false">IF($A928="",0,IF(COUNTIF($A$2:A928,$A928)=1,1,0))</f>
        <v>0</v>
      </c>
      <c r="K928" s="47" t="n">
        <f aca="false">IF(J928=1,N(I928)+ROW()/10000000,0)</f>
        <v>0</v>
      </c>
      <c r="L928" s="47" t="str">
        <f aca="false">IF(AND(J928=1,N(I928)&gt;0),SUMIF($K$2:$K$5001,"&gt;="&amp;K928,$I$2:$I$5001)/MAX(1,SUM($H$2:$H$5001)),"")</f>
        <v/>
      </c>
      <c r="M928" s="47" t="str">
        <f aca="false">IF($A928="","",INDEX($L$2:$L$5001,MATCH($A928,$A$2:$A$5001,0)))</f>
        <v/>
      </c>
      <c r="N928" s="48" t="str">
        <f aca="false">IF($A928="","",IF(N(M928)=0,"–",IF(M928&lt;=Start!$D$20,"A",IF(M928&lt;=Start!$D$21,"B","C"))))</f>
        <v/>
      </c>
      <c r="O928" s="48" t="str">
        <f aca="false">IF($A928="","",IF(NOT(ISNUMBER(F928)),"Wert fehlt; ",IF(F928&lt;=0,"Wert ist 0; ",""))&amp;IF(NOT(ISNUMBER(E928)),"Bestand fehlt; ",IF(E928&lt;0,"Bestand negativ; ",IF(E928=0,"Nullbestand; ","")))&amp;IF(D928="","Warengruppe fehlt; ","")&amp;IF(B928="","Bezeichnung fehlt; ","")&amp;IF(COUNTIFS($A$2:$A$5001,$A928,$C$2:$C$5001,C928)&gt;1,"Artikel doppelt im selben Lager; ",""))</f>
        <v/>
      </c>
      <c r="P928" s="47" t="n">
        <f aca="false">IF(OR($A928="",D928=""),0,IF(COUNTIF($D$2:D928,D928)=1,SUMIF($D$2:$D$5001,D928,$H$2:$H$5001)+ROW()/10000000,0))</f>
        <v>0</v>
      </c>
      <c r="Q928" s="47" t="n">
        <f aca="false">IF(OR($A928="",C928=""),0,IF(COUNTIF($C$2:C928,C928)=1,SUMIF($C$2:$C$5001,C928,$H$2:$H$5001)+ROW()/10000000,0))</f>
        <v>0</v>
      </c>
    </row>
    <row r="929" customFormat="false" ht="15" hidden="false" customHeight="false" outlineLevel="0" collapsed="false">
      <c r="A929" s="43"/>
      <c r="B929" s="44"/>
      <c r="C929" s="44"/>
      <c r="D929" s="44"/>
      <c r="E929" s="44"/>
      <c r="F929" s="44"/>
      <c r="G929" s="44"/>
      <c r="H929" s="46" t="str">
        <f aca="false">IF($A929="","",IF(OR(NOT(ISNUMBER(E929)),NOT(ISNUMBER(F929))),"",MAX(0,E929)*F929))</f>
        <v/>
      </c>
      <c r="I929" s="46" t="str">
        <f aca="false">IF($A929="","",SUMIF($A$2:$A$5001,$A929,$H$2:$H$5001))</f>
        <v/>
      </c>
      <c r="J929" s="47" t="n">
        <f aca="false">IF($A929="",0,IF(COUNTIF($A$2:A929,$A929)=1,1,0))</f>
        <v>0</v>
      </c>
      <c r="K929" s="47" t="n">
        <f aca="false">IF(J929=1,N(I929)+ROW()/10000000,0)</f>
        <v>0</v>
      </c>
      <c r="L929" s="47" t="str">
        <f aca="false">IF(AND(J929=1,N(I929)&gt;0),SUMIF($K$2:$K$5001,"&gt;="&amp;K929,$I$2:$I$5001)/MAX(1,SUM($H$2:$H$5001)),"")</f>
        <v/>
      </c>
      <c r="M929" s="47" t="str">
        <f aca="false">IF($A929="","",INDEX($L$2:$L$5001,MATCH($A929,$A$2:$A$5001,0)))</f>
        <v/>
      </c>
      <c r="N929" s="48" t="str">
        <f aca="false">IF($A929="","",IF(N(M929)=0,"–",IF(M929&lt;=Start!$D$20,"A",IF(M929&lt;=Start!$D$21,"B","C"))))</f>
        <v/>
      </c>
      <c r="O929" s="48" t="str">
        <f aca="false">IF($A929="","",IF(NOT(ISNUMBER(F929)),"Wert fehlt; ",IF(F929&lt;=0,"Wert ist 0; ",""))&amp;IF(NOT(ISNUMBER(E929)),"Bestand fehlt; ",IF(E929&lt;0,"Bestand negativ; ",IF(E929=0,"Nullbestand; ","")))&amp;IF(D929="","Warengruppe fehlt; ","")&amp;IF(B929="","Bezeichnung fehlt; ","")&amp;IF(COUNTIFS($A$2:$A$5001,$A929,$C$2:$C$5001,C929)&gt;1,"Artikel doppelt im selben Lager; ",""))</f>
        <v/>
      </c>
      <c r="P929" s="47" t="n">
        <f aca="false">IF(OR($A929="",D929=""),0,IF(COUNTIF($D$2:D929,D929)=1,SUMIF($D$2:$D$5001,D929,$H$2:$H$5001)+ROW()/10000000,0))</f>
        <v>0</v>
      </c>
      <c r="Q929" s="47" t="n">
        <f aca="false">IF(OR($A929="",C929=""),0,IF(COUNTIF($C$2:C929,C929)=1,SUMIF($C$2:$C$5001,C929,$H$2:$H$5001)+ROW()/10000000,0))</f>
        <v>0</v>
      </c>
    </row>
    <row r="930" customFormat="false" ht="15" hidden="false" customHeight="false" outlineLevel="0" collapsed="false">
      <c r="A930" s="43"/>
      <c r="B930" s="44"/>
      <c r="C930" s="44"/>
      <c r="D930" s="44"/>
      <c r="E930" s="44"/>
      <c r="F930" s="44"/>
      <c r="G930" s="44"/>
      <c r="H930" s="46" t="str">
        <f aca="false">IF($A930="","",IF(OR(NOT(ISNUMBER(E930)),NOT(ISNUMBER(F930))),"",MAX(0,E930)*F930))</f>
        <v/>
      </c>
      <c r="I930" s="46" t="str">
        <f aca="false">IF($A930="","",SUMIF($A$2:$A$5001,$A930,$H$2:$H$5001))</f>
        <v/>
      </c>
      <c r="J930" s="47" t="n">
        <f aca="false">IF($A930="",0,IF(COUNTIF($A$2:A930,$A930)=1,1,0))</f>
        <v>0</v>
      </c>
      <c r="K930" s="47" t="n">
        <f aca="false">IF(J930=1,N(I930)+ROW()/10000000,0)</f>
        <v>0</v>
      </c>
      <c r="L930" s="47" t="str">
        <f aca="false">IF(AND(J930=1,N(I930)&gt;0),SUMIF($K$2:$K$5001,"&gt;="&amp;K930,$I$2:$I$5001)/MAX(1,SUM($H$2:$H$5001)),"")</f>
        <v/>
      </c>
      <c r="M930" s="47" t="str">
        <f aca="false">IF($A930="","",INDEX($L$2:$L$5001,MATCH($A930,$A$2:$A$5001,0)))</f>
        <v/>
      </c>
      <c r="N930" s="48" t="str">
        <f aca="false">IF($A930="","",IF(N(M930)=0,"–",IF(M930&lt;=Start!$D$20,"A",IF(M930&lt;=Start!$D$21,"B","C"))))</f>
        <v/>
      </c>
      <c r="O930" s="48" t="str">
        <f aca="false">IF($A930="","",IF(NOT(ISNUMBER(F930)),"Wert fehlt; ",IF(F930&lt;=0,"Wert ist 0; ",""))&amp;IF(NOT(ISNUMBER(E930)),"Bestand fehlt; ",IF(E930&lt;0,"Bestand negativ; ",IF(E930=0,"Nullbestand; ","")))&amp;IF(D930="","Warengruppe fehlt; ","")&amp;IF(B930="","Bezeichnung fehlt; ","")&amp;IF(COUNTIFS($A$2:$A$5001,$A930,$C$2:$C$5001,C930)&gt;1,"Artikel doppelt im selben Lager; ",""))</f>
        <v/>
      </c>
      <c r="P930" s="47" t="n">
        <f aca="false">IF(OR($A930="",D930=""),0,IF(COUNTIF($D$2:D930,D930)=1,SUMIF($D$2:$D$5001,D930,$H$2:$H$5001)+ROW()/10000000,0))</f>
        <v>0</v>
      </c>
      <c r="Q930" s="47" t="n">
        <f aca="false">IF(OR($A930="",C930=""),0,IF(COUNTIF($C$2:C930,C930)=1,SUMIF($C$2:$C$5001,C930,$H$2:$H$5001)+ROW()/10000000,0))</f>
        <v>0</v>
      </c>
    </row>
    <row r="931" customFormat="false" ht="15" hidden="false" customHeight="false" outlineLevel="0" collapsed="false">
      <c r="A931" s="43"/>
      <c r="B931" s="44"/>
      <c r="C931" s="44"/>
      <c r="D931" s="44"/>
      <c r="E931" s="44"/>
      <c r="F931" s="44"/>
      <c r="G931" s="44"/>
      <c r="H931" s="46" t="str">
        <f aca="false">IF($A931="","",IF(OR(NOT(ISNUMBER(E931)),NOT(ISNUMBER(F931))),"",MAX(0,E931)*F931))</f>
        <v/>
      </c>
      <c r="I931" s="46" t="str">
        <f aca="false">IF($A931="","",SUMIF($A$2:$A$5001,$A931,$H$2:$H$5001))</f>
        <v/>
      </c>
      <c r="J931" s="47" t="n">
        <f aca="false">IF($A931="",0,IF(COUNTIF($A$2:A931,$A931)=1,1,0))</f>
        <v>0</v>
      </c>
      <c r="K931" s="47" t="n">
        <f aca="false">IF(J931=1,N(I931)+ROW()/10000000,0)</f>
        <v>0</v>
      </c>
      <c r="L931" s="47" t="str">
        <f aca="false">IF(AND(J931=1,N(I931)&gt;0),SUMIF($K$2:$K$5001,"&gt;="&amp;K931,$I$2:$I$5001)/MAX(1,SUM($H$2:$H$5001)),"")</f>
        <v/>
      </c>
      <c r="M931" s="47" t="str">
        <f aca="false">IF($A931="","",INDEX($L$2:$L$5001,MATCH($A931,$A$2:$A$5001,0)))</f>
        <v/>
      </c>
      <c r="N931" s="48" t="str">
        <f aca="false">IF($A931="","",IF(N(M931)=0,"–",IF(M931&lt;=Start!$D$20,"A",IF(M931&lt;=Start!$D$21,"B","C"))))</f>
        <v/>
      </c>
      <c r="O931" s="48" t="str">
        <f aca="false">IF($A931="","",IF(NOT(ISNUMBER(F931)),"Wert fehlt; ",IF(F931&lt;=0,"Wert ist 0; ",""))&amp;IF(NOT(ISNUMBER(E931)),"Bestand fehlt; ",IF(E931&lt;0,"Bestand negativ; ",IF(E931=0,"Nullbestand; ","")))&amp;IF(D931="","Warengruppe fehlt; ","")&amp;IF(B931="","Bezeichnung fehlt; ","")&amp;IF(COUNTIFS($A$2:$A$5001,$A931,$C$2:$C$5001,C931)&gt;1,"Artikel doppelt im selben Lager; ",""))</f>
        <v/>
      </c>
      <c r="P931" s="47" t="n">
        <f aca="false">IF(OR($A931="",D931=""),0,IF(COUNTIF($D$2:D931,D931)=1,SUMIF($D$2:$D$5001,D931,$H$2:$H$5001)+ROW()/10000000,0))</f>
        <v>0</v>
      </c>
      <c r="Q931" s="47" t="n">
        <f aca="false">IF(OR($A931="",C931=""),0,IF(COUNTIF($C$2:C931,C931)=1,SUMIF($C$2:$C$5001,C931,$H$2:$H$5001)+ROW()/10000000,0))</f>
        <v>0</v>
      </c>
    </row>
    <row r="932" customFormat="false" ht="15" hidden="false" customHeight="false" outlineLevel="0" collapsed="false">
      <c r="A932" s="43"/>
      <c r="B932" s="44"/>
      <c r="C932" s="44"/>
      <c r="D932" s="44"/>
      <c r="E932" s="44"/>
      <c r="F932" s="44"/>
      <c r="G932" s="44"/>
      <c r="H932" s="46" t="str">
        <f aca="false">IF($A932="","",IF(OR(NOT(ISNUMBER(E932)),NOT(ISNUMBER(F932))),"",MAX(0,E932)*F932))</f>
        <v/>
      </c>
      <c r="I932" s="46" t="str">
        <f aca="false">IF($A932="","",SUMIF($A$2:$A$5001,$A932,$H$2:$H$5001))</f>
        <v/>
      </c>
      <c r="J932" s="47" t="n">
        <f aca="false">IF($A932="",0,IF(COUNTIF($A$2:A932,$A932)=1,1,0))</f>
        <v>0</v>
      </c>
      <c r="K932" s="47" t="n">
        <f aca="false">IF(J932=1,N(I932)+ROW()/10000000,0)</f>
        <v>0</v>
      </c>
      <c r="L932" s="47" t="str">
        <f aca="false">IF(AND(J932=1,N(I932)&gt;0),SUMIF($K$2:$K$5001,"&gt;="&amp;K932,$I$2:$I$5001)/MAX(1,SUM($H$2:$H$5001)),"")</f>
        <v/>
      </c>
      <c r="M932" s="47" t="str">
        <f aca="false">IF($A932="","",INDEX($L$2:$L$5001,MATCH($A932,$A$2:$A$5001,0)))</f>
        <v/>
      </c>
      <c r="N932" s="48" t="str">
        <f aca="false">IF($A932="","",IF(N(M932)=0,"–",IF(M932&lt;=Start!$D$20,"A",IF(M932&lt;=Start!$D$21,"B","C"))))</f>
        <v/>
      </c>
      <c r="O932" s="48" t="str">
        <f aca="false">IF($A932="","",IF(NOT(ISNUMBER(F932)),"Wert fehlt; ",IF(F932&lt;=0,"Wert ist 0; ",""))&amp;IF(NOT(ISNUMBER(E932)),"Bestand fehlt; ",IF(E932&lt;0,"Bestand negativ; ",IF(E932=0,"Nullbestand; ","")))&amp;IF(D932="","Warengruppe fehlt; ","")&amp;IF(B932="","Bezeichnung fehlt; ","")&amp;IF(COUNTIFS($A$2:$A$5001,$A932,$C$2:$C$5001,C932)&gt;1,"Artikel doppelt im selben Lager; ",""))</f>
        <v/>
      </c>
      <c r="P932" s="47" t="n">
        <f aca="false">IF(OR($A932="",D932=""),0,IF(COUNTIF($D$2:D932,D932)=1,SUMIF($D$2:$D$5001,D932,$H$2:$H$5001)+ROW()/10000000,0))</f>
        <v>0</v>
      </c>
      <c r="Q932" s="47" t="n">
        <f aca="false">IF(OR($A932="",C932=""),0,IF(COUNTIF($C$2:C932,C932)=1,SUMIF($C$2:$C$5001,C932,$H$2:$H$5001)+ROW()/10000000,0))</f>
        <v>0</v>
      </c>
    </row>
    <row r="933" customFormat="false" ht="15" hidden="false" customHeight="false" outlineLevel="0" collapsed="false">
      <c r="A933" s="43"/>
      <c r="B933" s="44"/>
      <c r="C933" s="44"/>
      <c r="D933" s="44"/>
      <c r="E933" s="44"/>
      <c r="F933" s="44"/>
      <c r="G933" s="44"/>
      <c r="H933" s="46" t="str">
        <f aca="false">IF($A933="","",IF(OR(NOT(ISNUMBER(E933)),NOT(ISNUMBER(F933))),"",MAX(0,E933)*F933))</f>
        <v/>
      </c>
      <c r="I933" s="46" t="str">
        <f aca="false">IF($A933="","",SUMIF($A$2:$A$5001,$A933,$H$2:$H$5001))</f>
        <v/>
      </c>
      <c r="J933" s="47" t="n">
        <f aca="false">IF($A933="",0,IF(COUNTIF($A$2:A933,$A933)=1,1,0))</f>
        <v>0</v>
      </c>
      <c r="K933" s="47" t="n">
        <f aca="false">IF(J933=1,N(I933)+ROW()/10000000,0)</f>
        <v>0</v>
      </c>
      <c r="L933" s="47" t="str">
        <f aca="false">IF(AND(J933=1,N(I933)&gt;0),SUMIF($K$2:$K$5001,"&gt;="&amp;K933,$I$2:$I$5001)/MAX(1,SUM($H$2:$H$5001)),"")</f>
        <v/>
      </c>
      <c r="M933" s="47" t="str">
        <f aca="false">IF($A933="","",INDEX($L$2:$L$5001,MATCH($A933,$A$2:$A$5001,0)))</f>
        <v/>
      </c>
      <c r="N933" s="48" t="str">
        <f aca="false">IF($A933="","",IF(N(M933)=0,"–",IF(M933&lt;=Start!$D$20,"A",IF(M933&lt;=Start!$D$21,"B","C"))))</f>
        <v/>
      </c>
      <c r="O933" s="48" t="str">
        <f aca="false">IF($A933="","",IF(NOT(ISNUMBER(F933)),"Wert fehlt; ",IF(F933&lt;=0,"Wert ist 0; ",""))&amp;IF(NOT(ISNUMBER(E933)),"Bestand fehlt; ",IF(E933&lt;0,"Bestand negativ; ",IF(E933=0,"Nullbestand; ","")))&amp;IF(D933="","Warengruppe fehlt; ","")&amp;IF(B933="","Bezeichnung fehlt; ","")&amp;IF(COUNTIFS($A$2:$A$5001,$A933,$C$2:$C$5001,C933)&gt;1,"Artikel doppelt im selben Lager; ",""))</f>
        <v/>
      </c>
      <c r="P933" s="47" t="n">
        <f aca="false">IF(OR($A933="",D933=""),0,IF(COUNTIF($D$2:D933,D933)=1,SUMIF($D$2:$D$5001,D933,$H$2:$H$5001)+ROW()/10000000,0))</f>
        <v>0</v>
      </c>
      <c r="Q933" s="47" t="n">
        <f aca="false">IF(OR($A933="",C933=""),0,IF(COUNTIF($C$2:C933,C933)=1,SUMIF($C$2:$C$5001,C933,$H$2:$H$5001)+ROW()/10000000,0))</f>
        <v>0</v>
      </c>
    </row>
    <row r="934" customFormat="false" ht="15" hidden="false" customHeight="false" outlineLevel="0" collapsed="false">
      <c r="A934" s="43"/>
      <c r="B934" s="44"/>
      <c r="C934" s="44"/>
      <c r="D934" s="44"/>
      <c r="E934" s="44"/>
      <c r="F934" s="44"/>
      <c r="G934" s="44"/>
      <c r="H934" s="46" t="str">
        <f aca="false">IF($A934="","",IF(OR(NOT(ISNUMBER(E934)),NOT(ISNUMBER(F934))),"",MAX(0,E934)*F934))</f>
        <v/>
      </c>
      <c r="I934" s="46" t="str">
        <f aca="false">IF($A934="","",SUMIF($A$2:$A$5001,$A934,$H$2:$H$5001))</f>
        <v/>
      </c>
      <c r="J934" s="47" t="n">
        <f aca="false">IF($A934="",0,IF(COUNTIF($A$2:A934,$A934)=1,1,0))</f>
        <v>0</v>
      </c>
      <c r="K934" s="47" t="n">
        <f aca="false">IF(J934=1,N(I934)+ROW()/10000000,0)</f>
        <v>0</v>
      </c>
      <c r="L934" s="47" t="str">
        <f aca="false">IF(AND(J934=1,N(I934)&gt;0),SUMIF($K$2:$K$5001,"&gt;="&amp;K934,$I$2:$I$5001)/MAX(1,SUM($H$2:$H$5001)),"")</f>
        <v/>
      </c>
      <c r="M934" s="47" t="str">
        <f aca="false">IF($A934="","",INDEX($L$2:$L$5001,MATCH($A934,$A$2:$A$5001,0)))</f>
        <v/>
      </c>
      <c r="N934" s="48" t="str">
        <f aca="false">IF($A934="","",IF(N(M934)=0,"–",IF(M934&lt;=Start!$D$20,"A",IF(M934&lt;=Start!$D$21,"B","C"))))</f>
        <v/>
      </c>
      <c r="O934" s="48" t="str">
        <f aca="false">IF($A934="","",IF(NOT(ISNUMBER(F934)),"Wert fehlt; ",IF(F934&lt;=0,"Wert ist 0; ",""))&amp;IF(NOT(ISNUMBER(E934)),"Bestand fehlt; ",IF(E934&lt;0,"Bestand negativ; ",IF(E934=0,"Nullbestand; ","")))&amp;IF(D934="","Warengruppe fehlt; ","")&amp;IF(B934="","Bezeichnung fehlt; ","")&amp;IF(COUNTIFS($A$2:$A$5001,$A934,$C$2:$C$5001,C934)&gt;1,"Artikel doppelt im selben Lager; ",""))</f>
        <v/>
      </c>
      <c r="P934" s="47" t="n">
        <f aca="false">IF(OR($A934="",D934=""),0,IF(COUNTIF($D$2:D934,D934)=1,SUMIF($D$2:$D$5001,D934,$H$2:$H$5001)+ROW()/10000000,0))</f>
        <v>0</v>
      </c>
      <c r="Q934" s="47" t="n">
        <f aca="false">IF(OR($A934="",C934=""),0,IF(COUNTIF($C$2:C934,C934)=1,SUMIF($C$2:$C$5001,C934,$H$2:$H$5001)+ROW()/10000000,0))</f>
        <v>0</v>
      </c>
    </row>
    <row r="935" customFormat="false" ht="15" hidden="false" customHeight="false" outlineLevel="0" collapsed="false">
      <c r="A935" s="43"/>
      <c r="B935" s="44"/>
      <c r="C935" s="44"/>
      <c r="D935" s="44"/>
      <c r="E935" s="44"/>
      <c r="F935" s="44"/>
      <c r="G935" s="44"/>
      <c r="H935" s="46" t="str">
        <f aca="false">IF($A935="","",IF(OR(NOT(ISNUMBER(E935)),NOT(ISNUMBER(F935))),"",MAX(0,E935)*F935))</f>
        <v/>
      </c>
      <c r="I935" s="46" t="str">
        <f aca="false">IF($A935="","",SUMIF($A$2:$A$5001,$A935,$H$2:$H$5001))</f>
        <v/>
      </c>
      <c r="J935" s="47" t="n">
        <f aca="false">IF($A935="",0,IF(COUNTIF($A$2:A935,$A935)=1,1,0))</f>
        <v>0</v>
      </c>
      <c r="K935" s="47" t="n">
        <f aca="false">IF(J935=1,N(I935)+ROW()/10000000,0)</f>
        <v>0</v>
      </c>
      <c r="L935" s="47" t="str">
        <f aca="false">IF(AND(J935=1,N(I935)&gt;0),SUMIF($K$2:$K$5001,"&gt;="&amp;K935,$I$2:$I$5001)/MAX(1,SUM($H$2:$H$5001)),"")</f>
        <v/>
      </c>
      <c r="M935" s="47" t="str">
        <f aca="false">IF($A935="","",INDEX($L$2:$L$5001,MATCH($A935,$A$2:$A$5001,0)))</f>
        <v/>
      </c>
      <c r="N935" s="48" t="str">
        <f aca="false">IF($A935="","",IF(N(M935)=0,"–",IF(M935&lt;=Start!$D$20,"A",IF(M935&lt;=Start!$D$21,"B","C"))))</f>
        <v/>
      </c>
      <c r="O935" s="48" t="str">
        <f aca="false">IF($A935="","",IF(NOT(ISNUMBER(F935)),"Wert fehlt; ",IF(F935&lt;=0,"Wert ist 0; ",""))&amp;IF(NOT(ISNUMBER(E935)),"Bestand fehlt; ",IF(E935&lt;0,"Bestand negativ; ",IF(E935=0,"Nullbestand; ","")))&amp;IF(D935="","Warengruppe fehlt; ","")&amp;IF(B935="","Bezeichnung fehlt; ","")&amp;IF(COUNTIFS($A$2:$A$5001,$A935,$C$2:$C$5001,C935)&gt;1,"Artikel doppelt im selben Lager; ",""))</f>
        <v/>
      </c>
      <c r="P935" s="47" t="n">
        <f aca="false">IF(OR($A935="",D935=""),0,IF(COUNTIF($D$2:D935,D935)=1,SUMIF($D$2:$D$5001,D935,$H$2:$H$5001)+ROW()/10000000,0))</f>
        <v>0</v>
      </c>
      <c r="Q935" s="47" t="n">
        <f aca="false">IF(OR($A935="",C935=""),0,IF(COUNTIF($C$2:C935,C935)=1,SUMIF($C$2:$C$5001,C935,$H$2:$H$5001)+ROW()/10000000,0))</f>
        <v>0</v>
      </c>
    </row>
    <row r="936" customFormat="false" ht="15" hidden="false" customHeight="false" outlineLevel="0" collapsed="false">
      <c r="A936" s="43"/>
      <c r="B936" s="44"/>
      <c r="C936" s="44"/>
      <c r="D936" s="44"/>
      <c r="E936" s="44"/>
      <c r="F936" s="44"/>
      <c r="G936" s="44"/>
      <c r="H936" s="46" t="str">
        <f aca="false">IF($A936="","",IF(OR(NOT(ISNUMBER(E936)),NOT(ISNUMBER(F936))),"",MAX(0,E936)*F936))</f>
        <v/>
      </c>
      <c r="I936" s="46" t="str">
        <f aca="false">IF($A936="","",SUMIF($A$2:$A$5001,$A936,$H$2:$H$5001))</f>
        <v/>
      </c>
      <c r="J936" s="47" t="n">
        <f aca="false">IF($A936="",0,IF(COUNTIF($A$2:A936,$A936)=1,1,0))</f>
        <v>0</v>
      </c>
      <c r="K936" s="47" t="n">
        <f aca="false">IF(J936=1,N(I936)+ROW()/10000000,0)</f>
        <v>0</v>
      </c>
      <c r="L936" s="47" t="str">
        <f aca="false">IF(AND(J936=1,N(I936)&gt;0),SUMIF($K$2:$K$5001,"&gt;="&amp;K936,$I$2:$I$5001)/MAX(1,SUM($H$2:$H$5001)),"")</f>
        <v/>
      </c>
      <c r="M936" s="47" t="str">
        <f aca="false">IF($A936="","",INDEX($L$2:$L$5001,MATCH($A936,$A$2:$A$5001,0)))</f>
        <v/>
      </c>
      <c r="N936" s="48" t="str">
        <f aca="false">IF($A936="","",IF(N(M936)=0,"–",IF(M936&lt;=Start!$D$20,"A",IF(M936&lt;=Start!$D$21,"B","C"))))</f>
        <v/>
      </c>
      <c r="O936" s="48" t="str">
        <f aca="false">IF($A936="","",IF(NOT(ISNUMBER(F936)),"Wert fehlt; ",IF(F936&lt;=0,"Wert ist 0; ",""))&amp;IF(NOT(ISNUMBER(E936)),"Bestand fehlt; ",IF(E936&lt;0,"Bestand negativ; ",IF(E936=0,"Nullbestand; ","")))&amp;IF(D936="","Warengruppe fehlt; ","")&amp;IF(B936="","Bezeichnung fehlt; ","")&amp;IF(COUNTIFS($A$2:$A$5001,$A936,$C$2:$C$5001,C936)&gt;1,"Artikel doppelt im selben Lager; ",""))</f>
        <v/>
      </c>
      <c r="P936" s="47" t="n">
        <f aca="false">IF(OR($A936="",D936=""),0,IF(COUNTIF($D$2:D936,D936)=1,SUMIF($D$2:$D$5001,D936,$H$2:$H$5001)+ROW()/10000000,0))</f>
        <v>0</v>
      </c>
      <c r="Q936" s="47" t="n">
        <f aca="false">IF(OR($A936="",C936=""),0,IF(COUNTIF($C$2:C936,C936)=1,SUMIF($C$2:$C$5001,C936,$H$2:$H$5001)+ROW()/10000000,0))</f>
        <v>0</v>
      </c>
    </row>
    <row r="937" customFormat="false" ht="15" hidden="false" customHeight="false" outlineLevel="0" collapsed="false">
      <c r="A937" s="43"/>
      <c r="B937" s="44"/>
      <c r="C937" s="44"/>
      <c r="D937" s="44"/>
      <c r="E937" s="44"/>
      <c r="F937" s="44"/>
      <c r="G937" s="44"/>
      <c r="H937" s="46" t="str">
        <f aca="false">IF($A937="","",IF(OR(NOT(ISNUMBER(E937)),NOT(ISNUMBER(F937))),"",MAX(0,E937)*F937))</f>
        <v/>
      </c>
      <c r="I937" s="46" t="str">
        <f aca="false">IF($A937="","",SUMIF($A$2:$A$5001,$A937,$H$2:$H$5001))</f>
        <v/>
      </c>
      <c r="J937" s="47" t="n">
        <f aca="false">IF($A937="",0,IF(COUNTIF($A$2:A937,$A937)=1,1,0))</f>
        <v>0</v>
      </c>
      <c r="K937" s="47" t="n">
        <f aca="false">IF(J937=1,N(I937)+ROW()/10000000,0)</f>
        <v>0</v>
      </c>
      <c r="L937" s="47" t="str">
        <f aca="false">IF(AND(J937=1,N(I937)&gt;0),SUMIF($K$2:$K$5001,"&gt;="&amp;K937,$I$2:$I$5001)/MAX(1,SUM($H$2:$H$5001)),"")</f>
        <v/>
      </c>
      <c r="M937" s="47" t="str">
        <f aca="false">IF($A937="","",INDEX($L$2:$L$5001,MATCH($A937,$A$2:$A$5001,0)))</f>
        <v/>
      </c>
      <c r="N937" s="48" t="str">
        <f aca="false">IF($A937="","",IF(N(M937)=0,"–",IF(M937&lt;=Start!$D$20,"A",IF(M937&lt;=Start!$D$21,"B","C"))))</f>
        <v/>
      </c>
      <c r="O937" s="48" t="str">
        <f aca="false">IF($A937="","",IF(NOT(ISNUMBER(F937)),"Wert fehlt; ",IF(F937&lt;=0,"Wert ist 0; ",""))&amp;IF(NOT(ISNUMBER(E937)),"Bestand fehlt; ",IF(E937&lt;0,"Bestand negativ; ",IF(E937=0,"Nullbestand; ","")))&amp;IF(D937="","Warengruppe fehlt; ","")&amp;IF(B937="","Bezeichnung fehlt; ","")&amp;IF(COUNTIFS($A$2:$A$5001,$A937,$C$2:$C$5001,C937)&gt;1,"Artikel doppelt im selben Lager; ",""))</f>
        <v/>
      </c>
      <c r="P937" s="47" t="n">
        <f aca="false">IF(OR($A937="",D937=""),0,IF(COUNTIF($D$2:D937,D937)=1,SUMIF($D$2:$D$5001,D937,$H$2:$H$5001)+ROW()/10000000,0))</f>
        <v>0</v>
      </c>
      <c r="Q937" s="47" t="n">
        <f aca="false">IF(OR($A937="",C937=""),0,IF(COUNTIF($C$2:C937,C937)=1,SUMIF($C$2:$C$5001,C937,$H$2:$H$5001)+ROW()/10000000,0))</f>
        <v>0</v>
      </c>
    </row>
    <row r="938" customFormat="false" ht="15" hidden="false" customHeight="false" outlineLevel="0" collapsed="false">
      <c r="A938" s="43"/>
      <c r="B938" s="44"/>
      <c r="C938" s="44"/>
      <c r="D938" s="44"/>
      <c r="E938" s="44"/>
      <c r="F938" s="44"/>
      <c r="G938" s="44"/>
      <c r="H938" s="46" t="str">
        <f aca="false">IF($A938="","",IF(OR(NOT(ISNUMBER(E938)),NOT(ISNUMBER(F938))),"",MAX(0,E938)*F938))</f>
        <v/>
      </c>
      <c r="I938" s="46" t="str">
        <f aca="false">IF($A938="","",SUMIF($A$2:$A$5001,$A938,$H$2:$H$5001))</f>
        <v/>
      </c>
      <c r="J938" s="47" t="n">
        <f aca="false">IF($A938="",0,IF(COUNTIF($A$2:A938,$A938)=1,1,0))</f>
        <v>0</v>
      </c>
      <c r="K938" s="47" t="n">
        <f aca="false">IF(J938=1,N(I938)+ROW()/10000000,0)</f>
        <v>0</v>
      </c>
      <c r="L938" s="47" t="str">
        <f aca="false">IF(AND(J938=1,N(I938)&gt;0),SUMIF($K$2:$K$5001,"&gt;="&amp;K938,$I$2:$I$5001)/MAX(1,SUM($H$2:$H$5001)),"")</f>
        <v/>
      </c>
      <c r="M938" s="47" t="str">
        <f aca="false">IF($A938="","",INDEX($L$2:$L$5001,MATCH($A938,$A$2:$A$5001,0)))</f>
        <v/>
      </c>
      <c r="N938" s="48" t="str">
        <f aca="false">IF($A938="","",IF(N(M938)=0,"–",IF(M938&lt;=Start!$D$20,"A",IF(M938&lt;=Start!$D$21,"B","C"))))</f>
        <v/>
      </c>
      <c r="O938" s="48" t="str">
        <f aca="false">IF($A938="","",IF(NOT(ISNUMBER(F938)),"Wert fehlt; ",IF(F938&lt;=0,"Wert ist 0; ",""))&amp;IF(NOT(ISNUMBER(E938)),"Bestand fehlt; ",IF(E938&lt;0,"Bestand negativ; ",IF(E938=0,"Nullbestand; ","")))&amp;IF(D938="","Warengruppe fehlt; ","")&amp;IF(B938="","Bezeichnung fehlt; ","")&amp;IF(COUNTIFS($A$2:$A$5001,$A938,$C$2:$C$5001,C938)&gt;1,"Artikel doppelt im selben Lager; ",""))</f>
        <v/>
      </c>
      <c r="P938" s="47" t="n">
        <f aca="false">IF(OR($A938="",D938=""),0,IF(COUNTIF($D$2:D938,D938)=1,SUMIF($D$2:$D$5001,D938,$H$2:$H$5001)+ROW()/10000000,0))</f>
        <v>0</v>
      </c>
      <c r="Q938" s="47" t="n">
        <f aca="false">IF(OR($A938="",C938=""),0,IF(COUNTIF($C$2:C938,C938)=1,SUMIF($C$2:$C$5001,C938,$H$2:$H$5001)+ROW()/10000000,0))</f>
        <v>0</v>
      </c>
    </row>
    <row r="939" customFormat="false" ht="15" hidden="false" customHeight="false" outlineLevel="0" collapsed="false">
      <c r="A939" s="43"/>
      <c r="B939" s="44"/>
      <c r="C939" s="44"/>
      <c r="D939" s="44"/>
      <c r="E939" s="44"/>
      <c r="F939" s="44"/>
      <c r="G939" s="44"/>
      <c r="H939" s="46" t="str">
        <f aca="false">IF($A939="","",IF(OR(NOT(ISNUMBER(E939)),NOT(ISNUMBER(F939))),"",MAX(0,E939)*F939))</f>
        <v/>
      </c>
      <c r="I939" s="46" t="str">
        <f aca="false">IF($A939="","",SUMIF($A$2:$A$5001,$A939,$H$2:$H$5001))</f>
        <v/>
      </c>
      <c r="J939" s="47" t="n">
        <f aca="false">IF($A939="",0,IF(COUNTIF($A$2:A939,$A939)=1,1,0))</f>
        <v>0</v>
      </c>
      <c r="K939" s="47" t="n">
        <f aca="false">IF(J939=1,N(I939)+ROW()/10000000,0)</f>
        <v>0</v>
      </c>
      <c r="L939" s="47" t="str">
        <f aca="false">IF(AND(J939=1,N(I939)&gt;0),SUMIF($K$2:$K$5001,"&gt;="&amp;K939,$I$2:$I$5001)/MAX(1,SUM($H$2:$H$5001)),"")</f>
        <v/>
      </c>
      <c r="M939" s="47" t="str">
        <f aca="false">IF($A939="","",INDEX($L$2:$L$5001,MATCH($A939,$A$2:$A$5001,0)))</f>
        <v/>
      </c>
      <c r="N939" s="48" t="str">
        <f aca="false">IF($A939="","",IF(N(M939)=0,"–",IF(M939&lt;=Start!$D$20,"A",IF(M939&lt;=Start!$D$21,"B","C"))))</f>
        <v/>
      </c>
      <c r="O939" s="48" t="str">
        <f aca="false">IF($A939="","",IF(NOT(ISNUMBER(F939)),"Wert fehlt; ",IF(F939&lt;=0,"Wert ist 0; ",""))&amp;IF(NOT(ISNUMBER(E939)),"Bestand fehlt; ",IF(E939&lt;0,"Bestand negativ; ",IF(E939=0,"Nullbestand; ","")))&amp;IF(D939="","Warengruppe fehlt; ","")&amp;IF(B939="","Bezeichnung fehlt; ","")&amp;IF(COUNTIFS($A$2:$A$5001,$A939,$C$2:$C$5001,C939)&gt;1,"Artikel doppelt im selben Lager; ",""))</f>
        <v/>
      </c>
      <c r="P939" s="47" t="n">
        <f aca="false">IF(OR($A939="",D939=""),0,IF(COUNTIF($D$2:D939,D939)=1,SUMIF($D$2:$D$5001,D939,$H$2:$H$5001)+ROW()/10000000,0))</f>
        <v>0</v>
      </c>
      <c r="Q939" s="47" t="n">
        <f aca="false">IF(OR($A939="",C939=""),0,IF(COUNTIF($C$2:C939,C939)=1,SUMIF($C$2:$C$5001,C939,$H$2:$H$5001)+ROW()/10000000,0))</f>
        <v>0</v>
      </c>
    </row>
    <row r="940" customFormat="false" ht="15" hidden="false" customHeight="false" outlineLevel="0" collapsed="false">
      <c r="A940" s="43"/>
      <c r="B940" s="44"/>
      <c r="C940" s="44"/>
      <c r="D940" s="44"/>
      <c r="E940" s="44"/>
      <c r="F940" s="44"/>
      <c r="G940" s="44"/>
      <c r="H940" s="46" t="str">
        <f aca="false">IF($A940="","",IF(OR(NOT(ISNUMBER(E940)),NOT(ISNUMBER(F940))),"",MAX(0,E940)*F940))</f>
        <v/>
      </c>
      <c r="I940" s="46" t="str">
        <f aca="false">IF($A940="","",SUMIF($A$2:$A$5001,$A940,$H$2:$H$5001))</f>
        <v/>
      </c>
      <c r="J940" s="47" t="n">
        <f aca="false">IF($A940="",0,IF(COUNTIF($A$2:A940,$A940)=1,1,0))</f>
        <v>0</v>
      </c>
      <c r="K940" s="47" t="n">
        <f aca="false">IF(J940=1,N(I940)+ROW()/10000000,0)</f>
        <v>0</v>
      </c>
      <c r="L940" s="47" t="str">
        <f aca="false">IF(AND(J940=1,N(I940)&gt;0),SUMIF($K$2:$K$5001,"&gt;="&amp;K940,$I$2:$I$5001)/MAX(1,SUM($H$2:$H$5001)),"")</f>
        <v/>
      </c>
      <c r="M940" s="47" t="str">
        <f aca="false">IF($A940="","",INDEX($L$2:$L$5001,MATCH($A940,$A$2:$A$5001,0)))</f>
        <v/>
      </c>
      <c r="N940" s="48" t="str">
        <f aca="false">IF($A940="","",IF(N(M940)=0,"–",IF(M940&lt;=Start!$D$20,"A",IF(M940&lt;=Start!$D$21,"B","C"))))</f>
        <v/>
      </c>
      <c r="O940" s="48" t="str">
        <f aca="false">IF($A940="","",IF(NOT(ISNUMBER(F940)),"Wert fehlt; ",IF(F940&lt;=0,"Wert ist 0; ",""))&amp;IF(NOT(ISNUMBER(E940)),"Bestand fehlt; ",IF(E940&lt;0,"Bestand negativ; ",IF(E940=0,"Nullbestand; ","")))&amp;IF(D940="","Warengruppe fehlt; ","")&amp;IF(B940="","Bezeichnung fehlt; ","")&amp;IF(COUNTIFS($A$2:$A$5001,$A940,$C$2:$C$5001,C940)&gt;1,"Artikel doppelt im selben Lager; ",""))</f>
        <v/>
      </c>
      <c r="P940" s="47" t="n">
        <f aca="false">IF(OR($A940="",D940=""),0,IF(COUNTIF($D$2:D940,D940)=1,SUMIF($D$2:$D$5001,D940,$H$2:$H$5001)+ROW()/10000000,0))</f>
        <v>0</v>
      </c>
      <c r="Q940" s="47" t="n">
        <f aca="false">IF(OR($A940="",C940=""),0,IF(COUNTIF($C$2:C940,C940)=1,SUMIF($C$2:$C$5001,C940,$H$2:$H$5001)+ROW()/10000000,0))</f>
        <v>0</v>
      </c>
    </row>
    <row r="941" customFormat="false" ht="15" hidden="false" customHeight="false" outlineLevel="0" collapsed="false">
      <c r="A941" s="43"/>
      <c r="B941" s="44"/>
      <c r="C941" s="44"/>
      <c r="D941" s="44"/>
      <c r="E941" s="44"/>
      <c r="F941" s="44"/>
      <c r="G941" s="44"/>
      <c r="H941" s="46" t="str">
        <f aca="false">IF($A941="","",IF(OR(NOT(ISNUMBER(E941)),NOT(ISNUMBER(F941))),"",MAX(0,E941)*F941))</f>
        <v/>
      </c>
      <c r="I941" s="46" t="str">
        <f aca="false">IF($A941="","",SUMIF($A$2:$A$5001,$A941,$H$2:$H$5001))</f>
        <v/>
      </c>
      <c r="J941" s="47" t="n">
        <f aca="false">IF($A941="",0,IF(COUNTIF($A$2:A941,$A941)=1,1,0))</f>
        <v>0</v>
      </c>
      <c r="K941" s="47" t="n">
        <f aca="false">IF(J941=1,N(I941)+ROW()/10000000,0)</f>
        <v>0</v>
      </c>
      <c r="L941" s="47" t="str">
        <f aca="false">IF(AND(J941=1,N(I941)&gt;0),SUMIF($K$2:$K$5001,"&gt;="&amp;K941,$I$2:$I$5001)/MAX(1,SUM($H$2:$H$5001)),"")</f>
        <v/>
      </c>
      <c r="M941" s="47" t="str">
        <f aca="false">IF($A941="","",INDEX($L$2:$L$5001,MATCH($A941,$A$2:$A$5001,0)))</f>
        <v/>
      </c>
      <c r="N941" s="48" t="str">
        <f aca="false">IF($A941="","",IF(N(M941)=0,"–",IF(M941&lt;=Start!$D$20,"A",IF(M941&lt;=Start!$D$21,"B","C"))))</f>
        <v/>
      </c>
      <c r="O941" s="48" t="str">
        <f aca="false">IF($A941="","",IF(NOT(ISNUMBER(F941)),"Wert fehlt; ",IF(F941&lt;=0,"Wert ist 0; ",""))&amp;IF(NOT(ISNUMBER(E941)),"Bestand fehlt; ",IF(E941&lt;0,"Bestand negativ; ",IF(E941=0,"Nullbestand; ","")))&amp;IF(D941="","Warengruppe fehlt; ","")&amp;IF(B941="","Bezeichnung fehlt; ","")&amp;IF(COUNTIFS($A$2:$A$5001,$A941,$C$2:$C$5001,C941)&gt;1,"Artikel doppelt im selben Lager; ",""))</f>
        <v/>
      </c>
      <c r="P941" s="47" t="n">
        <f aca="false">IF(OR($A941="",D941=""),0,IF(COUNTIF($D$2:D941,D941)=1,SUMIF($D$2:$D$5001,D941,$H$2:$H$5001)+ROW()/10000000,0))</f>
        <v>0</v>
      </c>
      <c r="Q941" s="47" t="n">
        <f aca="false">IF(OR($A941="",C941=""),0,IF(COUNTIF($C$2:C941,C941)=1,SUMIF($C$2:$C$5001,C941,$H$2:$H$5001)+ROW()/10000000,0))</f>
        <v>0</v>
      </c>
    </row>
    <row r="942" customFormat="false" ht="15" hidden="false" customHeight="false" outlineLevel="0" collapsed="false">
      <c r="A942" s="43"/>
      <c r="B942" s="44"/>
      <c r="C942" s="44"/>
      <c r="D942" s="44"/>
      <c r="E942" s="44"/>
      <c r="F942" s="44"/>
      <c r="G942" s="44"/>
      <c r="H942" s="46" t="str">
        <f aca="false">IF($A942="","",IF(OR(NOT(ISNUMBER(E942)),NOT(ISNUMBER(F942))),"",MAX(0,E942)*F942))</f>
        <v/>
      </c>
      <c r="I942" s="46" t="str">
        <f aca="false">IF($A942="","",SUMIF($A$2:$A$5001,$A942,$H$2:$H$5001))</f>
        <v/>
      </c>
      <c r="J942" s="47" t="n">
        <f aca="false">IF($A942="",0,IF(COUNTIF($A$2:A942,$A942)=1,1,0))</f>
        <v>0</v>
      </c>
      <c r="K942" s="47" t="n">
        <f aca="false">IF(J942=1,N(I942)+ROW()/10000000,0)</f>
        <v>0</v>
      </c>
      <c r="L942" s="47" t="str">
        <f aca="false">IF(AND(J942=1,N(I942)&gt;0),SUMIF($K$2:$K$5001,"&gt;="&amp;K942,$I$2:$I$5001)/MAX(1,SUM($H$2:$H$5001)),"")</f>
        <v/>
      </c>
      <c r="M942" s="47" t="str">
        <f aca="false">IF($A942="","",INDEX($L$2:$L$5001,MATCH($A942,$A$2:$A$5001,0)))</f>
        <v/>
      </c>
      <c r="N942" s="48" t="str">
        <f aca="false">IF($A942="","",IF(N(M942)=0,"–",IF(M942&lt;=Start!$D$20,"A",IF(M942&lt;=Start!$D$21,"B","C"))))</f>
        <v/>
      </c>
      <c r="O942" s="48" t="str">
        <f aca="false">IF($A942="","",IF(NOT(ISNUMBER(F942)),"Wert fehlt; ",IF(F942&lt;=0,"Wert ist 0; ",""))&amp;IF(NOT(ISNUMBER(E942)),"Bestand fehlt; ",IF(E942&lt;0,"Bestand negativ; ",IF(E942=0,"Nullbestand; ","")))&amp;IF(D942="","Warengruppe fehlt; ","")&amp;IF(B942="","Bezeichnung fehlt; ","")&amp;IF(COUNTIFS($A$2:$A$5001,$A942,$C$2:$C$5001,C942)&gt;1,"Artikel doppelt im selben Lager; ",""))</f>
        <v/>
      </c>
      <c r="P942" s="47" t="n">
        <f aca="false">IF(OR($A942="",D942=""),0,IF(COUNTIF($D$2:D942,D942)=1,SUMIF($D$2:$D$5001,D942,$H$2:$H$5001)+ROW()/10000000,0))</f>
        <v>0</v>
      </c>
      <c r="Q942" s="47" t="n">
        <f aca="false">IF(OR($A942="",C942=""),0,IF(COUNTIF($C$2:C942,C942)=1,SUMIF($C$2:$C$5001,C942,$H$2:$H$5001)+ROW()/10000000,0))</f>
        <v>0</v>
      </c>
    </row>
    <row r="943" customFormat="false" ht="15" hidden="false" customHeight="false" outlineLevel="0" collapsed="false">
      <c r="A943" s="43"/>
      <c r="B943" s="44"/>
      <c r="C943" s="44"/>
      <c r="D943" s="44"/>
      <c r="E943" s="44"/>
      <c r="F943" s="44"/>
      <c r="G943" s="44"/>
      <c r="H943" s="46" t="str">
        <f aca="false">IF($A943="","",IF(OR(NOT(ISNUMBER(E943)),NOT(ISNUMBER(F943))),"",MAX(0,E943)*F943))</f>
        <v/>
      </c>
      <c r="I943" s="46" t="str">
        <f aca="false">IF($A943="","",SUMIF($A$2:$A$5001,$A943,$H$2:$H$5001))</f>
        <v/>
      </c>
      <c r="J943" s="47" t="n">
        <f aca="false">IF($A943="",0,IF(COUNTIF($A$2:A943,$A943)=1,1,0))</f>
        <v>0</v>
      </c>
      <c r="K943" s="47" t="n">
        <f aca="false">IF(J943=1,N(I943)+ROW()/10000000,0)</f>
        <v>0</v>
      </c>
      <c r="L943" s="47" t="str">
        <f aca="false">IF(AND(J943=1,N(I943)&gt;0),SUMIF($K$2:$K$5001,"&gt;="&amp;K943,$I$2:$I$5001)/MAX(1,SUM($H$2:$H$5001)),"")</f>
        <v/>
      </c>
      <c r="M943" s="47" t="str">
        <f aca="false">IF($A943="","",INDEX($L$2:$L$5001,MATCH($A943,$A$2:$A$5001,0)))</f>
        <v/>
      </c>
      <c r="N943" s="48" t="str">
        <f aca="false">IF($A943="","",IF(N(M943)=0,"–",IF(M943&lt;=Start!$D$20,"A",IF(M943&lt;=Start!$D$21,"B","C"))))</f>
        <v/>
      </c>
      <c r="O943" s="48" t="str">
        <f aca="false">IF($A943="","",IF(NOT(ISNUMBER(F943)),"Wert fehlt; ",IF(F943&lt;=0,"Wert ist 0; ",""))&amp;IF(NOT(ISNUMBER(E943)),"Bestand fehlt; ",IF(E943&lt;0,"Bestand negativ; ",IF(E943=0,"Nullbestand; ","")))&amp;IF(D943="","Warengruppe fehlt; ","")&amp;IF(B943="","Bezeichnung fehlt; ","")&amp;IF(COUNTIFS($A$2:$A$5001,$A943,$C$2:$C$5001,C943)&gt;1,"Artikel doppelt im selben Lager; ",""))</f>
        <v/>
      </c>
      <c r="P943" s="47" t="n">
        <f aca="false">IF(OR($A943="",D943=""),0,IF(COUNTIF($D$2:D943,D943)=1,SUMIF($D$2:$D$5001,D943,$H$2:$H$5001)+ROW()/10000000,0))</f>
        <v>0</v>
      </c>
      <c r="Q943" s="47" t="n">
        <f aca="false">IF(OR($A943="",C943=""),0,IF(COUNTIF($C$2:C943,C943)=1,SUMIF($C$2:$C$5001,C943,$H$2:$H$5001)+ROW()/10000000,0))</f>
        <v>0</v>
      </c>
    </row>
    <row r="944" customFormat="false" ht="15" hidden="false" customHeight="false" outlineLevel="0" collapsed="false">
      <c r="A944" s="43"/>
      <c r="B944" s="44"/>
      <c r="C944" s="44"/>
      <c r="D944" s="44"/>
      <c r="E944" s="44"/>
      <c r="F944" s="44"/>
      <c r="G944" s="44"/>
      <c r="H944" s="46" t="str">
        <f aca="false">IF($A944="","",IF(OR(NOT(ISNUMBER(E944)),NOT(ISNUMBER(F944))),"",MAX(0,E944)*F944))</f>
        <v/>
      </c>
      <c r="I944" s="46" t="str">
        <f aca="false">IF($A944="","",SUMIF($A$2:$A$5001,$A944,$H$2:$H$5001))</f>
        <v/>
      </c>
      <c r="J944" s="47" t="n">
        <f aca="false">IF($A944="",0,IF(COUNTIF($A$2:A944,$A944)=1,1,0))</f>
        <v>0</v>
      </c>
      <c r="K944" s="47" t="n">
        <f aca="false">IF(J944=1,N(I944)+ROW()/10000000,0)</f>
        <v>0</v>
      </c>
      <c r="L944" s="47" t="str">
        <f aca="false">IF(AND(J944=1,N(I944)&gt;0),SUMIF($K$2:$K$5001,"&gt;="&amp;K944,$I$2:$I$5001)/MAX(1,SUM($H$2:$H$5001)),"")</f>
        <v/>
      </c>
      <c r="M944" s="47" t="str">
        <f aca="false">IF($A944="","",INDEX($L$2:$L$5001,MATCH($A944,$A$2:$A$5001,0)))</f>
        <v/>
      </c>
      <c r="N944" s="48" t="str">
        <f aca="false">IF($A944="","",IF(N(M944)=0,"–",IF(M944&lt;=Start!$D$20,"A",IF(M944&lt;=Start!$D$21,"B","C"))))</f>
        <v/>
      </c>
      <c r="O944" s="48" t="str">
        <f aca="false">IF($A944="","",IF(NOT(ISNUMBER(F944)),"Wert fehlt; ",IF(F944&lt;=0,"Wert ist 0; ",""))&amp;IF(NOT(ISNUMBER(E944)),"Bestand fehlt; ",IF(E944&lt;0,"Bestand negativ; ",IF(E944=0,"Nullbestand; ","")))&amp;IF(D944="","Warengruppe fehlt; ","")&amp;IF(B944="","Bezeichnung fehlt; ","")&amp;IF(COUNTIFS($A$2:$A$5001,$A944,$C$2:$C$5001,C944)&gt;1,"Artikel doppelt im selben Lager; ",""))</f>
        <v/>
      </c>
      <c r="P944" s="47" t="n">
        <f aca="false">IF(OR($A944="",D944=""),0,IF(COUNTIF($D$2:D944,D944)=1,SUMIF($D$2:$D$5001,D944,$H$2:$H$5001)+ROW()/10000000,0))</f>
        <v>0</v>
      </c>
      <c r="Q944" s="47" t="n">
        <f aca="false">IF(OR($A944="",C944=""),0,IF(COUNTIF($C$2:C944,C944)=1,SUMIF($C$2:$C$5001,C944,$H$2:$H$5001)+ROW()/10000000,0))</f>
        <v>0</v>
      </c>
    </row>
    <row r="945" customFormat="false" ht="15" hidden="false" customHeight="false" outlineLevel="0" collapsed="false">
      <c r="A945" s="43"/>
      <c r="B945" s="44"/>
      <c r="C945" s="44"/>
      <c r="D945" s="44"/>
      <c r="E945" s="44"/>
      <c r="F945" s="44"/>
      <c r="G945" s="44"/>
      <c r="H945" s="46" t="str">
        <f aca="false">IF($A945="","",IF(OR(NOT(ISNUMBER(E945)),NOT(ISNUMBER(F945))),"",MAX(0,E945)*F945))</f>
        <v/>
      </c>
      <c r="I945" s="46" t="str">
        <f aca="false">IF($A945="","",SUMIF($A$2:$A$5001,$A945,$H$2:$H$5001))</f>
        <v/>
      </c>
      <c r="J945" s="47" t="n">
        <f aca="false">IF($A945="",0,IF(COUNTIF($A$2:A945,$A945)=1,1,0))</f>
        <v>0</v>
      </c>
      <c r="K945" s="47" t="n">
        <f aca="false">IF(J945=1,N(I945)+ROW()/10000000,0)</f>
        <v>0</v>
      </c>
      <c r="L945" s="47" t="str">
        <f aca="false">IF(AND(J945=1,N(I945)&gt;0),SUMIF($K$2:$K$5001,"&gt;="&amp;K945,$I$2:$I$5001)/MAX(1,SUM($H$2:$H$5001)),"")</f>
        <v/>
      </c>
      <c r="M945" s="47" t="str">
        <f aca="false">IF($A945="","",INDEX($L$2:$L$5001,MATCH($A945,$A$2:$A$5001,0)))</f>
        <v/>
      </c>
      <c r="N945" s="48" t="str">
        <f aca="false">IF($A945="","",IF(N(M945)=0,"–",IF(M945&lt;=Start!$D$20,"A",IF(M945&lt;=Start!$D$21,"B","C"))))</f>
        <v/>
      </c>
      <c r="O945" s="48" t="str">
        <f aca="false">IF($A945="","",IF(NOT(ISNUMBER(F945)),"Wert fehlt; ",IF(F945&lt;=0,"Wert ist 0; ",""))&amp;IF(NOT(ISNUMBER(E945)),"Bestand fehlt; ",IF(E945&lt;0,"Bestand negativ; ",IF(E945=0,"Nullbestand; ","")))&amp;IF(D945="","Warengruppe fehlt; ","")&amp;IF(B945="","Bezeichnung fehlt; ","")&amp;IF(COUNTIFS($A$2:$A$5001,$A945,$C$2:$C$5001,C945)&gt;1,"Artikel doppelt im selben Lager; ",""))</f>
        <v/>
      </c>
      <c r="P945" s="47" t="n">
        <f aca="false">IF(OR($A945="",D945=""),0,IF(COUNTIF($D$2:D945,D945)=1,SUMIF($D$2:$D$5001,D945,$H$2:$H$5001)+ROW()/10000000,0))</f>
        <v>0</v>
      </c>
      <c r="Q945" s="47" t="n">
        <f aca="false">IF(OR($A945="",C945=""),0,IF(COUNTIF($C$2:C945,C945)=1,SUMIF($C$2:$C$5001,C945,$H$2:$H$5001)+ROW()/10000000,0))</f>
        <v>0</v>
      </c>
    </row>
    <row r="946" customFormat="false" ht="15" hidden="false" customHeight="false" outlineLevel="0" collapsed="false">
      <c r="A946" s="43"/>
      <c r="B946" s="44"/>
      <c r="C946" s="44"/>
      <c r="D946" s="44"/>
      <c r="E946" s="44"/>
      <c r="F946" s="44"/>
      <c r="G946" s="44"/>
      <c r="H946" s="46" t="str">
        <f aca="false">IF($A946="","",IF(OR(NOT(ISNUMBER(E946)),NOT(ISNUMBER(F946))),"",MAX(0,E946)*F946))</f>
        <v/>
      </c>
      <c r="I946" s="46" t="str">
        <f aca="false">IF($A946="","",SUMIF($A$2:$A$5001,$A946,$H$2:$H$5001))</f>
        <v/>
      </c>
      <c r="J946" s="47" t="n">
        <f aca="false">IF($A946="",0,IF(COUNTIF($A$2:A946,$A946)=1,1,0))</f>
        <v>0</v>
      </c>
      <c r="K946" s="47" t="n">
        <f aca="false">IF(J946=1,N(I946)+ROW()/10000000,0)</f>
        <v>0</v>
      </c>
      <c r="L946" s="47" t="str">
        <f aca="false">IF(AND(J946=1,N(I946)&gt;0),SUMIF($K$2:$K$5001,"&gt;="&amp;K946,$I$2:$I$5001)/MAX(1,SUM($H$2:$H$5001)),"")</f>
        <v/>
      </c>
      <c r="M946" s="47" t="str">
        <f aca="false">IF($A946="","",INDEX($L$2:$L$5001,MATCH($A946,$A$2:$A$5001,0)))</f>
        <v/>
      </c>
      <c r="N946" s="48" t="str">
        <f aca="false">IF($A946="","",IF(N(M946)=0,"–",IF(M946&lt;=Start!$D$20,"A",IF(M946&lt;=Start!$D$21,"B","C"))))</f>
        <v/>
      </c>
      <c r="O946" s="48" t="str">
        <f aca="false">IF($A946="","",IF(NOT(ISNUMBER(F946)),"Wert fehlt; ",IF(F946&lt;=0,"Wert ist 0; ",""))&amp;IF(NOT(ISNUMBER(E946)),"Bestand fehlt; ",IF(E946&lt;0,"Bestand negativ; ",IF(E946=0,"Nullbestand; ","")))&amp;IF(D946="","Warengruppe fehlt; ","")&amp;IF(B946="","Bezeichnung fehlt; ","")&amp;IF(COUNTIFS($A$2:$A$5001,$A946,$C$2:$C$5001,C946)&gt;1,"Artikel doppelt im selben Lager; ",""))</f>
        <v/>
      </c>
      <c r="P946" s="47" t="n">
        <f aca="false">IF(OR($A946="",D946=""),0,IF(COUNTIF($D$2:D946,D946)=1,SUMIF($D$2:$D$5001,D946,$H$2:$H$5001)+ROW()/10000000,0))</f>
        <v>0</v>
      </c>
      <c r="Q946" s="47" t="n">
        <f aca="false">IF(OR($A946="",C946=""),0,IF(COUNTIF($C$2:C946,C946)=1,SUMIF($C$2:$C$5001,C946,$H$2:$H$5001)+ROW()/10000000,0))</f>
        <v>0</v>
      </c>
    </row>
    <row r="947" customFormat="false" ht="15" hidden="false" customHeight="false" outlineLevel="0" collapsed="false">
      <c r="A947" s="43"/>
      <c r="B947" s="44"/>
      <c r="C947" s="44"/>
      <c r="D947" s="44"/>
      <c r="E947" s="44"/>
      <c r="F947" s="44"/>
      <c r="G947" s="44"/>
      <c r="H947" s="46" t="str">
        <f aca="false">IF($A947="","",IF(OR(NOT(ISNUMBER(E947)),NOT(ISNUMBER(F947))),"",MAX(0,E947)*F947))</f>
        <v/>
      </c>
      <c r="I947" s="46" t="str">
        <f aca="false">IF($A947="","",SUMIF($A$2:$A$5001,$A947,$H$2:$H$5001))</f>
        <v/>
      </c>
      <c r="J947" s="47" t="n">
        <f aca="false">IF($A947="",0,IF(COUNTIF($A$2:A947,$A947)=1,1,0))</f>
        <v>0</v>
      </c>
      <c r="K947" s="47" t="n">
        <f aca="false">IF(J947=1,N(I947)+ROW()/10000000,0)</f>
        <v>0</v>
      </c>
      <c r="L947" s="47" t="str">
        <f aca="false">IF(AND(J947=1,N(I947)&gt;0),SUMIF($K$2:$K$5001,"&gt;="&amp;K947,$I$2:$I$5001)/MAX(1,SUM($H$2:$H$5001)),"")</f>
        <v/>
      </c>
      <c r="M947" s="47" t="str">
        <f aca="false">IF($A947="","",INDEX($L$2:$L$5001,MATCH($A947,$A$2:$A$5001,0)))</f>
        <v/>
      </c>
      <c r="N947" s="48" t="str">
        <f aca="false">IF($A947="","",IF(N(M947)=0,"–",IF(M947&lt;=Start!$D$20,"A",IF(M947&lt;=Start!$D$21,"B","C"))))</f>
        <v/>
      </c>
      <c r="O947" s="48" t="str">
        <f aca="false">IF($A947="","",IF(NOT(ISNUMBER(F947)),"Wert fehlt; ",IF(F947&lt;=0,"Wert ist 0; ",""))&amp;IF(NOT(ISNUMBER(E947)),"Bestand fehlt; ",IF(E947&lt;0,"Bestand negativ; ",IF(E947=0,"Nullbestand; ","")))&amp;IF(D947="","Warengruppe fehlt; ","")&amp;IF(B947="","Bezeichnung fehlt; ","")&amp;IF(COUNTIFS($A$2:$A$5001,$A947,$C$2:$C$5001,C947)&gt;1,"Artikel doppelt im selben Lager; ",""))</f>
        <v/>
      </c>
      <c r="P947" s="47" t="n">
        <f aca="false">IF(OR($A947="",D947=""),0,IF(COUNTIF($D$2:D947,D947)=1,SUMIF($D$2:$D$5001,D947,$H$2:$H$5001)+ROW()/10000000,0))</f>
        <v>0</v>
      </c>
      <c r="Q947" s="47" t="n">
        <f aca="false">IF(OR($A947="",C947=""),0,IF(COUNTIF($C$2:C947,C947)=1,SUMIF($C$2:$C$5001,C947,$H$2:$H$5001)+ROW()/10000000,0))</f>
        <v>0</v>
      </c>
    </row>
    <row r="948" customFormat="false" ht="15" hidden="false" customHeight="false" outlineLevel="0" collapsed="false">
      <c r="A948" s="43"/>
      <c r="B948" s="44"/>
      <c r="C948" s="44"/>
      <c r="D948" s="44"/>
      <c r="E948" s="44"/>
      <c r="F948" s="44"/>
      <c r="G948" s="44"/>
      <c r="H948" s="46" t="str">
        <f aca="false">IF($A948="","",IF(OR(NOT(ISNUMBER(E948)),NOT(ISNUMBER(F948))),"",MAX(0,E948)*F948))</f>
        <v/>
      </c>
      <c r="I948" s="46" t="str">
        <f aca="false">IF($A948="","",SUMIF($A$2:$A$5001,$A948,$H$2:$H$5001))</f>
        <v/>
      </c>
      <c r="J948" s="47" t="n">
        <f aca="false">IF($A948="",0,IF(COUNTIF($A$2:A948,$A948)=1,1,0))</f>
        <v>0</v>
      </c>
      <c r="K948" s="47" t="n">
        <f aca="false">IF(J948=1,N(I948)+ROW()/10000000,0)</f>
        <v>0</v>
      </c>
      <c r="L948" s="47" t="str">
        <f aca="false">IF(AND(J948=1,N(I948)&gt;0),SUMIF($K$2:$K$5001,"&gt;="&amp;K948,$I$2:$I$5001)/MAX(1,SUM($H$2:$H$5001)),"")</f>
        <v/>
      </c>
      <c r="M948" s="47" t="str">
        <f aca="false">IF($A948="","",INDEX($L$2:$L$5001,MATCH($A948,$A$2:$A$5001,0)))</f>
        <v/>
      </c>
      <c r="N948" s="48" t="str">
        <f aca="false">IF($A948="","",IF(N(M948)=0,"–",IF(M948&lt;=Start!$D$20,"A",IF(M948&lt;=Start!$D$21,"B","C"))))</f>
        <v/>
      </c>
      <c r="O948" s="48" t="str">
        <f aca="false">IF($A948="","",IF(NOT(ISNUMBER(F948)),"Wert fehlt; ",IF(F948&lt;=0,"Wert ist 0; ",""))&amp;IF(NOT(ISNUMBER(E948)),"Bestand fehlt; ",IF(E948&lt;0,"Bestand negativ; ",IF(E948=0,"Nullbestand; ","")))&amp;IF(D948="","Warengruppe fehlt; ","")&amp;IF(B948="","Bezeichnung fehlt; ","")&amp;IF(COUNTIFS($A$2:$A$5001,$A948,$C$2:$C$5001,C948)&gt;1,"Artikel doppelt im selben Lager; ",""))</f>
        <v/>
      </c>
      <c r="P948" s="47" t="n">
        <f aca="false">IF(OR($A948="",D948=""),0,IF(COUNTIF($D$2:D948,D948)=1,SUMIF($D$2:$D$5001,D948,$H$2:$H$5001)+ROW()/10000000,0))</f>
        <v>0</v>
      </c>
      <c r="Q948" s="47" t="n">
        <f aca="false">IF(OR($A948="",C948=""),0,IF(COUNTIF($C$2:C948,C948)=1,SUMIF($C$2:$C$5001,C948,$H$2:$H$5001)+ROW()/10000000,0))</f>
        <v>0</v>
      </c>
    </row>
    <row r="949" customFormat="false" ht="15" hidden="false" customHeight="false" outlineLevel="0" collapsed="false">
      <c r="A949" s="43"/>
      <c r="B949" s="44"/>
      <c r="C949" s="44"/>
      <c r="D949" s="44"/>
      <c r="E949" s="44"/>
      <c r="F949" s="44"/>
      <c r="G949" s="44"/>
      <c r="H949" s="46" t="str">
        <f aca="false">IF($A949="","",IF(OR(NOT(ISNUMBER(E949)),NOT(ISNUMBER(F949))),"",MAX(0,E949)*F949))</f>
        <v/>
      </c>
      <c r="I949" s="46" t="str">
        <f aca="false">IF($A949="","",SUMIF($A$2:$A$5001,$A949,$H$2:$H$5001))</f>
        <v/>
      </c>
      <c r="J949" s="47" t="n">
        <f aca="false">IF($A949="",0,IF(COUNTIF($A$2:A949,$A949)=1,1,0))</f>
        <v>0</v>
      </c>
      <c r="K949" s="47" t="n">
        <f aca="false">IF(J949=1,N(I949)+ROW()/10000000,0)</f>
        <v>0</v>
      </c>
      <c r="L949" s="47" t="str">
        <f aca="false">IF(AND(J949=1,N(I949)&gt;0),SUMIF($K$2:$K$5001,"&gt;="&amp;K949,$I$2:$I$5001)/MAX(1,SUM($H$2:$H$5001)),"")</f>
        <v/>
      </c>
      <c r="M949" s="47" t="str">
        <f aca="false">IF($A949="","",INDEX($L$2:$L$5001,MATCH($A949,$A$2:$A$5001,0)))</f>
        <v/>
      </c>
      <c r="N949" s="48" t="str">
        <f aca="false">IF($A949="","",IF(N(M949)=0,"–",IF(M949&lt;=Start!$D$20,"A",IF(M949&lt;=Start!$D$21,"B","C"))))</f>
        <v/>
      </c>
      <c r="O949" s="48" t="str">
        <f aca="false">IF($A949="","",IF(NOT(ISNUMBER(F949)),"Wert fehlt; ",IF(F949&lt;=0,"Wert ist 0; ",""))&amp;IF(NOT(ISNUMBER(E949)),"Bestand fehlt; ",IF(E949&lt;0,"Bestand negativ; ",IF(E949=0,"Nullbestand; ","")))&amp;IF(D949="","Warengruppe fehlt; ","")&amp;IF(B949="","Bezeichnung fehlt; ","")&amp;IF(COUNTIFS($A$2:$A$5001,$A949,$C$2:$C$5001,C949)&gt;1,"Artikel doppelt im selben Lager; ",""))</f>
        <v/>
      </c>
      <c r="P949" s="47" t="n">
        <f aca="false">IF(OR($A949="",D949=""),0,IF(COUNTIF($D$2:D949,D949)=1,SUMIF($D$2:$D$5001,D949,$H$2:$H$5001)+ROW()/10000000,0))</f>
        <v>0</v>
      </c>
      <c r="Q949" s="47" t="n">
        <f aca="false">IF(OR($A949="",C949=""),0,IF(COUNTIF($C$2:C949,C949)=1,SUMIF($C$2:$C$5001,C949,$H$2:$H$5001)+ROW()/10000000,0))</f>
        <v>0</v>
      </c>
    </row>
    <row r="950" customFormat="false" ht="15" hidden="false" customHeight="false" outlineLevel="0" collapsed="false">
      <c r="A950" s="43"/>
      <c r="B950" s="44"/>
      <c r="C950" s="44"/>
      <c r="D950" s="44"/>
      <c r="E950" s="44"/>
      <c r="F950" s="44"/>
      <c r="G950" s="44"/>
      <c r="H950" s="46" t="str">
        <f aca="false">IF($A950="","",IF(OR(NOT(ISNUMBER(E950)),NOT(ISNUMBER(F950))),"",MAX(0,E950)*F950))</f>
        <v/>
      </c>
      <c r="I950" s="46" t="str">
        <f aca="false">IF($A950="","",SUMIF($A$2:$A$5001,$A950,$H$2:$H$5001))</f>
        <v/>
      </c>
      <c r="J950" s="47" t="n">
        <f aca="false">IF($A950="",0,IF(COUNTIF($A$2:A950,$A950)=1,1,0))</f>
        <v>0</v>
      </c>
      <c r="K950" s="47" t="n">
        <f aca="false">IF(J950=1,N(I950)+ROW()/10000000,0)</f>
        <v>0</v>
      </c>
      <c r="L950" s="47" t="str">
        <f aca="false">IF(AND(J950=1,N(I950)&gt;0),SUMIF($K$2:$K$5001,"&gt;="&amp;K950,$I$2:$I$5001)/MAX(1,SUM($H$2:$H$5001)),"")</f>
        <v/>
      </c>
      <c r="M950" s="47" t="str">
        <f aca="false">IF($A950="","",INDEX($L$2:$L$5001,MATCH($A950,$A$2:$A$5001,0)))</f>
        <v/>
      </c>
      <c r="N950" s="48" t="str">
        <f aca="false">IF($A950="","",IF(N(M950)=0,"–",IF(M950&lt;=Start!$D$20,"A",IF(M950&lt;=Start!$D$21,"B","C"))))</f>
        <v/>
      </c>
      <c r="O950" s="48" t="str">
        <f aca="false">IF($A950="","",IF(NOT(ISNUMBER(F950)),"Wert fehlt; ",IF(F950&lt;=0,"Wert ist 0; ",""))&amp;IF(NOT(ISNUMBER(E950)),"Bestand fehlt; ",IF(E950&lt;0,"Bestand negativ; ",IF(E950=0,"Nullbestand; ","")))&amp;IF(D950="","Warengruppe fehlt; ","")&amp;IF(B950="","Bezeichnung fehlt; ","")&amp;IF(COUNTIFS($A$2:$A$5001,$A950,$C$2:$C$5001,C950)&gt;1,"Artikel doppelt im selben Lager; ",""))</f>
        <v/>
      </c>
      <c r="P950" s="47" t="n">
        <f aca="false">IF(OR($A950="",D950=""),0,IF(COUNTIF($D$2:D950,D950)=1,SUMIF($D$2:$D$5001,D950,$H$2:$H$5001)+ROW()/10000000,0))</f>
        <v>0</v>
      </c>
      <c r="Q950" s="47" t="n">
        <f aca="false">IF(OR($A950="",C950=""),0,IF(COUNTIF($C$2:C950,C950)=1,SUMIF($C$2:$C$5001,C950,$H$2:$H$5001)+ROW()/10000000,0))</f>
        <v>0</v>
      </c>
    </row>
    <row r="951" customFormat="false" ht="15" hidden="false" customHeight="false" outlineLevel="0" collapsed="false">
      <c r="A951" s="43"/>
      <c r="B951" s="44"/>
      <c r="C951" s="44"/>
      <c r="D951" s="44"/>
      <c r="E951" s="44"/>
      <c r="F951" s="44"/>
      <c r="G951" s="44"/>
      <c r="H951" s="46" t="str">
        <f aca="false">IF($A951="","",IF(OR(NOT(ISNUMBER(E951)),NOT(ISNUMBER(F951))),"",MAX(0,E951)*F951))</f>
        <v/>
      </c>
      <c r="I951" s="46" t="str">
        <f aca="false">IF($A951="","",SUMIF($A$2:$A$5001,$A951,$H$2:$H$5001))</f>
        <v/>
      </c>
      <c r="J951" s="47" t="n">
        <f aca="false">IF($A951="",0,IF(COUNTIF($A$2:A951,$A951)=1,1,0))</f>
        <v>0</v>
      </c>
      <c r="K951" s="47" t="n">
        <f aca="false">IF(J951=1,N(I951)+ROW()/10000000,0)</f>
        <v>0</v>
      </c>
      <c r="L951" s="47" t="str">
        <f aca="false">IF(AND(J951=1,N(I951)&gt;0),SUMIF($K$2:$K$5001,"&gt;="&amp;K951,$I$2:$I$5001)/MAX(1,SUM($H$2:$H$5001)),"")</f>
        <v/>
      </c>
      <c r="M951" s="47" t="str">
        <f aca="false">IF($A951="","",INDEX($L$2:$L$5001,MATCH($A951,$A$2:$A$5001,0)))</f>
        <v/>
      </c>
      <c r="N951" s="48" t="str">
        <f aca="false">IF($A951="","",IF(N(M951)=0,"–",IF(M951&lt;=Start!$D$20,"A",IF(M951&lt;=Start!$D$21,"B","C"))))</f>
        <v/>
      </c>
      <c r="O951" s="48" t="str">
        <f aca="false">IF($A951="","",IF(NOT(ISNUMBER(F951)),"Wert fehlt; ",IF(F951&lt;=0,"Wert ist 0; ",""))&amp;IF(NOT(ISNUMBER(E951)),"Bestand fehlt; ",IF(E951&lt;0,"Bestand negativ; ",IF(E951=0,"Nullbestand; ","")))&amp;IF(D951="","Warengruppe fehlt; ","")&amp;IF(B951="","Bezeichnung fehlt; ","")&amp;IF(COUNTIFS($A$2:$A$5001,$A951,$C$2:$C$5001,C951)&gt;1,"Artikel doppelt im selben Lager; ",""))</f>
        <v/>
      </c>
      <c r="P951" s="47" t="n">
        <f aca="false">IF(OR($A951="",D951=""),0,IF(COUNTIF($D$2:D951,D951)=1,SUMIF($D$2:$D$5001,D951,$H$2:$H$5001)+ROW()/10000000,0))</f>
        <v>0</v>
      </c>
      <c r="Q951" s="47" t="n">
        <f aca="false">IF(OR($A951="",C951=""),0,IF(COUNTIF($C$2:C951,C951)=1,SUMIF($C$2:$C$5001,C951,$H$2:$H$5001)+ROW()/10000000,0))</f>
        <v>0</v>
      </c>
    </row>
    <row r="952" customFormat="false" ht="15" hidden="false" customHeight="false" outlineLevel="0" collapsed="false">
      <c r="A952" s="43"/>
      <c r="B952" s="44"/>
      <c r="C952" s="44"/>
      <c r="D952" s="44"/>
      <c r="E952" s="44"/>
      <c r="F952" s="44"/>
      <c r="G952" s="44"/>
      <c r="H952" s="46" t="str">
        <f aca="false">IF($A952="","",IF(OR(NOT(ISNUMBER(E952)),NOT(ISNUMBER(F952))),"",MAX(0,E952)*F952))</f>
        <v/>
      </c>
      <c r="I952" s="46" t="str">
        <f aca="false">IF($A952="","",SUMIF($A$2:$A$5001,$A952,$H$2:$H$5001))</f>
        <v/>
      </c>
      <c r="J952" s="47" t="n">
        <f aca="false">IF($A952="",0,IF(COUNTIF($A$2:A952,$A952)=1,1,0))</f>
        <v>0</v>
      </c>
      <c r="K952" s="47" t="n">
        <f aca="false">IF(J952=1,N(I952)+ROW()/10000000,0)</f>
        <v>0</v>
      </c>
      <c r="L952" s="47" t="str">
        <f aca="false">IF(AND(J952=1,N(I952)&gt;0),SUMIF($K$2:$K$5001,"&gt;="&amp;K952,$I$2:$I$5001)/MAX(1,SUM($H$2:$H$5001)),"")</f>
        <v/>
      </c>
      <c r="M952" s="47" t="str">
        <f aca="false">IF($A952="","",INDEX($L$2:$L$5001,MATCH($A952,$A$2:$A$5001,0)))</f>
        <v/>
      </c>
      <c r="N952" s="48" t="str">
        <f aca="false">IF($A952="","",IF(N(M952)=0,"–",IF(M952&lt;=Start!$D$20,"A",IF(M952&lt;=Start!$D$21,"B","C"))))</f>
        <v/>
      </c>
      <c r="O952" s="48" t="str">
        <f aca="false">IF($A952="","",IF(NOT(ISNUMBER(F952)),"Wert fehlt; ",IF(F952&lt;=0,"Wert ist 0; ",""))&amp;IF(NOT(ISNUMBER(E952)),"Bestand fehlt; ",IF(E952&lt;0,"Bestand negativ; ",IF(E952=0,"Nullbestand; ","")))&amp;IF(D952="","Warengruppe fehlt; ","")&amp;IF(B952="","Bezeichnung fehlt; ","")&amp;IF(COUNTIFS($A$2:$A$5001,$A952,$C$2:$C$5001,C952)&gt;1,"Artikel doppelt im selben Lager; ",""))</f>
        <v/>
      </c>
      <c r="P952" s="47" t="n">
        <f aca="false">IF(OR($A952="",D952=""),0,IF(COUNTIF($D$2:D952,D952)=1,SUMIF($D$2:$D$5001,D952,$H$2:$H$5001)+ROW()/10000000,0))</f>
        <v>0</v>
      </c>
      <c r="Q952" s="47" t="n">
        <f aca="false">IF(OR($A952="",C952=""),0,IF(COUNTIF($C$2:C952,C952)=1,SUMIF($C$2:$C$5001,C952,$H$2:$H$5001)+ROW()/10000000,0))</f>
        <v>0</v>
      </c>
    </row>
    <row r="953" customFormat="false" ht="15" hidden="false" customHeight="false" outlineLevel="0" collapsed="false">
      <c r="A953" s="43"/>
      <c r="B953" s="44"/>
      <c r="C953" s="44"/>
      <c r="D953" s="44"/>
      <c r="E953" s="44"/>
      <c r="F953" s="44"/>
      <c r="G953" s="44"/>
      <c r="H953" s="46" t="str">
        <f aca="false">IF($A953="","",IF(OR(NOT(ISNUMBER(E953)),NOT(ISNUMBER(F953))),"",MAX(0,E953)*F953))</f>
        <v/>
      </c>
      <c r="I953" s="46" t="str">
        <f aca="false">IF($A953="","",SUMIF($A$2:$A$5001,$A953,$H$2:$H$5001))</f>
        <v/>
      </c>
      <c r="J953" s="47" t="n">
        <f aca="false">IF($A953="",0,IF(COUNTIF($A$2:A953,$A953)=1,1,0))</f>
        <v>0</v>
      </c>
      <c r="K953" s="47" t="n">
        <f aca="false">IF(J953=1,N(I953)+ROW()/10000000,0)</f>
        <v>0</v>
      </c>
      <c r="L953" s="47" t="str">
        <f aca="false">IF(AND(J953=1,N(I953)&gt;0),SUMIF($K$2:$K$5001,"&gt;="&amp;K953,$I$2:$I$5001)/MAX(1,SUM($H$2:$H$5001)),"")</f>
        <v/>
      </c>
      <c r="M953" s="47" t="str">
        <f aca="false">IF($A953="","",INDEX($L$2:$L$5001,MATCH($A953,$A$2:$A$5001,0)))</f>
        <v/>
      </c>
      <c r="N953" s="48" t="str">
        <f aca="false">IF($A953="","",IF(N(M953)=0,"–",IF(M953&lt;=Start!$D$20,"A",IF(M953&lt;=Start!$D$21,"B","C"))))</f>
        <v/>
      </c>
      <c r="O953" s="48" t="str">
        <f aca="false">IF($A953="","",IF(NOT(ISNUMBER(F953)),"Wert fehlt; ",IF(F953&lt;=0,"Wert ist 0; ",""))&amp;IF(NOT(ISNUMBER(E953)),"Bestand fehlt; ",IF(E953&lt;0,"Bestand negativ; ",IF(E953=0,"Nullbestand; ","")))&amp;IF(D953="","Warengruppe fehlt; ","")&amp;IF(B953="","Bezeichnung fehlt; ","")&amp;IF(COUNTIFS($A$2:$A$5001,$A953,$C$2:$C$5001,C953)&gt;1,"Artikel doppelt im selben Lager; ",""))</f>
        <v/>
      </c>
      <c r="P953" s="47" t="n">
        <f aca="false">IF(OR($A953="",D953=""),0,IF(COUNTIF($D$2:D953,D953)=1,SUMIF($D$2:$D$5001,D953,$H$2:$H$5001)+ROW()/10000000,0))</f>
        <v>0</v>
      </c>
      <c r="Q953" s="47" t="n">
        <f aca="false">IF(OR($A953="",C953=""),0,IF(COUNTIF($C$2:C953,C953)=1,SUMIF($C$2:$C$5001,C953,$H$2:$H$5001)+ROW()/10000000,0))</f>
        <v>0</v>
      </c>
    </row>
    <row r="954" customFormat="false" ht="15" hidden="false" customHeight="false" outlineLevel="0" collapsed="false">
      <c r="A954" s="43"/>
      <c r="B954" s="44"/>
      <c r="C954" s="44"/>
      <c r="D954" s="44"/>
      <c r="E954" s="44"/>
      <c r="F954" s="44"/>
      <c r="G954" s="44"/>
      <c r="H954" s="46" t="str">
        <f aca="false">IF($A954="","",IF(OR(NOT(ISNUMBER(E954)),NOT(ISNUMBER(F954))),"",MAX(0,E954)*F954))</f>
        <v/>
      </c>
      <c r="I954" s="46" t="str">
        <f aca="false">IF($A954="","",SUMIF($A$2:$A$5001,$A954,$H$2:$H$5001))</f>
        <v/>
      </c>
      <c r="J954" s="47" t="n">
        <f aca="false">IF($A954="",0,IF(COUNTIF($A$2:A954,$A954)=1,1,0))</f>
        <v>0</v>
      </c>
      <c r="K954" s="47" t="n">
        <f aca="false">IF(J954=1,N(I954)+ROW()/10000000,0)</f>
        <v>0</v>
      </c>
      <c r="L954" s="47" t="str">
        <f aca="false">IF(AND(J954=1,N(I954)&gt;0),SUMIF($K$2:$K$5001,"&gt;="&amp;K954,$I$2:$I$5001)/MAX(1,SUM($H$2:$H$5001)),"")</f>
        <v/>
      </c>
      <c r="M954" s="47" t="str">
        <f aca="false">IF($A954="","",INDEX($L$2:$L$5001,MATCH($A954,$A$2:$A$5001,0)))</f>
        <v/>
      </c>
      <c r="N954" s="48" t="str">
        <f aca="false">IF($A954="","",IF(N(M954)=0,"–",IF(M954&lt;=Start!$D$20,"A",IF(M954&lt;=Start!$D$21,"B","C"))))</f>
        <v/>
      </c>
      <c r="O954" s="48" t="str">
        <f aca="false">IF($A954="","",IF(NOT(ISNUMBER(F954)),"Wert fehlt; ",IF(F954&lt;=0,"Wert ist 0; ",""))&amp;IF(NOT(ISNUMBER(E954)),"Bestand fehlt; ",IF(E954&lt;0,"Bestand negativ; ",IF(E954=0,"Nullbestand; ","")))&amp;IF(D954="","Warengruppe fehlt; ","")&amp;IF(B954="","Bezeichnung fehlt; ","")&amp;IF(COUNTIFS($A$2:$A$5001,$A954,$C$2:$C$5001,C954)&gt;1,"Artikel doppelt im selben Lager; ",""))</f>
        <v/>
      </c>
      <c r="P954" s="47" t="n">
        <f aca="false">IF(OR($A954="",D954=""),0,IF(COUNTIF($D$2:D954,D954)=1,SUMIF($D$2:$D$5001,D954,$H$2:$H$5001)+ROW()/10000000,0))</f>
        <v>0</v>
      </c>
      <c r="Q954" s="47" t="n">
        <f aca="false">IF(OR($A954="",C954=""),0,IF(COUNTIF($C$2:C954,C954)=1,SUMIF($C$2:$C$5001,C954,$H$2:$H$5001)+ROW()/10000000,0))</f>
        <v>0</v>
      </c>
    </row>
    <row r="955" customFormat="false" ht="15" hidden="false" customHeight="false" outlineLevel="0" collapsed="false">
      <c r="A955" s="43"/>
      <c r="B955" s="44"/>
      <c r="C955" s="44"/>
      <c r="D955" s="44"/>
      <c r="E955" s="44"/>
      <c r="F955" s="44"/>
      <c r="G955" s="44"/>
      <c r="H955" s="46" t="str">
        <f aca="false">IF($A955="","",IF(OR(NOT(ISNUMBER(E955)),NOT(ISNUMBER(F955))),"",MAX(0,E955)*F955))</f>
        <v/>
      </c>
      <c r="I955" s="46" t="str">
        <f aca="false">IF($A955="","",SUMIF($A$2:$A$5001,$A955,$H$2:$H$5001))</f>
        <v/>
      </c>
      <c r="J955" s="47" t="n">
        <f aca="false">IF($A955="",0,IF(COUNTIF($A$2:A955,$A955)=1,1,0))</f>
        <v>0</v>
      </c>
      <c r="K955" s="47" t="n">
        <f aca="false">IF(J955=1,N(I955)+ROW()/10000000,0)</f>
        <v>0</v>
      </c>
      <c r="L955" s="47" t="str">
        <f aca="false">IF(AND(J955=1,N(I955)&gt;0),SUMIF($K$2:$K$5001,"&gt;="&amp;K955,$I$2:$I$5001)/MAX(1,SUM($H$2:$H$5001)),"")</f>
        <v/>
      </c>
      <c r="M955" s="47" t="str">
        <f aca="false">IF($A955="","",INDEX($L$2:$L$5001,MATCH($A955,$A$2:$A$5001,0)))</f>
        <v/>
      </c>
      <c r="N955" s="48" t="str">
        <f aca="false">IF($A955="","",IF(N(M955)=0,"–",IF(M955&lt;=Start!$D$20,"A",IF(M955&lt;=Start!$D$21,"B","C"))))</f>
        <v/>
      </c>
      <c r="O955" s="48" t="str">
        <f aca="false">IF($A955="","",IF(NOT(ISNUMBER(F955)),"Wert fehlt; ",IF(F955&lt;=0,"Wert ist 0; ",""))&amp;IF(NOT(ISNUMBER(E955)),"Bestand fehlt; ",IF(E955&lt;0,"Bestand negativ; ",IF(E955=0,"Nullbestand; ","")))&amp;IF(D955="","Warengruppe fehlt; ","")&amp;IF(B955="","Bezeichnung fehlt; ","")&amp;IF(COUNTIFS($A$2:$A$5001,$A955,$C$2:$C$5001,C955)&gt;1,"Artikel doppelt im selben Lager; ",""))</f>
        <v/>
      </c>
      <c r="P955" s="47" t="n">
        <f aca="false">IF(OR($A955="",D955=""),0,IF(COUNTIF($D$2:D955,D955)=1,SUMIF($D$2:$D$5001,D955,$H$2:$H$5001)+ROW()/10000000,0))</f>
        <v>0</v>
      </c>
      <c r="Q955" s="47" t="n">
        <f aca="false">IF(OR($A955="",C955=""),0,IF(COUNTIF($C$2:C955,C955)=1,SUMIF($C$2:$C$5001,C955,$H$2:$H$5001)+ROW()/10000000,0))</f>
        <v>0</v>
      </c>
    </row>
    <row r="956" customFormat="false" ht="15" hidden="false" customHeight="false" outlineLevel="0" collapsed="false">
      <c r="A956" s="43"/>
      <c r="B956" s="44"/>
      <c r="C956" s="44"/>
      <c r="D956" s="44"/>
      <c r="E956" s="44"/>
      <c r="F956" s="44"/>
      <c r="G956" s="44"/>
      <c r="H956" s="46" t="str">
        <f aca="false">IF($A956="","",IF(OR(NOT(ISNUMBER(E956)),NOT(ISNUMBER(F956))),"",MAX(0,E956)*F956))</f>
        <v/>
      </c>
      <c r="I956" s="46" t="str">
        <f aca="false">IF($A956="","",SUMIF($A$2:$A$5001,$A956,$H$2:$H$5001))</f>
        <v/>
      </c>
      <c r="J956" s="47" t="n">
        <f aca="false">IF($A956="",0,IF(COUNTIF($A$2:A956,$A956)=1,1,0))</f>
        <v>0</v>
      </c>
      <c r="K956" s="47" t="n">
        <f aca="false">IF(J956=1,N(I956)+ROW()/10000000,0)</f>
        <v>0</v>
      </c>
      <c r="L956" s="47" t="str">
        <f aca="false">IF(AND(J956=1,N(I956)&gt;0),SUMIF($K$2:$K$5001,"&gt;="&amp;K956,$I$2:$I$5001)/MAX(1,SUM($H$2:$H$5001)),"")</f>
        <v/>
      </c>
      <c r="M956" s="47" t="str">
        <f aca="false">IF($A956="","",INDEX($L$2:$L$5001,MATCH($A956,$A$2:$A$5001,0)))</f>
        <v/>
      </c>
      <c r="N956" s="48" t="str">
        <f aca="false">IF($A956="","",IF(N(M956)=0,"–",IF(M956&lt;=Start!$D$20,"A",IF(M956&lt;=Start!$D$21,"B","C"))))</f>
        <v/>
      </c>
      <c r="O956" s="48" t="str">
        <f aca="false">IF($A956="","",IF(NOT(ISNUMBER(F956)),"Wert fehlt; ",IF(F956&lt;=0,"Wert ist 0; ",""))&amp;IF(NOT(ISNUMBER(E956)),"Bestand fehlt; ",IF(E956&lt;0,"Bestand negativ; ",IF(E956=0,"Nullbestand; ","")))&amp;IF(D956="","Warengruppe fehlt; ","")&amp;IF(B956="","Bezeichnung fehlt; ","")&amp;IF(COUNTIFS($A$2:$A$5001,$A956,$C$2:$C$5001,C956)&gt;1,"Artikel doppelt im selben Lager; ",""))</f>
        <v/>
      </c>
      <c r="P956" s="47" t="n">
        <f aca="false">IF(OR($A956="",D956=""),0,IF(COUNTIF($D$2:D956,D956)=1,SUMIF($D$2:$D$5001,D956,$H$2:$H$5001)+ROW()/10000000,0))</f>
        <v>0</v>
      </c>
      <c r="Q956" s="47" t="n">
        <f aca="false">IF(OR($A956="",C956=""),0,IF(COUNTIF($C$2:C956,C956)=1,SUMIF($C$2:$C$5001,C956,$H$2:$H$5001)+ROW()/10000000,0))</f>
        <v>0</v>
      </c>
    </row>
    <row r="957" customFormat="false" ht="15" hidden="false" customHeight="false" outlineLevel="0" collapsed="false">
      <c r="A957" s="43"/>
      <c r="B957" s="44"/>
      <c r="C957" s="44"/>
      <c r="D957" s="44"/>
      <c r="E957" s="44"/>
      <c r="F957" s="44"/>
      <c r="G957" s="44"/>
      <c r="H957" s="46" t="str">
        <f aca="false">IF($A957="","",IF(OR(NOT(ISNUMBER(E957)),NOT(ISNUMBER(F957))),"",MAX(0,E957)*F957))</f>
        <v/>
      </c>
      <c r="I957" s="46" t="str">
        <f aca="false">IF($A957="","",SUMIF($A$2:$A$5001,$A957,$H$2:$H$5001))</f>
        <v/>
      </c>
      <c r="J957" s="47" t="n">
        <f aca="false">IF($A957="",0,IF(COUNTIF($A$2:A957,$A957)=1,1,0))</f>
        <v>0</v>
      </c>
      <c r="K957" s="47" t="n">
        <f aca="false">IF(J957=1,N(I957)+ROW()/10000000,0)</f>
        <v>0</v>
      </c>
      <c r="L957" s="47" t="str">
        <f aca="false">IF(AND(J957=1,N(I957)&gt;0),SUMIF($K$2:$K$5001,"&gt;="&amp;K957,$I$2:$I$5001)/MAX(1,SUM($H$2:$H$5001)),"")</f>
        <v/>
      </c>
      <c r="M957" s="47" t="str">
        <f aca="false">IF($A957="","",INDEX($L$2:$L$5001,MATCH($A957,$A$2:$A$5001,0)))</f>
        <v/>
      </c>
      <c r="N957" s="48" t="str">
        <f aca="false">IF($A957="","",IF(N(M957)=0,"–",IF(M957&lt;=Start!$D$20,"A",IF(M957&lt;=Start!$D$21,"B","C"))))</f>
        <v/>
      </c>
      <c r="O957" s="48" t="str">
        <f aca="false">IF($A957="","",IF(NOT(ISNUMBER(F957)),"Wert fehlt; ",IF(F957&lt;=0,"Wert ist 0; ",""))&amp;IF(NOT(ISNUMBER(E957)),"Bestand fehlt; ",IF(E957&lt;0,"Bestand negativ; ",IF(E957=0,"Nullbestand; ","")))&amp;IF(D957="","Warengruppe fehlt; ","")&amp;IF(B957="","Bezeichnung fehlt; ","")&amp;IF(COUNTIFS($A$2:$A$5001,$A957,$C$2:$C$5001,C957)&gt;1,"Artikel doppelt im selben Lager; ",""))</f>
        <v/>
      </c>
      <c r="P957" s="47" t="n">
        <f aca="false">IF(OR($A957="",D957=""),0,IF(COUNTIF($D$2:D957,D957)=1,SUMIF($D$2:$D$5001,D957,$H$2:$H$5001)+ROW()/10000000,0))</f>
        <v>0</v>
      </c>
      <c r="Q957" s="47" t="n">
        <f aca="false">IF(OR($A957="",C957=""),0,IF(COUNTIF($C$2:C957,C957)=1,SUMIF($C$2:$C$5001,C957,$H$2:$H$5001)+ROW()/10000000,0))</f>
        <v>0</v>
      </c>
    </row>
    <row r="958" customFormat="false" ht="15" hidden="false" customHeight="false" outlineLevel="0" collapsed="false">
      <c r="A958" s="43"/>
      <c r="B958" s="44"/>
      <c r="C958" s="44"/>
      <c r="D958" s="44"/>
      <c r="E958" s="44"/>
      <c r="F958" s="44"/>
      <c r="G958" s="44"/>
      <c r="H958" s="46" t="str">
        <f aca="false">IF($A958="","",IF(OR(NOT(ISNUMBER(E958)),NOT(ISNUMBER(F958))),"",MAX(0,E958)*F958))</f>
        <v/>
      </c>
      <c r="I958" s="46" t="str">
        <f aca="false">IF($A958="","",SUMIF($A$2:$A$5001,$A958,$H$2:$H$5001))</f>
        <v/>
      </c>
      <c r="J958" s="47" t="n">
        <f aca="false">IF($A958="",0,IF(COUNTIF($A$2:A958,$A958)=1,1,0))</f>
        <v>0</v>
      </c>
      <c r="K958" s="47" t="n">
        <f aca="false">IF(J958=1,N(I958)+ROW()/10000000,0)</f>
        <v>0</v>
      </c>
      <c r="L958" s="47" t="str">
        <f aca="false">IF(AND(J958=1,N(I958)&gt;0),SUMIF($K$2:$K$5001,"&gt;="&amp;K958,$I$2:$I$5001)/MAX(1,SUM($H$2:$H$5001)),"")</f>
        <v/>
      </c>
      <c r="M958" s="47" t="str">
        <f aca="false">IF($A958="","",INDEX($L$2:$L$5001,MATCH($A958,$A$2:$A$5001,0)))</f>
        <v/>
      </c>
      <c r="N958" s="48" t="str">
        <f aca="false">IF($A958="","",IF(N(M958)=0,"–",IF(M958&lt;=Start!$D$20,"A",IF(M958&lt;=Start!$D$21,"B","C"))))</f>
        <v/>
      </c>
      <c r="O958" s="48" t="str">
        <f aca="false">IF($A958="","",IF(NOT(ISNUMBER(F958)),"Wert fehlt; ",IF(F958&lt;=0,"Wert ist 0; ",""))&amp;IF(NOT(ISNUMBER(E958)),"Bestand fehlt; ",IF(E958&lt;0,"Bestand negativ; ",IF(E958=0,"Nullbestand; ","")))&amp;IF(D958="","Warengruppe fehlt; ","")&amp;IF(B958="","Bezeichnung fehlt; ","")&amp;IF(COUNTIFS($A$2:$A$5001,$A958,$C$2:$C$5001,C958)&gt;1,"Artikel doppelt im selben Lager; ",""))</f>
        <v/>
      </c>
      <c r="P958" s="47" t="n">
        <f aca="false">IF(OR($A958="",D958=""),0,IF(COUNTIF($D$2:D958,D958)=1,SUMIF($D$2:$D$5001,D958,$H$2:$H$5001)+ROW()/10000000,0))</f>
        <v>0</v>
      </c>
      <c r="Q958" s="47" t="n">
        <f aca="false">IF(OR($A958="",C958=""),0,IF(COUNTIF($C$2:C958,C958)=1,SUMIF($C$2:$C$5001,C958,$H$2:$H$5001)+ROW()/10000000,0))</f>
        <v>0</v>
      </c>
    </row>
    <row r="959" customFormat="false" ht="15" hidden="false" customHeight="false" outlineLevel="0" collapsed="false">
      <c r="A959" s="43"/>
      <c r="B959" s="44"/>
      <c r="C959" s="44"/>
      <c r="D959" s="44"/>
      <c r="E959" s="44"/>
      <c r="F959" s="44"/>
      <c r="G959" s="44"/>
      <c r="H959" s="46" t="str">
        <f aca="false">IF($A959="","",IF(OR(NOT(ISNUMBER(E959)),NOT(ISNUMBER(F959))),"",MAX(0,E959)*F959))</f>
        <v/>
      </c>
      <c r="I959" s="46" t="str">
        <f aca="false">IF($A959="","",SUMIF($A$2:$A$5001,$A959,$H$2:$H$5001))</f>
        <v/>
      </c>
      <c r="J959" s="47" t="n">
        <f aca="false">IF($A959="",0,IF(COUNTIF($A$2:A959,$A959)=1,1,0))</f>
        <v>0</v>
      </c>
      <c r="K959" s="47" t="n">
        <f aca="false">IF(J959=1,N(I959)+ROW()/10000000,0)</f>
        <v>0</v>
      </c>
      <c r="L959" s="47" t="str">
        <f aca="false">IF(AND(J959=1,N(I959)&gt;0),SUMIF($K$2:$K$5001,"&gt;="&amp;K959,$I$2:$I$5001)/MAX(1,SUM($H$2:$H$5001)),"")</f>
        <v/>
      </c>
      <c r="M959" s="47" t="str">
        <f aca="false">IF($A959="","",INDEX($L$2:$L$5001,MATCH($A959,$A$2:$A$5001,0)))</f>
        <v/>
      </c>
      <c r="N959" s="48" t="str">
        <f aca="false">IF($A959="","",IF(N(M959)=0,"–",IF(M959&lt;=Start!$D$20,"A",IF(M959&lt;=Start!$D$21,"B","C"))))</f>
        <v/>
      </c>
      <c r="O959" s="48" t="str">
        <f aca="false">IF($A959="","",IF(NOT(ISNUMBER(F959)),"Wert fehlt; ",IF(F959&lt;=0,"Wert ist 0; ",""))&amp;IF(NOT(ISNUMBER(E959)),"Bestand fehlt; ",IF(E959&lt;0,"Bestand negativ; ",IF(E959=0,"Nullbestand; ","")))&amp;IF(D959="","Warengruppe fehlt; ","")&amp;IF(B959="","Bezeichnung fehlt; ","")&amp;IF(COUNTIFS($A$2:$A$5001,$A959,$C$2:$C$5001,C959)&gt;1,"Artikel doppelt im selben Lager; ",""))</f>
        <v/>
      </c>
      <c r="P959" s="47" t="n">
        <f aca="false">IF(OR($A959="",D959=""),0,IF(COUNTIF($D$2:D959,D959)=1,SUMIF($D$2:$D$5001,D959,$H$2:$H$5001)+ROW()/10000000,0))</f>
        <v>0</v>
      </c>
      <c r="Q959" s="47" t="n">
        <f aca="false">IF(OR($A959="",C959=""),0,IF(COUNTIF($C$2:C959,C959)=1,SUMIF($C$2:$C$5001,C959,$H$2:$H$5001)+ROW()/10000000,0))</f>
        <v>0</v>
      </c>
    </row>
    <row r="960" customFormat="false" ht="15" hidden="false" customHeight="false" outlineLevel="0" collapsed="false">
      <c r="A960" s="43"/>
      <c r="B960" s="44"/>
      <c r="C960" s="44"/>
      <c r="D960" s="44"/>
      <c r="E960" s="44"/>
      <c r="F960" s="44"/>
      <c r="G960" s="44"/>
      <c r="H960" s="46" t="str">
        <f aca="false">IF($A960="","",IF(OR(NOT(ISNUMBER(E960)),NOT(ISNUMBER(F960))),"",MAX(0,E960)*F960))</f>
        <v/>
      </c>
      <c r="I960" s="46" t="str">
        <f aca="false">IF($A960="","",SUMIF($A$2:$A$5001,$A960,$H$2:$H$5001))</f>
        <v/>
      </c>
      <c r="J960" s="47" t="n">
        <f aca="false">IF($A960="",0,IF(COUNTIF($A$2:A960,$A960)=1,1,0))</f>
        <v>0</v>
      </c>
      <c r="K960" s="47" t="n">
        <f aca="false">IF(J960=1,N(I960)+ROW()/10000000,0)</f>
        <v>0</v>
      </c>
      <c r="L960" s="47" t="str">
        <f aca="false">IF(AND(J960=1,N(I960)&gt;0),SUMIF($K$2:$K$5001,"&gt;="&amp;K960,$I$2:$I$5001)/MAX(1,SUM($H$2:$H$5001)),"")</f>
        <v/>
      </c>
      <c r="M960" s="47" t="str">
        <f aca="false">IF($A960="","",INDEX($L$2:$L$5001,MATCH($A960,$A$2:$A$5001,0)))</f>
        <v/>
      </c>
      <c r="N960" s="48" t="str">
        <f aca="false">IF($A960="","",IF(N(M960)=0,"–",IF(M960&lt;=Start!$D$20,"A",IF(M960&lt;=Start!$D$21,"B","C"))))</f>
        <v/>
      </c>
      <c r="O960" s="48" t="str">
        <f aca="false">IF($A960="","",IF(NOT(ISNUMBER(F960)),"Wert fehlt; ",IF(F960&lt;=0,"Wert ist 0; ",""))&amp;IF(NOT(ISNUMBER(E960)),"Bestand fehlt; ",IF(E960&lt;0,"Bestand negativ; ",IF(E960=0,"Nullbestand; ","")))&amp;IF(D960="","Warengruppe fehlt; ","")&amp;IF(B960="","Bezeichnung fehlt; ","")&amp;IF(COUNTIFS($A$2:$A$5001,$A960,$C$2:$C$5001,C960)&gt;1,"Artikel doppelt im selben Lager; ",""))</f>
        <v/>
      </c>
      <c r="P960" s="47" t="n">
        <f aca="false">IF(OR($A960="",D960=""),0,IF(COUNTIF($D$2:D960,D960)=1,SUMIF($D$2:$D$5001,D960,$H$2:$H$5001)+ROW()/10000000,0))</f>
        <v>0</v>
      </c>
      <c r="Q960" s="47" t="n">
        <f aca="false">IF(OR($A960="",C960=""),0,IF(COUNTIF($C$2:C960,C960)=1,SUMIF($C$2:$C$5001,C960,$H$2:$H$5001)+ROW()/10000000,0))</f>
        <v>0</v>
      </c>
    </row>
    <row r="961" customFormat="false" ht="15" hidden="false" customHeight="false" outlineLevel="0" collapsed="false">
      <c r="A961" s="43"/>
      <c r="B961" s="44"/>
      <c r="C961" s="44"/>
      <c r="D961" s="44"/>
      <c r="E961" s="44"/>
      <c r="F961" s="44"/>
      <c r="G961" s="44"/>
      <c r="H961" s="46" t="str">
        <f aca="false">IF($A961="","",IF(OR(NOT(ISNUMBER(E961)),NOT(ISNUMBER(F961))),"",MAX(0,E961)*F961))</f>
        <v/>
      </c>
      <c r="I961" s="46" t="str">
        <f aca="false">IF($A961="","",SUMIF($A$2:$A$5001,$A961,$H$2:$H$5001))</f>
        <v/>
      </c>
      <c r="J961" s="47" t="n">
        <f aca="false">IF($A961="",0,IF(COUNTIF($A$2:A961,$A961)=1,1,0))</f>
        <v>0</v>
      </c>
      <c r="K961" s="47" t="n">
        <f aca="false">IF(J961=1,N(I961)+ROW()/10000000,0)</f>
        <v>0</v>
      </c>
      <c r="L961" s="47" t="str">
        <f aca="false">IF(AND(J961=1,N(I961)&gt;0),SUMIF($K$2:$K$5001,"&gt;="&amp;K961,$I$2:$I$5001)/MAX(1,SUM($H$2:$H$5001)),"")</f>
        <v/>
      </c>
      <c r="M961" s="47" t="str">
        <f aca="false">IF($A961="","",INDEX($L$2:$L$5001,MATCH($A961,$A$2:$A$5001,0)))</f>
        <v/>
      </c>
      <c r="N961" s="48" t="str">
        <f aca="false">IF($A961="","",IF(N(M961)=0,"–",IF(M961&lt;=Start!$D$20,"A",IF(M961&lt;=Start!$D$21,"B","C"))))</f>
        <v/>
      </c>
      <c r="O961" s="48" t="str">
        <f aca="false">IF($A961="","",IF(NOT(ISNUMBER(F961)),"Wert fehlt; ",IF(F961&lt;=0,"Wert ist 0; ",""))&amp;IF(NOT(ISNUMBER(E961)),"Bestand fehlt; ",IF(E961&lt;0,"Bestand negativ; ",IF(E961=0,"Nullbestand; ","")))&amp;IF(D961="","Warengruppe fehlt; ","")&amp;IF(B961="","Bezeichnung fehlt; ","")&amp;IF(COUNTIFS($A$2:$A$5001,$A961,$C$2:$C$5001,C961)&gt;1,"Artikel doppelt im selben Lager; ",""))</f>
        <v/>
      </c>
      <c r="P961" s="47" t="n">
        <f aca="false">IF(OR($A961="",D961=""),0,IF(COUNTIF($D$2:D961,D961)=1,SUMIF($D$2:$D$5001,D961,$H$2:$H$5001)+ROW()/10000000,0))</f>
        <v>0</v>
      </c>
      <c r="Q961" s="47" t="n">
        <f aca="false">IF(OR($A961="",C961=""),0,IF(COUNTIF($C$2:C961,C961)=1,SUMIF($C$2:$C$5001,C961,$H$2:$H$5001)+ROW()/10000000,0))</f>
        <v>0</v>
      </c>
    </row>
    <row r="962" customFormat="false" ht="15" hidden="false" customHeight="false" outlineLevel="0" collapsed="false">
      <c r="A962" s="43"/>
      <c r="B962" s="44"/>
      <c r="C962" s="44"/>
      <c r="D962" s="44"/>
      <c r="E962" s="44"/>
      <c r="F962" s="44"/>
      <c r="G962" s="44"/>
      <c r="H962" s="46" t="str">
        <f aca="false">IF($A962="","",IF(OR(NOT(ISNUMBER(E962)),NOT(ISNUMBER(F962))),"",MAX(0,E962)*F962))</f>
        <v/>
      </c>
      <c r="I962" s="46" t="str">
        <f aca="false">IF($A962="","",SUMIF($A$2:$A$5001,$A962,$H$2:$H$5001))</f>
        <v/>
      </c>
      <c r="J962" s="47" t="n">
        <f aca="false">IF($A962="",0,IF(COUNTIF($A$2:A962,$A962)=1,1,0))</f>
        <v>0</v>
      </c>
      <c r="K962" s="47" t="n">
        <f aca="false">IF(J962=1,N(I962)+ROW()/10000000,0)</f>
        <v>0</v>
      </c>
      <c r="L962" s="47" t="str">
        <f aca="false">IF(AND(J962=1,N(I962)&gt;0),SUMIF($K$2:$K$5001,"&gt;="&amp;K962,$I$2:$I$5001)/MAX(1,SUM($H$2:$H$5001)),"")</f>
        <v/>
      </c>
      <c r="M962" s="47" t="str">
        <f aca="false">IF($A962="","",INDEX($L$2:$L$5001,MATCH($A962,$A$2:$A$5001,0)))</f>
        <v/>
      </c>
      <c r="N962" s="48" t="str">
        <f aca="false">IF($A962="","",IF(N(M962)=0,"–",IF(M962&lt;=Start!$D$20,"A",IF(M962&lt;=Start!$D$21,"B","C"))))</f>
        <v/>
      </c>
      <c r="O962" s="48" t="str">
        <f aca="false">IF($A962="","",IF(NOT(ISNUMBER(F962)),"Wert fehlt; ",IF(F962&lt;=0,"Wert ist 0; ",""))&amp;IF(NOT(ISNUMBER(E962)),"Bestand fehlt; ",IF(E962&lt;0,"Bestand negativ; ",IF(E962=0,"Nullbestand; ","")))&amp;IF(D962="","Warengruppe fehlt; ","")&amp;IF(B962="","Bezeichnung fehlt; ","")&amp;IF(COUNTIFS($A$2:$A$5001,$A962,$C$2:$C$5001,C962)&gt;1,"Artikel doppelt im selben Lager; ",""))</f>
        <v/>
      </c>
      <c r="P962" s="47" t="n">
        <f aca="false">IF(OR($A962="",D962=""),0,IF(COUNTIF($D$2:D962,D962)=1,SUMIF($D$2:$D$5001,D962,$H$2:$H$5001)+ROW()/10000000,0))</f>
        <v>0</v>
      </c>
      <c r="Q962" s="47" t="n">
        <f aca="false">IF(OR($A962="",C962=""),0,IF(COUNTIF($C$2:C962,C962)=1,SUMIF($C$2:$C$5001,C962,$H$2:$H$5001)+ROW()/10000000,0))</f>
        <v>0</v>
      </c>
    </row>
    <row r="963" customFormat="false" ht="15" hidden="false" customHeight="false" outlineLevel="0" collapsed="false">
      <c r="A963" s="43"/>
      <c r="B963" s="44"/>
      <c r="C963" s="44"/>
      <c r="D963" s="44"/>
      <c r="E963" s="44"/>
      <c r="F963" s="44"/>
      <c r="G963" s="44"/>
      <c r="H963" s="46" t="str">
        <f aca="false">IF($A963="","",IF(OR(NOT(ISNUMBER(E963)),NOT(ISNUMBER(F963))),"",MAX(0,E963)*F963))</f>
        <v/>
      </c>
      <c r="I963" s="46" t="str">
        <f aca="false">IF($A963="","",SUMIF($A$2:$A$5001,$A963,$H$2:$H$5001))</f>
        <v/>
      </c>
      <c r="J963" s="47" t="n">
        <f aca="false">IF($A963="",0,IF(COUNTIF($A$2:A963,$A963)=1,1,0))</f>
        <v>0</v>
      </c>
      <c r="K963" s="47" t="n">
        <f aca="false">IF(J963=1,N(I963)+ROW()/10000000,0)</f>
        <v>0</v>
      </c>
      <c r="L963" s="47" t="str">
        <f aca="false">IF(AND(J963=1,N(I963)&gt;0),SUMIF($K$2:$K$5001,"&gt;="&amp;K963,$I$2:$I$5001)/MAX(1,SUM($H$2:$H$5001)),"")</f>
        <v/>
      </c>
      <c r="M963" s="47" t="str">
        <f aca="false">IF($A963="","",INDEX($L$2:$L$5001,MATCH($A963,$A$2:$A$5001,0)))</f>
        <v/>
      </c>
      <c r="N963" s="48" t="str">
        <f aca="false">IF($A963="","",IF(N(M963)=0,"–",IF(M963&lt;=Start!$D$20,"A",IF(M963&lt;=Start!$D$21,"B","C"))))</f>
        <v/>
      </c>
      <c r="O963" s="48" t="str">
        <f aca="false">IF($A963="","",IF(NOT(ISNUMBER(F963)),"Wert fehlt; ",IF(F963&lt;=0,"Wert ist 0; ",""))&amp;IF(NOT(ISNUMBER(E963)),"Bestand fehlt; ",IF(E963&lt;0,"Bestand negativ; ",IF(E963=0,"Nullbestand; ","")))&amp;IF(D963="","Warengruppe fehlt; ","")&amp;IF(B963="","Bezeichnung fehlt; ","")&amp;IF(COUNTIFS($A$2:$A$5001,$A963,$C$2:$C$5001,C963)&gt;1,"Artikel doppelt im selben Lager; ",""))</f>
        <v/>
      </c>
      <c r="P963" s="47" t="n">
        <f aca="false">IF(OR($A963="",D963=""),0,IF(COUNTIF($D$2:D963,D963)=1,SUMIF($D$2:$D$5001,D963,$H$2:$H$5001)+ROW()/10000000,0))</f>
        <v>0</v>
      </c>
      <c r="Q963" s="47" t="n">
        <f aca="false">IF(OR($A963="",C963=""),0,IF(COUNTIF($C$2:C963,C963)=1,SUMIF($C$2:$C$5001,C963,$H$2:$H$5001)+ROW()/10000000,0))</f>
        <v>0</v>
      </c>
    </row>
    <row r="964" customFormat="false" ht="15" hidden="false" customHeight="false" outlineLevel="0" collapsed="false">
      <c r="A964" s="43"/>
      <c r="B964" s="44"/>
      <c r="C964" s="44"/>
      <c r="D964" s="44"/>
      <c r="E964" s="44"/>
      <c r="F964" s="44"/>
      <c r="G964" s="44"/>
      <c r="H964" s="46" t="str">
        <f aca="false">IF($A964="","",IF(OR(NOT(ISNUMBER(E964)),NOT(ISNUMBER(F964))),"",MAX(0,E964)*F964))</f>
        <v/>
      </c>
      <c r="I964" s="46" t="str">
        <f aca="false">IF($A964="","",SUMIF($A$2:$A$5001,$A964,$H$2:$H$5001))</f>
        <v/>
      </c>
      <c r="J964" s="47" t="n">
        <f aca="false">IF($A964="",0,IF(COUNTIF($A$2:A964,$A964)=1,1,0))</f>
        <v>0</v>
      </c>
      <c r="K964" s="47" t="n">
        <f aca="false">IF(J964=1,N(I964)+ROW()/10000000,0)</f>
        <v>0</v>
      </c>
      <c r="L964" s="47" t="str">
        <f aca="false">IF(AND(J964=1,N(I964)&gt;0),SUMIF($K$2:$K$5001,"&gt;="&amp;K964,$I$2:$I$5001)/MAX(1,SUM($H$2:$H$5001)),"")</f>
        <v/>
      </c>
      <c r="M964" s="47" t="str">
        <f aca="false">IF($A964="","",INDEX($L$2:$L$5001,MATCH($A964,$A$2:$A$5001,0)))</f>
        <v/>
      </c>
      <c r="N964" s="48" t="str">
        <f aca="false">IF($A964="","",IF(N(M964)=0,"–",IF(M964&lt;=Start!$D$20,"A",IF(M964&lt;=Start!$D$21,"B","C"))))</f>
        <v/>
      </c>
      <c r="O964" s="48" t="str">
        <f aca="false">IF($A964="","",IF(NOT(ISNUMBER(F964)),"Wert fehlt; ",IF(F964&lt;=0,"Wert ist 0; ",""))&amp;IF(NOT(ISNUMBER(E964)),"Bestand fehlt; ",IF(E964&lt;0,"Bestand negativ; ",IF(E964=0,"Nullbestand; ","")))&amp;IF(D964="","Warengruppe fehlt; ","")&amp;IF(B964="","Bezeichnung fehlt; ","")&amp;IF(COUNTIFS($A$2:$A$5001,$A964,$C$2:$C$5001,C964)&gt;1,"Artikel doppelt im selben Lager; ",""))</f>
        <v/>
      </c>
      <c r="P964" s="47" t="n">
        <f aca="false">IF(OR($A964="",D964=""),0,IF(COUNTIF($D$2:D964,D964)=1,SUMIF($D$2:$D$5001,D964,$H$2:$H$5001)+ROW()/10000000,0))</f>
        <v>0</v>
      </c>
      <c r="Q964" s="47" t="n">
        <f aca="false">IF(OR($A964="",C964=""),0,IF(COUNTIF($C$2:C964,C964)=1,SUMIF($C$2:$C$5001,C964,$H$2:$H$5001)+ROW()/10000000,0))</f>
        <v>0</v>
      </c>
    </row>
    <row r="965" customFormat="false" ht="15" hidden="false" customHeight="false" outlineLevel="0" collapsed="false">
      <c r="A965" s="43"/>
      <c r="B965" s="44"/>
      <c r="C965" s="44"/>
      <c r="D965" s="44"/>
      <c r="E965" s="44"/>
      <c r="F965" s="44"/>
      <c r="G965" s="44"/>
      <c r="H965" s="46" t="str">
        <f aca="false">IF($A965="","",IF(OR(NOT(ISNUMBER(E965)),NOT(ISNUMBER(F965))),"",MAX(0,E965)*F965))</f>
        <v/>
      </c>
      <c r="I965" s="46" t="str">
        <f aca="false">IF($A965="","",SUMIF($A$2:$A$5001,$A965,$H$2:$H$5001))</f>
        <v/>
      </c>
      <c r="J965" s="47" t="n">
        <f aca="false">IF($A965="",0,IF(COUNTIF($A$2:A965,$A965)=1,1,0))</f>
        <v>0</v>
      </c>
      <c r="K965" s="47" t="n">
        <f aca="false">IF(J965=1,N(I965)+ROW()/10000000,0)</f>
        <v>0</v>
      </c>
      <c r="L965" s="47" t="str">
        <f aca="false">IF(AND(J965=1,N(I965)&gt;0),SUMIF($K$2:$K$5001,"&gt;="&amp;K965,$I$2:$I$5001)/MAX(1,SUM($H$2:$H$5001)),"")</f>
        <v/>
      </c>
      <c r="M965" s="47" t="str">
        <f aca="false">IF($A965="","",INDEX($L$2:$L$5001,MATCH($A965,$A$2:$A$5001,0)))</f>
        <v/>
      </c>
      <c r="N965" s="48" t="str">
        <f aca="false">IF($A965="","",IF(N(M965)=0,"–",IF(M965&lt;=Start!$D$20,"A",IF(M965&lt;=Start!$D$21,"B","C"))))</f>
        <v/>
      </c>
      <c r="O965" s="48" t="str">
        <f aca="false">IF($A965="","",IF(NOT(ISNUMBER(F965)),"Wert fehlt; ",IF(F965&lt;=0,"Wert ist 0; ",""))&amp;IF(NOT(ISNUMBER(E965)),"Bestand fehlt; ",IF(E965&lt;0,"Bestand negativ; ",IF(E965=0,"Nullbestand; ","")))&amp;IF(D965="","Warengruppe fehlt; ","")&amp;IF(B965="","Bezeichnung fehlt; ","")&amp;IF(COUNTIFS($A$2:$A$5001,$A965,$C$2:$C$5001,C965)&gt;1,"Artikel doppelt im selben Lager; ",""))</f>
        <v/>
      </c>
      <c r="P965" s="47" t="n">
        <f aca="false">IF(OR($A965="",D965=""),0,IF(COUNTIF($D$2:D965,D965)=1,SUMIF($D$2:$D$5001,D965,$H$2:$H$5001)+ROW()/10000000,0))</f>
        <v>0</v>
      </c>
      <c r="Q965" s="47" t="n">
        <f aca="false">IF(OR($A965="",C965=""),0,IF(COUNTIF($C$2:C965,C965)=1,SUMIF($C$2:$C$5001,C965,$H$2:$H$5001)+ROW()/10000000,0))</f>
        <v>0</v>
      </c>
    </row>
    <row r="966" customFormat="false" ht="15" hidden="false" customHeight="false" outlineLevel="0" collapsed="false">
      <c r="A966" s="43"/>
      <c r="B966" s="44"/>
      <c r="C966" s="44"/>
      <c r="D966" s="44"/>
      <c r="E966" s="44"/>
      <c r="F966" s="44"/>
      <c r="G966" s="44"/>
      <c r="H966" s="46" t="str">
        <f aca="false">IF($A966="","",IF(OR(NOT(ISNUMBER(E966)),NOT(ISNUMBER(F966))),"",MAX(0,E966)*F966))</f>
        <v/>
      </c>
      <c r="I966" s="46" t="str">
        <f aca="false">IF($A966="","",SUMIF($A$2:$A$5001,$A966,$H$2:$H$5001))</f>
        <v/>
      </c>
      <c r="J966" s="47" t="n">
        <f aca="false">IF($A966="",0,IF(COUNTIF($A$2:A966,$A966)=1,1,0))</f>
        <v>0</v>
      </c>
      <c r="K966" s="47" t="n">
        <f aca="false">IF(J966=1,N(I966)+ROW()/10000000,0)</f>
        <v>0</v>
      </c>
      <c r="L966" s="47" t="str">
        <f aca="false">IF(AND(J966=1,N(I966)&gt;0),SUMIF($K$2:$K$5001,"&gt;="&amp;K966,$I$2:$I$5001)/MAX(1,SUM($H$2:$H$5001)),"")</f>
        <v/>
      </c>
      <c r="M966" s="47" t="str">
        <f aca="false">IF($A966="","",INDEX($L$2:$L$5001,MATCH($A966,$A$2:$A$5001,0)))</f>
        <v/>
      </c>
      <c r="N966" s="48" t="str">
        <f aca="false">IF($A966="","",IF(N(M966)=0,"–",IF(M966&lt;=Start!$D$20,"A",IF(M966&lt;=Start!$D$21,"B","C"))))</f>
        <v/>
      </c>
      <c r="O966" s="48" t="str">
        <f aca="false">IF($A966="","",IF(NOT(ISNUMBER(F966)),"Wert fehlt; ",IF(F966&lt;=0,"Wert ist 0; ",""))&amp;IF(NOT(ISNUMBER(E966)),"Bestand fehlt; ",IF(E966&lt;0,"Bestand negativ; ",IF(E966=0,"Nullbestand; ","")))&amp;IF(D966="","Warengruppe fehlt; ","")&amp;IF(B966="","Bezeichnung fehlt; ","")&amp;IF(COUNTIFS($A$2:$A$5001,$A966,$C$2:$C$5001,C966)&gt;1,"Artikel doppelt im selben Lager; ",""))</f>
        <v/>
      </c>
      <c r="P966" s="47" t="n">
        <f aca="false">IF(OR($A966="",D966=""),0,IF(COUNTIF($D$2:D966,D966)=1,SUMIF($D$2:$D$5001,D966,$H$2:$H$5001)+ROW()/10000000,0))</f>
        <v>0</v>
      </c>
      <c r="Q966" s="47" t="n">
        <f aca="false">IF(OR($A966="",C966=""),0,IF(COUNTIF($C$2:C966,C966)=1,SUMIF($C$2:$C$5001,C966,$H$2:$H$5001)+ROW()/10000000,0))</f>
        <v>0</v>
      </c>
    </row>
    <row r="967" customFormat="false" ht="15" hidden="false" customHeight="false" outlineLevel="0" collapsed="false">
      <c r="A967" s="43"/>
      <c r="B967" s="44"/>
      <c r="C967" s="44"/>
      <c r="D967" s="44"/>
      <c r="E967" s="44"/>
      <c r="F967" s="44"/>
      <c r="G967" s="44"/>
      <c r="H967" s="46" t="str">
        <f aca="false">IF($A967="","",IF(OR(NOT(ISNUMBER(E967)),NOT(ISNUMBER(F967))),"",MAX(0,E967)*F967))</f>
        <v/>
      </c>
      <c r="I967" s="46" t="str">
        <f aca="false">IF($A967="","",SUMIF($A$2:$A$5001,$A967,$H$2:$H$5001))</f>
        <v/>
      </c>
      <c r="J967" s="47" t="n">
        <f aca="false">IF($A967="",0,IF(COUNTIF($A$2:A967,$A967)=1,1,0))</f>
        <v>0</v>
      </c>
      <c r="K967" s="47" t="n">
        <f aca="false">IF(J967=1,N(I967)+ROW()/10000000,0)</f>
        <v>0</v>
      </c>
      <c r="L967" s="47" t="str">
        <f aca="false">IF(AND(J967=1,N(I967)&gt;0),SUMIF($K$2:$K$5001,"&gt;="&amp;K967,$I$2:$I$5001)/MAX(1,SUM($H$2:$H$5001)),"")</f>
        <v/>
      </c>
      <c r="M967" s="47" t="str">
        <f aca="false">IF($A967="","",INDEX($L$2:$L$5001,MATCH($A967,$A$2:$A$5001,0)))</f>
        <v/>
      </c>
      <c r="N967" s="48" t="str">
        <f aca="false">IF($A967="","",IF(N(M967)=0,"–",IF(M967&lt;=Start!$D$20,"A",IF(M967&lt;=Start!$D$21,"B","C"))))</f>
        <v/>
      </c>
      <c r="O967" s="48" t="str">
        <f aca="false">IF($A967="","",IF(NOT(ISNUMBER(F967)),"Wert fehlt; ",IF(F967&lt;=0,"Wert ist 0; ",""))&amp;IF(NOT(ISNUMBER(E967)),"Bestand fehlt; ",IF(E967&lt;0,"Bestand negativ; ",IF(E967=0,"Nullbestand; ","")))&amp;IF(D967="","Warengruppe fehlt; ","")&amp;IF(B967="","Bezeichnung fehlt; ","")&amp;IF(COUNTIFS($A$2:$A$5001,$A967,$C$2:$C$5001,C967)&gt;1,"Artikel doppelt im selben Lager; ",""))</f>
        <v/>
      </c>
      <c r="P967" s="47" t="n">
        <f aca="false">IF(OR($A967="",D967=""),0,IF(COUNTIF($D$2:D967,D967)=1,SUMIF($D$2:$D$5001,D967,$H$2:$H$5001)+ROW()/10000000,0))</f>
        <v>0</v>
      </c>
      <c r="Q967" s="47" t="n">
        <f aca="false">IF(OR($A967="",C967=""),0,IF(COUNTIF($C$2:C967,C967)=1,SUMIF($C$2:$C$5001,C967,$H$2:$H$5001)+ROW()/10000000,0))</f>
        <v>0</v>
      </c>
    </row>
    <row r="968" customFormat="false" ht="15" hidden="false" customHeight="false" outlineLevel="0" collapsed="false">
      <c r="A968" s="43"/>
      <c r="B968" s="44"/>
      <c r="C968" s="44"/>
      <c r="D968" s="44"/>
      <c r="E968" s="44"/>
      <c r="F968" s="44"/>
      <c r="G968" s="44"/>
      <c r="H968" s="46" t="str">
        <f aca="false">IF($A968="","",IF(OR(NOT(ISNUMBER(E968)),NOT(ISNUMBER(F968))),"",MAX(0,E968)*F968))</f>
        <v/>
      </c>
      <c r="I968" s="46" t="str">
        <f aca="false">IF($A968="","",SUMIF($A$2:$A$5001,$A968,$H$2:$H$5001))</f>
        <v/>
      </c>
      <c r="J968" s="47" t="n">
        <f aca="false">IF($A968="",0,IF(COUNTIF($A$2:A968,$A968)=1,1,0))</f>
        <v>0</v>
      </c>
      <c r="K968" s="47" t="n">
        <f aca="false">IF(J968=1,N(I968)+ROW()/10000000,0)</f>
        <v>0</v>
      </c>
      <c r="L968" s="47" t="str">
        <f aca="false">IF(AND(J968=1,N(I968)&gt;0),SUMIF($K$2:$K$5001,"&gt;="&amp;K968,$I$2:$I$5001)/MAX(1,SUM($H$2:$H$5001)),"")</f>
        <v/>
      </c>
      <c r="M968" s="47" t="str">
        <f aca="false">IF($A968="","",INDEX($L$2:$L$5001,MATCH($A968,$A$2:$A$5001,0)))</f>
        <v/>
      </c>
      <c r="N968" s="48" t="str">
        <f aca="false">IF($A968="","",IF(N(M968)=0,"–",IF(M968&lt;=Start!$D$20,"A",IF(M968&lt;=Start!$D$21,"B","C"))))</f>
        <v/>
      </c>
      <c r="O968" s="48" t="str">
        <f aca="false">IF($A968="","",IF(NOT(ISNUMBER(F968)),"Wert fehlt; ",IF(F968&lt;=0,"Wert ist 0; ",""))&amp;IF(NOT(ISNUMBER(E968)),"Bestand fehlt; ",IF(E968&lt;0,"Bestand negativ; ",IF(E968=0,"Nullbestand; ","")))&amp;IF(D968="","Warengruppe fehlt; ","")&amp;IF(B968="","Bezeichnung fehlt; ","")&amp;IF(COUNTIFS($A$2:$A$5001,$A968,$C$2:$C$5001,C968)&gt;1,"Artikel doppelt im selben Lager; ",""))</f>
        <v/>
      </c>
      <c r="P968" s="47" t="n">
        <f aca="false">IF(OR($A968="",D968=""),0,IF(COUNTIF($D$2:D968,D968)=1,SUMIF($D$2:$D$5001,D968,$H$2:$H$5001)+ROW()/10000000,0))</f>
        <v>0</v>
      </c>
      <c r="Q968" s="47" t="n">
        <f aca="false">IF(OR($A968="",C968=""),0,IF(COUNTIF($C$2:C968,C968)=1,SUMIF($C$2:$C$5001,C968,$H$2:$H$5001)+ROW()/10000000,0))</f>
        <v>0</v>
      </c>
    </row>
    <row r="969" customFormat="false" ht="15" hidden="false" customHeight="false" outlineLevel="0" collapsed="false">
      <c r="A969" s="43"/>
      <c r="B969" s="44"/>
      <c r="C969" s="44"/>
      <c r="D969" s="44"/>
      <c r="E969" s="44"/>
      <c r="F969" s="44"/>
      <c r="G969" s="44"/>
      <c r="H969" s="46" t="str">
        <f aca="false">IF($A969="","",IF(OR(NOT(ISNUMBER(E969)),NOT(ISNUMBER(F969))),"",MAX(0,E969)*F969))</f>
        <v/>
      </c>
      <c r="I969" s="46" t="str">
        <f aca="false">IF($A969="","",SUMIF($A$2:$A$5001,$A969,$H$2:$H$5001))</f>
        <v/>
      </c>
      <c r="J969" s="47" t="n">
        <f aca="false">IF($A969="",0,IF(COUNTIF($A$2:A969,$A969)=1,1,0))</f>
        <v>0</v>
      </c>
      <c r="K969" s="47" t="n">
        <f aca="false">IF(J969=1,N(I969)+ROW()/10000000,0)</f>
        <v>0</v>
      </c>
      <c r="L969" s="47" t="str">
        <f aca="false">IF(AND(J969=1,N(I969)&gt;0),SUMIF($K$2:$K$5001,"&gt;="&amp;K969,$I$2:$I$5001)/MAX(1,SUM($H$2:$H$5001)),"")</f>
        <v/>
      </c>
      <c r="M969" s="47" t="str">
        <f aca="false">IF($A969="","",INDEX($L$2:$L$5001,MATCH($A969,$A$2:$A$5001,0)))</f>
        <v/>
      </c>
      <c r="N969" s="48" t="str">
        <f aca="false">IF($A969="","",IF(N(M969)=0,"–",IF(M969&lt;=Start!$D$20,"A",IF(M969&lt;=Start!$D$21,"B","C"))))</f>
        <v/>
      </c>
      <c r="O969" s="48" t="str">
        <f aca="false">IF($A969="","",IF(NOT(ISNUMBER(F969)),"Wert fehlt; ",IF(F969&lt;=0,"Wert ist 0; ",""))&amp;IF(NOT(ISNUMBER(E969)),"Bestand fehlt; ",IF(E969&lt;0,"Bestand negativ; ",IF(E969=0,"Nullbestand; ","")))&amp;IF(D969="","Warengruppe fehlt; ","")&amp;IF(B969="","Bezeichnung fehlt; ","")&amp;IF(COUNTIFS($A$2:$A$5001,$A969,$C$2:$C$5001,C969)&gt;1,"Artikel doppelt im selben Lager; ",""))</f>
        <v/>
      </c>
      <c r="P969" s="47" t="n">
        <f aca="false">IF(OR($A969="",D969=""),0,IF(COUNTIF($D$2:D969,D969)=1,SUMIF($D$2:$D$5001,D969,$H$2:$H$5001)+ROW()/10000000,0))</f>
        <v>0</v>
      </c>
      <c r="Q969" s="47" t="n">
        <f aca="false">IF(OR($A969="",C969=""),0,IF(COUNTIF($C$2:C969,C969)=1,SUMIF($C$2:$C$5001,C969,$H$2:$H$5001)+ROW()/10000000,0))</f>
        <v>0</v>
      </c>
    </row>
    <row r="970" customFormat="false" ht="15" hidden="false" customHeight="false" outlineLevel="0" collapsed="false">
      <c r="A970" s="43"/>
      <c r="B970" s="44"/>
      <c r="C970" s="44"/>
      <c r="D970" s="44"/>
      <c r="E970" s="44"/>
      <c r="F970" s="44"/>
      <c r="G970" s="44"/>
      <c r="H970" s="46" t="str">
        <f aca="false">IF($A970="","",IF(OR(NOT(ISNUMBER(E970)),NOT(ISNUMBER(F970))),"",MAX(0,E970)*F970))</f>
        <v/>
      </c>
      <c r="I970" s="46" t="str">
        <f aca="false">IF($A970="","",SUMIF($A$2:$A$5001,$A970,$H$2:$H$5001))</f>
        <v/>
      </c>
      <c r="J970" s="47" t="n">
        <f aca="false">IF($A970="",0,IF(COUNTIF($A$2:A970,$A970)=1,1,0))</f>
        <v>0</v>
      </c>
      <c r="K970" s="47" t="n">
        <f aca="false">IF(J970=1,N(I970)+ROW()/10000000,0)</f>
        <v>0</v>
      </c>
      <c r="L970" s="47" t="str">
        <f aca="false">IF(AND(J970=1,N(I970)&gt;0),SUMIF($K$2:$K$5001,"&gt;="&amp;K970,$I$2:$I$5001)/MAX(1,SUM($H$2:$H$5001)),"")</f>
        <v/>
      </c>
      <c r="M970" s="47" t="str">
        <f aca="false">IF($A970="","",INDEX($L$2:$L$5001,MATCH($A970,$A$2:$A$5001,0)))</f>
        <v/>
      </c>
      <c r="N970" s="48" t="str">
        <f aca="false">IF($A970="","",IF(N(M970)=0,"–",IF(M970&lt;=Start!$D$20,"A",IF(M970&lt;=Start!$D$21,"B","C"))))</f>
        <v/>
      </c>
      <c r="O970" s="48" t="str">
        <f aca="false">IF($A970="","",IF(NOT(ISNUMBER(F970)),"Wert fehlt; ",IF(F970&lt;=0,"Wert ist 0; ",""))&amp;IF(NOT(ISNUMBER(E970)),"Bestand fehlt; ",IF(E970&lt;0,"Bestand negativ; ",IF(E970=0,"Nullbestand; ","")))&amp;IF(D970="","Warengruppe fehlt; ","")&amp;IF(B970="","Bezeichnung fehlt; ","")&amp;IF(COUNTIFS($A$2:$A$5001,$A970,$C$2:$C$5001,C970)&gt;1,"Artikel doppelt im selben Lager; ",""))</f>
        <v/>
      </c>
      <c r="P970" s="47" t="n">
        <f aca="false">IF(OR($A970="",D970=""),0,IF(COUNTIF($D$2:D970,D970)=1,SUMIF($D$2:$D$5001,D970,$H$2:$H$5001)+ROW()/10000000,0))</f>
        <v>0</v>
      </c>
      <c r="Q970" s="47" t="n">
        <f aca="false">IF(OR($A970="",C970=""),0,IF(COUNTIF($C$2:C970,C970)=1,SUMIF($C$2:$C$5001,C970,$H$2:$H$5001)+ROW()/10000000,0))</f>
        <v>0</v>
      </c>
    </row>
    <row r="971" customFormat="false" ht="15" hidden="false" customHeight="false" outlineLevel="0" collapsed="false">
      <c r="A971" s="43"/>
      <c r="B971" s="44"/>
      <c r="C971" s="44"/>
      <c r="D971" s="44"/>
      <c r="E971" s="44"/>
      <c r="F971" s="44"/>
      <c r="G971" s="44"/>
      <c r="H971" s="46" t="str">
        <f aca="false">IF($A971="","",IF(OR(NOT(ISNUMBER(E971)),NOT(ISNUMBER(F971))),"",MAX(0,E971)*F971))</f>
        <v/>
      </c>
      <c r="I971" s="46" t="str">
        <f aca="false">IF($A971="","",SUMIF($A$2:$A$5001,$A971,$H$2:$H$5001))</f>
        <v/>
      </c>
      <c r="J971" s="47" t="n">
        <f aca="false">IF($A971="",0,IF(COUNTIF($A$2:A971,$A971)=1,1,0))</f>
        <v>0</v>
      </c>
      <c r="K971" s="47" t="n">
        <f aca="false">IF(J971=1,N(I971)+ROW()/10000000,0)</f>
        <v>0</v>
      </c>
      <c r="L971" s="47" t="str">
        <f aca="false">IF(AND(J971=1,N(I971)&gt;0),SUMIF($K$2:$K$5001,"&gt;="&amp;K971,$I$2:$I$5001)/MAX(1,SUM($H$2:$H$5001)),"")</f>
        <v/>
      </c>
      <c r="M971" s="47" t="str">
        <f aca="false">IF($A971="","",INDEX($L$2:$L$5001,MATCH($A971,$A$2:$A$5001,0)))</f>
        <v/>
      </c>
      <c r="N971" s="48" t="str">
        <f aca="false">IF($A971="","",IF(N(M971)=0,"–",IF(M971&lt;=Start!$D$20,"A",IF(M971&lt;=Start!$D$21,"B","C"))))</f>
        <v/>
      </c>
      <c r="O971" s="48" t="str">
        <f aca="false">IF($A971="","",IF(NOT(ISNUMBER(F971)),"Wert fehlt; ",IF(F971&lt;=0,"Wert ist 0; ",""))&amp;IF(NOT(ISNUMBER(E971)),"Bestand fehlt; ",IF(E971&lt;0,"Bestand negativ; ",IF(E971=0,"Nullbestand; ","")))&amp;IF(D971="","Warengruppe fehlt; ","")&amp;IF(B971="","Bezeichnung fehlt; ","")&amp;IF(COUNTIFS($A$2:$A$5001,$A971,$C$2:$C$5001,C971)&gt;1,"Artikel doppelt im selben Lager; ",""))</f>
        <v/>
      </c>
      <c r="P971" s="47" t="n">
        <f aca="false">IF(OR($A971="",D971=""),0,IF(COUNTIF($D$2:D971,D971)=1,SUMIF($D$2:$D$5001,D971,$H$2:$H$5001)+ROW()/10000000,0))</f>
        <v>0</v>
      </c>
      <c r="Q971" s="47" t="n">
        <f aca="false">IF(OR($A971="",C971=""),0,IF(COUNTIF($C$2:C971,C971)=1,SUMIF($C$2:$C$5001,C971,$H$2:$H$5001)+ROW()/10000000,0))</f>
        <v>0</v>
      </c>
    </row>
    <row r="972" customFormat="false" ht="15" hidden="false" customHeight="false" outlineLevel="0" collapsed="false">
      <c r="A972" s="43"/>
      <c r="B972" s="44"/>
      <c r="C972" s="44"/>
      <c r="D972" s="44"/>
      <c r="E972" s="44"/>
      <c r="F972" s="44"/>
      <c r="G972" s="44"/>
      <c r="H972" s="46" t="str">
        <f aca="false">IF($A972="","",IF(OR(NOT(ISNUMBER(E972)),NOT(ISNUMBER(F972))),"",MAX(0,E972)*F972))</f>
        <v/>
      </c>
      <c r="I972" s="46" t="str">
        <f aca="false">IF($A972="","",SUMIF($A$2:$A$5001,$A972,$H$2:$H$5001))</f>
        <v/>
      </c>
      <c r="J972" s="47" t="n">
        <f aca="false">IF($A972="",0,IF(COUNTIF($A$2:A972,$A972)=1,1,0))</f>
        <v>0</v>
      </c>
      <c r="K972" s="47" t="n">
        <f aca="false">IF(J972=1,N(I972)+ROW()/10000000,0)</f>
        <v>0</v>
      </c>
      <c r="L972" s="47" t="str">
        <f aca="false">IF(AND(J972=1,N(I972)&gt;0),SUMIF($K$2:$K$5001,"&gt;="&amp;K972,$I$2:$I$5001)/MAX(1,SUM($H$2:$H$5001)),"")</f>
        <v/>
      </c>
      <c r="M972" s="47" t="str">
        <f aca="false">IF($A972="","",INDEX($L$2:$L$5001,MATCH($A972,$A$2:$A$5001,0)))</f>
        <v/>
      </c>
      <c r="N972" s="48" t="str">
        <f aca="false">IF($A972="","",IF(N(M972)=0,"–",IF(M972&lt;=Start!$D$20,"A",IF(M972&lt;=Start!$D$21,"B","C"))))</f>
        <v/>
      </c>
      <c r="O972" s="48" t="str">
        <f aca="false">IF($A972="","",IF(NOT(ISNUMBER(F972)),"Wert fehlt; ",IF(F972&lt;=0,"Wert ist 0; ",""))&amp;IF(NOT(ISNUMBER(E972)),"Bestand fehlt; ",IF(E972&lt;0,"Bestand negativ; ",IF(E972=0,"Nullbestand; ","")))&amp;IF(D972="","Warengruppe fehlt; ","")&amp;IF(B972="","Bezeichnung fehlt; ","")&amp;IF(COUNTIFS($A$2:$A$5001,$A972,$C$2:$C$5001,C972)&gt;1,"Artikel doppelt im selben Lager; ",""))</f>
        <v/>
      </c>
      <c r="P972" s="47" t="n">
        <f aca="false">IF(OR($A972="",D972=""),0,IF(COUNTIF($D$2:D972,D972)=1,SUMIF($D$2:$D$5001,D972,$H$2:$H$5001)+ROW()/10000000,0))</f>
        <v>0</v>
      </c>
      <c r="Q972" s="47" t="n">
        <f aca="false">IF(OR($A972="",C972=""),0,IF(COUNTIF($C$2:C972,C972)=1,SUMIF($C$2:$C$5001,C972,$H$2:$H$5001)+ROW()/10000000,0))</f>
        <v>0</v>
      </c>
    </row>
    <row r="973" customFormat="false" ht="15" hidden="false" customHeight="false" outlineLevel="0" collapsed="false">
      <c r="A973" s="43"/>
      <c r="B973" s="44"/>
      <c r="C973" s="44"/>
      <c r="D973" s="44"/>
      <c r="E973" s="44"/>
      <c r="F973" s="44"/>
      <c r="G973" s="44"/>
      <c r="H973" s="46" t="str">
        <f aca="false">IF($A973="","",IF(OR(NOT(ISNUMBER(E973)),NOT(ISNUMBER(F973))),"",MAX(0,E973)*F973))</f>
        <v/>
      </c>
      <c r="I973" s="46" t="str">
        <f aca="false">IF($A973="","",SUMIF($A$2:$A$5001,$A973,$H$2:$H$5001))</f>
        <v/>
      </c>
      <c r="J973" s="47" t="n">
        <f aca="false">IF($A973="",0,IF(COUNTIF($A$2:A973,$A973)=1,1,0))</f>
        <v>0</v>
      </c>
      <c r="K973" s="47" t="n">
        <f aca="false">IF(J973=1,N(I973)+ROW()/10000000,0)</f>
        <v>0</v>
      </c>
      <c r="L973" s="47" t="str">
        <f aca="false">IF(AND(J973=1,N(I973)&gt;0),SUMIF($K$2:$K$5001,"&gt;="&amp;K973,$I$2:$I$5001)/MAX(1,SUM($H$2:$H$5001)),"")</f>
        <v/>
      </c>
      <c r="M973" s="47" t="str">
        <f aca="false">IF($A973="","",INDEX($L$2:$L$5001,MATCH($A973,$A$2:$A$5001,0)))</f>
        <v/>
      </c>
      <c r="N973" s="48" t="str">
        <f aca="false">IF($A973="","",IF(N(M973)=0,"–",IF(M973&lt;=Start!$D$20,"A",IF(M973&lt;=Start!$D$21,"B","C"))))</f>
        <v/>
      </c>
      <c r="O973" s="48" t="str">
        <f aca="false">IF($A973="","",IF(NOT(ISNUMBER(F973)),"Wert fehlt; ",IF(F973&lt;=0,"Wert ist 0; ",""))&amp;IF(NOT(ISNUMBER(E973)),"Bestand fehlt; ",IF(E973&lt;0,"Bestand negativ; ",IF(E973=0,"Nullbestand; ","")))&amp;IF(D973="","Warengruppe fehlt; ","")&amp;IF(B973="","Bezeichnung fehlt; ","")&amp;IF(COUNTIFS($A$2:$A$5001,$A973,$C$2:$C$5001,C973)&gt;1,"Artikel doppelt im selben Lager; ",""))</f>
        <v/>
      </c>
      <c r="P973" s="47" t="n">
        <f aca="false">IF(OR($A973="",D973=""),0,IF(COUNTIF($D$2:D973,D973)=1,SUMIF($D$2:$D$5001,D973,$H$2:$H$5001)+ROW()/10000000,0))</f>
        <v>0</v>
      </c>
      <c r="Q973" s="47" t="n">
        <f aca="false">IF(OR($A973="",C973=""),0,IF(COUNTIF($C$2:C973,C973)=1,SUMIF($C$2:$C$5001,C973,$H$2:$H$5001)+ROW()/10000000,0))</f>
        <v>0</v>
      </c>
    </row>
    <row r="974" customFormat="false" ht="15" hidden="false" customHeight="false" outlineLevel="0" collapsed="false">
      <c r="A974" s="43"/>
      <c r="B974" s="44"/>
      <c r="C974" s="44"/>
      <c r="D974" s="44"/>
      <c r="E974" s="44"/>
      <c r="F974" s="44"/>
      <c r="G974" s="44"/>
      <c r="H974" s="46" t="str">
        <f aca="false">IF($A974="","",IF(OR(NOT(ISNUMBER(E974)),NOT(ISNUMBER(F974))),"",MAX(0,E974)*F974))</f>
        <v/>
      </c>
      <c r="I974" s="46" t="str">
        <f aca="false">IF($A974="","",SUMIF($A$2:$A$5001,$A974,$H$2:$H$5001))</f>
        <v/>
      </c>
      <c r="J974" s="47" t="n">
        <f aca="false">IF($A974="",0,IF(COUNTIF($A$2:A974,$A974)=1,1,0))</f>
        <v>0</v>
      </c>
      <c r="K974" s="47" t="n">
        <f aca="false">IF(J974=1,N(I974)+ROW()/10000000,0)</f>
        <v>0</v>
      </c>
      <c r="L974" s="47" t="str">
        <f aca="false">IF(AND(J974=1,N(I974)&gt;0),SUMIF($K$2:$K$5001,"&gt;="&amp;K974,$I$2:$I$5001)/MAX(1,SUM($H$2:$H$5001)),"")</f>
        <v/>
      </c>
      <c r="M974" s="47" t="str">
        <f aca="false">IF($A974="","",INDEX($L$2:$L$5001,MATCH($A974,$A$2:$A$5001,0)))</f>
        <v/>
      </c>
      <c r="N974" s="48" t="str">
        <f aca="false">IF($A974="","",IF(N(M974)=0,"–",IF(M974&lt;=Start!$D$20,"A",IF(M974&lt;=Start!$D$21,"B","C"))))</f>
        <v/>
      </c>
      <c r="O974" s="48" t="str">
        <f aca="false">IF($A974="","",IF(NOT(ISNUMBER(F974)),"Wert fehlt; ",IF(F974&lt;=0,"Wert ist 0; ",""))&amp;IF(NOT(ISNUMBER(E974)),"Bestand fehlt; ",IF(E974&lt;0,"Bestand negativ; ",IF(E974=0,"Nullbestand; ","")))&amp;IF(D974="","Warengruppe fehlt; ","")&amp;IF(B974="","Bezeichnung fehlt; ","")&amp;IF(COUNTIFS($A$2:$A$5001,$A974,$C$2:$C$5001,C974)&gt;1,"Artikel doppelt im selben Lager; ",""))</f>
        <v/>
      </c>
      <c r="P974" s="47" t="n">
        <f aca="false">IF(OR($A974="",D974=""),0,IF(COUNTIF($D$2:D974,D974)=1,SUMIF($D$2:$D$5001,D974,$H$2:$H$5001)+ROW()/10000000,0))</f>
        <v>0</v>
      </c>
      <c r="Q974" s="47" t="n">
        <f aca="false">IF(OR($A974="",C974=""),0,IF(COUNTIF($C$2:C974,C974)=1,SUMIF($C$2:$C$5001,C974,$H$2:$H$5001)+ROW()/10000000,0))</f>
        <v>0</v>
      </c>
    </row>
    <row r="975" customFormat="false" ht="15" hidden="false" customHeight="false" outlineLevel="0" collapsed="false">
      <c r="A975" s="43"/>
      <c r="B975" s="44"/>
      <c r="C975" s="44"/>
      <c r="D975" s="44"/>
      <c r="E975" s="44"/>
      <c r="F975" s="44"/>
      <c r="G975" s="44"/>
      <c r="H975" s="46" t="str">
        <f aca="false">IF($A975="","",IF(OR(NOT(ISNUMBER(E975)),NOT(ISNUMBER(F975))),"",MAX(0,E975)*F975))</f>
        <v/>
      </c>
      <c r="I975" s="46" t="str">
        <f aca="false">IF($A975="","",SUMIF($A$2:$A$5001,$A975,$H$2:$H$5001))</f>
        <v/>
      </c>
      <c r="J975" s="47" t="n">
        <f aca="false">IF($A975="",0,IF(COUNTIF($A$2:A975,$A975)=1,1,0))</f>
        <v>0</v>
      </c>
      <c r="K975" s="47" t="n">
        <f aca="false">IF(J975=1,N(I975)+ROW()/10000000,0)</f>
        <v>0</v>
      </c>
      <c r="L975" s="47" t="str">
        <f aca="false">IF(AND(J975=1,N(I975)&gt;0),SUMIF($K$2:$K$5001,"&gt;="&amp;K975,$I$2:$I$5001)/MAX(1,SUM($H$2:$H$5001)),"")</f>
        <v/>
      </c>
      <c r="M975" s="47" t="str">
        <f aca="false">IF($A975="","",INDEX($L$2:$L$5001,MATCH($A975,$A$2:$A$5001,0)))</f>
        <v/>
      </c>
      <c r="N975" s="48" t="str">
        <f aca="false">IF($A975="","",IF(N(M975)=0,"–",IF(M975&lt;=Start!$D$20,"A",IF(M975&lt;=Start!$D$21,"B","C"))))</f>
        <v/>
      </c>
      <c r="O975" s="48" t="str">
        <f aca="false">IF($A975="","",IF(NOT(ISNUMBER(F975)),"Wert fehlt; ",IF(F975&lt;=0,"Wert ist 0; ",""))&amp;IF(NOT(ISNUMBER(E975)),"Bestand fehlt; ",IF(E975&lt;0,"Bestand negativ; ",IF(E975=0,"Nullbestand; ","")))&amp;IF(D975="","Warengruppe fehlt; ","")&amp;IF(B975="","Bezeichnung fehlt; ","")&amp;IF(COUNTIFS($A$2:$A$5001,$A975,$C$2:$C$5001,C975)&gt;1,"Artikel doppelt im selben Lager; ",""))</f>
        <v/>
      </c>
      <c r="P975" s="47" t="n">
        <f aca="false">IF(OR($A975="",D975=""),0,IF(COUNTIF($D$2:D975,D975)=1,SUMIF($D$2:$D$5001,D975,$H$2:$H$5001)+ROW()/10000000,0))</f>
        <v>0</v>
      </c>
      <c r="Q975" s="47" t="n">
        <f aca="false">IF(OR($A975="",C975=""),0,IF(COUNTIF($C$2:C975,C975)=1,SUMIF($C$2:$C$5001,C975,$H$2:$H$5001)+ROW()/10000000,0))</f>
        <v>0</v>
      </c>
    </row>
    <row r="976" customFormat="false" ht="15" hidden="false" customHeight="false" outlineLevel="0" collapsed="false">
      <c r="A976" s="43"/>
      <c r="B976" s="44"/>
      <c r="C976" s="44"/>
      <c r="D976" s="44"/>
      <c r="E976" s="44"/>
      <c r="F976" s="44"/>
      <c r="G976" s="44"/>
      <c r="H976" s="46" t="str">
        <f aca="false">IF($A976="","",IF(OR(NOT(ISNUMBER(E976)),NOT(ISNUMBER(F976))),"",MAX(0,E976)*F976))</f>
        <v/>
      </c>
      <c r="I976" s="46" t="str">
        <f aca="false">IF($A976="","",SUMIF($A$2:$A$5001,$A976,$H$2:$H$5001))</f>
        <v/>
      </c>
      <c r="J976" s="47" t="n">
        <f aca="false">IF($A976="",0,IF(COUNTIF($A$2:A976,$A976)=1,1,0))</f>
        <v>0</v>
      </c>
      <c r="K976" s="47" t="n">
        <f aca="false">IF(J976=1,N(I976)+ROW()/10000000,0)</f>
        <v>0</v>
      </c>
      <c r="L976" s="47" t="str">
        <f aca="false">IF(AND(J976=1,N(I976)&gt;0),SUMIF($K$2:$K$5001,"&gt;="&amp;K976,$I$2:$I$5001)/MAX(1,SUM($H$2:$H$5001)),"")</f>
        <v/>
      </c>
      <c r="M976" s="47" t="str">
        <f aca="false">IF($A976="","",INDEX($L$2:$L$5001,MATCH($A976,$A$2:$A$5001,0)))</f>
        <v/>
      </c>
      <c r="N976" s="48" t="str">
        <f aca="false">IF($A976="","",IF(N(M976)=0,"–",IF(M976&lt;=Start!$D$20,"A",IF(M976&lt;=Start!$D$21,"B","C"))))</f>
        <v/>
      </c>
      <c r="O976" s="48" t="str">
        <f aca="false">IF($A976="","",IF(NOT(ISNUMBER(F976)),"Wert fehlt; ",IF(F976&lt;=0,"Wert ist 0; ",""))&amp;IF(NOT(ISNUMBER(E976)),"Bestand fehlt; ",IF(E976&lt;0,"Bestand negativ; ",IF(E976=0,"Nullbestand; ","")))&amp;IF(D976="","Warengruppe fehlt; ","")&amp;IF(B976="","Bezeichnung fehlt; ","")&amp;IF(COUNTIFS($A$2:$A$5001,$A976,$C$2:$C$5001,C976)&gt;1,"Artikel doppelt im selben Lager; ",""))</f>
        <v/>
      </c>
      <c r="P976" s="47" t="n">
        <f aca="false">IF(OR($A976="",D976=""),0,IF(COUNTIF($D$2:D976,D976)=1,SUMIF($D$2:$D$5001,D976,$H$2:$H$5001)+ROW()/10000000,0))</f>
        <v>0</v>
      </c>
      <c r="Q976" s="47" t="n">
        <f aca="false">IF(OR($A976="",C976=""),0,IF(COUNTIF($C$2:C976,C976)=1,SUMIF($C$2:$C$5001,C976,$H$2:$H$5001)+ROW()/10000000,0))</f>
        <v>0</v>
      </c>
    </row>
    <row r="977" customFormat="false" ht="15" hidden="false" customHeight="false" outlineLevel="0" collapsed="false">
      <c r="A977" s="43"/>
      <c r="B977" s="44"/>
      <c r="C977" s="44"/>
      <c r="D977" s="44"/>
      <c r="E977" s="44"/>
      <c r="F977" s="44"/>
      <c r="G977" s="44"/>
      <c r="H977" s="46" t="str">
        <f aca="false">IF($A977="","",IF(OR(NOT(ISNUMBER(E977)),NOT(ISNUMBER(F977))),"",MAX(0,E977)*F977))</f>
        <v/>
      </c>
      <c r="I977" s="46" t="str">
        <f aca="false">IF($A977="","",SUMIF($A$2:$A$5001,$A977,$H$2:$H$5001))</f>
        <v/>
      </c>
      <c r="J977" s="47" t="n">
        <f aca="false">IF($A977="",0,IF(COUNTIF($A$2:A977,$A977)=1,1,0))</f>
        <v>0</v>
      </c>
      <c r="K977" s="47" t="n">
        <f aca="false">IF(J977=1,N(I977)+ROW()/10000000,0)</f>
        <v>0</v>
      </c>
      <c r="L977" s="47" t="str">
        <f aca="false">IF(AND(J977=1,N(I977)&gt;0),SUMIF($K$2:$K$5001,"&gt;="&amp;K977,$I$2:$I$5001)/MAX(1,SUM($H$2:$H$5001)),"")</f>
        <v/>
      </c>
      <c r="M977" s="47" t="str">
        <f aca="false">IF($A977="","",INDEX($L$2:$L$5001,MATCH($A977,$A$2:$A$5001,0)))</f>
        <v/>
      </c>
      <c r="N977" s="48" t="str">
        <f aca="false">IF($A977="","",IF(N(M977)=0,"–",IF(M977&lt;=Start!$D$20,"A",IF(M977&lt;=Start!$D$21,"B","C"))))</f>
        <v/>
      </c>
      <c r="O977" s="48" t="str">
        <f aca="false">IF($A977="","",IF(NOT(ISNUMBER(F977)),"Wert fehlt; ",IF(F977&lt;=0,"Wert ist 0; ",""))&amp;IF(NOT(ISNUMBER(E977)),"Bestand fehlt; ",IF(E977&lt;0,"Bestand negativ; ",IF(E977=0,"Nullbestand; ","")))&amp;IF(D977="","Warengruppe fehlt; ","")&amp;IF(B977="","Bezeichnung fehlt; ","")&amp;IF(COUNTIFS($A$2:$A$5001,$A977,$C$2:$C$5001,C977)&gt;1,"Artikel doppelt im selben Lager; ",""))</f>
        <v/>
      </c>
      <c r="P977" s="47" t="n">
        <f aca="false">IF(OR($A977="",D977=""),0,IF(COUNTIF($D$2:D977,D977)=1,SUMIF($D$2:$D$5001,D977,$H$2:$H$5001)+ROW()/10000000,0))</f>
        <v>0</v>
      </c>
      <c r="Q977" s="47" t="n">
        <f aca="false">IF(OR($A977="",C977=""),0,IF(COUNTIF($C$2:C977,C977)=1,SUMIF($C$2:$C$5001,C977,$H$2:$H$5001)+ROW()/10000000,0))</f>
        <v>0</v>
      </c>
    </row>
    <row r="978" customFormat="false" ht="15" hidden="false" customHeight="false" outlineLevel="0" collapsed="false">
      <c r="A978" s="43"/>
      <c r="B978" s="44"/>
      <c r="C978" s="44"/>
      <c r="D978" s="44"/>
      <c r="E978" s="44"/>
      <c r="F978" s="44"/>
      <c r="G978" s="44"/>
      <c r="H978" s="46" t="str">
        <f aca="false">IF($A978="","",IF(OR(NOT(ISNUMBER(E978)),NOT(ISNUMBER(F978))),"",MAX(0,E978)*F978))</f>
        <v/>
      </c>
      <c r="I978" s="46" t="str">
        <f aca="false">IF($A978="","",SUMIF($A$2:$A$5001,$A978,$H$2:$H$5001))</f>
        <v/>
      </c>
      <c r="J978" s="47" t="n">
        <f aca="false">IF($A978="",0,IF(COUNTIF($A$2:A978,$A978)=1,1,0))</f>
        <v>0</v>
      </c>
      <c r="K978" s="47" t="n">
        <f aca="false">IF(J978=1,N(I978)+ROW()/10000000,0)</f>
        <v>0</v>
      </c>
      <c r="L978" s="47" t="str">
        <f aca="false">IF(AND(J978=1,N(I978)&gt;0),SUMIF($K$2:$K$5001,"&gt;="&amp;K978,$I$2:$I$5001)/MAX(1,SUM($H$2:$H$5001)),"")</f>
        <v/>
      </c>
      <c r="M978" s="47" t="str">
        <f aca="false">IF($A978="","",INDEX($L$2:$L$5001,MATCH($A978,$A$2:$A$5001,0)))</f>
        <v/>
      </c>
      <c r="N978" s="48" t="str">
        <f aca="false">IF($A978="","",IF(N(M978)=0,"–",IF(M978&lt;=Start!$D$20,"A",IF(M978&lt;=Start!$D$21,"B","C"))))</f>
        <v/>
      </c>
      <c r="O978" s="48" t="str">
        <f aca="false">IF($A978="","",IF(NOT(ISNUMBER(F978)),"Wert fehlt; ",IF(F978&lt;=0,"Wert ist 0; ",""))&amp;IF(NOT(ISNUMBER(E978)),"Bestand fehlt; ",IF(E978&lt;0,"Bestand negativ; ",IF(E978=0,"Nullbestand; ","")))&amp;IF(D978="","Warengruppe fehlt; ","")&amp;IF(B978="","Bezeichnung fehlt; ","")&amp;IF(COUNTIFS($A$2:$A$5001,$A978,$C$2:$C$5001,C978)&gt;1,"Artikel doppelt im selben Lager; ",""))</f>
        <v/>
      </c>
      <c r="P978" s="47" t="n">
        <f aca="false">IF(OR($A978="",D978=""),0,IF(COUNTIF($D$2:D978,D978)=1,SUMIF($D$2:$D$5001,D978,$H$2:$H$5001)+ROW()/10000000,0))</f>
        <v>0</v>
      </c>
      <c r="Q978" s="47" t="n">
        <f aca="false">IF(OR($A978="",C978=""),0,IF(COUNTIF($C$2:C978,C978)=1,SUMIF($C$2:$C$5001,C978,$H$2:$H$5001)+ROW()/10000000,0))</f>
        <v>0</v>
      </c>
    </row>
    <row r="979" customFormat="false" ht="15" hidden="false" customHeight="false" outlineLevel="0" collapsed="false">
      <c r="A979" s="43"/>
      <c r="B979" s="44"/>
      <c r="C979" s="44"/>
      <c r="D979" s="44"/>
      <c r="E979" s="44"/>
      <c r="F979" s="44"/>
      <c r="G979" s="44"/>
      <c r="H979" s="46" t="str">
        <f aca="false">IF($A979="","",IF(OR(NOT(ISNUMBER(E979)),NOT(ISNUMBER(F979))),"",MAX(0,E979)*F979))</f>
        <v/>
      </c>
      <c r="I979" s="46" t="str">
        <f aca="false">IF($A979="","",SUMIF($A$2:$A$5001,$A979,$H$2:$H$5001))</f>
        <v/>
      </c>
      <c r="J979" s="47" t="n">
        <f aca="false">IF($A979="",0,IF(COUNTIF($A$2:A979,$A979)=1,1,0))</f>
        <v>0</v>
      </c>
      <c r="K979" s="47" t="n">
        <f aca="false">IF(J979=1,N(I979)+ROW()/10000000,0)</f>
        <v>0</v>
      </c>
      <c r="L979" s="47" t="str">
        <f aca="false">IF(AND(J979=1,N(I979)&gt;0),SUMIF($K$2:$K$5001,"&gt;="&amp;K979,$I$2:$I$5001)/MAX(1,SUM($H$2:$H$5001)),"")</f>
        <v/>
      </c>
      <c r="M979" s="47" t="str">
        <f aca="false">IF($A979="","",INDEX($L$2:$L$5001,MATCH($A979,$A$2:$A$5001,0)))</f>
        <v/>
      </c>
      <c r="N979" s="48" t="str">
        <f aca="false">IF($A979="","",IF(N(M979)=0,"–",IF(M979&lt;=Start!$D$20,"A",IF(M979&lt;=Start!$D$21,"B","C"))))</f>
        <v/>
      </c>
      <c r="O979" s="48" t="str">
        <f aca="false">IF($A979="","",IF(NOT(ISNUMBER(F979)),"Wert fehlt; ",IF(F979&lt;=0,"Wert ist 0; ",""))&amp;IF(NOT(ISNUMBER(E979)),"Bestand fehlt; ",IF(E979&lt;0,"Bestand negativ; ",IF(E979=0,"Nullbestand; ","")))&amp;IF(D979="","Warengruppe fehlt; ","")&amp;IF(B979="","Bezeichnung fehlt; ","")&amp;IF(COUNTIFS($A$2:$A$5001,$A979,$C$2:$C$5001,C979)&gt;1,"Artikel doppelt im selben Lager; ",""))</f>
        <v/>
      </c>
      <c r="P979" s="47" t="n">
        <f aca="false">IF(OR($A979="",D979=""),0,IF(COUNTIF($D$2:D979,D979)=1,SUMIF($D$2:$D$5001,D979,$H$2:$H$5001)+ROW()/10000000,0))</f>
        <v>0</v>
      </c>
      <c r="Q979" s="47" t="n">
        <f aca="false">IF(OR($A979="",C979=""),0,IF(COUNTIF($C$2:C979,C979)=1,SUMIF($C$2:$C$5001,C979,$H$2:$H$5001)+ROW()/10000000,0))</f>
        <v>0</v>
      </c>
    </row>
    <row r="980" customFormat="false" ht="15" hidden="false" customHeight="false" outlineLevel="0" collapsed="false">
      <c r="A980" s="43"/>
      <c r="B980" s="44"/>
      <c r="C980" s="44"/>
      <c r="D980" s="44"/>
      <c r="E980" s="44"/>
      <c r="F980" s="44"/>
      <c r="G980" s="44"/>
      <c r="H980" s="46" t="str">
        <f aca="false">IF($A980="","",IF(OR(NOT(ISNUMBER(E980)),NOT(ISNUMBER(F980))),"",MAX(0,E980)*F980))</f>
        <v/>
      </c>
      <c r="I980" s="46" t="str">
        <f aca="false">IF($A980="","",SUMIF($A$2:$A$5001,$A980,$H$2:$H$5001))</f>
        <v/>
      </c>
      <c r="J980" s="47" t="n">
        <f aca="false">IF($A980="",0,IF(COUNTIF($A$2:A980,$A980)=1,1,0))</f>
        <v>0</v>
      </c>
      <c r="K980" s="47" t="n">
        <f aca="false">IF(J980=1,N(I980)+ROW()/10000000,0)</f>
        <v>0</v>
      </c>
      <c r="L980" s="47" t="str">
        <f aca="false">IF(AND(J980=1,N(I980)&gt;0),SUMIF($K$2:$K$5001,"&gt;="&amp;K980,$I$2:$I$5001)/MAX(1,SUM($H$2:$H$5001)),"")</f>
        <v/>
      </c>
      <c r="M980" s="47" t="str">
        <f aca="false">IF($A980="","",INDEX($L$2:$L$5001,MATCH($A980,$A$2:$A$5001,0)))</f>
        <v/>
      </c>
      <c r="N980" s="48" t="str">
        <f aca="false">IF($A980="","",IF(N(M980)=0,"–",IF(M980&lt;=Start!$D$20,"A",IF(M980&lt;=Start!$D$21,"B","C"))))</f>
        <v/>
      </c>
      <c r="O980" s="48" t="str">
        <f aca="false">IF($A980="","",IF(NOT(ISNUMBER(F980)),"Wert fehlt; ",IF(F980&lt;=0,"Wert ist 0; ",""))&amp;IF(NOT(ISNUMBER(E980)),"Bestand fehlt; ",IF(E980&lt;0,"Bestand negativ; ",IF(E980=0,"Nullbestand; ","")))&amp;IF(D980="","Warengruppe fehlt; ","")&amp;IF(B980="","Bezeichnung fehlt; ","")&amp;IF(COUNTIFS($A$2:$A$5001,$A980,$C$2:$C$5001,C980)&gt;1,"Artikel doppelt im selben Lager; ",""))</f>
        <v/>
      </c>
      <c r="P980" s="47" t="n">
        <f aca="false">IF(OR($A980="",D980=""),0,IF(COUNTIF($D$2:D980,D980)=1,SUMIF($D$2:$D$5001,D980,$H$2:$H$5001)+ROW()/10000000,0))</f>
        <v>0</v>
      </c>
      <c r="Q980" s="47" t="n">
        <f aca="false">IF(OR($A980="",C980=""),0,IF(COUNTIF($C$2:C980,C980)=1,SUMIF($C$2:$C$5001,C980,$H$2:$H$5001)+ROW()/10000000,0))</f>
        <v>0</v>
      </c>
    </row>
    <row r="981" customFormat="false" ht="15" hidden="false" customHeight="false" outlineLevel="0" collapsed="false">
      <c r="A981" s="43"/>
      <c r="B981" s="44"/>
      <c r="C981" s="44"/>
      <c r="D981" s="44"/>
      <c r="E981" s="44"/>
      <c r="F981" s="44"/>
      <c r="G981" s="44"/>
      <c r="H981" s="46" t="str">
        <f aca="false">IF($A981="","",IF(OR(NOT(ISNUMBER(E981)),NOT(ISNUMBER(F981))),"",MAX(0,E981)*F981))</f>
        <v/>
      </c>
      <c r="I981" s="46" t="str">
        <f aca="false">IF($A981="","",SUMIF($A$2:$A$5001,$A981,$H$2:$H$5001))</f>
        <v/>
      </c>
      <c r="J981" s="47" t="n">
        <f aca="false">IF($A981="",0,IF(COUNTIF($A$2:A981,$A981)=1,1,0))</f>
        <v>0</v>
      </c>
      <c r="K981" s="47" t="n">
        <f aca="false">IF(J981=1,N(I981)+ROW()/10000000,0)</f>
        <v>0</v>
      </c>
      <c r="L981" s="47" t="str">
        <f aca="false">IF(AND(J981=1,N(I981)&gt;0),SUMIF($K$2:$K$5001,"&gt;="&amp;K981,$I$2:$I$5001)/MAX(1,SUM($H$2:$H$5001)),"")</f>
        <v/>
      </c>
      <c r="M981" s="47" t="str">
        <f aca="false">IF($A981="","",INDEX($L$2:$L$5001,MATCH($A981,$A$2:$A$5001,0)))</f>
        <v/>
      </c>
      <c r="N981" s="48" t="str">
        <f aca="false">IF($A981="","",IF(N(M981)=0,"–",IF(M981&lt;=Start!$D$20,"A",IF(M981&lt;=Start!$D$21,"B","C"))))</f>
        <v/>
      </c>
      <c r="O981" s="48" t="str">
        <f aca="false">IF($A981="","",IF(NOT(ISNUMBER(F981)),"Wert fehlt; ",IF(F981&lt;=0,"Wert ist 0; ",""))&amp;IF(NOT(ISNUMBER(E981)),"Bestand fehlt; ",IF(E981&lt;0,"Bestand negativ; ",IF(E981=0,"Nullbestand; ","")))&amp;IF(D981="","Warengruppe fehlt; ","")&amp;IF(B981="","Bezeichnung fehlt; ","")&amp;IF(COUNTIFS($A$2:$A$5001,$A981,$C$2:$C$5001,C981)&gt;1,"Artikel doppelt im selben Lager; ",""))</f>
        <v/>
      </c>
      <c r="P981" s="47" t="n">
        <f aca="false">IF(OR($A981="",D981=""),0,IF(COUNTIF($D$2:D981,D981)=1,SUMIF($D$2:$D$5001,D981,$H$2:$H$5001)+ROW()/10000000,0))</f>
        <v>0</v>
      </c>
      <c r="Q981" s="47" t="n">
        <f aca="false">IF(OR($A981="",C981=""),0,IF(COUNTIF($C$2:C981,C981)=1,SUMIF($C$2:$C$5001,C981,$H$2:$H$5001)+ROW()/10000000,0))</f>
        <v>0</v>
      </c>
    </row>
    <row r="982" customFormat="false" ht="15" hidden="false" customHeight="false" outlineLevel="0" collapsed="false">
      <c r="A982" s="43"/>
      <c r="B982" s="44"/>
      <c r="C982" s="44"/>
      <c r="D982" s="44"/>
      <c r="E982" s="44"/>
      <c r="F982" s="44"/>
      <c r="G982" s="44"/>
      <c r="H982" s="46" t="str">
        <f aca="false">IF($A982="","",IF(OR(NOT(ISNUMBER(E982)),NOT(ISNUMBER(F982))),"",MAX(0,E982)*F982))</f>
        <v/>
      </c>
      <c r="I982" s="46" t="str">
        <f aca="false">IF($A982="","",SUMIF($A$2:$A$5001,$A982,$H$2:$H$5001))</f>
        <v/>
      </c>
      <c r="J982" s="47" t="n">
        <f aca="false">IF($A982="",0,IF(COUNTIF($A$2:A982,$A982)=1,1,0))</f>
        <v>0</v>
      </c>
      <c r="K982" s="47" t="n">
        <f aca="false">IF(J982=1,N(I982)+ROW()/10000000,0)</f>
        <v>0</v>
      </c>
      <c r="L982" s="47" t="str">
        <f aca="false">IF(AND(J982=1,N(I982)&gt;0),SUMIF($K$2:$K$5001,"&gt;="&amp;K982,$I$2:$I$5001)/MAX(1,SUM($H$2:$H$5001)),"")</f>
        <v/>
      </c>
      <c r="M982" s="47" t="str">
        <f aca="false">IF($A982="","",INDEX($L$2:$L$5001,MATCH($A982,$A$2:$A$5001,0)))</f>
        <v/>
      </c>
      <c r="N982" s="48" t="str">
        <f aca="false">IF($A982="","",IF(N(M982)=0,"–",IF(M982&lt;=Start!$D$20,"A",IF(M982&lt;=Start!$D$21,"B","C"))))</f>
        <v/>
      </c>
      <c r="O982" s="48" t="str">
        <f aca="false">IF($A982="","",IF(NOT(ISNUMBER(F982)),"Wert fehlt; ",IF(F982&lt;=0,"Wert ist 0; ",""))&amp;IF(NOT(ISNUMBER(E982)),"Bestand fehlt; ",IF(E982&lt;0,"Bestand negativ; ",IF(E982=0,"Nullbestand; ","")))&amp;IF(D982="","Warengruppe fehlt; ","")&amp;IF(B982="","Bezeichnung fehlt; ","")&amp;IF(COUNTIFS($A$2:$A$5001,$A982,$C$2:$C$5001,C982)&gt;1,"Artikel doppelt im selben Lager; ",""))</f>
        <v/>
      </c>
      <c r="P982" s="47" t="n">
        <f aca="false">IF(OR($A982="",D982=""),0,IF(COUNTIF($D$2:D982,D982)=1,SUMIF($D$2:$D$5001,D982,$H$2:$H$5001)+ROW()/10000000,0))</f>
        <v>0</v>
      </c>
      <c r="Q982" s="47" t="n">
        <f aca="false">IF(OR($A982="",C982=""),0,IF(COUNTIF($C$2:C982,C982)=1,SUMIF($C$2:$C$5001,C982,$H$2:$H$5001)+ROW()/10000000,0))</f>
        <v>0</v>
      </c>
    </row>
    <row r="983" customFormat="false" ht="15" hidden="false" customHeight="false" outlineLevel="0" collapsed="false">
      <c r="A983" s="43"/>
      <c r="B983" s="44"/>
      <c r="C983" s="44"/>
      <c r="D983" s="44"/>
      <c r="E983" s="44"/>
      <c r="F983" s="44"/>
      <c r="G983" s="44"/>
      <c r="H983" s="46" t="str">
        <f aca="false">IF($A983="","",IF(OR(NOT(ISNUMBER(E983)),NOT(ISNUMBER(F983))),"",MAX(0,E983)*F983))</f>
        <v/>
      </c>
      <c r="I983" s="46" t="str">
        <f aca="false">IF($A983="","",SUMIF($A$2:$A$5001,$A983,$H$2:$H$5001))</f>
        <v/>
      </c>
      <c r="J983" s="47" t="n">
        <f aca="false">IF($A983="",0,IF(COUNTIF($A$2:A983,$A983)=1,1,0))</f>
        <v>0</v>
      </c>
      <c r="K983" s="47" t="n">
        <f aca="false">IF(J983=1,N(I983)+ROW()/10000000,0)</f>
        <v>0</v>
      </c>
      <c r="L983" s="47" t="str">
        <f aca="false">IF(AND(J983=1,N(I983)&gt;0),SUMIF($K$2:$K$5001,"&gt;="&amp;K983,$I$2:$I$5001)/MAX(1,SUM($H$2:$H$5001)),"")</f>
        <v/>
      </c>
      <c r="M983" s="47" t="str">
        <f aca="false">IF($A983="","",INDEX($L$2:$L$5001,MATCH($A983,$A$2:$A$5001,0)))</f>
        <v/>
      </c>
      <c r="N983" s="48" t="str">
        <f aca="false">IF($A983="","",IF(N(M983)=0,"–",IF(M983&lt;=Start!$D$20,"A",IF(M983&lt;=Start!$D$21,"B","C"))))</f>
        <v/>
      </c>
      <c r="O983" s="48" t="str">
        <f aca="false">IF($A983="","",IF(NOT(ISNUMBER(F983)),"Wert fehlt; ",IF(F983&lt;=0,"Wert ist 0; ",""))&amp;IF(NOT(ISNUMBER(E983)),"Bestand fehlt; ",IF(E983&lt;0,"Bestand negativ; ",IF(E983=0,"Nullbestand; ","")))&amp;IF(D983="","Warengruppe fehlt; ","")&amp;IF(B983="","Bezeichnung fehlt; ","")&amp;IF(COUNTIFS($A$2:$A$5001,$A983,$C$2:$C$5001,C983)&gt;1,"Artikel doppelt im selben Lager; ",""))</f>
        <v/>
      </c>
      <c r="P983" s="47" t="n">
        <f aca="false">IF(OR($A983="",D983=""),0,IF(COUNTIF($D$2:D983,D983)=1,SUMIF($D$2:$D$5001,D983,$H$2:$H$5001)+ROW()/10000000,0))</f>
        <v>0</v>
      </c>
      <c r="Q983" s="47" t="n">
        <f aca="false">IF(OR($A983="",C983=""),0,IF(COUNTIF($C$2:C983,C983)=1,SUMIF($C$2:$C$5001,C983,$H$2:$H$5001)+ROW()/10000000,0))</f>
        <v>0</v>
      </c>
    </row>
    <row r="984" customFormat="false" ht="15" hidden="false" customHeight="false" outlineLevel="0" collapsed="false">
      <c r="A984" s="43"/>
      <c r="B984" s="44"/>
      <c r="C984" s="44"/>
      <c r="D984" s="44"/>
      <c r="E984" s="44"/>
      <c r="F984" s="44"/>
      <c r="G984" s="44"/>
      <c r="H984" s="46" t="str">
        <f aca="false">IF($A984="","",IF(OR(NOT(ISNUMBER(E984)),NOT(ISNUMBER(F984))),"",MAX(0,E984)*F984))</f>
        <v/>
      </c>
      <c r="I984" s="46" t="str">
        <f aca="false">IF($A984="","",SUMIF($A$2:$A$5001,$A984,$H$2:$H$5001))</f>
        <v/>
      </c>
      <c r="J984" s="47" t="n">
        <f aca="false">IF($A984="",0,IF(COUNTIF($A$2:A984,$A984)=1,1,0))</f>
        <v>0</v>
      </c>
      <c r="K984" s="47" t="n">
        <f aca="false">IF(J984=1,N(I984)+ROW()/10000000,0)</f>
        <v>0</v>
      </c>
      <c r="L984" s="47" t="str">
        <f aca="false">IF(AND(J984=1,N(I984)&gt;0),SUMIF($K$2:$K$5001,"&gt;="&amp;K984,$I$2:$I$5001)/MAX(1,SUM($H$2:$H$5001)),"")</f>
        <v/>
      </c>
      <c r="M984" s="47" t="str">
        <f aca="false">IF($A984="","",INDEX($L$2:$L$5001,MATCH($A984,$A$2:$A$5001,0)))</f>
        <v/>
      </c>
      <c r="N984" s="48" t="str">
        <f aca="false">IF($A984="","",IF(N(M984)=0,"–",IF(M984&lt;=Start!$D$20,"A",IF(M984&lt;=Start!$D$21,"B","C"))))</f>
        <v/>
      </c>
      <c r="O984" s="48" t="str">
        <f aca="false">IF($A984="","",IF(NOT(ISNUMBER(F984)),"Wert fehlt; ",IF(F984&lt;=0,"Wert ist 0; ",""))&amp;IF(NOT(ISNUMBER(E984)),"Bestand fehlt; ",IF(E984&lt;0,"Bestand negativ; ",IF(E984=0,"Nullbestand; ","")))&amp;IF(D984="","Warengruppe fehlt; ","")&amp;IF(B984="","Bezeichnung fehlt; ","")&amp;IF(COUNTIFS($A$2:$A$5001,$A984,$C$2:$C$5001,C984)&gt;1,"Artikel doppelt im selben Lager; ",""))</f>
        <v/>
      </c>
      <c r="P984" s="47" t="n">
        <f aca="false">IF(OR($A984="",D984=""),0,IF(COUNTIF($D$2:D984,D984)=1,SUMIF($D$2:$D$5001,D984,$H$2:$H$5001)+ROW()/10000000,0))</f>
        <v>0</v>
      </c>
      <c r="Q984" s="47" t="n">
        <f aca="false">IF(OR($A984="",C984=""),0,IF(COUNTIF($C$2:C984,C984)=1,SUMIF($C$2:$C$5001,C984,$H$2:$H$5001)+ROW()/10000000,0))</f>
        <v>0</v>
      </c>
    </row>
    <row r="985" customFormat="false" ht="15" hidden="false" customHeight="false" outlineLevel="0" collapsed="false">
      <c r="A985" s="43"/>
      <c r="B985" s="44"/>
      <c r="C985" s="44"/>
      <c r="D985" s="44"/>
      <c r="E985" s="44"/>
      <c r="F985" s="44"/>
      <c r="G985" s="44"/>
      <c r="H985" s="46" t="str">
        <f aca="false">IF($A985="","",IF(OR(NOT(ISNUMBER(E985)),NOT(ISNUMBER(F985))),"",MAX(0,E985)*F985))</f>
        <v/>
      </c>
      <c r="I985" s="46" t="str">
        <f aca="false">IF($A985="","",SUMIF($A$2:$A$5001,$A985,$H$2:$H$5001))</f>
        <v/>
      </c>
      <c r="J985" s="47" t="n">
        <f aca="false">IF($A985="",0,IF(COUNTIF($A$2:A985,$A985)=1,1,0))</f>
        <v>0</v>
      </c>
      <c r="K985" s="47" t="n">
        <f aca="false">IF(J985=1,N(I985)+ROW()/10000000,0)</f>
        <v>0</v>
      </c>
      <c r="L985" s="47" t="str">
        <f aca="false">IF(AND(J985=1,N(I985)&gt;0),SUMIF($K$2:$K$5001,"&gt;="&amp;K985,$I$2:$I$5001)/MAX(1,SUM($H$2:$H$5001)),"")</f>
        <v/>
      </c>
      <c r="M985" s="47" t="str">
        <f aca="false">IF($A985="","",INDEX($L$2:$L$5001,MATCH($A985,$A$2:$A$5001,0)))</f>
        <v/>
      </c>
      <c r="N985" s="48" t="str">
        <f aca="false">IF($A985="","",IF(N(M985)=0,"–",IF(M985&lt;=Start!$D$20,"A",IF(M985&lt;=Start!$D$21,"B","C"))))</f>
        <v/>
      </c>
      <c r="O985" s="48" t="str">
        <f aca="false">IF($A985="","",IF(NOT(ISNUMBER(F985)),"Wert fehlt; ",IF(F985&lt;=0,"Wert ist 0; ",""))&amp;IF(NOT(ISNUMBER(E985)),"Bestand fehlt; ",IF(E985&lt;0,"Bestand negativ; ",IF(E985=0,"Nullbestand; ","")))&amp;IF(D985="","Warengruppe fehlt; ","")&amp;IF(B985="","Bezeichnung fehlt; ","")&amp;IF(COUNTIFS($A$2:$A$5001,$A985,$C$2:$C$5001,C985)&gt;1,"Artikel doppelt im selben Lager; ",""))</f>
        <v/>
      </c>
      <c r="P985" s="47" t="n">
        <f aca="false">IF(OR($A985="",D985=""),0,IF(COUNTIF($D$2:D985,D985)=1,SUMIF($D$2:$D$5001,D985,$H$2:$H$5001)+ROW()/10000000,0))</f>
        <v>0</v>
      </c>
      <c r="Q985" s="47" t="n">
        <f aca="false">IF(OR($A985="",C985=""),0,IF(COUNTIF($C$2:C985,C985)=1,SUMIF($C$2:$C$5001,C985,$H$2:$H$5001)+ROW()/10000000,0))</f>
        <v>0</v>
      </c>
    </row>
    <row r="986" customFormat="false" ht="15" hidden="false" customHeight="false" outlineLevel="0" collapsed="false">
      <c r="A986" s="43"/>
      <c r="B986" s="44"/>
      <c r="C986" s="44"/>
      <c r="D986" s="44"/>
      <c r="E986" s="44"/>
      <c r="F986" s="44"/>
      <c r="G986" s="44"/>
      <c r="H986" s="46" t="str">
        <f aca="false">IF($A986="","",IF(OR(NOT(ISNUMBER(E986)),NOT(ISNUMBER(F986))),"",MAX(0,E986)*F986))</f>
        <v/>
      </c>
      <c r="I986" s="46" t="str">
        <f aca="false">IF($A986="","",SUMIF($A$2:$A$5001,$A986,$H$2:$H$5001))</f>
        <v/>
      </c>
      <c r="J986" s="47" t="n">
        <f aca="false">IF($A986="",0,IF(COUNTIF($A$2:A986,$A986)=1,1,0))</f>
        <v>0</v>
      </c>
      <c r="K986" s="47" t="n">
        <f aca="false">IF(J986=1,N(I986)+ROW()/10000000,0)</f>
        <v>0</v>
      </c>
      <c r="L986" s="47" t="str">
        <f aca="false">IF(AND(J986=1,N(I986)&gt;0),SUMIF($K$2:$K$5001,"&gt;="&amp;K986,$I$2:$I$5001)/MAX(1,SUM($H$2:$H$5001)),"")</f>
        <v/>
      </c>
      <c r="M986" s="47" t="str">
        <f aca="false">IF($A986="","",INDEX($L$2:$L$5001,MATCH($A986,$A$2:$A$5001,0)))</f>
        <v/>
      </c>
      <c r="N986" s="48" t="str">
        <f aca="false">IF($A986="","",IF(N(M986)=0,"–",IF(M986&lt;=Start!$D$20,"A",IF(M986&lt;=Start!$D$21,"B","C"))))</f>
        <v/>
      </c>
      <c r="O986" s="48" t="str">
        <f aca="false">IF($A986="","",IF(NOT(ISNUMBER(F986)),"Wert fehlt; ",IF(F986&lt;=0,"Wert ist 0; ",""))&amp;IF(NOT(ISNUMBER(E986)),"Bestand fehlt; ",IF(E986&lt;0,"Bestand negativ; ",IF(E986=0,"Nullbestand; ","")))&amp;IF(D986="","Warengruppe fehlt; ","")&amp;IF(B986="","Bezeichnung fehlt; ","")&amp;IF(COUNTIFS($A$2:$A$5001,$A986,$C$2:$C$5001,C986)&gt;1,"Artikel doppelt im selben Lager; ",""))</f>
        <v/>
      </c>
      <c r="P986" s="47" t="n">
        <f aca="false">IF(OR($A986="",D986=""),0,IF(COUNTIF($D$2:D986,D986)=1,SUMIF($D$2:$D$5001,D986,$H$2:$H$5001)+ROW()/10000000,0))</f>
        <v>0</v>
      </c>
      <c r="Q986" s="47" t="n">
        <f aca="false">IF(OR($A986="",C986=""),0,IF(COUNTIF($C$2:C986,C986)=1,SUMIF($C$2:$C$5001,C986,$H$2:$H$5001)+ROW()/10000000,0))</f>
        <v>0</v>
      </c>
    </row>
    <row r="987" customFormat="false" ht="15" hidden="false" customHeight="false" outlineLevel="0" collapsed="false">
      <c r="A987" s="43"/>
      <c r="B987" s="44"/>
      <c r="C987" s="44"/>
      <c r="D987" s="44"/>
      <c r="E987" s="44"/>
      <c r="F987" s="44"/>
      <c r="G987" s="44"/>
      <c r="H987" s="46" t="str">
        <f aca="false">IF($A987="","",IF(OR(NOT(ISNUMBER(E987)),NOT(ISNUMBER(F987))),"",MAX(0,E987)*F987))</f>
        <v/>
      </c>
      <c r="I987" s="46" t="str">
        <f aca="false">IF($A987="","",SUMIF($A$2:$A$5001,$A987,$H$2:$H$5001))</f>
        <v/>
      </c>
      <c r="J987" s="47" t="n">
        <f aca="false">IF($A987="",0,IF(COUNTIF($A$2:A987,$A987)=1,1,0))</f>
        <v>0</v>
      </c>
      <c r="K987" s="47" t="n">
        <f aca="false">IF(J987=1,N(I987)+ROW()/10000000,0)</f>
        <v>0</v>
      </c>
      <c r="L987" s="47" t="str">
        <f aca="false">IF(AND(J987=1,N(I987)&gt;0),SUMIF($K$2:$K$5001,"&gt;="&amp;K987,$I$2:$I$5001)/MAX(1,SUM($H$2:$H$5001)),"")</f>
        <v/>
      </c>
      <c r="M987" s="47" t="str">
        <f aca="false">IF($A987="","",INDEX($L$2:$L$5001,MATCH($A987,$A$2:$A$5001,0)))</f>
        <v/>
      </c>
      <c r="N987" s="48" t="str">
        <f aca="false">IF($A987="","",IF(N(M987)=0,"–",IF(M987&lt;=Start!$D$20,"A",IF(M987&lt;=Start!$D$21,"B","C"))))</f>
        <v/>
      </c>
      <c r="O987" s="48" t="str">
        <f aca="false">IF($A987="","",IF(NOT(ISNUMBER(F987)),"Wert fehlt; ",IF(F987&lt;=0,"Wert ist 0; ",""))&amp;IF(NOT(ISNUMBER(E987)),"Bestand fehlt; ",IF(E987&lt;0,"Bestand negativ; ",IF(E987=0,"Nullbestand; ","")))&amp;IF(D987="","Warengruppe fehlt; ","")&amp;IF(B987="","Bezeichnung fehlt; ","")&amp;IF(COUNTIFS($A$2:$A$5001,$A987,$C$2:$C$5001,C987)&gt;1,"Artikel doppelt im selben Lager; ",""))</f>
        <v/>
      </c>
      <c r="P987" s="47" t="n">
        <f aca="false">IF(OR($A987="",D987=""),0,IF(COUNTIF($D$2:D987,D987)=1,SUMIF($D$2:$D$5001,D987,$H$2:$H$5001)+ROW()/10000000,0))</f>
        <v>0</v>
      </c>
      <c r="Q987" s="47" t="n">
        <f aca="false">IF(OR($A987="",C987=""),0,IF(COUNTIF($C$2:C987,C987)=1,SUMIF($C$2:$C$5001,C987,$H$2:$H$5001)+ROW()/10000000,0))</f>
        <v>0</v>
      </c>
    </row>
    <row r="988" customFormat="false" ht="15" hidden="false" customHeight="false" outlineLevel="0" collapsed="false">
      <c r="A988" s="43"/>
      <c r="B988" s="44"/>
      <c r="C988" s="44"/>
      <c r="D988" s="44"/>
      <c r="E988" s="44"/>
      <c r="F988" s="44"/>
      <c r="G988" s="44"/>
      <c r="H988" s="46" t="str">
        <f aca="false">IF($A988="","",IF(OR(NOT(ISNUMBER(E988)),NOT(ISNUMBER(F988))),"",MAX(0,E988)*F988))</f>
        <v/>
      </c>
      <c r="I988" s="46" t="str">
        <f aca="false">IF($A988="","",SUMIF($A$2:$A$5001,$A988,$H$2:$H$5001))</f>
        <v/>
      </c>
      <c r="J988" s="47" t="n">
        <f aca="false">IF($A988="",0,IF(COUNTIF($A$2:A988,$A988)=1,1,0))</f>
        <v>0</v>
      </c>
      <c r="K988" s="47" t="n">
        <f aca="false">IF(J988=1,N(I988)+ROW()/10000000,0)</f>
        <v>0</v>
      </c>
      <c r="L988" s="47" t="str">
        <f aca="false">IF(AND(J988=1,N(I988)&gt;0),SUMIF($K$2:$K$5001,"&gt;="&amp;K988,$I$2:$I$5001)/MAX(1,SUM($H$2:$H$5001)),"")</f>
        <v/>
      </c>
      <c r="M988" s="47" t="str">
        <f aca="false">IF($A988="","",INDEX($L$2:$L$5001,MATCH($A988,$A$2:$A$5001,0)))</f>
        <v/>
      </c>
      <c r="N988" s="48" t="str">
        <f aca="false">IF($A988="","",IF(N(M988)=0,"–",IF(M988&lt;=Start!$D$20,"A",IF(M988&lt;=Start!$D$21,"B","C"))))</f>
        <v/>
      </c>
      <c r="O988" s="48" t="str">
        <f aca="false">IF($A988="","",IF(NOT(ISNUMBER(F988)),"Wert fehlt; ",IF(F988&lt;=0,"Wert ist 0; ",""))&amp;IF(NOT(ISNUMBER(E988)),"Bestand fehlt; ",IF(E988&lt;0,"Bestand negativ; ",IF(E988=0,"Nullbestand; ","")))&amp;IF(D988="","Warengruppe fehlt; ","")&amp;IF(B988="","Bezeichnung fehlt; ","")&amp;IF(COUNTIFS($A$2:$A$5001,$A988,$C$2:$C$5001,C988)&gt;1,"Artikel doppelt im selben Lager; ",""))</f>
        <v/>
      </c>
      <c r="P988" s="47" t="n">
        <f aca="false">IF(OR($A988="",D988=""),0,IF(COUNTIF($D$2:D988,D988)=1,SUMIF($D$2:$D$5001,D988,$H$2:$H$5001)+ROW()/10000000,0))</f>
        <v>0</v>
      </c>
      <c r="Q988" s="47" t="n">
        <f aca="false">IF(OR($A988="",C988=""),0,IF(COUNTIF($C$2:C988,C988)=1,SUMIF($C$2:$C$5001,C988,$H$2:$H$5001)+ROW()/10000000,0))</f>
        <v>0</v>
      </c>
    </row>
    <row r="989" customFormat="false" ht="15" hidden="false" customHeight="false" outlineLevel="0" collapsed="false">
      <c r="A989" s="43"/>
      <c r="B989" s="44"/>
      <c r="C989" s="44"/>
      <c r="D989" s="44"/>
      <c r="E989" s="44"/>
      <c r="F989" s="44"/>
      <c r="G989" s="44"/>
      <c r="H989" s="46" t="str">
        <f aca="false">IF($A989="","",IF(OR(NOT(ISNUMBER(E989)),NOT(ISNUMBER(F989))),"",MAX(0,E989)*F989))</f>
        <v/>
      </c>
      <c r="I989" s="46" t="str">
        <f aca="false">IF($A989="","",SUMIF($A$2:$A$5001,$A989,$H$2:$H$5001))</f>
        <v/>
      </c>
      <c r="J989" s="47" t="n">
        <f aca="false">IF($A989="",0,IF(COUNTIF($A$2:A989,$A989)=1,1,0))</f>
        <v>0</v>
      </c>
      <c r="K989" s="47" t="n">
        <f aca="false">IF(J989=1,N(I989)+ROW()/10000000,0)</f>
        <v>0</v>
      </c>
      <c r="L989" s="47" t="str">
        <f aca="false">IF(AND(J989=1,N(I989)&gt;0),SUMIF($K$2:$K$5001,"&gt;="&amp;K989,$I$2:$I$5001)/MAX(1,SUM($H$2:$H$5001)),"")</f>
        <v/>
      </c>
      <c r="M989" s="47" t="str">
        <f aca="false">IF($A989="","",INDEX($L$2:$L$5001,MATCH($A989,$A$2:$A$5001,0)))</f>
        <v/>
      </c>
      <c r="N989" s="48" t="str">
        <f aca="false">IF($A989="","",IF(N(M989)=0,"–",IF(M989&lt;=Start!$D$20,"A",IF(M989&lt;=Start!$D$21,"B","C"))))</f>
        <v/>
      </c>
      <c r="O989" s="48" t="str">
        <f aca="false">IF($A989="","",IF(NOT(ISNUMBER(F989)),"Wert fehlt; ",IF(F989&lt;=0,"Wert ist 0; ",""))&amp;IF(NOT(ISNUMBER(E989)),"Bestand fehlt; ",IF(E989&lt;0,"Bestand negativ; ",IF(E989=0,"Nullbestand; ","")))&amp;IF(D989="","Warengruppe fehlt; ","")&amp;IF(B989="","Bezeichnung fehlt; ","")&amp;IF(COUNTIFS($A$2:$A$5001,$A989,$C$2:$C$5001,C989)&gt;1,"Artikel doppelt im selben Lager; ",""))</f>
        <v/>
      </c>
      <c r="P989" s="47" t="n">
        <f aca="false">IF(OR($A989="",D989=""),0,IF(COUNTIF($D$2:D989,D989)=1,SUMIF($D$2:$D$5001,D989,$H$2:$H$5001)+ROW()/10000000,0))</f>
        <v>0</v>
      </c>
      <c r="Q989" s="47" t="n">
        <f aca="false">IF(OR($A989="",C989=""),0,IF(COUNTIF($C$2:C989,C989)=1,SUMIF($C$2:$C$5001,C989,$H$2:$H$5001)+ROW()/10000000,0))</f>
        <v>0</v>
      </c>
    </row>
    <row r="990" customFormat="false" ht="15" hidden="false" customHeight="false" outlineLevel="0" collapsed="false">
      <c r="A990" s="43"/>
      <c r="B990" s="44"/>
      <c r="C990" s="44"/>
      <c r="D990" s="44"/>
      <c r="E990" s="44"/>
      <c r="F990" s="44"/>
      <c r="G990" s="44"/>
      <c r="H990" s="46" t="str">
        <f aca="false">IF($A990="","",IF(OR(NOT(ISNUMBER(E990)),NOT(ISNUMBER(F990))),"",MAX(0,E990)*F990))</f>
        <v/>
      </c>
      <c r="I990" s="46" t="str">
        <f aca="false">IF($A990="","",SUMIF($A$2:$A$5001,$A990,$H$2:$H$5001))</f>
        <v/>
      </c>
      <c r="J990" s="47" t="n">
        <f aca="false">IF($A990="",0,IF(COUNTIF($A$2:A990,$A990)=1,1,0))</f>
        <v>0</v>
      </c>
      <c r="K990" s="47" t="n">
        <f aca="false">IF(J990=1,N(I990)+ROW()/10000000,0)</f>
        <v>0</v>
      </c>
      <c r="L990" s="47" t="str">
        <f aca="false">IF(AND(J990=1,N(I990)&gt;0),SUMIF($K$2:$K$5001,"&gt;="&amp;K990,$I$2:$I$5001)/MAX(1,SUM($H$2:$H$5001)),"")</f>
        <v/>
      </c>
      <c r="M990" s="47" t="str">
        <f aca="false">IF($A990="","",INDEX($L$2:$L$5001,MATCH($A990,$A$2:$A$5001,0)))</f>
        <v/>
      </c>
      <c r="N990" s="48" t="str">
        <f aca="false">IF($A990="","",IF(N(M990)=0,"–",IF(M990&lt;=Start!$D$20,"A",IF(M990&lt;=Start!$D$21,"B","C"))))</f>
        <v/>
      </c>
      <c r="O990" s="48" t="str">
        <f aca="false">IF($A990="","",IF(NOT(ISNUMBER(F990)),"Wert fehlt; ",IF(F990&lt;=0,"Wert ist 0; ",""))&amp;IF(NOT(ISNUMBER(E990)),"Bestand fehlt; ",IF(E990&lt;0,"Bestand negativ; ",IF(E990=0,"Nullbestand; ","")))&amp;IF(D990="","Warengruppe fehlt; ","")&amp;IF(B990="","Bezeichnung fehlt; ","")&amp;IF(COUNTIFS($A$2:$A$5001,$A990,$C$2:$C$5001,C990)&gt;1,"Artikel doppelt im selben Lager; ",""))</f>
        <v/>
      </c>
      <c r="P990" s="47" t="n">
        <f aca="false">IF(OR($A990="",D990=""),0,IF(COUNTIF($D$2:D990,D990)=1,SUMIF($D$2:$D$5001,D990,$H$2:$H$5001)+ROW()/10000000,0))</f>
        <v>0</v>
      </c>
      <c r="Q990" s="47" t="n">
        <f aca="false">IF(OR($A990="",C990=""),0,IF(COUNTIF($C$2:C990,C990)=1,SUMIF($C$2:$C$5001,C990,$H$2:$H$5001)+ROW()/10000000,0))</f>
        <v>0</v>
      </c>
    </row>
    <row r="991" customFormat="false" ht="15" hidden="false" customHeight="false" outlineLevel="0" collapsed="false">
      <c r="A991" s="43"/>
      <c r="B991" s="44"/>
      <c r="C991" s="44"/>
      <c r="D991" s="44"/>
      <c r="E991" s="44"/>
      <c r="F991" s="44"/>
      <c r="G991" s="44"/>
      <c r="H991" s="46" t="str">
        <f aca="false">IF($A991="","",IF(OR(NOT(ISNUMBER(E991)),NOT(ISNUMBER(F991))),"",MAX(0,E991)*F991))</f>
        <v/>
      </c>
      <c r="I991" s="46" t="str">
        <f aca="false">IF($A991="","",SUMIF($A$2:$A$5001,$A991,$H$2:$H$5001))</f>
        <v/>
      </c>
      <c r="J991" s="47" t="n">
        <f aca="false">IF($A991="",0,IF(COUNTIF($A$2:A991,$A991)=1,1,0))</f>
        <v>0</v>
      </c>
      <c r="K991" s="47" t="n">
        <f aca="false">IF(J991=1,N(I991)+ROW()/10000000,0)</f>
        <v>0</v>
      </c>
      <c r="L991" s="47" t="str">
        <f aca="false">IF(AND(J991=1,N(I991)&gt;0),SUMIF($K$2:$K$5001,"&gt;="&amp;K991,$I$2:$I$5001)/MAX(1,SUM($H$2:$H$5001)),"")</f>
        <v/>
      </c>
      <c r="M991" s="47" t="str">
        <f aca="false">IF($A991="","",INDEX($L$2:$L$5001,MATCH($A991,$A$2:$A$5001,0)))</f>
        <v/>
      </c>
      <c r="N991" s="48" t="str">
        <f aca="false">IF($A991="","",IF(N(M991)=0,"–",IF(M991&lt;=Start!$D$20,"A",IF(M991&lt;=Start!$D$21,"B","C"))))</f>
        <v/>
      </c>
      <c r="O991" s="48" t="str">
        <f aca="false">IF($A991="","",IF(NOT(ISNUMBER(F991)),"Wert fehlt; ",IF(F991&lt;=0,"Wert ist 0; ",""))&amp;IF(NOT(ISNUMBER(E991)),"Bestand fehlt; ",IF(E991&lt;0,"Bestand negativ; ",IF(E991=0,"Nullbestand; ","")))&amp;IF(D991="","Warengruppe fehlt; ","")&amp;IF(B991="","Bezeichnung fehlt; ","")&amp;IF(COUNTIFS($A$2:$A$5001,$A991,$C$2:$C$5001,C991)&gt;1,"Artikel doppelt im selben Lager; ",""))</f>
        <v/>
      </c>
      <c r="P991" s="47" t="n">
        <f aca="false">IF(OR($A991="",D991=""),0,IF(COUNTIF($D$2:D991,D991)=1,SUMIF($D$2:$D$5001,D991,$H$2:$H$5001)+ROW()/10000000,0))</f>
        <v>0</v>
      </c>
      <c r="Q991" s="47" t="n">
        <f aca="false">IF(OR($A991="",C991=""),0,IF(COUNTIF($C$2:C991,C991)=1,SUMIF($C$2:$C$5001,C991,$H$2:$H$5001)+ROW()/10000000,0))</f>
        <v>0</v>
      </c>
    </row>
    <row r="992" customFormat="false" ht="15" hidden="false" customHeight="false" outlineLevel="0" collapsed="false">
      <c r="A992" s="43"/>
      <c r="B992" s="44"/>
      <c r="C992" s="44"/>
      <c r="D992" s="44"/>
      <c r="E992" s="44"/>
      <c r="F992" s="44"/>
      <c r="G992" s="44"/>
      <c r="H992" s="46" t="str">
        <f aca="false">IF($A992="","",IF(OR(NOT(ISNUMBER(E992)),NOT(ISNUMBER(F992))),"",MAX(0,E992)*F992))</f>
        <v/>
      </c>
      <c r="I992" s="46" t="str">
        <f aca="false">IF($A992="","",SUMIF($A$2:$A$5001,$A992,$H$2:$H$5001))</f>
        <v/>
      </c>
      <c r="J992" s="47" t="n">
        <f aca="false">IF($A992="",0,IF(COUNTIF($A$2:A992,$A992)=1,1,0))</f>
        <v>0</v>
      </c>
      <c r="K992" s="47" t="n">
        <f aca="false">IF(J992=1,N(I992)+ROW()/10000000,0)</f>
        <v>0</v>
      </c>
      <c r="L992" s="47" t="str">
        <f aca="false">IF(AND(J992=1,N(I992)&gt;0),SUMIF($K$2:$K$5001,"&gt;="&amp;K992,$I$2:$I$5001)/MAX(1,SUM($H$2:$H$5001)),"")</f>
        <v/>
      </c>
      <c r="M992" s="47" t="str">
        <f aca="false">IF($A992="","",INDEX($L$2:$L$5001,MATCH($A992,$A$2:$A$5001,0)))</f>
        <v/>
      </c>
      <c r="N992" s="48" t="str">
        <f aca="false">IF($A992="","",IF(N(M992)=0,"–",IF(M992&lt;=Start!$D$20,"A",IF(M992&lt;=Start!$D$21,"B","C"))))</f>
        <v/>
      </c>
      <c r="O992" s="48" t="str">
        <f aca="false">IF($A992="","",IF(NOT(ISNUMBER(F992)),"Wert fehlt; ",IF(F992&lt;=0,"Wert ist 0; ",""))&amp;IF(NOT(ISNUMBER(E992)),"Bestand fehlt; ",IF(E992&lt;0,"Bestand negativ; ",IF(E992=0,"Nullbestand; ","")))&amp;IF(D992="","Warengruppe fehlt; ","")&amp;IF(B992="","Bezeichnung fehlt; ","")&amp;IF(COUNTIFS($A$2:$A$5001,$A992,$C$2:$C$5001,C992)&gt;1,"Artikel doppelt im selben Lager; ",""))</f>
        <v/>
      </c>
      <c r="P992" s="47" t="n">
        <f aca="false">IF(OR($A992="",D992=""),0,IF(COUNTIF($D$2:D992,D992)=1,SUMIF($D$2:$D$5001,D992,$H$2:$H$5001)+ROW()/10000000,0))</f>
        <v>0</v>
      </c>
      <c r="Q992" s="47" t="n">
        <f aca="false">IF(OR($A992="",C992=""),0,IF(COUNTIF($C$2:C992,C992)=1,SUMIF($C$2:$C$5001,C992,$H$2:$H$5001)+ROW()/10000000,0))</f>
        <v>0</v>
      </c>
    </row>
    <row r="993" customFormat="false" ht="15" hidden="false" customHeight="false" outlineLevel="0" collapsed="false">
      <c r="A993" s="43"/>
      <c r="B993" s="44"/>
      <c r="C993" s="44"/>
      <c r="D993" s="44"/>
      <c r="E993" s="44"/>
      <c r="F993" s="44"/>
      <c r="G993" s="44"/>
      <c r="H993" s="46" t="str">
        <f aca="false">IF($A993="","",IF(OR(NOT(ISNUMBER(E993)),NOT(ISNUMBER(F993))),"",MAX(0,E993)*F993))</f>
        <v/>
      </c>
      <c r="I993" s="46" t="str">
        <f aca="false">IF($A993="","",SUMIF($A$2:$A$5001,$A993,$H$2:$H$5001))</f>
        <v/>
      </c>
      <c r="J993" s="47" t="n">
        <f aca="false">IF($A993="",0,IF(COUNTIF($A$2:A993,$A993)=1,1,0))</f>
        <v>0</v>
      </c>
      <c r="K993" s="47" t="n">
        <f aca="false">IF(J993=1,N(I993)+ROW()/10000000,0)</f>
        <v>0</v>
      </c>
      <c r="L993" s="47" t="str">
        <f aca="false">IF(AND(J993=1,N(I993)&gt;0),SUMIF($K$2:$K$5001,"&gt;="&amp;K993,$I$2:$I$5001)/MAX(1,SUM($H$2:$H$5001)),"")</f>
        <v/>
      </c>
      <c r="M993" s="47" t="str">
        <f aca="false">IF($A993="","",INDEX($L$2:$L$5001,MATCH($A993,$A$2:$A$5001,0)))</f>
        <v/>
      </c>
      <c r="N993" s="48" t="str">
        <f aca="false">IF($A993="","",IF(N(M993)=0,"–",IF(M993&lt;=Start!$D$20,"A",IF(M993&lt;=Start!$D$21,"B","C"))))</f>
        <v/>
      </c>
      <c r="O993" s="48" t="str">
        <f aca="false">IF($A993="","",IF(NOT(ISNUMBER(F993)),"Wert fehlt; ",IF(F993&lt;=0,"Wert ist 0; ",""))&amp;IF(NOT(ISNUMBER(E993)),"Bestand fehlt; ",IF(E993&lt;0,"Bestand negativ; ",IF(E993=0,"Nullbestand; ","")))&amp;IF(D993="","Warengruppe fehlt; ","")&amp;IF(B993="","Bezeichnung fehlt; ","")&amp;IF(COUNTIFS($A$2:$A$5001,$A993,$C$2:$C$5001,C993)&gt;1,"Artikel doppelt im selben Lager; ",""))</f>
        <v/>
      </c>
      <c r="P993" s="47" t="n">
        <f aca="false">IF(OR($A993="",D993=""),0,IF(COUNTIF($D$2:D993,D993)=1,SUMIF($D$2:$D$5001,D993,$H$2:$H$5001)+ROW()/10000000,0))</f>
        <v>0</v>
      </c>
      <c r="Q993" s="47" t="n">
        <f aca="false">IF(OR($A993="",C993=""),0,IF(COUNTIF($C$2:C993,C993)=1,SUMIF($C$2:$C$5001,C993,$H$2:$H$5001)+ROW()/10000000,0))</f>
        <v>0</v>
      </c>
    </row>
    <row r="994" customFormat="false" ht="15" hidden="false" customHeight="false" outlineLevel="0" collapsed="false">
      <c r="A994" s="43"/>
      <c r="B994" s="44"/>
      <c r="C994" s="44"/>
      <c r="D994" s="44"/>
      <c r="E994" s="44"/>
      <c r="F994" s="44"/>
      <c r="G994" s="44"/>
      <c r="H994" s="46" t="str">
        <f aca="false">IF($A994="","",IF(OR(NOT(ISNUMBER(E994)),NOT(ISNUMBER(F994))),"",MAX(0,E994)*F994))</f>
        <v/>
      </c>
      <c r="I994" s="46" t="str">
        <f aca="false">IF($A994="","",SUMIF($A$2:$A$5001,$A994,$H$2:$H$5001))</f>
        <v/>
      </c>
      <c r="J994" s="47" t="n">
        <f aca="false">IF($A994="",0,IF(COUNTIF($A$2:A994,$A994)=1,1,0))</f>
        <v>0</v>
      </c>
      <c r="K994" s="47" t="n">
        <f aca="false">IF(J994=1,N(I994)+ROW()/10000000,0)</f>
        <v>0</v>
      </c>
      <c r="L994" s="47" t="str">
        <f aca="false">IF(AND(J994=1,N(I994)&gt;0),SUMIF($K$2:$K$5001,"&gt;="&amp;K994,$I$2:$I$5001)/MAX(1,SUM($H$2:$H$5001)),"")</f>
        <v/>
      </c>
      <c r="M994" s="47" t="str">
        <f aca="false">IF($A994="","",INDEX($L$2:$L$5001,MATCH($A994,$A$2:$A$5001,0)))</f>
        <v/>
      </c>
      <c r="N994" s="48" t="str">
        <f aca="false">IF($A994="","",IF(N(M994)=0,"–",IF(M994&lt;=Start!$D$20,"A",IF(M994&lt;=Start!$D$21,"B","C"))))</f>
        <v/>
      </c>
      <c r="O994" s="48" t="str">
        <f aca="false">IF($A994="","",IF(NOT(ISNUMBER(F994)),"Wert fehlt; ",IF(F994&lt;=0,"Wert ist 0; ",""))&amp;IF(NOT(ISNUMBER(E994)),"Bestand fehlt; ",IF(E994&lt;0,"Bestand negativ; ",IF(E994=0,"Nullbestand; ","")))&amp;IF(D994="","Warengruppe fehlt; ","")&amp;IF(B994="","Bezeichnung fehlt; ","")&amp;IF(COUNTIFS($A$2:$A$5001,$A994,$C$2:$C$5001,C994)&gt;1,"Artikel doppelt im selben Lager; ",""))</f>
        <v/>
      </c>
      <c r="P994" s="47" t="n">
        <f aca="false">IF(OR($A994="",D994=""),0,IF(COUNTIF($D$2:D994,D994)=1,SUMIF($D$2:$D$5001,D994,$H$2:$H$5001)+ROW()/10000000,0))</f>
        <v>0</v>
      </c>
      <c r="Q994" s="47" t="n">
        <f aca="false">IF(OR($A994="",C994=""),0,IF(COUNTIF($C$2:C994,C994)=1,SUMIF($C$2:$C$5001,C994,$H$2:$H$5001)+ROW()/10000000,0))</f>
        <v>0</v>
      </c>
    </row>
    <row r="995" customFormat="false" ht="15" hidden="false" customHeight="false" outlineLevel="0" collapsed="false">
      <c r="A995" s="43"/>
      <c r="B995" s="44"/>
      <c r="C995" s="44"/>
      <c r="D995" s="44"/>
      <c r="E995" s="44"/>
      <c r="F995" s="44"/>
      <c r="G995" s="44"/>
      <c r="H995" s="46" t="str">
        <f aca="false">IF($A995="","",IF(OR(NOT(ISNUMBER(E995)),NOT(ISNUMBER(F995))),"",MAX(0,E995)*F995))</f>
        <v/>
      </c>
      <c r="I995" s="46" t="str">
        <f aca="false">IF($A995="","",SUMIF($A$2:$A$5001,$A995,$H$2:$H$5001))</f>
        <v/>
      </c>
      <c r="J995" s="47" t="n">
        <f aca="false">IF($A995="",0,IF(COUNTIF($A$2:A995,$A995)=1,1,0))</f>
        <v>0</v>
      </c>
      <c r="K995" s="47" t="n">
        <f aca="false">IF(J995=1,N(I995)+ROW()/10000000,0)</f>
        <v>0</v>
      </c>
      <c r="L995" s="47" t="str">
        <f aca="false">IF(AND(J995=1,N(I995)&gt;0),SUMIF($K$2:$K$5001,"&gt;="&amp;K995,$I$2:$I$5001)/MAX(1,SUM($H$2:$H$5001)),"")</f>
        <v/>
      </c>
      <c r="M995" s="47" t="str">
        <f aca="false">IF($A995="","",INDEX($L$2:$L$5001,MATCH($A995,$A$2:$A$5001,0)))</f>
        <v/>
      </c>
      <c r="N995" s="48" t="str">
        <f aca="false">IF($A995="","",IF(N(M995)=0,"–",IF(M995&lt;=Start!$D$20,"A",IF(M995&lt;=Start!$D$21,"B","C"))))</f>
        <v/>
      </c>
      <c r="O995" s="48" t="str">
        <f aca="false">IF($A995="","",IF(NOT(ISNUMBER(F995)),"Wert fehlt; ",IF(F995&lt;=0,"Wert ist 0; ",""))&amp;IF(NOT(ISNUMBER(E995)),"Bestand fehlt; ",IF(E995&lt;0,"Bestand negativ; ",IF(E995=0,"Nullbestand; ","")))&amp;IF(D995="","Warengruppe fehlt; ","")&amp;IF(B995="","Bezeichnung fehlt; ","")&amp;IF(COUNTIFS($A$2:$A$5001,$A995,$C$2:$C$5001,C995)&gt;1,"Artikel doppelt im selben Lager; ",""))</f>
        <v/>
      </c>
      <c r="P995" s="47" t="n">
        <f aca="false">IF(OR($A995="",D995=""),0,IF(COUNTIF($D$2:D995,D995)=1,SUMIF($D$2:$D$5001,D995,$H$2:$H$5001)+ROW()/10000000,0))</f>
        <v>0</v>
      </c>
      <c r="Q995" s="47" t="n">
        <f aca="false">IF(OR($A995="",C995=""),0,IF(COUNTIF($C$2:C995,C995)=1,SUMIF($C$2:$C$5001,C995,$H$2:$H$5001)+ROW()/10000000,0))</f>
        <v>0</v>
      </c>
    </row>
    <row r="996" customFormat="false" ht="15" hidden="false" customHeight="false" outlineLevel="0" collapsed="false">
      <c r="A996" s="43"/>
      <c r="B996" s="44"/>
      <c r="C996" s="44"/>
      <c r="D996" s="44"/>
      <c r="E996" s="44"/>
      <c r="F996" s="44"/>
      <c r="G996" s="44"/>
      <c r="H996" s="46" t="str">
        <f aca="false">IF($A996="","",IF(OR(NOT(ISNUMBER(E996)),NOT(ISNUMBER(F996))),"",MAX(0,E996)*F996))</f>
        <v/>
      </c>
      <c r="I996" s="46" t="str">
        <f aca="false">IF($A996="","",SUMIF($A$2:$A$5001,$A996,$H$2:$H$5001))</f>
        <v/>
      </c>
      <c r="J996" s="47" t="n">
        <f aca="false">IF($A996="",0,IF(COUNTIF($A$2:A996,$A996)=1,1,0))</f>
        <v>0</v>
      </c>
      <c r="K996" s="47" t="n">
        <f aca="false">IF(J996=1,N(I996)+ROW()/10000000,0)</f>
        <v>0</v>
      </c>
      <c r="L996" s="47" t="str">
        <f aca="false">IF(AND(J996=1,N(I996)&gt;0),SUMIF($K$2:$K$5001,"&gt;="&amp;K996,$I$2:$I$5001)/MAX(1,SUM($H$2:$H$5001)),"")</f>
        <v/>
      </c>
      <c r="M996" s="47" t="str">
        <f aca="false">IF($A996="","",INDEX($L$2:$L$5001,MATCH($A996,$A$2:$A$5001,0)))</f>
        <v/>
      </c>
      <c r="N996" s="48" t="str">
        <f aca="false">IF($A996="","",IF(N(M996)=0,"–",IF(M996&lt;=Start!$D$20,"A",IF(M996&lt;=Start!$D$21,"B","C"))))</f>
        <v/>
      </c>
      <c r="O996" s="48" t="str">
        <f aca="false">IF($A996="","",IF(NOT(ISNUMBER(F996)),"Wert fehlt; ",IF(F996&lt;=0,"Wert ist 0; ",""))&amp;IF(NOT(ISNUMBER(E996)),"Bestand fehlt; ",IF(E996&lt;0,"Bestand negativ; ",IF(E996=0,"Nullbestand; ","")))&amp;IF(D996="","Warengruppe fehlt; ","")&amp;IF(B996="","Bezeichnung fehlt; ","")&amp;IF(COUNTIFS($A$2:$A$5001,$A996,$C$2:$C$5001,C996)&gt;1,"Artikel doppelt im selben Lager; ",""))</f>
        <v/>
      </c>
      <c r="P996" s="47" t="n">
        <f aca="false">IF(OR($A996="",D996=""),0,IF(COUNTIF($D$2:D996,D996)=1,SUMIF($D$2:$D$5001,D996,$H$2:$H$5001)+ROW()/10000000,0))</f>
        <v>0</v>
      </c>
      <c r="Q996" s="47" t="n">
        <f aca="false">IF(OR($A996="",C996=""),0,IF(COUNTIF($C$2:C996,C996)=1,SUMIF($C$2:$C$5001,C996,$H$2:$H$5001)+ROW()/10000000,0))</f>
        <v>0</v>
      </c>
    </row>
    <row r="997" customFormat="false" ht="15" hidden="false" customHeight="false" outlineLevel="0" collapsed="false">
      <c r="A997" s="43"/>
      <c r="B997" s="44"/>
      <c r="C997" s="44"/>
      <c r="D997" s="44"/>
      <c r="E997" s="44"/>
      <c r="F997" s="44"/>
      <c r="G997" s="44"/>
      <c r="H997" s="46" t="str">
        <f aca="false">IF($A997="","",IF(OR(NOT(ISNUMBER(E997)),NOT(ISNUMBER(F997))),"",MAX(0,E997)*F997))</f>
        <v/>
      </c>
      <c r="I997" s="46" t="str">
        <f aca="false">IF($A997="","",SUMIF($A$2:$A$5001,$A997,$H$2:$H$5001))</f>
        <v/>
      </c>
      <c r="J997" s="47" t="n">
        <f aca="false">IF($A997="",0,IF(COUNTIF($A$2:A997,$A997)=1,1,0))</f>
        <v>0</v>
      </c>
      <c r="K997" s="47" t="n">
        <f aca="false">IF(J997=1,N(I997)+ROW()/10000000,0)</f>
        <v>0</v>
      </c>
      <c r="L997" s="47" t="str">
        <f aca="false">IF(AND(J997=1,N(I997)&gt;0),SUMIF($K$2:$K$5001,"&gt;="&amp;K997,$I$2:$I$5001)/MAX(1,SUM($H$2:$H$5001)),"")</f>
        <v/>
      </c>
      <c r="M997" s="47" t="str">
        <f aca="false">IF($A997="","",INDEX($L$2:$L$5001,MATCH($A997,$A$2:$A$5001,0)))</f>
        <v/>
      </c>
      <c r="N997" s="48" t="str">
        <f aca="false">IF($A997="","",IF(N(M997)=0,"–",IF(M997&lt;=Start!$D$20,"A",IF(M997&lt;=Start!$D$21,"B","C"))))</f>
        <v/>
      </c>
      <c r="O997" s="48" t="str">
        <f aca="false">IF($A997="","",IF(NOT(ISNUMBER(F997)),"Wert fehlt; ",IF(F997&lt;=0,"Wert ist 0; ",""))&amp;IF(NOT(ISNUMBER(E997)),"Bestand fehlt; ",IF(E997&lt;0,"Bestand negativ; ",IF(E997=0,"Nullbestand; ","")))&amp;IF(D997="","Warengruppe fehlt; ","")&amp;IF(B997="","Bezeichnung fehlt; ","")&amp;IF(COUNTIFS($A$2:$A$5001,$A997,$C$2:$C$5001,C997)&gt;1,"Artikel doppelt im selben Lager; ",""))</f>
        <v/>
      </c>
      <c r="P997" s="47" t="n">
        <f aca="false">IF(OR($A997="",D997=""),0,IF(COUNTIF($D$2:D997,D997)=1,SUMIF($D$2:$D$5001,D997,$H$2:$H$5001)+ROW()/10000000,0))</f>
        <v>0</v>
      </c>
      <c r="Q997" s="47" t="n">
        <f aca="false">IF(OR($A997="",C997=""),0,IF(COUNTIF($C$2:C997,C997)=1,SUMIF($C$2:$C$5001,C997,$H$2:$H$5001)+ROW()/10000000,0))</f>
        <v>0</v>
      </c>
    </row>
    <row r="998" customFormat="false" ht="15" hidden="false" customHeight="false" outlineLevel="0" collapsed="false">
      <c r="A998" s="43"/>
      <c r="B998" s="44"/>
      <c r="C998" s="44"/>
      <c r="D998" s="44"/>
      <c r="E998" s="44"/>
      <c r="F998" s="44"/>
      <c r="G998" s="44"/>
      <c r="H998" s="46" t="str">
        <f aca="false">IF($A998="","",IF(OR(NOT(ISNUMBER(E998)),NOT(ISNUMBER(F998))),"",MAX(0,E998)*F998))</f>
        <v/>
      </c>
      <c r="I998" s="46" t="str">
        <f aca="false">IF($A998="","",SUMIF($A$2:$A$5001,$A998,$H$2:$H$5001))</f>
        <v/>
      </c>
      <c r="J998" s="47" t="n">
        <f aca="false">IF($A998="",0,IF(COUNTIF($A$2:A998,$A998)=1,1,0))</f>
        <v>0</v>
      </c>
      <c r="K998" s="47" t="n">
        <f aca="false">IF(J998=1,N(I998)+ROW()/10000000,0)</f>
        <v>0</v>
      </c>
      <c r="L998" s="47" t="str">
        <f aca="false">IF(AND(J998=1,N(I998)&gt;0),SUMIF($K$2:$K$5001,"&gt;="&amp;K998,$I$2:$I$5001)/MAX(1,SUM($H$2:$H$5001)),"")</f>
        <v/>
      </c>
      <c r="M998" s="47" t="str">
        <f aca="false">IF($A998="","",INDEX($L$2:$L$5001,MATCH($A998,$A$2:$A$5001,0)))</f>
        <v/>
      </c>
      <c r="N998" s="48" t="str">
        <f aca="false">IF($A998="","",IF(N(M998)=0,"–",IF(M998&lt;=Start!$D$20,"A",IF(M998&lt;=Start!$D$21,"B","C"))))</f>
        <v/>
      </c>
      <c r="O998" s="48" t="str">
        <f aca="false">IF($A998="","",IF(NOT(ISNUMBER(F998)),"Wert fehlt; ",IF(F998&lt;=0,"Wert ist 0; ",""))&amp;IF(NOT(ISNUMBER(E998)),"Bestand fehlt; ",IF(E998&lt;0,"Bestand negativ; ",IF(E998=0,"Nullbestand; ","")))&amp;IF(D998="","Warengruppe fehlt; ","")&amp;IF(B998="","Bezeichnung fehlt; ","")&amp;IF(COUNTIFS($A$2:$A$5001,$A998,$C$2:$C$5001,C998)&gt;1,"Artikel doppelt im selben Lager; ",""))</f>
        <v/>
      </c>
      <c r="P998" s="47" t="n">
        <f aca="false">IF(OR($A998="",D998=""),0,IF(COUNTIF($D$2:D998,D998)=1,SUMIF($D$2:$D$5001,D998,$H$2:$H$5001)+ROW()/10000000,0))</f>
        <v>0</v>
      </c>
      <c r="Q998" s="47" t="n">
        <f aca="false">IF(OR($A998="",C998=""),0,IF(COUNTIF($C$2:C998,C998)=1,SUMIF($C$2:$C$5001,C998,$H$2:$H$5001)+ROW()/10000000,0))</f>
        <v>0</v>
      </c>
    </row>
    <row r="999" customFormat="false" ht="15" hidden="false" customHeight="false" outlineLevel="0" collapsed="false">
      <c r="A999" s="43"/>
      <c r="B999" s="44"/>
      <c r="C999" s="44"/>
      <c r="D999" s="44"/>
      <c r="E999" s="44"/>
      <c r="F999" s="44"/>
      <c r="G999" s="44"/>
      <c r="H999" s="46" t="str">
        <f aca="false">IF($A999="","",IF(OR(NOT(ISNUMBER(E999)),NOT(ISNUMBER(F999))),"",MAX(0,E999)*F999))</f>
        <v/>
      </c>
      <c r="I999" s="46" t="str">
        <f aca="false">IF($A999="","",SUMIF($A$2:$A$5001,$A999,$H$2:$H$5001))</f>
        <v/>
      </c>
      <c r="J999" s="47" t="n">
        <f aca="false">IF($A999="",0,IF(COUNTIF($A$2:A999,$A999)=1,1,0))</f>
        <v>0</v>
      </c>
      <c r="K999" s="47" t="n">
        <f aca="false">IF(J999=1,N(I999)+ROW()/10000000,0)</f>
        <v>0</v>
      </c>
      <c r="L999" s="47" t="str">
        <f aca="false">IF(AND(J999=1,N(I999)&gt;0),SUMIF($K$2:$K$5001,"&gt;="&amp;K999,$I$2:$I$5001)/MAX(1,SUM($H$2:$H$5001)),"")</f>
        <v/>
      </c>
      <c r="M999" s="47" t="str">
        <f aca="false">IF($A999="","",INDEX($L$2:$L$5001,MATCH($A999,$A$2:$A$5001,0)))</f>
        <v/>
      </c>
      <c r="N999" s="48" t="str">
        <f aca="false">IF($A999="","",IF(N(M999)=0,"–",IF(M999&lt;=Start!$D$20,"A",IF(M999&lt;=Start!$D$21,"B","C"))))</f>
        <v/>
      </c>
      <c r="O999" s="48" t="str">
        <f aca="false">IF($A999="","",IF(NOT(ISNUMBER(F999)),"Wert fehlt; ",IF(F999&lt;=0,"Wert ist 0; ",""))&amp;IF(NOT(ISNUMBER(E999)),"Bestand fehlt; ",IF(E999&lt;0,"Bestand negativ; ",IF(E999=0,"Nullbestand; ","")))&amp;IF(D999="","Warengruppe fehlt; ","")&amp;IF(B999="","Bezeichnung fehlt; ","")&amp;IF(COUNTIFS($A$2:$A$5001,$A999,$C$2:$C$5001,C999)&gt;1,"Artikel doppelt im selben Lager; ",""))</f>
        <v/>
      </c>
      <c r="P999" s="47" t="n">
        <f aca="false">IF(OR($A999="",D999=""),0,IF(COUNTIF($D$2:D999,D999)=1,SUMIF($D$2:$D$5001,D999,$H$2:$H$5001)+ROW()/10000000,0))</f>
        <v>0</v>
      </c>
      <c r="Q999" s="47" t="n">
        <f aca="false">IF(OR($A999="",C999=""),0,IF(COUNTIF($C$2:C999,C999)=1,SUMIF($C$2:$C$5001,C999,$H$2:$H$5001)+ROW()/10000000,0))</f>
        <v>0</v>
      </c>
    </row>
    <row r="1000" customFormat="false" ht="15" hidden="false" customHeight="false" outlineLevel="0" collapsed="false">
      <c r="A1000" s="43"/>
      <c r="B1000" s="44"/>
      <c r="C1000" s="44"/>
      <c r="D1000" s="44"/>
      <c r="E1000" s="44"/>
      <c r="F1000" s="44"/>
      <c r="G1000" s="44"/>
      <c r="H1000" s="46" t="str">
        <f aca="false">IF($A1000="","",IF(OR(NOT(ISNUMBER(E1000)),NOT(ISNUMBER(F1000))),"",MAX(0,E1000)*F1000))</f>
        <v/>
      </c>
      <c r="I1000" s="46" t="str">
        <f aca="false">IF($A1000="","",SUMIF($A$2:$A$5001,$A1000,$H$2:$H$5001))</f>
        <v/>
      </c>
      <c r="J1000" s="47" t="n">
        <f aca="false">IF($A1000="",0,IF(COUNTIF($A$2:A1000,$A1000)=1,1,0))</f>
        <v>0</v>
      </c>
      <c r="K1000" s="47" t="n">
        <f aca="false">IF(J1000=1,N(I1000)+ROW()/10000000,0)</f>
        <v>0</v>
      </c>
      <c r="L1000" s="47" t="str">
        <f aca="false">IF(AND(J1000=1,N(I1000)&gt;0),SUMIF($K$2:$K$5001,"&gt;="&amp;K1000,$I$2:$I$5001)/MAX(1,SUM($H$2:$H$5001)),"")</f>
        <v/>
      </c>
      <c r="M1000" s="47" t="str">
        <f aca="false">IF($A1000="","",INDEX($L$2:$L$5001,MATCH($A1000,$A$2:$A$5001,0)))</f>
        <v/>
      </c>
      <c r="N1000" s="48" t="str">
        <f aca="false">IF($A1000="","",IF(N(M1000)=0,"–",IF(M1000&lt;=Start!$D$20,"A",IF(M1000&lt;=Start!$D$21,"B","C"))))</f>
        <v/>
      </c>
      <c r="O1000" s="48" t="str">
        <f aca="false">IF($A1000="","",IF(NOT(ISNUMBER(F1000)),"Wert fehlt; ",IF(F1000&lt;=0,"Wert ist 0; ",""))&amp;IF(NOT(ISNUMBER(E1000)),"Bestand fehlt; ",IF(E1000&lt;0,"Bestand negativ; ",IF(E1000=0,"Nullbestand; ","")))&amp;IF(D1000="","Warengruppe fehlt; ","")&amp;IF(B1000="","Bezeichnung fehlt; ","")&amp;IF(COUNTIFS($A$2:$A$5001,$A1000,$C$2:$C$5001,C1000)&gt;1,"Artikel doppelt im selben Lager; ",""))</f>
        <v/>
      </c>
      <c r="P1000" s="47" t="n">
        <f aca="false">IF(OR($A1000="",D1000=""),0,IF(COUNTIF($D$2:D1000,D1000)=1,SUMIF($D$2:$D$5001,D1000,$H$2:$H$5001)+ROW()/10000000,0))</f>
        <v>0</v>
      </c>
      <c r="Q1000" s="47" t="n">
        <f aca="false">IF(OR($A1000="",C1000=""),0,IF(COUNTIF($C$2:C1000,C1000)=1,SUMIF($C$2:$C$5001,C1000,$H$2:$H$5001)+ROW()/10000000,0))</f>
        <v>0</v>
      </c>
    </row>
    <row r="1001" customFormat="false" ht="15" hidden="false" customHeight="false" outlineLevel="0" collapsed="false">
      <c r="A1001" s="43"/>
      <c r="B1001" s="44"/>
      <c r="C1001" s="44"/>
      <c r="D1001" s="44"/>
      <c r="E1001" s="44"/>
      <c r="F1001" s="44"/>
      <c r="G1001" s="44"/>
      <c r="H1001" s="46" t="str">
        <f aca="false">IF($A1001="","",IF(OR(NOT(ISNUMBER(E1001)),NOT(ISNUMBER(F1001))),"",MAX(0,E1001)*F1001))</f>
        <v/>
      </c>
      <c r="I1001" s="46" t="str">
        <f aca="false">IF($A1001="","",SUMIF($A$2:$A$5001,$A1001,$H$2:$H$5001))</f>
        <v/>
      </c>
      <c r="J1001" s="47" t="n">
        <f aca="false">IF($A1001="",0,IF(COUNTIF($A$2:A1001,$A1001)=1,1,0))</f>
        <v>0</v>
      </c>
      <c r="K1001" s="47" t="n">
        <f aca="false">IF(J1001=1,N(I1001)+ROW()/10000000,0)</f>
        <v>0</v>
      </c>
      <c r="L1001" s="47" t="str">
        <f aca="false">IF(AND(J1001=1,N(I1001)&gt;0),SUMIF($K$2:$K$5001,"&gt;="&amp;K1001,$I$2:$I$5001)/MAX(1,SUM($H$2:$H$5001)),"")</f>
        <v/>
      </c>
      <c r="M1001" s="47" t="str">
        <f aca="false">IF($A1001="","",INDEX($L$2:$L$5001,MATCH($A1001,$A$2:$A$5001,0)))</f>
        <v/>
      </c>
      <c r="N1001" s="48" t="str">
        <f aca="false">IF($A1001="","",IF(N(M1001)=0,"–",IF(M1001&lt;=Start!$D$20,"A",IF(M1001&lt;=Start!$D$21,"B","C"))))</f>
        <v/>
      </c>
      <c r="O1001" s="48" t="str">
        <f aca="false">IF($A1001="","",IF(NOT(ISNUMBER(F1001)),"Wert fehlt; ",IF(F1001&lt;=0,"Wert ist 0; ",""))&amp;IF(NOT(ISNUMBER(E1001)),"Bestand fehlt; ",IF(E1001&lt;0,"Bestand negativ; ",IF(E1001=0,"Nullbestand; ","")))&amp;IF(D1001="","Warengruppe fehlt; ","")&amp;IF(B1001="","Bezeichnung fehlt; ","")&amp;IF(COUNTIFS($A$2:$A$5001,$A1001,$C$2:$C$5001,C1001)&gt;1,"Artikel doppelt im selben Lager; ",""))</f>
        <v/>
      </c>
      <c r="P1001" s="47" t="n">
        <f aca="false">IF(OR($A1001="",D1001=""),0,IF(COUNTIF($D$2:D1001,D1001)=1,SUMIF($D$2:$D$5001,D1001,$H$2:$H$5001)+ROW()/10000000,0))</f>
        <v>0</v>
      </c>
      <c r="Q1001" s="47" t="n">
        <f aca="false">IF(OR($A1001="",C1001=""),0,IF(COUNTIF($C$2:C1001,C1001)=1,SUMIF($C$2:$C$5001,C1001,$H$2:$H$5001)+ROW()/10000000,0))</f>
        <v>0</v>
      </c>
    </row>
    <row r="1002" customFormat="false" ht="15" hidden="false" customHeight="false" outlineLevel="0" collapsed="false">
      <c r="A1002" s="43"/>
      <c r="B1002" s="44"/>
      <c r="C1002" s="44"/>
      <c r="D1002" s="44"/>
      <c r="E1002" s="44"/>
      <c r="F1002" s="44"/>
      <c r="G1002" s="44"/>
      <c r="H1002" s="46" t="str">
        <f aca="false">IF($A1002="","",IF(OR(NOT(ISNUMBER(E1002)),NOT(ISNUMBER(F1002))),"",MAX(0,E1002)*F1002))</f>
        <v/>
      </c>
      <c r="I1002" s="46" t="str">
        <f aca="false">IF($A1002="","",SUMIF($A$2:$A$5001,$A1002,$H$2:$H$5001))</f>
        <v/>
      </c>
      <c r="J1002" s="47" t="n">
        <f aca="false">IF($A1002="",0,IF(COUNTIF($A$2:A1002,$A1002)=1,1,0))</f>
        <v>0</v>
      </c>
      <c r="K1002" s="47" t="n">
        <f aca="false">IF(J1002=1,N(I1002)+ROW()/10000000,0)</f>
        <v>0</v>
      </c>
      <c r="L1002" s="47" t="str">
        <f aca="false">IF(AND(J1002=1,N(I1002)&gt;0),SUMIF($K$2:$K$5001,"&gt;="&amp;K1002,$I$2:$I$5001)/MAX(1,SUM($H$2:$H$5001)),"")</f>
        <v/>
      </c>
      <c r="M1002" s="47" t="str">
        <f aca="false">IF($A1002="","",INDEX($L$2:$L$5001,MATCH($A1002,$A$2:$A$5001,0)))</f>
        <v/>
      </c>
      <c r="N1002" s="48" t="str">
        <f aca="false">IF($A1002="","",IF(N(M1002)=0,"–",IF(M1002&lt;=Start!$D$20,"A",IF(M1002&lt;=Start!$D$21,"B","C"))))</f>
        <v/>
      </c>
      <c r="O1002" s="48" t="str">
        <f aca="false">IF($A1002="","",IF(NOT(ISNUMBER(F1002)),"Wert fehlt; ",IF(F1002&lt;=0,"Wert ist 0; ",""))&amp;IF(NOT(ISNUMBER(E1002)),"Bestand fehlt; ",IF(E1002&lt;0,"Bestand negativ; ",IF(E1002=0,"Nullbestand; ","")))&amp;IF(D1002="","Warengruppe fehlt; ","")&amp;IF(B1002="","Bezeichnung fehlt; ","")&amp;IF(COUNTIFS($A$2:$A$5001,$A1002,$C$2:$C$5001,C1002)&gt;1,"Artikel doppelt im selben Lager; ",""))</f>
        <v/>
      </c>
      <c r="P1002" s="47" t="n">
        <f aca="false">IF(OR($A1002="",D1002=""),0,IF(COUNTIF($D$2:D1002,D1002)=1,SUMIF($D$2:$D$5001,D1002,$H$2:$H$5001)+ROW()/10000000,0))</f>
        <v>0</v>
      </c>
      <c r="Q1002" s="47" t="n">
        <f aca="false">IF(OR($A1002="",C1002=""),0,IF(COUNTIF($C$2:C1002,C1002)=1,SUMIF($C$2:$C$5001,C1002,$H$2:$H$5001)+ROW()/10000000,0))</f>
        <v>0</v>
      </c>
    </row>
    <row r="1003" customFormat="false" ht="15" hidden="false" customHeight="false" outlineLevel="0" collapsed="false">
      <c r="A1003" s="43"/>
      <c r="B1003" s="44"/>
      <c r="C1003" s="44"/>
      <c r="D1003" s="44"/>
      <c r="E1003" s="44"/>
      <c r="F1003" s="44"/>
      <c r="G1003" s="44"/>
      <c r="H1003" s="46" t="str">
        <f aca="false">IF($A1003="","",IF(OR(NOT(ISNUMBER(E1003)),NOT(ISNUMBER(F1003))),"",MAX(0,E1003)*F1003))</f>
        <v/>
      </c>
      <c r="I1003" s="46" t="str">
        <f aca="false">IF($A1003="","",SUMIF($A$2:$A$5001,$A1003,$H$2:$H$5001))</f>
        <v/>
      </c>
      <c r="J1003" s="47" t="n">
        <f aca="false">IF($A1003="",0,IF(COUNTIF($A$2:A1003,$A1003)=1,1,0))</f>
        <v>0</v>
      </c>
      <c r="K1003" s="47" t="n">
        <f aca="false">IF(J1003=1,N(I1003)+ROW()/10000000,0)</f>
        <v>0</v>
      </c>
      <c r="L1003" s="47" t="str">
        <f aca="false">IF(AND(J1003=1,N(I1003)&gt;0),SUMIF($K$2:$K$5001,"&gt;="&amp;K1003,$I$2:$I$5001)/MAX(1,SUM($H$2:$H$5001)),"")</f>
        <v/>
      </c>
      <c r="M1003" s="47" t="str">
        <f aca="false">IF($A1003="","",INDEX($L$2:$L$5001,MATCH($A1003,$A$2:$A$5001,0)))</f>
        <v/>
      </c>
      <c r="N1003" s="48" t="str">
        <f aca="false">IF($A1003="","",IF(N(M1003)=0,"–",IF(M1003&lt;=Start!$D$20,"A",IF(M1003&lt;=Start!$D$21,"B","C"))))</f>
        <v/>
      </c>
      <c r="O1003" s="48" t="str">
        <f aca="false">IF($A1003="","",IF(NOT(ISNUMBER(F1003)),"Wert fehlt; ",IF(F1003&lt;=0,"Wert ist 0; ",""))&amp;IF(NOT(ISNUMBER(E1003)),"Bestand fehlt; ",IF(E1003&lt;0,"Bestand negativ; ",IF(E1003=0,"Nullbestand; ","")))&amp;IF(D1003="","Warengruppe fehlt; ","")&amp;IF(B1003="","Bezeichnung fehlt; ","")&amp;IF(COUNTIFS($A$2:$A$5001,$A1003,$C$2:$C$5001,C1003)&gt;1,"Artikel doppelt im selben Lager; ",""))</f>
        <v/>
      </c>
      <c r="P1003" s="47" t="n">
        <f aca="false">IF(OR($A1003="",D1003=""),0,IF(COUNTIF($D$2:D1003,D1003)=1,SUMIF($D$2:$D$5001,D1003,$H$2:$H$5001)+ROW()/10000000,0))</f>
        <v>0</v>
      </c>
      <c r="Q1003" s="47" t="n">
        <f aca="false">IF(OR($A1003="",C1003=""),0,IF(COUNTIF($C$2:C1003,C1003)=1,SUMIF($C$2:$C$5001,C1003,$H$2:$H$5001)+ROW()/10000000,0))</f>
        <v>0</v>
      </c>
    </row>
    <row r="1004" customFormat="false" ht="15" hidden="false" customHeight="false" outlineLevel="0" collapsed="false">
      <c r="A1004" s="43"/>
      <c r="B1004" s="44"/>
      <c r="C1004" s="44"/>
      <c r="D1004" s="44"/>
      <c r="E1004" s="44"/>
      <c r="F1004" s="44"/>
      <c r="G1004" s="44"/>
      <c r="H1004" s="46" t="str">
        <f aca="false">IF($A1004="","",IF(OR(NOT(ISNUMBER(E1004)),NOT(ISNUMBER(F1004))),"",MAX(0,E1004)*F1004))</f>
        <v/>
      </c>
      <c r="I1004" s="46" t="str">
        <f aca="false">IF($A1004="","",SUMIF($A$2:$A$5001,$A1004,$H$2:$H$5001))</f>
        <v/>
      </c>
      <c r="J1004" s="47" t="n">
        <f aca="false">IF($A1004="",0,IF(COUNTIF($A$2:A1004,$A1004)=1,1,0))</f>
        <v>0</v>
      </c>
      <c r="K1004" s="47" t="n">
        <f aca="false">IF(J1004=1,N(I1004)+ROW()/10000000,0)</f>
        <v>0</v>
      </c>
      <c r="L1004" s="47" t="str">
        <f aca="false">IF(AND(J1004=1,N(I1004)&gt;0),SUMIF($K$2:$K$5001,"&gt;="&amp;K1004,$I$2:$I$5001)/MAX(1,SUM($H$2:$H$5001)),"")</f>
        <v/>
      </c>
      <c r="M1004" s="47" t="str">
        <f aca="false">IF($A1004="","",INDEX($L$2:$L$5001,MATCH($A1004,$A$2:$A$5001,0)))</f>
        <v/>
      </c>
      <c r="N1004" s="48" t="str">
        <f aca="false">IF($A1004="","",IF(N(M1004)=0,"–",IF(M1004&lt;=Start!$D$20,"A",IF(M1004&lt;=Start!$D$21,"B","C"))))</f>
        <v/>
      </c>
      <c r="O1004" s="48" t="str">
        <f aca="false">IF($A1004="","",IF(NOT(ISNUMBER(F1004)),"Wert fehlt; ",IF(F1004&lt;=0,"Wert ist 0; ",""))&amp;IF(NOT(ISNUMBER(E1004)),"Bestand fehlt; ",IF(E1004&lt;0,"Bestand negativ; ",IF(E1004=0,"Nullbestand; ","")))&amp;IF(D1004="","Warengruppe fehlt; ","")&amp;IF(B1004="","Bezeichnung fehlt; ","")&amp;IF(COUNTIFS($A$2:$A$5001,$A1004,$C$2:$C$5001,C1004)&gt;1,"Artikel doppelt im selben Lager; ",""))</f>
        <v/>
      </c>
      <c r="P1004" s="47" t="n">
        <f aca="false">IF(OR($A1004="",D1004=""),0,IF(COUNTIF($D$2:D1004,D1004)=1,SUMIF($D$2:$D$5001,D1004,$H$2:$H$5001)+ROW()/10000000,0))</f>
        <v>0</v>
      </c>
      <c r="Q1004" s="47" t="n">
        <f aca="false">IF(OR($A1004="",C1004=""),0,IF(COUNTIF($C$2:C1004,C1004)=1,SUMIF($C$2:$C$5001,C1004,$H$2:$H$5001)+ROW()/10000000,0))</f>
        <v>0</v>
      </c>
    </row>
    <row r="1005" customFormat="false" ht="15" hidden="false" customHeight="false" outlineLevel="0" collapsed="false">
      <c r="A1005" s="43"/>
      <c r="B1005" s="44"/>
      <c r="C1005" s="44"/>
      <c r="D1005" s="44"/>
      <c r="E1005" s="44"/>
      <c r="F1005" s="44"/>
      <c r="G1005" s="44"/>
      <c r="H1005" s="46" t="str">
        <f aca="false">IF($A1005="","",IF(OR(NOT(ISNUMBER(E1005)),NOT(ISNUMBER(F1005))),"",MAX(0,E1005)*F1005))</f>
        <v/>
      </c>
      <c r="I1005" s="46" t="str">
        <f aca="false">IF($A1005="","",SUMIF($A$2:$A$5001,$A1005,$H$2:$H$5001))</f>
        <v/>
      </c>
      <c r="J1005" s="47" t="n">
        <f aca="false">IF($A1005="",0,IF(COUNTIF($A$2:A1005,$A1005)=1,1,0))</f>
        <v>0</v>
      </c>
      <c r="K1005" s="47" t="n">
        <f aca="false">IF(J1005=1,N(I1005)+ROW()/10000000,0)</f>
        <v>0</v>
      </c>
      <c r="L1005" s="47" t="str">
        <f aca="false">IF(AND(J1005=1,N(I1005)&gt;0),SUMIF($K$2:$K$5001,"&gt;="&amp;K1005,$I$2:$I$5001)/MAX(1,SUM($H$2:$H$5001)),"")</f>
        <v/>
      </c>
      <c r="M1005" s="47" t="str">
        <f aca="false">IF($A1005="","",INDEX($L$2:$L$5001,MATCH($A1005,$A$2:$A$5001,0)))</f>
        <v/>
      </c>
      <c r="N1005" s="48" t="str">
        <f aca="false">IF($A1005="","",IF(N(M1005)=0,"–",IF(M1005&lt;=Start!$D$20,"A",IF(M1005&lt;=Start!$D$21,"B","C"))))</f>
        <v/>
      </c>
      <c r="O1005" s="48" t="str">
        <f aca="false">IF($A1005="","",IF(NOT(ISNUMBER(F1005)),"Wert fehlt; ",IF(F1005&lt;=0,"Wert ist 0; ",""))&amp;IF(NOT(ISNUMBER(E1005)),"Bestand fehlt; ",IF(E1005&lt;0,"Bestand negativ; ",IF(E1005=0,"Nullbestand; ","")))&amp;IF(D1005="","Warengruppe fehlt; ","")&amp;IF(B1005="","Bezeichnung fehlt; ","")&amp;IF(COUNTIFS($A$2:$A$5001,$A1005,$C$2:$C$5001,C1005)&gt;1,"Artikel doppelt im selben Lager; ",""))</f>
        <v/>
      </c>
      <c r="P1005" s="47" t="n">
        <f aca="false">IF(OR($A1005="",D1005=""),0,IF(COUNTIF($D$2:D1005,D1005)=1,SUMIF($D$2:$D$5001,D1005,$H$2:$H$5001)+ROW()/10000000,0))</f>
        <v>0</v>
      </c>
      <c r="Q1005" s="47" t="n">
        <f aca="false">IF(OR($A1005="",C1005=""),0,IF(COUNTIF($C$2:C1005,C1005)=1,SUMIF($C$2:$C$5001,C1005,$H$2:$H$5001)+ROW()/10000000,0))</f>
        <v>0</v>
      </c>
    </row>
    <row r="1006" customFormat="false" ht="15" hidden="false" customHeight="false" outlineLevel="0" collapsed="false">
      <c r="A1006" s="43"/>
      <c r="B1006" s="44"/>
      <c r="C1006" s="44"/>
      <c r="D1006" s="44"/>
      <c r="E1006" s="44"/>
      <c r="F1006" s="44"/>
      <c r="G1006" s="44"/>
      <c r="H1006" s="46" t="str">
        <f aca="false">IF($A1006="","",IF(OR(NOT(ISNUMBER(E1006)),NOT(ISNUMBER(F1006))),"",MAX(0,E1006)*F1006))</f>
        <v/>
      </c>
      <c r="I1006" s="46" t="str">
        <f aca="false">IF($A1006="","",SUMIF($A$2:$A$5001,$A1006,$H$2:$H$5001))</f>
        <v/>
      </c>
      <c r="J1006" s="47" t="n">
        <f aca="false">IF($A1006="",0,IF(COUNTIF($A$2:A1006,$A1006)=1,1,0))</f>
        <v>0</v>
      </c>
      <c r="K1006" s="47" t="n">
        <f aca="false">IF(J1006=1,N(I1006)+ROW()/10000000,0)</f>
        <v>0</v>
      </c>
      <c r="L1006" s="47" t="str">
        <f aca="false">IF(AND(J1006=1,N(I1006)&gt;0),SUMIF($K$2:$K$5001,"&gt;="&amp;K1006,$I$2:$I$5001)/MAX(1,SUM($H$2:$H$5001)),"")</f>
        <v/>
      </c>
      <c r="M1006" s="47" t="str">
        <f aca="false">IF($A1006="","",INDEX($L$2:$L$5001,MATCH($A1006,$A$2:$A$5001,0)))</f>
        <v/>
      </c>
      <c r="N1006" s="48" t="str">
        <f aca="false">IF($A1006="","",IF(N(M1006)=0,"–",IF(M1006&lt;=Start!$D$20,"A",IF(M1006&lt;=Start!$D$21,"B","C"))))</f>
        <v/>
      </c>
      <c r="O1006" s="48" t="str">
        <f aca="false">IF($A1006="","",IF(NOT(ISNUMBER(F1006)),"Wert fehlt; ",IF(F1006&lt;=0,"Wert ist 0; ",""))&amp;IF(NOT(ISNUMBER(E1006)),"Bestand fehlt; ",IF(E1006&lt;0,"Bestand negativ; ",IF(E1006=0,"Nullbestand; ","")))&amp;IF(D1006="","Warengruppe fehlt; ","")&amp;IF(B1006="","Bezeichnung fehlt; ","")&amp;IF(COUNTIFS($A$2:$A$5001,$A1006,$C$2:$C$5001,C1006)&gt;1,"Artikel doppelt im selben Lager; ",""))</f>
        <v/>
      </c>
      <c r="P1006" s="47" t="n">
        <f aca="false">IF(OR($A1006="",D1006=""),0,IF(COUNTIF($D$2:D1006,D1006)=1,SUMIF($D$2:$D$5001,D1006,$H$2:$H$5001)+ROW()/10000000,0))</f>
        <v>0</v>
      </c>
      <c r="Q1006" s="47" t="n">
        <f aca="false">IF(OR($A1006="",C1006=""),0,IF(COUNTIF($C$2:C1006,C1006)=1,SUMIF($C$2:$C$5001,C1006,$H$2:$H$5001)+ROW()/10000000,0))</f>
        <v>0</v>
      </c>
    </row>
    <row r="1007" customFormat="false" ht="15" hidden="false" customHeight="false" outlineLevel="0" collapsed="false">
      <c r="A1007" s="43"/>
      <c r="B1007" s="44"/>
      <c r="C1007" s="44"/>
      <c r="D1007" s="44"/>
      <c r="E1007" s="44"/>
      <c r="F1007" s="44"/>
      <c r="G1007" s="44"/>
      <c r="H1007" s="46" t="str">
        <f aca="false">IF($A1007="","",IF(OR(NOT(ISNUMBER(E1007)),NOT(ISNUMBER(F1007))),"",MAX(0,E1007)*F1007))</f>
        <v/>
      </c>
      <c r="I1007" s="46" t="str">
        <f aca="false">IF($A1007="","",SUMIF($A$2:$A$5001,$A1007,$H$2:$H$5001))</f>
        <v/>
      </c>
      <c r="J1007" s="47" t="n">
        <f aca="false">IF($A1007="",0,IF(COUNTIF($A$2:A1007,$A1007)=1,1,0))</f>
        <v>0</v>
      </c>
      <c r="K1007" s="47" t="n">
        <f aca="false">IF(J1007=1,N(I1007)+ROW()/10000000,0)</f>
        <v>0</v>
      </c>
      <c r="L1007" s="47" t="str">
        <f aca="false">IF(AND(J1007=1,N(I1007)&gt;0),SUMIF($K$2:$K$5001,"&gt;="&amp;K1007,$I$2:$I$5001)/MAX(1,SUM($H$2:$H$5001)),"")</f>
        <v/>
      </c>
      <c r="M1007" s="47" t="str">
        <f aca="false">IF($A1007="","",INDEX($L$2:$L$5001,MATCH($A1007,$A$2:$A$5001,0)))</f>
        <v/>
      </c>
      <c r="N1007" s="48" t="str">
        <f aca="false">IF($A1007="","",IF(N(M1007)=0,"–",IF(M1007&lt;=Start!$D$20,"A",IF(M1007&lt;=Start!$D$21,"B","C"))))</f>
        <v/>
      </c>
      <c r="O1007" s="48" t="str">
        <f aca="false">IF($A1007="","",IF(NOT(ISNUMBER(F1007)),"Wert fehlt; ",IF(F1007&lt;=0,"Wert ist 0; ",""))&amp;IF(NOT(ISNUMBER(E1007)),"Bestand fehlt; ",IF(E1007&lt;0,"Bestand negativ; ",IF(E1007=0,"Nullbestand; ","")))&amp;IF(D1007="","Warengruppe fehlt; ","")&amp;IF(B1007="","Bezeichnung fehlt; ","")&amp;IF(COUNTIFS($A$2:$A$5001,$A1007,$C$2:$C$5001,C1007)&gt;1,"Artikel doppelt im selben Lager; ",""))</f>
        <v/>
      </c>
      <c r="P1007" s="47" t="n">
        <f aca="false">IF(OR($A1007="",D1007=""),0,IF(COUNTIF($D$2:D1007,D1007)=1,SUMIF($D$2:$D$5001,D1007,$H$2:$H$5001)+ROW()/10000000,0))</f>
        <v>0</v>
      </c>
      <c r="Q1007" s="47" t="n">
        <f aca="false">IF(OR($A1007="",C1007=""),0,IF(COUNTIF($C$2:C1007,C1007)=1,SUMIF($C$2:$C$5001,C1007,$H$2:$H$5001)+ROW()/10000000,0))</f>
        <v>0</v>
      </c>
    </row>
    <row r="1008" customFormat="false" ht="15" hidden="false" customHeight="false" outlineLevel="0" collapsed="false">
      <c r="A1008" s="43"/>
      <c r="B1008" s="44"/>
      <c r="C1008" s="44"/>
      <c r="D1008" s="44"/>
      <c r="E1008" s="44"/>
      <c r="F1008" s="44"/>
      <c r="G1008" s="44"/>
      <c r="H1008" s="46" t="str">
        <f aca="false">IF($A1008="","",IF(OR(NOT(ISNUMBER(E1008)),NOT(ISNUMBER(F1008))),"",MAX(0,E1008)*F1008))</f>
        <v/>
      </c>
      <c r="I1008" s="46" t="str">
        <f aca="false">IF($A1008="","",SUMIF($A$2:$A$5001,$A1008,$H$2:$H$5001))</f>
        <v/>
      </c>
      <c r="J1008" s="47" t="n">
        <f aca="false">IF($A1008="",0,IF(COUNTIF($A$2:A1008,$A1008)=1,1,0))</f>
        <v>0</v>
      </c>
      <c r="K1008" s="47" t="n">
        <f aca="false">IF(J1008=1,N(I1008)+ROW()/10000000,0)</f>
        <v>0</v>
      </c>
      <c r="L1008" s="47" t="str">
        <f aca="false">IF(AND(J1008=1,N(I1008)&gt;0),SUMIF($K$2:$K$5001,"&gt;="&amp;K1008,$I$2:$I$5001)/MAX(1,SUM($H$2:$H$5001)),"")</f>
        <v/>
      </c>
      <c r="M1008" s="47" t="str">
        <f aca="false">IF($A1008="","",INDEX($L$2:$L$5001,MATCH($A1008,$A$2:$A$5001,0)))</f>
        <v/>
      </c>
      <c r="N1008" s="48" t="str">
        <f aca="false">IF($A1008="","",IF(N(M1008)=0,"–",IF(M1008&lt;=Start!$D$20,"A",IF(M1008&lt;=Start!$D$21,"B","C"))))</f>
        <v/>
      </c>
      <c r="O1008" s="48" t="str">
        <f aca="false">IF($A1008="","",IF(NOT(ISNUMBER(F1008)),"Wert fehlt; ",IF(F1008&lt;=0,"Wert ist 0; ",""))&amp;IF(NOT(ISNUMBER(E1008)),"Bestand fehlt; ",IF(E1008&lt;0,"Bestand negativ; ",IF(E1008=0,"Nullbestand; ","")))&amp;IF(D1008="","Warengruppe fehlt; ","")&amp;IF(B1008="","Bezeichnung fehlt; ","")&amp;IF(COUNTIFS($A$2:$A$5001,$A1008,$C$2:$C$5001,C1008)&gt;1,"Artikel doppelt im selben Lager; ",""))</f>
        <v/>
      </c>
      <c r="P1008" s="47" t="n">
        <f aca="false">IF(OR($A1008="",D1008=""),0,IF(COUNTIF($D$2:D1008,D1008)=1,SUMIF($D$2:$D$5001,D1008,$H$2:$H$5001)+ROW()/10000000,0))</f>
        <v>0</v>
      </c>
      <c r="Q1008" s="47" t="n">
        <f aca="false">IF(OR($A1008="",C1008=""),0,IF(COUNTIF($C$2:C1008,C1008)=1,SUMIF($C$2:$C$5001,C1008,$H$2:$H$5001)+ROW()/10000000,0))</f>
        <v>0</v>
      </c>
    </row>
    <row r="1009" customFormat="false" ht="15" hidden="false" customHeight="false" outlineLevel="0" collapsed="false">
      <c r="A1009" s="43"/>
      <c r="B1009" s="44"/>
      <c r="C1009" s="44"/>
      <c r="D1009" s="44"/>
      <c r="E1009" s="44"/>
      <c r="F1009" s="44"/>
      <c r="G1009" s="44"/>
      <c r="H1009" s="46" t="str">
        <f aca="false">IF($A1009="","",IF(OR(NOT(ISNUMBER(E1009)),NOT(ISNUMBER(F1009))),"",MAX(0,E1009)*F1009))</f>
        <v/>
      </c>
      <c r="I1009" s="46" t="str">
        <f aca="false">IF($A1009="","",SUMIF($A$2:$A$5001,$A1009,$H$2:$H$5001))</f>
        <v/>
      </c>
      <c r="J1009" s="47" t="n">
        <f aca="false">IF($A1009="",0,IF(COUNTIF($A$2:A1009,$A1009)=1,1,0))</f>
        <v>0</v>
      </c>
      <c r="K1009" s="47" t="n">
        <f aca="false">IF(J1009=1,N(I1009)+ROW()/10000000,0)</f>
        <v>0</v>
      </c>
      <c r="L1009" s="47" t="str">
        <f aca="false">IF(AND(J1009=1,N(I1009)&gt;0),SUMIF($K$2:$K$5001,"&gt;="&amp;K1009,$I$2:$I$5001)/MAX(1,SUM($H$2:$H$5001)),"")</f>
        <v/>
      </c>
      <c r="M1009" s="47" t="str">
        <f aca="false">IF($A1009="","",INDEX($L$2:$L$5001,MATCH($A1009,$A$2:$A$5001,0)))</f>
        <v/>
      </c>
      <c r="N1009" s="48" t="str">
        <f aca="false">IF($A1009="","",IF(N(M1009)=0,"–",IF(M1009&lt;=Start!$D$20,"A",IF(M1009&lt;=Start!$D$21,"B","C"))))</f>
        <v/>
      </c>
      <c r="O1009" s="48" t="str">
        <f aca="false">IF($A1009="","",IF(NOT(ISNUMBER(F1009)),"Wert fehlt; ",IF(F1009&lt;=0,"Wert ist 0; ",""))&amp;IF(NOT(ISNUMBER(E1009)),"Bestand fehlt; ",IF(E1009&lt;0,"Bestand negativ; ",IF(E1009=0,"Nullbestand; ","")))&amp;IF(D1009="","Warengruppe fehlt; ","")&amp;IF(B1009="","Bezeichnung fehlt; ","")&amp;IF(COUNTIFS($A$2:$A$5001,$A1009,$C$2:$C$5001,C1009)&gt;1,"Artikel doppelt im selben Lager; ",""))</f>
        <v/>
      </c>
      <c r="P1009" s="47" t="n">
        <f aca="false">IF(OR($A1009="",D1009=""),0,IF(COUNTIF($D$2:D1009,D1009)=1,SUMIF($D$2:$D$5001,D1009,$H$2:$H$5001)+ROW()/10000000,0))</f>
        <v>0</v>
      </c>
      <c r="Q1009" s="47" t="n">
        <f aca="false">IF(OR($A1009="",C1009=""),0,IF(COUNTIF($C$2:C1009,C1009)=1,SUMIF($C$2:$C$5001,C1009,$H$2:$H$5001)+ROW()/10000000,0))</f>
        <v>0</v>
      </c>
    </row>
    <row r="1010" customFormat="false" ht="15" hidden="false" customHeight="false" outlineLevel="0" collapsed="false">
      <c r="A1010" s="43"/>
      <c r="B1010" s="44"/>
      <c r="C1010" s="44"/>
      <c r="D1010" s="44"/>
      <c r="E1010" s="44"/>
      <c r="F1010" s="44"/>
      <c r="G1010" s="44"/>
      <c r="H1010" s="46" t="str">
        <f aca="false">IF($A1010="","",IF(OR(NOT(ISNUMBER(E1010)),NOT(ISNUMBER(F1010))),"",MAX(0,E1010)*F1010))</f>
        <v/>
      </c>
      <c r="I1010" s="46" t="str">
        <f aca="false">IF($A1010="","",SUMIF($A$2:$A$5001,$A1010,$H$2:$H$5001))</f>
        <v/>
      </c>
      <c r="J1010" s="47" t="n">
        <f aca="false">IF($A1010="",0,IF(COUNTIF($A$2:A1010,$A1010)=1,1,0))</f>
        <v>0</v>
      </c>
      <c r="K1010" s="47" t="n">
        <f aca="false">IF(J1010=1,N(I1010)+ROW()/10000000,0)</f>
        <v>0</v>
      </c>
      <c r="L1010" s="47" t="str">
        <f aca="false">IF(AND(J1010=1,N(I1010)&gt;0),SUMIF($K$2:$K$5001,"&gt;="&amp;K1010,$I$2:$I$5001)/MAX(1,SUM($H$2:$H$5001)),"")</f>
        <v/>
      </c>
      <c r="M1010" s="47" t="str">
        <f aca="false">IF($A1010="","",INDEX($L$2:$L$5001,MATCH($A1010,$A$2:$A$5001,0)))</f>
        <v/>
      </c>
      <c r="N1010" s="48" t="str">
        <f aca="false">IF($A1010="","",IF(N(M1010)=0,"–",IF(M1010&lt;=Start!$D$20,"A",IF(M1010&lt;=Start!$D$21,"B","C"))))</f>
        <v/>
      </c>
      <c r="O1010" s="48" t="str">
        <f aca="false">IF($A1010="","",IF(NOT(ISNUMBER(F1010)),"Wert fehlt; ",IF(F1010&lt;=0,"Wert ist 0; ",""))&amp;IF(NOT(ISNUMBER(E1010)),"Bestand fehlt; ",IF(E1010&lt;0,"Bestand negativ; ",IF(E1010=0,"Nullbestand; ","")))&amp;IF(D1010="","Warengruppe fehlt; ","")&amp;IF(B1010="","Bezeichnung fehlt; ","")&amp;IF(COUNTIFS($A$2:$A$5001,$A1010,$C$2:$C$5001,C1010)&gt;1,"Artikel doppelt im selben Lager; ",""))</f>
        <v/>
      </c>
      <c r="P1010" s="47" t="n">
        <f aca="false">IF(OR($A1010="",D1010=""),0,IF(COUNTIF($D$2:D1010,D1010)=1,SUMIF($D$2:$D$5001,D1010,$H$2:$H$5001)+ROW()/10000000,0))</f>
        <v>0</v>
      </c>
      <c r="Q1010" s="47" t="n">
        <f aca="false">IF(OR($A1010="",C1010=""),0,IF(COUNTIF($C$2:C1010,C1010)=1,SUMIF($C$2:$C$5001,C1010,$H$2:$H$5001)+ROW()/10000000,0))</f>
        <v>0</v>
      </c>
    </row>
    <row r="1011" customFormat="false" ht="15" hidden="false" customHeight="false" outlineLevel="0" collapsed="false">
      <c r="A1011" s="43"/>
      <c r="B1011" s="44"/>
      <c r="C1011" s="44"/>
      <c r="D1011" s="44"/>
      <c r="E1011" s="44"/>
      <c r="F1011" s="44"/>
      <c r="G1011" s="44"/>
      <c r="H1011" s="46" t="str">
        <f aca="false">IF($A1011="","",IF(OR(NOT(ISNUMBER(E1011)),NOT(ISNUMBER(F1011))),"",MAX(0,E1011)*F1011))</f>
        <v/>
      </c>
      <c r="I1011" s="46" t="str">
        <f aca="false">IF($A1011="","",SUMIF($A$2:$A$5001,$A1011,$H$2:$H$5001))</f>
        <v/>
      </c>
      <c r="J1011" s="47" t="n">
        <f aca="false">IF($A1011="",0,IF(COUNTIF($A$2:A1011,$A1011)=1,1,0))</f>
        <v>0</v>
      </c>
      <c r="K1011" s="47" t="n">
        <f aca="false">IF(J1011=1,N(I1011)+ROW()/10000000,0)</f>
        <v>0</v>
      </c>
      <c r="L1011" s="47" t="str">
        <f aca="false">IF(AND(J1011=1,N(I1011)&gt;0),SUMIF($K$2:$K$5001,"&gt;="&amp;K1011,$I$2:$I$5001)/MAX(1,SUM($H$2:$H$5001)),"")</f>
        <v/>
      </c>
      <c r="M1011" s="47" t="str">
        <f aca="false">IF($A1011="","",INDEX($L$2:$L$5001,MATCH($A1011,$A$2:$A$5001,0)))</f>
        <v/>
      </c>
      <c r="N1011" s="48" t="str">
        <f aca="false">IF($A1011="","",IF(N(M1011)=0,"–",IF(M1011&lt;=Start!$D$20,"A",IF(M1011&lt;=Start!$D$21,"B","C"))))</f>
        <v/>
      </c>
      <c r="O1011" s="48" t="str">
        <f aca="false">IF($A1011="","",IF(NOT(ISNUMBER(F1011)),"Wert fehlt; ",IF(F1011&lt;=0,"Wert ist 0; ",""))&amp;IF(NOT(ISNUMBER(E1011)),"Bestand fehlt; ",IF(E1011&lt;0,"Bestand negativ; ",IF(E1011=0,"Nullbestand; ","")))&amp;IF(D1011="","Warengruppe fehlt; ","")&amp;IF(B1011="","Bezeichnung fehlt; ","")&amp;IF(COUNTIFS($A$2:$A$5001,$A1011,$C$2:$C$5001,C1011)&gt;1,"Artikel doppelt im selben Lager; ",""))</f>
        <v/>
      </c>
      <c r="P1011" s="47" t="n">
        <f aca="false">IF(OR($A1011="",D1011=""),0,IF(COUNTIF($D$2:D1011,D1011)=1,SUMIF($D$2:$D$5001,D1011,$H$2:$H$5001)+ROW()/10000000,0))</f>
        <v>0</v>
      </c>
      <c r="Q1011" s="47" t="n">
        <f aca="false">IF(OR($A1011="",C1011=""),0,IF(COUNTIF($C$2:C1011,C1011)=1,SUMIF($C$2:$C$5001,C1011,$H$2:$H$5001)+ROW()/10000000,0))</f>
        <v>0</v>
      </c>
    </row>
    <row r="1012" customFormat="false" ht="15" hidden="false" customHeight="false" outlineLevel="0" collapsed="false">
      <c r="A1012" s="43"/>
      <c r="B1012" s="44"/>
      <c r="C1012" s="44"/>
      <c r="D1012" s="44"/>
      <c r="E1012" s="44"/>
      <c r="F1012" s="44"/>
      <c r="G1012" s="44"/>
      <c r="H1012" s="46" t="str">
        <f aca="false">IF($A1012="","",IF(OR(NOT(ISNUMBER(E1012)),NOT(ISNUMBER(F1012))),"",MAX(0,E1012)*F1012))</f>
        <v/>
      </c>
      <c r="I1012" s="46" t="str">
        <f aca="false">IF($A1012="","",SUMIF($A$2:$A$5001,$A1012,$H$2:$H$5001))</f>
        <v/>
      </c>
      <c r="J1012" s="47" t="n">
        <f aca="false">IF($A1012="",0,IF(COUNTIF($A$2:A1012,$A1012)=1,1,0))</f>
        <v>0</v>
      </c>
      <c r="K1012" s="47" t="n">
        <f aca="false">IF(J1012=1,N(I1012)+ROW()/10000000,0)</f>
        <v>0</v>
      </c>
      <c r="L1012" s="47" t="str">
        <f aca="false">IF(AND(J1012=1,N(I1012)&gt;0),SUMIF($K$2:$K$5001,"&gt;="&amp;K1012,$I$2:$I$5001)/MAX(1,SUM($H$2:$H$5001)),"")</f>
        <v/>
      </c>
      <c r="M1012" s="47" t="str">
        <f aca="false">IF($A1012="","",INDEX($L$2:$L$5001,MATCH($A1012,$A$2:$A$5001,0)))</f>
        <v/>
      </c>
      <c r="N1012" s="48" t="str">
        <f aca="false">IF($A1012="","",IF(N(M1012)=0,"–",IF(M1012&lt;=Start!$D$20,"A",IF(M1012&lt;=Start!$D$21,"B","C"))))</f>
        <v/>
      </c>
      <c r="O1012" s="48" t="str">
        <f aca="false">IF($A1012="","",IF(NOT(ISNUMBER(F1012)),"Wert fehlt; ",IF(F1012&lt;=0,"Wert ist 0; ",""))&amp;IF(NOT(ISNUMBER(E1012)),"Bestand fehlt; ",IF(E1012&lt;0,"Bestand negativ; ",IF(E1012=0,"Nullbestand; ","")))&amp;IF(D1012="","Warengruppe fehlt; ","")&amp;IF(B1012="","Bezeichnung fehlt; ","")&amp;IF(COUNTIFS($A$2:$A$5001,$A1012,$C$2:$C$5001,C1012)&gt;1,"Artikel doppelt im selben Lager; ",""))</f>
        <v/>
      </c>
      <c r="P1012" s="47" t="n">
        <f aca="false">IF(OR($A1012="",D1012=""),0,IF(COUNTIF($D$2:D1012,D1012)=1,SUMIF($D$2:$D$5001,D1012,$H$2:$H$5001)+ROW()/10000000,0))</f>
        <v>0</v>
      </c>
      <c r="Q1012" s="47" t="n">
        <f aca="false">IF(OR($A1012="",C1012=""),0,IF(COUNTIF($C$2:C1012,C1012)=1,SUMIF($C$2:$C$5001,C1012,$H$2:$H$5001)+ROW()/10000000,0))</f>
        <v>0</v>
      </c>
    </row>
    <row r="1013" customFormat="false" ht="15" hidden="false" customHeight="false" outlineLevel="0" collapsed="false">
      <c r="A1013" s="43"/>
      <c r="B1013" s="44"/>
      <c r="C1013" s="44"/>
      <c r="D1013" s="44"/>
      <c r="E1013" s="44"/>
      <c r="F1013" s="44"/>
      <c r="G1013" s="44"/>
      <c r="H1013" s="46" t="str">
        <f aca="false">IF($A1013="","",IF(OR(NOT(ISNUMBER(E1013)),NOT(ISNUMBER(F1013))),"",MAX(0,E1013)*F1013))</f>
        <v/>
      </c>
      <c r="I1013" s="46" t="str">
        <f aca="false">IF($A1013="","",SUMIF($A$2:$A$5001,$A1013,$H$2:$H$5001))</f>
        <v/>
      </c>
      <c r="J1013" s="47" t="n">
        <f aca="false">IF($A1013="",0,IF(COUNTIF($A$2:A1013,$A1013)=1,1,0))</f>
        <v>0</v>
      </c>
      <c r="K1013" s="47" t="n">
        <f aca="false">IF(J1013=1,N(I1013)+ROW()/10000000,0)</f>
        <v>0</v>
      </c>
      <c r="L1013" s="47" t="str">
        <f aca="false">IF(AND(J1013=1,N(I1013)&gt;0),SUMIF($K$2:$K$5001,"&gt;="&amp;K1013,$I$2:$I$5001)/MAX(1,SUM($H$2:$H$5001)),"")</f>
        <v/>
      </c>
      <c r="M1013" s="47" t="str">
        <f aca="false">IF($A1013="","",INDEX($L$2:$L$5001,MATCH($A1013,$A$2:$A$5001,0)))</f>
        <v/>
      </c>
      <c r="N1013" s="48" t="str">
        <f aca="false">IF($A1013="","",IF(N(M1013)=0,"–",IF(M1013&lt;=Start!$D$20,"A",IF(M1013&lt;=Start!$D$21,"B","C"))))</f>
        <v/>
      </c>
      <c r="O1013" s="48" t="str">
        <f aca="false">IF($A1013="","",IF(NOT(ISNUMBER(F1013)),"Wert fehlt; ",IF(F1013&lt;=0,"Wert ist 0; ",""))&amp;IF(NOT(ISNUMBER(E1013)),"Bestand fehlt; ",IF(E1013&lt;0,"Bestand negativ; ",IF(E1013=0,"Nullbestand; ","")))&amp;IF(D1013="","Warengruppe fehlt; ","")&amp;IF(B1013="","Bezeichnung fehlt; ","")&amp;IF(COUNTIFS($A$2:$A$5001,$A1013,$C$2:$C$5001,C1013)&gt;1,"Artikel doppelt im selben Lager; ",""))</f>
        <v/>
      </c>
      <c r="P1013" s="47" t="n">
        <f aca="false">IF(OR($A1013="",D1013=""),0,IF(COUNTIF($D$2:D1013,D1013)=1,SUMIF($D$2:$D$5001,D1013,$H$2:$H$5001)+ROW()/10000000,0))</f>
        <v>0</v>
      </c>
      <c r="Q1013" s="47" t="n">
        <f aca="false">IF(OR($A1013="",C1013=""),0,IF(COUNTIF($C$2:C1013,C1013)=1,SUMIF($C$2:$C$5001,C1013,$H$2:$H$5001)+ROW()/10000000,0))</f>
        <v>0</v>
      </c>
    </row>
    <row r="1014" customFormat="false" ht="15" hidden="false" customHeight="false" outlineLevel="0" collapsed="false">
      <c r="A1014" s="43"/>
      <c r="B1014" s="44"/>
      <c r="C1014" s="44"/>
      <c r="D1014" s="44"/>
      <c r="E1014" s="44"/>
      <c r="F1014" s="44"/>
      <c r="G1014" s="44"/>
      <c r="H1014" s="46" t="str">
        <f aca="false">IF($A1014="","",IF(OR(NOT(ISNUMBER(E1014)),NOT(ISNUMBER(F1014))),"",MAX(0,E1014)*F1014))</f>
        <v/>
      </c>
      <c r="I1014" s="46" t="str">
        <f aca="false">IF($A1014="","",SUMIF($A$2:$A$5001,$A1014,$H$2:$H$5001))</f>
        <v/>
      </c>
      <c r="J1014" s="47" t="n">
        <f aca="false">IF($A1014="",0,IF(COUNTIF($A$2:A1014,$A1014)=1,1,0))</f>
        <v>0</v>
      </c>
      <c r="K1014" s="47" t="n">
        <f aca="false">IF(J1014=1,N(I1014)+ROW()/10000000,0)</f>
        <v>0</v>
      </c>
      <c r="L1014" s="47" t="str">
        <f aca="false">IF(AND(J1014=1,N(I1014)&gt;0),SUMIF($K$2:$K$5001,"&gt;="&amp;K1014,$I$2:$I$5001)/MAX(1,SUM($H$2:$H$5001)),"")</f>
        <v/>
      </c>
      <c r="M1014" s="47" t="str">
        <f aca="false">IF($A1014="","",INDEX($L$2:$L$5001,MATCH($A1014,$A$2:$A$5001,0)))</f>
        <v/>
      </c>
      <c r="N1014" s="48" t="str">
        <f aca="false">IF($A1014="","",IF(N(M1014)=0,"–",IF(M1014&lt;=Start!$D$20,"A",IF(M1014&lt;=Start!$D$21,"B","C"))))</f>
        <v/>
      </c>
      <c r="O1014" s="48" t="str">
        <f aca="false">IF($A1014="","",IF(NOT(ISNUMBER(F1014)),"Wert fehlt; ",IF(F1014&lt;=0,"Wert ist 0; ",""))&amp;IF(NOT(ISNUMBER(E1014)),"Bestand fehlt; ",IF(E1014&lt;0,"Bestand negativ; ",IF(E1014=0,"Nullbestand; ","")))&amp;IF(D1014="","Warengruppe fehlt; ","")&amp;IF(B1014="","Bezeichnung fehlt; ","")&amp;IF(COUNTIFS($A$2:$A$5001,$A1014,$C$2:$C$5001,C1014)&gt;1,"Artikel doppelt im selben Lager; ",""))</f>
        <v/>
      </c>
      <c r="P1014" s="47" t="n">
        <f aca="false">IF(OR($A1014="",D1014=""),0,IF(COUNTIF($D$2:D1014,D1014)=1,SUMIF($D$2:$D$5001,D1014,$H$2:$H$5001)+ROW()/10000000,0))</f>
        <v>0</v>
      </c>
      <c r="Q1014" s="47" t="n">
        <f aca="false">IF(OR($A1014="",C1014=""),0,IF(COUNTIF($C$2:C1014,C1014)=1,SUMIF($C$2:$C$5001,C1014,$H$2:$H$5001)+ROW()/10000000,0))</f>
        <v>0</v>
      </c>
    </row>
    <row r="1015" customFormat="false" ht="15" hidden="false" customHeight="false" outlineLevel="0" collapsed="false">
      <c r="A1015" s="43"/>
      <c r="B1015" s="44"/>
      <c r="C1015" s="44"/>
      <c r="D1015" s="44"/>
      <c r="E1015" s="44"/>
      <c r="F1015" s="44"/>
      <c r="G1015" s="44"/>
      <c r="H1015" s="46" t="str">
        <f aca="false">IF($A1015="","",IF(OR(NOT(ISNUMBER(E1015)),NOT(ISNUMBER(F1015))),"",MAX(0,E1015)*F1015))</f>
        <v/>
      </c>
      <c r="I1015" s="46" t="str">
        <f aca="false">IF($A1015="","",SUMIF($A$2:$A$5001,$A1015,$H$2:$H$5001))</f>
        <v/>
      </c>
      <c r="J1015" s="47" t="n">
        <f aca="false">IF($A1015="",0,IF(COUNTIF($A$2:A1015,$A1015)=1,1,0))</f>
        <v>0</v>
      </c>
      <c r="K1015" s="47" t="n">
        <f aca="false">IF(J1015=1,N(I1015)+ROW()/10000000,0)</f>
        <v>0</v>
      </c>
      <c r="L1015" s="47" t="str">
        <f aca="false">IF(AND(J1015=1,N(I1015)&gt;0),SUMIF($K$2:$K$5001,"&gt;="&amp;K1015,$I$2:$I$5001)/MAX(1,SUM($H$2:$H$5001)),"")</f>
        <v/>
      </c>
      <c r="M1015" s="47" t="str">
        <f aca="false">IF($A1015="","",INDEX($L$2:$L$5001,MATCH($A1015,$A$2:$A$5001,0)))</f>
        <v/>
      </c>
      <c r="N1015" s="48" t="str">
        <f aca="false">IF($A1015="","",IF(N(M1015)=0,"–",IF(M1015&lt;=Start!$D$20,"A",IF(M1015&lt;=Start!$D$21,"B","C"))))</f>
        <v/>
      </c>
      <c r="O1015" s="48" t="str">
        <f aca="false">IF($A1015="","",IF(NOT(ISNUMBER(F1015)),"Wert fehlt; ",IF(F1015&lt;=0,"Wert ist 0; ",""))&amp;IF(NOT(ISNUMBER(E1015)),"Bestand fehlt; ",IF(E1015&lt;0,"Bestand negativ; ",IF(E1015=0,"Nullbestand; ","")))&amp;IF(D1015="","Warengruppe fehlt; ","")&amp;IF(B1015="","Bezeichnung fehlt; ","")&amp;IF(COUNTIFS($A$2:$A$5001,$A1015,$C$2:$C$5001,C1015)&gt;1,"Artikel doppelt im selben Lager; ",""))</f>
        <v/>
      </c>
      <c r="P1015" s="47" t="n">
        <f aca="false">IF(OR($A1015="",D1015=""),0,IF(COUNTIF($D$2:D1015,D1015)=1,SUMIF($D$2:$D$5001,D1015,$H$2:$H$5001)+ROW()/10000000,0))</f>
        <v>0</v>
      </c>
      <c r="Q1015" s="47" t="n">
        <f aca="false">IF(OR($A1015="",C1015=""),0,IF(COUNTIF($C$2:C1015,C1015)=1,SUMIF($C$2:$C$5001,C1015,$H$2:$H$5001)+ROW()/10000000,0))</f>
        <v>0</v>
      </c>
    </row>
    <row r="1016" customFormat="false" ht="15" hidden="false" customHeight="false" outlineLevel="0" collapsed="false">
      <c r="A1016" s="43"/>
      <c r="B1016" s="44"/>
      <c r="C1016" s="44"/>
      <c r="D1016" s="44"/>
      <c r="E1016" s="44"/>
      <c r="F1016" s="44"/>
      <c r="G1016" s="44"/>
      <c r="H1016" s="46" t="str">
        <f aca="false">IF($A1016="","",IF(OR(NOT(ISNUMBER(E1016)),NOT(ISNUMBER(F1016))),"",MAX(0,E1016)*F1016))</f>
        <v/>
      </c>
      <c r="I1016" s="46" t="str">
        <f aca="false">IF($A1016="","",SUMIF($A$2:$A$5001,$A1016,$H$2:$H$5001))</f>
        <v/>
      </c>
      <c r="J1016" s="47" t="n">
        <f aca="false">IF($A1016="",0,IF(COUNTIF($A$2:A1016,$A1016)=1,1,0))</f>
        <v>0</v>
      </c>
      <c r="K1016" s="47" t="n">
        <f aca="false">IF(J1016=1,N(I1016)+ROW()/10000000,0)</f>
        <v>0</v>
      </c>
      <c r="L1016" s="47" t="str">
        <f aca="false">IF(AND(J1016=1,N(I1016)&gt;0),SUMIF($K$2:$K$5001,"&gt;="&amp;K1016,$I$2:$I$5001)/MAX(1,SUM($H$2:$H$5001)),"")</f>
        <v/>
      </c>
      <c r="M1016" s="47" t="str">
        <f aca="false">IF($A1016="","",INDEX($L$2:$L$5001,MATCH($A1016,$A$2:$A$5001,0)))</f>
        <v/>
      </c>
      <c r="N1016" s="48" t="str">
        <f aca="false">IF($A1016="","",IF(N(M1016)=0,"–",IF(M1016&lt;=Start!$D$20,"A",IF(M1016&lt;=Start!$D$21,"B","C"))))</f>
        <v/>
      </c>
      <c r="O1016" s="48" t="str">
        <f aca="false">IF($A1016="","",IF(NOT(ISNUMBER(F1016)),"Wert fehlt; ",IF(F1016&lt;=0,"Wert ist 0; ",""))&amp;IF(NOT(ISNUMBER(E1016)),"Bestand fehlt; ",IF(E1016&lt;0,"Bestand negativ; ",IF(E1016=0,"Nullbestand; ","")))&amp;IF(D1016="","Warengruppe fehlt; ","")&amp;IF(B1016="","Bezeichnung fehlt; ","")&amp;IF(COUNTIFS($A$2:$A$5001,$A1016,$C$2:$C$5001,C1016)&gt;1,"Artikel doppelt im selben Lager; ",""))</f>
        <v/>
      </c>
      <c r="P1016" s="47" t="n">
        <f aca="false">IF(OR($A1016="",D1016=""),0,IF(COUNTIF($D$2:D1016,D1016)=1,SUMIF($D$2:$D$5001,D1016,$H$2:$H$5001)+ROW()/10000000,0))</f>
        <v>0</v>
      </c>
      <c r="Q1016" s="47" t="n">
        <f aca="false">IF(OR($A1016="",C1016=""),0,IF(COUNTIF($C$2:C1016,C1016)=1,SUMIF($C$2:$C$5001,C1016,$H$2:$H$5001)+ROW()/10000000,0))</f>
        <v>0</v>
      </c>
    </row>
    <row r="1017" customFormat="false" ht="15" hidden="false" customHeight="false" outlineLevel="0" collapsed="false">
      <c r="A1017" s="43"/>
      <c r="B1017" s="44"/>
      <c r="C1017" s="44"/>
      <c r="D1017" s="44"/>
      <c r="E1017" s="44"/>
      <c r="F1017" s="44"/>
      <c r="G1017" s="44"/>
      <c r="H1017" s="46" t="str">
        <f aca="false">IF($A1017="","",IF(OR(NOT(ISNUMBER(E1017)),NOT(ISNUMBER(F1017))),"",MAX(0,E1017)*F1017))</f>
        <v/>
      </c>
      <c r="I1017" s="46" t="str">
        <f aca="false">IF($A1017="","",SUMIF($A$2:$A$5001,$A1017,$H$2:$H$5001))</f>
        <v/>
      </c>
      <c r="J1017" s="47" t="n">
        <f aca="false">IF($A1017="",0,IF(COUNTIF($A$2:A1017,$A1017)=1,1,0))</f>
        <v>0</v>
      </c>
      <c r="K1017" s="47" t="n">
        <f aca="false">IF(J1017=1,N(I1017)+ROW()/10000000,0)</f>
        <v>0</v>
      </c>
      <c r="L1017" s="47" t="str">
        <f aca="false">IF(AND(J1017=1,N(I1017)&gt;0),SUMIF($K$2:$K$5001,"&gt;="&amp;K1017,$I$2:$I$5001)/MAX(1,SUM($H$2:$H$5001)),"")</f>
        <v/>
      </c>
      <c r="M1017" s="47" t="str">
        <f aca="false">IF($A1017="","",INDEX($L$2:$L$5001,MATCH($A1017,$A$2:$A$5001,0)))</f>
        <v/>
      </c>
      <c r="N1017" s="48" t="str">
        <f aca="false">IF($A1017="","",IF(N(M1017)=0,"–",IF(M1017&lt;=Start!$D$20,"A",IF(M1017&lt;=Start!$D$21,"B","C"))))</f>
        <v/>
      </c>
      <c r="O1017" s="48" t="str">
        <f aca="false">IF($A1017="","",IF(NOT(ISNUMBER(F1017)),"Wert fehlt; ",IF(F1017&lt;=0,"Wert ist 0; ",""))&amp;IF(NOT(ISNUMBER(E1017)),"Bestand fehlt; ",IF(E1017&lt;0,"Bestand negativ; ",IF(E1017=0,"Nullbestand; ","")))&amp;IF(D1017="","Warengruppe fehlt; ","")&amp;IF(B1017="","Bezeichnung fehlt; ","")&amp;IF(COUNTIFS($A$2:$A$5001,$A1017,$C$2:$C$5001,C1017)&gt;1,"Artikel doppelt im selben Lager; ",""))</f>
        <v/>
      </c>
      <c r="P1017" s="47" t="n">
        <f aca="false">IF(OR($A1017="",D1017=""),0,IF(COUNTIF($D$2:D1017,D1017)=1,SUMIF($D$2:$D$5001,D1017,$H$2:$H$5001)+ROW()/10000000,0))</f>
        <v>0</v>
      </c>
      <c r="Q1017" s="47" t="n">
        <f aca="false">IF(OR($A1017="",C1017=""),0,IF(COUNTIF($C$2:C1017,C1017)=1,SUMIF($C$2:$C$5001,C1017,$H$2:$H$5001)+ROW()/10000000,0))</f>
        <v>0</v>
      </c>
    </row>
    <row r="1018" customFormat="false" ht="15" hidden="false" customHeight="false" outlineLevel="0" collapsed="false">
      <c r="A1018" s="43"/>
      <c r="B1018" s="44"/>
      <c r="C1018" s="44"/>
      <c r="D1018" s="44"/>
      <c r="E1018" s="44"/>
      <c r="F1018" s="44"/>
      <c r="G1018" s="44"/>
      <c r="H1018" s="46" t="str">
        <f aca="false">IF($A1018="","",IF(OR(NOT(ISNUMBER(E1018)),NOT(ISNUMBER(F1018))),"",MAX(0,E1018)*F1018))</f>
        <v/>
      </c>
      <c r="I1018" s="46" t="str">
        <f aca="false">IF($A1018="","",SUMIF($A$2:$A$5001,$A1018,$H$2:$H$5001))</f>
        <v/>
      </c>
      <c r="J1018" s="47" t="n">
        <f aca="false">IF($A1018="",0,IF(COUNTIF($A$2:A1018,$A1018)=1,1,0))</f>
        <v>0</v>
      </c>
      <c r="K1018" s="47" t="n">
        <f aca="false">IF(J1018=1,N(I1018)+ROW()/10000000,0)</f>
        <v>0</v>
      </c>
      <c r="L1018" s="47" t="str">
        <f aca="false">IF(AND(J1018=1,N(I1018)&gt;0),SUMIF($K$2:$K$5001,"&gt;="&amp;K1018,$I$2:$I$5001)/MAX(1,SUM($H$2:$H$5001)),"")</f>
        <v/>
      </c>
      <c r="M1018" s="47" t="str">
        <f aca="false">IF($A1018="","",INDEX($L$2:$L$5001,MATCH($A1018,$A$2:$A$5001,0)))</f>
        <v/>
      </c>
      <c r="N1018" s="48" t="str">
        <f aca="false">IF($A1018="","",IF(N(M1018)=0,"–",IF(M1018&lt;=Start!$D$20,"A",IF(M1018&lt;=Start!$D$21,"B","C"))))</f>
        <v/>
      </c>
      <c r="O1018" s="48" t="str">
        <f aca="false">IF($A1018="","",IF(NOT(ISNUMBER(F1018)),"Wert fehlt; ",IF(F1018&lt;=0,"Wert ist 0; ",""))&amp;IF(NOT(ISNUMBER(E1018)),"Bestand fehlt; ",IF(E1018&lt;0,"Bestand negativ; ",IF(E1018=0,"Nullbestand; ","")))&amp;IF(D1018="","Warengruppe fehlt; ","")&amp;IF(B1018="","Bezeichnung fehlt; ","")&amp;IF(COUNTIFS($A$2:$A$5001,$A1018,$C$2:$C$5001,C1018)&gt;1,"Artikel doppelt im selben Lager; ",""))</f>
        <v/>
      </c>
      <c r="P1018" s="47" t="n">
        <f aca="false">IF(OR($A1018="",D1018=""),0,IF(COUNTIF($D$2:D1018,D1018)=1,SUMIF($D$2:$D$5001,D1018,$H$2:$H$5001)+ROW()/10000000,0))</f>
        <v>0</v>
      </c>
      <c r="Q1018" s="47" t="n">
        <f aca="false">IF(OR($A1018="",C1018=""),0,IF(COUNTIF($C$2:C1018,C1018)=1,SUMIF($C$2:$C$5001,C1018,$H$2:$H$5001)+ROW()/10000000,0))</f>
        <v>0</v>
      </c>
    </row>
    <row r="1019" customFormat="false" ht="15" hidden="false" customHeight="false" outlineLevel="0" collapsed="false">
      <c r="A1019" s="43"/>
      <c r="B1019" s="44"/>
      <c r="C1019" s="44"/>
      <c r="D1019" s="44"/>
      <c r="E1019" s="44"/>
      <c r="F1019" s="44"/>
      <c r="G1019" s="44"/>
      <c r="H1019" s="46" t="str">
        <f aca="false">IF($A1019="","",IF(OR(NOT(ISNUMBER(E1019)),NOT(ISNUMBER(F1019))),"",MAX(0,E1019)*F1019))</f>
        <v/>
      </c>
      <c r="I1019" s="46" t="str">
        <f aca="false">IF($A1019="","",SUMIF($A$2:$A$5001,$A1019,$H$2:$H$5001))</f>
        <v/>
      </c>
      <c r="J1019" s="47" t="n">
        <f aca="false">IF($A1019="",0,IF(COUNTIF($A$2:A1019,$A1019)=1,1,0))</f>
        <v>0</v>
      </c>
      <c r="K1019" s="47" t="n">
        <f aca="false">IF(J1019=1,N(I1019)+ROW()/10000000,0)</f>
        <v>0</v>
      </c>
      <c r="L1019" s="47" t="str">
        <f aca="false">IF(AND(J1019=1,N(I1019)&gt;0),SUMIF($K$2:$K$5001,"&gt;="&amp;K1019,$I$2:$I$5001)/MAX(1,SUM($H$2:$H$5001)),"")</f>
        <v/>
      </c>
      <c r="M1019" s="47" t="str">
        <f aca="false">IF($A1019="","",INDEX($L$2:$L$5001,MATCH($A1019,$A$2:$A$5001,0)))</f>
        <v/>
      </c>
      <c r="N1019" s="48" t="str">
        <f aca="false">IF($A1019="","",IF(N(M1019)=0,"–",IF(M1019&lt;=Start!$D$20,"A",IF(M1019&lt;=Start!$D$21,"B","C"))))</f>
        <v/>
      </c>
      <c r="O1019" s="48" t="str">
        <f aca="false">IF($A1019="","",IF(NOT(ISNUMBER(F1019)),"Wert fehlt; ",IF(F1019&lt;=0,"Wert ist 0; ",""))&amp;IF(NOT(ISNUMBER(E1019)),"Bestand fehlt; ",IF(E1019&lt;0,"Bestand negativ; ",IF(E1019=0,"Nullbestand; ","")))&amp;IF(D1019="","Warengruppe fehlt; ","")&amp;IF(B1019="","Bezeichnung fehlt; ","")&amp;IF(COUNTIFS($A$2:$A$5001,$A1019,$C$2:$C$5001,C1019)&gt;1,"Artikel doppelt im selben Lager; ",""))</f>
        <v/>
      </c>
      <c r="P1019" s="47" t="n">
        <f aca="false">IF(OR($A1019="",D1019=""),0,IF(COUNTIF($D$2:D1019,D1019)=1,SUMIF($D$2:$D$5001,D1019,$H$2:$H$5001)+ROW()/10000000,0))</f>
        <v>0</v>
      </c>
      <c r="Q1019" s="47" t="n">
        <f aca="false">IF(OR($A1019="",C1019=""),0,IF(COUNTIF($C$2:C1019,C1019)=1,SUMIF($C$2:$C$5001,C1019,$H$2:$H$5001)+ROW()/10000000,0))</f>
        <v>0</v>
      </c>
    </row>
    <row r="1020" customFormat="false" ht="15" hidden="false" customHeight="false" outlineLevel="0" collapsed="false">
      <c r="A1020" s="43"/>
      <c r="B1020" s="44"/>
      <c r="C1020" s="44"/>
      <c r="D1020" s="44"/>
      <c r="E1020" s="44"/>
      <c r="F1020" s="44"/>
      <c r="G1020" s="44"/>
      <c r="H1020" s="46" t="str">
        <f aca="false">IF($A1020="","",IF(OR(NOT(ISNUMBER(E1020)),NOT(ISNUMBER(F1020))),"",MAX(0,E1020)*F1020))</f>
        <v/>
      </c>
      <c r="I1020" s="46" t="str">
        <f aca="false">IF($A1020="","",SUMIF($A$2:$A$5001,$A1020,$H$2:$H$5001))</f>
        <v/>
      </c>
      <c r="J1020" s="47" t="n">
        <f aca="false">IF($A1020="",0,IF(COUNTIF($A$2:A1020,$A1020)=1,1,0))</f>
        <v>0</v>
      </c>
      <c r="K1020" s="47" t="n">
        <f aca="false">IF(J1020=1,N(I1020)+ROW()/10000000,0)</f>
        <v>0</v>
      </c>
      <c r="L1020" s="47" t="str">
        <f aca="false">IF(AND(J1020=1,N(I1020)&gt;0),SUMIF($K$2:$K$5001,"&gt;="&amp;K1020,$I$2:$I$5001)/MAX(1,SUM($H$2:$H$5001)),"")</f>
        <v/>
      </c>
      <c r="M1020" s="47" t="str">
        <f aca="false">IF($A1020="","",INDEX($L$2:$L$5001,MATCH($A1020,$A$2:$A$5001,0)))</f>
        <v/>
      </c>
      <c r="N1020" s="48" t="str">
        <f aca="false">IF($A1020="","",IF(N(M1020)=0,"–",IF(M1020&lt;=Start!$D$20,"A",IF(M1020&lt;=Start!$D$21,"B","C"))))</f>
        <v/>
      </c>
      <c r="O1020" s="48" t="str">
        <f aca="false">IF($A1020="","",IF(NOT(ISNUMBER(F1020)),"Wert fehlt; ",IF(F1020&lt;=0,"Wert ist 0; ",""))&amp;IF(NOT(ISNUMBER(E1020)),"Bestand fehlt; ",IF(E1020&lt;0,"Bestand negativ; ",IF(E1020=0,"Nullbestand; ","")))&amp;IF(D1020="","Warengruppe fehlt; ","")&amp;IF(B1020="","Bezeichnung fehlt; ","")&amp;IF(COUNTIFS($A$2:$A$5001,$A1020,$C$2:$C$5001,C1020)&gt;1,"Artikel doppelt im selben Lager; ",""))</f>
        <v/>
      </c>
      <c r="P1020" s="47" t="n">
        <f aca="false">IF(OR($A1020="",D1020=""),0,IF(COUNTIF($D$2:D1020,D1020)=1,SUMIF($D$2:$D$5001,D1020,$H$2:$H$5001)+ROW()/10000000,0))</f>
        <v>0</v>
      </c>
      <c r="Q1020" s="47" t="n">
        <f aca="false">IF(OR($A1020="",C1020=""),0,IF(COUNTIF($C$2:C1020,C1020)=1,SUMIF($C$2:$C$5001,C1020,$H$2:$H$5001)+ROW()/10000000,0))</f>
        <v>0</v>
      </c>
    </row>
    <row r="1021" customFormat="false" ht="15" hidden="false" customHeight="false" outlineLevel="0" collapsed="false">
      <c r="A1021" s="43"/>
      <c r="B1021" s="44"/>
      <c r="C1021" s="44"/>
      <c r="D1021" s="44"/>
      <c r="E1021" s="44"/>
      <c r="F1021" s="44"/>
      <c r="G1021" s="44"/>
      <c r="H1021" s="46" t="str">
        <f aca="false">IF($A1021="","",IF(OR(NOT(ISNUMBER(E1021)),NOT(ISNUMBER(F1021))),"",MAX(0,E1021)*F1021))</f>
        <v/>
      </c>
      <c r="I1021" s="46" t="str">
        <f aca="false">IF($A1021="","",SUMIF($A$2:$A$5001,$A1021,$H$2:$H$5001))</f>
        <v/>
      </c>
      <c r="J1021" s="47" t="n">
        <f aca="false">IF($A1021="",0,IF(COUNTIF($A$2:A1021,$A1021)=1,1,0))</f>
        <v>0</v>
      </c>
      <c r="K1021" s="47" t="n">
        <f aca="false">IF(J1021=1,N(I1021)+ROW()/10000000,0)</f>
        <v>0</v>
      </c>
      <c r="L1021" s="47" t="str">
        <f aca="false">IF(AND(J1021=1,N(I1021)&gt;0),SUMIF($K$2:$K$5001,"&gt;="&amp;K1021,$I$2:$I$5001)/MAX(1,SUM($H$2:$H$5001)),"")</f>
        <v/>
      </c>
      <c r="M1021" s="47" t="str">
        <f aca="false">IF($A1021="","",INDEX($L$2:$L$5001,MATCH($A1021,$A$2:$A$5001,0)))</f>
        <v/>
      </c>
      <c r="N1021" s="48" t="str">
        <f aca="false">IF($A1021="","",IF(N(M1021)=0,"–",IF(M1021&lt;=Start!$D$20,"A",IF(M1021&lt;=Start!$D$21,"B","C"))))</f>
        <v/>
      </c>
      <c r="O1021" s="48" t="str">
        <f aca="false">IF($A1021="","",IF(NOT(ISNUMBER(F1021)),"Wert fehlt; ",IF(F1021&lt;=0,"Wert ist 0; ",""))&amp;IF(NOT(ISNUMBER(E1021)),"Bestand fehlt; ",IF(E1021&lt;0,"Bestand negativ; ",IF(E1021=0,"Nullbestand; ","")))&amp;IF(D1021="","Warengruppe fehlt; ","")&amp;IF(B1021="","Bezeichnung fehlt; ","")&amp;IF(COUNTIFS($A$2:$A$5001,$A1021,$C$2:$C$5001,C1021)&gt;1,"Artikel doppelt im selben Lager; ",""))</f>
        <v/>
      </c>
      <c r="P1021" s="47" t="n">
        <f aca="false">IF(OR($A1021="",D1021=""),0,IF(COUNTIF($D$2:D1021,D1021)=1,SUMIF($D$2:$D$5001,D1021,$H$2:$H$5001)+ROW()/10000000,0))</f>
        <v>0</v>
      </c>
      <c r="Q1021" s="47" t="n">
        <f aca="false">IF(OR($A1021="",C1021=""),0,IF(COUNTIF($C$2:C1021,C1021)=1,SUMIF($C$2:$C$5001,C1021,$H$2:$H$5001)+ROW()/10000000,0))</f>
        <v>0</v>
      </c>
    </row>
    <row r="1022" customFormat="false" ht="15" hidden="false" customHeight="false" outlineLevel="0" collapsed="false">
      <c r="A1022" s="43"/>
      <c r="B1022" s="44"/>
      <c r="C1022" s="44"/>
      <c r="D1022" s="44"/>
      <c r="E1022" s="44"/>
      <c r="F1022" s="44"/>
      <c r="G1022" s="44"/>
      <c r="H1022" s="46" t="str">
        <f aca="false">IF($A1022="","",IF(OR(NOT(ISNUMBER(E1022)),NOT(ISNUMBER(F1022))),"",MAX(0,E1022)*F1022))</f>
        <v/>
      </c>
      <c r="I1022" s="46" t="str">
        <f aca="false">IF($A1022="","",SUMIF($A$2:$A$5001,$A1022,$H$2:$H$5001))</f>
        <v/>
      </c>
      <c r="J1022" s="47" t="n">
        <f aca="false">IF($A1022="",0,IF(COUNTIF($A$2:A1022,$A1022)=1,1,0))</f>
        <v>0</v>
      </c>
      <c r="K1022" s="47" t="n">
        <f aca="false">IF(J1022=1,N(I1022)+ROW()/10000000,0)</f>
        <v>0</v>
      </c>
      <c r="L1022" s="47" t="str">
        <f aca="false">IF(AND(J1022=1,N(I1022)&gt;0),SUMIF($K$2:$K$5001,"&gt;="&amp;K1022,$I$2:$I$5001)/MAX(1,SUM($H$2:$H$5001)),"")</f>
        <v/>
      </c>
      <c r="M1022" s="47" t="str">
        <f aca="false">IF($A1022="","",INDEX($L$2:$L$5001,MATCH($A1022,$A$2:$A$5001,0)))</f>
        <v/>
      </c>
      <c r="N1022" s="48" t="str">
        <f aca="false">IF($A1022="","",IF(N(M1022)=0,"–",IF(M1022&lt;=Start!$D$20,"A",IF(M1022&lt;=Start!$D$21,"B","C"))))</f>
        <v/>
      </c>
      <c r="O1022" s="48" t="str">
        <f aca="false">IF($A1022="","",IF(NOT(ISNUMBER(F1022)),"Wert fehlt; ",IF(F1022&lt;=0,"Wert ist 0; ",""))&amp;IF(NOT(ISNUMBER(E1022)),"Bestand fehlt; ",IF(E1022&lt;0,"Bestand negativ; ",IF(E1022=0,"Nullbestand; ","")))&amp;IF(D1022="","Warengruppe fehlt; ","")&amp;IF(B1022="","Bezeichnung fehlt; ","")&amp;IF(COUNTIFS($A$2:$A$5001,$A1022,$C$2:$C$5001,C1022)&gt;1,"Artikel doppelt im selben Lager; ",""))</f>
        <v/>
      </c>
      <c r="P1022" s="47" t="n">
        <f aca="false">IF(OR($A1022="",D1022=""),0,IF(COUNTIF($D$2:D1022,D1022)=1,SUMIF($D$2:$D$5001,D1022,$H$2:$H$5001)+ROW()/10000000,0))</f>
        <v>0</v>
      </c>
      <c r="Q1022" s="47" t="n">
        <f aca="false">IF(OR($A1022="",C1022=""),0,IF(COUNTIF($C$2:C1022,C1022)=1,SUMIF($C$2:$C$5001,C1022,$H$2:$H$5001)+ROW()/10000000,0))</f>
        <v>0</v>
      </c>
    </row>
    <row r="1023" customFormat="false" ht="15" hidden="false" customHeight="false" outlineLevel="0" collapsed="false">
      <c r="A1023" s="43"/>
      <c r="B1023" s="44"/>
      <c r="C1023" s="44"/>
      <c r="D1023" s="44"/>
      <c r="E1023" s="44"/>
      <c r="F1023" s="44"/>
      <c r="G1023" s="44"/>
      <c r="H1023" s="46" t="str">
        <f aca="false">IF($A1023="","",IF(OR(NOT(ISNUMBER(E1023)),NOT(ISNUMBER(F1023))),"",MAX(0,E1023)*F1023))</f>
        <v/>
      </c>
      <c r="I1023" s="46" t="str">
        <f aca="false">IF($A1023="","",SUMIF($A$2:$A$5001,$A1023,$H$2:$H$5001))</f>
        <v/>
      </c>
      <c r="J1023" s="47" t="n">
        <f aca="false">IF($A1023="",0,IF(COUNTIF($A$2:A1023,$A1023)=1,1,0))</f>
        <v>0</v>
      </c>
      <c r="K1023" s="47" t="n">
        <f aca="false">IF(J1023=1,N(I1023)+ROW()/10000000,0)</f>
        <v>0</v>
      </c>
      <c r="L1023" s="47" t="str">
        <f aca="false">IF(AND(J1023=1,N(I1023)&gt;0),SUMIF($K$2:$K$5001,"&gt;="&amp;K1023,$I$2:$I$5001)/MAX(1,SUM($H$2:$H$5001)),"")</f>
        <v/>
      </c>
      <c r="M1023" s="47" t="str">
        <f aca="false">IF($A1023="","",INDEX($L$2:$L$5001,MATCH($A1023,$A$2:$A$5001,0)))</f>
        <v/>
      </c>
      <c r="N1023" s="48" t="str">
        <f aca="false">IF($A1023="","",IF(N(M1023)=0,"–",IF(M1023&lt;=Start!$D$20,"A",IF(M1023&lt;=Start!$D$21,"B","C"))))</f>
        <v/>
      </c>
      <c r="O1023" s="48" t="str">
        <f aca="false">IF($A1023="","",IF(NOT(ISNUMBER(F1023)),"Wert fehlt; ",IF(F1023&lt;=0,"Wert ist 0; ",""))&amp;IF(NOT(ISNUMBER(E1023)),"Bestand fehlt; ",IF(E1023&lt;0,"Bestand negativ; ",IF(E1023=0,"Nullbestand; ","")))&amp;IF(D1023="","Warengruppe fehlt; ","")&amp;IF(B1023="","Bezeichnung fehlt; ","")&amp;IF(COUNTIFS($A$2:$A$5001,$A1023,$C$2:$C$5001,C1023)&gt;1,"Artikel doppelt im selben Lager; ",""))</f>
        <v/>
      </c>
      <c r="P1023" s="47" t="n">
        <f aca="false">IF(OR($A1023="",D1023=""),0,IF(COUNTIF($D$2:D1023,D1023)=1,SUMIF($D$2:$D$5001,D1023,$H$2:$H$5001)+ROW()/10000000,0))</f>
        <v>0</v>
      </c>
      <c r="Q1023" s="47" t="n">
        <f aca="false">IF(OR($A1023="",C1023=""),0,IF(COUNTIF($C$2:C1023,C1023)=1,SUMIF($C$2:$C$5001,C1023,$H$2:$H$5001)+ROW()/10000000,0))</f>
        <v>0</v>
      </c>
    </row>
    <row r="1024" customFormat="false" ht="15" hidden="false" customHeight="false" outlineLevel="0" collapsed="false">
      <c r="A1024" s="43"/>
      <c r="B1024" s="44"/>
      <c r="C1024" s="44"/>
      <c r="D1024" s="44"/>
      <c r="E1024" s="44"/>
      <c r="F1024" s="44"/>
      <c r="G1024" s="44"/>
      <c r="H1024" s="46" t="str">
        <f aca="false">IF($A1024="","",IF(OR(NOT(ISNUMBER(E1024)),NOT(ISNUMBER(F1024))),"",MAX(0,E1024)*F1024))</f>
        <v/>
      </c>
      <c r="I1024" s="46" t="str">
        <f aca="false">IF($A1024="","",SUMIF($A$2:$A$5001,$A1024,$H$2:$H$5001))</f>
        <v/>
      </c>
      <c r="J1024" s="47" t="n">
        <f aca="false">IF($A1024="",0,IF(COUNTIF($A$2:A1024,$A1024)=1,1,0))</f>
        <v>0</v>
      </c>
      <c r="K1024" s="47" t="n">
        <f aca="false">IF(J1024=1,N(I1024)+ROW()/10000000,0)</f>
        <v>0</v>
      </c>
      <c r="L1024" s="47" t="str">
        <f aca="false">IF(AND(J1024=1,N(I1024)&gt;0),SUMIF($K$2:$K$5001,"&gt;="&amp;K1024,$I$2:$I$5001)/MAX(1,SUM($H$2:$H$5001)),"")</f>
        <v/>
      </c>
      <c r="M1024" s="47" t="str">
        <f aca="false">IF($A1024="","",INDEX($L$2:$L$5001,MATCH($A1024,$A$2:$A$5001,0)))</f>
        <v/>
      </c>
      <c r="N1024" s="48" t="str">
        <f aca="false">IF($A1024="","",IF(N(M1024)=0,"–",IF(M1024&lt;=Start!$D$20,"A",IF(M1024&lt;=Start!$D$21,"B","C"))))</f>
        <v/>
      </c>
      <c r="O1024" s="48" t="str">
        <f aca="false">IF($A1024="","",IF(NOT(ISNUMBER(F1024)),"Wert fehlt; ",IF(F1024&lt;=0,"Wert ist 0; ",""))&amp;IF(NOT(ISNUMBER(E1024)),"Bestand fehlt; ",IF(E1024&lt;0,"Bestand negativ; ",IF(E1024=0,"Nullbestand; ","")))&amp;IF(D1024="","Warengruppe fehlt; ","")&amp;IF(B1024="","Bezeichnung fehlt; ","")&amp;IF(COUNTIFS($A$2:$A$5001,$A1024,$C$2:$C$5001,C1024)&gt;1,"Artikel doppelt im selben Lager; ",""))</f>
        <v/>
      </c>
      <c r="P1024" s="47" t="n">
        <f aca="false">IF(OR($A1024="",D1024=""),0,IF(COUNTIF($D$2:D1024,D1024)=1,SUMIF($D$2:$D$5001,D1024,$H$2:$H$5001)+ROW()/10000000,0))</f>
        <v>0</v>
      </c>
      <c r="Q1024" s="47" t="n">
        <f aca="false">IF(OR($A1024="",C1024=""),0,IF(COUNTIF($C$2:C1024,C1024)=1,SUMIF($C$2:$C$5001,C1024,$H$2:$H$5001)+ROW()/10000000,0))</f>
        <v>0</v>
      </c>
    </row>
    <row r="1025" customFormat="false" ht="15" hidden="false" customHeight="false" outlineLevel="0" collapsed="false">
      <c r="A1025" s="43"/>
      <c r="B1025" s="44"/>
      <c r="C1025" s="44"/>
      <c r="D1025" s="44"/>
      <c r="E1025" s="44"/>
      <c r="F1025" s="44"/>
      <c r="G1025" s="44"/>
      <c r="H1025" s="46" t="str">
        <f aca="false">IF($A1025="","",IF(OR(NOT(ISNUMBER(E1025)),NOT(ISNUMBER(F1025))),"",MAX(0,E1025)*F1025))</f>
        <v/>
      </c>
      <c r="I1025" s="46" t="str">
        <f aca="false">IF($A1025="","",SUMIF($A$2:$A$5001,$A1025,$H$2:$H$5001))</f>
        <v/>
      </c>
      <c r="J1025" s="47" t="n">
        <f aca="false">IF($A1025="",0,IF(COUNTIF($A$2:A1025,$A1025)=1,1,0))</f>
        <v>0</v>
      </c>
      <c r="K1025" s="47" t="n">
        <f aca="false">IF(J1025=1,N(I1025)+ROW()/10000000,0)</f>
        <v>0</v>
      </c>
      <c r="L1025" s="47" t="str">
        <f aca="false">IF(AND(J1025=1,N(I1025)&gt;0),SUMIF($K$2:$K$5001,"&gt;="&amp;K1025,$I$2:$I$5001)/MAX(1,SUM($H$2:$H$5001)),"")</f>
        <v/>
      </c>
      <c r="M1025" s="47" t="str">
        <f aca="false">IF($A1025="","",INDEX($L$2:$L$5001,MATCH($A1025,$A$2:$A$5001,0)))</f>
        <v/>
      </c>
      <c r="N1025" s="48" t="str">
        <f aca="false">IF($A1025="","",IF(N(M1025)=0,"–",IF(M1025&lt;=Start!$D$20,"A",IF(M1025&lt;=Start!$D$21,"B","C"))))</f>
        <v/>
      </c>
      <c r="O1025" s="48" t="str">
        <f aca="false">IF($A1025="","",IF(NOT(ISNUMBER(F1025)),"Wert fehlt; ",IF(F1025&lt;=0,"Wert ist 0; ",""))&amp;IF(NOT(ISNUMBER(E1025)),"Bestand fehlt; ",IF(E1025&lt;0,"Bestand negativ; ",IF(E1025=0,"Nullbestand; ","")))&amp;IF(D1025="","Warengruppe fehlt; ","")&amp;IF(B1025="","Bezeichnung fehlt; ","")&amp;IF(COUNTIFS($A$2:$A$5001,$A1025,$C$2:$C$5001,C1025)&gt;1,"Artikel doppelt im selben Lager; ",""))</f>
        <v/>
      </c>
      <c r="P1025" s="47" t="n">
        <f aca="false">IF(OR($A1025="",D1025=""),0,IF(COUNTIF($D$2:D1025,D1025)=1,SUMIF($D$2:$D$5001,D1025,$H$2:$H$5001)+ROW()/10000000,0))</f>
        <v>0</v>
      </c>
      <c r="Q1025" s="47" t="n">
        <f aca="false">IF(OR($A1025="",C1025=""),0,IF(COUNTIF($C$2:C1025,C1025)=1,SUMIF($C$2:$C$5001,C1025,$H$2:$H$5001)+ROW()/10000000,0))</f>
        <v>0</v>
      </c>
    </row>
    <row r="1026" customFormat="false" ht="15" hidden="false" customHeight="false" outlineLevel="0" collapsed="false">
      <c r="A1026" s="43"/>
      <c r="B1026" s="44"/>
      <c r="C1026" s="44"/>
      <c r="D1026" s="44"/>
      <c r="E1026" s="44"/>
      <c r="F1026" s="44"/>
      <c r="G1026" s="44"/>
      <c r="H1026" s="46" t="str">
        <f aca="false">IF($A1026="","",IF(OR(NOT(ISNUMBER(E1026)),NOT(ISNUMBER(F1026))),"",MAX(0,E1026)*F1026))</f>
        <v/>
      </c>
      <c r="I1026" s="46" t="str">
        <f aca="false">IF($A1026="","",SUMIF($A$2:$A$5001,$A1026,$H$2:$H$5001))</f>
        <v/>
      </c>
      <c r="J1026" s="47" t="n">
        <f aca="false">IF($A1026="",0,IF(COUNTIF($A$2:A1026,$A1026)=1,1,0))</f>
        <v>0</v>
      </c>
      <c r="K1026" s="47" t="n">
        <f aca="false">IF(J1026=1,N(I1026)+ROW()/10000000,0)</f>
        <v>0</v>
      </c>
      <c r="L1026" s="47" t="str">
        <f aca="false">IF(AND(J1026=1,N(I1026)&gt;0),SUMIF($K$2:$K$5001,"&gt;="&amp;K1026,$I$2:$I$5001)/MAX(1,SUM($H$2:$H$5001)),"")</f>
        <v/>
      </c>
      <c r="M1026" s="47" t="str">
        <f aca="false">IF($A1026="","",INDEX($L$2:$L$5001,MATCH($A1026,$A$2:$A$5001,0)))</f>
        <v/>
      </c>
      <c r="N1026" s="48" t="str">
        <f aca="false">IF($A1026="","",IF(N(M1026)=0,"–",IF(M1026&lt;=Start!$D$20,"A",IF(M1026&lt;=Start!$D$21,"B","C"))))</f>
        <v/>
      </c>
      <c r="O1026" s="48" t="str">
        <f aca="false">IF($A1026="","",IF(NOT(ISNUMBER(F1026)),"Wert fehlt; ",IF(F1026&lt;=0,"Wert ist 0; ",""))&amp;IF(NOT(ISNUMBER(E1026)),"Bestand fehlt; ",IF(E1026&lt;0,"Bestand negativ; ",IF(E1026=0,"Nullbestand; ","")))&amp;IF(D1026="","Warengruppe fehlt; ","")&amp;IF(B1026="","Bezeichnung fehlt; ","")&amp;IF(COUNTIFS($A$2:$A$5001,$A1026,$C$2:$C$5001,C1026)&gt;1,"Artikel doppelt im selben Lager; ",""))</f>
        <v/>
      </c>
      <c r="P1026" s="47" t="n">
        <f aca="false">IF(OR($A1026="",D1026=""),0,IF(COUNTIF($D$2:D1026,D1026)=1,SUMIF($D$2:$D$5001,D1026,$H$2:$H$5001)+ROW()/10000000,0))</f>
        <v>0</v>
      </c>
      <c r="Q1026" s="47" t="n">
        <f aca="false">IF(OR($A1026="",C1026=""),0,IF(COUNTIF($C$2:C1026,C1026)=1,SUMIF($C$2:$C$5001,C1026,$H$2:$H$5001)+ROW()/10000000,0))</f>
        <v>0</v>
      </c>
    </row>
    <row r="1027" customFormat="false" ht="15" hidden="false" customHeight="false" outlineLevel="0" collapsed="false">
      <c r="A1027" s="43"/>
      <c r="B1027" s="44"/>
      <c r="C1027" s="44"/>
      <c r="D1027" s="44"/>
      <c r="E1027" s="44"/>
      <c r="F1027" s="44"/>
      <c r="G1027" s="44"/>
      <c r="H1027" s="46" t="str">
        <f aca="false">IF($A1027="","",IF(OR(NOT(ISNUMBER(E1027)),NOT(ISNUMBER(F1027))),"",MAX(0,E1027)*F1027))</f>
        <v/>
      </c>
      <c r="I1027" s="46" t="str">
        <f aca="false">IF($A1027="","",SUMIF($A$2:$A$5001,$A1027,$H$2:$H$5001))</f>
        <v/>
      </c>
      <c r="J1027" s="47" t="n">
        <f aca="false">IF($A1027="",0,IF(COUNTIF($A$2:A1027,$A1027)=1,1,0))</f>
        <v>0</v>
      </c>
      <c r="K1027" s="47" t="n">
        <f aca="false">IF(J1027=1,N(I1027)+ROW()/10000000,0)</f>
        <v>0</v>
      </c>
      <c r="L1027" s="47" t="str">
        <f aca="false">IF(AND(J1027=1,N(I1027)&gt;0),SUMIF($K$2:$K$5001,"&gt;="&amp;K1027,$I$2:$I$5001)/MAX(1,SUM($H$2:$H$5001)),"")</f>
        <v/>
      </c>
      <c r="M1027" s="47" t="str">
        <f aca="false">IF($A1027="","",INDEX($L$2:$L$5001,MATCH($A1027,$A$2:$A$5001,0)))</f>
        <v/>
      </c>
      <c r="N1027" s="48" t="str">
        <f aca="false">IF($A1027="","",IF(N(M1027)=0,"–",IF(M1027&lt;=Start!$D$20,"A",IF(M1027&lt;=Start!$D$21,"B","C"))))</f>
        <v/>
      </c>
      <c r="O1027" s="48" t="str">
        <f aca="false">IF($A1027="","",IF(NOT(ISNUMBER(F1027)),"Wert fehlt; ",IF(F1027&lt;=0,"Wert ist 0; ",""))&amp;IF(NOT(ISNUMBER(E1027)),"Bestand fehlt; ",IF(E1027&lt;0,"Bestand negativ; ",IF(E1027=0,"Nullbestand; ","")))&amp;IF(D1027="","Warengruppe fehlt; ","")&amp;IF(B1027="","Bezeichnung fehlt; ","")&amp;IF(COUNTIFS($A$2:$A$5001,$A1027,$C$2:$C$5001,C1027)&gt;1,"Artikel doppelt im selben Lager; ",""))</f>
        <v/>
      </c>
      <c r="P1027" s="47" t="n">
        <f aca="false">IF(OR($A1027="",D1027=""),0,IF(COUNTIF($D$2:D1027,D1027)=1,SUMIF($D$2:$D$5001,D1027,$H$2:$H$5001)+ROW()/10000000,0))</f>
        <v>0</v>
      </c>
      <c r="Q1027" s="47" t="n">
        <f aca="false">IF(OR($A1027="",C1027=""),0,IF(COUNTIF($C$2:C1027,C1027)=1,SUMIF($C$2:$C$5001,C1027,$H$2:$H$5001)+ROW()/10000000,0))</f>
        <v>0</v>
      </c>
    </row>
    <row r="1028" customFormat="false" ht="15" hidden="false" customHeight="false" outlineLevel="0" collapsed="false">
      <c r="A1028" s="43"/>
      <c r="B1028" s="44"/>
      <c r="C1028" s="44"/>
      <c r="D1028" s="44"/>
      <c r="E1028" s="44"/>
      <c r="F1028" s="44"/>
      <c r="G1028" s="44"/>
      <c r="H1028" s="46" t="str">
        <f aca="false">IF($A1028="","",IF(OR(NOT(ISNUMBER(E1028)),NOT(ISNUMBER(F1028))),"",MAX(0,E1028)*F1028))</f>
        <v/>
      </c>
      <c r="I1028" s="46" t="str">
        <f aca="false">IF($A1028="","",SUMIF($A$2:$A$5001,$A1028,$H$2:$H$5001))</f>
        <v/>
      </c>
      <c r="J1028" s="47" t="n">
        <f aca="false">IF($A1028="",0,IF(COUNTIF($A$2:A1028,$A1028)=1,1,0))</f>
        <v>0</v>
      </c>
      <c r="K1028" s="47" t="n">
        <f aca="false">IF(J1028=1,N(I1028)+ROW()/10000000,0)</f>
        <v>0</v>
      </c>
      <c r="L1028" s="47" t="str">
        <f aca="false">IF(AND(J1028=1,N(I1028)&gt;0),SUMIF($K$2:$K$5001,"&gt;="&amp;K1028,$I$2:$I$5001)/MAX(1,SUM($H$2:$H$5001)),"")</f>
        <v/>
      </c>
      <c r="M1028" s="47" t="str">
        <f aca="false">IF($A1028="","",INDEX($L$2:$L$5001,MATCH($A1028,$A$2:$A$5001,0)))</f>
        <v/>
      </c>
      <c r="N1028" s="48" t="str">
        <f aca="false">IF($A1028="","",IF(N(M1028)=0,"–",IF(M1028&lt;=Start!$D$20,"A",IF(M1028&lt;=Start!$D$21,"B","C"))))</f>
        <v/>
      </c>
      <c r="O1028" s="48" t="str">
        <f aca="false">IF($A1028="","",IF(NOT(ISNUMBER(F1028)),"Wert fehlt; ",IF(F1028&lt;=0,"Wert ist 0; ",""))&amp;IF(NOT(ISNUMBER(E1028)),"Bestand fehlt; ",IF(E1028&lt;0,"Bestand negativ; ",IF(E1028=0,"Nullbestand; ","")))&amp;IF(D1028="","Warengruppe fehlt; ","")&amp;IF(B1028="","Bezeichnung fehlt; ","")&amp;IF(COUNTIFS($A$2:$A$5001,$A1028,$C$2:$C$5001,C1028)&gt;1,"Artikel doppelt im selben Lager; ",""))</f>
        <v/>
      </c>
      <c r="P1028" s="47" t="n">
        <f aca="false">IF(OR($A1028="",D1028=""),0,IF(COUNTIF($D$2:D1028,D1028)=1,SUMIF($D$2:$D$5001,D1028,$H$2:$H$5001)+ROW()/10000000,0))</f>
        <v>0</v>
      </c>
      <c r="Q1028" s="47" t="n">
        <f aca="false">IF(OR($A1028="",C1028=""),0,IF(COUNTIF($C$2:C1028,C1028)=1,SUMIF($C$2:$C$5001,C1028,$H$2:$H$5001)+ROW()/10000000,0))</f>
        <v>0</v>
      </c>
    </row>
    <row r="1029" customFormat="false" ht="15" hidden="false" customHeight="false" outlineLevel="0" collapsed="false">
      <c r="A1029" s="43"/>
      <c r="B1029" s="44"/>
      <c r="C1029" s="44"/>
      <c r="D1029" s="44"/>
      <c r="E1029" s="44"/>
      <c r="F1029" s="44"/>
      <c r="G1029" s="44"/>
      <c r="H1029" s="46" t="str">
        <f aca="false">IF($A1029="","",IF(OR(NOT(ISNUMBER(E1029)),NOT(ISNUMBER(F1029))),"",MAX(0,E1029)*F1029))</f>
        <v/>
      </c>
      <c r="I1029" s="46" t="str">
        <f aca="false">IF($A1029="","",SUMIF($A$2:$A$5001,$A1029,$H$2:$H$5001))</f>
        <v/>
      </c>
      <c r="J1029" s="47" t="n">
        <f aca="false">IF($A1029="",0,IF(COUNTIF($A$2:A1029,$A1029)=1,1,0))</f>
        <v>0</v>
      </c>
      <c r="K1029" s="47" t="n">
        <f aca="false">IF(J1029=1,N(I1029)+ROW()/10000000,0)</f>
        <v>0</v>
      </c>
      <c r="L1029" s="47" t="str">
        <f aca="false">IF(AND(J1029=1,N(I1029)&gt;0),SUMIF($K$2:$K$5001,"&gt;="&amp;K1029,$I$2:$I$5001)/MAX(1,SUM($H$2:$H$5001)),"")</f>
        <v/>
      </c>
      <c r="M1029" s="47" t="str">
        <f aca="false">IF($A1029="","",INDEX($L$2:$L$5001,MATCH($A1029,$A$2:$A$5001,0)))</f>
        <v/>
      </c>
      <c r="N1029" s="48" t="str">
        <f aca="false">IF($A1029="","",IF(N(M1029)=0,"–",IF(M1029&lt;=Start!$D$20,"A",IF(M1029&lt;=Start!$D$21,"B","C"))))</f>
        <v/>
      </c>
      <c r="O1029" s="48" t="str">
        <f aca="false">IF($A1029="","",IF(NOT(ISNUMBER(F1029)),"Wert fehlt; ",IF(F1029&lt;=0,"Wert ist 0; ",""))&amp;IF(NOT(ISNUMBER(E1029)),"Bestand fehlt; ",IF(E1029&lt;0,"Bestand negativ; ",IF(E1029=0,"Nullbestand; ","")))&amp;IF(D1029="","Warengruppe fehlt; ","")&amp;IF(B1029="","Bezeichnung fehlt; ","")&amp;IF(COUNTIFS($A$2:$A$5001,$A1029,$C$2:$C$5001,C1029)&gt;1,"Artikel doppelt im selben Lager; ",""))</f>
        <v/>
      </c>
      <c r="P1029" s="47" t="n">
        <f aca="false">IF(OR($A1029="",D1029=""),0,IF(COUNTIF($D$2:D1029,D1029)=1,SUMIF($D$2:$D$5001,D1029,$H$2:$H$5001)+ROW()/10000000,0))</f>
        <v>0</v>
      </c>
      <c r="Q1029" s="47" t="n">
        <f aca="false">IF(OR($A1029="",C1029=""),0,IF(COUNTIF($C$2:C1029,C1029)=1,SUMIF($C$2:$C$5001,C1029,$H$2:$H$5001)+ROW()/10000000,0))</f>
        <v>0</v>
      </c>
    </row>
    <row r="1030" customFormat="false" ht="15" hidden="false" customHeight="false" outlineLevel="0" collapsed="false">
      <c r="A1030" s="43"/>
      <c r="B1030" s="44"/>
      <c r="C1030" s="44"/>
      <c r="D1030" s="44"/>
      <c r="E1030" s="44"/>
      <c r="F1030" s="44"/>
      <c r="G1030" s="44"/>
      <c r="H1030" s="46" t="str">
        <f aca="false">IF($A1030="","",IF(OR(NOT(ISNUMBER(E1030)),NOT(ISNUMBER(F1030))),"",MAX(0,E1030)*F1030))</f>
        <v/>
      </c>
      <c r="I1030" s="46" t="str">
        <f aca="false">IF($A1030="","",SUMIF($A$2:$A$5001,$A1030,$H$2:$H$5001))</f>
        <v/>
      </c>
      <c r="J1030" s="47" t="n">
        <f aca="false">IF($A1030="",0,IF(COUNTIF($A$2:A1030,$A1030)=1,1,0))</f>
        <v>0</v>
      </c>
      <c r="K1030" s="47" t="n">
        <f aca="false">IF(J1030=1,N(I1030)+ROW()/10000000,0)</f>
        <v>0</v>
      </c>
      <c r="L1030" s="47" t="str">
        <f aca="false">IF(AND(J1030=1,N(I1030)&gt;0),SUMIF($K$2:$K$5001,"&gt;="&amp;K1030,$I$2:$I$5001)/MAX(1,SUM($H$2:$H$5001)),"")</f>
        <v/>
      </c>
      <c r="M1030" s="47" t="str">
        <f aca="false">IF($A1030="","",INDEX($L$2:$L$5001,MATCH($A1030,$A$2:$A$5001,0)))</f>
        <v/>
      </c>
      <c r="N1030" s="48" t="str">
        <f aca="false">IF($A1030="","",IF(N(M1030)=0,"–",IF(M1030&lt;=Start!$D$20,"A",IF(M1030&lt;=Start!$D$21,"B","C"))))</f>
        <v/>
      </c>
      <c r="O1030" s="48" t="str">
        <f aca="false">IF($A1030="","",IF(NOT(ISNUMBER(F1030)),"Wert fehlt; ",IF(F1030&lt;=0,"Wert ist 0; ",""))&amp;IF(NOT(ISNUMBER(E1030)),"Bestand fehlt; ",IF(E1030&lt;0,"Bestand negativ; ",IF(E1030=0,"Nullbestand; ","")))&amp;IF(D1030="","Warengruppe fehlt; ","")&amp;IF(B1030="","Bezeichnung fehlt; ","")&amp;IF(COUNTIFS($A$2:$A$5001,$A1030,$C$2:$C$5001,C1030)&gt;1,"Artikel doppelt im selben Lager; ",""))</f>
        <v/>
      </c>
      <c r="P1030" s="47" t="n">
        <f aca="false">IF(OR($A1030="",D1030=""),0,IF(COUNTIF($D$2:D1030,D1030)=1,SUMIF($D$2:$D$5001,D1030,$H$2:$H$5001)+ROW()/10000000,0))</f>
        <v>0</v>
      </c>
      <c r="Q1030" s="47" t="n">
        <f aca="false">IF(OR($A1030="",C1030=""),0,IF(COUNTIF($C$2:C1030,C1030)=1,SUMIF($C$2:$C$5001,C1030,$H$2:$H$5001)+ROW()/10000000,0))</f>
        <v>0</v>
      </c>
    </row>
    <row r="1031" customFormat="false" ht="15" hidden="false" customHeight="false" outlineLevel="0" collapsed="false">
      <c r="A1031" s="43"/>
      <c r="B1031" s="44"/>
      <c r="C1031" s="44"/>
      <c r="D1031" s="44"/>
      <c r="E1031" s="44"/>
      <c r="F1031" s="44"/>
      <c r="G1031" s="44"/>
      <c r="H1031" s="46" t="str">
        <f aca="false">IF($A1031="","",IF(OR(NOT(ISNUMBER(E1031)),NOT(ISNUMBER(F1031))),"",MAX(0,E1031)*F1031))</f>
        <v/>
      </c>
      <c r="I1031" s="46" t="str">
        <f aca="false">IF($A1031="","",SUMIF($A$2:$A$5001,$A1031,$H$2:$H$5001))</f>
        <v/>
      </c>
      <c r="J1031" s="47" t="n">
        <f aca="false">IF($A1031="",0,IF(COUNTIF($A$2:A1031,$A1031)=1,1,0))</f>
        <v>0</v>
      </c>
      <c r="K1031" s="47" t="n">
        <f aca="false">IF(J1031=1,N(I1031)+ROW()/10000000,0)</f>
        <v>0</v>
      </c>
      <c r="L1031" s="47" t="str">
        <f aca="false">IF(AND(J1031=1,N(I1031)&gt;0),SUMIF($K$2:$K$5001,"&gt;="&amp;K1031,$I$2:$I$5001)/MAX(1,SUM($H$2:$H$5001)),"")</f>
        <v/>
      </c>
      <c r="M1031" s="47" t="str">
        <f aca="false">IF($A1031="","",INDEX($L$2:$L$5001,MATCH($A1031,$A$2:$A$5001,0)))</f>
        <v/>
      </c>
      <c r="N1031" s="48" t="str">
        <f aca="false">IF($A1031="","",IF(N(M1031)=0,"–",IF(M1031&lt;=Start!$D$20,"A",IF(M1031&lt;=Start!$D$21,"B","C"))))</f>
        <v/>
      </c>
      <c r="O1031" s="48" t="str">
        <f aca="false">IF($A1031="","",IF(NOT(ISNUMBER(F1031)),"Wert fehlt; ",IF(F1031&lt;=0,"Wert ist 0; ",""))&amp;IF(NOT(ISNUMBER(E1031)),"Bestand fehlt; ",IF(E1031&lt;0,"Bestand negativ; ",IF(E1031=0,"Nullbestand; ","")))&amp;IF(D1031="","Warengruppe fehlt; ","")&amp;IF(B1031="","Bezeichnung fehlt; ","")&amp;IF(COUNTIFS($A$2:$A$5001,$A1031,$C$2:$C$5001,C1031)&gt;1,"Artikel doppelt im selben Lager; ",""))</f>
        <v/>
      </c>
      <c r="P1031" s="47" t="n">
        <f aca="false">IF(OR($A1031="",D1031=""),0,IF(COUNTIF($D$2:D1031,D1031)=1,SUMIF($D$2:$D$5001,D1031,$H$2:$H$5001)+ROW()/10000000,0))</f>
        <v>0</v>
      </c>
      <c r="Q1031" s="47" t="n">
        <f aca="false">IF(OR($A1031="",C1031=""),0,IF(COUNTIF($C$2:C1031,C1031)=1,SUMIF($C$2:$C$5001,C1031,$H$2:$H$5001)+ROW()/10000000,0))</f>
        <v>0</v>
      </c>
    </row>
    <row r="1032" customFormat="false" ht="15" hidden="false" customHeight="false" outlineLevel="0" collapsed="false">
      <c r="A1032" s="43"/>
      <c r="B1032" s="44"/>
      <c r="C1032" s="44"/>
      <c r="D1032" s="44"/>
      <c r="E1032" s="44"/>
      <c r="F1032" s="44"/>
      <c r="G1032" s="44"/>
      <c r="H1032" s="46" t="str">
        <f aca="false">IF($A1032="","",IF(OR(NOT(ISNUMBER(E1032)),NOT(ISNUMBER(F1032))),"",MAX(0,E1032)*F1032))</f>
        <v/>
      </c>
      <c r="I1032" s="46" t="str">
        <f aca="false">IF($A1032="","",SUMIF($A$2:$A$5001,$A1032,$H$2:$H$5001))</f>
        <v/>
      </c>
      <c r="J1032" s="47" t="n">
        <f aca="false">IF($A1032="",0,IF(COUNTIF($A$2:A1032,$A1032)=1,1,0))</f>
        <v>0</v>
      </c>
      <c r="K1032" s="47" t="n">
        <f aca="false">IF(J1032=1,N(I1032)+ROW()/10000000,0)</f>
        <v>0</v>
      </c>
      <c r="L1032" s="47" t="str">
        <f aca="false">IF(AND(J1032=1,N(I1032)&gt;0),SUMIF($K$2:$K$5001,"&gt;="&amp;K1032,$I$2:$I$5001)/MAX(1,SUM($H$2:$H$5001)),"")</f>
        <v/>
      </c>
      <c r="M1032" s="47" t="str">
        <f aca="false">IF($A1032="","",INDEX($L$2:$L$5001,MATCH($A1032,$A$2:$A$5001,0)))</f>
        <v/>
      </c>
      <c r="N1032" s="48" t="str">
        <f aca="false">IF($A1032="","",IF(N(M1032)=0,"–",IF(M1032&lt;=Start!$D$20,"A",IF(M1032&lt;=Start!$D$21,"B","C"))))</f>
        <v/>
      </c>
      <c r="O1032" s="48" t="str">
        <f aca="false">IF($A1032="","",IF(NOT(ISNUMBER(F1032)),"Wert fehlt; ",IF(F1032&lt;=0,"Wert ist 0; ",""))&amp;IF(NOT(ISNUMBER(E1032)),"Bestand fehlt; ",IF(E1032&lt;0,"Bestand negativ; ",IF(E1032=0,"Nullbestand; ","")))&amp;IF(D1032="","Warengruppe fehlt; ","")&amp;IF(B1032="","Bezeichnung fehlt; ","")&amp;IF(COUNTIFS($A$2:$A$5001,$A1032,$C$2:$C$5001,C1032)&gt;1,"Artikel doppelt im selben Lager; ",""))</f>
        <v/>
      </c>
      <c r="P1032" s="47" t="n">
        <f aca="false">IF(OR($A1032="",D1032=""),0,IF(COUNTIF($D$2:D1032,D1032)=1,SUMIF($D$2:$D$5001,D1032,$H$2:$H$5001)+ROW()/10000000,0))</f>
        <v>0</v>
      </c>
      <c r="Q1032" s="47" t="n">
        <f aca="false">IF(OR($A1032="",C1032=""),0,IF(COUNTIF($C$2:C1032,C1032)=1,SUMIF($C$2:$C$5001,C1032,$H$2:$H$5001)+ROW()/10000000,0))</f>
        <v>0</v>
      </c>
    </row>
    <row r="1033" customFormat="false" ht="15" hidden="false" customHeight="false" outlineLevel="0" collapsed="false">
      <c r="A1033" s="43"/>
      <c r="B1033" s="44"/>
      <c r="C1033" s="44"/>
      <c r="D1033" s="44"/>
      <c r="E1033" s="44"/>
      <c r="F1033" s="44"/>
      <c r="G1033" s="44"/>
      <c r="H1033" s="46" t="str">
        <f aca="false">IF($A1033="","",IF(OR(NOT(ISNUMBER(E1033)),NOT(ISNUMBER(F1033))),"",MAX(0,E1033)*F1033))</f>
        <v/>
      </c>
      <c r="I1033" s="46" t="str">
        <f aca="false">IF($A1033="","",SUMIF($A$2:$A$5001,$A1033,$H$2:$H$5001))</f>
        <v/>
      </c>
      <c r="J1033" s="47" t="n">
        <f aca="false">IF($A1033="",0,IF(COUNTIF($A$2:A1033,$A1033)=1,1,0))</f>
        <v>0</v>
      </c>
      <c r="K1033" s="47" t="n">
        <f aca="false">IF(J1033=1,N(I1033)+ROW()/10000000,0)</f>
        <v>0</v>
      </c>
      <c r="L1033" s="47" t="str">
        <f aca="false">IF(AND(J1033=1,N(I1033)&gt;0),SUMIF($K$2:$K$5001,"&gt;="&amp;K1033,$I$2:$I$5001)/MAX(1,SUM($H$2:$H$5001)),"")</f>
        <v/>
      </c>
      <c r="M1033" s="47" t="str">
        <f aca="false">IF($A1033="","",INDEX($L$2:$L$5001,MATCH($A1033,$A$2:$A$5001,0)))</f>
        <v/>
      </c>
      <c r="N1033" s="48" t="str">
        <f aca="false">IF($A1033="","",IF(N(M1033)=0,"–",IF(M1033&lt;=Start!$D$20,"A",IF(M1033&lt;=Start!$D$21,"B","C"))))</f>
        <v/>
      </c>
      <c r="O1033" s="48" t="str">
        <f aca="false">IF($A1033="","",IF(NOT(ISNUMBER(F1033)),"Wert fehlt; ",IF(F1033&lt;=0,"Wert ist 0; ",""))&amp;IF(NOT(ISNUMBER(E1033)),"Bestand fehlt; ",IF(E1033&lt;0,"Bestand negativ; ",IF(E1033=0,"Nullbestand; ","")))&amp;IF(D1033="","Warengruppe fehlt; ","")&amp;IF(B1033="","Bezeichnung fehlt; ","")&amp;IF(COUNTIFS($A$2:$A$5001,$A1033,$C$2:$C$5001,C1033)&gt;1,"Artikel doppelt im selben Lager; ",""))</f>
        <v/>
      </c>
      <c r="P1033" s="47" t="n">
        <f aca="false">IF(OR($A1033="",D1033=""),0,IF(COUNTIF($D$2:D1033,D1033)=1,SUMIF($D$2:$D$5001,D1033,$H$2:$H$5001)+ROW()/10000000,0))</f>
        <v>0</v>
      </c>
      <c r="Q1033" s="47" t="n">
        <f aca="false">IF(OR($A1033="",C1033=""),0,IF(COUNTIF($C$2:C1033,C1033)=1,SUMIF($C$2:$C$5001,C1033,$H$2:$H$5001)+ROW()/10000000,0))</f>
        <v>0</v>
      </c>
    </row>
    <row r="1034" customFormat="false" ht="15" hidden="false" customHeight="false" outlineLevel="0" collapsed="false">
      <c r="A1034" s="43"/>
      <c r="B1034" s="44"/>
      <c r="C1034" s="44"/>
      <c r="D1034" s="44"/>
      <c r="E1034" s="44"/>
      <c r="F1034" s="44"/>
      <c r="G1034" s="44"/>
      <c r="H1034" s="46" t="str">
        <f aca="false">IF($A1034="","",IF(OR(NOT(ISNUMBER(E1034)),NOT(ISNUMBER(F1034))),"",MAX(0,E1034)*F1034))</f>
        <v/>
      </c>
      <c r="I1034" s="46" t="str">
        <f aca="false">IF($A1034="","",SUMIF($A$2:$A$5001,$A1034,$H$2:$H$5001))</f>
        <v/>
      </c>
      <c r="J1034" s="47" t="n">
        <f aca="false">IF($A1034="",0,IF(COUNTIF($A$2:A1034,$A1034)=1,1,0))</f>
        <v>0</v>
      </c>
      <c r="K1034" s="47" t="n">
        <f aca="false">IF(J1034=1,N(I1034)+ROW()/10000000,0)</f>
        <v>0</v>
      </c>
      <c r="L1034" s="47" t="str">
        <f aca="false">IF(AND(J1034=1,N(I1034)&gt;0),SUMIF($K$2:$K$5001,"&gt;="&amp;K1034,$I$2:$I$5001)/MAX(1,SUM($H$2:$H$5001)),"")</f>
        <v/>
      </c>
      <c r="M1034" s="47" t="str">
        <f aca="false">IF($A1034="","",INDEX($L$2:$L$5001,MATCH($A1034,$A$2:$A$5001,0)))</f>
        <v/>
      </c>
      <c r="N1034" s="48" t="str">
        <f aca="false">IF($A1034="","",IF(N(M1034)=0,"–",IF(M1034&lt;=Start!$D$20,"A",IF(M1034&lt;=Start!$D$21,"B","C"))))</f>
        <v/>
      </c>
      <c r="O1034" s="48" t="str">
        <f aca="false">IF($A1034="","",IF(NOT(ISNUMBER(F1034)),"Wert fehlt; ",IF(F1034&lt;=0,"Wert ist 0; ",""))&amp;IF(NOT(ISNUMBER(E1034)),"Bestand fehlt; ",IF(E1034&lt;0,"Bestand negativ; ",IF(E1034=0,"Nullbestand; ","")))&amp;IF(D1034="","Warengruppe fehlt; ","")&amp;IF(B1034="","Bezeichnung fehlt; ","")&amp;IF(COUNTIFS($A$2:$A$5001,$A1034,$C$2:$C$5001,C1034)&gt;1,"Artikel doppelt im selben Lager; ",""))</f>
        <v/>
      </c>
      <c r="P1034" s="47" t="n">
        <f aca="false">IF(OR($A1034="",D1034=""),0,IF(COUNTIF($D$2:D1034,D1034)=1,SUMIF($D$2:$D$5001,D1034,$H$2:$H$5001)+ROW()/10000000,0))</f>
        <v>0</v>
      </c>
      <c r="Q1034" s="47" t="n">
        <f aca="false">IF(OR($A1034="",C1034=""),0,IF(COUNTIF($C$2:C1034,C1034)=1,SUMIF($C$2:$C$5001,C1034,$H$2:$H$5001)+ROW()/10000000,0))</f>
        <v>0</v>
      </c>
    </row>
    <row r="1035" customFormat="false" ht="15" hidden="false" customHeight="false" outlineLevel="0" collapsed="false">
      <c r="A1035" s="43"/>
      <c r="B1035" s="44"/>
      <c r="C1035" s="44"/>
      <c r="D1035" s="44"/>
      <c r="E1035" s="44"/>
      <c r="F1035" s="44"/>
      <c r="G1035" s="44"/>
      <c r="H1035" s="46" t="str">
        <f aca="false">IF($A1035="","",IF(OR(NOT(ISNUMBER(E1035)),NOT(ISNUMBER(F1035))),"",MAX(0,E1035)*F1035))</f>
        <v/>
      </c>
      <c r="I1035" s="46" t="str">
        <f aca="false">IF($A1035="","",SUMIF($A$2:$A$5001,$A1035,$H$2:$H$5001))</f>
        <v/>
      </c>
      <c r="J1035" s="47" t="n">
        <f aca="false">IF($A1035="",0,IF(COUNTIF($A$2:A1035,$A1035)=1,1,0))</f>
        <v>0</v>
      </c>
      <c r="K1035" s="47" t="n">
        <f aca="false">IF(J1035=1,N(I1035)+ROW()/10000000,0)</f>
        <v>0</v>
      </c>
      <c r="L1035" s="47" t="str">
        <f aca="false">IF(AND(J1035=1,N(I1035)&gt;0),SUMIF($K$2:$K$5001,"&gt;="&amp;K1035,$I$2:$I$5001)/MAX(1,SUM($H$2:$H$5001)),"")</f>
        <v/>
      </c>
      <c r="M1035" s="47" t="str">
        <f aca="false">IF($A1035="","",INDEX($L$2:$L$5001,MATCH($A1035,$A$2:$A$5001,0)))</f>
        <v/>
      </c>
      <c r="N1035" s="48" t="str">
        <f aca="false">IF($A1035="","",IF(N(M1035)=0,"–",IF(M1035&lt;=Start!$D$20,"A",IF(M1035&lt;=Start!$D$21,"B","C"))))</f>
        <v/>
      </c>
      <c r="O1035" s="48" t="str">
        <f aca="false">IF($A1035="","",IF(NOT(ISNUMBER(F1035)),"Wert fehlt; ",IF(F1035&lt;=0,"Wert ist 0; ",""))&amp;IF(NOT(ISNUMBER(E1035)),"Bestand fehlt; ",IF(E1035&lt;0,"Bestand negativ; ",IF(E1035=0,"Nullbestand; ","")))&amp;IF(D1035="","Warengruppe fehlt; ","")&amp;IF(B1035="","Bezeichnung fehlt; ","")&amp;IF(COUNTIFS($A$2:$A$5001,$A1035,$C$2:$C$5001,C1035)&gt;1,"Artikel doppelt im selben Lager; ",""))</f>
        <v/>
      </c>
      <c r="P1035" s="47" t="n">
        <f aca="false">IF(OR($A1035="",D1035=""),0,IF(COUNTIF($D$2:D1035,D1035)=1,SUMIF($D$2:$D$5001,D1035,$H$2:$H$5001)+ROW()/10000000,0))</f>
        <v>0</v>
      </c>
      <c r="Q1035" s="47" t="n">
        <f aca="false">IF(OR($A1035="",C1035=""),0,IF(COUNTIF($C$2:C1035,C1035)=1,SUMIF($C$2:$C$5001,C1035,$H$2:$H$5001)+ROW()/10000000,0))</f>
        <v>0</v>
      </c>
    </row>
    <row r="1036" customFormat="false" ht="15" hidden="false" customHeight="false" outlineLevel="0" collapsed="false">
      <c r="A1036" s="43"/>
      <c r="B1036" s="44"/>
      <c r="C1036" s="44"/>
      <c r="D1036" s="44"/>
      <c r="E1036" s="44"/>
      <c r="F1036" s="44"/>
      <c r="G1036" s="44"/>
      <c r="H1036" s="46" t="str">
        <f aca="false">IF($A1036="","",IF(OR(NOT(ISNUMBER(E1036)),NOT(ISNUMBER(F1036))),"",MAX(0,E1036)*F1036))</f>
        <v/>
      </c>
      <c r="I1036" s="46" t="str">
        <f aca="false">IF($A1036="","",SUMIF($A$2:$A$5001,$A1036,$H$2:$H$5001))</f>
        <v/>
      </c>
      <c r="J1036" s="47" t="n">
        <f aca="false">IF($A1036="",0,IF(COUNTIF($A$2:A1036,$A1036)=1,1,0))</f>
        <v>0</v>
      </c>
      <c r="K1036" s="47" t="n">
        <f aca="false">IF(J1036=1,N(I1036)+ROW()/10000000,0)</f>
        <v>0</v>
      </c>
      <c r="L1036" s="47" t="str">
        <f aca="false">IF(AND(J1036=1,N(I1036)&gt;0),SUMIF($K$2:$K$5001,"&gt;="&amp;K1036,$I$2:$I$5001)/MAX(1,SUM($H$2:$H$5001)),"")</f>
        <v/>
      </c>
      <c r="M1036" s="47" t="str">
        <f aca="false">IF($A1036="","",INDEX($L$2:$L$5001,MATCH($A1036,$A$2:$A$5001,0)))</f>
        <v/>
      </c>
      <c r="N1036" s="48" t="str">
        <f aca="false">IF($A1036="","",IF(N(M1036)=0,"–",IF(M1036&lt;=Start!$D$20,"A",IF(M1036&lt;=Start!$D$21,"B","C"))))</f>
        <v/>
      </c>
      <c r="O1036" s="48" t="str">
        <f aca="false">IF($A1036="","",IF(NOT(ISNUMBER(F1036)),"Wert fehlt; ",IF(F1036&lt;=0,"Wert ist 0; ",""))&amp;IF(NOT(ISNUMBER(E1036)),"Bestand fehlt; ",IF(E1036&lt;0,"Bestand negativ; ",IF(E1036=0,"Nullbestand; ","")))&amp;IF(D1036="","Warengruppe fehlt; ","")&amp;IF(B1036="","Bezeichnung fehlt; ","")&amp;IF(COUNTIFS($A$2:$A$5001,$A1036,$C$2:$C$5001,C1036)&gt;1,"Artikel doppelt im selben Lager; ",""))</f>
        <v/>
      </c>
      <c r="P1036" s="47" t="n">
        <f aca="false">IF(OR($A1036="",D1036=""),0,IF(COUNTIF($D$2:D1036,D1036)=1,SUMIF($D$2:$D$5001,D1036,$H$2:$H$5001)+ROW()/10000000,0))</f>
        <v>0</v>
      </c>
      <c r="Q1036" s="47" t="n">
        <f aca="false">IF(OR($A1036="",C1036=""),0,IF(COUNTIF($C$2:C1036,C1036)=1,SUMIF($C$2:$C$5001,C1036,$H$2:$H$5001)+ROW()/10000000,0))</f>
        <v>0</v>
      </c>
    </row>
    <row r="1037" customFormat="false" ht="15" hidden="false" customHeight="false" outlineLevel="0" collapsed="false">
      <c r="A1037" s="43"/>
      <c r="B1037" s="44"/>
      <c r="C1037" s="44"/>
      <c r="D1037" s="44"/>
      <c r="E1037" s="44"/>
      <c r="F1037" s="44"/>
      <c r="G1037" s="44"/>
      <c r="H1037" s="46" t="str">
        <f aca="false">IF($A1037="","",IF(OR(NOT(ISNUMBER(E1037)),NOT(ISNUMBER(F1037))),"",MAX(0,E1037)*F1037))</f>
        <v/>
      </c>
      <c r="I1037" s="46" t="str">
        <f aca="false">IF($A1037="","",SUMIF($A$2:$A$5001,$A1037,$H$2:$H$5001))</f>
        <v/>
      </c>
      <c r="J1037" s="47" t="n">
        <f aca="false">IF($A1037="",0,IF(COUNTIF($A$2:A1037,$A1037)=1,1,0))</f>
        <v>0</v>
      </c>
      <c r="K1037" s="47" t="n">
        <f aca="false">IF(J1037=1,N(I1037)+ROW()/10000000,0)</f>
        <v>0</v>
      </c>
      <c r="L1037" s="47" t="str">
        <f aca="false">IF(AND(J1037=1,N(I1037)&gt;0),SUMIF($K$2:$K$5001,"&gt;="&amp;K1037,$I$2:$I$5001)/MAX(1,SUM($H$2:$H$5001)),"")</f>
        <v/>
      </c>
      <c r="M1037" s="47" t="str">
        <f aca="false">IF($A1037="","",INDEX($L$2:$L$5001,MATCH($A1037,$A$2:$A$5001,0)))</f>
        <v/>
      </c>
      <c r="N1037" s="48" t="str">
        <f aca="false">IF($A1037="","",IF(N(M1037)=0,"–",IF(M1037&lt;=Start!$D$20,"A",IF(M1037&lt;=Start!$D$21,"B","C"))))</f>
        <v/>
      </c>
      <c r="O1037" s="48" t="str">
        <f aca="false">IF($A1037="","",IF(NOT(ISNUMBER(F1037)),"Wert fehlt; ",IF(F1037&lt;=0,"Wert ist 0; ",""))&amp;IF(NOT(ISNUMBER(E1037)),"Bestand fehlt; ",IF(E1037&lt;0,"Bestand negativ; ",IF(E1037=0,"Nullbestand; ","")))&amp;IF(D1037="","Warengruppe fehlt; ","")&amp;IF(B1037="","Bezeichnung fehlt; ","")&amp;IF(COUNTIFS($A$2:$A$5001,$A1037,$C$2:$C$5001,C1037)&gt;1,"Artikel doppelt im selben Lager; ",""))</f>
        <v/>
      </c>
      <c r="P1037" s="47" t="n">
        <f aca="false">IF(OR($A1037="",D1037=""),0,IF(COUNTIF($D$2:D1037,D1037)=1,SUMIF($D$2:$D$5001,D1037,$H$2:$H$5001)+ROW()/10000000,0))</f>
        <v>0</v>
      </c>
      <c r="Q1037" s="47" t="n">
        <f aca="false">IF(OR($A1037="",C1037=""),0,IF(COUNTIF($C$2:C1037,C1037)=1,SUMIF($C$2:$C$5001,C1037,$H$2:$H$5001)+ROW()/10000000,0))</f>
        <v>0</v>
      </c>
    </row>
    <row r="1038" customFormat="false" ht="15" hidden="false" customHeight="false" outlineLevel="0" collapsed="false">
      <c r="A1038" s="43"/>
      <c r="B1038" s="44"/>
      <c r="C1038" s="44"/>
      <c r="D1038" s="44"/>
      <c r="E1038" s="44"/>
      <c r="F1038" s="44"/>
      <c r="G1038" s="44"/>
      <c r="H1038" s="46" t="str">
        <f aca="false">IF($A1038="","",IF(OR(NOT(ISNUMBER(E1038)),NOT(ISNUMBER(F1038))),"",MAX(0,E1038)*F1038))</f>
        <v/>
      </c>
      <c r="I1038" s="46" t="str">
        <f aca="false">IF($A1038="","",SUMIF($A$2:$A$5001,$A1038,$H$2:$H$5001))</f>
        <v/>
      </c>
      <c r="J1038" s="47" t="n">
        <f aca="false">IF($A1038="",0,IF(COUNTIF($A$2:A1038,$A1038)=1,1,0))</f>
        <v>0</v>
      </c>
      <c r="K1038" s="47" t="n">
        <f aca="false">IF(J1038=1,N(I1038)+ROW()/10000000,0)</f>
        <v>0</v>
      </c>
      <c r="L1038" s="47" t="str">
        <f aca="false">IF(AND(J1038=1,N(I1038)&gt;0),SUMIF($K$2:$K$5001,"&gt;="&amp;K1038,$I$2:$I$5001)/MAX(1,SUM($H$2:$H$5001)),"")</f>
        <v/>
      </c>
      <c r="M1038" s="47" t="str">
        <f aca="false">IF($A1038="","",INDEX($L$2:$L$5001,MATCH($A1038,$A$2:$A$5001,0)))</f>
        <v/>
      </c>
      <c r="N1038" s="48" t="str">
        <f aca="false">IF($A1038="","",IF(N(M1038)=0,"–",IF(M1038&lt;=Start!$D$20,"A",IF(M1038&lt;=Start!$D$21,"B","C"))))</f>
        <v/>
      </c>
      <c r="O1038" s="48" t="str">
        <f aca="false">IF($A1038="","",IF(NOT(ISNUMBER(F1038)),"Wert fehlt; ",IF(F1038&lt;=0,"Wert ist 0; ",""))&amp;IF(NOT(ISNUMBER(E1038)),"Bestand fehlt; ",IF(E1038&lt;0,"Bestand negativ; ",IF(E1038=0,"Nullbestand; ","")))&amp;IF(D1038="","Warengruppe fehlt; ","")&amp;IF(B1038="","Bezeichnung fehlt; ","")&amp;IF(COUNTIFS($A$2:$A$5001,$A1038,$C$2:$C$5001,C1038)&gt;1,"Artikel doppelt im selben Lager; ",""))</f>
        <v/>
      </c>
      <c r="P1038" s="47" t="n">
        <f aca="false">IF(OR($A1038="",D1038=""),0,IF(COUNTIF($D$2:D1038,D1038)=1,SUMIF($D$2:$D$5001,D1038,$H$2:$H$5001)+ROW()/10000000,0))</f>
        <v>0</v>
      </c>
      <c r="Q1038" s="47" t="n">
        <f aca="false">IF(OR($A1038="",C1038=""),0,IF(COUNTIF($C$2:C1038,C1038)=1,SUMIF($C$2:$C$5001,C1038,$H$2:$H$5001)+ROW()/10000000,0))</f>
        <v>0</v>
      </c>
    </row>
    <row r="1039" customFormat="false" ht="15" hidden="false" customHeight="false" outlineLevel="0" collapsed="false">
      <c r="A1039" s="43"/>
      <c r="B1039" s="44"/>
      <c r="C1039" s="44"/>
      <c r="D1039" s="44"/>
      <c r="E1039" s="44"/>
      <c r="F1039" s="44"/>
      <c r="G1039" s="44"/>
      <c r="H1039" s="46" t="str">
        <f aca="false">IF($A1039="","",IF(OR(NOT(ISNUMBER(E1039)),NOT(ISNUMBER(F1039))),"",MAX(0,E1039)*F1039))</f>
        <v/>
      </c>
      <c r="I1039" s="46" t="str">
        <f aca="false">IF($A1039="","",SUMIF($A$2:$A$5001,$A1039,$H$2:$H$5001))</f>
        <v/>
      </c>
      <c r="J1039" s="47" t="n">
        <f aca="false">IF($A1039="",0,IF(COUNTIF($A$2:A1039,$A1039)=1,1,0))</f>
        <v>0</v>
      </c>
      <c r="K1039" s="47" t="n">
        <f aca="false">IF(J1039=1,N(I1039)+ROW()/10000000,0)</f>
        <v>0</v>
      </c>
      <c r="L1039" s="47" t="str">
        <f aca="false">IF(AND(J1039=1,N(I1039)&gt;0),SUMIF($K$2:$K$5001,"&gt;="&amp;K1039,$I$2:$I$5001)/MAX(1,SUM($H$2:$H$5001)),"")</f>
        <v/>
      </c>
      <c r="M1039" s="47" t="str">
        <f aca="false">IF($A1039="","",INDEX($L$2:$L$5001,MATCH($A1039,$A$2:$A$5001,0)))</f>
        <v/>
      </c>
      <c r="N1039" s="48" t="str">
        <f aca="false">IF($A1039="","",IF(N(M1039)=0,"–",IF(M1039&lt;=Start!$D$20,"A",IF(M1039&lt;=Start!$D$21,"B","C"))))</f>
        <v/>
      </c>
      <c r="O1039" s="48" t="str">
        <f aca="false">IF($A1039="","",IF(NOT(ISNUMBER(F1039)),"Wert fehlt; ",IF(F1039&lt;=0,"Wert ist 0; ",""))&amp;IF(NOT(ISNUMBER(E1039)),"Bestand fehlt; ",IF(E1039&lt;0,"Bestand negativ; ",IF(E1039=0,"Nullbestand; ","")))&amp;IF(D1039="","Warengruppe fehlt; ","")&amp;IF(B1039="","Bezeichnung fehlt; ","")&amp;IF(COUNTIFS($A$2:$A$5001,$A1039,$C$2:$C$5001,C1039)&gt;1,"Artikel doppelt im selben Lager; ",""))</f>
        <v/>
      </c>
      <c r="P1039" s="47" t="n">
        <f aca="false">IF(OR($A1039="",D1039=""),0,IF(COUNTIF($D$2:D1039,D1039)=1,SUMIF($D$2:$D$5001,D1039,$H$2:$H$5001)+ROW()/10000000,0))</f>
        <v>0</v>
      </c>
      <c r="Q1039" s="47" t="n">
        <f aca="false">IF(OR($A1039="",C1039=""),0,IF(COUNTIF($C$2:C1039,C1039)=1,SUMIF($C$2:$C$5001,C1039,$H$2:$H$5001)+ROW()/10000000,0))</f>
        <v>0</v>
      </c>
    </row>
    <row r="1040" customFormat="false" ht="15" hidden="false" customHeight="false" outlineLevel="0" collapsed="false">
      <c r="A1040" s="43"/>
      <c r="B1040" s="44"/>
      <c r="C1040" s="44"/>
      <c r="D1040" s="44"/>
      <c r="E1040" s="44"/>
      <c r="F1040" s="44"/>
      <c r="G1040" s="44"/>
      <c r="H1040" s="46" t="str">
        <f aca="false">IF($A1040="","",IF(OR(NOT(ISNUMBER(E1040)),NOT(ISNUMBER(F1040))),"",MAX(0,E1040)*F1040))</f>
        <v/>
      </c>
      <c r="I1040" s="46" t="str">
        <f aca="false">IF($A1040="","",SUMIF($A$2:$A$5001,$A1040,$H$2:$H$5001))</f>
        <v/>
      </c>
      <c r="J1040" s="47" t="n">
        <f aca="false">IF($A1040="",0,IF(COUNTIF($A$2:A1040,$A1040)=1,1,0))</f>
        <v>0</v>
      </c>
      <c r="K1040" s="47" t="n">
        <f aca="false">IF(J1040=1,N(I1040)+ROW()/10000000,0)</f>
        <v>0</v>
      </c>
      <c r="L1040" s="47" t="str">
        <f aca="false">IF(AND(J1040=1,N(I1040)&gt;0),SUMIF($K$2:$K$5001,"&gt;="&amp;K1040,$I$2:$I$5001)/MAX(1,SUM($H$2:$H$5001)),"")</f>
        <v/>
      </c>
      <c r="M1040" s="47" t="str">
        <f aca="false">IF($A1040="","",INDEX($L$2:$L$5001,MATCH($A1040,$A$2:$A$5001,0)))</f>
        <v/>
      </c>
      <c r="N1040" s="48" t="str">
        <f aca="false">IF($A1040="","",IF(N(M1040)=0,"–",IF(M1040&lt;=Start!$D$20,"A",IF(M1040&lt;=Start!$D$21,"B","C"))))</f>
        <v/>
      </c>
      <c r="O1040" s="48" t="str">
        <f aca="false">IF($A1040="","",IF(NOT(ISNUMBER(F1040)),"Wert fehlt; ",IF(F1040&lt;=0,"Wert ist 0; ",""))&amp;IF(NOT(ISNUMBER(E1040)),"Bestand fehlt; ",IF(E1040&lt;0,"Bestand negativ; ",IF(E1040=0,"Nullbestand; ","")))&amp;IF(D1040="","Warengruppe fehlt; ","")&amp;IF(B1040="","Bezeichnung fehlt; ","")&amp;IF(COUNTIFS($A$2:$A$5001,$A1040,$C$2:$C$5001,C1040)&gt;1,"Artikel doppelt im selben Lager; ",""))</f>
        <v/>
      </c>
      <c r="P1040" s="47" t="n">
        <f aca="false">IF(OR($A1040="",D1040=""),0,IF(COUNTIF($D$2:D1040,D1040)=1,SUMIF($D$2:$D$5001,D1040,$H$2:$H$5001)+ROW()/10000000,0))</f>
        <v>0</v>
      </c>
      <c r="Q1040" s="47" t="n">
        <f aca="false">IF(OR($A1040="",C1040=""),0,IF(COUNTIF($C$2:C1040,C1040)=1,SUMIF($C$2:$C$5001,C1040,$H$2:$H$5001)+ROW()/10000000,0))</f>
        <v>0</v>
      </c>
    </row>
    <row r="1041" customFormat="false" ht="15" hidden="false" customHeight="false" outlineLevel="0" collapsed="false">
      <c r="A1041" s="43"/>
      <c r="B1041" s="44"/>
      <c r="C1041" s="44"/>
      <c r="D1041" s="44"/>
      <c r="E1041" s="44"/>
      <c r="F1041" s="44"/>
      <c r="G1041" s="44"/>
      <c r="H1041" s="46" t="str">
        <f aca="false">IF($A1041="","",IF(OR(NOT(ISNUMBER(E1041)),NOT(ISNUMBER(F1041))),"",MAX(0,E1041)*F1041))</f>
        <v/>
      </c>
      <c r="I1041" s="46" t="str">
        <f aca="false">IF($A1041="","",SUMIF($A$2:$A$5001,$A1041,$H$2:$H$5001))</f>
        <v/>
      </c>
      <c r="J1041" s="47" t="n">
        <f aca="false">IF($A1041="",0,IF(COUNTIF($A$2:A1041,$A1041)=1,1,0))</f>
        <v>0</v>
      </c>
      <c r="K1041" s="47" t="n">
        <f aca="false">IF(J1041=1,N(I1041)+ROW()/10000000,0)</f>
        <v>0</v>
      </c>
      <c r="L1041" s="47" t="str">
        <f aca="false">IF(AND(J1041=1,N(I1041)&gt;0),SUMIF($K$2:$K$5001,"&gt;="&amp;K1041,$I$2:$I$5001)/MAX(1,SUM($H$2:$H$5001)),"")</f>
        <v/>
      </c>
      <c r="M1041" s="47" t="str">
        <f aca="false">IF($A1041="","",INDEX($L$2:$L$5001,MATCH($A1041,$A$2:$A$5001,0)))</f>
        <v/>
      </c>
      <c r="N1041" s="48" t="str">
        <f aca="false">IF($A1041="","",IF(N(M1041)=0,"–",IF(M1041&lt;=Start!$D$20,"A",IF(M1041&lt;=Start!$D$21,"B","C"))))</f>
        <v/>
      </c>
      <c r="O1041" s="48" t="str">
        <f aca="false">IF($A1041="","",IF(NOT(ISNUMBER(F1041)),"Wert fehlt; ",IF(F1041&lt;=0,"Wert ist 0; ",""))&amp;IF(NOT(ISNUMBER(E1041)),"Bestand fehlt; ",IF(E1041&lt;0,"Bestand negativ; ",IF(E1041=0,"Nullbestand; ","")))&amp;IF(D1041="","Warengruppe fehlt; ","")&amp;IF(B1041="","Bezeichnung fehlt; ","")&amp;IF(COUNTIFS($A$2:$A$5001,$A1041,$C$2:$C$5001,C1041)&gt;1,"Artikel doppelt im selben Lager; ",""))</f>
        <v/>
      </c>
      <c r="P1041" s="47" t="n">
        <f aca="false">IF(OR($A1041="",D1041=""),0,IF(COUNTIF($D$2:D1041,D1041)=1,SUMIF($D$2:$D$5001,D1041,$H$2:$H$5001)+ROW()/10000000,0))</f>
        <v>0</v>
      </c>
      <c r="Q1041" s="47" t="n">
        <f aca="false">IF(OR($A1041="",C1041=""),0,IF(COUNTIF($C$2:C1041,C1041)=1,SUMIF($C$2:$C$5001,C1041,$H$2:$H$5001)+ROW()/10000000,0))</f>
        <v>0</v>
      </c>
    </row>
    <row r="1042" customFormat="false" ht="15" hidden="false" customHeight="false" outlineLevel="0" collapsed="false">
      <c r="A1042" s="43"/>
      <c r="B1042" s="44"/>
      <c r="C1042" s="44"/>
      <c r="D1042" s="44"/>
      <c r="E1042" s="44"/>
      <c r="F1042" s="44"/>
      <c r="G1042" s="44"/>
      <c r="H1042" s="46" t="str">
        <f aca="false">IF($A1042="","",IF(OR(NOT(ISNUMBER(E1042)),NOT(ISNUMBER(F1042))),"",MAX(0,E1042)*F1042))</f>
        <v/>
      </c>
      <c r="I1042" s="46" t="str">
        <f aca="false">IF($A1042="","",SUMIF($A$2:$A$5001,$A1042,$H$2:$H$5001))</f>
        <v/>
      </c>
      <c r="J1042" s="47" t="n">
        <f aca="false">IF($A1042="",0,IF(COUNTIF($A$2:A1042,$A1042)=1,1,0))</f>
        <v>0</v>
      </c>
      <c r="K1042" s="47" t="n">
        <f aca="false">IF(J1042=1,N(I1042)+ROW()/10000000,0)</f>
        <v>0</v>
      </c>
      <c r="L1042" s="47" t="str">
        <f aca="false">IF(AND(J1042=1,N(I1042)&gt;0),SUMIF($K$2:$K$5001,"&gt;="&amp;K1042,$I$2:$I$5001)/MAX(1,SUM($H$2:$H$5001)),"")</f>
        <v/>
      </c>
      <c r="M1042" s="47" t="str">
        <f aca="false">IF($A1042="","",INDEX($L$2:$L$5001,MATCH($A1042,$A$2:$A$5001,0)))</f>
        <v/>
      </c>
      <c r="N1042" s="48" t="str">
        <f aca="false">IF($A1042="","",IF(N(M1042)=0,"–",IF(M1042&lt;=Start!$D$20,"A",IF(M1042&lt;=Start!$D$21,"B","C"))))</f>
        <v/>
      </c>
      <c r="O1042" s="48" t="str">
        <f aca="false">IF($A1042="","",IF(NOT(ISNUMBER(F1042)),"Wert fehlt; ",IF(F1042&lt;=0,"Wert ist 0; ",""))&amp;IF(NOT(ISNUMBER(E1042)),"Bestand fehlt; ",IF(E1042&lt;0,"Bestand negativ; ",IF(E1042=0,"Nullbestand; ","")))&amp;IF(D1042="","Warengruppe fehlt; ","")&amp;IF(B1042="","Bezeichnung fehlt; ","")&amp;IF(COUNTIFS($A$2:$A$5001,$A1042,$C$2:$C$5001,C1042)&gt;1,"Artikel doppelt im selben Lager; ",""))</f>
        <v/>
      </c>
      <c r="P1042" s="47" t="n">
        <f aca="false">IF(OR($A1042="",D1042=""),0,IF(COUNTIF($D$2:D1042,D1042)=1,SUMIF($D$2:$D$5001,D1042,$H$2:$H$5001)+ROW()/10000000,0))</f>
        <v>0</v>
      </c>
      <c r="Q1042" s="47" t="n">
        <f aca="false">IF(OR($A1042="",C1042=""),0,IF(COUNTIF($C$2:C1042,C1042)=1,SUMIF($C$2:$C$5001,C1042,$H$2:$H$5001)+ROW()/10000000,0))</f>
        <v>0</v>
      </c>
    </row>
    <row r="1043" customFormat="false" ht="15" hidden="false" customHeight="false" outlineLevel="0" collapsed="false">
      <c r="A1043" s="43"/>
      <c r="B1043" s="44"/>
      <c r="C1043" s="44"/>
      <c r="D1043" s="44"/>
      <c r="E1043" s="44"/>
      <c r="F1043" s="44"/>
      <c r="G1043" s="44"/>
      <c r="H1043" s="46" t="str">
        <f aca="false">IF($A1043="","",IF(OR(NOT(ISNUMBER(E1043)),NOT(ISNUMBER(F1043))),"",MAX(0,E1043)*F1043))</f>
        <v/>
      </c>
      <c r="I1043" s="46" t="str">
        <f aca="false">IF($A1043="","",SUMIF($A$2:$A$5001,$A1043,$H$2:$H$5001))</f>
        <v/>
      </c>
      <c r="J1043" s="47" t="n">
        <f aca="false">IF($A1043="",0,IF(COUNTIF($A$2:A1043,$A1043)=1,1,0))</f>
        <v>0</v>
      </c>
      <c r="K1043" s="47" t="n">
        <f aca="false">IF(J1043=1,N(I1043)+ROW()/10000000,0)</f>
        <v>0</v>
      </c>
      <c r="L1043" s="47" t="str">
        <f aca="false">IF(AND(J1043=1,N(I1043)&gt;0),SUMIF($K$2:$K$5001,"&gt;="&amp;K1043,$I$2:$I$5001)/MAX(1,SUM($H$2:$H$5001)),"")</f>
        <v/>
      </c>
      <c r="M1043" s="47" t="str">
        <f aca="false">IF($A1043="","",INDEX($L$2:$L$5001,MATCH($A1043,$A$2:$A$5001,0)))</f>
        <v/>
      </c>
      <c r="N1043" s="48" t="str">
        <f aca="false">IF($A1043="","",IF(N(M1043)=0,"–",IF(M1043&lt;=Start!$D$20,"A",IF(M1043&lt;=Start!$D$21,"B","C"))))</f>
        <v/>
      </c>
      <c r="O1043" s="48" t="str">
        <f aca="false">IF($A1043="","",IF(NOT(ISNUMBER(F1043)),"Wert fehlt; ",IF(F1043&lt;=0,"Wert ist 0; ",""))&amp;IF(NOT(ISNUMBER(E1043)),"Bestand fehlt; ",IF(E1043&lt;0,"Bestand negativ; ",IF(E1043=0,"Nullbestand; ","")))&amp;IF(D1043="","Warengruppe fehlt; ","")&amp;IF(B1043="","Bezeichnung fehlt; ","")&amp;IF(COUNTIFS($A$2:$A$5001,$A1043,$C$2:$C$5001,C1043)&gt;1,"Artikel doppelt im selben Lager; ",""))</f>
        <v/>
      </c>
      <c r="P1043" s="47" t="n">
        <f aca="false">IF(OR($A1043="",D1043=""),0,IF(COUNTIF($D$2:D1043,D1043)=1,SUMIF($D$2:$D$5001,D1043,$H$2:$H$5001)+ROW()/10000000,0))</f>
        <v>0</v>
      </c>
      <c r="Q1043" s="47" t="n">
        <f aca="false">IF(OR($A1043="",C1043=""),0,IF(COUNTIF($C$2:C1043,C1043)=1,SUMIF($C$2:$C$5001,C1043,$H$2:$H$5001)+ROW()/10000000,0))</f>
        <v>0</v>
      </c>
    </row>
    <row r="1044" customFormat="false" ht="15" hidden="false" customHeight="false" outlineLevel="0" collapsed="false">
      <c r="A1044" s="43"/>
      <c r="B1044" s="44"/>
      <c r="C1044" s="44"/>
      <c r="D1044" s="44"/>
      <c r="E1044" s="44"/>
      <c r="F1044" s="44"/>
      <c r="G1044" s="44"/>
      <c r="H1044" s="46" t="str">
        <f aca="false">IF($A1044="","",IF(OR(NOT(ISNUMBER(E1044)),NOT(ISNUMBER(F1044))),"",MAX(0,E1044)*F1044))</f>
        <v/>
      </c>
      <c r="I1044" s="46" t="str">
        <f aca="false">IF($A1044="","",SUMIF($A$2:$A$5001,$A1044,$H$2:$H$5001))</f>
        <v/>
      </c>
      <c r="J1044" s="47" t="n">
        <f aca="false">IF($A1044="",0,IF(COUNTIF($A$2:A1044,$A1044)=1,1,0))</f>
        <v>0</v>
      </c>
      <c r="K1044" s="47" t="n">
        <f aca="false">IF(J1044=1,N(I1044)+ROW()/10000000,0)</f>
        <v>0</v>
      </c>
      <c r="L1044" s="47" t="str">
        <f aca="false">IF(AND(J1044=1,N(I1044)&gt;0),SUMIF($K$2:$K$5001,"&gt;="&amp;K1044,$I$2:$I$5001)/MAX(1,SUM($H$2:$H$5001)),"")</f>
        <v/>
      </c>
      <c r="M1044" s="47" t="str">
        <f aca="false">IF($A1044="","",INDEX($L$2:$L$5001,MATCH($A1044,$A$2:$A$5001,0)))</f>
        <v/>
      </c>
      <c r="N1044" s="48" t="str">
        <f aca="false">IF($A1044="","",IF(N(M1044)=0,"–",IF(M1044&lt;=Start!$D$20,"A",IF(M1044&lt;=Start!$D$21,"B","C"))))</f>
        <v/>
      </c>
      <c r="O1044" s="48" t="str">
        <f aca="false">IF($A1044="","",IF(NOT(ISNUMBER(F1044)),"Wert fehlt; ",IF(F1044&lt;=0,"Wert ist 0; ",""))&amp;IF(NOT(ISNUMBER(E1044)),"Bestand fehlt; ",IF(E1044&lt;0,"Bestand negativ; ",IF(E1044=0,"Nullbestand; ","")))&amp;IF(D1044="","Warengruppe fehlt; ","")&amp;IF(B1044="","Bezeichnung fehlt; ","")&amp;IF(COUNTIFS($A$2:$A$5001,$A1044,$C$2:$C$5001,C1044)&gt;1,"Artikel doppelt im selben Lager; ",""))</f>
        <v/>
      </c>
      <c r="P1044" s="47" t="n">
        <f aca="false">IF(OR($A1044="",D1044=""),0,IF(COUNTIF($D$2:D1044,D1044)=1,SUMIF($D$2:$D$5001,D1044,$H$2:$H$5001)+ROW()/10000000,0))</f>
        <v>0</v>
      </c>
      <c r="Q1044" s="47" t="n">
        <f aca="false">IF(OR($A1044="",C1044=""),0,IF(COUNTIF($C$2:C1044,C1044)=1,SUMIF($C$2:$C$5001,C1044,$H$2:$H$5001)+ROW()/10000000,0))</f>
        <v>0</v>
      </c>
    </row>
    <row r="1045" customFormat="false" ht="15" hidden="false" customHeight="false" outlineLevel="0" collapsed="false">
      <c r="A1045" s="43"/>
      <c r="B1045" s="44"/>
      <c r="C1045" s="44"/>
      <c r="D1045" s="44"/>
      <c r="E1045" s="44"/>
      <c r="F1045" s="44"/>
      <c r="G1045" s="44"/>
      <c r="H1045" s="46" t="str">
        <f aca="false">IF($A1045="","",IF(OR(NOT(ISNUMBER(E1045)),NOT(ISNUMBER(F1045))),"",MAX(0,E1045)*F1045))</f>
        <v/>
      </c>
      <c r="I1045" s="46" t="str">
        <f aca="false">IF($A1045="","",SUMIF($A$2:$A$5001,$A1045,$H$2:$H$5001))</f>
        <v/>
      </c>
      <c r="J1045" s="47" t="n">
        <f aca="false">IF($A1045="",0,IF(COUNTIF($A$2:A1045,$A1045)=1,1,0))</f>
        <v>0</v>
      </c>
      <c r="K1045" s="47" t="n">
        <f aca="false">IF(J1045=1,N(I1045)+ROW()/10000000,0)</f>
        <v>0</v>
      </c>
      <c r="L1045" s="47" t="str">
        <f aca="false">IF(AND(J1045=1,N(I1045)&gt;0),SUMIF($K$2:$K$5001,"&gt;="&amp;K1045,$I$2:$I$5001)/MAX(1,SUM($H$2:$H$5001)),"")</f>
        <v/>
      </c>
      <c r="M1045" s="47" t="str">
        <f aca="false">IF($A1045="","",INDEX($L$2:$L$5001,MATCH($A1045,$A$2:$A$5001,0)))</f>
        <v/>
      </c>
      <c r="N1045" s="48" t="str">
        <f aca="false">IF($A1045="","",IF(N(M1045)=0,"–",IF(M1045&lt;=Start!$D$20,"A",IF(M1045&lt;=Start!$D$21,"B","C"))))</f>
        <v/>
      </c>
      <c r="O1045" s="48" t="str">
        <f aca="false">IF($A1045="","",IF(NOT(ISNUMBER(F1045)),"Wert fehlt; ",IF(F1045&lt;=0,"Wert ist 0; ",""))&amp;IF(NOT(ISNUMBER(E1045)),"Bestand fehlt; ",IF(E1045&lt;0,"Bestand negativ; ",IF(E1045=0,"Nullbestand; ","")))&amp;IF(D1045="","Warengruppe fehlt; ","")&amp;IF(B1045="","Bezeichnung fehlt; ","")&amp;IF(COUNTIFS($A$2:$A$5001,$A1045,$C$2:$C$5001,C1045)&gt;1,"Artikel doppelt im selben Lager; ",""))</f>
        <v/>
      </c>
      <c r="P1045" s="47" t="n">
        <f aca="false">IF(OR($A1045="",D1045=""),0,IF(COUNTIF($D$2:D1045,D1045)=1,SUMIF($D$2:$D$5001,D1045,$H$2:$H$5001)+ROW()/10000000,0))</f>
        <v>0</v>
      </c>
      <c r="Q1045" s="47" t="n">
        <f aca="false">IF(OR($A1045="",C1045=""),0,IF(COUNTIF($C$2:C1045,C1045)=1,SUMIF($C$2:$C$5001,C1045,$H$2:$H$5001)+ROW()/10000000,0))</f>
        <v>0</v>
      </c>
    </row>
    <row r="1046" customFormat="false" ht="15" hidden="false" customHeight="false" outlineLevel="0" collapsed="false">
      <c r="A1046" s="43"/>
      <c r="B1046" s="44"/>
      <c r="C1046" s="44"/>
      <c r="D1046" s="44"/>
      <c r="E1046" s="44"/>
      <c r="F1046" s="44"/>
      <c r="G1046" s="44"/>
      <c r="H1046" s="46" t="str">
        <f aca="false">IF($A1046="","",IF(OR(NOT(ISNUMBER(E1046)),NOT(ISNUMBER(F1046))),"",MAX(0,E1046)*F1046))</f>
        <v/>
      </c>
      <c r="I1046" s="46" t="str">
        <f aca="false">IF($A1046="","",SUMIF($A$2:$A$5001,$A1046,$H$2:$H$5001))</f>
        <v/>
      </c>
      <c r="J1046" s="47" t="n">
        <f aca="false">IF($A1046="",0,IF(COUNTIF($A$2:A1046,$A1046)=1,1,0))</f>
        <v>0</v>
      </c>
      <c r="K1046" s="47" t="n">
        <f aca="false">IF(J1046=1,N(I1046)+ROW()/10000000,0)</f>
        <v>0</v>
      </c>
      <c r="L1046" s="47" t="str">
        <f aca="false">IF(AND(J1046=1,N(I1046)&gt;0),SUMIF($K$2:$K$5001,"&gt;="&amp;K1046,$I$2:$I$5001)/MAX(1,SUM($H$2:$H$5001)),"")</f>
        <v/>
      </c>
      <c r="M1046" s="47" t="str">
        <f aca="false">IF($A1046="","",INDEX($L$2:$L$5001,MATCH($A1046,$A$2:$A$5001,0)))</f>
        <v/>
      </c>
      <c r="N1046" s="48" t="str">
        <f aca="false">IF($A1046="","",IF(N(M1046)=0,"–",IF(M1046&lt;=Start!$D$20,"A",IF(M1046&lt;=Start!$D$21,"B","C"))))</f>
        <v/>
      </c>
      <c r="O1046" s="48" t="str">
        <f aca="false">IF($A1046="","",IF(NOT(ISNUMBER(F1046)),"Wert fehlt; ",IF(F1046&lt;=0,"Wert ist 0; ",""))&amp;IF(NOT(ISNUMBER(E1046)),"Bestand fehlt; ",IF(E1046&lt;0,"Bestand negativ; ",IF(E1046=0,"Nullbestand; ","")))&amp;IF(D1046="","Warengruppe fehlt; ","")&amp;IF(B1046="","Bezeichnung fehlt; ","")&amp;IF(COUNTIFS($A$2:$A$5001,$A1046,$C$2:$C$5001,C1046)&gt;1,"Artikel doppelt im selben Lager; ",""))</f>
        <v/>
      </c>
      <c r="P1046" s="47" t="n">
        <f aca="false">IF(OR($A1046="",D1046=""),0,IF(COUNTIF($D$2:D1046,D1046)=1,SUMIF($D$2:$D$5001,D1046,$H$2:$H$5001)+ROW()/10000000,0))</f>
        <v>0</v>
      </c>
      <c r="Q1046" s="47" t="n">
        <f aca="false">IF(OR($A1046="",C1046=""),0,IF(COUNTIF($C$2:C1046,C1046)=1,SUMIF($C$2:$C$5001,C1046,$H$2:$H$5001)+ROW()/10000000,0))</f>
        <v>0</v>
      </c>
    </row>
    <row r="1047" customFormat="false" ht="15" hidden="false" customHeight="false" outlineLevel="0" collapsed="false">
      <c r="A1047" s="43"/>
      <c r="B1047" s="44"/>
      <c r="C1047" s="44"/>
      <c r="D1047" s="44"/>
      <c r="E1047" s="44"/>
      <c r="F1047" s="44"/>
      <c r="G1047" s="44"/>
      <c r="H1047" s="46" t="str">
        <f aca="false">IF($A1047="","",IF(OR(NOT(ISNUMBER(E1047)),NOT(ISNUMBER(F1047))),"",MAX(0,E1047)*F1047))</f>
        <v/>
      </c>
      <c r="I1047" s="46" t="str">
        <f aca="false">IF($A1047="","",SUMIF($A$2:$A$5001,$A1047,$H$2:$H$5001))</f>
        <v/>
      </c>
      <c r="J1047" s="47" t="n">
        <f aca="false">IF($A1047="",0,IF(COUNTIF($A$2:A1047,$A1047)=1,1,0))</f>
        <v>0</v>
      </c>
      <c r="K1047" s="47" t="n">
        <f aca="false">IF(J1047=1,N(I1047)+ROW()/10000000,0)</f>
        <v>0</v>
      </c>
      <c r="L1047" s="47" t="str">
        <f aca="false">IF(AND(J1047=1,N(I1047)&gt;0),SUMIF($K$2:$K$5001,"&gt;="&amp;K1047,$I$2:$I$5001)/MAX(1,SUM($H$2:$H$5001)),"")</f>
        <v/>
      </c>
      <c r="M1047" s="47" t="str">
        <f aca="false">IF($A1047="","",INDEX($L$2:$L$5001,MATCH($A1047,$A$2:$A$5001,0)))</f>
        <v/>
      </c>
      <c r="N1047" s="48" t="str">
        <f aca="false">IF($A1047="","",IF(N(M1047)=0,"–",IF(M1047&lt;=Start!$D$20,"A",IF(M1047&lt;=Start!$D$21,"B","C"))))</f>
        <v/>
      </c>
      <c r="O1047" s="48" t="str">
        <f aca="false">IF($A1047="","",IF(NOT(ISNUMBER(F1047)),"Wert fehlt; ",IF(F1047&lt;=0,"Wert ist 0; ",""))&amp;IF(NOT(ISNUMBER(E1047)),"Bestand fehlt; ",IF(E1047&lt;0,"Bestand negativ; ",IF(E1047=0,"Nullbestand; ","")))&amp;IF(D1047="","Warengruppe fehlt; ","")&amp;IF(B1047="","Bezeichnung fehlt; ","")&amp;IF(COUNTIFS($A$2:$A$5001,$A1047,$C$2:$C$5001,C1047)&gt;1,"Artikel doppelt im selben Lager; ",""))</f>
        <v/>
      </c>
      <c r="P1047" s="47" t="n">
        <f aca="false">IF(OR($A1047="",D1047=""),0,IF(COUNTIF($D$2:D1047,D1047)=1,SUMIF($D$2:$D$5001,D1047,$H$2:$H$5001)+ROW()/10000000,0))</f>
        <v>0</v>
      </c>
      <c r="Q1047" s="47" t="n">
        <f aca="false">IF(OR($A1047="",C1047=""),0,IF(COUNTIF($C$2:C1047,C1047)=1,SUMIF($C$2:$C$5001,C1047,$H$2:$H$5001)+ROW()/10000000,0))</f>
        <v>0</v>
      </c>
    </row>
    <row r="1048" customFormat="false" ht="15" hidden="false" customHeight="false" outlineLevel="0" collapsed="false">
      <c r="A1048" s="43"/>
      <c r="B1048" s="44"/>
      <c r="C1048" s="44"/>
      <c r="D1048" s="44"/>
      <c r="E1048" s="44"/>
      <c r="F1048" s="44"/>
      <c r="G1048" s="44"/>
      <c r="H1048" s="46" t="str">
        <f aca="false">IF($A1048="","",IF(OR(NOT(ISNUMBER(E1048)),NOT(ISNUMBER(F1048))),"",MAX(0,E1048)*F1048))</f>
        <v/>
      </c>
      <c r="I1048" s="46" t="str">
        <f aca="false">IF($A1048="","",SUMIF($A$2:$A$5001,$A1048,$H$2:$H$5001))</f>
        <v/>
      </c>
      <c r="J1048" s="47" t="n">
        <f aca="false">IF($A1048="",0,IF(COUNTIF($A$2:A1048,$A1048)=1,1,0))</f>
        <v>0</v>
      </c>
      <c r="K1048" s="47" t="n">
        <f aca="false">IF(J1048=1,N(I1048)+ROW()/10000000,0)</f>
        <v>0</v>
      </c>
      <c r="L1048" s="47" t="str">
        <f aca="false">IF(AND(J1048=1,N(I1048)&gt;0),SUMIF($K$2:$K$5001,"&gt;="&amp;K1048,$I$2:$I$5001)/MAX(1,SUM($H$2:$H$5001)),"")</f>
        <v/>
      </c>
      <c r="M1048" s="47" t="str">
        <f aca="false">IF($A1048="","",INDEX($L$2:$L$5001,MATCH($A1048,$A$2:$A$5001,0)))</f>
        <v/>
      </c>
      <c r="N1048" s="48" t="str">
        <f aca="false">IF($A1048="","",IF(N(M1048)=0,"–",IF(M1048&lt;=Start!$D$20,"A",IF(M1048&lt;=Start!$D$21,"B","C"))))</f>
        <v/>
      </c>
      <c r="O1048" s="48" t="str">
        <f aca="false">IF($A1048="","",IF(NOT(ISNUMBER(F1048)),"Wert fehlt; ",IF(F1048&lt;=0,"Wert ist 0; ",""))&amp;IF(NOT(ISNUMBER(E1048)),"Bestand fehlt; ",IF(E1048&lt;0,"Bestand negativ; ",IF(E1048=0,"Nullbestand; ","")))&amp;IF(D1048="","Warengruppe fehlt; ","")&amp;IF(B1048="","Bezeichnung fehlt; ","")&amp;IF(COUNTIFS($A$2:$A$5001,$A1048,$C$2:$C$5001,C1048)&gt;1,"Artikel doppelt im selben Lager; ",""))</f>
        <v/>
      </c>
      <c r="P1048" s="47" t="n">
        <f aca="false">IF(OR($A1048="",D1048=""),0,IF(COUNTIF($D$2:D1048,D1048)=1,SUMIF($D$2:$D$5001,D1048,$H$2:$H$5001)+ROW()/10000000,0))</f>
        <v>0</v>
      </c>
      <c r="Q1048" s="47" t="n">
        <f aca="false">IF(OR($A1048="",C1048=""),0,IF(COUNTIF($C$2:C1048,C1048)=1,SUMIF($C$2:$C$5001,C1048,$H$2:$H$5001)+ROW()/10000000,0))</f>
        <v>0</v>
      </c>
    </row>
    <row r="1049" customFormat="false" ht="15" hidden="false" customHeight="false" outlineLevel="0" collapsed="false">
      <c r="A1049" s="43"/>
      <c r="B1049" s="44"/>
      <c r="C1049" s="44"/>
      <c r="D1049" s="44"/>
      <c r="E1049" s="44"/>
      <c r="F1049" s="44"/>
      <c r="G1049" s="44"/>
      <c r="H1049" s="46" t="str">
        <f aca="false">IF($A1049="","",IF(OR(NOT(ISNUMBER(E1049)),NOT(ISNUMBER(F1049))),"",MAX(0,E1049)*F1049))</f>
        <v/>
      </c>
      <c r="I1049" s="46" t="str">
        <f aca="false">IF($A1049="","",SUMIF($A$2:$A$5001,$A1049,$H$2:$H$5001))</f>
        <v/>
      </c>
      <c r="J1049" s="47" t="n">
        <f aca="false">IF($A1049="",0,IF(COUNTIF($A$2:A1049,$A1049)=1,1,0))</f>
        <v>0</v>
      </c>
      <c r="K1049" s="47" t="n">
        <f aca="false">IF(J1049=1,N(I1049)+ROW()/10000000,0)</f>
        <v>0</v>
      </c>
      <c r="L1049" s="47" t="str">
        <f aca="false">IF(AND(J1049=1,N(I1049)&gt;0),SUMIF($K$2:$K$5001,"&gt;="&amp;K1049,$I$2:$I$5001)/MAX(1,SUM($H$2:$H$5001)),"")</f>
        <v/>
      </c>
      <c r="M1049" s="47" t="str">
        <f aca="false">IF($A1049="","",INDEX($L$2:$L$5001,MATCH($A1049,$A$2:$A$5001,0)))</f>
        <v/>
      </c>
      <c r="N1049" s="48" t="str">
        <f aca="false">IF($A1049="","",IF(N(M1049)=0,"–",IF(M1049&lt;=Start!$D$20,"A",IF(M1049&lt;=Start!$D$21,"B","C"))))</f>
        <v/>
      </c>
      <c r="O1049" s="48" t="str">
        <f aca="false">IF($A1049="","",IF(NOT(ISNUMBER(F1049)),"Wert fehlt; ",IF(F1049&lt;=0,"Wert ist 0; ",""))&amp;IF(NOT(ISNUMBER(E1049)),"Bestand fehlt; ",IF(E1049&lt;0,"Bestand negativ; ",IF(E1049=0,"Nullbestand; ","")))&amp;IF(D1049="","Warengruppe fehlt; ","")&amp;IF(B1049="","Bezeichnung fehlt; ","")&amp;IF(COUNTIFS($A$2:$A$5001,$A1049,$C$2:$C$5001,C1049)&gt;1,"Artikel doppelt im selben Lager; ",""))</f>
        <v/>
      </c>
      <c r="P1049" s="47" t="n">
        <f aca="false">IF(OR($A1049="",D1049=""),0,IF(COUNTIF($D$2:D1049,D1049)=1,SUMIF($D$2:$D$5001,D1049,$H$2:$H$5001)+ROW()/10000000,0))</f>
        <v>0</v>
      </c>
      <c r="Q1049" s="47" t="n">
        <f aca="false">IF(OR($A1049="",C1049=""),0,IF(COUNTIF($C$2:C1049,C1049)=1,SUMIF($C$2:$C$5001,C1049,$H$2:$H$5001)+ROW()/10000000,0))</f>
        <v>0</v>
      </c>
    </row>
    <row r="1050" customFormat="false" ht="15" hidden="false" customHeight="false" outlineLevel="0" collapsed="false">
      <c r="A1050" s="43"/>
      <c r="B1050" s="44"/>
      <c r="C1050" s="44"/>
      <c r="D1050" s="44"/>
      <c r="E1050" s="44"/>
      <c r="F1050" s="44"/>
      <c r="G1050" s="44"/>
      <c r="H1050" s="46" t="str">
        <f aca="false">IF($A1050="","",IF(OR(NOT(ISNUMBER(E1050)),NOT(ISNUMBER(F1050))),"",MAX(0,E1050)*F1050))</f>
        <v/>
      </c>
      <c r="I1050" s="46" t="str">
        <f aca="false">IF($A1050="","",SUMIF($A$2:$A$5001,$A1050,$H$2:$H$5001))</f>
        <v/>
      </c>
      <c r="J1050" s="47" t="n">
        <f aca="false">IF($A1050="",0,IF(COUNTIF($A$2:A1050,$A1050)=1,1,0))</f>
        <v>0</v>
      </c>
      <c r="K1050" s="47" t="n">
        <f aca="false">IF(J1050=1,N(I1050)+ROW()/10000000,0)</f>
        <v>0</v>
      </c>
      <c r="L1050" s="47" t="str">
        <f aca="false">IF(AND(J1050=1,N(I1050)&gt;0),SUMIF($K$2:$K$5001,"&gt;="&amp;K1050,$I$2:$I$5001)/MAX(1,SUM($H$2:$H$5001)),"")</f>
        <v/>
      </c>
      <c r="M1050" s="47" t="str">
        <f aca="false">IF($A1050="","",INDEX($L$2:$L$5001,MATCH($A1050,$A$2:$A$5001,0)))</f>
        <v/>
      </c>
      <c r="N1050" s="48" t="str">
        <f aca="false">IF($A1050="","",IF(N(M1050)=0,"–",IF(M1050&lt;=Start!$D$20,"A",IF(M1050&lt;=Start!$D$21,"B","C"))))</f>
        <v/>
      </c>
      <c r="O1050" s="48" t="str">
        <f aca="false">IF($A1050="","",IF(NOT(ISNUMBER(F1050)),"Wert fehlt; ",IF(F1050&lt;=0,"Wert ist 0; ",""))&amp;IF(NOT(ISNUMBER(E1050)),"Bestand fehlt; ",IF(E1050&lt;0,"Bestand negativ; ",IF(E1050=0,"Nullbestand; ","")))&amp;IF(D1050="","Warengruppe fehlt; ","")&amp;IF(B1050="","Bezeichnung fehlt; ","")&amp;IF(COUNTIFS($A$2:$A$5001,$A1050,$C$2:$C$5001,C1050)&gt;1,"Artikel doppelt im selben Lager; ",""))</f>
        <v/>
      </c>
      <c r="P1050" s="47" t="n">
        <f aca="false">IF(OR($A1050="",D1050=""),0,IF(COUNTIF($D$2:D1050,D1050)=1,SUMIF($D$2:$D$5001,D1050,$H$2:$H$5001)+ROW()/10000000,0))</f>
        <v>0</v>
      </c>
      <c r="Q1050" s="47" t="n">
        <f aca="false">IF(OR($A1050="",C1050=""),0,IF(COUNTIF($C$2:C1050,C1050)=1,SUMIF($C$2:$C$5001,C1050,$H$2:$H$5001)+ROW()/10000000,0))</f>
        <v>0</v>
      </c>
    </row>
    <row r="1051" customFormat="false" ht="15" hidden="false" customHeight="false" outlineLevel="0" collapsed="false">
      <c r="A1051" s="43"/>
      <c r="B1051" s="44"/>
      <c r="C1051" s="44"/>
      <c r="D1051" s="44"/>
      <c r="E1051" s="44"/>
      <c r="F1051" s="44"/>
      <c r="G1051" s="44"/>
      <c r="H1051" s="46" t="str">
        <f aca="false">IF($A1051="","",IF(OR(NOT(ISNUMBER(E1051)),NOT(ISNUMBER(F1051))),"",MAX(0,E1051)*F1051))</f>
        <v/>
      </c>
      <c r="I1051" s="46" t="str">
        <f aca="false">IF($A1051="","",SUMIF($A$2:$A$5001,$A1051,$H$2:$H$5001))</f>
        <v/>
      </c>
      <c r="J1051" s="47" t="n">
        <f aca="false">IF($A1051="",0,IF(COUNTIF($A$2:A1051,$A1051)=1,1,0))</f>
        <v>0</v>
      </c>
      <c r="K1051" s="47" t="n">
        <f aca="false">IF(J1051=1,N(I1051)+ROW()/10000000,0)</f>
        <v>0</v>
      </c>
      <c r="L1051" s="47" t="str">
        <f aca="false">IF(AND(J1051=1,N(I1051)&gt;0),SUMIF($K$2:$K$5001,"&gt;="&amp;K1051,$I$2:$I$5001)/MAX(1,SUM($H$2:$H$5001)),"")</f>
        <v/>
      </c>
      <c r="M1051" s="47" t="str">
        <f aca="false">IF($A1051="","",INDEX($L$2:$L$5001,MATCH($A1051,$A$2:$A$5001,0)))</f>
        <v/>
      </c>
      <c r="N1051" s="48" t="str">
        <f aca="false">IF($A1051="","",IF(N(M1051)=0,"–",IF(M1051&lt;=Start!$D$20,"A",IF(M1051&lt;=Start!$D$21,"B","C"))))</f>
        <v/>
      </c>
      <c r="O1051" s="48" t="str">
        <f aca="false">IF($A1051="","",IF(NOT(ISNUMBER(F1051)),"Wert fehlt; ",IF(F1051&lt;=0,"Wert ist 0; ",""))&amp;IF(NOT(ISNUMBER(E1051)),"Bestand fehlt; ",IF(E1051&lt;0,"Bestand negativ; ",IF(E1051=0,"Nullbestand; ","")))&amp;IF(D1051="","Warengruppe fehlt; ","")&amp;IF(B1051="","Bezeichnung fehlt; ","")&amp;IF(COUNTIFS($A$2:$A$5001,$A1051,$C$2:$C$5001,C1051)&gt;1,"Artikel doppelt im selben Lager; ",""))</f>
        <v/>
      </c>
      <c r="P1051" s="47" t="n">
        <f aca="false">IF(OR($A1051="",D1051=""),0,IF(COUNTIF($D$2:D1051,D1051)=1,SUMIF($D$2:$D$5001,D1051,$H$2:$H$5001)+ROW()/10000000,0))</f>
        <v>0</v>
      </c>
      <c r="Q1051" s="47" t="n">
        <f aca="false">IF(OR($A1051="",C1051=""),0,IF(COUNTIF($C$2:C1051,C1051)=1,SUMIF($C$2:$C$5001,C1051,$H$2:$H$5001)+ROW()/10000000,0))</f>
        <v>0</v>
      </c>
    </row>
    <row r="1052" customFormat="false" ht="15" hidden="false" customHeight="false" outlineLevel="0" collapsed="false">
      <c r="A1052" s="43"/>
      <c r="B1052" s="44"/>
      <c r="C1052" s="44"/>
      <c r="D1052" s="44"/>
      <c r="E1052" s="44"/>
      <c r="F1052" s="44"/>
      <c r="G1052" s="44"/>
      <c r="H1052" s="46" t="str">
        <f aca="false">IF($A1052="","",IF(OR(NOT(ISNUMBER(E1052)),NOT(ISNUMBER(F1052))),"",MAX(0,E1052)*F1052))</f>
        <v/>
      </c>
      <c r="I1052" s="46" t="str">
        <f aca="false">IF($A1052="","",SUMIF($A$2:$A$5001,$A1052,$H$2:$H$5001))</f>
        <v/>
      </c>
      <c r="J1052" s="47" t="n">
        <f aca="false">IF($A1052="",0,IF(COUNTIF($A$2:A1052,$A1052)=1,1,0))</f>
        <v>0</v>
      </c>
      <c r="K1052" s="47" t="n">
        <f aca="false">IF(J1052=1,N(I1052)+ROW()/10000000,0)</f>
        <v>0</v>
      </c>
      <c r="L1052" s="47" t="str">
        <f aca="false">IF(AND(J1052=1,N(I1052)&gt;0),SUMIF($K$2:$K$5001,"&gt;="&amp;K1052,$I$2:$I$5001)/MAX(1,SUM($H$2:$H$5001)),"")</f>
        <v/>
      </c>
      <c r="M1052" s="47" t="str">
        <f aca="false">IF($A1052="","",INDEX($L$2:$L$5001,MATCH($A1052,$A$2:$A$5001,0)))</f>
        <v/>
      </c>
      <c r="N1052" s="48" t="str">
        <f aca="false">IF($A1052="","",IF(N(M1052)=0,"–",IF(M1052&lt;=Start!$D$20,"A",IF(M1052&lt;=Start!$D$21,"B","C"))))</f>
        <v/>
      </c>
      <c r="O1052" s="48" t="str">
        <f aca="false">IF($A1052="","",IF(NOT(ISNUMBER(F1052)),"Wert fehlt; ",IF(F1052&lt;=0,"Wert ist 0; ",""))&amp;IF(NOT(ISNUMBER(E1052)),"Bestand fehlt; ",IF(E1052&lt;0,"Bestand negativ; ",IF(E1052=0,"Nullbestand; ","")))&amp;IF(D1052="","Warengruppe fehlt; ","")&amp;IF(B1052="","Bezeichnung fehlt; ","")&amp;IF(COUNTIFS($A$2:$A$5001,$A1052,$C$2:$C$5001,C1052)&gt;1,"Artikel doppelt im selben Lager; ",""))</f>
        <v/>
      </c>
      <c r="P1052" s="47" t="n">
        <f aca="false">IF(OR($A1052="",D1052=""),0,IF(COUNTIF($D$2:D1052,D1052)=1,SUMIF($D$2:$D$5001,D1052,$H$2:$H$5001)+ROW()/10000000,0))</f>
        <v>0</v>
      </c>
      <c r="Q1052" s="47" t="n">
        <f aca="false">IF(OR($A1052="",C1052=""),0,IF(COUNTIF($C$2:C1052,C1052)=1,SUMIF($C$2:$C$5001,C1052,$H$2:$H$5001)+ROW()/10000000,0))</f>
        <v>0</v>
      </c>
    </row>
    <row r="1053" customFormat="false" ht="15" hidden="false" customHeight="false" outlineLevel="0" collapsed="false">
      <c r="A1053" s="43"/>
      <c r="B1053" s="44"/>
      <c r="C1053" s="44"/>
      <c r="D1053" s="44"/>
      <c r="E1053" s="44"/>
      <c r="F1053" s="44"/>
      <c r="G1053" s="44"/>
      <c r="H1053" s="46" t="str">
        <f aca="false">IF($A1053="","",IF(OR(NOT(ISNUMBER(E1053)),NOT(ISNUMBER(F1053))),"",MAX(0,E1053)*F1053))</f>
        <v/>
      </c>
      <c r="I1053" s="46" t="str">
        <f aca="false">IF($A1053="","",SUMIF($A$2:$A$5001,$A1053,$H$2:$H$5001))</f>
        <v/>
      </c>
      <c r="J1053" s="47" t="n">
        <f aca="false">IF($A1053="",0,IF(COUNTIF($A$2:A1053,$A1053)=1,1,0))</f>
        <v>0</v>
      </c>
      <c r="K1053" s="47" t="n">
        <f aca="false">IF(J1053=1,N(I1053)+ROW()/10000000,0)</f>
        <v>0</v>
      </c>
      <c r="L1053" s="47" t="str">
        <f aca="false">IF(AND(J1053=1,N(I1053)&gt;0),SUMIF($K$2:$K$5001,"&gt;="&amp;K1053,$I$2:$I$5001)/MAX(1,SUM($H$2:$H$5001)),"")</f>
        <v/>
      </c>
      <c r="M1053" s="47" t="str">
        <f aca="false">IF($A1053="","",INDEX($L$2:$L$5001,MATCH($A1053,$A$2:$A$5001,0)))</f>
        <v/>
      </c>
      <c r="N1053" s="48" t="str">
        <f aca="false">IF($A1053="","",IF(N(M1053)=0,"–",IF(M1053&lt;=Start!$D$20,"A",IF(M1053&lt;=Start!$D$21,"B","C"))))</f>
        <v/>
      </c>
      <c r="O1053" s="48" t="str">
        <f aca="false">IF($A1053="","",IF(NOT(ISNUMBER(F1053)),"Wert fehlt; ",IF(F1053&lt;=0,"Wert ist 0; ",""))&amp;IF(NOT(ISNUMBER(E1053)),"Bestand fehlt; ",IF(E1053&lt;0,"Bestand negativ; ",IF(E1053=0,"Nullbestand; ","")))&amp;IF(D1053="","Warengruppe fehlt; ","")&amp;IF(B1053="","Bezeichnung fehlt; ","")&amp;IF(COUNTIFS($A$2:$A$5001,$A1053,$C$2:$C$5001,C1053)&gt;1,"Artikel doppelt im selben Lager; ",""))</f>
        <v/>
      </c>
      <c r="P1053" s="47" t="n">
        <f aca="false">IF(OR($A1053="",D1053=""),0,IF(COUNTIF($D$2:D1053,D1053)=1,SUMIF($D$2:$D$5001,D1053,$H$2:$H$5001)+ROW()/10000000,0))</f>
        <v>0</v>
      </c>
      <c r="Q1053" s="47" t="n">
        <f aca="false">IF(OR($A1053="",C1053=""),0,IF(COUNTIF($C$2:C1053,C1053)=1,SUMIF($C$2:$C$5001,C1053,$H$2:$H$5001)+ROW()/10000000,0))</f>
        <v>0</v>
      </c>
    </row>
    <row r="1054" customFormat="false" ht="15" hidden="false" customHeight="false" outlineLevel="0" collapsed="false">
      <c r="A1054" s="43"/>
      <c r="B1054" s="44"/>
      <c r="C1054" s="44"/>
      <c r="D1054" s="44"/>
      <c r="E1054" s="44"/>
      <c r="F1054" s="44"/>
      <c r="G1054" s="44"/>
      <c r="H1054" s="46" t="str">
        <f aca="false">IF($A1054="","",IF(OR(NOT(ISNUMBER(E1054)),NOT(ISNUMBER(F1054))),"",MAX(0,E1054)*F1054))</f>
        <v/>
      </c>
      <c r="I1054" s="46" t="str">
        <f aca="false">IF($A1054="","",SUMIF($A$2:$A$5001,$A1054,$H$2:$H$5001))</f>
        <v/>
      </c>
      <c r="J1054" s="47" t="n">
        <f aca="false">IF($A1054="",0,IF(COUNTIF($A$2:A1054,$A1054)=1,1,0))</f>
        <v>0</v>
      </c>
      <c r="K1054" s="47" t="n">
        <f aca="false">IF(J1054=1,N(I1054)+ROW()/10000000,0)</f>
        <v>0</v>
      </c>
      <c r="L1054" s="47" t="str">
        <f aca="false">IF(AND(J1054=1,N(I1054)&gt;0),SUMIF($K$2:$K$5001,"&gt;="&amp;K1054,$I$2:$I$5001)/MAX(1,SUM($H$2:$H$5001)),"")</f>
        <v/>
      </c>
      <c r="M1054" s="47" t="str">
        <f aca="false">IF($A1054="","",INDEX($L$2:$L$5001,MATCH($A1054,$A$2:$A$5001,0)))</f>
        <v/>
      </c>
      <c r="N1054" s="48" t="str">
        <f aca="false">IF($A1054="","",IF(N(M1054)=0,"–",IF(M1054&lt;=Start!$D$20,"A",IF(M1054&lt;=Start!$D$21,"B","C"))))</f>
        <v/>
      </c>
      <c r="O1054" s="48" t="str">
        <f aca="false">IF($A1054="","",IF(NOT(ISNUMBER(F1054)),"Wert fehlt; ",IF(F1054&lt;=0,"Wert ist 0; ",""))&amp;IF(NOT(ISNUMBER(E1054)),"Bestand fehlt; ",IF(E1054&lt;0,"Bestand negativ; ",IF(E1054=0,"Nullbestand; ","")))&amp;IF(D1054="","Warengruppe fehlt; ","")&amp;IF(B1054="","Bezeichnung fehlt; ","")&amp;IF(COUNTIFS($A$2:$A$5001,$A1054,$C$2:$C$5001,C1054)&gt;1,"Artikel doppelt im selben Lager; ",""))</f>
        <v/>
      </c>
      <c r="P1054" s="47" t="n">
        <f aca="false">IF(OR($A1054="",D1054=""),0,IF(COUNTIF($D$2:D1054,D1054)=1,SUMIF($D$2:$D$5001,D1054,$H$2:$H$5001)+ROW()/10000000,0))</f>
        <v>0</v>
      </c>
      <c r="Q1054" s="47" t="n">
        <f aca="false">IF(OR($A1054="",C1054=""),0,IF(COUNTIF($C$2:C1054,C1054)=1,SUMIF($C$2:$C$5001,C1054,$H$2:$H$5001)+ROW()/10000000,0))</f>
        <v>0</v>
      </c>
    </row>
    <row r="1055" customFormat="false" ht="15" hidden="false" customHeight="false" outlineLevel="0" collapsed="false">
      <c r="A1055" s="43"/>
      <c r="B1055" s="44"/>
      <c r="C1055" s="44"/>
      <c r="D1055" s="44"/>
      <c r="E1055" s="44"/>
      <c r="F1055" s="44"/>
      <c r="G1055" s="44"/>
      <c r="H1055" s="46" t="str">
        <f aca="false">IF($A1055="","",IF(OR(NOT(ISNUMBER(E1055)),NOT(ISNUMBER(F1055))),"",MAX(0,E1055)*F1055))</f>
        <v/>
      </c>
      <c r="I1055" s="46" t="str">
        <f aca="false">IF($A1055="","",SUMIF($A$2:$A$5001,$A1055,$H$2:$H$5001))</f>
        <v/>
      </c>
      <c r="J1055" s="47" t="n">
        <f aca="false">IF($A1055="",0,IF(COUNTIF($A$2:A1055,$A1055)=1,1,0))</f>
        <v>0</v>
      </c>
      <c r="K1055" s="47" t="n">
        <f aca="false">IF(J1055=1,N(I1055)+ROW()/10000000,0)</f>
        <v>0</v>
      </c>
      <c r="L1055" s="47" t="str">
        <f aca="false">IF(AND(J1055=1,N(I1055)&gt;0),SUMIF($K$2:$K$5001,"&gt;="&amp;K1055,$I$2:$I$5001)/MAX(1,SUM($H$2:$H$5001)),"")</f>
        <v/>
      </c>
      <c r="M1055" s="47" t="str">
        <f aca="false">IF($A1055="","",INDEX($L$2:$L$5001,MATCH($A1055,$A$2:$A$5001,0)))</f>
        <v/>
      </c>
      <c r="N1055" s="48" t="str">
        <f aca="false">IF($A1055="","",IF(N(M1055)=0,"–",IF(M1055&lt;=Start!$D$20,"A",IF(M1055&lt;=Start!$D$21,"B","C"))))</f>
        <v/>
      </c>
      <c r="O1055" s="48" t="str">
        <f aca="false">IF($A1055="","",IF(NOT(ISNUMBER(F1055)),"Wert fehlt; ",IF(F1055&lt;=0,"Wert ist 0; ",""))&amp;IF(NOT(ISNUMBER(E1055)),"Bestand fehlt; ",IF(E1055&lt;0,"Bestand negativ; ",IF(E1055=0,"Nullbestand; ","")))&amp;IF(D1055="","Warengruppe fehlt; ","")&amp;IF(B1055="","Bezeichnung fehlt; ","")&amp;IF(COUNTIFS($A$2:$A$5001,$A1055,$C$2:$C$5001,C1055)&gt;1,"Artikel doppelt im selben Lager; ",""))</f>
        <v/>
      </c>
      <c r="P1055" s="47" t="n">
        <f aca="false">IF(OR($A1055="",D1055=""),0,IF(COUNTIF($D$2:D1055,D1055)=1,SUMIF($D$2:$D$5001,D1055,$H$2:$H$5001)+ROW()/10000000,0))</f>
        <v>0</v>
      </c>
      <c r="Q1055" s="47" t="n">
        <f aca="false">IF(OR($A1055="",C1055=""),0,IF(COUNTIF($C$2:C1055,C1055)=1,SUMIF($C$2:$C$5001,C1055,$H$2:$H$5001)+ROW()/10000000,0))</f>
        <v>0</v>
      </c>
    </row>
    <row r="1056" customFormat="false" ht="15" hidden="false" customHeight="false" outlineLevel="0" collapsed="false">
      <c r="A1056" s="43"/>
      <c r="B1056" s="44"/>
      <c r="C1056" s="44"/>
      <c r="D1056" s="44"/>
      <c r="E1056" s="44"/>
      <c r="F1056" s="44"/>
      <c r="G1056" s="44"/>
      <c r="H1056" s="46" t="str">
        <f aca="false">IF($A1056="","",IF(OR(NOT(ISNUMBER(E1056)),NOT(ISNUMBER(F1056))),"",MAX(0,E1056)*F1056))</f>
        <v/>
      </c>
      <c r="I1056" s="46" t="str">
        <f aca="false">IF($A1056="","",SUMIF($A$2:$A$5001,$A1056,$H$2:$H$5001))</f>
        <v/>
      </c>
      <c r="J1056" s="47" t="n">
        <f aca="false">IF($A1056="",0,IF(COUNTIF($A$2:A1056,$A1056)=1,1,0))</f>
        <v>0</v>
      </c>
      <c r="K1056" s="47" t="n">
        <f aca="false">IF(J1056=1,N(I1056)+ROW()/10000000,0)</f>
        <v>0</v>
      </c>
      <c r="L1056" s="47" t="str">
        <f aca="false">IF(AND(J1056=1,N(I1056)&gt;0),SUMIF($K$2:$K$5001,"&gt;="&amp;K1056,$I$2:$I$5001)/MAX(1,SUM($H$2:$H$5001)),"")</f>
        <v/>
      </c>
      <c r="M1056" s="47" t="str">
        <f aca="false">IF($A1056="","",INDEX($L$2:$L$5001,MATCH($A1056,$A$2:$A$5001,0)))</f>
        <v/>
      </c>
      <c r="N1056" s="48" t="str">
        <f aca="false">IF($A1056="","",IF(N(M1056)=0,"–",IF(M1056&lt;=Start!$D$20,"A",IF(M1056&lt;=Start!$D$21,"B","C"))))</f>
        <v/>
      </c>
      <c r="O1056" s="48" t="str">
        <f aca="false">IF($A1056="","",IF(NOT(ISNUMBER(F1056)),"Wert fehlt; ",IF(F1056&lt;=0,"Wert ist 0; ",""))&amp;IF(NOT(ISNUMBER(E1056)),"Bestand fehlt; ",IF(E1056&lt;0,"Bestand negativ; ",IF(E1056=0,"Nullbestand; ","")))&amp;IF(D1056="","Warengruppe fehlt; ","")&amp;IF(B1056="","Bezeichnung fehlt; ","")&amp;IF(COUNTIFS($A$2:$A$5001,$A1056,$C$2:$C$5001,C1056)&gt;1,"Artikel doppelt im selben Lager; ",""))</f>
        <v/>
      </c>
      <c r="P1056" s="47" t="n">
        <f aca="false">IF(OR($A1056="",D1056=""),0,IF(COUNTIF($D$2:D1056,D1056)=1,SUMIF($D$2:$D$5001,D1056,$H$2:$H$5001)+ROW()/10000000,0))</f>
        <v>0</v>
      </c>
      <c r="Q1056" s="47" t="n">
        <f aca="false">IF(OR($A1056="",C1056=""),0,IF(COUNTIF($C$2:C1056,C1056)=1,SUMIF($C$2:$C$5001,C1056,$H$2:$H$5001)+ROW()/10000000,0))</f>
        <v>0</v>
      </c>
    </row>
    <row r="1057" customFormat="false" ht="15" hidden="false" customHeight="false" outlineLevel="0" collapsed="false">
      <c r="A1057" s="43"/>
      <c r="B1057" s="44"/>
      <c r="C1057" s="44"/>
      <c r="D1057" s="44"/>
      <c r="E1057" s="44"/>
      <c r="F1057" s="44"/>
      <c r="G1057" s="44"/>
      <c r="H1057" s="46" t="str">
        <f aca="false">IF($A1057="","",IF(OR(NOT(ISNUMBER(E1057)),NOT(ISNUMBER(F1057))),"",MAX(0,E1057)*F1057))</f>
        <v/>
      </c>
      <c r="I1057" s="46" t="str">
        <f aca="false">IF($A1057="","",SUMIF($A$2:$A$5001,$A1057,$H$2:$H$5001))</f>
        <v/>
      </c>
      <c r="J1057" s="47" t="n">
        <f aca="false">IF($A1057="",0,IF(COUNTIF($A$2:A1057,$A1057)=1,1,0))</f>
        <v>0</v>
      </c>
      <c r="K1057" s="47" t="n">
        <f aca="false">IF(J1057=1,N(I1057)+ROW()/10000000,0)</f>
        <v>0</v>
      </c>
      <c r="L1057" s="47" t="str">
        <f aca="false">IF(AND(J1057=1,N(I1057)&gt;0),SUMIF($K$2:$K$5001,"&gt;="&amp;K1057,$I$2:$I$5001)/MAX(1,SUM($H$2:$H$5001)),"")</f>
        <v/>
      </c>
      <c r="M1057" s="47" t="str">
        <f aca="false">IF($A1057="","",INDEX($L$2:$L$5001,MATCH($A1057,$A$2:$A$5001,0)))</f>
        <v/>
      </c>
      <c r="N1057" s="48" t="str">
        <f aca="false">IF($A1057="","",IF(N(M1057)=0,"–",IF(M1057&lt;=Start!$D$20,"A",IF(M1057&lt;=Start!$D$21,"B","C"))))</f>
        <v/>
      </c>
      <c r="O1057" s="48" t="str">
        <f aca="false">IF($A1057="","",IF(NOT(ISNUMBER(F1057)),"Wert fehlt; ",IF(F1057&lt;=0,"Wert ist 0; ",""))&amp;IF(NOT(ISNUMBER(E1057)),"Bestand fehlt; ",IF(E1057&lt;0,"Bestand negativ; ",IF(E1057=0,"Nullbestand; ","")))&amp;IF(D1057="","Warengruppe fehlt; ","")&amp;IF(B1057="","Bezeichnung fehlt; ","")&amp;IF(COUNTIFS($A$2:$A$5001,$A1057,$C$2:$C$5001,C1057)&gt;1,"Artikel doppelt im selben Lager; ",""))</f>
        <v/>
      </c>
      <c r="P1057" s="47" t="n">
        <f aca="false">IF(OR($A1057="",D1057=""),0,IF(COUNTIF($D$2:D1057,D1057)=1,SUMIF($D$2:$D$5001,D1057,$H$2:$H$5001)+ROW()/10000000,0))</f>
        <v>0</v>
      </c>
      <c r="Q1057" s="47" t="n">
        <f aca="false">IF(OR($A1057="",C1057=""),0,IF(COUNTIF($C$2:C1057,C1057)=1,SUMIF($C$2:$C$5001,C1057,$H$2:$H$5001)+ROW()/10000000,0))</f>
        <v>0</v>
      </c>
    </row>
    <row r="1058" customFormat="false" ht="15" hidden="false" customHeight="false" outlineLevel="0" collapsed="false">
      <c r="A1058" s="43"/>
      <c r="B1058" s="44"/>
      <c r="C1058" s="44"/>
      <c r="D1058" s="44"/>
      <c r="E1058" s="44"/>
      <c r="F1058" s="44"/>
      <c r="G1058" s="44"/>
      <c r="H1058" s="46" t="str">
        <f aca="false">IF($A1058="","",IF(OR(NOT(ISNUMBER(E1058)),NOT(ISNUMBER(F1058))),"",MAX(0,E1058)*F1058))</f>
        <v/>
      </c>
      <c r="I1058" s="46" t="str">
        <f aca="false">IF($A1058="","",SUMIF($A$2:$A$5001,$A1058,$H$2:$H$5001))</f>
        <v/>
      </c>
      <c r="J1058" s="47" t="n">
        <f aca="false">IF($A1058="",0,IF(COUNTIF($A$2:A1058,$A1058)=1,1,0))</f>
        <v>0</v>
      </c>
      <c r="K1058" s="47" t="n">
        <f aca="false">IF(J1058=1,N(I1058)+ROW()/10000000,0)</f>
        <v>0</v>
      </c>
      <c r="L1058" s="47" t="str">
        <f aca="false">IF(AND(J1058=1,N(I1058)&gt;0),SUMIF($K$2:$K$5001,"&gt;="&amp;K1058,$I$2:$I$5001)/MAX(1,SUM($H$2:$H$5001)),"")</f>
        <v/>
      </c>
      <c r="M1058" s="47" t="str">
        <f aca="false">IF($A1058="","",INDEX($L$2:$L$5001,MATCH($A1058,$A$2:$A$5001,0)))</f>
        <v/>
      </c>
      <c r="N1058" s="48" t="str">
        <f aca="false">IF($A1058="","",IF(N(M1058)=0,"–",IF(M1058&lt;=Start!$D$20,"A",IF(M1058&lt;=Start!$D$21,"B","C"))))</f>
        <v/>
      </c>
      <c r="O1058" s="48" t="str">
        <f aca="false">IF($A1058="","",IF(NOT(ISNUMBER(F1058)),"Wert fehlt; ",IF(F1058&lt;=0,"Wert ist 0; ",""))&amp;IF(NOT(ISNUMBER(E1058)),"Bestand fehlt; ",IF(E1058&lt;0,"Bestand negativ; ",IF(E1058=0,"Nullbestand; ","")))&amp;IF(D1058="","Warengruppe fehlt; ","")&amp;IF(B1058="","Bezeichnung fehlt; ","")&amp;IF(COUNTIFS($A$2:$A$5001,$A1058,$C$2:$C$5001,C1058)&gt;1,"Artikel doppelt im selben Lager; ",""))</f>
        <v/>
      </c>
      <c r="P1058" s="47" t="n">
        <f aca="false">IF(OR($A1058="",D1058=""),0,IF(COUNTIF($D$2:D1058,D1058)=1,SUMIF($D$2:$D$5001,D1058,$H$2:$H$5001)+ROW()/10000000,0))</f>
        <v>0</v>
      </c>
      <c r="Q1058" s="47" t="n">
        <f aca="false">IF(OR($A1058="",C1058=""),0,IF(COUNTIF($C$2:C1058,C1058)=1,SUMIF($C$2:$C$5001,C1058,$H$2:$H$5001)+ROW()/10000000,0))</f>
        <v>0</v>
      </c>
    </row>
    <row r="1059" customFormat="false" ht="15" hidden="false" customHeight="false" outlineLevel="0" collapsed="false">
      <c r="A1059" s="43"/>
      <c r="B1059" s="44"/>
      <c r="C1059" s="44"/>
      <c r="D1059" s="44"/>
      <c r="E1059" s="44"/>
      <c r="F1059" s="44"/>
      <c r="G1059" s="44"/>
      <c r="H1059" s="46" t="str">
        <f aca="false">IF($A1059="","",IF(OR(NOT(ISNUMBER(E1059)),NOT(ISNUMBER(F1059))),"",MAX(0,E1059)*F1059))</f>
        <v/>
      </c>
      <c r="I1059" s="46" t="str">
        <f aca="false">IF($A1059="","",SUMIF($A$2:$A$5001,$A1059,$H$2:$H$5001))</f>
        <v/>
      </c>
      <c r="J1059" s="47" t="n">
        <f aca="false">IF($A1059="",0,IF(COUNTIF($A$2:A1059,$A1059)=1,1,0))</f>
        <v>0</v>
      </c>
      <c r="K1059" s="47" t="n">
        <f aca="false">IF(J1059=1,N(I1059)+ROW()/10000000,0)</f>
        <v>0</v>
      </c>
      <c r="L1059" s="47" t="str">
        <f aca="false">IF(AND(J1059=1,N(I1059)&gt;0),SUMIF($K$2:$K$5001,"&gt;="&amp;K1059,$I$2:$I$5001)/MAX(1,SUM($H$2:$H$5001)),"")</f>
        <v/>
      </c>
      <c r="M1059" s="47" t="str">
        <f aca="false">IF($A1059="","",INDEX($L$2:$L$5001,MATCH($A1059,$A$2:$A$5001,0)))</f>
        <v/>
      </c>
      <c r="N1059" s="48" t="str">
        <f aca="false">IF($A1059="","",IF(N(M1059)=0,"–",IF(M1059&lt;=Start!$D$20,"A",IF(M1059&lt;=Start!$D$21,"B","C"))))</f>
        <v/>
      </c>
      <c r="O1059" s="48" t="str">
        <f aca="false">IF($A1059="","",IF(NOT(ISNUMBER(F1059)),"Wert fehlt; ",IF(F1059&lt;=0,"Wert ist 0; ",""))&amp;IF(NOT(ISNUMBER(E1059)),"Bestand fehlt; ",IF(E1059&lt;0,"Bestand negativ; ",IF(E1059=0,"Nullbestand; ","")))&amp;IF(D1059="","Warengruppe fehlt; ","")&amp;IF(B1059="","Bezeichnung fehlt; ","")&amp;IF(COUNTIFS($A$2:$A$5001,$A1059,$C$2:$C$5001,C1059)&gt;1,"Artikel doppelt im selben Lager; ",""))</f>
        <v/>
      </c>
      <c r="P1059" s="47" t="n">
        <f aca="false">IF(OR($A1059="",D1059=""),0,IF(COUNTIF($D$2:D1059,D1059)=1,SUMIF($D$2:$D$5001,D1059,$H$2:$H$5001)+ROW()/10000000,0))</f>
        <v>0</v>
      </c>
      <c r="Q1059" s="47" t="n">
        <f aca="false">IF(OR($A1059="",C1059=""),0,IF(COUNTIF($C$2:C1059,C1059)=1,SUMIF($C$2:$C$5001,C1059,$H$2:$H$5001)+ROW()/10000000,0))</f>
        <v>0</v>
      </c>
    </row>
    <row r="1060" customFormat="false" ht="15" hidden="false" customHeight="false" outlineLevel="0" collapsed="false">
      <c r="A1060" s="43"/>
      <c r="B1060" s="44"/>
      <c r="C1060" s="44"/>
      <c r="D1060" s="44"/>
      <c r="E1060" s="44"/>
      <c r="F1060" s="44"/>
      <c r="G1060" s="44"/>
      <c r="H1060" s="46" t="str">
        <f aca="false">IF($A1060="","",IF(OR(NOT(ISNUMBER(E1060)),NOT(ISNUMBER(F1060))),"",MAX(0,E1060)*F1060))</f>
        <v/>
      </c>
      <c r="I1060" s="46" t="str">
        <f aca="false">IF($A1060="","",SUMIF($A$2:$A$5001,$A1060,$H$2:$H$5001))</f>
        <v/>
      </c>
      <c r="J1060" s="47" t="n">
        <f aca="false">IF($A1060="",0,IF(COUNTIF($A$2:A1060,$A1060)=1,1,0))</f>
        <v>0</v>
      </c>
      <c r="K1060" s="47" t="n">
        <f aca="false">IF(J1060=1,N(I1060)+ROW()/10000000,0)</f>
        <v>0</v>
      </c>
      <c r="L1060" s="47" t="str">
        <f aca="false">IF(AND(J1060=1,N(I1060)&gt;0),SUMIF($K$2:$K$5001,"&gt;="&amp;K1060,$I$2:$I$5001)/MAX(1,SUM($H$2:$H$5001)),"")</f>
        <v/>
      </c>
      <c r="M1060" s="47" t="str">
        <f aca="false">IF($A1060="","",INDEX($L$2:$L$5001,MATCH($A1060,$A$2:$A$5001,0)))</f>
        <v/>
      </c>
      <c r="N1060" s="48" t="str">
        <f aca="false">IF($A1060="","",IF(N(M1060)=0,"–",IF(M1060&lt;=Start!$D$20,"A",IF(M1060&lt;=Start!$D$21,"B","C"))))</f>
        <v/>
      </c>
      <c r="O1060" s="48" t="str">
        <f aca="false">IF($A1060="","",IF(NOT(ISNUMBER(F1060)),"Wert fehlt; ",IF(F1060&lt;=0,"Wert ist 0; ",""))&amp;IF(NOT(ISNUMBER(E1060)),"Bestand fehlt; ",IF(E1060&lt;0,"Bestand negativ; ",IF(E1060=0,"Nullbestand; ","")))&amp;IF(D1060="","Warengruppe fehlt; ","")&amp;IF(B1060="","Bezeichnung fehlt; ","")&amp;IF(COUNTIFS($A$2:$A$5001,$A1060,$C$2:$C$5001,C1060)&gt;1,"Artikel doppelt im selben Lager; ",""))</f>
        <v/>
      </c>
      <c r="P1060" s="47" t="n">
        <f aca="false">IF(OR($A1060="",D1060=""),0,IF(COUNTIF($D$2:D1060,D1060)=1,SUMIF($D$2:$D$5001,D1060,$H$2:$H$5001)+ROW()/10000000,0))</f>
        <v>0</v>
      </c>
      <c r="Q1060" s="47" t="n">
        <f aca="false">IF(OR($A1060="",C1060=""),0,IF(COUNTIF($C$2:C1060,C1060)=1,SUMIF($C$2:$C$5001,C1060,$H$2:$H$5001)+ROW()/10000000,0))</f>
        <v>0</v>
      </c>
    </row>
    <row r="1061" customFormat="false" ht="15" hidden="false" customHeight="false" outlineLevel="0" collapsed="false">
      <c r="A1061" s="43"/>
      <c r="B1061" s="44"/>
      <c r="C1061" s="44"/>
      <c r="D1061" s="44"/>
      <c r="E1061" s="44"/>
      <c r="F1061" s="44"/>
      <c r="G1061" s="44"/>
      <c r="H1061" s="46" t="str">
        <f aca="false">IF($A1061="","",IF(OR(NOT(ISNUMBER(E1061)),NOT(ISNUMBER(F1061))),"",MAX(0,E1061)*F1061))</f>
        <v/>
      </c>
      <c r="I1061" s="46" t="str">
        <f aca="false">IF($A1061="","",SUMIF($A$2:$A$5001,$A1061,$H$2:$H$5001))</f>
        <v/>
      </c>
      <c r="J1061" s="47" t="n">
        <f aca="false">IF($A1061="",0,IF(COUNTIF($A$2:A1061,$A1061)=1,1,0))</f>
        <v>0</v>
      </c>
      <c r="K1061" s="47" t="n">
        <f aca="false">IF(J1061=1,N(I1061)+ROW()/10000000,0)</f>
        <v>0</v>
      </c>
      <c r="L1061" s="47" t="str">
        <f aca="false">IF(AND(J1061=1,N(I1061)&gt;0),SUMIF($K$2:$K$5001,"&gt;="&amp;K1061,$I$2:$I$5001)/MAX(1,SUM($H$2:$H$5001)),"")</f>
        <v/>
      </c>
      <c r="M1061" s="47" t="str">
        <f aca="false">IF($A1061="","",INDEX($L$2:$L$5001,MATCH($A1061,$A$2:$A$5001,0)))</f>
        <v/>
      </c>
      <c r="N1061" s="48" t="str">
        <f aca="false">IF($A1061="","",IF(N(M1061)=0,"–",IF(M1061&lt;=Start!$D$20,"A",IF(M1061&lt;=Start!$D$21,"B","C"))))</f>
        <v/>
      </c>
      <c r="O1061" s="48" t="str">
        <f aca="false">IF($A1061="","",IF(NOT(ISNUMBER(F1061)),"Wert fehlt; ",IF(F1061&lt;=0,"Wert ist 0; ",""))&amp;IF(NOT(ISNUMBER(E1061)),"Bestand fehlt; ",IF(E1061&lt;0,"Bestand negativ; ",IF(E1061=0,"Nullbestand; ","")))&amp;IF(D1061="","Warengruppe fehlt; ","")&amp;IF(B1061="","Bezeichnung fehlt; ","")&amp;IF(COUNTIFS($A$2:$A$5001,$A1061,$C$2:$C$5001,C1061)&gt;1,"Artikel doppelt im selben Lager; ",""))</f>
        <v/>
      </c>
      <c r="P1061" s="47" t="n">
        <f aca="false">IF(OR($A1061="",D1061=""),0,IF(COUNTIF($D$2:D1061,D1061)=1,SUMIF($D$2:$D$5001,D1061,$H$2:$H$5001)+ROW()/10000000,0))</f>
        <v>0</v>
      </c>
      <c r="Q1061" s="47" t="n">
        <f aca="false">IF(OR($A1061="",C1061=""),0,IF(COUNTIF($C$2:C1061,C1061)=1,SUMIF($C$2:$C$5001,C1061,$H$2:$H$5001)+ROW()/10000000,0))</f>
        <v>0</v>
      </c>
    </row>
    <row r="1062" customFormat="false" ht="15" hidden="false" customHeight="false" outlineLevel="0" collapsed="false">
      <c r="A1062" s="43"/>
      <c r="B1062" s="44"/>
      <c r="C1062" s="44"/>
      <c r="D1062" s="44"/>
      <c r="E1062" s="44"/>
      <c r="F1062" s="44"/>
      <c r="G1062" s="44"/>
      <c r="H1062" s="46" t="str">
        <f aca="false">IF($A1062="","",IF(OR(NOT(ISNUMBER(E1062)),NOT(ISNUMBER(F1062))),"",MAX(0,E1062)*F1062))</f>
        <v/>
      </c>
      <c r="I1062" s="46" t="str">
        <f aca="false">IF($A1062="","",SUMIF($A$2:$A$5001,$A1062,$H$2:$H$5001))</f>
        <v/>
      </c>
      <c r="J1062" s="47" t="n">
        <f aca="false">IF($A1062="",0,IF(COUNTIF($A$2:A1062,$A1062)=1,1,0))</f>
        <v>0</v>
      </c>
      <c r="K1062" s="47" t="n">
        <f aca="false">IF(J1062=1,N(I1062)+ROW()/10000000,0)</f>
        <v>0</v>
      </c>
      <c r="L1062" s="47" t="str">
        <f aca="false">IF(AND(J1062=1,N(I1062)&gt;0),SUMIF($K$2:$K$5001,"&gt;="&amp;K1062,$I$2:$I$5001)/MAX(1,SUM($H$2:$H$5001)),"")</f>
        <v/>
      </c>
      <c r="M1062" s="47" t="str">
        <f aca="false">IF($A1062="","",INDEX($L$2:$L$5001,MATCH($A1062,$A$2:$A$5001,0)))</f>
        <v/>
      </c>
      <c r="N1062" s="48" t="str">
        <f aca="false">IF($A1062="","",IF(N(M1062)=0,"–",IF(M1062&lt;=Start!$D$20,"A",IF(M1062&lt;=Start!$D$21,"B","C"))))</f>
        <v/>
      </c>
      <c r="O1062" s="48" t="str">
        <f aca="false">IF($A1062="","",IF(NOT(ISNUMBER(F1062)),"Wert fehlt; ",IF(F1062&lt;=0,"Wert ist 0; ",""))&amp;IF(NOT(ISNUMBER(E1062)),"Bestand fehlt; ",IF(E1062&lt;0,"Bestand negativ; ",IF(E1062=0,"Nullbestand; ","")))&amp;IF(D1062="","Warengruppe fehlt; ","")&amp;IF(B1062="","Bezeichnung fehlt; ","")&amp;IF(COUNTIFS($A$2:$A$5001,$A1062,$C$2:$C$5001,C1062)&gt;1,"Artikel doppelt im selben Lager; ",""))</f>
        <v/>
      </c>
      <c r="P1062" s="47" t="n">
        <f aca="false">IF(OR($A1062="",D1062=""),0,IF(COUNTIF($D$2:D1062,D1062)=1,SUMIF($D$2:$D$5001,D1062,$H$2:$H$5001)+ROW()/10000000,0))</f>
        <v>0</v>
      </c>
      <c r="Q1062" s="47" t="n">
        <f aca="false">IF(OR($A1062="",C1062=""),0,IF(COUNTIF($C$2:C1062,C1062)=1,SUMIF($C$2:$C$5001,C1062,$H$2:$H$5001)+ROW()/10000000,0))</f>
        <v>0</v>
      </c>
    </row>
    <row r="1063" customFormat="false" ht="15" hidden="false" customHeight="false" outlineLevel="0" collapsed="false">
      <c r="A1063" s="43"/>
      <c r="B1063" s="44"/>
      <c r="C1063" s="44"/>
      <c r="D1063" s="44"/>
      <c r="E1063" s="44"/>
      <c r="F1063" s="44"/>
      <c r="G1063" s="44"/>
      <c r="H1063" s="46" t="str">
        <f aca="false">IF($A1063="","",IF(OR(NOT(ISNUMBER(E1063)),NOT(ISNUMBER(F1063))),"",MAX(0,E1063)*F1063))</f>
        <v/>
      </c>
      <c r="I1063" s="46" t="str">
        <f aca="false">IF($A1063="","",SUMIF($A$2:$A$5001,$A1063,$H$2:$H$5001))</f>
        <v/>
      </c>
      <c r="J1063" s="47" t="n">
        <f aca="false">IF($A1063="",0,IF(COUNTIF($A$2:A1063,$A1063)=1,1,0))</f>
        <v>0</v>
      </c>
      <c r="K1063" s="47" t="n">
        <f aca="false">IF(J1063=1,N(I1063)+ROW()/10000000,0)</f>
        <v>0</v>
      </c>
      <c r="L1063" s="47" t="str">
        <f aca="false">IF(AND(J1063=1,N(I1063)&gt;0),SUMIF($K$2:$K$5001,"&gt;="&amp;K1063,$I$2:$I$5001)/MAX(1,SUM($H$2:$H$5001)),"")</f>
        <v/>
      </c>
      <c r="M1063" s="47" t="str">
        <f aca="false">IF($A1063="","",INDEX($L$2:$L$5001,MATCH($A1063,$A$2:$A$5001,0)))</f>
        <v/>
      </c>
      <c r="N1063" s="48" t="str">
        <f aca="false">IF($A1063="","",IF(N(M1063)=0,"–",IF(M1063&lt;=Start!$D$20,"A",IF(M1063&lt;=Start!$D$21,"B","C"))))</f>
        <v/>
      </c>
      <c r="O1063" s="48" t="str">
        <f aca="false">IF($A1063="","",IF(NOT(ISNUMBER(F1063)),"Wert fehlt; ",IF(F1063&lt;=0,"Wert ist 0; ",""))&amp;IF(NOT(ISNUMBER(E1063)),"Bestand fehlt; ",IF(E1063&lt;0,"Bestand negativ; ",IF(E1063=0,"Nullbestand; ","")))&amp;IF(D1063="","Warengruppe fehlt; ","")&amp;IF(B1063="","Bezeichnung fehlt; ","")&amp;IF(COUNTIFS($A$2:$A$5001,$A1063,$C$2:$C$5001,C1063)&gt;1,"Artikel doppelt im selben Lager; ",""))</f>
        <v/>
      </c>
      <c r="P1063" s="47" t="n">
        <f aca="false">IF(OR($A1063="",D1063=""),0,IF(COUNTIF($D$2:D1063,D1063)=1,SUMIF($D$2:$D$5001,D1063,$H$2:$H$5001)+ROW()/10000000,0))</f>
        <v>0</v>
      </c>
      <c r="Q1063" s="47" t="n">
        <f aca="false">IF(OR($A1063="",C1063=""),0,IF(COUNTIF($C$2:C1063,C1063)=1,SUMIF($C$2:$C$5001,C1063,$H$2:$H$5001)+ROW()/10000000,0))</f>
        <v>0</v>
      </c>
    </row>
    <row r="1064" customFormat="false" ht="15" hidden="false" customHeight="false" outlineLevel="0" collapsed="false">
      <c r="A1064" s="43"/>
      <c r="B1064" s="44"/>
      <c r="C1064" s="44"/>
      <c r="D1064" s="44"/>
      <c r="E1064" s="44"/>
      <c r="F1064" s="44"/>
      <c r="G1064" s="44"/>
      <c r="H1064" s="46" t="str">
        <f aca="false">IF($A1064="","",IF(OR(NOT(ISNUMBER(E1064)),NOT(ISNUMBER(F1064))),"",MAX(0,E1064)*F1064))</f>
        <v/>
      </c>
      <c r="I1064" s="46" t="str">
        <f aca="false">IF($A1064="","",SUMIF($A$2:$A$5001,$A1064,$H$2:$H$5001))</f>
        <v/>
      </c>
      <c r="J1064" s="47" t="n">
        <f aca="false">IF($A1064="",0,IF(COUNTIF($A$2:A1064,$A1064)=1,1,0))</f>
        <v>0</v>
      </c>
      <c r="K1064" s="47" t="n">
        <f aca="false">IF(J1064=1,N(I1064)+ROW()/10000000,0)</f>
        <v>0</v>
      </c>
      <c r="L1064" s="47" t="str">
        <f aca="false">IF(AND(J1064=1,N(I1064)&gt;0),SUMIF($K$2:$K$5001,"&gt;="&amp;K1064,$I$2:$I$5001)/MAX(1,SUM($H$2:$H$5001)),"")</f>
        <v/>
      </c>
      <c r="M1064" s="47" t="str">
        <f aca="false">IF($A1064="","",INDEX($L$2:$L$5001,MATCH($A1064,$A$2:$A$5001,0)))</f>
        <v/>
      </c>
      <c r="N1064" s="48" t="str">
        <f aca="false">IF($A1064="","",IF(N(M1064)=0,"–",IF(M1064&lt;=Start!$D$20,"A",IF(M1064&lt;=Start!$D$21,"B","C"))))</f>
        <v/>
      </c>
      <c r="O1064" s="48" t="str">
        <f aca="false">IF($A1064="","",IF(NOT(ISNUMBER(F1064)),"Wert fehlt; ",IF(F1064&lt;=0,"Wert ist 0; ",""))&amp;IF(NOT(ISNUMBER(E1064)),"Bestand fehlt; ",IF(E1064&lt;0,"Bestand negativ; ",IF(E1064=0,"Nullbestand; ","")))&amp;IF(D1064="","Warengruppe fehlt; ","")&amp;IF(B1064="","Bezeichnung fehlt; ","")&amp;IF(COUNTIFS($A$2:$A$5001,$A1064,$C$2:$C$5001,C1064)&gt;1,"Artikel doppelt im selben Lager; ",""))</f>
        <v/>
      </c>
      <c r="P1064" s="47" t="n">
        <f aca="false">IF(OR($A1064="",D1064=""),0,IF(COUNTIF($D$2:D1064,D1064)=1,SUMIF($D$2:$D$5001,D1064,$H$2:$H$5001)+ROW()/10000000,0))</f>
        <v>0</v>
      </c>
      <c r="Q1064" s="47" t="n">
        <f aca="false">IF(OR($A1064="",C1064=""),0,IF(COUNTIF($C$2:C1064,C1064)=1,SUMIF($C$2:$C$5001,C1064,$H$2:$H$5001)+ROW()/10000000,0))</f>
        <v>0</v>
      </c>
    </row>
    <row r="1065" customFormat="false" ht="15" hidden="false" customHeight="false" outlineLevel="0" collapsed="false">
      <c r="A1065" s="43"/>
      <c r="B1065" s="44"/>
      <c r="C1065" s="44"/>
      <c r="D1065" s="44"/>
      <c r="E1065" s="44"/>
      <c r="F1065" s="44"/>
      <c r="G1065" s="44"/>
      <c r="H1065" s="46" t="str">
        <f aca="false">IF($A1065="","",IF(OR(NOT(ISNUMBER(E1065)),NOT(ISNUMBER(F1065))),"",MAX(0,E1065)*F1065))</f>
        <v/>
      </c>
      <c r="I1065" s="46" t="str">
        <f aca="false">IF($A1065="","",SUMIF($A$2:$A$5001,$A1065,$H$2:$H$5001))</f>
        <v/>
      </c>
      <c r="J1065" s="47" t="n">
        <f aca="false">IF($A1065="",0,IF(COUNTIF($A$2:A1065,$A1065)=1,1,0))</f>
        <v>0</v>
      </c>
      <c r="K1065" s="47" t="n">
        <f aca="false">IF(J1065=1,N(I1065)+ROW()/10000000,0)</f>
        <v>0</v>
      </c>
      <c r="L1065" s="47" t="str">
        <f aca="false">IF(AND(J1065=1,N(I1065)&gt;0),SUMIF($K$2:$K$5001,"&gt;="&amp;K1065,$I$2:$I$5001)/MAX(1,SUM($H$2:$H$5001)),"")</f>
        <v/>
      </c>
      <c r="M1065" s="47" t="str">
        <f aca="false">IF($A1065="","",INDEX($L$2:$L$5001,MATCH($A1065,$A$2:$A$5001,0)))</f>
        <v/>
      </c>
      <c r="N1065" s="48" t="str">
        <f aca="false">IF($A1065="","",IF(N(M1065)=0,"–",IF(M1065&lt;=Start!$D$20,"A",IF(M1065&lt;=Start!$D$21,"B","C"))))</f>
        <v/>
      </c>
      <c r="O1065" s="48" t="str">
        <f aca="false">IF($A1065="","",IF(NOT(ISNUMBER(F1065)),"Wert fehlt; ",IF(F1065&lt;=0,"Wert ist 0; ",""))&amp;IF(NOT(ISNUMBER(E1065)),"Bestand fehlt; ",IF(E1065&lt;0,"Bestand negativ; ",IF(E1065=0,"Nullbestand; ","")))&amp;IF(D1065="","Warengruppe fehlt; ","")&amp;IF(B1065="","Bezeichnung fehlt; ","")&amp;IF(COUNTIFS($A$2:$A$5001,$A1065,$C$2:$C$5001,C1065)&gt;1,"Artikel doppelt im selben Lager; ",""))</f>
        <v/>
      </c>
      <c r="P1065" s="47" t="n">
        <f aca="false">IF(OR($A1065="",D1065=""),0,IF(COUNTIF($D$2:D1065,D1065)=1,SUMIF($D$2:$D$5001,D1065,$H$2:$H$5001)+ROW()/10000000,0))</f>
        <v>0</v>
      </c>
      <c r="Q1065" s="47" t="n">
        <f aca="false">IF(OR($A1065="",C1065=""),0,IF(COUNTIF($C$2:C1065,C1065)=1,SUMIF($C$2:$C$5001,C1065,$H$2:$H$5001)+ROW()/10000000,0))</f>
        <v>0</v>
      </c>
    </row>
    <row r="1066" customFormat="false" ht="15" hidden="false" customHeight="false" outlineLevel="0" collapsed="false">
      <c r="A1066" s="43"/>
      <c r="B1066" s="44"/>
      <c r="C1066" s="44"/>
      <c r="D1066" s="44"/>
      <c r="E1066" s="44"/>
      <c r="F1066" s="44"/>
      <c r="G1066" s="44"/>
      <c r="H1066" s="46" t="str">
        <f aca="false">IF($A1066="","",IF(OR(NOT(ISNUMBER(E1066)),NOT(ISNUMBER(F1066))),"",MAX(0,E1066)*F1066))</f>
        <v/>
      </c>
      <c r="I1066" s="46" t="str">
        <f aca="false">IF($A1066="","",SUMIF($A$2:$A$5001,$A1066,$H$2:$H$5001))</f>
        <v/>
      </c>
      <c r="J1066" s="47" t="n">
        <f aca="false">IF($A1066="",0,IF(COUNTIF($A$2:A1066,$A1066)=1,1,0))</f>
        <v>0</v>
      </c>
      <c r="K1066" s="47" t="n">
        <f aca="false">IF(J1066=1,N(I1066)+ROW()/10000000,0)</f>
        <v>0</v>
      </c>
      <c r="L1066" s="47" t="str">
        <f aca="false">IF(AND(J1066=1,N(I1066)&gt;0),SUMIF($K$2:$K$5001,"&gt;="&amp;K1066,$I$2:$I$5001)/MAX(1,SUM($H$2:$H$5001)),"")</f>
        <v/>
      </c>
      <c r="M1066" s="47" t="str">
        <f aca="false">IF($A1066="","",INDEX($L$2:$L$5001,MATCH($A1066,$A$2:$A$5001,0)))</f>
        <v/>
      </c>
      <c r="N1066" s="48" t="str">
        <f aca="false">IF($A1066="","",IF(N(M1066)=0,"–",IF(M1066&lt;=Start!$D$20,"A",IF(M1066&lt;=Start!$D$21,"B","C"))))</f>
        <v/>
      </c>
      <c r="O1066" s="48" t="str">
        <f aca="false">IF($A1066="","",IF(NOT(ISNUMBER(F1066)),"Wert fehlt; ",IF(F1066&lt;=0,"Wert ist 0; ",""))&amp;IF(NOT(ISNUMBER(E1066)),"Bestand fehlt; ",IF(E1066&lt;0,"Bestand negativ; ",IF(E1066=0,"Nullbestand; ","")))&amp;IF(D1066="","Warengruppe fehlt; ","")&amp;IF(B1066="","Bezeichnung fehlt; ","")&amp;IF(COUNTIFS($A$2:$A$5001,$A1066,$C$2:$C$5001,C1066)&gt;1,"Artikel doppelt im selben Lager; ",""))</f>
        <v/>
      </c>
      <c r="P1066" s="47" t="n">
        <f aca="false">IF(OR($A1066="",D1066=""),0,IF(COUNTIF($D$2:D1066,D1066)=1,SUMIF($D$2:$D$5001,D1066,$H$2:$H$5001)+ROW()/10000000,0))</f>
        <v>0</v>
      </c>
      <c r="Q1066" s="47" t="n">
        <f aca="false">IF(OR($A1066="",C1066=""),0,IF(COUNTIF($C$2:C1066,C1066)=1,SUMIF($C$2:$C$5001,C1066,$H$2:$H$5001)+ROW()/10000000,0))</f>
        <v>0</v>
      </c>
    </row>
    <row r="1067" customFormat="false" ht="15" hidden="false" customHeight="false" outlineLevel="0" collapsed="false">
      <c r="A1067" s="43"/>
      <c r="B1067" s="44"/>
      <c r="C1067" s="44"/>
      <c r="D1067" s="44"/>
      <c r="E1067" s="44"/>
      <c r="F1067" s="44"/>
      <c r="G1067" s="44"/>
      <c r="H1067" s="46" t="str">
        <f aca="false">IF($A1067="","",IF(OR(NOT(ISNUMBER(E1067)),NOT(ISNUMBER(F1067))),"",MAX(0,E1067)*F1067))</f>
        <v/>
      </c>
      <c r="I1067" s="46" t="str">
        <f aca="false">IF($A1067="","",SUMIF($A$2:$A$5001,$A1067,$H$2:$H$5001))</f>
        <v/>
      </c>
      <c r="J1067" s="47" t="n">
        <f aca="false">IF($A1067="",0,IF(COUNTIF($A$2:A1067,$A1067)=1,1,0))</f>
        <v>0</v>
      </c>
      <c r="K1067" s="47" t="n">
        <f aca="false">IF(J1067=1,N(I1067)+ROW()/10000000,0)</f>
        <v>0</v>
      </c>
      <c r="L1067" s="47" t="str">
        <f aca="false">IF(AND(J1067=1,N(I1067)&gt;0),SUMIF($K$2:$K$5001,"&gt;="&amp;K1067,$I$2:$I$5001)/MAX(1,SUM($H$2:$H$5001)),"")</f>
        <v/>
      </c>
      <c r="M1067" s="47" t="str">
        <f aca="false">IF($A1067="","",INDEX($L$2:$L$5001,MATCH($A1067,$A$2:$A$5001,0)))</f>
        <v/>
      </c>
      <c r="N1067" s="48" t="str">
        <f aca="false">IF($A1067="","",IF(N(M1067)=0,"–",IF(M1067&lt;=Start!$D$20,"A",IF(M1067&lt;=Start!$D$21,"B","C"))))</f>
        <v/>
      </c>
      <c r="O1067" s="48" t="str">
        <f aca="false">IF($A1067="","",IF(NOT(ISNUMBER(F1067)),"Wert fehlt; ",IF(F1067&lt;=0,"Wert ist 0; ",""))&amp;IF(NOT(ISNUMBER(E1067)),"Bestand fehlt; ",IF(E1067&lt;0,"Bestand negativ; ",IF(E1067=0,"Nullbestand; ","")))&amp;IF(D1067="","Warengruppe fehlt; ","")&amp;IF(B1067="","Bezeichnung fehlt; ","")&amp;IF(COUNTIFS($A$2:$A$5001,$A1067,$C$2:$C$5001,C1067)&gt;1,"Artikel doppelt im selben Lager; ",""))</f>
        <v/>
      </c>
      <c r="P1067" s="47" t="n">
        <f aca="false">IF(OR($A1067="",D1067=""),0,IF(COUNTIF($D$2:D1067,D1067)=1,SUMIF($D$2:$D$5001,D1067,$H$2:$H$5001)+ROW()/10000000,0))</f>
        <v>0</v>
      </c>
      <c r="Q1067" s="47" t="n">
        <f aca="false">IF(OR($A1067="",C1067=""),0,IF(COUNTIF($C$2:C1067,C1067)=1,SUMIF($C$2:$C$5001,C1067,$H$2:$H$5001)+ROW()/10000000,0))</f>
        <v>0</v>
      </c>
    </row>
    <row r="1068" customFormat="false" ht="15" hidden="false" customHeight="false" outlineLevel="0" collapsed="false">
      <c r="A1068" s="43"/>
      <c r="B1068" s="44"/>
      <c r="C1068" s="44"/>
      <c r="D1068" s="44"/>
      <c r="E1068" s="44"/>
      <c r="F1068" s="44"/>
      <c r="G1068" s="44"/>
      <c r="H1068" s="46" t="str">
        <f aca="false">IF($A1068="","",IF(OR(NOT(ISNUMBER(E1068)),NOT(ISNUMBER(F1068))),"",MAX(0,E1068)*F1068))</f>
        <v/>
      </c>
      <c r="I1068" s="46" t="str">
        <f aca="false">IF($A1068="","",SUMIF($A$2:$A$5001,$A1068,$H$2:$H$5001))</f>
        <v/>
      </c>
      <c r="J1068" s="47" t="n">
        <f aca="false">IF($A1068="",0,IF(COUNTIF($A$2:A1068,$A1068)=1,1,0))</f>
        <v>0</v>
      </c>
      <c r="K1068" s="47" t="n">
        <f aca="false">IF(J1068=1,N(I1068)+ROW()/10000000,0)</f>
        <v>0</v>
      </c>
      <c r="L1068" s="47" t="str">
        <f aca="false">IF(AND(J1068=1,N(I1068)&gt;0),SUMIF($K$2:$K$5001,"&gt;="&amp;K1068,$I$2:$I$5001)/MAX(1,SUM($H$2:$H$5001)),"")</f>
        <v/>
      </c>
      <c r="M1068" s="47" t="str">
        <f aca="false">IF($A1068="","",INDEX($L$2:$L$5001,MATCH($A1068,$A$2:$A$5001,0)))</f>
        <v/>
      </c>
      <c r="N1068" s="48" t="str">
        <f aca="false">IF($A1068="","",IF(N(M1068)=0,"–",IF(M1068&lt;=Start!$D$20,"A",IF(M1068&lt;=Start!$D$21,"B","C"))))</f>
        <v/>
      </c>
      <c r="O1068" s="48" t="str">
        <f aca="false">IF($A1068="","",IF(NOT(ISNUMBER(F1068)),"Wert fehlt; ",IF(F1068&lt;=0,"Wert ist 0; ",""))&amp;IF(NOT(ISNUMBER(E1068)),"Bestand fehlt; ",IF(E1068&lt;0,"Bestand negativ; ",IF(E1068=0,"Nullbestand; ","")))&amp;IF(D1068="","Warengruppe fehlt; ","")&amp;IF(B1068="","Bezeichnung fehlt; ","")&amp;IF(COUNTIFS($A$2:$A$5001,$A1068,$C$2:$C$5001,C1068)&gt;1,"Artikel doppelt im selben Lager; ",""))</f>
        <v/>
      </c>
      <c r="P1068" s="47" t="n">
        <f aca="false">IF(OR($A1068="",D1068=""),0,IF(COUNTIF($D$2:D1068,D1068)=1,SUMIF($D$2:$D$5001,D1068,$H$2:$H$5001)+ROW()/10000000,0))</f>
        <v>0</v>
      </c>
      <c r="Q1068" s="47" t="n">
        <f aca="false">IF(OR($A1068="",C1068=""),0,IF(COUNTIF($C$2:C1068,C1068)=1,SUMIF($C$2:$C$5001,C1068,$H$2:$H$5001)+ROW()/10000000,0))</f>
        <v>0</v>
      </c>
    </row>
    <row r="1069" customFormat="false" ht="15" hidden="false" customHeight="false" outlineLevel="0" collapsed="false">
      <c r="A1069" s="43"/>
      <c r="B1069" s="44"/>
      <c r="C1069" s="44"/>
      <c r="D1069" s="44"/>
      <c r="E1069" s="44"/>
      <c r="F1069" s="44"/>
      <c r="G1069" s="44"/>
      <c r="H1069" s="46" t="str">
        <f aca="false">IF($A1069="","",IF(OR(NOT(ISNUMBER(E1069)),NOT(ISNUMBER(F1069))),"",MAX(0,E1069)*F1069))</f>
        <v/>
      </c>
      <c r="I1069" s="46" t="str">
        <f aca="false">IF($A1069="","",SUMIF($A$2:$A$5001,$A1069,$H$2:$H$5001))</f>
        <v/>
      </c>
      <c r="J1069" s="47" t="n">
        <f aca="false">IF($A1069="",0,IF(COUNTIF($A$2:A1069,$A1069)=1,1,0))</f>
        <v>0</v>
      </c>
      <c r="K1069" s="47" t="n">
        <f aca="false">IF(J1069=1,N(I1069)+ROW()/10000000,0)</f>
        <v>0</v>
      </c>
      <c r="L1069" s="47" t="str">
        <f aca="false">IF(AND(J1069=1,N(I1069)&gt;0),SUMIF($K$2:$K$5001,"&gt;="&amp;K1069,$I$2:$I$5001)/MAX(1,SUM($H$2:$H$5001)),"")</f>
        <v/>
      </c>
      <c r="M1069" s="47" t="str">
        <f aca="false">IF($A1069="","",INDEX($L$2:$L$5001,MATCH($A1069,$A$2:$A$5001,0)))</f>
        <v/>
      </c>
      <c r="N1069" s="48" t="str">
        <f aca="false">IF($A1069="","",IF(N(M1069)=0,"–",IF(M1069&lt;=Start!$D$20,"A",IF(M1069&lt;=Start!$D$21,"B","C"))))</f>
        <v/>
      </c>
      <c r="O1069" s="48" t="str">
        <f aca="false">IF($A1069="","",IF(NOT(ISNUMBER(F1069)),"Wert fehlt; ",IF(F1069&lt;=0,"Wert ist 0; ",""))&amp;IF(NOT(ISNUMBER(E1069)),"Bestand fehlt; ",IF(E1069&lt;0,"Bestand negativ; ",IF(E1069=0,"Nullbestand; ","")))&amp;IF(D1069="","Warengruppe fehlt; ","")&amp;IF(B1069="","Bezeichnung fehlt; ","")&amp;IF(COUNTIFS($A$2:$A$5001,$A1069,$C$2:$C$5001,C1069)&gt;1,"Artikel doppelt im selben Lager; ",""))</f>
        <v/>
      </c>
      <c r="P1069" s="47" t="n">
        <f aca="false">IF(OR($A1069="",D1069=""),0,IF(COUNTIF($D$2:D1069,D1069)=1,SUMIF($D$2:$D$5001,D1069,$H$2:$H$5001)+ROW()/10000000,0))</f>
        <v>0</v>
      </c>
      <c r="Q1069" s="47" t="n">
        <f aca="false">IF(OR($A1069="",C1069=""),0,IF(COUNTIF($C$2:C1069,C1069)=1,SUMIF($C$2:$C$5001,C1069,$H$2:$H$5001)+ROW()/10000000,0))</f>
        <v>0</v>
      </c>
    </row>
    <row r="1070" customFormat="false" ht="15" hidden="false" customHeight="false" outlineLevel="0" collapsed="false">
      <c r="A1070" s="43"/>
      <c r="B1070" s="44"/>
      <c r="C1070" s="44"/>
      <c r="D1070" s="44"/>
      <c r="E1070" s="44"/>
      <c r="F1070" s="44"/>
      <c r="G1070" s="44"/>
      <c r="H1070" s="46" t="str">
        <f aca="false">IF($A1070="","",IF(OR(NOT(ISNUMBER(E1070)),NOT(ISNUMBER(F1070))),"",MAX(0,E1070)*F1070))</f>
        <v/>
      </c>
      <c r="I1070" s="46" t="str">
        <f aca="false">IF($A1070="","",SUMIF($A$2:$A$5001,$A1070,$H$2:$H$5001))</f>
        <v/>
      </c>
      <c r="J1070" s="47" t="n">
        <f aca="false">IF($A1070="",0,IF(COUNTIF($A$2:A1070,$A1070)=1,1,0))</f>
        <v>0</v>
      </c>
      <c r="K1070" s="47" t="n">
        <f aca="false">IF(J1070=1,N(I1070)+ROW()/10000000,0)</f>
        <v>0</v>
      </c>
      <c r="L1070" s="47" t="str">
        <f aca="false">IF(AND(J1070=1,N(I1070)&gt;0),SUMIF($K$2:$K$5001,"&gt;="&amp;K1070,$I$2:$I$5001)/MAX(1,SUM($H$2:$H$5001)),"")</f>
        <v/>
      </c>
      <c r="M1070" s="47" t="str">
        <f aca="false">IF($A1070="","",INDEX($L$2:$L$5001,MATCH($A1070,$A$2:$A$5001,0)))</f>
        <v/>
      </c>
      <c r="N1070" s="48" t="str">
        <f aca="false">IF($A1070="","",IF(N(M1070)=0,"–",IF(M1070&lt;=Start!$D$20,"A",IF(M1070&lt;=Start!$D$21,"B","C"))))</f>
        <v/>
      </c>
      <c r="O1070" s="48" t="str">
        <f aca="false">IF($A1070="","",IF(NOT(ISNUMBER(F1070)),"Wert fehlt; ",IF(F1070&lt;=0,"Wert ist 0; ",""))&amp;IF(NOT(ISNUMBER(E1070)),"Bestand fehlt; ",IF(E1070&lt;0,"Bestand negativ; ",IF(E1070=0,"Nullbestand; ","")))&amp;IF(D1070="","Warengruppe fehlt; ","")&amp;IF(B1070="","Bezeichnung fehlt; ","")&amp;IF(COUNTIFS($A$2:$A$5001,$A1070,$C$2:$C$5001,C1070)&gt;1,"Artikel doppelt im selben Lager; ",""))</f>
        <v/>
      </c>
      <c r="P1070" s="47" t="n">
        <f aca="false">IF(OR($A1070="",D1070=""),0,IF(COUNTIF($D$2:D1070,D1070)=1,SUMIF($D$2:$D$5001,D1070,$H$2:$H$5001)+ROW()/10000000,0))</f>
        <v>0</v>
      </c>
      <c r="Q1070" s="47" t="n">
        <f aca="false">IF(OR($A1070="",C1070=""),0,IF(COUNTIF($C$2:C1070,C1070)=1,SUMIF($C$2:$C$5001,C1070,$H$2:$H$5001)+ROW()/10000000,0))</f>
        <v>0</v>
      </c>
    </row>
    <row r="1071" customFormat="false" ht="15" hidden="false" customHeight="false" outlineLevel="0" collapsed="false">
      <c r="A1071" s="43"/>
      <c r="B1071" s="44"/>
      <c r="C1071" s="44"/>
      <c r="D1071" s="44"/>
      <c r="E1071" s="44"/>
      <c r="F1071" s="44"/>
      <c r="G1071" s="44"/>
      <c r="H1071" s="46" t="str">
        <f aca="false">IF($A1071="","",IF(OR(NOT(ISNUMBER(E1071)),NOT(ISNUMBER(F1071))),"",MAX(0,E1071)*F1071))</f>
        <v/>
      </c>
      <c r="I1071" s="46" t="str">
        <f aca="false">IF($A1071="","",SUMIF($A$2:$A$5001,$A1071,$H$2:$H$5001))</f>
        <v/>
      </c>
      <c r="J1071" s="47" t="n">
        <f aca="false">IF($A1071="",0,IF(COUNTIF($A$2:A1071,$A1071)=1,1,0))</f>
        <v>0</v>
      </c>
      <c r="K1071" s="47" t="n">
        <f aca="false">IF(J1071=1,N(I1071)+ROW()/10000000,0)</f>
        <v>0</v>
      </c>
      <c r="L1071" s="47" t="str">
        <f aca="false">IF(AND(J1071=1,N(I1071)&gt;0),SUMIF($K$2:$K$5001,"&gt;="&amp;K1071,$I$2:$I$5001)/MAX(1,SUM($H$2:$H$5001)),"")</f>
        <v/>
      </c>
      <c r="M1071" s="47" t="str">
        <f aca="false">IF($A1071="","",INDEX($L$2:$L$5001,MATCH($A1071,$A$2:$A$5001,0)))</f>
        <v/>
      </c>
      <c r="N1071" s="48" t="str">
        <f aca="false">IF($A1071="","",IF(N(M1071)=0,"–",IF(M1071&lt;=Start!$D$20,"A",IF(M1071&lt;=Start!$D$21,"B","C"))))</f>
        <v/>
      </c>
      <c r="O1071" s="48" t="str">
        <f aca="false">IF($A1071="","",IF(NOT(ISNUMBER(F1071)),"Wert fehlt; ",IF(F1071&lt;=0,"Wert ist 0; ",""))&amp;IF(NOT(ISNUMBER(E1071)),"Bestand fehlt; ",IF(E1071&lt;0,"Bestand negativ; ",IF(E1071=0,"Nullbestand; ","")))&amp;IF(D1071="","Warengruppe fehlt; ","")&amp;IF(B1071="","Bezeichnung fehlt; ","")&amp;IF(COUNTIFS($A$2:$A$5001,$A1071,$C$2:$C$5001,C1071)&gt;1,"Artikel doppelt im selben Lager; ",""))</f>
        <v/>
      </c>
      <c r="P1071" s="47" t="n">
        <f aca="false">IF(OR($A1071="",D1071=""),0,IF(COUNTIF($D$2:D1071,D1071)=1,SUMIF($D$2:$D$5001,D1071,$H$2:$H$5001)+ROW()/10000000,0))</f>
        <v>0</v>
      </c>
      <c r="Q1071" s="47" t="n">
        <f aca="false">IF(OR($A1071="",C1071=""),0,IF(COUNTIF($C$2:C1071,C1071)=1,SUMIF($C$2:$C$5001,C1071,$H$2:$H$5001)+ROW()/10000000,0))</f>
        <v>0</v>
      </c>
    </row>
    <row r="1072" customFormat="false" ht="15" hidden="false" customHeight="false" outlineLevel="0" collapsed="false">
      <c r="A1072" s="43"/>
      <c r="B1072" s="44"/>
      <c r="C1072" s="44"/>
      <c r="D1072" s="44"/>
      <c r="E1072" s="44"/>
      <c r="F1072" s="44"/>
      <c r="G1072" s="44"/>
      <c r="H1072" s="46" t="str">
        <f aca="false">IF($A1072="","",IF(OR(NOT(ISNUMBER(E1072)),NOT(ISNUMBER(F1072))),"",MAX(0,E1072)*F1072))</f>
        <v/>
      </c>
      <c r="I1072" s="46" t="str">
        <f aca="false">IF($A1072="","",SUMIF($A$2:$A$5001,$A1072,$H$2:$H$5001))</f>
        <v/>
      </c>
      <c r="J1072" s="47" t="n">
        <f aca="false">IF($A1072="",0,IF(COUNTIF($A$2:A1072,$A1072)=1,1,0))</f>
        <v>0</v>
      </c>
      <c r="K1072" s="47" t="n">
        <f aca="false">IF(J1072=1,N(I1072)+ROW()/10000000,0)</f>
        <v>0</v>
      </c>
      <c r="L1072" s="47" t="str">
        <f aca="false">IF(AND(J1072=1,N(I1072)&gt;0),SUMIF($K$2:$K$5001,"&gt;="&amp;K1072,$I$2:$I$5001)/MAX(1,SUM($H$2:$H$5001)),"")</f>
        <v/>
      </c>
      <c r="M1072" s="47" t="str">
        <f aca="false">IF($A1072="","",INDEX($L$2:$L$5001,MATCH($A1072,$A$2:$A$5001,0)))</f>
        <v/>
      </c>
      <c r="N1072" s="48" t="str">
        <f aca="false">IF($A1072="","",IF(N(M1072)=0,"–",IF(M1072&lt;=Start!$D$20,"A",IF(M1072&lt;=Start!$D$21,"B","C"))))</f>
        <v/>
      </c>
      <c r="O1072" s="48" t="str">
        <f aca="false">IF($A1072="","",IF(NOT(ISNUMBER(F1072)),"Wert fehlt; ",IF(F1072&lt;=0,"Wert ist 0; ",""))&amp;IF(NOT(ISNUMBER(E1072)),"Bestand fehlt; ",IF(E1072&lt;0,"Bestand negativ; ",IF(E1072=0,"Nullbestand; ","")))&amp;IF(D1072="","Warengruppe fehlt; ","")&amp;IF(B1072="","Bezeichnung fehlt; ","")&amp;IF(COUNTIFS($A$2:$A$5001,$A1072,$C$2:$C$5001,C1072)&gt;1,"Artikel doppelt im selben Lager; ",""))</f>
        <v/>
      </c>
      <c r="P1072" s="47" t="n">
        <f aca="false">IF(OR($A1072="",D1072=""),0,IF(COUNTIF($D$2:D1072,D1072)=1,SUMIF($D$2:$D$5001,D1072,$H$2:$H$5001)+ROW()/10000000,0))</f>
        <v>0</v>
      </c>
      <c r="Q1072" s="47" t="n">
        <f aca="false">IF(OR($A1072="",C1072=""),0,IF(COUNTIF($C$2:C1072,C1072)=1,SUMIF($C$2:$C$5001,C1072,$H$2:$H$5001)+ROW()/10000000,0))</f>
        <v>0</v>
      </c>
    </row>
    <row r="1073" customFormat="false" ht="15" hidden="false" customHeight="false" outlineLevel="0" collapsed="false">
      <c r="A1073" s="43"/>
      <c r="B1073" s="44"/>
      <c r="C1073" s="44"/>
      <c r="D1073" s="44"/>
      <c r="E1073" s="44"/>
      <c r="F1073" s="44"/>
      <c r="G1073" s="44"/>
      <c r="H1073" s="46" t="str">
        <f aca="false">IF($A1073="","",IF(OR(NOT(ISNUMBER(E1073)),NOT(ISNUMBER(F1073))),"",MAX(0,E1073)*F1073))</f>
        <v/>
      </c>
      <c r="I1073" s="46" t="str">
        <f aca="false">IF($A1073="","",SUMIF($A$2:$A$5001,$A1073,$H$2:$H$5001))</f>
        <v/>
      </c>
      <c r="J1073" s="47" t="n">
        <f aca="false">IF($A1073="",0,IF(COUNTIF($A$2:A1073,$A1073)=1,1,0))</f>
        <v>0</v>
      </c>
      <c r="K1073" s="47" t="n">
        <f aca="false">IF(J1073=1,N(I1073)+ROW()/10000000,0)</f>
        <v>0</v>
      </c>
      <c r="L1073" s="47" t="str">
        <f aca="false">IF(AND(J1073=1,N(I1073)&gt;0),SUMIF($K$2:$K$5001,"&gt;="&amp;K1073,$I$2:$I$5001)/MAX(1,SUM($H$2:$H$5001)),"")</f>
        <v/>
      </c>
      <c r="M1073" s="47" t="str">
        <f aca="false">IF($A1073="","",INDEX($L$2:$L$5001,MATCH($A1073,$A$2:$A$5001,0)))</f>
        <v/>
      </c>
      <c r="N1073" s="48" t="str">
        <f aca="false">IF($A1073="","",IF(N(M1073)=0,"–",IF(M1073&lt;=Start!$D$20,"A",IF(M1073&lt;=Start!$D$21,"B","C"))))</f>
        <v/>
      </c>
      <c r="O1073" s="48" t="str">
        <f aca="false">IF($A1073="","",IF(NOT(ISNUMBER(F1073)),"Wert fehlt; ",IF(F1073&lt;=0,"Wert ist 0; ",""))&amp;IF(NOT(ISNUMBER(E1073)),"Bestand fehlt; ",IF(E1073&lt;0,"Bestand negativ; ",IF(E1073=0,"Nullbestand; ","")))&amp;IF(D1073="","Warengruppe fehlt; ","")&amp;IF(B1073="","Bezeichnung fehlt; ","")&amp;IF(COUNTIFS($A$2:$A$5001,$A1073,$C$2:$C$5001,C1073)&gt;1,"Artikel doppelt im selben Lager; ",""))</f>
        <v/>
      </c>
      <c r="P1073" s="47" t="n">
        <f aca="false">IF(OR($A1073="",D1073=""),0,IF(COUNTIF($D$2:D1073,D1073)=1,SUMIF($D$2:$D$5001,D1073,$H$2:$H$5001)+ROW()/10000000,0))</f>
        <v>0</v>
      </c>
      <c r="Q1073" s="47" t="n">
        <f aca="false">IF(OR($A1073="",C1073=""),0,IF(COUNTIF($C$2:C1073,C1073)=1,SUMIF($C$2:$C$5001,C1073,$H$2:$H$5001)+ROW()/10000000,0))</f>
        <v>0</v>
      </c>
    </row>
    <row r="1074" customFormat="false" ht="15" hidden="false" customHeight="false" outlineLevel="0" collapsed="false">
      <c r="A1074" s="43"/>
      <c r="B1074" s="44"/>
      <c r="C1074" s="44"/>
      <c r="D1074" s="44"/>
      <c r="E1074" s="44"/>
      <c r="F1074" s="44"/>
      <c r="G1074" s="44"/>
      <c r="H1074" s="46" t="str">
        <f aca="false">IF($A1074="","",IF(OR(NOT(ISNUMBER(E1074)),NOT(ISNUMBER(F1074))),"",MAX(0,E1074)*F1074))</f>
        <v/>
      </c>
      <c r="I1074" s="46" t="str">
        <f aca="false">IF($A1074="","",SUMIF($A$2:$A$5001,$A1074,$H$2:$H$5001))</f>
        <v/>
      </c>
      <c r="J1074" s="47" t="n">
        <f aca="false">IF($A1074="",0,IF(COUNTIF($A$2:A1074,$A1074)=1,1,0))</f>
        <v>0</v>
      </c>
      <c r="K1074" s="47" t="n">
        <f aca="false">IF(J1074=1,N(I1074)+ROW()/10000000,0)</f>
        <v>0</v>
      </c>
      <c r="L1074" s="47" t="str">
        <f aca="false">IF(AND(J1074=1,N(I1074)&gt;0),SUMIF($K$2:$K$5001,"&gt;="&amp;K1074,$I$2:$I$5001)/MAX(1,SUM($H$2:$H$5001)),"")</f>
        <v/>
      </c>
      <c r="M1074" s="47" t="str">
        <f aca="false">IF($A1074="","",INDEX($L$2:$L$5001,MATCH($A1074,$A$2:$A$5001,0)))</f>
        <v/>
      </c>
      <c r="N1074" s="48" t="str">
        <f aca="false">IF($A1074="","",IF(N(M1074)=0,"–",IF(M1074&lt;=Start!$D$20,"A",IF(M1074&lt;=Start!$D$21,"B","C"))))</f>
        <v/>
      </c>
      <c r="O1074" s="48" t="str">
        <f aca="false">IF($A1074="","",IF(NOT(ISNUMBER(F1074)),"Wert fehlt; ",IF(F1074&lt;=0,"Wert ist 0; ",""))&amp;IF(NOT(ISNUMBER(E1074)),"Bestand fehlt; ",IF(E1074&lt;0,"Bestand negativ; ",IF(E1074=0,"Nullbestand; ","")))&amp;IF(D1074="","Warengruppe fehlt; ","")&amp;IF(B1074="","Bezeichnung fehlt; ","")&amp;IF(COUNTIFS($A$2:$A$5001,$A1074,$C$2:$C$5001,C1074)&gt;1,"Artikel doppelt im selben Lager; ",""))</f>
        <v/>
      </c>
      <c r="P1074" s="47" t="n">
        <f aca="false">IF(OR($A1074="",D1074=""),0,IF(COUNTIF($D$2:D1074,D1074)=1,SUMIF($D$2:$D$5001,D1074,$H$2:$H$5001)+ROW()/10000000,0))</f>
        <v>0</v>
      </c>
      <c r="Q1074" s="47" t="n">
        <f aca="false">IF(OR($A1074="",C1074=""),0,IF(COUNTIF($C$2:C1074,C1074)=1,SUMIF($C$2:$C$5001,C1074,$H$2:$H$5001)+ROW()/10000000,0))</f>
        <v>0</v>
      </c>
    </row>
    <row r="1075" customFormat="false" ht="15" hidden="false" customHeight="false" outlineLevel="0" collapsed="false">
      <c r="A1075" s="43"/>
      <c r="B1075" s="44"/>
      <c r="C1075" s="44"/>
      <c r="D1075" s="44"/>
      <c r="E1075" s="44"/>
      <c r="F1075" s="44"/>
      <c r="G1075" s="44"/>
      <c r="H1075" s="46" t="str">
        <f aca="false">IF($A1075="","",IF(OR(NOT(ISNUMBER(E1075)),NOT(ISNUMBER(F1075))),"",MAX(0,E1075)*F1075))</f>
        <v/>
      </c>
      <c r="I1075" s="46" t="str">
        <f aca="false">IF($A1075="","",SUMIF($A$2:$A$5001,$A1075,$H$2:$H$5001))</f>
        <v/>
      </c>
      <c r="J1075" s="47" t="n">
        <f aca="false">IF($A1075="",0,IF(COUNTIF($A$2:A1075,$A1075)=1,1,0))</f>
        <v>0</v>
      </c>
      <c r="K1075" s="47" t="n">
        <f aca="false">IF(J1075=1,N(I1075)+ROW()/10000000,0)</f>
        <v>0</v>
      </c>
      <c r="L1075" s="47" t="str">
        <f aca="false">IF(AND(J1075=1,N(I1075)&gt;0),SUMIF($K$2:$K$5001,"&gt;="&amp;K1075,$I$2:$I$5001)/MAX(1,SUM($H$2:$H$5001)),"")</f>
        <v/>
      </c>
      <c r="M1075" s="47" t="str">
        <f aca="false">IF($A1075="","",INDEX($L$2:$L$5001,MATCH($A1075,$A$2:$A$5001,0)))</f>
        <v/>
      </c>
      <c r="N1075" s="48" t="str">
        <f aca="false">IF($A1075="","",IF(N(M1075)=0,"–",IF(M1075&lt;=Start!$D$20,"A",IF(M1075&lt;=Start!$D$21,"B","C"))))</f>
        <v/>
      </c>
      <c r="O1075" s="48" t="str">
        <f aca="false">IF($A1075="","",IF(NOT(ISNUMBER(F1075)),"Wert fehlt; ",IF(F1075&lt;=0,"Wert ist 0; ",""))&amp;IF(NOT(ISNUMBER(E1075)),"Bestand fehlt; ",IF(E1075&lt;0,"Bestand negativ; ",IF(E1075=0,"Nullbestand; ","")))&amp;IF(D1075="","Warengruppe fehlt; ","")&amp;IF(B1075="","Bezeichnung fehlt; ","")&amp;IF(COUNTIFS($A$2:$A$5001,$A1075,$C$2:$C$5001,C1075)&gt;1,"Artikel doppelt im selben Lager; ",""))</f>
        <v/>
      </c>
      <c r="P1075" s="47" t="n">
        <f aca="false">IF(OR($A1075="",D1075=""),0,IF(COUNTIF($D$2:D1075,D1075)=1,SUMIF($D$2:$D$5001,D1075,$H$2:$H$5001)+ROW()/10000000,0))</f>
        <v>0</v>
      </c>
      <c r="Q1075" s="47" t="n">
        <f aca="false">IF(OR($A1075="",C1075=""),0,IF(COUNTIF($C$2:C1075,C1075)=1,SUMIF($C$2:$C$5001,C1075,$H$2:$H$5001)+ROW()/10000000,0))</f>
        <v>0</v>
      </c>
    </row>
    <row r="1076" customFormat="false" ht="15" hidden="false" customHeight="false" outlineLevel="0" collapsed="false">
      <c r="A1076" s="43"/>
      <c r="B1076" s="44"/>
      <c r="C1076" s="44"/>
      <c r="D1076" s="44"/>
      <c r="E1076" s="44"/>
      <c r="F1076" s="44"/>
      <c r="G1076" s="44"/>
      <c r="H1076" s="46" t="str">
        <f aca="false">IF($A1076="","",IF(OR(NOT(ISNUMBER(E1076)),NOT(ISNUMBER(F1076))),"",MAX(0,E1076)*F1076))</f>
        <v/>
      </c>
      <c r="I1076" s="46" t="str">
        <f aca="false">IF($A1076="","",SUMIF($A$2:$A$5001,$A1076,$H$2:$H$5001))</f>
        <v/>
      </c>
      <c r="J1076" s="47" t="n">
        <f aca="false">IF($A1076="",0,IF(COUNTIF($A$2:A1076,$A1076)=1,1,0))</f>
        <v>0</v>
      </c>
      <c r="K1076" s="47" t="n">
        <f aca="false">IF(J1076=1,N(I1076)+ROW()/10000000,0)</f>
        <v>0</v>
      </c>
      <c r="L1076" s="47" t="str">
        <f aca="false">IF(AND(J1076=1,N(I1076)&gt;0),SUMIF($K$2:$K$5001,"&gt;="&amp;K1076,$I$2:$I$5001)/MAX(1,SUM($H$2:$H$5001)),"")</f>
        <v/>
      </c>
      <c r="M1076" s="47" t="str">
        <f aca="false">IF($A1076="","",INDEX($L$2:$L$5001,MATCH($A1076,$A$2:$A$5001,0)))</f>
        <v/>
      </c>
      <c r="N1076" s="48" t="str">
        <f aca="false">IF($A1076="","",IF(N(M1076)=0,"–",IF(M1076&lt;=Start!$D$20,"A",IF(M1076&lt;=Start!$D$21,"B","C"))))</f>
        <v/>
      </c>
      <c r="O1076" s="48" t="str">
        <f aca="false">IF($A1076="","",IF(NOT(ISNUMBER(F1076)),"Wert fehlt; ",IF(F1076&lt;=0,"Wert ist 0; ",""))&amp;IF(NOT(ISNUMBER(E1076)),"Bestand fehlt; ",IF(E1076&lt;0,"Bestand negativ; ",IF(E1076=0,"Nullbestand; ","")))&amp;IF(D1076="","Warengruppe fehlt; ","")&amp;IF(B1076="","Bezeichnung fehlt; ","")&amp;IF(COUNTIFS($A$2:$A$5001,$A1076,$C$2:$C$5001,C1076)&gt;1,"Artikel doppelt im selben Lager; ",""))</f>
        <v/>
      </c>
      <c r="P1076" s="47" t="n">
        <f aca="false">IF(OR($A1076="",D1076=""),0,IF(COUNTIF($D$2:D1076,D1076)=1,SUMIF($D$2:$D$5001,D1076,$H$2:$H$5001)+ROW()/10000000,0))</f>
        <v>0</v>
      </c>
      <c r="Q1076" s="47" t="n">
        <f aca="false">IF(OR($A1076="",C1076=""),0,IF(COUNTIF($C$2:C1076,C1076)=1,SUMIF($C$2:$C$5001,C1076,$H$2:$H$5001)+ROW()/10000000,0))</f>
        <v>0</v>
      </c>
    </row>
    <row r="1077" customFormat="false" ht="15" hidden="false" customHeight="false" outlineLevel="0" collapsed="false">
      <c r="A1077" s="43"/>
      <c r="B1077" s="44"/>
      <c r="C1077" s="44"/>
      <c r="D1077" s="44"/>
      <c r="E1077" s="44"/>
      <c r="F1077" s="44"/>
      <c r="G1077" s="44"/>
      <c r="H1077" s="46" t="str">
        <f aca="false">IF($A1077="","",IF(OR(NOT(ISNUMBER(E1077)),NOT(ISNUMBER(F1077))),"",MAX(0,E1077)*F1077))</f>
        <v/>
      </c>
      <c r="I1077" s="46" t="str">
        <f aca="false">IF($A1077="","",SUMIF($A$2:$A$5001,$A1077,$H$2:$H$5001))</f>
        <v/>
      </c>
      <c r="J1077" s="47" t="n">
        <f aca="false">IF($A1077="",0,IF(COUNTIF($A$2:A1077,$A1077)=1,1,0))</f>
        <v>0</v>
      </c>
      <c r="K1077" s="47" t="n">
        <f aca="false">IF(J1077=1,N(I1077)+ROW()/10000000,0)</f>
        <v>0</v>
      </c>
      <c r="L1077" s="47" t="str">
        <f aca="false">IF(AND(J1077=1,N(I1077)&gt;0),SUMIF($K$2:$K$5001,"&gt;="&amp;K1077,$I$2:$I$5001)/MAX(1,SUM($H$2:$H$5001)),"")</f>
        <v/>
      </c>
      <c r="M1077" s="47" t="str">
        <f aca="false">IF($A1077="","",INDEX($L$2:$L$5001,MATCH($A1077,$A$2:$A$5001,0)))</f>
        <v/>
      </c>
      <c r="N1077" s="48" t="str">
        <f aca="false">IF($A1077="","",IF(N(M1077)=0,"–",IF(M1077&lt;=Start!$D$20,"A",IF(M1077&lt;=Start!$D$21,"B","C"))))</f>
        <v/>
      </c>
      <c r="O1077" s="48" t="str">
        <f aca="false">IF($A1077="","",IF(NOT(ISNUMBER(F1077)),"Wert fehlt; ",IF(F1077&lt;=0,"Wert ist 0; ",""))&amp;IF(NOT(ISNUMBER(E1077)),"Bestand fehlt; ",IF(E1077&lt;0,"Bestand negativ; ",IF(E1077=0,"Nullbestand; ","")))&amp;IF(D1077="","Warengruppe fehlt; ","")&amp;IF(B1077="","Bezeichnung fehlt; ","")&amp;IF(COUNTIFS($A$2:$A$5001,$A1077,$C$2:$C$5001,C1077)&gt;1,"Artikel doppelt im selben Lager; ",""))</f>
        <v/>
      </c>
      <c r="P1077" s="47" t="n">
        <f aca="false">IF(OR($A1077="",D1077=""),0,IF(COUNTIF($D$2:D1077,D1077)=1,SUMIF($D$2:$D$5001,D1077,$H$2:$H$5001)+ROW()/10000000,0))</f>
        <v>0</v>
      </c>
      <c r="Q1077" s="47" t="n">
        <f aca="false">IF(OR($A1077="",C1077=""),0,IF(COUNTIF($C$2:C1077,C1077)=1,SUMIF($C$2:$C$5001,C1077,$H$2:$H$5001)+ROW()/10000000,0))</f>
        <v>0</v>
      </c>
    </row>
    <row r="1078" customFormat="false" ht="15" hidden="false" customHeight="false" outlineLevel="0" collapsed="false">
      <c r="A1078" s="43"/>
      <c r="B1078" s="44"/>
      <c r="C1078" s="44"/>
      <c r="D1078" s="44"/>
      <c r="E1078" s="44"/>
      <c r="F1078" s="44"/>
      <c r="G1078" s="44"/>
      <c r="H1078" s="46" t="str">
        <f aca="false">IF($A1078="","",IF(OR(NOT(ISNUMBER(E1078)),NOT(ISNUMBER(F1078))),"",MAX(0,E1078)*F1078))</f>
        <v/>
      </c>
      <c r="I1078" s="46" t="str">
        <f aca="false">IF($A1078="","",SUMIF($A$2:$A$5001,$A1078,$H$2:$H$5001))</f>
        <v/>
      </c>
      <c r="J1078" s="47" t="n">
        <f aca="false">IF($A1078="",0,IF(COUNTIF($A$2:A1078,$A1078)=1,1,0))</f>
        <v>0</v>
      </c>
      <c r="K1078" s="47" t="n">
        <f aca="false">IF(J1078=1,N(I1078)+ROW()/10000000,0)</f>
        <v>0</v>
      </c>
      <c r="L1078" s="47" t="str">
        <f aca="false">IF(AND(J1078=1,N(I1078)&gt;0),SUMIF($K$2:$K$5001,"&gt;="&amp;K1078,$I$2:$I$5001)/MAX(1,SUM($H$2:$H$5001)),"")</f>
        <v/>
      </c>
      <c r="M1078" s="47" t="str">
        <f aca="false">IF($A1078="","",INDEX($L$2:$L$5001,MATCH($A1078,$A$2:$A$5001,0)))</f>
        <v/>
      </c>
      <c r="N1078" s="48" t="str">
        <f aca="false">IF($A1078="","",IF(N(M1078)=0,"–",IF(M1078&lt;=Start!$D$20,"A",IF(M1078&lt;=Start!$D$21,"B","C"))))</f>
        <v/>
      </c>
      <c r="O1078" s="48" t="str">
        <f aca="false">IF($A1078="","",IF(NOT(ISNUMBER(F1078)),"Wert fehlt; ",IF(F1078&lt;=0,"Wert ist 0; ",""))&amp;IF(NOT(ISNUMBER(E1078)),"Bestand fehlt; ",IF(E1078&lt;0,"Bestand negativ; ",IF(E1078=0,"Nullbestand; ","")))&amp;IF(D1078="","Warengruppe fehlt; ","")&amp;IF(B1078="","Bezeichnung fehlt; ","")&amp;IF(COUNTIFS($A$2:$A$5001,$A1078,$C$2:$C$5001,C1078)&gt;1,"Artikel doppelt im selben Lager; ",""))</f>
        <v/>
      </c>
      <c r="P1078" s="47" t="n">
        <f aca="false">IF(OR($A1078="",D1078=""),0,IF(COUNTIF($D$2:D1078,D1078)=1,SUMIF($D$2:$D$5001,D1078,$H$2:$H$5001)+ROW()/10000000,0))</f>
        <v>0</v>
      </c>
      <c r="Q1078" s="47" t="n">
        <f aca="false">IF(OR($A1078="",C1078=""),0,IF(COUNTIF($C$2:C1078,C1078)=1,SUMIF($C$2:$C$5001,C1078,$H$2:$H$5001)+ROW()/10000000,0))</f>
        <v>0</v>
      </c>
    </row>
    <row r="1079" customFormat="false" ht="15" hidden="false" customHeight="false" outlineLevel="0" collapsed="false">
      <c r="A1079" s="43"/>
      <c r="B1079" s="44"/>
      <c r="C1079" s="44"/>
      <c r="D1079" s="44"/>
      <c r="E1079" s="44"/>
      <c r="F1079" s="44"/>
      <c r="G1079" s="44"/>
      <c r="H1079" s="46" t="str">
        <f aca="false">IF($A1079="","",IF(OR(NOT(ISNUMBER(E1079)),NOT(ISNUMBER(F1079))),"",MAX(0,E1079)*F1079))</f>
        <v/>
      </c>
      <c r="I1079" s="46" t="str">
        <f aca="false">IF($A1079="","",SUMIF($A$2:$A$5001,$A1079,$H$2:$H$5001))</f>
        <v/>
      </c>
      <c r="J1079" s="47" t="n">
        <f aca="false">IF($A1079="",0,IF(COUNTIF($A$2:A1079,$A1079)=1,1,0))</f>
        <v>0</v>
      </c>
      <c r="K1079" s="47" t="n">
        <f aca="false">IF(J1079=1,N(I1079)+ROW()/10000000,0)</f>
        <v>0</v>
      </c>
      <c r="L1079" s="47" t="str">
        <f aca="false">IF(AND(J1079=1,N(I1079)&gt;0),SUMIF($K$2:$K$5001,"&gt;="&amp;K1079,$I$2:$I$5001)/MAX(1,SUM($H$2:$H$5001)),"")</f>
        <v/>
      </c>
      <c r="M1079" s="47" t="str">
        <f aca="false">IF($A1079="","",INDEX($L$2:$L$5001,MATCH($A1079,$A$2:$A$5001,0)))</f>
        <v/>
      </c>
      <c r="N1079" s="48" t="str">
        <f aca="false">IF($A1079="","",IF(N(M1079)=0,"–",IF(M1079&lt;=Start!$D$20,"A",IF(M1079&lt;=Start!$D$21,"B","C"))))</f>
        <v/>
      </c>
      <c r="O1079" s="48" t="str">
        <f aca="false">IF($A1079="","",IF(NOT(ISNUMBER(F1079)),"Wert fehlt; ",IF(F1079&lt;=0,"Wert ist 0; ",""))&amp;IF(NOT(ISNUMBER(E1079)),"Bestand fehlt; ",IF(E1079&lt;0,"Bestand negativ; ",IF(E1079=0,"Nullbestand; ","")))&amp;IF(D1079="","Warengruppe fehlt; ","")&amp;IF(B1079="","Bezeichnung fehlt; ","")&amp;IF(COUNTIFS($A$2:$A$5001,$A1079,$C$2:$C$5001,C1079)&gt;1,"Artikel doppelt im selben Lager; ",""))</f>
        <v/>
      </c>
      <c r="P1079" s="47" t="n">
        <f aca="false">IF(OR($A1079="",D1079=""),0,IF(COUNTIF($D$2:D1079,D1079)=1,SUMIF($D$2:$D$5001,D1079,$H$2:$H$5001)+ROW()/10000000,0))</f>
        <v>0</v>
      </c>
      <c r="Q1079" s="47" t="n">
        <f aca="false">IF(OR($A1079="",C1079=""),0,IF(COUNTIF($C$2:C1079,C1079)=1,SUMIF($C$2:$C$5001,C1079,$H$2:$H$5001)+ROW()/10000000,0))</f>
        <v>0</v>
      </c>
    </row>
    <row r="1080" customFormat="false" ht="15" hidden="false" customHeight="false" outlineLevel="0" collapsed="false">
      <c r="A1080" s="43"/>
      <c r="B1080" s="44"/>
      <c r="C1080" s="44"/>
      <c r="D1080" s="44"/>
      <c r="E1080" s="44"/>
      <c r="F1080" s="44"/>
      <c r="G1080" s="44"/>
      <c r="H1080" s="46" t="str">
        <f aca="false">IF($A1080="","",IF(OR(NOT(ISNUMBER(E1080)),NOT(ISNUMBER(F1080))),"",MAX(0,E1080)*F1080))</f>
        <v/>
      </c>
      <c r="I1080" s="46" t="str">
        <f aca="false">IF($A1080="","",SUMIF($A$2:$A$5001,$A1080,$H$2:$H$5001))</f>
        <v/>
      </c>
      <c r="J1080" s="47" t="n">
        <f aca="false">IF($A1080="",0,IF(COUNTIF($A$2:A1080,$A1080)=1,1,0))</f>
        <v>0</v>
      </c>
      <c r="K1080" s="47" t="n">
        <f aca="false">IF(J1080=1,N(I1080)+ROW()/10000000,0)</f>
        <v>0</v>
      </c>
      <c r="L1080" s="47" t="str">
        <f aca="false">IF(AND(J1080=1,N(I1080)&gt;0),SUMIF($K$2:$K$5001,"&gt;="&amp;K1080,$I$2:$I$5001)/MAX(1,SUM($H$2:$H$5001)),"")</f>
        <v/>
      </c>
      <c r="M1080" s="47" t="str">
        <f aca="false">IF($A1080="","",INDEX($L$2:$L$5001,MATCH($A1080,$A$2:$A$5001,0)))</f>
        <v/>
      </c>
      <c r="N1080" s="48" t="str">
        <f aca="false">IF($A1080="","",IF(N(M1080)=0,"–",IF(M1080&lt;=Start!$D$20,"A",IF(M1080&lt;=Start!$D$21,"B","C"))))</f>
        <v/>
      </c>
      <c r="O1080" s="48" t="str">
        <f aca="false">IF($A1080="","",IF(NOT(ISNUMBER(F1080)),"Wert fehlt; ",IF(F1080&lt;=0,"Wert ist 0; ",""))&amp;IF(NOT(ISNUMBER(E1080)),"Bestand fehlt; ",IF(E1080&lt;0,"Bestand negativ; ",IF(E1080=0,"Nullbestand; ","")))&amp;IF(D1080="","Warengruppe fehlt; ","")&amp;IF(B1080="","Bezeichnung fehlt; ","")&amp;IF(COUNTIFS($A$2:$A$5001,$A1080,$C$2:$C$5001,C1080)&gt;1,"Artikel doppelt im selben Lager; ",""))</f>
        <v/>
      </c>
      <c r="P1080" s="47" t="n">
        <f aca="false">IF(OR($A1080="",D1080=""),0,IF(COUNTIF($D$2:D1080,D1080)=1,SUMIF($D$2:$D$5001,D1080,$H$2:$H$5001)+ROW()/10000000,0))</f>
        <v>0</v>
      </c>
      <c r="Q1080" s="47" t="n">
        <f aca="false">IF(OR($A1080="",C1080=""),0,IF(COUNTIF($C$2:C1080,C1080)=1,SUMIF($C$2:$C$5001,C1080,$H$2:$H$5001)+ROW()/10000000,0))</f>
        <v>0</v>
      </c>
    </row>
    <row r="1081" customFormat="false" ht="15" hidden="false" customHeight="false" outlineLevel="0" collapsed="false">
      <c r="A1081" s="43"/>
      <c r="B1081" s="44"/>
      <c r="C1081" s="44"/>
      <c r="D1081" s="44"/>
      <c r="E1081" s="44"/>
      <c r="F1081" s="44"/>
      <c r="G1081" s="44"/>
      <c r="H1081" s="46" t="str">
        <f aca="false">IF($A1081="","",IF(OR(NOT(ISNUMBER(E1081)),NOT(ISNUMBER(F1081))),"",MAX(0,E1081)*F1081))</f>
        <v/>
      </c>
      <c r="I1081" s="46" t="str">
        <f aca="false">IF($A1081="","",SUMIF($A$2:$A$5001,$A1081,$H$2:$H$5001))</f>
        <v/>
      </c>
      <c r="J1081" s="47" t="n">
        <f aca="false">IF($A1081="",0,IF(COUNTIF($A$2:A1081,$A1081)=1,1,0))</f>
        <v>0</v>
      </c>
      <c r="K1081" s="47" t="n">
        <f aca="false">IF(J1081=1,N(I1081)+ROW()/10000000,0)</f>
        <v>0</v>
      </c>
      <c r="L1081" s="47" t="str">
        <f aca="false">IF(AND(J1081=1,N(I1081)&gt;0),SUMIF($K$2:$K$5001,"&gt;="&amp;K1081,$I$2:$I$5001)/MAX(1,SUM($H$2:$H$5001)),"")</f>
        <v/>
      </c>
      <c r="M1081" s="47" t="str">
        <f aca="false">IF($A1081="","",INDEX($L$2:$L$5001,MATCH($A1081,$A$2:$A$5001,0)))</f>
        <v/>
      </c>
      <c r="N1081" s="48" t="str">
        <f aca="false">IF($A1081="","",IF(N(M1081)=0,"–",IF(M1081&lt;=Start!$D$20,"A",IF(M1081&lt;=Start!$D$21,"B","C"))))</f>
        <v/>
      </c>
      <c r="O1081" s="48" t="str">
        <f aca="false">IF($A1081="","",IF(NOT(ISNUMBER(F1081)),"Wert fehlt; ",IF(F1081&lt;=0,"Wert ist 0; ",""))&amp;IF(NOT(ISNUMBER(E1081)),"Bestand fehlt; ",IF(E1081&lt;0,"Bestand negativ; ",IF(E1081=0,"Nullbestand; ","")))&amp;IF(D1081="","Warengruppe fehlt; ","")&amp;IF(B1081="","Bezeichnung fehlt; ","")&amp;IF(COUNTIFS($A$2:$A$5001,$A1081,$C$2:$C$5001,C1081)&gt;1,"Artikel doppelt im selben Lager; ",""))</f>
        <v/>
      </c>
      <c r="P1081" s="47" t="n">
        <f aca="false">IF(OR($A1081="",D1081=""),0,IF(COUNTIF($D$2:D1081,D1081)=1,SUMIF($D$2:$D$5001,D1081,$H$2:$H$5001)+ROW()/10000000,0))</f>
        <v>0</v>
      </c>
      <c r="Q1081" s="47" t="n">
        <f aca="false">IF(OR($A1081="",C1081=""),0,IF(COUNTIF($C$2:C1081,C1081)=1,SUMIF($C$2:$C$5001,C1081,$H$2:$H$5001)+ROW()/10000000,0))</f>
        <v>0</v>
      </c>
    </row>
    <row r="1082" customFormat="false" ht="15" hidden="false" customHeight="false" outlineLevel="0" collapsed="false">
      <c r="A1082" s="43"/>
      <c r="B1082" s="44"/>
      <c r="C1082" s="44"/>
      <c r="D1082" s="44"/>
      <c r="E1082" s="44"/>
      <c r="F1082" s="44"/>
      <c r="G1082" s="44"/>
      <c r="H1082" s="46" t="str">
        <f aca="false">IF($A1082="","",IF(OR(NOT(ISNUMBER(E1082)),NOT(ISNUMBER(F1082))),"",MAX(0,E1082)*F1082))</f>
        <v/>
      </c>
      <c r="I1082" s="46" t="str">
        <f aca="false">IF($A1082="","",SUMIF($A$2:$A$5001,$A1082,$H$2:$H$5001))</f>
        <v/>
      </c>
      <c r="J1082" s="47" t="n">
        <f aca="false">IF($A1082="",0,IF(COUNTIF($A$2:A1082,$A1082)=1,1,0))</f>
        <v>0</v>
      </c>
      <c r="K1082" s="47" t="n">
        <f aca="false">IF(J1082=1,N(I1082)+ROW()/10000000,0)</f>
        <v>0</v>
      </c>
      <c r="L1082" s="47" t="str">
        <f aca="false">IF(AND(J1082=1,N(I1082)&gt;0),SUMIF($K$2:$K$5001,"&gt;="&amp;K1082,$I$2:$I$5001)/MAX(1,SUM($H$2:$H$5001)),"")</f>
        <v/>
      </c>
      <c r="M1082" s="47" t="str">
        <f aca="false">IF($A1082="","",INDEX($L$2:$L$5001,MATCH($A1082,$A$2:$A$5001,0)))</f>
        <v/>
      </c>
      <c r="N1082" s="48" t="str">
        <f aca="false">IF($A1082="","",IF(N(M1082)=0,"–",IF(M1082&lt;=Start!$D$20,"A",IF(M1082&lt;=Start!$D$21,"B","C"))))</f>
        <v/>
      </c>
      <c r="O1082" s="48" t="str">
        <f aca="false">IF($A1082="","",IF(NOT(ISNUMBER(F1082)),"Wert fehlt; ",IF(F1082&lt;=0,"Wert ist 0; ",""))&amp;IF(NOT(ISNUMBER(E1082)),"Bestand fehlt; ",IF(E1082&lt;0,"Bestand negativ; ",IF(E1082=0,"Nullbestand; ","")))&amp;IF(D1082="","Warengruppe fehlt; ","")&amp;IF(B1082="","Bezeichnung fehlt; ","")&amp;IF(COUNTIFS($A$2:$A$5001,$A1082,$C$2:$C$5001,C1082)&gt;1,"Artikel doppelt im selben Lager; ",""))</f>
        <v/>
      </c>
      <c r="P1082" s="47" t="n">
        <f aca="false">IF(OR($A1082="",D1082=""),0,IF(COUNTIF($D$2:D1082,D1082)=1,SUMIF($D$2:$D$5001,D1082,$H$2:$H$5001)+ROW()/10000000,0))</f>
        <v>0</v>
      </c>
      <c r="Q1082" s="47" t="n">
        <f aca="false">IF(OR($A1082="",C1082=""),0,IF(COUNTIF($C$2:C1082,C1082)=1,SUMIF($C$2:$C$5001,C1082,$H$2:$H$5001)+ROW()/10000000,0))</f>
        <v>0</v>
      </c>
    </row>
    <row r="1083" customFormat="false" ht="15" hidden="false" customHeight="false" outlineLevel="0" collapsed="false">
      <c r="A1083" s="43"/>
      <c r="B1083" s="44"/>
      <c r="C1083" s="44"/>
      <c r="D1083" s="44"/>
      <c r="E1083" s="44"/>
      <c r="F1083" s="44"/>
      <c r="G1083" s="44"/>
      <c r="H1083" s="46" t="str">
        <f aca="false">IF($A1083="","",IF(OR(NOT(ISNUMBER(E1083)),NOT(ISNUMBER(F1083))),"",MAX(0,E1083)*F1083))</f>
        <v/>
      </c>
      <c r="I1083" s="46" t="str">
        <f aca="false">IF($A1083="","",SUMIF($A$2:$A$5001,$A1083,$H$2:$H$5001))</f>
        <v/>
      </c>
      <c r="J1083" s="47" t="n">
        <f aca="false">IF($A1083="",0,IF(COUNTIF($A$2:A1083,$A1083)=1,1,0))</f>
        <v>0</v>
      </c>
      <c r="K1083" s="47" t="n">
        <f aca="false">IF(J1083=1,N(I1083)+ROW()/10000000,0)</f>
        <v>0</v>
      </c>
      <c r="L1083" s="47" t="str">
        <f aca="false">IF(AND(J1083=1,N(I1083)&gt;0),SUMIF($K$2:$K$5001,"&gt;="&amp;K1083,$I$2:$I$5001)/MAX(1,SUM($H$2:$H$5001)),"")</f>
        <v/>
      </c>
      <c r="M1083" s="47" t="str">
        <f aca="false">IF($A1083="","",INDEX($L$2:$L$5001,MATCH($A1083,$A$2:$A$5001,0)))</f>
        <v/>
      </c>
      <c r="N1083" s="48" t="str">
        <f aca="false">IF($A1083="","",IF(N(M1083)=0,"–",IF(M1083&lt;=Start!$D$20,"A",IF(M1083&lt;=Start!$D$21,"B","C"))))</f>
        <v/>
      </c>
      <c r="O1083" s="48" t="str">
        <f aca="false">IF($A1083="","",IF(NOT(ISNUMBER(F1083)),"Wert fehlt; ",IF(F1083&lt;=0,"Wert ist 0; ",""))&amp;IF(NOT(ISNUMBER(E1083)),"Bestand fehlt; ",IF(E1083&lt;0,"Bestand negativ; ",IF(E1083=0,"Nullbestand; ","")))&amp;IF(D1083="","Warengruppe fehlt; ","")&amp;IF(B1083="","Bezeichnung fehlt; ","")&amp;IF(COUNTIFS($A$2:$A$5001,$A1083,$C$2:$C$5001,C1083)&gt;1,"Artikel doppelt im selben Lager; ",""))</f>
        <v/>
      </c>
      <c r="P1083" s="47" t="n">
        <f aca="false">IF(OR($A1083="",D1083=""),0,IF(COUNTIF($D$2:D1083,D1083)=1,SUMIF($D$2:$D$5001,D1083,$H$2:$H$5001)+ROW()/10000000,0))</f>
        <v>0</v>
      </c>
      <c r="Q1083" s="47" t="n">
        <f aca="false">IF(OR($A1083="",C1083=""),0,IF(COUNTIF($C$2:C1083,C1083)=1,SUMIF($C$2:$C$5001,C1083,$H$2:$H$5001)+ROW()/10000000,0))</f>
        <v>0</v>
      </c>
    </row>
    <row r="1084" customFormat="false" ht="15" hidden="false" customHeight="false" outlineLevel="0" collapsed="false">
      <c r="A1084" s="43"/>
      <c r="B1084" s="44"/>
      <c r="C1084" s="44"/>
      <c r="D1084" s="44"/>
      <c r="E1084" s="44"/>
      <c r="F1084" s="44"/>
      <c r="G1084" s="44"/>
      <c r="H1084" s="46" t="str">
        <f aca="false">IF($A1084="","",IF(OR(NOT(ISNUMBER(E1084)),NOT(ISNUMBER(F1084))),"",MAX(0,E1084)*F1084))</f>
        <v/>
      </c>
      <c r="I1084" s="46" t="str">
        <f aca="false">IF($A1084="","",SUMIF($A$2:$A$5001,$A1084,$H$2:$H$5001))</f>
        <v/>
      </c>
      <c r="J1084" s="47" t="n">
        <f aca="false">IF($A1084="",0,IF(COUNTIF($A$2:A1084,$A1084)=1,1,0))</f>
        <v>0</v>
      </c>
      <c r="K1084" s="47" t="n">
        <f aca="false">IF(J1084=1,N(I1084)+ROW()/10000000,0)</f>
        <v>0</v>
      </c>
      <c r="L1084" s="47" t="str">
        <f aca="false">IF(AND(J1084=1,N(I1084)&gt;0),SUMIF($K$2:$K$5001,"&gt;="&amp;K1084,$I$2:$I$5001)/MAX(1,SUM($H$2:$H$5001)),"")</f>
        <v/>
      </c>
      <c r="M1084" s="47" t="str">
        <f aca="false">IF($A1084="","",INDEX($L$2:$L$5001,MATCH($A1084,$A$2:$A$5001,0)))</f>
        <v/>
      </c>
      <c r="N1084" s="48" t="str">
        <f aca="false">IF($A1084="","",IF(N(M1084)=0,"–",IF(M1084&lt;=Start!$D$20,"A",IF(M1084&lt;=Start!$D$21,"B","C"))))</f>
        <v/>
      </c>
      <c r="O1084" s="48" t="str">
        <f aca="false">IF($A1084="","",IF(NOT(ISNUMBER(F1084)),"Wert fehlt; ",IF(F1084&lt;=0,"Wert ist 0; ",""))&amp;IF(NOT(ISNUMBER(E1084)),"Bestand fehlt; ",IF(E1084&lt;0,"Bestand negativ; ",IF(E1084=0,"Nullbestand; ","")))&amp;IF(D1084="","Warengruppe fehlt; ","")&amp;IF(B1084="","Bezeichnung fehlt; ","")&amp;IF(COUNTIFS($A$2:$A$5001,$A1084,$C$2:$C$5001,C1084)&gt;1,"Artikel doppelt im selben Lager; ",""))</f>
        <v/>
      </c>
      <c r="P1084" s="47" t="n">
        <f aca="false">IF(OR($A1084="",D1084=""),0,IF(COUNTIF($D$2:D1084,D1084)=1,SUMIF($D$2:$D$5001,D1084,$H$2:$H$5001)+ROW()/10000000,0))</f>
        <v>0</v>
      </c>
      <c r="Q1084" s="47" t="n">
        <f aca="false">IF(OR($A1084="",C1084=""),0,IF(COUNTIF($C$2:C1084,C1084)=1,SUMIF($C$2:$C$5001,C1084,$H$2:$H$5001)+ROW()/10000000,0))</f>
        <v>0</v>
      </c>
    </row>
    <row r="1085" customFormat="false" ht="15" hidden="false" customHeight="false" outlineLevel="0" collapsed="false">
      <c r="A1085" s="43"/>
      <c r="B1085" s="44"/>
      <c r="C1085" s="44"/>
      <c r="D1085" s="44"/>
      <c r="E1085" s="44"/>
      <c r="F1085" s="44"/>
      <c r="G1085" s="44"/>
      <c r="H1085" s="46" t="str">
        <f aca="false">IF($A1085="","",IF(OR(NOT(ISNUMBER(E1085)),NOT(ISNUMBER(F1085))),"",MAX(0,E1085)*F1085))</f>
        <v/>
      </c>
      <c r="I1085" s="46" t="str">
        <f aca="false">IF($A1085="","",SUMIF($A$2:$A$5001,$A1085,$H$2:$H$5001))</f>
        <v/>
      </c>
      <c r="J1085" s="47" t="n">
        <f aca="false">IF($A1085="",0,IF(COUNTIF($A$2:A1085,$A1085)=1,1,0))</f>
        <v>0</v>
      </c>
      <c r="K1085" s="47" t="n">
        <f aca="false">IF(J1085=1,N(I1085)+ROW()/10000000,0)</f>
        <v>0</v>
      </c>
      <c r="L1085" s="47" t="str">
        <f aca="false">IF(AND(J1085=1,N(I1085)&gt;0),SUMIF($K$2:$K$5001,"&gt;="&amp;K1085,$I$2:$I$5001)/MAX(1,SUM($H$2:$H$5001)),"")</f>
        <v/>
      </c>
      <c r="M1085" s="47" t="str">
        <f aca="false">IF($A1085="","",INDEX($L$2:$L$5001,MATCH($A1085,$A$2:$A$5001,0)))</f>
        <v/>
      </c>
      <c r="N1085" s="48" t="str">
        <f aca="false">IF($A1085="","",IF(N(M1085)=0,"–",IF(M1085&lt;=Start!$D$20,"A",IF(M1085&lt;=Start!$D$21,"B","C"))))</f>
        <v/>
      </c>
      <c r="O1085" s="48" t="str">
        <f aca="false">IF($A1085="","",IF(NOT(ISNUMBER(F1085)),"Wert fehlt; ",IF(F1085&lt;=0,"Wert ist 0; ",""))&amp;IF(NOT(ISNUMBER(E1085)),"Bestand fehlt; ",IF(E1085&lt;0,"Bestand negativ; ",IF(E1085=0,"Nullbestand; ","")))&amp;IF(D1085="","Warengruppe fehlt; ","")&amp;IF(B1085="","Bezeichnung fehlt; ","")&amp;IF(COUNTIFS($A$2:$A$5001,$A1085,$C$2:$C$5001,C1085)&gt;1,"Artikel doppelt im selben Lager; ",""))</f>
        <v/>
      </c>
      <c r="P1085" s="47" t="n">
        <f aca="false">IF(OR($A1085="",D1085=""),0,IF(COUNTIF($D$2:D1085,D1085)=1,SUMIF($D$2:$D$5001,D1085,$H$2:$H$5001)+ROW()/10000000,0))</f>
        <v>0</v>
      </c>
      <c r="Q1085" s="47" t="n">
        <f aca="false">IF(OR($A1085="",C1085=""),0,IF(COUNTIF($C$2:C1085,C1085)=1,SUMIF($C$2:$C$5001,C1085,$H$2:$H$5001)+ROW()/10000000,0))</f>
        <v>0</v>
      </c>
    </row>
    <row r="1086" customFormat="false" ht="15" hidden="false" customHeight="false" outlineLevel="0" collapsed="false">
      <c r="A1086" s="43"/>
      <c r="B1086" s="44"/>
      <c r="C1086" s="44"/>
      <c r="D1086" s="44"/>
      <c r="E1086" s="44"/>
      <c r="F1086" s="44"/>
      <c r="G1086" s="44"/>
      <c r="H1086" s="46" t="str">
        <f aca="false">IF($A1086="","",IF(OR(NOT(ISNUMBER(E1086)),NOT(ISNUMBER(F1086))),"",MAX(0,E1086)*F1086))</f>
        <v/>
      </c>
      <c r="I1086" s="46" t="str">
        <f aca="false">IF($A1086="","",SUMIF($A$2:$A$5001,$A1086,$H$2:$H$5001))</f>
        <v/>
      </c>
      <c r="J1086" s="47" t="n">
        <f aca="false">IF($A1086="",0,IF(COUNTIF($A$2:A1086,$A1086)=1,1,0))</f>
        <v>0</v>
      </c>
      <c r="K1086" s="47" t="n">
        <f aca="false">IF(J1086=1,N(I1086)+ROW()/10000000,0)</f>
        <v>0</v>
      </c>
      <c r="L1086" s="47" t="str">
        <f aca="false">IF(AND(J1086=1,N(I1086)&gt;0),SUMIF($K$2:$K$5001,"&gt;="&amp;K1086,$I$2:$I$5001)/MAX(1,SUM($H$2:$H$5001)),"")</f>
        <v/>
      </c>
      <c r="M1086" s="47" t="str">
        <f aca="false">IF($A1086="","",INDEX($L$2:$L$5001,MATCH($A1086,$A$2:$A$5001,0)))</f>
        <v/>
      </c>
      <c r="N1086" s="48" t="str">
        <f aca="false">IF($A1086="","",IF(N(M1086)=0,"–",IF(M1086&lt;=Start!$D$20,"A",IF(M1086&lt;=Start!$D$21,"B","C"))))</f>
        <v/>
      </c>
      <c r="O1086" s="48" t="str">
        <f aca="false">IF($A1086="","",IF(NOT(ISNUMBER(F1086)),"Wert fehlt; ",IF(F1086&lt;=0,"Wert ist 0; ",""))&amp;IF(NOT(ISNUMBER(E1086)),"Bestand fehlt; ",IF(E1086&lt;0,"Bestand negativ; ",IF(E1086=0,"Nullbestand; ","")))&amp;IF(D1086="","Warengruppe fehlt; ","")&amp;IF(B1086="","Bezeichnung fehlt; ","")&amp;IF(COUNTIFS($A$2:$A$5001,$A1086,$C$2:$C$5001,C1086)&gt;1,"Artikel doppelt im selben Lager; ",""))</f>
        <v/>
      </c>
      <c r="P1086" s="47" t="n">
        <f aca="false">IF(OR($A1086="",D1086=""),0,IF(COUNTIF($D$2:D1086,D1086)=1,SUMIF($D$2:$D$5001,D1086,$H$2:$H$5001)+ROW()/10000000,0))</f>
        <v>0</v>
      </c>
      <c r="Q1086" s="47" t="n">
        <f aca="false">IF(OR($A1086="",C1086=""),0,IF(COUNTIF($C$2:C1086,C1086)=1,SUMIF($C$2:$C$5001,C1086,$H$2:$H$5001)+ROW()/10000000,0))</f>
        <v>0</v>
      </c>
    </row>
    <row r="1087" customFormat="false" ht="15" hidden="false" customHeight="false" outlineLevel="0" collapsed="false">
      <c r="A1087" s="43"/>
      <c r="B1087" s="44"/>
      <c r="C1087" s="44"/>
      <c r="D1087" s="44"/>
      <c r="E1087" s="44"/>
      <c r="F1087" s="44"/>
      <c r="G1087" s="44"/>
      <c r="H1087" s="46" t="str">
        <f aca="false">IF($A1087="","",IF(OR(NOT(ISNUMBER(E1087)),NOT(ISNUMBER(F1087))),"",MAX(0,E1087)*F1087))</f>
        <v/>
      </c>
      <c r="I1087" s="46" t="str">
        <f aca="false">IF($A1087="","",SUMIF($A$2:$A$5001,$A1087,$H$2:$H$5001))</f>
        <v/>
      </c>
      <c r="J1087" s="47" t="n">
        <f aca="false">IF($A1087="",0,IF(COUNTIF($A$2:A1087,$A1087)=1,1,0))</f>
        <v>0</v>
      </c>
      <c r="K1087" s="47" t="n">
        <f aca="false">IF(J1087=1,N(I1087)+ROW()/10000000,0)</f>
        <v>0</v>
      </c>
      <c r="L1087" s="47" t="str">
        <f aca="false">IF(AND(J1087=1,N(I1087)&gt;0),SUMIF($K$2:$K$5001,"&gt;="&amp;K1087,$I$2:$I$5001)/MAX(1,SUM($H$2:$H$5001)),"")</f>
        <v/>
      </c>
      <c r="M1087" s="47" t="str">
        <f aca="false">IF($A1087="","",INDEX($L$2:$L$5001,MATCH($A1087,$A$2:$A$5001,0)))</f>
        <v/>
      </c>
      <c r="N1087" s="48" t="str">
        <f aca="false">IF($A1087="","",IF(N(M1087)=0,"–",IF(M1087&lt;=Start!$D$20,"A",IF(M1087&lt;=Start!$D$21,"B","C"))))</f>
        <v/>
      </c>
      <c r="O1087" s="48" t="str">
        <f aca="false">IF($A1087="","",IF(NOT(ISNUMBER(F1087)),"Wert fehlt; ",IF(F1087&lt;=0,"Wert ist 0; ",""))&amp;IF(NOT(ISNUMBER(E1087)),"Bestand fehlt; ",IF(E1087&lt;0,"Bestand negativ; ",IF(E1087=0,"Nullbestand; ","")))&amp;IF(D1087="","Warengruppe fehlt; ","")&amp;IF(B1087="","Bezeichnung fehlt; ","")&amp;IF(COUNTIFS($A$2:$A$5001,$A1087,$C$2:$C$5001,C1087)&gt;1,"Artikel doppelt im selben Lager; ",""))</f>
        <v/>
      </c>
      <c r="P1087" s="47" t="n">
        <f aca="false">IF(OR($A1087="",D1087=""),0,IF(COUNTIF($D$2:D1087,D1087)=1,SUMIF($D$2:$D$5001,D1087,$H$2:$H$5001)+ROW()/10000000,0))</f>
        <v>0</v>
      </c>
      <c r="Q1087" s="47" t="n">
        <f aca="false">IF(OR($A1087="",C1087=""),0,IF(COUNTIF($C$2:C1087,C1087)=1,SUMIF($C$2:$C$5001,C1087,$H$2:$H$5001)+ROW()/10000000,0))</f>
        <v>0</v>
      </c>
    </row>
    <row r="1088" customFormat="false" ht="15" hidden="false" customHeight="false" outlineLevel="0" collapsed="false">
      <c r="A1088" s="43"/>
      <c r="B1088" s="44"/>
      <c r="C1088" s="44"/>
      <c r="D1088" s="44"/>
      <c r="E1088" s="44"/>
      <c r="F1088" s="44"/>
      <c r="G1088" s="44"/>
      <c r="H1088" s="46" t="str">
        <f aca="false">IF($A1088="","",IF(OR(NOT(ISNUMBER(E1088)),NOT(ISNUMBER(F1088))),"",MAX(0,E1088)*F1088))</f>
        <v/>
      </c>
      <c r="I1088" s="46" t="str">
        <f aca="false">IF($A1088="","",SUMIF($A$2:$A$5001,$A1088,$H$2:$H$5001))</f>
        <v/>
      </c>
      <c r="J1088" s="47" t="n">
        <f aca="false">IF($A1088="",0,IF(COUNTIF($A$2:A1088,$A1088)=1,1,0))</f>
        <v>0</v>
      </c>
      <c r="K1088" s="47" t="n">
        <f aca="false">IF(J1088=1,N(I1088)+ROW()/10000000,0)</f>
        <v>0</v>
      </c>
      <c r="L1088" s="47" t="str">
        <f aca="false">IF(AND(J1088=1,N(I1088)&gt;0),SUMIF($K$2:$K$5001,"&gt;="&amp;K1088,$I$2:$I$5001)/MAX(1,SUM($H$2:$H$5001)),"")</f>
        <v/>
      </c>
      <c r="M1088" s="47" t="str">
        <f aca="false">IF($A1088="","",INDEX($L$2:$L$5001,MATCH($A1088,$A$2:$A$5001,0)))</f>
        <v/>
      </c>
      <c r="N1088" s="48" t="str">
        <f aca="false">IF($A1088="","",IF(N(M1088)=0,"–",IF(M1088&lt;=Start!$D$20,"A",IF(M1088&lt;=Start!$D$21,"B","C"))))</f>
        <v/>
      </c>
      <c r="O1088" s="48" t="str">
        <f aca="false">IF($A1088="","",IF(NOT(ISNUMBER(F1088)),"Wert fehlt; ",IF(F1088&lt;=0,"Wert ist 0; ",""))&amp;IF(NOT(ISNUMBER(E1088)),"Bestand fehlt; ",IF(E1088&lt;0,"Bestand negativ; ",IF(E1088=0,"Nullbestand; ","")))&amp;IF(D1088="","Warengruppe fehlt; ","")&amp;IF(B1088="","Bezeichnung fehlt; ","")&amp;IF(COUNTIFS($A$2:$A$5001,$A1088,$C$2:$C$5001,C1088)&gt;1,"Artikel doppelt im selben Lager; ",""))</f>
        <v/>
      </c>
      <c r="P1088" s="47" t="n">
        <f aca="false">IF(OR($A1088="",D1088=""),0,IF(COUNTIF($D$2:D1088,D1088)=1,SUMIF($D$2:$D$5001,D1088,$H$2:$H$5001)+ROW()/10000000,0))</f>
        <v>0</v>
      </c>
      <c r="Q1088" s="47" t="n">
        <f aca="false">IF(OR($A1088="",C1088=""),0,IF(COUNTIF($C$2:C1088,C1088)=1,SUMIF($C$2:$C$5001,C1088,$H$2:$H$5001)+ROW()/10000000,0))</f>
        <v>0</v>
      </c>
    </row>
    <row r="1089" customFormat="false" ht="15" hidden="false" customHeight="false" outlineLevel="0" collapsed="false">
      <c r="A1089" s="43"/>
      <c r="B1089" s="44"/>
      <c r="C1089" s="44"/>
      <c r="D1089" s="44"/>
      <c r="E1089" s="44"/>
      <c r="F1089" s="44"/>
      <c r="G1089" s="44"/>
      <c r="H1089" s="46" t="str">
        <f aca="false">IF($A1089="","",IF(OR(NOT(ISNUMBER(E1089)),NOT(ISNUMBER(F1089))),"",MAX(0,E1089)*F1089))</f>
        <v/>
      </c>
      <c r="I1089" s="46" t="str">
        <f aca="false">IF($A1089="","",SUMIF($A$2:$A$5001,$A1089,$H$2:$H$5001))</f>
        <v/>
      </c>
      <c r="J1089" s="47" t="n">
        <f aca="false">IF($A1089="",0,IF(COUNTIF($A$2:A1089,$A1089)=1,1,0))</f>
        <v>0</v>
      </c>
      <c r="K1089" s="47" t="n">
        <f aca="false">IF(J1089=1,N(I1089)+ROW()/10000000,0)</f>
        <v>0</v>
      </c>
      <c r="L1089" s="47" t="str">
        <f aca="false">IF(AND(J1089=1,N(I1089)&gt;0),SUMIF($K$2:$K$5001,"&gt;="&amp;K1089,$I$2:$I$5001)/MAX(1,SUM($H$2:$H$5001)),"")</f>
        <v/>
      </c>
      <c r="M1089" s="47" t="str">
        <f aca="false">IF($A1089="","",INDEX($L$2:$L$5001,MATCH($A1089,$A$2:$A$5001,0)))</f>
        <v/>
      </c>
      <c r="N1089" s="48" t="str">
        <f aca="false">IF($A1089="","",IF(N(M1089)=0,"–",IF(M1089&lt;=Start!$D$20,"A",IF(M1089&lt;=Start!$D$21,"B","C"))))</f>
        <v/>
      </c>
      <c r="O1089" s="48" t="str">
        <f aca="false">IF($A1089="","",IF(NOT(ISNUMBER(F1089)),"Wert fehlt; ",IF(F1089&lt;=0,"Wert ist 0; ",""))&amp;IF(NOT(ISNUMBER(E1089)),"Bestand fehlt; ",IF(E1089&lt;0,"Bestand negativ; ",IF(E1089=0,"Nullbestand; ","")))&amp;IF(D1089="","Warengruppe fehlt; ","")&amp;IF(B1089="","Bezeichnung fehlt; ","")&amp;IF(COUNTIFS($A$2:$A$5001,$A1089,$C$2:$C$5001,C1089)&gt;1,"Artikel doppelt im selben Lager; ",""))</f>
        <v/>
      </c>
      <c r="P1089" s="47" t="n">
        <f aca="false">IF(OR($A1089="",D1089=""),0,IF(COUNTIF($D$2:D1089,D1089)=1,SUMIF($D$2:$D$5001,D1089,$H$2:$H$5001)+ROW()/10000000,0))</f>
        <v>0</v>
      </c>
      <c r="Q1089" s="47" t="n">
        <f aca="false">IF(OR($A1089="",C1089=""),0,IF(COUNTIF($C$2:C1089,C1089)=1,SUMIF($C$2:$C$5001,C1089,$H$2:$H$5001)+ROW()/10000000,0))</f>
        <v>0</v>
      </c>
    </row>
    <row r="1090" customFormat="false" ht="15" hidden="false" customHeight="false" outlineLevel="0" collapsed="false">
      <c r="A1090" s="43"/>
      <c r="B1090" s="44"/>
      <c r="C1090" s="44"/>
      <c r="D1090" s="44"/>
      <c r="E1090" s="44"/>
      <c r="F1090" s="44"/>
      <c r="G1090" s="44"/>
      <c r="H1090" s="46" t="str">
        <f aca="false">IF($A1090="","",IF(OR(NOT(ISNUMBER(E1090)),NOT(ISNUMBER(F1090))),"",MAX(0,E1090)*F1090))</f>
        <v/>
      </c>
      <c r="I1090" s="46" t="str">
        <f aca="false">IF($A1090="","",SUMIF($A$2:$A$5001,$A1090,$H$2:$H$5001))</f>
        <v/>
      </c>
      <c r="J1090" s="47" t="n">
        <f aca="false">IF($A1090="",0,IF(COUNTIF($A$2:A1090,$A1090)=1,1,0))</f>
        <v>0</v>
      </c>
      <c r="K1090" s="47" t="n">
        <f aca="false">IF(J1090=1,N(I1090)+ROW()/10000000,0)</f>
        <v>0</v>
      </c>
      <c r="L1090" s="47" t="str">
        <f aca="false">IF(AND(J1090=1,N(I1090)&gt;0),SUMIF($K$2:$K$5001,"&gt;="&amp;K1090,$I$2:$I$5001)/MAX(1,SUM($H$2:$H$5001)),"")</f>
        <v/>
      </c>
      <c r="M1090" s="47" t="str">
        <f aca="false">IF($A1090="","",INDEX($L$2:$L$5001,MATCH($A1090,$A$2:$A$5001,0)))</f>
        <v/>
      </c>
      <c r="N1090" s="48" t="str">
        <f aca="false">IF($A1090="","",IF(N(M1090)=0,"–",IF(M1090&lt;=Start!$D$20,"A",IF(M1090&lt;=Start!$D$21,"B","C"))))</f>
        <v/>
      </c>
      <c r="O1090" s="48" t="str">
        <f aca="false">IF($A1090="","",IF(NOT(ISNUMBER(F1090)),"Wert fehlt; ",IF(F1090&lt;=0,"Wert ist 0; ",""))&amp;IF(NOT(ISNUMBER(E1090)),"Bestand fehlt; ",IF(E1090&lt;0,"Bestand negativ; ",IF(E1090=0,"Nullbestand; ","")))&amp;IF(D1090="","Warengruppe fehlt; ","")&amp;IF(B1090="","Bezeichnung fehlt; ","")&amp;IF(COUNTIFS($A$2:$A$5001,$A1090,$C$2:$C$5001,C1090)&gt;1,"Artikel doppelt im selben Lager; ",""))</f>
        <v/>
      </c>
      <c r="P1090" s="47" t="n">
        <f aca="false">IF(OR($A1090="",D1090=""),0,IF(COUNTIF($D$2:D1090,D1090)=1,SUMIF($D$2:$D$5001,D1090,$H$2:$H$5001)+ROW()/10000000,0))</f>
        <v>0</v>
      </c>
      <c r="Q1090" s="47" t="n">
        <f aca="false">IF(OR($A1090="",C1090=""),0,IF(COUNTIF($C$2:C1090,C1090)=1,SUMIF($C$2:$C$5001,C1090,$H$2:$H$5001)+ROW()/10000000,0))</f>
        <v>0</v>
      </c>
    </row>
    <row r="1091" customFormat="false" ht="15" hidden="false" customHeight="false" outlineLevel="0" collapsed="false">
      <c r="A1091" s="43"/>
      <c r="B1091" s="44"/>
      <c r="C1091" s="44"/>
      <c r="D1091" s="44"/>
      <c r="E1091" s="44"/>
      <c r="F1091" s="44"/>
      <c r="G1091" s="44"/>
      <c r="H1091" s="46" t="str">
        <f aca="false">IF($A1091="","",IF(OR(NOT(ISNUMBER(E1091)),NOT(ISNUMBER(F1091))),"",MAX(0,E1091)*F1091))</f>
        <v/>
      </c>
      <c r="I1091" s="46" t="str">
        <f aca="false">IF($A1091="","",SUMIF($A$2:$A$5001,$A1091,$H$2:$H$5001))</f>
        <v/>
      </c>
      <c r="J1091" s="47" t="n">
        <f aca="false">IF($A1091="",0,IF(COUNTIF($A$2:A1091,$A1091)=1,1,0))</f>
        <v>0</v>
      </c>
      <c r="K1091" s="47" t="n">
        <f aca="false">IF(J1091=1,N(I1091)+ROW()/10000000,0)</f>
        <v>0</v>
      </c>
      <c r="L1091" s="47" t="str">
        <f aca="false">IF(AND(J1091=1,N(I1091)&gt;0),SUMIF($K$2:$K$5001,"&gt;="&amp;K1091,$I$2:$I$5001)/MAX(1,SUM($H$2:$H$5001)),"")</f>
        <v/>
      </c>
      <c r="M1091" s="47" t="str">
        <f aca="false">IF($A1091="","",INDEX($L$2:$L$5001,MATCH($A1091,$A$2:$A$5001,0)))</f>
        <v/>
      </c>
      <c r="N1091" s="48" t="str">
        <f aca="false">IF($A1091="","",IF(N(M1091)=0,"–",IF(M1091&lt;=Start!$D$20,"A",IF(M1091&lt;=Start!$D$21,"B","C"))))</f>
        <v/>
      </c>
      <c r="O1091" s="48" t="str">
        <f aca="false">IF($A1091="","",IF(NOT(ISNUMBER(F1091)),"Wert fehlt; ",IF(F1091&lt;=0,"Wert ist 0; ",""))&amp;IF(NOT(ISNUMBER(E1091)),"Bestand fehlt; ",IF(E1091&lt;0,"Bestand negativ; ",IF(E1091=0,"Nullbestand; ","")))&amp;IF(D1091="","Warengruppe fehlt; ","")&amp;IF(B1091="","Bezeichnung fehlt; ","")&amp;IF(COUNTIFS($A$2:$A$5001,$A1091,$C$2:$C$5001,C1091)&gt;1,"Artikel doppelt im selben Lager; ",""))</f>
        <v/>
      </c>
      <c r="P1091" s="47" t="n">
        <f aca="false">IF(OR($A1091="",D1091=""),0,IF(COUNTIF($D$2:D1091,D1091)=1,SUMIF($D$2:$D$5001,D1091,$H$2:$H$5001)+ROW()/10000000,0))</f>
        <v>0</v>
      </c>
      <c r="Q1091" s="47" t="n">
        <f aca="false">IF(OR($A1091="",C1091=""),0,IF(COUNTIF($C$2:C1091,C1091)=1,SUMIF($C$2:$C$5001,C1091,$H$2:$H$5001)+ROW()/10000000,0))</f>
        <v>0</v>
      </c>
    </row>
    <row r="1092" customFormat="false" ht="15" hidden="false" customHeight="false" outlineLevel="0" collapsed="false">
      <c r="A1092" s="43"/>
      <c r="B1092" s="44"/>
      <c r="C1092" s="44"/>
      <c r="D1092" s="44"/>
      <c r="E1092" s="44"/>
      <c r="F1092" s="44"/>
      <c r="G1092" s="44"/>
      <c r="H1092" s="46" t="str">
        <f aca="false">IF($A1092="","",IF(OR(NOT(ISNUMBER(E1092)),NOT(ISNUMBER(F1092))),"",MAX(0,E1092)*F1092))</f>
        <v/>
      </c>
      <c r="I1092" s="46" t="str">
        <f aca="false">IF($A1092="","",SUMIF($A$2:$A$5001,$A1092,$H$2:$H$5001))</f>
        <v/>
      </c>
      <c r="J1092" s="47" t="n">
        <f aca="false">IF($A1092="",0,IF(COUNTIF($A$2:A1092,$A1092)=1,1,0))</f>
        <v>0</v>
      </c>
      <c r="K1092" s="47" t="n">
        <f aca="false">IF(J1092=1,N(I1092)+ROW()/10000000,0)</f>
        <v>0</v>
      </c>
      <c r="L1092" s="47" t="str">
        <f aca="false">IF(AND(J1092=1,N(I1092)&gt;0),SUMIF($K$2:$K$5001,"&gt;="&amp;K1092,$I$2:$I$5001)/MAX(1,SUM($H$2:$H$5001)),"")</f>
        <v/>
      </c>
      <c r="M1092" s="47" t="str">
        <f aca="false">IF($A1092="","",INDEX($L$2:$L$5001,MATCH($A1092,$A$2:$A$5001,0)))</f>
        <v/>
      </c>
      <c r="N1092" s="48" t="str">
        <f aca="false">IF($A1092="","",IF(N(M1092)=0,"–",IF(M1092&lt;=Start!$D$20,"A",IF(M1092&lt;=Start!$D$21,"B","C"))))</f>
        <v/>
      </c>
      <c r="O1092" s="48" t="str">
        <f aca="false">IF($A1092="","",IF(NOT(ISNUMBER(F1092)),"Wert fehlt; ",IF(F1092&lt;=0,"Wert ist 0; ",""))&amp;IF(NOT(ISNUMBER(E1092)),"Bestand fehlt; ",IF(E1092&lt;0,"Bestand negativ; ",IF(E1092=0,"Nullbestand; ","")))&amp;IF(D1092="","Warengruppe fehlt; ","")&amp;IF(B1092="","Bezeichnung fehlt; ","")&amp;IF(COUNTIFS($A$2:$A$5001,$A1092,$C$2:$C$5001,C1092)&gt;1,"Artikel doppelt im selben Lager; ",""))</f>
        <v/>
      </c>
      <c r="P1092" s="47" t="n">
        <f aca="false">IF(OR($A1092="",D1092=""),0,IF(COUNTIF($D$2:D1092,D1092)=1,SUMIF($D$2:$D$5001,D1092,$H$2:$H$5001)+ROW()/10000000,0))</f>
        <v>0</v>
      </c>
      <c r="Q1092" s="47" t="n">
        <f aca="false">IF(OR($A1092="",C1092=""),0,IF(COUNTIF($C$2:C1092,C1092)=1,SUMIF($C$2:$C$5001,C1092,$H$2:$H$5001)+ROW()/10000000,0))</f>
        <v>0</v>
      </c>
    </row>
    <row r="1093" customFormat="false" ht="15" hidden="false" customHeight="false" outlineLevel="0" collapsed="false">
      <c r="A1093" s="43"/>
      <c r="B1093" s="44"/>
      <c r="C1093" s="44"/>
      <c r="D1093" s="44"/>
      <c r="E1093" s="44"/>
      <c r="F1093" s="44"/>
      <c r="G1093" s="44"/>
      <c r="H1093" s="46" t="str">
        <f aca="false">IF($A1093="","",IF(OR(NOT(ISNUMBER(E1093)),NOT(ISNUMBER(F1093))),"",MAX(0,E1093)*F1093))</f>
        <v/>
      </c>
      <c r="I1093" s="46" t="str">
        <f aca="false">IF($A1093="","",SUMIF($A$2:$A$5001,$A1093,$H$2:$H$5001))</f>
        <v/>
      </c>
      <c r="J1093" s="47" t="n">
        <f aca="false">IF($A1093="",0,IF(COUNTIF($A$2:A1093,$A1093)=1,1,0))</f>
        <v>0</v>
      </c>
      <c r="K1093" s="47" t="n">
        <f aca="false">IF(J1093=1,N(I1093)+ROW()/10000000,0)</f>
        <v>0</v>
      </c>
      <c r="L1093" s="47" t="str">
        <f aca="false">IF(AND(J1093=1,N(I1093)&gt;0),SUMIF($K$2:$K$5001,"&gt;="&amp;K1093,$I$2:$I$5001)/MAX(1,SUM($H$2:$H$5001)),"")</f>
        <v/>
      </c>
      <c r="M1093" s="47" t="str">
        <f aca="false">IF($A1093="","",INDEX($L$2:$L$5001,MATCH($A1093,$A$2:$A$5001,0)))</f>
        <v/>
      </c>
      <c r="N1093" s="48" t="str">
        <f aca="false">IF($A1093="","",IF(N(M1093)=0,"–",IF(M1093&lt;=Start!$D$20,"A",IF(M1093&lt;=Start!$D$21,"B","C"))))</f>
        <v/>
      </c>
      <c r="O1093" s="48" t="str">
        <f aca="false">IF($A1093="","",IF(NOT(ISNUMBER(F1093)),"Wert fehlt; ",IF(F1093&lt;=0,"Wert ist 0; ",""))&amp;IF(NOT(ISNUMBER(E1093)),"Bestand fehlt; ",IF(E1093&lt;0,"Bestand negativ; ",IF(E1093=0,"Nullbestand; ","")))&amp;IF(D1093="","Warengruppe fehlt; ","")&amp;IF(B1093="","Bezeichnung fehlt; ","")&amp;IF(COUNTIFS($A$2:$A$5001,$A1093,$C$2:$C$5001,C1093)&gt;1,"Artikel doppelt im selben Lager; ",""))</f>
        <v/>
      </c>
      <c r="P1093" s="47" t="n">
        <f aca="false">IF(OR($A1093="",D1093=""),0,IF(COUNTIF($D$2:D1093,D1093)=1,SUMIF($D$2:$D$5001,D1093,$H$2:$H$5001)+ROW()/10000000,0))</f>
        <v>0</v>
      </c>
      <c r="Q1093" s="47" t="n">
        <f aca="false">IF(OR($A1093="",C1093=""),0,IF(COUNTIF($C$2:C1093,C1093)=1,SUMIF($C$2:$C$5001,C1093,$H$2:$H$5001)+ROW()/10000000,0))</f>
        <v>0</v>
      </c>
    </row>
    <row r="1094" customFormat="false" ht="15" hidden="false" customHeight="false" outlineLevel="0" collapsed="false">
      <c r="A1094" s="43"/>
      <c r="B1094" s="44"/>
      <c r="C1094" s="44"/>
      <c r="D1094" s="44"/>
      <c r="E1094" s="44"/>
      <c r="F1094" s="44"/>
      <c r="G1094" s="44"/>
      <c r="H1094" s="46" t="str">
        <f aca="false">IF($A1094="","",IF(OR(NOT(ISNUMBER(E1094)),NOT(ISNUMBER(F1094))),"",MAX(0,E1094)*F1094))</f>
        <v/>
      </c>
      <c r="I1094" s="46" t="str">
        <f aca="false">IF($A1094="","",SUMIF($A$2:$A$5001,$A1094,$H$2:$H$5001))</f>
        <v/>
      </c>
      <c r="J1094" s="47" t="n">
        <f aca="false">IF($A1094="",0,IF(COUNTIF($A$2:A1094,$A1094)=1,1,0))</f>
        <v>0</v>
      </c>
      <c r="K1094" s="47" t="n">
        <f aca="false">IF(J1094=1,N(I1094)+ROW()/10000000,0)</f>
        <v>0</v>
      </c>
      <c r="L1094" s="47" t="str">
        <f aca="false">IF(AND(J1094=1,N(I1094)&gt;0),SUMIF($K$2:$K$5001,"&gt;="&amp;K1094,$I$2:$I$5001)/MAX(1,SUM($H$2:$H$5001)),"")</f>
        <v/>
      </c>
      <c r="M1094" s="47" t="str">
        <f aca="false">IF($A1094="","",INDEX($L$2:$L$5001,MATCH($A1094,$A$2:$A$5001,0)))</f>
        <v/>
      </c>
      <c r="N1094" s="48" t="str">
        <f aca="false">IF($A1094="","",IF(N(M1094)=0,"–",IF(M1094&lt;=Start!$D$20,"A",IF(M1094&lt;=Start!$D$21,"B","C"))))</f>
        <v/>
      </c>
      <c r="O1094" s="48" t="str">
        <f aca="false">IF($A1094="","",IF(NOT(ISNUMBER(F1094)),"Wert fehlt; ",IF(F1094&lt;=0,"Wert ist 0; ",""))&amp;IF(NOT(ISNUMBER(E1094)),"Bestand fehlt; ",IF(E1094&lt;0,"Bestand negativ; ",IF(E1094=0,"Nullbestand; ","")))&amp;IF(D1094="","Warengruppe fehlt; ","")&amp;IF(B1094="","Bezeichnung fehlt; ","")&amp;IF(COUNTIFS($A$2:$A$5001,$A1094,$C$2:$C$5001,C1094)&gt;1,"Artikel doppelt im selben Lager; ",""))</f>
        <v/>
      </c>
      <c r="P1094" s="47" t="n">
        <f aca="false">IF(OR($A1094="",D1094=""),0,IF(COUNTIF($D$2:D1094,D1094)=1,SUMIF($D$2:$D$5001,D1094,$H$2:$H$5001)+ROW()/10000000,0))</f>
        <v>0</v>
      </c>
      <c r="Q1094" s="47" t="n">
        <f aca="false">IF(OR($A1094="",C1094=""),0,IF(COUNTIF($C$2:C1094,C1094)=1,SUMIF($C$2:$C$5001,C1094,$H$2:$H$5001)+ROW()/10000000,0))</f>
        <v>0</v>
      </c>
    </row>
    <row r="1095" customFormat="false" ht="15" hidden="false" customHeight="false" outlineLevel="0" collapsed="false">
      <c r="A1095" s="43"/>
      <c r="B1095" s="44"/>
      <c r="C1095" s="44"/>
      <c r="D1095" s="44"/>
      <c r="E1095" s="44"/>
      <c r="F1095" s="44"/>
      <c r="G1095" s="44"/>
      <c r="H1095" s="46" t="str">
        <f aca="false">IF($A1095="","",IF(OR(NOT(ISNUMBER(E1095)),NOT(ISNUMBER(F1095))),"",MAX(0,E1095)*F1095))</f>
        <v/>
      </c>
      <c r="I1095" s="46" t="str">
        <f aca="false">IF($A1095="","",SUMIF($A$2:$A$5001,$A1095,$H$2:$H$5001))</f>
        <v/>
      </c>
      <c r="J1095" s="47" t="n">
        <f aca="false">IF($A1095="",0,IF(COUNTIF($A$2:A1095,$A1095)=1,1,0))</f>
        <v>0</v>
      </c>
      <c r="K1095" s="47" t="n">
        <f aca="false">IF(J1095=1,N(I1095)+ROW()/10000000,0)</f>
        <v>0</v>
      </c>
      <c r="L1095" s="47" t="str">
        <f aca="false">IF(AND(J1095=1,N(I1095)&gt;0),SUMIF($K$2:$K$5001,"&gt;="&amp;K1095,$I$2:$I$5001)/MAX(1,SUM($H$2:$H$5001)),"")</f>
        <v/>
      </c>
      <c r="M1095" s="47" t="str">
        <f aca="false">IF($A1095="","",INDEX($L$2:$L$5001,MATCH($A1095,$A$2:$A$5001,0)))</f>
        <v/>
      </c>
      <c r="N1095" s="48" t="str">
        <f aca="false">IF($A1095="","",IF(N(M1095)=0,"–",IF(M1095&lt;=Start!$D$20,"A",IF(M1095&lt;=Start!$D$21,"B","C"))))</f>
        <v/>
      </c>
      <c r="O1095" s="48" t="str">
        <f aca="false">IF($A1095="","",IF(NOT(ISNUMBER(F1095)),"Wert fehlt; ",IF(F1095&lt;=0,"Wert ist 0; ",""))&amp;IF(NOT(ISNUMBER(E1095)),"Bestand fehlt; ",IF(E1095&lt;0,"Bestand negativ; ",IF(E1095=0,"Nullbestand; ","")))&amp;IF(D1095="","Warengruppe fehlt; ","")&amp;IF(B1095="","Bezeichnung fehlt; ","")&amp;IF(COUNTIFS($A$2:$A$5001,$A1095,$C$2:$C$5001,C1095)&gt;1,"Artikel doppelt im selben Lager; ",""))</f>
        <v/>
      </c>
      <c r="P1095" s="47" t="n">
        <f aca="false">IF(OR($A1095="",D1095=""),0,IF(COUNTIF($D$2:D1095,D1095)=1,SUMIF($D$2:$D$5001,D1095,$H$2:$H$5001)+ROW()/10000000,0))</f>
        <v>0</v>
      </c>
      <c r="Q1095" s="47" t="n">
        <f aca="false">IF(OR($A1095="",C1095=""),0,IF(COUNTIF($C$2:C1095,C1095)=1,SUMIF($C$2:$C$5001,C1095,$H$2:$H$5001)+ROW()/10000000,0))</f>
        <v>0</v>
      </c>
    </row>
    <row r="1096" customFormat="false" ht="15" hidden="false" customHeight="false" outlineLevel="0" collapsed="false">
      <c r="A1096" s="43"/>
      <c r="B1096" s="44"/>
      <c r="C1096" s="44"/>
      <c r="D1096" s="44"/>
      <c r="E1096" s="44"/>
      <c r="F1096" s="44"/>
      <c r="G1096" s="44"/>
      <c r="H1096" s="46" t="str">
        <f aca="false">IF($A1096="","",IF(OR(NOT(ISNUMBER(E1096)),NOT(ISNUMBER(F1096))),"",MAX(0,E1096)*F1096))</f>
        <v/>
      </c>
      <c r="I1096" s="46" t="str">
        <f aca="false">IF($A1096="","",SUMIF($A$2:$A$5001,$A1096,$H$2:$H$5001))</f>
        <v/>
      </c>
      <c r="J1096" s="47" t="n">
        <f aca="false">IF($A1096="",0,IF(COUNTIF($A$2:A1096,$A1096)=1,1,0))</f>
        <v>0</v>
      </c>
      <c r="K1096" s="47" t="n">
        <f aca="false">IF(J1096=1,N(I1096)+ROW()/10000000,0)</f>
        <v>0</v>
      </c>
      <c r="L1096" s="47" t="str">
        <f aca="false">IF(AND(J1096=1,N(I1096)&gt;0),SUMIF($K$2:$K$5001,"&gt;="&amp;K1096,$I$2:$I$5001)/MAX(1,SUM($H$2:$H$5001)),"")</f>
        <v/>
      </c>
      <c r="M1096" s="47" t="str">
        <f aca="false">IF($A1096="","",INDEX($L$2:$L$5001,MATCH($A1096,$A$2:$A$5001,0)))</f>
        <v/>
      </c>
      <c r="N1096" s="48" t="str">
        <f aca="false">IF($A1096="","",IF(N(M1096)=0,"–",IF(M1096&lt;=Start!$D$20,"A",IF(M1096&lt;=Start!$D$21,"B","C"))))</f>
        <v/>
      </c>
      <c r="O1096" s="48" t="str">
        <f aca="false">IF($A1096="","",IF(NOT(ISNUMBER(F1096)),"Wert fehlt; ",IF(F1096&lt;=0,"Wert ist 0; ",""))&amp;IF(NOT(ISNUMBER(E1096)),"Bestand fehlt; ",IF(E1096&lt;0,"Bestand negativ; ",IF(E1096=0,"Nullbestand; ","")))&amp;IF(D1096="","Warengruppe fehlt; ","")&amp;IF(B1096="","Bezeichnung fehlt; ","")&amp;IF(COUNTIFS($A$2:$A$5001,$A1096,$C$2:$C$5001,C1096)&gt;1,"Artikel doppelt im selben Lager; ",""))</f>
        <v/>
      </c>
      <c r="P1096" s="47" t="n">
        <f aca="false">IF(OR($A1096="",D1096=""),0,IF(COUNTIF($D$2:D1096,D1096)=1,SUMIF($D$2:$D$5001,D1096,$H$2:$H$5001)+ROW()/10000000,0))</f>
        <v>0</v>
      </c>
      <c r="Q1096" s="47" t="n">
        <f aca="false">IF(OR($A1096="",C1096=""),0,IF(COUNTIF($C$2:C1096,C1096)=1,SUMIF($C$2:$C$5001,C1096,$H$2:$H$5001)+ROW()/10000000,0))</f>
        <v>0</v>
      </c>
    </row>
    <row r="1097" customFormat="false" ht="15" hidden="false" customHeight="false" outlineLevel="0" collapsed="false">
      <c r="A1097" s="43"/>
      <c r="B1097" s="44"/>
      <c r="C1097" s="44"/>
      <c r="D1097" s="44"/>
      <c r="E1097" s="44"/>
      <c r="F1097" s="44"/>
      <c r="G1097" s="44"/>
      <c r="H1097" s="46" t="str">
        <f aca="false">IF($A1097="","",IF(OR(NOT(ISNUMBER(E1097)),NOT(ISNUMBER(F1097))),"",MAX(0,E1097)*F1097))</f>
        <v/>
      </c>
      <c r="I1097" s="46" t="str">
        <f aca="false">IF($A1097="","",SUMIF($A$2:$A$5001,$A1097,$H$2:$H$5001))</f>
        <v/>
      </c>
      <c r="J1097" s="47" t="n">
        <f aca="false">IF($A1097="",0,IF(COUNTIF($A$2:A1097,$A1097)=1,1,0))</f>
        <v>0</v>
      </c>
      <c r="K1097" s="47" t="n">
        <f aca="false">IF(J1097=1,N(I1097)+ROW()/10000000,0)</f>
        <v>0</v>
      </c>
      <c r="L1097" s="47" t="str">
        <f aca="false">IF(AND(J1097=1,N(I1097)&gt;0),SUMIF($K$2:$K$5001,"&gt;="&amp;K1097,$I$2:$I$5001)/MAX(1,SUM($H$2:$H$5001)),"")</f>
        <v/>
      </c>
      <c r="M1097" s="47" t="str">
        <f aca="false">IF($A1097="","",INDEX($L$2:$L$5001,MATCH($A1097,$A$2:$A$5001,0)))</f>
        <v/>
      </c>
      <c r="N1097" s="48" t="str">
        <f aca="false">IF($A1097="","",IF(N(M1097)=0,"–",IF(M1097&lt;=Start!$D$20,"A",IF(M1097&lt;=Start!$D$21,"B","C"))))</f>
        <v/>
      </c>
      <c r="O1097" s="48" t="str">
        <f aca="false">IF($A1097="","",IF(NOT(ISNUMBER(F1097)),"Wert fehlt; ",IF(F1097&lt;=0,"Wert ist 0; ",""))&amp;IF(NOT(ISNUMBER(E1097)),"Bestand fehlt; ",IF(E1097&lt;0,"Bestand negativ; ",IF(E1097=0,"Nullbestand; ","")))&amp;IF(D1097="","Warengruppe fehlt; ","")&amp;IF(B1097="","Bezeichnung fehlt; ","")&amp;IF(COUNTIFS($A$2:$A$5001,$A1097,$C$2:$C$5001,C1097)&gt;1,"Artikel doppelt im selben Lager; ",""))</f>
        <v/>
      </c>
      <c r="P1097" s="47" t="n">
        <f aca="false">IF(OR($A1097="",D1097=""),0,IF(COUNTIF($D$2:D1097,D1097)=1,SUMIF($D$2:$D$5001,D1097,$H$2:$H$5001)+ROW()/10000000,0))</f>
        <v>0</v>
      </c>
      <c r="Q1097" s="47" t="n">
        <f aca="false">IF(OR($A1097="",C1097=""),0,IF(COUNTIF($C$2:C1097,C1097)=1,SUMIF($C$2:$C$5001,C1097,$H$2:$H$5001)+ROW()/10000000,0))</f>
        <v>0</v>
      </c>
    </row>
    <row r="1098" customFormat="false" ht="15" hidden="false" customHeight="false" outlineLevel="0" collapsed="false">
      <c r="A1098" s="43"/>
      <c r="B1098" s="44"/>
      <c r="C1098" s="44"/>
      <c r="D1098" s="44"/>
      <c r="E1098" s="44"/>
      <c r="F1098" s="44"/>
      <c r="G1098" s="44"/>
      <c r="H1098" s="46" t="str">
        <f aca="false">IF($A1098="","",IF(OR(NOT(ISNUMBER(E1098)),NOT(ISNUMBER(F1098))),"",MAX(0,E1098)*F1098))</f>
        <v/>
      </c>
      <c r="I1098" s="46" t="str">
        <f aca="false">IF($A1098="","",SUMIF($A$2:$A$5001,$A1098,$H$2:$H$5001))</f>
        <v/>
      </c>
      <c r="J1098" s="47" t="n">
        <f aca="false">IF($A1098="",0,IF(COUNTIF($A$2:A1098,$A1098)=1,1,0))</f>
        <v>0</v>
      </c>
      <c r="K1098" s="47" t="n">
        <f aca="false">IF(J1098=1,N(I1098)+ROW()/10000000,0)</f>
        <v>0</v>
      </c>
      <c r="L1098" s="47" t="str">
        <f aca="false">IF(AND(J1098=1,N(I1098)&gt;0),SUMIF($K$2:$K$5001,"&gt;="&amp;K1098,$I$2:$I$5001)/MAX(1,SUM($H$2:$H$5001)),"")</f>
        <v/>
      </c>
      <c r="M1098" s="47" t="str">
        <f aca="false">IF($A1098="","",INDEX($L$2:$L$5001,MATCH($A1098,$A$2:$A$5001,0)))</f>
        <v/>
      </c>
      <c r="N1098" s="48" t="str">
        <f aca="false">IF($A1098="","",IF(N(M1098)=0,"–",IF(M1098&lt;=Start!$D$20,"A",IF(M1098&lt;=Start!$D$21,"B","C"))))</f>
        <v/>
      </c>
      <c r="O1098" s="48" t="str">
        <f aca="false">IF($A1098="","",IF(NOT(ISNUMBER(F1098)),"Wert fehlt; ",IF(F1098&lt;=0,"Wert ist 0; ",""))&amp;IF(NOT(ISNUMBER(E1098)),"Bestand fehlt; ",IF(E1098&lt;0,"Bestand negativ; ",IF(E1098=0,"Nullbestand; ","")))&amp;IF(D1098="","Warengruppe fehlt; ","")&amp;IF(B1098="","Bezeichnung fehlt; ","")&amp;IF(COUNTIFS($A$2:$A$5001,$A1098,$C$2:$C$5001,C1098)&gt;1,"Artikel doppelt im selben Lager; ",""))</f>
        <v/>
      </c>
      <c r="P1098" s="47" t="n">
        <f aca="false">IF(OR($A1098="",D1098=""),0,IF(COUNTIF($D$2:D1098,D1098)=1,SUMIF($D$2:$D$5001,D1098,$H$2:$H$5001)+ROW()/10000000,0))</f>
        <v>0</v>
      </c>
      <c r="Q1098" s="47" t="n">
        <f aca="false">IF(OR($A1098="",C1098=""),0,IF(COUNTIF($C$2:C1098,C1098)=1,SUMIF($C$2:$C$5001,C1098,$H$2:$H$5001)+ROW()/10000000,0))</f>
        <v>0</v>
      </c>
    </row>
    <row r="1099" customFormat="false" ht="15" hidden="false" customHeight="false" outlineLevel="0" collapsed="false">
      <c r="A1099" s="43"/>
      <c r="B1099" s="44"/>
      <c r="C1099" s="44"/>
      <c r="D1099" s="44"/>
      <c r="E1099" s="44"/>
      <c r="F1099" s="44"/>
      <c r="G1099" s="44"/>
      <c r="H1099" s="46" t="str">
        <f aca="false">IF($A1099="","",IF(OR(NOT(ISNUMBER(E1099)),NOT(ISNUMBER(F1099))),"",MAX(0,E1099)*F1099))</f>
        <v/>
      </c>
      <c r="I1099" s="46" t="str">
        <f aca="false">IF($A1099="","",SUMIF($A$2:$A$5001,$A1099,$H$2:$H$5001))</f>
        <v/>
      </c>
      <c r="J1099" s="47" t="n">
        <f aca="false">IF($A1099="",0,IF(COUNTIF($A$2:A1099,$A1099)=1,1,0))</f>
        <v>0</v>
      </c>
      <c r="K1099" s="47" t="n">
        <f aca="false">IF(J1099=1,N(I1099)+ROW()/10000000,0)</f>
        <v>0</v>
      </c>
      <c r="L1099" s="47" t="str">
        <f aca="false">IF(AND(J1099=1,N(I1099)&gt;0),SUMIF($K$2:$K$5001,"&gt;="&amp;K1099,$I$2:$I$5001)/MAX(1,SUM($H$2:$H$5001)),"")</f>
        <v/>
      </c>
      <c r="M1099" s="47" t="str">
        <f aca="false">IF($A1099="","",INDEX($L$2:$L$5001,MATCH($A1099,$A$2:$A$5001,0)))</f>
        <v/>
      </c>
      <c r="N1099" s="48" t="str">
        <f aca="false">IF($A1099="","",IF(N(M1099)=0,"–",IF(M1099&lt;=Start!$D$20,"A",IF(M1099&lt;=Start!$D$21,"B","C"))))</f>
        <v/>
      </c>
      <c r="O1099" s="48" t="str">
        <f aca="false">IF($A1099="","",IF(NOT(ISNUMBER(F1099)),"Wert fehlt; ",IF(F1099&lt;=0,"Wert ist 0; ",""))&amp;IF(NOT(ISNUMBER(E1099)),"Bestand fehlt; ",IF(E1099&lt;0,"Bestand negativ; ",IF(E1099=0,"Nullbestand; ","")))&amp;IF(D1099="","Warengruppe fehlt; ","")&amp;IF(B1099="","Bezeichnung fehlt; ","")&amp;IF(COUNTIFS($A$2:$A$5001,$A1099,$C$2:$C$5001,C1099)&gt;1,"Artikel doppelt im selben Lager; ",""))</f>
        <v/>
      </c>
      <c r="P1099" s="47" t="n">
        <f aca="false">IF(OR($A1099="",D1099=""),0,IF(COUNTIF($D$2:D1099,D1099)=1,SUMIF($D$2:$D$5001,D1099,$H$2:$H$5001)+ROW()/10000000,0))</f>
        <v>0</v>
      </c>
      <c r="Q1099" s="47" t="n">
        <f aca="false">IF(OR($A1099="",C1099=""),0,IF(COUNTIF($C$2:C1099,C1099)=1,SUMIF($C$2:$C$5001,C1099,$H$2:$H$5001)+ROW()/10000000,0))</f>
        <v>0</v>
      </c>
    </row>
    <row r="1100" customFormat="false" ht="15" hidden="false" customHeight="false" outlineLevel="0" collapsed="false">
      <c r="A1100" s="43"/>
      <c r="B1100" s="44"/>
      <c r="C1100" s="44"/>
      <c r="D1100" s="44"/>
      <c r="E1100" s="44"/>
      <c r="F1100" s="44"/>
      <c r="G1100" s="44"/>
      <c r="H1100" s="46" t="str">
        <f aca="false">IF($A1100="","",IF(OR(NOT(ISNUMBER(E1100)),NOT(ISNUMBER(F1100))),"",MAX(0,E1100)*F1100))</f>
        <v/>
      </c>
      <c r="I1100" s="46" t="str">
        <f aca="false">IF($A1100="","",SUMIF($A$2:$A$5001,$A1100,$H$2:$H$5001))</f>
        <v/>
      </c>
      <c r="J1100" s="47" t="n">
        <f aca="false">IF($A1100="",0,IF(COUNTIF($A$2:A1100,$A1100)=1,1,0))</f>
        <v>0</v>
      </c>
      <c r="K1100" s="47" t="n">
        <f aca="false">IF(J1100=1,N(I1100)+ROW()/10000000,0)</f>
        <v>0</v>
      </c>
      <c r="L1100" s="47" t="str">
        <f aca="false">IF(AND(J1100=1,N(I1100)&gt;0),SUMIF($K$2:$K$5001,"&gt;="&amp;K1100,$I$2:$I$5001)/MAX(1,SUM($H$2:$H$5001)),"")</f>
        <v/>
      </c>
      <c r="M1100" s="47" t="str">
        <f aca="false">IF($A1100="","",INDEX($L$2:$L$5001,MATCH($A1100,$A$2:$A$5001,0)))</f>
        <v/>
      </c>
      <c r="N1100" s="48" t="str">
        <f aca="false">IF($A1100="","",IF(N(M1100)=0,"–",IF(M1100&lt;=Start!$D$20,"A",IF(M1100&lt;=Start!$D$21,"B","C"))))</f>
        <v/>
      </c>
      <c r="O1100" s="48" t="str">
        <f aca="false">IF($A1100="","",IF(NOT(ISNUMBER(F1100)),"Wert fehlt; ",IF(F1100&lt;=0,"Wert ist 0; ",""))&amp;IF(NOT(ISNUMBER(E1100)),"Bestand fehlt; ",IF(E1100&lt;0,"Bestand negativ; ",IF(E1100=0,"Nullbestand; ","")))&amp;IF(D1100="","Warengruppe fehlt; ","")&amp;IF(B1100="","Bezeichnung fehlt; ","")&amp;IF(COUNTIFS($A$2:$A$5001,$A1100,$C$2:$C$5001,C1100)&gt;1,"Artikel doppelt im selben Lager; ",""))</f>
        <v/>
      </c>
      <c r="P1100" s="47" t="n">
        <f aca="false">IF(OR($A1100="",D1100=""),0,IF(COUNTIF($D$2:D1100,D1100)=1,SUMIF($D$2:$D$5001,D1100,$H$2:$H$5001)+ROW()/10000000,0))</f>
        <v>0</v>
      </c>
      <c r="Q1100" s="47" t="n">
        <f aca="false">IF(OR($A1100="",C1100=""),0,IF(COUNTIF($C$2:C1100,C1100)=1,SUMIF($C$2:$C$5001,C1100,$H$2:$H$5001)+ROW()/10000000,0))</f>
        <v>0</v>
      </c>
    </row>
    <row r="1101" customFormat="false" ht="15" hidden="false" customHeight="false" outlineLevel="0" collapsed="false">
      <c r="A1101" s="43"/>
      <c r="B1101" s="44"/>
      <c r="C1101" s="44"/>
      <c r="D1101" s="44"/>
      <c r="E1101" s="44"/>
      <c r="F1101" s="44"/>
      <c r="G1101" s="44"/>
      <c r="H1101" s="46" t="str">
        <f aca="false">IF($A1101="","",IF(OR(NOT(ISNUMBER(E1101)),NOT(ISNUMBER(F1101))),"",MAX(0,E1101)*F1101))</f>
        <v/>
      </c>
      <c r="I1101" s="46" t="str">
        <f aca="false">IF($A1101="","",SUMIF($A$2:$A$5001,$A1101,$H$2:$H$5001))</f>
        <v/>
      </c>
      <c r="J1101" s="47" t="n">
        <f aca="false">IF($A1101="",0,IF(COUNTIF($A$2:A1101,$A1101)=1,1,0))</f>
        <v>0</v>
      </c>
      <c r="K1101" s="47" t="n">
        <f aca="false">IF(J1101=1,N(I1101)+ROW()/10000000,0)</f>
        <v>0</v>
      </c>
      <c r="L1101" s="47" t="str">
        <f aca="false">IF(AND(J1101=1,N(I1101)&gt;0),SUMIF($K$2:$K$5001,"&gt;="&amp;K1101,$I$2:$I$5001)/MAX(1,SUM($H$2:$H$5001)),"")</f>
        <v/>
      </c>
      <c r="M1101" s="47" t="str">
        <f aca="false">IF($A1101="","",INDEX($L$2:$L$5001,MATCH($A1101,$A$2:$A$5001,0)))</f>
        <v/>
      </c>
      <c r="N1101" s="48" t="str">
        <f aca="false">IF($A1101="","",IF(N(M1101)=0,"–",IF(M1101&lt;=Start!$D$20,"A",IF(M1101&lt;=Start!$D$21,"B","C"))))</f>
        <v/>
      </c>
      <c r="O1101" s="48" t="str">
        <f aca="false">IF($A1101="","",IF(NOT(ISNUMBER(F1101)),"Wert fehlt; ",IF(F1101&lt;=0,"Wert ist 0; ",""))&amp;IF(NOT(ISNUMBER(E1101)),"Bestand fehlt; ",IF(E1101&lt;0,"Bestand negativ; ",IF(E1101=0,"Nullbestand; ","")))&amp;IF(D1101="","Warengruppe fehlt; ","")&amp;IF(B1101="","Bezeichnung fehlt; ","")&amp;IF(COUNTIFS($A$2:$A$5001,$A1101,$C$2:$C$5001,C1101)&gt;1,"Artikel doppelt im selben Lager; ",""))</f>
        <v/>
      </c>
      <c r="P1101" s="47" t="n">
        <f aca="false">IF(OR($A1101="",D1101=""),0,IF(COUNTIF($D$2:D1101,D1101)=1,SUMIF($D$2:$D$5001,D1101,$H$2:$H$5001)+ROW()/10000000,0))</f>
        <v>0</v>
      </c>
      <c r="Q1101" s="47" t="n">
        <f aca="false">IF(OR($A1101="",C1101=""),0,IF(COUNTIF($C$2:C1101,C1101)=1,SUMIF($C$2:$C$5001,C1101,$H$2:$H$5001)+ROW()/10000000,0))</f>
        <v>0</v>
      </c>
    </row>
    <row r="1102" customFormat="false" ht="15" hidden="false" customHeight="false" outlineLevel="0" collapsed="false">
      <c r="A1102" s="43"/>
      <c r="B1102" s="44"/>
      <c r="C1102" s="44"/>
      <c r="D1102" s="44"/>
      <c r="E1102" s="44"/>
      <c r="F1102" s="44"/>
      <c r="G1102" s="44"/>
      <c r="H1102" s="46" t="str">
        <f aca="false">IF($A1102="","",IF(OR(NOT(ISNUMBER(E1102)),NOT(ISNUMBER(F1102))),"",MAX(0,E1102)*F1102))</f>
        <v/>
      </c>
      <c r="I1102" s="46" t="str">
        <f aca="false">IF($A1102="","",SUMIF($A$2:$A$5001,$A1102,$H$2:$H$5001))</f>
        <v/>
      </c>
      <c r="J1102" s="47" t="n">
        <f aca="false">IF($A1102="",0,IF(COUNTIF($A$2:A1102,$A1102)=1,1,0))</f>
        <v>0</v>
      </c>
      <c r="K1102" s="47" t="n">
        <f aca="false">IF(J1102=1,N(I1102)+ROW()/10000000,0)</f>
        <v>0</v>
      </c>
      <c r="L1102" s="47" t="str">
        <f aca="false">IF(AND(J1102=1,N(I1102)&gt;0),SUMIF($K$2:$K$5001,"&gt;="&amp;K1102,$I$2:$I$5001)/MAX(1,SUM($H$2:$H$5001)),"")</f>
        <v/>
      </c>
      <c r="M1102" s="47" t="str">
        <f aca="false">IF($A1102="","",INDEX($L$2:$L$5001,MATCH($A1102,$A$2:$A$5001,0)))</f>
        <v/>
      </c>
      <c r="N1102" s="48" t="str">
        <f aca="false">IF($A1102="","",IF(N(M1102)=0,"–",IF(M1102&lt;=Start!$D$20,"A",IF(M1102&lt;=Start!$D$21,"B","C"))))</f>
        <v/>
      </c>
      <c r="O1102" s="48" t="str">
        <f aca="false">IF($A1102="","",IF(NOT(ISNUMBER(F1102)),"Wert fehlt; ",IF(F1102&lt;=0,"Wert ist 0; ",""))&amp;IF(NOT(ISNUMBER(E1102)),"Bestand fehlt; ",IF(E1102&lt;0,"Bestand negativ; ",IF(E1102=0,"Nullbestand; ","")))&amp;IF(D1102="","Warengruppe fehlt; ","")&amp;IF(B1102="","Bezeichnung fehlt; ","")&amp;IF(COUNTIFS($A$2:$A$5001,$A1102,$C$2:$C$5001,C1102)&gt;1,"Artikel doppelt im selben Lager; ",""))</f>
        <v/>
      </c>
      <c r="P1102" s="47" t="n">
        <f aca="false">IF(OR($A1102="",D1102=""),0,IF(COUNTIF($D$2:D1102,D1102)=1,SUMIF($D$2:$D$5001,D1102,$H$2:$H$5001)+ROW()/10000000,0))</f>
        <v>0</v>
      </c>
      <c r="Q1102" s="47" t="n">
        <f aca="false">IF(OR($A1102="",C1102=""),0,IF(COUNTIF($C$2:C1102,C1102)=1,SUMIF($C$2:$C$5001,C1102,$H$2:$H$5001)+ROW()/10000000,0))</f>
        <v>0</v>
      </c>
    </row>
    <row r="1103" customFormat="false" ht="15" hidden="false" customHeight="false" outlineLevel="0" collapsed="false">
      <c r="A1103" s="43"/>
      <c r="B1103" s="44"/>
      <c r="C1103" s="44"/>
      <c r="D1103" s="44"/>
      <c r="E1103" s="44"/>
      <c r="F1103" s="44"/>
      <c r="G1103" s="44"/>
      <c r="H1103" s="46" t="str">
        <f aca="false">IF($A1103="","",IF(OR(NOT(ISNUMBER(E1103)),NOT(ISNUMBER(F1103))),"",MAX(0,E1103)*F1103))</f>
        <v/>
      </c>
      <c r="I1103" s="46" t="str">
        <f aca="false">IF($A1103="","",SUMIF($A$2:$A$5001,$A1103,$H$2:$H$5001))</f>
        <v/>
      </c>
      <c r="J1103" s="47" t="n">
        <f aca="false">IF($A1103="",0,IF(COUNTIF($A$2:A1103,$A1103)=1,1,0))</f>
        <v>0</v>
      </c>
      <c r="K1103" s="47" t="n">
        <f aca="false">IF(J1103=1,N(I1103)+ROW()/10000000,0)</f>
        <v>0</v>
      </c>
      <c r="L1103" s="47" t="str">
        <f aca="false">IF(AND(J1103=1,N(I1103)&gt;0),SUMIF($K$2:$K$5001,"&gt;="&amp;K1103,$I$2:$I$5001)/MAX(1,SUM($H$2:$H$5001)),"")</f>
        <v/>
      </c>
      <c r="M1103" s="47" t="str">
        <f aca="false">IF($A1103="","",INDEX($L$2:$L$5001,MATCH($A1103,$A$2:$A$5001,0)))</f>
        <v/>
      </c>
      <c r="N1103" s="48" t="str">
        <f aca="false">IF($A1103="","",IF(N(M1103)=0,"–",IF(M1103&lt;=Start!$D$20,"A",IF(M1103&lt;=Start!$D$21,"B","C"))))</f>
        <v/>
      </c>
      <c r="O1103" s="48" t="str">
        <f aca="false">IF($A1103="","",IF(NOT(ISNUMBER(F1103)),"Wert fehlt; ",IF(F1103&lt;=0,"Wert ist 0; ",""))&amp;IF(NOT(ISNUMBER(E1103)),"Bestand fehlt; ",IF(E1103&lt;0,"Bestand negativ; ",IF(E1103=0,"Nullbestand; ","")))&amp;IF(D1103="","Warengruppe fehlt; ","")&amp;IF(B1103="","Bezeichnung fehlt; ","")&amp;IF(COUNTIFS($A$2:$A$5001,$A1103,$C$2:$C$5001,C1103)&gt;1,"Artikel doppelt im selben Lager; ",""))</f>
        <v/>
      </c>
      <c r="P1103" s="47" t="n">
        <f aca="false">IF(OR($A1103="",D1103=""),0,IF(COUNTIF($D$2:D1103,D1103)=1,SUMIF($D$2:$D$5001,D1103,$H$2:$H$5001)+ROW()/10000000,0))</f>
        <v>0</v>
      </c>
      <c r="Q1103" s="47" t="n">
        <f aca="false">IF(OR($A1103="",C1103=""),0,IF(COUNTIF($C$2:C1103,C1103)=1,SUMIF($C$2:$C$5001,C1103,$H$2:$H$5001)+ROW()/10000000,0))</f>
        <v>0</v>
      </c>
    </row>
    <row r="1104" customFormat="false" ht="15" hidden="false" customHeight="false" outlineLevel="0" collapsed="false">
      <c r="A1104" s="43"/>
      <c r="B1104" s="44"/>
      <c r="C1104" s="44"/>
      <c r="D1104" s="44"/>
      <c r="E1104" s="44"/>
      <c r="F1104" s="44"/>
      <c r="G1104" s="44"/>
      <c r="H1104" s="46" t="str">
        <f aca="false">IF($A1104="","",IF(OR(NOT(ISNUMBER(E1104)),NOT(ISNUMBER(F1104))),"",MAX(0,E1104)*F1104))</f>
        <v/>
      </c>
      <c r="I1104" s="46" t="str">
        <f aca="false">IF($A1104="","",SUMIF($A$2:$A$5001,$A1104,$H$2:$H$5001))</f>
        <v/>
      </c>
      <c r="J1104" s="47" t="n">
        <f aca="false">IF($A1104="",0,IF(COUNTIF($A$2:A1104,$A1104)=1,1,0))</f>
        <v>0</v>
      </c>
      <c r="K1104" s="47" t="n">
        <f aca="false">IF(J1104=1,N(I1104)+ROW()/10000000,0)</f>
        <v>0</v>
      </c>
      <c r="L1104" s="47" t="str">
        <f aca="false">IF(AND(J1104=1,N(I1104)&gt;0),SUMIF($K$2:$K$5001,"&gt;="&amp;K1104,$I$2:$I$5001)/MAX(1,SUM($H$2:$H$5001)),"")</f>
        <v/>
      </c>
      <c r="M1104" s="47" t="str">
        <f aca="false">IF($A1104="","",INDEX($L$2:$L$5001,MATCH($A1104,$A$2:$A$5001,0)))</f>
        <v/>
      </c>
      <c r="N1104" s="48" t="str">
        <f aca="false">IF($A1104="","",IF(N(M1104)=0,"–",IF(M1104&lt;=Start!$D$20,"A",IF(M1104&lt;=Start!$D$21,"B","C"))))</f>
        <v/>
      </c>
      <c r="O1104" s="48" t="str">
        <f aca="false">IF($A1104="","",IF(NOT(ISNUMBER(F1104)),"Wert fehlt; ",IF(F1104&lt;=0,"Wert ist 0; ",""))&amp;IF(NOT(ISNUMBER(E1104)),"Bestand fehlt; ",IF(E1104&lt;0,"Bestand negativ; ",IF(E1104=0,"Nullbestand; ","")))&amp;IF(D1104="","Warengruppe fehlt; ","")&amp;IF(B1104="","Bezeichnung fehlt; ","")&amp;IF(COUNTIFS($A$2:$A$5001,$A1104,$C$2:$C$5001,C1104)&gt;1,"Artikel doppelt im selben Lager; ",""))</f>
        <v/>
      </c>
      <c r="P1104" s="47" t="n">
        <f aca="false">IF(OR($A1104="",D1104=""),0,IF(COUNTIF($D$2:D1104,D1104)=1,SUMIF($D$2:$D$5001,D1104,$H$2:$H$5001)+ROW()/10000000,0))</f>
        <v>0</v>
      </c>
      <c r="Q1104" s="47" t="n">
        <f aca="false">IF(OR($A1104="",C1104=""),0,IF(COUNTIF($C$2:C1104,C1104)=1,SUMIF($C$2:$C$5001,C1104,$H$2:$H$5001)+ROW()/10000000,0))</f>
        <v>0</v>
      </c>
    </row>
    <row r="1105" customFormat="false" ht="15" hidden="false" customHeight="false" outlineLevel="0" collapsed="false">
      <c r="A1105" s="43"/>
      <c r="B1105" s="44"/>
      <c r="C1105" s="44"/>
      <c r="D1105" s="44"/>
      <c r="E1105" s="44"/>
      <c r="F1105" s="44"/>
      <c r="G1105" s="44"/>
      <c r="H1105" s="46" t="str">
        <f aca="false">IF($A1105="","",IF(OR(NOT(ISNUMBER(E1105)),NOT(ISNUMBER(F1105))),"",MAX(0,E1105)*F1105))</f>
        <v/>
      </c>
      <c r="I1105" s="46" t="str">
        <f aca="false">IF($A1105="","",SUMIF($A$2:$A$5001,$A1105,$H$2:$H$5001))</f>
        <v/>
      </c>
      <c r="J1105" s="47" t="n">
        <f aca="false">IF($A1105="",0,IF(COUNTIF($A$2:A1105,$A1105)=1,1,0))</f>
        <v>0</v>
      </c>
      <c r="K1105" s="47" t="n">
        <f aca="false">IF(J1105=1,N(I1105)+ROW()/10000000,0)</f>
        <v>0</v>
      </c>
      <c r="L1105" s="47" t="str">
        <f aca="false">IF(AND(J1105=1,N(I1105)&gt;0),SUMIF($K$2:$K$5001,"&gt;="&amp;K1105,$I$2:$I$5001)/MAX(1,SUM($H$2:$H$5001)),"")</f>
        <v/>
      </c>
      <c r="M1105" s="47" t="str">
        <f aca="false">IF($A1105="","",INDEX($L$2:$L$5001,MATCH($A1105,$A$2:$A$5001,0)))</f>
        <v/>
      </c>
      <c r="N1105" s="48" t="str">
        <f aca="false">IF($A1105="","",IF(N(M1105)=0,"–",IF(M1105&lt;=Start!$D$20,"A",IF(M1105&lt;=Start!$D$21,"B","C"))))</f>
        <v/>
      </c>
      <c r="O1105" s="48" t="str">
        <f aca="false">IF($A1105="","",IF(NOT(ISNUMBER(F1105)),"Wert fehlt; ",IF(F1105&lt;=0,"Wert ist 0; ",""))&amp;IF(NOT(ISNUMBER(E1105)),"Bestand fehlt; ",IF(E1105&lt;0,"Bestand negativ; ",IF(E1105=0,"Nullbestand; ","")))&amp;IF(D1105="","Warengruppe fehlt; ","")&amp;IF(B1105="","Bezeichnung fehlt; ","")&amp;IF(COUNTIFS($A$2:$A$5001,$A1105,$C$2:$C$5001,C1105)&gt;1,"Artikel doppelt im selben Lager; ",""))</f>
        <v/>
      </c>
      <c r="P1105" s="47" t="n">
        <f aca="false">IF(OR($A1105="",D1105=""),0,IF(COUNTIF($D$2:D1105,D1105)=1,SUMIF($D$2:$D$5001,D1105,$H$2:$H$5001)+ROW()/10000000,0))</f>
        <v>0</v>
      </c>
      <c r="Q1105" s="47" t="n">
        <f aca="false">IF(OR($A1105="",C1105=""),0,IF(COUNTIF($C$2:C1105,C1105)=1,SUMIF($C$2:$C$5001,C1105,$H$2:$H$5001)+ROW()/10000000,0))</f>
        <v>0</v>
      </c>
    </row>
    <row r="1106" customFormat="false" ht="15" hidden="false" customHeight="false" outlineLevel="0" collapsed="false">
      <c r="A1106" s="43"/>
      <c r="B1106" s="44"/>
      <c r="C1106" s="44"/>
      <c r="D1106" s="44"/>
      <c r="E1106" s="44"/>
      <c r="F1106" s="44"/>
      <c r="G1106" s="44"/>
      <c r="H1106" s="46" t="str">
        <f aca="false">IF($A1106="","",IF(OR(NOT(ISNUMBER(E1106)),NOT(ISNUMBER(F1106))),"",MAX(0,E1106)*F1106))</f>
        <v/>
      </c>
      <c r="I1106" s="46" t="str">
        <f aca="false">IF($A1106="","",SUMIF($A$2:$A$5001,$A1106,$H$2:$H$5001))</f>
        <v/>
      </c>
      <c r="J1106" s="47" t="n">
        <f aca="false">IF($A1106="",0,IF(COUNTIF($A$2:A1106,$A1106)=1,1,0))</f>
        <v>0</v>
      </c>
      <c r="K1106" s="47" t="n">
        <f aca="false">IF(J1106=1,N(I1106)+ROW()/10000000,0)</f>
        <v>0</v>
      </c>
      <c r="L1106" s="47" t="str">
        <f aca="false">IF(AND(J1106=1,N(I1106)&gt;0),SUMIF($K$2:$K$5001,"&gt;="&amp;K1106,$I$2:$I$5001)/MAX(1,SUM($H$2:$H$5001)),"")</f>
        <v/>
      </c>
      <c r="M1106" s="47" t="str">
        <f aca="false">IF($A1106="","",INDEX($L$2:$L$5001,MATCH($A1106,$A$2:$A$5001,0)))</f>
        <v/>
      </c>
      <c r="N1106" s="48" t="str">
        <f aca="false">IF($A1106="","",IF(N(M1106)=0,"–",IF(M1106&lt;=Start!$D$20,"A",IF(M1106&lt;=Start!$D$21,"B","C"))))</f>
        <v/>
      </c>
      <c r="O1106" s="48" t="str">
        <f aca="false">IF($A1106="","",IF(NOT(ISNUMBER(F1106)),"Wert fehlt; ",IF(F1106&lt;=0,"Wert ist 0; ",""))&amp;IF(NOT(ISNUMBER(E1106)),"Bestand fehlt; ",IF(E1106&lt;0,"Bestand negativ; ",IF(E1106=0,"Nullbestand; ","")))&amp;IF(D1106="","Warengruppe fehlt; ","")&amp;IF(B1106="","Bezeichnung fehlt; ","")&amp;IF(COUNTIFS($A$2:$A$5001,$A1106,$C$2:$C$5001,C1106)&gt;1,"Artikel doppelt im selben Lager; ",""))</f>
        <v/>
      </c>
      <c r="P1106" s="47" t="n">
        <f aca="false">IF(OR($A1106="",D1106=""),0,IF(COUNTIF($D$2:D1106,D1106)=1,SUMIF($D$2:$D$5001,D1106,$H$2:$H$5001)+ROW()/10000000,0))</f>
        <v>0</v>
      </c>
      <c r="Q1106" s="47" t="n">
        <f aca="false">IF(OR($A1106="",C1106=""),0,IF(COUNTIF($C$2:C1106,C1106)=1,SUMIF($C$2:$C$5001,C1106,$H$2:$H$5001)+ROW()/10000000,0))</f>
        <v>0</v>
      </c>
    </row>
    <row r="1107" customFormat="false" ht="15" hidden="false" customHeight="false" outlineLevel="0" collapsed="false">
      <c r="A1107" s="43"/>
      <c r="B1107" s="44"/>
      <c r="C1107" s="44"/>
      <c r="D1107" s="44"/>
      <c r="E1107" s="44"/>
      <c r="F1107" s="44"/>
      <c r="G1107" s="44"/>
      <c r="H1107" s="46" t="str">
        <f aca="false">IF($A1107="","",IF(OR(NOT(ISNUMBER(E1107)),NOT(ISNUMBER(F1107))),"",MAX(0,E1107)*F1107))</f>
        <v/>
      </c>
      <c r="I1107" s="46" t="str">
        <f aca="false">IF($A1107="","",SUMIF($A$2:$A$5001,$A1107,$H$2:$H$5001))</f>
        <v/>
      </c>
      <c r="J1107" s="47" t="n">
        <f aca="false">IF($A1107="",0,IF(COUNTIF($A$2:A1107,$A1107)=1,1,0))</f>
        <v>0</v>
      </c>
      <c r="K1107" s="47" t="n">
        <f aca="false">IF(J1107=1,N(I1107)+ROW()/10000000,0)</f>
        <v>0</v>
      </c>
      <c r="L1107" s="47" t="str">
        <f aca="false">IF(AND(J1107=1,N(I1107)&gt;0),SUMIF($K$2:$K$5001,"&gt;="&amp;K1107,$I$2:$I$5001)/MAX(1,SUM($H$2:$H$5001)),"")</f>
        <v/>
      </c>
      <c r="M1107" s="47" t="str">
        <f aca="false">IF($A1107="","",INDEX($L$2:$L$5001,MATCH($A1107,$A$2:$A$5001,0)))</f>
        <v/>
      </c>
      <c r="N1107" s="48" t="str">
        <f aca="false">IF($A1107="","",IF(N(M1107)=0,"–",IF(M1107&lt;=Start!$D$20,"A",IF(M1107&lt;=Start!$D$21,"B","C"))))</f>
        <v/>
      </c>
      <c r="O1107" s="48" t="str">
        <f aca="false">IF($A1107="","",IF(NOT(ISNUMBER(F1107)),"Wert fehlt; ",IF(F1107&lt;=0,"Wert ist 0; ",""))&amp;IF(NOT(ISNUMBER(E1107)),"Bestand fehlt; ",IF(E1107&lt;0,"Bestand negativ; ",IF(E1107=0,"Nullbestand; ","")))&amp;IF(D1107="","Warengruppe fehlt; ","")&amp;IF(B1107="","Bezeichnung fehlt; ","")&amp;IF(COUNTIFS($A$2:$A$5001,$A1107,$C$2:$C$5001,C1107)&gt;1,"Artikel doppelt im selben Lager; ",""))</f>
        <v/>
      </c>
      <c r="P1107" s="47" t="n">
        <f aca="false">IF(OR($A1107="",D1107=""),0,IF(COUNTIF($D$2:D1107,D1107)=1,SUMIF($D$2:$D$5001,D1107,$H$2:$H$5001)+ROW()/10000000,0))</f>
        <v>0</v>
      </c>
      <c r="Q1107" s="47" t="n">
        <f aca="false">IF(OR($A1107="",C1107=""),0,IF(COUNTIF($C$2:C1107,C1107)=1,SUMIF($C$2:$C$5001,C1107,$H$2:$H$5001)+ROW()/10000000,0))</f>
        <v>0</v>
      </c>
    </row>
    <row r="1108" customFormat="false" ht="15" hidden="false" customHeight="false" outlineLevel="0" collapsed="false">
      <c r="A1108" s="43"/>
      <c r="B1108" s="44"/>
      <c r="C1108" s="44"/>
      <c r="D1108" s="44"/>
      <c r="E1108" s="44"/>
      <c r="F1108" s="44"/>
      <c r="G1108" s="44"/>
      <c r="H1108" s="46" t="str">
        <f aca="false">IF($A1108="","",IF(OR(NOT(ISNUMBER(E1108)),NOT(ISNUMBER(F1108))),"",MAX(0,E1108)*F1108))</f>
        <v/>
      </c>
      <c r="I1108" s="46" t="str">
        <f aca="false">IF($A1108="","",SUMIF($A$2:$A$5001,$A1108,$H$2:$H$5001))</f>
        <v/>
      </c>
      <c r="J1108" s="47" t="n">
        <f aca="false">IF($A1108="",0,IF(COUNTIF($A$2:A1108,$A1108)=1,1,0))</f>
        <v>0</v>
      </c>
      <c r="K1108" s="47" t="n">
        <f aca="false">IF(J1108=1,N(I1108)+ROW()/10000000,0)</f>
        <v>0</v>
      </c>
      <c r="L1108" s="47" t="str">
        <f aca="false">IF(AND(J1108=1,N(I1108)&gt;0),SUMIF($K$2:$K$5001,"&gt;="&amp;K1108,$I$2:$I$5001)/MAX(1,SUM($H$2:$H$5001)),"")</f>
        <v/>
      </c>
      <c r="M1108" s="47" t="str">
        <f aca="false">IF($A1108="","",INDEX($L$2:$L$5001,MATCH($A1108,$A$2:$A$5001,0)))</f>
        <v/>
      </c>
      <c r="N1108" s="48" t="str">
        <f aca="false">IF($A1108="","",IF(N(M1108)=0,"–",IF(M1108&lt;=Start!$D$20,"A",IF(M1108&lt;=Start!$D$21,"B","C"))))</f>
        <v/>
      </c>
      <c r="O1108" s="48" t="str">
        <f aca="false">IF($A1108="","",IF(NOT(ISNUMBER(F1108)),"Wert fehlt; ",IF(F1108&lt;=0,"Wert ist 0; ",""))&amp;IF(NOT(ISNUMBER(E1108)),"Bestand fehlt; ",IF(E1108&lt;0,"Bestand negativ; ",IF(E1108=0,"Nullbestand; ","")))&amp;IF(D1108="","Warengruppe fehlt; ","")&amp;IF(B1108="","Bezeichnung fehlt; ","")&amp;IF(COUNTIFS($A$2:$A$5001,$A1108,$C$2:$C$5001,C1108)&gt;1,"Artikel doppelt im selben Lager; ",""))</f>
        <v/>
      </c>
      <c r="P1108" s="47" t="n">
        <f aca="false">IF(OR($A1108="",D1108=""),0,IF(COUNTIF($D$2:D1108,D1108)=1,SUMIF($D$2:$D$5001,D1108,$H$2:$H$5001)+ROW()/10000000,0))</f>
        <v>0</v>
      </c>
      <c r="Q1108" s="47" t="n">
        <f aca="false">IF(OR($A1108="",C1108=""),0,IF(COUNTIF($C$2:C1108,C1108)=1,SUMIF($C$2:$C$5001,C1108,$H$2:$H$5001)+ROW()/10000000,0))</f>
        <v>0</v>
      </c>
    </row>
    <row r="1109" customFormat="false" ht="15" hidden="false" customHeight="false" outlineLevel="0" collapsed="false">
      <c r="A1109" s="43"/>
      <c r="B1109" s="44"/>
      <c r="C1109" s="44"/>
      <c r="D1109" s="44"/>
      <c r="E1109" s="44"/>
      <c r="F1109" s="44"/>
      <c r="G1109" s="44"/>
      <c r="H1109" s="46" t="str">
        <f aca="false">IF($A1109="","",IF(OR(NOT(ISNUMBER(E1109)),NOT(ISNUMBER(F1109))),"",MAX(0,E1109)*F1109))</f>
        <v/>
      </c>
      <c r="I1109" s="46" t="str">
        <f aca="false">IF($A1109="","",SUMIF($A$2:$A$5001,$A1109,$H$2:$H$5001))</f>
        <v/>
      </c>
      <c r="J1109" s="47" t="n">
        <f aca="false">IF($A1109="",0,IF(COUNTIF($A$2:A1109,$A1109)=1,1,0))</f>
        <v>0</v>
      </c>
      <c r="K1109" s="47" t="n">
        <f aca="false">IF(J1109=1,N(I1109)+ROW()/10000000,0)</f>
        <v>0</v>
      </c>
      <c r="L1109" s="47" t="str">
        <f aca="false">IF(AND(J1109=1,N(I1109)&gt;0),SUMIF($K$2:$K$5001,"&gt;="&amp;K1109,$I$2:$I$5001)/MAX(1,SUM($H$2:$H$5001)),"")</f>
        <v/>
      </c>
      <c r="M1109" s="47" t="str">
        <f aca="false">IF($A1109="","",INDEX($L$2:$L$5001,MATCH($A1109,$A$2:$A$5001,0)))</f>
        <v/>
      </c>
      <c r="N1109" s="48" t="str">
        <f aca="false">IF($A1109="","",IF(N(M1109)=0,"–",IF(M1109&lt;=Start!$D$20,"A",IF(M1109&lt;=Start!$D$21,"B","C"))))</f>
        <v/>
      </c>
      <c r="O1109" s="48" t="str">
        <f aca="false">IF($A1109="","",IF(NOT(ISNUMBER(F1109)),"Wert fehlt; ",IF(F1109&lt;=0,"Wert ist 0; ",""))&amp;IF(NOT(ISNUMBER(E1109)),"Bestand fehlt; ",IF(E1109&lt;0,"Bestand negativ; ",IF(E1109=0,"Nullbestand; ","")))&amp;IF(D1109="","Warengruppe fehlt; ","")&amp;IF(B1109="","Bezeichnung fehlt; ","")&amp;IF(COUNTIFS($A$2:$A$5001,$A1109,$C$2:$C$5001,C1109)&gt;1,"Artikel doppelt im selben Lager; ",""))</f>
        <v/>
      </c>
      <c r="P1109" s="47" t="n">
        <f aca="false">IF(OR($A1109="",D1109=""),0,IF(COUNTIF($D$2:D1109,D1109)=1,SUMIF($D$2:$D$5001,D1109,$H$2:$H$5001)+ROW()/10000000,0))</f>
        <v>0</v>
      </c>
      <c r="Q1109" s="47" t="n">
        <f aca="false">IF(OR($A1109="",C1109=""),0,IF(COUNTIF($C$2:C1109,C1109)=1,SUMIF($C$2:$C$5001,C1109,$H$2:$H$5001)+ROW()/10000000,0))</f>
        <v>0</v>
      </c>
    </row>
    <row r="1110" customFormat="false" ht="15" hidden="false" customHeight="false" outlineLevel="0" collapsed="false">
      <c r="A1110" s="43"/>
      <c r="B1110" s="44"/>
      <c r="C1110" s="44"/>
      <c r="D1110" s="44"/>
      <c r="E1110" s="44"/>
      <c r="F1110" s="44"/>
      <c r="G1110" s="44"/>
      <c r="H1110" s="46" t="str">
        <f aca="false">IF($A1110="","",IF(OR(NOT(ISNUMBER(E1110)),NOT(ISNUMBER(F1110))),"",MAX(0,E1110)*F1110))</f>
        <v/>
      </c>
      <c r="I1110" s="46" t="str">
        <f aca="false">IF($A1110="","",SUMIF($A$2:$A$5001,$A1110,$H$2:$H$5001))</f>
        <v/>
      </c>
      <c r="J1110" s="47" t="n">
        <f aca="false">IF($A1110="",0,IF(COUNTIF($A$2:A1110,$A1110)=1,1,0))</f>
        <v>0</v>
      </c>
      <c r="K1110" s="47" t="n">
        <f aca="false">IF(J1110=1,N(I1110)+ROW()/10000000,0)</f>
        <v>0</v>
      </c>
      <c r="L1110" s="47" t="str">
        <f aca="false">IF(AND(J1110=1,N(I1110)&gt;0),SUMIF($K$2:$K$5001,"&gt;="&amp;K1110,$I$2:$I$5001)/MAX(1,SUM($H$2:$H$5001)),"")</f>
        <v/>
      </c>
      <c r="M1110" s="47" t="str">
        <f aca="false">IF($A1110="","",INDEX($L$2:$L$5001,MATCH($A1110,$A$2:$A$5001,0)))</f>
        <v/>
      </c>
      <c r="N1110" s="48" t="str">
        <f aca="false">IF($A1110="","",IF(N(M1110)=0,"–",IF(M1110&lt;=Start!$D$20,"A",IF(M1110&lt;=Start!$D$21,"B","C"))))</f>
        <v/>
      </c>
      <c r="O1110" s="48" t="str">
        <f aca="false">IF($A1110="","",IF(NOT(ISNUMBER(F1110)),"Wert fehlt; ",IF(F1110&lt;=0,"Wert ist 0; ",""))&amp;IF(NOT(ISNUMBER(E1110)),"Bestand fehlt; ",IF(E1110&lt;0,"Bestand negativ; ",IF(E1110=0,"Nullbestand; ","")))&amp;IF(D1110="","Warengruppe fehlt; ","")&amp;IF(B1110="","Bezeichnung fehlt; ","")&amp;IF(COUNTIFS($A$2:$A$5001,$A1110,$C$2:$C$5001,C1110)&gt;1,"Artikel doppelt im selben Lager; ",""))</f>
        <v/>
      </c>
      <c r="P1110" s="47" t="n">
        <f aca="false">IF(OR($A1110="",D1110=""),0,IF(COUNTIF($D$2:D1110,D1110)=1,SUMIF($D$2:$D$5001,D1110,$H$2:$H$5001)+ROW()/10000000,0))</f>
        <v>0</v>
      </c>
      <c r="Q1110" s="47" t="n">
        <f aca="false">IF(OR($A1110="",C1110=""),0,IF(COUNTIF($C$2:C1110,C1110)=1,SUMIF($C$2:$C$5001,C1110,$H$2:$H$5001)+ROW()/10000000,0))</f>
        <v>0</v>
      </c>
    </row>
    <row r="1111" customFormat="false" ht="15" hidden="false" customHeight="false" outlineLevel="0" collapsed="false">
      <c r="A1111" s="43"/>
      <c r="B1111" s="44"/>
      <c r="C1111" s="44"/>
      <c r="D1111" s="44"/>
      <c r="E1111" s="44"/>
      <c r="F1111" s="44"/>
      <c r="G1111" s="44"/>
      <c r="H1111" s="46" t="str">
        <f aca="false">IF($A1111="","",IF(OR(NOT(ISNUMBER(E1111)),NOT(ISNUMBER(F1111))),"",MAX(0,E1111)*F1111))</f>
        <v/>
      </c>
      <c r="I1111" s="46" t="str">
        <f aca="false">IF($A1111="","",SUMIF($A$2:$A$5001,$A1111,$H$2:$H$5001))</f>
        <v/>
      </c>
      <c r="J1111" s="47" t="n">
        <f aca="false">IF($A1111="",0,IF(COUNTIF($A$2:A1111,$A1111)=1,1,0))</f>
        <v>0</v>
      </c>
      <c r="K1111" s="47" t="n">
        <f aca="false">IF(J1111=1,N(I1111)+ROW()/10000000,0)</f>
        <v>0</v>
      </c>
      <c r="L1111" s="47" t="str">
        <f aca="false">IF(AND(J1111=1,N(I1111)&gt;0),SUMIF($K$2:$K$5001,"&gt;="&amp;K1111,$I$2:$I$5001)/MAX(1,SUM($H$2:$H$5001)),"")</f>
        <v/>
      </c>
      <c r="M1111" s="47" t="str">
        <f aca="false">IF($A1111="","",INDEX($L$2:$L$5001,MATCH($A1111,$A$2:$A$5001,0)))</f>
        <v/>
      </c>
      <c r="N1111" s="48" t="str">
        <f aca="false">IF($A1111="","",IF(N(M1111)=0,"–",IF(M1111&lt;=Start!$D$20,"A",IF(M1111&lt;=Start!$D$21,"B","C"))))</f>
        <v/>
      </c>
      <c r="O1111" s="48" t="str">
        <f aca="false">IF($A1111="","",IF(NOT(ISNUMBER(F1111)),"Wert fehlt; ",IF(F1111&lt;=0,"Wert ist 0; ",""))&amp;IF(NOT(ISNUMBER(E1111)),"Bestand fehlt; ",IF(E1111&lt;0,"Bestand negativ; ",IF(E1111=0,"Nullbestand; ","")))&amp;IF(D1111="","Warengruppe fehlt; ","")&amp;IF(B1111="","Bezeichnung fehlt; ","")&amp;IF(COUNTIFS($A$2:$A$5001,$A1111,$C$2:$C$5001,C1111)&gt;1,"Artikel doppelt im selben Lager; ",""))</f>
        <v/>
      </c>
      <c r="P1111" s="47" t="n">
        <f aca="false">IF(OR($A1111="",D1111=""),0,IF(COUNTIF($D$2:D1111,D1111)=1,SUMIF($D$2:$D$5001,D1111,$H$2:$H$5001)+ROW()/10000000,0))</f>
        <v>0</v>
      </c>
      <c r="Q1111" s="47" t="n">
        <f aca="false">IF(OR($A1111="",C1111=""),0,IF(COUNTIF($C$2:C1111,C1111)=1,SUMIF($C$2:$C$5001,C1111,$H$2:$H$5001)+ROW()/10000000,0))</f>
        <v>0</v>
      </c>
    </row>
    <row r="1112" customFormat="false" ht="15" hidden="false" customHeight="false" outlineLevel="0" collapsed="false">
      <c r="A1112" s="43"/>
      <c r="B1112" s="44"/>
      <c r="C1112" s="44"/>
      <c r="D1112" s="44"/>
      <c r="E1112" s="44"/>
      <c r="F1112" s="44"/>
      <c r="G1112" s="44"/>
      <c r="H1112" s="46" t="str">
        <f aca="false">IF($A1112="","",IF(OR(NOT(ISNUMBER(E1112)),NOT(ISNUMBER(F1112))),"",MAX(0,E1112)*F1112))</f>
        <v/>
      </c>
      <c r="I1112" s="46" t="str">
        <f aca="false">IF($A1112="","",SUMIF($A$2:$A$5001,$A1112,$H$2:$H$5001))</f>
        <v/>
      </c>
      <c r="J1112" s="47" t="n">
        <f aca="false">IF($A1112="",0,IF(COUNTIF($A$2:A1112,$A1112)=1,1,0))</f>
        <v>0</v>
      </c>
      <c r="K1112" s="47" t="n">
        <f aca="false">IF(J1112=1,N(I1112)+ROW()/10000000,0)</f>
        <v>0</v>
      </c>
      <c r="L1112" s="47" t="str">
        <f aca="false">IF(AND(J1112=1,N(I1112)&gt;0),SUMIF($K$2:$K$5001,"&gt;="&amp;K1112,$I$2:$I$5001)/MAX(1,SUM($H$2:$H$5001)),"")</f>
        <v/>
      </c>
      <c r="M1112" s="47" t="str">
        <f aca="false">IF($A1112="","",INDEX($L$2:$L$5001,MATCH($A1112,$A$2:$A$5001,0)))</f>
        <v/>
      </c>
      <c r="N1112" s="48" t="str">
        <f aca="false">IF($A1112="","",IF(N(M1112)=0,"–",IF(M1112&lt;=Start!$D$20,"A",IF(M1112&lt;=Start!$D$21,"B","C"))))</f>
        <v/>
      </c>
      <c r="O1112" s="48" t="str">
        <f aca="false">IF($A1112="","",IF(NOT(ISNUMBER(F1112)),"Wert fehlt; ",IF(F1112&lt;=0,"Wert ist 0; ",""))&amp;IF(NOT(ISNUMBER(E1112)),"Bestand fehlt; ",IF(E1112&lt;0,"Bestand negativ; ",IF(E1112=0,"Nullbestand; ","")))&amp;IF(D1112="","Warengruppe fehlt; ","")&amp;IF(B1112="","Bezeichnung fehlt; ","")&amp;IF(COUNTIFS($A$2:$A$5001,$A1112,$C$2:$C$5001,C1112)&gt;1,"Artikel doppelt im selben Lager; ",""))</f>
        <v/>
      </c>
      <c r="P1112" s="47" t="n">
        <f aca="false">IF(OR($A1112="",D1112=""),0,IF(COUNTIF($D$2:D1112,D1112)=1,SUMIF($D$2:$D$5001,D1112,$H$2:$H$5001)+ROW()/10000000,0))</f>
        <v>0</v>
      </c>
      <c r="Q1112" s="47" t="n">
        <f aca="false">IF(OR($A1112="",C1112=""),0,IF(COUNTIF($C$2:C1112,C1112)=1,SUMIF($C$2:$C$5001,C1112,$H$2:$H$5001)+ROW()/10000000,0))</f>
        <v>0</v>
      </c>
    </row>
    <row r="1113" customFormat="false" ht="15" hidden="false" customHeight="false" outlineLevel="0" collapsed="false">
      <c r="A1113" s="43"/>
      <c r="B1113" s="44"/>
      <c r="C1113" s="44"/>
      <c r="D1113" s="44"/>
      <c r="E1113" s="44"/>
      <c r="F1113" s="44"/>
      <c r="G1113" s="44"/>
      <c r="H1113" s="46" t="str">
        <f aca="false">IF($A1113="","",IF(OR(NOT(ISNUMBER(E1113)),NOT(ISNUMBER(F1113))),"",MAX(0,E1113)*F1113))</f>
        <v/>
      </c>
      <c r="I1113" s="46" t="str">
        <f aca="false">IF($A1113="","",SUMIF($A$2:$A$5001,$A1113,$H$2:$H$5001))</f>
        <v/>
      </c>
      <c r="J1113" s="47" t="n">
        <f aca="false">IF($A1113="",0,IF(COUNTIF($A$2:A1113,$A1113)=1,1,0))</f>
        <v>0</v>
      </c>
      <c r="K1113" s="47" t="n">
        <f aca="false">IF(J1113=1,N(I1113)+ROW()/10000000,0)</f>
        <v>0</v>
      </c>
      <c r="L1113" s="47" t="str">
        <f aca="false">IF(AND(J1113=1,N(I1113)&gt;0),SUMIF($K$2:$K$5001,"&gt;="&amp;K1113,$I$2:$I$5001)/MAX(1,SUM($H$2:$H$5001)),"")</f>
        <v/>
      </c>
      <c r="M1113" s="47" t="str">
        <f aca="false">IF($A1113="","",INDEX($L$2:$L$5001,MATCH($A1113,$A$2:$A$5001,0)))</f>
        <v/>
      </c>
      <c r="N1113" s="48" t="str">
        <f aca="false">IF($A1113="","",IF(N(M1113)=0,"–",IF(M1113&lt;=Start!$D$20,"A",IF(M1113&lt;=Start!$D$21,"B","C"))))</f>
        <v/>
      </c>
      <c r="O1113" s="48" t="str">
        <f aca="false">IF($A1113="","",IF(NOT(ISNUMBER(F1113)),"Wert fehlt; ",IF(F1113&lt;=0,"Wert ist 0; ",""))&amp;IF(NOT(ISNUMBER(E1113)),"Bestand fehlt; ",IF(E1113&lt;0,"Bestand negativ; ",IF(E1113=0,"Nullbestand; ","")))&amp;IF(D1113="","Warengruppe fehlt; ","")&amp;IF(B1113="","Bezeichnung fehlt; ","")&amp;IF(COUNTIFS($A$2:$A$5001,$A1113,$C$2:$C$5001,C1113)&gt;1,"Artikel doppelt im selben Lager; ",""))</f>
        <v/>
      </c>
      <c r="P1113" s="47" t="n">
        <f aca="false">IF(OR($A1113="",D1113=""),0,IF(COUNTIF($D$2:D1113,D1113)=1,SUMIF($D$2:$D$5001,D1113,$H$2:$H$5001)+ROW()/10000000,0))</f>
        <v>0</v>
      </c>
      <c r="Q1113" s="47" t="n">
        <f aca="false">IF(OR($A1113="",C1113=""),0,IF(COUNTIF($C$2:C1113,C1113)=1,SUMIF($C$2:$C$5001,C1113,$H$2:$H$5001)+ROW()/10000000,0))</f>
        <v>0</v>
      </c>
    </row>
    <row r="1114" customFormat="false" ht="15" hidden="false" customHeight="false" outlineLevel="0" collapsed="false">
      <c r="A1114" s="43"/>
      <c r="B1114" s="44"/>
      <c r="C1114" s="44"/>
      <c r="D1114" s="44"/>
      <c r="E1114" s="44"/>
      <c r="F1114" s="44"/>
      <c r="G1114" s="44"/>
      <c r="H1114" s="46" t="str">
        <f aca="false">IF($A1114="","",IF(OR(NOT(ISNUMBER(E1114)),NOT(ISNUMBER(F1114))),"",MAX(0,E1114)*F1114))</f>
        <v/>
      </c>
      <c r="I1114" s="46" t="str">
        <f aca="false">IF($A1114="","",SUMIF($A$2:$A$5001,$A1114,$H$2:$H$5001))</f>
        <v/>
      </c>
      <c r="J1114" s="47" t="n">
        <f aca="false">IF($A1114="",0,IF(COUNTIF($A$2:A1114,$A1114)=1,1,0))</f>
        <v>0</v>
      </c>
      <c r="K1114" s="47" t="n">
        <f aca="false">IF(J1114=1,N(I1114)+ROW()/10000000,0)</f>
        <v>0</v>
      </c>
      <c r="L1114" s="47" t="str">
        <f aca="false">IF(AND(J1114=1,N(I1114)&gt;0),SUMIF($K$2:$K$5001,"&gt;="&amp;K1114,$I$2:$I$5001)/MAX(1,SUM($H$2:$H$5001)),"")</f>
        <v/>
      </c>
      <c r="M1114" s="47" t="str">
        <f aca="false">IF($A1114="","",INDEX($L$2:$L$5001,MATCH($A1114,$A$2:$A$5001,0)))</f>
        <v/>
      </c>
      <c r="N1114" s="48" t="str">
        <f aca="false">IF($A1114="","",IF(N(M1114)=0,"–",IF(M1114&lt;=Start!$D$20,"A",IF(M1114&lt;=Start!$D$21,"B","C"))))</f>
        <v/>
      </c>
      <c r="O1114" s="48" t="str">
        <f aca="false">IF($A1114="","",IF(NOT(ISNUMBER(F1114)),"Wert fehlt; ",IF(F1114&lt;=0,"Wert ist 0; ",""))&amp;IF(NOT(ISNUMBER(E1114)),"Bestand fehlt; ",IF(E1114&lt;0,"Bestand negativ; ",IF(E1114=0,"Nullbestand; ","")))&amp;IF(D1114="","Warengruppe fehlt; ","")&amp;IF(B1114="","Bezeichnung fehlt; ","")&amp;IF(COUNTIFS($A$2:$A$5001,$A1114,$C$2:$C$5001,C1114)&gt;1,"Artikel doppelt im selben Lager; ",""))</f>
        <v/>
      </c>
      <c r="P1114" s="47" t="n">
        <f aca="false">IF(OR($A1114="",D1114=""),0,IF(COUNTIF($D$2:D1114,D1114)=1,SUMIF($D$2:$D$5001,D1114,$H$2:$H$5001)+ROW()/10000000,0))</f>
        <v>0</v>
      </c>
      <c r="Q1114" s="47" t="n">
        <f aca="false">IF(OR($A1114="",C1114=""),0,IF(COUNTIF($C$2:C1114,C1114)=1,SUMIF($C$2:$C$5001,C1114,$H$2:$H$5001)+ROW()/10000000,0))</f>
        <v>0</v>
      </c>
    </row>
    <row r="1115" customFormat="false" ht="15" hidden="false" customHeight="false" outlineLevel="0" collapsed="false">
      <c r="A1115" s="43"/>
      <c r="B1115" s="44"/>
      <c r="C1115" s="44"/>
      <c r="D1115" s="44"/>
      <c r="E1115" s="44"/>
      <c r="F1115" s="44"/>
      <c r="G1115" s="44"/>
      <c r="H1115" s="46" t="str">
        <f aca="false">IF($A1115="","",IF(OR(NOT(ISNUMBER(E1115)),NOT(ISNUMBER(F1115))),"",MAX(0,E1115)*F1115))</f>
        <v/>
      </c>
      <c r="I1115" s="46" t="str">
        <f aca="false">IF($A1115="","",SUMIF($A$2:$A$5001,$A1115,$H$2:$H$5001))</f>
        <v/>
      </c>
      <c r="J1115" s="47" t="n">
        <f aca="false">IF($A1115="",0,IF(COUNTIF($A$2:A1115,$A1115)=1,1,0))</f>
        <v>0</v>
      </c>
      <c r="K1115" s="47" t="n">
        <f aca="false">IF(J1115=1,N(I1115)+ROW()/10000000,0)</f>
        <v>0</v>
      </c>
      <c r="L1115" s="47" t="str">
        <f aca="false">IF(AND(J1115=1,N(I1115)&gt;0),SUMIF($K$2:$K$5001,"&gt;="&amp;K1115,$I$2:$I$5001)/MAX(1,SUM($H$2:$H$5001)),"")</f>
        <v/>
      </c>
      <c r="M1115" s="47" t="str">
        <f aca="false">IF($A1115="","",INDEX($L$2:$L$5001,MATCH($A1115,$A$2:$A$5001,0)))</f>
        <v/>
      </c>
      <c r="N1115" s="48" t="str">
        <f aca="false">IF($A1115="","",IF(N(M1115)=0,"–",IF(M1115&lt;=Start!$D$20,"A",IF(M1115&lt;=Start!$D$21,"B","C"))))</f>
        <v/>
      </c>
      <c r="O1115" s="48" t="str">
        <f aca="false">IF($A1115="","",IF(NOT(ISNUMBER(F1115)),"Wert fehlt; ",IF(F1115&lt;=0,"Wert ist 0; ",""))&amp;IF(NOT(ISNUMBER(E1115)),"Bestand fehlt; ",IF(E1115&lt;0,"Bestand negativ; ",IF(E1115=0,"Nullbestand; ","")))&amp;IF(D1115="","Warengruppe fehlt; ","")&amp;IF(B1115="","Bezeichnung fehlt; ","")&amp;IF(COUNTIFS($A$2:$A$5001,$A1115,$C$2:$C$5001,C1115)&gt;1,"Artikel doppelt im selben Lager; ",""))</f>
        <v/>
      </c>
      <c r="P1115" s="47" t="n">
        <f aca="false">IF(OR($A1115="",D1115=""),0,IF(COUNTIF($D$2:D1115,D1115)=1,SUMIF($D$2:$D$5001,D1115,$H$2:$H$5001)+ROW()/10000000,0))</f>
        <v>0</v>
      </c>
      <c r="Q1115" s="47" t="n">
        <f aca="false">IF(OR($A1115="",C1115=""),0,IF(COUNTIF($C$2:C1115,C1115)=1,SUMIF($C$2:$C$5001,C1115,$H$2:$H$5001)+ROW()/10000000,0))</f>
        <v>0</v>
      </c>
    </row>
    <row r="1116" customFormat="false" ht="15" hidden="false" customHeight="false" outlineLevel="0" collapsed="false">
      <c r="A1116" s="43"/>
      <c r="B1116" s="44"/>
      <c r="C1116" s="44"/>
      <c r="D1116" s="44"/>
      <c r="E1116" s="44"/>
      <c r="F1116" s="44"/>
      <c r="G1116" s="44"/>
      <c r="H1116" s="46" t="str">
        <f aca="false">IF($A1116="","",IF(OR(NOT(ISNUMBER(E1116)),NOT(ISNUMBER(F1116))),"",MAX(0,E1116)*F1116))</f>
        <v/>
      </c>
      <c r="I1116" s="46" t="str">
        <f aca="false">IF($A1116="","",SUMIF($A$2:$A$5001,$A1116,$H$2:$H$5001))</f>
        <v/>
      </c>
      <c r="J1116" s="47" t="n">
        <f aca="false">IF($A1116="",0,IF(COUNTIF($A$2:A1116,$A1116)=1,1,0))</f>
        <v>0</v>
      </c>
      <c r="K1116" s="47" t="n">
        <f aca="false">IF(J1116=1,N(I1116)+ROW()/10000000,0)</f>
        <v>0</v>
      </c>
      <c r="L1116" s="47" t="str">
        <f aca="false">IF(AND(J1116=1,N(I1116)&gt;0),SUMIF($K$2:$K$5001,"&gt;="&amp;K1116,$I$2:$I$5001)/MAX(1,SUM($H$2:$H$5001)),"")</f>
        <v/>
      </c>
      <c r="M1116" s="47" t="str">
        <f aca="false">IF($A1116="","",INDEX($L$2:$L$5001,MATCH($A1116,$A$2:$A$5001,0)))</f>
        <v/>
      </c>
      <c r="N1116" s="48" t="str">
        <f aca="false">IF($A1116="","",IF(N(M1116)=0,"–",IF(M1116&lt;=Start!$D$20,"A",IF(M1116&lt;=Start!$D$21,"B","C"))))</f>
        <v/>
      </c>
      <c r="O1116" s="48" t="str">
        <f aca="false">IF($A1116="","",IF(NOT(ISNUMBER(F1116)),"Wert fehlt; ",IF(F1116&lt;=0,"Wert ist 0; ",""))&amp;IF(NOT(ISNUMBER(E1116)),"Bestand fehlt; ",IF(E1116&lt;0,"Bestand negativ; ",IF(E1116=0,"Nullbestand; ","")))&amp;IF(D1116="","Warengruppe fehlt; ","")&amp;IF(B1116="","Bezeichnung fehlt; ","")&amp;IF(COUNTIFS($A$2:$A$5001,$A1116,$C$2:$C$5001,C1116)&gt;1,"Artikel doppelt im selben Lager; ",""))</f>
        <v/>
      </c>
      <c r="P1116" s="47" t="n">
        <f aca="false">IF(OR($A1116="",D1116=""),0,IF(COUNTIF($D$2:D1116,D1116)=1,SUMIF($D$2:$D$5001,D1116,$H$2:$H$5001)+ROW()/10000000,0))</f>
        <v>0</v>
      </c>
      <c r="Q1116" s="47" t="n">
        <f aca="false">IF(OR($A1116="",C1116=""),0,IF(COUNTIF($C$2:C1116,C1116)=1,SUMIF($C$2:$C$5001,C1116,$H$2:$H$5001)+ROW()/10000000,0))</f>
        <v>0</v>
      </c>
    </row>
    <row r="1117" customFormat="false" ht="15" hidden="false" customHeight="false" outlineLevel="0" collapsed="false">
      <c r="A1117" s="43"/>
      <c r="B1117" s="44"/>
      <c r="C1117" s="44"/>
      <c r="D1117" s="44"/>
      <c r="E1117" s="44"/>
      <c r="F1117" s="44"/>
      <c r="G1117" s="44"/>
      <c r="H1117" s="46" t="str">
        <f aca="false">IF($A1117="","",IF(OR(NOT(ISNUMBER(E1117)),NOT(ISNUMBER(F1117))),"",MAX(0,E1117)*F1117))</f>
        <v/>
      </c>
      <c r="I1117" s="46" t="str">
        <f aca="false">IF($A1117="","",SUMIF($A$2:$A$5001,$A1117,$H$2:$H$5001))</f>
        <v/>
      </c>
      <c r="J1117" s="47" t="n">
        <f aca="false">IF($A1117="",0,IF(COUNTIF($A$2:A1117,$A1117)=1,1,0))</f>
        <v>0</v>
      </c>
      <c r="K1117" s="47" t="n">
        <f aca="false">IF(J1117=1,N(I1117)+ROW()/10000000,0)</f>
        <v>0</v>
      </c>
      <c r="L1117" s="47" t="str">
        <f aca="false">IF(AND(J1117=1,N(I1117)&gt;0),SUMIF($K$2:$K$5001,"&gt;="&amp;K1117,$I$2:$I$5001)/MAX(1,SUM($H$2:$H$5001)),"")</f>
        <v/>
      </c>
      <c r="M1117" s="47" t="str">
        <f aca="false">IF($A1117="","",INDEX($L$2:$L$5001,MATCH($A1117,$A$2:$A$5001,0)))</f>
        <v/>
      </c>
      <c r="N1117" s="48" t="str">
        <f aca="false">IF($A1117="","",IF(N(M1117)=0,"–",IF(M1117&lt;=Start!$D$20,"A",IF(M1117&lt;=Start!$D$21,"B","C"))))</f>
        <v/>
      </c>
      <c r="O1117" s="48" t="str">
        <f aca="false">IF($A1117="","",IF(NOT(ISNUMBER(F1117)),"Wert fehlt; ",IF(F1117&lt;=0,"Wert ist 0; ",""))&amp;IF(NOT(ISNUMBER(E1117)),"Bestand fehlt; ",IF(E1117&lt;0,"Bestand negativ; ",IF(E1117=0,"Nullbestand; ","")))&amp;IF(D1117="","Warengruppe fehlt; ","")&amp;IF(B1117="","Bezeichnung fehlt; ","")&amp;IF(COUNTIFS($A$2:$A$5001,$A1117,$C$2:$C$5001,C1117)&gt;1,"Artikel doppelt im selben Lager; ",""))</f>
        <v/>
      </c>
      <c r="P1117" s="47" t="n">
        <f aca="false">IF(OR($A1117="",D1117=""),0,IF(COUNTIF($D$2:D1117,D1117)=1,SUMIF($D$2:$D$5001,D1117,$H$2:$H$5001)+ROW()/10000000,0))</f>
        <v>0</v>
      </c>
      <c r="Q1117" s="47" t="n">
        <f aca="false">IF(OR($A1117="",C1117=""),0,IF(COUNTIF($C$2:C1117,C1117)=1,SUMIF($C$2:$C$5001,C1117,$H$2:$H$5001)+ROW()/10000000,0))</f>
        <v>0</v>
      </c>
    </row>
    <row r="1118" customFormat="false" ht="15" hidden="false" customHeight="false" outlineLevel="0" collapsed="false">
      <c r="A1118" s="43"/>
      <c r="B1118" s="44"/>
      <c r="C1118" s="44"/>
      <c r="D1118" s="44"/>
      <c r="E1118" s="44"/>
      <c r="F1118" s="44"/>
      <c r="G1118" s="44"/>
      <c r="H1118" s="46" t="str">
        <f aca="false">IF($A1118="","",IF(OR(NOT(ISNUMBER(E1118)),NOT(ISNUMBER(F1118))),"",MAX(0,E1118)*F1118))</f>
        <v/>
      </c>
      <c r="I1118" s="46" t="str">
        <f aca="false">IF($A1118="","",SUMIF($A$2:$A$5001,$A1118,$H$2:$H$5001))</f>
        <v/>
      </c>
      <c r="J1118" s="47" t="n">
        <f aca="false">IF($A1118="",0,IF(COUNTIF($A$2:A1118,$A1118)=1,1,0))</f>
        <v>0</v>
      </c>
      <c r="K1118" s="47" t="n">
        <f aca="false">IF(J1118=1,N(I1118)+ROW()/10000000,0)</f>
        <v>0</v>
      </c>
      <c r="L1118" s="47" t="str">
        <f aca="false">IF(AND(J1118=1,N(I1118)&gt;0),SUMIF($K$2:$K$5001,"&gt;="&amp;K1118,$I$2:$I$5001)/MAX(1,SUM($H$2:$H$5001)),"")</f>
        <v/>
      </c>
      <c r="M1118" s="47" t="str">
        <f aca="false">IF($A1118="","",INDEX($L$2:$L$5001,MATCH($A1118,$A$2:$A$5001,0)))</f>
        <v/>
      </c>
      <c r="N1118" s="48" t="str">
        <f aca="false">IF($A1118="","",IF(N(M1118)=0,"–",IF(M1118&lt;=Start!$D$20,"A",IF(M1118&lt;=Start!$D$21,"B","C"))))</f>
        <v/>
      </c>
      <c r="O1118" s="48" t="str">
        <f aca="false">IF($A1118="","",IF(NOT(ISNUMBER(F1118)),"Wert fehlt; ",IF(F1118&lt;=0,"Wert ist 0; ",""))&amp;IF(NOT(ISNUMBER(E1118)),"Bestand fehlt; ",IF(E1118&lt;0,"Bestand negativ; ",IF(E1118=0,"Nullbestand; ","")))&amp;IF(D1118="","Warengruppe fehlt; ","")&amp;IF(B1118="","Bezeichnung fehlt; ","")&amp;IF(COUNTIFS($A$2:$A$5001,$A1118,$C$2:$C$5001,C1118)&gt;1,"Artikel doppelt im selben Lager; ",""))</f>
        <v/>
      </c>
      <c r="P1118" s="47" t="n">
        <f aca="false">IF(OR($A1118="",D1118=""),0,IF(COUNTIF($D$2:D1118,D1118)=1,SUMIF($D$2:$D$5001,D1118,$H$2:$H$5001)+ROW()/10000000,0))</f>
        <v>0</v>
      </c>
      <c r="Q1118" s="47" t="n">
        <f aca="false">IF(OR($A1118="",C1118=""),0,IF(COUNTIF($C$2:C1118,C1118)=1,SUMIF($C$2:$C$5001,C1118,$H$2:$H$5001)+ROW()/10000000,0))</f>
        <v>0</v>
      </c>
    </row>
    <row r="1119" customFormat="false" ht="15" hidden="false" customHeight="false" outlineLevel="0" collapsed="false">
      <c r="A1119" s="43"/>
      <c r="B1119" s="44"/>
      <c r="C1119" s="44"/>
      <c r="D1119" s="44"/>
      <c r="E1119" s="44"/>
      <c r="F1119" s="44"/>
      <c r="G1119" s="44"/>
      <c r="H1119" s="46" t="str">
        <f aca="false">IF($A1119="","",IF(OR(NOT(ISNUMBER(E1119)),NOT(ISNUMBER(F1119))),"",MAX(0,E1119)*F1119))</f>
        <v/>
      </c>
      <c r="I1119" s="46" t="str">
        <f aca="false">IF($A1119="","",SUMIF($A$2:$A$5001,$A1119,$H$2:$H$5001))</f>
        <v/>
      </c>
      <c r="J1119" s="47" t="n">
        <f aca="false">IF($A1119="",0,IF(COUNTIF($A$2:A1119,$A1119)=1,1,0))</f>
        <v>0</v>
      </c>
      <c r="K1119" s="47" t="n">
        <f aca="false">IF(J1119=1,N(I1119)+ROW()/10000000,0)</f>
        <v>0</v>
      </c>
      <c r="L1119" s="47" t="str">
        <f aca="false">IF(AND(J1119=1,N(I1119)&gt;0),SUMIF($K$2:$K$5001,"&gt;="&amp;K1119,$I$2:$I$5001)/MAX(1,SUM($H$2:$H$5001)),"")</f>
        <v/>
      </c>
      <c r="M1119" s="47" t="str">
        <f aca="false">IF($A1119="","",INDEX($L$2:$L$5001,MATCH($A1119,$A$2:$A$5001,0)))</f>
        <v/>
      </c>
      <c r="N1119" s="48" t="str">
        <f aca="false">IF($A1119="","",IF(N(M1119)=0,"–",IF(M1119&lt;=Start!$D$20,"A",IF(M1119&lt;=Start!$D$21,"B","C"))))</f>
        <v/>
      </c>
      <c r="O1119" s="48" t="str">
        <f aca="false">IF($A1119="","",IF(NOT(ISNUMBER(F1119)),"Wert fehlt; ",IF(F1119&lt;=0,"Wert ist 0; ",""))&amp;IF(NOT(ISNUMBER(E1119)),"Bestand fehlt; ",IF(E1119&lt;0,"Bestand negativ; ",IF(E1119=0,"Nullbestand; ","")))&amp;IF(D1119="","Warengruppe fehlt; ","")&amp;IF(B1119="","Bezeichnung fehlt; ","")&amp;IF(COUNTIFS($A$2:$A$5001,$A1119,$C$2:$C$5001,C1119)&gt;1,"Artikel doppelt im selben Lager; ",""))</f>
        <v/>
      </c>
      <c r="P1119" s="47" t="n">
        <f aca="false">IF(OR($A1119="",D1119=""),0,IF(COUNTIF($D$2:D1119,D1119)=1,SUMIF($D$2:$D$5001,D1119,$H$2:$H$5001)+ROW()/10000000,0))</f>
        <v>0</v>
      </c>
      <c r="Q1119" s="47" t="n">
        <f aca="false">IF(OR($A1119="",C1119=""),0,IF(COUNTIF($C$2:C1119,C1119)=1,SUMIF($C$2:$C$5001,C1119,$H$2:$H$5001)+ROW()/10000000,0))</f>
        <v>0</v>
      </c>
    </row>
    <row r="1120" customFormat="false" ht="15" hidden="false" customHeight="false" outlineLevel="0" collapsed="false">
      <c r="A1120" s="43"/>
      <c r="B1120" s="44"/>
      <c r="C1120" s="44"/>
      <c r="D1120" s="44"/>
      <c r="E1120" s="44"/>
      <c r="F1120" s="44"/>
      <c r="G1120" s="44"/>
      <c r="H1120" s="46" t="str">
        <f aca="false">IF($A1120="","",IF(OR(NOT(ISNUMBER(E1120)),NOT(ISNUMBER(F1120))),"",MAX(0,E1120)*F1120))</f>
        <v/>
      </c>
      <c r="I1120" s="46" t="str">
        <f aca="false">IF($A1120="","",SUMIF($A$2:$A$5001,$A1120,$H$2:$H$5001))</f>
        <v/>
      </c>
      <c r="J1120" s="47" t="n">
        <f aca="false">IF($A1120="",0,IF(COUNTIF($A$2:A1120,$A1120)=1,1,0))</f>
        <v>0</v>
      </c>
      <c r="K1120" s="47" t="n">
        <f aca="false">IF(J1120=1,N(I1120)+ROW()/10000000,0)</f>
        <v>0</v>
      </c>
      <c r="L1120" s="47" t="str">
        <f aca="false">IF(AND(J1120=1,N(I1120)&gt;0),SUMIF($K$2:$K$5001,"&gt;="&amp;K1120,$I$2:$I$5001)/MAX(1,SUM($H$2:$H$5001)),"")</f>
        <v/>
      </c>
      <c r="M1120" s="47" t="str">
        <f aca="false">IF($A1120="","",INDEX($L$2:$L$5001,MATCH($A1120,$A$2:$A$5001,0)))</f>
        <v/>
      </c>
      <c r="N1120" s="48" t="str">
        <f aca="false">IF($A1120="","",IF(N(M1120)=0,"–",IF(M1120&lt;=Start!$D$20,"A",IF(M1120&lt;=Start!$D$21,"B","C"))))</f>
        <v/>
      </c>
      <c r="O1120" s="48" t="str">
        <f aca="false">IF($A1120="","",IF(NOT(ISNUMBER(F1120)),"Wert fehlt; ",IF(F1120&lt;=0,"Wert ist 0; ",""))&amp;IF(NOT(ISNUMBER(E1120)),"Bestand fehlt; ",IF(E1120&lt;0,"Bestand negativ; ",IF(E1120=0,"Nullbestand; ","")))&amp;IF(D1120="","Warengruppe fehlt; ","")&amp;IF(B1120="","Bezeichnung fehlt; ","")&amp;IF(COUNTIFS($A$2:$A$5001,$A1120,$C$2:$C$5001,C1120)&gt;1,"Artikel doppelt im selben Lager; ",""))</f>
        <v/>
      </c>
      <c r="P1120" s="47" t="n">
        <f aca="false">IF(OR($A1120="",D1120=""),0,IF(COUNTIF($D$2:D1120,D1120)=1,SUMIF($D$2:$D$5001,D1120,$H$2:$H$5001)+ROW()/10000000,0))</f>
        <v>0</v>
      </c>
      <c r="Q1120" s="47" t="n">
        <f aca="false">IF(OR($A1120="",C1120=""),0,IF(COUNTIF($C$2:C1120,C1120)=1,SUMIF($C$2:$C$5001,C1120,$H$2:$H$5001)+ROW()/10000000,0))</f>
        <v>0</v>
      </c>
    </row>
    <row r="1121" customFormat="false" ht="15" hidden="false" customHeight="false" outlineLevel="0" collapsed="false">
      <c r="A1121" s="43"/>
      <c r="B1121" s="44"/>
      <c r="C1121" s="44"/>
      <c r="D1121" s="44"/>
      <c r="E1121" s="44"/>
      <c r="F1121" s="44"/>
      <c r="G1121" s="44"/>
      <c r="H1121" s="46" t="str">
        <f aca="false">IF($A1121="","",IF(OR(NOT(ISNUMBER(E1121)),NOT(ISNUMBER(F1121))),"",MAX(0,E1121)*F1121))</f>
        <v/>
      </c>
      <c r="I1121" s="46" t="str">
        <f aca="false">IF($A1121="","",SUMIF($A$2:$A$5001,$A1121,$H$2:$H$5001))</f>
        <v/>
      </c>
      <c r="J1121" s="47" t="n">
        <f aca="false">IF($A1121="",0,IF(COUNTIF($A$2:A1121,$A1121)=1,1,0))</f>
        <v>0</v>
      </c>
      <c r="K1121" s="47" t="n">
        <f aca="false">IF(J1121=1,N(I1121)+ROW()/10000000,0)</f>
        <v>0</v>
      </c>
      <c r="L1121" s="47" t="str">
        <f aca="false">IF(AND(J1121=1,N(I1121)&gt;0),SUMIF($K$2:$K$5001,"&gt;="&amp;K1121,$I$2:$I$5001)/MAX(1,SUM($H$2:$H$5001)),"")</f>
        <v/>
      </c>
      <c r="M1121" s="47" t="str">
        <f aca="false">IF($A1121="","",INDEX($L$2:$L$5001,MATCH($A1121,$A$2:$A$5001,0)))</f>
        <v/>
      </c>
      <c r="N1121" s="48" t="str">
        <f aca="false">IF($A1121="","",IF(N(M1121)=0,"–",IF(M1121&lt;=Start!$D$20,"A",IF(M1121&lt;=Start!$D$21,"B","C"))))</f>
        <v/>
      </c>
      <c r="O1121" s="48" t="str">
        <f aca="false">IF($A1121="","",IF(NOT(ISNUMBER(F1121)),"Wert fehlt; ",IF(F1121&lt;=0,"Wert ist 0; ",""))&amp;IF(NOT(ISNUMBER(E1121)),"Bestand fehlt; ",IF(E1121&lt;0,"Bestand negativ; ",IF(E1121=0,"Nullbestand; ","")))&amp;IF(D1121="","Warengruppe fehlt; ","")&amp;IF(B1121="","Bezeichnung fehlt; ","")&amp;IF(COUNTIFS($A$2:$A$5001,$A1121,$C$2:$C$5001,C1121)&gt;1,"Artikel doppelt im selben Lager; ",""))</f>
        <v/>
      </c>
      <c r="P1121" s="47" t="n">
        <f aca="false">IF(OR($A1121="",D1121=""),0,IF(COUNTIF($D$2:D1121,D1121)=1,SUMIF($D$2:$D$5001,D1121,$H$2:$H$5001)+ROW()/10000000,0))</f>
        <v>0</v>
      </c>
      <c r="Q1121" s="47" t="n">
        <f aca="false">IF(OR($A1121="",C1121=""),0,IF(COUNTIF($C$2:C1121,C1121)=1,SUMIF($C$2:$C$5001,C1121,$H$2:$H$5001)+ROW()/10000000,0))</f>
        <v>0</v>
      </c>
    </row>
    <row r="1122" customFormat="false" ht="15" hidden="false" customHeight="false" outlineLevel="0" collapsed="false">
      <c r="A1122" s="43"/>
      <c r="B1122" s="44"/>
      <c r="C1122" s="44"/>
      <c r="D1122" s="44"/>
      <c r="E1122" s="44"/>
      <c r="F1122" s="44"/>
      <c r="G1122" s="44"/>
      <c r="H1122" s="46" t="str">
        <f aca="false">IF($A1122="","",IF(OR(NOT(ISNUMBER(E1122)),NOT(ISNUMBER(F1122))),"",MAX(0,E1122)*F1122))</f>
        <v/>
      </c>
      <c r="I1122" s="46" t="str">
        <f aca="false">IF($A1122="","",SUMIF($A$2:$A$5001,$A1122,$H$2:$H$5001))</f>
        <v/>
      </c>
      <c r="J1122" s="47" t="n">
        <f aca="false">IF($A1122="",0,IF(COUNTIF($A$2:A1122,$A1122)=1,1,0))</f>
        <v>0</v>
      </c>
      <c r="K1122" s="47" t="n">
        <f aca="false">IF(J1122=1,N(I1122)+ROW()/10000000,0)</f>
        <v>0</v>
      </c>
      <c r="L1122" s="47" t="str">
        <f aca="false">IF(AND(J1122=1,N(I1122)&gt;0),SUMIF($K$2:$K$5001,"&gt;="&amp;K1122,$I$2:$I$5001)/MAX(1,SUM($H$2:$H$5001)),"")</f>
        <v/>
      </c>
      <c r="M1122" s="47" t="str">
        <f aca="false">IF($A1122="","",INDEX($L$2:$L$5001,MATCH($A1122,$A$2:$A$5001,0)))</f>
        <v/>
      </c>
      <c r="N1122" s="48" t="str">
        <f aca="false">IF($A1122="","",IF(N(M1122)=0,"–",IF(M1122&lt;=Start!$D$20,"A",IF(M1122&lt;=Start!$D$21,"B","C"))))</f>
        <v/>
      </c>
      <c r="O1122" s="48" t="str">
        <f aca="false">IF($A1122="","",IF(NOT(ISNUMBER(F1122)),"Wert fehlt; ",IF(F1122&lt;=0,"Wert ist 0; ",""))&amp;IF(NOT(ISNUMBER(E1122)),"Bestand fehlt; ",IF(E1122&lt;0,"Bestand negativ; ",IF(E1122=0,"Nullbestand; ","")))&amp;IF(D1122="","Warengruppe fehlt; ","")&amp;IF(B1122="","Bezeichnung fehlt; ","")&amp;IF(COUNTIFS($A$2:$A$5001,$A1122,$C$2:$C$5001,C1122)&gt;1,"Artikel doppelt im selben Lager; ",""))</f>
        <v/>
      </c>
      <c r="P1122" s="47" t="n">
        <f aca="false">IF(OR($A1122="",D1122=""),0,IF(COUNTIF($D$2:D1122,D1122)=1,SUMIF($D$2:$D$5001,D1122,$H$2:$H$5001)+ROW()/10000000,0))</f>
        <v>0</v>
      </c>
      <c r="Q1122" s="47" t="n">
        <f aca="false">IF(OR($A1122="",C1122=""),0,IF(COUNTIF($C$2:C1122,C1122)=1,SUMIF($C$2:$C$5001,C1122,$H$2:$H$5001)+ROW()/10000000,0))</f>
        <v>0</v>
      </c>
    </row>
    <row r="1123" customFormat="false" ht="15" hidden="false" customHeight="false" outlineLevel="0" collapsed="false">
      <c r="A1123" s="43"/>
      <c r="B1123" s="44"/>
      <c r="C1123" s="44"/>
      <c r="D1123" s="44"/>
      <c r="E1123" s="44"/>
      <c r="F1123" s="44"/>
      <c r="G1123" s="44"/>
      <c r="H1123" s="46" t="str">
        <f aca="false">IF($A1123="","",IF(OR(NOT(ISNUMBER(E1123)),NOT(ISNUMBER(F1123))),"",MAX(0,E1123)*F1123))</f>
        <v/>
      </c>
      <c r="I1123" s="46" t="str">
        <f aca="false">IF($A1123="","",SUMIF($A$2:$A$5001,$A1123,$H$2:$H$5001))</f>
        <v/>
      </c>
      <c r="J1123" s="47" t="n">
        <f aca="false">IF($A1123="",0,IF(COUNTIF($A$2:A1123,$A1123)=1,1,0))</f>
        <v>0</v>
      </c>
      <c r="K1123" s="47" t="n">
        <f aca="false">IF(J1123=1,N(I1123)+ROW()/10000000,0)</f>
        <v>0</v>
      </c>
      <c r="L1123" s="47" t="str">
        <f aca="false">IF(AND(J1123=1,N(I1123)&gt;0),SUMIF($K$2:$K$5001,"&gt;="&amp;K1123,$I$2:$I$5001)/MAX(1,SUM($H$2:$H$5001)),"")</f>
        <v/>
      </c>
      <c r="M1123" s="47" t="str">
        <f aca="false">IF($A1123="","",INDEX($L$2:$L$5001,MATCH($A1123,$A$2:$A$5001,0)))</f>
        <v/>
      </c>
      <c r="N1123" s="48" t="str">
        <f aca="false">IF($A1123="","",IF(N(M1123)=0,"–",IF(M1123&lt;=Start!$D$20,"A",IF(M1123&lt;=Start!$D$21,"B","C"))))</f>
        <v/>
      </c>
      <c r="O1123" s="48" t="str">
        <f aca="false">IF($A1123="","",IF(NOT(ISNUMBER(F1123)),"Wert fehlt; ",IF(F1123&lt;=0,"Wert ist 0; ",""))&amp;IF(NOT(ISNUMBER(E1123)),"Bestand fehlt; ",IF(E1123&lt;0,"Bestand negativ; ",IF(E1123=0,"Nullbestand; ","")))&amp;IF(D1123="","Warengruppe fehlt; ","")&amp;IF(B1123="","Bezeichnung fehlt; ","")&amp;IF(COUNTIFS($A$2:$A$5001,$A1123,$C$2:$C$5001,C1123)&gt;1,"Artikel doppelt im selben Lager; ",""))</f>
        <v/>
      </c>
      <c r="P1123" s="47" t="n">
        <f aca="false">IF(OR($A1123="",D1123=""),0,IF(COUNTIF($D$2:D1123,D1123)=1,SUMIF($D$2:$D$5001,D1123,$H$2:$H$5001)+ROW()/10000000,0))</f>
        <v>0</v>
      </c>
      <c r="Q1123" s="47" t="n">
        <f aca="false">IF(OR($A1123="",C1123=""),0,IF(COUNTIF($C$2:C1123,C1123)=1,SUMIF($C$2:$C$5001,C1123,$H$2:$H$5001)+ROW()/10000000,0))</f>
        <v>0</v>
      </c>
    </row>
    <row r="1124" customFormat="false" ht="15" hidden="false" customHeight="false" outlineLevel="0" collapsed="false">
      <c r="A1124" s="43"/>
      <c r="B1124" s="44"/>
      <c r="C1124" s="44"/>
      <c r="D1124" s="44"/>
      <c r="E1124" s="44"/>
      <c r="F1124" s="44"/>
      <c r="G1124" s="44"/>
      <c r="H1124" s="46" t="str">
        <f aca="false">IF($A1124="","",IF(OR(NOT(ISNUMBER(E1124)),NOT(ISNUMBER(F1124))),"",MAX(0,E1124)*F1124))</f>
        <v/>
      </c>
      <c r="I1124" s="46" t="str">
        <f aca="false">IF($A1124="","",SUMIF($A$2:$A$5001,$A1124,$H$2:$H$5001))</f>
        <v/>
      </c>
      <c r="J1124" s="47" t="n">
        <f aca="false">IF($A1124="",0,IF(COUNTIF($A$2:A1124,$A1124)=1,1,0))</f>
        <v>0</v>
      </c>
      <c r="K1124" s="47" t="n">
        <f aca="false">IF(J1124=1,N(I1124)+ROW()/10000000,0)</f>
        <v>0</v>
      </c>
      <c r="L1124" s="47" t="str">
        <f aca="false">IF(AND(J1124=1,N(I1124)&gt;0),SUMIF($K$2:$K$5001,"&gt;="&amp;K1124,$I$2:$I$5001)/MAX(1,SUM($H$2:$H$5001)),"")</f>
        <v/>
      </c>
      <c r="M1124" s="47" t="str">
        <f aca="false">IF($A1124="","",INDEX($L$2:$L$5001,MATCH($A1124,$A$2:$A$5001,0)))</f>
        <v/>
      </c>
      <c r="N1124" s="48" t="str">
        <f aca="false">IF($A1124="","",IF(N(M1124)=0,"–",IF(M1124&lt;=Start!$D$20,"A",IF(M1124&lt;=Start!$D$21,"B","C"))))</f>
        <v/>
      </c>
      <c r="O1124" s="48" t="str">
        <f aca="false">IF($A1124="","",IF(NOT(ISNUMBER(F1124)),"Wert fehlt; ",IF(F1124&lt;=0,"Wert ist 0; ",""))&amp;IF(NOT(ISNUMBER(E1124)),"Bestand fehlt; ",IF(E1124&lt;0,"Bestand negativ; ",IF(E1124=0,"Nullbestand; ","")))&amp;IF(D1124="","Warengruppe fehlt; ","")&amp;IF(B1124="","Bezeichnung fehlt; ","")&amp;IF(COUNTIFS($A$2:$A$5001,$A1124,$C$2:$C$5001,C1124)&gt;1,"Artikel doppelt im selben Lager; ",""))</f>
        <v/>
      </c>
      <c r="P1124" s="47" t="n">
        <f aca="false">IF(OR($A1124="",D1124=""),0,IF(COUNTIF($D$2:D1124,D1124)=1,SUMIF($D$2:$D$5001,D1124,$H$2:$H$5001)+ROW()/10000000,0))</f>
        <v>0</v>
      </c>
      <c r="Q1124" s="47" t="n">
        <f aca="false">IF(OR($A1124="",C1124=""),0,IF(COUNTIF($C$2:C1124,C1124)=1,SUMIF($C$2:$C$5001,C1124,$H$2:$H$5001)+ROW()/10000000,0))</f>
        <v>0</v>
      </c>
    </row>
    <row r="1125" customFormat="false" ht="15" hidden="false" customHeight="false" outlineLevel="0" collapsed="false">
      <c r="A1125" s="43"/>
      <c r="B1125" s="44"/>
      <c r="C1125" s="44"/>
      <c r="D1125" s="44"/>
      <c r="E1125" s="44"/>
      <c r="F1125" s="44"/>
      <c r="G1125" s="44"/>
      <c r="H1125" s="46" t="str">
        <f aca="false">IF($A1125="","",IF(OR(NOT(ISNUMBER(E1125)),NOT(ISNUMBER(F1125))),"",MAX(0,E1125)*F1125))</f>
        <v/>
      </c>
      <c r="I1125" s="46" t="str">
        <f aca="false">IF($A1125="","",SUMIF($A$2:$A$5001,$A1125,$H$2:$H$5001))</f>
        <v/>
      </c>
      <c r="J1125" s="47" t="n">
        <f aca="false">IF($A1125="",0,IF(COUNTIF($A$2:A1125,$A1125)=1,1,0))</f>
        <v>0</v>
      </c>
      <c r="K1125" s="47" t="n">
        <f aca="false">IF(J1125=1,N(I1125)+ROW()/10000000,0)</f>
        <v>0</v>
      </c>
      <c r="L1125" s="47" t="str">
        <f aca="false">IF(AND(J1125=1,N(I1125)&gt;0),SUMIF($K$2:$K$5001,"&gt;="&amp;K1125,$I$2:$I$5001)/MAX(1,SUM($H$2:$H$5001)),"")</f>
        <v/>
      </c>
      <c r="M1125" s="47" t="str">
        <f aca="false">IF($A1125="","",INDEX($L$2:$L$5001,MATCH($A1125,$A$2:$A$5001,0)))</f>
        <v/>
      </c>
      <c r="N1125" s="48" t="str">
        <f aca="false">IF($A1125="","",IF(N(M1125)=0,"–",IF(M1125&lt;=Start!$D$20,"A",IF(M1125&lt;=Start!$D$21,"B","C"))))</f>
        <v/>
      </c>
      <c r="O1125" s="48" t="str">
        <f aca="false">IF($A1125="","",IF(NOT(ISNUMBER(F1125)),"Wert fehlt; ",IF(F1125&lt;=0,"Wert ist 0; ",""))&amp;IF(NOT(ISNUMBER(E1125)),"Bestand fehlt; ",IF(E1125&lt;0,"Bestand negativ; ",IF(E1125=0,"Nullbestand; ","")))&amp;IF(D1125="","Warengruppe fehlt; ","")&amp;IF(B1125="","Bezeichnung fehlt; ","")&amp;IF(COUNTIFS($A$2:$A$5001,$A1125,$C$2:$C$5001,C1125)&gt;1,"Artikel doppelt im selben Lager; ",""))</f>
        <v/>
      </c>
      <c r="P1125" s="47" t="n">
        <f aca="false">IF(OR($A1125="",D1125=""),0,IF(COUNTIF($D$2:D1125,D1125)=1,SUMIF($D$2:$D$5001,D1125,$H$2:$H$5001)+ROW()/10000000,0))</f>
        <v>0</v>
      </c>
      <c r="Q1125" s="47" t="n">
        <f aca="false">IF(OR($A1125="",C1125=""),0,IF(COUNTIF($C$2:C1125,C1125)=1,SUMIF($C$2:$C$5001,C1125,$H$2:$H$5001)+ROW()/10000000,0))</f>
        <v>0</v>
      </c>
    </row>
    <row r="1126" customFormat="false" ht="15" hidden="false" customHeight="false" outlineLevel="0" collapsed="false">
      <c r="A1126" s="43"/>
      <c r="B1126" s="44"/>
      <c r="C1126" s="44"/>
      <c r="D1126" s="44"/>
      <c r="E1126" s="44"/>
      <c r="F1126" s="44"/>
      <c r="G1126" s="44"/>
      <c r="H1126" s="46" t="str">
        <f aca="false">IF($A1126="","",IF(OR(NOT(ISNUMBER(E1126)),NOT(ISNUMBER(F1126))),"",MAX(0,E1126)*F1126))</f>
        <v/>
      </c>
      <c r="I1126" s="46" t="str">
        <f aca="false">IF($A1126="","",SUMIF($A$2:$A$5001,$A1126,$H$2:$H$5001))</f>
        <v/>
      </c>
      <c r="J1126" s="47" t="n">
        <f aca="false">IF($A1126="",0,IF(COUNTIF($A$2:A1126,$A1126)=1,1,0))</f>
        <v>0</v>
      </c>
      <c r="K1126" s="47" t="n">
        <f aca="false">IF(J1126=1,N(I1126)+ROW()/10000000,0)</f>
        <v>0</v>
      </c>
      <c r="L1126" s="47" t="str">
        <f aca="false">IF(AND(J1126=1,N(I1126)&gt;0),SUMIF($K$2:$K$5001,"&gt;="&amp;K1126,$I$2:$I$5001)/MAX(1,SUM($H$2:$H$5001)),"")</f>
        <v/>
      </c>
      <c r="M1126" s="47" t="str">
        <f aca="false">IF($A1126="","",INDEX($L$2:$L$5001,MATCH($A1126,$A$2:$A$5001,0)))</f>
        <v/>
      </c>
      <c r="N1126" s="48" t="str">
        <f aca="false">IF($A1126="","",IF(N(M1126)=0,"–",IF(M1126&lt;=Start!$D$20,"A",IF(M1126&lt;=Start!$D$21,"B","C"))))</f>
        <v/>
      </c>
      <c r="O1126" s="48" t="str">
        <f aca="false">IF($A1126="","",IF(NOT(ISNUMBER(F1126)),"Wert fehlt; ",IF(F1126&lt;=0,"Wert ist 0; ",""))&amp;IF(NOT(ISNUMBER(E1126)),"Bestand fehlt; ",IF(E1126&lt;0,"Bestand negativ; ",IF(E1126=0,"Nullbestand; ","")))&amp;IF(D1126="","Warengruppe fehlt; ","")&amp;IF(B1126="","Bezeichnung fehlt; ","")&amp;IF(COUNTIFS($A$2:$A$5001,$A1126,$C$2:$C$5001,C1126)&gt;1,"Artikel doppelt im selben Lager; ",""))</f>
        <v/>
      </c>
      <c r="P1126" s="47" t="n">
        <f aca="false">IF(OR($A1126="",D1126=""),0,IF(COUNTIF($D$2:D1126,D1126)=1,SUMIF($D$2:$D$5001,D1126,$H$2:$H$5001)+ROW()/10000000,0))</f>
        <v>0</v>
      </c>
      <c r="Q1126" s="47" t="n">
        <f aca="false">IF(OR($A1126="",C1126=""),0,IF(COUNTIF($C$2:C1126,C1126)=1,SUMIF($C$2:$C$5001,C1126,$H$2:$H$5001)+ROW()/10000000,0))</f>
        <v>0</v>
      </c>
    </row>
    <row r="1127" customFormat="false" ht="15" hidden="false" customHeight="false" outlineLevel="0" collapsed="false">
      <c r="A1127" s="43"/>
      <c r="B1127" s="44"/>
      <c r="C1127" s="44"/>
      <c r="D1127" s="44"/>
      <c r="E1127" s="44"/>
      <c r="F1127" s="44"/>
      <c r="G1127" s="44"/>
      <c r="H1127" s="46" t="str">
        <f aca="false">IF($A1127="","",IF(OR(NOT(ISNUMBER(E1127)),NOT(ISNUMBER(F1127))),"",MAX(0,E1127)*F1127))</f>
        <v/>
      </c>
      <c r="I1127" s="46" t="str">
        <f aca="false">IF($A1127="","",SUMIF($A$2:$A$5001,$A1127,$H$2:$H$5001))</f>
        <v/>
      </c>
      <c r="J1127" s="47" t="n">
        <f aca="false">IF($A1127="",0,IF(COUNTIF($A$2:A1127,$A1127)=1,1,0))</f>
        <v>0</v>
      </c>
      <c r="K1127" s="47" t="n">
        <f aca="false">IF(J1127=1,N(I1127)+ROW()/10000000,0)</f>
        <v>0</v>
      </c>
      <c r="L1127" s="47" t="str">
        <f aca="false">IF(AND(J1127=1,N(I1127)&gt;0),SUMIF($K$2:$K$5001,"&gt;="&amp;K1127,$I$2:$I$5001)/MAX(1,SUM($H$2:$H$5001)),"")</f>
        <v/>
      </c>
      <c r="M1127" s="47" t="str">
        <f aca="false">IF($A1127="","",INDEX($L$2:$L$5001,MATCH($A1127,$A$2:$A$5001,0)))</f>
        <v/>
      </c>
      <c r="N1127" s="48" t="str">
        <f aca="false">IF($A1127="","",IF(N(M1127)=0,"–",IF(M1127&lt;=Start!$D$20,"A",IF(M1127&lt;=Start!$D$21,"B","C"))))</f>
        <v/>
      </c>
      <c r="O1127" s="48" t="str">
        <f aca="false">IF($A1127="","",IF(NOT(ISNUMBER(F1127)),"Wert fehlt; ",IF(F1127&lt;=0,"Wert ist 0; ",""))&amp;IF(NOT(ISNUMBER(E1127)),"Bestand fehlt; ",IF(E1127&lt;0,"Bestand negativ; ",IF(E1127=0,"Nullbestand; ","")))&amp;IF(D1127="","Warengruppe fehlt; ","")&amp;IF(B1127="","Bezeichnung fehlt; ","")&amp;IF(COUNTIFS($A$2:$A$5001,$A1127,$C$2:$C$5001,C1127)&gt;1,"Artikel doppelt im selben Lager; ",""))</f>
        <v/>
      </c>
      <c r="P1127" s="47" t="n">
        <f aca="false">IF(OR($A1127="",D1127=""),0,IF(COUNTIF($D$2:D1127,D1127)=1,SUMIF($D$2:$D$5001,D1127,$H$2:$H$5001)+ROW()/10000000,0))</f>
        <v>0</v>
      </c>
      <c r="Q1127" s="47" t="n">
        <f aca="false">IF(OR($A1127="",C1127=""),0,IF(COUNTIF($C$2:C1127,C1127)=1,SUMIF($C$2:$C$5001,C1127,$H$2:$H$5001)+ROW()/10000000,0))</f>
        <v>0</v>
      </c>
    </row>
    <row r="1128" customFormat="false" ht="15" hidden="false" customHeight="false" outlineLevel="0" collapsed="false">
      <c r="A1128" s="43"/>
      <c r="B1128" s="44"/>
      <c r="C1128" s="44"/>
      <c r="D1128" s="44"/>
      <c r="E1128" s="44"/>
      <c r="F1128" s="44"/>
      <c r="G1128" s="44"/>
      <c r="H1128" s="46" t="str">
        <f aca="false">IF($A1128="","",IF(OR(NOT(ISNUMBER(E1128)),NOT(ISNUMBER(F1128))),"",MAX(0,E1128)*F1128))</f>
        <v/>
      </c>
      <c r="I1128" s="46" t="str">
        <f aca="false">IF($A1128="","",SUMIF($A$2:$A$5001,$A1128,$H$2:$H$5001))</f>
        <v/>
      </c>
      <c r="J1128" s="47" t="n">
        <f aca="false">IF($A1128="",0,IF(COUNTIF($A$2:A1128,$A1128)=1,1,0))</f>
        <v>0</v>
      </c>
      <c r="K1128" s="47" t="n">
        <f aca="false">IF(J1128=1,N(I1128)+ROW()/10000000,0)</f>
        <v>0</v>
      </c>
      <c r="L1128" s="47" t="str">
        <f aca="false">IF(AND(J1128=1,N(I1128)&gt;0),SUMIF($K$2:$K$5001,"&gt;="&amp;K1128,$I$2:$I$5001)/MAX(1,SUM($H$2:$H$5001)),"")</f>
        <v/>
      </c>
      <c r="M1128" s="47" t="str">
        <f aca="false">IF($A1128="","",INDEX($L$2:$L$5001,MATCH($A1128,$A$2:$A$5001,0)))</f>
        <v/>
      </c>
      <c r="N1128" s="48" t="str">
        <f aca="false">IF($A1128="","",IF(N(M1128)=0,"–",IF(M1128&lt;=Start!$D$20,"A",IF(M1128&lt;=Start!$D$21,"B","C"))))</f>
        <v/>
      </c>
      <c r="O1128" s="48" t="str">
        <f aca="false">IF($A1128="","",IF(NOT(ISNUMBER(F1128)),"Wert fehlt; ",IF(F1128&lt;=0,"Wert ist 0; ",""))&amp;IF(NOT(ISNUMBER(E1128)),"Bestand fehlt; ",IF(E1128&lt;0,"Bestand negativ; ",IF(E1128=0,"Nullbestand; ","")))&amp;IF(D1128="","Warengruppe fehlt; ","")&amp;IF(B1128="","Bezeichnung fehlt; ","")&amp;IF(COUNTIFS($A$2:$A$5001,$A1128,$C$2:$C$5001,C1128)&gt;1,"Artikel doppelt im selben Lager; ",""))</f>
        <v/>
      </c>
      <c r="P1128" s="47" t="n">
        <f aca="false">IF(OR($A1128="",D1128=""),0,IF(COUNTIF($D$2:D1128,D1128)=1,SUMIF($D$2:$D$5001,D1128,$H$2:$H$5001)+ROW()/10000000,0))</f>
        <v>0</v>
      </c>
      <c r="Q1128" s="47" t="n">
        <f aca="false">IF(OR($A1128="",C1128=""),0,IF(COUNTIF($C$2:C1128,C1128)=1,SUMIF($C$2:$C$5001,C1128,$H$2:$H$5001)+ROW()/10000000,0))</f>
        <v>0</v>
      </c>
    </row>
    <row r="1129" customFormat="false" ht="15" hidden="false" customHeight="false" outlineLevel="0" collapsed="false">
      <c r="A1129" s="43"/>
      <c r="B1129" s="44"/>
      <c r="C1129" s="44"/>
      <c r="D1129" s="44"/>
      <c r="E1129" s="44"/>
      <c r="F1129" s="44"/>
      <c r="G1129" s="44"/>
      <c r="H1129" s="46" t="str">
        <f aca="false">IF($A1129="","",IF(OR(NOT(ISNUMBER(E1129)),NOT(ISNUMBER(F1129))),"",MAX(0,E1129)*F1129))</f>
        <v/>
      </c>
      <c r="I1129" s="46" t="str">
        <f aca="false">IF($A1129="","",SUMIF($A$2:$A$5001,$A1129,$H$2:$H$5001))</f>
        <v/>
      </c>
      <c r="J1129" s="47" t="n">
        <f aca="false">IF($A1129="",0,IF(COUNTIF($A$2:A1129,$A1129)=1,1,0))</f>
        <v>0</v>
      </c>
      <c r="K1129" s="47" t="n">
        <f aca="false">IF(J1129=1,N(I1129)+ROW()/10000000,0)</f>
        <v>0</v>
      </c>
      <c r="L1129" s="47" t="str">
        <f aca="false">IF(AND(J1129=1,N(I1129)&gt;0),SUMIF($K$2:$K$5001,"&gt;="&amp;K1129,$I$2:$I$5001)/MAX(1,SUM($H$2:$H$5001)),"")</f>
        <v/>
      </c>
      <c r="M1129" s="47" t="str">
        <f aca="false">IF($A1129="","",INDEX($L$2:$L$5001,MATCH($A1129,$A$2:$A$5001,0)))</f>
        <v/>
      </c>
      <c r="N1129" s="48" t="str">
        <f aca="false">IF($A1129="","",IF(N(M1129)=0,"–",IF(M1129&lt;=Start!$D$20,"A",IF(M1129&lt;=Start!$D$21,"B","C"))))</f>
        <v/>
      </c>
      <c r="O1129" s="48" t="str">
        <f aca="false">IF($A1129="","",IF(NOT(ISNUMBER(F1129)),"Wert fehlt; ",IF(F1129&lt;=0,"Wert ist 0; ",""))&amp;IF(NOT(ISNUMBER(E1129)),"Bestand fehlt; ",IF(E1129&lt;0,"Bestand negativ; ",IF(E1129=0,"Nullbestand; ","")))&amp;IF(D1129="","Warengruppe fehlt; ","")&amp;IF(B1129="","Bezeichnung fehlt; ","")&amp;IF(COUNTIFS($A$2:$A$5001,$A1129,$C$2:$C$5001,C1129)&gt;1,"Artikel doppelt im selben Lager; ",""))</f>
        <v/>
      </c>
      <c r="P1129" s="47" t="n">
        <f aca="false">IF(OR($A1129="",D1129=""),0,IF(COUNTIF($D$2:D1129,D1129)=1,SUMIF($D$2:$D$5001,D1129,$H$2:$H$5001)+ROW()/10000000,0))</f>
        <v>0</v>
      </c>
      <c r="Q1129" s="47" t="n">
        <f aca="false">IF(OR($A1129="",C1129=""),0,IF(COUNTIF($C$2:C1129,C1129)=1,SUMIF($C$2:$C$5001,C1129,$H$2:$H$5001)+ROW()/10000000,0))</f>
        <v>0</v>
      </c>
    </row>
    <row r="1130" customFormat="false" ht="15" hidden="false" customHeight="false" outlineLevel="0" collapsed="false">
      <c r="A1130" s="43"/>
      <c r="B1130" s="44"/>
      <c r="C1130" s="44"/>
      <c r="D1130" s="44"/>
      <c r="E1130" s="44"/>
      <c r="F1130" s="44"/>
      <c r="G1130" s="44"/>
      <c r="H1130" s="46" t="str">
        <f aca="false">IF($A1130="","",IF(OR(NOT(ISNUMBER(E1130)),NOT(ISNUMBER(F1130))),"",MAX(0,E1130)*F1130))</f>
        <v/>
      </c>
      <c r="I1130" s="46" t="str">
        <f aca="false">IF($A1130="","",SUMIF($A$2:$A$5001,$A1130,$H$2:$H$5001))</f>
        <v/>
      </c>
      <c r="J1130" s="47" t="n">
        <f aca="false">IF($A1130="",0,IF(COUNTIF($A$2:A1130,$A1130)=1,1,0))</f>
        <v>0</v>
      </c>
      <c r="K1130" s="47" t="n">
        <f aca="false">IF(J1130=1,N(I1130)+ROW()/10000000,0)</f>
        <v>0</v>
      </c>
      <c r="L1130" s="47" t="str">
        <f aca="false">IF(AND(J1130=1,N(I1130)&gt;0),SUMIF($K$2:$K$5001,"&gt;="&amp;K1130,$I$2:$I$5001)/MAX(1,SUM($H$2:$H$5001)),"")</f>
        <v/>
      </c>
      <c r="M1130" s="47" t="str">
        <f aca="false">IF($A1130="","",INDEX($L$2:$L$5001,MATCH($A1130,$A$2:$A$5001,0)))</f>
        <v/>
      </c>
      <c r="N1130" s="48" t="str">
        <f aca="false">IF($A1130="","",IF(N(M1130)=0,"–",IF(M1130&lt;=Start!$D$20,"A",IF(M1130&lt;=Start!$D$21,"B","C"))))</f>
        <v/>
      </c>
      <c r="O1130" s="48" t="str">
        <f aca="false">IF($A1130="","",IF(NOT(ISNUMBER(F1130)),"Wert fehlt; ",IF(F1130&lt;=0,"Wert ist 0; ",""))&amp;IF(NOT(ISNUMBER(E1130)),"Bestand fehlt; ",IF(E1130&lt;0,"Bestand negativ; ",IF(E1130=0,"Nullbestand; ","")))&amp;IF(D1130="","Warengruppe fehlt; ","")&amp;IF(B1130="","Bezeichnung fehlt; ","")&amp;IF(COUNTIFS($A$2:$A$5001,$A1130,$C$2:$C$5001,C1130)&gt;1,"Artikel doppelt im selben Lager; ",""))</f>
        <v/>
      </c>
      <c r="P1130" s="47" t="n">
        <f aca="false">IF(OR($A1130="",D1130=""),0,IF(COUNTIF($D$2:D1130,D1130)=1,SUMIF($D$2:$D$5001,D1130,$H$2:$H$5001)+ROW()/10000000,0))</f>
        <v>0</v>
      </c>
      <c r="Q1130" s="47" t="n">
        <f aca="false">IF(OR($A1130="",C1130=""),0,IF(COUNTIF($C$2:C1130,C1130)=1,SUMIF($C$2:$C$5001,C1130,$H$2:$H$5001)+ROW()/10000000,0))</f>
        <v>0</v>
      </c>
    </row>
    <row r="1131" customFormat="false" ht="15" hidden="false" customHeight="false" outlineLevel="0" collapsed="false">
      <c r="A1131" s="43"/>
      <c r="B1131" s="44"/>
      <c r="C1131" s="44"/>
      <c r="D1131" s="44"/>
      <c r="E1131" s="44"/>
      <c r="F1131" s="44"/>
      <c r="G1131" s="44"/>
      <c r="H1131" s="46" t="str">
        <f aca="false">IF($A1131="","",IF(OR(NOT(ISNUMBER(E1131)),NOT(ISNUMBER(F1131))),"",MAX(0,E1131)*F1131))</f>
        <v/>
      </c>
      <c r="I1131" s="46" t="str">
        <f aca="false">IF($A1131="","",SUMIF($A$2:$A$5001,$A1131,$H$2:$H$5001))</f>
        <v/>
      </c>
      <c r="J1131" s="47" t="n">
        <f aca="false">IF($A1131="",0,IF(COUNTIF($A$2:A1131,$A1131)=1,1,0))</f>
        <v>0</v>
      </c>
      <c r="K1131" s="47" t="n">
        <f aca="false">IF(J1131=1,N(I1131)+ROW()/10000000,0)</f>
        <v>0</v>
      </c>
      <c r="L1131" s="47" t="str">
        <f aca="false">IF(AND(J1131=1,N(I1131)&gt;0),SUMIF($K$2:$K$5001,"&gt;="&amp;K1131,$I$2:$I$5001)/MAX(1,SUM($H$2:$H$5001)),"")</f>
        <v/>
      </c>
      <c r="M1131" s="47" t="str">
        <f aca="false">IF($A1131="","",INDEX($L$2:$L$5001,MATCH($A1131,$A$2:$A$5001,0)))</f>
        <v/>
      </c>
      <c r="N1131" s="48" t="str">
        <f aca="false">IF($A1131="","",IF(N(M1131)=0,"–",IF(M1131&lt;=Start!$D$20,"A",IF(M1131&lt;=Start!$D$21,"B","C"))))</f>
        <v/>
      </c>
      <c r="O1131" s="48" t="str">
        <f aca="false">IF($A1131="","",IF(NOT(ISNUMBER(F1131)),"Wert fehlt; ",IF(F1131&lt;=0,"Wert ist 0; ",""))&amp;IF(NOT(ISNUMBER(E1131)),"Bestand fehlt; ",IF(E1131&lt;0,"Bestand negativ; ",IF(E1131=0,"Nullbestand; ","")))&amp;IF(D1131="","Warengruppe fehlt; ","")&amp;IF(B1131="","Bezeichnung fehlt; ","")&amp;IF(COUNTIFS($A$2:$A$5001,$A1131,$C$2:$C$5001,C1131)&gt;1,"Artikel doppelt im selben Lager; ",""))</f>
        <v/>
      </c>
      <c r="P1131" s="47" t="n">
        <f aca="false">IF(OR($A1131="",D1131=""),0,IF(COUNTIF($D$2:D1131,D1131)=1,SUMIF($D$2:$D$5001,D1131,$H$2:$H$5001)+ROW()/10000000,0))</f>
        <v>0</v>
      </c>
      <c r="Q1131" s="47" t="n">
        <f aca="false">IF(OR($A1131="",C1131=""),0,IF(COUNTIF($C$2:C1131,C1131)=1,SUMIF($C$2:$C$5001,C1131,$H$2:$H$5001)+ROW()/10000000,0))</f>
        <v>0</v>
      </c>
    </row>
    <row r="1132" customFormat="false" ht="15" hidden="false" customHeight="false" outlineLevel="0" collapsed="false">
      <c r="A1132" s="43"/>
      <c r="B1132" s="44"/>
      <c r="C1132" s="44"/>
      <c r="D1132" s="44"/>
      <c r="E1132" s="44"/>
      <c r="F1132" s="44"/>
      <c r="G1132" s="44"/>
      <c r="H1132" s="46" t="str">
        <f aca="false">IF($A1132="","",IF(OR(NOT(ISNUMBER(E1132)),NOT(ISNUMBER(F1132))),"",MAX(0,E1132)*F1132))</f>
        <v/>
      </c>
      <c r="I1132" s="46" t="str">
        <f aca="false">IF($A1132="","",SUMIF($A$2:$A$5001,$A1132,$H$2:$H$5001))</f>
        <v/>
      </c>
      <c r="J1132" s="47" t="n">
        <f aca="false">IF($A1132="",0,IF(COUNTIF($A$2:A1132,$A1132)=1,1,0))</f>
        <v>0</v>
      </c>
      <c r="K1132" s="47" t="n">
        <f aca="false">IF(J1132=1,N(I1132)+ROW()/10000000,0)</f>
        <v>0</v>
      </c>
      <c r="L1132" s="47" t="str">
        <f aca="false">IF(AND(J1132=1,N(I1132)&gt;0),SUMIF($K$2:$K$5001,"&gt;="&amp;K1132,$I$2:$I$5001)/MAX(1,SUM($H$2:$H$5001)),"")</f>
        <v/>
      </c>
      <c r="M1132" s="47" t="str">
        <f aca="false">IF($A1132="","",INDEX($L$2:$L$5001,MATCH($A1132,$A$2:$A$5001,0)))</f>
        <v/>
      </c>
      <c r="N1132" s="48" t="str">
        <f aca="false">IF($A1132="","",IF(N(M1132)=0,"–",IF(M1132&lt;=Start!$D$20,"A",IF(M1132&lt;=Start!$D$21,"B","C"))))</f>
        <v/>
      </c>
      <c r="O1132" s="48" t="str">
        <f aca="false">IF($A1132="","",IF(NOT(ISNUMBER(F1132)),"Wert fehlt; ",IF(F1132&lt;=0,"Wert ist 0; ",""))&amp;IF(NOT(ISNUMBER(E1132)),"Bestand fehlt; ",IF(E1132&lt;0,"Bestand negativ; ",IF(E1132=0,"Nullbestand; ","")))&amp;IF(D1132="","Warengruppe fehlt; ","")&amp;IF(B1132="","Bezeichnung fehlt; ","")&amp;IF(COUNTIFS($A$2:$A$5001,$A1132,$C$2:$C$5001,C1132)&gt;1,"Artikel doppelt im selben Lager; ",""))</f>
        <v/>
      </c>
      <c r="P1132" s="47" t="n">
        <f aca="false">IF(OR($A1132="",D1132=""),0,IF(COUNTIF($D$2:D1132,D1132)=1,SUMIF($D$2:$D$5001,D1132,$H$2:$H$5001)+ROW()/10000000,0))</f>
        <v>0</v>
      </c>
      <c r="Q1132" s="47" t="n">
        <f aca="false">IF(OR($A1132="",C1132=""),0,IF(COUNTIF($C$2:C1132,C1132)=1,SUMIF($C$2:$C$5001,C1132,$H$2:$H$5001)+ROW()/10000000,0))</f>
        <v>0</v>
      </c>
    </row>
    <row r="1133" customFormat="false" ht="15" hidden="false" customHeight="false" outlineLevel="0" collapsed="false">
      <c r="A1133" s="43"/>
      <c r="B1133" s="44"/>
      <c r="C1133" s="44"/>
      <c r="D1133" s="44"/>
      <c r="E1133" s="44"/>
      <c r="F1133" s="44"/>
      <c r="G1133" s="44"/>
      <c r="H1133" s="46" t="str">
        <f aca="false">IF($A1133="","",IF(OR(NOT(ISNUMBER(E1133)),NOT(ISNUMBER(F1133))),"",MAX(0,E1133)*F1133))</f>
        <v/>
      </c>
      <c r="I1133" s="46" t="str">
        <f aca="false">IF($A1133="","",SUMIF($A$2:$A$5001,$A1133,$H$2:$H$5001))</f>
        <v/>
      </c>
      <c r="J1133" s="47" t="n">
        <f aca="false">IF($A1133="",0,IF(COUNTIF($A$2:A1133,$A1133)=1,1,0))</f>
        <v>0</v>
      </c>
      <c r="K1133" s="47" t="n">
        <f aca="false">IF(J1133=1,N(I1133)+ROW()/10000000,0)</f>
        <v>0</v>
      </c>
      <c r="L1133" s="47" t="str">
        <f aca="false">IF(AND(J1133=1,N(I1133)&gt;0),SUMIF($K$2:$K$5001,"&gt;="&amp;K1133,$I$2:$I$5001)/MAX(1,SUM($H$2:$H$5001)),"")</f>
        <v/>
      </c>
      <c r="M1133" s="47" t="str">
        <f aca="false">IF($A1133="","",INDEX($L$2:$L$5001,MATCH($A1133,$A$2:$A$5001,0)))</f>
        <v/>
      </c>
      <c r="N1133" s="48" t="str">
        <f aca="false">IF($A1133="","",IF(N(M1133)=0,"–",IF(M1133&lt;=Start!$D$20,"A",IF(M1133&lt;=Start!$D$21,"B","C"))))</f>
        <v/>
      </c>
      <c r="O1133" s="48" t="str">
        <f aca="false">IF($A1133="","",IF(NOT(ISNUMBER(F1133)),"Wert fehlt; ",IF(F1133&lt;=0,"Wert ist 0; ",""))&amp;IF(NOT(ISNUMBER(E1133)),"Bestand fehlt; ",IF(E1133&lt;0,"Bestand negativ; ",IF(E1133=0,"Nullbestand; ","")))&amp;IF(D1133="","Warengruppe fehlt; ","")&amp;IF(B1133="","Bezeichnung fehlt; ","")&amp;IF(COUNTIFS($A$2:$A$5001,$A1133,$C$2:$C$5001,C1133)&gt;1,"Artikel doppelt im selben Lager; ",""))</f>
        <v/>
      </c>
      <c r="P1133" s="47" t="n">
        <f aca="false">IF(OR($A1133="",D1133=""),0,IF(COUNTIF($D$2:D1133,D1133)=1,SUMIF($D$2:$D$5001,D1133,$H$2:$H$5001)+ROW()/10000000,0))</f>
        <v>0</v>
      </c>
      <c r="Q1133" s="47" t="n">
        <f aca="false">IF(OR($A1133="",C1133=""),0,IF(COUNTIF($C$2:C1133,C1133)=1,SUMIF($C$2:$C$5001,C1133,$H$2:$H$5001)+ROW()/10000000,0))</f>
        <v>0</v>
      </c>
    </row>
    <row r="1134" customFormat="false" ht="15" hidden="false" customHeight="false" outlineLevel="0" collapsed="false">
      <c r="A1134" s="43"/>
      <c r="B1134" s="44"/>
      <c r="C1134" s="44"/>
      <c r="D1134" s="44"/>
      <c r="E1134" s="44"/>
      <c r="F1134" s="44"/>
      <c r="G1134" s="44"/>
      <c r="H1134" s="46" t="str">
        <f aca="false">IF($A1134="","",IF(OR(NOT(ISNUMBER(E1134)),NOT(ISNUMBER(F1134))),"",MAX(0,E1134)*F1134))</f>
        <v/>
      </c>
      <c r="I1134" s="46" t="str">
        <f aca="false">IF($A1134="","",SUMIF($A$2:$A$5001,$A1134,$H$2:$H$5001))</f>
        <v/>
      </c>
      <c r="J1134" s="47" t="n">
        <f aca="false">IF($A1134="",0,IF(COUNTIF($A$2:A1134,$A1134)=1,1,0))</f>
        <v>0</v>
      </c>
      <c r="K1134" s="47" t="n">
        <f aca="false">IF(J1134=1,N(I1134)+ROW()/10000000,0)</f>
        <v>0</v>
      </c>
      <c r="L1134" s="47" t="str">
        <f aca="false">IF(AND(J1134=1,N(I1134)&gt;0),SUMIF($K$2:$K$5001,"&gt;="&amp;K1134,$I$2:$I$5001)/MAX(1,SUM($H$2:$H$5001)),"")</f>
        <v/>
      </c>
      <c r="M1134" s="47" t="str">
        <f aca="false">IF($A1134="","",INDEX($L$2:$L$5001,MATCH($A1134,$A$2:$A$5001,0)))</f>
        <v/>
      </c>
      <c r="N1134" s="48" t="str">
        <f aca="false">IF($A1134="","",IF(N(M1134)=0,"–",IF(M1134&lt;=Start!$D$20,"A",IF(M1134&lt;=Start!$D$21,"B","C"))))</f>
        <v/>
      </c>
      <c r="O1134" s="48" t="str">
        <f aca="false">IF($A1134="","",IF(NOT(ISNUMBER(F1134)),"Wert fehlt; ",IF(F1134&lt;=0,"Wert ist 0; ",""))&amp;IF(NOT(ISNUMBER(E1134)),"Bestand fehlt; ",IF(E1134&lt;0,"Bestand negativ; ",IF(E1134=0,"Nullbestand; ","")))&amp;IF(D1134="","Warengruppe fehlt; ","")&amp;IF(B1134="","Bezeichnung fehlt; ","")&amp;IF(COUNTIFS($A$2:$A$5001,$A1134,$C$2:$C$5001,C1134)&gt;1,"Artikel doppelt im selben Lager; ",""))</f>
        <v/>
      </c>
      <c r="P1134" s="47" t="n">
        <f aca="false">IF(OR($A1134="",D1134=""),0,IF(COUNTIF($D$2:D1134,D1134)=1,SUMIF($D$2:$D$5001,D1134,$H$2:$H$5001)+ROW()/10000000,0))</f>
        <v>0</v>
      </c>
      <c r="Q1134" s="47" t="n">
        <f aca="false">IF(OR($A1134="",C1134=""),0,IF(COUNTIF($C$2:C1134,C1134)=1,SUMIF($C$2:$C$5001,C1134,$H$2:$H$5001)+ROW()/10000000,0))</f>
        <v>0</v>
      </c>
    </row>
    <row r="1135" customFormat="false" ht="15" hidden="false" customHeight="false" outlineLevel="0" collapsed="false">
      <c r="A1135" s="43"/>
      <c r="B1135" s="44"/>
      <c r="C1135" s="44"/>
      <c r="D1135" s="44"/>
      <c r="E1135" s="44"/>
      <c r="F1135" s="44"/>
      <c r="G1135" s="44"/>
      <c r="H1135" s="46" t="str">
        <f aca="false">IF($A1135="","",IF(OR(NOT(ISNUMBER(E1135)),NOT(ISNUMBER(F1135))),"",MAX(0,E1135)*F1135))</f>
        <v/>
      </c>
      <c r="I1135" s="46" t="str">
        <f aca="false">IF($A1135="","",SUMIF($A$2:$A$5001,$A1135,$H$2:$H$5001))</f>
        <v/>
      </c>
      <c r="J1135" s="47" t="n">
        <f aca="false">IF($A1135="",0,IF(COUNTIF($A$2:A1135,$A1135)=1,1,0))</f>
        <v>0</v>
      </c>
      <c r="K1135" s="47" t="n">
        <f aca="false">IF(J1135=1,N(I1135)+ROW()/10000000,0)</f>
        <v>0</v>
      </c>
      <c r="L1135" s="47" t="str">
        <f aca="false">IF(AND(J1135=1,N(I1135)&gt;0),SUMIF($K$2:$K$5001,"&gt;="&amp;K1135,$I$2:$I$5001)/MAX(1,SUM($H$2:$H$5001)),"")</f>
        <v/>
      </c>
      <c r="M1135" s="47" t="str">
        <f aca="false">IF($A1135="","",INDEX($L$2:$L$5001,MATCH($A1135,$A$2:$A$5001,0)))</f>
        <v/>
      </c>
      <c r="N1135" s="48" t="str">
        <f aca="false">IF($A1135="","",IF(N(M1135)=0,"–",IF(M1135&lt;=Start!$D$20,"A",IF(M1135&lt;=Start!$D$21,"B","C"))))</f>
        <v/>
      </c>
      <c r="O1135" s="48" t="str">
        <f aca="false">IF($A1135="","",IF(NOT(ISNUMBER(F1135)),"Wert fehlt; ",IF(F1135&lt;=0,"Wert ist 0; ",""))&amp;IF(NOT(ISNUMBER(E1135)),"Bestand fehlt; ",IF(E1135&lt;0,"Bestand negativ; ",IF(E1135=0,"Nullbestand; ","")))&amp;IF(D1135="","Warengruppe fehlt; ","")&amp;IF(B1135="","Bezeichnung fehlt; ","")&amp;IF(COUNTIFS($A$2:$A$5001,$A1135,$C$2:$C$5001,C1135)&gt;1,"Artikel doppelt im selben Lager; ",""))</f>
        <v/>
      </c>
      <c r="P1135" s="47" t="n">
        <f aca="false">IF(OR($A1135="",D1135=""),0,IF(COUNTIF($D$2:D1135,D1135)=1,SUMIF($D$2:$D$5001,D1135,$H$2:$H$5001)+ROW()/10000000,0))</f>
        <v>0</v>
      </c>
      <c r="Q1135" s="47" t="n">
        <f aca="false">IF(OR($A1135="",C1135=""),0,IF(COUNTIF($C$2:C1135,C1135)=1,SUMIF($C$2:$C$5001,C1135,$H$2:$H$5001)+ROW()/10000000,0))</f>
        <v>0</v>
      </c>
    </row>
    <row r="1136" customFormat="false" ht="15" hidden="false" customHeight="false" outlineLevel="0" collapsed="false">
      <c r="A1136" s="43"/>
      <c r="B1136" s="44"/>
      <c r="C1136" s="44"/>
      <c r="D1136" s="44"/>
      <c r="E1136" s="44"/>
      <c r="F1136" s="44"/>
      <c r="G1136" s="44"/>
      <c r="H1136" s="46" t="str">
        <f aca="false">IF($A1136="","",IF(OR(NOT(ISNUMBER(E1136)),NOT(ISNUMBER(F1136))),"",MAX(0,E1136)*F1136))</f>
        <v/>
      </c>
      <c r="I1136" s="46" t="str">
        <f aca="false">IF($A1136="","",SUMIF($A$2:$A$5001,$A1136,$H$2:$H$5001))</f>
        <v/>
      </c>
      <c r="J1136" s="47" t="n">
        <f aca="false">IF($A1136="",0,IF(COUNTIF($A$2:A1136,$A1136)=1,1,0))</f>
        <v>0</v>
      </c>
      <c r="K1136" s="47" t="n">
        <f aca="false">IF(J1136=1,N(I1136)+ROW()/10000000,0)</f>
        <v>0</v>
      </c>
      <c r="L1136" s="47" t="str">
        <f aca="false">IF(AND(J1136=1,N(I1136)&gt;0),SUMIF($K$2:$K$5001,"&gt;="&amp;K1136,$I$2:$I$5001)/MAX(1,SUM($H$2:$H$5001)),"")</f>
        <v/>
      </c>
      <c r="M1136" s="47" t="str">
        <f aca="false">IF($A1136="","",INDEX($L$2:$L$5001,MATCH($A1136,$A$2:$A$5001,0)))</f>
        <v/>
      </c>
      <c r="N1136" s="48" t="str">
        <f aca="false">IF($A1136="","",IF(N(M1136)=0,"–",IF(M1136&lt;=Start!$D$20,"A",IF(M1136&lt;=Start!$D$21,"B","C"))))</f>
        <v/>
      </c>
      <c r="O1136" s="48" t="str">
        <f aca="false">IF($A1136="","",IF(NOT(ISNUMBER(F1136)),"Wert fehlt; ",IF(F1136&lt;=0,"Wert ist 0; ",""))&amp;IF(NOT(ISNUMBER(E1136)),"Bestand fehlt; ",IF(E1136&lt;0,"Bestand negativ; ",IF(E1136=0,"Nullbestand; ","")))&amp;IF(D1136="","Warengruppe fehlt; ","")&amp;IF(B1136="","Bezeichnung fehlt; ","")&amp;IF(COUNTIFS($A$2:$A$5001,$A1136,$C$2:$C$5001,C1136)&gt;1,"Artikel doppelt im selben Lager; ",""))</f>
        <v/>
      </c>
      <c r="P1136" s="47" t="n">
        <f aca="false">IF(OR($A1136="",D1136=""),0,IF(COUNTIF($D$2:D1136,D1136)=1,SUMIF($D$2:$D$5001,D1136,$H$2:$H$5001)+ROW()/10000000,0))</f>
        <v>0</v>
      </c>
      <c r="Q1136" s="47" t="n">
        <f aca="false">IF(OR($A1136="",C1136=""),0,IF(COUNTIF($C$2:C1136,C1136)=1,SUMIF($C$2:$C$5001,C1136,$H$2:$H$5001)+ROW()/10000000,0))</f>
        <v>0</v>
      </c>
    </row>
    <row r="1137" customFormat="false" ht="15" hidden="false" customHeight="false" outlineLevel="0" collapsed="false">
      <c r="A1137" s="43"/>
      <c r="B1137" s="44"/>
      <c r="C1137" s="44"/>
      <c r="D1137" s="44"/>
      <c r="E1137" s="44"/>
      <c r="F1137" s="44"/>
      <c r="G1137" s="44"/>
      <c r="H1137" s="46" t="str">
        <f aca="false">IF($A1137="","",IF(OR(NOT(ISNUMBER(E1137)),NOT(ISNUMBER(F1137))),"",MAX(0,E1137)*F1137))</f>
        <v/>
      </c>
      <c r="I1137" s="46" t="str">
        <f aca="false">IF($A1137="","",SUMIF($A$2:$A$5001,$A1137,$H$2:$H$5001))</f>
        <v/>
      </c>
      <c r="J1137" s="47" t="n">
        <f aca="false">IF($A1137="",0,IF(COUNTIF($A$2:A1137,$A1137)=1,1,0))</f>
        <v>0</v>
      </c>
      <c r="K1137" s="47" t="n">
        <f aca="false">IF(J1137=1,N(I1137)+ROW()/10000000,0)</f>
        <v>0</v>
      </c>
      <c r="L1137" s="47" t="str">
        <f aca="false">IF(AND(J1137=1,N(I1137)&gt;0),SUMIF($K$2:$K$5001,"&gt;="&amp;K1137,$I$2:$I$5001)/MAX(1,SUM($H$2:$H$5001)),"")</f>
        <v/>
      </c>
      <c r="M1137" s="47" t="str">
        <f aca="false">IF($A1137="","",INDEX($L$2:$L$5001,MATCH($A1137,$A$2:$A$5001,0)))</f>
        <v/>
      </c>
      <c r="N1137" s="48" t="str">
        <f aca="false">IF($A1137="","",IF(N(M1137)=0,"–",IF(M1137&lt;=Start!$D$20,"A",IF(M1137&lt;=Start!$D$21,"B","C"))))</f>
        <v/>
      </c>
      <c r="O1137" s="48" t="str">
        <f aca="false">IF($A1137="","",IF(NOT(ISNUMBER(F1137)),"Wert fehlt; ",IF(F1137&lt;=0,"Wert ist 0; ",""))&amp;IF(NOT(ISNUMBER(E1137)),"Bestand fehlt; ",IF(E1137&lt;0,"Bestand negativ; ",IF(E1137=0,"Nullbestand; ","")))&amp;IF(D1137="","Warengruppe fehlt; ","")&amp;IF(B1137="","Bezeichnung fehlt; ","")&amp;IF(COUNTIFS($A$2:$A$5001,$A1137,$C$2:$C$5001,C1137)&gt;1,"Artikel doppelt im selben Lager; ",""))</f>
        <v/>
      </c>
      <c r="P1137" s="47" t="n">
        <f aca="false">IF(OR($A1137="",D1137=""),0,IF(COUNTIF($D$2:D1137,D1137)=1,SUMIF($D$2:$D$5001,D1137,$H$2:$H$5001)+ROW()/10000000,0))</f>
        <v>0</v>
      </c>
      <c r="Q1137" s="47" t="n">
        <f aca="false">IF(OR($A1137="",C1137=""),0,IF(COUNTIF($C$2:C1137,C1137)=1,SUMIF($C$2:$C$5001,C1137,$H$2:$H$5001)+ROW()/10000000,0))</f>
        <v>0</v>
      </c>
    </row>
    <row r="1138" customFormat="false" ht="15" hidden="false" customHeight="false" outlineLevel="0" collapsed="false">
      <c r="A1138" s="43"/>
      <c r="B1138" s="44"/>
      <c r="C1138" s="44"/>
      <c r="D1138" s="44"/>
      <c r="E1138" s="44"/>
      <c r="F1138" s="44"/>
      <c r="G1138" s="44"/>
      <c r="H1138" s="46" t="str">
        <f aca="false">IF($A1138="","",IF(OR(NOT(ISNUMBER(E1138)),NOT(ISNUMBER(F1138))),"",MAX(0,E1138)*F1138))</f>
        <v/>
      </c>
      <c r="I1138" s="46" t="str">
        <f aca="false">IF($A1138="","",SUMIF($A$2:$A$5001,$A1138,$H$2:$H$5001))</f>
        <v/>
      </c>
      <c r="J1138" s="47" t="n">
        <f aca="false">IF($A1138="",0,IF(COUNTIF($A$2:A1138,$A1138)=1,1,0))</f>
        <v>0</v>
      </c>
      <c r="K1138" s="47" t="n">
        <f aca="false">IF(J1138=1,N(I1138)+ROW()/10000000,0)</f>
        <v>0</v>
      </c>
      <c r="L1138" s="47" t="str">
        <f aca="false">IF(AND(J1138=1,N(I1138)&gt;0),SUMIF($K$2:$K$5001,"&gt;="&amp;K1138,$I$2:$I$5001)/MAX(1,SUM($H$2:$H$5001)),"")</f>
        <v/>
      </c>
      <c r="M1138" s="47" t="str">
        <f aca="false">IF($A1138="","",INDEX($L$2:$L$5001,MATCH($A1138,$A$2:$A$5001,0)))</f>
        <v/>
      </c>
      <c r="N1138" s="48" t="str">
        <f aca="false">IF($A1138="","",IF(N(M1138)=0,"–",IF(M1138&lt;=Start!$D$20,"A",IF(M1138&lt;=Start!$D$21,"B","C"))))</f>
        <v/>
      </c>
      <c r="O1138" s="48" t="str">
        <f aca="false">IF($A1138="","",IF(NOT(ISNUMBER(F1138)),"Wert fehlt; ",IF(F1138&lt;=0,"Wert ist 0; ",""))&amp;IF(NOT(ISNUMBER(E1138)),"Bestand fehlt; ",IF(E1138&lt;0,"Bestand negativ; ",IF(E1138=0,"Nullbestand; ","")))&amp;IF(D1138="","Warengruppe fehlt; ","")&amp;IF(B1138="","Bezeichnung fehlt; ","")&amp;IF(COUNTIFS($A$2:$A$5001,$A1138,$C$2:$C$5001,C1138)&gt;1,"Artikel doppelt im selben Lager; ",""))</f>
        <v/>
      </c>
      <c r="P1138" s="47" t="n">
        <f aca="false">IF(OR($A1138="",D1138=""),0,IF(COUNTIF($D$2:D1138,D1138)=1,SUMIF($D$2:$D$5001,D1138,$H$2:$H$5001)+ROW()/10000000,0))</f>
        <v>0</v>
      </c>
      <c r="Q1138" s="47" t="n">
        <f aca="false">IF(OR($A1138="",C1138=""),0,IF(COUNTIF($C$2:C1138,C1138)=1,SUMIF($C$2:$C$5001,C1138,$H$2:$H$5001)+ROW()/10000000,0))</f>
        <v>0</v>
      </c>
    </row>
    <row r="1139" customFormat="false" ht="15" hidden="false" customHeight="false" outlineLevel="0" collapsed="false">
      <c r="A1139" s="43"/>
      <c r="B1139" s="44"/>
      <c r="C1139" s="44"/>
      <c r="D1139" s="44"/>
      <c r="E1139" s="44"/>
      <c r="F1139" s="44"/>
      <c r="G1139" s="44"/>
      <c r="H1139" s="46" t="str">
        <f aca="false">IF($A1139="","",IF(OR(NOT(ISNUMBER(E1139)),NOT(ISNUMBER(F1139))),"",MAX(0,E1139)*F1139))</f>
        <v/>
      </c>
      <c r="I1139" s="46" t="str">
        <f aca="false">IF($A1139="","",SUMIF($A$2:$A$5001,$A1139,$H$2:$H$5001))</f>
        <v/>
      </c>
      <c r="J1139" s="47" t="n">
        <f aca="false">IF($A1139="",0,IF(COUNTIF($A$2:A1139,$A1139)=1,1,0))</f>
        <v>0</v>
      </c>
      <c r="K1139" s="47" t="n">
        <f aca="false">IF(J1139=1,N(I1139)+ROW()/10000000,0)</f>
        <v>0</v>
      </c>
      <c r="L1139" s="47" t="str">
        <f aca="false">IF(AND(J1139=1,N(I1139)&gt;0),SUMIF($K$2:$K$5001,"&gt;="&amp;K1139,$I$2:$I$5001)/MAX(1,SUM($H$2:$H$5001)),"")</f>
        <v/>
      </c>
      <c r="M1139" s="47" t="str">
        <f aca="false">IF($A1139="","",INDEX($L$2:$L$5001,MATCH($A1139,$A$2:$A$5001,0)))</f>
        <v/>
      </c>
      <c r="N1139" s="48" t="str">
        <f aca="false">IF($A1139="","",IF(N(M1139)=0,"–",IF(M1139&lt;=Start!$D$20,"A",IF(M1139&lt;=Start!$D$21,"B","C"))))</f>
        <v/>
      </c>
      <c r="O1139" s="48" t="str">
        <f aca="false">IF($A1139="","",IF(NOT(ISNUMBER(F1139)),"Wert fehlt; ",IF(F1139&lt;=0,"Wert ist 0; ",""))&amp;IF(NOT(ISNUMBER(E1139)),"Bestand fehlt; ",IF(E1139&lt;0,"Bestand negativ; ",IF(E1139=0,"Nullbestand; ","")))&amp;IF(D1139="","Warengruppe fehlt; ","")&amp;IF(B1139="","Bezeichnung fehlt; ","")&amp;IF(COUNTIFS($A$2:$A$5001,$A1139,$C$2:$C$5001,C1139)&gt;1,"Artikel doppelt im selben Lager; ",""))</f>
        <v/>
      </c>
      <c r="P1139" s="47" t="n">
        <f aca="false">IF(OR($A1139="",D1139=""),0,IF(COUNTIF($D$2:D1139,D1139)=1,SUMIF($D$2:$D$5001,D1139,$H$2:$H$5001)+ROW()/10000000,0))</f>
        <v>0</v>
      </c>
      <c r="Q1139" s="47" t="n">
        <f aca="false">IF(OR($A1139="",C1139=""),0,IF(COUNTIF($C$2:C1139,C1139)=1,SUMIF($C$2:$C$5001,C1139,$H$2:$H$5001)+ROW()/10000000,0))</f>
        <v>0</v>
      </c>
    </row>
    <row r="1140" customFormat="false" ht="15" hidden="false" customHeight="false" outlineLevel="0" collapsed="false">
      <c r="A1140" s="43"/>
      <c r="B1140" s="44"/>
      <c r="C1140" s="44"/>
      <c r="D1140" s="44"/>
      <c r="E1140" s="44"/>
      <c r="F1140" s="44"/>
      <c r="G1140" s="44"/>
      <c r="H1140" s="46" t="str">
        <f aca="false">IF($A1140="","",IF(OR(NOT(ISNUMBER(E1140)),NOT(ISNUMBER(F1140))),"",MAX(0,E1140)*F1140))</f>
        <v/>
      </c>
      <c r="I1140" s="46" t="str">
        <f aca="false">IF($A1140="","",SUMIF($A$2:$A$5001,$A1140,$H$2:$H$5001))</f>
        <v/>
      </c>
      <c r="J1140" s="47" t="n">
        <f aca="false">IF($A1140="",0,IF(COUNTIF($A$2:A1140,$A1140)=1,1,0))</f>
        <v>0</v>
      </c>
      <c r="K1140" s="47" t="n">
        <f aca="false">IF(J1140=1,N(I1140)+ROW()/10000000,0)</f>
        <v>0</v>
      </c>
      <c r="L1140" s="47" t="str">
        <f aca="false">IF(AND(J1140=1,N(I1140)&gt;0),SUMIF($K$2:$K$5001,"&gt;="&amp;K1140,$I$2:$I$5001)/MAX(1,SUM($H$2:$H$5001)),"")</f>
        <v/>
      </c>
      <c r="M1140" s="47" t="str">
        <f aca="false">IF($A1140="","",INDEX($L$2:$L$5001,MATCH($A1140,$A$2:$A$5001,0)))</f>
        <v/>
      </c>
      <c r="N1140" s="48" t="str">
        <f aca="false">IF($A1140="","",IF(N(M1140)=0,"–",IF(M1140&lt;=Start!$D$20,"A",IF(M1140&lt;=Start!$D$21,"B","C"))))</f>
        <v/>
      </c>
      <c r="O1140" s="48" t="str">
        <f aca="false">IF($A1140="","",IF(NOT(ISNUMBER(F1140)),"Wert fehlt; ",IF(F1140&lt;=0,"Wert ist 0; ",""))&amp;IF(NOT(ISNUMBER(E1140)),"Bestand fehlt; ",IF(E1140&lt;0,"Bestand negativ; ",IF(E1140=0,"Nullbestand; ","")))&amp;IF(D1140="","Warengruppe fehlt; ","")&amp;IF(B1140="","Bezeichnung fehlt; ","")&amp;IF(COUNTIFS($A$2:$A$5001,$A1140,$C$2:$C$5001,C1140)&gt;1,"Artikel doppelt im selben Lager; ",""))</f>
        <v/>
      </c>
      <c r="P1140" s="47" t="n">
        <f aca="false">IF(OR($A1140="",D1140=""),0,IF(COUNTIF($D$2:D1140,D1140)=1,SUMIF($D$2:$D$5001,D1140,$H$2:$H$5001)+ROW()/10000000,0))</f>
        <v>0</v>
      </c>
      <c r="Q1140" s="47" t="n">
        <f aca="false">IF(OR($A1140="",C1140=""),0,IF(COUNTIF($C$2:C1140,C1140)=1,SUMIF($C$2:$C$5001,C1140,$H$2:$H$5001)+ROW()/10000000,0))</f>
        <v>0</v>
      </c>
    </row>
    <row r="1141" customFormat="false" ht="15" hidden="false" customHeight="false" outlineLevel="0" collapsed="false">
      <c r="A1141" s="43"/>
      <c r="B1141" s="44"/>
      <c r="C1141" s="44"/>
      <c r="D1141" s="44"/>
      <c r="E1141" s="44"/>
      <c r="F1141" s="44"/>
      <c r="G1141" s="44"/>
      <c r="H1141" s="46" t="str">
        <f aca="false">IF($A1141="","",IF(OR(NOT(ISNUMBER(E1141)),NOT(ISNUMBER(F1141))),"",MAX(0,E1141)*F1141))</f>
        <v/>
      </c>
      <c r="I1141" s="46" t="str">
        <f aca="false">IF($A1141="","",SUMIF($A$2:$A$5001,$A1141,$H$2:$H$5001))</f>
        <v/>
      </c>
      <c r="J1141" s="47" t="n">
        <f aca="false">IF($A1141="",0,IF(COUNTIF($A$2:A1141,$A1141)=1,1,0))</f>
        <v>0</v>
      </c>
      <c r="K1141" s="47" t="n">
        <f aca="false">IF(J1141=1,N(I1141)+ROW()/10000000,0)</f>
        <v>0</v>
      </c>
      <c r="L1141" s="47" t="str">
        <f aca="false">IF(AND(J1141=1,N(I1141)&gt;0),SUMIF($K$2:$K$5001,"&gt;="&amp;K1141,$I$2:$I$5001)/MAX(1,SUM($H$2:$H$5001)),"")</f>
        <v/>
      </c>
      <c r="M1141" s="47" t="str">
        <f aca="false">IF($A1141="","",INDEX($L$2:$L$5001,MATCH($A1141,$A$2:$A$5001,0)))</f>
        <v/>
      </c>
      <c r="N1141" s="48" t="str">
        <f aca="false">IF($A1141="","",IF(N(M1141)=0,"–",IF(M1141&lt;=Start!$D$20,"A",IF(M1141&lt;=Start!$D$21,"B","C"))))</f>
        <v/>
      </c>
      <c r="O1141" s="48" t="str">
        <f aca="false">IF($A1141="","",IF(NOT(ISNUMBER(F1141)),"Wert fehlt; ",IF(F1141&lt;=0,"Wert ist 0; ",""))&amp;IF(NOT(ISNUMBER(E1141)),"Bestand fehlt; ",IF(E1141&lt;0,"Bestand negativ; ",IF(E1141=0,"Nullbestand; ","")))&amp;IF(D1141="","Warengruppe fehlt; ","")&amp;IF(B1141="","Bezeichnung fehlt; ","")&amp;IF(COUNTIFS($A$2:$A$5001,$A1141,$C$2:$C$5001,C1141)&gt;1,"Artikel doppelt im selben Lager; ",""))</f>
        <v/>
      </c>
      <c r="P1141" s="47" t="n">
        <f aca="false">IF(OR($A1141="",D1141=""),0,IF(COUNTIF($D$2:D1141,D1141)=1,SUMIF($D$2:$D$5001,D1141,$H$2:$H$5001)+ROW()/10000000,0))</f>
        <v>0</v>
      </c>
      <c r="Q1141" s="47" t="n">
        <f aca="false">IF(OR($A1141="",C1141=""),0,IF(COUNTIF($C$2:C1141,C1141)=1,SUMIF($C$2:$C$5001,C1141,$H$2:$H$5001)+ROW()/10000000,0))</f>
        <v>0</v>
      </c>
    </row>
    <row r="1142" customFormat="false" ht="15" hidden="false" customHeight="false" outlineLevel="0" collapsed="false">
      <c r="A1142" s="43"/>
      <c r="B1142" s="44"/>
      <c r="C1142" s="44"/>
      <c r="D1142" s="44"/>
      <c r="E1142" s="44"/>
      <c r="F1142" s="44"/>
      <c r="G1142" s="44"/>
      <c r="H1142" s="46" t="str">
        <f aca="false">IF($A1142="","",IF(OR(NOT(ISNUMBER(E1142)),NOT(ISNUMBER(F1142))),"",MAX(0,E1142)*F1142))</f>
        <v/>
      </c>
      <c r="I1142" s="46" t="str">
        <f aca="false">IF($A1142="","",SUMIF($A$2:$A$5001,$A1142,$H$2:$H$5001))</f>
        <v/>
      </c>
      <c r="J1142" s="47" t="n">
        <f aca="false">IF($A1142="",0,IF(COUNTIF($A$2:A1142,$A1142)=1,1,0))</f>
        <v>0</v>
      </c>
      <c r="K1142" s="47" t="n">
        <f aca="false">IF(J1142=1,N(I1142)+ROW()/10000000,0)</f>
        <v>0</v>
      </c>
      <c r="L1142" s="47" t="str">
        <f aca="false">IF(AND(J1142=1,N(I1142)&gt;0),SUMIF($K$2:$K$5001,"&gt;="&amp;K1142,$I$2:$I$5001)/MAX(1,SUM($H$2:$H$5001)),"")</f>
        <v/>
      </c>
      <c r="M1142" s="47" t="str">
        <f aca="false">IF($A1142="","",INDEX($L$2:$L$5001,MATCH($A1142,$A$2:$A$5001,0)))</f>
        <v/>
      </c>
      <c r="N1142" s="48" t="str">
        <f aca="false">IF($A1142="","",IF(N(M1142)=0,"–",IF(M1142&lt;=Start!$D$20,"A",IF(M1142&lt;=Start!$D$21,"B","C"))))</f>
        <v/>
      </c>
      <c r="O1142" s="48" t="str">
        <f aca="false">IF($A1142="","",IF(NOT(ISNUMBER(F1142)),"Wert fehlt; ",IF(F1142&lt;=0,"Wert ist 0; ",""))&amp;IF(NOT(ISNUMBER(E1142)),"Bestand fehlt; ",IF(E1142&lt;0,"Bestand negativ; ",IF(E1142=0,"Nullbestand; ","")))&amp;IF(D1142="","Warengruppe fehlt; ","")&amp;IF(B1142="","Bezeichnung fehlt; ","")&amp;IF(COUNTIFS($A$2:$A$5001,$A1142,$C$2:$C$5001,C1142)&gt;1,"Artikel doppelt im selben Lager; ",""))</f>
        <v/>
      </c>
      <c r="P1142" s="47" t="n">
        <f aca="false">IF(OR($A1142="",D1142=""),0,IF(COUNTIF($D$2:D1142,D1142)=1,SUMIF($D$2:$D$5001,D1142,$H$2:$H$5001)+ROW()/10000000,0))</f>
        <v>0</v>
      </c>
      <c r="Q1142" s="47" t="n">
        <f aca="false">IF(OR($A1142="",C1142=""),0,IF(COUNTIF($C$2:C1142,C1142)=1,SUMIF($C$2:$C$5001,C1142,$H$2:$H$5001)+ROW()/10000000,0))</f>
        <v>0</v>
      </c>
    </row>
    <row r="1143" customFormat="false" ht="15" hidden="false" customHeight="false" outlineLevel="0" collapsed="false">
      <c r="A1143" s="43"/>
      <c r="B1143" s="44"/>
      <c r="C1143" s="44"/>
      <c r="D1143" s="44"/>
      <c r="E1143" s="44"/>
      <c r="F1143" s="44"/>
      <c r="G1143" s="44"/>
      <c r="H1143" s="46" t="str">
        <f aca="false">IF($A1143="","",IF(OR(NOT(ISNUMBER(E1143)),NOT(ISNUMBER(F1143))),"",MAX(0,E1143)*F1143))</f>
        <v/>
      </c>
      <c r="I1143" s="46" t="str">
        <f aca="false">IF($A1143="","",SUMIF($A$2:$A$5001,$A1143,$H$2:$H$5001))</f>
        <v/>
      </c>
      <c r="J1143" s="47" t="n">
        <f aca="false">IF($A1143="",0,IF(COUNTIF($A$2:A1143,$A1143)=1,1,0))</f>
        <v>0</v>
      </c>
      <c r="K1143" s="47" t="n">
        <f aca="false">IF(J1143=1,N(I1143)+ROW()/10000000,0)</f>
        <v>0</v>
      </c>
      <c r="L1143" s="47" t="str">
        <f aca="false">IF(AND(J1143=1,N(I1143)&gt;0),SUMIF($K$2:$K$5001,"&gt;="&amp;K1143,$I$2:$I$5001)/MAX(1,SUM($H$2:$H$5001)),"")</f>
        <v/>
      </c>
      <c r="M1143" s="47" t="str">
        <f aca="false">IF($A1143="","",INDEX($L$2:$L$5001,MATCH($A1143,$A$2:$A$5001,0)))</f>
        <v/>
      </c>
      <c r="N1143" s="48" t="str">
        <f aca="false">IF($A1143="","",IF(N(M1143)=0,"–",IF(M1143&lt;=Start!$D$20,"A",IF(M1143&lt;=Start!$D$21,"B","C"))))</f>
        <v/>
      </c>
      <c r="O1143" s="48" t="str">
        <f aca="false">IF($A1143="","",IF(NOT(ISNUMBER(F1143)),"Wert fehlt; ",IF(F1143&lt;=0,"Wert ist 0; ",""))&amp;IF(NOT(ISNUMBER(E1143)),"Bestand fehlt; ",IF(E1143&lt;0,"Bestand negativ; ",IF(E1143=0,"Nullbestand; ","")))&amp;IF(D1143="","Warengruppe fehlt; ","")&amp;IF(B1143="","Bezeichnung fehlt; ","")&amp;IF(COUNTIFS($A$2:$A$5001,$A1143,$C$2:$C$5001,C1143)&gt;1,"Artikel doppelt im selben Lager; ",""))</f>
        <v/>
      </c>
      <c r="P1143" s="47" t="n">
        <f aca="false">IF(OR($A1143="",D1143=""),0,IF(COUNTIF($D$2:D1143,D1143)=1,SUMIF($D$2:$D$5001,D1143,$H$2:$H$5001)+ROW()/10000000,0))</f>
        <v>0</v>
      </c>
      <c r="Q1143" s="47" t="n">
        <f aca="false">IF(OR($A1143="",C1143=""),0,IF(COUNTIF($C$2:C1143,C1143)=1,SUMIF($C$2:$C$5001,C1143,$H$2:$H$5001)+ROW()/10000000,0))</f>
        <v>0</v>
      </c>
    </row>
    <row r="1144" customFormat="false" ht="15" hidden="false" customHeight="false" outlineLevel="0" collapsed="false">
      <c r="A1144" s="43"/>
      <c r="B1144" s="44"/>
      <c r="C1144" s="44"/>
      <c r="D1144" s="44"/>
      <c r="E1144" s="44"/>
      <c r="F1144" s="44"/>
      <c r="G1144" s="44"/>
      <c r="H1144" s="46" t="str">
        <f aca="false">IF($A1144="","",IF(OR(NOT(ISNUMBER(E1144)),NOT(ISNUMBER(F1144))),"",MAX(0,E1144)*F1144))</f>
        <v/>
      </c>
      <c r="I1144" s="46" t="str">
        <f aca="false">IF($A1144="","",SUMIF($A$2:$A$5001,$A1144,$H$2:$H$5001))</f>
        <v/>
      </c>
      <c r="J1144" s="47" t="n">
        <f aca="false">IF($A1144="",0,IF(COUNTIF($A$2:A1144,$A1144)=1,1,0))</f>
        <v>0</v>
      </c>
      <c r="K1144" s="47" t="n">
        <f aca="false">IF(J1144=1,N(I1144)+ROW()/10000000,0)</f>
        <v>0</v>
      </c>
      <c r="L1144" s="47" t="str">
        <f aca="false">IF(AND(J1144=1,N(I1144)&gt;0),SUMIF($K$2:$K$5001,"&gt;="&amp;K1144,$I$2:$I$5001)/MAX(1,SUM($H$2:$H$5001)),"")</f>
        <v/>
      </c>
      <c r="M1144" s="47" t="str">
        <f aca="false">IF($A1144="","",INDEX($L$2:$L$5001,MATCH($A1144,$A$2:$A$5001,0)))</f>
        <v/>
      </c>
      <c r="N1144" s="48" t="str">
        <f aca="false">IF($A1144="","",IF(N(M1144)=0,"–",IF(M1144&lt;=Start!$D$20,"A",IF(M1144&lt;=Start!$D$21,"B","C"))))</f>
        <v/>
      </c>
      <c r="O1144" s="48" t="str">
        <f aca="false">IF($A1144="","",IF(NOT(ISNUMBER(F1144)),"Wert fehlt; ",IF(F1144&lt;=0,"Wert ist 0; ",""))&amp;IF(NOT(ISNUMBER(E1144)),"Bestand fehlt; ",IF(E1144&lt;0,"Bestand negativ; ",IF(E1144=0,"Nullbestand; ","")))&amp;IF(D1144="","Warengruppe fehlt; ","")&amp;IF(B1144="","Bezeichnung fehlt; ","")&amp;IF(COUNTIFS($A$2:$A$5001,$A1144,$C$2:$C$5001,C1144)&gt;1,"Artikel doppelt im selben Lager; ",""))</f>
        <v/>
      </c>
      <c r="P1144" s="47" t="n">
        <f aca="false">IF(OR($A1144="",D1144=""),0,IF(COUNTIF($D$2:D1144,D1144)=1,SUMIF($D$2:$D$5001,D1144,$H$2:$H$5001)+ROW()/10000000,0))</f>
        <v>0</v>
      </c>
      <c r="Q1144" s="47" t="n">
        <f aca="false">IF(OR($A1144="",C1144=""),0,IF(COUNTIF($C$2:C1144,C1144)=1,SUMIF($C$2:$C$5001,C1144,$H$2:$H$5001)+ROW()/10000000,0))</f>
        <v>0</v>
      </c>
    </row>
    <row r="1145" customFormat="false" ht="15" hidden="false" customHeight="false" outlineLevel="0" collapsed="false">
      <c r="A1145" s="43"/>
      <c r="B1145" s="44"/>
      <c r="C1145" s="44"/>
      <c r="D1145" s="44"/>
      <c r="E1145" s="44"/>
      <c r="F1145" s="44"/>
      <c r="G1145" s="44"/>
      <c r="H1145" s="46" t="str">
        <f aca="false">IF($A1145="","",IF(OR(NOT(ISNUMBER(E1145)),NOT(ISNUMBER(F1145))),"",MAX(0,E1145)*F1145))</f>
        <v/>
      </c>
      <c r="I1145" s="46" t="str">
        <f aca="false">IF($A1145="","",SUMIF($A$2:$A$5001,$A1145,$H$2:$H$5001))</f>
        <v/>
      </c>
      <c r="J1145" s="47" t="n">
        <f aca="false">IF($A1145="",0,IF(COUNTIF($A$2:A1145,$A1145)=1,1,0))</f>
        <v>0</v>
      </c>
      <c r="K1145" s="47" t="n">
        <f aca="false">IF(J1145=1,N(I1145)+ROW()/10000000,0)</f>
        <v>0</v>
      </c>
      <c r="L1145" s="47" t="str">
        <f aca="false">IF(AND(J1145=1,N(I1145)&gt;0),SUMIF($K$2:$K$5001,"&gt;="&amp;K1145,$I$2:$I$5001)/MAX(1,SUM($H$2:$H$5001)),"")</f>
        <v/>
      </c>
      <c r="M1145" s="47" t="str">
        <f aca="false">IF($A1145="","",INDEX($L$2:$L$5001,MATCH($A1145,$A$2:$A$5001,0)))</f>
        <v/>
      </c>
      <c r="N1145" s="48" t="str">
        <f aca="false">IF($A1145="","",IF(N(M1145)=0,"–",IF(M1145&lt;=Start!$D$20,"A",IF(M1145&lt;=Start!$D$21,"B","C"))))</f>
        <v/>
      </c>
      <c r="O1145" s="48" t="str">
        <f aca="false">IF($A1145="","",IF(NOT(ISNUMBER(F1145)),"Wert fehlt; ",IF(F1145&lt;=0,"Wert ist 0; ",""))&amp;IF(NOT(ISNUMBER(E1145)),"Bestand fehlt; ",IF(E1145&lt;0,"Bestand negativ; ",IF(E1145=0,"Nullbestand; ","")))&amp;IF(D1145="","Warengruppe fehlt; ","")&amp;IF(B1145="","Bezeichnung fehlt; ","")&amp;IF(COUNTIFS($A$2:$A$5001,$A1145,$C$2:$C$5001,C1145)&gt;1,"Artikel doppelt im selben Lager; ",""))</f>
        <v/>
      </c>
      <c r="P1145" s="47" t="n">
        <f aca="false">IF(OR($A1145="",D1145=""),0,IF(COUNTIF($D$2:D1145,D1145)=1,SUMIF($D$2:$D$5001,D1145,$H$2:$H$5001)+ROW()/10000000,0))</f>
        <v>0</v>
      </c>
      <c r="Q1145" s="47" t="n">
        <f aca="false">IF(OR($A1145="",C1145=""),0,IF(COUNTIF($C$2:C1145,C1145)=1,SUMIF($C$2:$C$5001,C1145,$H$2:$H$5001)+ROW()/10000000,0))</f>
        <v>0</v>
      </c>
    </row>
    <row r="1146" customFormat="false" ht="15" hidden="false" customHeight="false" outlineLevel="0" collapsed="false">
      <c r="A1146" s="43"/>
      <c r="B1146" s="44"/>
      <c r="C1146" s="44"/>
      <c r="D1146" s="44"/>
      <c r="E1146" s="44"/>
      <c r="F1146" s="44"/>
      <c r="G1146" s="44"/>
      <c r="H1146" s="46" t="str">
        <f aca="false">IF($A1146="","",IF(OR(NOT(ISNUMBER(E1146)),NOT(ISNUMBER(F1146))),"",MAX(0,E1146)*F1146))</f>
        <v/>
      </c>
      <c r="I1146" s="46" t="str">
        <f aca="false">IF($A1146="","",SUMIF($A$2:$A$5001,$A1146,$H$2:$H$5001))</f>
        <v/>
      </c>
      <c r="J1146" s="47" t="n">
        <f aca="false">IF($A1146="",0,IF(COUNTIF($A$2:A1146,$A1146)=1,1,0))</f>
        <v>0</v>
      </c>
      <c r="K1146" s="47" t="n">
        <f aca="false">IF(J1146=1,N(I1146)+ROW()/10000000,0)</f>
        <v>0</v>
      </c>
      <c r="L1146" s="47" t="str">
        <f aca="false">IF(AND(J1146=1,N(I1146)&gt;0),SUMIF($K$2:$K$5001,"&gt;="&amp;K1146,$I$2:$I$5001)/MAX(1,SUM($H$2:$H$5001)),"")</f>
        <v/>
      </c>
      <c r="M1146" s="47" t="str">
        <f aca="false">IF($A1146="","",INDEX($L$2:$L$5001,MATCH($A1146,$A$2:$A$5001,0)))</f>
        <v/>
      </c>
      <c r="N1146" s="48" t="str">
        <f aca="false">IF($A1146="","",IF(N(M1146)=0,"–",IF(M1146&lt;=Start!$D$20,"A",IF(M1146&lt;=Start!$D$21,"B","C"))))</f>
        <v/>
      </c>
      <c r="O1146" s="48" t="str">
        <f aca="false">IF($A1146="","",IF(NOT(ISNUMBER(F1146)),"Wert fehlt; ",IF(F1146&lt;=0,"Wert ist 0; ",""))&amp;IF(NOT(ISNUMBER(E1146)),"Bestand fehlt; ",IF(E1146&lt;0,"Bestand negativ; ",IF(E1146=0,"Nullbestand; ","")))&amp;IF(D1146="","Warengruppe fehlt; ","")&amp;IF(B1146="","Bezeichnung fehlt; ","")&amp;IF(COUNTIFS($A$2:$A$5001,$A1146,$C$2:$C$5001,C1146)&gt;1,"Artikel doppelt im selben Lager; ",""))</f>
        <v/>
      </c>
      <c r="P1146" s="47" t="n">
        <f aca="false">IF(OR($A1146="",D1146=""),0,IF(COUNTIF($D$2:D1146,D1146)=1,SUMIF($D$2:$D$5001,D1146,$H$2:$H$5001)+ROW()/10000000,0))</f>
        <v>0</v>
      </c>
      <c r="Q1146" s="47" t="n">
        <f aca="false">IF(OR($A1146="",C1146=""),0,IF(COUNTIF($C$2:C1146,C1146)=1,SUMIF($C$2:$C$5001,C1146,$H$2:$H$5001)+ROW()/10000000,0))</f>
        <v>0</v>
      </c>
    </row>
    <row r="1147" customFormat="false" ht="15" hidden="false" customHeight="false" outlineLevel="0" collapsed="false">
      <c r="A1147" s="43"/>
      <c r="B1147" s="44"/>
      <c r="C1147" s="44"/>
      <c r="D1147" s="44"/>
      <c r="E1147" s="44"/>
      <c r="F1147" s="44"/>
      <c r="G1147" s="44"/>
      <c r="H1147" s="46" t="str">
        <f aca="false">IF($A1147="","",IF(OR(NOT(ISNUMBER(E1147)),NOT(ISNUMBER(F1147))),"",MAX(0,E1147)*F1147))</f>
        <v/>
      </c>
      <c r="I1147" s="46" t="str">
        <f aca="false">IF($A1147="","",SUMIF($A$2:$A$5001,$A1147,$H$2:$H$5001))</f>
        <v/>
      </c>
      <c r="J1147" s="47" t="n">
        <f aca="false">IF($A1147="",0,IF(COUNTIF($A$2:A1147,$A1147)=1,1,0))</f>
        <v>0</v>
      </c>
      <c r="K1147" s="47" t="n">
        <f aca="false">IF(J1147=1,N(I1147)+ROW()/10000000,0)</f>
        <v>0</v>
      </c>
      <c r="L1147" s="47" t="str">
        <f aca="false">IF(AND(J1147=1,N(I1147)&gt;0),SUMIF($K$2:$K$5001,"&gt;="&amp;K1147,$I$2:$I$5001)/MAX(1,SUM($H$2:$H$5001)),"")</f>
        <v/>
      </c>
      <c r="M1147" s="47" t="str">
        <f aca="false">IF($A1147="","",INDEX($L$2:$L$5001,MATCH($A1147,$A$2:$A$5001,0)))</f>
        <v/>
      </c>
      <c r="N1147" s="48" t="str">
        <f aca="false">IF($A1147="","",IF(N(M1147)=0,"–",IF(M1147&lt;=Start!$D$20,"A",IF(M1147&lt;=Start!$D$21,"B","C"))))</f>
        <v/>
      </c>
      <c r="O1147" s="48" t="str">
        <f aca="false">IF($A1147="","",IF(NOT(ISNUMBER(F1147)),"Wert fehlt; ",IF(F1147&lt;=0,"Wert ist 0; ",""))&amp;IF(NOT(ISNUMBER(E1147)),"Bestand fehlt; ",IF(E1147&lt;0,"Bestand negativ; ",IF(E1147=0,"Nullbestand; ","")))&amp;IF(D1147="","Warengruppe fehlt; ","")&amp;IF(B1147="","Bezeichnung fehlt; ","")&amp;IF(COUNTIFS($A$2:$A$5001,$A1147,$C$2:$C$5001,C1147)&gt;1,"Artikel doppelt im selben Lager; ",""))</f>
        <v/>
      </c>
      <c r="P1147" s="47" t="n">
        <f aca="false">IF(OR($A1147="",D1147=""),0,IF(COUNTIF($D$2:D1147,D1147)=1,SUMIF($D$2:$D$5001,D1147,$H$2:$H$5001)+ROW()/10000000,0))</f>
        <v>0</v>
      </c>
      <c r="Q1147" s="47" t="n">
        <f aca="false">IF(OR($A1147="",C1147=""),0,IF(COUNTIF($C$2:C1147,C1147)=1,SUMIF($C$2:$C$5001,C1147,$H$2:$H$5001)+ROW()/10000000,0))</f>
        <v>0</v>
      </c>
    </row>
    <row r="1148" customFormat="false" ht="15" hidden="false" customHeight="false" outlineLevel="0" collapsed="false">
      <c r="A1148" s="43"/>
      <c r="B1148" s="44"/>
      <c r="C1148" s="44"/>
      <c r="D1148" s="44"/>
      <c r="E1148" s="44"/>
      <c r="F1148" s="44"/>
      <c r="G1148" s="44"/>
      <c r="H1148" s="46" t="str">
        <f aca="false">IF($A1148="","",IF(OR(NOT(ISNUMBER(E1148)),NOT(ISNUMBER(F1148))),"",MAX(0,E1148)*F1148))</f>
        <v/>
      </c>
      <c r="I1148" s="46" t="str">
        <f aca="false">IF($A1148="","",SUMIF($A$2:$A$5001,$A1148,$H$2:$H$5001))</f>
        <v/>
      </c>
      <c r="J1148" s="47" t="n">
        <f aca="false">IF($A1148="",0,IF(COUNTIF($A$2:A1148,$A1148)=1,1,0))</f>
        <v>0</v>
      </c>
      <c r="K1148" s="47" t="n">
        <f aca="false">IF(J1148=1,N(I1148)+ROW()/10000000,0)</f>
        <v>0</v>
      </c>
      <c r="L1148" s="47" t="str">
        <f aca="false">IF(AND(J1148=1,N(I1148)&gt;0),SUMIF($K$2:$K$5001,"&gt;="&amp;K1148,$I$2:$I$5001)/MAX(1,SUM($H$2:$H$5001)),"")</f>
        <v/>
      </c>
      <c r="M1148" s="47" t="str">
        <f aca="false">IF($A1148="","",INDEX($L$2:$L$5001,MATCH($A1148,$A$2:$A$5001,0)))</f>
        <v/>
      </c>
      <c r="N1148" s="48" t="str">
        <f aca="false">IF($A1148="","",IF(N(M1148)=0,"–",IF(M1148&lt;=Start!$D$20,"A",IF(M1148&lt;=Start!$D$21,"B","C"))))</f>
        <v/>
      </c>
      <c r="O1148" s="48" t="str">
        <f aca="false">IF($A1148="","",IF(NOT(ISNUMBER(F1148)),"Wert fehlt; ",IF(F1148&lt;=0,"Wert ist 0; ",""))&amp;IF(NOT(ISNUMBER(E1148)),"Bestand fehlt; ",IF(E1148&lt;0,"Bestand negativ; ",IF(E1148=0,"Nullbestand; ","")))&amp;IF(D1148="","Warengruppe fehlt; ","")&amp;IF(B1148="","Bezeichnung fehlt; ","")&amp;IF(COUNTIFS($A$2:$A$5001,$A1148,$C$2:$C$5001,C1148)&gt;1,"Artikel doppelt im selben Lager; ",""))</f>
        <v/>
      </c>
      <c r="P1148" s="47" t="n">
        <f aca="false">IF(OR($A1148="",D1148=""),0,IF(COUNTIF($D$2:D1148,D1148)=1,SUMIF($D$2:$D$5001,D1148,$H$2:$H$5001)+ROW()/10000000,0))</f>
        <v>0</v>
      </c>
      <c r="Q1148" s="47" t="n">
        <f aca="false">IF(OR($A1148="",C1148=""),0,IF(COUNTIF($C$2:C1148,C1148)=1,SUMIF($C$2:$C$5001,C1148,$H$2:$H$5001)+ROW()/10000000,0))</f>
        <v>0</v>
      </c>
    </row>
    <row r="1149" customFormat="false" ht="15" hidden="false" customHeight="false" outlineLevel="0" collapsed="false">
      <c r="A1149" s="43"/>
      <c r="B1149" s="44"/>
      <c r="C1149" s="44"/>
      <c r="D1149" s="44"/>
      <c r="E1149" s="44"/>
      <c r="F1149" s="44"/>
      <c r="G1149" s="44"/>
      <c r="H1149" s="46" t="str">
        <f aca="false">IF($A1149="","",IF(OR(NOT(ISNUMBER(E1149)),NOT(ISNUMBER(F1149))),"",MAX(0,E1149)*F1149))</f>
        <v/>
      </c>
      <c r="I1149" s="46" t="str">
        <f aca="false">IF($A1149="","",SUMIF($A$2:$A$5001,$A1149,$H$2:$H$5001))</f>
        <v/>
      </c>
      <c r="J1149" s="47" t="n">
        <f aca="false">IF($A1149="",0,IF(COUNTIF($A$2:A1149,$A1149)=1,1,0))</f>
        <v>0</v>
      </c>
      <c r="K1149" s="47" t="n">
        <f aca="false">IF(J1149=1,N(I1149)+ROW()/10000000,0)</f>
        <v>0</v>
      </c>
      <c r="L1149" s="47" t="str">
        <f aca="false">IF(AND(J1149=1,N(I1149)&gt;0),SUMIF($K$2:$K$5001,"&gt;="&amp;K1149,$I$2:$I$5001)/MAX(1,SUM($H$2:$H$5001)),"")</f>
        <v/>
      </c>
      <c r="M1149" s="47" t="str">
        <f aca="false">IF($A1149="","",INDEX($L$2:$L$5001,MATCH($A1149,$A$2:$A$5001,0)))</f>
        <v/>
      </c>
      <c r="N1149" s="48" t="str">
        <f aca="false">IF($A1149="","",IF(N(M1149)=0,"–",IF(M1149&lt;=Start!$D$20,"A",IF(M1149&lt;=Start!$D$21,"B","C"))))</f>
        <v/>
      </c>
      <c r="O1149" s="48" t="str">
        <f aca="false">IF($A1149="","",IF(NOT(ISNUMBER(F1149)),"Wert fehlt; ",IF(F1149&lt;=0,"Wert ist 0; ",""))&amp;IF(NOT(ISNUMBER(E1149)),"Bestand fehlt; ",IF(E1149&lt;0,"Bestand negativ; ",IF(E1149=0,"Nullbestand; ","")))&amp;IF(D1149="","Warengruppe fehlt; ","")&amp;IF(B1149="","Bezeichnung fehlt; ","")&amp;IF(COUNTIFS($A$2:$A$5001,$A1149,$C$2:$C$5001,C1149)&gt;1,"Artikel doppelt im selben Lager; ",""))</f>
        <v/>
      </c>
      <c r="P1149" s="47" t="n">
        <f aca="false">IF(OR($A1149="",D1149=""),0,IF(COUNTIF($D$2:D1149,D1149)=1,SUMIF($D$2:$D$5001,D1149,$H$2:$H$5001)+ROW()/10000000,0))</f>
        <v>0</v>
      </c>
      <c r="Q1149" s="47" t="n">
        <f aca="false">IF(OR($A1149="",C1149=""),0,IF(COUNTIF($C$2:C1149,C1149)=1,SUMIF($C$2:$C$5001,C1149,$H$2:$H$5001)+ROW()/10000000,0))</f>
        <v>0</v>
      </c>
    </row>
    <row r="1150" customFormat="false" ht="15" hidden="false" customHeight="false" outlineLevel="0" collapsed="false">
      <c r="A1150" s="43"/>
      <c r="B1150" s="44"/>
      <c r="C1150" s="44"/>
      <c r="D1150" s="44"/>
      <c r="E1150" s="44"/>
      <c r="F1150" s="44"/>
      <c r="G1150" s="44"/>
      <c r="H1150" s="46" t="str">
        <f aca="false">IF($A1150="","",IF(OR(NOT(ISNUMBER(E1150)),NOT(ISNUMBER(F1150))),"",MAX(0,E1150)*F1150))</f>
        <v/>
      </c>
      <c r="I1150" s="46" t="str">
        <f aca="false">IF($A1150="","",SUMIF($A$2:$A$5001,$A1150,$H$2:$H$5001))</f>
        <v/>
      </c>
      <c r="J1150" s="47" t="n">
        <f aca="false">IF($A1150="",0,IF(COUNTIF($A$2:A1150,$A1150)=1,1,0))</f>
        <v>0</v>
      </c>
      <c r="K1150" s="47" t="n">
        <f aca="false">IF(J1150=1,N(I1150)+ROW()/10000000,0)</f>
        <v>0</v>
      </c>
      <c r="L1150" s="47" t="str">
        <f aca="false">IF(AND(J1150=1,N(I1150)&gt;0),SUMIF($K$2:$K$5001,"&gt;="&amp;K1150,$I$2:$I$5001)/MAX(1,SUM($H$2:$H$5001)),"")</f>
        <v/>
      </c>
      <c r="M1150" s="47" t="str">
        <f aca="false">IF($A1150="","",INDEX($L$2:$L$5001,MATCH($A1150,$A$2:$A$5001,0)))</f>
        <v/>
      </c>
      <c r="N1150" s="48" t="str">
        <f aca="false">IF($A1150="","",IF(N(M1150)=0,"–",IF(M1150&lt;=Start!$D$20,"A",IF(M1150&lt;=Start!$D$21,"B","C"))))</f>
        <v/>
      </c>
      <c r="O1150" s="48" t="str">
        <f aca="false">IF($A1150="","",IF(NOT(ISNUMBER(F1150)),"Wert fehlt; ",IF(F1150&lt;=0,"Wert ist 0; ",""))&amp;IF(NOT(ISNUMBER(E1150)),"Bestand fehlt; ",IF(E1150&lt;0,"Bestand negativ; ",IF(E1150=0,"Nullbestand; ","")))&amp;IF(D1150="","Warengruppe fehlt; ","")&amp;IF(B1150="","Bezeichnung fehlt; ","")&amp;IF(COUNTIFS($A$2:$A$5001,$A1150,$C$2:$C$5001,C1150)&gt;1,"Artikel doppelt im selben Lager; ",""))</f>
        <v/>
      </c>
      <c r="P1150" s="47" t="n">
        <f aca="false">IF(OR($A1150="",D1150=""),0,IF(COUNTIF($D$2:D1150,D1150)=1,SUMIF($D$2:$D$5001,D1150,$H$2:$H$5001)+ROW()/10000000,0))</f>
        <v>0</v>
      </c>
      <c r="Q1150" s="47" t="n">
        <f aca="false">IF(OR($A1150="",C1150=""),0,IF(COUNTIF($C$2:C1150,C1150)=1,SUMIF($C$2:$C$5001,C1150,$H$2:$H$5001)+ROW()/10000000,0))</f>
        <v>0</v>
      </c>
    </row>
    <row r="1151" customFormat="false" ht="15" hidden="false" customHeight="false" outlineLevel="0" collapsed="false">
      <c r="A1151" s="43"/>
      <c r="B1151" s="44"/>
      <c r="C1151" s="44"/>
      <c r="D1151" s="44"/>
      <c r="E1151" s="44"/>
      <c r="F1151" s="44"/>
      <c r="G1151" s="44"/>
      <c r="H1151" s="46" t="str">
        <f aca="false">IF($A1151="","",IF(OR(NOT(ISNUMBER(E1151)),NOT(ISNUMBER(F1151))),"",MAX(0,E1151)*F1151))</f>
        <v/>
      </c>
      <c r="I1151" s="46" t="str">
        <f aca="false">IF($A1151="","",SUMIF($A$2:$A$5001,$A1151,$H$2:$H$5001))</f>
        <v/>
      </c>
      <c r="J1151" s="47" t="n">
        <f aca="false">IF($A1151="",0,IF(COUNTIF($A$2:A1151,$A1151)=1,1,0))</f>
        <v>0</v>
      </c>
      <c r="K1151" s="47" t="n">
        <f aca="false">IF(J1151=1,N(I1151)+ROW()/10000000,0)</f>
        <v>0</v>
      </c>
      <c r="L1151" s="47" t="str">
        <f aca="false">IF(AND(J1151=1,N(I1151)&gt;0),SUMIF($K$2:$K$5001,"&gt;="&amp;K1151,$I$2:$I$5001)/MAX(1,SUM($H$2:$H$5001)),"")</f>
        <v/>
      </c>
      <c r="M1151" s="47" t="str">
        <f aca="false">IF($A1151="","",INDEX($L$2:$L$5001,MATCH($A1151,$A$2:$A$5001,0)))</f>
        <v/>
      </c>
      <c r="N1151" s="48" t="str">
        <f aca="false">IF($A1151="","",IF(N(M1151)=0,"–",IF(M1151&lt;=Start!$D$20,"A",IF(M1151&lt;=Start!$D$21,"B","C"))))</f>
        <v/>
      </c>
      <c r="O1151" s="48" t="str">
        <f aca="false">IF($A1151="","",IF(NOT(ISNUMBER(F1151)),"Wert fehlt; ",IF(F1151&lt;=0,"Wert ist 0; ",""))&amp;IF(NOT(ISNUMBER(E1151)),"Bestand fehlt; ",IF(E1151&lt;0,"Bestand negativ; ",IF(E1151=0,"Nullbestand; ","")))&amp;IF(D1151="","Warengruppe fehlt; ","")&amp;IF(B1151="","Bezeichnung fehlt; ","")&amp;IF(COUNTIFS($A$2:$A$5001,$A1151,$C$2:$C$5001,C1151)&gt;1,"Artikel doppelt im selben Lager; ",""))</f>
        <v/>
      </c>
      <c r="P1151" s="47" t="n">
        <f aca="false">IF(OR($A1151="",D1151=""),0,IF(COUNTIF($D$2:D1151,D1151)=1,SUMIF($D$2:$D$5001,D1151,$H$2:$H$5001)+ROW()/10000000,0))</f>
        <v>0</v>
      </c>
      <c r="Q1151" s="47" t="n">
        <f aca="false">IF(OR($A1151="",C1151=""),0,IF(COUNTIF($C$2:C1151,C1151)=1,SUMIF($C$2:$C$5001,C1151,$H$2:$H$5001)+ROW()/10000000,0))</f>
        <v>0</v>
      </c>
    </row>
    <row r="1152" customFormat="false" ht="15" hidden="false" customHeight="false" outlineLevel="0" collapsed="false">
      <c r="A1152" s="43"/>
      <c r="B1152" s="44"/>
      <c r="C1152" s="44"/>
      <c r="D1152" s="44"/>
      <c r="E1152" s="44"/>
      <c r="F1152" s="44"/>
      <c r="G1152" s="44"/>
      <c r="H1152" s="46" t="str">
        <f aca="false">IF($A1152="","",IF(OR(NOT(ISNUMBER(E1152)),NOT(ISNUMBER(F1152))),"",MAX(0,E1152)*F1152))</f>
        <v/>
      </c>
      <c r="I1152" s="46" t="str">
        <f aca="false">IF($A1152="","",SUMIF($A$2:$A$5001,$A1152,$H$2:$H$5001))</f>
        <v/>
      </c>
      <c r="J1152" s="47" t="n">
        <f aca="false">IF($A1152="",0,IF(COUNTIF($A$2:A1152,$A1152)=1,1,0))</f>
        <v>0</v>
      </c>
      <c r="K1152" s="47" t="n">
        <f aca="false">IF(J1152=1,N(I1152)+ROW()/10000000,0)</f>
        <v>0</v>
      </c>
      <c r="L1152" s="47" t="str">
        <f aca="false">IF(AND(J1152=1,N(I1152)&gt;0),SUMIF($K$2:$K$5001,"&gt;="&amp;K1152,$I$2:$I$5001)/MAX(1,SUM($H$2:$H$5001)),"")</f>
        <v/>
      </c>
      <c r="M1152" s="47" t="str">
        <f aca="false">IF($A1152="","",INDEX($L$2:$L$5001,MATCH($A1152,$A$2:$A$5001,0)))</f>
        <v/>
      </c>
      <c r="N1152" s="48" t="str">
        <f aca="false">IF($A1152="","",IF(N(M1152)=0,"–",IF(M1152&lt;=Start!$D$20,"A",IF(M1152&lt;=Start!$D$21,"B","C"))))</f>
        <v/>
      </c>
      <c r="O1152" s="48" t="str">
        <f aca="false">IF($A1152="","",IF(NOT(ISNUMBER(F1152)),"Wert fehlt; ",IF(F1152&lt;=0,"Wert ist 0; ",""))&amp;IF(NOT(ISNUMBER(E1152)),"Bestand fehlt; ",IF(E1152&lt;0,"Bestand negativ; ",IF(E1152=0,"Nullbestand; ","")))&amp;IF(D1152="","Warengruppe fehlt; ","")&amp;IF(B1152="","Bezeichnung fehlt; ","")&amp;IF(COUNTIFS($A$2:$A$5001,$A1152,$C$2:$C$5001,C1152)&gt;1,"Artikel doppelt im selben Lager; ",""))</f>
        <v/>
      </c>
      <c r="P1152" s="47" t="n">
        <f aca="false">IF(OR($A1152="",D1152=""),0,IF(COUNTIF($D$2:D1152,D1152)=1,SUMIF($D$2:$D$5001,D1152,$H$2:$H$5001)+ROW()/10000000,0))</f>
        <v>0</v>
      </c>
      <c r="Q1152" s="47" t="n">
        <f aca="false">IF(OR($A1152="",C1152=""),0,IF(COUNTIF($C$2:C1152,C1152)=1,SUMIF($C$2:$C$5001,C1152,$H$2:$H$5001)+ROW()/10000000,0))</f>
        <v>0</v>
      </c>
    </row>
    <row r="1153" customFormat="false" ht="15" hidden="false" customHeight="false" outlineLevel="0" collapsed="false">
      <c r="A1153" s="43"/>
      <c r="B1153" s="44"/>
      <c r="C1153" s="44"/>
      <c r="D1153" s="44"/>
      <c r="E1153" s="44"/>
      <c r="F1153" s="44"/>
      <c r="G1153" s="44"/>
      <c r="H1153" s="46" t="str">
        <f aca="false">IF($A1153="","",IF(OR(NOT(ISNUMBER(E1153)),NOT(ISNUMBER(F1153))),"",MAX(0,E1153)*F1153))</f>
        <v/>
      </c>
      <c r="I1153" s="46" t="str">
        <f aca="false">IF($A1153="","",SUMIF($A$2:$A$5001,$A1153,$H$2:$H$5001))</f>
        <v/>
      </c>
      <c r="J1153" s="47" t="n">
        <f aca="false">IF($A1153="",0,IF(COUNTIF($A$2:A1153,$A1153)=1,1,0))</f>
        <v>0</v>
      </c>
      <c r="K1153" s="47" t="n">
        <f aca="false">IF(J1153=1,N(I1153)+ROW()/10000000,0)</f>
        <v>0</v>
      </c>
      <c r="L1153" s="47" t="str">
        <f aca="false">IF(AND(J1153=1,N(I1153)&gt;0),SUMIF($K$2:$K$5001,"&gt;="&amp;K1153,$I$2:$I$5001)/MAX(1,SUM($H$2:$H$5001)),"")</f>
        <v/>
      </c>
      <c r="M1153" s="47" t="str">
        <f aca="false">IF($A1153="","",INDEX($L$2:$L$5001,MATCH($A1153,$A$2:$A$5001,0)))</f>
        <v/>
      </c>
      <c r="N1153" s="48" t="str">
        <f aca="false">IF($A1153="","",IF(N(M1153)=0,"–",IF(M1153&lt;=Start!$D$20,"A",IF(M1153&lt;=Start!$D$21,"B","C"))))</f>
        <v/>
      </c>
      <c r="O1153" s="48" t="str">
        <f aca="false">IF($A1153="","",IF(NOT(ISNUMBER(F1153)),"Wert fehlt; ",IF(F1153&lt;=0,"Wert ist 0; ",""))&amp;IF(NOT(ISNUMBER(E1153)),"Bestand fehlt; ",IF(E1153&lt;0,"Bestand negativ; ",IF(E1153=0,"Nullbestand; ","")))&amp;IF(D1153="","Warengruppe fehlt; ","")&amp;IF(B1153="","Bezeichnung fehlt; ","")&amp;IF(COUNTIFS($A$2:$A$5001,$A1153,$C$2:$C$5001,C1153)&gt;1,"Artikel doppelt im selben Lager; ",""))</f>
        <v/>
      </c>
      <c r="P1153" s="47" t="n">
        <f aca="false">IF(OR($A1153="",D1153=""),0,IF(COUNTIF($D$2:D1153,D1153)=1,SUMIF($D$2:$D$5001,D1153,$H$2:$H$5001)+ROW()/10000000,0))</f>
        <v>0</v>
      </c>
      <c r="Q1153" s="47" t="n">
        <f aca="false">IF(OR($A1153="",C1153=""),0,IF(COUNTIF($C$2:C1153,C1153)=1,SUMIF($C$2:$C$5001,C1153,$H$2:$H$5001)+ROW()/10000000,0))</f>
        <v>0</v>
      </c>
    </row>
    <row r="1154" customFormat="false" ht="15" hidden="false" customHeight="false" outlineLevel="0" collapsed="false">
      <c r="A1154" s="43"/>
      <c r="B1154" s="44"/>
      <c r="C1154" s="44"/>
      <c r="D1154" s="44"/>
      <c r="E1154" s="44"/>
      <c r="F1154" s="44"/>
      <c r="G1154" s="44"/>
      <c r="H1154" s="46" t="str">
        <f aca="false">IF($A1154="","",IF(OR(NOT(ISNUMBER(E1154)),NOT(ISNUMBER(F1154))),"",MAX(0,E1154)*F1154))</f>
        <v/>
      </c>
      <c r="I1154" s="46" t="str">
        <f aca="false">IF($A1154="","",SUMIF($A$2:$A$5001,$A1154,$H$2:$H$5001))</f>
        <v/>
      </c>
      <c r="J1154" s="47" t="n">
        <f aca="false">IF($A1154="",0,IF(COUNTIF($A$2:A1154,$A1154)=1,1,0))</f>
        <v>0</v>
      </c>
      <c r="K1154" s="47" t="n">
        <f aca="false">IF(J1154=1,N(I1154)+ROW()/10000000,0)</f>
        <v>0</v>
      </c>
      <c r="L1154" s="47" t="str">
        <f aca="false">IF(AND(J1154=1,N(I1154)&gt;0),SUMIF($K$2:$K$5001,"&gt;="&amp;K1154,$I$2:$I$5001)/MAX(1,SUM($H$2:$H$5001)),"")</f>
        <v/>
      </c>
      <c r="M1154" s="47" t="str">
        <f aca="false">IF($A1154="","",INDEX($L$2:$L$5001,MATCH($A1154,$A$2:$A$5001,0)))</f>
        <v/>
      </c>
      <c r="N1154" s="48" t="str">
        <f aca="false">IF($A1154="","",IF(N(M1154)=0,"–",IF(M1154&lt;=Start!$D$20,"A",IF(M1154&lt;=Start!$D$21,"B","C"))))</f>
        <v/>
      </c>
      <c r="O1154" s="48" t="str">
        <f aca="false">IF($A1154="","",IF(NOT(ISNUMBER(F1154)),"Wert fehlt; ",IF(F1154&lt;=0,"Wert ist 0; ",""))&amp;IF(NOT(ISNUMBER(E1154)),"Bestand fehlt; ",IF(E1154&lt;0,"Bestand negativ; ",IF(E1154=0,"Nullbestand; ","")))&amp;IF(D1154="","Warengruppe fehlt; ","")&amp;IF(B1154="","Bezeichnung fehlt; ","")&amp;IF(COUNTIFS($A$2:$A$5001,$A1154,$C$2:$C$5001,C1154)&gt;1,"Artikel doppelt im selben Lager; ",""))</f>
        <v/>
      </c>
      <c r="P1154" s="47" t="n">
        <f aca="false">IF(OR($A1154="",D1154=""),0,IF(COUNTIF($D$2:D1154,D1154)=1,SUMIF($D$2:$D$5001,D1154,$H$2:$H$5001)+ROW()/10000000,0))</f>
        <v>0</v>
      </c>
      <c r="Q1154" s="47" t="n">
        <f aca="false">IF(OR($A1154="",C1154=""),0,IF(COUNTIF($C$2:C1154,C1154)=1,SUMIF($C$2:$C$5001,C1154,$H$2:$H$5001)+ROW()/10000000,0))</f>
        <v>0</v>
      </c>
    </row>
    <row r="1155" customFormat="false" ht="15" hidden="false" customHeight="false" outlineLevel="0" collapsed="false">
      <c r="A1155" s="43"/>
      <c r="B1155" s="44"/>
      <c r="C1155" s="44"/>
      <c r="D1155" s="44"/>
      <c r="E1155" s="44"/>
      <c r="F1155" s="44"/>
      <c r="G1155" s="44"/>
      <c r="H1155" s="46" t="str">
        <f aca="false">IF($A1155="","",IF(OR(NOT(ISNUMBER(E1155)),NOT(ISNUMBER(F1155))),"",MAX(0,E1155)*F1155))</f>
        <v/>
      </c>
      <c r="I1155" s="46" t="str">
        <f aca="false">IF($A1155="","",SUMIF($A$2:$A$5001,$A1155,$H$2:$H$5001))</f>
        <v/>
      </c>
      <c r="J1155" s="47" t="n">
        <f aca="false">IF($A1155="",0,IF(COUNTIF($A$2:A1155,$A1155)=1,1,0))</f>
        <v>0</v>
      </c>
      <c r="K1155" s="47" t="n">
        <f aca="false">IF(J1155=1,N(I1155)+ROW()/10000000,0)</f>
        <v>0</v>
      </c>
      <c r="L1155" s="47" t="str">
        <f aca="false">IF(AND(J1155=1,N(I1155)&gt;0),SUMIF($K$2:$K$5001,"&gt;="&amp;K1155,$I$2:$I$5001)/MAX(1,SUM($H$2:$H$5001)),"")</f>
        <v/>
      </c>
      <c r="M1155" s="47" t="str">
        <f aca="false">IF($A1155="","",INDEX($L$2:$L$5001,MATCH($A1155,$A$2:$A$5001,0)))</f>
        <v/>
      </c>
      <c r="N1155" s="48" t="str">
        <f aca="false">IF($A1155="","",IF(N(M1155)=0,"–",IF(M1155&lt;=Start!$D$20,"A",IF(M1155&lt;=Start!$D$21,"B","C"))))</f>
        <v/>
      </c>
      <c r="O1155" s="48" t="str">
        <f aca="false">IF($A1155="","",IF(NOT(ISNUMBER(F1155)),"Wert fehlt; ",IF(F1155&lt;=0,"Wert ist 0; ",""))&amp;IF(NOT(ISNUMBER(E1155)),"Bestand fehlt; ",IF(E1155&lt;0,"Bestand negativ; ",IF(E1155=0,"Nullbestand; ","")))&amp;IF(D1155="","Warengruppe fehlt; ","")&amp;IF(B1155="","Bezeichnung fehlt; ","")&amp;IF(COUNTIFS($A$2:$A$5001,$A1155,$C$2:$C$5001,C1155)&gt;1,"Artikel doppelt im selben Lager; ",""))</f>
        <v/>
      </c>
      <c r="P1155" s="47" t="n">
        <f aca="false">IF(OR($A1155="",D1155=""),0,IF(COUNTIF($D$2:D1155,D1155)=1,SUMIF($D$2:$D$5001,D1155,$H$2:$H$5001)+ROW()/10000000,0))</f>
        <v>0</v>
      </c>
      <c r="Q1155" s="47" t="n">
        <f aca="false">IF(OR($A1155="",C1155=""),0,IF(COUNTIF($C$2:C1155,C1155)=1,SUMIF($C$2:$C$5001,C1155,$H$2:$H$5001)+ROW()/10000000,0))</f>
        <v>0</v>
      </c>
    </row>
    <row r="1156" customFormat="false" ht="15" hidden="false" customHeight="false" outlineLevel="0" collapsed="false">
      <c r="A1156" s="43"/>
      <c r="B1156" s="44"/>
      <c r="C1156" s="44"/>
      <c r="D1156" s="44"/>
      <c r="E1156" s="44"/>
      <c r="F1156" s="44"/>
      <c r="G1156" s="44"/>
      <c r="H1156" s="46" t="str">
        <f aca="false">IF($A1156="","",IF(OR(NOT(ISNUMBER(E1156)),NOT(ISNUMBER(F1156))),"",MAX(0,E1156)*F1156))</f>
        <v/>
      </c>
      <c r="I1156" s="46" t="str">
        <f aca="false">IF($A1156="","",SUMIF($A$2:$A$5001,$A1156,$H$2:$H$5001))</f>
        <v/>
      </c>
      <c r="J1156" s="47" t="n">
        <f aca="false">IF($A1156="",0,IF(COUNTIF($A$2:A1156,$A1156)=1,1,0))</f>
        <v>0</v>
      </c>
      <c r="K1156" s="47" t="n">
        <f aca="false">IF(J1156=1,N(I1156)+ROW()/10000000,0)</f>
        <v>0</v>
      </c>
      <c r="L1156" s="47" t="str">
        <f aca="false">IF(AND(J1156=1,N(I1156)&gt;0),SUMIF($K$2:$K$5001,"&gt;="&amp;K1156,$I$2:$I$5001)/MAX(1,SUM($H$2:$H$5001)),"")</f>
        <v/>
      </c>
      <c r="M1156" s="47" t="str">
        <f aca="false">IF($A1156="","",INDEX($L$2:$L$5001,MATCH($A1156,$A$2:$A$5001,0)))</f>
        <v/>
      </c>
      <c r="N1156" s="48" t="str">
        <f aca="false">IF($A1156="","",IF(N(M1156)=0,"–",IF(M1156&lt;=Start!$D$20,"A",IF(M1156&lt;=Start!$D$21,"B","C"))))</f>
        <v/>
      </c>
      <c r="O1156" s="48" t="str">
        <f aca="false">IF($A1156="","",IF(NOT(ISNUMBER(F1156)),"Wert fehlt; ",IF(F1156&lt;=0,"Wert ist 0; ",""))&amp;IF(NOT(ISNUMBER(E1156)),"Bestand fehlt; ",IF(E1156&lt;0,"Bestand negativ; ",IF(E1156=0,"Nullbestand; ","")))&amp;IF(D1156="","Warengruppe fehlt; ","")&amp;IF(B1156="","Bezeichnung fehlt; ","")&amp;IF(COUNTIFS($A$2:$A$5001,$A1156,$C$2:$C$5001,C1156)&gt;1,"Artikel doppelt im selben Lager; ",""))</f>
        <v/>
      </c>
      <c r="P1156" s="47" t="n">
        <f aca="false">IF(OR($A1156="",D1156=""),0,IF(COUNTIF($D$2:D1156,D1156)=1,SUMIF($D$2:$D$5001,D1156,$H$2:$H$5001)+ROW()/10000000,0))</f>
        <v>0</v>
      </c>
      <c r="Q1156" s="47" t="n">
        <f aca="false">IF(OR($A1156="",C1156=""),0,IF(COUNTIF($C$2:C1156,C1156)=1,SUMIF($C$2:$C$5001,C1156,$H$2:$H$5001)+ROW()/10000000,0))</f>
        <v>0</v>
      </c>
    </row>
    <row r="1157" customFormat="false" ht="15" hidden="false" customHeight="false" outlineLevel="0" collapsed="false">
      <c r="A1157" s="43"/>
      <c r="B1157" s="44"/>
      <c r="C1157" s="44"/>
      <c r="D1157" s="44"/>
      <c r="E1157" s="44"/>
      <c r="F1157" s="44"/>
      <c r="G1157" s="44"/>
      <c r="H1157" s="46" t="str">
        <f aca="false">IF($A1157="","",IF(OR(NOT(ISNUMBER(E1157)),NOT(ISNUMBER(F1157))),"",MAX(0,E1157)*F1157))</f>
        <v/>
      </c>
      <c r="I1157" s="46" t="str">
        <f aca="false">IF($A1157="","",SUMIF($A$2:$A$5001,$A1157,$H$2:$H$5001))</f>
        <v/>
      </c>
      <c r="J1157" s="47" t="n">
        <f aca="false">IF($A1157="",0,IF(COUNTIF($A$2:A1157,$A1157)=1,1,0))</f>
        <v>0</v>
      </c>
      <c r="K1157" s="47" t="n">
        <f aca="false">IF(J1157=1,N(I1157)+ROW()/10000000,0)</f>
        <v>0</v>
      </c>
      <c r="L1157" s="47" t="str">
        <f aca="false">IF(AND(J1157=1,N(I1157)&gt;0),SUMIF($K$2:$K$5001,"&gt;="&amp;K1157,$I$2:$I$5001)/MAX(1,SUM($H$2:$H$5001)),"")</f>
        <v/>
      </c>
      <c r="M1157" s="47" t="str">
        <f aca="false">IF($A1157="","",INDEX($L$2:$L$5001,MATCH($A1157,$A$2:$A$5001,0)))</f>
        <v/>
      </c>
      <c r="N1157" s="48" t="str">
        <f aca="false">IF($A1157="","",IF(N(M1157)=0,"–",IF(M1157&lt;=Start!$D$20,"A",IF(M1157&lt;=Start!$D$21,"B","C"))))</f>
        <v/>
      </c>
      <c r="O1157" s="48" t="str">
        <f aca="false">IF($A1157="","",IF(NOT(ISNUMBER(F1157)),"Wert fehlt; ",IF(F1157&lt;=0,"Wert ist 0; ",""))&amp;IF(NOT(ISNUMBER(E1157)),"Bestand fehlt; ",IF(E1157&lt;0,"Bestand negativ; ",IF(E1157=0,"Nullbestand; ","")))&amp;IF(D1157="","Warengruppe fehlt; ","")&amp;IF(B1157="","Bezeichnung fehlt; ","")&amp;IF(COUNTIFS($A$2:$A$5001,$A1157,$C$2:$C$5001,C1157)&gt;1,"Artikel doppelt im selben Lager; ",""))</f>
        <v/>
      </c>
      <c r="P1157" s="47" t="n">
        <f aca="false">IF(OR($A1157="",D1157=""),0,IF(COUNTIF($D$2:D1157,D1157)=1,SUMIF($D$2:$D$5001,D1157,$H$2:$H$5001)+ROW()/10000000,0))</f>
        <v>0</v>
      </c>
      <c r="Q1157" s="47" t="n">
        <f aca="false">IF(OR($A1157="",C1157=""),0,IF(COUNTIF($C$2:C1157,C1157)=1,SUMIF($C$2:$C$5001,C1157,$H$2:$H$5001)+ROW()/10000000,0))</f>
        <v>0</v>
      </c>
    </row>
    <row r="1158" customFormat="false" ht="15" hidden="false" customHeight="false" outlineLevel="0" collapsed="false">
      <c r="A1158" s="43"/>
      <c r="B1158" s="44"/>
      <c r="C1158" s="44"/>
      <c r="D1158" s="44"/>
      <c r="E1158" s="44"/>
      <c r="F1158" s="44"/>
      <c r="G1158" s="44"/>
      <c r="H1158" s="46" t="str">
        <f aca="false">IF($A1158="","",IF(OR(NOT(ISNUMBER(E1158)),NOT(ISNUMBER(F1158))),"",MAX(0,E1158)*F1158))</f>
        <v/>
      </c>
      <c r="I1158" s="46" t="str">
        <f aca="false">IF($A1158="","",SUMIF($A$2:$A$5001,$A1158,$H$2:$H$5001))</f>
        <v/>
      </c>
      <c r="J1158" s="47" t="n">
        <f aca="false">IF($A1158="",0,IF(COUNTIF($A$2:A1158,$A1158)=1,1,0))</f>
        <v>0</v>
      </c>
      <c r="K1158" s="47" t="n">
        <f aca="false">IF(J1158=1,N(I1158)+ROW()/10000000,0)</f>
        <v>0</v>
      </c>
      <c r="L1158" s="47" t="str">
        <f aca="false">IF(AND(J1158=1,N(I1158)&gt;0),SUMIF($K$2:$K$5001,"&gt;="&amp;K1158,$I$2:$I$5001)/MAX(1,SUM($H$2:$H$5001)),"")</f>
        <v/>
      </c>
      <c r="M1158" s="47" t="str">
        <f aca="false">IF($A1158="","",INDEX($L$2:$L$5001,MATCH($A1158,$A$2:$A$5001,0)))</f>
        <v/>
      </c>
      <c r="N1158" s="48" t="str">
        <f aca="false">IF($A1158="","",IF(N(M1158)=0,"–",IF(M1158&lt;=Start!$D$20,"A",IF(M1158&lt;=Start!$D$21,"B","C"))))</f>
        <v/>
      </c>
      <c r="O1158" s="48" t="str">
        <f aca="false">IF($A1158="","",IF(NOT(ISNUMBER(F1158)),"Wert fehlt; ",IF(F1158&lt;=0,"Wert ist 0; ",""))&amp;IF(NOT(ISNUMBER(E1158)),"Bestand fehlt; ",IF(E1158&lt;0,"Bestand negativ; ",IF(E1158=0,"Nullbestand; ","")))&amp;IF(D1158="","Warengruppe fehlt; ","")&amp;IF(B1158="","Bezeichnung fehlt; ","")&amp;IF(COUNTIFS($A$2:$A$5001,$A1158,$C$2:$C$5001,C1158)&gt;1,"Artikel doppelt im selben Lager; ",""))</f>
        <v/>
      </c>
      <c r="P1158" s="47" t="n">
        <f aca="false">IF(OR($A1158="",D1158=""),0,IF(COUNTIF($D$2:D1158,D1158)=1,SUMIF($D$2:$D$5001,D1158,$H$2:$H$5001)+ROW()/10000000,0))</f>
        <v>0</v>
      </c>
      <c r="Q1158" s="47" t="n">
        <f aca="false">IF(OR($A1158="",C1158=""),0,IF(COUNTIF($C$2:C1158,C1158)=1,SUMIF($C$2:$C$5001,C1158,$H$2:$H$5001)+ROW()/10000000,0))</f>
        <v>0</v>
      </c>
    </row>
    <row r="1159" customFormat="false" ht="15" hidden="false" customHeight="false" outlineLevel="0" collapsed="false">
      <c r="A1159" s="43"/>
      <c r="B1159" s="44"/>
      <c r="C1159" s="44"/>
      <c r="D1159" s="44"/>
      <c r="E1159" s="44"/>
      <c r="F1159" s="44"/>
      <c r="G1159" s="44"/>
      <c r="H1159" s="46" t="str">
        <f aca="false">IF($A1159="","",IF(OR(NOT(ISNUMBER(E1159)),NOT(ISNUMBER(F1159))),"",MAX(0,E1159)*F1159))</f>
        <v/>
      </c>
      <c r="I1159" s="46" t="str">
        <f aca="false">IF($A1159="","",SUMIF($A$2:$A$5001,$A1159,$H$2:$H$5001))</f>
        <v/>
      </c>
      <c r="J1159" s="47" t="n">
        <f aca="false">IF($A1159="",0,IF(COUNTIF($A$2:A1159,$A1159)=1,1,0))</f>
        <v>0</v>
      </c>
      <c r="K1159" s="47" t="n">
        <f aca="false">IF(J1159=1,N(I1159)+ROW()/10000000,0)</f>
        <v>0</v>
      </c>
      <c r="L1159" s="47" t="str">
        <f aca="false">IF(AND(J1159=1,N(I1159)&gt;0),SUMIF($K$2:$K$5001,"&gt;="&amp;K1159,$I$2:$I$5001)/MAX(1,SUM($H$2:$H$5001)),"")</f>
        <v/>
      </c>
      <c r="M1159" s="47" t="str">
        <f aca="false">IF($A1159="","",INDEX($L$2:$L$5001,MATCH($A1159,$A$2:$A$5001,0)))</f>
        <v/>
      </c>
      <c r="N1159" s="48" t="str">
        <f aca="false">IF($A1159="","",IF(N(M1159)=0,"–",IF(M1159&lt;=Start!$D$20,"A",IF(M1159&lt;=Start!$D$21,"B","C"))))</f>
        <v/>
      </c>
      <c r="O1159" s="48" t="str">
        <f aca="false">IF($A1159="","",IF(NOT(ISNUMBER(F1159)),"Wert fehlt; ",IF(F1159&lt;=0,"Wert ist 0; ",""))&amp;IF(NOT(ISNUMBER(E1159)),"Bestand fehlt; ",IF(E1159&lt;0,"Bestand negativ; ",IF(E1159=0,"Nullbestand; ","")))&amp;IF(D1159="","Warengruppe fehlt; ","")&amp;IF(B1159="","Bezeichnung fehlt; ","")&amp;IF(COUNTIFS($A$2:$A$5001,$A1159,$C$2:$C$5001,C1159)&gt;1,"Artikel doppelt im selben Lager; ",""))</f>
        <v/>
      </c>
      <c r="P1159" s="47" t="n">
        <f aca="false">IF(OR($A1159="",D1159=""),0,IF(COUNTIF($D$2:D1159,D1159)=1,SUMIF($D$2:$D$5001,D1159,$H$2:$H$5001)+ROW()/10000000,0))</f>
        <v>0</v>
      </c>
      <c r="Q1159" s="47" t="n">
        <f aca="false">IF(OR($A1159="",C1159=""),0,IF(COUNTIF($C$2:C1159,C1159)=1,SUMIF($C$2:$C$5001,C1159,$H$2:$H$5001)+ROW()/10000000,0))</f>
        <v>0</v>
      </c>
    </row>
    <row r="1160" customFormat="false" ht="15" hidden="false" customHeight="false" outlineLevel="0" collapsed="false">
      <c r="A1160" s="43"/>
      <c r="B1160" s="44"/>
      <c r="C1160" s="44"/>
      <c r="D1160" s="44"/>
      <c r="E1160" s="44"/>
      <c r="F1160" s="44"/>
      <c r="G1160" s="44"/>
      <c r="H1160" s="46" t="str">
        <f aca="false">IF($A1160="","",IF(OR(NOT(ISNUMBER(E1160)),NOT(ISNUMBER(F1160))),"",MAX(0,E1160)*F1160))</f>
        <v/>
      </c>
      <c r="I1160" s="46" t="str">
        <f aca="false">IF($A1160="","",SUMIF($A$2:$A$5001,$A1160,$H$2:$H$5001))</f>
        <v/>
      </c>
      <c r="J1160" s="47" t="n">
        <f aca="false">IF($A1160="",0,IF(COUNTIF($A$2:A1160,$A1160)=1,1,0))</f>
        <v>0</v>
      </c>
      <c r="K1160" s="47" t="n">
        <f aca="false">IF(J1160=1,N(I1160)+ROW()/10000000,0)</f>
        <v>0</v>
      </c>
      <c r="L1160" s="47" t="str">
        <f aca="false">IF(AND(J1160=1,N(I1160)&gt;0),SUMIF($K$2:$K$5001,"&gt;="&amp;K1160,$I$2:$I$5001)/MAX(1,SUM($H$2:$H$5001)),"")</f>
        <v/>
      </c>
      <c r="M1160" s="47" t="str">
        <f aca="false">IF($A1160="","",INDEX($L$2:$L$5001,MATCH($A1160,$A$2:$A$5001,0)))</f>
        <v/>
      </c>
      <c r="N1160" s="48" t="str">
        <f aca="false">IF($A1160="","",IF(N(M1160)=0,"–",IF(M1160&lt;=Start!$D$20,"A",IF(M1160&lt;=Start!$D$21,"B","C"))))</f>
        <v/>
      </c>
      <c r="O1160" s="48" t="str">
        <f aca="false">IF($A1160="","",IF(NOT(ISNUMBER(F1160)),"Wert fehlt; ",IF(F1160&lt;=0,"Wert ist 0; ",""))&amp;IF(NOT(ISNUMBER(E1160)),"Bestand fehlt; ",IF(E1160&lt;0,"Bestand negativ; ",IF(E1160=0,"Nullbestand; ","")))&amp;IF(D1160="","Warengruppe fehlt; ","")&amp;IF(B1160="","Bezeichnung fehlt; ","")&amp;IF(COUNTIFS($A$2:$A$5001,$A1160,$C$2:$C$5001,C1160)&gt;1,"Artikel doppelt im selben Lager; ",""))</f>
        <v/>
      </c>
      <c r="P1160" s="47" t="n">
        <f aca="false">IF(OR($A1160="",D1160=""),0,IF(COUNTIF($D$2:D1160,D1160)=1,SUMIF($D$2:$D$5001,D1160,$H$2:$H$5001)+ROW()/10000000,0))</f>
        <v>0</v>
      </c>
      <c r="Q1160" s="47" t="n">
        <f aca="false">IF(OR($A1160="",C1160=""),0,IF(COUNTIF($C$2:C1160,C1160)=1,SUMIF($C$2:$C$5001,C1160,$H$2:$H$5001)+ROW()/10000000,0))</f>
        <v>0</v>
      </c>
    </row>
    <row r="1161" customFormat="false" ht="15" hidden="false" customHeight="false" outlineLevel="0" collapsed="false">
      <c r="A1161" s="43"/>
      <c r="B1161" s="44"/>
      <c r="C1161" s="44"/>
      <c r="D1161" s="44"/>
      <c r="E1161" s="44"/>
      <c r="F1161" s="44"/>
      <c r="G1161" s="44"/>
      <c r="H1161" s="46" t="str">
        <f aca="false">IF($A1161="","",IF(OR(NOT(ISNUMBER(E1161)),NOT(ISNUMBER(F1161))),"",MAX(0,E1161)*F1161))</f>
        <v/>
      </c>
      <c r="I1161" s="46" t="str">
        <f aca="false">IF($A1161="","",SUMIF($A$2:$A$5001,$A1161,$H$2:$H$5001))</f>
        <v/>
      </c>
      <c r="J1161" s="47" t="n">
        <f aca="false">IF($A1161="",0,IF(COUNTIF($A$2:A1161,$A1161)=1,1,0))</f>
        <v>0</v>
      </c>
      <c r="K1161" s="47" t="n">
        <f aca="false">IF(J1161=1,N(I1161)+ROW()/10000000,0)</f>
        <v>0</v>
      </c>
      <c r="L1161" s="47" t="str">
        <f aca="false">IF(AND(J1161=1,N(I1161)&gt;0),SUMIF($K$2:$K$5001,"&gt;="&amp;K1161,$I$2:$I$5001)/MAX(1,SUM($H$2:$H$5001)),"")</f>
        <v/>
      </c>
      <c r="M1161" s="47" t="str">
        <f aca="false">IF($A1161="","",INDEX($L$2:$L$5001,MATCH($A1161,$A$2:$A$5001,0)))</f>
        <v/>
      </c>
      <c r="N1161" s="48" t="str">
        <f aca="false">IF($A1161="","",IF(N(M1161)=0,"–",IF(M1161&lt;=Start!$D$20,"A",IF(M1161&lt;=Start!$D$21,"B","C"))))</f>
        <v/>
      </c>
      <c r="O1161" s="48" t="str">
        <f aca="false">IF($A1161="","",IF(NOT(ISNUMBER(F1161)),"Wert fehlt; ",IF(F1161&lt;=0,"Wert ist 0; ",""))&amp;IF(NOT(ISNUMBER(E1161)),"Bestand fehlt; ",IF(E1161&lt;0,"Bestand negativ; ",IF(E1161=0,"Nullbestand; ","")))&amp;IF(D1161="","Warengruppe fehlt; ","")&amp;IF(B1161="","Bezeichnung fehlt; ","")&amp;IF(COUNTIFS($A$2:$A$5001,$A1161,$C$2:$C$5001,C1161)&gt;1,"Artikel doppelt im selben Lager; ",""))</f>
        <v/>
      </c>
      <c r="P1161" s="47" t="n">
        <f aca="false">IF(OR($A1161="",D1161=""),0,IF(COUNTIF($D$2:D1161,D1161)=1,SUMIF($D$2:$D$5001,D1161,$H$2:$H$5001)+ROW()/10000000,0))</f>
        <v>0</v>
      </c>
      <c r="Q1161" s="47" t="n">
        <f aca="false">IF(OR($A1161="",C1161=""),0,IF(COUNTIF($C$2:C1161,C1161)=1,SUMIF($C$2:$C$5001,C1161,$H$2:$H$5001)+ROW()/10000000,0))</f>
        <v>0</v>
      </c>
    </row>
    <row r="1162" customFormat="false" ht="15" hidden="false" customHeight="false" outlineLevel="0" collapsed="false">
      <c r="A1162" s="43"/>
      <c r="B1162" s="44"/>
      <c r="C1162" s="44"/>
      <c r="D1162" s="44"/>
      <c r="E1162" s="44"/>
      <c r="F1162" s="44"/>
      <c r="G1162" s="44"/>
      <c r="H1162" s="46" t="str">
        <f aca="false">IF($A1162="","",IF(OR(NOT(ISNUMBER(E1162)),NOT(ISNUMBER(F1162))),"",MAX(0,E1162)*F1162))</f>
        <v/>
      </c>
      <c r="I1162" s="46" t="str">
        <f aca="false">IF($A1162="","",SUMIF($A$2:$A$5001,$A1162,$H$2:$H$5001))</f>
        <v/>
      </c>
      <c r="J1162" s="47" t="n">
        <f aca="false">IF($A1162="",0,IF(COUNTIF($A$2:A1162,$A1162)=1,1,0))</f>
        <v>0</v>
      </c>
      <c r="K1162" s="47" t="n">
        <f aca="false">IF(J1162=1,N(I1162)+ROW()/10000000,0)</f>
        <v>0</v>
      </c>
      <c r="L1162" s="47" t="str">
        <f aca="false">IF(AND(J1162=1,N(I1162)&gt;0),SUMIF($K$2:$K$5001,"&gt;="&amp;K1162,$I$2:$I$5001)/MAX(1,SUM($H$2:$H$5001)),"")</f>
        <v/>
      </c>
      <c r="M1162" s="47" t="str">
        <f aca="false">IF($A1162="","",INDEX($L$2:$L$5001,MATCH($A1162,$A$2:$A$5001,0)))</f>
        <v/>
      </c>
      <c r="N1162" s="48" t="str">
        <f aca="false">IF($A1162="","",IF(N(M1162)=0,"–",IF(M1162&lt;=Start!$D$20,"A",IF(M1162&lt;=Start!$D$21,"B","C"))))</f>
        <v/>
      </c>
      <c r="O1162" s="48" t="str">
        <f aca="false">IF($A1162="","",IF(NOT(ISNUMBER(F1162)),"Wert fehlt; ",IF(F1162&lt;=0,"Wert ist 0; ",""))&amp;IF(NOT(ISNUMBER(E1162)),"Bestand fehlt; ",IF(E1162&lt;0,"Bestand negativ; ",IF(E1162=0,"Nullbestand; ","")))&amp;IF(D1162="","Warengruppe fehlt; ","")&amp;IF(B1162="","Bezeichnung fehlt; ","")&amp;IF(COUNTIFS($A$2:$A$5001,$A1162,$C$2:$C$5001,C1162)&gt;1,"Artikel doppelt im selben Lager; ",""))</f>
        <v/>
      </c>
      <c r="P1162" s="47" t="n">
        <f aca="false">IF(OR($A1162="",D1162=""),0,IF(COUNTIF($D$2:D1162,D1162)=1,SUMIF($D$2:$D$5001,D1162,$H$2:$H$5001)+ROW()/10000000,0))</f>
        <v>0</v>
      </c>
      <c r="Q1162" s="47" t="n">
        <f aca="false">IF(OR($A1162="",C1162=""),0,IF(COUNTIF($C$2:C1162,C1162)=1,SUMIF($C$2:$C$5001,C1162,$H$2:$H$5001)+ROW()/10000000,0))</f>
        <v>0</v>
      </c>
    </row>
    <row r="1163" customFormat="false" ht="15" hidden="false" customHeight="false" outlineLevel="0" collapsed="false">
      <c r="A1163" s="43"/>
      <c r="B1163" s="44"/>
      <c r="C1163" s="44"/>
      <c r="D1163" s="44"/>
      <c r="E1163" s="44"/>
      <c r="F1163" s="44"/>
      <c r="G1163" s="44"/>
      <c r="H1163" s="46" t="str">
        <f aca="false">IF($A1163="","",IF(OR(NOT(ISNUMBER(E1163)),NOT(ISNUMBER(F1163))),"",MAX(0,E1163)*F1163))</f>
        <v/>
      </c>
      <c r="I1163" s="46" t="str">
        <f aca="false">IF($A1163="","",SUMIF($A$2:$A$5001,$A1163,$H$2:$H$5001))</f>
        <v/>
      </c>
      <c r="J1163" s="47" t="n">
        <f aca="false">IF($A1163="",0,IF(COUNTIF($A$2:A1163,$A1163)=1,1,0))</f>
        <v>0</v>
      </c>
      <c r="K1163" s="47" t="n">
        <f aca="false">IF(J1163=1,N(I1163)+ROW()/10000000,0)</f>
        <v>0</v>
      </c>
      <c r="L1163" s="47" t="str">
        <f aca="false">IF(AND(J1163=1,N(I1163)&gt;0),SUMIF($K$2:$K$5001,"&gt;="&amp;K1163,$I$2:$I$5001)/MAX(1,SUM($H$2:$H$5001)),"")</f>
        <v/>
      </c>
      <c r="M1163" s="47" t="str">
        <f aca="false">IF($A1163="","",INDEX($L$2:$L$5001,MATCH($A1163,$A$2:$A$5001,0)))</f>
        <v/>
      </c>
      <c r="N1163" s="48" t="str">
        <f aca="false">IF($A1163="","",IF(N(M1163)=0,"–",IF(M1163&lt;=Start!$D$20,"A",IF(M1163&lt;=Start!$D$21,"B","C"))))</f>
        <v/>
      </c>
      <c r="O1163" s="48" t="str">
        <f aca="false">IF($A1163="","",IF(NOT(ISNUMBER(F1163)),"Wert fehlt; ",IF(F1163&lt;=0,"Wert ist 0; ",""))&amp;IF(NOT(ISNUMBER(E1163)),"Bestand fehlt; ",IF(E1163&lt;0,"Bestand negativ; ",IF(E1163=0,"Nullbestand; ","")))&amp;IF(D1163="","Warengruppe fehlt; ","")&amp;IF(B1163="","Bezeichnung fehlt; ","")&amp;IF(COUNTIFS($A$2:$A$5001,$A1163,$C$2:$C$5001,C1163)&gt;1,"Artikel doppelt im selben Lager; ",""))</f>
        <v/>
      </c>
      <c r="P1163" s="47" t="n">
        <f aca="false">IF(OR($A1163="",D1163=""),0,IF(COUNTIF($D$2:D1163,D1163)=1,SUMIF($D$2:$D$5001,D1163,$H$2:$H$5001)+ROW()/10000000,0))</f>
        <v>0</v>
      </c>
      <c r="Q1163" s="47" t="n">
        <f aca="false">IF(OR($A1163="",C1163=""),0,IF(COUNTIF($C$2:C1163,C1163)=1,SUMIF($C$2:$C$5001,C1163,$H$2:$H$5001)+ROW()/10000000,0))</f>
        <v>0</v>
      </c>
    </row>
    <row r="1164" customFormat="false" ht="15" hidden="false" customHeight="false" outlineLevel="0" collapsed="false">
      <c r="A1164" s="43"/>
      <c r="B1164" s="44"/>
      <c r="C1164" s="44"/>
      <c r="D1164" s="44"/>
      <c r="E1164" s="44"/>
      <c r="F1164" s="44"/>
      <c r="G1164" s="44"/>
      <c r="H1164" s="46" t="str">
        <f aca="false">IF($A1164="","",IF(OR(NOT(ISNUMBER(E1164)),NOT(ISNUMBER(F1164))),"",MAX(0,E1164)*F1164))</f>
        <v/>
      </c>
      <c r="I1164" s="46" t="str">
        <f aca="false">IF($A1164="","",SUMIF($A$2:$A$5001,$A1164,$H$2:$H$5001))</f>
        <v/>
      </c>
      <c r="J1164" s="47" t="n">
        <f aca="false">IF($A1164="",0,IF(COUNTIF($A$2:A1164,$A1164)=1,1,0))</f>
        <v>0</v>
      </c>
      <c r="K1164" s="47" t="n">
        <f aca="false">IF(J1164=1,N(I1164)+ROW()/10000000,0)</f>
        <v>0</v>
      </c>
      <c r="L1164" s="47" t="str">
        <f aca="false">IF(AND(J1164=1,N(I1164)&gt;0),SUMIF($K$2:$K$5001,"&gt;="&amp;K1164,$I$2:$I$5001)/MAX(1,SUM($H$2:$H$5001)),"")</f>
        <v/>
      </c>
      <c r="M1164" s="47" t="str">
        <f aca="false">IF($A1164="","",INDEX($L$2:$L$5001,MATCH($A1164,$A$2:$A$5001,0)))</f>
        <v/>
      </c>
      <c r="N1164" s="48" t="str">
        <f aca="false">IF($A1164="","",IF(N(M1164)=0,"–",IF(M1164&lt;=Start!$D$20,"A",IF(M1164&lt;=Start!$D$21,"B","C"))))</f>
        <v/>
      </c>
      <c r="O1164" s="48" t="str">
        <f aca="false">IF($A1164="","",IF(NOT(ISNUMBER(F1164)),"Wert fehlt; ",IF(F1164&lt;=0,"Wert ist 0; ",""))&amp;IF(NOT(ISNUMBER(E1164)),"Bestand fehlt; ",IF(E1164&lt;0,"Bestand negativ; ",IF(E1164=0,"Nullbestand; ","")))&amp;IF(D1164="","Warengruppe fehlt; ","")&amp;IF(B1164="","Bezeichnung fehlt; ","")&amp;IF(COUNTIFS($A$2:$A$5001,$A1164,$C$2:$C$5001,C1164)&gt;1,"Artikel doppelt im selben Lager; ",""))</f>
        <v/>
      </c>
      <c r="P1164" s="47" t="n">
        <f aca="false">IF(OR($A1164="",D1164=""),0,IF(COUNTIF($D$2:D1164,D1164)=1,SUMIF($D$2:$D$5001,D1164,$H$2:$H$5001)+ROW()/10000000,0))</f>
        <v>0</v>
      </c>
      <c r="Q1164" s="47" t="n">
        <f aca="false">IF(OR($A1164="",C1164=""),0,IF(COUNTIF($C$2:C1164,C1164)=1,SUMIF($C$2:$C$5001,C1164,$H$2:$H$5001)+ROW()/10000000,0))</f>
        <v>0</v>
      </c>
    </row>
    <row r="1165" customFormat="false" ht="15" hidden="false" customHeight="false" outlineLevel="0" collapsed="false">
      <c r="A1165" s="43"/>
      <c r="B1165" s="44"/>
      <c r="C1165" s="44"/>
      <c r="D1165" s="44"/>
      <c r="E1165" s="44"/>
      <c r="F1165" s="44"/>
      <c r="G1165" s="44"/>
      <c r="H1165" s="46" t="str">
        <f aca="false">IF($A1165="","",IF(OR(NOT(ISNUMBER(E1165)),NOT(ISNUMBER(F1165))),"",MAX(0,E1165)*F1165))</f>
        <v/>
      </c>
      <c r="I1165" s="46" t="str">
        <f aca="false">IF($A1165="","",SUMIF($A$2:$A$5001,$A1165,$H$2:$H$5001))</f>
        <v/>
      </c>
      <c r="J1165" s="47" t="n">
        <f aca="false">IF($A1165="",0,IF(COUNTIF($A$2:A1165,$A1165)=1,1,0))</f>
        <v>0</v>
      </c>
      <c r="K1165" s="47" t="n">
        <f aca="false">IF(J1165=1,N(I1165)+ROW()/10000000,0)</f>
        <v>0</v>
      </c>
      <c r="L1165" s="47" t="str">
        <f aca="false">IF(AND(J1165=1,N(I1165)&gt;0),SUMIF($K$2:$K$5001,"&gt;="&amp;K1165,$I$2:$I$5001)/MAX(1,SUM($H$2:$H$5001)),"")</f>
        <v/>
      </c>
      <c r="M1165" s="47" t="str">
        <f aca="false">IF($A1165="","",INDEX($L$2:$L$5001,MATCH($A1165,$A$2:$A$5001,0)))</f>
        <v/>
      </c>
      <c r="N1165" s="48" t="str">
        <f aca="false">IF($A1165="","",IF(N(M1165)=0,"–",IF(M1165&lt;=Start!$D$20,"A",IF(M1165&lt;=Start!$D$21,"B","C"))))</f>
        <v/>
      </c>
      <c r="O1165" s="48" t="str">
        <f aca="false">IF($A1165="","",IF(NOT(ISNUMBER(F1165)),"Wert fehlt; ",IF(F1165&lt;=0,"Wert ist 0; ",""))&amp;IF(NOT(ISNUMBER(E1165)),"Bestand fehlt; ",IF(E1165&lt;0,"Bestand negativ; ",IF(E1165=0,"Nullbestand; ","")))&amp;IF(D1165="","Warengruppe fehlt; ","")&amp;IF(B1165="","Bezeichnung fehlt; ","")&amp;IF(COUNTIFS($A$2:$A$5001,$A1165,$C$2:$C$5001,C1165)&gt;1,"Artikel doppelt im selben Lager; ",""))</f>
        <v/>
      </c>
      <c r="P1165" s="47" t="n">
        <f aca="false">IF(OR($A1165="",D1165=""),0,IF(COUNTIF($D$2:D1165,D1165)=1,SUMIF($D$2:$D$5001,D1165,$H$2:$H$5001)+ROW()/10000000,0))</f>
        <v>0</v>
      </c>
      <c r="Q1165" s="47" t="n">
        <f aca="false">IF(OR($A1165="",C1165=""),0,IF(COUNTIF($C$2:C1165,C1165)=1,SUMIF($C$2:$C$5001,C1165,$H$2:$H$5001)+ROW()/10000000,0))</f>
        <v>0</v>
      </c>
    </row>
    <row r="1166" customFormat="false" ht="15" hidden="false" customHeight="false" outlineLevel="0" collapsed="false">
      <c r="A1166" s="43"/>
      <c r="B1166" s="44"/>
      <c r="C1166" s="44"/>
      <c r="D1166" s="44"/>
      <c r="E1166" s="44"/>
      <c r="F1166" s="44"/>
      <c r="G1166" s="44"/>
      <c r="H1166" s="46" t="str">
        <f aca="false">IF($A1166="","",IF(OR(NOT(ISNUMBER(E1166)),NOT(ISNUMBER(F1166))),"",MAX(0,E1166)*F1166))</f>
        <v/>
      </c>
      <c r="I1166" s="46" t="str">
        <f aca="false">IF($A1166="","",SUMIF($A$2:$A$5001,$A1166,$H$2:$H$5001))</f>
        <v/>
      </c>
      <c r="J1166" s="47" t="n">
        <f aca="false">IF($A1166="",0,IF(COUNTIF($A$2:A1166,$A1166)=1,1,0))</f>
        <v>0</v>
      </c>
      <c r="K1166" s="47" t="n">
        <f aca="false">IF(J1166=1,N(I1166)+ROW()/10000000,0)</f>
        <v>0</v>
      </c>
      <c r="L1166" s="47" t="str">
        <f aca="false">IF(AND(J1166=1,N(I1166)&gt;0),SUMIF($K$2:$K$5001,"&gt;="&amp;K1166,$I$2:$I$5001)/MAX(1,SUM($H$2:$H$5001)),"")</f>
        <v/>
      </c>
      <c r="M1166" s="47" t="str">
        <f aca="false">IF($A1166="","",INDEX($L$2:$L$5001,MATCH($A1166,$A$2:$A$5001,0)))</f>
        <v/>
      </c>
      <c r="N1166" s="48" t="str">
        <f aca="false">IF($A1166="","",IF(N(M1166)=0,"–",IF(M1166&lt;=Start!$D$20,"A",IF(M1166&lt;=Start!$D$21,"B","C"))))</f>
        <v/>
      </c>
      <c r="O1166" s="48" t="str">
        <f aca="false">IF($A1166="","",IF(NOT(ISNUMBER(F1166)),"Wert fehlt; ",IF(F1166&lt;=0,"Wert ist 0; ",""))&amp;IF(NOT(ISNUMBER(E1166)),"Bestand fehlt; ",IF(E1166&lt;0,"Bestand negativ; ",IF(E1166=0,"Nullbestand; ","")))&amp;IF(D1166="","Warengruppe fehlt; ","")&amp;IF(B1166="","Bezeichnung fehlt; ","")&amp;IF(COUNTIFS($A$2:$A$5001,$A1166,$C$2:$C$5001,C1166)&gt;1,"Artikel doppelt im selben Lager; ",""))</f>
        <v/>
      </c>
      <c r="P1166" s="47" t="n">
        <f aca="false">IF(OR($A1166="",D1166=""),0,IF(COUNTIF($D$2:D1166,D1166)=1,SUMIF($D$2:$D$5001,D1166,$H$2:$H$5001)+ROW()/10000000,0))</f>
        <v>0</v>
      </c>
      <c r="Q1166" s="47" t="n">
        <f aca="false">IF(OR($A1166="",C1166=""),0,IF(COUNTIF($C$2:C1166,C1166)=1,SUMIF($C$2:$C$5001,C1166,$H$2:$H$5001)+ROW()/10000000,0))</f>
        <v>0</v>
      </c>
    </row>
    <row r="1167" customFormat="false" ht="15" hidden="false" customHeight="false" outlineLevel="0" collapsed="false">
      <c r="A1167" s="43"/>
      <c r="B1167" s="44"/>
      <c r="C1167" s="44"/>
      <c r="D1167" s="44"/>
      <c r="E1167" s="44"/>
      <c r="F1167" s="44"/>
      <c r="G1167" s="44"/>
      <c r="H1167" s="46" t="str">
        <f aca="false">IF($A1167="","",IF(OR(NOT(ISNUMBER(E1167)),NOT(ISNUMBER(F1167))),"",MAX(0,E1167)*F1167))</f>
        <v/>
      </c>
      <c r="I1167" s="46" t="str">
        <f aca="false">IF($A1167="","",SUMIF($A$2:$A$5001,$A1167,$H$2:$H$5001))</f>
        <v/>
      </c>
      <c r="J1167" s="47" t="n">
        <f aca="false">IF($A1167="",0,IF(COUNTIF($A$2:A1167,$A1167)=1,1,0))</f>
        <v>0</v>
      </c>
      <c r="K1167" s="47" t="n">
        <f aca="false">IF(J1167=1,N(I1167)+ROW()/10000000,0)</f>
        <v>0</v>
      </c>
      <c r="L1167" s="47" t="str">
        <f aca="false">IF(AND(J1167=1,N(I1167)&gt;0),SUMIF($K$2:$K$5001,"&gt;="&amp;K1167,$I$2:$I$5001)/MAX(1,SUM($H$2:$H$5001)),"")</f>
        <v/>
      </c>
      <c r="M1167" s="47" t="str">
        <f aca="false">IF($A1167="","",INDEX($L$2:$L$5001,MATCH($A1167,$A$2:$A$5001,0)))</f>
        <v/>
      </c>
      <c r="N1167" s="48" t="str">
        <f aca="false">IF($A1167="","",IF(N(M1167)=0,"–",IF(M1167&lt;=Start!$D$20,"A",IF(M1167&lt;=Start!$D$21,"B","C"))))</f>
        <v/>
      </c>
      <c r="O1167" s="48" t="str">
        <f aca="false">IF($A1167="","",IF(NOT(ISNUMBER(F1167)),"Wert fehlt; ",IF(F1167&lt;=0,"Wert ist 0; ",""))&amp;IF(NOT(ISNUMBER(E1167)),"Bestand fehlt; ",IF(E1167&lt;0,"Bestand negativ; ",IF(E1167=0,"Nullbestand; ","")))&amp;IF(D1167="","Warengruppe fehlt; ","")&amp;IF(B1167="","Bezeichnung fehlt; ","")&amp;IF(COUNTIFS($A$2:$A$5001,$A1167,$C$2:$C$5001,C1167)&gt;1,"Artikel doppelt im selben Lager; ",""))</f>
        <v/>
      </c>
      <c r="P1167" s="47" t="n">
        <f aca="false">IF(OR($A1167="",D1167=""),0,IF(COUNTIF($D$2:D1167,D1167)=1,SUMIF($D$2:$D$5001,D1167,$H$2:$H$5001)+ROW()/10000000,0))</f>
        <v>0</v>
      </c>
      <c r="Q1167" s="47" t="n">
        <f aca="false">IF(OR($A1167="",C1167=""),0,IF(COUNTIF($C$2:C1167,C1167)=1,SUMIF($C$2:$C$5001,C1167,$H$2:$H$5001)+ROW()/10000000,0))</f>
        <v>0</v>
      </c>
    </row>
    <row r="1168" customFormat="false" ht="15" hidden="false" customHeight="false" outlineLevel="0" collapsed="false">
      <c r="A1168" s="43"/>
      <c r="B1168" s="44"/>
      <c r="C1168" s="44"/>
      <c r="D1168" s="44"/>
      <c r="E1168" s="44"/>
      <c r="F1168" s="44"/>
      <c r="G1168" s="44"/>
      <c r="H1168" s="46" t="str">
        <f aca="false">IF($A1168="","",IF(OR(NOT(ISNUMBER(E1168)),NOT(ISNUMBER(F1168))),"",MAX(0,E1168)*F1168))</f>
        <v/>
      </c>
      <c r="I1168" s="46" t="str">
        <f aca="false">IF($A1168="","",SUMIF($A$2:$A$5001,$A1168,$H$2:$H$5001))</f>
        <v/>
      </c>
      <c r="J1168" s="47" t="n">
        <f aca="false">IF($A1168="",0,IF(COUNTIF($A$2:A1168,$A1168)=1,1,0))</f>
        <v>0</v>
      </c>
      <c r="K1168" s="47" t="n">
        <f aca="false">IF(J1168=1,N(I1168)+ROW()/10000000,0)</f>
        <v>0</v>
      </c>
      <c r="L1168" s="47" t="str">
        <f aca="false">IF(AND(J1168=1,N(I1168)&gt;0),SUMIF($K$2:$K$5001,"&gt;="&amp;K1168,$I$2:$I$5001)/MAX(1,SUM($H$2:$H$5001)),"")</f>
        <v/>
      </c>
      <c r="M1168" s="47" t="str">
        <f aca="false">IF($A1168="","",INDEX($L$2:$L$5001,MATCH($A1168,$A$2:$A$5001,0)))</f>
        <v/>
      </c>
      <c r="N1168" s="48" t="str">
        <f aca="false">IF($A1168="","",IF(N(M1168)=0,"–",IF(M1168&lt;=Start!$D$20,"A",IF(M1168&lt;=Start!$D$21,"B","C"))))</f>
        <v/>
      </c>
      <c r="O1168" s="48" t="str">
        <f aca="false">IF($A1168="","",IF(NOT(ISNUMBER(F1168)),"Wert fehlt; ",IF(F1168&lt;=0,"Wert ist 0; ",""))&amp;IF(NOT(ISNUMBER(E1168)),"Bestand fehlt; ",IF(E1168&lt;0,"Bestand negativ; ",IF(E1168=0,"Nullbestand; ","")))&amp;IF(D1168="","Warengruppe fehlt; ","")&amp;IF(B1168="","Bezeichnung fehlt; ","")&amp;IF(COUNTIFS($A$2:$A$5001,$A1168,$C$2:$C$5001,C1168)&gt;1,"Artikel doppelt im selben Lager; ",""))</f>
        <v/>
      </c>
      <c r="P1168" s="47" t="n">
        <f aca="false">IF(OR($A1168="",D1168=""),0,IF(COUNTIF($D$2:D1168,D1168)=1,SUMIF($D$2:$D$5001,D1168,$H$2:$H$5001)+ROW()/10000000,0))</f>
        <v>0</v>
      </c>
      <c r="Q1168" s="47" t="n">
        <f aca="false">IF(OR($A1168="",C1168=""),0,IF(COUNTIF($C$2:C1168,C1168)=1,SUMIF($C$2:$C$5001,C1168,$H$2:$H$5001)+ROW()/10000000,0))</f>
        <v>0</v>
      </c>
    </row>
    <row r="1169" customFormat="false" ht="15" hidden="false" customHeight="false" outlineLevel="0" collapsed="false">
      <c r="A1169" s="43"/>
      <c r="B1169" s="44"/>
      <c r="C1169" s="44"/>
      <c r="D1169" s="44"/>
      <c r="E1169" s="44"/>
      <c r="F1169" s="44"/>
      <c r="G1169" s="44"/>
      <c r="H1169" s="46" t="str">
        <f aca="false">IF($A1169="","",IF(OR(NOT(ISNUMBER(E1169)),NOT(ISNUMBER(F1169))),"",MAX(0,E1169)*F1169))</f>
        <v/>
      </c>
      <c r="I1169" s="46" t="str">
        <f aca="false">IF($A1169="","",SUMIF($A$2:$A$5001,$A1169,$H$2:$H$5001))</f>
        <v/>
      </c>
      <c r="J1169" s="47" t="n">
        <f aca="false">IF($A1169="",0,IF(COUNTIF($A$2:A1169,$A1169)=1,1,0))</f>
        <v>0</v>
      </c>
      <c r="K1169" s="47" t="n">
        <f aca="false">IF(J1169=1,N(I1169)+ROW()/10000000,0)</f>
        <v>0</v>
      </c>
      <c r="L1169" s="47" t="str">
        <f aca="false">IF(AND(J1169=1,N(I1169)&gt;0),SUMIF($K$2:$K$5001,"&gt;="&amp;K1169,$I$2:$I$5001)/MAX(1,SUM($H$2:$H$5001)),"")</f>
        <v/>
      </c>
      <c r="M1169" s="47" t="str">
        <f aca="false">IF($A1169="","",INDEX($L$2:$L$5001,MATCH($A1169,$A$2:$A$5001,0)))</f>
        <v/>
      </c>
      <c r="N1169" s="48" t="str">
        <f aca="false">IF($A1169="","",IF(N(M1169)=0,"–",IF(M1169&lt;=Start!$D$20,"A",IF(M1169&lt;=Start!$D$21,"B","C"))))</f>
        <v/>
      </c>
      <c r="O1169" s="48" t="str">
        <f aca="false">IF($A1169="","",IF(NOT(ISNUMBER(F1169)),"Wert fehlt; ",IF(F1169&lt;=0,"Wert ist 0; ",""))&amp;IF(NOT(ISNUMBER(E1169)),"Bestand fehlt; ",IF(E1169&lt;0,"Bestand negativ; ",IF(E1169=0,"Nullbestand; ","")))&amp;IF(D1169="","Warengruppe fehlt; ","")&amp;IF(B1169="","Bezeichnung fehlt; ","")&amp;IF(COUNTIFS($A$2:$A$5001,$A1169,$C$2:$C$5001,C1169)&gt;1,"Artikel doppelt im selben Lager; ",""))</f>
        <v/>
      </c>
      <c r="P1169" s="47" t="n">
        <f aca="false">IF(OR($A1169="",D1169=""),0,IF(COUNTIF($D$2:D1169,D1169)=1,SUMIF($D$2:$D$5001,D1169,$H$2:$H$5001)+ROW()/10000000,0))</f>
        <v>0</v>
      </c>
      <c r="Q1169" s="47" t="n">
        <f aca="false">IF(OR($A1169="",C1169=""),0,IF(COUNTIF($C$2:C1169,C1169)=1,SUMIF($C$2:$C$5001,C1169,$H$2:$H$5001)+ROW()/10000000,0))</f>
        <v>0</v>
      </c>
    </row>
    <row r="1170" customFormat="false" ht="15" hidden="false" customHeight="false" outlineLevel="0" collapsed="false">
      <c r="A1170" s="43"/>
      <c r="B1170" s="44"/>
      <c r="C1170" s="44"/>
      <c r="D1170" s="44"/>
      <c r="E1170" s="44"/>
      <c r="F1170" s="44"/>
      <c r="G1170" s="44"/>
      <c r="H1170" s="46" t="str">
        <f aca="false">IF($A1170="","",IF(OR(NOT(ISNUMBER(E1170)),NOT(ISNUMBER(F1170))),"",MAX(0,E1170)*F1170))</f>
        <v/>
      </c>
      <c r="I1170" s="46" t="str">
        <f aca="false">IF($A1170="","",SUMIF($A$2:$A$5001,$A1170,$H$2:$H$5001))</f>
        <v/>
      </c>
      <c r="J1170" s="47" t="n">
        <f aca="false">IF($A1170="",0,IF(COUNTIF($A$2:A1170,$A1170)=1,1,0))</f>
        <v>0</v>
      </c>
      <c r="K1170" s="47" t="n">
        <f aca="false">IF(J1170=1,N(I1170)+ROW()/10000000,0)</f>
        <v>0</v>
      </c>
      <c r="L1170" s="47" t="str">
        <f aca="false">IF(AND(J1170=1,N(I1170)&gt;0),SUMIF($K$2:$K$5001,"&gt;="&amp;K1170,$I$2:$I$5001)/MAX(1,SUM($H$2:$H$5001)),"")</f>
        <v/>
      </c>
      <c r="M1170" s="47" t="str">
        <f aca="false">IF($A1170="","",INDEX($L$2:$L$5001,MATCH($A1170,$A$2:$A$5001,0)))</f>
        <v/>
      </c>
      <c r="N1170" s="48" t="str">
        <f aca="false">IF($A1170="","",IF(N(M1170)=0,"–",IF(M1170&lt;=Start!$D$20,"A",IF(M1170&lt;=Start!$D$21,"B","C"))))</f>
        <v/>
      </c>
      <c r="O1170" s="48" t="str">
        <f aca="false">IF($A1170="","",IF(NOT(ISNUMBER(F1170)),"Wert fehlt; ",IF(F1170&lt;=0,"Wert ist 0; ",""))&amp;IF(NOT(ISNUMBER(E1170)),"Bestand fehlt; ",IF(E1170&lt;0,"Bestand negativ; ",IF(E1170=0,"Nullbestand; ","")))&amp;IF(D1170="","Warengruppe fehlt; ","")&amp;IF(B1170="","Bezeichnung fehlt; ","")&amp;IF(COUNTIFS($A$2:$A$5001,$A1170,$C$2:$C$5001,C1170)&gt;1,"Artikel doppelt im selben Lager; ",""))</f>
        <v/>
      </c>
      <c r="P1170" s="47" t="n">
        <f aca="false">IF(OR($A1170="",D1170=""),0,IF(COUNTIF($D$2:D1170,D1170)=1,SUMIF($D$2:$D$5001,D1170,$H$2:$H$5001)+ROW()/10000000,0))</f>
        <v>0</v>
      </c>
      <c r="Q1170" s="47" t="n">
        <f aca="false">IF(OR($A1170="",C1170=""),0,IF(COUNTIF($C$2:C1170,C1170)=1,SUMIF($C$2:$C$5001,C1170,$H$2:$H$5001)+ROW()/10000000,0))</f>
        <v>0</v>
      </c>
    </row>
    <row r="1171" customFormat="false" ht="15" hidden="false" customHeight="false" outlineLevel="0" collapsed="false">
      <c r="A1171" s="43"/>
      <c r="B1171" s="44"/>
      <c r="C1171" s="44"/>
      <c r="D1171" s="44"/>
      <c r="E1171" s="44"/>
      <c r="F1171" s="44"/>
      <c r="G1171" s="44"/>
      <c r="H1171" s="46" t="str">
        <f aca="false">IF($A1171="","",IF(OR(NOT(ISNUMBER(E1171)),NOT(ISNUMBER(F1171))),"",MAX(0,E1171)*F1171))</f>
        <v/>
      </c>
      <c r="I1171" s="46" t="str">
        <f aca="false">IF($A1171="","",SUMIF($A$2:$A$5001,$A1171,$H$2:$H$5001))</f>
        <v/>
      </c>
      <c r="J1171" s="47" t="n">
        <f aca="false">IF($A1171="",0,IF(COUNTIF($A$2:A1171,$A1171)=1,1,0))</f>
        <v>0</v>
      </c>
      <c r="K1171" s="47" t="n">
        <f aca="false">IF(J1171=1,N(I1171)+ROW()/10000000,0)</f>
        <v>0</v>
      </c>
      <c r="L1171" s="47" t="str">
        <f aca="false">IF(AND(J1171=1,N(I1171)&gt;0),SUMIF($K$2:$K$5001,"&gt;="&amp;K1171,$I$2:$I$5001)/MAX(1,SUM($H$2:$H$5001)),"")</f>
        <v/>
      </c>
      <c r="M1171" s="47" t="str">
        <f aca="false">IF($A1171="","",INDEX($L$2:$L$5001,MATCH($A1171,$A$2:$A$5001,0)))</f>
        <v/>
      </c>
      <c r="N1171" s="48" t="str">
        <f aca="false">IF($A1171="","",IF(N(M1171)=0,"–",IF(M1171&lt;=Start!$D$20,"A",IF(M1171&lt;=Start!$D$21,"B","C"))))</f>
        <v/>
      </c>
      <c r="O1171" s="48" t="str">
        <f aca="false">IF($A1171="","",IF(NOT(ISNUMBER(F1171)),"Wert fehlt; ",IF(F1171&lt;=0,"Wert ist 0; ",""))&amp;IF(NOT(ISNUMBER(E1171)),"Bestand fehlt; ",IF(E1171&lt;0,"Bestand negativ; ",IF(E1171=0,"Nullbestand; ","")))&amp;IF(D1171="","Warengruppe fehlt; ","")&amp;IF(B1171="","Bezeichnung fehlt; ","")&amp;IF(COUNTIFS($A$2:$A$5001,$A1171,$C$2:$C$5001,C1171)&gt;1,"Artikel doppelt im selben Lager; ",""))</f>
        <v/>
      </c>
      <c r="P1171" s="47" t="n">
        <f aca="false">IF(OR($A1171="",D1171=""),0,IF(COUNTIF($D$2:D1171,D1171)=1,SUMIF($D$2:$D$5001,D1171,$H$2:$H$5001)+ROW()/10000000,0))</f>
        <v>0</v>
      </c>
      <c r="Q1171" s="47" t="n">
        <f aca="false">IF(OR($A1171="",C1171=""),0,IF(COUNTIF($C$2:C1171,C1171)=1,SUMIF($C$2:$C$5001,C1171,$H$2:$H$5001)+ROW()/10000000,0))</f>
        <v>0</v>
      </c>
    </row>
    <row r="1172" customFormat="false" ht="15" hidden="false" customHeight="false" outlineLevel="0" collapsed="false">
      <c r="A1172" s="43"/>
      <c r="B1172" s="44"/>
      <c r="C1172" s="44"/>
      <c r="D1172" s="44"/>
      <c r="E1172" s="44"/>
      <c r="F1172" s="44"/>
      <c r="G1172" s="44"/>
      <c r="H1172" s="46" t="str">
        <f aca="false">IF($A1172="","",IF(OR(NOT(ISNUMBER(E1172)),NOT(ISNUMBER(F1172))),"",MAX(0,E1172)*F1172))</f>
        <v/>
      </c>
      <c r="I1172" s="46" t="str">
        <f aca="false">IF($A1172="","",SUMIF($A$2:$A$5001,$A1172,$H$2:$H$5001))</f>
        <v/>
      </c>
      <c r="J1172" s="47" t="n">
        <f aca="false">IF($A1172="",0,IF(COUNTIF($A$2:A1172,$A1172)=1,1,0))</f>
        <v>0</v>
      </c>
      <c r="K1172" s="47" t="n">
        <f aca="false">IF(J1172=1,N(I1172)+ROW()/10000000,0)</f>
        <v>0</v>
      </c>
      <c r="L1172" s="47" t="str">
        <f aca="false">IF(AND(J1172=1,N(I1172)&gt;0),SUMIF($K$2:$K$5001,"&gt;="&amp;K1172,$I$2:$I$5001)/MAX(1,SUM($H$2:$H$5001)),"")</f>
        <v/>
      </c>
      <c r="M1172" s="47" t="str">
        <f aca="false">IF($A1172="","",INDEX($L$2:$L$5001,MATCH($A1172,$A$2:$A$5001,0)))</f>
        <v/>
      </c>
      <c r="N1172" s="48" t="str">
        <f aca="false">IF($A1172="","",IF(N(M1172)=0,"–",IF(M1172&lt;=Start!$D$20,"A",IF(M1172&lt;=Start!$D$21,"B","C"))))</f>
        <v/>
      </c>
      <c r="O1172" s="48" t="str">
        <f aca="false">IF($A1172="","",IF(NOT(ISNUMBER(F1172)),"Wert fehlt; ",IF(F1172&lt;=0,"Wert ist 0; ",""))&amp;IF(NOT(ISNUMBER(E1172)),"Bestand fehlt; ",IF(E1172&lt;0,"Bestand negativ; ",IF(E1172=0,"Nullbestand; ","")))&amp;IF(D1172="","Warengruppe fehlt; ","")&amp;IF(B1172="","Bezeichnung fehlt; ","")&amp;IF(COUNTIFS($A$2:$A$5001,$A1172,$C$2:$C$5001,C1172)&gt;1,"Artikel doppelt im selben Lager; ",""))</f>
        <v/>
      </c>
      <c r="P1172" s="47" t="n">
        <f aca="false">IF(OR($A1172="",D1172=""),0,IF(COUNTIF($D$2:D1172,D1172)=1,SUMIF($D$2:$D$5001,D1172,$H$2:$H$5001)+ROW()/10000000,0))</f>
        <v>0</v>
      </c>
      <c r="Q1172" s="47" t="n">
        <f aca="false">IF(OR($A1172="",C1172=""),0,IF(COUNTIF($C$2:C1172,C1172)=1,SUMIF($C$2:$C$5001,C1172,$H$2:$H$5001)+ROW()/10000000,0))</f>
        <v>0</v>
      </c>
    </row>
    <row r="1173" customFormat="false" ht="15" hidden="false" customHeight="false" outlineLevel="0" collapsed="false">
      <c r="A1173" s="43"/>
      <c r="B1173" s="44"/>
      <c r="C1173" s="44"/>
      <c r="D1173" s="44"/>
      <c r="E1173" s="44"/>
      <c r="F1173" s="44"/>
      <c r="G1173" s="44"/>
      <c r="H1173" s="46" t="str">
        <f aca="false">IF($A1173="","",IF(OR(NOT(ISNUMBER(E1173)),NOT(ISNUMBER(F1173))),"",MAX(0,E1173)*F1173))</f>
        <v/>
      </c>
      <c r="I1173" s="46" t="str">
        <f aca="false">IF($A1173="","",SUMIF($A$2:$A$5001,$A1173,$H$2:$H$5001))</f>
        <v/>
      </c>
      <c r="J1173" s="47" t="n">
        <f aca="false">IF($A1173="",0,IF(COUNTIF($A$2:A1173,$A1173)=1,1,0))</f>
        <v>0</v>
      </c>
      <c r="K1173" s="47" t="n">
        <f aca="false">IF(J1173=1,N(I1173)+ROW()/10000000,0)</f>
        <v>0</v>
      </c>
      <c r="L1173" s="47" t="str">
        <f aca="false">IF(AND(J1173=1,N(I1173)&gt;0),SUMIF($K$2:$K$5001,"&gt;="&amp;K1173,$I$2:$I$5001)/MAX(1,SUM($H$2:$H$5001)),"")</f>
        <v/>
      </c>
      <c r="M1173" s="47" t="str">
        <f aca="false">IF($A1173="","",INDEX($L$2:$L$5001,MATCH($A1173,$A$2:$A$5001,0)))</f>
        <v/>
      </c>
      <c r="N1173" s="48" t="str">
        <f aca="false">IF($A1173="","",IF(N(M1173)=0,"–",IF(M1173&lt;=Start!$D$20,"A",IF(M1173&lt;=Start!$D$21,"B","C"))))</f>
        <v/>
      </c>
      <c r="O1173" s="48" t="str">
        <f aca="false">IF($A1173="","",IF(NOT(ISNUMBER(F1173)),"Wert fehlt; ",IF(F1173&lt;=0,"Wert ist 0; ",""))&amp;IF(NOT(ISNUMBER(E1173)),"Bestand fehlt; ",IF(E1173&lt;0,"Bestand negativ; ",IF(E1173=0,"Nullbestand; ","")))&amp;IF(D1173="","Warengruppe fehlt; ","")&amp;IF(B1173="","Bezeichnung fehlt; ","")&amp;IF(COUNTIFS($A$2:$A$5001,$A1173,$C$2:$C$5001,C1173)&gt;1,"Artikel doppelt im selben Lager; ",""))</f>
        <v/>
      </c>
      <c r="P1173" s="47" t="n">
        <f aca="false">IF(OR($A1173="",D1173=""),0,IF(COUNTIF($D$2:D1173,D1173)=1,SUMIF($D$2:$D$5001,D1173,$H$2:$H$5001)+ROW()/10000000,0))</f>
        <v>0</v>
      </c>
      <c r="Q1173" s="47" t="n">
        <f aca="false">IF(OR($A1173="",C1173=""),0,IF(COUNTIF($C$2:C1173,C1173)=1,SUMIF($C$2:$C$5001,C1173,$H$2:$H$5001)+ROW()/10000000,0))</f>
        <v>0</v>
      </c>
    </row>
    <row r="1174" customFormat="false" ht="15" hidden="false" customHeight="false" outlineLevel="0" collapsed="false">
      <c r="A1174" s="43"/>
      <c r="B1174" s="44"/>
      <c r="C1174" s="44"/>
      <c r="D1174" s="44"/>
      <c r="E1174" s="44"/>
      <c r="F1174" s="44"/>
      <c r="G1174" s="44"/>
      <c r="H1174" s="46" t="str">
        <f aca="false">IF($A1174="","",IF(OR(NOT(ISNUMBER(E1174)),NOT(ISNUMBER(F1174))),"",MAX(0,E1174)*F1174))</f>
        <v/>
      </c>
      <c r="I1174" s="46" t="str">
        <f aca="false">IF($A1174="","",SUMIF($A$2:$A$5001,$A1174,$H$2:$H$5001))</f>
        <v/>
      </c>
      <c r="J1174" s="47" t="n">
        <f aca="false">IF($A1174="",0,IF(COUNTIF($A$2:A1174,$A1174)=1,1,0))</f>
        <v>0</v>
      </c>
      <c r="K1174" s="47" t="n">
        <f aca="false">IF(J1174=1,N(I1174)+ROW()/10000000,0)</f>
        <v>0</v>
      </c>
      <c r="L1174" s="47" t="str">
        <f aca="false">IF(AND(J1174=1,N(I1174)&gt;0),SUMIF($K$2:$K$5001,"&gt;="&amp;K1174,$I$2:$I$5001)/MAX(1,SUM($H$2:$H$5001)),"")</f>
        <v/>
      </c>
      <c r="M1174" s="47" t="str">
        <f aca="false">IF($A1174="","",INDEX($L$2:$L$5001,MATCH($A1174,$A$2:$A$5001,0)))</f>
        <v/>
      </c>
      <c r="N1174" s="48" t="str">
        <f aca="false">IF($A1174="","",IF(N(M1174)=0,"–",IF(M1174&lt;=Start!$D$20,"A",IF(M1174&lt;=Start!$D$21,"B","C"))))</f>
        <v/>
      </c>
      <c r="O1174" s="48" t="str">
        <f aca="false">IF($A1174="","",IF(NOT(ISNUMBER(F1174)),"Wert fehlt; ",IF(F1174&lt;=0,"Wert ist 0; ",""))&amp;IF(NOT(ISNUMBER(E1174)),"Bestand fehlt; ",IF(E1174&lt;0,"Bestand negativ; ",IF(E1174=0,"Nullbestand; ","")))&amp;IF(D1174="","Warengruppe fehlt; ","")&amp;IF(B1174="","Bezeichnung fehlt; ","")&amp;IF(COUNTIFS($A$2:$A$5001,$A1174,$C$2:$C$5001,C1174)&gt;1,"Artikel doppelt im selben Lager; ",""))</f>
        <v/>
      </c>
      <c r="P1174" s="47" t="n">
        <f aca="false">IF(OR($A1174="",D1174=""),0,IF(COUNTIF($D$2:D1174,D1174)=1,SUMIF($D$2:$D$5001,D1174,$H$2:$H$5001)+ROW()/10000000,0))</f>
        <v>0</v>
      </c>
      <c r="Q1174" s="47" t="n">
        <f aca="false">IF(OR($A1174="",C1174=""),0,IF(COUNTIF($C$2:C1174,C1174)=1,SUMIF($C$2:$C$5001,C1174,$H$2:$H$5001)+ROW()/10000000,0))</f>
        <v>0</v>
      </c>
    </row>
    <row r="1175" customFormat="false" ht="15" hidden="false" customHeight="false" outlineLevel="0" collapsed="false">
      <c r="A1175" s="43"/>
      <c r="B1175" s="44"/>
      <c r="C1175" s="44"/>
      <c r="D1175" s="44"/>
      <c r="E1175" s="44"/>
      <c r="F1175" s="44"/>
      <c r="G1175" s="44"/>
      <c r="H1175" s="46" t="str">
        <f aca="false">IF($A1175="","",IF(OR(NOT(ISNUMBER(E1175)),NOT(ISNUMBER(F1175))),"",MAX(0,E1175)*F1175))</f>
        <v/>
      </c>
      <c r="I1175" s="46" t="str">
        <f aca="false">IF($A1175="","",SUMIF($A$2:$A$5001,$A1175,$H$2:$H$5001))</f>
        <v/>
      </c>
      <c r="J1175" s="47" t="n">
        <f aca="false">IF($A1175="",0,IF(COUNTIF($A$2:A1175,$A1175)=1,1,0))</f>
        <v>0</v>
      </c>
      <c r="K1175" s="47" t="n">
        <f aca="false">IF(J1175=1,N(I1175)+ROW()/10000000,0)</f>
        <v>0</v>
      </c>
      <c r="L1175" s="47" t="str">
        <f aca="false">IF(AND(J1175=1,N(I1175)&gt;0),SUMIF($K$2:$K$5001,"&gt;="&amp;K1175,$I$2:$I$5001)/MAX(1,SUM($H$2:$H$5001)),"")</f>
        <v/>
      </c>
      <c r="M1175" s="47" t="str">
        <f aca="false">IF($A1175="","",INDEX($L$2:$L$5001,MATCH($A1175,$A$2:$A$5001,0)))</f>
        <v/>
      </c>
      <c r="N1175" s="48" t="str">
        <f aca="false">IF($A1175="","",IF(N(M1175)=0,"–",IF(M1175&lt;=Start!$D$20,"A",IF(M1175&lt;=Start!$D$21,"B","C"))))</f>
        <v/>
      </c>
      <c r="O1175" s="48" t="str">
        <f aca="false">IF($A1175="","",IF(NOT(ISNUMBER(F1175)),"Wert fehlt; ",IF(F1175&lt;=0,"Wert ist 0; ",""))&amp;IF(NOT(ISNUMBER(E1175)),"Bestand fehlt; ",IF(E1175&lt;0,"Bestand negativ; ",IF(E1175=0,"Nullbestand; ","")))&amp;IF(D1175="","Warengruppe fehlt; ","")&amp;IF(B1175="","Bezeichnung fehlt; ","")&amp;IF(COUNTIFS($A$2:$A$5001,$A1175,$C$2:$C$5001,C1175)&gt;1,"Artikel doppelt im selben Lager; ",""))</f>
        <v/>
      </c>
      <c r="P1175" s="47" t="n">
        <f aca="false">IF(OR($A1175="",D1175=""),0,IF(COUNTIF($D$2:D1175,D1175)=1,SUMIF($D$2:$D$5001,D1175,$H$2:$H$5001)+ROW()/10000000,0))</f>
        <v>0</v>
      </c>
      <c r="Q1175" s="47" t="n">
        <f aca="false">IF(OR($A1175="",C1175=""),0,IF(COUNTIF($C$2:C1175,C1175)=1,SUMIF($C$2:$C$5001,C1175,$H$2:$H$5001)+ROW()/10000000,0))</f>
        <v>0</v>
      </c>
    </row>
    <row r="1176" customFormat="false" ht="15" hidden="false" customHeight="false" outlineLevel="0" collapsed="false">
      <c r="A1176" s="43"/>
      <c r="B1176" s="44"/>
      <c r="C1176" s="44"/>
      <c r="D1176" s="44"/>
      <c r="E1176" s="44"/>
      <c r="F1176" s="44"/>
      <c r="G1176" s="44"/>
      <c r="H1176" s="46" t="str">
        <f aca="false">IF($A1176="","",IF(OR(NOT(ISNUMBER(E1176)),NOT(ISNUMBER(F1176))),"",MAX(0,E1176)*F1176))</f>
        <v/>
      </c>
      <c r="I1176" s="46" t="str">
        <f aca="false">IF($A1176="","",SUMIF($A$2:$A$5001,$A1176,$H$2:$H$5001))</f>
        <v/>
      </c>
      <c r="J1176" s="47" t="n">
        <f aca="false">IF($A1176="",0,IF(COUNTIF($A$2:A1176,$A1176)=1,1,0))</f>
        <v>0</v>
      </c>
      <c r="K1176" s="47" t="n">
        <f aca="false">IF(J1176=1,N(I1176)+ROW()/10000000,0)</f>
        <v>0</v>
      </c>
      <c r="L1176" s="47" t="str">
        <f aca="false">IF(AND(J1176=1,N(I1176)&gt;0),SUMIF($K$2:$K$5001,"&gt;="&amp;K1176,$I$2:$I$5001)/MAX(1,SUM($H$2:$H$5001)),"")</f>
        <v/>
      </c>
      <c r="M1176" s="47" t="str">
        <f aca="false">IF($A1176="","",INDEX($L$2:$L$5001,MATCH($A1176,$A$2:$A$5001,0)))</f>
        <v/>
      </c>
      <c r="N1176" s="48" t="str">
        <f aca="false">IF($A1176="","",IF(N(M1176)=0,"–",IF(M1176&lt;=Start!$D$20,"A",IF(M1176&lt;=Start!$D$21,"B","C"))))</f>
        <v/>
      </c>
      <c r="O1176" s="48" t="str">
        <f aca="false">IF($A1176="","",IF(NOT(ISNUMBER(F1176)),"Wert fehlt; ",IF(F1176&lt;=0,"Wert ist 0; ",""))&amp;IF(NOT(ISNUMBER(E1176)),"Bestand fehlt; ",IF(E1176&lt;0,"Bestand negativ; ",IF(E1176=0,"Nullbestand; ","")))&amp;IF(D1176="","Warengruppe fehlt; ","")&amp;IF(B1176="","Bezeichnung fehlt; ","")&amp;IF(COUNTIFS($A$2:$A$5001,$A1176,$C$2:$C$5001,C1176)&gt;1,"Artikel doppelt im selben Lager; ",""))</f>
        <v/>
      </c>
      <c r="P1176" s="47" t="n">
        <f aca="false">IF(OR($A1176="",D1176=""),0,IF(COUNTIF($D$2:D1176,D1176)=1,SUMIF($D$2:$D$5001,D1176,$H$2:$H$5001)+ROW()/10000000,0))</f>
        <v>0</v>
      </c>
      <c r="Q1176" s="47" t="n">
        <f aca="false">IF(OR($A1176="",C1176=""),0,IF(COUNTIF($C$2:C1176,C1176)=1,SUMIF($C$2:$C$5001,C1176,$H$2:$H$5001)+ROW()/10000000,0))</f>
        <v>0</v>
      </c>
    </row>
    <row r="1177" customFormat="false" ht="15" hidden="false" customHeight="false" outlineLevel="0" collapsed="false">
      <c r="A1177" s="43"/>
      <c r="B1177" s="44"/>
      <c r="C1177" s="44"/>
      <c r="D1177" s="44"/>
      <c r="E1177" s="44"/>
      <c r="F1177" s="44"/>
      <c r="G1177" s="44"/>
      <c r="H1177" s="46" t="str">
        <f aca="false">IF($A1177="","",IF(OR(NOT(ISNUMBER(E1177)),NOT(ISNUMBER(F1177))),"",MAX(0,E1177)*F1177))</f>
        <v/>
      </c>
      <c r="I1177" s="46" t="str">
        <f aca="false">IF($A1177="","",SUMIF($A$2:$A$5001,$A1177,$H$2:$H$5001))</f>
        <v/>
      </c>
      <c r="J1177" s="47" t="n">
        <f aca="false">IF($A1177="",0,IF(COUNTIF($A$2:A1177,$A1177)=1,1,0))</f>
        <v>0</v>
      </c>
      <c r="K1177" s="47" t="n">
        <f aca="false">IF(J1177=1,N(I1177)+ROW()/10000000,0)</f>
        <v>0</v>
      </c>
      <c r="L1177" s="47" t="str">
        <f aca="false">IF(AND(J1177=1,N(I1177)&gt;0),SUMIF($K$2:$K$5001,"&gt;="&amp;K1177,$I$2:$I$5001)/MAX(1,SUM($H$2:$H$5001)),"")</f>
        <v/>
      </c>
      <c r="M1177" s="47" t="str">
        <f aca="false">IF($A1177="","",INDEX($L$2:$L$5001,MATCH($A1177,$A$2:$A$5001,0)))</f>
        <v/>
      </c>
      <c r="N1177" s="48" t="str">
        <f aca="false">IF($A1177="","",IF(N(M1177)=0,"–",IF(M1177&lt;=Start!$D$20,"A",IF(M1177&lt;=Start!$D$21,"B","C"))))</f>
        <v/>
      </c>
      <c r="O1177" s="48" t="str">
        <f aca="false">IF($A1177="","",IF(NOT(ISNUMBER(F1177)),"Wert fehlt; ",IF(F1177&lt;=0,"Wert ist 0; ",""))&amp;IF(NOT(ISNUMBER(E1177)),"Bestand fehlt; ",IF(E1177&lt;0,"Bestand negativ; ",IF(E1177=0,"Nullbestand; ","")))&amp;IF(D1177="","Warengruppe fehlt; ","")&amp;IF(B1177="","Bezeichnung fehlt; ","")&amp;IF(COUNTIFS($A$2:$A$5001,$A1177,$C$2:$C$5001,C1177)&gt;1,"Artikel doppelt im selben Lager; ",""))</f>
        <v/>
      </c>
      <c r="P1177" s="47" t="n">
        <f aca="false">IF(OR($A1177="",D1177=""),0,IF(COUNTIF($D$2:D1177,D1177)=1,SUMIF($D$2:$D$5001,D1177,$H$2:$H$5001)+ROW()/10000000,0))</f>
        <v>0</v>
      </c>
      <c r="Q1177" s="47" t="n">
        <f aca="false">IF(OR($A1177="",C1177=""),0,IF(COUNTIF($C$2:C1177,C1177)=1,SUMIF($C$2:$C$5001,C1177,$H$2:$H$5001)+ROW()/10000000,0))</f>
        <v>0</v>
      </c>
    </row>
    <row r="1178" customFormat="false" ht="15" hidden="false" customHeight="false" outlineLevel="0" collapsed="false">
      <c r="A1178" s="43"/>
      <c r="B1178" s="44"/>
      <c r="C1178" s="44"/>
      <c r="D1178" s="44"/>
      <c r="E1178" s="44"/>
      <c r="F1178" s="44"/>
      <c r="G1178" s="44"/>
      <c r="H1178" s="46" t="str">
        <f aca="false">IF($A1178="","",IF(OR(NOT(ISNUMBER(E1178)),NOT(ISNUMBER(F1178))),"",MAX(0,E1178)*F1178))</f>
        <v/>
      </c>
      <c r="I1178" s="46" t="str">
        <f aca="false">IF($A1178="","",SUMIF($A$2:$A$5001,$A1178,$H$2:$H$5001))</f>
        <v/>
      </c>
      <c r="J1178" s="47" t="n">
        <f aca="false">IF($A1178="",0,IF(COUNTIF($A$2:A1178,$A1178)=1,1,0))</f>
        <v>0</v>
      </c>
      <c r="K1178" s="47" t="n">
        <f aca="false">IF(J1178=1,N(I1178)+ROW()/10000000,0)</f>
        <v>0</v>
      </c>
      <c r="L1178" s="47" t="str">
        <f aca="false">IF(AND(J1178=1,N(I1178)&gt;0),SUMIF($K$2:$K$5001,"&gt;="&amp;K1178,$I$2:$I$5001)/MAX(1,SUM($H$2:$H$5001)),"")</f>
        <v/>
      </c>
      <c r="M1178" s="47" t="str">
        <f aca="false">IF($A1178="","",INDEX($L$2:$L$5001,MATCH($A1178,$A$2:$A$5001,0)))</f>
        <v/>
      </c>
      <c r="N1178" s="48" t="str">
        <f aca="false">IF($A1178="","",IF(N(M1178)=0,"–",IF(M1178&lt;=Start!$D$20,"A",IF(M1178&lt;=Start!$D$21,"B","C"))))</f>
        <v/>
      </c>
      <c r="O1178" s="48" t="str">
        <f aca="false">IF($A1178="","",IF(NOT(ISNUMBER(F1178)),"Wert fehlt; ",IF(F1178&lt;=0,"Wert ist 0; ",""))&amp;IF(NOT(ISNUMBER(E1178)),"Bestand fehlt; ",IF(E1178&lt;0,"Bestand negativ; ",IF(E1178=0,"Nullbestand; ","")))&amp;IF(D1178="","Warengruppe fehlt; ","")&amp;IF(B1178="","Bezeichnung fehlt; ","")&amp;IF(COUNTIFS($A$2:$A$5001,$A1178,$C$2:$C$5001,C1178)&gt;1,"Artikel doppelt im selben Lager; ",""))</f>
        <v/>
      </c>
      <c r="P1178" s="47" t="n">
        <f aca="false">IF(OR($A1178="",D1178=""),0,IF(COUNTIF($D$2:D1178,D1178)=1,SUMIF($D$2:$D$5001,D1178,$H$2:$H$5001)+ROW()/10000000,0))</f>
        <v>0</v>
      </c>
      <c r="Q1178" s="47" t="n">
        <f aca="false">IF(OR($A1178="",C1178=""),0,IF(COUNTIF($C$2:C1178,C1178)=1,SUMIF($C$2:$C$5001,C1178,$H$2:$H$5001)+ROW()/10000000,0))</f>
        <v>0</v>
      </c>
    </row>
    <row r="1179" customFormat="false" ht="15" hidden="false" customHeight="false" outlineLevel="0" collapsed="false">
      <c r="A1179" s="43"/>
      <c r="B1179" s="44"/>
      <c r="C1179" s="44"/>
      <c r="D1179" s="44"/>
      <c r="E1179" s="44"/>
      <c r="F1179" s="44"/>
      <c r="G1179" s="44"/>
      <c r="H1179" s="46" t="str">
        <f aca="false">IF($A1179="","",IF(OR(NOT(ISNUMBER(E1179)),NOT(ISNUMBER(F1179))),"",MAX(0,E1179)*F1179))</f>
        <v/>
      </c>
      <c r="I1179" s="46" t="str">
        <f aca="false">IF($A1179="","",SUMIF($A$2:$A$5001,$A1179,$H$2:$H$5001))</f>
        <v/>
      </c>
      <c r="J1179" s="47" t="n">
        <f aca="false">IF($A1179="",0,IF(COUNTIF($A$2:A1179,$A1179)=1,1,0))</f>
        <v>0</v>
      </c>
      <c r="K1179" s="47" t="n">
        <f aca="false">IF(J1179=1,N(I1179)+ROW()/10000000,0)</f>
        <v>0</v>
      </c>
      <c r="L1179" s="47" t="str">
        <f aca="false">IF(AND(J1179=1,N(I1179)&gt;0),SUMIF($K$2:$K$5001,"&gt;="&amp;K1179,$I$2:$I$5001)/MAX(1,SUM($H$2:$H$5001)),"")</f>
        <v/>
      </c>
      <c r="M1179" s="47" t="str">
        <f aca="false">IF($A1179="","",INDEX($L$2:$L$5001,MATCH($A1179,$A$2:$A$5001,0)))</f>
        <v/>
      </c>
      <c r="N1179" s="48" t="str">
        <f aca="false">IF($A1179="","",IF(N(M1179)=0,"–",IF(M1179&lt;=Start!$D$20,"A",IF(M1179&lt;=Start!$D$21,"B","C"))))</f>
        <v/>
      </c>
      <c r="O1179" s="48" t="str">
        <f aca="false">IF($A1179="","",IF(NOT(ISNUMBER(F1179)),"Wert fehlt; ",IF(F1179&lt;=0,"Wert ist 0; ",""))&amp;IF(NOT(ISNUMBER(E1179)),"Bestand fehlt; ",IF(E1179&lt;0,"Bestand negativ; ",IF(E1179=0,"Nullbestand; ","")))&amp;IF(D1179="","Warengruppe fehlt; ","")&amp;IF(B1179="","Bezeichnung fehlt; ","")&amp;IF(COUNTIFS($A$2:$A$5001,$A1179,$C$2:$C$5001,C1179)&gt;1,"Artikel doppelt im selben Lager; ",""))</f>
        <v/>
      </c>
      <c r="P1179" s="47" t="n">
        <f aca="false">IF(OR($A1179="",D1179=""),0,IF(COUNTIF($D$2:D1179,D1179)=1,SUMIF($D$2:$D$5001,D1179,$H$2:$H$5001)+ROW()/10000000,0))</f>
        <v>0</v>
      </c>
      <c r="Q1179" s="47" t="n">
        <f aca="false">IF(OR($A1179="",C1179=""),0,IF(COUNTIF($C$2:C1179,C1179)=1,SUMIF($C$2:$C$5001,C1179,$H$2:$H$5001)+ROW()/10000000,0))</f>
        <v>0</v>
      </c>
    </row>
    <row r="1180" customFormat="false" ht="15" hidden="false" customHeight="false" outlineLevel="0" collapsed="false">
      <c r="A1180" s="43"/>
      <c r="B1180" s="44"/>
      <c r="C1180" s="44"/>
      <c r="D1180" s="44"/>
      <c r="E1180" s="44"/>
      <c r="F1180" s="44"/>
      <c r="G1180" s="44"/>
      <c r="H1180" s="46" t="str">
        <f aca="false">IF($A1180="","",IF(OR(NOT(ISNUMBER(E1180)),NOT(ISNUMBER(F1180))),"",MAX(0,E1180)*F1180))</f>
        <v/>
      </c>
      <c r="I1180" s="46" t="str">
        <f aca="false">IF($A1180="","",SUMIF($A$2:$A$5001,$A1180,$H$2:$H$5001))</f>
        <v/>
      </c>
      <c r="J1180" s="47" t="n">
        <f aca="false">IF($A1180="",0,IF(COUNTIF($A$2:A1180,$A1180)=1,1,0))</f>
        <v>0</v>
      </c>
      <c r="K1180" s="47" t="n">
        <f aca="false">IF(J1180=1,N(I1180)+ROW()/10000000,0)</f>
        <v>0</v>
      </c>
      <c r="L1180" s="47" t="str">
        <f aca="false">IF(AND(J1180=1,N(I1180)&gt;0),SUMIF($K$2:$K$5001,"&gt;="&amp;K1180,$I$2:$I$5001)/MAX(1,SUM($H$2:$H$5001)),"")</f>
        <v/>
      </c>
      <c r="M1180" s="47" t="str">
        <f aca="false">IF($A1180="","",INDEX($L$2:$L$5001,MATCH($A1180,$A$2:$A$5001,0)))</f>
        <v/>
      </c>
      <c r="N1180" s="48" t="str">
        <f aca="false">IF($A1180="","",IF(N(M1180)=0,"–",IF(M1180&lt;=Start!$D$20,"A",IF(M1180&lt;=Start!$D$21,"B","C"))))</f>
        <v/>
      </c>
      <c r="O1180" s="48" t="str">
        <f aca="false">IF($A1180="","",IF(NOT(ISNUMBER(F1180)),"Wert fehlt; ",IF(F1180&lt;=0,"Wert ist 0; ",""))&amp;IF(NOT(ISNUMBER(E1180)),"Bestand fehlt; ",IF(E1180&lt;0,"Bestand negativ; ",IF(E1180=0,"Nullbestand; ","")))&amp;IF(D1180="","Warengruppe fehlt; ","")&amp;IF(B1180="","Bezeichnung fehlt; ","")&amp;IF(COUNTIFS($A$2:$A$5001,$A1180,$C$2:$C$5001,C1180)&gt;1,"Artikel doppelt im selben Lager; ",""))</f>
        <v/>
      </c>
      <c r="P1180" s="47" t="n">
        <f aca="false">IF(OR($A1180="",D1180=""),0,IF(COUNTIF($D$2:D1180,D1180)=1,SUMIF($D$2:$D$5001,D1180,$H$2:$H$5001)+ROW()/10000000,0))</f>
        <v>0</v>
      </c>
      <c r="Q1180" s="47" t="n">
        <f aca="false">IF(OR($A1180="",C1180=""),0,IF(COUNTIF($C$2:C1180,C1180)=1,SUMIF($C$2:$C$5001,C1180,$H$2:$H$5001)+ROW()/10000000,0))</f>
        <v>0</v>
      </c>
    </row>
    <row r="1181" customFormat="false" ht="15" hidden="false" customHeight="false" outlineLevel="0" collapsed="false">
      <c r="A1181" s="43"/>
      <c r="B1181" s="44"/>
      <c r="C1181" s="44"/>
      <c r="D1181" s="44"/>
      <c r="E1181" s="44"/>
      <c r="F1181" s="44"/>
      <c r="G1181" s="44"/>
      <c r="H1181" s="46" t="str">
        <f aca="false">IF($A1181="","",IF(OR(NOT(ISNUMBER(E1181)),NOT(ISNUMBER(F1181))),"",MAX(0,E1181)*F1181))</f>
        <v/>
      </c>
      <c r="I1181" s="46" t="str">
        <f aca="false">IF($A1181="","",SUMIF($A$2:$A$5001,$A1181,$H$2:$H$5001))</f>
        <v/>
      </c>
      <c r="J1181" s="47" t="n">
        <f aca="false">IF($A1181="",0,IF(COUNTIF($A$2:A1181,$A1181)=1,1,0))</f>
        <v>0</v>
      </c>
      <c r="K1181" s="47" t="n">
        <f aca="false">IF(J1181=1,N(I1181)+ROW()/10000000,0)</f>
        <v>0</v>
      </c>
      <c r="L1181" s="47" t="str">
        <f aca="false">IF(AND(J1181=1,N(I1181)&gt;0),SUMIF($K$2:$K$5001,"&gt;="&amp;K1181,$I$2:$I$5001)/MAX(1,SUM($H$2:$H$5001)),"")</f>
        <v/>
      </c>
      <c r="M1181" s="47" t="str">
        <f aca="false">IF($A1181="","",INDEX($L$2:$L$5001,MATCH($A1181,$A$2:$A$5001,0)))</f>
        <v/>
      </c>
      <c r="N1181" s="48" t="str">
        <f aca="false">IF($A1181="","",IF(N(M1181)=0,"–",IF(M1181&lt;=Start!$D$20,"A",IF(M1181&lt;=Start!$D$21,"B","C"))))</f>
        <v/>
      </c>
      <c r="O1181" s="48" t="str">
        <f aca="false">IF($A1181="","",IF(NOT(ISNUMBER(F1181)),"Wert fehlt; ",IF(F1181&lt;=0,"Wert ist 0; ",""))&amp;IF(NOT(ISNUMBER(E1181)),"Bestand fehlt; ",IF(E1181&lt;0,"Bestand negativ; ",IF(E1181=0,"Nullbestand; ","")))&amp;IF(D1181="","Warengruppe fehlt; ","")&amp;IF(B1181="","Bezeichnung fehlt; ","")&amp;IF(COUNTIFS($A$2:$A$5001,$A1181,$C$2:$C$5001,C1181)&gt;1,"Artikel doppelt im selben Lager; ",""))</f>
        <v/>
      </c>
      <c r="P1181" s="47" t="n">
        <f aca="false">IF(OR($A1181="",D1181=""),0,IF(COUNTIF($D$2:D1181,D1181)=1,SUMIF($D$2:$D$5001,D1181,$H$2:$H$5001)+ROW()/10000000,0))</f>
        <v>0</v>
      </c>
      <c r="Q1181" s="47" t="n">
        <f aca="false">IF(OR($A1181="",C1181=""),0,IF(COUNTIF($C$2:C1181,C1181)=1,SUMIF($C$2:$C$5001,C1181,$H$2:$H$5001)+ROW()/10000000,0))</f>
        <v>0</v>
      </c>
    </row>
    <row r="1182" customFormat="false" ht="15" hidden="false" customHeight="false" outlineLevel="0" collapsed="false">
      <c r="A1182" s="43"/>
      <c r="B1182" s="44"/>
      <c r="C1182" s="44"/>
      <c r="D1182" s="44"/>
      <c r="E1182" s="44"/>
      <c r="F1182" s="44"/>
      <c r="G1182" s="44"/>
      <c r="H1182" s="46" t="str">
        <f aca="false">IF($A1182="","",IF(OR(NOT(ISNUMBER(E1182)),NOT(ISNUMBER(F1182))),"",MAX(0,E1182)*F1182))</f>
        <v/>
      </c>
      <c r="I1182" s="46" t="str">
        <f aca="false">IF($A1182="","",SUMIF($A$2:$A$5001,$A1182,$H$2:$H$5001))</f>
        <v/>
      </c>
      <c r="J1182" s="47" t="n">
        <f aca="false">IF($A1182="",0,IF(COUNTIF($A$2:A1182,$A1182)=1,1,0))</f>
        <v>0</v>
      </c>
      <c r="K1182" s="47" t="n">
        <f aca="false">IF(J1182=1,N(I1182)+ROW()/10000000,0)</f>
        <v>0</v>
      </c>
      <c r="L1182" s="47" t="str">
        <f aca="false">IF(AND(J1182=1,N(I1182)&gt;0),SUMIF($K$2:$K$5001,"&gt;="&amp;K1182,$I$2:$I$5001)/MAX(1,SUM($H$2:$H$5001)),"")</f>
        <v/>
      </c>
      <c r="M1182" s="47" t="str">
        <f aca="false">IF($A1182="","",INDEX($L$2:$L$5001,MATCH($A1182,$A$2:$A$5001,0)))</f>
        <v/>
      </c>
      <c r="N1182" s="48" t="str">
        <f aca="false">IF($A1182="","",IF(N(M1182)=0,"–",IF(M1182&lt;=Start!$D$20,"A",IF(M1182&lt;=Start!$D$21,"B","C"))))</f>
        <v/>
      </c>
      <c r="O1182" s="48" t="str">
        <f aca="false">IF($A1182="","",IF(NOT(ISNUMBER(F1182)),"Wert fehlt; ",IF(F1182&lt;=0,"Wert ist 0; ",""))&amp;IF(NOT(ISNUMBER(E1182)),"Bestand fehlt; ",IF(E1182&lt;0,"Bestand negativ; ",IF(E1182=0,"Nullbestand; ","")))&amp;IF(D1182="","Warengruppe fehlt; ","")&amp;IF(B1182="","Bezeichnung fehlt; ","")&amp;IF(COUNTIFS($A$2:$A$5001,$A1182,$C$2:$C$5001,C1182)&gt;1,"Artikel doppelt im selben Lager; ",""))</f>
        <v/>
      </c>
      <c r="P1182" s="47" t="n">
        <f aca="false">IF(OR($A1182="",D1182=""),0,IF(COUNTIF($D$2:D1182,D1182)=1,SUMIF($D$2:$D$5001,D1182,$H$2:$H$5001)+ROW()/10000000,0))</f>
        <v>0</v>
      </c>
      <c r="Q1182" s="47" t="n">
        <f aca="false">IF(OR($A1182="",C1182=""),0,IF(COUNTIF($C$2:C1182,C1182)=1,SUMIF($C$2:$C$5001,C1182,$H$2:$H$5001)+ROW()/10000000,0))</f>
        <v>0</v>
      </c>
    </row>
    <row r="1183" customFormat="false" ht="15" hidden="false" customHeight="false" outlineLevel="0" collapsed="false">
      <c r="A1183" s="43"/>
      <c r="B1183" s="44"/>
      <c r="C1183" s="44"/>
      <c r="D1183" s="44"/>
      <c r="E1183" s="44"/>
      <c r="F1183" s="44"/>
      <c r="G1183" s="44"/>
      <c r="H1183" s="46" t="str">
        <f aca="false">IF($A1183="","",IF(OR(NOT(ISNUMBER(E1183)),NOT(ISNUMBER(F1183))),"",MAX(0,E1183)*F1183))</f>
        <v/>
      </c>
      <c r="I1183" s="46" t="str">
        <f aca="false">IF($A1183="","",SUMIF($A$2:$A$5001,$A1183,$H$2:$H$5001))</f>
        <v/>
      </c>
      <c r="J1183" s="47" t="n">
        <f aca="false">IF($A1183="",0,IF(COUNTIF($A$2:A1183,$A1183)=1,1,0))</f>
        <v>0</v>
      </c>
      <c r="K1183" s="47" t="n">
        <f aca="false">IF(J1183=1,N(I1183)+ROW()/10000000,0)</f>
        <v>0</v>
      </c>
      <c r="L1183" s="47" t="str">
        <f aca="false">IF(AND(J1183=1,N(I1183)&gt;0),SUMIF($K$2:$K$5001,"&gt;="&amp;K1183,$I$2:$I$5001)/MAX(1,SUM($H$2:$H$5001)),"")</f>
        <v/>
      </c>
      <c r="M1183" s="47" t="str">
        <f aca="false">IF($A1183="","",INDEX($L$2:$L$5001,MATCH($A1183,$A$2:$A$5001,0)))</f>
        <v/>
      </c>
      <c r="N1183" s="48" t="str">
        <f aca="false">IF($A1183="","",IF(N(M1183)=0,"–",IF(M1183&lt;=Start!$D$20,"A",IF(M1183&lt;=Start!$D$21,"B","C"))))</f>
        <v/>
      </c>
      <c r="O1183" s="48" t="str">
        <f aca="false">IF($A1183="","",IF(NOT(ISNUMBER(F1183)),"Wert fehlt; ",IF(F1183&lt;=0,"Wert ist 0; ",""))&amp;IF(NOT(ISNUMBER(E1183)),"Bestand fehlt; ",IF(E1183&lt;0,"Bestand negativ; ",IF(E1183=0,"Nullbestand; ","")))&amp;IF(D1183="","Warengruppe fehlt; ","")&amp;IF(B1183="","Bezeichnung fehlt; ","")&amp;IF(COUNTIFS($A$2:$A$5001,$A1183,$C$2:$C$5001,C1183)&gt;1,"Artikel doppelt im selben Lager; ",""))</f>
        <v/>
      </c>
      <c r="P1183" s="47" t="n">
        <f aca="false">IF(OR($A1183="",D1183=""),0,IF(COUNTIF($D$2:D1183,D1183)=1,SUMIF($D$2:$D$5001,D1183,$H$2:$H$5001)+ROW()/10000000,0))</f>
        <v>0</v>
      </c>
      <c r="Q1183" s="47" t="n">
        <f aca="false">IF(OR($A1183="",C1183=""),0,IF(COUNTIF($C$2:C1183,C1183)=1,SUMIF($C$2:$C$5001,C1183,$H$2:$H$5001)+ROW()/10000000,0))</f>
        <v>0</v>
      </c>
    </row>
    <row r="1184" customFormat="false" ht="15" hidden="false" customHeight="false" outlineLevel="0" collapsed="false">
      <c r="A1184" s="43"/>
      <c r="B1184" s="44"/>
      <c r="C1184" s="44"/>
      <c r="D1184" s="44"/>
      <c r="E1184" s="44"/>
      <c r="F1184" s="44"/>
      <c r="G1184" s="44"/>
      <c r="H1184" s="46" t="str">
        <f aca="false">IF($A1184="","",IF(OR(NOT(ISNUMBER(E1184)),NOT(ISNUMBER(F1184))),"",MAX(0,E1184)*F1184))</f>
        <v/>
      </c>
      <c r="I1184" s="46" t="str">
        <f aca="false">IF($A1184="","",SUMIF($A$2:$A$5001,$A1184,$H$2:$H$5001))</f>
        <v/>
      </c>
      <c r="J1184" s="47" t="n">
        <f aca="false">IF($A1184="",0,IF(COUNTIF($A$2:A1184,$A1184)=1,1,0))</f>
        <v>0</v>
      </c>
      <c r="K1184" s="47" t="n">
        <f aca="false">IF(J1184=1,N(I1184)+ROW()/10000000,0)</f>
        <v>0</v>
      </c>
      <c r="L1184" s="47" t="str">
        <f aca="false">IF(AND(J1184=1,N(I1184)&gt;0),SUMIF($K$2:$K$5001,"&gt;="&amp;K1184,$I$2:$I$5001)/MAX(1,SUM($H$2:$H$5001)),"")</f>
        <v/>
      </c>
      <c r="M1184" s="47" t="str">
        <f aca="false">IF($A1184="","",INDEX($L$2:$L$5001,MATCH($A1184,$A$2:$A$5001,0)))</f>
        <v/>
      </c>
      <c r="N1184" s="48" t="str">
        <f aca="false">IF($A1184="","",IF(N(M1184)=0,"–",IF(M1184&lt;=Start!$D$20,"A",IF(M1184&lt;=Start!$D$21,"B","C"))))</f>
        <v/>
      </c>
      <c r="O1184" s="48" t="str">
        <f aca="false">IF($A1184="","",IF(NOT(ISNUMBER(F1184)),"Wert fehlt; ",IF(F1184&lt;=0,"Wert ist 0; ",""))&amp;IF(NOT(ISNUMBER(E1184)),"Bestand fehlt; ",IF(E1184&lt;0,"Bestand negativ; ",IF(E1184=0,"Nullbestand; ","")))&amp;IF(D1184="","Warengruppe fehlt; ","")&amp;IF(B1184="","Bezeichnung fehlt; ","")&amp;IF(COUNTIFS($A$2:$A$5001,$A1184,$C$2:$C$5001,C1184)&gt;1,"Artikel doppelt im selben Lager; ",""))</f>
        <v/>
      </c>
      <c r="P1184" s="47" t="n">
        <f aca="false">IF(OR($A1184="",D1184=""),0,IF(COUNTIF($D$2:D1184,D1184)=1,SUMIF($D$2:$D$5001,D1184,$H$2:$H$5001)+ROW()/10000000,0))</f>
        <v>0</v>
      </c>
      <c r="Q1184" s="47" t="n">
        <f aca="false">IF(OR($A1184="",C1184=""),0,IF(COUNTIF($C$2:C1184,C1184)=1,SUMIF($C$2:$C$5001,C1184,$H$2:$H$5001)+ROW()/10000000,0))</f>
        <v>0</v>
      </c>
    </row>
    <row r="1185" customFormat="false" ht="15" hidden="false" customHeight="false" outlineLevel="0" collapsed="false">
      <c r="A1185" s="43"/>
      <c r="B1185" s="44"/>
      <c r="C1185" s="44"/>
      <c r="D1185" s="44"/>
      <c r="E1185" s="44"/>
      <c r="F1185" s="44"/>
      <c r="G1185" s="44"/>
      <c r="H1185" s="46" t="str">
        <f aca="false">IF($A1185="","",IF(OR(NOT(ISNUMBER(E1185)),NOT(ISNUMBER(F1185))),"",MAX(0,E1185)*F1185))</f>
        <v/>
      </c>
      <c r="I1185" s="46" t="str">
        <f aca="false">IF($A1185="","",SUMIF($A$2:$A$5001,$A1185,$H$2:$H$5001))</f>
        <v/>
      </c>
      <c r="J1185" s="47" t="n">
        <f aca="false">IF($A1185="",0,IF(COUNTIF($A$2:A1185,$A1185)=1,1,0))</f>
        <v>0</v>
      </c>
      <c r="K1185" s="47" t="n">
        <f aca="false">IF(J1185=1,N(I1185)+ROW()/10000000,0)</f>
        <v>0</v>
      </c>
      <c r="L1185" s="47" t="str">
        <f aca="false">IF(AND(J1185=1,N(I1185)&gt;0),SUMIF($K$2:$K$5001,"&gt;="&amp;K1185,$I$2:$I$5001)/MAX(1,SUM($H$2:$H$5001)),"")</f>
        <v/>
      </c>
      <c r="M1185" s="47" t="str">
        <f aca="false">IF($A1185="","",INDEX($L$2:$L$5001,MATCH($A1185,$A$2:$A$5001,0)))</f>
        <v/>
      </c>
      <c r="N1185" s="48" t="str">
        <f aca="false">IF($A1185="","",IF(N(M1185)=0,"–",IF(M1185&lt;=Start!$D$20,"A",IF(M1185&lt;=Start!$D$21,"B","C"))))</f>
        <v/>
      </c>
      <c r="O1185" s="48" t="str">
        <f aca="false">IF($A1185="","",IF(NOT(ISNUMBER(F1185)),"Wert fehlt; ",IF(F1185&lt;=0,"Wert ist 0; ",""))&amp;IF(NOT(ISNUMBER(E1185)),"Bestand fehlt; ",IF(E1185&lt;0,"Bestand negativ; ",IF(E1185=0,"Nullbestand; ","")))&amp;IF(D1185="","Warengruppe fehlt; ","")&amp;IF(B1185="","Bezeichnung fehlt; ","")&amp;IF(COUNTIFS($A$2:$A$5001,$A1185,$C$2:$C$5001,C1185)&gt;1,"Artikel doppelt im selben Lager; ",""))</f>
        <v/>
      </c>
      <c r="P1185" s="47" t="n">
        <f aca="false">IF(OR($A1185="",D1185=""),0,IF(COUNTIF($D$2:D1185,D1185)=1,SUMIF($D$2:$D$5001,D1185,$H$2:$H$5001)+ROW()/10000000,0))</f>
        <v>0</v>
      </c>
      <c r="Q1185" s="47" t="n">
        <f aca="false">IF(OR($A1185="",C1185=""),0,IF(COUNTIF($C$2:C1185,C1185)=1,SUMIF($C$2:$C$5001,C1185,$H$2:$H$5001)+ROW()/10000000,0))</f>
        <v>0</v>
      </c>
    </row>
    <row r="1186" customFormat="false" ht="15" hidden="false" customHeight="false" outlineLevel="0" collapsed="false">
      <c r="A1186" s="43"/>
      <c r="B1186" s="44"/>
      <c r="C1186" s="44"/>
      <c r="D1186" s="44"/>
      <c r="E1186" s="44"/>
      <c r="F1186" s="44"/>
      <c r="G1186" s="44"/>
      <c r="H1186" s="46" t="str">
        <f aca="false">IF($A1186="","",IF(OR(NOT(ISNUMBER(E1186)),NOT(ISNUMBER(F1186))),"",MAX(0,E1186)*F1186))</f>
        <v/>
      </c>
      <c r="I1186" s="46" t="str">
        <f aca="false">IF($A1186="","",SUMIF($A$2:$A$5001,$A1186,$H$2:$H$5001))</f>
        <v/>
      </c>
      <c r="J1186" s="47" t="n">
        <f aca="false">IF($A1186="",0,IF(COUNTIF($A$2:A1186,$A1186)=1,1,0))</f>
        <v>0</v>
      </c>
      <c r="K1186" s="47" t="n">
        <f aca="false">IF(J1186=1,N(I1186)+ROW()/10000000,0)</f>
        <v>0</v>
      </c>
      <c r="L1186" s="47" t="str">
        <f aca="false">IF(AND(J1186=1,N(I1186)&gt;0),SUMIF($K$2:$K$5001,"&gt;="&amp;K1186,$I$2:$I$5001)/MAX(1,SUM($H$2:$H$5001)),"")</f>
        <v/>
      </c>
      <c r="M1186" s="47" t="str">
        <f aca="false">IF($A1186="","",INDEX($L$2:$L$5001,MATCH($A1186,$A$2:$A$5001,0)))</f>
        <v/>
      </c>
      <c r="N1186" s="48" t="str">
        <f aca="false">IF($A1186="","",IF(N(M1186)=0,"–",IF(M1186&lt;=Start!$D$20,"A",IF(M1186&lt;=Start!$D$21,"B","C"))))</f>
        <v/>
      </c>
      <c r="O1186" s="48" t="str">
        <f aca="false">IF($A1186="","",IF(NOT(ISNUMBER(F1186)),"Wert fehlt; ",IF(F1186&lt;=0,"Wert ist 0; ",""))&amp;IF(NOT(ISNUMBER(E1186)),"Bestand fehlt; ",IF(E1186&lt;0,"Bestand negativ; ",IF(E1186=0,"Nullbestand; ","")))&amp;IF(D1186="","Warengruppe fehlt; ","")&amp;IF(B1186="","Bezeichnung fehlt; ","")&amp;IF(COUNTIFS($A$2:$A$5001,$A1186,$C$2:$C$5001,C1186)&gt;1,"Artikel doppelt im selben Lager; ",""))</f>
        <v/>
      </c>
      <c r="P1186" s="47" t="n">
        <f aca="false">IF(OR($A1186="",D1186=""),0,IF(COUNTIF($D$2:D1186,D1186)=1,SUMIF($D$2:$D$5001,D1186,$H$2:$H$5001)+ROW()/10000000,0))</f>
        <v>0</v>
      </c>
      <c r="Q1186" s="47" t="n">
        <f aca="false">IF(OR($A1186="",C1186=""),0,IF(COUNTIF($C$2:C1186,C1186)=1,SUMIF($C$2:$C$5001,C1186,$H$2:$H$5001)+ROW()/10000000,0))</f>
        <v>0</v>
      </c>
    </row>
    <row r="1187" customFormat="false" ht="15" hidden="false" customHeight="false" outlineLevel="0" collapsed="false">
      <c r="A1187" s="43"/>
      <c r="B1187" s="44"/>
      <c r="C1187" s="44"/>
      <c r="D1187" s="44"/>
      <c r="E1187" s="44"/>
      <c r="F1187" s="44"/>
      <c r="G1187" s="44"/>
      <c r="H1187" s="46" t="str">
        <f aca="false">IF($A1187="","",IF(OR(NOT(ISNUMBER(E1187)),NOT(ISNUMBER(F1187))),"",MAX(0,E1187)*F1187))</f>
        <v/>
      </c>
      <c r="I1187" s="46" t="str">
        <f aca="false">IF($A1187="","",SUMIF($A$2:$A$5001,$A1187,$H$2:$H$5001))</f>
        <v/>
      </c>
      <c r="J1187" s="47" t="n">
        <f aca="false">IF($A1187="",0,IF(COUNTIF($A$2:A1187,$A1187)=1,1,0))</f>
        <v>0</v>
      </c>
      <c r="K1187" s="47" t="n">
        <f aca="false">IF(J1187=1,N(I1187)+ROW()/10000000,0)</f>
        <v>0</v>
      </c>
      <c r="L1187" s="47" t="str">
        <f aca="false">IF(AND(J1187=1,N(I1187)&gt;0),SUMIF($K$2:$K$5001,"&gt;="&amp;K1187,$I$2:$I$5001)/MAX(1,SUM($H$2:$H$5001)),"")</f>
        <v/>
      </c>
      <c r="M1187" s="47" t="str">
        <f aca="false">IF($A1187="","",INDEX($L$2:$L$5001,MATCH($A1187,$A$2:$A$5001,0)))</f>
        <v/>
      </c>
      <c r="N1187" s="48" t="str">
        <f aca="false">IF($A1187="","",IF(N(M1187)=0,"–",IF(M1187&lt;=Start!$D$20,"A",IF(M1187&lt;=Start!$D$21,"B","C"))))</f>
        <v/>
      </c>
      <c r="O1187" s="48" t="str">
        <f aca="false">IF($A1187="","",IF(NOT(ISNUMBER(F1187)),"Wert fehlt; ",IF(F1187&lt;=0,"Wert ist 0; ",""))&amp;IF(NOT(ISNUMBER(E1187)),"Bestand fehlt; ",IF(E1187&lt;0,"Bestand negativ; ",IF(E1187=0,"Nullbestand; ","")))&amp;IF(D1187="","Warengruppe fehlt; ","")&amp;IF(B1187="","Bezeichnung fehlt; ","")&amp;IF(COUNTIFS($A$2:$A$5001,$A1187,$C$2:$C$5001,C1187)&gt;1,"Artikel doppelt im selben Lager; ",""))</f>
        <v/>
      </c>
      <c r="P1187" s="47" t="n">
        <f aca="false">IF(OR($A1187="",D1187=""),0,IF(COUNTIF($D$2:D1187,D1187)=1,SUMIF($D$2:$D$5001,D1187,$H$2:$H$5001)+ROW()/10000000,0))</f>
        <v>0</v>
      </c>
      <c r="Q1187" s="47" t="n">
        <f aca="false">IF(OR($A1187="",C1187=""),0,IF(COUNTIF($C$2:C1187,C1187)=1,SUMIF($C$2:$C$5001,C1187,$H$2:$H$5001)+ROW()/10000000,0))</f>
        <v>0</v>
      </c>
    </row>
    <row r="1188" customFormat="false" ht="15" hidden="false" customHeight="false" outlineLevel="0" collapsed="false">
      <c r="A1188" s="43"/>
      <c r="B1188" s="44"/>
      <c r="C1188" s="44"/>
      <c r="D1188" s="44"/>
      <c r="E1188" s="44"/>
      <c r="F1188" s="44"/>
      <c r="G1188" s="44"/>
      <c r="H1188" s="46" t="str">
        <f aca="false">IF($A1188="","",IF(OR(NOT(ISNUMBER(E1188)),NOT(ISNUMBER(F1188))),"",MAX(0,E1188)*F1188))</f>
        <v/>
      </c>
      <c r="I1188" s="46" t="str">
        <f aca="false">IF($A1188="","",SUMIF($A$2:$A$5001,$A1188,$H$2:$H$5001))</f>
        <v/>
      </c>
      <c r="J1188" s="47" t="n">
        <f aca="false">IF($A1188="",0,IF(COUNTIF($A$2:A1188,$A1188)=1,1,0))</f>
        <v>0</v>
      </c>
      <c r="K1188" s="47" t="n">
        <f aca="false">IF(J1188=1,N(I1188)+ROW()/10000000,0)</f>
        <v>0</v>
      </c>
      <c r="L1188" s="47" t="str">
        <f aca="false">IF(AND(J1188=1,N(I1188)&gt;0),SUMIF($K$2:$K$5001,"&gt;="&amp;K1188,$I$2:$I$5001)/MAX(1,SUM($H$2:$H$5001)),"")</f>
        <v/>
      </c>
      <c r="M1188" s="47" t="str">
        <f aca="false">IF($A1188="","",INDEX($L$2:$L$5001,MATCH($A1188,$A$2:$A$5001,0)))</f>
        <v/>
      </c>
      <c r="N1188" s="48" t="str">
        <f aca="false">IF($A1188="","",IF(N(M1188)=0,"–",IF(M1188&lt;=Start!$D$20,"A",IF(M1188&lt;=Start!$D$21,"B","C"))))</f>
        <v/>
      </c>
      <c r="O1188" s="48" t="str">
        <f aca="false">IF($A1188="","",IF(NOT(ISNUMBER(F1188)),"Wert fehlt; ",IF(F1188&lt;=0,"Wert ist 0; ",""))&amp;IF(NOT(ISNUMBER(E1188)),"Bestand fehlt; ",IF(E1188&lt;0,"Bestand negativ; ",IF(E1188=0,"Nullbestand; ","")))&amp;IF(D1188="","Warengruppe fehlt; ","")&amp;IF(B1188="","Bezeichnung fehlt; ","")&amp;IF(COUNTIFS($A$2:$A$5001,$A1188,$C$2:$C$5001,C1188)&gt;1,"Artikel doppelt im selben Lager; ",""))</f>
        <v/>
      </c>
      <c r="P1188" s="47" t="n">
        <f aca="false">IF(OR($A1188="",D1188=""),0,IF(COUNTIF($D$2:D1188,D1188)=1,SUMIF($D$2:$D$5001,D1188,$H$2:$H$5001)+ROW()/10000000,0))</f>
        <v>0</v>
      </c>
      <c r="Q1188" s="47" t="n">
        <f aca="false">IF(OR($A1188="",C1188=""),0,IF(COUNTIF($C$2:C1188,C1188)=1,SUMIF($C$2:$C$5001,C1188,$H$2:$H$5001)+ROW()/10000000,0))</f>
        <v>0</v>
      </c>
    </row>
    <row r="1189" customFormat="false" ht="15" hidden="false" customHeight="false" outlineLevel="0" collapsed="false">
      <c r="A1189" s="43"/>
      <c r="B1189" s="44"/>
      <c r="C1189" s="44"/>
      <c r="D1189" s="44"/>
      <c r="E1189" s="44"/>
      <c r="F1189" s="44"/>
      <c r="G1189" s="44"/>
      <c r="H1189" s="46" t="str">
        <f aca="false">IF($A1189="","",IF(OR(NOT(ISNUMBER(E1189)),NOT(ISNUMBER(F1189))),"",MAX(0,E1189)*F1189))</f>
        <v/>
      </c>
      <c r="I1189" s="46" t="str">
        <f aca="false">IF($A1189="","",SUMIF($A$2:$A$5001,$A1189,$H$2:$H$5001))</f>
        <v/>
      </c>
      <c r="J1189" s="47" t="n">
        <f aca="false">IF($A1189="",0,IF(COUNTIF($A$2:A1189,$A1189)=1,1,0))</f>
        <v>0</v>
      </c>
      <c r="K1189" s="47" t="n">
        <f aca="false">IF(J1189=1,N(I1189)+ROW()/10000000,0)</f>
        <v>0</v>
      </c>
      <c r="L1189" s="47" t="str">
        <f aca="false">IF(AND(J1189=1,N(I1189)&gt;0),SUMIF($K$2:$K$5001,"&gt;="&amp;K1189,$I$2:$I$5001)/MAX(1,SUM($H$2:$H$5001)),"")</f>
        <v/>
      </c>
      <c r="M1189" s="47" t="str">
        <f aca="false">IF($A1189="","",INDEX($L$2:$L$5001,MATCH($A1189,$A$2:$A$5001,0)))</f>
        <v/>
      </c>
      <c r="N1189" s="48" t="str">
        <f aca="false">IF($A1189="","",IF(N(M1189)=0,"–",IF(M1189&lt;=Start!$D$20,"A",IF(M1189&lt;=Start!$D$21,"B","C"))))</f>
        <v/>
      </c>
      <c r="O1189" s="48" t="str">
        <f aca="false">IF($A1189="","",IF(NOT(ISNUMBER(F1189)),"Wert fehlt; ",IF(F1189&lt;=0,"Wert ist 0; ",""))&amp;IF(NOT(ISNUMBER(E1189)),"Bestand fehlt; ",IF(E1189&lt;0,"Bestand negativ; ",IF(E1189=0,"Nullbestand; ","")))&amp;IF(D1189="","Warengruppe fehlt; ","")&amp;IF(B1189="","Bezeichnung fehlt; ","")&amp;IF(COUNTIFS($A$2:$A$5001,$A1189,$C$2:$C$5001,C1189)&gt;1,"Artikel doppelt im selben Lager; ",""))</f>
        <v/>
      </c>
      <c r="P1189" s="47" t="n">
        <f aca="false">IF(OR($A1189="",D1189=""),0,IF(COUNTIF($D$2:D1189,D1189)=1,SUMIF($D$2:$D$5001,D1189,$H$2:$H$5001)+ROW()/10000000,0))</f>
        <v>0</v>
      </c>
      <c r="Q1189" s="47" t="n">
        <f aca="false">IF(OR($A1189="",C1189=""),0,IF(COUNTIF($C$2:C1189,C1189)=1,SUMIF($C$2:$C$5001,C1189,$H$2:$H$5001)+ROW()/10000000,0))</f>
        <v>0</v>
      </c>
    </row>
    <row r="1190" customFormat="false" ht="15" hidden="false" customHeight="false" outlineLevel="0" collapsed="false">
      <c r="A1190" s="43"/>
      <c r="B1190" s="44"/>
      <c r="C1190" s="44"/>
      <c r="D1190" s="44"/>
      <c r="E1190" s="44"/>
      <c r="F1190" s="44"/>
      <c r="G1190" s="44"/>
      <c r="H1190" s="46" t="str">
        <f aca="false">IF($A1190="","",IF(OR(NOT(ISNUMBER(E1190)),NOT(ISNUMBER(F1190))),"",MAX(0,E1190)*F1190))</f>
        <v/>
      </c>
      <c r="I1190" s="46" t="str">
        <f aca="false">IF($A1190="","",SUMIF($A$2:$A$5001,$A1190,$H$2:$H$5001))</f>
        <v/>
      </c>
      <c r="J1190" s="47" t="n">
        <f aca="false">IF($A1190="",0,IF(COUNTIF($A$2:A1190,$A1190)=1,1,0))</f>
        <v>0</v>
      </c>
      <c r="K1190" s="47" t="n">
        <f aca="false">IF(J1190=1,N(I1190)+ROW()/10000000,0)</f>
        <v>0</v>
      </c>
      <c r="L1190" s="47" t="str">
        <f aca="false">IF(AND(J1190=1,N(I1190)&gt;0),SUMIF($K$2:$K$5001,"&gt;="&amp;K1190,$I$2:$I$5001)/MAX(1,SUM($H$2:$H$5001)),"")</f>
        <v/>
      </c>
      <c r="M1190" s="47" t="str">
        <f aca="false">IF($A1190="","",INDEX($L$2:$L$5001,MATCH($A1190,$A$2:$A$5001,0)))</f>
        <v/>
      </c>
      <c r="N1190" s="48" t="str">
        <f aca="false">IF($A1190="","",IF(N(M1190)=0,"–",IF(M1190&lt;=Start!$D$20,"A",IF(M1190&lt;=Start!$D$21,"B","C"))))</f>
        <v/>
      </c>
      <c r="O1190" s="48" t="str">
        <f aca="false">IF($A1190="","",IF(NOT(ISNUMBER(F1190)),"Wert fehlt; ",IF(F1190&lt;=0,"Wert ist 0; ",""))&amp;IF(NOT(ISNUMBER(E1190)),"Bestand fehlt; ",IF(E1190&lt;0,"Bestand negativ; ",IF(E1190=0,"Nullbestand; ","")))&amp;IF(D1190="","Warengruppe fehlt; ","")&amp;IF(B1190="","Bezeichnung fehlt; ","")&amp;IF(COUNTIFS($A$2:$A$5001,$A1190,$C$2:$C$5001,C1190)&gt;1,"Artikel doppelt im selben Lager; ",""))</f>
        <v/>
      </c>
      <c r="P1190" s="47" t="n">
        <f aca="false">IF(OR($A1190="",D1190=""),0,IF(COUNTIF($D$2:D1190,D1190)=1,SUMIF($D$2:$D$5001,D1190,$H$2:$H$5001)+ROW()/10000000,0))</f>
        <v>0</v>
      </c>
      <c r="Q1190" s="47" t="n">
        <f aca="false">IF(OR($A1190="",C1190=""),0,IF(COUNTIF($C$2:C1190,C1190)=1,SUMIF($C$2:$C$5001,C1190,$H$2:$H$5001)+ROW()/10000000,0))</f>
        <v>0</v>
      </c>
    </row>
    <row r="1191" customFormat="false" ht="15" hidden="false" customHeight="false" outlineLevel="0" collapsed="false">
      <c r="A1191" s="43"/>
      <c r="B1191" s="44"/>
      <c r="C1191" s="44"/>
      <c r="D1191" s="44"/>
      <c r="E1191" s="44"/>
      <c r="F1191" s="44"/>
      <c r="G1191" s="44"/>
      <c r="H1191" s="46" t="str">
        <f aca="false">IF($A1191="","",IF(OR(NOT(ISNUMBER(E1191)),NOT(ISNUMBER(F1191))),"",MAX(0,E1191)*F1191))</f>
        <v/>
      </c>
      <c r="I1191" s="46" t="str">
        <f aca="false">IF($A1191="","",SUMIF($A$2:$A$5001,$A1191,$H$2:$H$5001))</f>
        <v/>
      </c>
      <c r="J1191" s="47" t="n">
        <f aca="false">IF($A1191="",0,IF(COUNTIF($A$2:A1191,$A1191)=1,1,0))</f>
        <v>0</v>
      </c>
      <c r="K1191" s="47" t="n">
        <f aca="false">IF(J1191=1,N(I1191)+ROW()/10000000,0)</f>
        <v>0</v>
      </c>
      <c r="L1191" s="47" t="str">
        <f aca="false">IF(AND(J1191=1,N(I1191)&gt;0),SUMIF($K$2:$K$5001,"&gt;="&amp;K1191,$I$2:$I$5001)/MAX(1,SUM($H$2:$H$5001)),"")</f>
        <v/>
      </c>
      <c r="M1191" s="47" t="str">
        <f aca="false">IF($A1191="","",INDEX($L$2:$L$5001,MATCH($A1191,$A$2:$A$5001,0)))</f>
        <v/>
      </c>
      <c r="N1191" s="48" t="str">
        <f aca="false">IF($A1191="","",IF(N(M1191)=0,"–",IF(M1191&lt;=Start!$D$20,"A",IF(M1191&lt;=Start!$D$21,"B","C"))))</f>
        <v/>
      </c>
      <c r="O1191" s="48" t="str">
        <f aca="false">IF($A1191="","",IF(NOT(ISNUMBER(F1191)),"Wert fehlt; ",IF(F1191&lt;=0,"Wert ist 0; ",""))&amp;IF(NOT(ISNUMBER(E1191)),"Bestand fehlt; ",IF(E1191&lt;0,"Bestand negativ; ",IF(E1191=0,"Nullbestand; ","")))&amp;IF(D1191="","Warengruppe fehlt; ","")&amp;IF(B1191="","Bezeichnung fehlt; ","")&amp;IF(COUNTIFS($A$2:$A$5001,$A1191,$C$2:$C$5001,C1191)&gt;1,"Artikel doppelt im selben Lager; ",""))</f>
        <v/>
      </c>
      <c r="P1191" s="47" t="n">
        <f aca="false">IF(OR($A1191="",D1191=""),0,IF(COUNTIF($D$2:D1191,D1191)=1,SUMIF($D$2:$D$5001,D1191,$H$2:$H$5001)+ROW()/10000000,0))</f>
        <v>0</v>
      </c>
      <c r="Q1191" s="47" t="n">
        <f aca="false">IF(OR($A1191="",C1191=""),0,IF(COUNTIF($C$2:C1191,C1191)=1,SUMIF($C$2:$C$5001,C1191,$H$2:$H$5001)+ROW()/10000000,0))</f>
        <v>0</v>
      </c>
    </row>
    <row r="1192" customFormat="false" ht="15" hidden="false" customHeight="false" outlineLevel="0" collapsed="false">
      <c r="A1192" s="43"/>
      <c r="B1192" s="44"/>
      <c r="C1192" s="44"/>
      <c r="D1192" s="44"/>
      <c r="E1192" s="44"/>
      <c r="F1192" s="44"/>
      <c r="G1192" s="44"/>
      <c r="H1192" s="46" t="str">
        <f aca="false">IF($A1192="","",IF(OR(NOT(ISNUMBER(E1192)),NOT(ISNUMBER(F1192))),"",MAX(0,E1192)*F1192))</f>
        <v/>
      </c>
      <c r="I1192" s="46" t="str">
        <f aca="false">IF($A1192="","",SUMIF($A$2:$A$5001,$A1192,$H$2:$H$5001))</f>
        <v/>
      </c>
      <c r="J1192" s="47" t="n">
        <f aca="false">IF($A1192="",0,IF(COUNTIF($A$2:A1192,$A1192)=1,1,0))</f>
        <v>0</v>
      </c>
      <c r="K1192" s="47" t="n">
        <f aca="false">IF(J1192=1,N(I1192)+ROW()/10000000,0)</f>
        <v>0</v>
      </c>
      <c r="L1192" s="47" t="str">
        <f aca="false">IF(AND(J1192=1,N(I1192)&gt;0),SUMIF($K$2:$K$5001,"&gt;="&amp;K1192,$I$2:$I$5001)/MAX(1,SUM($H$2:$H$5001)),"")</f>
        <v/>
      </c>
      <c r="M1192" s="47" t="str">
        <f aca="false">IF($A1192="","",INDEX($L$2:$L$5001,MATCH($A1192,$A$2:$A$5001,0)))</f>
        <v/>
      </c>
      <c r="N1192" s="48" t="str">
        <f aca="false">IF($A1192="","",IF(N(M1192)=0,"–",IF(M1192&lt;=Start!$D$20,"A",IF(M1192&lt;=Start!$D$21,"B","C"))))</f>
        <v/>
      </c>
      <c r="O1192" s="48" t="str">
        <f aca="false">IF($A1192="","",IF(NOT(ISNUMBER(F1192)),"Wert fehlt; ",IF(F1192&lt;=0,"Wert ist 0; ",""))&amp;IF(NOT(ISNUMBER(E1192)),"Bestand fehlt; ",IF(E1192&lt;0,"Bestand negativ; ",IF(E1192=0,"Nullbestand; ","")))&amp;IF(D1192="","Warengruppe fehlt; ","")&amp;IF(B1192="","Bezeichnung fehlt; ","")&amp;IF(COUNTIFS($A$2:$A$5001,$A1192,$C$2:$C$5001,C1192)&gt;1,"Artikel doppelt im selben Lager; ",""))</f>
        <v/>
      </c>
      <c r="P1192" s="47" t="n">
        <f aca="false">IF(OR($A1192="",D1192=""),0,IF(COUNTIF($D$2:D1192,D1192)=1,SUMIF($D$2:$D$5001,D1192,$H$2:$H$5001)+ROW()/10000000,0))</f>
        <v>0</v>
      </c>
      <c r="Q1192" s="47" t="n">
        <f aca="false">IF(OR($A1192="",C1192=""),0,IF(COUNTIF($C$2:C1192,C1192)=1,SUMIF($C$2:$C$5001,C1192,$H$2:$H$5001)+ROW()/10000000,0))</f>
        <v>0</v>
      </c>
    </row>
    <row r="1193" customFormat="false" ht="15" hidden="false" customHeight="false" outlineLevel="0" collapsed="false">
      <c r="A1193" s="43"/>
      <c r="B1193" s="44"/>
      <c r="C1193" s="44"/>
      <c r="D1193" s="44"/>
      <c r="E1193" s="44"/>
      <c r="F1193" s="44"/>
      <c r="G1193" s="44"/>
      <c r="H1193" s="46" t="str">
        <f aca="false">IF($A1193="","",IF(OR(NOT(ISNUMBER(E1193)),NOT(ISNUMBER(F1193))),"",MAX(0,E1193)*F1193))</f>
        <v/>
      </c>
      <c r="I1193" s="46" t="str">
        <f aca="false">IF($A1193="","",SUMIF($A$2:$A$5001,$A1193,$H$2:$H$5001))</f>
        <v/>
      </c>
      <c r="J1193" s="47" t="n">
        <f aca="false">IF($A1193="",0,IF(COUNTIF($A$2:A1193,$A1193)=1,1,0))</f>
        <v>0</v>
      </c>
      <c r="K1193" s="47" t="n">
        <f aca="false">IF(J1193=1,N(I1193)+ROW()/10000000,0)</f>
        <v>0</v>
      </c>
      <c r="L1193" s="47" t="str">
        <f aca="false">IF(AND(J1193=1,N(I1193)&gt;0),SUMIF($K$2:$K$5001,"&gt;="&amp;K1193,$I$2:$I$5001)/MAX(1,SUM($H$2:$H$5001)),"")</f>
        <v/>
      </c>
      <c r="M1193" s="47" t="str">
        <f aca="false">IF($A1193="","",INDEX($L$2:$L$5001,MATCH($A1193,$A$2:$A$5001,0)))</f>
        <v/>
      </c>
      <c r="N1193" s="48" t="str">
        <f aca="false">IF($A1193="","",IF(N(M1193)=0,"–",IF(M1193&lt;=Start!$D$20,"A",IF(M1193&lt;=Start!$D$21,"B","C"))))</f>
        <v/>
      </c>
      <c r="O1193" s="48" t="str">
        <f aca="false">IF($A1193="","",IF(NOT(ISNUMBER(F1193)),"Wert fehlt; ",IF(F1193&lt;=0,"Wert ist 0; ",""))&amp;IF(NOT(ISNUMBER(E1193)),"Bestand fehlt; ",IF(E1193&lt;0,"Bestand negativ; ",IF(E1193=0,"Nullbestand; ","")))&amp;IF(D1193="","Warengruppe fehlt; ","")&amp;IF(B1193="","Bezeichnung fehlt; ","")&amp;IF(COUNTIFS($A$2:$A$5001,$A1193,$C$2:$C$5001,C1193)&gt;1,"Artikel doppelt im selben Lager; ",""))</f>
        <v/>
      </c>
      <c r="P1193" s="47" t="n">
        <f aca="false">IF(OR($A1193="",D1193=""),0,IF(COUNTIF($D$2:D1193,D1193)=1,SUMIF($D$2:$D$5001,D1193,$H$2:$H$5001)+ROW()/10000000,0))</f>
        <v>0</v>
      </c>
      <c r="Q1193" s="47" t="n">
        <f aca="false">IF(OR($A1193="",C1193=""),0,IF(COUNTIF($C$2:C1193,C1193)=1,SUMIF($C$2:$C$5001,C1193,$H$2:$H$5001)+ROW()/10000000,0))</f>
        <v>0</v>
      </c>
    </row>
    <row r="1194" customFormat="false" ht="15" hidden="false" customHeight="false" outlineLevel="0" collapsed="false">
      <c r="A1194" s="43"/>
      <c r="B1194" s="44"/>
      <c r="C1194" s="44"/>
      <c r="D1194" s="44"/>
      <c r="E1194" s="44"/>
      <c r="F1194" s="44"/>
      <c r="G1194" s="44"/>
      <c r="H1194" s="46" t="str">
        <f aca="false">IF($A1194="","",IF(OR(NOT(ISNUMBER(E1194)),NOT(ISNUMBER(F1194))),"",MAX(0,E1194)*F1194))</f>
        <v/>
      </c>
      <c r="I1194" s="46" t="str">
        <f aca="false">IF($A1194="","",SUMIF($A$2:$A$5001,$A1194,$H$2:$H$5001))</f>
        <v/>
      </c>
      <c r="J1194" s="47" t="n">
        <f aca="false">IF($A1194="",0,IF(COUNTIF($A$2:A1194,$A1194)=1,1,0))</f>
        <v>0</v>
      </c>
      <c r="K1194" s="47" t="n">
        <f aca="false">IF(J1194=1,N(I1194)+ROW()/10000000,0)</f>
        <v>0</v>
      </c>
      <c r="L1194" s="47" t="str">
        <f aca="false">IF(AND(J1194=1,N(I1194)&gt;0),SUMIF($K$2:$K$5001,"&gt;="&amp;K1194,$I$2:$I$5001)/MAX(1,SUM($H$2:$H$5001)),"")</f>
        <v/>
      </c>
      <c r="M1194" s="47" t="str">
        <f aca="false">IF($A1194="","",INDEX($L$2:$L$5001,MATCH($A1194,$A$2:$A$5001,0)))</f>
        <v/>
      </c>
      <c r="N1194" s="48" t="str">
        <f aca="false">IF($A1194="","",IF(N(M1194)=0,"–",IF(M1194&lt;=Start!$D$20,"A",IF(M1194&lt;=Start!$D$21,"B","C"))))</f>
        <v/>
      </c>
      <c r="O1194" s="48" t="str">
        <f aca="false">IF($A1194="","",IF(NOT(ISNUMBER(F1194)),"Wert fehlt; ",IF(F1194&lt;=0,"Wert ist 0; ",""))&amp;IF(NOT(ISNUMBER(E1194)),"Bestand fehlt; ",IF(E1194&lt;0,"Bestand negativ; ",IF(E1194=0,"Nullbestand; ","")))&amp;IF(D1194="","Warengruppe fehlt; ","")&amp;IF(B1194="","Bezeichnung fehlt; ","")&amp;IF(COUNTIFS($A$2:$A$5001,$A1194,$C$2:$C$5001,C1194)&gt;1,"Artikel doppelt im selben Lager; ",""))</f>
        <v/>
      </c>
      <c r="P1194" s="47" t="n">
        <f aca="false">IF(OR($A1194="",D1194=""),0,IF(COUNTIF($D$2:D1194,D1194)=1,SUMIF($D$2:$D$5001,D1194,$H$2:$H$5001)+ROW()/10000000,0))</f>
        <v>0</v>
      </c>
      <c r="Q1194" s="47" t="n">
        <f aca="false">IF(OR($A1194="",C1194=""),0,IF(COUNTIF($C$2:C1194,C1194)=1,SUMIF($C$2:$C$5001,C1194,$H$2:$H$5001)+ROW()/10000000,0))</f>
        <v>0</v>
      </c>
    </row>
    <row r="1195" customFormat="false" ht="15" hidden="false" customHeight="false" outlineLevel="0" collapsed="false">
      <c r="A1195" s="43"/>
      <c r="B1195" s="44"/>
      <c r="C1195" s="44"/>
      <c r="D1195" s="44"/>
      <c r="E1195" s="44"/>
      <c r="F1195" s="44"/>
      <c r="G1195" s="44"/>
      <c r="H1195" s="46" t="str">
        <f aca="false">IF($A1195="","",IF(OR(NOT(ISNUMBER(E1195)),NOT(ISNUMBER(F1195))),"",MAX(0,E1195)*F1195))</f>
        <v/>
      </c>
      <c r="I1195" s="46" t="str">
        <f aca="false">IF($A1195="","",SUMIF($A$2:$A$5001,$A1195,$H$2:$H$5001))</f>
        <v/>
      </c>
      <c r="J1195" s="47" t="n">
        <f aca="false">IF($A1195="",0,IF(COUNTIF($A$2:A1195,$A1195)=1,1,0))</f>
        <v>0</v>
      </c>
      <c r="K1195" s="47" t="n">
        <f aca="false">IF(J1195=1,N(I1195)+ROW()/10000000,0)</f>
        <v>0</v>
      </c>
      <c r="L1195" s="47" t="str">
        <f aca="false">IF(AND(J1195=1,N(I1195)&gt;0),SUMIF($K$2:$K$5001,"&gt;="&amp;K1195,$I$2:$I$5001)/MAX(1,SUM($H$2:$H$5001)),"")</f>
        <v/>
      </c>
      <c r="M1195" s="47" t="str">
        <f aca="false">IF($A1195="","",INDEX($L$2:$L$5001,MATCH($A1195,$A$2:$A$5001,0)))</f>
        <v/>
      </c>
      <c r="N1195" s="48" t="str">
        <f aca="false">IF($A1195="","",IF(N(M1195)=0,"–",IF(M1195&lt;=Start!$D$20,"A",IF(M1195&lt;=Start!$D$21,"B","C"))))</f>
        <v/>
      </c>
      <c r="O1195" s="48" t="str">
        <f aca="false">IF($A1195="","",IF(NOT(ISNUMBER(F1195)),"Wert fehlt; ",IF(F1195&lt;=0,"Wert ist 0; ",""))&amp;IF(NOT(ISNUMBER(E1195)),"Bestand fehlt; ",IF(E1195&lt;0,"Bestand negativ; ",IF(E1195=0,"Nullbestand; ","")))&amp;IF(D1195="","Warengruppe fehlt; ","")&amp;IF(B1195="","Bezeichnung fehlt; ","")&amp;IF(COUNTIFS($A$2:$A$5001,$A1195,$C$2:$C$5001,C1195)&gt;1,"Artikel doppelt im selben Lager; ",""))</f>
        <v/>
      </c>
      <c r="P1195" s="47" t="n">
        <f aca="false">IF(OR($A1195="",D1195=""),0,IF(COUNTIF($D$2:D1195,D1195)=1,SUMIF($D$2:$D$5001,D1195,$H$2:$H$5001)+ROW()/10000000,0))</f>
        <v>0</v>
      </c>
      <c r="Q1195" s="47" t="n">
        <f aca="false">IF(OR($A1195="",C1195=""),0,IF(COUNTIF($C$2:C1195,C1195)=1,SUMIF($C$2:$C$5001,C1195,$H$2:$H$5001)+ROW()/10000000,0))</f>
        <v>0</v>
      </c>
    </row>
    <row r="1196" customFormat="false" ht="15" hidden="false" customHeight="false" outlineLevel="0" collapsed="false">
      <c r="A1196" s="43"/>
      <c r="B1196" s="44"/>
      <c r="C1196" s="44"/>
      <c r="D1196" s="44"/>
      <c r="E1196" s="44"/>
      <c r="F1196" s="44"/>
      <c r="G1196" s="44"/>
      <c r="H1196" s="46" t="str">
        <f aca="false">IF($A1196="","",IF(OR(NOT(ISNUMBER(E1196)),NOT(ISNUMBER(F1196))),"",MAX(0,E1196)*F1196))</f>
        <v/>
      </c>
      <c r="I1196" s="46" t="str">
        <f aca="false">IF($A1196="","",SUMIF($A$2:$A$5001,$A1196,$H$2:$H$5001))</f>
        <v/>
      </c>
      <c r="J1196" s="47" t="n">
        <f aca="false">IF($A1196="",0,IF(COUNTIF($A$2:A1196,$A1196)=1,1,0))</f>
        <v>0</v>
      </c>
      <c r="K1196" s="47" t="n">
        <f aca="false">IF(J1196=1,N(I1196)+ROW()/10000000,0)</f>
        <v>0</v>
      </c>
      <c r="L1196" s="47" t="str">
        <f aca="false">IF(AND(J1196=1,N(I1196)&gt;0),SUMIF($K$2:$K$5001,"&gt;="&amp;K1196,$I$2:$I$5001)/MAX(1,SUM($H$2:$H$5001)),"")</f>
        <v/>
      </c>
      <c r="M1196" s="47" t="str">
        <f aca="false">IF($A1196="","",INDEX($L$2:$L$5001,MATCH($A1196,$A$2:$A$5001,0)))</f>
        <v/>
      </c>
      <c r="N1196" s="48" t="str">
        <f aca="false">IF($A1196="","",IF(N(M1196)=0,"–",IF(M1196&lt;=Start!$D$20,"A",IF(M1196&lt;=Start!$D$21,"B","C"))))</f>
        <v/>
      </c>
      <c r="O1196" s="48" t="str">
        <f aca="false">IF($A1196="","",IF(NOT(ISNUMBER(F1196)),"Wert fehlt; ",IF(F1196&lt;=0,"Wert ist 0; ",""))&amp;IF(NOT(ISNUMBER(E1196)),"Bestand fehlt; ",IF(E1196&lt;0,"Bestand negativ; ",IF(E1196=0,"Nullbestand; ","")))&amp;IF(D1196="","Warengruppe fehlt; ","")&amp;IF(B1196="","Bezeichnung fehlt; ","")&amp;IF(COUNTIFS($A$2:$A$5001,$A1196,$C$2:$C$5001,C1196)&gt;1,"Artikel doppelt im selben Lager; ",""))</f>
        <v/>
      </c>
      <c r="P1196" s="47" t="n">
        <f aca="false">IF(OR($A1196="",D1196=""),0,IF(COUNTIF($D$2:D1196,D1196)=1,SUMIF($D$2:$D$5001,D1196,$H$2:$H$5001)+ROW()/10000000,0))</f>
        <v>0</v>
      </c>
      <c r="Q1196" s="47" t="n">
        <f aca="false">IF(OR($A1196="",C1196=""),0,IF(COUNTIF($C$2:C1196,C1196)=1,SUMIF($C$2:$C$5001,C1196,$H$2:$H$5001)+ROW()/10000000,0))</f>
        <v>0</v>
      </c>
    </row>
    <row r="1197" customFormat="false" ht="15" hidden="false" customHeight="false" outlineLevel="0" collapsed="false">
      <c r="A1197" s="43"/>
      <c r="B1197" s="44"/>
      <c r="C1197" s="44"/>
      <c r="D1197" s="44"/>
      <c r="E1197" s="44"/>
      <c r="F1197" s="44"/>
      <c r="G1197" s="44"/>
      <c r="H1197" s="46" t="str">
        <f aca="false">IF($A1197="","",IF(OR(NOT(ISNUMBER(E1197)),NOT(ISNUMBER(F1197))),"",MAX(0,E1197)*F1197))</f>
        <v/>
      </c>
      <c r="I1197" s="46" t="str">
        <f aca="false">IF($A1197="","",SUMIF($A$2:$A$5001,$A1197,$H$2:$H$5001))</f>
        <v/>
      </c>
      <c r="J1197" s="47" t="n">
        <f aca="false">IF($A1197="",0,IF(COUNTIF($A$2:A1197,$A1197)=1,1,0))</f>
        <v>0</v>
      </c>
      <c r="K1197" s="47" t="n">
        <f aca="false">IF(J1197=1,N(I1197)+ROW()/10000000,0)</f>
        <v>0</v>
      </c>
      <c r="L1197" s="47" t="str">
        <f aca="false">IF(AND(J1197=1,N(I1197)&gt;0),SUMIF($K$2:$K$5001,"&gt;="&amp;K1197,$I$2:$I$5001)/MAX(1,SUM($H$2:$H$5001)),"")</f>
        <v/>
      </c>
      <c r="M1197" s="47" t="str">
        <f aca="false">IF($A1197="","",INDEX($L$2:$L$5001,MATCH($A1197,$A$2:$A$5001,0)))</f>
        <v/>
      </c>
      <c r="N1197" s="48" t="str">
        <f aca="false">IF($A1197="","",IF(N(M1197)=0,"–",IF(M1197&lt;=Start!$D$20,"A",IF(M1197&lt;=Start!$D$21,"B","C"))))</f>
        <v/>
      </c>
      <c r="O1197" s="48" t="str">
        <f aca="false">IF($A1197="","",IF(NOT(ISNUMBER(F1197)),"Wert fehlt; ",IF(F1197&lt;=0,"Wert ist 0; ",""))&amp;IF(NOT(ISNUMBER(E1197)),"Bestand fehlt; ",IF(E1197&lt;0,"Bestand negativ; ",IF(E1197=0,"Nullbestand; ","")))&amp;IF(D1197="","Warengruppe fehlt; ","")&amp;IF(B1197="","Bezeichnung fehlt; ","")&amp;IF(COUNTIFS($A$2:$A$5001,$A1197,$C$2:$C$5001,C1197)&gt;1,"Artikel doppelt im selben Lager; ",""))</f>
        <v/>
      </c>
      <c r="P1197" s="47" t="n">
        <f aca="false">IF(OR($A1197="",D1197=""),0,IF(COUNTIF($D$2:D1197,D1197)=1,SUMIF($D$2:$D$5001,D1197,$H$2:$H$5001)+ROW()/10000000,0))</f>
        <v>0</v>
      </c>
      <c r="Q1197" s="47" t="n">
        <f aca="false">IF(OR($A1197="",C1197=""),0,IF(COUNTIF($C$2:C1197,C1197)=1,SUMIF($C$2:$C$5001,C1197,$H$2:$H$5001)+ROW()/10000000,0))</f>
        <v>0</v>
      </c>
    </row>
    <row r="1198" customFormat="false" ht="15" hidden="false" customHeight="false" outlineLevel="0" collapsed="false">
      <c r="A1198" s="43"/>
      <c r="B1198" s="44"/>
      <c r="C1198" s="44"/>
      <c r="D1198" s="44"/>
      <c r="E1198" s="44"/>
      <c r="F1198" s="44"/>
      <c r="G1198" s="44"/>
      <c r="H1198" s="46" t="str">
        <f aca="false">IF($A1198="","",IF(OR(NOT(ISNUMBER(E1198)),NOT(ISNUMBER(F1198))),"",MAX(0,E1198)*F1198))</f>
        <v/>
      </c>
      <c r="I1198" s="46" t="str">
        <f aca="false">IF($A1198="","",SUMIF($A$2:$A$5001,$A1198,$H$2:$H$5001))</f>
        <v/>
      </c>
      <c r="J1198" s="47" t="n">
        <f aca="false">IF($A1198="",0,IF(COUNTIF($A$2:A1198,$A1198)=1,1,0))</f>
        <v>0</v>
      </c>
      <c r="K1198" s="47" t="n">
        <f aca="false">IF(J1198=1,N(I1198)+ROW()/10000000,0)</f>
        <v>0</v>
      </c>
      <c r="L1198" s="47" t="str">
        <f aca="false">IF(AND(J1198=1,N(I1198)&gt;0),SUMIF($K$2:$K$5001,"&gt;="&amp;K1198,$I$2:$I$5001)/MAX(1,SUM($H$2:$H$5001)),"")</f>
        <v/>
      </c>
      <c r="M1198" s="47" t="str">
        <f aca="false">IF($A1198="","",INDEX($L$2:$L$5001,MATCH($A1198,$A$2:$A$5001,0)))</f>
        <v/>
      </c>
      <c r="N1198" s="48" t="str">
        <f aca="false">IF($A1198="","",IF(N(M1198)=0,"–",IF(M1198&lt;=Start!$D$20,"A",IF(M1198&lt;=Start!$D$21,"B","C"))))</f>
        <v/>
      </c>
      <c r="O1198" s="48" t="str">
        <f aca="false">IF($A1198="","",IF(NOT(ISNUMBER(F1198)),"Wert fehlt; ",IF(F1198&lt;=0,"Wert ist 0; ",""))&amp;IF(NOT(ISNUMBER(E1198)),"Bestand fehlt; ",IF(E1198&lt;0,"Bestand negativ; ",IF(E1198=0,"Nullbestand; ","")))&amp;IF(D1198="","Warengruppe fehlt; ","")&amp;IF(B1198="","Bezeichnung fehlt; ","")&amp;IF(COUNTIFS($A$2:$A$5001,$A1198,$C$2:$C$5001,C1198)&gt;1,"Artikel doppelt im selben Lager; ",""))</f>
        <v/>
      </c>
      <c r="P1198" s="47" t="n">
        <f aca="false">IF(OR($A1198="",D1198=""),0,IF(COUNTIF($D$2:D1198,D1198)=1,SUMIF($D$2:$D$5001,D1198,$H$2:$H$5001)+ROW()/10000000,0))</f>
        <v>0</v>
      </c>
      <c r="Q1198" s="47" t="n">
        <f aca="false">IF(OR($A1198="",C1198=""),0,IF(COUNTIF($C$2:C1198,C1198)=1,SUMIF($C$2:$C$5001,C1198,$H$2:$H$5001)+ROW()/10000000,0))</f>
        <v>0</v>
      </c>
    </row>
    <row r="1199" customFormat="false" ht="15" hidden="false" customHeight="false" outlineLevel="0" collapsed="false">
      <c r="A1199" s="43"/>
      <c r="B1199" s="44"/>
      <c r="C1199" s="44"/>
      <c r="D1199" s="44"/>
      <c r="E1199" s="44"/>
      <c r="F1199" s="44"/>
      <c r="G1199" s="44"/>
      <c r="H1199" s="46" t="str">
        <f aca="false">IF($A1199="","",IF(OR(NOT(ISNUMBER(E1199)),NOT(ISNUMBER(F1199))),"",MAX(0,E1199)*F1199))</f>
        <v/>
      </c>
      <c r="I1199" s="46" t="str">
        <f aca="false">IF($A1199="","",SUMIF($A$2:$A$5001,$A1199,$H$2:$H$5001))</f>
        <v/>
      </c>
      <c r="J1199" s="47" t="n">
        <f aca="false">IF($A1199="",0,IF(COUNTIF($A$2:A1199,$A1199)=1,1,0))</f>
        <v>0</v>
      </c>
      <c r="K1199" s="47" t="n">
        <f aca="false">IF(J1199=1,N(I1199)+ROW()/10000000,0)</f>
        <v>0</v>
      </c>
      <c r="L1199" s="47" t="str">
        <f aca="false">IF(AND(J1199=1,N(I1199)&gt;0),SUMIF($K$2:$K$5001,"&gt;="&amp;K1199,$I$2:$I$5001)/MAX(1,SUM($H$2:$H$5001)),"")</f>
        <v/>
      </c>
      <c r="M1199" s="47" t="str">
        <f aca="false">IF($A1199="","",INDEX($L$2:$L$5001,MATCH($A1199,$A$2:$A$5001,0)))</f>
        <v/>
      </c>
      <c r="N1199" s="48" t="str">
        <f aca="false">IF($A1199="","",IF(N(M1199)=0,"–",IF(M1199&lt;=Start!$D$20,"A",IF(M1199&lt;=Start!$D$21,"B","C"))))</f>
        <v/>
      </c>
      <c r="O1199" s="48" t="str">
        <f aca="false">IF($A1199="","",IF(NOT(ISNUMBER(F1199)),"Wert fehlt; ",IF(F1199&lt;=0,"Wert ist 0; ",""))&amp;IF(NOT(ISNUMBER(E1199)),"Bestand fehlt; ",IF(E1199&lt;0,"Bestand negativ; ",IF(E1199=0,"Nullbestand; ","")))&amp;IF(D1199="","Warengruppe fehlt; ","")&amp;IF(B1199="","Bezeichnung fehlt; ","")&amp;IF(COUNTIFS($A$2:$A$5001,$A1199,$C$2:$C$5001,C1199)&gt;1,"Artikel doppelt im selben Lager; ",""))</f>
        <v/>
      </c>
      <c r="P1199" s="47" t="n">
        <f aca="false">IF(OR($A1199="",D1199=""),0,IF(COUNTIF($D$2:D1199,D1199)=1,SUMIF($D$2:$D$5001,D1199,$H$2:$H$5001)+ROW()/10000000,0))</f>
        <v>0</v>
      </c>
      <c r="Q1199" s="47" t="n">
        <f aca="false">IF(OR($A1199="",C1199=""),0,IF(COUNTIF($C$2:C1199,C1199)=1,SUMIF($C$2:$C$5001,C1199,$H$2:$H$5001)+ROW()/10000000,0))</f>
        <v>0</v>
      </c>
    </row>
    <row r="1200" customFormat="false" ht="15" hidden="false" customHeight="false" outlineLevel="0" collapsed="false">
      <c r="A1200" s="43"/>
      <c r="B1200" s="44"/>
      <c r="C1200" s="44"/>
      <c r="D1200" s="44"/>
      <c r="E1200" s="44"/>
      <c r="F1200" s="44"/>
      <c r="G1200" s="44"/>
      <c r="H1200" s="46" t="str">
        <f aca="false">IF($A1200="","",IF(OR(NOT(ISNUMBER(E1200)),NOT(ISNUMBER(F1200))),"",MAX(0,E1200)*F1200))</f>
        <v/>
      </c>
      <c r="I1200" s="46" t="str">
        <f aca="false">IF($A1200="","",SUMIF($A$2:$A$5001,$A1200,$H$2:$H$5001))</f>
        <v/>
      </c>
      <c r="J1200" s="47" t="n">
        <f aca="false">IF($A1200="",0,IF(COUNTIF($A$2:A1200,$A1200)=1,1,0))</f>
        <v>0</v>
      </c>
      <c r="K1200" s="47" t="n">
        <f aca="false">IF(J1200=1,N(I1200)+ROW()/10000000,0)</f>
        <v>0</v>
      </c>
      <c r="L1200" s="47" t="str">
        <f aca="false">IF(AND(J1200=1,N(I1200)&gt;0),SUMIF($K$2:$K$5001,"&gt;="&amp;K1200,$I$2:$I$5001)/MAX(1,SUM($H$2:$H$5001)),"")</f>
        <v/>
      </c>
      <c r="M1200" s="47" t="str">
        <f aca="false">IF($A1200="","",INDEX($L$2:$L$5001,MATCH($A1200,$A$2:$A$5001,0)))</f>
        <v/>
      </c>
      <c r="N1200" s="48" t="str">
        <f aca="false">IF($A1200="","",IF(N(M1200)=0,"–",IF(M1200&lt;=Start!$D$20,"A",IF(M1200&lt;=Start!$D$21,"B","C"))))</f>
        <v/>
      </c>
      <c r="O1200" s="48" t="str">
        <f aca="false">IF($A1200="","",IF(NOT(ISNUMBER(F1200)),"Wert fehlt; ",IF(F1200&lt;=0,"Wert ist 0; ",""))&amp;IF(NOT(ISNUMBER(E1200)),"Bestand fehlt; ",IF(E1200&lt;0,"Bestand negativ; ",IF(E1200=0,"Nullbestand; ","")))&amp;IF(D1200="","Warengruppe fehlt; ","")&amp;IF(B1200="","Bezeichnung fehlt; ","")&amp;IF(COUNTIFS($A$2:$A$5001,$A1200,$C$2:$C$5001,C1200)&gt;1,"Artikel doppelt im selben Lager; ",""))</f>
        <v/>
      </c>
      <c r="P1200" s="47" t="n">
        <f aca="false">IF(OR($A1200="",D1200=""),0,IF(COUNTIF($D$2:D1200,D1200)=1,SUMIF($D$2:$D$5001,D1200,$H$2:$H$5001)+ROW()/10000000,0))</f>
        <v>0</v>
      </c>
      <c r="Q1200" s="47" t="n">
        <f aca="false">IF(OR($A1200="",C1200=""),0,IF(COUNTIF($C$2:C1200,C1200)=1,SUMIF($C$2:$C$5001,C1200,$H$2:$H$5001)+ROW()/10000000,0))</f>
        <v>0</v>
      </c>
    </row>
    <row r="1201" customFormat="false" ht="15" hidden="false" customHeight="false" outlineLevel="0" collapsed="false">
      <c r="A1201" s="43"/>
      <c r="B1201" s="44"/>
      <c r="C1201" s="44"/>
      <c r="D1201" s="44"/>
      <c r="E1201" s="44"/>
      <c r="F1201" s="44"/>
      <c r="G1201" s="44"/>
      <c r="H1201" s="46" t="str">
        <f aca="false">IF($A1201="","",IF(OR(NOT(ISNUMBER(E1201)),NOT(ISNUMBER(F1201))),"",MAX(0,E1201)*F1201))</f>
        <v/>
      </c>
      <c r="I1201" s="46" t="str">
        <f aca="false">IF($A1201="","",SUMIF($A$2:$A$5001,$A1201,$H$2:$H$5001))</f>
        <v/>
      </c>
      <c r="J1201" s="47" t="n">
        <f aca="false">IF($A1201="",0,IF(COUNTIF($A$2:A1201,$A1201)=1,1,0))</f>
        <v>0</v>
      </c>
      <c r="K1201" s="47" t="n">
        <f aca="false">IF(J1201=1,N(I1201)+ROW()/10000000,0)</f>
        <v>0</v>
      </c>
      <c r="L1201" s="47" t="str">
        <f aca="false">IF(AND(J1201=1,N(I1201)&gt;0),SUMIF($K$2:$K$5001,"&gt;="&amp;K1201,$I$2:$I$5001)/MAX(1,SUM($H$2:$H$5001)),"")</f>
        <v/>
      </c>
      <c r="M1201" s="47" t="str">
        <f aca="false">IF($A1201="","",INDEX($L$2:$L$5001,MATCH($A1201,$A$2:$A$5001,0)))</f>
        <v/>
      </c>
      <c r="N1201" s="48" t="str">
        <f aca="false">IF($A1201="","",IF(N(M1201)=0,"–",IF(M1201&lt;=Start!$D$20,"A",IF(M1201&lt;=Start!$D$21,"B","C"))))</f>
        <v/>
      </c>
      <c r="O1201" s="48" t="str">
        <f aca="false">IF($A1201="","",IF(NOT(ISNUMBER(F1201)),"Wert fehlt; ",IF(F1201&lt;=0,"Wert ist 0; ",""))&amp;IF(NOT(ISNUMBER(E1201)),"Bestand fehlt; ",IF(E1201&lt;0,"Bestand negativ; ",IF(E1201=0,"Nullbestand; ","")))&amp;IF(D1201="","Warengruppe fehlt; ","")&amp;IF(B1201="","Bezeichnung fehlt; ","")&amp;IF(COUNTIFS($A$2:$A$5001,$A1201,$C$2:$C$5001,C1201)&gt;1,"Artikel doppelt im selben Lager; ",""))</f>
        <v/>
      </c>
      <c r="P1201" s="47" t="n">
        <f aca="false">IF(OR($A1201="",D1201=""),0,IF(COUNTIF($D$2:D1201,D1201)=1,SUMIF($D$2:$D$5001,D1201,$H$2:$H$5001)+ROW()/10000000,0))</f>
        <v>0</v>
      </c>
      <c r="Q1201" s="47" t="n">
        <f aca="false">IF(OR($A1201="",C1201=""),0,IF(COUNTIF($C$2:C1201,C1201)=1,SUMIF($C$2:$C$5001,C1201,$H$2:$H$5001)+ROW()/10000000,0))</f>
        <v>0</v>
      </c>
    </row>
    <row r="1202" customFormat="false" ht="15" hidden="false" customHeight="false" outlineLevel="0" collapsed="false">
      <c r="A1202" s="43"/>
      <c r="B1202" s="44"/>
      <c r="C1202" s="44"/>
      <c r="D1202" s="44"/>
      <c r="E1202" s="44"/>
      <c r="F1202" s="44"/>
      <c r="G1202" s="44"/>
      <c r="H1202" s="46" t="str">
        <f aca="false">IF($A1202="","",IF(OR(NOT(ISNUMBER(E1202)),NOT(ISNUMBER(F1202))),"",MAX(0,E1202)*F1202))</f>
        <v/>
      </c>
      <c r="I1202" s="46" t="str">
        <f aca="false">IF($A1202="","",SUMIF($A$2:$A$5001,$A1202,$H$2:$H$5001))</f>
        <v/>
      </c>
      <c r="J1202" s="47" t="n">
        <f aca="false">IF($A1202="",0,IF(COUNTIF($A$2:A1202,$A1202)=1,1,0))</f>
        <v>0</v>
      </c>
      <c r="K1202" s="47" t="n">
        <f aca="false">IF(J1202=1,N(I1202)+ROW()/10000000,0)</f>
        <v>0</v>
      </c>
      <c r="L1202" s="47" t="str">
        <f aca="false">IF(AND(J1202=1,N(I1202)&gt;0),SUMIF($K$2:$K$5001,"&gt;="&amp;K1202,$I$2:$I$5001)/MAX(1,SUM($H$2:$H$5001)),"")</f>
        <v/>
      </c>
      <c r="M1202" s="47" t="str">
        <f aca="false">IF($A1202="","",INDEX($L$2:$L$5001,MATCH($A1202,$A$2:$A$5001,0)))</f>
        <v/>
      </c>
      <c r="N1202" s="48" t="str">
        <f aca="false">IF($A1202="","",IF(N(M1202)=0,"–",IF(M1202&lt;=Start!$D$20,"A",IF(M1202&lt;=Start!$D$21,"B","C"))))</f>
        <v/>
      </c>
      <c r="O1202" s="48" t="str">
        <f aca="false">IF($A1202="","",IF(NOT(ISNUMBER(F1202)),"Wert fehlt; ",IF(F1202&lt;=0,"Wert ist 0; ",""))&amp;IF(NOT(ISNUMBER(E1202)),"Bestand fehlt; ",IF(E1202&lt;0,"Bestand negativ; ",IF(E1202=0,"Nullbestand; ","")))&amp;IF(D1202="","Warengruppe fehlt; ","")&amp;IF(B1202="","Bezeichnung fehlt; ","")&amp;IF(COUNTIFS($A$2:$A$5001,$A1202,$C$2:$C$5001,C1202)&gt;1,"Artikel doppelt im selben Lager; ",""))</f>
        <v/>
      </c>
      <c r="P1202" s="47" t="n">
        <f aca="false">IF(OR($A1202="",D1202=""),0,IF(COUNTIF($D$2:D1202,D1202)=1,SUMIF($D$2:$D$5001,D1202,$H$2:$H$5001)+ROW()/10000000,0))</f>
        <v>0</v>
      </c>
      <c r="Q1202" s="47" t="n">
        <f aca="false">IF(OR($A1202="",C1202=""),0,IF(COUNTIF($C$2:C1202,C1202)=1,SUMIF($C$2:$C$5001,C1202,$H$2:$H$5001)+ROW()/10000000,0))</f>
        <v>0</v>
      </c>
    </row>
    <row r="1203" customFormat="false" ht="15" hidden="false" customHeight="false" outlineLevel="0" collapsed="false">
      <c r="A1203" s="43"/>
      <c r="B1203" s="44"/>
      <c r="C1203" s="44"/>
      <c r="D1203" s="44"/>
      <c r="E1203" s="44"/>
      <c r="F1203" s="44"/>
      <c r="G1203" s="44"/>
      <c r="H1203" s="46" t="str">
        <f aca="false">IF($A1203="","",IF(OR(NOT(ISNUMBER(E1203)),NOT(ISNUMBER(F1203))),"",MAX(0,E1203)*F1203))</f>
        <v/>
      </c>
      <c r="I1203" s="46" t="str">
        <f aca="false">IF($A1203="","",SUMIF($A$2:$A$5001,$A1203,$H$2:$H$5001))</f>
        <v/>
      </c>
      <c r="J1203" s="47" t="n">
        <f aca="false">IF($A1203="",0,IF(COUNTIF($A$2:A1203,$A1203)=1,1,0))</f>
        <v>0</v>
      </c>
      <c r="K1203" s="47" t="n">
        <f aca="false">IF(J1203=1,N(I1203)+ROW()/10000000,0)</f>
        <v>0</v>
      </c>
      <c r="L1203" s="47" t="str">
        <f aca="false">IF(AND(J1203=1,N(I1203)&gt;0),SUMIF($K$2:$K$5001,"&gt;="&amp;K1203,$I$2:$I$5001)/MAX(1,SUM($H$2:$H$5001)),"")</f>
        <v/>
      </c>
      <c r="M1203" s="47" t="str">
        <f aca="false">IF($A1203="","",INDEX($L$2:$L$5001,MATCH($A1203,$A$2:$A$5001,0)))</f>
        <v/>
      </c>
      <c r="N1203" s="48" t="str">
        <f aca="false">IF($A1203="","",IF(N(M1203)=0,"–",IF(M1203&lt;=Start!$D$20,"A",IF(M1203&lt;=Start!$D$21,"B","C"))))</f>
        <v/>
      </c>
      <c r="O1203" s="48" t="str">
        <f aca="false">IF($A1203="","",IF(NOT(ISNUMBER(F1203)),"Wert fehlt; ",IF(F1203&lt;=0,"Wert ist 0; ",""))&amp;IF(NOT(ISNUMBER(E1203)),"Bestand fehlt; ",IF(E1203&lt;0,"Bestand negativ; ",IF(E1203=0,"Nullbestand; ","")))&amp;IF(D1203="","Warengruppe fehlt; ","")&amp;IF(B1203="","Bezeichnung fehlt; ","")&amp;IF(COUNTIFS($A$2:$A$5001,$A1203,$C$2:$C$5001,C1203)&gt;1,"Artikel doppelt im selben Lager; ",""))</f>
        <v/>
      </c>
      <c r="P1203" s="47" t="n">
        <f aca="false">IF(OR($A1203="",D1203=""),0,IF(COUNTIF($D$2:D1203,D1203)=1,SUMIF($D$2:$D$5001,D1203,$H$2:$H$5001)+ROW()/10000000,0))</f>
        <v>0</v>
      </c>
      <c r="Q1203" s="47" t="n">
        <f aca="false">IF(OR($A1203="",C1203=""),0,IF(COUNTIF($C$2:C1203,C1203)=1,SUMIF($C$2:$C$5001,C1203,$H$2:$H$5001)+ROW()/10000000,0))</f>
        <v>0</v>
      </c>
    </row>
    <row r="1204" customFormat="false" ht="15" hidden="false" customHeight="false" outlineLevel="0" collapsed="false">
      <c r="A1204" s="43"/>
      <c r="B1204" s="44"/>
      <c r="C1204" s="44"/>
      <c r="D1204" s="44"/>
      <c r="E1204" s="44"/>
      <c r="F1204" s="44"/>
      <c r="G1204" s="44"/>
      <c r="H1204" s="46" t="str">
        <f aca="false">IF($A1204="","",IF(OR(NOT(ISNUMBER(E1204)),NOT(ISNUMBER(F1204))),"",MAX(0,E1204)*F1204))</f>
        <v/>
      </c>
      <c r="I1204" s="46" t="str">
        <f aca="false">IF($A1204="","",SUMIF($A$2:$A$5001,$A1204,$H$2:$H$5001))</f>
        <v/>
      </c>
      <c r="J1204" s="47" t="n">
        <f aca="false">IF($A1204="",0,IF(COUNTIF($A$2:A1204,$A1204)=1,1,0))</f>
        <v>0</v>
      </c>
      <c r="K1204" s="47" t="n">
        <f aca="false">IF(J1204=1,N(I1204)+ROW()/10000000,0)</f>
        <v>0</v>
      </c>
      <c r="L1204" s="47" t="str">
        <f aca="false">IF(AND(J1204=1,N(I1204)&gt;0),SUMIF($K$2:$K$5001,"&gt;="&amp;K1204,$I$2:$I$5001)/MAX(1,SUM($H$2:$H$5001)),"")</f>
        <v/>
      </c>
      <c r="M1204" s="47" t="str">
        <f aca="false">IF($A1204="","",INDEX($L$2:$L$5001,MATCH($A1204,$A$2:$A$5001,0)))</f>
        <v/>
      </c>
      <c r="N1204" s="48" t="str">
        <f aca="false">IF($A1204="","",IF(N(M1204)=0,"–",IF(M1204&lt;=Start!$D$20,"A",IF(M1204&lt;=Start!$D$21,"B","C"))))</f>
        <v/>
      </c>
      <c r="O1204" s="48" t="str">
        <f aca="false">IF($A1204="","",IF(NOT(ISNUMBER(F1204)),"Wert fehlt; ",IF(F1204&lt;=0,"Wert ist 0; ",""))&amp;IF(NOT(ISNUMBER(E1204)),"Bestand fehlt; ",IF(E1204&lt;0,"Bestand negativ; ",IF(E1204=0,"Nullbestand; ","")))&amp;IF(D1204="","Warengruppe fehlt; ","")&amp;IF(B1204="","Bezeichnung fehlt; ","")&amp;IF(COUNTIFS($A$2:$A$5001,$A1204,$C$2:$C$5001,C1204)&gt;1,"Artikel doppelt im selben Lager; ",""))</f>
        <v/>
      </c>
      <c r="P1204" s="47" t="n">
        <f aca="false">IF(OR($A1204="",D1204=""),0,IF(COUNTIF($D$2:D1204,D1204)=1,SUMIF($D$2:$D$5001,D1204,$H$2:$H$5001)+ROW()/10000000,0))</f>
        <v>0</v>
      </c>
      <c r="Q1204" s="47" t="n">
        <f aca="false">IF(OR($A1204="",C1204=""),0,IF(COUNTIF($C$2:C1204,C1204)=1,SUMIF($C$2:$C$5001,C1204,$H$2:$H$5001)+ROW()/10000000,0))</f>
        <v>0</v>
      </c>
    </row>
    <row r="1205" customFormat="false" ht="15" hidden="false" customHeight="false" outlineLevel="0" collapsed="false">
      <c r="A1205" s="43"/>
      <c r="B1205" s="44"/>
      <c r="C1205" s="44"/>
      <c r="D1205" s="44"/>
      <c r="E1205" s="44"/>
      <c r="F1205" s="44"/>
      <c r="G1205" s="44"/>
      <c r="H1205" s="46" t="str">
        <f aca="false">IF($A1205="","",IF(OR(NOT(ISNUMBER(E1205)),NOT(ISNUMBER(F1205))),"",MAX(0,E1205)*F1205))</f>
        <v/>
      </c>
      <c r="I1205" s="46" t="str">
        <f aca="false">IF($A1205="","",SUMIF($A$2:$A$5001,$A1205,$H$2:$H$5001))</f>
        <v/>
      </c>
      <c r="J1205" s="47" t="n">
        <f aca="false">IF($A1205="",0,IF(COUNTIF($A$2:A1205,$A1205)=1,1,0))</f>
        <v>0</v>
      </c>
      <c r="K1205" s="47" t="n">
        <f aca="false">IF(J1205=1,N(I1205)+ROW()/10000000,0)</f>
        <v>0</v>
      </c>
      <c r="L1205" s="47" t="str">
        <f aca="false">IF(AND(J1205=1,N(I1205)&gt;0),SUMIF($K$2:$K$5001,"&gt;="&amp;K1205,$I$2:$I$5001)/MAX(1,SUM($H$2:$H$5001)),"")</f>
        <v/>
      </c>
      <c r="M1205" s="47" t="str">
        <f aca="false">IF($A1205="","",INDEX($L$2:$L$5001,MATCH($A1205,$A$2:$A$5001,0)))</f>
        <v/>
      </c>
      <c r="N1205" s="48" t="str">
        <f aca="false">IF($A1205="","",IF(N(M1205)=0,"–",IF(M1205&lt;=Start!$D$20,"A",IF(M1205&lt;=Start!$D$21,"B","C"))))</f>
        <v/>
      </c>
      <c r="O1205" s="48" t="str">
        <f aca="false">IF($A1205="","",IF(NOT(ISNUMBER(F1205)),"Wert fehlt; ",IF(F1205&lt;=0,"Wert ist 0; ",""))&amp;IF(NOT(ISNUMBER(E1205)),"Bestand fehlt; ",IF(E1205&lt;0,"Bestand negativ; ",IF(E1205=0,"Nullbestand; ","")))&amp;IF(D1205="","Warengruppe fehlt; ","")&amp;IF(B1205="","Bezeichnung fehlt; ","")&amp;IF(COUNTIFS($A$2:$A$5001,$A1205,$C$2:$C$5001,C1205)&gt;1,"Artikel doppelt im selben Lager; ",""))</f>
        <v/>
      </c>
      <c r="P1205" s="47" t="n">
        <f aca="false">IF(OR($A1205="",D1205=""),0,IF(COUNTIF($D$2:D1205,D1205)=1,SUMIF($D$2:$D$5001,D1205,$H$2:$H$5001)+ROW()/10000000,0))</f>
        <v>0</v>
      </c>
      <c r="Q1205" s="47" t="n">
        <f aca="false">IF(OR($A1205="",C1205=""),0,IF(COUNTIF($C$2:C1205,C1205)=1,SUMIF($C$2:$C$5001,C1205,$H$2:$H$5001)+ROW()/10000000,0))</f>
        <v>0</v>
      </c>
    </row>
    <row r="1206" customFormat="false" ht="15" hidden="false" customHeight="false" outlineLevel="0" collapsed="false">
      <c r="A1206" s="43"/>
      <c r="B1206" s="44"/>
      <c r="C1206" s="44"/>
      <c r="D1206" s="44"/>
      <c r="E1206" s="44"/>
      <c r="F1206" s="44"/>
      <c r="G1206" s="44"/>
      <c r="H1206" s="46" t="str">
        <f aca="false">IF($A1206="","",IF(OR(NOT(ISNUMBER(E1206)),NOT(ISNUMBER(F1206))),"",MAX(0,E1206)*F1206))</f>
        <v/>
      </c>
      <c r="I1206" s="46" t="str">
        <f aca="false">IF($A1206="","",SUMIF($A$2:$A$5001,$A1206,$H$2:$H$5001))</f>
        <v/>
      </c>
      <c r="J1206" s="47" t="n">
        <f aca="false">IF($A1206="",0,IF(COUNTIF($A$2:A1206,$A1206)=1,1,0))</f>
        <v>0</v>
      </c>
      <c r="K1206" s="47" t="n">
        <f aca="false">IF(J1206=1,N(I1206)+ROW()/10000000,0)</f>
        <v>0</v>
      </c>
      <c r="L1206" s="47" t="str">
        <f aca="false">IF(AND(J1206=1,N(I1206)&gt;0),SUMIF($K$2:$K$5001,"&gt;="&amp;K1206,$I$2:$I$5001)/MAX(1,SUM($H$2:$H$5001)),"")</f>
        <v/>
      </c>
      <c r="M1206" s="47" t="str">
        <f aca="false">IF($A1206="","",INDEX($L$2:$L$5001,MATCH($A1206,$A$2:$A$5001,0)))</f>
        <v/>
      </c>
      <c r="N1206" s="48" t="str">
        <f aca="false">IF($A1206="","",IF(N(M1206)=0,"–",IF(M1206&lt;=Start!$D$20,"A",IF(M1206&lt;=Start!$D$21,"B","C"))))</f>
        <v/>
      </c>
      <c r="O1206" s="48" t="str">
        <f aca="false">IF($A1206="","",IF(NOT(ISNUMBER(F1206)),"Wert fehlt; ",IF(F1206&lt;=0,"Wert ist 0; ",""))&amp;IF(NOT(ISNUMBER(E1206)),"Bestand fehlt; ",IF(E1206&lt;0,"Bestand negativ; ",IF(E1206=0,"Nullbestand; ","")))&amp;IF(D1206="","Warengruppe fehlt; ","")&amp;IF(B1206="","Bezeichnung fehlt; ","")&amp;IF(COUNTIFS($A$2:$A$5001,$A1206,$C$2:$C$5001,C1206)&gt;1,"Artikel doppelt im selben Lager; ",""))</f>
        <v/>
      </c>
      <c r="P1206" s="47" t="n">
        <f aca="false">IF(OR($A1206="",D1206=""),0,IF(COUNTIF($D$2:D1206,D1206)=1,SUMIF($D$2:$D$5001,D1206,$H$2:$H$5001)+ROW()/10000000,0))</f>
        <v>0</v>
      </c>
      <c r="Q1206" s="47" t="n">
        <f aca="false">IF(OR($A1206="",C1206=""),0,IF(COUNTIF($C$2:C1206,C1206)=1,SUMIF($C$2:$C$5001,C1206,$H$2:$H$5001)+ROW()/10000000,0))</f>
        <v>0</v>
      </c>
    </row>
    <row r="1207" customFormat="false" ht="15" hidden="false" customHeight="false" outlineLevel="0" collapsed="false">
      <c r="A1207" s="43"/>
      <c r="B1207" s="44"/>
      <c r="C1207" s="44"/>
      <c r="D1207" s="44"/>
      <c r="E1207" s="44"/>
      <c r="F1207" s="44"/>
      <c r="G1207" s="44"/>
      <c r="H1207" s="46" t="str">
        <f aca="false">IF($A1207="","",IF(OR(NOT(ISNUMBER(E1207)),NOT(ISNUMBER(F1207))),"",MAX(0,E1207)*F1207))</f>
        <v/>
      </c>
      <c r="I1207" s="46" t="str">
        <f aca="false">IF($A1207="","",SUMIF($A$2:$A$5001,$A1207,$H$2:$H$5001))</f>
        <v/>
      </c>
      <c r="J1207" s="47" t="n">
        <f aca="false">IF($A1207="",0,IF(COUNTIF($A$2:A1207,$A1207)=1,1,0))</f>
        <v>0</v>
      </c>
      <c r="K1207" s="47" t="n">
        <f aca="false">IF(J1207=1,N(I1207)+ROW()/10000000,0)</f>
        <v>0</v>
      </c>
      <c r="L1207" s="47" t="str">
        <f aca="false">IF(AND(J1207=1,N(I1207)&gt;0),SUMIF($K$2:$K$5001,"&gt;="&amp;K1207,$I$2:$I$5001)/MAX(1,SUM($H$2:$H$5001)),"")</f>
        <v/>
      </c>
      <c r="M1207" s="47" t="str">
        <f aca="false">IF($A1207="","",INDEX($L$2:$L$5001,MATCH($A1207,$A$2:$A$5001,0)))</f>
        <v/>
      </c>
      <c r="N1207" s="48" t="str">
        <f aca="false">IF($A1207="","",IF(N(M1207)=0,"–",IF(M1207&lt;=Start!$D$20,"A",IF(M1207&lt;=Start!$D$21,"B","C"))))</f>
        <v/>
      </c>
      <c r="O1207" s="48" t="str">
        <f aca="false">IF($A1207="","",IF(NOT(ISNUMBER(F1207)),"Wert fehlt; ",IF(F1207&lt;=0,"Wert ist 0; ",""))&amp;IF(NOT(ISNUMBER(E1207)),"Bestand fehlt; ",IF(E1207&lt;0,"Bestand negativ; ",IF(E1207=0,"Nullbestand; ","")))&amp;IF(D1207="","Warengruppe fehlt; ","")&amp;IF(B1207="","Bezeichnung fehlt; ","")&amp;IF(COUNTIFS($A$2:$A$5001,$A1207,$C$2:$C$5001,C1207)&gt;1,"Artikel doppelt im selben Lager; ",""))</f>
        <v/>
      </c>
      <c r="P1207" s="47" t="n">
        <f aca="false">IF(OR($A1207="",D1207=""),0,IF(COUNTIF($D$2:D1207,D1207)=1,SUMIF($D$2:$D$5001,D1207,$H$2:$H$5001)+ROW()/10000000,0))</f>
        <v>0</v>
      </c>
      <c r="Q1207" s="47" t="n">
        <f aca="false">IF(OR($A1207="",C1207=""),0,IF(COUNTIF($C$2:C1207,C1207)=1,SUMIF($C$2:$C$5001,C1207,$H$2:$H$5001)+ROW()/10000000,0))</f>
        <v>0</v>
      </c>
    </row>
    <row r="1208" customFormat="false" ht="15" hidden="false" customHeight="false" outlineLevel="0" collapsed="false">
      <c r="A1208" s="43"/>
      <c r="B1208" s="44"/>
      <c r="C1208" s="44"/>
      <c r="D1208" s="44"/>
      <c r="E1208" s="44"/>
      <c r="F1208" s="44"/>
      <c r="G1208" s="44"/>
      <c r="H1208" s="46" t="str">
        <f aca="false">IF($A1208="","",IF(OR(NOT(ISNUMBER(E1208)),NOT(ISNUMBER(F1208))),"",MAX(0,E1208)*F1208))</f>
        <v/>
      </c>
      <c r="I1208" s="46" t="str">
        <f aca="false">IF($A1208="","",SUMIF($A$2:$A$5001,$A1208,$H$2:$H$5001))</f>
        <v/>
      </c>
      <c r="J1208" s="47" t="n">
        <f aca="false">IF($A1208="",0,IF(COUNTIF($A$2:A1208,$A1208)=1,1,0))</f>
        <v>0</v>
      </c>
      <c r="K1208" s="47" t="n">
        <f aca="false">IF(J1208=1,N(I1208)+ROW()/10000000,0)</f>
        <v>0</v>
      </c>
      <c r="L1208" s="47" t="str">
        <f aca="false">IF(AND(J1208=1,N(I1208)&gt;0),SUMIF($K$2:$K$5001,"&gt;="&amp;K1208,$I$2:$I$5001)/MAX(1,SUM($H$2:$H$5001)),"")</f>
        <v/>
      </c>
      <c r="M1208" s="47" t="str">
        <f aca="false">IF($A1208="","",INDEX($L$2:$L$5001,MATCH($A1208,$A$2:$A$5001,0)))</f>
        <v/>
      </c>
      <c r="N1208" s="48" t="str">
        <f aca="false">IF($A1208="","",IF(N(M1208)=0,"–",IF(M1208&lt;=Start!$D$20,"A",IF(M1208&lt;=Start!$D$21,"B","C"))))</f>
        <v/>
      </c>
      <c r="O1208" s="48" t="str">
        <f aca="false">IF($A1208="","",IF(NOT(ISNUMBER(F1208)),"Wert fehlt; ",IF(F1208&lt;=0,"Wert ist 0; ",""))&amp;IF(NOT(ISNUMBER(E1208)),"Bestand fehlt; ",IF(E1208&lt;0,"Bestand negativ; ",IF(E1208=0,"Nullbestand; ","")))&amp;IF(D1208="","Warengruppe fehlt; ","")&amp;IF(B1208="","Bezeichnung fehlt; ","")&amp;IF(COUNTIFS($A$2:$A$5001,$A1208,$C$2:$C$5001,C1208)&gt;1,"Artikel doppelt im selben Lager; ",""))</f>
        <v/>
      </c>
      <c r="P1208" s="47" t="n">
        <f aca="false">IF(OR($A1208="",D1208=""),0,IF(COUNTIF($D$2:D1208,D1208)=1,SUMIF($D$2:$D$5001,D1208,$H$2:$H$5001)+ROW()/10000000,0))</f>
        <v>0</v>
      </c>
      <c r="Q1208" s="47" t="n">
        <f aca="false">IF(OR($A1208="",C1208=""),0,IF(COUNTIF($C$2:C1208,C1208)=1,SUMIF($C$2:$C$5001,C1208,$H$2:$H$5001)+ROW()/10000000,0))</f>
        <v>0</v>
      </c>
    </row>
    <row r="1209" customFormat="false" ht="15" hidden="false" customHeight="false" outlineLevel="0" collapsed="false">
      <c r="A1209" s="43"/>
      <c r="B1209" s="44"/>
      <c r="C1209" s="44"/>
      <c r="D1209" s="44"/>
      <c r="E1209" s="44"/>
      <c r="F1209" s="44"/>
      <c r="G1209" s="44"/>
      <c r="H1209" s="46" t="str">
        <f aca="false">IF($A1209="","",IF(OR(NOT(ISNUMBER(E1209)),NOT(ISNUMBER(F1209))),"",MAX(0,E1209)*F1209))</f>
        <v/>
      </c>
      <c r="I1209" s="46" t="str">
        <f aca="false">IF($A1209="","",SUMIF($A$2:$A$5001,$A1209,$H$2:$H$5001))</f>
        <v/>
      </c>
      <c r="J1209" s="47" t="n">
        <f aca="false">IF($A1209="",0,IF(COUNTIF($A$2:A1209,$A1209)=1,1,0))</f>
        <v>0</v>
      </c>
      <c r="K1209" s="47" t="n">
        <f aca="false">IF(J1209=1,N(I1209)+ROW()/10000000,0)</f>
        <v>0</v>
      </c>
      <c r="L1209" s="47" t="str">
        <f aca="false">IF(AND(J1209=1,N(I1209)&gt;0),SUMIF($K$2:$K$5001,"&gt;="&amp;K1209,$I$2:$I$5001)/MAX(1,SUM($H$2:$H$5001)),"")</f>
        <v/>
      </c>
      <c r="M1209" s="47" t="str">
        <f aca="false">IF($A1209="","",INDEX($L$2:$L$5001,MATCH($A1209,$A$2:$A$5001,0)))</f>
        <v/>
      </c>
      <c r="N1209" s="48" t="str">
        <f aca="false">IF($A1209="","",IF(N(M1209)=0,"–",IF(M1209&lt;=Start!$D$20,"A",IF(M1209&lt;=Start!$D$21,"B","C"))))</f>
        <v/>
      </c>
      <c r="O1209" s="48" t="str">
        <f aca="false">IF($A1209="","",IF(NOT(ISNUMBER(F1209)),"Wert fehlt; ",IF(F1209&lt;=0,"Wert ist 0; ",""))&amp;IF(NOT(ISNUMBER(E1209)),"Bestand fehlt; ",IF(E1209&lt;0,"Bestand negativ; ",IF(E1209=0,"Nullbestand; ","")))&amp;IF(D1209="","Warengruppe fehlt; ","")&amp;IF(B1209="","Bezeichnung fehlt; ","")&amp;IF(COUNTIFS($A$2:$A$5001,$A1209,$C$2:$C$5001,C1209)&gt;1,"Artikel doppelt im selben Lager; ",""))</f>
        <v/>
      </c>
      <c r="P1209" s="47" t="n">
        <f aca="false">IF(OR($A1209="",D1209=""),0,IF(COUNTIF($D$2:D1209,D1209)=1,SUMIF($D$2:$D$5001,D1209,$H$2:$H$5001)+ROW()/10000000,0))</f>
        <v>0</v>
      </c>
      <c r="Q1209" s="47" t="n">
        <f aca="false">IF(OR($A1209="",C1209=""),0,IF(COUNTIF($C$2:C1209,C1209)=1,SUMIF($C$2:$C$5001,C1209,$H$2:$H$5001)+ROW()/10000000,0))</f>
        <v>0</v>
      </c>
    </row>
    <row r="1210" customFormat="false" ht="15" hidden="false" customHeight="false" outlineLevel="0" collapsed="false">
      <c r="A1210" s="43"/>
      <c r="B1210" s="44"/>
      <c r="C1210" s="44"/>
      <c r="D1210" s="44"/>
      <c r="E1210" s="44"/>
      <c r="F1210" s="44"/>
      <c r="G1210" s="44"/>
      <c r="H1210" s="46" t="str">
        <f aca="false">IF($A1210="","",IF(OR(NOT(ISNUMBER(E1210)),NOT(ISNUMBER(F1210))),"",MAX(0,E1210)*F1210))</f>
        <v/>
      </c>
      <c r="I1210" s="46" t="str">
        <f aca="false">IF($A1210="","",SUMIF($A$2:$A$5001,$A1210,$H$2:$H$5001))</f>
        <v/>
      </c>
      <c r="J1210" s="47" t="n">
        <f aca="false">IF($A1210="",0,IF(COUNTIF($A$2:A1210,$A1210)=1,1,0))</f>
        <v>0</v>
      </c>
      <c r="K1210" s="47" t="n">
        <f aca="false">IF(J1210=1,N(I1210)+ROW()/10000000,0)</f>
        <v>0</v>
      </c>
      <c r="L1210" s="47" t="str">
        <f aca="false">IF(AND(J1210=1,N(I1210)&gt;0),SUMIF($K$2:$K$5001,"&gt;="&amp;K1210,$I$2:$I$5001)/MAX(1,SUM($H$2:$H$5001)),"")</f>
        <v/>
      </c>
      <c r="M1210" s="47" t="str">
        <f aca="false">IF($A1210="","",INDEX($L$2:$L$5001,MATCH($A1210,$A$2:$A$5001,0)))</f>
        <v/>
      </c>
      <c r="N1210" s="48" t="str">
        <f aca="false">IF($A1210="","",IF(N(M1210)=0,"–",IF(M1210&lt;=Start!$D$20,"A",IF(M1210&lt;=Start!$D$21,"B","C"))))</f>
        <v/>
      </c>
      <c r="O1210" s="48" t="str">
        <f aca="false">IF($A1210="","",IF(NOT(ISNUMBER(F1210)),"Wert fehlt; ",IF(F1210&lt;=0,"Wert ist 0; ",""))&amp;IF(NOT(ISNUMBER(E1210)),"Bestand fehlt; ",IF(E1210&lt;0,"Bestand negativ; ",IF(E1210=0,"Nullbestand; ","")))&amp;IF(D1210="","Warengruppe fehlt; ","")&amp;IF(B1210="","Bezeichnung fehlt; ","")&amp;IF(COUNTIFS($A$2:$A$5001,$A1210,$C$2:$C$5001,C1210)&gt;1,"Artikel doppelt im selben Lager; ",""))</f>
        <v/>
      </c>
      <c r="P1210" s="47" t="n">
        <f aca="false">IF(OR($A1210="",D1210=""),0,IF(COUNTIF($D$2:D1210,D1210)=1,SUMIF($D$2:$D$5001,D1210,$H$2:$H$5001)+ROW()/10000000,0))</f>
        <v>0</v>
      </c>
      <c r="Q1210" s="47" t="n">
        <f aca="false">IF(OR($A1210="",C1210=""),0,IF(COUNTIF($C$2:C1210,C1210)=1,SUMIF($C$2:$C$5001,C1210,$H$2:$H$5001)+ROW()/10000000,0))</f>
        <v>0</v>
      </c>
    </row>
    <row r="1211" customFormat="false" ht="15" hidden="false" customHeight="false" outlineLevel="0" collapsed="false">
      <c r="A1211" s="43"/>
      <c r="B1211" s="44"/>
      <c r="C1211" s="44"/>
      <c r="D1211" s="44"/>
      <c r="E1211" s="44"/>
      <c r="F1211" s="44"/>
      <c r="G1211" s="44"/>
      <c r="H1211" s="46" t="str">
        <f aca="false">IF($A1211="","",IF(OR(NOT(ISNUMBER(E1211)),NOT(ISNUMBER(F1211))),"",MAX(0,E1211)*F1211))</f>
        <v/>
      </c>
      <c r="I1211" s="46" t="str">
        <f aca="false">IF($A1211="","",SUMIF($A$2:$A$5001,$A1211,$H$2:$H$5001))</f>
        <v/>
      </c>
      <c r="J1211" s="47" t="n">
        <f aca="false">IF($A1211="",0,IF(COUNTIF($A$2:A1211,$A1211)=1,1,0))</f>
        <v>0</v>
      </c>
      <c r="K1211" s="47" t="n">
        <f aca="false">IF(J1211=1,N(I1211)+ROW()/10000000,0)</f>
        <v>0</v>
      </c>
      <c r="L1211" s="47" t="str">
        <f aca="false">IF(AND(J1211=1,N(I1211)&gt;0),SUMIF($K$2:$K$5001,"&gt;="&amp;K1211,$I$2:$I$5001)/MAX(1,SUM($H$2:$H$5001)),"")</f>
        <v/>
      </c>
      <c r="M1211" s="47" t="str">
        <f aca="false">IF($A1211="","",INDEX($L$2:$L$5001,MATCH($A1211,$A$2:$A$5001,0)))</f>
        <v/>
      </c>
      <c r="N1211" s="48" t="str">
        <f aca="false">IF($A1211="","",IF(N(M1211)=0,"–",IF(M1211&lt;=Start!$D$20,"A",IF(M1211&lt;=Start!$D$21,"B","C"))))</f>
        <v/>
      </c>
      <c r="O1211" s="48" t="str">
        <f aca="false">IF($A1211="","",IF(NOT(ISNUMBER(F1211)),"Wert fehlt; ",IF(F1211&lt;=0,"Wert ist 0; ",""))&amp;IF(NOT(ISNUMBER(E1211)),"Bestand fehlt; ",IF(E1211&lt;0,"Bestand negativ; ",IF(E1211=0,"Nullbestand; ","")))&amp;IF(D1211="","Warengruppe fehlt; ","")&amp;IF(B1211="","Bezeichnung fehlt; ","")&amp;IF(COUNTIFS($A$2:$A$5001,$A1211,$C$2:$C$5001,C1211)&gt;1,"Artikel doppelt im selben Lager; ",""))</f>
        <v/>
      </c>
      <c r="P1211" s="47" t="n">
        <f aca="false">IF(OR($A1211="",D1211=""),0,IF(COUNTIF($D$2:D1211,D1211)=1,SUMIF($D$2:$D$5001,D1211,$H$2:$H$5001)+ROW()/10000000,0))</f>
        <v>0</v>
      </c>
      <c r="Q1211" s="47" t="n">
        <f aca="false">IF(OR($A1211="",C1211=""),0,IF(COUNTIF($C$2:C1211,C1211)=1,SUMIF($C$2:$C$5001,C1211,$H$2:$H$5001)+ROW()/10000000,0))</f>
        <v>0</v>
      </c>
    </row>
    <row r="1212" customFormat="false" ht="15" hidden="false" customHeight="false" outlineLevel="0" collapsed="false">
      <c r="A1212" s="43"/>
      <c r="B1212" s="44"/>
      <c r="C1212" s="44"/>
      <c r="D1212" s="44"/>
      <c r="E1212" s="44"/>
      <c r="F1212" s="44"/>
      <c r="G1212" s="44"/>
      <c r="H1212" s="46" t="str">
        <f aca="false">IF($A1212="","",IF(OR(NOT(ISNUMBER(E1212)),NOT(ISNUMBER(F1212))),"",MAX(0,E1212)*F1212))</f>
        <v/>
      </c>
      <c r="I1212" s="46" t="str">
        <f aca="false">IF($A1212="","",SUMIF($A$2:$A$5001,$A1212,$H$2:$H$5001))</f>
        <v/>
      </c>
      <c r="J1212" s="47" t="n">
        <f aca="false">IF($A1212="",0,IF(COUNTIF($A$2:A1212,$A1212)=1,1,0))</f>
        <v>0</v>
      </c>
      <c r="K1212" s="47" t="n">
        <f aca="false">IF(J1212=1,N(I1212)+ROW()/10000000,0)</f>
        <v>0</v>
      </c>
      <c r="L1212" s="47" t="str">
        <f aca="false">IF(AND(J1212=1,N(I1212)&gt;0),SUMIF($K$2:$K$5001,"&gt;="&amp;K1212,$I$2:$I$5001)/MAX(1,SUM($H$2:$H$5001)),"")</f>
        <v/>
      </c>
      <c r="M1212" s="47" t="str">
        <f aca="false">IF($A1212="","",INDEX($L$2:$L$5001,MATCH($A1212,$A$2:$A$5001,0)))</f>
        <v/>
      </c>
      <c r="N1212" s="48" t="str">
        <f aca="false">IF($A1212="","",IF(N(M1212)=0,"–",IF(M1212&lt;=Start!$D$20,"A",IF(M1212&lt;=Start!$D$21,"B","C"))))</f>
        <v/>
      </c>
      <c r="O1212" s="48" t="str">
        <f aca="false">IF($A1212="","",IF(NOT(ISNUMBER(F1212)),"Wert fehlt; ",IF(F1212&lt;=0,"Wert ist 0; ",""))&amp;IF(NOT(ISNUMBER(E1212)),"Bestand fehlt; ",IF(E1212&lt;0,"Bestand negativ; ",IF(E1212=0,"Nullbestand; ","")))&amp;IF(D1212="","Warengruppe fehlt; ","")&amp;IF(B1212="","Bezeichnung fehlt; ","")&amp;IF(COUNTIFS($A$2:$A$5001,$A1212,$C$2:$C$5001,C1212)&gt;1,"Artikel doppelt im selben Lager; ",""))</f>
        <v/>
      </c>
      <c r="P1212" s="47" t="n">
        <f aca="false">IF(OR($A1212="",D1212=""),0,IF(COUNTIF($D$2:D1212,D1212)=1,SUMIF($D$2:$D$5001,D1212,$H$2:$H$5001)+ROW()/10000000,0))</f>
        <v>0</v>
      </c>
      <c r="Q1212" s="47" t="n">
        <f aca="false">IF(OR($A1212="",C1212=""),0,IF(COUNTIF($C$2:C1212,C1212)=1,SUMIF($C$2:$C$5001,C1212,$H$2:$H$5001)+ROW()/10000000,0))</f>
        <v>0</v>
      </c>
    </row>
    <row r="1213" customFormat="false" ht="15" hidden="false" customHeight="false" outlineLevel="0" collapsed="false">
      <c r="A1213" s="43"/>
      <c r="B1213" s="44"/>
      <c r="C1213" s="44"/>
      <c r="D1213" s="44"/>
      <c r="E1213" s="44"/>
      <c r="F1213" s="44"/>
      <c r="G1213" s="44"/>
      <c r="H1213" s="46" t="str">
        <f aca="false">IF($A1213="","",IF(OR(NOT(ISNUMBER(E1213)),NOT(ISNUMBER(F1213))),"",MAX(0,E1213)*F1213))</f>
        <v/>
      </c>
      <c r="I1213" s="46" t="str">
        <f aca="false">IF($A1213="","",SUMIF($A$2:$A$5001,$A1213,$H$2:$H$5001))</f>
        <v/>
      </c>
      <c r="J1213" s="47" t="n">
        <f aca="false">IF($A1213="",0,IF(COUNTIF($A$2:A1213,$A1213)=1,1,0))</f>
        <v>0</v>
      </c>
      <c r="K1213" s="47" t="n">
        <f aca="false">IF(J1213=1,N(I1213)+ROW()/10000000,0)</f>
        <v>0</v>
      </c>
      <c r="L1213" s="47" t="str">
        <f aca="false">IF(AND(J1213=1,N(I1213)&gt;0),SUMIF($K$2:$K$5001,"&gt;="&amp;K1213,$I$2:$I$5001)/MAX(1,SUM($H$2:$H$5001)),"")</f>
        <v/>
      </c>
      <c r="M1213" s="47" t="str">
        <f aca="false">IF($A1213="","",INDEX($L$2:$L$5001,MATCH($A1213,$A$2:$A$5001,0)))</f>
        <v/>
      </c>
      <c r="N1213" s="48" t="str">
        <f aca="false">IF($A1213="","",IF(N(M1213)=0,"–",IF(M1213&lt;=Start!$D$20,"A",IF(M1213&lt;=Start!$D$21,"B","C"))))</f>
        <v/>
      </c>
      <c r="O1213" s="48" t="str">
        <f aca="false">IF($A1213="","",IF(NOT(ISNUMBER(F1213)),"Wert fehlt; ",IF(F1213&lt;=0,"Wert ist 0; ",""))&amp;IF(NOT(ISNUMBER(E1213)),"Bestand fehlt; ",IF(E1213&lt;0,"Bestand negativ; ",IF(E1213=0,"Nullbestand; ","")))&amp;IF(D1213="","Warengruppe fehlt; ","")&amp;IF(B1213="","Bezeichnung fehlt; ","")&amp;IF(COUNTIFS($A$2:$A$5001,$A1213,$C$2:$C$5001,C1213)&gt;1,"Artikel doppelt im selben Lager; ",""))</f>
        <v/>
      </c>
      <c r="P1213" s="47" t="n">
        <f aca="false">IF(OR($A1213="",D1213=""),0,IF(COUNTIF($D$2:D1213,D1213)=1,SUMIF($D$2:$D$5001,D1213,$H$2:$H$5001)+ROW()/10000000,0))</f>
        <v>0</v>
      </c>
      <c r="Q1213" s="47" t="n">
        <f aca="false">IF(OR($A1213="",C1213=""),0,IF(COUNTIF($C$2:C1213,C1213)=1,SUMIF($C$2:$C$5001,C1213,$H$2:$H$5001)+ROW()/10000000,0))</f>
        <v>0</v>
      </c>
    </row>
    <row r="1214" customFormat="false" ht="15" hidden="false" customHeight="false" outlineLevel="0" collapsed="false">
      <c r="A1214" s="43"/>
      <c r="B1214" s="44"/>
      <c r="C1214" s="44"/>
      <c r="D1214" s="44"/>
      <c r="E1214" s="44"/>
      <c r="F1214" s="44"/>
      <c r="G1214" s="44"/>
      <c r="H1214" s="46" t="str">
        <f aca="false">IF($A1214="","",IF(OR(NOT(ISNUMBER(E1214)),NOT(ISNUMBER(F1214))),"",MAX(0,E1214)*F1214))</f>
        <v/>
      </c>
      <c r="I1214" s="46" t="str">
        <f aca="false">IF($A1214="","",SUMIF($A$2:$A$5001,$A1214,$H$2:$H$5001))</f>
        <v/>
      </c>
      <c r="J1214" s="47" t="n">
        <f aca="false">IF($A1214="",0,IF(COUNTIF($A$2:A1214,$A1214)=1,1,0))</f>
        <v>0</v>
      </c>
      <c r="K1214" s="47" t="n">
        <f aca="false">IF(J1214=1,N(I1214)+ROW()/10000000,0)</f>
        <v>0</v>
      </c>
      <c r="L1214" s="47" t="str">
        <f aca="false">IF(AND(J1214=1,N(I1214)&gt;0),SUMIF($K$2:$K$5001,"&gt;="&amp;K1214,$I$2:$I$5001)/MAX(1,SUM($H$2:$H$5001)),"")</f>
        <v/>
      </c>
      <c r="M1214" s="47" t="str">
        <f aca="false">IF($A1214="","",INDEX($L$2:$L$5001,MATCH($A1214,$A$2:$A$5001,0)))</f>
        <v/>
      </c>
      <c r="N1214" s="48" t="str">
        <f aca="false">IF($A1214="","",IF(N(M1214)=0,"–",IF(M1214&lt;=Start!$D$20,"A",IF(M1214&lt;=Start!$D$21,"B","C"))))</f>
        <v/>
      </c>
      <c r="O1214" s="48" t="str">
        <f aca="false">IF($A1214="","",IF(NOT(ISNUMBER(F1214)),"Wert fehlt; ",IF(F1214&lt;=0,"Wert ist 0; ",""))&amp;IF(NOT(ISNUMBER(E1214)),"Bestand fehlt; ",IF(E1214&lt;0,"Bestand negativ; ",IF(E1214=0,"Nullbestand; ","")))&amp;IF(D1214="","Warengruppe fehlt; ","")&amp;IF(B1214="","Bezeichnung fehlt; ","")&amp;IF(COUNTIFS($A$2:$A$5001,$A1214,$C$2:$C$5001,C1214)&gt;1,"Artikel doppelt im selben Lager; ",""))</f>
        <v/>
      </c>
      <c r="P1214" s="47" t="n">
        <f aca="false">IF(OR($A1214="",D1214=""),0,IF(COUNTIF($D$2:D1214,D1214)=1,SUMIF($D$2:$D$5001,D1214,$H$2:$H$5001)+ROW()/10000000,0))</f>
        <v>0</v>
      </c>
      <c r="Q1214" s="47" t="n">
        <f aca="false">IF(OR($A1214="",C1214=""),0,IF(COUNTIF($C$2:C1214,C1214)=1,SUMIF($C$2:$C$5001,C1214,$H$2:$H$5001)+ROW()/10000000,0))</f>
        <v>0</v>
      </c>
    </row>
    <row r="1215" customFormat="false" ht="15" hidden="false" customHeight="false" outlineLevel="0" collapsed="false">
      <c r="A1215" s="43"/>
      <c r="B1215" s="44"/>
      <c r="C1215" s="44"/>
      <c r="D1215" s="44"/>
      <c r="E1215" s="44"/>
      <c r="F1215" s="44"/>
      <c r="G1215" s="44"/>
      <c r="H1215" s="46" t="str">
        <f aca="false">IF($A1215="","",IF(OR(NOT(ISNUMBER(E1215)),NOT(ISNUMBER(F1215))),"",MAX(0,E1215)*F1215))</f>
        <v/>
      </c>
      <c r="I1215" s="46" t="str">
        <f aca="false">IF($A1215="","",SUMIF($A$2:$A$5001,$A1215,$H$2:$H$5001))</f>
        <v/>
      </c>
      <c r="J1215" s="47" t="n">
        <f aca="false">IF($A1215="",0,IF(COUNTIF($A$2:A1215,$A1215)=1,1,0))</f>
        <v>0</v>
      </c>
      <c r="K1215" s="47" t="n">
        <f aca="false">IF(J1215=1,N(I1215)+ROW()/10000000,0)</f>
        <v>0</v>
      </c>
      <c r="L1215" s="47" t="str">
        <f aca="false">IF(AND(J1215=1,N(I1215)&gt;0),SUMIF($K$2:$K$5001,"&gt;="&amp;K1215,$I$2:$I$5001)/MAX(1,SUM($H$2:$H$5001)),"")</f>
        <v/>
      </c>
      <c r="M1215" s="47" t="str">
        <f aca="false">IF($A1215="","",INDEX($L$2:$L$5001,MATCH($A1215,$A$2:$A$5001,0)))</f>
        <v/>
      </c>
      <c r="N1215" s="48" t="str">
        <f aca="false">IF($A1215="","",IF(N(M1215)=0,"–",IF(M1215&lt;=Start!$D$20,"A",IF(M1215&lt;=Start!$D$21,"B","C"))))</f>
        <v/>
      </c>
      <c r="O1215" s="48" t="str">
        <f aca="false">IF($A1215="","",IF(NOT(ISNUMBER(F1215)),"Wert fehlt; ",IF(F1215&lt;=0,"Wert ist 0; ",""))&amp;IF(NOT(ISNUMBER(E1215)),"Bestand fehlt; ",IF(E1215&lt;0,"Bestand negativ; ",IF(E1215=0,"Nullbestand; ","")))&amp;IF(D1215="","Warengruppe fehlt; ","")&amp;IF(B1215="","Bezeichnung fehlt; ","")&amp;IF(COUNTIFS($A$2:$A$5001,$A1215,$C$2:$C$5001,C1215)&gt;1,"Artikel doppelt im selben Lager; ",""))</f>
        <v/>
      </c>
      <c r="P1215" s="47" t="n">
        <f aca="false">IF(OR($A1215="",D1215=""),0,IF(COUNTIF($D$2:D1215,D1215)=1,SUMIF($D$2:$D$5001,D1215,$H$2:$H$5001)+ROW()/10000000,0))</f>
        <v>0</v>
      </c>
      <c r="Q1215" s="47" t="n">
        <f aca="false">IF(OR($A1215="",C1215=""),0,IF(COUNTIF($C$2:C1215,C1215)=1,SUMIF($C$2:$C$5001,C1215,$H$2:$H$5001)+ROW()/10000000,0))</f>
        <v>0</v>
      </c>
    </row>
    <row r="1216" customFormat="false" ht="15" hidden="false" customHeight="false" outlineLevel="0" collapsed="false">
      <c r="A1216" s="43"/>
      <c r="B1216" s="44"/>
      <c r="C1216" s="44"/>
      <c r="D1216" s="44"/>
      <c r="E1216" s="44"/>
      <c r="F1216" s="44"/>
      <c r="G1216" s="44"/>
      <c r="H1216" s="46" t="str">
        <f aca="false">IF($A1216="","",IF(OR(NOT(ISNUMBER(E1216)),NOT(ISNUMBER(F1216))),"",MAX(0,E1216)*F1216))</f>
        <v/>
      </c>
      <c r="I1216" s="46" t="str">
        <f aca="false">IF($A1216="","",SUMIF($A$2:$A$5001,$A1216,$H$2:$H$5001))</f>
        <v/>
      </c>
      <c r="J1216" s="47" t="n">
        <f aca="false">IF($A1216="",0,IF(COUNTIF($A$2:A1216,$A1216)=1,1,0))</f>
        <v>0</v>
      </c>
      <c r="K1216" s="47" t="n">
        <f aca="false">IF(J1216=1,N(I1216)+ROW()/10000000,0)</f>
        <v>0</v>
      </c>
      <c r="L1216" s="47" t="str">
        <f aca="false">IF(AND(J1216=1,N(I1216)&gt;0),SUMIF($K$2:$K$5001,"&gt;="&amp;K1216,$I$2:$I$5001)/MAX(1,SUM($H$2:$H$5001)),"")</f>
        <v/>
      </c>
      <c r="M1216" s="47" t="str">
        <f aca="false">IF($A1216="","",INDEX($L$2:$L$5001,MATCH($A1216,$A$2:$A$5001,0)))</f>
        <v/>
      </c>
      <c r="N1216" s="48" t="str">
        <f aca="false">IF($A1216="","",IF(N(M1216)=0,"–",IF(M1216&lt;=Start!$D$20,"A",IF(M1216&lt;=Start!$D$21,"B","C"))))</f>
        <v/>
      </c>
      <c r="O1216" s="48" t="str">
        <f aca="false">IF($A1216="","",IF(NOT(ISNUMBER(F1216)),"Wert fehlt; ",IF(F1216&lt;=0,"Wert ist 0; ",""))&amp;IF(NOT(ISNUMBER(E1216)),"Bestand fehlt; ",IF(E1216&lt;0,"Bestand negativ; ",IF(E1216=0,"Nullbestand; ","")))&amp;IF(D1216="","Warengruppe fehlt; ","")&amp;IF(B1216="","Bezeichnung fehlt; ","")&amp;IF(COUNTIFS($A$2:$A$5001,$A1216,$C$2:$C$5001,C1216)&gt;1,"Artikel doppelt im selben Lager; ",""))</f>
        <v/>
      </c>
      <c r="P1216" s="47" t="n">
        <f aca="false">IF(OR($A1216="",D1216=""),0,IF(COUNTIF($D$2:D1216,D1216)=1,SUMIF($D$2:$D$5001,D1216,$H$2:$H$5001)+ROW()/10000000,0))</f>
        <v>0</v>
      </c>
      <c r="Q1216" s="47" t="n">
        <f aca="false">IF(OR($A1216="",C1216=""),0,IF(COUNTIF($C$2:C1216,C1216)=1,SUMIF($C$2:$C$5001,C1216,$H$2:$H$5001)+ROW()/10000000,0))</f>
        <v>0</v>
      </c>
    </row>
    <row r="1217" customFormat="false" ht="15" hidden="false" customHeight="false" outlineLevel="0" collapsed="false">
      <c r="A1217" s="43"/>
      <c r="B1217" s="44"/>
      <c r="C1217" s="44"/>
      <c r="D1217" s="44"/>
      <c r="E1217" s="44"/>
      <c r="F1217" s="44"/>
      <c r="G1217" s="44"/>
      <c r="H1217" s="46" t="str">
        <f aca="false">IF($A1217="","",IF(OR(NOT(ISNUMBER(E1217)),NOT(ISNUMBER(F1217))),"",MAX(0,E1217)*F1217))</f>
        <v/>
      </c>
      <c r="I1217" s="46" t="str">
        <f aca="false">IF($A1217="","",SUMIF($A$2:$A$5001,$A1217,$H$2:$H$5001))</f>
        <v/>
      </c>
      <c r="J1217" s="47" t="n">
        <f aca="false">IF($A1217="",0,IF(COUNTIF($A$2:A1217,$A1217)=1,1,0))</f>
        <v>0</v>
      </c>
      <c r="K1217" s="47" t="n">
        <f aca="false">IF(J1217=1,N(I1217)+ROW()/10000000,0)</f>
        <v>0</v>
      </c>
      <c r="L1217" s="47" t="str">
        <f aca="false">IF(AND(J1217=1,N(I1217)&gt;0),SUMIF($K$2:$K$5001,"&gt;="&amp;K1217,$I$2:$I$5001)/MAX(1,SUM($H$2:$H$5001)),"")</f>
        <v/>
      </c>
      <c r="M1217" s="47" t="str">
        <f aca="false">IF($A1217="","",INDEX($L$2:$L$5001,MATCH($A1217,$A$2:$A$5001,0)))</f>
        <v/>
      </c>
      <c r="N1217" s="48" t="str">
        <f aca="false">IF($A1217="","",IF(N(M1217)=0,"–",IF(M1217&lt;=Start!$D$20,"A",IF(M1217&lt;=Start!$D$21,"B","C"))))</f>
        <v/>
      </c>
      <c r="O1217" s="48" t="str">
        <f aca="false">IF($A1217="","",IF(NOT(ISNUMBER(F1217)),"Wert fehlt; ",IF(F1217&lt;=0,"Wert ist 0; ",""))&amp;IF(NOT(ISNUMBER(E1217)),"Bestand fehlt; ",IF(E1217&lt;0,"Bestand negativ; ",IF(E1217=0,"Nullbestand; ","")))&amp;IF(D1217="","Warengruppe fehlt; ","")&amp;IF(B1217="","Bezeichnung fehlt; ","")&amp;IF(COUNTIFS($A$2:$A$5001,$A1217,$C$2:$C$5001,C1217)&gt;1,"Artikel doppelt im selben Lager; ",""))</f>
        <v/>
      </c>
      <c r="P1217" s="47" t="n">
        <f aca="false">IF(OR($A1217="",D1217=""),0,IF(COUNTIF($D$2:D1217,D1217)=1,SUMIF($D$2:$D$5001,D1217,$H$2:$H$5001)+ROW()/10000000,0))</f>
        <v>0</v>
      </c>
      <c r="Q1217" s="47" t="n">
        <f aca="false">IF(OR($A1217="",C1217=""),0,IF(COUNTIF($C$2:C1217,C1217)=1,SUMIF($C$2:$C$5001,C1217,$H$2:$H$5001)+ROW()/10000000,0))</f>
        <v>0</v>
      </c>
    </row>
    <row r="1218" customFormat="false" ht="15" hidden="false" customHeight="false" outlineLevel="0" collapsed="false">
      <c r="A1218" s="43"/>
      <c r="B1218" s="44"/>
      <c r="C1218" s="44"/>
      <c r="D1218" s="44"/>
      <c r="E1218" s="44"/>
      <c r="F1218" s="44"/>
      <c r="G1218" s="44"/>
      <c r="H1218" s="46" t="str">
        <f aca="false">IF($A1218="","",IF(OR(NOT(ISNUMBER(E1218)),NOT(ISNUMBER(F1218))),"",MAX(0,E1218)*F1218))</f>
        <v/>
      </c>
      <c r="I1218" s="46" t="str">
        <f aca="false">IF($A1218="","",SUMIF($A$2:$A$5001,$A1218,$H$2:$H$5001))</f>
        <v/>
      </c>
      <c r="J1218" s="47" t="n">
        <f aca="false">IF($A1218="",0,IF(COUNTIF($A$2:A1218,$A1218)=1,1,0))</f>
        <v>0</v>
      </c>
      <c r="K1218" s="47" t="n">
        <f aca="false">IF(J1218=1,N(I1218)+ROW()/10000000,0)</f>
        <v>0</v>
      </c>
      <c r="L1218" s="47" t="str">
        <f aca="false">IF(AND(J1218=1,N(I1218)&gt;0),SUMIF($K$2:$K$5001,"&gt;="&amp;K1218,$I$2:$I$5001)/MAX(1,SUM($H$2:$H$5001)),"")</f>
        <v/>
      </c>
      <c r="M1218" s="47" t="str">
        <f aca="false">IF($A1218="","",INDEX($L$2:$L$5001,MATCH($A1218,$A$2:$A$5001,0)))</f>
        <v/>
      </c>
      <c r="N1218" s="48" t="str">
        <f aca="false">IF($A1218="","",IF(N(M1218)=0,"–",IF(M1218&lt;=Start!$D$20,"A",IF(M1218&lt;=Start!$D$21,"B","C"))))</f>
        <v/>
      </c>
      <c r="O1218" s="48" t="str">
        <f aca="false">IF($A1218="","",IF(NOT(ISNUMBER(F1218)),"Wert fehlt; ",IF(F1218&lt;=0,"Wert ist 0; ",""))&amp;IF(NOT(ISNUMBER(E1218)),"Bestand fehlt; ",IF(E1218&lt;0,"Bestand negativ; ",IF(E1218=0,"Nullbestand; ","")))&amp;IF(D1218="","Warengruppe fehlt; ","")&amp;IF(B1218="","Bezeichnung fehlt; ","")&amp;IF(COUNTIFS($A$2:$A$5001,$A1218,$C$2:$C$5001,C1218)&gt;1,"Artikel doppelt im selben Lager; ",""))</f>
        <v/>
      </c>
      <c r="P1218" s="47" t="n">
        <f aca="false">IF(OR($A1218="",D1218=""),0,IF(COUNTIF($D$2:D1218,D1218)=1,SUMIF($D$2:$D$5001,D1218,$H$2:$H$5001)+ROW()/10000000,0))</f>
        <v>0</v>
      </c>
      <c r="Q1218" s="47" t="n">
        <f aca="false">IF(OR($A1218="",C1218=""),0,IF(COUNTIF($C$2:C1218,C1218)=1,SUMIF($C$2:$C$5001,C1218,$H$2:$H$5001)+ROW()/10000000,0))</f>
        <v>0</v>
      </c>
    </row>
    <row r="1219" customFormat="false" ht="15" hidden="false" customHeight="false" outlineLevel="0" collapsed="false">
      <c r="A1219" s="43"/>
      <c r="B1219" s="44"/>
      <c r="C1219" s="44"/>
      <c r="D1219" s="44"/>
      <c r="E1219" s="44"/>
      <c r="F1219" s="44"/>
      <c r="G1219" s="44"/>
      <c r="H1219" s="46" t="str">
        <f aca="false">IF($A1219="","",IF(OR(NOT(ISNUMBER(E1219)),NOT(ISNUMBER(F1219))),"",MAX(0,E1219)*F1219))</f>
        <v/>
      </c>
      <c r="I1219" s="46" t="str">
        <f aca="false">IF($A1219="","",SUMIF($A$2:$A$5001,$A1219,$H$2:$H$5001))</f>
        <v/>
      </c>
      <c r="J1219" s="47" t="n">
        <f aca="false">IF($A1219="",0,IF(COUNTIF($A$2:A1219,$A1219)=1,1,0))</f>
        <v>0</v>
      </c>
      <c r="K1219" s="47" t="n">
        <f aca="false">IF(J1219=1,N(I1219)+ROW()/10000000,0)</f>
        <v>0</v>
      </c>
      <c r="L1219" s="47" t="str">
        <f aca="false">IF(AND(J1219=1,N(I1219)&gt;0),SUMIF($K$2:$K$5001,"&gt;="&amp;K1219,$I$2:$I$5001)/MAX(1,SUM($H$2:$H$5001)),"")</f>
        <v/>
      </c>
      <c r="M1219" s="47" t="str">
        <f aca="false">IF($A1219="","",INDEX($L$2:$L$5001,MATCH($A1219,$A$2:$A$5001,0)))</f>
        <v/>
      </c>
      <c r="N1219" s="48" t="str">
        <f aca="false">IF($A1219="","",IF(N(M1219)=0,"–",IF(M1219&lt;=Start!$D$20,"A",IF(M1219&lt;=Start!$D$21,"B","C"))))</f>
        <v/>
      </c>
      <c r="O1219" s="48" t="str">
        <f aca="false">IF($A1219="","",IF(NOT(ISNUMBER(F1219)),"Wert fehlt; ",IF(F1219&lt;=0,"Wert ist 0; ",""))&amp;IF(NOT(ISNUMBER(E1219)),"Bestand fehlt; ",IF(E1219&lt;0,"Bestand negativ; ",IF(E1219=0,"Nullbestand; ","")))&amp;IF(D1219="","Warengruppe fehlt; ","")&amp;IF(B1219="","Bezeichnung fehlt; ","")&amp;IF(COUNTIFS($A$2:$A$5001,$A1219,$C$2:$C$5001,C1219)&gt;1,"Artikel doppelt im selben Lager; ",""))</f>
        <v/>
      </c>
      <c r="P1219" s="47" t="n">
        <f aca="false">IF(OR($A1219="",D1219=""),0,IF(COUNTIF($D$2:D1219,D1219)=1,SUMIF($D$2:$D$5001,D1219,$H$2:$H$5001)+ROW()/10000000,0))</f>
        <v>0</v>
      </c>
      <c r="Q1219" s="47" t="n">
        <f aca="false">IF(OR($A1219="",C1219=""),0,IF(COUNTIF($C$2:C1219,C1219)=1,SUMIF($C$2:$C$5001,C1219,$H$2:$H$5001)+ROW()/10000000,0))</f>
        <v>0</v>
      </c>
    </row>
    <row r="1220" customFormat="false" ht="15" hidden="false" customHeight="false" outlineLevel="0" collapsed="false">
      <c r="A1220" s="43"/>
      <c r="B1220" s="44"/>
      <c r="C1220" s="44"/>
      <c r="D1220" s="44"/>
      <c r="E1220" s="44"/>
      <c r="F1220" s="44"/>
      <c r="G1220" s="44"/>
      <c r="H1220" s="46" t="str">
        <f aca="false">IF($A1220="","",IF(OR(NOT(ISNUMBER(E1220)),NOT(ISNUMBER(F1220))),"",MAX(0,E1220)*F1220))</f>
        <v/>
      </c>
      <c r="I1220" s="46" t="str">
        <f aca="false">IF($A1220="","",SUMIF($A$2:$A$5001,$A1220,$H$2:$H$5001))</f>
        <v/>
      </c>
      <c r="J1220" s="47" t="n">
        <f aca="false">IF($A1220="",0,IF(COUNTIF($A$2:A1220,$A1220)=1,1,0))</f>
        <v>0</v>
      </c>
      <c r="K1220" s="47" t="n">
        <f aca="false">IF(J1220=1,N(I1220)+ROW()/10000000,0)</f>
        <v>0</v>
      </c>
      <c r="L1220" s="47" t="str">
        <f aca="false">IF(AND(J1220=1,N(I1220)&gt;0),SUMIF($K$2:$K$5001,"&gt;="&amp;K1220,$I$2:$I$5001)/MAX(1,SUM($H$2:$H$5001)),"")</f>
        <v/>
      </c>
      <c r="M1220" s="47" t="str">
        <f aca="false">IF($A1220="","",INDEX($L$2:$L$5001,MATCH($A1220,$A$2:$A$5001,0)))</f>
        <v/>
      </c>
      <c r="N1220" s="48" t="str">
        <f aca="false">IF($A1220="","",IF(N(M1220)=0,"–",IF(M1220&lt;=Start!$D$20,"A",IF(M1220&lt;=Start!$D$21,"B","C"))))</f>
        <v/>
      </c>
      <c r="O1220" s="48" t="str">
        <f aca="false">IF($A1220="","",IF(NOT(ISNUMBER(F1220)),"Wert fehlt; ",IF(F1220&lt;=0,"Wert ist 0; ",""))&amp;IF(NOT(ISNUMBER(E1220)),"Bestand fehlt; ",IF(E1220&lt;0,"Bestand negativ; ",IF(E1220=0,"Nullbestand; ","")))&amp;IF(D1220="","Warengruppe fehlt; ","")&amp;IF(B1220="","Bezeichnung fehlt; ","")&amp;IF(COUNTIFS($A$2:$A$5001,$A1220,$C$2:$C$5001,C1220)&gt;1,"Artikel doppelt im selben Lager; ",""))</f>
        <v/>
      </c>
      <c r="P1220" s="47" t="n">
        <f aca="false">IF(OR($A1220="",D1220=""),0,IF(COUNTIF($D$2:D1220,D1220)=1,SUMIF($D$2:$D$5001,D1220,$H$2:$H$5001)+ROW()/10000000,0))</f>
        <v>0</v>
      </c>
      <c r="Q1220" s="47" t="n">
        <f aca="false">IF(OR($A1220="",C1220=""),0,IF(COUNTIF($C$2:C1220,C1220)=1,SUMIF($C$2:$C$5001,C1220,$H$2:$H$5001)+ROW()/10000000,0))</f>
        <v>0</v>
      </c>
    </row>
    <row r="1221" customFormat="false" ht="15" hidden="false" customHeight="false" outlineLevel="0" collapsed="false">
      <c r="A1221" s="43"/>
      <c r="B1221" s="44"/>
      <c r="C1221" s="44"/>
      <c r="D1221" s="44"/>
      <c r="E1221" s="44"/>
      <c r="F1221" s="44"/>
      <c r="G1221" s="44"/>
      <c r="H1221" s="46" t="str">
        <f aca="false">IF($A1221="","",IF(OR(NOT(ISNUMBER(E1221)),NOT(ISNUMBER(F1221))),"",MAX(0,E1221)*F1221))</f>
        <v/>
      </c>
      <c r="I1221" s="46" t="str">
        <f aca="false">IF($A1221="","",SUMIF($A$2:$A$5001,$A1221,$H$2:$H$5001))</f>
        <v/>
      </c>
      <c r="J1221" s="47" t="n">
        <f aca="false">IF($A1221="",0,IF(COUNTIF($A$2:A1221,$A1221)=1,1,0))</f>
        <v>0</v>
      </c>
      <c r="K1221" s="47" t="n">
        <f aca="false">IF(J1221=1,N(I1221)+ROW()/10000000,0)</f>
        <v>0</v>
      </c>
      <c r="L1221" s="47" t="str">
        <f aca="false">IF(AND(J1221=1,N(I1221)&gt;0),SUMIF($K$2:$K$5001,"&gt;="&amp;K1221,$I$2:$I$5001)/MAX(1,SUM($H$2:$H$5001)),"")</f>
        <v/>
      </c>
      <c r="M1221" s="47" t="str">
        <f aca="false">IF($A1221="","",INDEX($L$2:$L$5001,MATCH($A1221,$A$2:$A$5001,0)))</f>
        <v/>
      </c>
      <c r="N1221" s="48" t="str">
        <f aca="false">IF($A1221="","",IF(N(M1221)=0,"–",IF(M1221&lt;=Start!$D$20,"A",IF(M1221&lt;=Start!$D$21,"B","C"))))</f>
        <v/>
      </c>
      <c r="O1221" s="48" t="str">
        <f aca="false">IF($A1221="","",IF(NOT(ISNUMBER(F1221)),"Wert fehlt; ",IF(F1221&lt;=0,"Wert ist 0; ",""))&amp;IF(NOT(ISNUMBER(E1221)),"Bestand fehlt; ",IF(E1221&lt;0,"Bestand negativ; ",IF(E1221=0,"Nullbestand; ","")))&amp;IF(D1221="","Warengruppe fehlt; ","")&amp;IF(B1221="","Bezeichnung fehlt; ","")&amp;IF(COUNTIFS($A$2:$A$5001,$A1221,$C$2:$C$5001,C1221)&gt;1,"Artikel doppelt im selben Lager; ",""))</f>
        <v/>
      </c>
      <c r="P1221" s="47" t="n">
        <f aca="false">IF(OR($A1221="",D1221=""),0,IF(COUNTIF($D$2:D1221,D1221)=1,SUMIF($D$2:$D$5001,D1221,$H$2:$H$5001)+ROW()/10000000,0))</f>
        <v>0</v>
      </c>
      <c r="Q1221" s="47" t="n">
        <f aca="false">IF(OR($A1221="",C1221=""),0,IF(COUNTIF($C$2:C1221,C1221)=1,SUMIF($C$2:$C$5001,C1221,$H$2:$H$5001)+ROW()/10000000,0))</f>
        <v>0</v>
      </c>
    </row>
    <row r="1222" customFormat="false" ht="15" hidden="false" customHeight="false" outlineLevel="0" collapsed="false">
      <c r="A1222" s="43"/>
      <c r="B1222" s="44"/>
      <c r="C1222" s="44"/>
      <c r="D1222" s="44"/>
      <c r="E1222" s="44"/>
      <c r="F1222" s="44"/>
      <c r="G1222" s="44"/>
      <c r="H1222" s="46" t="str">
        <f aca="false">IF($A1222="","",IF(OR(NOT(ISNUMBER(E1222)),NOT(ISNUMBER(F1222))),"",MAX(0,E1222)*F1222))</f>
        <v/>
      </c>
      <c r="I1222" s="46" t="str">
        <f aca="false">IF($A1222="","",SUMIF($A$2:$A$5001,$A1222,$H$2:$H$5001))</f>
        <v/>
      </c>
      <c r="J1222" s="47" t="n">
        <f aca="false">IF($A1222="",0,IF(COUNTIF($A$2:A1222,$A1222)=1,1,0))</f>
        <v>0</v>
      </c>
      <c r="K1222" s="47" t="n">
        <f aca="false">IF(J1222=1,N(I1222)+ROW()/10000000,0)</f>
        <v>0</v>
      </c>
      <c r="L1222" s="47" t="str">
        <f aca="false">IF(AND(J1222=1,N(I1222)&gt;0),SUMIF($K$2:$K$5001,"&gt;="&amp;K1222,$I$2:$I$5001)/MAX(1,SUM($H$2:$H$5001)),"")</f>
        <v/>
      </c>
      <c r="M1222" s="47" t="str">
        <f aca="false">IF($A1222="","",INDEX($L$2:$L$5001,MATCH($A1222,$A$2:$A$5001,0)))</f>
        <v/>
      </c>
      <c r="N1222" s="48" t="str">
        <f aca="false">IF($A1222="","",IF(N(M1222)=0,"–",IF(M1222&lt;=Start!$D$20,"A",IF(M1222&lt;=Start!$D$21,"B","C"))))</f>
        <v/>
      </c>
      <c r="O1222" s="48" t="str">
        <f aca="false">IF($A1222="","",IF(NOT(ISNUMBER(F1222)),"Wert fehlt; ",IF(F1222&lt;=0,"Wert ist 0; ",""))&amp;IF(NOT(ISNUMBER(E1222)),"Bestand fehlt; ",IF(E1222&lt;0,"Bestand negativ; ",IF(E1222=0,"Nullbestand; ","")))&amp;IF(D1222="","Warengruppe fehlt; ","")&amp;IF(B1222="","Bezeichnung fehlt; ","")&amp;IF(COUNTIFS($A$2:$A$5001,$A1222,$C$2:$C$5001,C1222)&gt;1,"Artikel doppelt im selben Lager; ",""))</f>
        <v/>
      </c>
      <c r="P1222" s="47" t="n">
        <f aca="false">IF(OR($A1222="",D1222=""),0,IF(COUNTIF($D$2:D1222,D1222)=1,SUMIF($D$2:$D$5001,D1222,$H$2:$H$5001)+ROW()/10000000,0))</f>
        <v>0</v>
      </c>
      <c r="Q1222" s="47" t="n">
        <f aca="false">IF(OR($A1222="",C1222=""),0,IF(COUNTIF($C$2:C1222,C1222)=1,SUMIF($C$2:$C$5001,C1222,$H$2:$H$5001)+ROW()/10000000,0))</f>
        <v>0</v>
      </c>
    </row>
    <row r="1223" customFormat="false" ht="15" hidden="false" customHeight="false" outlineLevel="0" collapsed="false">
      <c r="A1223" s="43"/>
      <c r="B1223" s="44"/>
      <c r="C1223" s="44"/>
      <c r="D1223" s="44"/>
      <c r="E1223" s="44"/>
      <c r="F1223" s="44"/>
      <c r="G1223" s="44"/>
      <c r="H1223" s="46" t="str">
        <f aca="false">IF($A1223="","",IF(OR(NOT(ISNUMBER(E1223)),NOT(ISNUMBER(F1223))),"",MAX(0,E1223)*F1223))</f>
        <v/>
      </c>
      <c r="I1223" s="46" t="str">
        <f aca="false">IF($A1223="","",SUMIF($A$2:$A$5001,$A1223,$H$2:$H$5001))</f>
        <v/>
      </c>
      <c r="J1223" s="47" t="n">
        <f aca="false">IF($A1223="",0,IF(COUNTIF($A$2:A1223,$A1223)=1,1,0))</f>
        <v>0</v>
      </c>
      <c r="K1223" s="47" t="n">
        <f aca="false">IF(J1223=1,N(I1223)+ROW()/10000000,0)</f>
        <v>0</v>
      </c>
      <c r="L1223" s="47" t="str">
        <f aca="false">IF(AND(J1223=1,N(I1223)&gt;0),SUMIF($K$2:$K$5001,"&gt;="&amp;K1223,$I$2:$I$5001)/MAX(1,SUM($H$2:$H$5001)),"")</f>
        <v/>
      </c>
      <c r="M1223" s="47" t="str">
        <f aca="false">IF($A1223="","",INDEX($L$2:$L$5001,MATCH($A1223,$A$2:$A$5001,0)))</f>
        <v/>
      </c>
      <c r="N1223" s="48" t="str">
        <f aca="false">IF($A1223="","",IF(N(M1223)=0,"–",IF(M1223&lt;=Start!$D$20,"A",IF(M1223&lt;=Start!$D$21,"B","C"))))</f>
        <v/>
      </c>
      <c r="O1223" s="48" t="str">
        <f aca="false">IF($A1223="","",IF(NOT(ISNUMBER(F1223)),"Wert fehlt; ",IF(F1223&lt;=0,"Wert ist 0; ",""))&amp;IF(NOT(ISNUMBER(E1223)),"Bestand fehlt; ",IF(E1223&lt;0,"Bestand negativ; ",IF(E1223=0,"Nullbestand; ","")))&amp;IF(D1223="","Warengruppe fehlt; ","")&amp;IF(B1223="","Bezeichnung fehlt; ","")&amp;IF(COUNTIFS($A$2:$A$5001,$A1223,$C$2:$C$5001,C1223)&gt;1,"Artikel doppelt im selben Lager; ",""))</f>
        <v/>
      </c>
      <c r="P1223" s="47" t="n">
        <f aca="false">IF(OR($A1223="",D1223=""),0,IF(COUNTIF($D$2:D1223,D1223)=1,SUMIF($D$2:$D$5001,D1223,$H$2:$H$5001)+ROW()/10000000,0))</f>
        <v>0</v>
      </c>
      <c r="Q1223" s="47" t="n">
        <f aca="false">IF(OR($A1223="",C1223=""),0,IF(COUNTIF($C$2:C1223,C1223)=1,SUMIF($C$2:$C$5001,C1223,$H$2:$H$5001)+ROW()/10000000,0))</f>
        <v>0</v>
      </c>
    </row>
    <row r="1224" customFormat="false" ht="15" hidden="false" customHeight="false" outlineLevel="0" collapsed="false">
      <c r="A1224" s="43"/>
      <c r="B1224" s="44"/>
      <c r="C1224" s="44"/>
      <c r="D1224" s="44"/>
      <c r="E1224" s="44"/>
      <c r="F1224" s="44"/>
      <c r="G1224" s="44"/>
      <c r="H1224" s="46" t="str">
        <f aca="false">IF($A1224="","",IF(OR(NOT(ISNUMBER(E1224)),NOT(ISNUMBER(F1224))),"",MAX(0,E1224)*F1224))</f>
        <v/>
      </c>
      <c r="I1224" s="46" t="str">
        <f aca="false">IF($A1224="","",SUMIF($A$2:$A$5001,$A1224,$H$2:$H$5001))</f>
        <v/>
      </c>
      <c r="J1224" s="47" t="n">
        <f aca="false">IF($A1224="",0,IF(COUNTIF($A$2:A1224,$A1224)=1,1,0))</f>
        <v>0</v>
      </c>
      <c r="K1224" s="47" t="n">
        <f aca="false">IF(J1224=1,N(I1224)+ROW()/10000000,0)</f>
        <v>0</v>
      </c>
      <c r="L1224" s="47" t="str">
        <f aca="false">IF(AND(J1224=1,N(I1224)&gt;0),SUMIF($K$2:$K$5001,"&gt;="&amp;K1224,$I$2:$I$5001)/MAX(1,SUM($H$2:$H$5001)),"")</f>
        <v/>
      </c>
      <c r="M1224" s="47" t="str">
        <f aca="false">IF($A1224="","",INDEX($L$2:$L$5001,MATCH($A1224,$A$2:$A$5001,0)))</f>
        <v/>
      </c>
      <c r="N1224" s="48" t="str">
        <f aca="false">IF($A1224="","",IF(N(M1224)=0,"–",IF(M1224&lt;=Start!$D$20,"A",IF(M1224&lt;=Start!$D$21,"B","C"))))</f>
        <v/>
      </c>
      <c r="O1224" s="48" t="str">
        <f aca="false">IF($A1224="","",IF(NOT(ISNUMBER(F1224)),"Wert fehlt; ",IF(F1224&lt;=0,"Wert ist 0; ",""))&amp;IF(NOT(ISNUMBER(E1224)),"Bestand fehlt; ",IF(E1224&lt;0,"Bestand negativ; ",IF(E1224=0,"Nullbestand; ","")))&amp;IF(D1224="","Warengruppe fehlt; ","")&amp;IF(B1224="","Bezeichnung fehlt; ","")&amp;IF(COUNTIFS($A$2:$A$5001,$A1224,$C$2:$C$5001,C1224)&gt;1,"Artikel doppelt im selben Lager; ",""))</f>
        <v/>
      </c>
      <c r="P1224" s="47" t="n">
        <f aca="false">IF(OR($A1224="",D1224=""),0,IF(COUNTIF($D$2:D1224,D1224)=1,SUMIF($D$2:$D$5001,D1224,$H$2:$H$5001)+ROW()/10000000,0))</f>
        <v>0</v>
      </c>
      <c r="Q1224" s="47" t="n">
        <f aca="false">IF(OR($A1224="",C1224=""),0,IF(COUNTIF($C$2:C1224,C1224)=1,SUMIF($C$2:$C$5001,C1224,$H$2:$H$5001)+ROW()/10000000,0))</f>
        <v>0</v>
      </c>
    </row>
    <row r="1225" customFormat="false" ht="15" hidden="false" customHeight="false" outlineLevel="0" collapsed="false">
      <c r="A1225" s="43"/>
      <c r="B1225" s="44"/>
      <c r="C1225" s="44"/>
      <c r="D1225" s="44"/>
      <c r="E1225" s="44"/>
      <c r="F1225" s="44"/>
      <c r="G1225" s="44"/>
      <c r="H1225" s="46" t="str">
        <f aca="false">IF($A1225="","",IF(OR(NOT(ISNUMBER(E1225)),NOT(ISNUMBER(F1225))),"",MAX(0,E1225)*F1225))</f>
        <v/>
      </c>
      <c r="I1225" s="46" t="str">
        <f aca="false">IF($A1225="","",SUMIF($A$2:$A$5001,$A1225,$H$2:$H$5001))</f>
        <v/>
      </c>
      <c r="J1225" s="47" t="n">
        <f aca="false">IF($A1225="",0,IF(COUNTIF($A$2:A1225,$A1225)=1,1,0))</f>
        <v>0</v>
      </c>
      <c r="K1225" s="47" t="n">
        <f aca="false">IF(J1225=1,N(I1225)+ROW()/10000000,0)</f>
        <v>0</v>
      </c>
      <c r="L1225" s="47" t="str">
        <f aca="false">IF(AND(J1225=1,N(I1225)&gt;0),SUMIF($K$2:$K$5001,"&gt;="&amp;K1225,$I$2:$I$5001)/MAX(1,SUM($H$2:$H$5001)),"")</f>
        <v/>
      </c>
      <c r="M1225" s="47" t="str">
        <f aca="false">IF($A1225="","",INDEX($L$2:$L$5001,MATCH($A1225,$A$2:$A$5001,0)))</f>
        <v/>
      </c>
      <c r="N1225" s="48" t="str">
        <f aca="false">IF($A1225="","",IF(N(M1225)=0,"–",IF(M1225&lt;=Start!$D$20,"A",IF(M1225&lt;=Start!$D$21,"B","C"))))</f>
        <v/>
      </c>
      <c r="O1225" s="48" t="str">
        <f aca="false">IF($A1225="","",IF(NOT(ISNUMBER(F1225)),"Wert fehlt; ",IF(F1225&lt;=0,"Wert ist 0; ",""))&amp;IF(NOT(ISNUMBER(E1225)),"Bestand fehlt; ",IF(E1225&lt;0,"Bestand negativ; ",IF(E1225=0,"Nullbestand; ","")))&amp;IF(D1225="","Warengruppe fehlt; ","")&amp;IF(B1225="","Bezeichnung fehlt; ","")&amp;IF(COUNTIFS($A$2:$A$5001,$A1225,$C$2:$C$5001,C1225)&gt;1,"Artikel doppelt im selben Lager; ",""))</f>
        <v/>
      </c>
      <c r="P1225" s="47" t="n">
        <f aca="false">IF(OR($A1225="",D1225=""),0,IF(COUNTIF($D$2:D1225,D1225)=1,SUMIF($D$2:$D$5001,D1225,$H$2:$H$5001)+ROW()/10000000,0))</f>
        <v>0</v>
      </c>
      <c r="Q1225" s="47" t="n">
        <f aca="false">IF(OR($A1225="",C1225=""),0,IF(COUNTIF($C$2:C1225,C1225)=1,SUMIF($C$2:$C$5001,C1225,$H$2:$H$5001)+ROW()/10000000,0))</f>
        <v>0</v>
      </c>
    </row>
    <row r="1226" customFormat="false" ht="15" hidden="false" customHeight="false" outlineLevel="0" collapsed="false">
      <c r="A1226" s="43"/>
      <c r="B1226" s="44"/>
      <c r="C1226" s="44"/>
      <c r="D1226" s="44"/>
      <c r="E1226" s="44"/>
      <c r="F1226" s="44"/>
      <c r="G1226" s="44"/>
      <c r="H1226" s="46" t="str">
        <f aca="false">IF($A1226="","",IF(OR(NOT(ISNUMBER(E1226)),NOT(ISNUMBER(F1226))),"",MAX(0,E1226)*F1226))</f>
        <v/>
      </c>
      <c r="I1226" s="46" t="str">
        <f aca="false">IF($A1226="","",SUMIF($A$2:$A$5001,$A1226,$H$2:$H$5001))</f>
        <v/>
      </c>
      <c r="J1226" s="47" t="n">
        <f aca="false">IF($A1226="",0,IF(COUNTIF($A$2:A1226,$A1226)=1,1,0))</f>
        <v>0</v>
      </c>
      <c r="K1226" s="47" t="n">
        <f aca="false">IF(J1226=1,N(I1226)+ROW()/10000000,0)</f>
        <v>0</v>
      </c>
      <c r="L1226" s="47" t="str">
        <f aca="false">IF(AND(J1226=1,N(I1226)&gt;0),SUMIF($K$2:$K$5001,"&gt;="&amp;K1226,$I$2:$I$5001)/MAX(1,SUM($H$2:$H$5001)),"")</f>
        <v/>
      </c>
      <c r="M1226" s="47" t="str">
        <f aca="false">IF($A1226="","",INDEX($L$2:$L$5001,MATCH($A1226,$A$2:$A$5001,0)))</f>
        <v/>
      </c>
      <c r="N1226" s="48" t="str">
        <f aca="false">IF($A1226="","",IF(N(M1226)=0,"–",IF(M1226&lt;=Start!$D$20,"A",IF(M1226&lt;=Start!$D$21,"B","C"))))</f>
        <v/>
      </c>
      <c r="O1226" s="48" t="str">
        <f aca="false">IF($A1226="","",IF(NOT(ISNUMBER(F1226)),"Wert fehlt; ",IF(F1226&lt;=0,"Wert ist 0; ",""))&amp;IF(NOT(ISNUMBER(E1226)),"Bestand fehlt; ",IF(E1226&lt;0,"Bestand negativ; ",IF(E1226=0,"Nullbestand; ","")))&amp;IF(D1226="","Warengruppe fehlt; ","")&amp;IF(B1226="","Bezeichnung fehlt; ","")&amp;IF(COUNTIFS($A$2:$A$5001,$A1226,$C$2:$C$5001,C1226)&gt;1,"Artikel doppelt im selben Lager; ",""))</f>
        <v/>
      </c>
      <c r="P1226" s="47" t="n">
        <f aca="false">IF(OR($A1226="",D1226=""),0,IF(COUNTIF($D$2:D1226,D1226)=1,SUMIF($D$2:$D$5001,D1226,$H$2:$H$5001)+ROW()/10000000,0))</f>
        <v>0</v>
      </c>
      <c r="Q1226" s="47" t="n">
        <f aca="false">IF(OR($A1226="",C1226=""),0,IF(COUNTIF($C$2:C1226,C1226)=1,SUMIF($C$2:$C$5001,C1226,$H$2:$H$5001)+ROW()/10000000,0))</f>
        <v>0</v>
      </c>
    </row>
    <row r="1227" customFormat="false" ht="15" hidden="false" customHeight="false" outlineLevel="0" collapsed="false">
      <c r="A1227" s="43"/>
      <c r="B1227" s="44"/>
      <c r="C1227" s="44"/>
      <c r="D1227" s="44"/>
      <c r="E1227" s="44"/>
      <c r="F1227" s="44"/>
      <c r="G1227" s="44"/>
      <c r="H1227" s="46" t="str">
        <f aca="false">IF($A1227="","",IF(OR(NOT(ISNUMBER(E1227)),NOT(ISNUMBER(F1227))),"",MAX(0,E1227)*F1227))</f>
        <v/>
      </c>
      <c r="I1227" s="46" t="str">
        <f aca="false">IF($A1227="","",SUMIF($A$2:$A$5001,$A1227,$H$2:$H$5001))</f>
        <v/>
      </c>
      <c r="J1227" s="47" t="n">
        <f aca="false">IF($A1227="",0,IF(COUNTIF($A$2:A1227,$A1227)=1,1,0))</f>
        <v>0</v>
      </c>
      <c r="K1227" s="47" t="n">
        <f aca="false">IF(J1227=1,N(I1227)+ROW()/10000000,0)</f>
        <v>0</v>
      </c>
      <c r="L1227" s="47" t="str">
        <f aca="false">IF(AND(J1227=1,N(I1227)&gt;0),SUMIF($K$2:$K$5001,"&gt;="&amp;K1227,$I$2:$I$5001)/MAX(1,SUM($H$2:$H$5001)),"")</f>
        <v/>
      </c>
      <c r="M1227" s="47" t="str">
        <f aca="false">IF($A1227="","",INDEX($L$2:$L$5001,MATCH($A1227,$A$2:$A$5001,0)))</f>
        <v/>
      </c>
      <c r="N1227" s="48" t="str">
        <f aca="false">IF($A1227="","",IF(N(M1227)=0,"–",IF(M1227&lt;=Start!$D$20,"A",IF(M1227&lt;=Start!$D$21,"B","C"))))</f>
        <v/>
      </c>
      <c r="O1227" s="48" t="str">
        <f aca="false">IF($A1227="","",IF(NOT(ISNUMBER(F1227)),"Wert fehlt; ",IF(F1227&lt;=0,"Wert ist 0; ",""))&amp;IF(NOT(ISNUMBER(E1227)),"Bestand fehlt; ",IF(E1227&lt;0,"Bestand negativ; ",IF(E1227=0,"Nullbestand; ","")))&amp;IF(D1227="","Warengruppe fehlt; ","")&amp;IF(B1227="","Bezeichnung fehlt; ","")&amp;IF(COUNTIFS($A$2:$A$5001,$A1227,$C$2:$C$5001,C1227)&gt;1,"Artikel doppelt im selben Lager; ",""))</f>
        <v/>
      </c>
      <c r="P1227" s="47" t="n">
        <f aca="false">IF(OR($A1227="",D1227=""),0,IF(COUNTIF($D$2:D1227,D1227)=1,SUMIF($D$2:$D$5001,D1227,$H$2:$H$5001)+ROW()/10000000,0))</f>
        <v>0</v>
      </c>
      <c r="Q1227" s="47" t="n">
        <f aca="false">IF(OR($A1227="",C1227=""),0,IF(COUNTIF($C$2:C1227,C1227)=1,SUMIF($C$2:$C$5001,C1227,$H$2:$H$5001)+ROW()/10000000,0))</f>
        <v>0</v>
      </c>
    </row>
    <row r="1228" customFormat="false" ht="15" hidden="false" customHeight="false" outlineLevel="0" collapsed="false">
      <c r="A1228" s="43"/>
      <c r="B1228" s="44"/>
      <c r="C1228" s="44"/>
      <c r="D1228" s="44"/>
      <c r="E1228" s="44"/>
      <c r="F1228" s="44"/>
      <c r="G1228" s="44"/>
      <c r="H1228" s="46" t="str">
        <f aca="false">IF($A1228="","",IF(OR(NOT(ISNUMBER(E1228)),NOT(ISNUMBER(F1228))),"",MAX(0,E1228)*F1228))</f>
        <v/>
      </c>
      <c r="I1228" s="46" t="str">
        <f aca="false">IF($A1228="","",SUMIF($A$2:$A$5001,$A1228,$H$2:$H$5001))</f>
        <v/>
      </c>
      <c r="J1228" s="47" t="n">
        <f aca="false">IF($A1228="",0,IF(COUNTIF($A$2:A1228,$A1228)=1,1,0))</f>
        <v>0</v>
      </c>
      <c r="K1228" s="47" t="n">
        <f aca="false">IF(J1228=1,N(I1228)+ROW()/10000000,0)</f>
        <v>0</v>
      </c>
      <c r="L1228" s="47" t="str">
        <f aca="false">IF(AND(J1228=1,N(I1228)&gt;0),SUMIF($K$2:$K$5001,"&gt;="&amp;K1228,$I$2:$I$5001)/MAX(1,SUM($H$2:$H$5001)),"")</f>
        <v/>
      </c>
      <c r="M1228" s="47" t="str">
        <f aca="false">IF($A1228="","",INDEX($L$2:$L$5001,MATCH($A1228,$A$2:$A$5001,0)))</f>
        <v/>
      </c>
      <c r="N1228" s="48" t="str">
        <f aca="false">IF($A1228="","",IF(N(M1228)=0,"–",IF(M1228&lt;=Start!$D$20,"A",IF(M1228&lt;=Start!$D$21,"B","C"))))</f>
        <v/>
      </c>
      <c r="O1228" s="48" t="str">
        <f aca="false">IF($A1228="","",IF(NOT(ISNUMBER(F1228)),"Wert fehlt; ",IF(F1228&lt;=0,"Wert ist 0; ",""))&amp;IF(NOT(ISNUMBER(E1228)),"Bestand fehlt; ",IF(E1228&lt;0,"Bestand negativ; ",IF(E1228=0,"Nullbestand; ","")))&amp;IF(D1228="","Warengruppe fehlt; ","")&amp;IF(B1228="","Bezeichnung fehlt; ","")&amp;IF(COUNTIFS($A$2:$A$5001,$A1228,$C$2:$C$5001,C1228)&gt;1,"Artikel doppelt im selben Lager; ",""))</f>
        <v/>
      </c>
      <c r="P1228" s="47" t="n">
        <f aca="false">IF(OR($A1228="",D1228=""),0,IF(COUNTIF($D$2:D1228,D1228)=1,SUMIF($D$2:$D$5001,D1228,$H$2:$H$5001)+ROW()/10000000,0))</f>
        <v>0</v>
      </c>
      <c r="Q1228" s="47" t="n">
        <f aca="false">IF(OR($A1228="",C1228=""),0,IF(COUNTIF($C$2:C1228,C1228)=1,SUMIF($C$2:$C$5001,C1228,$H$2:$H$5001)+ROW()/10000000,0))</f>
        <v>0</v>
      </c>
    </row>
    <row r="1229" customFormat="false" ht="15" hidden="false" customHeight="false" outlineLevel="0" collapsed="false">
      <c r="A1229" s="43"/>
      <c r="B1229" s="44"/>
      <c r="C1229" s="44"/>
      <c r="D1229" s="44"/>
      <c r="E1229" s="44"/>
      <c r="F1229" s="44"/>
      <c r="G1229" s="44"/>
      <c r="H1229" s="46" t="str">
        <f aca="false">IF($A1229="","",IF(OR(NOT(ISNUMBER(E1229)),NOT(ISNUMBER(F1229))),"",MAX(0,E1229)*F1229))</f>
        <v/>
      </c>
      <c r="I1229" s="46" t="str">
        <f aca="false">IF($A1229="","",SUMIF($A$2:$A$5001,$A1229,$H$2:$H$5001))</f>
        <v/>
      </c>
      <c r="J1229" s="47" t="n">
        <f aca="false">IF($A1229="",0,IF(COUNTIF($A$2:A1229,$A1229)=1,1,0))</f>
        <v>0</v>
      </c>
      <c r="K1229" s="47" t="n">
        <f aca="false">IF(J1229=1,N(I1229)+ROW()/10000000,0)</f>
        <v>0</v>
      </c>
      <c r="L1229" s="47" t="str">
        <f aca="false">IF(AND(J1229=1,N(I1229)&gt;0),SUMIF($K$2:$K$5001,"&gt;="&amp;K1229,$I$2:$I$5001)/MAX(1,SUM($H$2:$H$5001)),"")</f>
        <v/>
      </c>
      <c r="M1229" s="47" t="str">
        <f aca="false">IF($A1229="","",INDEX($L$2:$L$5001,MATCH($A1229,$A$2:$A$5001,0)))</f>
        <v/>
      </c>
      <c r="N1229" s="48" t="str">
        <f aca="false">IF($A1229="","",IF(N(M1229)=0,"–",IF(M1229&lt;=Start!$D$20,"A",IF(M1229&lt;=Start!$D$21,"B","C"))))</f>
        <v/>
      </c>
      <c r="O1229" s="48" t="str">
        <f aca="false">IF($A1229="","",IF(NOT(ISNUMBER(F1229)),"Wert fehlt; ",IF(F1229&lt;=0,"Wert ist 0; ",""))&amp;IF(NOT(ISNUMBER(E1229)),"Bestand fehlt; ",IF(E1229&lt;0,"Bestand negativ; ",IF(E1229=0,"Nullbestand; ","")))&amp;IF(D1229="","Warengruppe fehlt; ","")&amp;IF(B1229="","Bezeichnung fehlt; ","")&amp;IF(COUNTIFS($A$2:$A$5001,$A1229,$C$2:$C$5001,C1229)&gt;1,"Artikel doppelt im selben Lager; ",""))</f>
        <v/>
      </c>
      <c r="P1229" s="47" t="n">
        <f aca="false">IF(OR($A1229="",D1229=""),0,IF(COUNTIF($D$2:D1229,D1229)=1,SUMIF($D$2:$D$5001,D1229,$H$2:$H$5001)+ROW()/10000000,0))</f>
        <v>0</v>
      </c>
      <c r="Q1229" s="47" t="n">
        <f aca="false">IF(OR($A1229="",C1229=""),0,IF(COUNTIF($C$2:C1229,C1229)=1,SUMIF($C$2:$C$5001,C1229,$H$2:$H$5001)+ROW()/10000000,0))</f>
        <v>0</v>
      </c>
    </row>
    <row r="1230" customFormat="false" ht="15" hidden="false" customHeight="false" outlineLevel="0" collapsed="false">
      <c r="A1230" s="43"/>
      <c r="B1230" s="44"/>
      <c r="C1230" s="44"/>
      <c r="D1230" s="44"/>
      <c r="E1230" s="44"/>
      <c r="F1230" s="44"/>
      <c r="G1230" s="44"/>
      <c r="H1230" s="46" t="str">
        <f aca="false">IF($A1230="","",IF(OR(NOT(ISNUMBER(E1230)),NOT(ISNUMBER(F1230))),"",MAX(0,E1230)*F1230))</f>
        <v/>
      </c>
      <c r="I1230" s="46" t="str">
        <f aca="false">IF($A1230="","",SUMIF($A$2:$A$5001,$A1230,$H$2:$H$5001))</f>
        <v/>
      </c>
      <c r="J1230" s="47" t="n">
        <f aca="false">IF($A1230="",0,IF(COUNTIF($A$2:A1230,$A1230)=1,1,0))</f>
        <v>0</v>
      </c>
      <c r="K1230" s="47" t="n">
        <f aca="false">IF(J1230=1,N(I1230)+ROW()/10000000,0)</f>
        <v>0</v>
      </c>
      <c r="L1230" s="47" t="str">
        <f aca="false">IF(AND(J1230=1,N(I1230)&gt;0),SUMIF($K$2:$K$5001,"&gt;="&amp;K1230,$I$2:$I$5001)/MAX(1,SUM($H$2:$H$5001)),"")</f>
        <v/>
      </c>
      <c r="M1230" s="47" t="str">
        <f aca="false">IF($A1230="","",INDEX($L$2:$L$5001,MATCH($A1230,$A$2:$A$5001,0)))</f>
        <v/>
      </c>
      <c r="N1230" s="48" t="str">
        <f aca="false">IF($A1230="","",IF(N(M1230)=0,"–",IF(M1230&lt;=Start!$D$20,"A",IF(M1230&lt;=Start!$D$21,"B","C"))))</f>
        <v/>
      </c>
      <c r="O1230" s="48" t="str">
        <f aca="false">IF($A1230="","",IF(NOT(ISNUMBER(F1230)),"Wert fehlt; ",IF(F1230&lt;=0,"Wert ist 0; ",""))&amp;IF(NOT(ISNUMBER(E1230)),"Bestand fehlt; ",IF(E1230&lt;0,"Bestand negativ; ",IF(E1230=0,"Nullbestand; ","")))&amp;IF(D1230="","Warengruppe fehlt; ","")&amp;IF(B1230="","Bezeichnung fehlt; ","")&amp;IF(COUNTIFS($A$2:$A$5001,$A1230,$C$2:$C$5001,C1230)&gt;1,"Artikel doppelt im selben Lager; ",""))</f>
        <v/>
      </c>
      <c r="P1230" s="47" t="n">
        <f aca="false">IF(OR($A1230="",D1230=""),0,IF(COUNTIF($D$2:D1230,D1230)=1,SUMIF($D$2:$D$5001,D1230,$H$2:$H$5001)+ROW()/10000000,0))</f>
        <v>0</v>
      </c>
      <c r="Q1230" s="47" t="n">
        <f aca="false">IF(OR($A1230="",C1230=""),0,IF(COUNTIF($C$2:C1230,C1230)=1,SUMIF($C$2:$C$5001,C1230,$H$2:$H$5001)+ROW()/10000000,0))</f>
        <v>0</v>
      </c>
    </row>
    <row r="1231" customFormat="false" ht="15" hidden="false" customHeight="false" outlineLevel="0" collapsed="false">
      <c r="A1231" s="43"/>
      <c r="B1231" s="44"/>
      <c r="C1231" s="44"/>
      <c r="D1231" s="44"/>
      <c r="E1231" s="44"/>
      <c r="F1231" s="44"/>
      <c r="G1231" s="44"/>
      <c r="H1231" s="46" t="str">
        <f aca="false">IF($A1231="","",IF(OR(NOT(ISNUMBER(E1231)),NOT(ISNUMBER(F1231))),"",MAX(0,E1231)*F1231))</f>
        <v/>
      </c>
      <c r="I1231" s="46" t="str">
        <f aca="false">IF($A1231="","",SUMIF($A$2:$A$5001,$A1231,$H$2:$H$5001))</f>
        <v/>
      </c>
      <c r="J1231" s="47" t="n">
        <f aca="false">IF($A1231="",0,IF(COUNTIF($A$2:A1231,$A1231)=1,1,0))</f>
        <v>0</v>
      </c>
      <c r="K1231" s="47" t="n">
        <f aca="false">IF(J1231=1,N(I1231)+ROW()/10000000,0)</f>
        <v>0</v>
      </c>
      <c r="L1231" s="47" t="str">
        <f aca="false">IF(AND(J1231=1,N(I1231)&gt;0),SUMIF($K$2:$K$5001,"&gt;="&amp;K1231,$I$2:$I$5001)/MAX(1,SUM($H$2:$H$5001)),"")</f>
        <v/>
      </c>
      <c r="M1231" s="47" t="str">
        <f aca="false">IF($A1231="","",INDEX($L$2:$L$5001,MATCH($A1231,$A$2:$A$5001,0)))</f>
        <v/>
      </c>
      <c r="N1231" s="48" t="str">
        <f aca="false">IF($A1231="","",IF(N(M1231)=0,"–",IF(M1231&lt;=Start!$D$20,"A",IF(M1231&lt;=Start!$D$21,"B","C"))))</f>
        <v/>
      </c>
      <c r="O1231" s="48" t="str">
        <f aca="false">IF($A1231="","",IF(NOT(ISNUMBER(F1231)),"Wert fehlt; ",IF(F1231&lt;=0,"Wert ist 0; ",""))&amp;IF(NOT(ISNUMBER(E1231)),"Bestand fehlt; ",IF(E1231&lt;0,"Bestand negativ; ",IF(E1231=0,"Nullbestand; ","")))&amp;IF(D1231="","Warengruppe fehlt; ","")&amp;IF(B1231="","Bezeichnung fehlt; ","")&amp;IF(COUNTIFS($A$2:$A$5001,$A1231,$C$2:$C$5001,C1231)&gt;1,"Artikel doppelt im selben Lager; ",""))</f>
        <v/>
      </c>
      <c r="P1231" s="47" t="n">
        <f aca="false">IF(OR($A1231="",D1231=""),0,IF(COUNTIF($D$2:D1231,D1231)=1,SUMIF($D$2:$D$5001,D1231,$H$2:$H$5001)+ROW()/10000000,0))</f>
        <v>0</v>
      </c>
      <c r="Q1231" s="47" t="n">
        <f aca="false">IF(OR($A1231="",C1231=""),0,IF(COUNTIF($C$2:C1231,C1231)=1,SUMIF($C$2:$C$5001,C1231,$H$2:$H$5001)+ROW()/10000000,0))</f>
        <v>0</v>
      </c>
    </row>
    <row r="1232" customFormat="false" ht="15" hidden="false" customHeight="false" outlineLevel="0" collapsed="false">
      <c r="A1232" s="43"/>
      <c r="B1232" s="44"/>
      <c r="C1232" s="44"/>
      <c r="D1232" s="44"/>
      <c r="E1232" s="44"/>
      <c r="F1232" s="44"/>
      <c r="G1232" s="44"/>
      <c r="H1232" s="46" t="str">
        <f aca="false">IF($A1232="","",IF(OR(NOT(ISNUMBER(E1232)),NOT(ISNUMBER(F1232))),"",MAX(0,E1232)*F1232))</f>
        <v/>
      </c>
      <c r="I1232" s="46" t="str">
        <f aca="false">IF($A1232="","",SUMIF($A$2:$A$5001,$A1232,$H$2:$H$5001))</f>
        <v/>
      </c>
      <c r="J1232" s="47" t="n">
        <f aca="false">IF($A1232="",0,IF(COUNTIF($A$2:A1232,$A1232)=1,1,0))</f>
        <v>0</v>
      </c>
      <c r="K1232" s="47" t="n">
        <f aca="false">IF(J1232=1,N(I1232)+ROW()/10000000,0)</f>
        <v>0</v>
      </c>
      <c r="L1232" s="47" t="str">
        <f aca="false">IF(AND(J1232=1,N(I1232)&gt;0),SUMIF($K$2:$K$5001,"&gt;="&amp;K1232,$I$2:$I$5001)/MAX(1,SUM($H$2:$H$5001)),"")</f>
        <v/>
      </c>
      <c r="M1232" s="47" t="str">
        <f aca="false">IF($A1232="","",INDEX($L$2:$L$5001,MATCH($A1232,$A$2:$A$5001,0)))</f>
        <v/>
      </c>
      <c r="N1232" s="48" t="str">
        <f aca="false">IF($A1232="","",IF(N(M1232)=0,"–",IF(M1232&lt;=Start!$D$20,"A",IF(M1232&lt;=Start!$D$21,"B","C"))))</f>
        <v/>
      </c>
      <c r="O1232" s="48" t="str">
        <f aca="false">IF($A1232="","",IF(NOT(ISNUMBER(F1232)),"Wert fehlt; ",IF(F1232&lt;=0,"Wert ist 0; ",""))&amp;IF(NOT(ISNUMBER(E1232)),"Bestand fehlt; ",IF(E1232&lt;0,"Bestand negativ; ",IF(E1232=0,"Nullbestand; ","")))&amp;IF(D1232="","Warengruppe fehlt; ","")&amp;IF(B1232="","Bezeichnung fehlt; ","")&amp;IF(COUNTIFS($A$2:$A$5001,$A1232,$C$2:$C$5001,C1232)&gt;1,"Artikel doppelt im selben Lager; ",""))</f>
        <v/>
      </c>
      <c r="P1232" s="47" t="n">
        <f aca="false">IF(OR($A1232="",D1232=""),0,IF(COUNTIF($D$2:D1232,D1232)=1,SUMIF($D$2:$D$5001,D1232,$H$2:$H$5001)+ROW()/10000000,0))</f>
        <v>0</v>
      </c>
      <c r="Q1232" s="47" t="n">
        <f aca="false">IF(OR($A1232="",C1232=""),0,IF(COUNTIF($C$2:C1232,C1232)=1,SUMIF($C$2:$C$5001,C1232,$H$2:$H$5001)+ROW()/10000000,0))</f>
        <v>0</v>
      </c>
    </row>
    <row r="1233" customFormat="false" ht="15" hidden="false" customHeight="false" outlineLevel="0" collapsed="false">
      <c r="A1233" s="43"/>
      <c r="B1233" s="44"/>
      <c r="C1233" s="44"/>
      <c r="D1233" s="44"/>
      <c r="E1233" s="44"/>
      <c r="F1233" s="44"/>
      <c r="G1233" s="44"/>
      <c r="H1233" s="46" t="str">
        <f aca="false">IF($A1233="","",IF(OR(NOT(ISNUMBER(E1233)),NOT(ISNUMBER(F1233))),"",MAX(0,E1233)*F1233))</f>
        <v/>
      </c>
      <c r="I1233" s="46" t="str">
        <f aca="false">IF($A1233="","",SUMIF($A$2:$A$5001,$A1233,$H$2:$H$5001))</f>
        <v/>
      </c>
      <c r="J1233" s="47" t="n">
        <f aca="false">IF($A1233="",0,IF(COUNTIF($A$2:A1233,$A1233)=1,1,0))</f>
        <v>0</v>
      </c>
      <c r="K1233" s="47" t="n">
        <f aca="false">IF(J1233=1,N(I1233)+ROW()/10000000,0)</f>
        <v>0</v>
      </c>
      <c r="L1233" s="47" t="str">
        <f aca="false">IF(AND(J1233=1,N(I1233)&gt;0),SUMIF($K$2:$K$5001,"&gt;="&amp;K1233,$I$2:$I$5001)/MAX(1,SUM($H$2:$H$5001)),"")</f>
        <v/>
      </c>
      <c r="M1233" s="47" t="str">
        <f aca="false">IF($A1233="","",INDEX($L$2:$L$5001,MATCH($A1233,$A$2:$A$5001,0)))</f>
        <v/>
      </c>
      <c r="N1233" s="48" t="str">
        <f aca="false">IF($A1233="","",IF(N(M1233)=0,"–",IF(M1233&lt;=Start!$D$20,"A",IF(M1233&lt;=Start!$D$21,"B","C"))))</f>
        <v/>
      </c>
      <c r="O1233" s="48" t="str">
        <f aca="false">IF($A1233="","",IF(NOT(ISNUMBER(F1233)),"Wert fehlt; ",IF(F1233&lt;=0,"Wert ist 0; ",""))&amp;IF(NOT(ISNUMBER(E1233)),"Bestand fehlt; ",IF(E1233&lt;0,"Bestand negativ; ",IF(E1233=0,"Nullbestand; ","")))&amp;IF(D1233="","Warengruppe fehlt; ","")&amp;IF(B1233="","Bezeichnung fehlt; ","")&amp;IF(COUNTIFS($A$2:$A$5001,$A1233,$C$2:$C$5001,C1233)&gt;1,"Artikel doppelt im selben Lager; ",""))</f>
        <v/>
      </c>
      <c r="P1233" s="47" t="n">
        <f aca="false">IF(OR($A1233="",D1233=""),0,IF(COUNTIF($D$2:D1233,D1233)=1,SUMIF($D$2:$D$5001,D1233,$H$2:$H$5001)+ROW()/10000000,0))</f>
        <v>0</v>
      </c>
      <c r="Q1233" s="47" t="n">
        <f aca="false">IF(OR($A1233="",C1233=""),0,IF(COUNTIF($C$2:C1233,C1233)=1,SUMIF($C$2:$C$5001,C1233,$H$2:$H$5001)+ROW()/10000000,0))</f>
        <v>0</v>
      </c>
    </row>
    <row r="1234" customFormat="false" ht="15" hidden="false" customHeight="false" outlineLevel="0" collapsed="false">
      <c r="A1234" s="43"/>
      <c r="B1234" s="44"/>
      <c r="C1234" s="44"/>
      <c r="D1234" s="44"/>
      <c r="E1234" s="44"/>
      <c r="F1234" s="44"/>
      <c r="G1234" s="44"/>
      <c r="H1234" s="46" t="str">
        <f aca="false">IF($A1234="","",IF(OR(NOT(ISNUMBER(E1234)),NOT(ISNUMBER(F1234))),"",MAX(0,E1234)*F1234))</f>
        <v/>
      </c>
      <c r="I1234" s="46" t="str">
        <f aca="false">IF($A1234="","",SUMIF($A$2:$A$5001,$A1234,$H$2:$H$5001))</f>
        <v/>
      </c>
      <c r="J1234" s="47" t="n">
        <f aca="false">IF($A1234="",0,IF(COUNTIF($A$2:A1234,$A1234)=1,1,0))</f>
        <v>0</v>
      </c>
      <c r="K1234" s="47" t="n">
        <f aca="false">IF(J1234=1,N(I1234)+ROW()/10000000,0)</f>
        <v>0</v>
      </c>
      <c r="L1234" s="47" t="str">
        <f aca="false">IF(AND(J1234=1,N(I1234)&gt;0),SUMIF($K$2:$K$5001,"&gt;="&amp;K1234,$I$2:$I$5001)/MAX(1,SUM($H$2:$H$5001)),"")</f>
        <v/>
      </c>
      <c r="M1234" s="47" t="str">
        <f aca="false">IF($A1234="","",INDEX($L$2:$L$5001,MATCH($A1234,$A$2:$A$5001,0)))</f>
        <v/>
      </c>
      <c r="N1234" s="48" t="str">
        <f aca="false">IF($A1234="","",IF(N(M1234)=0,"–",IF(M1234&lt;=Start!$D$20,"A",IF(M1234&lt;=Start!$D$21,"B","C"))))</f>
        <v/>
      </c>
      <c r="O1234" s="48" t="str">
        <f aca="false">IF($A1234="","",IF(NOT(ISNUMBER(F1234)),"Wert fehlt; ",IF(F1234&lt;=0,"Wert ist 0; ",""))&amp;IF(NOT(ISNUMBER(E1234)),"Bestand fehlt; ",IF(E1234&lt;0,"Bestand negativ; ",IF(E1234=0,"Nullbestand; ","")))&amp;IF(D1234="","Warengruppe fehlt; ","")&amp;IF(B1234="","Bezeichnung fehlt; ","")&amp;IF(COUNTIFS($A$2:$A$5001,$A1234,$C$2:$C$5001,C1234)&gt;1,"Artikel doppelt im selben Lager; ",""))</f>
        <v/>
      </c>
      <c r="P1234" s="47" t="n">
        <f aca="false">IF(OR($A1234="",D1234=""),0,IF(COUNTIF($D$2:D1234,D1234)=1,SUMIF($D$2:$D$5001,D1234,$H$2:$H$5001)+ROW()/10000000,0))</f>
        <v>0</v>
      </c>
      <c r="Q1234" s="47" t="n">
        <f aca="false">IF(OR($A1234="",C1234=""),0,IF(COUNTIF($C$2:C1234,C1234)=1,SUMIF($C$2:$C$5001,C1234,$H$2:$H$5001)+ROW()/10000000,0))</f>
        <v>0</v>
      </c>
    </row>
    <row r="1235" customFormat="false" ht="15" hidden="false" customHeight="false" outlineLevel="0" collapsed="false">
      <c r="A1235" s="43"/>
      <c r="B1235" s="44"/>
      <c r="C1235" s="44"/>
      <c r="D1235" s="44"/>
      <c r="E1235" s="44"/>
      <c r="F1235" s="44"/>
      <c r="G1235" s="44"/>
      <c r="H1235" s="46" t="str">
        <f aca="false">IF($A1235="","",IF(OR(NOT(ISNUMBER(E1235)),NOT(ISNUMBER(F1235))),"",MAX(0,E1235)*F1235))</f>
        <v/>
      </c>
      <c r="I1235" s="46" t="str">
        <f aca="false">IF($A1235="","",SUMIF($A$2:$A$5001,$A1235,$H$2:$H$5001))</f>
        <v/>
      </c>
      <c r="J1235" s="47" t="n">
        <f aca="false">IF($A1235="",0,IF(COUNTIF($A$2:A1235,$A1235)=1,1,0))</f>
        <v>0</v>
      </c>
      <c r="K1235" s="47" t="n">
        <f aca="false">IF(J1235=1,N(I1235)+ROW()/10000000,0)</f>
        <v>0</v>
      </c>
      <c r="L1235" s="47" t="str">
        <f aca="false">IF(AND(J1235=1,N(I1235)&gt;0),SUMIF($K$2:$K$5001,"&gt;="&amp;K1235,$I$2:$I$5001)/MAX(1,SUM($H$2:$H$5001)),"")</f>
        <v/>
      </c>
      <c r="M1235" s="47" t="str">
        <f aca="false">IF($A1235="","",INDEX($L$2:$L$5001,MATCH($A1235,$A$2:$A$5001,0)))</f>
        <v/>
      </c>
      <c r="N1235" s="48" t="str">
        <f aca="false">IF($A1235="","",IF(N(M1235)=0,"–",IF(M1235&lt;=Start!$D$20,"A",IF(M1235&lt;=Start!$D$21,"B","C"))))</f>
        <v/>
      </c>
      <c r="O1235" s="48" t="str">
        <f aca="false">IF($A1235="","",IF(NOT(ISNUMBER(F1235)),"Wert fehlt; ",IF(F1235&lt;=0,"Wert ist 0; ",""))&amp;IF(NOT(ISNUMBER(E1235)),"Bestand fehlt; ",IF(E1235&lt;0,"Bestand negativ; ",IF(E1235=0,"Nullbestand; ","")))&amp;IF(D1235="","Warengruppe fehlt; ","")&amp;IF(B1235="","Bezeichnung fehlt; ","")&amp;IF(COUNTIFS($A$2:$A$5001,$A1235,$C$2:$C$5001,C1235)&gt;1,"Artikel doppelt im selben Lager; ",""))</f>
        <v/>
      </c>
      <c r="P1235" s="47" t="n">
        <f aca="false">IF(OR($A1235="",D1235=""),0,IF(COUNTIF($D$2:D1235,D1235)=1,SUMIF($D$2:$D$5001,D1235,$H$2:$H$5001)+ROW()/10000000,0))</f>
        <v>0</v>
      </c>
      <c r="Q1235" s="47" t="n">
        <f aca="false">IF(OR($A1235="",C1235=""),0,IF(COUNTIF($C$2:C1235,C1235)=1,SUMIF($C$2:$C$5001,C1235,$H$2:$H$5001)+ROW()/10000000,0))</f>
        <v>0</v>
      </c>
    </row>
    <row r="1236" customFormat="false" ht="15" hidden="false" customHeight="false" outlineLevel="0" collapsed="false">
      <c r="A1236" s="43"/>
      <c r="B1236" s="44"/>
      <c r="C1236" s="44"/>
      <c r="D1236" s="44"/>
      <c r="E1236" s="44"/>
      <c r="F1236" s="44"/>
      <c r="G1236" s="44"/>
      <c r="H1236" s="46" t="str">
        <f aca="false">IF($A1236="","",IF(OR(NOT(ISNUMBER(E1236)),NOT(ISNUMBER(F1236))),"",MAX(0,E1236)*F1236))</f>
        <v/>
      </c>
      <c r="I1236" s="46" t="str">
        <f aca="false">IF($A1236="","",SUMIF($A$2:$A$5001,$A1236,$H$2:$H$5001))</f>
        <v/>
      </c>
      <c r="J1236" s="47" t="n">
        <f aca="false">IF($A1236="",0,IF(COUNTIF($A$2:A1236,$A1236)=1,1,0))</f>
        <v>0</v>
      </c>
      <c r="K1236" s="47" t="n">
        <f aca="false">IF(J1236=1,N(I1236)+ROW()/10000000,0)</f>
        <v>0</v>
      </c>
      <c r="L1236" s="47" t="str">
        <f aca="false">IF(AND(J1236=1,N(I1236)&gt;0),SUMIF($K$2:$K$5001,"&gt;="&amp;K1236,$I$2:$I$5001)/MAX(1,SUM($H$2:$H$5001)),"")</f>
        <v/>
      </c>
      <c r="M1236" s="47" t="str">
        <f aca="false">IF($A1236="","",INDEX($L$2:$L$5001,MATCH($A1236,$A$2:$A$5001,0)))</f>
        <v/>
      </c>
      <c r="N1236" s="48" t="str">
        <f aca="false">IF($A1236="","",IF(N(M1236)=0,"–",IF(M1236&lt;=Start!$D$20,"A",IF(M1236&lt;=Start!$D$21,"B","C"))))</f>
        <v/>
      </c>
      <c r="O1236" s="48" t="str">
        <f aca="false">IF($A1236="","",IF(NOT(ISNUMBER(F1236)),"Wert fehlt; ",IF(F1236&lt;=0,"Wert ist 0; ",""))&amp;IF(NOT(ISNUMBER(E1236)),"Bestand fehlt; ",IF(E1236&lt;0,"Bestand negativ; ",IF(E1236=0,"Nullbestand; ","")))&amp;IF(D1236="","Warengruppe fehlt; ","")&amp;IF(B1236="","Bezeichnung fehlt; ","")&amp;IF(COUNTIFS($A$2:$A$5001,$A1236,$C$2:$C$5001,C1236)&gt;1,"Artikel doppelt im selben Lager; ",""))</f>
        <v/>
      </c>
      <c r="P1236" s="47" t="n">
        <f aca="false">IF(OR($A1236="",D1236=""),0,IF(COUNTIF($D$2:D1236,D1236)=1,SUMIF($D$2:$D$5001,D1236,$H$2:$H$5001)+ROW()/10000000,0))</f>
        <v>0</v>
      </c>
      <c r="Q1236" s="47" t="n">
        <f aca="false">IF(OR($A1236="",C1236=""),0,IF(COUNTIF($C$2:C1236,C1236)=1,SUMIF($C$2:$C$5001,C1236,$H$2:$H$5001)+ROW()/10000000,0))</f>
        <v>0</v>
      </c>
    </row>
    <row r="1237" customFormat="false" ht="15" hidden="false" customHeight="false" outlineLevel="0" collapsed="false">
      <c r="A1237" s="43"/>
      <c r="B1237" s="44"/>
      <c r="C1237" s="44"/>
      <c r="D1237" s="44"/>
      <c r="E1237" s="44"/>
      <c r="F1237" s="44"/>
      <c r="G1237" s="44"/>
      <c r="H1237" s="46" t="str">
        <f aca="false">IF($A1237="","",IF(OR(NOT(ISNUMBER(E1237)),NOT(ISNUMBER(F1237))),"",MAX(0,E1237)*F1237))</f>
        <v/>
      </c>
      <c r="I1237" s="46" t="str">
        <f aca="false">IF($A1237="","",SUMIF($A$2:$A$5001,$A1237,$H$2:$H$5001))</f>
        <v/>
      </c>
      <c r="J1237" s="47" t="n">
        <f aca="false">IF($A1237="",0,IF(COUNTIF($A$2:A1237,$A1237)=1,1,0))</f>
        <v>0</v>
      </c>
      <c r="K1237" s="47" t="n">
        <f aca="false">IF(J1237=1,N(I1237)+ROW()/10000000,0)</f>
        <v>0</v>
      </c>
      <c r="L1237" s="47" t="str">
        <f aca="false">IF(AND(J1237=1,N(I1237)&gt;0),SUMIF($K$2:$K$5001,"&gt;="&amp;K1237,$I$2:$I$5001)/MAX(1,SUM($H$2:$H$5001)),"")</f>
        <v/>
      </c>
      <c r="M1237" s="47" t="str">
        <f aca="false">IF($A1237="","",INDEX($L$2:$L$5001,MATCH($A1237,$A$2:$A$5001,0)))</f>
        <v/>
      </c>
      <c r="N1237" s="48" t="str">
        <f aca="false">IF($A1237="","",IF(N(M1237)=0,"–",IF(M1237&lt;=Start!$D$20,"A",IF(M1237&lt;=Start!$D$21,"B","C"))))</f>
        <v/>
      </c>
      <c r="O1237" s="48" t="str">
        <f aca="false">IF($A1237="","",IF(NOT(ISNUMBER(F1237)),"Wert fehlt; ",IF(F1237&lt;=0,"Wert ist 0; ",""))&amp;IF(NOT(ISNUMBER(E1237)),"Bestand fehlt; ",IF(E1237&lt;0,"Bestand negativ; ",IF(E1237=0,"Nullbestand; ","")))&amp;IF(D1237="","Warengruppe fehlt; ","")&amp;IF(B1237="","Bezeichnung fehlt; ","")&amp;IF(COUNTIFS($A$2:$A$5001,$A1237,$C$2:$C$5001,C1237)&gt;1,"Artikel doppelt im selben Lager; ",""))</f>
        <v/>
      </c>
      <c r="P1237" s="47" t="n">
        <f aca="false">IF(OR($A1237="",D1237=""),0,IF(COUNTIF($D$2:D1237,D1237)=1,SUMIF($D$2:$D$5001,D1237,$H$2:$H$5001)+ROW()/10000000,0))</f>
        <v>0</v>
      </c>
      <c r="Q1237" s="47" t="n">
        <f aca="false">IF(OR($A1237="",C1237=""),0,IF(COUNTIF($C$2:C1237,C1237)=1,SUMIF($C$2:$C$5001,C1237,$H$2:$H$5001)+ROW()/10000000,0))</f>
        <v>0</v>
      </c>
    </row>
    <row r="1238" customFormat="false" ht="15" hidden="false" customHeight="false" outlineLevel="0" collapsed="false">
      <c r="A1238" s="43"/>
      <c r="B1238" s="44"/>
      <c r="C1238" s="44"/>
      <c r="D1238" s="44"/>
      <c r="E1238" s="44"/>
      <c r="F1238" s="44"/>
      <c r="G1238" s="44"/>
      <c r="H1238" s="46" t="str">
        <f aca="false">IF($A1238="","",IF(OR(NOT(ISNUMBER(E1238)),NOT(ISNUMBER(F1238))),"",MAX(0,E1238)*F1238))</f>
        <v/>
      </c>
      <c r="I1238" s="46" t="str">
        <f aca="false">IF($A1238="","",SUMIF($A$2:$A$5001,$A1238,$H$2:$H$5001))</f>
        <v/>
      </c>
      <c r="J1238" s="47" t="n">
        <f aca="false">IF($A1238="",0,IF(COUNTIF($A$2:A1238,$A1238)=1,1,0))</f>
        <v>0</v>
      </c>
      <c r="K1238" s="47" t="n">
        <f aca="false">IF(J1238=1,N(I1238)+ROW()/10000000,0)</f>
        <v>0</v>
      </c>
      <c r="L1238" s="47" t="str">
        <f aca="false">IF(AND(J1238=1,N(I1238)&gt;0),SUMIF($K$2:$K$5001,"&gt;="&amp;K1238,$I$2:$I$5001)/MAX(1,SUM($H$2:$H$5001)),"")</f>
        <v/>
      </c>
      <c r="M1238" s="47" t="str">
        <f aca="false">IF($A1238="","",INDEX($L$2:$L$5001,MATCH($A1238,$A$2:$A$5001,0)))</f>
        <v/>
      </c>
      <c r="N1238" s="48" t="str">
        <f aca="false">IF($A1238="","",IF(N(M1238)=0,"–",IF(M1238&lt;=Start!$D$20,"A",IF(M1238&lt;=Start!$D$21,"B","C"))))</f>
        <v/>
      </c>
      <c r="O1238" s="48" t="str">
        <f aca="false">IF($A1238="","",IF(NOT(ISNUMBER(F1238)),"Wert fehlt; ",IF(F1238&lt;=0,"Wert ist 0; ",""))&amp;IF(NOT(ISNUMBER(E1238)),"Bestand fehlt; ",IF(E1238&lt;0,"Bestand negativ; ",IF(E1238=0,"Nullbestand; ","")))&amp;IF(D1238="","Warengruppe fehlt; ","")&amp;IF(B1238="","Bezeichnung fehlt; ","")&amp;IF(COUNTIFS($A$2:$A$5001,$A1238,$C$2:$C$5001,C1238)&gt;1,"Artikel doppelt im selben Lager; ",""))</f>
        <v/>
      </c>
      <c r="P1238" s="47" t="n">
        <f aca="false">IF(OR($A1238="",D1238=""),0,IF(COUNTIF($D$2:D1238,D1238)=1,SUMIF($D$2:$D$5001,D1238,$H$2:$H$5001)+ROW()/10000000,0))</f>
        <v>0</v>
      </c>
      <c r="Q1238" s="47" t="n">
        <f aca="false">IF(OR($A1238="",C1238=""),0,IF(COUNTIF($C$2:C1238,C1238)=1,SUMIF($C$2:$C$5001,C1238,$H$2:$H$5001)+ROW()/10000000,0))</f>
        <v>0</v>
      </c>
    </row>
    <row r="1239" customFormat="false" ht="15" hidden="false" customHeight="false" outlineLevel="0" collapsed="false">
      <c r="A1239" s="43"/>
      <c r="B1239" s="44"/>
      <c r="C1239" s="44"/>
      <c r="D1239" s="44"/>
      <c r="E1239" s="44"/>
      <c r="F1239" s="44"/>
      <c r="G1239" s="44"/>
      <c r="H1239" s="46" t="str">
        <f aca="false">IF($A1239="","",IF(OR(NOT(ISNUMBER(E1239)),NOT(ISNUMBER(F1239))),"",MAX(0,E1239)*F1239))</f>
        <v/>
      </c>
      <c r="I1239" s="46" t="str">
        <f aca="false">IF($A1239="","",SUMIF($A$2:$A$5001,$A1239,$H$2:$H$5001))</f>
        <v/>
      </c>
      <c r="J1239" s="47" t="n">
        <f aca="false">IF($A1239="",0,IF(COUNTIF($A$2:A1239,$A1239)=1,1,0))</f>
        <v>0</v>
      </c>
      <c r="K1239" s="47" t="n">
        <f aca="false">IF(J1239=1,N(I1239)+ROW()/10000000,0)</f>
        <v>0</v>
      </c>
      <c r="L1239" s="47" t="str">
        <f aca="false">IF(AND(J1239=1,N(I1239)&gt;0),SUMIF($K$2:$K$5001,"&gt;="&amp;K1239,$I$2:$I$5001)/MAX(1,SUM($H$2:$H$5001)),"")</f>
        <v/>
      </c>
      <c r="M1239" s="47" t="str">
        <f aca="false">IF($A1239="","",INDEX($L$2:$L$5001,MATCH($A1239,$A$2:$A$5001,0)))</f>
        <v/>
      </c>
      <c r="N1239" s="48" t="str">
        <f aca="false">IF($A1239="","",IF(N(M1239)=0,"–",IF(M1239&lt;=Start!$D$20,"A",IF(M1239&lt;=Start!$D$21,"B","C"))))</f>
        <v/>
      </c>
      <c r="O1239" s="48" t="str">
        <f aca="false">IF($A1239="","",IF(NOT(ISNUMBER(F1239)),"Wert fehlt; ",IF(F1239&lt;=0,"Wert ist 0; ",""))&amp;IF(NOT(ISNUMBER(E1239)),"Bestand fehlt; ",IF(E1239&lt;0,"Bestand negativ; ",IF(E1239=0,"Nullbestand; ","")))&amp;IF(D1239="","Warengruppe fehlt; ","")&amp;IF(B1239="","Bezeichnung fehlt; ","")&amp;IF(COUNTIFS($A$2:$A$5001,$A1239,$C$2:$C$5001,C1239)&gt;1,"Artikel doppelt im selben Lager; ",""))</f>
        <v/>
      </c>
      <c r="P1239" s="47" t="n">
        <f aca="false">IF(OR($A1239="",D1239=""),0,IF(COUNTIF($D$2:D1239,D1239)=1,SUMIF($D$2:$D$5001,D1239,$H$2:$H$5001)+ROW()/10000000,0))</f>
        <v>0</v>
      </c>
      <c r="Q1239" s="47" t="n">
        <f aca="false">IF(OR($A1239="",C1239=""),0,IF(COUNTIF($C$2:C1239,C1239)=1,SUMIF($C$2:$C$5001,C1239,$H$2:$H$5001)+ROW()/10000000,0))</f>
        <v>0</v>
      </c>
    </row>
    <row r="1240" customFormat="false" ht="15" hidden="false" customHeight="false" outlineLevel="0" collapsed="false">
      <c r="A1240" s="43"/>
      <c r="B1240" s="44"/>
      <c r="C1240" s="44"/>
      <c r="D1240" s="44"/>
      <c r="E1240" s="44"/>
      <c r="F1240" s="44"/>
      <c r="G1240" s="44"/>
      <c r="H1240" s="46" t="str">
        <f aca="false">IF($A1240="","",IF(OR(NOT(ISNUMBER(E1240)),NOT(ISNUMBER(F1240))),"",MAX(0,E1240)*F1240))</f>
        <v/>
      </c>
      <c r="I1240" s="46" t="str">
        <f aca="false">IF($A1240="","",SUMIF($A$2:$A$5001,$A1240,$H$2:$H$5001))</f>
        <v/>
      </c>
      <c r="J1240" s="47" t="n">
        <f aca="false">IF($A1240="",0,IF(COUNTIF($A$2:A1240,$A1240)=1,1,0))</f>
        <v>0</v>
      </c>
      <c r="K1240" s="47" t="n">
        <f aca="false">IF(J1240=1,N(I1240)+ROW()/10000000,0)</f>
        <v>0</v>
      </c>
      <c r="L1240" s="47" t="str">
        <f aca="false">IF(AND(J1240=1,N(I1240)&gt;0),SUMIF($K$2:$K$5001,"&gt;="&amp;K1240,$I$2:$I$5001)/MAX(1,SUM($H$2:$H$5001)),"")</f>
        <v/>
      </c>
      <c r="M1240" s="47" t="str">
        <f aca="false">IF($A1240="","",INDEX($L$2:$L$5001,MATCH($A1240,$A$2:$A$5001,0)))</f>
        <v/>
      </c>
      <c r="N1240" s="48" t="str">
        <f aca="false">IF($A1240="","",IF(N(M1240)=0,"–",IF(M1240&lt;=Start!$D$20,"A",IF(M1240&lt;=Start!$D$21,"B","C"))))</f>
        <v/>
      </c>
      <c r="O1240" s="48" t="str">
        <f aca="false">IF($A1240="","",IF(NOT(ISNUMBER(F1240)),"Wert fehlt; ",IF(F1240&lt;=0,"Wert ist 0; ",""))&amp;IF(NOT(ISNUMBER(E1240)),"Bestand fehlt; ",IF(E1240&lt;0,"Bestand negativ; ",IF(E1240=0,"Nullbestand; ","")))&amp;IF(D1240="","Warengruppe fehlt; ","")&amp;IF(B1240="","Bezeichnung fehlt; ","")&amp;IF(COUNTIFS($A$2:$A$5001,$A1240,$C$2:$C$5001,C1240)&gt;1,"Artikel doppelt im selben Lager; ",""))</f>
        <v/>
      </c>
      <c r="P1240" s="47" t="n">
        <f aca="false">IF(OR($A1240="",D1240=""),0,IF(COUNTIF($D$2:D1240,D1240)=1,SUMIF($D$2:$D$5001,D1240,$H$2:$H$5001)+ROW()/10000000,0))</f>
        <v>0</v>
      </c>
      <c r="Q1240" s="47" t="n">
        <f aca="false">IF(OR($A1240="",C1240=""),0,IF(COUNTIF($C$2:C1240,C1240)=1,SUMIF($C$2:$C$5001,C1240,$H$2:$H$5001)+ROW()/10000000,0))</f>
        <v>0</v>
      </c>
    </row>
    <row r="1241" customFormat="false" ht="15" hidden="false" customHeight="false" outlineLevel="0" collapsed="false">
      <c r="A1241" s="43"/>
      <c r="B1241" s="44"/>
      <c r="C1241" s="44"/>
      <c r="D1241" s="44"/>
      <c r="E1241" s="44"/>
      <c r="F1241" s="44"/>
      <c r="G1241" s="44"/>
      <c r="H1241" s="46" t="str">
        <f aca="false">IF($A1241="","",IF(OR(NOT(ISNUMBER(E1241)),NOT(ISNUMBER(F1241))),"",MAX(0,E1241)*F1241))</f>
        <v/>
      </c>
      <c r="I1241" s="46" t="str">
        <f aca="false">IF($A1241="","",SUMIF($A$2:$A$5001,$A1241,$H$2:$H$5001))</f>
        <v/>
      </c>
      <c r="J1241" s="47" t="n">
        <f aca="false">IF($A1241="",0,IF(COUNTIF($A$2:A1241,$A1241)=1,1,0))</f>
        <v>0</v>
      </c>
      <c r="K1241" s="47" t="n">
        <f aca="false">IF(J1241=1,N(I1241)+ROW()/10000000,0)</f>
        <v>0</v>
      </c>
      <c r="L1241" s="47" t="str">
        <f aca="false">IF(AND(J1241=1,N(I1241)&gt;0),SUMIF($K$2:$K$5001,"&gt;="&amp;K1241,$I$2:$I$5001)/MAX(1,SUM($H$2:$H$5001)),"")</f>
        <v/>
      </c>
      <c r="M1241" s="47" t="str">
        <f aca="false">IF($A1241="","",INDEX($L$2:$L$5001,MATCH($A1241,$A$2:$A$5001,0)))</f>
        <v/>
      </c>
      <c r="N1241" s="48" t="str">
        <f aca="false">IF($A1241="","",IF(N(M1241)=0,"–",IF(M1241&lt;=Start!$D$20,"A",IF(M1241&lt;=Start!$D$21,"B","C"))))</f>
        <v/>
      </c>
      <c r="O1241" s="48" t="str">
        <f aca="false">IF($A1241="","",IF(NOT(ISNUMBER(F1241)),"Wert fehlt; ",IF(F1241&lt;=0,"Wert ist 0; ",""))&amp;IF(NOT(ISNUMBER(E1241)),"Bestand fehlt; ",IF(E1241&lt;0,"Bestand negativ; ",IF(E1241=0,"Nullbestand; ","")))&amp;IF(D1241="","Warengruppe fehlt; ","")&amp;IF(B1241="","Bezeichnung fehlt; ","")&amp;IF(COUNTIFS($A$2:$A$5001,$A1241,$C$2:$C$5001,C1241)&gt;1,"Artikel doppelt im selben Lager; ",""))</f>
        <v/>
      </c>
      <c r="P1241" s="47" t="n">
        <f aca="false">IF(OR($A1241="",D1241=""),0,IF(COUNTIF($D$2:D1241,D1241)=1,SUMIF($D$2:$D$5001,D1241,$H$2:$H$5001)+ROW()/10000000,0))</f>
        <v>0</v>
      </c>
      <c r="Q1241" s="47" t="n">
        <f aca="false">IF(OR($A1241="",C1241=""),0,IF(COUNTIF($C$2:C1241,C1241)=1,SUMIF($C$2:$C$5001,C1241,$H$2:$H$5001)+ROW()/10000000,0))</f>
        <v>0</v>
      </c>
    </row>
    <row r="1242" customFormat="false" ht="15" hidden="false" customHeight="false" outlineLevel="0" collapsed="false">
      <c r="A1242" s="43"/>
      <c r="B1242" s="44"/>
      <c r="C1242" s="44"/>
      <c r="D1242" s="44"/>
      <c r="E1242" s="44"/>
      <c r="F1242" s="44"/>
      <c r="G1242" s="44"/>
      <c r="H1242" s="46" t="str">
        <f aca="false">IF($A1242="","",IF(OR(NOT(ISNUMBER(E1242)),NOT(ISNUMBER(F1242))),"",MAX(0,E1242)*F1242))</f>
        <v/>
      </c>
      <c r="I1242" s="46" t="str">
        <f aca="false">IF($A1242="","",SUMIF($A$2:$A$5001,$A1242,$H$2:$H$5001))</f>
        <v/>
      </c>
      <c r="J1242" s="47" t="n">
        <f aca="false">IF($A1242="",0,IF(COUNTIF($A$2:A1242,$A1242)=1,1,0))</f>
        <v>0</v>
      </c>
      <c r="K1242" s="47" t="n">
        <f aca="false">IF(J1242=1,N(I1242)+ROW()/10000000,0)</f>
        <v>0</v>
      </c>
      <c r="L1242" s="47" t="str">
        <f aca="false">IF(AND(J1242=1,N(I1242)&gt;0),SUMIF($K$2:$K$5001,"&gt;="&amp;K1242,$I$2:$I$5001)/MAX(1,SUM($H$2:$H$5001)),"")</f>
        <v/>
      </c>
      <c r="M1242" s="47" t="str">
        <f aca="false">IF($A1242="","",INDEX($L$2:$L$5001,MATCH($A1242,$A$2:$A$5001,0)))</f>
        <v/>
      </c>
      <c r="N1242" s="48" t="str">
        <f aca="false">IF($A1242="","",IF(N(M1242)=0,"–",IF(M1242&lt;=Start!$D$20,"A",IF(M1242&lt;=Start!$D$21,"B","C"))))</f>
        <v/>
      </c>
      <c r="O1242" s="48" t="str">
        <f aca="false">IF($A1242="","",IF(NOT(ISNUMBER(F1242)),"Wert fehlt; ",IF(F1242&lt;=0,"Wert ist 0; ",""))&amp;IF(NOT(ISNUMBER(E1242)),"Bestand fehlt; ",IF(E1242&lt;0,"Bestand negativ; ",IF(E1242=0,"Nullbestand; ","")))&amp;IF(D1242="","Warengruppe fehlt; ","")&amp;IF(B1242="","Bezeichnung fehlt; ","")&amp;IF(COUNTIFS($A$2:$A$5001,$A1242,$C$2:$C$5001,C1242)&gt;1,"Artikel doppelt im selben Lager; ",""))</f>
        <v/>
      </c>
      <c r="P1242" s="47" t="n">
        <f aca="false">IF(OR($A1242="",D1242=""),0,IF(COUNTIF($D$2:D1242,D1242)=1,SUMIF($D$2:$D$5001,D1242,$H$2:$H$5001)+ROW()/10000000,0))</f>
        <v>0</v>
      </c>
      <c r="Q1242" s="47" t="n">
        <f aca="false">IF(OR($A1242="",C1242=""),0,IF(COUNTIF($C$2:C1242,C1242)=1,SUMIF($C$2:$C$5001,C1242,$H$2:$H$5001)+ROW()/10000000,0))</f>
        <v>0</v>
      </c>
    </row>
    <row r="1243" customFormat="false" ht="15" hidden="false" customHeight="false" outlineLevel="0" collapsed="false">
      <c r="A1243" s="43"/>
      <c r="B1243" s="44"/>
      <c r="C1243" s="44"/>
      <c r="D1243" s="44"/>
      <c r="E1243" s="44"/>
      <c r="F1243" s="44"/>
      <c r="G1243" s="44"/>
      <c r="H1243" s="46" t="str">
        <f aca="false">IF($A1243="","",IF(OR(NOT(ISNUMBER(E1243)),NOT(ISNUMBER(F1243))),"",MAX(0,E1243)*F1243))</f>
        <v/>
      </c>
      <c r="I1243" s="46" t="str">
        <f aca="false">IF($A1243="","",SUMIF($A$2:$A$5001,$A1243,$H$2:$H$5001))</f>
        <v/>
      </c>
      <c r="J1243" s="47" t="n">
        <f aca="false">IF($A1243="",0,IF(COUNTIF($A$2:A1243,$A1243)=1,1,0))</f>
        <v>0</v>
      </c>
      <c r="K1243" s="47" t="n">
        <f aca="false">IF(J1243=1,N(I1243)+ROW()/10000000,0)</f>
        <v>0</v>
      </c>
      <c r="L1243" s="47" t="str">
        <f aca="false">IF(AND(J1243=1,N(I1243)&gt;0),SUMIF($K$2:$K$5001,"&gt;="&amp;K1243,$I$2:$I$5001)/MAX(1,SUM($H$2:$H$5001)),"")</f>
        <v/>
      </c>
      <c r="M1243" s="47" t="str">
        <f aca="false">IF($A1243="","",INDEX($L$2:$L$5001,MATCH($A1243,$A$2:$A$5001,0)))</f>
        <v/>
      </c>
      <c r="N1243" s="48" t="str">
        <f aca="false">IF($A1243="","",IF(N(M1243)=0,"–",IF(M1243&lt;=Start!$D$20,"A",IF(M1243&lt;=Start!$D$21,"B","C"))))</f>
        <v/>
      </c>
      <c r="O1243" s="48" t="str">
        <f aca="false">IF($A1243="","",IF(NOT(ISNUMBER(F1243)),"Wert fehlt; ",IF(F1243&lt;=0,"Wert ist 0; ",""))&amp;IF(NOT(ISNUMBER(E1243)),"Bestand fehlt; ",IF(E1243&lt;0,"Bestand negativ; ",IF(E1243=0,"Nullbestand; ","")))&amp;IF(D1243="","Warengruppe fehlt; ","")&amp;IF(B1243="","Bezeichnung fehlt; ","")&amp;IF(COUNTIFS($A$2:$A$5001,$A1243,$C$2:$C$5001,C1243)&gt;1,"Artikel doppelt im selben Lager; ",""))</f>
        <v/>
      </c>
      <c r="P1243" s="47" t="n">
        <f aca="false">IF(OR($A1243="",D1243=""),0,IF(COUNTIF($D$2:D1243,D1243)=1,SUMIF($D$2:$D$5001,D1243,$H$2:$H$5001)+ROW()/10000000,0))</f>
        <v>0</v>
      </c>
      <c r="Q1243" s="47" t="n">
        <f aca="false">IF(OR($A1243="",C1243=""),0,IF(COUNTIF($C$2:C1243,C1243)=1,SUMIF($C$2:$C$5001,C1243,$H$2:$H$5001)+ROW()/10000000,0))</f>
        <v>0</v>
      </c>
    </row>
    <row r="1244" customFormat="false" ht="15" hidden="false" customHeight="false" outlineLevel="0" collapsed="false">
      <c r="A1244" s="43"/>
      <c r="B1244" s="44"/>
      <c r="C1244" s="44"/>
      <c r="D1244" s="44"/>
      <c r="E1244" s="44"/>
      <c r="F1244" s="44"/>
      <c r="G1244" s="44"/>
      <c r="H1244" s="46" t="str">
        <f aca="false">IF($A1244="","",IF(OR(NOT(ISNUMBER(E1244)),NOT(ISNUMBER(F1244))),"",MAX(0,E1244)*F1244))</f>
        <v/>
      </c>
      <c r="I1244" s="46" t="str">
        <f aca="false">IF($A1244="","",SUMIF($A$2:$A$5001,$A1244,$H$2:$H$5001))</f>
        <v/>
      </c>
      <c r="J1244" s="47" t="n">
        <f aca="false">IF($A1244="",0,IF(COUNTIF($A$2:A1244,$A1244)=1,1,0))</f>
        <v>0</v>
      </c>
      <c r="K1244" s="47" t="n">
        <f aca="false">IF(J1244=1,N(I1244)+ROW()/10000000,0)</f>
        <v>0</v>
      </c>
      <c r="L1244" s="47" t="str">
        <f aca="false">IF(AND(J1244=1,N(I1244)&gt;0),SUMIF($K$2:$K$5001,"&gt;="&amp;K1244,$I$2:$I$5001)/MAX(1,SUM($H$2:$H$5001)),"")</f>
        <v/>
      </c>
      <c r="M1244" s="47" t="str">
        <f aca="false">IF($A1244="","",INDEX($L$2:$L$5001,MATCH($A1244,$A$2:$A$5001,0)))</f>
        <v/>
      </c>
      <c r="N1244" s="48" t="str">
        <f aca="false">IF($A1244="","",IF(N(M1244)=0,"–",IF(M1244&lt;=Start!$D$20,"A",IF(M1244&lt;=Start!$D$21,"B","C"))))</f>
        <v/>
      </c>
      <c r="O1244" s="48" t="str">
        <f aca="false">IF($A1244="","",IF(NOT(ISNUMBER(F1244)),"Wert fehlt; ",IF(F1244&lt;=0,"Wert ist 0; ",""))&amp;IF(NOT(ISNUMBER(E1244)),"Bestand fehlt; ",IF(E1244&lt;0,"Bestand negativ; ",IF(E1244=0,"Nullbestand; ","")))&amp;IF(D1244="","Warengruppe fehlt; ","")&amp;IF(B1244="","Bezeichnung fehlt; ","")&amp;IF(COUNTIFS($A$2:$A$5001,$A1244,$C$2:$C$5001,C1244)&gt;1,"Artikel doppelt im selben Lager; ",""))</f>
        <v/>
      </c>
      <c r="P1244" s="47" t="n">
        <f aca="false">IF(OR($A1244="",D1244=""),0,IF(COUNTIF($D$2:D1244,D1244)=1,SUMIF($D$2:$D$5001,D1244,$H$2:$H$5001)+ROW()/10000000,0))</f>
        <v>0</v>
      </c>
      <c r="Q1244" s="47" t="n">
        <f aca="false">IF(OR($A1244="",C1244=""),0,IF(COUNTIF($C$2:C1244,C1244)=1,SUMIF($C$2:$C$5001,C1244,$H$2:$H$5001)+ROW()/10000000,0))</f>
        <v>0</v>
      </c>
    </row>
    <row r="1245" customFormat="false" ht="15" hidden="false" customHeight="false" outlineLevel="0" collapsed="false">
      <c r="A1245" s="43"/>
      <c r="B1245" s="44"/>
      <c r="C1245" s="44"/>
      <c r="D1245" s="44"/>
      <c r="E1245" s="44"/>
      <c r="F1245" s="44"/>
      <c r="G1245" s="44"/>
      <c r="H1245" s="46" t="str">
        <f aca="false">IF($A1245="","",IF(OR(NOT(ISNUMBER(E1245)),NOT(ISNUMBER(F1245))),"",MAX(0,E1245)*F1245))</f>
        <v/>
      </c>
      <c r="I1245" s="46" t="str">
        <f aca="false">IF($A1245="","",SUMIF($A$2:$A$5001,$A1245,$H$2:$H$5001))</f>
        <v/>
      </c>
      <c r="J1245" s="47" t="n">
        <f aca="false">IF($A1245="",0,IF(COUNTIF($A$2:A1245,$A1245)=1,1,0))</f>
        <v>0</v>
      </c>
      <c r="K1245" s="47" t="n">
        <f aca="false">IF(J1245=1,N(I1245)+ROW()/10000000,0)</f>
        <v>0</v>
      </c>
      <c r="L1245" s="47" t="str">
        <f aca="false">IF(AND(J1245=1,N(I1245)&gt;0),SUMIF($K$2:$K$5001,"&gt;="&amp;K1245,$I$2:$I$5001)/MAX(1,SUM($H$2:$H$5001)),"")</f>
        <v/>
      </c>
      <c r="M1245" s="47" t="str">
        <f aca="false">IF($A1245="","",INDEX($L$2:$L$5001,MATCH($A1245,$A$2:$A$5001,0)))</f>
        <v/>
      </c>
      <c r="N1245" s="48" t="str">
        <f aca="false">IF($A1245="","",IF(N(M1245)=0,"–",IF(M1245&lt;=Start!$D$20,"A",IF(M1245&lt;=Start!$D$21,"B","C"))))</f>
        <v/>
      </c>
      <c r="O1245" s="48" t="str">
        <f aca="false">IF($A1245="","",IF(NOT(ISNUMBER(F1245)),"Wert fehlt; ",IF(F1245&lt;=0,"Wert ist 0; ",""))&amp;IF(NOT(ISNUMBER(E1245)),"Bestand fehlt; ",IF(E1245&lt;0,"Bestand negativ; ",IF(E1245=0,"Nullbestand; ","")))&amp;IF(D1245="","Warengruppe fehlt; ","")&amp;IF(B1245="","Bezeichnung fehlt; ","")&amp;IF(COUNTIFS($A$2:$A$5001,$A1245,$C$2:$C$5001,C1245)&gt;1,"Artikel doppelt im selben Lager; ",""))</f>
        <v/>
      </c>
      <c r="P1245" s="47" t="n">
        <f aca="false">IF(OR($A1245="",D1245=""),0,IF(COUNTIF($D$2:D1245,D1245)=1,SUMIF($D$2:$D$5001,D1245,$H$2:$H$5001)+ROW()/10000000,0))</f>
        <v>0</v>
      </c>
      <c r="Q1245" s="47" t="n">
        <f aca="false">IF(OR($A1245="",C1245=""),0,IF(COUNTIF($C$2:C1245,C1245)=1,SUMIF($C$2:$C$5001,C1245,$H$2:$H$5001)+ROW()/10000000,0))</f>
        <v>0</v>
      </c>
    </row>
    <row r="1246" customFormat="false" ht="15" hidden="false" customHeight="false" outlineLevel="0" collapsed="false">
      <c r="A1246" s="43"/>
      <c r="B1246" s="44"/>
      <c r="C1246" s="44"/>
      <c r="D1246" s="44"/>
      <c r="E1246" s="44"/>
      <c r="F1246" s="44"/>
      <c r="G1246" s="44"/>
      <c r="H1246" s="46" t="str">
        <f aca="false">IF($A1246="","",IF(OR(NOT(ISNUMBER(E1246)),NOT(ISNUMBER(F1246))),"",MAX(0,E1246)*F1246))</f>
        <v/>
      </c>
      <c r="I1246" s="46" t="str">
        <f aca="false">IF($A1246="","",SUMIF($A$2:$A$5001,$A1246,$H$2:$H$5001))</f>
        <v/>
      </c>
      <c r="J1246" s="47" t="n">
        <f aca="false">IF($A1246="",0,IF(COUNTIF($A$2:A1246,$A1246)=1,1,0))</f>
        <v>0</v>
      </c>
      <c r="K1246" s="47" t="n">
        <f aca="false">IF(J1246=1,N(I1246)+ROW()/10000000,0)</f>
        <v>0</v>
      </c>
      <c r="L1246" s="47" t="str">
        <f aca="false">IF(AND(J1246=1,N(I1246)&gt;0),SUMIF($K$2:$K$5001,"&gt;="&amp;K1246,$I$2:$I$5001)/MAX(1,SUM($H$2:$H$5001)),"")</f>
        <v/>
      </c>
      <c r="M1246" s="47" t="str">
        <f aca="false">IF($A1246="","",INDEX($L$2:$L$5001,MATCH($A1246,$A$2:$A$5001,0)))</f>
        <v/>
      </c>
      <c r="N1246" s="48" t="str">
        <f aca="false">IF($A1246="","",IF(N(M1246)=0,"–",IF(M1246&lt;=Start!$D$20,"A",IF(M1246&lt;=Start!$D$21,"B","C"))))</f>
        <v/>
      </c>
      <c r="O1246" s="48" t="str">
        <f aca="false">IF($A1246="","",IF(NOT(ISNUMBER(F1246)),"Wert fehlt; ",IF(F1246&lt;=0,"Wert ist 0; ",""))&amp;IF(NOT(ISNUMBER(E1246)),"Bestand fehlt; ",IF(E1246&lt;0,"Bestand negativ; ",IF(E1246=0,"Nullbestand; ","")))&amp;IF(D1246="","Warengruppe fehlt; ","")&amp;IF(B1246="","Bezeichnung fehlt; ","")&amp;IF(COUNTIFS($A$2:$A$5001,$A1246,$C$2:$C$5001,C1246)&gt;1,"Artikel doppelt im selben Lager; ",""))</f>
        <v/>
      </c>
      <c r="P1246" s="47" t="n">
        <f aca="false">IF(OR($A1246="",D1246=""),0,IF(COUNTIF($D$2:D1246,D1246)=1,SUMIF($D$2:$D$5001,D1246,$H$2:$H$5001)+ROW()/10000000,0))</f>
        <v>0</v>
      </c>
      <c r="Q1246" s="47" t="n">
        <f aca="false">IF(OR($A1246="",C1246=""),0,IF(COUNTIF($C$2:C1246,C1246)=1,SUMIF($C$2:$C$5001,C1246,$H$2:$H$5001)+ROW()/10000000,0))</f>
        <v>0</v>
      </c>
    </row>
    <row r="1247" customFormat="false" ht="15" hidden="false" customHeight="false" outlineLevel="0" collapsed="false">
      <c r="A1247" s="43"/>
      <c r="B1247" s="44"/>
      <c r="C1247" s="44"/>
      <c r="D1247" s="44"/>
      <c r="E1247" s="44"/>
      <c r="F1247" s="44"/>
      <c r="G1247" s="44"/>
      <c r="H1247" s="46" t="str">
        <f aca="false">IF($A1247="","",IF(OR(NOT(ISNUMBER(E1247)),NOT(ISNUMBER(F1247))),"",MAX(0,E1247)*F1247))</f>
        <v/>
      </c>
      <c r="I1247" s="46" t="str">
        <f aca="false">IF($A1247="","",SUMIF($A$2:$A$5001,$A1247,$H$2:$H$5001))</f>
        <v/>
      </c>
      <c r="J1247" s="47" t="n">
        <f aca="false">IF($A1247="",0,IF(COUNTIF($A$2:A1247,$A1247)=1,1,0))</f>
        <v>0</v>
      </c>
      <c r="K1247" s="47" t="n">
        <f aca="false">IF(J1247=1,N(I1247)+ROW()/10000000,0)</f>
        <v>0</v>
      </c>
      <c r="L1247" s="47" t="str">
        <f aca="false">IF(AND(J1247=1,N(I1247)&gt;0),SUMIF($K$2:$K$5001,"&gt;="&amp;K1247,$I$2:$I$5001)/MAX(1,SUM($H$2:$H$5001)),"")</f>
        <v/>
      </c>
      <c r="M1247" s="47" t="str">
        <f aca="false">IF($A1247="","",INDEX($L$2:$L$5001,MATCH($A1247,$A$2:$A$5001,0)))</f>
        <v/>
      </c>
      <c r="N1247" s="48" t="str">
        <f aca="false">IF($A1247="","",IF(N(M1247)=0,"–",IF(M1247&lt;=Start!$D$20,"A",IF(M1247&lt;=Start!$D$21,"B","C"))))</f>
        <v/>
      </c>
      <c r="O1247" s="48" t="str">
        <f aca="false">IF($A1247="","",IF(NOT(ISNUMBER(F1247)),"Wert fehlt; ",IF(F1247&lt;=0,"Wert ist 0; ",""))&amp;IF(NOT(ISNUMBER(E1247)),"Bestand fehlt; ",IF(E1247&lt;0,"Bestand negativ; ",IF(E1247=0,"Nullbestand; ","")))&amp;IF(D1247="","Warengruppe fehlt; ","")&amp;IF(B1247="","Bezeichnung fehlt; ","")&amp;IF(COUNTIFS($A$2:$A$5001,$A1247,$C$2:$C$5001,C1247)&gt;1,"Artikel doppelt im selben Lager; ",""))</f>
        <v/>
      </c>
      <c r="P1247" s="47" t="n">
        <f aca="false">IF(OR($A1247="",D1247=""),0,IF(COUNTIF($D$2:D1247,D1247)=1,SUMIF($D$2:$D$5001,D1247,$H$2:$H$5001)+ROW()/10000000,0))</f>
        <v>0</v>
      </c>
      <c r="Q1247" s="47" t="n">
        <f aca="false">IF(OR($A1247="",C1247=""),0,IF(COUNTIF($C$2:C1247,C1247)=1,SUMIF($C$2:$C$5001,C1247,$H$2:$H$5001)+ROW()/10000000,0))</f>
        <v>0</v>
      </c>
    </row>
    <row r="1248" customFormat="false" ht="15" hidden="false" customHeight="false" outlineLevel="0" collapsed="false">
      <c r="A1248" s="43"/>
      <c r="B1248" s="44"/>
      <c r="C1248" s="44"/>
      <c r="D1248" s="44"/>
      <c r="E1248" s="44"/>
      <c r="F1248" s="44"/>
      <c r="G1248" s="44"/>
      <c r="H1248" s="46" t="str">
        <f aca="false">IF($A1248="","",IF(OR(NOT(ISNUMBER(E1248)),NOT(ISNUMBER(F1248))),"",MAX(0,E1248)*F1248))</f>
        <v/>
      </c>
      <c r="I1248" s="46" t="str">
        <f aca="false">IF($A1248="","",SUMIF($A$2:$A$5001,$A1248,$H$2:$H$5001))</f>
        <v/>
      </c>
      <c r="J1248" s="47" t="n">
        <f aca="false">IF($A1248="",0,IF(COUNTIF($A$2:A1248,$A1248)=1,1,0))</f>
        <v>0</v>
      </c>
      <c r="K1248" s="47" t="n">
        <f aca="false">IF(J1248=1,N(I1248)+ROW()/10000000,0)</f>
        <v>0</v>
      </c>
      <c r="L1248" s="47" t="str">
        <f aca="false">IF(AND(J1248=1,N(I1248)&gt;0),SUMIF($K$2:$K$5001,"&gt;="&amp;K1248,$I$2:$I$5001)/MAX(1,SUM($H$2:$H$5001)),"")</f>
        <v/>
      </c>
      <c r="M1248" s="47" t="str">
        <f aca="false">IF($A1248="","",INDEX($L$2:$L$5001,MATCH($A1248,$A$2:$A$5001,0)))</f>
        <v/>
      </c>
      <c r="N1248" s="48" t="str">
        <f aca="false">IF($A1248="","",IF(N(M1248)=0,"–",IF(M1248&lt;=Start!$D$20,"A",IF(M1248&lt;=Start!$D$21,"B","C"))))</f>
        <v/>
      </c>
      <c r="O1248" s="48" t="str">
        <f aca="false">IF($A1248="","",IF(NOT(ISNUMBER(F1248)),"Wert fehlt; ",IF(F1248&lt;=0,"Wert ist 0; ",""))&amp;IF(NOT(ISNUMBER(E1248)),"Bestand fehlt; ",IF(E1248&lt;0,"Bestand negativ; ",IF(E1248=0,"Nullbestand; ","")))&amp;IF(D1248="","Warengruppe fehlt; ","")&amp;IF(B1248="","Bezeichnung fehlt; ","")&amp;IF(COUNTIFS($A$2:$A$5001,$A1248,$C$2:$C$5001,C1248)&gt;1,"Artikel doppelt im selben Lager; ",""))</f>
        <v/>
      </c>
      <c r="P1248" s="47" t="n">
        <f aca="false">IF(OR($A1248="",D1248=""),0,IF(COUNTIF($D$2:D1248,D1248)=1,SUMIF($D$2:$D$5001,D1248,$H$2:$H$5001)+ROW()/10000000,0))</f>
        <v>0</v>
      </c>
      <c r="Q1248" s="47" t="n">
        <f aca="false">IF(OR($A1248="",C1248=""),0,IF(COUNTIF($C$2:C1248,C1248)=1,SUMIF($C$2:$C$5001,C1248,$H$2:$H$5001)+ROW()/10000000,0))</f>
        <v>0</v>
      </c>
    </row>
    <row r="1249" customFormat="false" ht="15" hidden="false" customHeight="false" outlineLevel="0" collapsed="false">
      <c r="A1249" s="43"/>
      <c r="B1249" s="44"/>
      <c r="C1249" s="44"/>
      <c r="D1249" s="44"/>
      <c r="E1249" s="44"/>
      <c r="F1249" s="44"/>
      <c r="G1249" s="44"/>
      <c r="H1249" s="46" t="str">
        <f aca="false">IF($A1249="","",IF(OR(NOT(ISNUMBER(E1249)),NOT(ISNUMBER(F1249))),"",MAX(0,E1249)*F1249))</f>
        <v/>
      </c>
      <c r="I1249" s="46" t="str">
        <f aca="false">IF($A1249="","",SUMIF($A$2:$A$5001,$A1249,$H$2:$H$5001))</f>
        <v/>
      </c>
      <c r="J1249" s="47" t="n">
        <f aca="false">IF($A1249="",0,IF(COUNTIF($A$2:A1249,$A1249)=1,1,0))</f>
        <v>0</v>
      </c>
      <c r="K1249" s="47" t="n">
        <f aca="false">IF(J1249=1,N(I1249)+ROW()/10000000,0)</f>
        <v>0</v>
      </c>
      <c r="L1249" s="47" t="str">
        <f aca="false">IF(AND(J1249=1,N(I1249)&gt;0),SUMIF($K$2:$K$5001,"&gt;="&amp;K1249,$I$2:$I$5001)/MAX(1,SUM($H$2:$H$5001)),"")</f>
        <v/>
      </c>
      <c r="M1249" s="47" t="str">
        <f aca="false">IF($A1249="","",INDEX($L$2:$L$5001,MATCH($A1249,$A$2:$A$5001,0)))</f>
        <v/>
      </c>
      <c r="N1249" s="48" t="str">
        <f aca="false">IF($A1249="","",IF(N(M1249)=0,"–",IF(M1249&lt;=Start!$D$20,"A",IF(M1249&lt;=Start!$D$21,"B","C"))))</f>
        <v/>
      </c>
      <c r="O1249" s="48" t="str">
        <f aca="false">IF($A1249="","",IF(NOT(ISNUMBER(F1249)),"Wert fehlt; ",IF(F1249&lt;=0,"Wert ist 0; ",""))&amp;IF(NOT(ISNUMBER(E1249)),"Bestand fehlt; ",IF(E1249&lt;0,"Bestand negativ; ",IF(E1249=0,"Nullbestand; ","")))&amp;IF(D1249="","Warengruppe fehlt; ","")&amp;IF(B1249="","Bezeichnung fehlt; ","")&amp;IF(COUNTIFS($A$2:$A$5001,$A1249,$C$2:$C$5001,C1249)&gt;1,"Artikel doppelt im selben Lager; ",""))</f>
        <v/>
      </c>
      <c r="P1249" s="47" t="n">
        <f aca="false">IF(OR($A1249="",D1249=""),0,IF(COUNTIF($D$2:D1249,D1249)=1,SUMIF($D$2:$D$5001,D1249,$H$2:$H$5001)+ROW()/10000000,0))</f>
        <v>0</v>
      </c>
      <c r="Q1249" s="47" t="n">
        <f aca="false">IF(OR($A1249="",C1249=""),0,IF(COUNTIF($C$2:C1249,C1249)=1,SUMIF($C$2:$C$5001,C1249,$H$2:$H$5001)+ROW()/10000000,0))</f>
        <v>0</v>
      </c>
    </row>
    <row r="1250" customFormat="false" ht="15" hidden="false" customHeight="false" outlineLevel="0" collapsed="false">
      <c r="A1250" s="43"/>
      <c r="B1250" s="44"/>
      <c r="C1250" s="44"/>
      <c r="D1250" s="44"/>
      <c r="E1250" s="44"/>
      <c r="F1250" s="44"/>
      <c r="G1250" s="44"/>
      <c r="H1250" s="46" t="str">
        <f aca="false">IF($A1250="","",IF(OR(NOT(ISNUMBER(E1250)),NOT(ISNUMBER(F1250))),"",MAX(0,E1250)*F1250))</f>
        <v/>
      </c>
      <c r="I1250" s="46" t="str">
        <f aca="false">IF($A1250="","",SUMIF($A$2:$A$5001,$A1250,$H$2:$H$5001))</f>
        <v/>
      </c>
      <c r="J1250" s="47" t="n">
        <f aca="false">IF($A1250="",0,IF(COUNTIF($A$2:A1250,$A1250)=1,1,0))</f>
        <v>0</v>
      </c>
      <c r="K1250" s="47" t="n">
        <f aca="false">IF(J1250=1,N(I1250)+ROW()/10000000,0)</f>
        <v>0</v>
      </c>
      <c r="L1250" s="47" t="str">
        <f aca="false">IF(AND(J1250=1,N(I1250)&gt;0),SUMIF($K$2:$K$5001,"&gt;="&amp;K1250,$I$2:$I$5001)/MAX(1,SUM($H$2:$H$5001)),"")</f>
        <v/>
      </c>
      <c r="M1250" s="47" t="str">
        <f aca="false">IF($A1250="","",INDEX($L$2:$L$5001,MATCH($A1250,$A$2:$A$5001,0)))</f>
        <v/>
      </c>
      <c r="N1250" s="48" t="str">
        <f aca="false">IF($A1250="","",IF(N(M1250)=0,"–",IF(M1250&lt;=Start!$D$20,"A",IF(M1250&lt;=Start!$D$21,"B","C"))))</f>
        <v/>
      </c>
      <c r="O1250" s="48" t="str">
        <f aca="false">IF($A1250="","",IF(NOT(ISNUMBER(F1250)),"Wert fehlt; ",IF(F1250&lt;=0,"Wert ist 0; ",""))&amp;IF(NOT(ISNUMBER(E1250)),"Bestand fehlt; ",IF(E1250&lt;0,"Bestand negativ; ",IF(E1250=0,"Nullbestand; ","")))&amp;IF(D1250="","Warengruppe fehlt; ","")&amp;IF(B1250="","Bezeichnung fehlt; ","")&amp;IF(COUNTIFS($A$2:$A$5001,$A1250,$C$2:$C$5001,C1250)&gt;1,"Artikel doppelt im selben Lager; ",""))</f>
        <v/>
      </c>
      <c r="P1250" s="47" t="n">
        <f aca="false">IF(OR($A1250="",D1250=""),0,IF(COUNTIF($D$2:D1250,D1250)=1,SUMIF($D$2:$D$5001,D1250,$H$2:$H$5001)+ROW()/10000000,0))</f>
        <v>0</v>
      </c>
      <c r="Q1250" s="47" t="n">
        <f aca="false">IF(OR($A1250="",C1250=""),0,IF(COUNTIF($C$2:C1250,C1250)=1,SUMIF($C$2:$C$5001,C1250,$H$2:$H$5001)+ROW()/10000000,0))</f>
        <v>0</v>
      </c>
    </row>
    <row r="1251" customFormat="false" ht="15" hidden="false" customHeight="false" outlineLevel="0" collapsed="false">
      <c r="A1251" s="43"/>
      <c r="B1251" s="44"/>
      <c r="C1251" s="44"/>
      <c r="D1251" s="44"/>
      <c r="E1251" s="44"/>
      <c r="F1251" s="44"/>
      <c r="G1251" s="44"/>
      <c r="H1251" s="46" t="str">
        <f aca="false">IF($A1251="","",IF(OR(NOT(ISNUMBER(E1251)),NOT(ISNUMBER(F1251))),"",MAX(0,E1251)*F1251))</f>
        <v/>
      </c>
      <c r="I1251" s="46" t="str">
        <f aca="false">IF($A1251="","",SUMIF($A$2:$A$5001,$A1251,$H$2:$H$5001))</f>
        <v/>
      </c>
      <c r="J1251" s="47" t="n">
        <f aca="false">IF($A1251="",0,IF(COUNTIF($A$2:A1251,$A1251)=1,1,0))</f>
        <v>0</v>
      </c>
      <c r="K1251" s="47" t="n">
        <f aca="false">IF(J1251=1,N(I1251)+ROW()/10000000,0)</f>
        <v>0</v>
      </c>
      <c r="L1251" s="47" t="str">
        <f aca="false">IF(AND(J1251=1,N(I1251)&gt;0),SUMIF($K$2:$K$5001,"&gt;="&amp;K1251,$I$2:$I$5001)/MAX(1,SUM($H$2:$H$5001)),"")</f>
        <v/>
      </c>
      <c r="M1251" s="47" t="str">
        <f aca="false">IF($A1251="","",INDEX($L$2:$L$5001,MATCH($A1251,$A$2:$A$5001,0)))</f>
        <v/>
      </c>
      <c r="N1251" s="48" t="str">
        <f aca="false">IF($A1251="","",IF(N(M1251)=0,"–",IF(M1251&lt;=Start!$D$20,"A",IF(M1251&lt;=Start!$D$21,"B","C"))))</f>
        <v/>
      </c>
      <c r="O1251" s="48" t="str">
        <f aca="false">IF($A1251="","",IF(NOT(ISNUMBER(F1251)),"Wert fehlt; ",IF(F1251&lt;=0,"Wert ist 0; ",""))&amp;IF(NOT(ISNUMBER(E1251)),"Bestand fehlt; ",IF(E1251&lt;0,"Bestand negativ; ",IF(E1251=0,"Nullbestand; ","")))&amp;IF(D1251="","Warengruppe fehlt; ","")&amp;IF(B1251="","Bezeichnung fehlt; ","")&amp;IF(COUNTIFS($A$2:$A$5001,$A1251,$C$2:$C$5001,C1251)&gt;1,"Artikel doppelt im selben Lager; ",""))</f>
        <v/>
      </c>
      <c r="P1251" s="47" t="n">
        <f aca="false">IF(OR($A1251="",D1251=""),0,IF(COUNTIF($D$2:D1251,D1251)=1,SUMIF($D$2:$D$5001,D1251,$H$2:$H$5001)+ROW()/10000000,0))</f>
        <v>0</v>
      </c>
      <c r="Q1251" s="47" t="n">
        <f aca="false">IF(OR($A1251="",C1251=""),0,IF(COUNTIF($C$2:C1251,C1251)=1,SUMIF($C$2:$C$5001,C1251,$H$2:$H$5001)+ROW()/10000000,0))</f>
        <v>0</v>
      </c>
    </row>
    <row r="1252" customFormat="false" ht="15" hidden="false" customHeight="false" outlineLevel="0" collapsed="false">
      <c r="A1252" s="43"/>
      <c r="B1252" s="44"/>
      <c r="C1252" s="44"/>
      <c r="D1252" s="44"/>
      <c r="E1252" s="44"/>
      <c r="F1252" s="44"/>
      <c r="G1252" s="44"/>
      <c r="H1252" s="46" t="str">
        <f aca="false">IF($A1252="","",IF(OR(NOT(ISNUMBER(E1252)),NOT(ISNUMBER(F1252))),"",MAX(0,E1252)*F1252))</f>
        <v/>
      </c>
      <c r="I1252" s="46" t="str">
        <f aca="false">IF($A1252="","",SUMIF($A$2:$A$5001,$A1252,$H$2:$H$5001))</f>
        <v/>
      </c>
      <c r="J1252" s="47" t="n">
        <f aca="false">IF($A1252="",0,IF(COUNTIF($A$2:A1252,$A1252)=1,1,0))</f>
        <v>0</v>
      </c>
      <c r="K1252" s="47" t="n">
        <f aca="false">IF(J1252=1,N(I1252)+ROW()/10000000,0)</f>
        <v>0</v>
      </c>
      <c r="L1252" s="47" t="str">
        <f aca="false">IF(AND(J1252=1,N(I1252)&gt;0),SUMIF($K$2:$K$5001,"&gt;="&amp;K1252,$I$2:$I$5001)/MAX(1,SUM($H$2:$H$5001)),"")</f>
        <v/>
      </c>
      <c r="M1252" s="47" t="str">
        <f aca="false">IF($A1252="","",INDEX($L$2:$L$5001,MATCH($A1252,$A$2:$A$5001,0)))</f>
        <v/>
      </c>
      <c r="N1252" s="48" t="str">
        <f aca="false">IF($A1252="","",IF(N(M1252)=0,"–",IF(M1252&lt;=Start!$D$20,"A",IF(M1252&lt;=Start!$D$21,"B","C"))))</f>
        <v/>
      </c>
      <c r="O1252" s="48" t="str">
        <f aca="false">IF($A1252="","",IF(NOT(ISNUMBER(F1252)),"Wert fehlt; ",IF(F1252&lt;=0,"Wert ist 0; ",""))&amp;IF(NOT(ISNUMBER(E1252)),"Bestand fehlt; ",IF(E1252&lt;0,"Bestand negativ; ",IF(E1252=0,"Nullbestand; ","")))&amp;IF(D1252="","Warengruppe fehlt; ","")&amp;IF(B1252="","Bezeichnung fehlt; ","")&amp;IF(COUNTIFS($A$2:$A$5001,$A1252,$C$2:$C$5001,C1252)&gt;1,"Artikel doppelt im selben Lager; ",""))</f>
        <v/>
      </c>
      <c r="P1252" s="47" t="n">
        <f aca="false">IF(OR($A1252="",D1252=""),0,IF(COUNTIF($D$2:D1252,D1252)=1,SUMIF($D$2:$D$5001,D1252,$H$2:$H$5001)+ROW()/10000000,0))</f>
        <v>0</v>
      </c>
      <c r="Q1252" s="47" t="n">
        <f aca="false">IF(OR($A1252="",C1252=""),0,IF(COUNTIF($C$2:C1252,C1252)=1,SUMIF($C$2:$C$5001,C1252,$H$2:$H$5001)+ROW()/10000000,0))</f>
        <v>0</v>
      </c>
    </row>
    <row r="1253" customFormat="false" ht="15" hidden="false" customHeight="false" outlineLevel="0" collapsed="false">
      <c r="A1253" s="43"/>
      <c r="B1253" s="44"/>
      <c r="C1253" s="44"/>
      <c r="D1253" s="44"/>
      <c r="E1253" s="44"/>
      <c r="F1253" s="44"/>
      <c r="G1253" s="44"/>
      <c r="H1253" s="46" t="str">
        <f aca="false">IF($A1253="","",IF(OR(NOT(ISNUMBER(E1253)),NOT(ISNUMBER(F1253))),"",MAX(0,E1253)*F1253))</f>
        <v/>
      </c>
      <c r="I1253" s="46" t="str">
        <f aca="false">IF($A1253="","",SUMIF($A$2:$A$5001,$A1253,$H$2:$H$5001))</f>
        <v/>
      </c>
      <c r="J1253" s="47" t="n">
        <f aca="false">IF($A1253="",0,IF(COUNTIF($A$2:A1253,$A1253)=1,1,0))</f>
        <v>0</v>
      </c>
      <c r="K1253" s="47" t="n">
        <f aca="false">IF(J1253=1,N(I1253)+ROW()/10000000,0)</f>
        <v>0</v>
      </c>
      <c r="L1253" s="47" t="str">
        <f aca="false">IF(AND(J1253=1,N(I1253)&gt;0),SUMIF($K$2:$K$5001,"&gt;="&amp;K1253,$I$2:$I$5001)/MAX(1,SUM($H$2:$H$5001)),"")</f>
        <v/>
      </c>
      <c r="M1253" s="47" t="str">
        <f aca="false">IF($A1253="","",INDEX($L$2:$L$5001,MATCH($A1253,$A$2:$A$5001,0)))</f>
        <v/>
      </c>
      <c r="N1253" s="48" t="str">
        <f aca="false">IF($A1253="","",IF(N(M1253)=0,"–",IF(M1253&lt;=Start!$D$20,"A",IF(M1253&lt;=Start!$D$21,"B","C"))))</f>
        <v/>
      </c>
      <c r="O1253" s="48" t="str">
        <f aca="false">IF($A1253="","",IF(NOT(ISNUMBER(F1253)),"Wert fehlt; ",IF(F1253&lt;=0,"Wert ist 0; ",""))&amp;IF(NOT(ISNUMBER(E1253)),"Bestand fehlt; ",IF(E1253&lt;0,"Bestand negativ; ",IF(E1253=0,"Nullbestand; ","")))&amp;IF(D1253="","Warengruppe fehlt; ","")&amp;IF(B1253="","Bezeichnung fehlt; ","")&amp;IF(COUNTIFS($A$2:$A$5001,$A1253,$C$2:$C$5001,C1253)&gt;1,"Artikel doppelt im selben Lager; ",""))</f>
        <v/>
      </c>
      <c r="P1253" s="47" t="n">
        <f aca="false">IF(OR($A1253="",D1253=""),0,IF(COUNTIF($D$2:D1253,D1253)=1,SUMIF($D$2:$D$5001,D1253,$H$2:$H$5001)+ROW()/10000000,0))</f>
        <v>0</v>
      </c>
      <c r="Q1253" s="47" t="n">
        <f aca="false">IF(OR($A1253="",C1253=""),0,IF(COUNTIF($C$2:C1253,C1253)=1,SUMIF($C$2:$C$5001,C1253,$H$2:$H$5001)+ROW()/10000000,0))</f>
        <v>0</v>
      </c>
    </row>
    <row r="1254" customFormat="false" ht="15" hidden="false" customHeight="false" outlineLevel="0" collapsed="false">
      <c r="A1254" s="43"/>
      <c r="B1254" s="44"/>
      <c r="C1254" s="44"/>
      <c r="D1254" s="44"/>
      <c r="E1254" s="44"/>
      <c r="F1254" s="44"/>
      <c r="G1254" s="44"/>
      <c r="H1254" s="46" t="str">
        <f aca="false">IF($A1254="","",IF(OR(NOT(ISNUMBER(E1254)),NOT(ISNUMBER(F1254))),"",MAX(0,E1254)*F1254))</f>
        <v/>
      </c>
      <c r="I1254" s="46" t="str">
        <f aca="false">IF($A1254="","",SUMIF($A$2:$A$5001,$A1254,$H$2:$H$5001))</f>
        <v/>
      </c>
      <c r="J1254" s="47" t="n">
        <f aca="false">IF($A1254="",0,IF(COUNTIF($A$2:A1254,$A1254)=1,1,0))</f>
        <v>0</v>
      </c>
      <c r="K1254" s="47" t="n">
        <f aca="false">IF(J1254=1,N(I1254)+ROW()/10000000,0)</f>
        <v>0</v>
      </c>
      <c r="L1254" s="47" t="str">
        <f aca="false">IF(AND(J1254=1,N(I1254)&gt;0),SUMIF($K$2:$K$5001,"&gt;="&amp;K1254,$I$2:$I$5001)/MAX(1,SUM($H$2:$H$5001)),"")</f>
        <v/>
      </c>
      <c r="M1254" s="47" t="str">
        <f aca="false">IF($A1254="","",INDEX($L$2:$L$5001,MATCH($A1254,$A$2:$A$5001,0)))</f>
        <v/>
      </c>
      <c r="N1254" s="48" t="str">
        <f aca="false">IF($A1254="","",IF(N(M1254)=0,"–",IF(M1254&lt;=Start!$D$20,"A",IF(M1254&lt;=Start!$D$21,"B","C"))))</f>
        <v/>
      </c>
      <c r="O1254" s="48" t="str">
        <f aca="false">IF($A1254="","",IF(NOT(ISNUMBER(F1254)),"Wert fehlt; ",IF(F1254&lt;=0,"Wert ist 0; ",""))&amp;IF(NOT(ISNUMBER(E1254)),"Bestand fehlt; ",IF(E1254&lt;0,"Bestand negativ; ",IF(E1254=0,"Nullbestand; ","")))&amp;IF(D1254="","Warengruppe fehlt; ","")&amp;IF(B1254="","Bezeichnung fehlt; ","")&amp;IF(COUNTIFS($A$2:$A$5001,$A1254,$C$2:$C$5001,C1254)&gt;1,"Artikel doppelt im selben Lager; ",""))</f>
        <v/>
      </c>
      <c r="P1254" s="47" t="n">
        <f aca="false">IF(OR($A1254="",D1254=""),0,IF(COUNTIF($D$2:D1254,D1254)=1,SUMIF($D$2:$D$5001,D1254,$H$2:$H$5001)+ROW()/10000000,0))</f>
        <v>0</v>
      </c>
      <c r="Q1254" s="47" t="n">
        <f aca="false">IF(OR($A1254="",C1254=""),0,IF(COUNTIF($C$2:C1254,C1254)=1,SUMIF($C$2:$C$5001,C1254,$H$2:$H$5001)+ROW()/10000000,0))</f>
        <v>0</v>
      </c>
    </row>
    <row r="1255" customFormat="false" ht="15" hidden="false" customHeight="false" outlineLevel="0" collapsed="false">
      <c r="A1255" s="43"/>
      <c r="B1255" s="44"/>
      <c r="C1255" s="44"/>
      <c r="D1255" s="44"/>
      <c r="E1255" s="44"/>
      <c r="F1255" s="44"/>
      <c r="G1255" s="44"/>
      <c r="H1255" s="46" t="str">
        <f aca="false">IF($A1255="","",IF(OR(NOT(ISNUMBER(E1255)),NOT(ISNUMBER(F1255))),"",MAX(0,E1255)*F1255))</f>
        <v/>
      </c>
      <c r="I1255" s="46" t="str">
        <f aca="false">IF($A1255="","",SUMIF($A$2:$A$5001,$A1255,$H$2:$H$5001))</f>
        <v/>
      </c>
      <c r="J1255" s="47" t="n">
        <f aca="false">IF($A1255="",0,IF(COUNTIF($A$2:A1255,$A1255)=1,1,0))</f>
        <v>0</v>
      </c>
      <c r="K1255" s="47" t="n">
        <f aca="false">IF(J1255=1,N(I1255)+ROW()/10000000,0)</f>
        <v>0</v>
      </c>
      <c r="L1255" s="47" t="str">
        <f aca="false">IF(AND(J1255=1,N(I1255)&gt;0),SUMIF($K$2:$K$5001,"&gt;="&amp;K1255,$I$2:$I$5001)/MAX(1,SUM($H$2:$H$5001)),"")</f>
        <v/>
      </c>
      <c r="M1255" s="47" t="str">
        <f aca="false">IF($A1255="","",INDEX($L$2:$L$5001,MATCH($A1255,$A$2:$A$5001,0)))</f>
        <v/>
      </c>
      <c r="N1255" s="48" t="str">
        <f aca="false">IF($A1255="","",IF(N(M1255)=0,"–",IF(M1255&lt;=Start!$D$20,"A",IF(M1255&lt;=Start!$D$21,"B","C"))))</f>
        <v/>
      </c>
      <c r="O1255" s="48" t="str">
        <f aca="false">IF($A1255="","",IF(NOT(ISNUMBER(F1255)),"Wert fehlt; ",IF(F1255&lt;=0,"Wert ist 0; ",""))&amp;IF(NOT(ISNUMBER(E1255)),"Bestand fehlt; ",IF(E1255&lt;0,"Bestand negativ; ",IF(E1255=0,"Nullbestand; ","")))&amp;IF(D1255="","Warengruppe fehlt; ","")&amp;IF(B1255="","Bezeichnung fehlt; ","")&amp;IF(COUNTIFS($A$2:$A$5001,$A1255,$C$2:$C$5001,C1255)&gt;1,"Artikel doppelt im selben Lager; ",""))</f>
        <v/>
      </c>
      <c r="P1255" s="47" t="n">
        <f aca="false">IF(OR($A1255="",D1255=""),0,IF(COUNTIF($D$2:D1255,D1255)=1,SUMIF($D$2:$D$5001,D1255,$H$2:$H$5001)+ROW()/10000000,0))</f>
        <v>0</v>
      </c>
      <c r="Q1255" s="47" t="n">
        <f aca="false">IF(OR($A1255="",C1255=""),0,IF(COUNTIF($C$2:C1255,C1255)=1,SUMIF($C$2:$C$5001,C1255,$H$2:$H$5001)+ROW()/10000000,0))</f>
        <v>0</v>
      </c>
    </row>
    <row r="1256" customFormat="false" ht="15" hidden="false" customHeight="false" outlineLevel="0" collapsed="false">
      <c r="A1256" s="43"/>
      <c r="B1256" s="44"/>
      <c r="C1256" s="44"/>
      <c r="D1256" s="44"/>
      <c r="E1256" s="44"/>
      <c r="F1256" s="44"/>
      <c r="G1256" s="44"/>
      <c r="H1256" s="46" t="str">
        <f aca="false">IF($A1256="","",IF(OR(NOT(ISNUMBER(E1256)),NOT(ISNUMBER(F1256))),"",MAX(0,E1256)*F1256))</f>
        <v/>
      </c>
      <c r="I1256" s="46" t="str">
        <f aca="false">IF($A1256="","",SUMIF($A$2:$A$5001,$A1256,$H$2:$H$5001))</f>
        <v/>
      </c>
      <c r="J1256" s="47" t="n">
        <f aca="false">IF($A1256="",0,IF(COUNTIF($A$2:A1256,$A1256)=1,1,0))</f>
        <v>0</v>
      </c>
      <c r="K1256" s="47" t="n">
        <f aca="false">IF(J1256=1,N(I1256)+ROW()/10000000,0)</f>
        <v>0</v>
      </c>
      <c r="L1256" s="47" t="str">
        <f aca="false">IF(AND(J1256=1,N(I1256)&gt;0),SUMIF($K$2:$K$5001,"&gt;="&amp;K1256,$I$2:$I$5001)/MAX(1,SUM($H$2:$H$5001)),"")</f>
        <v/>
      </c>
      <c r="M1256" s="47" t="str">
        <f aca="false">IF($A1256="","",INDEX($L$2:$L$5001,MATCH($A1256,$A$2:$A$5001,0)))</f>
        <v/>
      </c>
      <c r="N1256" s="48" t="str">
        <f aca="false">IF($A1256="","",IF(N(M1256)=0,"–",IF(M1256&lt;=Start!$D$20,"A",IF(M1256&lt;=Start!$D$21,"B","C"))))</f>
        <v/>
      </c>
      <c r="O1256" s="48" t="str">
        <f aca="false">IF($A1256="","",IF(NOT(ISNUMBER(F1256)),"Wert fehlt; ",IF(F1256&lt;=0,"Wert ist 0; ",""))&amp;IF(NOT(ISNUMBER(E1256)),"Bestand fehlt; ",IF(E1256&lt;0,"Bestand negativ; ",IF(E1256=0,"Nullbestand; ","")))&amp;IF(D1256="","Warengruppe fehlt; ","")&amp;IF(B1256="","Bezeichnung fehlt; ","")&amp;IF(COUNTIFS($A$2:$A$5001,$A1256,$C$2:$C$5001,C1256)&gt;1,"Artikel doppelt im selben Lager; ",""))</f>
        <v/>
      </c>
      <c r="P1256" s="47" t="n">
        <f aca="false">IF(OR($A1256="",D1256=""),0,IF(COUNTIF($D$2:D1256,D1256)=1,SUMIF($D$2:$D$5001,D1256,$H$2:$H$5001)+ROW()/10000000,0))</f>
        <v>0</v>
      </c>
      <c r="Q1256" s="47" t="n">
        <f aca="false">IF(OR($A1256="",C1256=""),0,IF(COUNTIF($C$2:C1256,C1256)=1,SUMIF($C$2:$C$5001,C1256,$H$2:$H$5001)+ROW()/10000000,0))</f>
        <v>0</v>
      </c>
    </row>
    <row r="1257" customFormat="false" ht="15" hidden="false" customHeight="false" outlineLevel="0" collapsed="false">
      <c r="A1257" s="43"/>
      <c r="B1257" s="44"/>
      <c r="C1257" s="44"/>
      <c r="D1257" s="44"/>
      <c r="E1257" s="44"/>
      <c r="F1257" s="44"/>
      <c r="G1257" s="44"/>
      <c r="H1257" s="46" t="str">
        <f aca="false">IF($A1257="","",IF(OR(NOT(ISNUMBER(E1257)),NOT(ISNUMBER(F1257))),"",MAX(0,E1257)*F1257))</f>
        <v/>
      </c>
      <c r="I1257" s="46" t="str">
        <f aca="false">IF($A1257="","",SUMIF($A$2:$A$5001,$A1257,$H$2:$H$5001))</f>
        <v/>
      </c>
      <c r="J1257" s="47" t="n">
        <f aca="false">IF($A1257="",0,IF(COUNTIF($A$2:A1257,$A1257)=1,1,0))</f>
        <v>0</v>
      </c>
      <c r="K1257" s="47" t="n">
        <f aca="false">IF(J1257=1,N(I1257)+ROW()/10000000,0)</f>
        <v>0</v>
      </c>
      <c r="L1257" s="47" t="str">
        <f aca="false">IF(AND(J1257=1,N(I1257)&gt;0),SUMIF($K$2:$K$5001,"&gt;="&amp;K1257,$I$2:$I$5001)/MAX(1,SUM($H$2:$H$5001)),"")</f>
        <v/>
      </c>
      <c r="M1257" s="47" t="str">
        <f aca="false">IF($A1257="","",INDEX($L$2:$L$5001,MATCH($A1257,$A$2:$A$5001,0)))</f>
        <v/>
      </c>
      <c r="N1257" s="48" t="str">
        <f aca="false">IF($A1257="","",IF(N(M1257)=0,"–",IF(M1257&lt;=Start!$D$20,"A",IF(M1257&lt;=Start!$D$21,"B","C"))))</f>
        <v/>
      </c>
      <c r="O1257" s="48" t="str">
        <f aca="false">IF($A1257="","",IF(NOT(ISNUMBER(F1257)),"Wert fehlt; ",IF(F1257&lt;=0,"Wert ist 0; ",""))&amp;IF(NOT(ISNUMBER(E1257)),"Bestand fehlt; ",IF(E1257&lt;0,"Bestand negativ; ",IF(E1257=0,"Nullbestand; ","")))&amp;IF(D1257="","Warengruppe fehlt; ","")&amp;IF(B1257="","Bezeichnung fehlt; ","")&amp;IF(COUNTIFS($A$2:$A$5001,$A1257,$C$2:$C$5001,C1257)&gt;1,"Artikel doppelt im selben Lager; ",""))</f>
        <v/>
      </c>
      <c r="P1257" s="47" t="n">
        <f aca="false">IF(OR($A1257="",D1257=""),0,IF(COUNTIF($D$2:D1257,D1257)=1,SUMIF($D$2:$D$5001,D1257,$H$2:$H$5001)+ROW()/10000000,0))</f>
        <v>0</v>
      </c>
      <c r="Q1257" s="47" t="n">
        <f aca="false">IF(OR($A1257="",C1257=""),0,IF(COUNTIF($C$2:C1257,C1257)=1,SUMIF($C$2:$C$5001,C1257,$H$2:$H$5001)+ROW()/10000000,0))</f>
        <v>0</v>
      </c>
    </row>
    <row r="1258" customFormat="false" ht="15" hidden="false" customHeight="false" outlineLevel="0" collapsed="false">
      <c r="A1258" s="43"/>
      <c r="B1258" s="44"/>
      <c r="C1258" s="44"/>
      <c r="D1258" s="44"/>
      <c r="E1258" s="44"/>
      <c r="F1258" s="44"/>
      <c r="G1258" s="44"/>
      <c r="H1258" s="46" t="str">
        <f aca="false">IF($A1258="","",IF(OR(NOT(ISNUMBER(E1258)),NOT(ISNUMBER(F1258))),"",MAX(0,E1258)*F1258))</f>
        <v/>
      </c>
      <c r="I1258" s="46" t="str">
        <f aca="false">IF($A1258="","",SUMIF($A$2:$A$5001,$A1258,$H$2:$H$5001))</f>
        <v/>
      </c>
      <c r="J1258" s="47" t="n">
        <f aca="false">IF($A1258="",0,IF(COUNTIF($A$2:A1258,$A1258)=1,1,0))</f>
        <v>0</v>
      </c>
      <c r="K1258" s="47" t="n">
        <f aca="false">IF(J1258=1,N(I1258)+ROW()/10000000,0)</f>
        <v>0</v>
      </c>
      <c r="L1258" s="47" t="str">
        <f aca="false">IF(AND(J1258=1,N(I1258)&gt;0),SUMIF($K$2:$K$5001,"&gt;="&amp;K1258,$I$2:$I$5001)/MAX(1,SUM($H$2:$H$5001)),"")</f>
        <v/>
      </c>
      <c r="M1258" s="47" t="str">
        <f aca="false">IF($A1258="","",INDEX($L$2:$L$5001,MATCH($A1258,$A$2:$A$5001,0)))</f>
        <v/>
      </c>
      <c r="N1258" s="48" t="str">
        <f aca="false">IF($A1258="","",IF(N(M1258)=0,"–",IF(M1258&lt;=Start!$D$20,"A",IF(M1258&lt;=Start!$D$21,"B","C"))))</f>
        <v/>
      </c>
      <c r="O1258" s="48" t="str">
        <f aca="false">IF($A1258="","",IF(NOT(ISNUMBER(F1258)),"Wert fehlt; ",IF(F1258&lt;=0,"Wert ist 0; ",""))&amp;IF(NOT(ISNUMBER(E1258)),"Bestand fehlt; ",IF(E1258&lt;0,"Bestand negativ; ",IF(E1258=0,"Nullbestand; ","")))&amp;IF(D1258="","Warengruppe fehlt; ","")&amp;IF(B1258="","Bezeichnung fehlt; ","")&amp;IF(COUNTIFS($A$2:$A$5001,$A1258,$C$2:$C$5001,C1258)&gt;1,"Artikel doppelt im selben Lager; ",""))</f>
        <v/>
      </c>
      <c r="P1258" s="47" t="n">
        <f aca="false">IF(OR($A1258="",D1258=""),0,IF(COUNTIF($D$2:D1258,D1258)=1,SUMIF($D$2:$D$5001,D1258,$H$2:$H$5001)+ROW()/10000000,0))</f>
        <v>0</v>
      </c>
      <c r="Q1258" s="47" t="n">
        <f aca="false">IF(OR($A1258="",C1258=""),0,IF(COUNTIF($C$2:C1258,C1258)=1,SUMIF($C$2:$C$5001,C1258,$H$2:$H$5001)+ROW()/10000000,0))</f>
        <v>0</v>
      </c>
    </row>
    <row r="1259" customFormat="false" ht="15" hidden="false" customHeight="false" outlineLevel="0" collapsed="false">
      <c r="A1259" s="43"/>
      <c r="B1259" s="44"/>
      <c r="C1259" s="44"/>
      <c r="D1259" s="44"/>
      <c r="E1259" s="44"/>
      <c r="F1259" s="44"/>
      <c r="G1259" s="44"/>
      <c r="H1259" s="46" t="str">
        <f aca="false">IF($A1259="","",IF(OR(NOT(ISNUMBER(E1259)),NOT(ISNUMBER(F1259))),"",MAX(0,E1259)*F1259))</f>
        <v/>
      </c>
      <c r="I1259" s="46" t="str">
        <f aca="false">IF($A1259="","",SUMIF($A$2:$A$5001,$A1259,$H$2:$H$5001))</f>
        <v/>
      </c>
      <c r="J1259" s="47" t="n">
        <f aca="false">IF($A1259="",0,IF(COUNTIF($A$2:A1259,$A1259)=1,1,0))</f>
        <v>0</v>
      </c>
      <c r="K1259" s="47" t="n">
        <f aca="false">IF(J1259=1,N(I1259)+ROW()/10000000,0)</f>
        <v>0</v>
      </c>
      <c r="L1259" s="47" t="str">
        <f aca="false">IF(AND(J1259=1,N(I1259)&gt;0),SUMIF($K$2:$K$5001,"&gt;="&amp;K1259,$I$2:$I$5001)/MAX(1,SUM($H$2:$H$5001)),"")</f>
        <v/>
      </c>
      <c r="M1259" s="47" t="str">
        <f aca="false">IF($A1259="","",INDEX($L$2:$L$5001,MATCH($A1259,$A$2:$A$5001,0)))</f>
        <v/>
      </c>
      <c r="N1259" s="48" t="str">
        <f aca="false">IF($A1259="","",IF(N(M1259)=0,"–",IF(M1259&lt;=Start!$D$20,"A",IF(M1259&lt;=Start!$D$21,"B","C"))))</f>
        <v/>
      </c>
      <c r="O1259" s="48" t="str">
        <f aca="false">IF($A1259="","",IF(NOT(ISNUMBER(F1259)),"Wert fehlt; ",IF(F1259&lt;=0,"Wert ist 0; ",""))&amp;IF(NOT(ISNUMBER(E1259)),"Bestand fehlt; ",IF(E1259&lt;0,"Bestand negativ; ",IF(E1259=0,"Nullbestand; ","")))&amp;IF(D1259="","Warengruppe fehlt; ","")&amp;IF(B1259="","Bezeichnung fehlt; ","")&amp;IF(COUNTIFS($A$2:$A$5001,$A1259,$C$2:$C$5001,C1259)&gt;1,"Artikel doppelt im selben Lager; ",""))</f>
        <v/>
      </c>
      <c r="P1259" s="47" t="n">
        <f aca="false">IF(OR($A1259="",D1259=""),0,IF(COUNTIF($D$2:D1259,D1259)=1,SUMIF($D$2:$D$5001,D1259,$H$2:$H$5001)+ROW()/10000000,0))</f>
        <v>0</v>
      </c>
      <c r="Q1259" s="47" t="n">
        <f aca="false">IF(OR($A1259="",C1259=""),0,IF(COUNTIF($C$2:C1259,C1259)=1,SUMIF($C$2:$C$5001,C1259,$H$2:$H$5001)+ROW()/10000000,0))</f>
        <v>0</v>
      </c>
    </row>
    <row r="1260" customFormat="false" ht="15" hidden="false" customHeight="false" outlineLevel="0" collapsed="false">
      <c r="A1260" s="43"/>
      <c r="B1260" s="44"/>
      <c r="C1260" s="44"/>
      <c r="D1260" s="44"/>
      <c r="E1260" s="44"/>
      <c r="F1260" s="44"/>
      <c r="G1260" s="44"/>
      <c r="H1260" s="46" t="str">
        <f aca="false">IF($A1260="","",IF(OR(NOT(ISNUMBER(E1260)),NOT(ISNUMBER(F1260))),"",MAX(0,E1260)*F1260))</f>
        <v/>
      </c>
      <c r="I1260" s="46" t="str">
        <f aca="false">IF($A1260="","",SUMIF($A$2:$A$5001,$A1260,$H$2:$H$5001))</f>
        <v/>
      </c>
      <c r="J1260" s="47" t="n">
        <f aca="false">IF($A1260="",0,IF(COUNTIF($A$2:A1260,$A1260)=1,1,0))</f>
        <v>0</v>
      </c>
      <c r="K1260" s="47" t="n">
        <f aca="false">IF(J1260=1,N(I1260)+ROW()/10000000,0)</f>
        <v>0</v>
      </c>
      <c r="L1260" s="47" t="str">
        <f aca="false">IF(AND(J1260=1,N(I1260)&gt;0),SUMIF($K$2:$K$5001,"&gt;="&amp;K1260,$I$2:$I$5001)/MAX(1,SUM($H$2:$H$5001)),"")</f>
        <v/>
      </c>
      <c r="M1260" s="47" t="str">
        <f aca="false">IF($A1260="","",INDEX($L$2:$L$5001,MATCH($A1260,$A$2:$A$5001,0)))</f>
        <v/>
      </c>
      <c r="N1260" s="48" t="str">
        <f aca="false">IF($A1260="","",IF(N(M1260)=0,"–",IF(M1260&lt;=Start!$D$20,"A",IF(M1260&lt;=Start!$D$21,"B","C"))))</f>
        <v/>
      </c>
      <c r="O1260" s="48" t="str">
        <f aca="false">IF($A1260="","",IF(NOT(ISNUMBER(F1260)),"Wert fehlt; ",IF(F1260&lt;=0,"Wert ist 0; ",""))&amp;IF(NOT(ISNUMBER(E1260)),"Bestand fehlt; ",IF(E1260&lt;0,"Bestand negativ; ",IF(E1260=0,"Nullbestand; ","")))&amp;IF(D1260="","Warengruppe fehlt; ","")&amp;IF(B1260="","Bezeichnung fehlt; ","")&amp;IF(COUNTIFS($A$2:$A$5001,$A1260,$C$2:$C$5001,C1260)&gt;1,"Artikel doppelt im selben Lager; ",""))</f>
        <v/>
      </c>
      <c r="P1260" s="47" t="n">
        <f aca="false">IF(OR($A1260="",D1260=""),0,IF(COUNTIF($D$2:D1260,D1260)=1,SUMIF($D$2:$D$5001,D1260,$H$2:$H$5001)+ROW()/10000000,0))</f>
        <v>0</v>
      </c>
      <c r="Q1260" s="47" t="n">
        <f aca="false">IF(OR($A1260="",C1260=""),0,IF(COUNTIF($C$2:C1260,C1260)=1,SUMIF($C$2:$C$5001,C1260,$H$2:$H$5001)+ROW()/10000000,0))</f>
        <v>0</v>
      </c>
    </row>
    <row r="1261" customFormat="false" ht="15" hidden="false" customHeight="false" outlineLevel="0" collapsed="false">
      <c r="A1261" s="43"/>
      <c r="B1261" s="44"/>
      <c r="C1261" s="44"/>
      <c r="D1261" s="44"/>
      <c r="E1261" s="44"/>
      <c r="F1261" s="44"/>
      <c r="G1261" s="44"/>
      <c r="H1261" s="46" t="str">
        <f aca="false">IF($A1261="","",IF(OR(NOT(ISNUMBER(E1261)),NOT(ISNUMBER(F1261))),"",MAX(0,E1261)*F1261))</f>
        <v/>
      </c>
      <c r="I1261" s="46" t="str">
        <f aca="false">IF($A1261="","",SUMIF($A$2:$A$5001,$A1261,$H$2:$H$5001))</f>
        <v/>
      </c>
      <c r="J1261" s="47" t="n">
        <f aca="false">IF($A1261="",0,IF(COUNTIF($A$2:A1261,$A1261)=1,1,0))</f>
        <v>0</v>
      </c>
      <c r="K1261" s="47" t="n">
        <f aca="false">IF(J1261=1,N(I1261)+ROW()/10000000,0)</f>
        <v>0</v>
      </c>
      <c r="L1261" s="47" t="str">
        <f aca="false">IF(AND(J1261=1,N(I1261)&gt;0),SUMIF($K$2:$K$5001,"&gt;="&amp;K1261,$I$2:$I$5001)/MAX(1,SUM($H$2:$H$5001)),"")</f>
        <v/>
      </c>
      <c r="M1261" s="47" t="str">
        <f aca="false">IF($A1261="","",INDEX($L$2:$L$5001,MATCH($A1261,$A$2:$A$5001,0)))</f>
        <v/>
      </c>
      <c r="N1261" s="48" t="str">
        <f aca="false">IF($A1261="","",IF(N(M1261)=0,"–",IF(M1261&lt;=Start!$D$20,"A",IF(M1261&lt;=Start!$D$21,"B","C"))))</f>
        <v/>
      </c>
      <c r="O1261" s="48" t="str">
        <f aca="false">IF($A1261="","",IF(NOT(ISNUMBER(F1261)),"Wert fehlt; ",IF(F1261&lt;=0,"Wert ist 0; ",""))&amp;IF(NOT(ISNUMBER(E1261)),"Bestand fehlt; ",IF(E1261&lt;0,"Bestand negativ; ",IF(E1261=0,"Nullbestand; ","")))&amp;IF(D1261="","Warengruppe fehlt; ","")&amp;IF(B1261="","Bezeichnung fehlt; ","")&amp;IF(COUNTIFS($A$2:$A$5001,$A1261,$C$2:$C$5001,C1261)&gt;1,"Artikel doppelt im selben Lager; ",""))</f>
        <v/>
      </c>
      <c r="P1261" s="47" t="n">
        <f aca="false">IF(OR($A1261="",D1261=""),0,IF(COUNTIF($D$2:D1261,D1261)=1,SUMIF($D$2:$D$5001,D1261,$H$2:$H$5001)+ROW()/10000000,0))</f>
        <v>0</v>
      </c>
      <c r="Q1261" s="47" t="n">
        <f aca="false">IF(OR($A1261="",C1261=""),0,IF(COUNTIF($C$2:C1261,C1261)=1,SUMIF($C$2:$C$5001,C1261,$H$2:$H$5001)+ROW()/10000000,0))</f>
        <v>0</v>
      </c>
    </row>
    <row r="1262" customFormat="false" ht="15" hidden="false" customHeight="false" outlineLevel="0" collapsed="false">
      <c r="A1262" s="43"/>
      <c r="B1262" s="44"/>
      <c r="C1262" s="44"/>
      <c r="D1262" s="44"/>
      <c r="E1262" s="44"/>
      <c r="F1262" s="44"/>
      <c r="G1262" s="44"/>
      <c r="H1262" s="46" t="str">
        <f aca="false">IF($A1262="","",IF(OR(NOT(ISNUMBER(E1262)),NOT(ISNUMBER(F1262))),"",MAX(0,E1262)*F1262))</f>
        <v/>
      </c>
      <c r="I1262" s="46" t="str">
        <f aca="false">IF($A1262="","",SUMIF($A$2:$A$5001,$A1262,$H$2:$H$5001))</f>
        <v/>
      </c>
      <c r="J1262" s="47" t="n">
        <f aca="false">IF($A1262="",0,IF(COUNTIF($A$2:A1262,$A1262)=1,1,0))</f>
        <v>0</v>
      </c>
      <c r="K1262" s="47" t="n">
        <f aca="false">IF(J1262=1,N(I1262)+ROW()/10000000,0)</f>
        <v>0</v>
      </c>
      <c r="L1262" s="47" t="str">
        <f aca="false">IF(AND(J1262=1,N(I1262)&gt;0),SUMIF($K$2:$K$5001,"&gt;="&amp;K1262,$I$2:$I$5001)/MAX(1,SUM($H$2:$H$5001)),"")</f>
        <v/>
      </c>
      <c r="M1262" s="47" t="str">
        <f aca="false">IF($A1262="","",INDEX($L$2:$L$5001,MATCH($A1262,$A$2:$A$5001,0)))</f>
        <v/>
      </c>
      <c r="N1262" s="48" t="str">
        <f aca="false">IF($A1262="","",IF(N(M1262)=0,"–",IF(M1262&lt;=Start!$D$20,"A",IF(M1262&lt;=Start!$D$21,"B","C"))))</f>
        <v/>
      </c>
      <c r="O1262" s="48" t="str">
        <f aca="false">IF($A1262="","",IF(NOT(ISNUMBER(F1262)),"Wert fehlt; ",IF(F1262&lt;=0,"Wert ist 0; ",""))&amp;IF(NOT(ISNUMBER(E1262)),"Bestand fehlt; ",IF(E1262&lt;0,"Bestand negativ; ",IF(E1262=0,"Nullbestand; ","")))&amp;IF(D1262="","Warengruppe fehlt; ","")&amp;IF(B1262="","Bezeichnung fehlt; ","")&amp;IF(COUNTIFS($A$2:$A$5001,$A1262,$C$2:$C$5001,C1262)&gt;1,"Artikel doppelt im selben Lager; ",""))</f>
        <v/>
      </c>
      <c r="P1262" s="47" t="n">
        <f aca="false">IF(OR($A1262="",D1262=""),0,IF(COUNTIF($D$2:D1262,D1262)=1,SUMIF($D$2:$D$5001,D1262,$H$2:$H$5001)+ROW()/10000000,0))</f>
        <v>0</v>
      </c>
      <c r="Q1262" s="47" t="n">
        <f aca="false">IF(OR($A1262="",C1262=""),0,IF(COUNTIF($C$2:C1262,C1262)=1,SUMIF($C$2:$C$5001,C1262,$H$2:$H$5001)+ROW()/10000000,0))</f>
        <v>0</v>
      </c>
    </row>
    <row r="1263" customFormat="false" ht="15" hidden="false" customHeight="false" outlineLevel="0" collapsed="false">
      <c r="A1263" s="43"/>
      <c r="B1263" s="44"/>
      <c r="C1263" s="44"/>
      <c r="D1263" s="44"/>
      <c r="E1263" s="44"/>
      <c r="F1263" s="44"/>
      <c r="G1263" s="44"/>
      <c r="H1263" s="46" t="str">
        <f aca="false">IF($A1263="","",IF(OR(NOT(ISNUMBER(E1263)),NOT(ISNUMBER(F1263))),"",MAX(0,E1263)*F1263))</f>
        <v/>
      </c>
      <c r="I1263" s="46" t="str">
        <f aca="false">IF($A1263="","",SUMIF($A$2:$A$5001,$A1263,$H$2:$H$5001))</f>
        <v/>
      </c>
      <c r="J1263" s="47" t="n">
        <f aca="false">IF($A1263="",0,IF(COUNTIF($A$2:A1263,$A1263)=1,1,0))</f>
        <v>0</v>
      </c>
      <c r="K1263" s="47" t="n">
        <f aca="false">IF(J1263=1,N(I1263)+ROW()/10000000,0)</f>
        <v>0</v>
      </c>
      <c r="L1263" s="47" t="str">
        <f aca="false">IF(AND(J1263=1,N(I1263)&gt;0),SUMIF($K$2:$K$5001,"&gt;="&amp;K1263,$I$2:$I$5001)/MAX(1,SUM($H$2:$H$5001)),"")</f>
        <v/>
      </c>
      <c r="M1263" s="47" t="str">
        <f aca="false">IF($A1263="","",INDEX($L$2:$L$5001,MATCH($A1263,$A$2:$A$5001,0)))</f>
        <v/>
      </c>
      <c r="N1263" s="48" t="str">
        <f aca="false">IF($A1263="","",IF(N(M1263)=0,"–",IF(M1263&lt;=Start!$D$20,"A",IF(M1263&lt;=Start!$D$21,"B","C"))))</f>
        <v/>
      </c>
      <c r="O1263" s="48" t="str">
        <f aca="false">IF($A1263="","",IF(NOT(ISNUMBER(F1263)),"Wert fehlt; ",IF(F1263&lt;=0,"Wert ist 0; ",""))&amp;IF(NOT(ISNUMBER(E1263)),"Bestand fehlt; ",IF(E1263&lt;0,"Bestand negativ; ",IF(E1263=0,"Nullbestand; ","")))&amp;IF(D1263="","Warengruppe fehlt; ","")&amp;IF(B1263="","Bezeichnung fehlt; ","")&amp;IF(COUNTIFS($A$2:$A$5001,$A1263,$C$2:$C$5001,C1263)&gt;1,"Artikel doppelt im selben Lager; ",""))</f>
        <v/>
      </c>
      <c r="P1263" s="47" t="n">
        <f aca="false">IF(OR($A1263="",D1263=""),0,IF(COUNTIF($D$2:D1263,D1263)=1,SUMIF($D$2:$D$5001,D1263,$H$2:$H$5001)+ROW()/10000000,0))</f>
        <v>0</v>
      </c>
      <c r="Q1263" s="47" t="n">
        <f aca="false">IF(OR($A1263="",C1263=""),0,IF(COUNTIF($C$2:C1263,C1263)=1,SUMIF($C$2:$C$5001,C1263,$H$2:$H$5001)+ROW()/10000000,0))</f>
        <v>0</v>
      </c>
    </row>
    <row r="1264" customFormat="false" ht="15" hidden="false" customHeight="false" outlineLevel="0" collapsed="false">
      <c r="A1264" s="43"/>
      <c r="B1264" s="44"/>
      <c r="C1264" s="44"/>
      <c r="D1264" s="44"/>
      <c r="E1264" s="44"/>
      <c r="F1264" s="44"/>
      <c r="G1264" s="44"/>
      <c r="H1264" s="46" t="str">
        <f aca="false">IF($A1264="","",IF(OR(NOT(ISNUMBER(E1264)),NOT(ISNUMBER(F1264))),"",MAX(0,E1264)*F1264))</f>
        <v/>
      </c>
      <c r="I1264" s="46" t="str">
        <f aca="false">IF($A1264="","",SUMIF($A$2:$A$5001,$A1264,$H$2:$H$5001))</f>
        <v/>
      </c>
      <c r="J1264" s="47" t="n">
        <f aca="false">IF($A1264="",0,IF(COUNTIF($A$2:A1264,$A1264)=1,1,0))</f>
        <v>0</v>
      </c>
      <c r="K1264" s="47" t="n">
        <f aca="false">IF(J1264=1,N(I1264)+ROW()/10000000,0)</f>
        <v>0</v>
      </c>
      <c r="L1264" s="47" t="str">
        <f aca="false">IF(AND(J1264=1,N(I1264)&gt;0),SUMIF($K$2:$K$5001,"&gt;="&amp;K1264,$I$2:$I$5001)/MAX(1,SUM($H$2:$H$5001)),"")</f>
        <v/>
      </c>
      <c r="M1264" s="47" t="str">
        <f aca="false">IF($A1264="","",INDEX($L$2:$L$5001,MATCH($A1264,$A$2:$A$5001,0)))</f>
        <v/>
      </c>
      <c r="N1264" s="48" t="str">
        <f aca="false">IF($A1264="","",IF(N(M1264)=0,"–",IF(M1264&lt;=Start!$D$20,"A",IF(M1264&lt;=Start!$D$21,"B","C"))))</f>
        <v/>
      </c>
      <c r="O1264" s="48" t="str">
        <f aca="false">IF($A1264="","",IF(NOT(ISNUMBER(F1264)),"Wert fehlt; ",IF(F1264&lt;=0,"Wert ist 0; ",""))&amp;IF(NOT(ISNUMBER(E1264)),"Bestand fehlt; ",IF(E1264&lt;0,"Bestand negativ; ",IF(E1264=0,"Nullbestand; ","")))&amp;IF(D1264="","Warengruppe fehlt; ","")&amp;IF(B1264="","Bezeichnung fehlt; ","")&amp;IF(COUNTIFS($A$2:$A$5001,$A1264,$C$2:$C$5001,C1264)&gt;1,"Artikel doppelt im selben Lager; ",""))</f>
        <v/>
      </c>
      <c r="P1264" s="47" t="n">
        <f aca="false">IF(OR($A1264="",D1264=""),0,IF(COUNTIF($D$2:D1264,D1264)=1,SUMIF($D$2:$D$5001,D1264,$H$2:$H$5001)+ROW()/10000000,0))</f>
        <v>0</v>
      </c>
      <c r="Q1264" s="47" t="n">
        <f aca="false">IF(OR($A1264="",C1264=""),0,IF(COUNTIF($C$2:C1264,C1264)=1,SUMIF($C$2:$C$5001,C1264,$H$2:$H$5001)+ROW()/10000000,0))</f>
        <v>0</v>
      </c>
    </row>
    <row r="1265" customFormat="false" ht="15" hidden="false" customHeight="false" outlineLevel="0" collapsed="false">
      <c r="A1265" s="43"/>
      <c r="B1265" s="44"/>
      <c r="C1265" s="44"/>
      <c r="D1265" s="44"/>
      <c r="E1265" s="44"/>
      <c r="F1265" s="44"/>
      <c r="G1265" s="44"/>
      <c r="H1265" s="46" t="str">
        <f aca="false">IF($A1265="","",IF(OR(NOT(ISNUMBER(E1265)),NOT(ISNUMBER(F1265))),"",MAX(0,E1265)*F1265))</f>
        <v/>
      </c>
      <c r="I1265" s="46" t="str">
        <f aca="false">IF($A1265="","",SUMIF($A$2:$A$5001,$A1265,$H$2:$H$5001))</f>
        <v/>
      </c>
      <c r="J1265" s="47" t="n">
        <f aca="false">IF($A1265="",0,IF(COUNTIF($A$2:A1265,$A1265)=1,1,0))</f>
        <v>0</v>
      </c>
      <c r="K1265" s="47" t="n">
        <f aca="false">IF(J1265=1,N(I1265)+ROW()/10000000,0)</f>
        <v>0</v>
      </c>
      <c r="L1265" s="47" t="str">
        <f aca="false">IF(AND(J1265=1,N(I1265)&gt;0),SUMIF($K$2:$K$5001,"&gt;="&amp;K1265,$I$2:$I$5001)/MAX(1,SUM($H$2:$H$5001)),"")</f>
        <v/>
      </c>
      <c r="M1265" s="47" t="str">
        <f aca="false">IF($A1265="","",INDEX($L$2:$L$5001,MATCH($A1265,$A$2:$A$5001,0)))</f>
        <v/>
      </c>
      <c r="N1265" s="48" t="str">
        <f aca="false">IF($A1265="","",IF(N(M1265)=0,"–",IF(M1265&lt;=Start!$D$20,"A",IF(M1265&lt;=Start!$D$21,"B","C"))))</f>
        <v/>
      </c>
      <c r="O1265" s="48" t="str">
        <f aca="false">IF($A1265="","",IF(NOT(ISNUMBER(F1265)),"Wert fehlt; ",IF(F1265&lt;=0,"Wert ist 0; ",""))&amp;IF(NOT(ISNUMBER(E1265)),"Bestand fehlt; ",IF(E1265&lt;0,"Bestand negativ; ",IF(E1265=0,"Nullbestand; ","")))&amp;IF(D1265="","Warengruppe fehlt; ","")&amp;IF(B1265="","Bezeichnung fehlt; ","")&amp;IF(COUNTIFS($A$2:$A$5001,$A1265,$C$2:$C$5001,C1265)&gt;1,"Artikel doppelt im selben Lager; ",""))</f>
        <v/>
      </c>
      <c r="P1265" s="47" t="n">
        <f aca="false">IF(OR($A1265="",D1265=""),0,IF(COUNTIF($D$2:D1265,D1265)=1,SUMIF($D$2:$D$5001,D1265,$H$2:$H$5001)+ROW()/10000000,0))</f>
        <v>0</v>
      </c>
      <c r="Q1265" s="47" t="n">
        <f aca="false">IF(OR($A1265="",C1265=""),0,IF(COUNTIF($C$2:C1265,C1265)=1,SUMIF($C$2:$C$5001,C1265,$H$2:$H$5001)+ROW()/10000000,0))</f>
        <v>0</v>
      </c>
    </row>
    <row r="1266" customFormat="false" ht="15" hidden="false" customHeight="false" outlineLevel="0" collapsed="false">
      <c r="A1266" s="43"/>
      <c r="B1266" s="44"/>
      <c r="C1266" s="44"/>
      <c r="D1266" s="44"/>
      <c r="E1266" s="44"/>
      <c r="F1266" s="44"/>
      <c r="G1266" s="44"/>
      <c r="H1266" s="46" t="str">
        <f aca="false">IF($A1266="","",IF(OR(NOT(ISNUMBER(E1266)),NOT(ISNUMBER(F1266))),"",MAX(0,E1266)*F1266))</f>
        <v/>
      </c>
      <c r="I1266" s="46" t="str">
        <f aca="false">IF($A1266="","",SUMIF($A$2:$A$5001,$A1266,$H$2:$H$5001))</f>
        <v/>
      </c>
      <c r="J1266" s="47" t="n">
        <f aca="false">IF($A1266="",0,IF(COUNTIF($A$2:A1266,$A1266)=1,1,0))</f>
        <v>0</v>
      </c>
      <c r="K1266" s="47" t="n">
        <f aca="false">IF(J1266=1,N(I1266)+ROW()/10000000,0)</f>
        <v>0</v>
      </c>
      <c r="L1266" s="47" t="str">
        <f aca="false">IF(AND(J1266=1,N(I1266)&gt;0),SUMIF($K$2:$K$5001,"&gt;="&amp;K1266,$I$2:$I$5001)/MAX(1,SUM($H$2:$H$5001)),"")</f>
        <v/>
      </c>
      <c r="M1266" s="47" t="str">
        <f aca="false">IF($A1266="","",INDEX($L$2:$L$5001,MATCH($A1266,$A$2:$A$5001,0)))</f>
        <v/>
      </c>
      <c r="N1266" s="48" t="str">
        <f aca="false">IF($A1266="","",IF(N(M1266)=0,"–",IF(M1266&lt;=Start!$D$20,"A",IF(M1266&lt;=Start!$D$21,"B","C"))))</f>
        <v/>
      </c>
      <c r="O1266" s="48" t="str">
        <f aca="false">IF($A1266="","",IF(NOT(ISNUMBER(F1266)),"Wert fehlt; ",IF(F1266&lt;=0,"Wert ist 0; ",""))&amp;IF(NOT(ISNUMBER(E1266)),"Bestand fehlt; ",IF(E1266&lt;0,"Bestand negativ; ",IF(E1266=0,"Nullbestand; ","")))&amp;IF(D1266="","Warengruppe fehlt; ","")&amp;IF(B1266="","Bezeichnung fehlt; ","")&amp;IF(COUNTIFS($A$2:$A$5001,$A1266,$C$2:$C$5001,C1266)&gt;1,"Artikel doppelt im selben Lager; ",""))</f>
        <v/>
      </c>
      <c r="P1266" s="47" t="n">
        <f aca="false">IF(OR($A1266="",D1266=""),0,IF(COUNTIF($D$2:D1266,D1266)=1,SUMIF($D$2:$D$5001,D1266,$H$2:$H$5001)+ROW()/10000000,0))</f>
        <v>0</v>
      </c>
      <c r="Q1266" s="47" t="n">
        <f aca="false">IF(OR($A1266="",C1266=""),0,IF(COUNTIF($C$2:C1266,C1266)=1,SUMIF($C$2:$C$5001,C1266,$H$2:$H$5001)+ROW()/10000000,0))</f>
        <v>0</v>
      </c>
    </row>
    <row r="1267" customFormat="false" ht="15" hidden="false" customHeight="false" outlineLevel="0" collapsed="false">
      <c r="A1267" s="43"/>
      <c r="B1267" s="44"/>
      <c r="C1267" s="44"/>
      <c r="D1267" s="44"/>
      <c r="E1267" s="44"/>
      <c r="F1267" s="44"/>
      <c r="G1267" s="44"/>
      <c r="H1267" s="46" t="str">
        <f aca="false">IF($A1267="","",IF(OR(NOT(ISNUMBER(E1267)),NOT(ISNUMBER(F1267))),"",MAX(0,E1267)*F1267))</f>
        <v/>
      </c>
      <c r="I1267" s="46" t="str">
        <f aca="false">IF($A1267="","",SUMIF($A$2:$A$5001,$A1267,$H$2:$H$5001))</f>
        <v/>
      </c>
      <c r="J1267" s="47" t="n">
        <f aca="false">IF($A1267="",0,IF(COUNTIF($A$2:A1267,$A1267)=1,1,0))</f>
        <v>0</v>
      </c>
      <c r="K1267" s="47" t="n">
        <f aca="false">IF(J1267=1,N(I1267)+ROW()/10000000,0)</f>
        <v>0</v>
      </c>
      <c r="L1267" s="47" t="str">
        <f aca="false">IF(AND(J1267=1,N(I1267)&gt;0),SUMIF($K$2:$K$5001,"&gt;="&amp;K1267,$I$2:$I$5001)/MAX(1,SUM($H$2:$H$5001)),"")</f>
        <v/>
      </c>
      <c r="M1267" s="47" t="str">
        <f aca="false">IF($A1267="","",INDEX($L$2:$L$5001,MATCH($A1267,$A$2:$A$5001,0)))</f>
        <v/>
      </c>
      <c r="N1267" s="48" t="str">
        <f aca="false">IF($A1267="","",IF(N(M1267)=0,"–",IF(M1267&lt;=Start!$D$20,"A",IF(M1267&lt;=Start!$D$21,"B","C"))))</f>
        <v/>
      </c>
      <c r="O1267" s="48" t="str">
        <f aca="false">IF($A1267="","",IF(NOT(ISNUMBER(F1267)),"Wert fehlt; ",IF(F1267&lt;=0,"Wert ist 0; ",""))&amp;IF(NOT(ISNUMBER(E1267)),"Bestand fehlt; ",IF(E1267&lt;0,"Bestand negativ; ",IF(E1267=0,"Nullbestand; ","")))&amp;IF(D1267="","Warengruppe fehlt; ","")&amp;IF(B1267="","Bezeichnung fehlt; ","")&amp;IF(COUNTIFS($A$2:$A$5001,$A1267,$C$2:$C$5001,C1267)&gt;1,"Artikel doppelt im selben Lager; ",""))</f>
        <v/>
      </c>
      <c r="P1267" s="47" t="n">
        <f aca="false">IF(OR($A1267="",D1267=""),0,IF(COUNTIF($D$2:D1267,D1267)=1,SUMIF($D$2:$D$5001,D1267,$H$2:$H$5001)+ROW()/10000000,0))</f>
        <v>0</v>
      </c>
      <c r="Q1267" s="47" t="n">
        <f aca="false">IF(OR($A1267="",C1267=""),0,IF(COUNTIF($C$2:C1267,C1267)=1,SUMIF($C$2:$C$5001,C1267,$H$2:$H$5001)+ROW()/10000000,0))</f>
        <v>0</v>
      </c>
    </row>
    <row r="1268" customFormat="false" ht="15" hidden="false" customHeight="false" outlineLevel="0" collapsed="false">
      <c r="A1268" s="43"/>
      <c r="B1268" s="44"/>
      <c r="C1268" s="44"/>
      <c r="D1268" s="44"/>
      <c r="E1268" s="44"/>
      <c r="F1268" s="44"/>
      <c r="G1268" s="44"/>
      <c r="H1268" s="46" t="str">
        <f aca="false">IF($A1268="","",IF(OR(NOT(ISNUMBER(E1268)),NOT(ISNUMBER(F1268))),"",MAX(0,E1268)*F1268))</f>
        <v/>
      </c>
      <c r="I1268" s="46" t="str">
        <f aca="false">IF($A1268="","",SUMIF($A$2:$A$5001,$A1268,$H$2:$H$5001))</f>
        <v/>
      </c>
      <c r="J1268" s="47" t="n">
        <f aca="false">IF($A1268="",0,IF(COUNTIF($A$2:A1268,$A1268)=1,1,0))</f>
        <v>0</v>
      </c>
      <c r="K1268" s="47" t="n">
        <f aca="false">IF(J1268=1,N(I1268)+ROW()/10000000,0)</f>
        <v>0</v>
      </c>
      <c r="L1268" s="47" t="str">
        <f aca="false">IF(AND(J1268=1,N(I1268)&gt;0),SUMIF($K$2:$K$5001,"&gt;="&amp;K1268,$I$2:$I$5001)/MAX(1,SUM($H$2:$H$5001)),"")</f>
        <v/>
      </c>
      <c r="M1268" s="47" t="str">
        <f aca="false">IF($A1268="","",INDEX($L$2:$L$5001,MATCH($A1268,$A$2:$A$5001,0)))</f>
        <v/>
      </c>
      <c r="N1268" s="48" t="str">
        <f aca="false">IF($A1268="","",IF(N(M1268)=0,"–",IF(M1268&lt;=Start!$D$20,"A",IF(M1268&lt;=Start!$D$21,"B","C"))))</f>
        <v/>
      </c>
      <c r="O1268" s="48" t="str">
        <f aca="false">IF($A1268="","",IF(NOT(ISNUMBER(F1268)),"Wert fehlt; ",IF(F1268&lt;=0,"Wert ist 0; ",""))&amp;IF(NOT(ISNUMBER(E1268)),"Bestand fehlt; ",IF(E1268&lt;0,"Bestand negativ; ",IF(E1268=0,"Nullbestand; ","")))&amp;IF(D1268="","Warengruppe fehlt; ","")&amp;IF(B1268="","Bezeichnung fehlt; ","")&amp;IF(COUNTIFS($A$2:$A$5001,$A1268,$C$2:$C$5001,C1268)&gt;1,"Artikel doppelt im selben Lager; ",""))</f>
        <v/>
      </c>
      <c r="P1268" s="47" t="n">
        <f aca="false">IF(OR($A1268="",D1268=""),0,IF(COUNTIF($D$2:D1268,D1268)=1,SUMIF($D$2:$D$5001,D1268,$H$2:$H$5001)+ROW()/10000000,0))</f>
        <v>0</v>
      </c>
      <c r="Q1268" s="47" t="n">
        <f aca="false">IF(OR($A1268="",C1268=""),0,IF(COUNTIF($C$2:C1268,C1268)=1,SUMIF($C$2:$C$5001,C1268,$H$2:$H$5001)+ROW()/10000000,0))</f>
        <v>0</v>
      </c>
    </row>
    <row r="1269" customFormat="false" ht="15" hidden="false" customHeight="false" outlineLevel="0" collapsed="false">
      <c r="A1269" s="43"/>
      <c r="B1269" s="44"/>
      <c r="C1269" s="44"/>
      <c r="D1269" s="44"/>
      <c r="E1269" s="44"/>
      <c r="F1269" s="44"/>
      <c r="G1269" s="44"/>
      <c r="H1269" s="46" t="str">
        <f aca="false">IF($A1269="","",IF(OR(NOT(ISNUMBER(E1269)),NOT(ISNUMBER(F1269))),"",MAX(0,E1269)*F1269))</f>
        <v/>
      </c>
      <c r="I1269" s="46" t="str">
        <f aca="false">IF($A1269="","",SUMIF($A$2:$A$5001,$A1269,$H$2:$H$5001))</f>
        <v/>
      </c>
      <c r="J1269" s="47" t="n">
        <f aca="false">IF($A1269="",0,IF(COUNTIF($A$2:A1269,$A1269)=1,1,0))</f>
        <v>0</v>
      </c>
      <c r="K1269" s="47" t="n">
        <f aca="false">IF(J1269=1,N(I1269)+ROW()/10000000,0)</f>
        <v>0</v>
      </c>
      <c r="L1269" s="47" t="str">
        <f aca="false">IF(AND(J1269=1,N(I1269)&gt;0),SUMIF($K$2:$K$5001,"&gt;="&amp;K1269,$I$2:$I$5001)/MAX(1,SUM($H$2:$H$5001)),"")</f>
        <v/>
      </c>
      <c r="M1269" s="47" t="str">
        <f aca="false">IF($A1269="","",INDEX($L$2:$L$5001,MATCH($A1269,$A$2:$A$5001,0)))</f>
        <v/>
      </c>
      <c r="N1269" s="48" t="str">
        <f aca="false">IF($A1269="","",IF(N(M1269)=0,"–",IF(M1269&lt;=Start!$D$20,"A",IF(M1269&lt;=Start!$D$21,"B","C"))))</f>
        <v/>
      </c>
      <c r="O1269" s="48" t="str">
        <f aca="false">IF($A1269="","",IF(NOT(ISNUMBER(F1269)),"Wert fehlt; ",IF(F1269&lt;=0,"Wert ist 0; ",""))&amp;IF(NOT(ISNUMBER(E1269)),"Bestand fehlt; ",IF(E1269&lt;0,"Bestand negativ; ",IF(E1269=0,"Nullbestand; ","")))&amp;IF(D1269="","Warengruppe fehlt; ","")&amp;IF(B1269="","Bezeichnung fehlt; ","")&amp;IF(COUNTIFS($A$2:$A$5001,$A1269,$C$2:$C$5001,C1269)&gt;1,"Artikel doppelt im selben Lager; ",""))</f>
        <v/>
      </c>
      <c r="P1269" s="47" t="n">
        <f aca="false">IF(OR($A1269="",D1269=""),0,IF(COUNTIF($D$2:D1269,D1269)=1,SUMIF($D$2:$D$5001,D1269,$H$2:$H$5001)+ROW()/10000000,0))</f>
        <v>0</v>
      </c>
      <c r="Q1269" s="47" t="n">
        <f aca="false">IF(OR($A1269="",C1269=""),0,IF(COUNTIF($C$2:C1269,C1269)=1,SUMIF($C$2:$C$5001,C1269,$H$2:$H$5001)+ROW()/10000000,0))</f>
        <v>0</v>
      </c>
    </row>
    <row r="1270" customFormat="false" ht="15" hidden="false" customHeight="false" outlineLevel="0" collapsed="false">
      <c r="A1270" s="43"/>
      <c r="B1270" s="44"/>
      <c r="C1270" s="44"/>
      <c r="D1270" s="44"/>
      <c r="E1270" s="44"/>
      <c r="F1270" s="44"/>
      <c r="G1270" s="44"/>
      <c r="H1270" s="46" t="str">
        <f aca="false">IF($A1270="","",IF(OR(NOT(ISNUMBER(E1270)),NOT(ISNUMBER(F1270))),"",MAX(0,E1270)*F1270))</f>
        <v/>
      </c>
      <c r="I1270" s="46" t="str">
        <f aca="false">IF($A1270="","",SUMIF($A$2:$A$5001,$A1270,$H$2:$H$5001))</f>
        <v/>
      </c>
      <c r="J1270" s="47" t="n">
        <f aca="false">IF($A1270="",0,IF(COUNTIF($A$2:A1270,$A1270)=1,1,0))</f>
        <v>0</v>
      </c>
      <c r="K1270" s="47" t="n">
        <f aca="false">IF(J1270=1,N(I1270)+ROW()/10000000,0)</f>
        <v>0</v>
      </c>
      <c r="L1270" s="47" t="str">
        <f aca="false">IF(AND(J1270=1,N(I1270)&gt;0),SUMIF($K$2:$K$5001,"&gt;="&amp;K1270,$I$2:$I$5001)/MAX(1,SUM($H$2:$H$5001)),"")</f>
        <v/>
      </c>
      <c r="M1270" s="47" t="str">
        <f aca="false">IF($A1270="","",INDEX($L$2:$L$5001,MATCH($A1270,$A$2:$A$5001,0)))</f>
        <v/>
      </c>
      <c r="N1270" s="48" t="str">
        <f aca="false">IF($A1270="","",IF(N(M1270)=0,"–",IF(M1270&lt;=Start!$D$20,"A",IF(M1270&lt;=Start!$D$21,"B","C"))))</f>
        <v/>
      </c>
      <c r="O1270" s="48" t="str">
        <f aca="false">IF($A1270="","",IF(NOT(ISNUMBER(F1270)),"Wert fehlt; ",IF(F1270&lt;=0,"Wert ist 0; ",""))&amp;IF(NOT(ISNUMBER(E1270)),"Bestand fehlt; ",IF(E1270&lt;0,"Bestand negativ; ",IF(E1270=0,"Nullbestand; ","")))&amp;IF(D1270="","Warengruppe fehlt; ","")&amp;IF(B1270="","Bezeichnung fehlt; ","")&amp;IF(COUNTIFS($A$2:$A$5001,$A1270,$C$2:$C$5001,C1270)&gt;1,"Artikel doppelt im selben Lager; ",""))</f>
        <v/>
      </c>
      <c r="P1270" s="47" t="n">
        <f aca="false">IF(OR($A1270="",D1270=""),0,IF(COUNTIF($D$2:D1270,D1270)=1,SUMIF($D$2:$D$5001,D1270,$H$2:$H$5001)+ROW()/10000000,0))</f>
        <v>0</v>
      </c>
      <c r="Q1270" s="47" t="n">
        <f aca="false">IF(OR($A1270="",C1270=""),0,IF(COUNTIF($C$2:C1270,C1270)=1,SUMIF($C$2:$C$5001,C1270,$H$2:$H$5001)+ROW()/10000000,0))</f>
        <v>0</v>
      </c>
    </row>
    <row r="1271" customFormat="false" ht="15" hidden="false" customHeight="false" outlineLevel="0" collapsed="false">
      <c r="A1271" s="43"/>
      <c r="B1271" s="44"/>
      <c r="C1271" s="44"/>
      <c r="D1271" s="44"/>
      <c r="E1271" s="44"/>
      <c r="F1271" s="44"/>
      <c r="G1271" s="44"/>
      <c r="H1271" s="46" t="str">
        <f aca="false">IF($A1271="","",IF(OR(NOT(ISNUMBER(E1271)),NOT(ISNUMBER(F1271))),"",MAX(0,E1271)*F1271))</f>
        <v/>
      </c>
      <c r="I1271" s="46" t="str">
        <f aca="false">IF($A1271="","",SUMIF($A$2:$A$5001,$A1271,$H$2:$H$5001))</f>
        <v/>
      </c>
      <c r="J1271" s="47" t="n">
        <f aca="false">IF($A1271="",0,IF(COUNTIF($A$2:A1271,$A1271)=1,1,0))</f>
        <v>0</v>
      </c>
      <c r="K1271" s="47" t="n">
        <f aca="false">IF(J1271=1,N(I1271)+ROW()/10000000,0)</f>
        <v>0</v>
      </c>
      <c r="L1271" s="47" t="str">
        <f aca="false">IF(AND(J1271=1,N(I1271)&gt;0),SUMIF($K$2:$K$5001,"&gt;="&amp;K1271,$I$2:$I$5001)/MAX(1,SUM($H$2:$H$5001)),"")</f>
        <v/>
      </c>
      <c r="M1271" s="47" t="str">
        <f aca="false">IF($A1271="","",INDEX($L$2:$L$5001,MATCH($A1271,$A$2:$A$5001,0)))</f>
        <v/>
      </c>
      <c r="N1271" s="48" t="str">
        <f aca="false">IF($A1271="","",IF(N(M1271)=0,"–",IF(M1271&lt;=Start!$D$20,"A",IF(M1271&lt;=Start!$D$21,"B","C"))))</f>
        <v/>
      </c>
      <c r="O1271" s="48" t="str">
        <f aca="false">IF($A1271="","",IF(NOT(ISNUMBER(F1271)),"Wert fehlt; ",IF(F1271&lt;=0,"Wert ist 0; ",""))&amp;IF(NOT(ISNUMBER(E1271)),"Bestand fehlt; ",IF(E1271&lt;0,"Bestand negativ; ",IF(E1271=0,"Nullbestand; ","")))&amp;IF(D1271="","Warengruppe fehlt; ","")&amp;IF(B1271="","Bezeichnung fehlt; ","")&amp;IF(COUNTIFS($A$2:$A$5001,$A1271,$C$2:$C$5001,C1271)&gt;1,"Artikel doppelt im selben Lager; ",""))</f>
        <v/>
      </c>
      <c r="P1271" s="47" t="n">
        <f aca="false">IF(OR($A1271="",D1271=""),0,IF(COUNTIF($D$2:D1271,D1271)=1,SUMIF($D$2:$D$5001,D1271,$H$2:$H$5001)+ROW()/10000000,0))</f>
        <v>0</v>
      </c>
      <c r="Q1271" s="47" t="n">
        <f aca="false">IF(OR($A1271="",C1271=""),0,IF(COUNTIF($C$2:C1271,C1271)=1,SUMIF($C$2:$C$5001,C1271,$H$2:$H$5001)+ROW()/10000000,0))</f>
        <v>0</v>
      </c>
    </row>
    <row r="1272" customFormat="false" ht="15" hidden="false" customHeight="false" outlineLevel="0" collapsed="false">
      <c r="A1272" s="43"/>
      <c r="B1272" s="44"/>
      <c r="C1272" s="44"/>
      <c r="D1272" s="44"/>
      <c r="E1272" s="44"/>
      <c r="F1272" s="44"/>
      <c r="G1272" s="44"/>
      <c r="H1272" s="46" t="str">
        <f aca="false">IF($A1272="","",IF(OR(NOT(ISNUMBER(E1272)),NOT(ISNUMBER(F1272))),"",MAX(0,E1272)*F1272))</f>
        <v/>
      </c>
      <c r="I1272" s="46" t="str">
        <f aca="false">IF($A1272="","",SUMIF($A$2:$A$5001,$A1272,$H$2:$H$5001))</f>
        <v/>
      </c>
      <c r="J1272" s="47" t="n">
        <f aca="false">IF($A1272="",0,IF(COUNTIF($A$2:A1272,$A1272)=1,1,0))</f>
        <v>0</v>
      </c>
      <c r="K1272" s="47" t="n">
        <f aca="false">IF(J1272=1,N(I1272)+ROW()/10000000,0)</f>
        <v>0</v>
      </c>
      <c r="L1272" s="47" t="str">
        <f aca="false">IF(AND(J1272=1,N(I1272)&gt;0),SUMIF($K$2:$K$5001,"&gt;="&amp;K1272,$I$2:$I$5001)/MAX(1,SUM($H$2:$H$5001)),"")</f>
        <v/>
      </c>
      <c r="M1272" s="47" t="str">
        <f aca="false">IF($A1272="","",INDEX($L$2:$L$5001,MATCH($A1272,$A$2:$A$5001,0)))</f>
        <v/>
      </c>
      <c r="N1272" s="48" t="str">
        <f aca="false">IF($A1272="","",IF(N(M1272)=0,"–",IF(M1272&lt;=Start!$D$20,"A",IF(M1272&lt;=Start!$D$21,"B","C"))))</f>
        <v/>
      </c>
      <c r="O1272" s="48" t="str">
        <f aca="false">IF($A1272="","",IF(NOT(ISNUMBER(F1272)),"Wert fehlt; ",IF(F1272&lt;=0,"Wert ist 0; ",""))&amp;IF(NOT(ISNUMBER(E1272)),"Bestand fehlt; ",IF(E1272&lt;0,"Bestand negativ; ",IF(E1272=0,"Nullbestand; ","")))&amp;IF(D1272="","Warengruppe fehlt; ","")&amp;IF(B1272="","Bezeichnung fehlt; ","")&amp;IF(COUNTIFS($A$2:$A$5001,$A1272,$C$2:$C$5001,C1272)&gt;1,"Artikel doppelt im selben Lager; ",""))</f>
        <v/>
      </c>
      <c r="P1272" s="47" t="n">
        <f aca="false">IF(OR($A1272="",D1272=""),0,IF(COUNTIF($D$2:D1272,D1272)=1,SUMIF($D$2:$D$5001,D1272,$H$2:$H$5001)+ROW()/10000000,0))</f>
        <v>0</v>
      </c>
      <c r="Q1272" s="47" t="n">
        <f aca="false">IF(OR($A1272="",C1272=""),0,IF(COUNTIF($C$2:C1272,C1272)=1,SUMIF($C$2:$C$5001,C1272,$H$2:$H$5001)+ROW()/10000000,0))</f>
        <v>0</v>
      </c>
    </row>
    <row r="1273" customFormat="false" ht="15" hidden="false" customHeight="false" outlineLevel="0" collapsed="false">
      <c r="A1273" s="43"/>
      <c r="B1273" s="44"/>
      <c r="C1273" s="44"/>
      <c r="D1273" s="44"/>
      <c r="E1273" s="44"/>
      <c r="F1273" s="44"/>
      <c r="G1273" s="44"/>
      <c r="H1273" s="46" t="str">
        <f aca="false">IF($A1273="","",IF(OR(NOT(ISNUMBER(E1273)),NOT(ISNUMBER(F1273))),"",MAX(0,E1273)*F1273))</f>
        <v/>
      </c>
      <c r="I1273" s="46" t="str">
        <f aca="false">IF($A1273="","",SUMIF($A$2:$A$5001,$A1273,$H$2:$H$5001))</f>
        <v/>
      </c>
      <c r="J1273" s="47" t="n">
        <f aca="false">IF($A1273="",0,IF(COUNTIF($A$2:A1273,$A1273)=1,1,0))</f>
        <v>0</v>
      </c>
      <c r="K1273" s="47" t="n">
        <f aca="false">IF(J1273=1,N(I1273)+ROW()/10000000,0)</f>
        <v>0</v>
      </c>
      <c r="L1273" s="47" t="str">
        <f aca="false">IF(AND(J1273=1,N(I1273)&gt;0),SUMIF($K$2:$K$5001,"&gt;="&amp;K1273,$I$2:$I$5001)/MAX(1,SUM($H$2:$H$5001)),"")</f>
        <v/>
      </c>
      <c r="M1273" s="47" t="str">
        <f aca="false">IF($A1273="","",INDEX($L$2:$L$5001,MATCH($A1273,$A$2:$A$5001,0)))</f>
        <v/>
      </c>
      <c r="N1273" s="48" t="str">
        <f aca="false">IF($A1273="","",IF(N(M1273)=0,"–",IF(M1273&lt;=Start!$D$20,"A",IF(M1273&lt;=Start!$D$21,"B","C"))))</f>
        <v/>
      </c>
      <c r="O1273" s="48" t="str">
        <f aca="false">IF($A1273="","",IF(NOT(ISNUMBER(F1273)),"Wert fehlt; ",IF(F1273&lt;=0,"Wert ist 0; ",""))&amp;IF(NOT(ISNUMBER(E1273)),"Bestand fehlt; ",IF(E1273&lt;0,"Bestand negativ; ",IF(E1273=0,"Nullbestand; ","")))&amp;IF(D1273="","Warengruppe fehlt; ","")&amp;IF(B1273="","Bezeichnung fehlt; ","")&amp;IF(COUNTIFS($A$2:$A$5001,$A1273,$C$2:$C$5001,C1273)&gt;1,"Artikel doppelt im selben Lager; ",""))</f>
        <v/>
      </c>
      <c r="P1273" s="47" t="n">
        <f aca="false">IF(OR($A1273="",D1273=""),0,IF(COUNTIF($D$2:D1273,D1273)=1,SUMIF($D$2:$D$5001,D1273,$H$2:$H$5001)+ROW()/10000000,0))</f>
        <v>0</v>
      </c>
      <c r="Q1273" s="47" t="n">
        <f aca="false">IF(OR($A1273="",C1273=""),0,IF(COUNTIF($C$2:C1273,C1273)=1,SUMIF($C$2:$C$5001,C1273,$H$2:$H$5001)+ROW()/10000000,0))</f>
        <v>0</v>
      </c>
    </row>
    <row r="1274" customFormat="false" ht="15" hidden="false" customHeight="false" outlineLevel="0" collapsed="false">
      <c r="A1274" s="43"/>
      <c r="B1274" s="44"/>
      <c r="C1274" s="44"/>
      <c r="D1274" s="44"/>
      <c r="E1274" s="44"/>
      <c r="F1274" s="44"/>
      <c r="G1274" s="44"/>
      <c r="H1274" s="46" t="str">
        <f aca="false">IF($A1274="","",IF(OR(NOT(ISNUMBER(E1274)),NOT(ISNUMBER(F1274))),"",MAX(0,E1274)*F1274))</f>
        <v/>
      </c>
      <c r="I1274" s="46" t="str">
        <f aca="false">IF($A1274="","",SUMIF($A$2:$A$5001,$A1274,$H$2:$H$5001))</f>
        <v/>
      </c>
      <c r="J1274" s="47" t="n">
        <f aca="false">IF($A1274="",0,IF(COUNTIF($A$2:A1274,$A1274)=1,1,0))</f>
        <v>0</v>
      </c>
      <c r="K1274" s="47" t="n">
        <f aca="false">IF(J1274=1,N(I1274)+ROW()/10000000,0)</f>
        <v>0</v>
      </c>
      <c r="L1274" s="47" t="str">
        <f aca="false">IF(AND(J1274=1,N(I1274)&gt;0),SUMIF($K$2:$K$5001,"&gt;="&amp;K1274,$I$2:$I$5001)/MAX(1,SUM($H$2:$H$5001)),"")</f>
        <v/>
      </c>
      <c r="M1274" s="47" t="str">
        <f aca="false">IF($A1274="","",INDEX($L$2:$L$5001,MATCH($A1274,$A$2:$A$5001,0)))</f>
        <v/>
      </c>
      <c r="N1274" s="48" t="str">
        <f aca="false">IF($A1274="","",IF(N(M1274)=0,"–",IF(M1274&lt;=Start!$D$20,"A",IF(M1274&lt;=Start!$D$21,"B","C"))))</f>
        <v/>
      </c>
      <c r="O1274" s="48" t="str">
        <f aca="false">IF($A1274="","",IF(NOT(ISNUMBER(F1274)),"Wert fehlt; ",IF(F1274&lt;=0,"Wert ist 0; ",""))&amp;IF(NOT(ISNUMBER(E1274)),"Bestand fehlt; ",IF(E1274&lt;0,"Bestand negativ; ",IF(E1274=0,"Nullbestand; ","")))&amp;IF(D1274="","Warengruppe fehlt; ","")&amp;IF(B1274="","Bezeichnung fehlt; ","")&amp;IF(COUNTIFS($A$2:$A$5001,$A1274,$C$2:$C$5001,C1274)&gt;1,"Artikel doppelt im selben Lager; ",""))</f>
        <v/>
      </c>
      <c r="P1274" s="47" t="n">
        <f aca="false">IF(OR($A1274="",D1274=""),0,IF(COUNTIF($D$2:D1274,D1274)=1,SUMIF($D$2:$D$5001,D1274,$H$2:$H$5001)+ROW()/10000000,0))</f>
        <v>0</v>
      </c>
      <c r="Q1274" s="47" t="n">
        <f aca="false">IF(OR($A1274="",C1274=""),0,IF(COUNTIF($C$2:C1274,C1274)=1,SUMIF($C$2:$C$5001,C1274,$H$2:$H$5001)+ROW()/10000000,0))</f>
        <v>0</v>
      </c>
    </row>
    <row r="1275" customFormat="false" ht="15" hidden="false" customHeight="false" outlineLevel="0" collapsed="false">
      <c r="A1275" s="43"/>
      <c r="B1275" s="44"/>
      <c r="C1275" s="44"/>
      <c r="D1275" s="44"/>
      <c r="E1275" s="44"/>
      <c r="F1275" s="44"/>
      <c r="G1275" s="44"/>
      <c r="H1275" s="46" t="str">
        <f aca="false">IF($A1275="","",IF(OR(NOT(ISNUMBER(E1275)),NOT(ISNUMBER(F1275))),"",MAX(0,E1275)*F1275))</f>
        <v/>
      </c>
      <c r="I1275" s="46" t="str">
        <f aca="false">IF($A1275="","",SUMIF($A$2:$A$5001,$A1275,$H$2:$H$5001))</f>
        <v/>
      </c>
      <c r="J1275" s="47" t="n">
        <f aca="false">IF($A1275="",0,IF(COUNTIF($A$2:A1275,$A1275)=1,1,0))</f>
        <v>0</v>
      </c>
      <c r="K1275" s="47" t="n">
        <f aca="false">IF(J1275=1,N(I1275)+ROW()/10000000,0)</f>
        <v>0</v>
      </c>
      <c r="L1275" s="47" t="str">
        <f aca="false">IF(AND(J1275=1,N(I1275)&gt;0),SUMIF($K$2:$K$5001,"&gt;="&amp;K1275,$I$2:$I$5001)/MAX(1,SUM($H$2:$H$5001)),"")</f>
        <v/>
      </c>
      <c r="M1275" s="47" t="str">
        <f aca="false">IF($A1275="","",INDEX($L$2:$L$5001,MATCH($A1275,$A$2:$A$5001,0)))</f>
        <v/>
      </c>
      <c r="N1275" s="48" t="str">
        <f aca="false">IF($A1275="","",IF(N(M1275)=0,"–",IF(M1275&lt;=Start!$D$20,"A",IF(M1275&lt;=Start!$D$21,"B","C"))))</f>
        <v/>
      </c>
      <c r="O1275" s="48" t="str">
        <f aca="false">IF($A1275="","",IF(NOT(ISNUMBER(F1275)),"Wert fehlt; ",IF(F1275&lt;=0,"Wert ist 0; ",""))&amp;IF(NOT(ISNUMBER(E1275)),"Bestand fehlt; ",IF(E1275&lt;0,"Bestand negativ; ",IF(E1275=0,"Nullbestand; ","")))&amp;IF(D1275="","Warengruppe fehlt; ","")&amp;IF(B1275="","Bezeichnung fehlt; ","")&amp;IF(COUNTIFS($A$2:$A$5001,$A1275,$C$2:$C$5001,C1275)&gt;1,"Artikel doppelt im selben Lager; ",""))</f>
        <v/>
      </c>
      <c r="P1275" s="47" t="n">
        <f aca="false">IF(OR($A1275="",D1275=""),0,IF(COUNTIF($D$2:D1275,D1275)=1,SUMIF($D$2:$D$5001,D1275,$H$2:$H$5001)+ROW()/10000000,0))</f>
        <v>0</v>
      </c>
      <c r="Q1275" s="47" t="n">
        <f aca="false">IF(OR($A1275="",C1275=""),0,IF(COUNTIF($C$2:C1275,C1275)=1,SUMIF($C$2:$C$5001,C1275,$H$2:$H$5001)+ROW()/10000000,0))</f>
        <v>0</v>
      </c>
    </row>
    <row r="1276" customFormat="false" ht="15" hidden="false" customHeight="false" outlineLevel="0" collapsed="false">
      <c r="A1276" s="43"/>
      <c r="B1276" s="44"/>
      <c r="C1276" s="44"/>
      <c r="D1276" s="44"/>
      <c r="E1276" s="44"/>
      <c r="F1276" s="44"/>
      <c r="G1276" s="44"/>
      <c r="H1276" s="46" t="str">
        <f aca="false">IF($A1276="","",IF(OR(NOT(ISNUMBER(E1276)),NOT(ISNUMBER(F1276))),"",MAX(0,E1276)*F1276))</f>
        <v/>
      </c>
      <c r="I1276" s="46" t="str">
        <f aca="false">IF($A1276="","",SUMIF($A$2:$A$5001,$A1276,$H$2:$H$5001))</f>
        <v/>
      </c>
      <c r="J1276" s="47" t="n">
        <f aca="false">IF($A1276="",0,IF(COUNTIF($A$2:A1276,$A1276)=1,1,0))</f>
        <v>0</v>
      </c>
      <c r="K1276" s="47" t="n">
        <f aca="false">IF(J1276=1,N(I1276)+ROW()/10000000,0)</f>
        <v>0</v>
      </c>
      <c r="L1276" s="47" t="str">
        <f aca="false">IF(AND(J1276=1,N(I1276)&gt;0),SUMIF($K$2:$K$5001,"&gt;="&amp;K1276,$I$2:$I$5001)/MAX(1,SUM($H$2:$H$5001)),"")</f>
        <v/>
      </c>
      <c r="M1276" s="47" t="str">
        <f aca="false">IF($A1276="","",INDEX($L$2:$L$5001,MATCH($A1276,$A$2:$A$5001,0)))</f>
        <v/>
      </c>
      <c r="N1276" s="48" t="str">
        <f aca="false">IF($A1276="","",IF(N(M1276)=0,"–",IF(M1276&lt;=Start!$D$20,"A",IF(M1276&lt;=Start!$D$21,"B","C"))))</f>
        <v/>
      </c>
      <c r="O1276" s="48" t="str">
        <f aca="false">IF($A1276="","",IF(NOT(ISNUMBER(F1276)),"Wert fehlt; ",IF(F1276&lt;=0,"Wert ist 0; ",""))&amp;IF(NOT(ISNUMBER(E1276)),"Bestand fehlt; ",IF(E1276&lt;0,"Bestand negativ; ",IF(E1276=0,"Nullbestand; ","")))&amp;IF(D1276="","Warengruppe fehlt; ","")&amp;IF(B1276="","Bezeichnung fehlt; ","")&amp;IF(COUNTIFS($A$2:$A$5001,$A1276,$C$2:$C$5001,C1276)&gt;1,"Artikel doppelt im selben Lager; ",""))</f>
        <v/>
      </c>
      <c r="P1276" s="47" t="n">
        <f aca="false">IF(OR($A1276="",D1276=""),0,IF(COUNTIF($D$2:D1276,D1276)=1,SUMIF($D$2:$D$5001,D1276,$H$2:$H$5001)+ROW()/10000000,0))</f>
        <v>0</v>
      </c>
      <c r="Q1276" s="47" t="n">
        <f aca="false">IF(OR($A1276="",C1276=""),0,IF(COUNTIF($C$2:C1276,C1276)=1,SUMIF($C$2:$C$5001,C1276,$H$2:$H$5001)+ROW()/10000000,0))</f>
        <v>0</v>
      </c>
    </row>
    <row r="1277" customFormat="false" ht="15" hidden="false" customHeight="false" outlineLevel="0" collapsed="false">
      <c r="A1277" s="43"/>
      <c r="B1277" s="44"/>
      <c r="C1277" s="44"/>
      <c r="D1277" s="44"/>
      <c r="E1277" s="44"/>
      <c r="F1277" s="44"/>
      <c r="G1277" s="44"/>
      <c r="H1277" s="46" t="str">
        <f aca="false">IF($A1277="","",IF(OR(NOT(ISNUMBER(E1277)),NOT(ISNUMBER(F1277))),"",MAX(0,E1277)*F1277))</f>
        <v/>
      </c>
      <c r="I1277" s="46" t="str">
        <f aca="false">IF($A1277="","",SUMIF($A$2:$A$5001,$A1277,$H$2:$H$5001))</f>
        <v/>
      </c>
      <c r="J1277" s="47" t="n">
        <f aca="false">IF($A1277="",0,IF(COUNTIF($A$2:A1277,$A1277)=1,1,0))</f>
        <v>0</v>
      </c>
      <c r="K1277" s="47" t="n">
        <f aca="false">IF(J1277=1,N(I1277)+ROW()/10000000,0)</f>
        <v>0</v>
      </c>
      <c r="L1277" s="47" t="str">
        <f aca="false">IF(AND(J1277=1,N(I1277)&gt;0),SUMIF($K$2:$K$5001,"&gt;="&amp;K1277,$I$2:$I$5001)/MAX(1,SUM($H$2:$H$5001)),"")</f>
        <v/>
      </c>
      <c r="M1277" s="47" t="str">
        <f aca="false">IF($A1277="","",INDEX($L$2:$L$5001,MATCH($A1277,$A$2:$A$5001,0)))</f>
        <v/>
      </c>
      <c r="N1277" s="48" t="str">
        <f aca="false">IF($A1277="","",IF(N(M1277)=0,"–",IF(M1277&lt;=Start!$D$20,"A",IF(M1277&lt;=Start!$D$21,"B","C"))))</f>
        <v/>
      </c>
      <c r="O1277" s="48" t="str">
        <f aca="false">IF($A1277="","",IF(NOT(ISNUMBER(F1277)),"Wert fehlt; ",IF(F1277&lt;=0,"Wert ist 0; ",""))&amp;IF(NOT(ISNUMBER(E1277)),"Bestand fehlt; ",IF(E1277&lt;0,"Bestand negativ; ",IF(E1277=0,"Nullbestand; ","")))&amp;IF(D1277="","Warengruppe fehlt; ","")&amp;IF(B1277="","Bezeichnung fehlt; ","")&amp;IF(COUNTIFS($A$2:$A$5001,$A1277,$C$2:$C$5001,C1277)&gt;1,"Artikel doppelt im selben Lager; ",""))</f>
        <v/>
      </c>
      <c r="P1277" s="47" t="n">
        <f aca="false">IF(OR($A1277="",D1277=""),0,IF(COUNTIF($D$2:D1277,D1277)=1,SUMIF($D$2:$D$5001,D1277,$H$2:$H$5001)+ROW()/10000000,0))</f>
        <v>0</v>
      </c>
      <c r="Q1277" s="47" t="n">
        <f aca="false">IF(OR($A1277="",C1277=""),0,IF(COUNTIF($C$2:C1277,C1277)=1,SUMIF($C$2:$C$5001,C1277,$H$2:$H$5001)+ROW()/10000000,0))</f>
        <v>0</v>
      </c>
    </row>
    <row r="1278" customFormat="false" ht="15" hidden="false" customHeight="false" outlineLevel="0" collapsed="false">
      <c r="A1278" s="43"/>
      <c r="B1278" s="44"/>
      <c r="C1278" s="44"/>
      <c r="D1278" s="44"/>
      <c r="E1278" s="44"/>
      <c r="F1278" s="44"/>
      <c r="G1278" s="44"/>
      <c r="H1278" s="46" t="str">
        <f aca="false">IF($A1278="","",IF(OR(NOT(ISNUMBER(E1278)),NOT(ISNUMBER(F1278))),"",MAX(0,E1278)*F1278))</f>
        <v/>
      </c>
      <c r="I1278" s="46" t="str">
        <f aca="false">IF($A1278="","",SUMIF($A$2:$A$5001,$A1278,$H$2:$H$5001))</f>
        <v/>
      </c>
      <c r="J1278" s="47" t="n">
        <f aca="false">IF($A1278="",0,IF(COUNTIF($A$2:A1278,$A1278)=1,1,0))</f>
        <v>0</v>
      </c>
      <c r="K1278" s="47" t="n">
        <f aca="false">IF(J1278=1,N(I1278)+ROW()/10000000,0)</f>
        <v>0</v>
      </c>
      <c r="L1278" s="47" t="str">
        <f aca="false">IF(AND(J1278=1,N(I1278)&gt;0),SUMIF($K$2:$K$5001,"&gt;="&amp;K1278,$I$2:$I$5001)/MAX(1,SUM($H$2:$H$5001)),"")</f>
        <v/>
      </c>
      <c r="M1278" s="47" t="str">
        <f aca="false">IF($A1278="","",INDEX($L$2:$L$5001,MATCH($A1278,$A$2:$A$5001,0)))</f>
        <v/>
      </c>
      <c r="N1278" s="48" t="str">
        <f aca="false">IF($A1278="","",IF(N(M1278)=0,"–",IF(M1278&lt;=Start!$D$20,"A",IF(M1278&lt;=Start!$D$21,"B","C"))))</f>
        <v/>
      </c>
      <c r="O1278" s="48" t="str">
        <f aca="false">IF($A1278="","",IF(NOT(ISNUMBER(F1278)),"Wert fehlt; ",IF(F1278&lt;=0,"Wert ist 0; ",""))&amp;IF(NOT(ISNUMBER(E1278)),"Bestand fehlt; ",IF(E1278&lt;0,"Bestand negativ; ",IF(E1278=0,"Nullbestand; ","")))&amp;IF(D1278="","Warengruppe fehlt; ","")&amp;IF(B1278="","Bezeichnung fehlt; ","")&amp;IF(COUNTIFS($A$2:$A$5001,$A1278,$C$2:$C$5001,C1278)&gt;1,"Artikel doppelt im selben Lager; ",""))</f>
        <v/>
      </c>
      <c r="P1278" s="47" t="n">
        <f aca="false">IF(OR($A1278="",D1278=""),0,IF(COUNTIF($D$2:D1278,D1278)=1,SUMIF($D$2:$D$5001,D1278,$H$2:$H$5001)+ROW()/10000000,0))</f>
        <v>0</v>
      </c>
      <c r="Q1278" s="47" t="n">
        <f aca="false">IF(OR($A1278="",C1278=""),0,IF(COUNTIF($C$2:C1278,C1278)=1,SUMIF($C$2:$C$5001,C1278,$H$2:$H$5001)+ROW()/10000000,0))</f>
        <v>0</v>
      </c>
    </row>
    <row r="1279" customFormat="false" ht="15" hidden="false" customHeight="false" outlineLevel="0" collapsed="false">
      <c r="A1279" s="43"/>
      <c r="B1279" s="44"/>
      <c r="C1279" s="44"/>
      <c r="D1279" s="44"/>
      <c r="E1279" s="44"/>
      <c r="F1279" s="44"/>
      <c r="G1279" s="44"/>
      <c r="H1279" s="46" t="str">
        <f aca="false">IF($A1279="","",IF(OR(NOT(ISNUMBER(E1279)),NOT(ISNUMBER(F1279))),"",MAX(0,E1279)*F1279))</f>
        <v/>
      </c>
      <c r="I1279" s="46" t="str">
        <f aca="false">IF($A1279="","",SUMIF($A$2:$A$5001,$A1279,$H$2:$H$5001))</f>
        <v/>
      </c>
      <c r="J1279" s="47" t="n">
        <f aca="false">IF($A1279="",0,IF(COUNTIF($A$2:A1279,$A1279)=1,1,0))</f>
        <v>0</v>
      </c>
      <c r="K1279" s="47" t="n">
        <f aca="false">IF(J1279=1,N(I1279)+ROW()/10000000,0)</f>
        <v>0</v>
      </c>
      <c r="L1279" s="47" t="str">
        <f aca="false">IF(AND(J1279=1,N(I1279)&gt;0),SUMIF($K$2:$K$5001,"&gt;="&amp;K1279,$I$2:$I$5001)/MAX(1,SUM($H$2:$H$5001)),"")</f>
        <v/>
      </c>
      <c r="M1279" s="47" t="str">
        <f aca="false">IF($A1279="","",INDEX($L$2:$L$5001,MATCH($A1279,$A$2:$A$5001,0)))</f>
        <v/>
      </c>
      <c r="N1279" s="48" t="str">
        <f aca="false">IF($A1279="","",IF(N(M1279)=0,"–",IF(M1279&lt;=Start!$D$20,"A",IF(M1279&lt;=Start!$D$21,"B","C"))))</f>
        <v/>
      </c>
      <c r="O1279" s="48" t="str">
        <f aca="false">IF($A1279="","",IF(NOT(ISNUMBER(F1279)),"Wert fehlt; ",IF(F1279&lt;=0,"Wert ist 0; ",""))&amp;IF(NOT(ISNUMBER(E1279)),"Bestand fehlt; ",IF(E1279&lt;0,"Bestand negativ; ",IF(E1279=0,"Nullbestand; ","")))&amp;IF(D1279="","Warengruppe fehlt; ","")&amp;IF(B1279="","Bezeichnung fehlt; ","")&amp;IF(COUNTIFS($A$2:$A$5001,$A1279,$C$2:$C$5001,C1279)&gt;1,"Artikel doppelt im selben Lager; ",""))</f>
        <v/>
      </c>
      <c r="P1279" s="47" t="n">
        <f aca="false">IF(OR($A1279="",D1279=""),0,IF(COUNTIF($D$2:D1279,D1279)=1,SUMIF($D$2:$D$5001,D1279,$H$2:$H$5001)+ROW()/10000000,0))</f>
        <v>0</v>
      </c>
      <c r="Q1279" s="47" t="n">
        <f aca="false">IF(OR($A1279="",C1279=""),0,IF(COUNTIF($C$2:C1279,C1279)=1,SUMIF($C$2:$C$5001,C1279,$H$2:$H$5001)+ROW()/10000000,0))</f>
        <v>0</v>
      </c>
    </row>
    <row r="1280" customFormat="false" ht="15" hidden="false" customHeight="false" outlineLevel="0" collapsed="false">
      <c r="A1280" s="43"/>
      <c r="B1280" s="44"/>
      <c r="C1280" s="44"/>
      <c r="D1280" s="44"/>
      <c r="E1280" s="44"/>
      <c r="F1280" s="44"/>
      <c r="G1280" s="44"/>
      <c r="H1280" s="46" t="str">
        <f aca="false">IF($A1280="","",IF(OR(NOT(ISNUMBER(E1280)),NOT(ISNUMBER(F1280))),"",MAX(0,E1280)*F1280))</f>
        <v/>
      </c>
      <c r="I1280" s="46" t="str">
        <f aca="false">IF($A1280="","",SUMIF($A$2:$A$5001,$A1280,$H$2:$H$5001))</f>
        <v/>
      </c>
      <c r="J1280" s="47" t="n">
        <f aca="false">IF($A1280="",0,IF(COUNTIF($A$2:A1280,$A1280)=1,1,0))</f>
        <v>0</v>
      </c>
      <c r="K1280" s="47" t="n">
        <f aca="false">IF(J1280=1,N(I1280)+ROW()/10000000,0)</f>
        <v>0</v>
      </c>
      <c r="L1280" s="47" t="str">
        <f aca="false">IF(AND(J1280=1,N(I1280)&gt;0),SUMIF($K$2:$K$5001,"&gt;="&amp;K1280,$I$2:$I$5001)/MAX(1,SUM($H$2:$H$5001)),"")</f>
        <v/>
      </c>
      <c r="M1280" s="47" t="str">
        <f aca="false">IF($A1280="","",INDEX($L$2:$L$5001,MATCH($A1280,$A$2:$A$5001,0)))</f>
        <v/>
      </c>
      <c r="N1280" s="48" t="str">
        <f aca="false">IF($A1280="","",IF(N(M1280)=0,"–",IF(M1280&lt;=Start!$D$20,"A",IF(M1280&lt;=Start!$D$21,"B","C"))))</f>
        <v/>
      </c>
      <c r="O1280" s="48" t="str">
        <f aca="false">IF($A1280="","",IF(NOT(ISNUMBER(F1280)),"Wert fehlt; ",IF(F1280&lt;=0,"Wert ist 0; ",""))&amp;IF(NOT(ISNUMBER(E1280)),"Bestand fehlt; ",IF(E1280&lt;0,"Bestand negativ; ",IF(E1280=0,"Nullbestand; ","")))&amp;IF(D1280="","Warengruppe fehlt; ","")&amp;IF(B1280="","Bezeichnung fehlt; ","")&amp;IF(COUNTIFS($A$2:$A$5001,$A1280,$C$2:$C$5001,C1280)&gt;1,"Artikel doppelt im selben Lager; ",""))</f>
        <v/>
      </c>
      <c r="P1280" s="47" t="n">
        <f aca="false">IF(OR($A1280="",D1280=""),0,IF(COUNTIF($D$2:D1280,D1280)=1,SUMIF($D$2:$D$5001,D1280,$H$2:$H$5001)+ROW()/10000000,0))</f>
        <v>0</v>
      </c>
      <c r="Q1280" s="47" t="n">
        <f aca="false">IF(OR($A1280="",C1280=""),0,IF(COUNTIF($C$2:C1280,C1280)=1,SUMIF($C$2:$C$5001,C1280,$H$2:$H$5001)+ROW()/10000000,0))</f>
        <v>0</v>
      </c>
    </row>
    <row r="1281" customFormat="false" ht="15" hidden="false" customHeight="false" outlineLevel="0" collapsed="false">
      <c r="A1281" s="43"/>
      <c r="B1281" s="44"/>
      <c r="C1281" s="44"/>
      <c r="D1281" s="44"/>
      <c r="E1281" s="44"/>
      <c r="F1281" s="44"/>
      <c r="G1281" s="44"/>
      <c r="H1281" s="46" t="str">
        <f aca="false">IF($A1281="","",IF(OR(NOT(ISNUMBER(E1281)),NOT(ISNUMBER(F1281))),"",MAX(0,E1281)*F1281))</f>
        <v/>
      </c>
      <c r="I1281" s="46" t="str">
        <f aca="false">IF($A1281="","",SUMIF($A$2:$A$5001,$A1281,$H$2:$H$5001))</f>
        <v/>
      </c>
      <c r="J1281" s="47" t="n">
        <f aca="false">IF($A1281="",0,IF(COUNTIF($A$2:A1281,$A1281)=1,1,0))</f>
        <v>0</v>
      </c>
      <c r="K1281" s="47" t="n">
        <f aca="false">IF(J1281=1,N(I1281)+ROW()/10000000,0)</f>
        <v>0</v>
      </c>
      <c r="L1281" s="47" t="str">
        <f aca="false">IF(AND(J1281=1,N(I1281)&gt;0),SUMIF($K$2:$K$5001,"&gt;="&amp;K1281,$I$2:$I$5001)/MAX(1,SUM($H$2:$H$5001)),"")</f>
        <v/>
      </c>
      <c r="M1281" s="47" t="str">
        <f aca="false">IF($A1281="","",INDEX($L$2:$L$5001,MATCH($A1281,$A$2:$A$5001,0)))</f>
        <v/>
      </c>
      <c r="N1281" s="48" t="str">
        <f aca="false">IF($A1281="","",IF(N(M1281)=0,"–",IF(M1281&lt;=Start!$D$20,"A",IF(M1281&lt;=Start!$D$21,"B","C"))))</f>
        <v/>
      </c>
      <c r="O1281" s="48" t="str">
        <f aca="false">IF($A1281="","",IF(NOT(ISNUMBER(F1281)),"Wert fehlt; ",IF(F1281&lt;=0,"Wert ist 0; ",""))&amp;IF(NOT(ISNUMBER(E1281)),"Bestand fehlt; ",IF(E1281&lt;0,"Bestand negativ; ",IF(E1281=0,"Nullbestand; ","")))&amp;IF(D1281="","Warengruppe fehlt; ","")&amp;IF(B1281="","Bezeichnung fehlt; ","")&amp;IF(COUNTIFS($A$2:$A$5001,$A1281,$C$2:$C$5001,C1281)&gt;1,"Artikel doppelt im selben Lager; ",""))</f>
        <v/>
      </c>
      <c r="P1281" s="47" t="n">
        <f aca="false">IF(OR($A1281="",D1281=""),0,IF(COUNTIF($D$2:D1281,D1281)=1,SUMIF($D$2:$D$5001,D1281,$H$2:$H$5001)+ROW()/10000000,0))</f>
        <v>0</v>
      </c>
      <c r="Q1281" s="47" t="n">
        <f aca="false">IF(OR($A1281="",C1281=""),0,IF(COUNTIF($C$2:C1281,C1281)=1,SUMIF($C$2:$C$5001,C1281,$H$2:$H$5001)+ROW()/10000000,0))</f>
        <v>0</v>
      </c>
    </row>
    <row r="1282" customFormat="false" ht="15" hidden="false" customHeight="false" outlineLevel="0" collapsed="false">
      <c r="A1282" s="43"/>
      <c r="B1282" s="44"/>
      <c r="C1282" s="44"/>
      <c r="D1282" s="44"/>
      <c r="E1282" s="44"/>
      <c r="F1282" s="44"/>
      <c r="G1282" s="44"/>
      <c r="H1282" s="46" t="str">
        <f aca="false">IF($A1282="","",IF(OR(NOT(ISNUMBER(E1282)),NOT(ISNUMBER(F1282))),"",MAX(0,E1282)*F1282))</f>
        <v/>
      </c>
      <c r="I1282" s="46" t="str">
        <f aca="false">IF($A1282="","",SUMIF($A$2:$A$5001,$A1282,$H$2:$H$5001))</f>
        <v/>
      </c>
      <c r="J1282" s="47" t="n">
        <f aca="false">IF($A1282="",0,IF(COUNTIF($A$2:A1282,$A1282)=1,1,0))</f>
        <v>0</v>
      </c>
      <c r="K1282" s="47" t="n">
        <f aca="false">IF(J1282=1,N(I1282)+ROW()/10000000,0)</f>
        <v>0</v>
      </c>
      <c r="L1282" s="47" t="str">
        <f aca="false">IF(AND(J1282=1,N(I1282)&gt;0),SUMIF($K$2:$K$5001,"&gt;="&amp;K1282,$I$2:$I$5001)/MAX(1,SUM($H$2:$H$5001)),"")</f>
        <v/>
      </c>
      <c r="M1282" s="47" t="str">
        <f aca="false">IF($A1282="","",INDEX($L$2:$L$5001,MATCH($A1282,$A$2:$A$5001,0)))</f>
        <v/>
      </c>
      <c r="N1282" s="48" t="str">
        <f aca="false">IF($A1282="","",IF(N(M1282)=0,"–",IF(M1282&lt;=Start!$D$20,"A",IF(M1282&lt;=Start!$D$21,"B","C"))))</f>
        <v/>
      </c>
      <c r="O1282" s="48" t="str">
        <f aca="false">IF($A1282="","",IF(NOT(ISNUMBER(F1282)),"Wert fehlt; ",IF(F1282&lt;=0,"Wert ist 0; ",""))&amp;IF(NOT(ISNUMBER(E1282)),"Bestand fehlt; ",IF(E1282&lt;0,"Bestand negativ; ",IF(E1282=0,"Nullbestand; ","")))&amp;IF(D1282="","Warengruppe fehlt; ","")&amp;IF(B1282="","Bezeichnung fehlt; ","")&amp;IF(COUNTIFS($A$2:$A$5001,$A1282,$C$2:$C$5001,C1282)&gt;1,"Artikel doppelt im selben Lager; ",""))</f>
        <v/>
      </c>
      <c r="P1282" s="47" t="n">
        <f aca="false">IF(OR($A1282="",D1282=""),0,IF(COUNTIF($D$2:D1282,D1282)=1,SUMIF($D$2:$D$5001,D1282,$H$2:$H$5001)+ROW()/10000000,0))</f>
        <v>0</v>
      </c>
      <c r="Q1282" s="47" t="n">
        <f aca="false">IF(OR($A1282="",C1282=""),0,IF(COUNTIF($C$2:C1282,C1282)=1,SUMIF($C$2:$C$5001,C1282,$H$2:$H$5001)+ROW()/10000000,0))</f>
        <v>0</v>
      </c>
    </row>
    <row r="1283" customFormat="false" ht="15" hidden="false" customHeight="false" outlineLevel="0" collapsed="false">
      <c r="A1283" s="43"/>
      <c r="B1283" s="44"/>
      <c r="C1283" s="44"/>
      <c r="D1283" s="44"/>
      <c r="E1283" s="44"/>
      <c r="F1283" s="44"/>
      <c r="G1283" s="44"/>
      <c r="H1283" s="46" t="str">
        <f aca="false">IF($A1283="","",IF(OR(NOT(ISNUMBER(E1283)),NOT(ISNUMBER(F1283))),"",MAX(0,E1283)*F1283))</f>
        <v/>
      </c>
      <c r="I1283" s="46" t="str">
        <f aca="false">IF($A1283="","",SUMIF($A$2:$A$5001,$A1283,$H$2:$H$5001))</f>
        <v/>
      </c>
      <c r="J1283" s="47" t="n">
        <f aca="false">IF($A1283="",0,IF(COUNTIF($A$2:A1283,$A1283)=1,1,0))</f>
        <v>0</v>
      </c>
      <c r="K1283" s="47" t="n">
        <f aca="false">IF(J1283=1,N(I1283)+ROW()/10000000,0)</f>
        <v>0</v>
      </c>
      <c r="L1283" s="47" t="str">
        <f aca="false">IF(AND(J1283=1,N(I1283)&gt;0),SUMIF($K$2:$K$5001,"&gt;="&amp;K1283,$I$2:$I$5001)/MAX(1,SUM($H$2:$H$5001)),"")</f>
        <v/>
      </c>
      <c r="M1283" s="47" t="str">
        <f aca="false">IF($A1283="","",INDEX($L$2:$L$5001,MATCH($A1283,$A$2:$A$5001,0)))</f>
        <v/>
      </c>
      <c r="N1283" s="48" t="str">
        <f aca="false">IF($A1283="","",IF(N(M1283)=0,"–",IF(M1283&lt;=Start!$D$20,"A",IF(M1283&lt;=Start!$D$21,"B","C"))))</f>
        <v/>
      </c>
      <c r="O1283" s="48" t="str">
        <f aca="false">IF($A1283="","",IF(NOT(ISNUMBER(F1283)),"Wert fehlt; ",IF(F1283&lt;=0,"Wert ist 0; ",""))&amp;IF(NOT(ISNUMBER(E1283)),"Bestand fehlt; ",IF(E1283&lt;0,"Bestand negativ; ",IF(E1283=0,"Nullbestand; ","")))&amp;IF(D1283="","Warengruppe fehlt; ","")&amp;IF(B1283="","Bezeichnung fehlt; ","")&amp;IF(COUNTIFS($A$2:$A$5001,$A1283,$C$2:$C$5001,C1283)&gt;1,"Artikel doppelt im selben Lager; ",""))</f>
        <v/>
      </c>
      <c r="P1283" s="47" t="n">
        <f aca="false">IF(OR($A1283="",D1283=""),0,IF(COUNTIF($D$2:D1283,D1283)=1,SUMIF($D$2:$D$5001,D1283,$H$2:$H$5001)+ROW()/10000000,0))</f>
        <v>0</v>
      </c>
      <c r="Q1283" s="47" t="n">
        <f aca="false">IF(OR($A1283="",C1283=""),0,IF(COUNTIF($C$2:C1283,C1283)=1,SUMIF($C$2:$C$5001,C1283,$H$2:$H$5001)+ROW()/10000000,0))</f>
        <v>0</v>
      </c>
    </row>
    <row r="1284" customFormat="false" ht="15" hidden="false" customHeight="false" outlineLevel="0" collapsed="false">
      <c r="A1284" s="43"/>
      <c r="B1284" s="44"/>
      <c r="C1284" s="44"/>
      <c r="D1284" s="44"/>
      <c r="E1284" s="44"/>
      <c r="F1284" s="44"/>
      <c r="G1284" s="44"/>
      <c r="H1284" s="46" t="str">
        <f aca="false">IF($A1284="","",IF(OR(NOT(ISNUMBER(E1284)),NOT(ISNUMBER(F1284))),"",MAX(0,E1284)*F1284))</f>
        <v/>
      </c>
      <c r="I1284" s="46" t="str">
        <f aca="false">IF($A1284="","",SUMIF($A$2:$A$5001,$A1284,$H$2:$H$5001))</f>
        <v/>
      </c>
      <c r="J1284" s="47" t="n">
        <f aca="false">IF($A1284="",0,IF(COUNTIF($A$2:A1284,$A1284)=1,1,0))</f>
        <v>0</v>
      </c>
      <c r="K1284" s="47" t="n">
        <f aca="false">IF(J1284=1,N(I1284)+ROW()/10000000,0)</f>
        <v>0</v>
      </c>
      <c r="L1284" s="47" t="str">
        <f aca="false">IF(AND(J1284=1,N(I1284)&gt;0),SUMIF($K$2:$K$5001,"&gt;="&amp;K1284,$I$2:$I$5001)/MAX(1,SUM($H$2:$H$5001)),"")</f>
        <v/>
      </c>
      <c r="M1284" s="47" t="str">
        <f aca="false">IF($A1284="","",INDEX($L$2:$L$5001,MATCH($A1284,$A$2:$A$5001,0)))</f>
        <v/>
      </c>
      <c r="N1284" s="48" t="str">
        <f aca="false">IF($A1284="","",IF(N(M1284)=0,"–",IF(M1284&lt;=Start!$D$20,"A",IF(M1284&lt;=Start!$D$21,"B","C"))))</f>
        <v/>
      </c>
      <c r="O1284" s="48" t="str">
        <f aca="false">IF($A1284="","",IF(NOT(ISNUMBER(F1284)),"Wert fehlt; ",IF(F1284&lt;=0,"Wert ist 0; ",""))&amp;IF(NOT(ISNUMBER(E1284)),"Bestand fehlt; ",IF(E1284&lt;0,"Bestand negativ; ",IF(E1284=0,"Nullbestand; ","")))&amp;IF(D1284="","Warengruppe fehlt; ","")&amp;IF(B1284="","Bezeichnung fehlt; ","")&amp;IF(COUNTIFS($A$2:$A$5001,$A1284,$C$2:$C$5001,C1284)&gt;1,"Artikel doppelt im selben Lager; ",""))</f>
        <v/>
      </c>
      <c r="P1284" s="47" t="n">
        <f aca="false">IF(OR($A1284="",D1284=""),0,IF(COUNTIF($D$2:D1284,D1284)=1,SUMIF($D$2:$D$5001,D1284,$H$2:$H$5001)+ROW()/10000000,0))</f>
        <v>0</v>
      </c>
      <c r="Q1284" s="47" t="n">
        <f aca="false">IF(OR($A1284="",C1284=""),0,IF(COUNTIF($C$2:C1284,C1284)=1,SUMIF($C$2:$C$5001,C1284,$H$2:$H$5001)+ROW()/10000000,0))</f>
        <v>0</v>
      </c>
    </row>
    <row r="1285" customFormat="false" ht="15" hidden="false" customHeight="false" outlineLevel="0" collapsed="false">
      <c r="A1285" s="43"/>
      <c r="B1285" s="44"/>
      <c r="C1285" s="44"/>
      <c r="D1285" s="44"/>
      <c r="E1285" s="44"/>
      <c r="F1285" s="44"/>
      <c r="G1285" s="44"/>
      <c r="H1285" s="46" t="str">
        <f aca="false">IF($A1285="","",IF(OR(NOT(ISNUMBER(E1285)),NOT(ISNUMBER(F1285))),"",MAX(0,E1285)*F1285))</f>
        <v/>
      </c>
      <c r="I1285" s="46" t="str">
        <f aca="false">IF($A1285="","",SUMIF($A$2:$A$5001,$A1285,$H$2:$H$5001))</f>
        <v/>
      </c>
      <c r="J1285" s="47" t="n">
        <f aca="false">IF($A1285="",0,IF(COUNTIF($A$2:A1285,$A1285)=1,1,0))</f>
        <v>0</v>
      </c>
      <c r="K1285" s="47" t="n">
        <f aca="false">IF(J1285=1,N(I1285)+ROW()/10000000,0)</f>
        <v>0</v>
      </c>
      <c r="L1285" s="47" t="str">
        <f aca="false">IF(AND(J1285=1,N(I1285)&gt;0),SUMIF($K$2:$K$5001,"&gt;="&amp;K1285,$I$2:$I$5001)/MAX(1,SUM($H$2:$H$5001)),"")</f>
        <v/>
      </c>
      <c r="M1285" s="47" t="str">
        <f aca="false">IF($A1285="","",INDEX($L$2:$L$5001,MATCH($A1285,$A$2:$A$5001,0)))</f>
        <v/>
      </c>
      <c r="N1285" s="48" t="str">
        <f aca="false">IF($A1285="","",IF(N(M1285)=0,"–",IF(M1285&lt;=Start!$D$20,"A",IF(M1285&lt;=Start!$D$21,"B","C"))))</f>
        <v/>
      </c>
      <c r="O1285" s="48" t="str">
        <f aca="false">IF($A1285="","",IF(NOT(ISNUMBER(F1285)),"Wert fehlt; ",IF(F1285&lt;=0,"Wert ist 0; ",""))&amp;IF(NOT(ISNUMBER(E1285)),"Bestand fehlt; ",IF(E1285&lt;0,"Bestand negativ; ",IF(E1285=0,"Nullbestand; ","")))&amp;IF(D1285="","Warengruppe fehlt; ","")&amp;IF(B1285="","Bezeichnung fehlt; ","")&amp;IF(COUNTIFS($A$2:$A$5001,$A1285,$C$2:$C$5001,C1285)&gt;1,"Artikel doppelt im selben Lager; ",""))</f>
        <v/>
      </c>
      <c r="P1285" s="47" t="n">
        <f aca="false">IF(OR($A1285="",D1285=""),0,IF(COUNTIF($D$2:D1285,D1285)=1,SUMIF($D$2:$D$5001,D1285,$H$2:$H$5001)+ROW()/10000000,0))</f>
        <v>0</v>
      </c>
      <c r="Q1285" s="47" t="n">
        <f aca="false">IF(OR($A1285="",C1285=""),0,IF(COUNTIF($C$2:C1285,C1285)=1,SUMIF($C$2:$C$5001,C1285,$H$2:$H$5001)+ROW()/10000000,0))</f>
        <v>0</v>
      </c>
    </row>
    <row r="1286" customFormat="false" ht="15" hidden="false" customHeight="false" outlineLevel="0" collapsed="false">
      <c r="A1286" s="43"/>
      <c r="B1286" s="44"/>
      <c r="C1286" s="44"/>
      <c r="D1286" s="44"/>
      <c r="E1286" s="44"/>
      <c r="F1286" s="44"/>
      <c r="G1286" s="44"/>
      <c r="H1286" s="46" t="str">
        <f aca="false">IF($A1286="","",IF(OR(NOT(ISNUMBER(E1286)),NOT(ISNUMBER(F1286))),"",MAX(0,E1286)*F1286))</f>
        <v/>
      </c>
      <c r="I1286" s="46" t="str">
        <f aca="false">IF($A1286="","",SUMIF($A$2:$A$5001,$A1286,$H$2:$H$5001))</f>
        <v/>
      </c>
      <c r="J1286" s="47" t="n">
        <f aca="false">IF($A1286="",0,IF(COUNTIF($A$2:A1286,$A1286)=1,1,0))</f>
        <v>0</v>
      </c>
      <c r="K1286" s="47" t="n">
        <f aca="false">IF(J1286=1,N(I1286)+ROW()/10000000,0)</f>
        <v>0</v>
      </c>
      <c r="L1286" s="47" t="str">
        <f aca="false">IF(AND(J1286=1,N(I1286)&gt;0),SUMIF($K$2:$K$5001,"&gt;="&amp;K1286,$I$2:$I$5001)/MAX(1,SUM($H$2:$H$5001)),"")</f>
        <v/>
      </c>
      <c r="M1286" s="47" t="str">
        <f aca="false">IF($A1286="","",INDEX($L$2:$L$5001,MATCH($A1286,$A$2:$A$5001,0)))</f>
        <v/>
      </c>
      <c r="N1286" s="48" t="str">
        <f aca="false">IF($A1286="","",IF(N(M1286)=0,"–",IF(M1286&lt;=Start!$D$20,"A",IF(M1286&lt;=Start!$D$21,"B","C"))))</f>
        <v/>
      </c>
      <c r="O1286" s="48" t="str">
        <f aca="false">IF($A1286="","",IF(NOT(ISNUMBER(F1286)),"Wert fehlt; ",IF(F1286&lt;=0,"Wert ist 0; ",""))&amp;IF(NOT(ISNUMBER(E1286)),"Bestand fehlt; ",IF(E1286&lt;0,"Bestand negativ; ",IF(E1286=0,"Nullbestand; ","")))&amp;IF(D1286="","Warengruppe fehlt; ","")&amp;IF(B1286="","Bezeichnung fehlt; ","")&amp;IF(COUNTIFS($A$2:$A$5001,$A1286,$C$2:$C$5001,C1286)&gt;1,"Artikel doppelt im selben Lager; ",""))</f>
        <v/>
      </c>
      <c r="P1286" s="47" t="n">
        <f aca="false">IF(OR($A1286="",D1286=""),0,IF(COUNTIF($D$2:D1286,D1286)=1,SUMIF($D$2:$D$5001,D1286,$H$2:$H$5001)+ROW()/10000000,0))</f>
        <v>0</v>
      </c>
      <c r="Q1286" s="47" t="n">
        <f aca="false">IF(OR($A1286="",C1286=""),0,IF(COUNTIF($C$2:C1286,C1286)=1,SUMIF($C$2:$C$5001,C1286,$H$2:$H$5001)+ROW()/10000000,0))</f>
        <v>0</v>
      </c>
    </row>
    <row r="1287" customFormat="false" ht="15" hidden="false" customHeight="false" outlineLevel="0" collapsed="false">
      <c r="A1287" s="43"/>
      <c r="B1287" s="44"/>
      <c r="C1287" s="44"/>
      <c r="D1287" s="44"/>
      <c r="E1287" s="44"/>
      <c r="F1287" s="44"/>
      <c r="G1287" s="44"/>
      <c r="H1287" s="46" t="str">
        <f aca="false">IF($A1287="","",IF(OR(NOT(ISNUMBER(E1287)),NOT(ISNUMBER(F1287))),"",MAX(0,E1287)*F1287))</f>
        <v/>
      </c>
      <c r="I1287" s="46" t="str">
        <f aca="false">IF($A1287="","",SUMIF($A$2:$A$5001,$A1287,$H$2:$H$5001))</f>
        <v/>
      </c>
      <c r="J1287" s="47" t="n">
        <f aca="false">IF($A1287="",0,IF(COUNTIF($A$2:A1287,$A1287)=1,1,0))</f>
        <v>0</v>
      </c>
      <c r="K1287" s="47" t="n">
        <f aca="false">IF(J1287=1,N(I1287)+ROW()/10000000,0)</f>
        <v>0</v>
      </c>
      <c r="L1287" s="47" t="str">
        <f aca="false">IF(AND(J1287=1,N(I1287)&gt;0),SUMIF($K$2:$K$5001,"&gt;="&amp;K1287,$I$2:$I$5001)/MAX(1,SUM($H$2:$H$5001)),"")</f>
        <v/>
      </c>
      <c r="M1287" s="47" t="str">
        <f aca="false">IF($A1287="","",INDEX($L$2:$L$5001,MATCH($A1287,$A$2:$A$5001,0)))</f>
        <v/>
      </c>
      <c r="N1287" s="48" t="str">
        <f aca="false">IF($A1287="","",IF(N(M1287)=0,"–",IF(M1287&lt;=Start!$D$20,"A",IF(M1287&lt;=Start!$D$21,"B","C"))))</f>
        <v/>
      </c>
      <c r="O1287" s="48" t="str">
        <f aca="false">IF($A1287="","",IF(NOT(ISNUMBER(F1287)),"Wert fehlt; ",IF(F1287&lt;=0,"Wert ist 0; ",""))&amp;IF(NOT(ISNUMBER(E1287)),"Bestand fehlt; ",IF(E1287&lt;0,"Bestand negativ; ",IF(E1287=0,"Nullbestand; ","")))&amp;IF(D1287="","Warengruppe fehlt; ","")&amp;IF(B1287="","Bezeichnung fehlt; ","")&amp;IF(COUNTIFS($A$2:$A$5001,$A1287,$C$2:$C$5001,C1287)&gt;1,"Artikel doppelt im selben Lager; ",""))</f>
        <v/>
      </c>
      <c r="P1287" s="47" t="n">
        <f aca="false">IF(OR($A1287="",D1287=""),0,IF(COUNTIF($D$2:D1287,D1287)=1,SUMIF($D$2:$D$5001,D1287,$H$2:$H$5001)+ROW()/10000000,0))</f>
        <v>0</v>
      </c>
      <c r="Q1287" s="47" t="n">
        <f aca="false">IF(OR($A1287="",C1287=""),0,IF(COUNTIF($C$2:C1287,C1287)=1,SUMIF($C$2:$C$5001,C1287,$H$2:$H$5001)+ROW()/10000000,0))</f>
        <v>0</v>
      </c>
    </row>
    <row r="1288" customFormat="false" ht="15" hidden="false" customHeight="false" outlineLevel="0" collapsed="false">
      <c r="A1288" s="43"/>
      <c r="B1288" s="44"/>
      <c r="C1288" s="44"/>
      <c r="D1288" s="44"/>
      <c r="E1288" s="44"/>
      <c r="F1288" s="44"/>
      <c r="G1288" s="44"/>
      <c r="H1288" s="46" t="str">
        <f aca="false">IF($A1288="","",IF(OR(NOT(ISNUMBER(E1288)),NOT(ISNUMBER(F1288))),"",MAX(0,E1288)*F1288))</f>
        <v/>
      </c>
      <c r="I1288" s="46" t="str">
        <f aca="false">IF($A1288="","",SUMIF($A$2:$A$5001,$A1288,$H$2:$H$5001))</f>
        <v/>
      </c>
      <c r="J1288" s="47" t="n">
        <f aca="false">IF($A1288="",0,IF(COUNTIF($A$2:A1288,$A1288)=1,1,0))</f>
        <v>0</v>
      </c>
      <c r="K1288" s="47" t="n">
        <f aca="false">IF(J1288=1,N(I1288)+ROW()/10000000,0)</f>
        <v>0</v>
      </c>
      <c r="L1288" s="47" t="str">
        <f aca="false">IF(AND(J1288=1,N(I1288)&gt;0),SUMIF($K$2:$K$5001,"&gt;="&amp;K1288,$I$2:$I$5001)/MAX(1,SUM($H$2:$H$5001)),"")</f>
        <v/>
      </c>
      <c r="M1288" s="47" t="str">
        <f aca="false">IF($A1288="","",INDEX($L$2:$L$5001,MATCH($A1288,$A$2:$A$5001,0)))</f>
        <v/>
      </c>
      <c r="N1288" s="48" t="str">
        <f aca="false">IF($A1288="","",IF(N(M1288)=0,"–",IF(M1288&lt;=Start!$D$20,"A",IF(M1288&lt;=Start!$D$21,"B","C"))))</f>
        <v/>
      </c>
      <c r="O1288" s="48" t="str">
        <f aca="false">IF($A1288="","",IF(NOT(ISNUMBER(F1288)),"Wert fehlt; ",IF(F1288&lt;=0,"Wert ist 0; ",""))&amp;IF(NOT(ISNUMBER(E1288)),"Bestand fehlt; ",IF(E1288&lt;0,"Bestand negativ; ",IF(E1288=0,"Nullbestand; ","")))&amp;IF(D1288="","Warengruppe fehlt; ","")&amp;IF(B1288="","Bezeichnung fehlt; ","")&amp;IF(COUNTIFS($A$2:$A$5001,$A1288,$C$2:$C$5001,C1288)&gt;1,"Artikel doppelt im selben Lager; ",""))</f>
        <v/>
      </c>
      <c r="P1288" s="47" t="n">
        <f aca="false">IF(OR($A1288="",D1288=""),0,IF(COUNTIF($D$2:D1288,D1288)=1,SUMIF($D$2:$D$5001,D1288,$H$2:$H$5001)+ROW()/10000000,0))</f>
        <v>0</v>
      </c>
      <c r="Q1288" s="47" t="n">
        <f aca="false">IF(OR($A1288="",C1288=""),0,IF(COUNTIF($C$2:C1288,C1288)=1,SUMIF($C$2:$C$5001,C1288,$H$2:$H$5001)+ROW()/10000000,0))</f>
        <v>0</v>
      </c>
    </row>
    <row r="1289" customFormat="false" ht="15" hidden="false" customHeight="false" outlineLevel="0" collapsed="false">
      <c r="A1289" s="43"/>
      <c r="B1289" s="44"/>
      <c r="C1289" s="44"/>
      <c r="D1289" s="44"/>
      <c r="E1289" s="44"/>
      <c r="F1289" s="44"/>
      <c r="G1289" s="44"/>
      <c r="H1289" s="46" t="str">
        <f aca="false">IF($A1289="","",IF(OR(NOT(ISNUMBER(E1289)),NOT(ISNUMBER(F1289))),"",MAX(0,E1289)*F1289))</f>
        <v/>
      </c>
      <c r="I1289" s="46" t="str">
        <f aca="false">IF($A1289="","",SUMIF($A$2:$A$5001,$A1289,$H$2:$H$5001))</f>
        <v/>
      </c>
      <c r="J1289" s="47" t="n">
        <f aca="false">IF($A1289="",0,IF(COUNTIF($A$2:A1289,$A1289)=1,1,0))</f>
        <v>0</v>
      </c>
      <c r="K1289" s="47" t="n">
        <f aca="false">IF(J1289=1,N(I1289)+ROW()/10000000,0)</f>
        <v>0</v>
      </c>
      <c r="L1289" s="47" t="str">
        <f aca="false">IF(AND(J1289=1,N(I1289)&gt;0),SUMIF($K$2:$K$5001,"&gt;="&amp;K1289,$I$2:$I$5001)/MAX(1,SUM($H$2:$H$5001)),"")</f>
        <v/>
      </c>
      <c r="M1289" s="47" t="str">
        <f aca="false">IF($A1289="","",INDEX($L$2:$L$5001,MATCH($A1289,$A$2:$A$5001,0)))</f>
        <v/>
      </c>
      <c r="N1289" s="48" t="str">
        <f aca="false">IF($A1289="","",IF(N(M1289)=0,"–",IF(M1289&lt;=Start!$D$20,"A",IF(M1289&lt;=Start!$D$21,"B","C"))))</f>
        <v/>
      </c>
      <c r="O1289" s="48" t="str">
        <f aca="false">IF($A1289="","",IF(NOT(ISNUMBER(F1289)),"Wert fehlt; ",IF(F1289&lt;=0,"Wert ist 0; ",""))&amp;IF(NOT(ISNUMBER(E1289)),"Bestand fehlt; ",IF(E1289&lt;0,"Bestand negativ; ",IF(E1289=0,"Nullbestand; ","")))&amp;IF(D1289="","Warengruppe fehlt; ","")&amp;IF(B1289="","Bezeichnung fehlt; ","")&amp;IF(COUNTIFS($A$2:$A$5001,$A1289,$C$2:$C$5001,C1289)&gt;1,"Artikel doppelt im selben Lager; ",""))</f>
        <v/>
      </c>
      <c r="P1289" s="47" t="n">
        <f aca="false">IF(OR($A1289="",D1289=""),0,IF(COUNTIF($D$2:D1289,D1289)=1,SUMIF($D$2:$D$5001,D1289,$H$2:$H$5001)+ROW()/10000000,0))</f>
        <v>0</v>
      </c>
      <c r="Q1289" s="47" t="n">
        <f aca="false">IF(OR($A1289="",C1289=""),0,IF(COUNTIF($C$2:C1289,C1289)=1,SUMIF($C$2:$C$5001,C1289,$H$2:$H$5001)+ROW()/10000000,0))</f>
        <v>0</v>
      </c>
    </row>
    <row r="1290" customFormat="false" ht="15" hidden="false" customHeight="false" outlineLevel="0" collapsed="false">
      <c r="A1290" s="43"/>
      <c r="B1290" s="44"/>
      <c r="C1290" s="44"/>
      <c r="D1290" s="44"/>
      <c r="E1290" s="44"/>
      <c r="F1290" s="44"/>
      <c r="G1290" s="44"/>
      <c r="H1290" s="46" t="str">
        <f aca="false">IF($A1290="","",IF(OR(NOT(ISNUMBER(E1290)),NOT(ISNUMBER(F1290))),"",MAX(0,E1290)*F1290))</f>
        <v/>
      </c>
      <c r="I1290" s="46" t="str">
        <f aca="false">IF($A1290="","",SUMIF($A$2:$A$5001,$A1290,$H$2:$H$5001))</f>
        <v/>
      </c>
      <c r="J1290" s="47" t="n">
        <f aca="false">IF($A1290="",0,IF(COUNTIF($A$2:A1290,$A1290)=1,1,0))</f>
        <v>0</v>
      </c>
      <c r="K1290" s="47" t="n">
        <f aca="false">IF(J1290=1,N(I1290)+ROW()/10000000,0)</f>
        <v>0</v>
      </c>
      <c r="L1290" s="47" t="str">
        <f aca="false">IF(AND(J1290=1,N(I1290)&gt;0),SUMIF($K$2:$K$5001,"&gt;="&amp;K1290,$I$2:$I$5001)/MAX(1,SUM($H$2:$H$5001)),"")</f>
        <v/>
      </c>
      <c r="M1290" s="47" t="str">
        <f aca="false">IF($A1290="","",INDEX($L$2:$L$5001,MATCH($A1290,$A$2:$A$5001,0)))</f>
        <v/>
      </c>
      <c r="N1290" s="48" t="str">
        <f aca="false">IF($A1290="","",IF(N(M1290)=0,"–",IF(M1290&lt;=Start!$D$20,"A",IF(M1290&lt;=Start!$D$21,"B","C"))))</f>
        <v/>
      </c>
      <c r="O1290" s="48" t="str">
        <f aca="false">IF($A1290="","",IF(NOT(ISNUMBER(F1290)),"Wert fehlt; ",IF(F1290&lt;=0,"Wert ist 0; ",""))&amp;IF(NOT(ISNUMBER(E1290)),"Bestand fehlt; ",IF(E1290&lt;0,"Bestand negativ; ",IF(E1290=0,"Nullbestand; ","")))&amp;IF(D1290="","Warengruppe fehlt; ","")&amp;IF(B1290="","Bezeichnung fehlt; ","")&amp;IF(COUNTIFS($A$2:$A$5001,$A1290,$C$2:$C$5001,C1290)&gt;1,"Artikel doppelt im selben Lager; ",""))</f>
        <v/>
      </c>
      <c r="P1290" s="47" t="n">
        <f aca="false">IF(OR($A1290="",D1290=""),0,IF(COUNTIF($D$2:D1290,D1290)=1,SUMIF($D$2:$D$5001,D1290,$H$2:$H$5001)+ROW()/10000000,0))</f>
        <v>0</v>
      </c>
      <c r="Q1290" s="47" t="n">
        <f aca="false">IF(OR($A1290="",C1290=""),0,IF(COUNTIF($C$2:C1290,C1290)=1,SUMIF($C$2:$C$5001,C1290,$H$2:$H$5001)+ROW()/10000000,0))</f>
        <v>0</v>
      </c>
    </row>
    <row r="1291" customFormat="false" ht="15" hidden="false" customHeight="false" outlineLevel="0" collapsed="false">
      <c r="A1291" s="43"/>
      <c r="B1291" s="44"/>
      <c r="C1291" s="44"/>
      <c r="D1291" s="44"/>
      <c r="E1291" s="44"/>
      <c r="F1291" s="44"/>
      <c r="G1291" s="44"/>
      <c r="H1291" s="46" t="str">
        <f aca="false">IF($A1291="","",IF(OR(NOT(ISNUMBER(E1291)),NOT(ISNUMBER(F1291))),"",MAX(0,E1291)*F1291))</f>
        <v/>
      </c>
      <c r="I1291" s="46" t="str">
        <f aca="false">IF($A1291="","",SUMIF($A$2:$A$5001,$A1291,$H$2:$H$5001))</f>
        <v/>
      </c>
      <c r="J1291" s="47" t="n">
        <f aca="false">IF($A1291="",0,IF(COUNTIF($A$2:A1291,$A1291)=1,1,0))</f>
        <v>0</v>
      </c>
      <c r="K1291" s="47" t="n">
        <f aca="false">IF(J1291=1,N(I1291)+ROW()/10000000,0)</f>
        <v>0</v>
      </c>
      <c r="L1291" s="47" t="str">
        <f aca="false">IF(AND(J1291=1,N(I1291)&gt;0),SUMIF($K$2:$K$5001,"&gt;="&amp;K1291,$I$2:$I$5001)/MAX(1,SUM($H$2:$H$5001)),"")</f>
        <v/>
      </c>
      <c r="M1291" s="47" t="str">
        <f aca="false">IF($A1291="","",INDEX($L$2:$L$5001,MATCH($A1291,$A$2:$A$5001,0)))</f>
        <v/>
      </c>
      <c r="N1291" s="48" t="str">
        <f aca="false">IF($A1291="","",IF(N(M1291)=0,"–",IF(M1291&lt;=Start!$D$20,"A",IF(M1291&lt;=Start!$D$21,"B","C"))))</f>
        <v/>
      </c>
      <c r="O1291" s="48" t="str">
        <f aca="false">IF($A1291="","",IF(NOT(ISNUMBER(F1291)),"Wert fehlt; ",IF(F1291&lt;=0,"Wert ist 0; ",""))&amp;IF(NOT(ISNUMBER(E1291)),"Bestand fehlt; ",IF(E1291&lt;0,"Bestand negativ; ",IF(E1291=0,"Nullbestand; ","")))&amp;IF(D1291="","Warengruppe fehlt; ","")&amp;IF(B1291="","Bezeichnung fehlt; ","")&amp;IF(COUNTIFS($A$2:$A$5001,$A1291,$C$2:$C$5001,C1291)&gt;1,"Artikel doppelt im selben Lager; ",""))</f>
        <v/>
      </c>
      <c r="P1291" s="47" t="n">
        <f aca="false">IF(OR($A1291="",D1291=""),0,IF(COUNTIF($D$2:D1291,D1291)=1,SUMIF($D$2:$D$5001,D1291,$H$2:$H$5001)+ROW()/10000000,0))</f>
        <v>0</v>
      </c>
      <c r="Q1291" s="47" t="n">
        <f aca="false">IF(OR($A1291="",C1291=""),0,IF(COUNTIF($C$2:C1291,C1291)=1,SUMIF($C$2:$C$5001,C1291,$H$2:$H$5001)+ROW()/10000000,0))</f>
        <v>0</v>
      </c>
    </row>
    <row r="1292" customFormat="false" ht="15" hidden="false" customHeight="false" outlineLevel="0" collapsed="false">
      <c r="A1292" s="43"/>
      <c r="B1292" s="44"/>
      <c r="C1292" s="44"/>
      <c r="D1292" s="44"/>
      <c r="E1292" s="44"/>
      <c r="F1292" s="44"/>
      <c r="G1292" s="44"/>
      <c r="H1292" s="46" t="str">
        <f aca="false">IF($A1292="","",IF(OR(NOT(ISNUMBER(E1292)),NOT(ISNUMBER(F1292))),"",MAX(0,E1292)*F1292))</f>
        <v/>
      </c>
      <c r="I1292" s="46" t="str">
        <f aca="false">IF($A1292="","",SUMIF($A$2:$A$5001,$A1292,$H$2:$H$5001))</f>
        <v/>
      </c>
      <c r="J1292" s="47" t="n">
        <f aca="false">IF($A1292="",0,IF(COUNTIF($A$2:A1292,$A1292)=1,1,0))</f>
        <v>0</v>
      </c>
      <c r="K1292" s="47" t="n">
        <f aca="false">IF(J1292=1,N(I1292)+ROW()/10000000,0)</f>
        <v>0</v>
      </c>
      <c r="L1292" s="47" t="str">
        <f aca="false">IF(AND(J1292=1,N(I1292)&gt;0),SUMIF($K$2:$K$5001,"&gt;="&amp;K1292,$I$2:$I$5001)/MAX(1,SUM($H$2:$H$5001)),"")</f>
        <v/>
      </c>
      <c r="M1292" s="47" t="str">
        <f aca="false">IF($A1292="","",INDEX($L$2:$L$5001,MATCH($A1292,$A$2:$A$5001,0)))</f>
        <v/>
      </c>
      <c r="N1292" s="48" t="str">
        <f aca="false">IF($A1292="","",IF(N(M1292)=0,"–",IF(M1292&lt;=Start!$D$20,"A",IF(M1292&lt;=Start!$D$21,"B","C"))))</f>
        <v/>
      </c>
      <c r="O1292" s="48" t="str">
        <f aca="false">IF($A1292="","",IF(NOT(ISNUMBER(F1292)),"Wert fehlt; ",IF(F1292&lt;=0,"Wert ist 0; ",""))&amp;IF(NOT(ISNUMBER(E1292)),"Bestand fehlt; ",IF(E1292&lt;0,"Bestand negativ; ",IF(E1292=0,"Nullbestand; ","")))&amp;IF(D1292="","Warengruppe fehlt; ","")&amp;IF(B1292="","Bezeichnung fehlt; ","")&amp;IF(COUNTIFS($A$2:$A$5001,$A1292,$C$2:$C$5001,C1292)&gt;1,"Artikel doppelt im selben Lager; ",""))</f>
        <v/>
      </c>
      <c r="P1292" s="47" t="n">
        <f aca="false">IF(OR($A1292="",D1292=""),0,IF(COUNTIF($D$2:D1292,D1292)=1,SUMIF($D$2:$D$5001,D1292,$H$2:$H$5001)+ROW()/10000000,0))</f>
        <v>0</v>
      </c>
      <c r="Q1292" s="47" t="n">
        <f aca="false">IF(OR($A1292="",C1292=""),0,IF(COUNTIF($C$2:C1292,C1292)=1,SUMIF($C$2:$C$5001,C1292,$H$2:$H$5001)+ROW()/10000000,0))</f>
        <v>0</v>
      </c>
    </row>
    <row r="1293" customFormat="false" ht="15" hidden="false" customHeight="false" outlineLevel="0" collapsed="false">
      <c r="A1293" s="43"/>
      <c r="B1293" s="44"/>
      <c r="C1293" s="44"/>
      <c r="D1293" s="44"/>
      <c r="E1293" s="44"/>
      <c r="F1293" s="44"/>
      <c r="G1293" s="44"/>
      <c r="H1293" s="46" t="str">
        <f aca="false">IF($A1293="","",IF(OR(NOT(ISNUMBER(E1293)),NOT(ISNUMBER(F1293))),"",MAX(0,E1293)*F1293))</f>
        <v/>
      </c>
      <c r="I1293" s="46" t="str">
        <f aca="false">IF($A1293="","",SUMIF($A$2:$A$5001,$A1293,$H$2:$H$5001))</f>
        <v/>
      </c>
      <c r="J1293" s="47" t="n">
        <f aca="false">IF($A1293="",0,IF(COUNTIF($A$2:A1293,$A1293)=1,1,0))</f>
        <v>0</v>
      </c>
      <c r="K1293" s="47" t="n">
        <f aca="false">IF(J1293=1,N(I1293)+ROW()/10000000,0)</f>
        <v>0</v>
      </c>
      <c r="L1293" s="47" t="str">
        <f aca="false">IF(AND(J1293=1,N(I1293)&gt;0),SUMIF($K$2:$K$5001,"&gt;="&amp;K1293,$I$2:$I$5001)/MAX(1,SUM($H$2:$H$5001)),"")</f>
        <v/>
      </c>
      <c r="M1293" s="47" t="str">
        <f aca="false">IF($A1293="","",INDEX($L$2:$L$5001,MATCH($A1293,$A$2:$A$5001,0)))</f>
        <v/>
      </c>
      <c r="N1293" s="48" t="str">
        <f aca="false">IF($A1293="","",IF(N(M1293)=0,"–",IF(M1293&lt;=Start!$D$20,"A",IF(M1293&lt;=Start!$D$21,"B","C"))))</f>
        <v/>
      </c>
      <c r="O1293" s="48" t="str">
        <f aca="false">IF($A1293="","",IF(NOT(ISNUMBER(F1293)),"Wert fehlt; ",IF(F1293&lt;=0,"Wert ist 0; ",""))&amp;IF(NOT(ISNUMBER(E1293)),"Bestand fehlt; ",IF(E1293&lt;0,"Bestand negativ; ",IF(E1293=0,"Nullbestand; ","")))&amp;IF(D1293="","Warengruppe fehlt; ","")&amp;IF(B1293="","Bezeichnung fehlt; ","")&amp;IF(COUNTIFS($A$2:$A$5001,$A1293,$C$2:$C$5001,C1293)&gt;1,"Artikel doppelt im selben Lager; ",""))</f>
        <v/>
      </c>
      <c r="P1293" s="47" t="n">
        <f aca="false">IF(OR($A1293="",D1293=""),0,IF(COUNTIF($D$2:D1293,D1293)=1,SUMIF($D$2:$D$5001,D1293,$H$2:$H$5001)+ROW()/10000000,0))</f>
        <v>0</v>
      </c>
      <c r="Q1293" s="47" t="n">
        <f aca="false">IF(OR($A1293="",C1293=""),0,IF(COUNTIF($C$2:C1293,C1293)=1,SUMIF($C$2:$C$5001,C1293,$H$2:$H$5001)+ROW()/10000000,0))</f>
        <v>0</v>
      </c>
    </row>
    <row r="1294" customFormat="false" ht="15" hidden="false" customHeight="false" outlineLevel="0" collapsed="false">
      <c r="A1294" s="43"/>
      <c r="B1294" s="44"/>
      <c r="C1294" s="44"/>
      <c r="D1294" s="44"/>
      <c r="E1294" s="44"/>
      <c r="F1294" s="44"/>
      <c r="G1294" s="44"/>
      <c r="H1294" s="46" t="str">
        <f aca="false">IF($A1294="","",IF(OR(NOT(ISNUMBER(E1294)),NOT(ISNUMBER(F1294))),"",MAX(0,E1294)*F1294))</f>
        <v/>
      </c>
      <c r="I1294" s="46" t="str">
        <f aca="false">IF($A1294="","",SUMIF($A$2:$A$5001,$A1294,$H$2:$H$5001))</f>
        <v/>
      </c>
      <c r="J1294" s="47" t="n">
        <f aca="false">IF($A1294="",0,IF(COUNTIF($A$2:A1294,$A1294)=1,1,0))</f>
        <v>0</v>
      </c>
      <c r="K1294" s="47" t="n">
        <f aca="false">IF(J1294=1,N(I1294)+ROW()/10000000,0)</f>
        <v>0</v>
      </c>
      <c r="L1294" s="47" t="str">
        <f aca="false">IF(AND(J1294=1,N(I1294)&gt;0),SUMIF($K$2:$K$5001,"&gt;="&amp;K1294,$I$2:$I$5001)/MAX(1,SUM($H$2:$H$5001)),"")</f>
        <v/>
      </c>
      <c r="M1294" s="47" t="str">
        <f aca="false">IF($A1294="","",INDEX($L$2:$L$5001,MATCH($A1294,$A$2:$A$5001,0)))</f>
        <v/>
      </c>
      <c r="N1294" s="48" t="str">
        <f aca="false">IF($A1294="","",IF(N(M1294)=0,"–",IF(M1294&lt;=Start!$D$20,"A",IF(M1294&lt;=Start!$D$21,"B","C"))))</f>
        <v/>
      </c>
      <c r="O1294" s="48" t="str">
        <f aca="false">IF($A1294="","",IF(NOT(ISNUMBER(F1294)),"Wert fehlt; ",IF(F1294&lt;=0,"Wert ist 0; ",""))&amp;IF(NOT(ISNUMBER(E1294)),"Bestand fehlt; ",IF(E1294&lt;0,"Bestand negativ; ",IF(E1294=0,"Nullbestand; ","")))&amp;IF(D1294="","Warengruppe fehlt; ","")&amp;IF(B1294="","Bezeichnung fehlt; ","")&amp;IF(COUNTIFS($A$2:$A$5001,$A1294,$C$2:$C$5001,C1294)&gt;1,"Artikel doppelt im selben Lager; ",""))</f>
        <v/>
      </c>
      <c r="P1294" s="47" t="n">
        <f aca="false">IF(OR($A1294="",D1294=""),0,IF(COUNTIF($D$2:D1294,D1294)=1,SUMIF($D$2:$D$5001,D1294,$H$2:$H$5001)+ROW()/10000000,0))</f>
        <v>0</v>
      </c>
      <c r="Q1294" s="47" t="n">
        <f aca="false">IF(OR($A1294="",C1294=""),0,IF(COUNTIF($C$2:C1294,C1294)=1,SUMIF($C$2:$C$5001,C1294,$H$2:$H$5001)+ROW()/10000000,0))</f>
        <v>0</v>
      </c>
    </row>
    <row r="1295" customFormat="false" ht="15" hidden="false" customHeight="false" outlineLevel="0" collapsed="false">
      <c r="A1295" s="43"/>
      <c r="B1295" s="44"/>
      <c r="C1295" s="44"/>
      <c r="D1295" s="44"/>
      <c r="E1295" s="44"/>
      <c r="F1295" s="44"/>
      <c r="G1295" s="44"/>
      <c r="H1295" s="46" t="str">
        <f aca="false">IF($A1295="","",IF(OR(NOT(ISNUMBER(E1295)),NOT(ISNUMBER(F1295))),"",MAX(0,E1295)*F1295))</f>
        <v/>
      </c>
      <c r="I1295" s="46" t="str">
        <f aca="false">IF($A1295="","",SUMIF($A$2:$A$5001,$A1295,$H$2:$H$5001))</f>
        <v/>
      </c>
      <c r="J1295" s="47" t="n">
        <f aca="false">IF($A1295="",0,IF(COUNTIF($A$2:A1295,$A1295)=1,1,0))</f>
        <v>0</v>
      </c>
      <c r="K1295" s="47" t="n">
        <f aca="false">IF(J1295=1,N(I1295)+ROW()/10000000,0)</f>
        <v>0</v>
      </c>
      <c r="L1295" s="47" t="str">
        <f aca="false">IF(AND(J1295=1,N(I1295)&gt;0),SUMIF($K$2:$K$5001,"&gt;="&amp;K1295,$I$2:$I$5001)/MAX(1,SUM($H$2:$H$5001)),"")</f>
        <v/>
      </c>
      <c r="M1295" s="47" t="str">
        <f aca="false">IF($A1295="","",INDEX($L$2:$L$5001,MATCH($A1295,$A$2:$A$5001,0)))</f>
        <v/>
      </c>
      <c r="N1295" s="48" t="str">
        <f aca="false">IF($A1295="","",IF(N(M1295)=0,"–",IF(M1295&lt;=Start!$D$20,"A",IF(M1295&lt;=Start!$D$21,"B","C"))))</f>
        <v/>
      </c>
      <c r="O1295" s="48" t="str">
        <f aca="false">IF($A1295="","",IF(NOT(ISNUMBER(F1295)),"Wert fehlt; ",IF(F1295&lt;=0,"Wert ist 0; ",""))&amp;IF(NOT(ISNUMBER(E1295)),"Bestand fehlt; ",IF(E1295&lt;0,"Bestand negativ; ",IF(E1295=0,"Nullbestand; ","")))&amp;IF(D1295="","Warengruppe fehlt; ","")&amp;IF(B1295="","Bezeichnung fehlt; ","")&amp;IF(COUNTIFS($A$2:$A$5001,$A1295,$C$2:$C$5001,C1295)&gt;1,"Artikel doppelt im selben Lager; ",""))</f>
        <v/>
      </c>
      <c r="P1295" s="47" t="n">
        <f aca="false">IF(OR($A1295="",D1295=""),0,IF(COUNTIF($D$2:D1295,D1295)=1,SUMIF($D$2:$D$5001,D1295,$H$2:$H$5001)+ROW()/10000000,0))</f>
        <v>0</v>
      </c>
      <c r="Q1295" s="47" t="n">
        <f aca="false">IF(OR($A1295="",C1295=""),0,IF(COUNTIF($C$2:C1295,C1295)=1,SUMIF($C$2:$C$5001,C1295,$H$2:$H$5001)+ROW()/10000000,0))</f>
        <v>0</v>
      </c>
    </row>
    <row r="1296" customFormat="false" ht="15" hidden="false" customHeight="false" outlineLevel="0" collapsed="false">
      <c r="A1296" s="43"/>
      <c r="B1296" s="44"/>
      <c r="C1296" s="44"/>
      <c r="D1296" s="44"/>
      <c r="E1296" s="44"/>
      <c r="F1296" s="44"/>
      <c r="G1296" s="44"/>
      <c r="H1296" s="46" t="str">
        <f aca="false">IF($A1296="","",IF(OR(NOT(ISNUMBER(E1296)),NOT(ISNUMBER(F1296))),"",MAX(0,E1296)*F1296))</f>
        <v/>
      </c>
      <c r="I1296" s="46" t="str">
        <f aca="false">IF($A1296="","",SUMIF($A$2:$A$5001,$A1296,$H$2:$H$5001))</f>
        <v/>
      </c>
      <c r="J1296" s="47" t="n">
        <f aca="false">IF($A1296="",0,IF(COUNTIF($A$2:A1296,$A1296)=1,1,0))</f>
        <v>0</v>
      </c>
      <c r="K1296" s="47" t="n">
        <f aca="false">IF(J1296=1,N(I1296)+ROW()/10000000,0)</f>
        <v>0</v>
      </c>
      <c r="L1296" s="47" t="str">
        <f aca="false">IF(AND(J1296=1,N(I1296)&gt;0),SUMIF($K$2:$K$5001,"&gt;="&amp;K1296,$I$2:$I$5001)/MAX(1,SUM($H$2:$H$5001)),"")</f>
        <v/>
      </c>
      <c r="M1296" s="47" t="str">
        <f aca="false">IF($A1296="","",INDEX($L$2:$L$5001,MATCH($A1296,$A$2:$A$5001,0)))</f>
        <v/>
      </c>
      <c r="N1296" s="48" t="str">
        <f aca="false">IF($A1296="","",IF(N(M1296)=0,"–",IF(M1296&lt;=Start!$D$20,"A",IF(M1296&lt;=Start!$D$21,"B","C"))))</f>
        <v/>
      </c>
      <c r="O1296" s="48" t="str">
        <f aca="false">IF($A1296="","",IF(NOT(ISNUMBER(F1296)),"Wert fehlt; ",IF(F1296&lt;=0,"Wert ist 0; ",""))&amp;IF(NOT(ISNUMBER(E1296)),"Bestand fehlt; ",IF(E1296&lt;0,"Bestand negativ; ",IF(E1296=0,"Nullbestand; ","")))&amp;IF(D1296="","Warengruppe fehlt; ","")&amp;IF(B1296="","Bezeichnung fehlt; ","")&amp;IF(COUNTIFS($A$2:$A$5001,$A1296,$C$2:$C$5001,C1296)&gt;1,"Artikel doppelt im selben Lager; ",""))</f>
        <v/>
      </c>
      <c r="P1296" s="47" t="n">
        <f aca="false">IF(OR($A1296="",D1296=""),0,IF(COUNTIF($D$2:D1296,D1296)=1,SUMIF($D$2:$D$5001,D1296,$H$2:$H$5001)+ROW()/10000000,0))</f>
        <v>0</v>
      </c>
      <c r="Q1296" s="47" t="n">
        <f aca="false">IF(OR($A1296="",C1296=""),0,IF(COUNTIF($C$2:C1296,C1296)=1,SUMIF($C$2:$C$5001,C1296,$H$2:$H$5001)+ROW()/10000000,0))</f>
        <v>0</v>
      </c>
    </row>
    <row r="1297" customFormat="false" ht="15" hidden="false" customHeight="false" outlineLevel="0" collapsed="false">
      <c r="A1297" s="43"/>
      <c r="B1297" s="44"/>
      <c r="C1297" s="44"/>
      <c r="D1297" s="44"/>
      <c r="E1297" s="44"/>
      <c r="F1297" s="44"/>
      <c r="G1297" s="44"/>
      <c r="H1297" s="46" t="str">
        <f aca="false">IF($A1297="","",IF(OR(NOT(ISNUMBER(E1297)),NOT(ISNUMBER(F1297))),"",MAX(0,E1297)*F1297))</f>
        <v/>
      </c>
      <c r="I1297" s="46" t="str">
        <f aca="false">IF($A1297="","",SUMIF($A$2:$A$5001,$A1297,$H$2:$H$5001))</f>
        <v/>
      </c>
      <c r="J1297" s="47" t="n">
        <f aca="false">IF($A1297="",0,IF(COUNTIF($A$2:A1297,$A1297)=1,1,0))</f>
        <v>0</v>
      </c>
      <c r="K1297" s="47" t="n">
        <f aca="false">IF(J1297=1,N(I1297)+ROW()/10000000,0)</f>
        <v>0</v>
      </c>
      <c r="L1297" s="47" t="str">
        <f aca="false">IF(AND(J1297=1,N(I1297)&gt;0),SUMIF($K$2:$K$5001,"&gt;="&amp;K1297,$I$2:$I$5001)/MAX(1,SUM($H$2:$H$5001)),"")</f>
        <v/>
      </c>
      <c r="M1297" s="47" t="str">
        <f aca="false">IF($A1297="","",INDEX($L$2:$L$5001,MATCH($A1297,$A$2:$A$5001,0)))</f>
        <v/>
      </c>
      <c r="N1297" s="48" t="str">
        <f aca="false">IF($A1297="","",IF(N(M1297)=0,"–",IF(M1297&lt;=Start!$D$20,"A",IF(M1297&lt;=Start!$D$21,"B","C"))))</f>
        <v/>
      </c>
      <c r="O1297" s="48" t="str">
        <f aca="false">IF($A1297="","",IF(NOT(ISNUMBER(F1297)),"Wert fehlt; ",IF(F1297&lt;=0,"Wert ist 0; ",""))&amp;IF(NOT(ISNUMBER(E1297)),"Bestand fehlt; ",IF(E1297&lt;0,"Bestand negativ; ",IF(E1297=0,"Nullbestand; ","")))&amp;IF(D1297="","Warengruppe fehlt; ","")&amp;IF(B1297="","Bezeichnung fehlt; ","")&amp;IF(COUNTIFS($A$2:$A$5001,$A1297,$C$2:$C$5001,C1297)&gt;1,"Artikel doppelt im selben Lager; ",""))</f>
        <v/>
      </c>
      <c r="P1297" s="47" t="n">
        <f aca="false">IF(OR($A1297="",D1297=""),0,IF(COUNTIF($D$2:D1297,D1297)=1,SUMIF($D$2:$D$5001,D1297,$H$2:$H$5001)+ROW()/10000000,0))</f>
        <v>0</v>
      </c>
      <c r="Q1297" s="47" t="n">
        <f aca="false">IF(OR($A1297="",C1297=""),0,IF(COUNTIF($C$2:C1297,C1297)=1,SUMIF($C$2:$C$5001,C1297,$H$2:$H$5001)+ROW()/10000000,0))</f>
        <v>0</v>
      </c>
    </row>
    <row r="1298" customFormat="false" ht="15" hidden="false" customHeight="false" outlineLevel="0" collapsed="false">
      <c r="A1298" s="43"/>
      <c r="B1298" s="44"/>
      <c r="C1298" s="44"/>
      <c r="D1298" s="44"/>
      <c r="E1298" s="44"/>
      <c r="F1298" s="44"/>
      <c r="G1298" s="44"/>
      <c r="H1298" s="46" t="str">
        <f aca="false">IF($A1298="","",IF(OR(NOT(ISNUMBER(E1298)),NOT(ISNUMBER(F1298))),"",MAX(0,E1298)*F1298))</f>
        <v/>
      </c>
      <c r="I1298" s="46" t="str">
        <f aca="false">IF($A1298="","",SUMIF($A$2:$A$5001,$A1298,$H$2:$H$5001))</f>
        <v/>
      </c>
      <c r="J1298" s="47" t="n">
        <f aca="false">IF($A1298="",0,IF(COUNTIF($A$2:A1298,$A1298)=1,1,0))</f>
        <v>0</v>
      </c>
      <c r="K1298" s="47" t="n">
        <f aca="false">IF(J1298=1,N(I1298)+ROW()/10000000,0)</f>
        <v>0</v>
      </c>
      <c r="L1298" s="47" t="str">
        <f aca="false">IF(AND(J1298=1,N(I1298)&gt;0),SUMIF($K$2:$K$5001,"&gt;="&amp;K1298,$I$2:$I$5001)/MAX(1,SUM($H$2:$H$5001)),"")</f>
        <v/>
      </c>
      <c r="M1298" s="47" t="str">
        <f aca="false">IF($A1298="","",INDEX($L$2:$L$5001,MATCH($A1298,$A$2:$A$5001,0)))</f>
        <v/>
      </c>
      <c r="N1298" s="48" t="str">
        <f aca="false">IF($A1298="","",IF(N(M1298)=0,"–",IF(M1298&lt;=Start!$D$20,"A",IF(M1298&lt;=Start!$D$21,"B","C"))))</f>
        <v/>
      </c>
      <c r="O1298" s="48" t="str">
        <f aca="false">IF($A1298="","",IF(NOT(ISNUMBER(F1298)),"Wert fehlt; ",IF(F1298&lt;=0,"Wert ist 0; ",""))&amp;IF(NOT(ISNUMBER(E1298)),"Bestand fehlt; ",IF(E1298&lt;0,"Bestand negativ; ",IF(E1298=0,"Nullbestand; ","")))&amp;IF(D1298="","Warengruppe fehlt; ","")&amp;IF(B1298="","Bezeichnung fehlt; ","")&amp;IF(COUNTIFS($A$2:$A$5001,$A1298,$C$2:$C$5001,C1298)&gt;1,"Artikel doppelt im selben Lager; ",""))</f>
        <v/>
      </c>
      <c r="P1298" s="47" t="n">
        <f aca="false">IF(OR($A1298="",D1298=""),0,IF(COUNTIF($D$2:D1298,D1298)=1,SUMIF($D$2:$D$5001,D1298,$H$2:$H$5001)+ROW()/10000000,0))</f>
        <v>0</v>
      </c>
      <c r="Q1298" s="47" t="n">
        <f aca="false">IF(OR($A1298="",C1298=""),0,IF(COUNTIF($C$2:C1298,C1298)=1,SUMIF($C$2:$C$5001,C1298,$H$2:$H$5001)+ROW()/10000000,0))</f>
        <v>0</v>
      </c>
    </row>
    <row r="1299" customFormat="false" ht="15" hidden="false" customHeight="false" outlineLevel="0" collapsed="false">
      <c r="A1299" s="43"/>
      <c r="B1299" s="44"/>
      <c r="C1299" s="44"/>
      <c r="D1299" s="44"/>
      <c r="E1299" s="44"/>
      <c r="F1299" s="44"/>
      <c r="G1299" s="44"/>
      <c r="H1299" s="46" t="str">
        <f aca="false">IF($A1299="","",IF(OR(NOT(ISNUMBER(E1299)),NOT(ISNUMBER(F1299))),"",MAX(0,E1299)*F1299))</f>
        <v/>
      </c>
      <c r="I1299" s="46" t="str">
        <f aca="false">IF($A1299="","",SUMIF($A$2:$A$5001,$A1299,$H$2:$H$5001))</f>
        <v/>
      </c>
      <c r="J1299" s="47" t="n">
        <f aca="false">IF($A1299="",0,IF(COUNTIF($A$2:A1299,$A1299)=1,1,0))</f>
        <v>0</v>
      </c>
      <c r="K1299" s="47" t="n">
        <f aca="false">IF(J1299=1,N(I1299)+ROW()/10000000,0)</f>
        <v>0</v>
      </c>
      <c r="L1299" s="47" t="str">
        <f aca="false">IF(AND(J1299=1,N(I1299)&gt;0),SUMIF($K$2:$K$5001,"&gt;="&amp;K1299,$I$2:$I$5001)/MAX(1,SUM($H$2:$H$5001)),"")</f>
        <v/>
      </c>
      <c r="M1299" s="47" t="str">
        <f aca="false">IF($A1299="","",INDEX($L$2:$L$5001,MATCH($A1299,$A$2:$A$5001,0)))</f>
        <v/>
      </c>
      <c r="N1299" s="48" t="str">
        <f aca="false">IF($A1299="","",IF(N(M1299)=0,"–",IF(M1299&lt;=Start!$D$20,"A",IF(M1299&lt;=Start!$D$21,"B","C"))))</f>
        <v/>
      </c>
      <c r="O1299" s="48" t="str">
        <f aca="false">IF($A1299="","",IF(NOT(ISNUMBER(F1299)),"Wert fehlt; ",IF(F1299&lt;=0,"Wert ist 0; ",""))&amp;IF(NOT(ISNUMBER(E1299)),"Bestand fehlt; ",IF(E1299&lt;0,"Bestand negativ; ",IF(E1299=0,"Nullbestand; ","")))&amp;IF(D1299="","Warengruppe fehlt; ","")&amp;IF(B1299="","Bezeichnung fehlt; ","")&amp;IF(COUNTIFS($A$2:$A$5001,$A1299,$C$2:$C$5001,C1299)&gt;1,"Artikel doppelt im selben Lager; ",""))</f>
        <v/>
      </c>
      <c r="P1299" s="47" t="n">
        <f aca="false">IF(OR($A1299="",D1299=""),0,IF(COUNTIF($D$2:D1299,D1299)=1,SUMIF($D$2:$D$5001,D1299,$H$2:$H$5001)+ROW()/10000000,0))</f>
        <v>0</v>
      </c>
      <c r="Q1299" s="47" t="n">
        <f aca="false">IF(OR($A1299="",C1299=""),0,IF(COUNTIF($C$2:C1299,C1299)=1,SUMIF($C$2:$C$5001,C1299,$H$2:$H$5001)+ROW()/10000000,0))</f>
        <v>0</v>
      </c>
    </row>
    <row r="1300" customFormat="false" ht="15" hidden="false" customHeight="false" outlineLevel="0" collapsed="false">
      <c r="A1300" s="43"/>
      <c r="B1300" s="44"/>
      <c r="C1300" s="44"/>
      <c r="D1300" s="44"/>
      <c r="E1300" s="44"/>
      <c r="F1300" s="44"/>
      <c r="G1300" s="44"/>
      <c r="H1300" s="46" t="str">
        <f aca="false">IF($A1300="","",IF(OR(NOT(ISNUMBER(E1300)),NOT(ISNUMBER(F1300))),"",MAX(0,E1300)*F1300))</f>
        <v/>
      </c>
      <c r="I1300" s="46" t="str">
        <f aca="false">IF($A1300="","",SUMIF($A$2:$A$5001,$A1300,$H$2:$H$5001))</f>
        <v/>
      </c>
      <c r="J1300" s="47" t="n">
        <f aca="false">IF($A1300="",0,IF(COUNTIF($A$2:A1300,$A1300)=1,1,0))</f>
        <v>0</v>
      </c>
      <c r="K1300" s="47" t="n">
        <f aca="false">IF(J1300=1,N(I1300)+ROW()/10000000,0)</f>
        <v>0</v>
      </c>
      <c r="L1300" s="47" t="str">
        <f aca="false">IF(AND(J1300=1,N(I1300)&gt;0),SUMIF($K$2:$K$5001,"&gt;="&amp;K1300,$I$2:$I$5001)/MAX(1,SUM($H$2:$H$5001)),"")</f>
        <v/>
      </c>
      <c r="M1300" s="47" t="str">
        <f aca="false">IF($A1300="","",INDEX($L$2:$L$5001,MATCH($A1300,$A$2:$A$5001,0)))</f>
        <v/>
      </c>
      <c r="N1300" s="48" t="str">
        <f aca="false">IF($A1300="","",IF(N(M1300)=0,"–",IF(M1300&lt;=Start!$D$20,"A",IF(M1300&lt;=Start!$D$21,"B","C"))))</f>
        <v/>
      </c>
      <c r="O1300" s="48" t="str">
        <f aca="false">IF($A1300="","",IF(NOT(ISNUMBER(F1300)),"Wert fehlt; ",IF(F1300&lt;=0,"Wert ist 0; ",""))&amp;IF(NOT(ISNUMBER(E1300)),"Bestand fehlt; ",IF(E1300&lt;0,"Bestand negativ; ",IF(E1300=0,"Nullbestand; ","")))&amp;IF(D1300="","Warengruppe fehlt; ","")&amp;IF(B1300="","Bezeichnung fehlt; ","")&amp;IF(COUNTIFS($A$2:$A$5001,$A1300,$C$2:$C$5001,C1300)&gt;1,"Artikel doppelt im selben Lager; ",""))</f>
        <v/>
      </c>
      <c r="P1300" s="47" t="n">
        <f aca="false">IF(OR($A1300="",D1300=""),0,IF(COUNTIF($D$2:D1300,D1300)=1,SUMIF($D$2:$D$5001,D1300,$H$2:$H$5001)+ROW()/10000000,0))</f>
        <v>0</v>
      </c>
      <c r="Q1300" s="47" t="n">
        <f aca="false">IF(OR($A1300="",C1300=""),0,IF(COUNTIF($C$2:C1300,C1300)=1,SUMIF($C$2:$C$5001,C1300,$H$2:$H$5001)+ROW()/10000000,0))</f>
        <v>0</v>
      </c>
    </row>
    <row r="1301" customFormat="false" ht="15" hidden="false" customHeight="false" outlineLevel="0" collapsed="false">
      <c r="A1301" s="43"/>
      <c r="B1301" s="44"/>
      <c r="C1301" s="44"/>
      <c r="D1301" s="44"/>
      <c r="E1301" s="44"/>
      <c r="F1301" s="44"/>
      <c r="G1301" s="44"/>
      <c r="H1301" s="46" t="str">
        <f aca="false">IF($A1301="","",IF(OR(NOT(ISNUMBER(E1301)),NOT(ISNUMBER(F1301))),"",MAX(0,E1301)*F1301))</f>
        <v/>
      </c>
      <c r="I1301" s="46" t="str">
        <f aca="false">IF($A1301="","",SUMIF($A$2:$A$5001,$A1301,$H$2:$H$5001))</f>
        <v/>
      </c>
      <c r="J1301" s="47" t="n">
        <f aca="false">IF($A1301="",0,IF(COUNTIF($A$2:A1301,$A1301)=1,1,0))</f>
        <v>0</v>
      </c>
      <c r="K1301" s="47" t="n">
        <f aca="false">IF(J1301=1,N(I1301)+ROW()/10000000,0)</f>
        <v>0</v>
      </c>
      <c r="L1301" s="47" t="str">
        <f aca="false">IF(AND(J1301=1,N(I1301)&gt;0),SUMIF($K$2:$K$5001,"&gt;="&amp;K1301,$I$2:$I$5001)/MAX(1,SUM($H$2:$H$5001)),"")</f>
        <v/>
      </c>
      <c r="M1301" s="47" t="str">
        <f aca="false">IF($A1301="","",INDEX($L$2:$L$5001,MATCH($A1301,$A$2:$A$5001,0)))</f>
        <v/>
      </c>
      <c r="N1301" s="48" t="str">
        <f aca="false">IF($A1301="","",IF(N(M1301)=0,"–",IF(M1301&lt;=Start!$D$20,"A",IF(M1301&lt;=Start!$D$21,"B","C"))))</f>
        <v/>
      </c>
      <c r="O1301" s="48" t="str">
        <f aca="false">IF($A1301="","",IF(NOT(ISNUMBER(F1301)),"Wert fehlt; ",IF(F1301&lt;=0,"Wert ist 0; ",""))&amp;IF(NOT(ISNUMBER(E1301)),"Bestand fehlt; ",IF(E1301&lt;0,"Bestand negativ; ",IF(E1301=0,"Nullbestand; ","")))&amp;IF(D1301="","Warengruppe fehlt; ","")&amp;IF(B1301="","Bezeichnung fehlt; ","")&amp;IF(COUNTIFS($A$2:$A$5001,$A1301,$C$2:$C$5001,C1301)&gt;1,"Artikel doppelt im selben Lager; ",""))</f>
        <v/>
      </c>
      <c r="P1301" s="47" t="n">
        <f aca="false">IF(OR($A1301="",D1301=""),0,IF(COUNTIF($D$2:D1301,D1301)=1,SUMIF($D$2:$D$5001,D1301,$H$2:$H$5001)+ROW()/10000000,0))</f>
        <v>0</v>
      </c>
      <c r="Q1301" s="47" t="n">
        <f aca="false">IF(OR($A1301="",C1301=""),0,IF(COUNTIF($C$2:C1301,C1301)=1,SUMIF($C$2:$C$5001,C1301,$H$2:$H$5001)+ROW()/10000000,0))</f>
        <v>0</v>
      </c>
    </row>
    <row r="1302" customFormat="false" ht="15" hidden="false" customHeight="false" outlineLevel="0" collapsed="false">
      <c r="A1302" s="43"/>
      <c r="B1302" s="44"/>
      <c r="C1302" s="44"/>
      <c r="D1302" s="44"/>
      <c r="E1302" s="44"/>
      <c r="F1302" s="44"/>
      <c r="G1302" s="44"/>
      <c r="H1302" s="46" t="str">
        <f aca="false">IF($A1302="","",IF(OR(NOT(ISNUMBER(E1302)),NOT(ISNUMBER(F1302))),"",MAX(0,E1302)*F1302))</f>
        <v/>
      </c>
      <c r="I1302" s="46" t="str">
        <f aca="false">IF($A1302="","",SUMIF($A$2:$A$5001,$A1302,$H$2:$H$5001))</f>
        <v/>
      </c>
      <c r="J1302" s="47" t="n">
        <f aca="false">IF($A1302="",0,IF(COUNTIF($A$2:A1302,$A1302)=1,1,0))</f>
        <v>0</v>
      </c>
      <c r="K1302" s="47" t="n">
        <f aca="false">IF(J1302=1,N(I1302)+ROW()/10000000,0)</f>
        <v>0</v>
      </c>
      <c r="L1302" s="47" t="str">
        <f aca="false">IF(AND(J1302=1,N(I1302)&gt;0),SUMIF($K$2:$K$5001,"&gt;="&amp;K1302,$I$2:$I$5001)/MAX(1,SUM($H$2:$H$5001)),"")</f>
        <v/>
      </c>
      <c r="M1302" s="47" t="str">
        <f aca="false">IF($A1302="","",INDEX($L$2:$L$5001,MATCH($A1302,$A$2:$A$5001,0)))</f>
        <v/>
      </c>
      <c r="N1302" s="48" t="str">
        <f aca="false">IF($A1302="","",IF(N(M1302)=0,"–",IF(M1302&lt;=Start!$D$20,"A",IF(M1302&lt;=Start!$D$21,"B","C"))))</f>
        <v/>
      </c>
      <c r="O1302" s="48" t="str">
        <f aca="false">IF($A1302="","",IF(NOT(ISNUMBER(F1302)),"Wert fehlt; ",IF(F1302&lt;=0,"Wert ist 0; ",""))&amp;IF(NOT(ISNUMBER(E1302)),"Bestand fehlt; ",IF(E1302&lt;0,"Bestand negativ; ",IF(E1302=0,"Nullbestand; ","")))&amp;IF(D1302="","Warengruppe fehlt; ","")&amp;IF(B1302="","Bezeichnung fehlt; ","")&amp;IF(COUNTIFS($A$2:$A$5001,$A1302,$C$2:$C$5001,C1302)&gt;1,"Artikel doppelt im selben Lager; ",""))</f>
        <v/>
      </c>
      <c r="P1302" s="47" t="n">
        <f aca="false">IF(OR($A1302="",D1302=""),0,IF(COUNTIF($D$2:D1302,D1302)=1,SUMIF($D$2:$D$5001,D1302,$H$2:$H$5001)+ROW()/10000000,0))</f>
        <v>0</v>
      </c>
      <c r="Q1302" s="47" t="n">
        <f aca="false">IF(OR($A1302="",C1302=""),0,IF(COUNTIF($C$2:C1302,C1302)=1,SUMIF($C$2:$C$5001,C1302,$H$2:$H$5001)+ROW()/10000000,0))</f>
        <v>0</v>
      </c>
    </row>
    <row r="1303" customFormat="false" ht="15" hidden="false" customHeight="false" outlineLevel="0" collapsed="false">
      <c r="A1303" s="43"/>
      <c r="B1303" s="44"/>
      <c r="C1303" s="44"/>
      <c r="D1303" s="44"/>
      <c r="E1303" s="44"/>
      <c r="F1303" s="44"/>
      <c r="G1303" s="44"/>
      <c r="H1303" s="46" t="str">
        <f aca="false">IF($A1303="","",IF(OR(NOT(ISNUMBER(E1303)),NOT(ISNUMBER(F1303))),"",MAX(0,E1303)*F1303))</f>
        <v/>
      </c>
      <c r="I1303" s="46" t="str">
        <f aca="false">IF($A1303="","",SUMIF($A$2:$A$5001,$A1303,$H$2:$H$5001))</f>
        <v/>
      </c>
      <c r="J1303" s="47" t="n">
        <f aca="false">IF($A1303="",0,IF(COUNTIF($A$2:A1303,$A1303)=1,1,0))</f>
        <v>0</v>
      </c>
      <c r="K1303" s="47" t="n">
        <f aca="false">IF(J1303=1,N(I1303)+ROW()/10000000,0)</f>
        <v>0</v>
      </c>
      <c r="L1303" s="47" t="str">
        <f aca="false">IF(AND(J1303=1,N(I1303)&gt;0),SUMIF($K$2:$K$5001,"&gt;="&amp;K1303,$I$2:$I$5001)/MAX(1,SUM($H$2:$H$5001)),"")</f>
        <v/>
      </c>
      <c r="M1303" s="47" t="str">
        <f aca="false">IF($A1303="","",INDEX($L$2:$L$5001,MATCH($A1303,$A$2:$A$5001,0)))</f>
        <v/>
      </c>
      <c r="N1303" s="48" t="str">
        <f aca="false">IF($A1303="","",IF(N(M1303)=0,"–",IF(M1303&lt;=Start!$D$20,"A",IF(M1303&lt;=Start!$D$21,"B","C"))))</f>
        <v/>
      </c>
      <c r="O1303" s="48" t="str">
        <f aca="false">IF($A1303="","",IF(NOT(ISNUMBER(F1303)),"Wert fehlt; ",IF(F1303&lt;=0,"Wert ist 0; ",""))&amp;IF(NOT(ISNUMBER(E1303)),"Bestand fehlt; ",IF(E1303&lt;0,"Bestand negativ; ",IF(E1303=0,"Nullbestand; ","")))&amp;IF(D1303="","Warengruppe fehlt; ","")&amp;IF(B1303="","Bezeichnung fehlt; ","")&amp;IF(COUNTIFS($A$2:$A$5001,$A1303,$C$2:$C$5001,C1303)&gt;1,"Artikel doppelt im selben Lager; ",""))</f>
        <v/>
      </c>
      <c r="P1303" s="47" t="n">
        <f aca="false">IF(OR($A1303="",D1303=""),0,IF(COUNTIF($D$2:D1303,D1303)=1,SUMIF($D$2:$D$5001,D1303,$H$2:$H$5001)+ROW()/10000000,0))</f>
        <v>0</v>
      </c>
      <c r="Q1303" s="47" t="n">
        <f aca="false">IF(OR($A1303="",C1303=""),0,IF(COUNTIF($C$2:C1303,C1303)=1,SUMIF($C$2:$C$5001,C1303,$H$2:$H$5001)+ROW()/10000000,0))</f>
        <v>0</v>
      </c>
    </row>
    <row r="1304" customFormat="false" ht="15" hidden="false" customHeight="false" outlineLevel="0" collapsed="false">
      <c r="A1304" s="43"/>
      <c r="B1304" s="44"/>
      <c r="C1304" s="44"/>
      <c r="D1304" s="44"/>
      <c r="E1304" s="44"/>
      <c r="F1304" s="44"/>
      <c r="G1304" s="44"/>
      <c r="H1304" s="46" t="str">
        <f aca="false">IF($A1304="","",IF(OR(NOT(ISNUMBER(E1304)),NOT(ISNUMBER(F1304))),"",MAX(0,E1304)*F1304))</f>
        <v/>
      </c>
      <c r="I1304" s="46" t="str">
        <f aca="false">IF($A1304="","",SUMIF($A$2:$A$5001,$A1304,$H$2:$H$5001))</f>
        <v/>
      </c>
      <c r="J1304" s="47" t="n">
        <f aca="false">IF($A1304="",0,IF(COUNTIF($A$2:A1304,$A1304)=1,1,0))</f>
        <v>0</v>
      </c>
      <c r="K1304" s="47" t="n">
        <f aca="false">IF(J1304=1,N(I1304)+ROW()/10000000,0)</f>
        <v>0</v>
      </c>
      <c r="L1304" s="47" t="str">
        <f aca="false">IF(AND(J1304=1,N(I1304)&gt;0),SUMIF($K$2:$K$5001,"&gt;="&amp;K1304,$I$2:$I$5001)/MAX(1,SUM($H$2:$H$5001)),"")</f>
        <v/>
      </c>
      <c r="M1304" s="47" t="str">
        <f aca="false">IF($A1304="","",INDEX($L$2:$L$5001,MATCH($A1304,$A$2:$A$5001,0)))</f>
        <v/>
      </c>
      <c r="N1304" s="48" t="str">
        <f aca="false">IF($A1304="","",IF(N(M1304)=0,"–",IF(M1304&lt;=Start!$D$20,"A",IF(M1304&lt;=Start!$D$21,"B","C"))))</f>
        <v/>
      </c>
      <c r="O1304" s="48" t="str">
        <f aca="false">IF($A1304="","",IF(NOT(ISNUMBER(F1304)),"Wert fehlt; ",IF(F1304&lt;=0,"Wert ist 0; ",""))&amp;IF(NOT(ISNUMBER(E1304)),"Bestand fehlt; ",IF(E1304&lt;0,"Bestand negativ; ",IF(E1304=0,"Nullbestand; ","")))&amp;IF(D1304="","Warengruppe fehlt; ","")&amp;IF(B1304="","Bezeichnung fehlt; ","")&amp;IF(COUNTIFS($A$2:$A$5001,$A1304,$C$2:$C$5001,C1304)&gt;1,"Artikel doppelt im selben Lager; ",""))</f>
        <v/>
      </c>
      <c r="P1304" s="47" t="n">
        <f aca="false">IF(OR($A1304="",D1304=""),0,IF(COUNTIF($D$2:D1304,D1304)=1,SUMIF($D$2:$D$5001,D1304,$H$2:$H$5001)+ROW()/10000000,0))</f>
        <v>0</v>
      </c>
      <c r="Q1304" s="47" t="n">
        <f aca="false">IF(OR($A1304="",C1304=""),0,IF(COUNTIF($C$2:C1304,C1304)=1,SUMIF($C$2:$C$5001,C1304,$H$2:$H$5001)+ROW()/10000000,0))</f>
        <v>0</v>
      </c>
    </row>
    <row r="1305" customFormat="false" ht="15" hidden="false" customHeight="false" outlineLevel="0" collapsed="false">
      <c r="A1305" s="43"/>
      <c r="B1305" s="44"/>
      <c r="C1305" s="44"/>
      <c r="D1305" s="44"/>
      <c r="E1305" s="44"/>
      <c r="F1305" s="44"/>
      <c r="G1305" s="44"/>
      <c r="H1305" s="46" t="str">
        <f aca="false">IF($A1305="","",IF(OR(NOT(ISNUMBER(E1305)),NOT(ISNUMBER(F1305))),"",MAX(0,E1305)*F1305))</f>
        <v/>
      </c>
      <c r="I1305" s="46" t="str">
        <f aca="false">IF($A1305="","",SUMIF($A$2:$A$5001,$A1305,$H$2:$H$5001))</f>
        <v/>
      </c>
      <c r="J1305" s="47" t="n">
        <f aca="false">IF($A1305="",0,IF(COUNTIF($A$2:A1305,$A1305)=1,1,0))</f>
        <v>0</v>
      </c>
      <c r="K1305" s="47" t="n">
        <f aca="false">IF(J1305=1,N(I1305)+ROW()/10000000,0)</f>
        <v>0</v>
      </c>
      <c r="L1305" s="47" t="str">
        <f aca="false">IF(AND(J1305=1,N(I1305)&gt;0),SUMIF($K$2:$K$5001,"&gt;="&amp;K1305,$I$2:$I$5001)/MAX(1,SUM($H$2:$H$5001)),"")</f>
        <v/>
      </c>
      <c r="M1305" s="47" t="str">
        <f aca="false">IF($A1305="","",INDEX($L$2:$L$5001,MATCH($A1305,$A$2:$A$5001,0)))</f>
        <v/>
      </c>
      <c r="N1305" s="48" t="str">
        <f aca="false">IF($A1305="","",IF(N(M1305)=0,"–",IF(M1305&lt;=Start!$D$20,"A",IF(M1305&lt;=Start!$D$21,"B","C"))))</f>
        <v/>
      </c>
      <c r="O1305" s="48" t="str">
        <f aca="false">IF($A1305="","",IF(NOT(ISNUMBER(F1305)),"Wert fehlt; ",IF(F1305&lt;=0,"Wert ist 0; ",""))&amp;IF(NOT(ISNUMBER(E1305)),"Bestand fehlt; ",IF(E1305&lt;0,"Bestand negativ; ",IF(E1305=0,"Nullbestand; ","")))&amp;IF(D1305="","Warengruppe fehlt; ","")&amp;IF(B1305="","Bezeichnung fehlt; ","")&amp;IF(COUNTIFS($A$2:$A$5001,$A1305,$C$2:$C$5001,C1305)&gt;1,"Artikel doppelt im selben Lager; ",""))</f>
        <v/>
      </c>
      <c r="P1305" s="47" t="n">
        <f aca="false">IF(OR($A1305="",D1305=""),0,IF(COUNTIF($D$2:D1305,D1305)=1,SUMIF($D$2:$D$5001,D1305,$H$2:$H$5001)+ROW()/10000000,0))</f>
        <v>0</v>
      </c>
      <c r="Q1305" s="47" t="n">
        <f aca="false">IF(OR($A1305="",C1305=""),0,IF(COUNTIF($C$2:C1305,C1305)=1,SUMIF($C$2:$C$5001,C1305,$H$2:$H$5001)+ROW()/10000000,0))</f>
        <v>0</v>
      </c>
    </row>
    <row r="1306" customFormat="false" ht="15" hidden="false" customHeight="false" outlineLevel="0" collapsed="false">
      <c r="A1306" s="43"/>
      <c r="B1306" s="44"/>
      <c r="C1306" s="44"/>
      <c r="D1306" s="44"/>
      <c r="E1306" s="44"/>
      <c r="F1306" s="44"/>
      <c r="G1306" s="44"/>
      <c r="H1306" s="46" t="str">
        <f aca="false">IF($A1306="","",IF(OR(NOT(ISNUMBER(E1306)),NOT(ISNUMBER(F1306))),"",MAX(0,E1306)*F1306))</f>
        <v/>
      </c>
      <c r="I1306" s="46" t="str">
        <f aca="false">IF($A1306="","",SUMIF($A$2:$A$5001,$A1306,$H$2:$H$5001))</f>
        <v/>
      </c>
      <c r="J1306" s="47" t="n">
        <f aca="false">IF($A1306="",0,IF(COUNTIF($A$2:A1306,$A1306)=1,1,0))</f>
        <v>0</v>
      </c>
      <c r="K1306" s="47" t="n">
        <f aca="false">IF(J1306=1,N(I1306)+ROW()/10000000,0)</f>
        <v>0</v>
      </c>
      <c r="L1306" s="47" t="str">
        <f aca="false">IF(AND(J1306=1,N(I1306)&gt;0),SUMIF($K$2:$K$5001,"&gt;="&amp;K1306,$I$2:$I$5001)/MAX(1,SUM($H$2:$H$5001)),"")</f>
        <v/>
      </c>
      <c r="M1306" s="47" t="str">
        <f aca="false">IF($A1306="","",INDEX($L$2:$L$5001,MATCH($A1306,$A$2:$A$5001,0)))</f>
        <v/>
      </c>
      <c r="N1306" s="48" t="str">
        <f aca="false">IF($A1306="","",IF(N(M1306)=0,"–",IF(M1306&lt;=Start!$D$20,"A",IF(M1306&lt;=Start!$D$21,"B","C"))))</f>
        <v/>
      </c>
      <c r="O1306" s="48" t="str">
        <f aca="false">IF($A1306="","",IF(NOT(ISNUMBER(F1306)),"Wert fehlt; ",IF(F1306&lt;=0,"Wert ist 0; ",""))&amp;IF(NOT(ISNUMBER(E1306)),"Bestand fehlt; ",IF(E1306&lt;0,"Bestand negativ; ",IF(E1306=0,"Nullbestand; ","")))&amp;IF(D1306="","Warengruppe fehlt; ","")&amp;IF(B1306="","Bezeichnung fehlt; ","")&amp;IF(COUNTIFS($A$2:$A$5001,$A1306,$C$2:$C$5001,C1306)&gt;1,"Artikel doppelt im selben Lager; ",""))</f>
        <v/>
      </c>
      <c r="P1306" s="47" t="n">
        <f aca="false">IF(OR($A1306="",D1306=""),0,IF(COUNTIF($D$2:D1306,D1306)=1,SUMIF($D$2:$D$5001,D1306,$H$2:$H$5001)+ROW()/10000000,0))</f>
        <v>0</v>
      </c>
      <c r="Q1306" s="47" t="n">
        <f aca="false">IF(OR($A1306="",C1306=""),0,IF(COUNTIF($C$2:C1306,C1306)=1,SUMIF($C$2:$C$5001,C1306,$H$2:$H$5001)+ROW()/10000000,0))</f>
        <v>0</v>
      </c>
    </row>
    <row r="1307" customFormat="false" ht="15" hidden="false" customHeight="false" outlineLevel="0" collapsed="false">
      <c r="A1307" s="43"/>
      <c r="B1307" s="44"/>
      <c r="C1307" s="44"/>
      <c r="D1307" s="44"/>
      <c r="E1307" s="44"/>
      <c r="F1307" s="44"/>
      <c r="G1307" s="44"/>
      <c r="H1307" s="46" t="str">
        <f aca="false">IF($A1307="","",IF(OR(NOT(ISNUMBER(E1307)),NOT(ISNUMBER(F1307))),"",MAX(0,E1307)*F1307))</f>
        <v/>
      </c>
      <c r="I1307" s="46" t="str">
        <f aca="false">IF($A1307="","",SUMIF($A$2:$A$5001,$A1307,$H$2:$H$5001))</f>
        <v/>
      </c>
      <c r="J1307" s="47" t="n">
        <f aca="false">IF($A1307="",0,IF(COUNTIF($A$2:A1307,$A1307)=1,1,0))</f>
        <v>0</v>
      </c>
      <c r="K1307" s="47" t="n">
        <f aca="false">IF(J1307=1,N(I1307)+ROW()/10000000,0)</f>
        <v>0</v>
      </c>
      <c r="L1307" s="47" t="str">
        <f aca="false">IF(AND(J1307=1,N(I1307)&gt;0),SUMIF($K$2:$K$5001,"&gt;="&amp;K1307,$I$2:$I$5001)/MAX(1,SUM($H$2:$H$5001)),"")</f>
        <v/>
      </c>
      <c r="M1307" s="47" t="str">
        <f aca="false">IF($A1307="","",INDEX($L$2:$L$5001,MATCH($A1307,$A$2:$A$5001,0)))</f>
        <v/>
      </c>
      <c r="N1307" s="48" t="str">
        <f aca="false">IF($A1307="","",IF(N(M1307)=0,"–",IF(M1307&lt;=Start!$D$20,"A",IF(M1307&lt;=Start!$D$21,"B","C"))))</f>
        <v/>
      </c>
      <c r="O1307" s="48" t="str">
        <f aca="false">IF($A1307="","",IF(NOT(ISNUMBER(F1307)),"Wert fehlt; ",IF(F1307&lt;=0,"Wert ist 0; ",""))&amp;IF(NOT(ISNUMBER(E1307)),"Bestand fehlt; ",IF(E1307&lt;0,"Bestand negativ; ",IF(E1307=0,"Nullbestand; ","")))&amp;IF(D1307="","Warengruppe fehlt; ","")&amp;IF(B1307="","Bezeichnung fehlt; ","")&amp;IF(COUNTIFS($A$2:$A$5001,$A1307,$C$2:$C$5001,C1307)&gt;1,"Artikel doppelt im selben Lager; ",""))</f>
        <v/>
      </c>
      <c r="P1307" s="47" t="n">
        <f aca="false">IF(OR($A1307="",D1307=""),0,IF(COUNTIF($D$2:D1307,D1307)=1,SUMIF($D$2:$D$5001,D1307,$H$2:$H$5001)+ROW()/10000000,0))</f>
        <v>0</v>
      </c>
      <c r="Q1307" s="47" t="n">
        <f aca="false">IF(OR($A1307="",C1307=""),0,IF(COUNTIF($C$2:C1307,C1307)=1,SUMIF($C$2:$C$5001,C1307,$H$2:$H$5001)+ROW()/10000000,0))</f>
        <v>0</v>
      </c>
    </row>
    <row r="1308" customFormat="false" ht="15" hidden="false" customHeight="false" outlineLevel="0" collapsed="false">
      <c r="A1308" s="43"/>
      <c r="B1308" s="44"/>
      <c r="C1308" s="44"/>
      <c r="D1308" s="44"/>
      <c r="E1308" s="44"/>
      <c r="F1308" s="44"/>
      <c r="G1308" s="44"/>
      <c r="H1308" s="46" t="str">
        <f aca="false">IF($A1308="","",IF(OR(NOT(ISNUMBER(E1308)),NOT(ISNUMBER(F1308))),"",MAX(0,E1308)*F1308))</f>
        <v/>
      </c>
      <c r="I1308" s="46" t="str">
        <f aca="false">IF($A1308="","",SUMIF($A$2:$A$5001,$A1308,$H$2:$H$5001))</f>
        <v/>
      </c>
      <c r="J1308" s="47" t="n">
        <f aca="false">IF($A1308="",0,IF(COUNTIF($A$2:A1308,$A1308)=1,1,0))</f>
        <v>0</v>
      </c>
      <c r="K1308" s="47" t="n">
        <f aca="false">IF(J1308=1,N(I1308)+ROW()/10000000,0)</f>
        <v>0</v>
      </c>
      <c r="L1308" s="47" t="str">
        <f aca="false">IF(AND(J1308=1,N(I1308)&gt;0),SUMIF($K$2:$K$5001,"&gt;="&amp;K1308,$I$2:$I$5001)/MAX(1,SUM($H$2:$H$5001)),"")</f>
        <v/>
      </c>
      <c r="M1308" s="47" t="str">
        <f aca="false">IF($A1308="","",INDEX($L$2:$L$5001,MATCH($A1308,$A$2:$A$5001,0)))</f>
        <v/>
      </c>
      <c r="N1308" s="48" t="str">
        <f aca="false">IF($A1308="","",IF(N(M1308)=0,"–",IF(M1308&lt;=Start!$D$20,"A",IF(M1308&lt;=Start!$D$21,"B","C"))))</f>
        <v/>
      </c>
      <c r="O1308" s="48" t="str">
        <f aca="false">IF($A1308="","",IF(NOT(ISNUMBER(F1308)),"Wert fehlt; ",IF(F1308&lt;=0,"Wert ist 0; ",""))&amp;IF(NOT(ISNUMBER(E1308)),"Bestand fehlt; ",IF(E1308&lt;0,"Bestand negativ; ",IF(E1308=0,"Nullbestand; ","")))&amp;IF(D1308="","Warengruppe fehlt; ","")&amp;IF(B1308="","Bezeichnung fehlt; ","")&amp;IF(COUNTIFS($A$2:$A$5001,$A1308,$C$2:$C$5001,C1308)&gt;1,"Artikel doppelt im selben Lager; ",""))</f>
        <v/>
      </c>
      <c r="P1308" s="47" t="n">
        <f aca="false">IF(OR($A1308="",D1308=""),0,IF(COUNTIF($D$2:D1308,D1308)=1,SUMIF($D$2:$D$5001,D1308,$H$2:$H$5001)+ROW()/10000000,0))</f>
        <v>0</v>
      </c>
      <c r="Q1308" s="47" t="n">
        <f aca="false">IF(OR($A1308="",C1308=""),0,IF(COUNTIF($C$2:C1308,C1308)=1,SUMIF($C$2:$C$5001,C1308,$H$2:$H$5001)+ROW()/10000000,0))</f>
        <v>0</v>
      </c>
    </row>
    <row r="1309" customFormat="false" ht="15" hidden="false" customHeight="false" outlineLevel="0" collapsed="false">
      <c r="A1309" s="43"/>
      <c r="B1309" s="44"/>
      <c r="C1309" s="44"/>
      <c r="D1309" s="44"/>
      <c r="E1309" s="44"/>
      <c r="F1309" s="44"/>
      <c r="G1309" s="44"/>
      <c r="H1309" s="46" t="str">
        <f aca="false">IF($A1309="","",IF(OR(NOT(ISNUMBER(E1309)),NOT(ISNUMBER(F1309))),"",MAX(0,E1309)*F1309))</f>
        <v/>
      </c>
      <c r="I1309" s="46" t="str">
        <f aca="false">IF($A1309="","",SUMIF($A$2:$A$5001,$A1309,$H$2:$H$5001))</f>
        <v/>
      </c>
      <c r="J1309" s="47" t="n">
        <f aca="false">IF($A1309="",0,IF(COUNTIF($A$2:A1309,$A1309)=1,1,0))</f>
        <v>0</v>
      </c>
      <c r="K1309" s="47" t="n">
        <f aca="false">IF(J1309=1,N(I1309)+ROW()/10000000,0)</f>
        <v>0</v>
      </c>
      <c r="L1309" s="47" t="str">
        <f aca="false">IF(AND(J1309=1,N(I1309)&gt;0),SUMIF($K$2:$K$5001,"&gt;="&amp;K1309,$I$2:$I$5001)/MAX(1,SUM($H$2:$H$5001)),"")</f>
        <v/>
      </c>
      <c r="M1309" s="47" t="str">
        <f aca="false">IF($A1309="","",INDEX($L$2:$L$5001,MATCH($A1309,$A$2:$A$5001,0)))</f>
        <v/>
      </c>
      <c r="N1309" s="48" t="str">
        <f aca="false">IF($A1309="","",IF(N(M1309)=0,"–",IF(M1309&lt;=Start!$D$20,"A",IF(M1309&lt;=Start!$D$21,"B","C"))))</f>
        <v/>
      </c>
      <c r="O1309" s="48" t="str">
        <f aca="false">IF($A1309="","",IF(NOT(ISNUMBER(F1309)),"Wert fehlt; ",IF(F1309&lt;=0,"Wert ist 0; ",""))&amp;IF(NOT(ISNUMBER(E1309)),"Bestand fehlt; ",IF(E1309&lt;0,"Bestand negativ; ",IF(E1309=0,"Nullbestand; ","")))&amp;IF(D1309="","Warengruppe fehlt; ","")&amp;IF(B1309="","Bezeichnung fehlt; ","")&amp;IF(COUNTIFS($A$2:$A$5001,$A1309,$C$2:$C$5001,C1309)&gt;1,"Artikel doppelt im selben Lager; ",""))</f>
        <v/>
      </c>
      <c r="P1309" s="47" t="n">
        <f aca="false">IF(OR($A1309="",D1309=""),0,IF(COUNTIF($D$2:D1309,D1309)=1,SUMIF($D$2:$D$5001,D1309,$H$2:$H$5001)+ROW()/10000000,0))</f>
        <v>0</v>
      </c>
      <c r="Q1309" s="47" t="n">
        <f aca="false">IF(OR($A1309="",C1309=""),0,IF(COUNTIF($C$2:C1309,C1309)=1,SUMIF($C$2:$C$5001,C1309,$H$2:$H$5001)+ROW()/10000000,0))</f>
        <v>0</v>
      </c>
    </row>
    <row r="1310" customFormat="false" ht="15" hidden="false" customHeight="false" outlineLevel="0" collapsed="false">
      <c r="A1310" s="43"/>
      <c r="B1310" s="44"/>
      <c r="C1310" s="44"/>
      <c r="D1310" s="44"/>
      <c r="E1310" s="44"/>
      <c r="F1310" s="44"/>
      <c r="G1310" s="44"/>
      <c r="H1310" s="46" t="str">
        <f aca="false">IF($A1310="","",IF(OR(NOT(ISNUMBER(E1310)),NOT(ISNUMBER(F1310))),"",MAX(0,E1310)*F1310))</f>
        <v/>
      </c>
      <c r="I1310" s="46" t="str">
        <f aca="false">IF($A1310="","",SUMIF($A$2:$A$5001,$A1310,$H$2:$H$5001))</f>
        <v/>
      </c>
      <c r="J1310" s="47" t="n">
        <f aca="false">IF($A1310="",0,IF(COUNTIF($A$2:A1310,$A1310)=1,1,0))</f>
        <v>0</v>
      </c>
      <c r="K1310" s="47" t="n">
        <f aca="false">IF(J1310=1,N(I1310)+ROW()/10000000,0)</f>
        <v>0</v>
      </c>
      <c r="L1310" s="47" t="str">
        <f aca="false">IF(AND(J1310=1,N(I1310)&gt;0),SUMIF($K$2:$K$5001,"&gt;="&amp;K1310,$I$2:$I$5001)/MAX(1,SUM($H$2:$H$5001)),"")</f>
        <v/>
      </c>
      <c r="M1310" s="47" t="str">
        <f aca="false">IF($A1310="","",INDEX($L$2:$L$5001,MATCH($A1310,$A$2:$A$5001,0)))</f>
        <v/>
      </c>
      <c r="N1310" s="48" t="str">
        <f aca="false">IF($A1310="","",IF(N(M1310)=0,"–",IF(M1310&lt;=Start!$D$20,"A",IF(M1310&lt;=Start!$D$21,"B","C"))))</f>
        <v/>
      </c>
      <c r="O1310" s="48" t="str">
        <f aca="false">IF($A1310="","",IF(NOT(ISNUMBER(F1310)),"Wert fehlt; ",IF(F1310&lt;=0,"Wert ist 0; ",""))&amp;IF(NOT(ISNUMBER(E1310)),"Bestand fehlt; ",IF(E1310&lt;0,"Bestand negativ; ",IF(E1310=0,"Nullbestand; ","")))&amp;IF(D1310="","Warengruppe fehlt; ","")&amp;IF(B1310="","Bezeichnung fehlt; ","")&amp;IF(COUNTIFS($A$2:$A$5001,$A1310,$C$2:$C$5001,C1310)&gt;1,"Artikel doppelt im selben Lager; ",""))</f>
        <v/>
      </c>
      <c r="P1310" s="47" t="n">
        <f aca="false">IF(OR($A1310="",D1310=""),0,IF(COUNTIF($D$2:D1310,D1310)=1,SUMIF($D$2:$D$5001,D1310,$H$2:$H$5001)+ROW()/10000000,0))</f>
        <v>0</v>
      </c>
      <c r="Q1310" s="47" t="n">
        <f aca="false">IF(OR($A1310="",C1310=""),0,IF(COUNTIF($C$2:C1310,C1310)=1,SUMIF($C$2:$C$5001,C1310,$H$2:$H$5001)+ROW()/10000000,0))</f>
        <v>0</v>
      </c>
    </row>
    <row r="1311" customFormat="false" ht="15" hidden="false" customHeight="false" outlineLevel="0" collapsed="false">
      <c r="A1311" s="43"/>
      <c r="B1311" s="44"/>
      <c r="C1311" s="44"/>
      <c r="D1311" s="44"/>
      <c r="E1311" s="44"/>
      <c r="F1311" s="44"/>
      <c r="G1311" s="44"/>
      <c r="H1311" s="46" t="str">
        <f aca="false">IF($A1311="","",IF(OR(NOT(ISNUMBER(E1311)),NOT(ISNUMBER(F1311))),"",MAX(0,E1311)*F1311))</f>
        <v/>
      </c>
      <c r="I1311" s="46" t="str">
        <f aca="false">IF($A1311="","",SUMIF($A$2:$A$5001,$A1311,$H$2:$H$5001))</f>
        <v/>
      </c>
      <c r="J1311" s="47" t="n">
        <f aca="false">IF($A1311="",0,IF(COUNTIF($A$2:A1311,$A1311)=1,1,0))</f>
        <v>0</v>
      </c>
      <c r="K1311" s="47" t="n">
        <f aca="false">IF(J1311=1,N(I1311)+ROW()/10000000,0)</f>
        <v>0</v>
      </c>
      <c r="L1311" s="47" t="str">
        <f aca="false">IF(AND(J1311=1,N(I1311)&gt;0),SUMIF($K$2:$K$5001,"&gt;="&amp;K1311,$I$2:$I$5001)/MAX(1,SUM($H$2:$H$5001)),"")</f>
        <v/>
      </c>
      <c r="M1311" s="47" t="str">
        <f aca="false">IF($A1311="","",INDEX($L$2:$L$5001,MATCH($A1311,$A$2:$A$5001,0)))</f>
        <v/>
      </c>
      <c r="N1311" s="48" t="str">
        <f aca="false">IF($A1311="","",IF(N(M1311)=0,"–",IF(M1311&lt;=Start!$D$20,"A",IF(M1311&lt;=Start!$D$21,"B","C"))))</f>
        <v/>
      </c>
      <c r="O1311" s="48" t="str">
        <f aca="false">IF($A1311="","",IF(NOT(ISNUMBER(F1311)),"Wert fehlt; ",IF(F1311&lt;=0,"Wert ist 0; ",""))&amp;IF(NOT(ISNUMBER(E1311)),"Bestand fehlt; ",IF(E1311&lt;0,"Bestand negativ; ",IF(E1311=0,"Nullbestand; ","")))&amp;IF(D1311="","Warengruppe fehlt; ","")&amp;IF(B1311="","Bezeichnung fehlt; ","")&amp;IF(COUNTIFS($A$2:$A$5001,$A1311,$C$2:$C$5001,C1311)&gt;1,"Artikel doppelt im selben Lager; ",""))</f>
        <v/>
      </c>
      <c r="P1311" s="47" t="n">
        <f aca="false">IF(OR($A1311="",D1311=""),0,IF(COUNTIF($D$2:D1311,D1311)=1,SUMIF($D$2:$D$5001,D1311,$H$2:$H$5001)+ROW()/10000000,0))</f>
        <v>0</v>
      </c>
      <c r="Q1311" s="47" t="n">
        <f aca="false">IF(OR($A1311="",C1311=""),0,IF(COUNTIF($C$2:C1311,C1311)=1,SUMIF($C$2:$C$5001,C1311,$H$2:$H$5001)+ROW()/10000000,0))</f>
        <v>0</v>
      </c>
    </row>
    <row r="1312" customFormat="false" ht="15" hidden="false" customHeight="false" outlineLevel="0" collapsed="false">
      <c r="A1312" s="43"/>
      <c r="B1312" s="44"/>
      <c r="C1312" s="44"/>
      <c r="D1312" s="44"/>
      <c r="E1312" s="44"/>
      <c r="F1312" s="44"/>
      <c r="G1312" s="44"/>
      <c r="H1312" s="46" t="str">
        <f aca="false">IF($A1312="","",IF(OR(NOT(ISNUMBER(E1312)),NOT(ISNUMBER(F1312))),"",MAX(0,E1312)*F1312))</f>
        <v/>
      </c>
      <c r="I1312" s="46" t="str">
        <f aca="false">IF($A1312="","",SUMIF($A$2:$A$5001,$A1312,$H$2:$H$5001))</f>
        <v/>
      </c>
      <c r="J1312" s="47" t="n">
        <f aca="false">IF($A1312="",0,IF(COUNTIF($A$2:A1312,$A1312)=1,1,0))</f>
        <v>0</v>
      </c>
      <c r="K1312" s="47" t="n">
        <f aca="false">IF(J1312=1,N(I1312)+ROW()/10000000,0)</f>
        <v>0</v>
      </c>
      <c r="L1312" s="47" t="str">
        <f aca="false">IF(AND(J1312=1,N(I1312)&gt;0),SUMIF($K$2:$K$5001,"&gt;="&amp;K1312,$I$2:$I$5001)/MAX(1,SUM($H$2:$H$5001)),"")</f>
        <v/>
      </c>
      <c r="M1312" s="47" t="str">
        <f aca="false">IF($A1312="","",INDEX($L$2:$L$5001,MATCH($A1312,$A$2:$A$5001,0)))</f>
        <v/>
      </c>
      <c r="N1312" s="48" t="str">
        <f aca="false">IF($A1312="","",IF(N(M1312)=0,"–",IF(M1312&lt;=Start!$D$20,"A",IF(M1312&lt;=Start!$D$21,"B","C"))))</f>
        <v/>
      </c>
      <c r="O1312" s="48" t="str">
        <f aca="false">IF($A1312="","",IF(NOT(ISNUMBER(F1312)),"Wert fehlt; ",IF(F1312&lt;=0,"Wert ist 0; ",""))&amp;IF(NOT(ISNUMBER(E1312)),"Bestand fehlt; ",IF(E1312&lt;0,"Bestand negativ; ",IF(E1312=0,"Nullbestand; ","")))&amp;IF(D1312="","Warengruppe fehlt; ","")&amp;IF(B1312="","Bezeichnung fehlt; ","")&amp;IF(COUNTIFS($A$2:$A$5001,$A1312,$C$2:$C$5001,C1312)&gt;1,"Artikel doppelt im selben Lager; ",""))</f>
        <v/>
      </c>
      <c r="P1312" s="47" t="n">
        <f aca="false">IF(OR($A1312="",D1312=""),0,IF(COUNTIF($D$2:D1312,D1312)=1,SUMIF($D$2:$D$5001,D1312,$H$2:$H$5001)+ROW()/10000000,0))</f>
        <v>0</v>
      </c>
      <c r="Q1312" s="47" t="n">
        <f aca="false">IF(OR($A1312="",C1312=""),0,IF(COUNTIF($C$2:C1312,C1312)=1,SUMIF($C$2:$C$5001,C1312,$H$2:$H$5001)+ROW()/10000000,0))</f>
        <v>0</v>
      </c>
    </row>
    <row r="1313" customFormat="false" ht="15" hidden="false" customHeight="false" outlineLevel="0" collapsed="false">
      <c r="A1313" s="43"/>
      <c r="B1313" s="44"/>
      <c r="C1313" s="44"/>
      <c r="D1313" s="44"/>
      <c r="E1313" s="44"/>
      <c r="F1313" s="44"/>
      <c r="G1313" s="44"/>
      <c r="H1313" s="46" t="str">
        <f aca="false">IF($A1313="","",IF(OR(NOT(ISNUMBER(E1313)),NOT(ISNUMBER(F1313))),"",MAX(0,E1313)*F1313))</f>
        <v/>
      </c>
      <c r="I1313" s="46" t="str">
        <f aca="false">IF($A1313="","",SUMIF($A$2:$A$5001,$A1313,$H$2:$H$5001))</f>
        <v/>
      </c>
      <c r="J1313" s="47" t="n">
        <f aca="false">IF($A1313="",0,IF(COUNTIF($A$2:A1313,$A1313)=1,1,0))</f>
        <v>0</v>
      </c>
      <c r="K1313" s="47" t="n">
        <f aca="false">IF(J1313=1,N(I1313)+ROW()/10000000,0)</f>
        <v>0</v>
      </c>
      <c r="L1313" s="47" t="str">
        <f aca="false">IF(AND(J1313=1,N(I1313)&gt;0),SUMIF($K$2:$K$5001,"&gt;="&amp;K1313,$I$2:$I$5001)/MAX(1,SUM($H$2:$H$5001)),"")</f>
        <v/>
      </c>
      <c r="M1313" s="47" t="str">
        <f aca="false">IF($A1313="","",INDEX($L$2:$L$5001,MATCH($A1313,$A$2:$A$5001,0)))</f>
        <v/>
      </c>
      <c r="N1313" s="48" t="str">
        <f aca="false">IF($A1313="","",IF(N(M1313)=0,"–",IF(M1313&lt;=Start!$D$20,"A",IF(M1313&lt;=Start!$D$21,"B","C"))))</f>
        <v/>
      </c>
      <c r="O1313" s="48" t="str">
        <f aca="false">IF($A1313="","",IF(NOT(ISNUMBER(F1313)),"Wert fehlt; ",IF(F1313&lt;=0,"Wert ist 0; ",""))&amp;IF(NOT(ISNUMBER(E1313)),"Bestand fehlt; ",IF(E1313&lt;0,"Bestand negativ; ",IF(E1313=0,"Nullbestand; ","")))&amp;IF(D1313="","Warengruppe fehlt; ","")&amp;IF(B1313="","Bezeichnung fehlt; ","")&amp;IF(COUNTIFS($A$2:$A$5001,$A1313,$C$2:$C$5001,C1313)&gt;1,"Artikel doppelt im selben Lager; ",""))</f>
        <v/>
      </c>
      <c r="P1313" s="47" t="n">
        <f aca="false">IF(OR($A1313="",D1313=""),0,IF(COUNTIF($D$2:D1313,D1313)=1,SUMIF($D$2:$D$5001,D1313,$H$2:$H$5001)+ROW()/10000000,0))</f>
        <v>0</v>
      </c>
      <c r="Q1313" s="47" t="n">
        <f aca="false">IF(OR($A1313="",C1313=""),0,IF(COUNTIF($C$2:C1313,C1313)=1,SUMIF($C$2:$C$5001,C1313,$H$2:$H$5001)+ROW()/10000000,0))</f>
        <v>0</v>
      </c>
    </row>
    <row r="1314" customFormat="false" ht="15" hidden="false" customHeight="false" outlineLevel="0" collapsed="false">
      <c r="A1314" s="43"/>
      <c r="B1314" s="44"/>
      <c r="C1314" s="44"/>
      <c r="D1314" s="44"/>
      <c r="E1314" s="44"/>
      <c r="F1314" s="44"/>
      <c r="G1314" s="44"/>
      <c r="H1314" s="46" t="str">
        <f aca="false">IF($A1314="","",IF(OR(NOT(ISNUMBER(E1314)),NOT(ISNUMBER(F1314))),"",MAX(0,E1314)*F1314))</f>
        <v/>
      </c>
      <c r="I1314" s="46" t="str">
        <f aca="false">IF($A1314="","",SUMIF($A$2:$A$5001,$A1314,$H$2:$H$5001))</f>
        <v/>
      </c>
      <c r="J1314" s="47" t="n">
        <f aca="false">IF($A1314="",0,IF(COUNTIF($A$2:A1314,$A1314)=1,1,0))</f>
        <v>0</v>
      </c>
      <c r="K1314" s="47" t="n">
        <f aca="false">IF(J1314=1,N(I1314)+ROW()/10000000,0)</f>
        <v>0</v>
      </c>
      <c r="L1314" s="47" t="str">
        <f aca="false">IF(AND(J1314=1,N(I1314)&gt;0),SUMIF($K$2:$K$5001,"&gt;="&amp;K1314,$I$2:$I$5001)/MAX(1,SUM($H$2:$H$5001)),"")</f>
        <v/>
      </c>
      <c r="M1314" s="47" t="str">
        <f aca="false">IF($A1314="","",INDEX($L$2:$L$5001,MATCH($A1314,$A$2:$A$5001,0)))</f>
        <v/>
      </c>
      <c r="N1314" s="48" t="str">
        <f aca="false">IF($A1314="","",IF(N(M1314)=0,"–",IF(M1314&lt;=Start!$D$20,"A",IF(M1314&lt;=Start!$D$21,"B","C"))))</f>
        <v/>
      </c>
      <c r="O1314" s="48" t="str">
        <f aca="false">IF($A1314="","",IF(NOT(ISNUMBER(F1314)),"Wert fehlt; ",IF(F1314&lt;=0,"Wert ist 0; ",""))&amp;IF(NOT(ISNUMBER(E1314)),"Bestand fehlt; ",IF(E1314&lt;0,"Bestand negativ; ",IF(E1314=0,"Nullbestand; ","")))&amp;IF(D1314="","Warengruppe fehlt; ","")&amp;IF(B1314="","Bezeichnung fehlt; ","")&amp;IF(COUNTIFS($A$2:$A$5001,$A1314,$C$2:$C$5001,C1314)&gt;1,"Artikel doppelt im selben Lager; ",""))</f>
        <v/>
      </c>
      <c r="P1314" s="47" t="n">
        <f aca="false">IF(OR($A1314="",D1314=""),0,IF(COUNTIF($D$2:D1314,D1314)=1,SUMIF($D$2:$D$5001,D1314,$H$2:$H$5001)+ROW()/10000000,0))</f>
        <v>0</v>
      </c>
      <c r="Q1314" s="47" t="n">
        <f aca="false">IF(OR($A1314="",C1314=""),0,IF(COUNTIF($C$2:C1314,C1314)=1,SUMIF($C$2:$C$5001,C1314,$H$2:$H$5001)+ROW()/10000000,0))</f>
        <v>0</v>
      </c>
    </row>
    <row r="1315" customFormat="false" ht="15" hidden="false" customHeight="false" outlineLevel="0" collapsed="false">
      <c r="A1315" s="43"/>
      <c r="B1315" s="44"/>
      <c r="C1315" s="44"/>
      <c r="D1315" s="44"/>
      <c r="E1315" s="44"/>
      <c r="F1315" s="44"/>
      <c r="G1315" s="44"/>
      <c r="H1315" s="46" t="str">
        <f aca="false">IF($A1315="","",IF(OR(NOT(ISNUMBER(E1315)),NOT(ISNUMBER(F1315))),"",MAX(0,E1315)*F1315))</f>
        <v/>
      </c>
      <c r="I1315" s="46" t="str">
        <f aca="false">IF($A1315="","",SUMIF($A$2:$A$5001,$A1315,$H$2:$H$5001))</f>
        <v/>
      </c>
      <c r="J1315" s="47" t="n">
        <f aca="false">IF($A1315="",0,IF(COUNTIF($A$2:A1315,$A1315)=1,1,0))</f>
        <v>0</v>
      </c>
      <c r="K1315" s="47" t="n">
        <f aca="false">IF(J1315=1,N(I1315)+ROW()/10000000,0)</f>
        <v>0</v>
      </c>
      <c r="L1315" s="47" t="str">
        <f aca="false">IF(AND(J1315=1,N(I1315)&gt;0),SUMIF($K$2:$K$5001,"&gt;="&amp;K1315,$I$2:$I$5001)/MAX(1,SUM($H$2:$H$5001)),"")</f>
        <v/>
      </c>
      <c r="M1315" s="47" t="str">
        <f aca="false">IF($A1315="","",INDEX($L$2:$L$5001,MATCH($A1315,$A$2:$A$5001,0)))</f>
        <v/>
      </c>
      <c r="N1315" s="48" t="str">
        <f aca="false">IF($A1315="","",IF(N(M1315)=0,"–",IF(M1315&lt;=Start!$D$20,"A",IF(M1315&lt;=Start!$D$21,"B","C"))))</f>
        <v/>
      </c>
      <c r="O1315" s="48" t="str">
        <f aca="false">IF($A1315="","",IF(NOT(ISNUMBER(F1315)),"Wert fehlt; ",IF(F1315&lt;=0,"Wert ist 0; ",""))&amp;IF(NOT(ISNUMBER(E1315)),"Bestand fehlt; ",IF(E1315&lt;0,"Bestand negativ; ",IF(E1315=0,"Nullbestand; ","")))&amp;IF(D1315="","Warengruppe fehlt; ","")&amp;IF(B1315="","Bezeichnung fehlt; ","")&amp;IF(COUNTIFS($A$2:$A$5001,$A1315,$C$2:$C$5001,C1315)&gt;1,"Artikel doppelt im selben Lager; ",""))</f>
        <v/>
      </c>
      <c r="P1315" s="47" t="n">
        <f aca="false">IF(OR($A1315="",D1315=""),0,IF(COUNTIF($D$2:D1315,D1315)=1,SUMIF($D$2:$D$5001,D1315,$H$2:$H$5001)+ROW()/10000000,0))</f>
        <v>0</v>
      </c>
      <c r="Q1315" s="47" t="n">
        <f aca="false">IF(OR($A1315="",C1315=""),0,IF(COUNTIF($C$2:C1315,C1315)=1,SUMIF($C$2:$C$5001,C1315,$H$2:$H$5001)+ROW()/10000000,0))</f>
        <v>0</v>
      </c>
    </row>
    <row r="1316" customFormat="false" ht="15" hidden="false" customHeight="false" outlineLevel="0" collapsed="false">
      <c r="A1316" s="43"/>
      <c r="B1316" s="44"/>
      <c r="C1316" s="44"/>
      <c r="D1316" s="44"/>
      <c r="E1316" s="44"/>
      <c r="F1316" s="44"/>
      <c r="G1316" s="44"/>
      <c r="H1316" s="46" t="str">
        <f aca="false">IF($A1316="","",IF(OR(NOT(ISNUMBER(E1316)),NOT(ISNUMBER(F1316))),"",MAX(0,E1316)*F1316))</f>
        <v/>
      </c>
      <c r="I1316" s="46" t="str">
        <f aca="false">IF($A1316="","",SUMIF($A$2:$A$5001,$A1316,$H$2:$H$5001))</f>
        <v/>
      </c>
      <c r="J1316" s="47" t="n">
        <f aca="false">IF($A1316="",0,IF(COUNTIF($A$2:A1316,$A1316)=1,1,0))</f>
        <v>0</v>
      </c>
      <c r="K1316" s="47" t="n">
        <f aca="false">IF(J1316=1,N(I1316)+ROW()/10000000,0)</f>
        <v>0</v>
      </c>
      <c r="L1316" s="47" t="str">
        <f aca="false">IF(AND(J1316=1,N(I1316)&gt;0),SUMIF($K$2:$K$5001,"&gt;="&amp;K1316,$I$2:$I$5001)/MAX(1,SUM($H$2:$H$5001)),"")</f>
        <v/>
      </c>
      <c r="M1316" s="47" t="str">
        <f aca="false">IF($A1316="","",INDEX($L$2:$L$5001,MATCH($A1316,$A$2:$A$5001,0)))</f>
        <v/>
      </c>
      <c r="N1316" s="48" t="str">
        <f aca="false">IF($A1316="","",IF(N(M1316)=0,"–",IF(M1316&lt;=Start!$D$20,"A",IF(M1316&lt;=Start!$D$21,"B","C"))))</f>
        <v/>
      </c>
      <c r="O1316" s="48" t="str">
        <f aca="false">IF($A1316="","",IF(NOT(ISNUMBER(F1316)),"Wert fehlt; ",IF(F1316&lt;=0,"Wert ist 0; ",""))&amp;IF(NOT(ISNUMBER(E1316)),"Bestand fehlt; ",IF(E1316&lt;0,"Bestand negativ; ",IF(E1316=0,"Nullbestand; ","")))&amp;IF(D1316="","Warengruppe fehlt; ","")&amp;IF(B1316="","Bezeichnung fehlt; ","")&amp;IF(COUNTIFS($A$2:$A$5001,$A1316,$C$2:$C$5001,C1316)&gt;1,"Artikel doppelt im selben Lager; ",""))</f>
        <v/>
      </c>
      <c r="P1316" s="47" t="n">
        <f aca="false">IF(OR($A1316="",D1316=""),0,IF(COUNTIF($D$2:D1316,D1316)=1,SUMIF($D$2:$D$5001,D1316,$H$2:$H$5001)+ROW()/10000000,0))</f>
        <v>0</v>
      </c>
      <c r="Q1316" s="47" t="n">
        <f aca="false">IF(OR($A1316="",C1316=""),0,IF(COUNTIF($C$2:C1316,C1316)=1,SUMIF($C$2:$C$5001,C1316,$H$2:$H$5001)+ROW()/10000000,0))</f>
        <v>0</v>
      </c>
    </row>
    <row r="1317" customFormat="false" ht="15" hidden="false" customHeight="false" outlineLevel="0" collapsed="false">
      <c r="A1317" s="43"/>
      <c r="B1317" s="44"/>
      <c r="C1317" s="44"/>
      <c r="D1317" s="44"/>
      <c r="E1317" s="44"/>
      <c r="F1317" s="44"/>
      <c r="G1317" s="44"/>
      <c r="H1317" s="46" t="str">
        <f aca="false">IF($A1317="","",IF(OR(NOT(ISNUMBER(E1317)),NOT(ISNUMBER(F1317))),"",MAX(0,E1317)*F1317))</f>
        <v/>
      </c>
      <c r="I1317" s="46" t="str">
        <f aca="false">IF($A1317="","",SUMIF($A$2:$A$5001,$A1317,$H$2:$H$5001))</f>
        <v/>
      </c>
      <c r="J1317" s="47" t="n">
        <f aca="false">IF($A1317="",0,IF(COUNTIF($A$2:A1317,$A1317)=1,1,0))</f>
        <v>0</v>
      </c>
      <c r="K1317" s="47" t="n">
        <f aca="false">IF(J1317=1,N(I1317)+ROW()/10000000,0)</f>
        <v>0</v>
      </c>
      <c r="L1317" s="47" t="str">
        <f aca="false">IF(AND(J1317=1,N(I1317)&gt;0),SUMIF($K$2:$K$5001,"&gt;="&amp;K1317,$I$2:$I$5001)/MAX(1,SUM($H$2:$H$5001)),"")</f>
        <v/>
      </c>
      <c r="M1317" s="47" t="str">
        <f aca="false">IF($A1317="","",INDEX($L$2:$L$5001,MATCH($A1317,$A$2:$A$5001,0)))</f>
        <v/>
      </c>
      <c r="N1317" s="48" t="str">
        <f aca="false">IF($A1317="","",IF(N(M1317)=0,"–",IF(M1317&lt;=Start!$D$20,"A",IF(M1317&lt;=Start!$D$21,"B","C"))))</f>
        <v/>
      </c>
      <c r="O1317" s="48" t="str">
        <f aca="false">IF($A1317="","",IF(NOT(ISNUMBER(F1317)),"Wert fehlt; ",IF(F1317&lt;=0,"Wert ist 0; ",""))&amp;IF(NOT(ISNUMBER(E1317)),"Bestand fehlt; ",IF(E1317&lt;0,"Bestand negativ; ",IF(E1317=0,"Nullbestand; ","")))&amp;IF(D1317="","Warengruppe fehlt; ","")&amp;IF(B1317="","Bezeichnung fehlt; ","")&amp;IF(COUNTIFS($A$2:$A$5001,$A1317,$C$2:$C$5001,C1317)&gt;1,"Artikel doppelt im selben Lager; ",""))</f>
        <v/>
      </c>
      <c r="P1317" s="47" t="n">
        <f aca="false">IF(OR($A1317="",D1317=""),0,IF(COUNTIF($D$2:D1317,D1317)=1,SUMIF($D$2:$D$5001,D1317,$H$2:$H$5001)+ROW()/10000000,0))</f>
        <v>0</v>
      </c>
      <c r="Q1317" s="47" t="n">
        <f aca="false">IF(OR($A1317="",C1317=""),0,IF(COUNTIF($C$2:C1317,C1317)=1,SUMIF($C$2:$C$5001,C1317,$H$2:$H$5001)+ROW()/10000000,0))</f>
        <v>0</v>
      </c>
    </row>
    <row r="1318" customFormat="false" ht="15" hidden="false" customHeight="false" outlineLevel="0" collapsed="false">
      <c r="A1318" s="43"/>
      <c r="B1318" s="44"/>
      <c r="C1318" s="44"/>
      <c r="D1318" s="44"/>
      <c r="E1318" s="44"/>
      <c r="F1318" s="44"/>
      <c r="G1318" s="44"/>
      <c r="H1318" s="46" t="str">
        <f aca="false">IF($A1318="","",IF(OR(NOT(ISNUMBER(E1318)),NOT(ISNUMBER(F1318))),"",MAX(0,E1318)*F1318))</f>
        <v/>
      </c>
      <c r="I1318" s="46" t="str">
        <f aca="false">IF($A1318="","",SUMIF($A$2:$A$5001,$A1318,$H$2:$H$5001))</f>
        <v/>
      </c>
      <c r="J1318" s="47" t="n">
        <f aca="false">IF($A1318="",0,IF(COUNTIF($A$2:A1318,$A1318)=1,1,0))</f>
        <v>0</v>
      </c>
      <c r="K1318" s="47" t="n">
        <f aca="false">IF(J1318=1,N(I1318)+ROW()/10000000,0)</f>
        <v>0</v>
      </c>
      <c r="L1318" s="47" t="str">
        <f aca="false">IF(AND(J1318=1,N(I1318)&gt;0),SUMIF($K$2:$K$5001,"&gt;="&amp;K1318,$I$2:$I$5001)/MAX(1,SUM($H$2:$H$5001)),"")</f>
        <v/>
      </c>
      <c r="M1318" s="47" t="str">
        <f aca="false">IF($A1318="","",INDEX($L$2:$L$5001,MATCH($A1318,$A$2:$A$5001,0)))</f>
        <v/>
      </c>
      <c r="N1318" s="48" t="str">
        <f aca="false">IF($A1318="","",IF(N(M1318)=0,"–",IF(M1318&lt;=Start!$D$20,"A",IF(M1318&lt;=Start!$D$21,"B","C"))))</f>
        <v/>
      </c>
      <c r="O1318" s="48" t="str">
        <f aca="false">IF($A1318="","",IF(NOT(ISNUMBER(F1318)),"Wert fehlt; ",IF(F1318&lt;=0,"Wert ist 0; ",""))&amp;IF(NOT(ISNUMBER(E1318)),"Bestand fehlt; ",IF(E1318&lt;0,"Bestand negativ; ",IF(E1318=0,"Nullbestand; ","")))&amp;IF(D1318="","Warengruppe fehlt; ","")&amp;IF(B1318="","Bezeichnung fehlt; ","")&amp;IF(COUNTIFS($A$2:$A$5001,$A1318,$C$2:$C$5001,C1318)&gt;1,"Artikel doppelt im selben Lager; ",""))</f>
        <v/>
      </c>
      <c r="P1318" s="47" t="n">
        <f aca="false">IF(OR($A1318="",D1318=""),0,IF(COUNTIF($D$2:D1318,D1318)=1,SUMIF($D$2:$D$5001,D1318,$H$2:$H$5001)+ROW()/10000000,0))</f>
        <v>0</v>
      </c>
      <c r="Q1318" s="47" t="n">
        <f aca="false">IF(OR($A1318="",C1318=""),0,IF(COUNTIF($C$2:C1318,C1318)=1,SUMIF($C$2:$C$5001,C1318,$H$2:$H$5001)+ROW()/10000000,0))</f>
        <v>0</v>
      </c>
    </row>
    <row r="1319" customFormat="false" ht="15" hidden="false" customHeight="false" outlineLevel="0" collapsed="false">
      <c r="A1319" s="43"/>
      <c r="B1319" s="44"/>
      <c r="C1319" s="44"/>
      <c r="D1319" s="44"/>
      <c r="E1319" s="44"/>
      <c r="F1319" s="44"/>
      <c r="G1319" s="44"/>
      <c r="H1319" s="46" t="str">
        <f aca="false">IF($A1319="","",IF(OR(NOT(ISNUMBER(E1319)),NOT(ISNUMBER(F1319))),"",MAX(0,E1319)*F1319))</f>
        <v/>
      </c>
      <c r="I1319" s="46" t="str">
        <f aca="false">IF($A1319="","",SUMIF($A$2:$A$5001,$A1319,$H$2:$H$5001))</f>
        <v/>
      </c>
      <c r="J1319" s="47" t="n">
        <f aca="false">IF($A1319="",0,IF(COUNTIF($A$2:A1319,$A1319)=1,1,0))</f>
        <v>0</v>
      </c>
      <c r="K1319" s="47" t="n">
        <f aca="false">IF(J1319=1,N(I1319)+ROW()/10000000,0)</f>
        <v>0</v>
      </c>
      <c r="L1319" s="47" t="str">
        <f aca="false">IF(AND(J1319=1,N(I1319)&gt;0),SUMIF($K$2:$K$5001,"&gt;="&amp;K1319,$I$2:$I$5001)/MAX(1,SUM($H$2:$H$5001)),"")</f>
        <v/>
      </c>
      <c r="M1319" s="47" t="str">
        <f aca="false">IF($A1319="","",INDEX($L$2:$L$5001,MATCH($A1319,$A$2:$A$5001,0)))</f>
        <v/>
      </c>
      <c r="N1319" s="48" t="str">
        <f aca="false">IF($A1319="","",IF(N(M1319)=0,"–",IF(M1319&lt;=Start!$D$20,"A",IF(M1319&lt;=Start!$D$21,"B","C"))))</f>
        <v/>
      </c>
      <c r="O1319" s="48" t="str">
        <f aca="false">IF($A1319="","",IF(NOT(ISNUMBER(F1319)),"Wert fehlt; ",IF(F1319&lt;=0,"Wert ist 0; ",""))&amp;IF(NOT(ISNUMBER(E1319)),"Bestand fehlt; ",IF(E1319&lt;0,"Bestand negativ; ",IF(E1319=0,"Nullbestand; ","")))&amp;IF(D1319="","Warengruppe fehlt; ","")&amp;IF(B1319="","Bezeichnung fehlt; ","")&amp;IF(COUNTIFS($A$2:$A$5001,$A1319,$C$2:$C$5001,C1319)&gt;1,"Artikel doppelt im selben Lager; ",""))</f>
        <v/>
      </c>
      <c r="P1319" s="47" t="n">
        <f aca="false">IF(OR($A1319="",D1319=""),0,IF(COUNTIF($D$2:D1319,D1319)=1,SUMIF($D$2:$D$5001,D1319,$H$2:$H$5001)+ROW()/10000000,0))</f>
        <v>0</v>
      </c>
      <c r="Q1319" s="47" t="n">
        <f aca="false">IF(OR($A1319="",C1319=""),0,IF(COUNTIF($C$2:C1319,C1319)=1,SUMIF($C$2:$C$5001,C1319,$H$2:$H$5001)+ROW()/10000000,0))</f>
        <v>0</v>
      </c>
    </row>
    <row r="1320" customFormat="false" ht="15" hidden="false" customHeight="false" outlineLevel="0" collapsed="false">
      <c r="A1320" s="43"/>
      <c r="B1320" s="44"/>
      <c r="C1320" s="44"/>
      <c r="D1320" s="44"/>
      <c r="E1320" s="44"/>
      <c r="F1320" s="44"/>
      <c r="G1320" s="44"/>
      <c r="H1320" s="46" t="str">
        <f aca="false">IF($A1320="","",IF(OR(NOT(ISNUMBER(E1320)),NOT(ISNUMBER(F1320))),"",MAX(0,E1320)*F1320))</f>
        <v/>
      </c>
      <c r="I1320" s="46" t="str">
        <f aca="false">IF($A1320="","",SUMIF($A$2:$A$5001,$A1320,$H$2:$H$5001))</f>
        <v/>
      </c>
      <c r="J1320" s="47" t="n">
        <f aca="false">IF($A1320="",0,IF(COUNTIF($A$2:A1320,$A1320)=1,1,0))</f>
        <v>0</v>
      </c>
      <c r="K1320" s="47" t="n">
        <f aca="false">IF(J1320=1,N(I1320)+ROW()/10000000,0)</f>
        <v>0</v>
      </c>
      <c r="L1320" s="47" t="str">
        <f aca="false">IF(AND(J1320=1,N(I1320)&gt;0),SUMIF($K$2:$K$5001,"&gt;="&amp;K1320,$I$2:$I$5001)/MAX(1,SUM($H$2:$H$5001)),"")</f>
        <v/>
      </c>
      <c r="M1320" s="47" t="str">
        <f aca="false">IF($A1320="","",INDEX($L$2:$L$5001,MATCH($A1320,$A$2:$A$5001,0)))</f>
        <v/>
      </c>
      <c r="N1320" s="48" t="str">
        <f aca="false">IF($A1320="","",IF(N(M1320)=0,"–",IF(M1320&lt;=Start!$D$20,"A",IF(M1320&lt;=Start!$D$21,"B","C"))))</f>
        <v/>
      </c>
      <c r="O1320" s="48" t="str">
        <f aca="false">IF($A1320="","",IF(NOT(ISNUMBER(F1320)),"Wert fehlt; ",IF(F1320&lt;=0,"Wert ist 0; ",""))&amp;IF(NOT(ISNUMBER(E1320)),"Bestand fehlt; ",IF(E1320&lt;0,"Bestand negativ; ",IF(E1320=0,"Nullbestand; ","")))&amp;IF(D1320="","Warengruppe fehlt; ","")&amp;IF(B1320="","Bezeichnung fehlt; ","")&amp;IF(COUNTIFS($A$2:$A$5001,$A1320,$C$2:$C$5001,C1320)&gt;1,"Artikel doppelt im selben Lager; ",""))</f>
        <v/>
      </c>
      <c r="P1320" s="47" t="n">
        <f aca="false">IF(OR($A1320="",D1320=""),0,IF(COUNTIF($D$2:D1320,D1320)=1,SUMIF($D$2:$D$5001,D1320,$H$2:$H$5001)+ROW()/10000000,0))</f>
        <v>0</v>
      </c>
      <c r="Q1320" s="47" t="n">
        <f aca="false">IF(OR($A1320="",C1320=""),0,IF(COUNTIF($C$2:C1320,C1320)=1,SUMIF($C$2:$C$5001,C1320,$H$2:$H$5001)+ROW()/10000000,0))</f>
        <v>0</v>
      </c>
    </row>
    <row r="1321" customFormat="false" ht="15" hidden="false" customHeight="false" outlineLevel="0" collapsed="false">
      <c r="A1321" s="43"/>
      <c r="B1321" s="44"/>
      <c r="C1321" s="44"/>
      <c r="D1321" s="44"/>
      <c r="E1321" s="44"/>
      <c r="F1321" s="44"/>
      <c r="G1321" s="44"/>
      <c r="H1321" s="46" t="str">
        <f aca="false">IF($A1321="","",IF(OR(NOT(ISNUMBER(E1321)),NOT(ISNUMBER(F1321))),"",MAX(0,E1321)*F1321))</f>
        <v/>
      </c>
      <c r="I1321" s="46" t="str">
        <f aca="false">IF($A1321="","",SUMIF($A$2:$A$5001,$A1321,$H$2:$H$5001))</f>
        <v/>
      </c>
      <c r="J1321" s="47" t="n">
        <f aca="false">IF($A1321="",0,IF(COUNTIF($A$2:A1321,$A1321)=1,1,0))</f>
        <v>0</v>
      </c>
      <c r="K1321" s="47" t="n">
        <f aca="false">IF(J1321=1,N(I1321)+ROW()/10000000,0)</f>
        <v>0</v>
      </c>
      <c r="L1321" s="47" t="str">
        <f aca="false">IF(AND(J1321=1,N(I1321)&gt;0),SUMIF($K$2:$K$5001,"&gt;="&amp;K1321,$I$2:$I$5001)/MAX(1,SUM($H$2:$H$5001)),"")</f>
        <v/>
      </c>
      <c r="M1321" s="47" t="str">
        <f aca="false">IF($A1321="","",INDEX($L$2:$L$5001,MATCH($A1321,$A$2:$A$5001,0)))</f>
        <v/>
      </c>
      <c r="N1321" s="48" t="str">
        <f aca="false">IF($A1321="","",IF(N(M1321)=0,"–",IF(M1321&lt;=Start!$D$20,"A",IF(M1321&lt;=Start!$D$21,"B","C"))))</f>
        <v/>
      </c>
      <c r="O1321" s="48" t="str">
        <f aca="false">IF($A1321="","",IF(NOT(ISNUMBER(F1321)),"Wert fehlt; ",IF(F1321&lt;=0,"Wert ist 0; ",""))&amp;IF(NOT(ISNUMBER(E1321)),"Bestand fehlt; ",IF(E1321&lt;0,"Bestand negativ; ",IF(E1321=0,"Nullbestand; ","")))&amp;IF(D1321="","Warengruppe fehlt; ","")&amp;IF(B1321="","Bezeichnung fehlt; ","")&amp;IF(COUNTIFS($A$2:$A$5001,$A1321,$C$2:$C$5001,C1321)&gt;1,"Artikel doppelt im selben Lager; ",""))</f>
        <v/>
      </c>
      <c r="P1321" s="47" t="n">
        <f aca="false">IF(OR($A1321="",D1321=""),0,IF(COUNTIF($D$2:D1321,D1321)=1,SUMIF($D$2:$D$5001,D1321,$H$2:$H$5001)+ROW()/10000000,0))</f>
        <v>0</v>
      </c>
      <c r="Q1321" s="47" t="n">
        <f aca="false">IF(OR($A1321="",C1321=""),0,IF(COUNTIF($C$2:C1321,C1321)=1,SUMIF($C$2:$C$5001,C1321,$H$2:$H$5001)+ROW()/10000000,0))</f>
        <v>0</v>
      </c>
    </row>
    <row r="1322" customFormat="false" ht="15" hidden="false" customHeight="false" outlineLevel="0" collapsed="false">
      <c r="A1322" s="43"/>
      <c r="B1322" s="44"/>
      <c r="C1322" s="44"/>
      <c r="D1322" s="44"/>
      <c r="E1322" s="44"/>
      <c r="F1322" s="44"/>
      <c r="G1322" s="44"/>
      <c r="H1322" s="46" t="str">
        <f aca="false">IF($A1322="","",IF(OR(NOT(ISNUMBER(E1322)),NOT(ISNUMBER(F1322))),"",MAX(0,E1322)*F1322))</f>
        <v/>
      </c>
      <c r="I1322" s="46" t="str">
        <f aca="false">IF($A1322="","",SUMIF($A$2:$A$5001,$A1322,$H$2:$H$5001))</f>
        <v/>
      </c>
      <c r="J1322" s="47" t="n">
        <f aca="false">IF($A1322="",0,IF(COUNTIF($A$2:A1322,$A1322)=1,1,0))</f>
        <v>0</v>
      </c>
      <c r="K1322" s="47" t="n">
        <f aca="false">IF(J1322=1,N(I1322)+ROW()/10000000,0)</f>
        <v>0</v>
      </c>
      <c r="L1322" s="47" t="str">
        <f aca="false">IF(AND(J1322=1,N(I1322)&gt;0),SUMIF($K$2:$K$5001,"&gt;="&amp;K1322,$I$2:$I$5001)/MAX(1,SUM($H$2:$H$5001)),"")</f>
        <v/>
      </c>
      <c r="M1322" s="47" t="str">
        <f aca="false">IF($A1322="","",INDEX($L$2:$L$5001,MATCH($A1322,$A$2:$A$5001,0)))</f>
        <v/>
      </c>
      <c r="N1322" s="48" t="str">
        <f aca="false">IF($A1322="","",IF(N(M1322)=0,"–",IF(M1322&lt;=Start!$D$20,"A",IF(M1322&lt;=Start!$D$21,"B","C"))))</f>
        <v/>
      </c>
      <c r="O1322" s="48" t="str">
        <f aca="false">IF($A1322="","",IF(NOT(ISNUMBER(F1322)),"Wert fehlt; ",IF(F1322&lt;=0,"Wert ist 0; ",""))&amp;IF(NOT(ISNUMBER(E1322)),"Bestand fehlt; ",IF(E1322&lt;0,"Bestand negativ; ",IF(E1322=0,"Nullbestand; ","")))&amp;IF(D1322="","Warengruppe fehlt; ","")&amp;IF(B1322="","Bezeichnung fehlt; ","")&amp;IF(COUNTIFS($A$2:$A$5001,$A1322,$C$2:$C$5001,C1322)&gt;1,"Artikel doppelt im selben Lager; ",""))</f>
        <v/>
      </c>
      <c r="P1322" s="47" t="n">
        <f aca="false">IF(OR($A1322="",D1322=""),0,IF(COUNTIF($D$2:D1322,D1322)=1,SUMIF($D$2:$D$5001,D1322,$H$2:$H$5001)+ROW()/10000000,0))</f>
        <v>0</v>
      </c>
      <c r="Q1322" s="47" t="n">
        <f aca="false">IF(OR($A1322="",C1322=""),0,IF(COUNTIF($C$2:C1322,C1322)=1,SUMIF($C$2:$C$5001,C1322,$H$2:$H$5001)+ROW()/10000000,0))</f>
        <v>0</v>
      </c>
    </row>
    <row r="1323" customFormat="false" ht="15" hidden="false" customHeight="false" outlineLevel="0" collapsed="false">
      <c r="A1323" s="43"/>
      <c r="B1323" s="44"/>
      <c r="C1323" s="44"/>
      <c r="D1323" s="44"/>
      <c r="E1323" s="44"/>
      <c r="F1323" s="44"/>
      <c r="G1323" s="44"/>
      <c r="H1323" s="46" t="str">
        <f aca="false">IF($A1323="","",IF(OR(NOT(ISNUMBER(E1323)),NOT(ISNUMBER(F1323))),"",MAX(0,E1323)*F1323))</f>
        <v/>
      </c>
      <c r="I1323" s="46" t="str">
        <f aca="false">IF($A1323="","",SUMIF($A$2:$A$5001,$A1323,$H$2:$H$5001))</f>
        <v/>
      </c>
      <c r="J1323" s="47" t="n">
        <f aca="false">IF($A1323="",0,IF(COUNTIF($A$2:A1323,$A1323)=1,1,0))</f>
        <v>0</v>
      </c>
      <c r="K1323" s="47" t="n">
        <f aca="false">IF(J1323=1,N(I1323)+ROW()/10000000,0)</f>
        <v>0</v>
      </c>
      <c r="L1323" s="47" t="str">
        <f aca="false">IF(AND(J1323=1,N(I1323)&gt;0),SUMIF($K$2:$K$5001,"&gt;="&amp;K1323,$I$2:$I$5001)/MAX(1,SUM($H$2:$H$5001)),"")</f>
        <v/>
      </c>
      <c r="M1323" s="47" t="str">
        <f aca="false">IF($A1323="","",INDEX($L$2:$L$5001,MATCH($A1323,$A$2:$A$5001,0)))</f>
        <v/>
      </c>
      <c r="N1323" s="48" t="str">
        <f aca="false">IF($A1323="","",IF(N(M1323)=0,"–",IF(M1323&lt;=Start!$D$20,"A",IF(M1323&lt;=Start!$D$21,"B","C"))))</f>
        <v/>
      </c>
      <c r="O1323" s="48" t="str">
        <f aca="false">IF($A1323="","",IF(NOT(ISNUMBER(F1323)),"Wert fehlt; ",IF(F1323&lt;=0,"Wert ist 0; ",""))&amp;IF(NOT(ISNUMBER(E1323)),"Bestand fehlt; ",IF(E1323&lt;0,"Bestand negativ; ",IF(E1323=0,"Nullbestand; ","")))&amp;IF(D1323="","Warengruppe fehlt; ","")&amp;IF(B1323="","Bezeichnung fehlt; ","")&amp;IF(COUNTIFS($A$2:$A$5001,$A1323,$C$2:$C$5001,C1323)&gt;1,"Artikel doppelt im selben Lager; ",""))</f>
        <v/>
      </c>
      <c r="P1323" s="47" t="n">
        <f aca="false">IF(OR($A1323="",D1323=""),0,IF(COUNTIF($D$2:D1323,D1323)=1,SUMIF($D$2:$D$5001,D1323,$H$2:$H$5001)+ROW()/10000000,0))</f>
        <v>0</v>
      </c>
      <c r="Q1323" s="47" t="n">
        <f aca="false">IF(OR($A1323="",C1323=""),0,IF(COUNTIF($C$2:C1323,C1323)=1,SUMIF($C$2:$C$5001,C1323,$H$2:$H$5001)+ROW()/10000000,0))</f>
        <v>0</v>
      </c>
    </row>
    <row r="1324" customFormat="false" ht="15" hidden="false" customHeight="false" outlineLevel="0" collapsed="false">
      <c r="A1324" s="43"/>
      <c r="B1324" s="44"/>
      <c r="C1324" s="44"/>
      <c r="D1324" s="44"/>
      <c r="E1324" s="44"/>
      <c r="F1324" s="44"/>
      <c r="G1324" s="44"/>
      <c r="H1324" s="46" t="str">
        <f aca="false">IF($A1324="","",IF(OR(NOT(ISNUMBER(E1324)),NOT(ISNUMBER(F1324))),"",MAX(0,E1324)*F1324))</f>
        <v/>
      </c>
      <c r="I1324" s="46" t="str">
        <f aca="false">IF($A1324="","",SUMIF($A$2:$A$5001,$A1324,$H$2:$H$5001))</f>
        <v/>
      </c>
      <c r="J1324" s="47" t="n">
        <f aca="false">IF($A1324="",0,IF(COUNTIF($A$2:A1324,$A1324)=1,1,0))</f>
        <v>0</v>
      </c>
      <c r="K1324" s="47" t="n">
        <f aca="false">IF(J1324=1,N(I1324)+ROW()/10000000,0)</f>
        <v>0</v>
      </c>
      <c r="L1324" s="47" t="str">
        <f aca="false">IF(AND(J1324=1,N(I1324)&gt;0),SUMIF($K$2:$K$5001,"&gt;="&amp;K1324,$I$2:$I$5001)/MAX(1,SUM($H$2:$H$5001)),"")</f>
        <v/>
      </c>
      <c r="M1324" s="47" t="str">
        <f aca="false">IF($A1324="","",INDEX($L$2:$L$5001,MATCH($A1324,$A$2:$A$5001,0)))</f>
        <v/>
      </c>
      <c r="N1324" s="48" t="str">
        <f aca="false">IF($A1324="","",IF(N(M1324)=0,"–",IF(M1324&lt;=Start!$D$20,"A",IF(M1324&lt;=Start!$D$21,"B","C"))))</f>
        <v/>
      </c>
      <c r="O1324" s="48" t="str">
        <f aca="false">IF($A1324="","",IF(NOT(ISNUMBER(F1324)),"Wert fehlt; ",IF(F1324&lt;=0,"Wert ist 0; ",""))&amp;IF(NOT(ISNUMBER(E1324)),"Bestand fehlt; ",IF(E1324&lt;0,"Bestand negativ; ",IF(E1324=0,"Nullbestand; ","")))&amp;IF(D1324="","Warengruppe fehlt; ","")&amp;IF(B1324="","Bezeichnung fehlt; ","")&amp;IF(COUNTIFS($A$2:$A$5001,$A1324,$C$2:$C$5001,C1324)&gt;1,"Artikel doppelt im selben Lager; ",""))</f>
        <v/>
      </c>
      <c r="P1324" s="47" t="n">
        <f aca="false">IF(OR($A1324="",D1324=""),0,IF(COUNTIF($D$2:D1324,D1324)=1,SUMIF($D$2:$D$5001,D1324,$H$2:$H$5001)+ROW()/10000000,0))</f>
        <v>0</v>
      </c>
      <c r="Q1324" s="47" t="n">
        <f aca="false">IF(OR($A1324="",C1324=""),0,IF(COUNTIF($C$2:C1324,C1324)=1,SUMIF($C$2:$C$5001,C1324,$H$2:$H$5001)+ROW()/10000000,0))</f>
        <v>0</v>
      </c>
    </row>
    <row r="1325" customFormat="false" ht="15" hidden="false" customHeight="false" outlineLevel="0" collapsed="false">
      <c r="A1325" s="43"/>
      <c r="B1325" s="44"/>
      <c r="C1325" s="44"/>
      <c r="D1325" s="44"/>
      <c r="E1325" s="44"/>
      <c r="F1325" s="44"/>
      <c r="G1325" s="44"/>
      <c r="H1325" s="46" t="str">
        <f aca="false">IF($A1325="","",IF(OR(NOT(ISNUMBER(E1325)),NOT(ISNUMBER(F1325))),"",MAX(0,E1325)*F1325))</f>
        <v/>
      </c>
      <c r="I1325" s="46" t="str">
        <f aca="false">IF($A1325="","",SUMIF($A$2:$A$5001,$A1325,$H$2:$H$5001))</f>
        <v/>
      </c>
      <c r="J1325" s="47" t="n">
        <f aca="false">IF($A1325="",0,IF(COUNTIF($A$2:A1325,$A1325)=1,1,0))</f>
        <v>0</v>
      </c>
      <c r="K1325" s="47" t="n">
        <f aca="false">IF(J1325=1,N(I1325)+ROW()/10000000,0)</f>
        <v>0</v>
      </c>
      <c r="L1325" s="47" t="str">
        <f aca="false">IF(AND(J1325=1,N(I1325)&gt;0),SUMIF($K$2:$K$5001,"&gt;="&amp;K1325,$I$2:$I$5001)/MAX(1,SUM($H$2:$H$5001)),"")</f>
        <v/>
      </c>
      <c r="M1325" s="47" t="str">
        <f aca="false">IF($A1325="","",INDEX($L$2:$L$5001,MATCH($A1325,$A$2:$A$5001,0)))</f>
        <v/>
      </c>
      <c r="N1325" s="48" t="str">
        <f aca="false">IF($A1325="","",IF(N(M1325)=0,"–",IF(M1325&lt;=Start!$D$20,"A",IF(M1325&lt;=Start!$D$21,"B","C"))))</f>
        <v/>
      </c>
      <c r="O1325" s="48" t="str">
        <f aca="false">IF($A1325="","",IF(NOT(ISNUMBER(F1325)),"Wert fehlt; ",IF(F1325&lt;=0,"Wert ist 0; ",""))&amp;IF(NOT(ISNUMBER(E1325)),"Bestand fehlt; ",IF(E1325&lt;0,"Bestand negativ; ",IF(E1325=0,"Nullbestand; ","")))&amp;IF(D1325="","Warengruppe fehlt; ","")&amp;IF(B1325="","Bezeichnung fehlt; ","")&amp;IF(COUNTIFS($A$2:$A$5001,$A1325,$C$2:$C$5001,C1325)&gt;1,"Artikel doppelt im selben Lager; ",""))</f>
        <v/>
      </c>
      <c r="P1325" s="47" t="n">
        <f aca="false">IF(OR($A1325="",D1325=""),0,IF(COUNTIF($D$2:D1325,D1325)=1,SUMIF($D$2:$D$5001,D1325,$H$2:$H$5001)+ROW()/10000000,0))</f>
        <v>0</v>
      </c>
      <c r="Q1325" s="47" t="n">
        <f aca="false">IF(OR($A1325="",C1325=""),0,IF(COUNTIF($C$2:C1325,C1325)=1,SUMIF($C$2:$C$5001,C1325,$H$2:$H$5001)+ROW()/10000000,0))</f>
        <v>0</v>
      </c>
    </row>
    <row r="1326" customFormat="false" ht="15" hidden="false" customHeight="false" outlineLevel="0" collapsed="false">
      <c r="A1326" s="43"/>
      <c r="B1326" s="44"/>
      <c r="C1326" s="44"/>
      <c r="D1326" s="44"/>
      <c r="E1326" s="44"/>
      <c r="F1326" s="44"/>
      <c r="G1326" s="44"/>
      <c r="H1326" s="46" t="str">
        <f aca="false">IF($A1326="","",IF(OR(NOT(ISNUMBER(E1326)),NOT(ISNUMBER(F1326))),"",MAX(0,E1326)*F1326))</f>
        <v/>
      </c>
      <c r="I1326" s="46" t="str">
        <f aca="false">IF($A1326="","",SUMIF($A$2:$A$5001,$A1326,$H$2:$H$5001))</f>
        <v/>
      </c>
      <c r="J1326" s="47" t="n">
        <f aca="false">IF($A1326="",0,IF(COUNTIF($A$2:A1326,$A1326)=1,1,0))</f>
        <v>0</v>
      </c>
      <c r="K1326" s="47" t="n">
        <f aca="false">IF(J1326=1,N(I1326)+ROW()/10000000,0)</f>
        <v>0</v>
      </c>
      <c r="L1326" s="47" t="str">
        <f aca="false">IF(AND(J1326=1,N(I1326)&gt;0),SUMIF($K$2:$K$5001,"&gt;="&amp;K1326,$I$2:$I$5001)/MAX(1,SUM($H$2:$H$5001)),"")</f>
        <v/>
      </c>
      <c r="M1326" s="47" t="str">
        <f aca="false">IF($A1326="","",INDEX($L$2:$L$5001,MATCH($A1326,$A$2:$A$5001,0)))</f>
        <v/>
      </c>
      <c r="N1326" s="48" t="str">
        <f aca="false">IF($A1326="","",IF(N(M1326)=0,"–",IF(M1326&lt;=Start!$D$20,"A",IF(M1326&lt;=Start!$D$21,"B","C"))))</f>
        <v/>
      </c>
      <c r="O1326" s="48" t="str">
        <f aca="false">IF($A1326="","",IF(NOT(ISNUMBER(F1326)),"Wert fehlt; ",IF(F1326&lt;=0,"Wert ist 0; ",""))&amp;IF(NOT(ISNUMBER(E1326)),"Bestand fehlt; ",IF(E1326&lt;0,"Bestand negativ; ",IF(E1326=0,"Nullbestand; ","")))&amp;IF(D1326="","Warengruppe fehlt; ","")&amp;IF(B1326="","Bezeichnung fehlt; ","")&amp;IF(COUNTIFS($A$2:$A$5001,$A1326,$C$2:$C$5001,C1326)&gt;1,"Artikel doppelt im selben Lager; ",""))</f>
        <v/>
      </c>
      <c r="P1326" s="47" t="n">
        <f aca="false">IF(OR($A1326="",D1326=""),0,IF(COUNTIF($D$2:D1326,D1326)=1,SUMIF($D$2:$D$5001,D1326,$H$2:$H$5001)+ROW()/10000000,0))</f>
        <v>0</v>
      </c>
      <c r="Q1326" s="47" t="n">
        <f aca="false">IF(OR($A1326="",C1326=""),0,IF(COUNTIF($C$2:C1326,C1326)=1,SUMIF($C$2:$C$5001,C1326,$H$2:$H$5001)+ROW()/10000000,0))</f>
        <v>0</v>
      </c>
    </row>
    <row r="1327" customFormat="false" ht="15" hidden="false" customHeight="false" outlineLevel="0" collapsed="false">
      <c r="A1327" s="43"/>
      <c r="B1327" s="44"/>
      <c r="C1327" s="44"/>
      <c r="D1327" s="44"/>
      <c r="E1327" s="44"/>
      <c r="F1327" s="44"/>
      <c r="G1327" s="44"/>
      <c r="H1327" s="46" t="str">
        <f aca="false">IF($A1327="","",IF(OR(NOT(ISNUMBER(E1327)),NOT(ISNUMBER(F1327))),"",MAX(0,E1327)*F1327))</f>
        <v/>
      </c>
      <c r="I1327" s="46" t="str">
        <f aca="false">IF($A1327="","",SUMIF($A$2:$A$5001,$A1327,$H$2:$H$5001))</f>
        <v/>
      </c>
      <c r="J1327" s="47" t="n">
        <f aca="false">IF($A1327="",0,IF(COUNTIF($A$2:A1327,$A1327)=1,1,0))</f>
        <v>0</v>
      </c>
      <c r="K1327" s="47" t="n">
        <f aca="false">IF(J1327=1,N(I1327)+ROW()/10000000,0)</f>
        <v>0</v>
      </c>
      <c r="L1327" s="47" t="str">
        <f aca="false">IF(AND(J1327=1,N(I1327)&gt;0),SUMIF($K$2:$K$5001,"&gt;="&amp;K1327,$I$2:$I$5001)/MAX(1,SUM($H$2:$H$5001)),"")</f>
        <v/>
      </c>
      <c r="M1327" s="47" t="str">
        <f aca="false">IF($A1327="","",INDEX($L$2:$L$5001,MATCH($A1327,$A$2:$A$5001,0)))</f>
        <v/>
      </c>
      <c r="N1327" s="48" t="str">
        <f aca="false">IF($A1327="","",IF(N(M1327)=0,"–",IF(M1327&lt;=Start!$D$20,"A",IF(M1327&lt;=Start!$D$21,"B","C"))))</f>
        <v/>
      </c>
      <c r="O1327" s="48" t="str">
        <f aca="false">IF($A1327="","",IF(NOT(ISNUMBER(F1327)),"Wert fehlt; ",IF(F1327&lt;=0,"Wert ist 0; ",""))&amp;IF(NOT(ISNUMBER(E1327)),"Bestand fehlt; ",IF(E1327&lt;0,"Bestand negativ; ",IF(E1327=0,"Nullbestand; ","")))&amp;IF(D1327="","Warengruppe fehlt; ","")&amp;IF(B1327="","Bezeichnung fehlt; ","")&amp;IF(COUNTIFS($A$2:$A$5001,$A1327,$C$2:$C$5001,C1327)&gt;1,"Artikel doppelt im selben Lager; ",""))</f>
        <v/>
      </c>
      <c r="P1327" s="47" t="n">
        <f aca="false">IF(OR($A1327="",D1327=""),0,IF(COUNTIF($D$2:D1327,D1327)=1,SUMIF($D$2:$D$5001,D1327,$H$2:$H$5001)+ROW()/10000000,0))</f>
        <v>0</v>
      </c>
      <c r="Q1327" s="47" t="n">
        <f aca="false">IF(OR($A1327="",C1327=""),0,IF(COUNTIF($C$2:C1327,C1327)=1,SUMIF($C$2:$C$5001,C1327,$H$2:$H$5001)+ROW()/10000000,0))</f>
        <v>0</v>
      </c>
    </row>
    <row r="1328" customFormat="false" ht="15" hidden="false" customHeight="false" outlineLevel="0" collapsed="false">
      <c r="A1328" s="43"/>
      <c r="B1328" s="44"/>
      <c r="C1328" s="44"/>
      <c r="D1328" s="44"/>
      <c r="E1328" s="44"/>
      <c r="F1328" s="44"/>
      <c r="G1328" s="44"/>
      <c r="H1328" s="46" t="str">
        <f aca="false">IF($A1328="","",IF(OR(NOT(ISNUMBER(E1328)),NOT(ISNUMBER(F1328))),"",MAX(0,E1328)*F1328))</f>
        <v/>
      </c>
      <c r="I1328" s="46" t="str">
        <f aca="false">IF($A1328="","",SUMIF($A$2:$A$5001,$A1328,$H$2:$H$5001))</f>
        <v/>
      </c>
      <c r="J1328" s="47" t="n">
        <f aca="false">IF($A1328="",0,IF(COUNTIF($A$2:A1328,$A1328)=1,1,0))</f>
        <v>0</v>
      </c>
      <c r="K1328" s="47" t="n">
        <f aca="false">IF(J1328=1,N(I1328)+ROW()/10000000,0)</f>
        <v>0</v>
      </c>
      <c r="L1328" s="47" t="str">
        <f aca="false">IF(AND(J1328=1,N(I1328)&gt;0),SUMIF($K$2:$K$5001,"&gt;="&amp;K1328,$I$2:$I$5001)/MAX(1,SUM($H$2:$H$5001)),"")</f>
        <v/>
      </c>
      <c r="M1328" s="47" t="str">
        <f aca="false">IF($A1328="","",INDEX($L$2:$L$5001,MATCH($A1328,$A$2:$A$5001,0)))</f>
        <v/>
      </c>
      <c r="N1328" s="48" t="str">
        <f aca="false">IF($A1328="","",IF(N(M1328)=0,"–",IF(M1328&lt;=Start!$D$20,"A",IF(M1328&lt;=Start!$D$21,"B","C"))))</f>
        <v/>
      </c>
      <c r="O1328" s="48" t="str">
        <f aca="false">IF($A1328="","",IF(NOT(ISNUMBER(F1328)),"Wert fehlt; ",IF(F1328&lt;=0,"Wert ist 0; ",""))&amp;IF(NOT(ISNUMBER(E1328)),"Bestand fehlt; ",IF(E1328&lt;0,"Bestand negativ; ",IF(E1328=0,"Nullbestand; ","")))&amp;IF(D1328="","Warengruppe fehlt; ","")&amp;IF(B1328="","Bezeichnung fehlt; ","")&amp;IF(COUNTIFS($A$2:$A$5001,$A1328,$C$2:$C$5001,C1328)&gt;1,"Artikel doppelt im selben Lager; ",""))</f>
        <v/>
      </c>
      <c r="P1328" s="47" t="n">
        <f aca="false">IF(OR($A1328="",D1328=""),0,IF(COUNTIF($D$2:D1328,D1328)=1,SUMIF($D$2:$D$5001,D1328,$H$2:$H$5001)+ROW()/10000000,0))</f>
        <v>0</v>
      </c>
      <c r="Q1328" s="47" t="n">
        <f aca="false">IF(OR($A1328="",C1328=""),0,IF(COUNTIF($C$2:C1328,C1328)=1,SUMIF($C$2:$C$5001,C1328,$H$2:$H$5001)+ROW()/10000000,0))</f>
        <v>0</v>
      </c>
    </row>
    <row r="1329" customFormat="false" ht="15" hidden="false" customHeight="false" outlineLevel="0" collapsed="false">
      <c r="A1329" s="43"/>
      <c r="B1329" s="44"/>
      <c r="C1329" s="44"/>
      <c r="D1329" s="44"/>
      <c r="E1329" s="44"/>
      <c r="F1329" s="44"/>
      <c r="G1329" s="44"/>
      <c r="H1329" s="46" t="str">
        <f aca="false">IF($A1329="","",IF(OR(NOT(ISNUMBER(E1329)),NOT(ISNUMBER(F1329))),"",MAX(0,E1329)*F1329))</f>
        <v/>
      </c>
      <c r="I1329" s="46" t="str">
        <f aca="false">IF($A1329="","",SUMIF($A$2:$A$5001,$A1329,$H$2:$H$5001))</f>
        <v/>
      </c>
      <c r="J1329" s="47" t="n">
        <f aca="false">IF($A1329="",0,IF(COUNTIF($A$2:A1329,$A1329)=1,1,0))</f>
        <v>0</v>
      </c>
      <c r="K1329" s="47" t="n">
        <f aca="false">IF(J1329=1,N(I1329)+ROW()/10000000,0)</f>
        <v>0</v>
      </c>
      <c r="L1329" s="47" t="str">
        <f aca="false">IF(AND(J1329=1,N(I1329)&gt;0),SUMIF($K$2:$K$5001,"&gt;="&amp;K1329,$I$2:$I$5001)/MAX(1,SUM($H$2:$H$5001)),"")</f>
        <v/>
      </c>
      <c r="M1329" s="47" t="str">
        <f aca="false">IF($A1329="","",INDEX($L$2:$L$5001,MATCH($A1329,$A$2:$A$5001,0)))</f>
        <v/>
      </c>
      <c r="N1329" s="48" t="str">
        <f aca="false">IF($A1329="","",IF(N(M1329)=0,"–",IF(M1329&lt;=Start!$D$20,"A",IF(M1329&lt;=Start!$D$21,"B","C"))))</f>
        <v/>
      </c>
      <c r="O1329" s="48" t="str">
        <f aca="false">IF($A1329="","",IF(NOT(ISNUMBER(F1329)),"Wert fehlt; ",IF(F1329&lt;=0,"Wert ist 0; ",""))&amp;IF(NOT(ISNUMBER(E1329)),"Bestand fehlt; ",IF(E1329&lt;0,"Bestand negativ; ",IF(E1329=0,"Nullbestand; ","")))&amp;IF(D1329="","Warengruppe fehlt; ","")&amp;IF(B1329="","Bezeichnung fehlt; ","")&amp;IF(COUNTIFS($A$2:$A$5001,$A1329,$C$2:$C$5001,C1329)&gt;1,"Artikel doppelt im selben Lager; ",""))</f>
        <v/>
      </c>
      <c r="P1329" s="47" t="n">
        <f aca="false">IF(OR($A1329="",D1329=""),0,IF(COUNTIF($D$2:D1329,D1329)=1,SUMIF($D$2:$D$5001,D1329,$H$2:$H$5001)+ROW()/10000000,0))</f>
        <v>0</v>
      </c>
      <c r="Q1329" s="47" t="n">
        <f aca="false">IF(OR($A1329="",C1329=""),0,IF(COUNTIF($C$2:C1329,C1329)=1,SUMIF($C$2:$C$5001,C1329,$H$2:$H$5001)+ROW()/10000000,0))</f>
        <v>0</v>
      </c>
    </row>
    <row r="1330" customFormat="false" ht="15" hidden="false" customHeight="false" outlineLevel="0" collapsed="false">
      <c r="A1330" s="43"/>
      <c r="B1330" s="44"/>
      <c r="C1330" s="44"/>
      <c r="D1330" s="44"/>
      <c r="E1330" s="44"/>
      <c r="F1330" s="44"/>
      <c r="G1330" s="44"/>
      <c r="H1330" s="46" t="str">
        <f aca="false">IF($A1330="","",IF(OR(NOT(ISNUMBER(E1330)),NOT(ISNUMBER(F1330))),"",MAX(0,E1330)*F1330))</f>
        <v/>
      </c>
      <c r="I1330" s="46" t="str">
        <f aca="false">IF($A1330="","",SUMIF($A$2:$A$5001,$A1330,$H$2:$H$5001))</f>
        <v/>
      </c>
      <c r="J1330" s="47" t="n">
        <f aca="false">IF($A1330="",0,IF(COUNTIF($A$2:A1330,$A1330)=1,1,0))</f>
        <v>0</v>
      </c>
      <c r="K1330" s="47" t="n">
        <f aca="false">IF(J1330=1,N(I1330)+ROW()/10000000,0)</f>
        <v>0</v>
      </c>
      <c r="L1330" s="47" t="str">
        <f aca="false">IF(AND(J1330=1,N(I1330)&gt;0),SUMIF($K$2:$K$5001,"&gt;="&amp;K1330,$I$2:$I$5001)/MAX(1,SUM($H$2:$H$5001)),"")</f>
        <v/>
      </c>
      <c r="M1330" s="47" t="str">
        <f aca="false">IF($A1330="","",INDEX($L$2:$L$5001,MATCH($A1330,$A$2:$A$5001,0)))</f>
        <v/>
      </c>
      <c r="N1330" s="48" t="str">
        <f aca="false">IF($A1330="","",IF(N(M1330)=0,"–",IF(M1330&lt;=Start!$D$20,"A",IF(M1330&lt;=Start!$D$21,"B","C"))))</f>
        <v/>
      </c>
      <c r="O1330" s="48" t="str">
        <f aca="false">IF($A1330="","",IF(NOT(ISNUMBER(F1330)),"Wert fehlt; ",IF(F1330&lt;=0,"Wert ist 0; ",""))&amp;IF(NOT(ISNUMBER(E1330)),"Bestand fehlt; ",IF(E1330&lt;0,"Bestand negativ; ",IF(E1330=0,"Nullbestand; ","")))&amp;IF(D1330="","Warengruppe fehlt; ","")&amp;IF(B1330="","Bezeichnung fehlt; ","")&amp;IF(COUNTIFS($A$2:$A$5001,$A1330,$C$2:$C$5001,C1330)&gt;1,"Artikel doppelt im selben Lager; ",""))</f>
        <v/>
      </c>
      <c r="P1330" s="47" t="n">
        <f aca="false">IF(OR($A1330="",D1330=""),0,IF(COUNTIF($D$2:D1330,D1330)=1,SUMIF($D$2:$D$5001,D1330,$H$2:$H$5001)+ROW()/10000000,0))</f>
        <v>0</v>
      </c>
      <c r="Q1330" s="47" t="n">
        <f aca="false">IF(OR($A1330="",C1330=""),0,IF(COUNTIF($C$2:C1330,C1330)=1,SUMIF($C$2:$C$5001,C1330,$H$2:$H$5001)+ROW()/10000000,0))</f>
        <v>0</v>
      </c>
    </row>
    <row r="1331" customFormat="false" ht="15" hidden="false" customHeight="false" outlineLevel="0" collapsed="false">
      <c r="A1331" s="43"/>
      <c r="B1331" s="44"/>
      <c r="C1331" s="44"/>
      <c r="D1331" s="44"/>
      <c r="E1331" s="44"/>
      <c r="F1331" s="44"/>
      <c r="G1331" s="44"/>
      <c r="H1331" s="46" t="str">
        <f aca="false">IF($A1331="","",IF(OR(NOT(ISNUMBER(E1331)),NOT(ISNUMBER(F1331))),"",MAX(0,E1331)*F1331))</f>
        <v/>
      </c>
      <c r="I1331" s="46" t="str">
        <f aca="false">IF($A1331="","",SUMIF($A$2:$A$5001,$A1331,$H$2:$H$5001))</f>
        <v/>
      </c>
      <c r="J1331" s="47" t="n">
        <f aca="false">IF($A1331="",0,IF(COUNTIF($A$2:A1331,$A1331)=1,1,0))</f>
        <v>0</v>
      </c>
      <c r="K1331" s="47" t="n">
        <f aca="false">IF(J1331=1,N(I1331)+ROW()/10000000,0)</f>
        <v>0</v>
      </c>
      <c r="L1331" s="47" t="str">
        <f aca="false">IF(AND(J1331=1,N(I1331)&gt;0),SUMIF($K$2:$K$5001,"&gt;="&amp;K1331,$I$2:$I$5001)/MAX(1,SUM($H$2:$H$5001)),"")</f>
        <v/>
      </c>
      <c r="M1331" s="47" t="str">
        <f aca="false">IF($A1331="","",INDEX($L$2:$L$5001,MATCH($A1331,$A$2:$A$5001,0)))</f>
        <v/>
      </c>
      <c r="N1331" s="48" t="str">
        <f aca="false">IF($A1331="","",IF(N(M1331)=0,"–",IF(M1331&lt;=Start!$D$20,"A",IF(M1331&lt;=Start!$D$21,"B","C"))))</f>
        <v/>
      </c>
      <c r="O1331" s="48" t="str">
        <f aca="false">IF($A1331="","",IF(NOT(ISNUMBER(F1331)),"Wert fehlt; ",IF(F1331&lt;=0,"Wert ist 0; ",""))&amp;IF(NOT(ISNUMBER(E1331)),"Bestand fehlt; ",IF(E1331&lt;0,"Bestand negativ; ",IF(E1331=0,"Nullbestand; ","")))&amp;IF(D1331="","Warengruppe fehlt; ","")&amp;IF(B1331="","Bezeichnung fehlt; ","")&amp;IF(COUNTIFS($A$2:$A$5001,$A1331,$C$2:$C$5001,C1331)&gt;1,"Artikel doppelt im selben Lager; ",""))</f>
        <v/>
      </c>
      <c r="P1331" s="47" t="n">
        <f aca="false">IF(OR($A1331="",D1331=""),0,IF(COUNTIF($D$2:D1331,D1331)=1,SUMIF($D$2:$D$5001,D1331,$H$2:$H$5001)+ROW()/10000000,0))</f>
        <v>0</v>
      </c>
      <c r="Q1331" s="47" t="n">
        <f aca="false">IF(OR($A1331="",C1331=""),0,IF(COUNTIF($C$2:C1331,C1331)=1,SUMIF($C$2:$C$5001,C1331,$H$2:$H$5001)+ROW()/10000000,0))</f>
        <v>0</v>
      </c>
    </row>
    <row r="1332" customFormat="false" ht="15" hidden="false" customHeight="false" outlineLevel="0" collapsed="false">
      <c r="A1332" s="43"/>
      <c r="B1332" s="44"/>
      <c r="C1332" s="44"/>
      <c r="D1332" s="44"/>
      <c r="E1332" s="44"/>
      <c r="F1332" s="44"/>
      <c r="G1332" s="44"/>
      <c r="H1332" s="46" t="str">
        <f aca="false">IF($A1332="","",IF(OR(NOT(ISNUMBER(E1332)),NOT(ISNUMBER(F1332))),"",MAX(0,E1332)*F1332))</f>
        <v/>
      </c>
      <c r="I1332" s="46" t="str">
        <f aca="false">IF($A1332="","",SUMIF($A$2:$A$5001,$A1332,$H$2:$H$5001))</f>
        <v/>
      </c>
      <c r="J1332" s="47" t="n">
        <f aca="false">IF($A1332="",0,IF(COUNTIF($A$2:A1332,$A1332)=1,1,0))</f>
        <v>0</v>
      </c>
      <c r="K1332" s="47" t="n">
        <f aca="false">IF(J1332=1,N(I1332)+ROW()/10000000,0)</f>
        <v>0</v>
      </c>
      <c r="L1332" s="47" t="str">
        <f aca="false">IF(AND(J1332=1,N(I1332)&gt;0),SUMIF($K$2:$K$5001,"&gt;="&amp;K1332,$I$2:$I$5001)/MAX(1,SUM($H$2:$H$5001)),"")</f>
        <v/>
      </c>
      <c r="M1332" s="47" t="str">
        <f aca="false">IF($A1332="","",INDEX($L$2:$L$5001,MATCH($A1332,$A$2:$A$5001,0)))</f>
        <v/>
      </c>
      <c r="N1332" s="48" t="str">
        <f aca="false">IF($A1332="","",IF(N(M1332)=0,"–",IF(M1332&lt;=Start!$D$20,"A",IF(M1332&lt;=Start!$D$21,"B","C"))))</f>
        <v/>
      </c>
      <c r="O1332" s="48" t="str">
        <f aca="false">IF($A1332="","",IF(NOT(ISNUMBER(F1332)),"Wert fehlt; ",IF(F1332&lt;=0,"Wert ist 0; ",""))&amp;IF(NOT(ISNUMBER(E1332)),"Bestand fehlt; ",IF(E1332&lt;0,"Bestand negativ; ",IF(E1332=0,"Nullbestand; ","")))&amp;IF(D1332="","Warengruppe fehlt; ","")&amp;IF(B1332="","Bezeichnung fehlt; ","")&amp;IF(COUNTIFS($A$2:$A$5001,$A1332,$C$2:$C$5001,C1332)&gt;1,"Artikel doppelt im selben Lager; ",""))</f>
        <v/>
      </c>
      <c r="P1332" s="47" t="n">
        <f aca="false">IF(OR($A1332="",D1332=""),0,IF(COUNTIF($D$2:D1332,D1332)=1,SUMIF($D$2:$D$5001,D1332,$H$2:$H$5001)+ROW()/10000000,0))</f>
        <v>0</v>
      </c>
      <c r="Q1332" s="47" t="n">
        <f aca="false">IF(OR($A1332="",C1332=""),0,IF(COUNTIF($C$2:C1332,C1332)=1,SUMIF($C$2:$C$5001,C1332,$H$2:$H$5001)+ROW()/10000000,0))</f>
        <v>0</v>
      </c>
    </row>
    <row r="1333" customFormat="false" ht="15" hidden="false" customHeight="false" outlineLevel="0" collapsed="false">
      <c r="A1333" s="43"/>
      <c r="B1333" s="44"/>
      <c r="C1333" s="44"/>
      <c r="D1333" s="44"/>
      <c r="E1333" s="44"/>
      <c r="F1333" s="44"/>
      <c r="G1333" s="44"/>
      <c r="H1333" s="46" t="str">
        <f aca="false">IF($A1333="","",IF(OR(NOT(ISNUMBER(E1333)),NOT(ISNUMBER(F1333))),"",MAX(0,E1333)*F1333))</f>
        <v/>
      </c>
      <c r="I1333" s="46" t="str">
        <f aca="false">IF($A1333="","",SUMIF($A$2:$A$5001,$A1333,$H$2:$H$5001))</f>
        <v/>
      </c>
      <c r="J1333" s="47" t="n">
        <f aca="false">IF($A1333="",0,IF(COUNTIF($A$2:A1333,$A1333)=1,1,0))</f>
        <v>0</v>
      </c>
      <c r="K1333" s="47" t="n">
        <f aca="false">IF(J1333=1,N(I1333)+ROW()/10000000,0)</f>
        <v>0</v>
      </c>
      <c r="L1333" s="47" t="str">
        <f aca="false">IF(AND(J1333=1,N(I1333)&gt;0),SUMIF($K$2:$K$5001,"&gt;="&amp;K1333,$I$2:$I$5001)/MAX(1,SUM($H$2:$H$5001)),"")</f>
        <v/>
      </c>
      <c r="M1333" s="47" t="str">
        <f aca="false">IF($A1333="","",INDEX($L$2:$L$5001,MATCH($A1333,$A$2:$A$5001,0)))</f>
        <v/>
      </c>
      <c r="N1333" s="48" t="str">
        <f aca="false">IF($A1333="","",IF(N(M1333)=0,"–",IF(M1333&lt;=Start!$D$20,"A",IF(M1333&lt;=Start!$D$21,"B","C"))))</f>
        <v/>
      </c>
      <c r="O1333" s="48" t="str">
        <f aca="false">IF($A1333="","",IF(NOT(ISNUMBER(F1333)),"Wert fehlt; ",IF(F1333&lt;=0,"Wert ist 0; ",""))&amp;IF(NOT(ISNUMBER(E1333)),"Bestand fehlt; ",IF(E1333&lt;0,"Bestand negativ; ",IF(E1333=0,"Nullbestand; ","")))&amp;IF(D1333="","Warengruppe fehlt; ","")&amp;IF(B1333="","Bezeichnung fehlt; ","")&amp;IF(COUNTIFS($A$2:$A$5001,$A1333,$C$2:$C$5001,C1333)&gt;1,"Artikel doppelt im selben Lager; ",""))</f>
        <v/>
      </c>
      <c r="P1333" s="47" t="n">
        <f aca="false">IF(OR($A1333="",D1333=""),0,IF(COUNTIF($D$2:D1333,D1333)=1,SUMIF($D$2:$D$5001,D1333,$H$2:$H$5001)+ROW()/10000000,0))</f>
        <v>0</v>
      </c>
      <c r="Q1333" s="47" t="n">
        <f aca="false">IF(OR($A1333="",C1333=""),0,IF(COUNTIF($C$2:C1333,C1333)=1,SUMIF($C$2:$C$5001,C1333,$H$2:$H$5001)+ROW()/10000000,0))</f>
        <v>0</v>
      </c>
    </row>
    <row r="1334" customFormat="false" ht="15" hidden="false" customHeight="false" outlineLevel="0" collapsed="false">
      <c r="A1334" s="43"/>
      <c r="B1334" s="44"/>
      <c r="C1334" s="44"/>
      <c r="D1334" s="44"/>
      <c r="E1334" s="44"/>
      <c r="F1334" s="44"/>
      <c r="G1334" s="44"/>
      <c r="H1334" s="46" t="str">
        <f aca="false">IF($A1334="","",IF(OR(NOT(ISNUMBER(E1334)),NOT(ISNUMBER(F1334))),"",MAX(0,E1334)*F1334))</f>
        <v/>
      </c>
      <c r="I1334" s="46" t="str">
        <f aca="false">IF($A1334="","",SUMIF($A$2:$A$5001,$A1334,$H$2:$H$5001))</f>
        <v/>
      </c>
      <c r="J1334" s="47" t="n">
        <f aca="false">IF($A1334="",0,IF(COUNTIF($A$2:A1334,$A1334)=1,1,0))</f>
        <v>0</v>
      </c>
      <c r="K1334" s="47" t="n">
        <f aca="false">IF(J1334=1,N(I1334)+ROW()/10000000,0)</f>
        <v>0</v>
      </c>
      <c r="L1334" s="47" t="str">
        <f aca="false">IF(AND(J1334=1,N(I1334)&gt;0),SUMIF($K$2:$K$5001,"&gt;="&amp;K1334,$I$2:$I$5001)/MAX(1,SUM($H$2:$H$5001)),"")</f>
        <v/>
      </c>
      <c r="M1334" s="47" t="str">
        <f aca="false">IF($A1334="","",INDEX($L$2:$L$5001,MATCH($A1334,$A$2:$A$5001,0)))</f>
        <v/>
      </c>
      <c r="N1334" s="48" t="str">
        <f aca="false">IF($A1334="","",IF(N(M1334)=0,"–",IF(M1334&lt;=Start!$D$20,"A",IF(M1334&lt;=Start!$D$21,"B","C"))))</f>
        <v/>
      </c>
      <c r="O1334" s="48" t="str">
        <f aca="false">IF($A1334="","",IF(NOT(ISNUMBER(F1334)),"Wert fehlt; ",IF(F1334&lt;=0,"Wert ist 0; ",""))&amp;IF(NOT(ISNUMBER(E1334)),"Bestand fehlt; ",IF(E1334&lt;0,"Bestand negativ; ",IF(E1334=0,"Nullbestand; ","")))&amp;IF(D1334="","Warengruppe fehlt; ","")&amp;IF(B1334="","Bezeichnung fehlt; ","")&amp;IF(COUNTIFS($A$2:$A$5001,$A1334,$C$2:$C$5001,C1334)&gt;1,"Artikel doppelt im selben Lager; ",""))</f>
        <v/>
      </c>
      <c r="P1334" s="47" t="n">
        <f aca="false">IF(OR($A1334="",D1334=""),0,IF(COUNTIF($D$2:D1334,D1334)=1,SUMIF($D$2:$D$5001,D1334,$H$2:$H$5001)+ROW()/10000000,0))</f>
        <v>0</v>
      </c>
      <c r="Q1334" s="47" t="n">
        <f aca="false">IF(OR($A1334="",C1334=""),0,IF(COUNTIF($C$2:C1334,C1334)=1,SUMIF($C$2:$C$5001,C1334,$H$2:$H$5001)+ROW()/10000000,0))</f>
        <v>0</v>
      </c>
    </row>
    <row r="1335" customFormat="false" ht="15" hidden="false" customHeight="false" outlineLevel="0" collapsed="false">
      <c r="A1335" s="43"/>
      <c r="B1335" s="44"/>
      <c r="C1335" s="44"/>
      <c r="D1335" s="44"/>
      <c r="E1335" s="44"/>
      <c r="F1335" s="44"/>
      <c r="G1335" s="44"/>
      <c r="H1335" s="46" t="str">
        <f aca="false">IF($A1335="","",IF(OR(NOT(ISNUMBER(E1335)),NOT(ISNUMBER(F1335))),"",MAX(0,E1335)*F1335))</f>
        <v/>
      </c>
      <c r="I1335" s="46" t="str">
        <f aca="false">IF($A1335="","",SUMIF($A$2:$A$5001,$A1335,$H$2:$H$5001))</f>
        <v/>
      </c>
      <c r="J1335" s="47" t="n">
        <f aca="false">IF($A1335="",0,IF(COUNTIF($A$2:A1335,$A1335)=1,1,0))</f>
        <v>0</v>
      </c>
      <c r="K1335" s="47" t="n">
        <f aca="false">IF(J1335=1,N(I1335)+ROW()/10000000,0)</f>
        <v>0</v>
      </c>
      <c r="L1335" s="47" t="str">
        <f aca="false">IF(AND(J1335=1,N(I1335)&gt;0),SUMIF($K$2:$K$5001,"&gt;="&amp;K1335,$I$2:$I$5001)/MAX(1,SUM($H$2:$H$5001)),"")</f>
        <v/>
      </c>
      <c r="M1335" s="47" t="str">
        <f aca="false">IF($A1335="","",INDEX($L$2:$L$5001,MATCH($A1335,$A$2:$A$5001,0)))</f>
        <v/>
      </c>
      <c r="N1335" s="48" t="str">
        <f aca="false">IF($A1335="","",IF(N(M1335)=0,"–",IF(M1335&lt;=Start!$D$20,"A",IF(M1335&lt;=Start!$D$21,"B","C"))))</f>
        <v/>
      </c>
      <c r="O1335" s="48" t="str">
        <f aca="false">IF($A1335="","",IF(NOT(ISNUMBER(F1335)),"Wert fehlt; ",IF(F1335&lt;=0,"Wert ist 0; ",""))&amp;IF(NOT(ISNUMBER(E1335)),"Bestand fehlt; ",IF(E1335&lt;0,"Bestand negativ; ",IF(E1335=0,"Nullbestand; ","")))&amp;IF(D1335="","Warengruppe fehlt; ","")&amp;IF(B1335="","Bezeichnung fehlt; ","")&amp;IF(COUNTIFS($A$2:$A$5001,$A1335,$C$2:$C$5001,C1335)&gt;1,"Artikel doppelt im selben Lager; ",""))</f>
        <v/>
      </c>
      <c r="P1335" s="47" t="n">
        <f aca="false">IF(OR($A1335="",D1335=""),0,IF(COUNTIF($D$2:D1335,D1335)=1,SUMIF($D$2:$D$5001,D1335,$H$2:$H$5001)+ROW()/10000000,0))</f>
        <v>0</v>
      </c>
      <c r="Q1335" s="47" t="n">
        <f aca="false">IF(OR($A1335="",C1335=""),0,IF(COUNTIF($C$2:C1335,C1335)=1,SUMIF($C$2:$C$5001,C1335,$H$2:$H$5001)+ROW()/10000000,0))</f>
        <v>0</v>
      </c>
    </row>
    <row r="1336" customFormat="false" ht="15" hidden="false" customHeight="false" outlineLevel="0" collapsed="false">
      <c r="A1336" s="43"/>
      <c r="B1336" s="44"/>
      <c r="C1336" s="44"/>
      <c r="D1336" s="44"/>
      <c r="E1336" s="44"/>
      <c r="F1336" s="44"/>
      <c r="G1336" s="44"/>
      <c r="H1336" s="46" t="str">
        <f aca="false">IF($A1336="","",IF(OR(NOT(ISNUMBER(E1336)),NOT(ISNUMBER(F1336))),"",MAX(0,E1336)*F1336))</f>
        <v/>
      </c>
      <c r="I1336" s="46" t="str">
        <f aca="false">IF($A1336="","",SUMIF($A$2:$A$5001,$A1336,$H$2:$H$5001))</f>
        <v/>
      </c>
      <c r="J1336" s="47" t="n">
        <f aca="false">IF($A1336="",0,IF(COUNTIF($A$2:A1336,$A1336)=1,1,0))</f>
        <v>0</v>
      </c>
      <c r="K1336" s="47" t="n">
        <f aca="false">IF(J1336=1,N(I1336)+ROW()/10000000,0)</f>
        <v>0</v>
      </c>
      <c r="L1336" s="47" t="str">
        <f aca="false">IF(AND(J1336=1,N(I1336)&gt;0),SUMIF($K$2:$K$5001,"&gt;="&amp;K1336,$I$2:$I$5001)/MAX(1,SUM($H$2:$H$5001)),"")</f>
        <v/>
      </c>
      <c r="M1336" s="47" t="str">
        <f aca="false">IF($A1336="","",INDEX($L$2:$L$5001,MATCH($A1336,$A$2:$A$5001,0)))</f>
        <v/>
      </c>
      <c r="N1336" s="48" t="str">
        <f aca="false">IF($A1336="","",IF(N(M1336)=0,"–",IF(M1336&lt;=Start!$D$20,"A",IF(M1336&lt;=Start!$D$21,"B","C"))))</f>
        <v/>
      </c>
      <c r="O1336" s="48" t="str">
        <f aca="false">IF($A1336="","",IF(NOT(ISNUMBER(F1336)),"Wert fehlt; ",IF(F1336&lt;=0,"Wert ist 0; ",""))&amp;IF(NOT(ISNUMBER(E1336)),"Bestand fehlt; ",IF(E1336&lt;0,"Bestand negativ; ",IF(E1336=0,"Nullbestand; ","")))&amp;IF(D1336="","Warengruppe fehlt; ","")&amp;IF(B1336="","Bezeichnung fehlt; ","")&amp;IF(COUNTIFS($A$2:$A$5001,$A1336,$C$2:$C$5001,C1336)&gt;1,"Artikel doppelt im selben Lager; ",""))</f>
        <v/>
      </c>
      <c r="P1336" s="47" t="n">
        <f aca="false">IF(OR($A1336="",D1336=""),0,IF(COUNTIF($D$2:D1336,D1336)=1,SUMIF($D$2:$D$5001,D1336,$H$2:$H$5001)+ROW()/10000000,0))</f>
        <v>0</v>
      </c>
      <c r="Q1336" s="47" t="n">
        <f aca="false">IF(OR($A1336="",C1336=""),0,IF(COUNTIF($C$2:C1336,C1336)=1,SUMIF($C$2:$C$5001,C1336,$H$2:$H$5001)+ROW()/10000000,0))</f>
        <v>0</v>
      </c>
    </row>
    <row r="1337" customFormat="false" ht="15" hidden="false" customHeight="false" outlineLevel="0" collapsed="false">
      <c r="A1337" s="43"/>
      <c r="B1337" s="44"/>
      <c r="C1337" s="44"/>
      <c r="D1337" s="44"/>
      <c r="E1337" s="44"/>
      <c r="F1337" s="44"/>
      <c r="G1337" s="44"/>
      <c r="H1337" s="46" t="str">
        <f aca="false">IF($A1337="","",IF(OR(NOT(ISNUMBER(E1337)),NOT(ISNUMBER(F1337))),"",MAX(0,E1337)*F1337))</f>
        <v/>
      </c>
      <c r="I1337" s="46" t="str">
        <f aca="false">IF($A1337="","",SUMIF($A$2:$A$5001,$A1337,$H$2:$H$5001))</f>
        <v/>
      </c>
      <c r="J1337" s="47" t="n">
        <f aca="false">IF($A1337="",0,IF(COUNTIF($A$2:A1337,$A1337)=1,1,0))</f>
        <v>0</v>
      </c>
      <c r="K1337" s="47" t="n">
        <f aca="false">IF(J1337=1,N(I1337)+ROW()/10000000,0)</f>
        <v>0</v>
      </c>
      <c r="L1337" s="47" t="str">
        <f aca="false">IF(AND(J1337=1,N(I1337)&gt;0),SUMIF($K$2:$K$5001,"&gt;="&amp;K1337,$I$2:$I$5001)/MAX(1,SUM($H$2:$H$5001)),"")</f>
        <v/>
      </c>
      <c r="M1337" s="47" t="str">
        <f aca="false">IF($A1337="","",INDEX($L$2:$L$5001,MATCH($A1337,$A$2:$A$5001,0)))</f>
        <v/>
      </c>
      <c r="N1337" s="48" t="str">
        <f aca="false">IF($A1337="","",IF(N(M1337)=0,"–",IF(M1337&lt;=Start!$D$20,"A",IF(M1337&lt;=Start!$D$21,"B","C"))))</f>
        <v/>
      </c>
      <c r="O1337" s="48" t="str">
        <f aca="false">IF($A1337="","",IF(NOT(ISNUMBER(F1337)),"Wert fehlt; ",IF(F1337&lt;=0,"Wert ist 0; ",""))&amp;IF(NOT(ISNUMBER(E1337)),"Bestand fehlt; ",IF(E1337&lt;0,"Bestand negativ; ",IF(E1337=0,"Nullbestand; ","")))&amp;IF(D1337="","Warengruppe fehlt; ","")&amp;IF(B1337="","Bezeichnung fehlt; ","")&amp;IF(COUNTIFS($A$2:$A$5001,$A1337,$C$2:$C$5001,C1337)&gt;1,"Artikel doppelt im selben Lager; ",""))</f>
        <v/>
      </c>
      <c r="P1337" s="47" t="n">
        <f aca="false">IF(OR($A1337="",D1337=""),0,IF(COUNTIF($D$2:D1337,D1337)=1,SUMIF($D$2:$D$5001,D1337,$H$2:$H$5001)+ROW()/10000000,0))</f>
        <v>0</v>
      </c>
      <c r="Q1337" s="47" t="n">
        <f aca="false">IF(OR($A1337="",C1337=""),0,IF(COUNTIF($C$2:C1337,C1337)=1,SUMIF($C$2:$C$5001,C1337,$H$2:$H$5001)+ROW()/10000000,0))</f>
        <v>0</v>
      </c>
    </row>
    <row r="1338" customFormat="false" ht="15" hidden="false" customHeight="false" outlineLevel="0" collapsed="false">
      <c r="A1338" s="43"/>
      <c r="B1338" s="44"/>
      <c r="C1338" s="44"/>
      <c r="D1338" s="44"/>
      <c r="E1338" s="44"/>
      <c r="F1338" s="44"/>
      <c r="G1338" s="44"/>
      <c r="H1338" s="46" t="str">
        <f aca="false">IF($A1338="","",IF(OR(NOT(ISNUMBER(E1338)),NOT(ISNUMBER(F1338))),"",MAX(0,E1338)*F1338))</f>
        <v/>
      </c>
      <c r="I1338" s="46" t="str">
        <f aca="false">IF($A1338="","",SUMIF($A$2:$A$5001,$A1338,$H$2:$H$5001))</f>
        <v/>
      </c>
      <c r="J1338" s="47" t="n">
        <f aca="false">IF($A1338="",0,IF(COUNTIF($A$2:A1338,$A1338)=1,1,0))</f>
        <v>0</v>
      </c>
      <c r="K1338" s="47" t="n">
        <f aca="false">IF(J1338=1,N(I1338)+ROW()/10000000,0)</f>
        <v>0</v>
      </c>
      <c r="L1338" s="47" t="str">
        <f aca="false">IF(AND(J1338=1,N(I1338)&gt;0),SUMIF($K$2:$K$5001,"&gt;="&amp;K1338,$I$2:$I$5001)/MAX(1,SUM($H$2:$H$5001)),"")</f>
        <v/>
      </c>
      <c r="M1338" s="47" t="str">
        <f aca="false">IF($A1338="","",INDEX($L$2:$L$5001,MATCH($A1338,$A$2:$A$5001,0)))</f>
        <v/>
      </c>
      <c r="N1338" s="48" t="str">
        <f aca="false">IF($A1338="","",IF(N(M1338)=0,"–",IF(M1338&lt;=Start!$D$20,"A",IF(M1338&lt;=Start!$D$21,"B","C"))))</f>
        <v/>
      </c>
      <c r="O1338" s="48" t="str">
        <f aca="false">IF($A1338="","",IF(NOT(ISNUMBER(F1338)),"Wert fehlt; ",IF(F1338&lt;=0,"Wert ist 0; ",""))&amp;IF(NOT(ISNUMBER(E1338)),"Bestand fehlt; ",IF(E1338&lt;0,"Bestand negativ; ",IF(E1338=0,"Nullbestand; ","")))&amp;IF(D1338="","Warengruppe fehlt; ","")&amp;IF(B1338="","Bezeichnung fehlt; ","")&amp;IF(COUNTIFS($A$2:$A$5001,$A1338,$C$2:$C$5001,C1338)&gt;1,"Artikel doppelt im selben Lager; ",""))</f>
        <v/>
      </c>
      <c r="P1338" s="47" t="n">
        <f aca="false">IF(OR($A1338="",D1338=""),0,IF(COUNTIF($D$2:D1338,D1338)=1,SUMIF($D$2:$D$5001,D1338,$H$2:$H$5001)+ROW()/10000000,0))</f>
        <v>0</v>
      </c>
      <c r="Q1338" s="47" t="n">
        <f aca="false">IF(OR($A1338="",C1338=""),0,IF(COUNTIF($C$2:C1338,C1338)=1,SUMIF($C$2:$C$5001,C1338,$H$2:$H$5001)+ROW()/10000000,0))</f>
        <v>0</v>
      </c>
    </row>
    <row r="1339" customFormat="false" ht="15" hidden="false" customHeight="false" outlineLevel="0" collapsed="false">
      <c r="A1339" s="43"/>
      <c r="B1339" s="44"/>
      <c r="C1339" s="44"/>
      <c r="D1339" s="44"/>
      <c r="E1339" s="44"/>
      <c r="F1339" s="44"/>
      <c r="G1339" s="44"/>
      <c r="H1339" s="46" t="str">
        <f aca="false">IF($A1339="","",IF(OR(NOT(ISNUMBER(E1339)),NOT(ISNUMBER(F1339))),"",MAX(0,E1339)*F1339))</f>
        <v/>
      </c>
      <c r="I1339" s="46" t="str">
        <f aca="false">IF($A1339="","",SUMIF($A$2:$A$5001,$A1339,$H$2:$H$5001))</f>
        <v/>
      </c>
      <c r="J1339" s="47" t="n">
        <f aca="false">IF($A1339="",0,IF(COUNTIF($A$2:A1339,$A1339)=1,1,0))</f>
        <v>0</v>
      </c>
      <c r="K1339" s="47" t="n">
        <f aca="false">IF(J1339=1,N(I1339)+ROW()/10000000,0)</f>
        <v>0</v>
      </c>
      <c r="L1339" s="47" t="str">
        <f aca="false">IF(AND(J1339=1,N(I1339)&gt;0),SUMIF($K$2:$K$5001,"&gt;="&amp;K1339,$I$2:$I$5001)/MAX(1,SUM($H$2:$H$5001)),"")</f>
        <v/>
      </c>
      <c r="M1339" s="47" t="str">
        <f aca="false">IF($A1339="","",INDEX($L$2:$L$5001,MATCH($A1339,$A$2:$A$5001,0)))</f>
        <v/>
      </c>
      <c r="N1339" s="48" t="str">
        <f aca="false">IF($A1339="","",IF(N(M1339)=0,"–",IF(M1339&lt;=Start!$D$20,"A",IF(M1339&lt;=Start!$D$21,"B","C"))))</f>
        <v/>
      </c>
      <c r="O1339" s="48" t="str">
        <f aca="false">IF($A1339="","",IF(NOT(ISNUMBER(F1339)),"Wert fehlt; ",IF(F1339&lt;=0,"Wert ist 0; ",""))&amp;IF(NOT(ISNUMBER(E1339)),"Bestand fehlt; ",IF(E1339&lt;0,"Bestand negativ; ",IF(E1339=0,"Nullbestand; ","")))&amp;IF(D1339="","Warengruppe fehlt; ","")&amp;IF(B1339="","Bezeichnung fehlt; ","")&amp;IF(COUNTIFS($A$2:$A$5001,$A1339,$C$2:$C$5001,C1339)&gt;1,"Artikel doppelt im selben Lager; ",""))</f>
        <v/>
      </c>
      <c r="P1339" s="47" t="n">
        <f aca="false">IF(OR($A1339="",D1339=""),0,IF(COUNTIF($D$2:D1339,D1339)=1,SUMIF($D$2:$D$5001,D1339,$H$2:$H$5001)+ROW()/10000000,0))</f>
        <v>0</v>
      </c>
      <c r="Q1339" s="47" t="n">
        <f aca="false">IF(OR($A1339="",C1339=""),0,IF(COUNTIF($C$2:C1339,C1339)=1,SUMIF($C$2:$C$5001,C1339,$H$2:$H$5001)+ROW()/10000000,0))</f>
        <v>0</v>
      </c>
    </row>
    <row r="1340" customFormat="false" ht="15" hidden="false" customHeight="false" outlineLevel="0" collapsed="false">
      <c r="A1340" s="43"/>
      <c r="B1340" s="44"/>
      <c r="C1340" s="44"/>
      <c r="D1340" s="44"/>
      <c r="E1340" s="44"/>
      <c r="F1340" s="44"/>
      <c r="G1340" s="44"/>
      <c r="H1340" s="46" t="str">
        <f aca="false">IF($A1340="","",IF(OR(NOT(ISNUMBER(E1340)),NOT(ISNUMBER(F1340))),"",MAX(0,E1340)*F1340))</f>
        <v/>
      </c>
      <c r="I1340" s="46" t="str">
        <f aca="false">IF($A1340="","",SUMIF($A$2:$A$5001,$A1340,$H$2:$H$5001))</f>
        <v/>
      </c>
      <c r="J1340" s="47" t="n">
        <f aca="false">IF($A1340="",0,IF(COUNTIF($A$2:A1340,$A1340)=1,1,0))</f>
        <v>0</v>
      </c>
      <c r="K1340" s="47" t="n">
        <f aca="false">IF(J1340=1,N(I1340)+ROW()/10000000,0)</f>
        <v>0</v>
      </c>
      <c r="L1340" s="47" t="str">
        <f aca="false">IF(AND(J1340=1,N(I1340)&gt;0),SUMIF($K$2:$K$5001,"&gt;="&amp;K1340,$I$2:$I$5001)/MAX(1,SUM($H$2:$H$5001)),"")</f>
        <v/>
      </c>
      <c r="M1340" s="47" t="str">
        <f aca="false">IF($A1340="","",INDEX($L$2:$L$5001,MATCH($A1340,$A$2:$A$5001,0)))</f>
        <v/>
      </c>
      <c r="N1340" s="48" t="str">
        <f aca="false">IF($A1340="","",IF(N(M1340)=0,"–",IF(M1340&lt;=Start!$D$20,"A",IF(M1340&lt;=Start!$D$21,"B","C"))))</f>
        <v/>
      </c>
      <c r="O1340" s="48" t="str">
        <f aca="false">IF($A1340="","",IF(NOT(ISNUMBER(F1340)),"Wert fehlt; ",IF(F1340&lt;=0,"Wert ist 0; ",""))&amp;IF(NOT(ISNUMBER(E1340)),"Bestand fehlt; ",IF(E1340&lt;0,"Bestand negativ; ",IF(E1340=0,"Nullbestand; ","")))&amp;IF(D1340="","Warengruppe fehlt; ","")&amp;IF(B1340="","Bezeichnung fehlt; ","")&amp;IF(COUNTIFS($A$2:$A$5001,$A1340,$C$2:$C$5001,C1340)&gt;1,"Artikel doppelt im selben Lager; ",""))</f>
        <v/>
      </c>
      <c r="P1340" s="47" t="n">
        <f aca="false">IF(OR($A1340="",D1340=""),0,IF(COUNTIF($D$2:D1340,D1340)=1,SUMIF($D$2:$D$5001,D1340,$H$2:$H$5001)+ROW()/10000000,0))</f>
        <v>0</v>
      </c>
      <c r="Q1340" s="47" t="n">
        <f aca="false">IF(OR($A1340="",C1340=""),0,IF(COUNTIF($C$2:C1340,C1340)=1,SUMIF($C$2:$C$5001,C1340,$H$2:$H$5001)+ROW()/10000000,0))</f>
        <v>0</v>
      </c>
    </row>
    <row r="1341" customFormat="false" ht="15" hidden="false" customHeight="false" outlineLevel="0" collapsed="false">
      <c r="A1341" s="43"/>
      <c r="B1341" s="44"/>
      <c r="C1341" s="44"/>
      <c r="D1341" s="44"/>
      <c r="E1341" s="44"/>
      <c r="F1341" s="44"/>
      <c r="G1341" s="44"/>
      <c r="H1341" s="46" t="str">
        <f aca="false">IF($A1341="","",IF(OR(NOT(ISNUMBER(E1341)),NOT(ISNUMBER(F1341))),"",MAX(0,E1341)*F1341))</f>
        <v/>
      </c>
      <c r="I1341" s="46" t="str">
        <f aca="false">IF($A1341="","",SUMIF($A$2:$A$5001,$A1341,$H$2:$H$5001))</f>
        <v/>
      </c>
      <c r="J1341" s="47" t="n">
        <f aca="false">IF($A1341="",0,IF(COUNTIF($A$2:A1341,$A1341)=1,1,0))</f>
        <v>0</v>
      </c>
      <c r="K1341" s="47" t="n">
        <f aca="false">IF(J1341=1,N(I1341)+ROW()/10000000,0)</f>
        <v>0</v>
      </c>
      <c r="L1341" s="47" t="str">
        <f aca="false">IF(AND(J1341=1,N(I1341)&gt;0),SUMIF($K$2:$K$5001,"&gt;="&amp;K1341,$I$2:$I$5001)/MAX(1,SUM($H$2:$H$5001)),"")</f>
        <v/>
      </c>
      <c r="M1341" s="47" t="str">
        <f aca="false">IF($A1341="","",INDEX($L$2:$L$5001,MATCH($A1341,$A$2:$A$5001,0)))</f>
        <v/>
      </c>
      <c r="N1341" s="48" t="str">
        <f aca="false">IF($A1341="","",IF(N(M1341)=0,"–",IF(M1341&lt;=Start!$D$20,"A",IF(M1341&lt;=Start!$D$21,"B","C"))))</f>
        <v/>
      </c>
      <c r="O1341" s="48" t="str">
        <f aca="false">IF($A1341="","",IF(NOT(ISNUMBER(F1341)),"Wert fehlt; ",IF(F1341&lt;=0,"Wert ist 0; ",""))&amp;IF(NOT(ISNUMBER(E1341)),"Bestand fehlt; ",IF(E1341&lt;0,"Bestand negativ; ",IF(E1341=0,"Nullbestand; ","")))&amp;IF(D1341="","Warengruppe fehlt; ","")&amp;IF(B1341="","Bezeichnung fehlt; ","")&amp;IF(COUNTIFS($A$2:$A$5001,$A1341,$C$2:$C$5001,C1341)&gt;1,"Artikel doppelt im selben Lager; ",""))</f>
        <v/>
      </c>
      <c r="P1341" s="47" t="n">
        <f aca="false">IF(OR($A1341="",D1341=""),0,IF(COUNTIF($D$2:D1341,D1341)=1,SUMIF($D$2:$D$5001,D1341,$H$2:$H$5001)+ROW()/10000000,0))</f>
        <v>0</v>
      </c>
      <c r="Q1341" s="47" t="n">
        <f aca="false">IF(OR($A1341="",C1341=""),0,IF(COUNTIF($C$2:C1341,C1341)=1,SUMIF($C$2:$C$5001,C1341,$H$2:$H$5001)+ROW()/10000000,0))</f>
        <v>0</v>
      </c>
    </row>
    <row r="1342" customFormat="false" ht="15" hidden="false" customHeight="false" outlineLevel="0" collapsed="false">
      <c r="A1342" s="43"/>
      <c r="B1342" s="44"/>
      <c r="C1342" s="44"/>
      <c r="D1342" s="44"/>
      <c r="E1342" s="44"/>
      <c r="F1342" s="44"/>
      <c r="G1342" s="44"/>
      <c r="H1342" s="46" t="str">
        <f aca="false">IF($A1342="","",IF(OR(NOT(ISNUMBER(E1342)),NOT(ISNUMBER(F1342))),"",MAX(0,E1342)*F1342))</f>
        <v/>
      </c>
      <c r="I1342" s="46" t="str">
        <f aca="false">IF($A1342="","",SUMIF($A$2:$A$5001,$A1342,$H$2:$H$5001))</f>
        <v/>
      </c>
      <c r="J1342" s="47" t="n">
        <f aca="false">IF($A1342="",0,IF(COUNTIF($A$2:A1342,$A1342)=1,1,0))</f>
        <v>0</v>
      </c>
      <c r="K1342" s="47" t="n">
        <f aca="false">IF(J1342=1,N(I1342)+ROW()/10000000,0)</f>
        <v>0</v>
      </c>
      <c r="L1342" s="47" t="str">
        <f aca="false">IF(AND(J1342=1,N(I1342)&gt;0),SUMIF($K$2:$K$5001,"&gt;="&amp;K1342,$I$2:$I$5001)/MAX(1,SUM($H$2:$H$5001)),"")</f>
        <v/>
      </c>
      <c r="M1342" s="47" t="str">
        <f aca="false">IF($A1342="","",INDEX($L$2:$L$5001,MATCH($A1342,$A$2:$A$5001,0)))</f>
        <v/>
      </c>
      <c r="N1342" s="48" t="str">
        <f aca="false">IF($A1342="","",IF(N(M1342)=0,"–",IF(M1342&lt;=Start!$D$20,"A",IF(M1342&lt;=Start!$D$21,"B","C"))))</f>
        <v/>
      </c>
      <c r="O1342" s="48" t="str">
        <f aca="false">IF($A1342="","",IF(NOT(ISNUMBER(F1342)),"Wert fehlt; ",IF(F1342&lt;=0,"Wert ist 0; ",""))&amp;IF(NOT(ISNUMBER(E1342)),"Bestand fehlt; ",IF(E1342&lt;0,"Bestand negativ; ",IF(E1342=0,"Nullbestand; ","")))&amp;IF(D1342="","Warengruppe fehlt; ","")&amp;IF(B1342="","Bezeichnung fehlt; ","")&amp;IF(COUNTIFS($A$2:$A$5001,$A1342,$C$2:$C$5001,C1342)&gt;1,"Artikel doppelt im selben Lager; ",""))</f>
        <v/>
      </c>
      <c r="P1342" s="47" t="n">
        <f aca="false">IF(OR($A1342="",D1342=""),0,IF(COUNTIF($D$2:D1342,D1342)=1,SUMIF($D$2:$D$5001,D1342,$H$2:$H$5001)+ROW()/10000000,0))</f>
        <v>0</v>
      </c>
      <c r="Q1342" s="47" t="n">
        <f aca="false">IF(OR($A1342="",C1342=""),0,IF(COUNTIF($C$2:C1342,C1342)=1,SUMIF($C$2:$C$5001,C1342,$H$2:$H$5001)+ROW()/10000000,0))</f>
        <v>0</v>
      </c>
    </row>
    <row r="1343" customFormat="false" ht="15" hidden="false" customHeight="false" outlineLevel="0" collapsed="false">
      <c r="A1343" s="43"/>
      <c r="B1343" s="44"/>
      <c r="C1343" s="44"/>
      <c r="D1343" s="44"/>
      <c r="E1343" s="44"/>
      <c r="F1343" s="44"/>
      <c r="G1343" s="44"/>
      <c r="H1343" s="46" t="str">
        <f aca="false">IF($A1343="","",IF(OR(NOT(ISNUMBER(E1343)),NOT(ISNUMBER(F1343))),"",MAX(0,E1343)*F1343))</f>
        <v/>
      </c>
      <c r="I1343" s="46" t="str">
        <f aca="false">IF($A1343="","",SUMIF($A$2:$A$5001,$A1343,$H$2:$H$5001))</f>
        <v/>
      </c>
      <c r="J1343" s="47" t="n">
        <f aca="false">IF($A1343="",0,IF(COUNTIF($A$2:A1343,$A1343)=1,1,0))</f>
        <v>0</v>
      </c>
      <c r="K1343" s="47" t="n">
        <f aca="false">IF(J1343=1,N(I1343)+ROW()/10000000,0)</f>
        <v>0</v>
      </c>
      <c r="L1343" s="47" t="str">
        <f aca="false">IF(AND(J1343=1,N(I1343)&gt;0),SUMIF($K$2:$K$5001,"&gt;="&amp;K1343,$I$2:$I$5001)/MAX(1,SUM($H$2:$H$5001)),"")</f>
        <v/>
      </c>
      <c r="M1343" s="47" t="str">
        <f aca="false">IF($A1343="","",INDEX($L$2:$L$5001,MATCH($A1343,$A$2:$A$5001,0)))</f>
        <v/>
      </c>
      <c r="N1343" s="48" t="str">
        <f aca="false">IF($A1343="","",IF(N(M1343)=0,"–",IF(M1343&lt;=Start!$D$20,"A",IF(M1343&lt;=Start!$D$21,"B","C"))))</f>
        <v/>
      </c>
      <c r="O1343" s="48" t="str">
        <f aca="false">IF($A1343="","",IF(NOT(ISNUMBER(F1343)),"Wert fehlt; ",IF(F1343&lt;=0,"Wert ist 0; ",""))&amp;IF(NOT(ISNUMBER(E1343)),"Bestand fehlt; ",IF(E1343&lt;0,"Bestand negativ; ",IF(E1343=0,"Nullbestand; ","")))&amp;IF(D1343="","Warengruppe fehlt; ","")&amp;IF(B1343="","Bezeichnung fehlt; ","")&amp;IF(COUNTIFS($A$2:$A$5001,$A1343,$C$2:$C$5001,C1343)&gt;1,"Artikel doppelt im selben Lager; ",""))</f>
        <v/>
      </c>
      <c r="P1343" s="47" t="n">
        <f aca="false">IF(OR($A1343="",D1343=""),0,IF(COUNTIF($D$2:D1343,D1343)=1,SUMIF($D$2:$D$5001,D1343,$H$2:$H$5001)+ROW()/10000000,0))</f>
        <v>0</v>
      </c>
      <c r="Q1343" s="47" t="n">
        <f aca="false">IF(OR($A1343="",C1343=""),0,IF(COUNTIF($C$2:C1343,C1343)=1,SUMIF($C$2:$C$5001,C1343,$H$2:$H$5001)+ROW()/10000000,0))</f>
        <v>0</v>
      </c>
    </row>
    <row r="1344" customFormat="false" ht="15" hidden="false" customHeight="false" outlineLevel="0" collapsed="false">
      <c r="A1344" s="43"/>
      <c r="B1344" s="44"/>
      <c r="C1344" s="44"/>
      <c r="D1344" s="44"/>
      <c r="E1344" s="44"/>
      <c r="F1344" s="44"/>
      <c r="G1344" s="44"/>
      <c r="H1344" s="46" t="str">
        <f aca="false">IF($A1344="","",IF(OR(NOT(ISNUMBER(E1344)),NOT(ISNUMBER(F1344))),"",MAX(0,E1344)*F1344))</f>
        <v/>
      </c>
      <c r="I1344" s="46" t="str">
        <f aca="false">IF($A1344="","",SUMIF($A$2:$A$5001,$A1344,$H$2:$H$5001))</f>
        <v/>
      </c>
      <c r="J1344" s="47" t="n">
        <f aca="false">IF($A1344="",0,IF(COUNTIF($A$2:A1344,$A1344)=1,1,0))</f>
        <v>0</v>
      </c>
      <c r="K1344" s="47" t="n">
        <f aca="false">IF(J1344=1,N(I1344)+ROW()/10000000,0)</f>
        <v>0</v>
      </c>
      <c r="L1344" s="47" t="str">
        <f aca="false">IF(AND(J1344=1,N(I1344)&gt;0),SUMIF($K$2:$K$5001,"&gt;="&amp;K1344,$I$2:$I$5001)/MAX(1,SUM($H$2:$H$5001)),"")</f>
        <v/>
      </c>
      <c r="M1344" s="47" t="str">
        <f aca="false">IF($A1344="","",INDEX($L$2:$L$5001,MATCH($A1344,$A$2:$A$5001,0)))</f>
        <v/>
      </c>
      <c r="N1344" s="48" t="str">
        <f aca="false">IF($A1344="","",IF(N(M1344)=0,"–",IF(M1344&lt;=Start!$D$20,"A",IF(M1344&lt;=Start!$D$21,"B","C"))))</f>
        <v/>
      </c>
      <c r="O1344" s="48" t="str">
        <f aca="false">IF($A1344="","",IF(NOT(ISNUMBER(F1344)),"Wert fehlt; ",IF(F1344&lt;=0,"Wert ist 0; ",""))&amp;IF(NOT(ISNUMBER(E1344)),"Bestand fehlt; ",IF(E1344&lt;0,"Bestand negativ; ",IF(E1344=0,"Nullbestand; ","")))&amp;IF(D1344="","Warengruppe fehlt; ","")&amp;IF(B1344="","Bezeichnung fehlt; ","")&amp;IF(COUNTIFS($A$2:$A$5001,$A1344,$C$2:$C$5001,C1344)&gt;1,"Artikel doppelt im selben Lager; ",""))</f>
        <v/>
      </c>
      <c r="P1344" s="47" t="n">
        <f aca="false">IF(OR($A1344="",D1344=""),0,IF(COUNTIF($D$2:D1344,D1344)=1,SUMIF($D$2:$D$5001,D1344,$H$2:$H$5001)+ROW()/10000000,0))</f>
        <v>0</v>
      </c>
      <c r="Q1344" s="47" t="n">
        <f aca="false">IF(OR($A1344="",C1344=""),0,IF(COUNTIF($C$2:C1344,C1344)=1,SUMIF($C$2:$C$5001,C1344,$H$2:$H$5001)+ROW()/10000000,0))</f>
        <v>0</v>
      </c>
    </row>
    <row r="1345" customFormat="false" ht="15" hidden="false" customHeight="false" outlineLevel="0" collapsed="false">
      <c r="A1345" s="43"/>
      <c r="B1345" s="44"/>
      <c r="C1345" s="44"/>
      <c r="D1345" s="44"/>
      <c r="E1345" s="44"/>
      <c r="F1345" s="44"/>
      <c r="G1345" s="44"/>
      <c r="H1345" s="46" t="str">
        <f aca="false">IF($A1345="","",IF(OR(NOT(ISNUMBER(E1345)),NOT(ISNUMBER(F1345))),"",MAX(0,E1345)*F1345))</f>
        <v/>
      </c>
      <c r="I1345" s="46" t="str">
        <f aca="false">IF($A1345="","",SUMIF($A$2:$A$5001,$A1345,$H$2:$H$5001))</f>
        <v/>
      </c>
      <c r="J1345" s="47" t="n">
        <f aca="false">IF($A1345="",0,IF(COUNTIF($A$2:A1345,$A1345)=1,1,0))</f>
        <v>0</v>
      </c>
      <c r="K1345" s="47" t="n">
        <f aca="false">IF(J1345=1,N(I1345)+ROW()/10000000,0)</f>
        <v>0</v>
      </c>
      <c r="L1345" s="47" t="str">
        <f aca="false">IF(AND(J1345=1,N(I1345)&gt;0),SUMIF($K$2:$K$5001,"&gt;="&amp;K1345,$I$2:$I$5001)/MAX(1,SUM($H$2:$H$5001)),"")</f>
        <v/>
      </c>
      <c r="M1345" s="47" t="str">
        <f aca="false">IF($A1345="","",INDEX($L$2:$L$5001,MATCH($A1345,$A$2:$A$5001,0)))</f>
        <v/>
      </c>
      <c r="N1345" s="48" t="str">
        <f aca="false">IF($A1345="","",IF(N(M1345)=0,"–",IF(M1345&lt;=Start!$D$20,"A",IF(M1345&lt;=Start!$D$21,"B","C"))))</f>
        <v/>
      </c>
      <c r="O1345" s="48" t="str">
        <f aca="false">IF($A1345="","",IF(NOT(ISNUMBER(F1345)),"Wert fehlt; ",IF(F1345&lt;=0,"Wert ist 0; ",""))&amp;IF(NOT(ISNUMBER(E1345)),"Bestand fehlt; ",IF(E1345&lt;0,"Bestand negativ; ",IF(E1345=0,"Nullbestand; ","")))&amp;IF(D1345="","Warengruppe fehlt; ","")&amp;IF(B1345="","Bezeichnung fehlt; ","")&amp;IF(COUNTIFS($A$2:$A$5001,$A1345,$C$2:$C$5001,C1345)&gt;1,"Artikel doppelt im selben Lager; ",""))</f>
        <v/>
      </c>
      <c r="P1345" s="47" t="n">
        <f aca="false">IF(OR($A1345="",D1345=""),0,IF(COUNTIF($D$2:D1345,D1345)=1,SUMIF($D$2:$D$5001,D1345,$H$2:$H$5001)+ROW()/10000000,0))</f>
        <v>0</v>
      </c>
      <c r="Q1345" s="47" t="n">
        <f aca="false">IF(OR($A1345="",C1345=""),0,IF(COUNTIF($C$2:C1345,C1345)=1,SUMIF($C$2:$C$5001,C1345,$H$2:$H$5001)+ROW()/10000000,0))</f>
        <v>0</v>
      </c>
    </row>
    <row r="1346" customFormat="false" ht="15" hidden="false" customHeight="false" outlineLevel="0" collapsed="false">
      <c r="A1346" s="43"/>
      <c r="B1346" s="44"/>
      <c r="C1346" s="44"/>
      <c r="D1346" s="44"/>
      <c r="E1346" s="44"/>
      <c r="F1346" s="44"/>
      <c r="G1346" s="44"/>
      <c r="H1346" s="46" t="str">
        <f aca="false">IF($A1346="","",IF(OR(NOT(ISNUMBER(E1346)),NOT(ISNUMBER(F1346))),"",MAX(0,E1346)*F1346))</f>
        <v/>
      </c>
      <c r="I1346" s="46" t="str">
        <f aca="false">IF($A1346="","",SUMIF($A$2:$A$5001,$A1346,$H$2:$H$5001))</f>
        <v/>
      </c>
      <c r="J1346" s="47" t="n">
        <f aca="false">IF($A1346="",0,IF(COUNTIF($A$2:A1346,$A1346)=1,1,0))</f>
        <v>0</v>
      </c>
      <c r="K1346" s="47" t="n">
        <f aca="false">IF(J1346=1,N(I1346)+ROW()/10000000,0)</f>
        <v>0</v>
      </c>
      <c r="L1346" s="47" t="str">
        <f aca="false">IF(AND(J1346=1,N(I1346)&gt;0),SUMIF($K$2:$K$5001,"&gt;="&amp;K1346,$I$2:$I$5001)/MAX(1,SUM($H$2:$H$5001)),"")</f>
        <v/>
      </c>
      <c r="M1346" s="47" t="str">
        <f aca="false">IF($A1346="","",INDEX($L$2:$L$5001,MATCH($A1346,$A$2:$A$5001,0)))</f>
        <v/>
      </c>
      <c r="N1346" s="48" t="str">
        <f aca="false">IF($A1346="","",IF(N(M1346)=0,"–",IF(M1346&lt;=Start!$D$20,"A",IF(M1346&lt;=Start!$D$21,"B","C"))))</f>
        <v/>
      </c>
      <c r="O1346" s="48" t="str">
        <f aca="false">IF($A1346="","",IF(NOT(ISNUMBER(F1346)),"Wert fehlt; ",IF(F1346&lt;=0,"Wert ist 0; ",""))&amp;IF(NOT(ISNUMBER(E1346)),"Bestand fehlt; ",IF(E1346&lt;0,"Bestand negativ; ",IF(E1346=0,"Nullbestand; ","")))&amp;IF(D1346="","Warengruppe fehlt; ","")&amp;IF(B1346="","Bezeichnung fehlt; ","")&amp;IF(COUNTIFS($A$2:$A$5001,$A1346,$C$2:$C$5001,C1346)&gt;1,"Artikel doppelt im selben Lager; ",""))</f>
        <v/>
      </c>
      <c r="P1346" s="47" t="n">
        <f aca="false">IF(OR($A1346="",D1346=""),0,IF(COUNTIF($D$2:D1346,D1346)=1,SUMIF($D$2:$D$5001,D1346,$H$2:$H$5001)+ROW()/10000000,0))</f>
        <v>0</v>
      </c>
      <c r="Q1346" s="47" t="n">
        <f aca="false">IF(OR($A1346="",C1346=""),0,IF(COUNTIF($C$2:C1346,C1346)=1,SUMIF($C$2:$C$5001,C1346,$H$2:$H$5001)+ROW()/10000000,0))</f>
        <v>0</v>
      </c>
    </row>
    <row r="1347" customFormat="false" ht="15" hidden="false" customHeight="false" outlineLevel="0" collapsed="false">
      <c r="A1347" s="43"/>
      <c r="B1347" s="44"/>
      <c r="C1347" s="44"/>
      <c r="D1347" s="44"/>
      <c r="E1347" s="44"/>
      <c r="F1347" s="44"/>
      <c r="G1347" s="44"/>
      <c r="H1347" s="46" t="str">
        <f aca="false">IF($A1347="","",IF(OR(NOT(ISNUMBER(E1347)),NOT(ISNUMBER(F1347))),"",MAX(0,E1347)*F1347))</f>
        <v/>
      </c>
      <c r="I1347" s="46" t="str">
        <f aca="false">IF($A1347="","",SUMIF($A$2:$A$5001,$A1347,$H$2:$H$5001))</f>
        <v/>
      </c>
      <c r="J1347" s="47" t="n">
        <f aca="false">IF($A1347="",0,IF(COUNTIF($A$2:A1347,$A1347)=1,1,0))</f>
        <v>0</v>
      </c>
      <c r="K1347" s="47" t="n">
        <f aca="false">IF(J1347=1,N(I1347)+ROW()/10000000,0)</f>
        <v>0</v>
      </c>
      <c r="L1347" s="47" t="str">
        <f aca="false">IF(AND(J1347=1,N(I1347)&gt;0),SUMIF($K$2:$K$5001,"&gt;="&amp;K1347,$I$2:$I$5001)/MAX(1,SUM($H$2:$H$5001)),"")</f>
        <v/>
      </c>
      <c r="M1347" s="47" t="str">
        <f aca="false">IF($A1347="","",INDEX($L$2:$L$5001,MATCH($A1347,$A$2:$A$5001,0)))</f>
        <v/>
      </c>
      <c r="N1347" s="48" t="str">
        <f aca="false">IF($A1347="","",IF(N(M1347)=0,"–",IF(M1347&lt;=Start!$D$20,"A",IF(M1347&lt;=Start!$D$21,"B","C"))))</f>
        <v/>
      </c>
      <c r="O1347" s="48" t="str">
        <f aca="false">IF($A1347="","",IF(NOT(ISNUMBER(F1347)),"Wert fehlt; ",IF(F1347&lt;=0,"Wert ist 0; ",""))&amp;IF(NOT(ISNUMBER(E1347)),"Bestand fehlt; ",IF(E1347&lt;0,"Bestand negativ; ",IF(E1347=0,"Nullbestand; ","")))&amp;IF(D1347="","Warengruppe fehlt; ","")&amp;IF(B1347="","Bezeichnung fehlt; ","")&amp;IF(COUNTIFS($A$2:$A$5001,$A1347,$C$2:$C$5001,C1347)&gt;1,"Artikel doppelt im selben Lager; ",""))</f>
        <v/>
      </c>
      <c r="P1347" s="47" t="n">
        <f aca="false">IF(OR($A1347="",D1347=""),0,IF(COUNTIF($D$2:D1347,D1347)=1,SUMIF($D$2:$D$5001,D1347,$H$2:$H$5001)+ROW()/10000000,0))</f>
        <v>0</v>
      </c>
      <c r="Q1347" s="47" t="n">
        <f aca="false">IF(OR($A1347="",C1347=""),0,IF(COUNTIF($C$2:C1347,C1347)=1,SUMIF($C$2:$C$5001,C1347,$H$2:$H$5001)+ROW()/10000000,0))</f>
        <v>0</v>
      </c>
    </row>
    <row r="1348" customFormat="false" ht="15" hidden="false" customHeight="false" outlineLevel="0" collapsed="false">
      <c r="A1348" s="43"/>
      <c r="B1348" s="44"/>
      <c r="C1348" s="44"/>
      <c r="D1348" s="44"/>
      <c r="E1348" s="44"/>
      <c r="F1348" s="44"/>
      <c r="G1348" s="44"/>
      <c r="H1348" s="46" t="str">
        <f aca="false">IF($A1348="","",IF(OR(NOT(ISNUMBER(E1348)),NOT(ISNUMBER(F1348))),"",MAX(0,E1348)*F1348))</f>
        <v/>
      </c>
      <c r="I1348" s="46" t="str">
        <f aca="false">IF($A1348="","",SUMIF($A$2:$A$5001,$A1348,$H$2:$H$5001))</f>
        <v/>
      </c>
      <c r="J1348" s="47" t="n">
        <f aca="false">IF($A1348="",0,IF(COUNTIF($A$2:A1348,$A1348)=1,1,0))</f>
        <v>0</v>
      </c>
      <c r="K1348" s="47" t="n">
        <f aca="false">IF(J1348=1,N(I1348)+ROW()/10000000,0)</f>
        <v>0</v>
      </c>
      <c r="L1348" s="47" t="str">
        <f aca="false">IF(AND(J1348=1,N(I1348)&gt;0),SUMIF($K$2:$K$5001,"&gt;="&amp;K1348,$I$2:$I$5001)/MAX(1,SUM($H$2:$H$5001)),"")</f>
        <v/>
      </c>
      <c r="M1348" s="47" t="str">
        <f aca="false">IF($A1348="","",INDEX($L$2:$L$5001,MATCH($A1348,$A$2:$A$5001,0)))</f>
        <v/>
      </c>
      <c r="N1348" s="48" t="str">
        <f aca="false">IF($A1348="","",IF(N(M1348)=0,"–",IF(M1348&lt;=Start!$D$20,"A",IF(M1348&lt;=Start!$D$21,"B","C"))))</f>
        <v/>
      </c>
      <c r="O1348" s="48" t="str">
        <f aca="false">IF($A1348="","",IF(NOT(ISNUMBER(F1348)),"Wert fehlt; ",IF(F1348&lt;=0,"Wert ist 0; ",""))&amp;IF(NOT(ISNUMBER(E1348)),"Bestand fehlt; ",IF(E1348&lt;0,"Bestand negativ; ",IF(E1348=0,"Nullbestand; ","")))&amp;IF(D1348="","Warengruppe fehlt; ","")&amp;IF(B1348="","Bezeichnung fehlt; ","")&amp;IF(COUNTIFS($A$2:$A$5001,$A1348,$C$2:$C$5001,C1348)&gt;1,"Artikel doppelt im selben Lager; ",""))</f>
        <v/>
      </c>
      <c r="P1348" s="47" t="n">
        <f aca="false">IF(OR($A1348="",D1348=""),0,IF(COUNTIF($D$2:D1348,D1348)=1,SUMIF($D$2:$D$5001,D1348,$H$2:$H$5001)+ROW()/10000000,0))</f>
        <v>0</v>
      </c>
      <c r="Q1348" s="47" t="n">
        <f aca="false">IF(OR($A1348="",C1348=""),0,IF(COUNTIF($C$2:C1348,C1348)=1,SUMIF($C$2:$C$5001,C1348,$H$2:$H$5001)+ROW()/10000000,0))</f>
        <v>0</v>
      </c>
    </row>
    <row r="1349" customFormat="false" ht="15" hidden="false" customHeight="false" outlineLevel="0" collapsed="false">
      <c r="A1349" s="43"/>
      <c r="B1349" s="44"/>
      <c r="C1349" s="44"/>
      <c r="D1349" s="44"/>
      <c r="E1349" s="44"/>
      <c r="F1349" s="44"/>
      <c r="G1349" s="44"/>
      <c r="H1349" s="46" t="str">
        <f aca="false">IF($A1349="","",IF(OR(NOT(ISNUMBER(E1349)),NOT(ISNUMBER(F1349))),"",MAX(0,E1349)*F1349))</f>
        <v/>
      </c>
      <c r="I1349" s="46" t="str">
        <f aca="false">IF($A1349="","",SUMIF($A$2:$A$5001,$A1349,$H$2:$H$5001))</f>
        <v/>
      </c>
      <c r="J1349" s="47" t="n">
        <f aca="false">IF($A1349="",0,IF(COUNTIF($A$2:A1349,$A1349)=1,1,0))</f>
        <v>0</v>
      </c>
      <c r="K1349" s="47" t="n">
        <f aca="false">IF(J1349=1,N(I1349)+ROW()/10000000,0)</f>
        <v>0</v>
      </c>
      <c r="L1349" s="47" t="str">
        <f aca="false">IF(AND(J1349=1,N(I1349)&gt;0),SUMIF($K$2:$K$5001,"&gt;="&amp;K1349,$I$2:$I$5001)/MAX(1,SUM($H$2:$H$5001)),"")</f>
        <v/>
      </c>
      <c r="M1349" s="47" t="str">
        <f aca="false">IF($A1349="","",INDEX($L$2:$L$5001,MATCH($A1349,$A$2:$A$5001,0)))</f>
        <v/>
      </c>
      <c r="N1349" s="48" t="str">
        <f aca="false">IF($A1349="","",IF(N(M1349)=0,"–",IF(M1349&lt;=Start!$D$20,"A",IF(M1349&lt;=Start!$D$21,"B","C"))))</f>
        <v/>
      </c>
      <c r="O1349" s="48" t="str">
        <f aca="false">IF($A1349="","",IF(NOT(ISNUMBER(F1349)),"Wert fehlt; ",IF(F1349&lt;=0,"Wert ist 0; ",""))&amp;IF(NOT(ISNUMBER(E1349)),"Bestand fehlt; ",IF(E1349&lt;0,"Bestand negativ; ",IF(E1349=0,"Nullbestand; ","")))&amp;IF(D1349="","Warengruppe fehlt; ","")&amp;IF(B1349="","Bezeichnung fehlt; ","")&amp;IF(COUNTIFS($A$2:$A$5001,$A1349,$C$2:$C$5001,C1349)&gt;1,"Artikel doppelt im selben Lager; ",""))</f>
        <v/>
      </c>
      <c r="P1349" s="47" t="n">
        <f aca="false">IF(OR($A1349="",D1349=""),0,IF(COUNTIF($D$2:D1349,D1349)=1,SUMIF($D$2:$D$5001,D1349,$H$2:$H$5001)+ROW()/10000000,0))</f>
        <v>0</v>
      </c>
      <c r="Q1349" s="47" t="n">
        <f aca="false">IF(OR($A1349="",C1349=""),0,IF(COUNTIF($C$2:C1349,C1349)=1,SUMIF($C$2:$C$5001,C1349,$H$2:$H$5001)+ROW()/10000000,0))</f>
        <v>0</v>
      </c>
    </row>
    <row r="1350" customFormat="false" ht="15" hidden="false" customHeight="false" outlineLevel="0" collapsed="false">
      <c r="A1350" s="43"/>
      <c r="B1350" s="44"/>
      <c r="C1350" s="44"/>
      <c r="D1350" s="44"/>
      <c r="E1350" s="44"/>
      <c r="F1350" s="44"/>
      <c r="G1350" s="44"/>
      <c r="H1350" s="46" t="str">
        <f aca="false">IF($A1350="","",IF(OR(NOT(ISNUMBER(E1350)),NOT(ISNUMBER(F1350))),"",MAX(0,E1350)*F1350))</f>
        <v/>
      </c>
      <c r="I1350" s="46" t="str">
        <f aca="false">IF($A1350="","",SUMIF($A$2:$A$5001,$A1350,$H$2:$H$5001))</f>
        <v/>
      </c>
      <c r="J1350" s="47" t="n">
        <f aca="false">IF($A1350="",0,IF(COUNTIF($A$2:A1350,$A1350)=1,1,0))</f>
        <v>0</v>
      </c>
      <c r="K1350" s="47" t="n">
        <f aca="false">IF(J1350=1,N(I1350)+ROW()/10000000,0)</f>
        <v>0</v>
      </c>
      <c r="L1350" s="47" t="str">
        <f aca="false">IF(AND(J1350=1,N(I1350)&gt;0),SUMIF($K$2:$K$5001,"&gt;="&amp;K1350,$I$2:$I$5001)/MAX(1,SUM($H$2:$H$5001)),"")</f>
        <v/>
      </c>
      <c r="M1350" s="47" t="str">
        <f aca="false">IF($A1350="","",INDEX($L$2:$L$5001,MATCH($A1350,$A$2:$A$5001,0)))</f>
        <v/>
      </c>
      <c r="N1350" s="48" t="str">
        <f aca="false">IF($A1350="","",IF(N(M1350)=0,"–",IF(M1350&lt;=Start!$D$20,"A",IF(M1350&lt;=Start!$D$21,"B","C"))))</f>
        <v/>
      </c>
      <c r="O1350" s="48" t="str">
        <f aca="false">IF($A1350="","",IF(NOT(ISNUMBER(F1350)),"Wert fehlt; ",IF(F1350&lt;=0,"Wert ist 0; ",""))&amp;IF(NOT(ISNUMBER(E1350)),"Bestand fehlt; ",IF(E1350&lt;0,"Bestand negativ; ",IF(E1350=0,"Nullbestand; ","")))&amp;IF(D1350="","Warengruppe fehlt; ","")&amp;IF(B1350="","Bezeichnung fehlt; ","")&amp;IF(COUNTIFS($A$2:$A$5001,$A1350,$C$2:$C$5001,C1350)&gt;1,"Artikel doppelt im selben Lager; ",""))</f>
        <v/>
      </c>
      <c r="P1350" s="47" t="n">
        <f aca="false">IF(OR($A1350="",D1350=""),0,IF(COUNTIF($D$2:D1350,D1350)=1,SUMIF($D$2:$D$5001,D1350,$H$2:$H$5001)+ROW()/10000000,0))</f>
        <v>0</v>
      </c>
      <c r="Q1350" s="47" t="n">
        <f aca="false">IF(OR($A1350="",C1350=""),0,IF(COUNTIF($C$2:C1350,C1350)=1,SUMIF($C$2:$C$5001,C1350,$H$2:$H$5001)+ROW()/10000000,0))</f>
        <v>0</v>
      </c>
    </row>
    <row r="1351" customFormat="false" ht="15" hidden="false" customHeight="false" outlineLevel="0" collapsed="false">
      <c r="A1351" s="43"/>
      <c r="B1351" s="44"/>
      <c r="C1351" s="44"/>
      <c r="D1351" s="44"/>
      <c r="E1351" s="44"/>
      <c r="F1351" s="44"/>
      <c r="G1351" s="44"/>
      <c r="H1351" s="46" t="str">
        <f aca="false">IF($A1351="","",IF(OR(NOT(ISNUMBER(E1351)),NOT(ISNUMBER(F1351))),"",MAX(0,E1351)*F1351))</f>
        <v/>
      </c>
      <c r="I1351" s="46" t="str">
        <f aca="false">IF($A1351="","",SUMIF($A$2:$A$5001,$A1351,$H$2:$H$5001))</f>
        <v/>
      </c>
      <c r="J1351" s="47" t="n">
        <f aca="false">IF($A1351="",0,IF(COUNTIF($A$2:A1351,$A1351)=1,1,0))</f>
        <v>0</v>
      </c>
      <c r="K1351" s="47" t="n">
        <f aca="false">IF(J1351=1,N(I1351)+ROW()/10000000,0)</f>
        <v>0</v>
      </c>
      <c r="L1351" s="47" t="str">
        <f aca="false">IF(AND(J1351=1,N(I1351)&gt;0),SUMIF($K$2:$K$5001,"&gt;="&amp;K1351,$I$2:$I$5001)/MAX(1,SUM($H$2:$H$5001)),"")</f>
        <v/>
      </c>
      <c r="M1351" s="47" t="str">
        <f aca="false">IF($A1351="","",INDEX($L$2:$L$5001,MATCH($A1351,$A$2:$A$5001,0)))</f>
        <v/>
      </c>
      <c r="N1351" s="48" t="str">
        <f aca="false">IF($A1351="","",IF(N(M1351)=0,"–",IF(M1351&lt;=Start!$D$20,"A",IF(M1351&lt;=Start!$D$21,"B","C"))))</f>
        <v/>
      </c>
      <c r="O1351" s="48" t="str">
        <f aca="false">IF($A1351="","",IF(NOT(ISNUMBER(F1351)),"Wert fehlt; ",IF(F1351&lt;=0,"Wert ist 0; ",""))&amp;IF(NOT(ISNUMBER(E1351)),"Bestand fehlt; ",IF(E1351&lt;0,"Bestand negativ; ",IF(E1351=0,"Nullbestand; ","")))&amp;IF(D1351="","Warengruppe fehlt; ","")&amp;IF(B1351="","Bezeichnung fehlt; ","")&amp;IF(COUNTIFS($A$2:$A$5001,$A1351,$C$2:$C$5001,C1351)&gt;1,"Artikel doppelt im selben Lager; ",""))</f>
        <v/>
      </c>
      <c r="P1351" s="47" t="n">
        <f aca="false">IF(OR($A1351="",D1351=""),0,IF(COUNTIF($D$2:D1351,D1351)=1,SUMIF($D$2:$D$5001,D1351,$H$2:$H$5001)+ROW()/10000000,0))</f>
        <v>0</v>
      </c>
      <c r="Q1351" s="47" t="n">
        <f aca="false">IF(OR($A1351="",C1351=""),0,IF(COUNTIF($C$2:C1351,C1351)=1,SUMIF($C$2:$C$5001,C1351,$H$2:$H$5001)+ROW()/10000000,0))</f>
        <v>0</v>
      </c>
    </row>
    <row r="1352" customFormat="false" ht="15" hidden="false" customHeight="false" outlineLevel="0" collapsed="false">
      <c r="A1352" s="43"/>
      <c r="B1352" s="44"/>
      <c r="C1352" s="44"/>
      <c r="D1352" s="44"/>
      <c r="E1352" s="44"/>
      <c r="F1352" s="44"/>
      <c r="G1352" s="44"/>
      <c r="H1352" s="46" t="str">
        <f aca="false">IF($A1352="","",IF(OR(NOT(ISNUMBER(E1352)),NOT(ISNUMBER(F1352))),"",MAX(0,E1352)*F1352))</f>
        <v/>
      </c>
      <c r="I1352" s="46" t="str">
        <f aca="false">IF($A1352="","",SUMIF($A$2:$A$5001,$A1352,$H$2:$H$5001))</f>
        <v/>
      </c>
      <c r="J1352" s="47" t="n">
        <f aca="false">IF($A1352="",0,IF(COUNTIF($A$2:A1352,$A1352)=1,1,0))</f>
        <v>0</v>
      </c>
      <c r="K1352" s="47" t="n">
        <f aca="false">IF(J1352=1,N(I1352)+ROW()/10000000,0)</f>
        <v>0</v>
      </c>
      <c r="L1352" s="47" t="str">
        <f aca="false">IF(AND(J1352=1,N(I1352)&gt;0),SUMIF($K$2:$K$5001,"&gt;="&amp;K1352,$I$2:$I$5001)/MAX(1,SUM($H$2:$H$5001)),"")</f>
        <v/>
      </c>
      <c r="M1352" s="47" t="str">
        <f aca="false">IF($A1352="","",INDEX($L$2:$L$5001,MATCH($A1352,$A$2:$A$5001,0)))</f>
        <v/>
      </c>
      <c r="N1352" s="48" t="str">
        <f aca="false">IF($A1352="","",IF(N(M1352)=0,"–",IF(M1352&lt;=Start!$D$20,"A",IF(M1352&lt;=Start!$D$21,"B","C"))))</f>
        <v/>
      </c>
      <c r="O1352" s="48" t="str">
        <f aca="false">IF($A1352="","",IF(NOT(ISNUMBER(F1352)),"Wert fehlt; ",IF(F1352&lt;=0,"Wert ist 0; ",""))&amp;IF(NOT(ISNUMBER(E1352)),"Bestand fehlt; ",IF(E1352&lt;0,"Bestand negativ; ",IF(E1352=0,"Nullbestand; ","")))&amp;IF(D1352="","Warengruppe fehlt; ","")&amp;IF(B1352="","Bezeichnung fehlt; ","")&amp;IF(COUNTIFS($A$2:$A$5001,$A1352,$C$2:$C$5001,C1352)&gt;1,"Artikel doppelt im selben Lager; ",""))</f>
        <v/>
      </c>
      <c r="P1352" s="47" t="n">
        <f aca="false">IF(OR($A1352="",D1352=""),0,IF(COUNTIF($D$2:D1352,D1352)=1,SUMIF($D$2:$D$5001,D1352,$H$2:$H$5001)+ROW()/10000000,0))</f>
        <v>0</v>
      </c>
      <c r="Q1352" s="47" t="n">
        <f aca="false">IF(OR($A1352="",C1352=""),0,IF(COUNTIF($C$2:C1352,C1352)=1,SUMIF($C$2:$C$5001,C1352,$H$2:$H$5001)+ROW()/10000000,0))</f>
        <v>0</v>
      </c>
    </row>
    <row r="1353" customFormat="false" ht="15" hidden="false" customHeight="false" outlineLevel="0" collapsed="false">
      <c r="A1353" s="43"/>
      <c r="B1353" s="44"/>
      <c r="C1353" s="44"/>
      <c r="D1353" s="44"/>
      <c r="E1353" s="44"/>
      <c r="F1353" s="44"/>
      <c r="G1353" s="44"/>
      <c r="H1353" s="46" t="str">
        <f aca="false">IF($A1353="","",IF(OR(NOT(ISNUMBER(E1353)),NOT(ISNUMBER(F1353))),"",MAX(0,E1353)*F1353))</f>
        <v/>
      </c>
      <c r="I1353" s="46" t="str">
        <f aca="false">IF($A1353="","",SUMIF($A$2:$A$5001,$A1353,$H$2:$H$5001))</f>
        <v/>
      </c>
      <c r="J1353" s="47" t="n">
        <f aca="false">IF($A1353="",0,IF(COUNTIF($A$2:A1353,$A1353)=1,1,0))</f>
        <v>0</v>
      </c>
      <c r="K1353" s="47" t="n">
        <f aca="false">IF(J1353=1,N(I1353)+ROW()/10000000,0)</f>
        <v>0</v>
      </c>
      <c r="L1353" s="47" t="str">
        <f aca="false">IF(AND(J1353=1,N(I1353)&gt;0),SUMIF($K$2:$K$5001,"&gt;="&amp;K1353,$I$2:$I$5001)/MAX(1,SUM($H$2:$H$5001)),"")</f>
        <v/>
      </c>
      <c r="M1353" s="47" t="str">
        <f aca="false">IF($A1353="","",INDEX($L$2:$L$5001,MATCH($A1353,$A$2:$A$5001,0)))</f>
        <v/>
      </c>
      <c r="N1353" s="48" t="str">
        <f aca="false">IF($A1353="","",IF(N(M1353)=0,"–",IF(M1353&lt;=Start!$D$20,"A",IF(M1353&lt;=Start!$D$21,"B","C"))))</f>
        <v/>
      </c>
      <c r="O1353" s="48" t="str">
        <f aca="false">IF($A1353="","",IF(NOT(ISNUMBER(F1353)),"Wert fehlt; ",IF(F1353&lt;=0,"Wert ist 0; ",""))&amp;IF(NOT(ISNUMBER(E1353)),"Bestand fehlt; ",IF(E1353&lt;0,"Bestand negativ; ",IF(E1353=0,"Nullbestand; ","")))&amp;IF(D1353="","Warengruppe fehlt; ","")&amp;IF(B1353="","Bezeichnung fehlt; ","")&amp;IF(COUNTIFS($A$2:$A$5001,$A1353,$C$2:$C$5001,C1353)&gt;1,"Artikel doppelt im selben Lager; ",""))</f>
        <v/>
      </c>
      <c r="P1353" s="47" t="n">
        <f aca="false">IF(OR($A1353="",D1353=""),0,IF(COUNTIF($D$2:D1353,D1353)=1,SUMIF($D$2:$D$5001,D1353,$H$2:$H$5001)+ROW()/10000000,0))</f>
        <v>0</v>
      </c>
      <c r="Q1353" s="47" t="n">
        <f aca="false">IF(OR($A1353="",C1353=""),0,IF(COUNTIF($C$2:C1353,C1353)=1,SUMIF($C$2:$C$5001,C1353,$H$2:$H$5001)+ROW()/10000000,0))</f>
        <v>0</v>
      </c>
    </row>
    <row r="1354" customFormat="false" ht="15" hidden="false" customHeight="false" outlineLevel="0" collapsed="false">
      <c r="A1354" s="43"/>
      <c r="B1354" s="44"/>
      <c r="C1354" s="44"/>
      <c r="D1354" s="44"/>
      <c r="E1354" s="44"/>
      <c r="F1354" s="44"/>
      <c r="G1354" s="44"/>
      <c r="H1354" s="46" t="str">
        <f aca="false">IF($A1354="","",IF(OR(NOT(ISNUMBER(E1354)),NOT(ISNUMBER(F1354))),"",MAX(0,E1354)*F1354))</f>
        <v/>
      </c>
      <c r="I1354" s="46" t="str">
        <f aca="false">IF($A1354="","",SUMIF($A$2:$A$5001,$A1354,$H$2:$H$5001))</f>
        <v/>
      </c>
      <c r="J1354" s="47" t="n">
        <f aca="false">IF($A1354="",0,IF(COUNTIF($A$2:A1354,$A1354)=1,1,0))</f>
        <v>0</v>
      </c>
      <c r="K1354" s="47" t="n">
        <f aca="false">IF(J1354=1,N(I1354)+ROW()/10000000,0)</f>
        <v>0</v>
      </c>
      <c r="L1354" s="47" t="str">
        <f aca="false">IF(AND(J1354=1,N(I1354)&gt;0),SUMIF($K$2:$K$5001,"&gt;="&amp;K1354,$I$2:$I$5001)/MAX(1,SUM($H$2:$H$5001)),"")</f>
        <v/>
      </c>
      <c r="M1354" s="47" t="str">
        <f aca="false">IF($A1354="","",INDEX($L$2:$L$5001,MATCH($A1354,$A$2:$A$5001,0)))</f>
        <v/>
      </c>
      <c r="N1354" s="48" t="str">
        <f aca="false">IF($A1354="","",IF(N(M1354)=0,"–",IF(M1354&lt;=Start!$D$20,"A",IF(M1354&lt;=Start!$D$21,"B","C"))))</f>
        <v/>
      </c>
      <c r="O1354" s="48" t="str">
        <f aca="false">IF($A1354="","",IF(NOT(ISNUMBER(F1354)),"Wert fehlt; ",IF(F1354&lt;=0,"Wert ist 0; ",""))&amp;IF(NOT(ISNUMBER(E1354)),"Bestand fehlt; ",IF(E1354&lt;0,"Bestand negativ; ",IF(E1354=0,"Nullbestand; ","")))&amp;IF(D1354="","Warengruppe fehlt; ","")&amp;IF(B1354="","Bezeichnung fehlt; ","")&amp;IF(COUNTIFS($A$2:$A$5001,$A1354,$C$2:$C$5001,C1354)&gt;1,"Artikel doppelt im selben Lager; ",""))</f>
        <v/>
      </c>
      <c r="P1354" s="47" t="n">
        <f aca="false">IF(OR($A1354="",D1354=""),0,IF(COUNTIF($D$2:D1354,D1354)=1,SUMIF($D$2:$D$5001,D1354,$H$2:$H$5001)+ROW()/10000000,0))</f>
        <v>0</v>
      </c>
      <c r="Q1354" s="47" t="n">
        <f aca="false">IF(OR($A1354="",C1354=""),0,IF(COUNTIF($C$2:C1354,C1354)=1,SUMIF($C$2:$C$5001,C1354,$H$2:$H$5001)+ROW()/10000000,0))</f>
        <v>0</v>
      </c>
    </row>
    <row r="1355" customFormat="false" ht="15" hidden="false" customHeight="false" outlineLevel="0" collapsed="false">
      <c r="A1355" s="43"/>
      <c r="B1355" s="44"/>
      <c r="C1355" s="44"/>
      <c r="D1355" s="44"/>
      <c r="E1355" s="44"/>
      <c r="F1355" s="44"/>
      <c r="G1355" s="44"/>
      <c r="H1355" s="46" t="str">
        <f aca="false">IF($A1355="","",IF(OR(NOT(ISNUMBER(E1355)),NOT(ISNUMBER(F1355))),"",MAX(0,E1355)*F1355))</f>
        <v/>
      </c>
      <c r="I1355" s="46" t="str">
        <f aca="false">IF($A1355="","",SUMIF($A$2:$A$5001,$A1355,$H$2:$H$5001))</f>
        <v/>
      </c>
      <c r="J1355" s="47" t="n">
        <f aca="false">IF($A1355="",0,IF(COUNTIF($A$2:A1355,$A1355)=1,1,0))</f>
        <v>0</v>
      </c>
      <c r="K1355" s="47" t="n">
        <f aca="false">IF(J1355=1,N(I1355)+ROW()/10000000,0)</f>
        <v>0</v>
      </c>
      <c r="L1355" s="47" t="str">
        <f aca="false">IF(AND(J1355=1,N(I1355)&gt;0),SUMIF($K$2:$K$5001,"&gt;="&amp;K1355,$I$2:$I$5001)/MAX(1,SUM($H$2:$H$5001)),"")</f>
        <v/>
      </c>
      <c r="M1355" s="47" t="str">
        <f aca="false">IF($A1355="","",INDEX($L$2:$L$5001,MATCH($A1355,$A$2:$A$5001,0)))</f>
        <v/>
      </c>
      <c r="N1355" s="48" t="str">
        <f aca="false">IF($A1355="","",IF(N(M1355)=0,"–",IF(M1355&lt;=Start!$D$20,"A",IF(M1355&lt;=Start!$D$21,"B","C"))))</f>
        <v/>
      </c>
      <c r="O1355" s="48" t="str">
        <f aca="false">IF($A1355="","",IF(NOT(ISNUMBER(F1355)),"Wert fehlt; ",IF(F1355&lt;=0,"Wert ist 0; ",""))&amp;IF(NOT(ISNUMBER(E1355)),"Bestand fehlt; ",IF(E1355&lt;0,"Bestand negativ; ",IF(E1355=0,"Nullbestand; ","")))&amp;IF(D1355="","Warengruppe fehlt; ","")&amp;IF(B1355="","Bezeichnung fehlt; ","")&amp;IF(COUNTIFS($A$2:$A$5001,$A1355,$C$2:$C$5001,C1355)&gt;1,"Artikel doppelt im selben Lager; ",""))</f>
        <v/>
      </c>
      <c r="P1355" s="47" t="n">
        <f aca="false">IF(OR($A1355="",D1355=""),0,IF(COUNTIF($D$2:D1355,D1355)=1,SUMIF($D$2:$D$5001,D1355,$H$2:$H$5001)+ROW()/10000000,0))</f>
        <v>0</v>
      </c>
      <c r="Q1355" s="47" t="n">
        <f aca="false">IF(OR($A1355="",C1355=""),0,IF(COUNTIF($C$2:C1355,C1355)=1,SUMIF($C$2:$C$5001,C1355,$H$2:$H$5001)+ROW()/10000000,0))</f>
        <v>0</v>
      </c>
    </row>
    <row r="1356" customFormat="false" ht="15" hidden="false" customHeight="false" outlineLevel="0" collapsed="false">
      <c r="A1356" s="43"/>
      <c r="B1356" s="44"/>
      <c r="C1356" s="44"/>
      <c r="D1356" s="44"/>
      <c r="E1356" s="44"/>
      <c r="F1356" s="44"/>
      <c r="G1356" s="44"/>
      <c r="H1356" s="46" t="str">
        <f aca="false">IF($A1356="","",IF(OR(NOT(ISNUMBER(E1356)),NOT(ISNUMBER(F1356))),"",MAX(0,E1356)*F1356))</f>
        <v/>
      </c>
      <c r="I1356" s="46" t="str">
        <f aca="false">IF($A1356="","",SUMIF($A$2:$A$5001,$A1356,$H$2:$H$5001))</f>
        <v/>
      </c>
      <c r="J1356" s="47" t="n">
        <f aca="false">IF($A1356="",0,IF(COUNTIF($A$2:A1356,$A1356)=1,1,0))</f>
        <v>0</v>
      </c>
      <c r="K1356" s="47" t="n">
        <f aca="false">IF(J1356=1,N(I1356)+ROW()/10000000,0)</f>
        <v>0</v>
      </c>
      <c r="L1356" s="47" t="str">
        <f aca="false">IF(AND(J1356=1,N(I1356)&gt;0),SUMIF($K$2:$K$5001,"&gt;="&amp;K1356,$I$2:$I$5001)/MAX(1,SUM($H$2:$H$5001)),"")</f>
        <v/>
      </c>
      <c r="M1356" s="47" t="str">
        <f aca="false">IF($A1356="","",INDEX($L$2:$L$5001,MATCH($A1356,$A$2:$A$5001,0)))</f>
        <v/>
      </c>
      <c r="N1356" s="48" t="str">
        <f aca="false">IF($A1356="","",IF(N(M1356)=0,"–",IF(M1356&lt;=Start!$D$20,"A",IF(M1356&lt;=Start!$D$21,"B","C"))))</f>
        <v/>
      </c>
      <c r="O1356" s="48" t="str">
        <f aca="false">IF($A1356="","",IF(NOT(ISNUMBER(F1356)),"Wert fehlt; ",IF(F1356&lt;=0,"Wert ist 0; ",""))&amp;IF(NOT(ISNUMBER(E1356)),"Bestand fehlt; ",IF(E1356&lt;0,"Bestand negativ; ",IF(E1356=0,"Nullbestand; ","")))&amp;IF(D1356="","Warengruppe fehlt; ","")&amp;IF(B1356="","Bezeichnung fehlt; ","")&amp;IF(COUNTIFS($A$2:$A$5001,$A1356,$C$2:$C$5001,C1356)&gt;1,"Artikel doppelt im selben Lager; ",""))</f>
        <v/>
      </c>
      <c r="P1356" s="47" t="n">
        <f aca="false">IF(OR($A1356="",D1356=""),0,IF(COUNTIF($D$2:D1356,D1356)=1,SUMIF($D$2:$D$5001,D1356,$H$2:$H$5001)+ROW()/10000000,0))</f>
        <v>0</v>
      </c>
      <c r="Q1356" s="47" t="n">
        <f aca="false">IF(OR($A1356="",C1356=""),0,IF(COUNTIF($C$2:C1356,C1356)=1,SUMIF($C$2:$C$5001,C1356,$H$2:$H$5001)+ROW()/10000000,0))</f>
        <v>0</v>
      </c>
    </row>
    <row r="1357" customFormat="false" ht="15" hidden="false" customHeight="false" outlineLevel="0" collapsed="false">
      <c r="A1357" s="43"/>
      <c r="B1357" s="44"/>
      <c r="C1357" s="44"/>
      <c r="D1357" s="44"/>
      <c r="E1357" s="44"/>
      <c r="F1357" s="44"/>
      <c r="G1357" s="44"/>
      <c r="H1357" s="46" t="str">
        <f aca="false">IF($A1357="","",IF(OR(NOT(ISNUMBER(E1357)),NOT(ISNUMBER(F1357))),"",MAX(0,E1357)*F1357))</f>
        <v/>
      </c>
      <c r="I1357" s="46" t="str">
        <f aca="false">IF($A1357="","",SUMIF($A$2:$A$5001,$A1357,$H$2:$H$5001))</f>
        <v/>
      </c>
      <c r="J1357" s="47" t="n">
        <f aca="false">IF($A1357="",0,IF(COUNTIF($A$2:A1357,$A1357)=1,1,0))</f>
        <v>0</v>
      </c>
      <c r="K1357" s="47" t="n">
        <f aca="false">IF(J1357=1,N(I1357)+ROW()/10000000,0)</f>
        <v>0</v>
      </c>
      <c r="L1357" s="47" t="str">
        <f aca="false">IF(AND(J1357=1,N(I1357)&gt;0),SUMIF($K$2:$K$5001,"&gt;="&amp;K1357,$I$2:$I$5001)/MAX(1,SUM($H$2:$H$5001)),"")</f>
        <v/>
      </c>
      <c r="M1357" s="47" t="str">
        <f aca="false">IF($A1357="","",INDEX($L$2:$L$5001,MATCH($A1357,$A$2:$A$5001,0)))</f>
        <v/>
      </c>
      <c r="N1357" s="48" t="str">
        <f aca="false">IF($A1357="","",IF(N(M1357)=0,"–",IF(M1357&lt;=Start!$D$20,"A",IF(M1357&lt;=Start!$D$21,"B","C"))))</f>
        <v/>
      </c>
      <c r="O1357" s="48" t="str">
        <f aca="false">IF($A1357="","",IF(NOT(ISNUMBER(F1357)),"Wert fehlt; ",IF(F1357&lt;=0,"Wert ist 0; ",""))&amp;IF(NOT(ISNUMBER(E1357)),"Bestand fehlt; ",IF(E1357&lt;0,"Bestand negativ; ",IF(E1357=0,"Nullbestand; ","")))&amp;IF(D1357="","Warengruppe fehlt; ","")&amp;IF(B1357="","Bezeichnung fehlt; ","")&amp;IF(COUNTIFS($A$2:$A$5001,$A1357,$C$2:$C$5001,C1357)&gt;1,"Artikel doppelt im selben Lager; ",""))</f>
        <v/>
      </c>
      <c r="P1357" s="47" t="n">
        <f aca="false">IF(OR($A1357="",D1357=""),0,IF(COUNTIF($D$2:D1357,D1357)=1,SUMIF($D$2:$D$5001,D1357,$H$2:$H$5001)+ROW()/10000000,0))</f>
        <v>0</v>
      </c>
      <c r="Q1357" s="47" t="n">
        <f aca="false">IF(OR($A1357="",C1357=""),0,IF(COUNTIF($C$2:C1357,C1357)=1,SUMIF($C$2:$C$5001,C1357,$H$2:$H$5001)+ROW()/10000000,0))</f>
        <v>0</v>
      </c>
    </row>
    <row r="1358" customFormat="false" ht="15" hidden="false" customHeight="false" outlineLevel="0" collapsed="false">
      <c r="A1358" s="43"/>
      <c r="B1358" s="44"/>
      <c r="C1358" s="44"/>
      <c r="D1358" s="44"/>
      <c r="E1358" s="44"/>
      <c r="F1358" s="44"/>
      <c r="G1358" s="44"/>
      <c r="H1358" s="46" t="str">
        <f aca="false">IF($A1358="","",IF(OR(NOT(ISNUMBER(E1358)),NOT(ISNUMBER(F1358))),"",MAX(0,E1358)*F1358))</f>
        <v/>
      </c>
      <c r="I1358" s="46" t="str">
        <f aca="false">IF($A1358="","",SUMIF($A$2:$A$5001,$A1358,$H$2:$H$5001))</f>
        <v/>
      </c>
      <c r="J1358" s="47" t="n">
        <f aca="false">IF($A1358="",0,IF(COUNTIF($A$2:A1358,$A1358)=1,1,0))</f>
        <v>0</v>
      </c>
      <c r="K1358" s="47" t="n">
        <f aca="false">IF(J1358=1,N(I1358)+ROW()/10000000,0)</f>
        <v>0</v>
      </c>
      <c r="L1358" s="47" t="str">
        <f aca="false">IF(AND(J1358=1,N(I1358)&gt;0),SUMIF($K$2:$K$5001,"&gt;="&amp;K1358,$I$2:$I$5001)/MAX(1,SUM($H$2:$H$5001)),"")</f>
        <v/>
      </c>
      <c r="M1358" s="47" t="str">
        <f aca="false">IF($A1358="","",INDEX($L$2:$L$5001,MATCH($A1358,$A$2:$A$5001,0)))</f>
        <v/>
      </c>
      <c r="N1358" s="48" t="str">
        <f aca="false">IF($A1358="","",IF(N(M1358)=0,"–",IF(M1358&lt;=Start!$D$20,"A",IF(M1358&lt;=Start!$D$21,"B","C"))))</f>
        <v/>
      </c>
      <c r="O1358" s="48" t="str">
        <f aca="false">IF($A1358="","",IF(NOT(ISNUMBER(F1358)),"Wert fehlt; ",IF(F1358&lt;=0,"Wert ist 0; ",""))&amp;IF(NOT(ISNUMBER(E1358)),"Bestand fehlt; ",IF(E1358&lt;0,"Bestand negativ; ",IF(E1358=0,"Nullbestand; ","")))&amp;IF(D1358="","Warengruppe fehlt; ","")&amp;IF(B1358="","Bezeichnung fehlt; ","")&amp;IF(COUNTIFS($A$2:$A$5001,$A1358,$C$2:$C$5001,C1358)&gt;1,"Artikel doppelt im selben Lager; ",""))</f>
        <v/>
      </c>
      <c r="P1358" s="47" t="n">
        <f aca="false">IF(OR($A1358="",D1358=""),0,IF(COUNTIF($D$2:D1358,D1358)=1,SUMIF($D$2:$D$5001,D1358,$H$2:$H$5001)+ROW()/10000000,0))</f>
        <v>0</v>
      </c>
      <c r="Q1358" s="47" t="n">
        <f aca="false">IF(OR($A1358="",C1358=""),0,IF(COUNTIF($C$2:C1358,C1358)=1,SUMIF($C$2:$C$5001,C1358,$H$2:$H$5001)+ROW()/10000000,0))</f>
        <v>0</v>
      </c>
    </row>
    <row r="1359" customFormat="false" ht="15" hidden="false" customHeight="false" outlineLevel="0" collapsed="false">
      <c r="A1359" s="43"/>
      <c r="B1359" s="44"/>
      <c r="C1359" s="44"/>
      <c r="D1359" s="44"/>
      <c r="E1359" s="44"/>
      <c r="F1359" s="44"/>
      <c r="G1359" s="44"/>
      <c r="H1359" s="46" t="str">
        <f aca="false">IF($A1359="","",IF(OR(NOT(ISNUMBER(E1359)),NOT(ISNUMBER(F1359))),"",MAX(0,E1359)*F1359))</f>
        <v/>
      </c>
      <c r="I1359" s="46" t="str">
        <f aca="false">IF($A1359="","",SUMIF($A$2:$A$5001,$A1359,$H$2:$H$5001))</f>
        <v/>
      </c>
      <c r="J1359" s="47" t="n">
        <f aca="false">IF($A1359="",0,IF(COUNTIF($A$2:A1359,$A1359)=1,1,0))</f>
        <v>0</v>
      </c>
      <c r="K1359" s="47" t="n">
        <f aca="false">IF(J1359=1,N(I1359)+ROW()/10000000,0)</f>
        <v>0</v>
      </c>
      <c r="L1359" s="47" t="str">
        <f aca="false">IF(AND(J1359=1,N(I1359)&gt;0),SUMIF($K$2:$K$5001,"&gt;="&amp;K1359,$I$2:$I$5001)/MAX(1,SUM($H$2:$H$5001)),"")</f>
        <v/>
      </c>
      <c r="M1359" s="47" t="str">
        <f aca="false">IF($A1359="","",INDEX($L$2:$L$5001,MATCH($A1359,$A$2:$A$5001,0)))</f>
        <v/>
      </c>
      <c r="N1359" s="48" t="str">
        <f aca="false">IF($A1359="","",IF(N(M1359)=0,"–",IF(M1359&lt;=Start!$D$20,"A",IF(M1359&lt;=Start!$D$21,"B","C"))))</f>
        <v/>
      </c>
      <c r="O1359" s="48" t="str">
        <f aca="false">IF($A1359="","",IF(NOT(ISNUMBER(F1359)),"Wert fehlt; ",IF(F1359&lt;=0,"Wert ist 0; ",""))&amp;IF(NOT(ISNUMBER(E1359)),"Bestand fehlt; ",IF(E1359&lt;0,"Bestand negativ; ",IF(E1359=0,"Nullbestand; ","")))&amp;IF(D1359="","Warengruppe fehlt; ","")&amp;IF(B1359="","Bezeichnung fehlt; ","")&amp;IF(COUNTIFS($A$2:$A$5001,$A1359,$C$2:$C$5001,C1359)&gt;1,"Artikel doppelt im selben Lager; ",""))</f>
        <v/>
      </c>
      <c r="P1359" s="47" t="n">
        <f aca="false">IF(OR($A1359="",D1359=""),0,IF(COUNTIF($D$2:D1359,D1359)=1,SUMIF($D$2:$D$5001,D1359,$H$2:$H$5001)+ROW()/10000000,0))</f>
        <v>0</v>
      </c>
      <c r="Q1359" s="47" t="n">
        <f aca="false">IF(OR($A1359="",C1359=""),0,IF(COUNTIF($C$2:C1359,C1359)=1,SUMIF($C$2:$C$5001,C1359,$H$2:$H$5001)+ROW()/10000000,0))</f>
        <v>0</v>
      </c>
    </row>
    <row r="1360" customFormat="false" ht="15" hidden="false" customHeight="false" outlineLevel="0" collapsed="false">
      <c r="A1360" s="43"/>
      <c r="B1360" s="44"/>
      <c r="C1360" s="44"/>
      <c r="D1360" s="44"/>
      <c r="E1360" s="44"/>
      <c r="F1360" s="44"/>
      <c r="G1360" s="44"/>
      <c r="H1360" s="46" t="str">
        <f aca="false">IF($A1360="","",IF(OR(NOT(ISNUMBER(E1360)),NOT(ISNUMBER(F1360))),"",MAX(0,E1360)*F1360))</f>
        <v/>
      </c>
      <c r="I1360" s="46" t="str">
        <f aca="false">IF($A1360="","",SUMIF($A$2:$A$5001,$A1360,$H$2:$H$5001))</f>
        <v/>
      </c>
      <c r="J1360" s="47" t="n">
        <f aca="false">IF($A1360="",0,IF(COUNTIF($A$2:A1360,$A1360)=1,1,0))</f>
        <v>0</v>
      </c>
      <c r="K1360" s="47" t="n">
        <f aca="false">IF(J1360=1,N(I1360)+ROW()/10000000,0)</f>
        <v>0</v>
      </c>
      <c r="L1360" s="47" t="str">
        <f aca="false">IF(AND(J1360=1,N(I1360)&gt;0),SUMIF($K$2:$K$5001,"&gt;="&amp;K1360,$I$2:$I$5001)/MAX(1,SUM($H$2:$H$5001)),"")</f>
        <v/>
      </c>
      <c r="M1360" s="47" t="str">
        <f aca="false">IF($A1360="","",INDEX($L$2:$L$5001,MATCH($A1360,$A$2:$A$5001,0)))</f>
        <v/>
      </c>
      <c r="N1360" s="48" t="str">
        <f aca="false">IF($A1360="","",IF(N(M1360)=0,"–",IF(M1360&lt;=Start!$D$20,"A",IF(M1360&lt;=Start!$D$21,"B","C"))))</f>
        <v/>
      </c>
      <c r="O1360" s="48" t="str">
        <f aca="false">IF($A1360="","",IF(NOT(ISNUMBER(F1360)),"Wert fehlt; ",IF(F1360&lt;=0,"Wert ist 0; ",""))&amp;IF(NOT(ISNUMBER(E1360)),"Bestand fehlt; ",IF(E1360&lt;0,"Bestand negativ; ",IF(E1360=0,"Nullbestand; ","")))&amp;IF(D1360="","Warengruppe fehlt; ","")&amp;IF(B1360="","Bezeichnung fehlt; ","")&amp;IF(COUNTIFS($A$2:$A$5001,$A1360,$C$2:$C$5001,C1360)&gt;1,"Artikel doppelt im selben Lager; ",""))</f>
        <v/>
      </c>
      <c r="P1360" s="47" t="n">
        <f aca="false">IF(OR($A1360="",D1360=""),0,IF(COUNTIF($D$2:D1360,D1360)=1,SUMIF($D$2:$D$5001,D1360,$H$2:$H$5001)+ROW()/10000000,0))</f>
        <v>0</v>
      </c>
      <c r="Q1360" s="47" t="n">
        <f aca="false">IF(OR($A1360="",C1360=""),0,IF(COUNTIF($C$2:C1360,C1360)=1,SUMIF($C$2:$C$5001,C1360,$H$2:$H$5001)+ROW()/10000000,0))</f>
        <v>0</v>
      </c>
    </row>
    <row r="1361" customFormat="false" ht="15" hidden="false" customHeight="false" outlineLevel="0" collapsed="false">
      <c r="A1361" s="43"/>
      <c r="B1361" s="44"/>
      <c r="C1361" s="44"/>
      <c r="D1361" s="44"/>
      <c r="E1361" s="44"/>
      <c r="F1361" s="44"/>
      <c r="G1361" s="44"/>
      <c r="H1361" s="46" t="str">
        <f aca="false">IF($A1361="","",IF(OR(NOT(ISNUMBER(E1361)),NOT(ISNUMBER(F1361))),"",MAX(0,E1361)*F1361))</f>
        <v/>
      </c>
      <c r="I1361" s="46" t="str">
        <f aca="false">IF($A1361="","",SUMIF($A$2:$A$5001,$A1361,$H$2:$H$5001))</f>
        <v/>
      </c>
      <c r="J1361" s="47" t="n">
        <f aca="false">IF($A1361="",0,IF(COUNTIF($A$2:A1361,$A1361)=1,1,0))</f>
        <v>0</v>
      </c>
      <c r="K1361" s="47" t="n">
        <f aca="false">IF(J1361=1,N(I1361)+ROW()/10000000,0)</f>
        <v>0</v>
      </c>
      <c r="L1361" s="47" t="str">
        <f aca="false">IF(AND(J1361=1,N(I1361)&gt;0),SUMIF($K$2:$K$5001,"&gt;="&amp;K1361,$I$2:$I$5001)/MAX(1,SUM($H$2:$H$5001)),"")</f>
        <v/>
      </c>
      <c r="M1361" s="47" t="str">
        <f aca="false">IF($A1361="","",INDEX($L$2:$L$5001,MATCH($A1361,$A$2:$A$5001,0)))</f>
        <v/>
      </c>
      <c r="N1361" s="48" t="str">
        <f aca="false">IF($A1361="","",IF(N(M1361)=0,"–",IF(M1361&lt;=Start!$D$20,"A",IF(M1361&lt;=Start!$D$21,"B","C"))))</f>
        <v/>
      </c>
      <c r="O1361" s="48" t="str">
        <f aca="false">IF($A1361="","",IF(NOT(ISNUMBER(F1361)),"Wert fehlt; ",IF(F1361&lt;=0,"Wert ist 0; ",""))&amp;IF(NOT(ISNUMBER(E1361)),"Bestand fehlt; ",IF(E1361&lt;0,"Bestand negativ; ",IF(E1361=0,"Nullbestand; ","")))&amp;IF(D1361="","Warengruppe fehlt; ","")&amp;IF(B1361="","Bezeichnung fehlt; ","")&amp;IF(COUNTIFS($A$2:$A$5001,$A1361,$C$2:$C$5001,C1361)&gt;1,"Artikel doppelt im selben Lager; ",""))</f>
        <v/>
      </c>
      <c r="P1361" s="47" t="n">
        <f aca="false">IF(OR($A1361="",D1361=""),0,IF(COUNTIF($D$2:D1361,D1361)=1,SUMIF($D$2:$D$5001,D1361,$H$2:$H$5001)+ROW()/10000000,0))</f>
        <v>0</v>
      </c>
      <c r="Q1361" s="47" t="n">
        <f aca="false">IF(OR($A1361="",C1361=""),0,IF(COUNTIF($C$2:C1361,C1361)=1,SUMIF($C$2:$C$5001,C1361,$H$2:$H$5001)+ROW()/10000000,0))</f>
        <v>0</v>
      </c>
    </row>
    <row r="1362" customFormat="false" ht="15" hidden="false" customHeight="false" outlineLevel="0" collapsed="false">
      <c r="A1362" s="43"/>
      <c r="B1362" s="44"/>
      <c r="C1362" s="44"/>
      <c r="D1362" s="44"/>
      <c r="E1362" s="44"/>
      <c r="F1362" s="44"/>
      <c r="G1362" s="44"/>
      <c r="H1362" s="46" t="str">
        <f aca="false">IF($A1362="","",IF(OR(NOT(ISNUMBER(E1362)),NOT(ISNUMBER(F1362))),"",MAX(0,E1362)*F1362))</f>
        <v/>
      </c>
      <c r="I1362" s="46" t="str">
        <f aca="false">IF($A1362="","",SUMIF($A$2:$A$5001,$A1362,$H$2:$H$5001))</f>
        <v/>
      </c>
      <c r="J1362" s="47" t="n">
        <f aca="false">IF($A1362="",0,IF(COUNTIF($A$2:A1362,$A1362)=1,1,0))</f>
        <v>0</v>
      </c>
      <c r="K1362" s="47" t="n">
        <f aca="false">IF(J1362=1,N(I1362)+ROW()/10000000,0)</f>
        <v>0</v>
      </c>
      <c r="L1362" s="47" t="str">
        <f aca="false">IF(AND(J1362=1,N(I1362)&gt;0),SUMIF($K$2:$K$5001,"&gt;="&amp;K1362,$I$2:$I$5001)/MAX(1,SUM($H$2:$H$5001)),"")</f>
        <v/>
      </c>
      <c r="M1362" s="47" t="str">
        <f aca="false">IF($A1362="","",INDEX($L$2:$L$5001,MATCH($A1362,$A$2:$A$5001,0)))</f>
        <v/>
      </c>
      <c r="N1362" s="48" t="str">
        <f aca="false">IF($A1362="","",IF(N(M1362)=0,"–",IF(M1362&lt;=Start!$D$20,"A",IF(M1362&lt;=Start!$D$21,"B","C"))))</f>
        <v/>
      </c>
      <c r="O1362" s="48" t="str">
        <f aca="false">IF($A1362="","",IF(NOT(ISNUMBER(F1362)),"Wert fehlt; ",IF(F1362&lt;=0,"Wert ist 0; ",""))&amp;IF(NOT(ISNUMBER(E1362)),"Bestand fehlt; ",IF(E1362&lt;0,"Bestand negativ; ",IF(E1362=0,"Nullbestand; ","")))&amp;IF(D1362="","Warengruppe fehlt; ","")&amp;IF(B1362="","Bezeichnung fehlt; ","")&amp;IF(COUNTIFS($A$2:$A$5001,$A1362,$C$2:$C$5001,C1362)&gt;1,"Artikel doppelt im selben Lager; ",""))</f>
        <v/>
      </c>
      <c r="P1362" s="47" t="n">
        <f aca="false">IF(OR($A1362="",D1362=""),0,IF(COUNTIF($D$2:D1362,D1362)=1,SUMIF($D$2:$D$5001,D1362,$H$2:$H$5001)+ROW()/10000000,0))</f>
        <v>0</v>
      </c>
      <c r="Q1362" s="47" t="n">
        <f aca="false">IF(OR($A1362="",C1362=""),0,IF(COUNTIF($C$2:C1362,C1362)=1,SUMIF($C$2:$C$5001,C1362,$H$2:$H$5001)+ROW()/10000000,0))</f>
        <v>0</v>
      </c>
    </row>
    <row r="1363" customFormat="false" ht="15" hidden="false" customHeight="false" outlineLevel="0" collapsed="false">
      <c r="A1363" s="43"/>
      <c r="B1363" s="44"/>
      <c r="C1363" s="44"/>
      <c r="D1363" s="44"/>
      <c r="E1363" s="44"/>
      <c r="F1363" s="44"/>
      <c r="G1363" s="44"/>
      <c r="H1363" s="46" t="str">
        <f aca="false">IF($A1363="","",IF(OR(NOT(ISNUMBER(E1363)),NOT(ISNUMBER(F1363))),"",MAX(0,E1363)*F1363))</f>
        <v/>
      </c>
      <c r="I1363" s="46" t="str">
        <f aca="false">IF($A1363="","",SUMIF($A$2:$A$5001,$A1363,$H$2:$H$5001))</f>
        <v/>
      </c>
      <c r="J1363" s="47" t="n">
        <f aca="false">IF($A1363="",0,IF(COUNTIF($A$2:A1363,$A1363)=1,1,0))</f>
        <v>0</v>
      </c>
      <c r="K1363" s="47" t="n">
        <f aca="false">IF(J1363=1,N(I1363)+ROW()/10000000,0)</f>
        <v>0</v>
      </c>
      <c r="L1363" s="47" t="str">
        <f aca="false">IF(AND(J1363=1,N(I1363)&gt;0),SUMIF($K$2:$K$5001,"&gt;="&amp;K1363,$I$2:$I$5001)/MAX(1,SUM($H$2:$H$5001)),"")</f>
        <v/>
      </c>
      <c r="M1363" s="47" t="str">
        <f aca="false">IF($A1363="","",INDEX($L$2:$L$5001,MATCH($A1363,$A$2:$A$5001,0)))</f>
        <v/>
      </c>
      <c r="N1363" s="48" t="str">
        <f aca="false">IF($A1363="","",IF(N(M1363)=0,"–",IF(M1363&lt;=Start!$D$20,"A",IF(M1363&lt;=Start!$D$21,"B","C"))))</f>
        <v/>
      </c>
      <c r="O1363" s="48" t="str">
        <f aca="false">IF($A1363="","",IF(NOT(ISNUMBER(F1363)),"Wert fehlt; ",IF(F1363&lt;=0,"Wert ist 0; ",""))&amp;IF(NOT(ISNUMBER(E1363)),"Bestand fehlt; ",IF(E1363&lt;0,"Bestand negativ; ",IF(E1363=0,"Nullbestand; ","")))&amp;IF(D1363="","Warengruppe fehlt; ","")&amp;IF(B1363="","Bezeichnung fehlt; ","")&amp;IF(COUNTIFS($A$2:$A$5001,$A1363,$C$2:$C$5001,C1363)&gt;1,"Artikel doppelt im selben Lager; ",""))</f>
        <v/>
      </c>
      <c r="P1363" s="47" t="n">
        <f aca="false">IF(OR($A1363="",D1363=""),0,IF(COUNTIF($D$2:D1363,D1363)=1,SUMIF($D$2:$D$5001,D1363,$H$2:$H$5001)+ROW()/10000000,0))</f>
        <v>0</v>
      </c>
      <c r="Q1363" s="47" t="n">
        <f aca="false">IF(OR($A1363="",C1363=""),0,IF(COUNTIF($C$2:C1363,C1363)=1,SUMIF($C$2:$C$5001,C1363,$H$2:$H$5001)+ROW()/10000000,0))</f>
        <v>0</v>
      </c>
    </row>
    <row r="1364" customFormat="false" ht="15" hidden="false" customHeight="false" outlineLevel="0" collapsed="false">
      <c r="A1364" s="43"/>
      <c r="B1364" s="44"/>
      <c r="C1364" s="44"/>
      <c r="D1364" s="44"/>
      <c r="E1364" s="44"/>
      <c r="F1364" s="44"/>
      <c r="G1364" s="44"/>
      <c r="H1364" s="46" t="str">
        <f aca="false">IF($A1364="","",IF(OR(NOT(ISNUMBER(E1364)),NOT(ISNUMBER(F1364))),"",MAX(0,E1364)*F1364))</f>
        <v/>
      </c>
      <c r="I1364" s="46" t="str">
        <f aca="false">IF($A1364="","",SUMIF($A$2:$A$5001,$A1364,$H$2:$H$5001))</f>
        <v/>
      </c>
      <c r="J1364" s="47" t="n">
        <f aca="false">IF($A1364="",0,IF(COUNTIF($A$2:A1364,$A1364)=1,1,0))</f>
        <v>0</v>
      </c>
      <c r="K1364" s="47" t="n">
        <f aca="false">IF(J1364=1,N(I1364)+ROW()/10000000,0)</f>
        <v>0</v>
      </c>
      <c r="L1364" s="47" t="str">
        <f aca="false">IF(AND(J1364=1,N(I1364)&gt;0),SUMIF($K$2:$K$5001,"&gt;="&amp;K1364,$I$2:$I$5001)/MAX(1,SUM($H$2:$H$5001)),"")</f>
        <v/>
      </c>
      <c r="M1364" s="47" t="str">
        <f aca="false">IF($A1364="","",INDEX($L$2:$L$5001,MATCH($A1364,$A$2:$A$5001,0)))</f>
        <v/>
      </c>
      <c r="N1364" s="48" t="str">
        <f aca="false">IF($A1364="","",IF(N(M1364)=0,"–",IF(M1364&lt;=Start!$D$20,"A",IF(M1364&lt;=Start!$D$21,"B","C"))))</f>
        <v/>
      </c>
      <c r="O1364" s="48" t="str">
        <f aca="false">IF($A1364="","",IF(NOT(ISNUMBER(F1364)),"Wert fehlt; ",IF(F1364&lt;=0,"Wert ist 0; ",""))&amp;IF(NOT(ISNUMBER(E1364)),"Bestand fehlt; ",IF(E1364&lt;0,"Bestand negativ; ",IF(E1364=0,"Nullbestand; ","")))&amp;IF(D1364="","Warengruppe fehlt; ","")&amp;IF(B1364="","Bezeichnung fehlt; ","")&amp;IF(COUNTIFS($A$2:$A$5001,$A1364,$C$2:$C$5001,C1364)&gt;1,"Artikel doppelt im selben Lager; ",""))</f>
        <v/>
      </c>
      <c r="P1364" s="47" t="n">
        <f aca="false">IF(OR($A1364="",D1364=""),0,IF(COUNTIF($D$2:D1364,D1364)=1,SUMIF($D$2:$D$5001,D1364,$H$2:$H$5001)+ROW()/10000000,0))</f>
        <v>0</v>
      </c>
      <c r="Q1364" s="47" t="n">
        <f aca="false">IF(OR($A1364="",C1364=""),0,IF(COUNTIF($C$2:C1364,C1364)=1,SUMIF($C$2:$C$5001,C1364,$H$2:$H$5001)+ROW()/10000000,0))</f>
        <v>0</v>
      </c>
    </row>
    <row r="1365" customFormat="false" ht="15" hidden="false" customHeight="false" outlineLevel="0" collapsed="false">
      <c r="A1365" s="43"/>
      <c r="B1365" s="44"/>
      <c r="C1365" s="44"/>
      <c r="D1365" s="44"/>
      <c r="E1365" s="44"/>
      <c r="F1365" s="44"/>
      <c r="G1365" s="44"/>
      <c r="H1365" s="46" t="str">
        <f aca="false">IF($A1365="","",IF(OR(NOT(ISNUMBER(E1365)),NOT(ISNUMBER(F1365))),"",MAX(0,E1365)*F1365))</f>
        <v/>
      </c>
      <c r="I1365" s="46" t="str">
        <f aca="false">IF($A1365="","",SUMIF($A$2:$A$5001,$A1365,$H$2:$H$5001))</f>
        <v/>
      </c>
      <c r="J1365" s="47" t="n">
        <f aca="false">IF($A1365="",0,IF(COUNTIF($A$2:A1365,$A1365)=1,1,0))</f>
        <v>0</v>
      </c>
      <c r="K1365" s="47" t="n">
        <f aca="false">IF(J1365=1,N(I1365)+ROW()/10000000,0)</f>
        <v>0</v>
      </c>
      <c r="L1365" s="47" t="str">
        <f aca="false">IF(AND(J1365=1,N(I1365)&gt;0),SUMIF($K$2:$K$5001,"&gt;="&amp;K1365,$I$2:$I$5001)/MAX(1,SUM($H$2:$H$5001)),"")</f>
        <v/>
      </c>
      <c r="M1365" s="47" t="str">
        <f aca="false">IF($A1365="","",INDEX($L$2:$L$5001,MATCH($A1365,$A$2:$A$5001,0)))</f>
        <v/>
      </c>
      <c r="N1365" s="48" t="str">
        <f aca="false">IF($A1365="","",IF(N(M1365)=0,"–",IF(M1365&lt;=Start!$D$20,"A",IF(M1365&lt;=Start!$D$21,"B","C"))))</f>
        <v/>
      </c>
      <c r="O1365" s="48" t="str">
        <f aca="false">IF($A1365="","",IF(NOT(ISNUMBER(F1365)),"Wert fehlt; ",IF(F1365&lt;=0,"Wert ist 0; ",""))&amp;IF(NOT(ISNUMBER(E1365)),"Bestand fehlt; ",IF(E1365&lt;0,"Bestand negativ; ",IF(E1365=0,"Nullbestand; ","")))&amp;IF(D1365="","Warengruppe fehlt; ","")&amp;IF(B1365="","Bezeichnung fehlt; ","")&amp;IF(COUNTIFS($A$2:$A$5001,$A1365,$C$2:$C$5001,C1365)&gt;1,"Artikel doppelt im selben Lager; ",""))</f>
        <v/>
      </c>
      <c r="P1365" s="47" t="n">
        <f aca="false">IF(OR($A1365="",D1365=""),0,IF(COUNTIF($D$2:D1365,D1365)=1,SUMIF($D$2:$D$5001,D1365,$H$2:$H$5001)+ROW()/10000000,0))</f>
        <v>0</v>
      </c>
      <c r="Q1365" s="47" t="n">
        <f aca="false">IF(OR($A1365="",C1365=""),0,IF(COUNTIF($C$2:C1365,C1365)=1,SUMIF($C$2:$C$5001,C1365,$H$2:$H$5001)+ROW()/10000000,0))</f>
        <v>0</v>
      </c>
    </row>
    <row r="1366" customFormat="false" ht="15" hidden="false" customHeight="false" outlineLevel="0" collapsed="false">
      <c r="A1366" s="43"/>
      <c r="B1366" s="44"/>
      <c r="C1366" s="44"/>
      <c r="D1366" s="44"/>
      <c r="E1366" s="44"/>
      <c r="F1366" s="44"/>
      <c r="G1366" s="44"/>
      <c r="H1366" s="46" t="str">
        <f aca="false">IF($A1366="","",IF(OR(NOT(ISNUMBER(E1366)),NOT(ISNUMBER(F1366))),"",MAX(0,E1366)*F1366))</f>
        <v/>
      </c>
      <c r="I1366" s="46" t="str">
        <f aca="false">IF($A1366="","",SUMIF($A$2:$A$5001,$A1366,$H$2:$H$5001))</f>
        <v/>
      </c>
      <c r="J1366" s="47" t="n">
        <f aca="false">IF($A1366="",0,IF(COUNTIF($A$2:A1366,$A1366)=1,1,0))</f>
        <v>0</v>
      </c>
      <c r="K1366" s="47" t="n">
        <f aca="false">IF(J1366=1,N(I1366)+ROW()/10000000,0)</f>
        <v>0</v>
      </c>
      <c r="L1366" s="47" t="str">
        <f aca="false">IF(AND(J1366=1,N(I1366)&gt;0),SUMIF($K$2:$K$5001,"&gt;="&amp;K1366,$I$2:$I$5001)/MAX(1,SUM($H$2:$H$5001)),"")</f>
        <v/>
      </c>
      <c r="M1366" s="47" t="str">
        <f aca="false">IF($A1366="","",INDEX($L$2:$L$5001,MATCH($A1366,$A$2:$A$5001,0)))</f>
        <v/>
      </c>
      <c r="N1366" s="48" t="str">
        <f aca="false">IF($A1366="","",IF(N(M1366)=0,"–",IF(M1366&lt;=Start!$D$20,"A",IF(M1366&lt;=Start!$D$21,"B","C"))))</f>
        <v/>
      </c>
      <c r="O1366" s="48" t="str">
        <f aca="false">IF($A1366="","",IF(NOT(ISNUMBER(F1366)),"Wert fehlt; ",IF(F1366&lt;=0,"Wert ist 0; ",""))&amp;IF(NOT(ISNUMBER(E1366)),"Bestand fehlt; ",IF(E1366&lt;0,"Bestand negativ; ",IF(E1366=0,"Nullbestand; ","")))&amp;IF(D1366="","Warengruppe fehlt; ","")&amp;IF(B1366="","Bezeichnung fehlt; ","")&amp;IF(COUNTIFS($A$2:$A$5001,$A1366,$C$2:$C$5001,C1366)&gt;1,"Artikel doppelt im selben Lager; ",""))</f>
        <v/>
      </c>
      <c r="P1366" s="47" t="n">
        <f aca="false">IF(OR($A1366="",D1366=""),0,IF(COUNTIF($D$2:D1366,D1366)=1,SUMIF($D$2:$D$5001,D1366,$H$2:$H$5001)+ROW()/10000000,0))</f>
        <v>0</v>
      </c>
      <c r="Q1366" s="47" t="n">
        <f aca="false">IF(OR($A1366="",C1366=""),0,IF(COUNTIF($C$2:C1366,C1366)=1,SUMIF($C$2:$C$5001,C1366,$H$2:$H$5001)+ROW()/10000000,0))</f>
        <v>0</v>
      </c>
    </row>
    <row r="1367" customFormat="false" ht="15" hidden="false" customHeight="false" outlineLevel="0" collapsed="false">
      <c r="A1367" s="43"/>
      <c r="B1367" s="44"/>
      <c r="C1367" s="44"/>
      <c r="D1367" s="44"/>
      <c r="E1367" s="44"/>
      <c r="F1367" s="44"/>
      <c r="G1367" s="44"/>
      <c r="H1367" s="46" t="str">
        <f aca="false">IF($A1367="","",IF(OR(NOT(ISNUMBER(E1367)),NOT(ISNUMBER(F1367))),"",MAX(0,E1367)*F1367))</f>
        <v/>
      </c>
      <c r="I1367" s="46" t="str">
        <f aca="false">IF($A1367="","",SUMIF($A$2:$A$5001,$A1367,$H$2:$H$5001))</f>
        <v/>
      </c>
      <c r="J1367" s="47" t="n">
        <f aca="false">IF($A1367="",0,IF(COUNTIF($A$2:A1367,$A1367)=1,1,0))</f>
        <v>0</v>
      </c>
      <c r="K1367" s="47" t="n">
        <f aca="false">IF(J1367=1,N(I1367)+ROW()/10000000,0)</f>
        <v>0</v>
      </c>
      <c r="L1367" s="47" t="str">
        <f aca="false">IF(AND(J1367=1,N(I1367)&gt;0),SUMIF($K$2:$K$5001,"&gt;="&amp;K1367,$I$2:$I$5001)/MAX(1,SUM($H$2:$H$5001)),"")</f>
        <v/>
      </c>
      <c r="M1367" s="47" t="str">
        <f aca="false">IF($A1367="","",INDEX($L$2:$L$5001,MATCH($A1367,$A$2:$A$5001,0)))</f>
        <v/>
      </c>
      <c r="N1367" s="48" t="str">
        <f aca="false">IF($A1367="","",IF(N(M1367)=0,"–",IF(M1367&lt;=Start!$D$20,"A",IF(M1367&lt;=Start!$D$21,"B","C"))))</f>
        <v/>
      </c>
      <c r="O1367" s="48" t="str">
        <f aca="false">IF($A1367="","",IF(NOT(ISNUMBER(F1367)),"Wert fehlt; ",IF(F1367&lt;=0,"Wert ist 0; ",""))&amp;IF(NOT(ISNUMBER(E1367)),"Bestand fehlt; ",IF(E1367&lt;0,"Bestand negativ; ",IF(E1367=0,"Nullbestand; ","")))&amp;IF(D1367="","Warengruppe fehlt; ","")&amp;IF(B1367="","Bezeichnung fehlt; ","")&amp;IF(COUNTIFS($A$2:$A$5001,$A1367,$C$2:$C$5001,C1367)&gt;1,"Artikel doppelt im selben Lager; ",""))</f>
        <v/>
      </c>
      <c r="P1367" s="47" t="n">
        <f aca="false">IF(OR($A1367="",D1367=""),0,IF(COUNTIF($D$2:D1367,D1367)=1,SUMIF($D$2:$D$5001,D1367,$H$2:$H$5001)+ROW()/10000000,0))</f>
        <v>0</v>
      </c>
      <c r="Q1367" s="47" t="n">
        <f aca="false">IF(OR($A1367="",C1367=""),0,IF(COUNTIF($C$2:C1367,C1367)=1,SUMIF($C$2:$C$5001,C1367,$H$2:$H$5001)+ROW()/10000000,0))</f>
        <v>0</v>
      </c>
    </row>
    <row r="1368" customFormat="false" ht="15" hidden="false" customHeight="false" outlineLevel="0" collapsed="false">
      <c r="A1368" s="43"/>
      <c r="B1368" s="44"/>
      <c r="C1368" s="44"/>
      <c r="D1368" s="44"/>
      <c r="E1368" s="44"/>
      <c r="F1368" s="44"/>
      <c r="G1368" s="44"/>
      <c r="H1368" s="46" t="str">
        <f aca="false">IF($A1368="","",IF(OR(NOT(ISNUMBER(E1368)),NOT(ISNUMBER(F1368))),"",MAX(0,E1368)*F1368))</f>
        <v/>
      </c>
      <c r="I1368" s="46" t="str">
        <f aca="false">IF($A1368="","",SUMIF($A$2:$A$5001,$A1368,$H$2:$H$5001))</f>
        <v/>
      </c>
      <c r="J1368" s="47" t="n">
        <f aca="false">IF($A1368="",0,IF(COUNTIF($A$2:A1368,$A1368)=1,1,0))</f>
        <v>0</v>
      </c>
      <c r="K1368" s="47" t="n">
        <f aca="false">IF(J1368=1,N(I1368)+ROW()/10000000,0)</f>
        <v>0</v>
      </c>
      <c r="L1368" s="47" t="str">
        <f aca="false">IF(AND(J1368=1,N(I1368)&gt;0),SUMIF($K$2:$K$5001,"&gt;="&amp;K1368,$I$2:$I$5001)/MAX(1,SUM($H$2:$H$5001)),"")</f>
        <v/>
      </c>
      <c r="M1368" s="47" t="str">
        <f aca="false">IF($A1368="","",INDEX($L$2:$L$5001,MATCH($A1368,$A$2:$A$5001,0)))</f>
        <v/>
      </c>
      <c r="N1368" s="48" t="str">
        <f aca="false">IF($A1368="","",IF(N(M1368)=0,"–",IF(M1368&lt;=Start!$D$20,"A",IF(M1368&lt;=Start!$D$21,"B","C"))))</f>
        <v/>
      </c>
      <c r="O1368" s="48" t="str">
        <f aca="false">IF($A1368="","",IF(NOT(ISNUMBER(F1368)),"Wert fehlt; ",IF(F1368&lt;=0,"Wert ist 0; ",""))&amp;IF(NOT(ISNUMBER(E1368)),"Bestand fehlt; ",IF(E1368&lt;0,"Bestand negativ; ",IF(E1368=0,"Nullbestand; ","")))&amp;IF(D1368="","Warengruppe fehlt; ","")&amp;IF(B1368="","Bezeichnung fehlt; ","")&amp;IF(COUNTIFS($A$2:$A$5001,$A1368,$C$2:$C$5001,C1368)&gt;1,"Artikel doppelt im selben Lager; ",""))</f>
        <v/>
      </c>
      <c r="P1368" s="47" t="n">
        <f aca="false">IF(OR($A1368="",D1368=""),0,IF(COUNTIF($D$2:D1368,D1368)=1,SUMIF($D$2:$D$5001,D1368,$H$2:$H$5001)+ROW()/10000000,0))</f>
        <v>0</v>
      </c>
      <c r="Q1368" s="47" t="n">
        <f aca="false">IF(OR($A1368="",C1368=""),0,IF(COUNTIF($C$2:C1368,C1368)=1,SUMIF($C$2:$C$5001,C1368,$H$2:$H$5001)+ROW()/10000000,0))</f>
        <v>0</v>
      </c>
    </row>
    <row r="1369" customFormat="false" ht="15" hidden="false" customHeight="false" outlineLevel="0" collapsed="false">
      <c r="A1369" s="43"/>
      <c r="B1369" s="44"/>
      <c r="C1369" s="44"/>
      <c r="D1369" s="44"/>
      <c r="E1369" s="44"/>
      <c r="F1369" s="44"/>
      <c r="G1369" s="44"/>
      <c r="H1369" s="46" t="str">
        <f aca="false">IF($A1369="","",IF(OR(NOT(ISNUMBER(E1369)),NOT(ISNUMBER(F1369))),"",MAX(0,E1369)*F1369))</f>
        <v/>
      </c>
      <c r="I1369" s="46" t="str">
        <f aca="false">IF($A1369="","",SUMIF($A$2:$A$5001,$A1369,$H$2:$H$5001))</f>
        <v/>
      </c>
      <c r="J1369" s="47" t="n">
        <f aca="false">IF($A1369="",0,IF(COUNTIF($A$2:A1369,$A1369)=1,1,0))</f>
        <v>0</v>
      </c>
      <c r="K1369" s="47" t="n">
        <f aca="false">IF(J1369=1,N(I1369)+ROW()/10000000,0)</f>
        <v>0</v>
      </c>
      <c r="L1369" s="47" t="str">
        <f aca="false">IF(AND(J1369=1,N(I1369)&gt;0),SUMIF($K$2:$K$5001,"&gt;="&amp;K1369,$I$2:$I$5001)/MAX(1,SUM($H$2:$H$5001)),"")</f>
        <v/>
      </c>
      <c r="M1369" s="47" t="str">
        <f aca="false">IF($A1369="","",INDEX($L$2:$L$5001,MATCH($A1369,$A$2:$A$5001,0)))</f>
        <v/>
      </c>
      <c r="N1369" s="48" t="str">
        <f aca="false">IF($A1369="","",IF(N(M1369)=0,"–",IF(M1369&lt;=Start!$D$20,"A",IF(M1369&lt;=Start!$D$21,"B","C"))))</f>
        <v/>
      </c>
      <c r="O1369" s="48" t="str">
        <f aca="false">IF($A1369="","",IF(NOT(ISNUMBER(F1369)),"Wert fehlt; ",IF(F1369&lt;=0,"Wert ist 0; ",""))&amp;IF(NOT(ISNUMBER(E1369)),"Bestand fehlt; ",IF(E1369&lt;0,"Bestand negativ; ",IF(E1369=0,"Nullbestand; ","")))&amp;IF(D1369="","Warengruppe fehlt; ","")&amp;IF(B1369="","Bezeichnung fehlt; ","")&amp;IF(COUNTIFS($A$2:$A$5001,$A1369,$C$2:$C$5001,C1369)&gt;1,"Artikel doppelt im selben Lager; ",""))</f>
        <v/>
      </c>
      <c r="P1369" s="47" t="n">
        <f aca="false">IF(OR($A1369="",D1369=""),0,IF(COUNTIF($D$2:D1369,D1369)=1,SUMIF($D$2:$D$5001,D1369,$H$2:$H$5001)+ROW()/10000000,0))</f>
        <v>0</v>
      </c>
      <c r="Q1369" s="47" t="n">
        <f aca="false">IF(OR($A1369="",C1369=""),0,IF(COUNTIF($C$2:C1369,C1369)=1,SUMIF($C$2:$C$5001,C1369,$H$2:$H$5001)+ROW()/10000000,0))</f>
        <v>0</v>
      </c>
    </row>
    <row r="1370" customFormat="false" ht="15" hidden="false" customHeight="false" outlineLevel="0" collapsed="false">
      <c r="A1370" s="43"/>
      <c r="B1370" s="44"/>
      <c r="C1370" s="44"/>
      <c r="D1370" s="44"/>
      <c r="E1370" s="44"/>
      <c r="F1370" s="44"/>
      <c r="G1370" s="44"/>
      <c r="H1370" s="46" t="str">
        <f aca="false">IF($A1370="","",IF(OR(NOT(ISNUMBER(E1370)),NOT(ISNUMBER(F1370))),"",MAX(0,E1370)*F1370))</f>
        <v/>
      </c>
      <c r="I1370" s="46" t="str">
        <f aca="false">IF($A1370="","",SUMIF($A$2:$A$5001,$A1370,$H$2:$H$5001))</f>
        <v/>
      </c>
      <c r="J1370" s="47" t="n">
        <f aca="false">IF($A1370="",0,IF(COUNTIF($A$2:A1370,$A1370)=1,1,0))</f>
        <v>0</v>
      </c>
      <c r="K1370" s="47" t="n">
        <f aca="false">IF(J1370=1,N(I1370)+ROW()/10000000,0)</f>
        <v>0</v>
      </c>
      <c r="L1370" s="47" t="str">
        <f aca="false">IF(AND(J1370=1,N(I1370)&gt;0),SUMIF($K$2:$K$5001,"&gt;="&amp;K1370,$I$2:$I$5001)/MAX(1,SUM($H$2:$H$5001)),"")</f>
        <v/>
      </c>
      <c r="M1370" s="47" t="str">
        <f aca="false">IF($A1370="","",INDEX($L$2:$L$5001,MATCH($A1370,$A$2:$A$5001,0)))</f>
        <v/>
      </c>
      <c r="N1370" s="48" t="str">
        <f aca="false">IF($A1370="","",IF(N(M1370)=0,"–",IF(M1370&lt;=Start!$D$20,"A",IF(M1370&lt;=Start!$D$21,"B","C"))))</f>
        <v/>
      </c>
      <c r="O1370" s="48" t="str">
        <f aca="false">IF($A1370="","",IF(NOT(ISNUMBER(F1370)),"Wert fehlt; ",IF(F1370&lt;=0,"Wert ist 0; ",""))&amp;IF(NOT(ISNUMBER(E1370)),"Bestand fehlt; ",IF(E1370&lt;0,"Bestand negativ; ",IF(E1370=0,"Nullbestand; ","")))&amp;IF(D1370="","Warengruppe fehlt; ","")&amp;IF(B1370="","Bezeichnung fehlt; ","")&amp;IF(COUNTIFS($A$2:$A$5001,$A1370,$C$2:$C$5001,C1370)&gt;1,"Artikel doppelt im selben Lager; ",""))</f>
        <v/>
      </c>
      <c r="P1370" s="47" t="n">
        <f aca="false">IF(OR($A1370="",D1370=""),0,IF(COUNTIF($D$2:D1370,D1370)=1,SUMIF($D$2:$D$5001,D1370,$H$2:$H$5001)+ROW()/10000000,0))</f>
        <v>0</v>
      </c>
      <c r="Q1370" s="47" t="n">
        <f aca="false">IF(OR($A1370="",C1370=""),0,IF(COUNTIF($C$2:C1370,C1370)=1,SUMIF($C$2:$C$5001,C1370,$H$2:$H$5001)+ROW()/10000000,0))</f>
        <v>0</v>
      </c>
    </row>
    <row r="1371" customFormat="false" ht="15" hidden="false" customHeight="false" outlineLevel="0" collapsed="false">
      <c r="A1371" s="43"/>
      <c r="B1371" s="44"/>
      <c r="C1371" s="44"/>
      <c r="D1371" s="44"/>
      <c r="E1371" s="44"/>
      <c r="F1371" s="44"/>
      <c r="G1371" s="44"/>
      <c r="H1371" s="46" t="str">
        <f aca="false">IF($A1371="","",IF(OR(NOT(ISNUMBER(E1371)),NOT(ISNUMBER(F1371))),"",MAX(0,E1371)*F1371))</f>
        <v/>
      </c>
      <c r="I1371" s="46" t="str">
        <f aca="false">IF($A1371="","",SUMIF($A$2:$A$5001,$A1371,$H$2:$H$5001))</f>
        <v/>
      </c>
      <c r="J1371" s="47" t="n">
        <f aca="false">IF($A1371="",0,IF(COUNTIF($A$2:A1371,$A1371)=1,1,0))</f>
        <v>0</v>
      </c>
      <c r="K1371" s="47" t="n">
        <f aca="false">IF(J1371=1,N(I1371)+ROW()/10000000,0)</f>
        <v>0</v>
      </c>
      <c r="L1371" s="47" t="str">
        <f aca="false">IF(AND(J1371=1,N(I1371)&gt;0),SUMIF($K$2:$K$5001,"&gt;="&amp;K1371,$I$2:$I$5001)/MAX(1,SUM($H$2:$H$5001)),"")</f>
        <v/>
      </c>
      <c r="M1371" s="47" t="str">
        <f aca="false">IF($A1371="","",INDEX($L$2:$L$5001,MATCH($A1371,$A$2:$A$5001,0)))</f>
        <v/>
      </c>
      <c r="N1371" s="48" t="str">
        <f aca="false">IF($A1371="","",IF(N(M1371)=0,"–",IF(M1371&lt;=Start!$D$20,"A",IF(M1371&lt;=Start!$D$21,"B","C"))))</f>
        <v/>
      </c>
      <c r="O1371" s="48" t="str">
        <f aca="false">IF($A1371="","",IF(NOT(ISNUMBER(F1371)),"Wert fehlt; ",IF(F1371&lt;=0,"Wert ist 0; ",""))&amp;IF(NOT(ISNUMBER(E1371)),"Bestand fehlt; ",IF(E1371&lt;0,"Bestand negativ; ",IF(E1371=0,"Nullbestand; ","")))&amp;IF(D1371="","Warengruppe fehlt; ","")&amp;IF(B1371="","Bezeichnung fehlt; ","")&amp;IF(COUNTIFS($A$2:$A$5001,$A1371,$C$2:$C$5001,C1371)&gt;1,"Artikel doppelt im selben Lager; ",""))</f>
        <v/>
      </c>
      <c r="P1371" s="47" t="n">
        <f aca="false">IF(OR($A1371="",D1371=""),0,IF(COUNTIF($D$2:D1371,D1371)=1,SUMIF($D$2:$D$5001,D1371,$H$2:$H$5001)+ROW()/10000000,0))</f>
        <v>0</v>
      </c>
      <c r="Q1371" s="47" t="n">
        <f aca="false">IF(OR($A1371="",C1371=""),0,IF(COUNTIF($C$2:C1371,C1371)=1,SUMIF($C$2:$C$5001,C1371,$H$2:$H$5001)+ROW()/10000000,0))</f>
        <v>0</v>
      </c>
    </row>
    <row r="1372" customFormat="false" ht="15" hidden="false" customHeight="false" outlineLevel="0" collapsed="false">
      <c r="A1372" s="43"/>
      <c r="B1372" s="44"/>
      <c r="C1372" s="44"/>
      <c r="D1372" s="44"/>
      <c r="E1372" s="44"/>
      <c r="F1372" s="44"/>
      <c r="G1372" s="44"/>
      <c r="H1372" s="46" t="str">
        <f aca="false">IF($A1372="","",IF(OR(NOT(ISNUMBER(E1372)),NOT(ISNUMBER(F1372))),"",MAX(0,E1372)*F1372))</f>
        <v/>
      </c>
      <c r="I1372" s="46" t="str">
        <f aca="false">IF($A1372="","",SUMIF($A$2:$A$5001,$A1372,$H$2:$H$5001))</f>
        <v/>
      </c>
      <c r="J1372" s="47" t="n">
        <f aca="false">IF($A1372="",0,IF(COUNTIF($A$2:A1372,$A1372)=1,1,0))</f>
        <v>0</v>
      </c>
      <c r="K1372" s="47" t="n">
        <f aca="false">IF(J1372=1,N(I1372)+ROW()/10000000,0)</f>
        <v>0</v>
      </c>
      <c r="L1372" s="47" t="str">
        <f aca="false">IF(AND(J1372=1,N(I1372)&gt;0),SUMIF($K$2:$K$5001,"&gt;="&amp;K1372,$I$2:$I$5001)/MAX(1,SUM($H$2:$H$5001)),"")</f>
        <v/>
      </c>
      <c r="M1372" s="47" t="str">
        <f aca="false">IF($A1372="","",INDEX($L$2:$L$5001,MATCH($A1372,$A$2:$A$5001,0)))</f>
        <v/>
      </c>
      <c r="N1372" s="48" t="str">
        <f aca="false">IF($A1372="","",IF(N(M1372)=0,"–",IF(M1372&lt;=Start!$D$20,"A",IF(M1372&lt;=Start!$D$21,"B","C"))))</f>
        <v/>
      </c>
      <c r="O1372" s="48" t="str">
        <f aca="false">IF($A1372="","",IF(NOT(ISNUMBER(F1372)),"Wert fehlt; ",IF(F1372&lt;=0,"Wert ist 0; ",""))&amp;IF(NOT(ISNUMBER(E1372)),"Bestand fehlt; ",IF(E1372&lt;0,"Bestand negativ; ",IF(E1372=0,"Nullbestand; ","")))&amp;IF(D1372="","Warengruppe fehlt; ","")&amp;IF(B1372="","Bezeichnung fehlt; ","")&amp;IF(COUNTIFS($A$2:$A$5001,$A1372,$C$2:$C$5001,C1372)&gt;1,"Artikel doppelt im selben Lager; ",""))</f>
        <v/>
      </c>
      <c r="P1372" s="47" t="n">
        <f aca="false">IF(OR($A1372="",D1372=""),0,IF(COUNTIF($D$2:D1372,D1372)=1,SUMIF($D$2:$D$5001,D1372,$H$2:$H$5001)+ROW()/10000000,0))</f>
        <v>0</v>
      </c>
      <c r="Q1372" s="47" t="n">
        <f aca="false">IF(OR($A1372="",C1372=""),0,IF(COUNTIF($C$2:C1372,C1372)=1,SUMIF($C$2:$C$5001,C1372,$H$2:$H$5001)+ROW()/10000000,0))</f>
        <v>0</v>
      </c>
    </row>
    <row r="1373" customFormat="false" ht="15" hidden="false" customHeight="false" outlineLevel="0" collapsed="false">
      <c r="A1373" s="43"/>
      <c r="B1373" s="44"/>
      <c r="C1373" s="44"/>
      <c r="D1373" s="44"/>
      <c r="E1373" s="44"/>
      <c r="F1373" s="44"/>
      <c r="G1373" s="44"/>
      <c r="H1373" s="46" t="str">
        <f aca="false">IF($A1373="","",IF(OR(NOT(ISNUMBER(E1373)),NOT(ISNUMBER(F1373))),"",MAX(0,E1373)*F1373))</f>
        <v/>
      </c>
      <c r="I1373" s="46" t="str">
        <f aca="false">IF($A1373="","",SUMIF($A$2:$A$5001,$A1373,$H$2:$H$5001))</f>
        <v/>
      </c>
      <c r="J1373" s="47" t="n">
        <f aca="false">IF($A1373="",0,IF(COUNTIF($A$2:A1373,$A1373)=1,1,0))</f>
        <v>0</v>
      </c>
      <c r="K1373" s="47" t="n">
        <f aca="false">IF(J1373=1,N(I1373)+ROW()/10000000,0)</f>
        <v>0</v>
      </c>
      <c r="L1373" s="47" t="str">
        <f aca="false">IF(AND(J1373=1,N(I1373)&gt;0),SUMIF($K$2:$K$5001,"&gt;="&amp;K1373,$I$2:$I$5001)/MAX(1,SUM($H$2:$H$5001)),"")</f>
        <v/>
      </c>
      <c r="M1373" s="47" t="str">
        <f aca="false">IF($A1373="","",INDEX($L$2:$L$5001,MATCH($A1373,$A$2:$A$5001,0)))</f>
        <v/>
      </c>
      <c r="N1373" s="48" t="str">
        <f aca="false">IF($A1373="","",IF(N(M1373)=0,"–",IF(M1373&lt;=Start!$D$20,"A",IF(M1373&lt;=Start!$D$21,"B","C"))))</f>
        <v/>
      </c>
      <c r="O1373" s="48" t="str">
        <f aca="false">IF($A1373="","",IF(NOT(ISNUMBER(F1373)),"Wert fehlt; ",IF(F1373&lt;=0,"Wert ist 0; ",""))&amp;IF(NOT(ISNUMBER(E1373)),"Bestand fehlt; ",IF(E1373&lt;0,"Bestand negativ; ",IF(E1373=0,"Nullbestand; ","")))&amp;IF(D1373="","Warengruppe fehlt; ","")&amp;IF(B1373="","Bezeichnung fehlt; ","")&amp;IF(COUNTIFS($A$2:$A$5001,$A1373,$C$2:$C$5001,C1373)&gt;1,"Artikel doppelt im selben Lager; ",""))</f>
        <v/>
      </c>
      <c r="P1373" s="47" t="n">
        <f aca="false">IF(OR($A1373="",D1373=""),0,IF(COUNTIF($D$2:D1373,D1373)=1,SUMIF($D$2:$D$5001,D1373,$H$2:$H$5001)+ROW()/10000000,0))</f>
        <v>0</v>
      </c>
      <c r="Q1373" s="47" t="n">
        <f aca="false">IF(OR($A1373="",C1373=""),0,IF(COUNTIF($C$2:C1373,C1373)=1,SUMIF($C$2:$C$5001,C1373,$H$2:$H$5001)+ROW()/10000000,0))</f>
        <v>0</v>
      </c>
    </row>
    <row r="1374" customFormat="false" ht="15" hidden="false" customHeight="false" outlineLevel="0" collapsed="false">
      <c r="A1374" s="43"/>
      <c r="B1374" s="44"/>
      <c r="C1374" s="44"/>
      <c r="D1374" s="44"/>
      <c r="E1374" s="44"/>
      <c r="F1374" s="44"/>
      <c r="G1374" s="44"/>
      <c r="H1374" s="46" t="str">
        <f aca="false">IF($A1374="","",IF(OR(NOT(ISNUMBER(E1374)),NOT(ISNUMBER(F1374))),"",MAX(0,E1374)*F1374))</f>
        <v/>
      </c>
      <c r="I1374" s="46" t="str">
        <f aca="false">IF($A1374="","",SUMIF($A$2:$A$5001,$A1374,$H$2:$H$5001))</f>
        <v/>
      </c>
      <c r="J1374" s="47" t="n">
        <f aca="false">IF($A1374="",0,IF(COUNTIF($A$2:A1374,$A1374)=1,1,0))</f>
        <v>0</v>
      </c>
      <c r="K1374" s="47" t="n">
        <f aca="false">IF(J1374=1,N(I1374)+ROW()/10000000,0)</f>
        <v>0</v>
      </c>
      <c r="L1374" s="47" t="str">
        <f aca="false">IF(AND(J1374=1,N(I1374)&gt;0),SUMIF($K$2:$K$5001,"&gt;="&amp;K1374,$I$2:$I$5001)/MAX(1,SUM($H$2:$H$5001)),"")</f>
        <v/>
      </c>
      <c r="M1374" s="47" t="str">
        <f aca="false">IF($A1374="","",INDEX($L$2:$L$5001,MATCH($A1374,$A$2:$A$5001,0)))</f>
        <v/>
      </c>
      <c r="N1374" s="48" t="str">
        <f aca="false">IF($A1374="","",IF(N(M1374)=0,"–",IF(M1374&lt;=Start!$D$20,"A",IF(M1374&lt;=Start!$D$21,"B","C"))))</f>
        <v/>
      </c>
      <c r="O1374" s="48" t="str">
        <f aca="false">IF($A1374="","",IF(NOT(ISNUMBER(F1374)),"Wert fehlt; ",IF(F1374&lt;=0,"Wert ist 0; ",""))&amp;IF(NOT(ISNUMBER(E1374)),"Bestand fehlt; ",IF(E1374&lt;0,"Bestand negativ; ",IF(E1374=0,"Nullbestand; ","")))&amp;IF(D1374="","Warengruppe fehlt; ","")&amp;IF(B1374="","Bezeichnung fehlt; ","")&amp;IF(COUNTIFS($A$2:$A$5001,$A1374,$C$2:$C$5001,C1374)&gt;1,"Artikel doppelt im selben Lager; ",""))</f>
        <v/>
      </c>
      <c r="P1374" s="47" t="n">
        <f aca="false">IF(OR($A1374="",D1374=""),0,IF(COUNTIF($D$2:D1374,D1374)=1,SUMIF($D$2:$D$5001,D1374,$H$2:$H$5001)+ROW()/10000000,0))</f>
        <v>0</v>
      </c>
      <c r="Q1374" s="47" t="n">
        <f aca="false">IF(OR($A1374="",C1374=""),0,IF(COUNTIF($C$2:C1374,C1374)=1,SUMIF($C$2:$C$5001,C1374,$H$2:$H$5001)+ROW()/10000000,0))</f>
        <v>0</v>
      </c>
    </row>
    <row r="1375" customFormat="false" ht="15" hidden="false" customHeight="false" outlineLevel="0" collapsed="false">
      <c r="A1375" s="43"/>
      <c r="B1375" s="44"/>
      <c r="C1375" s="44"/>
      <c r="D1375" s="44"/>
      <c r="E1375" s="44"/>
      <c r="F1375" s="44"/>
      <c r="G1375" s="44"/>
      <c r="H1375" s="46" t="str">
        <f aca="false">IF($A1375="","",IF(OR(NOT(ISNUMBER(E1375)),NOT(ISNUMBER(F1375))),"",MAX(0,E1375)*F1375))</f>
        <v/>
      </c>
      <c r="I1375" s="46" t="str">
        <f aca="false">IF($A1375="","",SUMIF($A$2:$A$5001,$A1375,$H$2:$H$5001))</f>
        <v/>
      </c>
      <c r="J1375" s="47" t="n">
        <f aca="false">IF($A1375="",0,IF(COUNTIF($A$2:A1375,$A1375)=1,1,0))</f>
        <v>0</v>
      </c>
      <c r="K1375" s="47" t="n">
        <f aca="false">IF(J1375=1,N(I1375)+ROW()/10000000,0)</f>
        <v>0</v>
      </c>
      <c r="L1375" s="47" t="str">
        <f aca="false">IF(AND(J1375=1,N(I1375)&gt;0),SUMIF($K$2:$K$5001,"&gt;="&amp;K1375,$I$2:$I$5001)/MAX(1,SUM($H$2:$H$5001)),"")</f>
        <v/>
      </c>
      <c r="M1375" s="47" t="str">
        <f aca="false">IF($A1375="","",INDEX($L$2:$L$5001,MATCH($A1375,$A$2:$A$5001,0)))</f>
        <v/>
      </c>
      <c r="N1375" s="48" t="str">
        <f aca="false">IF($A1375="","",IF(N(M1375)=0,"–",IF(M1375&lt;=Start!$D$20,"A",IF(M1375&lt;=Start!$D$21,"B","C"))))</f>
        <v/>
      </c>
      <c r="O1375" s="48" t="str">
        <f aca="false">IF($A1375="","",IF(NOT(ISNUMBER(F1375)),"Wert fehlt; ",IF(F1375&lt;=0,"Wert ist 0; ",""))&amp;IF(NOT(ISNUMBER(E1375)),"Bestand fehlt; ",IF(E1375&lt;0,"Bestand negativ; ",IF(E1375=0,"Nullbestand; ","")))&amp;IF(D1375="","Warengruppe fehlt; ","")&amp;IF(B1375="","Bezeichnung fehlt; ","")&amp;IF(COUNTIFS($A$2:$A$5001,$A1375,$C$2:$C$5001,C1375)&gt;1,"Artikel doppelt im selben Lager; ",""))</f>
        <v/>
      </c>
      <c r="P1375" s="47" t="n">
        <f aca="false">IF(OR($A1375="",D1375=""),0,IF(COUNTIF($D$2:D1375,D1375)=1,SUMIF($D$2:$D$5001,D1375,$H$2:$H$5001)+ROW()/10000000,0))</f>
        <v>0</v>
      </c>
      <c r="Q1375" s="47" t="n">
        <f aca="false">IF(OR($A1375="",C1375=""),0,IF(COUNTIF($C$2:C1375,C1375)=1,SUMIF($C$2:$C$5001,C1375,$H$2:$H$5001)+ROW()/10000000,0))</f>
        <v>0</v>
      </c>
    </row>
    <row r="1376" customFormat="false" ht="15" hidden="false" customHeight="false" outlineLevel="0" collapsed="false">
      <c r="A1376" s="43"/>
      <c r="B1376" s="44"/>
      <c r="C1376" s="44"/>
      <c r="D1376" s="44"/>
      <c r="E1376" s="44"/>
      <c r="F1376" s="44"/>
      <c r="G1376" s="44"/>
      <c r="H1376" s="46" t="str">
        <f aca="false">IF($A1376="","",IF(OR(NOT(ISNUMBER(E1376)),NOT(ISNUMBER(F1376))),"",MAX(0,E1376)*F1376))</f>
        <v/>
      </c>
      <c r="I1376" s="46" t="str">
        <f aca="false">IF($A1376="","",SUMIF($A$2:$A$5001,$A1376,$H$2:$H$5001))</f>
        <v/>
      </c>
      <c r="J1376" s="47" t="n">
        <f aca="false">IF($A1376="",0,IF(COUNTIF($A$2:A1376,$A1376)=1,1,0))</f>
        <v>0</v>
      </c>
      <c r="K1376" s="47" t="n">
        <f aca="false">IF(J1376=1,N(I1376)+ROW()/10000000,0)</f>
        <v>0</v>
      </c>
      <c r="L1376" s="47" t="str">
        <f aca="false">IF(AND(J1376=1,N(I1376)&gt;0),SUMIF($K$2:$K$5001,"&gt;="&amp;K1376,$I$2:$I$5001)/MAX(1,SUM($H$2:$H$5001)),"")</f>
        <v/>
      </c>
      <c r="M1376" s="47" t="str">
        <f aca="false">IF($A1376="","",INDEX($L$2:$L$5001,MATCH($A1376,$A$2:$A$5001,0)))</f>
        <v/>
      </c>
      <c r="N1376" s="48" t="str">
        <f aca="false">IF($A1376="","",IF(N(M1376)=0,"–",IF(M1376&lt;=Start!$D$20,"A",IF(M1376&lt;=Start!$D$21,"B","C"))))</f>
        <v/>
      </c>
      <c r="O1376" s="48" t="str">
        <f aca="false">IF($A1376="","",IF(NOT(ISNUMBER(F1376)),"Wert fehlt; ",IF(F1376&lt;=0,"Wert ist 0; ",""))&amp;IF(NOT(ISNUMBER(E1376)),"Bestand fehlt; ",IF(E1376&lt;0,"Bestand negativ; ",IF(E1376=0,"Nullbestand; ","")))&amp;IF(D1376="","Warengruppe fehlt; ","")&amp;IF(B1376="","Bezeichnung fehlt; ","")&amp;IF(COUNTIFS($A$2:$A$5001,$A1376,$C$2:$C$5001,C1376)&gt;1,"Artikel doppelt im selben Lager; ",""))</f>
        <v/>
      </c>
      <c r="P1376" s="47" t="n">
        <f aca="false">IF(OR($A1376="",D1376=""),0,IF(COUNTIF($D$2:D1376,D1376)=1,SUMIF($D$2:$D$5001,D1376,$H$2:$H$5001)+ROW()/10000000,0))</f>
        <v>0</v>
      </c>
      <c r="Q1376" s="47" t="n">
        <f aca="false">IF(OR($A1376="",C1376=""),0,IF(COUNTIF($C$2:C1376,C1376)=1,SUMIF($C$2:$C$5001,C1376,$H$2:$H$5001)+ROW()/10000000,0))</f>
        <v>0</v>
      </c>
    </row>
    <row r="1377" customFormat="false" ht="15" hidden="false" customHeight="false" outlineLevel="0" collapsed="false">
      <c r="A1377" s="43"/>
      <c r="B1377" s="44"/>
      <c r="C1377" s="44"/>
      <c r="D1377" s="44"/>
      <c r="E1377" s="44"/>
      <c r="F1377" s="44"/>
      <c r="G1377" s="44"/>
      <c r="H1377" s="46" t="str">
        <f aca="false">IF($A1377="","",IF(OR(NOT(ISNUMBER(E1377)),NOT(ISNUMBER(F1377))),"",MAX(0,E1377)*F1377))</f>
        <v/>
      </c>
      <c r="I1377" s="46" t="str">
        <f aca="false">IF($A1377="","",SUMIF($A$2:$A$5001,$A1377,$H$2:$H$5001))</f>
        <v/>
      </c>
      <c r="J1377" s="47" t="n">
        <f aca="false">IF($A1377="",0,IF(COUNTIF($A$2:A1377,$A1377)=1,1,0))</f>
        <v>0</v>
      </c>
      <c r="K1377" s="47" t="n">
        <f aca="false">IF(J1377=1,N(I1377)+ROW()/10000000,0)</f>
        <v>0</v>
      </c>
      <c r="L1377" s="47" t="str">
        <f aca="false">IF(AND(J1377=1,N(I1377)&gt;0),SUMIF($K$2:$K$5001,"&gt;="&amp;K1377,$I$2:$I$5001)/MAX(1,SUM($H$2:$H$5001)),"")</f>
        <v/>
      </c>
      <c r="M1377" s="47" t="str">
        <f aca="false">IF($A1377="","",INDEX($L$2:$L$5001,MATCH($A1377,$A$2:$A$5001,0)))</f>
        <v/>
      </c>
      <c r="N1377" s="48" t="str">
        <f aca="false">IF($A1377="","",IF(N(M1377)=0,"–",IF(M1377&lt;=Start!$D$20,"A",IF(M1377&lt;=Start!$D$21,"B","C"))))</f>
        <v/>
      </c>
      <c r="O1377" s="48" t="str">
        <f aca="false">IF($A1377="","",IF(NOT(ISNUMBER(F1377)),"Wert fehlt; ",IF(F1377&lt;=0,"Wert ist 0; ",""))&amp;IF(NOT(ISNUMBER(E1377)),"Bestand fehlt; ",IF(E1377&lt;0,"Bestand negativ; ",IF(E1377=0,"Nullbestand; ","")))&amp;IF(D1377="","Warengruppe fehlt; ","")&amp;IF(B1377="","Bezeichnung fehlt; ","")&amp;IF(COUNTIFS($A$2:$A$5001,$A1377,$C$2:$C$5001,C1377)&gt;1,"Artikel doppelt im selben Lager; ",""))</f>
        <v/>
      </c>
      <c r="P1377" s="47" t="n">
        <f aca="false">IF(OR($A1377="",D1377=""),0,IF(COUNTIF($D$2:D1377,D1377)=1,SUMIF($D$2:$D$5001,D1377,$H$2:$H$5001)+ROW()/10000000,0))</f>
        <v>0</v>
      </c>
      <c r="Q1377" s="47" t="n">
        <f aca="false">IF(OR($A1377="",C1377=""),0,IF(COUNTIF($C$2:C1377,C1377)=1,SUMIF($C$2:$C$5001,C1377,$H$2:$H$5001)+ROW()/10000000,0))</f>
        <v>0</v>
      </c>
    </row>
    <row r="1378" customFormat="false" ht="15" hidden="false" customHeight="false" outlineLevel="0" collapsed="false">
      <c r="A1378" s="43"/>
      <c r="B1378" s="44"/>
      <c r="C1378" s="44"/>
      <c r="D1378" s="44"/>
      <c r="E1378" s="44"/>
      <c r="F1378" s="44"/>
      <c r="G1378" s="44"/>
      <c r="H1378" s="46" t="str">
        <f aca="false">IF($A1378="","",IF(OR(NOT(ISNUMBER(E1378)),NOT(ISNUMBER(F1378))),"",MAX(0,E1378)*F1378))</f>
        <v/>
      </c>
      <c r="I1378" s="46" t="str">
        <f aca="false">IF($A1378="","",SUMIF($A$2:$A$5001,$A1378,$H$2:$H$5001))</f>
        <v/>
      </c>
      <c r="J1378" s="47" t="n">
        <f aca="false">IF($A1378="",0,IF(COUNTIF($A$2:A1378,$A1378)=1,1,0))</f>
        <v>0</v>
      </c>
      <c r="K1378" s="47" t="n">
        <f aca="false">IF(J1378=1,N(I1378)+ROW()/10000000,0)</f>
        <v>0</v>
      </c>
      <c r="L1378" s="47" t="str">
        <f aca="false">IF(AND(J1378=1,N(I1378)&gt;0),SUMIF($K$2:$K$5001,"&gt;="&amp;K1378,$I$2:$I$5001)/MAX(1,SUM($H$2:$H$5001)),"")</f>
        <v/>
      </c>
      <c r="M1378" s="47" t="str">
        <f aca="false">IF($A1378="","",INDEX($L$2:$L$5001,MATCH($A1378,$A$2:$A$5001,0)))</f>
        <v/>
      </c>
      <c r="N1378" s="48" t="str">
        <f aca="false">IF($A1378="","",IF(N(M1378)=0,"–",IF(M1378&lt;=Start!$D$20,"A",IF(M1378&lt;=Start!$D$21,"B","C"))))</f>
        <v/>
      </c>
      <c r="O1378" s="48" t="str">
        <f aca="false">IF($A1378="","",IF(NOT(ISNUMBER(F1378)),"Wert fehlt; ",IF(F1378&lt;=0,"Wert ist 0; ",""))&amp;IF(NOT(ISNUMBER(E1378)),"Bestand fehlt; ",IF(E1378&lt;0,"Bestand negativ; ",IF(E1378=0,"Nullbestand; ","")))&amp;IF(D1378="","Warengruppe fehlt; ","")&amp;IF(B1378="","Bezeichnung fehlt; ","")&amp;IF(COUNTIFS($A$2:$A$5001,$A1378,$C$2:$C$5001,C1378)&gt;1,"Artikel doppelt im selben Lager; ",""))</f>
        <v/>
      </c>
      <c r="P1378" s="47" t="n">
        <f aca="false">IF(OR($A1378="",D1378=""),0,IF(COUNTIF($D$2:D1378,D1378)=1,SUMIF($D$2:$D$5001,D1378,$H$2:$H$5001)+ROW()/10000000,0))</f>
        <v>0</v>
      </c>
      <c r="Q1378" s="47" t="n">
        <f aca="false">IF(OR($A1378="",C1378=""),0,IF(COUNTIF($C$2:C1378,C1378)=1,SUMIF($C$2:$C$5001,C1378,$H$2:$H$5001)+ROW()/10000000,0))</f>
        <v>0</v>
      </c>
    </row>
    <row r="1379" customFormat="false" ht="15" hidden="false" customHeight="false" outlineLevel="0" collapsed="false">
      <c r="A1379" s="43"/>
      <c r="B1379" s="44"/>
      <c r="C1379" s="44"/>
      <c r="D1379" s="44"/>
      <c r="E1379" s="44"/>
      <c r="F1379" s="44"/>
      <c r="G1379" s="44"/>
      <c r="H1379" s="46" t="str">
        <f aca="false">IF($A1379="","",IF(OR(NOT(ISNUMBER(E1379)),NOT(ISNUMBER(F1379))),"",MAX(0,E1379)*F1379))</f>
        <v/>
      </c>
      <c r="I1379" s="46" t="str">
        <f aca="false">IF($A1379="","",SUMIF($A$2:$A$5001,$A1379,$H$2:$H$5001))</f>
        <v/>
      </c>
      <c r="J1379" s="47" t="n">
        <f aca="false">IF($A1379="",0,IF(COUNTIF($A$2:A1379,$A1379)=1,1,0))</f>
        <v>0</v>
      </c>
      <c r="K1379" s="47" t="n">
        <f aca="false">IF(J1379=1,N(I1379)+ROW()/10000000,0)</f>
        <v>0</v>
      </c>
      <c r="L1379" s="47" t="str">
        <f aca="false">IF(AND(J1379=1,N(I1379)&gt;0),SUMIF($K$2:$K$5001,"&gt;="&amp;K1379,$I$2:$I$5001)/MAX(1,SUM($H$2:$H$5001)),"")</f>
        <v/>
      </c>
      <c r="M1379" s="47" t="str">
        <f aca="false">IF($A1379="","",INDEX($L$2:$L$5001,MATCH($A1379,$A$2:$A$5001,0)))</f>
        <v/>
      </c>
      <c r="N1379" s="48" t="str">
        <f aca="false">IF($A1379="","",IF(N(M1379)=0,"–",IF(M1379&lt;=Start!$D$20,"A",IF(M1379&lt;=Start!$D$21,"B","C"))))</f>
        <v/>
      </c>
      <c r="O1379" s="48" t="str">
        <f aca="false">IF($A1379="","",IF(NOT(ISNUMBER(F1379)),"Wert fehlt; ",IF(F1379&lt;=0,"Wert ist 0; ",""))&amp;IF(NOT(ISNUMBER(E1379)),"Bestand fehlt; ",IF(E1379&lt;0,"Bestand negativ; ",IF(E1379=0,"Nullbestand; ","")))&amp;IF(D1379="","Warengruppe fehlt; ","")&amp;IF(B1379="","Bezeichnung fehlt; ","")&amp;IF(COUNTIFS($A$2:$A$5001,$A1379,$C$2:$C$5001,C1379)&gt;1,"Artikel doppelt im selben Lager; ",""))</f>
        <v/>
      </c>
      <c r="P1379" s="47" t="n">
        <f aca="false">IF(OR($A1379="",D1379=""),0,IF(COUNTIF($D$2:D1379,D1379)=1,SUMIF($D$2:$D$5001,D1379,$H$2:$H$5001)+ROW()/10000000,0))</f>
        <v>0</v>
      </c>
      <c r="Q1379" s="47" t="n">
        <f aca="false">IF(OR($A1379="",C1379=""),0,IF(COUNTIF($C$2:C1379,C1379)=1,SUMIF($C$2:$C$5001,C1379,$H$2:$H$5001)+ROW()/10000000,0))</f>
        <v>0</v>
      </c>
    </row>
    <row r="1380" customFormat="false" ht="15" hidden="false" customHeight="false" outlineLevel="0" collapsed="false">
      <c r="A1380" s="43"/>
      <c r="B1380" s="44"/>
      <c r="C1380" s="44"/>
      <c r="D1380" s="44"/>
      <c r="E1380" s="44"/>
      <c r="F1380" s="44"/>
      <c r="G1380" s="44"/>
      <c r="H1380" s="46" t="str">
        <f aca="false">IF($A1380="","",IF(OR(NOT(ISNUMBER(E1380)),NOT(ISNUMBER(F1380))),"",MAX(0,E1380)*F1380))</f>
        <v/>
      </c>
      <c r="I1380" s="46" t="str">
        <f aca="false">IF($A1380="","",SUMIF($A$2:$A$5001,$A1380,$H$2:$H$5001))</f>
        <v/>
      </c>
      <c r="J1380" s="47" t="n">
        <f aca="false">IF($A1380="",0,IF(COUNTIF($A$2:A1380,$A1380)=1,1,0))</f>
        <v>0</v>
      </c>
      <c r="K1380" s="47" t="n">
        <f aca="false">IF(J1380=1,N(I1380)+ROW()/10000000,0)</f>
        <v>0</v>
      </c>
      <c r="L1380" s="47" t="str">
        <f aca="false">IF(AND(J1380=1,N(I1380)&gt;0),SUMIF($K$2:$K$5001,"&gt;="&amp;K1380,$I$2:$I$5001)/MAX(1,SUM($H$2:$H$5001)),"")</f>
        <v/>
      </c>
      <c r="M1380" s="47" t="str">
        <f aca="false">IF($A1380="","",INDEX($L$2:$L$5001,MATCH($A1380,$A$2:$A$5001,0)))</f>
        <v/>
      </c>
      <c r="N1380" s="48" t="str">
        <f aca="false">IF($A1380="","",IF(N(M1380)=0,"–",IF(M1380&lt;=Start!$D$20,"A",IF(M1380&lt;=Start!$D$21,"B","C"))))</f>
        <v/>
      </c>
      <c r="O1380" s="48" t="str">
        <f aca="false">IF($A1380="","",IF(NOT(ISNUMBER(F1380)),"Wert fehlt; ",IF(F1380&lt;=0,"Wert ist 0; ",""))&amp;IF(NOT(ISNUMBER(E1380)),"Bestand fehlt; ",IF(E1380&lt;0,"Bestand negativ; ",IF(E1380=0,"Nullbestand; ","")))&amp;IF(D1380="","Warengruppe fehlt; ","")&amp;IF(B1380="","Bezeichnung fehlt; ","")&amp;IF(COUNTIFS($A$2:$A$5001,$A1380,$C$2:$C$5001,C1380)&gt;1,"Artikel doppelt im selben Lager; ",""))</f>
        <v/>
      </c>
      <c r="P1380" s="47" t="n">
        <f aca="false">IF(OR($A1380="",D1380=""),0,IF(COUNTIF($D$2:D1380,D1380)=1,SUMIF($D$2:$D$5001,D1380,$H$2:$H$5001)+ROW()/10000000,0))</f>
        <v>0</v>
      </c>
      <c r="Q1380" s="47" t="n">
        <f aca="false">IF(OR($A1380="",C1380=""),0,IF(COUNTIF($C$2:C1380,C1380)=1,SUMIF($C$2:$C$5001,C1380,$H$2:$H$5001)+ROW()/10000000,0))</f>
        <v>0</v>
      </c>
    </row>
    <row r="1381" customFormat="false" ht="15" hidden="false" customHeight="false" outlineLevel="0" collapsed="false">
      <c r="A1381" s="43"/>
      <c r="B1381" s="44"/>
      <c r="C1381" s="44"/>
      <c r="D1381" s="44"/>
      <c r="E1381" s="44"/>
      <c r="F1381" s="44"/>
      <c r="G1381" s="44"/>
      <c r="H1381" s="46" t="str">
        <f aca="false">IF($A1381="","",IF(OR(NOT(ISNUMBER(E1381)),NOT(ISNUMBER(F1381))),"",MAX(0,E1381)*F1381))</f>
        <v/>
      </c>
      <c r="I1381" s="46" t="str">
        <f aca="false">IF($A1381="","",SUMIF($A$2:$A$5001,$A1381,$H$2:$H$5001))</f>
        <v/>
      </c>
      <c r="J1381" s="47" t="n">
        <f aca="false">IF($A1381="",0,IF(COUNTIF($A$2:A1381,$A1381)=1,1,0))</f>
        <v>0</v>
      </c>
      <c r="K1381" s="47" t="n">
        <f aca="false">IF(J1381=1,N(I1381)+ROW()/10000000,0)</f>
        <v>0</v>
      </c>
      <c r="L1381" s="47" t="str">
        <f aca="false">IF(AND(J1381=1,N(I1381)&gt;0),SUMIF($K$2:$K$5001,"&gt;="&amp;K1381,$I$2:$I$5001)/MAX(1,SUM($H$2:$H$5001)),"")</f>
        <v/>
      </c>
      <c r="M1381" s="47" t="str">
        <f aca="false">IF($A1381="","",INDEX($L$2:$L$5001,MATCH($A1381,$A$2:$A$5001,0)))</f>
        <v/>
      </c>
      <c r="N1381" s="48" t="str">
        <f aca="false">IF($A1381="","",IF(N(M1381)=0,"–",IF(M1381&lt;=Start!$D$20,"A",IF(M1381&lt;=Start!$D$21,"B","C"))))</f>
        <v/>
      </c>
      <c r="O1381" s="48" t="str">
        <f aca="false">IF($A1381="","",IF(NOT(ISNUMBER(F1381)),"Wert fehlt; ",IF(F1381&lt;=0,"Wert ist 0; ",""))&amp;IF(NOT(ISNUMBER(E1381)),"Bestand fehlt; ",IF(E1381&lt;0,"Bestand negativ; ",IF(E1381=0,"Nullbestand; ","")))&amp;IF(D1381="","Warengruppe fehlt; ","")&amp;IF(B1381="","Bezeichnung fehlt; ","")&amp;IF(COUNTIFS($A$2:$A$5001,$A1381,$C$2:$C$5001,C1381)&gt;1,"Artikel doppelt im selben Lager; ",""))</f>
        <v/>
      </c>
      <c r="P1381" s="47" t="n">
        <f aca="false">IF(OR($A1381="",D1381=""),0,IF(COUNTIF($D$2:D1381,D1381)=1,SUMIF($D$2:$D$5001,D1381,$H$2:$H$5001)+ROW()/10000000,0))</f>
        <v>0</v>
      </c>
      <c r="Q1381" s="47" t="n">
        <f aca="false">IF(OR($A1381="",C1381=""),0,IF(COUNTIF($C$2:C1381,C1381)=1,SUMIF($C$2:$C$5001,C1381,$H$2:$H$5001)+ROW()/10000000,0))</f>
        <v>0</v>
      </c>
    </row>
    <row r="1382" customFormat="false" ht="15" hidden="false" customHeight="false" outlineLevel="0" collapsed="false">
      <c r="A1382" s="43"/>
      <c r="B1382" s="44"/>
      <c r="C1382" s="44"/>
      <c r="D1382" s="44"/>
      <c r="E1382" s="44"/>
      <c r="F1382" s="44"/>
      <c r="G1382" s="44"/>
      <c r="H1382" s="46" t="str">
        <f aca="false">IF($A1382="","",IF(OR(NOT(ISNUMBER(E1382)),NOT(ISNUMBER(F1382))),"",MAX(0,E1382)*F1382))</f>
        <v/>
      </c>
      <c r="I1382" s="46" t="str">
        <f aca="false">IF($A1382="","",SUMIF($A$2:$A$5001,$A1382,$H$2:$H$5001))</f>
        <v/>
      </c>
      <c r="J1382" s="47" t="n">
        <f aca="false">IF($A1382="",0,IF(COUNTIF($A$2:A1382,$A1382)=1,1,0))</f>
        <v>0</v>
      </c>
      <c r="K1382" s="47" t="n">
        <f aca="false">IF(J1382=1,N(I1382)+ROW()/10000000,0)</f>
        <v>0</v>
      </c>
      <c r="L1382" s="47" t="str">
        <f aca="false">IF(AND(J1382=1,N(I1382)&gt;0),SUMIF($K$2:$K$5001,"&gt;="&amp;K1382,$I$2:$I$5001)/MAX(1,SUM($H$2:$H$5001)),"")</f>
        <v/>
      </c>
      <c r="M1382" s="47" t="str">
        <f aca="false">IF($A1382="","",INDEX($L$2:$L$5001,MATCH($A1382,$A$2:$A$5001,0)))</f>
        <v/>
      </c>
      <c r="N1382" s="48" t="str">
        <f aca="false">IF($A1382="","",IF(N(M1382)=0,"–",IF(M1382&lt;=Start!$D$20,"A",IF(M1382&lt;=Start!$D$21,"B","C"))))</f>
        <v/>
      </c>
      <c r="O1382" s="48" t="str">
        <f aca="false">IF($A1382="","",IF(NOT(ISNUMBER(F1382)),"Wert fehlt; ",IF(F1382&lt;=0,"Wert ist 0; ",""))&amp;IF(NOT(ISNUMBER(E1382)),"Bestand fehlt; ",IF(E1382&lt;0,"Bestand negativ; ",IF(E1382=0,"Nullbestand; ","")))&amp;IF(D1382="","Warengruppe fehlt; ","")&amp;IF(B1382="","Bezeichnung fehlt; ","")&amp;IF(COUNTIFS($A$2:$A$5001,$A1382,$C$2:$C$5001,C1382)&gt;1,"Artikel doppelt im selben Lager; ",""))</f>
        <v/>
      </c>
      <c r="P1382" s="47" t="n">
        <f aca="false">IF(OR($A1382="",D1382=""),0,IF(COUNTIF($D$2:D1382,D1382)=1,SUMIF($D$2:$D$5001,D1382,$H$2:$H$5001)+ROW()/10000000,0))</f>
        <v>0</v>
      </c>
      <c r="Q1382" s="47" t="n">
        <f aca="false">IF(OR($A1382="",C1382=""),0,IF(COUNTIF($C$2:C1382,C1382)=1,SUMIF($C$2:$C$5001,C1382,$H$2:$H$5001)+ROW()/10000000,0))</f>
        <v>0</v>
      </c>
    </row>
    <row r="1383" customFormat="false" ht="15" hidden="false" customHeight="false" outlineLevel="0" collapsed="false">
      <c r="A1383" s="43"/>
      <c r="B1383" s="44"/>
      <c r="C1383" s="44"/>
      <c r="D1383" s="44"/>
      <c r="E1383" s="44"/>
      <c r="F1383" s="44"/>
      <c r="G1383" s="44"/>
      <c r="H1383" s="46" t="str">
        <f aca="false">IF($A1383="","",IF(OR(NOT(ISNUMBER(E1383)),NOT(ISNUMBER(F1383))),"",MAX(0,E1383)*F1383))</f>
        <v/>
      </c>
      <c r="I1383" s="46" t="str">
        <f aca="false">IF($A1383="","",SUMIF($A$2:$A$5001,$A1383,$H$2:$H$5001))</f>
        <v/>
      </c>
      <c r="J1383" s="47" t="n">
        <f aca="false">IF($A1383="",0,IF(COUNTIF($A$2:A1383,$A1383)=1,1,0))</f>
        <v>0</v>
      </c>
      <c r="K1383" s="47" t="n">
        <f aca="false">IF(J1383=1,N(I1383)+ROW()/10000000,0)</f>
        <v>0</v>
      </c>
      <c r="L1383" s="47" t="str">
        <f aca="false">IF(AND(J1383=1,N(I1383)&gt;0),SUMIF($K$2:$K$5001,"&gt;="&amp;K1383,$I$2:$I$5001)/MAX(1,SUM($H$2:$H$5001)),"")</f>
        <v/>
      </c>
      <c r="M1383" s="47" t="str">
        <f aca="false">IF($A1383="","",INDEX($L$2:$L$5001,MATCH($A1383,$A$2:$A$5001,0)))</f>
        <v/>
      </c>
      <c r="N1383" s="48" t="str">
        <f aca="false">IF($A1383="","",IF(N(M1383)=0,"–",IF(M1383&lt;=Start!$D$20,"A",IF(M1383&lt;=Start!$D$21,"B","C"))))</f>
        <v/>
      </c>
      <c r="O1383" s="48" t="str">
        <f aca="false">IF($A1383="","",IF(NOT(ISNUMBER(F1383)),"Wert fehlt; ",IF(F1383&lt;=0,"Wert ist 0; ",""))&amp;IF(NOT(ISNUMBER(E1383)),"Bestand fehlt; ",IF(E1383&lt;0,"Bestand negativ; ",IF(E1383=0,"Nullbestand; ","")))&amp;IF(D1383="","Warengruppe fehlt; ","")&amp;IF(B1383="","Bezeichnung fehlt; ","")&amp;IF(COUNTIFS($A$2:$A$5001,$A1383,$C$2:$C$5001,C1383)&gt;1,"Artikel doppelt im selben Lager; ",""))</f>
        <v/>
      </c>
      <c r="P1383" s="47" t="n">
        <f aca="false">IF(OR($A1383="",D1383=""),0,IF(COUNTIF($D$2:D1383,D1383)=1,SUMIF($D$2:$D$5001,D1383,$H$2:$H$5001)+ROW()/10000000,0))</f>
        <v>0</v>
      </c>
      <c r="Q1383" s="47" t="n">
        <f aca="false">IF(OR($A1383="",C1383=""),0,IF(COUNTIF($C$2:C1383,C1383)=1,SUMIF($C$2:$C$5001,C1383,$H$2:$H$5001)+ROW()/10000000,0))</f>
        <v>0</v>
      </c>
    </row>
    <row r="1384" customFormat="false" ht="15" hidden="false" customHeight="false" outlineLevel="0" collapsed="false">
      <c r="A1384" s="43"/>
      <c r="B1384" s="44"/>
      <c r="C1384" s="44"/>
      <c r="D1384" s="44"/>
      <c r="E1384" s="44"/>
      <c r="F1384" s="44"/>
      <c r="G1384" s="44"/>
      <c r="H1384" s="46" t="str">
        <f aca="false">IF($A1384="","",IF(OR(NOT(ISNUMBER(E1384)),NOT(ISNUMBER(F1384))),"",MAX(0,E1384)*F1384))</f>
        <v/>
      </c>
      <c r="I1384" s="46" t="str">
        <f aca="false">IF($A1384="","",SUMIF($A$2:$A$5001,$A1384,$H$2:$H$5001))</f>
        <v/>
      </c>
      <c r="J1384" s="47" t="n">
        <f aca="false">IF($A1384="",0,IF(COUNTIF($A$2:A1384,$A1384)=1,1,0))</f>
        <v>0</v>
      </c>
      <c r="K1384" s="47" t="n">
        <f aca="false">IF(J1384=1,N(I1384)+ROW()/10000000,0)</f>
        <v>0</v>
      </c>
      <c r="L1384" s="47" t="str">
        <f aca="false">IF(AND(J1384=1,N(I1384)&gt;0),SUMIF($K$2:$K$5001,"&gt;="&amp;K1384,$I$2:$I$5001)/MAX(1,SUM($H$2:$H$5001)),"")</f>
        <v/>
      </c>
      <c r="M1384" s="47" t="str">
        <f aca="false">IF($A1384="","",INDEX($L$2:$L$5001,MATCH($A1384,$A$2:$A$5001,0)))</f>
        <v/>
      </c>
      <c r="N1384" s="48" t="str">
        <f aca="false">IF($A1384="","",IF(N(M1384)=0,"–",IF(M1384&lt;=Start!$D$20,"A",IF(M1384&lt;=Start!$D$21,"B","C"))))</f>
        <v/>
      </c>
      <c r="O1384" s="48" t="str">
        <f aca="false">IF($A1384="","",IF(NOT(ISNUMBER(F1384)),"Wert fehlt; ",IF(F1384&lt;=0,"Wert ist 0; ",""))&amp;IF(NOT(ISNUMBER(E1384)),"Bestand fehlt; ",IF(E1384&lt;0,"Bestand negativ; ",IF(E1384=0,"Nullbestand; ","")))&amp;IF(D1384="","Warengruppe fehlt; ","")&amp;IF(B1384="","Bezeichnung fehlt; ","")&amp;IF(COUNTIFS($A$2:$A$5001,$A1384,$C$2:$C$5001,C1384)&gt;1,"Artikel doppelt im selben Lager; ",""))</f>
        <v/>
      </c>
      <c r="P1384" s="47" t="n">
        <f aca="false">IF(OR($A1384="",D1384=""),0,IF(COUNTIF($D$2:D1384,D1384)=1,SUMIF($D$2:$D$5001,D1384,$H$2:$H$5001)+ROW()/10000000,0))</f>
        <v>0</v>
      </c>
      <c r="Q1384" s="47" t="n">
        <f aca="false">IF(OR($A1384="",C1384=""),0,IF(COUNTIF($C$2:C1384,C1384)=1,SUMIF($C$2:$C$5001,C1384,$H$2:$H$5001)+ROW()/10000000,0))</f>
        <v>0</v>
      </c>
    </row>
    <row r="1385" customFormat="false" ht="15" hidden="false" customHeight="false" outlineLevel="0" collapsed="false">
      <c r="A1385" s="43"/>
      <c r="B1385" s="44"/>
      <c r="C1385" s="44"/>
      <c r="D1385" s="44"/>
      <c r="E1385" s="44"/>
      <c r="F1385" s="44"/>
      <c r="G1385" s="44"/>
      <c r="H1385" s="46" t="str">
        <f aca="false">IF($A1385="","",IF(OR(NOT(ISNUMBER(E1385)),NOT(ISNUMBER(F1385))),"",MAX(0,E1385)*F1385))</f>
        <v/>
      </c>
      <c r="I1385" s="46" t="str">
        <f aca="false">IF($A1385="","",SUMIF($A$2:$A$5001,$A1385,$H$2:$H$5001))</f>
        <v/>
      </c>
      <c r="J1385" s="47" t="n">
        <f aca="false">IF($A1385="",0,IF(COUNTIF($A$2:A1385,$A1385)=1,1,0))</f>
        <v>0</v>
      </c>
      <c r="K1385" s="47" t="n">
        <f aca="false">IF(J1385=1,N(I1385)+ROW()/10000000,0)</f>
        <v>0</v>
      </c>
      <c r="L1385" s="47" t="str">
        <f aca="false">IF(AND(J1385=1,N(I1385)&gt;0),SUMIF($K$2:$K$5001,"&gt;="&amp;K1385,$I$2:$I$5001)/MAX(1,SUM($H$2:$H$5001)),"")</f>
        <v/>
      </c>
      <c r="M1385" s="47" t="str">
        <f aca="false">IF($A1385="","",INDEX($L$2:$L$5001,MATCH($A1385,$A$2:$A$5001,0)))</f>
        <v/>
      </c>
      <c r="N1385" s="48" t="str">
        <f aca="false">IF($A1385="","",IF(N(M1385)=0,"–",IF(M1385&lt;=Start!$D$20,"A",IF(M1385&lt;=Start!$D$21,"B","C"))))</f>
        <v/>
      </c>
      <c r="O1385" s="48" t="str">
        <f aca="false">IF($A1385="","",IF(NOT(ISNUMBER(F1385)),"Wert fehlt; ",IF(F1385&lt;=0,"Wert ist 0; ",""))&amp;IF(NOT(ISNUMBER(E1385)),"Bestand fehlt; ",IF(E1385&lt;0,"Bestand negativ; ",IF(E1385=0,"Nullbestand; ","")))&amp;IF(D1385="","Warengruppe fehlt; ","")&amp;IF(B1385="","Bezeichnung fehlt; ","")&amp;IF(COUNTIFS($A$2:$A$5001,$A1385,$C$2:$C$5001,C1385)&gt;1,"Artikel doppelt im selben Lager; ",""))</f>
        <v/>
      </c>
      <c r="P1385" s="47" t="n">
        <f aca="false">IF(OR($A1385="",D1385=""),0,IF(COUNTIF($D$2:D1385,D1385)=1,SUMIF($D$2:$D$5001,D1385,$H$2:$H$5001)+ROW()/10000000,0))</f>
        <v>0</v>
      </c>
      <c r="Q1385" s="47" t="n">
        <f aca="false">IF(OR($A1385="",C1385=""),0,IF(COUNTIF($C$2:C1385,C1385)=1,SUMIF($C$2:$C$5001,C1385,$H$2:$H$5001)+ROW()/10000000,0))</f>
        <v>0</v>
      </c>
    </row>
    <row r="1386" customFormat="false" ht="15" hidden="false" customHeight="false" outlineLevel="0" collapsed="false">
      <c r="A1386" s="43"/>
      <c r="B1386" s="44"/>
      <c r="C1386" s="44"/>
      <c r="D1386" s="44"/>
      <c r="E1386" s="44"/>
      <c r="F1386" s="44"/>
      <c r="G1386" s="44"/>
      <c r="H1386" s="46" t="str">
        <f aca="false">IF($A1386="","",IF(OR(NOT(ISNUMBER(E1386)),NOT(ISNUMBER(F1386))),"",MAX(0,E1386)*F1386))</f>
        <v/>
      </c>
      <c r="I1386" s="46" t="str">
        <f aca="false">IF($A1386="","",SUMIF($A$2:$A$5001,$A1386,$H$2:$H$5001))</f>
        <v/>
      </c>
      <c r="J1386" s="47" t="n">
        <f aca="false">IF($A1386="",0,IF(COUNTIF($A$2:A1386,$A1386)=1,1,0))</f>
        <v>0</v>
      </c>
      <c r="K1386" s="47" t="n">
        <f aca="false">IF(J1386=1,N(I1386)+ROW()/10000000,0)</f>
        <v>0</v>
      </c>
      <c r="L1386" s="47" t="str">
        <f aca="false">IF(AND(J1386=1,N(I1386)&gt;0),SUMIF($K$2:$K$5001,"&gt;="&amp;K1386,$I$2:$I$5001)/MAX(1,SUM($H$2:$H$5001)),"")</f>
        <v/>
      </c>
      <c r="M1386" s="47" t="str">
        <f aca="false">IF($A1386="","",INDEX($L$2:$L$5001,MATCH($A1386,$A$2:$A$5001,0)))</f>
        <v/>
      </c>
      <c r="N1386" s="48" t="str">
        <f aca="false">IF($A1386="","",IF(N(M1386)=0,"–",IF(M1386&lt;=Start!$D$20,"A",IF(M1386&lt;=Start!$D$21,"B","C"))))</f>
        <v/>
      </c>
      <c r="O1386" s="48" t="str">
        <f aca="false">IF($A1386="","",IF(NOT(ISNUMBER(F1386)),"Wert fehlt; ",IF(F1386&lt;=0,"Wert ist 0; ",""))&amp;IF(NOT(ISNUMBER(E1386)),"Bestand fehlt; ",IF(E1386&lt;0,"Bestand negativ; ",IF(E1386=0,"Nullbestand; ","")))&amp;IF(D1386="","Warengruppe fehlt; ","")&amp;IF(B1386="","Bezeichnung fehlt; ","")&amp;IF(COUNTIFS($A$2:$A$5001,$A1386,$C$2:$C$5001,C1386)&gt;1,"Artikel doppelt im selben Lager; ",""))</f>
        <v/>
      </c>
      <c r="P1386" s="47" t="n">
        <f aca="false">IF(OR($A1386="",D1386=""),0,IF(COUNTIF($D$2:D1386,D1386)=1,SUMIF($D$2:$D$5001,D1386,$H$2:$H$5001)+ROW()/10000000,0))</f>
        <v>0</v>
      </c>
      <c r="Q1386" s="47" t="n">
        <f aca="false">IF(OR($A1386="",C1386=""),0,IF(COUNTIF($C$2:C1386,C1386)=1,SUMIF($C$2:$C$5001,C1386,$H$2:$H$5001)+ROW()/10000000,0))</f>
        <v>0</v>
      </c>
    </row>
    <row r="1387" customFormat="false" ht="15" hidden="false" customHeight="false" outlineLevel="0" collapsed="false">
      <c r="A1387" s="43"/>
      <c r="B1387" s="44"/>
      <c r="C1387" s="44"/>
      <c r="D1387" s="44"/>
      <c r="E1387" s="44"/>
      <c r="F1387" s="44"/>
      <c r="G1387" s="44"/>
      <c r="H1387" s="46" t="str">
        <f aca="false">IF($A1387="","",IF(OR(NOT(ISNUMBER(E1387)),NOT(ISNUMBER(F1387))),"",MAX(0,E1387)*F1387))</f>
        <v/>
      </c>
      <c r="I1387" s="46" t="str">
        <f aca="false">IF($A1387="","",SUMIF($A$2:$A$5001,$A1387,$H$2:$H$5001))</f>
        <v/>
      </c>
      <c r="J1387" s="47" t="n">
        <f aca="false">IF($A1387="",0,IF(COUNTIF($A$2:A1387,$A1387)=1,1,0))</f>
        <v>0</v>
      </c>
      <c r="K1387" s="47" t="n">
        <f aca="false">IF(J1387=1,N(I1387)+ROW()/10000000,0)</f>
        <v>0</v>
      </c>
      <c r="L1387" s="47" t="str">
        <f aca="false">IF(AND(J1387=1,N(I1387)&gt;0),SUMIF($K$2:$K$5001,"&gt;="&amp;K1387,$I$2:$I$5001)/MAX(1,SUM($H$2:$H$5001)),"")</f>
        <v/>
      </c>
      <c r="M1387" s="47" t="str">
        <f aca="false">IF($A1387="","",INDEX($L$2:$L$5001,MATCH($A1387,$A$2:$A$5001,0)))</f>
        <v/>
      </c>
      <c r="N1387" s="48" t="str">
        <f aca="false">IF($A1387="","",IF(N(M1387)=0,"–",IF(M1387&lt;=Start!$D$20,"A",IF(M1387&lt;=Start!$D$21,"B","C"))))</f>
        <v/>
      </c>
      <c r="O1387" s="48" t="str">
        <f aca="false">IF($A1387="","",IF(NOT(ISNUMBER(F1387)),"Wert fehlt; ",IF(F1387&lt;=0,"Wert ist 0; ",""))&amp;IF(NOT(ISNUMBER(E1387)),"Bestand fehlt; ",IF(E1387&lt;0,"Bestand negativ; ",IF(E1387=0,"Nullbestand; ","")))&amp;IF(D1387="","Warengruppe fehlt; ","")&amp;IF(B1387="","Bezeichnung fehlt; ","")&amp;IF(COUNTIFS($A$2:$A$5001,$A1387,$C$2:$C$5001,C1387)&gt;1,"Artikel doppelt im selben Lager; ",""))</f>
        <v/>
      </c>
      <c r="P1387" s="47" t="n">
        <f aca="false">IF(OR($A1387="",D1387=""),0,IF(COUNTIF($D$2:D1387,D1387)=1,SUMIF($D$2:$D$5001,D1387,$H$2:$H$5001)+ROW()/10000000,0))</f>
        <v>0</v>
      </c>
      <c r="Q1387" s="47" t="n">
        <f aca="false">IF(OR($A1387="",C1387=""),0,IF(COUNTIF($C$2:C1387,C1387)=1,SUMIF($C$2:$C$5001,C1387,$H$2:$H$5001)+ROW()/10000000,0))</f>
        <v>0</v>
      </c>
    </row>
    <row r="1388" customFormat="false" ht="15" hidden="false" customHeight="false" outlineLevel="0" collapsed="false">
      <c r="A1388" s="43"/>
      <c r="B1388" s="44"/>
      <c r="C1388" s="44"/>
      <c r="D1388" s="44"/>
      <c r="E1388" s="44"/>
      <c r="F1388" s="44"/>
      <c r="G1388" s="44"/>
      <c r="H1388" s="46" t="str">
        <f aca="false">IF($A1388="","",IF(OR(NOT(ISNUMBER(E1388)),NOT(ISNUMBER(F1388))),"",MAX(0,E1388)*F1388))</f>
        <v/>
      </c>
      <c r="I1388" s="46" t="str">
        <f aca="false">IF($A1388="","",SUMIF($A$2:$A$5001,$A1388,$H$2:$H$5001))</f>
        <v/>
      </c>
      <c r="J1388" s="47" t="n">
        <f aca="false">IF($A1388="",0,IF(COUNTIF($A$2:A1388,$A1388)=1,1,0))</f>
        <v>0</v>
      </c>
      <c r="K1388" s="47" t="n">
        <f aca="false">IF(J1388=1,N(I1388)+ROW()/10000000,0)</f>
        <v>0</v>
      </c>
      <c r="L1388" s="47" t="str">
        <f aca="false">IF(AND(J1388=1,N(I1388)&gt;0),SUMIF($K$2:$K$5001,"&gt;="&amp;K1388,$I$2:$I$5001)/MAX(1,SUM($H$2:$H$5001)),"")</f>
        <v/>
      </c>
      <c r="M1388" s="47" t="str">
        <f aca="false">IF($A1388="","",INDEX($L$2:$L$5001,MATCH($A1388,$A$2:$A$5001,0)))</f>
        <v/>
      </c>
      <c r="N1388" s="48" t="str">
        <f aca="false">IF($A1388="","",IF(N(M1388)=0,"–",IF(M1388&lt;=Start!$D$20,"A",IF(M1388&lt;=Start!$D$21,"B","C"))))</f>
        <v/>
      </c>
      <c r="O1388" s="48" t="str">
        <f aca="false">IF($A1388="","",IF(NOT(ISNUMBER(F1388)),"Wert fehlt; ",IF(F1388&lt;=0,"Wert ist 0; ",""))&amp;IF(NOT(ISNUMBER(E1388)),"Bestand fehlt; ",IF(E1388&lt;0,"Bestand negativ; ",IF(E1388=0,"Nullbestand; ","")))&amp;IF(D1388="","Warengruppe fehlt; ","")&amp;IF(B1388="","Bezeichnung fehlt; ","")&amp;IF(COUNTIFS($A$2:$A$5001,$A1388,$C$2:$C$5001,C1388)&gt;1,"Artikel doppelt im selben Lager; ",""))</f>
        <v/>
      </c>
      <c r="P1388" s="47" t="n">
        <f aca="false">IF(OR($A1388="",D1388=""),0,IF(COUNTIF($D$2:D1388,D1388)=1,SUMIF($D$2:$D$5001,D1388,$H$2:$H$5001)+ROW()/10000000,0))</f>
        <v>0</v>
      </c>
      <c r="Q1388" s="47" t="n">
        <f aca="false">IF(OR($A1388="",C1388=""),0,IF(COUNTIF($C$2:C1388,C1388)=1,SUMIF($C$2:$C$5001,C1388,$H$2:$H$5001)+ROW()/10000000,0))</f>
        <v>0</v>
      </c>
    </row>
    <row r="1389" customFormat="false" ht="15" hidden="false" customHeight="false" outlineLevel="0" collapsed="false">
      <c r="A1389" s="43"/>
      <c r="B1389" s="44"/>
      <c r="C1389" s="44"/>
      <c r="D1389" s="44"/>
      <c r="E1389" s="44"/>
      <c r="F1389" s="44"/>
      <c r="G1389" s="44"/>
      <c r="H1389" s="46" t="str">
        <f aca="false">IF($A1389="","",IF(OR(NOT(ISNUMBER(E1389)),NOT(ISNUMBER(F1389))),"",MAX(0,E1389)*F1389))</f>
        <v/>
      </c>
      <c r="I1389" s="46" t="str">
        <f aca="false">IF($A1389="","",SUMIF($A$2:$A$5001,$A1389,$H$2:$H$5001))</f>
        <v/>
      </c>
      <c r="J1389" s="47" t="n">
        <f aca="false">IF($A1389="",0,IF(COUNTIF($A$2:A1389,$A1389)=1,1,0))</f>
        <v>0</v>
      </c>
      <c r="K1389" s="47" t="n">
        <f aca="false">IF(J1389=1,N(I1389)+ROW()/10000000,0)</f>
        <v>0</v>
      </c>
      <c r="L1389" s="47" t="str">
        <f aca="false">IF(AND(J1389=1,N(I1389)&gt;0),SUMIF($K$2:$K$5001,"&gt;="&amp;K1389,$I$2:$I$5001)/MAX(1,SUM($H$2:$H$5001)),"")</f>
        <v/>
      </c>
      <c r="M1389" s="47" t="str">
        <f aca="false">IF($A1389="","",INDEX($L$2:$L$5001,MATCH($A1389,$A$2:$A$5001,0)))</f>
        <v/>
      </c>
      <c r="N1389" s="48" t="str">
        <f aca="false">IF($A1389="","",IF(N(M1389)=0,"–",IF(M1389&lt;=Start!$D$20,"A",IF(M1389&lt;=Start!$D$21,"B","C"))))</f>
        <v/>
      </c>
      <c r="O1389" s="48" t="str">
        <f aca="false">IF($A1389="","",IF(NOT(ISNUMBER(F1389)),"Wert fehlt; ",IF(F1389&lt;=0,"Wert ist 0; ",""))&amp;IF(NOT(ISNUMBER(E1389)),"Bestand fehlt; ",IF(E1389&lt;0,"Bestand negativ; ",IF(E1389=0,"Nullbestand; ","")))&amp;IF(D1389="","Warengruppe fehlt; ","")&amp;IF(B1389="","Bezeichnung fehlt; ","")&amp;IF(COUNTIFS($A$2:$A$5001,$A1389,$C$2:$C$5001,C1389)&gt;1,"Artikel doppelt im selben Lager; ",""))</f>
        <v/>
      </c>
      <c r="P1389" s="47" t="n">
        <f aca="false">IF(OR($A1389="",D1389=""),0,IF(COUNTIF($D$2:D1389,D1389)=1,SUMIF($D$2:$D$5001,D1389,$H$2:$H$5001)+ROW()/10000000,0))</f>
        <v>0</v>
      </c>
      <c r="Q1389" s="47" t="n">
        <f aca="false">IF(OR($A1389="",C1389=""),0,IF(COUNTIF($C$2:C1389,C1389)=1,SUMIF($C$2:$C$5001,C1389,$H$2:$H$5001)+ROW()/10000000,0))</f>
        <v>0</v>
      </c>
    </row>
    <row r="1390" customFormat="false" ht="15" hidden="false" customHeight="false" outlineLevel="0" collapsed="false">
      <c r="A1390" s="43"/>
      <c r="B1390" s="44"/>
      <c r="C1390" s="44"/>
      <c r="D1390" s="44"/>
      <c r="E1390" s="44"/>
      <c r="F1390" s="44"/>
      <c r="G1390" s="44"/>
      <c r="H1390" s="46" t="str">
        <f aca="false">IF($A1390="","",IF(OR(NOT(ISNUMBER(E1390)),NOT(ISNUMBER(F1390))),"",MAX(0,E1390)*F1390))</f>
        <v/>
      </c>
      <c r="I1390" s="46" t="str">
        <f aca="false">IF($A1390="","",SUMIF($A$2:$A$5001,$A1390,$H$2:$H$5001))</f>
        <v/>
      </c>
      <c r="J1390" s="47" t="n">
        <f aca="false">IF($A1390="",0,IF(COUNTIF($A$2:A1390,$A1390)=1,1,0))</f>
        <v>0</v>
      </c>
      <c r="K1390" s="47" t="n">
        <f aca="false">IF(J1390=1,N(I1390)+ROW()/10000000,0)</f>
        <v>0</v>
      </c>
      <c r="L1390" s="47" t="str">
        <f aca="false">IF(AND(J1390=1,N(I1390)&gt;0),SUMIF($K$2:$K$5001,"&gt;="&amp;K1390,$I$2:$I$5001)/MAX(1,SUM($H$2:$H$5001)),"")</f>
        <v/>
      </c>
      <c r="M1390" s="47" t="str">
        <f aca="false">IF($A1390="","",INDEX($L$2:$L$5001,MATCH($A1390,$A$2:$A$5001,0)))</f>
        <v/>
      </c>
      <c r="N1390" s="48" t="str">
        <f aca="false">IF($A1390="","",IF(N(M1390)=0,"–",IF(M1390&lt;=Start!$D$20,"A",IF(M1390&lt;=Start!$D$21,"B","C"))))</f>
        <v/>
      </c>
      <c r="O1390" s="48" t="str">
        <f aca="false">IF($A1390="","",IF(NOT(ISNUMBER(F1390)),"Wert fehlt; ",IF(F1390&lt;=0,"Wert ist 0; ",""))&amp;IF(NOT(ISNUMBER(E1390)),"Bestand fehlt; ",IF(E1390&lt;0,"Bestand negativ; ",IF(E1390=0,"Nullbestand; ","")))&amp;IF(D1390="","Warengruppe fehlt; ","")&amp;IF(B1390="","Bezeichnung fehlt; ","")&amp;IF(COUNTIFS($A$2:$A$5001,$A1390,$C$2:$C$5001,C1390)&gt;1,"Artikel doppelt im selben Lager; ",""))</f>
        <v/>
      </c>
      <c r="P1390" s="47" t="n">
        <f aca="false">IF(OR($A1390="",D1390=""),0,IF(COUNTIF($D$2:D1390,D1390)=1,SUMIF($D$2:$D$5001,D1390,$H$2:$H$5001)+ROW()/10000000,0))</f>
        <v>0</v>
      </c>
      <c r="Q1390" s="47" t="n">
        <f aca="false">IF(OR($A1390="",C1390=""),0,IF(COUNTIF($C$2:C1390,C1390)=1,SUMIF($C$2:$C$5001,C1390,$H$2:$H$5001)+ROW()/10000000,0))</f>
        <v>0</v>
      </c>
    </row>
    <row r="1391" customFormat="false" ht="15" hidden="false" customHeight="false" outlineLevel="0" collapsed="false">
      <c r="A1391" s="43"/>
      <c r="B1391" s="44"/>
      <c r="C1391" s="44"/>
      <c r="D1391" s="44"/>
      <c r="E1391" s="44"/>
      <c r="F1391" s="44"/>
      <c r="G1391" s="44"/>
      <c r="H1391" s="46" t="str">
        <f aca="false">IF($A1391="","",IF(OR(NOT(ISNUMBER(E1391)),NOT(ISNUMBER(F1391))),"",MAX(0,E1391)*F1391))</f>
        <v/>
      </c>
      <c r="I1391" s="46" t="str">
        <f aca="false">IF($A1391="","",SUMIF($A$2:$A$5001,$A1391,$H$2:$H$5001))</f>
        <v/>
      </c>
      <c r="J1391" s="47" t="n">
        <f aca="false">IF($A1391="",0,IF(COUNTIF($A$2:A1391,$A1391)=1,1,0))</f>
        <v>0</v>
      </c>
      <c r="K1391" s="47" t="n">
        <f aca="false">IF(J1391=1,N(I1391)+ROW()/10000000,0)</f>
        <v>0</v>
      </c>
      <c r="L1391" s="47" t="str">
        <f aca="false">IF(AND(J1391=1,N(I1391)&gt;0),SUMIF($K$2:$K$5001,"&gt;="&amp;K1391,$I$2:$I$5001)/MAX(1,SUM($H$2:$H$5001)),"")</f>
        <v/>
      </c>
      <c r="M1391" s="47" t="str">
        <f aca="false">IF($A1391="","",INDEX($L$2:$L$5001,MATCH($A1391,$A$2:$A$5001,0)))</f>
        <v/>
      </c>
      <c r="N1391" s="48" t="str">
        <f aca="false">IF($A1391="","",IF(N(M1391)=0,"–",IF(M1391&lt;=Start!$D$20,"A",IF(M1391&lt;=Start!$D$21,"B","C"))))</f>
        <v/>
      </c>
      <c r="O1391" s="48" t="str">
        <f aca="false">IF($A1391="","",IF(NOT(ISNUMBER(F1391)),"Wert fehlt; ",IF(F1391&lt;=0,"Wert ist 0; ",""))&amp;IF(NOT(ISNUMBER(E1391)),"Bestand fehlt; ",IF(E1391&lt;0,"Bestand negativ; ",IF(E1391=0,"Nullbestand; ","")))&amp;IF(D1391="","Warengruppe fehlt; ","")&amp;IF(B1391="","Bezeichnung fehlt; ","")&amp;IF(COUNTIFS($A$2:$A$5001,$A1391,$C$2:$C$5001,C1391)&gt;1,"Artikel doppelt im selben Lager; ",""))</f>
        <v/>
      </c>
      <c r="P1391" s="47" t="n">
        <f aca="false">IF(OR($A1391="",D1391=""),0,IF(COUNTIF($D$2:D1391,D1391)=1,SUMIF($D$2:$D$5001,D1391,$H$2:$H$5001)+ROW()/10000000,0))</f>
        <v>0</v>
      </c>
      <c r="Q1391" s="47" t="n">
        <f aca="false">IF(OR($A1391="",C1391=""),0,IF(COUNTIF($C$2:C1391,C1391)=1,SUMIF($C$2:$C$5001,C1391,$H$2:$H$5001)+ROW()/10000000,0))</f>
        <v>0</v>
      </c>
    </row>
    <row r="1392" customFormat="false" ht="15" hidden="false" customHeight="false" outlineLevel="0" collapsed="false">
      <c r="A1392" s="43"/>
      <c r="B1392" s="44"/>
      <c r="C1392" s="44"/>
      <c r="D1392" s="44"/>
      <c r="E1392" s="44"/>
      <c r="F1392" s="44"/>
      <c r="G1392" s="44"/>
      <c r="H1392" s="46" t="str">
        <f aca="false">IF($A1392="","",IF(OR(NOT(ISNUMBER(E1392)),NOT(ISNUMBER(F1392))),"",MAX(0,E1392)*F1392))</f>
        <v/>
      </c>
      <c r="I1392" s="46" t="str">
        <f aca="false">IF($A1392="","",SUMIF($A$2:$A$5001,$A1392,$H$2:$H$5001))</f>
        <v/>
      </c>
      <c r="J1392" s="47" t="n">
        <f aca="false">IF($A1392="",0,IF(COUNTIF($A$2:A1392,$A1392)=1,1,0))</f>
        <v>0</v>
      </c>
      <c r="K1392" s="47" t="n">
        <f aca="false">IF(J1392=1,N(I1392)+ROW()/10000000,0)</f>
        <v>0</v>
      </c>
      <c r="L1392" s="47" t="str">
        <f aca="false">IF(AND(J1392=1,N(I1392)&gt;0),SUMIF($K$2:$K$5001,"&gt;="&amp;K1392,$I$2:$I$5001)/MAX(1,SUM($H$2:$H$5001)),"")</f>
        <v/>
      </c>
      <c r="M1392" s="47" t="str">
        <f aca="false">IF($A1392="","",INDEX($L$2:$L$5001,MATCH($A1392,$A$2:$A$5001,0)))</f>
        <v/>
      </c>
      <c r="N1392" s="48" t="str">
        <f aca="false">IF($A1392="","",IF(N(M1392)=0,"–",IF(M1392&lt;=Start!$D$20,"A",IF(M1392&lt;=Start!$D$21,"B","C"))))</f>
        <v/>
      </c>
      <c r="O1392" s="48" t="str">
        <f aca="false">IF($A1392="","",IF(NOT(ISNUMBER(F1392)),"Wert fehlt; ",IF(F1392&lt;=0,"Wert ist 0; ",""))&amp;IF(NOT(ISNUMBER(E1392)),"Bestand fehlt; ",IF(E1392&lt;0,"Bestand negativ; ",IF(E1392=0,"Nullbestand; ","")))&amp;IF(D1392="","Warengruppe fehlt; ","")&amp;IF(B1392="","Bezeichnung fehlt; ","")&amp;IF(COUNTIFS($A$2:$A$5001,$A1392,$C$2:$C$5001,C1392)&gt;1,"Artikel doppelt im selben Lager; ",""))</f>
        <v/>
      </c>
      <c r="P1392" s="47" t="n">
        <f aca="false">IF(OR($A1392="",D1392=""),0,IF(COUNTIF($D$2:D1392,D1392)=1,SUMIF($D$2:$D$5001,D1392,$H$2:$H$5001)+ROW()/10000000,0))</f>
        <v>0</v>
      </c>
      <c r="Q1392" s="47" t="n">
        <f aca="false">IF(OR($A1392="",C1392=""),0,IF(COUNTIF($C$2:C1392,C1392)=1,SUMIF($C$2:$C$5001,C1392,$H$2:$H$5001)+ROW()/10000000,0))</f>
        <v>0</v>
      </c>
    </row>
    <row r="1393" customFormat="false" ht="15" hidden="false" customHeight="false" outlineLevel="0" collapsed="false">
      <c r="A1393" s="43"/>
      <c r="B1393" s="44"/>
      <c r="C1393" s="44"/>
      <c r="D1393" s="44"/>
      <c r="E1393" s="44"/>
      <c r="F1393" s="44"/>
      <c r="G1393" s="44"/>
      <c r="H1393" s="46" t="str">
        <f aca="false">IF($A1393="","",IF(OR(NOT(ISNUMBER(E1393)),NOT(ISNUMBER(F1393))),"",MAX(0,E1393)*F1393))</f>
        <v/>
      </c>
      <c r="I1393" s="46" t="str">
        <f aca="false">IF($A1393="","",SUMIF($A$2:$A$5001,$A1393,$H$2:$H$5001))</f>
        <v/>
      </c>
      <c r="J1393" s="47" t="n">
        <f aca="false">IF($A1393="",0,IF(COUNTIF($A$2:A1393,$A1393)=1,1,0))</f>
        <v>0</v>
      </c>
      <c r="K1393" s="47" t="n">
        <f aca="false">IF(J1393=1,N(I1393)+ROW()/10000000,0)</f>
        <v>0</v>
      </c>
      <c r="L1393" s="47" t="str">
        <f aca="false">IF(AND(J1393=1,N(I1393)&gt;0),SUMIF($K$2:$K$5001,"&gt;="&amp;K1393,$I$2:$I$5001)/MAX(1,SUM($H$2:$H$5001)),"")</f>
        <v/>
      </c>
      <c r="M1393" s="47" t="str">
        <f aca="false">IF($A1393="","",INDEX($L$2:$L$5001,MATCH($A1393,$A$2:$A$5001,0)))</f>
        <v/>
      </c>
      <c r="N1393" s="48" t="str">
        <f aca="false">IF($A1393="","",IF(N(M1393)=0,"–",IF(M1393&lt;=Start!$D$20,"A",IF(M1393&lt;=Start!$D$21,"B","C"))))</f>
        <v/>
      </c>
      <c r="O1393" s="48" t="str">
        <f aca="false">IF($A1393="","",IF(NOT(ISNUMBER(F1393)),"Wert fehlt; ",IF(F1393&lt;=0,"Wert ist 0; ",""))&amp;IF(NOT(ISNUMBER(E1393)),"Bestand fehlt; ",IF(E1393&lt;0,"Bestand negativ; ",IF(E1393=0,"Nullbestand; ","")))&amp;IF(D1393="","Warengruppe fehlt; ","")&amp;IF(B1393="","Bezeichnung fehlt; ","")&amp;IF(COUNTIFS($A$2:$A$5001,$A1393,$C$2:$C$5001,C1393)&gt;1,"Artikel doppelt im selben Lager; ",""))</f>
        <v/>
      </c>
      <c r="P1393" s="47" t="n">
        <f aca="false">IF(OR($A1393="",D1393=""),0,IF(COUNTIF($D$2:D1393,D1393)=1,SUMIF($D$2:$D$5001,D1393,$H$2:$H$5001)+ROW()/10000000,0))</f>
        <v>0</v>
      </c>
      <c r="Q1393" s="47" t="n">
        <f aca="false">IF(OR($A1393="",C1393=""),0,IF(COUNTIF($C$2:C1393,C1393)=1,SUMIF($C$2:$C$5001,C1393,$H$2:$H$5001)+ROW()/10000000,0))</f>
        <v>0</v>
      </c>
    </row>
    <row r="1394" customFormat="false" ht="15" hidden="false" customHeight="false" outlineLevel="0" collapsed="false">
      <c r="A1394" s="43"/>
      <c r="B1394" s="44"/>
      <c r="C1394" s="44"/>
      <c r="D1394" s="44"/>
      <c r="E1394" s="44"/>
      <c r="F1394" s="44"/>
      <c r="G1394" s="44"/>
      <c r="H1394" s="46" t="str">
        <f aca="false">IF($A1394="","",IF(OR(NOT(ISNUMBER(E1394)),NOT(ISNUMBER(F1394))),"",MAX(0,E1394)*F1394))</f>
        <v/>
      </c>
      <c r="I1394" s="46" t="str">
        <f aca="false">IF($A1394="","",SUMIF($A$2:$A$5001,$A1394,$H$2:$H$5001))</f>
        <v/>
      </c>
      <c r="J1394" s="47" t="n">
        <f aca="false">IF($A1394="",0,IF(COUNTIF($A$2:A1394,$A1394)=1,1,0))</f>
        <v>0</v>
      </c>
      <c r="K1394" s="47" t="n">
        <f aca="false">IF(J1394=1,N(I1394)+ROW()/10000000,0)</f>
        <v>0</v>
      </c>
      <c r="L1394" s="47" t="str">
        <f aca="false">IF(AND(J1394=1,N(I1394)&gt;0),SUMIF($K$2:$K$5001,"&gt;="&amp;K1394,$I$2:$I$5001)/MAX(1,SUM($H$2:$H$5001)),"")</f>
        <v/>
      </c>
      <c r="M1394" s="47" t="str">
        <f aca="false">IF($A1394="","",INDEX($L$2:$L$5001,MATCH($A1394,$A$2:$A$5001,0)))</f>
        <v/>
      </c>
      <c r="N1394" s="48" t="str">
        <f aca="false">IF($A1394="","",IF(N(M1394)=0,"–",IF(M1394&lt;=Start!$D$20,"A",IF(M1394&lt;=Start!$D$21,"B","C"))))</f>
        <v/>
      </c>
      <c r="O1394" s="48" t="str">
        <f aca="false">IF($A1394="","",IF(NOT(ISNUMBER(F1394)),"Wert fehlt; ",IF(F1394&lt;=0,"Wert ist 0; ",""))&amp;IF(NOT(ISNUMBER(E1394)),"Bestand fehlt; ",IF(E1394&lt;0,"Bestand negativ; ",IF(E1394=0,"Nullbestand; ","")))&amp;IF(D1394="","Warengruppe fehlt; ","")&amp;IF(B1394="","Bezeichnung fehlt; ","")&amp;IF(COUNTIFS($A$2:$A$5001,$A1394,$C$2:$C$5001,C1394)&gt;1,"Artikel doppelt im selben Lager; ",""))</f>
        <v/>
      </c>
      <c r="P1394" s="47" t="n">
        <f aca="false">IF(OR($A1394="",D1394=""),0,IF(COUNTIF($D$2:D1394,D1394)=1,SUMIF($D$2:$D$5001,D1394,$H$2:$H$5001)+ROW()/10000000,0))</f>
        <v>0</v>
      </c>
      <c r="Q1394" s="47" t="n">
        <f aca="false">IF(OR($A1394="",C1394=""),0,IF(COUNTIF($C$2:C1394,C1394)=1,SUMIF($C$2:$C$5001,C1394,$H$2:$H$5001)+ROW()/10000000,0))</f>
        <v>0</v>
      </c>
    </row>
    <row r="1395" customFormat="false" ht="15" hidden="false" customHeight="false" outlineLevel="0" collapsed="false">
      <c r="A1395" s="43"/>
      <c r="B1395" s="44"/>
      <c r="C1395" s="44"/>
      <c r="D1395" s="44"/>
      <c r="E1395" s="44"/>
      <c r="F1395" s="44"/>
      <c r="G1395" s="44"/>
      <c r="H1395" s="46" t="str">
        <f aca="false">IF($A1395="","",IF(OR(NOT(ISNUMBER(E1395)),NOT(ISNUMBER(F1395))),"",MAX(0,E1395)*F1395))</f>
        <v/>
      </c>
      <c r="I1395" s="46" t="str">
        <f aca="false">IF($A1395="","",SUMIF($A$2:$A$5001,$A1395,$H$2:$H$5001))</f>
        <v/>
      </c>
      <c r="J1395" s="47" t="n">
        <f aca="false">IF($A1395="",0,IF(COUNTIF($A$2:A1395,$A1395)=1,1,0))</f>
        <v>0</v>
      </c>
      <c r="K1395" s="47" t="n">
        <f aca="false">IF(J1395=1,N(I1395)+ROW()/10000000,0)</f>
        <v>0</v>
      </c>
      <c r="L1395" s="47" t="str">
        <f aca="false">IF(AND(J1395=1,N(I1395)&gt;0),SUMIF($K$2:$K$5001,"&gt;="&amp;K1395,$I$2:$I$5001)/MAX(1,SUM($H$2:$H$5001)),"")</f>
        <v/>
      </c>
      <c r="M1395" s="47" t="str">
        <f aca="false">IF($A1395="","",INDEX($L$2:$L$5001,MATCH($A1395,$A$2:$A$5001,0)))</f>
        <v/>
      </c>
      <c r="N1395" s="48" t="str">
        <f aca="false">IF($A1395="","",IF(N(M1395)=0,"–",IF(M1395&lt;=Start!$D$20,"A",IF(M1395&lt;=Start!$D$21,"B","C"))))</f>
        <v/>
      </c>
      <c r="O1395" s="48" t="str">
        <f aca="false">IF($A1395="","",IF(NOT(ISNUMBER(F1395)),"Wert fehlt; ",IF(F1395&lt;=0,"Wert ist 0; ",""))&amp;IF(NOT(ISNUMBER(E1395)),"Bestand fehlt; ",IF(E1395&lt;0,"Bestand negativ; ",IF(E1395=0,"Nullbestand; ","")))&amp;IF(D1395="","Warengruppe fehlt; ","")&amp;IF(B1395="","Bezeichnung fehlt; ","")&amp;IF(COUNTIFS($A$2:$A$5001,$A1395,$C$2:$C$5001,C1395)&gt;1,"Artikel doppelt im selben Lager; ",""))</f>
        <v/>
      </c>
      <c r="P1395" s="47" t="n">
        <f aca="false">IF(OR($A1395="",D1395=""),0,IF(COUNTIF($D$2:D1395,D1395)=1,SUMIF($D$2:$D$5001,D1395,$H$2:$H$5001)+ROW()/10000000,0))</f>
        <v>0</v>
      </c>
      <c r="Q1395" s="47" t="n">
        <f aca="false">IF(OR($A1395="",C1395=""),0,IF(COUNTIF($C$2:C1395,C1395)=1,SUMIF($C$2:$C$5001,C1395,$H$2:$H$5001)+ROW()/10000000,0))</f>
        <v>0</v>
      </c>
    </row>
    <row r="1396" customFormat="false" ht="15" hidden="false" customHeight="false" outlineLevel="0" collapsed="false">
      <c r="A1396" s="43"/>
      <c r="B1396" s="44"/>
      <c r="C1396" s="44"/>
      <c r="D1396" s="44"/>
      <c r="E1396" s="44"/>
      <c r="F1396" s="44"/>
      <c r="G1396" s="44"/>
      <c r="H1396" s="46" t="str">
        <f aca="false">IF($A1396="","",IF(OR(NOT(ISNUMBER(E1396)),NOT(ISNUMBER(F1396))),"",MAX(0,E1396)*F1396))</f>
        <v/>
      </c>
      <c r="I1396" s="46" t="str">
        <f aca="false">IF($A1396="","",SUMIF($A$2:$A$5001,$A1396,$H$2:$H$5001))</f>
        <v/>
      </c>
      <c r="J1396" s="47" t="n">
        <f aca="false">IF($A1396="",0,IF(COUNTIF($A$2:A1396,$A1396)=1,1,0))</f>
        <v>0</v>
      </c>
      <c r="K1396" s="47" t="n">
        <f aca="false">IF(J1396=1,N(I1396)+ROW()/10000000,0)</f>
        <v>0</v>
      </c>
      <c r="L1396" s="47" t="str">
        <f aca="false">IF(AND(J1396=1,N(I1396)&gt;0),SUMIF($K$2:$K$5001,"&gt;="&amp;K1396,$I$2:$I$5001)/MAX(1,SUM($H$2:$H$5001)),"")</f>
        <v/>
      </c>
      <c r="M1396" s="47" t="str">
        <f aca="false">IF($A1396="","",INDEX($L$2:$L$5001,MATCH($A1396,$A$2:$A$5001,0)))</f>
        <v/>
      </c>
      <c r="N1396" s="48" t="str">
        <f aca="false">IF($A1396="","",IF(N(M1396)=0,"–",IF(M1396&lt;=Start!$D$20,"A",IF(M1396&lt;=Start!$D$21,"B","C"))))</f>
        <v/>
      </c>
      <c r="O1396" s="48" t="str">
        <f aca="false">IF($A1396="","",IF(NOT(ISNUMBER(F1396)),"Wert fehlt; ",IF(F1396&lt;=0,"Wert ist 0; ",""))&amp;IF(NOT(ISNUMBER(E1396)),"Bestand fehlt; ",IF(E1396&lt;0,"Bestand negativ; ",IF(E1396=0,"Nullbestand; ","")))&amp;IF(D1396="","Warengruppe fehlt; ","")&amp;IF(B1396="","Bezeichnung fehlt; ","")&amp;IF(COUNTIFS($A$2:$A$5001,$A1396,$C$2:$C$5001,C1396)&gt;1,"Artikel doppelt im selben Lager; ",""))</f>
        <v/>
      </c>
      <c r="P1396" s="47" t="n">
        <f aca="false">IF(OR($A1396="",D1396=""),0,IF(COUNTIF($D$2:D1396,D1396)=1,SUMIF($D$2:$D$5001,D1396,$H$2:$H$5001)+ROW()/10000000,0))</f>
        <v>0</v>
      </c>
      <c r="Q1396" s="47" t="n">
        <f aca="false">IF(OR($A1396="",C1396=""),0,IF(COUNTIF($C$2:C1396,C1396)=1,SUMIF($C$2:$C$5001,C1396,$H$2:$H$5001)+ROW()/10000000,0))</f>
        <v>0</v>
      </c>
    </row>
    <row r="1397" customFormat="false" ht="15" hidden="false" customHeight="false" outlineLevel="0" collapsed="false">
      <c r="A1397" s="43"/>
      <c r="B1397" s="44"/>
      <c r="C1397" s="44"/>
      <c r="D1397" s="44"/>
      <c r="E1397" s="44"/>
      <c r="F1397" s="44"/>
      <c r="G1397" s="44"/>
      <c r="H1397" s="46" t="str">
        <f aca="false">IF($A1397="","",IF(OR(NOT(ISNUMBER(E1397)),NOT(ISNUMBER(F1397))),"",MAX(0,E1397)*F1397))</f>
        <v/>
      </c>
      <c r="I1397" s="46" t="str">
        <f aca="false">IF($A1397="","",SUMIF($A$2:$A$5001,$A1397,$H$2:$H$5001))</f>
        <v/>
      </c>
      <c r="J1397" s="47" t="n">
        <f aca="false">IF($A1397="",0,IF(COUNTIF($A$2:A1397,$A1397)=1,1,0))</f>
        <v>0</v>
      </c>
      <c r="K1397" s="47" t="n">
        <f aca="false">IF(J1397=1,N(I1397)+ROW()/10000000,0)</f>
        <v>0</v>
      </c>
      <c r="L1397" s="47" t="str">
        <f aca="false">IF(AND(J1397=1,N(I1397)&gt;0),SUMIF($K$2:$K$5001,"&gt;="&amp;K1397,$I$2:$I$5001)/MAX(1,SUM($H$2:$H$5001)),"")</f>
        <v/>
      </c>
      <c r="M1397" s="47" t="str">
        <f aca="false">IF($A1397="","",INDEX($L$2:$L$5001,MATCH($A1397,$A$2:$A$5001,0)))</f>
        <v/>
      </c>
      <c r="N1397" s="48" t="str">
        <f aca="false">IF($A1397="","",IF(N(M1397)=0,"–",IF(M1397&lt;=Start!$D$20,"A",IF(M1397&lt;=Start!$D$21,"B","C"))))</f>
        <v/>
      </c>
      <c r="O1397" s="48" t="str">
        <f aca="false">IF($A1397="","",IF(NOT(ISNUMBER(F1397)),"Wert fehlt; ",IF(F1397&lt;=0,"Wert ist 0; ",""))&amp;IF(NOT(ISNUMBER(E1397)),"Bestand fehlt; ",IF(E1397&lt;0,"Bestand negativ; ",IF(E1397=0,"Nullbestand; ","")))&amp;IF(D1397="","Warengruppe fehlt; ","")&amp;IF(B1397="","Bezeichnung fehlt; ","")&amp;IF(COUNTIFS($A$2:$A$5001,$A1397,$C$2:$C$5001,C1397)&gt;1,"Artikel doppelt im selben Lager; ",""))</f>
        <v/>
      </c>
      <c r="P1397" s="47" t="n">
        <f aca="false">IF(OR($A1397="",D1397=""),0,IF(COUNTIF($D$2:D1397,D1397)=1,SUMIF($D$2:$D$5001,D1397,$H$2:$H$5001)+ROW()/10000000,0))</f>
        <v>0</v>
      </c>
      <c r="Q1397" s="47" t="n">
        <f aca="false">IF(OR($A1397="",C1397=""),0,IF(COUNTIF($C$2:C1397,C1397)=1,SUMIF($C$2:$C$5001,C1397,$H$2:$H$5001)+ROW()/10000000,0))</f>
        <v>0</v>
      </c>
    </row>
    <row r="1398" customFormat="false" ht="15" hidden="false" customHeight="false" outlineLevel="0" collapsed="false">
      <c r="A1398" s="43"/>
      <c r="B1398" s="44"/>
      <c r="C1398" s="44"/>
      <c r="D1398" s="44"/>
      <c r="E1398" s="44"/>
      <c r="F1398" s="44"/>
      <c r="G1398" s="44"/>
      <c r="H1398" s="46" t="str">
        <f aca="false">IF($A1398="","",IF(OR(NOT(ISNUMBER(E1398)),NOT(ISNUMBER(F1398))),"",MAX(0,E1398)*F1398))</f>
        <v/>
      </c>
      <c r="I1398" s="46" t="str">
        <f aca="false">IF($A1398="","",SUMIF($A$2:$A$5001,$A1398,$H$2:$H$5001))</f>
        <v/>
      </c>
      <c r="J1398" s="47" t="n">
        <f aca="false">IF($A1398="",0,IF(COUNTIF($A$2:A1398,$A1398)=1,1,0))</f>
        <v>0</v>
      </c>
      <c r="K1398" s="47" t="n">
        <f aca="false">IF(J1398=1,N(I1398)+ROW()/10000000,0)</f>
        <v>0</v>
      </c>
      <c r="L1398" s="47" t="str">
        <f aca="false">IF(AND(J1398=1,N(I1398)&gt;0),SUMIF($K$2:$K$5001,"&gt;="&amp;K1398,$I$2:$I$5001)/MAX(1,SUM($H$2:$H$5001)),"")</f>
        <v/>
      </c>
      <c r="M1398" s="47" t="str">
        <f aca="false">IF($A1398="","",INDEX($L$2:$L$5001,MATCH($A1398,$A$2:$A$5001,0)))</f>
        <v/>
      </c>
      <c r="N1398" s="48" t="str">
        <f aca="false">IF($A1398="","",IF(N(M1398)=0,"–",IF(M1398&lt;=Start!$D$20,"A",IF(M1398&lt;=Start!$D$21,"B","C"))))</f>
        <v/>
      </c>
      <c r="O1398" s="48" t="str">
        <f aca="false">IF($A1398="","",IF(NOT(ISNUMBER(F1398)),"Wert fehlt; ",IF(F1398&lt;=0,"Wert ist 0; ",""))&amp;IF(NOT(ISNUMBER(E1398)),"Bestand fehlt; ",IF(E1398&lt;0,"Bestand negativ; ",IF(E1398=0,"Nullbestand; ","")))&amp;IF(D1398="","Warengruppe fehlt; ","")&amp;IF(B1398="","Bezeichnung fehlt; ","")&amp;IF(COUNTIFS($A$2:$A$5001,$A1398,$C$2:$C$5001,C1398)&gt;1,"Artikel doppelt im selben Lager; ",""))</f>
        <v/>
      </c>
      <c r="P1398" s="47" t="n">
        <f aca="false">IF(OR($A1398="",D1398=""),0,IF(COUNTIF($D$2:D1398,D1398)=1,SUMIF($D$2:$D$5001,D1398,$H$2:$H$5001)+ROW()/10000000,0))</f>
        <v>0</v>
      </c>
      <c r="Q1398" s="47" t="n">
        <f aca="false">IF(OR($A1398="",C1398=""),0,IF(COUNTIF($C$2:C1398,C1398)=1,SUMIF($C$2:$C$5001,C1398,$H$2:$H$5001)+ROW()/10000000,0))</f>
        <v>0</v>
      </c>
    </row>
    <row r="1399" customFormat="false" ht="15" hidden="false" customHeight="false" outlineLevel="0" collapsed="false">
      <c r="A1399" s="43"/>
      <c r="B1399" s="44"/>
      <c r="C1399" s="44"/>
      <c r="D1399" s="44"/>
      <c r="E1399" s="44"/>
      <c r="F1399" s="44"/>
      <c r="G1399" s="44"/>
      <c r="H1399" s="46" t="str">
        <f aca="false">IF($A1399="","",IF(OR(NOT(ISNUMBER(E1399)),NOT(ISNUMBER(F1399))),"",MAX(0,E1399)*F1399))</f>
        <v/>
      </c>
      <c r="I1399" s="46" t="str">
        <f aca="false">IF($A1399="","",SUMIF($A$2:$A$5001,$A1399,$H$2:$H$5001))</f>
        <v/>
      </c>
      <c r="J1399" s="47" t="n">
        <f aca="false">IF($A1399="",0,IF(COUNTIF($A$2:A1399,$A1399)=1,1,0))</f>
        <v>0</v>
      </c>
      <c r="K1399" s="47" t="n">
        <f aca="false">IF(J1399=1,N(I1399)+ROW()/10000000,0)</f>
        <v>0</v>
      </c>
      <c r="L1399" s="47" t="str">
        <f aca="false">IF(AND(J1399=1,N(I1399)&gt;0),SUMIF($K$2:$K$5001,"&gt;="&amp;K1399,$I$2:$I$5001)/MAX(1,SUM($H$2:$H$5001)),"")</f>
        <v/>
      </c>
      <c r="M1399" s="47" t="str">
        <f aca="false">IF($A1399="","",INDEX($L$2:$L$5001,MATCH($A1399,$A$2:$A$5001,0)))</f>
        <v/>
      </c>
      <c r="N1399" s="48" t="str">
        <f aca="false">IF($A1399="","",IF(N(M1399)=0,"–",IF(M1399&lt;=Start!$D$20,"A",IF(M1399&lt;=Start!$D$21,"B","C"))))</f>
        <v/>
      </c>
      <c r="O1399" s="48" t="str">
        <f aca="false">IF($A1399="","",IF(NOT(ISNUMBER(F1399)),"Wert fehlt; ",IF(F1399&lt;=0,"Wert ist 0; ",""))&amp;IF(NOT(ISNUMBER(E1399)),"Bestand fehlt; ",IF(E1399&lt;0,"Bestand negativ; ",IF(E1399=0,"Nullbestand; ","")))&amp;IF(D1399="","Warengruppe fehlt; ","")&amp;IF(B1399="","Bezeichnung fehlt; ","")&amp;IF(COUNTIFS($A$2:$A$5001,$A1399,$C$2:$C$5001,C1399)&gt;1,"Artikel doppelt im selben Lager; ",""))</f>
        <v/>
      </c>
      <c r="P1399" s="47" t="n">
        <f aca="false">IF(OR($A1399="",D1399=""),0,IF(COUNTIF($D$2:D1399,D1399)=1,SUMIF($D$2:$D$5001,D1399,$H$2:$H$5001)+ROW()/10000000,0))</f>
        <v>0</v>
      </c>
      <c r="Q1399" s="47" t="n">
        <f aca="false">IF(OR($A1399="",C1399=""),0,IF(COUNTIF($C$2:C1399,C1399)=1,SUMIF($C$2:$C$5001,C1399,$H$2:$H$5001)+ROW()/10000000,0))</f>
        <v>0</v>
      </c>
    </row>
    <row r="1400" customFormat="false" ht="15" hidden="false" customHeight="false" outlineLevel="0" collapsed="false">
      <c r="A1400" s="43"/>
      <c r="B1400" s="44"/>
      <c r="C1400" s="44"/>
      <c r="D1400" s="44"/>
      <c r="E1400" s="44"/>
      <c r="F1400" s="44"/>
      <c r="G1400" s="44"/>
      <c r="H1400" s="46" t="str">
        <f aca="false">IF($A1400="","",IF(OR(NOT(ISNUMBER(E1400)),NOT(ISNUMBER(F1400))),"",MAX(0,E1400)*F1400))</f>
        <v/>
      </c>
      <c r="I1400" s="46" t="str">
        <f aca="false">IF($A1400="","",SUMIF($A$2:$A$5001,$A1400,$H$2:$H$5001))</f>
        <v/>
      </c>
      <c r="J1400" s="47" t="n">
        <f aca="false">IF($A1400="",0,IF(COUNTIF($A$2:A1400,$A1400)=1,1,0))</f>
        <v>0</v>
      </c>
      <c r="K1400" s="47" t="n">
        <f aca="false">IF(J1400=1,N(I1400)+ROW()/10000000,0)</f>
        <v>0</v>
      </c>
      <c r="L1400" s="47" t="str">
        <f aca="false">IF(AND(J1400=1,N(I1400)&gt;0),SUMIF($K$2:$K$5001,"&gt;="&amp;K1400,$I$2:$I$5001)/MAX(1,SUM($H$2:$H$5001)),"")</f>
        <v/>
      </c>
      <c r="M1400" s="47" t="str">
        <f aca="false">IF($A1400="","",INDEX($L$2:$L$5001,MATCH($A1400,$A$2:$A$5001,0)))</f>
        <v/>
      </c>
      <c r="N1400" s="48" t="str">
        <f aca="false">IF($A1400="","",IF(N(M1400)=0,"–",IF(M1400&lt;=Start!$D$20,"A",IF(M1400&lt;=Start!$D$21,"B","C"))))</f>
        <v/>
      </c>
      <c r="O1400" s="48" t="str">
        <f aca="false">IF($A1400="","",IF(NOT(ISNUMBER(F1400)),"Wert fehlt; ",IF(F1400&lt;=0,"Wert ist 0; ",""))&amp;IF(NOT(ISNUMBER(E1400)),"Bestand fehlt; ",IF(E1400&lt;0,"Bestand negativ; ",IF(E1400=0,"Nullbestand; ","")))&amp;IF(D1400="","Warengruppe fehlt; ","")&amp;IF(B1400="","Bezeichnung fehlt; ","")&amp;IF(COUNTIFS($A$2:$A$5001,$A1400,$C$2:$C$5001,C1400)&gt;1,"Artikel doppelt im selben Lager; ",""))</f>
        <v/>
      </c>
      <c r="P1400" s="47" t="n">
        <f aca="false">IF(OR($A1400="",D1400=""),0,IF(COUNTIF($D$2:D1400,D1400)=1,SUMIF($D$2:$D$5001,D1400,$H$2:$H$5001)+ROW()/10000000,0))</f>
        <v>0</v>
      </c>
      <c r="Q1400" s="47" t="n">
        <f aca="false">IF(OR($A1400="",C1400=""),0,IF(COUNTIF($C$2:C1400,C1400)=1,SUMIF($C$2:$C$5001,C1400,$H$2:$H$5001)+ROW()/10000000,0))</f>
        <v>0</v>
      </c>
    </row>
    <row r="1401" customFormat="false" ht="15" hidden="false" customHeight="false" outlineLevel="0" collapsed="false">
      <c r="A1401" s="43"/>
      <c r="B1401" s="44"/>
      <c r="C1401" s="44"/>
      <c r="D1401" s="44"/>
      <c r="E1401" s="44"/>
      <c r="F1401" s="44"/>
      <c r="G1401" s="44"/>
      <c r="H1401" s="46" t="str">
        <f aca="false">IF($A1401="","",IF(OR(NOT(ISNUMBER(E1401)),NOT(ISNUMBER(F1401))),"",MAX(0,E1401)*F1401))</f>
        <v/>
      </c>
      <c r="I1401" s="46" t="str">
        <f aca="false">IF($A1401="","",SUMIF($A$2:$A$5001,$A1401,$H$2:$H$5001))</f>
        <v/>
      </c>
      <c r="J1401" s="47" t="n">
        <f aca="false">IF($A1401="",0,IF(COUNTIF($A$2:A1401,$A1401)=1,1,0))</f>
        <v>0</v>
      </c>
      <c r="K1401" s="47" t="n">
        <f aca="false">IF(J1401=1,N(I1401)+ROW()/10000000,0)</f>
        <v>0</v>
      </c>
      <c r="L1401" s="47" t="str">
        <f aca="false">IF(AND(J1401=1,N(I1401)&gt;0),SUMIF($K$2:$K$5001,"&gt;="&amp;K1401,$I$2:$I$5001)/MAX(1,SUM($H$2:$H$5001)),"")</f>
        <v/>
      </c>
      <c r="M1401" s="47" t="str">
        <f aca="false">IF($A1401="","",INDEX($L$2:$L$5001,MATCH($A1401,$A$2:$A$5001,0)))</f>
        <v/>
      </c>
      <c r="N1401" s="48" t="str">
        <f aca="false">IF($A1401="","",IF(N(M1401)=0,"–",IF(M1401&lt;=Start!$D$20,"A",IF(M1401&lt;=Start!$D$21,"B","C"))))</f>
        <v/>
      </c>
      <c r="O1401" s="48" t="str">
        <f aca="false">IF($A1401="","",IF(NOT(ISNUMBER(F1401)),"Wert fehlt; ",IF(F1401&lt;=0,"Wert ist 0; ",""))&amp;IF(NOT(ISNUMBER(E1401)),"Bestand fehlt; ",IF(E1401&lt;0,"Bestand negativ; ",IF(E1401=0,"Nullbestand; ","")))&amp;IF(D1401="","Warengruppe fehlt; ","")&amp;IF(B1401="","Bezeichnung fehlt; ","")&amp;IF(COUNTIFS($A$2:$A$5001,$A1401,$C$2:$C$5001,C1401)&gt;1,"Artikel doppelt im selben Lager; ",""))</f>
        <v/>
      </c>
      <c r="P1401" s="47" t="n">
        <f aca="false">IF(OR($A1401="",D1401=""),0,IF(COUNTIF($D$2:D1401,D1401)=1,SUMIF($D$2:$D$5001,D1401,$H$2:$H$5001)+ROW()/10000000,0))</f>
        <v>0</v>
      </c>
      <c r="Q1401" s="47" t="n">
        <f aca="false">IF(OR($A1401="",C1401=""),0,IF(COUNTIF($C$2:C1401,C1401)=1,SUMIF($C$2:$C$5001,C1401,$H$2:$H$5001)+ROW()/10000000,0))</f>
        <v>0</v>
      </c>
    </row>
    <row r="1402" customFormat="false" ht="15" hidden="false" customHeight="false" outlineLevel="0" collapsed="false">
      <c r="A1402" s="43"/>
      <c r="B1402" s="44"/>
      <c r="C1402" s="44"/>
      <c r="D1402" s="44"/>
      <c r="E1402" s="44"/>
      <c r="F1402" s="44"/>
      <c r="G1402" s="44"/>
      <c r="H1402" s="46" t="str">
        <f aca="false">IF($A1402="","",IF(OR(NOT(ISNUMBER(E1402)),NOT(ISNUMBER(F1402))),"",MAX(0,E1402)*F1402))</f>
        <v/>
      </c>
      <c r="I1402" s="46" t="str">
        <f aca="false">IF($A1402="","",SUMIF($A$2:$A$5001,$A1402,$H$2:$H$5001))</f>
        <v/>
      </c>
      <c r="J1402" s="47" t="n">
        <f aca="false">IF($A1402="",0,IF(COUNTIF($A$2:A1402,$A1402)=1,1,0))</f>
        <v>0</v>
      </c>
      <c r="K1402" s="47" t="n">
        <f aca="false">IF(J1402=1,N(I1402)+ROW()/10000000,0)</f>
        <v>0</v>
      </c>
      <c r="L1402" s="47" t="str">
        <f aca="false">IF(AND(J1402=1,N(I1402)&gt;0),SUMIF($K$2:$K$5001,"&gt;="&amp;K1402,$I$2:$I$5001)/MAX(1,SUM($H$2:$H$5001)),"")</f>
        <v/>
      </c>
      <c r="M1402" s="47" t="str">
        <f aca="false">IF($A1402="","",INDEX($L$2:$L$5001,MATCH($A1402,$A$2:$A$5001,0)))</f>
        <v/>
      </c>
      <c r="N1402" s="48" t="str">
        <f aca="false">IF($A1402="","",IF(N(M1402)=0,"–",IF(M1402&lt;=Start!$D$20,"A",IF(M1402&lt;=Start!$D$21,"B","C"))))</f>
        <v/>
      </c>
      <c r="O1402" s="48" t="str">
        <f aca="false">IF($A1402="","",IF(NOT(ISNUMBER(F1402)),"Wert fehlt; ",IF(F1402&lt;=0,"Wert ist 0; ",""))&amp;IF(NOT(ISNUMBER(E1402)),"Bestand fehlt; ",IF(E1402&lt;0,"Bestand negativ; ",IF(E1402=0,"Nullbestand; ","")))&amp;IF(D1402="","Warengruppe fehlt; ","")&amp;IF(B1402="","Bezeichnung fehlt; ","")&amp;IF(COUNTIFS($A$2:$A$5001,$A1402,$C$2:$C$5001,C1402)&gt;1,"Artikel doppelt im selben Lager; ",""))</f>
        <v/>
      </c>
      <c r="P1402" s="47" t="n">
        <f aca="false">IF(OR($A1402="",D1402=""),0,IF(COUNTIF($D$2:D1402,D1402)=1,SUMIF($D$2:$D$5001,D1402,$H$2:$H$5001)+ROW()/10000000,0))</f>
        <v>0</v>
      </c>
      <c r="Q1402" s="47" t="n">
        <f aca="false">IF(OR($A1402="",C1402=""),0,IF(COUNTIF($C$2:C1402,C1402)=1,SUMIF($C$2:$C$5001,C1402,$H$2:$H$5001)+ROW()/10000000,0))</f>
        <v>0</v>
      </c>
    </row>
    <row r="1403" customFormat="false" ht="15" hidden="false" customHeight="false" outlineLevel="0" collapsed="false">
      <c r="A1403" s="43"/>
      <c r="B1403" s="44"/>
      <c r="C1403" s="44"/>
      <c r="D1403" s="44"/>
      <c r="E1403" s="44"/>
      <c r="F1403" s="44"/>
      <c r="G1403" s="44"/>
      <c r="H1403" s="46" t="str">
        <f aca="false">IF($A1403="","",IF(OR(NOT(ISNUMBER(E1403)),NOT(ISNUMBER(F1403))),"",MAX(0,E1403)*F1403))</f>
        <v/>
      </c>
      <c r="I1403" s="46" t="str">
        <f aca="false">IF($A1403="","",SUMIF($A$2:$A$5001,$A1403,$H$2:$H$5001))</f>
        <v/>
      </c>
      <c r="J1403" s="47" t="n">
        <f aca="false">IF($A1403="",0,IF(COUNTIF($A$2:A1403,$A1403)=1,1,0))</f>
        <v>0</v>
      </c>
      <c r="K1403" s="47" t="n">
        <f aca="false">IF(J1403=1,N(I1403)+ROW()/10000000,0)</f>
        <v>0</v>
      </c>
      <c r="L1403" s="47" t="str">
        <f aca="false">IF(AND(J1403=1,N(I1403)&gt;0),SUMIF($K$2:$K$5001,"&gt;="&amp;K1403,$I$2:$I$5001)/MAX(1,SUM($H$2:$H$5001)),"")</f>
        <v/>
      </c>
      <c r="M1403" s="47" t="str">
        <f aca="false">IF($A1403="","",INDEX($L$2:$L$5001,MATCH($A1403,$A$2:$A$5001,0)))</f>
        <v/>
      </c>
      <c r="N1403" s="48" t="str">
        <f aca="false">IF($A1403="","",IF(N(M1403)=0,"–",IF(M1403&lt;=Start!$D$20,"A",IF(M1403&lt;=Start!$D$21,"B","C"))))</f>
        <v/>
      </c>
      <c r="O1403" s="48" t="str">
        <f aca="false">IF($A1403="","",IF(NOT(ISNUMBER(F1403)),"Wert fehlt; ",IF(F1403&lt;=0,"Wert ist 0; ",""))&amp;IF(NOT(ISNUMBER(E1403)),"Bestand fehlt; ",IF(E1403&lt;0,"Bestand negativ; ",IF(E1403=0,"Nullbestand; ","")))&amp;IF(D1403="","Warengruppe fehlt; ","")&amp;IF(B1403="","Bezeichnung fehlt; ","")&amp;IF(COUNTIFS($A$2:$A$5001,$A1403,$C$2:$C$5001,C1403)&gt;1,"Artikel doppelt im selben Lager; ",""))</f>
        <v/>
      </c>
      <c r="P1403" s="47" t="n">
        <f aca="false">IF(OR($A1403="",D1403=""),0,IF(COUNTIF($D$2:D1403,D1403)=1,SUMIF($D$2:$D$5001,D1403,$H$2:$H$5001)+ROW()/10000000,0))</f>
        <v>0</v>
      </c>
      <c r="Q1403" s="47" t="n">
        <f aca="false">IF(OR($A1403="",C1403=""),0,IF(COUNTIF($C$2:C1403,C1403)=1,SUMIF($C$2:$C$5001,C1403,$H$2:$H$5001)+ROW()/10000000,0))</f>
        <v>0</v>
      </c>
    </row>
    <row r="1404" customFormat="false" ht="15" hidden="false" customHeight="false" outlineLevel="0" collapsed="false">
      <c r="A1404" s="43"/>
      <c r="B1404" s="44"/>
      <c r="C1404" s="44"/>
      <c r="D1404" s="44"/>
      <c r="E1404" s="44"/>
      <c r="F1404" s="44"/>
      <c r="G1404" s="44"/>
      <c r="H1404" s="46" t="str">
        <f aca="false">IF($A1404="","",IF(OR(NOT(ISNUMBER(E1404)),NOT(ISNUMBER(F1404))),"",MAX(0,E1404)*F1404))</f>
        <v/>
      </c>
      <c r="I1404" s="46" t="str">
        <f aca="false">IF($A1404="","",SUMIF($A$2:$A$5001,$A1404,$H$2:$H$5001))</f>
        <v/>
      </c>
      <c r="J1404" s="47" t="n">
        <f aca="false">IF($A1404="",0,IF(COUNTIF($A$2:A1404,$A1404)=1,1,0))</f>
        <v>0</v>
      </c>
      <c r="K1404" s="47" t="n">
        <f aca="false">IF(J1404=1,N(I1404)+ROW()/10000000,0)</f>
        <v>0</v>
      </c>
      <c r="L1404" s="47" t="str">
        <f aca="false">IF(AND(J1404=1,N(I1404)&gt;0),SUMIF($K$2:$K$5001,"&gt;="&amp;K1404,$I$2:$I$5001)/MAX(1,SUM($H$2:$H$5001)),"")</f>
        <v/>
      </c>
      <c r="M1404" s="47" t="str">
        <f aca="false">IF($A1404="","",INDEX($L$2:$L$5001,MATCH($A1404,$A$2:$A$5001,0)))</f>
        <v/>
      </c>
      <c r="N1404" s="48" t="str">
        <f aca="false">IF($A1404="","",IF(N(M1404)=0,"–",IF(M1404&lt;=Start!$D$20,"A",IF(M1404&lt;=Start!$D$21,"B","C"))))</f>
        <v/>
      </c>
      <c r="O1404" s="48" t="str">
        <f aca="false">IF($A1404="","",IF(NOT(ISNUMBER(F1404)),"Wert fehlt; ",IF(F1404&lt;=0,"Wert ist 0; ",""))&amp;IF(NOT(ISNUMBER(E1404)),"Bestand fehlt; ",IF(E1404&lt;0,"Bestand negativ; ",IF(E1404=0,"Nullbestand; ","")))&amp;IF(D1404="","Warengruppe fehlt; ","")&amp;IF(B1404="","Bezeichnung fehlt; ","")&amp;IF(COUNTIFS($A$2:$A$5001,$A1404,$C$2:$C$5001,C1404)&gt;1,"Artikel doppelt im selben Lager; ",""))</f>
        <v/>
      </c>
      <c r="P1404" s="47" t="n">
        <f aca="false">IF(OR($A1404="",D1404=""),0,IF(COUNTIF($D$2:D1404,D1404)=1,SUMIF($D$2:$D$5001,D1404,$H$2:$H$5001)+ROW()/10000000,0))</f>
        <v>0</v>
      </c>
      <c r="Q1404" s="47" t="n">
        <f aca="false">IF(OR($A1404="",C1404=""),0,IF(COUNTIF($C$2:C1404,C1404)=1,SUMIF($C$2:$C$5001,C1404,$H$2:$H$5001)+ROW()/10000000,0))</f>
        <v>0</v>
      </c>
    </row>
    <row r="1405" customFormat="false" ht="15" hidden="false" customHeight="false" outlineLevel="0" collapsed="false">
      <c r="A1405" s="43"/>
      <c r="B1405" s="44"/>
      <c r="C1405" s="44"/>
      <c r="D1405" s="44"/>
      <c r="E1405" s="44"/>
      <c r="F1405" s="44"/>
      <c r="G1405" s="44"/>
      <c r="H1405" s="46" t="str">
        <f aca="false">IF($A1405="","",IF(OR(NOT(ISNUMBER(E1405)),NOT(ISNUMBER(F1405))),"",MAX(0,E1405)*F1405))</f>
        <v/>
      </c>
      <c r="I1405" s="46" t="str">
        <f aca="false">IF($A1405="","",SUMIF($A$2:$A$5001,$A1405,$H$2:$H$5001))</f>
        <v/>
      </c>
      <c r="J1405" s="47" t="n">
        <f aca="false">IF($A1405="",0,IF(COUNTIF($A$2:A1405,$A1405)=1,1,0))</f>
        <v>0</v>
      </c>
      <c r="K1405" s="47" t="n">
        <f aca="false">IF(J1405=1,N(I1405)+ROW()/10000000,0)</f>
        <v>0</v>
      </c>
      <c r="L1405" s="47" t="str">
        <f aca="false">IF(AND(J1405=1,N(I1405)&gt;0),SUMIF($K$2:$K$5001,"&gt;="&amp;K1405,$I$2:$I$5001)/MAX(1,SUM($H$2:$H$5001)),"")</f>
        <v/>
      </c>
      <c r="M1405" s="47" t="str">
        <f aca="false">IF($A1405="","",INDEX($L$2:$L$5001,MATCH($A1405,$A$2:$A$5001,0)))</f>
        <v/>
      </c>
      <c r="N1405" s="48" t="str">
        <f aca="false">IF($A1405="","",IF(N(M1405)=0,"–",IF(M1405&lt;=Start!$D$20,"A",IF(M1405&lt;=Start!$D$21,"B","C"))))</f>
        <v/>
      </c>
      <c r="O1405" s="48" t="str">
        <f aca="false">IF($A1405="","",IF(NOT(ISNUMBER(F1405)),"Wert fehlt; ",IF(F1405&lt;=0,"Wert ist 0; ",""))&amp;IF(NOT(ISNUMBER(E1405)),"Bestand fehlt; ",IF(E1405&lt;0,"Bestand negativ; ",IF(E1405=0,"Nullbestand; ","")))&amp;IF(D1405="","Warengruppe fehlt; ","")&amp;IF(B1405="","Bezeichnung fehlt; ","")&amp;IF(COUNTIFS($A$2:$A$5001,$A1405,$C$2:$C$5001,C1405)&gt;1,"Artikel doppelt im selben Lager; ",""))</f>
        <v/>
      </c>
      <c r="P1405" s="47" t="n">
        <f aca="false">IF(OR($A1405="",D1405=""),0,IF(COUNTIF($D$2:D1405,D1405)=1,SUMIF($D$2:$D$5001,D1405,$H$2:$H$5001)+ROW()/10000000,0))</f>
        <v>0</v>
      </c>
      <c r="Q1405" s="47" t="n">
        <f aca="false">IF(OR($A1405="",C1405=""),0,IF(COUNTIF($C$2:C1405,C1405)=1,SUMIF($C$2:$C$5001,C1405,$H$2:$H$5001)+ROW()/10000000,0))</f>
        <v>0</v>
      </c>
    </row>
    <row r="1406" customFormat="false" ht="15" hidden="false" customHeight="false" outlineLevel="0" collapsed="false">
      <c r="A1406" s="43"/>
      <c r="B1406" s="44"/>
      <c r="C1406" s="44"/>
      <c r="D1406" s="44"/>
      <c r="E1406" s="44"/>
      <c r="F1406" s="44"/>
      <c r="G1406" s="44"/>
      <c r="H1406" s="46" t="str">
        <f aca="false">IF($A1406="","",IF(OR(NOT(ISNUMBER(E1406)),NOT(ISNUMBER(F1406))),"",MAX(0,E1406)*F1406))</f>
        <v/>
      </c>
      <c r="I1406" s="46" t="str">
        <f aca="false">IF($A1406="","",SUMIF($A$2:$A$5001,$A1406,$H$2:$H$5001))</f>
        <v/>
      </c>
      <c r="J1406" s="47" t="n">
        <f aca="false">IF($A1406="",0,IF(COUNTIF($A$2:A1406,$A1406)=1,1,0))</f>
        <v>0</v>
      </c>
      <c r="K1406" s="47" t="n">
        <f aca="false">IF(J1406=1,N(I1406)+ROW()/10000000,0)</f>
        <v>0</v>
      </c>
      <c r="L1406" s="47" t="str">
        <f aca="false">IF(AND(J1406=1,N(I1406)&gt;0),SUMIF($K$2:$K$5001,"&gt;="&amp;K1406,$I$2:$I$5001)/MAX(1,SUM($H$2:$H$5001)),"")</f>
        <v/>
      </c>
      <c r="M1406" s="47" t="str">
        <f aca="false">IF($A1406="","",INDEX($L$2:$L$5001,MATCH($A1406,$A$2:$A$5001,0)))</f>
        <v/>
      </c>
      <c r="N1406" s="48" t="str">
        <f aca="false">IF($A1406="","",IF(N(M1406)=0,"–",IF(M1406&lt;=Start!$D$20,"A",IF(M1406&lt;=Start!$D$21,"B","C"))))</f>
        <v/>
      </c>
      <c r="O1406" s="48" t="str">
        <f aca="false">IF($A1406="","",IF(NOT(ISNUMBER(F1406)),"Wert fehlt; ",IF(F1406&lt;=0,"Wert ist 0; ",""))&amp;IF(NOT(ISNUMBER(E1406)),"Bestand fehlt; ",IF(E1406&lt;0,"Bestand negativ; ",IF(E1406=0,"Nullbestand; ","")))&amp;IF(D1406="","Warengruppe fehlt; ","")&amp;IF(B1406="","Bezeichnung fehlt; ","")&amp;IF(COUNTIFS($A$2:$A$5001,$A1406,$C$2:$C$5001,C1406)&gt;1,"Artikel doppelt im selben Lager; ",""))</f>
        <v/>
      </c>
      <c r="P1406" s="47" t="n">
        <f aca="false">IF(OR($A1406="",D1406=""),0,IF(COUNTIF($D$2:D1406,D1406)=1,SUMIF($D$2:$D$5001,D1406,$H$2:$H$5001)+ROW()/10000000,0))</f>
        <v>0</v>
      </c>
      <c r="Q1406" s="47" t="n">
        <f aca="false">IF(OR($A1406="",C1406=""),0,IF(COUNTIF($C$2:C1406,C1406)=1,SUMIF($C$2:$C$5001,C1406,$H$2:$H$5001)+ROW()/10000000,0))</f>
        <v>0</v>
      </c>
    </row>
    <row r="1407" customFormat="false" ht="15" hidden="false" customHeight="false" outlineLevel="0" collapsed="false">
      <c r="A1407" s="43"/>
      <c r="B1407" s="44"/>
      <c r="C1407" s="44"/>
      <c r="D1407" s="44"/>
      <c r="E1407" s="44"/>
      <c r="F1407" s="44"/>
      <c r="G1407" s="44"/>
      <c r="H1407" s="46" t="str">
        <f aca="false">IF($A1407="","",IF(OR(NOT(ISNUMBER(E1407)),NOT(ISNUMBER(F1407))),"",MAX(0,E1407)*F1407))</f>
        <v/>
      </c>
      <c r="I1407" s="46" t="str">
        <f aca="false">IF($A1407="","",SUMIF($A$2:$A$5001,$A1407,$H$2:$H$5001))</f>
        <v/>
      </c>
      <c r="J1407" s="47" t="n">
        <f aca="false">IF($A1407="",0,IF(COUNTIF($A$2:A1407,$A1407)=1,1,0))</f>
        <v>0</v>
      </c>
      <c r="K1407" s="47" t="n">
        <f aca="false">IF(J1407=1,N(I1407)+ROW()/10000000,0)</f>
        <v>0</v>
      </c>
      <c r="L1407" s="47" t="str">
        <f aca="false">IF(AND(J1407=1,N(I1407)&gt;0),SUMIF($K$2:$K$5001,"&gt;="&amp;K1407,$I$2:$I$5001)/MAX(1,SUM($H$2:$H$5001)),"")</f>
        <v/>
      </c>
      <c r="M1407" s="47" t="str">
        <f aca="false">IF($A1407="","",INDEX($L$2:$L$5001,MATCH($A1407,$A$2:$A$5001,0)))</f>
        <v/>
      </c>
      <c r="N1407" s="48" t="str">
        <f aca="false">IF($A1407="","",IF(N(M1407)=0,"–",IF(M1407&lt;=Start!$D$20,"A",IF(M1407&lt;=Start!$D$21,"B","C"))))</f>
        <v/>
      </c>
      <c r="O1407" s="48" t="str">
        <f aca="false">IF($A1407="","",IF(NOT(ISNUMBER(F1407)),"Wert fehlt; ",IF(F1407&lt;=0,"Wert ist 0; ",""))&amp;IF(NOT(ISNUMBER(E1407)),"Bestand fehlt; ",IF(E1407&lt;0,"Bestand negativ; ",IF(E1407=0,"Nullbestand; ","")))&amp;IF(D1407="","Warengruppe fehlt; ","")&amp;IF(B1407="","Bezeichnung fehlt; ","")&amp;IF(COUNTIFS($A$2:$A$5001,$A1407,$C$2:$C$5001,C1407)&gt;1,"Artikel doppelt im selben Lager; ",""))</f>
        <v/>
      </c>
      <c r="P1407" s="47" t="n">
        <f aca="false">IF(OR($A1407="",D1407=""),0,IF(COUNTIF($D$2:D1407,D1407)=1,SUMIF($D$2:$D$5001,D1407,$H$2:$H$5001)+ROW()/10000000,0))</f>
        <v>0</v>
      </c>
      <c r="Q1407" s="47" t="n">
        <f aca="false">IF(OR($A1407="",C1407=""),0,IF(COUNTIF($C$2:C1407,C1407)=1,SUMIF($C$2:$C$5001,C1407,$H$2:$H$5001)+ROW()/10000000,0))</f>
        <v>0</v>
      </c>
    </row>
    <row r="1408" customFormat="false" ht="15" hidden="false" customHeight="false" outlineLevel="0" collapsed="false">
      <c r="A1408" s="43"/>
      <c r="B1408" s="44"/>
      <c r="C1408" s="44"/>
      <c r="D1408" s="44"/>
      <c r="E1408" s="44"/>
      <c r="F1408" s="44"/>
      <c r="G1408" s="44"/>
      <c r="H1408" s="46" t="str">
        <f aca="false">IF($A1408="","",IF(OR(NOT(ISNUMBER(E1408)),NOT(ISNUMBER(F1408))),"",MAX(0,E1408)*F1408))</f>
        <v/>
      </c>
      <c r="I1408" s="46" t="str">
        <f aca="false">IF($A1408="","",SUMIF($A$2:$A$5001,$A1408,$H$2:$H$5001))</f>
        <v/>
      </c>
      <c r="J1408" s="47" t="n">
        <f aca="false">IF($A1408="",0,IF(COUNTIF($A$2:A1408,$A1408)=1,1,0))</f>
        <v>0</v>
      </c>
      <c r="K1408" s="47" t="n">
        <f aca="false">IF(J1408=1,N(I1408)+ROW()/10000000,0)</f>
        <v>0</v>
      </c>
      <c r="L1408" s="47" t="str">
        <f aca="false">IF(AND(J1408=1,N(I1408)&gt;0),SUMIF($K$2:$K$5001,"&gt;="&amp;K1408,$I$2:$I$5001)/MAX(1,SUM($H$2:$H$5001)),"")</f>
        <v/>
      </c>
      <c r="M1408" s="47" t="str">
        <f aca="false">IF($A1408="","",INDEX($L$2:$L$5001,MATCH($A1408,$A$2:$A$5001,0)))</f>
        <v/>
      </c>
      <c r="N1408" s="48" t="str">
        <f aca="false">IF($A1408="","",IF(N(M1408)=0,"–",IF(M1408&lt;=Start!$D$20,"A",IF(M1408&lt;=Start!$D$21,"B","C"))))</f>
        <v/>
      </c>
      <c r="O1408" s="48" t="str">
        <f aca="false">IF($A1408="","",IF(NOT(ISNUMBER(F1408)),"Wert fehlt; ",IF(F1408&lt;=0,"Wert ist 0; ",""))&amp;IF(NOT(ISNUMBER(E1408)),"Bestand fehlt; ",IF(E1408&lt;0,"Bestand negativ; ",IF(E1408=0,"Nullbestand; ","")))&amp;IF(D1408="","Warengruppe fehlt; ","")&amp;IF(B1408="","Bezeichnung fehlt; ","")&amp;IF(COUNTIFS($A$2:$A$5001,$A1408,$C$2:$C$5001,C1408)&gt;1,"Artikel doppelt im selben Lager; ",""))</f>
        <v/>
      </c>
      <c r="P1408" s="47" t="n">
        <f aca="false">IF(OR($A1408="",D1408=""),0,IF(COUNTIF($D$2:D1408,D1408)=1,SUMIF($D$2:$D$5001,D1408,$H$2:$H$5001)+ROW()/10000000,0))</f>
        <v>0</v>
      </c>
      <c r="Q1408" s="47" t="n">
        <f aca="false">IF(OR($A1408="",C1408=""),0,IF(COUNTIF($C$2:C1408,C1408)=1,SUMIF($C$2:$C$5001,C1408,$H$2:$H$5001)+ROW()/10000000,0))</f>
        <v>0</v>
      </c>
    </row>
    <row r="1409" customFormat="false" ht="15" hidden="false" customHeight="false" outlineLevel="0" collapsed="false">
      <c r="A1409" s="43"/>
      <c r="B1409" s="44"/>
      <c r="C1409" s="44"/>
      <c r="D1409" s="44"/>
      <c r="E1409" s="44"/>
      <c r="F1409" s="44"/>
      <c r="G1409" s="44"/>
      <c r="H1409" s="46" t="str">
        <f aca="false">IF($A1409="","",IF(OR(NOT(ISNUMBER(E1409)),NOT(ISNUMBER(F1409))),"",MAX(0,E1409)*F1409))</f>
        <v/>
      </c>
      <c r="I1409" s="46" t="str">
        <f aca="false">IF($A1409="","",SUMIF($A$2:$A$5001,$A1409,$H$2:$H$5001))</f>
        <v/>
      </c>
      <c r="J1409" s="47" t="n">
        <f aca="false">IF($A1409="",0,IF(COUNTIF($A$2:A1409,$A1409)=1,1,0))</f>
        <v>0</v>
      </c>
      <c r="K1409" s="47" t="n">
        <f aca="false">IF(J1409=1,N(I1409)+ROW()/10000000,0)</f>
        <v>0</v>
      </c>
      <c r="L1409" s="47" t="str">
        <f aca="false">IF(AND(J1409=1,N(I1409)&gt;0),SUMIF($K$2:$K$5001,"&gt;="&amp;K1409,$I$2:$I$5001)/MAX(1,SUM($H$2:$H$5001)),"")</f>
        <v/>
      </c>
      <c r="M1409" s="47" t="str">
        <f aca="false">IF($A1409="","",INDEX($L$2:$L$5001,MATCH($A1409,$A$2:$A$5001,0)))</f>
        <v/>
      </c>
      <c r="N1409" s="48" t="str">
        <f aca="false">IF($A1409="","",IF(N(M1409)=0,"–",IF(M1409&lt;=Start!$D$20,"A",IF(M1409&lt;=Start!$D$21,"B","C"))))</f>
        <v/>
      </c>
      <c r="O1409" s="48" t="str">
        <f aca="false">IF($A1409="","",IF(NOT(ISNUMBER(F1409)),"Wert fehlt; ",IF(F1409&lt;=0,"Wert ist 0; ",""))&amp;IF(NOT(ISNUMBER(E1409)),"Bestand fehlt; ",IF(E1409&lt;0,"Bestand negativ; ",IF(E1409=0,"Nullbestand; ","")))&amp;IF(D1409="","Warengruppe fehlt; ","")&amp;IF(B1409="","Bezeichnung fehlt; ","")&amp;IF(COUNTIFS($A$2:$A$5001,$A1409,$C$2:$C$5001,C1409)&gt;1,"Artikel doppelt im selben Lager; ",""))</f>
        <v/>
      </c>
      <c r="P1409" s="47" t="n">
        <f aca="false">IF(OR($A1409="",D1409=""),0,IF(COUNTIF($D$2:D1409,D1409)=1,SUMIF($D$2:$D$5001,D1409,$H$2:$H$5001)+ROW()/10000000,0))</f>
        <v>0</v>
      </c>
      <c r="Q1409" s="47" t="n">
        <f aca="false">IF(OR($A1409="",C1409=""),0,IF(COUNTIF($C$2:C1409,C1409)=1,SUMIF($C$2:$C$5001,C1409,$H$2:$H$5001)+ROW()/10000000,0))</f>
        <v>0</v>
      </c>
    </row>
    <row r="1410" customFormat="false" ht="15" hidden="false" customHeight="false" outlineLevel="0" collapsed="false">
      <c r="A1410" s="43"/>
      <c r="B1410" s="44"/>
      <c r="C1410" s="44"/>
      <c r="D1410" s="44"/>
      <c r="E1410" s="44"/>
      <c r="F1410" s="44"/>
      <c r="G1410" s="44"/>
      <c r="H1410" s="46" t="str">
        <f aca="false">IF($A1410="","",IF(OR(NOT(ISNUMBER(E1410)),NOT(ISNUMBER(F1410))),"",MAX(0,E1410)*F1410))</f>
        <v/>
      </c>
      <c r="I1410" s="46" t="str">
        <f aca="false">IF($A1410="","",SUMIF($A$2:$A$5001,$A1410,$H$2:$H$5001))</f>
        <v/>
      </c>
      <c r="J1410" s="47" t="n">
        <f aca="false">IF($A1410="",0,IF(COUNTIF($A$2:A1410,$A1410)=1,1,0))</f>
        <v>0</v>
      </c>
      <c r="K1410" s="47" t="n">
        <f aca="false">IF(J1410=1,N(I1410)+ROW()/10000000,0)</f>
        <v>0</v>
      </c>
      <c r="L1410" s="47" t="str">
        <f aca="false">IF(AND(J1410=1,N(I1410)&gt;0),SUMIF($K$2:$K$5001,"&gt;="&amp;K1410,$I$2:$I$5001)/MAX(1,SUM($H$2:$H$5001)),"")</f>
        <v/>
      </c>
      <c r="M1410" s="47" t="str">
        <f aca="false">IF($A1410="","",INDEX($L$2:$L$5001,MATCH($A1410,$A$2:$A$5001,0)))</f>
        <v/>
      </c>
      <c r="N1410" s="48" t="str">
        <f aca="false">IF($A1410="","",IF(N(M1410)=0,"–",IF(M1410&lt;=Start!$D$20,"A",IF(M1410&lt;=Start!$D$21,"B","C"))))</f>
        <v/>
      </c>
      <c r="O1410" s="48" t="str">
        <f aca="false">IF($A1410="","",IF(NOT(ISNUMBER(F1410)),"Wert fehlt; ",IF(F1410&lt;=0,"Wert ist 0; ",""))&amp;IF(NOT(ISNUMBER(E1410)),"Bestand fehlt; ",IF(E1410&lt;0,"Bestand negativ; ",IF(E1410=0,"Nullbestand; ","")))&amp;IF(D1410="","Warengruppe fehlt; ","")&amp;IF(B1410="","Bezeichnung fehlt; ","")&amp;IF(COUNTIFS($A$2:$A$5001,$A1410,$C$2:$C$5001,C1410)&gt;1,"Artikel doppelt im selben Lager; ",""))</f>
        <v/>
      </c>
      <c r="P1410" s="47" t="n">
        <f aca="false">IF(OR($A1410="",D1410=""),0,IF(COUNTIF($D$2:D1410,D1410)=1,SUMIF($D$2:$D$5001,D1410,$H$2:$H$5001)+ROW()/10000000,0))</f>
        <v>0</v>
      </c>
      <c r="Q1410" s="47" t="n">
        <f aca="false">IF(OR($A1410="",C1410=""),0,IF(COUNTIF($C$2:C1410,C1410)=1,SUMIF($C$2:$C$5001,C1410,$H$2:$H$5001)+ROW()/10000000,0))</f>
        <v>0</v>
      </c>
    </row>
    <row r="1411" customFormat="false" ht="15" hidden="false" customHeight="false" outlineLevel="0" collapsed="false">
      <c r="A1411" s="43"/>
      <c r="B1411" s="44"/>
      <c r="C1411" s="44"/>
      <c r="D1411" s="44"/>
      <c r="E1411" s="44"/>
      <c r="F1411" s="44"/>
      <c r="G1411" s="44"/>
      <c r="H1411" s="46" t="str">
        <f aca="false">IF($A1411="","",IF(OR(NOT(ISNUMBER(E1411)),NOT(ISNUMBER(F1411))),"",MAX(0,E1411)*F1411))</f>
        <v/>
      </c>
      <c r="I1411" s="46" t="str">
        <f aca="false">IF($A1411="","",SUMIF($A$2:$A$5001,$A1411,$H$2:$H$5001))</f>
        <v/>
      </c>
      <c r="J1411" s="47" t="n">
        <f aca="false">IF($A1411="",0,IF(COUNTIF($A$2:A1411,$A1411)=1,1,0))</f>
        <v>0</v>
      </c>
      <c r="K1411" s="47" t="n">
        <f aca="false">IF(J1411=1,N(I1411)+ROW()/10000000,0)</f>
        <v>0</v>
      </c>
      <c r="L1411" s="47" t="str">
        <f aca="false">IF(AND(J1411=1,N(I1411)&gt;0),SUMIF($K$2:$K$5001,"&gt;="&amp;K1411,$I$2:$I$5001)/MAX(1,SUM($H$2:$H$5001)),"")</f>
        <v/>
      </c>
      <c r="M1411" s="47" t="str">
        <f aca="false">IF($A1411="","",INDEX($L$2:$L$5001,MATCH($A1411,$A$2:$A$5001,0)))</f>
        <v/>
      </c>
      <c r="N1411" s="48" t="str">
        <f aca="false">IF($A1411="","",IF(N(M1411)=0,"–",IF(M1411&lt;=Start!$D$20,"A",IF(M1411&lt;=Start!$D$21,"B","C"))))</f>
        <v/>
      </c>
      <c r="O1411" s="48" t="str">
        <f aca="false">IF($A1411="","",IF(NOT(ISNUMBER(F1411)),"Wert fehlt; ",IF(F1411&lt;=0,"Wert ist 0; ",""))&amp;IF(NOT(ISNUMBER(E1411)),"Bestand fehlt; ",IF(E1411&lt;0,"Bestand negativ; ",IF(E1411=0,"Nullbestand; ","")))&amp;IF(D1411="","Warengruppe fehlt; ","")&amp;IF(B1411="","Bezeichnung fehlt; ","")&amp;IF(COUNTIFS($A$2:$A$5001,$A1411,$C$2:$C$5001,C1411)&gt;1,"Artikel doppelt im selben Lager; ",""))</f>
        <v/>
      </c>
      <c r="P1411" s="47" t="n">
        <f aca="false">IF(OR($A1411="",D1411=""),0,IF(COUNTIF($D$2:D1411,D1411)=1,SUMIF($D$2:$D$5001,D1411,$H$2:$H$5001)+ROW()/10000000,0))</f>
        <v>0</v>
      </c>
      <c r="Q1411" s="47" t="n">
        <f aca="false">IF(OR($A1411="",C1411=""),0,IF(COUNTIF($C$2:C1411,C1411)=1,SUMIF($C$2:$C$5001,C1411,$H$2:$H$5001)+ROW()/10000000,0))</f>
        <v>0</v>
      </c>
    </row>
    <row r="1412" customFormat="false" ht="15" hidden="false" customHeight="false" outlineLevel="0" collapsed="false">
      <c r="A1412" s="43"/>
      <c r="B1412" s="44"/>
      <c r="C1412" s="44"/>
      <c r="D1412" s="44"/>
      <c r="E1412" s="44"/>
      <c r="F1412" s="44"/>
      <c r="G1412" s="44"/>
      <c r="H1412" s="46" t="str">
        <f aca="false">IF($A1412="","",IF(OR(NOT(ISNUMBER(E1412)),NOT(ISNUMBER(F1412))),"",MAX(0,E1412)*F1412))</f>
        <v/>
      </c>
      <c r="I1412" s="46" t="str">
        <f aca="false">IF($A1412="","",SUMIF($A$2:$A$5001,$A1412,$H$2:$H$5001))</f>
        <v/>
      </c>
      <c r="J1412" s="47" t="n">
        <f aca="false">IF($A1412="",0,IF(COUNTIF($A$2:A1412,$A1412)=1,1,0))</f>
        <v>0</v>
      </c>
      <c r="K1412" s="47" t="n">
        <f aca="false">IF(J1412=1,N(I1412)+ROW()/10000000,0)</f>
        <v>0</v>
      </c>
      <c r="L1412" s="47" t="str">
        <f aca="false">IF(AND(J1412=1,N(I1412)&gt;0),SUMIF($K$2:$K$5001,"&gt;="&amp;K1412,$I$2:$I$5001)/MAX(1,SUM($H$2:$H$5001)),"")</f>
        <v/>
      </c>
      <c r="M1412" s="47" t="str">
        <f aca="false">IF($A1412="","",INDEX($L$2:$L$5001,MATCH($A1412,$A$2:$A$5001,0)))</f>
        <v/>
      </c>
      <c r="N1412" s="48" t="str">
        <f aca="false">IF($A1412="","",IF(N(M1412)=0,"–",IF(M1412&lt;=Start!$D$20,"A",IF(M1412&lt;=Start!$D$21,"B","C"))))</f>
        <v/>
      </c>
      <c r="O1412" s="48" t="str">
        <f aca="false">IF($A1412="","",IF(NOT(ISNUMBER(F1412)),"Wert fehlt; ",IF(F1412&lt;=0,"Wert ist 0; ",""))&amp;IF(NOT(ISNUMBER(E1412)),"Bestand fehlt; ",IF(E1412&lt;0,"Bestand negativ; ",IF(E1412=0,"Nullbestand; ","")))&amp;IF(D1412="","Warengruppe fehlt; ","")&amp;IF(B1412="","Bezeichnung fehlt; ","")&amp;IF(COUNTIFS($A$2:$A$5001,$A1412,$C$2:$C$5001,C1412)&gt;1,"Artikel doppelt im selben Lager; ",""))</f>
        <v/>
      </c>
      <c r="P1412" s="47" t="n">
        <f aca="false">IF(OR($A1412="",D1412=""),0,IF(COUNTIF($D$2:D1412,D1412)=1,SUMIF($D$2:$D$5001,D1412,$H$2:$H$5001)+ROW()/10000000,0))</f>
        <v>0</v>
      </c>
      <c r="Q1412" s="47" t="n">
        <f aca="false">IF(OR($A1412="",C1412=""),0,IF(COUNTIF($C$2:C1412,C1412)=1,SUMIF($C$2:$C$5001,C1412,$H$2:$H$5001)+ROW()/10000000,0))</f>
        <v>0</v>
      </c>
    </row>
    <row r="1413" customFormat="false" ht="15" hidden="false" customHeight="false" outlineLevel="0" collapsed="false">
      <c r="A1413" s="43"/>
      <c r="B1413" s="44"/>
      <c r="C1413" s="44"/>
      <c r="D1413" s="44"/>
      <c r="E1413" s="44"/>
      <c r="F1413" s="44"/>
      <c r="G1413" s="44"/>
      <c r="H1413" s="46" t="str">
        <f aca="false">IF($A1413="","",IF(OR(NOT(ISNUMBER(E1413)),NOT(ISNUMBER(F1413))),"",MAX(0,E1413)*F1413))</f>
        <v/>
      </c>
      <c r="I1413" s="46" t="str">
        <f aca="false">IF($A1413="","",SUMIF($A$2:$A$5001,$A1413,$H$2:$H$5001))</f>
        <v/>
      </c>
      <c r="J1413" s="47" t="n">
        <f aca="false">IF($A1413="",0,IF(COUNTIF($A$2:A1413,$A1413)=1,1,0))</f>
        <v>0</v>
      </c>
      <c r="K1413" s="47" t="n">
        <f aca="false">IF(J1413=1,N(I1413)+ROW()/10000000,0)</f>
        <v>0</v>
      </c>
      <c r="L1413" s="47" t="str">
        <f aca="false">IF(AND(J1413=1,N(I1413)&gt;0),SUMIF($K$2:$K$5001,"&gt;="&amp;K1413,$I$2:$I$5001)/MAX(1,SUM($H$2:$H$5001)),"")</f>
        <v/>
      </c>
      <c r="M1413" s="47" t="str">
        <f aca="false">IF($A1413="","",INDEX($L$2:$L$5001,MATCH($A1413,$A$2:$A$5001,0)))</f>
        <v/>
      </c>
      <c r="N1413" s="48" t="str">
        <f aca="false">IF($A1413="","",IF(N(M1413)=0,"–",IF(M1413&lt;=Start!$D$20,"A",IF(M1413&lt;=Start!$D$21,"B","C"))))</f>
        <v/>
      </c>
      <c r="O1413" s="48" t="str">
        <f aca="false">IF($A1413="","",IF(NOT(ISNUMBER(F1413)),"Wert fehlt; ",IF(F1413&lt;=0,"Wert ist 0; ",""))&amp;IF(NOT(ISNUMBER(E1413)),"Bestand fehlt; ",IF(E1413&lt;0,"Bestand negativ; ",IF(E1413=0,"Nullbestand; ","")))&amp;IF(D1413="","Warengruppe fehlt; ","")&amp;IF(B1413="","Bezeichnung fehlt; ","")&amp;IF(COUNTIFS($A$2:$A$5001,$A1413,$C$2:$C$5001,C1413)&gt;1,"Artikel doppelt im selben Lager; ",""))</f>
        <v/>
      </c>
      <c r="P1413" s="47" t="n">
        <f aca="false">IF(OR($A1413="",D1413=""),0,IF(COUNTIF($D$2:D1413,D1413)=1,SUMIF($D$2:$D$5001,D1413,$H$2:$H$5001)+ROW()/10000000,0))</f>
        <v>0</v>
      </c>
      <c r="Q1413" s="47" t="n">
        <f aca="false">IF(OR($A1413="",C1413=""),0,IF(COUNTIF($C$2:C1413,C1413)=1,SUMIF($C$2:$C$5001,C1413,$H$2:$H$5001)+ROW()/10000000,0))</f>
        <v>0</v>
      </c>
    </row>
    <row r="1414" customFormat="false" ht="15" hidden="false" customHeight="false" outlineLevel="0" collapsed="false">
      <c r="A1414" s="43"/>
      <c r="B1414" s="44"/>
      <c r="C1414" s="44"/>
      <c r="D1414" s="44"/>
      <c r="E1414" s="44"/>
      <c r="F1414" s="44"/>
      <c r="G1414" s="44"/>
      <c r="H1414" s="46" t="str">
        <f aca="false">IF($A1414="","",IF(OR(NOT(ISNUMBER(E1414)),NOT(ISNUMBER(F1414))),"",MAX(0,E1414)*F1414))</f>
        <v/>
      </c>
      <c r="I1414" s="46" t="str">
        <f aca="false">IF($A1414="","",SUMIF($A$2:$A$5001,$A1414,$H$2:$H$5001))</f>
        <v/>
      </c>
      <c r="J1414" s="47" t="n">
        <f aca="false">IF($A1414="",0,IF(COUNTIF($A$2:A1414,$A1414)=1,1,0))</f>
        <v>0</v>
      </c>
      <c r="K1414" s="47" t="n">
        <f aca="false">IF(J1414=1,N(I1414)+ROW()/10000000,0)</f>
        <v>0</v>
      </c>
      <c r="L1414" s="47" t="str">
        <f aca="false">IF(AND(J1414=1,N(I1414)&gt;0),SUMIF($K$2:$K$5001,"&gt;="&amp;K1414,$I$2:$I$5001)/MAX(1,SUM($H$2:$H$5001)),"")</f>
        <v/>
      </c>
      <c r="M1414" s="47" t="str">
        <f aca="false">IF($A1414="","",INDEX($L$2:$L$5001,MATCH($A1414,$A$2:$A$5001,0)))</f>
        <v/>
      </c>
      <c r="N1414" s="48" t="str">
        <f aca="false">IF($A1414="","",IF(N(M1414)=0,"–",IF(M1414&lt;=Start!$D$20,"A",IF(M1414&lt;=Start!$D$21,"B","C"))))</f>
        <v/>
      </c>
      <c r="O1414" s="48" t="str">
        <f aca="false">IF($A1414="","",IF(NOT(ISNUMBER(F1414)),"Wert fehlt; ",IF(F1414&lt;=0,"Wert ist 0; ",""))&amp;IF(NOT(ISNUMBER(E1414)),"Bestand fehlt; ",IF(E1414&lt;0,"Bestand negativ; ",IF(E1414=0,"Nullbestand; ","")))&amp;IF(D1414="","Warengruppe fehlt; ","")&amp;IF(B1414="","Bezeichnung fehlt; ","")&amp;IF(COUNTIFS($A$2:$A$5001,$A1414,$C$2:$C$5001,C1414)&gt;1,"Artikel doppelt im selben Lager; ",""))</f>
        <v/>
      </c>
      <c r="P1414" s="47" t="n">
        <f aca="false">IF(OR($A1414="",D1414=""),0,IF(COUNTIF($D$2:D1414,D1414)=1,SUMIF($D$2:$D$5001,D1414,$H$2:$H$5001)+ROW()/10000000,0))</f>
        <v>0</v>
      </c>
      <c r="Q1414" s="47" t="n">
        <f aca="false">IF(OR($A1414="",C1414=""),0,IF(COUNTIF($C$2:C1414,C1414)=1,SUMIF($C$2:$C$5001,C1414,$H$2:$H$5001)+ROW()/10000000,0))</f>
        <v>0</v>
      </c>
    </row>
    <row r="1415" customFormat="false" ht="15" hidden="false" customHeight="false" outlineLevel="0" collapsed="false">
      <c r="A1415" s="43"/>
      <c r="B1415" s="44"/>
      <c r="C1415" s="44"/>
      <c r="D1415" s="44"/>
      <c r="E1415" s="44"/>
      <c r="F1415" s="44"/>
      <c r="G1415" s="44"/>
      <c r="H1415" s="46" t="str">
        <f aca="false">IF($A1415="","",IF(OR(NOT(ISNUMBER(E1415)),NOT(ISNUMBER(F1415))),"",MAX(0,E1415)*F1415))</f>
        <v/>
      </c>
      <c r="I1415" s="46" t="str">
        <f aca="false">IF($A1415="","",SUMIF($A$2:$A$5001,$A1415,$H$2:$H$5001))</f>
        <v/>
      </c>
      <c r="J1415" s="47" t="n">
        <f aca="false">IF($A1415="",0,IF(COUNTIF($A$2:A1415,$A1415)=1,1,0))</f>
        <v>0</v>
      </c>
      <c r="K1415" s="47" t="n">
        <f aca="false">IF(J1415=1,N(I1415)+ROW()/10000000,0)</f>
        <v>0</v>
      </c>
      <c r="L1415" s="47" t="str">
        <f aca="false">IF(AND(J1415=1,N(I1415)&gt;0),SUMIF($K$2:$K$5001,"&gt;="&amp;K1415,$I$2:$I$5001)/MAX(1,SUM($H$2:$H$5001)),"")</f>
        <v/>
      </c>
      <c r="M1415" s="47" t="str">
        <f aca="false">IF($A1415="","",INDEX($L$2:$L$5001,MATCH($A1415,$A$2:$A$5001,0)))</f>
        <v/>
      </c>
      <c r="N1415" s="48" t="str">
        <f aca="false">IF($A1415="","",IF(N(M1415)=0,"–",IF(M1415&lt;=Start!$D$20,"A",IF(M1415&lt;=Start!$D$21,"B","C"))))</f>
        <v/>
      </c>
      <c r="O1415" s="48" t="str">
        <f aca="false">IF($A1415="","",IF(NOT(ISNUMBER(F1415)),"Wert fehlt; ",IF(F1415&lt;=0,"Wert ist 0; ",""))&amp;IF(NOT(ISNUMBER(E1415)),"Bestand fehlt; ",IF(E1415&lt;0,"Bestand negativ; ",IF(E1415=0,"Nullbestand; ","")))&amp;IF(D1415="","Warengruppe fehlt; ","")&amp;IF(B1415="","Bezeichnung fehlt; ","")&amp;IF(COUNTIFS($A$2:$A$5001,$A1415,$C$2:$C$5001,C1415)&gt;1,"Artikel doppelt im selben Lager; ",""))</f>
        <v/>
      </c>
      <c r="P1415" s="47" t="n">
        <f aca="false">IF(OR($A1415="",D1415=""),0,IF(COUNTIF($D$2:D1415,D1415)=1,SUMIF($D$2:$D$5001,D1415,$H$2:$H$5001)+ROW()/10000000,0))</f>
        <v>0</v>
      </c>
      <c r="Q1415" s="47" t="n">
        <f aca="false">IF(OR($A1415="",C1415=""),0,IF(COUNTIF($C$2:C1415,C1415)=1,SUMIF($C$2:$C$5001,C1415,$H$2:$H$5001)+ROW()/10000000,0))</f>
        <v>0</v>
      </c>
    </row>
    <row r="1416" customFormat="false" ht="15" hidden="false" customHeight="false" outlineLevel="0" collapsed="false">
      <c r="A1416" s="43"/>
      <c r="B1416" s="44"/>
      <c r="C1416" s="44"/>
      <c r="D1416" s="44"/>
      <c r="E1416" s="44"/>
      <c r="F1416" s="44"/>
      <c r="G1416" s="44"/>
      <c r="H1416" s="46" t="str">
        <f aca="false">IF($A1416="","",IF(OR(NOT(ISNUMBER(E1416)),NOT(ISNUMBER(F1416))),"",MAX(0,E1416)*F1416))</f>
        <v/>
      </c>
      <c r="I1416" s="46" t="str">
        <f aca="false">IF($A1416="","",SUMIF($A$2:$A$5001,$A1416,$H$2:$H$5001))</f>
        <v/>
      </c>
      <c r="J1416" s="47" t="n">
        <f aca="false">IF($A1416="",0,IF(COUNTIF($A$2:A1416,$A1416)=1,1,0))</f>
        <v>0</v>
      </c>
      <c r="K1416" s="47" t="n">
        <f aca="false">IF(J1416=1,N(I1416)+ROW()/10000000,0)</f>
        <v>0</v>
      </c>
      <c r="L1416" s="47" t="str">
        <f aca="false">IF(AND(J1416=1,N(I1416)&gt;0),SUMIF($K$2:$K$5001,"&gt;="&amp;K1416,$I$2:$I$5001)/MAX(1,SUM($H$2:$H$5001)),"")</f>
        <v/>
      </c>
      <c r="M1416" s="47" t="str">
        <f aca="false">IF($A1416="","",INDEX($L$2:$L$5001,MATCH($A1416,$A$2:$A$5001,0)))</f>
        <v/>
      </c>
      <c r="N1416" s="48" t="str">
        <f aca="false">IF($A1416="","",IF(N(M1416)=0,"–",IF(M1416&lt;=Start!$D$20,"A",IF(M1416&lt;=Start!$D$21,"B","C"))))</f>
        <v/>
      </c>
      <c r="O1416" s="48" t="str">
        <f aca="false">IF($A1416="","",IF(NOT(ISNUMBER(F1416)),"Wert fehlt; ",IF(F1416&lt;=0,"Wert ist 0; ",""))&amp;IF(NOT(ISNUMBER(E1416)),"Bestand fehlt; ",IF(E1416&lt;0,"Bestand negativ; ",IF(E1416=0,"Nullbestand; ","")))&amp;IF(D1416="","Warengruppe fehlt; ","")&amp;IF(B1416="","Bezeichnung fehlt; ","")&amp;IF(COUNTIFS($A$2:$A$5001,$A1416,$C$2:$C$5001,C1416)&gt;1,"Artikel doppelt im selben Lager; ",""))</f>
        <v/>
      </c>
      <c r="P1416" s="47" t="n">
        <f aca="false">IF(OR($A1416="",D1416=""),0,IF(COUNTIF($D$2:D1416,D1416)=1,SUMIF($D$2:$D$5001,D1416,$H$2:$H$5001)+ROW()/10000000,0))</f>
        <v>0</v>
      </c>
      <c r="Q1416" s="47" t="n">
        <f aca="false">IF(OR($A1416="",C1416=""),0,IF(COUNTIF($C$2:C1416,C1416)=1,SUMIF($C$2:$C$5001,C1416,$H$2:$H$5001)+ROW()/10000000,0))</f>
        <v>0</v>
      </c>
    </row>
    <row r="1417" customFormat="false" ht="15" hidden="false" customHeight="false" outlineLevel="0" collapsed="false">
      <c r="A1417" s="43"/>
      <c r="B1417" s="44"/>
      <c r="C1417" s="44"/>
      <c r="D1417" s="44"/>
      <c r="E1417" s="44"/>
      <c r="F1417" s="44"/>
      <c r="G1417" s="44"/>
      <c r="H1417" s="46" t="str">
        <f aca="false">IF($A1417="","",IF(OR(NOT(ISNUMBER(E1417)),NOT(ISNUMBER(F1417))),"",MAX(0,E1417)*F1417))</f>
        <v/>
      </c>
      <c r="I1417" s="46" t="str">
        <f aca="false">IF($A1417="","",SUMIF($A$2:$A$5001,$A1417,$H$2:$H$5001))</f>
        <v/>
      </c>
      <c r="J1417" s="47" t="n">
        <f aca="false">IF($A1417="",0,IF(COUNTIF($A$2:A1417,$A1417)=1,1,0))</f>
        <v>0</v>
      </c>
      <c r="K1417" s="47" t="n">
        <f aca="false">IF(J1417=1,N(I1417)+ROW()/10000000,0)</f>
        <v>0</v>
      </c>
      <c r="L1417" s="47" t="str">
        <f aca="false">IF(AND(J1417=1,N(I1417)&gt;0),SUMIF($K$2:$K$5001,"&gt;="&amp;K1417,$I$2:$I$5001)/MAX(1,SUM($H$2:$H$5001)),"")</f>
        <v/>
      </c>
      <c r="M1417" s="47" t="str">
        <f aca="false">IF($A1417="","",INDEX($L$2:$L$5001,MATCH($A1417,$A$2:$A$5001,0)))</f>
        <v/>
      </c>
      <c r="N1417" s="48" t="str">
        <f aca="false">IF($A1417="","",IF(N(M1417)=0,"–",IF(M1417&lt;=Start!$D$20,"A",IF(M1417&lt;=Start!$D$21,"B","C"))))</f>
        <v/>
      </c>
      <c r="O1417" s="48" t="str">
        <f aca="false">IF($A1417="","",IF(NOT(ISNUMBER(F1417)),"Wert fehlt; ",IF(F1417&lt;=0,"Wert ist 0; ",""))&amp;IF(NOT(ISNUMBER(E1417)),"Bestand fehlt; ",IF(E1417&lt;0,"Bestand negativ; ",IF(E1417=0,"Nullbestand; ","")))&amp;IF(D1417="","Warengruppe fehlt; ","")&amp;IF(B1417="","Bezeichnung fehlt; ","")&amp;IF(COUNTIFS($A$2:$A$5001,$A1417,$C$2:$C$5001,C1417)&gt;1,"Artikel doppelt im selben Lager; ",""))</f>
        <v/>
      </c>
      <c r="P1417" s="47" t="n">
        <f aca="false">IF(OR($A1417="",D1417=""),0,IF(COUNTIF($D$2:D1417,D1417)=1,SUMIF($D$2:$D$5001,D1417,$H$2:$H$5001)+ROW()/10000000,0))</f>
        <v>0</v>
      </c>
      <c r="Q1417" s="47" t="n">
        <f aca="false">IF(OR($A1417="",C1417=""),0,IF(COUNTIF($C$2:C1417,C1417)=1,SUMIF($C$2:$C$5001,C1417,$H$2:$H$5001)+ROW()/10000000,0))</f>
        <v>0</v>
      </c>
    </row>
    <row r="1418" customFormat="false" ht="15" hidden="false" customHeight="false" outlineLevel="0" collapsed="false">
      <c r="A1418" s="43"/>
      <c r="B1418" s="44"/>
      <c r="C1418" s="44"/>
      <c r="D1418" s="44"/>
      <c r="E1418" s="44"/>
      <c r="F1418" s="44"/>
      <c r="G1418" s="44"/>
      <c r="H1418" s="46" t="str">
        <f aca="false">IF($A1418="","",IF(OR(NOT(ISNUMBER(E1418)),NOT(ISNUMBER(F1418))),"",MAX(0,E1418)*F1418))</f>
        <v/>
      </c>
      <c r="I1418" s="46" t="str">
        <f aca="false">IF($A1418="","",SUMIF($A$2:$A$5001,$A1418,$H$2:$H$5001))</f>
        <v/>
      </c>
      <c r="J1418" s="47" t="n">
        <f aca="false">IF($A1418="",0,IF(COUNTIF($A$2:A1418,$A1418)=1,1,0))</f>
        <v>0</v>
      </c>
      <c r="K1418" s="47" t="n">
        <f aca="false">IF(J1418=1,N(I1418)+ROW()/10000000,0)</f>
        <v>0</v>
      </c>
      <c r="L1418" s="47" t="str">
        <f aca="false">IF(AND(J1418=1,N(I1418)&gt;0),SUMIF($K$2:$K$5001,"&gt;="&amp;K1418,$I$2:$I$5001)/MAX(1,SUM($H$2:$H$5001)),"")</f>
        <v/>
      </c>
      <c r="M1418" s="47" t="str">
        <f aca="false">IF($A1418="","",INDEX($L$2:$L$5001,MATCH($A1418,$A$2:$A$5001,0)))</f>
        <v/>
      </c>
      <c r="N1418" s="48" t="str">
        <f aca="false">IF($A1418="","",IF(N(M1418)=0,"–",IF(M1418&lt;=Start!$D$20,"A",IF(M1418&lt;=Start!$D$21,"B","C"))))</f>
        <v/>
      </c>
      <c r="O1418" s="48" t="str">
        <f aca="false">IF($A1418="","",IF(NOT(ISNUMBER(F1418)),"Wert fehlt; ",IF(F1418&lt;=0,"Wert ist 0; ",""))&amp;IF(NOT(ISNUMBER(E1418)),"Bestand fehlt; ",IF(E1418&lt;0,"Bestand negativ; ",IF(E1418=0,"Nullbestand; ","")))&amp;IF(D1418="","Warengruppe fehlt; ","")&amp;IF(B1418="","Bezeichnung fehlt; ","")&amp;IF(COUNTIFS($A$2:$A$5001,$A1418,$C$2:$C$5001,C1418)&gt;1,"Artikel doppelt im selben Lager; ",""))</f>
        <v/>
      </c>
      <c r="P1418" s="47" t="n">
        <f aca="false">IF(OR($A1418="",D1418=""),0,IF(COUNTIF($D$2:D1418,D1418)=1,SUMIF($D$2:$D$5001,D1418,$H$2:$H$5001)+ROW()/10000000,0))</f>
        <v>0</v>
      </c>
      <c r="Q1418" s="47" t="n">
        <f aca="false">IF(OR($A1418="",C1418=""),0,IF(COUNTIF($C$2:C1418,C1418)=1,SUMIF($C$2:$C$5001,C1418,$H$2:$H$5001)+ROW()/10000000,0))</f>
        <v>0</v>
      </c>
    </row>
    <row r="1419" customFormat="false" ht="15" hidden="false" customHeight="false" outlineLevel="0" collapsed="false">
      <c r="A1419" s="43"/>
      <c r="B1419" s="44"/>
      <c r="C1419" s="44"/>
      <c r="D1419" s="44"/>
      <c r="E1419" s="44"/>
      <c r="F1419" s="44"/>
      <c r="G1419" s="44"/>
      <c r="H1419" s="46" t="str">
        <f aca="false">IF($A1419="","",IF(OR(NOT(ISNUMBER(E1419)),NOT(ISNUMBER(F1419))),"",MAX(0,E1419)*F1419))</f>
        <v/>
      </c>
      <c r="I1419" s="46" t="str">
        <f aca="false">IF($A1419="","",SUMIF($A$2:$A$5001,$A1419,$H$2:$H$5001))</f>
        <v/>
      </c>
      <c r="J1419" s="47" t="n">
        <f aca="false">IF($A1419="",0,IF(COUNTIF($A$2:A1419,$A1419)=1,1,0))</f>
        <v>0</v>
      </c>
      <c r="K1419" s="47" t="n">
        <f aca="false">IF(J1419=1,N(I1419)+ROW()/10000000,0)</f>
        <v>0</v>
      </c>
      <c r="L1419" s="47" t="str">
        <f aca="false">IF(AND(J1419=1,N(I1419)&gt;0),SUMIF($K$2:$K$5001,"&gt;="&amp;K1419,$I$2:$I$5001)/MAX(1,SUM($H$2:$H$5001)),"")</f>
        <v/>
      </c>
      <c r="M1419" s="47" t="str">
        <f aca="false">IF($A1419="","",INDEX($L$2:$L$5001,MATCH($A1419,$A$2:$A$5001,0)))</f>
        <v/>
      </c>
      <c r="N1419" s="48" t="str">
        <f aca="false">IF($A1419="","",IF(N(M1419)=0,"–",IF(M1419&lt;=Start!$D$20,"A",IF(M1419&lt;=Start!$D$21,"B","C"))))</f>
        <v/>
      </c>
      <c r="O1419" s="48" t="str">
        <f aca="false">IF($A1419="","",IF(NOT(ISNUMBER(F1419)),"Wert fehlt; ",IF(F1419&lt;=0,"Wert ist 0; ",""))&amp;IF(NOT(ISNUMBER(E1419)),"Bestand fehlt; ",IF(E1419&lt;0,"Bestand negativ; ",IF(E1419=0,"Nullbestand; ","")))&amp;IF(D1419="","Warengruppe fehlt; ","")&amp;IF(B1419="","Bezeichnung fehlt; ","")&amp;IF(COUNTIFS($A$2:$A$5001,$A1419,$C$2:$C$5001,C1419)&gt;1,"Artikel doppelt im selben Lager; ",""))</f>
        <v/>
      </c>
      <c r="P1419" s="47" t="n">
        <f aca="false">IF(OR($A1419="",D1419=""),0,IF(COUNTIF($D$2:D1419,D1419)=1,SUMIF($D$2:$D$5001,D1419,$H$2:$H$5001)+ROW()/10000000,0))</f>
        <v>0</v>
      </c>
      <c r="Q1419" s="47" t="n">
        <f aca="false">IF(OR($A1419="",C1419=""),0,IF(COUNTIF($C$2:C1419,C1419)=1,SUMIF($C$2:$C$5001,C1419,$H$2:$H$5001)+ROW()/10000000,0))</f>
        <v>0</v>
      </c>
    </row>
    <row r="1420" customFormat="false" ht="15" hidden="false" customHeight="false" outlineLevel="0" collapsed="false">
      <c r="A1420" s="43"/>
      <c r="B1420" s="44"/>
      <c r="C1420" s="44"/>
      <c r="D1420" s="44"/>
      <c r="E1420" s="44"/>
      <c r="F1420" s="44"/>
      <c r="G1420" s="44"/>
      <c r="H1420" s="46" t="str">
        <f aca="false">IF($A1420="","",IF(OR(NOT(ISNUMBER(E1420)),NOT(ISNUMBER(F1420))),"",MAX(0,E1420)*F1420))</f>
        <v/>
      </c>
      <c r="I1420" s="46" t="str">
        <f aca="false">IF($A1420="","",SUMIF($A$2:$A$5001,$A1420,$H$2:$H$5001))</f>
        <v/>
      </c>
      <c r="J1420" s="47" t="n">
        <f aca="false">IF($A1420="",0,IF(COUNTIF($A$2:A1420,$A1420)=1,1,0))</f>
        <v>0</v>
      </c>
      <c r="K1420" s="47" t="n">
        <f aca="false">IF(J1420=1,N(I1420)+ROW()/10000000,0)</f>
        <v>0</v>
      </c>
      <c r="L1420" s="47" t="str">
        <f aca="false">IF(AND(J1420=1,N(I1420)&gt;0),SUMIF($K$2:$K$5001,"&gt;="&amp;K1420,$I$2:$I$5001)/MAX(1,SUM($H$2:$H$5001)),"")</f>
        <v/>
      </c>
      <c r="M1420" s="47" t="str">
        <f aca="false">IF($A1420="","",INDEX($L$2:$L$5001,MATCH($A1420,$A$2:$A$5001,0)))</f>
        <v/>
      </c>
      <c r="N1420" s="48" t="str">
        <f aca="false">IF($A1420="","",IF(N(M1420)=0,"–",IF(M1420&lt;=Start!$D$20,"A",IF(M1420&lt;=Start!$D$21,"B","C"))))</f>
        <v/>
      </c>
      <c r="O1420" s="48" t="str">
        <f aca="false">IF($A1420="","",IF(NOT(ISNUMBER(F1420)),"Wert fehlt; ",IF(F1420&lt;=0,"Wert ist 0; ",""))&amp;IF(NOT(ISNUMBER(E1420)),"Bestand fehlt; ",IF(E1420&lt;0,"Bestand negativ; ",IF(E1420=0,"Nullbestand; ","")))&amp;IF(D1420="","Warengruppe fehlt; ","")&amp;IF(B1420="","Bezeichnung fehlt; ","")&amp;IF(COUNTIFS($A$2:$A$5001,$A1420,$C$2:$C$5001,C1420)&gt;1,"Artikel doppelt im selben Lager; ",""))</f>
        <v/>
      </c>
      <c r="P1420" s="47" t="n">
        <f aca="false">IF(OR($A1420="",D1420=""),0,IF(COUNTIF($D$2:D1420,D1420)=1,SUMIF($D$2:$D$5001,D1420,$H$2:$H$5001)+ROW()/10000000,0))</f>
        <v>0</v>
      </c>
      <c r="Q1420" s="47" t="n">
        <f aca="false">IF(OR($A1420="",C1420=""),0,IF(COUNTIF($C$2:C1420,C1420)=1,SUMIF($C$2:$C$5001,C1420,$H$2:$H$5001)+ROW()/10000000,0))</f>
        <v>0</v>
      </c>
    </row>
    <row r="1421" customFormat="false" ht="15" hidden="false" customHeight="false" outlineLevel="0" collapsed="false">
      <c r="A1421" s="43"/>
      <c r="B1421" s="44"/>
      <c r="C1421" s="44"/>
      <c r="D1421" s="44"/>
      <c r="E1421" s="44"/>
      <c r="F1421" s="44"/>
      <c r="G1421" s="44"/>
      <c r="H1421" s="46" t="str">
        <f aca="false">IF($A1421="","",IF(OR(NOT(ISNUMBER(E1421)),NOT(ISNUMBER(F1421))),"",MAX(0,E1421)*F1421))</f>
        <v/>
      </c>
      <c r="I1421" s="46" t="str">
        <f aca="false">IF($A1421="","",SUMIF($A$2:$A$5001,$A1421,$H$2:$H$5001))</f>
        <v/>
      </c>
      <c r="J1421" s="47" t="n">
        <f aca="false">IF($A1421="",0,IF(COUNTIF($A$2:A1421,$A1421)=1,1,0))</f>
        <v>0</v>
      </c>
      <c r="K1421" s="47" t="n">
        <f aca="false">IF(J1421=1,N(I1421)+ROW()/10000000,0)</f>
        <v>0</v>
      </c>
      <c r="L1421" s="47" t="str">
        <f aca="false">IF(AND(J1421=1,N(I1421)&gt;0),SUMIF($K$2:$K$5001,"&gt;="&amp;K1421,$I$2:$I$5001)/MAX(1,SUM($H$2:$H$5001)),"")</f>
        <v/>
      </c>
      <c r="M1421" s="47" t="str">
        <f aca="false">IF($A1421="","",INDEX($L$2:$L$5001,MATCH($A1421,$A$2:$A$5001,0)))</f>
        <v/>
      </c>
      <c r="N1421" s="48" t="str">
        <f aca="false">IF($A1421="","",IF(N(M1421)=0,"–",IF(M1421&lt;=Start!$D$20,"A",IF(M1421&lt;=Start!$D$21,"B","C"))))</f>
        <v/>
      </c>
      <c r="O1421" s="48" t="str">
        <f aca="false">IF($A1421="","",IF(NOT(ISNUMBER(F1421)),"Wert fehlt; ",IF(F1421&lt;=0,"Wert ist 0; ",""))&amp;IF(NOT(ISNUMBER(E1421)),"Bestand fehlt; ",IF(E1421&lt;0,"Bestand negativ; ",IF(E1421=0,"Nullbestand; ","")))&amp;IF(D1421="","Warengruppe fehlt; ","")&amp;IF(B1421="","Bezeichnung fehlt; ","")&amp;IF(COUNTIFS($A$2:$A$5001,$A1421,$C$2:$C$5001,C1421)&gt;1,"Artikel doppelt im selben Lager; ",""))</f>
        <v/>
      </c>
      <c r="P1421" s="47" t="n">
        <f aca="false">IF(OR($A1421="",D1421=""),0,IF(COUNTIF($D$2:D1421,D1421)=1,SUMIF($D$2:$D$5001,D1421,$H$2:$H$5001)+ROW()/10000000,0))</f>
        <v>0</v>
      </c>
      <c r="Q1421" s="47" t="n">
        <f aca="false">IF(OR($A1421="",C1421=""),0,IF(COUNTIF($C$2:C1421,C1421)=1,SUMIF($C$2:$C$5001,C1421,$H$2:$H$5001)+ROW()/10000000,0))</f>
        <v>0</v>
      </c>
    </row>
    <row r="1422" customFormat="false" ht="15" hidden="false" customHeight="false" outlineLevel="0" collapsed="false">
      <c r="A1422" s="43"/>
      <c r="B1422" s="44"/>
      <c r="C1422" s="44"/>
      <c r="D1422" s="44"/>
      <c r="E1422" s="44"/>
      <c r="F1422" s="44"/>
      <c r="G1422" s="44"/>
      <c r="H1422" s="46" t="str">
        <f aca="false">IF($A1422="","",IF(OR(NOT(ISNUMBER(E1422)),NOT(ISNUMBER(F1422))),"",MAX(0,E1422)*F1422))</f>
        <v/>
      </c>
      <c r="I1422" s="46" t="str">
        <f aca="false">IF($A1422="","",SUMIF($A$2:$A$5001,$A1422,$H$2:$H$5001))</f>
        <v/>
      </c>
      <c r="J1422" s="47" t="n">
        <f aca="false">IF($A1422="",0,IF(COUNTIF($A$2:A1422,$A1422)=1,1,0))</f>
        <v>0</v>
      </c>
      <c r="K1422" s="47" t="n">
        <f aca="false">IF(J1422=1,N(I1422)+ROW()/10000000,0)</f>
        <v>0</v>
      </c>
      <c r="L1422" s="47" t="str">
        <f aca="false">IF(AND(J1422=1,N(I1422)&gt;0),SUMIF($K$2:$K$5001,"&gt;="&amp;K1422,$I$2:$I$5001)/MAX(1,SUM($H$2:$H$5001)),"")</f>
        <v/>
      </c>
      <c r="M1422" s="47" t="str">
        <f aca="false">IF($A1422="","",INDEX($L$2:$L$5001,MATCH($A1422,$A$2:$A$5001,0)))</f>
        <v/>
      </c>
      <c r="N1422" s="48" t="str">
        <f aca="false">IF($A1422="","",IF(N(M1422)=0,"–",IF(M1422&lt;=Start!$D$20,"A",IF(M1422&lt;=Start!$D$21,"B","C"))))</f>
        <v/>
      </c>
      <c r="O1422" s="48" t="str">
        <f aca="false">IF($A1422="","",IF(NOT(ISNUMBER(F1422)),"Wert fehlt; ",IF(F1422&lt;=0,"Wert ist 0; ",""))&amp;IF(NOT(ISNUMBER(E1422)),"Bestand fehlt; ",IF(E1422&lt;0,"Bestand negativ; ",IF(E1422=0,"Nullbestand; ","")))&amp;IF(D1422="","Warengruppe fehlt; ","")&amp;IF(B1422="","Bezeichnung fehlt; ","")&amp;IF(COUNTIFS($A$2:$A$5001,$A1422,$C$2:$C$5001,C1422)&gt;1,"Artikel doppelt im selben Lager; ",""))</f>
        <v/>
      </c>
      <c r="P1422" s="47" t="n">
        <f aca="false">IF(OR($A1422="",D1422=""),0,IF(COUNTIF($D$2:D1422,D1422)=1,SUMIF($D$2:$D$5001,D1422,$H$2:$H$5001)+ROW()/10000000,0))</f>
        <v>0</v>
      </c>
      <c r="Q1422" s="47" t="n">
        <f aca="false">IF(OR($A1422="",C1422=""),0,IF(COUNTIF($C$2:C1422,C1422)=1,SUMIF($C$2:$C$5001,C1422,$H$2:$H$5001)+ROW()/10000000,0))</f>
        <v>0</v>
      </c>
    </row>
    <row r="1423" customFormat="false" ht="15" hidden="false" customHeight="false" outlineLevel="0" collapsed="false">
      <c r="A1423" s="43"/>
      <c r="B1423" s="44"/>
      <c r="C1423" s="44"/>
      <c r="D1423" s="44"/>
      <c r="E1423" s="44"/>
      <c r="F1423" s="44"/>
      <c r="G1423" s="44"/>
      <c r="H1423" s="46" t="str">
        <f aca="false">IF($A1423="","",IF(OR(NOT(ISNUMBER(E1423)),NOT(ISNUMBER(F1423))),"",MAX(0,E1423)*F1423))</f>
        <v/>
      </c>
      <c r="I1423" s="46" t="str">
        <f aca="false">IF($A1423="","",SUMIF($A$2:$A$5001,$A1423,$H$2:$H$5001))</f>
        <v/>
      </c>
      <c r="J1423" s="47" t="n">
        <f aca="false">IF($A1423="",0,IF(COUNTIF($A$2:A1423,$A1423)=1,1,0))</f>
        <v>0</v>
      </c>
      <c r="K1423" s="47" t="n">
        <f aca="false">IF(J1423=1,N(I1423)+ROW()/10000000,0)</f>
        <v>0</v>
      </c>
      <c r="L1423" s="47" t="str">
        <f aca="false">IF(AND(J1423=1,N(I1423)&gt;0),SUMIF($K$2:$K$5001,"&gt;="&amp;K1423,$I$2:$I$5001)/MAX(1,SUM($H$2:$H$5001)),"")</f>
        <v/>
      </c>
      <c r="M1423" s="47" t="str">
        <f aca="false">IF($A1423="","",INDEX($L$2:$L$5001,MATCH($A1423,$A$2:$A$5001,0)))</f>
        <v/>
      </c>
      <c r="N1423" s="48" t="str">
        <f aca="false">IF($A1423="","",IF(N(M1423)=0,"–",IF(M1423&lt;=Start!$D$20,"A",IF(M1423&lt;=Start!$D$21,"B","C"))))</f>
        <v/>
      </c>
      <c r="O1423" s="48" t="str">
        <f aca="false">IF($A1423="","",IF(NOT(ISNUMBER(F1423)),"Wert fehlt; ",IF(F1423&lt;=0,"Wert ist 0; ",""))&amp;IF(NOT(ISNUMBER(E1423)),"Bestand fehlt; ",IF(E1423&lt;0,"Bestand negativ; ",IF(E1423=0,"Nullbestand; ","")))&amp;IF(D1423="","Warengruppe fehlt; ","")&amp;IF(B1423="","Bezeichnung fehlt; ","")&amp;IF(COUNTIFS($A$2:$A$5001,$A1423,$C$2:$C$5001,C1423)&gt;1,"Artikel doppelt im selben Lager; ",""))</f>
        <v/>
      </c>
      <c r="P1423" s="47" t="n">
        <f aca="false">IF(OR($A1423="",D1423=""),0,IF(COUNTIF($D$2:D1423,D1423)=1,SUMIF($D$2:$D$5001,D1423,$H$2:$H$5001)+ROW()/10000000,0))</f>
        <v>0</v>
      </c>
      <c r="Q1423" s="47" t="n">
        <f aca="false">IF(OR($A1423="",C1423=""),0,IF(COUNTIF($C$2:C1423,C1423)=1,SUMIF($C$2:$C$5001,C1423,$H$2:$H$5001)+ROW()/10000000,0))</f>
        <v>0</v>
      </c>
    </row>
    <row r="1424" customFormat="false" ht="15" hidden="false" customHeight="false" outlineLevel="0" collapsed="false">
      <c r="A1424" s="43"/>
      <c r="B1424" s="44"/>
      <c r="C1424" s="44"/>
      <c r="D1424" s="44"/>
      <c r="E1424" s="44"/>
      <c r="F1424" s="44"/>
      <c r="G1424" s="44"/>
      <c r="H1424" s="46" t="str">
        <f aca="false">IF($A1424="","",IF(OR(NOT(ISNUMBER(E1424)),NOT(ISNUMBER(F1424))),"",MAX(0,E1424)*F1424))</f>
        <v/>
      </c>
      <c r="I1424" s="46" t="str">
        <f aca="false">IF($A1424="","",SUMIF($A$2:$A$5001,$A1424,$H$2:$H$5001))</f>
        <v/>
      </c>
      <c r="J1424" s="47" t="n">
        <f aca="false">IF($A1424="",0,IF(COUNTIF($A$2:A1424,$A1424)=1,1,0))</f>
        <v>0</v>
      </c>
      <c r="K1424" s="47" t="n">
        <f aca="false">IF(J1424=1,N(I1424)+ROW()/10000000,0)</f>
        <v>0</v>
      </c>
      <c r="L1424" s="47" t="str">
        <f aca="false">IF(AND(J1424=1,N(I1424)&gt;0),SUMIF($K$2:$K$5001,"&gt;="&amp;K1424,$I$2:$I$5001)/MAX(1,SUM($H$2:$H$5001)),"")</f>
        <v/>
      </c>
      <c r="M1424" s="47" t="str">
        <f aca="false">IF($A1424="","",INDEX($L$2:$L$5001,MATCH($A1424,$A$2:$A$5001,0)))</f>
        <v/>
      </c>
      <c r="N1424" s="48" t="str">
        <f aca="false">IF($A1424="","",IF(N(M1424)=0,"–",IF(M1424&lt;=Start!$D$20,"A",IF(M1424&lt;=Start!$D$21,"B","C"))))</f>
        <v/>
      </c>
      <c r="O1424" s="48" t="str">
        <f aca="false">IF($A1424="","",IF(NOT(ISNUMBER(F1424)),"Wert fehlt; ",IF(F1424&lt;=0,"Wert ist 0; ",""))&amp;IF(NOT(ISNUMBER(E1424)),"Bestand fehlt; ",IF(E1424&lt;0,"Bestand negativ; ",IF(E1424=0,"Nullbestand; ","")))&amp;IF(D1424="","Warengruppe fehlt; ","")&amp;IF(B1424="","Bezeichnung fehlt; ","")&amp;IF(COUNTIFS($A$2:$A$5001,$A1424,$C$2:$C$5001,C1424)&gt;1,"Artikel doppelt im selben Lager; ",""))</f>
        <v/>
      </c>
      <c r="P1424" s="47" t="n">
        <f aca="false">IF(OR($A1424="",D1424=""),0,IF(COUNTIF($D$2:D1424,D1424)=1,SUMIF($D$2:$D$5001,D1424,$H$2:$H$5001)+ROW()/10000000,0))</f>
        <v>0</v>
      </c>
      <c r="Q1424" s="47" t="n">
        <f aca="false">IF(OR($A1424="",C1424=""),0,IF(COUNTIF($C$2:C1424,C1424)=1,SUMIF($C$2:$C$5001,C1424,$H$2:$H$5001)+ROW()/10000000,0))</f>
        <v>0</v>
      </c>
    </row>
    <row r="1425" customFormat="false" ht="15" hidden="false" customHeight="false" outlineLevel="0" collapsed="false">
      <c r="A1425" s="43"/>
      <c r="B1425" s="44"/>
      <c r="C1425" s="44"/>
      <c r="D1425" s="44"/>
      <c r="E1425" s="44"/>
      <c r="F1425" s="44"/>
      <c r="G1425" s="44"/>
      <c r="H1425" s="46" t="str">
        <f aca="false">IF($A1425="","",IF(OR(NOT(ISNUMBER(E1425)),NOT(ISNUMBER(F1425))),"",MAX(0,E1425)*F1425))</f>
        <v/>
      </c>
      <c r="I1425" s="46" t="str">
        <f aca="false">IF($A1425="","",SUMIF($A$2:$A$5001,$A1425,$H$2:$H$5001))</f>
        <v/>
      </c>
      <c r="J1425" s="47" t="n">
        <f aca="false">IF($A1425="",0,IF(COUNTIF($A$2:A1425,$A1425)=1,1,0))</f>
        <v>0</v>
      </c>
      <c r="K1425" s="47" t="n">
        <f aca="false">IF(J1425=1,N(I1425)+ROW()/10000000,0)</f>
        <v>0</v>
      </c>
      <c r="L1425" s="47" t="str">
        <f aca="false">IF(AND(J1425=1,N(I1425)&gt;0),SUMIF($K$2:$K$5001,"&gt;="&amp;K1425,$I$2:$I$5001)/MAX(1,SUM($H$2:$H$5001)),"")</f>
        <v/>
      </c>
      <c r="M1425" s="47" t="str">
        <f aca="false">IF($A1425="","",INDEX($L$2:$L$5001,MATCH($A1425,$A$2:$A$5001,0)))</f>
        <v/>
      </c>
      <c r="N1425" s="48" t="str">
        <f aca="false">IF($A1425="","",IF(N(M1425)=0,"–",IF(M1425&lt;=Start!$D$20,"A",IF(M1425&lt;=Start!$D$21,"B","C"))))</f>
        <v/>
      </c>
      <c r="O1425" s="48" t="str">
        <f aca="false">IF($A1425="","",IF(NOT(ISNUMBER(F1425)),"Wert fehlt; ",IF(F1425&lt;=0,"Wert ist 0; ",""))&amp;IF(NOT(ISNUMBER(E1425)),"Bestand fehlt; ",IF(E1425&lt;0,"Bestand negativ; ",IF(E1425=0,"Nullbestand; ","")))&amp;IF(D1425="","Warengruppe fehlt; ","")&amp;IF(B1425="","Bezeichnung fehlt; ","")&amp;IF(COUNTIFS($A$2:$A$5001,$A1425,$C$2:$C$5001,C1425)&gt;1,"Artikel doppelt im selben Lager; ",""))</f>
        <v/>
      </c>
      <c r="P1425" s="47" t="n">
        <f aca="false">IF(OR($A1425="",D1425=""),0,IF(COUNTIF($D$2:D1425,D1425)=1,SUMIF($D$2:$D$5001,D1425,$H$2:$H$5001)+ROW()/10000000,0))</f>
        <v>0</v>
      </c>
      <c r="Q1425" s="47" t="n">
        <f aca="false">IF(OR($A1425="",C1425=""),0,IF(COUNTIF($C$2:C1425,C1425)=1,SUMIF($C$2:$C$5001,C1425,$H$2:$H$5001)+ROW()/10000000,0))</f>
        <v>0</v>
      </c>
    </row>
    <row r="1426" customFormat="false" ht="15" hidden="false" customHeight="false" outlineLevel="0" collapsed="false">
      <c r="A1426" s="43"/>
      <c r="B1426" s="44"/>
      <c r="C1426" s="44"/>
      <c r="D1426" s="44"/>
      <c r="E1426" s="44"/>
      <c r="F1426" s="44"/>
      <c r="G1426" s="44"/>
      <c r="H1426" s="46" t="str">
        <f aca="false">IF($A1426="","",IF(OR(NOT(ISNUMBER(E1426)),NOT(ISNUMBER(F1426))),"",MAX(0,E1426)*F1426))</f>
        <v/>
      </c>
      <c r="I1426" s="46" t="str">
        <f aca="false">IF($A1426="","",SUMIF($A$2:$A$5001,$A1426,$H$2:$H$5001))</f>
        <v/>
      </c>
      <c r="J1426" s="47" t="n">
        <f aca="false">IF($A1426="",0,IF(COUNTIF($A$2:A1426,$A1426)=1,1,0))</f>
        <v>0</v>
      </c>
      <c r="K1426" s="47" t="n">
        <f aca="false">IF(J1426=1,N(I1426)+ROW()/10000000,0)</f>
        <v>0</v>
      </c>
      <c r="L1426" s="47" t="str">
        <f aca="false">IF(AND(J1426=1,N(I1426)&gt;0),SUMIF($K$2:$K$5001,"&gt;="&amp;K1426,$I$2:$I$5001)/MAX(1,SUM($H$2:$H$5001)),"")</f>
        <v/>
      </c>
      <c r="M1426" s="47" t="str">
        <f aca="false">IF($A1426="","",INDEX($L$2:$L$5001,MATCH($A1426,$A$2:$A$5001,0)))</f>
        <v/>
      </c>
      <c r="N1426" s="48" t="str">
        <f aca="false">IF($A1426="","",IF(N(M1426)=0,"–",IF(M1426&lt;=Start!$D$20,"A",IF(M1426&lt;=Start!$D$21,"B","C"))))</f>
        <v/>
      </c>
      <c r="O1426" s="48" t="str">
        <f aca="false">IF($A1426="","",IF(NOT(ISNUMBER(F1426)),"Wert fehlt; ",IF(F1426&lt;=0,"Wert ist 0; ",""))&amp;IF(NOT(ISNUMBER(E1426)),"Bestand fehlt; ",IF(E1426&lt;0,"Bestand negativ; ",IF(E1426=0,"Nullbestand; ","")))&amp;IF(D1426="","Warengruppe fehlt; ","")&amp;IF(B1426="","Bezeichnung fehlt; ","")&amp;IF(COUNTIFS($A$2:$A$5001,$A1426,$C$2:$C$5001,C1426)&gt;1,"Artikel doppelt im selben Lager; ",""))</f>
        <v/>
      </c>
      <c r="P1426" s="47" t="n">
        <f aca="false">IF(OR($A1426="",D1426=""),0,IF(COUNTIF($D$2:D1426,D1426)=1,SUMIF($D$2:$D$5001,D1426,$H$2:$H$5001)+ROW()/10000000,0))</f>
        <v>0</v>
      </c>
      <c r="Q1426" s="47" t="n">
        <f aca="false">IF(OR($A1426="",C1426=""),0,IF(COUNTIF($C$2:C1426,C1426)=1,SUMIF($C$2:$C$5001,C1426,$H$2:$H$5001)+ROW()/10000000,0))</f>
        <v>0</v>
      </c>
    </row>
    <row r="1427" customFormat="false" ht="15" hidden="false" customHeight="false" outlineLevel="0" collapsed="false">
      <c r="A1427" s="43"/>
      <c r="B1427" s="44"/>
      <c r="C1427" s="44"/>
      <c r="D1427" s="44"/>
      <c r="E1427" s="44"/>
      <c r="F1427" s="44"/>
      <c r="G1427" s="44"/>
      <c r="H1427" s="46" t="str">
        <f aca="false">IF($A1427="","",IF(OR(NOT(ISNUMBER(E1427)),NOT(ISNUMBER(F1427))),"",MAX(0,E1427)*F1427))</f>
        <v/>
      </c>
      <c r="I1427" s="46" t="str">
        <f aca="false">IF($A1427="","",SUMIF($A$2:$A$5001,$A1427,$H$2:$H$5001))</f>
        <v/>
      </c>
      <c r="J1427" s="47" t="n">
        <f aca="false">IF($A1427="",0,IF(COUNTIF($A$2:A1427,$A1427)=1,1,0))</f>
        <v>0</v>
      </c>
      <c r="K1427" s="47" t="n">
        <f aca="false">IF(J1427=1,N(I1427)+ROW()/10000000,0)</f>
        <v>0</v>
      </c>
      <c r="L1427" s="47" t="str">
        <f aca="false">IF(AND(J1427=1,N(I1427)&gt;0),SUMIF($K$2:$K$5001,"&gt;="&amp;K1427,$I$2:$I$5001)/MAX(1,SUM($H$2:$H$5001)),"")</f>
        <v/>
      </c>
      <c r="M1427" s="47" t="str">
        <f aca="false">IF($A1427="","",INDEX($L$2:$L$5001,MATCH($A1427,$A$2:$A$5001,0)))</f>
        <v/>
      </c>
      <c r="N1427" s="48" t="str">
        <f aca="false">IF($A1427="","",IF(N(M1427)=0,"–",IF(M1427&lt;=Start!$D$20,"A",IF(M1427&lt;=Start!$D$21,"B","C"))))</f>
        <v/>
      </c>
      <c r="O1427" s="48" t="str">
        <f aca="false">IF($A1427="","",IF(NOT(ISNUMBER(F1427)),"Wert fehlt; ",IF(F1427&lt;=0,"Wert ist 0; ",""))&amp;IF(NOT(ISNUMBER(E1427)),"Bestand fehlt; ",IF(E1427&lt;0,"Bestand negativ; ",IF(E1427=0,"Nullbestand; ","")))&amp;IF(D1427="","Warengruppe fehlt; ","")&amp;IF(B1427="","Bezeichnung fehlt; ","")&amp;IF(COUNTIFS($A$2:$A$5001,$A1427,$C$2:$C$5001,C1427)&gt;1,"Artikel doppelt im selben Lager; ",""))</f>
        <v/>
      </c>
      <c r="P1427" s="47" t="n">
        <f aca="false">IF(OR($A1427="",D1427=""),0,IF(COUNTIF($D$2:D1427,D1427)=1,SUMIF($D$2:$D$5001,D1427,$H$2:$H$5001)+ROW()/10000000,0))</f>
        <v>0</v>
      </c>
      <c r="Q1427" s="47" t="n">
        <f aca="false">IF(OR($A1427="",C1427=""),0,IF(COUNTIF($C$2:C1427,C1427)=1,SUMIF($C$2:$C$5001,C1427,$H$2:$H$5001)+ROW()/10000000,0))</f>
        <v>0</v>
      </c>
    </row>
    <row r="1428" customFormat="false" ht="15" hidden="false" customHeight="false" outlineLevel="0" collapsed="false">
      <c r="A1428" s="43"/>
      <c r="B1428" s="44"/>
      <c r="C1428" s="44"/>
      <c r="D1428" s="44"/>
      <c r="E1428" s="44"/>
      <c r="F1428" s="44"/>
      <c r="G1428" s="44"/>
      <c r="H1428" s="46" t="str">
        <f aca="false">IF($A1428="","",IF(OR(NOT(ISNUMBER(E1428)),NOT(ISNUMBER(F1428))),"",MAX(0,E1428)*F1428))</f>
        <v/>
      </c>
      <c r="I1428" s="46" t="str">
        <f aca="false">IF($A1428="","",SUMIF($A$2:$A$5001,$A1428,$H$2:$H$5001))</f>
        <v/>
      </c>
      <c r="J1428" s="47" t="n">
        <f aca="false">IF($A1428="",0,IF(COUNTIF($A$2:A1428,$A1428)=1,1,0))</f>
        <v>0</v>
      </c>
      <c r="K1428" s="47" t="n">
        <f aca="false">IF(J1428=1,N(I1428)+ROW()/10000000,0)</f>
        <v>0</v>
      </c>
      <c r="L1428" s="47" t="str">
        <f aca="false">IF(AND(J1428=1,N(I1428)&gt;0),SUMIF($K$2:$K$5001,"&gt;="&amp;K1428,$I$2:$I$5001)/MAX(1,SUM($H$2:$H$5001)),"")</f>
        <v/>
      </c>
      <c r="M1428" s="47" t="str">
        <f aca="false">IF($A1428="","",INDEX($L$2:$L$5001,MATCH($A1428,$A$2:$A$5001,0)))</f>
        <v/>
      </c>
      <c r="N1428" s="48" t="str">
        <f aca="false">IF($A1428="","",IF(N(M1428)=0,"–",IF(M1428&lt;=Start!$D$20,"A",IF(M1428&lt;=Start!$D$21,"B","C"))))</f>
        <v/>
      </c>
      <c r="O1428" s="48" t="str">
        <f aca="false">IF($A1428="","",IF(NOT(ISNUMBER(F1428)),"Wert fehlt; ",IF(F1428&lt;=0,"Wert ist 0; ",""))&amp;IF(NOT(ISNUMBER(E1428)),"Bestand fehlt; ",IF(E1428&lt;0,"Bestand negativ; ",IF(E1428=0,"Nullbestand; ","")))&amp;IF(D1428="","Warengruppe fehlt; ","")&amp;IF(B1428="","Bezeichnung fehlt; ","")&amp;IF(COUNTIFS($A$2:$A$5001,$A1428,$C$2:$C$5001,C1428)&gt;1,"Artikel doppelt im selben Lager; ",""))</f>
        <v/>
      </c>
      <c r="P1428" s="47" t="n">
        <f aca="false">IF(OR($A1428="",D1428=""),0,IF(COUNTIF($D$2:D1428,D1428)=1,SUMIF($D$2:$D$5001,D1428,$H$2:$H$5001)+ROW()/10000000,0))</f>
        <v>0</v>
      </c>
      <c r="Q1428" s="47" t="n">
        <f aca="false">IF(OR($A1428="",C1428=""),0,IF(COUNTIF($C$2:C1428,C1428)=1,SUMIF($C$2:$C$5001,C1428,$H$2:$H$5001)+ROW()/10000000,0))</f>
        <v>0</v>
      </c>
    </row>
    <row r="1429" customFormat="false" ht="15" hidden="false" customHeight="false" outlineLevel="0" collapsed="false">
      <c r="A1429" s="43"/>
      <c r="B1429" s="44"/>
      <c r="C1429" s="44"/>
      <c r="D1429" s="44"/>
      <c r="E1429" s="44"/>
      <c r="F1429" s="44"/>
      <c r="G1429" s="44"/>
      <c r="H1429" s="46" t="str">
        <f aca="false">IF($A1429="","",IF(OR(NOT(ISNUMBER(E1429)),NOT(ISNUMBER(F1429))),"",MAX(0,E1429)*F1429))</f>
        <v/>
      </c>
      <c r="I1429" s="46" t="str">
        <f aca="false">IF($A1429="","",SUMIF($A$2:$A$5001,$A1429,$H$2:$H$5001))</f>
        <v/>
      </c>
      <c r="J1429" s="47" t="n">
        <f aca="false">IF($A1429="",0,IF(COUNTIF($A$2:A1429,$A1429)=1,1,0))</f>
        <v>0</v>
      </c>
      <c r="K1429" s="47" t="n">
        <f aca="false">IF(J1429=1,N(I1429)+ROW()/10000000,0)</f>
        <v>0</v>
      </c>
      <c r="L1429" s="47" t="str">
        <f aca="false">IF(AND(J1429=1,N(I1429)&gt;0),SUMIF($K$2:$K$5001,"&gt;="&amp;K1429,$I$2:$I$5001)/MAX(1,SUM($H$2:$H$5001)),"")</f>
        <v/>
      </c>
      <c r="M1429" s="47" t="str">
        <f aca="false">IF($A1429="","",INDEX($L$2:$L$5001,MATCH($A1429,$A$2:$A$5001,0)))</f>
        <v/>
      </c>
      <c r="N1429" s="48" t="str">
        <f aca="false">IF($A1429="","",IF(N(M1429)=0,"–",IF(M1429&lt;=Start!$D$20,"A",IF(M1429&lt;=Start!$D$21,"B","C"))))</f>
        <v/>
      </c>
      <c r="O1429" s="48" t="str">
        <f aca="false">IF($A1429="","",IF(NOT(ISNUMBER(F1429)),"Wert fehlt; ",IF(F1429&lt;=0,"Wert ist 0; ",""))&amp;IF(NOT(ISNUMBER(E1429)),"Bestand fehlt; ",IF(E1429&lt;0,"Bestand negativ; ",IF(E1429=0,"Nullbestand; ","")))&amp;IF(D1429="","Warengruppe fehlt; ","")&amp;IF(B1429="","Bezeichnung fehlt; ","")&amp;IF(COUNTIFS($A$2:$A$5001,$A1429,$C$2:$C$5001,C1429)&gt;1,"Artikel doppelt im selben Lager; ",""))</f>
        <v/>
      </c>
      <c r="P1429" s="47" t="n">
        <f aca="false">IF(OR($A1429="",D1429=""),0,IF(COUNTIF($D$2:D1429,D1429)=1,SUMIF($D$2:$D$5001,D1429,$H$2:$H$5001)+ROW()/10000000,0))</f>
        <v>0</v>
      </c>
      <c r="Q1429" s="47" t="n">
        <f aca="false">IF(OR($A1429="",C1429=""),0,IF(COUNTIF($C$2:C1429,C1429)=1,SUMIF($C$2:$C$5001,C1429,$H$2:$H$5001)+ROW()/10000000,0))</f>
        <v>0</v>
      </c>
    </row>
    <row r="1430" customFormat="false" ht="15" hidden="false" customHeight="false" outlineLevel="0" collapsed="false">
      <c r="A1430" s="43"/>
      <c r="B1430" s="44"/>
      <c r="C1430" s="44"/>
      <c r="D1430" s="44"/>
      <c r="E1430" s="44"/>
      <c r="F1430" s="44"/>
      <c r="G1430" s="44"/>
      <c r="H1430" s="46" t="str">
        <f aca="false">IF($A1430="","",IF(OR(NOT(ISNUMBER(E1430)),NOT(ISNUMBER(F1430))),"",MAX(0,E1430)*F1430))</f>
        <v/>
      </c>
      <c r="I1430" s="46" t="str">
        <f aca="false">IF($A1430="","",SUMIF($A$2:$A$5001,$A1430,$H$2:$H$5001))</f>
        <v/>
      </c>
      <c r="J1430" s="47" t="n">
        <f aca="false">IF($A1430="",0,IF(COUNTIF($A$2:A1430,$A1430)=1,1,0))</f>
        <v>0</v>
      </c>
      <c r="K1430" s="47" t="n">
        <f aca="false">IF(J1430=1,N(I1430)+ROW()/10000000,0)</f>
        <v>0</v>
      </c>
      <c r="L1430" s="47" t="str">
        <f aca="false">IF(AND(J1430=1,N(I1430)&gt;0),SUMIF($K$2:$K$5001,"&gt;="&amp;K1430,$I$2:$I$5001)/MAX(1,SUM($H$2:$H$5001)),"")</f>
        <v/>
      </c>
      <c r="M1430" s="47" t="str">
        <f aca="false">IF($A1430="","",INDEX($L$2:$L$5001,MATCH($A1430,$A$2:$A$5001,0)))</f>
        <v/>
      </c>
      <c r="N1430" s="48" t="str">
        <f aca="false">IF($A1430="","",IF(N(M1430)=0,"–",IF(M1430&lt;=Start!$D$20,"A",IF(M1430&lt;=Start!$D$21,"B","C"))))</f>
        <v/>
      </c>
      <c r="O1430" s="48" t="str">
        <f aca="false">IF($A1430="","",IF(NOT(ISNUMBER(F1430)),"Wert fehlt; ",IF(F1430&lt;=0,"Wert ist 0; ",""))&amp;IF(NOT(ISNUMBER(E1430)),"Bestand fehlt; ",IF(E1430&lt;0,"Bestand negativ; ",IF(E1430=0,"Nullbestand; ","")))&amp;IF(D1430="","Warengruppe fehlt; ","")&amp;IF(B1430="","Bezeichnung fehlt; ","")&amp;IF(COUNTIFS($A$2:$A$5001,$A1430,$C$2:$C$5001,C1430)&gt;1,"Artikel doppelt im selben Lager; ",""))</f>
        <v/>
      </c>
      <c r="P1430" s="47" t="n">
        <f aca="false">IF(OR($A1430="",D1430=""),0,IF(COUNTIF($D$2:D1430,D1430)=1,SUMIF($D$2:$D$5001,D1430,$H$2:$H$5001)+ROW()/10000000,0))</f>
        <v>0</v>
      </c>
      <c r="Q1430" s="47" t="n">
        <f aca="false">IF(OR($A1430="",C1430=""),0,IF(COUNTIF($C$2:C1430,C1430)=1,SUMIF($C$2:$C$5001,C1430,$H$2:$H$5001)+ROW()/10000000,0))</f>
        <v>0</v>
      </c>
    </row>
    <row r="1431" customFormat="false" ht="15" hidden="false" customHeight="false" outlineLevel="0" collapsed="false">
      <c r="A1431" s="43"/>
      <c r="B1431" s="44"/>
      <c r="C1431" s="44"/>
      <c r="D1431" s="44"/>
      <c r="E1431" s="44"/>
      <c r="F1431" s="44"/>
      <c r="G1431" s="44"/>
      <c r="H1431" s="46" t="str">
        <f aca="false">IF($A1431="","",IF(OR(NOT(ISNUMBER(E1431)),NOT(ISNUMBER(F1431))),"",MAX(0,E1431)*F1431))</f>
        <v/>
      </c>
      <c r="I1431" s="46" t="str">
        <f aca="false">IF($A1431="","",SUMIF($A$2:$A$5001,$A1431,$H$2:$H$5001))</f>
        <v/>
      </c>
      <c r="J1431" s="47" t="n">
        <f aca="false">IF($A1431="",0,IF(COUNTIF($A$2:A1431,$A1431)=1,1,0))</f>
        <v>0</v>
      </c>
      <c r="K1431" s="47" t="n">
        <f aca="false">IF(J1431=1,N(I1431)+ROW()/10000000,0)</f>
        <v>0</v>
      </c>
      <c r="L1431" s="47" t="str">
        <f aca="false">IF(AND(J1431=1,N(I1431)&gt;0),SUMIF($K$2:$K$5001,"&gt;="&amp;K1431,$I$2:$I$5001)/MAX(1,SUM($H$2:$H$5001)),"")</f>
        <v/>
      </c>
      <c r="M1431" s="47" t="str">
        <f aca="false">IF($A1431="","",INDEX($L$2:$L$5001,MATCH($A1431,$A$2:$A$5001,0)))</f>
        <v/>
      </c>
      <c r="N1431" s="48" t="str">
        <f aca="false">IF($A1431="","",IF(N(M1431)=0,"–",IF(M1431&lt;=Start!$D$20,"A",IF(M1431&lt;=Start!$D$21,"B","C"))))</f>
        <v/>
      </c>
      <c r="O1431" s="48" t="str">
        <f aca="false">IF($A1431="","",IF(NOT(ISNUMBER(F1431)),"Wert fehlt; ",IF(F1431&lt;=0,"Wert ist 0; ",""))&amp;IF(NOT(ISNUMBER(E1431)),"Bestand fehlt; ",IF(E1431&lt;0,"Bestand negativ; ",IF(E1431=0,"Nullbestand; ","")))&amp;IF(D1431="","Warengruppe fehlt; ","")&amp;IF(B1431="","Bezeichnung fehlt; ","")&amp;IF(COUNTIFS($A$2:$A$5001,$A1431,$C$2:$C$5001,C1431)&gt;1,"Artikel doppelt im selben Lager; ",""))</f>
        <v/>
      </c>
      <c r="P1431" s="47" t="n">
        <f aca="false">IF(OR($A1431="",D1431=""),0,IF(COUNTIF($D$2:D1431,D1431)=1,SUMIF($D$2:$D$5001,D1431,$H$2:$H$5001)+ROW()/10000000,0))</f>
        <v>0</v>
      </c>
      <c r="Q1431" s="47" t="n">
        <f aca="false">IF(OR($A1431="",C1431=""),0,IF(COUNTIF($C$2:C1431,C1431)=1,SUMIF($C$2:$C$5001,C1431,$H$2:$H$5001)+ROW()/10000000,0))</f>
        <v>0</v>
      </c>
    </row>
    <row r="1432" customFormat="false" ht="15" hidden="false" customHeight="false" outlineLevel="0" collapsed="false">
      <c r="A1432" s="43"/>
      <c r="B1432" s="44"/>
      <c r="C1432" s="44"/>
      <c r="D1432" s="44"/>
      <c r="E1432" s="44"/>
      <c r="F1432" s="44"/>
      <c r="G1432" s="44"/>
      <c r="H1432" s="46" t="str">
        <f aca="false">IF($A1432="","",IF(OR(NOT(ISNUMBER(E1432)),NOT(ISNUMBER(F1432))),"",MAX(0,E1432)*F1432))</f>
        <v/>
      </c>
      <c r="I1432" s="46" t="str">
        <f aca="false">IF($A1432="","",SUMIF($A$2:$A$5001,$A1432,$H$2:$H$5001))</f>
        <v/>
      </c>
      <c r="J1432" s="47" t="n">
        <f aca="false">IF($A1432="",0,IF(COUNTIF($A$2:A1432,$A1432)=1,1,0))</f>
        <v>0</v>
      </c>
      <c r="K1432" s="47" t="n">
        <f aca="false">IF(J1432=1,N(I1432)+ROW()/10000000,0)</f>
        <v>0</v>
      </c>
      <c r="L1432" s="47" t="str">
        <f aca="false">IF(AND(J1432=1,N(I1432)&gt;0),SUMIF($K$2:$K$5001,"&gt;="&amp;K1432,$I$2:$I$5001)/MAX(1,SUM($H$2:$H$5001)),"")</f>
        <v/>
      </c>
      <c r="M1432" s="47" t="str">
        <f aca="false">IF($A1432="","",INDEX($L$2:$L$5001,MATCH($A1432,$A$2:$A$5001,0)))</f>
        <v/>
      </c>
      <c r="N1432" s="48" t="str">
        <f aca="false">IF($A1432="","",IF(N(M1432)=0,"–",IF(M1432&lt;=Start!$D$20,"A",IF(M1432&lt;=Start!$D$21,"B","C"))))</f>
        <v/>
      </c>
      <c r="O1432" s="48" t="str">
        <f aca="false">IF($A1432="","",IF(NOT(ISNUMBER(F1432)),"Wert fehlt; ",IF(F1432&lt;=0,"Wert ist 0; ",""))&amp;IF(NOT(ISNUMBER(E1432)),"Bestand fehlt; ",IF(E1432&lt;0,"Bestand negativ; ",IF(E1432=0,"Nullbestand; ","")))&amp;IF(D1432="","Warengruppe fehlt; ","")&amp;IF(B1432="","Bezeichnung fehlt; ","")&amp;IF(COUNTIFS($A$2:$A$5001,$A1432,$C$2:$C$5001,C1432)&gt;1,"Artikel doppelt im selben Lager; ",""))</f>
        <v/>
      </c>
      <c r="P1432" s="47" t="n">
        <f aca="false">IF(OR($A1432="",D1432=""),0,IF(COUNTIF($D$2:D1432,D1432)=1,SUMIF($D$2:$D$5001,D1432,$H$2:$H$5001)+ROW()/10000000,0))</f>
        <v>0</v>
      </c>
      <c r="Q1432" s="47" t="n">
        <f aca="false">IF(OR($A1432="",C1432=""),0,IF(COUNTIF($C$2:C1432,C1432)=1,SUMIF($C$2:$C$5001,C1432,$H$2:$H$5001)+ROW()/10000000,0))</f>
        <v>0</v>
      </c>
    </row>
    <row r="1433" customFormat="false" ht="15" hidden="false" customHeight="false" outlineLevel="0" collapsed="false">
      <c r="A1433" s="43"/>
      <c r="B1433" s="44"/>
      <c r="C1433" s="44"/>
      <c r="D1433" s="44"/>
      <c r="E1433" s="44"/>
      <c r="F1433" s="44"/>
      <c r="G1433" s="44"/>
      <c r="H1433" s="46" t="str">
        <f aca="false">IF($A1433="","",IF(OR(NOT(ISNUMBER(E1433)),NOT(ISNUMBER(F1433))),"",MAX(0,E1433)*F1433))</f>
        <v/>
      </c>
      <c r="I1433" s="46" t="str">
        <f aca="false">IF($A1433="","",SUMIF($A$2:$A$5001,$A1433,$H$2:$H$5001))</f>
        <v/>
      </c>
      <c r="J1433" s="47" t="n">
        <f aca="false">IF($A1433="",0,IF(COUNTIF($A$2:A1433,$A1433)=1,1,0))</f>
        <v>0</v>
      </c>
      <c r="K1433" s="47" t="n">
        <f aca="false">IF(J1433=1,N(I1433)+ROW()/10000000,0)</f>
        <v>0</v>
      </c>
      <c r="L1433" s="47" t="str">
        <f aca="false">IF(AND(J1433=1,N(I1433)&gt;0),SUMIF($K$2:$K$5001,"&gt;="&amp;K1433,$I$2:$I$5001)/MAX(1,SUM($H$2:$H$5001)),"")</f>
        <v/>
      </c>
      <c r="M1433" s="47" t="str">
        <f aca="false">IF($A1433="","",INDEX($L$2:$L$5001,MATCH($A1433,$A$2:$A$5001,0)))</f>
        <v/>
      </c>
      <c r="N1433" s="48" t="str">
        <f aca="false">IF($A1433="","",IF(N(M1433)=0,"–",IF(M1433&lt;=Start!$D$20,"A",IF(M1433&lt;=Start!$D$21,"B","C"))))</f>
        <v/>
      </c>
      <c r="O1433" s="48" t="str">
        <f aca="false">IF($A1433="","",IF(NOT(ISNUMBER(F1433)),"Wert fehlt; ",IF(F1433&lt;=0,"Wert ist 0; ",""))&amp;IF(NOT(ISNUMBER(E1433)),"Bestand fehlt; ",IF(E1433&lt;0,"Bestand negativ; ",IF(E1433=0,"Nullbestand; ","")))&amp;IF(D1433="","Warengruppe fehlt; ","")&amp;IF(B1433="","Bezeichnung fehlt; ","")&amp;IF(COUNTIFS($A$2:$A$5001,$A1433,$C$2:$C$5001,C1433)&gt;1,"Artikel doppelt im selben Lager; ",""))</f>
        <v/>
      </c>
      <c r="P1433" s="47" t="n">
        <f aca="false">IF(OR($A1433="",D1433=""),0,IF(COUNTIF($D$2:D1433,D1433)=1,SUMIF($D$2:$D$5001,D1433,$H$2:$H$5001)+ROW()/10000000,0))</f>
        <v>0</v>
      </c>
      <c r="Q1433" s="47" t="n">
        <f aca="false">IF(OR($A1433="",C1433=""),0,IF(COUNTIF($C$2:C1433,C1433)=1,SUMIF($C$2:$C$5001,C1433,$H$2:$H$5001)+ROW()/10000000,0))</f>
        <v>0</v>
      </c>
    </row>
    <row r="1434" customFormat="false" ht="15" hidden="false" customHeight="false" outlineLevel="0" collapsed="false">
      <c r="A1434" s="43"/>
      <c r="B1434" s="44"/>
      <c r="C1434" s="44"/>
      <c r="D1434" s="44"/>
      <c r="E1434" s="44"/>
      <c r="F1434" s="44"/>
      <c r="G1434" s="44"/>
      <c r="H1434" s="46" t="str">
        <f aca="false">IF($A1434="","",IF(OR(NOT(ISNUMBER(E1434)),NOT(ISNUMBER(F1434))),"",MAX(0,E1434)*F1434))</f>
        <v/>
      </c>
      <c r="I1434" s="46" t="str">
        <f aca="false">IF($A1434="","",SUMIF($A$2:$A$5001,$A1434,$H$2:$H$5001))</f>
        <v/>
      </c>
      <c r="J1434" s="47" t="n">
        <f aca="false">IF($A1434="",0,IF(COUNTIF($A$2:A1434,$A1434)=1,1,0))</f>
        <v>0</v>
      </c>
      <c r="K1434" s="47" t="n">
        <f aca="false">IF(J1434=1,N(I1434)+ROW()/10000000,0)</f>
        <v>0</v>
      </c>
      <c r="L1434" s="47" t="str">
        <f aca="false">IF(AND(J1434=1,N(I1434)&gt;0),SUMIF($K$2:$K$5001,"&gt;="&amp;K1434,$I$2:$I$5001)/MAX(1,SUM($H$2:$H$5001)),"")</f>
        <v/>
      </c>
      <c r="M1434" s="47" t="str">
        <f aca="false">IF($A1434="","",INDEX($L$2:$L$5001,MATCH($A1434,$A$2:$A$5001,0)))</f>
        <v/>
      </c>
      <c r="N1434" s="48" t="str">
        <f aca="false">IF($A1434="","",IF(N(M1434)=0,"–",IF(M1434&lt;=Start!$D$20,"A",IF(M1434&lt;=Start!$D$21,"B","C"))))</f>
        <v/>
      </c>
      <c r="O1434" s="48" t="str">
        <f aca="false">IF($A1434="","",IF(NOT(ISNUMBER(F1434)),"Wert fehlt; ",IF(F1434&lt;=0,"Wert ist 0; ",""))&amp;IF(NOT(ISNUMBER(E1434)),"Bestand fehlt; ",IF(E1434&lt;0,"Bestand negativ; ",IF(E1434=0,"Nullbestand; ","")))&amp;IF(D1434="","Warengruppe fehlt; ","")&amp;IF(B1434="","Bezeichnung fehlt; ","")&amp;IF(COUNTIFS($A$2:$A$5001,$A1434,$C$2:$C$5001,C1434)&gt;1,"Artikel doppelt im selben Lager; ",""))</f>
        <v/>
      </c>
      <c r="P1434" s="47" t="n">
        <f aca="false">IF(OR($A1434="",D1434=""),0,IF(COUNTIF($D$2:D1434,D1434)=1,SUMIF($D$2:$D$5001,D1434,$H$2:$H$5001)+ROW()/10000000,0))</f>
        <v>0</v>
      </c>
      <c r="Q1434" s="47" t="n">
        <f aca="false">IF(OR($A1434="",C1434=""),0,IF(COUNTIF($C$2:C1434,C1434)=1,SUMIF($C$2:$C$5001,C1434,$H$2:$H$5001)+ROW()/10000000,0))</f>
        <v>0</v>
      </c>
    </row>
    <row r="1435" customFormat="false" ht="15" hidden="false" customHeight="false" outlineLevel="0" collapsed="false">
      <c r="A1435" s="43"/>
      <c r="B1435" s="44"/>
      <c r="C1435" s="44"/>
      <c r="D1435" s="44"/>
      <c r="E1435" s="44"/>
      <c r="F1435" s="44"/>
      <c r="G1435" s="44"/>
      <c r="H1435" s="46" t="str">
        <f aca="false">IF($A1435="","",IF(OR(NOT(ISNUMBER(E1435)),NOT(ISNUMBER(F1435))),"",MAX(0,E1435)*F1435))</f>
        <v/>
      </c>
      <c r="I1435" s="46" t="str">
        <f aca="false">IF($A1435="","",SUMIF($A$2:$A$5001,$A1435,$H$2:$H$5001))</f>
        <v/>
      </c>
      <c r="J1435" s="47" t="n">
        <f aca="false">IF($A1435="",0,IF(COUNTIF($A$2:A1435,$A1435)=1,1,0))</f>
        <v>0</v>
      </c>
      <c r="K1435" s="47" t="n">
        <f aca="false">IF(J1435=1,N(I1435)+ROW()/10000000,0)</f>
        <v>0</v>
      </c>
      <c r="L1435" s="47" t="str">
        <f aca="false">IF(AND(J1435=1,N(I1435)&gt;0),SUMIF($K$2:$K$5001,"&gt;="&amp;K1435,$I$2:$I$5001)/MAX(1,SUM($H$2:$H$5001)),"")</f>
        <v/>
      </c>
      <c r="M1435" s="47" t="str">
        <f aca="false">IF($A1435="","",INDEX($L$2:$L$5001,MATCH($A1435,$A$2:$A$5001,0)))</f>
        <v/>
      </c>
      <c r="N1435" s="48" t="str">
        <f aca="false">IF($A1435="","",IF(N(M1435)=0,"–",IF(M1435&lt;=Start!$D$20,"A",IF(M1435&lt;=Start!$D$21,"B","C"))))</f>
        <v/>
      </c>
      <c r="O1435" s="48" t="str">
        <f aca="false">IF($A1435="","",IF(NOT(ISNUMBER(F1435)),"Wert fehlt; ",IF(F1435&lt;=0,"Wert ist 0; ",""))&amp;IF(NOT(ISNUMBER(E1435)),"Bestand fehlt; ",IF(E1435&lt;0,"Bestand negativ; ",IF(E1435=0,"Nullbestand; ","")))&amp;IF(D1435="","Warengruppe fehlt; ","")&amp;IF(B1435="","Bezeichnung fehlt; ","")&amp;IF(COUNTIFS($A$2:$A$5001,$A1435,$C$2:$C$5001,C1435)&gt;1,"Artikel doppelt im selben Lager; ",""))</f>
        <v/>
      </c>
      <c r="P1435" s="47" t="n">
        <f aca="false">IF(OR($A1435="",D1435=""),0,IF(COUNTIF($D$2:D1435,D1435)=1,SUMIF($D$2:$D$5001,D1435,$H$2:$H$5001)+ROW()/10000000,0))</f>
        <v>0</v>
      </c>
      <c r="Q1435" s="47" t="n">
        <f aca="false">IF(OR($A1435="",C1435=""),0,IF(COUNTIF($C$2:C1435,C1435)=1,SUMIF($C$2:$C$5001,C1435,$H$2:$H$5001)+ROW()/10000000,0))</f>
        <v>0</v>
      </c>
    </row>
    <row r="1436" customFormat="false" ht="15" hidden="false" customHeight="false" outlineLevel="0" collapsed="false">
      <c r="A1436" s="43"/>
      <c r="B1436" s="44"/>
      <c r="C1436" s="44"/>
      <c r="D1436" s="44"/>
      <c r="E1436" s="44"/>
      <c r="F1436" s="44"/>
      <c r="G1436" s="44"/>
      <c r="H1436" s="46" t="str">
        <f aca="false">IF($A1436="","",IF(OR(NOT(ISNUMBER(E1436)),NOT(ISNUMBER(F1436))),"",MAX(0,E1436)*F1436))</f>
        <v/>
      </c>
      <c r="I1436" s="46" t="str">
        <f aca="false">IF($A1436="","",SUMIF($A$2:$A$5001,$A1436,$H$2:$H$5001))</f>
        <v/>
      </c>
      <c r="J1436" s="47" t="n">
        <f aca="false">IF($A1436="",0,IF(COUNTIF($A$2:A1436,$A1436)=1,1,0))</f>
        <v>0</v>
      </c>
      <c r="K1436" s="47" t="n">
        <f aca="false">IF(J1436=1,N(I1436)+ROW()/10000000,0)</f>
        <v>0</v>
      </c>
      <c r="L1436" s="47" t="str">
        <f aca="false">IF(AND(J1436=1,N(I1436)&gt;0),SUMIF($K$2:$K$5001,"&gt;="&amp;K1436,$I$2:$I$5001)/MAX(1,SUM($H$2:$H$5001)),"")</f>
        <v/>
      </c>
      <c r="M1436" s="47" t="str">
        <f aca="false">IF($A1436="","",INDEX($L$2:$L$5001,MATCH($A1436,$A$2:$A$5001,0)))</f>
        <v/>
      </c>
      <c r="N1436" s="48" t="str">
        <f aca="false">IF($A1436="","",IF(N(M1436)=0,"–",IF(M1436&lt;=Start!$D$20,"A",IF(M1436&lt;=Start!$D$21,"B","C"))))</f>
        <v/>
      </c>
      <c r="O1436" s="48" t="str">
        <f aca="false">IF($A1436="","",IF(NOT(ISNUMBER(F1436)),"Wert fehlt; ",IF(F1436&lt;=0,"Wert ist 0; ",""))&amp;IF(NOT(ISNUMBER(E1436)),"Bestand fehlt; ",IF(E1436&lt;0,"Bestand negativ; ",IF(E1436=0,"Nullbestand; ","")))&amp;IF(D1436="","Warengruppe fehlt; ","")&amp;IF(B1436="","Bezeichnung fehlt; ","")&amp;IF(COUNTIFS($A$2:$A$5001,$A1436,$C$2:$C$5001,C1436)&gt;1,"Artikel doppelt im selben Lager; ",""))</f>
        <v/>
      </c>
      <c r="P1436" s="47" t="n">
        <f aca="false">IF(OR($A1436="",D1436=""),0,IF(COUNTIF($D$2:D1436,D1436)=1,SUMIF($D$2:$D$5001,D1436,$H$2:$H$5001)+ROW()/10000000,0))</f>
        <v>0</v>
      </c>
      <c r="Q1436" s="47" t="n">
        <f aca="false">IF(OR($A1436="",C1436=""),0,IF(COUNTIF($C$2:C1436,C1436)=1,SUMIF($C$2:$C$5001,C1436,$H$2:$H$5001)+ROW()/10000000,0))</f>
        <v>0</v>
      </c>
    </row>
    <row r="1437" customFormat="false" ht="15" hidden="false" customHeight="false" outlineLevel="0" collapsed="false">
      <c r="A1437" s="43"/>
      <c r="B1437" s="44"/>
      <c r="C1437" s="44"/>
      <c r="D1437" s="44"/>
      <c r="E1437" s="44"/>
      <c r="F1437" s="44"/>
      <c r="G1437" s="44"/>
      <c r="H1437" s="46" t="str">
        <f aca="false">IF($A1437="","",IF(OR(NOT(ISNUMBER(E1437)),NOT(ISNUMBER(F1437))),"",MAX(0,E1437)*F1437))</f>
        <v/>
      </c>
      <c r="I1437" s="46" t="str">
        <f aca="false">IF($A1437="","",SUMIF($A$2:$A$5001,$A1437,$H$2:$H$5001))</f>
        <v/>
      </c>
      <c r="J1437" s="47" t="n">
        <f aca="false">IF($A1437="",0,IF(COUNTIF($A$2:A1437,$A1437)=1,1,0))</f>
        <v>0</v>
      </c>
      <c r="K1437" s="47" t="n">
        <f aca="false">IF(J1437=1,N(I1437)+ROW()/10000000,0)</f>
        <v>0</v>
      </c>
      <c r="L1437" s="47" t="str">
        <f aca="false">IF(AND(J1437=1,N(I1437)&gt;0),SUMIF($K$2:$K$5001,"&gt;="&amp;K1437,$I$2:$I$5001)/MAX(1,SUM($H$2:$H$5001)),"")</f>
        <v/>
      </c>
      <c r="M1437" s="47" t="str">
        <f aca="false">IF($A1437="","",INDEX($L$2:$L$5001,MATCH($A1437,$A$2:$A$5001,0)))</f>
        <v/>
      </c>
      <c r="N1437" s="48" t="str">
        <f aca="false">IF($A1437="","",IF(N(M1437)=0,"–",IF(M1437&lt;=Start!$D$20,"A",IF(M1437&lt;=Start!$D$21,"B","C"))))</f>
        <v/>
      </c>
      <c r="O1437" s="48" t="str">
        <f aca="false">IF($A1437="","",IF(NOT(ISNUMBER(F1437)),"Wert fehlt; ",IF(F1437&lt;=0,"Wert ist 0; ",""))&amp;IF(NOT(ISNUMBER(E1437)),"Bestand fehlt; ",IF(E1437&lt;0,"Bestand negativ; ",IF(E1437=0,"Nullbestand; ","")))&amp;IF(D1437="","Warengruppe fehlt; ","")&amp;IF(B1437="","Bezeichnung fehlt; ","")&amp;IF(COUNTIFS($A$2:$A$5001,$A1437,$C$2:$C$5001,C1437)&gt;1,"Artikel doppelt im selben Lager; ",""))</f>
        <v/>
      </c>
      <c r="P1437" s="47" t="n">
        <f aca="false">IF(OR($A1437="",D1437=""),0,IF(COUNTIF($D$2:D1437,D1437)=1,SUMIF($D$2:$D$5001,D1437,$H$2:$H$5001)+ROW()/10000000,0))</f>
        <v>0</v>
      </c>
      <c r="Q1437" s="47" t="n">
        <f aca="false">IF(OR($A1437="",C1437=""),0,IF(COUNTIF($C$2:C1437,C1437)=1,SUMIF($C$2:$C$5001,C1437,$H$2:$H$5001)+ROW()/10000000,0))</f>
        <v>0</v>
      </c>
    </row>
    <row r="1438" customFormat="false" ht="15" hidden="false" customHeight="false" outlineLevel="0" collapsed="false">
      <c r="A1438" s="43"/>
      <c r="B1438" s="44"/>
      <c r="C1438" s="44"/>
      <c r="D1438" s="44"/>
      <c r="E1438" s="44"/>
      <c r="F1438" s="44"/>
      <c r="G1438" s="44"/>
      <c r="H1438" s="46" t="str">
        <f aca="false">IF($A1438="","",IF(OR(NOT(ISNUMBER(E1438)),NOT(ISNUMBER(F1438))),"",MAX(0,E1438)*F1438))</f>
        <v/>
      </c>
      <c r="I1438" s="46" t="str">
        <f aca="false">IF($A1438="","",SUMIF($A$2:$A$5001,$A1438,$H$2:$H$5001))</f>
        <v/>
      </c>
      <c r="J1438" s="47" t="n">
        <f aca="false">IF($A1438="",0,IF(COUNTIF($A$2:A1438,$A1438)=1,1,0))</f>
        <v>0</v>
      </c>
      <c r="K1438" s="47" t="n">
        <f aca="false">IF(J1438=1,N(I1438)+ROW()/10000000,0)</f>
        <v>0</v>
      </c>
      <c r="L1438" s="47" t="str">
        <f aca="false">IF(AND(J1438=1,N(I1438)&gt;0),SUMIF($K$2:$K$5001,"&gt;="&amp;K1438,$I$2:$I$5001)/MAX(1,SUM($H$2:$H$5001)),"")</f>
        <v/>
      </c>
      <c r="M1438" s="47" t="str">
        <f aca="false">IF($A1438="","",INDEX($L$2:$L$5001,MATCH($A1438,$A$2:$A$5001,0)))</f>
        <v/>
      </c>
      <c r="N1438" s="48" t="str">
        <f aca="false">IF($A1438="","",IF(N(M1438)=0,"–",IF(M1438&lt;=Start!$D$20,"A",IF(M1438&lt;=Start!$D$21,"B","C"))))</f>
        <v/>
      </c>
      <c r="O1438" s="48" t="str">
        <f aca="false">IF($A1438="","",IF(NOT(ISNUMBER(F1438)),"Wert fehlt; ",IF(F1438&lt;=0,"Wert ist 0; ",""))&amp;IF(NOT(ISNUMBER(E1438)),"Bestand fehlt; ",IF(E1438&lt;0,"Bestand negativ; ",IF(E1438=0,"Nullbestand; ","")))&amp;IF(D1438="","Warengruppe fehlt; ","")&amp;IF(B1438="","Bezeichnung fehlt; ","")&amp;IF(COUNTIFS($A$2:$A$5001,$A1438,$C$2:$C$5001,C1438)&gt;1,"Artikel doppelt im selben Lager; ",""))</f>
        <v/>
      </c>
      <c r="P1438" s="47" t="n">
        <f aca="false">IF(OR($A1438="",D1438=""),0,IF(COUNTIF($D$2:D1438,D1438)=1,SUMIF($D$2:$D$5001,D1438,$H$2:$H$5001)+ROW()/10000000,0))</f>
        <v>0</v>
      </c>
      <c r="Q1438" s="47" t="n">
        <f aca="false">IF(OR($A1438="",C1438=""),0,IF(COUNTIF($C$2:C1438,C1438)=1,SUMIF($C$2:$C$5001,C1438,$H$2:$H$5001)+ROW()/10000000,0))</f>
        <v>0</v>
      </c>
    </row>
    <row r="1439" customFormat="false" ht="15" hidden="false" customHeight="false" outlineLevel="0" collapsed="false">
      <c r="A1439" s="43"/>
      <c r="B1439" s="44"/>
      <c r="C1439" s="44"/>
      <c r="D1439" s="44"/>
      <c r="E1439" s="44"/>
      <c r="F1439" s="44"/>
      <c r="G1439" s="44"/>
      <c r="H1439" s="46" t="str">
        <f aca="false">IF($A1439="","",IF(OR(NOT(ISNUMBER(E1439)),NOT(ISNUMBER(F1439))),"",MAX(0,E1439)*F1439))</f>
        <v/>
      </c>
      <c r="I1439" s="46" t="str">
        <f aca="false">IF($A1439="","",SUMIF($A$2:$A$5001,$A1439,$H$2:$H$5001))</f>
        <v/>
      </c>
      <c r="J1439" s="47" t="n">
        <f aca="false">IF($A1439="",0,IF(COUNTIF($A$2:A1439,$A1439)=1,1,0))</f>
        <v>0</v>
      </c>
      <c r="K1439" s="47" t="n">
        <f aca="false">IF(J1439=1,N(I1439)+ROW()/10000000,0)</f>
        <v>0</v>
      </c>
      <c r="L1439" s="47" t="str">
        <f aca="false">IF(AND(J1439=1,N(I1439)&gt;0),SUMIF($K$2:$K$5001,"&gt;="&amp;K1439,$I$2:$I$5001)/MAX(1,SUM($H$2:$H$5001)),"")</f>
        <v/>
      </c>
      <c r="M1439" s="47" t="str">
        <f aca="false">IF($A1439="","",INDEX($L$2:$L$5001,MATCH($A1439,$A$2:$A$5001,0)))</f>
        <v/>
      </c>
      <c r="N1439" s="48" t="str">
        <f aca="false">IF($A1439="","",IF(N(M1439)=0,"–",IF(M1439&lt;=Start!$D$20,"A",IF(M1439&lt;=Start!$D$21,"B","C"))))</f>
        <v/>
      </c>
      <c r="O1439" s="48" t="str">
        <f aca="false">IF($A1439="","",IF(NOT(ISNUMBER(F1439)),"Wert fehlt; ",IF(F1439&lt;=0,"Wert ist 0; ",""))&amp;IF(NOT(ISNUMBER(E1439)),"Bestand fehlt; ",IF(E1439&lt;0,"Bestand negativ; ",IF(E1439=0,"Nullbestand; ","")))&amp;IF(D1439="","Warengruppe fehlt; ","")&amp;IF(B1439="","Bezeichnung fehlt; ","")&amp;IF(COUNTIFS($A$2:$A$5001,$A1439,$C$2:$C$5001,C1439)&gt;1,"Artikel doppelt im selben Lager; ",""))</f>
        <v/>
      </c>
      <c r="P1439" s="47" t="n">
        <f aca="false">IF(OR($A1439="",D1439=""),0,IF(COUNTIF($D$2:D1439,D1439)=1,SUMIF($D$2:$D$5001,D1439,$H$2:$H$5001)+ROW()/10000000,0))</f>
        <v>0</v>
      </c>
      <c r="Q1439" s="47" t="n">
        <f aca="false">IF(OR($A1439="",C1439=""),0,IF(COUNTIF($C$2:C1439,C1439)=1,SUMIF($C$2:$C$5001,C1439,$H$2:$H$5001)+ROW()/10000000,0))</f>
        <v>0</v>
      </c>
    </row>
    <row r="1440" customFormat="false" ht="15" hidden="false" customHeight="false" outlineLevel="0" collapsed="false">
      <c r="A1440" s="43"/>
      <c r="B1440" s="44"/>
      <c r="C1440" s="44"/>
      <c r="D1440" s="44"/>
      <c r="E1440" s="44"/>
      <c r="F1440" s="44"/>
      <c r="G1440" s="44"/>
      <c r="H1440" s="46" t="str">
        <f aca="false">IF($A1440="","",IF(OR(NOT(ISNUMBER(E1440)),NOT(ISNUMBER(F1440))),"",MAX(0,E1440)*F1440))</f>
        <v/>
      </c>
      <c r="I1440" s="46" t="str">
        <f aca="false">IF($A1440="","",SUMIF($A$2:$A$5001,$A1440,$H$2:$H$5001))</f>
        <v/>
      </c>
      <c r="J1440" s="47" t="n">
        <f aca="false">IF($A1440="",0,IF(COUNTIF($A$2:A1440,$A1440)=1,1,0))</f>
        <v>0</v>
      </c>
      <c r="K1440" s="47" t="n">
        <f aca="false">IF(J1440=1,N(I1440)+ROW()/10000000,0)</f>
        <v>0</v>
      </c>
      <c r="L1440" s="47" t="str">
        <f aca="false">IF(AND(J1440=1,N(I1440)&gt;0),SUMIF($K$2:$K$5001,"&gt;="&amp;K1440,$I$2:$I$5001)/MAX(1,SUM($H$2:$H$5001)),"")</f>
        <v/>
      </c>
      <c r="M1440" s="47" t="str">
        <f aca="false">IF($A1440="","",INDEX($L$2:$L$5001,MATCH($A1440,$A$2:$A$5001,0)))</f>
        <v/>
      </c>
      <c r="N1440" s="48" t="str">
        <f aca="false">IF($A1440="","",IF(N(M1440)=0,"–",IF(M1440&lt;=Start!$D$20,"A",IF(M1440&lt;=Start!$D$21,"B","C"))))</f>
        <v/>
      </c>
      <c r="O1440" s="48" t="str">
        <f aca="false">IF($A1440="","",IF(NOT(ISNUMBER(F1440)),"Wert fehlt; ",IF(F1440&lt;=0,"Wert ist 0; ",""))&amp;IF(NOT(ISNUMBER(E1440)),"Bestand fehlt; ",IF(E1440&lt;0,"Bestand negativ; ",IF(E1440=0,"Nullbestand; ","")))&amp;IF(D1440="","Warengruppe fehlt; ","")&amp;IF(B1440="","Bezeichnung fehlt; ","")&amp;IF(COUNTIFS($A$2:$A$5001,$A1440,$C$2:$C$5001,C1440)&gt;1,"Artikel doppelt im selben Lager; ",""))</f>
        <v/>
      </c>
      <c r="P1440" s="47" t="n">
        <f aca="false">IF(OR($A1440="",D1440=""),0,IF(COUNTIF($D$2:D1440,D1440)=1,SUMIF($D$2:$D$5001,D1440,$H$2:$H$5001)+ROW()/10000000,0))</f>
        <v>0</v>
      </c>
      <c r="Q1440" s="47" t="n">
        <f aca="false">IF(OR($A1440="",C1440=""),0,IF(COUNTIF($C$2:C1440,C1440)=1,SUMIF($C$2:$C$5001,C1440,$H$2:$H$5001)+ROW()/10000000,0))</f>
        <v>0</v>
      </c>
    </row>
    <row r="1441" customFormat="false" ht="15" hidden="false" customHeight="false" outlineLevel="0" collapsed="false">
      <c r="A1441" s="43"/>
      <c r="B1441" s="44"/>
      <c r="C1441" s="44"/>
      <c r="D1441" s="44"/>
      <c r="E1441" s="44"/>
      <c r="F1441" s="44"/>
      <c r="G1441" s="44"/>
      <c r="H1441" s="46" t="str">
        <f aca="false">IF($A1441="","",IF(OR(NOT(ISNUMBER(E1441)),NOT(ISNUMBER(F1441))),"",MAX(0,E1441)*F1441))</f>
        <v/>
      </c>
      <c r="I1441" s="46" t="str">
        <f aca="false">IF($A1441="","",SUMIF($A$2:$A$5001,$A1441,$H$2:$H$5001))</f>
        <v/>
      </c>
      <c r="J1441" s="47" t="n">
        <f aca="false">IF($A1441="",0,IF(COUNTIF($A$2:A1441,$A1441)=1,1,0))</f>
        <v>0</v>
      </c>
      <c r="K1441" s="47" t="n">
        <f aca="false">IF(J1441=1,N(I1441)+ROW()/10000000,0)</f>
        <v>0</v>
      </c>
      <c r="L1441" s="47" t="str">
        <f aca="false">IF(AND(J1441=1,N(I1441)&gt;0),SUMIF($K$2:$K$5001,"&gt;="&amp;K1441,$I$2:$I$5001)/MAX(1,SUM($H$2:$H$5001)),"")</f>
        <v/>
      </c>
      <c r="M1441" s="47" t="str">
        <f aca="false">IF($A1441="","",INDEX($L$2:$L$5001,MATCH($A1441,$A$2:$A$5001,0)))</f>
        <v/>
      </c>
      <c r="N1441" s="48" t="str">
        <f aca="false">IF($A1441="","",IF(N(M1441)=0,"–",IF(M1441&lt;=Start!$D$20,"A",IF(M1441&lt;=Start!$D$21,"B","C"))))</f>
        <v/>
      </c>
      <c r="O1441" s="48" t="str">
        <f aca="false">IF($A1441="","",IF(NOT(ISNUMBER(F1441)),"Wert fehlt; ",IF(F1441&lt;=0,"Wert ist 0; ",""))&amp;IF(NOT(ISNUMBER(E1441)),"Bestand fehlt; ",IF(E1441&lt;0,"Bestand negativ; ",IF(E1441=0,"Nullbestand; ","")))&amp;IF(D1441="","Warengruppe fehlt; ","")&amp;IF(B1441="","Bezeichnung fehlt; ","")&amp;IF(COUNTIFS($A$2:$A$5001,$A1441,$C$2:$C$5001,C1441)&gt;1,"Artikel doppelt im selben Lager; ",""))</f>
        <v/>
      </c>
      <c r="P1441" s="47" t="n">
        <f aca="false">IF(OR($A1441="",D1441=""),0,IF(COUNTIF($D$2:D1441,D1441)=1,SUMIF($D$2:$D$5001,D1441,$H$2:$H$5001)+ROW()/10000000,0))</f>
        <v>0</v>
      </c>
      <c r="Q1441" s="47" t="n">
        <f aca="false">IF(OR($A1441="",C1441=""),0,IF(COUNTIF($C$2:C1441,C1441)=1,SUMIF($C$2:$C$5001,C1441,$H$2:$H$5001)+ROW()/10000000,0))</f>
        <v>0</v>
      </c>
    </row>
    <row r="1442" customFormat="false" ht="15" hidden="false" customHeight="false" outlineLevel="0" collapsed="false">
      <c r="A1442" s="43"/>
      <c r="B1442" s="44"/>
      <c r="C1442" s="44"/>
      <c r="D1442" s="44"/>
      <c r="E1442" s="44"/>
      <c r="F1442" s="44"/>
      <c r="G1442" s="44"/>
      <c r="H1442" s="46" t="str">
        <f aca="false">IF($A1442="","",IF(OR(NOT(ISNUMBER(E1442)),NOT(ISNUMBER(F1442))),"",MAX(0,E1442)*F1442))</f>
        <v/>
      </c>
      <c r="I1442" s="46" t="str">
        <f aca="false">IF($A1442="","",SUMIF($A$2:$A$5001,$A1442,$H$2:$H$5001))</f>
        <v/>
      </c>
      <c r="J1442" s="47" t="n">
        <f aca="false">IF($A1442="",0,IF(COUNTIF($A$2:A1442,$A1442)=1,1,0))</f>
        <v>0</v>
      </c>
      <c r="K1442" s="47" t="n">
        <f aca="false">IF(J1442=1,N(I1442)+ROW()/10000000,0)</f>
        <v>0</v>
      </c>
      <c r="L1442" s="47" t="str">
        <f aca="false">IF(AND(J1442=1,N(I1442)&gt;0),SUMIF($K$2:$K$5001,"&gt;="&amp;K1442,$I$2:$I$5001)/MAX(1,SUM($H$2:$H$5001)),"")</f>
        <v/>
      </c>
      <c r="M1442" s="47" t="str">
        <f aca="false">IF($A1442="","",INDEX($L$2:$L$5001,MATCH($A1442,$A$2:$A$5001,0)))</f>
        <v/>
      </c>
      <c r="N1442" s="48" t="str">
        <f aca="false">IF($A1442="","",IF(N(M1442)=0,"–",IF(M1442&lt;=Start!$D$20,"A",IF(M1442&lt;=Start!$D$21,"B","C"))))</f>
        <v/>
      </c>
      <c r="O1442" s="48" t="str">
        <f aca="false">IF($A1442="","",IF(NOT(ISNUMBER(F1442)),"Wert fehlt; ",IF(F1442&lt;=0,"Wert ist 0; ",""))&amp;IF(NOT(ISNUMBER(E1442)),"Bestand fehlt; ",IF(E1442&lt;0,"Bestand negativ; ",IF(E1442=0,"Nullbestand; ","")))&amp;IF(D1442="","Warengruppe fehlt; ","")&amp;IF(B1442="","Bezeichnung fehlt; ","")&amp;IF(COUNTIFS($A$2:$A$5001,$A1442,$C$2:$C$5001,C1442)&gt;1,"Artikel doppelt im selben Lager; ",""))</f>
        <v/>
      </c>
      <c r="P1442" s="47" t="n">
        <f aca="false">IF(OR($A1442="",D1442=""),0,IF(COUNTIF($D$2:D1442,D1442)=1,SUMIF($D$2:$D$5001,D1442,$H$2:$H$5001)+ROW()/10000000,0))</f>
        <v>0</v>
      </c>
      <c r="Q1442" s="47" t="n">
        <f aca="false">IF(OR($A1442="",C1442=""),0,IF(COUNTIF($C$2:C1442,C1442)=1,SUMIF($C$2:$C$5001,C1442,$H$2:$H$5001)+ROW()/10000000,0))</f>
        <v>0</v>
      </c>
    </row>
    <row r="1443" customFormat="false" ht="15" hidden="false" customHeight="false" outlineLevel="0" collapsed="false">
      <c r="A1443" s="43"/>
      <c r="B1443" s="44"/>
      <c r="C1443" s="44"/>
      <c r="D1443" s="44"/>
      <c r="E1443" s="44"/>
      <c r="F1443" s="44"/>
      <c r="G1443" s="44"/>
      <c r="H1443" s="46" t="str">
        <f aca="false">IF($A1443="","",IF(OR(NOT(ISNUMBER(E1443)),NOT(ISNUMBER(F1443))),"",MAX(0,E1443)*F1443))</f>
        <v/>
      </c>
      <c r="I1443" s="46" t="str">
        <f aca="false">IF($A1443="","",SUMIF($A$2:$A$5001,$A1443,$H$2:$H$5001))</f>
        <v/>
      </c>
      <c r="J1443" s="47" t="n">
        <f aca="false">IF($A1443="",0,IF(COUNTIF($A$2:A1443,$A1443)=1,1,0))</f>
        <v>0</v>
      </c>
      <c r="K1443" s="47" t="n">
        <f aca="false">IF(J1443=1,N(I1443)+ROW()/10000000,0)</f>
        <v>0</v>
      </c>
      <c r="L1443" s="47" t="str">
        <f aca="false">IF(AND(J1443=1,N(I1443)&gt;0),SUMIF($K$2:$K$5001,"&gt;="&amp;K1443,$I$2:$I$5001)/MAX(1,SUM($H$2:$H$5001)),"")</f>
        <v/>
      </c>
      <c r="M1443" s="47" t="str">
        <f aca="false">IF($A1443="","",INDEX($L$2:$L$5001,MATCH($A1443,$A$2:$A$5001,0)))</f>
        <v/>
      </c>
      <c r="N1443" s="48" t="str">
        <f aca="false">IF($A1443="","",IF(N(M1443)=0,"–",IF(M1443&lt;=Start!$D$20,"A",IF(M1443&lt;=Start!$D$21,"B","C"))))</f>
        <v/>
      </c>
      <c r="O1443" s="48" t="str">
        <f aca="false">IF($A1443="","",IF(NOT(ISNUMBER(F1443)),"Wert fehlt; ",IF(F1443&lt;=0,"Wert ist 0; ",""))&amp;IF(NOT(ISNUMBER(E1443)),"Bestand fehlt; ",IF(E1443&lt;0,"Bestand negativ; ",IF(E1443=0,"Nullbestand; ","")))&amp;IF(D1443="","Warengruppe fehlt; ","")&amp;IF(B1443="","Bezeichnung fehlt; ","")&amp;IF(COUNTIFS($A$2:$A$5001,$A1443,$C$2:$C$5001,C1443)&gt;1,"Artikel doppelt im selben Lager; ",""))</f>
        <v/>
      </c>
      <c r="P1443" s="47" t="n">
        <f aca="false">IF(OR($A1443="",D1443=""),0,IF(COUNTIF($D$2:D1443,D1443)=1,SUMIF($D$2:$D$5001,D1443,$H$2:$H$5001)+ROW()/10000000,0))</f>
        <v>0</v>
      </c>
      <c r="Q1443" s="47" t="n">
        <f aca="false">IF(OR($A1443="",C1443=""),0,IF(COUNTIF($C$2:C1443,C1443)=1,SUMIF($C$2:$C$5001,C1443,$H$2:$H$5001)+ROW()/10000000,0))</f>
        <v>0</v>
      </c>
    </row>
    <row r="1444" customFormat="false" ht="15" hidden="false" customHeight="false" outlineLevel="0" collapsed="false">
      <c r="A1444" s="43"/>
      <c r="B1444" s="44"/>
      <c r="C1444" s="44"/>
      <c r="D1444" s="44"/>
      <c r="E1444" s="44"/>
      <c r="F1444" s="44"/>
      <c r="G1444" s="44"/>
      <c r="H1444" s="46" t="str">
        <f aca="false">IF($A1444="","",IF(OR(NOT(ISNUMBER(E1444)),NOT(ISNUMBER(F1444))),"",MAX(0,E1444)*F1444))</f>
        <v/>
      </c>
      <c r="I1444" s="46" t="str">
        <f aca="false">IF($A1444="","",SUMIF($A$2:$A$5001,$A1444,$H$2:$H$5001))</f>
        <v/>
      </c>
      <c r="J1444" s="47" t="n">
        <f aca="false">IF($A1444="",0,IF(COUNTIF($A$2:A1444,$A1444)=1,1,0))</f>
        <v>0</v>
      </c>
      <c r="K1444" s="47" t="n">
        <f aca="false">IF(J1444=1,N(I1444)+ROW()/10000000,0)</f>
        <v>0</v>
      </c>
      <c r="L1444" s="47" t="str">
        <f aca="false">IF(AND(J1444=1,N(I1444)&gt;0),SUMIF($K$2:$K$5001,"&gt;="&amp;K1444,$I$2:$I$5001)/MAX(1,SUM($H$2:$H$5001)),"")</f>
        <v/>
      </c>
      <c r="M1444" s="47" t="str">
        <f aca="false">IF($A1444="","",INDEX($L$2:$L$5001,MATCH($A1444,$A$2:$A$5001,0)))</f>
        <v/>
      </c>
      <c r="N1444" s="48" t="str">
        <f aca="false">IF($A1444="","",IF(N(M1444)=0,"–",IF(M1444&lt;=Start!$D$20,"A",IF(M1444&lt;=Start!$D$21,"B","C"))))</f>
        <v/>
      </c>
      <c r="O1444" s="48" t="str">
        <f aca="false">IF($A1444="","",IF(NOT(ISNUMBER(F1444)),"Wert fehlt; ",IF(F1444&lt;=0,"Wert ist 0; ",""))&amp;IF(NOT(ISNUMBER(E1444)),"Bestand fehlt; ",IF(E1444&lt;0,"Bestand negativ; ",IF(E1444=0,"Nullbestand; ","")))&amp;IF(D1444="","Warengruppe fehlt; ","")&amp;IF(B1444="","Bezeichnung fehlt; ","")&amp;IF(COUNTIFS($A$2:$A$5001,$A1444,$C$2:$C$5001,C1444)&gt;1,"Artikel doppelt im selben Lager; ",""))</f>
        <v/>
      </c>
      <c r="P1444" s="47" t="n">
        <f aca="false">IF(OR($A1444="",D1444=""),0,IF(COUNTIF($D$2:D1444,D1444)=1,SUMIF($D$2:$D$5001,D1444,$H$2:$H$5001)+ROW()/10000000,0))</f>
        <v>0</v>
      </c>
      <c r="Q1444" s="47" t="n">
        <f aca="false">IF(OR($A1444="",C1444=""),0,IF(COUNTIF($C$2:C1444,C1444)=1,SUMIF($C$2:$C$5001,C1444,$H$2:$H$5001)+ROW()/10000000,0))</f>
        <v>0</v>
      </c>
    </row>
    <row r="1445" customFormat="false" ht="15" hidden="false" customHeight="false" outlineLevel="0" collapsed="false">
      <c r="A1445" s="43"/>
      <c r="B1445" s="44"/>
      <c r="C1445" s="44"/>
      <c r="D1445" s="44"/>
      <c r="E1445" s="44"/>
      <c r="F1445" s="44"/>
      <c r="G1445" s="44"/>
      <c r="H1445" s="46" t="str">
        <f aca="false">IF($A1445="","",IF(OR(NOT(ISNUMBER(E1445)),NOT(ISNUMBER(F1445))),"",MAX(0,E1445)*F1445))</f>
        <v/>
      </c>
      <c r="I1445" s="46" t="str">
        <f aca="false">IF($A1445="","",SUMIF($A$2:$A$5001,$A1445,$H$2:$H$5001))</f>
        <v/>
      </c>
      <c r="J1445" s="47" t="n">
        <f aca="false">IF($A1445="",0,IF(COUNTIF($A$2:A1445,$A1445)=1,1,0))</f>
        <v>0</v>
      </c>
      <c r="K1445" s="47" t="n">
        <f aca="false">IF(J1445=1,N(I1445)+ROW()/10000000,0)</f>
        <v>0</v>
      </c>
      <c r="L1445" s="47" t="str">
        <f aca="false">IF(AND(J1445=1,N(I1445)&gt;0),SUMIF($K$2:$K$5001,"&gt;="&amp;K1445,$I$2:$I$5001)/MAX(1,SUM($H$2:$H$5001)),"")</f>
        <v/>
      </c>
      <c r="M1445" s="47" t="str">
        <f aca="false">IF($A1445="","",INDEX($L$2:$L$5001,MATCH($A1445,$A$2:$A$5001,0)))</f>
        <v/>
      </c>
      <c r="N1445" s="48" t="str">
        <f aca="false">IF($A1445="","",IF(N(M1445)=0,"–",IF(M1445&lt;=Start!$D$20,"A",IF(M1445&lt;=Start!$D$21,"B","C"))))</f>
        <v/>
      </c>
      <c r="O1445" s="48" t="str">
        <f aca="false">IF($A1445="","",IF(NOT(ISNUMBER(F1445)),"Wert fehlt; ",IF(F1445&lt;=0,"Wert ist 0; ",""))&amp;IF(NOT(ISNUMBER(E1445)),"Bestand fehlt; ",IF(E1445&lt;0,"Bestand negativ; ",IF(E1445=0,"Nullbestand; ","")))&amp;IF(D1445="","Warengruppe fehlt; ","")&amp;IF(B1445="","Bezeichnung fehlt; ","")&amp;IF(COUNTIFS($A$2:$A$5001,$A1445,$C$2:$C$5001,C1445)&gt;1,"Artikel doppelt im selben Lager; ",""))</f>
        <v/>
      </c>
      <c r="P1445" s="47" t="n">
        <f aca="false">IF(OR($A1445="",D1445=""),0,IF(COUNTIF($D$2:D1445,D1445)=1,SUMIF($D$2:$D$5001,D1445,$H$2:$H$5001)+ROW()/10000000,0))</f>
        <v>0</v>
      </c>
      <c r="Q1445" s="47" t="n">
        <f aca="false">IF(OR($A1445="",C1445=""),0,IF(COUNTIF($C$2:C1445,C1445)=1,SUMIF($C$2:$C$5001,C1445,$H$2:$H$5001)+ROW()/10000000,0))</f>
        <v>0</v>
      </c>
    </row>
    <row r="1446" customFormat="false" ht="15" hidden="false" customHeight="false" outlineLevel="0" collapsed="false">
      <c r="A1446" s="43"/>
      <c r="B1446" s="44"/>
      <c r="C1446" s="44"/>
      <c r="D1446" s="44"/>
      <c r="E1446" s="44"/>
      <c r="F1446" s="44"/>
      <c r="G1446" s="44"/>
      <c r="H1446" s="46" t="str">
        <f aca="false">IF($A1446="","",IF(OR(NOT(ISNUMBER(E1446)),NOT(ISNUMBER(F1446))),"",MAX(0,E1446)*F1446))</f>
        <v/>
      </c>
      <c r="I1446" s="46" t="str">
        <f aca="false">IF($A1446="","",SUMIF($A$2:$A$5001,$A1446,$H$2:$H$5001))</f>
        <v/>
      </c>
      <c r="J1446" s="47" t="n">
        <f aca="false">IF($A1446="",0,IF(COUNTIF($A$2:A1446,$A1446)=1,1,0))</f>
        <v>0</v>
      </c>
      <c r="K1446" s="47" t="n">
        <f aca="false">IF(J1446=1,N(I1446)+ROW()/10000000,0)</f>
        <v>0</v>
      </c>
      <c r="L1446" s="47" t="str">
        <f aca="false">IF(AND(J1446=1,N(I1446)&gt;0),SUMIF($K$2:$K$5001,"&gt;="&amp;K1446,$I$2:$I$5001)/MAX(1,SUM($H$2:$H$5001)),"")</f>
        <v/>
      </c>
      <c r="M1446" s="47" t="str">
        <f aca="false">IF($A1446="","",INDEX($L$2:$L$5001,MATCH($A1446,$A$2:$A$5001,0)))</f>
        <v/>
      </c>
      <c r="N1446" s="48" t="str">
        <f aca="false">IF($A1446="","",IF(N(M1446)=0,"–",IF(M1446&lt;=Start!$D$20,"A",IF(M1446&lt;=Start!$D$21,"B","C"))))</f>
        <v/>
      </c>
      <c r="O1446" s="48" t="str">
        <f aca="false">IF($A1446="","",IF(NOT(ISNUMBER(F1446)),"Wert fehlt; ",IF(F1446&lt;=0,"Wert ist 0; ",""))&amp;IF(NOT(ISNUMBER(E1446)),"Bestand fehlt; ",IF(E1446&lt;0,"Bestand negativ; ",IF(E1446=0,"Nullbestand; ","")))&amp;IF(D1446="","Warengruppe fehlt; ","")&amp;IF(B1446="","Bezeichnung fehlt; ","")&amp;IF(COUNTIFS($A$2:$A$5001,$A1446,$C$2:$C$5001,C1446)&gt;1,"Artikel doppelt im selben Lager; ",""))</f>
        <v/>
      </c>
      <c r="P1446" s="47" t="n">
        <f aca="false">IF(OR($A1446="",D1446=""),0,IF(COUNTIF($D$2:D1446,D1446)=1,SUMIF($D$2:$D$5001,D1446,$H$2:$H$5001)+ROW()/10000000,0))</f>
        <v>0</v>
      </c>
      <c r="Q1446" s="47" t="n">
        <f aca="false">IF(OR($A1446="",C1446=""),0,IF(COUNTIF($C$2:C1446,C1446)=1,SUMIF($C$2:$C$5001,C1446,$H$2:$H$5001)+ROW()/10000000,0))</f>
        <v>0</v>
      </c>
    </row>
    <row r="1447" customFormat="false" ht="15" hidden="false" customHeight="false" outlineLevel="0" collapsed="false">
      <c r="A1447" s="43"/>
      <c r="B1447" s="44"/>
      <c r="C1447" s="44"/>
      <c r="D1447" s="44"/>
      <c r="E1447" s="44"/>
      <c r="F1447" s="44"/>
      <c r="G1447" s="44"/>
      <c r="H1447" s="46" t="str">
        <f aca="false">IF($A1447="","",IF(OR(NOT(ISNUMBER(E1447)),NOT(ISNUMBER(F1447))),"",MAX(0,E1447)*F1447))</f>
        <v/>
      </c>
      <c r="I1447" s="46" t="str">
        <f aca="false">IF($A1447="","",SUMIF($A$2:$A$5001,$A1447,$H$2:$H$5001))</f>
        <v/>
      </c>
      <c r="J1447" s="47" t="n">
        <f aca="false">IF($A1447="",0,IF(COUNTIF($A$2:A1447,$A1447)=1,1,0))</f>
        <v>0</v>
      </c>
      <c r="K1447" s="47" t="n">
        <f aca="false">IF(J1447=1,N(I1447)+ROW()/10000000,0)</f>
        <v>0</v>
      </c>
      <c r="L1447" s="47" t="str">
        <f aca="false">IF(AND(J1447=1,N(I1447)&gt;0),SUMIF($K$2:$K$5001,"&gt;="&amp;K1447,$I$2:$I$5001)/MAX(1,SUM($H$2:$H$5001)),"")</f>
        <v/>
      </c>
      <c r="M1447" s="47" t="str">
        <f aca="false">IF($A1447="","",INDEX($L$2:$L$5001,MATCH($A1447,$A$2:$A$5001,0)))</f>
        <v/>
      </c>
      <c r="N1447" s="48" t="str">
        <f aca="false">IF($A1447="","",IF(N(M1447)=0,"–",IF(M1447&lt;=Start!$D$20,"A",IF(M1447&lt;=Start!$D$21,"B","C"))))</f>
        <v/>
      </c>
      <c r="O1447" s="48" t="str">
        <f aca="false">IF($A1447="","",IF(NOT(ISNUMBER(F1447)),"Wert fehlt; ",IF(F1447&lt;=0,"Wert ist 0; ",""))&amp;IF(NOT(ISNUMBER(E1447)),"Bestand fehlt; ",IF(E1447&lt;0,"Bestand negativ; ",IF(E1447=0,"Nullbestand; ","")))&amp;IF(D1447="","Warengruppe fehlt; ","")&amp;IF(B1447="","Bezeichnung fehlt; ","")&amp;IF(COUNTIFS($A$2:$A$5001,$A1447,$C$2:$C$5001,C1447)&gt;1,"Artikel doppelt im selben Lager; ",""))</f>
        <v/>
      </c>
      <c r="P1447" s="47" t="n">
        <f aca="false">IF(OR($A1447="",D1447=""),0,IF(COUNTIF($D$2:D1447,D1447)=1,SUMIF($D$2:$D$5001,D1447,$H$2:$H$5001)+ROW()/10000000,0))</f>
        <v>0</v>
      </c>
      <c r="Q1447" s="47" t="n">
        <f aca="false">IF(OR($A1447="",C1447=""),0,IF(COUNTIF($C$2:C1447,C1447)=1,SUMIF($C$2:$C$5001,C1447,$H$2:$H$5001)+ROW()/10000000,0))</f>
        <v>0</v>
      </c>
    </row>
    <row r="1448" customFormat="false" ht="15" hidden="false" customHeight="false" outlineLevel="0" collapsed="false">
      <c r="A1448" s="43"/>
      <c r="B1448" s="44"/>
      <c r="C1448" s="44"/>
      <c r="D1448" s="44"/>
      <c r="E1448" s="44"/>
      <c r="F1448" s="44"/>
      <c r="G1448" s="44"/>
      <c r="H1448" s="46" t="str">
        <f aca="false">IF($A1448="","",IF(OR(NOT(ISNUMBER(E1448)),NOT(ISNUMBER(F1448))),"",MAX(0,E1448)*F1448))</f>
        <v/>
      </c>
      <c r="I1448" s="46" t="str">
        <f aca="false">IF($A1448="","",SUMIF($A$2:$A$5001,$A1448,$H$2:$H$5001))</f>
        <v/>
      </c>
      <c r="J1448" s="47" t="n">
        <f aca="false">IF($A1448="",0,IF(COUNTIF($A$2:A1448,$A1448)=1,1,0))</f>
        <v>0</v>
      </c>
      <c r="K1448" s="47" t="n">
        <f aca="false">IF(J1448=1,N(I1448)+ROW()/10000000,0)</f>
        <v>0</v>
      </c>
      <c r="L1448" s="47" t="str">
        <f aca="false">IF(AND(J1448=1,N(I1448)&gt;0),SUMIF($K$2:$K$5001,"&gt;="&amp;K1448,$I$2:$I$5001)/MAX(1,SUM($H$2:$H$5001)),"")</f>
        <v/>
      </c>
      <c r="M1448" s="47" t="str">
        <f aca="false">IF($A1448="","",INDEX($L$2:$L$5001,MATCH($A1448,$A$2:$A$5001,0)))</f>
        <v/>
      </c>
      <c r="N1448" s="48" t="str">
        <f aca="false">IF($A1448="","",IF(N(M1448)=0,"–",IF(M1448&lt;=Start!$D$20,"A",IF(M1448&lt;=Start!$D$21,"B","C"))))</f>
        <v/>
      </c>
      <c r="O1448" s="48" t="str">
        <f aca="false">IF($A1448="","",IF(NOT(ISNUMBER(F1448)),"Wert fehlt; ",IF(F1448&lt;=0,"Wert ist 0; ",""))&amp;IF(NOT(ISNUMBER(E1448)),"Bestand fehlt; ",IF(E1448&lt;0,"Bestand negativ; ",IF(E1448=0,"Nullbestand; ","")))&amp;IF(D1448="","Warengruppe fehlt; ","")&amp;IF(B1448="","Bezeichnung fehlt; ","")&amp;IF(COUNTIFS($A$2:$A$5001,$A1448,$C$2:$C$5001,C1448)&gt;1,"Artikel doppelt im selben Lager; ",""))</f>
        <v/>
      </c>
      <c r="P1448" s="47" t="n">
        <f aca="false">IF(OR($A1448="",D1448=""),0,IF(COUNTIF($D$2:D1448,D1448)=1,SUMIF($D$2:$D$5001,D1448,$H$2:$H$5001)+ROW()/10000000,0))</f>
        <v>0</v>
      </c>
      <c r="Q1448" s="47" t="n">
        <f aca="false">IF(OR($A1448="",C1448=""),0,IF(COUNTIF($C$2:C1448,C1448)=1,SUMIF($C$2:$C$5001,C1448,$H$2:$H$5001)+ROW()/10000000,0))</f>
        <v>0</v>
      </c>
    </row>
    <row r="1449" customFormat="false" ht="15" hidden="false" customHeight="false" outlineLevel="0" collapsed="false">
      <c r="A1449" s="43"/>
      <c r="B1449" s="44"/>
      <c r="C1449" s="44"/>
      <c r="D1449" s="44"/>
      <c r="E1449" s="44"/>
      <c r="F1449" s="44"/>
      <c r="G1449" s="44"/>
      <c r="H1449" s="46" t="str">
        <f aca="false">IF($A1449="","",IF(OR(NOT(ISNUMBER(E1449)),NOT(ISNUMBER(F1449))),"",MAX(0,E1449)*F1449))</f>
        <v/>
      </c>
      <c r="I1449" s="46" t="str">
        <f aca="false">IF($A1449="","",SUMIF($A$2:$A$5001,$A1449,$H$2:$H$5001))</f>
        <v/>
      </c>
      <c r="J1449" s="47" t="n">
        <f aca="false">IF($A1449="",0,IF(COUNTIF($A$2:A1449,$A1449)=1,1,0))</f>
        <v>0</v>
      </c>
      <c r="K1449" s="47" t="n">
        <f aca="false">IF(J1449=1,N(I1449)+ROW()/10000000,0)</f>
        <v>0</v>
      </c>
      <c r="L1449" s="47" t="str">
        <f aca="false">IF(AND(J1449=1,N(I1449)&gt;0),SUMIF($K$2:$K$5001,"&gt;="&amp;K1449,$I$2:$I$5001)/MAX(1,SUM($H$2:$H$5001)),"")</f>
        <v/>
      </c>
      <c r="M1449" s="47" t="str">
        <f aca="false">IF($A1449="","",INDEX($L$2:$L$5001,MATCH($A1449,$A$2:$A$5001,0)))</f>
        <v/>
      </c>
      <c r="N1449" s="48" t="str">
        <f aca="false">IF($A1449="","",IF(N(M1449)=0,"–",IF(M1449&lt;=Start!$D$20,"A",IF(M1449&lt;=Start!$D$21,"B","C"))))</f>
        <v/>
      </c>
      <c r="O1449" s="48" t="str">
        <f aca="false">IF($A1449="","",IF(NOT(ISNUMBER(F1449)),"Wert fehlt; ",IF(F1449&lt;=0,"Wert ist 0; ",""))&amp;IF(NOT(ISNUMBER(E1449)),"Bestand fehlt; ",IF(E1449&lt;0,"Bestand negativ; ",IF(E1449=0,"Nullbestand; ","")))&amp;IF(D1449="","Warengruppe fehlt; ","")&amp;IF(B1449="","Bezeichnung fehlt; ","")&amp;IF(COUNTIFS($A$2:$A$5001,$A1449,$C$2:$C$5001,C1449)&gt;1,"Artikel doppelt im selben Lager; ",""))</f>
        <v/>
      </c>
      <c r="P1449" s="47" t="n">
        <f aca="false">IF(OR($A1449="",D1449=""),0,IF(COUNTIF($D$2:D1449,D1449)=1,SUMIF($D$2:$D$5001,D1449,$H$2:$H$5001)+ROW()/10000000,0))</f>
        <v>0</v>
      </c>
      <c r="Q1449" s="47" t="n">
        <f aca="false">IF(OR($A1449="",C1449=""),0,IF(COUNTIF($C$2:C1449,C1449)=1,SUMIF($C$2:$C$5001,C1449,$H$2:$H$5001)+ROW()/10000000,0))</f>
        <v>0</v>
      </c>
    </row>
    <row r="1450" customFormat="false" ht="15" hidden="false" customHeight="false" outlineLevel="0" collapsed="false">
      <c r="A1450" s="43"/>
      <c r="B1450" s="44"/>
      <c r="C1450" s="44"/>
      <c r="D1450" s="44"/>
      <c r="E1450" s="44"/>
      <c r="F1450" s="44"/>
      <c r="G1450" s="44"/>
      <c r="H1450" s="46" t="str">
        <f aca="false">IF($A1450="","",IF(OR(NOT(ISNUMBER(E1450)),NOT(ISNUMBER(F1450))),"",MAX(0,E1450)*F1450))</f>
        <v/>
      </c>
      <c r="I1450" s="46" t="str">
        <f aca="false">IF($A1450="","",SUMIF($A$2:$A$5001,$A1450,$H$2:$H$5001))</f>
        <v/>
      </c>
      <c r="J1450" s="47" t="n">
        <f aca="false">IF($A1450="",0,IF(COUNTIF($A$2:A1450,$A1450)=1,1,0))</f>
        <v>0</v>
      </c>
      <c r="K1450" s="47" t="n">
        <f aca="false">IF(J1450=1,N(I1450)+ROW()/10000000,0)</f>
        <v>0</v>
      </c>
      <c r="L1450" s="47" t="str">
        <f aca="false">IF(AND(J1450=1,N(I1450)&gt;0),SUMIF($K$2:$K$5001,"&gt;="&amp;K1450,$I$2:$I$5001)/MAX(1,SUM($H$2:$H$5001)),"")</f>
        <v/>
      </c>
      <c r="M1450" s="47" t="str">
        <f aca="false">IF($A1450="","",INDEX($L$2:$L$5001,MATCH($A1450,$A$2:$A$5001,0)))</f>
        <v/>
      </c>
      <c r="N1450" s="48" t="str">
        <f aca="false">IF($A1450="","",IF(N(M1450)=0,"–",IF(M1450&lt;=Start!$D$20,"A",IF(M1450&lt;=Start!$D$21,"B","C"))))</f>
        <v/>
      </c>
      <c r="O1450" s="48" t="str">
        <f aca="false">IF($A1450="","",IF(NOT(ISNUMBER(F1450)),"Wert fehlt; ",IF(F1450&lt;=0,"Wert ist 0; ",""))&amp;IF(NOT(ISNUMBER(E1450)),"Bestand fehlt; ",IF(E1450&lt;0,"Bestand negativ; ",IF(E1450=0,"Nullbestand; ","")))&amp;IF(D1450="","Warengruppe fehlt; ","")&amp;IF(B1450="","Bezeichnung fehlt; ","")&amp;IF(COUNTIFS($A$2:$A$5001,$A1450,$C$2:$C$5001,C1450)&gt;1,"Artikel doppelt im selben Lager; ",""))</f>
        <v/>
      </c>
      <c r="P1450" s="47" t="n">
        <f aca="false">IF(OR($A1450="",D1450=""),0,IF(COUNTIF($D$2:D1450,D1450)=1,SUMIF($D$2:$D$5001,D1450,$H$2:$H$5001)+ROW()/10000000,0))</f>
        <v>0</v>
      </c>
      <c r="Q1450" s="47" t="n">
        <f aca="false">IF(OR($A1450="",C1450=""),0,IF(COUNTIF($C$2:C1450,C1450)=1,SUMIF($C$2:$C$5001,C1450,$H$2:$H$5001)+ROW()/10000000,0))</f>
        <v>0</v>
      </c>
    </row>
    <row r="1451" customFormat="false" ht="15" hidden="false" customHeight="false" outlineLevel="0" collapsed="false">
      <c r="A1451" s="43"/>
      <c r="B1451" s="44"/>
      <c r="C1451" s="44"/>
      <c r="D1451" s="44"/>
      <c r="E1451" s="44"/>
      <c r="F1451" s="44"/>
      <c r="G1451" s="44"/>
      <c r="H1451" s="46" t="str">
        <f aca="false">IF($A1451="","",IF(OR(NOT(ISNUMBER(E1451)),NOT(ISNUMBER(F1451))),"",MAX(0,E1451)*F1451))</f>
        <v/>
      </c>
      <c r="I1451" s="46" t="str">
        <f aca="false">IF($A1451="","",SUMIF($A$2:$A$5001,$A1451,$H$2:$H$5001))</f>
        <v/>
      </c>
      <c r="J1451" s="47" t="n">
        <f aca="false">IF($A1451="",0,IF(COUNTIF($A$2:A1451,$A1451)=1,1,0))</f>
        <v>0</v>
      </c>
      <c r="K1451" s="47" t="n">
        <f aca="false">IF(J1451=1,N(I1451)+ROW()/10000000,0)</f>
        <v>0</v>
      </c>
      <c r="L1451" s="47" t="str">
        <f aca="false">IF(AND(J1451=1,N(I1451)&gt;0),SUMIF($K$2:$K$5001,"&gt;="&amp;K1451,$I$2:$I$5001)/MAX(1,SUM($H$2:$H$5001)),"")</f>
        <v/>
      </c>
      <c r="M1451" s="47" t="str">
        <f aca="false">IF($A1451="","",INDEX($L$2:$L$5001,MATCH($A1451,$A$2:$A$5001,0)))</f>
        <v/>
      </c>
      <c r="N1451" s="48" t="str">
        <f aca="false">IF($A1451="","",IF(N(M1451)=0,"–",IF(M1451&lt;=Start!$D$20,"A",IF(M1451&lt;=Start!$D$21,"B","C"))))</f>
        <v/>
      </c>
      <c r="O1451" s="48" t="str">
        <f aca="false">IF($A1451="","",IF(NOT(ISNUMBER(F1451)),"Wert fehlt; ",IF(F1451&lt;=0,"Wert ist 0; ",""))&amp;IF(NOT(ISNUMBER(E1451)),"Bestand fehlt; ",IF(E1451&lt;0,"Bestand negativ; ",IF(E1451=0,"Nullbestand; ","")))&amp;IF(D1451="","Warengruppe fehlt; ","")&amp;IF(B1451="","Bezeichnung fehlt; ","")&amp;IF(COUNTIFS($A$2:$A$5001,$A1451,$C$2:$C$5001,C1451)&gt;1,"Artikel doppelt im selben Lager; ",""))</f>
        <v/>
      </c>
      <c r="P1451" s="47" t="n">
        <f aca="false">IF(OR($A1451="",D1451=""),0,IF(COUNTIF($D$2:D1451,D1451)=1,SUMIF($D$2:$D$5001,D1451,$H$2:$H$5001)+ROW()/10000000,0))</f>
        <v>0</v>
      </c>
      <c r="Q1451" s="47" t="n">
        <f aca="false">IF(OR($A1451="",C1451=""),0,IF(COUNTIF($C$2:C1451,C1451)=1,SUMIF($C$2:$C$5001,C1451,$H$2:$H$5001)+ROW()/10000000,0))</f>
        <v>0</v>
      </c>
    </row>
    <row r="1452" customFormat="false" ht="15" hidden="false" customHeight="false" outlineLevel="0" collapsed="false">
      <c r="A1452" s="43"/>
      <c r="B1452" s="44"/>
      <c r="C1452" s="44"/>
      <c r="D1452" s="44"/>
      <c r="E1452" s="44"/>
      <c r="F1452" s="44"/>
      <c r="G1452" s="44"/>
      <c r="H1452" s="46" t="str">
        <f aca="false">IF($A1452="","",IF(OR(NOT(ISNUMBER(E1452)),NOT(ISNUMBER(F1452))),"",MAX(0,E1452)*F1452))</f>
        <v/>
      </c>
      <c r="I1452" s="46" t="str">
        <f aca="false">IF($A1452="","",SUMIF($A$2:$A$5001,$A1452,$H$2:$H$5001))</f>
        <v/>
      </c>
      <c r="J1452" s="47" t="n">
        <f aca="false">IF($A1452="",0,IF(COUNTIF($A$2:A1452,$A1452)=1,1,0))</f>
        <v>0</v>
      </c>
      <c r="K1452" s="47" t="n">
        <f aca="false">IF(J1452=1,N(I1452)+ROW()/10000000,0)</f>
        <v>0</v>
      </c>
      <c r="L1452" s="47" t="str">
        <f aca="false">IF(AND(J1452=1,N(I1452)&gt;0),SUMIF($K$2:$K$5001,"&gt;="&amp;K1452,$I$2:$I$5001)/MAX(1,SUM($H$2:$H$5001)),"")</f>
        <v/>
      </c>
      <c r="M1452" s="47" t="str">
        <f aca="false">IF($A1452="","",INDEX($L$2:$L$5001,MATCH($A1452,$A$2:$A$5001,0)))</f>
        <v/>
      </c>
      <c r="N1452" s="48" t="str">
        <f aca="false">IF($A1452="","",IF(N(M1452)=0,"–",IF(M1452&lt;=Start!$D$20,"A",IF(M1452&lt;=Start!$D$21,"B","C"))))</f>
        <v/>
      </c>
      <c r="O1452" s="48" t="str">
        <f aca="false">IF($A1452="","",IF(NOT(ISNUMBER(F1452)),"Wert fehlt; ",IF(F1452&lt;=0,"Wert ist 0; ",""))&amp;IF(NOT(ISNUMBER(E1452)),"Bestand fehlt; ",IF(E1452&lt;0,"Bestand negativ; ",IF(E1452=0,"Nullbestand; ","")))&amp;IF(D1452="","Warengruppe fehlt; ","")&amp;IF(B1452="","Bezeichnung fehlt; ","")&amp;IF(COUNTIFS($A$2:$A$5001,$A1452,$C$2:$C$5001,C1452)&gt;1,"Artikel doppelt im selben Lager; ",""))</f>
        <v/>
      </c>
      <c r="P1452" s="47" t="n">
        <f aca="false">IF(OR($A1452="",D1452=""),0,IF(COUNTIF($D$2:D1452,D1452)=1,SUMIF($D$2:$D$5001,D1452,$H$2:$H$5001)+ROW()/10000000,0))</f>
        <v>0</v>
      </c>
      <c r="Q1452" s="47" t="n">
        <f aca="false">IF(OR($A1452="",C1452=""),0,IF(COUNTIF($C$2:C1452,C1452)=1,SUMIF($C$2:$C$5001,C1452,$H$2:$H$5001)+ROW()/10000000,0))</f>
        <v>0</v>
      </c>
    </row>
    <row r="1453" customFormat="false" ht="15" hidden="false" customHeight="false" outlineLevel="0" collapsed="false">
      <c r="A1453" s="43"/>
      <c r="B1453" s="44"/>
      <c r="C1453" s="44"/>
      <c r="D1453" s="44"/>
      <c r="E1453" s="44"/>
      <c r="F1453" s="44"/>
      <c r="G1453" s="44"/>
      <c r="H1453" s="46" t="str">
        <f aca="false">IF($A1453="","",IF(OR(NOT(ISNUMBER(E1453)),NOT(ISNUMBER(F1453))),"",MAX(0,E1453)*F1453))</f>
        <v/>
      </c>
      <c r="I1453" s="46" t="str">
        <f aca="false">IF($A1453="","",SUMIF($A$2:$A$5001,$A1453,$H$2:$H$5001))</f>
        <v/>
      </c>
      <c r="J1453" s="47" t="n">
        <f aca="false">IF($A1453="",0,IF(COUNTIF($A$2:A1453,$A1453)=1,1,0))</f>
        <v>0</v>
      </c>
      <c r="K1453" s="47" t="n">
        <f aca="false">IF(J1453=1,N(I1453)+ROW()/10000000,0)</f>
        <v>0</v>
      </c>
      <c r="L1453" s="47" t="str">
        <f aca="false">IF(AND(J1453=1,N(I1453)&gt;0),SUMIF($K$2:$K$5001,"&gt;="&amp;K1453,$I$2:$I$5001)/MAX(1,SUM($H$2:$H$5001)),"")</f>
        <v/>
      </c>
      <c r="M1453" s="47" t="str">
        <f aca="false">IF($A1453="","",INDEX($L$2:$L$5001,MATCH($A1453,$A$2:$A$5001,0)))</f>
        <v/>
      </c>
      <c r="N1453" s="48" t="str">
        <f aca="false">IF($A1453="","",IF(N(M1453)=0,"–",IF(M1453&lt;=Start!$D$20,"A",IF(M1453&lt;=Start!$D$21,"B","C"))))</f>
        <v/>
      </c>
      <c r="O1453" s="48" t="str">
        <f aca="false">IF($A1453="","",IF(NOT(ISNUMBER(F1453)),"Wert fehlt; ",IF(F1453&lt;=0,"Wert ist 0; ",""))&amp;IF(NOT(ISNUMBER(E1453)),"Bestand fehlt; ",IF(E1453&lt;0,"Bestand negativ; ",IF(E1453=0,"Nullbestand; ","")))&amp;IF(D1453="","Warengruppe fehlt; ","")&amp;IF(B1453="","Bezeichnung fehlt; ","")&amp;IF(COUNTIFS($A$2:$A$5001,$A1453,$C$2:$C$5001,C1453)&gt;1,"Artikel doppelt im selben Lager; ",""))</f>
        <v/>
      </c>
      <c r="P1453" s="47" t="n">
        <f aca="false">IF(OR($A1453="",D1453=""),0,IF(COUNTIF($D$2:D1453,D1453)=1,SUMIF($D$2:$D$5001,D1453,$H$2:$H$5001)+ROW()/10000000,0))</f>
        <v>0</v>
      </c>
      <c r="Q1453" s="47" t="n">
        <f aca="false">IF(OR($A1453="",C1453=""),0,IF(COUNTIF($C$2:C1453,C1453)=1,SUMIF($C$2:$C$5001,C1453,$H$2:$H$5001)+ROW()/10000000,0))</f>
        <v>0</v>
      </c>
    </row>
    <row r="1454" customFormat="false" ht="15" hidden="false" customHeight="false" outlineLevel="0" collapsed="false">
      <c r="A1454" s="43"/>
      <c r="B1454" s="44"/>
      <c r="C1454" s="44"/>
      <c r="D1454" s="44"/>
      <c r="E1454" s="44"/>
      <c r="F1454" s="44"/>
      <c r="G1454" s="44"/>
      <c r="H1454" s="46" t="str">
        <f aca="false">IF($A1454="","",IF(OR(NOT(ISNUMBER(E1454)),NOT(ISNUMBER(F1454))),"",MAX(0,E1454)*F1454))</f>
        <v/>
      </c>
      <c r="I1454" s="46" t="str">
        <f aca="false">IF($A1454="","",SUMIF($A$2:$A$5001,$A1454,$H$2:$H$5001))</f>
        <v/>
      </c>
      <c r="J1454" s="47" t="n">
        <f aca="false">IF($A1454="",0,IF(COUNTIF($A$2:A1454,$A1454)=1,1,0))</f>
        <v>0</v>
      </c>
      <c r="K1454" s="47" t="n">
        <f aca="false">IF(J1454=1,N(I1454)+ROW()/10000000,0)</f>
        <v>0</v>
      </c>
      <c r="L1454" s="47" t="str">
        <f aca="false">IF(AND(J1454=1,N(I1454)&gt;0),SUMIF($K$2:$K$5001,"&gt;="&amp;K1454,$I$2:$I$5001)/MAX(1,SUM($H$2:$H$5001)),"")</f>
        <v/>
      </c>
      <c r="M1454" s="47" t="str">
        <f aca="false">IF($A1454="","",INDEX($L$2:$L$5001,MATCH($A1454,$A$2:$A$5001,0)))</f>
        <v/>
      </c>
      <c r="N1454" s="48" t="str">
        <f aca="false">IF($A1454="","",IF(N(M1454)=0,"–",IF(M1454&lt;=Start!$D$20,"A",IF(M1454&lt;=Start!$D$21,"B","C"))))</f>
        <v/>
      </c>
      <c r="O1454" s="48" t="str">
        <f aca="false">IF($A1454="","",IF(NOT(ISNUMBER(F1454)),"Wert fehlt; ",IF(F1454&lt;=0,"Wert ist 0; ",""))&amp;IF(NOT(ISNUMBER(E1454)),"Bestand fehlt; ",IF(E1454&lt;0,"Bestand negativ; ",IF(E1454=0,"Nullbestand; ","")))&amp;IF(D1454="","Warengruppe fehlt; ","")&amp;IF(B1454="","Bezeichnung fehlt; ","")&amp;IF(COUNTIFS($A$2:$A$5001,$A1454,$C$2:$C$5001,C1454)&gt;1,"Artikel doppelt im selben Lager; ",""))</f>
        <v/>
      </c>
      <c r="P1454" s="47" t="n">
        <f aca="false">IF(OR($A1454="",D1454=""),0,IF(COUNTIF($D$2:D1454,D1454)=1,SUMIF($D$2:$D$5001,D1454,$H$2:$H$5001)+ROW()/10000000,0))</f>
        <v>0</v>
      </c>
      <c r="Q1454" s="47" t="n">
        <f aca="false">IF(OR($A1454="",C1454=""),0,IF(COUNTIF($C$2:C1454,C1454)=1,SUMIF($C$2:$C$5001,C1454,$H$2:$H$5001)+ROW()/10000000,0))</f>
        <v>0</v>
      </c>
    </row>
    <row r="1455" customFormat="false" ht="15" hidden="false" customHeight="false" outlineLevel="0" collapsed="false">
      <c r="A1455" s="43"/>
      <c r="B1455" s="44"/>
      <c r="C1455" s="44"/>
      <c r="D1455" s="44"/>
      <c r="E1455" s="44"/>
      <c r="F1455" s="44"/>
      <c r="G1455" s="44"/>
      <c r="H1455" s="46" t="str">
        <f aca="false">IF($A1455="","",IF(OR(NOT(ISNUMBER(E1455)),NOT(ISNUMBER(F1455))),"",MAX(0,E1455)*F1455))</f>
        <v/>
      </c>
      <c r="I1455" s="46" t="str">
        <f aca="false">IF($A1455="","",SUMIF($A$2:$A$5001,$A1455,$H$2:$H$5001))</f>
        <v/>
      </c>
      <c r="J1455" s="47" t="n">
        <f aca="false">IF($A1455="",0,IF(COUNTIF($A$2:A1455,$A1455)=1,1,0))</f>
        <v>0</v>
      </c>
      <c r="K1455" s="47" t="n">
        <f aca="false">IF(J1455=1,N(I1455)+ROW()/10000000,0)</f>
        <v>0</v>
      </c>
      <c r="L1455" s="47" t="str">
        <f aca="false">IF(AND(J1455=1,N(I1455)&gt;0),SUMIF($K$2:$K$5001,"&gt;="&amp;K1455,$I$2:$I$5001)/MAX(1,SUM($H$2:$H$5001)),"")</f>
        <v/>
      </c>
      <c r="M1455" s="47" t="str">
        <f aca="false">IF($A1455="","",INDEX($L$2:$L$5001,MATCH($A1455,$A$2:$A$5001,0)))</f>
        <v/>
      </c>
      <c r="N1455" s="48" t="str">
        <f aca="false">IF($A1455="","",IF(N(M1455)=0,"–",IF(M1455&lt;=Start!$D$20,"A",IF(M1455&lt;=Start!$D$21,"B","C"))))</f>
        <v/>
      </c>
      <c r="O1455" s="48" t="str">
        <f aca="false">IF($A1455="","",IF(NOT(ISNUMBER(F1455)),"Wert fehlt; ",IF(F1455&lt;=0,"Wert ist 0; ",""))&amp;IF(NOT(ISNUMBER(E1455)),"Bestand fehlt; ",IF(E1455&lt;0,"Bestand negativ; ",IF(E1455=0,"Nullbestand; ","")))&amp;IF(D1455="","Warengruppe fehlt; ","")&amp;IF(B1455="","Bezeichnung fehlt; ","")&amp;IF(COUNTIFS($A$2:$A$5001,$A1455,$C$2:$C$5001,C1455)&gt;1,"Artikel doppelt im selben Lager; ",""))</f>
        <v/>
      </c>
      <c r="P1455" s="47" t="n">
        <f aca="false">IF(OR($A1455="",D1455=""),0,IF(COUNTIF($D$2:D1455,D1455)=1,SUMIF($D$2:$D$5001,D1455,$H$2:$H$5001)+ROW()/10000000,0))</f>
        <v>0</v>
      </c>
      <c r="Q1455" s="47" t="n">
        <f aca="false">IF(OR($A1455="",C1455=""),0,IF(COUNTIF($C$2:C1455,C1455)=1,SUMIF($C$2:$C$5001,C1455,$H$2:$H$5001)+ROW()/10000000,0))</f>
        <v>0</v>
      </c>
    </row>
    <row r="1456" customFormat="false" ht="15" hidden="false" customHeight="false" outlineLevel="0" collapsed="false">
      <c r="A1456" s="43"/>
      <c r="B1456" s="44"/>
      <c r="C1456" s="44"/>
      <c r="D1456" s="44"/>
      <c r="E1456" s="44"/>
      <c r="F1456" s="44"/>
      <c r="G1456" s="44"/>
      <c r="H1456" s="46" t="str">
        <f aca="false">IF($A1456="","",IF(OR(NOT(ISNUMBER(E1456)),NOT(ISNUMBER(F1456))),"",MAX(0,E1456)*F1456))</f>
        <v/>
      </c>
      <c r="I1456" s="46" t="str">
        <f aca="false">IF($A1456="","",SUMIF($A$2:$A$5001,$A1456,$H$2:$H$5001))</f>
        <v/>
      </c>
      <c r="J1456" s="47" t="n">
        <f aca="false">IF($A1456="",0,IF(COUNTIF($A$2:A1456,$A1456)=1,1,0))</f>
        <v>0</v>
      </c>
      <c r="K1456" s="47" t="n">
        <f aca="false">IF(J1456=1,N(I1456)+ROW()/10000000,0)</f>
        <v>0</v>
      </c>
      <c r="L1456" s="47" t="str">
        <f aca="false">IF(AND(J1456=1,N(I1456)&gt;0),SUMIF($K$2:$K$5001,"&gt;="&amp;K1456,$I$2:$I$5001)/MAX(1,SUM($H$2:$H$5001)),"")</f>
        <v/>
      </c>
      <c r="M1456" s="47" t="str">
        <f aca="false">IF($A1456="","",INDEX($L$2:$L$5001,MATCH($A1456,$A$2:$A$5001,0)))</f>
        <v/>
      </c>
      <c r="N1456" s="48" t="str">
        <f aca="false">IF($A1456="","",IF(N(M1456)=0,"–",IF(M1456&lt;=Start!$D$20,"A",IF(M1456&lt;=Start!$D$21,"B","C"))))</f>
        <v/>
      </c>
      <c r="O1456" s="48" t="str">
        <f aca="false">IF($A1456="","",IF(NOT(ISNUMBER(F1456)),"Wert fehlt; ",IF(F1456&lt;=0,"Wert ist 0; ",""))&amp;IF(NOT(ISNUMBER(E1456)),"Bestand fehlt; ",IF(E1456&lt;0,"Bestand negativ; ",IF(E1456=0,"Nullbestand; ","")))&amp;IF(D1456="","Warengruppe fehlt; ","")&amp;IF(B1456="","Bezeichnung fehlt; ","")&amp;IF(COUNTIFS($A$2:$A$5001,$A1456,$C$2:$C$5001,C1456)&gt;1,"Artikel doppelt im selben Lager; ",""))</f>
        <v/>
      </c>
      <c r="P1456" s="47" t="n">
        <f aca="false">IF(OR($A1456="",D1456=""),0,IF(COUNTIF($D$2:D1456,D1456)=1,SUMIF($D$2:$D$5001,D1456,$H$2:$H$5001)+ROW()/10000000,0))</f>
        <v>0</v>
      </c>
      <c r="Q1456" s="47" t="n">
        <f aca="false">IF(OR($A1456="",C1456=""),0,IF(COUNTIF($C$2:C1456,C1456)=1,SUMIF($C$2:$C$5001,C1456,$H$2:$H$5001)+ROW()/10000000,0))</f>
        <v>0</v>
      </c>
    </row>
    <row r="1457" customFormat="false" ht="15" hidden="false" customHeight="false" outlineLevel="0" collapsed="false">
      <c r="A1457" s="43"/>
      <c r="B1457" s="44"/>
      <c r="C1457" s="44"/>
      <c r="D1457" s="44"/>
      <c r="E1457" s="44"/>
      <c r="F1457" s="44"/>
      <c r="G1457" s="44"/>
      <c r="H1457" s="46" t="str">
        <f aca="false">IF($A1457="","",IF(OR(NOT(ISNUMBER(E1457)),NOT(ISNUMBER(F1457))),"",MAX(0,E1457)*F1457))</f>
        <v/>
      </c>
      <c r="I1457" s="46" t="str">
        <f aca="false">IF($A1457="","",SUMIF($A$2:$A$5001,$A1457,$H$2:$H$5001))</f>
        <v/>
      </c>
      <c r="J1457" s="47" t="n">
        <f aca="false">IF($A1457="",0,IF(COUNTIF($A$2:A1457,$A1457)=1,1,0))</f>
        <v>0</v>
      </c>
      <c r="K1457" s="47" t="n">
        <f aca="false">IF(J1457=1,N(I1457)+ROW()/10000000,0)</f>
        <v>0</v>
      </c>
      <c r="L1457" s="47" t="str">
        <f aca="false">IF(AND(J1457=1,N(I1457)&gt;0),SUMIF($K$2:$K$5001,"&gt;="&amp;K1457,$I$2:$I$5001)/MAX(1,SUM($H$2:$H$5001)),"")</f>
        <v/>
      </c>
      <c r="M1457" s="47" t="str">
        <f aca="false">IF($A1457="","",INDEX($L$2:$L$5001,MATCH($A1457,$A$2:$A$5001,0)))</f>
        <v/>
      </c>
      <c r="N1457" s="48" t="str">
        <f aca="false">IF($A1457="","",IF(N(M1457)=0,"–",IF(M1457&lt;=Start!$D$20,"A",IF(M1457&lt;=Start!$D$21,"B","C"))))</f>
        <v/>
      </c>
      <c r="O1457" s="48" t="str">
        <f aca="false">IF($A1457="","",IF(NOT(ISNUMBER(F1457)),"Wert fehlt; ",IF(F1457&lt;=0,"Wert ist 0; ",""))&amp;IF(NOT(ISNUMBER(E1457)),"Bestand fehlt; ",IF(E1457&lt;0,"Bestand negativ; ",IF(E1457=0,"Nullbestand; ","")))&amp;IF(D1457="","Warengruppe fehlt; ","")&amp;IF(B1457="","Bezeichnung fehlt; ","")&amp;IF(COUNTIFS($A$2:$A$5001,$A1457,$C$2:$C$5001,C1457)&gt;1,"Artikel doppelt im selben Lager; ",""))</f>
        <v/>
      </c>
      <c r="P1457" s="47" t="n">
        <f aca="false">IF(OR($A1457="",D1457=""),0,IF(COUNTIF($D$2:D1457,D1457)=1,SUMIF($D$2:$D$5001,D1457,$H$2:$H$5001)+ROW()/10000000,0))</f>
        <v>0</v>
      </c>
      <c r="Q1457" s="47" t="n">
        <f aca="false">IF(OR($A1457="",C1457=""),0,IF(COUNTIF($C$2:C1457,C1457)=1,SUMIF($C$2:$C$5001,C1457,$H$2:$H$5001)+ROW()/10000000,0))</f>
        <v>0</v>
      </c>
    </row>
    <row r="1458" customFormat="false" ht="15" hidden="false" customHeight="false" outlineLevel="0" collapsed="false">
      <c r="A1458" s="43"/>
      <c r="B1458" s="44"/>
      <c r="C1458" s="44"/>
      <c r="D1458" s="44"/>
      <c r="E1458" s="44"/>
      <c r="F1458" s="44"/>
      <c r="G1458" s="44"/>
      <c r="H1458" s="46" t="str">
        <f aca="false">IF($A1458="","",IF(OR(NOT(ISNUMBER(E1458)),NOT(ISNUMBER(F1458))),"",MAX(0,E1458)*F1458))</f>
        <v/>
      </c>
      <c r="I1458" s="46" t="str">
        <f aca="false">IF($A1458="","",SUMIF($A$2:$A$5001,$A1458,$H$2:$H$5001))</f>
        <v/>
      </c>
      <c r="J1458" s="47" t="n">
        <f aca="false">IF($A1458="",0,IF(COUNTIF($A$2:A1458,$A1458)=1,1,0))</f>
        <v>0</v>
      </c>
      <c r="K1458" s="47" t="n">
        <f aca="false">IF(J1458=1,N(I1458)+ROW()/10000000,0)</f>
        <v>0</v>
      </c>
      <c r="L1458" s="47" t="str">
        <f aca="false">IF(AND(J1458=1,N(I1458)&gt;0),SUMIF($K$2:$K$5001,"&gt;="&amp;K1458,$I$2:$I$5001)/MAX(1,SUM($H$2:$H$5001)),"")</f>
        <v/>
      </c>
      <c r="M1458" s="47" t="str">
        <f aca="false">IF($A1458="","",INDEX($L$2:$L$5001,MATCH($A1458,$A$2:$A$5001,0)))</f>
        <v/>
      </c>
      <c r="N1458" s="48" t="str">
        <f aca="false">IF($A1458="","",IF(N(M1458)=0,"–",IF(M1458&lt;=Start!$D$20,"A",IF(M1458&lt;=Start!$D$21,"B","C"))))</f>
        <v/>
      </c>
      <c r="O1458" s="48" t="str">
        <f aca="false">IF($A1458="","",IF(NOT(ISNUMBER(F1458)),"Wert fehlt; ",IF(F1458&lt;=0,"Wert ist 0; ",""))&amp;IF(NOT(ISNUMBER(E1458)),"Bestand fehlt; ",IF(E1458&lt;0,"Bestand negativ; ",IF(E1458=0,"Nullbestand; ","")))&amp;IF(D1458="","Warengruppe fehlt; ","")&amp;IF(B1458="","Bezeichnung fehlt; ","")&amp;IF(COUNTIFS($A$2:$A$5001,$A1458,$C$2:$C$5001,C1458)&gt;1,"Artikel doppelt im selben Lager; ",""))</f>
        <v/>
      </c>
      <c r="P1458" s="47" t="n">
        <f aca="false">IF(OR($A1458="",D1458=""),0,IF(COUNTIF($D$2:D1458,D1458)=1,SUMIF($D$2:$D$5001,D1458,$H$2:$H$5001)+ROW()/10000000,0))</f>
        <v>0</v>
      </c>
      <c r="Q1458" s="47" t="n">
        <f aca="false">IF(OR($A1458="",C1458=""),0,IF(COUNTIF($C$2:C1458,C1458)=1,SUMIF($C$2:$C$5001,C1458,$H$2:$H$5001)+ROW()/10000000,0))</f>
        <v>0</v>
      </c>
    </row>
    <row r="1459" customFormat="false" ht="15" hidden="false" customHeight="false" outlineLevel="0" collapsed="false">
      <c r="A1459" s="43"/>
      <c r="B1459" s="44"/>
      <c r="C1459" s="44"/>
      <c r="D1459" s="44"/>
      <c r="E1459" s="44"/>
      <c r="F1459" s="44"/>
      <c r="G1459" s="44"/>
      <c r="H1459" s="46" t="str">
        <f aca="false">IF($A1459="","",IF(OR(NOT(ISNUMBER(E1459)),NOT(ISNUMBER(F1459))),"",MAX(0,E1459)*F1459))</f>
        <v/>
      </c>
      <c r="I1459" s="46" t="str">
        <f aca="false">IF($A1459="","",SUMIF($A$2:$A$5001,$A1459,$H$2:$H$5001))</f>
        <v/>
      </c>
      <c r="J1459" s="47" t="n">
        <f aca="false">IF($A1459="",0,IF(COUNTIF($A$2:A1459,$A1459)=1,1,0))</f>
        <v>0</v>
      </c>
      <c r="K1459" s="47" t="n">
        <f aca="false">IF(J1459=1,N(I1459)+ROW()/10000000,0)</f>
        <v>0</v>
      </c>
      <c r="L1459" s="47" t="str">
        <f aca="false">IF(AND(J1459=1,N(I1459)&gt;0),SUMIF($K$2:$K$5001,"&gt;="&amp;K1459,$I$2:$I$5001)/MAX(1,SUM($H$2:$H$5001)),"")</f>
        <v/>
      </c>
      <c r="M1459" s="47" t="str">
        <f aca="false">IF($A1459="","",INDEX($L$2:$L$5001,MATCH($A1459,$A$2:$A$5001,0)))</f>
        <v/>
      </c>
      <c r="N1459" s="48" t="str">
        <f aca="false">IF($A1459="","",IF(N(M1459)=0,"–",IF(M1459&lt;=Start!$D$20,"A",IF(M1459&lt;=Start!$D$21,"B","C"))))</f>
        <v/>
      </c>
      <c r="O1459" s="48" t="str">
        <f aca="false">IF($A1459="","",IF(NOT(ISNUMBER(F1459)),"Wert fehlt; ",IF(F1459&lt;=0,"Wert ist 0; ",""))&amp;IF(NOT(ISNUMBER(E1459)),"Bestand fehlt; ",IF(E1459&lt;0,"Bestand negativ; ",IF(E1459=0,"Nullbestand; ","")))&amp;IF(D1459="","Warengruppe fehlt; ","")&amp;IF(B1459="","Bezeichnung fehlt; ","")&amp;IF(COUNTIFS($A$2:$A$5001,$A1459,$C$2:$C$5001,C1459)&gt;1,"Artikel doppelt im selben Lager; ",""))</f>
        <v/>
      </c>
      <c r="P1459" s="47" t="n">
        <f aca="false">IF(OR($A1459="",D1459=""),0,IF(COUNTIF($D$2:D1459,D1459)=1,SUMIF($D$2:$D$5001,D1459,$H$2:$H$5001)+ROW()/10000000,0))</f>
        <v>0</v>
      </c>
      <c r="Q1459" s="47" t="n">
        <f aca="false">IF(OR($A1459="",C1459=""),0,IF(COUNTIF($C$2:C1459,C1459)=1,SUMIF($C$2:$C$5001,C1459,$H$2:$H$5001)+ROW()/10000000,0))</f>
        <v>0</v>
      </c>
    </row>
    <row r="1460" customFormat="false" ht="15" hidden="false" customHeight="false" outlineLevel="0" collapsed="false">
      <c r="A1460" s="43"/>
      <c r="B1460" s="44"/>
      <c r="C1460" s="44"/>
      <c r="D1460" s="44"/>
      <c r="E1460" s="44"/>
      <c r="F1460" s="44"/>
      <c r="G1460" s="44"/>
      <c r="H1460" s="46" t="str">
        <f aca="false">IF($A1460="","",IF(OR(NOT(ISNUMBER(E1460)),NOT(ISNUMBER(F1460))),"",MAX(0,E1460)*F1460))</f>
        <v/>
      </c>
      <c r="I1460" s="46" t="str">
        <f aca="false">IF($A1460="","",SUMIF($A$2:$A$5001,$A1460,$H$2:$H$5001))</f>
        <v/>
      </c>
      <c r="J1460" s="47" t="n">
        <f aca="false">IF($A1460="",0,IF(COUNTIF($A$2:A1460,$A1460)=1,1,0))</f>
        <v>0</v>
      </c>
      <c r="K1460" s="47" t="n">
        <f aca="false">IF(J1460=1,N(I1460)+ROW()/10000000,0)</f>
        <v>0</v>
      </c>
      <c r="L1460" s="47" t="str">
        <f aca="false">IF(AND(J1460=1,N(I1460)&gt;0),SUMIF($K$2:$K$5001,"&gt;="&amp;K1460,$I$2:$I$5001)/MAX(1,SUM($H$2:$H$5001)),"")</f>
        <v/>
      </c>
      <c r="M1460" s="47" t="str">
        <f aca="false">IF($A1460="","",INDEX($L$2:$L$5001,MATCH($A1460,$A$2:$A$5001,0)))</f>
        <v/>
      </c>
      <c r="N1460" s="48" t="str">
        <f aca="false">IF($A1460="","",IF(N(M1460)=0,"–",IF(M1460&lt;=Start!$D$20,"A",IF(M1460&lt;=Start!$D$21,"B","C"))))</f>
        <v/>
      </c>
      <c r="O1460" s="48" t="str">
        <f aca="false">IF($A1460="","",IF(NOT(ISNUMBER(F1460)),"Wert fehlt; ",IF(F1460&lt;=0,"Wert ist 0; ",""))&amp;IF(NOT(ISNUMBER(E1460)),"Bestand fehlt; ",IF(E1460&lt;0,"Bestand negativ; ",IF(E1460=0,"Nullbestand; ","")))&amp;IF(D1460="","Warengruppe fehlt; ","")&amp;IF(B1460="","Bezeichnung fehlt; ","")&amp;IF(COUNTIFS($A$2:$A$5001,$A1460,$C$2:$C$5001,C1460)&gt;1,"Artikel doppelt im selben Lager; ",""))</f>
        <v/>
      </c>
      <c r="P1460" s="47" t="n">
        <f aca="false">IF(OR($A1460="",D1460=""),0,IF(COUNTIF($D$2:D1460,D1460)=1,SUMIF($D$2:$D$5001,D1460,$H$2:$H$5001)+ROW()/10000000,0))</f>
        <v>0</v>
      </c>
      <c r="Q1460" s="47" t="n">
        <f aca="false">IF(OR($A1460="",C1460=""),0,IF(COUNTIF($C$2:C1460,C1460)=1,SUMIF($C$2:$C$5001,C1460,$H$2:$H$5001)+ROW()/10000000,0))</f>
        <v>0</v>
      </c>
    </row>
    <row r="1461" customFormat="false" ht="15" hidden="false" customHeight="false" outlineLevel="0" collapsed="false">
      <c r="A1461" s="43"/>
      <c r="B1461" s="44"/>
      <c r="C1461" s="44"/>
      <c r="D1461" s="44"/>
      <c r="E1461" s="44"/>
      <c r="F1461" s="44"/>
      <c r="G1461" s="44"/>
      <c r="H1461" s="46" t="str">
        <f aca="false">IF($A1461="","",IF(OR(NOT(ISNUMBER(E1461)),NOT(ISNUMBER(F1461))),"",MAX(0,E1461)*F1461))</f>
        <v/>
      </c>
      <c r="I1461" s="46" t="str">
        <f aca="false">IF($A1461="","",SUMIF($A$2:$A$5001,$A1461,$H$2:$H$5001))</f>
        <v/>
      </c>
      <c r="J1461" s="47" t="n">
        <f aca="false">IF($A1461="",0,IF(COUNTIF($A$2:A1461,$A1461)=1,1,0))</f>
        <v>0</v>
      </c>
      <c r="K1461" s="47" t="n">
        <f aca="false">IF(J1461=1,N(I1461)+ROW()/10000000,0)</f>
        <v>0</v>
      </c>
      <c r="L1461" s="47" t="str">
        <f aca="false">IF(AND(J1461=1,N(I1461)&gt;0),SUMIF($K$2:$K$5001,"&gt;="&amp;K1461,$I$2:$I$5001)/MAX(1,SUM($H$2:$H$5001)),"")</f>
        <v/>
      </c>
      <c r="M1461" s="47" t="str">
        <f aca="false">IF($A1461="","",INDEX($L$2:$L$5001,MATCH($A1461,$A$2:$A$5001,0)))</f>
        <v/>
      </c>
      <c r="N1461" s="48" t="str">
        <f aca="false">IF($A1461="","",IF(N(M1461)=0,"–",IF(M1461&lt;=Start!$D$20,"A",IF(M1461&lt;=Start!$D$21,"B","C"))))</f>
        <v/>
      </c>
      <c r="O1461" s="48" t="str">
        <f aca="false">IF($A1461="","",IF(NOT(ISNUMBER(F1461)),"Wert fehlt; ",IF(F1461&lt;=0,"Wert ist 0; ",""))&amp;IF(NOT(ISNUMBER(E1461)),"Bestand fehlt; ",IF(E1461&lt;0,"Bestand negativ; ",IF(E1461=0,"Nullbestand; ","")))&amp;IF(D1461="","Warengruppe fehlt; ","")&amp;IF(B1461="","Bezeichnung fehlt; ","")&amp;IF(COUNTIFS($A$2:$A$5001,$A1461,$C$2:$C$5001,C1461)&gt;1,"Artikel doppelt im selben Lager; ",""))</f>
        <v/>
      </c>
      <c r="P1461" s="47" t="n">
        <f aca="false">IF(OR($A1461="",D1461=""),0,IF(COUNTIF($D$2:D1461,D1461)=1,SUMIF($D$2:$D$5001,D1461,$H$2:$H$5001)+ROW()/10000000,0))</f>
        <v>0</v>
      </c>
      <c r="Q1461" s="47" t="n">
        <f aca="false">IF(OR($A1461="",C1461=""),0,IF(COUNTIF($C$2:C1461,C1461)=1,SUMIF($C$2:$C$5001,C1461,$H$2:$H$5001)+ROW()/10000000,0))</f>
        <v>0</v>
      </c>
    </row>
    <row r="1462" customFormat="false" ht="15" hidden="false" customHeight="false" outlineLevel="0" collapsed="false">
      <c r="A1462" s="43"/>
      <c r="B1462" s="44"/>
      <c r="C1462" s="44"/>
      <c r="D1462" s="44"/>
      <c r="E1462" s="44"/>
      <c r="F1462" s="44"/>
      <c r="G1462" s="44"/>
      <c r="H1462" s="46" t="str">
        <f aca="false">IF($A1462="","",IF(OR(NOT(ISNUMBER(E1462)),NOT(ISNUMBER(F1462))),"",MAX(0,E1462)*F1462))</f>
        <v/>
      </c>
      <c r="I1462" s="46" t="str">
        <f aca="false">IF($A1462="","",SUMIF($A$2:$A$5001,$A1462,$H$2:$H$5001))</f>
        <v/>
      </c>
      <c r="J1462" s="47" t="n">
        <f aca="false">IF($A1462="",0,IF(COUNTIF($A$2:A1462,$A1462)=1,1,0))</f>
        <v>0</v>
      </c>
      <c r="K1462" s="47" t="n">
        <f aca="false">IF(J1462=1,N(I1462)+ROW()/10000000,0)</f>
        <v>0</v>
      </c>
      <c r="L1462" s="47" t="str">
        <f aca="false">IF(AND(J1462=1,N(I1462)&gt;0),SUMIF($K$2:$K$5001,"&gt;="&amp;K1462,$I$2:$I$5001)/MAX(1,SUM($H$2:$H$5001)),"")</f>
        <v/>
      </c>
      <c r="M1462" s="47" t="str">
        <f aca="false">IF($A1462="","",INDEX($L$2:$L$5001,MATCH($A1462,$A$2:$A$5001,0)))</f>
        <v/>
      </c>
      <c r="N1462" s="48" t="str">
        <f aca="false">IF($A1462="","",IF(N(M1462)=0,"–",IF(M1462&lt;=Start!$D$20,"A",IF(M1462&lt;=Start!$D$21,"B","C"))))</f>
        <v/>
      </c>
      <c r="O1462" s="48" t="str">
        <f aca="false">IF($A1462="","",IF(NOT(ISNUMBER(F1462)),"Wert fehlt; ",IF(F1462&lt;=0,"Wert ist 0; ",""))&amp;IF(NOT(ISNUMBER(E1462)),"Bestand fehlt; ",IF(E1462&lt;0,"Bestand negativ; ",IF(E1462=0,"Nullbestand; ","")))&amp;IF(D1462="","Warengruppe fehlt; ","")&amp;IF(B1462="","Bezeichnung fehlt; ","")&amp;IF(COUNTIFS($A$2:$A$5001,$A1462,$C$2:$C$5001,C1462)&gt;1,"Artikel doppelt im selben Lager; ",""))</f>
        <v/>
      </c>
      <c r="P1462" s="47" t="n">
        <f aca="false">IF(OR($A1462="",D1462=""),0,IF(COUNTIF($D$2:D1462,D1462)=1,SUMIF($D$2:$D$5001,D1462,$H$2:$H$5001)+ROW()/10000000,0))</f>
        <v>0</v>
      </c>
      <c r="Q1462" s="47" t="n">
        <f aca="false">IF(OR($A1462="",C1462=""),0,IF(COUNTIF($C$2:C1462,C1462)=1,SUMIF($C$2:$C$5001,C1462,$H$2:$H$5001)+ROW()/10000000,0))</f>
        <v>0</v>
      </c>
    </row>
    <row r="1463" customFormat="false" ht="15" hidden="false" customHeight="false" outlineLevel="0" collapsed="false">
      <c r="A1463" s="43"/>
      <c r="B1463" s="44"/>
      <c r="C1463" s="44"/>
      <c r="D1463" s="44"/>
      <c r="E1463" s="44"/>
      <c r="F1463" s="44"/>
      <c r="G1463" s="44"/>
      <c r="H1463" s="46" t="str">
        <f aca="false">IF($A1463="","",IF(OR(NOT(ISNUMBER(E1463)),NOT(ISNUMBER(F1463))),"",MAX(0,E1463)*F1463))</f>
        <v/>
      </c>
      <c r="I1463" s="46" t="str">
        <f aca="false">IF($A1463="","",SUMIF($A$2:$A$5001,$A1463,$H$2:$H$5001))</f>
        <v/>
      </c>
      <c r="J1463" s="47" t="n">
        <f aca="false">IF($A1463="",0,IF(COUNTIF($A$2:A1463,$A1463)=1,1,0))</f>
        <v>0</v>
      </c>
      <c r="K1463" s="47" t="n">
        <f aca="false">IF(J1463=1,N(I1463)+ROW()/10000000,0)</f>
        <v>0</v>
      </c>
      <c r="L1463" s="47" t="str">
        <f aca="false">IF(AND(J1463=1,N(I1463)&gt;0),SUMIF($K$2:$K$5001,"&gt;="&amp;K1463,$I$2:$I$5001)/MAX(1,SUM($H$2:$H$5001)),"")</f>
        <v/>
      </c>
      <c r="M1463" s="47" t="str">
        <f aca="false">IF($A1463="","",INDEX($L$2:$L$5001,MATCH($A1463,$A$2:$A$5001,0)))</f>
        <v/>
      </c>
      <c r="N1463" s="48" t="str">
        <f aca="false">IF($A1463="","",IF(N(M1463)=0,"–",IF(M1463&lt;=Start!$D$20,"A",IF(M1463&lt;=Start!$D$21,"B","C"))))</f>
        <v/>
      </c>
      <c r="O1463" s="48" t="str">
        <f aca="false">IF($A1463="","",IF(NOT(ISNUMBER(F1463)),"Wert fehlt; ",IF(F1463&lt;=0,"Wert ist 0; ",""))&amp;IF(NOT(ISNUMBER(E1463)),"Bestand fehlt; ",IF(E1463&lt;0,"Bestand negativ; ",IF(E1463=0,"Nullbestand; ","")))&amp;IF(D1463="","Warengruppe fehlt; ","")&amp;IF(B1463="","Bezeichnung fehlt; ","")&amp;IF(COUNTIFS($A$2:$A$5001,$A1463,$C$2:$C$5001,C1463)&gt;1,"Artikel doppelt im selben Lager; ",""))</f>
        <v/>
      </c>
      <c r="P1463" s="47" t="n">
        <f aca="false">IF(OR($A1463="",D1463=""),0,IF(COUNTIF($D$2:D1463,D1463)=1,SUMIF($D$2:$D$5001,D1463,$H$2:$H$5001)+ROW()/10000000,0))</f>
        <v>0</v>
      </c>
      <c r="Q1463" s="47" t="n">
        <f aca="false">IF(OR($A1463="",C1463=""),0,IF(COUNTIF($C$2:C1463,C1463)=1,SUMIF($C$2:$C$5001,C1463,$H$2:$H$5001)+ROW()/10000000,0))</f>
        <v>0</v>
      </c>
    </row>
    <row r="1464" customFormat="false" ht="15" hidden="false" customHeight="false" outlineLevel="0" collapsed="false">
      <c r="A1464" s="43"/>
      <c r="B1464" s="44"/>
      <c r="C1464" s="44"/>
      <c r="D1464" s="44"/>
      <c r="E1464" s="44"/>
      <c r="F1464" s="44"/>
      <c r="G1464" s="44"/>
      <c r="H1464" s="46" t="str">
        <f aca="false">IF($A1464="","",IF(OR(NOT(ISNUMBER(E1464)),NOT(ISNUMBER(F1464))),"",MAX(0,E1464)*F1464))</f>
        <v/>
      </c>
      <c r="I1464" s="46" t="str">
        <f aca="false">IF($A1464="","",SUMIF($A$2:$A$5001,$A1464,$H$2:$H$5001))</f>
        <v/>
      </c>
      <c r="J1464" s="47" t="n">
        <f aca="false">IF($A1464="",0,IF(COUNTIF($A$2:A1464,$A1464)=1,1,0))</f>
        <v>0</v>
      </c>
      <c r="K1464" s="47" t="n">
        <f aca="false">IF(J1464=1,N(I1464)+ROW()/10000000,0)</f>
        <v>0</v>
      </c>
      <c r="L1464" s="47" t="str">
        <f aca="false">IF(AND(J1464=1,N(I1464)&gt;0),SUMIF($K$2:$K$5001,"&gt;="&amp;K1464,$I$2:$I$5001)/MAX(1,SUM($H$2:$H$5001)),"")</f>
        <v/>
      </c>
      <c r="M1464" s="47" t="str">
        <f aca="false">IF($A1464="","",INDEX($L$2:$L$5001,MATCH($A1464,$A$2:$A$5001,0)))</f>
        <v/>
      </c>
      <c r="N1464" s="48" t="str">
        <f aca="false">IF($A1464="","",IF(N(M1464)=0,"–",IF(M1464&lt;=Start!$D$20,"A",IF(M1464&lt;=Start!$D$21,"B","C"))))</f>
        <v/>
      </c>
      <c r="O1464" s="48" t="str">
        <f aca="false">IF($A1464="","",IF(NOT(ISNUMBER(F1464)),"Wert fehlt; ",IF(F1464&lt;=0,"Wert ist 0; ",""))&amp;IF(NOT(ISNUMBER(E1464)),"Bestand fehlt; ",IF(E1464&lt;0,"Bestand negativ; ",IF(E1464=0,"Nullbestand; ","")))&amp;IF(D1464="","Warengruppe fehlt; ","")&amp;IF(B1464="","Bezeichnung fehlt; ","")&amp;IF(COUNTIFS($A$2:$A$5001,$A1464,$C$2:$C$5001,C1464)&gt;1,"Artikel doppelt im selben Lager; ",""))</f>
        <v/>
      </c>
      <c r="P1464" s="47" t="n">
        <f aca="false">IF(OR($A1464="",D1464=""),0,IF(COUNTIF($D$2:D1464,D1464)=1,SUMIF($D$2:$D$5001,D1464,$H$2:$H$5001)+ROW()/10000000,0))</f>
        <v>0</v>
      </c>
      <c r="Q1464" s="47" t="n">
        <f aca="false">IF(OR($A1464="",C1464=""),0,IF(COUNTIF($C$2:C1464,C1464)=1,SUMIF($C$2:$C$5001,C1464,$H$2:$H$5001)+ROW()/10000000,0))</f>
        <v>0</v>
      </c>
    </row>
    <row r="1465" customFormat="false" ht="15" hidden="false" customHeight="false" outlineLevel="0" collapsed="false">
      <c r="A1465" s="43"/>
      <c r="B1465" s="44"/>
      <c r="C1465" s="44"/>
      <c r="D1465" s="44"/>
      <c r="E1465" s="44"/>
      <c r="F1465" s="44"/>
      <c r="G1465" s="44"/>
      <c r="H1465" s="46" t="str">
        <f aca="false">IF($A1465="","",IF(OR(NOT(ISNUMBER(E1465)),NOT(ISNUMBER(F1465))),"",MAX(0,E1465)*F1465))</f>
        <v/>
      </c>
      <c r="I1465" s="46" t="str">
        <f aca="false">IF($A1465="","",SUMIF($A$2:$A$5001,$A1465,$H$2:$H$5001))</f>
        <v/>
      </c>
      <c r="J1465" s="47" t="n">
        <f aca="false">IF($A1465="",0,IF(COUNTIF($A$2:A1465,$A1465)=1,1,0))</f>
        <v>0</v>
      </c>
      <c r="K1465" s="47" t="n">
        <f aca="false">IF(J1465=1,N(I1465)+ROW()/10000000,0)</f>
        <v>0</v>
      </c>
      <c r="L1465" s="47" t="str">
        <f aca="false">IF(AND(J1465=1,N(I1465)&gt;0),SUMIF($K$2:$K$5001,"&gt;="&amp;K1465,$I$2:$I$5001)/MAX(1,SUM($H$2:$H$5001)),"")</f>
        <v/>
      </c>
      <c r="M1465" s="47" t="str">
        <f aca="false">IF($A1465="","",INDEX($L$2:$L$5001,MATCH($A1465,$A$2:$A$5001,0)))</f>
        <v/>
      </c>
      <c r="N1465" s="48" t="str">
        <f aca="false">IF($A1465="","",IF(N(M1465)=0,"–",IF(M1465&lt;=Start!$D$20,"A",IF(M1465&lt;=Start!$D$21,"B","C"))))</f>
        <v/>
      </c>
      <c r="O1465" s="48" t="str">
        <f aca="false">IF($A1465="","",IF(NOT(ISNUMBER(F1465)),"Wert fehlt; ",IF(F1465&lt;=0,"Wert ist 0; ",""))&amp;IF(NOT(ISNUMBER(E1465)),"Bestand fehlt; ",IF(E1465&lt;0,"Bestand negativ; ",IF(E1465=0,"Nullbestand; ","")))&amp;IF(D1465="","Warengruppe fehlt; ","")&amp;IF(B1465="","Bezeichnung fehlt; ","")&amp;IF(COUNTIFS($A$2:$A$5001,$A1465,$C$2:$C$5001,C1465)&gt;1,"Artikel doppelt im selben Lager; ",""))</f>
        <v/>
      </c>
      <c r="P1465" s="47" t="n">
        <f aca="false">IF(OR($A1465="",D1465=""),0,IF(COUNTIF($D$2:D1465,D1465)=1,SUMIF($D$2:$D$5001,D1465,$H$2:$H$5001)+ROW()/10000000,0))</f>
        <v>0</v>
      </c>
      <c r="Q1465" s="47" t="n">
        <f aca="false">IF(OR($A1465="",C1465=""),0,IF(COUNTIF($C$2:C1465,C1465)=1,SUMIF($C$2:$C$5001,C1465,$H$2:$H$5001)+ROW()/10000000,0))</f>
        <v>0</v>
      </c>
    </row>
    <row r="1466" customFormat="false" ht="15" hidden="false" customHeight="false" outlineLevel="0" collapsed="false">
      <c r="A1466" s="43"/>
      <c r="B1466" s="44"/>
      <c r="C1466" s="44"/>
      <c r="D1466" s="44"/>
      <c r="E1466" s="44"/>
      <c r="F1466" s="44"/>
      <c r="G1466" s="44"/>
      <c r="H1466" s="46" t="str">
        <f aca="false">IF($A1466="","",IF(OR(NOT(ISNUMBER(E1466)),NOT(ISNUMBER(F1466))),"",MAX(0,E1466)*F1466))</f>
        <v/>
      </c>
      <c r="I1466" s="46" t="str">
        <f aca="false">IF($A1466="","",SUMIF($A$2:$A$5001,$A1466,$H$2:$H$5001))</f>
        <v/>
      </c>
      <c r="J1466" s="47" t="n">
        <f aca="false">IF($A1466="",0,IF(COUNTIF($A$2:A1466,$A1466)=1,1,0))</f>
        <v>0</v>
      </c>
      <c r="K1466" s="47" t="n">
        <f aca="false">IF(J1466=1,N(I1466)+ROW()/10000000,0)</f>
        <v>0</v>
      </c>
      <c r="L1466" s="47" t="str">
        <f aca="false">IF(AND(J1466=1,N(I1466)&gt;0),SUMIF($K$2:$K$5001,"&gt;="&amp;K1466,$I$2:$I$5001)/MAX(1,SUM($H$2:$H$5001)),"")</f>
        <v/>
      </c>
      <c r="M1466" s="47" t="str">
        <f aca="false">IF($A1466="","",INDEX($L$2:$L$5001,MATCH($A1466,$A$2:$A$5001,0)))</f>
        <v/>
      </c>
      <c r="N1466" s="48" t="str">
        <f aca="false">IF($A1466="","",IF(N(M1466)=0,"–",IF(M1466&lt;=Start!$D$20,"A",IF(M1466&lt;=Start!$D$21,"B","C"))))</f>
        <v/>
      </c>
      <c r="O1466" s="48" t="str">
        <f aca="false">IF($A1466="","",IF(NOT(ISNUMBER(F1466)),"Wert fehlt; ",IF(F1466&lt;=0,"Wert ist 0; ",""))&amp;IF(NOT(ISNUMBER(E1466)),"Bestand fehlt; ",IF(E1466&lt;0,"Bestand negativ; ",IF(E1466=0,"Nullbestand; ","")))&amp;IF(D1466="","Warengruppe fehlt; ","")&amp;IF(B1466="","Bezeichnung fehlt; ","")&amp;IF(COUNTIFS($A$2:$A$5001,$A1466,$C$2:$C$5001,C1466)&gt;1,"Artikel doppelt im selben Lager; ",""))</f>
        <v/>
      </c>
      <c r="P1466" s="47" t="n">
        <f aca="false">IF(OR($A1466="",D1466=""),0,IF(COUNTIF($D$2:D1466,D1466)=1,SUMIF($D$2:$D$5001,D1466,$H$2:$H$5001)+ROW()/10000000,0))</f>
        <v>0</v>
      </c>
      <c r="Q1466" s="47" t="n">
        <f aca="false">IF(OR($A1466="",C1466=""),0,IF(COUNTIF($C$2:C1466,C1466)=1,SUMIF($C$2:$C$5001,C1466,$H$2:$H$5001)+ROW()/10000000,0))</f>
        <v>0</v>
      </c>
    </row>
    <row r="1467" customFormat="false" ht="15" hidden="false" customHeight="false" outlineLevel="0" collapsed="false">
      <c r="A1467" s="43"/>
      <c r="B1467" s="44"/>
      <c r="C1467" s="44"/>
      <c r="D1467" s="44"/>
      <c r="E1467" s="44"/>
      <c r="F1467" s="44"/>
      <c r="G1467" s="44"/>
      <c r="H1467" s="46" t="str">
        <f aca="false">IF($A1467="","",IF(OR(NOT(ISNUMBER(E1467)),NOT(ISNUMBER(F1467))),"",MAX(0,E1467)*F1467))</f>
        <v/>
      </c>
      <c r="I1467" s="46" t="str">
        <f aca="false">IF($A1467="","",SUMIF($A$2:$A$5001,$A1467,$H$2:$H$5001))</f>
        <v/>
      </c>
      <c r="J1467" s="47" t="n">
        <f aca="false">IF($A1467="",0,IF(COUNTIF($A$2:A1467,$A1467)=1,1,0))</f>
        <v>0</v>
      </c>
      <c r="K1467" s="47" t="n">
        <f aca="false">IF(J1467=1,N(I1467)+ROW()/10000000,0)</f>
        <v>0</v>
      </c>
      <c r="L1467" s="47" t="str">
        <f aca="false">IF(AND(J1467=1,N(I1467)&gt;0),SUMIF($K$2:$K$5001,"&gt;="&amp;K1467,$I$2:$I$5001)/MAX(1,SUM($H$2:$H$5001)),"")</f>
        <v/>
      </c>
      <c r="M1467" s="47" t="str">
        <f aca="false">IF($A1467="","",INDEX($L$2:$L$5001,MATCH($A1467,$A$2:$A$5001,0)))</f>
        <v/>
      </c>
      <c r="N1467" s="48" t="str">
        <f aca="false">IF($A1467="","",IF(N(M1467)=0,"–",IF(M1467&lt;=Start!$D$20,"A",IF(M1467&lt;=Start!$D$21,"B","C"))))</f>
        <v/>
      </c>
      <c r="O1467" s="48" t="str">
        <f aca="false">IF($A1467="","",IF(NOT(ISNUMBER(F1467)),"Wert fehlt; ",IF(F1467&lt;=0,"Wert ist 0; ",""))&amp;IF(NOT(ISNUMBER(E1467)),"Bestand fehlt; ",IF(E1467&lt;0,"Bestand negativ; ",IF(E1467=0,"Nullbestand; ","")))&amp;IF(D1467="","Warengruppe fehlt; ","")&amp;IF(B1467="","Bezeichnung fehlt; ","")&amp;IF(COUNTIFS($A$2:$A$5001,$A1467,$C$2:$C$5001,C1467)&gt;1,"Artikel doppelt im selben Lager; ",""))</f>
        <v/>
      </c>
      <c r="P1467" s="47" t="n">
        <f aca="false">IF(OR($A1467="",D1467=""),0,IF(COUNTIF($D$2:D1467,D1467)=1,SUMIF($D$2:$D$5001,D1467,$H$2:$H$5001)+ROW()/10000000,0))</f>
        <v>0</v>
      </c>
      <c r="Q1467" s="47" t="n">
        <f aca="false">IF(OR($A1467="",C1467=""),0,IF(COUNTIF($C$2:C1467,C1467)=1,SUMIF($C$2:$C$5001,C1467,$H$2:$H$5001)+ROW()/10000000,0))</f>
        <v>0</v>
      </c>
    </row>
    <row r="1468" customFormat="false" ht="15" hidden="false" customHeight="false" outlineLevel="0" collapsed="false">
      <c r="A1468" s="43"/>
      <c r="B1468" s="44"/>
      <c r="C1468" s="44"/>
      <c r="D1468" s="44"/>
      <c r="E1468" s="44"/>
      <c r="F1468" s="44"/>
      <c r="G1468" s="44"/>
      <c r="H1468" s="46" t="str">
        <f aca="false">IF($A1468="","",IF(OR(NOT(ISNUMBER(E1468)),NOT(ISNUMBER(F1468))),"",MAX(0,E1468)*F1468))</f>
        <v/>
      </c>
      <c r="I1468" s="46" t="str">
        <f aca="false">IF($A1468="","",SUMIF($A$2:$A$5001,$A1468,$H$2:$H$5001))</f>
        <v/>
      </c>
      <c r="J1468" s="47" t="n">
        <f aca="false">IF($A1468="",0,IF(COUNTIF($A$2:A1468,$A1468)=1,1,0))</f>
        <v>0</v>
      </c>
      <c r="K1468" s="47" t="n">
        <f aca="false">IF(J1468=1,N(I1468)+ROW()/10000000,0)</f>
        <v>0</v>
      </c>
      <c r="L1468" s="47" t="str">
        <f aca="false">IF(AND(J1468=1,N(I1468)&gt;0),SUMIF($K$2:$K$5001,"&gt;="&amp;K1468,$I$2:$I$5001)/MAX(1,SUM($H$2:$H$5001)),"")</f>
        <v/>
      </c>
      <c r="M1468" s="47" t="str">
        <f aca="false">IF($A1468="","",INDEX($L$2:$L$5001,MATCH($A1468,$A$2:$A$5001,0)))</f>
        <v/>
      </c>
      <c r="N1468" s="48" t="str">
        <f aca="false">IF($A1468="","",IF(N(M1468)=0,"–",IF(M1468&lt;=Start!$D$20,"A",IF(M1468&lt;=Start!$D$21,"B","C"))))</f>
        <v/>
      </c>
      <c r="O1468" s="48" t="str">
        <f aca="false">IF($A1468="","",IF(NOT(ISNUMBER(F1468)),"Wert fehlt; ",IF(F1468&lt;=0,"Wert ist 0; ",""))&amp;IF(NOT(ISNUMBER(E1468)),"Bestand fehlt; ",IF(E1468&lt;0,"Bestand negativ; ",IF(E1468=0,"Nullbestand; ","")))&amp;IF(D1468="","Warengruppe fehlt; ","")&amp;IF(B1468="","Bezeichnung fehlt; ","")&amp;IF(COUNTIFS($A$2:$A$5001,$A1468,$C$2:$C$5001,C1468)&gt;1,"Artikel doppelt im selben Lager; ",""))</f>
        <v/>
      </c>
      <c r="P1468" s="47" t="n">
        <f aca="false">IF(OR($A1468="",D1468=""),0,IF(COUNTIF($D$2:D1468,D1468)=1,SUMIF($D$2:$D$5001,D1468,$H$2:$H$5001)+ROW()/10000000,0))</f>
        <v>0</v>
      </c>
      <c r="Q1468" s="47" t="n">
        <f aca="false">IF(OR($A1468="",C1468=""),0,IF(COUNTIF($C$2:C1468,C1468)=1,SUMIF($C$2:$C$5001,C1468,$H$2:$H$5001)+ROW()/10000000,0))</f>
        <v>0</v>
      </c>
    </row>
    <row r="1469" customFormat="false" ht="15" hidden="false" customHeight="false" outlineLevel="0" collapsed="false">
      <c r="A1469" s="43"/>
      <c r="B1469" s="44"/>
      <c r="C1469" s="44"/>
      <c r="D1469" s="44"/>
      <c r="E1469" s="44"/>
      <c r="F1469" s="44"/>
      <c r="G1469" s="44"/>
      <c r="H1469" s="46" t="str">
        <f aca="false">IF($A1469="","",IF(OR(NOT(ISNUMBER(E1469)),NOT(ISNUMBER(F1469))),"",MAX(0,E1469)*F1469))</f>
        <v/>
      </c>
      <c r="I1469" s="46" t="str">
        <f aca="false">IF($A1469="","",SUMIF($A$2:$A$5001,$A1469,$H$2:$H$5001))</f>
        <v/>
      </c>
      <c r="J1469" s="47" t="n">
        <f aca="false">IF($A1469="",0,IF(COUNTIF($A$2:A1469,$A1469)=1,1,0))</f>
        <v>0</v>
      </c>
      <c r="K1469" s="47" t="n">
        <f aca="false">IF(J1469=1,N(I1469)+ROW()/10000000,0)</f>
        <v>0</v>
      </c>
      <c r="L1469" s="47" t="str">
        <f aca="false">IF(AND(J1469=1,N(I1469)&gt;0),SUMIF($K$2:$K$5001,"&gt;="&amp;K1469,$I$2:$I$5001)/MAX(1,SUM($H$2:$H$5001)),"")</f>
        <v/>
      </c>
      <c r="M1469" s="47" t="str">
        <f aca="false">IF($A1469="","",INDEX($L$2:$L$5001,MATCH($A1469,$A$2:$A$5001,0)))</f>
        <v/>
      </c>
      <c r="N1469" s="48" t="str">
        <f aca="false">IF($A1469="","",IF(N(M1469)=0,"–",IF(M1469&lt;=Start!$D$20,"A",IF(M1469&lt;=Start!$D$21,"B","C"))))</f>
        <v/>
      </c>
      <c r="O1469" s="48" t="str">
        <f aca="false">IF($A1469="","",IF(NOT(ISNUMBER(F1469)),"Wert fehlt; ",IF(F1469&lt;=0,"Wert ist 0; ",""))&amp;IF(NOT(ISNUMBER(E1469)),"Bestand fehlt; ",IF(E1469&lt;0,"Bestand negativ; ",IF(E1469=0,"Nullbestand; ","")))&amp;IF(D1469="","Warengruppe fehlt; ","")&amp;IF(B1469="","Bezeichnung fehlt; ","")&amp;IF(COUNTIFS($A$2:$A$5001,$A1469,$C$2:$C$5001,C1469)&gt;1,"Artikel doppelt im selben Lager; ",""))</f>
        <v/>
      </c>
      <c r="P1469" s="47" t="n">
        <f aca="false">IF(OR($A1469="",D1469=""),0,IF(COUNTIF($D$2:D1469,D1469)=1,SUMIF($D$2:$D$5001,D1469,$H$2:$H$5001)+ROW()/10000000,0))</f>
        <v>0</v>
      </c>
      <c r="Q1469" s="47" t="n">
        <f aca="false">IF(OR($A1469="",C1469=""),0,IF(COUNTIF($C$2:C1469,C1469)=1,SUMIF($C$2:$C$5001,C1469,$H$2:$H$5001)+ROW()/10000000,0))</f>
        <v>0</v>
      </c>
    </row>
    <row r="1470" customFormat="false" ht="15" hidden="false" customHeight="false" outlineLevel="0" collapsed="false">
      <c r="A1470" s="43"/>
      <c r="B1470" s="44"/>
      <c r="C1470" s="44"/>
      <c r="D1470" s="44"/>
      <c r="E1470" s="44"/>
      <c r="F1470" s="44"/>
      <c r="G1470" s="44"/>
      <c r="H1470" s="46" t="str">
        <f aca="false">IF($A1470="","",IF(OR(NOT(ISNUMBER(E1470)),NOT(ISNUMBER(F1470))),"",MAX(0,E1470)*F1470))</f>
        <v/>
      </c>
      <c r="I1470" s="46" t="str">
        <f aca="false">IF($A1470="","",SUMIF($A$2:$A$5001,$A1470,$H$2:$H$5001))</f>
        <v/>
      </c>
      <c r="J1470" s="47" t="n">
        <f aca="false">IF($A1470="",0,IF(COUNTIF($A$2:A1470,$A1470)=1,1,0))</f>
        <v>0</v>
      </c>
      <c r="K1470" s="47" t="n">
        <f aca="false">IF(J1470=1,N(I1470)+ROW()/10000000,0)</f>
        <v>0</v>
      </c>
      <c r="L1470" s="47" t="str">
        <f aca="false">IF(AND(J1470=1,N(I1470)&gt;0),SUMIF($K$2:$K$5001,"&gt;="&amp;K1470,$I$2:$I$5001)/MAX(1,SUM($H$2:$H$5001)),"")</f>
        <v/>
      </c>
      <c r="M1470" s="47" t="str">
        <f aca="false">IF($A1470="","",INDEX($L$2:$L$5001,MATCH($A1470,$A$2:$A$5001,0)))</f>
        <v/>
      </c>
      <c r="N1470" s="48" t="str">
        <f aca="false">IF($A1470="","",IF(N(M1470)=0,"–",IF(M1470&lt;=Start!$D$20,"A",IF(M1470&lt;=Start!$D$21,"B","C"))))</f>
        <v/>
      </c>
      <c r="O1470" s="48" t="str">
        <f aca="false">IF($A1470="","",IF(NOT(ISNUMBER(F1470)),"Wert fehlt; ",IF(F1470&lt;=0,"Wert ist 0; ",""))&amp;IF(NOT(ISNUMBER(E1470)),"Bestand fehlt; ",IF(E1470&lt;0,"Bestand negativ; ",IF(E1470=0,"Nullbestand; ","")))&amp;IF(D1470="","Warengruppe fehlt; ","")&amp;IF(B1470="","Bezeichnung fehlt; ","")&amp;IF(COUNTIFS($A$2:$A$5001,$A1470,$C$2:$C$5001,C1470)&gt;1,"Artikel doppelt im selben Lager; ",""))</f>
        <v/>
      </c>
      <c r="P1470" s="47" t="n">
        <f aca="false">IF(OR($A1470="",D1470=""),0,IF(COUNTIF($D$2:D1470,D1470)=1,SUMIF($D$2:$D$5001,D1470,$H$2:$H$5001)+ROW()/10000000,0))</f>
        <v>0</v>
      </c>
      <c r="Q1470" s="47" t="n">
        <f aca="false">IF(OR($A1470="",C1470=""),0,IF(COUNTIF($C$2:C1470,C1470)=1,SUMIF($C$2:$C$5001,C1470,$H$2:$H$5001)+ROW()/10000000,0))</f>
        <v>0</v>
      </c>
    </row>
    <row r="1471" customFormat="false" ht="15" hidden="false" customHeight="false" outlineLevel="0" collapsed="false">
      <c r="A1471" s="43"/>
      <c r="B1471" s="44"/>
      <c r="C1471" s="44"/>
      <c r="D1471" s="44"/>
      <c r="E1471" s="44"/>
      <c r="F1471" s="44"/>
      <c r="G1471" s="44"/>
      <c r="H1471" s="46" t="str">
        <f aca="false">IF($A1471="","",IF(OR(NOT(ISNUMBER(E1471)),NOT(ISNUMBER(F1471))),"",MAX(0,E1471)*F1471))</f>
        <v/>
      </c>
      <c r="I1471" s="46" t="str">
        <f aca="false">IF($A1471="","",SUMIF($A$2:$A$5001,$A1471,$H$2:$H$5001))</f>
        <v/>
      </c>
      <c r="J1471" s="47" t="n">
        <f aca="false">IF($A1471="",0,IF(COUNTIF($A$2:A1471,$A1471)=1,1,0))</f>
        <v>0</v>
      </c>
      <c r="K1471" s="47" t="n">
        <f aca="false">IF(J1471=1,N(I1471)+ROW()/10000000,0)</f>
        <v>0</v>
      </c>
      <c r="L1471" s="47" t="str">
        <f aca="false">IF(AND(J1471=1,N(I1471)&gt;0),SUMIF($K$2:$K$5001,"&gt;="&amp;K1471,$I$2:$I$5001)/MAX(1,SUM($H$2:$H$5001)),"")</f>
        <v/>
      </c>
      <c r="M1471" s="47" t="str">
        <f aca="false">IF($A1471="","",INDEX($L$2:$L$5001,MATCH($A1471,$A$2:$A$5001,0)))</f>
        <v/>
      </c>
      <c r="N1471" s="48" t="str">
        <f aca="false">IF($A1471="","",IF(N(M1471)=0,"–",IF(M1471&lt;=Start!$D$20,"A",IF(M1471&lt;=Start!$D$21,"B","C"))))</f>
        <v/>
      </c>
      <c r="O1471" s="48" t="str">
        <f aca="false">IF($A1471="","",IF(NOT(ISNUMBER(F1471)),"Wert fehlt; ",IF(F1471&lt;=0,"Wert ist 0; ",""))&amp;IF(NOT(ISNUMBER(E1471)),"Bestand fehlt; ",IF(E1471&lt;0,"Bestand negativ; ",IF(E1471=0,"Nullbestand; ","")))&amp;IF(D1471="","Warengruppe fehlt; ","")&amp;IF(B1471="","Bezeichnung fehlt; ","")&amp;IF(COUNTIFS($A$2:$A$5001,$A1471,$C$2:$C$5001,C1471)&gt;1,"Artikel doppelt im selben Lager; ",""))</f>
        <v/>
      </c>
      <c r="P1471" s="47" t="n">
        <f aca="false">IF(OR($A1471="",D1471=""),0,IF(COUNTIF($D$2:D1471,D1471)=1,SUMIF($D$2:$D$5001,D1471,$H$2:$H$5001)+ROW()/10000000,0))</f>
        <v>0</v>
      </c>
      <c r="Q1471" s="47" t="n">
        <f aca="false">IF(OR($A1471="",C1471=""),0,IF(COUNTIF($C$2:C1471,C1471)=1,SUMIF($C$2:$C$5001,C1471,$H$2:$H$5001)+ROW()/10000000,0))</f>
        <v>0</v>
      </c>
    </row>
    <row r="1472" customFormat="false" ht="15" hidden="false" customHeight="false" outlineLevel="0" collapsed="false">
      <c r="A1472" s="43"/>
      <c r="B1472" s="44"/>
      <c r="C1472" s="44"/>
      <c r="D1472" s="44"/>
      <c r="E1472" s="44"/>
      <c r="F1472" s="44"/>
      <c r="G1472" s="44"/>
      <c r="H1472" s="46" t="str">
        <f aca="false">IF($A1472="","",IF(OR(NOT(ISNUMBER(E1472)),NOT(ISNUMBER(F1472))),"",MAX(0,E1472)*F1472))</f>
        <v/>
      </c>
      <c r="I1472" s="46" t="str">
        <f aca="false">IF($A1472="","",SUMIF($A$2:$A$5001,$A1472,$H$2:$H$5001))</f>
        <v/>
      </c>
      <c r="J1472" s="47" t="n">
        <f aca="false">IF($A1472="",0,IF(COUNTIF($A$2:A1472,$A1472)=1,1,0))</f>
        <v>0</v>
      </c>
      <c r="K1472" s="47" t="n">
        <f aca="false">IF(J1472=1,N(I1472)+ROW()/10000000,0)</f>
        <v>0</v>
      </c>
      <c r="L1472" s="47" t="str">
        <f aca="false">IF(AND(J1472=1,N(I1472)&gt;0),SUMIF($K$2:$K$5001,"&gt;="&amp;K1472,$I$2:$I$5001)/MAX(1,SUM($H$2:$H$5001)),"")</f>
        <v/>
      </c>
      <c r="M1472" s="47" t="str">
        <f aca="false">IF($A1472="","",INDEX($L$2:$L$5001,MATCH($A1472,$A$2:$A$5001,0)))</f>
        <v/>
      </c>
      <c r="N1472" s="48" t="str">
        <f aca="false">IF($A1472="","",IF(N(M1472)=0,"–",IF(M1472&lt;=Start!$D$20,"A",IF(M1472&lt;=Start!$D$21,"B","C"))))</f>
        <v/>
      </c>
      <c r="O1472" s="48" t="str">
        <f aca="false">IF($A1472="","",IF(NOT(ISNUMBER(F1472)),"Wert fehlt; ",IF(F1472&lt;=0,"Wert ist 0; ",""))&amp;IF(NOT(ISNUMBER(E1472)),"Bestand fehlt; ",IF(E1472&lt;0,"Bestand negativ; ",IF(E1472=0,"Nullbestand; ","")))&amp;IF(D1472="","Warengruppe fehlt; ","")&amp;IF(B1472="","Bezeichnung fehlt; ","")&amp;IF(COUNTIFS($A$2:$A$5001,$A1472,$C$2:$C$5001,C1472)&gt;1,"Artikel doppelt im selben Lager; ",""))</f>
        <v/>
      </c>
      <c r="P1472" s="47" t="n">
        <f aca="false">IF(OR($A1472="",D1472=""),0,IF(COUNTIF($D$2:D1472,D1472)=1,SUMIF($D$2:$D$5001,D1472,$H$2:$H$5001)+ROW()/10000000,0))</f>
        <v>0</v>
      </c>
      <c r="Q1472" s="47" t="n">
        <f aca="false">IF(OR($A1472="",C1472=""),0,IF(COUNTIF($C$2:C1472,C1472)=1,SUMIF($C$2:$C$5001,C1472,$H$2:$H$5001)+ROW()/10000000,0))</f>
        <v>0</v>
      </c>
    </row>
    <row r="1473" customFormat="false" ht="15" hidden="false" customHeight="false" outlineLevel="0" collapsed="false">
      <c r="A1473" s="43"/>
      <c r="B1473" s="44"/>
      <c r="C1473" s="44"/>
      <c r="D1473" s="44"/>
      <c r="E1473" s="44"/>
      <c r="F1473" s="44"/>
      <c r="G1473" s="44"/>
      <c r="H1473" s="46" t="str">
        <f aca="false">IF($A1473="","",IF(OR(NOT(ISNUMBER(E1473)),NOT(ISNUMBER(F1473))),"",MAX(0,E1473)*F1473))</f>
        <v/>
      </c>
      <c r="I1473" s="46" t="str">
        <f aca="false">IF($A1473="","",SUMIF($A$2:$A$5001,$A1473,$H$2:$H$5001))</f>
        <v/>
      </c>
      <c r="J1473" s="47" t="n">
        <f aca="false">IF($A1473="",0,IF(COUNTIF($A$2:A1473,$A1473)=1,1,0))</f>
        <v>0</v>
      </c>
      <c r="K1473" s="47" t="n">
        <f aca="false">IF(J1473=1,N(I1473)+ROW()/10000000,0)</f>
        <v>0</v>
      </c>
      <c r="L1473" s="47" t="str">
        <f aca="false">IF(AND(J1473=1,N(I1473)&gt;0),SUMIF($K$2:$K$5001,"&gt;="&amp;K1473,$I$2:$I$5001)/MAX(1,SUM($H$2:$H$5001)),"")</f>
        <v/>
      </c>
      <c r="M1473" s="47" t="str">
        <f aca="false">IF($A1473="","",INDEX($L$2:$L$5001,MATCH($A1473,$A$2:$A$5001,0)))</f>
        <v/>
      </c>
      <c r="N1473" s="48" t="str">
        <f aca="false">IF($A1473="","",IF(N(M1473)=0,"–",IF(M1473&lt;=Start!$D$20,"A",IF(M1473&lt;=Start!$D$21,"B","C"))))</f>
        <v/>
      </c>
      <c r="O1473" s="48" t="str">
        <f aca="false">IF($A1473="","",IF(NOT(ISNUMBER(F1473)),"Wert fehlt; ",IF(F1473&lt;=0,"Wert ist 0; ",""))&amp;IF(NOT(ISNUMBER(E1473)),"Bestand fehlt; ",IF(E1473&lt;0,"Bestand negativ; ",IF(E1473=0,"Nullbestand; ","")))&amp;IF(D1473="","Warengruppe fehlt; ","")&amp;IF(B1473="","Bezeichnung fehlt; ","")&amp;IF(COUNTIFS($A$2:$A$5001,$A1473,$C$2:$C$5001,C1473)&gt;1,"Artikel doppelt im selben Lager; ",""))</f>
        <v/>
      </c>
      <c r="P1473" s="47" t="n">
        <f aca="false">IF(OR($A1473="",D1473=""),0,IF(COUNTIF($D$2:D1473,D1473)=1,SUMIF($D$2:$D$5001,D1473,$H$2:$H$5001)+ROW()/10000000,0))</f>
        <v>0</v>
      </c>
      <c r="Q1473" s="47" t="n">
        <f aca="false">IF(OR($A1473="",C1473=""),0,IF(COUNTIF($C$2:C1473,C1473)=1,SUMIF($C$2:$C$5001,C1473,$H$2:$H$5001)+ROW()/10000000,0))</f>
        <v>0</v>
      </c>
    </row>
    <row r="1474" customFormat="false" ht="15" hidden="false" customHeight="false" outlineLevel="0" collapsed="false">
      <c r="A1474" s="43"/>
      <c r="B1474" s="44"/>
      <c r="C1474" s="44"/>
      <c r="D1474" s="44"/>
      <c r="E1474" s="44"/>
      <c r="F1474" s="44"/>
      <c r="G1474" s="44"/>
      <c r="H1474" s="46" t="str">
        <f aca="false">IF($A1474="","",IF(OR(NOT(ISNUMBER(E1474)),NOT(ISNUMBER(F1474))),"",MAX(0,E1474)*F1474))</f>
        <v/>
      </c>
      <c r="I1474" s="46" t="str">
        <f aca="false">IF($A1474="","",SUMIF($A$2:$A$5001,$A1474,$H$2:$H$5001))</f>
        <v/>
      </c>
      <c r="J1474" s="47" t="n">
        <f aca="false">IF($A1474="",0,IF(COUNTIF($A$2:A1474,$A1474)=1,1,0))</f>
        <v>0</v>
      </c>
      <c r="K1474" s="47" t="n">
        <f aca="false">IF(J1474=1,N(I1474)+ROW()/10000000,0)</f>
        <v>0</v>
      </c>
      <c r="L1474" s="47" t="str">
        <f aca="false">IF(AND(J1474=1,N(I1474)&gt;0),SUMIF($K$2:$K$5001,"&gt;="&amp;K1474,$I$2:$I$5001)/MAX(1,SUM($H$2:$H$5001)),"")</f>
        <v/>
      </c>
      <c r="M1474" s="47" t="str">
        <f aca="false">IF($A1474="","",INDEX($L$2:$L$5001,MATCH($A1474,$A$2:$A$5001,0)))</f>
        <v/>
      </c>
      <c r="N1474" s="48" t="str">
        <f aca="false">IF($A1474="","",IF(N(M1474)=0,"–",IF(M1474&lt;=Start!$D$20,"A",IF(M1474&lt;=Start!$D$21,"B","C"))))</f>
        <v/>
      </c>
      <c r="O1474" s="48" t="str">
        <f aca="false">IF($A1474="","",IF(NOT(ISNUMBER(F1474)),"Wert fehlt; ",IF(F1474&lt;=0,"Wert ist 0; ",""))&amp;IF(NOT(ISNUMBER(E1474)),"Bestand fehlt; ",IF(E1474&lt;0,"Bestand negativ; ",IF(E1474=0,"Nullbestand; ","")))&amp;IF(D1474="","Warengruppe fehlt; ","")&amp;IF(B1474="","Bezeichnung fehlt; ","")&amp;IF(COUNTIFS($A$2:$A$5001,$A1474,$C$2:$C$5001,C1474)&gt;1,"Artikel doppelt im selben Lager; ",""))</f>
        <v/>
      </c>
      <c r="P1474" s="47" t="n">
        <f aca="false">IF(OR($A1474="",D1474=""),0,IF(COUNTIF($D$2:D1474,D1474)=1,SUMIF($D$2:$D$5001,D1474,$H$2:$H$5001)+ROW()/10000000,0))</f>
        <v>0</v>
      </c>
      <c r="Q1474" s="47" t="n">
        <f aca="false">IF(OR($A1474="",C1474=""),0,IF(COUNTIF($C$2:C1474,C1474)=1,SUMIF($C$2:$C$5001,C1474,$H$2:$H$5001)+ROW()/10000000,0))</f>
        <v>0</v>
      </c>
    </row>
    <row r="1475" customFormat="false" ht="15" hidden="false" customHeight="false" outlineLevel="0" collapsed="false">
      <c r="A1475" s="43"/>
      <c r="B1475" s="44"/>
      <c r="C1475" s="44"/>
      <c r="D1475" s="44"/>
      <c r="E1475" s="44"/>
      <c r="F1475" s="44"/>
      <c r="G1475" s="44"/>
      <c r="H1475" s="46" t="str">
        <f aca="false">IF($A1475="","",IF(OR(NOT(ISNUMBER(E1475)),NOT(ISNUMBER(F1475))),"",MAX(0,E1475)*F1475))</f>
        <v/>
      </c>
      <c r="I1475" s="46" t="str">
        <f aca="false">IF($A1475="","",SUMIF($A$2:$A$5001,$A1475,$H$2:$H$5001))</f>
        <v/>
      </c>
      <c r="J1475" s="47" t="n">
        <f aca="false">IF($A1475="",0,IF(COUNTIF($A$2:A1475,$A1475)=1,1,0))</f>
        <v>0</v>
      </c>
      <c r="K1475" s="47" t="n">
        <f aca="false">IF(J1475=1,N(I1475)+ROW()/10000000,0)</f>
        <v>0</v>
      </c>
      <c r="L1475" s="47" t="str">
        <f aca="false">IF(AND(J1475=1,N(I1475)&gt;0),SUMIF($K$2:$K$5001,"&gt;="&amp;K1475,$I$2:$I$5001)/MAX(1,SUM($H$2:$H$5001)),"")</f>
        <v/>
      </c>
      <c r="M1475" s="47" t="str">
        <f aca="false">IF($A1475="","",INDEX($L$2:$L$5001,MATCH($A1475,$A$2:$A$5001,0)))</f>
        <v/>
      </c>
      <c r="N1475" s="48" t="str">
        <f aca="false">IF($A1475="","",IF(N(M1475)=0,"–",IF(M1475&lt;=Start!$D$20,"A",IF(M1475&lt;=Start!$D$21,"B","C"))))</f>
        <v/>
      </c>
      <c r="O1475" s="48" t="str">
        <f aca="false">IF($A1475="","",IF(NOT(ISNUMBER(F1475)),"Wert fehlt; ",IF(F1475&lt;=0,"Wert ist 0; ",""))&amp;IF(NOT(ISNUMBER(E1475)),"Bestand fehlt; ",IF(E1475&lt;0,"Bestand negativ; ",IF(E1475=0,"Nullbestand; ","")))&amp;IF(D1475="","Warengruppe fehlt; ","")&amp;IF(B1475="","Bezeichnung fehlt; ","")&amp;IF(COUNTIFS($A$2:$A$5001,$A1475,$C$2:$C$5001,C1475)&gt;1,"Artikel doppelt im selben Lager; ",""))</f>
        <v/>
      </c>
      <c r="P1475" s="47" t="n">
        <f aca="false">IF(OR($A1475="",D1475=""),0,IF(COUNTIF($D$2:D1475,D1475)=1,SUMIF($D$2:$D$5001,D1475,$H$2:$H$5001)+ROW()/10000000,0))</f>
        <v>0</v>
      </c>
      <c r="Q1475" s="47" t="n">
        <f aca="false">IF(OR($A1475="",C1475=""),0,IF(COUNTIF($C$2:C1475,C1475)=1,SUMIF($C$2:$C$5001,C1475,$H$2:$H$5001)+ROW()/10000000,0))</f>
        <v>0</v>
      </c>
    </row>
    <row r="1476" customFormat="false" ht="15" hidden="false" customHeight="false" outlineLevel="0" collapsed="false">
      <c r="A1476" s="43"/>
      <c r="B1476" s="44"/>
      <c r="C1476" s="44"/>
      <c r="D1476" s="44"/>
      <c r="E1476" s="44"/>
      <c r="F1476" s="44"/>
      <c r="G1476" s="44"/>
      <c r="H1476" s="46" t="str">
        <f aca="false">IF($A1476="","",IF(OR(NOT(ISNUMBER(E1476)),NOT(ISNUMBER(F1476))),"",MAX(0,E1476)*F1476))</f>
        <v/>
      </c>
      <c r="I1476" s="46" t="str">
        <f aca="false">IF($A1476="","",SUMIF($A$2:$A$5001,$A1476,$H$2:$H$5001))</f>
        <v/>
      </c>
      <c r="J1476" s="47" t="n">
        <f aca="false">IF($A1476="",0,IF(COUNTIF($A$2:A1476,$A1476)=1,1,0))</f>
        <v>0</v>
      </c>
      <c r="K1476" s="47" t="n">
        <f aca="false">IF(J1476=1,N(I1476)+ROW()/10000000,0)</f>
        <v>0</v>
      </c>
      <c r="L1476" s="47" t="str">
        <f aca="false">IF(AND(J1476=1,N(I1476)&gt;0),SUMIF($K$2:$K$5001,"&gt;="&amp;K1476,$I$2:$I$5001)/MAX(1,SUM($H$2:$H$5001)),"")</f>
        <v/>
      </c>
      <c r="M1476" s="47" t="str">
        <f aca="false">IF($A1476="","",INDEX($L$2:$L$5001,MATCH($A1476,$A$2:$A$5001,0)))</f>
        <v/>
      </c>
      <c r="N1476" s="48" t="str">
        <f aca="false">IF($A1476="","",IF(N(M1476)=0,"–",IF(M1476&lt;=Start!$D$20,"A",IF(M1476&lt;=Start!$D$21,"B","C"))))</f>
        <v/>
      </c>
      <c r="O1476" s="48" t="str">
        <f aca="false">IF($A1476="","",IF(NOT(ISNUMBER(F1476)),"Wert fehlt; ",IF(F1476&lt;=0,"Wert ist 0; ",""))&amp;IF(NOT(ISNUMBER(E1476)),"Bestand fehlt; ",IF(E1476&lt;0,"Bestand negativ; ",IF(E1476=0,"Nullbestand; ","")))&amp;IF(D1476="","Warengruppe fehlt; ","")&amp;IF(B1476="","Bezeichnung fehlt; ","")&amp;IF(COUNTIFS($A$2:$A$5001,$A1476,$C$2:$C$5001,C1476)&gt;1,"Artikel doppelt im selben Lager; ",""))</f>
        <v/>
      </c>
      <c r="P1476" s="47" t="n">
        <f aca="false">IF(OR($A1476="",D1476=""),0,IF(COUNTIF($D$2:D1476,D1476)=1,SUMIF($D$2:$D$5001,D1476,$H$2:$H$5001)+ROW()/10000000,0))</f>
        <v>0</v>
      </c>
      <c r="Q1476" s="47" t="n">
        <f aca="false">IF(OR($A1476="",C1476=""),0,IF(COUNTIF($C$2:C1476,C1476)=1,SUMIF($C$2:$C$5001,C1476,$H$2:$H$5001)+ROW()/10000000,0))</f>
        <v>0</v>
      </c>
    </row>
    <row r="1477" customFormat="false" ht="15" hidden="false" customHeight="false" outlineLevel="0" collapsed="false">
      <c r="A1477" s="43"/>
      <c r="B1477" s="44"/>
      <c r="C1477" s="44"/>
      <c r="D1477" s="44"/>
      <c r="E1477" s="44"/>
      <c r="F1477" s="44"/>
      <c r="G1477" s="44"/>
      <c r="H1477" s="46" t="str">
        <f aca="false">IF($A1477="","",IF(OR(NOT(ISNUMBER(E1477)),NOT(ISNUMBER(F1477))),"",MAX(0,E1477)*F1477))</f>
        <v/>
      </c>
      <c r="I1477" s="46" t="str">
        <f aca="false">IF($A1477="","",SUMIF($A$2:$A$5001,$A1477,$H$2:$H$5001))</f>
        <v/>
      </c>
      <c r="J1477" s="47" t="n">
        <f aca="false">IF($A1477="",0,IF(COUNTIF($A$2:A1477,$A1477)=1,1,0))</f>
        <v>0</v>
      </c>
      <c r="K1477" s="47" t="n">
        <f aca="false">IF(J1477=1,N(I1477)+ROW()/10000000,0)</f>
        <v>0</v>
      </c>
      <c r="L1477" s="47" t="str">
        <f aca="false">IF(AND(J1477=1,N(I1477)&gt;0),SUMIF($K$2:$K$5001,"&gt;="&amp;K1477,$I$2:$I$5001)/MAX(1,SUM($H$2:$H$5001)),"")</f>
        <v/>
      </c>
      <c r="M1477" s="47" t="str">
        <f aca="false">IF($A1477="","",INDEX($L$2:$L$5001,MATCH($A1477,$A$2:$A$5001,0)))</f>
        <v/>
      </c>
      <c r="N1477" s="48" t="str">
        <f aca="false">IF($A1477="","",IF(N(M1477)=0,"–",IF(M1477&lt;=Start!$D$20,"A",IF(M1477&lt;=Start!$D$21,"B","C"))))</f>
        <v/>
      </c>
      <c r="O1477" s="48" t="str">
        <f aca="false">IF($A1477="","",IF(NOT(ISNUMBER(F1477)),"Wert fehlt; ",IF(F1477&lt;=0,"Wert ist 0; ",""))&amp;IF(NOT(ISNUMBER(E1477)),"Bestand fehlt; ",IF(E1477&lt;0,"Bestand negativ; ",IF(E1477=0,"Nullbestand; ","")))&amp;IF(D1477="","Warengruppe fehlt; ","")&amp;IF(B1477="","Bezeichnung fehlt; ","")&amp;IF(COUNTIFS($A$2:$A$5001,$A1477,$C$2:$C$5001,C1477)&gt;1,"Artikel doppelt im selben Lager; ",""))</f>
        <v/>
      </c>
      <c r="P1477" s="47" t="n">
        <f aca="false">IF(OR($A1477="",D1477=""),0,IF(COUNTIF($D$2:D1477,D1477)=1,SUMIF($D$2:$D$5001,D1477,$H$2:$H$5001)+ROW()/10000000,0))</f>
        <v>0</v>
      </c>
      <c r="Q1477" s="47" t="n">
        <f aca="false">IF(OR($A1477="",C1477=""),0,IF(COUNTIF($C$2:C1477,C1477)=1,SUMIF($C$2:$C$5001,C1477,$H$2:$H$5001)+ROW()/10000000,0))</f>
        <v>0</v>
      </c>
    </row>
    <row r="1478" customFormat="false" ht="15" hidden="false" customHeight="false" outlineLevel="0" collapsed="false">
      <c r="A1478" s="43"/>
      <c r="B1478" s="44"/>
      <c r="C1478" s="44"/>
      <c r="D1478" s="44"/>
      <c r="E1478" s="44"/>
      <c r="F1478" s="44"/>
      <c r="G1478" s="44"/>
      <c r="H1478" s="46" t="str">
        <f aca="false">IF($A1478="","",IF(OR(NOT(ISNUMBER(E1478)),NOT(ISNUMBER(F1478))),"",MAX(0,E1478)*F1478))</f>
        <v/>
      </c>
      <c r="I1478" s="46" t="str">
        <f aca="false">IF($A1478="","",SUMIF($A$2:$A$5001,$A1478,$H$2:$H$5001))</f>
        <v/>
      </c>
      <c r="J1478" s="47" t="n">
        <f aca="false">IF($A1478="",0,IF(COUNTIF($A$2:A1478,$A1478)=1,1,0))</f>
        <v>0</v>
      </c>
      <c r="K1478" s="47" t="n">
        <f aca="false">IF(J1478=1,N(I1478)+ROW()/10000000,0)</f>
        <v>0</v>
      </c>
      <c r="L1478" s="47" t="str">
        <f aca="false">IF(AND(J1478=1,N(I1478)&gt;0),SUMIF($K$2:$K$5001,"&gt;="&amp;K1478,$I$2:$I$5001)/MAX(1,SUM($H$2:$H$5001)),"")</f>
        <v/>
      </c>
      <c r="M1478" s="47" t="str">
        <f aca="false">IF($A1478="","",INDEX($L$2:$L$5001,MATCH($A1478,$A$2:$A$5001,0)))</f>
        <v/>
      </c>
      <c r="N1478" s="48" t="str">
        <f aca="false">IF($A1478="","",IF(N(M1478)=0,"–",IF(M1478&lt;=Start!$D$20,"A",IF(M1478&lt;=Start!$D$21,"B","C"))))</f>
        <v/>
      </c>
      <c r="O1478" s="48" t="str">
        <f aca="false">IF($A1478="","",IF(NOT(ISNUMBER(F1478)),"Wert fehlt; ",IF(F1478&lt;=0,"Wert ist 0; ",""))&amp;IF(NOT(ISNUMBER(E1478)),"Bestand fehlt; ",IF(E1478&lt;0,"Bestand negativ; ",IF(E1478=0,"Nullbestand; ","")))&amp;IF(D1478="","Warengruppe fehlt; ","")&amp;IF(B1478="","Bezeichnung fehlt; ","")&amp;IF(COUNTIFS($A$2:$A$5001,$A1478,$C$2:$C$5001,C1478)&gt;1,"Artikel doppelt im selben Lager; ",""))</f>
        <v/>
      </c>
      <c r="P1478" s="47" t="n">
        <f aca="false">IF(OR($A1478="",D1478=""),0,IF(COUNTIF($D$2:D1478,D1478)=1,SUMIF($D$2:$D$5001,D1478,$H$2:$H$5001)+ROW()/10000000,0))</f>
        <v>0</v>
      </c>
      <c r="Q1478" s="47" t="n">
        <f aca="false">IF(OR($A1478="",C1478=""),0,IF(COUNTIF($C$2:C1478,C1478)=1,SUMIF($C$2:$C$5001,C1478,$H$2:$H$5001)+ROW()/10000000,0))</f>
        <v>0</v>
      </c>
    </row>
    <row r="1479" customFormat="false" ht="15" hidden="false" customHeight="false" outlineLevel="0" collapsed="false">
      <c r="A1479" s="43"/>
      <c r="B1479" s="44"/>
      <c r="C1479" s="44"/>
      <c r="D1479" s="44"/>
      <c r="E1479" s="44"/>
      <c r="F1479" s="44"/>
      <c r="G1479" s="44"/>
      <c r="H1479" s="46" t="str">
        <f aca="false">IF($A1479="","",IF(OR(NOT(ISNUMBER(E1479)),NOT(ISNUMBER(F1479))),"",MAX(0,E1479)*F1479))</f>
        <v/>
      </c>
      <c r="I1479" s="46" t="str">
        <f aca="false">IF($A1479="","",SUMIF($A$2:$A$5001,$A1479,$H$2:$H$5001))</f>
        <v/>
      </c>
      <c r="J1479" s="47" t="n">
        <f aca="false">IF($A1479="",0,IF(COUNTIF($A$2:A1479,$A1479)=1,1,0))</f>
        <v>0</v>
      </c>
      <c r="K1479" s="47" t="n">
        <f aca="false">IF(J1479=1,N(I1479)+ROW()/10000000,0)</f>
        <v>0</v>
      </c>
      <c r="L1479" s="47" t="str">
        <f aca="false">IF(AND(J1479=1,N(I1479)&gt;0),SUMIF($K$2:$K$5001,"&gt;="&amp;K1479,$I$2:$I$5001)/MAX(1,SUM($H$2:$H$5001)),"")</f>
        <v/>
      </c>
      <c r="M1479" s="47" t="str">
        <f aca="false">IF($A1479="","",INDEX($L$2:$L$5001,MATCH($A1479,$A$2:$A$5001,0)))</f>
        <v/>
      </c>
      <c r="N1479" s="48" t="str">
        <f aca="false">IF($A1479="","",IF(N(M1479)=0,"–",IF(M1479&lt;=Start!$D$20,"A",IF(M1479&lt;=Start!$D$21,"B","C"))))</f>
        <v/>
      </c>
      <c r="O1479" s="48" t="str">
        <f aca="false">IF($A1479="","",IF(NOT(ISNUMBER(F1479)),"Wert fehlt; ",IF(F1479&lt;=0,"Wert ist 0; ",""))&amp;IF(NOT(ISNUMBER(E1479)),"Bestand fehlt; ",IF(E1479&lt;0,"Bestand negativ; ",IF(E1479=0,"Nullbestand; ","")))&amp;IF(D1479="","Warengruppe fehlt; ","")&amp;IF(B1479="","Bezeichnung fehlt; ","")&amp;IF(COUNTIFS($A$2:$A$5001,$A1479,$C$2:$C$5001,C1479)&gt;1,"Artikel doppelt im selben Lager; ",""))</f>
        <v/>
      </c>
      <c r="P1479" s="47" t="n">
        <f aca="false">IF(OR($A1479="",D1479=""),0,IF(COUNTIF($D$2:D1479,D1479)=1,SUMIF($D$2:$D$5001,D1479,$H$2:$H$5001)+ROW()/10000000,0))</f>
        <v>0</v>
      </c>
      <c r="Q1479" s="47" t="n">
        <f aca="false">IF(OR($A1479="",C1479=""),0,IF(COUNTIF($C$2:C1479,C1479)=1,SUMIF($C$2:$C$5001,C1479,$H$2:$H$5001)+ROW()/10000000,0))</f>
        <v>0</v>
      </c>
    </row>
    <row r="1480" customFormat="false" ht="15" hidden="false" customHeight="false" outlineLevel="0" collapsed="false">
      <c r="A1480" s="43"/>
      <c r="B1480" s="44"/>
      <c r="C1480" s="44"/>
      <c r="D1480" s="44"/>
      <c r="E1480" s="44"/>
      <c r="F1480" s="44"/>
      <c r="G1480" s="44"/>
      <c r="H1480" s="46" t="str">
        <f aca="false">IF($A1480="","",IF(OR(NOT(ISNUMBER(E1480)),NOT(ISNUMBER(F1480))),"",MAX(0,E1480)*F1480))</f>
        <v/>
      </c>
      <c r="I1480" s="46" t="str">
        <f aca="false">IF($A1480="","",SUMIF($A$2:$A$5001,$A1480,$H$2:$H$5001))</f>
        <v/>
      </c>
      <c r="J1480" s="47" t="n">
        <f aca="false">IF($A1480="",0,IF(COUNTIF($A$2:A1480,$A1480)=1,1,0))</f>
        <v>0</v>
      </c>
      <c r="K1480" s="47" t="n">
        <f aca="false">IF(J1480=1,N(I1480)+ROW()/10000000,0)</f>
        <v>0</v>
      </c>
      <c r="L1480" s="47" t="str">
        <f aca="false">IF(AND(J1480=1,N(I1480)&gt;0),SUMIF($K$2:$K$5001,"&gt;="&amp;K1480,$I$2:$I$5001)/MAX(1,SUM($H$2:$H$5001)),"")</f>
        <v/>
      </c>
      <c r="M1480" s="47" t="str">
        <f aca="false">IF($A1480="","",INDEX($L$2:$L$5001,MATCH($A1480,$A$2:$A$5001,0)))</f>
        <v/>
      </c>
      <c r="N1480" s="48" t="str">
        <f aca="false">IF($A1480="","",IF(N(M1480)=0,"–",IF(M1480&lt;=Start!$D$20,"A",IF(M1480&lt;=Start!$D$21,"B","C"))))</f>
        <v/>
      </c>
      <c r="O1480" s="48" t="str">
        <f aca="false">IF($A1480="","",IF(NOT(ISNUMBER(F1480)),"Wert fehlt; ",IF(F1480&lt;=0,"Wert ist 0; ",""))&amp;IF(NOT(ISNUMBER(E1480)),"Bestand fehlt; ",IF(E1480&lt;0,"Bestand negativ; ",IF(E1480=0,"Nullbestand; ","")))&amp;IF(D1480="","Warengruppe fehlt; ","")&amp;IF(B1480="","Bezeichnung fehlt; ","")&amp;IF(COUNTIFS($A$2:$A$5001,$A1480,$C$2:$C$5001,C1480)&gt;1,"Artikel doppelt im selben Lager; ",""))</f>
        <v/>
      </c>
      <c r="P1480" s="47" t="n">
        <f aca="false">IF(OR($A1480="",D1480=""),0,IF(COUNTIF($D$2:D1480,D1480)=1,SUMIF($D$2:$D$5001,D1480,$H$2:$H$5001)+ROW()/10000000,0))</f>
        <v>0</v>
      </c>
      <c r="Q1480" s="47" t="n">
        <f aca="false">IF(OR($A1480="",C1480=""),0,IF(COUNTIF($C$2:C1480,C1480)=1,SUMIF($C$2:$C$5001,C1480,$H$2:$H$5001)+ROW()/10000000,0))</f>
        <v>0</v>
      </c>
    </row>
    <row r="1481" customFormat="false" ht="15" hidden="false" customHeight="false" outlineLevel="0" collapsed="false">
      <c r="A1481" s="43"/>
      <c r="B1481" s="44"/>
      <c r="C1481" s="44"/>
      <c r="D1481" s="44"/>
      <c r="E1481" s="44"/>
      <c r="F1481" s="44"/>
      <c r="G1481" s="44"/>
      <c r="H1481" s="46" t="str">
        <f aca="false">IF($A1481="","",IF(OR(NOT(ISNUMBER(E1481)),NOT(ISNUMBER(F1481))),"",MAX(0,E1481)*F1481))</f>
        <v/>
      </c>
      <c r="I1481" s="46" t="str">
        <f aca="false">IF($A1481="","",SUMIF($A$2:$A$5001,$A1481,$H$2:$H$5001))</f>
        <v/>
      </c>
      <c r="J1481" s="47" t="n">
        <f aca="false">IF($A1481="",0,IF(COUNTIF($A$2:A1481,$A1481)=1,1,0))</f>
        <v>0</v>
      </c>
      <c r="K1481" s="47" t="n">
        <f aca="false">IF(J1481=1,N(I1481)+ROW()/10000000,0)</f>
        <v>0</v>
      </c>
      <c r="L1481" s="47" t="str">
        <f aca="false">IF(AND(J1481=1,N(I1481)&gt;0),SUMIF($K$2:$K$5001,"&gt;="&amp;K1481,$I$2:$I$5001)/MAX(1,SUM($H$2:$H$5001)),"")</f>
        <v/>
      </c>
      <c r="M1481" s="47" t="str">
        <f aca="false">IF($A1481="","",INDEX($L$2:$L$5001,MATCH($A1481,$A$2:$A$5001,0)))</f>
        <v/>
      </c>
      <c r="N1481" s="48" t="str">
        <f aca="false">IF($A1481="","",IF(N(M1481)=0,"–",IF(M1481&lt;=Start!$D$20,"A",IF(M1481&lt;=Start!$D$21,"B","C"))))</f>
        <v/>
      </c>
      <c r="O1481" s="48" t="str">
        <f aca="false">IF($A1481="","",IF(NOT(ISNUMBER(F1481)),"Wert fehlt; ",IF(F1481&lt;=0,"Wert ist 0; ",""))&amp;IF(NOT(ISNUMBER(E1481)),"Bestand fehlt; ",IF(E1481&lt;0,"Bestand negativ; ",IF(E1481=0,"Nullbestand; ","")))&amp;IF(D1481="","Warengruppe fehlt; ","")&amp;IF(B1481="","Bezeichnung fehlt; ","")&amp;IF(COUNTIFS($A$2:$A$5001,$A1481,$C$2:$C$5001,C1481)&gt;1,"Artikel doppelt im selben Lager; ",""))</f>
        <v/>
      </c>
      <c r="P1481" s="47" t="n">
        <f aca="false">IF(OR($A1481="",D1481=""),0,IF(COUNTIF($D$2:D1481,D1481)=1,SUMIF($D$2:$D$5001,D1481,$H$2:$H$5001)+ROW()/10000000,0))</f>
        <v>0</v>
      </c>
      <c r="Q1481" s="47" t="n">
        <f aca="false">IF(OR($A1481="",C1481=""),0,IF(COUNTIF($C$2:C1481,C1481)=1,SUMIF($C$2:$C$5001,C1481,$H$2:$H$5001)+ROW()/10000000,0))</f>
        <v>0</v>
      </c>
    </row>
    <row r="1482" customFormat="false" ht="15" hidden="false" customHeight="false" outlineLevel="0" collapsed="false">
      <c r="A1482" s="43"/>
      <c r="B1482" s="44"/>
      <c r="C1482" s="44"/>
      <c r="D1482" s="44"/>
      <c r="E1482" s="44"/>
      <c r="F1482" s="44"/>
      <c r="G1482" s="44"/>
      <c r="H1482" s="46" t="str">
        <f aca="false">IF($A1482="","",IF(OR(NOT(ISNUMBER(E1482)),NOT(ISNUMBER(F1482))),"",MAX(0,E1482)*F1482))</f>
        <v/>
      </c>
      <c r="I1482" s="46" t="str">
        <f aca="false">IF($A1482="","",SUMIF($A$2:$A$5001,$A1482,$H$2:$H$5001))</f>
        <v/>
      </c>
      <c r="J1482" s="47" t="n">
        <f aca="false">IF($A1482="",0,IF(COUNTIF($A$2:A1482,$A1482)=1,1,0))</f>
        <v>0</v>
      </c>
      <c r="K1482" s="47" t="n">
        <f aca="false">IF(J1482=1,N(I1482)+ROW()/10000000,0)</f>
        <v>0</v>
      </c>
      <c r="L1482" s="47" t="str">
        <f aca="false">IF(AND(J1482=1,N(I1482)&gt;0),SUMIF($K$2:$K$5001,"&gt;="&amp;K1482,$I$2:$I$5001)/MAX(1,SUM($H$2:$H$5001)),"")</f>
        <v/>
      </c>
      <c r="M1482" s="47" t="str">
        <f aca="false">IF($A1482="","",INDEX($L$2:$L$5001,MATCH($A1482,$A$2:$A$5001,0)))</f>
        <v/>
      </c>
      <c r="N1482" s="48" t="str">
        <f aca="false">IF($A1482="","",IF(N(M1482)=0,"–",IF(M1482&lt;=Start!$D$20,"A",IF(M1482&lt;=Start!$D$21,"B","C"))))</f>
        <v/>
      </c>
      <c r="O1482" s="48" t="str">
        <f aca="false">IF($A1482="","",IF(NOT(ISNUMBER(F1482)),"Wert fehlt; ",IF(F1482&lt;=0,"Wert ist 0; ",""))&amp;IF(NOT(ISNUMBER(E1482)),"Bestand fehlt; ",IF(E1482&lt;0,"Bestand negativ; ",IF(E1482=0,"Nullbestand; ","")))&amp;IF(D1482="","Warengruppe fehlt; ","")&amp;IF(B1482="","Bezeichnung fehlt; ","")&amp;IF(COUNTIFS($A$2:$A$5001,$A1482,$C$2:$C$5001,C1482)&gt;1,"Artikel doppelt im selben Lager; ",""))</f>
        <v/>
      </c>
      <c r="P1482" s="47" t="n">
        <f aca="false">IF(OR($A1482="",D1482=""),0,IF(COUNTIF($D$2:D1482,D1482)=1,SUMIF($D$2:$D$5001,D1482,$H$2:$H$5001)+ROW()/10000000,0))</f>
        <v>0</v>
      </c>
      <c r="Q1482" s="47" t="n">
        <f aca="false">IF(OR($A1482="",C1482=""),0,IF(COUNTIF($C$2:C1482,C1482)=1,SUMIF($C$2:$C$5001,C1482,$H$2:$H$5001)+ROW()/10000000,0))</f>
        <v>0</v>
      </c>
    </row>
    <row r="1483" customFormat="false" ht="15" hidden="false" customHeight="false" outlineLevel="0" collapsed="false">
      <c r="A1483" s="43"/>
      <c r="B1483" s="44"/>
      <c r="C1483" s="44"/>
      <c r="D1483" s="44"/>
      <c r="E1483" s="44"/>
      <c r="F1483" s="44"/>
      <c r="G1483" s="44"/>
      <c r="H1483" s="46" t="str">
        <f aca="false">IF($A1483="","",IF(OR(NOT(ISNUMBER(E1483)),NOT(ISNUMBER(F1483))),"",MAX(0,E1483)*F1483))</f>
        <v/>
      </c>
      <c r="I1483" s="46" t="str">
        <f aca="false">IF($A1483="","",SUMIF($A$2:$A$5001,$A1483,$H$2:$H$5001))</f>
        <v/>
      </c>
      <c r="J1483" s="47" t="n">
        <f aca="false">IF($A1483="",0,IF(COUNTIF($A$2:A1483,$A1483)=1,1,0))</f>
        <v>0</v>
      </c>
      <c r="K1483" s="47" t="n">
        <f aca="false">IF(J1483=1,N(I1483)+ROW()/10000000,0)</f>
        <v>0</v>
      </c>
      <c r="L1483" s="47" t="str">
        <f aca="false">IF(AND(J1483=1,N(I1483)&gt;0),SUMIF($K$2:$K$5001,"&gt;="&amp;K1483,$I$2:$I$5001)/MAX(1,SUM($H$2:$H$5001)),"")</f>
        <v/>
      </c>
      <c r="M1483" s="47" t="str">
        <f aca="false">IF($A1483="","",INDEX($L$2:$L$5001,MATCH($A1483,$A$2:$A$5001,0)))</f>
        <v/>
      </c>
      <c r="N1483" s="48" t="str">
        <f aca="false">IF($A1483="","",IF(N(M1483)=0,"–",IF(M1483&lt;=Start!$D$20,"A",IF(M1483&lt;=Start!$D$21,"B","C"))))</f>
        <v/>
      </c>
      <c r="O1483" s="48" t="str">
        <f aca="false">IF($A1483="","",IF(NOT(ISNUMBER(F1483)),"Wert fehlt; ",IF(F1483&lt;=0,"Wert ist 0; ",""))&amp;IF(NOT(ISNUMBER(E1483)),"Bestand fehlt; ",IF(E1483&lt;0,"Bestand negativ; ",IF(E1483=0,"Nullbestand; ","")))&amp;IF(D1483="","Warengruppe fehlt; ","")&amp;IF(B1483="","Bezeichnung fehlt; ","")&amp;IF(COUNTIFS($A$2:$A$5001,$A1483,$C$2:$C$5001,C1483)&gt;1,"Artikel doppelt im selben Lager; ",""))</f>
        <v/>
      </c>
      <c r="P1483" s="47" t="n">
        <f aca="false">IF(OR($A1483="",D1483=""),0,IF(COUNTIF($D$2:D1483,D1483)=1,SUMIF($D$2:$D$5001,D1483,$H$2:$H$5001)+ROW()/10000000,0))</f>
        <v>0</v>
      </c>
      <c r="Q1483" s="47" t="n">
        <f aca="false">IF(OR($A1483="",C1483=""),0,IF(COUNTIF($C$2:C1483,C1483)=1,SUMIF($C$2:$C$5001,C1483,$H$2:$H$5001)+ROW()/10000000,0))</f>
        <v>0</v>
      </c>
    </row>
    <row r="1484" customFormat="false" ht="15" hidden="false" customHeight="false" outlineLevel="0" collapsed="false">
      <c r="A1484" s="43"/>
      <c r="B1484" s="44"/>
      <c r="C1484" s="44"/>
      <c r="D1484" s="44"/>
      <c r="E1484" s="44"/>
      <c r="F1484" s="44"/>
      <c r="G1484" s="44"/>
      <c r="H1484" s="46" t="str">
        <f aca="false">IF($A1484="","",IF(OR(NOT(ISNUMBER(E1484)),NOT(ISNUMBER(F1484))),"",MAX(0,E1484)*F1484))</f>
        <v/>
      </c>
      <c r="I1484" s="46" t="str">
        <f aca="false">IF($A1484="","",SUMIF($A$2:$A$5001,$A1484,$H$2:$H$5001))</f>
        <v/>
      </c>
      <c r="J1484" s="47" t="n">
        <f aca="false">IF($A1484="",0,IF(COUNTIF($A$2:A1484,$A1484)=1,1,0))</f>
        <v>0</v>
      </c>
      <c r="K1484" s="47" t="n">
        <f aca="false">IF(J1484=1,N(I1484)+ROW()/10000000,0)</f>
        <v>0</v>
      </c>
      <c r="L1484" s="47" t="str">
        <f aca="false">IF(AND(J1484=1,N(I1484)&gt;0),SUMIF($K$2:$K$5001,"&gt;="&amp;K1484,$I$2:$I$5001)/MAX(1,SUM($H$2:$H$5001)),"")</f>
        <v/>
      </c>
      <c r="M1484" s="47" t="str">
        <f aca="false">IF($A1484="","",INDEX($L$2:$L$5001,MATCH($A1484,$A$2:$A$5001,0)))</f>
        <v/>
      </c>
      <c r="N1484" s="48" t="str">
        <f aca="false">IF($A1484="","",IF(N(M1484)=0,"–",IF(M1484&lt;=Start!$D$20,"A",IF(M1484&lt;=Start!$D$21,"B","C"))))</f>
        <v/>
      </c>
      <c r="O1484" s="48" t="str">
        <f aca="false">IF($A1484="","",IF(NOT(ISNUMBER(F1484)),"Wert fehlt; ",IF(F1484&lt;=0,"Wert ist 0; ",""))&amp;IF(NOT(ISNUMBER(E1484)),"Bestand fehlt; ",IF(E1484&lt;0,"Bestand negativ; ",IF(E1484=0,"Nullbestand; ","")))&amp;IF(D1484="","Warengruppe fehlt; ","")&amp;IF(B1484="","Bezeichnung fehlt; ","")&amp;IF(COUNTIFS($A$2:$A$5001,$A1484,$C$2:$C$5001,C1484)&gt;1,"Artikel doppelt im selben Lager; ",""))</f>
        <v/>
      </c>
      <c r="P1484" s="47" t="n">
        <f aca="false">IF(OR($A1484="",D1484=""),0,IF(COUNTIF($D$2:D1484,D1484)=1,SUMIF($D$2:$D$5001,D1484,$H$2:$H$5001)+ROW()/10000000,0))</f>
        <v>0</v>
      </c>
      <c r="Q1484" s="47" t="n">
        <f aca="false">IF(OR($A1484="",C1484=""),0,IF(COUNTIF($C$2:C1484,C1484)=1,SUMIF($C$2:$C$5001,C1484,$H$2:$H$5001)+ROW()/10000000,0))</f>
        <v>0</v>
      </c>
    </row>
    <row r="1485" customFormat="false" ht="15" hidden="false" customHeight="false" outlineLevel="0" collapsed="false">
      <c r="A1485" s="43"/>
      <c r="B1485" s="44"/>
      <c r="C1485" s="44"/>
      <c r="D1485" s="44"/>
      <c r="E1485" s="44"/>
      <c r="F1485" s="44"/>
      <c r="G1485" s="44"/>
      <c r="H1485" s="46" t="str">
        <f aca="false">IF($A1485="","",IF(OR(NOT(ISNUMBER(E1485)),NOT(ISNUMBER(F1485))),"",MAX(0,E1485)*F1485))</f>
        <v/>
      </c>
      <c r="I1485" s="46" t="str">
        <f aca="false">IF($A1485="","",SUMIF($A$2:$A$5001,$A1485,$H$2:$H$5001))</f>
        <v/>
      </c>
      <c r="J1485" s="47" t="n">
        <f aca="false">IF($A1485="",0,IF(COUNTIF($A$2:A1485,$A1485)=1,1,0))</f>
        <v>0</v>
      </c>
      <c r="K1485" s="47" t="n">
        <f aca="false">IF(J1485=1,N(I1485)+ROW()/10000000,0)</f>
        <v>0</v>
      </c>
      <c r="L1485" s="47" t="str">
        <f aca="false">IF(AND(J1485=1,N(I1485)&gt;0),SUMIF($K$2:$K$5001,"&gt;="&amp;K1485,$I$2:$I$5001)/MAX(1,SUM($H$2:$H$5001)),"")</f>
        <v/>
      </c>
      <c r="M1485" s="47" t="str">
        <f aca="false">IF($A1485="","",INDEX($L$2:$L$5001,MATCH($A1485,$A$2:$A$5001,0)))</f>
        <v/>
      </c>
      <c r="N1485" s="48" t="str">
        <f aca="false">IF($A1485="","",IF(N(M1485)=0,"–",IF(M1485&lt;=Start!$D$20,"A",IF(M1485&lt;=Start!$D$21,"B","C"))))</f>
        <v/>
      </c>
      <c r="O1485" s="48" t="str">
        <f aca="false">IF($A1485="","",IF(NOT(ISNUMBER(F1485)),"Wert fehlt; ",IF(F1485&lt;=0,"Wert ist 0; ",""))&amp;IF(NOT(ISNUMBER(E1485)),"Bestand fehlt; ",IF(E1485&lt;0,"Bestand negativ; ",IF(E1485=0,"Nullbestand; ","")))&amp;IF(D1485="","Warengruppe fehlt; ","")&amp;IF(B1485="","Bezeichnung fehlt; ","")&amp;IF(COUNTIFS($A$2:$A$5001,$A1485,$C$2:$C$5001,C1485)&gt;1,"Artikel doppelt im selben Lager; ",""))</f>
        <v/>
      </c>
      <c r="P1485" s="47" t="n">
        <f aca="false">IF(OR($A1485="",D1485=""),0,IF(COUNTIF($D$2:D1485,D1485)=1,SUMIF($D$2:$D$5001,D1485,$H$2:$H$5001)+ROW()/10000000,0))</f>
        <v>0</v>
      </c>
      <c r="Q1485" s="47" t="n">
        <f aca="false">IF(OR($A1485="",C1485=""),0,IF(COUNTIF($C$2:C1485,C1485)=1,SUMIF($C$2:$C$5001,C1485,$H$2:$H$5001)+ROW()/10000000,0))</f>
        <v>0</v>
      </c>
    </row>
    <row r="1486" customFormat="false" ht="15" hidden="false" customHeight="false" outlineLevel="0" collapsed="false">
      <c r="A1486" s="43"/>
      <c r="B1486" s="44"/>
      <c r="C1486" s="44"/>
      <c r="D1486" s="44"/>
      <c r="E1486" s="44"/>
      <c r="F1486" s="44"/>
      <c r="G1486" s="44"/>
      <c r="H1486" s="46" t="str">
        <f aca="false">IF($A1486="","",IF(OR(NOT(ISNUMBER(E1486)),NOT(ISNUMBER(F1486))),"",MAX(0,E1486)*F1486))</f>
        <v/>
      </c>
      <c r="I1486" s="46" t="str">
        <f aca="false">IF($A1486="","",SUMIF($A$2:$A$5001,$A1486,$H$2:$H$5001))</f>
        <v/>
      </c>
      <c r="J1486" s="47" t="n">
        <f aca="false">IF($A1486="",0,IF(COUNTIF($A$2:A1486,$A1486)=1,1,0))</f>
        <v>0</v>
      </c>
      <c r="K1486" s="47" t="n">
        <f aca="false">IF(J1486=1,N(I1486)+ROW()/10000000,0)</f>
        <v>0</v>
      </c>
      <c r="L1486" s="47" t="str">
        <f aca="false">IF(AND(J1486=1,N(I1486)&gt;0),SUMIF($K$2:$K$5001,"&gt;="&amp;K1486,$I$2:$I$5001)/MAX(1,SUM($H$2:$H$5001)),"")</f>
        <v/>
      </c>
      <c r="M1486" s="47" t="str">
        <f aca="false">IF($A1486="","",INDEX($L$2:$L$5001,MATCH($A1486,$A$2:$A$5001,0)))</f>
        <v/>
      </c>
      <c r="N1486" s="48" t="str">
        <f aca="false">IF($A1486="","",IF(N(M1486)=0,"–",IF(M1486&lt;=Start!$D$20,"A",IF(M1486&lt;=Start!$D$21,"B","C"))))</f>
        <v/>
      </c>
      <c r="O1486" s="48" t="str">
        <f aca="false">IF($A1486="","",IF(NOT(ISNUMBER(F1486)),"Wert fehlt; ",IF(F1486&lt;=0,"Wert ist 0; ",""))&amp;IF(NOT(ISNUMBER(E1486)),"Bestand fehlt; ",IF(E1486&lt;0,"Bestand negativ; ",IF(E1486=0,"Nullbestand; ","")))&amp;IF(D1486="","Warengruppe fehlt; ","")&amp;IF(B1486="","Bezeichnung fehlt; ","")&amp;IF(COUNTIFS($A$2:$A$5001,$A1486,$C$2:$C$5001,C1486)&gt;1,"Artikel doppelt im selben Lager; ",""))</f>
        <v/>
      </c>
      <c r="P1486" s="47" t="n">
        <f aca="false">IF(OR($A1486="",D1486=""),0,IF(COUNTIF($D$2:D1486,D1486)=1,SUMIF($D$2:$D$5001,D1486,$H$2:$H$5001)+ROW()/10000000,0))</f>
        <v>0</v>
      </c>
      <c r="Q1486" s="47" t="n">
        <f aca="false">IF(OR($A1486="",C1486=""),0,IF(COUNTIF($C$2:C1486,C1486)=1,SUMIF($C$2:$C$5001,C1486,$H$2:$H$5001)+ROW()/10000000,0))</f>
        <v>0</v>
      </c>
    </row>
    <row r="1487" customFormat="false" ht="15" hidden="false" customHeight="false" outlineLevel="0" collapsed="false">
      <c r="A1487" s="43"/>
      <c r="B1487" s="44"/>
      <c r="C1487" s="44"/>
      <c r="D1487" s="44"/>
      <c r="E1487" s="44"/>
      <c r="F1487" s="44"/>
      <c r="G1487" s="44"/>
      <c r="H1487" s="46" t="str">
        <f aca="false">IF($A1487="","",IF(OR(NOT(ISNUMBER(E1487)),NOT(ISNUMBER(F1487))),"",MAX(0,E1487)*F1487))</f>
        <v/>
      </c>
      <c r="I1487" s="46" t="str">
        <f aca="false">IF($A1487="","",SUMIF($A$2:$A$5001,$A1487,$H$2:$H$5001))</f>
        <v/>
      </c>
      <c r="J1487" s="47" t="n">
        <f aca="false">IF($A1487="",0,IF(COUNTIF($A$2:A1487,$A1487)=1,1,0))</f>
        <v>0</v>
      </c>
      <c r="K1487" s="47" t="n">
        <f aca="false">IF(J1487=1,N(I1487)+ROW()/10000000,0)</f>
        <v>0</v>
      </c>
      <c r="L1487" s="47" t="str">
        <f aca="false">IF(AND(J1487=1,N(I1487)&gt;0),SUMIF($K$2:$K$5001,"&gt;="&amp;K1487,$I$2:$I$5001)/MAX(1,SUM($H$2:$H$5001)),"")</f>
        <v/>
      </c>
      <c r="M1487" s="47" t="str">
        <f aca="false">IF($A1487="","",INDEX($L$2:$L$5001,MATCH($A1487,$A$2:$A$5001,0)))</f>
        <v/>
      </c>
      <c r="N1487" s="48" t="str">
        <f aca="false">IF($A1487="","",IF(N(M1487)=0,"–",IF(M1487&lt;=Start!$D$20,"A",IF(M1487&lt;=Start!$D$21,"B","C"))))</f>
        <v/>
      </c>
      <c r="O1487" s="48" t="str">
        <f aca="false">IF($A1487="","",IF(NOT(ISNUMBER(F1487)),"Wert fehlt; ",IF(F1487&lt;=0,"Wert ist 0; ",""))&amp;IF(NOT(ISNUMBER(E1487)),"Bestand fehlt; ",IF(E1487&lt;0,"Bestand negativ; ",IF(E1487=0,"Nullbestand; ","")))&amp;IF(D1487="","Warengruppe fehlt; ","")&amp;IF(B1487="","Bezeichnung fehlt; ","")&amp;IF(COUNTIFS($A$2:$A$5001,$A1487,$C$2:$C$5001,C1487)&gt;1,"Artikel doppelt im selben Lager; ",""))</f>
        <v/>
      </c>
      <c r="P1487" s="47" t="n">
        <f aca="false">IF(OR($A1487="",D1487=""),0,IF(COUNTIF($D$2:D1487,D1487)=1,SUMIF($D$2:$D$5001,D1487,$H$2:$H$5001)+ROW()/10000000,0))</f>
        <v>0</v>
      </c>
      <c r="Q1487" s="47" t="n">
        <f aca="false">IF(OR($A1487="",C1487=""),0,IF(COUNTIF($C$2:C1487,C1487)=1,SUMIF($C$2:$C$5001,C1487,$H$2:$H$5001)+ROW()/10000000,0))</f>
        <v>0</v>
      </c>
    </row>
    <row r="1488" customFormat="false" ht="15" hidden="false" customHeight="false" outlineLevel="0" collapsed="false">
      <c r="A1488" s="43"/>
      <c r="B1488" s="44"/>
      <c r="C1488" s="44"/>
      <c r="D1488" s="44"/>
      <c r="E1488" s="44"/>
      <c r="F1488" s="44"/>
      <c r="G1488" s="44"/>
      <c r="H1488" s="46" t="str">
        <f aca="false">IF($A1488="","",IF(OR(NOT(ISNUMBER(E1488)),NOT(ISNUMBER(F1488))),"",MAX(0,E1488)*F1488))</f>
        <v/>
      </c>
      <c r="I1488" s="46" t="str">
        <f aca="false">IF($A1488="","",SUMIF($A$2:$A$5001,$A1488,$H$2:$H$5001))</f>
        <v/>
      </c>
      <c r="J1488" s="47" t="n">
        <f aca="false">IF($A1488="",0,IF(COUNTIF($A$2:A1488,$A1488)=1,1,0))</f>
        <v>0</v>
      </c>
      <c r="K1488" s="47" t="n">
        <f aca="false">IF(J1488=1,N(I1488)+ROW()/10000000,0)</f>
        <v>0</v>
      </c>
      <c r="L1488" s="47" t="str">
        <f aca="false">IF(AND(J1488=1,N(I1488)&gt;0),SUMIF($K$2:$K$5001,"&gt;="&amp;K1488,$I$2:$I$5001)/MAX(1,SUM($H$2:$H$5001)),"")</f>
        <v/>
      </c>
      <c r="M1488" s="47" t="str">
        <f aca="false">IF($A1488="","",INDEX($L$2:$L$5001,MATCH($A1488,$A$2:$A$5001,0)))</f>
        <v/>
      </c>
      <c r="N1488" s="48" t="str">
        <f aca="false">IF($A1488="","",IF(N(M1488)=0,"–",IF(M1488&lt;=Start!$D$20,"A",IF(M1488&lt;=Start!$D$21,"B","C"))))</f>
        <v/>
      </c>
      <c r="O1488" s="48" t="str">
        <f aca="false">IF($A1488="","",IF(NOT(ISNUMBER(F1488)),"Wert fehlt; ",IF(F1488&lt;=0,"Wert ist 0; ",""))&amp;IF(NOT(ISNUMBER(E1488)),"Bestand fehlt; ",IF(E1488&lt;0,"Bestand negativ; ",IF(E1488=0,"Nullbestand; ","")))&amp;IF(D1488="","Warengruppe fehlt; ","")&amp;IF(B1488="","Bezeichnung fehlt; ","")&amp;IF(COUNTIFS($A$2:$A$5001,$A1488,$C$2:$C$5001,C1488)&gt;1,"Artikel doppelt im selben Lager; ",""))</f>
        <v/>
      </c>
      <c r="P1488" s="47" t="n">
        <f aca="false">IF(OR($A1488="",D1488=""),0,IF(COUNTIF($D$2:D1488,D1488)=1,SUMIF($D$2:$D$5001,D1488,$H$2:$H$5001)+ROW()/10000000,0))</f>
        <v>0</v>
      </c>
      <c r="Q1488" s="47" t="n">
        <f aca="false">IF(OR($A1488="",C1488=""),0,IF(COUNTIF($C$2:C1488,C1488)=1,SUMIF($C$2:$C$5001,C1488,$H$2:$H$5001)+ROW()/10000000,0))</f>
        <v>0</v>
      </c>
    </row>
    <row r="1489" customFormat="false" ht="15" hidden="false" customHeight="false" outlineLevel="0" collapsed="false">
      <c r="A1489" s="43"/>
      <c r="B1489" s="44"/>
      <c r="C1489" s="44"/>
      <c r="D1489" s="44"/>
      <c r="E1489" s="44"/>
      <c r="F1489" s="44"/>
      <c r="G1489" s="44"/>
      <c r="H1489" s="46" t="str">
        <f aca="false">IF($A1489="","",IF(OR(NOT(ISNUMBER(E1489)),NOT(ISNUMBER(F1489))),"",MAX(0,E1489)*F1489))</f>
        <v/>
      </c>
      <c r="I1489" s="46" t="str">
        <f aca="false">IF($A1489="","",SUMIF($A$2:$A$5001,$A1489,$H$2:$H$5001))</f>
        <v/>
      </c>
      <c r="J1489" s="47" t="n">
        <f aca="false">IF($A1489="",0,IF(COUNTIF($A$2:A1489,$A1489)=1,1,0))</f>
        <v>0</v>
      </c>
      <c r="K1489" s="47" t="n">
        <f aca="false">IF(J1489=1,N(I1489)+ROW()/10000000,0)</f>
        <v>0</v>
      </c>
      <c r="L1489" s="47" t="str">
        <f aca="false">IF(AND(J1489=1,N(I1489)&gt;0),SUMIF($K$2:$K$5001,"&gt;="&amp;K1489,$I$2:$I$5001)/MAX(1,SUM($H$2:$H$5001)),"")</f>
        <v/>
      </c>
      <c r="M1489" s="47" t="str">
        <f aca="false">IF($A1489="","",INDEX($L$2:$L$5001,MATCH($A1489,$A$2:$A$5001,0)))</f>
        <v/>
      </c>
      <c r="N1489" s="48" t="str">
        <f aca="false">IF($A1489="","",IF(N(M1489)=0,"–",IF(M1489&lt;=Start!$D$20,"A",IF(M1489&lt;=Start!$D$21,"B","C"))))</f>
        <v/>
      </c>
      <c r="O1489" s="48" t="str">
        <f aca="false">IF($A1489="","",IF(NOT(ISNUMBER(F1489)),"Wert fehlt; ",IF(F1489&lt;=0,"Wert ist 0; ",""))&amp;IF(NOT(ISNUMBER(E1489)),"Bestand fehlt; ",IF(E1489&lt;0,"Bestand negativ; ",IF(E1489=0,"Nullbestand; ","")))&amp;IF(D1489="","Warengruppe fehlt; ","")&amp;IF(B1489="","Bezeichnung fehlt; ","")&amp;IF(COUNTIFS($A$2:$A$5001,$A1489,$C$2:$C$5001,C1489)&gt;1,"Artikel doppelt im selben Lager; ",""))</f>
        <v/>
      </c>
      <c r="P1489" s="47" t="n">
        <f aca="false">IF(OR($A1489="",D1489=""),0,IF(COUNTIF($D$2:D1489,D1489)=1,SUMIF($D$2:$D$5001,D1489,$H$2:$H$5001)+ROW()/10000000,0))</f>
        <v>0</v>
      </c>
      <c r="Q1489" s="47" t="n">
        <f aca="false">IF(OR($A1489="",C1489=""),0,IF(COUNTIF($C$2:C1489,C1489)=1,SUMIF($C$2:$C$5001,C1489,$H$2:$H$5001)+ROW()/10000000,0))</f>
        <v>0</v>
      </c>
    </row>
    <row r="1490" customFormat="false" ht="15" hidden="false" customHeight="false" outlineLevel="0" collapsed="false">
      <c r="A1490" s="43"/>
      <c r="B1490" s="44"/>
      <c r="C1490" s="44"/>
      <c r="D1490" s="44"/>
      <c r="E1490" s="44"/>
      <c r="F1490" s="44"/>
      <c r="G1490" s="44"/>
      <c r="H1490" s="46" t="str">
        <f aca="false">IF($A1490="","",IF(OR(NOT(ISNUMBER(E1490)),NOT(ISNUMBER(F1490))),"",MAX(0,E1490)*F1490))</f>
        <v/>
      </c>
      <c r="I1490" s="46" t="str">
        <f aca="false">IF($A1490="","",SUMIF($A$2:$A$5001,$A1490,$H$2:$H$5001))</f>
        <v/>
      </c>
      <c r="J1490" s="47" t="n">
        <f aca="false">IF($A1490="",0,IF(COUNTIF($A$2:A1490,$A1490)=1,1,0))</f>
        <v>0</v>
      </c>
      <c r="K1490" s="47" t="n">
        <f aca="false">IF(J1490=1,N(I1490)+ROW()/10000000,0)</f>
        <v>0</v>
      </c>
      <c r="L1490" s="47" t="str">
        <f aca="false">IF(AND(J1490=1,N(I1490)&gt;0),SUMIF($K$2:$K$5001,"&gt;="&amp;K1490,$I$2:$I$5001)/MAX(1,SUM($H$2:$H$5001)),"")</f>
        <v/>
      </c>
      <c r="M1490" s="47" t="str">
        <f aca="false">IF($A1490="","",INDEX($L$2:$L$5001,MATCH($A1490,$A$2:$A$5001,0)))</f>
        <v/>
      </c>
      <c r="N1490" s="48" t="str">
        <f aca="false">IF($A1490="","",IF(N(M1490)=0,"–",IF(M1490&lt;=Start!$D$20,"A",IF(M1490&lt;=Start!$D$21,"B","C"))))</f>
        <v/>
      </c>
      <c r="O1490" s="48" t="str">
        <f aca="false">IF($A1490="","",IF(NOT(ISNUMBER(F1490)),"Wert fehlt; ",IF(F1490&lt;=0,"Wert ist 0; ",""))&amp;IF(NOT(ISNUMBER(E1490)),"Bestand fehlt; ",IF(E1490&lt;0,"Bestand negativ; ",IF(E1490=0,"Nullbestand; ","")))&amp;IF(D1490="","Warengruppe fehlt; ","")&amp;IF(B1490="","Bezeichnung fehlt; ","")&amp;IF(COUNTIFS($A$2:$A$5001,$A1490,$C$2:$C$5001,C1490)&gt;1,"Artikel doppelt im selben Lager; ",""))</f>
        <v/>
      </c>
      <c r="P1490" s="47" t="n">
        <f aca="false">IF(OR($A1490="",D1490=""),0,IF(COUNTIF($D$2:D1490,D1490)=1,SUMIF($D$2:$D$5001,D1490,$H$2:$H$5001)+ROW()/10000000,0))</f>
        <v>0</v>
      </c>
      <c r="Q1490" s="47" t="n">
        <f aca="false">IF(OR($A1490="",C1490=""),0,IF(COUNTIF($C$2:C1490,C1490)=1,SUMIF($C$2:$C$5001,C1490,$H$2:$H$5001)+ROW()/10000000,0))</f>
        <v>0</v>
      </c>
    </row>
    <row r="1491" customFormat="false" ht="15" hidden="false" customHeight="false" outlineLevel="0" collapsed="false">
      <c r="A1491" s="43"/>
      <c r="B1491" s="44"/>
      <c r="C1491" s="44"/>
      <c r="D1491" s="44"/>
      <c r="E1491" s="44"/>
      <c r="F1491" s="44"/>
      <c r="G1491" s="44"/>
      <c r="H1491" s="46" t="str">
        <f aca="false">IF($A1491="","",IF(OR(NOT(ISNUMBER(E1491)),NOT(ISNUMBER(F1491))),"",MAX(0,E1491)*F1491))</f>
        <v/>
      </c>
      <c r="I1491" s="46" t="str">
        <f aca="false">IF($A1491="","",SUMIF($A$2:$A$5001,$A1491,$H$2:$H$5001))</f>
        <v/>
      </c>
      <c r="J1491" s="47" t="n">
        <f aca="false">IF($A1491="",0,IF(COUNTIF($A$2:A1491,$A1491)=1,1,0))</f>
        <v>0</v>
      </c>
      <c r="K1491" s="47" t="n">
        <f aca="false">IF(J1491=1,N(I1491)+ROW()/10000000,0)</f>
        <v>0</v>
      </c>
      <c r="L1491" s="47" t="str">
        <f aca="false">IF(AND(J1491=1,N(I1491)&gt;0),SUMIF($K$2:$K$5001,"&gt;="&amp;K1491,$I$2:$I$5001)/MAX(1,SUM($H$2:$H$5001)),"")</f>
        <v/>
      </c>
      <c r="M1491" s="47" t="str">
        <f aca="false">IF($A1491="","",INDEX($L$2:$L$5001,MATCH($A1491,$A$2:$A$5001,0)))</f>
        <v/>
      </c>
      <c r="N1491" s="48" t="str">
        <f aca="false">IF($A1491="","",IF(N(M1491)=0,"–",IF(M1491&lt;=Start!$D$20,"A",IF(M1491&lt;=Start!$D$21,"B","C"))))</f>
        <v/>
      </c>
      <c r="O1491" s="48" t="str">
        <f aca="false">IF($A1491="","",IF(NOT(ISNUMBER(F1491)),"Wert fehlt; ",IF(F1491&lt;=0,"Wert ist 0; ",""))&amp;IF(NOT(ISNUMBER(E1491)),"Bestand fehlt; ",IF(E1491&lt;0,"Bestand negativ; ",IF(E1491=0,"Nullbestand; ","")))&amp;IF(D1491="","Warengruppe fehlt; ","")&amp;IF(B1491="","Bezeichnung fehlt; ","")&amp;IF(COUNTIFS($A$2:$A$5001,$A1491,$C$2:$C$5001,C1491)&gt;1,"Artikel doppelt im selben Lager; ",""))</f>
        <v/>
      </c>
      <c r="P1491" s="47" t="n">
        <f aca="false">IF(OR($A1491="",D1491=""),0,IF(COUNTIF($D$2:D1491,D1491)=1,SUMIF($D$2:$D$5001,D1491,$H$2:$H$5001)+ROW()/10000000,0))</f>
        <v>0</v>
      </c>
      <c r="Q1491" s="47" t="n">
        <f aca="false">IF(OR($A1491="",C1491=""),0,IF(COUNTIF($C$2:C1491,C1491)=1,SUMIF($C$2:$C$5001,C1491,$H$2:$H$5001)+ROW()/10000000,0))</f>
        <v>0</v>
      </c>
    </row>
    <row r="1492" customFormat="false" ht="15" hidden="false" customHeight="false" outlineLevel="0" collapsed="false">
      <c r="A1492" s="43"/>
      <c r="B1492" s="44"/>
      <c r="C1492" s="44"/>
      <c r="D1492" s="44"/>
      <c r="E1492" s="44"/>
      <c r="F1492" s="44"/>
      <c r="G1492" s="44"/>
      <c r="H1492" s="46" t="str">
        <f aca="false">IF($A1492="","",IF(OR(NOT(ISNUMBER(E1492)),NOT(ISNUMBER(F1492))),"",MAX(0,E1492)*F1492))</f>
        <v/>
      </c>
      <c r="I1492" s="46" t="str">
        <f aca="false">IF($A1492="","",SUMIF($A$2:$A$5001,$A1492,$H$2:$H$5001))</f>
        <v/>
      </c>
      <c r="J1492" s="47" t="n">
        <f aca="false">IF($A1492="",0,IF(COUNTIF($A$2:A1492,$A1492)=1,1,0))</f>
        <v>0</v>
      </c>
      <c r="K1492" s="47" t="n">
        <f aca="false">IF(J1492=1,N(I1492)+ROW()/10000000,0)</f>
        <v>0</v>
      </c>
      <c r="L1492" s="47" t="str">
        <f aca="false">IF(AND(J1492=1,N(I1492)&gt;0),SUMIF($K$2:$K$5001,"&gt;="&amp;K1492,$I$2:$I$5001)/MAX(1,SUM($H$2:$H$5001)),"")</f>
        <v/>
      </c>
      <c r="M1492" s="47" t="str">
        <f aca="false">IF($A1492="","",INDEX($L$2:$L$5001,MATCH($A1492,$A$2:$A$5001,0)))</f>
        <v/>
      </c>
      <c r="N1492" s="48" t="str">
        <f aca="false">IF($A1492="","",IF(N(M1492)=0,"–",IF(M1492&lt;=Start!$D$20,"A",IF(M1492&lt;=Start!$D$21,"B","C"))))</f>
        <v/>
      </c>
      <c r="O1492" s="48" t="str">
        <f aca="false">IF($A1492="","",IF(NOT(ISNUMBER(F1492)),"Wert fehlt; ",IF(F1492&lt;=0,"Wert ist 0; ",""))&amp;IF(NOT(ISNUMBER(E1492)),"Bestand fehlt; ",IF(E1492&lt;0,"Bestand negativ; ",IF(E1492=0,"Nullbestand; ","")))&amp;IF(D1492="","Warengruppe fehlt; ","")&amp;IF(B1492="","Bezeichnung fehlt; ","")&amp;IF(COUNTIFS($A$2:$A$5001,$A1492,$C$2:$C$5001,C1492)&gt;1,"Artikel doppelt im selben Lager; ",""))</f>
        <v/>
      </c>
      <c r="P1492" s="47" t="n">
        <f aca="false">IF(OR($A1492="",D1492=""),0,IF(COUNTIF($D$2:D1492,D1492)=1,SUMIF($D$2:$D$5001,D1492,$H$2:$H$5001)+ROW()/10000000,0))</f>
        <v>0</v>
      </c>
      <c r="Q1492" s="47" t="n">
        <f aca="false">IF(OR($A1492="",C1492=""),0,IF(COUNTIF($C$2:C1492,C1492)=1,SUMIF($C$2:$C$5001,C1492,$H$2:$H$5001)+ROW()/10000000,0))</f>
        <v>0</v>
      </c>
    </row>
    <row r="1493" customFormat="false" ht="15" hidden="false" customHeight="false" outlineLevel="0" collapsed="false">
      <c r="A1493" s="43"/>
      <c r="B1493" s="44"/>
      <c r="C1493" s="44"/>
      <c r="D1493" s="44"/>
      <c r="E1493" s="44"/>
      <c r="F1493" s="44"/>
      <c r="G1493" s="44"/>
      <c r="H1493" s="46" t="str">
        <f aca="false">IF($A1493="","",IF(OR(NOT(ISNUMBER(E1493)),NOT(ISNUMBER(F1493))),"",MAX(0,E1493)*F1493))</f>
        <v/>
      </c>
      <c r="I1493" s="46" t="str">
        <f aca="false">IF($A1493="","",SUMIF($A$2:$A$5001,$A1493,$H$2:$H$5001))</f>
        <v/>
      </c>
      <c r="J1493" s="47" t="n">
        <f aca="false">IF($A1493="",0,IF(COUNTIF($A$2:A1493,$A1493)=1,1,0))</f>
        <v>0</v>
      </c>
      <c r="K1493" s="47" t="n">
        <f aca="false">IF(J1493=1,N(I1493)+ROW()/10000000,0)</f>
        <v>0</v>
      </c>
      <c r="L1493" s="47" t="str">
        <f aca="false">IF(AND(J1493=1,N(I1493)&gt;0),SUMIF($K$2:$K$5001,"&gt;="&amp;K1493,$I$2:$I$5001)/MAX(1,SUM($H$2:$H$5001)),"")</f>
        <v/>
      </c>
      <c r="M1493" s="47" t="str">
        <f aca="false">IF($A1493="","",INDEX($L$2:$L$5001,MATCH($A1493,$A$2:$A$5001,0)))</f>
        <v/>
      </c>
      <c r="N1493" s="48" t="str">
        <f aca="false">IF($A1493="","",IF(N(M1493)=0,"–",IF(M1493&lt;=Start!$D$20,"A",IF(M1493&lt;=Start!$D$21,"B","C"))))</f>
        <v/>
      </c>
      <c r="O1493" s="48" t="str">
        <f aca="false">IF($A1493="","",IF(NOT(ISNUMBER(F1493)),"Wert fehlt; ",IF(F1493&lt;=0,"Wert ist 0; ",""))&amp;IF(NOT(ISNUMBER(E1493)),"Bestand fehlt; ",IF(E1493&lt;0,"Bestand negativ; ",IF(E1493=0,"Nullbestand; ","")))&amp;IF(D1493="","Warengruppe fehlt; ","")&amp;IF(B1493="","Bezeichnung fehlt; ","")&amp;IF(COUNTIFS($A$2:$A$5001,$A1493,$C$2:$C$5001,C1493)&gt;1,"Artikel doppelt im selben Lager; ",""))</f>
        <v/>
      </c>
      <c r="P1493" s="47" t="n">
        <f aca="false">IF(OR($A1493="",D1493=""),0,IF(COUNTIF($D$2:D1493,D1493)=1,SUMIF($D$2:$D$5001,D1493,$H$2:$H$5001)+ROW()/10000000,0))</f>
        <v>0</v>
      </c>
      <c r="Q1493" s="47" t="n">
        <f aca="false">IF(OR($A1493="",C1493=""),0,IF(COUNTIF($C$2:C1493,C1493)=1,SUMIF($C$2:$C$5001,C1493,$H$2:$H$5001)+ROW()/10000000,0))</f>
        <v>0</v>
      </c>
    </row>
    <row r="1494" customFormat="false" ht="15" hidden="false" customHeight="false" outlineLevel="0" collapsed="false">
      <c r="A1494" s="43"/>
      <c r="B1494" s="44"/>
      <c r="C1494" s="44"/>
      <c r="D1494" s="44"/>
      <c r="E1494" s="44"/>
      <c r="F1494" s="44"/>
      <c r="G1494" s="44"/>
      <c r="H1494" s="46" t="str">
        <f aca="false">IF($A1494="","",IF(OR(NOT(ISNUMBER(E1494)),NOT(ISNUMBER(F1494))),"",MAX(0,E1494)*F1494))</f>
        <v/>
      </c>
      <c r="I1494" s="46" t="str">
        <f aca="false">IF($A1494="","",SUMIF($A$2:$A$5001,$A1494,$H$2:$H$5001))</f>
        <v/>
      </c>
      <c r="J1494" s="47" t="n">
        <f aca="false">IF($A1494="",0,IF(COUNTIF($A$2:A1494,$A1494)=1,1,0))</f>
        <v>0</v>
      </c>
      <c r="K1494" s="47" t="n">
        <f aca="false">IF(J1494=1,N(I1494)+ROW()/10000000,0)</f>
        <v>0</v>
      </c>
      <c r="L1494" s="47" t="str">
        <f aca="false">IF(AND(J1494=1,N(I1494)&gt;0),SUMIF($K$2:$K$5001,"&gt;="&amp;K1494,$I$2:$I$5001)/MAX(1,SUM($H$2:$H$5001)),"")</f>
        <v/>
      </c>
      <c r="M1494" s="47" t="str">
        <f aca="false">IF($A1494="","",INDEX($L$2:$L$5001,MATCH($A1494,$A$2:$A$5001,0)))</f>
        <v/>
      </c>
      <c r="N1494" s="48" t="str">
        <f aca="false">IF($A1494="","",IF(N(M1494)=0,"–",IF(M1494&lt;=Start!$D$20,"A",IF(M1494&lt;=Start!$D$21,"B","C"))))</f>
        <v/>
      </c>
      <c r="O1494" s="48" t="str">
        <f aca="false">IF($A1494="","",IF(NOT(ISNUMBER(F1494)),"Wert fehlt; ",IF(F1494&lt;=0,"Wert ist 0; ",""))&amp;IF(NOT(ISNUMBER(E1494)),"Bestand fehlt; ",IF(E1494&lt;0,"Bestand negativ; ",IF(E1494=0,"Nullbestand; ","")))&amp;IF(D1494="","Warengruppe fehlt; ","")&amp;IF(B1494="","Bezeichnung fehlt; ","")&amp;IF(COUNTIFS($A$2:$A$5001,$A1494,$C$2:$C$5001,C1494)&gt;1,"Artikel doppelt im selben Lager; ",""))</f>
        <v/>
      </c>
      <c r="P1494" s="47" t="n">
        <f aca="false">IF(OR($A1494="",D1494=""),0,IF(COUNTIF($D$2:D1494,D1494)=1,SUMIF($D$2:$D$5001,D1494,$H$2:$H$5001)+ROW()/10000000,0))</f>
        <v>0</v>
      </c>
      <c r="Q1494" s="47" t="n">
        <f aca="false">IF(OR($A1494="",C1494=""),0,IF(COUNTIF($C$2:C1494,C1494)=1,SUMIF($C$2:$C$5001,C1494,$H$2:$H$5001)+ROW()/10000000,0))</f>
        <v>0</v>
      </c>
    </row>
    <row r="1495" customFormat="false" ht="15" hidden="false" customHeight="false" outlineLevel="0" collapsed="false">
      <c r="A1495" s="43"/>
      <c r="B1495" s="44"/>
      <c r="C1495" s="44"/>
      <c r="D1495" s="44"/>
      <c r="E1495" s="44"/>
      <c r="F1495" s="44"/>
      <c r="G1495" s="44"/>
      <c r="H1495" s="46" t="str">
        <f aca="false">IF($A1495="","",IF(OR(NOT(ISNUMBER(E1495)),NOT(ISNUMBER(F1495))),"",MAX(0,E1495)*F1495))</f>
        <v/>
      </c>
      <c r="I1495" s="46" t="str">
        <f aca="false">IF($A1495="","",SUMIF($A$2:$A$5001,$A1495,$H$2:$H$5001))</f>
        <v/>
      </c>
      <c r="J1495" s="47" t="n">
        <f aca="false">IF($A1495="",0,IF(COUNTIF($A$2:A1495,$A1495)=1,1,0))</f>
        <v>0</v>
      </c>
      <c r="K1495" s="47" t="n">
        <f aca="false">IF(J1495=1,N(I1495)+ROW()/10000000,0)</f>
        <v>0</v>
      </c>
      <c r="L1495" s="47" t="str">
        <f aca="false">IF(AND(J1495=1,N(I1495)&gt;0),SUMIF($K$2:$K$5001,"&gt;="&amp;K1495,$I$2:$I$5001)/MAX(1,SUM($H$2:$H$5001)),"")</f>
        <v/>
      </c>
      <c r="M1495" s="47" t="str">
        <f aca="false">IF($A1495="","",INDEX($L$2:$L$5001,MATCH($A1495,$A$2:$A$5001,0)))</f>
        <v/>
      </c>
      <c r="N1495" s="48" t="str">
        <f aca="false">IF($A1495="","",IF(N(M1495)=0,"–",IF(M1495&lt;=Start!$D$20,"A",IF(M1495&lt;=Start!$D$21,"B","C"))))</f>
        <v/>
      </c>
      <c r="O1495" s="48" t="str">
        <f aca="false">IF($A1495="","",IF(NOT(ISNUMBER(F1495)),"Wert fehlt; ",IF(F1495&lt;=0,"Wert ist 0; ",""))&amp;IF(NOT(ISNUMBER(E1495)),"Bestand fehlt; ",IF(E1495&lt;0,"Bestand negativ; ",IF(E1495=0,"Nullbestand; ","")))&amp;IF(D1495="","Warengruppe fehlt; ","")&amp;IF(B1495="","Bezeichnung fehlt; ","")&amp;IF(COUNTIFS($A$2:$A$5001,$A1495,$C$2:$C$5001,C1495)&gt;1,"Artikel doppelt im selben Lager; ",""))</f>
        <v/>
      </c>
      <c r="P1495" s="47" t="n">
        <f aca="false">IF(OR($A1495="",D1495=""),0,IF(COUNTIF($D$2:D1495,D1495)=1,SUMIF($D$2:$D$5001,D1495,$H$2:$H$5001)+ROW()/10000000,0))</f>
        <v>0</v>
      </c>
      <c r="Q1495" s="47" t="n">
        <f aca="false">IF(OR($A1495="",C1495=""),0,IF(COUNTIF($C$2:C1495,C1495)=1,SUMIF($C$2:$C$5001,C1495,$H$2:$H$5001)+ROW()/10000000,0))</f>
        <v>0</v>
      </c>
    </row>
    <row r="1496" customFormat="false" ht="15" hidden="false" customHeight="false" outlineLevel="0" collapsed="false">
      <c r="A1496" s="43"/>
      <c r="B1496" s="44"/>
      <c r="C1496" s="44"/>
      <c r="D1496" s="44"/>
      <c r="E1496" s="44"/>
      <c r="F1496" s="44"/>
      <c r="G1496" s="44"/>
      <c r="H1496" s="46" t="str">
        <f aca="false">IF($A1496="","",IF(OR(NOT(ISNUMBER(E1496)),NOT(ISNUMBER(F1496))),"",MAX(0,E1496)*F1496))</f>
        <v/>
      </c>
      <c r="I1496" s="46" t="str">
        <f aca="false">IF($A1496="","",SUMIF($A$2:$A$5001,$A1496,$H$2:$H$5001))</f>
        <v/>
      </c>
      <c r="J1496" s="47" t="n">
        <f aca="false">IF($A1496="",0,IF(COUNTIF($A$2:A1496,$A1496)=1,1,0))</f>
        <v>0</v>
      </c>
      <c r="K1496" s="47" t="n">
        <f aca="false">IF(J1496=1,N(I1496)+ROW()/10000000,0)</f>
        <v>0</v>
      </c>
      <c r="L1496" s="47" t="str">
        <f aca="false">IF(AND(J1496=1,N(I1496)&gt;0),SUMIF($K$2:$K$5001,"&gt;="&amp;K1496,$I$2:$I$5001)/MAX(1,SUM($H$2:$H$5001)),"")</f>
        <v/>
      </c>
      <c r="M1496" s="47" t="str">
        <f aca="false">IF($A1496="","",INDEX($L$2:$L$5001,MATCH($A1496,$A$2:$A$5001,0)))</f>
        <v/>
      </c>
      <c r="N1496" s="48" t="str">
        <f aca="false">IF($A1496="","",IF(N(M1496)=0,"–",IF(M1496&lt;=Start!$D$20,"A",IF(M1496&lt;=Start!$D$21,"B","C"))))</f>
        <v/>
      </c>
      <c r="O1496" s="48" t="str">
        <f aca="false">IF($A1496="","",IF(NOT(ISNUMBER(F1496)),"Wert fehlt; ",IF(F1496&lt;=0,"Wert ist 0; ",""))&amp;IF(NOT(ISNUMBER(E1496)),"Bestand fehlt; ",IF(E1496&lt;0,"Bestand negativ; ",IF(E1496=0,"Nullbestand; ","")))&amp;IF(D1496="","Warengruppe fehlt; ","")&amp;IF(B1496="","Bezeichnung fehlt; ","")&amp;IF(COUNTIFS($A$2:$A$5001,$A1496,$C$2:$C$5001,C1496)&gt;1,"Artikel doppelt im selben Lager; ",""))</f>
        <v/>
      </c>
      <c r="P1496" s="47" t="n">
        <f aca="false">IF(OR($A1496="",D1496=""),0,IF(COUNTIF($D$2:D1496,D1496)=1,SUMIF($D$2:$D$5001,D1496,$H$2:$H$5001)+ROW()/10000000,0))</f>
        <v>0</v>
      </c>
      <c r="Q1496" s="47" t="n">
        <f aca="false">IF(OR($A1496="",C1496=""),0,IF(COUNTIF($C$2:C1496,C1496)=1,SUMIF($C$2:$C$5001,C1496,$H$2:$H$5001)+ROW()/10000000,0))</f>
        <v>0</v>
      </c>
    </row>
    <row r="1497" customFormat="false" ht="15" hidden="false" customHeight="false" outlineLevel="0" collapsed="false">
      <c r="A1497" s="43"/>
      <c r="B1497" s="44"/>
      <c r="C1497" s="44"/>
      <c r="D1497" s="44"/>
      <c r="E1497" s="44"/>
      <c r="F1497" s="44"/>
      <c r="G1497" s="44"/>
      <c r="H1497" s="46" t="str">
        <f aca="false">IF($A1497="","",IF(OR(NOT(ISNUMBER(E1497)),NOT(ISNUMBER(F1497))),"",MAX(0,E1497)*F1497))</f>
        <v/>
      </c>
      <c r="I1497" s="46" t="str">
        <f aca="false">IF($A1497="","",SUMIF($A$2:$A$5001,$A1497,$H$2:$H$5001))</f>
        <v/>
      </c>
      <c r="J1497" s="47" t="n">
        <f aca="false">IF($A1497="",0,IF(COUNTIF($A$2:A1497,$A1497)=1,1,0))</f>
        <v>0</v>
      </c>
      <c r="K1497" s="47" t="n">
        <f aca="false">IF(J1497=1,N(I1497)+ROW()/10000000,0)</f>
        <v>0</v>
      </c>
      <c r="L1497" s="47" t="str">
        <f aca="false">IF(AND(J1497=1,N(I1497)&gt;0),SUMIF($K$2:$K$5001,"&gt;="&amp;K1497,$I$2:$I$5001)/MAX(1,SUM($H$2:$H$5001)),"")</f>
        <v/>
      </c>
      <c r="M1497" s="47" t="str">
        <f aca="false">IF($A1497="","",INDEX($L$2:$L$5001,MATCH($A1497,$A$2:$A$5001,0)))</f>
        <v/>
      </c>
      <c r="N1497" s="48" t="str">
        <f aca="false">IF($A1497="","",IF(N(M1497)=0,"–",IF(M1497&lt;=Start!$D$20,"A",IF(M1497&lt;=Start!$D$21,"B","C"))))</f>
        <v/>
      </c>
      <c r="O1497" s="48" t="str">
        <f aca="false">IF($A1497="","",IF(NOT(ISNUMBER(F1497)),"Wert fehlt; ",IF(F1497&lt;=0,"Wert ist 0; ",""))&amp;IF(NOT(ISNUMBER(E1497)),"Bestand fehlt; ",IF(E1497&lt;0,"Bestand negativ; ",IF(E1497=0,"Nullbestand; ","")))&amp;IF(D1497="","Warengruppe fehlt; ","")&amp;IF(B1497="","Bezeichnung fehlt; ","")&amp;IF(COUNTIFS($A$2:$A$5001,$A1497,$C$2:$C$5001,C1497)&gt;1,"Artikel doppelt im selben Lager; ",""))</f>
        <v/>
      </c>
      <c r="P1497" s="47" t="n">
        <f aca="false">IF(OR($A1497="",D1497=""),0,IF(COUNTIF($D$2:D1497,D1497)=1,SUMIF($D$2:$D$5001,D1497,$H$2:$H$5001)+ROW()/10000000,0))</f>
        <v>0</v>
      </c>
      <c r="Q1497" s="47" t="n">
        <f aca="false">IF(OR($A1497="",C1497=""),0,IF(COUNTIF($C$2:C1497,C1497)=1,SUMIF($C$2:$C$5001,C1497,$H$2:$H$5001)+ROW()/10000000,0))</f>
        <v>0</v>
      </c>
    </row>
    <row r="1498" customFormat="false" ht="15" hidden="false" customHeight="false" outlineLevel="0" collapsed="false">
      <c r="A1498" s="43"/>
      <c r="B1498" s="44"/>
      <c r="C1498" s="44"/>
      <c r="D1498" s="44"/>
      <c r="E1498" s="44"/>
      <c r="F1498" s="44"/>
      <c r="G1498" s="44"/>
      <c r="H1498" s="46" t="str">
        <f aca="false">IF($A1498="","",IF(OR(NOT(ISNUMBER(E1498)),NOT(ISNUMBER(F1498))),"",MAX(0,E1498)*F1498))</f>
        <v/>
      </c>
      <c r="I1498" s="46" t="str">
        <f aca="false">IF($A1498="","",SUMIF($A$2:$A$5001,$A1498,$H$2:$H$5001))</f>
        <v/>
      </c>
      <c r="J1498" s="47" t="n">
        <f aca="false">IF($A1498="",0,IF(COUNTIF($A$2:A1498,$A1498)=1,1,0))</f>
        <v>0</v>
      </c>
      <c r="K1498" s="47" t="n">
        <f aca="false">IF(J1498=1,N(I1498)+ROW()/10000000,0)</f>
        <v>0</v>
      </c>
      <c r="L1498" s="47" t="str">
        <f aca="false">IF(AND(J1498=1,N(I1498)&gt;0),SUMIF($K$2:$K$5001,"&gt;="&amp;K1498,$I$2:$I$5001)/MAX(1,SUM($H$2:$H$5001)),"")</f>
        <v/>
      </c>
      <c r="M1498" s="47" t="str">
        <f aca="false">IF($A1498="","",INDEX($L$2:$L$5001,MATCH($A1498,$A$2:$A$5001,0)))</f>
        <v/>
      </c>
      <c r="N1498" s="48" t="str">
        <f aca="false">IF($A1498="","",IF(N(M1498)=0,"–",IF(M1498&lt;=Start!$D$20,"A",IF(M1498&lt;=Start!$D$21,"B","C"))))</f>
        <v/>
      </c>
      <c r="O1498" s="48" t="str">
        <f aca="false">IF($A1498="","",IF(NOT(ISNUMBER(F1498)),"Wert fehlt; ",IF(F1498&lt;=0,"Wert ist 0; ",""))&amp;IF(NOT(ISNUMBER(E1498)),"Bestand fehlt; ",IF(E1498&lt;0,"Bestand negativ; ",IF(E1498=0,"Nullbestand; ","")))&amp;IF(D1498="","Warengruppe fehlt; ","")&amp;IF(B1498="","Bezeichnung fehlt; ","")&amp;IF(COUNTIFS($A$2:$A$5001,$A1498,$C$2:$C$5001,C1498)&gt;1,"Artikel doppelt im selben Lager; ",""))</f>
        <v/>
      </c>
      <c r="P1498" s="47" t="n">
        <f aca="false">IF(OR($A1498="",D1498=""),0,IF(COUNTIF($D$2:D1498,D1498)=1,SUMIF($D$2:$D$5001,D1498,$H$2:$H$5001)+ROW()/10000000,0))</f>
        <v>0</v>
      </c>
      <c r="Q1498" s="47" t="n">
        <f aca="false">IF(OR($A1498="",C1498=""),0,IF(COUNTIF($C$2:C1498,C1498)=1,SUMIF($C$2:$C$5001,C1498,$H$2:$H$5001)+ROW()/10000000,0))</f>
        <v>0</v>
      </c>
    </row>
    <row r="1499" customFormat="false" ht="15" hidden="false" customHeight="false" outlineLevel="0" collapsed="false">
      <c r="A1499" s="43"/>
      <c r="B1499" s="44"/>
      <c r="C1499" s="44"/>
      <c r="D1499" s="44"/>
      <c r="E1499" s="44"/>
      <c r="F1499" s="44"/>
      <c r="G1499" s="44"/>
      <c r="H1499" s="46" t="str">
        <f aca="false">IF($A1499="","",IF(OR(NOT(ISNUMBER(E1499)),NOT(ISNUMBER(F1499))),"",MAX(0,E1499)*F1499))</f>
        <v/>
      </c>
      <c r="I1499" s="46" t="str">
        <f aca="false">IF($A1499="","",SUMIF($A$2:$A$5001,$A1499,$H$2:$H$5001))</f>
        <v/>
      </c>
      <c r="J1499" s="47" t="n">
        <f aca="false">IF($A1499="",0,IF(COUNTIF($A$2:A1499,$A1499)=1,1,0))</f>
        <v>0</v>
      </c>
      <c r="K1499" s="47" t="n">
        <f aca="false">IF(J1499=1,N(I1499)+ROW()/10000000,0)</f>
        <v>0</v>
      </c>
      <c r="L1499" s="47" t="str">
        <f aca="false">IF(AND(J1499=1,N(I1499)&gt;0),SUMIF($K$2:$K$5001,"&gt;="&amp;K1499,$I$2:$I$5001)/MAX(1,SUM($H$2:$H$5001)),"")</f>
        <v/>
      </c>
      <c r="M1499" s="47" t="str">
        <f aca="false">IF($A1499="","",INDEX($L$2:$L$5001,MATCH($A1499,$A$2:$A$5001,0)))</f>
        <v/>
      </c>
      <c r="N1499" s="48" t="str">
        <f aca="false">IF($A1499="","",IF(N(M1499)=0,"–",IF(M1499&lt;=Start!$D$20,"A",IF(M1499&lt;=Start!$D$21,"B","C"))))</f>
        <v/>
      </c>
      <c r="O1499" s="48" t="str">
        <f aca="false">IF($A1499="","",IF(NOT(ISNUMBER(F1499)),"Wert fehlt; ",IF(F1499&lt;=0,"Wert ist 0; ",""))&amp;IF(NOT(ISNUMBER(E1499)),"Bestand fehlt; ",IF(E1499&lt;0,"Bestand negativ; ",IF(E1499=0,"Nullbestand; ","")))&amp;IF(D1499="","Warengruppe fehlt; ","")&amp;IF(B1499="","Bezeichnung fehlt; ","")&amp;IF(COUNTIFS($A$2:$A$5001,$A1499,$C$2:$C$5001,C1499)&gt;1,"Artikel doppelt im selben Lager; ",""))</f>
        <v/>
      </c>
      <c r="P1499" s="47" t="n">
        <f aca="false">IF(OR($A1499="",D1499=""),0,IF(COUNTIF($D$2:D1499,D1499)=1,SUMIF($D$2:$D$5001,D1499,$H$2:$H$5001)+ROW()/10000000,0))</f>
        <v>0</v>
      </c>
      <c r="Q1499" s="47" t="n">
        <f aca="false">IF(OR($A1499="",C1499=""),0,IF(COUNTIF($C$2:C1499,C1499)=1,SUMIF($C$2:$C$5001,C1499,$H$2:$H$5001)+ROW()/10000000,0))</f>
        <v>0</v>
      </c>
    </row>
    <row r="1500" customFormat="false" ht="15" hidden="false" customHeight="false" outlineLevel="0" collapsed="false">
      <c r="A1500" s="43"/>
      <c r="B1500" s="44"/>
      <c r="C1500" s="44"/>
      <c r="D1500" s="44"/>
      <c r="E1500" s="44"/>
      <c r="F1500" s="44"/>
      <c r="G1500" s="44"/>
      <c r="H1500" s="46" t="str">
        <f aca="false">IF($A1500="","",IF(OR(NOT(ISNUMBER(E1500)),NOT(ISNUMBER(F1500))),"",MAX(0,E1500)*F1500))</f>
        <v/>
      </c>
      <c r="I1500" s="46" t="str">
        <f aca="false">IF($A1500="","",SUMIF($A$2:$A$5001,$A1500,$H$2:$H$5001))</f>
        <v/>
      </c>
      <c r="J1500" s="47" t="n">
        <f aca="false">IF($A1500="",0,IF(COUNTIF($A$2:A1500,$A1500)=1,1,0))</f>
        <v>0</v>
      </c>
      <c r="K1500" s="47" t="n">
        <f aca="false">IF(J1500=1,N(I1500)+ROW()/10000000,0)</f>
        <v>0</v>
      </c>
      <c r="L1500" s="47" t="str">
        <f aca="false">IF(AND(J1500=1,N(I1500)&gt;0),SUMIF($K$2:$K$5001,"&gt;="&amp;K1500,$I$2:$I$5001)/MAX(1,SUM($H$2:$H$5001)),"")</f>
        <v/>
      </c>
      <c r="M1500" s="47" t="str">
        <f aca="false">IF($A1500="","",INDEX($L$2:$L$5001,MATCH($A1500,$A$2:$A$5001,0)))</f>
        <v/>
      </c>
      <c r="N1500" s="48" t="str">
        <f aca="false">IF($A1500="","",IF(N(M1500)=0,"–",IF(M1500&lt;=Start!$D$20,"A",IF(M1500&lt;=Start!$D$21,"B","C"))))</f>
        <v/>
      </c>
      <c r="O1500" s="48" t="str">
        <f aca="false">IF($A1500="","",IF(NOT(ISNUMBER(F1500)),"Wert fehlt; ",IF(F1500&lt;=0,"Wert ist 0; ",""))&amp;IF(NOT(ISNUMBER(E1500)),"Bestand fehlt; ",IF(E1500&lt;0,"Bestand negativ; ",IF(E1500=0,"Nullbestand; ","")))&amp;IF(D1500="","Warengruppe fehlt; ","")&amp;IF(B1500="","Bezeichnung fehlt; ","")&amp;IF(COUNTIFS($A$2:$A$5001,$A1500,$C$2:$C$5001,C1500)&gt;1,"Artikel doppelt im selben Lager; ",""))</f>
        <v/>
      </c>
      <c r="P1500" s="47" t="n">
        <f aca="false">IF(OR($A1500="",D1500=""),0,IF(COUNTIF($D$2:D1500,D1500)=1,SUMIF($D$2:$D$5001,D1500,$H$2:$H$5001)+ROW()/10000000,0))</f>
        <v>0</v>
      </c>
      <c r="Q1500" s="47" t="n">
        <f aca="false">IF(OR($A1500="",C1500=""),0,IF(COUNTIF($C$2:C1500,C1500)=1,SUMIF($C$2:$C$5001,C1500,$H$2:$H$5001)+ROW()/10000000,0))</f>
        <v>0</v>
      </c>
    </row>
    <row r="1501" customFormat="false" ht="15" hidden="false" customHeight="false" outlineLevel="0" collapsed="false">
      <c r="A1501" s="43"/>
      <c r="B1501" s="44"/>
      <c r="C1501" s="44"/>
      <c r="D1501" s="44"/>
      <c r="E1501" s="44"/>
      <c r="F1501" s="44"/>
      <c r="G1501" s="44"/>
      <c r="H1501" s="46" t="str">
        <f aca="false">IF($A1501="","",IF(OR(NOT(ISNUMBER(E1501)),NOT(ISNUMBER(F1501))),"",MAX(0,E1501)*F1501))</f>
        <v/>
      </c>
      <c r="I1501" s="46" t="str">
        <f aca="false">IF($A1501="","",SUMIF($A$2:$A$5001,$A1501,$H$2:$H$5001))</f>
        <v/>
      </c>
      <c r="J1501" s="47" t="n">
        <f aca="false">IF($A1501="",0,IF(COUNTIF($A$2:A1501,$A1501)=1,1,0))</f>
        <v>0</v>
      </c>
      <c r="K1501" s="47" t="n">
        <f aca="false">IF(J1501=1,N(I1501)+ROW()/10000000,0)</f>
        <v>0</v>
      </c>
      <c r="L1501" s="47" t="str">
        <f aca="false">IF(AND(J1501=1,N(I1501)&gt;0),SUMIF($K$2:$K$5001,"&gt;="&amp;K1501,$I$2:$I$5001)/MAX(1,SUM($H$2:$H$5001)),"")</f>
        <v/>
      </c>
      <c r="M1501" s="47" t="str">
        <f aca="false">IF($A1501="","",INDEX($L$2:$L$5001,MATCH($A1501,$A$2:$A$5001,0)))</f>
        <v/>
      </c>
      <c r="N1501" s="48" t="str">
        <f aca="false">IF($A1501="","",IF(N(M1501)=0,"–",IF(M1501&lt;=Start!$D$20,"A",IF(M1501&lt;=Start!$D$21,"B","C"))))</f>
        <v/>
      </c>
      <c r="O1501" s="48" t="str">
        <f aca="false">IF($A1501="","",IF(NOT(ISNUMBER(F1501)),"Wert fehlt; ",IF(F1501&lt;=0,"Wert ist 0; ",""))&amp;IF(NOT(ISNUMBER(E1501)),"Bestand fehlt; ",IF(E1501&lt;0,"Bestand negativ; ",IF(E1501=0,"Nullbestand; ","")))&amp;IF(D1501="","Warengruppe fehlt; ","")&amp;IF(B1501="","Bezeichnung fehlt; ","")&amp;IF(COUNTIFS($A$2:$A$5001,$A1501,$C$2:$C$5001,C1501)&gt;1,"Artikel doppelt im selben Lager; ",""))</f>
        <v/>
      </c>
      <c r="P1501" s="47" t="n">
        <f aca="false">IF(OR($A1501="",D1501=""),0,IF(COUNTIF($D$2:D1501,D1501)=1,SUMIF($D$2:$D$5001,D1501,$H$2:$H$5001)+ROW()/10000000,0))</f>
        <v>0</v>
      </c>
      <c r="Q1501" s="47" t="n">
        <f aca="false">IF(OR($A1501="",C1501=""),0,IF(COUNTIF($C$2:C1501,C1501)=1,SUMIF($C$2:$C$5001,C1501,$H$2:$H$5001)+ROW()/10000000,0))</f>
        <v>0</v>
      </c>
    </row>
    <row r="1502" customFormat="false" ht="15" hidden="false" customHeight="false" outlineLevel="0" collapsed="false">
      <c r="A1502" s="43"/>
      <c r="B1502" s="44"/>
      <c r="C1502" s="44"/>
      <c r="D1502" s="44"/>
      <c r="E1502" s="44"/>
      <c r="F1502" s="44"/>
      <c r="G1502" s="44"/>
      <c r="H1502" s="46" t="str">
        <f aca="false">IF($A1502="","",IF(OR(NOT(ISNUMBER(E1502)),NOT(ISNUMBER(F1502))),"",MAX(0,E1502)*F1502))</f>
        <v/>
      </c>
      <c r="I1502" s="46" t="str">
        <f aca="false">IF($A1502="","",SUMIF($A$2:$A$5001,$A1502,$H$2:$H$5001))</f>
        <v/>
      </c>
      <c r="J1502" s="47" t="n">
        <f aca="false">IF($A1502="",0,IF(COUNTIF($A$2:A1502,$A1502)=1,1,0))</f>
        <v>0</v>
      </c>
      <c r="K1502" s="47" t="n">
        <f aca="false">IF(J1502=1,N(I1502)+ROW()/10000000,0)</f>
        <v>0</v>
      </c>
      <c r="L1502" s="47" t="str">
        <f aca="false">IF(AND(J1502=1,N(I1502)&gt;0),SUMIF($K$2:$K$5001,"&gt;="&amp;K1502,$I$2:$I$5001)/MAX(1,SUM($H$2:$H$5001)),"")</f>
        <v/>
      </c>
      <c r="M1502" s="47" t="str">
        <f aca="false">IF($A1502="","",INDEX($L$2:$L$5001,MATCH($A1502,$A$2:$A$5001,0)))</f>
        <v/>
      </c>
      <c r="N1502" s="48" t="str">
        <f aca="false">IF($A1502="","",IF(N(M1502)=0,"–",IF(M1502&lt;=Start!$D$20,"A",IF(M1502&lt;=Start!$D$21,"B","C"))))</f>
        <v/>
      </c>
      <c r="O1502" s="48" t="str">
        <f aca="false">IF($A1502="","",IF(NOT(ISNUMBER(F1502)),"Wert fehlt; ",IF(F1502&lt;=0,"Wert ist 0; ",""))&amp;IF(NOT(ISNUMBER(E1502)),"Bestand fehlt; ",IF(E1502&lt;0,"Bestand negativ; ",IF(E1502=0,"Nullbestand; ","")))&amp;IF(D1502="","Warengruppe fehlt; ","")&amp;IF(B1502="","Bezeichnung fehlt; ","")&amp;IF(COUNTIFS($A$2:$A$5001,$A1502,$C$2:$C$5001,C1502)&gt;1,"Artikel doppelt im selben Lager; ",""))</f>
        <v/>
      </c>
      <c r="P1502" s="47" t="n">
        <f aca="false">IF(OR($A1502="",D1502=""),0,IF(COUNTIF($D$2:D1502,D1502)=1,SUMIF($D$2:$D$5001,D1502,$H$2:$H$5001)+ROW()/10000000,0))</f>
        <v>0</v>
      </c>
      <c r="Q1502" s="47" t="n">
        <f aca="false">IF(OR($A1502="",C1502=""),0,IF(COUNTIF($C$2:C1502,C1502)=1,SUMIF($C$2:$C$5001,C1502,$H$2:$H$5001)+ROW()/10000000,0))</f>
        <v>0</v>
      </c>
    </row>
    <row r="1503" customFormat="false" ht="15" hidden="false" customHeight="false" outlineLevel="0" collapsed="false">
      <c r="A1503" s="43"/>
      <c r="B1503" s="44"/>
      <c r="C1503" s="44"/>
      <c r="D1503" s="44"/>
      <c r="E1503" s="44"/>
      <c r="F1503" s="44"/>
      <c r="G1503" s="44"/>
      <c r="H1503" s="46" t="str">
        <f aca="false">IF($A1503="","",IF(OR(NOT(ISNUMBER(E1503)),NOT(ISNUMBER(F1503))),"",MAX(0,E1503)*F1503))</f>
        <v/>
      </c>
      <c r="I1503" s="46" t="str">
        <f aca="false">IF($A1503="","",SUMIF($A$2:$A$5001,$A1503,$H$2:$H$5001))</f>
        <v/>
      </c>
      <c r="J1503" s="47" t="n">
        <f aca="false">IF($A1503="",0,IF(COUNTIF($A$2:A1503,$A1503)=1,1,0))</f>
        <v>0</v>
      </c>
      <c r="K1503" s="47" t="n">
        <f aca="false">IF(J1503=1,N(I1503)+ROW()/10000000,0)</f>
        <v>0</v>
      </c>
      <c r="L1503" s="47" t="str">
        <f aca="false">IF(AND(J1503=1,N(I1503)&gt;0),SUMIF($K$2:$K$5001,"&gt;="&amp;K1503,$I$2:$I$5001)/MAX(1,SUM($H$2:$H$5001)),"")</f>
        <v/>
      </c>
      <c r="M1503" s="47" t="str">
        <f aca="false">IF($A1503="","",INDEX($L$2:$L$5001,MATCH($A1503,$A$2:$A$5001,0)))</f>
        <v/>
      </c>
      <c r="N1503" s="48" t="str">
        <f aca="false">IF($A1503="","",IF(N(M1503)=0,"–",IF(M1503&lt;=Start!$D$20,"A",IF(M1503&lt;=Start!$D$21,"B","C"))))</f>
        <v/>
      </c>
      <c r="O1503" s="48" t="str">
        <f aca="false">IF($A1503="","",IF(NOT(ISNUMBER(F1503)),"Wert fehlt; ",IF(F1503&lt;=0,"Wert ist 0; ",""))&amp;IF(NOT(ISNUMBER(E1503)),"Bestand fehlt; ",IF(E1503&lt;0,"Bestand negativ; ",IF(E1503=0,"Nullbestand; ","")))&amp;IF(D1503="","Warengruppe fehlt; ","")&amp;IF(B1503="","Bezeichnung fehlt; ","")&amp;IF(COUNTIFS($A$2:$A$5001,$A1503,$C$2:$C$5001,C1503)&gt;1,"Artikel doppelt im selben Lager; ",""))</f>
        <v/>
      </c>
      <c r="P1503" s="47" t="n">
        <f aca="false">IF(OR($A1503="",D1503=""),0,IF(COUNTIF($D$2:D1503,D1503)=1,SUMIF($D$2:$D$5001,D1503,$H$2:$H$5001)+ROW()/10000000,0))</f>
        <v>0</v>
      </c>
      <c r="Q1503" s="47" t="n">
        <f aca="false">IF(OR($A1503="",C1503=""),0,IF(COUNTIF($C$2:C1503,C1503)=1,SUMIF($C$2:$C$5001,C1503,$H$2:$H$5001)+ROW()/10000000,0))</f>
        <v>0</v>
      </c>
    </row>
    <row r="1504" customFormat="false" ht="15" hidden="false" customHeight="false" outlineLevel="0" collapsed="false">
      <c r="A1504" s="43"/>
      <c r="B1504" s="44"/>
      <c r="C1504" s="44"/>
      <c r="D1504" s="44"/>
      <c r="E1504" s="44"/>
      <c r="F1504" s="44"/>
      <c r="G1504" s="44"/>
      <c r="H1504" s="46" t="str">
        <f aca="false">IF($A1504="","",IF(OR(NOT(ISNUMBER(E1504)),NOT(ISNUMBER(F1504))),"",MAX(0,E1504)*F1504))</f>
        <v/>
      </c>
      <c r="I1504" s="46" t="str">
        <f aca="false">IF($A1504="","",SUMIF($A$2:$A$5001,$A1504,$H$2:$H$5001))</f>
        <v/>
      </c>
      <c r="J1504" s="47" t="n">
        <f aca="false">IF($A1504="",0,IF(COUNTIF($A$2:A1504,$A1504)=1,1,0))</f>
        <v>0</v>
      </c>
      <c r="K1504" s="47" t="n">
        <f aca="false">IF(J1504=1,N(I1504)+ROW()/10000000,0)</f>
        <v>0</v>
      </c>
      <c r="L1504" s="47" t="str">
        <f aca="false">IF(AND(J1504=1,N(I1504)&gt;0),SUMIF($K$2:$K$5001,"&gt;="&amp;K1504,$I$2:$I$5001)/MAX(1,SUM($H$2:$H$5001)),"")</f>
        <v/>
      </c>
      <c r="M1504" s="47" t="str">
        <f aca="false">IF($A1504="","",INDEX($L$2:$L$5001,MATCH($A1504,$A$2:$A$5001,0)))</f>
        <v/>
      </c>
      <c r="N1504" s="48" t="str">
        <f aca="false">IF($A1504="","",IF(N(M1504)=0,"–",IF(M1504&lt;=Start!$D$20,"A",IF(M1504&lt;=Start!$D$21,"B","C"))))</f>
        <v/>
      </c>
      <c r="O1504" s="48" t="str">
        <f aca="false">IF($A1504="","",IF(NOT(ISNUMBER(F1504)),"Wert fehlt; ",IF(F1504&lt;=0,"Wert ist 0; ",""))&amp;IF(NOT(ISNUMBER(E1504)),"Bestand fehlt; ",IF(E1504&lt;0,"Bestand negativ; ",IF(E1504=0,"Nullbestand; ","")))&amp;IF(D1504="","Warengruppe fehlt; ","")&amp;IF(B1504="","Bezeichnung fehlt; ","")&amp;IF(COUNTIFS($A$2:$A$5001,$A1504,$C$2:$C$5001,C1504)&gt;1,"Artikel doppelt im selben Lager; ",""))</f>
        <v/>
      </c>
      <c r="P1504" s="47" t="n">
        <f aca="false">IF(OR($A1504="",D1504=""),0,IF(COUNTIF($D$2:D1504,D1504)=1,SUMIF($D$2:$D$5001,D1504,$H$2:$H$5001)+ROW()/10000000,0))</f>
        <v>0</v>
      </c>
      <c r="Q1504" s="47" t="n">
        <f aca="false">IF(OR($A1504="",C1504=""),0,IF(COUNTIF($C$2:C1504,C1504)=1,SUMIF($C$2:$C$5001,C1504,$H$2:$H$5001)+ROW()/10000000,0))</f>
        <v>0</v>
      </c>
    </row>
    <row r="1505" customFormat="false" ht="15" hidden="false" customHeight="false" outlineLevel="0" collapsed="false">
      <c r="A1505" s="43"/>
      <c r="B1505" s="44"/>
      <c r="C1505" s="44"/>
      <c r="D1505" s="44"/>
      <c r="E1505" s="44"/>
      <c r="F1505" s="44"/>
      <c r="G1505" s="44"/>
      <c r="H1505" s="46" t="str">
        <f aca="false">IF($A1505="","",IF(OR(NOT(ISNUMBER(E1505)),NOT(ISNUMBER(F1505))),"",MAX(0,E1505)*F1505))</f>
        <v/>
      </c>
      <c r="I1505" s="46" t="str">
        <f aca="false">IF($A1505="","",SUMIF($A$2:$A$5001,$A1505,$H$2:$H$5001))</f>
        <v/>
      </c>
      <c r="J1505" s="47" t="n">
        <f aca="false">IF($A1505="",0,IF(COUNTIF($A$2:A1505,$A1505)=1,1,0))</f>
        <v>0</v>
      </c>
      <c r="K1505" s="47" t="n">
        <f aca="false">IF(J1505=1,N(I1505)+ROW()/10000000,0)</f>
        <v>0</v>
      </c>
      <c r="L1505" s="47" t="str">
        <f aca="false">IF(AND(J1505=1,N(I1505)&gt;0),SUMIF($K$2:$K$5001,"&gt;="&amp;K1505,$I$2:$I$5001)/MAX(1,SUM($H$2:$H$5001)),"")</f>
        <v/>
      </c>
      <c r="M1505" s="47" t="str">
        <f aca="false">IF($A1505="","",INDEX($L$2:$L$5001,MATCH($A1505,$A$2:$A$5001,0)))</f>
        <v/>
      </c>
      <c r="N1505" s="48" t="str">
        <f aca="false">IF($A1505="","",IF(N(M1505)=0,"–",IF(M1505&lt;=Start!$D$20,"A",IF(M1505&lt;=Start!$D$21,"B","C"))))</f>
        <v/>
      </c>
      <c r="O1505" s="48" t="str">
        <f aca="false">IF($A1505="","",IF(NOT(ISNUMBER(F1505)),"Wert fehlt; ",IF(F1505&lt;=0,"Wert ist 0; ",""))&amp;IF(NOT(ISNUMBER(E1505)),"Bestand fehlt; ",IF(E1505&lt;0,"Bestand negativ; ",IF(E1505=0,"Nullbestand; ","")))&amp;IF(D1505="","Warengruppe fehlt; ","")&amp;IF(B1505="","Bezeichnung fehlt; ","")&amp;IF(COUNTIFS($A$2:$A$5001,$A1505,$C$2:$C$5001,C1505)&gt;1,"Artikel doppelt im selben Lager; ",""))</f>
        <v/>
      </c>
      <c r="P1505" s="47" t="n">
        <f aca="false">IF(OR($A1505="",D1505=""),0,IF(COUNTIF($D$2:D1505,D1505)=1,SUMIF($D$2:$D$5001,D1505,$H$2:$H$5001)+ROW()/10000000,0))</f>
        <v>0</v>
      </c>
      <c r="Q1505" s="47" t="n">
        <f aca="false">IF(OR($A1505="",C1505=""),0,IF(COUNTIF($C$2:C1505,C1505)=1,SUMIF($C$2:$C$5001,C1505,$H$2:$H$5001)+ROW()/10000000,0))</f>
        <v>0</v>
      </c>
    </row>
    <row r="1506" customFormat="false" ht="15" hidden="false" customHeight="false" outlineLevel="0" collapsed="false">
      <c r="A1506" s="43"/>
      <c r="B1506" s="44"/>
      <c r="C1506" s="44"/>
      <c r="D1506" s="44"/>
      <c r="E1506" s="44"/>
      <c r="F1506" s="44"/>
      <c r="G1506" s="44"/>
      <c r="H1506" s="46" t="str">
        <f aca="false">IF($A1506="","",IF(OR(NOT(ISNUMBER(E1506)),NOT(ISNUMBER(F1506))),"",MAX(0,E1506)*F1506))</f>
        <v/>
      </c>
      <c r="I1506" s="46" t="str">
        <f aca="false">IF($A1506="","",SUMIF($A$2:$A$5001,$A1506,$H$2:$H$5001))</f>
        <v/>
      </c>
      <c r="J1506" s="47" t="n">
        <f aca="false">IF($A1506="",0,IF(COUNTIF($A$2:A1506,$A1506)=1,1,0))</f>
        <v>0</v>
      </c>
      <c r="K1506" s="47" t="n">
        <f aca="false">IF(J1506=1,N(I1506)+ROW()/10000000,0)</f>
        <v>0</v>
      </c>
      <c r="L1506" s="47" t="str">
        <f aca="false">IF(AND(J1506=1,N(I1506)&gt;0),SUMIF($K$2:$K$5001,"&gt;="&amp;K1506,$I$2:$I$5001)/MAX(1,SUM($H$2:$H$5001)),"")</f>
        <v/>
      </c>
      <c r="M1506" s="47" t="str">
        <f aca="false">IF($A1506="","",INDEX($L$2:$L$5001,MATCH($A1506,$A$2:$A$5001,0)))</f>
        <v/>
      </c>
      <c r="N1506" s="48" t="str">
        <f aca="false">IF($A1506="","",IF(N(M1506)=0,"–",IF(M1506&lt;=Start!$D$20,"A",IF(M1506&lt;=Start!$D$21,"B","C"))))</f>
        <v/>
      </c>
      <c r="O1506" s="48" t="str">
        <f aca="false">IF($A1506="","",IF(NOT(ISNUMBER(F1506)),"Wert fehlt; ",IF(F1506&lt;=0,"Wert ist 0; ",""))&amp;IF(NOT(ISNUMBER(E1506)),"Bestand fehlt; ",IF(E1506&lt;0,"Bestand negativ; ",IF(E1506=0,"Nullbestand; ","")))&amp;IF(D1506="","Warengruppe fehlt; ","")&amp;IF(B1506="","Bezeichnung fehlt; ","")&amp;IF(COUNTIFS($A$2:$A$5001,$A1506,$C$2:$C$5001,C1506)&gt;1,"Artikel doppelt im selben Lager; ",""))</f>
        <v/>
      </c>
      <c r="P1506" s="47" t="n">
        <f aca="false">IF(OR($A1506="",D1506=""),0,IF(COUNTIF($D$2:D1506,D1506)=1,SUMIF($D$2:$D$5001,D1506,$H$2:$H$5001)+ROW()/10000000,0))</f>
        <v>0</v>
      </c>
      <c r="Q1506" s="47" t="n">
        <f aca="false">IF(OR($A1506="",C1506=""),0,IF(COUNTIF($C$2:C1506,C1506)=1,SUMIF($C$2:$C$5001,C1506,$H$2:$H$5001)+ROW()/10000000,0))</f>
        <v>0</v>
      </c>
    </row>
    <row r="1507" customFormat="false" ht="15" hidden="false" customHeight="false" outlineLevel="0" collapsed="false">
      <c r="A1507" s="43"/>
      <c r="B1507" s="44"/>
      <c r="C1507" s="44"/>
      <c r="D1507" s="44"/>
      <c r="E1507" s="44"/>
      <c r="F1507" s="44"/>
      <c r="G1507" s="44"/>
      <c r="H1507" s="46" t="str">
        <f aca="false">IF($A1507="","",IF(OR(NOT(ISNUMBER(E1507)),NOT(ISNUMBER(F1507))),"",MAX(0,E1507)*F1507))</f>
        <v/>
      </c>
      <c r="I1507" s="46" t="str">
        <f aca="false">IF($A1507="","",SUMIF($A$2:$A$5001,$A1507,$H$2:$H$5001))</f>
        <v/>
      </c>
      <c r="J1507" s="47" t="n">
        <f aca="false">IF($A1507="",0,IF(COUNTIF($A$2:A1507,$A1507)=1,1,0))</f>
        <v>0</v>
      </c>
      <c r="K1507" s="47" t="n">
        <f aca="false">IF(J1507=1,N(I1507)+ROW()/10000000,0)</f>
        <v>0</v>
      </c>
      <c r="L1507" s="47" t="str">
        <f aca="false">IF(AND(J1507=1,N(I1507)&gt;0),SUMIF($K$2:$K$5001,"&gt;="&amp;K1507,$I$2:$I$5001)/MAX(1,SUM($H$2:$H$5001)),"")</f>
        <v/>
      </c>
      <c r="M1507" s="47" t="str">
        <f aca="false">IF($A1507="","",INDEX($L$2:$L$5001,MATCH($A1507,$A$2:$A$5001,0)))</f>
        <v/>
      </c>
      <c r="N1507" s="48" t="str">
        <f aca="false">IF($A1507="","",IF(N(M1507)=0,"–",IF(M1507&lt;=Start!$D$20,"A",IF(M1507&lt;=Start!$D$21,"B","C"))))</f>
        <v/>
      </c>
      <c r="O1507" s="48" t="str">
        <f aca="false">IF($A1507="","",IF(NOT(ISNUMBER(F1507)),"Wert fehlt; ",IF(F1507&lt;=0,"Wert ist 0; ",""))&amp;IF(NOT(ISNUMBER(E1507)),"Bestand fehlt; ",IF(E1507&lt;0,"Bestand negativ; ",IF(E1507=0,"Nullbestand; ","")))&amp;IF(D1507="","Warengruppe fehlt; ","")&amp;IF(B1507="","Bezeichnung fehlt; ","")&amp;IF(COUNTIFS($A$2:$A$5001,$A1507,$C$2:$C$5001,C1507)&gt;1,"Artikel doppelt im selben Lager; ",""))</f>
        <v/>
      </c>
      <c r="P1507" s="47" t="n">
        <f aca="false">IF(OR($A1507="",D1507=""),0,IF(COUNTIF($D$2:D1507,D1507)=1,SUMIF($D$2:$D$5001,D1507,$H$2:$H$5001)+ROW()/10000000,0))</f>
        <v>0</v>
      </c>
      <c r="Q1507" s="47" t="n">
        <f aca="false">IF(OR($A1507="",C1507=""),0,IF(COUNTIF($C$2:C1507,C1507)=1,SUMIF($C$2:$C$5001,C1507,$H$2:$H$5001)+ROW()/10000000,0))</f>
        <v>0</v>
      </c>
    </row>
    <row r="1508" customFormat="false" ht="15" hidden="false" customHeight="false" outlineLevel="0" collapsed="false">
      <c r="A1508" s="43"/>
      <c r="B1508" s="44"/>
      <c r="C1508" s="44"/>
      <c r="D1508" s="44"/>
      <c r="E1508" s="44"/>
      <c r="F1508" s="44"/>
      <c r="G1508" s="44"/>
      <c r="H1508" s="46" t="str">
        <f aca="false">IF($A1508="","",IF(OR(NOT(ISNUMBER(E1508)),NOT(ISNUMBER(F1508))),"",MAX(0,E1508)*F1508))</f>
        <v/>
      </c>
      <c r="I1508" s="46" t="str">
        <f aca="false">IF($A1508="","",SUMIF($A$2:$A$5001,$A1508,$H$2:$H$5001))</f>
        <v/>
      </c>
      <c r="J1508" s="47" t="n">
        <f aca="false">IF($A1508="",0,IF(COUNTIF($A$2:A1508,$A1508)=1,1,0))</f>
        <v>0</v>
      </c>
      <c r="K1508" s="47" t="n">
        <f aca="false">IF(J1508=1,N(I1508)+ROW()/10000000,0)</f>
        <v>0</v>
      </c>
      <c r="L1508" s="47" t="str">
        <f aca="false">IF(AND(J1508=1,N(I1508)&gt;0),SUMIF($K$2:$K$5001,"&gt;="&amp;K1508,$I$2:$I$5001)/MAX(1,SUM($H$2:$H$5001)),"")</f>
        <v/>
      </c>
      <c r="M1508" s="47" t="str">
        <f aca="false">IF($A1508="","",INDEX($L$2:$L$5001,MATCH($A1508,$A$2:$A$5001,0)))</f>
        <v/>
      </c>
      <c r="N1508" s="48" t="str">
        <f aca="false">IF($A1508="","",IF(N(M1508)=0,"–",IF(M1508&lt;=Start!$D$20,"A",IF(M1508&lt;=Start!$D$21,"B","C"))))</f>
        <v/>
      </c>
      <c r="O1508" s="48" t="str">
        <f aca="false">IF($A1508="","",IF(NOT(ISNUMBER(F1508)),"Wert fehlt; ",IF(F1508&lt;=0,"Wert ist 0; ",""))&amp;IF(NOT(ISNUMBER(E1508)),"Bestand fehlt; ",IF(E1508&lt;0,"Bestand negativ; ",IF(E1508=0,"Nullbestand; ","")))&amp;IF(D1508="","Warengruppe fehlt; ","")&amp;IF(B1508="","Bezeichnung fehlt; ","")&amp;IF(COUNTIFS($A$2:$A$5001,$A1508,$C$2:$C$5001,C1508)&gt;1,"Artikel doppelt im selben Lager; ",""))</f>
        <v/>
      </c>
      <c r="P1508" s="47" t="n">
        <f aca="false">IF(OR($A1508="",D1508=""),0,IF(COUNTIF($D$2:D1508,D1508)=1,SUMIF($D$2:$D$5001,D1508,$H$2:$H$5001)+ROW()/10000000,0))</f>
        <v>0</v>
      </c>
      <c r="Q1508" s="47" t="n">
        <f aca="false">IF(OR($A1508="",C1508=""),0,IF(COUNTIF($C$2:C1508,C1508)=1,SUMIF($C$2:$C$5001,C1508,$H$2:$H$5001)+ROW()/10000000,0))</f>
        <v>0</v>
      </c>
    </row>
    <row r="1509" customFormat="false" ht="15" hidden="false" customHeight="false" outlineLevel="0" collapsed="false">
      <c r="A1509" s="43"/>
      <c r="B1509" s="44"/>
      <c r="C1509" s="44"/>
      <c r="D1509" s="44"/>
      <c r="E1509" s="44"/>
      <c r="F1509" s="44"/>
      <c r="G1509" s="44"/>
      <c r="H1509" s="46" t="str">
        <f aca="false">IF($A1509="","",IF(OR(NOT(ISNUMBER(E1509)),NOT(ISNUMBER(F1509))),"",MAX(0,E1509)*F1509))</f>
        <v/>
      </c>
      <c r="I1509" s="46" t="str">
        <f aca="false">IF($A1509="","",SUMIF($A$2:$A$5001,$A1509,$H$2:$H$5001))</f>
        <v/>
      </c>
      <c r="J1509" s="47" t="n">
        <f aca="false">IF($A1509="",0,IF(COUNTIF($A$2:A1509,$A1509)=1,1,0))</f>
        <v>0</v>
      </c>
      <c r="K1509" s="47" t="n">
        <f aca="false">IF(J1509=1,N(I1509)+ROW()/10000000,0)</f>
        <v>0</v>
      </c>
      <c r="L1509" s="47" t="str">
        <f aca="false">IF(AND(J1509=1,N(I1509)&gt;0),SUMIF($K$2:$K$5001,"&gt;="&amp;K1509,$I$2:$I$5001)/MAX(1,SUM($H$2:$H$5001)),"")</f>
        <v/>
      </c>
      <c r="M1509" s="47" t="str">
        <f aca="false">IF($A1509="","",INDEX($L$2:$L$5001,MATCH($A1509,$A$2:$A$5001,0)))</f>
        <v/>
      </c>
      <c r="N1509" s="48" t="str">
        <f aca="false">IF($A1509="","",IF(N(M1509)=0,"–",IF(M1509&lt;=Start!$D$20,"A",IF(M1509&lt;=Start!$D$21,"B","C"))))</f>
        <v/>
      </c>
      <c r="O1509" s="48" t="str">
        <f aca="false">IF($A1509="","",IF(NOT(ISNUMBER(F1509)),"Wert fehlt; ",IF(F1509&lt;=0,"Wert ist 0; ",""))&amp;IF(NOT(ISNUMBER(E1509)),"Bestand fehlt; ",IF(E1509&lt;0,"Bestand negativ; ",IF(E1509=0,"Nullbestand; ","")))&amp;IF(D1509="","Warengruppe fehlt; ","")&amp;IF(B1509="","Bezeichnung fehlt; ","")&amp;IF(COUNTIFS($A$2:$A$5001,$A1509,$C$2:$C$5001,C1509)&gt;1,"Artikel doppelt im selben Lager; ",""))</f>
        <v/>
      </c>
      <c r="P1509" s="47" t="n">
        <f aca="false">IF(OR($A1509="",D1509=""),0,IF(COUNTIF($D$2:D1509,D1509)=1,SUMIF($D$2:$D$5001,D1509,$H$2:$H$5001)+ROW()/10000000,0))</f>
        <v>0</v>
      </c>
      <c r="Q1509" s="47" t="n">
        <f aca="false">IF(OR($A1509="",C1509=""),0,IF(COUNTIF($C$2:C1509,C1509)=1,SUMIF($C$2:$C$5001,C1509,$H$2:$H$5001)+ROW()/10000000,0))</f>
        <v>0</v>
      </c>
    </row>
    <row r="1510" customFormat="false" ht="15" hidden="false" customHeight="false" outlineLevel="0" collapsed="false">
      <c r="A1510" s="43"/>
      <c r="B1510" s="44"/>
      <c r="C1510" s="44"/>
      <c r="D1510" s="44"/>
      <c r="E1510" s="44"/>
      <c r="F1510" s="44"/>
      <c r="G1510" s="44"/>
      <c r="H1510" s="46" t="str">
        <f aca="false">IF($A1510="","",IF(OR(NOT(ISNUMBER(E1510)),NOT(ISNUMBER(F1510))),"",MAX(0,E1510)*F1510))</f>
        <v/>
      </c>
      <c r="I1510" s="46" t="str">
        <f aca="false">IF($A1510="","",SUMIF($A$2:$A$5001,$A1510,$H$2:$H$5001))</f>
        <v/>
      </c>
      <c r="J1510" s="47" t="n">
        <f aca="false">IF($A1510="",0,IF(COUNTIF($A$2:A1510,$A1510)=1,1,0))</f>
        <v>0</v>
      </c>
      <c r="K1510" s="47" t="n">
        <f aca="false">IF(J1510=1,N(I1510)+ROW()/10000000,0)</f>
        <v>0</v>
      </c>
      <c r="L1510" s="47" t="str">
        <f aca="false">IF(AND(J1510=1,N(I1510)&gt;0),SUMIF($K$2:$K$5001,"&gt;="&amp;K1510,$I$2:$I$5001)/MAX(1,SUM($H$2:$H$5001)),"")</f>
        <v/>
      </c>
      <c r="M1510" s="47" t="str">
        <f aca="false">IF($A1510="","",INDEX($L$2:$L$5001,MATCH($A1510,$A$2:$A$5001,0)))</f>
        <v/>
      </c>
      <c r="N1510" s="48" t="str">
        <f aca="false">IF($A1510="","",IF(N(M1510)=0,"–",IF(M1510&lt;=Start!$D$20,"A",IF(M1510&lt;=Start!$D$21,"B","C"))))</f>
        <v/>
      </c>
      <c r="O1510" s="48" t="str">
        <f aca="false">IF($A1510="","",IF(NOT(ISNUMBER(F1510)),"Wert fehlt; ",IF(F1510&lt;=0,"Wert ist 0; ",""))&amp;IF(NOT(ISNUMBER(E1510)),"Bestand fehlt; ",IF(E1510&lt;0,"Bestand negativ; ",IF(E1510=0,"Nullbestand; ","")))&amp;IF(D1510="","Warengruppe fehlt; ","")&amp;IF(B1510="","Bezeichnung fehlt; ","")&amp;IF(COUNTIFS($A$2:$A$5001,$A1510,$C$2:$C$5001,C1510)&gt;1,"Artikel doppelt im selben Lager; ",""))</f>
        <v/>
      </c>
      <c r="P1510" s="47" t="n">
        <f aca="false">IF(OR($A1510="",D1510=""),0,IF(COUNTIF($D$2:D1510,D1510)=1,SUMIF($D$2:$D$5001,D1510,$H$2:$H$5001)+ROW()/10000000,0))</f>
        <v>0</v>
      </c>
      <c r="Q1510" s="47" t="n">
        <f aca="false">IF(OR($A1510="",C1510=""),0,IF(COUNTIF($C$2:C1510,C1510)=1,SUMIF($C$2:$C$5001,C1510,$H$2:$H$5001)+ROW()/10000000,0))</f>
        <v>0</v>
      </c>
    </row>
    <row r="1511" customFormat="false" ht="15" hidden="false" customHeight="false" outlineLevel="0" collapsed="false">
      <c r="A1511" s="43"/>
      <c r="B1511" s="44"/>
      <c r="C1511" s="44"/>
      <c r="D1511" s="44"/>
      <c r="E1511" s="44"/>
      <c r="F1511" s="44"/>
      <c r="G1511" s="44"/>
      <c r="H1511" s="46" t="str">
        <f aca="false">IF($A1511="","",IF(OR(NOT(ISNUMBER(E1511)),NOT(ISNUMBER(F1511))),"",MAX(0,E1511)*F1511))</f>
        <v/>
      </c>
      <c r="I1511" s="46" t="str">
        <f aca="false">IF($A1511="","",SUMIF($A$2:$A$5001,$A1511,$H$2:$H$5001))</f>
        <v/>
      </c>
      <c r="J1511" s="47" t="n">
        <f aca="false">IF($A1511="",0,IF(COUNTIF($A$2:A1511,$A1511)=1,1,0))</f>
        <v>0</v>
      </c>
      <c r="K1511" s="47" t="n">
        <f aca="false">IF(J1511=1,N(I1511)+ROW()/10000000,0)</f>
        <v>0</v>
      </c>
      <c r="L1511" s="47" t="str">
        <f aca="false">IF(AND(J1511=1,N(I1511)&gt;0),SUMIF($K$2:$K$5001,"&gt;="&amp;K1511,$I$2:$I$5001)/MAX(1,SUM($H$2:$H$5001)),"")</f>
        <v/>
      </c>
      <c r="M1511" s="47" t="str">
        <f aca="false">IF($A1511="","",INDEX($L$2:$L$5001,MATCH($A1511,$A$2:$A$5001,0)))</f>
        <v/>
      </c>
      <c r="N1511" s="48" t="str">
        <f aca="false">IF($A1511="","",IF(N(M1511)=0,"–",IF(M1511&lt;=Start!$D$20,"A",IF(M1511&lt;=Start!$D$21,"B","C"))))</f>
        <v/>
      </c>
      <c r="O1511" s="48" t="str">
        <f aca="false">IF($A1511="","",IF(NOT(ISNUMBER(F1511)),"Wert fehlt; ",IF(F1511&lt;=0,"Wert ist 0; ",""))&amp;IF(NOT(ISNUMBER(E1511)),"Bestand fehlt; ",IF(E1511&lt;0,"Bestand negativ; ",IF(E1511=0,"Nullbestand; ","")))&amp;IF(D1511="","Warengruppe fehlt; ","")&amp;IF(B1511="","Bezeichnung fehlt; ","")&amp;IF(COUNTIFS($A$2:$A$5001,$A1511,$C$2:$C$5001,C1511)&gt;1,"Artikel doppelt im selben Lager; ",""))</f>
        <v/>
      </c>
      <c r="P1511" s="47" t="n">
        <f aca="false">IF(OR($A1511="",D1511=""),0,IF(COUNTIF($D$2:D1511,D1511)=1,SUMIF($D$2:$D$5001,D1511,$H$2:$H$5001)+ROW()/10000000,0))</f>
        <v>0</v>
      </c>
      <c r="Q1511" s="47" t="n">
        <f aca="false">IF(OR($A1511="",C1511=""),0,IF(COUNTIF($C$2:C1511,C1511)=1,SUMIF($C$2:$C$5001,C1511,$H$2:$H$5001)+ROW()/10000000,0))</f>
        <v>0</v>
      </c>
    </row>
    <row r="1512" customFormat="false" ht="15" hidden="false" customHeight="false" outlineLevel="0" collapsed="false">
      <c r="A1512" s="43"/>
      <c r="B1512" s="44"/>
      <c r="C1512" s="44"/>
      <c r="D1512" s="44"/>
      <c r="E1512" s="44"/>
      <c r="F1512" s="44"/>
      <c r="G1512" s="44"/>
      <c r="H1512" s="46" t="str">
        <f aca="false">IF($A1512="","",IF(OR(NOT(ISNUMBER(E1512)),NOT(ISNUMBER(F1512))),"",MAX(0,E1512)*F1512))</f>
        <v/>
      </c>
      <c r="I1512" s="46" t="str">
        <f aca="false">IF($A1512="","",SUMIF($A$2:$A$5001,$A1512,$H$2:$H$5001))</f>
        <v/>
      </c>
      <c r="J1512" s="47" t="n">
        <f aca="false">IF($A1512="",0,IF(COUNTIF($A$2:A1512,$A1512)=1,1,0))</f>
        <v>0</v>
      </c>
      <c r="K1512" s="47" t="n">
        <f aca="false">IF(J1512=1,N(I1512)+ROW()/10000000,0)</f>
        <v>0</v>
      </c>
      <c r="L1512" s="47" t="str">
        <f aca="false">IF(AND(J1512=1,N(I1512)&gt;0),SUMIF($K$2:$K$5001,"&gt;="&amp;K1512,$I$2:$I$5001)/MAX(1,SUM($H$2:$H$5001)),"")</f>
        <v/>
      </c>
      <c r="M1512" s="47" t="str">
        <f aca="false">IF($A1512="","",INDEX($L$2:$L$5001,MATCH($A1512,$A$2:$A$5001,0)))</f>
        <v/>
      </c>
      <c r="N1512" s="48" t="str">
        <f aca="false">IF($A1512="","",IF(N(M1512)=0,"–",IF(M1512&lt;=Start!$D$20,"A",IF(M1512&lt;=Start!$D$21,"B","C"))))</f>
        <v/>
      </c>
      <c r="O1512" s="48" t="str">
        <f aca="false">IF($A1512="","",IF(NOT(ISNUMBER(F1512)),"Wert fehlt; ",IF(F1512&lt;=0,"Wert ist 0; ",""))&amp;IF(NOT(ISNUMBER(E1512)),"Bestand fehlt; ",IF(E1512&lt;0,"Bestand negativ; ",IF(E1512=0,"Nullbestand; ","")))&amp;IF(D1512="","Warengruppe fehlt; ","")&amp;IF(B1512="","Bezeichnung fehlt; ","")&amp;IF(COUNTIFS($A$2:$A$5001,$A1512,$C$2:$C$5001,C1512)&gt;1,"Artikel doppelt im selben Lager; ",""))</f>
        <v/>
      </c>
      <c r="P1512" s="47" t="n">
        <f aca="false">IF(OR($A1512="",D1512=""),0,IF(COUNTIF($D$2:D1512,D1512)=1,SUMIF($D$2:$D$5001,D1512,$H$2:$H$5001)+ROW()/10000000,0))</f>
        <v>0</v>
      </c>
      <c r="Q1512" s="47" t="n">
        <f aca="false">IF(OR($A1512="",C1512=""),0,IF(COUNTIF($C$2:C1512,C1512)=1,SUMIF($C$2:$C$5001,C1512,$H$2:$H$5001)+ROW()/10000000,0))</f>
        <v>0</v>
      </c>
    </row>
    <row r="1513" customFormat="false" ht="15" hidden="false" customHeight="false" outlineLevel="0" collapsed="false">
      <c r="A1513" s="43"/>
      <c r="B1513" s="44"/>
      <c r="C1513" s="44"/>
      <c r="D1513" s="44"/>
      <c r="E1513" s="44"/>
      <c r="F1513" s="44"/>
      <c r="G1513" s="44"/>
      <c r="H1513" s="46" t="str">
        <f aca="false">IF($A1513="","",IF(OR(NOT(ISNUMBER(E1513)),NOT(ISNUMBER(F1513))),"",MAX(0,E1513)*F1513))</f>
        <v/>
      </c>
      <c r="I1513" s="46" t="str">
        <f aca="false">IF($A1513="","",SUMIF($A$2:$A$5001,$A1513,$H$2:$H$5001))</f>
        <v/>
      </c>
      <c r="J1513" s="47" t="n">
        <f aca="false">IF($A1513="",0,IF(COUNTIF($A$2:A1513,$A1513)=1,1,0))</f>
        <v>0</v>
      </c>
      <c r="K1513" s="47" t="n">
        <f aca="false">IF(J1513=1,N(I1513)+ROW()/10000000,0)</f>
        <v>0</v>
      </c>
      <c r="L1513" s="47" t="str">
        <f aca="false">IF(AND(J1513=1,N(I1513)&gt;0),SUMIF($K$2:$K$5001,"&gt;="&amp;K1513,$I$2:$I$5001)/MAX(1,SUM($H$2:$H$5001)),"")</f>
        <v/>
      </c>
      <c r="M1513" s="47" t="str">
        <f aca="false">IF($A1513="","",INDEX($L$2:$L$5001,MATCH($A1513,$A$2:$A$5001,0)))</f>
        <v/>
      </c>
      <c r="N1513" s="48" t="str">
        <f aca="false">IF($A1513="","",IF(N(M1513)=0,"–",IF(M1513&lt;=Start!$D$20,"A",IF(M1513&lt;=Start!$D$21,"B","C"))))</f>
        <v/>
      </c>
      <c r="O1513" s="48" t="str">
        <f aca="false">IF($A1513="","",IF(NOT(ISNUMBER(F1513)),"Wert fehlt; ",IF(F1513&lt;=0,"Wert ist 0; ",""))&amp;IF(NOT(ISNUMBER(E1513)),"Bestand fehlt; ",IF(E1513&lt;0,"Bestand negativ; ",IF(E1513=0,"Nullbestand; ","")))&amp;IF(D1513="","Warengruppe fehlt; ","")&amp;IF(B1513="","Bezeichnung fehlt; ","")&amp;IF(COUNTIFS($A$2:$A$5001,$A1513,$C$2:$C$5001,C1513)&gt;1,"Artikel doppelt im selben Lager; ",""))</f>
        <v/>
      </c>
      <c r="P1513" s="47" t="n">
        <f aca="false">IF(OR($A1513="",D1513=""),0,IF(COUNTIF($D$2:D1513,D1513)=1,SUMIF($D$2:$D$5001,D1513,$H$2:$H$5001)+ROW()/10000000,0))</f>
        <v>0</v>
      </c>
      <c r="Q1513" s="47" t="n">
        <f aca="false">IF(OR($A1513="",C1513=""),0,IF(COUNTIF($C$2:C1513,C1513)=1,SUMIF($C$2:$C$5001,C1513,$H$2:$H$5001)+ROW()/10000000,0))</f>
        <v>0</v>
      </c>
    </row>
    <row r="1514" customFormat="false" ht="15" hidden="false" customHeight="false" outlineLevel="0" collapsed="false">
      <c r="A1514" s="43"/>
      <c r="B1514" s="44"/>
      <c r="C1514" s="44"/>
      <c r="D1514" s="44"/>
      <c r="E1514" s="44"/>
      <c r="F1514" s="44"/>
      <c r="G1514" s="44"/>
      <c r="H1514" s="46" t="str">
        <f aca="false">IF($A1514="","",IF(OR(NOT(ISNUMBER(E1514)),NOT(ISNUMBER(F1514))),"",MAX(0,E1514)*F1514))</f>
        <v/>
      </c>
      <c r="I1514" s="46" t="str">
        <f aca="false">IF($A1514="","",SUMIF($A$2:$A$5001,$A1514,$H$2:$H$5001))</f>
        <v/>
      </c>
      <c r="J1514" s="47" t="n">
        <f aca="false">IF($A1514="",0,IF(COUNTIF($A$2:A1514,$A1514)=1,1,0))</f>
        <v>0</v>
      </c>
      <c r="K1514" s="47" t="n">
        <f aca="false">IF(J1514=1,N(I1514)+ROW()/10000000,0)</f>
        <v>0</v>
      </c>
      <c r="L1514" s="47" t="str">
        <f aca="false">IF(AND(J1514=1,N(I1514)&gt;0),SUMIF($K$2:$K$5001,"&gt;="&amp;K1514,$I$2:$I$5001)/MAX(1,SUM($H$2:$H$5001)),"")</f>
        <v/>
      </c>
      <c r="M1514" s="47" t="str">
        <f aca="false">IF($A1514="","",INDEX($L$2:$L$5001,MATCH($A1514,$A$2:$A$5001,0)))</f>
        <v/>
      </c>
      <c r="N1514" s="48" t="str">
        <f aca="false">IF($A1514="","",IF(N(M1514)=0,"–",IF(M1514&lt;=Start!$D$20,"A",IF(M1514&lt;=Start!$D$21,"B","C"))))</f>
        <v/>
      </c>
      <c r="O1514" s="48" t="str">
        <f aca="false">IF($A1514="","",IF(NOT(ISNUMBER(F1514)),"Wert fehlt; ",IF(F1514&lt;=0,"Wert ist 0; ",""))&amp;IF(NOT(ISNUMBER(E1514)),"Bestand fehlt; ",IF(E1514&lt;0,"Bestand negativ; ",IF(E1514=0,"Nullbestand; ","")))&amp;IF(D1514="","Warengruppe fehlt; ","")&amp;IF(B1514="","Bezeichnung fehlt; ","")&amp;IF(COUNTIFS($A$2:$A$5001,$A1514,$C$2:$C$5001,C1514)&gt;1,"Artikel doppelt im selben Lager; ",""))</f>
        <v/>
      </c>
      <c r="P1514" s="47" t="n">
        <f aca="false">IF(OR($A1514="",D1514=""),0,IF(COUNTIF($D$2:D1514,D1514)=1,SUMIF($D$2:$D$5001,D1514,$H$2:$H$5001)+ROW()/10000000,0))</f>
        <v>0</v>
      </c>
      <c r="Q1514" s="47" t="n">
        <f aca="false">IF(OR($A1514="",C1514=""),0,IF(COUNTIF($C$2:C1514,C1514)=1,SUMIF($C$2:$C$5001,C1514,$H$2:$H$5001)+ROW()/10000000,0))</f>
        <v>0</v>
      </c>
    </row>
    <row r="1515" customFormat="false" ht="15" hidden="false" customHeight="false" outlineLevel="0" collapsed="false">
      <c r="A1515" s="43"/>
      <c r="B1515" s="44"/>
      <c r="C1515" s="44"/>
      <c r="D1515" s="44"/>
      <c r="E1515" s="44"/>
      <c r="F1515" s="44"/>
      <c r="G1515" s="44"/>
      <c r="H1515" s="46" t="str">
        <f aca="false">IF($A1515="","",IF(OR(NOT(ISNUMBER(E1515)),NOT(ISNUMBER(F1515))),"",MAX(0,E1515)*F1515))</f>
        <v/>
      </c>
      <c r="I1515" s="46" t="str">
        <f aca="false">IF($A1515="","",SUMIF($A$2:$A$5001,$A1515,$H$2:$H$5001))</f>
        <v/>
      </c>
      <c r="J1515" s="47" t="n">
        <f aca="false">IF($A1515="",0,IF(COUNTIF($A$2:A1515,$A1515)=1,1,0))</f>
        <v>0</v>
      </c>
      <c r="K1515" s="47" t="n">
        <f aca="false">IF(J1515=1,N(I1515)+ROW()/10000000,0)</f>
        <v>0</v>
      </c>
      <c r="L1515" s="47" t="str">
        <f aca="false">IF(AND(J1515=1,N(I1515)&gt;0),SUMIF($K$2:$K$5001,"&gt;="&amp;K1515,$I$2:$I$5001)/MAX(1,SUM($H$2:$H$5001)),"")</f>
        <v/>
      </c>
      <c r="M1515" s="47" t="str">
        <f aca="false">IF($A1515="","",INDEX($L$2:$L$5001,MATCH($A1515,$A$2:$A$5001,0)))</f>
        <v/>
      </c>
      <c r="N1515" s="48" t="str">
        <f aca="false">IF($A1515="","",IF(N(M1515)=0,"–",IF(M1515&lt;=Start!$D$20,"A",IF(M1515&lt;=Start!$D$21,"B","C"))))</f>
        <v/>
      </c>
      <c r="O1515" s="48" t="str">
        <f aca="false">IF($A1515="","",IF(NOT(ISNUMBER(F1515)),"Wert fehlt; ",IF(F1515&lt;=0,"Wert ist 0; ",""))&amp;IF(NOT(ISNUMBER(E1515)),"Bestand fehlt; ",IF(E1515&lt;0,"Bestand negativ; ",IF(E1515=0,"Nullbestand; ","")))&amp;IF(D1515="","Warengruppe fehlt; ","")&amp;IF(B1515="","Bezeichnung fehlt; ","")&amp;IF(COUNTIFS($A$2:$A$5001,$A1515,$C$2:$C$5001,C1515)&gt;1,"Artikel doppelt im selben Lager; ",""))</f>
        <v/>
      </c>
      <c r="P1515" s="47" t="n">
        <f aca="false">IF(OR($A1515="",D1515=""),0,IF(COUNTIF($D$2:D1515,D1515)=1,SUMIF($D$2:$D$5001,D1515,$H$2:$H$5001)+ROW()/10000000,0))</f>
        <v>0</v>
      </c>
      <c r="Q1515" s="47" t="n">
        <f aca="false">IF(OR($A1515="",C1515=""),0,IF(COUNTIF($C$2:C1515,C1515)=1,SUMIF($C$2:$C$5001,C1515,$H$2:$H$5001)+ROW()/10000000,0))</f>
        <v>0</v>
      </c>
    </row>
    <row r="1516" customFormat="false" ht="15" hidden="false" customHeight="false" outlineLevel="0" collapsed="false">
      <c r="A1516" s="43"/>
      <c r="B1516" s="44"/>
      <c r="C1516" s="44"/>
      <c r="D1516" s="44"/>
      <c r="E1516" s="44"/>
      <c r="F1516" s="44"/>
      <c r="G1516" s="44"/>
      <c r="H1516" s="46" t="str">
        <f aca="false">IF($A1516="","",IF(OR(NOT(ISNUMBER(E1516)),NOT(ISNUMBER(F1516))),"",MAX(0,E1516)*F1516))</f>
        <v/>
      </c>
      <c r="I1516" s="46" t="str">
        <f aca="false">IF($A1516="","",SUMIF($A$2:$A$5001,$A1516,$H$2:$H$5001))</f>
        <v/>
      </c>
      <c r="J1516" s="47" t="n">
        <f aca="false">IF($A1516="",0,IF(COUNTIF($A$2:A1516,$A1516)=1,1,0))</f>
        <v>0</v>
      </c>
      <c r="K1516" s="47" t="n">
        <f aca="false">IF(J1516=1,N(I1516)+ROW()/10000000,0)</f>
        <v>0</v>
      </c>
      <c r="L1516" s="47" t="str">
        <f aca="false">IF(AND(J1516=1,N(I1516)&gt;0),SUMIF($K$2:$K$5001,"&gt;="&amp;K1516,$I$2:$I$5001)/MAX(1,SUM($H$2:$H$5001)),"")</f>
        <v/>
      </c>
      <c r="M1516" s="47" t="str">
        <f aca="false">IF($A1516="","",INDEX($L$2:$L$5001,MATCH($A1516,$A$2:$A$5001,0)))</f>
        <v/>
      </c>
      <c r="N1516" s="48" t="str">
        <f aca="false">IF($A1516="","",IF(N(M1516)=0,"–",IF(M1516&lt;=Start!$D$20,"A",IF(M1516&lt;=Start!$D$21,"B","C"))))</f>
        <v/>
      </c>
      <c r="O1516" s="48" t="str">
        <f aca="false">IF($A1516="","",IF(NOT(ISNUMBER(F1516)),"Wert fehlt; ",IF(F1516&lt;=0,"Wert ist 0; ",""))&amp;IF(NOT(ISNUMBER(E1516)),"Bestand fehlt; ",IF(E1516&lt;0,"Bestand negativ; ",IF(E1516=0,"Nullbestand; ","")))&amp;IF(D1516="","Warengruppe fehlt; ","")&amp;IF(B1516="","Bezeichnung fehlt; ","")&amp;IF(COUNTIFS($A$2:$A$5001,$A1516,$C$2:$C$5001,C1516)&gt;1,"Artikel doppelt im selben Lager; ",""))</f>
        <v/>
      </c>
      <c r="P1516" s="47" t="n">
        <f aca="false">IF(OR($A1516="",D1516=""),0,IF(COUNTIF($D$2:D1516,D1516)=1,SUMIF($D$2:$D$5001,D1516,$H$2:$H$5001)+ROW()/10000000,0))</f>
        <v>0</v>
      </c>
      <c r="Q1516" s="47" t="n">
        <f aca="false">IF(OR($A1516="",C1516=""),0,IF(COUNTIF($C$2:C1516,C1516)=1,SUMIF($C$2:$C$5001,C1516,$H$2:$H$5001)+ROW()/10000000,0))</f>
        <v>0</v>
      </c>
    </row>
    <row r="1517" customFormat="false" ht="15" hidden="false" customHeight="false" outlineLevel="0" collapsed="false">
      <c r="A1517" s="43"/>
      <c r="B1517" s="44"/>
      <c r="C1517" s="44"/>
      <c r="D1517" s="44"/>
      <c r="E1517" s="44"/>
      <c r="F1517" s="44"/>
      <c r="G1517" s="44"/>
      <c r="H1517" s="46" t="str">
        <f aca="false">IF($A1517="","",IF(OR(NOT(ISNUMBER(E1517)),NOT(ISNUMBER(F1517))),"",MAX(0,E1517)*F1517))</f>
        <v/>
      </c>
      <c r="I1517" s="46" t="str">
        <f aca="false">IF($A1517="","",SUMIF($A$2:$A$5001,$A1517,$H$2:$H$5001))</f>
        <v/>
      </c>
      <c r="J1517" s="47" t="n">
        <f aca="false">IF($A1517="",0,IF(COUNTIF($A$2:A1517,$A1517)=1,1,0))</f>
        <v>0</v>
      </c>
      <c r="K1517" s="47" t="n">
        <f aca="false">IF(J1517=1,N(I1517)+ROW()/10000000,0)</f>
        <v>0</v>
      </c>
      <c r="L1517" s="47" t="str">
        <f aca="false">IF(AND(J1517=1,N(I1517)&gt;0),SUMIF($K$2:$K$5001,"&gt;="&amp;K1517,$I$2:$I$5001)/MAX(1,SUM($H$2:$H$5001)),"")</f>
        <v/>
      </c>
      <c r="M1517" s="47" t="str">
        <f aca="false">IF($A1517="","",INDEX($L$2:$L$5001,MATCH($A1517,$A$2:$A$5001,0)))</f>
        <v/>
      </c>
      <c r="N1517" s="48" t="str">
        <f aca="false">IF($A1517="","",IF(N(M1517)=0,"–",IF(M1517&lt;=Start!$D$20,"A",IF(M1517&lt;=Start!$D$21,"B","C"))))</f>
        <v/>
      </c>
      <c r="O1517" s="48" t="str">
        <f aca="false">IF($A1517="","",IF(NOT(ISNUMBER(F1517)),"Wert fehlt; ",IF(F1517&lt;=0,"Wert ist 0; ",""))&amp;IF(NOT(ISNUMBER(E1517)),"Bestand fehlt; ",IF(E1517&lt;0,"Bestand negativ; ",IF(E1517=0,"Nullbestand; ","")))&amp;IF(D1517="","Warengruppe fehlt; ","")&amp;IF(B1517="","Bezeichnung fehlt; ","")&amp;IF(COUNTIFS($A$2:$A$5001,$A1517,$C$2:$C$5001,C1517)&gt;1,"Artikel doppelt im selben Lager; ",""))</f>
        <v/>
      </c>
      <c r="P1517" s="47" t="n">
        <f aca="false">IF(OR($A1517="",D1517=""),0,IF(COUNTIF($D$2:D1517,D1517)=1,SUMIF($D$2:$D$5001,D1517,$H$2:$H$5001)+ROW()/10000000,0))</f>
        <v>0</v>
      </c>
      <c r="Q1517" s="47" t="n">
        <f aca="false">IF(OR($A1517="",C1517=""),0,IF(COUNTIF($C$2:C1517,C1517)=1,SUMIF($C$2:$C$5001,C1517,$H$2:$H$5001)+ROW()/10000000,0))</f>
        <v>0</v>
      </c>
    </row>
    <row r="1518" customFormat="false" ht="15" hidden="false" customHeight="false" outlineLevel="0" collapsed="false">
      <c r="A1518" s="43"/>
      <c r="B1518" s="44"/>
      <c r="C1518" s="44"/>
      <c r="D1518" s="44"/>
      <c r="E1518" s="44"/>
      <c r="F1518" s="44"/>
      <c r="G1518" s="44"/>
      <c r="H1518" s="46" t="str">
        <f aca="false">IF($A1518="","",IF(OR(NOT(ISNUMBER(E1518)),NOT(ISNUMBER(F1518))),"",MAX(0,E1518)*F1518))</f>
        <v/>
      </c>
      <c r="I1518" s="46" t="str">
        <f aca="false">IF($A1518="","",SUMIF($A$2:$A$5001,$A1518,$H$2:$H$5001))</f>
        <v/>
      </c>
      <c r="J1518" s="47" t="n">
        <f aca="false">IF($A1518="",0,IF(COUNTIF($A$2:A1518,$A1518)=1,1,0))</f>
        <v>0</v>
      </c>
      <c r="K1518" s="47" t="n">
        <f aca="false">IF(J1518=1,N(I1518)+ROW()/10000000,0)</f>
        <v>0</v>
      </c>
      <c r="L1518" s="47" t="str">
        <f aca="false">IF(AND(J1518=1,N(I1518)&gt;0),SUMIF($K$2:$K$5001,"&gt;="&amp;K1518,$I$2:$I$5001)/MAX(1,SUM($H$2:$H$5001)),"")</f>
        <v/>
      </c>
      <c r="M1518" s="47" t="str">
        <f aca="false">IF($A1518="","",INDEX($L$2:$L$5001,MATCH($A1518,$A$2:$A$5001,0)))</f>
        <v/>
      </c>
      <c r="N1518" s="48" t="str">
        <f aca="false">IF($A1518="","",IF(N(M1518)=0,"–",IF(M1518&lt;=Start!$D$20,"A",IF(M1518&lt;=Start!$D$21,"B","C"))))</f>
        <v/>
      </c>
      <c r="O1518" s="48" t="str">
        <f aca="false">IF($A1518="","",IF(NOT(ISNUMBER(F1518)),"Wert fehlt; ",IF(F1518&lt;=0,"Wert ist 0; ",""))&amp;IF(NOT(ISNUMBER(E1518)),"Bestand fehlt; ",IF(E1518&lt;0,"Bestand negativ; ",IF(E1518=0,"Nullbestand; ","")))&amp;IF(D1518="","Warengruppe fehlt; ","")&amp;IF(B1518="","Bezeichnung fehlt; ","")&amp;IF(COUNTIFS($A$2:$A$5001,$A1518,$C$2:$C$5001,C1518)&gt;1,"Artikel doppelt im selben Lager; ",""))</f>
        <v/>
      </c>
      <c r="P1518" s="47" t="n">
        <f aca="false">IF(OR($A1518="",D1518=""),0,IF(COUNTIF($D$2:D1518,D1518)=1,SUMIF($D$2:$D$5001,D1518,$H$2:$H$5001)+ROW()/10000000,0))</f>
        <v>0</v>
      </c>
      <c r="Q1518" s="47" t="n">
        <f aca="false">IF(OR($A1518="",C1518=""),0,IF(COUNTIF($C$2:C1518,C1518)=1,SUMIF($C$2:$C$5001,C1518,$H$2:$H$5001)+ROW()/10000000,0))</f>
        <v>0</v>
      </c>
    </row>
    <row r="1519" customFormat="false" ht="15" hidden="false" customHeight="false" outlineLevel="0" collapsed="false">
      <c r="A1519" s="43"/>
      <c r="B1519" s="44"/>
      <c r="C1519" s="44"/>
      <c r="D1519" s="44"/>
      <c r="E1519" s="44"/>
      <c r="F1519" s="44"/>
      <c r="G1519" s="44"/>
      <c r="H1519" s="46" t="str">
        <f aca="false">IF($A1519="","",IF(OR(NOT(ISNUMBER(E1519)),NOT(ISNUMBER(F1519))),"",MAX(0,E1519)*F1519))</f>
        <v/>
      </c>
      <c r="I1519" s="46" t="str">
        <f aca="false">IF($A1519="","",SUMIF($A$2:$A$5001,$A1519,$H$2:$H$5001))</f>
        <v/>
      </c>
      <c r="J1519" s="47" t="n">
        <f aca="false">IF($A1519="",0,IF(COUNTIF($A$2:A1519,$A1519)=1,1,0))</f>
        <v>0</v>
      </c>
      <c r="K1519" s="47" t="n">
        <f aca="false">IF(J1519=1,N(I1519)+ROW()/10000000,0)</f>
        <v>0</v>
      </c>
      <c r="L1519" s="47" t="str">
        <f aca="false">IF(AND(J1519=1,N(I1519)&gt;0),SUMIF($K$2:$K$5001,"&gt;="&amp;K1519,$I$2:$I$5001)/MAX(1,SUM($H$2:$H$5001)),"")</f>
        <v/>
      </c>
      <c r="M1519" s="47" t="str">
        <f aca="false">IF($A1519="","",INDEX($L$2:$L$5001,MATCH($A1519,$A$2:$A$5001,0)))</f>
        <v/>
      </c>
      <c r="N1519" s="48" t="str">
        <f aca="false">IF($A1519="","",IF(N(M1519)=0,"–",IF(M1519&lt;=Start!$D$20,"A",IF(M1519&lt;=Start!$D$21,"B","C"))))</f>
        <v/>
      </c>
      <c r="O1519" s="48" t="str">
        <f aca="false">IF($A1519="","",IF(NOT(ISNUMBER(F1519)),"Wert fehlt; ",IF(F1519&lt;=0,"Wert ist 0; ",""))&amp;IF(NOT(ISNUMBER(E1519)),"Bestand fehlt; ",IF(E1519&lt;0,"Bestand negativ; ",IF(E1519=0,"Nullbestand; ","")))&amp;IF(D1519="","Warengruppe fehlt; ","")&amp;IF(B1519="","Bezeichnung fehlt; ","")&amp;IF(COUNTIFS($A$2:$A$5001,$A1519,$C$2:$C$5001,C1519)&gt;1,"Artikel doppelt im selben Lager; ",""))</f>
        <v/>
      </c>
      <c r="P1519" s="47" t="n">
        <f aca="false">IF(OR($A1519="",D1519=""),0,IF(COUNTIF($D$2:D1519,D1519)=1,SUMIF($D$2:$D$5001,D1519,$H$2:$H$5001)+ROW()/10000000,0))</f>
        <v>0</v>
      </c>
      <c r="Q1519" s="47" t="n">
        <f aca="false">IF(OR($A1519="",C1519=""),0,IF(COUNTIF($C$2:C1519,C1519)=1,SUMIF($C$2:$C$5001,C1519,$H$2:$H$5001)+ROW()/10000000,0))</f>
        <v>0</v>
      </c>
    </row>
    <row r="1520" customFormat="false" ht="15" hidden="false" customHeight="false" outlineLevel="0" collapsed="false">
      <c r="A1520" s="43"/>
      <c r="B1520" s="44"/>
      <c r="C1520" s="44"/>
      <c r="D1520" s="44"/>
      <c r="E1520" s="44"/>
      <c r="F1520" s="44"/>
      <c r="G1520" s="44"/>
      <c r="H1520" s="46" t="str">
        <f aca="false">IF($A1520="","",IF(OR(NOT(ISNUMBER(E1520)),NOT(ISNUMBER(F1520))),"",MAX(0,E1520)*F1520))</f>
        <v/>
      </c>
      <c r="I1520" s="46" t="str">
        <f aca="false">IF($A1520="","",SUMIF($A$2:$A$5001,$A1520,$H$2:$H$5001))</f>
        <v/>
      </c>
      <c r="J1520" s="47" t="n">
        <f aca="false">IF($A1520="",0,IF(COUNTIF($A$2:A1520,$A1520)=1,1,0))</f>
        <v>0</v>
      </c>
      <c r="K1520" s="47" t="n">
        <f aca="false">IF(J1520=1,N(I1520)+ROW()/10000000,0)</f>
        <v>0</v>
      </c>
      <c r="L1520" s="47" t="str">
        <f aca="false">IF(AND(J1520=1,N(I1520)&gt;0),SUMIF($K$2:$K$5001,"&gt;="&amp;K1520,$I$2:$I$5001)/MAX(1,SUM($H$2:$H$5001)),"")</f>
        <v/>
      </c>
      <c r="M1520" s="47" t="str">
        <f aca="false">IF($A1520="","",INDEX($L$2:$L$5001,MATCH($A1520,$A$2:$A$5001,0)))</f>
        <v/>
      </c>
      <c r="N1520" s="48" t="str">
        <f aca="false">IF($A1520="","",IF(N(M1520)=0,"–",IF(M1520&lt;=Start!$D$20,"A",IF(M1520&lt;=Start!$D$21,"B","C"))))</f>
        <v/>
      </c>
      <c r="O1520" s="48" t="str">
        <f aca="false">IF($A1520="","",IF(NOT(ISNUMBER(F1520)),"Wert fehlt; ",IF(F1520&lt;=0,"Wert ist 0; ",""))&amp;IF(NOT(ISNUMBER(E1520)),"Bestand fehlt; ",IF(E1520&lt;0,"Bestand negativ; ",IF(E1520=0,"Nullbestand; ","")))&amp;IF(D1520="","Warengruppe fehlt; ","")&amp;IF(B1520="","Bezeichnung fehlt; ","")&amp;IF(COUNTIFS($A$2:$A$5001,$A1520,$C$2:$C$5001,C1520)&gt;1,"Artikel doppelt im selben Lager; ",""))</f>
        <v/>
      </c>
      <c r="P1520" s="47" t="n">
        <f aca="false">IF(OR($A1520="",D1520=""),0,IF(COUNTIF($D$2:D1520,D1520)=1,SUMIF($D$2:$D$5001,D1520,$H$2:$H$5001)+ROW()/10000000,0))</f>
        <v>0</v>
      </c>
      <c r="Q1520" s="47" t="n">
        <f aca="false">IF(OR($A1520="",C1520=""),0,IF(COUNTIF($C$2:C1520,C1520)=1,SUMIF($C$2:$C$5001,C1520,$H$2:$H$5001)+ROW()/10000000,0))</f>
        <v>0</v>
      </c>
    </row>
    <row r="1521" customFormat="false" ht="15" hidden="false" customHeight="false" outlineLevel="0" collapsed="false">
      <c r="A1521" s="43"/>
      <c r="B1521" s="44"/>
      <c r="C1521" s="44"/>
      <c r="D1521" s="44"/>
      <c r="E1521" s="44"/>
      <c r="F1521" s="44"/>
      <c r="G1521" s="44"/>
      <c r="H1521" s="46" t="str">
        <f aca="false">IF($A1521="","",IF(OR(NOT(ISNUMBER(E1521)),NOT(ISNUMBER(F1521))),"",MAX(0,E1521)*F1521))</f>
        <v/>
      </c>
      <c r="I1521" s="46" t="str">
        <f aca="false">IF($A1521="","",SUMIF($A$2:$A$5001,$A1521,$H$2:$H$5001))</f>
        <v/>
      </c>
      <c r="J1521" s="47" t="n">
        <f aca="false">IF($A1521="",0,IF(COUNTIF($A$2:A1521,$A1521)=1,1,0))</f>
        <v>0</v>
      </c>
      <c r="K1521" s="47" t="n">
        <f aca="false">IF(J1521=1,N(I1521)+ROW()/10000000,0)</f>
        <v>0</v>
      </c>
      <c r="L1521" s="47" t="str">
        <f aca="false">IF(AND(J1521=1,N(I1521)&gt;0),SUMIF($K$2:$K$5001,"&gt;="&amp;K1521,$I$2:$I$5001)/MAX(1,SUM($H$2:$H$5001)),"")</f>
        <v/>
      </c>
      <c r="M1521" s="47" t="str">
        <f aca="false">IF($A1521="","",INDEX($L$2:$L$5001,MATCH($A1521,$A$2:$A$5001,0)))</f>
        <v/>
      </c>
      <c r="N1521" s="48" t="str">
        <f aca="false">IF($A1521="","",IF(N(M1521)=0,"–",IF(M1521&lt;=Start!$D$20,"A",IF(M1521&lt;=Start!$D$21,"B","C"))))</f>
        <v/>
      </c>
      <c r="O1521" s="48" t="str">
        <f aca="false">IF($A1521="","",IF(NOT(ISNUMBER(F1521)),"Wert fehlt; ",IF(F1521&lt;=0,"Wert ist 0; ",""))&amp;IF(NOT(ISNUMBER(E1521)),"Bestand fehlt; ",IF(E1521&lt;0,"Bestand negativ; ",IF(E1521=0,"Nullbestand; ","")))&amp;IF(D1521="","Warengruppe fehlt; ","")&amp;IF(B1521="","Bezeichnung fehlt; ","")&amp;IF(COUNTIFS($A$2:$A$5001,$A1521,$C$2:$C$5001,C1521)&gt;1,"Artikel doppelt im selben Lager; ",""))</f>
        <v/>
      </c>
      <c r="P1521" s="47" t="n">
        <f aca="false">IF(OR($A1521="",D1521=""),0,IF(COUNTIF($D$2:D1521,D1521)=1,SUMIF($D$2:$D$5001,D1521,$H$2:$H$5001)+ROW()/10000000,0))</f>
        <v>0</v>
      </c>
      <c r="Q1521" s="47" t="n">
        <f aca="false">IF(OR($A1521="",C1521=""),0,IF(COUNTIF($C$2:C1521,C1521)=1,SUMIF($C$2:$C$5001,C1521,$H$2:$H$5001)+ROW()/10000000,0))</f>
        <v>0</v>
      </c>
    </row>
    <row r="1522" customFormat="false" ht="15" hidden="false" customHeight="false" outlineLevel="0" collapsed="false">
      <c r="A1522" s="43"/>
      <c r="B1522" s="44"/>
      <c r="C1522" s="44"/>
      <c r="D1522" s="44"/>
      <c r="E1522" s="44"/>
      <c r="F1522" s="44"/>
      <c r="G1522" s="44"/>
      <c r="H1522" s="46" t="str">
        <f aca="false">IF($A1522="","",IF(OR(NOT(ISNUMBER(E1522)),NOT(ISNUMBER(F1522))),"",MAX(0,E1522)*F1522))</f>
        <v/>
      </c>
      <c r="I1522" s="46" t="str">
        <f aca="false">IF($A1522="","",SUMIF($A$2:$A$5001,$A1522,$H$2:$H$5001))</f>
        <v/>
      </c>
      <c r="J1522" s="47" t="n">
        <f aca="false">IF($A1522="",0,IF(COUNTIF($A$2:A1522,$A1522)=1,1,0))</f>
        <v>0</v>
      </c>
      <c r="K1522" s="47" t="n">
        <f aca="false">IF(J1522=1,N(I1522)+ROW()/10000000,0)</f>
        <v>0</v>
      </c>
      <c r="L1522" s="47" t="str">
        <f aca="false">IF(AND(J1522=1,N(I1522)&gt;0),SUMIF($K$2:$K$5001,"&gt;="&amp;K1522,$I$2:$I$5001)/MAX(1,SUM($H$2:$H$5001)),"")</f>
        <v/>
      </c>
      <c r="M1522" s="47" t="str">
        <f aca="false">IF($A1522="","",INDEX($L$2:$L$5001,MATCH($A1522,$A$2:$A$5001,0)))</f>
        <v/>
      </c>
      <c r="N1522" s="48" t="str">
        <f aca="false">IF($A1522="","",IF(N(M1522)=0,"–",IF(M1522&lt;=Start!$D$20,"A",IF(M1522&lt;=Start!$D$21,"B","C"))))</f>
        <v/>
      </c>
      <c r="O1522" s="48" t="str">
        <f aca="false">IF($A1522="","",IF(NOT(ISNUMBER(F1522)),"Wert fehlt; ",IF(F1522&lt;=0,"Wert ist 0; ",""))&amp;IF(NOT(ISNUMBER(E1522)),"Bestand fehlt; ",IF(E1522&lt;0,"Bestand negativ; ",IF(E1522=0,"Nullbestand; ","")))&amp;IF(D1522="","Warengruppe fehlt; ","")&amp;IF(B1522="","Bezeichnung fehlt; ","")&amp;IF(COUNTIFS($A$2:$A$5001,$A1522,$C$2:$C$5001,C1522)&gt;1,"Artikel doppelt im selben Lager; ",""))</f>
        <v/>
      </c>
      <c r="P1522" s="47" t="n">
        <f aca="false">IF(OR($A1522="",D1522=""),0,IF(COUNTIF($D$2:D1522,D1522)=1,SUMIF($D$2:$D$5001,D1522,$H$2:$H$5001)+ROW()/10000000,0))</f>
        <v>0</v>
      </c>
      <c r="Q1522" s="47" t="n">
        <f aca="false">IF(OR($A1522="",C1522=""),0,IF(COUNTIF($C$2:C1522,C1522)=1,SUMIF($C$2:$C$5001,C1522,$H$2:$H$5001)+ROW()/10000000,0))</f>
        <v>0</v>
      </c>
    </row>
    <row r="1523" customFormat="false" ht="15" hidden="false" customHeight="false" outlineLevel="0" collapsed="false">
      <c r="A1523" s="43"/>
      <c r="B1523" s="44"/>
      <c r="C1523" s="44"/>
      <c r="D1523" s="44"/>
      <c r="E1523" s="44"/>
      <c r="F1523" s="44"/>
      <c r="G1523" s="44"/>
      <c r="H1523" s="46" t="str">
        <f aca="false">IF($A1523="","",IF(OR(NOT(ISNUMBER(E1523)),NOT(ISNUMBER(F1523))),"",MAX(0,E1523)*F1523))</f>
        <v/>
      </c>
      <c r="I1523" s="46" t="str">
        <f aca="false">IF($A1523="","",SUMIF($A$2:$A$5001,$A1523,$H$2:$H$5001))</f>
        <v/>
      </c>
      <c r="J1523" s="47" t="n">
        <f aca="false">IF($A1523="",0,IF(COUNTIF($A$2:A1523,$A1523)=1,1,0))</f>
        <v>0</v>
      </c>
      <c r="K1523" s="47" t="n">
        <f aca="false">IF(J1523=1,N(I1523)+ROW()/10000000,0)</f>
        <v>0</v>
      </c>
      <c r="L1523" s="47" t="str">
        <f aca="false">IF(AND(J1523=1,N(I1523)&gt;0),SUMIF($K$2:$K$5001,"&gt;="&amp;K1523,$I$2:$I$5001)/MAX(1,SUM($H$2:$H$5001)),"")</f>
        <v/>
      </c>
      <c r="M1523" s="47" t="str">
        <f aca="false">IF($A1523="","",INDEX($L$2:$L$5001,MATCH($A1523,$A$2:$A$5001,0)))</f>
        <v/>
      </c>
      <c r="N1523" s="48" t="str">
        <f aca="false">IF($A1523="","",IF(N(M1523)=0,"–",IF(M1523&lt;=Start!$D$20,"A",IF(M1523&lt;=Start!$D$21,"B","C"))))</f>
        <v/>
      </c>
      <c r="O1523" s="48" t="str">
        <f aca="false">IF($A1523="","",IF(NOT(ISNUMBER(F1523)),"Wert fehlt; ",IF(F1523&lt;=0,"Wert ist 0; ",""))&amp;IF(NOT(ISNUMBER(E1523)),"Bestand fehlt; ",IF(E1523&lt;0,"Bestand negativ; ",IF(E1523=0,"Nullbestand; ","")))&amp;IF(D1523="","Warengruppe fehlt; ","")&amp;IF(B1523="","Bezeichnung fehlt; ","")&amp;IF(COUNTIFS($A$2:$A$5001,$A1523,$C$2:$C$5001,C1523)&gt;1,"Artikel doppelt im selben Lager; ",""))</f>
        <v/>
      </c>
      <c r="P1523" s="47" t="n">
        <f aca="false">IF(OR($A1523="",D1523=""),0,IF(COUNTIF($D$2:D1523,D1523)=1,SUMIF($D$2:$D$5001,D1523,$H$2:$H$5001)+ROW()/10000000,0))</f>
        <v>0</v>
      </c>
      <c r="Q1523" s="47" t="n">
        <f aca="false">IF(OR($A1523="",C1523=""),0,IF(COUNTIF($C$2:C1523,C1523)=1,SUMIF($C$2:$C$5001,C1523,$H$2:$H$5001)+ROW()/10000000,0))</f>
        <v>0</v>
      </c>
    </row>
    <row r="1524" customFormat="false" ht="15" hidden="false" customHeight="false" outlineLevel="0" collapsed="false">
      <c r="A1524" s="43"/>
      <c r="B1524" s="44"/>
      <c r="C1524" s="44"/>
      <c r="D1524" s="44"/>
      <c r="E1524" s="44"/>
      <c r="F1524" s="44"/>
      <c r="G1524" s="44"/>
      <c r="H1524" s="46" t="str">
        <f aca="false">IF($A1524="","",IF(OR(NOT(ISNUMBER(E1524)),NOT(ISNUMBER(F1524))),"",MAX(0,E1524)*F1524))</f>
        <v/>
      </c>
      <c r="I1524" s="46" t="str">
        <f aca="false">IF($A1524="","",SUMIF($A$2:$A$5001,$A1524,$H$2:$H$5001))</f>
        <v/>
      </c>
      <c r="J1524" s="47" t="n">
        <f aca="false">IF($A1524="",0,IF(COUNTIF($A$2:A1524,$A1524)=1,1,0))</f>
        <v>0</v>
      </c>
      <c r="K1524" s="47" t="n">
        <f aca="false">IF(J1524=1,N(I1524)+ROW()/10000000,0)</f>
        <v>0</v>
      </c>
      <c r="L1524" s="47" t="str">
        <f aca="false">IF(AND(J1524=1,N(I1524)&gt;0),SUMIF($K$2:$K$5001,"&gt;="&amp;K1524,$I$2:$I$5001)/MAX(1,SUM($H$2:$H$5001)),"")</f>
        <v/>
      </c>
      <c r="M1524" s="47" t="str">
        <f aca="false">IF($A1524="","",INDEX($L$2:$L$5001,MATCH($A1524,$A$2:$A$5001,0)))</f>
        <v/>
      </c>
      <c r="N1524" s="48" t="str">
        <f aca="false">IF($A1524="","",IF(N(M1524)=0,"–",IF(M1524&lt;=Start!$D$20,"A",IF(M1524&lt;=Start!$D$21,"B","C"))))</f>
        <v/>
      </c>
      <c r="O1524" s="48" t="str">
        <f aca="false">IF($A1524="","",IF(NOT(ISNUMBER(F1524)),"Wert fehlt; ",IF(F1524&lt;=0,"Wert ist 0; ",""))&amp;IF(NOT(ISNUMBER(E1524)),"Bestand fehlt; ",IF(E1524&lt;0,"Bestand negativ; ",IF(E1524=0,"Nullbestand; ","")))&amp;IF(D1524="","Warengruppe fehlt; ","")&amp;IF(B1524="","Bezeichnung fehlt; ","")&amp;IF(COUNTIFS($A$2:$A$5001,$A1524,$C$2:$C$5001,C1524)&gt;1,"Artikel doppelt im selben Lager; ",""))</f>
        <v/>
      </c>
      <c r="P1524" s="47" t="n">
        <f aca="false">IF(OR($A1524="",D1524=""),0,IF(COUNTIF($D$2:D1524,D1524)=1,SUMIF($D$2:$D$5001,D1524,$H$2:$H$5001)+ROW()/10000000,0))</f>
        <v>0</v>
      </c>
      <c r="Q1524" s="47" t="n">
        <f aca="false">IF(OR($A1524="",C1524=""),0,IF(COUNTIF($C$2:C1524,C1524)=1,SUMIF($C$2:$C$5001,C1524,$H$2:$H$5001)+ROW()/10000000,0))</f>
        <v>0</v>
      </c>
    </row>
    <row r="1525" customFormat="false" ht="15" hidden="false" customHeight="false" outlineLevel="0" collapsed="false">
      <c r="A1525" s="43"/>
      <c r="B1525" s="44"/>
      <c r="C1525" s="44"/>
      <c r="D1525" s="44"/>
      <c r="E1525" s="44"/>
      <c r="F1525" s="44"/>
      <c r="G1525" s="44"/>
      <c r="H1525" s="46" t="str">
        <f aca="false">IF($A1525="","",IF(OR(NOT(ISNUMBER(E1525)),NOT(ISNUMBER(F1525))),"",MAX(0,E1525)*F1525))</f>
        <v/>
      </c>
      <c r="I1525" s="46" t="str">
        <f aca="false">IF($A1525="","",SUMIF($A$2:$A$5001,$A1525,$H$2:$H$5001))</f>
        <v/>
      </c>
      <c r="J1525" s="47" t="n">
        <f aca="false">IF($A1525="",0,IF(COUNTIF($A$2:A1525,$A1525)=1,1,0))</f>
        <v>0</v>
      </c>
      <c r="K1525" s="47" t="n">
        <f aca="false">IF(J1525=1,N(I1525)+ROW()/10000000,0)</f>
        <v>0</v>
      </c>
      <c r="L1525" s="47" t="str">
        <f aca="false">IF(AND(J1525=1,N(I1525)&gt;0),SUMIF($K$2:$K$5001,"&gt;="&amp;K1525,$I$2:$I$5001)/MAX(1,SUM($H$2:$H$5001)),"")</f>
        <v/>
      </c>
      <c r="M1525" s="47" t="str">
        <f aca="false">IF($A1525="","",INDEX($L$2:$L$5001,MATCH($A1525,$A$2:$A$5001,0)))</f>
        <v/>
      </c>
      <c r="N1525" s="48" t="str">
        <f aca="false">IF($A1525="","",IF(N(M1525)=0,"–",IF(M1525&lt;=Start!$D$20,"A",IF(M1525&lt;=Start!$D$21,"B","C"))))</f>
        <v/>
      </c>
      <c r="O1525" s="48" t="str">
        <f aca="false">IF($A1525="","",IF(NOT(ISNUMBER(F1525)),"Wert fehlt; ",IF(F1525&lt;=0,"Wert ist 0; ",""))&amp;IF(NOT(ISNUMBER(E1525)),"Bestand fehlt; ",IF(E1525&lt;0,"Bestand negativ; ",IF(E1525=0,"Nullbestand; ","")))&amp;IF(D1525="","Warengruppe fehlt; ","")&amp;IF(B1525="","Bezeichnung fehlt; ","")&amp;IF(COUNTIFS($A$2:$A$5001,$A1525,$C$2:$C$5001,C1525)&gt;1,"Artikel doppelt im selben Lager; ",""))</f>
        <v/>
      </c>
      <c r="P1525" s="47" t="n">
        <f aca="false">IF(OR($A1525="",D1525=""),0,IF(COUNTIF($D$2:D1525,D1525)=1,SUMIF($D$2:$D$5001,D1525,$H$2:$H$5001)+ROW()/10000000,0))</f>
        <v>0</v>
      </c>
      <c r="Q1525" s="47" t="n">
        <f aca="false">IF(OR($A1525="",C1525=""),0,IF(COUNTIF($C$2:C1525,C1525)=1,SUMIF($C$2:$C$5001,C1525,$H$2:$H$5001)+ROW()/10000000,0))</f>
        <v>0</v>
      </c>
    </row>
    <row r="1526" customFormat="false" ht="15" hidden="false" customHeight="false" outlineLevel="0" collapsed="false">
      <c r="A1526" s="43"/>
      <c r="B1526" s="44"/>
      <c r="C1526" s="44"/>
      <c r="D1526" s="44"/>
      <c r="E1526" s="44"/>
      <c r="F1526" s="44"/>
      <c r="G1526" s="44"/>
      <c r="H1526" s="46" t="str">
        <f aca="false">IF($A1526="","",IF(OR(NOT(ISNUMBER(E1526)),NOT(ISNUMBER(F1526))),"",MAX(0,E1526)*F1526))</f>
        <v/>
      </c>
      <c r="I1526" s="46" t="str">
        <f aca="false">IF($A1526="","",SUMIF($A$2:$A$5001,$A1526,$H$2:$H$5001))</f>
        <v/>
      </c>
      <c r="J1526" s="47" t="n">
        <f aca="false">IF($A1526="",0,IF(COUNTIF($A$2:A1526,$A1526)=1,1,0))</f>
        <v>0</v>
      </c>
      <c r="K1526" s="47" t="n">
        <f aca="false">IF(J1526=1,N(I1526)+ROW()/10000000,0)</f>
        <v>0</v>
      </c>
      <c r="L1526" s="47" t="str">
        <f aca="false">IF(AND(J1526=1,N(I1526)&gt;0),SUMIF($K$2:$K$5001,"&gt;="&amp;K1526,$I$2:$I$5001)/MAX(1,SUM($H$2:$H$5001)),"")</f>
        <v/>
      </c>
      <c r="M1526" s="47" t="str">
        <f aca="false">IF($A1526="","",INDEX($L$2:$L$5001,MATCH($A1526,$A$2:$A$5001,0)))</f>
        <v/>
      </c>
      <c r="N1526" s="48" t="str">
        <f aca="false">IF($A1526="","",IF(N(M1526)=0,"–",IF(M1526&lt;=Start!$D$20,"A",IF(M1526&lt;=Start!$D$21,"B","C"))))</f>
        <v/>
      </c>
      <c r="O1526" s="48" t="str">
        <f aca="false">IF($A1526="","",IF(NOT(ISNUMBER(F1526)),"Wert fehlt; ",IF(F1526&lt;=0,"Wert ist 0; ",""))&amp;IF(NOT(ISNUMBER(E1526)),"Bestand fehlt; ",IF(E1526&lt;0,"Bestand negativ; ",IF(E1526=0,"Nullbestand; ","")))&amp;IF(D1526="","Warengruppe fehlt; ","")&amp;IF(B1526="","Bezeichnung fehlt; ","")&amp;IF(COUNTIFS($A$2:$A$5001,$A1526,$C$2:$C$5001,C1526)&gt;1,"Artikel doppelt im selben Lager; ",""))</f>
        <v/>
      </c>
      <c r="P1526" s="47" t="n">
        <f aca="false">IF(OR($A1526="",D1526=""),0,IF(COUNTIF($D$2:D1526,D1526)=1,SUMIF($D$2:$D$5001,D1526,$H$2:$H$5001)+ROW()/10000000,0))</f>
        <v>0</v>
      </c>
      <c r="Q1526" s="47" t="n">
        <f aca="false">IF(OR($A1526="",C1526=""),0,IF(COUNTIF($C$2:C1526,C1526)=1,SUMIF($C$2:$C$5001,C1526,$H$2:$H$5001)+ROW()/10000000,0))</f>
        <v>0</v>
      </c>
    </row>
    <row r="1527" customFormat="false" ht="15" hidden="false" customHeight="false" outlineLevel="0" collapsed="false">
      <c r="A1527" s="43"/>
      <c r="B1527" s="44"/>
      <c r="C1527" s="44"/>
      <c r="D1527" s="44"/>
      <c r="E1527" s="44"/>
      <c r="F1527" s="44"/>
      <c r="G1527" s="44"/>
      <c r="H1527" s="46" t="str">
        <f aca="false">IF($A1527="","",IF(OR(NOT(ISNUMBER(E1527)),NOT(ISNUMBER(F1527))),"",MAX(0,E1527)*F1527))</f>
        <v/>
      </c>
      <c r="I1527" s="46" t="str">
        <f aca="false">IF($A1527="","",SUMIF($A$2:$A$5001,$A1527,$H$2:$H$5001))</f>
        <v/>
      </c>
      <c r="J1527" s="47" t="n">
        <f aca="false">IF($A1527="",0,IF(COUNTIF($A$2:A1527,$A1527)=1,1,0))</f>
        <v>0</v>
      </c>
      <c r="K1527" s="47" t="n">
        <f aca="false">IF(J1527=1,N(I1527)+ROW()/10000000,0)</f>
        <v>0</v>
      </c>
      <c r="L1527" s="47" t="str">
        <f aca="false">IF(AND(J1527=1,N(I1527)&gt;0),SUMIF($K$2:$K$5001,"&gt;="&amp;K1527,$I$2:$I$5001)/MAX(1,SUM($H$2:$H$5001)),"")</f>
        <v/>
      </c>
      <c r="M1527" s="47" t="str">
        <f aca="false">IF($A1527="","",INDEX($L$2:$L$5001,MATCH($A1527,$A$2:$A$5001,0)))</f>
        <v/>
      </c>
      <c r="N1527" s="48" t="str">
        <f aca="false">IF($A1527="","",IF(N(M1527)=0,"–",IF(M1527&lt;=Start!$D$20,"A",IF(M1527&lt;=Start!$D$21,"B","C"))))</f>
        <v/>
      </c>
      <c r="O1527" s="48" t="str">
        <f aca="false">IF($A1527="","",IF(NOT(ISNUMBER(F1527)),"Wert fehlt; ",IF(F1527&lt;=0,"Wert ist 0; ",""))&amp;IF(NOT(ISNUMBER(E1527)),"Bestand fehlt; ",IF(E1527&lt;0,"Bestand negativ; ",IF(E1527=0,"Nullbestand; ","")))&amp;IF(D1527="","Warengruppe fehlt; ","")&amp;IF(B1527="","Bezeichnung fehlt; ","")&amp;IF(COUNTIFS($A$2:$A$5001,$A1527,$C$2:$C$5001,C1527)&gt;1,"Artikel doppelt im selben Lager; ",""))</f>
        <v/>
      </c>
      <c r="P1527" s="47" t="n">
        <f aca="false">IF(OR($A1527="",D1527=""),0,IF(COUNTIF($D$2:D1527,D1527)=1,SUMIF($D$2:$D$5001,D1527,$H$2:$H$5001)+ROW()/10000000,0))</f>
        <v>0</v>
      </c>
      <c r="Q1527" s="47" t="n">
        <f aca="false">IF(OR($A1527="",C1527=""),0,IF(COUNTIF($C$2:C1527,C1527)=1,SUMIF($C$2:$C$5001,C1527,$H$2:$H$5001)+ROW()/10000000,0))</f>
        <v>0</v>
      </c>
    </row>
    <row r="1528" customFormat="false" ht="15" hidden="false" customHeight="false" outlineLevel="0" collapsed="false">
      <c r="A1528" s="43"/>
      <c r="B1528" s="44"/>
      <c r="C1528" s="44"/>
      <c r="D1528" s="44"/>
      <c r="E1528" s="44"/>
      <c r="F1528" s="44"/>
      <c r="G1528" s="44"/>
      <c r="H1528" s="46" t="str">
        <f aca="false">IF($A1528="","",IF(OR(NOT(ISNUMBER(E1528)),NOT(ISNUMBER(F1528))),"",MAX(0,E1528)*F1528))</f>
        <v/>
      </c>
      <c r="I1528" s="46" t="str">
        <f aca="false">IF($A1528="","",SUMIF($A$2:$A$5001,$A1528,$H$2:$H$5001))</f>
        <v/>
      </c>
      <c r="J1528" s="47" t="n">
        <f aca="false">IF($A1528="",0,IF(COUNTIF($A$2:A1528,$A1528)=1,1,0))</f>
        <v>0</v>
      </c>
      <c r="K1528" s="47" t="n">
        <f aca="false">IF(J1528=1,N(I1528)+ROW()/10000000,0)</f>
        <v>0</v>
      </c>
      <c r="L1528" s="47" t="str">
        <f aca="false">IF(AND(J1528=1,N(I1528)&gt;0),SUMIF($K$2:$K$5001,"&gt;="&amp;K1528,$I$2:$I$5001)/MAX(1,SUM($H$2:$H$5001)),"")</f>
        <v/>
      </c>
      <c r="M1528" s="47" t="str">
        <f aca="false">IF($A1528="","",INDEX($L$2:$L$5001,MATCH($A1528,$A$2:$A$5001,0)))</f>
        <v/>
      </c>
      <c r="N1528" s="48" t="str">
        <f aca="false">IF($A1528="","",IF(N(M1528)=0,"–",IF(M1528&lt;=Start!$D$20,"A",IF(M1528&lt;=Start!$D$21,"B","C"))))</f>
        <v/>
      </c>
      <c r="O1528" s="48" t="str">
        <f aca="false">IF($A1528="","",IF(NOT(ISNUMBER(F1528)),"Wert fehlt; ",IF(F1528&lt;=0,"Wert ist 0; ",""))&amp;IF(NOT(ISNUMBER(E1528)),"Bestand fehlt; ",IF(E1528&lt;0,"Bestand negativ; ",IF(E1528=0,"Nullbestand; ","")))&amp;IF(D1528="","Warengruppe fehlt; ","")&amp;IF(B1528="","Bezeichnung fehlt; ","")&amp;IF(COUNTIFS($A$2:$A$5001,$A1528,$C$2:$C$5001,C1528)&gt;1,"Artikel doppelt im selben Lager; ",""))</f>
        <v/>
      </c>
      <c r="P1528" s="47" t="n">
        <f aca="false">IF(OR($A1528="",D1528=""),0,IF(COUNTIF($D$2:D1528,D1528)=1,SUMIF($D$2:$D$5001,D1528,$H$2:$H$5001)+ROW()/10000000,0))</f>
        <v>0</v>
      </c>
      <c r="Q1528" s="47" t="n">
        <f aca="false">IF(OR($A1528="",C1528=""),0,IF(COUNTIF($C$2:C1528,C1528)=1,SUMIF($C$2:$C$5001,C1528,$H$2:$H$5001)+ROW()/10000000,0))</f>
        <v>0</v>
      </c>
    </row>
    <row r="1529" customFormat="false" ht="15" hidden="false" customHeight="false" outlineLevel="0" collapsed="false">
      <c r="A1529" s="43"/>
      <c r="B1529" s="44"/>
      <c r="C1529" s="44"/>
      <c r="D1529" s="44"/>
      <c r="E1529" s="44"/>
      <c r="F1529" s="44"/>
      <c r="G1529" s="44"/>
      <c r="H1529" s="46" t="str">
        <f aca="false">IF($A1529="","",IF(OR(NOT(ISNUMBER(E1529)),NOT(ISNUMBER(F1529))),"",MAX(0,E1529)*F1529))</f>
        <v/>
      </c>
      <c r="I1529" s="46" t="str">
        <f aca="false">IF($A1529="","",SUMIF($A$2:$A$5001,$A1529,$H$2:$H$5001))</f>
        <v/>
      </c>
      <c r="J1529" s="47" t="n">
        <f aca="false">IF($A1529="",0,IF(COUNTIF($A$2:A1529,$A1529)=1,1,0))</f>
        <v>0</v>
      </c>
      <c r="K1529" s="47" t="n">
        <f aca="false">IF(J1529=1,N(I1529)+ROW()/10000000,0)</f>
        <v>0</v>
      </c>
      <c r="L1529" s="47" t="str">
        <f aca="false">IF(AND(J1529=1,N(I1529)&gt;0),SUMIF($K$2:$K$5001,"&gt;="&amp;K1529,$I$2:$I$5001)/MAX(1,SUM($H$2:$H$5001)),"")</f>
        <v/>
      </c>
      <c r="M1529" s="47" t="str">
        <f aca="false">IF($A1529="","",INDEX($L$2:$L$5001,MATCH($A1529,$A$2:$A$5001,0)))</f>
        <v/>
      </c>
      <c r="N1529" s="48" t="str">
        <f aca="false">IF($A1529="","",IF(N(M1529)=0,"–",IF(M1529&lt;=Start!$D$20,"A",IF(M1529&lt;=Start!$D$21,"B","C"))))</f>
        <v/>
      </c>
      <c r="O1529" s="48" t="str">
        <f aca="false">IF($A1529="","",IF(NOT(ISNUMBER(F1529)),"Wert fehlt; ",IF(F1529&lt;=0,"Wert ist 0; ",""))&amp;IF(NOT(ISNUMBER(E1529)),"Bestand fehlt; ",IF(E1529&lt;0,"Bestand negativ; ",IF(E1529=0,"Nullbestand; ","")))&amp;IF(D1529="","Warengruppe fehlt; ","")&amp;IF(B1529="","Bezeichnung fehlt; ","")&amp;IF(COUNTIFS($A$2:$A$5001,$A1529,$C$2:$C$5001,C1529)&gt;1,"Artikel doppelt im selben Lager; ",""))</f>
        <v/>
      </c>
      <c r="P1529" s="47" t="n">
        <f aca="false">IF(OR($A1529="",D1529=""),0,IF(COUNTIF($D$2:D1529,D1529)=1,SUMIF($D$2:$D$5001,D1529,$H$2:$H$5001)+ROW()/10000000,0))</f>
        <v>0</v>
      </c>
      <c r="Q1529" s="47" t="n">
        <f aca="false">IF(OR($A1529="",C1529=""),0,IF(COUNTIF($C$2:C1529,C1529)=1,SUMIF($C$2:$C$5001,C1529,$H$2:$H$5001)+ROW()/10000000,0))</f>
        <v>0</v>
      </c>
    </row>
    <row r="1530" customFormat="false" ht="15" hidden="false" customHeight="false" outlineLevel="0" collapsed="false">
      <c r="A1530" s="43"/>
      <c r="B1530" s="44"/>
      <c r="C1530" s="44"/>
      <c r="D1530" s="44"/>
      <c r="E1530" s="44"/>
      <c r="F1530" s="44"/>
      <c r="G1530" s="44"/>
      <c r="H1530" s="46" t="str">
        <f aca="false">IF($A1530="","",IF(OR(NOT(ISNUMBER(E1530)),NOT(ISNUMBER(F1530))),"",MAX(0,E1530)*F1530))</f>
        <v/>
      </c>
      <c r="I1530" s="46" t="str">
        <f aca="false">IF($A1530="","",SUMIF($A$2:$A$5001,$A1530,$H$2:$H$5001))</f>
        <v/>
      </c>
      <c r="J1530" s="47" t="n">
        <f aca="false">IF($A1530="",0,IF(COUNTIF($A$2:A1530,$A1530)=1,1,0))</f>
        <v>0</v>
      </c>
      <c r="K1530" s="47" t="n">
        <f aca="false">IF(J1530=1,N(I1530)+ROW()/10000000,0)</f>
        <v>0</v>
      </c>
      <c r="L1530" s="47" t="str">
        <f aca="false">IF(AND(J1530=1,N(I1530)&gt;0),SUMIF($K$2:$K$5001,"&gt;="&amp;K1530,$I$2:$I$5001)/MAX(1,SUM($H$2:$H$5001)),"")</f>
        <v/>
      </c>
      <c r="M1530" s="47" t="str">
        <f aca="false">IF($A1530="","",INDEX($L$2:$L$5001,MATCH($A1530,$A$2:$A$5001,0)))</f>
        <v/>
      </c>
      <c r="N1530" s="48" t="str">
        <f aca="false">IF($A1530="","",IF(N(M1530)=0,"–",IF(M1530&lt;=Start!$D$20,"A",IF(M1530&lt;=Start!$D$21,"B","C"))))</f>
        <v/>
      </c>
      <c r="O1530" s="48" t="str">
        <f aca="false">IF($A1530="","",IF(NOT(ISNUMBER(F1530)),"Wert fehlt; ",IF(F1530&lt;=0,"Wert ist 0; ",""))&amp;IF(NOT(ISNUMBER(E1530)),"Bestand fehlt; ",IF(E1530&lt;0,"Bestand negativ; ",IF(E1530=0,"Nullbestand; ","")))&amp;IF(D1530="","Warengruppe fehlt; ","")&amp;IF(B1530="","Bezeichnung fehlt; ","")&amp;IF(COUNTIFS($A$2:$A$5001,$A1530,$C$2:$C$5001,C1530)&gt;1,"Artikel doppelt im selben Lager; ",""))</f>
        <v/>
      </c>
      <c r="P1530" s="47" t="n">
        <f aca="false">IF(OR($A1530="",D1530=""),0,IF(COUNTIF($D$2:D1530,D1530)=1,SUMIF($D$2:$D$5001,D1530,$H$2:$H$5001)+ROW()/10000000,0))</f>
        <v>0</v>
      </c>
      <c r="Q1530" s="47" t="n">
        <f aca="false">IF(OR($A1530="",C1530=""),0,IF(COUNTIF($C$2:C1530,C1530)=1,SUMIF($C$2:$C$5001,C1530,$H$2:$H$5001)+ROW()/10000000,0))</f>
        <v>0</v>
      </c>
    </row>
    <row r="1531" customFormat="false" ht="15" hidden="false" customHeight="false" outlineLevel="0" collapsed="false">
      <c r="A1531" s="43"/>
      <c r="B1531" s="44"/>
      <c r="C1531" s="44"/>
      <c r="D1531" s="44"/>
      <c r="E1531" s="44"/>
      <c r="F1531" s="44"/>
      <c r="G1531" s="44"/>
      <c r="H1531" s="46" t="str">
        <f aca="false">IF($A1531="","",IF(OR(NOT(ISNUMBER(E1531)),NOT(ISNUMBER(F1531))),"",MAX(0,E1531)*F1531))</f>
        <v/>
      </c>
      <c r="I1531" s="46" t="str">
        <f aca="false">IF($A1531="","",SUMIF($A$2:$A$5001,$A1531,$H$2:$H$5001))</f>
        <v/>
      </c>
      <c r="J1531" s="47" t="n">
        <f aca="false">IF($A1531="",0,IF(COUNTIF($A$2:A1531,$A1531)=1,1,0))</f>
        <v>0</v>
      </c>
      <c r="K1531" s="47" t="n">
        <f aca="false">IF(J1531=1,N(I1531)+ROW()/10000000,0)</f>
        <v>0</v>
      </c>
      <c r="L1531" s="47" t="str">
        <f aca="false">IF(AND(J1531=1,N(I1531)&gt;0),SUMIF($K$2:$K$5001,"&gt;="&amp;K1531,$I$2:$I$5001)/MAX(1,SUM($H$2:$H$5001)),"")</f>
        <v/>
      </c>
      <c r="M1531" s="47" t="str">
        <f aca="false">IF($A1531="","",INDEX($L$2:$L$5001,MATCH($A1531,$A$2:$A$5001,0)))</f>
        <v/>
      </c>
      <c r="N1531" s="48" t="str">
        <f aca="false">IF($A1531="","",IF(N(M1531)=0,"–",IF(M1531&lt;=Start!$D$20,"A",IF(M1531&lt;=Start!$D$21,"B","C"))))</f>
        <v/>
      </c>
      <c r="O1531" s="48" t="str">
        <f aca="false">IF($A1531="","",IF(NOT(ISNUMBER(F1531)),"Wert fehlt; ",IF(F1531&lt;=0,"Wert ist 0; ",""))&amp;IF(NOT(ISNUMBER(E1531)),"Bestand fehlt; ",IF(E1531&lt;0,"Bestand negativ; ",IF(E1531=0,"Nullbestand; ","")))&amp;IF(D1531="","Warengruppe fehlt; ","")&amp;IF(B1531="","Bezeichnung fehlt; ","")&amp;IF(COUNTIFS($A$2:$A$5001,$A1531,$C$2:$C$5001,C1531)&gt;1,"Artikel doppelt im selben Lager; ",""))</f>
        <v/>
      </c>
      <c r="P1531" s="47" t="n">
        <f aca="false">IF(OR($A1531="",D1531=""),0,IF(COUNTIF($D$2:D1531,D1531)=1,SUMIF($D$2:$D$5001,D1531,$H$2:$H$5001)+ROW()/10000000,0))</f>
        <v>0</v>
      </c>
      <c r="Q1531" s="47" t="n">
        <f aca="false">IF(OR($A1531="",C1531=""),0,IF(COUNTIF($C$2:C1531,C1531)=1,SUMIF($C$2:$C$5001,C1531,$H$2:$H$5001)+ROW()/10000000,0))</f>
        <v>0</v>
      </c>
    </row>
    <row r="1532" customFormat="false" ht="15" hidden="false" customHeight="false" outlineLevel="0" collapsed="false">
      <c r="A1532" s="43"/>
      <c r="B1532" s="44"/>
      <c r="C1532" s="44"/>
      <c r="D1532" s="44"/>
      <c r="E1532" s="44"/>
      <c r="F1532" s="44"/>
      <c r="G1532" s="44"/>
      <c r="H1532" s="46" t="str">
        <f aca="false">IF($A1532="","",IF(OR(NOT(ISNUMBER(E1532)),NOT(ISNUMBER(F1532))),"",MAX(0,E1532)*F1532))</f>
        <v/>
      </c>
      <c r="I1532" s="46" t="str">
        <f aca="false">IF($A1532="","",SUMIF($A$2:$A$5001,$A1532,$H$2:$H$5001))</f>
        <v/>
      </c>
      <c r="J1532" s="47" t="n">
        <f aca="false">IF($A1532="",0,IF(COUNTIF($A$2:A1532,$A1532)=1,1,0))</f>
        <v>0</v>
      </c>
      <c r="K1532" s="47" t="n">
        <f aca="false">IF(J1532=1,N(I1532)+ROW()/10000000,0)</f>
        <v>0</v>
      </c>
      <c r="L1532" s="47" t="str">
        <f aca="false">IF(AND(J1532=1,N(I1532)&gt;0),SUMIF($K$2:$K$5001,"&gt;="&amp;K1532,$I$2:$I$5001)/MAX(1,SUM($H$2:$H$5001)),"")</f>
        <v/>
      </c>
      <c r="M1532" s="47" t="str">
        <f aca="false">IF($A1532="","",INDEX($L$2:$L$5001,MATCH($A1532,$A$2:$A$5001,0)))</f>
        <v/>
      </c>
      <c r="N1532" s="48" t="str">
        <f aca="false">IF($A1532="","",IF(N(M1532)=0,"–",IF(M1532&lt;=Start!$D$20,"A",IF(M1532&lt;=Start!$D$21,"B","C"))))</f>
        <v/>
      </c>
      <c r="O1532" s="48" t="str">
        <f aca="false">IF($A1532="","",IF(NOT(ISNUMBER(F1532)),"Wert fehlt; ",IF(F1532&lt;=0,"Wert ist 0; ",""))&amp;IF(NOT(ISNUMBER(E1532)),"Bestand fehlt; ",IF(E1532&lt;0,"Bestand negativ; ",IF(E1532=0,"Nullbestand; ","")))&amp;IF(D1532="","Warengruppe fehlt; ","")&amp;IF(B1532="","Bezeichnung fehlt; ","")&amp;IF(COUNTIFS($A$2:$A$5001,$A1532,$C$2:$C$5001,C1532)&gt;1,"Artikel doppelt im selben Lager; ",""))</f>
        <v/>
      </c>
      <c r="P1532" s="47" t="n">
        <f aca="false">IF(OR($A1532="",D1532=""),0,IF(COUNTIF($D$2:D1532,D1532)=1,SUMIF($D$2:$D$5001,D1532,$H$2:$H$5001)+ROW()/10000000,0))</f>
        <v>0</v>
      </c>
      <c r="Q1532" s="47" t="n">
        <f aca="false">IF(OR($A1532="",C1532=""),0,IF(COUNTIF($C$2:C1532,C1532)=1,SUMIF($C$2:$C$5001,C1532,$H$2:$H$5001)+ROW()/10000000,0))</f>
        <v>0</v>
      </c>
    </row>
    <row r="1533" customFormat="false" ht="15" hidden="false" customHeight="false" outlineLevel="0" collapsed="false">
      <c r="A1533" s="43"/>
      <c r="B1533" s="44"/>
      <c r="C1533" s="44"/>
      <c r="D1533" s="44"/>
      <c r="E1533" s="44"/>
      <c r="F1533" s="44"/>
      <c r="G1533" s="44"/>
      <c r="H1533" s="46" t="str">
        <f aca="false">IF($A1533="","",IF(OR(NOT(ISNUMBER(E1533)),NOT(ISNUMBER(F1533))),"",MAX(0,E1533)*F1533))</f>
        <v/>
      </c>
      <c r="I1533" s="46" t="str">
        <f aca="false">IF($A1533="","",SUMIF($A$2:$A$5001,$A1533,$H$2:$H$5001))</f>
        <v/>
      </c>
      <c r="J1533" s="47" t="n">
        <f aca="false">IF($A1533="",0,IF(COUNTIF($A$2:A1533,$A1533)=1,1,0))</f>
        <v>0</v>
      </c>
      <c r="K1533" s="47" t="n">
        <f aca="false">IF(J1533=1,N(I1533)+ROW()/10000000,0)</f>
        <v>0</v>
      </c>
      <c r="L1533" s="47" t="str">
        <f aca="false">IF(AND(J1533=1,N(I1533)&gt;0),SUMIF($K$2:$K$5001,"&gt;="&amp;K1533,$I$2:$I$5001)/MAX(1,SUM($H$2:$H$5001)),"")</f>
        <v/>
      </c>
      <c r="M1533" s="47" t="str">
        <f aca="false">IF($A1533="","",INDEX($L$2:$L$5001,MATCH($A1533,$A$2:$A$5001,0)))</f>
        <v/>
      </c>
      <c r="N1533" s="48" t="str">
        <f aca="false">IF($A1533="","",IF(N(M1533)=0,"–",IF(M1533&lt;=Start!$D$20,"A",IF(M1533&lt;=Start!$D$21,"B","C"))))</f>
        <v/>
      </c>
      <c r="O1533" s="48" t="str">
        <f aca="false">IF($A1533="","",IF(NOT(ISNUMBER(F1533)),"Wert fehlt; ",IF(F1533&lt;=0,"Wert ist 0; ",""))&amp;IF(NOT(ISNUMBER(E1533)),"Bestand fehlt; ",IF(E1533&lt;0,"Bestand negativ; ",IF(E1533=0,"Nullbestand; ","")))&amp;IF(D1533="","Warengruppe fehlt; ","")&amp;IF(B1533="","Bezeichnung fehlt; ","")&amp;IF(COUNTIFS($A$2:$A$5001,$A1533,$C$2:$C$5001,C1533)&gt;1,"Artikel doppelt im selben Lager; ",""))</f>
        <v/>
      </c>
      <c r="P1533" s="47" t="n">
        <f aca="false">IF(OR($A1533="",D1533=""),0,IF(COUNTIF($D$2:D1533,D1533)=1,SUMIF($D$2:$D$5001,D1533,$H$2:$H$5001)+ROW()/10000000,0))</f>
        <v>0</v>
      </c>
      <c r="Q1533" s="47" t="n">
        <f aca="false">IF(OR($A1533="",C1533=""),0,IF(COUNTIF($C$2:C1533,C1533)=1,SUMIF($C$2:$C$5001,C1533,$H$2:$H$5001)+ROW()/10000000,0))</f>
        <v>0</v>
      </c>
    </row>
    <row r="1534" customFormat="false" ht="15" hidden="false" customHeight="false" outlineLevel="0" collapsed="false">
      <c r="A1534" s="43"/>
      <c r="B1534" s="44"/>
      <c r="C1534" s="44"/>
      <c r="D1534" s="44"/>
      <c r="E1534" s="44"/>
      <c r="F1534" s="44"/>
      <c r="G1534" s="44"/>
      <c r="H1534" s="46" t="str">
        <f aca="false">IF($A1534="","",IF(OR(NOT(ISNUMBER(E1534)),NOT(ISNUMBER(F1534))),"",MAX(0,E1534)*F1534))</f>
        <v/>
      </c>
      <c r="I1534" s="46" t="str">
        <f aca="false">IF($A1534="","",SUMIF($A$2:$A$5001,$A1534,$H$2:$H$5001))</f>
        <v/>
      </c>
      <c r="J1534" s="47" t="n">
        <f aca="false">IF($A1534="",0,IF(COUNTIF($A$2:A1534,$A1534)=1,1,0))</f>
        <v>0</v>
      </c>
      <c r="K1534" s="47" t="n">
        <f aca="false">IF(J1534=1,N(I1534)+ROW()/10000000,0)</f>
        <v>0</v>
      </c>
      <c r="L1534" s="47" t="str">
        <f aca="false">IF(AND(J1534=1,N(I1534)&gt;0),SUMIF($K$2:$K$5001,"&gt;="&amp;K1534,$I$2:$I$5001)/MAX(1,SUM($H$2:$H$5001)),"")</f>
        <v/>
      </c>
      <c r="M1534" s="47" t="str">
        <f aca="false">IF($A1534="","",INDEX($L$2:$L$5001,MATCH($A1534,$A$2:$A$5001,0)))</f>
        <v/>
      </c>
      <c r="N1534" s="48" t="str">
        <f aca="false">IF($A1534="","",IF(N(M1534)=0,"–",IF(M1534&lt;=Start!$D$20,"A",IF(M1534&lt;=Start!$D$21,"B","C"))))</f>
        <v/>
      </c>
      <c r="O1534" s="48" t="str">
        <f aca="false">IF($A1534="","",IF(NOT(ISNUMBER(F1534)),"Wert fehlt; ",IF(F1534&lt;=0,"Wert ist 0; ",""))&amp;IF(NOT(ISNUMBER(E1534)),"Bestand fehlt; ",IF(E1534&lt;0,"Bestand negativ; ",IF(E1534=0,"Nullbestand; ","")))&amp;IF(D1534="","Warengruppe fehlt; ","")&amp;IF(B1534="","Bezeichnung fehlt; ","")&amp;IF(COUNTIFS($A$2:$A$5001,$A1534,$C$2:$C$5001,C1534)&gt;1,"Artikel doppelt im selben Lager; ",""))</f>
        <v/>
      </c>
      <c r="P1534" s="47" t="n">
        <f aca="false">IF(OR($A1534="",D1534=""),0,IF(COUNTIF($D$2:D1534,D1534)=1,SUMIF($D$2:$D$5001,D1534,$H$2:$H$5001)+ROW()/10000000,0))</f>
        <v>0</v>
      </c>
      <c r="Q1534" s="47" t="n">
        <f aca="false">IF(OR($A1534="",C1534=""),0,IF(COUNTIF($C$2:C1534,C1534)=1,SUMIF($C$2:$C$5001,C1534,$H$2:$H$5001)+ROW()/10000000,0))</f>
        <v>0</v>
      </c>
    </row>
    <row r="1535" customFormat="false" ht="15" hidden="false" customHeight="false" outlineLevel="0" collapsed="false">
      <c r="A1535" s="43"/>
      <c r="B1535" s="44"/>
      <c r="C1535" s="44"/>
      <c r="D1535" s="44"/>
      <c r="E1535" s="44"/>
      <c r="F1535" s="44"/>
      <c r="G1535" s="44"/>
      <c r="H1535" s="46" t="str">
        <f aca="false">IF($A1535="","",IF(OR(NOT(ISNUMBER(E1535)),NOT(ISNUMBER(F1535))),"",MAX(0,E1535)*F1535))</f>
        <v/>
      </c>
      <c r="I1535" s="46" t="str">
        <f aca="false">IF($A1535="","",SUMIF($A$2:$A$5001,$A1535,$H$2:$H$5001))</f>
        <v/>
      </c>
      <c r="J1535" s="47" t="n">
        <f aca="false">IF($A1535="",0,IF(COUNTIF($A$2:A1535,$A1535)=1,1,0))</f>
        <v>0</v>
      </c>
      <c r="K1535" s="47" t="n">
        <f aca="false">IF(J1535=1,N(I1535)+ROW()/10000000,0)</f>
        <v>0</v>
      </c>
      <c r="L1535" s="47" t="str">
        <f aca="false">IF(AND(J1535=1,N(I1535)&gt;0),SUMIF($K$2:$K$5001,"&gt;="&amp;K1535,$I$2:$I$5001)/MAX(1,SUM($H$2:$H$5001)),"")</f>
        <v/>
      </c>
      <c r="M1535" s="47" t="str">
        <f aca="false">IF($A1535="","",INDEX($L$2:$L$5001,MATCH($A1535,$A$2:$A$5001,0)))</f>
        <v/>
      </c>
      <c r="N1535" s="48" t="str">
        <f aca="false">IF($A1535="","",IF(N(M1535)=0,"–",IF(M1535&lt;=Start!$D$20,"A",IF(M1535&lt;=Start!$D$21,"B","C"))))</f>
        <v/>
      </c>
      <c r="O1535" s="48" t="str">
        <f aca="false">IF($A1535="","",IF(NOT(ISNUMBER(F1535)),"Wert fehlt; ",IF(F1535&lt;=0,"Wert ist 0; ",""))&amp;IF(NOT(ISNUMBER(E1535)),"Bestand fehlt; ",IF(E1535&lt;0,"Bestand negativ; ",IF(E1535=0,"Nullbestand; ","")))&amp;IF(D1535="","Warengruppe fehlt; ","")&amp;IF(B1535="","Bezeichnung fehlt; ","")&amp;IF(COUNTIFS($A$2:$A$5001,$A1535,$C$2:$C$5001,C1535)&gt;1,"Artikel doppelt im selben Lager; ",""))</f>
        <v/>
      </c>
      <c r="P1535" s="47" t="n">
        <f aca="false">IF(OR($A1535="",D1535=""),0,IF(COUNTIF($D$2:D1535,D1535)=1,SUMIF($D$2:$D$5001,D1535,$H$2:$H$5001)+ROW()/10000000,0))</f>
        <v>0</v>
      </c>
      <c r="Q1535" s="47" t="n">
        <f aca="false">IF(OR($A1535="",C1535=""),0,IF(COUNTIF($C$2:C1535,C1535)=1,SUMIF($C$2:$C$5001,C1535,$H$2:$H$5001)+ROW()/10000000,0))</f>
        <v>0</v>
      </c>
    </row>
    <row r="1536" customFormat="false" ht="15" hidden="false" customHeight="false" outlineLevel="0" collapsed="false">
      <c r="A1536" s="43"/>
      <c r="B1536" s="44"/>
      <c r="C1536" s="44"/>
      <c r="D1536" s="44"/>
      <c r="E1536" s="44"/>
      <c r="F1536" s="44"/>
      <c r="G1536" s="44"/>
      <c r="H1536" s="46" t="str">
        <f aca="false">IF($A1536="","",IF(OR(NOT(ISNUMBER(E1536)),NOT(ISNUMBER(F1536))),"",MAX(0,E1536)*F1536))</f>
        <v/>
      </c>
      <c r="I1536" s="46" t="str">
        <f aca="false">IF($A1536="","",SUMIF($A$2:$A$5001,$A1536,$H$2:$H$5001))</f>
        <v/>
      </c>
      <c r="J1536" s="47" t="n">
        <f aca="false">IF($A1536="",0,IF(COUNTIF($A$2:A1536,$A1536)=1,1,0))</f>
        <v>0</v>
      </c>
      <c r="K1536" s="47" t="n">
        <f aca="false">IF(J1536=1,N(I1536)+ROW()/10000000,0)</f>
        <v>0</v>
      </c>
      <c r="L1536" s="47" t="str">
        <f aca="false">IF(AND(J1536=1,N(I1536)&gt;0),SUMIF($K$2:$K$5001,"&gt;="&amp;K1536,$I$2:$I$5001)/MAX(1,SUM($H$2:$H$5001)),"")</f>
        <v/>
      </c>
      <c r="M1536" s="47" t="str">
        <f aca="false">IF($A1536="","",INDEX($L$2:$L$5001,MATCH($A1536,$A$2:$A$5001,0)))</f>
        <v/>
      </c>
      <c r="N1536" s="48" t="str">
        <f aca="false">IF($A1536="","",IF(N(M1536)=0,"–",IF(M1536&lt;=Start!$D$20,"A",IF(M1536&lt;=Start!$D$21,"B","C"))))</f>
        <v/>
      </c>
      <c r="O1536" s="48" t="str">
        <f aca="false">IF($A1536="","",IF(NOT(ISNUMBER(F1536)),"Wert fehlt; ",IF(F1536&lt;=0,"Wert ist 0; ",""))&amp;IF(NOT(ISNUMBER(E1536)),"Bestand fehlt; ",IF(E1536&lt;0,"Bestand negativ; ",IF(E1536=0,"Nullbestand; ","")))&amp;IF(D1536="","Warengruppe fehlt; ","")&amp;IF(B1536="","Bezeichnung fehlt; ","")&amp;IF(COUNTIFS($A$2:$A$5001,$A1536,$C$2:$C$5001,C1536)&gt;1,"Artikel doppelt im selben Lager; ",""))</f>
        <v/>
      </c>
      <c r="P1536" s="47" t="n">
        <f aca="false">IF(OR($A1536="",D1536=""),0,IF(COUNTIF($D$2:D1536,D1536)=1,SUMIF($D$2:$D$5001,D1536,$H$2:$H$5001)+ROW()/10000000,0))</f>
        <v>0</v>
      </c>
      <c r="Q1536" s="47" t="n">
        <f aca="false">IF(OR($A1536="",C1536=""),0,IF(COUNTIF($C$2:C1536,C1536)=1,SUMIF($C$2:$C$5001,C1536,$H$2:$H$5001)+ROW()/10000000,0))</f>
        <v>0</v>
      </c>
    </row>
    <row r="1537" customFormat="false" ht="15" hidden="false" customHeight="false" outlineLevel="0" collapsed="false">
      <c r="A1537" s="43"/>
      <c r="B1537" s="44"/>
      <c r="C1537" s="44"/>
      <c r="D1537" s="44"/>
      <c r="E1537" s="44"/>
      <c r="F1537" s="44"/>
      <c r="G1537" s="44"/>
      <c r="H1537" s="46" t="str">
        <f aca="false">IF($A1537="","",IF(OR(NOT(ISNUMBER(E1537)),NOT(ISNUMBER(F1537))),"",MAX(0,E1537)*F1537))</f>
        <v/>
      </c>
      <c r="I1537" s="46" t="str">
        <f aca="false">IF($A1537="","",SUMIF($A$2:$A$5001,$A1537,$H$2:$H$5001))</f>
        <v/>
      </c>
      <c r="J1537" s="47" t="n">
        <f aca="false">IF($A1537="",0,IF(COUNTIF($A$2:A1537,$A1537)=1,1,0))</f>
        <v>0</v>
      </c>
      <c r="K1537" s="47" t="n">
        <f aca="false">IF(J1537=1,N(I1537)+ROW()/10000000,0)</f>
        <v>0</v>
      </c>
      <c r="L1537" s="47" t="str">
        <f aca="false">IF(AND(J1537=1,N(I1537)&gt;0),SUMIF($K$2:$K$5001,"&gt;="&amp;K1537,$I$2:$I$5001)/MAX(1,SUM($H$2:$H$5001)),"")</f>
        <v/>
      </c>
      <c r="M1537" s="47" t="str">
        <f aca="false">IF($A1537="","",INDEX($L$2:$L$5001,MATCH($A1537,$A$2:$A$5001,0)))</f>
        <v/>
      </c>
      <c r="N1537" s="48" t="str">
        <f aca="false">IF($A1537="","",IF(N(M1537)=0,"–",IF(M1537&lt;=Start!$D$20,"A",IF(M1537&lt;=Start!$D$21,"B","C"))))</f>
        <v/>
      </c>
      <c r="O1537" s="48" t="str">
        <f aca="false">IF($A1537="","",IF(NOT(ISNUMBER(F1537)),"Wert fehlt; ",IF(F1537&lt;=0,"Wert ist 0; ",""))&amp;IF(NOT(ISNUMBER(E1537)),"Bestand fehlt; ",IF(E1537&lt;0,"Bestand negativ; ",IF(E1537=0,"Nullbestand; ","")))&amp;IF(D1537="","Warengruppe fehlt; ","")&amp;IF(B1537="","Bezeichnung fehlt; ","")&amp;IF(COUNTIFS($A$2:$A$5001,$A1537,$C$2:$C$5001,C1537)&gt;1,"Artikel doppelt im selben Lager; ",""))</f>
        <v/>
      </c>
      <c r="P1537" s="47" t="n">
        <f aca="false">IF(OR($A1537="",D1537=""),0,IF(COUNTIF($D$2:D1537,D1537)=1,SUMIF($D$2:$D$5001,D1537,$H$2:$H$5001)+ROW()/10000000,0))</f>
        <v>0</v>
      </c>
      <c r="Q1537" s="47" t="n">
        <f aca="false">IF(OR($A1537="",C1537=""),0,IF(COUNTIF($C$2:C1537,C1537)=1,SUMIF($C$2:$C$5001,C1537,$H$2:$H$5001)+ROW()/10000000,0))</f>
        <v>0</v>
      </c>
    </row>
    <row r="1538" customFormat="false" ht="15" hidden="false" customHeight="false" outlineLevel="0" collapsed="false">
      <c r="A1538" s="43"/>
      <c r="B1538" s="44"/>
      <c r="C1538" s="44"/>
      <c r="D1538" s="44"/>
      <c r="E1538" s="44"/>
      <c r="F1538" s="44"/>
      <c r="G1538" s="44"/>
      <c r="H1538" s="46" t="str">
        <f aca="false">IF($A1538="","",IF(OR(NOT(ISNUMBER(E1538)),NOT(ISNUMBER(F1538))),"",MAX(0,E1538)*F1538))</f>
        <v/>
      </c>
      <c r="I1538" s="46" t="str">
        <f aca="false">IF($A1538="","",SUMIF($A$2:$A$5001,$A1538,$H$2:$H$5001))</f>
        <v/>
      </c>
      <c r="J1538" s="47" t="n">
        <f aca="false">IF($A1538="",0,IF(COUNTIF($A$2:A1538,$A1538)=1,1,0))</f>
        <v>0</v>
      </c>
      <c r="K1538" s="47" t="n">
        <f aca="false">IF(J1538=1,N(I1538)+ROW()/10000000,0)</f>
        <v>0</v>
      </c>
      <c r="L1538" s="47" t="str">
        <f aca="false">IF(AND(J1538=1,N(I1538)&gt;0),SUMIF($K$2:$K$5001,"&gt;="&amp;K1538,$I$2:$I$5001)/MAX(1,SUM($H$2:$H$5001)),"")</f>
        <v/>
      </c>
      <c r="M1538" s="47" t="str">
        <f aca="false">IF($A1538="","",INDEX($L$2:$L$5001,MATCH($A1538,$A$2:$A$5001,0)))</f>
        <v/>
      </c>
      <c r="N1538" s="48" t="str">
        <f aca="false">IF($A1538="","",IF(N(M1538)=0,"–",IF(M1538&lt;=Start!$D$20,"A",IF(M1538&lt;=Start!$D$21,"B","C"))))</f>
        <v/>
      </c>
      <c r="O1538" s="48" t="str">
        <f aca="false">IF($A1538="","",IF(NOT(ISNUMBER(F1538)),"Wert fehlt; ",IF(F1538&lt;=0,"Wert ist 0; ",""))&amp;IF(NOT(ISNUMBER(E1538)),"Bestand fehlt; ",IF(E1538&lt;0,"Bestand negativ; ",IF(E1538=0,"Nullbestand; ","")))&amp;IF(D1538="","Warengruppe fehlt; ","")&amp;IF(B1538="","Bezeichnung fehlt; ","")&amp;IF(COUNTIFS($A$2:$A$5001,$A1538,$C$2:$C$5001,C1538)&gt;1,"Artikel doppelt im selben Lager; ",""))</f>
        <v/>
      </c>
      <c r="P1538" s="47" t="n">
        <f aca="false">IF(OR($A1538="",D1538=""),0,IF(COUNTIF($D$2:D1538,D1538)=1,SUMIF($D$2:$D$5001,D1538,$H$2:$H$5001)+ROW()/10000000,0))</f>
        <v>0</v>
      </c>
      <c r="Q1538" s="47" t="n">
        <f aca="false">IF(OR($A1538="",C1538=""),0,IF(COUNTIF($C$2:C1538,C1538)=1,SUMIF($C$2:$C$5001,C1538,$H$2:$H$5001)+ROW()/10000000,0))</f>
        <v>0</v>
      </c>
    </row>
    <row r="1539" customFormat="false" ht="15" hidden="false" customHeight="false" outlineLevel="0" collapsed="false">
      <c r="A1539" s="43"/>
      <c r="B1539" s="44"/>
      <c r="C1539" s="44"/>
      <c r="D1539" s="44"/>
      <c r="E1539" s="44"/>
      <c r="F1539" s="44"/>
      <c r="G1539" s="44"/>
      <c r="H1539" s="46" t="str">
        <f aca="false">IF($A1539="","",IF(OR(NOT(ISNUMBER(E1539)),NOT(ISNUMBER(F1539))),"",MAX(0,E1539)*F1539))</f>
        <v/>
      </c>
      <c r="I1539" s="46" t="str">
        <f aca="false">IF($A1539="","",SUMIF($A$2:$A$5001,$A1539,$H$2:$H$5001))</f>
        <v/>
      </c>
      <c r="J1539" s="47" t="n">
        <f aca="false">IF($A1539="",0,IF(COUNTIF($A$2:A1539,$A1539)=1,1,0))</f>
        <v>0</v>
      </c>
      <c r="K1539" s="47" t="n">
        <f aca="false">IF(J1539=1,N(I1539)+ROW()/10000000,0)</f>
        <v>0</v>
      </c>
      <c r="L1539" s="47" t="str">
        <f aca="false">IF(AND(J1539=1,N(I1539)&gt;0),SUMIF($K$2:$K$5001,"&gt;="&amp;K1539,$I$2:$I$5001)/MAX(1,SUM($H$2:$H$5001)),"")</f>
        <v/>
      </c>
      <c r="M1539" s="47" t="str">
        <f aca="false">IF($A1539="","",INDEX($L$2:$L$5001,MATCH($A1539,$A$2:$A$5001,0)))</f>
        <v/>
      </c>
      <c r="N1539" s="48" t="str">
        <f aca="false">IF($A1539="","",IF(N(M1539)=0,"–",IF(M1539&lt;=Start!$D$20,"A",IF(M1539&lt;=Start!$D$21,"B","C"))))</f>
        <v/>
      </c>
      <c r="O1539" s="48" t="str">
        <f aca="false">IF($A1539="","",IF(NOT(ISNUMBER(F1539)),"Wert fehlt; ",IF(F1539&lt;=0,"Wert ist 0; ",""))&amp;IF(NOT(ISNUMBER(E1539)),"Bestand fehlt; ",IF(E1539&lt;0,"Bestand negativ; ",IF(E1539=0,"Nullbestand; ","")))&amp;IF(D1539="","Warengruppe fehlt; ","")&amp;IF(B1539="","Bezeichnung fehlt; ","")&amp;IF(COUNTIFS($A$2:$A$5001,$A1539,$C$2:$C$5001,C1539)&gt;1,"Artikel doppelt im selben Lager; ",""))</f>
        <v/>
      </c>
      <c r="P1539" s="47" t="n">
        <f aca="false">IF(OR($A1539="",D1539=""),0,IF(COUNTIF($D$2:D1539,D1539)=1,SUMIF($D$2:$D$5001,D1539,$H$2:$H$5001)+ROW()/10000000,0))</f>
        <v>0</v>
      </c>
      <c r="Q1539" s="47" t="n">
        <f aca="false">IF(OR($A1539="",C1539=""),0,IF(COUNTIF($C$2:C1539,C1539)=1,SUMIF($C$2:$C$5001,C1539,$H$2:$H$5001)+ROW()/10000000,0))</f>
        <v>0</v>
      </c>
    </row>
    <row r="1540" customFormat="false" ht="15" hidden="false" customHeight="false" outlineLevel="0" collapsed="false">
      <c r="A1540" s="43"/>
      <c r="B1540" s="44"/>
      <c r="C1540" s="44"/>
      <c r="D1540" s="44"/>
      <c r="E1540" s="44"/>
      <c r="F1540" s="44"/>
      <c r="G1540" s="44"/>
      <c r="H1540" s="46" t="str">
        <f aca="false">IF($A1540="","",IF(OR(NOT(ISNUMBER(E1540)),NOT(ISNUMBER(F1540))),"",MAX(0,E1540)*F1540))</f>
        <v/>
      </c>
      <c r="I1540" s="46" t="str">
        <f aca="false">IF($A1540="","",SUMIF($A$2:$A$5001,$A1540,$H$2:$H$5001))</f>
        <v/>
      </c>
      <c r="J1540" s="47" t="n">
        <f aca="false">IF($A1540="",0,IF(COUNTIF($A$2:A1540,$A1540)=1,1,0))</f>
        <v>0</v>
      </c>
      <c r="K1540" s="47" t="n">
        <f aca="false">IF(J1540=1,N(I1540)+ROW()/10000000,0)</f>
        <v>0</v>
      </c>
      <c r="L1540" s="47" t="str">
        <f aca="false">IF(AND(J1540=1,N(I1540)&gt;0),SUMIF($K$2:$K$5001,"&gt;="&amp;K1540,$I$2:$I$5001)/MAX(1,SUM($H$2:$H$5001)),"")</f>
        <v/>
      </c>
      <c r="M1540" s="47" t="str">
        <f aca="false">IF($A1540="","",INDEX($L$2:$L$5001,MATCH($A1540,$A$2:$A$5001,0)))</f>
        <v/>
      </c>
      <c r="N1540" s="48" t="str">
        <f aca="false">IF($A1540="","",IF(N(M1540)=0,"–",IF(M1540&lt;=Start!$D$20,"A",IF(M1540&lt;=Start!$D$21,"B","C"))))</f>
        <v/>
      </c>
      <c r="O1540" s="48" t="str">
        <f aca="false">IF($A1540="","",IF(NOT(ISNUMBER(F1540)),"Wert fehlt; ",IF(F1540&lt;=0,"Wert ist 0; ",""))&amp;IF(NOT(ISNUMBER(E1540)),"Bestand fehlt; ",IF(E1540&lt;0,"Bestand negativ; ",IF(E1540=0,"Nullbestand; ","")))&amp;IF(D1540="","Warengruppe fehlt; ","")&amp;IF(B1540="","Bezeichnung fehlt; ","")&amp;IF(COUNTIFS($A$2:$A$5001,$A1540,$C$2:$C$5001,C1540)&gt;1,"Artikel doppelt im selben Lager; ",""))</f>
        <v/>
      </c>
      <c r="P1540" s="47" t="n">
        <f aca="false">IF(OR($A1540="",D1540=""),0,IF(COUNTIF($D$2:D1540,D1540)=1,SUMIF($D$2:$D$5001,D1540,$H$2:$H$5001)+ROW()/10000000,0))</f>
        <v>0</v>
      </c>
      <c r="Q1540" s="47" t="n">
        <f aca="false">IF(OR($A1540="",C1540=""),0,IF(COUNTIF($C$2:C1540,C1540)=1,SUMIF($C$2:$C$5001,C1540,$H$2:$H$5001)+ROW()/10000000,0))</f>
        <v>0</v>
      </c>
    </row>
    <row r="1541" customFormat="false" ht="15" hidden="false" customHeight="false" outlineLevel="0" collapsed="false">
      <c r="A1541" s="43"/>
      <c r="B1541" s="44"/>
      <c r="C1541" s="44"/>
      <c r="D1541" s="44"/>
      <c r="E1541" s="44"/>
      <c r="F1541" s="44"/>
      <c r="G1541" s="44"/>
      <c r="H1541" s="46" t="str">
        <f aca="false">IF($A1541="","",IF(OR(NOT(ISNUMBER(E1541)),NOT(ISNUMBER(F1541))),"",MAX(0,E1541)*F1541))</f>
        <v/>
      </c>
      <c r="I1541" s="46" t="str">
        <f aca="false">IF($A1541="","",SUMIF($A$2:$A$5001,$A1541,$H$2:$H$5001))</f>
        <v/>
      </c>
      <c r="J1541" s="47" t="n">
        <f aca="false">IF($A1541="",0,IF(COUNTIF($A$2:A1541,$A1541)=1,1,0))</f>
        <v>0</v>
      </c>
      <c r="K1541" s="47" t="n">
        <f aca="false">IF(J1541=1,N(I1541)+ROW()/10000000,0)</f>
        <v>0</v>
      </c>
      <c r="L1541" s="47" t="str">
        <f aca="false">IF(AND(J1541=1,N(I1541)&gt;0),SUMIF($K$2:$K$5001,"&gt;="&amp;K1541,$I$2:$I$5001)/MAX(1,SUM($H$2:$H$5001)),"")</f>
        <v/>
      </c>
      <c r="M1541" s="47" t="str">
        <f aca="false">IF($A1541="","",INDEX($L$2:$L$5001,MATCH($A1541,$A$2:$A$5001,0)))</f>
        <v/>
      </c>
      <c r="N1541" s="48" t="str">
        <f aca="false">IF($A1541="","",IF(N(M1541)=0,"–",IF(M1541&lt;=Start!$D$20,"A",IF(M1541&lt;=Start!$D$21,"B","C"))))</f>
        <v/>
      </c>
      <c r="O1541" s="48" t="str">
        <f aca="false">IF($A1541="","",IF(NOT(ISNUMBER(F1541)),"Wert fehlt; ",IF(F1541&lt;=0,"Wert ist 0; ",""))&amp;IF(NOT(ISNUMBER(E1541)),"Bestand fehlt; ",IF(E1541&lt;0,"Bestand negativ; ",IF(E1541=0,"Nullbestand; ","")))&amp;IF(D1541="","Warengruppe fehlt; ","")&amp;IF(B1541="","Bezeichnung fehlt; ","")&amp;IF(COUNTIFS($A$2:$A$5001,$A1541,$C$2:$C$5001,C1541)&gt;1,"Artikel doppelt im selben Lager; ",""))</f>
        <v/>
      </c>
      <c r="P1541" s="47" t="n">
        <f aca="false">IF(OR($A1541="",D1541=""),0,IF(COUNTIF($D$2:D1541,D1541)=1,SUMIF($D$2:$D$5001,D1541,$H$2:$H$5001)+ROW()/10000000,0))</f>
        <v>0</v>
      </c>
      <c r="Q1541" s="47" t="n">
        <f aca="false">IF(OR($A1541="",C1541=""),0,IF(COUNTIF($C$2:C1541,C1541)=1,SUMIF($C$2:$C$5001,C1541,$H$2:$H$5001)+ROW()/10000000,0))</f>
        <v>0</v>
      </c>
    </row>
    <row r="1542" customFormat="false" ht="15" hidden="false" customHeight="false" outlineLevel="0" collapsed="false">
      <c r="A1542" s="43"/>
      <c r="B1542" s="44"/>
      <c r="C1542" s="44"/>
      <c r="D1542" s="44"/>
      <c r="E1542" s="44"/>
      <c r="F1542" s="44"/>
      <c r="G1542" s="44"/>
      <c r="H1542" s="46" t="str">
        <f aca="false">IF($A1542="","",IF(OR(NOT(ISNUMBER(E1542)),NOT(ISNUMBER(F1542))),"",MAX(0,E1542)*F1542))</f>
        <v/>
      </c>
      <c r="I1542" s="46" t="str">
        <f aca="false">IF($A1542="","",SUMIF($A$2:$A$5001,$A1542,$H$2:$H$5001))</f>
        <v/>
      </c>
      <c r="J1542" s="47" t="n">
        <f aca="false">IF($A1542="",0,IF(COUNTIF($A$2:A1542,$A1542)=1,1,0))</f>
        <v>0</v>
      </c>
      <c r="K1542" s="47" t="n">
        <f aca="false">IF(J1542=1,N(I1542)+ROW()/10000000,0)</f>
        <v>0</v>
      </c>
      <c r="L1542" s="47" t="str">
        <f aca="false">IF(AND(J1542=1,N(I1542)&gt;0),SUMIF($K$2:$K$5001,"&gt;="&amp;K1542,$I$2:$I$5001)/MAX(1,SUM($H$2:$H$5001)),"")</f>
        <v/>
      </c>
      <c r="M1542" s="47" t="str">
        <f aca="false">IF($A1542="","",INDEX($L$2:$L$5001,MATCH($A1542,$A$2:$A$5001,0)))</f>
        <v/>
      </c>
      <c r="N1542" s="48" t="str">
        <f aca="false">IF($A1542="","",IF(N(M1542)=0,"–",IF(M1542&lt;=Start!$D$20,"A",IF(M1542&lt;=Start!$D$21,"B","C"))))</f>
        <v/>
      </c>
      <c r="O1542" s="48" t="str">
        <f aca="false">IF($A1542="","",IF(NOT(ISNUMBER(F1542)),"Wert fehlt; ",IF(F1542&lt;=0,"Wert ist 0; ",""))&amp;IF(NOT(ISNUMBER(E1542)),"Bestand fehlt; ",IF(E1542&lt;0,"Bestand negativ; ",IF(E1542=0,"Nullbestand; ","")))&amp;IF(D1542="","Warengruppe fehlt; ","")&amp;IF(B1542="","Bezeichnung fehlt; ","")&amp;IF(COUNTIFS($A$2:$A$5001,$A1542,$C$2:$C$5001,C1542)&gt;1,"Artikel doppelt im selben Lager; ",""))</f>
        <v/>
      </c>
      <c r="P1542" s="47" t="n">
        <f aca="false">IF(OR($A1542="",D1542=""),0,IF(COUNTIF($D$2:D1542,D1542)=1,SUMIF($D$2:$D$5001,D1542,$H$2:$H$5001)+ROW()/10000000,0))</f>
        <v>0</v>
      </c>
      <c r="Q1542" s="47" t="n">
        <f aca="false">IF(OR($A1542="",C1542=""),0,IF(COUNTIF($C$2:C1542,C1542)=1,SUMIF($C$2:$C$5001,C1542,$H$2:$H$5001)+ROW()/10000000,0))</f>
        <v>0</v>
      </c>
    </row>
    <row r="1543" customFormat="false" ht="15" hidden="false" customHeight="false" outlineLevel="0" collapsed="false">
      <c r="A1543" s="43"/>
      <c r="B1543" s="44"/>
      <c r="C1543" s="44"/>
      <c r="D1543" s="44"/>
      <c r="E1543" s="44"/>
      <c r="F1543" s="44"/>
      <c r="G1543" s="44"/>
      <c r="H1543" s="46" t="str">
        <f aca="false">IF($A1543="","",IF(OR(NOT(ISNUMBER(E1543)),NOT(ISNUMBER(F1543))),"",MAX(0,E1543)*F1543))</f>
        <v/>
      </c>
      <c r="I1543" s="46" t="str">
        <f aca="false">IF($A1543="","",SUMIF($A$2:$A$5001,$A1543,$H$2:$H$5001))</f>
        <v/>
      </c>
      <c r="J1543" s="47" t="n">
        <f aca="false">IF($A1543="",0,IF(COUNTIF($A$2:A1543,$A1543)=1,1,0))</f>
        <v>0</v>
      </c>
      <c r="K1543" s="47" t="n">
        <f aca="false">IF(J1543=1,N(I1543)+ROW()/10000000,0)</f>
        <v>0</v>
      </c>
      <c r="L1543" s="47" t="str">
        <f aca="false">IF(AND(J1543=1,N(I1543)&gt;0),SUMIF($K$2:$K$5001,"&gt;="&amp;K1543,$I$2:$I$5001)/MAX(1,SUM($H$2:$H$5001)),"")</f>
        <v/>
      </c>
      <c r="M1543" s="47" t="str">
        <f aca="false">IF($A1543="","",INDEX($L$2:$L$5001,MATCH($A1543,$A$2:$A$5001,0)))</f>
        <v/>
      </c>
      <c r="N1543" s="48" t="str">
        <f aca="false">IF($A1543="","",IF(N(M1543)=0,"–",IF(M1543&lt;=Start!$D$20,"A",IF(M1543&lt;=Start!$D$21,"B","C"))))</f>
        <v/>
      </c>
      <c r="O1543" s="48" t="str">
        <f aca="false">IF($A1543="","",IF(NOT(ISNUMBER(F1543)),"Wert fehlt; ",IF(F1543&lt;=0,"Wert ist 0; ",""))&amp;IF(NOT(ISNUMBER(E1543)),"Bestand fehlt; ",IF(E1543&lt;0,"Bestand negativ; ",IF(E1543=0,"Nullbestand; ","")))&amp;IF(D1543="","Warengruppe fehlt; ","")&amp;IF(B1543="","Bezeichnung fehlt; ","")&amp;IF(COUNTIFS($A$2:$A$5001,$A1543,$C$2:$C$5001,C1543)&gt;1,"Artikel doppelt im selben Lager; ",""))</f>
        <v/>
      </c>
      <c r="P1543" s="47" t="n">
        <f aca="false">IF(OR($A1543="",D1543=""),0,IF(COUNTIF($D$2:D1543,D1543)=1,SUMIF($D$2:$D$5001,D1543,$H$2:$H$5001)+ROW()/10000000,0))</f>
        <v>0</v>
      </c>
      <c r="Q1543" s="47" t="n">
        <f aca="false">IF(OR($A1543="",C1543=""),0,IF(COUNTIF($C$2:C1543,C1543)=1,SUMIF($C$2:$C$5001,C1543,$H$2:$H$5001)+ROW()/10000000,0))</f>
        <v>0</v>
      </c>
    </row>
    <row r="1544" customFormat="false" ht="15" hidden="false" customHeight="false" outlineLevel="0" collapsed="false">
      <c r="A1544" s="43"/>
      <c r="B1544" s="44"/>
      <c r="C1544" s="44"/>
      <c r="D1544" s="44"/>
      <c r="E1544" s="44"/>
      <c r="F1544" s="44"/>
      <c r="G1544" s="44"/>
      <c r="H1544" s="46" t="str">
        <f aca="false">IF($A1544="","",IF(OR(NOT(ISNUMBER(E1544)),NOT(ISNUMBER(F1544))),"",MAX(0,E1544)*F1544))</f>
        <v/>
      </c>
      <c r="I1544" s="46" t="str">
        <f aca="false">IF($A1544="","",SUMIF($A$2:$A$5001,$A1544,$H$2:$H$5001))</f>
        <v/>
      </c>
      <c r="J1544" s="47" t="n">
        <f aca="false">IF($A1544="",0,IF(COUNTIF($A$2:A1544,$A1544)=1,1,0))</f>
        <v>0</v>
      </c>
      <c r="K1544" s="47" t="n">
        <f aca="false">IF(J1544=1,N(I1544)+ROW()/10000000,0)</f>
        <v>0</v>
      </c>
      <c r="L1544" s="47" t="str">
        <f aca="false">IF(AND(J1544=1,N(I1544)&gt;0),SUMIF($K$2:$K$5001,"&gt;="&amp;K1544,$I$2:$I$5001)/MAX(1,SUM($H$2:$H$5001)),"")</f>
        <v/>
      </c>
      <c r="M1544" s="47" t="str">
        <f aca="false">IF($A1544="","",INDEX($L$2:$L$5001,MATCH($A1544,$A$2:$A$5001,0)))</f>
        <v/>
      </c>
      <c r="N1544" s="48" t="str">
        <f aca="false">IF($A1544="","",IF(N(M1544)=0,"–",IF(M1544&lt;=Start!$D$20,"A",IF(M1544&lt;=Start!$D$21,"B","C"))))</f>
        <v/>
      </c>
      <c r="O1544" s="48" t="str">
        <f aca="false">IF($A1544="","",IF(NOT(ISNUMBER(F1544)),"Wert fehlt; ",IF(F1544&lt;=0,"Wert ist 0; ",""))&amp;IF(NOT(ISNUMBER(E1544)),"Bestand fehlt; ",IF(E1544&lt;0,"Bestand negativ; ",IF(E1544=0,"Nullbestand; ","")))&amp;IF(D1544="","Warengruppe fehlt; ","")&amp;IF(B1544="","Bezeichnung fehlt; ","")&amp;IF(COUNTIFS($A$2:$A$5001,$A1544,$C$2:$C$5001,C1544)&gt;1,"Artikel doppelt im selben Lager; ",""))</f>
        <v/>
      </c>
      <c r="P1544" s="47" t="n">
        <f aca="false">IF(OR($A1544="",D1544=""),0,IF(COUNTIF($D$2:D1544,D1544)=1,SUMIF($D$2:$D$5001,D1544,$H$2:$H$5001)+ROW()/10000000,0))</f>
        <v>0</v>
      </c>
      <c r="Q1544" s="47" t="n">
        <f aca="false">IF(OR($A1544="",C1544=""),0,IF(COUNTIF($C$2:C1544,C1544)=1,SUMIF($C$2:$C$5001,C1544,$H$2:$H$5001)+ROW()/10000000,0))</f>
        <v>0</v>
      </c>
    </row>
    <row r="1545" customFormat="false" ht="15" hidden="false" customHeight="false" outlineLevel="0" collapsed="false">
      <c r="A1545" s="43"/>
      <c r="B1545" s="44"/>
      <c r="C1545" s="44"/>
      <c r="D1545" s="44"/>
      <c r="E1545" s="44"/>
      <c r="F1545" s="44"/>
      <c r="G1545" s="44"/>
      <c r="H1545" s="46" t="str">
        <f aca="false">IF($A1545="","",IF(OR(NOT(ISNUMBER(E1545)),NOT(ISNUMBER(F1545))),"",MAX(0,E1545)*F1545))</f>
        <v/>
      </c>
      <c r="I1545" s="46" t="str">
        <f aca="false">IF($A1545="","",SUMIF($A$2:$A$5001,$A1545,$H$2:$H$5001))</f>
        <v/>
      </c>
      <c r="J1545" s="47" t="n">
        <f aca="false">IF($A1545="",0,IF(COUNTIF($A$2:A1545,$A1545)=1,1,0))</f>
        <v>0</v>
      </c>
      <c r="K1545" s="47" t="n">
        <f aca="false">IF(J1545=1,N(I1545)+ROW()/10000000,0)</f>
        <v>0</v>
      </c>
      <c r="L1545" s="47" t="str">
        <f aca="false">IF(AND(J1545=1,N(I1545)&gt;0),SUMIF($K$2:$K$5001,"&gt;="&amp;K1545,$I$2:$I$5001)/MAX(1,SUM($H$2:$H$5001)),"")</f>
        <v/>
      </c>
      <c r="M1545" s="47" t="str">
        <f aca="false">IF($A1545="","",INDEX($L$2:$L$5001,MATCH($A1545,$A$2:$A$5001,0)))</f>
        <v/>
      </c>
      <c r="N1545" s="48" t="str">
        <f aca="false">IF($A1545="","",IF(N(M1545)=0,"–",IF(M1545&lt;=Start!$D$20,"A",IF(M1545&lt;=Start!$D$21,"B","C"))))</f>
        <v/>
      </c>
      <c r="O1545" s="48" t="str">
        <f aca="false">IF($A1545="","",IF(NOT(ISNUMBER(F1545)),"Wert fehlt; ",IF(F1545&lt;=0,"Wert ist 0; ",""))&amp;IF(NOT(ISNUMBER(E1545)),"Bestand fehlt; ",IF(E1545&lt;0,"Bestand negativ; ",IF(E1545=0,"Nullbestand; ","")))&amp;IF(D1545="","Warengruppe fehlt; ","")&amp;IF(B1545="","Bezeichnung fehlt; ","")&amp;IF(COUNTIFS($A$2:$A$5001,$A1545,$C$2:$C$5001,C1545)&gt;1,"Artikel doppelt im selben Lager; ",""))</f>
        <v/>
      </c>
      <c r="P1545" s="47" t="n">
        <f aca="false">IF(OR($A1545="",D1545=""),0,IF(COUNTIF($D$2:D1545,D1545)=1,SUMIF($D$2:$D$5001,D1545,$H$2:$H$5001)+ROW()/10000000,0))</f>
        <v>0</v>
      </c>
      <c r="Q1545" s="47" t="n">
        <f aca="false">IF(OR($A1545="",C1545=""),0,IF(COUNTIF($C$2:C1545,C1545)=1,SUMIF($C$2:$C$5001,C1545,$H$2:$H$5001)+ROW()/10000000,0))</f>
        <v>0</v>
      </c>
    </row>
    <row r="1546" customFormat="false" ht="15" hidden="false" customHeight="false" outlineLevel="0" collapsed="false">
      <c r="A1546" s="43"/>
      <c r="B1546" s="44"/>
      <c r="C1546" s="44"/>
      <c r="D1546" s="44"/>
      <c r="E1546" s="44"/>
      <c r="F1546" s="44"/>
      <c r="G1546" s="44"/>
      <c r="H1546" s="46" t="str">
        <f aca="false">IF($A1546="","",IF(OR(NOT(ISNUMBER(E1546)),NOT(ISNUMBER(F1546))),"",MAX(0,E1546)*F1546))</f>
        <v/>
      </c>
      <c r="I1546" s="46" t="str">
        <f aca="false">IF($A1546="","",SUMIF($A$2:$A$5001,$A1546,$H$2:$H$5001))</f>
        <v/>
      </c>
      <c r="J1546" s="47" t="n">
        <f aca="false">IF($A1546="",0,IF(COUNTIF($A$2:A1546,$A1546)=1,1,0))</f>
        <v>0</v>
      </c>
      <c r="K1546" s="47" t="n">
        <f aca="false">IF(J1546=1,N(I1546)+ROW()/10000000,0)</f>
        <v>0</v>
      </c>
      <c r="L1546" s="47" t="str">
        <f aca="false">IF(AND(J1546=1,N(I1546)&gt;0),SUMIF($K$2:$K$5001,"&gt;="&amp;K1546,$I$2:$I$5001)/MAX(1,SUM($H$2:$H$5001)),"")</f>
        <v/>
      </c>
      <c r="M1546" s="47" t="str">
        <f aca="false">IF($A1546="","",INDEX($L$2:$L$5001,MATCH($A1546,$A$2:$A$5001,0)))</f>
        <v/>
      </c>
      <c r="N1546" s="48" t="str">
        <f aca="false">IF($A1546="","",IF(N(M1546)=0,"–",IF(M1546&lt;=Start!$D$20,"A",IF(M1546&lt;=Start!$D$21,"B","C"))))</f>
        <v/>
      </c>
      <c r="O1546" s="48" t="str">
        <f aca="false">IF($A1546="","",IF(NOT(ISNUMBER(F1546)),"Wert fehlt; ",IF(F1546&lt;=0,"Wert ist 0; ",""))&amp;IF(NOT(ISNUMBER(E1546)),"Bestand fehlt; ",IF(E1546&lt;0,"Bestand negativ; ",IF(E1546=0,"Nullbestand; ","")))&amp;IF(D1546="","Warengruppe fehlt; ","")&amp;IF(B1546="","Bezeichnung fehlt; ","")&amp;IF(COUNTIFS($A$2:$A$5001,$A1546,$C$2:$C$5001,C1546)&gt;1,"Artikel doppelt im selben Lager; ",""))</f>
        <v/>
      </c>
      <c r="P1546" s="47" t="n">
        <f aca="false">IF(OR($A1546="",D1546=""),0,IF(COUNTIF($D$2:D1546,D1546)=1,SUMIF($D$2:$D$5001,D1546,$H$2:$H$5001)+ROW()/10000000,0))</f>
        <v>0</v>
      </c>
      <c r="Q1546" s="47" t="n">
        <f aca="false">IF(OR($A1546="",C1546=""),0,IF(COUNTIF($C$2:C1546,C1546)=1,SUMIF($C$2:$C$5001,C1546,$H$2:$H$5001)+ROW()/10000000,0))</f>
        <v>0</v>
      </c>
    </row>
    <row r="1547" customFormat="false" ht="15" hidden="false" customHeight="false" outlineLevel="0" collapsed="false">
      <c r="A1547" s="43"/>
      <c r="B1547" s="44"/>
      <c r="C1547" s="44"/>
      <c r="D1547" s="44"/>
      <c r="E1547" s="44"/>
      <c r="F1547" s="44"/>
      <c r="G1547" s="44"/>
      <c r="H1547" s="46" t="str">
        <f aca="false">IF($A1547="","",IF(OR(NOT(ISNUMBER(E1547)),NOT(ISNUMBER(F1547))),"",MAX(0,E1547)*F1547))</f>
        <v/>
      </c>
      <c r="I1547" s="46" t="str">
        <f aca="false">IF($A1547="","",SUMIF($A$2:$A$5001,$A1547,$H$2:$H$5001))</f>
        <v/>
      </c>
      <c r="J1547" s="47" t="n">
        <f aca="false">IF($A1547="",0,IF(COUNTIF($A$2:A1547,$A1547)=1,1,0))</f>
        <v>0</v>
      </c>
      <c r="K1547" s="47" t="n">
        <f aca="false">IF(J1547=1,N(I1547)+ROW()/10000000,0)</f>
        <v>0</v>
      </c>
      <c r="L1547" s="47" t="str">
        <f aca="false">IF(AND(J1547=1,N(I1547)&gt;0),SUMIF($K$2:$K$5001,"&gt;="&amp;K1547,$I$2:$I$5001)/MAX(1,SUM($H$2:$H$5001)),"")</f>
        <v/>
      </c>
      <c r="M1547" s="47" t="str">
        <f aca="false">IF($A1547="","",INDEX($L$2:$L$5001,MATCH($A1547,$A$2:$A$5001,0)))</f>
        <v/>
      </c>
      <c r="N1547" s="48" t="str">
        <f aca="false">IF($A1547="","",IF(N(M1547)=0,"–",IF(M1547&lt;=Start!$D$20,"A",IF(M1547&lt;=Start!$D$21,"B","C"))))</f>
        <v/>
      </c>
      <c r="O1547" s="48" t="str">
        <f aca="false">IF($A1547="","",IF(NOT(ISNUMBER(F1547)),"Wert fehlt; ",IF(F1547&lt;=0,"Wert ist 0; ",""))&amp;IF(NOT(ISNUMBER(E1547)),"Bestand fehlt; ",IF(E1547&lt;0,"Bestand negativ; ",IF(E1547=0,"Nullbestand; ","")))&amp;IF(D1547="","Warengruppe fehlt; ","")&amp;IF(B1547="","Bezeichnung fehlt; ","")&amp;IF(COUNTIFS($A$2:$A$5001,$A1547,$C$2:$C$5001,C1547)&gt;1,"Artikel doppelt im selben Lager; ",""))</f>
        <v/>
      </c>
      <c r="P1547" s="47" t="n">
        <f aca="false">IF(OR($A1547="",D1547=""),0,IF(COUNTIF($D$2:D1547,D1547)=1,SUMIF($D$2:$D$5001,D1547,$H$2:$H$5001)+ROW()/10000000,0))</f>
        <v>0</v>
      </c>
      <c r="Q1547" s="47" t="n">
        <f aca="false">IF(OR($A1547="",C1547=""),0,IF(COUNTIF($C$2:C1547,C1547)=1,SUMIF($C$2:$C$5001,C1547,$H$2:$H$5001)+ROW()/10000000,0))</f>
        <v>0</v>
      </c>
    </row>
    <row r="1548" customFormat="false" ht="15" hidden="false" customHeight="false" outlineLevel="0" collapsed="false">
      <c r="A1548" s="43"/>
      <c r="B1548" s="44"/>
      <c r="C1548" s="44"/>
      <c r="D1548" s="44"/>
      <c r="E1548" s="44"/>
      <c r="F1548" s="44"/>
      <c r="G1548" s="44"/>
      <c r="H1548" s="46" t="str">
        <f aca="false">IF($A1548="","",IF(OR(NOT(ISNUMBER(E1548)),NOT(ISNUMBER(F1548))),"",MAX(0,E1548)*F1548))</f>
        <v/>
      </c>
      <c r="I1548" s="46" t="str">
        <f aca="false">IF($A1548="","",SUMIF($A$2:$A$5001,$A1548,$H$2:$H$5001))</f>
        <v/>
      </c>
      <c r="J1548" s="47" t="n">
        <f aca="false">IF($A1548="",0,IF(COUNTIF($A$2:A1548,$A1548)=1,1,0))</f>
        <v>0</v>
      </c>
      <c r="K1548" s="47" t="n">
        <f aca="false">IF(J1548=1,N(I1548)+ROW()/10000000,0)</f>
        <v>0</v>
      </c>
      <c r="L1548" s="47" t="str">
        <f aca="false">IF(AND(J1548=1,N(I1548)&gt;0),SUMIF($K$2:$K$5001,"&gt;="&amp;K1548,$I$2:$I$5001)/MAX(1,SUM($H$2:$H$5001)),"")</f>
        <v/>
      </c>
      <c r="M1548" s="47" t="str">
        <f aca="false">IF($A1548="","",INDEX($L$2:$L$5001,MATCH($A1548,$A$2:$A$5001,0)))</f>
        <v/>
      </c>
      <c r="N1548" s="48" t="str">
        <f aca="false">IF($A1548="","",IF(N(M1548)=0,"–",IF(M1548&lt;=Start!$D$20,"A",IF(M1548&lt;=Start!$D$21,"B","C"))))</f>
        <v/>
      </c>
      <c r="O1548" s="48" t="str">
        <f aca="false">IF($A1548="","",IF(NOT(ISNUMBER(F1548)),"Wert fehlt; ",IF(F1548&lt;=0,"Wert ist 0; ",""))&amp;IF(NOT(ISNUMBER(E1548)),"Bestand fehlt; ",IF(E1548&lt;0,"Bestand negativ; ",IF(E1548=0,"Nullbestand; ","")))&amp;IF(D1548="","Warengruppe fehlt; ","")&amp;IF(B1548="","Bezeichnung fehlt; ","")&amp;IF(COUNTIFS($A$2:$A$5001,$A1548,$C$2:$C$5001,C1548)&gt;1,"Artikel doppelt im selben Lager; ",""))</f>
        <v/>
      </c>
      <c r="P1548" s="47" t="n">
        <f aca="false">IF(OR($A1548="",D1548=""),0,IF(COUNTIF($D$2:D1548,D1548)=1,SUMIF($D$2:$D$5001,D1548,$H$2:$H$5001)+ROW()/10000000,0))</f>
        <v>0</v>
      </c>
      <c r="Q1548" s="47" t="n">
        <f aca="false">IF(OR($A1548="",C1548=""),0,IF(COUNTIF($C$2:C1548,C1548)=1,SUMIF($C$2:$C$5001,C1548,$H$2:$H$5001)+ROW()/10000000,0))</f>
        <v>0</v>
      </c>
    </row>
    <row r="1549" customFormat="false" ht="15" hidden="false" customHeight="false" outlineLevel="0" collapsed="false">
      <c r="A1549" s="43"/>
      <c r="B1549" s="44"/>
      <c r="C1549" s="44"/>
      <c r="D1549" s="44"/>
      <c r="E1549" s="44"/>
      <c r="F1549" s="44"/>
      <c r="G1549" s="44"/>
      <c r="H1549" s="46" t="str">
        <f aca="false">IF($A1549="","",IF(OR(NOT(ISNUMBER(E1549)),NOT(ISNUMBER(F1549))),"",MAX(0,E1549)*F1549))</f>
        <v/>
      </c>
      <c r="I1549" s="46" t="str">
        <f aca="false">IF($A1549="","",SUMIF($A$2:$A$5001,$A1549,$H$2:$H$5001))</f>
        <v/>
      </c>
      <c r="J1549" s="47" t="n">
        <f aca="false">IF($A1549="",0,IF(COUNTIF($A$2:A1549,$A1549)=1,1,0))</f>
        <v>0</v>
      </c>
      <c r="K1549" s="47" t="n">
        <f aca="false">IF(J1549=1,N(I1549)+ROW()/10000000,0)</f>
        <v>0</v>
      </c>
      <c r="L1549" s="47" t="str">
        <f aca="false">IF(AND(J1549=1,N(I1549)&gt;0),SUMIF($K$2:$K$5001,"&gt;="&amp;K1549,$I$2:$I$5001)/MAX(1,SUM($H$2:$H$5001)),"")</f>
        <v/>
      </c>
      <c r="M1549" s="47" t="str">
        <f aca="false">IF($A1549="","",INDEX($L$2:$L$5001,MATCH($A1549,$A$2:$A$5001,0)))</f>
        <v/>
      </c>
      <c r="N1549" s="48" t="str">
        <f aca="false">IF($A1549="","",IF(N(M1549)=0,"–",IF(M1549&lt;=Start!$D$20,"A",IF(M1549&lt;=Start!$D$21,"B","C"))))</f>
        <v/>
      </c>
      <c r="O1549" s="48" t="str">
        <f aca="false">IF($A1549="","",IF(NOT(ISNUMBER(F1549)),"Wert fehlt; ",IF(F1549&lt;=0,"Wert ist 0; ",""))&amp;IF(NOT(ISNUMBER(E1549)),"Bestand fehlt; ",IF(E1549&lt;0,"Bestand negativ; ",IF(E1549=0,"Nullbestand; ","")))&amp;IF(D1549="","Warengruppe fehlt; ","")&amp;IF(B1549="","Bezeichnung fehlt; ","")&amp;IF(COUNTIFS($A$2:$A$5001,$A1549,$C$2:$C$5001,C1549)&gt;1,"Artikel doppelt im selben Lager; ",""))</f>
        <v/>
      </c>
      <c r="P1549" s="47" t="n">
        <f aca="false">IF(OR($A1549="",D1549=""),0,IF(COUNTIF($D$2:D1549,D1549)=1,SUMIF($D$2:$D$5001,D1549,$H$2:$H$5001)+ROW()/10000000,0))</f>
        <v>0</v>
      </c>
      <c r="Q1549" s="47" t="n">
        <f aca="false">IF(OR($A1549="",C1549=""),0,IF(COUNTIF($C$2:C1549,C1549)=1,SUMIF($C$2:$C$5001,C1549,$H$2:$H$5001)+ROW()/10000000,0))</f>
        <v>0</v>
      </c>
    </row>
    <row r="1550" customFormat="false" ht="15" hidden="false" customHeight="false" outlineLevel="0" collapsed="false">
      <c r="A1550" s="43"/>
      <c r="B1550" s="44"/>
      <c r="C1550" s="44"/>
      <c r="D1550" s="44"/>
      <c r="E1550" s="44"/>
      <c r="F1550" s="44"/>
      <c r="G1550" s="44"/>
      <c r="H1550" s="46" t="str">
        <f aca="false">IF($A1550="","",IF(OR(NOT(ISNUMBER(E1550)),NOT(ISNUMBER(F1550))),"",MAX(0,E1550)*F1550))</f>
        <v/>
      </c>
      <c r="I1550" s="46" t="str">
        <f aca="false">IF($A1550="","",SUMIF($A$2:$A$5001,$A1550,$H$2:$H$5001))</f>
        <v/>
      </c>
      <c r="J1550" s="47" t="n">
        <f aca="false">IF($A1550="",0,IF(COUNTIF($A$2:A1550,$A1550)=1,1,0))</f>
        <v>0</v>
      </c>
      <c r="K1550" s="47" t="n">
        <f aca="false">IF(J1550=1,N(I1550)+ROW()/10000000,0)</f>
        <v>0</v>
      </c>
      <c r="L1550" s="47" t="str">
        <f aca="false">IF(AND(J1550=1,N(I1550)&gt;0),SUMIF($K$2:$K$5001,"&gt;="&amp;K1550,$I$2:$I$5001)/MAX(1,SUM($H$2:$H$5001)),"")</f>
        <v/>
      </c>
      <c r="M1550" s="47" t="str">
        <f aca="false">IF($A1550="","",INDEX($L$2:$L$5001,MATCH($A1550,$A$2:$A$5001,0)))</f>
        <v/>
      </c>
      <c r="N1550" s="48" t="str">
        <f aca="false">IF($A1550="","",IF(N(M1550)=0,"–",IF(M1550&lt;=Start!$D$20,"A",IF(M1550&lt;=Start!$D$21,"B","C"))))</f>
        <v/>
      </c>
      <c r="O1550" s="48" t="str">
        <f aca="false">IF($A1550="","",IF(NOT(ISNUMBER(F1550)),"Wert fehlt; ",IF(F1550&lt;=0,"Wert ist 0; ",""))&amp;IF(NOT(ISNUMBER(E1550)),"Bestand fehlt; ",IF(E1550&lt;0,"Bestand negativ; ",IF(E1550=0,"Nullbestand; ","")))&amp;IF(D1550="","Warengruppe fehlt; ","")&amp;IF(B1550="","Bezeichnung fehlt; ","")&amp;IF(COUNTIFS($A$2:$A$5001,$A1550,$C$2:$C$5001,C1550)&gt;1,"Artikel doppelt im selben Lager; ",""))</f>
        <v/>
      </c>
      <c r="P1550" s="47" t="n">
        <f aca="false">IF(OR($A1550="",D1550=""),0,IF(COUNTIF($D$2:D1550,D1550)=1,SUMIF($D$2:$D$5001,D1550,$H$2:$H$5001)+ROW()/10000000,0))</f>
        <v>0</v>
      </c>
      <c r="Q1550" s="47" t="n">
        <f aca="false">IF(OR($A1550="",C1550=""),0,IF(COUNTIF($C$2:C1550,C1550)=1,SUMIF($C$2:$C$5001,C1550,$H$2:$H$5001)+ROW()/10000000,0))</f>
        <v>0</v>
      </c>
    </row>
    <row r="1551" customFormat="false" ht="15" hidden="false" customHeight="false" outlineLevel="0" collapsed="false">
      <c r="A1551" s="43"/>
      <c r="B1551" s="44"/>
      <c r="C1551" s="44"/>
      <c r="D1551" s="44"/>
      <c r="E1551" s="44"/>
      <c r="F1551" s="44"/>
      <c r="G1551" s="44"/>
      <c r="H1551" s="46" t="str">
        <f aca="false">IF($A1551="","",IF(OR(NOT(ISNUMBER(E1551)),NOT(ISNUMBER(F1551))),"",MAX(0,E1551)*F1551))</f>
        <v/>
      </c>
      <c r="I1551" s="46" t="str">
        <f aca="false">IF($A1551="","",SUMIF($A$2:$A$5001,$A1551,$H$2:$H$5001))</f>
        <v/>
      </c>
      <c r="J1551" s="47" t="n">
        <f aca="false">IF($A1551="",0,IF(COUNTIF($A$2:A1551,$A1551)=1,1,0))</f>
        <v>0</v>
      </c>
      <c r="K1551" s="47" t="n">
        <f aca="false">IF(J1551=1,N(I1551)+ROW()/10000000,0)</f>
        <v>0</v>
      </c>
      <c r="L1551" s="47" t="str">
        <f aca="false">IF(AND(J1551=1,N(I1551)&gt;0),SUMIF($K$2:$K$5001,"&gt;="&amp;K1551,$I$2:$I$5001)/MAX(1,SUM($H$2:$H$5001)),"")</f>
        <v/>
      </c>
      <c r="M1551" s="47" t="str">
        <f aca="false">IF($A1551="","",INDEX($L$2:$L$5001,MATCH($A1551,$A$2:$A$5001,0)))</f>
        <v/>
      </c>
      <c r="N1551" s="48" t="str">
        <f aca="false">IF($A1551="","",IF(N(M1551)=0,"–",IF(M1551&lt;=Start!$D$20,"A",IF(M1551&lt;=Start!$D$21,"B","C"))))</f>
        <v/>
      </c>
      <c r="O1551" s="48" t="str">
        <f aca="false">IF($A1551="","",IF(NOT(ISNUMBER(F1551)),"Wert fehlt; ",IF(F1551&lt;=0,"Wert ist 0; ",""))&amp;IF(NOT(ISNUMBER(E1551)),"Bestand fehlt; ",IF(E1551&lt;0,"Bestand negativ; ",IF(E1551=0,"Nullbestand; ","")))&amp;IF(D1551="","Warengruppe fehlt; ","")&amp;IF(B1551="","Bezeichnung fehlt; ","")&amp;IF(COUNTIFS($A$2:$A$5001,$A1551,$C$2:$C$5001,C1551)&gt;1,"Artikel doppelt im selben Lager; ",""))</f>
        <v/>
      </c>
      <c r="P1551" s="47" t="n">
        <f aca="false">IF(OR($A1551="",D1551=""),0,IF(COUNTIF($D$2:D1551,D1551)=1,SUMIF($D$2:$D$5001,D1551,$H$2:$H$5001)+ROW()/10000000,0))</f>
        <v>0</v>
      </c>
      <c r="Q1551" s="47" t="n">
        <f aca="false">IF(OR($A1551="",C1551=""),0,IF(COUNTIF($C$2:C1551,C1551)=1,SUMIF($C$2:$C$5001,C1551,$H$2:$H$5001)+ROW()/10000000,0))</f>
        <v>0</v>
      </c>
    </row>
    <row r="1552" customFormat="false" ht="15" hidden="false" customHeight="false" outlineLevel="0" collapsed="false">
      <c r="A1552" s="43"/>
      <c r="B1552" s="44"/>
      <c r="C1552" s="44"/>
      <c r="D1552" s="44"/>
      <c r="E1552" s="44"/>
      <c r="F1552" s="44"/>
      <c r="G1552" s="44"/>
      <c r="H1552" s="46" t="str">
        <f aca="false">IF($A1552="","",IF(OR(NOT(ISNUMBER(E1552)),NOT(ISNUMBER(F1552))),"",MAX(0,E1552)*F1552))</f>
        <v/>
      </c>
      <c r="I1552" s="46" t="str">
        <f aca="false">IF($A1552="","",SUMIF($A$2:$A$5001,$A1552,$H$2:$H$5001))</f>
        <v/>
      </c>
      <c r="J1552" s="47" t="n">
        <f aca="false">IF($A1552="",0,IF(COUNTIF($A$2:A1552,$A1552)=1,1,0))</f>
        <v>0</v>
      </c>
      <c r="K1552" s="47" t="n">
        <f aca="false">IF(J1552=1,N(I1552)+ROW()/10000000,0)</f>
        <v>0</v>
      </c>
      <c r="L1552" s="47" t="str">
        <f aca="false">IF(AND(J1552=1,N(I1552)&gt;0),SUMIF($K$2:$K$5001,"&gt;="&amp;K1552,$I$2:$I$5001)/MAX(1,SUM($H$2:$H$5001)),"")</f>
        <v/>
      </c>
      <c r="M1552" s="47" t="str">
        <f aca="false">IF($A1552="","",INDEX($L$2:$L$5001,MATCH($A1552,$A$2:$A$5001,0)))</f>
        <v/>
      </c>
      <c r="N1552" s="48" t="str">
        <f aca="false">IF($A1552="","",IF(N(M1552)=0,"–",IF(M1552&lt;=Start!$D$20,"A",IF(M1552&lt;=Start!$D$21,"B","C"))))</f>
        <v/>
      </c>
      <c r="O1552" s="48" t="str">
        <f aca="false">IF($A1552="","",IF(NOT(ISNUMBER(F1552)),"Wert fehlt; ",IF(F1552&lt;=0,"Wert ist 0; ",""))&amp;IF(NOT(ISNUMBER(E1552)),"Bestand fehlt; ",IF(E1552&lt;0,"Bestand negativ; ",IF(E1552=0,"Nullbestand; ","")))&amp;IF(D1552="","Warengruppe fehlt; ","")&amp;IF(B1552="","Bezeichnung fehlt; ","")&amp;IF(COUNTIFS($A$2:$A$5001,$A1552,$C$2:$C$5001,C1552)&gt;1,"Artikel doppelt im selben Lager; ",""))</f>
        <v/>
      </c>
      <c r="P1552" s="47" t="n">
        <f aca="false">IF(OR($A1552="",D1552=""),0,IF(COUNTIF($D$2:D1552,D1552)=1,SUMIF($D$2:$D$5001,D1552,$H$2:$H$5001)+ROW()/10000000,0))</f>
        <v>0</v>
      </c>
      <c r="Q1552" s="47" t="n">
        <f aca="false">IF(OR($A1552="",C1552=""),0,IF(COUNTIF($C$2:C1552,C1552)=1,SUMIF($C$2:$C$5001,C1552,$H$2:$H$5001)+ROW()/10000000,0))</f>
        <v>0</v>
      </c>
    </row>
    <row r="1553" customFormat="false" ht="15" hidden="false" customHeight="false" outlineLevel="0" collapsed="false">
      <c r="A1553" s="43"/>
      <c r="B1553" s="44"/>
      <c r="C1553" s="44"/>
      <c r="D1553" s="44"/>
      <c r="E1553" s="44"/>
      <c r="F1553" s="44"/>
      <c r="G1553" s="44"/>
      <c r="H1553" s="46" t="str">
        <f aca="false">IF($A1553="","",IF(OR(NOT(ISNUMBER(E1553)),NOT(ISNUMBER(F1553))),"",MAX(0,E1553)*F1553))</f>
        <v/>
      </c>
      <c r="I1553" s="46" t="str">
        <f aca="false">IF($A1553="","",SUMIF($A$2:$A$5001,$A1553,$H$2:$H$5001))</f>
        <v/>
      </c>
      <c r="J1553" s="47" t="n">
        <f aca="false">IF($A1553="",0,IF(COUNTIF($A$2:A1553,$A1553)=1,1,0))</f>
        <v>0</v>
      </c>
      <c r="K1553" s="47" t="n">
        <f aca="false">IF(J1553=1,N(I1553)+ROW()/10000000,0)</f>
        <v>0</v>
      </c>
      <c r="L1553" s="47" t="str">
        <f aca="false">IF(AND(J1553=1,N(I1553)&gt;0),SUMIF($K$2:$K$5001,"&gt;="&amp;K1553,$I$2:$I$5001)/MAX(1,SUM($H$2:$H$5001)),"")</f>
        <v/>
      </c>
      <c r="M1553" s="47" t="str">
        <f aca="false">IF($A1553="","",INDEX($L$2:$L$5001,MATCH($A1553,$A$2:$A$5001,0)))</f>
        <v/>
      </c>
      <c r="N1553" s="48" t="str">
        <f aca="false">IF($A1553="","",IF(N(M1553)=0,"–",IF(M1553&lt;=Start!$D$20,"A",IF(M1553&lt;=Start!$D$21,"B","C"))))</f>
        <v/>
      </c>
      <c r="O1553" s="48" t="str">
        <f aca="false">IF($A1553="","",IF(NOT(ISNUMBER(F1553)),"Wert fehlt; ",IF(F1553&lt;=0,"Wert ist 0; ",""))&amp;IF(NOT(ISNUMBER(E1553)),"Bestand fehlt; ",IF(E1553&lt;0,"Bestand negativ; ",IF(E1553=0,"Nullbestand; ","")))&amp;IF(D1553="","Warengruppe fehlt; ","")&amp;IF(B1553="","Bezeichnung fehlt; ","")&amp;IF(COUNTIFS($A$2:$A$5001,$A1553,$C$2:$C$5001,C1553)&gt;1,"Artikel doppelt im selben Lager; ",""))</f>
        <v/>
      </c>
      <c r="P1553" s="47" t="n">
        <f aca="false">IF(OR($A1553="",D1553=""),0,IF(COUNTIF($D$2:D1553,D1553)=1,SUMIF($D$2:$D$5001,D1553,$H$2:$H$5001)+ROW()/10000000,0))</f>
        <v>0</v>
      </c>
      <c r="Q1553" s="47" t="n">
        <f aca="false">IF(OR($A1553="",C1553=""),0,IF(COUNTIF($C$2:C1553,C1553)=1,SUMIF($C$2:$C$5001,C1553,$H$2:$H$5001)+ROW()/10000000,0))</f>
        <v>0</v>
      </c>
    </row>
    <row r="1554" customFormat="false" ht="15" hidden="false" customHeight="false" outlineLevel="0" collapsed="false">
      <c r="A1554" s="43"/>
      <c r="B1554" s="44"/>
      <c r="C1554" s="44"/>
      <c r="D1554" s="44"/>
      <c r="E1554" s="44"/>
      <c r="F1554" s="44"/>
      <c r="G1554" s="44"/>
      <c r="H1554" s="46" t="str">
        <f aca="false">IF($A1554="","",IF(OR(NOT(ISNUMBER(E1554)),NOT(ISNUMBER(F1554))),"",MAX(0,E1554)*F1554))</f>
        <v/>
      </c>
      <c r="I1554" s="46" t="str">
        <f aca="false">IF($A1554="","",SUMIF($A$2:$A$5001,$A1554,$H$2:$H$5001))</f>
        <v/>
      </c>
      <c r="J1554" s="47" t="n">
        <f aca="false">IF($A1554="",0,IF(COUNTIF($A$2:A1554,$A1554)=1,1,0))</f>
        <v>0</v>
      </c>
      <c r="K1554" s="47" t="n">
        <f aca="false">IF(J1554=1,N(I1554)+ROW()/10000000,0)</f>
        <v>0</v>
      </c>
      <c r="L1554" s="47" t="str">
        <f aca="false">IF(AND(J1554=1,N(I1554)&gt;0),SUMIF($K$2:$K$5001,"&gt;="&amp;K1554,$I$2:$I$5001)/MAX(1,SUM($H$2:$H$5001)),"")</f>
        <v/>
      </c>
      <c r="M1554" s="47" t="str">
        <f aca="false">IF($A1554="","",INDEX($L$2:$L$5001,MATCH($A1554,$A$2:$A$5001,0)))</f>
        <v/>
      </c>
      <c r="N1554" s="48" t="str">
        <f aca="false">IF($A1554="","",IF(N(M1554)=0,"–",IF(M1554&lt;=Start!$D$20,"A",IF(M1554&lt;=Start!$D$21,"B","C"))))</f>
        <v/>
      </c>
      <c r="O1554" s="48" t="str">
        <f aca="false">IF($A1554="","",IF(NOT(ISNUMBER(F1554)),"Wert fehlt; ",IF(F1554&lt;=0,"Wert ist 0; ",""))&amp;IF(NOT(ISNUMBER(E1554)),"Bestand fehlt; ",IF(E1554&lt;0,"Bestand negativ; ",IF(E1554=0,"Nullbestand; ","")))&amp;IF(D1554="","Warengruppe fehlt; ","")&amp;IF(B1554="","Bezeichnung fehlt; ","")&amp;IF(COUNTIFS($A$2:$A$5001,$A1554,$C$2:$C$5001,C1554)&gt;1,"Artikel doppelt im selben Lager; ",""))</f>
        <v/>
      </c>
      <c r="P1554" s="47" t="n">
        <f aca="false">IF(OR($A1554="",D1554=""),0,IF(COUNTIF($D$2:D1554,D1554)=1,SUMIF($D$2:$D$5001,D1554,$H$2:$H$5001)+ROW()/10000000,0))</f>
        <v>0</v>
      </c>
      <c r="Q1554" s="47" t="n">
        <f aca="false">IF(OR($A1554="",C1554=""),0,IF(COUNTIF($C$2:C1554,C1554)=1,SUMIF($C$2:$C$5001,C1554,$H$2:$H$5001)+ROW()/10000000,0))</f>
        <v>0</v>
      </c>
    </row>
    <row r="1555" customFormat="false" ht="15" hidden="false" customHeight="false" outlineLevel="0" collapsed="false">
      <c r="A1555" s="43"/>
      <c r="B1555" s="44"/>
      <c r="C1555" s="44"/>
      <c r="D1555" s="44"/>
      <c r="E1555" s="44"/>
      <c r="F1555" s="44"/>
      <c r="G1555" s="44"/>
      <c r="H1555" s="46" t="str">
        <f aca="false">IF($A1555="","",IF(OR(NOT(ISNUMBER(E1555)),NOT(ISNUMBER(F1555))),"",MAX(0,E1555)*F1555))</f>
        <v/>
      </c>
      <c r="I1555" s="46" t="str">
        <f aca="false">IF($A1555="","",SUMIF($A$2:$A$5001,$A1555,$H$2:$H$5001))</f>
        <v/>
      </c>
      <c r="J1555" s="47" t="n">
        <f aca="false">IF($A1555="",0,IF(COUNTIF($A$2:A1555,$A1555)=1,1,0))</f>
        <v>0</v>
      </c>
      <c r="K1555" s="47" t="n">
        <f aca="false">IF(J1555=1,N(I1555)+ROW()/10000000,0)</f>
        <v>0</v>
      </c>
      <c r="L1555" s="47" t="str">
        <f aca="false">IF(AND(J1555=1,N(I1555)&gt;0),SUMIF($K$2:$K$5001,"&gt;="&amp;K1555,$I$2:$I$5001)/MAX(1,SUM($H$2:$H$5001)),"")</f>
        <v/>
      </c>
      <c r="M1555" s="47" t="str">
        <f aca="false">IF($A1555="","",INDEX($L$2:$L$5001,MATCH($A1555,$A$2:$A$5001,0)))</f>
        <v/>
      </c>
      <c r="N1555" s="48" t="str">
        <f aca="false">IF($A1555="","",IF(N(M1555)=0,"–",IF(M1555&lt;=Start!$D$20,"A",IF(M1555&lt;=Start!$D$21,"B","C"))))</f>
        <v/>
      </c>
      <c r="O1555" s="48" t="str">
        <f aca="false">IF($A1555="","",IF(NOT(ISNUMBER(F1555)),"Wert fehlt; ",IF(F1555&lt;=0,"Wert ist 0; ",""))&amp;IF(NOT(ISNUMBER(E1555)),"Bestand fehlt; ",IF(E1555&lt;0,"Bestand negativ; ",IF(E1555=0,"Nullbestand; ","")))&amp;IF(D1555="","Warengruppe fehlt; ","")&amp;IF(B1555="","Bezeichnung fehlt; ","")&amp;IF(COUNTIFS($A$2:$A$5001,$A1555,$C$2:$C$5001,C1555)&gt;1,"Artikel doppelt im selben Lager; ",""))</f>
        <v/>
      </c>
      <c r="P1555" s="47" t="n">
        <f aca="false">IF(OR($A1555="",D1555=""),0,IF(COUNTIF($D$2:D1555,D1555)=1,SUMIF($D$2:$D$5001,D1555,$H$2:$H$5001)+ROW()/10000000,0))</f>
        <v>0</v>
      </c>
      <c r="Q1555" s="47" t="n">
        <f aca="false">IF(OR($A1555="",C1555=""),0,IF(COUNTIF($C$2:C1555,C1555)=1,SUMIF($C$2:$C$5001,C1555,$H$2:$H$5001)+ROW()/10000000,0))</f>
        <v>0</v>
      </c>
    </row>
    <row r="1556" customFormat="false" ht="15" hidden="false" customHeight="false" outlineLevel="0" collapsed="false">
      <c r="A1556" s="43"/>
      <c r="B1556" s="44"/>
      <c r="C1556" s="44"/>
      <c r="D1556" s="44"/>
      <c r="E1556" s="44"/>
      <c r="F1556" s="44"/>
      <c r="G1556" s="44"/>
      <c r="H1556" s="46" t="str">
        <f aca="false">IF($A1556="","",IF(OR(NOT(ISNUMBER(E1556)),NOT(ISNUMBER(F1556))),"",MAX(0,E1556)*F1556))</f>
        <v/>
      </c>
      <c r="I1556" s="46" t="str">
        <f aca="false">IF($A1556="","",SUMIF($A$2:$A$5001,$A1556,$H$2:$H$5001))</f>
        <v/>
      </c>
      <c r="J1556" s="47" t="n">
        <f aca="false">IF($A1556="",0,IF(COUNTIF($A$2:A1556,$A1556)=1,1,0))</f>
        <v>0</v>
      </c>
      <c r="K1556" s="47" t="n">
        <f aca="false">IF(J1556=1,N(I1556)+ROW()/10000000,0)</f>
        <v>0</v>
      </c>
      <c r="L1556" s="47" t="str">
        <f aca="false">IF(AND(J1556=1,N(I1556)&gt;0),SUMIF($K$2:$K$5001,"&gt;="&amp;K1556,$I$2:$I$5001)/MAX(1,SUM($H$2:$H$5001)),"")</f>
        <v/>
      </c>
      <c r="M1556" s="47" t="str">
        <f aca="false">IF($A1556="","",INDEX($L$2:$L$5001,MATCH($A1556,$A$2:$A$5001,0)))</f>
        <v/>
      </c>
      <c r="N1556" s="48" t="str">
        <f aca="false">IF($A1556="","",IF(N(M1556)=0,"–",IF(M1556&lt;=Start!$D$20,"A",IF(M1556&lt;=Start!$D$21,"B","C"))))</f>
        <v/>
      </c>
      <c r="O1556" s="48" t="str">
        <f aca="false">IF($A1556="","",IF(NOT(ISNUMBER(F1556)),"Wert fehlt; ",IF(F1556&lt;=0,"Wert ist 0; ",""))&amp;IF(NOT(ISNUMBER(E1556)),"Bestand fehlt; ",IF(E1556&lt;0,"Bestand negativ; ",IF(E1556=0,"Nullbestand; ","")))&amp;IF(D1556="","Warengruppe fehlt; ","")&amp;IF(B1556="","Bezeichnung fehlt; ","")&amp;IF(COUNTIFS($A$2:$A$5001,$A1556,$C$2:$C$5001,C1556)&gt;1,"Artikel doppelt im selben Lager; ",""))</f>
        <v/>
      </c>
      <c r="P1556" s="47" t="n">
        <f aca="false">IF(OR($A1556="",D1556=""),0,IF(COUNTIF($D$2:D1556,D1556)=1,SUMIF($D$2:$D$5001,D1556,$H$2:$H$5001)+ROW()/10000000,0))</f>
        <v>0</v>
      </c>
      <c r="Q1556" s="47" t="n">
        <f aca="false">IF(OR($A1556="",C1556=""),0,IF(COUNTIF($C$2:C1556,C1556)=1,SUMIF($C$2:$C$5001,C1556,$H$2:$H$5001)+ROW()/10000000,0))</f>
        <v>0</v>
      </c>
    </row>
    <row r="1557" customFormat="false" ht="15" hidden="false" customHeight="false" outlineLevel="0" collapsed="false">
      <c r="A1557" s="43"/>
      <c r="B1557" s="44"/>
      <c r="C1557" s="44"/>
      <c r="D1557" s="44"/>
      <c r="E1557" s="44"/>
      <c r="F1557" s="44"/>
      <c r="G1557" s="44"/>
      <c r="H1557" s="46" t="str">
        <f aca="false">IF($A1557="","",IF(OR(NOT(ISNUMBER(E1557)),NOT(ISNUMBER(F1557))),"",MAX(0,E1557)*F1557))</f>
        <v/>
      </c>
      <c r="I1557" s="46" t="str">
        <f aca="false">IF($A1557="","",SUMIF($A$2:$A$5001,$A1557,$H$2:$H$5001))</f>
        <v/>
      </c>
      <c r="J1557" s="47" t="n">
        <f aca="false">IF($A1557="",0,IF(COUNTIF($A$2:A1557,$A1557)=1,1,0))</f>
        <v>0</v>
      </c>
      <c r="K1557" s="47" t="n">
        <f aca="false">IF(J1557=1,N(I1557)+ROW()/10000000,0)</f>
        <v>0</v>
      </c>
      <c r="L1557" s="47" t="str">
        <f aca="false">IF(AND(J1557=1,N(I1557)&gt;0),SUMIF($K$2:$K$5001,"&gt;="&amp;K1557,$I$2:$I$5001)/MAX(1,SUM($H$2:$H$5001)),"")</f>
        <v/>
      </c>
      <c r="M1557" s="47" t="str">
        <f aca="false">IF($A1557="","",INDEX($L$2:$L$5001,MATCH($A1557,$A$2:$A$5001,0)))</f>
        <v/>
      </c>
      <c r="N1557" s="48" t="str">
        <f aca="false">IF($A1557="","",IF(N(M1557)=0,"–",IF(M1557&lt;=Start!$D$20,"A",IF(M1557&lt;=Start!$D$21,"B","C"))))</f>
        <v/>
      </c>
      <c r="O1557" s="48" t="str">
        <f aca="false">IF($A1557="","",IF(NOT(ISNUMBER(F1557)),"Wert fehlt; ",IF(F1557&lt;=0,"Wert ist 0; ",""))&amp;IF(NOT(ISNUMBER(E1557)),"Bestand fehlt; ",IF(E1557&lt;0,"Bestand negativ; ",IF(E1557=0,"Nullbestand; ","")))&amp;IF(D1557="","Warengruppe fehlt; ","")&amp;IF(B1557="","Bezeichnung fehlt; ","")&amp;IF(COUNTIFS($A$2:$A$5001,$A1557,$C$2:$C$5001,C1557)&gt;1,"Artikel doppelt im selben Lager; ",""))</f>
        <v/>
      </c>
      <c r="P1557" s="47" t="n">
        <f aca="false">IF(OR($A1557="",D1557=""),0,IF(COUNTIF($D$2:D1557,D1557)=1,SUMIF($D$2:$D$5001,D1557,$H$2:$H$5001)+ROW()/10000000,0))</f>
        <v>0</v>
      </c>
      <c r="Q1557" s="47" t="n">
        <f aca="false">IF(OR($A1557="",C1557=""),0,IF(COUNTIF($C$2:C1557,C1557)=1,SUMIF($C$2:$C$5001,C1557,$H$2:$H$5001)+ROW()/10000000,0))</f>
        <v>0</v>
      </c>
    </row>
    <row r="1558" customFormat="false" ht="15" hidden="false" customHeight="false" outlineLevel="0" collapsed="false">
      <c r="A1558" s="43"/>
      <c r="B1558" s="44"/>
      <c r="C1558" s="44"/>
      <c r="D1558" s="44"/>
      <c r="E1558" s="44"/>
      <c r="F1558" s="44"/>
      <c r="G1558" s="44"/>
      <c r="H1558" s="46" t="str">
        <f aca="false">IF($A1558="","",IF(OR(NOT(ISNUMBER(E1558)),NOT(ISNUMBER(F1558))),"",MAX(0,E1558)*F1558))</f>
        <v/>
      </c>
      <c r="I1558" s="46" t="str">
        <f aca="false">IF($A1558="","",SUMIF($A$2:$A$5001,$A1558,$H$2:$H$5001))</f>
        <v/>
      </c>
      <c r="J1558" s="47" t="n">
        <f aca="false">IF($A1558="",0,IF(COUNTIF($A$2:A1558,$A1558)=1,1,0))</f>
        <v>0</v>
      </c>
      <c r="K1558" s="47" t="n">
        <f aca="false">IF(J1558=1,N(I1558)+ROW()/10000000,0)</f>
        <v>0</v>
      </c>
      <c r="L1558" s="47" t="str">
        <f aca="false">IF(AND(J1558=1,N(I1558)&gt;0),SUMIF($K$2:$K$5001,"&gt;="&amp;K1558,$I$2:$I$5001)/MAX(1,SUM($H$2:$H$5001)),"")</f>
        <v/>
      </c>
      <c r="M1558" s="47" t="str">
        <f aca="false">IF($A1558="","",INDEX($L$2:$L$5001,MATCH($A1558,$A$2:$A$5001,0)))</f>
        <v/>
      </c>
      <c r="N1558" s="48" t="str">
        <f aca="false">IF($A1558="","",IF(N(M1558)=0,"–",IF(M1558&lt;=Start!$D$20,"A",IF(M1558&lt;=Start!$D$21,"B","C"))))</f>
        <v/>
      </c>
      <c r="O1558" s="48" t="str">
        <f aca="false">IF($A1558="","",IF(NOT(ISNUMBER(F1558)),"Wert fehlt; ",IF(F1558&lt;=0,"Wert ist 0; ",""))&amp;IF(NOT(ISNUMBER(E1558)),"Bestand fehlt; ",IF(E1558&lt;0,"Bestand negativ; ",IF(E1558=0,"Nullbestand; ","")))&amp;IF(D1558="","Warengruppe fehlt; ","")&amp;IF(B1558="","Bezeichnung fehlt; ","")&amp;IF(COUNTIFS($A$2:$A$5001,$A1558,$C$2:$C$5001,C1558)&gt;1,"Artikel doppelt im selben Lager; ",""))</f>
        <v/>
      </c>
      <c r="P1558" s="47" t="n">
        <f aca="false">IF(OR($A1558="",D1558=""),0,IF(COUNTIF($D$2:D1558,D1558)=1,SUMIF($D$2:$D$5001,D1558,$H$2:$H$5001)+ROW()/10000000,0))</f>
        <v>0</v>
      </c>
      <c r="Q1558" s="47" t="n">
        <f aca="false">IF(OR($A1558="",C1558=""),0,IF(COUNTIF($C$2:C1558,C1558)=1,SUMIF($C$2:$C$5001,C1558,$H$2:$H$5001)+ROW()/10000000,0))</f>
        <v>0</v>
      </c>
    </row>
    <row r="1559" customFormat="false" ht="15" hidden="false" customHeight="false" outlineLevel="0" collapsed="false">
      <c r="A1559" s="43"/>
      <c r="B1559" s="44"/>
      <c r="C1559" s="44"/>
      <c r="D1559" s="44"/>
      <c r="E1559" s="44"/>
      <c r="F1559" s="44"/>
      <c r="G1559" s="44"/>
      <c r="H1559" s="46" t="str">
        <f aca="false">IF($A1559="","",IF(OR(NOT(ISNUMBER(E1559)),NOT(ISNUMBER(F1559))),"",MAX(0,E1559)*F1559))</f>
        <v/>
      </c>
      <c r="I1559" s="46" t="str">
        <f aca="false">IF($A1559="","",SUMIF($A$2:$A$5001,$A1559,$H$2:$H$5001))</f>
        <v/>
      </c>
      <c r="J1559" s="47" t="n">
        <f aca="false">IF($A1559="",0,IF(COUNTIF($A$2:A1559,$A1559)=1,1,0))</f>
        <v>0</v>
      </c>
      <c r="K1559" s="47" t="n">
        <f aca="false">IF(J1559=1,N(I1559)+ROW()/10000000,0)</f>
        <v>0</v>
      </c>
      <c r="L1559" s="47" t="str">
        <f aca="false">IF(AND(J1559=1,N(I1559)&gt;0),SUMIF($K$2:$K$5001,"&gt;="&amp;K1559,$I$2:$I$5001)/MAX(1,SUM($H$2:$H$5001)),"")</f>
        <v/>
      </c>
      <c r="M1559" s="47" t="str">
        <f aca="false">IF($A1559="","",INDEX($L$2:$L$5001,MATCH($A1559,$A$2:$A$5001,0)))</f>
        <v/>
      </c>
      <c r="N1559" s="48" t="str">
        <f aca="false">IF($A1559="","",IF(N(M1559)=0,"–",IF(M1559&lt;=Start!$D$20,"A",IF(M1559&lt;=Start!$D$21,"B","C"))))</f>
        <v/>
      </c>
      <c r="O1559" s="48" t="str">
        <f aca="false">IF($A1559="","",IF(NOT(ISNUMBER(F1559)),"Wert fehlt; ",IF(F1559&lt;=0,"Wert ist 0; ",""))&amp;IF(NOT(ISNUMBER(E1559)),"Bestand fehlt; ",IF(E1559&lt;0,"Bestand negativ; ",IF(E1559=0,"Nullbestand; ","")))&amp;IF(D1559="","Warengruppe fehlt; ","")&amp;IF(B1559="","Bezeichnung fehlt; ","")&amp;IF(COUNTIFS($A$2:$A$5001,$A1559,$C$2:$C$5001,C1559)&gt;1,"Artikel doppelt im selben Lager; ",""))</f>
        <v/>
      </c>
      <c r="P1559" s="47" t="n">
        <f aca="false">IF(OR($A1559="",D1559=""),0,IF(COUNTIF($D$2:D1559,D1559)=1,SUMIF($D$2:$D$5001,D1559,$H$2:$H$5001)+ROW()/10000000,0))</f>
        <v>0</v>
      </c>
      <c r="Q1559" s="47" t="n">
        <f aca="false">IF(OR($A1559="",C1559=""),0,IF(COUNTIF($C$2:C1559,C1559)=1,SUMIF($C$2:$C$5001,C1559,$H$2:$H$5001)+ROW()/10000000,0))</f>
        <v>0</v>
      </c>
    </row>
    <row r="1560" customFormat="false" ht="15" hidden="false" customHeight="false" outlineLevel="0" collapsed="false">
      <c r="A1560" s="43"/>
      <c r="B1560" s="44"/>
      <c r="C1560" s="44"/>
      <c r="D1560" s="44"/>
      <c r="E1560" s="44"/>
      <c r="F1560" s="44"/>
      <c r="G1560" s="44"/>
      <c r="H1560" s="46" t="str">
        <f aca="false">IF($A1560="","",IF(OR(NOT(ISNUMBER(E1560)),NOT(ISNUMBER(F1560))),"",MAX(0,E1560)*F1560))</f>
        <v/>
      </c>
      <c r="I1560" s="46" t="str">
        <f aca="false">IF($A1560="","",SUMIF($A$2:$A$5001,$A1560,$H$2:$H$5001))</f>
        <v/>
      </c>
      <c r="J1560" s="47" t="n">
        <f aca="false">IF($A1560="",0,IF(COUNTIF($A$2:A1560,$A1560)=1,1,0))</f>
        <v>0</v>
      </c>
      <c r="K1560" s="47" t="n">
        <f aca="false">IF(J1560=1,N(I1560)+ROW()/10000000,0)</f>
        <v>0</v>
      </c>
      <c r="L1560" s="47" t="str">
        <f aca="false">IF(AND(J1560=1,N(I1560)&gt;0),SUMIF($K$2:$K$5001,"&gt;="&amp;K1560,$I$2:$I$5001)/MAX(1,SUM($H$2:$H$5001)),"")</f>
        <v/>
      </c>
      <c r="M1560" s="47" t="str">
        <f aca="false">IF($A1560="","",INDEX($L$2:$L$5001,MATCH($A1560,$A$2:$A$5001,0)))</f>
        <v/>
      </c>
      <c r="N1560" s="48" t="str">
        <f aca="false">IF($A1560="","",IF(N(M1560)=0,"–",IF(M1560&lt;=Start!$D$20,"A",IF(M1560&lt;=Start!$D$21,"B","C"))))</f>
        <v/>
      </c>
      <c r="O1560" s="48" t="str">
        <f aca="false">IF($A1560="","",IF(NOT(ISNUMBER(F1560)),"Wert fehlt; ",IF(F1560&lt;=0,"Wert ist 0; ",""))&amp;IF(NOT(ISNUMBER(E1560)),"Bestand fehlt; ",IF(E1560&lt;0,"Bestand negativ; ",IF(E1560=0,"Nullbestand; ","")))&amp;IF(D1560="","Warengruppe fehlt; ","")&amp;IF(B1560="","Bezeichnung fehlt; ","")&amp;IF(COUNTIFS($A$2:$A$5001,$A1560,$C$2:$C$5001,C1560)&gt;1,"Artikel doppelt im selben Lager; ",""))</f>
        <v/>
      </c>
      <c r="P1560" s="47" t="n">
        <f aca="false">IF(OR($A1560="",D1560=""),0,IF(COUNTIF($D$2:D1560,D1560)=1,SUMIF($D$2:$D$5001,D1560,$H$2:$H$5001)+ROW()/10000000,0))</f>
        <v>0</v>
      </c>
      <c r="Q1560" s="47" t="n">
        <f aca="false">IF(OR($A1560="",C1560=""),0,IF(COUNTIF($C$2:C1560,C1560)=1,SUMIF($C$2:$C$5001,C1560,$H$2:$H$5001)+ROW()/10000000,0))</f>
        <v>0</v>
      </c>
    </row>
    <row r="1561" customFormat="false" ht="15" hidden="false" customHeight="false" outlineLevel="0" collapsed="false">
      <c r="A1561" s="43"/>
      <c r="B1561" s="44"/>
      <c r="C1561" s="44"/>
      <c r="D1561" s="44"/>
      <c r="E1561" s="44"/>
      <c r="F1561" s="44"/>
      <c r="G1561" s="44"/>
      <c r="H1561" s="46" t="str">
        <f aca="false">IF($A1561="","",IF(OR(NOT(ISNUMBER(E1561)),NOT(ISNUMBER(F1561))),"",MAX(0,E1561)*F1561))</f>
        <v/>
      </c>
      <c r="I1561" s="46" t="str">
        <f aca="false">IF($A1561="","",SUMIF($A$2:$A$5001,$A1561,$H$2:$H$5001))</f>
        <v/>
      </c>
      <c r="J1561" s="47" t="n">
        <f aca="false">IF($A1561="",0,IF(COUNTIF($A$2:A1561,$A1561)=1,1,0))</f>
        <v>0</v>
      </c>
      <c r="K1561" s="47" t="n">
        <f aca="false">IF(J1561=1,N(I1561)+ROW()/10000000,0)</f>
        <v>0</v>
      </c>
      <c r="L1561" s="47" t="str">
        <f aca="false">IF(AND(J1561=1,N(I1561)&gt;0),SUMIF($K$2:$K$5001,"&gt;="&amp;K1561,$I$2:$I$5001)/MAX(1,SUM($H$2:$H$5001)),"")</f>
        <v/>
      </c>
      <c r="M1561" s="47" t="str">
        <f aca="false">IF($A1561="","",INDEX($L$2:$L$5001,MATCH($A1561,$A$2:$A$5001,0)))</f>
        <v/>
      </c>
      <c r="N1561" s="48" t="str">
        <f aca="false">IF($A1561="","",IF(N(M1561)=0,"–",IF(M1561&lt;=Start!$D$20,"A",IF(M1561&lt;=Start!$D$21,"B","C"))))</f>
        <v/>
      </c>
      <c r="O1561" s="48" t="str">
        <f aca="false">IF($A1561="","",IF(NOT(ISNUMBER(F1561)),"Wert fehlt; ",IF(F1561&lt;=0,"Wert ist 0; ",""))&amp;IF(NOT(ISNUMBER(E1561)),"Bestand fehlt; ",IF(E1561&lt;0,"Bestand negativ; ",IF(E1561=0,"Nullbestand; ","")))&amp;IF(D1561="","Warengruppe fehlt; ","")&amp;IF(B1561="","Bezeichnung fehlt; ","")&amp;IF(COUNTIFS($A$2:$A$5001,$A1561,$C$2:$C$5001,C1561)&gt;1,"Artikel doppelt im selben Lager; ",""))</f>
        <v/>
      </c>
      <c r="P1561" s="47" t="n">
        <f aca="false">IF(OR($A1561="",D1561=""),0,IF(COUNTIF($D$2:D1561,D1561)=1,SUMIF($D$2:$D$5001,D1561,$H$2:$H$5001)+ROW()/10000000,0))</f>
        <v>0</v>
      </c>
      <c r="Q1561" s="47" t="n">
        <f aca="false">IF(OR($A1561="",C1561=""),0,IF(COUNTIF($C$2:C1561,C1561)=1,SUMIF($C$2:$C$5001,C1561,$H$2:$H$5001)+ROW()/10000000,0))</f>
        <v>0</v>
      </c>
    </row>
    <row r="1562" customFormat="false" ht="15" hidden="false" customHeight="false" outlineLevel="0" collapsed="false">
      <c r="A1562" s="43"/>
      <c r="B1562" s="44"/>
      <c r="C1562" s="44"/>
      <c r="D1562" s="44"/>
      <c r="E1562" s="44"/>
      <c r="F1562" s="44"/>
      <c r="G1562" s="44"/>
      <c r="H1562" s="46" t="str">
        <f aca="false">IF($A1562="","",IF(OR(NOT(ISNUMBER(E1562)),NOT(ISNUMBER(F1562))),"",MAX(0,E1562)*F1562))</f>
        <v/>
      </c>
      <c r="I1562" s="46" t="str">
        <f aca="false">IF($A1562="","",SUMIF($A$2:$A$5001,$A1562,$H$2:$H$5001))</f>
        <v/>
      </c>
      <c r="J1562" s="47" t="n">
        <f aca="false">IF($A1562="",0,IF(COUNTIF($A$2:A1562,$A1562)=1,1,0))</f>
        <v>0</v>
      </c>
      <c r="K1562" s="47" t="n">
        <f aca="false">IF(J1562=1,N(I1562)+ROW()/10000000,0)</f>
        <v>0</v>
      </c>
      <c r="L1562" s="47" t="str">
        <f aca="false">IF(AND(J1562=1,N(I1562)&gt;0),SUMIF($K$2:$K$5001,"&gt;="&amp;K1562,$I$2:$I$5001)/MAX(1,SUM($H$2:$H$5001)),"")</f>
        <v/>
      </c>
      <c r="M1562" s="47" t="str">
        <f aca="false">IF($A1562="","",INDEX($L$2:$L$5001,MATCH($A1562,$A$2:$A$5001,0)))</f>
        <v/>
      </c>
      <c r="N1562" s="48" t="str">
        <f aca="false">IF($A1562="","",IF(N(M1562)=0,"–",IF(M1562&lt;=Start!$D$20,"A",IF(M1562&lt;=Start!$D$21,"B","C"))))</f>
        <v/>
      </c>
      <c r="O1562" s="48" t="str">
        <f aca="false">IF($A1562="","",IF(NOT(ISNUMBER(F1562)),"Wert fehlt; ",IF(F1562&lt;=0,"Wert ist 0; ",""))&amp;IF(NOT(ISNUMBER(E1562)),"Bestand fehlt; ",IF(E1562&lt;0,"Bestand negativ; ",IF(E1562=0,"Nullbestand; ","")))&amp;IF(D1562="","Warengruppe fehlt; ","")&amp;IF(B1562="","Bezeichnung fehlt; ","")&amp;IF(COUNTIFS($A$2:$A$5001,$A1562,$C$2:$C$5001,C1562)&gt;1,"Artikel doppelt im selben Lager; ",""))</f>
        <v/>
      </c>
      <c r="P1562" s="47" t="n">
        <f aca="false">IF(OR($A1562="",D1562=""),0,IF(COUNTIF($D$2:D1562,D1562)=1,SUMIF($D$2:$D$5001,D1562,$H$2:$H$5001)+ROW()/10000000,0))</f>
        <v>0</v>
      </c>
      <c r="Q1562" s="47" t="n">
        <f aca="false">IF(OR($A1562="",C1562=""),0,IF(COUNTIF($C$2:C1562,C1562)=1,SUMIF($C$2:$C$5001,C1562,$H$2:$H$5001)+ROW()/10000000,0))</f>
        <v>0</v>
      </c>
    </row>
    <row r="1563" customFormat="false" ht="15" hidden="false" customHeight="false" outlineLevel="0" collapsed="false">
      <c r="A1563" s="43"/>
      <c r="B1563" s="44"/>
      <c r="C1563" s="44"/>
      <c r="D1563" s="44"/>
      <c r="E1563" s="44"/>
      <c r="F1563" s="44"/>
      <c r="G1563" s="44"/>
      <c r="H1563" s="46" t="str">
        <f aca="false">IF($A1563="","",IF(OR(NOT(ISNUMBER(E1563)),NOT(ISNUMBER(F1563))),"",MAX(0,E1563)*F1563))</f>
        <v/>
      </c>
      <c r="I1563" s="46" t="str">
        <f aca="false">IF($A1563="","",SUMIF($A$2:$A$5001,$A1563,$H$2:$H$5001))</f>
        <v/>
      </c>
      <c r="J1563" s="47" t="n">
        <f aca="false">IF($A1563="",0,IF(COUNTIF($A$2:A1563,$A1563)=1,1,0))</f>
        <v>0</v>
      </c>
      <c r="K1563" s="47" t="n">
        <f aca="false">IF(J1563=1,N(I1563)+ROW()/10000000,0)</f>
        <v>0</v>
      </c>
      <c r="L1563" s="47" t="str">
        <f aca="false">IF(AND(J1563=1,N(I1563)&gt;0),SUMIF($K$2:$K$5001,"&gt;="&amp;K1563,$I$2:$I$5001)/MAX(1,SUM($H$2:$H$5001)),"")</f>
        <v/>
      </c>
      <c r="M1563" s="47" t="str">
        <f aca="false">IF($A1563="","",INDEX($L$2:$L$5001,MATCH($A1563,$A$2:$A$5001,0)))</f>
        <v/>
      </c>
      <c r="N1563" s="48" t="str">
        <f aca="false">IF($A1563="","",IF(N(M1563)=0,"–",IF(M1563&lt;=Start!$D$20,"A",IF(M1563&lt;=Start!$D$21,"B","C"))))</f>
        <v/>
      </c>
      <c r="O1563" s="48" t="str">
        <f aca="false">IF($A1563="","",IF(NOT(ISNUMBER(F1563)),"Wert fehlt; ",IF(F1563&lt;=0,"Wert ist 0; ",""))&amp;IF(NOT(ISNUMBER(E1563)),"Bestand fehlt; ",IF(E1563&lt;0,"Bestand negativ; ",IF(E1563=0,"Nullbestand; ","")))&amp;IF(D1563="","Warengruppe fehlt; ","")&amp;IF(B1563="","Bezeichnung fehlt; ","")&amp;IF(COUNTIFS($A$2:$A$5001,$A1563,$C$2:$C$5001,C1563)&gt;1,"Artikel doppelt im selben Lager; ",""))</f>
        <v/>
      </c>
      <c r="P1563" s="47" t="n">
        <f aca="false">IF(OR($A1563="",D1563=""),0,IF(COUNTIF($D$2:D1563,D1563)=1,SUMIF($D$2:$D$5001,D1563,$H$2:$H$5001)+ROW()/10000000,0))</f>
        <v>0</v>
      </c>
      <c r="Q1563" s="47" t="n">
        <f aca="false">IF(OR($A1563="",C1563=""),0,IF(COUNTIF($C$2:C1563,C1563)=1,SUMIF($C$2:$C$5001,C1563,$H$2:$H$5001)+ROW()/10000000,0))</f>
        <v>0</v>
      </c>
    </row>
    <row r="1564" customFormat="false" ht="15" hidden="false" customHeight="false" outlineLevel="0" collapsed="false">
      <c r="A1564" s="43"/>
      <c r="B1564" s="44"/>
      <c r="C1564" s="44"/>
      <c r="D1564" s="44"/>
      <c r="E1564" s="44"/>
      <c r="F1564" s="44"/>
      <c r="G1564" s="44"/>
      <c r="H1564" s="46" t="str">
        <f aca="false">IF($A1564="","",IF(OR(NOT(ISNUMBER(E1564)),NOT(ISNUMBER(F1564))),"",MAX(0,E1564)*F1564))</f>
        <v/>
      </c>
      <c r="I1564" s="46" t="str">
        <f aca="false">IF($A1564="","",SUMIF($A$2:$A$5001,$A1564,$H$2:$H$5001))</f>
        <v/>
      </c>
      <c r="J1564" s="47" t="n">
        <f aca="false">IF($A1564="",0,IF(COUNTIF($A$2:A1564,$A1564)=1,1,0))</f>
        <v>0</v>
      </c>
      <c r="K1564" s="47" t="n">
        <f aca="false">IF(J1564=1,N(I1564)+ROW()/10000000,0)</f>
        <v>0</v>
      </c>
      <c r="L1564" s="47" t="str">
        <f aca="false">IF(AND(J1564=1,N(I1564)&gt;0),SUMIF($K$2:$K$5001,"&gt;="&amp;K1564,$I$2:$I$5001)/MAX(1,SUM($H$2:$H$5001)),"")</f>
        <v/>
      </c>
      <c r="M1564" s="47" t="str">
        <f aca="false">IF($A1564="","",INDEX($L$2:$L$5001,MATCH($A1564,$A$2:$A$5001,0)))</f>
        <v/>
      </c>
      <c r="N1564" s="48" t="str">
        <f aca="false">IF($A1564="","",IF(N(M1564)=0,"–",IF(M1564&lt;=Start!$D$20,"A",IF(M1564&lt;=Start!$D$21,"B","C"))))</f>
        <v/>
      </c>
      <c r="O1564" s="48" t="str">
        <f aca="false">IF($A1564="","",IF(NOT(ISNUMBER(F1564)),"Wert fehlt; ",IF(F1564&lt;=0,"Wert ist 0; ",""))&amp;IF(NOT(ISNUMBER(E1564)),"Bestand fehlt; ",IF(E1564&lt;0,"Bestand negativ; ",IF(E1564=0,"Nullbestand; ","")))&amp;IF(D1564="","Warengruppe fehlt; ","")&amp;IF(B1564="","Bezeichnung fehlt; ","")&amp;IF(COUNTIFS($A$2:$A$5001,$A1564,$C$2:$C$5001,C1564)&gt;1,"Artikel doppelt im selben Lager; ",""))</f>
        <v/>
      </c>
      <c r="P1564" s="47" t="n">
        <f aca="false">IF(OR($A1564="",D1564=""),0,IF(COUNTIF($D$2:D1564,D1564)=1,SUMIF($D$2:$D$5001,D1564,$H$2:$H$5001)+ROW()/10000000,0))</f>
        <v>0</v>
      </c>
      <c r="Q1564" s="47" t="n">
        <f aca="false">IF(OR($A1564="",C1564=""),0,IF(COUNTIF($C$2:C1564,C1564)=1,SUMIF($C$2:$C$5001,C1564,$H$2:$H$5001)+ROW()/10000000,0))</f>
        <v>0</v>
      </c>
    </row>
    <row r="1565" customFormat="false" ht="15" hidden="false" customHeight="false" outlineLevel="0" collapsed="false">
      <c r="A1565" s="43"/>
      <c r="B1565" s="44"/>
      <c r="C1565" s="44"/>
      <c r="D1565" s="44"/>
      <c r="E1565" s="44"/>
      <c r="F1565" s="44"/>
      <c r="G1565" s="44"/>
      <c r="H1565" s="46" t="str">
        <f aca="false">IF($A1565="","",IF(OR(NOT(ISNUMBER(E1565)),NOT(ISNUMBER(F1565))),"",MAX(0,E1565)*F1565))</f>
        <v/>
      </c>
      <c r="I1565" s="46" t="str">
        <f aca="false">IF($A1565="","",SUMIF($A$2:$A$5001,$A1565,$H$2:$H$5001))</f>
        <v/>
      </c>
      <c r="J1565" s="47" t="n">
        <f aca="false">IF($A1565="",0,IF(COUNTIF($A$2:A1565,$A1565)=1,1,0))</f>
        <v>0</v>
      </c>
      <c r="K1565" s="47" t="n">
        <f aca="false">IF(J1565=1,N(I1565)+ROW()/10000000,0)</f>
        <v>0</v>
      </c>
      <c r="L1565" s="47" t="str">
        <f aca="false">IF(AND(J1565=1,N(I1565)&gt;0),SUMIF($K$2:$K$5001,"&gt;="&amp;K1565,$I$2:$I$5001)/MAX(1,SUM($H$2:$H$5001)),"")</f>
        <v/>
      </c>
      <c r="M1565" s="47" t="str">
        <f aca="false">IF($A1565="","",INDEX($L$2:$L$5001,MATCH($A1565,$A$2:$A$5001,0)))</f>
        <v/>
      </c>
      <c r="N1565" s="48" t="str">
        <f aca="false">IF($A1565="","",IF(N(M1565)=0,"–",IF(M1565&lt;=Start!$D$20,"A",IF(M1565&lt;=Start!$D$21,"B","C"))))</f>
        <v/>
      </c>
      <c r="O1565" s="48" t="str">
        <f aca="false">IF($A1565="","",IF(NOT(ISNUMBER(F1565)),"Wert fehlt; ",IF(F1565&lt;=0,"Wert ist 0; ",""))&amp;IF(NOT(ISNUMBER(E1565)),"Bestand fehlt; ",IF(E1565&lt;0,"Bestand negativ; ",IF(E1565=0,"Nullbestand; ","")))&amp;IF(D1565="","Warengruppe fehlt; ","")&amp;IF(B1565="","Bezeichnung fehlt; ","")&amp;IF(COUNTIFS($A$2:$A$5001,$A1565,$C$2:$C$5001,C1565)&gt;1,"Artikel doppelt im selben Lager; ",""))</f>
        <v/>
      </c>
      <c r="P1565" s="47" t="n">
        <f aca="false">IF(OR($A1565="",D1565=""),0,IF(COUNTIF($D$2:D1565,D1565)=1,SUMIF($D$2:$D$5001,D1565,$H$2:$H$5001)+ROW()/10000000,0))</f>
        <v>0</v>
      </c>
      <c r="Q1565" s="47" t="n">
        <f aca="false">IF(OR($A1565="",C1565=""),0,IF(COUNTIF($C$2:C1565,C1565)=1,SUMIF($C$2:$C$5001,C1565,$H$2:$H$5001)+ROW()/10000000,0))</f>
        <v>0</v>
      </c>
    </row>
    <row r="1566" customFormat="false" ht="15" hidden="false" customHeight="false" outlineLevel="0" collapsed="false">
      <c r="A1566" s="43"/>
      <c r="B1566" s="44"/>
      <c r="C1566" s="44"/>
      <c r="D1566" s="44"/>
      <c r="E1566" s="44"/>
      <c r="F1566" s="44"/>
      <c r="G1566" s="44"/>
      <c r="H1566" s="46" t="str">
        <f aca="false">IF($A1566="","",IF(OR(NOT(ISNUMBER(E1566)),NOT(ISNUMBER(F1566))),"",MAX(0,E1566)*F1566))</f>
        <v/>
      </c>
      <c r="I1566" s="46" t="str">
        <f aca="false">IF($A1566="","",SUMIF($A$2:$A$5001,$A1566,$H$2:$H$5001))</f>
        <v/>
      </c>
      <c r="J1566" s="47" t="n">
        <f aca="false">IF($A1566="",0,IF(COUNTIF($A$2:A1566,$A1566)=1,1,0))</f>
        <v>0</v>
      </c>
      <c r="K1566" s="47" t="n">
        <f aca="false">IF(J1566=1,N(I1566)+ROW()/10000000,0)</f>
        <v>0</v>
      </c>
      <c r="L1566" s="47" t="str">
        <f aca="false">IF(AND(J1566=1,N(I1566)&gt;0),SUMIF($K$2:$K$5001,"&gt;="&amp;K1566,$I$2:$I$5001)/MAX(1,SUM($H$2:$H$5001)),"")</f>
        <v/>
      </c>
      <c r="M1566" s="47" t="str">
        <f aca="false">IF($A1566="","",INDEX($L$2:$L$5001,MATCH($A1566,$A$2:$A$5001,0)))</f>
        <v/>
      </c>
      <c r="N1566" s="48" t="str">
        <f aca="false">IF($A1566="","",IF(N(M1566)=0,"–",IF(M1566&lt;=Start!$D$20,"A",IF(M1566&lt;=Start!$D$21,"B","C"))))</f>
        <v/>
      </c>
      <c r="O1566" s="48" t="str">
        <f aca="false">IF($A1566="","",IF(NOT(ISNUMBER(F1566)),"Wert fehlt; ",IF(F1566&lt;=0,"Wert ist 0; ",""))&amp;IF(NOT(ISNUMBER(E1566)),"Bestand fehlt; ",IF(E1566&lt;0,"Bestand negativ; ",IF(E1566=0,"Nullbestand; ","")))&amp;IF(D1566="","Warengruppe fehlt; ","")&amp;IF(B1566="","Bezeichnung fehlt; ","")&amp;IF(COUNTIFS($A$2:$A$5001,$A1566,$C$2:$C$5001,C1566)&gt;1,"Artikel doppelt im selben Lager; ",""))</f>
        <v/>
      </c>
      <c r="P1566" s="47" t="n">
        <f aca="false">IF(OR($A1566="",D1566=""),0,IF(COUNTIF($D$2:D1566,D1566)=1,SUMIF($D$2:$D$5001,D1566,$H$2:$H$5001)+ROW()/10000000,0))</f>
        <v>0</v>
      </c>
      <c r="Q1566" s="47" t="n">
        <f aca="false">IF(OR($A1566="",C1566=""),0,IF(COUNTIF($C$2:C1566,C1566)=1,SUMIF($C$2:$C$5001,C1566,$H$2:$H$5001)+ROW()/10000000,0))</f>
        <v>0</v>
      </c>
    </row>
    <row r="1567" customFormat="false" ht="15" hidden="false" customHeight="false" outlineLevel="0" collapsed="false">
      <c r="A1567" s="43"/>
      <c r="B1567" s="44"/>
      <c r="C1567" s="44"/>
      <c r="D1567" s="44"/>
      <c r="E1567" s="44"/>
      <c r="F1567" s="44"/>
      <c r="G1567" s="44"/>
      <c r="H1567" s="46" t="str">
        <f aca="false">IF($A1567="","",IF(OR(NOT(ISNUMBER(E1567)),NOT(ISNUMBER(F1567))),"",MAX(0,E1567)*F1567))</f>
        <v/>
      </c>
      <c r="I1567" s="46" t="str">
        <f aca="false">IF($A1567="","",SUMIF($A$2:$A$5001,$A1567,$H$2:$H$5001))</f>
        <v/>
      </c>
      <c r="J1567" s="47" t="n">
        <f aca="false">IF($A1567="",0,IF(COUNTIF($A$2:A1567,$A1567)=1,1,0))</f>
        <v>0</v>
      </c>
      <c r="K1567" s="47" t="n">
        <f aca="false">IF(J1567=1,N(I1567)+ROW()/10000000,0)</f>
        <v>0</v>
      </c>
      <c r="L1567" s="47" t="str">
        <f aca="false">IF(AND(J1567=1,N(I1567)&gt;0),SUMIF($K$2:$K$5001,"&gt;="&amp;K1567,$I$2:$I$5001)/MAX(1,SUM($H$2:$H$5001)),"")</f>
        <v/>
      </c>
      <c r="M1567" s="47" t="str">
        <f aca="false">IF($A1567="","",INDEX($L$2:$L$5001,MATCH($A1567,$A$2:$A$5001,0)))</f>
        <v/>
      </c>
      <c r="N1567" s="48" t="str">
        <f aca="false">IF($A1567="","",IF(N(M1567)=0,"–",IF(M1567&lt;=Start!$D$20,"A",IF(M1567&lt;=Start!$D$21,"B","C"))))</f>
        <v/>
      </c>
      <c r="O1567" s="48" t="str">
        <f aca="false">IF($A1567="","",IF(NOT(ISNUMBER(F1567)),"Wert fehlt; ",IF(F1567&lt;=0,"Wert ist 0; ",""))&amp;IF(NOT(ISNUMBER(E1567)),"Bestand fehlt; ",IF(E1567&lt;0,"Bestand negativ; ",IF(E1567=0,"Nullbestand; ","")))&amp;IF(D1567="","Warengruppe fehlt; ","")&amp;IF(B1567="","Bezeichnung fehlt; ","")&amp;IF(COUNTIFS($A$2:$A$5001,$A1567,$C$2:$C$5001,C1567)&gt;1,"Artikel doppelt im selben Lager; ",""))</f>
        <v/>
      </c>
      <c r="P1567" s="47" t="n">
        <f aca="false">IF(OR($A1567="",D1567=""),0,IF(COUNTIF($D$2:D1567,D1567)=1,SUMIF($D$2:$D$5001,D1567,$H$2:$H$5001)+ROW()/10000000,0))</f>
        <v>0</v>
      </c>
      <c r="Q1567" s="47" t="n">
        <f aca="false">IF(OR($A1567="",C1567=""),0,IF(COUNTIF($C$2:C1567,C1567)=1,SUMIF($C$2:$C$5001,C1567,$H$2:$H$5001)+ROW()/10000000,0))</f>
        <v>0</v>
      </c>
    </row>
    <row r="1568" customFormat="false" ht="15" hidden="false" customHeight="false" outlineLevel="0" collapsed="false">
      <c r="A1568" s="43"/>
      <c r="B1568" s="44"/>
      <c r="C1568" s="44"/>
      <c r="D1568" s="44"/>
      <c r="E1568" s="44"/>
      <c r="F1568" s="44"/>
      <c r="G1568" s="44"/>
      <c r="H1568" s="46" t="str">
        <f aca="false">IF($A1568="","",IF(OR(NOT(ISNUMBER(E1568)),NOT(ISNUMBER(F1568))),"",MAX(0,E1568)*F1568))</f>
        <v/>
      </c>
      <c r="I1568" s="46" t="str">
        <f aca="false">IF($A1568="","",SUMIF($A$2:$A$5001,$A1568,$H$2:$H$5001))</f>
        <v/>
      </c>
      <c r="J1568" s="47" t="n">
        <f aca="false">IF($A1568="",0,IF(COUNTIF($A$2:A1568,$A1568)=1,1,0))</f>
        <v>0</v>
      </c>
      <c r="K1568" s="47" t="n">
        <f aca="false">IF(J1568=1,N(I1568)+ROW()/10000000,0)</f>
        <v>0</v>
      </c>
      <c r="L1568" s="47" t="str">
        <f aca="false">IF(AND(J1568=1,N(I1568)&gt;0),SUMIF($K$2:$K$5001,"&gt;="&amp;K1568,$I$2:$I$5001)/MAX(1,SUM($H$2:$H$5001)),"")</f>
        <v/>
      </c>
      <c r="M1568" s="47" t="str">
        <f aca="false">IF($A1568="","",INDEX($L$2:$L$5001,MATCH($A1568,$A$2:$A$5001,0)))</f>
        <v/>
      </c>
      <c r="N1568" s="48" t="str">
        <f aca="false">IF($A1568="","",IF(N(M1568)=0,"–",IF(M1568&lt;=Start!$D$20,"A",IF(M1568&lt;=Start!$D$21,"B","C"))))</f>
        <v/>
      </c>
      <c r="O1568" s="48" t="str">
        <f aca="false">IF($A1568="","",IF(NOT(ISNUMBER(F1568)),"Wert fehlt; ",IF(F1568&lt;=0,"Wert ist 0; ",""))&amp;IF(NOT(ISNUMBER(E1568)),"Bestand fehlt; ",IF(E1568&lt;0,"Bestand negativ; ",IF(E1568=0,"Nullbestand; ","")))&amp;IF(D1568="","Warengruppe fehlt; ","")&amp;IF(B1568="","Bezeichnung fehlt; ","")&amp;IF(COUNTIFS($A$2:$A$5001,$A1568,$C$2:$C$5001,C1568)&gt;1,"Artikel doppelt im selben Lager; ",""))</f>
        <v/>
      </c>
      <c r="P1568" s="47" t="n">
        <f aca="false">IF(OR($A1568="",D1568=""),0,IF(COUNTIF($D$2:D1568,D1568)=1,SUMIF($D$2:$D$5001,D1568,$H$2:$H$5001)+ROW()/10000000,0))</f>
        <v>0</v>
      </c>
      <c r="Q1568" s="47" t="n">
        <f aca="false">IF(OR($A1568="",C1568=""),0,IF(COUNTIF($C$2:C1568,C1568)=1,SUMIF($C$2:$C$5001,C1568,$H$2:$H$5001)+ROW()/10000000,0))</f>
        <v>0</v>
      </c>
    </row>
    <row r="1569" customFormat="false" ht="15" hidden="false" customHeight="false" outlineLevel="0" collapsed="false">
      <c r="A1569" s="43"/>
      <c r="B1569" s="44"/>
      <c r="C1569" s="44"/>
      <c r="D1569" s="44"/>
      <c r="E1569" s="44"/>
      <c r="F1569" s="44"/>
      <c r="G1569" s="44"/>
      <c r="H1569" s="46" t="str">
        <f aca="false">IF($A1569="","",IF(OR(NOT(ISNUMBER(E1569)),NOT(ISNUMBER(F1569))),"",MAX(0,E1569)*F1569))</f>
        <v/>
      </c>
      <c r="I1569" s="46" t="str">
        <f aca="false">IF($A1569="","",SUMIF($A$2:$A$5001,$A1569,$H$2:$H$5001))</f>
        <v/>
      </c>
      <c r="J1569" s="47" t="n">
        <f aca="false">IF($A1569="",0,IF(COUNTIF($A$2:A1569,$A1569)=1,1,0))</f>
        <v>0</v>
      </c>
      <c r="K1569" s="47" t="n">
        <f aca="false">IF(J1569=1,N(I1569)+ROW()/10000000,0)</f>
        <v>0</v>
      </c>
      <c r="L1569" s="47" t="str">
        <f aca="false">IF(AND(J1569=1,N(I1569)&gt;0),SUMIF($K$2:$K$5001,"&gt;="&amp;K1569,$I$2:$I$5001)/MAX(1,SUM($H$2:$H$5001)),"")</f>
        <v/>
      </c>
      <c r="M1569" s="47" t="str">
        <f aca="false">IF($A1569="","",INDEX($L$2:$L$5001,MATCH($A1569,$A$2:$A$5001,0)))</f>
        <v/>
      </c>
      <c r="N1569" s="48" t="str">
        <f aca="false">IF($A1569="","",IF(N(M1569)=0,"–",IF(M1569&lt;=Start!$D$20,"A",IF(M1569&lt;=Start!$D$21,"B","C"))))</f>
        <v/>
      </c>
      <c r="O1569" s="48" t="str">
        <f aca="false">IF($A1569="","",IF(NOT(ISNUMBER(F1569)),"Wert fehlt; ",IF(F1569&lt;=0,"Wert ist 0; ",""))&amp;IF(NOT(ISNUMBER(E1569)),"Bestand fehlt; ",IF(E1569&lt;0,"Bestand negativ; ",IF(E1569=0,"Nullbestand; ","")))&amp;IF(D1569="","Warengruppe fehlt; ","")&amp;IF(B1569="","Bezeichnung fehlt; ","")&amp;IF(COUNTIFS($A$2:$A$5001,$A1569,$C$2:$C$5001,C1569)&gt;1,"Artikel doppelt im selben Lager; ",""))</f>
        <v/>
      </c>
      <c r="P1569" s="47" t="n">
        <f aca="false">IF(OR($A1569="",D1569=""),0,IF(COUNTIF($D$2:D1569,D1569)=1,SUMIF($D$2:$D$5001,D1569,$H$2:$H$5001)+ROW()/10000000,0))</f>
        <v>0</v>
      </c>
      <c r="Q1569" s="47" t="n">
        <f aca="false">IF(OR($A1569="",C1569=""),0,IF(COUNTIF($C$2:C1569,C1569)=1,SUMIF($C$2:$C$5001,C1569,$H$2:$H$5001)+ROW()/10000000,0))</f>
        <v>0</v>
      </c>
    </row>
    <row r="1570" customFormat="false" ht="15" hidden="false" customHeight="false" outlineLevel="0" collapsed="false">
      <c r="A1570" s="43"/>
      <c r="B1570" s="44"/>
      <c r="C1570" s="44"/>
      <c r="D1570" s="44"/>
      <c r="E1570" s="44"/>
      <c r="F1570" s="44"/>
      <c r="G1570" s="44"/>
      <c r="H1570" s="46" t="str">
        <f aca="false">IF($A1570="","",IF(OR(NOT(ISNUMBER(E1570)),NOT(ISNUMBER(F1570))),"",MAX(0,E1570)*F1570))</f>
        <v/>
      </c>
      <c r="I1570" s="46" t="str">
        <f aca="false">IF($A1570="","",SUMIF($A$2:$A$5001,$A1570,$H$2:$H$5001))</f>
        <v/>
      </c>
      <c r="J1570" s="47" t="n">
        <f aca="false">IF($A1570="",0,IF(COUNTIF($A$2:A1570,$A1570)=1,1,0))</f>
        <v>0</v>
      </c>
      <c r="K1570" s="47" t="n">
        <f aca="false">IF(J1570=1,N(I1570)+ROW()/10000000,0)</f>
        <v>0</v>
      </c>
      <c r="L1570" s="47" t="str">
        <f aca="false">IF(AND(J1570=1,N(I1570)&gt;0),SUMIF($K$2:$K$5001,"&gt;="&amp;K1570,$I$2:$I$5001)/MAX(1,SUM($H$2:$H$5001)),"")</f>
        <v/>
      </c>
      <c r="M1570" s="47" t="str">
        <f aca="false">IF($A1570="","",INDEX($L$2:$L$5001,MATCH($A1570,$A$2:$A$5001,0)))</f>
        <v/>
      </c>
      <c r="N1570" s="48" t="str">
        <f aca="false">IF($A1570="","",IF(N(M1570)=0,"–",IF(M1570&lt;=Start!$D$20,"A",IF(M1570&lt;=Start!$D$21,"B","C"))))</f>
        <v/>
      </c>
      <c r="O1570" s="48" t="str">
        <f aca="false">IF($A1570="","",IF(NOT(ISNUMBER(F1570)),"Wert fehlt; ",IF(F1570&lt;=0,"Wert ist 0; ",""))&amp;IF(NOT(ISNUMBER(E1570)),"Bestand fehlt; ",IF(E1570&lt;0,"Bestand negativ; ",IF(E1570=0,"Nullbestand; ","")))&amp;IF(D1570="","Warengruppe fehlt; ","")&amp;IF(B1570="","Bezeichnung fehlt; ","")&amp;IF(COUNTIFS($A$2:$A$5001,$A1570,$C$2:$C$5001,C1570)&gt;1,"Artikel doppelt im selben Lager; ",""))</f>
        <v/>
      </c>
      <c r="P1570" s="47" t="n">
        <f aca="false">IF(OR($A1570="",D1570=""),0,IF(COUNTIF($D$2:D1570,D1570)=1,SUMIF($D$2:$D$5001,D1570,$H$2:$H$5001)+ROW()/10000000,0))</f>
        <v>0</v>
      </c>
      <c r="Q1570" s="47" t="n">
        <f aca="false">IF(OR($A1570="",C1570=""),0,IF(COUNTIF($C$2:C1570,C1570)=1,SUMIF($C$2:$C$5001,C1570,$H$2:$H$5001)+ROW()/10000000,0))</f>
        <v>0</v>
      </c>
    </row>
    <row r="1571" customFormat="false" ht="15" hidden="false" customHeight="false" outlineLevel="0" collapsed="false">
      <c r="A1571" s="43"/>
      <c r="B1571" s="44"/>
      <c r="C1571" s="44"/>
      <c r="D1571" s="44"/>
      <c r="E1571" s="44"/>
      <c r="F1571" s="44"/>
      <c r="G1571" s="44"/>
      <c r="H1571" s="46" t="str">
        <f aca="false">IF($A1571="","",IF(OR(NOT(ISNUMBER(E1571)),NOT(ISNUMBER(F1571))),"",MAX(0,E1571)*F1571))</f>
        <v/>
      </c>
      <c r="I1571" s="46" t="str">
        <f aca="false">IF($A1571="","",SUMIF($A$2:$A$5001,$A1571,$H$2:$H$5001))</f>
        <v/>
      </c>
      <c r="J1571" s="47" t="n">
        <f aca="false">IF($A1571="",0,IF(COUNTIF($A$2:A1571,$A1571)=1,1,0))</f>
        <v>0</v>
      </c>
      <c r="K1571" s="47" t="n">
        <f aca="false">IF(J1571=1,N(I1571)+ROW()/10000000,0)</f>
        <v>0</v>
      </c>
      <c r="L1571" s="47" t="str">
        <f aca="false">IF(AND(J1571=1,N(I1571)&gt;0),SUMIF($K$2:$K$5001,"&gt;="&amp;K1571,$I$2:$I$5001)/MAX(1,SUM($H$2:$H$5001)),"")</f>
        <v/>
      </c>
      <c r="M1571" s="47" t="str">
        <f aca="false">IF($A1571="","",INDEX($L$2:$L$5001,MATCH($A1571,$A$2:$A$5001,0)))</f>
        <v/>
      </c>
      <c r="N1571" s="48" t="str">
        <f aca="false">IF($A1571="","",IF(N(M1571)=0,"–",IF(M1571&lt;=Start!$D$20,"A",IF(M1571&lt;=Start!$D$21,"B","C"))))</f>
        <v/>
      </c>
      <c r="O1571" s="48" t="str">
        <f aca="false">IF($A1571="","",IF(NOT(ISNUMBER(F1571)),"Wert fehlt; ",IF(F1571&lt;=0,"Wert ist 0; ",""))&amp;IF(NOT(ISNUMBER(E1571)),"Bestand fehlt; ",IF(E1571&lt;0,"Bestand negativ; ",IF(E1571=0,"Nullbestand; ","")))&amp;IF(D1571="","Warengruppe fehlt; ","")&amp;IF(B1571="","Bezeichnung fehlt; ","")&amp;IF(COUNTIFS($A$2:$A$5001,$A1571,$C$2:$C$5001,C1571)&gt;1,"Artikel doppelt im selben Lager; ",""))</f>
        <v/>
      </c>
      <c r="P1571" s="47" t="n">
        <f aca="false">IF(OR($A1571="",D1571=""),0,IF(COUNTIF($D$2:D1571,D1571)=1,SUMIF($D$2:$D$5001,D1571,$H$2:$H$5001)+ROW()/10000000,0))</f>
        <v>0</v>
      </c>
      <c r="Q1571" s="47" t="n">
        <f aca="false">IF(OR($A1571="",C1571=""),0,IF(COUNTIF($C$2:C1571,C1571)=1,SUMIF($C$2:$C$5001,C1571,$H$2:$H$5001)+ROW()/10000000,0))</f>
        <v>0</v>
      </c>
    </row>
    <row r="1572" customFormat="false" ht="15" hidden="false" customHeight="false" outlineLevel="0" collapsed="false">
      <c r="A1572" s="43"/>
      <c r="B1572" s="44"/>
      <c r="C1572" s="44"/>
      <c r="D1572" s="44"/>
      <c r="E1572" s="44"/>
      <c r="F1572" s="44"/>
      <c r="G1572" s="44"/>
      <c r="H1572" s="46" t="str">
        <f aca="false">IF($A1572="","",IF(OR(NOT(ISNUMBER(E1572)),NOT(ISNUMBER(F1572))),"",MAX(0,E1572)*F1572))</f>
        <v/>
      </c>
      <c r="I1572" s="46" t="str">
        <f aca="false">IF($A1572="","",SUMIF($A$2:$A$5001,$A1572,$H$2:$H$5001))</f>
        <v/>
      </c>
      <c r="J1572" s="47" t="n">
        <f aca="false">IF($A1572="",0,IF(COUNTIF($A$2:A1572,$A1572)=1,1,0))</f>
        <v>0</v>
      </c>
      <c r="K1572" s="47" t="n">
        <f aca="false">IF(J1572=1,N(I1572)+ROW()/10000000,0)</f>
        <v>0</v>
      </c>
      <c r="L1572" s="47" t="str">
        <f aca="false">IF(AND(J1572=1,N(I1572)&gt;0),SUMIF($K$2:$K$5001,"&gt;="&amp;K1572,$I$2:$I$5001)/MAX(1,SUM($H$2:$H$5001)),"")</f>
        <v/>
      </c>
      <c r="M1572" s="47" t="str">
        <f aca="false">IF($A1572="","",INDEX($L$2:$L$5001,MATCH($A1572,$A$2:$A$5001,0)))</f>
        <v/>
      </c>
      <c r="N1572" s="48" t="str">
        <f aca="false">IF($A1572="","",IF(N(M1572)=0,"–",IF(M1572&lt;=Start!$D$20,"A",IF(M1572&lt;=Start!$D$21,"B","C"))))</f>
        <v/>
      </c>
      <c r="O1572" s="48" t="str">
        <f aca="false">IF($A1572="","",IF(NOT(ISNUMBER(F1572)),"Wert fehlt; ",IF(F1572&lt;=0,"Wert ist 0; ",""))&amp;IF(NOT(ISNUMBER(E1572)),"Bestand fehlt; ",IF(E1572&lt;0,"Bestand negativ; ",IF(E1572=0,"Nullbestand; ","")))&amp;IF(D1572="","Warengruppe fehlt; ","")&amp;IF(B1572="","Bezeichnung fehlt; ","")&amp;IF(COUNTIFS($A$2:$A$5001,$A1572,$C$2:$C$5001,C1572)&gt;1,"Artikel doppelt im selben Lager; ",""))</f>
        <v/>
      </c>
      <c r="P1572" s="47" t="n">
        <f aca="false">IF(OR($A1572="",D1572=""),0,IF(COUNTIF($D$2:D1572,D1572)=1,SUMIF($D$2:$D$5001,D1572,$H$2:$H$5001)+ROW()/10000000,0))</f>
        <v>0</v>
      </c>
      <c r="Q1572" s="47" t="n">
        <f aca="false">IF(OR($A1572="",C1572=""),0,IF(COUNTIF($C$2:C1572,C1572)=1,SUMIF($C$2:$C$5001,C1572,$H$2:$H$5001)+ROW()/10000000,0))</f>
        <v>0</v>
      </c>
    </row>
    <row r="1573" customFormat="false" ht="15" hidden="false" customHeight="false" outlineLevel="0" collapsed="false">
      <c r="A1573" s="43"/>
      <c r="B1573" s="44"/>
      <c r="C1573" s="44"/>
      <c r="D1573" s="44"/>
      <c r="E1573" s="44"/>
      <c r="F1573" s="44"/>
      <c r="G1573" s="44"/>
      <c r="H1573" s="46" t="str">
        <f aca="false">IF($A1573="","",IF(OR(NOT(ISNUMBER(E1573)),NOT(ISNUMBER(F1573))),"",MAX(0,E1573)*F1573))</f>
        <v/>
      </c>
      <c r="I1573" s="46" t="str">
        <f aca="false">IF($A1573="","",SUMIF($A$2:$A$5001,$A1573,$H$2:$H$5001))</f>
        <v/>
      </c>
      <c r="J1573" s="47" t="n">
        <f aca="false">IF($A1573="",0,IF(COUNTIF($A$2:A1573,$A1573)=1,1,0))</f>
        <v>0</v>
      </c>
      <c r="K1573" s="47" t="n">
        <f aca="false">IF(J1573=1,N(I1573)+ROW()/10000000,0)</f>
        <v>0</v>
      </c>
      <c r="L1573" s="47" t="str">
        <f aca="false">IF(AND(J1573=1,N(I1573)&gt;0),SUMIF($K$2:$K$5001,"&gt;="&amp;K1573,$I$2:$I$5001)/MAX(1,SUM($H$2:$H$5001)),"")</f>
        <v/>
      </c>
      <c r="M1573" s="47" t="str">
        <f aca="false">IF($A1573="","",INDEX($L$2:$L$5001,MATCH($A1573,$A$2:$A$5001,0)))</f>
        <v/>
      </c>
      <c r="N1573" s="48" t="str">
        <f aca="false">IF($A1573="","",IF(N(M1573)=0,"–",IF(M1573&lt;=Start!$D$20,"A",IF(M1573&lt;=Start!$D$21,"B","C"))))</f>
        <v/>
      </c>
      <c r="O1573" s="48" t="str">
        <f aca="false">IF($A1573="","",IF(NOT(ISNUMBER(F1573)),"Wert fehlt; ",IF(F1573&lt;=0,"Wert ist 0; ",""))&amp;IF(NOT(ISNUMBER(E1573)),"Bestand fehlt; ",IF(E1573&lt;0,"Bestand negativ; ",IF(E1573=0,"Nullbestand; ","")))&amp;IF(D1573="","Warengruppe fehlt; ","")&amp;IF(B1573="","Bezeichnung fehlt; ","")&amp;IF(COUNTIFS($A$2:$A$5001,$A1573,$C$2:$C$5001,C1573)&gt;1,"Artikel doppelt im selben Lager; ",""))</f>
        <v/>
      </c>
      <c r="P1573" s="47" t="n">
        <f aca="false">IF(OR($A1573="",D1573=""),0,IF(COUNTIF($D$2:D1573,D1573)=1,SUMIF($D$2:$D$5001,D1573,$H$2:$H$5001)+ROW()/10000000,0))</f>
        <v>0</v>
      </c>
      <c r="Q1573" s="47" t="n">
        <f aca="false">IF(OR($A1573="",C1573=""),0,IF(COUNTIF($C$2:C1573,C1573)=1,SUMIF($C$2:$C$5001,C1573,$H$2:$H$5001)+ROW()/10000000,0))</f>
        <v>0</v>
      </c>
    </row>
    <row r="1574" customFormat="false" ht="15" hidden="false" customHeight="false" outlineLevel="0" collapsed="false">
      <c r="A1574" s="43"/>
      <c r="B1574" s="44"/>
      <c r="C1574" s="44"/>
      <c r="D1574" s="44"/>
      <c r="E1574" s="44"/>
      <c r="F1574" s="44"/>
      <c r="G1574" s="44"/>
      <c r="H1574" s="46" t="str">
        <f aca="false">IF($A1574="","",IF(OR(NOT(ISNUMBER(E1574)),NOT(ISNUMBER(F1574))),"",MAX(0,E1574)*F1574))</f>
        <v/>
      </c>
      <c r="I1574" s="46" t="str">
        <f aca="false">IF($A1574="","",SUMIF($A$2:$A$5001,$A1574,$H$2:$H$5001))</f>
        <v/>
      </c>
      <c r="J1574" s="47" t="n">
        <f aca="false">IF($A1574="",0,IF(COUNTIF($A$2:A1574,$A1574)=1,1,0))</f>
        <v>0</v>
      </c>
      <c r="K1574" s="47" t="n">
        <f aca="false">IF(J1574=1,N(I1574)+ROW()/10000000,0)</f>
        <v>0</v>
      </c>
      <c r="L1574" s="47" t="str">
        <f aca="false">IF(AND(J1574=1,N(I1574)&gt;0),SUMIF($K$2:$K$5001,"&gt;="&amp;K1574,$I$2:$I$5001)/MAX(1,SUM($H$2:$H$5001)),"")</f>
        <v/>
      </c>
      <c r="M1574" s="47" t="str">
        <f aca="false">IF($A1574="","",INDEX($L$2:$L$5001,MATCH($A1574,$A$2:$A$5001,0)))</f>
        <v/>
      </c>
      <c r="N1574" s="48" t="str">
        <f aca="false">IF($A1574="","",IF(N(M1574)=0,"–",IF(M1574&lt;=Start!$D$20,"A",IF(M1574&lt;=Start!$D$21,"B","C"))))</f>
        <v/>
      </c>
      <c r="O1574" s="48" t="str">
        <f aca="false">IF($A1574="","",IF(NOT(ISNUMBER(F1574)),"Wert fehlt; ",IF(F1574&lt;=0,"Wert ist 0; ",""))&amp;IF(NOT(ISNUMBER(E1574)),"Bestand fehlt; ",IF(E1574&lt;0,"Bestand negativ; ",IF(E1574=0,"Nullbestand; ","")))&amp;IF(D1574="","Warengruppe fehlt; ","")&amp;IF(B1574="","Bezeichnung fehlt; ","")&amp;IF(COUNTIFS($A$2:$A$5001,$A1574,$C$2:$C$5001,C1574)&gt;1,"Artikel doppelt im selben Lager; ",""))</f>
        <v/>
      </c>
      <c r="P1574" s="47" t="n">
        <f aca="false">IF(OR($A1574="",D1574=""),0,IF(COUNTIF($D$2:D1574,D1574)=1,SUMIF($D$2:$D$5001,D1574,$H$2:$H$5001)+ROW()/10000000,0))</f>
        <v>0</v>
      </c>
      <c r="Q1574" s="47" t="n">
        <f aca="false">IF(OR($A1574="",C1574=""),0,IF(COUNTIF($C$2:C1574,C1574)=1,SUMIF($C$2:$C$5001,C1574,$H$2:$H$5001)+ROW()/10000000,0))</f>
        <v>0</v>
      </c>
    </row>
    <row r="1575" customFormat="false" ht="15" hidden="false" customHeight="false" outlineLevel="0" collapsed="false">
      <c r="A1575" s="43"/>
      <c r="B1575" s="44"/>
      <c r="C1575" s="44"/>
      <c r="D1575" s="44"/>
      <c r="E1575" s="44"/>
      <c r="F1575" s="44"/>
      <c r="G1575" s="44"/>
      <c r="H1575" s="46" t="str">
        <f aca="false">IF($A1575="","",IF(OR(NOT(ISNUMBER(E1575)),NOT(ISNUMBER(F1575))),"",MAX(0,E1575)*F1575))</f>
        <v/>
      </c>
      <c r="I1575" s="46" t="str">
        <f aca="false">IF($A1575="","",SUMIF($A$2:$A$5001,$A1575,$H$2:$H$5001))</f>
        <v/>
      </c>
      <c r="J1575" s="47" t="n">
        <f aca="false">IF($A1575="",0,IF(COUNTIF($A$2:A1575,$A1575)=1,1,0))</f>
        <v>0</v>
      </c>
      <c r="K1575" s="47" t="n">
        <f aca="false">IF(J1575=1,N(I1575)+ROW()/10000000,0)</f>
        <v>0</v>
      </c>
      <c r="L1575" s="47" t="str">
        <f aca="false">IF(AND(J1575=1,N(I1575)&gt;0),SUMIF($K$2:$K$5001,"&gt;="&amp;K1575,$I$2:$I$5001)/MAX(1,SUM($H$2:$H$5001)),"")</f>
        <v/>
      </c>
      <c r="M1575" s="47" t="str">
        <f aca="false">IF($A1575="","",INDEX($L$2:$L$5001,MATCH($A1575,$A$2:$A$5001,0)))</f>
        <v/>
      </c>
      <c r="N1575" s="48" t="str">
        <f aca="false">IF($A1575="","",IF(N(M1575)=0,"–",IF(M1575&lt;=Start!$D$20,"A",IF(M1575&lt;=Start!$D$21,"B","C"))))</f>
        <v/>
      </c>
      <c r="O1575" s="48" t="str">
        <f aca="false">IF($A1575="","",IF(NOT(ISNUMBER(F1575)),"Wert fehlt; ",IF(F1575&lt;=0,"Wert ist 0; ",""))&amp;IF(NOT(ISNUMBER(E1575)),"Bestand fehlt; ",IF(E1575&lt;0,"Bestand negativ; ",IF(E1575=0,"Nullbestand; ","")))&amp;IF(D1575="","Warengruppe fehlt; ","")&amp;IF(B1575="","Bezeichnung fehlt; ","")&amp;IF(COUNTIFS($A$2:$A$5001,$A1575,$C$2:$C$5001,C1575)&gt;1,"Artikel doppelt im selben Lager; ",""))</f>
        <v/>
      </c>
      <c r="P1575" s="47" t="n">
        <f aca="false">IF(OR($A1575="",D1575=""),0,IF(COUNTIF($D$2:D1575,D1575)=1,SUMIF($D$2:$D$5001,D1575,$H$2:$H$5001)+ROW()/10000000,0))</f>
        <v>0</v>
      </c>
      <c r="Q1575" s="47" t="n">
        <f aca="false">IF(OR($A1575="",C1575=""),0,IF(COUNTIF($C$2:C1575,C1575)=1,SUMIF($C$2:$C$5001,C1575,$H$2:$H$5001)+ROW()/10000000,0))</f>
        <v>0</v>
      </c>
    </row>
    <row r="1576" customFormat="false" ht="15" hidden="false" customHeight="false" outlineLevel="0" collapsed="false">
      <c r="A1576" s="43"/>
      <c r="B1576" s="44"/>
      <c r="C1576" s="44"/>
      <c r="D1576" s="44"/>
      <c r="E1576" s="44"/>
      <c r="F1576" s="44"/>
      <c r="G1576" s="44"/>
      <c r="H1576" s="46" t="str">
        <f aca="false">IF($A1576="","",IF(OR(NOT(ISNUMBER(E1576)),NOT(ISNUMBER(F1576))),"",MAX(0,E1576)*F1576))</f>
        <v/>
      </c>
      <c r="I1576" s="46" t="str">
        <f aca="false">IF($A1576="","",SUMIF($A$2:$A$5001,$A1576,$H$2:$H$5001))</f>
        <v/>
      </c>
      <c r="J1576" s="47" t="n">
        <f aca="false">IF($A1576="",0,IF(COUNTIF($A$2:A1576,$A1576)=1,1,0))</f>
        <v>0</v>
      </c>
      <c r="K1576" s="47" t="n">
        <f aca="false">IF(J1576=1,N(I1576)+ROW()/10000000,0)</f>
        <v>0</v>
      </c>
      <c r="L1576" s="47" t="str">
        <f aca="false">IF(AND(J1576=1,N(I1576)&gt;0),SUMIF($K$2:$K$5001,"&gt;="&amp;K1576,$I$2:$I$5001)/MAX(1,SUM($H$2:$H$5001)),"")</f>
        <v/>
      </c>
      <c r="M1576" s="47" t="str">
        <f aca="false">IF($A1576="","",INDEX($L$2:$L$5001,MATCH($A1576,$A$2:$A$5001,0)))</f>
        <v/>
      </c>
      <c r="N1576" s="48" t="str">
        <f aca="false">IF($A1576="","",IF(N(M1576)=0,"–",IF(M1576&lt;=Start!$D$20,"A",IF(M1576&lt;=Start!$D$21,"B","C"))))</f>
        <v/>
      </c>
      <c r="O1576" s="48" t="str">
        <f aca="false">IF($A1576="","",IF(NOT(ISNUMBER(F1576)),"Wert fehlt; ",IF(F1576&lt;=0,"Wert ist 0; ",""))&amp;IF(NOT(ISNUMBER(E1576)),"Bestand fehlt; ",IF(E1576&lt;0,"Bestand negativ; ",IF(E1576=0,"Nullbestand; ","")))&amp;IF(D1576="","Warengruppe fehlt; ","")&amp;IF(B1576="","Bezeichnung fehlt; ","")&amp;IF(COUNTIFS($A$2:$A$5001,$A1576,$C$2:$C$5001,C1576)&gt;1,"Artikel doppelt im selben Lager; ",""))</f>
        <v/>
      </c>
      <c r="P1576" s="47" t="n">
        <f aca="false">IF(OR($A1576="",D1576=""),0,IF(COUNTIF($D$2:D1576,D1576)=1,SUMIF($D$2:$D$5001,D1576,$H$2:$H$5001)+ROW()/10000000,0))</f>
        <v>0</v>
      </c>
      <c r="Q1576" s="47" t="n">
        <f aca="false">IF(OR($A1576="",C1576=""),0,IF(COUNTIF($C$2:C1576,C1576)=1,SUMIF($C$2:$C$5001,C1576,$H$2:$H$5001)+ROW()/10000000,0))</f>
        <v>0</v>
      </c>
    </row>
    <row r="1577" customFormat="false" ht="15" hidden="false" customHeight="false" outlineLevel="0" collapsed="false">
      <c r="A1577" s="43"/>
      <c r="B1577" s="44"/>
      <c r="C1577" s="44"/>
      <c r="D1577" s="44"/>
      <c r="E1577" s="44"/>
      <c r="F1577" s="44"/>
      <c r="G1577" s="44"/>
      <c r="H1577" s="46" t="str">
        <f aca="false">IF($A1577="","",IF(OR(NOT(ISNUMBER(E1577)),NOT(ISNUMBER(F1577))),"",MAX(0,E1577)*F1577))</f>
        <v/>
      </c>
      <c r="I1577" s="46" t="str">
        <f aca="false">IF($A1577="","",SUMIF($A$2:$A$5001,$A1577,$H$2:$H$5001))</f>
        <v/>
      </c>
      <c r="J1577" s="47" t="n">
        <f aca="false">IF($A1577="",0,IF(COUNTIF($A$2:A1577,$A1577)=1,1,0))</f>
        <v>0</v>
      </c>
      <c r="K1577" s="47" t="n">
        <f aca="false">IF(J1577=1,N(I1577)+ROW()/10000000,0)</f>
        <v>0</v>
      </c>
      <c r="L1577" s="47" t="str">
        <f aca="false">IF(AND(J1577=1,N(I1577)&gt;0),SUMIF($K$2:$K$5001,"&gt;="&amp;K1577,$I$2:$I$5001)/MAX(1,SUM($H$2:$H$5001)),"")</f>
        <v/>
      </c>
      <c r="M1577" s="47" t="str">
        <f aca="false">IF($A1577="","",INDEX($L$2:$L$5001,MATCH($A1577,$A$2:$A$5001,0)))</f>
        <v/>
      </c>
      <c r="N1577" s="48" t="str">
        <f aca="false">IF($A1577="","",IF(N(M1577)=0,"–",IF(M1577&lt;=Start!$D$20,"A",IF(M1577&lt;=Start!$D$21,"B","C"))))</f>
        <v/>
      </c>
      <c r="O1577" s="48" t="str">
        <f aca="false">IF($A1577="","",IF(NOT(ISNUMBER(F1577)),"Wert fehlt; ",IF(F1577&lt;=0,"Wert ist 0; ",""))&amp;IF(NOT(ISNUMBER(E1577)),"Bestand fehlt; ",IF(E1577&lt;0,"Bestand negativ; ",IF(E1577=0,"Nullbestand; ","")))&amp;IF(D1577="","Warengruppe fehlt; ","")&amp;IF(B1577="","Bezeichnung fehlt; ","")&amp;IF(COUNTIFS($A$2:$A$5001,$A1577,$C$2:$C$5001,C1577)&gt;1,"Artikel doppelt im selben Lager; ",""))</f>
        <v/>
      </c>
      <c r="P1577" s="47" t="n">
        <f aca="false">IF(OR($A1577="",D1577=""),0,IF(COUNTIF($D$2:D1577,D1577)=1,SUMIF($D$2:$D$5001,D1577,$H$2:$H$5001)+ROW()/10000000,0))</f>
        <v>0</v>
      </c>
      <c r="Q1577" s="47" t="n">
        <f aca="false">IF(OR($A1577="",C1577=""),0,IF(COUNTIF($C$2:C1577,C1577)=1,SUMIF($C$2:$C$5001,C1577,$H$2:$H$5001)+ROW()/10000000,0))</f>
        <v>0</v>
      </c>
    </row>
    <row r="1578" customFormat="false" ht="15" hidden="false" customHeight="false" outlineLevel="0" collapsed="false">
      <c r="A1578" s="43"/>
      <c r="B1578" s="44"/>
      <c r="C1578" s="44"/>
      <c r="D1578" s="44"/>
      <c r="E1578" s="44"/>
      <c r="F1578" s="44"/>
      <c r="G1578" s="44"/>
      <c r="H1578" s="46" t="str">
        <f aca="false">IF($A1578="","",IF(OR(NOT(ISNUMBER(E1578)),NOT(ISNUMBER(F1578))),"",MAX(0,E1578)*F1578))</f>
        <v/>
      </c>
      <c r="I1578" s="46" t="str">
        <f aca="false">IF($A1578="","",SUMIF($A$2:$A$5001,$A1578,$H$2:$H$5001))</f>
        <v/>
      </c>
      <c r="J1578" s="47" t="n">
        <f aca="false">IF($A1578="",0,IF(COUNTIF($A$2:A1578,$A1578)=1,1,0))</f>
        <v>0</v>
      </c>
      <c r="K1578" s="47" t="n">
        <f aca="false">IF(J1578=1,N(I1578)+ROW()/10000000,0)</f>
        <v>0</v>
      </c>
      <c r="L1578" s="47" t="str">
        <f aca="false">IF(AND(J1578=1,N(I1578)&gt;0),SUMIF($K$2:$K$5001,"&gt;="&amp;K1578,$I$2:$I$5001)/MAX(1,SUM($H$2:$H$5001)),"")</f>
        <v/>
      </c>
      <c r="M1578" s="47" t="str">
        <f aca="false">IF($A1578="","",INDEX($L$2:$L$5001,MATCH($A1578,$A$2:$A$5001,0)))</f>
        <v/>
      </c>
      <c r="N1578" s="48" t="str">
        <f aca="false">IF($A1578="","",IF(N(M1578)=0,"–",IF(M1578&lt;=Start!$D$20,"A",IF(M1578&lt;=Start!$D$21,"B","C"))))</f>
        <v/>
      </c>
      <c r="O1578" s="48" t="str">
        <f aca="false">IF($A1578="","",IF(NOT(ISNUMBER(F1578)),"Wert fehlt; ",IF(F1578&lt;=0,"Wert ist 0; ",""))&amp;IF(NOT(ISNUMBER(E1578)),"Bestand fehlt; ",IF(E1578&lt;0,"Bestand negativ; ",IF(E1578=0,"Nullbestand; ","")))&amp;IF(D1578="","Warengruppe fehlt; ","")&amp;IF(B1578="","Bezeichnung fehlt; ","")&amp;IF(COUNTIFS($A$2:$A$5001,$A1578,$C$2:$C$5001,C1578)&gt;1,"Artikel doppelt im selben Lager; ",""))</f>
        <v/>
      </c>
      <c r="P1578" s="47" t="n">
        <f aca="false">IF(OR($A1578="",D1578=""),0,IF(COUNTIF($D$2:D1578,D1578)=1,SUMIF($D$2:$D$5001,D1578,$H$2:$H$5001)+ROW()/10000000,0))</f>
        <v>0</v>
      </c>
      <c r="Q1578" s="47" t="n">
        <f aca="false">IF(OR($A1578="",C1578=""),0,IF(COUNTIF($C$2:C1578,C1578)=1,SUMIF($C$2:$C$5001,C1578,$H$2:$H$5001)+ROW()/10000000,0))</f>
        <v>0</v>
      </c>
    </row>
    <row r="1579" customFormat="false" ht="15" hidden="false" customHeight="false" outlineLevel="0" collapsed="false">
      <c r="A1579" s="43"/>
      <c r="B1579" s="44"/>
      <c r="C1579" s="44"/>
      <c r="D1579" s="44"/>
      <c r="E1579" s="44"/>
      <c r="F1579" s="44"/>
      <c r="G1579" s="44"/>
      <c r="H1579" s="46" t="str">
        <f aca="false">IF($A1579="","",IF(OR(NOT(ISNUMBER(E1579)),NOT(ISNUMBER(F1579))),"",MAX(0,E1579)*F1579))</f>
        <v/>
      </c>
      <c r="I1579" s="46" t="str">
        <f aca="false">IF($A1579="","",SUMIF($A$2:$A$5001,$A1579,$H$2:$H$5001))</f>
        <v/>
      </c>
      <c r="J1579" s="47" t="n">
        <f aca="false">IF($A1579="",0,IF(COUNTIF($A$2:A1579,$A1579)=1,1,0))</f>
        <v>0</v>
      </c>
      <c r="K1579" s="47" t="n">
        <f aca="false">IF(J1579=1,N(I1579)+ROW()/10000000,0)</f>
        <v>0</v>
      </c>
      <c r="L1579" s="47" t="str">
        <f aca="false">IF(AND(J1579=1,N(I1579)&gt;0),SUMIF($K$2:$K$5001,"&gt;="&amp;K1579,$I$2:$I$5001)/MAX(1,SUM($H$2:$H$5001)),"")</f>
        <v/>
      </c>
      <c r="M1579" s="47" t="str">
        <f aca="false">IF($A1579="","",INDEX($L$2:$L$5001,MATCH($A1579,$A$2:$A$5001,0)))</f>
        <v/>
      </c>
      <c r="N1579" s="48" t="str">
        <f aca="false">IF($A1579="","",IF(N(M1579)=0,"–",IF(M1579&lt;=Start!$D$20,"A",IF(M1579&lt;=Start!$D$21,"B","C"))))</f>
        <v/>
      </c>
      <c r="O1579" s="48" t="str">
        <f aca="false">IF($A1579="","",IF(NOT(ISNUMBER(F1579)),"Wert fehlt; ",IF(F1579&lt;=0,"Wert ist 0; ",""))&amp;IF(NOT(ISNUMBER(E1579)),"Bestand fehlt; ",IF(E1579&lt;0,"Bestand negativ; ",IF(E1579=0,"Nullbestand; ","")))&amp;IF(D1579="","Warengruppe fehlt; ","")&amp;IF(B1579="","Bezeichnung fehlt; ","")&amp;IF(COUNTIFS($A$2:$A$5001,$A1579,$C$2:$C$5001,C1579)&gt;1,"Artikel doppelt im selben Lager; ",""))</f>
        <v/>
      </c>
      <c r="P1579" s="47" t="n">
        <f aca="false">IF(OR($A1579="",D1579=""),0,IF(COUNTIF($D$2:D1579,D1579)=1,SUMIF($D$2:$D$5001,D1579,$H$2:$H$5001)+ROW()/10000000,0))</f>
        <v>0</v>
      </c>
      <c r="Q1579" s="47" t="n">
        <f aca="false">IF(OR($A1579="",C1579=""),0,IF(COUNTIF($C$2:C1579,C1579)=1,SUMIF($C$2:$C$5001,C1579,$H$2:$H$5001)+ROW()/10000000,0))</f>
        <v>0</v>
      </c>
    </row>
    <row r="1580" customFormat="false" ht="15" hidden="false" customHeight="false" outlineLevel="0" collapsed="false">
      <c r="A1580" s="43"/>
      <c r="B1580" s="44"/>
      <c r="C1580" s="44"/>
      <c r="D1580" s="44"/>
      <c r="E1580" s="44"/>
      <c r="F1580" s="44"/>
      <c r="G1580" s="44"/>
      <c r="H1580" s="46" t="str">
        <f aca="false">IF($A1580="","",IF(OR(NOT(ISNUMBER(E1580)),NOT(ISNUMBER(F1580))),"",MAX(0,E1580)*F1580))</f>
        <v/>
      </c>
      <c r="I1580" s="46" t="str">
        <f aca="false">IF($A1580="","",SUMIF($A$2:$A$5001,$A1580,$H$2:$H$5001))</f>
        <v/>
      </c>
      <c r="J1580" s="47" t="n">
        <f aca="false">IF($A1580="",0,IF(COUNTIF($A$2:A1580,$A1580)=1,1,0))</f>
        <v>0</v>
      </c>
      <c r="K1580" s="47" t="n">
        <f aca="false">IF(J1580=1,N(I1580)+ROW()/10000000,0)</f>
        <v>0</v>
      </c>
      <c r="L1580" s="47" t="str">
        <f aca="false">IF(AND(J1580=1,N(I1580)&gt;0),SUMIF($K$2:$K$5001,"&gt;="&amp;K1580,$I$2:$I$5001)/MAX(1,SUM($H$2:$H$5001)),"")</f>
        <v/>
      </c>
      <c r="M1580" s="47" t="str">
        <f aca="false">IF($A1580="","",INDEX($L$2:$L$5001,MATCH($A1580,$A$2:$A$5001,0)))</f>
        <v/>
      </c>
      <c r="N1580" s="48" t="str">
        <f aca="false">IF($A1580="","",IF(N(M1580)=0,"–",IF(M1580&lt;=Start!$D$20,"A",IF(M1580&lt;=Start!$D$21,"B","C"))))</f>
        <v/>
      </c>
      <c r="O1580" s="48" t="str">
        <f aca="false">IF($A1580="","",IF(NOT(ISNUMBER(F1580)),"Wert fehlt; ",IF(F1580&lt;=0,"Wert ist 0; ",""))&amp;IF(NOT(ISNUMBER(E1580)),"Bestand fehlt; ",IF(E1580&lt;0,"Bestand negativ; ",IF(E1580=0,"Nullbestand; ","")))&amp;IF(D1580="","Warengruppe fehlt; ","")&amp;IF(B1580="","Bezeichnung fehlt; ","")&amp;IF(COUNTIFS($A$2:$A$5001,$A1580,$C$2:$C$5001,C1580)&gt;1,"Artikel doppelt im selben Lager; ",""))</f>
        <v/>
      </c>
      <c r="P1580" s="47" t="n">
        <f aca="false">IF(OR($A1580="",D1580=""),0,IF(COUNTIF($D$2:D1580,D1580)=1,SUMIF($D$2:$D$5001,D1580,$H$2:$H$5001)+ROW()/10000000,0))</f>
        <v>0</v>
      </c>
      <c r="Q1580" s="47" t="n">
        <f aca="false">IF(OR($A1580="",C1580=""),0,IF(COUNTIF($C$2:C1580,C1580)=1,SUMIF($C$2:$C$5001,C1580,$H$2:$H$5001)+ROW()/10000000,0))</f>
        <v>0</v>
      </c>
    </row>
    <row r="1581" customFormat="false" ht="15" hidden="false" customHeight="false" outlineLevel="0" collapsed="false">
      <c r="A1581" s="43"/>
      <c r="B1581" s="44"/>
      <c r="C1581" s="44"/>
      <c r="D1581" s="44"/>
      <c r="E1581" s="44"/>
      <c r="F1581" s="44"/>
      <c r="G1581" s="44"/>
      <c r="H1581" s="46" t="str">
        <f aca="false">IF($A1581="","",IF(OR(NOT(ISNUMBER(E1581)),NOT(ISNUMBER(F1581))),"",MAX(0,E1581)*F1581))</f>
        <v/>
      </c>
      <c r="I1581" s="46" t="str">
        <f aca="false">IF($A1581="","",SUMIF($A$2:$A$5001,$A1581,$H$2:$H$5001))</f>
        <v/>
      </c>
      <c r="J1581" s="47" t="n">
        <f aca="false">IF($A1581="",0,IF(COUNTIF($A$2:A1581,$A1581)=1,1,0))</f>
        <v>0</v>
      </c>
      <c r="K1581" s="47" t="n">
        <f aca="false">IF(J1581=1,N(I1581)+ROW()/10000000,0)</f>
        <v>0</v>
      </c>
      <c r="L1581" s="47" t="str">
        <f aca="false">IF(AND(J1581=1,N(I1581)&gt;0),SUMIF($K$2:$K$5001,"&gt;="&amp;K1581,$I$2:$I$5001)/MAX(1,SUM($H$2:$H$5001)),"")</f>
        <v/>
      </c>
      <c r="M1581" s="47" t="str">
        <f aca="false">IF($A1581="","",INDEX($L$2:$L$5001,MATCH($A1581,$A$2:$A$5001,0)))</f>
        <v/>
      </c>
      <c r="N1581" s="48" t="str">
        <f aca="false">IF($A1581="","",IF(N(M1581)=0,"–",IF(M1581&lt;=Start!$D$20,"A",IF(M1581&lt;=Start!$D$21,"B","C"))))</f>
        <v/>
      </c>
      <c r="O1581" s="48" t="str">
        <f aca="false">IF($A1581="","",IF(NOT(ISNUMBER(F1581)),"Wert fehlt; ",IF(F1581&lt;=0,"Wert ist 0; ",""))&amp;IF(NOT(ISNUMBER(E1581)),"Bestand fehlt; ",IF(E1581&lt;0,"Bestand negativ; ",IF(E1581=0,"Nullbestand; ","")))&amp;IF(D1581="","Warengruppe fehlt; ","")&amp;IF(B1581="","Bezeichnung fehlt; ","")&amp;IF(COUNTIFS($A$2:$A$5001,$A1581,$C$2:$C$5001,C1581)&gt;1,"Artikel doppelt im selben Lager; ",""))</f>
        <v/>
      </c>
      <c r="P1581" s="47" t="n">
        <f aca="false">IF(OR($A1581="",D1581=""),0,IF(COUNTIF($D$2:D1581,D1581)=1,SUMIF($D$2:$D$5001,D1581,$H$2:$H$5001)+ROW()/10000000,0))</f>
        <v>0</v>
      </c>
      <c r="Q1581" s="47" t="n">
        <f aca="false">IF(OR($A1581="",C1581=""),0,IF(COUNTIF($C$2:C1581,C1581)=1,SUMIF($C$2:$C$5001,C1581,$H$2:$H$5001)+ROW()/10000000,0))</f>
        <v>0</v>
      </c>
    </row>
    <row r="1582" customFormat="false" ht="15" hidden="false" customHeight="false" outlineLevel="0" collapsed="false">
      <c r="A1582" s="43"/>
      <c r="B1582" s="44"/>
      <c r="C1582" s="44"/>
      <c r="D1582" s="44"/>
      <c r="E1582" s="44"/>
      <c r="F1582" s="44"/>
      <c r="G1582" s="44"/>
      <c r="H1582" s="46" t="str">
        <f aca="false">IF($A1582="","",IF(OR(NOT(ISNUMBER(E1582)),NOT(ISNUMBER(F1582))),"",MAX(0,E1582)*F1582))</f>
        <v/>
      </c>
      <c r="I1582" s="46" t="str">
        <f aca="false">IF($A1582="","",SUMIF($A$2:$A$5001,$A1582,$H$2:$H$5001))</f>
        <v/>
      </c>
      <c r="J1582" s="47" t="n">
        <f aca="false">IF($A1582="",0,IF(COUNTIF($A$2:A1582,$A1582)=1,1,0))</f>
        <v>0</v>
      </c>
      <c r="K1582" s="47" t="n">
        <f aca="false">IF(J1582=1,N(I1582)+ROW()/10000000,0)</f>
        <v>0</v>
      </c>
      <c r="L1582" s="47" t="str">
        <f aca="false">IF(AND(J1582=1,N(I1582)&gt;0),SUMIF($K$2:$K$5001,"&gt;="&amp;K1582,$I$2:$I$5001)/MAX(1,SUM($H$2:$H$5001)),"")</f>
        <v/>
      </c>
      <c r="M1582" s="47" t="str">
        <f aca="false">IF($A1582="","",INDEX($L$2:$L$5001,MATCH($A1582,$A$2:$A$5001,0)))</f>
        <v/>
      </c>
      <c r="N1582" s="48" t="str">
        <f aca="false">IF($A1582="","",IF(N(M1582)=0,"–",IF(M1582&lt;=Start!$D$20,"A",IF(M1582&lt;=Start!$D$21,"B","C"))))</f>
        <v/>
      </c>
      <c r="O1582" s="48" t="str">
        <f aca="false">IF($A1582="","",IF(NOT(ISNUMBER(F1582)),"Wert fehlt; ",IF(F1582&lt;=0,"Wert ist 0; ",""))&amp;IF(NOT(ISNUMBER(E1582)),"Bestand fehlt; ",IF(E1582&lt;0,"Bestand negativ; ",IF(E1582=0,"Nullbestand; ","")))&amp;IF(D1582="","Warengruppe fehlt; ","")&amp;IF(B1582="","Bezeichnung fehlt; ","")&amp;IF(COUNTIFS($A$2:$A$5001,$A1582,$C$2:$C$5001,C1582)&gt;1,"Artikel doppelt im selben Lager; ",""))</f>
        <v/>
      </c>
      <c r="P1582" s="47" t="n">
        <f aca="false">IF(OR($A1582="",D1582=""),0,IF(COUNTIF($D$2:D1582,D1582)=1,SUMIF($D$2:$D$5001,D1582,$H$2:$H$5001)+ROW()/10000000,0))</f>
        <v>0</v>
      </c>
      <c r="Q1582" s="47" t="n">
        <f aca="false">IF(OR($A1582="",C1582=""),0,IF(COUNTIF($C$2:C1582,C1582)=1,SUMIF($C$2:$C$5001,C1582,$H$2:$H$5001)+ROW()/10000000,0))</f>
        <v>0</v>
      </c>
    </row>
    <row r="1583" customFormat="false" ht="15" hidden="false" customHeight="false" outlineLevel="0" collapsed="false">
      <c r="A1583" s="43"/>
      <c r="B1583" s="44"/>
      <c r="C1583" s="44"/>
      <c r="D1583" s="44"/>
      <c r="E1583" s="44"/>
      <c r="F1583" s="44"/>
      <c r="G1583" s="44"/>
      <c r="H1583" s="46" t="str">
        <f aca="false">IF($A1583="","",IF(OR(NOT(ISNUMBER(E1583)),NOT(ISNUMBER(F1583))),"",MAX(0,E1583)*F1583))</f>
        <v/>
      </c>
      <c r="I1583" s="46" t="str">
        <f aca="false">IF($A1583="","",SUMIF($A$2:$A$5001,$A1583,$H$2:$H$5001))</f>
        <v/>
      </c>
      <c r="J1583" s="47" t="n">
        <f aca="false">IF($A1583="",0,IF(COUNTIF($A$2:A1583,$A1583)=1,1,0))</f>
        <v>0</v>
      </c>
      <c r="K1583" s="47" t="n">
        <f aca="false">IF(J1583=1,N(I1583)+ROW()/10000000,0)</f>
        <v>0</v>
      </c>
      <c r="L1583" s="47" t="str">
        <f aca="false">IF(AND(J1583=1,N(I1583)&gt;0),SUMIF($K$2:$K$5001,"&gt;="&amp;K1583,$I$2:$I$5001)/MAX(1,SUM($H$2:$H$5001)),"")</f>
        <v/>
      </c>
      <c r="M1583" s="47" t="str">
        <f aca="false">IF($A1583="","",INDEX($L$2:$L$5001,MATCH($A1583,$A$2:$A$5001,0)))</f>
        <v/>
      </c>
      <c r="N1583" s="48" t="str">
        <f aca="false">IF($A1583="","",IF(N(M1583)=0,"–",IF(M1583&lt;=Start!$D$20,"A",IF(M1583&lt;=Start!$D$21,"B","C"))))</f>
        <v/>
      </c>
      <c r="O1583" s="48" t="str">
        <f aca="false">IF($A1583="","",IF(NOT(ISNUMBER(F1583)),"Wert fehlt; ",IF(F1583&lt;=0,"Wert ist 0; ",""))&amp;IF(NOT(ISNUMBER(E1583)),"Bestand fehlt; ",IF(E1583&lt;0,"Bestand negativ; ",IF(E1583=0,"Nullbestand; ","")))&amp;IF(D1583="","Warengruppe fehlt; ","")&amp;IF(B1583="","Bezeichnung fehlt; ","")&amp;IF(COUNTIFS($A$2:$A$5001,$A1583,$C$2:$C$5001,C1583)&gt;1,"Artikel doppelt im selben Lager; ",""))</f>
        <v/>
      </c>
      <c r="P1583" s="47" t="n">
        <f aca="false">IF(OR($A1583="",D1583=""),0,IF(COUNTIF($D$2:D1583,D1583)=1,SUMIF($D$2:$D$5001,D1583,$H$2:$H$5001)+ROW()/10000000,0))</f>
        <v>0</v>
      </c>
      <c r="Q1583" s="47" t="n">
        <f aca="false">IF(OR($A1583="",C1583=""),0,IF(COUNTIF($C$2:C1583,C1583)=1,SUMIF($C$2:$C$5001,C1583,$H$2:$H$5001)+ROW()/10000000,0))</f>
        <v>0</v>
      </c>
    </row>
    <row r="1584" customFormat="false" ht="15" hidden="false" customHeight="false" outlineLevel="0" collapsed="false">
      <c r="A1584" s="43"/>
      <c r="B1584" s="44"/>
      <c r="C1584" s="44"/>
      <c r="D1584" s="44"/>
      <c r="E1584" s="44"/>
      <c r="F1584" s="44"/>
      <c r="G1584" s="44"/>
      <c r="H1584" s="46" t="str">
        <f aca="false">IF($A1584="","",IF(OR(NOT(ISNUMBER(E1584)),NOT(ISNUMBER(F1584))),"",MAX(0,E1584)*F1584))</f>
        <v/>
      </c>
      <c r="I1584" s="46" t="str">
        <f aca="false">IF($A1584="","",SUMIF($A$2:$A$5001,$A1584,$H$2:$H$5001))</f>
        <v/>
      </c>
      <c r="J1584" s="47" t="n">
        <f aca="false">IF($A1584="",0,IF(COUNTIF($A$2:A1584,$A1584)=1,1,0))</f>
        <v>0</v>
      </c>
      <c r="K1584" s="47" t="n">
        <f aca="false">IF(J1584=1,N(I1584)+ROW()/10000000,0)</f>
        <v>0</v>
      </c>
      <c r="L1584" s="47" t="str">
        <f aca="false">IF(AND(J1584=1,N(I1584)&gt;0),SUMIF($K$2:$K$5001,"&gt;="&amp;K1584,$I$2:$I$5001)/MAX(1,SUM($H$2:$H$5001)),"")</f>
        <v/>
      </c>
      <c r="M1584" s="47" t="str">
        <f aca="false">IF($A1584="","",INDEX($L$2:$L$5001,MATCH($A1584,$A$2:$A$5001,0)))</f>
        <v/>
      </c>
      <c r="N1584" s="48" t="str">
        <f aca="false">IF($A1584="","",IF(N(M1584)=0,"–",IF(M1584&lt;=Start!$D$20,"A",IF(M1584&lt;=Start!$D$21,"B","C"))))</f>
        <v/>
      </c>
      <c r="O1584" s="48" t="str">
        <f aca="false">IF($A1584="","",IF(NOT(ISNUMBER(F1584)),"Wert fehlt; ",IF(F1584&lt;=0,"Wert ist 0; ",""))&amp;IF(NOT(ISNUMBER(E1584)),"Bestand fehlt; ",IF(E1584&lt;0,"Bestand negativ; ",IF(E1584=0,"Nullbestand; ","")))&amp;IF(D1584="","Warengruppe fehlt; ","")&amp;IF(B1584="","Bezeichnung fehlt; ","")&amp;IF(COUNTIFS($A$2:$A$5001,$A1584,$C$2:$C$5001,C1584)&gt;1,"Artikel doppelt im selben Lager; ",""))</f>
        <v/>
      </c>
      <c r="P1584" s="47" t="n">
        <f aca="false">IF(OR($A1584="",D1584=""),0,IF(COUNTIF($D$2:D1584,D1584)=1,SUMIF($D$2:$D$5001,D1584,$H$2:$H$5001)+ROW()/10000000,0))</f>
        <v>0</v>
      </c>
      <c r="Q1584" s="47" t="n">
        <f aca="false">IF(OR($A1584="",C1584=""),0,IF(COUNTIF($C$2:C1584,C1584)=1,SUMIF($C$2:$C$5001,C1584,$H$2:$H$5001)+ROW()/10000000,0))</f>
        <v>0</v>
      </c>
    </row>
    <row r="1585" customFormat="false" ht="15" hidden="false" customHeight="false" outlineLevel="0" collapsed="false">
      <c r="A1585" s="43"/>
      <c r="B1585" s="44"/>
      <c r="C1585" s="44"/>
      <c r="D1585" s="44"/>
      <c r="E1585" s="44"/>
      <c r="F1585" s="44"/>
      <c r="G1585" s="44"/>
      <c r="H1585" s="46" t="str">
        <f aca="false">IF($A1585="","",IF(OR(NOT(ISNUMBER(E1585)),NOT(ISNUMBER(F1585))),"",MAX(0,E1585)*F1585))</f>
        <v/>
      </c>
      <c r="I1585" s="46" t="str">
        <f aca="false">IF($A1585="","",SUMIF($A$2:$A$5001,$A1585,$H$2:$H$5001))</f>
        <v/>
      </c>
      <c r="J1585" s="47" t="n">
        <f aca="false">IF($A1585="",0,IF(COUNTIF($A$2:A1585,$A1585)=1,1,0))</f>
        <v>0</v>
      </c>
      <c r="K1585" s="47" t="n">
        <f aca="false">IF(J1585=1,N(I1585)+ROW()/10000000,0)</f>
        <v>0</v>
      </c>
      <c r="L1585" s="47" t="str">
        <f aca="false">IF(AND(J1585=1,N(I1585)&gt;0),SUMIF($K$2:$K$5001,"&gt;="&amp;K1585,$I$2:$I$5001)/MAX(1,SUM($H$2:$H$5001)),"")</f>
        <v/>
      </c>
      <c r="M1585" s="47" t="str">
        <f aca="false">IF($A1585="","",INDEX($L$2:$L$5001,MATCH($A1585,$A$2:$A$5001,0)))</f>
        <v/>
      </c>
      <c r="N1585" s="48" t="str">
        <f aca="false">IF($A1585="","",IF(N(M1585)=0,"–",IF(M1585&lt;=Start!$D$20,"A",IF(M1585&lt;=Start!$D$21,"B","C"))))</f>
        <v/>
      </c>
      <c r="O1585" s="48" t="str">
        <f aca="false">IF($A1585="","",IF(NOT(ISNUMBER(F1585)),"Wert fehlt; ",IF(F1585&lt;=0,"Wert ist 0; ",""))&amp;IF(NOT(ISNUMBER(E1585)),"Bestand fehlt; ",IF(E1585&lt;0,"Bestand negativ; ",IF(E1585=0,"Nullbestand; ","")))&amp;IF(D1585="","Warengruppe fehlt; ","")&amp;IF(B1585="","Bezeichnung fehlt; ","")&amp;IF(COUNTIFS($A$2:$A$5001,$A1585,$C$2:$C$5001,C1585)&gt;1,"Artikel doppelt im selben Lager; ",""))</f>
        <v/>
      </c>
      <c r="P1585" s="47" t="n">
        <f aca="false">IF(OR($A1585="",D1585=""),0,IF(COUNTIF($D$2:D1585,D1585)=1,SUMIF($D$2:$D$5001,D1585,$H$2:$H$5001)+ROW()/10000000,0))</f>
        <v>0</v>
      </c>
      <c r="Q1585" s="47" t="n">
        <f aca="false">IF(OR($A1585="",C1585=""),0,IF(COUNTIF($C$2:C1585,C1585)=1,SUMIF($C$2:$C$5001,C1585,$H$2:$H$5001)+ROW()/10000000,0))</f>
        <v>0</v>
      </c>
    </row>
    <row r="1586" customFormat="false" ht="15" hidden="false" customHeight="false" outlineLevel="0" collapsed="false">
      <c r="A1586" s="43"/>
      <c r="B1586" s="44"/>
      <c r="C1586" s="44"/>
      <c r="D1586" s="44"/>
      <c r="E1586" s="44"/>
      <c r="F1586" s="44"/>
      <c r="G1586" s="44"/>
      <c r="H1586" s="46" t="str">
        <f aca="false">IF($A1586="","",IF(OR(NOT(ISNUMBER(E1586)),NOT(ISNUMBER(F1586))),"",MAX(0,E1586)*F1586))</f>
        <v/>
      </c>
      <c r="I1586" s="46" t="str">
        <f aca="false">IF($A1586="","",SUMIF($A$2:$A$5001,$A1586,$H$2:$H$5001))</f>
        <v/>
      </c>
      <c r="J1586" s="47" t="n">
        <f aca="false">IF($A1586="",0,IF(COUNTIF($A$2:A1586,$A1586)=1,1,0))</f>
        <v>0</v>
      </c>
      <c r="K1586" s="47" t="n">
        <f aca="false">IF(J1586=1,N(I1586)+ROW()/10000000,0)</f>
        <v>0</v>
      </c>
      <c r="L1586" s="47" t="str">
        <f aca="false">IF(AND(J1586=1,N(I1586)&gt;0),SUMIF($K$2:$K$5001,"&gt;="&amp;K1586,$I$2:$I$5001)/MAX(1,SUM($H$2:$H$5001)),"")</f>
        <v/>
      </c>
      <c r="M1586" s="47" t="str">
        <f aca="false">IF($A1586="","",INDEX($L$2:$L$5001,MATCH($A1586,$A$2:$A$5001,0)))</f>
        <v/>
      </c>
      <c r="N1586" s="48" t="str">
        <f aca="false">IF($A1586="","",IF(N(M1586)=0,"–",IF(M1586&lt;=Start!$D$20,"A",IF(M1586&lt;=Start!$D$21,"B","C"))))</f>
        <v/>
      </c>
      <c r="O1586" s="48" t="str">
        <f aca="false">IF($A1586="","",IF(NOT(ISNUMBER(F1586)),"Wert fehlt; ",IF(F1586&lt;=0,"Wert ist 0; ",""))&amp;IF(NOT(ISNUMBER(E1586)),"Bestand fehlt; ",IF(E1586&lt;0,"Bestand negativ; ",IF(E1586=0,"Nullbestand; ","")))&amp;IF(D1586="","Warengruppe fehlt; ","")&amp;IF(B1586="","Bezeichnung fehlt; ","")&amp;IF(COUNTIFS($A$2:$A$5001,$A1586,$C$2:$C$5001,C1586)&gt;1,"Artikel doppelt im selben Lager; ",""))</f>
        <v/>
      </c>
      <c r="P1586" s="47" t="n">
        <f aca="false">IF(OR($A1586="",D1586=""),0,IF(COUNTIF($D$2:D1586,D1586)=1,SUMIF($D$2:$D$5001,D1586,$H$2:$H$5001)+ROW()/10000000,0))</f>
        <v>0</v>
      </c>
      <c r="Q1586" s="47" t="n">
        <f aca="false">IF(OR($A1586="",C1586=""),0,IF(COUNTIF($C$2:C1586,C1586)=1,SUMIF($C$2:$C$5001,C1586,$H$2:$H$5001)+ROW()/10000000,0))</f>
        <v>0</v>
      </c>
    </row>
    <row r="1587" customFormat="false" ht="15" hidden="false" customHeight="false" outlineLevel="0" collapsed="false">
      <c r="A1587" s="43"/>
      <c r="B1587" s="44"/>
      <c r="C1587" s="44"/>
      <c r="D1587" s="44"/>
      <c r="E1587" s="44"/>
      <c r="F1587" s="44"/>
      <c r="G1587" s="44"/>
      <c r="H1587" s="46" t="str">
        <f aca="false">IF($A1587="","",IF(OR(NOT(ISNUMBER(E1587)),NOT(ISNUMBER(F1587))),"",MAX(0,E1587)*F1587))</f>
        <v/>
      </c>
      <c r="I1587" s="46" t="str">
        <f aca="false">IF($A1587="","",SUMIF($A$2:$A$5001,$A1587,$H$2:$H$5001))</f>
        <v/>
      </c>
      <c r="J1587" s="47" t="n">
        <f aca="false">IF($A1587="",0,IF(COUNTIF($A$2:A1587,$A1587)=1,1,0))</f>
        <v>0</v>
      </c>
      <c r="K1587" s="47" t="n">
        <f aca="false">IF(J1587=1,N(I1587)+ROW()/10000000,0)</f>
        <v>0</v>
      </c>
      <c r="L1587" s="47" t="str">
        <f aca="false">IF(AND(J1587=1,N(I1587)&gt;0),SUMIF($K$2:$K$5001,"&gt;="&amp;K1587,$I$2:$I$5001)/MAX(1,SUM($H$2:$H$5001)),"")</f>
        <v/>
      </c>
      <c r="M1587" s="47" t="str">
        <f aca="false">IF($A1587="","",INDEX($L$2:$L$5001,MATCH($A1587,$A$2:$A$5001,0)))</f>
        <v/>
      </c>
      <c r="N1587" s="48" t="str">
        <f aca="false">IF($A1587="","",IF(N(M1587)=0,"–",IF(M1587&lt;=Start!$D$20,"A",IF(M1587&lt;=Start!$D$21,"B","C"))))</f>
        <v/>
      </c>
      <c r="O1587" s="48" t="str">
        <f aca="false">IF($A1587="","",IF(NOT(ISNUMBER(F1587)),"Wert fehlt; ",IF(F1587&lt;=0,"Wert ist 0; ",""))&amp;IF(NOT(ISNUMBER(E1587)),"Bestand fehlt; ",IF(E1587&lt;0,"Bestand negativ; ",IF(E1587=0,"Nullbestand; ","")))&amp;IF(D1587="","Warengruppe fehlt; ","")&amp;IF(B1587="","Bezeichnung fehlt; ","")&amp;IF(COUNTIFS($A$2:$A$5001,$A1587,$C$2:$C$5001,C1587)&gt;1,"Artikel doppelt im selben Lager; ",""))</f>
        <v/>
      </c>
      <c r="P1587" s="47" t="n">
        <f aca="false">IF(OR($A1587="",D1587=""),0,IF(COUNTIF($D$2:D1587,D1587)=1,SUMIF($D$2:$D$5001,D1587,$H$2:$H$5001)+ROW()/10000000,0))</f>
        <v>0</v>
      </c>
      <c r="Q1587" s="47" t="n">
        <f aca="false">IF(OR($A1587="",C1587=""),0,IF(COUNTIF($C$2:C1587,C1587)=1,SUMIF($C$2:$C$5001,C1587,$H$2:$H$5001)+ROW()/10000000,0))</f>
        <v>0</v>
      </c>
    </row>
    <row r="1588" customFormat="false" ht="15" hidden="false" customHeight="false" outlineLevel="0" collapsed="false">
      <c r="A1588" s="43"/>
      <c r="B1588" s="44"/>
      <c r="C1588" s="44"/>
      <c r="D1588" s="44"/>
      <c r="E1588" s="44"/>
      <c r="F1588" s="44"/>
      <c r="G1588" s="44"/>
      <c r="H1588" s="46" t="str">
        <f aca="false">IF($A1588="","",IF(OR(NOT(ISNUMBER(E1588)),NOT(ISNUMBER(F1588))),"",MAX(0,E1588)*F1588))</f>
        <v/>
      </c>
      <c r="I1588" s="46" t="str">
        <f aca="false">IF($A1588="","",SUMIF($A$2:$A$5001,$A1588,$H$2:$H$5001))</f>
        <v/>
      </c>
      <c r="J1588" s="47" t="n">
        <f aca="false">IF($A1588="",0,IF(COUNTIF($A$2:A1588,$A1588)=1,1,0))</f>
        <v>0</v>
      </c>
      <c r="K1588" s="47" t="n">
        <f aca="false">IF(J1588=1,N(I1588)+ROW()/10000000,0)</f>
        <v>0</v>
      </c>
      <c r="L1588" s="47" t="str">
        <f aca="false">IF(AND(J1588=1,N(I1588)&gt;0),SUMIF($K$2:$K$5001,"&gt;="&amp;K1588,$I$2:$I$5001)/MAX(1,SUM($H$2:$H$5001)),"")</f>
        <v/>
      </c>
      <c r="M1588" s="47" t="str">
        <f aca="false">IF($A1588="","",INDEX($L$2:$L$5001,MATCH($A1588,$A$2:$A$5001,0)))</f>
        <v/>
      </c>
      <c r="N1588" s="48" t="str">
        <f aca="false">IF($A1588="","",IF(N(M1588)=0,"–",IF(M1588&lt;=Start!$D$20,"A",IF(M1588&lt;=Start!$D$21,"B","C"))))</f>
        <v/>
      </c>
      <c r="O1588" s="48" t="str">
        <f aca="false">IF($A1588="","",IF(NOT(ISNUMBER(F1588)),"Wert fehlt; ",IF(F1588&lt;=0,"Wert ist 0; ",""))&amp;IF(NOT(ISNUMBER(E1588)),"Bestand fehlt; ",IF(E1588&lt;0,"Bestand negativ; ",IF(E1588=0,"Nullbestand; ","")))&amp;IF(D1588="","Warengruppe fehlt; ","")&amp;IF(B1588="","Bezeichnung fehlt; ","")&amp;IF(COUNTIFS($A$2:$A$5001,$A1588,$C$2:$C$5001,C1588)&gt;1,"Artikel doppelt im selben Lager; ",""))</f>
        <v/>
      </c>
      <c r="P1588" s="47" t="n">
        <f aca="false">IF(OR($A1588="",D1588=""),0,IF(COUNTIF($D$2:D1588,D1588)=1,SUMIF($D$2:$D$5001,D1588,$H$2:$H$5001)+ROW()/10000000,0))</f>
        <v>0</v>
      </c>
      <c r="Q1588" s="47" t="n">
        <f aca="false">IF(OR($A1588="",C1588=""),0,IF(COUNTIF($C$2:C1588,C1588)=1,SUMIF($C$2:$C$5001,C1588,$H$2:$H$5001)+ROW()/10000000,0))</f>
        <v>0</v>
      </c>
    </row>
    <row r="1589" customFormat="false" ht="15" hidden="false" customHeight="false" outlineLevel="0" collapsed="false">
      <c r="A1589" s="43"/>
      <c r="B1589" s="44"/>
      <c r="C1589" s="44"/>
      <c r="D1589" s="44"/>
      <c r="E1589" s="44"/>
      <c r="F1589" s="44"/>
      <c r="G1589" s="44"/>
      <c r="H1589" s="46" t="str">
        <f aca="false">IF($A1589="","",IF(OR(NOT(ISNUMBER(E1589)),NOT(ISNUMBER(F1589))),"",MAX(0,E1589)*F1589))</f>
        <v/>
      </c>
      <c r="I1589" s="46" t="str">
        <f aca="false">IF($A1589="","",SUMIF($A$2:$A$5001,$A1589,$H$2:$H$5001))</f>
        <v/>
      </c>
      <c r="J1589" s="47" t="n">
        <f aca="false">IF($A1589="",0,IF(COUNTIF($A$2:A1589,$A1589)=1,1,0))</f>
        <v>0</v>
      </c>
      <c r="K1589" s="47" t="n">
        <f aca="false">IF(J1589=1,N(I1589)+ROW()/10000000,0)</f>
        <v>0</v>
      </c>
      <c r="L1589" s="47" t="str">
        <f aca="false">IF(AND(J1589=1,N(I1589)&gt;0),SUMIF($K$2:$K$5001,"&gt;="&amp;K1589,$I$2:$I$5001)/MAX(1,SUM($H$2:$H$5001)),"")</f>
        <v/>
      </c>
      <c r="M1589" s="47" t="str">
        <f aca="false">IF($A1589="","",INDEX($L$2:$L$5001,MATCH($A1589,$A$2:$A$5001,0)))</f>
        <v/>
      </c>
      <c r="N1589" s="48" t="str">
        <f aca="false">IF($A1589="","",IF(N(M1589)=0,"–",IF(M1589&lt;=Start!$D$20,"A",IF(M1589&lt;=Start!$D$21,"B","C"))))</f>
        <v/>
      </c>
      <c r="O1589" s="48" t="str">
        <f aca="false">IF($A1589="","",IF(NOT(ISNUMBER(F1589)),"Wert fehlt; ",IF(F1589&lt;=0,"Wert ist 0; ",""))&amp;IF(NOT(ISNUMBER(E1589)),"Bestand fehlt; ",IF(E1589&lt;0,"Bestand negativ; ",IF(E1589=0,"Nullbestand; ","")))&amp;IF(D1589="","Warengruppe fehlt; ","")&amp;IF(B1589="","Bezeichnung fehlt; ","")&amp;IF(COUNTIFS($A$2:$A$5001,$A1589,$C$2:$C$5001,C1589)&gt;1,"Artikel doppelt im selben Lager; ",""))</f>
        <v/>
      </c>
      <c r="P1589" s="47" t="n">
        <f aca="false">IF(OR($A1589="",D1589=""),0,IF(COUNTIF($D$2:D1589,D1589)=1,SUMIF($D$2:$D$5001,D1589,$H$2:$H$5001)+ROW()/10000000,0))</f>
        <v>0</v>
      </c>
      <c r="Q1589" s="47" t="n">
        <f aca="false">IF(OR($A1589="",C1589=""),0,IF(COUNTIF($C$2:C1589,C1589)=1,SUMIF($C$2:$C$5001,C1589,$H$2:$H$5001)+ROW()/10000000,0))</f>
        <v>0</v>
      </c>
    </row>
    <row r="1590" customFormat="false" ht="15" hidden="false" customHeight="false" outlineLevel="0" collapsed="false">
      <c r="A1590" s="43"/>
      <c r="B1590" s="44"/>
      <c r="C1590" s="44"/>
      <c r="D1590" s="44"/>
      <c r="E1590" s="44"/>
      <c r="F1590" s="44"/>
      <c r="G1590" s="44"/>
      <c r="H1590" s="46" t="str">
        <f aca="false">IF($A1590="","",IF(OR(NOT(ISNUMBER(E1590)),NOT(ISNUMBER(F1590))),"",MAX(0,E1590)*F1590))</f>
        <v/>
      </c>
      <c r="I1590" s="46" t="str">
        <f aca="false">IF($A1590="","",SUMIF($A$2:$A$5001,$A1590,$H$2:$H$5001))</f>
        <v/>
      </c>
      <c r="J1590" s="47" t="n">
        <f aca="false">IF($A1590="",0,IF(COUNTIF($A$2:A1590,$A1590)=1,1,0))</f>
        <v>0</v>
      </c>
      <c r="K1590" s="47" t="n">
        <f aca="false">IF(J1590=1,N(I1590)+ROW()/10000000,0)</f>
        <v>0</v>
      </c>
      <c r="L1590" s="47" t="str">
        <f aca="false">IF(AND(J1590=1,N(I1590)&gt;0),SUMIF($K$2:$K$5001,"&gt;="&amp;K1590,$I$2:$I$5001)/MAX(1,SUM($H$2:$H$5001)),"")</f>
        <v/>
      </c>
      <c r="M1590" s="47" t="str">
        <f aca="false">IF($A1590="","",INDEX($L$2:$L$5001,MATCH($A1590,$A$2:$A$5001,0)))</f>
        <v/>
      </c>
      <c r="N1590" s="48" t="str">
        <f aca="false">IF($A1590="","",IF(N(M1590)=0,"–",IF(M1590&lt;=Start!$D$20,"A",IF(M1590&lt;=Start!$D$21,"B","C"))))</f>
        <v/>
      </c>
      <c r="O1590" s="48" t="str">
        <f aca="false">IF($A1590="","",IF(NOT(ISNUMBER(F1590)),"Wert fehlt; ",IF(F1590&lt;=0,"Wert ist 0; ",""))&amp;IF(NOT(ISNUMBER(E1590)),"Bestand fehlt; ",IF(E1590&lt;0,"Bestand negativ; ",IF(E1590=0,"Nullbestand; ","")))&amp;IF(D1590="","Warengruppe fehlt; ","")&amp;IF(B1590="","Bezeichnung fehlt; ","")&amp;IF(COUNTIFS($A$2:$A$5001,$A1590,$C$2:$C$5001,C1590)&gt;1,"Artikel doppelt im selben Lager; ",""))</f>
        <v/>
      </c>
      <c r="P1590" s="47" t="n">
        <f aca="false">IF(OR($A1590="",D1590=""),0,IF(COUNTIF($D$2:D1590,D1590)=1,SUMIF($D$2:$D$5001,D1590,$H$2:$H$5001)+ROW()/10000000,0))</f>
        <v>0</v>
      </c>
      <c r="Q1590" s="47" t="n">
        <f aca="false">IF(OR($A1590="",C1590=""),0,IF(COUNTIF($C$2:C1590,C1590)=1,SUMIF($C$2:$C$5001,C1590,$H$2:$H$5001)+ROW()/10000000,0))</f>
        <v>0</v>
      </c>
    </row>
    <row r="1591" customFormat="false" ht="15" hidden="false" customHeight="false" outlineLevel="0" collapsed="false">
      <c r="A1591" s="43"/>
      <c r="B1591" s="44"/>
      <c r="C1591" s="44"/>
      <c r="D1591" s="44"/>
      <c r="E1591" s="44"/>
      <c r="F1591" s="44"/>
      <c r="G1591" s="44"/>
      <c r="H1591" s="46" t="str">
        <f aca="false">IF($A1591="","",IF(OR(NOT(ISNUMBER(E1591)),NOT(ISNUMBER(F1591))),"",MAX(0,E1591)*F1591))</f>
        <v/>
      </c>
      <c r="I1591" s="46" t="str">
        <f aca="false">IF($A1591="","",SUMIF($A$2:$A$5001,$A1591,$H$2:$H$5001))</f>
        <v/>
      </c>
      <c r="J1591" s="47" t="n">
        <f aca="false">IF($A1591="",0,IF(COUNTIF($A$2:A1591,$A1591)=1,1,0))</f>
        <v>0</v>
      </c>
      <c r="K1591" s="47" t="n">
        <f aca="false">IF(J1591=1,N(I1591)+ROW()/10000000,0)</f>
        <v>0</v>
      </c>
      <c r="L1591" s="47" t="str">
        <f aca="false">IF(AND(J1591=1,N(I1591)&gt;0),SUMIF($K$2:$K$5001,"&gt;="&amp;K1591,$I$2:$I$5001)/MAX(1,SUM($H$2:$H$5001)),"")</f>
        <v/>
      </c>
      <c r="M1591" s="47" t="str">
        <f aca="false">IF($A1591="","",INDEX($L$2:$L$5001,MATCH($A1591,$A$2:$A$5001,0)))</f>
        <v/>
      </c>
      <c r="N1591" s="48" t="str">
        <f aca="false">IF($A1591="","",IF(N(M1591)=0,"–",IF(M1591&lt;=Start!$D$20,"A",IF(M1591&lt;=Start!$D$21,"B","C"))))</f>
        <v/>
      </c>
      <c r="O1591" s="48" t="str">
        <f aca="false">IF($A1591="","",IF(NOT(ISNUMBER(F1591)),"Wert fehlt; ",IF(F1591&lt;=0,"Wert ist 0; ",""))&amp;IF(NOT(ISNUMBER(E1591)),"Bestand fehlt; ",IF(E1591&lt;0,"Bestand negativ; ",IF(E1591=0,"Nullbestand; ","")))&amp;IF(D1591="","Warengruppe fehlt; ","")&amp;IF(B1591="","Bezeichnung fehlt; ","")&amp;IF(COUNTIFS($A$2:$A$5001,$A1591,$C$2:$C$5001,C1591)&gt;1,"Artikel doppelt im selben Lager; ",""))</f>
        <v/>
      </c>
      <c r="P1591" s="47" t="n">
        <f aca="false">IF(OR($A1591="",D1591=""),0,IF(COUNTIF($D$2:D1591,D1591)=1,SUMIF($D$2:$D$5001,D1591,$H$2:$H$5001)+ROW()/10000000,0))</f>
        <v>0</v>
      </c>
      <c r="Q1591" s="47" t="n">
        <f aca="false">IF(OR($A1591="",C1591=""),0,IF(COUNTIF($C$2:C1591,C1591)=1,SUMIF($C$2:$C$5001,C1591,$H$2:$H$5001)+ROW()/10000000,0))</f>
        <v>0</v>
      </c>
    </row>
    <row r="1592" customFormat="false" ht="15" hidden="false" customHeight="false" outlineLevel="0" collapsed="false">
      <c r="A1592" s="43"/>
      <c r="B1592" s="44"/>
      <c r="C1592" s="44"/>
      <c r="D1592" s="44"/>
      <c r="E1592" s="44"/>
      <c r="F1592" s="44"/>
      <c r="G1592" s="44"/>
      <c r="H1592" s="46" t="str">
        <f aca="false">IF($A1592="","",IF(OR(NOT(ISNUMBER(E1592)),NOT(ISNUMBER(F1592))),"",MAX(0,E1592)*F1592))</f>
        <v/>
      </c>
      <c r="I1592" s="46" t="str">
        <f aca="false">IF($A1592="","",SUMIF($A$2:$A$5001,$A1592,$H$2:$H$5001))</f>
        <v/>
      </c>
      <c r="J1592" s="47" t="n">
        <f aca="false">IF($A1592="",0,IF(COUNTIF($A$2:A1592,$A1592)=1,1,0))</f>
        <v>0</v>
      </c>
      <c r="K1592" s="47" t="n">
        <f aca="false">IF(J1592=1,N(I1592)+ROW()/10000000,0)</f>
        <v>0</v>
      </c>
      <c r="L1592" s="47" t="str">
        <f aca="false">IF(AND(J1592=1,N(I1592)&gt;0),SUMIF($K$2:$K$5001,"&gt;="&amp;K1592,$I$2:$I$5001)/MAX(1,SUM($H$2:$H$5001)),"")</f>
        <v/>
      </c>
      <c r="M1592" s="47" t="str">
        <f aca="false">IF($A1592="","",INDEX($L$2:$L$5001,MATCH($A1592,$A$2:$A$5001,0)))</f>
        <v/>
      </c>
      <c r="N1592" s="48" t="str">
        <f aca="false">IF($A1592="","",IF(N(M1592)=0,"–",IF(M1592&lt;=Start!$D$20,"A",IF(M1592&lt;=Start!$D$21,"B","C"))))</f>
        <v/>
      </c>
      <c r="O1592" s="48" t="str">
        <f aca="false">IF($A1592="","",IF(NOT(ISNUMBER(F1592)),"Wert fehlt; ",IF(F1592&lt;=0,"Wert ist 0; ",""))&amp;IF(NOT(ISNUMBER(E1592)),"Bestand fehlt; ",IF(E1592&lt;0,"Bestand negativ; ",IF(E1592=0,"Nullbestand; ","")))&amp;IF(D1592="","Warengruppe fehlt; ","")&amp;IF(B1592="","Bezeichnung fehlt; ","")&amp;IF(COUNTIFS($A$2:$A$5001,$A1592,$C$2:$C$5001,C1592)&gt;1,"Artikel doppelt im selben Lager; ",""))</f>
        <v/>
      </c>
      <c r="P1592" s="47" t="n">
        <f aca="false">IF(OR($A1592="",D1592=""),0,IF(COUNTIF($D$2:D1592,D1592)=1,SUMIF($D$2:$D$5001,D1592,$H$2:$H$5001)+ROW()/10000000,0))</f>
        <v>0</v>
      </c>
      <c r="Q1592" s="47" t="n">
        <f aca="false">IF(OR($A1592="",C1592=""),0,IF(COUNTIF($C$2:C1592,C1592)=1,SUMIF($C$2:$C$5001,C1592,$H$2:$H$5001)+ROW()/10000000,0))</f>
        <v>0</v>
      </c>
    </row>
    <row r="1593" customFormat="false" ht="15" hidden="false" customHeight="false" outlineLevel="0" collapsed="false">
      <c r="A1593" s="43"/>
      <c r="B1593" s="44"/>
      <c r="C1593" s="44"/>
      <c r="D1593" s="44"/>
      <c r="E1593" s="44"/>
      <c r="F1593" s="44"/>
      <c r="G1593" s="44"/>
      <c r="H1593" s="46" t="str">
        <f aca="false">IF($A1593="","",IF(OR(NOT(ISNUMBER(E1593)),NOT(ISNUMBER(F1593))),"",MAX(0,E1593)*F1593))</f>
        <v/>
      </c>
      <c r="I1593" s="46" t="str">
        <f aca="false">IF($A1593="","",SUMIF($A$2:$A$5001,$A1593,$H$2:$H$5001))</f>
        <v/>
      </c>
      <c r="J1593" s="47" t="n">
        <f aca="false">IF($A1593="",0,IF(COUNTIF($A$2:A1593,$A1593)=1,1,0))</f>
        <v>0</v>
      </c>
      <c r="K1593" s="47" t="n">
        <f aca="false">IF(J1593=1,N(I1593)+ROW()/10000000,0)</f>
        <v>0</v>
      </c>
      <c r="L1593" s="47" t="str">
        <f aca="false">IF(AND(J1593=1,N(I1593)&gt;0),SUMIF($K$2:$K$5001,"&gt;="&amp;K1593,$I$2:$I$5001)/MAX(1,SUM($H$2:$H$5001)),"")</f>
        <v/>
      </c>
      <c r="M1593" s="47" t="str">
        <f aca="false">IF($A1593="","",INDEX($L$2:$L$5001,MATCH($A1593,$A$2:$A$5001,0)))</f>
        <v/>
      </c>
      <c r="N1593" s="48" t="str">
        <f aca="false">IF($A1593="","",IF(N(M1593)=0,"–",IF(M1593&lt;=Start!$D$20,"A",IF(M1593&lt;=Start!$D$21,"B","C"))))</f>
        <v/>
      </c>
      <c r="O1593" s="48" t="str">
        <f aca="false">IF($A1593="","",IF(NOT(ISNUMBER(F1593)),"Wert fehlt; ",IF(F1593&lt;=0,"Wert ist 0; ",""))&amp;IF(NOT(ISNUMBER(E1593)),"Bestand fehlt; ",IF(E1593&lt;0,"Bestand negativ; ",IF(E1593=0,"Nullbestand; ","")))&amp;IF(D1593="","Warengruppe fehlt; ","")&amp;IF(B1593="","Bezeichnung fehlt; ","")&amp;IF(COUNTIFS($A$2:$A$5001,$A1593,$C$2:$C$5001,C1593)&gt;1,"Artikel doppelt im selben Lager; ",""))</f>
        <v/>
      </c>
      <c r="P1593" s="47" t="n">
        <f aca="false">IF(OR($A1593="",D1593=""),0,IF(COUNTIF($D$2:D1593,D1593)=1,SUMIF($D$2:$D$5001,D1593,$H$2:$H$5001)+ROW()/10000000,0))</f>
        <v>0</v>
      </c>
      <c r="Q1593" s="47" t="n">
        <f aca="false">IF(OR($A1593="",C1593=""),0,IF(COUNTIF($C$2:C1593,C1593)=1,SUMIF($C$2:$C$5001,C1593,$H$2:$H$5001)+ROW()/10000000,0))</f>
        <v>0</v>
      </c>
    </row>
    <row r="1594" customFormat="false" ht="15" hidden="false" customHeight="false" outlineLevel="0" collapsed="false">
      <c r="A1594" s="43"/>
      <c r="B1594" s="44"/>
      <c r="C1594" s="44"/>
      <c r="D1594" s="44"/>
      <c r="E1594" s="44"/>
      <c r="F1594" s="44"/>
      <c r="G1594" s="44"/>
      <c r="H1594" s="46" t="str">
        <f aca="false">IF($A1594="","",IF(OR(NOT(ISNUMBER(E1594)),NOT(ISNUMBER(F1594))),"",MAX(0,E1594)*F1594))</f>
        <v/>
      </c>
      <c r="I1594" s="46" t="str">
        <f aca="false">IF($A1594="","",SUMIF($A$2:$A$5001,$A1594,$H$2:$H$5001))</f>
        <v/>
      </c>
      <c r="J1594" s="47" t="n">
        <f aca="false">IF($A1594="",0,IF(COUNTIF($A$2:A1594,$A1594)=1,1,0))</f>
        <v>0</v>
      </c>
      <c r="K1594" s="47" t="n">
        <f aca="false">IF(J1594=1,N(I1594)+ROW()/10000000,0)</f>
        <v>0</v>
      </c>
      <c r="L1594" s="47" t="str">
        <f aca="false">IF(AND(J1594=1,N(I1594)&gt;0),SUMIF($K$2:$K$5001,"&gt;="&amp;K1594,$I$2:$I$5001)/MAX(1,SUM($H$2:$H$5001)),"")</f>
        <v/>
      </c>
      <c r="M1594" s="47" t="str">
        <f aca="false">IF($A1594="","",INDEX($L$2:$L$5001,MATCH($A1594,$A$2:$A$5001,0)))</f>
        <v/>
      </c>
      <c r="N1594" s="48" t="str">
        <f aca="false">IF($A1594="","",IF(N(M1594)=0,"–",IF(M1594&lt;=Start!$D$20,"A",IF(M1594&lt;=Start!$D$21,"B","C"))))</f>
        <v/>
      </c>
      <c r="O1594" s="48" t="str">
        <f aca="false">IF($A1594="","",IF(NOT(ISNUMBER(F1594)),"Wert fehlt; ",IF(F1594&lt;=0,"Wert ist 0; ",""))&amp;IF(NOT(ISNUMBER(E1594)),"Bestand fehlt; ",IF(E1594&lt;0,"Bestand negativ; ",IF(E1594=0,"Nullbestand; ","")))&amp;IF(D1594="","Warengruppe fehlt; ","")&amp;IF(B1594="","Bezeichnung fehlt; ","")&amp;IF(COUNTIFS($A$2:$A$5001,$A1594,$C$2:$C$5001,C1594)&gt;1,"Artikel doppelt im selben Lager; ",""))</f>
        <v/>
      </c>
      <c r="P1594" s="47" t="n">
        <f aca="false">IF(OR($A1594="",D1594=""),0,IF(COUNTIF($D$2:D1594,D1594)=1,SUMIF($D$2:$D$5001,D1594,$H$2:$H$5001)+ROW()/10000000,0))</f>
        <v>0</v>
      </c>
      <c r="Q1594" s="47" t="n">
        <f aca="false">IF(OR($A1594="",C1594=""),0,IF(COUNTIF($C$2:C1594,C1594)=1,SUMIF($C$2:$C$5001,C1594,$H$2:$H$5001)+ROW()/10000000,0))</f>
        <v>0</v>
      </c>
    </row>
    <row r="1595" customFormat="false" ht="15" hidden="false" customHeight="false" outlineLevel="0" collapsed="false">
      <c r="A1595" s="43"/>
      <c r="B1595" s="44"/>
      <c r="C1595" s="44"/>
      <c r="D1595" s="44"/>
      <c r="E1595" s="44"/>
      <c r="F1595" s="44"/>
      <c r="G1595" s="44"/>
      <c r="H1595" s="46" t="str">
        <f aca="false">IF($A1595="","",IF(OR(NOT(ISNUMBER(E1595)),NOT(ISNUMBER(F1595))),"",MAX(0,E1595)*F1595))</f>
        <v/>
      </c>
      <c r="I1595" s="46" t="str">
        <f aca="false">IF($A1595="","",SUMIF($A$2:$A$5001,$A1595,$H$2:$H$5001))</f>
        <v/>
      </c>
      <c r="J1595" s="47" t="n">
        <f aca="false">IF($A1595="",0,IF(COUNTIF($A$2:A1595,$A1595)=1,1,0))</f>
        <v>0</v>
      </c>
      <c r="K1595" s="47" t="n">
        <f aca="false">IF(J1595=1,N(I1595)+ROW()/10000000,0)</f>
        <v>0</v>
      </c>
      <c r="L1595" s="47" t="str">
        <f aca="false">IF(AND(J1595=1,N(I1595)&gt;0),SUMIF($K$2:$K$5001,"&gt;="&amp;K1595,$I$2:$I$5001)/MAX(1,SUM($H$2:$H$5001)),"")</f>
        <v/>
      </c>
      <c r="M1595" s="47" t="str">
        <f aca="false">IF($A1595="","",INDEX($L$2:$L$5001,MATCH($A1595,$A$2:$A$5001,0)))</f>
        <v/>
      </c>
      <c r="N1595" s="48" t="str">
        <f aca="false">IF($A1595="","",IF(N(M1595)=0,"–",IF(M1595&lt;=Start!$D$20,"A",IF(M1595&lt;=Start!$D$21,"B","C"))))</f>
        <v/>
      </c>
      <c r="O1595" s="48" t="str">
        <f aca="false">IF($A1595="","",IF(NOT(ISNUMBER(F1595)),"Wert fehlt; ",IF(F1595&lt;=0,"Wert ist 0; ",""))&amp;IF(NOT(ISNUMBER(E1595)),"Bestand fehlt; ",IF(E1595&lt;0,"Bestand negativ; ",IF(E1595=0,"Nullbestand; ","")))&amp;IF(D1595="","Warengruppe fehlt; ","")&amp;IF(B1595="","Bezeichnung fehlt; ","")&amp;IF(COUNTIFS($A$2:$A$5001,$A1595,$C$2:$C$5001,C1595)&gt;1,"Artikel doppelt im selben Lager; ",""))</f>
        <v/>
      </c>
      <c r="P1595" s="47" t="n">
        <f aca="false">IF(OR($A1595="",D1595=""),0,IF(COUNTIF($D$2:D1595,D1595)=1,SUMIF($D$2:$D$5001,D1595,$H$2:$H$5001)+ROW()/10000000,0))</f>
        <v>0</v>
      </c>
      <c r="Q1595" s="47" t="n">
        <f aca="false">IF(OR($A1595="",C1595=""),0,IF(COUNTIF($C$2:C1595,C1595)=1,SUMIF($C$2:$C$5001,C1595,$H$2:$H$5001)+ROW()/10000000,0))</f>
        <v>0</v>
      </c>
    </row>
    <row r="1596" customFormat="false" ht="15" hidden="false" customHeight="false" outlineLevel="0" collapsed="false">
      <c r="A1596" s="43"/>
      <c r="B1596" s="44"/>
      <c r="C1596" s="44"/>
      <c r="D1596" s="44"/>
      <c r="E1596" s="44"/>
      <c r="F1596" s="44"/>
      <c r="G1596" s="44"/>
      <c r="H1596" s="46" t="str">
        <f aca="false">IF($A1596="","",IF(OR(NOT(ISNUMBER(E1596)),NOT(ISNUMBER(F1596))),"",MAX(0,E1596)*F1596))</f>
        <v/>
      </c>
      <c r="I1596" s="46" t="str">
        <f aca="false">IF($A1596="","",SUMIF($A$2:$A$5001,$A1596,$H$2:$H$5001))</f>
        <v/>
      </c>
      <c r="J1596" s="47" t="n">
        <f aca="false">IF($A1596="",0,IF(COUNTIF($A$2:A1596,$A1596)=1,1,0))</f>
        <v>0</v>
      </c>
      <c r="K1596" s="47" t="n">
        <f aca="false">IF(J1596=1,N(I1596)+ROW()/10000000,0)</f>
        <v>0</v>
      </c>
      <c r="L1596" s="47" t="str">
        <f aca="false">IF(AND(J1596=1,N(I1596)&gt;0),SUMIF($K$2:$K$5001,"&gt;="&amp;K1596,$I$2:$I$5001)/MAX(1,SUM($H$2:$H$5001)),"")</f>
        <v/>
      </c>
      <c r="M1596" s="47" t="str">
        <f aca="false">IF($A1596="","",INDEX($L$2:$L$5001,MATCH($A1596,$A$2:$A$5001,0)))</f>
        <v/>
      </c>
      <c r="N1596" s="48" t="str">
        <f aca="false">IF($A1596="","",IF(N(M1596)=0,"–",IF(M1596&lt;=Start!$D$20,"A",IF(M1596&lt;=Start!$D$21,"B","C"))))</f>
        <v/>
      </c>
      <c r="O1596" s="48" t="str">
        <f aca="false">IF($A1596="","",IF(NOT(ISNUMBER(F1596)),"Wert fehlt; ",IF(F1596&lt;=0,"Wert ist 0; ",""))&amp;IF(NOT(ISNUMBER(E1596)),"Bestand fehlt; ",IF(E1596&lt;0,"Bestand negativ; ",IF(E1596=0,"Nullbestand; ","")))&amp;IF(D1596="","Warengruppe fehlt; ","")&amp;IF(B1596="","Bezeichnung fehlt; ","")&amp;IF(COUNTIFS($A$2:$A$5001,$A1596,$C$2:$C$5001,C1596)&gt;1,"Artikel doppelt im selben Lager; ",""))</f>
        <v/>
      </c>
      <c r="P1596" s="47" t="n">
        <f aca="false">IF(OR($A1596="",D1596=""),0,IF(COUNTIF($D$2:D1596,D1596)=1,SUMIF($D$2:$D$5001,D1596,$H$2:$H$5001)+ROW()/10000000,0))</f>
        <v>0</v>
      </c>
      <c r="Q1596" s="47" t="n">
        <f aca="false">IF(OR($A1596="",C1596=""),0,IF(COUNTIF($C$2:C1596,C1596)=1,SUMIF($C$2:$C$5001,C1596,$H$2:$H$5001)+ROW()/10000000,0))</f>
        <v>0</v>
      </c>
    </row>
    <row r="1597" customFormat="false" ht="15" hidden="false" customHeight="false" outlineLevel="0" collapsed="false">
      <c r="A1597" s="43"/>
      <c r="B1597" s="44"/>
      <c r="C1597" s="44"/>
      <c r="D1597" s="44"/>
      <c r="E1597" s="44"/>
      <c r="F1597" s="44"/>
      <c r="G1597" s="44"/>
      <c r="H1597" s="46" t="str">
        <f aca="false">IF($A1597="","",IF(OR(NOT(ISNUMBER(E1597)),NOT(ISNUMBER(F1597))),"",MAX(0,E1597)*F1597))</f>
        <v/>
      </c>
      <c r="I1597" s="46" t="str">
        <f aca="false">IF($A1597="","",SUMIF($A$2:$A$5001,$A1597,$H$2:$H$5001))</f>
        <v/>
      </c>
      <c r="J1597" s="47" t="n">
        <f aca="false">IF($A1597="",0,IF(COUNTIF($A$2:A1597,$A1597)=1,1,0))</f>
        <v>0</v>
      </c>
      <c r="K1597" s="47" t="n">
        <f aca="false">IF(J1597=1,N(I1597)+ROW()/10000000,0)</f>
        <v>0</v>
      </c>
      <c r="L1597" s="47" t="str">
        <f aca="false">IF(AND(J1597=1,N(I1597)&gt;0),SUMIF($K$2:$K$5001,"&gt;="&amp;K1597,$I$2:$I$5001)/MAX(1,SUM($H$2:$H$5001)),"")</f>
        <v/>
      </c>
      <c r="M1597" s="47" t="str">
        <f aca="false">IF($A1597="","",INDEX($L$2:$L$5001,MATCH($A1597,$A$2:$A$5001,0)))</f>
        <v/>
      </c>
      <c r="N1597" s="48" t="str">
        <f aca="false">IF($A1597="","",IF(N(M1597)=0,"–",IF(M1597&lt;=Start!$D$20,"A",IF(M1597&lt;=Start!$D$21,"B","C"))))</f>
        <v/>
      </c>
      <c r="O1597" s="48" t="str">
        <f aca="false">IF($A1597="","",IF(NOT(ISNUMBER(F1597)),"Wert fehlt; ",IF(F1597&lt;=0,"Wert ist 0; ",""))&amp;IF(NOT(ISNUMBER(E1597)),"Bestand fehlt; ",IF(E1597&lt;0,"Bestand negativ; ",IF(E1597=0,"Nullbestand; ","")))&amp;IF(D1597="","Warengruppe fehlt; ","")&amp;IF(B1597="","Bezeichnung fehlt; ","")&amp;IF(COUNTIFS($A$2:$A$5001,$A1597,$C$2:$C$5001,C1597)&gt;1,"Artikel doppelt im selben Lager; ",""))</f>
        <v/>
      </c>
      <c r="P1597" s="47" t="n">
        <f aca="false">IF(OR($A1597="",D1597=""),0,IF(COUNTIF($D$2:D1597,D1597)=1,SUMIF($D$2:$D$5001,D1597,$H$2:$H$5001)+ROW()/10000000,0))</f>
        <v>0</v>
      </c>
      <c r="Q1597" s="47" t="n">
        <f aca="false">IF(OR($A1597="",C1597=""),0,IF(COUNTIF($C$2:C1597,C1597)=1,SUMIF($C$2:$C$5001,C1597,$H$2:$H$5001)+ROW()/10000000,0))</f>
        <v>0</v>
      </c>
    </row>
    <row r="1598" customFormat="false" ht="15" hidden="false" customHeight="false" outlineLevel="0" collapsed="false">
      <c r="A1598" s="43"/>
      <c r="B1598" s="44"/>
      <c r="C1598" s="44"/>
      <c r="D1598" s="44"/>
      <c r="E1598" s="44"/>
      <c r="F1598" s="44"/>
      <c r="G1598" s="44"/>
      <c r="H1598" s="46" t="str">
        <f aca="false">IF($A1598="","",IF(OR(NOT(ISNUMBER(E1598)),NOT(ISNUMBER(F1598))),"",MAX(0,E1598)*F1598))</f>
        <v/>
      </c>
      <c r="I1598" s="46" t="str">
        <f aca="false">IF($A1598="","",SUMIF($A$2:$A$5001,$A1598,$H$2:$H$5001))</f>
        <v/>
      </c>
      <c r="J1598" s="47" t="n">
        <f aca="false">IF($A1598="",0,IF(COUNTIF($A$2:A1598,$A1598)=1,1,0))</f>
        <v>0</v>
      </c>
      <c r="K1598" s="47" t="n">
        <f aca="false">IF(J1598=1,N(I1598)+ROW()/10000000,0)</f>
        <v>0</v>
      </c>
      <c r="L1598" s="47" t="str">
        <f aca="false">IF(AND(J1598=1,N(I1598)&gt;0),SUMIF($K$2:$K$5001,"&gt;="&amp;K1598,$I$2:$I$5001)/MAX(1,SUM($H$2:$H$5001)),"")</f>
        <v/>
      </c>
      <c r="M1598" s="47" t="str">
        <f aca="false">IF($A1598="","",INDEX($L$2:$L$5001,MATCH($A1598,$A$2:$A$5001,0)))</f>
        <v/>
      </c>
      <c r="N1598" s="48" t="str">
        <f aca="false">IF($A1598="","",IF(N(M1598)=0,"–",IF(M1598&lt;=Start!$D$20,"A",IF(M1598&lt;=Start!$D$21,"B","C"))))</f>
        <v/>
      </c>
      <c r="O1598" s="48" t="str">
        <f aca="false">IF($A1598="","",IF(NOT(ISNUMBER(F1598)),"Wert fehlt; ",IF(F1598&lt;=0,"Wert ist 0; ",""))&amp;IF(NOT(ISNUMBER(E1598)),"Bestand fehlt; ",IF(E1598&lt;0,"Bestand negativ; ",IF(E1598=0,"Nullbestand; ","")))&amp;IF(D1598="","Warengruppe fehlt; ","")&amp;IF(B1598="","Bezeichnung fehlt; ","")&amp;IF(COUNTIFS($A$2:$A$5001,$A1598,$C$2:$C$5001,C1598)&gt;1,"Artikel doppelt im selben Lager; ",""))</f>
        <v/>
      </c>
      <c r="P1598" s="47" t="n">
        <f aca="false">IF(OR($A1598="",D1598=""),0,IF(COUNTIF($D$2:D1598,D1598)=1,SUMIF($D$2:$D$5001,D1598,$H$2:$H$5001)+ROW()/10000000,0))</f>
        <v>0</v>
      </c>
      <c r="Q1598" s="47" t="n">
        <f aca="false">IF(OR($A1598="",C1598=""),0,IF(COUNTIF($C$2:C1598,C1598)=1,SUMIF($C$2:$C$5001,C1598,$H$2:$H$5001)+ROW()/10000000,0))</f>
        <v>0</v>
      </c>
    </row>
    <row r="1599" customFormat="false" ht="15" hidden="false" customHeight="false" outlineLevel="0" collapsed="false">
      <c r="A1599" s="43"/>
      <c r="B1599" s="44"/>
      <c r="C1599" s="44"/>
      <c r="D1599" s="44"/>
      <c r="E1599" s="44"/>
      <c r="F1599" s="44"/>
      <c r="G1599" s="44"/>
      <c r="H1599" s="46" t="str">
        <f aca="false">IF($A1599="","",IF(OR(NOT(ISNUMBER(E1599)),NOT(ISNUMBER(F1599))),"",MAX(0,E1599)*F1599))</f>
        <v/>
      </c>
      <c r="I1599" s="46" t="str">
        <f aca="false">IF($A1599="","",SUMIF($A$2:$A$5001,$A1599,$H$2:$H$5001))</f>
        <v/>
      </c>
      <c r="J1599" s="47" t="n">
        <f aca="false">IF($A1599="",0,IF(COUNTIF($A$2:A1599,$A1599)=1,1,0))</f>
        <v>0</v>
      </c>
      <c r="K1599" s="47" t="n">
        <f aca="false">IF(J1599=1,N(I1599)+ROW()/10000000,0)</f>
        <v>0</v>
      </c>
      <c r="L1599" s="47" t="str">
        <f aca="false">IF(AND(J1599=1,N(I1599)&gt;0),SUMIF($K$2:$K$5001,"&gt;="&amp;K1599,$I$2:$I$5001)/MAX(1,SUM($H$2:$H$5001)),"")</f>
        <v/>
      </c>
      <c r="M1599" s="47" t="str">
        <f aca="false">IF($A1599="","",INDEX($L$2:$L$5001,MATCH($A1599,$A$2:$A$5001,0)))</f>
        <v/>
      </c>
      <c r="N1599" s="48" t="str">
        <f aca="false">IF($A1599="","",IF(N(M1599)=0,"–",IF(M1599&lt;=Start!$D$20,"A",IF(M1599&lt;=Start!$D$21,"B","C"))))</f>
        <v/>
      </c>
      <c r="O1599" s="48" t="str">
        <f aca="false">IF($A1599="","",IF(NOT(ISNUMBER(F1599)),"Wert fehlt; ",IF(F1599&lt;=0,"Wert ist 0; ",""))&amp;IF(NOT(ISNUMBER(E1599)),"Bestand fehlt; ",IF(E1599&lt;0,"Bestand negativ; ",IF(E1599=0,"Nullbestand; ","")))&amp;IF(D1599="","Warengruppe fehlt; ","")&amp;IF(B1599="","Bezeichnung fehlt; ","")&amp;IF(COUNTIFS($A$2:$A$5001,$A1599,$C$2:$C$5001,C1599)&gt;1,"Artikel doppelt im selben Lager; ",""))</f>
        <v/>
      </c>
      <c r="P1599" s="47" t="n">
        <f aca="false">IF(OR($A1599="",D1599=""),0,IF(COUNTIF($D$2:D1599,D1599)=1,SUMIF($D$2:$D$5001,D1599,$H$2:$H$5001)+ROW()/10000000,0))</f>
        <v>0</v>
      </c>
      <c r="Q1599" s="47" t="n">
        <f aca="false">IF(OR($A1599="",C1599=""),0,IF(COUNTIF($C$2:C1599,C1599)=1,SUMIF($C$2:$C$5001,C1599,$H$2:$H$5001)+ROW()/10000000,0))</f>
        <v>0</v>
      </c>
    </row>
    <row r="1600" customFormat="false" ht="15" hidden="false" customHeight="false" outlineLevel="0" collapsed="false">
      <c r="A1600" s="43"/>
      <c r="B1600" s="44"/>
      <c r="C1600" s="44"/>
      <c r="D1600" s="44"/>
      <c r="E1600" s="44"/>
      <c r="F1600" s="44"/>
      <c r="G1600" s="44"/>
      <c r="H1600" s="46" t="str">
        <f aca="false">IF($A1600="","",IF(OR(NOT(ISNUMBER(E1600)),NOT(ISNUMBER(F1600))),"",MAX(0,E1600)*F1600))</f>
        <v/>
      </c>
      <c r="I1600" s="46" t="str">
        <f aca="false">IF($A1600="","",SUMIF($A$2:$A$5001,$A1600,$H$2:$H$5001))</f>
        <v/>
      </c>
      <c r="J1600" s="47" t="n">
        <f aca="false">IF($A1600="",0,IF(COUNTIF($A$2:A1600,$A1600)=1,1,0))</f>
        <v>0</v>
      </c>
      <c r="K1600" s="47" t="n">
        <f aca="false">IF(J1600=1,N(I1600)+ROW()/10000000,0)</f>
        <v>0</v>
      </c>
      <c r="L1600" s="47" t="str">
        <f aca="false">IF(AND(J1600=1,N(I1600)&gt;0),SUMIF($K$2:$K$5001,"&gt;="&amp;K1600,$I$2:$I$5001)/MAX(1,SUM($H$2:$H$5001)),"")</f>
        <v/>
      </c>
      <c r="M1600" s="47" t="str">
        <f aca="false">IF($A1600="","",INDEX($L$2:$L$5001,MATCH($A1600,$A$2:$A$5001,0)))</f>
        <v/>
      </c>
      <c r="N1600" s="48" t="str">
        <f aca="false">IF($A1600="","",IF(N(M1600)=0,"–",IF(M1600&lt;=Start!$D$20,"A",IF(M1600&lt;=Start!$D$21,"B","C"))))</f>
        <v/>
      </c>
      <c r="O1600" s="48" t="str">
        <f aca="false">IF($A1600="","",IF(NOT(ISNUMBER(F1600)),"Wert fehlt; ",IF(F1600&lt;=0,"Wert ist 0; ",""))&amp;IF(NOT(ISNUMBER(E1600)),"Bestand fehlt; ",IF(E1600&lt;0,"Bestand negativ; ",IF(E1600=0,"Nullbestand; ","")))&amp;IF(D1600="","Warengruppe fehlt; ","")&amp;IF(B1600="","Bezeichnung fehlt; ","")&amp;IF(COUNTIFS($A$2:$A$5001,$A1600,$C$2:$C$5001,C1600)&gt;1,"Artikel doppelt im selben Lager; ",""))</f>
        <v/>
      </c>
      <c r="P1600" s="47" t="n">
        <f aca="false">IF(OR($A1600="",D1600=""),0,IF(COUNTIF($D$2:D1600,D1600)=1,SUMIF($D$2:$D$5001,D1600,$H$2:$H$5001)+ROW()/10000000,0))</f>
        <v>0</v>
      </c>
      <c r="Q1600" s="47" t="n">
        <f aca="false">IF(OR($A1600="",C1600=""),0,IF(COUNTIF($C$2:C1600,C1600)=1,SUMIF($C$2:$C$5001,C1600,$H$2:$H$5001)+ROW()/10000000,0))</f>
        <v>0</v>
      </c>
    </row>
    <row r="1601" customFormat="false" ht="15" hidden="false" customHeight="false" outlineLevel="0" collapsed="false">
      <c r="A1601" s="43"/>
      <c r="B1601" s="44"/>
      <c r="C1601" s="44"/>
      <c r="D1601" s="44"/>
      <c r="E1601" s="44"/>
      <c r="F1601" s="44"/>
      <c r="G1601" s="44"/>
      <c r="H1601" s="46" t="str">
        <f aca="false">IF($A1601="","",IF(OR(NOT(ISNUMBER(E1601)),NOT(ISNUMBER(F1601))),"",MAX(0,E1601)*F1601))</f>
        <v/>
      </c>
      <c r="I1601" s="46" t="str">
        <f aca="false">IF($A1601="","",SUMIF($A$2:$A$5001,$A1601,$H$2:$H$5001))</f>
        <v/>
      </c>
      <c r="J1601" s="47" t="n">
        <f aca="false">IF($A1601="",0,IF(COUNTIF($A$2:A1601,$A1601)=1,1,0))</f>
        <v>0</v>
      </c>
      <c r="K1601" s="47" t="n">
        <f aca="false">IF(J1601=1,N(I1601)+ROW()/10000000,0)</f>
        <v>0</v>
      </c>
      <c r="L1601" s="47" t="str">
        <f aca="false">IF(AND(J1601=1,N(I1601)&gt;0),SUMIF($K$2:$K$5001,"&gt;="&amp;K1601,$I$2:$I$5001)/MAX(1,SUM($H$2:$H$5001)),"")</f>
        <v/>
      </c>
      <c r="M1601" s="47" t="str">
        <f aca="false">IF($A1601="","",INDEX($L$2:$L$5001,MATCH($A1601,$A$2:$A$5001,0)))</f>
        <v/>
      </c>
      <c r="N1601" s="48" t="str">
        <f aca="false">IF($A1601="","",IF(N(M1601)=0,"–",IF(M1601&lt;=Start!$D$20,"A",IF(M1601&lt;=Start!$D$21,"B","C"))))</f>
        <v/>
      </c>
      <c r="O1601" s="48" t="str">
        <f aca="false">IF($A1601="","",IF(NOT(ISNUMBER(F1601)),"Wert fehlt; ",IF(F1601&lt;=0,"Wert ist 0; ",""))&amp;IF(NOT(ISNUMBER(E1601)),"Bestand fehlt; ",IF(E1601&lt;0,"Bestand negativ; ",IF(E1601=0,"Nullbestand; ","")))&amp;IF(D1601="","Warengruppe fehlt; ","")&amp;IF(B1601="","Bezeichnung fehlt; ","")&amp;IF(COUNTIFS($A$2:$A$5001,$A1601,$C$2:$C$5001,C1601)&gt;1,"Artikel doppelt im selben Lager; ",""))</f>
        <v/>
      </c>
      <c r="P1601" s="47" t="n">
        <f aca="false">IF(OR($A1601="",D1601=""),0,IF(COUNTIF($D$2:D1601,D1601)=1,SUMIF($D$2:$D$5001,D1601,$H$2:$H$5001)+ROW()/10000000,0))</f>
        <v>0</v>
      </c>
      <c r="Q1601" s="47" t="n">
        <f aca="false">IF(OR($A1601="",C1601=""),0,IF(COUNTIF($C$2:C1601,C1601)=1,SUMIF($C$2:$C$5001,C1601,$H$2:$H$5001)+ROW()/10000000,0))</f>
        <v>0</v>
      </c>
    </row>
    <row r="1602" customFormat="false" ht="15" hidden="false" customHeight="false" outlineLevel="0" collapsed="false">
      <c r="A1602" s="43"/>
      <c r="B1602" s="44"/>
      <c r="C1602" s="44"/>
      <c r="D1602" s="44"/>
      <c r="E1602" s="44"/>
      <c r="F1602" s="44"/>
      <c r="G1602" s="44"/>
      <c r="H1602" s="46" t="str">
        <f aca="false">IF($A1602="","",IF(OR(NOT(ISNUMBER(E1602)),NOT(ISNUMBER(F1602))),"",MAX(0,E1602)*F1602))</f>
        <v/>
      </c>
      <c r="I1602" s="46" t="str">
        <f aca="false">IF($A1602="","",SUMIF($A$2:$A$5001,$A1602,$H$2:$H$5001))</f>
        <v/>
      </c>
      <c r="J1602" s="47" t="n">
        <f aca="false">IF($A1602="",0,IF(COUNTIF($A$2:A1602,$A1602)=1,1,0))</f>
        <v>0</v>
      </c>
      <c r="K1602" s="47" t="n">
        <f aca="false">IF(J1602=1,N(I1602)+ROW()/10000000,0)</f>
        <v>0</v>
      </c>
      <c r="L1602" s="47" t="str">
        <f aca="false">IF(AND(J1602=1,N(I1602)&gt;0),SUMIF($K$2:$K$5001,"&gt;="&amp;K1602,$I$2:$I$5001)/MAX(1,SUM($H$2:$H$5001)),"")</f>
        <v/>
      </c>
      <c r="M1602" s="47" t="str">
        <f aca="false">IF($A1602="","",INDEX($L$2:$L$5001,MATCH($A1602,$A$2:$A$5001,0)))</f>
        <v/>
      </c>
      <c r="N1602" s="48" t="str">
        <f aca="false">IF($A1602="","",IF(N(M1602)=0,"–",IF(M1602&lt;=Start!$D$20,"A",IF(M1602&lt;=Start!$D$21,"B","C"))))</f>
        <v/>
      </c>
      <c r="O1602" s="48" t="str">
        <f aca="false">IF($A1602="","",IF(NOT(ISNUMBER(F1602)),"Wert fehlt; ",IF(F1602&lt;=0,"Wert ist 0; ",""))&amp;IF(NOT(ISNUMBER(E1602)),"Bestand fehlt; ",IF(E1602&lt;0,"Bestand negativ; ",IF(E1602=0,"Nullbestand; ","")))&amp;IF(D1602="","Warengruppe fehlt; ","")&amp;IF(B1602="","Bezeichnung fehlt; ","")&amp;IF(COUNTIFS($A$2:$A$5001,$A1602,$C$2:$C$5001,C1602)&gt;1,"Artikel doppelt im selben Lager; ",""))</f>
        <v/>
      </c>
      <c r="P1602" s="47" t="n">
        <f aca="false">IF(OR($A1602="",D1602=""),0,IF(COUNTIF($D$2:D1602,D1602)=1,SUMIF($D$2:$D$5001,D1602,$H$2:$H$5001)+ROW()/10000000,0))</f>
        <v>0</v>
      </c>
      <c r="Q1602" s="47" t="n">
        <f aca="false">IF(OR($A1602="",C1602=""),0,IF(COUNTIF($C$2:C1602,C1602)=1,SUMIF($C$2:$C$5001,C1602,$H$2:$H$5001)+ROW()/10000000,0))</f>
        <v>0</v>
      </c>
    </row>
    <row r="1603" customFormat="false" ht="15" hidden="false" customHeight="false" outlineLevel="0" collapsed="false">
      <c r="A1603" s="43"/>
      <c r="B1603" s="44"/>
      <c r="C1603" s="44"/>
      <c r="D1603" s="44"/>
      <c r="E1603" s="44"/>
      <c r="F1603" s="44"/>
      <c r="G1603" s="44"/>
      <c r="H1603" s="46" t="str">
        <f aca="false">IF($A1603="","",IF(OR(NOT(ISNUMBER(E1603)),NOT(ISNUMBER(F1603))),"",MAX(0,E1603)*F1603))</f>
        <v/>
      </c>
      <c r="I1603" s="46" t="str">
        <f aca="false">IF($A1603="","",SUMIF($A$2:$A$5001,$A1603,$H$2:$H$5001))</f>
        <v/>
      </c>
      <c r="J1603" s="47" t="n">
        <f aca="false">IF($A1603="",0,IF(COUNTIF($A$2:A1603,$A1603)=1,1,0))</f>
        <v>0</v>
      </c>
      <c r="K1603" s="47" t="n">
        <f aca="false">IF(J1603=1,N(I1603)+ROW()/10000000,0)</f>
        <v>0</v>
      </c>
      <c r="L1603" s="47" t="str">
        <f aca="false">IF(AND(J1603=1,N(I1603)&gt;0),SUMIF($K$2:$K$5001,"&gt;="&amp;K1603,$I$2:$I$5001)/MAX(1,SUM($H$2:$H$5001)),"")</f>
        <v/>
      </c>
      <c r="M1603" s="47" t="str">
        <f aca="false">IF($A1603="","",INDEX($L$2:$L$5001,MATCH($A1603,$A$2:$A$5001,0)))</f>
        <v/>
      </c>
      <c r="N1603" s="48" t="str">
        <f aca="false">IF($A1603="","",IF(N(M1603)=0,"–",IF(M1603&lt;=Start!$D$20,"A",IF(M1603&lt;=Start!$D$21,"B","C"))))</f>
        <v/>
      </c>
      <c r="O1603" s="48" t="str">
        <f aca="false">IF($A1603="","",IF(NOT(ISNUMBER(F1603)),"Wert fehlt; ",IF(F1603&lt;=0,"Wert ist 0; ",""))&amp;IF(NOT(ISNUMBER(E1603)),"Bestand fehlt; ",IF(E1603&lt;0,"Bestand negativ; ",IF(E1603=0,"Nullbestand; ","")))&amp;IF(D1603="","Warengruppe fehlt; ","")&amp;IF(B1603="","Bezeichnung fehlt; ","")&amp;IF(COUNTIFS($A$2:$A$5001,$A1603,$C$2:$C$5001,C1603)&gt;1,"Artikel doppelt im selben Lager; ",""))</f>
        <v/>
      </c>
      <c r="P1603" s="47" t="n">
        <f aca="false">IF(OR($A1603="",D1603=""),0,IF(COUNTIF($D$2:D1603,D1603)=1,SUMIF($D$2:$D$5001,D1603,$H$2:$H$5001)+ROW()/10000000,0))</f>
        <v>0</v>
      </c>
      <c r="Q1603" s="47" t="n">
        <f aca="false">IF(OR($A1603="",C1603=""),0,IF(COUNTIF($C$2:C1603,C1603)=1,SUMIF($C$2:$C$5001,C1603,$H$2:$H$5001)+ROW()/10000000,0))</f>
        <v>0</v>
      </c>
    </row>
    <row r="1604" customFormat="false" ht="15" hidden="false" customHeight="false" outlineLevel="0" collapsed="false">
      <c r="A1604" s="43"/>
      <c r="B1604" s="44"/>
      <c r="C1604" s="44"/>
      <c r="D1604" s="44"/>
      <c r="E1604" s="44"/>
      <c r="F1604" s="44"/>
      <c r="G1604" s="44"/>
      <c r="H1604" s="46" t="str">
        <f aca="false">IF($A1604="","",IF(OR(NOT(ISNUMBER(E1604)),NOT(ISNUMBER(F1604))),"",MAX(0,E1604)*F1604))</f>
        <v/>
      </c>
      <c r="I1604" s="46" t="str">
        <f aca="false">IF($A1604="","",SUMIF($A$2:$A$5001,$A1604,$H$2:$H$5001))</f>
        <v/>
      </c>
      <c r="J1604" s="47" t="n">
        <f aca="false">IF($A1604="",0,IF(COUNTIF($A$2:A1604,$A1604)=1,1,0))</f>
        <v>0</v>
      </c>
      <c r="K1604" s="47" t="n">
        <f aca="false">IF(J1604=1,N(I1604)+ROW()/10000000,0)</f>
        <v>0</v>
      </c>
      <c r="L1604" s="47" t="str">
        <f aca="false">IF(AND(J1604=1,N(I1604)&gt;0),SUMIF($K$2:$K$5001,"&gt;="&amp;K1604,$I$2:$I$5001)/MAX(1,SUM($H$2:$H$5001)),"")</f>
        <v/>
      </c>
      <c r="M1604" s="47" t="str">
        <f aca="false">IF($A1604="","",INDEX($L$2:$L$5001,MATCH($A1604,$A$2:$A$5001,0)))</f>
        <v/>
      </c>
      <c r="N1604" s="48" t="str">
        <f aca="false">IF($A1604="","",IF(N(M1604)=0,"–",IF(M1604&lt;=Start!$D$20,"A",IF(M1604&lt;=Start!$D$21,"B","C"))))</f>
        <v/>
      </c>
      <c r="O1604" s="48" t="str">
        <f aca="false">IF($A1604="","",IF(NOT(ISNUMBER(F1604)),"Wert fehlt; ",IF(F1604&lt;=0,"Wert ist 0; ",""))&amp;IF(NOT(ISNUMBER(E1604)),"Bestand fehlt; ",IF(E1604&lt;0,"Bestand negativ; ",IF(E1604=0,"Nullbestand; ","")))&amp;IF(D1604="","Warengruppe fehlt; ","")&amp;IF(B1604="","Bezeichnung fehlt; ","")&amp;IF(COUNTIFS($A$2:$A$5001,$A1604,$C$2:$C$5001,C1604)&gt;1,"Artikel doppelt im selben Lager; ",""))</f>
        <v/>
      </c>
      <c r="P1604" s="47" t="n">
        <f aca="false">IF(OR($A1604="",D1604=""),0,IF(COUNTIF($D$2:D1604,D1604)=1,SUMIF($D$2:$D$5001,D1604,$H$2:$H$5001)+ROW()/10000000,0))</f>
        <v>0</v>
      </c>
      <c r="Q1604" s="47" t="n">
        <f aca="false">IF(OR($A1604="",C1604=""),0,IF(COUNTIF($C$2:C1604,C1604)=1,SUMIF($C$2:$C$5001,C1604,$H$2:$H$5001)+ROW()/10000000,0))</f>
        <v>0</v>
      </c>
    </row>
    <row r="1605" customFormat="false" ht="15" hidden="false" customHeight="false" outlineLevel="0" collapsed="false">
      <c r="A1605" s="43"/>
      <c r="B1605" s="44"/>
      <c r="C1605" s="44"/>
      <c r="D1605" s="44"/>
      <c r="E1605" s="44"/>
      <c r="F1605" s="44"/>
      <c r="G1605" s="44"/>
      <c r="H1605" s="46" t="str">
        <f aca="false">IF($A1605="","",IF(OR(NOT(ISNUMBER(E1605)),NOT(ISNUMBER(F1605))),"",MAX(0,E1605)*F1605))</f>
        <v/>
      </c>
      <c r="I1605" s="46" t="str">
        <f aca="false">IF($A1605="","",SUMIF($A$2:$A$5001,$A1605,$H$2:$H$5001))</f>
        <v/>
      </c>
      <c r="J1605" s="47" t="n">
        <f aca="false">IF($A1605="",0,IF(COUNTIF($A$2:A1605,$A1605)=1,1,0))</f>
        <v>0</v>
      </c>
      <c r="K1605" s="47" t="n">
        <f aca="false">IF(J1605=1,N(I1605)+ROW()/10000000,0)</f>
        <v>0</v>
      </c>
      <c r="L1605" s="47" t="str">
        <f aca="false">IF(AND(J1605=1,N(I1605)&gt;0),SUMIF($K$2:$K$5001,"&gt;="&amp;K1605,$I$2:$I$5001)/MAX(1,SUM($H$2:$H$5001)),"")</f>
        <v/>
      </c>
      <c r="M1605" s="47" t="str">
        <f aca="false">IF($A1605="","",INDEX($L$2:$L$5001,MATCH($A1605,$A$2:$A$5001,0)))</f>
        <v/>
      </c>
      <c r="N1605" s="48" t="str">
        <f aca="false">IF($A1605="","",IF(N(M1605)=0,"–",IF(M1605&lt;=Start!$D$20,"A",IF(M1605&lt;=Start!$D$21,"B","C"))))</f>
        <v/>
      </c>
      <c r="O1605" s="48" t="str">
        <f aca="false">IF($A1605="","",IF(NOT(ISNUMBER(F1605)),"Wert fehlt; ",IF(F1605&lt;=0,"Wert ist 0; ",""))&amp;IF(NOT(ISNUMBER(E1605)),"Bestand fehlt; ",IF(E1605&lt;0,"Bestand negativ; ",IF(E1605=0,"Nullbestand; ","")))&amp;IF(D1605="","Warengruppe fehlt; ","")&amp;IF(B1605="","Bezeichnung fehlt; ","")&amp;IF(COUNTIFS($A$2:$A$5001,$A1605,$C$2:$C$5001,C1605)&gt;1,"Artikel doppelt im selben Lager; ",""))</f>
        <v/>
      </c>
      <c r="P1605" s="47" t="n">
        <f aca="false">IF(OR($A1605="",D1605=""),0,IF(COUNTIF($D$2:D1605,D1605)=1,SUMIF($D$2:$D$5001,D1605,$H$2:$H$5001)+ROW()/10000000,0))</f>
        <v>0</v>
      </c>
      <c r="Q1605" s="47" t="n">
        <f aca="false">IF(OR($A1605="",C1605=""),0,IF(COUNTIF($C$2:C1605,C1605)=1,SUMIF($C$2:$C$5001,C1605,$H$2:$H$5001)+ROW()/10000000,0))</f>
        <v>0</v>
      </c>
    </row>
    <row r="1606" customFormat="false" ht="15" hidden="false" customHeight="false" outlineLevel="0" collapsed="false">
      <c r="A1606" s="43"/>
      <c r="B1606" s="44"/>
      <c r="C1606" s="44"/>
      <c r="D1606" s="44"/>
      <c r="E1606" s="44"/>
      <c r="F1606" s="44"/>
      <c r="G1606" s="44"/>
      <c r="H1606" s="46" t="str">
        <f aca="false">IF($A1606="","",IF(OR(NOT(ISNUMBER(E1606)),NOT(ISNUMBER(F1606))),"",MAX(0,E1606)*F1606))</f>
        <v/>
      </c>
      <c r="I1606" s="46" t="str">
        <f aca="false">IF($A1606="","",SUMIF($A$2:$A$5001,$A1606,$H$2:$H$5001))</f>
        <v/>
      </c>
      <c r="J1606" s="47" t="n">
        <f aca="false">IF($A1606="",0,IF(COUNTIF($A$2:A1606,$A1606)=1,1,0))</f>
        <v>0</v>
      </c>
      <c r="K1606" s="47" t="n">
        <f aca="false">IF(J1606=1,N(I1606)+ROW()/10000000,0)</f>
        <v>0</v>
      </c>
      <c r="L1606" s="47" t="str">
        <f aca="false">IF(AND(J1606=1,N(I1606)&gt;0),SUMIF($K$2:$K$5001,"&gt;="&amp;K1606,$I$2:$I$5001)/MAX(1,SUM($H$2:$H$5001)),"")</f>
        <v/>
      </c>
      <c r="M1606" s="47" t="str">
        <f aca="false">IF($A1606="","",INDEX($L$2:$L$5001,MATCH($A1606,$A$2:$A$5001,0)))</f>
        <v/>
      </c>
      <c r="N1606" s="48" t="str">
        <f aca="false">IF($A1606="","",IF(N(M1606)=0,"–",IF(M1606&lt;=Start!$D$20,"A",IF(M1606&lt;=Start!$D$21,"B","C"))))</f>
        <v/>
      </c>
      <c r="O1606" s="48" t="str">
        <f aca="false">IF($A1606="","",IF(NOT(ISNUMBER(F1606)),"Wert fehlt; ",IF(F1606&lt;=0,"Wert ist 0; ",""))&amp;IF(NOT(ISNUMBER(E1606)),"Bestand fehlt; ",IF(E1606&lt;0,"Bestand negativ; ",IF(E1606=0,"Nullbestand; ","")))&amp;IF(D1606="","Warengruppe fehlt; ","")&amp;IF(B1606="","Bezeichnung fehlt; ","")&amp;IF(COUNTIFS($A$2:$A$5001,$A1606,$C$2:$C$5001,C1606)&gt;1,"Artikel doppelt im selben Lager; ",""))</f>
        <v/>
      </c>
      <c r="P1606" s="47" t="n">
        <f aca="false">IF(OR($A1606="",D1606=""),0,IF(COUNTIF($D$2:D1606,D1606)=1,SUMIF($D$2:$D$5001,D1606,$H$2:$H$5001)+ROW()/10000000,0))</f>
        <v>0</v>
      </c>
      <c r="Q1606" s="47" t="n">
        <f aca="false">IF(OR($A1606="",C1606=""),0,IF(COUNTIF($C$2:C1606,C1606)=1,SUMIF($C$2:$C$5001,C1606,$H$2:$H$5001)+ROW()/10000000,0))</f>
        <v>0</v>
      </c>
    </row>
    <row r="1607" customFormat="false" ht="15" hidden="false" customHeight="false" outlineLevel="0" collapsed="false">
      <c r="A1607" s="43"/>
      <c r="B1607" s="44"/>
      <c r="C1607" s="44"/>
      <c r="D1607" s="44"/>
      <c r="E1607" s="44"/>
      <c r="F1607" s="44"/>
      <c r="G1607" s="44"/>
      <c r="H1607" s="46" t="str">
        <f aca="false">IF($A1607="","",IF(OR(NOT(ISNUMBER(E1607)),NOT(ISNUMBER(F1607))),"",MAX(0,E1607)*F1607))</f>
        <v/>
      </c>
      <c r="I1607" s="46" t="str">
        <f aca="false">IF($A1607="","",SUMIF($A$2:$A$5001,$A1607,$H$2:$H$5001))</f>
        <v/>
      </c>
      <c r="J1607" s="47" t="n">
        <f aca="false">IF($A1607="",0,IF(COUNTIF($A$2:A1607,$A1607)=1,1,0))</f>
        <v>0</v>
      </c>
      <c r="K1607" s="47" t="n">
        <f aca="false">IF(J1607=1,N(I1607)+ROW()/10000000,0)</f>
        <v>0</v>
      </c>
      <c r="L1607" s="47" t="str">
        <f aca="false">IF(AND(J1607=1,N(I1607)&gt;0),SUMIF($K$2:$K$5001,"&gt;="&amp;K1607,$I$2:$I$5001)/MAX(1,SUM($H$2:$H$5001)),"")</f>
        <v/>
      </c>
      <c r="M1607" s="47" t="str">
        <f aca="false">IF($A1607="","",INDEX($L$2:$L$5001,MATCH($A1607,$A$2:$A$5001,0)))</f>
        <v/>
      </c>
      <c r="N1607" s="48" t="str">
        <f aca="false">IF($A1607="","",IF(N(M1607)=0,"–",IF(M1607&lt;=Start!$D$20,"A",IF(M1607&lt;=Start!$D$21,"B","C"))))</f>
        <v/>
      </c>
      <c r="O1607" s="48" t="str">
        <f aca="false">IF($A1607="","",IF(NOT(ISNUMBER(F1607)),"Wert fehlt; ",IF(F1607&lt;=0,"Wert ist 0; ",""))&amp;IF(NOT(ISNUMBER(E1607)),"Bestand fehlt; ",IF(E1607&lt;0,"Bestand negativ; ",IF(E1607=0,"Nullbestand; ","")))&amp;IF(D1607="","Warengruppe fehlt; ","")&amp;IF(B1607="","Bezeichnung fehlt; ","")&amp;IF(COUNTIFS($A$2:$A$5001,$A1607,$C$2:$C$5001,C1607)&gt;1,"Artikel doppelt im selben Lager; ",""))</f>
        <v/>
      </c>
      <c r="P1607" s="47" t="n">
        <f aca="false">IF(OR($A1607="",D1607=""),0,IF(COUNTIF($D$2:D1607,D1607)=1,SUMIF($D$2:$D$5001,D1607,$H$2:$H$5001)+ROW()/10000000,0))</f>
        <v>0</v>
      </c>
      <c r="Q1607" s="47" t="n">
        <f aca="false">IF(OR($A1607="",C1607=""),0,IF(COUNTIF($C$2:C1607,C1607)=1,SUMIF($C$2:$C$5001,C1607,$H$2:$H$5001)+ROW()/10000000,0))</f>
        <v>0</v>
      </c>
    </row>
    <row r="1608" customFormat="false" ht="15" hidden="false" customHeight="false" outlineLevel="0" collapsed="false">
      <c r="A1608" s="43"/>
      <c r="B1608" s="44"/>
      <c r="C1608" s="44"/>
      <c r="D1608" s="44"/>
      <c r="E1608" s="44"/>
      <c r="F1608" s="44"/>
      <c r="G1608" s="44"/>
      <c r="H1608" s="46" t="str">
        <f aca="false">IF($A1608="","",IF(OR(NOT(ISNUMBER(E1608)),NOT(ISNUMBER(F1608))),"",MAX(0,E1608)*F1608))</f>
        <v/>
      </c>
      <c r="I1608" s="46" t="str">
        <f aca="false">IF($A1608="","",SUMIF($A$2:$A$5001,$A1608,$H$2:$H$5001))</f>
        <v/>
      </c>
      <c r="J1608" s="47" t="n">
        <f aca="false">IF($A1608="",0,IF(COUNTIF($A$2:A1608,$A1608)=1,1,0))</f>
        <v>0</v>
      </c>
      <c r="K1608" s="47" t="n">
        <f aca="false">IF(J1608=1,N(I1608)+ROW()/10000000,0)</f>
        <v>0</v>
      </c>
      <c r="L1608" s="47" t="str">
        <f aca="false">IF(AND(J1608=1,N(I1608)&gt;0),SUMIF($K$2:$K$5001,"&gt;="&amp;K1608,$I$2:$I$5001)/MAX(1,SUM($H$2:$H$5001)),"")</f>
        <v/>
      </c>
      <c r="M1608" s="47" t="str">
        <f aca="false">IF($A1608="","",INDEX($L$2:$L$5001,MATCH($A1608,$A$2:$A$5001,0)))</f>
        <v/>
      </c>
      <c r="N1608" s="48" t="str">
        <f aca="false">IF($A1608="","",IF(N(M1608)=0,"–",IF(M1608&lt;=Start!$D$20,"A",IF(M1608&lt;=Start!$D$21,"B","C"))))</f>
        <v/>
      </c>
      <c r="O1608" s="48" t="str">
        <f aca="false">IF($A1608="","",IF(NOT(ISNUMBER(F1608)),"Wert fehlt; ",IF(F1608&lt;=0,"Wert ist 0; ",""))&amp;IF(NOT(ISNUMBER(E1608)),"Bestand fehlt; ",IF(E1608&lt;0,"Bestand negativ; ",IF(E1608=0,"Nullbestand; ","")))&amp;IF(D1608="","Warengruppe fehlt; ","")&amp;IF(B1608="","Bezeichnung fehlt; ","")&amp;IF(COUNTIFS($A$2:$A$5001,$A1608,$C$2:$C$5001,C1608)&gt;1,"Artikel doppelt im selben Lager; ",""))</f>
        <v/>
      </c>
      <c r="P1608" s="47" t="n">
        <f aca="false">IF(OR($A1608="",D1608=""),0,IF(COUNTIF($D$2:D1608,D1608)=1,SUMIF($D$2:$D$5001,D1608,$H$2:$H$5001)+ROW()/10000000,0))</f>
        <v>0</v>
      </c>
      <c r="Q1608" s="47" t="n">
        <f aca="false">IF(OR($A1608="",C1608=""),0,IF(COUNTIF($C$2:C1608,C1608)=1,SUMIF($C$2:$C$5001,C1608,$H$2:$H$5001)+ROW()/10000000,0))</f>
        <v>0</v>
      </c>
    </row>
    <row r="1609" customFormat="false" ht="15" hidden="false" customHeight="false" outlineLevel="0" collapsed="false">
      <c r="A1609" s="43"/>
      <c r="B1609" s="44"/>
      <c r="C1609" s="44"/>
      <c r="D1609" s="44"/>
      <c r="E1609" s="44"/>
      <c r="F1609" s="44"/>
      <c r="G1609" s="44"/>
      <c r="H1609" s="46" t="str">
        <f aca="false">IF($A1609="","",IF(OR(NOT(ISNUMBER(E1609)),NOT(ISNUMBER(F1609))),"",MAX(0,E1609)*F1609))</f>
        <v/>
      </c>
      <c r="I1609" s="46" t="str">
        <f aca="false">IF($A1609="","",SUMIF($A$2:$A$5001,$A1609,$H$2:$H$5001))</f>
        <v/>
      </c>
      <c r="J1609" s="47" t="n">
        <f aca="false">IF($A1609="",0,IF(COUNTIF($A$2:A1609,$A1609)=1,1,0))</f>
        <v>0</v>
      </c>
      <c r="K1609" s="47" t="n">
        <f aca="false">IF(J1609=1,N(I1609)+ROW()/10000000,0)</f>
        <v>0</v>
      </c>
      <c r="L1609" s="47" t="str">
        <f aca="false">IF(AND(J1609=1,N(I1609)&gt;0),SUMIF($K$2:$K$5001,"&gt;="&amp;K1609,$I$2:$I$5001)/MAX(1,SUM($H$2:$H$5001)),"")</f>
        <v/>
      </c>
      <c r="M1609" s="47" t="str">
        <f aca="false">IF($A1609="","",INDEX($L$2:$L$5001,MATCH($A1609,$A$2:$A$5001,0)))</f>
        <v/>
      </c>
      <c r="N1609" s="48" t="str">
        <f aca="false">IF($A1609="","",IF(N(M1609)=0,"–",IF(M1609&lt;=Start!$D$20,"A",IF(M1609&lt;=Start!$D$21,"B","C"))))</f>
        <v/>
      </c>
      <c r="O1609" s="48" t="str">
        <f aca="false">IF($A1609="","",IF(NOT(ISNUMBER(F1609)),"Wert fehlt; ",IF(F1609&lt;=0,"Wert ist 0; ",""))&amp;IF(NOT(ISNUMBER(E1609)),"Bestand fehlt; ",IF(E1609&lt;0,"Bestand negativ; ",IF(E1609=0,"Nullbestand; ","")))&amp;IF(D1609="","Warengruppe fehlt; ","")&amp;IF(B1609="","Bezeichnung fehlt; ","")&amp;IF(COUNTIFS($A$2:$A$5001,$A1609,$C$2:$C$5001,C1609)&gt;1,"Artikel doppelt im selben Lager; ",""))</f>
        <v/>
      </c>
      <c r="P1609" s="47" t="n">
        <f aca="false">IF(OR($A1609="",D1609=""),0,IF(COUNTIF($D$2:D1609,D1609)=1,SUMIF($D$2:$D$5001,D1609,$H$2:$H$5001)+ROW()/10000000,0))</f>
        <v>0</v>
      </c>
      <c r="Q1609" s="47" t="n">
        <f aca="false">IF(OR($A1609="",C1609=""),0,IF(COUNTIF($C$2:C1609,C1609)=1,SUMIF($C$2:$C$5001,C1609,$H$2:$H$5001)+ROW()/10000000,0))</f>
        <v>0</v>
      </c>
    </row>
    <row r="1610" customFormat="false" ht="15" hidden="false" customHeight="false" outlineLevel="0" collapsed="false">
      <c r="A1610" s="43"/>
      <c r="B1610" s="44"/>
      <c r="C1610" s="44"/>
      <c r="D1610" s="44"/>
      <c r="E1610" s="44"/>
      <c r="F1610" s="44"/>
      <c r="G1610" s="44"/>
      <c r="H1610" s="46" t="str">
        <f aca="false">IF($A1610="","",IF(OR(NOT(ISNUMBER(E1610)),NOT(ISNUMBER(F1610))),"",MAX(0,E1610)*F1610))</f>
        <v/>
      </c>
      <c r="I1610" s="46" t="str">
        <f aca="false">IF($A1610="","",SUMIF($A$2:$A$5001,$A1610,$H$2:$H$5001))</f>
        <v/>
      </c>
      <c r="J1610" s="47" t="n">
        <f aca="false">IF($A1610="",0,IF(COUNTIF($A$2:A1610,$A1610)=1,1,0))</f>
        <v>0</v>
      </c>
      <c r="K1610" s="47" t="n">
        <f aca="false">IF(J1610=1,N(I1610)+ROW()/10000000,0)</f>
        <v>0</v>
      </c>
      <c r="L1610" s="47" t="str">
        <f aca="false">IF(AND(J1610=1,N(I1610)&gt;0),SUMIF($K$2:$K$5001,"&gt;="&amp;K1610,$I$2:$I$5001)/MAX(1,SUM($H$2:$H$5001)),"")</f>
        <v/>
      </c>
      <c r="M1610" s="47" t="str">
        <f aca="false">IF($A1610="","",INDEX($L$2:$L$5001,MATCH($A1610,$A$2:$A$5001,0)))</f>
        <v/>
      </c>
      <c r="N1610" s="48" t="str">
        <f aca="false">IF($A1610="","",IF(N(M1610)=0,"–",IF(M1610&lt;=Start!$D$20,"A",IF(M1610&lt;=Start!$D$21,"B","C"))))</f>
        <v/>
      </c>
      <c r="O1610" s="48" t="str">
        <f aca="false">IF($A1610="","",IF(NOT(ISNUMBER(F1610)),"Wert fehlt; ",IF(F1610&lt;=0,"Wert ist 0; ",""))&amp;IF(NOT(ISNUMBER(E1610)),"Bestand fehlt; ",IF(E1610&lt;0,"Bestand negativ; ",IF(E1610=0,"Nullbestand; ","")))&amp;IF(D1610="","Warengruppe fehlt; ","")&amp;IF(B1610="","Bezeichnung fehlt; ","")&amp;IF(COUNTIFS($A$2:$A$5001,$A1610,$C$2:$C$5001,C1610)&gt;1,"Artikel doppelt im selben Lager; ",""))</f>
        <v/>
      </c>
      <c r="P1610" s="47" t="n">
        <f aca="false">IF(OR($A1610="",D1610=""),0,IF(COUNTIF($D$2:D1610,D1610)=1,SUMIF($D$2:$D$5001,D1610,$H$2:$H$5001)+ROW()/10000000,0))</f>
        <v>0</v>
      </c>
      <c r="Q1610" s="47" t="n">
        <f aca="false">IF(OR($A1610="",C1610=""),0,IF(COUNTIF($C$2:C1610,C1610)=1,SUMIF($C$2:$C$5001,C1610,$H$2:$H$5001)+ROW()/10000000,0))</f>
        <v>0</v>
      </c>
    </row>
    <row r="1611" customFormat="false" ht="15" hidden="false" customHeight="false" outlineLevel="0" collapsed="false">
      <c r="A1611" s="43"/>
      <c r="B1611" s="44"/>
      <c r="C1611" s="44"/>
      <c r="D1611" s="44"/>
      <c r="E1611" s="44"/>
      <c r="F1611" s="44"/>
      <c r="G1611" s="44"/>
      <c r="H1611" s="46" t="str">
        <f aca="false">IF($A1611="","",IF(OR(NOT(ISNUMBER(E1611)),NOT(ISNUMBER(F1611))),"",MAX(0,E1611)*F1611))</f>
        <v/>
      </c>
      <c r="I1611" s="46" t="str">
        <f aca="false">IF($A1611="","",SUMIF($A$2:$A$5001,$A1611,$H$2:$H$5001))</f>
        <v/>
      </c>
      <c r="J1611" s="47" t="n">
        <f aca="false">IF($A1611="",0,IF(COUNTIF($A$2:A1611,$A1611)=1,1,0))</f>
        <v>0</v>
      </c>
      <c r="K1611" s="47" t="n">
        <f aca="false">IF(J1611=1,N(I1611)+ROW()/10000000,0)</f>
        <v>0</v>
      </c>
      <c r="L1611" s="47" t="str">
        <f aca="false">IF(AND(J1611=1,N(I1611)&gt;0),SUMIF($K$2:$K$5001,"&gt;="&amp;K1611,$I$2:$I$5001)/MAX(1,SUM($H$2:$H$5001)),"")</f>
        <v/>
      </c>
      <c r="M1611" s="47" t="str">
        <f aca="false">IF($A1611="","",INDEX($L$2:$L$5001,MATCH($A1611,$A$2:$A$5001,0)))</f>
        <v/>
      </c>
      <c r="N1611" s="48" t="str">
        <f aca="false">IF($A1611="","",IF(N(M1611)=0,"–",IF(M1611&lt;=Start!$D$20,"A",IF(M1611&lt;=Start!$D$21,"B","C"))))</f>
        <v/>
      </c>
      <c r="O1611" s="48" t="str">
        <f aca="false">IF($A1611="","",IF(NOT(ISNUMBER(F1611)),"Wert fehlt; ",IF(F1611&lt;=0,"Wert ist 0; ",""))&amp;IF(NOT(ISNUMBER(E1611)),"Bestand fehlt; ",IF(E1611&lt;0,"Bestand negativ; ",IF(E1611=0,"Nullbestand; ","")))&amp;IF(D1611="","Warengruppe fehlt; ","")&amp;IF(B1611="","Bezeichnung fehlt; ","")&amp;IF(COUNTIFS($A$2:$A$5001,$A1611,$C$2:$C$5001,C1611)&gt;1,"Artikel doppelt im selben Lager; ",""))</f>
        <v/>
      </c>
      <c r="P1611" s="47" t="n">
        <f aca="false">IF(OR($A1611="",D1611=""),0,IF(COUNTIF($D$2:D1611,D1611)=1,SUMIF($D$2:$D$5001,D1611,$H$2:$H$5001)+ROW()/10000000,0))</f>
        <v>0</v>
      </c>
      <c r="Q1611" s="47" t="n">
        <f aca="false">IF(OR($A1611="",C1611=""),0,IF(COUNTIF($C$2:C1611,C1611)=1,SUMIF($C$2:$C$5001,C1611,$H$2:$H$5001)+ROW()/10000000,0))</f>
        <v>0</v>
      </c>
    </row>
    <row r="1612" customFormat="false" ht="15" hidden="false" customHeight="false" outlineLevel="0" collapsed="false">
      <c r="A1612" s="43"/>
      <c r="B1612" s="44"/>
      <c r="C1612" s="44"/>
      <c r="D1612" s="44"/>
      <c r="E1612" s="44"/>
      <c r="F1612" s="44"/>
      <c r="G1612" s="44"/>
      <c r="H1612" s="46" t="str">
        <f aca="false">IF($A1612="","",IF(OR(NOT(ISNUMBER(E1612)),NOT(ISNUMBER(F1612))),"",MAX(0,E1612)*F1612))</f>
        <v/>
      </c>
      <c r="I1612" s="46" t="str">
        <f aca="false">IF($A1612="","",SUMIF($A$2:$A$5001,$A1612,$H$2:$H$5001))</f>
        <v/>
      </c>
      <c r="J1612" s="47" t="n">
        <f aca="false">IF($A1612="",0,IF(COUNTIF($A$2:A1612,$A1612)=1,1,0))</f>
        <v>0</v>
      </c>
      <c r="K1612" s="47" t="n">
        <f aca="false">IF(J1612=1,N(I1612)+ROW()/10000000,0)</f>
        <v>0</v>
      </c>
      <c r="L1612" s="47" t="str">
        <f aca="false">IF(AND(J1612=1,N(I1612)&gt;0),SUMIF($K$2:$K$5001,"&gt;="&amp;K1612,$I$2:$I$5001)/MAX(1,SUM($H$2:$H$5001)),"")</f>
        <v/>
      </c>
      <c r="M1612" s="47" t="str">
        <f aca="false">IF($A1612="","",INDEX($L$2:$L$5001,MATCH($A1612,$A$2:$A$5001,0)))</f>
        <v/>
      </c>
      <c r="N1612" s="48" t="str">
        <f aca="false">IF($A1612="","",IF(N(M1612)=0,"–",IF(M1612&lt;=Start!$D$20,"A",IF(M1612&lt;=Start!$D$21,"B","C"))))</f>
        <v/>
      </c>
      <c r="O1612" s="48" t="str">
        <f aca="false">IF($A1612="","",IF(NOT(ISNUMBER(F1612)),"Wert fehlt; ",IF(F1612&lt;=0,"Wert ist 0; ",""))&amp;IF(NOT(ISNUMBER(E1612)),"Bestand fehlt; ",IF(E1612&lt;0,"Bestand negativ; ",IF(E1612=0,"Nullbestand; ","")))&amp;IF(D1612="","Warengruppe fehlt; ","")&amp;IF(B1612="","Bezeichnung fehlt; ","")&amp;IF(COUNTIFS($A$2:$A$5001,$A1612,$C$2:$C$5001,C1612)&gt;1,"Artikel doppelt im selben Lager; ",""))</f>
        <v/>
      </c>
      <c r="P1612" s="47" t="n">
        <f aca="false">IF(OR($A1612="",D1612=""),0,IF(COUNTIF($D$2:D1612,D1612)=1,SUMIF($D$2:$D$5001,D1612,$H$2:$H$5001)+ROW()/10000000,0))</f>
        <v>0</v>
      </c>
      <c r="Q1612" s="47" t="n">
        <f aca="false">IF(OR($A1612="",C1612=""),0,IF(COUNTIF($C$2:C1612,C1612)=1,SUMIF($C$2:$C$5001,C1612,$H$2:$H$5001)+ROW()/10000000,0))</f>
        <v>0</v>
      </c>
    </row>
    <row r="1613" customFormat="false" ht="15" hidden="false" customHeight="false" outlineLevel="0" collapsed="false">
      <c r="A1613" s="43"/>
      <c r="B1613" s="44"/>
      <c r="C1613" s="44"/>
      <c r="D1613" s="44"/>
      <c r="E1613" s="44"/>
      <c r="F1613" s="44"/>
      <c r="G1613" s="44"/>
      <c r="H1613" s="46" t="str">
        <f aca="false">IF($A1613="","",IF(OR(NOT(ISNUMBER(E1613)),NOT(ISNUMBER(F1613))),"",MAX(0,E1613)*F1613))</f>
        <v/>
      </c>
      <c r="I1613" s="46" t="str">
        <f aca="false">IF($A1613="","",SUMIF($A$2:$A$5001,$A1613,$H$2:$H$5001))</f>
        <v/>
      </c>
      <c r="J1613" s="47" t="n">
        <f aca="false">IF($A1613="",0,IF(COUNTIF($A$2:A1613,$A1613)=1,1,0))</f>
        <v>0</v>
      </c>
      <c r="K1613" s="47" t="n">
        <f aca="false">IF(J1613=1,N(I1613)+ROW()/10000000,0)</f>
        <v>0</v>
      </c>
      <c r="L1613" s="47" t="str">
        <f aca="false">IF(AND(J1613=1,N(I1613)&gt;0),SUMIF($K$2:$K$5001,"&gt;="&amp;K1613,$I$2:$I$5001)/MAX(1,SUM($H$2:$H$5001)),"")</f>
        <v/>
      </c>
      <c r="M1613" s="47" t="str">
        <f aca="false">IF($A1613="","",INDEX($L$2:$L$5001,MATCH($A1613,$A$2:$A$5001,0)))</f>
        <v/>
      </c>
      <c r="N1613" s="48" t="str">
        <f aca="false">IF($A1613="","",IF(N(M1613)=0,"–",IF(M1613&lt;=Start!$D$20,"A",IF(M1613&lt;=Start!$D$21,"B","C"))))</f>
        <v/>
      </c>
      <c r="O1613" s="48" t="str">
        <f aca="false">IF($A1613="","",IF(NOT(ISNUMBER(F1613)),"Wert fehlt; ",IF(F1613&lt;=0,"Wert ist 0; ",""))&amp;IF(NOT(ISNUMBER(E1613)),"Bestand fehlt; ",IF(E1613&lt;0,"Bestand negativ; ",IF(E1613=0,"Nullbestand; ","")))&amp;IF(D1613="","Warengruppe fehlt; ","")&amp;IF(B1613="","Bezeichnung fehlt; ","")&amp;IF(COUNTIFS($A$2:$A$5001,$A1613,$C$2:$C$5001,C1613)&gt;1,"Artikel doppelt im selben Lager; ",""))</f>
        <v/>
      </c>
      <c r="P1613" s="47" t="n">
        <f aca="false">IF(OR($A1613="",D1613=""),0,IF(COUNTIF($D$2:D1613,D1613)=1,SUMIF($D$2:$D$5001,D1613,$H$2:$H$5001)+ROW()/10000000,0))</f>
        <v>0</v>
      </c>
      <c r="Q1613" s="47" t="n">
        <f aca="false">IF(OR($A1613="",C1613=""),0,IF(COUNTIF($C$2:C1613,C1613)=1,SUMIF($C$2:$C$5001,C1613,$H$2:$H$5001)+ROW()/10000000,0))</f>
        <v>0</v>
      </c>
    </row>
    <row r="1614" customFormat="false" ht="15" hidden="false" customHeight="false" outlineLevel="0" collapsed="false">
      <c r="A1614" s="43"/>
      <c r="B1614" s="44"/>
      <c r="C1614" s="44"/>
      <c r="D1614" s="44"/>
      <c r="E1614" s="44"/>
      <c r="F1614" s="44"/>
      <c r="G1614" s="44"/>
      <c r="H1614" s="46" t="str">
        <f aca="false">IF($A1614="","",IF(OR(NOT(ISNUMBER(E1614)),NOT(ISNUMBER(F1614))),"",MAX(0,E1614)*F1614))</f>
        <v/>
      </c>
      <c r="I1614" s="46" t="str">
        <f aca="false">IF($A1614="","",SUMIF($A$2:$A$5001,$A1614,$H$2:$H$5001))</f>
        <v/>
      </c>
      <c r="J1614" s="47" t="n">
        <f aca="false">IF($A1614="",0,IF(COUNTIF($A$2:A1614,$A1614)=1,1,0))</f>
        <v>0</v>
      </c>
      <c r="K1614" s="47" t="n">
        <f aca="false">IF(J1614=1,N(I1614)+ROW()/10000000,0)</f>
        <v>0</v>
      </c>
      <c r="L1614" s="47" t="str">
        <f aca="false">IF(AND(J1614=1,N(I1614)&gt;0),SUMIF($K$2:$K$5001,"&gt;="&amp;K1614,$I$2:$I$5001)/MAX(1,SUM($H$2:$H$5001)),"")</f>
        <v/>
      </c>
      <c r="M1614" s="47" t="str">
        <f aca="false">IF($A1614="","",INDEX($L$2:$L$5001,MATCH($A1614,$A$2:$A$5001,0)))</f>
        <v/>
      </c>
      <c r="N1614" s="48" t="str">
        <f aca="false">IF($A1614="","",IF(N(M1614)=0,"–",IF(M1614&lt;=Start!$D$20,"A",IF(M1614&lt;=Start!$D$21,"B","C"))))</f>
        <v/>
      </c>
      <c r="O1614" s="48" t="str">
        <f aca="false">IF($A1614="","",IF(NOT(ISNUMBER(F1614)),"Wert fehlt; ",IF(F1614&lt;=0,"Wert ist 0; ",""))&amp;IF(NOT(ISNUMBER(E1614)),"Bestand fehlt; ",IF(E1614&lt;0,"Bestand negativ; ",IF(E1614=0,"Nullbestand; ","")))&amp;IF(D1614="","Warengruppe fehlt; ","")&amp;IF(B1614="","Bezeichnung fehlt; ","")&amp;IF(COUNTIFS($A$2:$A$5001,$A1614,$C$2:$C$5001,C1614)&gt;1,"Artikel doppelt im selben Lager; ",""))</f>
        <v/>
      </c>
      <c r="P1614" s="47" t="n">
        <f aca="false">IF(OR($A1614="",D1614=""),0,IF(COUNTIF($D$2:D1614,D1614)=1,SUMIF($D$2:$D$5001,D1614,$H$2:$H$5001)+ROW()/10000000,0))</f>
        <v>0</v>
      </c>
      <c r="Q1614" s="47" t="n">
        <f aca="false">IF(OR($A1614="",C1614=""),0,IF(COUNTIF($C$2:C1614,C1614)=1,SUMIF($C$2:$C$5001,C1614,$H$2:$H$5001)+ROW()/10000000,0))</f>
        <v>0</v>
      </c>
    </row>
    <row r="1615" customFormat="false" ht="15" hidden="false" customHeight="false" outlineLevel="0" collapsed="false">
      <c r="A1615" s="43"/>
      <c r="B1615" s="44"/>
      <c r="C1615" s="44"/>
      <c r="D1615" s="44"/>
      <c r="E1615" s="44"/>
      <c r="F1615" s="44"/>
      <c r="G1615" s="44"/>
      <c r="H1615" s="46" t="str">
        <f aca="false">IF($A1615="","",IF(OR(NOT(ISNUMBER(E1615)),NOT(ISNUMBER(F1615))),"",MAX(0,E1615)*F1615))</f>
        <v/>
      </c>
      <c r="I1615" s="46" t="str">
        <f aca="false">IF($A1615="","",SUMIF($A$2:$A$5001,$A1615,$H$2:$H$5001))</f>
        <v/>
      </c>
      <c r="J1615" s="47" t="n">
        <f aca="false">IF($A1615="",0,IF(COUNTIF($A$2:A1615,$A1615)=1,1,0))</f>
        <v>0</v>
      </c>
      <c r="K1615" s="47" t="n">
        <f aca="false">IF(J1615=1,N(I1615)+ROW()/10000000,0)</f>
        <v>0</v>
      </c>
      <c r="L1615" s="47" t="str">
        <f aca="false">IF(AND(J1615=1,N(I1615)&gt;0),SUMIF($K$2:$K$5001,"&gt;="&amp;K1615,$I$2:$I$5001)/MAX(1,SUM($H$2:$H$5001)),"")</f>
        <v/>
      </c>
      <c r="M1615" s="47" t="str">
        <f aca="false">IF($A1615="","",INDEX($L$2:$L$5001,MATCH($A1615,$A$2:$A$5001,0)))</f>
        <v/>
      </c>
      <c r="N1615" s="48" t="str">
        <f aca="false">IF($A1615="","",IF(N(M1615)=0,"–",IF(M1615&lt;=Start!$D$20,"A",IF(M1615&lt;=Start!$D$21,"B","C"))))</f>
        <v/>
      </c>
      <c r="O1615" s="48" t="str">
        <f aca="false">IF($A1615="","",IF(NOT(ISNUMBER(F1615)),"Wert fehlt; ",IF(F1615&lt;=0,"Wert ist 0; ",""))&amp;IF(NOT(ISNUMBER(E1615)),"Bestand fehlt; ",IF(E1615&lt;0,"Bestand negativ; ",IF(E1615=0,"Nullbestand; ","")))&amp;IF(D1615="","Warengruppe fehlt; ","")&amp;IF(B1615="","Bezeichnung fehlt; ","")&amp;IF(COUNTIFS($A$2:$A$5001,$A1615,$C$2:$C$5001,C1615)&gt;1,"Artikel doppelt im selben Lager; ",""))</f>
        <v/>
      </c>
      <c r="P1615" s="47" t="n">
        <f aca="false">IF(OR($A1615="",D1615=""),0,IF(COUNTIF($D$2:D1615,D1615)=1,SUMIF($D$2:$D$5001,D1615,$H$2:$H$5001)+ROW()/10000000,0))</f>
        <v>0</v>
      </c>
      <c r="Q1615" s="47" t="n">
        <f aca="false">IF(OR($A1615="",C1615=""),0,IF(COUNTIF($C$2:C1615,C1615)=1,SUMIF($C$2:$C$5001,C1615,$H$2:$H$5001)+ROW()/10000000,0))</f>
        <v>0</v>
      </c>
    </row>
    <row r="1616" customFormat="false" ht="15" hidden="false" customHeight="false" outlineLevel="0" collapsed="false">
      <c r="A1616" s="43"/>
      <c r="B1616" s="44"/>
      <c r="C1616" s="44"/>
      <c r="D1616" s="44"/>
      <c r="E1616" s="44"/>
      <c r="F1616" s="44"/>
      <c r="G1616" s="44"/>
      <c r="H1616" s="46" t="str">
        <f aca="false">IF($A1616="","",IF(OR(NOT(ISNUMBER(E1616)),NOT(ISNUMBER(F1616))),"",MAX(0,E1616)*F1616))</f>
        <v/>
      </c>
      <c r="I1616" s="46" t="str">
        <f aca="false">IF($A1616="","",SUMIF($A$2:$A$5001,$A1616,$H$2:$H$5001))</f>
        <v/>
      </c>
      <c r="J1616" s="47" t="n">
        <f aca="false">IF($A1616="",0,IF(COUNTIF($A$2:A1616,$A1616)=1,1,0))</f>
        <v>0</v>
      </c>
      <c r="K1616" s="47" t="n">
        <f aca="false">IF(J1616=1,N(I1616)+ROW()/10000000,0)</f>
        <v>0</v>
      </c>
      <c r="L1616" s="47" t="str">
        <f aca="false">IF(AND(J1616=1,N(I1616)&gt;0),SUMIF($K$2:$K$5001,"&gt;="&amp;K1616,$I$2:$I$5001)/MAX(1,SUM($H$2:$H$5001)),"")</f>
        <v/>
      </c>
      <c r="M1616" s="47" t="str">
        <f aca="false">IF($A1616="","",INDEX($L$2:$L$5001,MATCH($A1616,$A$2:$A$5001,0)))</f>
        <v/>
      </c>
      <c r="N1616" s="48" t="str">
        <f aca="false">IF($A1616="","",IF(N(M1616)=0,"–",IF(M1616&lt;=Start!$D$20,"A",IF(M1616&lt;=Start!$D$21,"B","C"))))</f>
        <v/>
      </c>
      <c r="O1616" s="48" t="str">
        <f aca="false">IF($A1616="","",IF(NOT(ISNUMBER(F1616)),"Wert fehlt; ",IF(F1616&lt;=0,"Wert ist 0; ",""))&amp;IF(NOT(ISNUMBER(E1616)),"Bestand fehlt; ",IF(E1616&lt;0,"Bestand negativ; ",IF(E1616=0,"Nullbestand; ","")))&amp;IF(D1616="","Warengruppe fehlt; ","")&amp;IF(B1616="","Bezeichnung fehlt; ","")&amp;IF(COUNTIFS($A$2:$A$5001,$A1616,$C$2:$C$5001,C1616)&gt;1,"Artikel doppelt im selben Lager; ",""))</f>
        <v/>
      </c>
      <c r="P1616" s="47" t="n">
        <f aca="false">IF(OR($A1616="",D1616=""),0,IF(COUNTIF($D$2:D1616,D1616)=1,SUMIF($D$2:$D$5001,D1616,$H$2:$H$5001)+ROW()/10000000,0))</f>
        <v>0</v>
      </c>
      <c r="Q1616" s="47" t="n">
        <f aca="false">IF(OR($A1616="",C1616=""),0,IF(COUNTIF($C$2:C1616,C1616)=1,SUMIF($C$2:$C$5001,C1616,$H$2:$H$5001)+ROW()/10000000,0))</f>
        <v>0</v>
      </c>
    </row>
    <row r="1617" customFormat="false" ht="15" hidden="false" customHeight="false" outlineLevel="0" collapsed="false">
      <c r="A1617" s="43"/>
      <c r="B1617" s="44"/>
      <c r="C1617" s="44"/>
      <c r="D1617" s="44"/>
      <c r="E1617" s="44"/>
      <c r="F1617" s="44"/>
      <c r="G1617" s="44"/>
      <c r="H1617" s="46" t="str">
        <f aca="false">IF($A1617="","",IF(OR(NOT(ISNUMBER(E1617)),NOT(ISNUMBER(F1617))),"",MAX(0,E1617)*F1617))</f>
        <v/>
      </c>
      <c r="I1617" s="46" t="str">
        <f aca="false">IF($A1617="","",SUMIF($A$2:$A$5001,$A1617,$H$2:$H$5001))</f>
        <v/>
      </c>
      <c r="J1617" s="47" t="n">
        <f aca="false">IF($A1617="",0,IF(COUNTIF($A$2:A1617,$A1617)=1,1,0))</f>
        <v>0</v>
      </c>
      <c r="K1617" s="47" t="n">
        <f aca="false">IF(J1617=1,N(I1617)+ROW()/10000000,0)</f>
        <v>0</v>
      </c>
      <c r="L1617" s="47" t="str">
        <f aca="false">IF(AND(J1617=1,N(I1617)&gt;0),SUMIF($K$2:$K$5001,"&gt;="&amp;K1617,$I$2:$I$5001)/MAX(1,SUM($H$2:$H$5001)),"")</f>
        <v/>
      </c>
      <c r="M1617" s="47" t="str">
        <f aca="false">IF($A1617="","",INDEX($L$2:$L$5001,MATCH($A1617,$A$2:$A$5001,0)))</f>
        <v/>
      </c>
      <c r="N1617" s="48" t="str">
        <f aca="false">IF($A1617="","",IF(N(M1617)=0,"–",IF(M1617&lt;=Start!$D$20,"A",IF(M1617&lt;=Start!$D$21,"B","C"))))</f>
        <v/>
      </c>
      <c r="O1617" s="48" t="str">
        <f aca="false">IF($A1617="","",IF(NOT(ISNUMBER(F1617)),"Wert fehlt; ",IF(F1617&lt;=0,"Wert ist 0; ",""))&amp;IF(NOT(ISNUMBER(E1617)),"Bestand fehlt; ",IF(E1617&lt;0,"Bestand negativ; ",IF(E1617=0,"Nullbestand; ","")))&amp;IF(D1617="","Warengruppe fehlt; ","")&amp;IF(B1617="","Bezeichnung fehlt; ","")&amp;IF(COUNTIFS($A$2:$A$5001,$A1617,$C$2:$C$5001,C1617)&gt;1,"Artikel doppelt im selben Lager; ",""))</f>
        <v/>
      </c>
      <c r="P1617" s="47" t="n">
        <f aca="false">IF(OR($A1617="",D1617=""),0,IF(COUNTIF($D$2:D1617,D1617)=1,SUMIF($D$2:$D$5001,D1617,$H$2:$H$5001)+ROW()/10000000,0))</f>
        <v>0</v>
      </c>
      <c r="Q1617" s="47" t="n">
        <f aca="false">IF(OR($A1617="",C1617=""),0,IF(COUNTIF($C$2:C1617,C1617)=1,SUMIF($C$2:$C$5001,C1617,$H$2:$H$5001)+ROW()/10000000,0))</f>
        <v>0</v>
      </c>
    </row>
    <row r="1618" customFormat="false" ht="15" hidden="false" customHeight="false" outlineLevel="0" collapsed="false">
      <c r="A1618" s="43"/>
      <c r="B1618" s="44"/>
      <c r="C1618" s="44"/>
      <c r="D1618" s="44"/>
      <c r="E1618" s="44"/>
      <c r="F1618" s="44"/>
      <c r="G1618" s="44"/>
      <c r="H1618" s="46" t="str">
        <f aca="false">IF($A1618="","",IF(OR(NOT(ISNUMBER(E1618)),NOT(ISNUMBER(F1618))),"",MAX(0,E1618)*F1618))</f>
        <v/>
      </c>
      <c r="I1618" s="46" t="str">
        <f aca="false">IF($A1618="","",SUMIF($A$2:$A$5001,$A1618,$H$2:$H$5001))</f>
        <v/>
      </c>
      <c r="J1618" s="47" t="n">
        <f aca="false">IF($A1618="",0,IF(COUNTIF($A$2:A1618,$A1618)=1,1,0))</f>
        <v>0</v>
      </c>
      <c r="K1618" s="47" t="n">
        <f aca="false">IF(J1618=1,N(I1618)+ROW()/10000000,0)</f>
        <v>0</v>
      </c>
      <c r="L1618" s="47" t="str">
        <f aca="false">IF(AND(J1618=1,N(I1618)&gt;0),SUMIF($K$2:$K$5001,"&gt;="&amp;K1618,$I$2:$I$5001)/MAX(1,SUM($H$2:$H$5001)),"")</f>
        <v/>
      </c>
      <c r="M1618" s="47" t="str">
        <f aca="false">IF($A1618="","",INDEX($L$2:$L$5001,MATCH($A1618,$A$2:$A$5001,0)))</f>
        <v/>
      </c>
      <c r="N1618" s="48" t="str">
        <f aca="false">IF($A1618="","",IF(N(M1618)=0,"–",IF(M1618&lt;=Start!$D$20,"A",IF(M1618&lt;=Start!$D$21,"B","C"))))</f>
        <v/>
      </c>
      <c r="O1618" s="48" t="str">
        <f aca="false">IF($A1618="","",IF(NOT(ISNUMBER(F1618)),"Wert fehlt; ",IF(F1618&lt;=0,"Wert ist 0; ",""))&amp;IF(NOT(ISNUMBER(E1618)),"Bestand fehlt; ",IF(E1618&lt;0,"Bestand negativ; ",IF(E1618=0,"Nullbestand; ","")))&amp;IF(D1618="","Warengruppe fehlt; ","")&amp;IF(B1618="","Bezeichnung fehlt; ","")&amp;IF(COUNTIFS($A$2:$A$5001,$A1618,$C$2:$C$5001,C1618)&gt;1,"Artikel doppelt im selben Lager; ",""))</f>
        <v/>
      </c>
      <c r="P1618" s="47" t="n">
        <f aca="false">IF(OR($A1618="",D1618=""),0,IF(COUNTIF($D$2:D1618,D1618)=1,SUMIF($D$2:$D$5001,D1618,$H$2:$H$5001)+ROW()/10000000,0))</f>
        <v>0</v>
      </c>
      <c r="Q1618" s="47" t="n">
        <f aca="false">IF(OR($A1618="",C1618=""),0,IF(COUNTIF($C$2:C1618,C1618)=1,SUMIF($C$2:$C$5001,C1618,$H$2:$H$5001)+ROW()/10000000,0))</f>
        <v>0</v>
      </c>
    </row>
    <row r="1619" customFormat="false" ht="15" hidden="false" customHeight="false" outlineLevel="0" collapsed="false">
      <c r="A1619" s="43"/>
      <c r="B1619" s="44"/>
      <c r="C1619" s="44"/>
      <c r="D1619" s="44"/>
      <c r="E1619" s="44"/>
      <c r="F1619" s="44"/>
      <c r="G1619" s="44"/>
      <c r="H1619" s="46" t="str">
        <f aca="false">IF($A1619="","",IF(OR(NOT(ISNUMBER(E1619)),NOT(ISNUMBER(F1619))),"",MAX(0,E1619)*F1619))</f>
        <v/>
      </c>
      <c r="I1619" s="46" t="str">
        <f aca="false">IF($A1619="","",SUMIF($A$2:$A$5001,$A1619,$H$2:$H$5001))</f>
        <v/>
      </c>
      <c r="J1619" s="47" t="n">
        <f aca="false">IF($A1619="",0,IF(COUNTIF($A$2:A1619,$A1619)=1,1,0))</f>
        <v>0</v>
      </c>
      <c r="K1619" s="47" t="n">
        <f aca="false">IF(J1619=1,N(I1619)+ROW()/10000000,0)</f>
        <v>0</v>
      </c>
      <c r="L1619" s="47" t="str">
        <f aca="false">IF(AND(J1619=1,N(I1619)&gt;0),SUMIF($K$2:$K$5001,"&gt;="&amp;K1619,$I$2:$I$5001)/MAX(1,SUM($H$2:$H$5001)),"")</f>
        <v/>
      </c>
      <c r="M1619" s="47" t="str">
        <f aca="false">IF($A1619="","",INDEX($L$2:$L$5001,MATCH($A1619,$A$2:$A$5001,0)))</f>
        <v/>
      </c>
      <c r="N1619" s="48" t="str">
        <f aca="false">IF($A1619="","",IF(N(M1619)=0,"–",IF(M1619&lt;=Start!$D$20,"A",IF(M1619&lt;=Start!$D$21,"B","C"))))</f>
        <v/>
      </c>
      <c r="O1619" s="48" t="str">
        <f aca="false">IF($A1619="","",IF(NOT(ISNUMBER(F1619)),"Wert fehlt; ",IF(F1619&lt;=0,"Wert ist 0; ",""))&amp;IF(NOT(ISNUMBER(E1619)),"Bestand fehlt; ",IF(E1619&lt;0,"Bestand negativ; ",IF(E1619=0,"Nullbestand; ","")))&amp;IF(D1619="","Warengruppe fehlt; ","")&amp;IF(B1619="","Bezeichnung fehlt; ","")&amp;IF(COUNTIFS($A$2:$A$5001,$A1619,$C$2:$C$5001,C1619)&gt;1,"Artikel doppelt im selben Lager; ",""))</f>
        <v/>
      </c>
      <c r="P1619" s="47" t="n">
        <f aca="false">IF(OR($A1619="",D1619=""),0,IF(COUNTIF($D$2:D1619,D1619)=1,SUMIF($D$2:$D$5001,D1619,$H$2:$H$5001)+ROW()/10000000,0))</f>
        <v>0</v>
      </c>
      <c r="Q1619" s="47" t="n">
        <f aca="false">IF(OR($A1619="",C1619=""),0,IF(COUNTIF($C$2:C1619,C1619)=1,SUMIF($C$2:$C$5001,C1619,$H$2:$H$5001)+ROW()/10000000,0))</f>
        <v>0</v>
      </c>
    </row>
    <row r="1620" customFormat="false" ht="15" hidden="false" customHeight="false" outlineLevel="0" collapsed="false">
      <c r="A1620" s="43"/>
      <c r="B1620" s="44"/>
      <c r="C1620" s="44"/>
      <c r="D1620" s="44"/>
      <c r="E1620" s="44"/>
      <c r="F1620" s="44"/>
      <c r="G1620" s="44"/>
      <c r="H1620" s="46" t="str">
        <f aca="false">IF($A1620="","",IF(OR(NOT(ISNUMBER(E1620)),NOT(ISNUMBER(F1620))),"",MAX(0,E1620)*F1620))</f>
        <v/>
      </c>
      <c r="I1620" s="46" t="str">
        <f aca="false">IF($A1620="","",SUMIF($A$2:$A$5001,$A1620,$H$2:$H$5001))</f>
        <v/>
      </c>
      <c r="J1620" s="47" t="n">
        <f aca="false">IF($A1620="",0,IF(COUNTIF($A$2:A1620,$A1620)=1,1,0))</f>
        <v>0</v>
      </c>
      <c r="K1620" s="47" t="n">
        <f aca="false">IF(J1620=1,N(I1620)+ROW()/10000000,0)</f>
        <v>0</v>
      </c>
      <c r="L1620" s="47" t="str">
        <f aca="false">IF(AND(J1620=1,N(I1620)&gt;0),SUMIF($K$2:$K$5001,"&gt;="&amp;K1620,$I$2:$I$5001)/MAX(1,SUM($H$2:$H$5001)),"")</f>
        <v/>
      </c>
      <c r="M1620" s="47" t="str">
        <f aca="false">IF($A1620="","",INDEX($L$2:$L$5001,MATCH($A1620,$A$2:$A$5001,0)))</f>
        <v/>
      </c>
      <c r="N1620" s="48" t="str">
        <f aca="false">IF($A1620="","",IF(N(M1620)=0,"–",IF(M1620&lt;=Start!$D$20,"A",IF(M1620&lt;=Start!$D$21,"B","C"))))</f>
        <v/>
      </c>
      <c r="O1620" s="48" t="str">
        <f aca="false">IF($A1620="","",IF(NOT(ISNUMBER(F1620)),"Wert fehlt; ",IF(F1620&lt;=0,"Wert ist 0; ",""))&amp;IF(NOT(ISNUMBER(E1620)),"Bestand fehlt; ",IF(E1620&lt;0,"Bestand negativ; ",IF(E1620=0,"Nullbestand; ","")))&amp;IF(D1620="","Warengruppe fehlt; ","")&amp;IF(B1620="","Bezeichnung fehlt; ","")&amp;IF(COUNTIFS($A$2:$A$5001,$A1620,$C$2:$C$5001,C1620)&gt;1,"Artikel doppelt im selben Lager; ",""))</f>
        <v/>
      </c>
      <c r="P1620" s="47" t="n">
        <f aca="false">IF(OR($A1620="",D1620=""),0,IF(COUNTIF($D$2:D1620,D1620)=1,SUMIF($D$2:$D$5001,D1620,$H$2:$H$5001)+ROW()/10000000,0))</f>
        <v>0</v>
      </c>
      <c r="Q1620" s="47" t="n">
        <f aca="false">IF(OR($A1620="",C1620=""),0,IF(COUNTIF($C$2:C1620,C1620)=1,SUMIF($C$2:$C$5001,C1620,$H$2:$H$5001)+ROW()/10000000,0))</f>
        <v>0</v>
      </c>
    </row>
    <row r="1621" customFormat="false" ht="15" hidden="false" customHeight="false" outlineLevel="0" collapsed="false">
      <c r="A1621" s="43"/>
      <c r="B1621" s="44"/>
      <c r="C1621" s="44"/>
      <c r="D1621" s="44"/>
      <c r="E1621" s="44"/>
      <c r="F1621" s="44"/>
      <c r="G1621" s="44"/>
      <c r="H1621" s="46" t="str">
        <f aca="false">IF($A1621="","",IF(OR(NOT(ISNUMBER(E1621)),NOT(ISNUMBER(F1621))),"",MAX(0,E1621)*F1621))</f>
        <v/>
      </c>
      <c r="I1621" s="46" t="str">
        <f aca="false">IF($A1621="","",SUMIF($A$2:$A$5001,$A1621,$H$2:$H$5001))</f>
        <v/>
      </c>
      <c r="J1621" s="47" t="n">
        <f aca="false">IF($A1621="",0,IF(COUNTIF($A$2:A1621,$A1621)=1,1,0))</f>
        <v>0</v>
      </c>
      <c r="K1621" s="47" t="n">
        <f aca="false">IF(J1621=1,N(I1621)+ROW()/10000000,0)</f>
        <v>0</v>
      </c>
      <c r="L1621" s="47" t="str">
        <f aca="false">IF(AND(J1621=1,N(I1621)&gt;0),SUMIF($K$2:$K$5001,"&gt;="&amp;K1621,$I$2:$I$5001)/MAX(1,SUM($H$2:$H$5001)),"")</f>
        <v/>
      </c>
      <c r="M1621" s="47" t="str">
        <f aca="false">IF($A1621="","",INDEX($L$2:$L$5001,MATCH($A1621,$A$2:$A$5001,0)))</f>
        <v/>
      </c>
      <c r="N1621" s="48" t="str">
        <f aca="false">IF($A1621="","",IF(N(M1621)=0,"–",IF(M1621&lt;=Start!$D$20,"A",IF(M1621&lt;=Start!$D$21,"B","C"))))</f>
        <v/>
      </c>
      <c r="O1621" s="48" t="str">
        <f aca="false">IF($A1621="","",IF(NOT(ISNUMBER(F1621)),"Wert fehlt; ",IF(F1621&lt;=0,"Wert ist 0; ",""))&amp;IF(NOT(ISNUMBER(E1621)),"Bestand fehlt; ",IF(E1621&lt;0,"Bestand negativ; ",IF(E1621=0,"Nullbestand; ","")))&amp;IF(D1621="","Warengruppe fehlt; ","")&amp;IF(B1621="","Bezeichnung fehlt; ","")&amp;IF(COUNTIFS($A$2:$A$5001,$A1621,$C$2:$C$5001,C1621)&gt;1,"Artikel doppelt im selben Lager; ",""))</f>
        <v/>
      </c>
      <c r="P1621" s="47" t="n">
        <f aca="false">IF(OR($A1621="",D1621=""),0,IF(COUNTIF($D$2:D1621,D1621)=1,SUMIF($D$2:$D$5001,D1621,$H$2:$H$5001)+ROW()/10000000,0))</f>
        <v>0</v>
      </c>
      <c r="Q1621" s="47" t="n">
        <f aca="false">IF(OR($A1621="",C1621=""),0,IF(COUNTIF($C$2:C1621,C1621)=1,SUMIF($C$2:$C$5001,C1621,$H$2:$H$5001)+ROW()/10000000,0))</f>
        <v>0</v>
      </c>
    </row>
    <row r="1622" customFormat="false" ht="15" hidden="false" customHeight="false" outlineLevel="0" collapsed="false">
      <c r="A1622" s="43"/>
      <c r="B1622" s="44"/>
      <c r="C1622" s="44"/>
      <c r="D1622" s="44"/>
      <c r="E1622" s="44"/>
      <c r="F1622" s="44"/>
      <c r="G1622" s="44"/>
      <c r="H1622" s="46" t="str">
        <f aca="false">IF($A1622="","",IF(OR(NOT(ISNUMBER(E1622)),NOT(ISNUMBER(F1622))),"",MAX(0,E1622)*F1622))</f>
        <v/>
      </c>
      <c r="I1622" s="46" t="str">
        <f aca="false">IF($A1622="","",SUMIF($A$2:$A$5001,$A1622,$H$2:$H$5001))</f>
        <v/>
      </c>
      <c r="J1622" s="47" t="n">
        <f aca="false">IF($A1622="",0,IF(COUNTIF($A$2:A1622,$A1622)=1,1,0))</f>
        <v>0</v>
      </c>
      <c r="K1622" s="47" t="n">
        <f aca="false">IF(J1622=1,N(I1622)+ROW()/10000000,0)</f>
        <v>0</v>
      </c>
      <c r="L1622" s="47" t="str">
        <f aca="false">IF(AND(J1622=1,N(I1622)&gt;0),SUMIF($K$2:$K$5001,"&gt;="&amp;K1622,$I$2:$I$5001)/MAX(1,SUM($H$2:$H$5001)),"")</f>
        <v/>
      </c>
      <c r="M1622" s="47" t="str">
        <f aca="false">IF($A1622="","",INDEX($L$2:$L$5001,MATCH($A1622,$A$2:$A$5001,0)))</f>
        <v/>
      </c>
      <c r="N1622" s="48" t="str">
        <f aca="false">IF($A1622="","",IF(N(M1622)=0,"–",IF(M1622&lt;=Start!$D$20,"A",IF(M1622&lt;=Start!$D$21,"B","C"))))</f>
        <v/>
      </c>
      <c r="O1622" s="48" t="str">
        <f aca="false">IF($A1622="","",IF(NOT(ISNUMBER(F1622)),"Wert fehlt; ",IF(F1622&lt;=0,"Wert ist 0; ",""))&amp;IF(NOT(ISNUMBER(E1622)),"Bestand fehlt; ",IF(E1622&lt;0,"Bestand negativ; ",IF(E1622=0,"Nullbestand; ","")))&amp;IF(D1622="","Warengruppe fehlt; ","")&amp;IF(B1622="","Bezeichnung fehlt; ","")&amp;IF(COUNTIFS($A$2:$A$5001,$A1622,$C$2:$C$5001,C1622)&gt;1,"Artikel doppelt im selben Lager; ",""))</f>
        <v/>
      </c>
      <c r="P1622" s="47" t="n">
        <f aca="false">IF(OR($A1622="",D1622=""),0,IF(COUNTIF($D$2:D1622,D1622)=1,SUMIF($D$2:$D$5001,D1622,$H$2:$H$5001)+ROW()/10000000,0))</f>
        <v>0</v>
      </c>
      <c r="Q1622" s="47" t="n">
        <f aca="false">IF(OR($A1622="",C1622=""),0,IF(COUNTIF($C$2:C1622,C1622)=1,SUMIF($C$2:$C$5001,C1622,$H$2:$H$5001)+ROW()/10000000,0))</f>
        <v>0</v>
      </c>
    </row>
    <row r="1623" customFormat="false" ht="15" hidden="false" customHeight="false" outlineLevel="0" collapsed="false">
      <c r="A1623" s="43"/>
      <c r="B1623" s="44"/>
      <c r="C1623" s="44"/>
      <c r="D1623" s="44"/>
      <c r="E1623" s="44"/>
      <c r="F1623" s="44"/>
      <c r="G1623" s="44"/>
      <c r="H1623" s="46" t="str">
        <f aca="false">IF($A1623="","",IF(OR(NOT(ISNUMBER(E1623)),NOT(ISNUMBER(F1623))),"",MAX(0,E1623)*F1623))</f>
        <v/>
      </c>
      <c r="I1623" s="46" t="str">
        <f aca="false">IF($A1623="","",SUMIF($A$2:$A$5001,$A1623,$H$2:$H$5001))</f>
        <v/>
      </c>
      <c r="J1623" s="47" t="n">
        <f aca="false">IF($A1623="",0,IF(COUNTIF($A$2:A1623,$A1623)=1,1,0))</f>
        <v>0</v>
      </c>
      <c r="K1623" s="47" t="n">
        <f aca="false">IF(J1623=1,N(I1623)+ROW()/10000000,0)</f>
        <v>0</v>
      </c>
      <c r="L1623" s="47" t="str">
        <f aca="false">IF(AND(J1623=1,N(I1623)&gt;0),SUMIF($K$2:$K$5001,"&gt;="&amp;K1623,$I$2:$I$5001)/MAX(1,SUM($H$2:$H$5001)),"")</f>
        <v/>
      </c>
      <c r="M1623" s="47" t="str">
        <f aca="false">IF($A1623="","",INDEX($L$2:$L$5001,MATCH($A1623,$A$2:$A$5001,0)))</f>
        <v/>
      </c>
      <c r="N1623" s="48" t="str">
        <f aca="false">IF($A1623="","",IF(N(M1623)=0,"–",IF(M1623&lt;=Start!$D$20,"A",IF(M1623&lt;=Start!$D$21,"B","C"))))</f>
        <v/>
      </c>
      <c r="O1623" s="48" t="str">
        <f aca="false">IF($A1623="","",IF(NOT(ISNUMBER(F1623)),"Wert fehlt; ",IF(F1623&lt;=0,"Wert ist 0; ",""))&amp;IF(NOT(ISNUMBER(E1623)),"Bestand fehlt; ",IF(E1623&lt;0,"Bestand negativ; ",IF(E1623=0,"Nullbestand; ","")))&amp;IF(D1623="","Warengruppe fehlt; ","")&amp;IF(B1623="","Bezeichnung fehlt; ","")&amp;IF(COUNTIFS($A$2:$A$5001,$A1623,$C$2:$C$5001,C1623)&gt;1,"Artikel doppelt im selben Lager; ",""))</f>
        <v/>
      </c>
      <c r="P1623" s="47" t="n">
        <f aca="false">IF(OR($A1623="",D1623=""),0,IF(COUNTIF($D$2:D1623,D1623)=1,SUMIF($D$2:$D$5001,D1623,$H$2:$H$5001)+ROW()/10000000,0))</f>
        <v>0</v>
      </c>
      <c r="Q1623" s="47" t="n">
        <f aca="false">IF(OR($A1623="",C1623=""),0,IF(COUNTIF($C$2:C1623,C1623)=1,SUMIF($C$2:$C$5001,C1623,$H$2:$H$5001)+ROW()/10000000,0))</f>
        <v>0</v>
      </c>
    </row>
    <row r="1624" customFormat="false" ht="15" hidden="false" customHeight="false" outlineLevel="0" collapsed="false">
      <c r="A1624" s="43"/>
      <c r="B1624" s="44"/>
      <c r="C1624" s="44"/>
      <c r="D1624" s="44"/>
      <c r="E1624" s="44"/>
      <c r="F1624" s="44"/>
      <c r="G1624" s="44"/>
      <c r="H1624" s="46" t="str">
        <f aca="false">IF($A1624="","",IF(OR(NOT(ISNUMBER(E1624)),NOT(ISNUMBER(F1624))),"",MAX(0,E1624)*F1624))</f>
        <v/>
      </c>
      <c r="I1624" s="46" t="str">
        <f aca="false">IF($A1624="","",SUMIF($A$2:$A$5001,$A1624,$H$2:$H$5001))</f>
        <v/>
      </c>
      <c r="J1624" s="47" t="n">
        <f aca="false">IF($A1624="",0,IF(COUNTIF($A$2:A1624,$A1624)=1,1,0))</f>
        <v>0</v>
      </c>
      <c r="K1624" s="47" t="n">
        <f aca="false">IF(J1624=1,N(I1624)+ROW()/10000000,0)</f>
        <v>0</v>
      </c>
      <c r="L1624" s="47" t="str">
        <f aca="false">IF(AND(J1624=1,N(I1624)&gt;0),SUMIF($K$2:$K$5001,"&gt;="&amp;K1624,$I$2:$I$5001)/MAX(1,SUM($H$2:$H$5001)),"")</f>
        <v/>
      </c>
      <c r="M1624" s="47" t="str">
        <f aca="false">IF($A1624="","",INDEX($L$2:$L$5001,MATCH($A1624,$A$2:$A$5001,0)))</f>
        <v/>
      </c>
      <c r="N1624" s="48" t="str">
        <f aca="false">IF($A1624="","",IF(N(M1624)=0,"–",IF(M1624&lt;=Start!$D$20,"A",IF(M1624&lt;=Start!$D$21,"B","C"))))</f>
        <v/>
      </c>
      <c r="O1624" s="48" t="str">
        <f aca="false">IF($A1624="","",IF(NOT(ISNUMBER(F1624)),"Wert fehlt; ",IF(F1624&lt;=0,"Wert ist 0; ",""))&amp;IF(NOT(ISNUMBER(E1624)),"Bestand fehlt; ",IF(E1624&lt;0,"Bestand negativ; ",IF(E1624=0,"Nullbestand; ","")))&amp;IF(D1624="","Warengruppe fehlt; ","")&amp;IF(B1624="","Bezeichnung fehlt; ","")&amp;IF(COUNTIFS($A$2:$A$5001,$A1624,$C$2:$C$5001,C1624)&gt;1,"Artikel doppelt im selben Lager; ",""))</f>
        <v/>
      </c>
      <c r="P1624" s="47" t="n">
        <f aca="false">IF(OR($A1624="",D1624=""),0,IF(COUNTIF($D$2:D1624,D1624)=1,SUMIF($D$2:$D$5001,D1624,$H$2:$H$5001)+ROW()/10000000,0))</f>
        <v>0</v>
      </c>
      <c r="Q1624" s="47" t="n">
        <f aca="false">IF(OR($A1624="",C1624=""),0,IF(COUNTIF($C$2:C1624,C1624)=1,SUMIF($C$2:$C$5001,C1624,$H$2:$H$5001)+ROW()/10000000,0))</f>
        <v>0</v>
      </c>
    </row>
    <row r="1625" customFormat="false" ht="15" hidden="false" customHeight="false" outlineLevel="0" collapsed="false">
      <c r="A1625" s="43"/>
      <c r="B1625" s="44"/>
      <c r="C1625" s="44"/>
      <c r="D1625" s="44"/>
      <c r="E1625" s="44"/>
      <c r="F1625" s="44"/>
      <c r="G1625" s="44"/>
      <c r="H1625" s="46" t="str">
        <f aca="false">IF($A1625="","",IF(OR(NOT(ISNUMBER(E1625)),NOT(ISNUMBER(F1625))),"",MAX(0,E1625)*F1625))</f>
        <v/>
      </c>
      <c r="I1625" s="46" t="str">
        <f aca="false">IF($A1625="","",SUMIF($A$2:$A$5001,$A1625,$H$2:$H$5001))</f>
        <v/>
      </c>
      <c r="J1625" s="47" t="n">
        <f aca="false">IF($A1625="",0,IF(COUNTIF($A$2:A1625,$A1625)=1,1,0))</f>
        <v>0</v>
      </c>
      <c r="K1625" s="47" t="n">
        <f aca="false">IF(J1625=1,N(I1625)+ROW()/10000000,0)</f>
        <v>0</v>
      </c>
      <c r="L1625" s="47" t="str">
        <f aca="false">IF(AND(J1625=1,N(I1625)&gt;0),SUMIF($K$2:$K$5001,"&gt;="&amp;K1625,$I$2:$I$5001)/MAX(1,SUM($H$2:$H$5001)),"")</f>
        <v/>
      </c>
      <c r="M1625" s="47" t="str">
        <f aca="false">IF($A1625="","",INDEX($L$2:$L$5001,MATCH($A1625,$A$2:$A$5001,0)))</f>
        <v/>
      </c>
      <c r="N1625" s="48" t="str">
        <f aca="false">IF($A1625="","",IF(N(M1625)=0,"–",IF(M1625&lt;=Start!$D$20,"A",IF(M1625&lt;=Start!$D$21,"B","C"))))</f>
        <v/>
      </c>
      <c r="O1625" s="48" t="str">
        <f aca="false">IF($A1625="","",IF(NOT(ISNUMBER(F1625)),"Wert fehlt; ",IF(F1625&lt;=0,"Wert ist 0; ",""))&amp;IF(NOT(ISNUMBER(E1625)),"Bestand fehlt; ",IF(E1625&lt;0,"Bestand negativ; ",IF(E1625=0,"Nullbestand; ","")))&amp;IF(D1625="","Warengruppe fehlt; ","")&amp;IF(B1625="","Bezeichnung fehlt; ","")&amp;IF(COUNTIFS($A$2:$A$5001,$A1625,$C$2:$C$5001,C1625)&gt;1,"Artikel doppelt im selben Lager; ",""))</f>
        <v/>
      </c>
      <c r="P1625" s="47" t="n">
        <f aca="false">IF(OR($A1625="",D1625=""),0,IF(COUNTIF($D$2:D1625,D1625)=1,SUMIF($D$2:$D$5001,D1625,$H$2:$H$5001)+ROW()/10000000,0))</f>
        <v>0</v>
      </c>
      <c r="Q1625" s="47" t="n">
        <f aca="false">IF(OR($A1625="",C1625=""),0,IF(COUNTIF($C$2:C1625,C1625)=1,SUMIF($C$2:$C$5001,C1625,$H$2:$H$5001)+ROW()/10000000,0))</f>
        <v>0</v>
      </c>
    </row>
    <row r="1626" customFormat="false" ht="15" hidden="false" customHeight="false" outlineLevel="0" collapsed="false">
      <c r="A1626" s="43"/>
      <c r="B1626" s="44"/>
      <c r="C1626" s="44"/>
      <c r="D1626" s="44"/>
      <c r="E1626" s="44"/>
      <c r="F1626" s="44"/>
      <c r="G1626" s="44"/>
      <c r="H1626" s="46" t="str">
        <f aca="false">IF($A1626="","",IF(OR(NOT(ISNUMBER(E1626)),NOT(ISNUMBER(F1626))),"",MAX(0,E1626)*F1626))</f>
        <v/>
      </c>
      <c r="I1626" s="46" t="str">
        <f aca="false">IF($A1626="","",SUMIF($A$2:$A$5001,$A1626,$H$2:$H$5001))</f>
        <v/>
      </c>
      <c r="J1626" s="47" t="n">
        <f aca="false">IF($A1626="",0,IF(COUNTIF($A$2:A1626,$A1626)=1,1,0))</f>
        <v>0</v>
      </c>
      <c r="K1626" s="47" t="n">
        <f aca="false">IF(J1626=1,N(I1626)+ROW()/10000000,0)</f>
        <v>0</v>
      </c>
      <c r="L1626" s="47" t="str">
        <f aca="false">IF(AND(J1626=1,N(I1626)&gt;0),SUMIF($K$2:$K$5001,"&gt;="&amp;K1626,$I$2:$I$5001)/MAX(1,SUM($H$2:$H$5001)),"")</f>
        <v/>
      </c>
      <c r="M1626" s="47" t="str">
        <f aca="false">IF($A1626="","",INDEX($L$2:$L$5001,MATCH($A1626,$A$2:$A$5001,0)))</f>
        <v/>
      </c>
      <c r="N1626" s="48" t="str">
        <f aca="false">IF($A1626="","",IF(N(M1626)=0,"–",IF(M1626&lt;=Start!$D$20,"A",IF(M1626&lt;=Start!$D$21,"B","C"))))</f>
        <v/>
      </c>
      <c r="O1626" s="48" t="str">
        <f aca="false">IF($A1626="","",IF(NOT(ISNUMBER(F1626)),"Wert fehlt; ",IF(F1626&lt;=0,"Wert ist 0; ",""))&amp;IF(NOT(ISNUMBER(E1626)),"Bestand fehlt; ",IF(E1626&lt;0,"Bestand negativ; ",IF(E1626=0,"Nullbestand; ","")))&amp;IF(D1626="","Warengruppe fehlt; ","")&amp;IF(B1626="","Bezeichnung fehlt; ","")&amp;IF(COUNTIFS($A$2:$A$5001,$A1626,$C$2:$C$5001,C1626)&gt;1,"Artikel doppelt im selben Lager; ",""))</f>
        <v/>
      </c>
      <c r="P1626" s="47" t="n">
        <f aca="false">IF(OR($A1626="",D1626=""),0,IF(COUNTIF($D$2:D1626,D1626)=1,SUMIF($D$2:$D$5001,D1626,$H$2:$H$5001)+ROW()/10000000,0))</f>
        <v>0</v>
      </c>
      <c r="Q1626" s="47" t="n">
        <f aca="false">IF(OR($A1626="",C1626=""),0,IF(COUNTIF($C$2:C1626,C1626)=1,SUMIF($C$2:$C$5001,C1626,$H$2:$H$5001)+ROW()/10000000,0))</f>
        <v>0</v>
      </c>
    </row>
    <row r="1627" customFormat="false" ht="15" hidden="false" customHeight="false" outlineLevel="0" collapsed="false">
      <c r="A1627" s="43"/>
      <c r="B1627" s="44"/>
      <c r="C1627" s="44"/>
      <c r="D1627" s="44"/>
      <c r="E1627" s="44"/>
      <c r="F1627" s="44"/>
      <c r="G1627" s="44"/>
      <c r="H1627" s="46" t="str">
        <f aca="false">IF($A1627="","",IF(OR(NOT(ISNUMBER(E1627)),NOT(ISNUMBER(F1627))),"",MAX(0,E1627)*F1627))</f>
        <v/>
      </c>
      <c r="I1627" s="46" t="str">
        <f aca="false">IF($A1627="","",SUMIF($A$2:$A$5001,$A1627,$H$2:$H$5001))</f>
        <v/>
      </c>
      <c r="J1627" s="47" t="n">
        <f aca="false">IF($A1627="",0,IF(COUNTIF($A$2:A1627,$A1627)=1,1,0))</f>
        <v>0</v>
      </c>
      <c r="K1627" s="47" t="n">
        <f aca="false">IF(J1627=1,N(I1627)+ROW()/10000000,0)</f>
        <v>0</v>
      </c>
      <c r="L1627" s="47" t="str">
        <f aca="false">IF(AND(J1627=1,N(I1627)&gt;0),SUMIF($K$2:$K$5001,"&gt;="&amp;K1627,$I$2:$I$5001)/MAX(1,SUM($H$2:$H$5001)),"")</f>
        <v/>
      </c>
      <c r="M1627" s="47" t="str">
        <f aca="false">IF($A1627="","",INDEX($L$2:$L$5001,MATCH($A1627,$A$2:$A$5001,0)))</f>
        <v/>
      </c>
      <c r="N1627" s="48" t="str">
        <f aca="false">IF($A1627="","",IF(N(M1627)=0,"–",IF(M1627&lt;=Start!$D$20,"A",IF(M1627&lt;=Start!$D$21,"B","C"))))</f>
        <v/>
      </c>
      <c r="O1627" s="48" t="str">
        <f aca="false">IF($A1627="","",IF(NOT(ISNUMBER(F1627)),"Wert fehlt; ",IF(F1627&lt;=0,"Wert ist 0; ",""))&amp;IF(NOT(ISNUMBER(E1627)),"Bestand fehlt; ",IF(E1627&lt;0,"Bestand negativ; ",IF(E1627=0,"Nullbestand; ","")))&amp;IF(D1627="","Warengruppe fehlt; ","")&amp;IF(B1627="","Bezeichnung fehlt; ","")&amp;IF(COUNTIFS($A$2:$A$5001,$A1627,$C$2:$C$5001,C1627)&gt;1,"Artikel doppelt im selben Lager; ",""))</f>
        <v/>
      </c>
      <c r="P1627" s="47" t="n">
        <f aca="false">IF(OR($A1627="",D1627=""),0,IF(COUNTIF($D$2:D1627,D1627)=1,SUMIF($D$2:$D$5001,D1627,$H$2:$H$5001)+ROW()/10000000,0))</f>
        <v>0</v>
      </c>
      <c r="Q1627" s="47" t="n">
        <f aca="false">IF(OR($A1627="",C1627=""),0,IF(COUNTIF($C$2:C1627,C1627)=1,SUMIF($C$2:$C$5001,C1627,$H$2:$H$5001)+ROW()/10000000,0))</f>
        <v>0</v>
      </c>
    </row>
    <row r="1628" customFormat="false" ht="15" hidden="false" customHeight="false" outlineLevel="0" collapsed="false">
      <c r="A1628" s="43"/>
      <c r="B1628" s="44"/>
      <c r="C1628" s="44"/>
      <c r="D1628" s="44"/>
      <c r="E1628" s="44"/>
      <c r="F1628" s="44"/>
      <c r="G1628" s="44"/>
      <c r="H1628" s="46" t="str">
        <f aca="false">IF($A1628="","",IF(OR(NOT(ISNUMBER(E1628)),NOT(ISNUMBER(F1628))),"",MAX(0,E1628)*F1628))</f>
        <v/>
      </c>
      <c r="I1628" s="46" t="str">
        <f aca="false">IF($A1628="","",SUMIF($A$2:$A$5001,$A1628,$H$2:$H$5001))</f>
        <v/>
      </c>
      <c r="J1628" s="47" t="n">
        <f aca="false">IF($A1628="",0,IF(COUNTIF($A$2:A1628,$A1628)=1,1,0))</f>
        <v>0</v>
      </c>
      <c r="K1628" s="47" t="n">
        <f aca="false">IF(J1628=1,N(I1628)+ROW()/10000000,0)</f>
        <v>0</v>
      </c>
      <c r="L1628" s="47" t="str">
        <f aca="false">IF(AND(J1628=1,N(I1628)&gt;0),SUMIF($K$2:$K$5001,"&gt;="&amp;K1628,$I$2:$I$5001)/MAX(1,SUM($H$2:$H$5001)),"")</f>
        <v/>
      </c>
      <c r="M1628" s="47" t="str">
        <f aca="false">IF($A1628="","",INDEX($L$2:$L$5001,MATCH($A1628,$A$2:$A$5001,0)))</f>
        <v/>
      </c>
      <c r="N1628" s="48" t="str">
        <f aca="false">IF($A1628="","",IF(N(M1628)=0,"–",IF(M1628&lt;=Start!$D$20,"A",IF(M1628&lt;=Start!$D$21,"B","C"))))</f>
        <v/>
      </c>
      <c r="O1628" s="48" t="str">
        <f aca="false">IF($A1628="","",IF(NOT(ISNUMBER(F1628)),"Wert fehlt; ",IF(F1628&lt;=0,"Wert ist 0; ",""))&amp;IF(NOT(ISNUMBER(E1628)),"Bestand fehlt; ",IF(E1628&lt;0,"Bestand negativ; ",IF(E1628=0,"Nullbestand; ","")))&amp;IF(D1628="","Warengruppe fehlt; ","")&amp;IF(B1628="","Bezeichnung fehlt; ","")&amp;IF(COUNTIFS($A$2:$A$5001,$A1628,$C$2:$C$5001,C1628)&gt;1,"Artikel doppelt im selben Lager; ",""))</f>
        <v/>
      </c>
      <c r="P1628" s="47" t="n">
        <f aca="false">IF(OR($A1628="",D1628=""),0,IF(COUNTIF($D$2:D1628,D1628)=1,SUMIF($D$2:$D$5001,D1628,$H$2:$H$5001)+ROW()/10000000,0))</f>
        <v>0</v>
      </c>
      <c r="Q1628" s="47" t="n">
        <f aca="false">IF(OR($A1628="",C1628=""),0,IF(COUNTIF($C$2:C1628,C1628)=1,SUMIF($C$2:$C$5001,C1628,$H$2:$H$5001)+ROW()/10000000,0))</f>
        <v>0</v>
      </c>
    </row>
    <row r="1629" customFormat="false" ht="15" hidden="false" customHeight="false" outlineLevel="0" collapsed="false">
      <c r="A1629" s="43"/>
      <c r="B1629" s="44"/>
      <c r="C1629" s="44"/>
      <c r="D1629" s="44"/>
      <c r="E1629" s="44"/>
      <c r="F1629" s="44"/>
      <c r="G1629" s="44"/>
      <c r="H1629" s="46" t="str">
        <f aca="false">IF($A1629="","",IF(OR(NOT(ISNUMBER(E1629)),NOT(ISNUMBER(F1629))),"",MAX(0,E1629)*F1629))</f>
        <v/>
      </c>
      <c r="I1629" s="46" t="str">
        <f aca="false">IF($A1629="","",SUMIF($A$2:$A$5001,$A1629,$H$2:$H$5001))</f>
        <v/>
      </c>
      <c r="J1629" s="47" t="n">
        <f aca="false">IF($A1629="",0,IF(COUNTIF($A$2:A1629,$A1629)=1,1,0))</f>
        <v>0</v>
      </c>
      <c r="K1629" s="47" t="n">
        <f aca="false">IF(J1629=1,N(I1629)+ROW()/10000000,0)</f>
        <v>0</v>
      </c>
      <c r="L1629" s="47" t="str">
        <f aca="false">IF(AND(J1629=1,N(I1629)&gt;0),SUMIF($K$2:$K$5001,"&gt;="&amp;K1629,$I$2:$I$5001)/MAX(1,SUM($H$2:$H$5001)),"")</f>
        <v/>
      </c>
      <c r="M1629" s="47" t="str">
        <f aca="false">IF($A1629="","",INDEX($L$2:$L$5001,MATCH($A1629,$A$2:$A$5001,0)))</f>
        <v/>
      </c>
      <c r="N1629" s="48" t="str">
        <f aca="false">IF($A1629="","",IF(N(M1629)=0,"–",IF(M1629&lt;=Start!$D$20,"A",IF(M1629&lt;=Start!$D$21,"B","C"))))</f>
        <v/>
      </c>
      <c r="O1629" s="48" t="str">
        <f aca="false">IF($A1629="","",IF(NOT(ISNUMBER(F1629)),"Wert fehlt; ",IF(F1629&lt;=0,"Wert ist 0; ",""))&amp;IF(NOT(ISNUMBER(E1629)),"Bestand fehlt; ",IF(E1629&lt;0,"Bestand negativ; ",IF(E1629=0,"Nullbestand; ","")))&amp;IF(D1629="","Warengruppe fehlt; ","")&amp;IF(B1629="","Bezeichnung fehlt; ","")&amp;IF(COUNTIFS($A$2:$A$5001,$A1629,$C$2:$C$5001,C1629)&gt;1,"Artikel doppelt im selben Lager; ",""))</f>
        <v/>
      </c>
      <c r="P1629" s="47" t="n">
        <f aca="false">IF(OR($A1629="",D1629=""),0,IF(COUNTIF($D$2:D1629,D1629)=1,SUMIF($D$2:$D$5001,D1629,$H$2:$H$5001)+ROW()/10000000,0))</f>
        <v>0</v>
      </c>
      <c r="Q1629" s="47" t="n">
        <f aca="false">IF(OR($A1629="",C1629=""),0,IF(COUNTIF($C$2:C1629,C1629)=1,SUMIF($C$2:$C$5001,C1629,$H$2:$H$5001)+ROW()/10000000,0))</f>
        <v>0</v>
      </c>
    </row>
    <row r="1630" customFormat="false" ht="15" hidden="false" customHeight="false" outlineLevel="0" collapsed="false">
      <c r="A1630" s="43"/>
      <c r="B1630" s="44"/>
      <c r="C1630" s="44"/>
      <c r="D1630" s="44"/>
      <c r="E1630" s="44"/>
      <c r="F1630" s="44"/>
      <c r="G1630" s="44"/>
      <c r="H1630" s="46" t="str">
        <f aca="false">IF($A1630="","",IF(OR(NOT(ISNUMBER(E1630)),NOT(ISNUMBER(F1630))),"",MAX(0,E1630)*F1630))</f>
        <v/>
      </c>
      <c r="I1630" s="46" t="str">
        <f aca="false">IF($A1630="","",SUMIF($A$2:$A$5001,$A1630,$H$2:$H$5001))</f>
        <v/>
      </c>
      <c r="J1630" s="47" t="n">
        <f aca="false">IF($A1630="",0,IF(COUNTIF($A$2:A1630,$A1630)=1,1,0))</f>
        <v>0</v>
      </c>
      <c r="K1630" s="47" t="n">
        <f aca="false">IF(J1630=1,N(I1630)+ROW()/10000000,0)</f>
        <v>0</v>
      </c>
      <c r="L1630" s="47" t="str">
        <f aca="false">IF(AND(J1630=1,N(I1630)&gt;0),SUMIF($K$2:$K$5001,"&gt;="&amp;K1630,$I$2:$I$5001)/MAX(1,SUM($H$2:$H$5001)),"")</f>
        <v/>
      </c>
      <c r="M1630" s="47" t="str">
        <f aca="false">IF($A1630="","",INDEX($L$2:$L$5001,MATCH($A1630,$A$2:$A$5001,0)))</f>
        <v/>
      </c>
      <c r="N1630" s="48" t="str">
        <f aca="false">IF($A1630="","",IF(N(M1630)=0,"–",IF(M1630&lt;=Start!$D$20,"A",IF(M1630&lt;=Start!$D$21,"B","C"))))</f>
        <v/>
      </c>
      <c r="O1630" s="48" t="str">
        <f aca="false">IF($A1630="","",IF(NOT(ISNUMBER(F1630)),"Wert fehlt; ",IF(F1630&lt;=0,"Wert ist 0; ",""))&amp;IF(NOT(ISNUMBER(E1630)),"Bestand fehlt; ",IF(E1630&lt;0,"Bestand negativ; ",IF(E1630=0,"Nullbestand; ","")))&amp;IF(D1630="","Warengruppe fehlt; ","")&amp;IF(B1630="","Bezeichnung fehlt; ","")&amp;IF(COUNTIFS($A$2:$A$5001,$A1630,$C$2:$C$5001,C1630)&gt;1,"Artikel doppelt im selben Lager; ",""))</f>
        <v/>
      </c>
      <c r="P1630" s="47" t="n">
        <f aca="false">IF(OR($A1630="",D1630=""),0,IF(COUNTIF($D$2:D1630,D1630)=1,SUMIF($D$2:$D$5001,D1630,$H$2:$H$5001)+ROW()/10000000,0))</f>
        <v>0</v>
      </c>
      <c r="Q1630" s="47" t="n">
        <f aca="false">IF(OR($A1630="",C1630=""),0,IF(COUNTIF($C$2:C1630,C1630)=1,SUMIF($C$2:$C$5001,C1630,$H$2:$H$5001)+ROW()/10000000,0))</f>
        <v>0</v>
      </c>
    </row>
    <row r="1631" customFormat="false" ht="15" hidden="false" customHeight="false" outlineLevel="0" collapsed="false">
      <c r="A1631" s="43"/>
      <c r="B1631" s="44"/>
      <c r="C1631" s="44"/>
      <c r="D1631" s="44"/>
      <c r="E1631" s="44"/>
      <c r="F1631" s="44"/>
      <c r="G1631" s="44"/>
      <c r="H1631" s="46" t="str">
        <f aca="false">IF($A1631="","",IF(OR(NOT(ISNUMBER(E1631)),NOT(ISNUMBER(F1631))),"",MAX(0,E1631)*F1631))</f>
        <v/>
      </c>
      <c r="I1631" s="46" t="str">
        <f aca="false">IF($A1631="","",SUMIF($A$2:$A$5001,$A1631,$H$2:$H$5001))</f>
        <v/>
      </c>
      <c r="J1631" s="47" t="n">
        <f aca="false">IF($A1631="",0,IF(COUNTIF($A$2:A1631,$A1631)=1,1,0))</f>
        <v>0</v>
      </c>
      <c r="K1631" s="47" t="n">
        <f aca="false">IF(J1631=1,N(I1631)+ROW()/10000000,0)</f>
        <v>0</v>
      </c>
      <c r="L1631" s="47" t="str">
        <f aca="false">IF(AND(J1631=1,N(I1631)&gt;0),SUMIF($K$2:$K$5001,"&gt;="&amp;K1631,$I$2:$I$5001)/MAX(1,SUM($H$2:$H$5001)),"")</f>
        <v/>
      </c>
      <c r="M1631" s="47" t="str">
        <f aca="false">IF($A1631="","",INDEX($L$2:$L$5001,MATCH($A1631,$A$2:$A$5001,0)))</f>
        <v/>
      </c>
      <c r="N1631" s="48" t="str">
        <f aca="false">IF($A1631="","",IF(N(M1631)=0,"–",IF(M1631&lt;=Start!$D$20,"A",IF(M1631&lt;=Start!$D$21,"B","C"))))</f>
        <v/>
      </c>
      <c r="O1631" s="48" t="str">
        <f aca="false">IF($A1631="","",IF(NOT(ISNUMBER(F1631)),"Wert fehlt; ",IF(F1631&lt;=0,"Wert ist 0; ",""))&amp;IF(NOT(ISNUMBER(E1631)),"Bestand fehlt; ",IF(E1631&lt;0,"Bestand negativ; ",IF(E1631=0,"Nullbestand; ","")))&amp;IF(D1631="","Warengruppe fehlt; ","")&amp;IF(B1631="","Bezeichnung fehlt; ","")&amp;IF(COUNTIFS($A$2:$A$5001,$A1631,$C$2:$C$5001,C1631)&gt;1,"Artikel doppelt im selben Lager; ",""))</f>
        <v/>
      </c>
      <c r="P1631" s="47" t="n">
        <f aca="false">IF(OR($A1631="",D1631=""),0,IF(COUNTIF($D$2:D1631,D1631)=1,SUMIF($D$2:$D$5001,D1631,$H$2:$H$5001)+ROW()/10000000,0))</f>
        <v>0</v>
      </c>
      <c r="Q1631" s="47" t="n">
        <f aca="false">IF(OR($A1631="",C1631=""),0,IF(COUNTIF($C$2:C1631,C1631)=1,SUMIF($C$2:$C$5001,C1631,$H$2:$H$5001)+ROW()/10000000,0))</f>
        <v>0</v>
      </c>
    </row>
    <row r="1632" customFormat="false" ht="15" hidden="false" customHeight="false" outlineLevel="0" collapsed="false">
      <c r="A1632" s="43"/>
      <c r="B1632" s="44"/>
      <c r="C1632" s="44"/>
      <c r="D1632" s="44"/>
      <c r="E1632" s="44"/>
      <c r="F1632" s="44"/>
      <c r="G1632" s="44"/>
      <c r="H1632" s="46" t="str">
        <f aca="false">IF($A1632="","",IF(OR(NOT(ISNUMBER(E1632)),NOT(ISNUMBER(F1632))),"",MAX(0,E1632)*F1632))</f>
        <v/>
      </c>
      <c r="I1632" s="46" t="str">
        <f aca="false">IF($A1632="","",SUMIF($A$2:$A$5001,$A1632,$H$2:$H$5001))</f>
        <v/>
      </c>
      <c r="J1632" s="47" t="n">
        <f aca="false">IF($A1632="",0,IF(COUNTIF($A$2:A1632,$A1632)=1,1,0))</f>
        <v>0</v>
      </c>
      <c r="K1632" s="47" t="n">
        <f aca="false">IF(J1632=1,N(I1632)+ROW()/10000000,0)</f>
        <v>0</v>
      </c>
      <c r="L1632" s="47" t="str">
        <f aca="false">IF(AND(J1632=1,N(I1632)&gt;0),SUMIF($K$2:$K$5001,"&gt;="&amp;K1632,$I$2:$I$5001)/MAX(1,SUM($H$2:$H$5001)),"")</f>
        <v/>
      </c>
      <c r="M1632" s="47" t="str">
        <f aca="false">IF($A1632="","",INDEX($L$2:$L$5001,MATCH($A1632,$A$2:$A$5001,0)))</f>
        <v/>
      </c>
      <c r="N1632" s="48" t="str">
        <f aca="false">IF($A1632="","",IF(N(M1632)=0,"–",IF(M1632&lt;=Start!$D$20,"A",IF(M1632&lt;=Start!$D$21,"B","C"))))</f>
        <v/>
      </c>
      <c r="O1632" s="48" t="str">
        <f aca="false">IF($A1632="","",IF(NOT(ISNUMBER(F1632)),"Wert fehlt; ",IF(F1632&lt;=0,"Wert ist 0; ",""))&amp;IF(NOT(ISNUMBER(E1632)),"Bestand fehlt; ",IF(E1632&lt;0,"Bestand negativ; ",IF(E1632=0,"Nullbestand; ","")))&amp;IF(D1632="","Warengruppe fehlt; ","")&amp;IF(B1632="","Bezeichnung fehlt; ","")&amp;IF(COUNTIFS($A$2:$A$5001,$A1632,$C$2:$C$5001,C1632)&gt;1,"Artikel doppelt im selben Lager; ",""))</f>
        <v/>
      </c>
      <c r="P1632" s="47" t="n">
        <f aca="false">IF(OR($A1632="",D1632=""),0,IF(COUNTIF($D$2:D1632,D1632)=1,SUMIF($D$2:$D$5001,D1632,$H$2:$H$5001)+ROW()/10000000,0))</f>
        <v>0</v>
      </c>
      <c r="Q1632" s="47" t="n">
        <f aca="false">IF(OR($A1632="",C1632=""),0,IF(COUNTIF($C$2:C1632,C1632)=1,SUMIF($C$2:$C$5001,C1632,$H$2:$H$5001)+ROW()/10000000,0))</f>
        <v>0</v>
      </c>
    </row>
    <row r="1633" customFormat="false" ht="15" hidden="false" customHeight="false" outlineLevel="0" collapsed="false">
      <c r="A1633" s="43"/>
      <c r="B1633" s="44"/>
      <c r="C1633" s="44"/>
      <c r="D1633" s="44"/>
      <c r="E1633" s="44"/>
      <c r="F1633" s="44"/>
      <c r="G1633" s="44"/>
      <c r="H1633" s="46" t="str">
        <f aca="false">IF($A1633="","",IF(OR(NOT(ISNUMBER(E1633)),NOT(ISNUMBER(F1633))),"",MAX(0,E1633)*F1633))</f>
        <v/>
      </c>
      <c r="I1633" s="46" t="str">
        <f aca="false">IF($A1633="","",SUMIF($A$2:$A$5001,$A1633,$H$2:$H$5001))</f>
        <v/>
      </c>
      <c r="J1633" s="47" t="n">
        <f aca="false">IF($A1633="",0,IF(COUNTIF($A$2:A1633,$A1633)=1,1,0))</f>
        <v>0</v>
      </c>
      <c r="K1633" s="47" t="n">
        <f aca="false">IF(J1633=1,N(I1633)+ROW()/10000000,0)</f>
        <v>0</v>
      </c>
      <c r="L1633" s="47" t="str">
        <f aca="false">IF(AND(J1633=1,N(I1633)&gt;0),SUMIF($K$2:$K$5001,"&gt;="&amp;K1633,$I$2:$I$5001)/MAX(1,SUM($H$2:$H$5001)),"")</f>
        <v/>
      </c>
      <c r="M1633" s="47" t="str">
        <f aca="false">IF($A1633="","",INDEX($L$2:$L$5001,MATCH($A1633,$A$2:$A$5001,0)))</f>
        <v/>
      </c>
      <c r="N1633" s="48" t="str">
        <f aca="false">IF($A1633="","",IF(N(M1633)=0,"–",IF(M1633&lt;=Start!$D$20,"A",IF(M1633&lt;=Start!$D$21,"B","C"))))</f>
        <v/>
      </c>
      <c r="O1633" s="48" t="str">
        <f aca="false">IF($A1633="","",IF(NOT(ISNUMBER(F1633)),"Wert fehlt; ",IF(F1633&lt;=0,"Wert ist 0; ",""))&amp;IF(NOT(ISNUMBER(E1633)),"Bestand fehlt; ",IF(E1633&lt;0,"Bestand negativ; ",IF(E1633=0,"Nullbestand; ","")))&amp;IF(D1633="","Warengruppe fehlt; ","")&amp;IF(B1633="","Bezeichnung fehlt; ","")&amp;IF(COUNTIFS($A$2:$A$5001,$A1633,$C$2:$C$5001,C1633)&gt;1,"Artikel doppelt im selben Lager; ",""))</f>
        <v/>
      </c>
      <c r="P1633" s="47" t="n">
        <f aca="false">IF(OR($A1633="",D1633=""),0,IF(COUNTIF($D$2:D1633,D1633)=1,SUMIF($D$2:$D$5001,D1633,$H$2:$H$5001)+ROW()/10000000,0))</f>
        <v>0</v>
      </c>
      <c r="Q1633" s="47" t="n">
        <f aca="false">IF(OR($A1633="",C1633=""),0,IF(COUNTIF($C$2:C1633,C1633)=1,SUMIF($C$2:$C$5001,C1633,$H$2:$H$5001)+ROW()/10000000,0))</f>
        <v>0</v>
      </c>
    </row>
    <row r="1634" customFormat="false" ht="15" hidden="false" customHeight="false" outlineLevel="0" collapsed="false">
      <c r="A1634" s="43"/>
      <c r="B1634" s="44"/>
      <c r="C1634" s="44"/>
      <c r="D1634" s="44"/>
      <c r="E1634" s="44"/>
      <c r="F1634" s="44"/>
      <c r="G1634" s="44"/>
      <c r="H1634" s="46" t="str">
        <f aca="false">IF($A1634="","",IF(OR(NOT(ISNUMBER(E1634)),NOT(ISNUMBER(F1634))),"",MAX(0,E1634)*F1634))</f>
        <v/>
      </c>
      <c r="I1634" s="46" t="str">
        <f aca="false">IF($A1634="","",SUMIF($A$2:$A$5001,$A1634,$H$2:$H$5001))</f>
        <v/>
      </c>
      <c r="J1634" s="47" t="n">
        <f aca="false">IF($A1634="",0,IF(COUNTIF($A$2:A1634,$A1634)=1,1,0))</f>
        <v>0</v>
      </c>
      <c r="K1634" s="47" t="n">
        <f aca="false">IF(J1634=1,N(I1634)+ROW()/10000000,0)</f>
        <v>0</v>
      </c>
      <c r="L1634" s="47" t="str">
        <f aca="false">IF(AND(J1634=1,N(I1634)&gt;0),SUMIF($K$2:$K$5001,"&gt;="&amp;K1634,$I$2:$I$5001)/MAX(1,SUM($H$2:$H$5001)),"")</f>
        <v/>
      </c>
      <c r="M1634" s="47" t="str">
        <f aca="false">IF($A1634="","",INDEX($L$2:$L$5001,MATCH($A1634,$A$2:$A$5001,0)))</f>
        <v/>
      </c>
      <c r="N1634" s="48" t="str">
        <f aca="false">IF($A1634="","",IF(N(M1634)=0,"–",IF(M1634&lt;=Start!$D$20,"A",IF(M1634&lt;=Start!$D$21,"B","C"))))</f>
        <v/>
      </c>
      <c r="O1634" s="48" t="str">
        <f aca="false">IF($A1634="","",IF(NOT(ISNUMBER(F1634)),"Wert fehlt; ",IF(F1634&lt;=0,"Wert ist 0; ",""))&amp;IF(NOT(ISNUMBER(E1634)),"Bestand fehlt; ",IF(E1634&lt;0,"Bestand negativ; ",IF(E1634=0,"Nullbestand; ","")))&amp;IF(D1634="","Warengruppe fehlt; ","")&amp;IF(B1634="","Bezeichnung fehlt; ","")&amp;IF(COUNTIFS($A$2:$A$5001,$A1634,$C$2:$C$5001,C1634)&gt;1,"Artikel doppelt im selben Lager; ",""))</f>
        <v/>
      </c>
      <c r="P1634" s="47" t="n">
        <f aca="false">IF(OR($A1634="",D1634=""),0,IF(COUNTIF($D$2:D1634,D1634)=1,SUMIF($D$2:$D$5001,D1634,$H$2:$H$5001)+ROW()/10000000,0))</f>
        <v>0</v>
      </c>
      <c r="Q1634" s="47" t="n">
        <f aca="false">IF(OR($A1634="",C1634=""),0,IF(COUNTIF($C$2:C1634,C1634)=1,SUMIF($C$2:$C$5001,C1634,$H$2:$H$5001)+ROW()/10000000,0))</f>
        <v>0</v>
      </c>
    </row>
    <row r="1635" customFormat="false" ht="15" hidden="false" customHeight="false" outlineLevel="0" collapsed="false">
      <c r="A1635" s="43"/>
      <c r="B1635" s="44"/>
      <c r="C1635" s="44"/>
      <c r="D1635" s="44"/>
      <c r="E1635" s="44"/>
      <c r="F1635" s="44"/>
      <c r="G1635" s="44"/>
      <c r="H1635" s="46" t="str">
        <f aca="false">IF($A1635="","",IF(OR(NOT(ISNUMBER(E1635)),NOT(ISNUMBER(F1635))),"",MAX(0,E1635)*F1635))</f>
        <v/>
      </c>
      <c r="I1635" s="46" t="str">
        <f aca="false">IF($A1635="","",SUMIF($A$2:$A$5001,$A1635,$H$2:$H$5001))</f>
        <v/>
      </c>
      <c r="J1635" s="47" t="n">
        <f aca="false">IF($A1635="",0,IF(COUNTIF($A$2:A1635,$A1635)=1,1,0))</f>
        <v>0</v>
      </c>
      <c r="K1635" s="47" t="n">
        <f aca="false">IF(J1635=1,N(I1635)+ROW()/10000000,0)</f>
        <v>0</v>
      </c>
      <c r="L1635" s="47" t="str">
        <f aca="false">IF(AND(J1635=1,N(I1635)&gt;0),SUMIF($K$2:$K$5001,"&gt;="&amp;K1635,$I$2:$I$5001)/MAX(1,SUM($H$2:$H$5001)),"")</f>
        <v/>
      </c>
      <c r="M1635" s="47" t="str">
        <f aca="false">IF($A1635="","",INDEX($L$2:$L$5001,MATCH($A1635,$A$2:$A$5001,0)))</f>
        <v/>
      </c>
      <c r="N1635" s="48" t="str">
        <f aca="false">IF($A1635="","",IF(N(M1635)=0,"–",IF(M1635&lt;=Start!$D$20,"A",IF(M1635&lt;=Start!$D$21,"B","C"))))</f>
        <v/>
      </c>
      <c r="O1635" s="48" t="str">
        <f aca="false">IF($A1635="","",IF(NOT(ISNUMBER(F1635)),"Wert fehlt; ",IF(F1635&lt;=0,"Wert ist 0; ",""))&amp;IF(NOT(ISNUMBER(E1635)),"Bestand fehlt; ",IF(E1635&lt;0,"Bestand negativ; ",IF(E1635=0,"Nullbestand; ","")))&amp;IF(D1635="","Warengruppe fehlt; ","")&amp;IF(B1635="","Bezeichnung fehlt; ","")&amp;IF(COUNTIFS($A$2:$A$5001,$A1635,$C$2:$C$5001,C1635)&gt;1,"Artikel doppelt im selben Lager; ",""))</f>
        <v/>
      </c>
      <c r="P1635" s="47" t="n">
        <f aca="false">IF(OR($A1635="",D1635=""),0,IF(COUNTIF($D$2:D1635,D1635)=1,SUMIF($D$2:$D$5001,D1635,$H$2:$H$5001)+ROW()/10000000,0))</f>
        <v>0</v>
      </c>
      <c r="Q1635" s="47" t="n">
        <f aca="false">IF(OR($A1635="",C1635=""),0,IF(COUNTIF($C$2:C1635,C1635)=1,SUMIF($C$2:$C$5001,C1635,$H$2:$H$5001)+ROW()/10000000,0))</f>
        <v>0</v>
      </c>
    </row>
    <row r="1636" customFormat="false" ht="15" hidden="false" customHeight="false" outlineLevel="0" collapsed="false">
      <c r="A1636" s="43"/>
      <c r="B1636" s="44"/>
      <c r="C1636" s="44"/>
      <c r="D1636" s="44"/>
      <c r="E1636" s="44"/>
      <c r="F1636" s="44"/>
      <c r="G1636" s="44"/>
      <c r="H1636" s="46" t="str">
        <f aca="false">IF($A1636="","",IF(OR(NOT(ISNUMBER(E1636)),NOT(ISNUMBER(F1636))),"",MAX(0,E1636)*F1636))</f>
        <v/>
      </c>
      <c r="I1636" s="46" t="str">
        <f aca="false">IF($A1636="","",SUMIF($A$2:$A$5001,$A1636,$H$2:$H$5001))</f>
        <v/>
      </c>
      <c r="J1636" s="47" t="n">
        <f aca="false">IF($A1636="",0,IF(COUNTIF($A$2:A1636,$A1636)=1,1,0))</f>
        <v>0</v>
      </c>
      <c r="K1636" s="47" t="n">
        <f aca="false">IF(J1636=1,N(I1636)+ROW()/10000000,0)</f>
        <v>0</v>
      </c>
      <c r="L1636" s="47" t="str">
        <f aca="false">IF(AND(J1636=1,N(I1636)&gt;0),SUMIF($K$2:$K$5001,"&gt;="&amp;K1636,$I$2:$I$5001)/MAX(1,SUM($H$2:$H$5001)),"")</f>
        <v/>
      </c>
      <c r="M1636" s="47" t="str">
        <f aca="false">IF($A1636="","",INDEX($L$2:$L$5001,MATCH($A1636,$A$2:$A$5001,0)))</f>
        <v/>
      </c>
      <c r="N1636" s="48" t="str">
        <f aca="false">IF($A1636="","",IF(N(M1636)=0,"–",IF(M1636&lt;=Start!$D$20,"A",IF(M1636&lt;=Start!$D$21,"B","C"))))</f>
        <v/>
      </c>
      <c r="O1636" s="48" t="str">
        <f aca="false">IF($A1636="","",IF(NOT(ISNUMBER(F1636)),"Wert fehlt; ",IF(F1636&lt;=0,"Wert ist 0; ",""))&amp;IF(NOT(ISNUMBER(E1636)),"Bestand fehlt; ",IF(E1636&lt;0,"Bestand negativ; ",IF(E1636=0,"Nullbestand; ","")))&amp;IF(D1636="","Warengruppe fehlt; ","")&amp;IF(B1636="","Bezeichnung fehlt; ","")&amp;IF(COUNTIFS($A$2:$A$5001,$A1636,$C$2:$C$5001,C1636)&gt;1,"Artikel doppelt im selben Lager; ",""))</f>
        <v/>
      </c>
      <c r="P1636" s="47" t="n">
        <f aca="false">IF(OR($A1636="",D1636=""),0,IF(COUNTIF($D$2:D1636,D1636)=1,SUMIF($D$2:$D$5001,D1636,$H$2:$H$5001)+ROW()/10000000,0))</f>
        <v>0</v>
      </c>
      <c r="Q1636" s="47" t="n">
        <f aca="false">IF(OR($A1636="",C1636=""),0,IF(COUNTIF($C$2:C1636,C1636)=1,SUMIF($C$2:$C$5001,C1636,$H$2:$H$5001)+ROW()/10000000,0))</f>
        <v>0</v>
      </c>
    </row>
    <row r="1637" customFormat="false" ht="15" hidden="false" customHeight="false" outlineLevel="0" collapsed="false">
      <c r="A1637" s="43"/>
      <c r="B1637" s="44"/>
      <c r="C1637" s="44"/>
      <c r="D1637" s="44"/>
      <c r="E1637" s="44"/>
      <c r="F1637" s="44"/>
      <c r="G1637" s="44"/>
      <c r="H1637" s="46" t="str">
        <f aca="false">IF($A1637="","",IF(OR(NOT(ISNUMBER(E1637)),NOT(ISNUMBER(F1637))),"",MAX(0,E1637)*F1637))</f>
        <v/>
      </c>
      <c r="I1637" s="46" t="str">
        <f aca="false">IF($A1637="","",SUMIF($A$2:$A$5001,$A1637,$H$2:$H$5001))</f>
        <v/>
      </c>
      <c r="J1637" s="47" t="n">
        <f aca="false">IF($A1637="",0,IF(COUNTIF($A$2:A1637,$A1637)=1,1,0))</f>
        <v>0</v>
      </c>
      <c r="K1637" s="47" t="n">
        <f aca="false">IF(J1637=1,N(I1637)+ROW()/10000000,0)</f>
        <v>0</v>
      </c>
      <c r="L1637" s="47" t="str">
        <f aca="false">IF(AND(J1637=1,N(I1637)&gt;0),SUMIF($K$2:$K$5001,"&gt;="&amp;K1637,$I$2:$I$5001)/MAX(1,SUM($H$2:$H$5001)),"")</f>
        <v/>
      </c>
      <c r="M1637" s="47" t="str">
        <f aca="false">IF($A1637="","",INDEX($L$2:$L$5001,MATCH($A1637,$A$2:$A$5001,0)))</f>
        <v/>
      </c>
      <c r="N1637" s="48" t="str">
        <f aca="false">IF($A1637="","",IF(N(M1637)=0,"–",IF(M1637&lt;=Start!$D$20,"A",IF(M1637&lt;=Start!$D$21,"B","C"))))</f>
        <v/>
      </c>
      <c r="O1637" s="48" t="str">
        <f aca="false">IF($A1637="","",IF(NOT(ISNUMBER(F1637)),"Wert fehlt; ",IF(F1637&lt;=0,"Wert ist 0; ",""))&amp;IF(NOT(ISNUMBER(E1637)),"Bestand fehlt; ",IF(E1637&lt;0,"Bestand negativ; ",IF(E1637=0,"Nullbestand; ","")))&amp;IF(D1637="","Warengruppe fehlt; ","")&amp;IF(B1637="","Bezeichnung fehlt; ","")&amp;IF(COUNTIFS($A$2:$A$5001,$A1637,$C$2:$C$5001,C1637)&gt;1,"Artikel doppelt im selben Lager; ",""))</f>
        <v/>
      </c>
      <c r="P1637" s="47" t="n">
        <f aca="false">IF(OR($A1637="",D1637=""),0,IF(COUNTIF($D$2:D1637,D1637)=1,SUMIF($D$2:$D$5001,D1637,$H$2:$H$5001)+ROW()/10000000,0))</f>
        <v>0</v>
      </c>
      <c r="Q1637" s="47" t="n">
        <f aca="false">IF(OR($A1637="",C1637=""),0,IF(COUNTIF($C$2:C1637,C1637)=1,SUMIF($C$2:$C$5001,C1637,$H$2:$H$5001)+ROW()/10000000,0))</f>
        <v>0</v>
      </c>
    </row>
    <row r="1638" customFormat="false" ht="15" hidden="false" customHeight="false" outlineLevel="0" collapsed="false">
      <c r="A1638" s="43"/>
      <c r="B1638" s="44"/>
      <c r="C1638" s="44"/>
      <c r="D1638" s="44"/>
      <c r="E1638" s="44"/>
      <c r="F1638" s="44"/>
      <c r="G1638" s="44"/>
      <c r="H1638" s="46" t="str">
        <f aca="false">IF($A1638="","",IF(OR(NOT(ISNUMBER(E1638)),NOT(ISNUMBER(F1638))),"",MAX(0,E1638)*F1638))</f>
        <v/>
      </c>
      <c r="I1638" s="46" t="str">
        <f aca="false">IF($A1638="","",SUMIF($A$2:$A$5001,$A1638,$H$2:$H$5001))</f>
        <v/>
      </c>
      <c r="J1638" s="47" t="n">
        <f aca="false">IF($A1638="",0,IF(COUNTIF($A$2:A1638,$A1638)=1,1,0))</f>
        <v>0</v>
      </c>
      <c r="K1638" s="47" t="n">
        <f aca="false">IF(J1638=1,N(I1638)+ROW()/10000000,0)</f>
        <v>0</v>
      </c>
      <c r="L1638" s="47" t="str">
        <f aca="false">IF(AND(J1638=1,N(I1638)&gt;0),SUMIF($K$2:$K$5001,"&gt;="&amp;K1638,$I$2:$I$5001)/MAX(1,SUM($H$2:$H$5001)),"")</f>
        <v/>
      </c>
      <c r="M1638" s="47" t="str">
        <f aca="false">IF($A1638="","",INDEX($L$2:$L$5001,MATCH($A1638,$A$2:$A$5001,0)))</f>
        <v/>
      </c>
      <c r="N1638" s="48" t="str">
        <f aca="false">IF($A1638="","",IF(N(M1638)=0,"–",IF(M1638&lt;=Start!$D$20,"A",IF(M1638&lt;=Start!$D$21,"B","C"))))</f>
        <v/>
      </c>
      <c r="O1638" s="48" t="str">
        <f aca="false">IF($A1638="","",IF(NOT(ISNUMBER(F1638)),"Wert fehlt; ",IF(F1638&lt;=0,"Wert ist 0; ",""))&amp;IF(NOT(ISNUMBER(E1638)),"Bestand fehlt; ",IF(E1638&lt;0,"Bestand negativ; ",IF(E1638=0,"Nullbestand; ","")))&amp;IF(D1638="","Warengruppe fehlt; ","")&amp;IF(B1638="","Bezeichnung fehlt; ","")&amp;IF(COUNTIFS($A$2:$A$5001,$A1638,$C$2:$C$5001,C1638)&gt;1,"Artikel doppelt im selben Lager; ",""))</f>
        <v/>
      </c>
      <c r="P1638" s="47" t="n">
        <f aca="false">IF(OR($A1638="",D1638=""),0,IF(COUNTIF($D$2:D1638,D1638)=1,SUMIF($D$2:$D$5001,D1638,$H$2:$H$5001)+ROW()/10000000,0))</f>
        <v>0</v>
      </c>
      <c r="Q1638" s="47" t="n">
        <f aca="false">IF(OR($A1638="",C1638=""),0,IF(COUNTIF($C$2:C1638,C1638)=1,SUMIF($C$2:$C$5001,C1638,$H$2:$H$5001)+ROW()/10000000,0))</f>
        <v>0</v>
      </c>
    </row>
    <row r="1639" customFormat="false" ht="15" hidden="false" customHeight="false" outlineLevel="0" collapsed="false">
      <c r="A1639" s="43"/>
      <c r="B1639" s="44"/>
      <c r="C1639" s="44"/>
      <c r="D1639" s="44"/>
      <c r="E1639" s="44"/>
      <c r="F1639" s="44"/>
      <c r="G1639" s="44"/>
      <c r="H1639" s="46" t="str">
        <f aca="false">IF($A1639="","",IF(OR(NOT(ISNUMBER(E1639)),NOT(ISNUMBER(F1639))),"",MAX(0,E1639)*F1639))</f>
        <v/>
      </c>
      <c r="I1639" s="46" t="str">
        <f aca="false">IF($A1639="","",SUMIF($A$2:$A$5001,$A1639,$H$2:$H$5001))</f>
        <v/>
      </c>
      <c r="J1639" s="47" t="n">
        <f aca="false">IF($A1639="",0,IF(COUNTIF($A$2:A1639,$A1639)=1,1,0))</f>
        <v>0</v>
      </c>
      <c r="K1639" s="47" t="n">
        <f aca="false">IF(J1639=1,N(I1639)+ROW()/10000000,0)</f>
        <v>0</v>
      </c>
      <c r="L1639" s="47" t="str">
        <f aca="false">IF(AND(J1639=1,N(I1639)&gt;0),SUMIF($K$2:$K$5001,"&gt;="&amp;K1639,$I$2:$I$5001)/MAX(1,SUM($H$2:$H$5001)),"")</f>
        <v/>
      </c>
      <c r="M1639" s="47" t="str">
        <f aca="false">IF($A1639="","",INDEX($L$2:$L$5001,MATCH($A1639,$A$2:$A$5001,0)))</f>
        <v/>
      </c>
      <c r="N1639" s="48" t="str">
        <f aca="false">IF($A1639="","",IF(N(M1639)=0,"–",IF(M1639&lt;=Start!$D$20,"A",IF(M1639&lt;=Start!$D$21,"B","C"))))</f>
        <v/>
      </c>
      <c r="O1639" s="48" t="str">
        <f aca="false">IF($A1639="","",IF(NOT(ISNUMBER(F1639)),"Wert fehlt; ",IF(F1639&lt;=0,"Wert ist 0; ",""))&amp;IF(NOT(ISNUMBER(E1639)),"Bestand fehlt; ",IF(E1639&lt;0,"Bestand negativ; ",IF(E1639=0,"Nullbestand; ","")))&amp;IF(D1639="","Warengruppe fehlt; ","")&amp;IF(B1639="","Bezeichnung fehlt; ","")&amp;IF(COUNTIFS($A$2:$A$5001,$A1639,$C$2:$C$5001,C1639)&gt;1,"Artikel doppelt im selben Lager; ",""))</f>
        <v/>
      </c>
      <c r="P1639" s="47" t="n">
        <f aca="false">IF(OR($A1639="",D1639=""),0,IF(COUNTIF($D$2:D1639,D1639)=1,SUMIF($D$2:$D$5001,D1639,$H$2:$H$5001)+ROW()/10000000,0))</f>
        <v>0</v>
      </c>
      <c r="Q1639" s="47" t="n">
        <f aca="false">IF(OR($A1639="",C1639=""),0,IF(COUNTIF($C$2:C1639,C1639)=1,SUMIF($C$2:$C$5001,C1639,$H$2:$H$5001)+ROW()/10000000,0))</f>
        <v>0</v>
      </c>
    </row>
    <row r="1640" customFormat="false" ht="15" hidden="false" customHeight="false" outlineLevel="0" collapsed="false">
      <c r="A1640" s="43"/>
      <c r="B1640" s="44"/>
      <c r="C1640" s="44"/>
      <c r="D1640" s="44"/>
      <c r="E1640" s="44"/>
      <c r="F1640" s="44"/>
      <c r="G1640" s="44"/>
      <c r="H1640" s="46" t="str">
        <f aca="false">IF($A1640="","",IF(OR(NOT(ISNUMBER(E1640)),NOT(ISNUMBER(F1640))),"",MAX(0,E1640)*F1640))</f>
        <v/>
      </c>
      <c r="I1640" s="46" t="str">
        <f aca="false">IF($A1640="","",SUMIF($A$2:$A$5001,$A1640,$H$2:$H$5001))</f>
        <v/>
      </c>
      <c r="J1640" s="47" t="n">
        <f aca="false">IF($A1640="",0,IF(COUNTIF($A$2:A1640,$A1640)=1,1,0))</f>
        <v>0</v>
      </c>
      <c r="K1640" s="47" t="n">
        <f aca="false">IF(J1640=1,N(I1640)+ROW()/10000000,0)</f>
        <v>0</v>
      </c>
      <c r="L1640" s="47" t="str">
        <f aca="false">IF(AND(J1640=1,N(I1640)&gt;0),SUMIF($K$2:$K$5001,"&gt;="&amp;K1640,$I$2:$I$5001)/MAX(1,SUM($H$2:$H$5001)),"")</f>
        <v/>
      </c>
      <c r="M1640" s="47" t="str">
        <f aca="false">IF($A1640="","",INDEX($L$2:$L$5001,MATCH($A1640,$A$2:$A$5001,0)))</f>
        <v/>
      </c>
      <c r="N1640" s="48" t="str">
        <f aca="false">IF($A1640="","",IF(N(M1640)=0,"–",IF(M1640&lt;=Start!$D$20,"A",IF(M1640&lt;=Start!$D$21,"B","C"))))</f>
        <v/>
      </c>
      <c r="O1640" s="48" t="str">
        <f aca="false">IF($A1640="","",IF(NOT(ISNUMBER(F1640)),"Wert fehlt; ",IF(F1640&lt;=0,"Wert ist 0; ",""))&amp;IF(NOT(ISNUMBER(E1640)),"Bestand fehlt; ",IF(E1640&lt;0,"Bestand negativ; ",IF(E1640=0,"Nullbestand; ","")))&amp;IF(D1640="","Warengruppe fehlt; ","")&amp;IF(B1640="","Bezeichnung fehlt; ","")&amp;IF(COUNTIFS($A$2:$A$5001,$A1640,$C$2:$C$5001,C1640)&gt;1,"Artikel doppelt im selben Lager; ",""))</f>
        <v/>
      </c>
      <c r="P1640" s="47" t="n">
        <f aca="false">IF(OR($A1640="",D1640=""),0,IF(COUNTIF($D$2:D1640,D1640)=1,SUMIF($D$2:$D$5001,D1640,$H$2:$H$5001)+ROW()/10000000,0))</f>
        <v>0</v>
      </c>
      <c r="Q1640" s="47" t="n">
        <f aca="false">IF(OR($A1640="",C1640=""),0,IF(COUNTIF($C$2:C1640,C1640)=1,SUMIF($C$2:$C$5001,C1640,$H$2:$H$5001)+ROW()/10000000,0))</f>
        <v>0</v>
      </c>
    </row>
    <row r="1641" customFormat="false" ht="15" hidden="false" customHeight="false" outlineLevel="0" collapsed="false">
      <c r="A1641" s="43"/>
      <c r="B1641" s="44"/>
      <c r="C1641" s="44"/>
      <c r="D1641" s="44"/>
      <c r="E1641" s="44"/>
      <c r="F1641" s="44"/>
      <c r="G1641" s="44"/>
      <c r="H1641" s="46" t="str">
        <f aca="false">IF($A1641="","",IF(OR(NOT(ISNUMBER(E1641)),NOT(ISNUMBER(F1641))),"",MAX(0,E1641)*F1641))</f>
        <v/>
      </c>
      <c r="I1641" s="46" t="str">
        <f aca="false">IF($A1641="","",SUMIF($A$2:$A$5001,$A1641,$H$2:$H$5001))</f>
        <v/>
      </c>
      <c r="J1641" s="47" t="n">
        <f aca="false">IF($A1641="",0,IF(COUNTIF($A$2:A1641,$A1641)=1,1,0))</f>
        <v>0</v>
      </c>
      <c r="K1641" s="47" t="n">
        <f aca="false">IF(J1641=1,N(I1641)+ROW()/10000000,0)</f>
        <v>0</v>
      </c>
      <c r="L1641" s="47" t="str">
        <f aca="false">IF(AND(J1641=1,N(I1641)&gt;0),SUMIF($K$2:$K$5001,"&gt;="&amp;K1641,$I$2:$I$5001)/MAX(1,SUM($H$2:$H$5001)),"")</f>
        <v/>
      </c>
      <c r="M1641" s="47" t="str">
        <f aca="false">IF($A1641="","",INDEX($L$2:$L$5001,MATCH($A1641,$A$2:$A$5001,0)))</f>
        <v/>
      </c>
      <c r="N1641" s="48" t="str">
        <f aca="false">IF($A1641="","",IF(N(M1641)=0,"–",IF(M1641&lt;=Start!$D$20,"A",IF(M1641&lt;=Start!$D$21,"B","C"))))</f>
        <v/>
      </c>
      <c r="O1641" s="48" t="str">
        <f aca="false">IF($A1641="","",IF(NOT(ISNUMBER(F1641)),"Wert fehlt; ",IF(F1641&lt;=0,"Wert ist 0; ",""))&amp;IF(NOT(ISNUMBER(E1641)),"Bestand fehlt; ",IF(E1641&lt;0,"Bestand negativ; ",IF(E1641=0,"Nullbestand; ","")))&amp;IF(D1641="","Warengruppe fehlt; ","")&amp;IF(B1641="","Bezeichnung fehlt; ","")&amp;IF(COUNTIFS($A$2:$A$5001,$A1641,$C$2:$C$5001,C1641)&gt;1,"Artikel doppelt im selben Lager; ",""))</f>
        <v/>
      </c>
      <c r="P1641" s="47" t="n">
        <f aca="false">IF(OR($A1641="",D1641=""),0,IF(COUNTIF($D$2:D1641,D1641)=1,SUMIF($D$2:$D$5001,D1641,$H$2:$H$5001)+ROW()/10000000,0))</f>
        <v>0</v>
      </c>
      <c r="Q1641" s="47" t="n">
        <f aca="false">IF(OR($A1641="",C1641=""),0,IF(COUNTIF($C$2:C1641,C1641)=1,SUMIF($C$2:$C$5001,C1641,$H$2:$H$5001)+ROW()/10000000,0))</f>
        <v>0</v>
      </c>
    </row>
    <row r="1642" customFormat="false" ht="15" hidden="false" customHeight="false" outlineLevel="0" collapsed="false">
      <c r="A1642" s="43"/>
      <c r="B1642" s="44"/>
      <c r="C1642" s="44"/>
      <c r="D1642" s="44"/>
      <c r="E1642" s="44"/>
      <c r="F1642" s="44"/>
      <c r="G1642" s="44"/>
      <c r="H1642" s="46" t="str">
        <f aca="false">IF($A1642="","",IF(OR(NOT(ISNUMBER(E1642)),NOT(ISNUMBER(F1642))),"",MAX(0,E1642)*F1642))</f>
        <v/>
      </c>
      <c r="I1642" s="46" t="str">
        <f aca="false">IF($A1642="","",SUMIF($A$2:$A$5001,$A1642,$H$2:$H$5001))</f>
        <v/>
      </c>
      <c r="J1642" s="47" t="n">
        <f aca="false">IF($A1642="",0,IF(COUNTIF($A$2:A1642,$A1642)=1,1,0))</f>
        <v>0</v>
      </c>
      <c r="K1642" s="47" t="n">
        <f aca="false">IF(J1642=1,N(I1642)+ROW()/10000000,0)</f>
        <v>0</v>
      </c>
      <c r="L1642" s="47" t="str">
        <f aca="false">IF(AND(J1642=1,N(I1642)&gt;0),SUMIF($K$2:$K$5001,"&gt;="&amp;K1642,$I$2:$I$5001)/MAX(1,SUM($H$2:$H$5001)),"")</f>
        <v/>
      </c>
      <c r="M1642" s="47" t="str">
        <f aca="false">IF($A1642="","",INDEX($L$2:$L$5001,MATCH($A1642,$A$2:$A$5001,0)))</f>
        <v/>
      </c>
      <c r="N1642" s="48" t="str">
        <f aca="false">IF($A1642="","",IF(N(M1642)=0,"–",IF(M1642&lt;=Start!$D$20,"A",IF(M1642&lt;=Start!$D$21,"B","C"))))</f>
        <v/>
      </c>
      <c r="O1642" s="48" t="str">
        <f aca="false">IF($A1642="","",IF(NOT(ISNUMBER(F1642)),"Wert fehlt; ",IF(F1642&lt;=0,"Wert ist 0; ",""))&amp;IF(NOT(ISNUMBER(E1642)),"Bestand fehlt; ",IF(E1642&lt;0,"Bestand negativ; ",IF(E1642=0,"Nullbestand; ","")))&amp;IF(D1642="","Warengruppe fehlt; ","")&amp;IF(B1642="","Bezeichnung fehlt; ","")&amp;IF(COUNTIFS($A$2:$A$5001,$A1642,$C$2:$C$5001,C1642)&gt;1,"Artikel doppelt im selben Lager; ",""))</f>
        <v/>
      </c>
      <c r="P1642" s="47" t="n">
        <f aca="false">IF(OR($A1642="",D1642=""),0,IF(COUNTIF($D$2:D1642,D1642)=1,SUMIF($D$2:$D$5001,D1642,$H$2:$H$5001)+ROW()/10000000,0))</f>
        <v>0</v>
      </c>
      <c r="Q1642" s="47" t="n">
        <f aca="false">IF(OR($A1642="",C1642=""),0,IF(COUNTIF($C$2:C1642,C1642)=1,SUMIF($C$2:$C$5001,C1642,$H$2:$H$5001)+ROW()/10000000,0))</f>
        <v>0</v>
      </c>
    </row>
    <row r="1643" customFormat="false" ht="15" hidden="false" customHeight="false" outlineLevel="0" collapsed="false">
      <c r="A1643" s="43"/>
      <c r="B1643" s="44"/>
      <c r="C1643" s="44"/>
      <c r="D1643" s="44"/>
      <c r="E1643" s="44"/>
      <c r="F1643" s="44"/>
      <c r="G1643" s="44"/>
      <c r="H1643" s="46" t="str">
        <f aca="false">IF($A1643="","",IF(OR(NOT(ISNUMBER(E1643)),NOT(ISNUMBER(F1643))),"",MAX(0,E1643)*F1643))</f>
        <v/>
      </c>
      <c r="I1643" s="46" t="str">
        <f aca="false">IF($A1643="","",SUMIF($A$2:$A$5001,$A1643,$H$2:$H$5001))</f>
        <v/>
      </c>
      <c r="J1643" s="47" t="n">
        <f aca="false">IF($A1643="",0,IF(COUNTIF($A$2:A1643,$A1643)=1,1,0))</f>
        <v>0</v>
      </c>
      <c r="K1643" s="47" t="n">
        <f aca="false">IF(J1643=1,N(I1643)+ROW()/10000000,0)</f>
        <v>0</v>
      </c>
      <c r="L1643" s="47" t="str">
        <f aca="false">IF(AND(J1643=1,N(I1643)&gt;0),SUMIF($K$2:$K$5001,"&gt;="&amp;K1643,$I$2:$I$5001)/MAX(1,SUM($H$2:$H$5001)),"")</f>
        <v/>
      </c>
      <c r="M1643" s="47" t="str">
        <f aca="false">IF($A1643="","",INDEX($L$2:$L$5001,MATCH($A1643,$A$2:$A$5001,0)))</f>
        <v/>
      </c>
      <c r="N1643" s="48" t="str">
        <f aca="false">IF($A1643="","",IF(N(M1643)=0,"–",IF(M1643&lt;=Start!$D$20,"A",IF(M1643&lt;=Start!$D$21,"B","C"))))</f>
        <v/>
      </c>
      <c r="O1643" s="48" t="str">
        <f aca="false">IF($A1643="","",IF(NOT(ISNUMBER(F1643)),"Wert fehlt; ",IF(F1643&lt;=0,"Wert ist 0; ",""))&amp;IF(NOT(ISNUMBER(E1643)),"Bestand fehlt; ",IF(E1643&lt;0,"Bestand negativ; ",IF(E1643=0,"Nullbestand; ","")))&amp;IF(D1643="","Warengruppe fehlt; ","")&amp;IF(B1643="","Bezeichnung fehlt; ","")&amp;IF(COUNTIFS($A$2:$A$5001,$A1643,$C$2:$C$5001,C1643)&gt;1,"Artikel doppelt im selben Lager; ",""))</f>
        <v/>
      </c>
      <c r="P1643" s="47" t="n">
        <f aca="false">IF(OR($A1643="",D1643=""),0,IF(COUNTIF($D$2:D1643,D1643)=1,SUMIF($D$2:$D$5001,D1643,$H$2:$H$5001)+ROW()/10000000,0))</f>
        <v>0</v>
      </c>
      <c r="Q1643" s="47" t="n">
        <f aca="false">IF(OR($A1643="",C1643=""),0,IF(COUNTIF($C$2:C1643,C1643)=1,SUMIF($C$2:$C$5001,C1643,$H$2:$H$5001)+ROW()/10000000,0))</f>
        <v>0</v>
      </c>
    </row>
    <row r="1644" customFormat="false" ht="15" hidden="false" customHeight="false" outlineLevel="0" collapsed="false">
      <c r="A1644" s="43"/>
      <c r="B1644" s="44"/>
      <c r="C1644" s="44"/>
      <c r="D1644" s="44"/>
      <c r="E1644" s="44"/>
      <c r="F1644" s="44"/>
      <c r="G1644" s="44"/>
      <c r="H1644" s="46" t="str">
        <f aca="false">IF($A1644="","",IF(OR(NOT(ISNUMBER(E1644)),NOT(ISNUMBER(F1644))),"",MAX(0,E1644)*F1644))</f>
        <v/>
      </c>
      <c r="I1644" s="46" t="str">
        <f aca="false">IF($A1644="","",SUMIF($A$2:$A$5001,$A1644,$H$2:$H$5001))</f>
        <v/>
      </c>
      <c r="J1644" s="47" t="n">
        <f aca="false">IF($A1644="",0,IF(COUNTIF($A$2:A1644,$A1644)=1,1,0))</f>
        <v>0</v>
      </c>
      <c r="K1644" s="47" t="n">
        <f aca="false">IF(J1644=1,N(I1644)+ROW()/10000000,0)</f>
        <v>0</v>
      </c>
      <c r="L1644" s="47" t="str">
        <f aca="false">IF(AND(J1644=1,N(I1644)&gt;0),SUMIF($K$2:$K$5001,"&gt;="&amp;K1644,$I$2:$I$5001)/MAX(1,SUM($H$2:$H$5001)),"")</f>
        <v/>
      </c>
      <c r="M1644" s="47" t="str">
        <f aca="false">IF($A1644="","",INDEX($L$2:$L$5001,MATCH($A1644,$A$2:$A$5001,0)))</f>
        <v/>
      </c>
      <c r="N1644" s="48" t="str">
        <f aca="false">IF($A1644="","",IF(N(M1644)=0,"–",IF(M1644&lt;=Start!$D$20,"A",IF(M1644&lt;=Start!$D$21,"B","C"))))</f>
        <v/>
      </c>
      <c r="O1644" s="48" t="str">
        <f aca="false">IF($A1644="","",IF(NOT(ISNUMBER(F1644)),"Wert fehlt; ",IF(F1644&lt;=0,"Wert ist 0; ",""))&amp;IF(NOT(ISNUMBER(E1644)),"Bestand fehlt; ",IF(E1644&lt;0,"Bestand negativ; ",IF(E1644=0,"Nullbestand; ","")))&amp;IF(D1644="","Warengruppe fehlt; ","")&amp;IF(B1644="","Bezeichnung fehlt; ","")&amp;IF(COUNTIFS($A$2:$A$5001,$A1644,$C$2:$C$5001,C1644)&gt;1,"Artikel doppelt im selben Lager; ",""))</f>
        <v/>
      </c>
      <c r="P1644" s="47" t="n">
        <f aca="false">IF(OR($A1644="",D1644=""),0,IF(COUNTIF($D$2:D1644,D1644)=1,SUMIF($D$2:$D$5001,D1644,$H$2:$H$5001)+ROW()/10000000,0))</f>
        <v>0</v>
      </c>
      <c r="Q1644" s="47" t="n">
        <f aca="false">IF(OR($A1644="",C1644=""),0,IF(COUNTIF($C$2:C1644,C1644)=1,SUMIF($C$2:$C$5001,C1644,$H$2:$H$5001)+ROW()/10000000,0))</f>
        <v>0</v>
      </c>
    </row>
    <row r="1645" customFormat="false" ht="15" hidden="false" customHeight="false" outlineLevel="0" collapsed="false">
      <c r="A1645" s="43"/>
      <c r="B1645" s="44"/>
      <c r="C1645" s="44"/>
      <c r="D1645" s="44"/>
      <c r="E1645" s="44"/>
      <c r="F1645" s="44"/>
      <c r="G1645" s="44"/>
      <c r="H1645" s="46" t="str">
        <f aca="false">IF($A1645="","",IF(OR(NOT(ISNUMBER(E1645)),NOT(ISNUMBER(F1645))),"",MAX(0,E1645)*F1645))</f>
        <v/>
      </c>
      <c r="I1645" s="46" t="str">
        <f aca="false">IF($A1645="","",SUMIF($A$2:$A$5001,$A1645,$H$2:$H$5001))</f>
        <v/>
      </c>
      <c r="J1645" s="47" t="n">
        <f aca="false">IF($A1645="",0,IF(COUNTIF($A$2:A1645,$A1645)=1,1,0))</f>
        <v>0</v>
      </c>
      <c r="K1645" s="47" t="n">
        <f aca="false">IF(J1645=1,N(I1645)+ROW()/10000000,0)</f>
        <v>0</v>
      </c>
      <c r="L1645" s="47" t="str">
        <f aca="false">IF(AND(J1645=1,N(I1645)&gt;0),SUMIF($K$2:$K$5001,"&gt;="&amp;K1645,$I$2:$I$5001)/MAX(1,SUM($H$2:$H$5001)),"")</f>
        <v/>
      </c>
      <c r="M1645" s="47" t="str">
        <f aca="false">IF($A1645="","",INDEX($L$2:$L$5001,MATCH($A1645,$A$2:$A$5001,0)))</f>
        <v/>
      </c>
      <c r="N1645" s="48" t="str">
        <f aca="false">IF($A1645="","",IF(N(M1645)=0,"–",IF(M1645&lt;=Start!$D$20,"A",IF(M1645&lt;=Start!$D$21,"B","C"))))</f>
        <v/>
      </c>
      <c r="O1645" s="48" t="str">
        <f aca="false">IF($A1645="","",IF(NOT(ISNUMBER(F1645)),"Wert fehlt; ",IF(F1645&lt;=0,"Wert ist 0; ",""))&amp;IF(NOT(ISNUMBER(E1645)),"Bestand fehlt; ",IF(E1645&lt;0,"Bestand negativ; ",IF(E1645=0,"Nullbestand; ","")))&amp;IF(D1645="","Warengruppe fehlt; ","")&amp;IF(B1645="","Bezeichnung fehlt; ","")&amp;IF(COUNTIFS($A$2:$A$5001,$A1645,$C$2:$C$5001,C1645)&gt;1,"Artikel doppelt im selben Lager; ",""))</f>
        <v/>
      </c>
      <c r="P1645" s="47" t="n">
        <f aca="false">IF(OR($A1645="",D1645=""),0,IF(COUNTIF($D$2:D1645,D1645)=1,SUMIF($D$2:$D$5001,D1645,$H$2:$H$5001)+ROW()/10000000,0))</f>
        <v>0</v>
      </c>
      <c r="Q1645" s="47" t="n">
        <f aca="false">IF(OR($A1645="",C1645=""),0,IF(COUNTIF($C$2:C1645,C1645)=1,SUMIF($C$2:$C$5001,C1645,$H$2:$H$5001)+ROW()/10000000,0))</f>
        <v>0</v>
      </c>
    </row>
    <row r="1646" customFormat="false" ht="15" hidden="false" customHeight="false" outlineLevel="0" collapsed="false">
      <c r="A1646" s="43"/>
      <c r="B1646" s="44"/>
      <c r="C1646" s="44"/>
      <c r="D1646" s="44"/>
      <c r="E1646" s="44"/>
      <c r="F1646" s="44"/>
      <c r="G1646" s="44"/>
      <c r="H1646" s="46" t="str">
        <f aca="false">IF($A1646="","",IF(OR(NOT(ISNUMBER(E1646)),NOT(ISNUMBER(F1646))),"",MAX(0,E1646)*F1646))</f>
        <v/>
      </c>
      <c r="I1646" s="46" t="str">
        <f aca="false">IF($A1646="","",SUMIF($A$2:$A$5001,$A1646,$H$2:$H$5001))</f>
        <v/>
      </c>
      <c r="J1646" s="47" t="n">
        <f aca="false">IF($A1646="",0,IF(COUNTIF($A$2:A1646,$A1646)=1,1,0))</f>
        <v>0</v>
      </c>
      <c r="K1646" s="47" t="n">
        <f aca="false">IF(J1646=1,N(I1646)+ROW()/10000000,0)</f>
        <v>0</v>
      </c>
      <c r="L1646" s="47" t="str">
        <f aca="false">IF(AND(J1646=1,N(I1646)&gt;0),SUMIF($K$2:$K$5001,"&gt;="&amp;K1646,$I$2:$I$5001)/MAX(1,SUM($H$2:$H$5001)),"")</f>
        <v/>
      </c>
      <c r="M1646" s="47" t="str">
        <f aca="false">IF($A1646="","",INDEX($L$2:$L$5001,MATCH($A1646,$A$2:$A$5001,0)))</f>
        <v/>
      </c>
      <c r="N1646" s="48" t="str">
        <f aca="false">IF($A1646="","",IF(N(M1646)=0,"–",IF(M1646&lt;=Start!$D$20,"A",IF(M1646&lt;=Start!$D$21,"B","C"))))</f>
        <v/>
      </c>
      <c r="O1646" s="48" t="str">
        <f aca="false">IF($A1646="","",IF(NOT(ISNUMBER(F1646)),"Wert fehlt; ",IF(F1646&lt;=0,"Wert ist 0; ",""))&amp;IF(NOT(ISNUMBER(E1646)),"Bestand fehlt; ",IF(E1646&lt;0,"Bestand negativ; ",IF(E1646=0,"Nullbestand; ","")))&amp;IF(D1646="","Warengruppe fehlt; ","")&amp;IF(B1646="","Bezeichnung fehlt; ","")&amp;IF(COUNTIFS($A$2:$A$5001,$A1646,$C$2:$C$5001,C1646)&gt;1,"Artikel doppelt im selben Lager; ",""))</f>
        <v/>
      </c>
      <c r="P1646" s="47" t="n">
        <f aca="false">IF(OR($A1646="",D1646=""),0,IF(COUNTIF($D$2:D1646,D1646)=1,SUMIF($D$2:$D$5001,D1646,$H$2:$H$5001)+ROW()/10000000,0))</f>
        <v>0</v>
      </c>
      <c r="Q1646" s="47" t="n">
        <f aca="false">IF(OR($A1646="",C1646=""),0,IF(COUNTIF($C$2:C1646,C1646)=1,SUMIF($C$2:$C$5001,C1646,$H$2:$H$5001)+ROW()/10000000,0))</f>
        <v>0</v>
      </c>
    </row>
    <row r="1647" customFormat="false" ht="15" hidden="false" customHeight="false" outlineLevel="0" collapsed="false">
      <c r="A1647" s="43"/>
      <c r="B1647" s="44"/>
      <c r="C1647" s="44"/>
      <c r="D1647" s="44"/>
      <c r="E1647" s="44"/>
      <c r="F1647" s="44"/>
      <c r="G1647" s="44"/>
      <c r="H1647" s="46" t="str">
        <f aca="false">IF($A1647="","",IF(OR(NOT(ISNUMBER(E1647)),NOT(ISNUMBER(F1647))),"",MAX(0,E1647)*F1647))</f>
        <v/>
      </c>
      <c r="I1647" s="46" t="str">
        <f aca="false">IF($A1647="","",SUMIF($A$2:$A$5001,$A1647,$H$2:$H$5001))</f>
        <v/>
      </c>
      <c r="J1647" s="47" t="n">
        <f aca="false">IF($A1647="",0,IF(COUNTIF($A$2:A1647,$A1647)=1,1,0))</f>
        <v>0</v>
      </c>
      <c r="K1647" s="47" t="n">
        <f aca="false">IF(J1647=1,N(I1647)+ROW()/10000000,0)</f>
        <v>0</v>
      </c>
      <c r="L1647" s="47" t="str">
        <f aca="false">IF(AND(J1647=1,N(I1647)&gt;0),SUMIF($K$2:$K$5001,"&gt;="&amp;K1647,$I$2:$I$5001)/MAX(1,SUM($H$2:$H$5001)),"")</f>
        <v/>
      </c>
      <c r="M1647" s="47" t="str">
        <f aca="false">IF($A1647="","",INDEX($L$2:$L$5001,MATCH($A1647,$A$2:$A$5001,0)))</f>
        <v/>
      </c>
      <c r="N1647" s="48" t="str">
        <f aca="false">IF($A1647="","",IF(N(M1647)=0,"–",IF(M1647&lt;=Start!$D$20,"A",IF(M1647&lt;=Start!$D$21,"B","C"))))</f>
        <v/>
      </c>
      <c r="O1647" s="48" t="str">
        <f aca="false">IF($A1647="","",IF(NOT(ISNUMBER(F1647)),"Wert fehlt; ",IF(F1647&lt;=0,"Wert ist 0; ",""))&amp;IF(NOT(ISNUMBER(E1647)),"Bestand fehlt; ",IF(E1647&lt;0,"Bestand negativ; ",IF(E1647=0,"Nullbestand; ","")))&amp;IF(D1647="","Warengruppe fehlt; ","")&amp;IF(B1647="","Bezeichnung fehlt; ","")&amp;IF(COUNTIFS($A$2:$A$5001,$A1647,$C$2:$C$5001,C1647)&gt;1,"Artikel doppelt im selben Lager; ",""))</f>
        <v/>
      </c>
      <c r="P1647" s="47" t="n">
        <f aca="false">IF(OR($A1647="",D1647=""),0,IF(COUNTIF($D$2:D1647,D1647)=1,SUMIF($D$2:$D$5001,D1647,$H$2:$H$5001)+ROW()/10000000,0))</f>
        <v>0</v>
      </c>
      <c r="Q1647" s="47" t="n">
        <f aca="false">IF(OR($A1647="",C1647=""),0,IF(COUNTIF($C$2:C1647,C1647)=1,SUMIF($C$2:$C$5001,C1647,$H$2:$H$5001)+ROW()/10000000,0))</f>
        <v>0</v>
      </c>
    </row>
    <row r="1648" customFormat="false" ht="15" hidden="false" customHeight="false" outlineLevel="0" collapsed="false">
      <c r="A1648" s="43"/>
      <c r="B1648" s="44"/>
      <c r="C1648" s="44"/>
      <c r="D1648" s="44"/>
      <c r="E1648" s="44"/>
      <c r="F1648" s="44"/>
      <c r="G1648" s="44"/>
      <c r="H1648" s="46" t="str">
        <f aca="false">IF($A1648="","",IF(OR(NOT(ISNUMBER(E1648)),NOT(ISNUMBER(F1648))),"",MAX(0,E1648)*F1648))</f>
        <v/>
      </c>
      <c r="I1648" s="46" t="str">
        <f aca="false">IF($A1648="","",SUMIF($A$2:$A$5001,$A1648,$H$2:$H$5001))</f>
        <v/>
      </c>
      <c r="J1648" s="47" t="n">
        <f aca="false">IF($A1648="",0,IF(COUNTIF($A$2:A1648,$A1648)=1,1,0))</f>
        <v>0</v>
      </c>
      <c r="K1648" s="47" t="n">
        <f aca="false">IF(J1648=1,N(I1648)+ROW()/10000000,0)</f>
        <v>0</v>
      </c>
      <c r="L1648" s="47" t="str">
        <f aca="false">IF(AND(J1648=1,N(I1648)&gt;0),SUMIF($K$2:$K$5001,"&gt;="&amp;K1648,$I$2:$I$5001)/MAX(1,SUM($H$2:$H$5001)),"")</f>
        <v/>
      </c>
      <c r="M1648" s="47" t="str">
        <f aca="false">IF($A1648="","",INDEX($L$2:$L$5001,MATCH($A1648,$A$2:$A$5001,0)))</f>
        <v/>
      </c>
      <c r="N1648" s="48" t="str">
        <f aca="false">IF($A1648="","",IF(N(M1648)=0,"–",IF(M1648&lt;=Start!$D$20,"A",IF(M1648&lt;=Start!$D$21,"B","C"))))</f>
        <v/>
      </c>
      <c r="O1648" s="48" t="str">
        <f aca="false">IF($A1648="","",IF(NOT(ISNUMBER(F1648)),"Wert fehlt; ",IF(F1648&lt;=0,"Wert ist 0; ",""))&amp;IF(NOT(ISNUMBER(E1648)),"Bestand fehlt; ",IF(E1648&lt;0,"Bestand negativ; ",IF(E1648=0,"Nullbestand; ","")))&amp;IF(D1648="","Warengruppe fehlt; ","")&amp;IF(B1648="","Bezeichnung fehlt; ","")&amp;IF(COUNTIFS($A$2:$A$5001,$A1648,$C$2:$C$5001,C1648)&gt;1,"Artikel doppelt im selben Lager; ",""))</f>
        <v/>
      </c>
      <c r="P1648" s="47" t="n">
        <f aca="false">IF(OR($A1648="",D1648=""),0,IF(COUNTIF($D$2:D1648,D1648)=1,SUMIF($D$2:$D$5001,D1648,$H$2:$H$5001)+ROW()/10000000,0))</f>
        <v>0</v>
      </c>
      <c r="Q1648" s="47" t="n">
        <f aca="false">IF(OR($A1648="",C1648=""),0,IF(COUNTIF($C$2:C1648,C1648)=1,SUMIF($C$2:$C$5001,C1648,$H$2:$H$5001)+ROW()/10000000,0))</f>
        <v>0</v>
      </c>
    </row>
    <row r="1649" customFormat="false" ht="15" hidden="false" customHeight="false" outlineLevel="0" collapsed="false">
      <c r="A1649" s="43"/>
      <c r="B1649" s="44"/>
      <c r="C1649" s="44"/>
      <c r="D1649" s="44"/>
      <c r="E1649" s="44"/>
      <c r="F1649" s="44"/>
      <c r="G1649" s="44"/>
      <c r="H1649" s="46" t="str">
        <f aca="false">IF($A1649="","",IF(OR(NOT(ISNUMBER(E1649)),NOT(ISNUMBER(F1649))),"",MAX(0,E1649)*F1649))</f>
        <v/>
      </c>
      <c r="I1649" s="46" t="str">
        <f aca="false">IF($A1649="","",SUMIF($A$2:$A$5001,$A1649,$H$2:$H$5001))</f>
        <v/>
      </c>
      <c r="J1649" s="47" t="n">
        <f aca="false">IF($A1649="",0,IF(COUNTIF($A$2:A1649,$A1649)=1,1,0))</f>
        <v>0</v>
      </c>
      <c r="K1649" s="47" t="n">
        <f aca="false">IF(J1649=1,N(I1649)+ROW()/10000000,0)</f>
        <v>0</v>
      </c>
      <c r="L1649" s="47" t="str">
        <f aca="false">IF(AND(J1649=1,N(I1649)&gt;0),SUMIF($K$2:$K$5001,"&gt;="&amp;K1649,$I$2:$I$5001)/MAX(1,SUM($H$2:$H$5001)),"")</f>
        <v/>
      </c>
      <c r="M1649" s="47" t="str">
        <f aca="false">IF($A1649="","",INDEX($L$2:$L$5001,MATCH($A1649,$A$2:$A$5001,0)))</f>
        <v/>
      </c>
      <c r="N1649" s="48" t="str">
        <f aca="false">IF($A1649="","",IF(N(M1649)=0,"–",IF(M1649&lt;=Start!$D$20,"A",IF(M1649&lt;=Start!$D$21,"B","C"))))</f>
        <v/>
      </c>
      <c r="O1649" s="48" t="str">
        <f aca="false">IF($A1649="","",IF(NOT(ISNUMBER(F1649)),"Wert fehlt; ",IF(F1649&lt;=0,"Wert ist 0; ",""))&amp;IF(NOT(ISNUMBER(E1649)),"Bestand fehlt; ",IF(E1649&lt;0,"Bestand negativ; ",IF(E1649=0,"Nullbestand; ","")))&amp;IF(D1649="","Warengruppe fehlt; ","")&amp;IF(B1649="","Bezeichnung fehlt; ","")&amp;IF(COUNTIFS($A$2:$A$5001,$A1649,$C$2:$C$5001,C1649)&gt;1,"Artikel doppelt im selben Lager; ",""))</f>
        <v/>
      </c>
      <c r="P1649" s="47" t="n">
        <f aca="false">IF(OR($A1649="",D1649=""),0,IF(COUNTIF($D$2:D1649,D1649)=1,SUMIF($D$2:$D$5001,D1649,$H$2:$H$5001)+ROW()/10000000,0))</f>
        <v>0</v>
      </c>
      <c r="Q1649" s="47" t="n">
        <f aca="false">IF(OR($A1649="",C1649=""),0,IF(COUNTIF($C$2:C1649,C1649)=1,SUMIF($C$2:$C$5001,C1649,$H$2:$H$5001)+ROW()/10000000,0))</f>
        <v>0</v>
      </c>
    </row>
    <row r="1650" customFormat="false" ht="15" hidden="false" customHeight="false" outlineLevel="0" collapsed="false">
      <c r="A1650" s="43"/>
      <c r="B1650" s="44"/>
      <c r="C1650" s="44"/>
      <c r="D1650" s="44"/>
      <c r="E1650" s="44"/>
      <c r="F1650" s="44"/>
      <c r="G1650" s="44"/>
      <c r="H1650" s="46" t="str">
        <f aca="false">IF($A1650="","",IF(OR(NOT(ISNUMBER(E1650)),NOT(ISNUMBER(F1650))),"",MAX(0,E1650)*F1650))</f>
        <v/>
      </c>
      <c r="I1650" s="46" t="str">
        <f aca="false">IF($A1650="","",SUMIF($A$2:$A$5001,$A1650,$H$2:$H$5001))</f>
        <v/>
      </c>
      <c r="J1650" s="47" t="n">
        <f aca="false">IF($A1650="",0,IF(COUNTIF($A$2:A1650,$A1650)=1,1,0))</f>
        <v>0</v>
      </c>
      <c r="K1650" s="47" t="n">
        <f aca="false">IF(J1650=1,N(I1650)+ROW()/10000000,0)</f>
        <v>0</v>
      </c>
      <c r="L1650" s="47" t="str">
        <f aca="false">IF(AND(J1650=1,N(I1650)&gt;0),SUMIF($K$2:$K$5001,"&gt;="&amp;K1650,$I$2:$I$5001)/MAX(1,SUM($H$2:$H$5001)),"")</f>
        <v/>
      </c>
      <c r="M1650" s="47" t="str">
        <f aca="false">IF($A1650="","",INDEX($L$2:$L$5001,MATCH($A1650,$A$2:$A$5001,0)))</f>
        <v/>
      </c>
      <c r="N1650" s="48" t="str">
        <f aca="false">IF($A1650="","",IF(N(M1650)=0,"–",IF(M1650&lt;=Start!$D$20,"A",IF(M1650&lt;=Start!$D$21,"B","C"))))</f>
        <v/>
      </c>
      <c r="O1650" s="48" t="str">
        <f aca="false">IF($A1650="","",IF(NOT(ISNUMBER(F1650)),"Wert fehlt; ",IF(F1650&lt;=0,"Wert ist 0; ",""))&amp;IF(NOT(ISNUMBER(E1650)),"Bestand fehlt; ",IF(E1650&lt;0,"Bestand negativ; ",IF(E1650=0,"Nullbestand; ","")))&amp;IF(D1650="","Warengruppe fehlt; ","")&amp;IF(B1650="","Bezeichnung fehlt; ","")&amp;IF(COUNTIFS($A$2:$A$5001,$A1650,$C$2:$C$5001,C1650)&gt;1,"Artikel doppelt im selben Lager; ",""))</f>
        <v/>
      </c>
      <c r="P1650" s="47" t="n">
        <f aca="false">IF(OR($A1650="",D1650=""),0,IF(COUNTIF($D$2:D1650,D1650)=1,SUMIF($D$2:$D$5001,D1650,$H$2:$H$5001)+ROW()/10000000,0))</f>
        <v>0</v>
      </c>
      <c r="Q1650" s="47" t="n">
        <f aca="false">IF(OR($A1650="",C1650=""),0,IF(COUNTIF($C$2:C1650,C1650)=1,SUMIF($C$2:$C$5001,C1650,$H$2:$H$5001)+ROW()/10000000,0))</f>
        <v>0</v>
      </c>
    </row>
    <row r="1651" customFormat="false" ht="15" hidden="false" customHeight="false" outlineLevel="0" collapsed="false">
      <c r="A1651" s="43"/>
      <c r="B1651" s="44"/>
      <c r="C1651" s="44"/>
      <c r="D1651" s="44"/>
      <c r="E1651" s="44"/>
      <c r="F1651" s="44"/>
      <c r="G1651" s="44"/>
      <c r="H1651" s="46" t="str">
        <f aca="false">IF($A1651="","",IF(OR(NOT(ISNUMBER(E1651)),NOT(ISNUMBER(F1651))),"",MAX(0,E1651)*F1651))</f>
        <v/>
      </c>
      <c r="I1651" s="46" t="str">
        <f aca="false">IF($A1651="","",SUMIF($A$2:$A$5001,$A1651,$H$2:$H$5001))</f>
        <v/>
      </c>
      <c r="J1651" s="47" t="n">
        <f aca="false">IF($A1651="",0,IF(COUNTIF($A$2:A1651,$A1651)=1,1,0))</f>
        <v>0</v>
      </c>
      <c r="K1651" s="47" t="n">
        <f aca="false">IF(J1651=1,N(I1651)+ROW()/10000000,0)</f>
        <v>0</v>
      </c>
      <c r="L1651" s="47" t="str">
        <f aca="false">IF(AND(J1651=1,N(I1651)&gt;0),SUMIF($K$2:$K$5001,"&gt;="&amp;K1651,$I$2:$I$5001)/MAX(1,SUM($H$2:$H$5001)),"")</f>
        <v/>
      </c>
      <c r="M1651" s="47" t="str">
        <f aca="false">IF($A1651="","",INDEX($L$2:$L$5001,MATCH($A1651,$A$2:$A$5001,0)))</f>
        <v/>
      </c>
      <c r="N1651" s="48" t="str">
        <f aca="false">IF($A1651="","",IF(N(M1651)=0,"–",IF(M1651&lt;=Start!$D$20,"A",IF(M1651&lt;=Start!$D$21,"B","C"))))</f>
        <v/>
      </c>
      <c r="O1651" s="48" t="str">
        <f aca="false">IF($A1651="","",IF(NOT(ISNUMBER(F1651)),"Wert fehlt; ",IF(F1651&lt;=0,"Wert ist 0; ",""))&amp;IF(NOT(ISNUMBER(E1651)),"Bestand fehlt; ",IF(E1651&lt;0,"Bestand negativ; ",IF(E1651=0,"Nullbestand; ","")))&amp;IF(D1651="","Warengruppe fehlt; ","")&amp;IF(B1651="","Bezeichnung fehlt; ","")&amp;IF(COUNTIFS($A$2:$A$5001,$A1651,$C$2:$C$5001,C1651)&gt;1,"Artikel doppelt im selben Lager; ",""))</f>
        <v/>
      </c>
      <c r="P1651" s="47" t="n">
        <f aca="false">IF(OR($A1651="",D1651=""),0,IF(COUNTIF($D$2:D1651,D1651)=1,SUMIF($D$2:$D$5001,D1651,$H$2:$H$5001)+ROW()/10000000,0))</f>
        <v>0</v>
      </c>
      <c r="Q1651" s="47" t="n">
        <f aca="false">IF(OR($A1651="",C1651=""),0,IF(COUNTIF($C$2:C1651,C1651)=1,SUMIF($C$2:$C$5001,C1651,$H$2:$H$5001)+ROW()/10000000,0))</f>
        <v>0</v>
      </c>
    </row>
    <row r="1652" customFormat="false" ht="15" hidden="false" customHeight="false" outlineLevel="0" collapsed="false">
      <c r="A1652" s="43"/>
      <c r="B1652" s="44"/>
      <c r="C1652" s="44"/>
      <c r="D1652" s="44"/>
      <c r="E1652" s="44"/>
      <c r="F1652" s="44"/>
      <c r="G1652" s="44"/>
      <c r="H1652" s="46" t="str">
        <f aca="false">IF($A1652="","",IF(OR(NOT(ISNUMBER(E1652)),NOT(ISNUMBER(F1652))),"",MAX(0,E1652)*F1652))</f>
        <v/>
      </c>
      <c r="I1652" s="46" t="str">
        <f aca="false">IF($A1652="","",SUMIF($A$2:$A$5001,$A1652,$H$2:$H$5001))</f>
        <v/>
      </c>
      <c r="J1652" s="47" t="n">
        <f aca="false">IF($A1652="",0,IF(COUNTIF($A$2:A1652,$A1652)=1,1,0))</f>
        <v>0</v>
      </c>
      <c r="K1652" s="47" t="n">
        <f aca="false">IF(J1652=1,N(I1652)+ROW()/10000000,0)</f>
        <v>0</v>
      </c>
      <c r="L1652" s="47" t="str">
        <f aca="false">IF(AND(J1652=1,N(I1652)&gt;0),SUMIF($K$2:$K$5001,"&gt;="&amp;K1652,$I$2:$I$5001)/MAX(1,SUM($H$2:$H$5001)),"")</f>
        <v/>
      </c>
      <c r="M1652" s="47" t="str">
        <f aca="false">IF($A1652="","",INDEX($L$2:$L$5001,MATCH($A1652,$A$2:$A$5001,0)))</f>
        <v/>
      </c>
      <c r="N1652" s="48" t="str">
        <f aca="false">IF($A1652="","",IF(N(M1652)=0,"–",IF(M1652&lt;=Start!$D$20,"A",IF(M1652&lt;=Start!$D$21,"B","C"))))</f>
        <v/>
      </c>
      <c r="O1652" s="48" t="str">
        <f aca="false">IF($A1652="","",IF(NOT(ISNUMBER(F1652)),"Wert fehlt; ",IF(F1652&lt;=0,"Wert ist 0; ",""))&amp;IF(NOT(ISNUMBER(E1652)),"Bestand fehlt; ",IF(E1652&lt;0,"Bestand negativ; ",IF(E1652=0,"Nullbestand; ","")))&amp;IF(D1652="","Warengruppe fehlt; ","")&amp;IF(B1652="","Bezeichnung fehlt; ","")&amp;IF(COUNTIFS($A$2:$A$5001,$A1652,$C$2:$C$5001,C1652)&gt;1,"Artikel doppelt im selben Lager; ",""))</f>
        <v/>
      </c>
      <c r="P1652" s="47" t="n">
        <f aca="false">IF(OR($A1652="",D1652=""),0,IF(COUNTIF($D$2:D1652,D1652)=1,SUMIF($D$2:$D$5001,D1652,$H$2:$H$5001)+ROW()/10000000,0))</f>
        <v>0</v>
      </c>
      <c r="Q1652" s="47" t="n">
        <f aca="false">IF(OR($A1652="",C1652=""),0,IF(COUNTIF($C$2:C1652,C1652)=1,SUMIF($C$2:$C$5001,C1652,$H$2:$H$5001)+ROW()/10000000,0))</f>
        <v>0</v>
      </c>
    </row>
    <row r="1653" customFormat="false" ht="15" hidden="false" customHeight="false" outlineLevel="0" collapsed="false">
      <c r="A1653" s="43"/>
      <c r="B1653" s="44"/>
      <c r="C1653" s="44"/>
      <c r="D1653" s="44"/>
      <c r="E1653" s="44"/>
      <c r="F1653" s="44"/>
      <c r="G1653" s="44"/>
      <c r="H1653" s="46" t="str">
        <f aca="false">IF($A1653="","",IF(OR(NOT(ISNUMBER(E1653)),NOT(ISNUMBER(F1653))),"",MAX(0,E1653)*F1653))</f>
        <v/>
      </c>
      <c r="I1653" s="46" t="str">
        <f aca="false">IF($A1653="","",SUMIF($A$2:$A$5001,$A1653,$H$2:$H$5001))</f>
        <v/>
      </c>
      <c r="J1653" s="47" t="n">
        <f aca="false">IF($A1653="",0,IF(COUNTIF($A$2:A1653,$A1653)=1,1,0))</f>
        <v>0</v>
      </c>
      <c r="K1653" s="47" t="n">
        <f aca="false">IF(J1653=1,N(I1653)+ROW()/10000000,0)</f>
        <v>0</v>
      </c>
      <c r="L1653" s="47" t="str">
        <f aca="false">IF(AND(J1653=1,N(I1653)&gt;0),SUMIF($K$2:$K$5001,"&gt;="&amp;K1653,$I$2:$I$5001)/MAX(1,SUM($H$2:$H$5001)),"")</f>
        <v/>
      </c>
      <c r="M1653" s="47" t="str">
        <f aca="false">IF($A1653="","",INDEX($L$2:$L$5001,MATCH($A1653,$A$2:$A$5001,0)))</f>
        <v/>
      </c>
      <c r="N1653" s="48" t="str">
        <f aca="false">IF($A1653="","",IF(N(M1653)=0,"–",IF(M1653&lt;=Start!$D$20,"A",IF(M1653&lt;=Start!$D$21,"B","C"))))</f>
        <v/>
      </c>
      <c r="O1653" s="48" t="str">
        <f aca="false">IF($A1653="","",IF(NOT(ISNUMBER(F1653)),"Wert fehlt; ",IF(F1653&lt;=0,"Wert ist 0; ",""))&amp;IF(NOT(ISNUMBER(E1653)),"Bestand fehlt; ",IF(E1653&lt;0,"Bestand negativ; ",IF(E1653=0,"Nullbestand; ","")))&amp;IF(D1653="","Warengruppe fehlt; ","")&amp;IF(B1653="","Bezeichnung fehlt; ","")&amp;IF(COUNTIFS($A$2:$A$5001,$A1653,$C$2:$C$5001,C1653)&gt;1,"Artikel doppelt im selben Lager; ",""))</f>
        <v/>
      </c>
      <c r="P1653" s="47" t="n">
        <f aca="false">IF(OR($A1653="",D1653=""),0,IF(COUNTIF($D$2:D1653,D1653)=1,SUMIF($D$2:$D$5001,D1653,$H$2:$H$5001)+ROW()/10000000,0))</f>
        <v>0</v>
      </c>
      <c r="Q1653" s="47" t="n">
        <f aca="false">IF(OR($A1653="",C1653=""),0,IF(COUNTIF($C$2:C1653,C1653)=1,SUMIF($C$2:$C$5001,C1653,$H$2:$H$5001)+ROW()/10000000,0))</f>
        <v>0</v>
      </c>
    </row>
    <row r="1654" customFormat="false" ht="15" hidden="false" customHeight="false" outlineLevel="0" collapsed="false">
      <c r="A1654" s="43"/>
      <c r="B1654" s="44"/>
      <c r="C1654" s="44"/>
      <c r="D1654" s="44"/>
      <c r="E1654" s="44"/>
      <c r="F1654" s="44"/>
      <c r="G1654" s="44"/>
      <c r="H1654" s="46" t="str">
        <f aca="false">IF($A1654="","",IF(OR(NOT(ISNUMBER(E1654)),NOT(ISNUMBER(F1654))),"",MAX(0,E1654)*F1654))</f>
        <v/>
      </c>
      <c r="I1654" s="46" t="str">
        <f aca="false">IF($A1654="","",SUMIF($A$2:$A$5001,$A1654,$H$2:$H$5001))</f>
        <v/>
      </c>
      <c r="J1654" s="47" t="n">
        <f aca="false">IF($A1654="",0,IF(COUNTIF($A$2:A1654,$A1654)=1,1,0))</f>
        <v>0</v>
      </c>
      <c r="K1654" s="47" t="n">
        <f aca="false">IF(J1654=1,N(I1654)+ROW()/10000000,0)</f>
        <v>0</v>
      </c>
      <c r="L1654" s="47" t="str">
        <f aca="false">IF(AND(J1654=1,N(I1654)&gt;0),SUMIF($K$2:$K$5001,"&gt;="&amp;K1654,$I$2:$I$5001)/MAX(1,SUM($H$2:$H$5001)),"")</f>
        <v/>
      </c>
      <c r="M1654" s="47" t="str">
        <f aca="false">IF($A1654="","",INDEX($L$2:$L$5001,MATCH($A1654,$A$2:$A$5001,0)))</f>
        <v/>
      </c>
      <c r="N1654" s="48" t="str">
        <f aca="false">IF($A1654="","",IF(N(M1654)=0,"–",IF(M1654&lt;=Start!$D$20,"A",IF(M1654&lt;=Start!$D$21,"B","C"))))</f>
        <v/>
      </c>
      <c r="O1654" s="48" t="str">
        <f aca="false">IF($A1654="","",IF(NOT(ISNUMBER(F1654)),"Wert fehlt; ",IF(F1654&lt;=0,"Wert ist 0; ",""))&amp;IF(NOT(ISNUMBER(E1654)),"Bestand fehlt; ",IF(E1654&lt;0,"Bestand negativ; ",IF(E1654=0,"Nullbestand; ","")))&amp;IF(D1654="","Warengruppe fehlt; ","")&amp;IF(B1654="","Bezeichnung fehlt; ","")&amp;IF(COUNTIFS($A$2:$A$5001,$A1654,$C$2:$C$5001,C1654)&gt;1,"Artikel doppelt im selben Lager; ",""))</f>
        <v/>
      </c>
      <c r="P1654" s="47" t="n">
        <f aca="false">IF(OR($A1654="",D1654=""),0,IF(COUNTIF($D$2:D1654,D1654)=1,SUMIF($D$2:$D$5001,D1654,$H$2:$H$5001)+ROW()/10000000,0))</f>
        <v>0</v>
      </c>
      <c r="Q1654" s="47" t="n">
        <f aca="false">IF(OR($A1654="",C1654=""),0,IF(COUNTIF($C$2:C1654,C1654)=1,SUMIF($C$2:$C$5001,C1654,$H$2:$H$5001)+ROW()/10000000,0))</f>
        <v>0</v>
      </c>
    </row>
    <row r="1655" customFormat="false" ht="15" hidden="false" customHeight="false" outlineLevel="0" collapsed="false">
      <c r="A1655" s="43"/>
      <c r="B1655" s="44"/>
      <c r="C1655" s="44"/>
      <c r="D1655" s="44"/>
      <c r="E1655" s="44"/>
      <c r="F1655" s="44"/>
      <c r="G1655" s="44"/>
      <c r="H1655" s="46" t="str">
        <f aca="false">IF($A1655="","",IF(OR(NOT(ISNUMBER(E1655)),NOT(ISNUMBER(F1655))),"",MAX(0,E1655)*F1655))</f>
        <v/>
      </c>
      <c r="I1655" s="46" t="str">
        <f aca="false">IF($A1655="","",SUMIF($A$2:$A$5001,$A1655,$H$2:$H$5001))</f>
        <v/>
      </c>
      <c r="J1655" s="47" t="n">
        <f aca="false">IF($A1655="",0,IF(COUNTIF($A$2:A1655,$A1655)=1,1,0))</f>
        <v>0</v>
      </c>
      <c r="K1655" s="47" t="n">
        <f aca="false">IF(J1655=1,N(I1655)+ROW()/10000000,0)</f>
        <v>0</v>
      </c>
      <c r="L1655" s="47" t="str">
        <f aca="false">IF(AND(J1655=1,N(I1655)&gt;0),SUMIF($K$2:$K$5001,"&gt;="&amp;K1655,$I$2:$I$5001)/MAX(1,SUM($H$2:$H$5001)),"")</f>
        <v/>
      </c>
      <c r="M1655" s="47" t="str">
        <f aca="false">IF($A1655="","",INDEX($L$2:$L$5001,MATCH($A1655,$A$2:$A$5001,0)))</f>
        <v/>
      </c>
      <c r="N1655" s="48" t="str">
        <f aca="false">IF($A1655="","",IF(N(M1655)=0,"–",IF(M1655&lt;=Start!$D$20,"A",IF(M1655&lt;=Start!$D$21,"B","C"))))</f>
        <v/>
      </c>
      <c r="O1655" s="48" t="str">
        <f aca="false">IF($A1655="","",IF(NOT(ISNUMBER(F1655)),"Wert fehlt; ",IF(F1655&lt;=0,"Wert ist 0; ",""))&amp;IF(NOT(ISNUMBER(E1655)),"Bestand fehlt; ",IF(E1655&lt;0,"Bestand negativ; ",IF(E1655=0,"Nullbestand; ","")))&amp;IF(D1655="","Warengruppe fehlt; ","")&amp;IF(B1655="","Bezeichnung fehlt; ","")&amp;IF(COUNTIFS($A$2:$A$5001,$A1655,$C$2:$C$5001,C1655)&gt;1,"Artikel doppelt im selben Lager; ",""))</f>
        <v/>
      </c>
      <c r="P1655" s="47" t="n">
        <f aca="false">IF(OR($A1655="",D1655=""),0,IF(COUNTIF($D$2:D1655,D1655)=1,SUMIF($D$2:$D$5001,D1655,$H$2:$H$5001)+ROW()/10000000,0))</f>
        <v>0</v>
      </c>
      <c r="Q1655" s="47" t="n">
        <f aca="false">IF(OR($A1655="",C1655=""),0,IF(COUNTIF($C$2:C1655,C1655)=1,SUMIF($C$2:$C$5001,C1655,$H$2:$H$5001)+ROW()/10000000,0))</f>
        <v>0</v>
      </c>
    </row>
    <row r="1656" customFormat="false" ht="15" hidden="false" customHeight="false" outlineLevel="0" collapsed="false">
      <c r="A1656" s="43"/>
      <c r="B1656" s="44"/>
      <c r="C1656" s="44"/>
      <c r="D1656" s="44"/>
      <c r="E1656" s="44"/>
      <c r="F1656" s="44"/>
      <c r="G1656" s="44"/>
      <c r="H1656" s="46" t="str">
        <f aca="false">IF($A1656="","",IF(OR(NOT(ISNUMBER(E1656)),NOT(ISNUMBER(F1656))),"",MAX(0,E1656)*F1656))</f>
        <v/>
      </c>
      <c r="I1656" s="46" t="str">
        <f aca="false">IF($A1656="","",SUMIF($A$2:$A$5001,$A1656,$H$2:$H$5001))</f>
        <v/>
      </c>
      <c r="J1656" s="47" t="n">
        <f aca="false">IF($A1656="",0,IF(COUNTIF($A$2:A1656,$A1656)=1,1,0))</f>
        <v>0</v>
      </c>
      <c r="K1656" s="47" t="n">
        <f aca="false">IF(J1656=1,N(I1656)+ROW()/10000000,0)</f>
        <v>0</v>
      </c>
      <c r="L1656" s="47" t="str">
        <f aca="false">IF(AND(J1656=1,N(I1656)&gt;0),SUMIF($K$2:$K$5001,"&gt;="&amp;K1656,$I$2:$I$5001)/MAX(1,SUM($H$2:$H$5001)),"")</f>
        <v/>
      </c>
      <c r="M1656" s="47" t="str">
        <f aca="false">IF($A1656="","",INDEX($L$2:$L$5001,MATCH($A1656,$A$2:$A$5001,0)))</f>
        <v/>
      </c>
      <c r="N1656" s="48" t="str">
        <f aca="false">IF($A1656="","",IF(N(M1656)=0,"–",IF(M1656&lt;=Start!$D$20,"A",IF(M1656&lt;=Start!$D$21,"B","C"))))</f>
        <v/>
      </c>
      <c r="O1656" s="48" t="str">
        <f aca="false">IF($A1656="","",IF(NOT(ISNUMBER(F1656)),"Wert fehlt; ",IF(F1656&lt;=0,"Wert ist 0; ",""))&amp;IF(NOT(ISNUMBER(E1656)),"Bestand fehlt; ",IF(E1656&lt;0,"Bestand negativ; ",IF(E1656=0,"Nullbestand; ","")))&amp;IF(D1656="","Warengruppe fehlt; ","")&amp;IF(B1656="","Bezeichnung fehlt; ","")&amp;IF(COUNTIFS($A$2:$A$5001,$A1656,$C$2:$C$5001,C1656)&gt;1,"Artikel doppelt im selben Lager; ",""))</f>
        <v/>
      </c>
      <c r="P1656" s="47" t="n">
        <f aca="false">IF(OR($A1656="",D1656=""),0,IF(COUNTIF($D$2:D1656,D1656)=1,SUMIF($D$2:$D$5001,D1656,$H$2:$H$5001)+ROW()/10000000,0))</f>
        <v>0</v>
      </c>
      <c r="Q1656" s="47" t="n">
        <f aca="false">IF(OR($A1656="",C1656=""),0,IF(COUNTIF($C$2:C1656,C1656)=1,SUMIF($C$2:$C$5001,C1656,$H$2:$H$5001)+ROW()/10000000,0))</f>
        <v>0</v>
      </c>
    </row>
    <row r="1657" customFormat="false" ht="15" hidden="false" customHeight="false" outlineLevel="0" collapsed="false">
      <c r="A1657" s="43"/>
      <c r="B1657" s="44"/>
      <c r="C1657" s="44"/>
      <c r="D1657" s="44"/>
      <c r="E1657" s="44"/>
      <c r="F1657" s="44"/>
      <c r="G1657" s="44"/>
      <c r="H1657" s="46" t="str">
        <f aca="false">IF($A1657="","",IF(OR(NOT(ISNUMBER(E1657)),NOT(ISNUMBER(F1657))),"",MAX(0,E1657)*F1657))</f>
        <v/>
      </c>
      <c r="I1657" s="46" t="str">
        <f aca="false">IF($A1657="","",SUMIF($A$2:$A$5001,$A1657,$H$2:$H$5001))</f>
        <v/>
      </c>
      <c r="J1657" s="47" t="n">
        <f aca="false">IF($A1657="",0,IF(COUNTIF($A$2:A1657,$A1657)=1,1,0))</f>
        <v>0</v>
      </c>
      <c r="K1657" s="47" t="n">
        <f aca="false">IF(J1657=1,N(I1657)+ROW()/10000000,0)</f>
        <v>0</v>
      </c>
      <c r="L1657" s="47" t="str">
        <f aca="false">IF(AND(J1657=1,N(I1657)&gt;0),SUMIF($K$2:$K$5001,"&gt;="&amp;K1657,$I$2:$I$5001)/MAX(1,SUM($H$2:$H$5001)),"")</f>
        <v/>
      </c>
      <c r="M1657" s="47" t="str">
        <f aca="false">IF($A1657="","",INDEX($L$2:$L$5001,MATCH($A1657,$A$2:$A$5001,0)))</f>
        <v/>
      </c>
      <c r="N1657" s="48" t="str">
        <f aca="false">IF($A1657="","",IF(N(M1657)=0,"–",IF(M1657&lt;=Start!$D$20,"A",IF(M1657&lt;=Start!$D$21,"B","C"))))</f>
        <v/>
      </c>
      <c r="O1657" s="48" t="str">
        <f aca="false">IF($A1657="","",IF(NOT(ISNUMBER(F1657)),"Wert fehlt; ",IF(F1657&lt;=0,"Wert ist 0; ",""))&amp;IF(NOT(ISNUMBER(E1657)),"Bestand fehlt; ",IF(E1657&lt;0,"Bestand negativ; ",IF(E1657=0,"Nullbestand; ","")))&amp;IF(D1657="","Warengruppe fehlt; ","")&amp;IF(B1657="","Bezeichnung fehlt; ","")&amp;IF(COUNTIFS($A$2:$A$5001,$A1657,$C$2:$C$5001,C1657)&gt;1,"Artikel doppelt im selben Lager; ",""))</f>
        <v/>
      </c>
      <c r="P1657" s="47" t="n">
        <f aca="false">IF(OR($A1657="",D1657=""),0,IF(COUNTIF($D$2:D1657,D1657)=1,SUMIF($D$2:$D$5001,D1657,$H$2:$H$5001)+ROW()/10000000,0))</f>
        <v>0</v>
      </c>
      <c r="Q1657" s="47" t="n">
        <f aca="false">IF(OR($A1657="",C1657=""),0,IF(COUNTIF($C$2:C1657,C1657)=1,SUMIF($C$2:$C$5001,C1657,$H$2:$H$5001)+ROW()/10000000,0))</f>
        <v>0</v>
      </c>
    </row>
    <row r="1658" customFormat="false" ht="15" hidden="false" customHeight="false" outlineLevel="0" collapsed="false">
      <c r="A1658" s="43"/>
      <c r="B1658" s="44"/>
      <c r="C1658" s="44"/>
      <c r="D1658" s="44"/>
      <c r="E1658" s="44"/>
      <c r="F1658" s="44"/>
      <c r="G1658" s="44"/>
      <c r="H1658" s="46" t="str">
        <f aca="false">IF($A1658="","",IF(OR(NOT(ISNUMBER(E1658)),NOT(ISNUMBER(F1658))),"",MAX(0,E1658)*F1658))</f>
        <v/>
      </c>
      <c r="I1658" s="46" t="str">
        <f aca="false">IF($A1658="","",SUMIF($A$2:$A$5001,$A1658,$H$2:$H$5001))</f>
        <v/>
      </c>
      <c r="J1658" s="47" t="n">
        <f aca="false">IF($A1658="",0,IF(COUNTIF($A$2:A1658,$A1658)=1,1,0))</f>
        <v>0</v>
      </c>
      <c r="K1658" s="47" t="n">
        <f aca="false">IF(J1658=1,N(I1658)+ROW()/10000000,0)</f>
        <v>0</v>
      </c>
      <c r="L1658" s="47" t="str">
        <f aca="false">IF(AND(J1658=1,N(I1658)&gt;0),SUMIF($K$2:$K$5001,"&gt;="&amp;K1658,$I$2:$I$5001)/MAX(1,SUM($H$2:$H$5001)),"")</f>
        <v/>
      </c>
      <c r="M1658" s="47" t="str">
        <f aca="false">IF($A1658="","",INDEX($L$2:$L$5001,MATCH($A1658,$A$2:$A$5001,0)))</f>
        <v/>
      </c>
      <c r="N1658" s="48" t="str">
        <f aca="false">IF($A1658="","",IF(N(M1658)=0,"–",IF(M1658&lt;=Start!$D$20,"A",IF(M1658&lt;=Start!$D$21,"B","C"))))</f>
        <v/>
      </c>
      <c r="O1658" s="48" t="str">
        <f aca="false">IF($A1658="","",IF(NOT(ISNUMBER(F1658)),"Wert fehlt; ",IF(F1658&lt;=0,"Wert ist 0; ",""))&amp;IF(NOT(ISNUMBER(E1658)),"Bestand fehlt; ",IF(E1658&lt;0,"Bestand negativ; ",IF(E1658=0,"Nullbestand; ","")))&amp;IF(D1658="","Warengruppe fehlt; ","")&amp;IF(B1658="","Bezeichnung fehlt; ","")&amp;IF(COUNTIFS($A$2:$A$5001,$A1658,$C$2:$C$5001,C1658)&gt;1,"Artikel doppelt im selben Lager; ",""))</f>
        <v/>
      </c>
      <c r="P1658" s="47" t="n">
        <f aca="false">IF(OR($A1658="",D1658=""),0,IF(COUNTIF($D$2:D1658,D1658)=1,SUMIF($D$2:$D$5001,D1658,$H$2:$H$5001)+ROW()/10000000,0))</f>
        <v>0</v>
      </c>
      <c r="Q1658" s="47" t="n">
        <f aca="false">IF(OR($A1658="",C1658=""),0,IF(COUNTIF($C$2:C1658,C1658)=1,SUMIF($C$2:$C$5001,C1658,$H$2:$H$5001)+ROW()/10000000,0))</f>
        <v>0</v>
      </c>
    </row>
    <row r="1659" customFormat="false" ht="15" hidden="false" customHeight="false" outlineLevel="0" collapsed="false">
      <c r="A1659" s="43"/>
      <c r="B1659" s="44"/>
      <c r="C1659" s="44"/>
      <c r="D1659" s="44"/>
      <c r="E1659" s="44"/>
      <c r="F1659" s="44"/>
      <c r="G1659" s="44"/>
      <c r="H1659" s="46" t="str">
        <f aca="false">IF($A1659="","",IF(OR(NOT(ISNUMBER(E1659)),NOT(ISNUMBER(F1659))),"",MAX(0,E1659)*F1659))</f>
        <v/>
      </c>
      <c r="I1659" s="46" t="str">
        <f aca="false">IF($A1659="","",SUMIF($A$2:$A$5001,$A1659,$H$2:$H$5001))</f>
        <v/>
      </c>
      <c r="J1659" s="47" t="n">
        <f aca="false">IF($A1659="",0,IF(COUNTIF($A$2:A1659,$A1659)=1,1,0))</f>
        <v>0</v>
      </c>
      <c r="K1659" s="47" t="n">
        <f aca="false">IF(J1659=1,N(I1659)+ROW()/10000000,0)</f>
        <v>0</v>
      </c>
      <c r="L1659" s="47" t="str">
        <f aca="false">IF(AND(J1659=1,N(I1659)&gt;0),SUMIF($K$2:$K$5001,"&gt;="&amp;K1659,$I$2:$I$5001)/MAX(1,SUM($H$2:$H$5001)),"")</f>
        <v/>
      </c>
      <c r="M1659" s="47" t="str">
        <f aca="false">IF($A1659="","",INDEX($L$2:$L$5001,MATCH($A1659,$A$2:$A$5001,0)))</f>
        <v/>
      </c>
      <c r="N1659" s="48" t="str">
        <f aca="false">IF($A1659="","",IF(N(M1659)=0,"–",IF(M1659&lt;=Start!$D$20,"A",IF(M1659&lt;=Start!$D$21,"B","C"))))</f>
        <v/>
      </c>
      <c r="O1659" s="48" t="str">
        <f aca="false">IF($A1659="","",IF(NOT(ISNUMBER(F1659)),"Wert fehlt; ",IF(F1659&lt;=0,"Wert ist 0; ",""))&amp;IF(NOT(ISNUMBER(E1659)),"Bestand fehlt; ",IF(E1659&lt;0,"Bestand negativ; ",IF(E1659=0,"Nullbestand; ","")))&amp;IF(D1659="","Warengruppe fehlt; ","")&amp;IF(B1659="","Bezeichnung fehlt; ","")&amp;IF(COUNTIFS($A$2:$A$5001,$A1659,$C$2:$C$5001,C1659)&gt;1,"Artikel doppelt im selben Lager; ",""))</f>
        <v/>
      </c>
      <c r="P1659" s="47" t="n">
        <f aca="false">IF(OR($A1659="",D1659=""),0,IF(COUNTIF($D$2:D1659,D1659)=1,SUMIF($D$2:$D$5001,D1659,$H$2:$H$5001)+ROW()/10000000,0))</f>
        <v>0</v>
      </c>
      <c r="Q1659" s="47" t="n">
        <f aca="false">IF(OR($A1659="",C1659=""),0,IF(COUNTIF($C$2:C1659,C1659)=1,SUMIF($C$2:$C$5001,C1659,$H$2:$H$5001)+ROW()/10000000,0))</f>
        <v>0</v>
      </c>
    </row>
    <row r="1660" customFormat="false" ht="15" hidden="false" customHeight="false" outlineLevel="0" collapsed="false">
      <c r="A1660" s="43"/>
      <c r="B1660" s="44"/>
      <c r="C1660" s="44"/>
      <c r="D1660" s="44"/>
      <c r="E1660" s="44"/>
      <c r="F1660" s="44"/>
      <c r="G1660" s="44"/>
      <c r="H1660" s="46" t="str">
        <f aca="false">IF($A1660="","",IF(OR(NOT(ISNUMBER(E1660)),NOT(ISNUMBER(F1660))),"",MAX(0,E1660)*F1660))</f>
        <v/>
      </c>
      <c r="I1660" s="46" t="str">
        <f aca="false">IF($A1660="","",SUMIF($A$2:$A$5001,$A1660,$H$2:$H$5001))</f>
        <v/>
      </c>
      <c r="J1660" s="47" t="n">
        <f aca="false">IF($A1660="",0,IF(COUNTIF($A$2:A1660,$A1660)=1,1,0))</f>
        <v>0</v>
      </c>
      <c r="K1660" s="47" t="n">
        <f aca="false">IF(J1660=1,N(I1660)+ROW()/10000000,0)</f>
        <v>0</v>
      </c>
      <c r="L1660" s="47" t="str">
        <f aca="false">IF(AND(J1660=1,N(I1660)&gt;0),SUMIF($K$2:$K$5001,"&gt;="&amp;K1660,$I$2:$I$5001)/MAX(1,SUM($H$2:$H$5001)),"")</f>
        <v/>
      </c>
      <c r="M1660" s="47" t="str">
        <f aca="false">IF($A1660="","",INDEX($L$2:$L$5001,MATCH($A1660,$A$2:$A$5001,0)))</f>
        <v/>
      </c>
      <c r="N1660" s="48" t="str">
        <f aca="false">IF($A1660="","",IF(N(M1660)=0,"–",IF(M1660&lt;=Start!$D$20,"A",IF(M1660&lt;=Start!$D$21,"B","C"))))</f>
        <v/>
      </c>
      <c r="O1660" s="48" t="str">
        <f aca="false">IF($A1660="","",IF(NOT(ISNUMBER(F1660)),"Wert fehlt; ",IF(F1660&lt;=0,"Wert ist 0; ",""))&amp;IF(NOT(ISNUMBER(E1660)),"Bestand fehlt; ",IF(E1660&lt;0,"Bestand negativ; ",IF(E1660=0,"Nullbestand; ","")))&amp;IF(D1660="","Warengruppe fehlt; ","")&amp;IF(B1660="","Bezeichnung fehlt; ","")&amp;IF(COUNTIFS($A$2:$A$5001,$A1660,$C$2:$C$5001,C1660)&gt;1,"Artikel doppelt im selben Lager; ",""))</f>
        <v/>
      </c>
      <c r="P1660" s="47" t="n">
        <f aca="false">IF(OR($A1660="",D1660=""),0,IF(COUNTIF($D$2:D1660,D1660)=1,SUMIF($D$2:$D$5001,D1660,$H$2:$H$5001)+ROW()/10000000,0))</f>
        <v>0</v>
      </c>
      <c r="Q1660" s="47" t="n">
        <f aca="false">IF(OR($A1660="",C1660=""),0,IF(COUNTIF($C$2:C1660,C1660)=1,SUMIF($C$2:$C$5001,C1660,$H$2:$H$5001)+ROW()/10000000,0))</f>
        <v>0</v>
      </c>
    </row>
    <row r="1661" customFormat="false" ht="15" hidden="false" customHeight="false" outlineLevel="0" collapsed="false">
      <c r="A1661" s="43"/>
      <c r="B1661" s="44"/>
      <c r="C1661" s="44"/>
      <c r="D1661" s="44"/>
      <c r="E1661" s="44"/>
      <c r="F1661" s="44"/>
      <c r="G1661" s="44"/>
      <c r="H1661" s="46" t="str">
        <f aca="false">IF($A1661="","",IF(OR(NOT(ISNUMBER(E1661)),NOT(ISNUMBER(F1661))),"",MAX(0,E1661)*F1661))</f>
        <v/>
      </c>
      <c r="I1661" s="46" t="str">
        <f aca="false">IF($A1661="","",SUMIF($A$2:$A$5001,$A1661,$H$2:$H$5001))</f>
        <v/>
      </c>
      <c r="J1661" s="47" t="n">
        <f aca="false">IF($A1661="",0,IF(COUNTIF($A$2:A1661,$A1661)=1,1,0))</f>
        <v>0</v>
      </c>
      <c r="K1661" s="47" t="n">
        <f aca="false">IF(J1661=1,N(I1661)+ROW()/10000000,0)</f>
        <v>0</v>
      </c>
      <c r="L1661" s="47" t="str">
        <f aca="false">IF(AND(J1661=1,N(I1661)&gt;0),SUMIF($K$2:$K$5001,"&gt;="&amp;K1661,$I$2:$I$5001)/MAX(1,SUM($H$2:$H$5001)),"")</f>
        <v/>
      </c>
      <c r="M1661" s="47" t="str">
        <f aca="false">IF($A1661="","",INDEX($L$2:$L$5001,MATCH($A1661,$A$2:$A$5001,0)))</f>
        <v/>
      </c>
      <c r="N1661" s="48" t="str">
        <f aca="false">IF($A1661="","",IF(N(M1661)=0,"–",IF(M1661&lt;=Start!$D$20,"A",IF(M1661&lt;=Start!$D$21,"B","C"))))</f>
        <v/>
      </c>
      <c r="O1661" s="48" t="str">
        <f aca="false">IF($A1661="","",IF(NOT(ISNUMBER(F1661)),"Wert fehlt; ",IF(F1661&lt;=0,"Wert ist 0; ",""))&amp;IF(NOT(ISNUMBER(E1661)),"Bestand fehlt; ",IF(E1661&lt;0,"Bestand negativ; ",IF(E1661=0,"Nullbestand; ","")))&amp;IF(D1661="","Warengruppe fehlt; ","")&amp;IF(B1661="","Bezeichnung fehlt; ","")&amp;IF(COUNTIFS($A$2:$A$5001,$A1661,$C$2:$C$5001,C1661)&gt;1,"Artikel doppelt im selben Lager; ",""))</f>
        <v/>
      </c>
      <c r="P1661" s="47" t="n">
        <f aca="false">IF(OR($A1661="",D1661=""),0,IF(COUNTIF($D$2:D1661,D1661)=1,SUMIF($D$2:$D$5001,D1661,$H$2:$H$5001)+ROW()/10000000,0))</f>
        <v>0</v>
      </c>
      <c r="Q1661" s="47" t="n">
        <f aca="false">IF(OR($A1661="",C1661=""),0,IF(COUNTIF($C$2:C1661,C1661)=1,SUMIF($C$2:$C$5001,C1661,$H$2:$H$5001)+ROW()/10000000,0))</f>
        <v>0</v>
      </c>
    </row>
    <row r="1662" customFormat="false" ht="15" hidden="false" customHeight="false" outlineLevel="0" collapsed="false">
      <c r="A1662" s="43"/>
      <c r="B1662" s="44"/>
      <c r="C1662" s="44"/>
      <c r="D1662" s="44"/>
      <c r="E1662" s="44"/>
      <c r="F1662" s="44"/>
      <c r="G1662" s="44"/>
      <c r="H1662" s="46" t="str">
        <f aca="false">IF($A1662="","",IF(OR(NOT(ISNUMBER(E1662)),NOT(ISNUMBER(F1662))),"",MAX(0,E1662)*F1662))</f>
        <v/>
      </c>
      <c r="I1662" s="46" t="str">
        <f aca="false">IF($A1662="","",SUMIF($A$2:$A$5001,$A1662,$H$2:$H$5001))</f>
        <v/>
      </c>
      <c r="J1662" s="47" t="n">
        <f aca="false">IF($A1662="",0,IF(COUNTIF($A$2:A1662,$A1662)=1,1,0))</f>
        <v>0</v>
      </c>
      <c r="K1662" s="47" t="n">
        <f aca="false">IF(J1662=1,N(I1662)+ROW()/10000000,0)</f>
        <v>0</v>
      </c>
      <c r="L1662" s="47" t="str">
        <f aca="false">IF(AND(J1662=1,N(I1662)&gt;0),SUMIF($K$2:$K$5001,"&gt;="&amp;K1662,$I$2:$I$5001)/MAX(1,SUM($H$2:$H$5001)),"")</f>
        <v/>
      </c>
      <c r="M1662" s="47" t="str">
        <f aca="false">IF($A1662="","",INDEX($L$2:$L$5001,MATCH($A1662,$A$2:$A$5001,0)))</f>
        <v/>
      </c>
      <c r="N1662" s="48" t="str">
        <f aca="false">IF($A1662="","",IF(N(M1662)=0,"–",IF(M1662&lt;=Start!$D$20,"A",IF(M1662&lt;=Start!$D$21,"B","C"))))</f>
        <v/>
      </c>
      <c r="O1662" s="48" t="str">
        <f aca="false">IF($A1662="","",IF(NOT(ISNUMBER(F1662)),"Wert fehlt; ",IF(F1662&lt;=0,"Wert ist 0; ",""))&amp;IF(NOT(ISNUMBER(E1662)),"Bestand fehlt; ",IF(E1662&lt;0,"Bestand negativ; ",IF(E1662=0,"Nullbestand; ","")))&amp;IF(D1662="","Warengruppe fehlt; ","")&amp;IF(B1662="","Bezeichnung fehlt; ","")&amp;IF(COUNTIFS($A$2:$A$5001,$A1662,$C$2:$C$5001,C1662)&gt;1,"Artikel doppelt im selben Lager; ",""))</f>
        <v/>
      </c>
      <c r="P1662" s="47" t="n">
        <f aca="false">IF(OR($A1662="",D1662=""),0,IF(COUNTIF($D$2:D1662,D1662)=1,SUMIF($D$2:$D$5001,D1662,$H$2:$H$5001)+ROW()/10000000,0))</f>
        <v>0</v>
      </c>
      <c r="Q1662" s="47" t="n">
        <f aca="false">IF(OR($A1662="",C1662=""),0,IF(COUNTIF($C$2:C1662,C1662)=1,SUMIF($C$2:$C$5001,C1662,$H$2:$H$5001)+ROW()/10000000,0))</f>
        <v>0</v>
      </c>
    </row>
    <row r="1663" customFormat="false" ht="15" hidden="false" customHeight="false" outlineLevel="0" collapsed="false">
      <c r="A1663" s="43"/>
      <c r="B1663" s="44"/>
      <c r="C1663" s="44"/>
      <c r="D1663" s="44"/>
      <c r="E1663" s="44"/>
      <c r="F1663" s="44"/>
      <c r="G1663" s="44"/>
      <c r="H1663" s="46" t="str">
        <f aca="false">IF($A1663="","",IF(OR(NOT(ISNUMBER(E1663)),NOT(ISNUMBER(F1663))),"",MAX(0,E1663)*F1663))</f>
        <v/>
      </c>
      <c r="I1663" s="46" t="str">
        <f aca="false">IF($A1663="","",SUMIF($A$2:$A$5001,$A1663,$H$2:$H$5001))</f>
        <v/>
      </c>
      <c r="J1663" s="47" t="n">
        <f aca="false">IF($A1663="",0,IF(COUNTIF($A$2:A1663,$A1663)=1,1,0))</f>
        <v>0</v>
      </c>
      <c r="K1663" s="47" t="n">
        <f aca="false">IF(J1663=1,N(I1663)+ROW()/10000000,0)</f>
        <v>0</v>
      </c>
      <c r="L1663" s="47" t="str">
        <f aca="false">IF(AND(J1663=1,N(I1663)&gt;0),SUMIF($K$2:$K$5001,"&gt;="&amp;K1663,$I$2:$I$5001)/MAX(1,SUM($H$2:$H$5001)),"")</f>
        <v/>
      </c>
      <c r="M1663" s="47" t="str">
        <f aca="false">IF($A1663="","",INDEX($L$2:$L$5001,MATCH($A1663,$A$2:$A$5001,0)))</f>
        <v/>
      </c>
      <c r="N1663" s="48" t="str">
        <f aca="false">IF($A1663="","",IF(N(M1663)=0,"–",IF(M1663&lt;=Start!$D$20,"A",IF(M1663&lt;=Start!$D$21,"B","C"))))</f>
        <v/>
      </c>
      <c r="O1663" s="48" t="str">
        <f aca="false">IF($A1663="","",IF(NOT(ISNUMBER(F1663)),"Wert fehlt; ",IF(F1663&lt;=0,"Wert ist 0; ",""))&amp;IF(NOT(ISNUMBER(E1663)),"Bestand fehlt; ",IF(E1663&lt;0,"Bestand negativ; ",IF(E1663=0,"Nullbestand; ","")))&amp;IF(D1663="","Warengruppe fehlt; ","")&amp;IF(B1663="","Bezeichnung fehlt; ","")&amp;IF(COUNTIFS($A$2:$A$5001,$A1663,$C$2:$C$5001,C1663)&gt;1,"Artikel doppelt im selben Lager; ",""))</f>
        <v/>
      </c>
      <c r="P1663" s="47" t="n">
        <f aca="false">IF(OR($A1663="",D1663=""),0,IF(COUNTIF($D$2:D1663,D1663)=1,SUMIF($D$2:$D$5001,D1663,$H$2:$H$5001)+ROW()/10000000,0))</f>
        <v>0</v>
      </c>
      <c r="Q1663" s="47" t="n">
        <f aca="false">IF(OR($A1663="",C1663=""),0,IF(COUNTIF($C$2:C1663,C1663)=1,SUMIF($C$2:$C$5001,C1663,$H$2:$H$5001)+ROW()/10000000,0))</f>
        <v>0</v>
      </c>
    </row>
    <row r="1664" customFormat="false" ht="15" hidden="false" customHeight="false" outlineLevel="0" collapsed="false">
      <c r="A1664" s="43"/>
      <c r="B1664" s="44"/>
      <c r="C1664" s="44"/>
      <c r="D1664" s="44"/>
      <c r="E1664" s="44"/>
      <c r="F1664" s="44"/>
      <c r="G1664" s="44"/>
      <c r="H1664" s="46" t="str">
        <f aca="false">IF($A1664="","",IF(OR(NOT(ISNUMBER(E1664)),NOT(ISNUMBER(F1664))),"",MAX(0,E1664)*F1664))</f>
        <v/>
      </c>
      <c r="I1664" s="46" t="str">
        <f aca="false">IF($A1664="","",SUMIF($A$2:$A$5001,$A1664,$H$2:$H$5001))</f>
        <v/>
      </c>
      <c r="J1664" s="47" t="n">
        <f aca="false">IF($A1664="",0,IF(COUNTIF($A$2:A1664,$A1664)=1,1,0))</f>
        <v>0</v>
      </c>
      <c r="K1664" s="47" t="n">
        <f aca="false">IF(J1664=1,N(I1664)+ROW()/10000000,0)</f>
        <v>0</v>
      </c>
      <c r="L1664" s="47" t="str">
        <f aca="false">IF(AND(J1664=1,N(I1664)&gt;0),SUMIF($K$2:$K$5001,"&gt;="&amp;K1664,$I$2:$I$5001)/MAX(1,SUM($H$2:$H$5001)),"")</f>
        <v/>
      </c>
      <c r="M1664" s="47" t="str">
        <f aca="false">IF($A1664="","",INDEX($L$2:$L$5001,MATCH($A1664,$A$2:$A$5001,0)))</f>
        <v/>
      </c>
      <c r="N1664" s="48" t="str">
        <f aca="false">IF($A1664="","",IF(N(M1664)=0,"–",IF(M1664&lt;=Start!$D$20,"A",IF(M1664&lt;=Start!$D$21,"B","C"))))</f>
        <v/>
      </c>
      <c r="O1664" s="48" t="str">
        <f aca="false">IF($A1664="","",IF(NOT(ISNUMBER(F1664)),"Wert fehlt; ",IF(F1664&lt;=0,"Wert ist 0; ",""))&amp;IF(NOT(ISNUMBER(E1664)),"Bestand fehlt; ",IF(E1664&lt;0,"Bestand negativ; ",IF(E1664=0,"Nullbestand; ","")))&amp;IF(D1664="","Warengruppe fehlt; ","")&amp;IF(B1664="","Bezeichnung fehlt; ","")&amp;IF(COUNTIFS($A$2:$A$5001,$A1664,$C$2:$C$5001,C1664)&gt;1,"Artikel doppelt im selben Lager; ",""))</f>
        <v/>
      </c>
      <c r="P1664" s="47" t="n">
        <f aca="false">IF(OR($A1664="",D1664=""),0,IF(COUNTIF($D$2:D1664,D1664)=1,SUMIF($D$2:$D$5001,D1664,$H$2:$H$5001)+ROW()/10000000,0))</f>
        <v>0</v>
      </c>
      <c r="Q1664" s="47" t="n">
        <f aca="false">IF(OR($A1664="",C1664=""),0,IF(COUNTIF($C$2:C1664,C1664)=1,SUMIF($C$2:$C$5001,C1664,$H$2:$H$5001)+ROW()/10000000,0))</f>
        <v>0</v>
      </c>
    </row>
    <row r="1665" customFormat="false" ht="15" hidden="false" customHeight="false" outlineLevel="0" collapsed="false">
      <c r="A1665" s="43"/>
      <c r="B1665" s="44"/>
      <c r="C1665" s="44"/>
      <c r="D1665" s="44"/>
      <c r="E1665" s="44"/>
      <c r="F1665" s="44"/>
      <c r="G1665" s="44"/>
      <c r="H1665" s="46" t="str">
        <f aca="false">IF($A1665="","",IF(OR(NOT(ISNUMBER(E1665)),NOT(ISNUMBER(F1665))),"",MAX(0,E1665)*F1665))</f>
        <v/>
      </c>
      <c r="I1665" s="46" t="str">
        <f aca="false">IF($A1665="","",SUMIF($A$2:$A$5001,$A1665,$H$2:$H$5001))</f>
        <v/>
      </c>
      <c r="J1665" s="47" t="n">
        <f aca="false">IF($A1665="",0,IF(COUNTIF($A$2:A1665,$A1665)=1,1,0))</f>
        <v>0</v>
      </c>
      <c r="K1665" s="47" t="n">
        <f aca="false">IF(J1665=1,N(I1665)+ROW()/10000000,0)</f>
        <v>0</v>
      </c>
      <c r="L1665" s="47" t="str">
        <f aca="false">IF(AND(J1665=1,N(I1665)&gt;0),SUMIF($K$2:$K$5001,"&gt;="&amp;K1665,$I$2:$I$5001)/MAX(1,SUM($H$2:$H$5001)),"")</f>
        <v/>
      </c>
      <c r="M1665" s="47" t="str">
        <f aca="false">IF($A1665="","",INDEX($L$2:$L$5001,MATCH($A1665,$A$2:$A$5001,0)))</f>
        <v/>
      </c>
      <c r="N1665" s="48" t="str">
        <f aca="false">IF($A1665="","",IF(N(M1665)=0,"–",IF(M1665&lt;=Start!$D$20,"A",IF(M1665&lt;=Start!$D$21,"B","C"))))</f>
        <v/>
      </c>
      <c r="O1665" s="48" t="str">
        <f aca="false">IF($A1665="","",IF(NOT(ISNUMBER(F1665)),"Wert fehlt; ",IF(F1665&lt;=0,"Wert ist 0; ",""))&amp;IF(NOT(ISNUMBER(E1665)),"Bestand fehlt; ",IF(E1665&lt;0,"Bestand negativ; ",IF(E1665=0,"Nullbestand; ","")))&amp;IF(D1665="","Warengruppe fehlt; ","")&amp;IF(B1665="","Bezeichnung fehlt; ","")&amp;IF(COUNTIFS($A$2:$A$5001,$A1665,$C$2:$C$5001,C1665)&gt;1,"Artikel doppelt im selben Lager; ",""))</f>
        <v/>
      </c>
      <c r="P1665" s="47" t="n">
        <f aca="false">IF(OR($A1665="",D1665=""),0,IF(COUNTIF($D$2:D1665,D1665)=1,SUMIF($D$2:$D$5001,D1665,$H$2:$H$5001)+ROW()/10000000,0))</f>
        <v>0</v>
      </c>
      <c r="Q1665" s="47" t="n">
        <f aca="false">IF(OR($A1665="",C1665=""),0,IF(COUNTIF($C$2:C1665,C1665)=1,SUMIF($C$2:$C$5001,C1665,$H$2:$H$5001)+ROW()/10000000,0))</f>
        <v>0</v>
      </c>
    </row>
    <row r="1666" customFormat="false" ht="15" hidden="false" customHeight="false" outlineLevel="0" collapsed="false">
      <c r="A1666" s="43"/>
      <c r="B1666" s="44"/>
      <c r="C1666" s="44"/>
      <c r="D1666" s="44"/>
      <c r="E1666" s="44"/>
      <c r="F1666" s="44"/>
      <c r="G1666" s="44"/>
      <c r="H1666" s="46" t="str">
        <f aca="false">IF($A1666="","",IF(OR(NOT(ISNUMBER(E1666)),NOT(ISNUMBER(F1666))),"",MAX(0,E1666)*F1666))</f>
        <v/>
      </c>
      <c r="I1666" s="46" t="str">
        <f aca="false">IF($A1666="","",SUMIF($A$2:$A$5001,$A1666,$H$2:$H$5001))</f>
        <v/>
      </c>
      <c r="J1666" s="47" t="n">
        <f aca="false">IF($A1666="",0,IF(COUNTIF($A$2:A1666,$A1666)=1,1,0))</f>
        <v>0</v>
      </c>
      <c r="K1666" s="47" t="n">
        <f aca="false">IF(J1666=1,N(I1666)+ROW()/10000000,0)</f>
        <v>0</v>
      </c>
      <c r="L1666" s="47" t="str">
        <f aca="false">IF(AND(J1666=1,N(I1666)&gt;0),SUMIF($K$2:$K$5001,"&gt;="&amp;K1666,$I$2:$I$5001)/MAX(1,SUM($H$2:$H$5001)),"")</f>
        <v/>
      </c>
      <c r="M1666" s="47" t="str">
        <f aca="false">IF($A1666="","",INDEX($L$2:$L$5001,MATCH($A1666,$A$2:$A$5001,0)))</f>
        <v/>
      </c>
      <c r="N1666" s="48" t="str">
        <f aca="false">IF($A1666="","",IF(N(M1666)=0,"–",IF(M1666&lt;=Start!$D$20,"A",IF(M1666&lt;=Start!$D$21,"B","C"))))</f>
        <v/>
      </c>
      <c r="O1666" s="48" t="str">
        <f aca="false">IF($A1666="","",IF(NOT(ISNUMBER(F1666)),"Wert fehlt; ",IF(F1666&lt;=0,"Wert ist 0; ",""))&amp;IF(NOT(ISNUMBER(E1666)),"Bestand fehlt; ",IF(E1666&lt;0,"Bestand negativ; ",IF(E1666=0,"Nullbestand; ","")))&amp;IF(D1666="","Warengruppe fehlt; ","")&amp;IF(B1666="","Bezeichnung fehlt; ","")&amp;IF(COUNTIFS($A$2:$A$5001,$A1666,$C$2:$C$5001,C1666)&gt;1,"Artikel doppelt im selben Lager; ",""))</f>
        <v/>
      </c>
      <c r="P1666" s="47" t="n">
        <f aca="false">IF(OR($A1666="",D1666=""),0,IF(COUNTIF($D$2:D1666,D1666)=1,SUMIF($D$2:$D$5001,D1666,$H$2:$H$5001)+ROW()/10000000,0))</f>
        <v>0</v>
      </c>
      <c r="Q1666" s="47" t="n">
        <f aca="false">IF(OR($A1666="",C1666=""),0,IF(COUNTIF($C$2:C1666,C1666)=1,SUMIF($C$2:$C$5001,C1666,$H$2:$H$5001)+ROW()/10000000,0))</f>
        <v>0</v>
      </c>
    </row>
    <row r="1667" customFormat="false" ht="15" hidden="false" customHeight="false" outlineLevel="0" collapsed="false">
      <c r="A1667" s="43"/>
      <c r="B1667" s="44"/>
      <c r="C1667" s="44"/>
      <c r="D1667" s="44"/>
      <c r="E1667" s="44"/>
      <c r="F1667" s="44"/>
      <c r="G1667" s="44"/>
      <c r="H1667" s="46" t="str">
        <f aca="false">IF($A1667="","",IF(OR(NOT(ISNUMBER(E1667)),NOT(ISNUMBER(F1667))),"",MAX(0,E1667)*F1667))</f>
        <v/>
      </c>
      <c r="I1667" s="46" t="str">
        <f aca="false">IF($A1667="","",SUMIF($A$2:$A$5001,$A1667,$H$2:$H$5001))</f>
        <v/>
      </c>
      <c r="J1667" s="47" t="n">
        <f aca="false">IF($A1667="",0,IF(COUNTIF($A$2:A1667,$A1667)=1,1,0))</f>
        <v>0</v>
      </c>
      <c r="K1667" s="47" t="n">
        <f aca="false">IF(J1667=1,N(I1667)+ROW()/10000000,0)</f>
        <v>0</v>
      </c>
      <c r="L1667" s="47" t="str">
        <f aca="false">IF(AND(J1667=1,N(I1667)&gt;0),SUMIF($K$2:$K$5001,"&gt;="&amp;K1667,$I$2:$I$5001)/MAX(1,SUM($H$2:$H$5001)),"")</f>
        <v/>
      </c>
      <c r="M1667" s="47" t="str">
        <f aca="false">IF($A1667="","",INDEX($L$2:$L$5001,MATCH($A1667,$A$2:$A$5001,0)))</f>
        <v/>
      </c>
      <c r="N1667" s="48" t="str">
        <f aca="false">IF($A1667="","",IF(N(M1667)=0,"–",IF(M1667&lt;=Start!$D$20,"A",IF(M1667&lt;=Start!$D$21,"B","C"))))</f>
        <v/>
      </c>
      <c r="O1667" s="48" t="str">
        <f aca="false">IF($A1667="","",IF(NOT(ISNUMBER(F1667)),"Wert fehlt; ",IF(F1667&lt;=0,"Wert ist 0; ",""))&amp;IF(NOT(ISNUMBER(E1667)),"Bestand fehlt; ",IF(E1667&lt;0,"Bestand negativ; ",IF(E1667=0,"Nullbestand; ","")))&amp;IF(D1667="","Warengruppe fehlt; ","")&amp;IF(B1667="","Bezeichnung fehlt; ","")&amp;IF(COUNTIFS($A$2:$A$5001,$A1667,$C$2:$C$5001,C1667)&gt;1,"Artikel doppelt im selben Lager; ",""))</f>
        <v/>
      </c>
      <c r="P1667" s="47" t="n">
        <f aca="false">IF(OR($A1667="",D1667=""),0,IF(COUNTIF($D$2:D1667,D1667)=1,SUMIF($D$2:$D$5001,D1667,$H$2:$H$5001)+ROW()/10000000,0))</f>
        <v>0</v>
      </c>
      <c r="Q1667" s="47" t="n">
        <f aca="false">IF(OR($A1667="",C1667=""),0,IF(COUNTIF($C$2:C1667,C1667)=1,SUMIF($C$2:$C$5001,C1667,$H$2:$H$5001)+ROW()/10000000,0))</f>
        <v>0</v>
      </c>
    </row>
    <row r="1668" customFormat="false" ht="15" hidden="false" customHeight="false" outlineLevel="0" collapsed="false">
      <c r="A1668" s="43"/>
      <c r="B1668" s="44"/>
      <c r="C1668" s="44"/>
      <c r="D1668" s="44"/>
      <c r="E1668" s="44"/>
      <c r="F1668" s="44"/>
      <c r="G1668" s="44"/>
      <c r="H1668" s="46" t="str">
        <f aca="false">IF($A1668="","",IF(OR(NOT(ISNUMBER(E1668)),NOT(ISNUMBER(F1668))),"",MAX(0,E1668)*F1668))</f>
        <v/>
      </c>
      <c r="I1668" s="46" t="str">
        <f aca="false">IF($A1668="","",SUMIF($A$2:$A$5001,$A1668,$H$2:$H$5001))</f>
        <v/>
      </c>
      <c r="J1668" s="47" t="n">
        <f aca="false">IF($A1668="",0,IF(COUNTIF($A$2:A1668,$A1668)=1,1,0))</f>
        <v>0</v>
      </c>
      <c r="K1668" s="47" t="n">
        <f aca="false">IF(J1668=1,N(I1668)+ROW()/10000000,0)</f>
        <v>0</v>
      </c>
      <c r="L1668" s="47" t="str">
        <f aca="false">IF(AND(J1668=1,N(I1668)&gt;0),SUMIF($K$2:$K$5001,"&gt;="&amp;K1668,$I$2:$I$5001)/MAX(1,SUM($H$2:$H$5001)),"")</f>
        <v/>
      </c>
      <c r="M1668" s="47" t="str">
        <f aca="false">IF($A1668="","",INDEX($L$2:$L$5001,MATCH($A1668,$A$2:$A$5001,0)))</f>
        <v/>
      </c>
      <c r="N1668" s="48" t="str">
        <f aca="false">IF($A1668="","",IF(N(M1668)=0,"–",IF(M1668&lt;=Start!$D$20,"A",IF(M1668&lt;=Start!$D$21,"B","C"))))</f>
        <v/>
      </c>
      <c r="O1668" s="48" t="str">
        <f aca="false">IF($A1668="","",IF(NOT(ISNUMBER(F1668)),"Wert fehlt; ",IF(F1668&lt;=0,"Wert ist 0; ",""))&amp;IF(NOT(ISNUMBER(E1668)),"Bestand fehlt; ",IF(E1668&lt;0,"Bestand negativ; ",IF(E1668=0,"Nullbestand; ","")))&amp;IF(D1668="","Warengruppe fehlt; ","")&amp;IF(B1668="","Bezeichnung fehlt; ","")&amp;IF(COUNTIFS($A$2:$A$5001,$A1668,$C$2:$C$5001,C1668)&gt;1,"Artikel doppelt im selben Lager; ",""))</f>
        <v/>
      </c>
      <c r="P1668" s="47" t="n">
        <f aca="false">IF(OR($A1668="",D1668=""),0,IF(COUNTIF($D$2:D1668,D1668)=1,SUMIF($D$2:$D$5001,D1668,$H$2:$H$5001)+ROW()/10000000,0))</f>
        <v>0</v>
      </c>
      <c r="Q1668" s="47" t="n">
        <f aca="false">IF(OR($A1668="",C1668=""),0,IF(COUNTIF($C$2:C1668,C1668)=1,SUMIF($C$2:$C$5001,C1668,$H$2:$H$5001)+ROW()/10000000,0))</f>
        <v>0</v>
      </c>
    </row>
    <row r="1669" customFormat="false" ht="15" hidden="false" customHeight="false" outlineLevel="0" collapsed="false">
      <c r="A1669" s="43"/>
      <c r="B1669" s="44"/>
      <c r="C1669" s="44"/>
      <c r="D1669" s="44"/>
      <c r="E1669" s="44"/>
      <c r="F1669" s="44"/>
      <c r="G1669" s="44"/>
      <c r="H1669" s="46" t="str">
        <f aca="false">IF($A1669="","",IF(OR(NOT(ISNUMBER(E1669)),NOT(ISNUMBER(F1669))),"",MAX(0,E1669)*F1669))</f>
        <v/>
      </c>
      <c r="I1669" s="46" t="str">
        <f aca="false">IF($A1669="","",SUMIF($A$2:$A$5001,$A1669,$H$2:$H$5001))</f>
        <v/>
      </c>
      <c r="J1669" s="47" t="n">
        <f aca="false">IF($A1669="",0,IF(COUNTIF($A$2:A1669,$A1669)=1,1,0))</f>
        <v>0</v>
      </c>
      <c r="K1669" s="47" t="n">
        <f aca="false">IF(J1669=1,N(I1669)+ROW()/10000000,0)</f>
        <v>0</v>
      </c>
      <c r="L1669" s="47" t="str">
        <f aca="false">IF(AND(J1669=1,N(I1669)&gt;0),SUMIF($K$2:$K$5001,"&gt;="&amp;K1669,$I$2:$I$5001)/MAX(1,SUM($H$2:$H$5001)),"")</f>
        <v/>
      </c>
      <c r="M1669" s="47" t="str">
        <f aca="false">IF($A1669="","",INDEX($L$2:$L$5001,MATCH($A1669,$A$2:$A$5001,0)))</f>
        <v/>
      </c>
      <c r="N1669" s="48" t="str">
        <f aca="false">IF($A1669="","",IF(N(M1669)=0,"–",IF(M1669&lt;=Start!$D$20,"A",IF(M1669&lt;=Start!$D$21,"B","C"))))</f>
        <v/>
      </c>
      <c r="O1669" s="48" t="str">
        <f aca="false">IF($A1669="","",IF(NOT(ISNUMBER(F1669)),"Wert fehlt; ",IF(F1669&lt;=0,"Wert ist 0; ",""))&amp;IF(NOT(ISNUMBER(E1669)),"Bestand fehlt; ",IF(E1669&lt;0,"Bestand negativ; ",IF(E1669=0,"Nullbestand; ","")))&amp;IF(D1669="","Warengruppe fehlt; ","")&amp;IF(B1669="","Bezeichnung fehlt; ","")&amp;IF(COUNTIFS($A$2:$A$5001,$A1669,$C$2:$C$5001,C1669)&gt;1,"Artikel doppelt im selben Lager; ",""))</f>
        <v/>
      </c>
      <c r="P1669" s="47" t="n">
        <f aca="false">IF(OR($A1669="",D1669=""),0,IF(COUNTIF($D$2:D1669,D1669)=1,SUMIF($D$2:$D$5001,D1669,$H$2:$H$5001)+ROW()/10000000,0))</f>
        <v>0</v>
      </c>
      <c r="Q1669" s="47" t="n">
        <f aca="false">IF(OR($A1669="",C1669=""),0,IF(COUNTIF($C$2:C1669,C1669)=1,SUMIF($C$2:$C$5001,C1669,$H$2:$H$5001)+ROW()/10000000,0))</f>
        <v>0</v>
      </c>
    </row>
    <row r="1670" customFormat="false" ht="15" hidden="false" customHeight="false" outlineLevel="0" collapsed="false">
      <c r="A1670" s="43"/>
      <c r="B1670" s="44"/>
      <c r="C1670" s="44"/>
      <c r="D1670" s="44"/>
      <c r="E1670" s="44"/>
      <c r="F1670" s="44"/>
      <c r="G1670" s="44"/>
      <c r="H1670" s="46" t="str">
        <f aca="false">IF($A1670="","",IF(OR(NOT(ISNUMBER(E1670)),NOT(ISNUMBER(F1670))),"",MAX(0,E1670)*F1670))</f>
        <v/>
      </c>
      <c r="I1670" s="46" t="str">
        <f aca="false">IF($A1670="","",SUMIF($A$2:$A$5001,$A1670,$H$2:$H$5001))</f>
        <v/>
      </c>
      <c r="J1670" s="47" t="n">
        <f aca="false">IF($A1670="",0,IF(COUNTIF($A$2:A1670,$A1670)=1,1,0))</f>
        <v>0</v>
      </c>
      <c r="K1670" s="47" t="n">
        <f aca="false">IF(J1670=1,N(I1670)+ROW()/10000000,0)</f>
        <v>0</v>
      </c>
      <c r="L1670" s="47" t="str">
        <f aca="false">IF(AND(J1670=1,N(I1670)&gt;0),SUMIF($K$2:$K$5001,"&gt;="&amp;K1670,$I$2:$I$5001)/MAX(1,SUM($H$2:$H$5001)),"")</f>
        <v/>
      </c>
      <c r="M1670" s="47" t="str">
        <f aca="false">IF($A1670="","",INDEX($L$2:$L$5001,MATCH($A1670,$A$2:$A$5001,0)))</f>
        <v/>
      </c>
      <c r="N1670" s="48" t="str">
        <f aca="false">IF($A1670="","",IF(N(M1670)=0,"–",IF(M1670&lt;=Start!$D$20,"A",IF(M1670&lt;=Start!$D$21,"B","C"))))</f>
        <v/>
      </c>
      <c r="O1670" s="48" t="str">
        <f aca="false">IF($A1670="","",IF(NOT(ISNUMBER(F1670)),"Wert fehlt; ",IF(F1670&lt;=0,"Wert ist 0; ",""))&amp;IF(NOT(ISNUMBER(E1670)),"Bestand fehlt; ",IF(E1670&lt;0,"Bestand negativ; ",IF(E1670=0,"Nullbestand; ","")))&amp;IF(D1670="","Warengruppe fehlt; ","")&amp;IF(B1670="","Bezeichnung fehlt; ","")&amp;IF(COUNTIFS($A$2:$A$5001,$A1670,$C$2:$C$5001,C1670)&gt;1,"Artikel doppelt im selben Lager; ",""))</f>
        <v/>
      </c>
      <c r="P1670" s="47" t="n">
        <f aca="false">IF(OR($A1670="",D1670=""),0,IF(COUNTIF($D$2:D1670,D1670)=1,SUMIF($D$2:$D$5001,D1670,$H$2:$H$5001)+ROW()/10000000,0))</f>
        <v>0</v>
      </c>
      <c r="Q1670" s="47" t="n">
        <f aca="false">IF(OR($A1670="",C1670=""),0,IF(COUNTIF($C$2:C1670,C1670)=1,SUMIF($C$2:$C$5001,C1670,$H$2:$H$5001)+ROW()/10000000,0))</f>
        <v>0</v>
      </c>
    </row>
    <row r="1671" customFormat="false" ht="15" hidden="false" customHeight="false" outlineLevel="0" collapsed="false">
      <c r="A1671" s="43"/>
      <c r="B1671" s="44"/>
      <c r="C1671" s="44"/>
      <c r="D1671" s="44"/>
      <c r="E1671" s="44"/>
      <c r="F1671" s="44"/>
      <c r="G1671" s="44"/>
      <c r="H1671" s="46" t="str">
        <f aca="false">IF($A1671="","",IF(OR(NOT(ISNUMBER(E1671)),NOT(ISNUMBER(F1671))),"",MAX(0,E1671)*F1671))</f>
        <v/>
      </c>
      <c r="I1671" s="46" t="str">
        <f aca="false">IF($A1671="","",SUMIF($A$2:$A$5001,$A1671,$H$2:$H$5001))</f>
        <v/>
      </c>
      <c r="J1671" s="47" t="n">
        <f aca="false">IF($A1671="",0,IF(COUNTIF($A$2:A1671,$A1671)=1,1,0))</f>
        <v>0</v>
      </c>
      <c r="K1671" s="47" t="n">
        <f aca="false">IF(J1671=1,N(I1671)+ROW()/10000000,0)</f>
        <v>0</v>
      </c>
      <c r="L1671" s="47" t="str">
        <f aca="false">IF(AND(J1671=1,N(I1671)&gt;0),SUMIF($K$2:$K$5001,"&gt;="&amp;K1671,$I$2:$I$5001)/MAX(1,SUM($H$2:$H$5001)),"")</f>
        <v/>
      </c>
      <c r="M1671" s="47" t="str">
        <f aca="false">IF($A1671="","",INDEX($L$2:$L$5001,MATCH($A1671,$A$2:$A$5001,0)))</f>
        <v/>
      </c>
      <c r="N1671" s="48" t="str">
        <f aca="false">IF($A1671="","",IF(N(M1671)=0,"–",IF(M1671&lt;=Start!$D$20,"A",IF(M1671&lt;=Start!$D$21,"B","C"))))</f>
        <v/>
      </c>
      <c r="O1671" s="48" t="str">
        <f aca="false">IF($A1671="","",IF(NOT(ISNUMBER(F1671)),"Wert fehlt; ",IF(F1671&lt;=0,"Wert ist 0; ",""))&amp;IF(NOT(ISNUMBER(E1671)),"Bestand fehlt; ",IF(E1671&lt;0,"Bestand negativ; ",IF(E1671=0,"Nullbestand; ","")))&amp;IF(D1671="","Warengruppe fehlt; ","")&amp;IF(B1671="","Bezeichnung fehlt; ","")&amp;IF(COUNTIFS($A$2:$A$5001,$A1671,$C$2:$C$5001,C1671)&gt;1,"Artikel doppelt im selben Lager; ",""))</f>
        <v/>
      </c>
      <c r="P1671" s="47" t="n">
        <f aca="false">IF(OR($A1671="",D1671=""),0,IF(COUNTIF($D$2:D1671,D1671)=1,SUMIF($D$2:$D$5001,D1671,$H$2:$H$5001)+ROW()/10000000,0))</f>
        <v>0</v>
      </c>
      <c r="Q1671" s="47" t="n">
        <f aca="false">IF(OR($A1671="",C1671=""),0,IF(COUNTIF($C$2:C1671,C1671)=1,SUMIF($C$2:$C$5001,C1671,$H$2:$H$5001)+ROW()/10000000,0))</f>
        <v>0</v>
      </c>
    </row>
    <row r="1672" customFormat="false" ht="15" hidden="false" customHeight="false" outlineLevel="0" collapsed="false">
      <c r="A1672" s="43"/>
      <c r="B1672" s="44"/>
      <c r="C1672" s="44"/>
      <c r="D1672" s="44"/>
      <c r="E1672" s="44"/>
      <c r="F1672" s="44"/>
      <c r="G1672" s="44"/>
      <c r="H1672" s="46" t="str">
        <f aca="false">IF($A1672="","",IF(OR(NOT(ISNUMBER(E1672)),NOT(ISNUMBER(F1672))),"",MAX(0,E1672)*F1672))</f>
        <v/>
      </c>
      <c r="I1672" s="46" t="str">
        <f aca="false">IF($A1672="","",SUMIF($A$2:$A$5001,$A1672,$H$2:$H$5001))</f>
        <v/>
      </c>
      <c r="J1672" s="47" t="n">
        <f aca="false">IF($A1672="",0,IF(COUNTIF($A$2:A1672,$A1672)=1,1,0))</f>
        <v>0</v>
      </c>
      <c r="K1672" s="47" t="n">
        <f aca="false">IF(J1672=1,N(I1672)+ROW()/10000000,0)</f>
        <v>0</v>
      </c>
      <c r="L1672" s="47" t="str">
        <f aca="false">IF(AND(J1672=1,N(I1672)&gt;0),SUMIF($K$2:$K$5001,"&gt;="&amp;K1672,$I$2:$I$5001)/MAX(1,SUM($H$2:$H$5001)),"")</f>
        <v/>
      </c>
      <c r="M1672" s="47" t="str">
        <f aca="false">IF($A1672="","",INDEX($L$2:$L$5001,MATCH($A1672,$A$2:$A$5001,0)))</f>
        <v/>
      </c>
      <c r="N1672" s="48" t="str">
        <f aca="false">IF($A1672="","",IF(N(M1672)=0,"–",IF(M1672&lt;=Start!$D$20,"A",IF(M1672&lt;=Start!$D$21,"B","C"))))</f>
        <v/>
      </c>
      <c r="O1672" s="48" t="str">
        <f aca="false">IF($A1672="","",IF(NOT(ISNUMBER(F1672)),"Wert fehlt; ",IF(F1672&lt;=0,"Wert ist 0; ",""))&amp;IF(NOT(ISNUMBER(E1672)),"Bestand fehlt; ",IF(E1672&lt;0,"Bestand negativ; ",IF(E1672=0,"Nullbestand; ","")))&amp;IF(D1672="","Warengruppe fehlt; ","")&amp;IF(B1672="","Bezeichnung fehlt; ","")&amp;IF(COUNTIFS($A$2:$A$5001,$A1672,$C$2:$C$5001,C1672)&gt;1,"Artikel doppelt im selben Lager; ",""))</f>
        <v/>
      </c>
      <c r="P1672" s="47" t="n">
        <f aca="false">IF(OR($A1672="",D1672=""),0,IF(COUNTIF($D$2:D1672,D1672)=1,SUMIF($D$2:$D$5001,D1672,$H$2:$H$5001)+ROW()/10000000,0))</f>
        <v>0</v>
      </c>
      <c r="Q1672" s="47" t="n">
        <f aca="false">IF(OR($A1672="",C1672=""),0,IF(COUNTIF($C$2:C1672,C1672)=1,SUMIF($C$2:$C$5001,C1672,$H$2:$H$5001)+ROW()/10000000,0))</f>
        <v>0</v>
      </c>
    </row>
    <row r="1673" customFormat="false" ht="15" hidden="false" customHeight="false" outlineLevel="0" collapsed="false">
      <c r="A1673" s="43"/>
      <c r="B1673" s="44"/>
      <c r="C1673" s="44"/>
      <c r="D1673" s="44"/>
      <c r="E1673" s="44"/>
      <c r="F1673" s="44"/>
      <c r="G1673" s="44"/>
      <c r="H1673" s="46" t="str">
        <f aca="false">IF($A1673="","",IF(OR(NOT(ISNUMBER(E1673)),NOT(ISNUMBER(F1673))),"",MAX(0,E1673)*F1673))</f>
        <v/>
      </c>
      <c r="I1673" s="46" t="str">
        <f aca="false">IF($A1673="","",SUMIF($A$2:$A$5001,$A1673,$H$2:$H$5001))</f>
        <v/>
      </c>
      <c r="J1673" s="47" t="n">
        <f aca="false">IF($A1673="",0,IF(COUNTIF($A$2:A1673,$A1673)=1,1,0))</f>
        <v>0</v>
      </c>
      <c r="K1673" s="47" t="n">
        <f aca="false">IF(J1673=1,N(I1673)+ROW()/10000000,0)</f>
        <v>0</v>
      </c>
      <c r="L1673" s="47" t="str">
        <f aca="false">IF(AND(J1673=1,N(I1673)&gt;0),SUMIF($K$2:$K$5001,"&gt;="&amp;K1673,$I$2:$I$5001)/MAX(1,SUM($H$2:$H$5001)),"")</f>
        <v/>
      </c>
      <c r="M1673" s="47" t="str">
        <f aca="false">IF($A1673="","",INDEX($L$2:$L$5001,MATCH($A1673,$A$2:$A$5001,0)))</f>
        <v/>
      </c>
      <c r="N1673" s="48" t="str">
        <f aca="false">IF($A1673="","",IF(N(M1673)=0,"–",IF(M1673&lt;=Start!$D$20,"A",IF(M1673&lt;=Start!$D$21,"B","C"))))</f>
        <v/>
      </c>
      <c r="O1673" s="48" t="str">
        <f aca="false">IF($A1673="","",IF(NOT(ISNUMBER(F1673)),"Wert fehlt; ",IF(F1673&lt;=0,"Wert ist 0; ",""))&amp;IF(NOT(ISNUMBER(E1673)),"Bestand fehlt; ",IF(E1673&lt;0,"Bestand negativ; ",IF(E1673=0,"Nullbestand; ","")))&amp;IF(D1673="","Warengruppe fehlt; ","")&amp;IF(B1673="","Bezeichnung fehlt; ","")&amp;IF(COUNTIFS($A$2:$A$5001,$A1673,$C$2:$C$5001,C1673)&gt;1,"Artikel doppelt im selben Lager; ",""))</f>
        <v/>
      </c>
      <c r="P1673" s="47" t="n">
        <f aca="false">IF(OR($A1673="",D1673=""),0,IF(COUNTIF($D$2:D1673,D1673)=1,SUMIF($D$2:$D$5001,D1673,$H$2:$H$5001)+ROW()/10000000,0))</f>
        <v>0</v>
      </c>
      <c r="Q1673" s="47" t="n">
        <f aca="false">IF(OR($A1673="",C1673=""),0,IF(COUNTIF($C$2:C1673,C1673)=1,SUMIF($C$2:$C$5001,C1673,$H$2:$H$5001)+ROW()/10000000,0))</f>
        <v>0</v>
      </c>
    </row>
    <row r="1674" customFormat="false" ht="15" hidden="false" customHeight="false" outlineLevel="0" collapsed="false">
      <c r="A1674" s="43"/>
      <c r="B1674" s="44"/>
      <c r="C1674" s="44"/>
      <c r="D1674" s="44"/>
      <c r="E1674" s="44"/>
      <c r="F1674" s="44"/>
      <c r="G1674" s="44"/>
      <c r="H1674" s="46" t="str">
        <f aca="false">IF($A1674="","",IF(OR(NOT(ISNUMBER(E1674)),NOT(ISNUMBER(F1674))),"",MAX(0,E1674)*F1674))</f>
        <v/>
      </c>
      <c r="I1674" s="46" t="str">
        <f aca="false">IF($A1674="","",SUMIF($A$2:$A$5001,$A1674,$H$2:$H$5001))</f>
        <v/>
      </c>
      <c r="J1674" s="47" t="n">
        <f aca="false">IF($A1674="",0,IF(COUNTIF($A$2:A1674,$A1674)=1,1,0))</f>
        <v>0</v>
      </c>
      <c r="K1674" s="47" t="n">
        <f aca="false">IF(J1674=1,N(I1674)+ROW()/10000000,0)</f>
        <v>0</v>
      </c>
      <c r="L1674" s="47" t="str">
        <f aca="false">IF(AND(J1674=1,N(I1674)&gt;0),SUMIF($K$2:$K$5001,"&gt;="&amp;K1674,$I$2:$I$5001)/MAX(1,SUM($H$2:$H$5001)),"")</f>
        <v/>
      </c>
      <c r="M1674" s="47" t="str">
        <f aca="false">IF($A1674="","",INDEX($L$2:$L$5001,MATCH($A1674,$A$2:$A$5001,0)))</f>
        <v/>
      </c>
      <c r="N1674" s="48" t="str">
        <f aca="false">IF($A1674="","",IF(N(M1674)=0,"–",IF(M1674&lt;=Start!$D$20,"A",IF(M1674&lt;=Start!$D$21,"B","C"))))</f>
        <v/>
      </c>
      <c r="O1674" s="48" t="str">
        <f aca="false">IF($A1674="","",IF(NOT(ISNUMBER(F1674)),"Wert fehlt; ",IF(F1674&lt;=0,"Wert ist 0; ",""))&amp;IF(NOT(ISNUMBER(E1674)),"Bestand fehlt; ",IF(E1674&lt;0,"Bestand negativ; ",IF(E1674=0,"Nullbestand; ","")))&amp;IF(D1674="","Warengruppe fehlt; ","")&amp;IF(B1674="","Bezeichnung fehlt; ","")&amp;IF(COUNTIFS($A$2:$A$5001,$A1674,$C$2:$C$5001,C1674)&gt;1,"Artikel doppelt im selben Lager; ",""))</f>
        <v/>
      </c>
      <c r="P1674" s="47" t="n">
        <f aca="false">IF(OR($A1674="",D1674=""),0,IF(COUNTIF($D$2:D1674,D1674)=1,SUMIF($D$2:$D$5001,D1674,$H$2:$H$5001)+ROW()/10000000,0))</f>
        <v>0</v>
      </c>
      <c r="Q1674" s="47" t="n">
        <f aca="false">IF(OR($A1674="",C1674=""),0,IF(COUNTIF($C$2:C1674,C1674)=1,SUMIF($C$2:$C$5001,C1674,$H$2:$H$5001)+ROW()/10000000,0))</f>
        <v>0</v>
      </c>
    </row>
    <row r="1675" customFormat="false" ht="15" hidden="false" customHeight="false" outlineLevel="0" collapsed="false">
      <c r="A1675" s="43"/>
      <c r="B1675" s="44"/>
      <c r="C1675" s="44"/>
      <c r="D1675" s="44"/>
      <c r="E1675" s="44"/>
      <c r="F1675" s="44"/>
      <c r="G1675" s="44"/>
      <c r="H1675" s="46" t="str">
        <f aca="false">IF($A1675="","",IF(OR(NOT(ISNUMBER(E1675)),NOT(ISNUMBER(F1675))),"",MAX(0,E1675)*F1675))</f>
        <v/>
      </c>
      <c r="I1675" s="46" t="str">
        <f aca="false">IF($A1675="","",SUMIF($A$2:$A$5001,$A1675,$H$2:$H$5001))</f>
        <v/>
      </c>
      <c r="J1675" s="47" t="n">
        <f aca="false">IF($A1675="",0,IF(COUNTIF($A$2:A1675,$A1675)=1,1,0))</f>
        <v>0</v>
      </c>
      <c r="K1675" s="47" t="n">
        <f aca="false">IF(J1675=1,N(I1675)+ROW()/10000000,0)</f>
        <v>0</v>
      </c>
      <c r="L1675" s="47" t="str">
        <f aca="false">IF(AND(J1675=1,N(I1675)&gt;0),SUMIF($K$2:$K$5001,"&gt;="&amp;K1675,$I$2:$I$5001)/MAX(1,SUM($H$2:$H$5001)),"")</f>
        <v/>
      </c>
      <c r="M1675" s="47" t="str">
        <f aca="false">IF($A1675="","",INDEX($L$2:$L$5001,MATCH($A1675,$A$2:$A$5001,0)))</f>
        <v/>
      </c>
      <c r="N1675" s="48" t="str">
        <f aca="false">IF($A1675="","",IF(N(M1675)=0,"–",IF(M1675&lt;=Start!$D$20,"A",IF(M1675&lt;=Start!$D$21,"B","C"))))</f>
        <v/>
      </c>
      <c r="O1675" s="48" t="str">
        <f aca="false">IF($A1675="","",IF(NOT(ISNUMBER(F1675)),"Wert fehlt; ",IF(F1675&lt;=0,"Wert ist 0; ",""))&amp;IF(NOT(ISNUMBER(E1675)),"Bestand fehlt; ",IF(E1675&lt;0,"Bestand negativ; ",IF(E1675=0,"Nullbestand; ","")))&amp;IF(D1675="","Warengruppe fehlt; ","")&amp;IF(B1675="","Bezeichnung fehlt; ","")&amp;IF(COUNTIFS($A$2:$A$5001,$A1675,$C$2:$C$5001,C1675)&gt;1,"Artikel doppelt im selben Lager; ",""))</f>
        <v/>
      </c>
      <c r="P1675" s="47" t="n">
        <f aca="false">IF(OR($A1675="",D1675=""),0,IF(COUNTIF($D$2:D1675,D1675)=1,SUMIF($D$2:$D$5001,D1675,$H$2:$H$5001)+ROW()/10000000,0))</f>
        <v>0</v>
      </c>
      <c r="Q1675" s="47" t="n">
        <f aca="false">IF(OR($A1675="",C1675=""),0,IF(COUNTIF($C$2:C1675,C1675)=1,SUMIF($C$2:$C$5001,C1675,$H$2:$H$5001)+ROW()/10000000,0))</f>
        <v>0</v>
      </c>
    </row>
    <row r="1676" customFormat="false" ht="15" hidden="false" customHeight="false" outlineLevel="0" collapsed="false">
      <c r="A1676" s="43"/>
      <c r="B1676" s="44"/>
      <c r="C1676" s="44"/>
      <c r="D1676" s="44"/>
      <c r="E1676" s="44"/>
      <c r="F1676" s="44"/>
      <c r="G1676" s="44"/>
      <c r="H1676" s="46" t="str">
        <f aca="false">IF($A1676="","",IF(OR(NOT(ISNUMBER(E1676)),NOT(ISNUMBER(F1676))),"",MAX(0,E1676)*F1676))</f>
        <v/>
      </c>
      <c r="I1676" s="46" t="str">
        <f aca="false">IF($A1676="","",SUMIF($A$2:$A$5001,$A1676,$H$2:$H$5001))</f>
        <v/>
      </c>
      <c r="J1676" s="47" t="n">
        <f aca="false">IF($A1676="",0,IF(COUNTIF($A$2:A1676,$A1676)=1,1,0))</f>
        <v>0</v>
      </c>
      <c r="K1676" s="47" t="n">
        <f aca="false">IF(J1676=1,N(I1676)+ROW()/10000000,0)</f>
        <v>0</v>
      </c>
      <c r="L1676" s="47" t="str">
        <f aca="false">IF(AND(J1676=1,N(I1676)&gt;0),SUMIF($K$2:$K$5001,"&gt;="&amp;K1676,$I$2:$I$5001)/MAX(1,SUM($H$2:$H$5001)),"")</f>
        <v/>
      </c>
      <c r="M1676" s="47" t="str">
        <f aca="false">IF($A1676="","",INDEX($L$2:$L$5001,MATCH($A1676,$A$2:$A$5001,0)))</f>
        <v/>
      </c>
      <c r="N1676" s="48" t="str">
        <f aca="false">IF($A1676="","",IF(N(M1676)=0,"–",IF(M1676&lt;=Start!$D$20,"A",IF(M1676&lt;=Start!$D$21,"B","C"))))</f>
        <v/>
      </c>
      <c r="O1676" s="48" t="str">
        <f aca="false">IF($A1676="","",IF(NOT(ISNUMBER(F1676)),"Wert fehlt; ",IF(F1676&lt;=0,"Wert ist 0; ",""))&amp;IF(NOT(ISNUMBER(E1676)),"Bestand fehlt; ",IF(E1676&lt;0,"Bestand negativ; ",IF(E1676=0,"Nullbestand; ","")))&amp;IF(D1676="","Warengruppe fehlt; ","")&amp;IF(B1676="","Bezeichnung fehlt; ","")&amp;IF(COUNTIFS($A$2:$A$5001,$A1676,$C$2:$C$5001,C1676)&gt;1,"Artikel doppelt im selben Lager; ",""))</f>
        <v/>
      </c>
      <c r="P1676" s="47" t="n">
        <f aca="false">IF(OR($A1676="",D1676=""),0,IF(COUNTIF($D$2:D1676,D1676)=1,SUMIF($D$2:$D$5001,D1676,$H$2:$H$5001)+ROW()/10000000,0))</f>
        <v>0</v>
      </c>
      <c r="Q1676" s="47" t="n">
        <f aca="false">IF(OR($A1676="",C1676=""),0,IF(COUNTIF($C$2:C1676,C1676)=1,SUMIF($C$2:$C$5001,C1676,$H$2:$H$5001)+ROW()/10000000,0))</f>
        <v>0</v>
      </c>
    </row>
    <row r="1677" customFormat="false" ht="15" hidden="false" customHeight="false" outlineLevel="0" collapsed="false">
      <c r="A1677" s="43"/>
      <c r="B1677" s="44"/>
      <c r="C1677" s="44"/>
      <c r="D1677" s="44"/>
      <c r="E1677" s="44"/>
      <c r="F1677" s="44"/>
      <c r="G1677" s="44"/>
      <c r="H1677" s="46" t="str">
        <f aca="false">IF($A1677="","",IF(OR(NOT(ISNUMBER(E1677)),NOT(ISNUMBER(F1677))),"",MAX(0,E1677)*F1677))</f>
        <v/>
      </c>
      <c r="I1677" s="46" t="str">
        <f aca="false">IF($A1677="","",SUMIF($A$2:$A$5001,$A1677,$H$2:$H$5001))</f>
        <v/>
      </c>
      <c r="J1677" s="47" t="n">
        <f aca="false">IF($A1677="",0,IF(COUNTIF($A$2:A1677,$A1677)=1,1,0))</f>
        <v>0</v>
      </c>
      <c r="K1677" s="47" t="n">
        <f aca="false">IF(J1677=1,N(I1677)+ROW()/10000000,0)</f>
        <v>0</v>
      </c>
      <c r="L1677" s="47" t="str">
        <f aca="false">IF(AND(J1677=1,N(I1677)&gt;0),SUMIF($K$2:$K$5001,"&gt;="&amp;K1677,$I$2:$I$5001)/MAX(1,SUM($H$2:$H$5001)),"")</f>
        <v/>
      </c>
      <c r="M1677" s="47" t="str">
        <f aca="false">IF($A1677="","",INDEX($L$2:$L$5001,MATCH($A1677,$A$2:$A$5001,0)))</f>
        <v/>
      </c>
      <c r="N1677" s="48" t="str">
        <f aca="false">IF($A1677="","",IF(N(M1677)=0,"–",IF(M1677&lt;=Start!$D$20,"A",IF(M1677&lt;=Start!$D$21,"B","C"))))</f>
        <v/>
      </c>
      <c r="O1677" s="48" t="str">
        <f aca="false">IF($A1677="","",IF(NOT(ISNUMBER(F1677)),"Wert fehlt; ",IF(F1677&lt;=0,"Wert ist 0; ",""))&amp;IF(NOT(ISNUMBER(E1677)),"Bestand fehlt; ",IF(E1677&lt;0,"Bestand negativ; ",IF(E1677=0,"Nullbestand; ","")))&amp;IF(D1677="","Warengruppe fehlt; ","")&amp;IF(B1677="","Bezeichnung fehlt; ","")&amp;IF(COUNTIFS($A$2:$A$5001,$A1677,$C$2:$C$5001,C1677)&gt;1,"Artikel doppelt im selben Lager; ",""))</f>
        <v/>
      </c>
      <c r="P1677" s="47" t="n">
        <f aca="false">IF(OR($A1677="",D1677=""),0,IF(COUNTIF($D$2:D1677,D1677)=1,SUMIF($D$2:$D$5001,D1677,$H$2:$H$5001)+ROW()/10000000,0))</f>
        <v>0</v>
      </c>
      <c r="Q1677" s="47" t="n">
        <f aca="false">IF(OR($A1677="",C1677=""),0,IF(COUNTIF($C$2:C1677,C1677)=1,SUMIF($C$2:$C$5001,C1677,$H$2:$H$5001)+ROW()/10000000,0))</f>
        <v>0</v>
      </c>
    </row>
    <row r="1678" customFormat="false" ht="15" hidden="false" customHeight="false" outlineLevel="0" collapsed="false">
      <c r="A1678" s="43"/>
      <c r="B1678" s="44"/>
      <c r="C1678" s="44"/>
      <c r="D1678" s="44"/>
      <c r="E1678" s="44"/>
      <c r="F1678" s="44"/>
      <c r="G1678" s="44"/>
      <c r="H1678" s="46" t="str">
        <f aca="false">IF($A1678="","",IF(OR(NOT(ISNUMBER(E1678)),NOT(ISNUMBER(F1678))),"",MAX(0,E1678)*F1678))</f>
        <v/>
      </c>
      <c r="I1678" s="46" t="str">
        <f aca="false">IF($A1678="","",SUMIF($A$2:$A$5001,$A1678,$H$2:$H$5001))</f>
        <v/>
      </c>
      <c r="J1678" s="47" t="n">
        <f aca="false">IF($A1678="",0,IF(COUNTIF($A$2:A1678,$A1678)=1,1,0))</f>
        <v>0</v>
      </c>
      <c r="K1678" s="47" t="n">
        <f aca="false">IF(J1678=1,N(I1678)+ROW()/10000000,0)</f>
        <v>0</v>
      </c>
      <c r="L1678" s="47" t="str">
        <f aca="false">IF(AND(J1678=1,N(I1678)&gt;0),SUMIF($K$2:$K$5001,"&gt;="&amp;K1678,$I$2:$I$5001)/MAX(1,SUM($H$2:$H$5001)),"")</f>
        <v/>
      </c>
      <c r="M1678" s="47" t="str">
        <f aca="false">IF($A1678="","",INDEX($L$2:$L$5001,MATCH($A1678,$A$2:$A$5001,0)))</f>
        <v/>
      </c>
      <c r="N1678" s="48" t="str">
        <f aca="false">IF($A1678="","",IF(N(M1678)=0,"–",IF(M1678&lt;=Start!$D$20,"A",IF(M1678&lt;=Start!$D$21,"B","C"))))</f>
        <v/>
      </c>
      <c r="O1678" s="48" t="str">
        <f aca="false">IF($A1678="","",IF(NOT(ISNUMBER(F1678)),"Wert fehlt; ",IF(F1678&lt;=0,"Wert ist 0; ",""))&amp;IF(NOT(ISNUMBER(E1678)),"Bestand fehlt; ",IF(E1678&lt;0,"Bestand negativ; ",IF(E1678=0,"Nullbestand; ","")))&amp;IF(D1678="","Warengruppe fehlt; ","")&amp;IF(B1678="","Bezeichnung fehlt; ","")&amp;IF(COUNTIFS($A$2:$A$5001,$A1678,$C$2:$C$5001,C1678)&gt;1,"Artikel doppelt im selben Lager; ",""))</f>
        <v/>
      </c>
      <c r="P1678" s="47" t="n">
        <f aca="false">IF(OR($A1678="",D1678=""),0,IF(COUNTIF($D$2:D1678,D1678)=1,SUMIF($D$2:$D$5001,D1678,$H$2:$H$5001)+ROW()/10000000,0))</f>
        <v>0</v>
      </c>
      <c r="Q1678" s="47" t="n">
        <f aca="false">IF(OR($A1678="",C1678=""),0,IF(COUNTIF($C$2:C1678,C1678)=1,SUMIF($C$2:$C$5001,C1678,$H$2:$H$5001)+ROW()/10000000,0))</f>
        <v>0</v>
      </c>
    </row>
    <row r="1679" customFormat="false" ht="15" hidden="false" customHeight="false" outlineLevel="0" collapsed="false">
      <c r="A1679" s="43"/>
      <c r="B1679" s="44"/>
      <c r="C1679" s="44"/>
      <c r="D1679" s="44"/>
      <c r="E1679" s="44"/>
      <c r="F1679" s="44"/>
      <c r="G1679" s="44"/>
      <c r="H1679" s="46" t="str">
        <f aca="false">IF($A1679="","",IF(OR(NOT(ISNUMBER(E1679)),NOT(ISNUMBER(F1679))),"",MAX(0,E1679)*F1679))</f>
        <v/>
      </c>
      <c r="I1679" s="46" t="str">
        <f aca="false">IF($A1679="","",SUMIF($A$2:$A$5001,$A1679,$H$2:$H$5001))</f>
        <v/>
      </c>
      <c r="J1679" s="47" t="n">
        <f aca="false">IF($A1679="",0,IF(COUNTIF($A$2:A1679,$A1679)=1,1,0))</f>
        <v>0</v>
      </c>
      <c r="K1679" s="47" t="n">
        <f aca="false">IF(J1679=1,N(I1679)+ROW()/10000000,0)</f>
        <v>0</v>
      </c>
      <c r="L1679" s="47" t="str">
        <f aca="false">IF(AND(J1679=1,N(I1679)&gt;0),SUMIF($K$2:$K$5001,"&gt;="&amp;K1679,$I$2:$I$5001)/MAX(1,SUM($H$2:$H$5001)),"")</f>
        <v/>
      </c>
      <c r="M1679" s="47" t="str">
        <f aca="false">IF($A1679="","",INDEX($L$2:$L$5001,MATCH($A1679,$A$2:$A$5001,0)))</f>
        <v/>
      </c>
      <c r="N1679" s="48" t="str">
        <f aca="false">IF($A1679="","",IF(N(M1679)=0,"–",IF(M1679&lt;=Start!$D$20,"A",IF(M1679&lt;=Start!$D$21,"B","C"))))</f>
        <v/>
      </c>
      <c r="O1679" s="48" t="str">
        <f aca="false">IF($A1679="","",IF(NOT(ISNUMBER(F1679)),"Wert fehlt; ",IF(F1679&lt;=0,"Wert ist 0; ",""))&amp;IF(NOT(ISNUMBER(E1679)),"Bestand fehlt; ",IF(E1679&lt;0,"Bestand negativ; ",IF(E1679=0,"Nullbestand; ","")))&amp;IF(D1679="","Warengruppe fehlt; ","")&amp;IF(B1679="","Bezeichnung fehlt; ","")&amp;IF(COUNTIFS($A$2:$A$5001,$A1679,$C$2:$C$5001,C1679)&gt;1,"Artikel doppelt im selben Lager; ",""))</f>
        <v/>
      </c>
      <c r="P1679" s="47" t="n">
        <f aca="false">IF(OR($A1679="",D1679=""),0,IF(COUNTIF($D$2:D1679,D1679)=1,SUMIF($D$2:$D$5001,D1679,$H$2:$H$5001)+ROW()/10000000,0))</f>
        <v>0</v>
      </c>
      <c r="Q1679" s="47" t="n">
        <f aca="false">IF(OR($A1679="",C1679=""),0,IF(COUNTIF($C$2:C1679,C1679)=1,SUMIF($C$2:$C$5001,C1679,$H$2:$H$5001)+ROW()/10000000,0))</f>
        <v>0</v>
      </c>
    </row>
    <row r="1680" customFormat="false" ht="15" hidden="false" customHeight="false" outlineLevel="0" collapsed="false">
      <c r="A1680" s="43"/>
      <c r="B1680" s="44"/>
      <c r="C1680" s="44"/>
      <c r="D1680" s="44"/>
      <c r="E1680" s="44"/>
      <c r="F1680" s="44"/>
      <c r="G1680" s="44"/>
      <c r="H1680" s="46" t="str">
        <f aca="false">IF($A1680="","",IF(OR(NOT(ISNUMBER(E1680)),NOT(ISNUMBER(F1680))),"",MAX(0,E1680)*F1680))</f>
        <v/>
      </c>
      <c r="I1680" s="46" t="str">
        <f aca="false">IF($A1680="","",SUMIF($A$2:$A$5001,$A1680,$H$2:$H$5001))</f>
        <v/>
      </c>
      <c r="J1680" s="47" t="n">
        <f aca="false">IF($A1680="",0,IF(COUNTIF($A$2:A1680,$A1680)=1,1,0))</f>
        <v>0</v>
      </c>
      <c r="K1680" s="47" t="n">
        <f aca="false">IF(J1680=1,N(I1680)+ROW()/10000000,0)</f>
        <v>0</v>
      </c>
      <c r="L1680" s="47" t="str">
        <f aca="false">IF(AND(J1680=1,N(I1680)&gt;0),SUMIF($K$2:$K$5001,"&gt;="&amp;K1680,$I$2:$I$5001)/MAX(1,SUM($H$2:$H$5001)),"")</f>
        <v/>
      </c>
      <c r="M1680" s="47" t="str">
        <f aca="false">IF($A1680="","",INDEX($L$2:$L$5001,MATCH($A1680,$A$2:$A$5001,0)))</f>
        <v/>
      </c>
      <c r="N1680" s="48" t="str">
        <f aca="false">IF($A1680="","",IF(N(M1680)=0,"–",IF(M1680&lt;=Start!$D$20,"A",IF(M1680&lt;=Start!$D$21,"B","C"))))</f>
        <v/>
      </c>
      <c r="O1680" s="48" t="str">
        <f aca="false">IF($A1680="","",IF(NOT(ISNUMBER(F1680)),"Wert fehlt; ",IF(F1680&lt;=0,"Wert ist 0; ",""))&amp;IF(NOT(ISNUMBER(E1680)),"Bestand fehlt; ",IF(E1680&lt;0,"Bestand negativ; ",IF(E1680=0,"Nullbestand; ","")))&amp;IF(D1680="","Warengruppe fehlt; ","")&amp;IF(B1680="","Bezeichnung fehlt; ","")&amp;IF(COUNTIFS($A$2:$A$5001,$A1680,$C$2:$C$5001,C1680)&gt;1,"Artikel doppelt im selben Lager; ",""))</f>
        <v/>
      </c>
      <c r="P1680" s="47" t="n">
        <f aca="false">IF(OR($A1680="",D1680=""),0,IF(COUNTIF($D$2:D1680,D1680)=1,SUMIF($D$2:$D$5001,D1680,$H$2:$H$5001)+ROW()/10000000,0))</f>
        <v>0</v>
      </c>
      <c r="Q1680" s="47" t="n">
        <f aca="false">IF(OR($A1680="",C1680=""),0,IF(COUNTIF($C$2:C1680,C1680)=1,SUMIF($C$2:$C$5001,C1680,$H$2:$H$5001)+ROW()/10000000,0))</f>
        <v>0</v>
      </c>
    </row>
    <row r="1681" customFormat="false" ht="15" hidden="false" customHeight="false" outlineLevel="0" collapsed="false">
      <c r="A1681" s="43"/>
      <c r="B1681" s="44"/>
      <c r="C1681" s="44"/>
      <c r="D1681" s="44"/>
      <c r="E1681" s="44"/>
      <c r="F1681" s="44"/>
      <c r="G1681" s="44"/>
      <c r="H1681" s="46" t="str">
        <f aca="false">IF($A1681="","",IF(OR(NOT(ISNUMBER(E1681)),NOT(ISNUMBER(F1681))),"",MAX(0,E1681)*F1681))</f>
        <v/>
      </c>
      <c r="I1681" s="46" t="str">
        <f aca="false">IF($A1681="","",SUMIF($A$2:$A$5001,$A1681,$H$2:$H$5001))</f>
        <v/>
      </c>
      <c r="J1681" s="47" t="n">
        <f aca="false">IF($A1681="",0,IF(COUNTIF($A$2:A1681,$A1681)=1,1,0))</f>
        <v>0</v>
      </c>
      <c r="K1681" s="47" t="n">
        <f aca="false">IF(J1681=1,N(I1681)+ROW()/10000000,0)</f>
        <v>0</v>
      </c>
      <c r="L1681" s="47" t="str">
        <f aca="false">IF(AND(J1681=1,N(I1681)&gt;0),SUMIF($K$2:$K$5001,"&gt;="&amp;K1681,$I$2:$I$5001)/MAX(1,SUM($H$2:$H$5001)),"")</f>
        <v/>
      </c>
      <c r="M1681" s="47" t="str">
        <f aca="false">IF($A1681="","",INDEX($L$2:$L$5001,MATCH($A1681,$A$2:$A$5001,0)))</f>
        <v/>
      </c>
      <c r="N1681" s="48" t="str">
        <f aca="false">IF($A1681="","",IF(N(M1681)=0,"–",IF(M1681&lt;=Start!$D$20,"A",IF(M1681&lt;=Start!$D$21,"B","C"))))</f>
        <v/>
      </c>
      <c r="O1681" s="48" t="str">
        <f aca="false">IF($A1681="","",IF(NOT(ISNUMBER(F1681)),"Wert fehlt; ",IF(F1681&lt;=0,"Wert ist 0; ",""))&amp;IF(NOT(ISNUMBER(E1681)),"Bestand fehlt; ",IF(E1681&lt;0,"Bestand negativ; ",IF(E1681=0,"Nullbestand; ","")))&amp;IF(D1681="","Warengruppe fehlt; ","")&amp;IF(B1681="","Bezeichnung fehlt; ","")&amp;IF(COUNTIFS($A$2:$A$5001,$A1681,$C$2:$C$5001,C1681)&gt;1,"Artikel doppelt im selben Lager; ",""))</f>
        <v/>
      </c>
      <c r="P1681" s="47" t="n">
        <f aca="false">IF(OR($A1681="",D1681=""),0,IF(COUNTIF($D$2:D1681,D1681)=1,SUMIF($D$2:$D$5001,D1681,$H$2:$H$5001)+ROW()/10000000,0))</f>
        <v>0</v>
      </c>
      <c r="Q1681" s="47" t="n">
        <f aca="false">IF(OR($A1681="",C1681=""),0,IF(COUNTIF($C$2:C1681,C1681)=1,SUMIF($C$2:$C$5001,C1681,$H$2:$H$5001)+ROW()/10000000,0))</f>
        <v>0</v>
      </c>
    </row>
    <row r="1682" customFormat="false" ht="15" hidden="false" customHeight="false" outlineLevel="0" collapsed="false">
      <c r="A1682" s="43"/>
      <c r="B1682" s="44"/>
      <c r="C1682" s="44"/>
      <c r="D1682" s="44"/>
      <c r="E1682" s="44"/>
      <c r="F1682" s="44"/>
      <c r="G1682" s="44"/>
      <c r="H1682" s="46" t="str">
        <f aca="false">IF($A1682="","",IF(OR(NOT(ISNUMBER(E1682)),NOT(ISNUMBER(F1682))),"",MAX(0,E1682)*F1682))</f>
        <v/>
      </c>
      <c r="I1682" s="46" t="str">
        <f aca="false">IF($A1682="","",SUMIF($A$2:$A$5001,$A1682,$H$2:$H$5001))</f>
        <v/>
      </c>
      <c r="J1682" s="47" t="n">
        <f aca="false">IF($A1682="",0,IF(COUNTIF($A$2:A1682,$A1682)=1,1,0))</f>
        <v>0</v>
      </c>
      <c r="K1682" s="47" t="n">
        <f aca="false">IF(J1682=1,N(I1682)+ROW()/10000000,0)</f>
        <v>0</v>
      </c>
      <c r="L1682" s="47" t="str">
        <f aca="false">IF(AND(J1682=1,N(I1682)&gt;0),SUMIF($K$2:$K$5001,"&gt;="&amp;K1682,$I$2:$I$5001)/MAX(1,SUM($H$2:$H$5001)),"")</f>
        <v/>
      </c>
      <c r="M1682" s="47" t="str">
        <f aca="false">IF($A1682="","",INDEX($L$2:$L$5001,MATCH($A1682,$A$2:$A$5001,0)))</f>
        <v/>
      </c>
      <c r="N1682" s="48" t="str">
        <f aca="false">IF($A1682="","",IF(N(M1682)=0,"–",IF(M1682&lt;=Start!$D$20,"A",IF(M1682&lt;=Start!$D$21,"B","C"))))</f>
        <v/>
      </c>
      <c r="O1682" s="48" t="str">
        <f aca="false">IF($A1682="","",IF(NOT(ISNUMBER(F1682)),"Wert fehlt; ",IF(F1682&lt;=0,"Wert ist 0; ",""))&amp;IF(NOT(ISNUMBER(E1682)),"Bestand fehlt; ",IF(E1682&lt;0,"Bestand negativ; ",IF(E1682=0,"Nullbestand; ","")))&amp;IF(D1682="","Warengruppe fehlt; ","")&amp;IF(B1682="","Bezeichnung fehlt; ","")&amp;IF(COUNTIFS($A$2:$A$5001,$A1682,$C$2:$C$5001,C1682)&gt;1,"Artikel doppelt im selben Lager; ",""))</f>
        <v/>
      </c>
      <c r="P1682" s="47" t="n">
        <f aca="false">IF(OR($A1682="",D1682=""),0,IF(COUNTIF($D$2:D1682,D1682)=1,SUMIF($D$2:$D$5001,D1682,$H$2:$H$5001)+ROW()/10000000,0))</f>
        <v>0</v>
      </c>
      <c r="Q1682" s="47" t="n">
        <f aca="false">IF(OR($A1682="",C1682=""),0,IF(COUNTIF($C$2:C1682,C1682)=1,SUMIF($C$2:$C$5001,C1682,$H$2:$H$5001)+ROW()/10000000,0))</f>
        <v>0</v>
      </c>
    </row>
    <row r="1683" customFormat="false" ht="15" hidden="false" customHeight="false" outlineLevel="0" collapsed="false">
      <c r="A1683" s="43"/>
      <c r="B1683" s="44"/>
      <c r="C1683" s="44"/>
      <c r="D1683" s="44"/>
      <c r="E1683" s="44"/>
      <c r="F1683" s="44"/>
      <c r="G1683" s="44"/>
      <c r="H1683" s="46" t="str">
        <f aca="false">IF($A1683="","",IF(OR(NOT(ISNUMBER(E1683)),NOT(ISNUMBER(F1683))),"",MAX(0,E1683)*F1683))</f>
        <v/>
      </c>
      <c r="I1683" s="46" t="str">
        <f aca="false">IF($A1683="","",SUMIF($A$2:$A$5001,$A1683,$H$2:$H$5001))</f>
        <v/>
      </c>
      <c r="J1683" s="47" t="n">
        <f aca="false">IF($A1683="",0,IF(COUNTIF($A$2:A1683,$A1683)=1,1,0))</f>
        <v>0</v>
      </c>
      <c r="K1683" s="47" t="n">
        <f aca="false">IF(J1683=1,N(I1683)+ROW()/10000000,0)</f>
        <v>0</v>
      </c>
      <c r="L1683" s="47" t="str">
        <f aca="false">IF(AND(J1683=1,N(I1683)&gt;0),SUMIF($K$2:$K$5001,"&gt;="&amp;K1683,$I$2:$I$5001)/MAX(1,SUM($H$2:$H$5001)),"")</f>
        <v/>
      </c>
      <c r="M1683" s="47" t="str">
        <f aca="false">IF($A1683="","",INDEX($L$2:$L$5001,MATCH($A1683,$A$2:$A$5001,0)))</f>
        <v/>
      </c>
      <c r="N1683" s="48" t="str">
        <f aca="false">IF($A1683="","",IF(N(M1683)=0,"–",IF(M1683&lt;=Start!$D$20,"A",IF(M1683&lt;=Start!$D$21,"B","C"))))</f>
        <v/>
      </c>
      <c r="O1683" s="48" t="str">
        <f aca="false">IF($A1683="","",IF(NOT(ISNUMBER(F1683)),"Wert fehlt; ",IF(F1683&lt;=0,"Wert ist 0; ",""))&amp;IF(NOT(ISNUMBER(E1683)),"Bestand fehlt; ",IF(E1683&lt;0,"Bestand negativ; ",IF(E1683=0,"Nullbestand; ","")))&amp;IF(D1683="","Warengruppe fehlt; ","")&amp;IF(B1683="","Bezeichnung fehlt; ","")&amp;IF(COUNTIFS($A$2:$A$5001,$A1683,$C$2:$C$5001,C1683)&gt;1,"Artikel doppelt im selben Lager; ",""))</f>
        <v/>
      </c>
      <c r="P1683" s="47" t="n">
        <f aca="false">IF(OR($A1683="",D1683=""),0,IF(COUNTIF($D$2:D1683,D1683)=1,SUMIF($D$2:$D$5001,D1683,$H$2:$H$5001)+ROW()/10000000,0))</f>
        <v>0</v>
      </c>
      <c r="Q1683" s="47" t="n">
        <f aca="false">IF(OR($A1683="",C1683=""),0,IF(COUNTIF($C$2:C1683,C1683)=1,SUMIF($C$2:$C$5001,C1683,$H$2:$H$5001)+ROW()/10000000,0))</f>
        <v>0</v>
      </c>
    </row>
    <row r="1684" customFormat="false" ht="15" hidden="false" customHeight="false" outlineLevel="0" collapsed="false">
      <c r="A1684" s="43"/>
      <c r="B1684" s="44"/>
      <c r="C1684" s="44"/>
      <c r="D1684" s="44"/>
      <c r="E1684" s="44"/>
      <c r="F1684" s="44"/>
      <c r="G1684" s="44"/>
      <c r="H1684" s="46" t="str">
        <f aca="false">IF($A1684="","",IF(OR(NOT(ISNUMBER(E1684)),NOT(ISNUMBER(F1684))),"",MAX(0,E1684)*F1684))</f>
        <v/>
      </c>
      <c r="I1684" s="46" t="str">
        <f aca="false">IF($A1684="","",SUMIF($A$2:$A$5001,$A1684,$H$2:$H$5001))</f>
        <v/>
      </c>
      <c r="J1684" s="47" t="n">
        <f aca="false">IF($A1684="",0,IF(COUNTIF($A$2:A1684,$A1684)=1,1,0))</f>
        <v>0</v>
      </c>
      <c r="K1684" s="47" t="n">
        <f aca="false">IF(J1684=1,N(I1684)+ROW()/10000000,0)</f>
        <v>0</v>
      </c>
      <c r="L1684" s="47" t="str">
        <f aca="false">IF(AND(J1684=1,N(I1684)&gt;0),SUMIF($K$2:$K$5001,"&gt;="&amp;K1684,$I$2:$I$5001)/MAX(1,SUM($H$2:$H$5001)),"")</f>
        <v/>
      </c>
      <c r="M1684" s="47" t="str">
        <f aca="false">IF($A1684="","",INDEX($L$2:$L$5001,MATCH($A1684,$A$2:$A$5001,0)))</f>
        <v/>
      </c>
      <c r="N1684" s="48" t="str">
        <f aca="false">IF($A1684="","",IF(N(M1684)=0,"–",IF(M1684&lt;=Start!$D$20,"A",IF(M1684&lt;=Start!$D$21,"B","C"))))</f>
        <v/>
      </c>
      <c r="O1684" s="48" t="str">
        <f aca="false">IF($A1684="","",IF(NOT(ISNUMBER(F1684)),"Wert fehlt; ",IF(F1684&lt;=0,"Wert ist 0; ",""))&amp;IF(NOT(ISNUMBER(E1684)),"Bestand fehlt; ",IF(E1684&lt;0,"Bestand negativ; ",IF(E1684=0,"Nullbestand; ","")))&amp;IF(D1684="","Warengruppe fehlt; ","")&amp;IF(B1684="","Bezeichnung fehlt; ","")&amp;IF(COUNTIFS($A$2:$A$5001,$A1684,$C$2:$C$5001,C1684)&gt;1,"Artikel doppelt im selben Lager; ",""))</f>
        <v/>
      </c>
      <c r="P1684" s="47" t="n">
        <f aca="false">IF(OR($A1684="",D1684=""),0,IF(COUNTIF($D$2:D1684,D1684)=1,SUMIF($D$2:$D$5001,D1684,$H$2:$H$5001)+ROW()/10000000,0))</f>
        <v>0</v>
      </c>
      <c r="Q1684" s="47" t="n">
        <f aca="false">IF(OR($A1684="",C1684=""),0,IF(COUNTIF($C$2:C1684,C1684)=1,SUMIF($C$2:$C$5001,C1684,$H$2:$H$5001)+ROW()/10000000,0))</f>
        <v>0</v>
      </c>
    </row>
    <row r="1685" customFormat="false" ht="15" hidden="false" customHeight="false" outlineLevel="0" collapsed="false">
      <c r="A1685" s="43"/>
      <c r="B1685" s="44"/>
      <c r="C1685" s="44"/>
      <c r="D1685" s="44"/>
      <c r="E1685" s="44"/>
      <c r="F1685" s="44"/>
      <c r="G1685" s="44"/>
      <c r="H1685" s="46" t="str">
        <f aca="false">IF($A1685="","",IF(OR(NOT(ISNUMBER(E1685)),NOT(ISNUMBER(F1685))),"",MAX(0,E1685)*F1685))</f>
        <v/>
      </c>
      <c r="I1685" s="46" t="str">
        <f aca="false">IF($A1685="","",SUMIF($A$2:$A$5001,$A1685,$H$2:$H$5001))</f>
        <v/>
      </c>
      <c r="J1685" s="47" t="n">
        <f aca="false">IF($A1685="",0,IF(COUNTIF($A$2:A1685,$A1685)=1,1,0))</f>
        <v>0</v>
      </c>
      <c r="K1685" s="47" t="n">
        <f aca="false">IF(J1685=1,N(I1685)+ROW()/10000000,0)</f>
        <v>0</v>
      </c>
      <c r="L1685" s="47" t="str">
        <f aca="false">IF(AND(J1685=1,N(I1685)&gt;0),SUMIF($K$2:$K$5001,"&gt;="&amp;K1685,$I$2:$I$5001)/MAX(1,SUM($H$2:$H$5001)),"")</f>
        <v/>
      </c>
      <c r="M1685" s="47" t="str">
        <f aca="false">IF($A1685="","",INDEX($L$2:$L$5001,MATCH($A1685,$A$2:$A$5001,0)))</f>
        <v/>
      </c>
      <c r="N1685" s="48" t="str">
        <f aca="false">IF($A1685="","",IF(N(M1685)=0,"–",IF(M1685&lt;=Start!$D$20,"A",IF(M1685&lt;=Start!$D$21,"B","C"))))</f>
        <v/>
      </c>
      <c r="O1685" s="48" t="str">
        <f aca="false">IF($A1685="","",IF(NOT(ISNUMBER(F1685)),"Wert fehlt; ",IF(F1685&lt;=0,"Wert ist 0; ",""))&amp;IF(NOT(ISNUMBER(E1685)),"Bestand fehlt; ",IF(E1685&lt;0,"Bestand negativ; ",IF(E1685=0,"Nullbestand; ","")))&amp;IF(D1685="","Warengruppe fehlt; ","")&amp;IF(B1685="","Bezeichnung fehlt; ","")&amp;IF(COUNTIFS($A$2:$A$5001,$A1685,$C$2:$C$5001,C1685)&gt;1,"Artikel doppelt im selben Lager; ",""))</f>
        <v/>
      </c>
      <c r="P1685" s="47" t="n">
        <f aca="false">IF(OR($A1685="",D1685=""),0,IF(COUNTIF($D$2:D1685,D1685)=1,SUMIF($D$2:$D$5001,D1685,$H$2:$H$5001)+ROW()/10000000,0))</f>
        <v>0</v>
      </c>
      <c r="Q1685" s="47" t="n">
        <f aca="false">IF(OR($A1685="",C1685=""),0,IF(COUNTIF($C$2:C1685,C1685)=1,SUMIF($C$2:$C$5001,C1685,$H$2:$H$5001)+ROW()/10000000,0))</f>
        <v>0</v>
      </c>
    </row>
    <row r="1686" customFormat="false" ht="15" hidden="false" customHeight="false" outlineLevel="0" collapsed="false">
      <c r="A1686" s="43"/>
      <c r="B1686" s="44"/>
      <c r="C1686" s="44"/>
      <c r="D1686" s="44"/>
      <c r="E1686" s="44"/>
      <c r="F1686" s="44"/>
      <c r="G1686" s="44"/>
      <c r="H1686" s="46" t="str">
        <f aca="false">IF($A1686="","",IF(OR(NOT(ISNUMBER(E1686)),NOT(ISNUMBER(F1686))),"",MAX(0,E1686)*F1686))</f>
        <v/>
      </c>
      <c r="I1686" s="46" t="str">
        <f aca="false">IF($A1686="","",SUMIF($A$2:$A$5001,$A1686,$H$2:$H$5001))</f>
        <v/>
      </c>
      <c r="J1686" s="47" t="n">
        <f aca="false">IF($A1686="",0,IF(COUNTIF($A$2:A1686,$A1686)=1,1,0))</f>
        <v>0</v>
      </c>
      <c r="K1686" s="47" t="n">
        <f aca="false">IF(J1686=1,N(I1686)+ROW()/10000000,0)</f>
        <v>0</v>
      </c>
      <c r="L1686" s="47" t="str">
        <f aca="false">IF(AND(J1686=1,N(I1686)&gt;0),SUMIF($K$2:$K$5001,"&gt;="&amp;K1686,$I$2:$I$5001)/MAX(1,SUM($H$2:$H$5001)),"")</f>
        <v/>
      </c>
      <c r="M1686" s="47" t="str">
        <f aca="false">IF($A1686="","",INDEX($L$2:$L$5001,MATCH($A1686,$A$2:$A$5001,0)))</f>
        <v/>
      </c>
      <c r="N1686" s="48" t="str">
        <f aca="false">IF($A1686="","",IF(N(M1686)=0,"–",IF(M1686&lt;=Start!$D$20,"A",IF(M1686&lt;=Start!$D$21,"B","C"))))</f>
        <v/>
      </c>
      <c r="O1686" s="48" t="str">
        <f aca="false">IF($A1686="","",IF(NOT(ISNUMBER(F1686)),"Wert fehlt; ",IF(F1686&lt;=0,"Wert ist 0; ",""))&amp;IF(NOT(ISNUMBER(E1686)),"Bestand fehlt; ",IF(E1686&lt;0,"Bestand negativ; ",IF(E1686=0,"Nullbestand; ","")))&amp;IF(D1686="","Warengruppe fehlt; ","")&amp;IF(B1686="","Bezeichnung fehlt; ","")&amp;IF(COUNTIFS($A$2:$A$5001,$A1686,$C$2:$C$5001,C1686)&gt;1,"Artikel doppelt im selben Lager; ",""))</f>
        <v/>
      </c>
      <c r="P1686" s="47" t="n">
        <f aca="false">IF(OR($A1686="",D1686=""),0,IF(COUNTIF($D$2:D1686,D1686)=1,SUMIF($D$2:$D$5001,D1686,$H$2:$H$5001)+ROW()/10000000,0))</f>
        <v>0</v>
      </c>
      <c r="Q1686" s="47" t="n">
        <f aca="false">IF(OR($A1686="",C1686=""),0,IF(COUNTIF($C$2:C1686,C1686)=1,SUMIF($C$2:$C$5001,C1686,$H$2:$H$5001)+ROW()/10000000,0))</f>
        <v>0</v>
      </c>
    </row>
    <row r="1687" customFormat="false" ht="15" hidden="false" customHeight="false" outlineLevel="0" collapsed="false">
      <c r="A1687" s="43"/>
      <c r="B1687" s="44"/>
      <c r="C1687" s="44"/>
      <c r="D1687" s="44"/>
      <c r="E1687" s="44"/>
      <c r="F1687" s="44"/>
      <c r="G1687" s="44"/>
      <c r="H1687" s="46" t="str">
        <f aca="false">IF($A1687="","",IF(OR(NOT(ISNUMBER(E1687)),NOT(ISNUMBER(F1687))),"",MAX(0,E1687)*F1687))</f>
        <v/>
      </c>
      <c r="I1687" s="46" t="str">
        <f aca="false">IF($A1687="","",SUMIF($A$2:$A$5001,$A1687,$H$2:$H$5001))</f>
        <v/>
      </c>
      <c r="J1687" s="47" t="n">
        <f aca="false">IF($A1687="",0,IF(COUNTIF($A$2:A1687,$A1687)=1,1,0))</f>
        <v>0</v>
      </c>
      <c r="K1687" s="47" t="n">
        <f aca="false">IF(J1687=1,N(I1687)+ROW()/10000000,0)</f>
        <v>0</v>
      </c>
      <c r="L1687" s="47" t="str">
        <f aca="false">IF(AND(J1687=1,N(I1687)&gt;0),SUMIF($K$2:$K$5001,"&gt;="&amp;K1687,$I$2:$I$5001)/MAX(1,SUM($H$2:$H$5001)),"")</f>
        <v/>
      </c>
      <c r="M1687" s="47" t="str">
        <f aca="false">IF($A1687="","",INDEX($L$2:$L$5001,MATCH($A1687,$A$2:$A$5001,0)))</f>
        <v/>
      </c>
      <c r="N1687" s="48" t="str">
        <f aca="false">IF($A1687="","",IF(N(M1687)=0,"–",IF(M1687&lt;=Start!$D$20,"A",IF(M1687&lt;=Start!$D$21,"B","C"))))</f>
        <v/>
      </c>
      <c r="O1687" s="48" t="str">
        <f aca="false">IF($A1687="","",IF(NOT(ISNUMBER(F1687)),"Wert fehlt; ",IF(F1687&lt;=0,"Wert ist 0; ",""))&amp;IF(NOT(ISNUMBER(E1687)),"Bestand fehlt; ",IF(E1687&lt;0,"Bestand negativ; ",IF(E1687=0,"Nullbestand; ","")))&amp;IF(D1687="","Warengruppe fehlt; ","")&amp;IF(B1687="","Bezeichnung fehlt; ","")&amp;IF(COUNTIFS($A$2:$A$5001,$A1687,$C$2:$C$5001,C1687)&gt;1,"Artikel doppelt im selben Lager; ",""))</f>
        <v/>
      </c>
      <c r="P1687" s="47" t="n">
        <f aca="false">IF(OR($A1687="",D1687=""),0,IF(COUNTIF($D$2:D1687,D1687)=1,SUMIF($D$2:$D$5001,D1687,$H$2:$H$5001)+ROW()/10000000,0))</f>
        <v>0</v>
      </c>
      <c r="Q1687" s="47" t="n">
        <f aca="false">IF(OR($A1687="",C1687=""),0,IF(COUNTIF($C$2:C1687,C1687)=1,SUMIF($C$2:$C$5001,C1687,$H$2:$H$5001)+ROW()/10000000,0))</f>
        <v>0</v>
      </c>
    </row>
    <row r="1688" customFormat="false" ht="15" hidden="false" customHeight="false" outlineLevel="0" collapsed="false">
      <c r="A1688" s="43"/>
      <c r="B1688" s="44"/>
      <c r="C1688" s="44"/>
      <c r="D1688" s="44"/>
      <c r="E1688" s="44"/>
      <c r="F1688" s="44"/>
      <c r="G1688" s="44"/>
      <c r="H1688" s="46" t="str">
        <f aca="false">IF($A1688="","",IF(OR(NOT(ISNUMBER(E1688)),NOT(ISNUMBER(F1688))),"",MAX(0,E1688)*F1688))</f>
        <v/>
      </c>
      <c r="I1688" s="46" t="str">
        <f aca="false">IF($A1688="","",SUMIF($A$2:$A$5001,$A1688,$H$2:$H$5001))</f>
        <v/>
      </c>
      <c r="J1688" s="47" t="n">
        <f aca="false">IF($A1688="",0,IF(COUNTIF($A$2:A1688,$A1688)=1,1,0))</f>
        <v>0</v>
      </c>
      <c r="K1688" s="47" t="n">
        <f aca="false">IF(J1688=1,N(I1688)+ROW()/10000000,0)</f>
        <v>0</v>
      </c>
      <c r="L1688" s="47" t="str">
        <f aca="false">IF(AND(J1688=1,N(I1688)&gt;0),SUMIF($K$2:$K$5001,"&gt;="&amp;K1688,$I$2:$I$5001)/MAX(1,SUM($H$2:$H$5001)),"")</f>
        <v/>
      </c>
      <c r="M1688" s="47" t="str">
        <f aca="false">IF($A1688="","",INDEX($L$2:$L$5001,MATCH($A1688,$A$2:$A$5001,0)))</f>
        <v/>
      </c>
      <c r="N1688" s="48" t="str">
        <f aca="false">IF($A1688="","",IF(N(M1688)=0,"–",IF(M1688&lt;=Start!$D$20,"A",IF(M1688&lt;=Start!$D$21,"B","C"))))</f>
        <v/>
      </c>
      <c r="O1688" s="48" t="str">
        <f aca="false">IF($A1688="","",IF(NOT(ISNUMBER(F1688)),"Wert fehlt; ",IF(F1688&lt;=0,"Wert ist 0; ",""))&amp;IF(NOT(ISNUMBER(E1688)),"Bestand fehlt; ",IF(E1688&lt;0,"Bestand negativ; ",IF(E1688=0,"Nullbestand; ","")))&amp;IF(D1688="","Warengruppe fehlt; ","")&amp;IF(B1688="","Bezeichnung fehlt; ","")&amp;IF(COUNTIFS($A$2:$A$5001,$A1688,$C$2:$C$5001,C1688)&gt;1,"Artikel doppelt im selben Lager; ",""))</f>
        <v/>
      </c>
      <c r="P1688" s="47" t="n">
        <f aca="false">IF(OR($A1688="",D1688=""),0,IF(COUNTIF($D$2:D1688,D1688)=1,SUMIF($D$2:$D$5001,D1688,$H$2:$H$5001)+ROW()/10000000,0))</f>
        <v>0</v>
      </c>
      <c r="Q1688" s="47" t="n">
        <f aca="false">IF(OR($A1688="",C1688=""),0,IF(COUNTIF($C$2:C1688,C1688)=1,SUMIF($C$2:$C$5001,C1688,$H$2:$H$5001)+ROW()/10000000,0))</f>
        <v>0</v>
      </c>
    </row>
    <row r="1689" customFormat="false" ht="15" hidden="false" customHeight="false" outlineLevel="0" collapsed="false">
      <c r="A1689" s="43"/>
      <c r="B1689" s="44"/>
      <c r="C1689" s="44"/>
      <c r="D1689" s="44"/>
      <c r="E1689" s="44"/>
      <c r="F1689" s="44"/>
      <c r="G1689" s="44"/>
      <c r="H1689" s="46" t="str">
        <f aca="false">IF($A1689="","",IF(OR(NOT(ISNUMBER(E1689)),NOT(ISNUMBER(F1689))),"",MAX(0,E1689)*F1689))</f>
        <v/>
      </c>
      <c r="I1689" s="46" t="str">
        <f aca="false">IF($A1689="","",SUMIF($A$2:$A$5001,$A1689,$H$2:$H$5001))</f>
        <v/>
      </c>
      <c r="J1689" s="47" t="n">
        <f aca="false">IF($A1689="",0,IF(COUNTIF($A$2:A1689,$A1689)=1,1,0))</f>
        <v>0</v>
      </c>
      <c r="K1689" s="47" t="n">
        <f aca="false">IF(J1689=1,N(I1689)+ROW()/10000000,0)</f>
        <v>0</v>
      </c>
      <c r="L1689" s="47" t="str">
        <f aca="false">IF(AND(J1689=1,N(I1689)&gt;0),SUMIF($K$2:$K$5001,"&gt;="&amp;K1689,$I$2:$I$5001)/MAX(1,SUM($H$2:$H$5001)),"")</f>
        <v/>
      </c>
      <c r="M1689" s="47" t="str">
        <f aca="false">IF($A1689="","",INDEX($L$2:$L$5001,MATCH($A1689,$A$2:$A$5001,0)))</f>
        <v/>
      </c>
      <c r="N1689" s="48" t="str">
        <f aca="false">IF($A1689="","",IF(N(M1689)=0,"–",IF(M1689&lt;=Start!$D$20,"A",IF(M1689&lt;=Start!$D$21,"B","C"))))</f>
        <v/>
      </c>
      <c r="O1689" s="48" t="str">
        <f aca="false">IF($A1689="","",IF(NOT(ISNUMBER(F1689)),"Wert fehlt; ",IF(F1689&lt;=0,"Wert ist 0; ",""))&amp;IF(NOT(ISNUMBER(E1689)),"Bestand fehlt; ",IF(E1689&lt;0,"Bestand negativ; ",IF(E1689=0,"Nullbestand; ","")))&amp;IF(D1689="","Warengruppe fehlt; ","")&amp;IF(B1689="","Bezeichnung fehlt; ","")&amp;IF(COUNTIFS($A$2:$A$5001,$A1689,$C$2:$C$5001,C1689)&gt;1,"Artikel doppelt im selben Lager; ",""))</f>
        <v/>
      </c>
      <c r="P1689" s="47" t="n">
        <f aca="false">IF(OR($A1689="",D1689=""),0,IF(COUNTIF($D$2:D1689,D1689)=1,SUMIF($D$2:$D$5001,D1689,$H$2:$H$5001)+ROW()/10000000,0))</f>
        <v>0</v>
      </c>
      <c r="Q1689" s="47" t="n">
        <f aca="false">IF(OR($A1689="",C1689=""),0,IF(COUNTIF($C$2:C1689,C1689)=1,SUMIF($C$2:$C$5001,C1689,$H$2:$H$5001)+ROW()/10000000,0))</f>
        <v>0</v>
      </c>
    </row>
    <row r="1690" customFormat="false" ht="15" hidden="false" customHeight="false" outlineLevel="0" collapsed="false">
      <c r="A1690" s="43"/>
      <c r="B1690" s="44"/>
      <c r="C1690" s="44"/>
      <c r="D1690" s="44"/>
      <c r="E1690" s="44"/>
      <c r="F1690" s="44"/>
      <c r="G1690" s="44"/>
      <c r="H1690" s="46" t="str">
        <f aca="false">IF($A1690="","",IF(OR(NOT(ISNUMBER(E1690)),NOT(ISNUMBER(F1690))),"",MAX(0,E1690)*F1690))</f>
        <v/>
      </c>
      <c r="I1690" s="46" t="str">
        <f aca="false">IF($A1690="","",SUMIF($A$2:$A$5001,$A1690,$H$2:$H$5001))</f>
        <v/>
      </c>
      <c r="J1690" s="47" t="n">
        <f aca="false">IF($A1690="",0,IF(COUNTIF($A$2:A1690,$A1690)=1,1,0))</f>
        <v>0</v>
      </c>
      <c r="K1690" s="47" t="n">
        <f aca="false">IF(J1690=1,N(I1690)+ROW()/10000000,0)</f>
        <v>0</v>
      </c>
      <c r="L1690" s="47" t="str">
        <f aca="false">IF(AND(J1690=1,N(I1690)&gt;0),SUMIF($K$2:$K$5001,"&gt;="&amp;K1690,$I$2:$I$5001)/MAX(1,SUM($H$2:$H$5001)),"")</f>
        <v/>
      </c>
      <c r="M1690" s="47" t="str">
        <f aca="false">IF($A1690="","",INDEX($L$2:$L$5001,MATCH($A1690,$A$2:$A$5001,0)))</f>
        <v/>
      </c>
      <c r="N1690" s="48" t="str">
        <f aca="false">IF($A1690="","",IF(N(M1690)=0,"–",IF(M1690&lt;=Start!$D$20,"A",IF(M1690&lt;=Start!$D$21,"B","C"))))</f>
        <v/>
      </c>
      <c r="O1690" s="48" t="str">
        <f aca="false">IF($A1690="","",IF(NOT(ISNUMBER(F1690)),"Wert fehlt; ",IF(F1690&lt;=0,"Wert ist 0; ",""))&amp;IF(NOT(ISNUMBER(E1690)),"Bestand fehlt; ",IF(E1690&lt;0,"Bestand negativ; ",IF(E1690=0,"Nullbestand; ","")))&amp;IF(D1690="","Warengruppe fehlt; ","")&amp;IF(B1690="","Bezeichnung fehlt; ","")&amp;IF(COUNTIFS($A$2:$A$5001,$A1690,$C$2:$C$5001,C1690)&gt;1,"Artikel doppelt im selben Lager; ",""))</f>
        <v/>
      </c>
      <c r="P1690" s="47" t="n">
        <f aca="false">IF(OR($A1690="",D1690=""),0,IF(COUNTIF($D$2:D1690,D1690)=1,SUMIF($D$2:$D$5001,D1690,$H$2:$H$5001)+ROW()/10000000,0))</f>
        <v>0</v>
      </c>
      <c r="Q1690" s="47" t="n">
        <f aca="false">IF(OR($A1690="",C1690=""),0,IF(COUNTIF($C$2:C1690,C1690)=1,SUMIF($C$2:$C$5001,C1690,$H$2:$H$5001)+ROW()/10000000,0))</f>
        <v>0</v>
      </c>
    </row>
    <row r="1691" customFormat="false" ht="15" hidden="false" customHeight="false" outlineLevel="0" collapsed="false">
      <c r="A1691" s="43"/>
      <c r="B1691" s="44"/>
      <c r="C1691" s="44"/>
      <c r="D1691" s="44"/>
      <c r="E1691" s="44"/>
      <c r="F1691" s="44"/>
      <c r="G1691" s="44"/>
      <c r="H1691" s="46" t="str">
        <f aca="false">IF($A1691="","",IF(OR(NOT(ISNUMBER(E1691)),NOT(ISNUMBER(F1691))),"",MAX(0,E1691)*F1691))</f>
        <v/>
      </c>
      <c r="I1691" s="46" t="str">
        <f aca="false">IF($A1691="","",SUMIF($A$2:$A$5001,$A1691,$H$2:$H$5001))</f>
        <v/>
      </c>
      <c r="J1691" s="47" t="n">
        <f aca="false">IF($A1691="",0,IF(COUNTIF($A$2:A1691,$A1691)=1,1,0))</f>
        <v>0</v>
      </c>
      <c r="K1691" s="47" t="n">
        <f aca="false">IF(J1691=1,N(I1691)+ROW()/10000000,0)</f>
        <v>0</v>
      </c>
      <c r="L1691" s="47" t="str">
        <f aca="false">IF(AND(J1691=1,N(I1691)&gt;0),SUMIF($K$2:$K$5001,"&gt;="&amp;K1691,$I$2:$I$5001)/MAX(1,SUM($H$2:$H$5001)),"")</f>
        <v/>
      </c>
      <c r="M1691" s="47" t="str">
        <f aca="false">IF($A1691="","",INDEX($L$2:$L$5001,MATCH($A1691,$A$2:$A$5001,0)))</f>
        <v/>
      </c>
      <c r="N1691" s="48" t="str">
        <f aca="false">IF($A1691="","",IF(N(M1691)=0,"–",IF(M1691&lt;=Start!$D$20,"A",IF(M1691&lt;=Start!$D$21,"B","C"))))</f>
        <v/>
      </c>
      <c r="O1691" s="48" t="str">
        <f aca="false">IF($A1691="","",IF(NOT(ISNUMBER(F1691)),"Wert fehlt; ",IF(F1691&lt;=0,"Wert ist 0; ",""))&amp;IF(NOT(ISNUMBER(E1691)),"Bestand fehlt; ",IF(E1691&lt;0,"Bestand negativ; ",IF(E1691=0,"Nullbestand; ","")))&amp;IF(D1691="","Warengruppe fehlt; ","")&amp;IF(B1691="","Bezeichnung fehlt; ","")&amp;IF(COUNTIFS($A$2:$A$5001,$A1691,$C$2:$C$5001,C1691)&gt;1,"Artikel doppelt im selben Lager; ",""))</f>
        <v/>
      </c>
      <c r="P1691" s="47" t="n">
        <f aca="false">IF(OR($A1691="",D1691=""),0,IF(COUNTIF($D$2:D1691,D1691)=1,SUMIF($D$2:$D$5001,D1691,$H$2:$H$5001)+ROW()/10000000,0))</f>
        <v>0</v>
      </c>
      <c r="Q1691" s="47" t="n">
        <f aca="false">IF(OR($A1691="",C1691=""),0,IF(COUNTIF($C$2:C1691,C1691)=1,SUMIF($C$2:$C$5001,C1691,$H$2:$H$5001)+ROW()/10000000,0))</f>
        <v>0</v>
      </c>
    </row>
    <row r="1692" customFormat="false" ht="15" hidden="false" customHeight="false" outlineLevel="0" collapsed="false">
      <c r="A1692" s="43"/>
      <c r="B1692" s="44"/>
      <c r="C1692" s="44"/>
      <c r="D1692" s="44"/>
      <c r="E1692" s="44"/>
      <c r="F1692" s="44"/>
      <c r="G1692" s="44"/>
      <c r="H1692" s="46" t="str">
        <f aca="false">IF($A1692="","",IF(OR(NOT(ISNUMBER(E1692)),NOT(ISNUMBER(F1692))),"",MAX(0,E1692)*F1692))</f>
        <v/>
      </c>
      <c r="I1692" s="46" t="str">
        <f aca="false">IF($A1692="","",SUMIF($A$2:$A$5001,$A1692,$H$2:$H$5001))</f>
        <v/>
      </c>
      <c r="J1692" s="47" t="n">
        <f aca="false">IF($A1692="",0,IF(COUNTIF($A$2:A1692,$A1692)=1,1,0))</f>
        <v>0</v>
      </c>
      <c r="K1692" s="47" t="n">
        <f aca="false">IF(J1692=1,N(I1692)+ROW()/10000000,0)</f>
        <v>0</v>
      </c>
      <c r="L1692" s="47" t="str">
        <f aca="false">IF(AND(J1692=1,N(I1692)&gt;0),SUMIF($K$2:$K$5001,"&gt;="&amp;K1692,$I$2:$I$5001)/MAX(1,SUM($H$2:$H$5001)),"")</f>
        <v/>
      </c>
      <c r="M1692" s="47" t="str">
        <f aca="false">IF($A1692="","",INDEX($L$2:$L$5001,MATCH($A1692,$A$2:$A$5001,0)))</f>
        <v/>
      </c>
      <c r="N1692" s="48" t="str">
        <f aca="false">IF($A1692="","",IF(N(M1692)=0,"–",IF(M1692&lt;=Start!$D$20,"A",IF(M1692&lt;=Start!$D$21,"B","C"))))</f>
        <v/>
      </c>
      <c r="O1692" s="48" t="str">
        <f aca="false">IF($A1692="","",IF(NOT(ISNUMBER(F1692)),"Wert fehlt; ",IF(F1692&lt;=0,"Wert ist 0; ",""))&amp;IF(NOT(ISNUMBER(E1692)),"Bestand fehlt; ",IF(E1692&lt;0,"Bestand negativ; ",IF(E1692=0,"Nullbestand; ","")))&amp;IF(D1692="","Warengruppe fehlt; ","")&amp;IF(B1692="","Bezeichnung fehlt; ","")&amp;IF(COUNTIFS($A$2:$A$5001,$A1692,$C$2:$C$5001,C1692)&gt;1,"Artikel doppelt im selben Lager; ",""))</f>
        <v/>
      </c>
      <c r="P1692" s="47" t="n">
        <f aca="false">IF(OR($A1692="",D1692=""),0,IF(COUNTIF($D$2:D1692,D1692)=1,SUMIF($D$2:$D$5001,D1692,$H$2:$H$5001)+ROW()/10000000,0))</f>
        <v>0</v>
      </c>
      <c r="Q1692" s="47" t="n">
        <f aca="false">IF(OR($A1692="",C1692=""),0,IF(COUNTIF($C$2:C1692,C1692)=1,SUMIF($C$2:$C$5001,C1692,$H$2:$H$5001)+ROW()/10000000,0))</f>
        <v>0</v>
      </c>
    </row>
    <row r="1693" customFormat="false" ht="15" hidden="false" customHeight="false" outlineLevel="0" collapsed="false">
      <c r="A1693" s="43"/>
      <c r="B1693" s="44"/>
      <c r="C1693" s="44"/>
      <c r="D1693" s="44"/>
      <c r="E1693" s="44"/>
      <c r="F1693" s="44"/>
      <c r="G1693" s="44"/>
      <c r="H1693" s="46" t="str">
        <f aca="false">IF($A1693="","",IF(OR(NOT(ISNUMBER(E1693)),NOT(ISNUMBER(F1693))),"",MAX(0,E1693)*F1693))</f>
        <v/>
      </c>
      <c r="I1693" s="46" t="str">
        <f aca="false">IF($A1693="","",SUMIF($A$2:$A$5001,$A1693,$H$2:$H$5001))</f>
        <v/>
      </c>
      <c r="J1693" s="47" t="n">
        <f aca="false">IF($A1693="",0,IF(COUNTIF($A$2:A1693,$A1693)=1,1,0))</f>
        <v>0</v>
      </c>
      <c r="K1693" s="47" t="n">
        <f aca="false">IF(J1693=1,N(I1693)+ROW()/10000000,0)</f>
        <v>0</v>
      </c>
      <c r="L1693" s="47" t="str">
        <f aca="false">IF(AND(J1693=1,N(I1693)&gt;0),SUMIF($K$2:$K$5001,"&gt;="&amp;K1693,$I$2:$I$5001)/MAX(1,SUM($H$2:$H$5001)),"")</f>
        <v/>
      </c>
      <c r="M1693" s="47" t="str">
        <f aca="false">IF($A1693="","",INDEX($L$2:$L$5001,MATCH($A1693,$A$2:$A$5001,0)))</f>
        <v/>
      </c>
      <c r="N1693" s="48" t="str">
        <f aca="false">IF($A1693="","",IF(N(M1693)=0,"–",IF(M1693&lt;=Start!$D$20,"A",IF(M1693&lt;=Start!$D$21,"B","C"))))</f>
        <v/>
      </c>
      <c r="O1693" s="48" t="str">
        <f aca="false">IF($A1693="","",IF(NOT(ISNUMBER(F1693)),"Wert fehlt; ",IF(F1693&lt;=0,"Wert ist 0; ",""))&amp;IF(NOT(ISNUMBER(E1693)),"Bestand fehlt; ",IF(E1693&lt;0,"Bestand negativ; ",IF(E1693=0,"Nullbestand; ","")))&amp;IF(D1693="","Warengruppe fehlt; ","")&amp;IF(B1693="","Bezeichnung fehlt; ","")&amp;IF(COUNTIFS($A$2:$A$5001,$A1693,$C$2:$C$5001,C1693)&gt;1,"Artikel doppelt im selben Lager; ",""))</f>
        <v/>
      </c>
      <c r="P1693" s="47" t="n">
        <f aca="false">IF(OR($A1693="",D1693=""),0,IF(COUNTIF($D$2:D1693,D1693)=1,SUMIF($D$2:$D$5001,D1693,$H$2:$H$5001)+ROW()/10000000,0))</f>
        <v>0</v>
      </c>
      <c r="Q1693" s="47" t="n">
        <f aca="false">IF(OR($A1693="",C1693=""),0,IF(COUNTIF($C$2:C1693,C1693)=1,SUMIF($C$2:$C$5001,C1693,$H$2:$H$5001)+ROW()/10000000,0))</f>
        <v>0</v>
      </c>
    </row>
    <row r="1694" customFormat="false" ht="15" hidden="false" customHeight="false" outlineLevel="0" collapsed="false">
      <c r="A1694" s="43"/>
      <c r="B1694" s="44"/>
      <c r="C1694" s="44"/>
      <c r="D1694" s="44"/>
      <c r="E1694" s="44"/>
      <c r="F1694" s="44"/>
      <c r="G1694" s="44"/>
      <c r="H1694" s="46" t="str">
        <f aca="false">IF($A1694="","",IF(OR(NOT(ISNUMBER(E1694)),NOT(ISNUMBER(F1694))),"",MAX(0,E1694)*F1694))</f>
        <v/>
      </c>
      <c r="I1694" s="46" t="str">
        <f aca="false">IF($A1694="","",SUMIF($A$2:$A$5001,$A1694,$H$2:$H$5001))</f>
        <v/>
      </c>
      <c r="J1694" s="47" t="n">
        <f aca="false">IF($A1694="",0,IF(COUNTIF($A$2:A1694,$A1694)=1,1,0))</f>
        <v>0</v>
      </c>
      <c r="K1694" s="47" t="n">
        <f aca="false">IF(J1694=1,N(I1694)+ROW()/10000000,0)</f>
        <v>0</v>
      </c>
      <c r="L1694" s="47" t="str">
        <f aca="false">IF(AND(J1694=1,N(I1694)&gt;0),SUMIF($K$2:$K$5001,"&gt;="&amp;K1694,$I$2:$I$5001)/MAX(1,SUM($H$2:$H$5001)),"")</f>
        <v/>
      </c>
      <c r="M1694" s="47" t="str">
        <f aca="false">IF($A1694="","",INDEX($L$2:$L$5001,MATCH($A1694,$A$2:$A$5001,0)))</f>
        <v/>
      </c>
      <c r="N1694" s="48" t="str">
        <f aca="false">IF($A1694="","",IF(N(M1694)=0,"–",IF(M1694&lt;=Start!$D$20,"A",IF(M1694&lt;=Start!$D$21,"B","C"))))</f>
        <v/>
      </c>
      <c r="O1694" s="48" t="str">
        <f aca="false">IF($A1694="","",IF(NOT(ISNUMBER(F1694)),"Wert fehlt; ",IF(F1694&lt;=0,"Wert ist 0; ",""))&amp;IF(NOT(ISNUMBER(E1694)),"Bestand fehlt; ",IF(E1694&lt;0,"Bestand negativ; ",IF(E1694=0,"Nullbestand; ","")))&amp;IF(D1694="","Warengruppe fehlt; ","")&amp;IF(B1694="","Bezeichnung fehlt; ","")&amp;IF(COUNTIFS($A$2:$A$5001,$A1694,$C$2:$C$5001,C1694)&gt;1,"Artikel doppelt im selben Lager; ",""))</f>
        <v/>
      </c>
      <c r="P1694" s="47" t="n">
        <f aca="false">IF(OR($A1694="",D1694=""),0,IF(COUNTIF($D$2:D1694,D1694)=1,SUMIF($D$2:$D$5001,D1694,$H$2:$H$5001)+ROW()/10000000,0))</f>
        <v>0</v>
      </c>
      <c r="Q1694" s="47" t="n">
        <f aca="false">IF(OR($A1694="",C1694=""),0,IF(COUNTIF($C$2:C1694,C1694)=1,SUMIF($C$2:$C$5001,C1694,$H$2:$H$5001)+ROW()/10000000,0))</f>
        <v>0</v>
      </c>
    </row>
    <row r="1695" customFormat="false" ht="15" hidden="false" customHeight="false" outlineLevel="0" collapsed="false">
      <c r="A1695" s="43"/>
      <c r="B1695" s="44"/>
      <c r="C1695" s="44"/>
      <c r="D1695" s="44"/>
      <c r="E1695" s="44"/>
      <c r="F1695" s="44"/>
      <c r="G1695" s="44"/>
      <c r="H1695" s="46" t="str">
        <f aca="false">IF($A1695="","",IF(OR(NOT(ISNUMBER(E1695)),NOT(ISNUMBER(F1695))),"",MAX(0,E1695)*F1695))</f>
        <v/>
      </c>
      <c r="I1695" s="46" t="str">
        <f aca="false">IF($A1695="","",SUMIF($A$2:$A$5001,$A1695,$H$2:$H$5001))</f>
        <v/>
      </c>
      <c r="J1695" s="47" t="n">
        <f aca="false">IF($A1695="",0,IF(COUNTIF($A$2:A1695,$A1695)=1,1,0))</f>
        <v>0</v>
      </c>
      <c r="K1695" s="47" t="n">
        <f aca="false">IF(J1695=1,N(I1695)+ROW()/10000000,0)</f>
        <v>0</v>
      </c>
      <c r="L1695" s="47" t="str">
        <f aca="false">IF(AND(J1695=1,N(I1695)&gt;0),SUMIF($K$2:$K$5001,"&gt;="&amp;K1695,$I$2:$I$5001)/MAX(1,SUM($H$2:$H$5001)),"")</f>
        <v/>
      </c>
      <c r="M1695" s="47" t="str">
        <f aca="false">IF($A1695="","",INDEX($L$2:$L$5001,MATCH($A1695,$A$2:$A$5001,0)))</f>
        <v/>
      </c>
      <c r="N1695" s="48" t="str">
        <f aca="false">IF($A1695="","",IF(N(M1695)=0,"–",IF(M1695&lt;=Start!$D$20,"A",IF(M1695&lt;=Start!$D$21,"B","C"))))</f>
        <v/>
      </c>
      <c r="O1695" s="48" t="str">
        <f aca="false">IF($A1695="","",IF(NOT(ISNUMBER(F1695)),"Wert fehlt; ",IF(F1695&lt;=0,"Wert ist 0; ",""))&amp;IF(NOT(ISNUMBER(E1695)),"Bestand fehlt; ",IF(E1695&lt;0,"Bestand negativ; ",IF(E1695=0,"Nullbestand; ","")))&amp;IF(D1695="","Warengruppe fehlt; ","")&amp;IF(B1695="","Bezeichnung fehlt; ","")&amp;IF(COUNTIFS($A$2:$A$5001,$A1695,$C$2:$C$5001,C1695)&gt;1,"Artikel doppelt im selben Lager; ",""))</f>
        <v/>
      </c>
      <c r="P1695" s="47" t="n">
        <f aca="false">IF(OR($A1695="",D1695=""),0,IF(COUNTIF($D$2:D1695,D1695)=1,SUMIF($D$2:$D$5001,D1695,$H$2:$H$5001)+ROW()/10000000,0))</f>
        <v>0</v>
      </c>
      <c r="Q1695" s="47" t="n">
        <f aca="false">IF(OR($A1695="",C1695=""),0,IF(COUNTIF($C$2:C1695,C1695)=1,SUMIF($C$2:$C$5001,C1695,$H$2:$H$5001)+ROW()/10000000,0))</f>
        <v>0</v>
      </c>
    </row>
    <row r="1696" customFormat="false" ht="15" hidden="false" customHeight="false" outlineLevel="0" collapsed="false">
      <c r="A1696" s="43"/>
      <c r="B1696" s="44"/>
      <c r="C1696" s="44"/>
      <c r="D1696" s="44"/>
      <c r="E1696" s="44"/>
      <c r="F1696" s="44"/>
      <c r="G1696" s="44"/>
      <c r="H1696" s="46" t="str">
        <f aca="false">IF($A1696="","",IF(OR(NOT(ISNUMBER(E1696)),NOT(ISNUMBER(F1696))),"",MAX(0,E1696)*F1696))</f>
        <v/>
      </c>
      <c r="I1696" s="46" t="str">
        <f aca="false">IF($A1696="","",SUMIF($A$2:$A$5001,$A1696,$H$2:$H$5001))</f>
        <v/>
      </c>
      <c r="J1696" s="47" t="n">
        <f aca="false">IF($A1696="",0,IF(COUNTIF($A$2:A1696,$A1696)=1,1,0))</f>
        <v>0</v>
      </c>
      <c r="K1696" s="47" t="n">
        <f aca="false">IF(J1696=1,N(I1696)+ROW()/10000000,0)</f>
        <v>0</v>
      </c>
      <c r="L1696" s="47" t="str">
        <f aca="false">IF(AND(J1696=1,N(I1696)&gt;0),SUMIF($K$2:$K$5001,"&gt;="&amp;K1696,$I$2:$I$5001)/MAX(1,SUM($H$2:$H$5001)),"")</f>
        <v/>
      </c>
      <c r="M1696" s="47" t="str">
        <f aca="false">IF($A1696="","",INDEX($L$2:$L$5001,MATCH($A1696,$A$2:$A$5001,0)))</f>
        <v/>
      </c>
      <c r="N1696" s="48" t="str">
        <f aca="false">IF($A1696="","",IF(N(M1696)=0,"–",IF(M1696&lt;=Start!$D$20,"A",IF(M1696&lt;=Start!$D$21,"B","C"))))</f>
        <v/>
      </c>
      <c r="O1696" s="48" t="str">
        <f aca="false">IF($A1696="","",IF(NOT(ISNUMBER(F1696)),"Wert fehlt; ",IF(F1696&lt;=0,"Wert ist 0; ",""))&amp;IF(NOT(ISNUMBER(E1696)),"Bestand fehlt; ",IF(E1696&lt;0,"Bestand negativ; ",IF(E1696=0,"Nullbestand; ","")))&amp;IF(D1696="","Warengruppe fehlt; ","")&amp;IF(B1696="","Bezeichnung fehlt; ","")&amp;IF(COUNTIFS($A$2:$A$5001,$A1696,$C$2:$C$5001,C1696)&gt;1,"Artikel doppelt im selben Lager; ",""))</f>
        <v/>
      </c>
      <c r="P1696" s="47" t="n">
        <f aca="false">IF(OR($A1696="",D1696=""),0,IF(COUNTIF($D$2:D1696,D1696)=1,SUMIF($D$2:$D$5001,D1696,$H$2:$H$5001)+ROW()/10000000,0))</f>
        <v>0</v>
      </c>
      <c r="Q1696" s="47" t="n">
        <f aca="false">IF(OR($A1696="",C1696=""),0,IF(COUNTIF($C$2:C1696,C1696)=1,SUMIF($C$2:$C$5001,C1696,$H$2:$H$5001)+ROW()/10000000,0))</f>
        <v>0</v>
      </c>
    </row>
    <row r="1697" customFormat="false" ht="15" hidden="false" customHeight="false" outlineLevel="0" collapsed="false">
      <c r="A1697" s="43"/>
      <c r="B1697" s="44"/>
      <c r="C1697" s="44"/>
      <c r="D1697" s="44"/>
      <c r="E1697" s="44"/>
      <c r="F1697" s="44"/>
      <c r="G1697" s="44"/>
      <c r="H1697" s="46" t="str">
        <f aca="false">IF($A1697="","",IF(OR(NOT(ISNUMBER(E1697)),NOT(ISNUMBER(F1697))),"",MAX(0,E1697)*F1697))</f>
        <v/>
      </c>
      <c r="I1697" s="46" t="str">
        <f aca="false">IF($A1697="","",SUMIF($A$2:$A$5001,$A1697,$H$2:$H$5001))</f>
        <v/>
      </c>
      <c r="J1697" s="47" t="n">
        <f aca="false">IF($A1697="",0,IF(COUNTIF($A$2:A1697,$A1697)=1,1,0))</f>
        <v>0</v>
      </c>
      <c r="K1697" s="47" t="n">
        <f aca="false">IF(J1697=1,N(I1697)+ROW()/10000000,0)</f>
        <v>0</v>
      </c>
      <c r="L1697" s="47" t="str">
        <f aca="false">IF(AND(J1697=1,N(I1697)&gt;0),SUMIF($K$2:$K$5001,"&gt;="&amp;K1697,$I$2:$I$5001)/MAX(1,SUM($H$2:$H$5001)),"")</f>
        <v/>
      </c>
      <c r="M1697" s="47" t="str">
        <f aca="false">IF($A1697="","",INDEX($L$2:$L$5001,MATCH($A1697,$A$2:$A$5001,0)))</f>
        <v/>
      </c>
      <c r="N1697" s="48" t="str">
        <f aca="false">IF($A1697="","",IF(N(M1697)=0,"–",IF(M1697&lt;=Start!$D$20,"A",IF(M1697&lt;=Start!$D$21,"B","C"))))</f>
        <v/>
      </c>
      <c r="O1697" s="48" t="str">
        <f aca="false">IF($A1697="","",IF(NOT(ISNUMBER(F1697)),"Wert fehlt; ",IF(F1697&lt;=0,"Wert ist 0; ",""))&amp;IF(NOT(ISNUMBER(E1697)),"Bestand fehlt; ",IF(E1697&lt;0,"Bestand negativ; ",IF(E1697=0,"Nullbestand; ","")))&amp;IF(D1697="","Warengruppe fehlt; ","")&amp;IF(B1697="","Bezeichnung fehlt; ","")&amp;IF(COUNTIFS($A$2:$A$5001,$A1697,$C$2:$C$5001,C1697)&gt;1,"Artikel doppelt im selben Lager; ",""))</f>
        <v/>
      </c>
      <c r="P1697" s="47" t="n">
        <f aca="false">IF(OR($A1697="",D1697=""),0,IF(COUNTIF($D$2:D1697,D1697)=1,SUMIF($D$2:$D$5001,D1697,$H$2:$H$5001)+ROW()/10000000,0))</f>
        <v>0</v>
      </c>
      <c r="Q1697" s="47" t="n">
        <f aca="false">IF(OR($A1697="",C1697=""),0,IF(COUNTIF($C$2:C1697,C1697)=1,SUMIF($C$2:$C$5001,C1697,$H$2:$H$5001)+ROW()/10000000,0))</f>
        <v>0</v>
      </c>
    </row>
    <row r="1698" customFormat="false" ht="15" hidden="false" customHeight="false" outlineLevel="0" collapsed="false">
      <c r="A1698" s="43"/>
      <c r="B1698" s="44"/>
      <c r="C1698" s="44"/>
      <c r="D1698" s="44"/>
      <c r="E1698" s="44"/>
      <c r="F1698" s="44"/>
      <c r="G1698" s="44"/>
      <c r="H1698" s="46" t="str">
        <f aca="false">IF($A1698="","",IF(OR(NOT(ISNUMBER(E1698)),NOT(ISNUMBER(F1698))),"",MAX(0,E1698)*F1698))</f>
        <v/>
      </c>
      <c r="I1698" s="46" t="str">
        <f aca="false">IF($A1698="","",SUMIF($A$2:$A$5001,$A1698,$H$2:$H$5001))</f>
        <v/>
      </c>
      <c r="J1698" s="47" t="n">
        <f aca="false">IF($A1698="",0,IF(COUNTIF($A$2:A1698,$A1698)=1,1,0))</f>
        <v>0</v>
      </c>
      <c r="K1698" s="47" t="n">
        <f aca="false">IF(J1698=1,N(I1698)+ROW()/10000000,0)</f>
        <v>0</v>
      </c>
      <c r="L1698" s="47" t="str">
        <f aca="false">IF(AND(J1698=1,N(I1698)&gt;0),SUMIF($K$2:$K$5001,"&gt;="&amp;K1698,$I$2:$I$5001)/MAX(1,SUM($H$2:$H$5001)),"")</f>
        <v/>
      </c>
      <c r="M1698" s="47" t="str">
        <f aca="false">IF($A1698="","",INDEX($L$2:$L$5001,MATCH($A1698,$A$2:$A$5001,0)))</f>
        <v/>
      </c>
      <c r="N1698" s="48" t="str">
        <f aca="false">IF($A1698="","",IF(N(M1698)=0,"–",IF(M1698&lt;=Start!$D$20,"A",IF(M1698&lt;=Start!$D$21,"B","C"))))</f>
        <v/>
      </c>
      <c r="O1698" s="48" t="str">
        <f aca="false">IF($A1698="","",IF(NOT(ISNUMBER(F1698)),"Wert fehlt; ",IF(F1698&lt;=0,"Wert ist 0; ",""))&amp;IF(NOT(ISNUMBER(E1698)),"Bestand fehlt; ",IF(E1698&lt;0,"Bestand negativ; ",IF(E1698=0,"Nullbestand; ","")))&amp;IF(D1698="","Warengruppe fehlt; ","")&amp;IF(B1698="","Bezeichnung fehlt; ","")&amp;IF(COUNTIFS($A$2:$A$5001,$A1698,$C$2:$C$5001,C1698)&gt;1,"Artikel doppelt im selben Lager; ",""))</f>
        <v/>
      </c>
      <c r="P1698" s="47" t="n">
        <f aca="false">IF(OR($A1698="",D1698=""),0,IF(COUNTIF($D$2:D1698,D1698)=1,SUMIF($D$2:$D$5001,D1698,$H$2:$H$5001)+ROW()/10000000,0))</f>
        <v>0</v>
      </c>
      <c r="Q1698" s="47" t="n">
        <f aca="false">IF(OR($A1698="",C1698=""),0,IF(COUNTIF($C$2:C1698,C1698)=1,SUMIF($C$2:$C$5001,C1698,$H$2:$H$5001)+ROW()/10000000,0))</f>
        <v>0</v>
      </c>
    </row>
    <row r="1699" customFormat="false" ht="15" hidden="false" customHeight="false" outlineLevel="0" collapsed="false">
      <c r="A1699" s="43"/>
      <c r="B1699" s="44"/>
      <c r="C1699" s="44"/>
      <c r="D1699" s="44"/>
      <c r="E1699" s="44"/>
      <c r="F1699" s="44"/>
      <c r="G1699" s="44"/>
      <c r="H1699" s="46" t="str">
        <f aca="false">IF($A1699="","",IF(OR(NOT(ISNUMBER(E1699)),NOT(ISNUMBER(F1699))),"",MAX(0,E1699)*F1699))</f>
        <v/>
      </c>
      <c r="I1699" s="46" t="str">
        <f aca="false">IF($A1699="","",SUMIF($A$2:$A$5001,$A1699,$H$2:$H$5001))</f>
        <v/>
      </c>
      <c r="J1699" s="47" t="n">
        <f aca="false">IF($A1699="",0,IF(COUNTIF($A$2:A1699,$A1699)=1,1,0))</f>
        <v>0</v>
      </c>
      <c r="K1699" s="47" t="n">
        <f aca="false">IF(J1699=1,N(I1699)+ROW()/10000000,0)</f>
        <v>0</v>
      </c>
      <c r="L1699" s="47" t="str">
        <f aca="false">IF(AND(J1699=1,N(I1699)&gt;0),SUMIF($K$2:$K$5001,"&gt;="&amp;K1699,$I$2:$I$5001)/MAX(1,SUM($H$2:$H$5001)),"")</f>
        <v/>
      </c>
      <c r="M1699" s="47" t="str">
        <f aca="false">IF($A1699="","",INDEX($L$2:$L$5001,MATCH($A1699,$A$2:$A$5001,0)))</f>
        <v/>
      </c>
      <c r="N1699" s="48" t="str">
        <f aca="false">IF($A1699="","",IF(N(M1699)=0,"–",IF(M1699&lt;=Start!$D$20,"A",IF(M1699&lt;=Start!$D$21,"B","C"))))</f>
        <v/>
      </c>
      <c r="O1699" s="48" t="str">
        <f aca="false">IF($A1699="","",IF(NOT(ISNUMBER(F1699)),"Wert fehlt; ",IF(F1699&lt;=0,"Wert ist 0; ",""))&amp;IF(NOT(ISNUMBER(E1699)),"Bestand fehlt; ",IF(E1699&lt;0,"Bestand negativ; ",IF(E1699=0,"Nullbestand; ","")))&amp;IF(D1699="","Warengruppe fehlt; ","")&amp;IF(B1699="","Bezeichnung fehlt; ","")&amp;IF(COUNTIFS($A$2:$A$5001,$A1699,$C$2:$C$5001,C1699)&gt;1,"Artikel doppelt im selben Lager; ",""))</f>
        <v/>
      </c>
      <c r="P1699" s="47" t="n">
        <f aca="false">IF(OR($A1699="",D1699=""),0,IF(COUNTIF($D$2:D1699,D1699)=1,SUMIF($D$2:$D$5001,D1699,$H$2:$H$5001)+ROW()/10000000,0))</f>
        <v>0</v>
      </c>
      <c r="Q1699" s="47" t="n">
        <f aca="false">IF(OR($A1699="",C1699=""),0,IF(COUNTIF($C$2:C1699,C1699)=1,SUMIF($C$2:$C$5001,C1699,$H$2:$H$5001)+ROW()/10000000,0))</f>
        <v>0</v>
      </c>
    </row>
    <row r="1700" customFormat="false" ht="15" hidden="false" customHeight="false" outlineLevel="0" collapsed="false">
      <c r="A1700" s="43"/>
      <c r="B1700" s="44"/>
      <c r="C1700" s="44"/>
      <c r="D1700" s="44"/>
      <c r="E1700" s="44"/>
      <c r="F1700" s="44"/>
      <c r="G1700" s="44"/>
      <c r="H1700" s="46" t="str">
        <f aca="false">IF($A1700="","",IF(OR(NOT(ISNUMBER(E1700)),NOT(ISNUMBER(F1700))),"",MAX(0,E1700)*F1700))</f>
        <v/>
      </c>
      <c r="I1700" s="46" t="str">
        <f aca="false">IF($A1700="","",SUMIF($A$2:$A$5001,$A1700,$H$2:$H$5001))</f>
        <v/>
      </c>
      <c r="J1700" s="47" t="n">
        <f aca="false">IF($A1700="",0,IF(COUNTIF($A$2:A1700,$A1700)=1,1,0))</f>
        <v>0</v>
      </c>
      <c r="K1700" s="47" t="n">
        <f aca="false">IF(J1700=1,N(I1700)+ROW()/10000000,0)</f>
        <v>0</v>
      </c>
      <c r="L1700" s="47" t="str">
        <f aca="false">IF(AND(J1700=1,N(I1700)&gt;0),SUMIF($K$2:$K$5001,"&gt;="&amp;K1700,$I$2:$I$5001)/MAX(1,SUM($H$2:$H$5001)),"")</f>
        <v/>
      </c>
      <c r="M1700" s="47" t="str">
        <f aca="false">IF($A1700="","",INDEX($L$2:$L$5001,MATCH($A1700,$A$2:$A$5001,0)))</f>
        <v/>
      </c>
      <c r="N1700" s="48" t="str">
        <f aca="false">IF($A1700="","",IF(N(M1700)=0,"–",IF(M1700&lt;=Start!$D$20,"A",IF(M1700&lt;=Start!$D$21,"B","C"))))</f>
        <v/>
      </c>
      <c r="O1700" s="48" t="str">
        <f aca="false">IF($A1700="","",IF(NOT(ISNUMBER(F1700)),"Wert fehlt; ",IF(F1700&lt;=0,"Wert ist 0; ",""))&amp;IF(NOT(ISNUMBER(E1700)),"Bestand fehlt; ",IF(E1700&lt;0,"Bestand negativ; ",IF(E1700=0,"Nullbestand; ","")))&amp;IF(D1700="","Warengruppe fehlt; ","")&amp;IF(B1700="","Bezeichnung fehlt; ","")&amp;IF(COUNTIFS($A$2:$A$5001,$A1700,$C$2:$C$5001,C1700)&gt;1,"Artikel doppelt im selben Lager; ",""))</f>
        <v/>
      </c>
      <c r="P1700" s="47" t="n">
        <f aca="false">IF(OR($A1700="",D1700=""),0,IF(COUNTIF($D$2:D1700,D1700)=1,SUMIF($D$2:$D$5001,D1700,$H$2:$H$5001)+ROW()/10000000,0))</f>
        <v>0</v>
      </c>
      <c r="Q1700" s="47" t="n">
        <f aca="false">IF(OR($A1700="",C1700=""),0,IF(COUNTIF($C$2:C1700,C1700)=1,SUMIF($C$2:$C$5001,C1700,$H$2:$H$5001)+ROW()/10000000,0))</f>
        <v>0</v>
      </c>
    </row>
    <row r="1701" customFormat="false" ht="15" hidden="false" customHeight="false" outlineLevel="0" collapsed="false">
      <c r="A1701" s="43"/>
      <c r="B1701" s="44"/>
      <c r="C1701" s="44"/>
      <c r="D1701" s="44"/>
      <c r="E1701" s="44"/>
      <c r="F1701" s="44"/>
      <c r="G1701" s="44"/>
      <c r="H1701" s="46" t="str">
        <f aca="false">IF($A1701="","",IF(OR(NOT(ISNUMBER(E1701)),NOT(ISNUMBER(F1701))),"",MAX(0,E1701)*F1701))</f>
        <v/>
      </c>
      <c r="I1701" s="46" t="str">
        <f aca="false">IF($A1701="","",SUMIF($A$2:$A$5001,$A1701,$H$2:$H$5001))</f>
        <v/>
      </c>
      <c r="J1701" s="47" t="n">
        <f aca="false">IF($A1701="",0,IF(COUNTIF($A$2:A1701,$A1701)=1,1,0))</f>
        <v>0</v>
      </c>
      <c r="K1701" s="47" t="n">
        <f aca="false">IF(J1701=1,N(I1701)+ROW()/10000000,0)</f>
        <v>0</v>
      </c>
      <c r="L1701" s="47" t="str">
        <f aca="false">IF(AND(J1701=1,N(I1701)&gt;0),SUMIF($K$2:$K$5001,"&gt;="&amp;K1701,$I$2:$I$5001)/MAX(1,SUM($H$2:$H$5001)),"")</f>
        <v/>
      </c>
      <c r="M1701" s="47" t="str">
        <f aca="false">IF($A1701="","",INDEX($L$2:$L$5001,MATCH($A1701,$A$2:$A$5001,0)))</f>
        <v/>
      </c>
      <c r="N1701" s="48" t="str">
        <f aca="false">IF($A1701="","",IF(N(M1701)=0,"–",IF(M1701&lt;=Start!$D$20,"A",IF(M1701&lt;=Start!$D$21,"B","C"))))</f>
        <v/>
      </c>
      <c r="O1701" s="48" t="str">
        <f aca="false">IF($A1701="","",IF(NOT(ISNUMBER(F1701)),"Wert fehlt; ",IF(F1701&lt;=0,"Wert ist 0; ",""))&amp;IF(NOT(ISNUMBER(E1701)),"Bestand fehlt; ",IF(E1701&lt;0,"Bestand negativ; ",IF(E1701=0,"Nullbestand; ","")))&amp;IF(D1701="","Warengruppe fehlt; ","")&amp;IF(B1701="","Bezeichnung fehlt; ","")&amp;IF(COUNTIFS($A$2:$A$5001,$A1701,$C$2:$C$5001,C1701)&gt;1,"Artikel doppelt im selben Lager; ",""))</f>
        <v/>
      </c>
      <c r="P1701" s="47" t="n">
        <f aca="false">IF(OR($A1701="",D1701=""),0,IF(COUNTIF($D$2:D1701,D1701)=1,SUMIF($D$2:$D$5001,D1701,$H$2:$H$5001)+ROW()/10000000,0))</f>
        <v>0</v>
      </c>
      <c r="Q1701" s="47" t="n">
        <f aca="false">IF(OR($A1701="",C1701=""),0,IF(COUNTIF($C$2:C1701,C1701)=1,SUMIF($C$2:$C$5001,C1701,$H$2:$H$5001)+ROW()/10000000,0))</f>
        <v>0</v>
      </c>
    </row>
    <row r="1702" customFormat="false" ht="15" hidden="false" customHeight="false" outlineLevel="0" collapsed="false">
      <c r="A1702" s="43"/>
      <c r="B1702" s="44"/>
      <c r="C1702" s="44"/>
      <c r="D1702" s="44"/>
      <c r="E1702" s="44"/>
      <c r="F1702" s="44"/>
      <c r="G1702" s="44"/>
      <c r="H1702" s="46" t="str">
        <f aca="false">IF($A1702="","",IF(OR(NOT(ISNUMBER(E1702)),NOT(ISNUMBER(F1702))),"",MAX(0,E1702)*F1702))</f>
        <v/>
      </c>
      <c r="I1702" s="46" t="str">
        <f aca="false">IF($A1702="","",SUMIF($A$2:$A$5001,$A1702,$H$2:$H$5001))</f>
        <v/>
      </c>
      <c r="J1702" s="47" t="n">
        <f aca="false">IF($A1702="",0,IF(COUNTIF($A$2:A1702,$A1702)=1,1,0))</f>
        <v>0</v>
      </c>
      <c r="K1702" s="47" t="n">
        <f aca="false">IF(J1702=1,N(I1702)+ROW()/10000000,0)</f>
        <v>0</v>
      </c>
      <c r="L1702" s="47" t="str">
        <f aca="false">IF(AND(J1702=1,N(I1702)&gt;0),SUMIF($K$2:$K$5001,"&gt;="&amp;K1702,$I$2:$I$5001)/MAX(1,SUM($H$2:$H$5001)),"")</f>
        <v/>
      </c>
      <c r="M1702" s="47" t="str">
        <f aca="false">IF($A1702="","",INDEX($L$2:$L$5001,MATCH($A1702,$A$2:$A$5001,0)))</f>
        <v/>
      </c>
      <c r="N1702" s="48" t="str">
        <f aca="false">IF($A1702="","",IF(N(M1702)=0,"–",IF(M1702&lt;=Start!$D$20,"A",IF(M1702&lt;=Start!$D$21,"B","C"))))</f>
        <v/>
      </c>
      <c r="O1702" s="48" t="str">
        <f aca="false">IF($A1702="","",IF(NOT(ISNUMBER(F1702)),"Wert fehlt; ",IF(F1702&lt;=0,"Wert ist 0; ",""))&amp;IF(NOT(ISNUMBER(E1702)),"Bestand fehlt; ",IF(E1702&lt;0,"Bestand negativ; ",IF(E1702=0,"Nullbestand; ","")))&amp;IF(D1702="","Warengruppe fehlt; ","")&amp;IF(B1702="","Bezeichnung fehlt; ","")&amp;IF(COUNTIFS($A$2:$A$5001,$A1702,$C$2:$C$5001,C1702)&gt;1,"Artikel doppelt im selben Lager; ",""))</f>
        <v/>
      </c>
      <c r="P1702" s="47" t="n">
        <f aca="false">IF(OR($A1702="",D1702=""),0,IF(COUNTIF($D$2:D1702,D1702)=1,SUMIF($D$2:$D$5001,D1702,$H$2:$H$5001)+ROW()/10000000,0))</f>
        <v>0</v>
      </c>
      <c r="Q1702" s="47" t="n">
        <f aca="false">IF(OR($A1702="",C1702=""),0,IF(COUNTIF($C$2:C1702,C1702)=1,SUMIF($C$2:$C$5001,C1702,$H$2:$H$5001)+ROW()/10000000,0))</f>
        <v>0</v>
      </c>
    </row>
    <row r="1703" customFormat="false" ht="15" hidden="false" customHeight="false" outlineLevel="0" collapsed="false">
      <c r="A1703" s="43"/>
      <c r="B1703" s="44"/>
      <c r="C1703" s="44"/>
      <c r="D1703" s="44"/>
      <c r="E1703" s="44"/>
      <c r="F1703" s="44"/>
      <c r="G1703" s="44"/>
      <c r="H1703" s="46" t="str">
        <f aca="false">IF($A1703="","",IF(OR(NOT(ISNUMBER(E1703)),NOT(ISNUMBER(F1703))),"",MAX(0,E1703)*F1703))</f>
        <v/>
      </c>
      <c r="I1703" s="46" t="str">
        <f aca="false">IF($A1703="","",SUMIF($A$2:$A$5001,$A1703,$H$2:$H$5001))</f>
        <v/>
      </c>
      <c r="J1703" s="47" t="n">
        <f aca="false">IF($A1703="",0,IF(COUNTIF($A$2:A1703,$A1703)=1,1,0))</f>
        <v>0</v>
      </c>
      <c r="K1703" s="47" t="n">
        <f aca="false">IF(J1703=1,N(I1703)+ROW()/10000000,0)</f>
        <v>0</v>
      </c>
      <c r="L1703" s="47" t="str">
        <f aca="false">IF(AND(J1703=1,N(I1703)&gt;0),SUMIF($K$2:$K$5001,"&gt;="&amp;K1703,$I$2:$I$5001)/MAX(1,SUM($H$2:$H$5001)),"")</f>
        <v/>
      </c>
      <c r="M1703" s="47" t="str">
        <f aca="false">IF($A1703="","",INDEX($L$2:$L$5001,MATCH($A1703,$A$2:$A$5001,0)))</f>
        <v/>
      </c>
      <c r="N1703" s="48" t="str">
        <f aca="false">IF($A1703="","",IF(N(M1703)=0,"–",IF(M1703&lt;=Start!$D$20,"A",IF(M1703&lt;=Start!$D$21,"B","C"))))</f>
        <v/>
      </c>
      <c r="O1703" s="48" t="str">
        <f aca="false">IF($A1703="","",IF(NOT(ISNUMBER(F1703)),"Wert fehlt; ",IF(F1703&lt;=0,"Wert ist 0; ",""))&amp;IF(NOT(ISNUMBER(E1703)),"Bestand fehlt; ",IF(E1703&lt;0,"Bestand negativ; ",IF(E1703=0,"Nullbestand; ","")))&amp;IF(D1703="","Warengruppe fehlt; ","")&amp;IF(B1703="","Bezeichnung fehlt; ","")&amp;IF(COUNTIFS($A$2:$A$5001,$A1703,$C$2:$C$5001,C1703)&gt;1,"Artikel doppelt im selben Lager; ",""))</f>
        <v/>
      </c>
      <c r="P1703" s="47" t="n">
        <f aca="false">IF(OR($A1703="",D1703=""),0,IF(COUNTIF($D$2:D1703,D1703)=1,SUMIF($D$2:$D$5001,D1703,$H$2:$H$5001)+ROW()/10000000,0))</f>
        <v>0</v>
      </c>
      <c r="Q1703" s="47" t="n">
        <f aca="false">IF(OR($A1703="",C1703=""),0,IF(COUNTIF($C$2:C1703,C1703)=1,SUMIF($C$2:$C$5001,C1703,$H$2:$H$5001)+ROW()/10000000,0))</f>
        <v>0</v>
      </c>
    </row>
    <row r="1704" customFormat="false" ht="15" hidden="false" customHeight="false" outlineLevel="0" collapsed="false">
      <c r="A1704" s="43"/>
      <c r="B1704" s="44"/>
      <c r="C1704" s="44"/>
      <c r="D1704" s="44"/>
      <c r="E1704" s="44"/>
      <c r="F1704" s="44"/>
      <c r="G1704" s="44"/>
      <c r="H1704" s="46" t="str">
        <f aca="false">IF($A1704="","",IF(OR(NOT(ISNUMBER(E1704)),NOT(ISNUMBER(F1704))),"",MAX(0,E1704)*F1704))</f>
        <v/>
      </c>
      <c r="I1704" s="46" t="str">
        <f aca="false">IF($A1704="","",SUMIF($A$2:$A$5001,$A1704,$H$2:$H$5001))</f>
        <v/>
      </c>
      <c r="J1704" s="47" t="n">
        <f aca="false">IF($A1704="",0,IF(COUNTIF($A$2:A1704,$A1704)=1,1,0))</f>
        <v>0</v>
      </c>
      <c r="K1704" s="47" t="n">
        <f aca="false">IF(J1704=1,N(I1704)+ROW()/10000000,0)</f>
        <v>0</v>
      </c>
      <c r="L1704" s="47" t="str">
        <f aca="false">IF(AND(J1704=1,N(I1704)&gt;0),SUMIF($K$2:$K$5001,"&gt;="&amp;K1704,$I$2:$I$5001)/MAX(1,SUM($H$2:$H$5001)),"")</f>
        <v/>
      </c>
      <c r="M1704" s="47" t="str">
        <f aca="false">IF($A1704="","",INDEX($L$2:$L$5001,MATCH($A1704,$A$2:$A$5001,0)))</f>
        <v/>
      </c>
      <c r="N1704" s="48" t="str">
        <f aca="false">IF($A1704="","",IF(N(M1704)=0,"–",IF(M1704&lt;=Start!$D$20,"A",IF(M1704&lt;=Start!$D$21,"B","C"))))</f>
        <v/>
      </c>
      <c r="O1704" s="48" t="str">
        <f aca="false">IF($A1704="","",IF(NOT(ISNUMBER(F1704)),"Wert fehlt; ",IF(F1704&lt;=0,"Wert ist 0; ",""))&amp;IF(NOT(ISNUMBER(E1704)),"Bestand fehlt; ",IF(E1704&lt;0,"Bestand negativ; ",IF(E1704=0,"Nullbestand; ","")))&amp;IF(D1704="","Warengruppe fehlt; ","")&amp;IF(B1704="","Bezeichnung fehlt; ","")&amp;IF(COUNTIFS($A$2:$A$5001,$A1704,$C$2:$C$5001,C1704)&gt;1,"Artikel doppelt im selben Lager; ",""))</f>
        <v/>
      </c>
      <c r="P1704" s="47" t="n">
        <f aca="false">IF(OR($A1704="",D1704=""),0,IF(COUNTIF($D$2:D1704,D1704)=1,SUMIF($D$2:$D$5001,D1704,$H$2:$H$5001)+ROW()/10000000,0))</f>
        <v>0</v>
      </c>
      <c r="Q1704" s="47" t="n">
        <f aca="false">IF(OR($A1704="",C1704=""),0,IF(COUNTIF($C$2:C1704,C1704)=1,SUMIF($C$2:$C$5001,C1704,$H$2:$H$5001)+ROW()/10000000,0))</f>
        <v>0</v>
      </c>
    </row>
    <row r="1705" customFormat="false" ht="15" hidden="false" customHeight="false" outlineLevel="0" collapsed="false">
      <c r="A1705" s="43"/>
      <c r="B1705" s="44"/>
      <c r="C1705" s="44"/>
      <c r="D1705" s="44"/>
      <c r="E1705" s="44"/>
      <c r="F1705" s="44"/>
      <c r="G1705" s="44"/>
      <c r="H1705" s="46" t="str">
        <f aca="false">IF($A1705="","",IF(OR(NOT(ISNUMBER(E1705)),NOT(ISNUMBER(F1705))),"",MAX(0,E1705)*F1705))</f>
        <v/>
      </c>
      <c r="I1705" s="46" t="str">
        <f aca="false">IF($A1705="","",SUMIF($A$2:$A$5001,$A1705,$H$2:$H$5001))</f>
        <v/>
      </c>
      <c r="J1705" s="47" t="n">
        <f aca="false">IF($A1705="",0,IF(COUNTIF($A$2:A1705,$A1705)=1,1,0))</f>
        <v>0</v>
      </c>
      <c r="K1705" s="47" t="n">
        <f aca="false">IF(J1705=1,N(I1705)+ROW()/10000000,0)</f>
        <v>0</v>
      </c>
      <c r="L1705" s="47" t="str">
        <f aca="false">IF(AND(J1705=1,N(I1705)&gt;0),SUMIF($K$2:$K$5001,"&gt;="&amp;K1705,$I$2:$I$5001)/MAX(1,SUM($H$2:$H$5001)),"")</f>
        <v/>
      </c>
      <c r="M1705" s="47" t="str">
        <f aca="false">IF($A1705="","",INDEX($L$2:$L$5001,MATCH($A1705,$A$2:$A$5001,0)))</f>
        <v/>
      </c>
      <c r="N1705" s="48" t="str">
        <f aca="false">IF($A1705="","",IF(N(M1705)=0,"–",IF(M1705&lt;=Start!$D$20,"A",IF(M1705&lt;=Start!$D$21,"B","C"))))</f>
        <v/>
      </c>
      <c r="O1705" s="48" t="str">
        <f aca="false">IF($A1705="","",IF(NOT(ISNUMBER(F1705)),"Wert fehlt; ",IF(F1705&lt;=0,"Wert ist 0; ",""))&amp;IF(NOT(ISNUMBER(E1705)),"Bestand fehlt; ",IF(E1705&lt;0,"Bestand negativ; ",IF(E1705=0,"Nullbestand; ","")))&amp;IF(D1705="","Warengruppe fehlt; ","")&amp;IF(B1705="","Bezeichnung fehlt; ","")&amp;IF(COUNTIFS($A$2:$A$5001,$A1705,$C$2:$C$5001,C1705)&gt;1,"Artikel doppelt im selben Lager; ",""))</f>
        <v/>
      </c>
      <c r="P1705" s="47" t="n">
        <f aca="false">IF(OR($A1705="",D1705=""),0,IF(COUNTIF($D$2:D1705,D1705)=1,SUMIF($D$2:$D$5001,D1705,$H$2:$H$5001)+ROW()/10000000,0))</f>
        <v>0</v>
      </c>
      <c r="Q1705" s="47" t="n">
        <f aca="false">IF(OR($A1705="",C1705=""),0,IF(COUNTIF($C$2:C1705,C1705)=1,SUMIF($C$2:$C$5001,C1705,$H$2:$H$5001)+ROW()/10000000,0))</f>
        <v>0</v>
      </c>
    </row>
    <row r="1706" customFormat="false" ht="15" hidden="false" customHeight="false" outlineLevel="0" collapsed="false">
      <c r="A1706" s="43"/>
      <c r="B1706" s="44"/>
      <c r="C1706" s="44"/>
      <c r="D1706" s="44"/>
      <c r="E1706" s="44"/>
      <c r="F1706" s="44"/>
      <c r="G1706" s="44"/>
      <c r="H1706" s="46" t="str">
        <f aca="false">IF($A1706="","",IF(OR(NOT(ISNUMBER(E1706)),NOT(ISNUMBER(F1706))),"",MAX(0,E1706)*F1706))</f>
        <v/>
      </c>
      <c r="I1706" s="46" t="str">
        <f aca="false">IF($A1706="","",SUMIF($A$2:$A$5001,$A1706,$H$2:$H$5001))</f>
        <v/>
      </c>
      <c r="J1706" s="47" t="n">
        <f aca="false">IF($A1706="",0,IF(COUNTIF($A$2:A1706,$A1706)=1,1,0))</f>
        <v>0</v>
      </c>
      <c r="K1706" s="47" t="n">
        <f aca="false">IF(J1706=1,N(I1706)+ROW()/10000000,0)</f>
        <v>0</v>
      </c>
      <c r="L1706" s="47" t="str">
        <f aca="false">IF(AND(J1706=1,N(I1706)&gt;0),SUMIF($K$2:$K$5001,"&gt;="&amp;K1706,$I$2:$I$5001)/MAX(1,SUM($H$2:$H$5001)),"")</f>
        <v/>
      </c>
      <c r="M1706" s="47" t="str">
        <f aca="false">IF($A1706="","",INDEX($L$2:$L$5001,MATCH($A1706,$A$2:$A$5001,0)))</f>
        <v/>
      </c>
      <c r="N1706" s="48" t="str">
        <f aca="false">IF($A1706="","",IF(N(M1706)=0,"–",IF(M1706&lt;=Start!$D$20,"A",IF(M1706&lt;=Start!$D$21,"B","C"))))</f>
        <v/>
      </c>
      <c r="O1706" s="48" t="str">
        <f aca="false">IF($A1706="","",IF(NOT(ISNUMBER(F1706)),"Wert fehlt; ",IF(F1706&lt;=0,"Wert ist 0; ",""))&amp;IF(NOT(ISNUMBER(E1706)),"Bestand fehlt; ",IF(E1706&lt;0,"Bestand negativ; ",IF(E1706=0,"Nullbestand; ","")))&amp;IF(D1706="","Warengruppe fehlt; ","")&amp;IF(B1706="","Bezeichnung fehlt; ","")&amp;IF(COUNTIFS($A$2:$A$5001,$A1706,$C$2:$C$5001,C1706)&gt;1,"Artikel doppelt im selben Lager; ",""))</f>
        <v/>
      </c>
      <c r="P1706" s="47" t="n">
        <f aca="false">IF(OR($A1706="",D1706=""),0,IF(COUNTIF($D$2:D1706,D1706)=1,SUMIF($D$2:$D$5001,D1706,$H$2:$H$5001)+ROW()/10000000,0))</f>
        <v>0</v>
      </c>
      <c r="Q1706" s="47" t="n">
        <f aca="false">IF(OR($A1706="",C1706=""),0,IF(COUNTIF($C$2:C1706,C1706)=1,SUMIF($C$2:$C$5001,C1706,$H$2:$H$5001)+ROW()/10000000,0))</f>
        <v>0</v>
      </c>
    </row>
    <row r="1707" customFormat="false" ht="15" hidden="false" customHeight="false" outlineLevel="0" collapsed="false">
      <c r="A1707" s="43"/>
      <c r="B1707" s="44"/>
      <c r="C1707" s="44"/>
      <c r="D1707" s="44"/>
      <c r="E1707" s="44"/>
      <c r="F1707" s="44"/>
      <c r="G1707" s="44"/>
      <c r="H1707" s="46" t="str">
        <f aca="false">IF($A1707="","",IF(OR(NOT(ISNUMBER(E1707)),NOT(ISNUMBER(F1707))),"",MAX(0,E1707)*F1707))</f>
        <v/>
      </c>
      <c r="I1707" s="46" t="str">
        <f aca="false">IF($A1707="","",SUMIF($A$2:$A$5001,$A1707,$H$2:$H$5001))</f>
        <v/>
      </c>
      <c r="J1707" s="47" t="n">
        <f aca="false">IF($A1707="",0,IF(COUNTIF($A$2:A1707,$A1707)=1,1,0))</f>
        <v>0</v>
      </c>
      <c r="K1707" s="47" t="n">
        <f aca="false">IF(J1707=1,N(I1707)+ROW()/10000000,0)</f>
        <v>0</v>
      </c>
      <c r="L1707" s="47" t="str">
        <f aca="false">IF(AND(J1707=1,N(I1707)&gt;0),SUMIF($K$2:$K$5001,"&gt;="&amp;K1707,$I$2:$I$5001)/MAX(1,SUM($H$2:$H$5001)),"")</f>
        <v/>
      </c>
      <c r="M1707" s="47" t="str">
        <f aca="false">IF($A1707="","",INDEX($L$2:$L$5001,MATCH($A1707,$A$2:$A$5001,0)))</f>
        <v/>
      </c>
      <c r="N1707" s="48" t="str">
        <f aca="false">IF($A1707="","",IF(N(M1707)=0,"–",IF(M1707&lt;=Start!$D$20,"A",IF(M1707&lt;=Start!$D$21,"B","C"))))</f>
        <v/>
      </c>
      <c r="O1707" s="48" t="str">
        <f aca="false">IF($A1707="","",IF(NOT(ISNUMBER(F1707)),"Wert fehlt; ",IF(F1707&lt;=0,"Wert ist 0; ",""))&amp;IF(NOT(ISNUMBER(E1707)),"Bestand fehlt; ",IF(E1707&lt;0,"Bestand negativ; ",IF(E1707=0,"Nullbestand; ","")))&amp;IF(D1707="","Warengruppe fehlt; ","")&amp;IF(B1707="","Bezeichnung fehlt; ","")&amp;IF(COUNTIFS($A$2:$A$5001,$A1707,$C$2:$C$5001,C1707)&gt;1,"Artikel doppelt im selben Lager; ",""))</f>
        <v/>
      </c>
      <c r="P1707" s="47" t="n">
        <f aca="false">IF(OR($A1707="",D1707=""),0,IF(COUNTIF($D$2:D1707,D1707)=1,SUMIF($D$2:$D$5001,D1707,$H$2:$H$5001)+ROW()/10000000,0))</f>
        <v>0</v>
      </c>
      <c r="Q1707" s="47" t="n">
        <f aca="false">IF(OR($A1707="",C1707=""),0,IF(COUNTIF($C$2:C1707,C1707)=1,SUMIF($C$2:$C$5001,C1707,$H$2:$H$5001)+ROW()/10000000,0))</f>
        <v>0</v>
      </c>
    </row>
    <row r="1708" customFormat="false" ht="15" hidden="false" customHeight="false" outlineLevel="0" collapsed="false">
      <c r="A1708" s="43"/>
      <c r="B1708" s="44"/>
      <c r="C1708" s="44"/>
      <c r="D1708" s="44"/>
      <c r="E1708" s="44"/>
      <c r="F1708" s="44"/>
      <c r="G1708" s="44"/>
      <c r="H1708" s="46" t="str">
        <f aca="false">IF($A1708="","",IF(OR(NOT(ISNUMBER(E1708)),NOT(ISNUMBER(F1708))),"",MAX(0,E1708)*F1708))</f>
        <v/>
      </c>
      <c r="I1708" s="46" t="str">
        <f aca="false">IF($A1708="","",SUMIF($A$2:$A$5001,$A1708,$H$2:$H$5001))</f>
        <v/>
      </c>
      <c r="J1708" s="47" t="n">
        <f aca="false">IF($A1708="",0,IF(COUNTIF($A$2:A1708,$A1708)=1,1,0))</f>
        <v>0</v>
      </c>
      <c r="K1708" s="47" t="n">
        <f aca="false">IF(J1708=1,N(I1708)+ROW()/10000000,0)</f>
        <v>0</v>
      </c>
      <c r="L1708" s="47" t="str">
        <f aca="false">IF(AND(J1708=1,N(I1708)&gt;0),SUMIF($K$2:$K$5001,"&gt;="&amp;K1708,$I$2:$I$5001)/MAX(1,SUM($H$2:$H$5001)),"")</f>
        <v/>
      </c>
      <c r="M1708" s="47" t="str">
        <f aca="false">IF($A1708="","",INDEX($L$2:$L$5001,MATCH($A1708,$A$2:$A$5001,0)))</f>
        <v/>
      </c>
      <c r="N1708" s="48" t="str">
        <f aca="false">IF($A1708="","",IF(N(M1708)=0,"–",IF(M1708&lt;=Start!$D$20,"A",IF(M1708&lt;=Start!$D$21,"B","C"))))</f>
        <v/>
      </c>
      <c r="O1708" s="48" t="str">
        <f aca="false">IF($A1708="","",IF(NOT(ISNUMBER(F1708)),"Wert fehlt; ",IF(F1708&lt;=0,"Wert ist 0; ",""))&amp;IF(NOT(ISNUMBER(E1708)),"Bestand fehlt; ",IF(E1708&lt;0,"Bestand negativ; ",IF(E1708=0,"Nullbestand; ","")))&amp;IF(D1708="","Warengruppe fehlt; ","")&amp;IF(B1708="","Bezeichnung fehlt; ","")&amp;IF(COUNTIFS($A$2:$A$5001,$A1708,$C$2:$C$5001,C1708)&gt;1,"Artikel doppelt im selben Lager; ",""))</f>
        <v/>
      </c>
      <c r="P1708" s="47" t="n">
        <f aca="false">IF(OR($A1708="",D1708=""),0,IF(COUNTIF($D$2:D1708,D1708)=1,SUMIF($D$2:$D$5001,D1708,$H$2:$H$5001)+ROW()/10000000,0))</f>
        <v>0</v>
      </c>
      <c r="Q1708" s="47" t="n">
        <f aca="false">IF(OR($A1708="",C1708=""),0,IF(COUNTIF($C$2:C1708,C1708)=1,SUMIF($C$2:$C$5001,C1708,$H$2:$H$5001)+ROW()/10000000,0))</f>
        <v>0</v>
      </c>
    </row>
    <row r="1709" customFormat="false" ht="15" hidden="false" customHeight="false" outlineLevel="0" collapsed="false">
      <c r="A1709" s="43"/>
      <c r="B1709" s="44"/>
      <c r="C1709" s="44"/>
      <c r="D1709" s="44"/>
      <c r="E1709" s="44"/>
      <c r="F1709" s="44"/>
      <c r="G1709" s="44"/>
      <c r="H1709" s="46" t="str">
        <f aca="false">IF($A1709="","",IF(OR(NOT(ISNUMBER(E1709)),NOT(ISNUMBER(F1709))),"",MAX(0,E1709)*F1709))</f>
        <v/>
      </c>
      <c r="I1709" s="46" t="str">
        <f aca="false">IF($A1709="","",SUMIF($A$2:$A$5001,$A1709,$H$2:$H$5001))</f>
        <v/>
      </c>
      <c r="J1709" s="47" t="n">
        <f aca="false">IF($A1709="",0,IF(COUNTIF($A$2:A1709,$A1709)=1,1,0))</f>
        <v>0</v>
      </c>
      <c r="K1709" s="47" t="n">
        <f aca="false">IF(J1709=1,N(I1709)+ROW()/10000000,0)</f>
        <v>0</v>
      </c>
      <c r="L1709" s="47" t="str">
        <f aca="false">IF(AND(J1709=1,N(I1709)&gt;0),SUMIF($K$2:$K$5001,"&gt;="&amp;K1709,$I$2:$I$5001)/MAX(1,SUM($H$2:$H$5001)),"")</f>
        <v/>
      </c>
      <c r="M1709" s="47" t="str">
        <f aca="false">IF($A1709="","",INDEX($L$2:$L$5001,MATCH($A1709,$A$2:$A$5001,0)))</f>
        <v/>
      </c>
      <c r="N1709" s="48" t="str">
        <f aca="false">IF($A1709="","",IF(N(M1709)=0,"–",IF(M1709&lt;=Start!$D$20,"A",IF(M1709&lt;=Start!$D$21,"B","C"))))</f>
        <v/>
      </c>
      <c r="O1709" s="48" t="str">
        <f aca="false">IF($A1709="","",IF(NOT(ISNUMBER(F1709)),"Wert fehlt; ",IF(F1709&lt;=0,"Wert ist 0; ",""))&amp;IF(NOT(ISNUMBER(E1709)),"Bestand fehlt; ",IF(E1709&lt;0,"Bestand negativ; ",IF(E1709=0,"Nullbestand; ","")))&amp;IF(D1709="","Warengruppe fehlt; ","")&amp;IF(B1709="","Bezeichnung fehlt; ","")&amp;IF(COUNTIFS($A$2:$A$5001,$A1709,$C$2:$C$5001,C1709)&gt;1,"Artikel doppelt im selben Lager; ",""))</f>
        <v/>
      </c>
      <c r="P1709" s="47" t="n">
        <f aca="false">IF(OR($A1709="",D1709=""),0,IF(COUNTIF($D$2:D1709,D1709)=1,SUMIF($D$2:$D$5001,D1709,$H$2:$H$5001)+ROW()/10000000,0))</f>
        <v>0</v>
      </c>
      <c r="Q1709" s="47" t="n">
        <f aca="false">IF(OR($A1709="",C1709=""),0,IF(COUNTIF($C$2:C1709,C1709)=1,SUMIF($C$2:$C$5001,C1709,$H$2:$H$5001)+ROW()/10000000,0))</f>
        <v>0</v>
      </c>
    </row>
    <row r="1710" customFormat="false" ht="15" hidden="false" customHeight="false" outlineLevel="0" collapsed="false">
      <c r="A1710" s="43"/>
      <c r="B1710" s="44"/>
      <c r="C1710" s="44"/>
      <c r="D1710" s="44"/>
      <c r="E1710" s="44"/>
      <c r="F1710" s="44"/>
      <c r="G1710" s="44"/>
      <c r="H1710" s="46" t="str">
        <f aca="false">IF($A1710="","",IF(OR(NOT(ISNUMBER(E1710)),NOT(ISNUMBER(F1710))),"",MAX(0,E1710)*F1710))</f>
        <v/>
      </c>
      <c r="I1710" s="46" t="str">
        <f aca="false">IF($A1710="","",SUMIF($A$2:$A$5001,$A1710,$H$2:$H$5001))</f>
        <v/>
      </c>
      <c r="J1710" s="47" t="n">
        <f aca="false">IF($A1710="",0,IF(COUNTIF($A$2:A1710,$A1710)=1,1,0))</f>
        <v>0</v>
      </c>
      <c r="K1710" s="47" t="n">
        <f aca="false">IF(J1710=1,N(I1710)+ROW()/10000000,0)</f>
        <v>0</v>
      </c>
      <c r="L1710" s="47" t="str">
        <f aca="false">IF(AND(J1710=1,N(I1710)&gt;0),SUMIF($K$2:$K$5001,"&gt;="&amp;K1710,$I$2:$I$5001)/MAX(1,SUM($H$2:$H$5001)),"")</f>
        <v/>
      </c>
      <c r="M1710" s="47" t="str">
        <f aca="false">IF($A1710="","",INDEX($L$2:$L$5001,MATCH($A1710,$A$2:$A$5001,0)))</f>
        <v/>
      </c>
      <c r="N1710" s="48" t="str">
        <f aca="false">IF($A1710="","",IF(N(M1710)=0,"–",IF(M1710&lt;=Start!$D$20,"A",IF(M1710&lt;=Start!$D$21,"B","C"))))</f>
        <v/>
      </c>
      <c r="O1710" s="48" t="str">
        <f aca="false">IF($A1710="","",IF(NOT(ISNUMBER(F1710)),"Wert fehlt; ",IF(F1710&lt;=0,"Wert ist 0; ",""))&amp;IF(NOT(ISNUMBER(E1710)),"Bestand fehlt; ",IF(E1710&lt;0,"Bestand negativ; ",IF(E1710=0,"Nullbestand; ","")))&amp;IF(D1710="","Warengruppe fehlt; ","")&amp;IF(B1710="","Bezeichnung fehlt; ","")&amp;IF(COUNTIFS($A$2:$A$5001,$A1710,$C$2:$C$5001,C1710)&gt;1,"Artikel doppelt im selben Lager; ",""))</f>
        <v/>
      </c>
      <c r="P1710" s="47" t="n">
        <f aca="false">IF(OR($A1710="",D1710=""),0,IF(COUNTIF($D$2:D1710,D1710)=1,SUMIF($D$2:$D$5001,D1710,$H$2:$H$5001)+ROW()/10000000,0))</f>
        <v>0</v>
      </c>
      <c r="Q1710" s="47" t="n">
        <f aca="false">IF(OR($A1710="",C1710=""),0,IF(COUNTIF($C$2:C1710,C1710)=1,SUMIF($C$2:$C$5001,C1710,$H$2:$H$5001)+ROW()/10000000,0))</f>
        <v>0</v>
      </c>
    </row>
    <row r="1711" customFormat="false" ht="15" hidden="false" customHeight="false" outlineLevel="0" collapsed="false">
      <c r="A1711" s="43"/>
      <c r="B1711" s="44"/>
      <c r="C1711" s="44"/>
      <c r="D1711" s="44"/>
      <c r="E1711" s="44"/>
      <c r="F1711" s="44"/>
      <c r="G1711" s="44"/>
      <c r="H1711" s="46" t="str">
        <f aca="false">IF($A1711="","",IF(OR(NOT(ISNUMBER(E1711)),NOT(ISNUMBER(F1711))),"",MAX(0,E1711)*F1711))</f>
        <v/>
      </c>
      <c r="I1711" s="46" t="str">
        <f aca="false">IF($A1711="","",SUMIF($A$2:$A$5001,$A1711,$H$2:$H$5001))</f>
        <v/>
      </c>
      <c r="J1711" s="47" t="n">
        <f aca="false">IF($A1711="",0,IF(COUNTIF($A$2:A1711,$A1711)=1,1,0))</f>
        <v>0</v>
      </c>
      <c r="K1711" s="47" t="n">
        <f aca="false">IF(J1711=1,N(I1711)+ROW()/10000000,0)</f>
        <v>0</v>
      </c>
      <c r="L1711" s="47" t="str">
        <f aca="false">IF(AND(J1711=1,N(I1711)&gt;0),SUMIF($K$2:$K$5001,"&gt;="&amp;K1711,$I$2:$I$5001)/MAX(1,SUM($H$2:$H$5001)),"")</f>
        <v/>
      </c>
      <c r="M1711" s="47" t="str">
        <f aca="false">IF($A1711="","",INDEX($L$2:$L$5001,MATCH($A1711,$A$2:$A$5001,0)))</f>
        <v/>
      </c>
      <c r="N1711" s="48" t="str">
        <f aca="false">IF($A1711="","",IF(N(M1711)=0,"–",IF(M1711&lt;=Start!$D$20,"A",IF(M1711&lt;=Start!$D$21,"B","C"))))</f>
        <v/>
      </c>
      <c r="O1711" s="48" t="str">
        <f aca="false">IF($A1711="","",IF(NOT(ISNUMBER(F1711)),"Wert fehlt; ",IF(F1711&lt;=0,"Wert ist 0; ",""))&amp;IF(NOT(ISNUMBER(E1711)),"Bestand fehlt; ",IF(E1711&lt;0,"Bestand negativ; ",IF(E1711=0,"Nullbestand; ","")))&amp;IF(D1711="","Warengruppe fehlt; ","")&amp;IF(B1711="","Bezeichnung fehlt; ","")&amp;IF(COUNTIFS($A$2:$A$5001,$A1711,$C$2:$C$5001,C1711)&gt;1,"Artikel doppelt im selben Lager; ",""))</f>
        <v/>
      </c>
      <c r="P1711" s="47" t="n">
        <f aca="false">IF(OR($A1711="",D1711=""),0,IF(COUNTIF($D$2:D1711,D1711)=1,SUMIF($D$2:$D$5001,D1711,$H$2:$H$5001)+ROW()/10000000,0))</f>
        <v>0</v>
      </c>
      <c r="Q1711" s="47" t="n">
        <f aca="false">IF(OR($A1711="",C1711=""),0,IF(COUNTIF($C$2:C1711,C1711)=1,SUMIF($C$2:$C$5001,C1711,$H$2:$H$5001)+ROW()/10000000,0))</f>
        <v>0</v>
      </c>
    </row>
    <row r="1712" customFormat="false" ht="15" hidden="false" customHeight="false" outlineLevel="0" collapsed="false">
      <c r="A1712" s="43"/>
      <c r="B1712" s="44"/>
      <c r="C1712" s="44"/>
      <c r="D1712" s="44"/>
      <c r="E1712" s="44"/>
      <c r="F1712" s="44"/>
      <c r="G1712" s="44"/>
      <c r="H1712" s="46" t="str">
        <f aca="false">IF($A1712="","",IF(OR(NOT(ISNUMBER(E1712)),NOT(ISNUMBER(F1712))),"",MAX(0,E1712)*F1712))</f>
        <v/>
      </c>
      <c r="I1712" s="46" t="str">
        <f aca="false">IF($A1712="","",SUMIF($A$2:$A$5001,$A1712,$H$2:$H$5001))</f>
        <v/>
      </c>
      <c r="J1712" s="47" t="n">
        <f aca="false">IF($A1712="",0,IF(COUNTIF($A$2:A1712,$A1712)=1,1,0))</f>
        <v>0</v>
      </c>
      <c r="K1712" s="47" t="n">
        <f aca="false">IF(J1712=1,N(I1712)+ROW()/10000000,0)</f>
        <v>0</v>
      </c>
      <c r="L1712" s="47" t="str">
        <f aca="false">IF(AND(J1712=1,N(I1712)&gt;0),SUMIF($K$2:$K$5001,"&gt;="&amp;K1712,$I$2:$I$5001)/MAX(1,SUM($H$2:$H$5001)),"")</f>
        <v/>
      </c>
      <c r="M1712" s="47" t="str">
        <f aca="false">IF($A1712="","",INDEX($L$2:$L$5001,MATCH($A1712,$A$2:$A$5001,0)))</f>
        <v/>
      </c>
      <c r="N1712" s="48" t="str">
        <f aca="false">IF($A1712="","",IF(N(M1712)=0,"–",IF(M1712&lt;=Start!$D$20,"A",IF(M1712&lt;=Start!$D$21,"B","C"))))</f>
        <v/>
      </c>
      <c r="O1712" s="48" t="str">
        <f aca="false">IF($A1712="","",IF(NOT(ISNUMBER(F1712)),"Wert fehlt; ",IF(F1712&lt;=0,"Wert ist 0; ",""))&amp;IF(NOT(ISNUMBER(E1712)),"Bestand fehlt; ",IF(E1712&lt;0,"Bestand negativ; ",IF(E1712=0,"Nullbestand; ","")))&amp;IF(D1712="","Warengruppe fehlt; ","")&amp;IF(B1712="","Bezeichnung fehlt; ","")&amp;IF(COUNTIFS($A$2:$A$5001,$A1712,$C$2:$C$5001,C1712)&gt;1,"Artikel doppelt im selben Lager; ",""))</f>
        <v/>
      </c>
      <c r="P1712" s="47" t="n">
        <f aca="false">IF(OR($A1712="",D1712=""),0,IF(COUNTIF($D$2:D1712,D1712)=1,SUMIF($D$2:$D$5001,D1712,$H$2:$H$5001)+ROW()/10000000,0))</f>
        <v>0</v>
      </c>
      <c r="Q1712" s="47" t="n">
        <f aca="false">IF(OR($A1712="",C1712=""),0,IF(COUNTIF($C$2:C1712,C1712)=1,SUMIF($C$2:$C$5001,C1712,$H$2:$H$5001)+ROW()/10000000,0))</f>
        <v>0</v>
      </c>
    </row>
    <row r="1713" customFormat="false" ht="15" hidden="false" customHeight="false" outlineLevel="0" collapsed="false">
      <c r="A1713" s="43"/>
      <c r="B1713" s="44"/>
      <c r="C1713" s="44"/>
      <c r="D1713" s="44"/>
      <c r="E1713" s="44"/>
      <c r="F1713" s="44"/>
      <c r="G1713" s="44"/>
      <c r="H1713" s="46" t="str">
        <f aca="false">IF($A1713="","",IF(OR(NOT(ISNUMBER(E1713)),NOT(ISNUMBER(F1713))),"",MAX(0,E1713)*F1713))</f>
        <v/>
      </c>
      <c r="I1713" s="46" t="str">
        <f aca="false">IF($A1713="","",SUMIF($A$2:$A$5001,$A1713,$H$2:$H$5001))</f>
        <v/>
      </c>
      <c r="J1713" s="47" t="n">
        <f aca="false">IF($A1713="",0,IF(COUNTIF($A$2:A1713,$A1713)=1,1,0))</f>
        <v>0</v>
      </c>
      <c r="K1713" s="47" t="n">
        <f aca="false">IF(J1713=1,N(I1713)+ROW()/10000000,0)</f>
        <v>0</v>
      </c>
      <c r="L1713" s="47" t="str">
        <f aca="false">IF(AND(J1713=1,N(I1713)&gt;0),SUMIF($K$2:$K$5001,"&gt;="&amp;K1713,$I$2:$I$5001)/MAX(1,SUM($H$2:$H$5001)),"")</f>
        <v/>
      </c>
      <c r="M1713" s="47" t="str">
        <f aca="false">IF($A1713="","",INDEX($L$2:$L$5001,MATCH($A1713,$A$2:$A$5001,0)))</f>
        <v/>
      </c>
      <c r="N1713" s="48" t="str">
        <f aca="false">IF($A1713="","",IF(N(M1713)=0,"–",IF(M1713&lt;=Start!$D$20,"A",IF(M1713&lt;=Start!$D$21,"B","C"))))</f>
        <v/>
      </c>
      <c r="O1713" s="48" t="str">
        <f aca="false">IF($A1713="","",IF(NOT(ISNUMBER(F1713)),"Wert fehlt; ",IF(F1713&lt;=0,"Wert ist 0; ",""))&amp;IF(NOT(ISNUMBER(E1713)),"Bestand fehlt; ",IF(E1713&lt;0,"Bestand negativ; ",IF(E1713=0,"Nullbestand; ","")))&amp;IF(D1713="","Warengruppe fehlt; ","")&amp;IF(B1713="","Bezeichnung fehlt; ","")&amp;IF(COUNTIFS($A$2:$A$5001,$A1713,$C$2:$C$5001,C1713)&gt;1,"Artikel doppelt im selben Lager; ",""))</f>
        <v/>
      </c>
      <c r="P1713" s="47" t="n">
        <f aca="false">IF(OR($A1713="",D1713=""),0,IF(COUNTIF($D$2:D1713,D1713)=1,SUMIF($D$2:$D$5001,D1713,$H$2:$H$5001)+ROW()/10000000,0))</f>
        <v>0</v>
      </c>
      <c r="Q1713" s="47" t="n">
        <f aca="false">IF(OR($A1713="",C1713=""),0,IF(COUNTIF($C$2:C1713,C1713)=1,SUMIF($C$2:$C$5001,C1713,$H$2:$H$5001)+ROW()/10000000,0))</f>
        <v>0</v>
      </c>
    </row>
    <row r="1714" customFormat="false" ht="15" hidden="false" customHeight="false" outlineLevel="0" collapsed="false">
      <c r="A1714" s="43"/>
      <c r="B1714" s="44"/>
      <c r="C1714" s="44"/>
      <c r="D1714" s="44"/>
      <c r="E1714" s="44"/>
      <c r="F1714" s="44"/>
      <c r="G1714" s="44"/>
      <c r="H1714" s="46" t="str">
        <f aca="false">IF($A1714="","",IF(OR(NOT(ISNUMBER(E1714)),NOT(ISNUMBER(F1714))),"",MAX(0,E1714)*F1714))</f>
        <v/>
      </c>
      <c r="I1714" s="46" t="str">
        <f aca="false">IF($A1714="","",SUMIF($A$2:$A$5001,$A1714,$H$2:$H$5001))</f>
        <v/>
      </c>
      <c r="J1714" s="47" t="n">
        <f aca="false">IF($A1714="",0,IF(COUNTIF($A$2:A1714,$A1714)=1,1,0))</f>
        <v>0</v>
      </c>
      <c r="K1714" s="47" t="n">
        <f aca="false">IF(J1714=1,N(I1714)+ROW()/10000000,0)</f>
        <v>0</v>
      </c>
      <c r="L1714" s="47" t="str">
        <f aca="false">IF(AND(J1714=1,N(I1714)&gt;0),SUMIF($K$2:$K$5001,"&gt;="&amp;K1714,$I$2:$I$5001)/MAX(1,SUM($H$2:$H$5001)),"")</f>
        <v/>
      </c>
      <c r="M1714" s="47" t="str">
        <f aca="false">IF($A1714="","",INDEX($L$2:$L$5001,MATCH($A1714,$A$2:$A$5001,0)))</f>
        <v/>
      </c>
      <c r="N1714" s="48" t="str">
        <f aca="false">IF($A1714="","",IF(N(M1714)=0,"–",IF(M1714&lt;=Start!$D$20,"A",IF(M1714&lt;=Start!$D$21,"B","C"))))</f>
        <v/>
      </c>
      <c r="O1714" s="48" t="str">
        <f aca="false">IF($A1714="","",IF(NOT(ISNUMBER(F1714)),"Wert fehlt; ",IF(F1714&lt;=0,"Wert ist 0; ",""))&amp;IF(NOT(ISNUMBER(E1714)),"Bestand fehlt; ",IF(E1714&lt;0,"Bestand negativ; ",IF(E1714=0,"Nullbestand; ","")))&amp;IF(D1714="","Warengruppe fehlt; ","")&amp;IF(B1714="","Bezeichnung fehlt; ","")&amp;IF(COUNTIFS($A$2:$A$5001,$A1714,$C$2:$C$5001,C1714)&gt;1,"Artikel doppelt im selben Lager; ",""))</f>
        <v/>
      </c>
      <c r="P1714" s="47" t="n">
        <f aca="false">IF(OR($A1714="",D1714=""),0,IF(COUNTIF($D$2:D1714,D1714)=1,SUMIF($D$2:$D$5001,D1714,$H$2:$H$5001)+ROW()/10000000,0))</f>
        <v>0</v>
      </c>
      <c r="Q1714" s="47" t="n">
        <f aca="false">IF(OR($A1714="",C1714=""),0,IF(COUNTIF($C$2:C1714,C1714)=1,SUMIF($C$2:$C$5001,C1714,$H$2:$H$5001)+ROW()/10000000,0))</f>
        <v>0</v>
      </c>
    </row>
    <row r="1715" customFormat="false" ht="15" hidden="false" customHeight="false" outlineLevel="0" collapsed="false">
      <c r="A1715" s="43"/>
      <c r="B1715" s="44"/>
      <c r="C1715" s="44"/>
      <c r="D1715" s="44"/>
      <c r="E1715" s="44"/>
      <c r="F1715" s="44"/>
      <c r="G1715" s="44"/>
      <c r="H1715" s="46" t="str">
        <f aca="false">IF($A1715="","",IF(OR(NOT(ISNUMBER(E1715)),NOT(ISNUMBER(F1715))),"",MAX(0,E1715)*F1715))</f>
        <v/>
      </c>
      <c r="I1715" s="46" t="str">
        <f aca="false">IF($A1715="","",SUMIF($A$2:$A$5001,$A1715,$H$2:$H$5001))</f>
        <v/>
      </c>
      <c r="J1715" s="47" t="n">
        <f aca="false">IF($A1715="",0,IF(COUNTIF($A$2:A1715,$A1715)=1,1,0))</f>
        <v>0</v>
      </c>
      <c r="K1715" s="47" t="n">
        <f aca="false">IF(J1715=1,N(I1715)+ROW()/10000000,0)</f>
        <v>0</v>
      </c>
      <c r="L1715" s="47" t="str">
        <f aca="false">IF(AND(J1715=1,N(I1715)&gt;0),SUMIF($K$2:$K$5001,"&gt;="&amp;K1715,$I$2:$I$5001)/MAX(1,SUM($H$2:$H$5001)),"")</f>
        <v/>
      </c>
      <c r="M1715" s="47" t="str">
        <f aca="false">IF($A1715="","",INDEX($L$2:$L$5001,MATCH($A1715,$A$2:$A$5001,0)))</f>
        <v/>
      </c>
      <c r="N1715" s="48" t="str">
        <f aca="false">IF($A1715="","",IF(N(M1715)=0,"–",IF(M1715&lt;=Start!$D$20,"A",IF(M1715&lt;=Start!$D$21,"B","C"))))</f>
        <v/>
      </c>
      <c r="O1715" s="48" t="str">
        <f aca="false">IF($A1715="","",IF(NOT(ISNUMBER(F1715)),"Wert fehlt; ",IF(F1715&lt;=0,"Wert ist 0; ",""))&amp;IF(NOT(ISNUMBER(E1715)),"Bestand fehlt; ",IF(E1715&lt;0,"Bestand negativ; ",IF(E1715=0,"Nullbestand; ","")))&amp;IF(D1715="","Warengruppe fehlt; ","")&amp;IF(B1715="","Bezeichnung fehlt; ","")&amp;IF(COUNTIFS($A$2:$A$5001,$A1715,$C$2:$C$5001,C1715)&gt;1,"Artikel doppelt im selben Lager; ",""))</f>
        <v/>
      </c>
      <c r="P1715" s="47" t="n">
        <f aca="false">IF(OR($A1715="",D1715=""),0,IF(COUNTIF($D$2:D1715,D1715)=1,SUMIF($D$2:$D$5001,D1715,$H$2:$H$5001)+ROW()/10000000,0))</f>
        <v>0</v>
      </c>
      <c r="Q1715" s="47" t="n">
        <f aca="false">IF(OR($A1715="",C1715=""),0,IF(COUNTIF($C$2:C1715,C1715)=1,SUMIF($C$2:$C$5001,C1715,$H$2:$H$5001)+ROW()/10000000,0))</f>
        <v>0</v>
      </c>
    </row>
    <row r="1716" customFormat="false" ht="15" hidden="false" customHeight="false" outlineLevel="0" collapsed="false">
      <c r="A1716" s="43"/>
      <c r="B1716" s="44"/>
      <c r="C1716" s="44"/>
      <c r="D1716" s="44"/>
      <c r="E1716" s="44"/>
      <c r="F1716" s="44"/>
      <c r="G1716" s="44"/>
      <c r="H1716" s="46" t="str">
        <f aca="false">IF($A1716="","",IF(OR(NOT(ISNUMBER(E1716)),NOT(ISNUMBER(F1716))),"",MAX(0,E1716)*F1716))</f>
        <v/>
      </c>
      <c r="I1716" s="46" t="str">
        <f aca="false">IF($A1716="","",SUMIF($A$2:$A$5001,$A1716,$H$2:$H$5001))</f>
        <v/>
      </c>
      <c r="J1716" s="47" t="n">
        <f aca="false">IF($A1716="",0,IF(COUNTIF($A$2:A1716,$A1716)=1,1,0))</f>
        <v>0</v>
      </c>
      <c r="K1716" s="47" t="n">
        <f aca="false">IF(J1716=1,N(I1716)+ROW()/10000000,0)</f>
        <v>0</v>
      </c>
      <c r="L1716" s="47" t="str">
        <f aca="false">IF(AND(J1716=1,N(I1716)&gt;0),SUMIF($K$2:$K$5001,"&gt;="&amp;K1716,$I$2:$I$5001)/MAX(1,SUM($H$2:$H$5001)),"")</f>
        <v/>
      </c>
      <c r="M1716" s="47" t="str">
        <f aca="false">IF($A1716="","",INDEX($L$2:$L$5001,MATCH($A1716,$A$2:$A$5001,0)))</f>
        <v/>
      </c>
      <c r="N1716" s="48" t="str">
        <f aca="false">IF($A1716="","",IF(N(M1716)=0,"–",IF(M1716&lt;=Start!$D$20,"A",IF(M1716&lt;=Start!$D$21,"B","C"))))</f>
        <v/>
      </c>
      <c r="O1716" s="48" t="str">
        <f aca="false">IF($A1716="","",IF(NOT(ISNUMBER(F1716)),"Wert fehlt; ",IF(F1716&lt;=0,"Wert ist 0; ",""))&amp;IF(NOT(ISNUMBER(E1716)),"Bestand fehlt; ",IF(E1716&lt;0,"Bestand negativ; ",IF(E1716=0,"Nullbestand; ","")))&amp;IF(D1716="","Warengruppe fehlt; ","")&amp;IF(B1716="","Bezeichnung fehlt; ","")&amp;IF(COUNTIFS($A$2:$A$5001,$A1716,$C$2:$C$5001,C1716)&gt;1,"Artikel doppelt im selben Lager; ",""))</f>
        <v/>
      </c>
      <c r="P1716" s="47" t="n">
        <f aca="false">IF(OR($A1716="",D1716=""),0,IF(COUNTIF($D$2:D1716,D1716)=1,SUMIF($D$2:$D$5001,D1716,$H$2:$H$5001)+ROW()/10000000,0))</f>
        <v>0</v>
      </c>
      <c r="Q1716" s="47" t="n">
        <f aca="false">IF(OR($A1716="",C1716=""),0,IF(COUNTIF($C$2:C1716,C1716)=1,SUMIF($C$2:$C$5001,C1716,$H$2:$H$5001)+ROW()/10000000,0))</f>
        <v>0</v>
      </c>
    </row>
    <row r="1717" customFormat="false" ht="15" hidden="false" customHeight="false" outlineLevel="0" collapsed="false">
      <c r="A1717" s="43"/>
      <c r="B1717" s="44"/>
      <c r="C1717" s="44"/>
      <c r="D1717" s="44"/>
      <c r="E1717" s="44"/>
      <c r="F1717" s="44"/>
      <c r="G1717" s="44"/>
      <c r="H1717" s="46" t="str">
        <f aca="false">IF($A1717="","",IF(OR(NOT(ISNUMBER(E1717)),NOT(ISNUMBER(F1717))),"",MAX(0,E1717)*F1717))</f>
        <v/>
      </c>
      <c r="I1717" s="46" t="str">
        <f aca="false">IF($A1717="","",SUMIF($A$2:$A$5001,$A1717,$H$2:$H$5001))</f>
        <v/>
      </c>
      <c r="J1717" s="47" t="n">
        <f aca="false">IF($A1717="",0,IF(COUNTIF($A$2:A1717,$A1717)=1,1,0))</f>
        <v>0</v>
      </c>
      <c r="K1717" s="47" t="n">
        <f aca="false">IF(J1717=1,N(I1717)+ROW()/10000000,0)</f>
        <v>0</v>
      </c>
      <c r="L1717" s="47" t="str">
        <f aca="false">IF(AND(J1717=1,N(I1717)&gt;0),SUMIF($K$2:$K$5001,"&gt;="&amp;K1717,$I$2:$I$5001)/MAX(1,SUM($H$2:$H$5001)),"")</f>
        <v/>
      </c>
      <c r="M1717" s="47" t="str">
        <f aca="false">IF($A1717="","",INDEX($L$2:$L$5001,MATCH($A1717,$A$2:$A$5001,0)))</f>
        <v/>
      </c>
      <c r="N1717" s="48" t="str">
        <f aca="false">IF($A1717="","",IF(N(M1717)=0,"–",IF(M1717&lt;=Start!$D$20,"A",IF(M1717&lt;=Start!$D$21,"B","C"))))</f>
        <v/>
      </c>
      <c r="O1717" s="48" t="str">
        <f aca="false">IF($A1717="","",IF(NOT(ISNUMBER(F1717)),"Wert fehlt; ",IF(F1717&lt;=0,"Wert ist 0; ",""))&amp;IF(NOT(ISNUMBER(E1717)),"Bestand fehlt; ",IF(E1717&lt;0,"Bestand negativ; ",IF(E1717=0,"Nullbestand; ","")))&amp;IF(D1717="","Warengruppe fehlt; ","")&amp;IF(B1717="","Bezeichnung fehlt; ","")&amp;IF(COUNTIFS($A$2:$A$5001,$A1717,$C$2:$C$5001,C1717)&gt;1,"Artikel doppelt im selben Lager; ",""))</f>
        <v/>
      </c>
      <c r="P1717" s="47" t="n">
        <f aca="false">IF(OR($A1717="",D1717=""),0,IF(COUNTIF($D$2:D1717,D1717)=1,SUMIF($D$2:$D$5001,D1717,$H$2:$H$5001)+ROW()/10000000,0))</f>
        <v>0</v>
      </c>
      <c r="Q1717" s="47" t="n">
        <f aca="false">IF(OR($A1717="",C1717=""),0,IF(COUNTIF($C$2:C1717,C1717)=1,SUMIF($C$2:$C$5001,C1717,$H$2:$H$5001)+ROW()/10000000,0))</f>
        <v>0</v>
      </c>
    </row>
    <row r="1718" customFormat="false" ht="15" hidden="false" customHeight="false" outlineLevel="0" collapsed="false">
      <c r="A1718" s="43"/>
      <c r="B1718" s="44"/>
      <c r="C1718" s="44"/>
      <c r="D1718" s="44"/>
      <c r="E1718" s="44"/>
      <c r="F1718" s="44"/>
      <c r="G1718" s="44"/>
      <c r="H1718" s="46" t="str">
        <f aca="false">IF($A1718="","",IF(OR(NOT(ISNUMBER(E1718)),NOT(ISNUMBER(F1718))),"",MAX(0,E1718)*F1718))</f>
        <v/>
      </c>
      <c r="I1718" s="46" t="str">
        <f aca="false">IF($A1718="","",SUMIF($A$2:$A$5001,$A1718,$H$2:$H$5001))</f>
        <v/>
      </c>
      <c r="J1718" s="47" t="n">
        <f aca="false">IF($A1718="",0,IF(COUNTIF($A$2:A1718,$A1718)=1,1,0))</f>
        <v>0</v>
      </c>
      <c r="K1718" s="47" t="n">
        <f aca="false">IF(J1718=1,N(I1718)+ROW()/10000000,0)</f>
        <v>0</v>
      </c>
      <c r="L1718" s="47" t="str">
        <f aca="false">IF(AND(J1718=1,N(I1718)&gt;0),SUMIF($K$2:$K$5001,"&gt;="&amp;K1718,$I$2:$I$5001)/MAX(1,SUM($H$2:$H$5001)),"")</f>
        <v/>
      </c>
      <c r="M1718" s="47" t="str">
        <f aca="false">IF($A1718="","",INDEX($L$2:$L$5001,MATCH($A1718,$A$2:$A$5001,0)))</f>
        <v/>
      </c>
      <c r="N1718" s="48" t="str">
        <f aca="false">IF($A1718="","",IF(N(M1718)=0,"–",IF(M1718&lt;=Start!$D$20,"A",IF(M1718&lt;=Start!$D$21,"B","C"))))</f>
        <v/>
      </c>
      <c r="O1718" s="48" t="str">
        <f aca="false">IF($A1718="","",IF(NOT(ISNUMBER(F1718)),"Wert fehlt; ",IF(F1718&lt;=0,"Wert ist 0; ",""))&amp;IF(NOT(ISNUMBER(E1718)),"Bestand fehlt; ",IF(E1718&lt;0,"Bestand negativ; ",IF(E1718=0,"Nullbestand; ","")))&amp;IF(D1718="","Warengruppe fehlt; ","")&amp;IF(B1718="","Bezeichnung fehlt; ","")&amp;IF(COUNTIFS($A$2:$A$5001,$A1718,$C$2:$C$5001,C1718)&gt;1,"Artikel doppelt im selben Lager; ",""))</f>
        <v/>
      </c>
      <c r="P1718" s="47" t="n">
        <f aca="false">IF(OR($A1718="",D1718=""),0,IF(COUNTIF($D$2:D1718,D1718)=1,SUMIF($D$2:$D$5001,D1718,$H$2:$H$5001)+ROW()/10000000,0))</f>
        <v>0</v>
      </c>
      <c r="Q1718" s="47" t="n">
        <f aca="false">IF(OR($A1718="",C1718=""),0,IF(COUNTIF($C$2:C1718,C1718)=1,SUMIF($C$2:$C$5001,C1718,$H$2:$H$5001)+ROW()/10000000,0))</f>
        <v>0</v>
      </c>
    </row>
    <row r="1719" customFormat="false" ht="15" hidden="false" customHeight="false" outlineLevel="0" collapsed="false">
      <c r="A1719" s="43"/>
      <c r="B1719" s="44"/>
      <c r="C1719" s="44"/>
      <c r="D1719" s="44"/>
      <c r="E1719" s="44"/>
      <c r="F1719" s="44"/>
      <c r="G1719" s="44"/>
      <c r="H1719" s="46" t="str">
        <f aca="false">IF($A1719="","",IF(OR(NOT(ISNUMBER(E1719)),NOT(ISNUMBER(F1719))),"",MAX(0,E1719)*F1719))</f>
        <v/>
      </c>
      <c r="I1719" s="46" t="str">
        <f aca="false">IF($A1719="","",SUMIF($A$2:$A$5001,$A1719,$H$2:$H$5001))</f>
        <v/>
      </c>
      <c r="J1719" s="47" t="n">
        <f aca="false">IF($A1719="",0,IF(COUNTIF($A$2:A1719,$A1719)=1,1,0))</f>
        <v>0</v>
      </c>
      <c r="K1719" s="47" t="n">
        <f aca="false">IF(J1719=1,N(I1719)+ROW()/10000000,0)</f>
        <v>0</v>
      </c>
      <c r="L1719" s="47" t="str">
        <f aca="false">IF(AND(J1719=1,N(I1719)&gt;0),SUMIF($K$2:$K$5001,"&gt;="&amp;K1719,$I$2:$I$5001)/MAX(1,SUM($H$2:$H$5001)),"")</f>
        <v/>
      </c>
      <c r="M1719" s="47" t="str">
        <f aca="false">IF($A1719="","",INDEX($L$2:$L$5001,MATCH($A1719,$A$2:$A$5001,0)))</f>
        <v/>
      </c>
      <c r="N1719" s="48" t="str">
        <f aca="false">IF($A1719="","",IF(N(M1719)=0,"–",IF(M1719&lt;=Start!$D$20,"A",IF(M1719&lt;=Start!$D$21,"B","C"))))</f>
        <v/>
      </c>
      <c r="O1719" s="48" t="str">
        <f aca="false">IF($A1719="","",IF(NOT(ISNUMBER(F1719)),"Wert fehlt; ",IF(F1719&lt;=0,"Wert ist 0; ",""))&amp;IF(NOT(ISNUMBER(E1719)),"Bestand fehlt; ",IF(E1719&lt;0,"Bestand negativ; ",IF(E1719=0,"Nullbestand; ","")))&amp;IF(D1719="","Warengruppe fehlt; ","")&amp;IF(B1719="","Bezeichnung fehlt; ","")&amp;IF(COUNTIFS($A$2:$A$5001,$A1719,$C$2:$C$5001,C1719)&gt;1,"Artikel doppelt im selben Lager; ",""))</f>
        <v/>
      </c>
      <c r="P1719" s="47" t="n">
        <f aca="false">IF(OR($A1719="",D1719=""),0,IF(COUNTIF($D$2:D1719,D1719)=1,SUMIF($D$2:$D$5001,D1719,$H$2:$H$5001)+ROW()/10000000,0))</f>
        <v>0</v>
      </c>
      <c r="Q1719" s="47" t="n">
        <f aca="false">IF(OR($A1719="",C1719=""),0,IF(COUNTIF($C$2:C1719,C1719)=1,SUMIF($C$2:$C$5001,C1719,$H$2:$H$5001)+ROW()/10000000,0))</f>
        <v>0</v>
      </c>
    </row>
    <row r="1720" customFormat="false" ht="15" hidden="false" customHeight="false" outlineLevel="0" collapsed="false">
      <c r="A1720" s="43"/>
      <c r="B1720" s="44"/>
      <c r="C1720" s="44"/>
      <c r="D1720" s="44"/>
      <c r="E1720" s="44"/>
      <c r="F1720" s="44"/>
      <c r="G1720" s="44"/>
      <c r="H1720" s="46" t="str">
        <f aca="false">IF($A1720="","",IF(OR(NOT(ISNUMBER(E1720)),NOT(ISNUMBER(F1720))),"",MAX(0,E1720)*F1720))</f>
        <v/>
      </c>
      <c r="I1720" s="46" t="str">
        <f aca="false">IF($A1720="","",SUMIF($A$2:$A$5001,$A1720,$H$2:$H$5001))</f>
        <v/>
      </c>
      <c r="J1720" s="47" t="n">
        <f aca="false">IF($A1720="",0,IF(COUNTIF($A$2:A1720,$A1720)=1,1,0))</f>
        <v>0</v>
      </c>
      <c r="K1720" s="47" t="n">
        <f aca="false">IF(J1720=1,N(I1720)+ROW()/10000000,0)</f>
        <v>0</v>
      </c>
      <c r="L1720" s="47" t="str">
        <f aca="false">IF(AND(J1720=1,N(I1720)&gt;0),SUMIF($K$2:$K$5001,"&gt;="&amp;K1720,$I$2:$I$5001)/MAX(1,SUM($H$2:$H$5001)),"")</f>
        <v/>
      </c>
      <c r="M1720" s="47" t="str">
        <f aca="false">IF($A1720="","",INDEX($L$2:$L$5001,MATCH($A1720,$A$2:$A$5001,0)))</f>
        <v/>
      </c>
      <c r="N1720" s="48" t="str">
        <f aca="false">IF($A1720="","",IF(N(M1720)=0,"–",IF(M1720&lt;=Start!$D$20,"A",IF(M1720&lt;=Start!$D$21,"B","C"))))</f>
        <v/>
      </c>
      <c r="O1720" s="48" t="str">
        <f aca="false">IF($A1720="","",IF(NOT(ISNUMBER(F1720)),"Wert fehlt; ",IF(F1720&lt;=0,"Wert ist 0; ",""))&amp;IF(NOT(ISNUMBER(E1720)),"Bestand fehlt; ",IF(E1720&lt;0,"Bestand negativ; ",IF(E1720=0,"Nullbestand; ","")))&amp;IF(D1720="","Warengruppe fehlt; ","")&amp;IF(B1720="","Bezeichnung fehlt; ","")&amp;IF(COUNTIFS($A$2:$A$5001,$A1720,$C$2:$C$5001,C1720)&gt;1,"Artikel doppelt im selben Lager; ",""))</f>
        <v/>
      </c>
      <c r="P1720" s="47" t="n">
        <f aca="false">IF(OR($A1720="",D1720=""),0,IF(COUNTIF($D$2:D1720,D1720)=1,SUMIF($D$2:$D$5001,D1720,$H$2:$H$5001)+ROW()/10000000,0))</f>
        <v>0</v>
      </c>
      <c r="Q1720" s="47" t="n">
        <f aca="false">IF(OR($A1720="",C1720=""),0,IF(COUNTIF($C$2:C1720,C1720)=1,SUMIF($C$2:$C$5001,C1720,$H$2:$H$5001)+ROW()/10000000,0))</f>
        <v>0</v>
      </c>
    </row>
    <row r="1721" customFormat="false" ht="15" hidden="false" customHeight="false" outlineLevel="0" collapsed="false">
      <c r="A1721" s="43"/>
      <c r="B1721" s="44"/>
      <c r="C1721" s="44"/>
      <c r="D1721" s="44"/>
      <c r="E1721" s="44"/>
      <c r="F1721" s="44"/>
      <c r="G1721" s="44"/>
      <c r="H1721" s="46" t="str">
        <f aca="false">IF($A1721="","",IF(OR(NOT(ISNUMBER(E1721)),NOT(ISNUMBER(F1721))),"",MAX(0,E1721)*F1721))</f>
        <v/>
      </c>
      <c r="I1721" s="46" t="str">
        <f aca="false">IF($A1721="","",SUMIF($A$2:$A$5001,$A1721,$H$2:$H$5001))</f>
        <v/>
      </c>
      <c r="J1721" s="47" t="n">
        <f aca="false">IF($A1721="",0,IF(COUNTIF($A$2:A1721,$A1721)=1,1,0))</f>
        <v>0</v>
      </c>
      <c r="K1721" s="47" t="n">
        <f aca="false">IF(J1721=1,N(I1721)+ROW()/10000000,0)</f>
        <v>0</v>
      </c>
      <c r="L1721" s="47" t="str">
        <f aca="false">IF(AND(J1721=1,N(I1721)&gt;0),SUMIF($K$2:$K$5001,"&gt;="&amp;K1721,$I$2:$I$5001)/MAX(1,SUM($H$2:$H$5001)),"")</f>
        <v/>
      </c>
      <c r="M1721" s="47" t="str">
        <f aca="false">IF($A1721="","",INDEX($L$2:$L$5001,MATCH($A1721,$A$2:$A$5001,0)))</f>
        <v/>
      </c>
      <c r="N1721" s="48" t="str">
        <f aca="false">IF($A1721="","",IF(N(M1721)=0,"–",IF(M1721&lt;=Start!$D$20,"A",IF(M1721&lt;=Start!$D$21,"B","C"))))</f>
        <v/>
      </c>
      <c r="O1721" s="48" t="str">
        <f aca="false">IF($A1721="","",IF(NOT(ISNUMBER(F1721)),"Wert fehlt; ",IF(F1721&lt;=0,"Wert ist 0; ",""))&amp;IF(NOT(ISNUMBER(E1721)),"Bestand fehlt; ",IF(E1721&lt;0,"Bestand negativ; ",IF(E1721=0,"Nullbestand; ","")))&amp;IF(D1721="","Warengruppe fehlt; ","")&amp;IF(B1721="","Bezeichnung fehlt; ","")&amp;IF(COUNTIFS($A$2:$A$5001,$A1721,$C$2:$C$5001,C1721)&gt;1,"Artikel doppelt im selben Lager; ",""))</f>
        <v/>
      </c>
      <c r="P1721" s="47" t="n">
        <f aca="false">IF(OR($A1721="",D1721=""),0,IF(COUNTIF($D$2:D1721,D1721)=1,SUMIF($D$2:$D$5001,D1721,$H$2:$H$5001)+ROW()/10000000,0))</f>
        <v>0</v>
      </c>
      <c r="Q1721" s="47" t="n">
        <f aca="false">IF(OR($A1721="",C1721=""),0,IF(COUNTIF($C$2:C1721,C1721)=1,SUMIF($C$2:$C$5001,C1721,$H$2:$H$5001)+ROW()/10000000,0))</f>
        <v>0</v>
      </c>
    </row>
    <row r="1722" customFormat="false" ht="15" hidden="false" customHeight="false" outlineLevel="0" collapsed="false">
      <c r="A1722" s="43"/>
      <c r="B1722" s="44"/>
      <c r="C1722" s="44"/>
      <c r="D1722" s="44"/>
      <c r="E1722" s="44"/>
      <c r="F1722" s="44"/>
      <c r="G1722" s="44"/>
      <c r="H1722" s="46" t="str">
        <f aca="false">IF($A1722="","",IF(OR(NOT(ISNUMBER(E1722)),NOT(ISNUMBER(F1722))),"",MAX(0,E1722)*F1722))</f>
        <v/>
      </c>
      <c r="I1722" s="46" t="str">
        <f aca="false">IF($A1722="","",SUMIF($A$2:$A$5001,$A1722,$H$2:$H$5001))</f>
        <v/>
      </c>
      <c r="J1722" s="47" t="n">
        <f aca="false">IF($A1722="",0,IF(COUNTIF($A$2:A1722,$A1722)=1,1,0))</f>
        <v>0</v>
      </c>
      <c r="K1722" s="47" t="n">
        <f aca="false">IF(J1722=1,N(I1722)+ROW()/10000000,0)</f>
        <v>0</v>
      </c>
      <c r="L1722" s="47" t="str">
        <f aca="false">IF(AND(J1722=1,N(I1722)&gt;0),SUMIF($K$2:$K$5001,"&gt;="&amp;K1722,$I$2:$I$5001)/MAX(1,SUM($H$2:$H$5001)),"")</f>
        <v/>
      </c>
      <c r="M1722" s="47" t="str">
        <f aca="false">IF($A1722="","",INDEX($L$2:$L$5001,MATCH($A1722,$A$2:$A$5001,0)))</f>
        <v/>
      </c>
      <c r="N1722" s="48" t="str">
        <f aca="false">IF($A1722="","",IF(N(M1722)=0,"–",IF(M1722&lt;=Start!$D$20,"A",IF(M1722&lt;=Start!$D$21,"B","C"))))</f>
        <v/>
      </c>
      <c r="O1722" s="48" t="str">
        <f aca="false">IF($A1722="","",IF(NOT(ISNUMBER(F1722)),"Wert fehlt; ",IF(F1722&lt;=0,"Wert ist 0; ",""))&amp;IF(NOT(ISNUMBER(E1722)),"Bestand fehlt; ",IF(E1722&lt;0,"Bestand negativ; ",IF(E1722=0,"Nullbestand; ","")))&amp;IF(D1722="","Warengruppe fehlt; ","")&amp;IF(B1722="","Bezeichnung fehlt; ","")&amp;IF(COUNTIFS($A$2:$A$5001,$A1722,$C$2:$C$5001,C1722)&gt;1,"Artikel doppelt im selben Lager; ",""))</f>
        <v/>
      </c>
      <c r="P1722" s="47" t="n">
        <f aca="false">IF(OR($A1722="",D1722=""),0,IF(COUNTIF($D$2:D1722,D1722)=1,SUMIF($D$2:$D$5001,D1722,$H$2:$H$5001)+ROW()/10000000,0))</f>
        <v>0</v>
      </c>
      <c r="Q1722" s="47" t="n">
        <f aca="false">IF(OR($A1722="",C1722=""),0,IF(COUNTIF($C$2:C1722,C1722)=1,SUMIF($C$2:$C$5001,C1722,$H$2:$H$5001)+ROW()/10000000,0))</f>
        <v>0</v>
      </c>
    </row>
    <row r="1723" customFormat="false" ht="15" hidden="false" customHeight="false" outlineLevel="0" collapsed="false">
      <c r="A1723" s="43"/>
      <c r="B1723" s="44"/>
      <c r="C1723" s="44"/>
      <c r="D1723" s="44"/>
      <c r="E1723" s="44"/>
      <c r="F1723" s="44"/>
      <c r="G1723" s="44"/>
      <c r="H1723" s="46" t="str">
        <f aca="false">IF($A1723="","",IF(OR(NOT(ISNUMBER(E1723)),NOT(ISNUMBER(F1723))),"",MAX(0,E1723)*F1723))</f>
        <v/>
      </c>
      <c r="I1723" s="46" t="str">
        <f aca="false">IF($A1723="","",SUMIF($A$2:$A$5001,$A1723,$H$2:$H$5001))</f>
        <v/>
      </c>
      <c r="J1723" s="47" t="n">
        <f aca="false">IF($A1723="",0,IF(COUNTIF($A$2:A1723,$A1723)=1,1,0))</f>
        <v>0</v>
      </c>
      <c r="K1723" s="47" t="n">
        <f aca="false">IF(J1723=1,N(I1723)+ROW()/10000000,0)</f>
        <v>0</v>
      </c>
      <c r="L1723" s="47" t="str">
        <f aca="false">IF(AND(J1723=1,N(I1723)&gt;0),SUMIF($K$2:$K$5001,"&gt;="&amp;K1723,$I$2:$I$5001)/MAX(1,SUM($H$2:$H$5001)),"")</f>
        <v/>
      </c>
      <c r="M1723" s="47" t="str">
        <f aca="false">IF($A1723="","",INDEX($L$2:$L$5001,MATCH($A1723,$A$2:$A$5001,0)))</f>
        <v/>
      </c>
      <c r="N1723" s="48" t="str">
        <f aca="false">IF($A1723="","",IF(N(M1723)=0,"–",IF(M1723&lt;=Start!$D$20,"A",IF(M1723&lt;=Start!$D$21,"B","C"))))</f>
        <v/>
      </c>
      <c r="O1723" s="48" t="str">
        <f aca="false">IF($A1723="","",IF(NOT(ISNUMBER(F1723)),"Wert fehlt; ",IF(F1723&lt;=0,"Wert ist 0; ",""))&amp;IF(NOT(ISNUMBER(E1723)),"Bestand fehlt; ",IF(E1723&lt;0,"Bestand negativ; ",IF(E1723=0,"Nullbestand; ","")))&amp;IF(D1723="","Warengruppe fehlt; ","")&amp;IF(B1723="","Bezeichnung fehlt; ","")&amp;IF(COUNTIFS($A$2:$A$5001,$A1723,$C$2:$C$5001,C1723)&gt;1,"Artikel doppelt im selben Lager; ",""))</f>
        <v/>
      </c>
      <c r="P1723" s="47" t="n">
        <f aca="false">IF(OR($A1723="",D1723=""),0,IF(COUNTIF($D$2:D1723,D1723)=1,SUMIF($D$2:$D$5001,D1723,$H$2:$H$5001)+ROW()/10000000,0))</f>
        <v>0</v>
      </c>
      <c r="Q1723" s="47" t="n">
        <f aca="false">IF(OR($A1723="",C1723=""),0,IF(COUNTIF($C$2:C1723,C1723)=1,SUMIF($C$2:$C$5001,C1723,$H$2:$H$5001)+ROW()/10000000,0))</f>
        <v>0</v>
      </c>
    </row>
    <row r="1724" customFormat="false" ht="15" hidden="false" customHeight="false" outlineLevel="0" collapsed="false">
      <c r="A1724" s="43"/>
      <c r="B1724" s="44"/>
      <c r="C1724" s="44"/>
      <c r="D1724" s="44"/>
      <c r="E1724" s="44"/>
      <c r="F1724" s="44"/>
      <c r="G1724" s="44"/>
      <c r="H1724" s="46" t="str">
        <f aca="false">IF($A1724="","",IF(OR(NOT(ISNUMBER(E1724)),NOT(ISNUMBER(F1724))),"",MAX(0,E1724)*F1724))</f>
        <v/>
      </c>
      <c r="I1724" s="46" t="str">
        <f aca="false">IF($A1724="","",SUMIF($A$2:$A$5001,$A1724,$H$2:$H$5001))</f>
        <v/>
      </c>
      <c r="J1724" s="47" t="n">
        <f aca="false">IF($A1724="",0,IF(COUNTIF($A$2:A1724,$A1724)=1,1,0))</f>
        <v>0</v>
      </c>
      <c r="K1724" s="47" t="n">
        <f aca="false">IF(J1724=1,N(I1724)+ROW()/10000000,0)</f>
        <v>0</v>
      </c>
      <c r="L1724" s="47" t="str">
        <f aca="false">IF(AND(J1724=1,N(I1724)&gt;0),SUMIF($K$2:$K$5001,"&gt;="&amp;K1724,$I$2:$I$5001)/MAX(1,SUM($H$2:$H$5001)),"")</f>
        <v/>
      </c>
      <c r="M1724" s="47" t="str">
        <f aca="false">IF($A1724="","",INDEX($L$2:$L$5001,MATCH($A1724,$A$2:$A$5001,0)))</f>
        <v/>
      </c>
      <c r="N1724" s="48" t="str">
        <f aca="false">IF($A1724="","",IF(N(M1724)=0,"–",IF(M1724&lt;=Start!$D$20,"A",IF(M1724&lt;=Start!$D$21,"B","C"))))</f>
        <v/>
      </c>
      <c r="O1724" s="48" t="str">
        <f aca="false">IF($A1724="","",IF(NOT(ISNUMBER(F1724)),"Wert fehlt; ",IF(F1724&lt;=0,"Wert ist 0; ",""))&amp;IF(NOT(ISNUMBER(E1724)),"Bestand fehlt; ",IF(E1724&lt;0,"Bestand negativ; ",IF(E1724=0,"Nullbestand; ","")))&amp;IF(D1724="","Warengruppe fehlt; ","")&amp;IF(B1724="","Bezeichnung fehlt; ","")&amp;IF(COUNTIFS($A$2:$A$5001,$A1724,$C$2:$C$5001,C1724)&gt;1,"Artikel doppelt im selben Lager; ",""))</f>
        <v/>
      </c>
      <c r="P1724" s="47" t="n">
        <f aca="false">IF(OR($A1724="",D1724=""),0,IF(COUNTIF($D$2:D1724,D1724)=1,SUMIF($D$2:$D$5001,D1724,$H$2:$H$5001)+ROW()/10000000,0))</f>
        <v>0</v>
      </c>
      <c r="Q1724" s="47" t="n">
        <f aca="false">IF(OR($A1724="",C1724=""),0,IF(COUNTIF($C$2:C1724,C1724)=1,SUMIF($C$2:$C$5001,C1724,$H$2:$H$5001)+ROW()/10000000,0))</f>
        <v>0</v>
      </c>
    </row>
    <row r="1725" customFormat="false" ht="15" hidden="false" customHeight="false" outlineLevel="0" collapsed="false">
      <c r="A1725" s="43"/>
      <c r="B1725" s="44"/>
      <c r="C1725" s="44"/>
      <c r="D1725" s="44"/>
      <c r="E1725" s="44"/>
      <c r="F1725" s="44"/>
      <c r="G1725" s="44"/>
      <c r="H1725" s="46" t="str">
        <f aca="false">IF($A1725="","",IF(OR(NOT(ISNUMBER(E1725)),NOT(ISNUMBER(F1725))),"",MAX(0,E1725)*F1725))</f>
        <v/>
      </c>
      <c r="I1725" s="46" t="str">
        <f aca="false">IF($A1725="","",SUMIF($A$2:$A$5001,$A1725,$H$2:$H$5001))</f>
        <v/>
      </c>
      <c r="J1725" s="47" t="n">
        <f aca="false">IF($A1725="",0,IF(COUNTIF($A$2:A1725,$A1725)=1,1,0))</f>
        <v>0</v>
      </c>
      <c r="K1725" s="47" t="n">
        <f aca="false">IF(J1725=1,N(I1725)+ROW()/10000000,0)</f>
        <v>0</v>
      </c>
      <c r="L1725" s="47" t="str">
        <f aca="false">IF(AND(J1725=1,N(I1725)&gt;0),SUMIF($K$2:$K$5001,"&gt;="&amp;K1725,$I$2:$I$5001)/MAX(1,SUM($H$2:$H$5001)),"")</f>
        <v/>
      </c>
      <c r="M1725" s="47" t="str">
        <f aca="false">IF($A1725="","",INDEX($L$2:$L$5001,MATCH($A1725,$A$2:$A$5001,0)))</f>
        <v/>
      </c>
      <c r="N1725" s="48" t="str">
        <f aca="false">IF($A1725="","",IF(N(M1725)=0,"–",IF(M1725&lt;=Start!$D$20,"A",IF(M1725&lt;=Start!$D$21,"B","C"))))</f>
        <v/>
      </c>
      <c r="O1725" s="48" t="str">
        <f aca="false">IF($A1725="","",IF(NOT(ISNUMBER(F1725)),"Wert fehlt; ",IF(F1725&lt;=0,"Wert ist 0; ",""))&amp;IF(NOT(ISNUMBER(E1725)),"Bestand fehlt; ",IF(E1725&lt;0,"Bestand negativ; ",IF(E1725=0,"Nullbestand; ","")))&amp;IF(D1725="","Warengruppe fehlt; ","")&amp;IF(B1725="","Bezeichnung fehlt; ","")&amp;IF(COUNTIFS($A$2:$A$5001,$A1725,$C$2:$C$5001,C1725)&gt;1,"Artikel doppelt im selben Lager; ",""))</f>
        <v/>
      </c>
      <c r="P1725" s="47" t="n">
        <f aca="false">IF(OR($A1725="",D1725=""),0,IF(COUNTIF($D$2:D1725,D1725)=1,SUMIF($D$2:$D$5001,D1725,$H$2:$H$5001)+ROW()/10000000,0))</f>
        <v>0</v>
      </c>
      <c r="Q1725" s="47" t="n">
        <f aca="false">IF(OR($A1725="",C1725=""),0,IF(COUNTIF($C$2:C1725,C1725)=1,SUMIF($C$2:$C$5001,C1725,$H$2:$H$5001)+ROW()/10000000,0))</f>
        <v>0</v>
      </c>
    </row>
    <row r="1726" customFormat="false" ht="15" hidden="false" customHeight="false" outlineLevel="0" collapsed="false">
      <c r="A1726" s="43"/>
      <c r="B1726" s="44"/>
      <c r="C1726" s="44"/>
      <c r="D1726" s="44"/>
      <c r="E1726" s="44"/>
      <c r="F1726" s="44"/>
      <c r="G1726" s="44"/>
      <c r="H1726" s="46" t="str">
        <f aca="false">IF($A1726="","",IF(OR(NOT(ISNUMBER(E1726)),NOT(ISNUMBER(F1726))),"",MAX(0,E1726)*F1726))</f>
        <v/>
      </c>
      <c r="I1726" s="46" t="str">
        <f aca="false">IF($A1726="","",SUMIF($A$2:$A$5001,$A1726,$H$2:$H$5001))</f>
        <v/>
      </c>
      <c r="J1726" s="47" t="n">
        <f aca="false">IF($A1726="",0,IF(COUNTIF($A$2:A1726,$A1726)=1,1,0))</f>
        <v>0</v>
      </c>
      <c r="K1726" s="47" t="n">
        <f aca="false">IF(J1726=1,N(I1726)+ROW()/10000000,0)</f>
        <v>0</v>
      </c>
      <c r="L1726" s="47" t="str">
        <f aca="false">IF(AND(J1726=1,N(I1726)&gt;0),SUMIF($K$2:$K$5001,"&gt;="&amp;K1726,$I$2:$I$5001)/MAX(1,SUM($H$2:$H$5001)),"")</f>
        <v/>
      </c>
      <c r="M1726" s="47" t="str">
        <f aca="false">IF($A1726="","",INDEX($L$2:$L$5001,MATCH($A1726,$A$2:$A$5001,0)))</f>
        <v/>
      </c>
      <c r="N1726" s="48" t="str">
        <f aca="false">IF($A1726="","",IF(N(M1726)=0,"–",IF(M1726&lt;=Start!$D$20,"A",IF(M1726&lt;=Start!$D$21,"B","C"))))</f>
        <v/>
      </c>
      <c r="O1726" s="48" t="str">
        <f aca="false">IF($A1726="","",IF(NOT(ISNUMBER(F1726)),"Wert fehlt; ",IF(F1726&lt;=0,"Wert ist 0; ",""))&amp;IF(NOT(ISNUMBER(E1726)),"Bestand fehlt; ",IF(E1726&lt;0,"Bestand negativ; ",IF(E1726=0,"Nullbestand; ","")))&amp;IF(D1726="","Warengruppe fehlt; ","")&amp;IF(B1726="","Bezeichnung fehlt; ","")&amp;IF(COUNTIFS($A$2:$A$5001,$A1726,$C$2:$C$5001,C1726)&gt;1,"Artikel doppelt im selben Lager; ",""))</f>
        <v/>
      </c>
      <c r="P1726" s="47" t="n">
        <f aca="false">IF(OR($A1726="",D1726=""),0,IF(COUNTIF($D$2:D1726,D1726)=1,SUMIF($D$2:$D$5001,D1726,$H$2:$H$5001)+ROW()/10000000,0))</f>
        <v>0</v>
      </c>
      <c r="Q1726" s="47" t="n">
        <f aca="false">IF(OR($A1726="",C1726=""),0,IF(COUNTIF($C$2:C1726,C1726)=1,SUMIF($C$2:$C$5001,C1726,$H$2:$H$5001)+ROW()/10000000,0))</f>
        <v>0</v>
      </c>
    </row>
    <row r="1727" customFormat="false" ht="15" hidden="false" customHeight="false" outlineLevel="0" collapsed="false">
      <c r="A1727" s="43"/>
      <c r="B1727" s="44"/>
      <c r="C1727" s="44"/>
      <c r="D1727" s="44"/>
      <c r="E1727" s="44"/>
      <c r="F1727" s="44"/>
      <c r="G1727" s="44"/>
      <c r="H1727" s="46" t="str">
        <f aca="false">IF($A1727="","",IF(OR(NOT(ISNUMBER(E1727)),NOT(ISNUMBER(F1727))),"",MAX(0,E1727)*F1727))</f>
        <v/>
      </c>
      <c r="I1727" s="46" t="str">
        <f aca="false">IF($A1727="","",SUMIF($A$2:$A$5001,$A1727,$H$2:$H$5001))</f>
        <v/>
      </c>
      <c r="J1727" s="47" t="n">
        <f aca="false">IF($A1727="",0,IF(COUNTIF($A$2:A1727,$A1727)=1,1,0))</f>
        <v>0</v>
      </c>
      <c r="K1727" s="47" t="n">
        <f aca="false">IF(J1727=1,N(I1727)+ROW()/10000000,0)</f>
        <v>0</v>
      </c>
      <c r="L1727" s="47" t="str">
        <f aca="false">IF(AND(J1727=1,N(I1727)&gt;0),SUMIF($K$2:$K$5001,"&gt;="&amp;K1727,$I$2:$I$5001)/MAX(1,SUM($H$2:$H$5001)),"")</f>
        <v/>
      </c>
      <c r="M1727" s="47" t="str">
        <f aca="false">IF($A1727="","",INDEX($L$2:$L$5001,MATCH($A1727,$A$2:$A$5001,0)))</f>
        <v/>
      </c>
      <c r="N1727" s="48" t="str">
        <f aca="false">IF($A1727="","",IF(N(M1727)=0,"–",IF(M1727&lt;=Start!$D$20,"A",IF(M1727&lt;=Start!$D$21,"B","C"))))</f>
        <v/>
      </c>
      <c r="O1727" s="48" t="str">
        <f aca="false">IF($A1727="","",IF(NOT(ISNUMBER(F1727)),"Wert fehlt; ",IF(F1727&lt;=0,"Wert ist 0; ",""))&amp;IF(NOT(ISNUMBER(E1727)),"Bestand fehlt; ",IF(E1727&lt;0,"Bestand negativ; ",IF(E1727=0,"Nullbestand; ","")))&amp;IF(D1727="","Warengruppe fehlt; ","")&amp;IF(B1727="","Bezeichnung fehlt; ","")&amp;IF(COUNTIFS($A$2:$A$5001,$A1727,$C$2:$C$5001,C1727)&gt;1,"Artikel doppelt im selben Lager; ",""))</f>
        <v/>
      </c>
      <c r="P1727" s="47" t="n">
        <f aca="false">IF(OR($A1727="",D1727=""),0,IF(COUNTIF($D$2:D1727,D1727)=1,SUMIF($D$2:$D$5001,D1727,$H$2:$H$5001)+ROW()/10000000,0))</f>
        <v>0</v>
      </c>
      <c r="Q1727" s="47" t="n">
        <f aca="false">IF(OR($A1727="",C1727=""),0,IF(COUNTIF($C$2:C1727,C1727)=1,SUMIF($C$2:$C$5001,C1727,$H$2:$H$5001)+ROW()/10000000,0))</f>
        <v>0</v>
      </c>
    </row>
    <row r="1728" customFormat="false" ht="15" hidden="false" customHeight="false" outlineLevel="0" collapsed="false">
      <c r="A1728" s="43"/>
      <c r="B1728" s="44"/>
      <c r="C1728" s="44"/>
      <c r="D1728" s="44"/>
      <c r="E1728" s="44"/>
      <c r="F1728" s="44"/>
      <c r="G1728" s="44"/>
      <c r="H1728" s="46" t="str">
        <f aca="false">IF($A1728="","",IF(OR(NOT(ISNUMBER(E1728)),NOT(ISNUMBER(F1728))),"",MAX(0,E1728)*F1728))</f>
        <v/>
      </c>
      <c r="I1728" s="46" t="str">
        <f aca="false">IF($A1728="","",SUMIF($A$2:$A$5001,$A1728,$H$2:$H$5001))</f>
        <v/>
      </c>
      <c r="J1728" s="47" t="n">
        <f aca="false">IF($A1728="",0,IF(COUNTIF($A$2:A1728,$A1728)=1,1,0))</f>
        <v>0</v>
      </c>
      <c r="K1728" s="47" t="n">
        <f aca="false">IF(J1728=1,N(I1728)+ROW()/10000000,0)</f>
        <v>0</v>
      </c>
      <c r="L1728" s="47" t="str">
        <f aca="false">IF(AND(J1728=1,N(I1728)&gt;0),SUMIF($K$2:$K$5001,"&gt;="&amp;K1728,$I$2:$I$5001)/MAX(1,SUM($H$2:$H$5001)),"")</f>
        <v/>
      </c>
      <c r="M1728" s="47" t="str">
        <f aca="false">IF($A1728="","",INDEX($L$2:$L$5001,MATCH($A1728,$A$2:$A$5001,0)))</f>
        <v/>
      </c>
      <c r="N1728" s="48" t="str">
        <f aca="false">IF($A1728="","",IF(N(M1728)=0,"–",IF(M1728&lt;=Start!$D$20,"A",IF(M1728&lt;=Start!$D$21,"B","C"))))</f>
        <v/>
      </c>
      <c r="O1728" s="48" t="str">
        <f aca="false">IF($A1728="","",IF(NOT(ISNUMBER(F1728)),"Wert fehlt; ",IF(F1728&lt;=0,"Wert ist 0; ",""))&amp;IF(NOT(ISNUMBER(E1728)),"Bestand fehlt; ",IF(E1728&lt;0,"Bestand negativ; ",IF(E1728=0,"Nullbestand; ","")))&amp;IF(D1728="","Warengruppe fehlt; ","")&amp;IF(B1728="","Bezeichnung fehlt; ","")&amp;IF(COUNTIFS($A$2:$A$5001,$A1728,$C$2:$C$5001,C1728)&gt;1,"Artikel doppelt im selben Lager; ",""))</f>
        <v/>
      </c>
      <c r="P1728" s="47" t="n">
        <f aca="false">IF(OR($A1728="",D1728=""),0,IF(COUNTIF($D$2:D1728,D1728)=1,SUMIF($D$2:$D$5001,D1728,$H$2:$H$5001)+ROW()/10000000,0))</f>
        <v>0</v>
      </c>
      <c r="Q1728" s="47" t="n">
        <f aca="false">IF(OR($A1728="",C1728=""),0,IF(COUNTIF($C$2:C1728,C1728)=1,SUMIF($C$2:$C$5001,C1728,$H$2:$H$5001)+ROW()/10000000,0))</f>
        <v>0</v>
      </c>
    </row>
    <row r="1729" customFormat="false" ht="15" hidden="false" customHeight="false" outlineLevel="0" collapsed="false">
      <c r="A1729" s="43"/>
      <c r="B1729" s="44"/>
      <c r="C1729" s="44"/>
      <c r="D1729" s="44"/>
      <c r="E1729" s="44"/>
      <c r="F1729" s="44"/>
      <c r="G1729" s="44"/>
      <c r="H1729" s="46" t="str">
        <f aca="false">IF($A1729="","",IF(OR(NOT(ISNUMBER(E1729)),NOT(ISNUMBER(F1729))),"",MAX(0,E1729)*F1729))</f>
        <v/>
      </c>
      <c r="I1729" s="46" t="str">
        <f aca="false">IF($A1729="","",SUMIF($A$2:$A$5001,$A1729,$H$2:$H$5001))</f>
        <v/>
      </c>
      <c r="J1729" s="47" t="n">
        <f aca="false">IF($A1729="",0,IF(COUNTIF($A$2:A1729,$A1729)=1,1,0))</f>
        <v>0</v>
      </c>
      <c r="K1729" s="47" t="n">
        <f aca="false">IF(J1729=1,N(I1729)+ROW()/10000000,0)</f>
        <v>0</v>
      </c>
      <c r="L1729" s="47" t="str">
        <f aca="false">IF(AND(J1729=1,N(I1729)&gt;0),SUMIF($K$2:$K$5001,"&gt;="&amp;K1729,$I$2:$I$5001)/MAX(1,SUM($H$2:$H$5001)),"")</f>
        <v/>
      </c>
      <c r="M1729" s="47" t="str">
        <f aca="false">IF($A1729="","",INDEX($L$2:$L$5001,MATCH($A1729,$A$2:$A$5001,0)))</f>
        <v/>
      </c>
      <c r="N1729" s="48" t="str">
        <f aca="false">IF($A1729="","",IF(N(M1729)=0,"–",IF(M1729&lt;=Start!$D$20,"A",IF(M1729&lt;=Start!$D$21,"B","C"))))</f>
        <v/>
      </c>
      <c r="O1729" s="48" t="str">
        <f aca="false">IF($A1729="","",IF(NOT(ISNUMBER(F1729)),"Wert fehlt; ",IF(F1729&lt;=0,"Wert ist 0; ",""))&amp;IF(NOT(ISNUMBER(E1729)),"Bestand fehlt; ",IF(E1729&lt;0,"Bestand negativ; ",IF(E1729=0,"Nullbestand; ","")))&amp;IF(D1729="","Warengruppe fehlt; ","")&amp;IF(B1729="","Bezeichnung fehlt; ","")&amp;IF(COUNTIFS($A$2:$A$5001,$A1729,$C$2:$C$5001,C1729)&gt;1,"Artikel doppelt im selben Lager; ",""))</f>
        <v/>
      </c>
      <c r="P1729" s="47" t="n">
        <f aca="false">IF(OR($A1729="",D1729=""),0,IF(COUNTIF($D$2:D1729,D1729)=1,SUMIF($D$2:$D$5001,D1729,$H$2:$H$5001)+ROW()/10000000,0))</f>
        <v>0</v>
      </c>
      <c r="Q1729" s="47" t="n">
        <f aca="false">IF(OR($A1729="",C1729=""),0,IF(COUNTIF($C$2:C1729,C1729)=1,SUMIF($C$2:$C$5001,C1729,$H$2:$H$5001)+ROW()/10000000,0))</f>
        <v>0</v>
      </c>
    </row>
    <row r="1730" customFormat="false" ht="15" hidden="false" customHeight="false" outlineLevel="0" collapsed="false">
      <c r="A1730" s="43"/>
      <c r="B1730" s="44"/>
      <c r="C1730" s="44"/>
      <c r="D1730" s="44"/>
      <c r="E1730" s="44"/>
      <c r="F1730" s="44"/>
      <c r="G1730" s="44"/>
      <c r="H1730" s="46" t="str">
        <f aca="false">IF($A1730="","",IF(OR(NOT(ISNUMBER(E1730)),NOT(ISNUMBER(F1730))),"",MAX(0,E1730)*F1730))</f>
        <v/>
      </c>
      <c r="I1730" s="46" t="str">
        <f aca="false">IF($A1730="","",SUMIF($A$2:$A$5001,$A1730,$H$2:$H$5001))</f>
        <v/>
      </c>
      <c r="J1730" s="47" t="n">
        <f aca="false">IF($A1730="",0,IF(COUNTIF($A$2:A1730,$A1730)=1,1,0))</f>
        <v>0</v>
      </c>
      <c r="K1730" s="47" t="n">
        <f aca="false">IF(J1730=1,N(I1730)+ROW()/10000000,0)</f>
        <v>0</v>
      </c>
      <c r="L1730" s="47" t="str">
        <f aca="false">IF(AND(J1730=1,N(I1730)&gt;0),SUMIF($K$2:$K$5001,"&gt;="&amp;K1730,$I$2:$I$5001)/MAX(1,SUM($H$2:$H$5001)),"")</f>
        <v/>
      </c>
      <c r="M1730" s="47" t="str">
        <f aca="false">IF($A1730="","",INDEX($L$2:$L$5001,MATCH($A1730,$A$2:$A$5001,0)))</f>
        <v/>
      </c>
      <c r="N1730" s="48" t="str">
        <f aca="false">IF($A1730="","",IF(N(M1730)=0,"–",IF(M1730&lt;=Start!$D$20,"A",IF(M1730&lt;=Start!$D$21,"B","C"))))</f>
        <v/>
      </c>
      <c r="O1730" s="48" t="str">
        <f aca="false">IF($A1730="","",IF(NOT(ISNUMBER(F1730)),"Wert fehlt; ",IF(F1730&lt;=0,"Wert ist 0; ",""))&amp;IF(NOT(ISNUMBER(E1730)),"Bestand fehlt; ",IF(E1730&lt;0,"Bestand negativ; ",IF(E1730=0,"Nullbestand; ","")))&amp;IF(D1730="","Warengruppe fehlt; ","")&amp;IF(B1730="","Bezeichnung fehlt; ","")&amp;IF(COUNTIFS($A$2:$A$5001,$A1730,$C$2:$C$5001,C1730)&gt;1,"Artikel doppelt im selben Lager; ",""))</f>
        <v/>
      </c>
      <c r="P1730" s="47" t="n">
        <f aca="false">IF(OR($A1730="",D1730=""),0,IF(COUNTIF($D$2:D1730,D1730)=1,SUMIF($D$2:$D$5001,D1730,$H$2:$H$5001)+ROW()/10000000,0))</f>
        <v>0</v>
      </c>
      <c r="Q1730" s="47" t="n">
        <f aca="false">IF(OR($A1730="",C1730=""),0,IF(COUNTIF($C$2:C1730,C1730)=1,SUMIF($C$2:$C$5001,C1730,$H$2:$H$5001)+ROW()/10000000,0))</f>
        <v>0</v>
      </c>
    </row>
    <row r="1731" customFormat="false" ht="15" hidden="false" customHeight="false" outlineLevel="0" collapsed="false">
      <c r="A1731" s="43"/>
      <c r="B1731" s="44"/>
      <c r="C1731" s="44"/>
      <c r="D1731" s="44"/>
      <c r="E1731" s="44"/>
      <c r="F1731" s="44"/>
      <c r="G1731" s="44"/>
      <c r="H1731" s="46" t="str">
        <f aca="false">IF($A1731="","",IF(OR(NOT(ISNUMBER(E1731)),NOT(ISNUMBER(F1731))),"",MAX(0,E1731)*F1731))</f>
        <v/>
      </c>
      <c r="I1731" s="46" t="str">
        <f aca="false">IF($A1731="","",SUMIF($A$2:$A$5001,$A1731,$H$2:$H$5001))</f>
        <v/>
      </c>
      <c r="J1731" s="47" t="n">
        <f aca="false">IF($A1731="",0,IF(COUNTIF($A$2:A1731,$A1731)=1,1,0))</f>
        <v>0</v>
      </c>
      <c r="K1731" s="47" t="n">
        <f aca="false">IF(J1731=1,N(I1731)+ROW()/10000000,0)</f>
        <v>0</v>
      </c>
      <c r="L1731" s="47" t="str">
        <f aca="false">IF(AND(J1731=1,N(I1731)&gt;0),SUMIF($K$2:$K$5001,"&gt;="&amp;K1731,$I$2:$I$5001)/MAX(1,SUM($H$2:$H$5001)),"")</f>
        <v/>
      </c>
      <c r="M1731" s="47" t="str">
        <f aca="false">IF($A1731="","",INDEX($L$2:$L$5001,MATCH($A1731,$A$2:$A$5001,0)))</f>
        <v/>
      </c>
      <c r="N1731" s="48" t="str">
        <f aca="false">IF($A1731="","",IF(N(M1731)=0,"–",IF(M1731&lt;=Start!$D$20,"A",IF(M1731&lt;=Start!$D$21,"B","C"))))</f>
        <v/>
      </c>
      <c r="O1731" s="48" t="str">
        <f aca="false">IF($A1731="","",IF(NOT(ISNUMBER(F1731)),"Wert fehlt; ",IF(F1731&lt;=0,"Wert ist 0; ",""))&amp;IF(NOT(ISNUMBER(E1731)),"Bestand fehlt; ",IF(E1731&lt;0,"Bestand negativ; ",IF(E1731=0,"Nullbestand; ","")))&amp;IF(D1731="","Warengruppe fehlt; ","")&amp;IF(B1731="","Bezeichnung fehlt; ","")&amp;IF(COUNTIFS($A$2:$A$5001,$A1731,$C$2:$C$5001,C1731)&gt;1,"Artikel doppelt im selben Lager; ",""))</f>
        <v/>
      </c>
      <c r="P1731" s="47" t="n">
        <f aca="false">IF(OR($A1731="",D1731=""),0,IF(COUNTIF($D$2:D1731,D1731)=1,SUMIF($D$2:$D$5001,D1731,$H$2:$H$5001)+ROW()/10000000,0))</f>
        <v>0</v>
      </c>
      <c r="Q1731" s="47" t="n">
        <f aca="false">IF(OR($A1731="",C1731=""),0,IF(COUNTIF($C$2:C1731,C1731)=1,SUMIF($C$2:$C$5001,C1731,$H$2:$H$5001)+ROW()/10000000,0))</f>
        <v>0</v>
      </c>
    </row>
    <row r="1732" customFormat="false" ht="15" hidden="false" customHeight="false" outlineLevel="0" collapsed="false">
      <c r="A1732" s="43"/>
      <c r="B1732" s="44"/>
      <c r="C1732" s="44"/>
      <c r="D1732" s="44"/>
      <c r="E1732" s="44"/>
      <c r="F1732" s="44"/>
      <c r="G1732" s="44"/>
      <c r="H1732" s="46" t="str">
        <f aca="false">IF($A1732="","",IF(OR(NOT(ISNUMBER(E1732)),NOT(ISNUMBER(F1732))),"",MAX(0,E1732)*F1732))</f>
        <v/>
      </c>
      <c r="I1732" s="46" t="str">
        <f aca="false">IF($A1732="","",SUMIF($A$2:$A$5001,$A1732,$H$2:$H$5001))</f>
        <v/>
      </c>
      <c r="J1732" s="47" t="n">
        <f aca="false">IF($A1732="",0,IF(COUNTIF($A$2:A1732,$A1732)=1,1,0))</f>
        <v>0</v>
      </c>
      <c r="K1732" s="47" t="n">
        <f aca="false">IF(J1732=1,N(I1732)+ROW()/10000000,0)</f>
        <v>0</v>
      </c>
      <c r="L1732" s="47" t="str">
        <f aca="false">IF(AND(J1732=1,N(I1732)&gt;0),SUMIF($K$2:$K$5001,"&gt;="&amp;K1732,$I$2:$I$5001)/MAX(1,SUM($H$2:$H$5001)),"")</f>
        <v/>
      </c>
      <c r="M1732" s="47" t="str">
        <f aca="false">IF($A1732="","",INDEX($L$2:$L$5001,MATCH($A1732,$A$2:$A$5001,0)))</f>
        <v/>
      </c>
      <c r="N1732" s="48" t="str">
        <f aca="false">IF($A1732="","",IF(N(M1732)=0,"–",IF(M1732&lt;=Start!$D$20,"A",IF(M1732&lt;=Start!$D$21,"B","C"))))</f>
        <v/>
      </c>
      <c r="O1732" s="48" t="str">
        <f aca="false">IF($A1732="","",IF(NOT(ISNUMBER(F1732)),"Wert fehlt; ",IF(F1732&lt;=0,"Wert ist 0; ",""))&amp;IF(NOT(ISNUMBER(E1732)),"Bestand fehlt; ",IF(E1732&lt;0,"Bestand negativ; ",IF(E1732=0,"Nullbestand; ","")))&amp;IF(D1732="","Warengruppe fehlt; ","")&amp;IF(B1732="","Bezeichnung fehlt; ","")&amp;IF(COUNTIFS($A$2:$A$5001,$A1732,$C$2:$C$5001,C1732)&gt;1,"Artikel doppelt im selben Lager; ",""))</f>
        <v/>
      </c>
      <c r="P1732" s="47" t="n">
        <f aca="false">IF(OR($A1732="",D1732=""),0,IF(COUNTIF($D$2:D1732,D1732)=1,SUMIF($D$2:$D$5001,D1732,$H$2:$H$5001)+ROW()/10000000,0))</f>
        <v>0</v>
      </c>
      <c r="Q1732" s="47" t="n">
        <f aca="false">IF(OR($A1732="",C1732=""),0,IF(COUNTIF($C$2:C1732,C1732)=1,SUMIF($C$2:$C$5001,C1732,$H$2:$H$5001)+ROW()/10000000,0))</f>
        <v>0</v>
      </c>
    </row>
    <row r="1733" customFormat="false" ht="15" hidden="false" customHeight="false" outlineLevel="0" collapsed="false">
      <c r="A1733" s="43"/>
      <c r="B1733" s="44"/>
      <c r="C1733" s="44"/>
      <c r="D1733" s="44"/>
      <c r="E1733" s="44"/>
      <c r="F1733" s="44"/>
      <c r="G1733" s="44"/>
      <c r="H1733" s="46" t="str">
        <f aca="false">IF($A1733="","",IF(OR(NOT(ISNUMBER(E1733)),NOT(ISNUMBER(F1733))),"",MAX(0,E1733)*F1733))</f>
        <v/>
      </c>
      <c r="I1733" s="46" t="str">
        <f aca="false">IF($A1733="","",SUMIF($A$2:$A$5001,$A1733,$H$2:$H$5001))</f>
        <v/>
      </c>
      <c r="J1733" s="47" t="n">
        <f aca="false">IF($A1733="",0,IF(COUNTIF($A$2:A1733,$A1733)=1,1,0))</f>
        <v>0</v>
      </c>
      <c r="K1733" s="47" t="n">
        <f aca="false">IF(J1733=1,N(I1733)+ROW()/10000000,0)</f>
        <v>0</v>
      </c>
      <c r="L1733" s="47" t="str">
        <f aca="false">IF(AND(J1733=1,N(I1733)&gt;0),SUMIF($K$2:$K$5001,"&gt;="&amp;K1733,$I$2:$I$5001)/MAX(1,SUM($H$2:$H$5001)),"")</f>
        <v/>
      </c>
      <c r="M1733" s="47" t="str">
        <f aca="false">IF($A1733="","",INDEX($L$2:$L$5001,MATCH($A1733,$A$2:$A$5001,0)))</f>
        <v/>
      </c>
      <c r="N1733" s="48" t="str">
        <f aca="false">IF($A1733="","",IF(N(M1733)=0,"–",IF(M1733&lt;=Start!$D$20,"A",IF(M1733&lt;=Start!$D$21,"B","C"))))</f>
        <v/>
      </c>
      <c r="O1733" s="48" t="str">
        <f aca="false">IF($A1733="","",IF(NOT(ISNUMBER(F1733)),"Wert fehlt; ",IF(F1733&lt;=0,"Wert ist 0; ",""))&amp;IF(NOT(ISNUMBER(E1733)),"Bestand fehlt; ",IF(E1733&lt;0,"Bestand negativ; ",IF(E1733=0,"Nullbestand; ","")))&amp;IF(D1733="","Warengruppe fehlt; ","")&amp;IF(B1733="","Bezeichnung fehlt; ","")&amp;IF(COUNTIFS($A$2:$A$5001,$A1733,$C$2:$C$5001,C1733)&gt;1,"Artikel doppelt im selben Lager; ",""))</f>
        <v/>
      </c>
      <c r="P1733" s="47" t="n">
        <f aca="false">IF(OR($A1733="",D1733=""),0,IF(COUNTIF($D$2:D1733,D1733)=1,SUMIF($D$2:$D$5001,D1733,$H$2:$H$5001)+ROW()/10000000,0))</f>
        <v>0</v>
      </c>
      <c r="Q1733" s="47" t="n">
        <f aca="false">IF(OR($A1733="",C1733=""),0,IF(COUNTIF($C$2:C1733,C1733)=1,SUMIF($C$2:$C$5001,C1733,$H$2:$H$5001)+ROW()/10000000,0))</f>
        <v>0</v>
      </c>
    </row>
    <row r="1734" customFormat="false" ht="15" hidden="false" customHeight="false" outlineLevel="0" collapsed="false">
      <c r="A1734" s="43"/>
      <c r="B1734" s="44"/>
      <c r="C1734" s="44"/>
      <c r="D1734" s="44"/>
      <c r="E1734" s="44"/>
      <c r="F1734" s="44"/>
      <c r="G1734" s="44"/>
      <c r="H1734" s="46" t="str">
        <f aca="false">IF($A1734="","",IF(OR(NOT(ISNUMBER(E1734)),NOT(ISNUMBER(F1734))),"",MAX(0,E1734)*F1734))</f>
        <v/>
      </c>
      <c r="I1734" s="46" t="str">
        <f aca="false">IF($A1734="","",SUMIF($A$2:$A$5001,$A1734,$H$2:$H$5001))</f>
        <v/>
      </c>
      <c r="J1734" s="47" t="n">
        <f aca="false">IF($A1734="",0,IF(COUNTIF($A$2:A1734,$A1734)=1,1,0))</f>
        <v>0</v>
      </c>
      <c r="K1734" s="47" t="n">
        <f aca="false">IF(J1734=1,N(I1734)+ROW()/10000000,0)</f>
        <v>0</v>
      </c>
      <c r="L1734" s="47" t="str">
        <f aca="false">IF(AND(J1734=1,N(I1734)&gt;0),SUMIF($K$2:$K$5001,"&gt;="&amp;K1734,$I$2:$I$5001)/MAX(1,SUM($H$2:$H$5001)),"")</f>
        <v/>
      </c>
      <c r="M1734" s="47" t="str">
        <f aca="false">IF($A1734="","",INDEX($L$2:$L$5001,MATCH($A1734,$A$2:$A$5001,0)))</f>
        <v/>
      </c>
      <c r="N1734" s="48" t="str">
        <f aca="false">IF($A1734="","",IF(N(M1734)=0,"–",IF(M1734&lt;=Start!$D$20,"A",IF(M1734&lt;=Start!$D$21,"B","C"))))</f>
        <v/>
      </c>
      <c r="O1734" s="48" t="str">
        <f aca="false">IF($A1734="","",IF(NOT(ISNUMBER(F1734)),"Wert fehlt; ",IF(F1734&lt;=0,"Wert ist 0; ",""))&amp;IF(NOT(ISNUMBER(E1734)),"Bestand fehlt; ",IF(E1734&lt;0,"Bestand negativ; ",IF(E1734=0,"Nullbestand; ","")))&amp;IF(D1734="","Warengruppe fehlt; ","")&amp;IF(B1734="","Bezeichnung fehlt; ","")&amp;IF(COUNTIFS($A$2:$A$5001,$A1734,$C$2:$C$5001,C1734)&gt;1,"Artikel doppelt im selben Lager; ",""))</f>
        <v/>
      </c>
      <c r="P1734" s="47" t="n">
        <f aca="false">IF(OR($A1734="",D1734=""),0,IF(COUNTIF($D$2:D1734,D1734)=1,SUMIF($D$2:$D$5001,D1734,$H$2:$H$5001)+ROW()/10000000,0))</f>
        <v>0</v>
      </c>
      <c r="Q1734" s="47" t="n">
        <f aca="false">IF(OR($A1734="",C1734=""),0,IF(COUNTIF($C$2:C1734,C1734)=1,SUMIF($C$2:$C$5001,C1734,$H$2:$H$5001)+ROW()/10000000,0))</f>
        <v>0</v>
      </c>
    </row>
    <row r="1735" customFormat="false" ht="15" hidden="false" customHeight="false" outlineLevel="0" collapsed="false">
      <c r="A1735" s="43"/>
      <c r="B1735" s="44"/>
      <c r="C1735" s="44"/>
      <c r="D1735" s="44"/>
      <c r="E1735" s="44"/>
      <c r="F1735" s="44"/>
      <c r="G1735" s="44"/>
      <c r="H1735" s="46" t="str">
        <f aca="false">IF($A1735="","",IF(OR(NOT(ISNUMBER(E1735)),NOT(ISNUMBER(F1735))),"",MAX(0,E1735)*F1735))</f>
        <v/>
      </c>
      <c r="I1735" s="46" t="str">
        <f aca="false">IF($A1735="","",SUMIF($A$2:$A$5001,$A1735,$H$2:$H$5001))</f>
        <v/>
      </c>
      <c r="J1735" s="47" t="n">
        <f aca="false">IF($A1735="",0,IF(COUNTIF($A$2:A1735,$A1735)=1,1,0))</f>
        <v>0</v>
      </c>
      <c r="K1735" s="47" t="n">
        <f aca="false">IF(J1735=1,N(I1735)+ROW()/10000000,0)</f>
        <v>0</v>
      </c>
      <c r="L1735" s="47" t="str">
        <f aca="false">IF(AND(J1735=1,N(I1735)&gt;0),SUMIF($K$2:$K$5001,"&gt;="&amp;K1735,$I$2:$I$5001)/MAX(1,SUM($H$2:$H$5001)),"")</f>
        <v/>
      </c>
      <c r="M1735" s="47" t="str">
        <f aca="false">IF($A1735="","",INDEX($L$2:$L$5001,MATCH($A1735,$A$2:$A$5001,0)))</f>
        <v/>
      </c>
      <c r="N1735" s="48" t="str">
        <f aca="false">IF($A1735="","",IF(N(M1735)=0,"–",IF(M1735&lt;=Start!$D$20,"A",IF(M1735&lt;=Start!$D$21,"B","C"))))</f>
        <v/>
      </c>
      <c r="O1735" s="48" t="str">
        <f aca="false">IF($A1735="","",IF(NOT(ISNUMBER(F1735)),"Wert fehlt; ",IF(F1735&lt;=0,"Wert ist 0; ",""))&amp;IF(NOT(ISNUMBER(E1735)),"Bestand fehlt; ",IF(E1735&lt;0,"Bestand negativ; ",IF(E1735=0,"Nullbestand; ","")))&amp;IF(D1735="","Warengruppe fehlt; ","")&amp;IF(B1735="","Bezeichnung fehlt; ","")&amp;IF(COUNTIFS($A$2:$A$5001,$A1735,$C$2:$C$5001,C1735)&gt;1,"Artikel doppelt im selben Lager; ",""))</f>
        <v/>
      </c>
      <c r="P1735" s="47" t="n">
        <f aca="false">IF(OR($A1735="",D1735=""),0,IF(COUNTIF($D$2:D1735,D1735)=1,SUMIF($D$2:$D$5001,D1735,$H$2:$H$5001)+ROW()/10000000,0))</f>
        <v>0</v>
      </c>
      <c r="Q1735" s="47" t="n">
        <f aca="false">IF(OR($A1735="",C1735=""),0,IF(COUNTIF($C$2:C1735,C1735)=1,SUMIF($C$2:$C$5001,C1735,$H$2:$H$5001)+ROW()/10000000,0))</f>
        <v>0</v>
      </c>
    </row>
    <row r="1736" customFormat="false" ht="15" hidden="false" customHeight="false" outlineLevel="0" collapsed="false">
      <c r="A1736" s="43"/>
      <c r="B1736" s="44"/>
      <c r="C1736" s="44"/>
      <c r="D1736" s="44"/>
      <c r="E1736" s="44"/>
      <c r="F1736" s="44"/>
      <c r="G1736" s="44"/>
      <c r="H1736" s="46" t="str">
        <f aca="false">IF($A1736="","",IF(OR(NOT(ISNUMBER(E1736)),NOT(ISNUMBER(F1736))),"",MAX(0,E1736)*F1736))</f>
        <v/>
      </c>
      <c r="I1736" s="46" t="str">
        <f aca="false">IF($A1736="","",SUMIF($A$2:$A$5001,$A1736,$H$2:$H$5001))</f>
        <v/>
      </c>
      <c r="J1736" s="47" t="n">
        <f aca="false">IF($A1736="",0,IF(COUNTIF($A$2:A1736,$A1736)=1,1,0))</f>
        <v>0</v>
      </c>
      <c r="K1736" s="47" t="n">
        <f aca="false">IF(J1736=1,N(I1736)+ROW()/10000000,0)</f>
        <v>0</v>
      </c>
      <c r="L1736" s="47" t="str">
        <f aca="false">IF(AND(J1736=1,N(I1736)&gt;0),SUMIF($K$2:$K$5001,"&gt;="&amp;K1736,$I$2:$I$5001)/MAX(1,SUM($H$2:$H$5001)),"")</f>
        <v/>
      </c>
      <c r="M1736" s="47" t="str">
        <f aca="false">IF($A1736="","",INDEX($L$2:$L$5001,MATCH($A1736,$A$2:$A$5001,0)))</f>
        <v/>
      </c>
      <c r="N1736" s="48" t="str">
        <f aca="false">IF($A1736="","",IF(N(M1736)=0,"–",IF(M1736&lt;=Start!$D$20,"A",IF(M1736&lt;=Start!$D$21,"B","C"))))</f>
        <v/>
      </c>
      <c r="O1736" s="48" t="str">
        <f aca="false">IF($A1736="","",IF(NOT(ISNUMBER(F1736)),"Wert fehlt; ",IF(F1736&lt;=0,"Wert ist 0; ",""))&amp;IF(NOT(ISNUMBER(E1736)),"Bestand fehlt; ",IF(E1736&lt;0,"Bestand negativ; ",IF(E1736=0,"Nullbestand; ","")))&amp;IF(D1736="","Warengruppe fehlt; ","")&amp;IF(B1736="","Bezeichnung fehlt; ","")&amp;IF(COUNTIFS($A$2:$A$5001,$A1736,$C$2:$C$5001,C1736)&gt;1,"Artikel doppelt im selben Lager; ",""))</f>
        <v/>
      </c>
      <c r="P1736" s="47" t="n">
        <f aca="false">IF(OR($A1736="",D1736=""),0,IF(COUNTIF($D$2:D1736,D1736)=1,SUMIF($D$2:$D$5001,D1736,$H$2:$H$5001)+ROW()/10000000,0))</f>
        <v>0</v>
      </c>
      <c r="Q1736" s="47" t="n">
        <f aca="false">IF(OR($A1736="",C1736=""),0,IF(COUNTIF($C$2:C1736,C1736)=1,SUMIF($C$2:$C$5001,C1736,$H$2:$H$5001)+ROW()/10000000,0))</f>
        <v>0</v>
      </c>
    </row>
    <row r="1737" customFormat="false" ht="15" hidden="false" customHeight="false" outlineLevel="0" collapsed="false">
      <c r="A1737" s="43"/>
      <c r="B1737" s="44"/>
      <c r="C1737" s="44"/>
      <c r="D1737" s="44"/>
      <c r="E1737" s="44"/>
      <c r="F1737" s="44"/>
      <c r="G1737" s="44"/>
      <c r="H1737" s="46" t="str">
        <f aca="false">IF($A1737="","",IF(OR(NOT(ISNUMBER(E1737)),NOT(ISNUMBER(F1737))),"",MAX(0,E1737)*F1737))</f>
        <v/>
      </c>
      <c r="I1737" s="46" t="str">
        <f aca="false">IF($A1737="","",SUMIF($A$2:$A$5001,$A1737,$H$2:$H$5001))</f>
        <v/>
      </c>
      <c r="J1737" s="47" t="n">
        <f aca="false">IF($A1737="",0,IF(COUNTIF($A$2:A1737,$A1737)=1,1,0))</f>
        <v>0</v>
      </c>
      <c r="K1737" s="47" t="n">
        <f aca="false">IF(J1737=1,N(I1737)+ROW()/10000000,0)</f>
        <v>0</v>
      </c>
      <c r="L1737" s="47" t="str">
        <f aca="false">IF(AND(J1737=1,N(I1737)&gt;0),SUMIF($K$2:$K$5001,"&gt;="&amp;K1737,$I$2:$I$5001)/MAX(1,SUM($H$2:$H$5001)),"")</f>
        <v/>
      </c>
      <c r="M1737" s="47" t="str">
        <f aca="false">IF($A1737="","",INDEX($L$2:$L$5001,MATCH($A1737,$A$2:$A$5001,0)))</f>
        <v/>
      </c>
      <c r="N1737" s="48" t="str">
        <f aca="false">IF($A1737="","",IF(N(M1737)=0,"–",IF(M1737&lt;=Start!$D$20,"A",IF(M1737&lt;=Start!$D$21,"B","C"))))</f>
        <v/>
      </c>
      <c r="O1737" s="48" t="str">
        <f aca="false">IF($A1737="","",IF(NOT(ISNUMBER(F1737)),"Wert fehlt; ",IF(F1737&lt;=0,"Wert ist 0; ",""))&amp;IF(NOT(ISNUMBER(E1737)),"Bestand fehlt; ",IF(E1737&lt;0,"Bestand negativ; ",IF(E1737=0,"Nullbestand; ","")))&amp;IF(D1737="","Warengruppe fehlt; ","")&amp;IF(B1737="","Bezeichnung fehlt; ","")&amp;IF(COUNTIFS($A$2:$A$5001,$A1737,$C$2:$C$5001,C1737)&gt;1,"Artikel doppelt im selben Lager; ",""))</f>
        <v/>
      </c>
      <c r="P1737" s="47" t="n">
        <f aca="false">IF(OR($A1737="",D1737=""),0,IF(COUNTIF($D$2:D1737,D1737)=1,SUMIF($D$2:$D$5001,D1737,$H$2:$H$5001)+ROW()/10000000,0))</f>
        <v>0</v>
      </c>
      <c r="Q1737" s="47" t="n">
        <f aca="false">IF(OR($A1737="",C1737=""),0,IF(COUNTIF($C$2:C1737,C1737)=1,SUMIF($C$2:$C$5001,C1737,$H$2:$H$5001)+ROW()/10000000,0))</f>
        <v>0</v>
      </c>
    </row>
    <row r="1738" customFormat="false" ht="15" hidden="false" customHeight="false" outlineLevel="0" collapsed="false">
      <c r="A1738" s="43"/>
      <c r="B1738" s="44"/>
      <c r="C1738" s="44"/>
      <c r="D1738" s="44"/>
      <c r="E1738" s="44"/>
      <c r="F1738" s="44"/>
      <c r="G1738" s="44"/>
      <c r="H1738" s="46" t="str">
        <f aca="false">IF($A1738="","",IF(OR(NOT(ISNUMBER(E1738)),NOT(ISNUMBER(F1738))),"",MAX(0,E1738)*F1738))</f>
        <v/>
      </c>
      <c r="I1738" s="46" t="str">
        <f aca="false">IF($A1738="","",SUMIF($A$2:$A$5001,$A1738,$H$2:$H$5001))</f>
        <v/>
      </c>
      <c r="J1738" s="47" t="n">
        <f aca="false">IF($A1738="",0,IF(COUNTIF($A$2:A1738,$A1738)=1,1,0))</f>
        <v>0</v>
      </c>
      <c r="K1738" s="47" t="n">
        <f aca="false">IF(J1738=1,N(I1738)+ROW()/10000000,0)</f>
        <v>0</v>
      </c>
      <c r="L1738" s="47" t="str">
        <f aca="false">IF(AND(J1738=1,N(I1738)&gt;0),SUMIF($K$2:$K$5001,"&gt;="&amp;K1738,$I$2:$I$5001)/MAX(1,SUM($H$2:$H$5001)),"")</f>
        <v/>
      </c>
      <c r="M1738" s="47" t="str">
        <f aca="false">IF($A1738="","",INDEX($L$2:$L$5001,MATCH($A1738,$A$2:$A$5001,0)))</f>
        <v/>
      </c>
      <c r="N1738" s="48" t="str">
        <f aca="false">IF($A1738="","",IF(N(M1738)=0,"–",IF(M1738&lt;=Start!$D$20,"A",IF(M1738&lt;=Start!$D$21,"B","C"))))</f>
        <v/>
      </c>
      <c r="O1738" s="48" t="str">
        <f aca="false">IF($A1738="","",IF(NOT(ISNUMBER(F1738)),"Wert fehlt; ",IF(F1738&lt;=0,"Wert ist 0; ",""))&amp;IF(NOT(ISNUMBER(E1738)),"Bestand fehlt; ",IF(E1738&lt;0,"Bestand negativ; ",IF(E1738=0,"Nullbestand; ","")))&amp;IF(D1738="","Warengruppe fehlt; ","")&amp;IF(B1738="","Bezeichnung fehlt; ","")&amp;IF(COUNTIFS($A$2:$A$5001,$A1738,$C$2:$C$5001,C1738)&gt;1,"Artikel doppelt im selben Lager; ",""))</f>
        <v/>
      </c>
      <c r="P1738" s="47" t="n">
        <f aca="false">IF(OR($A1738="",D1738=""),0,IF(COUNTIF($D$2:D1738,D1738)=1,SUMIF($D$2:$D$5001,D1738,$H$2:$H$5001)+ROW()/10000000,0))</f>
        <v>0</v>
      </c>
      <c r="Q1738" s="47" t="n">
        <f aca="false">IF(OR($A1738="",C1738=""),0,IF(COUNTIF($C$2:C1738,C1738)=1,SUMIF($C$2:$C$5001,C1738,$H$2:$H$5001)+ROW()/10000000,0))</f>
        <v>0</v>
      </c>
    </row>
    <row r="1739" customFormat="false" ht="15" hidden="false" customHeight="false" outlineLevel="0" collapsed="false">
      <c r="A1739" s="43"/>
      <c r="B1739" s="44"/>
      <c r="C1739" s="44"/>
      <c r="D1739" s="44"/>
      <c r="E1739" s="44"/>
      <c r="F1739" s="44"/>
      <c r="G1739" s="44"/>
      <c r="H1739" s="46" t="str">
        <f aca="false">IF($A1739="","",IF(OR(NOT(ISNUMBER(E1739)),NOT(ISNUMBER(F1739))),"",MAX(0,E1739)*F1739))</f>
        <v/>
      </c>
      <c r="I1739" s="46" t="str">
        <f aca="false">IF($A1739="","",SUMIF($A$2:$A$5001,$A1739,$H$2:$H$5001))</f>
        <v/>
      </c>
      <c r="J1739" s="47" t="n">
        <f aca="false">IF($A1739="",0,IF(COUNTIF($A$2:A1739,$A1739)=1,1,0))</f>
        <v>0</v>
      </c>
      <c r="K1739" s="47" t="n">
        <f aca="false">IF(J1739=1,N(I1739)+ROW()/10000000,0)</f>
        <v>0</v>
      </c>
      <c r="L1739" s="47" t="str">
        <f aca="false">IF(AND(J1739=1,N(I1739)&gt;0),SUMIF($K$2:$K$5001,"&gt;="&amp;K1739,$I$2:$I$5001)/MAX(1,SUM($H$2:$H$5001)),"")</f>
        <v/>
      </c>
      <c r="M1739" s="47" t="str">
        <f aca="false">IF($A1739="","",INDEX($L$2:$L$5001,MATCH($A1739,$A$2:$A$5001,0)))</f>
        <v/>
      </c>
      <c r="N1739" s="48" t="str">
        <f aca="false">IF($A1739="","",IF(N(M1739)=0,"–",IF(M1739&lt;=Start!$D$20,"A",IF(M1739&lt;=Start!$D$21,"B","C"))))</f>
        <v/>
      </c>
      <c r="O1739" s="48" t="str">
        <f aca="false">IF($A1739="","",IF(NOT(ISNUMBER(F1739)),"Wert fehlt; ",IF(F1739&lt;=0,"Wert ist 0; ",""))&amp;IF(NOT(ISNUMBER(E1739)),"Bestand fehlt; ",IF(E1739&lt;0,"Bestand negativ; ",IF(E1739=0,"Nullbestand; ","")))&amp;IF(D1739="","Warengruppe fehlt; ","")&amp;IF(B1739="","Bezeichnung fehlt; ","")&amp;IF(COUNTIFS($A$2:$A$5001,$A1739,$C$2:$C$5001,C1739)&gt;1,"Artikel doppelt im selben Lager; ",""))</f>
        <v/>
      </c>
      <c r="P1739" s="47" t="n">
        <f aca="false">IF(OR($A1739="",D1739=""),0,IF(COUNTIF($D$2:D1739,D1739)=1,SUMIF($D$2:$D$5001,D1739,$H$2:$H$5001)+ROW()/10000000,0))</f>
        <v>0</v>
      </c>
      <c r="Q1739" s="47" t="n">
        <f aca="false">IF(OR($A1739="",C1739=""),0,IF(COUNTIF($C$2:C1739,C1739)=1,SUMIF($C$2:$C$5001,C1739,$H$2:$H$5001)+ROW()/10000000,0))</f>
        <v>0</v>
      </c>
    </row>
    <row r="1740" customFormat="false" ht="15" hidden="false" customHeight="false" outlineLevel="0" collapsed="false">
      <c r="A1740" s="43"/>
      <c r="B1740" s="44"/>
      <c r="C1740" s="44"/>
      <c r="D1740" s="44"/>
      <c r="E1740" s="44"/>
      <c r="F1740" s="44"/>
      <c r="G1740" s="44"/>
      <c r="H1740" s="46" t="str">
        <f aca="false">IF($A1740="","",IF(OR(NOT(ISNUMBER(E1740)),NOT(ISNUMBER(F1740))),"",MAX(0,E1740)*F1740))</f>
        <v/>
      </c>
      <c r="I1740" s="46" t="str">
        <f aca="false">IF($A1740="","",SUMIF($A$2:$A$5001,$A1740,$H$2:$H$5001))</f>
        <v/>
      </c>
      <c r="J1740" s="47" t="n">
        <f aca="false">IF($A1740="",0,IF(COUNTIF($A$2:A1740,$A1740)=1,1,0))</f>
        <v>0</v>
      </c>
      <c r="K1740" s="47" t="n">
        <f aca="false">IF(J1740=1,N(I1740)+ROW()/10000000,0)</f>
        <v>0</v>
      </c>
      <c r="L1740" s="47" t="str">
        <f aca="false">IF(AND(J1740=1,N(I1740)&gt;0),SUMIF($K$2:$K$5001,"&gt;="&amp;K1740,$I$2:$I$5001)/MAX(1,SUM($H$2:$H$5001)),"")</f>
        <v/>
      </c>
      <c r="M1740" s="47" t="str">
        <f aca="false">IF($A1740="","",INDEX($L$2:$L$5001,MATCH($A1740,$A$2:$A$5001,0)))</f>
        <v/>
      </c>
      <c r="N1740" s="48" t="str">
        <f aca="false">IF($A1740="","",IF(N(M1740)=0,"–",IF(M1740&lt;=Start!$D$20,"A",IF(M1740&lt;=Start!$D$21,"B","C"))))</f>
        <v/>
      </c>
      <c r="O1740" s="48" t="str">
        <f aca="false">IF($A1740="","",IF(NOT(ISNUMBER(F1740)),"Wert fehlt; ",IF(F1740&lt;=0,"Wert ist 0; ",""))&amp;IF(NOT(ISNUMBER(E1740)),"Bestand fehlt; ",IF(E1740&lt;0,"Bestand negativ; ",IF(E1740=0,"Nullbestand; ","")))&amp;IF(D1740="","Warengruppe fehlt; ","")&amp;IF(B1740="","Bezeichnung fehlt; ","")&amp;IF(COUNTIFS($A$2:$A$5001,$A1740,$C$2:$C$5001,C1740)&gt;1,"Artikel doppelt im selben Lager; ",""))</f>
        <v/>
      </c>
      <c r="P1740" s="47" t="n">
        <f aca="false">IF(OR($A1740="",D1740=""),0,IF(COUNTIF($D$2:D1740,D1740)=1,SUMIF($D$2:$D$5001,D1740,$H$2:$H$5001)+ROW()/10000000,0))</f>
        <v>0</v>
      </c>
      <c r="Q1740" s="47" t="n">
        <f aca="false">IF(OR($A1740="",C1740=""),0,IF(COUNTIF($C$2:C1740,C1740)=1,SUMIF($C$2:$C$5001,C1740,$H$2:$H$5001)+ROW()/10000000,0))</f>
        <v>0</v>
      </c>
    </row>
    <row r="1741" customFormat="false" ht="15" hidden="false" customHeight="false" outlineLevel="0" collapsed="false">
      <c r="A1741" s="43"/>
      <c r="B1741" s="44"/>
      <c r="C1741" s="44"/>
      <c r="D1741" s="44"/>
      <c r="E1741" s="44"/>
      <c r="F1741" s="44"/>
      <c r="G1741" s="44"/>
      <c r="H1741" s="46" t="str">
        <f aca="false">IF($A1741="","",IF(OR(NOT(ISNUMBER(E1741)),NOT(ISNUMBER(F1741))),"",MAX(0,E1741)*F1741))</f>
        <v/>
      </c>
      <c r="I1741" s="46" t="str">
        <f aca="false">IF($A1741="","",SUMIF($A$2:$A$5001,$A1741,$H$2:$H$5001))</f>
        <v/>
      </c>
      <c r="J1741" s="47" t="n">
        <f aca="false">IF($A1741="",0,IF(COUNTIF($A$2:A1741,$A1741)=1,1,0))</f>
        <v>0</v>
      </c>
      <c r="K1741" s="47" t="n">
        <f aca="false">IF(J1741=1,N(I1741)+ROW()/10000000,0)</f>
        <v>0</v>
      </c>
      <c r="L1741" s="47" t="str">
        <f aca="false">IF(AND(J1741=1,N(I1741)&gt;0),SUMIF($K$2:$K$5001,"&gt;="&amp;K1741,$I$2:$I$5001)/MAX(1,SUM($H$2:$H$5001)),"")</f>
        <v/>
      </c>
      <c r="M1741" s="47" t="str">
        <f aca="false">IF($A1741="","",INDEX($L$2:$L$5001,MATCH($A1741,$A$2:$A$5001,0)))</f>
        <v/>
      </c>
      <c r="N1741" s="48" t="str">
        <f aca="false">IF($A1741="","",IF(N(M1741)=0,"–",IF(M1741&lt;=Start!$D$20,"A",IF(M1741&lt;=Start!$D$21,"B","C"))))</f>
        <v/>
      </c>
      <c r="O1741" s="48" t="str">
        <f aca="false">IF($A1741="","",IF(NOT(ISNUMBER(F1741)),"Wert fehlt; ",IF(F1741&lt;=0,"Wert ist 0; ",""))&amp;IF(NOT(ISNUMBER(E1741)),"Bestand fehlt; ",IF(E1741&lt;0,"Bestand negativ; ",IF(E1741=0,"Nullbestand; ","")))&amp;IF(D1741="","Warengruppe fehlt; ","")&amp;IF(B1741="","Bezeichnung fehlt; ","")&amp;IF(COUNTIFS($A$2:$A$5001,$A1741,$C$2:$C$5001,C1741)&gt;1,"Artikel doppelt im selben Lager; ",""))</f>
        <v/>
      </c>
      <c r="P1741" s="47" t="n">
        <f aca="false">IF(OR($A1741="",D1741=""),0,IF(COUNTIF($D$2:D1741,D1741)=1,SUMIF($D$2:$D$5001,D1741,$H$2:$H$5001)+ROW()/10000000,0))</f>
        <v>0</v>
      </c>
      <c r="Q1741" s="47" t="n">
        <f aca="false">IF(OR($A1741="",C1741=""),0,IF(COUNTIF($C$2:C1741,C1741)=1,SUMIF($C$2:$C$5001,C1741,$H$2:$H$5001)+ROW()/10000000,0))</f>
        <v>0</v>
      </c>
    </row>
    <row r="1742" customFormat="false" ht="15" hidden="false" customHeight="false" outlineLevel="0" collapsed="false">
      <c r="A1742" s="43"/>
      <c r="B1742" s="44"/>
      <c r="C1742" s="44"/>
      <c r="D1742" s="44"/>
      <c r="E1742" s="44"/>
      <c r="F1742" s="44"/>
      <c r="G1742" s="44"/>
      <c r="H1742" s="46" t="str">
        <f aca="false">IF($A1742="","",IF(OR(NOT(ISNUMBER(E1742)),NOT(ISNUMBER(F1742))),"",MAX(0,E1742)*F1742))</f>
        <v/>
      </c>
      <c r="I1742" s="46" t="str">
        <f aca="false">IF($A1742="","",SUMIF($A$2:$A$5001,$A1742,$H$2:$H$5001))</f>
        <v/>
      </c>
      <c r="J1742" s="47" t="n">
        <f aca="false">IF($A1742="",0,IF(COUNTIF($A$2:A1742,$A1742)=1,1,0))</f>
        <v>0</v>
      </c>
      <c r="K1742" s="47" t="n">
        <f aca="false">IF(J1742=1,N(I1742)+ROW()/10000000,0)</f>
        <v>0</v>
      </c>
      <c r="L1742" s="47" t="str">
        <f aca="false">IF(AND(J1742=1,N(I1742)&gt;0),SUMIF($K$2:$K$5001,"&gt;="&amp;K1742,$I$2:$I$5001)/MAX(1,SUM($H$2:$H$5001)),"")</f>
        <v/>
      </c>
      <c r="M1742" s="47" t="str">
        <f aca="false">IF($A1742="","",INDEX($L$2:$L$5001,MATCH($A1742,$A$2:$A$5001,0)))</f>
        <v/>
      </c>
      <c r="N1742" s="48" t="str">
        <f aca="false">IF($A1742="","",IF(N(M1742)=0,"–",IF(M1742&lt;=Start!$D$20,"A",IF(M1742&lt;=Start!$D$21,"B","C"))))</f>
        <v/>
      </c>
      <c r="O1742" s="48" t="str">
        <f aca="false">IF($A1742="","",IF(NOT(ISNUMBER(F1742)),"Wert fehlt; ",IF(F1742&lt;=0,"Wert ist 0; ",""))&amp;IF(NOT(ISNUMBER(E1742)),"Bestand fehlt; ",IF(E1742&lt;0,"Bestand negativ; ",IF(E1742=0,"Nullbestand; ","")))&amp;IF(D1742="","Warengruppe fehlt; ","")&amp;IF(B1742="","Bezeichnung fehlt; ","")&amp;IF(COUNTIFS($A$2:$A$5001,$A1742,$C$2:$C$5001,C1742)&gt;1,"Artikel doppelt im selben Lager; ",""))</f>
        <v/>
      </c>
      <c r="P1742" s="47" t="n">
        <f aca="false">IF(OR($A1742="",D1742=""),0,IF(COUNTIF($D$2:D1742,D1742)=1,SUMIF($D$2:$D$5001,D1742,$H$2:$H$5001)+ROW()/10000000,0))</f>
        <v>0</v>
      </c>
      <c r="Q1742" s="47" t="n">
        <f aca="false">IF(OR($A1742="",C1742=""),0,IF(COUNTIF($C$2:C1742,C1742)=1,SUMIF($C$2:$C$5001,C1742,$H$2:$H$5001)+ROW()/10000000,0))</f>
        <v>0</v>
      </c>
    </row>
    <row r="1743" customFormat="false" ht="15" hidden="false" customHeight="false" outlineLevel="0" collapsed="false">
      <c r="A1743" s="43"/>
      <c r="B1743" s="44"/>
      <c r="C1743" s="44"/>
      <c r="D1743" s="44"/>
      <c r="E1743" s="44"/>
      <c r="F1743" s="44"/>
      <c r="G1743" s="44"/>
      <c r="H1743" s="46" t="str">
        <f aca="false">IF($A1743="","",IF(OR(NOT(ISNUMBER(E1743)),NOT(ISNUMBER(F1743))),"",MAX(0,E1743)*F1743))</f>
        <v/>
      </c>
      <c r="I1743" s="46" t="str">
        <f aca="false">IF($A1743="","",SUMIF($A$2:$A$5001,$A1743,$H$2:$H$5001))</f>
        <v/>
      </c>
      <c r="J1743" s="47" t="n">
        <f aca="false">IF($A1743="",0,IF(COUNTIF($A$2:A1743,$A1743)=1,1,0))</f>
        <v>0</v>
      </c>
      <c r="K1743" s="47" t="n">
        <f aca="false">IF(J1743=1,N(I1743)+ROW()/10000000,0)</f>
        <v>0</v>
      </c>
      <c r="L1743" s="47" t="str">
        <f aca="false">IF(AND(J1743=1,N(I1743)&gt;0),SUMIF($K$2:$K$5001,"&gt;="&amp;K1743,$I$2:$I$5001)/MAX(1,SUM($H$2:$H$5001)),"")</f>
        <v/>
      </c>
      <c r="M1743" s="47" t="str">
        <f aca="false">IF($A1743="","",INDEX($L$2:$L$5001,MATCH($A1743,$A$2:$A$5001,0)))</f>
        <v/>
      </c>
      <c r="N1743" s="48" t="str">
        <f aca="false">IF($A1743="","",IF(N(M1743)=0,"–",IF(M1743&lt;=Start!$D$20,"A",IF(M1743&lt;=Start!$D$21,"B","C"))))</f>
        <v/>
      </c>
      <c r="O1743" s="48" t="str">
        <f aca="false">IF($A1743="","",IF(NOT(ISNUMBER(F1743)),"Wert fehlt; ",IF(F1743&lt;=0,"Wert ist 0; ",""))&amp;IF(NOT(ISNUMBER(E1743)),"Bestand fehlt; ",IF(E1743&lt;0,"Bestand negativ; ",IF(E1743=0,"Nullbestand; ","")))&amp;IF(D1743="","Warengruppe fehlt; ","")&amp;IF(B1743="","Bezeichnung fehlt; ","")&amp;IF(COUNTIFS($A$2:$A$5001,$A1743,$C$2:$C$5001,C1743)&gt;1,"Artikel doppelt im selben Lager; ",""))</f>
        <v/>
      </c>
      <c r="P1743" s="47" t="n">
        <f aca="false">IF(OR($A1743="",D1743=""),0,IF(COUNTIF($D$2:D1743,D1743)=1,SUMIF($D$2:$D$5001,D1743,$H$2:$H$5001)+ROW()/10000000,0))</f>
        <v>0</v>
      </c>
      <c r="Q1743" s="47" t="n">
        <f aca="false">IF(OR($A1743="",C1743=""),0,IF(COUNTIF($C$2:C1743,C1743)=1,SUMIF($C$2:$C$5001,C1743,$H$2:$H$5001)+ROW()/10000000,0))</f>
        <v>0</v>
      </c>
    </row>
    <row r="1744" customFormat="false" ht="15" hidden="false" customHeight="false" outlineLevel="0" collapsed="false">
      <c r="A1744" s="43"/>
      <c r="B1744" s="44"/>
      <c r="C1744" s="44"/>
      <c r="D1744" s="44"/>
      <c r="E1744" s="44"/>
      <c r="F1744" s="44"/>
      <c r="G1744" s="44"/>
      <c r="H1744" s="46" t="str">
        <f aca="false">IF($A1744="","",IF(OR(NOT(ISNUMBER(E1744)),NOT(ISNUMBER(F1744))),"",MAX(0,E1744)*F1744))</f>
        <v/>
      </c>
      <c r="I1744" s="46" t="str">
        <f aca="false">IF($A1744="","",SUMIF($A$2:$A$5001,$A1744,$H$2:$H$5001))</f>
        <v/>
      </c>
      <c r="J1744" s="47" t="n">
        <f aca="false">IF($A1744="",0,IF(COUNTIF($A$2:A1744,$A1744)=1,1,0))</f>
        <v>0</v>
      </c>
      <c r="K1744" s="47" t="n">
        <f aca="false">IF(J1744=1,N(I1744)+ROW()/10000000,0)</f>
        <v>0</v>
      </c>
      <c r="L1744" s="47" t="str">
        <f aca="false">IF(AND(J1744=1,N(I1744)&gt;0),SUMIF($K$2:$K$5001,"&gt;="&amp;K1744,$I$2:$I$5001)/MAX(1,SUM($H$2:$H$5001)),"")</f>
        <v/>
      </c>
      <c r="M1744" s="47" t="str">
        <f aca="false">IF($A1744="","",INDEX($L$2:$L$5001,MATCH($A1744,$A$2:$A$5001,0)))</f>
        <v/>
      </c>
      <c r="N1744" s="48" t="str">
        <f aca="false">IF($A1744="","",IF(N(M1744)=0,"–",IF(M1744&lt;=Start!$D$20,"A",IF(M1744&lt;=Start!$D$21,"B","C"))))</f>
        <v/>
      </c>
      <c r="O1744" s="48" t="str">
        <f aca="false">IF($A1744="","",IF(NOT(ISNUMBER(F1744)),"Wert fehlt; ",IF(F1744&lt;=0,"Wert ist 0; ",""))&amp;IF(NOT(ISNUMBER(E1744)),"Bestand fehlt; ",IF(E1744&lt;0,"Bestand negativ; ",IF(E1744=0,"Nullbestand; ","")))&amp;IF(D1744="","Warengruppe fehlt; ","")&amp;IF(B1744="","Bezeichnung fehlt; ","")&amp;IF(COUNTIFS($A$2:$A$5001,$A1744,$C$2:$C$5001,C1744)&gt;1,"Artikel doppelt im selben Lager; ",""))</f>
        <v/>
      </c>
      <c r="P1744" s="47" t="n">
        <f aca="false">IF(OR($A1744="",D1744=""),0,IF(COUNTIF($D$2:D1744,D1744)=1,SUMIF($D$2:$D$5001,D1744,$H$2:$H$5001)+ROW()/10000000,0))</f>
        <v>0</v>
      </c>
      <c r="Q1744" s="47" t="n">
        <f aca="false">IF(OR($A1744="",C1744=""),0,IF(COUNTIF($C$2:C1744,C1744)=1,SUMIF($C$2:$C$5001,C1744,$H$2:$H$5001)+ROW()/10000000,0))</f>
        <v>0</v>
      </c>
    </row>
    <row r="1745" customFormat="false" ht="15" hidden="false" customHeight="false" outlineLevel="0" collapsed="false">
      <c r="A1745" s="43"/>
      <c r="B1745" s="44"/>
      <c r="C1745" s="44"/>
      <c r="D1745" s="44"/>
      <c r="E1745" s="44"/>
      <c r="F1745" s="44"/>
      <c r="G1745" s="44"/>
      <c r="H1745" s="46" t="str">
        <f aca="false">IF($A1745="","",IF(OR(NOT(ISNUMBER(E1745)),NOT(ISNUMBER(F1745))),"",MAX(0,E1745)*F1745))</f>
        <v/>
      </c>
      <c r="I1745" s="46" t="str">
        <f aca="false">IF($A1745="","",SUMIF($A$2:$A$5001,$A1745,$H$2:$H$5001))</f>
        <v/>
      </c>
      <c r="J1745" s="47" t="n">
        <f aca="false">IF($A1745="",0,IF(COUNTIF($A$2:A1745,$A1745)=1,1,0))</f>
        <v>0</v>
      </c>
      <c r="K1745" s="47" t="n">
        <f aca="false">IF(J1745=1,N(I1745)+ROW()/10000000,0)</f>
        <v>0</v>
      </c>
      <c r="L1745" s="47" t="str">
        <f aca="false">IF(AND(J1745=1,N(I1745)&gt;0),SUMIF($K$2:$K$5001,"&gt;="&amp;K1745,$I$2:$I$5001)/MAX(1,SUM($H$2:$H$5001)),"")</f>
        <v/>
      </c>
      <c r="M1745" s="47" t="str">
        <f aca="false">IF($A1745="","",INDEX($L$2:$L$5001,MATCH($A1745,$A$2:$A$5001,0)))</f>
        <v/>
      </c>
      <c r="N1745" s="48" t="str">
        <f aca="false">IF($A1745="","",IF(N(M1745)=0,"–",IF(M1745&lt;=Start!$D$20,"A",IF(M1745&lt;=Start!$D$21,"B","C"))))</f>
        <v/>
      </c>
      <c r="O1745" s="48" t="str">
        <f aca="false">IF($A1745="","",IF(NOT(ISNUMBER(F1745)),"Wert fehlt; ",IF(F1745&lt;=0,"Wert ist 0; ",""))&amp;IF(NOT(ISNUMBER(E1745)),"Bestand fehlt; ",IF(E1745&lt;0,"Bestand negativ; ",IF(E1745=0,"Nullbestand; ","")))&amp;IF(D1745="","Warengruppe fehlt; ","")&amp;IF(B1745="","Bezeichnung fehlt; ","")&amp;IF(COUNTIFS($A$2:$A$5001,$A1745,$C$2:$C$5001,C1745)&gt;1,"Artikel doppelt im selben Lager; ",""))</f>
        <v/>
      </c>
      <c r="P1745" s="47" t="n">
        <f aca="false">IF(OR($A1745="",D1745=""),0,IF(COUNTIF($D$2:D1745,D1745)=1,SUMIF($D$2:$D$5001,D1745,$H$2:$H$5001)+ROW()/10000000,0))</f>
        <v>0</v>
      </c>
      <c r="Q1745" s="47" t="n">
        <f aca="false">IF(OR($A1745="",C1745=""),0,IF(COUNTIF($C$2:C1745,C1745)=1,SUMIF($C$2:$C$5001,C1745,$H$2:$H$5001)+ROW()/10000000,0))</f>
        <v>0</v>
      </c>
    </row>
    <row r="1746" customFormat="false" ht="15" hidden="false" customHeight="false" outlineLevel="0" collapsed="false">
      <c r="A1746" s="43"/>
      <c r="B1746" s="44"/>
      <c r="C1746" s="44"/>
      <c r="D1746" s="44"/>
      <c r="E1746" s="44"/>
      <c r="F1746" s="44"/>
      <c r="G1746" s="44"/>
      <c r="H1746" s="46" t="str">
        <f aca="false">IF($A1746="","",IF(OR(NOT(ISNUMBER(E1746)),NOT(ISNUMBER(F1746))),"",MAX(0,E1746)*F1746))</f>
        <v/>
      </c>
      <c r="I1746" s="46" t="str">
        <f aca="false">IF($A1746="","",SUMIF($A$2:$A$5001,$A1746,$H$2:$H$5001))</f>
        <v/>
      </c>
      <c r="J1746" s="47" t="n">
        <f aca="false">IF($A1746="",0,IF(COUNTIF($A$2:A1746,$A1746)=1,1,0))</f>
        <v>0</v>
      </c>
      <c r="K1746" s="47" t="n">
        <f aca="false">IF(J1746=1,N(I1746)+ROW()/10000000,0)</f>
        <v>0</v>
      </c>
      <c r="L1746" s="47" t="str">
        <f aca="false">IF(AND(J1746=1,N(I1746)&gt;0),SUMIF($K$2:$K$5001,"&gt;="&amp;K1746,$I$2:$I$5001)/MAX(1,SUM($H$2:$H$5001)),"")</f>
        <v/>
      </c>
      <c r="M1746" s="47" t="str">
        <f aca="false">IF($A1746="","",INDEX($L$2:$L$5001,MATCH($A1746,$A$2:$A$5001,0)))</f>
        <v/>
      </c>
      <c r="N1746" s="48" t="str">
        <f aca="false">IF($A1746="","",IF(N(M1746)=0,"–",IF(M1746&lt;=Start!$D$20,"A",IF(M1746&lt;=Start!$D$21,"B","C"))))</f>
        <v/>
      </c>
      <c r="O1746" s="48" t="str">
        <f aca="false">IF($A1746="","",IF(NOT(ISNUMBER(F1746)),"Wert fehlt; ",IF(F1746&lt;=0,"Wert ist 0; ",""))&amp;IF(NOT(ISNUMBER(E1746)),"Bestand fehlt; ",IF(E1746&lt;0,"Bestand negativ; ",IF(E1746=0,"Nullbestand; ","")))&amp;IF(D1746="","Warengruppe fehlt; ","")&amp;IF(B1746="","Bezeichnung fehlt; ","")&amp;IF(COUNTIFS($A$2:$A$5001,$A1746,$C$2:$C$5001,C1746)&gt;1,"Artikel doppelt im selben Lager; ",""))</f>
        <v/>
      </c>
      <c r="P1746" s="47" t="n">
        <f aca="false">IF(OR($A1746="",D1746=""),0,IF(COUNTIF($D$2:D1746,D1746)=1,SUMIF($D$2:$D$5001,D1746,$H$2:$H$5001)+ROW()/10000000,0))</f>
        <v>0</v>
      </c>
      <c r="Q1746" s="47" t="n">
        <f aca="false">IF(OR($A1746="",C1746=""),0,IF(COUNTIF($C$2:C1746,C1746)=1,SUMIF($C$2:$C$5001,C1746,$H$2:$H$5001)+ROW()/10000000,0))</f>
        <v>0</v>
      </c>
    </row>
    <row r="1747" customFormat="false" ht="15" hidden="false" customHeight="false" outlineLevel="0" collapsed="false">
      <c r="A1747" s="43"/>
      <c r="B1747" s="44"/>
      <c r="C1747" s="44"/>
      <c r="D1747" s="44"/>
      <c r="E1747" s="44"/>
      <c r="F1747" s="44"/>
      <c r="G1747" s="44"/>
      <c r="H1747" s="46" t="str">
        <f aca="false">IF($A1747="","",IF(OR(NOT(ISNUMBER(E1747)),NOT(ISNUMBER(F1747))),"",MAX(0,E1747)*F1747))</f>
        <v/>
      </c>
      <c r="I1747" s="46" t="str">
        <f aca="false">IF($A1747="","",SUMIF($A$2:$A$5001,$A1747,$H$2:$H$5001))</f>
        <v/>
      </c>
      <c r="J1747" s="47" t="n">
        <f aca="false">IF($A1747="",0,IF(COUNTIF($A$2:A1747,$A1747)=1,1,0))</f>
        <v>0</v>
      </c>
      <c r="K1747" s="47" t="n">
        <f aca="false">IF(J1747=1,N(I1747)+ROW()/10000000,0)</f>
        <v>0</v>
      </c>
      <c r="L1747" s="47" t="str">
        <f aca="false">IF(AND(J1747=1,N(I1747)&gt;0),SUMIF($K$2:$K$5001,"&gt;="&amp;K1747,$I$2:$I$5001)/MAX(1,SUM($H$2:$H$5001)),"")</f>
        <v/>
      </c>
      <c r="M1747" s="47" t="str">
        <f aca="false">IF($A1747="","",INDEX($L$2:$L$5001,MATCH($A1747,$A$2:$A$5001,0)))</f>
        <v/>
      </c>
      <c r="N1747" s="48" t="str">
        <f aca="false">IF($A1747="","",IF(N(M1747)=0,"–",IF(M1747&lt;=Start!$D$20,"A",IF(M1747&lt;=Start!$D$21,"B","C"))))</f>
        <v/>
      </c>
      <c r="O1747" s="48" t="str">
        <f aca="false">IF($A1747="","",IF(NOT(ISNUMBER(F1747)),"Wert fehlt; ",IF(F1747&lt;=0,"Wert ist 0; ",""))&amp;IF(NOT(ISNUMBER(E1747)),"Bestand fehlt; ",IF(E1747&lt;0,"Bestand negativ; ",IF(E1747=0,"Nullbestand; ","")))&amp;IF(D1747="","Warengruppe fehlt; ","")&amp;IF(B1747="","Bezeichnung fehlt; ","")&amp;IF(COUNTIFS($A$2:$A$5001,$A1747,$C$2:$C$5001,C1747)&gt;1,"Artikel doppelt im selben Lager; ",""))</f>
        <v/>
      </c>
      <c r="P1747" s="47" t="n">
        <f aca="false">IF(OR($A1747="",D1747=""),0,IF(COUNTIF($D$2:D1747,D1747)=1,SUMIF($D$2:$D$5001,D1747,$H$2:$H$5001)+ROW()/10000000,0))</f>
        <v>0</v>
      </c>
      <c r="Q1747" s="47" t="n">
        <f aca="false">IF(OR($A1747="",C1747=""),0,IF(COUNTIF($C$2:C1747,C1747)=1,SUMIF($C$2:$C$5001,C1747,$H$2:$H$5001)+ROW()/10000000,0))</f>
        <v>0</v>
      </c>
    </row>
    <row r="1748" customFormat="false" ht="15" hidden="false" customHeight="false" outlineLevel="0" collapsed="false">
      <c r="A1748" s="43"/>
      <c r="B1748" s="44"/>
      <c r="C1748" s="44"/>
      <c r="D1748" s="44"/>
      <c r="E1748" s="44"/>
      <c r="F1748" s="44"/>
      <c r="G1748" s="44"/>
      <c r="H1748" s="46" t="str">
        <f aca="false">IF($A1748="","",IF(OR(NOT(ISNUMBER(E1748)),NOT(ISNUMBER(F1748))),"",MAX(0,E1748)*F1748))</f>
        <v/>
      </c>
      <c r="I1748" s="46" t="str">
        <f aca="false">IF($A1748="","",SUMIF($A$2:$A$5001,$A1748,$H$2:$H$5001))</f>
        <v/>
      </c>
      <c r="J1748" s="47" t="n">
        <f aca="false">IF($A1748="",0,IF(COUNTIF($A$2:A1748,$A1748)=1,1,0))</f>
        <v>0</v>
      </c>
      <c r="K1748" s="47" t="n">
        <f aca="false">IF(J1748=1,N(I1748)+ROW()/10000000,0)</f>
        <v>0</v>
      </c>
      <c r="L1748" s="47" t="str">
        <f aca="false">IF(AND(J1748=1,N(I1748)&gt;0),SUMIF($K$2:$K$5001,"&gt;="&amp;K1748,$I$2:$I$5001)/MAX(1,SUM($H$2:$H$5001)),"")</f>
        <v/>
      </c>
      <c r="M1748" s="47" t="str">
        <f aca="false">IF($A1748="","",INDEX($L$2:$L$5001,MATCH($A1748,$A$2:$A$5001,0)))</f>
        <v/>
      </c>
      <c r="N1748" s="48" t="str">
        <f aca="false">IF($A1748="","",IF(N(M1748)=0,"–",IF(M1748&lt;=Start!$D$20,"A",IF(M1748&lt;=Start!$D$21,"B","C"))))</f>
        <v/>
      </c>
      <c r="O1748" s="48" t="str">
        <f aca="false">IF($A1748="","",IF(NOT(ISNUMBER(F1748)),"Wert fehlt; ",IF(F1748&lt;=0,"Wert ist 0; ",""))&amp;IF(NOT(ISNUMBER(E1748)),"Bestand fehlt; ",IF(E1748&lt;0,"Bestand negativ; ",IF(E1748=0,"Nullbestand; ","")))&amp;IF(D1748="","Warengruppe fehlt; ","")&amp;IF(B1748="","Bezeichnung fehlt; ","")&amp;IF(COUNTIFS($A$2:$A$5001,$A1748,$C$2:$C$5001,C1748)&gt;1,"Artikel doppelt im selben Lager; ",""))</f>
        <v/>
      </c>
      <c r="P1748" s="47" t="n">
        <f aca="false">IF(OR($A1748="",D1748=""),0,IF(COUNTIF($D$2:D1748,D1748)=1,SUMIF($D$2:$D$5001,D1748,$H$2:$H$5001)+ROW()/10000000,0))</f>
        <v>0</v>
      </c>
      <c r="Q1748" s="47" t="n">
        <f aca="false">IF(OR($A1748="",C1748=""),0,IF(COUNTIF($C$2:C1748,C1748)=1,SUMIF($C$2:$C$5001,C1748,$H$2:$H$5001)+ROW()/10000000,0))</f>
        <v>0</v>
      </c>
    </row>
    <row r="1749" customFormat="false" ht="15" hidden="false" customHeight="false" outlineLevel="0" collapsed="false">
      <c r="A1749" s="43"/>
      <c r="B1749" s="44"/>
      <c r="C1749" s="44"/>
      <c r="D1749" s="44"/>
      <c r="E1749" s="44"/>
      <c r="F1749" s="44"/>
      <c r="G1749" s="44"/>
      <c r="H1749" s="46" t="str">
        <f aca="false">IF($A1749="","",IF(OR(NOT(ISNUMBER(E1749)),NOT(ISNUMBER(F1749))),"",MAX(0,E1749)*F1749))</f>
        <v/>
      </c>
      <c r="I1749" s="46" t="str">
        <f aca="false">IF($A1749="","",SUMIF($A$2:$A$5001,$A1749,$H$2:$H$5001))</f>
        <v/>
      </c>
      <c r="J1749" s="47" t="n">
        <f aca="false">IF($A1749="",0,IF(COUNTIF($A$2:A1749,$A1749)=1,1,0))</f>
        <v>0</v>
      </c>
      <c r="K1749" s="47" t="n">
        <f aca="false">IF(J1749=1,N(I1749)+ROW()/10000000,0)</f>
        <v>0</v>
      </c>
      <c r="L1749" s="47" t="str">
        <f aca="false">IF(AND(J1749=1,N(I1749)&gt;0),SUMIF($K$2:$K$5001,"&gt;="&amp;K1749,$I$2:$I$5001)/MAX(1,SUM($H$2:$H$5001)),"")</f>
        <v/>
      </c>
      <c r="M1749" s="47" t="str">
        <f aca="false">IF($A1749="","",INDEX($L$2:$L$5001,MATCH($A1749,$A$2:$A$5001,0)))</f>
        <v/>
      </c>
      <c r="N1749" s="48" t="str">
        <f aca="false">IF($A1749="","",IF(N(M1749)=0,"–",IF(M1749&lt;=Start!$D$20,"A",IF(M1749&lt;=Start!$D$21,"B","C"))))</f>
        <v/>
      </c>
      <c r="O1749" s="48" t="str">
        <f aca="false">IF($A1749="","",IF(NOT(ISNUMBER(F1749)),"Wert fehlt; ",IF(F1749&lt;=0,"Wert ist 0; ",""))&amp;IF(NOT(ISNUMBER(E1749)),"Bestand fehlt; ",IF(E1749&lt;0,"Bestand negativ; ",IF(E1749=0,"Nullbestand; ","")))&amp;IF(D1749="","Warengruppe fehlt; ","")&amp;IF(B1749="","Bezeichnung fehlt; ","")&amp;IF(COUNTIFS($A$2:$A$5001,$A1749,$C$2:$C$5001,C1749)&gt;1,"Artikel doppelt im selben Lager; ",""))</f>
        <v/>
      </c>
      <c r="P1749" s="47" t="n">
        <f aca="false">IF(OR($A1749="",D1749=""),0,IF(COUNTIF($D$2:D1749,D1749)=1,SUMIF($D$2:$D$5001,D1749,$H$2:$H$5001)+ROW()/10000000,0))</f>
        <v>0</v>
      </c>
      <c r="Q1749" s="47" t="n">
        <f aca="false">IF(OR($A1749="",C1749=""),0,IF(COUNTIF($C$2:C1749,C1749)=1,SUMIF($C$2:$C$5001,C1749,$H$2:$H$5001)+ROW()/10000000,0))</f>
        <v>0</v>
      </c>
    </row>
    <row r="1750" customFormat="false" ht="15" hidden="false" customHeight="false" outlineLevel="0" collapsed="false">
      <c r="A1750" s="43"/>
      <c r="B1750" s="44"/>
      <c r="C1750" s="44"/>
      <c r="D1750" s="44"/>
      <c r="E1750" s="44"/>
      <c r="F1750" s="44"/>
      <c r="G1750" s="44"/>
      <c r="H1750" s="46" t="str">
        <f aca="false">IF($A1750="","",IF(OR(NOT(ISNUMBER(E1750)),NOT(ISNUMBER(F1750))),"",MAX(0,E1750)*F1750))</f>
        <v/>
      </c>
      <c r="I1750" s="46" t="str">
        <f aca="false">IF($A1750="","",SUMIF($A$2:$A$5001,$A1750,$H$2:$H$5001))</f>
        <v/>
      </c>
      <c r="J1750" s="47" t="n">
        <f aca="false">IF($A1750="",0,IF(COUNTIF($A$2:A1750,$A1750)=1,1,0))</f>
        <v>0</v>
      </c>
      <c r="K1750" s="47" t="n">
        <f aca="false">IF(J1750=1,N(I1750)+ROW()/10000000,0)</f>
        <v>0</v>
      </c>
      <c r="L1750" s="47" t="str">
        <f aca="false">IF(AND(J1750=1,N(I1750)&gt;0),SUMIF($K$2:$K$5001,"&gt;="&amp;K1750,$I$2:$I$5001)/MAX(1,SUM($H$2:$H$5001)),"")</f>
        <v/>
      </c>
      <c r="M1750" s="47" t="str">
        <f aca="false">IF($A1750="","",INDEX($L$2:$L$5001,MATCH($A1750,$A$2:$A$5001,0)))</f>
        <v/>
      </c>
      <c r="N1750" s="48" t="str">
        <f aca="false">IF($A1750="","",IF(N(M1750)=0,"–",IF(M1750&lt;=Start!$D$20,"A",IF(M1750&lt;=Start!$D$21,"B","C"))))</f>
        <v/>
      </c>
      <c r="O1750" s="48" t="str">
        <f aca="false">IF($A1750="","",IF(NOT(ISNUMBER(F1750)),"Wert fehlt; ",IF(F1750&lt;=0,"Wert ist 0; ",""))&amp;IF(NOT(ISNUMBER(E1750)),"Bestand fehlt; ",IF(E1750&lt;0,"Bestand negativ; ",IF(E1750=0,"Nullbestand; ","")))&amp;IF(D1750="","Warengruppe fehlt; ","")&amp;IF(B1750="","Bezeichnung fehlt; ","")&amp;IF(COUNTIFS($A$2:$A$5001,$A1750,$C$2:$C$5001,C1750)&gt;1,"Artikel doppelt im selben Lager; ",""))</f>
        <v/>
      </c>
      <c r="P1750" s="47" t="n">
        <f aca="false">IF(OR($A1750="",D1750=""),0,IF(COUNTIF($D$2:D1750,D1750)=1,SUMIF($D$2:$D$5001,D1750,$H$2:$H$5001)+ROW()/10000000,0))</f>
        <v>0</v>
      </c>
      <c r="Q1750" s="47" t="n">
        <f aca="false">IF(OR($A1750="",C1750=""),0,IF(COUNTIF($C$2:C1750,C1750)=1,SUMIF($C$2:$C$5001,C1750,$H$2:$H$5001)+ROW()/10000000,0))</f>
        <v>0</v>
      </c>
    </row>
    <row r="1751" customFormat="false" ht="15" hidden="false" customHeight="false" outlineLevel="0" collapsed="false">
      <c r="A1751" s="43"/>
      <c r="B1751" s="44"/>
      <c r="C1751" s="44"/>
      <c r="D1751" s="44"/>
      <c r="E1751" s="44"/>
      <c r="F1751" s="44"/>
      <c r="G1751" s="44"/>
      <c r="H1751" s="46" t="str">
        <f aca="false">IF($A1751="","",IF(OR(NOT(ISNUMBER(E1751)),NOT(ISNUMBER(F1751))),"",MAX(0,E1751)*F1751))</f>
        <v/>
      </c>
      <c r="I1751" s="46" t="str">
        <f aca="false">IF($A1751="","",SUMIF($A$2:$A$5001,$A1751,$H$2:$H$5001))</f>
        <v/>
      </c>
      <c r="J1751" s="47" t="n">
        <f aca="false">IF($A1751="",0,IF(COUNTIF($A$2:A1751,$A1751)=1,1,0))</f>
        <v>0</v>
      </c>
      <c r="K1751" s="47" t="n">
        <f aca="false">IF(J1751=1,N(I1751)+ROW()/10000000,0)</f>
        <v>0</v>
      </c>
      <c r="L1751" s="47" t="str">
        <f aca="false">IF(AND(J1751=1,N(I1751)&gt;0),SUMIF($K$2:$K$5001,"&gt;="&amp;K1751,$I$2:$I$5001)/MAX(1,SUM($H$2:$H$5001)),"")</f>
        <v/>
      </c>
      <c r="M1751" s="47" t="str">
        <f aca="false">IF($A1751="","",INDEX($L$2:$L$5001,MATCH($A1751,$A$2:$A$5001,0)))</f>
        <v/>
      </c>
      <c r="N1751" s="48" t="str">
        <f aca="false">IF($A1751="","",IF(N(M1751)=0,"–",IF(M1751&lt;=Start!$D$20,"A",IF(M1751&lt;=Start!$D$21,"B","C"))))</f>
        <v/>
      </c>
      <c r="O1751" s="48" t="str">
        <f aca="false">IF($A1751="","",IF(NOT(ISNUMBER(F1751)),"Wert fehlt; ",IF(F1751&lt;=0,"Wert ist 0; ",""))&amp;IF(NOT(ISNUMBER(E1751)),"Bestand fehlt; ",IF(E1751&lt;0,"Bestand negativ; ",IF(E1751=0,"Nullbestand; ","")))&amp;IF(D1751="","Warengruppe fehlt; ","")&amp;IF(B1751="","Bezeichnung fehlt; ","")&amp;IF(COUNTIFS($A$2:$A$5001,$A1751,$C$2:$C$5001,C1751)&gt;1,"Artikel doppelt im selben Lager; ",""))</f>
        <v/>
      </c>
      <c r="P1751" s="47" t="n">
        <f aca="false">IF(OR($A1751="",D1751=""),0,IF(COUNTIF($D$2:D1751,D1751)=1,SUMIF($D$2:$D$5001,D1751,$H$2:$H$5001)+ROW()/10000000,0))</f>
        <v>0</v>
      </c>
      <c r="Q1751" s="47" t="n">
        <f aca="false">IF(OR($A1751="",C1751=""),0,IF(COUNTIF($C$2:C1751,C1751)=1,SUMIF($C$2:$C$5001,C1751,$H$2:$H$5001)+ROW()/10000000,0))</f>
        <v>0</v>
      </c>
    </row>
    <row r="1752" customFormat="false" ht="15" hidden="false" customHeight="false" outlineLevel="0" collapsed="false">
      <c r="A1752" s="43"/>
      <c r="B1752" s="44"/>
      <c r="C1752" s="44"/>
      <c r="D1752" s="44"/>
      <c r="E1752" s="44"/>
      <c r="F1752" s="44"/>
      <c r="G1752" s="44"/>
      <c r="H1752" s="46" t="str">
        <f aca="false">IF($A1752="","",IF(OR(NOT(ISNUMBER(E1752)),NOT(ISNUMBER(F1752))),"",MAX(0,E1752)*F1752))</f>
        <v/>
      </c>
      <c r="I1752" s="46" t="str">
        <f aca="false">IF($A1752="","",SUMIF($A$2:$A$5001,$A1752,$H$2:$H$5001))</f>
        <v/>
      </c>
      <c r="J1752" s="47" t="n">
        <f aca="false">IF($A1752="",0,IF(COUNTIF($A$2:A1752,$A1752)=1,1,0))</f>
        <v>0</v>
      </c>
      <c r="K1752" s="47" t="n">
        <f aca="false">IF(J1752=1,N(I1752)+ROW()/10000000,0)</f>
        <v>0</v>
      </c>
      <c r="L1752" s="47" t="str">
        <f aca="false">IF(AND(J1752=1,N(I1752)&gt;0),SUMIF($K$2:$K$5001,"&gt;="&amp;K1752,$I$2:$I$5001)/MAX(1,SUM($H$2:$H$5001)),"")</f>
        <v/>
      </c>
      <c r="M1752" s="47" t="str">
        <f aca="false">IF($A1752="","",INDEX($L$2:$L$5001,MATCH($A1752,$A$2:$A$5001,0)))</f>
        <v/>
      </c>
      <c r="N1752" s="48" t="str">
        <f aca="false">IF($A1752="","",IF(N(M1752)=0,"–",IF(M1752&lt;=Start!$D$20,"A",IF(M1752&lt;=Start!$D$21,"B","C"))))</f>
        <v/>
      </c>
      <c r="O1752" s="48" t="str">
        <f aca="false">IF($A1752="","",IF(NOT(ISNUMBER(F1752)),"Wert fehlt; ",IF(F1752&lt;=0,"Wert ist 0; ",""))&amp;IF(NOT(ISNUMBER(E1752)),"Bestand fehlt; ",IF(E1752&lt;0,"Bestand negativ; ",IF(E1752=0,"Nullbestand; ","")))&amp;IF(D1752="","Warengruppe fehlt; ","")&amp;IF(B1752="","Bezeichnung fehlt; ","")&amp;IF(COUNTIFS($A$2:$A$5001,$A1752,$C$2:$C$5001,C1752)&gt;1,"Artikel doppelt im selben Lager; ",""))</f>
        <v/>
      </c>
      <c r="P1752" s="47" t="n">
        <f aca="false">IF(OR($A1752="",D1752=""),0,IF(COUNTIF($D$2:D1752,D1752)=1,SUMIF($D$2:$D$5001,D1752,$H$2:$H$5001)+ROW()/10000000,0))</f>
        <v>0</v>
      </c>
      <c r="Q1752" s="47" t="n">
        <f aca="false">IF(OR($A1752="",C1752=""),0,IF(COUNTIF($C$2:C1752,C1752)=1,SUMIF($C$2:$C$5001,C1752,$H$2:$H$5001)+ROW()/10000000,0))</f>
        <v>0</v>
      </c>
    </row>
    <row r="1753" customFormat="false" ht="15" hidden="false" customHeight="false" outlineLevel="0" collapsed="false">
      <c r="A1753" s="43"/>
      <c r="B1753" s="44"/>
      <c r="C1753" s="44"/>
      <c r="D1753" s="44"/>
      <c r="E1753" s="44"/>
      <c r="F1753" s="44"/>
      <c r="G1753" s="44"/>
      <c r="H1753" s="46" t="str">
        <f aca="false">IF($A1753="","",IF(OR(NOT(ISNUMBER(E1753)),NOT(ISNUMBER(F1753))),"",MAX(0,E1753)*F1753))</f>
        <v/>
      </c>
      <c r="I1753" s="46" t="str">
        <f aca="false">IF($A1753="","",SUMIF($A$2:$A$5001,$A1753,$H$2:$H$5001))</f>
        <v/>
      </c>
      <c r="J1753" s="47" t="n">
        <f aca="false">IF($A1753="",0,IF(COUNTIF($A$2:A1753,$A1753)=1,1,0))</f>
        <v>0</v>
      </c>
      <c r="K1753" s="47" t="n">
        <f aca="false">IF(J1753=1,N(I1753)+ROW()/10000000,0)</f>
        <v>0</v>
      </c>
      <c r="L1753" s="47" t="str">
        <f aca="false">IF(AND(J1753=1,N(I1753)&gt;0),SUMIF($K$2:$K$5001,"&gt;="&amp;K1753,$I$2:$I$5001)/MAX(1,SUM($H$2:$H$5001)),"")</f>
        <v/>
      </c>
      <c r="M1753" s="47" t="str">
        <f aca="false">IF($A1753="","",INDEX($L$2:$L$5001,MATCH($A1753,$A$2:$A$5001,0)))</f>
        <v/>
      </c>
      <c r="N1753" s="48" t="str">
        <f aca="false">IF($A1753="","",IF(N(M1753)=0,"–",IF(M1753&lt;=Start!$D$20,"A",IF(M1753&lt;=Start!$D$21,"B","C"))))</f>
        <v/>
      </c>
      <c r="O1753" s="48" t="str">
        <f aca="false">IF($A1753="","",IF(NOT(ISNUMBER(F1753)),"Wert fehlt; ",IF(F1753&lt;=0,"Wert ist 0; ",""))&amp;IF(NOT(ISNUMBER(E1753)),"Bestand fehlt; ",IF(E1753&lt;0,"Bestand negativ; ",IF(E1753=0,"Nullbestand; ","")))&amp;IF(D1753="","Warengruppe fehlt; ","")&amp;IF(B1753="","Bezeichnung fehlt; ","")&amp;IF(COUNTIFS($A$2:$A$5001,$A1753,$C$2:$C$5001,C1753)&gt;1,"Artikel doppelt im selben Lager; ",""))</f>
        <v/>
      </c>
      <c r="P1753" s="47" t="n">
        <f aca="false">IF(OR($A1753="",D1753=""),0,IF(COUNTIF($D$2:D1753,D1753)=1,SUMIF($D$2:$D$5001,D1753,$H$2:$H$5001)+ROW()/10000000,0))</f>
        <v>0</v>
      </c>
      <c r="Q1753" s="47" t="n">
        <f aca="false">IF(OR($A1753="",C1753=""),0,IF(COUNTIF($C$2:C1753,C1753)=1,SUMIF($C$2:$C$5001,C1753,$H$2:$H$5001)+ROW()/10000000,0))</f>
        <v>0</v>
      </c>
    </row>
    <row r="1754" customFormat="false" ht="15" hidden="false" customHeight="false" outlineLevel="0" collapsed="false">
      <c r="A1754" s="43"/>
      <c r="B1754" s="44"/>
      <c r="C1754" s="44"/>
      <c r="D1754" s="44"/>
      <c r="E1754" s="44"/>
      <c r="F1754" s="44"/>
      <c r="G1754" s="44"/>
      <c r="H1754" s="46" t="str">
        <f aca="false">IF($A1754="","",IF(OR(NOT(ISNUMBER(E1754)),NOT(ISNUMBER(F1754))),"",MAX(0,E1754)*F1754))</f>
        <v/>
      </c>
      <c r="I1754" s="46" t="str">
        <f aca="false">IF($A1754="","",SUMIF($A$2:$A$5001,$A1754,$H$2:$H$5001))</f>
        <v/>
      </c>
      <c r="J1754" s="47" t="n">
        <f aca="false">IF($A1754="",0,IF(COUNTIF($A$2:A1754,$A1754)=1,1,0))</f>
        <v>0</v>
      </c>
      <c r="K1754" s="47" t="n">
        <f aca="false">IF(J1754=1,N(I1754)+ROW()/10000000,0)</f>
        <v>0</v>
      </c>
      <c r="L1754" s="47" t="str">
        <f aca="false">IF(AND(J1754=1,N(I1754)&gt;0),SUMIF($K$2:$K$5001,"&gt;="&amp;K1754,$I$2:$I$5001)/MAX(1,SUM($H$2:$H$5001)),"")</f>
        <v/>
      </c>
      <c r="M1754" s="47" t="str">
        <f aca="false">IF($A1754="","",INDEX($L$2:$L$5001,MATCH($A1754,$A$2:$A$5001,0)))</f>
        <v/>
      </c>
      <c r="N1754" s="48" t="str">
        <f aca="false">IF($A1754="","",IF(N(M1754)=0,"–",IF(M1754&lt;=Start!$D$20,"A",IF(M1754&lt;=Start!$D$21,"B","C"))))</f>
        <v/>
      </c>
      <c r="O1754" s="48" t="str">
        <f aca="false">IF($A1754="","",IF(NOT(ISNUMBER(F1754)),"Wert fehlt; ",IF(F1754&lt;=0,"Wert ist 0; ",""))&amp;IF(NOT(ISNUMBER(E1754)),"Bestand fehlt; ",IF(E1754&lt;0,"Bestand negativ; ",IF(E1754=0,"Nullbestand; ","")))&amp;IF(D1754="","Warengruppe fehlt; ","")&amp;IF(B1754="","Bezeichnung fehlt; ","")&amp;IF(COUNTIFS($A$2:$A$5001,$A1754,$C$2:$C$5001,C1754)&gt;1,"Artikel doppelt im selben Lager; ",""))</f>
        <v/>
      </c>
      <c r="P1754" s="47" t="n">
        <f aca="false">IF(OR($A1754="",D1754=""),0,IF(COUNTIF($D$2:D1754,D1754)=1,SUMIF($D$2:$D$5001,D1754,$H$2:$H$5001)+ROW()/10000000,0))</f>
        <v>0</v>
      </c>
      <c r="Q1754" s="47" t="n">
        <f aca="false">IF(OR($A1754="",C1754=""),0,IF(COUNTIF($C$2:C1754,C1754)=1,SUMIF($C$2:$C$5001,C1754,$H$2:$H$5001)+ROW()/10000000,0))</f>
        <v>0</v>
      </c>
    </row>
    <row r="1755" customFormat="false" ht="15" hidden="false" customHeight="false" outlineLevel="0" collapsed="false">
      <c r="A1755" s="43"/>
      <c r="B1755" s="44"/>
      <c r="C1755" s="44"/>
      <c r="D1755" s="44"/>
      <c r="E1755" s="44"/>
      <c r="F1755" s="44"/>
      <c r="G1755" s="44"/>
      <c r="H1755" s="46" t="str">
        <f aca="false">IF($A1755="","",IF(OR(NOT(ISNUMBER(E1755)),NOT(ISNUMBER(F1755))),"",MAX(0,E1755)*F1755))</f>
        <v/>
      </c>
      <c r="I1755" s="46" t="str">
        <f aca="false">IF($A1755="","",SUMIF($A$2:$A$5001,$A1755,$H$2:$H$5001))</f>
        <v/>
      </c>
      <c r="J1755" s="47" t="n">
        <f aca="false">IF($A1755="",0,IF(COUNTIF($A$2:A1755,$A1755)=1,1,0))</f>
        <v>0</v>
      </c>
      <c r="K1755" s="47" t="n">
        <f aca="false">IF(J1755=1,N(I1755)+ROW()/10000000,0)</f>
        <v>0</v>
      </c>
      <c r="L1755" s="47" t="str">
        <f aca="false">IF(AND(J1755=1,N(I1755)&gt;0),SUMIF($K$2:$K$5001,"&gt;="&amp;K1755,$I$2:$I$5001)/MAX(1,SUM($H$2:$H$5001)),"")</f>
        <v/>
      </c>
      <c r="M1755" s="47" t="str">
        <f aca="false">IF($A1755="","",INDEX($L$2:$L$5001,MATCH($A1755,$A$2:$A$5001,0)))</f>
        <v/>
      </c>
      <c r="N1755" s="48" t="str">
        <f aca="false">IF($A1755="","",IF(N(M1755)=0,"–",IF(M1755&lt;=Start!$D$20,"A",IF(M1755&lt;=Start!$D$21,"B","C"))))</f>
        <v/>
      </c>
      <c r="O1755" s="48" t="str">
        <f aca="false">IF($A1755="","",IF(NOT(ISNUMBER(F1755)),"Wert fehlt; ",IF(F1755&lt;=0,"Wert ist 0; ",""))&amp;IF(NOT(ISNUMBER(E1755)),"Bestand fehlt; ",IF(E1755&lt;0,"Bestand negativ; ",IF(E1755=0,"Nullbestand; ","")))&amp;IF(D1755="","Warengruppe fehlt; ","")&amp;IF(B1755="","Bezeichnung fehlt; ","")&amp;IF(COUNTIFS($A$2:$A$5001,$A1755,$C$2:$C$5001,C1755)&gt;1,"Artikel doppelt im selben Lager; ",""))</f>
        <v/>
      </c>
      <c r="P1755" s="47" t="n">
        <f aca="false">IF(OR($A1755="",D1755=""),0,IF(COUNTIF($D$2:D1755,D1755)=1,SUMIF($D$2:$D$5001,D1755,$H$2:$H$5001)+ROW()/10000000,0))</f>
        <v>0</v>
      </c>
      <c r="Q1755" s="47" t="n">
        <f aca="false">IF(OR($A1755="",C1755=""),0,IF(COUNTIF($C$2:C1755,C1755)=1,SUMIF($C$2:$C$5001,C1755,$H$2:$H$5001)+ROW()/10000000,0))</f>
        <v>0</v>
      </c>
    </row>
    <row r="1756" customFormat="false" ht="15" hidden="false" customHeight="false" outlineLevel="0" collapsed="false">
      <c r="A1756" s="43"/>
      <c r="B1756" s="44"/>
      <c r="C1756" s="44"/>
      <c r="D1756" s="44"/>
      <c r="E1756" s="44"/>
      <c r="F1756" s="44"/>
      <c r="G1756" s="44"/>
      <c r="H1756" s="46" t="str">
        <f aca="false">IF($A1756="","",IF(OR(NOT(ISNUMBER(E1756)),NOT(ISNUMBER(F1756))),"",MAX(0,E1756)*F1756))</f>
        <v/>
      </c>
      <c r="I1756" s="46" t="str">
        <f aca="false">IF($A1756="","",SUMIF($A$2:$A$5001,$A1756,$H$2:$H$5001))</f>
        <v/>
      </c>
      <c r="J1756" s="47" t="n">
        <f aca="false">IF($A1756="",0,IF(COUNTIF($A$2:A1756,$A1756)=1,1,0))</f>
        <v>0</v>
      </c>
      <c r="K1756" s="47" t="n">
        <f aca="false">IF(J1756=1,N(I1756)+ROW()/10000000,0)</f>
        <v>0</v>
      </c>
      <c r="L1756" s="47" t="str">
        <f aca="false">IF(AND(J1756=1,N(I1756)&gt;0),SUMIF($K$2:$K$5001,"&gt;="&amp;K1756,$I$2:$I$5001)/MAX(1,SUM($H$2:$H$5001)),"")</f>
        <v/>
      </c>
      <c r="M1756" s="47" t="str">
        <f aca="false">IF($A1756="","",INDEX($L$2:$L$5001,MATCH($A1756,$A$2:$A$5001,0)))</f>
        <v/>
      </c>
      <c r="N1756" s="48" t="str">
        <f aca="false">IF($A1756="","",IF(N(M1756)=0,"–",IF(M1756&lt;=Start!$D$20,"A",IF(M1756&lt;=Start!$D$21,"B","C"))))</f>
        <v/>
      </c>
      <c r="O1756" s="48" t="str">
        <f aca="false">IF($A1756="","",IF(NOT(ISNUMBER(F1756)),"Wert fehlt; ",IF(F1756&lt;=0,"Wert ist 0; ",""))&amp;IF(NOT(ISNUMBER(E1756)),"Bestand fehlt; ",IF(E1756&lt;0,"Bestand negativ; ",IF(E1756=0,"Nullbestand; ","")))&amp;IF(D1756="","Warengruppe fehlt; ","")&amp;IF(B1756="","Bezeichnung fehlt; ","")&amp;IF(COUNTIFS($A$2:$A$5001,$A1756,$C$2:$C$5001,C1756)&gt;1,"Artikel doppelt im selben Lager; ",""))</f>
        <v/>
      </c>
      <c r="P1756" s="47" t="n">
        <f aca="false">IF(OR($A1756="",D1756=""),0,IF(COUNTIF($D$2:D1756,D1756)=1,SUMIF($D$2:$D$5001,D1756,$H$2:$H$5001)+ROW()/10000000,0))</f>
        <v>0</v>
      </c>
      <c r="Q1756" s="47" t="n">
        <f aca="false">IF(OR($A1756="",C1756=""),0,IF(COUNTIF($C$2:C1756,C1756)=1,SUMIF($C$2:$C$5001,C1756,$H$2:$H$5001)+ROW()/10000000,0))</f>
        <v>0</v>
      </c>
    </row>
    <row r="1757" customFormat="false" ht="15" hidden="false" customHeight="false" outlineLevel="0" collapsed="false">
      <c r="A1757" s="43"/>
      <c r="B1757" s="44"/>
      <c r="C1757" s="44"/>
      <c r="D1757" s="44"/>
      <c r="E1757" s="44"/>
      <c r="F1757" s="44"/>
      <c r="G1757" s="44"/>
      <c r="H1757" s="46" t="str">
        <f aca="false">IF($A1757="","",IF(OR(NOT(ISNUMBER(E1757)),NOT(ISNUMBER(F1757))),"",MAX(0,E1757)*F1757))</f>
        <v/>
      </c>
      <c r="I1757" s="46" t="str">
        <f aca="false">IF($A1757="","",SUMIF($A$2:$A$5001,$A1757,$H$2:$H$5001))</f>
        <v/>
      </c>
      <c r="J1757" s="47" t="n">
        <f aca="false">IF($A1757="",0,IF(COUNTIF($A$2:A1757,$A1757)=1,1,0))</f>
        <v>0</v>
      </c>
      <c r="K1757" s="47" t="n">
        <f aca="false">IF(J1757=1,N(I1757)+ROW()/10000000,0)</f>
        <v>0</v>
      </c>
      <c r="L1757" s="47" t="str">
        <f aca="false">IF(AND(J1757=1,N(I1757)&gt;0),SUMIF($K$2:$K$5001,"&gt;="&amp;K1757,$I$2:$I$5001)/MAX(1,SUM($H$2:$H$5001)),"")</f>
        <v/>
      </c>
      <c r="M1757" s="47" t="str">
        <f aca="false">IF($A1757="","",INDEX($L$2:$L$5001,MATCH($A1757,$A$2:$A$5001,0)))</f>
        <v/>
      </c>
      <c r="N1757" s="48" t="str">
        <f aca="false">IF($A1757="","",IF(N(M1757)=0,"–",IF(M1757&lt;=Start!$D$20,"A",IF(M1757&lt;=Start!$D$21,"B","C"))))</f>
        <v/>
      </c>
      <c r="O1757" s="48" t="str">
        <f aca="false">IF($A1757="","",IF(NOT(ISNUMBER(F1757)),"Wert fehlt; ",IF(F1757&lt;=0,"Wert ist 0; ",""))&amp;IF(NOT(ISNUMBER(E1757)),"Bestand fehlt; ",IF(E1757&lt;0,"Bestand negativ; ",IF(E1757=0,"Nullbestand; ","")))&amp;IF(D1757="","Warengruppe fehlt; ","")&amp;IF(B1757="","Bezeichnung fehlt; ","")&amp;IF(COUNTIFS($A$2:$A$5001,$A1757,$C$2:$C$5001,C1757)&gt;1,"Artikel doppelt im selben Lager; ",""))</f>
        <v/>
      </c>
      <c r="P1757" s="47" t="n">
        <f aca="false">IF(OR($A1757="",D1757=""),0,IF(COUNTIF($D$2:D1757,D1757)=1,SUMIF($D$2:$D$5001,D1757,$H$2:$H$5001)+ROW()/10000000,0))</f>
        <v>0</v>
      </c>
      <c r="Q1757" s="47" t="n">
        <f aca="false">IF(OR($A1757="",C1757=""),0,IF(COUNTIF($C$2:C1757,C1757)=1,SUMIF($C$2:$C$5001,C1757,$H$2:$H$5001)+ROW()/10000000,0))</f>
        <v>0</v>
      </c>
    </row>
    <row r="1758" customFormat="false" ht="15" hidden="false" customHeight="false" outlineLevel="0" collapsed="false">
      <c r="A1758" s="43"/>
      <c r="B1758" s="44"/>
      <c r="C1758" s="44"/>
      <c r="D1758" s="44"/>
      <c r="E1758" s="44"/>
      <c r="F1758" s="44"/>
      <c r="G1758" s="44"/>
      <c r="H1758" s="46" t="str">
        <f aca="false">IF($A1758="","",IF(OR(NOT(ISNUMBER(E1758)),NOT(ISNUMBER(F1758))),"",MAX(0,E1758)*F1758))</f>
        <v/>
      </c>
      <c r="I1758" s="46" t="str">
        <f aca="false">IF($A1758="","",SUMIF($A$2:$A$5001,$A1758,$H$2:$H$5001))</f>
        <v/>
      </c>
      <c r="J1758" s="47" t="n">
        <f aca="false">IF($A1758="",0,IF(COUNTIF($A$2:A1758,$A1758)=1,1,0))</f>
        <v>0</v>
      </c>
      <c r="K1758" s="47" t="n">
        <f aca="false">IF(J1758=1,N(I1758)+ROW()/10000000,0)</f>
        <v>0</v>
      </c>
      <c r="L1758" s="47" t="str">
        <f aca="false">IF(AND(J1758=1,N(I1758)&gt;0),SUMIF($K$2:$K$5001,"&gt;="&amp;K1758,$I$2:$I$5001)/MAX(1,SUM($H$2:$H$5001)),"")</f>
        <v/>
      </c>
      <c r="M1758" s="47" t="str">
        <f aca="false">IF($A1758="","",INDEX($L$2:$L$5001,MATCH($A1758,$A$2:$A$5001,0)))</f>
        <v/>
      </c>
      <c r="N1758" s="48" t="str">
        <f aca="false">IF($A1758="","",IF(N(M1758)=0,"–",IF(M1758&lt;=Start!$D$20,"A",IF(M1758&lt;=Start!$D$21,"B","C"))))</f>
        <v/>
      </c>
      <c r="O1758" s="48" t="str">
        <f aca="false">IF($A1758="","",IF(NOT(ISNUMBER(F1758)),"Wert fehlt; ",IF(F1758&lt;=0,"Wert ist 0; ",""))&amp;IF(NOT(ISNUMBER(E1758)),"Bestand fehlt; ",IF(E1758&lt;0,"Bestand negativ; ",IF(E1758=0,"Nullbestand; ","")))&amp;IF(D1758="","Warengruppe fehlt; ","")&amp;IF(B1758="","Bezeichnung fehlt; ","")&amp;IF(COUNTIFS($A$2:$A$5001,$A1758,$C$2:$C$5001,C1758)&gt;1,"Artikel doppelt im selben Lager; ",""))</f>
        <v/>
      </c>
      <c r="P1758" s="47" t="n">
        <f aca="false">IF(OR($A1758="",D1758=""),0,IF(COUNTIF($D$2:D1758,D1758)=1,SUMIF($D$2:$D$5001,D1758,$H$2:$H$5001)+ROW()/10000000,0))</f>
        <v>0</v>
      </c>
      <c r="Q1758" s="47" t="n">
        <f aca="false">IF(OR($A1758="",C1758=""),0,IF(COUNTIF($C$2:C1758,C1758)=1,SUMIF($C$2:$C$5001,C1758,$H$2:$H$5001)+ROW()/10000000,0))</f>
        <v>0</v>
      </c>
    </row>
    <row r="1759" customFormat="false" ht="15" hidden="false" customHeight="false" outlineLevel="0" collapsed="false">
      <c r="A1759" s="43"/>
      <c r="B1759" s="44"/>
      <c r="C1759" s="44"/>
      <c r="D1759" s="44"/>
      <c r="E1759" s="44"/>
      <c r="F1759" s="44"/>
      <c r="G1759" s="44"/>
      <c r="H1759" s="46" t="str">
        <f aca="false">IF($A1759="","",IF(OR(NOT(ISNUMBER(E1759)),NOT(ISNUMBER(F1759))),"",MAX(0,E1759)*F1759))</f>
        <v/>
      </c>
      <c r="I1759" s="46" t="str">
        <f aca="false">IF($A1759="","",SUMIF($A$2:$A$5001,$A1759,$H$2:$H$5001))</f>
        <v/>
      </c>
      <c r="J1759" s="47" t="n">
        <f aca="false">IF($A1759="",0,IF(COUNTIF($A$2:A1759,$A1759)=1,1,0))</f>
        <v>0</v>
      </c>
      <c r="K1759" s="47" t="n">
        <f aca="false">IF(J1759=1,N(I1759)+ROW()/10000000,0)</f>
        <v>0</v>
      </c>
      <c r="L1759" s="47" t="str">
        <f aca="false">IF(AND(J1759=1,N(I1759)&gt;0),SUMIF($K$2:$K$5001,"&gt;="&amp;K1759,$I$2:$I$5001)/MAX(1,SUM($H$2:$H$5001)),"")</f>
        <v/>
      </c>
      <c r="M1759" s="47" t="str">
        <f aca="false">IF($A1759="","",INDEX($L$2:$L$5001,MATCH($A1759,$A$2:$A$5001,0)))</f>
        <v/>
      </c>
      <c r="N1759" s="48" t="str">
        <f aca="false">IF($A1759="","",IF(N(M1759)=0,"–",IF(M1759&lt;=Start!$D$20,"A",IF(M1759&lt;=Start!$D$21,"B","C"))))</f>
        <v/>
      </c>
      <c r="O1759" s="48" t="str">
        <f aca="false">IF($A1759="","",IF(NOT(ISNUMBER(F1759)),"Wert fehlt; ",IF(F1759&lt;=0,"Wert ist 0; ",""))&amp;IF(NOT(ISNUMBER(E1759)),"Bestand fehlt; ",IF(E1759&lt;0,"Bestand negativ; ",IF(E1759=0,"Nullbestand; ","")))&amp;IF(D1759="","Warengruppe fehlt; ","")&amp;IF(B1759="","Bezeichnung fehlt; ","")&amp;IF(COUNTIFS($A$2:$A$5001,$A1759,$C$2:$C$5001,C1759)&gt;1,"Artikel doppelt im selben Lager; ",""))</f>
        <v/>
      </c>
      <c r="P1759" s="47" t="n">
        <f aca="false">IF(OR($A1759="",D1759=""),0,IF(COUNTIF($D$2:D1759,D1759)=1,SUMIF($D$2:$D$5001,D1759,$H$2:$H$5001)+ROW()/10000000,0))</f>
        <v>0</v>
      </c>
      <c r="Q1759" s="47" t="n">
        <f aca="false">IF(OR($A1759="",C1759=""),0,IF(COUNTIF($C$2:C1759,C1759)=1,SUMIF($C$2:$C$5001,C1759,$H$2:$H$5001)+ROW()/10000000,0))</f>
        <v>0</v>
      </c>
    </row>
    <row r="1760" customFormat="false" ht="15" hidden="false" customHeight="false" outlineLevel="0" collapsed="false">
      <c r="A1760" s="43"/>
      <c r="B1760" s="44"/>
      <c r="C1760" s="44"/>
      <c r="D1760" s="44"/>
      <c r="E1760" s="44"/>
      <c r="F1760" s="44"/>
      <c r="G1760" s="44"/>
      <c r="H1760" s="46" t="str">
        <f aca="false">IF($A1760="","",IF(OR(NOT(ISNUMBER(E1760)),NOT(ISNUMBER(F1760))),"",MAX(0,E1760)*F1760))</f>
        <v/>
      </c>
      <c r="I1760" s="46" t="str">
        <f aca="false">IF($A1760="","",SUMIF($A$2:$A$5001,$A1760,$H$2:$H$5001))</f>
        <v/>
      </c>
      <c r="J1760" s="47" t="n">
        <f aca="false">IF($A1760="",0,IF(COUNTIF($A$2:A1760,$A1760)=1,1,0))</f>
        <v>0</v>
      </c>
      <c r="K1760" s="47" t="n">
        <f aca="false">IF(J1760=1,N(I1760)+ROW()/10000000,0)</f>
        <v>0</v>
      </c>
      <c r="L1760" s="47" t="str">
        <f aca="false">IF(AND(J1760=1,N(I1760)&gt;0),SUMIF($K$2:$K$5001,"&gt;="&amp;K1760,$I$2:$I$5001)/MAX(1,SUM($H$2:$H$5001)),"")</f>
        <v/>
      </c>
      <c r="M1760" s="47" t="str">
        <f aca="false">IF($A1760="","",INDEX($L$2:$L$5001,MATCH($A1760,$A$2:$A$5001,0)))</f>
        <v/>
      </c>
      <c r="N1760" s="48" t="str">
        <f aca="false">IF($A1760="","",IF(N(M1760)=0,"–",IF(M1760&lt;=Start!$D$20,"A",IF(M1760&lt;=Start!$D$21,"B","C"))))</f>
        <v/>
      </c>
      <c r="O1760" s="48" t="str">
        <f aca="false">IF($A1760="","",IF(NOT(ISNUMBER(F1760)),"Wert fehlt; ",IF(F1760&lt;=0,"Wert ist 0; ",""))&amp;IF(NOT(ISNUMBER(E1760)),"Bestand fehlt; ",IF(E1760&lt;0,"Bestand negativ; ",IF(E1760=0,"Nullbestand; ","")))&amp;IF(D1760="","Warengruppe fehlt; ","")&amp;IF(B1760="","Bezeichnung fehlt; ","")&amp;IF(COUNTIFS($A$2:$A$5001,$A1760,$C$2:$C$5001,C1760)&gt;1,"Artikel doppelt im selben Lager; ",""))</f>
        <v/>
      </c>
      <c r="P1760" s="47" t="n">
        <f aca="false">IF(OR($A1760="",D1760=""),0,IF(COUNTIF($D$2:D1760,D1760)=1,SUMIF($D$2:$D$5001,D1760,$H$2:$H$5001)+ROW()/10000000,0))</f>
        <v>0</v>
      </c>
      <c r="Q1760" s="47" t="n">
        <f aca="false">IF(OR($A1760="",C1760=""),0,IF(COUNTIF($C$2:C1760,C1760)=1,SUMIF($C$2:$C$5001,C1760,$H$2:$H$5001)+ROW()/10000000,0))</f>
        <v>0</v>
      </c>
    </row>
    <row r="1761" customFormat="false" ht="15" hidden="false" customHeight="false" outlineLevel="0" collapsed="false">
      <c r="A1761" s="43"/>
      <c r="B1761" s="44"/>
      <c r="C1761" s="44"/>
      <c r="D1761" s="44"/>
      <c r="E1761" s="44"/>
      <c r="F1761" s="44"/>
      <c r="G1761" s="44"/>
      <c r="H1761" s="46" t="str">
        <f aca="false">IF($A1761="","",IF(OR(NOT(ISNUMBER(E1761)),NOT(ISNUMBER(F1761))),"",MAX(0,E1761)*F1761))</f>
        <v/>
      </c>
      <c r="I1761" s="46" t="str">
        <f aca="false">IF($A1761="","",SUMIF($A$2:$A$5001,$A1761,$H$2:$H$5001))</f>
        <v/>
      </c>
      <c r="J1761" s="47" t="n">
        <f aca="false">IF($A1761="",0,IF(COUNTIF($A$2:A1761,$A1761)=1,1,0))</f>
        <v>0</v>
      </c>
      <c r="K1761" s="47" t="n">
        <f aca="false">IF(J1761=1,N(I1761)+ROW()/10000000,0)</f>
        <v>0</v>
      </c>
      <c r="L1761" s="47" t="str">
        <f aca="false">IF(AND(J1761=1,N(I1761)&gt;0),SUMIF($K$2:$K$5001,"&gt;="&amp;K1761,$I$2:$I$5001)/MAX(1,SUM($H$2:$H$5001)),"")</f>
        <v/>
      </c>
      <c r="M1761" s="47" t="str">
        <f aca="false">IF($A1761="","",INDEX($L$2:$L$5001,MATCH($A1761,$A$2:$A$5001,0)))</f>
        <v/>
      </c>
      <c r="N1761" s="48" t="str">
        <f aca="false">IF($A1761="","",IF(N(M1761)=0,"–",IF(M1761&lt;=Start!$D$20,"A",IF(M1761&lt;=Start!$D$21,"B","C"))))</f>
        <v/>
      </c>
      <c r="O1761" s="48" t="str">
        <f aca="false">IF($A1761="","",IF(NOT(ISNUMBER(F1761)),"Wert fehlt; ",IF(F1761&lt;=0,"Wert ist 0; ",""))&amp;IF(NOT(ISNUMBER(E1761)),"Bestand fehlt; ",IF(E1761&lt;0,"Bestand negativ; ",IF(E1761=0,"Nullbestand; ","")))&amp;IF(D1761="","Warengruppe fehlt; ","")&amp;IF(B1761="","Bezeichnung fehlt; ","")&amp;IF(COUNTIFS($A$2:$A$5001,$A1761,$C$2:$C$5001,C1761)&gt;1,"Artikel doppelt im selben Lager; ",""))</f>
        <v/>
      </c>
      <c r="P1761" s="47" t="n">
        <f aca="false">IF(OR($A1761="",D1761=""),0,IF(COUNTIF($D$2:D1761,D1761)=1,SUMIF($D$2:$D$5001,D1761,$H$2:$H$5001)+ROW()/10000000,0))</f>
        <v>0</v>
      </c>
      <c r="Q1761" s="47" t="n">
        <f aca="false">IF(OR($A1761="",C1761=""),0,IF(COUNTIF($C$2:C1761,C1761)=1,SUMIF($C$2:$C$5001,C1761,$H$2:$H$5001)+ROW()/10000000,0))</f>
        <v>0</v>
      </c>
    </row>
    <row r="1762" customFormat="false" ht="15" hidden="false" customHeight="false" outlineLevel="0" collapsed="false">
      <c r="A1762" s="43"/>
      <c r="B1762" s="44"/>
      <c r="C1762" s="44"/>
      <c r="D1762" s="44"/>
      <c r="E1762" s="44"/>
      <c r="F1762" s="44"/>
      <c r="G1762" s="44"/>
      <c r="H1762" s="46" t="str">
        <f aca="false">IF($A1762="","",IF(OR(NOT(ISNUMBER(E1762)),NOT(ISNUMBER(F1762))),"",MAX(0,E1762)*F1762))</f>
        <v/>
      </c>
      <c r="I1762" s="46" t="str">
        <f aca="false">IF($A1762="","",SUMIF($A$2:$A$5001,$A1762,$H$2:$H$5001))</f>
        <v/>
      </c>
      <c r="J1762" s="47" t="n">
        <f aca="false">IF($A1762="",0,IF(COUNTIF($A$2:A1762,$A1762)=1,1,0))</f>
        <v>0</v>
      </c>
      <c r="K1762" s="47" t="n">
        <f aca="false">IF(J1762=1,N(I1762)+ROW()/10000000,0)</f>
        <v>0</v>
      </c>
      <c r="L1762" s="47" t="str">
        <f aca="false">IF(AND(J1762=1,N(I1762)&gt;0),SUMIF($K$2:$K$5001,"&gt;="&amp;K1762,$I$2:$I$5001)/MAX(1,SUM($H$2:$H$5001)),"")</f>
        <v/>
      </c>
      <c r="M1762" s="47" t="str">
        <f aca="false">IF($A1762="","",INDEX($L$2:$L$5001,MATCH($A1762,$A$2:$A$5001,0)))</f>
        <v/>
      </c>
      <c r="N1762" s="48" t="str">
        <f aca="false">IF($A1762="","",IF(N(M1762)=0,"–",IF(M1762&lt;=Start!$D$20,"A",IF(M1762&lt;=Start!$D$21,"B","C"))))</f>
        <v/>
      </c>
      <c r="O1762" s="48" t="str">
        <f aca="false">IF($A1762="","",IF(NOT(ISNUMBER(F1762)),"Wert fehlt; ",IF(F1762&lt;=0,"Wert ist 0; ",""))&amp;IF(NOT(ISNUMBER(E1762)),"Bestand fehlt; ",IF(E1762&lt;0,"Bestand negativ; ",IF(E1762=0,"Nullbestand; ","")))&amp;IF(D1762="","Warengruppe fehlt; ","")&amp;IF(B1762="","Bezeichnung fehlt; ","")&amp;IF(COUNTIFS($A$2:$A$5001,$A1762,$C$2:$C$5001,C1762)&gt;1,"Artikel doppelt im selben Lager; ",""))</f>
        <v/>
      </c>
      <c r="P1762" s="47" t="n">
        <f aca="false">IF(OR($A1762="",D1762=""),0,IF(COUNTIF($D$2:D1762,D1762)=1,SUMIF($D$2:$D$5001,D1762,$H$2:$H$5001)+ROW()/10000000,0))</f>
        <v>0</v>
      </c>
      <c r="Q1762" s="47" t="n">
        <f aca="false">IF(OR($A1762="",C1762=""),0,IF(COUNTIF($C$2:C1762,C1762)=1,SUMIF($C$2:$C$5001,C1762,$H$2:$H$5001)+ROW()/10000000,0))</f>
        <v>0</v>
      </c>
    </row>
    <row r="1763" customFormat="false" ht="15" hidden="false" customHeight="false" outlineLevel="0" collapsed="false">
      <c r="A1763" s="43"/>
      <c r="B1763" s="44"/>
      <c r="C1763" s="44"/>
      <c r="D1763" s="44"/>
      <c r="E1763" s="44"/>
      <c r="F1763" s="44"/>
      <c r="G1763" s="44"/>
      <c r="H1763" s="46" t="str">
        <f aca="false">IF($A1763="","",IF(OR(NOT(ISNUMBER(E1763)),NOT(ISNUMBER(F1763))),"",MAX(0,E1763)*F1763))</f>
        <v/>
      </c>
      <c r="I1763" s="46" t="str">
        <f aca="false">IF($A1763="","",SUMIF($A$2:$A$5001,$A1763,$H$2:$H$5001))</f>
        <v/>
      </c>
      <c r="J1763" s="47" t="n">
        <f aca="false">IF($A1763="",0,IF(COUNTIF($A$2:A1763,$A1763)=1,1,0))</f>
        <v>0</v>
      </c>
      <c r="K1763" s="47" t="n">
        <f aca="false">IF(J1763=1,N(I1763)+ROW()/10000000,0)</f>
        <v>0</v>
      </c>
      <c r="L1763" s="47" t="str">
        <f aca="false">IF(AND(J1763=1,N(I1763)&gt;0),SUMIF($K$2:$K$5001,"&gt;="&amp;K1763,$I$2:$I$5001)/MAX(1,SUM($H$2:$H$5001)),"")</f>
        <v/>
      </c>
      <c r="M1763" s="47" t="str">
        <f aca="false">IF($A1763="","",INDEX($L$2:$L$5001,MATCH($A1763,$A$2:$A$5001,0)))</f>
        <v/>
      </c>
      <c r="N1763" s="48" t="str">
        <f aca="false">IF($A1763="","",IF(N(M1763)=0,"–",IF(M1763&lt;=Start!$D$20,"A",IF(M1763&lt;=Start!$D$21,"B","C"))))</f>
        <v/>
      </c>
      <c r="O1763" s="48" t="str">
        <f aca="false">IF($A1763="","",IF(NOT(ISNUMBER(F1763)),"Wert fehlt; ",IF(F1763&lt;=0,"Wert ist 0; ",""))&amp;IF(NOT(ISNUMBER(E1763)),"Bestand fehlt; ",IF(E1763&lt;0,"Bestand negativ; ",IF(E1763=0,"Nullbestand; ","")))&amp;IF(D1763="","Warengruppe fehlt; ","")&amp;IF(B1763="","Bezeichnung fehlt; ","")&amp;IF(COUNTIFS($A$2:$A$5001,$A1763,$C$2:$C$5001,C1763)&gt;1,"Artikel doppelt im selben Lager; ",""))</f>
        <v/>
      </c>
      <c r="P1763" s="47" t="n">
        <f aca="false">IF(OR($A1763="",D1763=""),0,IF(COUNTIF($D$2:D1763,D1763)=1,SUMIF($D$2:$D$5001,D1763,$H$2:$H$5001)+ROW()/10000000,0))</f>
        <v>0</v>
      </c>
      <c r="Q1763" s="47" t="n">
        <f aca="false">IF(OR($A1763="",C1763=""),0,IF(COUNTIF($C$2:C1763,C1763)=1,SUMIF($C$2:$C$5001,C1763,$H$2:$H$5001)+ROW()/10000000,0))</f>
        <v>0</v>
      </c>
    </row>
    <row r="1764" customFormat="false" ht="15" hidden="false" customHeight="false" outlineLevel="0" collapsed="false">
      <c r="A1764" s="43"/>
      <c r="B1764" s="44"/>
      <c r="C1764" s="44"/>
      <c r="D1764" s="44"/>
      <c r="E1764" s="44"/>
      <c r="F1764" s="44"/>
      <c r="G1764" s="44"/>
      <c r="H1764" s="46" t="str">
        <f aca="false">IF($A1764="","",IF(OR(NOT(ISNUMBER(E1764)),NOT(ISNUMBER(F1764))),"",MAX(0,E1764)*F1764))</f>
        <v/>
      </c>
      <c r="I1764" s="46" t="str">
        <f aca="false">IF($A1764="","",SUMIF($A$2:$A$5001,$A1764,$H$2:$H$5001))</f>
        <v/>
      </c>
      <c r="J1764" s="47" t="n">
        <f aca="false">IF($A1764="",0,IF(COUNTIF($A$2:A1764,$A1764)=1,1,0))</f>
        <v>0</v>
      </c>
      <c r="K1764" s="47" t="n">
        <f aca="false">IF(J1764=1,N(I1764)+ROW()/10000000,0)</f>
        <v>0</v>
      </c>
      <c r="L1764" s="47" t="str">
        <f aca="false">IF(AND(J1764=1,N(I1764)&gt;0),SUMIF($K$2:$K$5001,"&gt;="&amp;K1764,$I$2:$I$5001)/MAX(1,SUM($H$2:$H$5001)),"")</f>
        <v/>
      </c>
      <c r="M1764" s="47" t="str">
        <f aca="false">IF($A1764="","",INDEX($L$2:$L$5001,MATCH($A1764,$A$2:$A$5001,0)))</f>
        <v/>
      </c>
      <c r="N1764" s="48" t="str">
        <f aca="false">IF($A1764="","",IF(N(M1764)=0,"–",IF(M1764&lt;=Start!$D$20,"A",IF(M1764&lt;=Start!$D$21,"B","C"))))</f>
        <v/>
      </c>
      <c r="O1764" s="48" t="str">
        <f aca="false">IF($A1764="","",IF(NOT(ISNUMBER(F1764)),"Wert fehlt; ",IF(F1764&lt;=0,"Wert ist 0; ",""))&amp;IF(NOT(ISNUMBER(E1764)),"Bestand fehlt; ",IF(E1764&lt;0,"Bestand negativ; ",IF(E1764=0,"Nullbestand; ","")))&amp;IF(D1764="","Warengruppe fehlt; ","")&amp;IF(B1764="","Bezeichnung fehlt; ","")&amp;IF(COUNTIFS($A$2:$A$5001,$A1764,$C$2:$C$5001,C1764)&gt;1,"Artikel doppelt im selben Lager; ",""))</f>
        <v/>
      </c>
      <c r="P1764" s="47" t="n">
        <f aca="false">IF(OR($A1764="",D1764=""),0,IF(COUNTIF($D$2:D1764,D1764)=1,SUMIF($D$2:$D$5001,D1764,$H$2:$H$5001)+ROW()/10000000,0))</f>
        <v>0</v>
      </c>
      <c r="Q1764" s="47" t="n">
        <f aca="false">IF(OR($A1764="",C1764=""),0,IF(COUNTIF($C$2:C1764,C1764)=1,SUMIF($C$2:$C$5001,C1764,$H$2:$H$5001)+ROW()/10000000,0))</f>
        <v>0</v>
      </c>
    </row>
    <row r="1765" customFormat="false" ht="15" hidden="false" customHeight="false" outlineLevel="0" collapsed="false">
      <c r="A1765" s="43"/>
      <c r="B1765" s="44"/>
      <c r="C1765" s="44"/>
      <c r="D1765" s="44"/>
      <c r="E1765" s="44"/>
      <c r="F1765" s="44"/>
      <c r="G1765" s="44"/>
      <c r="H1765" s="46" t="str">
        <f aca="false">IF($A1765="","",IF(OR(NOT(ISNUMBER(E1765)),NOT(ISNUMBER(F1765))),"",MAX(0,E1765)*F1765))</f>
        <v/>
      </c>
      <c r="I1765" s="46" t="str">
        <f aca="false">IF($A1765="","",SUMIF($A$2:$A$5001,$A1765,$H$2:$H$5001))</f>
        <v/>
      </c>
      <c r="J1765" s="47" t="n">
        <f aca="false">IF($A1765="",0,IF(COUNTIF($A$2:A1765,$A1765)=1,1,0))</f>
        <v>0</v>
      </c>
      <c r="K1765" s="47" t="n">
        <f aca="false">IF(J1765=1,N(I1765)+ROW()/10000000,0)</f>
        <v>0</v>
      </c>
      <c r="L1765" s="47" t="str">
        <f aca="false">IF(AND(J1765=1,N(I1765)&gt;0),SUMIF($K$2:$K$5001,"&gt;="&amp;K1765,$I$2:$I$5001)/MAX(1,SUM($H$2:$H$5001)),"")</f>
        <v/>
      </c>
      <c r="M1765" s="47" t="str">
        <f aca="false">IF($A1765="","",INDEX($L$2:$L$5001,MATCH($A1765,$A$2:$A$5001,0)))</f>
        <v/>
      </c>
      <c r="N1765" s="48" t="str">
        <f aca="false">IF($A1765="","",IF(N(M1765)=0,"–",IF(M1765&lt;=Start!$D$20,"A",IF(M1765&lt;=Start!$D$21,"B","C"))))</f>
        <v/>
      </c>
      <c r="O1765" s="48" t="str">
        <f aca="false">IF($A1765="","",IF(NOT(ISNUMBER(F1765)),"Wert fehlt; ",IF(F1765&lt;=0,"Wert ist 0; ",""))&amp;IF(NOT(ISNUMBER(E1765)),"Bestand fehlt; ",IF(E1765&lt;0,"Bestand negativ; ",IF(E1765=0,"Nullbestand; ","")))&amp;IF(D1765="","Warengruppe fehlt; ","")&amp;IF(B1765="","Bezeichnung fehlt; ","")&amp;IF(COUNTIFS($A$2:$A$5001,$A1765,$C$2:$C$5001,C1765)&gt;1,"Artikel doppelt im selben Lager; ",""))</f>
        <v/>
      </c>
      <c r="P1765" s="47" t="n">
        <f aca="false">IF(OR($A1765="",D1765=""),0,IF(COUNTIF($D$2:D1765,D1765)=1,SUMIF($D$2:$D$5001,D1765,$H$2:$H$5001)+ROW()/10000000,0))</f>
        <v>0</v>
      </c>
      <c r="Q1765" s="47" t="n">
        <f aca="false">IF(OR($A1765="",C1765=""),0,IF(COUNTIF($C$2:C1765,C1765)=1,SUMIF($C$2:$C$5001,C1765,$H$2:$H$5001)+ROW()/10000000,0))</f>
        <v>0</v>
      </c>
    </row>
    <row r="1766" customFormat="false" ht="15" hidden="false" customHeight="false" outlineLevel="0" collapsed="false">
      <c r="A1766" s="43"/>
      <c r="B1766" s="44"/>
      <c r="C1766" s="44"/>
      <c r="D1766" s="44"/>
      <c r="E1766" s="44"/>
      <c r="F1766" s="44"/>
      <c r="G1766" s="44"/>
      <c r="H1766" s="46" t="str">
        <f aca="false">IF($A1766="","",IF(OR(NOT(ISNUMBER(E1766)),NOT(ISNUMBER(F1766))),"",MAX(0,E1766)*F1766))</f>
        <v/>
      </c>
      <c r="I1766" s="46" t="str">
        <f aca="false">IF($A1766="","",SUMIF($A$2:$A$5001,$A1766,$H$2:$H$5001))</f>
        <v/>
      </c>
      <c r="J1766" s="47" t="n">
        <f aca="false">IF($A1766="",0,IF(COUNTIF($A$2:A1766,$A1766)=1,1,0))</f>
        <v>0</v>
      </c>
      <c r="K1766" s="47" t="n">
        <f aca="false">IF(J1766=1,N(I1766)+ROW()/10000000,0)</f>
        <v>0</v>
      </c>
      <c r="L1766" s="47" t="str">
        <f aca="false">IF(AND(J1766=1,N(I1766)&gt;0),SUMIF($K$2:$K$5001,"&gt;="&amp;K1766,$I$2:$I$5001)/MAX(1,SUM($H$2:$H$5001)),"")</f>
        <v/>
      </c>
      <c r="M1766" s="47" t="str">
        <f aca="false">IF($A1766="","",INDEX($L$2:$L$5001,MATCH($A1766,$A$2:$A$5001,0)))</f>
        <v/>
      </c>
      <c r="N1766" s="48" t="str">
        <f aca="false">IF($A1766="","",IF(N(M1766)=0,"–",IF(M1766&lt;=Start!$D$20,"A",IF(M1766&lt;=Start!$D$21,"B","C"))))</f>
        <v/>
      </c>
      <c r="O1766" s="48" t="str">
        <f aca="false">IF($A1766="","",IF(NOT(ISNUMBER(F1766)),"Wert fehlt; ",IF(F1766&lt;=0,"Wert ist 0; ",""))&amp;IF(NOT(ISNUMBER(E1766)),"Bestand fehlt; ",IF(E1766&lt;0,"Bestand negativ; ",IF(E1766=0,"Nullbestand; ","")))&amp;IF(D1766="","Warengruppe fehlt; ","")&amp;IF(B1766="","Bezeichnung fehlt; ","")&amp;IF(COUNTIFS($A$2:$A$5001,$A1766,$C$2:$C$5001,C1766)&gt;1,"Artikel doppelt im selben Lager; ",""))</f>
        <v/>
      </c>
      <c r="P1766" s="47" t="n">
        <f aca="false">IF(OR($A1766="",D1766=""),0,IF(COUNTIF($D$2:D1766,D1766)=1,SUMIF($D$2:$D$5001,D1766,$H$2:$H$5001)+ROW()/10000000,0))</f>
        <v>0</v>
      </c>
      <c r="Q1766" s="47" t="n">
        <f aca="false">IF(OR($A1766="",C1766=""),0,IF(COUNTIF($C$2:C1766,C1766)=1,SUMIF($C$2:$C$5001,C1766,$H$2:$H$5001)+ROW()/10000000,0))</f>
        <v>0</v>
      </c>
    </row>
    <row r="1767" customFormat="false" ht="15" hidden="false" customHeight="false" outlineLevel="0" collapsed="false">
      <c r="A1767" s="43"/>
      <c r="B1767" s="44"/>
      <c r="C1767" s="44"/>
      <c r="D1767" s="44"/>
      <c r="E1767" s="44"/>
      <c r="F1767" s="44"/>
      <c r="G1767" s="44"/>
      <c r="H1767" s="46" t="str">
        <f aca="false">IF($A1767="","",IF(OR(NOT(ISNUMBER(E1767)),NOT(ISNUMBER(F1767))),"",MAX(0,E1767)*F1767))</f>
        <v/>
      </c>
      <c r="I1767" s="46" t="str">
        <f aca="false">IF($A1767="","",SUMIF($A$2:$A$5001,$A1767,$H$2:$H$5001))</f>
        <v/>
      </c>
      <c r="J1767" s="47" t="n">
        <f aca="false">IF($A1767="",0,IF(COUNTIF($A$2:A1767,$A1767)=1,1,0))</f>
        <v>0</v>
      </c>
      <c r="K1767" s="47" t="n">
        <f aca="false">IF(J1767=1,N(I1767)+ROW()/10000000,0)</f>
        <v>0</v>
      </c>
      <c r="L1767" s="47" t="str">
        <f aca="false">IF(AND(J1767=1,N(I1767)&gt;0),SUMIF($K$2:$K$5001,"&gt;="&amp;K1767,$I$2:$I$5001)/MAX(1,SUM($H$2:$H$5001)),"")</f>
        <v/>
      </c>
      <c r="M1767" s="47" t="str">
        <f aca="false">IF($A1767="","",INDEX($L$2:$L$5001,MATCH($A1767,$A$2:$A$5001,0)))</f>
        <v/>
      </c>
      <c r="N1767" s="48" t="str">
        <f aca="false">IF($A1767="","",IF(N(M1767)=0,"–",IF(M1767&lt;=Start!$D$20,"A",IF(M1767&lt;=Start!$D$21,"B","C"))))</f>
        <v/>
      </c>
      <c r="O1767" s="48" t="str">
        <f aca="false">IF($A1767="","",IF(NOT(ISNUMBER(F1767)),"Wert fehlt; ",IF(F1767&lt;=0,"Wert ist 0; ",""))&amp;IF(NOT(ISNUMBER(E1767)),"Bestand fehlt; ",IF(E1767&lt;0,"Bestand negativ; ",IF(E1767=0,"Nullbestand; ","")))&amp;IF(D1767="","Warengruppe fehlt; ","")&amp;IF(B1767="","Bezeichnung fehlt; ","")&amp;IF(COUNTIFS($A$2:$A$5001,$A1767,$C$2:$C$5001,C1767)&gt;1,"Artikel doppelt im selben Lager; ",""))</f>
        <v/>
      </c>
      <c r="P1767" s="47" t="n">
        <f aca="false">IF(OR($A1767="",D1767=""),0,IF(COUNTIF($D$2:D1767,D1767)=1,SUMIF($D$2:$D$5001,D1767,$H$2:$H$5001)+ROW()/10000000,0))</f>
        <v>0</v>
      </c>
      <c r="Q1767" s="47" t="n">
        <f aca="false">IF(OR($A1767="",C1767=""),0,IF(COUNTIF($C$2:C1767,C1767)=1,SUMIF($C$2:$C$5001,C1767,$H$2:$H$5001)+ROW()/10000000,0))</f>
        <v>0</v>
      </c>
    </row>
    <row r="1768" customFormat="false" ht="15" hidden="false" customHeight="false" outlineLevel="0" collapsed="false">
      <c r="A1768" s="43"/>
      <c r="B1768" s="44"/>
      <c r="C1768" s="44"/>
      <c r="D1768" s="44"/>
      <c r="E1768" s="44"/>
      <c r="F1768" s="44"/>
      <c r="G1768" s="44"/>
      <c r="H1768" s="46" t="str">
        <f aca="false">IF($A1768="","",IF(OR(NOT(ISNUMBER(E1768)),NOT(ISNUMBER(F1768))),"",MAX(0,E1768)*F1768))</f>
        <v/>
      </c>
      <c r="I1768" s="46" t="str">
        <f aca="false">IF($A1768="","",SUMIF($A$2:$A$5001,$A1768,$H$2:$H$5001))</f>
        <v/>
      </c>
      <c r="J1768" s="47" t="n">
        <f aca="false">IF($A1768="",0,IF(COUNTIF($A$2:A1768,$A1768)=1,1,0))</f>
        <v>0</v>
      </c>
      <c r="K1768" s="47" t="n">
        <f aca="false">IF(J1768=1,N(I1768)+ROW()/10000000,0)</f>
        <v>0</v>
      </c>
      <c r="L1768" s="47" t="str">
        <f aca="false">IF(AND(J1768=1,N(I1768)&gt;0),SUMIF($K$2:$K$5001,"&gt;="&amp;K1768,$I$2:$I$5001)/MAX(1,SUM($H$2:$H$5001)),"")</f>
        <v/>
      </c>
      <c r="M1768" s="47" t="str">
        <f aca="false">IF($A1768="","",INDEX($L$2:$L$5001,MATCH($A1768,$A$2:$A$5001,0)))</f>
        <v/>
      </c>
      <c r="N1768" s="48" t="str">
        <f aca="false">IF($A1768="","",IF(N(M1768)=0,"–",IF(M1768&lt;=Start!$D$20,"A",IF(M1768&lt;=Start!$D$21,"B","C"))))</f>
        <v/>
      </c>
      <c r="O1768" s="48" t="str">
        <f aca="false">IF($A1768="","",IF(NOT(ISNUMBER(F1768)),"Wert fehlt; ",IF(F1768&lt;=0,"Wert ist 0; ",""))&amp;IF(NOT(ISNUMBER(E1768)),"Bestand fehlt; ",IF(E1768&lt;0,"Bestand negativ; ",IF(E1768=0,"Nullbestand; ","")))&amp;IF(D1768="","Warengruppe fehlt; ","")&amp;IF(B1768="","Bezeichnung fehlt; ","")&amp;IF(COUNTIFS($A$2:$A$5001,$A1768,$C$2:$C$5001,C1768)&gt;1,"Artikel doppelt im selben Lager; ",""))</f>
        <v/>
      </c>
      <c r="P1768" s="47" t="n">
        <f aca="false">IF(OR($A1768="",D1768=""),0,IF(COUNTIF($D$2:D1768,D1768)=1,SUMIF($D$2:$D$5001,D1768,$H$2:$H$5001)+ROW()/10000000,0))</f>
        <v>0</v>
      </c>
      <c r="Q1768" s="47" t="n">
        <f aca="false">IF(OR($A1768="",C1768=""),0,IF(COUNTIF($C$2:C1768,C1768)=1,SUMIF($C$2:$C$5001,C1768,$H$2:$H$5001)+ROW()/10000000,0))</f>
        <v>0</v>
      </c>
    </row>
    <row r="1769" customFormat="false" ht="15" hidden="false" customHeight="false" outlineLevel="0" collapsed="false">
      <c r="A1769" s="43"/>
      <c r="B1769" s="44"/>
      <c r="C1769" s="44"/>
      <c r="D1769" s="44"/>
      <c r="E1769" s="44"/>
      <c r="F1769" s="44"/>
      <c r="G1769" s="44"/>
      <c r="H1769" s="46" t="str">
        <f aca="false">IF($A1769="","",IF(OR(NOT(ISNUMBER(E1769)),NOT(ISNUMBER(F1769))),"",MAX(0,E1769)*F1769))</f>
        <v/>
      </c>
      <c r="I1769" s="46" t="str">
        <f aca="false">IF($A1769="","",SUMIF($A$2:$A$5001,$A1769,$H$2:$H$5001))</f>
        <v/>
      </c>
      <c r="J1769" s="47" t="n">
        <f aca="false">IF($A1769="",0,IF(COUNTIF($A$2:A1769,$A1769)=1,1,0))</f>
        <v>0</v>
      </c>
      <c r="K1769" s="47" t="n">
        <f aca="false">IF(J1769=1,N(I1769)+ROW()/10000000,0)</f>
        <v>0</v>
      </c>
      <c r="L1769" s="47" t="str">
        <f aca="false">IF(AND(J1769=1,N(I1769)&gt;0),SUMIF($K$2:$K$5001,"&gt;="&amp;K1769,$I$2:$I$5001)/MAX(1,SUM($H$2:$H$5001)),"")</f>
        <v/>
      </c>
      <c r="M1769" s="47" t="str">
        <f aca="false">IF($A1769="","",INDEX($L$2:$L$5001,MATCH($A1769,$A$2:$A$5001,0)))</f>
        <v/>
      </c>
      <c r="N1769" s="48" t="str">
        <f aca="false">IF($A1769="","",IF(N(M1769)=0,"–",IF(M1769&lt;=Start!$D$20,"A",IF(M1769&lt;=Start!$D$21,"B","C"))))</f>
        <v/>
      </c>
      <c r="O1769" s="48" t="str">
        <f aca="false">IF($A1769="","",IF(NOT(ISNUMBER(F1769)),"Wert fehlt; ",IF(F1769&lt;=0,"Wert ist 0; ",""))&amp;IF(NOT(ISNUMBER(E1769)),"Bestand fehlt; ",IF(E1769&lt;0,"Bestand negativ; ",IF(E1769=0,"Nullbestand; ","")))&amp;IF(D1769="","Warengruppe fehlt; ","")&amp;IF(B1769="","Bezeichnung fehlt; ","")&amp;IF(COUNTIFS($A$2:$A$5001,$A1769,$C$2:$C$5001,C1769)&gt;1,"Artikel doppelt im selben Lager; ",""))</f>
        <v/>
      </c>
      <c r="P1769" s="47" t="n">
        <f aca="false">IF(OR($A1769="",D1769=""),0,IF(COUNTIF($D$2:D1769,D1769)=1,SUMIF($D$2:$D$5001,D1769,$H$2:$H$5001)+ROW()/10000000,0))</f>
        <v>0</v>
      </c>
      <c r="Q1769" s="47" t="n">
        <f aca="false">IF(OR($A1769="",C1769=""),0,IF(COUNTIF($C$2:C1769,C1769)=1,SUMIF($C$2:$C$5001,C1769,$H$2:$H$5001)+ROW()/10000000,0))</f>
        <v>0</v>
      </c>
    </row>
    <row r="1770" customFormat="false" ht="15" hidden="false" customHeight="false" outlineLevel="0" collapsed="false">
      <c r="A1770" s="43"/>
      <c r="B1770" s="44"/>
      <c r="C1770" s="44"/>
      <c r="D1770" s="44"/>
      <c r="E1770" s="44"/>
      <c r="F1770" s="44"/>
      <c r="G1770" s="44"/>
      <c r="H1770" s="46" t="str">
        <f aca="false">IF($A1770="","",IF(OR(NOT(ISNUMBER(E1770)),NOT(ISNUMBER(F1770))),"",MAX(0,E1770)*F1770))</f>
        <v/>
      </c>
      <c r="I1770" s="46" t="str">
        <f aca="false">IF($A1770="","",SUMIF($A$2:$A$5001,$A1770,$H$2:$H$5001))</f>
        <v/>
      </c>
      <c r="J1770" s="47" t="n">
        <f aca="false">IF($A1770="",0,IF(COUNTIF($A$2:A1770,$A1770)=1,1,0))</f>
        <v>0</v>
      </c>
      <c r="K1770" s="47" t="n">
        <f aca="false">IF(J1770=1,N(I1770)+ROW()/10000000,0)</f>
        <v>0</v>
      </c>
      <c r="L1770" s="47" t="str">
        <f aca="false">IF(AND(J1770=1,N(I1770)&gt;0),SUMIF($K$2:$K$5001,"&gt;="&amp;K1770,$I$2:$I$5001)/MAX(1,SUM($H$2:$H$5001)),"")</f>
        <v/>
      </c>
      <c r="M1770" s="47" t="str">
        <f aca="false">IF($A1770="","",INDEX($L$2:$L$5001,MATCH($A1770,$A$2:$A$5001,0)))</f>
        <v/>
      </c>
      <c r="N1770" s="48" t="str">
        <f aca="false">IF($A1770="","",IF(N(M1770)=0,"–",IF(M1770&lt;=Start!$D$20,"A",IF(M1770&lt;=Start!$D$21,"B","C"))))</f>
        <v/>
      </c>
      <c r="O1770" s="48" t="str">
        <f aca="false">IF($A1770="","",IF(NOT(ISNUMBER(F1770)),"Wert fehlt; ",IF(F1770&lt;=0,"Wert ist 0; ",""))&amp;IF(NOT(ISNUMBER(E1770)),"Bestand fehlt; ",IF(E1770&lt;0,"Bestand negativ; ",IF(E1770=0,"Nullbestand; ","")))&amp;IF(D1770="","Warengruppe fehlt; ","")&amp;IF(B1770="","Bezeichnung fehlt; ","")&amp;IF(COUNTIFS($A$2:$A$5001,$A1770,$C$2:$C$5001,C1770)&gt;1,"Artikel doppelt im selben Lager; ",""))</f>
        <v/>
      </c>
      <c r="P1770" s="47" t="n">
        <f aca="false">IF(OR($A1770="",D1770=""),0,IF(COUNTIF($D$2:D1770,D1770)=1,SUMIF($D$2:$D$5001,D1770,$H$2:$H$5001)+ROW()/10000000,0))</f>
        <v>0</v>
      </c>
      <c r="Q1770" s="47" t="n">
        <f aca="false">IF(OR($A1770="",C1770=""),0,IF(COUNTIF($C$2:C1770,C1770)=1,SUMIF($C$2:$C$5001,C1770,$H$2:$H$5001)+ROW()/10000000,0))</f>
        <v>0</v>
      </c>
    </row>
    <row r="1771" customFormat="false" ht="15" hidden="false" customHeight="false" outlineLevel="0" collapsed="false">
      <c r="A1771" s="43"/>
      <c r="B1771" s="44"/>
      <c r="C1771" s="44"/>
      <c r="D1771" s="44"/>
      <c r="E1771" s="44"/>
      <c r="F1771" s="44"/>
      <c r="G1771" s="44"/>
      <c r="H1771" s="46" t="str">
        <f aca="false">IF($A1771="","",IF(OR(NOT(ISNUMBER(E1771)),NOT(ISNUMBER(F1771))),"",MAX(0,E1771)*F1771))</f>
        <v/>
      </c>
      <c r="I1771" s="46" t="str">
        <f aca="false">IF($A1771="","",SUMIF($A$2:$A$5001,$A1771,$H$2:$H$5001))</f>
        <v/>
      </c>
      <c r="J1771" s="47" t="n">
        <f aca="false">IF($A1771="",0,IF(COUNTIF($A$2:A1771,$A1771)=1,1,0))</f>
        <v>0</v>
      </c>
      <c r="K1771" s="47" t="n">
        <f aca="false">IF(J1771=1,N(I1771)+ROW()/10000000,0)</f>
        <v>0</v>
      </c>
      <c r="L1771" s="47" t="str">
        <f aca="false">IF(AND(J1771=1,N(I1771)&gt;0),SUMIF($K$2:$K$5001,"&gt;="&amp;K1771,$I$2:$I$5001)/MAX(1,SUM($H$2:$H$5001)),"")</f>
        <v/>
      </c>
      <c r="M1771" s="47" t="str">
        <f aca="false">IF($A1771="","",INDEX($L$2:$L$5001,MATCH($A1771,$A$2:$A$5001,0)))</f>
        <v/>
      </c>
      <c r="N1771" s="48" t="str">
        <f aca="false">IF($A1771="","",IF(N(M1771)=0,"–",IF(M1771&lt;=Start!$D$20,"A",IF(M1771&lt;=Start!$D$21,"B","C"))))</f>
        <v/>
      </c>
      <c r="O1771" s="48" t="str">
        <f aca="false">IF($A1771="","",IF(NOT(ISNUMBER(F1771)),"Wert fehlt; ",IF(F1771&lt;=0,"Wert ist 0; ",""))&amp;IF(NOT(ISNUMBER(E1771)),"Bestand fehlt; ",IF(E1771&lt;0,"Bestand negativ; ",IF(E1771=0,"Nullbestand; ","")))&amp;IF(D1771="","Warengruppe fehlt; ","")&amp;IF(B1771="","Bezeichnung fehlt; ","")&amp;IF(COUNTIFS($A$2:$A$5001,$A1771,$C$2:$C$5001,C1771)&gt;1,"Artikel doppelt im selben Lager; ",""))</f>
        <v/>
      </c>
      <c r="P1771" s="47" t="n">
        <f aca="false">IF(OR($A1771="",D1771=""),0,IF(COUNTIF($D$2:D1771,D1771)=1,SUMIF($D$2:$D$5001,D1771,$H$2:$H$5001)+ROW()/10000000,0))</f>
        <v>0</v>
      </c>
      <c r="Q1771" s="47" t="n">
        <f aca="false">IF(OR($A1771="",C1771=""),0,IF(COUNTIF($C$2:C1771,C1771)=1,SUMIF($C$2:$C$5001,C1771,$H$2:$H$5001)+ROW()/10000000,0))</f>
        <v>0</v>
      </c>
    </row>
    <row r="1772" customFormat="false" ht="15" hidden="false" customHeight="false" outlineLevel="0" collapsed="false">
      <c r="A1772" s="43"/>
      <c r="B1772" s="44"/>
      <c r="C1772" s="44"/>
      <c r="D1772" s="44"/>
      <c r="E1772" s="44"/>
      <c r="F1772" s="44"/>
      <c r="G1772" s="44"/>
      <c r="H1772" s="46" t="str">
        <f aca="false">IF($A1772="","",IF(OR(NOT(ISNUMBER(E1772)),NOT(ISNUMBER(F1772))),"",MAX(0,E1772)*F1772))</f>
        <v/>
      </c>
      <c r="I1772" s="46" t="str">
        <f aca="false">IF($A1772="","",SUMIF($A$2:$A$5001,$A1772,$H$2:$H$5001))</f>
        <v/>
      </c>
      <c r="J1772" s="47" t="n">
        <f aca="false">IF($A1772="",0,IF(COUNTIF($A$2:A1772,$A1772)=1,1,0))</f>
        <v>0</v>
      </c>
      <c r="K1772" s="47" t="n">
        <f aca="false">IF(J1772=1,N(I1772)+ROW()/10000000,0)</f>
        <v>0</v>
      </c>
      <c r="L1772" s="47" t="str">
        <f aca="false">IF(AND(J1772=1,N(I1772)&gt;0),SUMIF($K$2:$K$5001,"&gt;="&amp;K1772,$I$2:$I$5001)/MAX(1,SUM($H$2:$H$5001)),"")</f>
        <v/>
      </c>
      <c r="M1772" s="47" t="str">
        <f aca="false">IF($A1772="","",INDEX($L$2:$L$5001,MATCH($A1772,$A$2:$A$5001,0)))</f>
        <v/>
      </c>
      <c r="N1772" s="48" t="str">
        <f aca="false">IF($A1772="","",IF(N(M1772)=0,"–",IF(M1772&lt;=Start!$D$20,"A",IF(M1772&lt;=Start!$D$21,"B","C"))))</f>
        <v/>
      </c>
      <c r="O1772" s="48" t="str">
        <f aca="false">IF($A1772="","",IF(NOT(ISNUMBER(F1772)),"Wert fehlt; ",IF(F1772&lt;=0,"Wert ist 0; ",""))&amp;IF(NOT(ISNUMBER(E1772)),"Bestand fehlt; ",IF(E1772&lt;0,"Bestand negativ; ",IF(E1772=0,"Nullbestand; ","")))&amp;IF(D1772="","Warengruppe fehlt; ","")&amp;IF(B1772="","Bezeichnung fehlt; ","")&amp;IF(COUNTIFS($A$2:$A$5001,$A1772,$C$2:$C$5001,C1772)&gt;1,"Artikel doppelt im selben Lager; ",""))</f>
        <v/>
      </c>
      <c r="P1772" s="47" t="n">
        <f aca="false">IF(OR($A1772="",D1772=""),0,IF(COUNTIF($D$2:D1772,D1772)=1,SUMIF($D$2:$D$5001,D1772,$H$2:$H$5001)+ROW()/10000000,0))</f>
        <v>0</v>
      </c>
      <c r="Q1772" s="47" t="n">
        <f aca="false">IF(OR($A1772="",C1772=""),0,IF(COUNTIF($C$2:C1772,C1772)=1,SUMIF($C$2:$C$5001,C1772,$H$2:$H$5001)+ROW()/10000000,0))</f>
        <v>0</v>
      </c>
    </row>
    <row r="1773" customFormat="false" ht="15" hidden="false" customHeight="false" outlineLevel="0" collapsed="false">
      <c r="A1773" s="43"/>
      <c r="B1773" s="44"/>
      <c r="C1773" s="44"/>
      <c r="D1773" s="44"/>
      <c r="E1773" s="44"/>
      <c r="F1773" s="44"/>
      <c r="G1773" s="44"/>
      <c r="H1773" s="46" t="str">
        <f aca="false">IF($A1773="","",IF(OR(NOT(ISNUMBER(E1773)),NOT(ISNUMBER(F1773))),"",MAX(0,E1773)*F1773))</f>
        <v/>
      </c>
      <c r="I1773" s="46" t="str">
        <f aca="false">IF($A1773="","",SUMIF($A$2:$A$5001,$A1773,$H$2:$H$5001))</f>
        <v/>
      </c>
      <c r="J1773" s="47" t="n">
        <f aca="false">IF($A1773="",0,IF(COUNTIF($A$2:A1773,$A1773)=1,1,0))</f>
        <v>0</v>
      </c>
      <c r="K1773" s="47" t="n">
        <f aca="false">IF(J1773=1,N(I1773)+ROW()/10000000,0)</f>
        <v>0</v>
      </c>
      <c r="L1773" s="47" t="str">
        <f aca="false">IF(AND(J1773=1,N(I1773)&gt;0),SUMIF($K$2:$K$5001,"&gt;="&amp;K1773,$I$2:$I$5001)/MAX(1,SUM($H$2:$H$5001)),"")</f>
        <v/>
      </c>
      <c r="M1773" s="47" t="str">
        <f aca="false">IF($A1773="","",INDEX($L$2:$L$5001,MATCH($A1773,$A$2:$A$5001,0)))</f>
        <v/>
      </c>
      <c r="N1773" s="48" t="str">
        <f aca="false">IF($A1773="","",IF(N(M1773)=0,"–",IF(M1773&lt;=Start!$D$20,"A",IF(M1773&lt;=Start!$D$21,"B","C"))))</f>
        <v/>
      </c>
      <c r="O1773" s="48" t="str">
        <f aca="false">IF($A1773="","",IF(NOT(ISNUMBER(F1773)),"Wert fehlt; ",IF(F1773&lt;=0,"Wert ist 0; ",""))&amp;IF(NOT(ISNUMBER(E1773)),"Bestand fehlt; ",IF(E1773&lt;0,"Bestand negativ; ",IF(E1773=0,"Nullbestand; ","")))&amp;IF(D1773="","Warengruppe fehlt; ","")&amp;IF(B1773="","Bezeichnung fehlt; ","")&amp;IF(COUNTIFS($A$2:$A$5001,$A1773,$C$2:$C$5001,C1773)&gt;1,"Artikel doppelt im selben Lager; ",""))</f>
        <v/>
      </c>
      <c r="P1773" s="47" t="n">
        <f aca="false">IF(OR($A1773="",D1773=""),0,IF(COUNTIF($D$2:D1773,D1773)=1,SUMIF($D$2:$D$5001,D1773,$H$2:$H$5001)+ROW()/10000000,0))</f>
        <v>0</v>
      </c>
      <c r="Q1773" s="47" t="n">
        <f aca="false">IF(OR($A1773="",C1773=""),0,IF(COUNTIF($C$2:C1773,C1773)=1,SUMIF($C$2:$C$5001,C1773,$H$2:$H$5001)+ROW()/10000000,0))</f>
        <v>0</v>
      </c>
    </row>
    <row r="1774" customFormat="false" ht="15" hidden="false" customHeight="false" outlineLevel="0" collapsed="false">
      <c r="A1774" s="43"/>
      <c r="B1774" s="44"/>
      <c r="C1774" s="44"/>
      <c r="D1774" s="44"/>
      <c r="E1774" s="44"/>
      <c r="F1774" s="44"/>
      <c r="G1774" s="44"/>
      <c r="H1774" s="46" t="str">
        <f aca="false">IF($A1774="","",IF(OR(NOT(ISNUMBER(E1774)),NOT(ISNUMBER(F1774))),"",MAX(0,E1774)*F1774))</f>
        <v/>
      </c>
      <c r="I1774" s="46" t="str">
        <f aca="false">IF($A1774="","",SUMIF($A$2:$A$5001,$A1774,$H$2:$H$5001))</f>
        <v/>
      </c>
      <c r="J1774" s="47" t="n">
        <f aca="false">IF($A1774="",0,IF(COUNTIF($A$2:A1774,$A1774)=1,1,0))</f>
        <v>0</v>
      </c>
      <c r="K1774" s="47" t="n">
        <f aca="false">IF(J1774=1,N(I1774)+ROW()/10000000,0)</f>
        <v>0</v>
      </c>
      <c r="L1774" s="47" t="str">
        <f aca="false">IF(AND(J1774=1,N(I1774)&gt;0),SUMIF($K$2:$K$5001,"&gt;="&amp;K1774,$I$2:$I$5001)/MAX(1,SUM($H$2:$H$5001)),"")</f>
        <v/>
      </c>
      <c r="M1774" s="47" t="str">
        <f aca="false">IF($A1774="","",INDEX($L$2:$L$5001,MATCH($A1774,$A$2:$A$5001,0)))</f>
        <v/>
      </c>
      <c r="N1774" s="48" t="str">
        <f aca="false">IF($A1774="","",IF(N(M1774)=0,"–",IF(M1774&lt;=Start!$D$20,"A",IF(M1774&lt;=Start!$D$21,"B","C"))))</f>
        <v/>
      </c>
      <c r="O1774" s="48" t="str">
        <f aca="false">IF($A1774="","",IF(NOT(ISNUMBER(F1774)),"Wert fehlt; ",IF(F1774&lt;=0,"Wert ist 0; ",""))&amp;IF(NOT(ISNUMBER(E1774)),"Bestand fehlt; ",IF(E1774&lt;0,"Bestand negativ; ",IF(E1774=0,"Nullbestand; ","")))&amp;IF(D1774="","Warengruppe fehlt; ","")&amp;IF(B1774="","Bezeichnung fehlt; ","")&amp;IF(COUNTIFS($A$2:$A$5001,$A1774,$C$2:$C$5001,C1774)&gt;1,"Artikel doppelt im selben Lager; ",""))</f>
        <v/>
      </c>
      <c r="P1774" s="47" t="n">
        <f aca="false">IF(OR($A1774="",D1774=""),0,IF(COUNTIF($D$2:D1774,D1774)=1,SUMIF($D$2:$D$5001,D1774,$H$2:$H$5001)+ROW()/10000000,0))</f>
        <v>0</v>
      </c>
      <c r="Q1774" s="47" t="n">
        <f aca="false">IF(OR($A1774="",C1774=""),0,IF(COUNTIF($C$2:C1774,C1774)=1,SUMIF($C$2:$C$5001,C1774,$H$2:$H$5001)+ROW()/10000000,0))</f>
        <v>0</v>
      </c>
    </row>
    <row r="1775" customFormat="false" ht="15" hidden="false" customHeight="false" outlineLevel="0" collapsed="false">
      <c r="A1775" s="43"/>
      <c r="B1775" s="44"/>
      <c r="C1775" s="44"/>
      <c r="D1775" s="44"/>
      <c r="E1775" s="44"/>
      <c r="F1775" s="44"/>
      <c r="G1775" s="44"/>
      <c r="H1775" s="46" t="str">
        <f aca="false">IF($A1775="","",IF(OR(NOT(ISNUMBER(E1775)),NOT(ISNUMBER(F1775))),"",MAX(0,E1775)*F1775))</f>
        <v/>
      </c>
      <c r="I1775" s="46" t="str">
        <f aca="false">IF($A1775="","",SUMIF($A$2:$A$5001,$A1775,$H$2:$H$5001))</f>
        <v/>
      </c>
      <c r="J1775" s="47" t="n">
        <f aca="false">IF($A1775="",0,IF(COUNTIF($A$2:A1775,$A1775)=1,1,0))</f>
        <v>0</v>
      </c>
      <c r="K1775" s="47" t="n">
        <f aca="false">IF(J1775=1,N(I1775)+ROW()/10000000,0)</f>
        <v>0</v>
      </c>
      <c r="L1775" s="47" t="str">
        <f aca="false">IF(AND(J1775=1,N(I1775)&gt;0),SUMIF($K$2:$K$5001,"&gt;="&amp;K1775,$I$2:$I$5001)/MAX(1,SUM($H$2:$H$5001)),"")</f>
        <v/>
      </c>
      <c r="M1775" s="47" t="str">
        <f aca="false">IF($A1775="","",INDEX($L$2:$L$5001,MATCH($A1775,$A$2:$A$5001,0)))</f>
        <v/>
      </c>
      <c r="N1775" s="48" t="str">
        <f aca="false">IF($A1775="","",IF(N(M1775)=0,"–",IF(M1775&lt;=Start!$D$20,"A",IF(M1775&lt;=Start!$D$21,"B","C"))))</f>
        <v/>
      </c>
      <c r="O1775" s="48" t="str">
        <f aca="false">IF($A1775="","",IF(NOT(ISNUMBER(F1775)),"Wert fehlt; ",IF(F1775&lt;=0,"Wert ist 0; ",""))&amp;IF(NOT(ISNUMBER(E1775)),"Bestand fehlt; ",IF(E1775&lt;0,"Bestand negativ; ",IF(E1775=0,"Nullbestand; ","")))&amp;IF(D1775="","Warengruppe fehlt; ","")&amp;IF(B1775="","Bezeichnung fehlt; ","")&amp;IF(COUNTIFS($A$2:$A$5001,$A1775,$C$2:$C$5001,C1775)&gt;1,"Artikel doppelt im selben Lager; ",""))</f>
        <v/>
      </c>
      <c r="P1775" s="47" t="n">
        <f aca="false">IF(OR($A1775="",D1775=""),0,IF(COUNTIF($D$2:D1775,D1775)=1,SUMIF($D$2:$D$5001,D1775,$H$2:$H$5001)+ROW()/10000000,0))</f>
        <v>0</v>
      </c>
      <c r="Q1775" s="47" t="n">
        <f aca="false">IF(OR($A1775="",C1775=""),0,IF(COUNTIF($C$2:C1775,C1775)=1,SUMIF($C$2:$C$5001,C1775,$H$2:$H$5001)+ROW()/10000000,0))</f>
        <v>0</v>
      </c>
    </row>
    <row r="1776" customFormat="false" ht="15" hidden="false" customHeight="false" outlineLevel="0" collapsed="false">
      <c r="A1776" s="43"/>
      <c r="B1776" s="44"/>
      <c r="C1776" s="44"/>
      <c r="D1776" s="44"/>
      <c r="E1776" s="44"/>
      <c r="F1776" s="44"/>
      <c r="G1776" s="44"/>
      <c r="H1776" s="46" t="str">
        <f aca="false">IF($A1776="","",IF(OR(NOT(ISNUMBER(E1776)),NOT(ISNUMBER(F1776))),"",MAX(0,E1776)*F1776))</f>
        <v/>
      </c>
      <c r="I1776" s="46" t="str">
        <f aca="false">IF($A1776="","",SUMIF($A$2:$A$5001,$A1776,$H$2:$H$5001))</f>
        <v/>
      </c>
      <c r="J1776" s="47" t="n">
        <f aca="false">IF($A1776="",0,IF(COUNTIF($A$2:A1776,$A1776)=1,1,0))</f>
        <v>0</v>
      </c>
      <c r="K1776" s="47" t="n">
        <f aca="false">IF(J1776=1,N(I1776)+ROW()/10000000,0)</f>
        <v>0</v>
      </c>
      <c r="L1776" s="47" t="str">
        <f aca="false">IF(AND(J1776=1,N(I1776)&gt;0),SUMIF($K$2:$K$5001,"&gt;="&amp;K1776,$I$2:$I$5001)/MAX(1,SUM($H$2:$H$5001)),"")</f>
        <v/>
      </c>
      <c r="M1776" s="47" t="str">
        <f aca="false">IF($A1776="","",INDEX($L$2:$L$5001,MATCH($A1776,$A$2:$A$5001,0)))</f>
        <v/>
      </c>
      <c r="N1776" s="48" t="str">
        <f aca="false">IF($A1776="","",IF(N(M1776)=0,"–",IF(M1776&lt;=Start!$D$20,"A",IF(M1776&lt;=Start!$D$21,"B","C"))))</f>
        <v/>
      </c>
      <c r="O1776" s="48" t="str">
        <f aca="false">IF($A1776="","",IF(NOT(ISNUMBER(F1776)),"Wert fehlt; ",IF(F1776&lt;=0,"Wert ist 0; ",""))&amp;IF(NOT(ISNUMBER(E1776)),"Bestand fehlt; ",IF(E1776&lt;0,"Bestand negativ; ",IF(E1776=0,"Nullbestand; ","")))&amp;IF(D1776="","Warengruppe fehlt; ","")&amp;IF(B1776="","Bezeichnung fehlt; ","")&amp;IF(COUNTIFS($A$2:$A$5001,$A1776,$C$2:$C$5001,C1776)&gt;1,"Artikel doppelt im selben Lager; ",""))</f>
        <v/>
      </c>
      <c r="P1776" s="47" t="n">
        <f aca="false">IF(OR($A1776="",D1776=""),0,IF(COUNTIF($D$2:D1776,D1776)=1,SUMIF($D$2:$D$5001,D1776,$H$2:$H$5001)+ROW()/10000000,0))</f>
        <v>0</v>
      </c>
      <c r="Q1776" s="47" t="n">
        <f aca="false">IF(OR($A1776="",C1776=""),0,IF(COUNTIF($C$2:C1776,C1776)=1,SUMIF($C$2:$C$5001,C1776,$H$2:$H$5001)+ROW()/10000000,0))</f>
        <v>0</v>
      </c>
    </row>
    <row r="1777" customFormat="false" ht="15" hidden="false" customHeight="false" outlineLevel="0" collapsed="false">
      <c r="A1777" s="43"/>
      <c r="B1777" s="44"/>
      <c r="C1777" s="44"/>
      <c r="D1777" s="44"/>
      <c r="E1777" s="44"/>
      <c r="F1777" s="44"/>
      <c r="G1777" s="44"/>
      <c r="H1777" s="46" t="str">
        <f aca="false">IF($A1777="","",IF(OR(NOT(ISNUMBER(E1777)),NOT(ISNUMBER(F1777))),"",MAX(0,E1777)*F1777))</f>
        <v/>
      </c>
      <c r="I1777" s="46" t="str">
        <f aca="false">IF($A1777="","",SUMIF($A$2:$A$5001,$A1777,$H$2:$H$5001))</f>
        <v/>
      </c>
      <c r="J1777" s="47" t="n">
        <f aca="false">IF($A1777="",0,IF(COUNTIF($A$2:A1777,$A1777)=1,1,0))</f>
        <v>0</v>
      </c>
      <c r="K1777" s="47" t="n">
        <f aca="false">IF(J1777=1,N(I1777)+ROW()/10000000,0)</f>
        <v>0</v>
      </c>
      <c r="L1777" s="47" t="str">
        <f aca="false">IF(AND(J1777=1,N(I1777)&gt;0),SUMIF($K$2:$K$5001,"&gt;="&amp;K1777,$I$2:$I$5001)/MAX(1,SUM($H$2:$H$5001)),"")</f>
        <v/>
      </c>
      <c r="M1777" s="47" t="str">
        <f aca="false">IF($A1777="","",INDEX($L$2:$L$5001,MATCH($A1777,$A$2:$A$5001,0)))</f>
        <v/>
      </c>
      <c r="N1777" s="48" t="str">
        <f aca="false">IF($A1777="","",IF(N(M1777)=0,"–",IF(M1777&lt;=Start!$D$20,"A",IF(M1777&lt;=Start!$D$21,"B","C"))))</f>
        <v/>
      </c>
      <c r="O1777" s="48" t="str">
        <f aca="false">IF($A1777="","",IF(NOT(ISNUMBER(F1777)),"Wert fehlt; ",IF(F1777&lt;=0,"Wert ist 0; ",""))&amp;IF(NOT(ISNUMBER(E1777)),"Bestand fehlt; ",IF(E1777&lt;0,"Bestand negativ; ",IF(E1777=0,"Nullbestand; ","")))&amp;IF(D1777="","Warengruppe fehlt; ","")&amp;IF(B1777="","Bezeichnung fehlt; ","")&amp;IF(COUNTIFS($A$2:$A$5001,$A1777,$C$2:$C$5001,C1777)&gt;1,"Artikel doppelt im selben Lager; ",""))</f>
        <v/>
      </c>
      <c r="P1777" s="47" t="n">
        <f aca="false">IF(OR($A1777="",D1777=""),0,IF(COUNTIF($D$2:D1777,D1777)=1,SUMIF($D$2:$D$5001,D1777,$H$2:$H$5001)+ROW()/10000000,0))</f>
        <v>0</v>
      </c>
      <c r="Q1777" s="47" t="n">
        <f aca="false">IF(OR($A1777="",C1777=""),0,IF(COUNTIF($C$2:C1777,C1777)=1,SUMIF($C$2:$C$5001,C1777,$H$2:$H$5001)+ROW()/10000000,0))</f>
        <v>0</v>
      </c>
    </row>
    <row r="1778" customFormat="false" ht="15" hidden="false" customHeight="false" outlineLevel="0" collapsed="false">
      <c r="A1778" s="43"/>
      <c r="B1778" s="44"/>
      <c r="C1778" s="44"/>
      <c r="D1778" s="44"/>
      <c r="E1778" s="44"/>
      <c r="F1778" s="44"/>
      <c r="G1778" s="44"/>
      <c r="H1778" s="46" t="str">
        <f aca="false">IF($A1778="","",IF(OR(NOT(ISNUMBER(E1778)),NOT(ISNUMBER(F1778))),"",MAX(0,E1778)*F1778))</f>
        <v/>
      </c>
      <c r="I1778" s="46" t="str">
        <f aca="false">IF($A1778="","",SUMIF($A$2:$A$5001,$A1778,$H$2:$H$5001))</f>
        <v/>
      </c>
      <c r="J1778" s="47" t="n">
        <f aca="false">IF($A1778="",0,IF(COUNTIF($A$2:A1778,$A1778)=1,1,0))</f>
        <v>0</v>
      </c>
      <c r="K1778" s="47" t="n">
        <f aca="false">IF(J1778=1,N(I1778)+ROW()/10000000,0)</f>
        <v>0</v>
      </c>
      <c r="L1778" s="47" t="str">
        <f aca="false">IF(AND(J1778=1,N(I1778)&gt;0),SUMIF($K$2:$K$5001,"&gt;="&amp;K1778,$I$2:$I$5001)/MAX(1,SUM($H$2:$H$5001)),"")</f>
        <v/>
      </c>
      <c r="M1778" s="47" t="str">
        <f aca="false">IF($A1778="","",INDEX($L$2:$L$5001,MATCH($A1778,$A$2:$A$5001,0)))</f>
        <v/>
      </c>
      <c r="N1778" s="48" t="str">
        <f aca="false">IF($A1778="","",IF(N(M1778)=0,"–",IF(M1778&lt;=Start!$D$20,"A",IF(M1778&lt;=Start!$D$21,"B","C"))))</f>
        <v/>
      </c>
      <c r="O1778" s="48" t="str">
        <f aca="false">IF($A1778="","",IF(NOT(ISNUMBER(F1778)),"Wert fehlt; ",IF(F1778&lt;=0,"Wert ist 0; ",""))&amp;IF(NOT(ISNUMBER(E1778)),"Bestand fehlt; ",IF(E1778&lt;0,"Bestand negativ; ",IF(E1778=0,"Nullbestand; ","")))&amp;IF(D1778="","Warengruppe fehlt; ","")&amp;IF(B1778="","Bezeichnung fehlt; ","")&amp;IF(COUNTIFS($A$2:$A$5001,$A1778,$C$2:$C$5001,C1778)&gt;1,"Artikel doppelt im selben Lager; ",""))</f>
        <v/>
      </c>
      <c r="P1778" s="47" t="n">
        <f aca="false">IF(OR($A1778="",D1778=""),0,IF(COUNTIF($D$2:D1778,D1778)=1,SUMIF($D$2:$D$5001,D1778,$H$2:$H$5001)+ROW()/10000000,0))</f>
        <v>0</v>
      </c>
      <c r="Q1778" s="47" t="n">
        <f aca="false">IF(OR($A1778="",C1778=""),0,IF(COUNTIF($C$2:C1778,C1778)=1,SUMIF($C$2:$C$5001,C1778,$H$2:$H$5001)+ROW()/10000000,0))</f>
        <v>0</v>
      </c>
    </row>
    <row r="1779" customFormat="false" ht="15" hidden="false" customHeight="false" outlineLevel="0" collapsed="false">
      <c r="A1779" s="43"/>
      <c r="B1779" s="44"/>
      <c r="C1779" s="44"/>
      <c r="D1779" s="44"/>
      <c r="E1779" s="44"/>
      <c r="F1779" s="44"/>
      <c r="G1779" s="44"/>
      <c r="H1779" s="46" t="str">
        <f aca="false">IF($A1779="","",IF(OR(NOT(ISNUMBER(E1779)),NOT(ISNUMBER(F1779))),"",MAX(0,E1779)*F1779))</f>
        <v/>
      </c>
      <c r="I1779" s="46" t="str">
        <f aca="false">IF($A1779="","",SUMIF($A$2:$A$5001,$A1779,$H$2:$H$5001))</f>
        <v/>
      </c>
      <c r="J1779" s="47" t="n">
        <f aca="false">IF($A1779="",0,IF(COUNTIF($A$2:A1779,$A1779)=1,1,0))</f>
        <v>0</v>
      </c>
      <c r="K1779" s="47" t="n">
        <f aca="false">IF(J1779=1,N(I1779)+ROW()/10000000,0)</f>
        <v>0</v>
      </c>
      <c r="L1779" s="47" t="str">
        <f aca="false">IF(AND(J1779=1,N(I1779)&gt;0),SUMIF($K$2:$K$5001,"&gt;="&amp;K1779,$I$2:$I$5001)/MAX(1,SUM($H$2:$H$5001)),"")</f>
        <v/>
      </c>
      <c r="M1779" s="47" t="str">
        <f aca="false">IF($A1779="","",INDEX($L$2:$L$5001,MATCH($A1779,$A$2:$A$5001,0)))</f>
        <v/>
      </c>
      <c r="N1779" s="48" t="str">
        <f aca="false">IF($A1779="","",IF(N(M1779)=0,"–",IF(M1779&lt;=Start!$D$20,"A",IF(M1779&lt;=Start!$D$21,"B","C"))))</f>
        <v/>
      </c>
      <c r="O1779" s="48" t="str">
        <f aca="false">IF($A1779="","",IF(NOT(ISNUMBER(F1779)),"Wert fehlt; ",IF(F1779&lt;=0,"Wert ist 0; ",""))&amp;IF(NOT(ISNUMBER(E1779)),"Bestand fehlt; ",IF(E1779&lt;0,"Bestand negativ; ",IF(E1779=0,"Nullbestand; ","")))&amp;IF(D1779="","Warengruppe fehlt; ","")&amp;IF(B1779="","Bezeichnung fehlt; ","")&amp;IF(COUNTIFS($A$2:$A$5001,$A1779,$C$2:$C$5001,C1779)&gt;1,"Artikel doppelt im selben Lager; ",""))</f>
        <v/>
      </c>
      <c r="P1779" s="47" t="n">
        <f aca="false">IF(OR($A1779="",D1779=""),0,IF(COUNTIF($D$2:D1779,D1779)=1,SUMIF($D$2:$D$5001,D1779,$H$2:$H$5001)+ROW()/10000000,0))</f>
        <v>0</v>
      </c>
      <c r="Q1779" s="47" t="n">
        <f aca="false">IF(OR($A1779="",C1779=""),0,IF(COUNTIF($C$2:C1779,C1779)=1,SUMIF($C$2:$C$5001,C1779,$H$2:$H$5001)+ROW()/10000000,0))</f>
        <v>0</v>
      </c>
    </row>
    <row r="1780" customFormat="false" ht="15" hidden="false" customHeight="false" outlineLevel="0" collapsed="false">
      <c r="A1780" s="43"/>
      <c r="B1780" s="44"/>
      <c r="C1780" s="44"/>
      <c r="D1780" s="44"/>
      <c r="E1780" s="44"/>
      <c r="F1780" s="44"/>
      <c r="G1780" s="44"/>
      <c r="H1780" s="46" t="str">
        <f aca="false">IF($A1780="","",IF(OR(NOT(ISNUMBER(E1780)),NOT(ISNUMBER(F1780))),"",MAX(0,E1780)*F1780))</f>
        <v/>
      </c>
      <c r="I1780" s="46" t="str">
        <f aca="false">IF($A1780="","",SUMIF($A$2:$A$5001,$A1780,$H$2:$H$5001))</f>
        <v/>
      </c>
      <c r="J1780" s="47" t="n">
        <f aca="false">IF($A1780="",0,IF(COUNTIF($A$2:A1780,$A1780)=1,1,0))</f>
        <v>0</v>
      </c>
      <c r="K1780" s="47" t="n">
        <f aca="false">IF(J1780=1,N(I1780)+ROW()/10000000,0)</f>
        <v>0</v>
      </c>
      <c r="L1780" s="47" t="str">
        <f aca="false">IF(AND(J1780=1,N(I1780)&gt;0),SUMIF($K$2:$K$5001,"&gt;="&amp;K1780,$I$2:$I$5001)/MAX(1,SUM($H$2:$H$5001)),"")</f>
        <v/>
      </c>
      <c r="M1780" s="47" t="str">
        <f aca="false">IF($A1780="","",INDEX($L$2:$L$5001,MATCH($A1780,$A$2:$A$5001,0)))</f>
        <v/>
      </c>
      <c r="N1780" s="48" t="str">
        <f aca="false">IF($A1780="","",IF(N(M1780)=0,"–",IF(M1780&lt;=Start!$D$20,"A",IF(M1780&lt;=Start!$D$21,"B","C"))))</f>
        <v/>
      </c>
      <c r="O1780" s="48" t="str">
        <f aca="false">IF($A1780="","",IF(NOT(ISNUMBER(F1780)),"Wert fehlt; ",IF(F1780&lt;=0,"Wert ist 0; ",""))&amp;IF(NOT(ISNUMBER(E1780)),"Bestand fehlt; ",IF(E1780&lt;0,"Bestand negativ; ",IF(E1780=0,"Nullbestand; ","")))&amp;IF(D1780="","Warengruppe fehlt; ","")&amp;IF(B1780="","Bezeichnung fehlt; ","")&amp;IF(COUNTIFS($A$2:$A$5001,$A1780,$C$2:$C$5001,C1780)&gt;1,"Artikel doppelt im selben Lager; ",""))</f>
        <v/>
      </c>
      <c r="P1780" s="47" t="n">
        <f aca="false">IF(OR($A1780="",D1780=""),0,IF(COUNTIF($D$2:D1780,D1780)=1,SUMIF($D$2:$D$5001,D1780,$H$2:$H$5001)+ROW()/10000000,0))</f>
        <v>0</v>
      </c>
      <c r="Q1780" s="47" t="n">
        <f aca="false">IF(OR($A1780="",C1780=""),0,IF(COUNTIF($C$2:C1780,C1780)=1,SUMIF($C$2:$C$5001,C1780,$H$2:$H$5001)+ROW()/10000000,0))</f>
        <v>0</v>
      </c>
    </row>
    <row r="1781" customFormat="false" ht="15" hidden="false" customHeight="false" outlineLevel="0" collapsed="false">
      <c r="A1781" s="43"/>
      <c r="B1781" s="44"/>
      <c r="C1781" s="44"/>
      <c r="D1781" s="44"/>
      <c r="E1781" s="44"/>
      <c r="F1781" s="44"/>
      <c r="G1781" s="44"/>
      <c r="H1781" s="46" t="str">
        <f aca="false">IF($A1781="","",IF(OR(NOT(ISNUMBER(E1781)),NOT(ISNUMBER(F1781))),"",MAX(0,E1781)*F1781))</f>
        <v/>
      </c>
      <c r="I1781" s="46" t="str">
        <f aca="false">IF($A1781="","",SUMIF($A$2:$A$5001,$A1781,$H$2:$H$5001))</f>
        <v/>
      </c>
      <c r="J1781" s="47" t="n">
        <f aca="false">IF($A1781="",0,IF(COUNTIF($A$2:A1781,$A1781)=1,1,0))</f>
        <v>0</v>
      </c>
      <c r="K1781" s="47" t="n">
        <f aca="false">IF(J1781=1,N(I1781)+ROW()/10000000,0)</f>
        <v>0</v>
      </c>
      <c r="L1781" s="47" t="str">
        <f aca="false">IF(AND(J1781=1,N(I1781)&gt;0),SUMIF($K$2:$K$5001,"&gt;="&amp;K1781,$I$2:$I$5001)/MAX(1,SUM($H$2:$H$5001)),"")</f>
        <v/>
      </c>
      <c r="M1781" s="47" t="str">
        <f aca="false">IF($A1781="","",INDEX($L$2:$L$5001,MATCH($A1781,$A$2:$A$5001,0)))</f>
        <v/>
      </c>
      <c r="N1781" s="48" t="str">
        <f aca="false">IF($A1781="","",IF(N(M1781)=0,"–",IF(M1781&lt;=Start!$D$20,"A",IF(M1781&lt;=Start!$D$21,"B","C"))))</f>
        <v/>
      </c>
      <c r="O1781" s="48" t="str">
        <f aca="false">IF($A1781="","",IF(NOT(ISNUMBER(F1781)),"Wert fehlt; ",IF(F1781&lt;=0,"Wert ist 0; ",""))&amp;IF(NOT(ISNUMBER(E1781)),"Bestand fehlt; ",IF(E1781&lt;0,"Bestand negativ; ",IF(E1781=0,"Nullbestand; ","")))&amp;IF(D1781="","Warengruppe fehlt; ","")&amp;IF(B1781="","Bezeichnung fehlt; ","")&amp;IF(COUNTIFS($A$2:$A$5001,$A1781,$C$2:$C$5001,C1781)&gt;1,"Artikel doppelt im selben Lager; ",""))</f>
        <v/>
      </c>
      <c r="P1781" s="47" t="n">
        <f aca="false">IF(OR($A1781="",D1781=""),0,IF(COUNTIF($D$2:D1781,D1781)=1,SUMIF($D$2:$D$5001,D1781,$H$2:$H$5001)+ROW()/10000000,0))</f>
        <v>0</v>
      </c>
      <c r="Q1781" s="47" t="n">
        <f aca="false">IF(OR($A1781="",C1781=""),0,IF(COUNTIF($C$2:C1781,C1781)=1,SUMIF($C$2:$C$5001,C1781,$H$2:$H$5001)+ROW()/10000000,0))</f>
        <v>0</v>
      </c>
    </row>
    <row r="1782" customFormat="false" ht="15" hidden="false" customHeight="false" outlineLevel="0" collapsed="false">
      <c r="A1782" s="43"/>
      <c r="B1782" s="44"/>
      <c r="C1782" s="44"/>
      <c r="D1782" s="44"/>
      <c r="E1782" s="44"/>
      <c r="F1782" s="44"/>
      <c r="G1782" s="44"/>
      <c r="H1782" s="46" t="str">
        <f aca="false">IF($A1782="","",IF(OR(NOT(ISNUMBER(E1782)),NOT(ISNUMBER(F1782))),"",MAX(0,E1782)*F1782))</f>
        <v/>
      </c>
      <c r="I1782" s="46" t="str">
        <f aca="false">IF($A1782="","",SUMIF($A$2:$A$5001,$A1782,$H$2:$H$5001))</f>
        <v/>
      </c>
      <c r="J1782" s="47" t="n">
        <f aca="false">IF($A1782="",0,IF(COUNTIF($A$2:A1782,$A1782)=1,1,0))</f>
        <v>0</v>
      </c>
      <c r="K1782" s="47" t="n">
        <f aca="false">IF(J1782=1,N(I1782)+ROW()/10000000,0)</f>
        <v>0</v>
      </c>
      <c r="L1782" s="47" t="str">
        <f aca="false">IF(AND(J1782=1,N(I1782)&gt;0),SUMIF($K$2:$K$5001,"&gt;="&amp;K1782,$I$2:$I$5001)/MAX(1,SUM($H$2:$H$5001)),"")</f>
        <v/>
      </c>
      <c r="M1782" s="47" t="str">
        <f aca="false">IF($A1782="","",INDEX($L$2:$L$5001,MATCH($A1782,$A$2:$A$5001,0)))</f>
        <v/>
      </c>
      <c r="N1782" s="48" t="str">
        <f aca="false">IF($A1782="","",IF(N(M1782)=0,"–",IF(M1782&lt;=Start!$D$20,"A",IF(M1782&lt;=Start!$D$21,"B","C"))))</f>
        <v/>
      </c>
      <c r="O1782" s="48" t="str">
        <f aca="false">IF($A1782="","",IF(NOT(ISNUMBER(F1782)),"Wert fehlt; ",IF(F1782&lt;=0,"Wert ist 0; ",""))&amp;IF(NOT(ISNUMBER(E1782)),"Bestand fehlt; ",IF(E1782&lt;0,"Bestand negativ; ",IF(E1782=0,"Nullbestand; ","")))&amp;IF(D1782="","Warengruppe fehlt; ","")&amp;IF(B1782="","Bezeichnung fehlt; ","")&amp;IF(COUNTIFS($A$2:$A$5001,$A1782,$C$2:$C$5001,C1782)&gt;1,"Artikel doppelt im selben Lager; ",""))</f>
        <v/>
      </c>
      <c r="P1782" s="47" t="n">
        <f aca="false">IF(OR($A1782="",D1782=""),0,IF(COUNTIF($D$2:D1782,D1782)=1,SUMIF($D$2:$D$5001,D1782,$H$2:$H$5001)+ROW()/10000000,0))</f>
        <v>0</v>
      </c>
      <c r="Q1782" s="47" t="n">
        <f aca="false">IF(OR($A1782="",C1782=""),0,IF(COUNTIF($C$2:C1782,C1782)=1,SUMIF($C$2:$C$5001,C1782,$H$2:$H$5001)+ROW()/10000000,0))</f>
        <v>0</v>
      </c>
    </row>
    <row r="1783" customFormat="false" ht="15" hidden="false" customHeight="false" outlineLevel="0" collapsed="false">
      <c r="A1783" s="43"/>
      <c r="B1783" s="44"/>
      <c r="C1783" s="44"/>
      <c r="D1783" s="44"/>
      <c r="E1783" s="44"/>
      <c r="F1783" s="44"/>
      <c r="G1783" s="44"/>
      <c r="H1783" s="46" t="str">
        <f aca="false">IF($A1783="","",IF(OR(NOT(ISNUMBER(E1783)),NOT(ISNUMBER(F1783))),"",MAX(0,E1783)*F1783))</f>
        <v/>
      </c>
      <c r="I1783" s="46" t="str">
        <f aca="false">IF($A1783="","",SUMIF($A$2:$A$5001,$A1783,$H$2:$H$5001))</f>
        <v/>
      </c>
      <c r="J1783" s="47" t="n">
        <f aca="false">IF($A1783="",0,IF(COUNTIF($A$2:A1783,$A1783)=1,1,0))</f>
        <v>0</v>
      </c>
      <c r="K1783" s="47" t="n">
        <f aca="false">IF(J1783=1,N(I1783)+ROW()/10000000,0)</f>
        <v>0</v>
      </c>
      <c r="L1783" s="47" t="str">
        <f aca="false">IF(AND(J1783=1,N(I1783)&gt;0),SUMIF($K$2:$K$5001,"&gt;="&amp;K1783,$I$2:$I$5001)/MAX(1,SUM($H$2:$H$5001)),"")</f>
        <v/>
      </c>
      <c r="M1783" s="47" t="str">
        <f aca="false">IF($A1783="","",INDEX($L$2:$L$5001,MATCH($A1783,$A$2:$A$5001,0)))</f>
        <v/>
      </c>
      <c r="N1783" s="48" t="str">
        <f aca="false">IF($A1783="","",IF(N(M1783)=0,"–",IF(M1783&lt;=Start!$D$20,"A",IF(M1783&lt;=Start!$D$21,"B","C"))))</f>
        <v/>
      </c>
      <c r="O1783" s="48" t="str">
        <f aca="false">IF($A1783="","",IF(NOT(ISNUMBER(F1783)),"Wert fehlt; ",IF(F1783&lt;=0,"Wert ist 0; ",""))&amp;IF(NOT(ISNUMBER(E1783)),"Bestand fehlt; ",IF(E1783&lt;0,"Bestand negativ; ",IF(E1783=0,"Nullbestand; ","")))&amp;IF(D1783="","Warengruppe fehlt; ","")&amp;IF(B1783="","Bezeichnung fehlt; ","")&amp;IF(COUNTIFS($A$2:$A$5001,$A1783,$C$2:$C$5001,C1783)&gt;1,"Artikel doppelt im selben Lager; ",""))</f>
        <v/>
      </c>
      <c r="P1783" s="47" t="n">
        <f aca="false">IF(OR($A1783="",D1783=""),0,IF(COUNTIF($D$2:D1783,D1783)=1,SUMIF($D$2:$D$5001,D1783,$H$2:$H$5001)+ROW()/10000000,0))</f>
        <v>0</v>
      </c>
      <c r="Q1783" s="47" t="n">
        <f aca="false">IF(OR($A1783="",C1783=""),0,IF(COUNTIF($C$2:C1783,C1783)=1,SUMIF($C$2:$C$5001,C1783,$H$2:$H$5001)+ROW()/10000000,0))</f>
        <v>0</v>
      </c>
    </row>
    <row r="1784" customFormat="false" ht="15" hidden="false" customHeight="false" outlineLevel="0" collapsed="false">
      <c r="A1784" s="43"/>
      <c r="B1784" s="44"/>
      <c r="C1784" s="44"/>
      <c r="D1784" s="44"/>
      <c r="E1784" s="44"/>
      <c r="F1784" s="44"/>
      <c r="G1784" s="44"/>
      <c r="H1784" s="46" t="str">
        <f aca="false">IF($A1784="","",IF(OR(NOT(ISNUMBER(E1784)),NOT(ISNUMBER(F1784))),"",MAX(0,E1784)*F1784))</f>
        <v/>
      </c>
      <c r="I1784" s="46" t="str">
        <f aca="false">IF($A1784="","",SUMIF($A$2:$A$5001,$A1784,$H$2:$H$5001))</f>
        <v/>
      </c>
      <c r="J1784" s="47" t="n">
        <f aca="false">IF($A1784="",0,IF(COUNTIF($A$2:A1784,$A1784)=1,1,0))</f>
        <v>0</v>
      </c>
      <c r="K1784" s="47" t="n">
        <f aca="false">IF(J1784=1,N(I1784)+ROW()/10000000,0)</f>
        <v>0</v>
      </c>
      <c r="L1784" s="47" t="str">
        <f aca="false">IF(AND(J1784=1,N(I1784)&gt;0),SUMIF($K$2:$K$5001,"&gt;="&amp;K1784,$I$2:$I$5001)/MAX(1,SUM($H$2:$H$5001)),"")</f>
        <v/>
      </c>
      <c r="M1784" s="47" t="str">
        <f aca="false">IF($A1784="","",INDEX($L$2:$L$5001,MATCH($A1784,$A$2:$A$5001,0)))</f>
        <v/>
      </c>
      <c r="N1784" s="48" t="str">
        <f aca="false">IF($A1784="","",IF(N(M1784)=0,"–",IF(M1784&lt;=Start!$D$20,"A",IF(M1784&lt;=Start!$D$21,"B","C"))))</f>
        <v/>
      </c>
      <c r="O1784" s="48" t="str">
        <f aca="false">IF($A1784="","",IF(NOT(ISNUMBER(F1784)),"Wert fehlt; ",IF(F1784&lt;=0,"Wert ist 0; ",""))&amp;IF(NOT(ISNUMBER(E1784)),"Bestand fehlt; ",IF(E1784&lt;0,"Bestand negativ; ",IF(E1784=0,"Nullbestand; ","")))&amp;IF(D1784="","Warengruppe fehlt; ","")&amp;IF(B1784="","Bezeichnung fehlt; ","")&amp;IF(COUNTIFS($A$2:$A$5001,$A1784,$C$2:$C$5001,C1784)&gt;1,"Artikel doppelt im selben Lager; ",""))</f>
        <v/>
      </c>
      <c r="P1784" s="47" t="n">
        <f aca="false">IF(OR($A1784="",D1784=""),0,IF(COUNTIF($D$2:D1784,D1784)=1,SUMIF($D$2:$D$5001,D1784,$H$2:$H$5001)+ROW()/10000000,0))</f>
        <v>0</v>
      </c>
      <c r="Q1784" s="47" t="n">
        <f aca="false">IF(OR($A1784="",C1784=""),0,IF(COUNTIF($C$2:C1784,C1784)=1,SUMIF($C$2:$C$5001,C1784,$H$2:$H$5001)+ROW()/10000000,0))</f>
        <v>0</v>
      </c>
    </row>
    <row r="1785" customFormat="false" ht="15" hidden="false" customHeight="false" outlineLevel="0" collapsed="false">
      <c r="A1785" s="43"/>
      <c r="B1785" s="44"/>
      <c r="C1785" s="44"/>
      <c r="D1785" s="44"/>
      <c r="E1785" s="44"/>
      <c r="F1785" s="44"/>
      <c r="G1785" s="44"/>
      <c r="H1785" s="46" t="str">
        <f aca="false">IF($A1785="","",IF(OR(NOT(ISNUMBER(E1785)),NOT(ISNUMBER(F1785))),"",MAX(0,E1785)*F1785))</f>
        <v/>
      </c>
      <c r="I1785" s="46" t="str">
        <f aca="false">IF($A1785="","",SUMIF($A$2:$A$5001,$A1785,$H$2:$H$5001))</f>
        <v/>
      </c>
      <c r="J1785" s="47" t="n">
        <f aca="false">IF($A1785="",0,IF(COUNTIF($A$2:A1785,$A1785)=1,1,0))</f>
        <v>0</v>
      </c>
      <c r="K1785" s="47" t="n">
        <f aca="false">IF(J1785=1,N(I1785)+ROW()/10000000,0)</f>
        <v>0</v>
      </c>
      <c r="L1785" s="47" t="str">
        <f aca="false">IF(AND(J1785=1,N(I1785)&gt;0),SUMIF($K$2:$K$5001,"&gt;="&amp;K1785,$I$2:$I$5001)/MAX(1,SUM($H$2:$H$5001)),"")</f>
        <v/>
      </c>
      <c r="M1785" s="47" t="str">
        <f aca="false">IF($A1785="","",INDEX($L$2:$L$5001,MATCH($A1785,$A$2:$A$5001,0)))</f>
        <v/>
      </c>
      <c r="N1785" s="48" t="str">
        <f aca="false">IF($A1785="","",IF(N(M1785)=0,"–",IF(M1785&lt;=Start!$D$20,"A",IF(M1785&lt;=Start!$D$21,"B","C"))))</f>
        <v/>
      </c>
      <c r="O1785" s="48" t="str">
        <f aca="false">IF($A1785="","",IF(NOT(ISNUMBER(F1785)),"Wert fehlt; ",IF(F1785&lt;=0,"Wert ist 0; ",""))&amp;IF(NOT(ISNUMBER(E1785)),"Bestand fehlt; ",IF(E1785&lt;0,"Bestand negativ; ",IF(E1785=0,"Nullbestand; ","")))&amp;IF(D1785="","Warengruppe fehlt; ","")&amp;IF(B1785="","Bezeichnung fehlt; ","")&amp;IF(COUNTIFS($A$2:$A$5001,$A1785,$C$2:$C$5001,C1785)&gt;1,"Artikel doppelt im selben Lager; ",""))</f>
        <v/>
      </c>
      <c r="P1785" s="47" t="n">
        <f aca="false">IF(OR($A1785="",D1785=""),0,IF(COUNTIF($D$2:D1785,D1785)=1,SUMIF($D$2:$D$5001,D1785,$H$2:$H$5001)+ROW()/10000000,0))</f>
        <v>0</v>
      </c>
      <c r="Q1785" s="47" t="n">
        <f aca="false">IF(OR($A1785="",C1785=""),0,IF(COUNTIF($C$2:C1785,C1785)=1,SUMIF($C$2:$C$5001,C1785,$H$2:$H$5001)+ROW()/10000000,0))</f>
        <v>0</v>
      </c>
    </row>
    <row r="1786" customFormat="false" ht="15" hidden="false" customHeight="false" outlineLevel="0" collapsed="false">
      <c r="A1786" s="43"/>
      <c r="B1786" s="44"/>
      <c r="C1786" s="44"/>
      <c r="D1786" s="44"/>
      <c r="E1786" s="44"/>
      <c r="F1786" s="44"/>
      <c r="G1786" s="44"/>
      <c r="H1786" s="46" t="str">
        <f aca="false">IF($A1786="","",IF(OR(NOT(ISNUMBER(E1786)),NOT(ISNUMBER(F1786))),"",MAX(0,E1786)*F1786))</f>
        <v/>
      </c>
      <c r="I1786" s="46" t="str">
        <f aca="false">IF($A1786="","",SUMIF($A$2:$A$5001,$A1786,$H$2:$H$5001))</f>
        <v/>
      </c>
      <c r="J1786" s="47" t="n">
        <f aca="false">IF($A1786="",0,IF(COUNTIF($A$2:A1786,$A1786)=1,1,0))</f>
        <v>0</v>
      </c>
      <c r="K1786" s="47" t="n">
        <f aca="false">IF(J1786=1,N(I1786)+ROW()/10000000,0)</f>
        <v>0</v>
      </c>
      <c r="L1786" s="47" t="str">
        <f aca="false">IF(AND(J1786=1,N(I1786)&gt;0),SUMIF($K$2:$K$5001,"&gt;="&amp;K1786,$I$2:$I$5001)/MAX(1,SUM($H$2:$H$5001)),"")</f>
        <v/>
      </c>
      <c r="M1786" s="47" t="str">
        <f aca="false">IF($A1786="","",INDEX($L$2:$L$5001,MATCH($A1786,$A$2:$A$5001,0)))</f>
        <v/>
      </c>
      <c r="N1786" s="48" t="str">
        <f aca="false">IF($A1786="","",IF(N(M1786)=0,"–",IF(M1786&lt;=Start!$D$20,"A",IF(M1786&lt;=Start!$D$21,"B","C"))))</f>
        <v/>
      </c>
      <c r="O1786" s="48" t="str">
        <f aca="false">IF($A1786="","",IF(NOT(ISNUMBER(F1786)),"Wert fehlt; ",IF(F1786&lt;=0,"Wert ist 0; ",""))&amp;IF(NOT(ISNUMBER(E1786)),"Bestand fehlt; ",IF(E1786&lt;0,"Bestand negativ; ",IF(E1786=0,"Nullbestand; ","")))&amp;IF(D1786="","Warengruppe fehlt; ","")&amp;IF(B1786="","Bezeichnung fehlt; ","")&amp;IF(COUNTIFS($A$2:$A$5001,$A1786,$C$2:$C$5001,C1786)&gt;1,"Artikel doppelt im selben Lager; ",""))</f>
        <v/>
      </c>
      <c r="P1786" s="47" t="n">
        <f aca="false">IF(OR($A1786="",D1786=""),0,IF(COUNTIF($D$2:D1786,D1786)=1,SUMIF($D$2:$D$5001,D1786,$H$2:$H$5001)+ROW()/10000000,0))</f>
        <v>0</v>
      </c>
      <c r="Q1786" s="47" t="n">
        <f aca="false">IF(OR($A1786="",C1786=""),0,IF(COUNTIF($C$2:C1786,C1786)=1,SUMIF($C$2:$C$5001,C1786,$H$2:$H$5001)+ROW()/10000000,0))</f>
        <v>0</v>
      </c>
    </row>
    <row r="1787" customFormat="false" ht="15" hidden="false" customHeight="false" outlineLevel="0" collapsed="false">
      <c r="A1787" s="43"/>
      <c r="B1787" s="44"/>
      <c r="C1787" s="44"/>
      <c r="D1787" s="44"/>
      <c r="E1787" s="44"/>
      <c r="F1787" s="44"/>
      <c r="G1787" s="44"/>
      <c r="H1787" s="46" t="str">
        <f aca="false">IF($A1787="","",IF(OR(NOT(ISNUMBER(E1787)),NOT(ISNUMBER(F1787))),"",MAX(0,E1787)*F1787))</f>
        <v/>
      </c>
      <c r="I1787" s="46" t="str">
        <f aca="false">IF($A1787="","",SUMIF($A$2:$A$5001,$A1787,$H$2:$H$5001))</f>
        <v/>
      </c>
      <c r="J1787" s="47" t="n">
        <f aca="false">IF($A1787="",0,IF(COUNTIF($A$2:A1787,$A1787)=1,1,0))</f>
        <v>0</v>
      </c>
      <c r="K1787" s="47" t="n">
        <f aca="false">IF(J1787=1,N(I1787)+ROW()/10000000,0)</f>
        <v>0</v>
      </c>
      <c r="L1787" s="47" t="str">
        <f aca="false">IF(AND(J1787=1,N(I1787)&gt;0),SUMIF($K$2:$K$5001,"&gt;="&amp;K1787,$I$2:$I$5001)/MAX(1,SUM($H$2:$H$5001)),"")</f>
        <v/>
      </c>
      <c r="M1787" s="47" t="str">
        <f aca="false">IF($A1787="","",INDEX($L$2:$L$5001,MATCH($A1787,$A$2:$A$5001,0)))</f>
        <v/>
      </c>
      <c r="N1787" s="48" t="str">
        <f aca="false">IF($A1787="","",IF(N(M1787)=0,"–",IF(M1787&lt;=Start!$D$20,"A",IF(M1787&lt;=Start!$D$21,"B","C"))))</f>
        <v/>
      </c>
      <c r="O1787" s="48" t="str">
        <f aca="false">IF($A1787="","",IF(NOT(ISNUMBER(F1787)),"Wert fehlt; ",IF(F1787&lt;=0,"Wert ist 0; ",""))&amp;IF(NOT(ISNUMBER(E1787)),"Bestand fehlt; ",IF(E1787&lt;0,"Bestand negativ; ",IF(E1787=0,"Nullbestand; ","")))&amp;IF(D1787="","Warengruppe fehlt; ","")&amp;IF(B1787="","Bezeichnung fehlt; ","")&amp;IF(COUNTIFS($A$2:$A$5001,$A1787,$C$2:$C$5001,C1787)&gt;1,"Artikel doppelt im selben Lager; ",""))</f>
        <v/>
      </c>
      <c r="P1787" s="47" t="n">
        <f aca="false">IF(OR($A1787="",D1787=""),0,IF(COUNTIF($D$2:D1787,D1787)=1,SUMIF($D$2:$D$5001,D1787,$H$2:$H$5001)+ROW()/10000000,0))</f>
        <v>0</v>
      </c>
      <c r="Q1787" s="47" t="n">
        <f aca="false">IF(OR($A1787="",C1787=""),0,IF(COUNTIF($C$2:C1787,C1787)=1,SUMIF($C$2:$C$5001,C1787,$H$2:$H$5001)+ROW()/10000000,0))</f>
        <v>0</v>
      </c>
    </row>
    <row r="1788" customFormat="false" ht="15" hidden="false" customHeight="false" outlineLevel="0" collapsed="false">
      <c r="A1788" s="43"/>
      <c r="B1788" s="44"/>
      <c r="C1788" s="44"/>
      <c r="D1788" s="44"/>
      <c r="E1788" s="44"/>
      <c r="F1788" s="44"/>
      <c r="G1788" s="44"/>
      <c r="H1788" s="46" t="str">
        <f aca="false">IF($A1788="","",IF(OR(NOT(ISNUMBER(E1788)),NOT(ISNUMBER(F1788))),"",MAX(0,E1788)*F1788))</f>
        <v/>
      </c>
      <c r="I1788" s="46" t="str">
        <f aca="false">IF($A1788="","",SUMIF($A$2:$A$5001,$A1788,$H$2:$H$5001))</f>
        <v/>
      </c>
      <c r="J1788" s="47" t="n">
        <f aca="false">IF($A1788="",0,IF(COUNTIF($A$2:A1788,$A1788)=1,1,0))</f>
        <v>0</v>
      </c>
      <c r="K1788" s="47" t="n">
        <f aca="false">IF(J1788=1,N(I1788)+ROW()/10000000,0)</f>
        <v>0</v>
      </c>
      <c r="L1788" s="47" t="str">
        <f aca="false">IF(AND(J1788=1,N(I1788)&gt;0),SUMIF($K$2:$K$5001,"&gt;="&amp;K1788,$I$2:$I$5001)/MAX(1,SUM($H$2:$H$5001)),"")</f>
        <v/>
      </c>
      <c r="M1788" s="47" t="str">
        <f aca="false">IF($A1788="","",INDEX($L$2:$L$5001,MATCH($A1788,$A$2:$A$5001,0)))</f>
        <v/>
      </c>
      <c r="N1788" s="48" t="str">
        <f aca="false">IF($A1788="","",IF(N(M1788)=0,"–",IF(M1788&lt;=Start!$D$20,"A",IF(M1788&lt;=Start!$D$21,"B","C"))))</f>
        <v/>
      </c>
      <c r="O1788" s="48" t="str">
        <f aca="false">IF($A1788="","",IF(NOT(ISNUMBER(F1788)),"Wert fehlt; ",IF(F1788&lt;=0,"Wert ist 0; ",""))&amp;IF(NOT(ISNUMBER(E1788)),"Bestand fehlt; ",IF(E1788&lt;0,"Bestand negativ; ",IF(E1788=0,"Nullbestand; ","")))&amp;IF(D1788="","Warengruppe fehlt; ","")&amp;IF(B1788="","Bezeichnung fehlt; ","")&amp;IF(COUNTIFS($A$2:$A$5001,$A1788,$C$2:$C$5001,C1788)&gt;1,"Artikel doppelt im selben Lager; ",""))</f>
        <v/>
      </c>
      <c r="P1788" s="47" t="n">
        <f aca="false">IF(OR($A1788="",D1788=""),0,IF(COUNTIF($D$2:D1788,D1788)=1,SUMIF($D$2:$D$5001,D1788,$H$2:$H$5001)+ROW()/10000000,0))</f>
        <v>0</v>
      </c>
      <c r="Q1788" s="47" t="n">
        <f aca="false">IF(OR($A1788="",C1788=""),0,IF(COUNTIF($C$2:C1788,C1788)=1,SUMIF($C$2:$C$5001,C1788,$H$2:$H$5001)+ROW()/10000000,0))</f>
        <v>0</v>
      </c>
    </row>
    <row r="1789" customFormat="false" ht="15" hidden="false" customHeight="false" outlineLevel="0" collapsed="false">
      <c r="A1789" s="43"/>
      <c r="B1789" s="44"/>
      <c r="C1789" s="44"/>
      <c r="D1789" s="44"/>
      <c r="E1789" s="44"/>
      <c r="F1789" s="44"/>
      <c r="G1789" s="44"/>
      <c r="H1789" s="46" t="str">
        <f aca="false">IF($A1789="","",IF(OR(NOT(ISNUMBER(E1789)),NOT(ISNUMBER(F1789))),"",MAX(0,E1789)*F1789))</f>
        <v/>
      </c>
      <c r="I1789" s="46" t="str">
        <f aca="false">IF($A1789="","",SUMIF($A$2:$A$5001,$A1789,$H$2:$H$5001))</f>
        <v/>
      </c>
      <c r="J1789" s="47" t="n">
        <f aca="false">IF($A1789="",0,IF(COUNTIF($A$2:A1789,$A1789)=1,1,0))</f>
        <v>0</v>
      </c>
      <c r="K1789" s="47" t="n">
        <f aca="false">IF(J1789=1,N(I1789)+ROW()/10000000,0)</f>
        <v>0</v>
      </c>
      <c r="L1789" s="47" t="str">
        <f aca="false">IF(AND(J1789=1,N(I1789)&gt;0),SUMIF($K$2:$K$5001,"&gt;="&amp;K1789,$I$2:$I$5001)/MAX(1,SUM($H$2:$H$5001)),"")</f>
        <v/>
      </c>
      <c r="M1789" s="47" t="str">
        <f aca="false">IF($A1789="","",INDEX($L$2:$L$5001,MATCH($A1789,$A$2:$A$5001,0)))</f>
        <v/>
      </c>
      <c r="N1789" s="48" t="str">
        <f aca="false">IF($A1789="","",IF(N(M1789)=0,"–",IF(M1789&lt;=Start!$D$20,"A",IF(M1789&lt;=Start!$D$21,"B","C"))))</f>
        <v/>
      </c>
      <c r="O1789" s="48" t="str">
        <f aca="false">IF($A1789="","",IF(NOT(ISNUMBER(F1789)),"Wert fehlt; ",IF(F1789&lt;=0,"Wert ist 0; ",""))&amp;IF(NOT(ISNUMBER(E1789)),"Bestand fehlt; ",IF(E1789&lt;0,"Bestand negativ; ",IF(E1789=0,"Nullbestand; ","")))&amp;IF(D1789="","Warengruppe fehlt; ","")&amp;IF(B1789="","Bezeichnung fehlt; ","")&amp;IF(COUNTIFS($A$2:$A$5001,$A1789,$C$2:$C$5001,C1789)&gt;1,"Artikel doppelt im selben Lager; ",""))</f>
        <v/>
      </c>
      <c r="P1789" s="47" t="n">
        <f aca="false">IF(OR($A1789="",D1789=""),0,IF(COUNTIF($D$2:D1789,D1789)=1,SUMIF($D$2:$D$5001,D1789,$H$2:$H$5001)+ROW()/10000000,0))</f>
        <v>0</v>
      </c>
      <c r="Q1789" s="47" t="n">
        <f aca="false">IF(OR($A1789="",C1789=""),0,IF(COUNTIF($C$2:C1789,C1789)=1,SUMIF($C$2:$C$5001,C1789,$H$2:$H$5001)+ROW()/10000000,0))</f>
        <v>0</v>
      </c>
    </row>
    <row r="1790" customFormat="false" ht="15" hidden="false" customHeight="false" outlineLevel="0" collapsed="false">
      <c r="A1790" s="43"/>
      <c r="B1790" s="44"/>
      <c r="C1790" s="44"/>
      <c r="D1790" s="44"/>
      <c r="E1790" s="44"/>
      <c r="F1790" s="44"/>
      <c r="G1790" s="44"/>
      <c r="H1790" s="46" t="str">
        <f aca="false">IF($A1790="","",IF(OR(NOT(ISNUMBER(E1790)),NOT(ISNUMBER(F1790))),"",MAX(0,E1790)*F1790))</f>
        <v/>
      </c>
      <c r="I1790" s="46" t="str">
        <f aca="false">IF($A1790="","",SUMIF($A$2:$A$5001,$A1790,$H$2:$H$5001))</f>
        <v/>
      </c>
      <c r="J1790" s="47" t="n">
        <f aca="false">IF($A1790="",0,IF(COUNTIF($A$2:A1790,$A1790)=1,1,0))</f>
        <v>0</v>
      </c>
      <c r="K1790" s="47" t="n">
        <f aca="false">IF(J1790=1,N(I1790)+ROW()/10000000,0)</f>
        <v>0</v>
      </c>
      <c r="L1790" s="47" t="str">
        <f aca="false">IF(AND(J1790=1,N(I1790)&gt;0),SUMIF($K$2:$K$5001,"&gt;="&amp;K1790,$I$2:$I$5001)/MAX(1,SUM($H$2:$H$5001)),"")</f>
        <v/>
      </c>
      <c r="M1790" s="47" t="str">
        <f aca="false">IF($A1790="","",INDEX($L$2:$L$5001,MATCH($A1790,$A$2:$A$5001,0)))</f>
        <v/>
      </c>
      <c r="N1790" s="48" t="str">
        <f aca="false">IF($A1790="","",IF(N(M1790)=0,"–",IF(M1790&lt;=Start!$D$20,"A",IF(M1790&lt;=Start!$D$21,"B","C"))))</f>
        <v/>
      </c>
      <c r="O1790" s="48" t="str">
        <f aca="false">IF($A1790="","",IF(NOT(ISNUMBER(F1790)),"Wert fehlt; ",IF(F1790&lt;=0,"Wert ist 0; ",""))&amp;IF(NOT(ISNUMBER(E1790)),"Bestand fehlt; ",IF(E1790&lt;0,"Bestand negativ; ",IF(E1790=0,"Nullbestand; ","")))&amp;IF(D1790="","Warengruppe fehlt; ","")&amp;IF(B1790="","Bezeichnung fehlt; ","")&amp;IF(COUNTIFS($A$2:$A$5001,$A1790,$C$2:$C$5001,C1790)&gt;1,"Artikel doppelt im selben Lager; ",""))</f>
        <v/>
      </c>
      <c r="P1790" s="47" t="n">
        <f aca="false">IF(OR($A1790="",D1790=""),0,IF(COUNTIF($D$2:D1790,D1790)=1,SUMIF($D$2:$D$5001,D1790,$H$2:$H$5001)+ROW()/10000000,0))</f>
        <v>0</v>
      </c>
      <c r="Q1790" s="47" t="n">
        <f aca="false">IF(OR($A1790="",C1790=""),0,IF(COUNTIF($C$2:C1790,C1790)=1,SUMIF($C$2:$C$5001,C1790,$H$2:$H$5001)+ROW()/10000000,0))</f>
        <v>0</v>
      </c>
    </row>
    <row r="1791" customFormat="false" ht="15" hidden="false" customHeight="false" outlineLevel="0" collapsed="false">
      <c r="A1791" s="43"/>
      <c r="B1791" s="44"/>
      <c r="C1791" s="44"/>
      <c r="D1791" s="44"/>
      <c r="E1791" s="44"/>
      <c r="F1791" s="44"/>
      <c r="G1791" s="44"/>
      <c r="H1791" s="46" t="str">
        <f aca="false">IF($A1791="","",IF(OR(NOT(ISNUMBER(E1791)),NOT(ISNUMBER(F1791))),"",MAX(0,E1791)*F1791))</f>
        <v/>
      </c>
      <c r="I1791" s="46" t="str">
        <f aca="false">IF($A1791="","",SUMIF($A$2:$A$5001,$A1791,$H$2:$H$5001))</f>
        <v/>
      </c>
      <c r="J1791" s="47" t="n">
        <f aca="false">IF($A1791="",0,IF(COUNTIF($A$2:A1791,$A1791)=1,1,0))</f>
        <v>0</v>
      </c>
      <c r="K1791" s="47" t="n">
        <f aca="false">IF(J1791=1,N(I1791)+ROW()/10000000,0)</f>
        <v>0</v>
      </c>
      <c r="L1791" s="47" t="str">
        <f aca="false">IF(AND(J1791=1,N(I1791)&gt;0),SUMIF($K$2:$K$5001,"&gt;="&amp;K1791,$I$2:$I$5001)/MAX(1,SUM($H$2:$H$5001)),"")</f>
        <v/>
      </c>
      <c r="M1791" s="47" t="str">
        <f aca="false">IF($A1791="","",INDEX($L$2:$L$5001,MATCH($A1791,$A$2:$A$5001,0)))</f>
        <v/>
      </c>
      <c r="N1791" s="48" t="str">
        <f aca="false">IF($A1791="","",IF(N(M1791)=0,"–",IF(M1791&lt;=Start!$D$20,"A",IF(M1791&lt;=Start!$D$21,"B","C"))))</f>
        <v/>
      </c>
      <c r="O1791" s="48" t="str">
        <f aca="false">IF($A1791="","",IF(NOT(ISNUMBER(F1791)),"Wert fehlt; ",IF(F1791&lt;=0,"Wert ist 0; ",""))&amp;IF(NOT(ISNUMBER(E1791)),"Bestand fehlt; ",IF(E1791&lt;0,"Bestand negativ; ",IF(E1791=0,"Nullbestand; ","")))&amp;IF(D1791="","Warengruppe fehlt; ","")&amp;IF(B1791="","Bezeichnung fehlt; ","")&amp;IF(COUNTIFS($A$2:$A$5001,$A1791,$C$2:$C$5001,C1791)&gt;1,"Artikel doppelt im selben Lager; ",""))</f>
        <v/>
      </c>
      <c r="P1791" s="47" t="n">
        <f aca="false">IF(OR($A1791="",D1791=""),0,IF(COUNTIF($D$2:D1791,D1791)=1,SUMIF($D$2:$D$5001,D1791,$H$2:$H$5001)+ROW()/10000000,0))</f>
        <v>0</v>
      </c>
      <c r="Q1791" s="47" t="n">
        <f aca="false">IF(OR($A1791="",C1791=""),0,IF(COUNTIF($C$2:C1791,C1791)=1,SUMIF($C$2:$C$5001,C1791,$H$2:$H$5001)+ROW()/10000000,0))</f>
        <v>0</v>
      </c>
    </row>
    <row r="1792" customFormat="false" ht="15" hidden="false" customHeight="false" outlineLevel="0" collapsed="false">
      <c r="A1792" s="43"/>
      <c r="B1792" s="44"/>
      <c r="C1792" s="44"/>
      <c r="D1792" s="44"/>
      <c r="E1792" s="44"/>
      <c r="F1792" s="44"/>
      <c r="G1792" s="44"/>
      <c r="H1792" s="46" t="str">
        <f aca="false">IF($A1792="","",IF(OR(NOT(ISNUMBER(E1792)),NOT(ISNUMBER(F1792))),"",MAX(0,E1792)*F1792))</f>
        <v/>
      </c>
      <c r="I1792" s="46" t="str">
        <f aca="false">IF($A1792="","",SUMIF($A$2:$A$5001,$A1792,$H$2:$H$5001))</f>
        <v/>
      </c>
      <c r="J1792" s="47" t="n">
        <f aca="false">IF($A1792="",0,IF(COUNTIF($A$2:A1792,$A1792)=1,1,0))</f>
        <v>0</v>
      </c>
      <c r="K1792" s="47" t="n">
        <f aca="false">IF(J1792=1,N(I1792)+ROW()/10000000,0)</f>
        <v>0</v>
      </c>
      <c r="L1792" s="47" t="str">
        <f aca="false">IF(AND(J1792=1,N(I1792)&gt;0),SUMIF($K$2:$K$5001,"&gt;="&amp;K1792,$I$2:$I$5001)/MAX(1,SUM($H$2:$H$5001)),"")</f>
        <v/>
      </c>
      <c r="M1792" s="47" t="str">
        <f aca="false">IF($A1792="","",INDEX($L$2:$L$5001,MATCH($A1792,$A$2:$A$5001,0)))</f>
        <v/>
      </c>
      <c r="N1792" s="48" t="str">
        <f aca="false">IF($A1792="","",IF(N(M1792)=0,"–",IF(M1792&lt;=Start!$D$20,"A",IF(M1792&lt;=Start!$D$21,"B","C"))))</f>
        <v/>
      </c>
      <c r="O1792" s="48" t="str">
        <f aca="false">IF($A1792="","",IF(NOT(ISNUMBER(F1792)),"Wert fehlt; ",IF(F1792&lt;=0,"Wert ist 0; ",""))&amp;IF(NOT(ISNUMBER(E1792)),"Bestand fehlt; ",IF(E1792&lt;0,"Bestand negativ; ",IF(E1792=0,"Nullbestand; ","")))&amp;IF(D1792="","Warengruppe fehlt; ","")&amp;IF(B1792="","Bezeichnung fehlt; ","")&amp;IF(COUNTIFS($A$2:$A$5001,$A1792,$C$2:$C$5001,C1792)&gt;1,"Artikel doppelt im selben Lager; ",""))</f>
        <v/>
      </c>
      <c r="P1792" s="47" t="n">
        <f aca="false">IF(OR($A1792="",D1792=""),0,IF(COUNTIF($D$2:D1792,D1792)=1,SUMIF($D$2:$D$5001,D1792,$H$2:$H$5001)+ROW()/10000000,0))</f>
        <v>0</v>
      </c>
      <c r="Q1792" s="47" t="n">
        <f aca="false">IF(OR($A1792="",C1792=""),0,IF(COUNTIF($C$2:C1792,C1792)=1,SUMIF($C$2:$C$5001,C1792,$H$2:$H$5001)+ROW()/10000000,0))</f>
        <v>0</v>
      </c>
    </row>
    <row r="1793" customFormat="false" ht="15" hidden="false" customHeight="false" outlineLevel="0" collapsed="false">
      <c r="A1793" s="43"/>
      <c r="B1793" s="44"/>
      <c r="C1793" s="44"/>
      <c r="D1793" s="44"/>
      <c r="E1793" s="44"/>
      <c r="F1793" s="44"/>
      <c r="G1793" s="44"/>
      <c r="H1793" s="46" t="str">
        <f aca="false">IF($A1793="","",IF(OR(NOT(ISNUMBER(E1793)),NOT(ISNUMBER(F1793))),"",MAX(0,E1793)*F1793))</f>
        <v/>
      </c>
      <c r="I1793" s="46" t="str">
        <f aca="false">IF($A1793="","",SUMIF($A$2:$A$5001,$A1793,$H$2:$H$5001))</f>
        <v/>
      </c>
      <c r="J1793" s="47" t="n">
        <f aca="false">IF($A1793="",0,IF(COUNTIF($A$2:A1793,$A1793)=1,1,0))</f>
        <v>0</v>
      </c>
      <c r="K1793" s="47" t="n">
        <f aca="false">IF(J1793=1,N(I1793)+ROW()/10000000,0)</f>
        <v>0</v>
      </c>
      <c r="L1793" s="47" t="str">
        <f aca="false">IF(AND(J1793=1,N(I1793)&gt;0),SUMIF($K$2:$K$5001,"&gt;="&amp;K1793,$I$2:$I$5001)/MAX(1,SUM($H$2:$H$5001)),"")</f>
        <v/>
      </c>
      <c r="M1793" s="47" t="str">
        <f aca="false">IF($A1793="","",INDEX($L$2:$L$5001,MATCH($A1793,$A$2:$A$5001,0)))</f>
        <v/>
      </c>
      <c r="N1793" s="48" t="str">
        <f aca="false">IF($A1793="","",IF(N(M1793)=0,"–",IF(M1793&lt;=Start!$D$20,"A",IF(M1793&lt;=Start!$D$21,"B","C"))))</f>
        <v/>
      </c>
      <c r="O1793" s="48" t="str">
        <f aca="false">IF($A1793="","",IF(NOT(ISNUMBER(F1793)),"Wert fehlt; ",IF(F1793&lt;=0,"Wert ist 0; ",""))&amp;IF(NOT(ISNUMBER(E1793)),"Bestand fehlt; ",IF(E1793&lt;0,"Bestand negativ; ",IF(E1793=0,"Nullbestand; ","")))&amp;IF(D1793="","Warengruppe fehlt; ","")&amp;IF(B1793="","Bezeichnung fehlt; ","")&amp;IF(COUNTIFS($A$2:$A$5001,$A1793,$C$2:$C$5001,C1793)&gt;1,"Artikel doppelt im selben Lager; ",""))</f>
        <v/>
      </c>
      <c r="P1793" s="47" t="n">
        <f aca="false">IF(OR($A1793="",D1793=""),0,IF(COUNTIF($D$2:D1793,D1793)=1,SUMIF($D$2:$D$5001,D1793,$H$2:$H$5001)+ROW()/10000000,0))</f>
        <v>0</v>
      </c>
      <c r="Q1793" s="47" t="n">
        <f aca="false">IF(OR($A1793="",C1793=""),0,IF(COUNTIF($C$2:C1793,C1793)=1,SUMIF($C$2:$C$5001,C1793,$H$2:$H$5001)+ROW()/10000000,0))</f>
        <v>0</v>
      </c>
    </row>
    <row r="1794" customFormat="false" ht="15" hidden="false" customHeight="false" outlineLevel="0" collapsed="false">
      <c r="A1794" s="43"/>
      <c r="B1794" s="44"/>
      <c r="C1794" s="44"/>
      <c r="D1794" s="44"/>
      <c r="E1794" s="44"/>
      <c r="F1794" s="44"/>
      <c r="G1794" s="44"/>
      <c r="H1794" s="46" t="str">
        <f aca="false">IF($A1794="","",IF(OR(NOT(ISNUMBER(E1794)),NOT(ISNUMBER(F1794))),"",MAX(0,E1794)*F1794))</f>
        <v/>
      </c>
      <c r="I1794" s="46" t="str">
        <f aca="false">IF($A1794="","",SUMIF($A$2:$A$5001,$A1794,$H$2:$H$5001))</f>
        <v/>
      </c>
      <c r="J1794" s="47" t="n">
        <f aca="false">IF($A1794="",0,IF(COUNTIF($A$2:A1794,$A1794)=1,1,0))</f>
        <v>0</v>
      </c>
      <c r="K1794" s="47" t="n">
        <f aca="false">IF(J1794=1,N(I1794)+ROW()/10000000,0)</f>
        <v>0</v>
      </c>
      <c r="L1794" s="47" t="str">
        <f aca="false">IF(AND(J1794=1,N(I1794)&gt;0),SUMIF($K$2:$K$5001,"&gt;="&amp;K1794,$I$2:$I$5001)/MAX(1,SUM($H$2:$H$5001)),"")</f>
        <v/>
      </c>
      <c r="M1794" s="47" t="str">
        <f aca="false">IF($A1794="","",INDEX($L$2:$L$5001,MATCH($A1794,$A$2:$A$5001,0)))</f>
        <v/>
      </c>
      <c r="N1794" s="48" t="str">
        <f aca="false">IF($A1794="","",IF(N(M1794)=0,"–",IF(M1794&lt;=Start!$D$20,"A",IF(M1794&lt;=Start!$D$21,"B","C"))))</f>
        <v/>
      </c>
      <c r="O1794" s="48" t="str">
        <f aca="false">IF($A1794="","",IF(NOT(ISNUMBER(F1794)),"Wert fehlt; ",IF(F1794&lt;=0,"Wert ist 0; ",""))&amp;IF(NOT(ISNUMBER(E1794)),"Bestand fehlt; ",IF(E1794&lt;0,"Bestand negativ; ",IF(E1794=0,"Nullbestand; ","")))&amp;IF(D1794="","Warengruppe fehlt; ","")&amp;IF(B1794="","Bezeichnung fehlt; ","")&amp;IF(COUNTIFS($A$2:$A$5001,$A1794,$C$2:$C$5001,C1794)&gt;1,"Artikel doppelt im selben Lager; ",""))</f>
        <v/>
      </c>
      <c r="P1794" s="47" t="n">
        <f aca="false">IF(OR($A1794="",D1794=""),0,IF(COUNTIF($D$2:D1794,D1794)=1,SUMIF($D$2:$D$5001,D1794,$H$2:$H$5001)+ROW()/10000000,0))</f>
        <v>0</v>
      </c>
      <c r="Q1794" s="47" t="n">
        <f aca="false">IF(OR($A1794="",C1794=""),0,IF(COUNTIF($C$2:C1794,C1794)=1,SUMIF($C$2:$C$5001,C1794,$H$2:$H$5001)+ROW()/10000000,0))</f>
        <v>0</v>
      </c>
    </row>
    <row r="1795" customFormat="false" ht="15" hidden="false" customHeight="false" outlineLevel="0" collapsed="false">
      <c r="A1795" s="43"/>
      <c r="B1795" s="44"/>
      <c r="C1795" s="44"/>
      <c r="D1795" s="44"/>
      <c r="E1795" s="44"/>
      <c r="F1795" s="44"/>
      <c r="G1795" s="44"/>
      <c r="H1795" s="46" t="str">
        <f aca="false">IF($A1795="","",IF(OR(NOT(ISNUMBER(E1795)),NOT(ISNUMBER(F1795))),"",MAX(0,E1795)*F1795))</f>
        <v/>
      </c>
      <c r="I1795" s="46" t="str">
        <f aca="false">IF($A1795="","",SUMIF($A$2:$A$5001,$A1795,$H$2:$H$5001))</f>
        <v/>
      </c>
      <c r="J1795" s="47" t="n">
        <f aca="false">IF($A1795="",0,IF(COUNTIF($A$2:A1795,$A1795)=1,1,0))</f>
        <v>0</v>
      </c>
      <c r="K1795" s="47" t="n">
        <f aca="false">IF(J1795=1,N(I1795)+ROW()/10000000,0)</f>
        <v>0</v>
      </c>
      <c r="L1795" s="47" t="str">
        <f aca="false">IF(AND(J1795=1,N(I1795)&gt;0),SUMIF($K$2:$K$5001,"&gt;="&amp;K1795,$I$2:$I$5001)/MAX(1,SUM($H$2:$H$5001)),"")</f>
        <v/>
      </c>
      <c r="M1795" s="47" t="str">
        <f aca="false">IF($A1795="","",INDEX($L$2:$L$5001,MATCH($A1795,$A$2:$A$5001,0)))</f>
        <v/>
      </c>
      <c r="N1795" s="48" t="str">
        <f aca="false">IF($A1795="","",IF(N(M1795)=0,"–",IF(M1795&lt;=Start!$D$20,"A",IF(M1795&lt;=Start!$D$21,"B","C"))))</f>
        <v/>
      </c>
      <c r="O1795" s="48" t="str">
        <f aca="false">IF($A1795="","",IF(NOT(ISNUMBER(F1795)),"Wert fehlt; ",IF(F1795&lt;=0,"Wert ist 0; ",""))&amp;IF(NOT(ISNUMBER(E1795)),"Bestand fehlt; ",IF(E1795&lt;0,"Bestand negativ; ",IF(E1795=0,"Nullbestand; ","")))&amp;IF(D1795="","Warengruppe fehlt; ","")&amp;IF(B1795="","Bezeichnung fehlt; ","")&amp;IF(COUNTIFS($A$2:$A$5001,$A1795,$C$2:$C$5001,C1795)&gt;1,"Artikel doppelt im selben Lager; ",""))</f>
        <v/>
      </c>
      <c r="P1795" s="47" t="n">
        <f aca="false">IF(OR($A1795="",D1795=""),0,IF(COUNTIF($D$2:D1795,D1795)=1,SUMIF($D$2:$D$5001,D1795,$H$2:$H$5001)+ROW()/10000000,0))</f>
        <v>0</v>
      </c>
      <c r="Q1795" s="47" t="n">
        <f aca="false">IF(OR($A1795="",C1795=""),0,IF(COUNTIF($C$2:C1795,C1795)=1,SUMIF($C$2:$C$5001,C1795,$H$2:$H$5001)+ROW()/10000000,0))</f>
        <v>0</v>
      </c>
    </row>
    <row r="1796" customFormat="false" ht="15" hidden="false" customHeight="false" outlineLevel="0" collapsed="false">
      <c r="A1796" s="43"/>
      <c r="B1796" s="44"/>
      <c r="C1796" s="44"/>
      <c r="D1796" s="44"/>
      <c r="E1796" s="44"/>
      <c r="F1796" s="44"/>
      <c r="G1796" s="44"/>
      <c r="H1796" s="46" t="str">
        <f aca="false">IF($A1796="","",IF(OR(NOT(ISNUMBER(E1796)),NOT(ISNUMBER(F1796))),"",MAX(0,E1796)*F1796))</f>
        <v/>
      </c>
      <c r="I1796" s="46" t="str">
        <f aca="false">IF($A1796="","",SUMIF($A$2:$A$5001,$A1796,$H$2:$H$5001))</f>
        <v/>
      </c>
      <c r="J1796" s="47" t="n">
        <f aca="false">IF($A1796="",0,IF(COUNTIF($A$2:A1796,$A1796)=1,1,0))</f>
        <v>0</v>
      </c>
      <c r="K1796" s="47" t="n">
        <f aca="false">IF(J1796=1,N(I1796)+ROW()/10000000,0)</f>
        <v>0</v>
      </c>
      <c r="L1796" s="47" t="str">
        <f aca="false">IF(AND(J1796=1,N(I1796)&gt;0),SUMIF($K$2:$K$5001,"&gt;="&amp;K1796,$I$2:$I$5001)/MAX(1,SUM($H$2:$H$5001)),"")</f>
        <v/>
      </c>
      <c r="M1796" s="47" t="str">
        <f aca="false">IF($A1796="","",INDEX($L$2:$L$5001,MATCH($A1796,$A$2:$A$5001,0)))</f>
        <v/>
      </c>
      <c r="N1796" s="48" t="str">
        <f aca="false">IF($A1796="","",IF(N(M1796)=0,"–",IF(M1796&lt;=Start!$D$20,"A",IF(M1796&lt;=Start!$D$21,"B","C"))))</f>
        <v/>
      </c>
      <c r="O1796" s="48" t="str">
        <f aca="false">IF($A1796="","",IF(NOT(ISNUMBER(F1796)),"Wert fehlt; ",IF(F1796&lt;=0,"Wert ist 0; ",""))&amp;IF(NOT(ISNUMBER(E1796)),"Bestand fehlt; ",IF(E1796&lt;0,"Bestand negativ; ",IF(E1796=0,"Nullbestand; ","")))&amp;IF(D1796="","Warengruppe fehlt; ","")&amp;IF(B1796="","Bezeichnung fehlt; ","")&amp;IF(COUNTIFS($A$2:$A$5001,$A1796,$C$2:$C$5001,C1796)&gt;1,"Artikel doppelt im selben Lager; ",""))</f>
        <v/>
      </c>
      <c r="P1796" s="47" t="n">
        <f aca="false">IF(OR($A1796="",D1796=""),0,IF(COUNTIF($D$2:D1796,D1796)=1,SUMIF($D$2:$D$5001,D1796,$H$2:$H$5001)+ROW()/10000000,0))</f>
        <v>0</v>
      </c>
      <c r="Q1796" s="47" t="n">
        <f aca="false">IF(OR($A1796="",C1796=""),0,IF(COUNTIF($C$2:C1796,C1796)=1,SUMIF($C$2:$C$5001,C1796,$H$2:$H$5001)+ROW()/10000000,0))</f>
        <v>0</v>
      </c>
    </row>
    <row r="1797" customFormat="false" ht="15" hidden="false" customHeight="false" outlineLevel="0" collapsed="false">
      <c r="A1797" s="43"/>
      <c r="B1797" s="44"/>
      <c r="C1797" s="44"/>
      <c r="D1797" s="44"/>
      <c r="E1797" s="44"/>
      <c r="F1797" s="44"/>
      <c r="G1797" s="44"/>
      <c r="H1797" s="46" t="str">
        <f aca="false">IF($A1797="","",IF(OR(NOT(ISNUMBER(E1797)),NOT(ISNUMBER(F1797))),"",MAX(0,E1797)*F1797))</f>
        <v/>
      </c>
      <c r="I1797" s="46" t="str">
        <f aca="false">IF($A1797="","",SUMIF($A$2:$A$5001,$A1797,$H$2:$H$5001))</f>
        <v/>
      </c>
      <c r="J1797" s="47" t="n">
        <f aca="false">IF($A1797="",0,IF(COUNTIF($A$2:A1797,$A1797)=1,1,0))</f>
        <v>0</v>
      </c>
      <c r="K1797" s="47" t="n">
        <f aca="false">IF(J1797=1,N(I1797)+ROW()/10000000,0)</f>
        <v>0</v>
      </c>
      <c r="L1797" s="47" t="str">
        <f aca="false">IF(AND(J1797=1,N(I1797)&gt;0),SUMIF($K$2:$K$5001,"&gt;="&amp;K1797,$I$2:$I$5001)/MAX(1,SUM($H$2:$H$5001)),"")</f>
        <v/>
      </c>
      <c r="M1797" s="47" t="str">
        <f aca="false">IF($A1797="","",INDEX($L$2:$L$5001,MATCH($A1797,$A$2:$A$5001,0)))</f>
        <v/>
      </c>
      <c r="N1797" s="48" t="str">
        <f aca="false">IF($A1797="","",IF(N(M1797)=0,"–",IF(M1797&lt;=Start!$D$20,"A",IF(M1797&lt;=Start!$D$21,"B","C"))))</f>
        <v/>
      </c>
      <c r="O1797" s="48" t="str">
        <f aca="false">IF($A1797="","",IF(NOT(ISNUMBER(F1797)),"Wert fehlt; ",IF(F1797&lt;=0,"Wert ist 0; ",""))&amp;IF(NOT(ISNUMBER(E1797)),"Bestand fehlt; ",IF(E1797&lt;0,"Bestand negativ; ",IF(E1797=0,"Nullbestand; ","")))&amp;IF(D1797="","Warengruppe fehlt; ","")&amp;IF(B1797="","Bezeichnung fehlt; ","")&amp;IF(COUNTIFS($A$2:$A$5001,$A1797,$C$2:$C$5001,C1797)&gt;1,"Artikel doppelt im selben Lager; ",""))</f>
        <v/>
      </c>
      <c r="P1797" s="47" t="n">
        <f aca="false">IF(OR($A1797="",D1797=""),0,IF(COUNTIF($D$2:D1797,D1797)=1,SUMIF($D$2:$D$5001,D1797,$H$2:$H$5001)+ROW()/10000000,0))</f>
        <v>0</v>
      </c>
      <c r="Q1797" s="47" t="n">
        <f aca="false">IF(OR($A1797="",C1797=""),0,IF(COUNTIF($C$2:C1797,C1797)=1,SUMIF($C$2:$C$5001,C1797,$H$2:$H$5001)+ROW()/10000000,0))</f>
        <v>0</v>
      </c>
    </row>
    <row r="1798" customFormat="false" ht="15" hidden="false" customHeight="false" outlineLevel="0" collapsed="false">
      <c r="A1798" s="43"/>
      <c r="B1798" s="44"/>
      <c r="C1798" s="44"/>
      <c r="D1798" s="44"/>
      <c r="E1798" s="44"/>
      <c r="F1798" s="44"/>
      <c r="G1798" s="44"/>
      <c r="H1798" s="46" t="str">
        <f aca="false">IF($A1798="","",IF(OR(NOT(ISNUMBER(E1798)),NOT(ISNUMBER(F1798))),"",MAX(0,E1798)*F1798))</f>
        <v/>
      </c>
      <c r="I1798" s="46" t="str">
        <f aca="false">IF($A1798="","",SUMIF($A$2:$A$5001,$A1798,$H$2:$H$5001))</f>
        <v/>
      </c>
      <c r="J1798" s="47" t="n">
        <f aca="false">IF($A1798="",0,IF(COUNTIF($A$2:A1798,$A1798)=1,1,0))</f>
        <v>0</v>
      </c>
      <c r="K1798" s="47" t="n">
        <f aca="false">IF(J1798=1,N(I1798)+ROW()/10000000,0)</f>
        <v>0</v>
      </c>
      <c r="L1798" s="47" t="str">
        <f aca="false">IF(AND(J1798=1,N(I1798)&gt;0),SUMIF($K$2:$K$5001,"&gt;="&amp;K1798,$I$2:$I$5001)/MAX(1,SUM($H$2:$H$5001)),"")</f>
        <v/>
      </c>
      <c r="M1798" s="47" t="str">
        <f aca="false">IF($A1798="","",INDEX($L$2:$L$5001,MATCH($A1798,$A$2:$A$5001,0)))</f>
        <v/>
      </c>
      <c r="N1798" s="48" t="str">
        <f aca="false">IF($A1798="","",IF(N(M1798)=0,"–",IF(M1798&lt;=Start!$D$20,"A",IF(M1798&lt;=Start!$D$21,"B","C"))))</f>
        <v/>
      </c>
      <c r="O1798" s="48" t="str">
        <f aca="false">IF($A1798="","",IF(NOT(ISNUMBER(F1798)),"Wert fehlt; ",IF(F1798&lt;=0,"Wert ist 0; ",""))&amp;IF(NOT(ISNUMBER(E1798)),"Bestand fehlt; ",IF(E1798&lt;0,"Bestand negativ; ",IF(E1798=0,"Nullbestand; ","")))&amp;IF(D1798="","Warengruppe fehlt; ","")&amp;IF(B1798="","Bezeichnung fehlt; ","")&amp;IF(COUNTIFS($A$2:$A$5001,$A1798,$C$2:$C$5001,C1798)&gt;1,"Artikel doppelt im selben Lager; ",""))</f>
        <v/>
      </c>
      <c r="P1798" s="47" t="n">
        <f aca="false">IF(OR($A1798="",D1798=""),0,IF(COUNTIF($D$2:D1798,D1798)=1,SUMIF($D$2:$D$5001,D1798,$H$2:$H$5001)+ROW()/10000000,0))</f>
        <v>0</v>
      </c>
      <c r="Q1798" s="47" t="n">
        <f aca="false">IF(OR($A1798="",C1798=""),0,IF(COUNTIF($C$2:C1798,C1798)=1,SUMIF($C$2:$C$5001,C1798,$H$2:$H$5001)+ROW()/10000000,0))</f>
        <v>0</v>
      </c>
    </row>
    <row r="1799" customFormat="false" ht="15" hidden="false" customHeight="false" outlineLevel="0" collapsed="false">
      <c r="A1799" s="43"/>
      <c r="B1799" s="44"/>
      <c r="C1799" s="44"/>
      <c r="D1799" s="44"/>
      <c r="E1799" s="44"/>
      <c r="F1799" s="44"/>
      <c r="G1799" s="44"/>
      <c r="H1799" s="46" t="str">
        <f aca="false">IF($A1799="","",IF(OR(NOT(ISNUMBER(E1799)),NOT(ISNUMBER(F1799))),"",MAX(0,E1799)*F1799))</f>
        <v/>
      </c>
      <c r="I1799" s="46" t="str">
        <f aca="false">IF($A1799="","",SUMIF($A$2:$A$5001,$A1799,$H$2:$H$5001))</f>
        <v/>
      </c>
      <c r="J1799" s="47" t="n">
        <f aca="false">IF($A1799="",0,IF(COUNTIF($A$2:A1799,$A1799)=1,1,0))</f>
        <v>0</v>
      </c>
      <c r="K1799" s="47" t="n">
        <f aca="false">IF(J1799=1,N(I1799)+ROW()/10000000,0)</f>
        <v>0</v>
      </c>
      <c r="L1799" s="47" t="str">
        <f aca="false">IF(AND(J1799=1,N(I1799)&gt;0),SUMIF($K$2:$K$5001,"&gt;="&amp;K1799,$I$2:$I$5001)/MAX(1,SUM($H$2:$H$5001)),"")</f>
        <v/>
      </c>
      <c r="M1799" s="47" t="str">
        <f aca="false">IF($A1799="","",INDEX($L$2:$L$5001,MATCH($A1799,$A$2:$A$5001,0)))</f>
        <v/>
      </c>
      <c r="N1799" s="48" t="str">
        <f aca="false">IF($A1799="","",IF(N(M1799)=0,"–",IF(M1799&lt;=Start!$D$20,"A",IF(M1799&lt;=Start!$D$21,"B","C"))))</f>
        <v/>
      </c>
      <c r="O1799" s="48" t="str">
        <f aca="false">IF($A1799="","",IF(NOT(ISNUMBER(F1799)),"Wert fehlt; ",IF(F1799&lt;=0,"Wert ist 0; ",""))&amp;IF(NOT(ISNUMBER(E1799)),"Bestand fehlt; ",IF(E1799&lt;0,"Bestand negativ; ",IF(E1799=0,"Nullbestand; ","")))&amp;IF(D1799="","Warengruppe fehlt; ","")&amp;IF(B1799="","Bezeichnung fehlt; ","")&amp;IF(COUNTIFS($A$2:$A$5001,$A1799,$C$2:$C$5001,C1799)&gt;1,"Artikel doppelt im selben Lager; ",""))</f>
        <v/>
      </c>
      <c r="P1799" s="47" t="n">
        <f aca="false">IF(OR($A1799="",D1799=""),0,IF(COUNTIF($D$2:D1799,D1799)=1,SUMIF($D$2:$D$5001,D1799,$H$2:$H$5001)+ROW()/10000000,0))</f>
        <v>0</v>
      </c>
      <c r="Q1799" s="47" t="n">
        <f aca="false">IF(OR($A1799="",C1799=""),0,IF(COUNTIF($C$2:C1799,C1799)=1,SUMIF($C$2:$C$5001,C1799,$H$2:$H$5001)+ROW()/10000000,0))</f>
        <v>0</v>
      </c>
    </row>
    <row r="1800" customFormat="false" ht="15" hidden="false" customHeight="false" outlineLevel="0" collapsed="false">
      <c r="A1800" s="43"/>
      <c r="B1800" s="44"/>
      <c r="C1800" s="44"/>
      <c r="D1800" s="44"/>
      <c r="E1800" s="44"/>
      <c r="F1800" s="44"/>
      <c r="G1800" s="44"/>
      <c r="H1800" s="46" t="str">
        <f aca="false">IF($A1800="","",IF(OR(NOT(ISNUMBER(E1800)),NOT(ISNUMBER(F1800))),"",MAX(0,E1800)*F1800))</f>
        <v/>
      </c>
      <c r="I1800" s="46" t="str">
        <f aca="false">IF($A1800="","",SUMIF($A$2:$A$5001,$A1800,$H$2:$H$5001))</f>
        <v/>
      </c>
      <c r="J1800" s="47" t="n">
        <f aca="false">IF($A1800="",0,IF(COUNTIF($A$2:A1800,$A1800)=1,1,0))</f>
        <v>0</v>
      </c>
      <c r="K1800" s="47" t="n">
        <f aca="false">IF(J1800=1,N(I1800)+ROW()/10000000,0)</f>
        <v>0</v>
      </c>
      <c r="L1800" s="47" t="str">
        <f aca="false">IF(AND(J1800=1,N(I1800)&gt;0),SUMIF($K$2:$K$5001,"&gt;="&amp;K1800,$I$2:$I$5001)/MAX(1,SUM($H$2:$H$5001)),"")</f>
        <v/>
      </c>
      <c r="M1800" s="47" t="str">
        <f aca="false">IF($A1800="","",INDEX($L$2:$L$5001,MATCH($A1800,$A$2:$A$5001,0)))</f>
        <v/>
      </c>
      <c r="N1800" s="48" t="str">
        <f aca="false">IF($A1800="","",IF(N(M1800)=0,"–",IF(M1800&lt;=Start!$D$20,"A",IF(M1800&lt;=Start!$D$21,"B","C"))))</f>
        <v/>
      </c>
      <c r="O1800" s="48" t="str">
        <f aca="false">IF($A1800="","",IF(NOT(ISNUMBER(F1800)),"Wert fehlt; ",IF(F1800&lt;=0,"Wert ist 0; ",""))&amp;IF(NOT(ISNUMBER(E1800)),"Bestand fehlt; ",IF(E1800&lt;0,"Bestand negativ; ",IF(E1800=0,"Nullbestand; ","")))&amp;IF(D1800="","Warengruppe fehlt; ","")&amp;IF(B1800="","Bezeichnung fehlt; ","")&amp;IF(COUNTIFS($A$2:$A$5001,$A1800,$C$2:$C$5001,C1800)&gt;1,"Artikel doppelt im selben Lager; ",""))</f>
        <v/>
      </c>
      <c r="P1800" s="47" t="n">
        <f aca="false">IF(OR($A1800="",D1800=""),0,IF(COUNTIF($D$2:D1800,D1800)=1,SUMIF($D$2:$D$5001,D1800,$H$2:$H$5001)+ROW()/10000000,0))</f>
        <v>0</v>
      </c>
      <c r="Q1800" s="47" t="n">
        <f aca="false">IF(OR($A1800="",C1800=""),0,IF(COUNTIF($C$2:C1800,C1800)=1,SUMIF($C$2:$C$5001,C1800,$H$2:$H$5001)+ROW()/10000000,0))</f>
        <v>0</v>
      </c>
    </row>
    <row r="1801" customFormat="false" ht="15" hidden="false" customHeight="false" outlineLevel="0" collapsed="false">
      <c r="A1801" s="43"/>
      <c r="B1801" s="44"/>
      <c r="C1801" s="44"/>
      <c r="D1801" s="44"/>
      <c r="E1801" s="44"/>
      <c r="F1801" s="44"/>
      <c r="G1801" s="44"/>
      <c r="H1801" s="46" t="str">
        <f aca="false">IF($A1801="","",IF(OR(NOT(ISNUMBER(E1801)),NOT(ISNUMBER(F1801))),"",MAX(0,E1801)*F1801))</f>
        <v/>
      </c>
      <c r="I1801" s="46" t="str">
        <f aca="false">IF($A1801="","",SUMIF($A$2:$A$5001,$A1801,$H$2:$H$5001))</f>
        <v/>
      </c>
      <c r="J1801" s="47" t="n">
        <f aca="false">IF($A1801="",0,IF(COUNTIF($A$2:A1801,$A1801)=1,1,0))</f>
        <v>0</v>
      </c>
      <c r="K1801" s="47" t="n">
        <f aca="false">IF(J1801=1,N(I1801)+ROW()/10000000,0)</f>
        <v>0</v>
      </c>
      <c r="L1801" s="47" t="str">
        <f aca="false">IF(AND(J1801=1,N(I1801)&gt;0),SUMIF($K$2:$K$5001,"&gt;="&amp;K1801,$I$2:$I$5001)/MAX(1,SUM($H$2:$H$5001)),"")</f>
        <v/>
      </c>
      <c r="M1801" s="47" t="str">
        <f aca="false">IF($A1801="","",INDEX($L$2:$L$5001,MATCH($A1801,$A$2:$A$5001,0)))</f>
        <v/>
      </c>
      <c r="N1801" s="48" t="str">
        <f aca="false">IF($A1801="","",IF(N(M1801)=0,"–",IF(M1801&lt;=Start!$D$20,"A",IF(M1801&lt;=Start!$D$21,"B","C"))))</f>
        <v/>
      </c>
      <c r="O1801" s="48" t="str">
        <f aca="false">IF($A1801="","",IF(NOT(ISNUMBER(F1801)),"Wert fehlt; ",IF(F1801&lt;=0,"Wert ist 0; ",""))&amp;IF(NOT(ISNUMBER(E1801)),"Bestand fehlt; ",IF(E1801&lt;0,"Bestand negativ; ",IF(E1801=0,"Nullbestand; ","")))&amp;IF(D1801="","Warengruppe fehlt; ","")&amp;IF(B1801="","Bezeichnung fehlt; ","")&amp;IF(COUNTIFS($A$2:$A$5001,$A1801,$C$2:$C$5001,C1801)&gt;1,"Artikel doppelt im selben Lager; ",""))</f>
        <v/>
      </c>
      <c r="P1801" s="47" t="n">
        <f aca="false">IF(OR($A1801="",D1801=""),0,IF(COUNTIF($D$2:D1801,D1801)=1,SUMIF($D$2:$D$5001,D1801,$H$2:$H$5001)+ROW()/10000000,0))</f>
        <v>0</v>
      </c>
      <c r="Q1801" s="47" t="n">
        <f aca="false">IF(OR($A1801="",C1801=""),0,IF(COUNTIF($C$2:C1801,C1801)=1,SUMIF($C$2:$C$5001,C1801,$H$2:$H$5001)+ROW()/10000000,0))</f>
        <v>0</v>
      </c>
    </row>
    <row r="1802" customFormat="false" ht="15" hidden="false" customHeight="false" outlineLevel="0" collapsed="false">
      <c r="A1802" s="43"/>
      <c r="B1802" s="44"/>
      <c r="C1802" s="44"/>
      <c r="D1802" s="44"/>
      <c r="E1802" s="44"/>
      <c r="F1802" s="44"/>
      <c r="G1802" s="44"/>
      <c r="H1802" s="46" t="str">
        <f aca="false">IF($A1802="","",IF(OR(NOT(ISNUMBER(E1802)),NOT(ISNUMBER(F1802))),"",MAX(0,E1802)*F1802))</f>
        <v/>
      </c>
      <c r="I1802" s="46" t="str">
        <f aca="false">IF($A1802="","",SUMIF($A$2:$A$5001,$A1802,$H$2:$H$5001))</f>
        <v/>
      </c>
      <c r="J1802" s="47" t="n">
        <f aca="false">IF($A1802="",0,IF(COUNTIF($A$2:A1802,$A1802)=1,1,0))</f>
        <v>0</v>
      </c>
      <c r="K1802" s="47" t="n">
        <f aca="false">IF(J1802=1,N(I1802)+ROW()/10000000,0)</f>
        <v>0</v>
      </c>
      <c r="L1802" s="47" t="str">
        <f aca="false">IF(AND(J1802=1,N(I1802)&gt;0),SUMIF($K$2:$K$5001,"&gt;="&amp;K1802,$I$2:$I$5001)/MAX(1,SUM($H$2:$H$5001)),"")</f>
        <v/>
      </c>
      <c r="M1802" s="47" t="str">
        <f aca="false">IF($A1802="","",INDEX($L$2:$L$5001,MATCH($A1802,$A$2:$A$5001,0)))</f>
        <v/>
      </c>
      <c r="N1802" s="48" t="str">
        <f aca="false">IF($A1802="","",IF(N(M1802)=0,"–",IF(M1802&lt;=Start!$D$20,"A",IF(M1802&lt;=Start!$D$21,"B","C"))))</f>
        <v/>
      </c>
      <c r="O1802" s="48" t="str">
        <f aca="false">IF($A1802="","",IF(NOT(ISNUMBER(F1802)),"Wert fehlt; ",IF(F1802&lt;=0,"Wert ist 0; ",""))&amp;IF(NOT(ISNUMBER(E1802)),"Bestand fehlt; ",IF(E1802&lt;0,"Bestand negativ; ",IF(E1802=0,"Nullbestand; ","")))&amp;IF(D1802="","Warengruppe fehlt; ","")&amp;IF(B1802="","Bezeichnung fehlt; ","")&amp;IF(COUNTIFS($A$2:$A$5001,$A1802,$C$2:$C$5001,C1802)&gt;1,"Artikel doppelt im selben Lager; ",""))</f>
        <v/>
      </c>
      <c r="P1802" s="47" t="n">
        <f aca="false">IF(OR($A1802="",D1802=""),0,IF(COUNTIF($D$2:D1802,D1802)=1,SUMIF($D$2:$D$5001,D1802,$H$2:$H$5001)+ROW()/10000000,0))</f>
        <v>0</v>
      </c>
      <c r="Q1802" s="47" t="n">
        <f aca="false">IF(OR($A1802="",C1802=""),0,IF(COUNTIF($C$2:C1802,C1802)=1,SUMIF($C$2:$C$5001,C1802,$H$2:$H$5001)+ROW()/10000000,0))</f>
        <v>0</v>
      </c>
    </row>
    <row r="1803" customFormat="false" ht="15" hidden="false" customHeight="false" outlineLevel="0" collapsed="false">
      <c r="A1803" s="43"/>
      <c r="B1803" s="44"/>
      <c r="C1803" s="44"/>
      <c r="D1803" s="44"/>
      <c r="E1803" s="44"/>
      <c r="F1803" s="44"/>
      <c r="G1803" s="44"/>
      <c r="H1803" s="46" t="str">
        <f aca="false">IF($A1803="","",IF(OR(NOT(ISNUMBER(E1803)),NOT(ISNUMBER(F1803))),"",MAX(0,E1803)*F1803))</f>
        <v/>
      </c>
      <c r="I1803" s="46" t="str">
        <f aca="false">IF($A1803="","",SUMIF($A$2:$A$5001,$A1803,$H$2:$H$5001))</f>
        <v/>
      </c>
      <c r="J1803" s="47" t="n">
        <f aca="false">IF($A1803="",0,IF(COUNTIF($A$2:A1803,$A1803)=1,1,0))</f>
        <v>0</v>
      </c>
      <c r="K1803" s="47" t="n">
        <f aca="false">IF(J1803=1,N(I1803)+ROW()/10000000,0)</f>
        <v>0</v>
      </c>
      <c r="L1803" s="47" t="str">
        <f aca="false">IF(AND(J1803=1,N(I1803)&gt;0),SUMIF($K$2:$K$5001,"&gt;="&amp;K1803,$I$2:$I$5001)/MAX(1,SUM($H$2:$H$5001)),"")</f>
        <v/>
      </c>
      <c r="M1803" s="47" t="str">
        <f aca="false">IF($A1803="","",INDEX($L$2:$L$5001,MATCH($A1803,$A$2:$A$5001,0)))</f>
        <v/>
      </c>
      <c r="N1803" s="48" t="str">
        <f aca="false">IF($A1803="","",IF(N(M1803)=0,"–",IF(M1803&lt;=Start!$D$20,"A",IF(M1803&lt;=Start!$D$21,"B","C"))))</f>
        <v/>
      </c>
      <c r="O1803" s="48" t="str">
        <f aca="false">IF($A1803="","",IF(NOT(ISNUMBER(F1803)),"Wert fehlt; ",IF(F1803&lt;=0,"Wert ist 0; ",""))&amp;IF(NOT(ISNUMBER(E1803)),"Bestand fehlt; ",IF(E1803&lt;0,"Bestand negativ; ",IF(E1803=0,"Nullbestand; ","")))&amp;IF(D1803="","Warengruppe fehlt; ","")&amp;IF(B1803="","Bezeichnung fehlt; ","")&amp;IF(COUNTIFS($A$2:$A$5001,$A1803,$C$2:$C$5001,C1803)&gt;1,"Artikel doppelt im selben Lager; ",""))</f>
        <v/>
      </c>
      <c r="P1803" s="47" t="n">
        <f aca="false">IF(OR($A1803="",D1803=""),0,IF(COUNTIF($D$2:D1803,D1803)=1,SUMIF($D$2:$D$5001,D1803,$H$2:$H$5001)+ROW()/10000000,0))</f>
        <v>0</v>
      </c>
      <c r="Q1803" s="47" t="n">
        <f aca="false">IF(OR($A1803="",C1803=""),0,IF(COUNTIF($C$2:C1803,C1803)=1,SUMIF($C$2:$C$5001,C1803,$H$2:$H$5001)+ROW()/10000000,0))</f>
        <v>0</v>
      </c>
    </row>
    <row r="1804" customFormat="false" ht="15" hidden="false" customHeight="false" outlineLevel="0" collapsed="false">
      <c r="A1804" s="43"/>
      <c r="B1804" s="44"/>
      <c r="C1804" s="44"/>
      <c r="D1804" s="44"/>
      <c r="E1804" s="44"/>
      <c r="F1804" s="44"/>
      <c r="G1804" s="44"/>
      <c r="H1804" s="46" t="str">
        <f aca="false">IF($A1804="","",IF(OR(NOT(ISNUMBER(E1804)),NOT(ISNUMBER(F1804))),"",MAX(0,E1804)*F1804))</f>
        <v/>
      </c>
      <c r="I1804" s="46" t="str">
        <f aca="false">IF($A1804="","",SUMIF($A$2:$A$5001,$A1804,$H$2:$H$5001))</f>
        <v/>
      </c>
      <c r="J1804" s="47" t="n">
        <f aca="false">IF($A1804="",0,IF(COUNTIF($A$2:A1804,$A1804)=1,1,0))</f>
        <v>0</v>
      </c>
      <c r="K1804" s="47" t="n">
        <f aca="false">IF(J1804=1,N(I1804)+ROW()/10000000,0)</f>
        <v>0</v>
      </c>
      <c r="L1804" s="47" t="str">
        <f aca="false">IF(AND(J1804=1,N(I1804)&gt;0),SUMIF($K$2:$K$5001,"&gt;="&amp;K1804,$I$2:$I$5001)/MAX(1,SUM($H$2:$H$5001)),"")</f>
        <v/>
      </c>
      <c r="M1804" s="47" t="str">
        <f aca="false">IF($A1804="","",INDEX($L$2:$L$5001,MATCH($A1804,$A$2:$A$5001,0)))</f>
        <v/>
      </c>
      <c r="N1804" s="48" t="str">
        <f aca="false">IF($A1804="","",IF(N(M1804)=0,"–",IF(M1804&lt;=Start!$D$20,"A",IF(M1804&lt;=Start!$D$21,"B","C"))))</f>
        <v/>
      </c>
      <c r="O1804" s="48" t="str">
        <f aca="false">IF($A1804="","",IF(NOT(ISNUMBER(F1804)),"Wert fehlt; ",IF(F1804&lt;=0,"Wert ist 0; ",""))&amp;IF(NOT(ISNUMBER(E1804)),"Bestand fehlt; ",IF(E1804&lt;0,"Bestand negativ; ",IF(E1804=0,"Nullbestand; ","")))&amp;IF(D1804="","Warengruppe fehlt; ","")&amp;IF(B1804="","Bezeichnung fehlt; ","")&amp;IF(COUNTIFS($A$2:$A$5001,$A1804,$C$2:$C$5001,C1804)&gt;1,"Artikel doppelt im selben Lager; ",""))</f>
        <v/>
      </c>
      <c r="P1804" s="47" t="n">
        <f aca="false">IF(OR($A1804="",D1804=""),0,IF(COUNTIF($D$2:D1804,D1804)=1,SUMIF($D$2:$D$5001,D1804,$H$2:$H$5001)+ROW()/10000000,0))</f>
        <v>0</v>
      </c>
      <c r="Q1804" s="47" t="n">
        <f aca="false">IF(OR($A1804="",C1804=""),0,IF(COUNTIF($C$2:C1804,C1804)=1,SUMIF($C$2:$C$5001,C1804,$H$2:$H$5001)+ROW()/10000000,0))</f>
        <v>0</v>
      </c>
    </row>
    <row r="1805" customFormat="false" ht="15" hidden="false" customHeight="false" outlineLevel="0" collapsed="false">
      <c r="A1805" s="43"/>
      <c r="B1805" s="44"/>
      <c r="C1805" s="44"/>
      <c r="D1805" s="44"/>
      <c r="E1805" s="44"/>
      <c r="F1805" s="44"/>
      <c r="G1805" s="44"/>
      <c r="H1805" s="46" t="str">
        <f aca="false">IF($A1805="","",IF(OR(NOT(ISNUMBER(E1805)),NOT(ISNUMBER(F1805))),"",MAX(0,E1805)*F1805))</f>
        <v/>
      </c>
      <c r="I1805" s="46" t="str">
        <f aca="false">IF($A1805="","",SUMIF($A$2:$A$5001,$A1805,$H$2:$H$5001))</f>
        <v/>
      </c>
      <c r="J1805" s="47" t="n">
        <f aca="false">IF($A1805="",0,IF(COUNTIF($A$2:A1805,$A1805)=1,1,0))</f>
        <v>0</v>
      </c>
      <c r="K1805" s="47" t="n">
        <f aca="false">IF(J1805=1,N(I1805)+ROW()/10000000,0)</f>
        <v>0</v>
      </c>
      <c r="L1805" s="47" t="str">
        <f aca="false">IF(AND(J1805=1,N(I1805)&gt;0),SUMIF($K$2:$K$5001,"&gt;="&amp;K1805,$I$2:$I$5001)/MAX(1,SUM($H$2:$H$5001)),"")</f>
        <v/>
      </c>
      <c r="M1805" s="47" t="str">
        <f aca="false">IF($A1805="","",INDEX($L$2:$L$5001,MATCH($A1805,$A$2:$A$5001,0)))</f>
        <v/>
      </c>
      <c r="N1805" s="48" t="str">
        <f aca="false">IF($A1805="","",IF(N(M1805)=0,"–",IF(M1805&lt;=Start!$D$20,"A",IF(M1805&lt;=Start!$D$21,"B","C"))))</f>
        <v/>
      </c>
      <c r="O1805" s="48" t="str">
        <f aca="false">IF($A1805="","",IF(NOT(ISNUMBER(F1805)),"Wert fehlt; ",IF(F1805&lt;=0,"Wert ist 0; ",""))&amp;IF(NOT(ISNUMBER(E1805)),"Bestand fehlt; ",IF(E1805&lt;0,"Bestand negativ; ",IF(E1805=0,"Nullbestand; ","")))&amp;IF(D1805="","Warengruppe fehlt; ","")&amp;IF(B1805="","Bezeichnung fehlt; ","")&amp;IF(COUNTIFS($A$2:$A$5001,$A1805,$C$2:$C$5001,C1805)&gt;1,"Artikel doppelt im selben Lager; ",""))</f>
        <v/>
      </c>
      <c r="P1805" s="47" t="n">
        <f aca="false">IF(OR($A1805="",D1805=""),0,IF(COUNTIF($D$2:D1805,D1805)=1,SUMIF($D$2:$D$5001,D1805,$H$2:$H$5001)+ROW()/10000000,0))</f>
        <v>0</v>
      </c>
      <c r="Q1805" s="47" t="n">
        <f aca="false">IF(OR($A1805="",C1805=""),0,IF(COUNTIF($C$2:C1805,C1805)=1,SUMIF($C$2:$C$5001,C1805,$H$2:$H$5001)+ROW()/10000000,0))</f>
        <v>0</v>
      </c>
    </row>
    <row r="1806" customFormat="false" ht="15" hidden="false" customHeight="false" outlineLevel="0" collapsed="false">
      <c r="A1806" s="43"/>
      <c r="B1806" s="44"/>
      <c r="C1806" s="44"/>
      <c r="D1806" s="44"/>
      <c r="E1806" s="44"/>
      <c r="F1806" s="44"/>
      <c r="G1806" s="44"/>
      <c r="H1806" s="46" t="str">
        <f aca="false">IF($A1806="","",IF(OR(NOT(ISNUMBER(E1806)),NOT(ISNUMBER(F1806))),"",MAX(0,E1806)*F1806))</f>
        <v/>
      </c>
      <c r="I1806" s="46" t="str">
        <f aca="false">IF($A1806="","",SUMIF($A$2:$A$5001,$A1806,$H$2:$H$5001))</f>
        <v/>
      </c>
      <c r="J1806" s="47" t="n">
        <f aca="false">IF($A1806="",0,IF(COUNTIF($A$2:A1806,$A1806)=1,1,0))</f>
        <v>0</v>
      </c>
      <c r="K1806" s="47" t="n">
        <f aca="false">IF(J1806=1,N(I1806)+ROW()/10000000,0)</f>
        <v>0</v>
      </c>
      <c r="L1806" s="47" t="str">
        <f aca="false">IF(AND(J1806=1,N(I1806)&gt;0),SUMIF($K$2:$K$5001,"&gt;="&amp;K1806,$I$2:$I$5001)/MAX(1,SUM($H$2:$H$5001)),"")</f>
        <v/>
      </c>
      <c r="M1806" s="47" t="str">
        <f aca="false">IF($A1806="","",INDEX($L$2:$L$5001,MATCH($A1806,$A$2:$A$5001,0)))</f>
        <v/>
      </c>
      <c r="N1806" s="48" t="str">
        <f aca="false">IF($A1806="","",IF(N(M1806)=0,"–",IF(M1806&lt;=Start!$D$20,"A",IF(M1806&lt;=Start!$D$21,"B","C"))))</f>
        <v/>
      </c>
      <c r="O1806" s="48" t="str">
        <f aca="false">IF($A1806="","",IF(NOT(ISNUMBER(F1806)),"Wert fehlt; ",IF(F1806&lt;=0,"Wert ist 0; ",""))&amp;IF(NOT(ISNUMBER(E1806)),"Bestand fehlt; ",IF(E1806&lt;0,"Bestand negativ; ",IF(E1806=0,"Nullbestand; ","")))&amp;IF(D1806="","Warengruppe fehlt; ","")&amp;IF(B1806="","Bezeichnung fehlt; ","")&amp;IF(COUNTIFS($A$2:$A$5001,$A1806,$C$2:$C$5001,C1806)&gt;1,"Artikel doppelt im selben Lager; ",""))</f>
        <v/>
      </c>
      <c r="P1806" s="47" t="n">
        <f aca="false">IF(OR($A1806="",D1806=""),0,IF(COUNTIF($D$2:D1806,D1806)=1,SUMIF($D$2:$D$5001,D1806,$H$2:$H$5001)+ROW()/10000000,0))</f>
        <v>0</v>
      </c>
      <c r="Q1806" s="47" t="n">
        <f aca="false">IF(OR($A1806="",C1806=""),0,IF(COUNTIF($C$2:C1806,C1806)=1,SUMIF($C$2:$C$5001,C1806,$H$2:$H$5001)+ROW()/10000000,0))</f>
        <v>0</v>
      </c>
    </row>
    <row r="1807" customFormat="false" ht="15" hidden="false" customHeight="false" outlineLevel="0" collapsed="false">
      <c r="A1807" s="43"/>
      <c r="B1807" s="44"/>
      <c r="C1807" s="44"/>
      <c r="D1807" s="44"/>
      <c r="E1807" s="44"/>
      <c r="F1807" s="44"/>
      <c r="G1807" s="44"/>
      <c r="H1807" s="46" t="str">
        <f aca="false">IF($A1807="","",IF(OR(NOT(ISNUMBER(E1807)),NOT(ISNUMBER(F1807))),"",MAX(0,E1807)*F1807))</f>
        <v/>
      </c>
      <c r="I1807" s="46" t="str">
        <f aca="false">IF($A1807="","",SUMIF($A$2:$A$5001,$A1807,$H$2:$H$5001))</f>
        <v/>
      </c>
      <c r="J1807" s="47" t="n">
        <f aca="false">IF($A1807="",0,IF(COUNTIF($A$2:A1807,$A1807)=1,1,0))</f>
        <v>0</v>
      </c>
      <c r="K1807" s="47" t="n">
        <f aca="false">IF(J1807=1,N(I1807)+ROW()/10000000,0)</f>
        <v>0</v>
      </c>
      <c r="L1807" s="47" t="str">
        <f aca="false">IF(AND(J1807=1,N(I1807)&gt;0),SUMIF($K$2:$K$5001,"&gt;="&amp;K1807,$I$2:$I$5001)/MAX(1,SUM($H$2:$H$5001)),"")</f>
        <v/>
      </c>
      <c r="M1807" s="47" t="str">
        <f aca="false">IF($A1807="","",INDEX($L$2:$L$5001,MATCH($A1807,$A$2:$A$5001,0)))</f>
        <v/>
      </c>
      <c r="N1807" s="48" t="str">
        <f aca="false">IF($A1807="","",IF(N(M1807)=0,"–",IF(M1807&lt;=Start!$D$20,"A",IF(M1807&lt;=Start!$D$21,"B","C"))))</f>
        <v/>
      </c>
      <c r="O1807" s="48" t="str">
        <f aca="false">IF($A1807="","",IF(NOT(ISNUMBER(F1807)),"Wert fehlt; ",IF(F1807&lt;=0,"Wert ist 0; ",""))&amp;IF(NOT(ISNUMBER(E1807)),"Bestand fehlt; ",IF(E1807&lt;0,"Bestand negativ; ",IF(E1807=0,"Nullbestand; ","")))&amp;IF(D1807="","Warengruppe fehlt; ","")&amp;IF(B1807="","Bezeichnung fehlt; ","")&amp;IF(COUNTIFS($A$2:$A$5001,$A1807,$C$2:$C$5001,C1807)&gt;1,"Artikel doppelt im selben Lager; ",""))</f>
        <v/>
      </c>
      <c r="P1807" s="47" t="n">
        <f aca="false">IF(OR($A1807="",D1807=""),0,IF(COUNTIF($D$2:D1807,D1807)=1,SUMIF($D$2:$D$5001,D1807,$H$2:$H$5001)+ROW()/10000000,0))</f>
        <v>0</v>
      </c>
      <c r="Q1807" s="47" t="n">
        <f aca="false">IF(OR($A1807="",C1807=""),0,IF(COUNTIF($C$2:C1807,C1807)=1,SUMIF($C$2:$C$5001,C1807,$H$2:$H$5001)+ROW()/10000000,0))</f>
        <v>0</v>
      </c>
    </row>
    <row r="1808" customFormat="false" ht="15" hidden="false" customHeight="false" outlineLevel="0" collapsed="false">
      <c r="A1808" s="43"/>
      <c r="B1808" s="44"/>
      <c r="C1808" s="44"/>
      <c r="D1808" s="44"/>
      <c r="E1808" s="44"/>
      <c r="F1808" s="44"/>
      <c r="G1808" s="44"/>
      <c r="H1808" s="46" t="str">
        <f aca="false">IF($A1808="","",IF(OR(NOT(ISNUMBER(E1808)),NOT(ISNUMBER(F1808))),"",MAX(0,E1808)*F1808))</f>
        <v/>
      </c>
      <c r="I1808" s="46" t="str">
        <f aca="false">IF($A1808="","",SUMIF($A$2:$A$5001,$A1808,$H$2:$H$5001))</f>
        <v/>
      </c>
      <c r="J1808" s="47" t="n">
        <f aca="false">IF($A1808="",0,IF(COUNTIF($A$2:A1808,$A1808)=1,1,0))</f>
        <v>0</v>
      </c>
      <c r="K1808" s="47" t="n">
        <f aca="false">IF(J1808=1,N(I1808)+ROW()/10000000,0)</f>
        <v>0</v>
      </c>
      <c r="L1808" s="47" t="str">
        <f aca="false">IF(AND(J1808=1,N(I1808)&gt;0),SUMIF($K$2:$K$5001,"&gt;="&amp;K1808,$I$2:$I$5001)/MAX(1,SUM($H$2:$H$5001)),"")</f>
        <v/>
      </c>
      <c r="M1808" s="47" t="str">
        <f aca="false">IF($A1808="","",INDEX($L$2:$L$5001,MATCH($A1808,$A$2:$A$5001,0)))</f>
        <v/>
      </c>
      <c r="N1808" s="48" t="str">
        <f aca="false">IF($A1808="","",IF(N(M1808)=0,"–",IF(M1808&lt;=Start!$D$20,"A",IF(M1808&lt;=Start!$D$21,"B","C"))))</f>
        <v/>
      </c>
      <c r="O1808" s="48" t="str">
        <f aca="false">IF($A1808="","",IF(NOT(ISNUMBER(F1808)),"Wert fehlt; ",IF(F1808&lt;=0,"Wert ist 0; ",""))&amp;IF(NOT(ISNUMBER(E1808)),"Bestand fehlt; ",IF(E1808&lt;0,"Bestand negativ; ",IF(E1808=0,"Nullbestand; ","")))&amp;IF(D1808="","Warengruppe fehlt; ","")&amp;IF(B1808="","Bezeichnung fehlt; ","")&amp;IF(COUNTIFS($A$2:$A$5001,$A1808,$C$2:$C$5001,C1808)&gt;1,"Artikel doppelt im selben Lager; ",""))</f>
        <v/>
      </c>
      <c r="P1808" s="47" t="n">
        <f aca="false">IF(OR($A1808="",D1808=""),0,IF(COUNTIF($D$2:D1808,D1808)=1,SUMIF($D$2:$D$5001,D1808,$H$2:$H$5001)+ROW()/10000000,0))</f>
        <v>0</v>
      </c>
      <c r="Q1808" s="47" t="n">
        <f aca="false">IF(OR($A1808="",C1808=""),0,IF(COUNTIF($C$2:C1808,C1808)=1,SUMIF($C$2:$C$5001,C1808,$H$2:$H$5001)+ROW()/10000000,0))</f>
        <v>0</v>
      </c>
    </row>
    <row r="1809" customFormat="false" ht="15" hidden="false" customHeight="false" outlineLevel="0" collapsed="false">
      <c r="A1809" s="43"/>
      <c r="B1809" s="44"/>
      <c r="C1809" s="44"/>
      <c r="D1809" s="44"/>
      <c r="E1809" s="44"/>
      <c r="F1809" s="44"/>
      <c r="G1809" s="44"/>
      <c r="H1809" s="46" t="str">
        <f aca="false">IF($A1809="","",IF(OR(NOT(ISNUMBER(E1809)),NOT(ISNUMBER(F1809))),"",MAX(0,E1809)*F1809))</f>
        <v/>
      </c>
      <c r="I1809" s="46" t="str">
        <f aca="false">IF($A1809="","",SUMIF($A$2:$A$5001,$A1809,$H$2:$H$5001))</f>
        <v/>
      </c>
      <c r="J1809" s="47" t="n">
        <f aca="false">IF($A1809="",0,IF(COUNTIF($A$2:A1809,$A1809)=1,1,0))</f>
        <v>0</v>
      </c>
      <c r="K1809" s="47" t="n">
        <f aca="false">IF(J1809=1,N(I1809)+ROW()/10000000,0)</f>
        <v>0</v>
      </c>
      <c r="L1809" s="47" t="str">
        <f aca="false">IF(AND(J1809=1,N(I1809)&gt;0),SUMIF($K$2:$K$5001,"&gt;="&amp;K1809,$I$2:$I$5001)/MAX(1,SUM($H$2:$H$5001)),"")</f>
        <v/>
      </c>
      <c r="M1809" s="47" t="str">
        <f aca="false">IF($A1809="","",INDEX($L$2:$L$5001,MATCH($A1809,$A$2:$A$5001,0)))</f>
        <v/>
      </c>
      <c r="N1809" s="48" t="str">
        <f aca="false">IF($A1809="","",IF(N(M1809)=0,"–",IF(M1809&lt;=Start!$D$20,"A",IF(M1809&lt;=Start!$D$21,"B","C"))))</f>
        <v/>
      </c>
      <c r="O1809" s="48" t="str">
        <f aca="false">IF($A1809="","",IF(NOT(ISNUMBER(F1809)),"Wert fehlt; ",IF(F1809&lt;=0,"Wert ist 0; ",""))&amp;IF(NOT(ISNUMBER(E1809)),"Bestand fehlt; ",IF(E1809&lt;0,"Bestand negativ; ",IF(E1809=0,"Nullbestand; ","")))&amp;IF(D1809="","Warengruppe fehlt; ","")&amp;IF(B1809="","Bezeichnung fehlt; ","")&amp;IF(COUNTIFS($A$2:$A$5001,$A1809,$C$2:$C$5001,C1809)&gt;1,"Artikel doppelt im selben Lager; ",""))</f>
        <v/>
      </c>
      <c r="P1809" s="47" t="n">
        <f aca="false">IF(OR($A1809="",D1809=""),0,IF(COUNTIF($D$2:D1809,D1809)=1,SUMIF($D$2:$D$5001,D1809,$H$2:$H$5001)+ROW()/10000000,0))</f>
        <v>0</v>
      </c>
      <c r="Q1809" s="47" t="n">
        <f aca="false">IF(OR($A1809="",C1809=""),0,IF(COUNTIF($C$2:C1809,C1809)=1,SUMIF($C$2:$C$5001,C1809,$H$2:$H$5001)+ROW()/10000000,0))</f>
        <v>0</v>
      </c>
    </row>
    <row r="1810" customFormat="false" ht="15" hidden="false" customHeight="false" outlineLevel="0" collapsed="false">
      <c r="A1810" s="43"/>
      <c r="B1810" s="44"/>
      <c r="C1810" s="44"/>
      <c r="D1810" s="44"/>
      <c r="E1810" s="44"/>
      <c r="F1810" s="44"/>
      <c r="G1810" s="44"/>
      <c r="H1810" s="46" t="str">
        <f aca="false">IF($A1810="","",IF(OR(NOT(ISNUMBER(E1810)),NOT(ISNUMBER(F1810))),"",MAX(0,E1810)*F1810))</f>
        <v/>
      </c>
      <c r="I1810" s="46" t="str">
        <f aca="false">IF($A1810="","",SUMIF($A$2:$A$5001,$A1810,$H$2:$H$5001))</f>
        <v/>
      </c>
      <c r="J1810" s="47" t="n">
        <f aca="false">IF($A1810="",0,IF(COUNTIF($A$2:A1810,$A1810)=1,1,0))</f>
        <v>0</v>
      </c>
      <c r="K1810" s="47" t="n">
        <f aca="false">IF(J1810=1,N(I1810)+ROW()/10000000,0)</f>
        <v>0</v>
      </c>
      <c r="L1810" s="47" t="str">
        <f aca="false">IF(AND(J1810=1,N(I1810)&gt;0),SUMIF($K$2:$K$5001,"&gt;="&amp;K1810,$I$2:$I$5001)/MAX(1,SUM($H$2:$H$5001)),"")</f>
        <v/>
      </c>
      <c r="M1810" s="47" t="str">
        <f aca="false">IF($A1810="","",INDEX($L$2:$L$5001,MATCH($A1810,$A$2:$A$5001,0)))</f>
        <v/>
      </c>
      <c r="N1810" s="48" t="str">
        <f aca="false">IF($A1810="","",IF(N(M1810)=0,"–",IF(M1810&lt;=Start!$D$20,"A",IF(M1810&lt;=Start!$D$21,"B","C"))))</f>
        <v/>
      </c>
      <c r="O1810" s="48" t="str">
        <f aca="false">IF($A1810="","",IF(NOT(ISNUMBER(F1810)),"Wert fehlt; ",IF(F1810&lt;=0,"Wert ist 0; ",""))&amp;IF(NOT(ISNUMBER(E1810)),"Bestand fehlt; ",IF(E1810&lt;0,"Bestand negativ; ",IF(E1810=0,"Nullbestand; ","")))&amp;IF(D1810="","Warengruppe fehlt; ","")&amp;IF(B1810="","Bezeichnung fehlt; ","")&amp;IF(COUNTIFS($A$2:$A$5001,$A1810,$C$2:$C$5001,C1810)&gt;1,"Artikel doppelt im selben Lager; ",""))</f>
        <v/>
      </c>
      <c r="P1810" s="47" t="n">
        <f aca="false">IF(OR($A1810="",D1810=""),0,IF(COUNTIF($D$2:D1810,D1810)=1,SUMIF($D$2:$D$5001,D1810,$H$2:$H$5001)+ROW()/10000000,0))</f>
        <v>0</v>
      </c>
      <c r="Q1810" s="47" t="n">
        <f aca="false">IF(OR($A1810="",C1810=""),0,IF(COUNTIF($C$2:C1810,C1810)=1,SUMIF($C$2:$C$5001,C1810,$H$2:$H$5001)+ROW()/10000000,0))</f>
        <v>0</v>
      </c>
    </row>
    <row r="1811" customFormat="false" ht="15" hidden="false" customHeight="false" outlineLevel="0" collapsed="false">
      <c r="A1811" s="43"/>
      <c r="B1811" s="44"/>
      <c r="C1811" s="44"/>
      <c r="D1811" s="44"/>
      <c r="E1811" s="44"/>
      <c r="F1811" s="44"/>
      <c r="G1811" s="44"/>
      <c r="H1811" s="46" t="str">
        <f aca="false">IF($A1811="","",IF(OR(NOT(ISNUMBER(E1811)),NOT(ISNUMBER(F1811))),"",MAX(0,E1811)*F1811))</f>
        <v/>
      </c>
      <c r="I1811" s="46" t="str">
        <f aca="false">IF($A1811="","",SUMIF($A$2:$A$5001,$A1811,$H$2:$H$5001))</f>
        <v/>
      </c>
      <c r="J1811" s="47" t="n">
        <f aca="false">IF($A1811="",0,IF(COUNTIF($A$2:A1811,$A1811)=1,1,0))</f>
        <v>0</v>
      </c>
      <c r="K1811" s="47" t="n">
        <f aca="false">IF(J1811=1,N(I1811)+ROW()/10000000,0)</f>
        <v>0</v>
      </c>
      <c r="L1811" s="47" t="str">
        <f aca="false">IF(AND(J1811=1,N(I1811)&gt;0),SUMIF($K$2:$K$5001,"&gt;="&amp;K1811,$I$2:$I$5001)/MAX(1,SUM($H$2:$H$5001)),"")</f>
        <v/>
      </c>
      <c r="M1811" s="47" t="str">
        <f aca="false">IF($A1811="","",INDEX($L$2:$L$5001,MATCH($A1811,$A$2:$A$5001,0)))</f>
        <v/>
      </c>
      <c r="N1811" s="48" t="str">
        <f aca="false">IF($A1811="","",IF(N(M1811)=0,"–",IF(M1811&lt;=Start!$D$20,"A",IF(M1811&lt;=Start!$D$21,"B","C"))))</f>
        <v/>
      </c>
      <c r="O1811" s="48" t="str">
        <f aca="false">IF($A1811="","",IF(NOT(ISNUMBER(F1811)),"Wert fehlt; ",IF(F1811&lt;=0,"Wert ist 0; ",""))&amp;IF(NOT(ISNUMBER(E1811)),"Bestand fehlt; ",IF(E1811&lt;0,"Bestand negativ; ",IF(E1811=0,"Nullbestand; ","")))&amp;IF(D1811="","Warengruppe fehlt; ","")&amp;IF(B1811="","Bezeichnung fehlt; ","")&amp;IF(COUNTIFS($A$2:$A$5001,$A1811,$C$2:$C$5001,C1811)&gt;1,"Artikel doppelt im selben Lager; ",""))</f>
        <v/>
      </c>
      <c r="P1811" s="47" t="n">
        <f aca="false">IF(OR($A1811="",D1811=""),0,IF(COUNTIF($D$2:D1811,D1811)=1,SUMIF($D$2:$D$5001,D1811,$H$2:$H$5001)+ROW()/10000000,0))</f>
        <v>0</v>
      </c>
      <c r="Q1811" s="47" t="n">
        <f aca="false">IF(OR($A1811="",C1811=""),0,IF(COUNTIF($C$2:C1811,C1811)=1,SUMIF($C$2:$C$5001,C1811,$H$2:$H$5001)+ROW()/10000000,0))</f>
        <v>0</v>
      </c>
    </row>
    <row r="1812" customFormat="false" ht="15" hidden="false" customHeight="false" outlineLevel="0" collapsed="false">
      <c r="A1812" s="43"/>
      <c r="B1812" s="44"/>
      <c r="C1812" s="44"/>
      <c r="D1812" s="44"/>
      <c r="E1812" s="44"/>
      <c r="F1812" s="44"/>
      <c r="G1812" s="44"/>
      <c r="H1812" s="46" t="str">
        <f aca="false">IF($A1812="","",IF(OR(NOT(ISNUMBER(E1812)),NOT(ISNUMBER(F1812))),"",MAX(0,E1812)*F1812))</f>
        <v/>
      </c>
      <c r="I1812" s="46" t="str">
        <f aca="false">IF($A1812="","",SUMIF($A$2:$A$5001,$A1812,$H$2:$H$5001))</f>
        <v/>
      </c>
      <c r="J1812" s="47" t="n">
        <f aca="false">IF($A1812="",0,IF(COUNTIF($A$2:A1812,$A1812)=1,1,0))</f>
        <v>0</v>
      </c>
      <c r="K1812" s="47" t="n">
        <f aca="false">IF(J1812=1,N(I1812)+ROW()/10000000,0)</f>
        <v>0</v>
      </c>
      <c r="L1812" s="47" t="str">
        <f aca="false">IF(AND(J1812=1,N(I1812)&gt;0),SUMIF($K$2:$K$5001,"&gt;="&amp;K1812,$I$2:$I$5001)/MAX(1,SUM($H$2:$H$5001)),"")</f>
        <v/>
      </c>
      <c r="M1812" s="47" t="str">
        <f aca="false">IF($A1812="","",INDEX($L$2:$L$5001,MATCH($A1812,$A$2:$A$5001,0)))</f>
        <v/>
      </c>
      <c r="N1812" s="48" t="str">
        <f aca="false">IF($A1812="","",IF(N(M1812)=0,"–",IF(M1812&lt;=Start!$D$20,"A",IF(M1812&lt;=Start!$D$21,"B","C"))))</f>
        <v/>
      </c>
      <c r="O1812" s="48" t="str">
        <f aca="false">IF($A1812="","",IF(NOT(ISNUMBER(F1812)),"Wert fehlt; ",IF(F1812&lt;=0,"Wert ist 0; ",""))&amp;IF(NOT(ISNUMBER(E1812)),"Bestand fehlt; ",IF(E1812&lt;0,"Bestand negativ; ",IF(E1812=0,"Nullbestand; ","")))&amp;IF(D1812="","Warengruppe fehlt; ","")&amp;IF(B1812="","Bezeichnung fehlt; ","")&amp;IF(COUNTIFS($A$2:$A$5001,$A1812,$C$2:$C$5001,C1812)&gt;1,"Artikel doppelt im selben Lager; ",""))</f>
        <v/>
      </c>
      <c r="P1812" s="47" t="n">
        <f aca="false">IF(OR($A1812="",D1812=""),0,IF(COUNTIF($D$2:D1812,D1812)=1,SUMIF($D$2:$D$5001,D1812,$H$2:$H$5001)+ROW()/10000000,0))</f>
        <v>0</v>
      </c>
      <c r="Q1812" s="47" t="n">
        <f aca="false">IF(OR($A1812="",C1812=""),0,IF(COUNTIF($C$2:C1812,C1812)=1,SUMIF($C$2:$C$5001,C1812,$H$2:$H$5001)+ROW()/10000000,0))</f>
        <v>0</v>
      </c>
    </row>
    <row r="1813" customFormat="false" ht="15" hidden="false" customHeight="false" outlineLevel="0" collapsed="false">
      <c r="A1813" s="43"/>
      <c r="B1813" s="44"/>
      <c r="C1813" s="44"/>
      <c r="D1813" s="44"/>
      <c r="E1813" s="44"/>
      <c r="F1813" s="44"/>
      <c r="G1813" s="44"/>
      <c r="H1813" s="46" t="str">
        <f aca="false">IF($A1813="","",IF(OR(NOT(ISNUMBER(E1813)),NOT(ISNUMBER(F1813))),"",MAX(0,E1813)*F1813))</f>
        <v/>
      </c>
      <c r="I1813" s="46" t="str">
        <f aca="false">IF($A1813="","",SUMIF($A$2:$A$5001,$A1813,$H$2:$H$5001))</f>
        <v/>
      </c>
      <c r="J1813" s="47" t="n">
        <f aca="false">IF($A1813="",0,IF(COUNTIF($A$2:A1813,$A1813)=1,1,0))</f>
        <v>0</v>
      </c>
      <c r="K1813" s="47" t="n">
        <f aca="false">IF(J1813=1,N(I1813)+ROW()/10000000,0)</f>
        <v>0</v>
      </c>
      <c r="L1813" s="47" t="str">
        <f aca="false">IF(AND(J1813=1,N(I1813)&gt;0),SUMIF($K$2:$K$5001,"&gt;="&amp;K1813,$I$2:$I$5001)/MAX(1,SUM($H$2:$H$5001)),"")</f>
        <v/>
      </c>
      <c r="M1813" s="47" t="str">
        <f aca="false">IF($A1813="","",INDEX($L$2:$L$5001,MATCH($A1813,$A$2:$A$5001,0)))</f>
        <v/>
      </c>
      <c r="N1813" s="48" t="str">
        <f aca="false">IF($A1813="","",IF(N(M1813)=0,"–",IF(M1813&lt;=Start!$D$20,"A",IF(M1813&lt;=Start!$D$21,"B","C"))))</f>
        <v/>
      </c>
      <c r="O1813" s="48" t="str">
        <f aca="false">IF($A1813="","",IF(NOT(ISNUMBER(F1813)),"Wert fehlt; ",IF(F1813&lt;=0,"Wert ist 0; ",""))&amp;IF(NOT(ISNUMBER(E1813)),"Bestand fehlt; ",IF(E1813&lt;0,"Bestand negativ; ",IF(E1813=0,"Nullbestand; ","")))&amp;IF(D1813="","Warengruppe fehlt; ","")&amp;IF(B1813="","Bezeichnung fehlt; ","")&amp;IF(COUNTIFS($A$2:$A$5001,$A1813,$C$2:$C$5001,C1813)&gt;1,"Artikel doppelt im selben Lager; ",""))</f>
        <v/>
      </c>
      <c r="P1813" s="47" t="n">
        <f aca="false">IF(OR($A1813="",D1813=""),0,IF(COUNTIF($D$2:D1813,D1813)=1,SUMIF($D$2:$D$5001,D1813,$H$2:$H$5001)+ROW()/10000000,0))</f>
        <v>0</v>
      </c>
      <c r="Q1813" s="47" t="n">
        <f aca="false">IF(OR($A1813="",C1813=""),0,IF(COUNTIF($C$2:C1813,C1813)=1,SUMIF($C$2:$C$5001,C1813,$H$2:$H$5001)+ROW()/10000000,0))</f>
        <v>0</v>
      </c>
    </row>
    <row r="1814" customFormat="false" ht="15" hidden="false" customHeight="false" outlineLevel="0" collapsed="false">
      <c r="A1814" s="43"/>
      <c r="B1814" s="44"/>
      <c r="C1814" s="44"/>
      <c r="D1814" s="44"/>
      <c r="E1814" s="44"/>
      <c r="F1814" s="44"/>
      <c r="G1814" s="44"/>
      <c r="H1814" s="46" t="str">
        <f aca="false">IF($A1814="","",IF(OR(NOT(ISNUMBER(E1814)),NOT(ISNUMBER(F1814))),"",MAX(0,E1814)*F1814))</f>
        <v/>
      </c>
      <c r="I1814" s="46" t="str">
        <f aca="false">IF($A1814="","",SUMIF($A$2:$A$5001,$A1814,$H$2:$H$5001))</f>
        <v/>
      </c>
      <c r="J1814" s="47" t="n">
        <f aca="false">IF($A1814="",0,IF(COUNTIF($A$2:A1814,$A1814)=1,1,0))</f>
        <v>0</v>
      </c>
      <c r="K1814" s="47" t="n">
        <f aca="false">IF(J1814=1,N(I1814)+ROW()/10000000,0)</f>
        <v>0</v>
      </c>
      <c r="L1814" s="47" t="str">
        <f aca="false">IF(AND(J1814=1,N(I1814)&gt;0),SUMIF($K$2:$K$5001,"&gt;="&amp;K1814,$I$2:$I$5001)/MAX(1,SUM($H$2:$H$5001)),"")</f>
        <v/>
      </c>
      <c r="M1814" s="47" t="str">
        <f aca="false">IF($A1814="","",INDEX($L$2:$L$5001,MATCH($A1814,$A$2:$A$5001,0)))</f>
        <v/>
      </c>
      <c r="N1814" s="48" t="str">
        <f aca="false">IF($A1814="","",IF(N(M1814)=0,"–",IF(M1814&lt;=Start!$D$20,"A",IF(M1814&lt;=Start!$D$21,"B","C"))))</f>
        <v/>
      </c>
      <c r="O1814" s="48" t="str">
        <f aca="false">IF($A1814="","",IF(NOT(ISNUMBER(F1814)),"Wert fehlt; ",IF(F1814&lt;=0,"Wert ist 0; ",""))&amp;IF(NOT(ISNUMBER(E1814)),"Bestand fehlt; ",IF(E1814&lt;0,"Bestand negativ; ",IF(E1814=0,"Nullbestand; ","")))&amp;IF(D1814="","Warengruppe fehlt; ","")&amp;IF(B1814="","Bezeichnung fehlt; ","")&amp;IF(COUNTIFS($A$2:$A$5001,$A1814,$C$2:$C$5001,C1814)&gt;1,"Artikel doppelt im selben Lager; ",""))</f>
        <v/>
      </c>
      <c r="P1814" s="47" t="n">
        <f aca="false">IF(OR($A1814="",D1814=""),0,IF(COUNTIF($D$2:D1814,D1814)=1,SUMIF($D$2:$D$5001,D1814,$H$2:$H$5001)+ROW()/10000000,0))</f>
        <v>0</v>
      </c>
      <c r="Q1814" s="47" t="n">
        <f aca="false">IF(OR($A1814="",C1814=""),0,IF(COUNTIF($C$2:C1814,C1814)=1,SUMIF($C$2:$C$5001,C1814,$H$2:$H$5001)+ROW()/10000000,0))</f>
        <v>0</v>
      </c>
    </row>
    <row r="1815" customFormat="false" ht="15" hidden="false" customHeight="false" outlineLevel="0" collapsed="false">
      <c r="A1815" s="43"/>
      <c r="B1815" s="44"/>
      <c r="C1815" s="44"/>
      <c r="D1815" s="44"/>
      <c r="E1815" s="44"/>
      <c r="F1815" s="44"/>
      <c r="G1815" s="44"/>
      <c r="H1815" s="46" t="str">
        <f aca="false">IF($A1815="","",IF(OR(NOT(ISNUMBER(E1815)),NOT(ISNUMBER(F1815))),"",MAX(0,E1815)*F1815))</f>
        <v/>
      </c>
      <c r="I1815" s="46" t="str">
        <f aca="false">IF($A1815="","",SUMIF($A$2:$A$5001,$A1815,$H$2:$H$5001))</f>
        <v/>
      </c>
      <c r="J1815" s="47" t="n">
        <f aca="false">IF($A1815="",0,IF(COUNTIF($A$2:A1815,$A1815)=1,1,0))</f>
        <v>0</v>
      </c>
      <c r="K1815" s="47" t="n">
        <f aca="false">IF(J1815=1,N(I1815)+ROW()/10000000,0)</f>
        <v>0</v>
      </c>
      <c r="L1815" s="47" t="str">
        <f aca="false">IF(AND(J1815=1,N(I1815)&gt;0),SUMIF($K$2:$K$5001,"&gt;="&amp;K1815,$I$2:$I$5001)/MAX(1,SUM($H$2:$H$5001)),"")</f>
        <v/>
      </c>
      <c r="M1815" s="47" t="str">
        <f aca="false">IF($A1815="","",INDEX($L$2:$L$5001,MATCH($A1815,$A$2:$A$5001,0)))</f>
        <v/>
      </c>
      <c r="N1815" s="48" t="str">
        <f aca="false">IF($A1815="","",IF(N(M1815)=0,"–",IF(M1815&lt;=Start!$D$20,"A",IF(M1815&lt;=Start!$D$21,"B","C"))))</f>
        <v/>
      </c>
      <c r="O1815" s="48" t="str">
        <f aca="false">IF($A1815="","",IF(NOT(ISNUMBER(F1815)),"Wert fehlt; ",IF(F1815&lt;=0,"Wert ist 0; ",""))&amp;IF(NOT(ISNUMBER(E1815)),"Bestand fehlt; ",IF(E1815&lt;0,"Bestand negativ; ",IF(E1815=0,"Nullbestand; ","")))&amp;IF(D1815="","Warengruppe fehlt; ","")&amp;IF(B1815="","Bezeichnung fehlt; ","")&amp;IF(COUNTIFS($A$2:$A$5001,$A1815,$C$2:$C$5001,C1815)&gt;1,"Artikel doppelt im selben Lager; ",""))</f>
        <v/>
      </c>
      <c r="P1815" s="47" t="n">
        <f aca="false">IF(OR($A1815="",D1815=""),0,IF(COUNTIF($D$2:D1815,D1815)=1,SUMIF($D$2:$D$5001,D1815,$H$2:$H$5001)+ROW()/10000000,0))</f>
        <v>0</v>
      </c>
      <c r="Q1815" s="47" t="n">
        <f aca="false">IF(OR($A1815="",C1815=""),0,IF(COUNTIF($C$2:C1815,C1815)=1,SUMIF($C$2:$C$5001,C1815,$H$2:$H$5001)+ROW()/10000000,0))</f>
        <v>0</v>
      </c>
    </row>
    <row r="1816" customFormat="false" ht="15" hidden="false" customHeight="false" outlineLevel="0" collapsed="false">
      <c r="A1816" s="43"/>
      <c r="B1816" s="44"/>
      <c r="C1816" s="44"/>
      <c r="D1816" s="44"/>
      <c r="E1816" s="44"/>
      <c r="F1816" s="44"/>
      <c r="G1816" s="44"/>
      <c r="H1816" s="46" t="str">
        <f aca="false">IF($A1816="","",IF(OR(NOT(ISNUMBER(E1816)),NOT(ISNUMBER(F1816))),"",MAX(0,E1816)*F1816))</f>
        <v/>
      </c>
      <c r="I1816" s="46" t="str">
        <f aca="false">IF($A1816="","",SUMIF($A$2:$A$5001,$A1816,$H$2:$H$5001))</f>
        <v/>
      </c>
      <c r="J1816" s="47" t="n">
        <f aca="false">IF($A1816="",0,IF(COUNTIF($A$2:A1816,$A1816)=1,1,0))</f>
        <v>0</v>
      </c>
      <c r="K1816" s="47" t="n">
        <f aca="false">IF(J1816=1,N(I1816)+ROW()/10000000,0)</f>
        <v>0</v>
      </c>
      <c r="L1816" s="47" t="str">
        <f aca="false">IF(AND(J1816=1,N(I1816)&gt;0),SUMIF($K$2:$K$5001,"&gt;="&amp;K1816,$I$2:$I$5001)/MAX(1,SUM($H$2:$H$5001)),"")</f>
        <v/>
      </c>
      <c r="M1816" s="47" t="str">
        <f aca="false">IF($A1816="","",INDEX($L$2:$L$5001,MATCH($A1816,$A$2:$A$5001,0)))</f>
        <v/>
      </c>
      <c r="N1816" s="48" t="str">
        <f aca="false">IF($A1816="","",IF(N(M1816)=0,"–",IF(M1816&lt;=Start!$D$20,"A",IF(M1816&lt;=Start!$D$21,"B","C"))))</f>
        <v/>
      </c>
      <c r="O1816" s="48" t="str">
        <f aca="false">IF($A1816="","",IF(NOT(ISNUMBER(F1816)),"Wert fehlt; ",IF(F1816&lt;=0,"Wert ist 0; ",""))&amp;IF(NOT(ISNUMBER(E1816)),"Bestand fehlt; ",IF(E1816&lt;0,"Bestand negativ; ",IF(E1816=0,"Nullbestand; ","")))&amp;IF(D1816="","Warengruppe fehlt; ","")&amp;IF(B1816="","Bezeichnung fehlt; ","")&amp;IF(COUNTIFS($A$2:$A$5001,$A1816,$C$2:$C$5001,C1816)&gt;1,"Artikel doppelt im selben Lager; ",""))</f>
        <v/>
      </c>
      <c r="P1816" s="47" t="n">
        <f aca="false">IF(OR($A1816="",D1816=""),0,IF(COUNTIF($D$2:D1816,D1816)=1,SUMIF($D$2:$D$5001,D1816,$H$2:$H$5001)+ROW()/10000000,0))</f>
        <v>0</v>
      </c>
      <c r="Q1816" s="47" t="n">
        <f aca="false">IF(OR($A1816="",C1816=""),0,IF(COUNTIF($C$2:C1816,C1816)=1,SUMIF($C$2:$C$5001,C1816,$H$2:$H$5001)+ROW()/10000000,0))</f>
        <v>0</v>
      </c>
    </row>
    <row r="1817" customFormat="false" ht="15" hidden="false" customHeight="false" outlineLevel="0" collapsed="false">
      <c r="A1817" s="43"/>
      <c r="B1817" s="44"/>
      <c r="C1817" s="44"/>
      <c r="D1817" s="44"/>
      <c r="E1817" s="44"/>
      <c r="F1817" s="44"/>
      <c r="G1817" s="44"/>
      <c r="H1817" s="46" t="str">
        <f aca="false">IF($A1817="","",IF(OR(NOT(ISNUMBER(E1817)),NOT(ISNUMBER(F1817))),"",MAX(0,E1817)*F1817))</f>
        <v/>
      </c>
      <c r="I1817" s="46" t="str">
        <f aca="false">IF($A1817="","",SUMIF($A$2:$A$5001,$A1817,$H$2:$H$5001))</f>
        <v/>
      </c>
      <c r="J1817" s="47" t="n">
        <f aca="false">IF($A1817="",0,IF(COUNTIF($A$2:A1817,$A1817)=1,1,0))</f>
        <v>0</v>
      </c>
      <c r="K1817" s="47" t="n">
        <f aca="false">IF(J1817=1,N(I1817)+ROW()/10000000,0)</f>
        <v>0</v>
      </c>
      <c r="L1817" s="47" t="str">
        <f aca="false">IF(AND(J1817=1,N(I1817)&gt;0),SUMIF($K$2:$K$5001,"&gt;="&amp;K1817,$I$2:$I$5001)/MAX(1,SUM($H$2:$H$5001)),"")</f>
        <v/>
      </c>
      <c r="M1817" s="47" t="str">
        <f aca="false">IF($A1817="","",INDEX($L$2:$L$5001,MATCH($A1817,$A$2:$A$5001,0)))</f>
        <v/>
      </c>
      <c r="N1817" s="48" t="str">
        <f aca="false">IF($A1817="","",IF(N(M1817)=0,"–",IF(M1817&lt;=Start!$D$20,"A",IF(M1817&lt;=Start!$D$21,"B","C"))))</f>
        <v/>
      </c>
      <c r="O1817" s="48" t="str">
        <f aca="false">IF($A1817="","",IF(NOT(ISNUMBER(F1817)),"Wert fehlt; ",IF(F1817&lt;=0,"Wert ist 0; ",""))&amp;IF(NOT(ISNUMBER(E1817)),"Bestand fehlt; ",IF(E1817&lt;0,"Bestand negativ; ",IF(E1817=0,"Nullbestand; ","")))&amp;IF(D1817="","Warengruppe fehlt; ","")&amp;IF(B1817="","Bezeichnung fehlt; ","")&amp;IF(COUNTIFS($A$2:$A$5001,$A1817,$C$2:$C$5001,C1817)&gt;1,"Artikel doppelt im selben Lager; ",""))</f>
        <v/>
      </c>
      <c r="P1817" s="47" t="n">
        <f aca="false">IF(OR($A1817="",D1817=""),0,IF(COUNTIF($D$2:D1817,D1817)=1,SUMIF($D$2:$D$5001,D1817,$H$2:$H$5001)+ROW()/10000000,0))</f>
        <v>0</v>
      </c>
      <c r="Q1817" s="47" t="n">
        <f aca="false">IF(OR($A1817="",C1817=""),0,IF(COUNTIF($C$2:C1817,C1817)=1,SUMIF($C$2:$C$5001,C1817,$H$2:$H$5001)+ROW()/10000000,0))</f>
        <v>0</v>
      </c>
    </row>
    <row r="1818" customFormat="false" ht="15" hidden="false" customHeight="false" outlineLevel="0" collapsed="false">
      <c r="A1818" s="43"/>
      <c r="B1818" s="44"/>
      <c r="C1818" s="44"/>
      <c r="D1818" s="44"/>
      <c r="E1818" s="44"/>
      <c r="F1818" s="44"/>
      <c r="G1818" s="44"/>
      <c r="H1818" s="46" t="str">
        <f aca="false">IF($A1818="","",IF(OR(NOT(ISNUMBER(E1818)),NOT(ISNUMBER(F1818))),"",MAX(0,E1818)*F1818))</f>
        <v/>
      </c>
      <c r="I1818" s="46" t="str">
        <f aca="false">IF($A1818="","",SUMIF($A$2:$A$5001,$A1818,$H$2:$H$5001))</f>
        <v/>
      </c>
      <c r="J1818" s="47" t="n">
        <f aca="false">IF($A1818="",0,IF(COUNTIF($A$2:A1818,$A1818)=1,1,0))</f>
        <v>0</v>
      </c>
      <c r="K1818" s="47" t="n">
        <f aca="false">IF(J1818=1,N(I1818)+ROW()/10000000,0)</f>
        <v>0</v>
      </c>
      <c r="L1818" s="47" t="str">
        <f aca="false">IF(AND(J1818=1,N(I1818)&gt;0),SUMIF($K$2:$K$5001,"&gt;="&amp;K1818,$I$2:$I$5001)/MAX(1,SUM($H$2:$H$5001)),"")</f>
        <v/>
      </c>
      <c r="M1818" s="47" t="str">
        <f aca="false">IF($A1818="","",INDEX($L$2:$L$5001,MATCH($A1818,$A$2:$A$5001,0)))</f>
        <v/>
      </c>
      <c r="N1818" s="48" t="str">
        <f aca="false">IF($A1818="","",IF(N(M1818)=0,"–",IF(M1818&lt;=Start!$D$20,"A",IF(M1818&lt;=Start!$D$21,"B","C"))))</f>
        <v/>
      </c>
      <c r="O1818" s="48" t="str">
        <f aca="false">IF($A1818="","",IF(NOT(ISNUMBER(F1818)),"Wert fehlt; ",IF(F1818&lt;=0,"Wert ist 0; ",""))&amp;IF(NOT(ISNUMBER(E1818)),"Bestand fehlt; ",IF(E1818&lt;0,"Bestand negativ; ",IF(E1818=0,"Nullbestand; ","")))&amp;IF(D1818="","Warengruppe fehlt; ","")&amp;IF(B1818="","Bezeichnung fehlt; ","")&amp;IF(COUNTIFS($A$2:$A$5001,$A1818,$C$2:$C$5001,C1818)&gt;1,"Artikel doppelt im selben Lager; ",""))</f>
        <v/>
      </c>
      <c r="P1818" s="47" t="n">
        <f aca="false">IF(OR($A1818="",D1818=""),0,IF(COUNTIF($D$2:D1818,D1818)=1,SUMIF($D$2:$D$5001,D1818,$H$2:$H$5001)+ROW()/10000000,0))</f>
        <v>0</v>
      </c>
      <c r="Q1818" s="47" t="n">
        <f aca="false">IF(OR($A1818="",C1818=""),0,IF(COUNTIF($C$2:C1818,C1818)=1,SUMIF($C$2:$C$5001,C1818,$H$2:$H$5001)+ROW()/10000000,0))</f>
        <v>0</v>
      </c>
    </row>
    <row r="1819" customFormat="false" ht="15" hidden="false" customHeight="false" outlineLevel="0" collapsed="false">
      <c r="A1819" s="43"/>
      <c r="B1819" s="44"/>
      <c r="C1819" s="44"/>
      <c r="D1819" s="44"/>
      <c r="E1819" s="44"/>
      <c r="F1819" s="44"/>
      <c r="G1819" s="44"/>
      <c r="H1819" s="46" t="str">
        <f aca="false">IF($A1819="","",IF(OR(NOT(ISNUMBER(E1819)),NOT(ISNUMBER(F1819))),"",MAX(0,E1819)*F1819))</f>
        <v/>
      </c>
      <c r="I1819" s="46" t="str">
        <f aca="false">IF($A1819="","",SUMIF($A$2:$A$5001,$A1819,$H$2:$H$5001))</f>
        <v/>
      </c>
      <c r="J1819" s="47" t="n">
        <f aca="false">IF($A1819="",0,IF(COUNTIF($A$2:A1819,$A1819)=1,1,0))</f>
        <v>0</v>
      </c>
      <c r="K1819" s="47" t="n">
        <f aca="false">IF(J1819=1,N(I1819)+ROW()/10000000,0)</f>
        <v>0</v>
      </c>
      <c r="L1819" s="47" t="str">
        <f aca="false">IF(AND(J1819=1,N(I1819)&gt;0),SUMIF($K$2:$K$5001,"&gt;="&amp;K1819,$I$2:$I$5001)/MAX(1,SUM($H$2:$H$5001)),"")</f>
        <v/>
      </c>
      <c r="M1819" s="47" t="str">
        <f aca="false">IF($A1819="","",INDEX($L$2:$L$5001,MATCH($A1819,$A$2:$A$5001,0)))</f>
        <v/>
      </c>
      <c r="N1819" s="48" t="str">
        <f aca="false">IF($A1819="","",IF(N(M1819)=0,"–",IF(M1819&lt;=Start!$D$20,"A",IF(M1819&lt;=Start!$D$21,"B","C"))))</f>
        <v/>
      </c>
      <c r="O1819" s="48" t="str">
        <f aca="false">IF($A1819="","",IF(NOT(ISNUMBER(F1819)),"Wert fehlt; ",IF(F1819&lt;=0,"Wert ist 0; ",""))&amp;IF(NOT(ISNUMBER(E1819)),"Bestand fehlt; ",IF(E1819&lt;0,"Bestand negativ; ",IF(E1819=0,"Nullbestand; ","")))&amp;IF(D1819="","Warengruppe fehlt; ","")&amp;IF(B1819="","Bezeichnung fehlt; ","")&amp;IF(COUNTIFS($A$2:$A$5001,$A1819,$C$2:$C$5001,C1819)&gt;1,"Artikel doppelt im selben Lager; ",""))</f>
        <v/>
      </c>
      <c r="P1819" s="47" t="n">
        <f aca="false">IF(OR($A1819="",D1819=""),0,IF(COUNTIF($D$2:D1819,D1819)=1,SUMIF($D$2:$D$5001,D1819,$H$2:$H$5001)+ROW()/10000000,0))</f>
        <v>0</v>
      </c>
      <c r="Q1819" s="47" t="n">
        <f aca="false">IF(OR($A1819="",C1819=""),0,IF(COUNTIF($C$2:C1819,C1819)=1,SUMIF($C$2:$C$5001,C1819,$H$2:$H$5001)+ROW()/10000000,0))</f>
        <v>0</v>
      </c>
    </row>
    <row r="1820" customFormat="false" ht="15" hidden="false" customHeight="false" outlineLevel="0" collapsed="false">
      <c r="A1820" s="43"/>
      <c r="B1820" s="44"/>
      <c r="C1820" s="44"/>
      <c r="D1820" s="44"/>
      <c r="E1820" s="44"/>
      <c r="F1820" s="44"/>
      <c r="G1820" s="44"/>
      <c r="H1820" s="46" t="str">
        <f aca="false">IF($A1820="","",IF(OR(NOT(ISNUMBER(E1820)),NOT(ISNUMBER(F1820))),"",MAX(0,E1820)*F1820))</f>
        <v/>
      </c>
      <c r="I1820" s="46" t="str">
        <f aca="false">IF($A1820="","",SUMIF($A$2:$A$5001,$A1820,$H$2:$H$5001))</f>
        <v/>
      </c>
      <c r="J1820" s="47" t="n">
        <f aca="false">IF($A1820="",0,IF(COUNTIF($A$2:A1820,$A1820)=1,1,0))</f>
        <v>0</v>
      </c>
      <c r="K1820" s="47" t="n">
        <f aca="false">IF(J1820=1,N(I1820)+ROW()/10000000,0)</f>
        <v>0</v>
      </c>
      <c r="L1820" s="47" t="str">
        <f aca="false">IF(AND(J1820=1,N(I1820)&gt;0),SUMIF($K$2:$K$5001,"&gt;="&amp;K1820,$I$2:$I$5001)/MAX(1,SUM($H$2:$H$5001)),"")</f>
        <v/>
      </c>
      <c r="M1820" s="47" t="str">
        <f aca="false">IF($A1820="","",INDEX($L$2:$L$5001,MATCH($A1820,$A$2:$A$5001,0)))</f>
        <v/>
      </c>
      <c r="N1820" s="48" t="str">
        <f aca="false">IF($A1820="","",IF(N(M1820)=0,"–",IF(M1820&lt;=Start!$D$20,"A",IF(M1820&lt;=Start!$D$21,"B","C"))))</f>
        <v/>
      </c>
      <c r="O1820" s="48" t="str">
        <f aca="false">IF($A1820="","",IF(NOT(ISNUMBER(F1820)),"Wert fehlt; ",IF(F1820&lt;=0,"Wert ist 0; ",""))&amp;IF(NOT(ISNUMBER(E1820)),"Bestand fehlt; ",IF(E1820&lt;0,"Bestand negativ; ",IF(E1820=0,"Nullbestand; ","")))&amp;IF(D1820="","Warengruppe fehlt; ","")&amp;IF(B1820="","Bezeichnung fehlt; ","")&amp;IF(COUNTIFS($A$2:$A$5001,$A1820,$C$2:$C$5001,C1820)&gt;1,"Artikel doppelt im selben Lager; ",""))</f>
        <v/>
      </c>
      <c r="P1820" s="47" t="n">
        <f aca="false">IF(OR($A1820="",D1820=""),0,IF(COUNTIF($D$2:D1820,D1820)=1,SUMIF($D$2:$D$5001,D1820,$H$2:$H$5001)+ROW()/10000000,0))</f>
        <v>0</v>
      </c>
      <c r="Q1820" s="47" t="n">
        <f aca="false">IF(OR($A1820="",C1820=""),0,IF(COUNTIF($C$2:C1820,C1820)=1,SUMIF($C$2:$C$5001,C1820,$H$2:$H$5001)+ROW()/10000000,0))</f>
        <v>0</v>
      </c>
    </row>
    <row r="1821" customFormat="false" ht="15" hidden="false" customHeight="false" outlineLevel="0" collapsed="false">
      <c r="A1821" s="43"/>
      <c r="B1821" s="44"/>
      <c r="C1821" s="44"/>
      <c r="D1821" s="44"/>
      <c r="E1821" s="44"/>
      <c r="F1821" s="44"/>
      <c r="G1821" s="44"/>
      <c r="H1821" s="46" t="str">
        <f aca="false">IF($A1821="","",IF(OR(NOT(ISNUMBER(E1821)),NOT(ISNUMBER(F1821))),"",MAX(0,E1821)*F1821))</f>
        <v/>
      </c>
      <c r="I1821" s="46" t="str">
        <f aca="false">IF($A1821="","",SUMIF($A$2:$A$5001,$A1821,$H$2:$H$5001))</f>
        <v/>
      </c>
      <c r="J1821" s="47" t="n">
        <f aca="false">IF($A1821="",0,IF(COUNTIF($A$2:A1821,$A1821)=1,1,0))</f>
        <v>0</v>
      </c>
      <c r="K1821" s="47" t="n">
        <f aca="false">IF(J1821=1,N(I1821)+ROW()/10000000,0)</f>
        <v>0</v>
      </c>
      <c r="L1821" s="47" t="str">
        <f aca="false">IF(AND(J1821=1,N(I1821)&gt;0),SUMIF($K$2:$K$5001,"&gt;="&amp;K1821,$I$2:$I$5001)/MAX(1,SUM($H$2:$H$5001)),"")</f>
        <v/>
      </c>
      <c r="M1821" s="47" t="str">
        <f aca="false">IF($A1821="","",INDEX($L$2:$L$5001,MATCH($A1821,$A$2:$A$5001,0)))</f>
        <v/>
      </c>
      <c r="N1821" s="48" t="str">
        <f aca="false">IF($A1821="","",IF(N(M1821)=0,"–",IF(M1821&lt;=Start!$D$20,"A",IF(M1821&lt;=Start!$D$21,"B","C"))))</f>
        <v/>
      </c>
      <c r="O1821" s="48" t="str">
        <f aca="false">IF($A1821="","",IF(NOT(ISNUMBER(F1821)),"Wert fehlt; ",IF(F1821&lt;=0,"Wert ist 0; ",""))&amp;IF(NOT(ISNUMBER(E1821)),"Bestand fehlt; ",IF(E1821&lt;0,"Bestand negativ; ",IF(E1821=0,"Nullbestand; ","")))&amp;IF(D1821="","Warengruppe fehlt; ","")&amp;IF(B1821="","Bezeichnung fehlt; ","")&amp;IF(COUNTIFS($A$2:$A$5001,$A1821,$C$2:$C$5001,C1821)&gt;1,"Artikel doppelt im selben Lager; ",""))</f>
        <v/>
      </c>
      <c r="P1821" s="47" t="n">
        <f aca="false">IF(OR($A1821="",D1821=""),0,IF(COUNTIF($D$2:D1821,D1821)=1,SUMIF($D$2:$D$5001,D1821,$H$2:$H$5001)+ROW()/10000000,0))</f>
        <v>0</v>
      </c>
      <c r="Q1821" s="47" t="n">
        <f aca="false">IF(OR($A1821="",C1821=""),0,IF(COUNTIF($C$2:C1821,C1821)=1,SUMIF($C$2:$C$5001,C1821,$H$2:$H$5001)+ROW()/10000000,0))</f>
        <v>0</v>
      </c>
    </row>
    <row r="1822" customFormat="false" ht="15" hidden="false" customHeight="false" outlineLevel="0" collapsed="false">
      <c r="A1822" s="43"/>
      <c r="B1822" s="44"/>
      <c r="C1822" s="44"/>
      <c r="D1822" s="44"/>
      <c r="E1822" s="44"/>
      <c r="F1822" s="44"/>
      <c r="G1822" s="44"/>
      <c r="H1822" s="46" t="str">
        <f aca="false">IF($A1822="","",IF(OR(NOT(ISNUMBER(E1822)),NOT(ISNUMBER(F1822))),"",MAX(0,E1822)*F1822))</f>
        <v/>
      </c>
      <c r="I1822" s="46" t="str">
        <f aca="false">IF($A1822="","",SUMIF($A$2:$A$5001,$A1822,$H$2:$H$5001))</f>
        <v/>
      </c>
      <c r="J1822" s="47" t="n">
        <f aca="false">IF($A1822="",0,IF(COUNTIF($A$2:A1822,$A1822)=1,1,0))</f>
        <v>0</v>
      </c>
      <c r="K1822" s="47" t="n">
        <f aca="false">IF(J1822=1,N(I1822)+ROW()/10000000,0)</f>
        <v>0</v>
      </c>
      <c r="L1822" s="47" t="str">
        <f aca="false">IF(AND(J1822=1,N(I1822)&gt;0),SUMIF($K$2:$K$5001,"&gt;="&amp;K1822,$I$2:$I$5001)/MAX(1,SUM($H$2:$H$5001)),"")</f>
        <v/>
      </c>
      <c r="M1822" s="47" t="str">
        <f aca="false">IF($A1822="","",INDEX($L$2:$L$5001,MATCH($A1822,$A$2:$A$5001,0)))</f>
        <v/>
      </c>
      <c r="N1822" s="48" t="str">
        <f aca="false">IF($A1822="","",IF(N(M1822)=0,"–",IF(M1822&lt;=Start!$D$20,"A",IF(M1822&lt;=Start!$D$21,"B","C"))))</f>
        <v/>
      </c>
      <c r="O1822" s="48" t="str">
        <f aca="false">IF($A1822="","",IF(NOT(ISNUMBER(F1822)),"Wert fehlt; ",IF(F1822&lt;=0,"Wert ist 0; ",""))&amp;IF(NOT(ISNUMBER(E1822)),"Bestand fehlt; ",IF(E1822&lt;0,"Bestand negativ; ",IF(E1822=0,"Nullbestand; ","")))&amp;IF(D1822="","Warengruppe fehlt; ","")&amp;IF(B1822="","Bezeichnung fehlt; ","")&amp;IF(COUNTIFS($A$2:$A$5001,$A1822,$C$2:$C$5001,C1822)&gt;1,"Artikel doppelt im selben Lager; ",""))</f>
        <v/>
      </c>
      <c r="P1822" s="47" t="n">
        <f aca="false">IF(OR($A1822="",D1822=""),0,IF(COUNTIF($D$2:D1822,D1822)=1,SUMIF($D$2:$D$5001,D1822,$H$2:$H$5001)+ROW()/10000000,0))</f>
        <v>0</v>
      </c>
      <c r="Q1822" s="47" t="n">
        <f aca="false">IF(OR($A1822="",C1822=""),0,IF(COUNTIF($C$2:C1822,C1822)=1,SUMIF($C$2:$C$5001,C1822,$H$2:$H$5001)+ROW()/10000000,0))</f>
        <v>0</v>
      </c>
    </row>
    <row r="1823" customFormat="false" ht="15" hidden="false" customHeight="false" outlineLevel="0" collapsed="false">
      <c r="A1823" s="43"/>
      <c r="B1823" s="44"/>
      <c r="C1823" s="44"/>
      <c r="D1823" s="44"/>
      <c r="E1823" s="44"/>
      <c r="F1823" s="44"/>
      <c r="G1823" s="44"/>
      <c r="H1823" s="46" t="str">
        <f aca="false">IF($A1823="","",IF(OR(NOT(ISNUMBER(E1823)),NOT(ISNUMBER(F1823))),"",MAX(0,E1823)*F1823))</f>
        <v/>
      </c>
      <c r="I1823" s="46" t="str">
        <f aca="false">IF($A1823="","",SUMIF($A$2:$A$5001,$A1823,$H$2:$H$5001))</f>
        <v/>
      </c>
      <c r="J1823" s="47" t="n">
        <f aca="false">IF($A1823="",0,IF(COUNTIF($A$2:A1823,$A1823)=1,1,0))</f>
        <v>0</v>
      </c>
      <c r="K1823" s="47" t="n">
        <f aca="false">IF(J1823=1,N(I1823)+ROW()/10000000,0)</f>
        <v>0</v>
      </c>
      <c r="L1823" s="47" t="str">
        <f aca="false">IF(AND(J1823=1,N(I1823)&gt;0),SUMIF($K$2:$K$5001,"&gt;="&amp;K1823,$I$2:$I$5001)/MAX(1,SUM($H$2:$H$5001)),"")</f>
        <v/>
      </c>
      <c r="M1823" s="47" t="str">
        <f aca="false">IF($A1823="","",INDEX($L$2:$L$5001,MATCH($A1823,$A$2:$A$5001,0)))</f>
        <v/>
      </c>
      <c r="N1823" s="48" t="str">
        <f aca="false">IF($A1823="","",IF(N(M1823)=0,"–",IF(M1823&lt;=Start!$D$20,"A",IF(M1823&lt;=Start!$D$21,"B","C"))))</f>
        <v/>
      </c>
      <c r="O1823" s="48" t="str">
        <f aca="false">IF($A1823="","",IF(NOT(ISNUMBER(F1823)),"Wert fehlt; ",IF(F1823&lt;=0,"Wert ist 0; ",""))&amp;IF(NOT(ISNUMBER(E1823)),"Bestand fehlt; ",IF(E1823&lt;0,"Bestand negativ; ",IF(E1823=0,"Nullbestand; ","")))&amp;IF(D1823="","Warengruppe fehlt; ","")&amp;IF(B1823="","Bezeichnung fehlt; ","")&amp;IF(COUNTIFS($A$2:$A$5001,$A1823,$C$2:$C$5001,C1823)&gt;1,"Artikel doppelt im selben Lager; ",""))</f>
        <v/>
      </c>
      <c r="P1823" s="47" t="n">
        <f aca="false">IF(OR($A1823="",D1823=""),0,IF(COUNTIF($D$2:D1823,D1823)=1,SUMIF($D$2:$D$5001,D1823,$H$2:$H$5001)+ROW()/10000000,0))</f>
        <v>0</v>
      </c>
      <c r="Q1823" s="47" t="n">
        <f aca="false">IF(OR($A1823="",C1823=""),0,IF(COUNTIF($C$2:C1823,C1823)=1,SUMIF($C$2:$C$5001,C1823,$H$2:$H$5001)+ROW()/10000000,0))</f>
        <v>0</v>
      </c>
    </row>
    <row r="1824" customFormat="false" ht="15" hidden="false" customHeight="false" outlineLevel="0" collapsed="false">
      <c r="A1824" s="43"/>
      <c r="B1824" s="44"/>
      <c r="C1824" s="44"/>
      <c r="D1824" s="44"/>
      <c r="E1824" s="44"/>
      <c r="F1824" s="44"/>
      <c r="G1824" s="44"/>
      <c r="H1824" s="46" t="str">
        <f aca="false">IF($A1824="","",IF(OR(NOT(ISNUMBER(E1824)),NOT(ISNUMBER(F1824))),"",MAX(0,E1824)*F1824))</f>
        <v/>
      </c>
      <c r="I1824" s="46" t="str">
        <f aca="false">IF($A1824="","",SUMIF($A$2:$A$5001,$A1824,$H$2:$H$5001))</f>
        <v/>
      </c>
      <c r="J1824" s="47" t="n">
        <f aca="false">IF($A1824="",0,IF(COUNTIF($A$2:A1824,$A1824)=1,1,0))</f>
        <v>0</v>
      </c>
      <c r="K1824" s="47" t="n">
        <f aca="false">IF(J1824=1,N(I1824)+ROW()/10000000,0)</f>
        <v>0</v>
      </c>
      <c r="L1824" s="47" t="str">
        <f aca="false">IF(AND(J1824=1,N(I1824)&gt;0),SUMIF($K$2:$K$5001,"&gt;="&amp;K1824,$I$2:$I$5001)/MAX(1,SUM($H$2:$H$5001)),"")</f>
        <v/>
      </c>
      <c r="M1824" s="47" t="str">
        <f aca="false">IF($A1824="","",INDEX($L$2:$L$5001,MATCH($A1824,$A$2:$A$5001,0)))</f>
        <v/>
      </c>
      <c r="N1824" s="48" t="str">
        <f aca="false">IF($A1824="","",IF(N(M1824)=0,"–",IF(M1824&lt;=Start!$D$20,"A",IF(M1824&lt;=Start!$D$21,"B","C"))))</f>
        <v/>
      </c>
      <c r="O1824" s="48" t="str">
        <f aca="false">IF($A1824="","",IF(NOT(ISNUMBER(F1824)),"Wert fehlt; ",IF(F1824&lt;=0,"Wert ist 0; ",""))&amp;IF(NOT(ISNUMBER(E1824)),"Bestand fehlt; ",IF(E1824&lt;0,"Bestand negativ; ",IF(E1824=0,"Nullbestand; ","")))&amp;IF(D1824="","Warengruppe fehlt; ","")&amp;IF(B1824="","Bezeichnung fehlt; ","")&amp;IF(COUNTIFS($A$2:$A$5001,$A1824,$C$2:$C$5001,C1824)&gt;1,"Artikel doppelt im selben Lager; ",""))</f>
        <v/>
      </c>
      <c r="P1824" s="47" t="n">
        <f aca="false">IF(OR($A1824="",D1824=""),0,IF(COUNTIF($D$2:D1824,D1824)=1,SUMIF($D$2:$D$5001,D1824,$H$2:$H$5001)+ROW()/10000000,0))</f>
        <v>0</v>
      </c>
      <c r="Q1824" s="47" t="n">
        <f aca="false">IF(OR($A1824="",C1824=""),0,IF(COUNTIF($C$2:C1824,C1824)=1,SUMIF($C$2:$C$5001,C1824,$H$2:$H$5001)+ROW()/10000000,0))</f>
        <v>0</v>
      </c>
    </row>
    <row r="1825" customFormat="false" ht="15" hidden="false" customHeight="false" outlineLevel="0" collapsed="false">
      <c r="A1825" s="43"/>
      <c r="B1825" s="44"/>
      <c r="C1825" s="44"/>
      <c r="D1825" s="44"/>
      <c r="E1825" s="44"/>
      <c r="F1825" s="44"/>
      <c r="G1825" s="44"/>
      <c r="H1825" s="46" t="str">
        <f aca="false">IF($A1825="","",IF(OR(NOT(ISNUMBER(E1825)),NOT(ISNUMBER(F1825))),"",MAX(0,E1825)*F1825))</f>
        <v/>
      </c>
      <c r="I1825" s="46" t="str">
        <f aca="false">IF($A1825="","",SUMIF($A$2:$A$5001,$A1825,$H$2:$H$5001))</f>
        <v/>
      </c>
      <c r="J1825" s="47" t="n">
        <f aca="false">IF($A1825="",0,IF(COUNTIF($A$2:A1825,$A1825)=1,1,0))</f>
        <v>0</v>
      </c>
      <c r="K1825" s="47" t="n">
        <f aca="false">IF(J1825=1,N(I1825)+ROW()/10000000,0)</f>
        <v>0</v>
      </c>
      <c r="L1825" s="47" t="str">
        <f aca="false">IF(AND(J1825=1,N(I1825)&gt;0),SUMIF($K$2:$K$5001,"&gt;="&amp;K1825,$I$2:$I$5001)/MAX(1,SUM($H$2:$H$5001)),"")</f>
        <v/>
      </c>
      <c r="M1825" s="47" t="str">
        <f aca="false">IF($A1825="","",INDEX($L$2:$L$5001,MATCH($A1825,$A$2:$A$5001,0)))</f>
        <v/>
      </c>
      <c r="N1825" s="48" t="str">
        <f aca="false">IF($A1825="","",IF(N(M1825)=0,"–",IF(M1825&lt;=Start!$D$20,"A",IF(M1825&lt;=Start!$D$21,"B","C"))))</f>
        <v/>
      </c>
      <c r="O1825" s="48" t="str">
        <f aca="false">IF($A1825="","",IF(NOT(ISNUMBER(F1825)),"Wert fehlt; ",IF(F1825&lt;=0,"Wert ist 0; ",""))&amp;IF(NOT(ISNUMBER(E1825)),"Bestand fehlt; ",IF(E1825&lt;0,"Bestand negativ; ",IF(E1825=0,"Nullbestand; ","")))&amp;IF(D1825="","Warengruppe fehlt; ","")&amp;IF(B1825="","Bezeichnung fehlt; ","")&amp;IF(COUNTIFS($A$2:$A$5001,$A1825,$C$2:$C$5001,C1825)&gt;1,"Artikel doppelt im selben Lager; ",""))</f>
        <v/>
      </c>
      <c r="P1825" s="47" t="n">
        <f aca="false">IF(OR($A1825="",D1825=""),0,IF(COUNTIF($D$2:D1825,D1825)=1,SUMIF($D$2:$D$5001,D1825,$H$2:$H$5001)+ROW()/10000000,0))</f>
        <v>0</v>
      </c>
      <c r="Q1825" s="47" t="n">
        <f aca="false">IF(OR($A1825="",C1825=""),0,IF(COUNTIF($C$2:C1825,C1825)=1,SUMIF($C$2:$C$5001,C1825,$H$2:$H$5001)+ROW()/10000000,0))</f>
        <v>0</v>
      </c>
    </row>
    <row r="1826" customFormat="false" ht="15" hidden="false" customHeight="false" outlineLevel="0" collapsed="false">
      <c r="A1826" s="43"/>
      <c r="B1826" s="44"/>
      <c r="C1826" s="44"/>
      <c r="D1826" s="44"/>
      <c r="E1826" s="44"/>
      <c r="F1826" s="44"/>
      <c r="G1826" s="44"/>
      <c r="H1826" s="46" t="str">
        <f aca="false">IF($A1826="","",IF(OR(NOT(ISNUMBER(E1826)),NOT(ISNUMBER(F1826))),"",MAX(0,E1826)*F1826))</f>
        <v/>
      </c>
      <c r="I1826" s="46" t="str">
        <f aca="false">IF($A1826="","",SUMIF($A$2:$A$5001,$A1826,$H$2:$H$5001))</f>
        <v/>
      </c>
      <c r="J1826" s="47" t="n">
        <f aca="false">IF($A1826="",0,IF(COUNTIF($A$2:A1826,$A1826)=1,1,0))</f>
        <v>0</v>
      </c>
      <c r="K1826" s="47" t="n">
        <f aca="false">IF(J1826=1,N(I1826)+ROW()/10000000,0)</f>
        <v>0</v>
      </c>
      <c r="L1826" s="47" t="str">
        <f aca="false">IF(AND(J1826=1,N(I1826)&gt;0),SUMIF($K$2:$K$5001,"&gt;="&amp;K1826,$I$2:$I$5001)/MAX(1,SUM($H$2:$H$5001)),"")</f>
        <v/>
      </c>
      <c r="M1826" s="47" t="str">
        <f aca="false">IF($A1826="","",INDEX($L$2:$L$5001,MATCH($A1826,$A$2:$A$5001,0)))</f>
        <v/>
      </c>
      <c r="N1826" s="48" t="str">
        <f aca="false">IF($A1826="","",IF(N(M1826)=0,"–",IF(M1826&lt;=Start!$D$20,"A",IF(M1826&lt;=Start!$D$21,"B","C"))))</f>
        <v/>
      </c>
      <c r="O1826" s="48" t="str">
        <f aca="false">IF($A1826="","",IF(NOT(ISNUMBER(F1826)),"Wert fehlt; ",IF(F1826&lt;=0,"Wert ist 0; ",""))&amp;IF(NOT(ISNUMBER(E1826)),"Bestand fehlt; ",IF(E1826&lt;0,"Bestand negativ; ",IF(E1826=0,"Nullbestand; ","")))&amp;IF(D1826="","Warengruppe fehlt; ","")&amp;IF(B1826="","Bezeichnung fehlt; ","")&amp;IF(COUNTIFS($A$2:$A$5001,$A1826,$C$2:$C$5001,C1826)&gt;1,"Artikel doppelt im selben Lager; ",""))</f>
        <v/>
      </c>
      <c r="P1826" s="47" t="n">
        <f aca="false">IF(OR($A1826="",D1826=""),0,IF(COUNTIF($D$2:D1826,D1826)=1,SUMIF($D$2:$D$5001,D1826,$H$2:$H$5001)+ROW()/10000000,0))</f>
        <v>0</v>
      </c>
      <c r="Q1826" s="47" t="n">
        <f aca="false">IF(OR($A1826="",C1826=""),0,IF(COUNTIF($C$2:C1826,C1826)=1,SUMIF($C$2:$C$5001,C1826,$H$2:$H$5001)+ROW()/10000000,0))</f>
        <v>0</v>
      </c>
    </row>
    <row r="1827" customFormat="false" ht="15" hidden="false" customHeight="false" outlineLevel="0" collapsed="false">
      <c r="A1827" s="43"/>
      <c r="B1827" s="44"/>
      <c r="C1827" s="44"/>
      <c r="D1827" s="44"/>
      <c r="E1827" s="44"/>
      <c r="F1827" s="44"/>
      <c r="G1827" s="44"/>
      <c r="H1827" s="46" t="str">
        <f aca="false">IF($A1827="","",IF(OR(NOT(ISNUMBER(E1827)),NOT(ISNUMBER(F1827))),"",MAX(0,E1827)*F1827))</f>
        <v/>
      </c>
      <c r="I1827" s="46" t="str">
        <f aca="false">IF($A1827="","",SUMIF($A$2:$A$5001,$A1827,$H$2:$H$5001))</f>
        <v/>
      </c>
      <c r="J1827" s="47" t="n">
        <f aca="false">IF($A1827="",0,IF(COUNTIF($A$2:A1827,$A1827)=1,1,0))</f>
        <v>0</v>
      </c>
      <c r="K1827" s="47" t="n">
        <f aca="false">IF(J1827=1,N(I1827)+ROW()/10000000,0)</f>
        <v>0</v>
      </c>
      <c r="L1827" s="47" t="str">
        <f aca="false">IF(AND(J1827=1,N(I1827)&gt;0),SUMIF($K$2:$K$5001,"&gt;="&amp;K1827,$I$2:$I$5001)/MAX(1,SUM($H$2:$H$5001)),"")</f>
        <v/>
      </c>
      <c r="M1827" s="47" t="str">
        <f aca="false">IF($A1827="","",INDEX($L$2:$L$5001,MATCH($A1827,$A$2:$A$5001,0)))</f>
        <v/>
      </c>
      <c r="N1827" s="48" t="str">
        <f aca="false">IF($A1827="","",IF(N(M1827)=0,"–",IF(M1827&lt;=Start!$D$20,"A",IF(M1827&lt;=Start!$D$21,"B","C"))))</f>
        <v/>
      </c>
      <c r="O1827" s="48" t="str">
        <f aca="false">IF($A1827="","",IF(NOT(ISNUMBER(F1827)),"Wert fehlt; ",IF(F1827&lt;=0,"Wert ist 0; ",""))&amp;IF(NOT(ISNUMBER(E1827)),"Bestand fehlt; ",IF(E1827&lt;0,"Bestand negativ; ",IF(E1827=0,"Nullbestand; ","")))&amp;IF(D1827="","Warengruppe fehlt; ","")&amp;IF(B1827="","Bezeichnung fehlt; ","")&amp;IF(COUNTIFS($A$2:$A$5001,$A1827,$C$2:$C$5001,C1827)&gt;1,"Artikel doppelt im selben Lager; ",""))</f>
        <v/>
      </c>
      <c r="P1827" s="47" t="n">
        <f aca="false">IF(OR($A1827="",D1827=""),0,IF(COUNTIF($D$2:D1827,D1827)=1,SUMIF($D$2:$D$5001,D1827,$H$2:$H$5001)+ROW()/10000000,0))</f>
        <v>0</v>
      </c>
      <c r="Q1827" s="47" t="n">
        <f aca="false">IF(OR($A1827="",C1827=""),0,IF(COUNTIF($C$2:C1827,C1827)=1,SUMIF($C$2:$C$5001,C1827,$H$2:$H$5001)+ROW()/10000000,0))</f>
        <v>0</v>
      </c>
    </row>
    <row r="1828" customFormat="false" ht="15" hidden="false" customHeight="false" outlineLevel="0" collapsed="false">
      <c r="A1828" s="43"/>
      <c r="B1828" s="44"/>
      <c r="C1828" s="44"/>
      <c r="D1828" s="44"/>
      <c r="E1828" s="44"/>
      <c r="F1828" s="44"/>
      <c r="G1828" s="44"/>
      <c r="H1828" s="46" t="str">
        <f aca="false">IF($A1828="","",IF(OR(NOT(ISNUMBER(E1828)),NOT(ISNUMBER(F1828))),"",MAX(0,E1828)*F1828))</f>
        <v/>
      </c>
      <c r="I1828" s="46" t="str">
        <f aca="false">IF($A1828="","",SUMIF($A$2:$A$5001,$A1828,$H$2:$H$5001))</f>
        <v/>
      </c>
      <c r="J1828" s="47" t="n">
        <f aca="false">IF($A1828="",0,IF(COUNTIF($A$2:A1828,$A1828)=1,1,0))</f>
        <v>0</v>
      </c>
      <c r="K1828" s="47" t="n">
        <f aca="false">IF(J1828=1,N(I1828)+ROW()/10000000,0)</f>
        <v>0</v>
      </c>
      <c r="L1828" s="47" t="str">
        <f aca="false">IF(AND(J1828=1,N(I1828)&gt;0),SUMIF($K$2:$K$5001,"&gt;="&amp;K1828,$I$2:$I$5001)/MAX(1,SUM($H$2:$H$5001)),"")</f>
        <v/>
      </c>
      <c r="M1828" s="47" t="str">
        <f aca="false">IF($A1828="","",INDEX($L$2:$L$5001,MATCH($A1828,$A$2:$A$5001,0)))</f>
        <v/>
      </c>
      <c r="N1828" s="48" t="str">
        <f aca="false">IF($A1828="","",IF(N(M1828)=0,"–",IF(M1828&lt;=Start!$D$20,"A",IF(M1828&lt;=Start!$D$21,"B","C"))))</f>
        <v/>
      </c>
      <c r="O1828" s="48" t="str">
        <f aca="false">IF($A1828="","",IF(NOT(ISNUMBER(F1828)),"Wert fehlt; ",IF(F1828&lt;=0,"Wert ist 0; ",""))&amp;IF(NOT(ISNUMBER(E1828)),"Bestand fehlt; ",IF(E1828&lt;0,"Bestand negativ; ",IF(E1828=0,"Nullbestand; ","")))&amp;IF(D1828="","Warengruppe fehlt; ","")&amp;IF(B1828="","Bezeichnung fehlt; ","")&amp;IF(COUNTIFS($A$2:$A$5001,$A1828,$C$2:$C$5001,C1828)&gt;1,"Artikel doppelt im selben Lager; ",""))</f>
        <v/>
      </c>
      <c r="P1828" s="47" t="n">
        <f aca="false">IF(OR($A1828="",D1828=""),0,IF(COUNTIF($D$2:D1828,D1828)=1,SUMIF($D$2:$D$5001,D1828,$H$2:$H$5001)+ROW()/10000000,0))</f>
        <v>0</v>
      </c>
      <c r="Q1828" s="47" t="n">
        <f aca="false">IF(OR($A1828="",C1828=""),0,IF(COUNTIF($C$2:C1828,C1828)=1,SUMIF($C$2:$C$5001,C1828,$H$2:$H$5001)+ROW()/10000000,0))</f>
        <v>0</v>
      </c>
    </row>
    <row r="1829" customFormat="false" ht="15" hidden="false" customHeight="false" outlineLevel="0" collapsed="false">
      <c r="A1829" s="43"/>
      <c r="B1829" s="44"/>
      <c r="C1829" s="44"/>
      <c r="D1829" s="44"/>
      <c r="E1829" s="44"/>
      <c r="F1829" s="44"/>
      <c r="G1829" s="44"/>
      <c r="H1829" s="46" t="str">
        <f aca="false">IF($A1829="","",IF(OR(NOT(ISNUMBER(E1829)),NOT(ISNUMBER(F1829))),"",MAX(0,E1829)*F1829))</f>
        <v/>
      </c>
      <c r="I1829" s="46" t="str">
        <f aca="false">IF($A1829="","",SUMIF($A$2:$A$5001,$A1829,$H$2:$H$5001))</f>
        <v/>
      </c>
      <c r="J1829" s="47" t="n">
        <f aca="false">IF($A1829="",0,IF(COUNTIF($A$2:A1829,$A1829)=1,1,0))</f>
        <v>0</v>
      </c>
      <c r="K1829" s="47" t="n">
        <f aca="false">IF(J1829=1,N(I1829)+ROW()/10000000,0)</f>
        <v>0</v>
      </c>
      <c r="L1829" s="47" t="str">
        <f aca="false">IF(AND(J1829=1,N(I1829)&gt;0),SUMIF($K$2:$K$5001,"&gt;="&amp;K1829,$I$2:$I$5001)/MAX(1,SUM($H$2:$H$5001)),"")</f>
        <v/>
      </c>
      <c r="M1829" s="47" t="str">
        <f aca="false">IF($A1829="","",INDEX($L$2:$L$5001,MATCH($A1829,$A$2:$A$5001,0)))</f>
        <v/>
      </c>
      <c r="N1829" s="48" t="str">
        <f aca="false">IF($A1829="","",IF(N(M1829)=0,"–",IF(M1829&lt;=Start!$D$20,"A",IF(M1829&lt;=Start!$D$21,"B","C"))))</f>
        <v/>
      </c>
      <c r="O1829" s="48" t="str">
        <f aca="false">IF($A1829="","",IF(NOT(ISNUMBER(F1829)),"Wert fehlt; ",IF(F1829&lt;=0,"Wert ist 0; ",""))&amp;IF(NOT(ISNUMBER(E1829)),"Bestand fehlt; ",IF(E1829&lt;0,"Bestand negativ; ",IF(E1829=0,"Nullbestand; ","")))&amp;IF(D1829="","Warengruppe fehlt; ","")&amp;IF(B1829="","Bezeichnung fehlt; ","")&amp;IF(COUNTIFS($A$2:$A$5001,$A1829,$C$2:$C$5001,C1829)&gt;1,"Artikel doppelt im selben Lager; ",""))</f>
        <v/>
      </c>
      <c r="P1829" s="47" t="n">
        <f aca="false">IF(OR($A1829="",D1829=""),0,IF(COUNTIF($D$2:D1829,D1829)=1,SUMIF($D$2:$D$5001,D1829,$H$2:$H$5001)+ROW()/10000000,0))</f>
        <v>0</v>
      </c>
      <c r="Q1829" s="47" t="n">
        <f aca="false">IF(OR($A1829="",C1829=""),0,IF(COUNTIF($C$2:C1829,C1829)=1,SUMIF($C$2:$C$5001,C1829,$H$2:$H$5001)+ROW()/10000000,0))</f>
        <v>0</v>
      </c>
    </row>
    <row r="1830" customFormat="false" ht="15" hidden="false" customHeight="false" outlineLevel="0" collapsed="false">
      <c r="A1830" s="43"/>
      <c r="B1830" s="44"/>
      <c r="C1830" s="44"/>
      <c r="D1830" s="44"/>
      <c r="E1830" s="44"/>
      <c r="F1830" s="44"/>
      <c r="G1830" s="44"/>
      <c r="H1830" s="46" t="str">
        <f aca="false">IF($A1830="","",IF(OR(NOT(ISNUMBER(E1830)),NOT(ISNUMBER(F1830))),"",MAX(0,E1830)*F1830))</f>
        <v/>
      </c>
      <c r="I1830" s="46" t="str">
        <f aca="false">IF($A1830="","",SUMIF($A$2:$A$5001,$A1830,$H$2:$H$5001))</f>
        <v/>
      </c>
      <c r="J1830" s="47" t="n">
        <f aca="false">IF($A1830="",0,IF(COUNTIF($A$2:A1830,$A1830)=1,1,0))</f>
        <v>0</v>
      </c>
      <c r="K1830" s="47" t="n">
        <f aca="false">IF(J1830=1,N(I1830)+ROW()/10000000,0)</f>
        <v>0</v>
      </c>
      <c r="L1830" s="47" t="str">
        <f aca="false">IF(AND(J1830=1,N(I1830)&gt;0),SUMIF($K$2:$K$5001,"&gt;="&amp;K1830,$I$2:$I$5001)/MAX(1,SUM($H$2:$H$5001)),"")</f>
        <v/>
      </c>
      <c r="M1830" s="47" t="str">
        <f aca="false">IF($A1830="","",INDEX($L$2:$L$5001,MATCH($A1830,$A$2:$A$5001,0)))</f>
        <v/>
      </c>
      <c r="N1830" s="48" t="str">
        <f aca="false">IF($A1830="","",IF(N(M1830)=0,"–",IF(M1830&lt;=Start!$D$20,"A",IF(M1830&lt;=Start!$D$21,"B","C"))))</f>
        <v/>
      </c>
      <c r="O1830" s="48" t="str">
        <f aca="false">IF($A1830="","",IF(NOT(ISNUMBER(F1830)),"Wert fehlt; ",IF(F1830&lt;=0,"Wert ist 0; ",""))&amp;IF(NOT(ISNUMBER(E1830)),"Bestand fehlt; ",IF(E1830&lt;0,"Bestand negativ; ",IF(E1830=0,"Nullbestand; ","")))&amp;IF(D1830="","Warengruppe fehlt; ","")&amp;IF(B1830="","Bezeichnung fehlt; ","")&amp;IF(COUNTIFS($A$2:$A$5001,$A1830,$C$2:$C$5001,C1830)&gt;1,"Artikel doppelt im selben Lager; ",""))</f>
        <v/>
      </c>
      <c r="P1830" s="47" t="n">
        <f aca="false">IF(OR($A1830="",D1830=""),0,IF(COUNTIF($D$2:D1830,D1830)=1,SUMIF($D$2:$D$5001,D1830,$H$2:$H$5001)+ROW()/10000000,0))</f>
        <v>0</v>
      </c>
      <c r="Q1830" s="47" t="n">
        <f aca="false">IF(OR($A1830="",C1830=""),0,IF(COUNTIF($C$2:C1830,C1830)=1,SUMIF($C$2:$C$5001,C1830,$H$2:$H$5001)+ROW()/10000000,0))</f>
        <v>0</v>
      </c>
    </row>
    <row r="1831" customFormat="false" ht="15" hidden="false" customHeight="false" outlineLevel="0" collapsed="false">
      <c r="A1831" s="43"/>
      <c r="B1831" s="44"/>
      <c r="C1831" s="44"/>
      <c r="D1831" s="44"/>
      <c r="E1831" s="44"/>
      <c r="F1831" s="44"/>
      <c r="G1831" s="44"/>
      <c r="H1831" s="46" t="str">
        <f aca="false">IF($A1831="","",IF(OR(NOT(ISNUMBER(E1831)),NOT(ISNUMBER(F1831))),"",MAX(0,E1831)*F1831))</f>
        <v/>
      </c>
      <c r="I1831" s="46" t="str">
        <f aca="false">IF($A1831="","",SUMIF($A$2:$A$5001,$A1831,$H$2:$H$5001))</f>
        <v/>
      </c>
      <c r="J1831" s="47" t="n">
        <f aca="false">IF($A1831="",0,IF(COUNTIF($A$2:A1831,$A1831)=1,1,0))</f>
        <v>0</v>
      </c>
      <c r="K1831" s="47" t="n">
        <f aca="false">IF(J1831=1,N(I1831)+ROW()/10000000,0)</f>
        <v>0</v>
      </c>
      <c r="L1831" s="47" t="str">
        <f aca="false">IF(AND(J1831=1,N(I1831)&gt;0),SUMIF($K$2:$K$5001,"&gt;="&amp;K1831,$I$2:$I$5001)/MAX(1,SUM($H$2:$H$5001)),"")</f>
        <v/>
      </c>
      <c r="M1831" s="47" t="str">
        <f aca="false">IF($A1831="","",INDEX($L$2:$L$5001,MATCH($A1831,$A$2:$A$5001,0)))</f>
        <v/>
      </c>
      <c r="N1831" s="48" t="str">
        <f aca="false">IF($A1831="","",IF(N(M1831)=0,"–",IF(M1831&lt;=Start!$D$20,"A",IF(M1831&lt;=Start!$D$21,"B","C"))))</f>
        <v/>
      </c>
      <c r="O1831" s="48" t="str">
        <f aca="false">IF($A1831="","",IF(NOT(ISNUMBER(F1831)),"Wert fehlt; ",IF(F1831&lt;=0,"Wert ist 0; ",""))&amp;IF(NOT(ISNUMBER(E1831)),"Bestand fehlt; ",IF(E1831&lt;0,"Bestand negativ; ",IF(E1831=0,"Nullbestand; ","")))&amp;IF(D1831="","Warengruppe fehlt; ","")&amp;IF(B1831="","Bezeichnung fehlt; ","")&amp;IF(COUNTIFS($A$2:$A$5001,$A1831,$C$2:$C$5001,C1831)&gt;1,"Artikel doppelt im selben Lager; ",""))</f>
        <v/>
      </c>
      <c r="P1831" s="47" t="n">
        <f aca="false">IF(OR($A1831="",D1831=""),0,IF(COUNTIF($D$2:D1831,D1831)=1,SUMIF($D$2:$D$5001,D1831,$H$2:$H$5001)+ROW()/10000000,0))</f>
        <v>0</v>
      </c>
      <c r="Q1831" s="47" t="n">
        <f aca="false">IF(OR($A1831="",C1831=""),0,IF(COUNTIF($C$2:C1831,C1831)=1,SUMIF($C$2:$C$5001,C1831,$H$2:$H$5001)+ROW()/10000000,0))</f>
        <v>0</v>
      </c>
    </row>
    <row r="1832" customFormat="false" ht="15" hidden="false" customHeight="false" outlineLevel="0" collapsed="false">
      <c r="A1832" s="43"/>
      <c r="B1832" s="44"/>
      <c r="C1832" s="44"/>
      <c r="D1832" s="44"/>
      <c r="E1832" s="44"/>
      <c r="F1832" s="44"/>
      <c r="G1832" s="44"/>
      <c r="H1832" s="46" t="str">
        <f aca="false">IF($A1832="","",IF(OR(NOT(ISNUMBER(E1832)),NOT(ISNUMBER(F1832))),"",MAX(0,E1832)*F1832))</f>
        <v/>
      </c>
      <c r="I1832" s="46" t="str">
        <f aca="false">IF($A1832="","",SUMIF($A$2:$A$5001,$A1832,$H$2:$H$5001))</f>
        <v/>
      </c>
      <c r="J1832" s="47" t="n">
        <f aca="false">IF($A1832="",0,IF(COUNTIF($A$2:A1832,$A1832)=1,1,0))</f>
        <v>0</v>
      </c>
      <c r="K1832" s="47" t="n">
        <f aca="false">IF(J1832=1,N(I1832)+ROW()/10000000,0)</f>
        <v>0</v>
      </c>
      <c r="L1832" s="47" t="str">
        <f aca="false">IF(AND(J1832=1,N(I1832)&gt;0),SUMIF($K$2:$K$5001,"&gt;="&amp;K1832,$I$2:$I$5001)/MAX(1,SUM($H$2:$H$5001)),"")</f>
        <v/>
      </c>
      <c r="M1832" s="47" t="str">
        <f aca="false">IF($A1832="","",INDEX($L$2:$L$5001,MATCH($A1832,$A$2:$A$5001,0)))</f>
        <v/>
      </c>
      <c r="N1832" s="48" t="str">
        <f aca="false">IF($A1832="","",IF(N(M1832)=0,"–",IF(M1832&lt;=Start!$D$20,"A",IF(M1832&lt;=Start!$D$21,"B","C"))))</f>
        <v/>
      </c>
      <c r="O1832" s="48" t="str">
        <f aca="false">IF($A1832="","",IF(NOT(ISNUMBER(F1832)),"Wert fehlt; ",IF(F1832&lt;=0,"Wert ist 0; ",""))&amp;IF(NOT(ISNUMBER(E1832)),"Bestand fehlt; ",IF(E1832&lt;0,"Bestand negativ; ",IF(E1832=0,"Nullbestand; ","")))&amp;IF(D1832="","Warengruppe fehlt; ","")&amp;IF(B1832="","Bezeichnung fehlt; ","")&amp;IF(COUNTIFS($A$2:$A$5001,$A1832,$C$2:$C$5001,C1832)&gt;1,"Artikel doppelt im selben Lager; ",""))</f>
        <v/>
      </c>
      <c r="P1832" s="47" t="n">
        <f aca="false">IF(OR($A1832="",D1832=""),0,IF(COUNTIF($D$2:D1832,D1832)=1,SUMIF($D$2:$D$5001,D1832,$H$2:$H$5001)+ROW()/10000000,0))</f>
        <v>0</v>
      </c>
      <c r="Q1832" s="47" t="n">
        <f aca="false">IF(OR($A1832="",C1832=""),0,IF(COUNTIF($C$2:C1832,C1832)=1,SUMIF($C$2:$C$5001,C1832,$H$2:$H$5001)+ROW()/10000000,0))</f>
        <v>0</v>
      </c>
    </row>
    <row r="1833" customFormat="false" ht="15" hidden="false" customHeight="false" outlineLevel="0" collapsed="false">
      <c r="A1833" s="43"/>
      <c r="B1833" s="44"/>
      <c r="C1833" s="44"/>
      <c r="D1833" s="44"/>
      <c r="E1833" s="44"/>
      <c r="F1833" s="44"/>
      <c r="G1833" s="44"/>
      <c r="H1833" s="46" t="str">
        <f aca="false">IF($A1833="","",IF(OR(NOT(ISNUMBER(E1833)),NOT(ISNUMBER(F1833))),"",MAX(0,E1833)*F1833))</f>
        <v/>
      </c>
      <c r="I1833" s="46" t="str">
        <f aca="false">IF($A1833="","",SUMIF($A$2:$A$5001,$A1833,$H$2:$H$5001))</f>
        <v/>
      </c>
      <c r="J1833" s="47" t="n">
        <f aca="false">IF($A1833="",0,IF(COUNTIF($A$2:A1833,$A1833)=1,1,0))</f>
        <v>0</v>
      </c>
      <c r="K1833" s="47" t="n">
        <f aca="false">IF(J1833=1,N(I1833)+ROW()/10000000,0)</f>
        <v>0</v>
      </c>
      <c r="L1833" s="47" t="str">
        <f aca="false">IF(AND(J1833=1,N(I1833)&gt;0),SUMIF($K$2:$K$5001,"&gt;="&amp;K1833,$I$2:$I$5001)/MAX(1,SUM($H$2:$H$5001)),"")</f>
        <v/>
      </c>
      <c r="M1833" s="47" t="str">
        <f aca="false">IF($A1833="","",INDEX($L$2:$L$5001,MATCH($A1833,$A$2:$A$5001,0)))</f>
        <v/>
      </c>
      <c r="N1833" s="48" t="str">
        <f aca="false">IF($A1833="","",IF(N(M1833)=0,"–",IF(M1833&lt;=Start!$D$20,"A",IF(M1833&lt;=Start!$D$21,"B","C"))))</f>
        <v/>
      </c>
      <c r="O1833" s="48" t="str">
        <f aca="false">IF($A1833="","",IF(NOT(ISNUMBER(F1833)),"Wert fehlt; ",IF(F1833&lt;=0,"Wert ist 0; ",""))&amp;IF(NOT(ISNUMBER(E1833)),"Bestand fehlt; ",IF(E1833&lt;0,"Bestand negativ; ",IF(E1833=0,"Nullbestand; ","")))&amp;IF(D1833="","Warengruppe fehlt; ","")&amp;IF(B1833="","Bezeichnung fehlt; ","")&amp;IF(COUNTIFS($A$2:$A$5001,$A1833,$C$2:$C$5001,C1833)&gt;1,"Artikel doppelt im selben Lager; ",""))</f>
        <v/>
      </c>
      <c r="P1833" s="47" t="n">
        <f aca="false">IF(OR($A1833="",D1833=""),0,IF(COUNTIF($D$2:D1833,D1833)=1,SUMIF($D$2:$D$5001,D1833,$H$2:$H$5001)+ROW()/10000000,0))</f>
        <v>0</v>
      </c>
      <c r="Q1833" s="47" t="n">
        <f aca="false">IF(OR($A1833="",C1833=""),0,IF(COUNTIF($C$2:C1833,C1833)=1,SUMIF($C$2:$C$5001,C1833,$H$2:$H$5001)+ROW()/10000000,0))</f>
        <v>0</v>
      </c>
    </row>
    <row r="1834" customFormat="false" ht="15" hidden="false" customHeight="false" outlineLevel="0" collapsed="false">
      <c r="A1834" s="43"/>
      <c r="B1834" s="44"/>
      <c r="C1834" s="44"/>
      <c r="D1834" s="44"/>
      <c r="E1834" s="44"/>
      <c r="F1834" s="44"/>
      <c r="G1834" s="44"/>
      <c r="H1834" s="46" t="str">
        <f aca="false">IF($A1834="","",IF(OR(NOT(ISNUMBER(E1834)),NOT(ISNUMBER(F1834))),"",MAX(0,E1834)*F1834))</f>
        <v/>
      </c>
      <c r="I1834" s="46" t="str">
        <f aca="false">IF($A1834="","",SUMIF($A$2:$A$5001,$A1834,$H$2:$H$5001))</f>
        <v/>
      </c>
      <c r="J1834" s="47" t="n">
        <f aca="false">IF($A1834="",0,IF(COUNTIF($A$2:A1834,$A1834)=1,1,0))</f>
        <v>0</v>
      </c>
      <c r="K1834" s="47" t="n">
        <f aca="false">IF(J1834=1,N(I1834)+ROW()/10000000,0)</f>
        <v>0</v>
      </c>
      <c r="L1834" s="47" t="str">
        <f aca="false">IF(AND(J1834=1,N(I1834)&gt;0),SUMIF($K$2:$K$5001,"&gt;="&amp;K1834,$I$2:$I$5001)/MAX(1,SUM($H$2:$H$5001)),"")</f>
        <v/>
      </c>
      <c r="M1834" s="47" t="str">
        <f aca="false">IF($A1834="","",INDEX($L$2:$L$5001,MATCH($A1834,$A$2:$A$5001,0)))</f>
        <v/>
      </c>
      <c r="N1834" s="48" t="str">
        <f aca="false">IF($A1834="","",IF(N(M1834)=0,"–",IF(M1834&lt;=Start!$D$20,"A",IF(M1834&lt;=Start!$D$21,"B","C"))))</f>
        <v/>
      </c>
      <c r="O1834" s="48" t="str">
        <f aca="false">IF($A1834="","",IF(NOT(ISNUMBER(F1834)),"Wert fehlt; ",IF(F1834&lt;=0,"Wert ist 0; ",""))&amp;IF(NOT(ISNUMBER(E1834)),"Bestand fehlt; ",IF(E1834&lt;0,"Bestand negativ; ",IF(E1834=0,"Nullbestand; ","")))&amp;IF(D1834="","Warengruppe fehlt; ","")&amp;IF(B1834="","Bezeichnung fehlt; ","")&amp;IF(COUNTIFS($A$2:$A$5001,$A1834,$C$2:$C$5001,C1834)&gt;1,"Artikel doppelt im selben Lager; ",""))</f>
        <v/>
      </c>
      <c r="P1834" s="47" t="n">
        <f aca="false">IF(OR($A1834="",D1834=""),0,IF(COUNTIF($D$2:D1834,D1834)=1,SUMIF($D$2:$D$5001,D1834,$H$2:$H$5001)+ROW()/10000000,0))</f>
        <v>0</v>
      </c>
      <c r="Q1834" s="47" t="n">
        <f aca="false">IF(OR($A1834="",C1834=""),0,IF(COUNTIF($C$2:C1834,C1834)=1,SUMIF($C$2:$C$5001,C1834,$H$2:$H$5001)+ROW()/10000000,0))</f>
        <v>0</v>
      </c>
    </row>
    <row r="1835" customFormat="false" ht="15" hidden="false" customHeight="false" outlineLevel="0" collapsed="false">
      <c r="A1835" s="43"/>
      <c r="B1835" s="44"/>
      <c r="C1835" s="44"/>
      <c r="D1835" s="44"/>
      <c r="E1835" s="44"/>
      <c r="F1835" s="44"/>
      <c r="G1835" s="44"/>
      <c r="H1835" s="46" t="str">
        <f aca="false">IF($A1835="","",IF(OR(NOT(ISNUMBER(E1835)),NOT(ISNUMBER(F1835))),"",MAX(0,E1835)*F1835))</f>
        <v/>
      </c>
      <c r="I1835" s="46" t="str">
        <f aca="false">IF($A1835="","",SUMIF($A$2:$A$5001,$A1835,$H$2:$H$5001))</f>
        <v/>
      </c>
      <c r="J1835" s="47" t="n">
        <f aca="false">IF($A1835="",0,IF(COUNTIF($A$2:A1835,$A1835)=1,1,0))</f>
        <v>0</v>
      </c>
      <c r="K1835" s="47" t="n">
        <f aca="false">IF(J1835=1,N(I1835)+ROW()/10000000,0)</f>
        <v>0</v>
      </c>
      <c r="L1835" s="47" t="str">
        <f aca="false">IF(AND(J1835=1,N(I1835)&gt;0),SUMIF($K$2:$K$5001,"&gt;="&amp;K1835,$I$2:$I$5001)/MAX(1,SUM($H$2:$H$5001)),"")</f>
        <v/>
      </c>
      <c r="M1835" s="47" t="str">
        <f aca="false">IF($A1835="","",INDEX($L$2:$L$5001,MATCH($A1835,$A$2:$A$5001,0)))</f>
        <v/>
      </c>
      <c r="N1835" s="48" t="str">
        <f aca="false">IF($A1835="","",IF(N(M1835)=0,"–",IF(M1835&lt;=Start!$D$20,"A",IF(M1835&lt;=Start!$D$21,"B","C"))))</f>
        <v/>
      </c>
      <c r="O1835" s="48" t="str">
        <f aca="false">IF($A1835="","",IF(NOT(ISNUMBER(F1835)),"Wert fehlt; ",IF(F1835&lt;=0,"Wert ist 0; ",""))&amp;IF(NOT(ISNUMBER(E1835)),"Bestand fehlt; ",IF(E1835&lt;0,"Bestand negativ; ",IF(E1835=0,"Nullbestand; ","")))&amp;IF(D1835="","Warengruppe fehlt; ","")&amp;IF(B1835="","Bezeichnung fehlt; ","")&amp;IF(COUNTIFS($A$2:$A$5001,$A1835,$C$2:$C$5001,C1835)&gt;1,"Artikel doppelt im selben Lager; ",""))</f>
        <v/>
      </c>
      <c r="P1835" s="47" t="n">
        <f aca="false">IF(OR($A1835="",D1835=""),0,IF(COUNTIF($D$2:D1835,D1835)=1,SUMIF($D$2:$D$5001,D1835,$H$2:$H$5001)+ROW()/10000000,0))</f>
        <v>0</v>
      </c>
      <c r="Q1835" s="47" t="n">
        <f aca="false">IF(OR($A1835="",C1835=""),0,IF(COUNTIF($C$2:C1835,C1835)=1,SUMIF($C$2:$C$5001,C1835,$H$2:$H$5001)+ROW()/10000000,0))</f>
        <v>0</v>
      </c>
    </row>
    <row r="1836" customFormat="false" ht="15" hidden="false" customHeight="false" outlineLevel="0" collapsed="false">
      <c r="A1836" s="43"/>
      <c r="B1836" s="44"/>
      <c r="C1836" s="44"/>
      <c r="D1836" s="44"/>
      <c r="E1836" s="44"/>
      <c r="F1836" s="44"/>
      <c r="G1836" s="44"/>
      <c r="H1836" s="46" t="str">
        <f aca="false">IF($A1836="","",IF(OR(NOT(ISNUMBER(E1836)),NOT(ISNUMBER(F1836))),"",MAX(0,E1836)*F1836))</f>
        <v/>
      </c>
      <c r="I1836" s="46" t="str">
        <f aca="false">IF($A1836="","",SUMIF($A$2:$A$5001,$A1836,$H$2:$H$5001))</f>
        <v/>
      </c>
      <c r="J1836" s="47" t="n">
        <f aca="false">IF($A1836="",0,IF(COUNTIF($A$2:A1836,$A1836)=1,1,0))</f>
        <v>0</v>
      </c>
      <c r="K1836" s="47" t="n">
        <f aca="false">IF(J1836=1,N(I1836)+ROW()/10000000,0)</f>
        <v>0</v>
      </c>
      <c r="L1836" s="47" t="str">
        <f aca="false">IF(AND(J1836=1,N(I1836)&gt;0),SUMIF($K$2:$K$5001,"&gt;="&amp;K1836,$I$2:$I$5001)/MAX(1,SUM($H$2:$H$5001)),"")</f>
        <v/>
      </c>
      <c r="M1836" s="47" t="str">
        <f aca="false">IF($A1836="","",INDEX($L$2:$L$5001,MATCH($A1836,$A$2:$A$5001,0)))</f>
        <v/>
      </c>
      <c r="N1836" s="48" t="str">
        <f aca="false">IF($A1836="","",IF(N(M1836)=0,"–",IF(M1836&lt;=Start!$D$20,"A",IF(M1836&lt;=Start!$D$21,"B","C"))))</f>
        <v/>
      </c>
      <c r="O1836" s="48" t="str">
        <f aca="false">IF($A1836="","",IF(NOT(ISNUMBER(F1836)),"Wert fehlt; ",IF(F1836&lt;=0,"Wert ist 0; ",""))&amp;IF(NOT(ISNUMBER(E1836)),"Bestand fehlt; ",IF(E1836&lt;0,"Bestand negativ; ",IF(E1836=0,"Nullbestand; ","")))&amp;IF(D1836="","Warengruppe fehlt; ","")&amp;IF(B1836="","Bezeichnung fehlt; ","")&amp;IF(COUNTIFS($A$2:$A$5001,$A1836,$C$2:$C$5001,C1836)&gt;1,"Artikel doppelt im selben Lager; ",""))</f>
        <v/>
      </c>
      <c r="P1836" s="47" t="n">
        <f aca="false">IF(OR($A1836="",D1836=""),0,IF(COUNTIF($D$2:D1836,D1836)=1,SUMIF($D$2:$D$5001,D1836,$H$2:$H$5001)+ROW()/10000000,0))</f>
        <v>0</v>
      </c>
      <c r="Q1836" s="47" t="n">
        <f aca="false">IF(OR($A1836="",C1836=""),0,IF(COUNTIF($C$2:C1836,C1836)=1,SUMIF($C$2:$C$5001,C1836,$H$2:$H$5001)+ROW()/10000000,0))</f>
        <v>0</v>
      </c>
    </row>
    <row r="1837" customFormat="false" ht="15" hidden="false" customHeight="false" outlineLevel="0" collapsed="false">
      <c r="A1837" s="43"/>
      <c r="B1837" s="44"/>
      <c r="C1837" s="44"/>
      <c r="D1837" s="44"/>
      <c r="E1837" s="44"/>
      <c r="F1837" s="44"/>
      <c r="G1837" s="44"/>
      <c r="H1837" s="46" t="str">
        <f aca="false">IF($A1837="","",IF(OR(NOT(ISNUMBER(E1837)),NOT(ISNUMBER(F1837))),"",MAX(0,E1837)*F1837))</f>
        <v/>
      </c>
      <c r="I1837" s="46" t="str">
        <f aca="false">IF($A1837="","",SUMIF($A$2:$A$5001,$A1837,$H$2:$H$5001))</f>
        <v/>
      </c>
      <c r="J1837" s="47" t="n">
        <f aca="false">IF($A1837="",0,IF(COUNTIF($A$2:A1837,$A1837)=1,1,0))</f>
        <v>0</v>
      </c>
      <c r="K1837" s="47" t="n">
        <f aca="false">IF(J1837=1,N(I1837)+ROW()/10000000,0)</f>
        <v>0</v>
      </c>
      <c r="L1837" s="47" t="str">
        <f aca="false">IF(AND(J1837=1,N(I1837)&gt;0),SUMIF($K$2:$K$5001,"&gt;="&amp;K1837,$I$2:$I$5001)/MAX(1,SUM($H$2:$H$5001)),"")</f>
        <v/>
      </c>
      <c r="M1837" s="47" t="str">
        <f aca="false">IF($A1837="","",INDEX($L$2:$L$5001,MATCH($A1837,$A$2:$A$5001,0)))</f>
        <v/>
      </c>
      <c r="N1837" s="48" t="str">
        <f aca="false">IF($A1837="","",IF(N(M1837)=0,"–",IF(M1837&lt;=Start!$D$20,"A",IF(M1837&lt;=Start!$D$21,"B","C"))))</f>
        <v/>
      </c>
      <c r="O1837" s="48" t="str">
        <f aca="false">IF($A1837="","",IF(NOT(ISNUMBER(F1837)),"Wert fehlt; ",IF(F1837&lt;=0,"Wert ist 0; ",""))&amp;IF(NOT(ISNUMBER(E1837)),"Bestand fehlt; ",IF(E1837&lt;0,"Bestand negativ; ",IF(E1837=0,"Nullbestand; ","")))&amp;IF(D1837="","Warengruppe fehlt; ","")&amp;IF(B1837="","Bezeichnung fehlt; ","")&amp;IF(COUNTIFS($A$2:$A$5001,$A1837,$C$2:$C$5001,C1837)&gt;1,"Artikel doppelt im selben Lager; ",""))</f>
        <v/>
      </c>
      <c r="P1837" s="47" t="n">
        <f aca="false">IF(OR($A1837="",D1837=""),0,IF(COUNTIF($D$2:D1837,D1837)=1,SUMIF($D$2:$D$5001,D1837,$H$2:$H$5001)+ROW()/10000000,0))</f>
        <v>0</v>
      </c>
      <c r="Q1837" s="47" t="n">
        <f aca="false">IF(OR($A1837="",C1837=""),0,IF(COUNTIF($C$2:C1837,C1837)=1,SUMIF($C$2:$C$5001,C1837,$H$2:$H$5001)+ROW()/10000000,0))</f>
        <v>0</v>
      </c>
    </row>
    <row r="1838" customFormat="false" ht="15" hidden="false" customHeight="false" outlineLevel="0" collapsed="false">
      <c r="A1838" s="43"/>
      <c r="B1838" s="44"/>
      <c r="C1838" s="44"/>
      <c r="D1838" s="44"/>
      <c r="E1838" s="44"/>
      <c r="F1838" s="44"/>
      <c r="G1838" s="44"/>
      <c r="H1838" s="46" t="str">
        <f aca="false">IF($A1838="","",IF(OR(NOT(ISNUMBER(E1838)),NOT(ISNUMBER(F1838))),"",MAX(0,E1838)*F1838))</f>
        <v/>
      </c>
      <c r="I1838" s="46" t="str">
        <f aca="false">IF($A1838="","",SUMIF($A$2:$A$5001,$A1838,$H$2:$H$5001))</f>
        <v/>
      </c>
      <c r="J1838" s="47" t="n">
        <f aca="false">IF($A1838="",0,IF(COUNTIF($A$2:A1838,$A1838)=1,1,0))</f>
        <v>0</v>
      </c>
      <c r="K1838" s="47" t="n">
        <f aca="false">IF(J1838=1,N(I1838)+ROW()/10000000,0)</f>
        <v>0</v>
      </c>
      <c r="L1838" s="47" t="str">
        <f aca="false">IF(AND(J1838=1,N(I1838)&gt;0),SUMIF($K$2:$K$5001,"&gt;="&amp;K1838,$I$2:$I$5001)/MAX(1,SUM($H$2:$H$5001)),"")</f>
        <v/>
      </c>
      <c r="M1838" s="47" t="str">
        <f aca="false">IF($A1838="","",INDEX($L$2:$L$5001,MATCH($A1838,$A$2:$A$5001,0)))</f>
        <v/>
      </c>
      <c r="N1838" s="48" t="str">
        <f aca="false">IF($A1838="","",IF(N(M1838)=0,"–",IF(M1838&lt;=Start!$D$20,"A",IF(M1838&lt;=Start!$D$21,"B","C"))))</f>
        <v/>
      </c>
      <c r="O1838" s="48" t="str">
        <f aca="false">IF($A1838="","",IF(NOT(ISNUMBER(F1838)),"Wert fehlt; ",IF(F1838&lt;=0,"Wert ist 0; ",""))&amp;IF(NOT(ISNUMBER(E1838)),"Bestand fehlt; ",IF(E1838&lt;0,"Bestand negativ; ",IF(E1838=0,"Nullbestand; ","")))&amp;IF(D1838="","Warengruppe fehlt; ","")&amp;IF(B1838="","Bezeichnung fehlt; ","")&amp;IF(COUNTIFS($A$2:$A$5001,$A1838,$C$2:$C$5001,C1838)&gt;1,"Artikel doppelt im selben Lager; ",""))</f>
        <v/>
      </c>
      <c r="P1838" s="47" t="n">
        <f aca="false">IF(OR($A1838="",D1838=""),0,IF(COUNTIF($D$2:D1838,D1838)=1,SUMIF($D$2:$D$5001,D1838,$H$2:$H$5001)+ROW()/10000000,0))</f>
        <v>0</v>
      </c>
      <c r="Q1838" s="47" t="n">
        <f aca="false">IF(OR($A1838="",C1838=""),0,IF(COUNTIF($C$2:C1838,C1838)=1,SUMIF($C$2:$C$5001,C1838,$H$2:$H$5001)+ROW()/10000000,0))</f>
        <v>0</v>
      </c>
    </row>
    <row r="1839" customFormat="false" ht="15" hidden="false" customHeight="false" outlineLevel="0" collapsed="false">
      <c r="A1839" s="43"/>
      <c r="B1839" s="44"/>
      <c r="C1839" s="44"/>
      <c r="D1839" s="44"/>
      <c r="E1839" s="44"/>
      <c r="F1839" s="44"/>
      <c r="G1839" s="44"/>
      <c r="H1839" s="46" t="str">
        <f aca="false">IF($A1839="","",IF(OR(NOT(ISNUMBER(E1839)),NOT(ISNUMBER(F1839))),"",MAX(0,E1839)*F1839))</f>
        <v/>
      </c>
      <c r="I1839" s="46" t="str">
        <f aca="false">IF($A1839="","",SUMIF($A$2:$A$5001,$A1839,$H$2:$H$5001))</f>
        <v/>
      </c>
      <c r="J1839" s="47" t="n">
        <f aca="false">IF($A1839="",0,IF(COUNTIF($A$2:A1839,$A1839)=1,1,0))</f>
        <v>0</v>
      </c>
      <c r="K1839" s="47" t="n">
        <f aca="false">IF(J1839=1,N(I1839)+ROW()/10000000,0)</f>
        <v>0</v>
      </c>
      <c r="L1839" s="47" t="str">
        <f aca="false">IF(AND(J1839=1,N(I1839)&gt;0),SUMIF($K$2:$K$5001,"&gt;="&amp;K1839,$I$2:$I$5001)/MAX(1,SUM($H$2:$H$5001)),"")</f>
        <v/>
      </c>
      <c r="M1839" s="47" t="str">
        <f aca="false">IF($A1839="","",INDEX($L$2:$L$5001,MATCH($A1839,$A$2:$A$5001,0)))</f>
        <v/>
      </c>
      <c r="N1839" s="48" t="str">
        <f aca="false">IF($A1839="","",IF(N(M1839)=0,"–",IF(M1839&lt;=Start!$D$20,"A",IF(M1839&lt;=Start!$D$21,"B","C"))))</f>
        <v/>
      </c>
      <c r="O1839" s="48" t="str">
        <f aca="false">IF($A1839="","",IF(NOT(ISNUMBER(F1839)),"Wert fehlt; ",IF(F1839&lt;=0,"Wert ist 0; ",""))&amp;IF(NOT(ISNUMBER(E1839)),"Bestand fehlt; ",IF(E1839&lt;0,"Bestand negativ; ",IF(E1839=0,"Nullbestand; ","")))&amp;IF(D1839="","Warengruppe fehlt; ","")&amp;IF(B1839="","Bezeichnung fehlt; ","")&amp;IF(COUNTIFS($A$2:$A$5001,$A1839,$C$2:$C$5001,C1839)&gt;1,"Artikel doppelt im selben Lager; ",""))</f>
        <v/>
      </c>
      <c r="P1839" s="47" t="n">
        <f aca="false">IF(OR($A1839="",D1839=""),0,IF(COUNTIF($D$2:D1839,D1839)=1,SUMIF($D$2:$D$5001,D1839,$H$2:$H$5001)+ROW()/10000000,0))</f>
        <v>0</v>
      </c>
      <c r="Q1839" s="47" t="n">
        <f aca="false">IF(OR($A1839="",C1839=""),0,IF(COUNTIF($C$2:C1839,C1839)=1,SUMIF($C$2:$C$5001,C1839,$H$2:$H$5001)+ROW()/10000000,0))</f>
        <v>0</v>
      </c>
    </row>
    <row r="1840" customFormat="false" ht="15" hidden="false" customHeight="false" outlineLevel="0" collapsed="false">
      <c r="A1840" s="43"/>
      <c r="B1840" s="44"/>
      <c r="C1840" s="44"/>
      <c r="D1840" s="44"/>
      <c r="E1840" s="44"/>
      <c r="F1840" s="44"/>
      <c r="G1840" s="44"/>
      <c r="H1840" s="46" t="str">
        <f aca="false">IF($A1840="","",IF(OR(NOT(ISNUMBER(E1840)),NOT(ISNUMBER(F1840))),"",MAX(0,E1840)*F1840))</f>
        <v/>
      </c>
      <c r="I1840" s="46" t="str">
        <f aca="false">IF($A1840="","",SUMIF($A$2:$A$5001,$A1840,$H$2:$H$5001))</f>
        <v/>
      </c>
      <c r="J1840" s="47" t="n">
        <f aca="false">IF($A1840="",0,IF(COUNTIF($A$2:A1840,$A1840)=1,1,0))</f>
        <v>0</v>
      </c>
      <c r="K1840" s="47" t="n">
        <f aca="false">IF(J1840=1,N(I1840)+ROW()/10000000,0)</f>
        <v>0</v>
      </c>
      <c r="L1840" s="47" t="str">
        <f aca="false">IF(AND(J1840=1,N(I1840)&gt;0),SUMIF($K$2:$K$5001,"&gt;="&amp;K1840,$I$2:$I$5001)/MAX(1,SUM($H$2:$H$5001)),"")</f>
        <v/>
      </c>
      <c r="M1840" s="47" t="str">
        <f aca="false">IF($A1840="","",INDEX($L$2:$L$5001,MATCH($A1840,$A$2:$A$5001,0)))</f>
        <v/>
      </c>
      <c r="N1840" s="48" t="str">
        <f aca="false">IF($A1840="","",IF(N(M1840)=0,"–",IF(M1840&lt;=Start!$D$20,"A",IF(M1840&lt;=Start!$D$21,"B","C"))))</f>
        <v/>
      </c>
      <c r="O1840" s="48" t="str">
        <f aca="false">IF($A1840="","",IF(NOT(ISNUMBER(F1840)),"Wert fehlt; ",IF(F1840&lt;=0,"Wert ist 0; ",""))&amp;IF(NOT(ISNUMBER(E1840)),"Bestand fehlt; ",IF(E1840&lt;0,"Bestand negativ; ",IF(E1840=0,"Nullbestand; ","")))&amp;IF(D1840="","Warengruppe fehlt; ","")&amp;IF(B1840="","Bezeichnung fehlt; ","")&amp;IF(COUNTIFS($A$2:$A$5001,$A1840,$C$2:$C$5001,C1840)&gt;1,"Artikel doppelt im selben Lager; ",""))</f>
        <v/>
      </c>
      <c r="P1840" s="47" t="n">
        <f aca="false">IF(OR($A1840="",D1840=""),0,IF(COUNTIF($D$2:D1840,D1840)=1,SUMIF($D$2:$D$5001,D1840,$H$2:$H$5001)+ROW()/10000000,0))</f>
        <v>0</v>
      </c>
      <c r="Q1840" s="47" t="n">
        <f aca="false">IF(OR($A1840="",C1840=""),0,IF(COUNTIF($C$2:C1840,C1840)=1,SUMIF($C$2:$C$5001,C1840,$H$2:$H$5001)+ROW()/10000000,0))</f>
        <v>0</v>
      </c>
    </row>
    <row r="1841" customFormat="false" ht="15" hidden="false" customHeight="false" outlineLevel="0" collapsed="false">
      <c r="A1841" s="43"/>
      <c r="B1841" s="44"/>
      <c r="C1841" s="44"/>
      <c r="D1841" s="44"/>
      <c r="E1841" s="44"/>
      <c r="F1841" s="44"/>
      <c r="G1841" s="44"/>
      <c r="H1841" s="46" t="str">
        <f aca="false">IF($A1841="","",IF(OR(NOT(ISNUMBER(E1841)),NOT(ISNUMBER(F1841))),"",MAX(0,E1841)*F1841))</f>
        <v/>
      </c>
      <c r="I1841" s="46" t="str">
        <f aca="false">IF($A1841="","",SUMIF($A$2:$A$5001,$A1841,$H$2:$H$5001))</f>
        <v/>
      </c>
      <c r="J1841" s="47" t="n">
        <f aca="false">IF($A1841="",0,IF(COUNTIF($A$2:A1841,$A1841)=1,1,0))</f>
        <v>0</v>
      </c>
      <c r="K1841" s="47" t="n">
        <f aca="false">IF(J1841=1,N(I1841)+ROW()/10000000,0)</f>
        <v>0</v>
      </c>
      <c r="L1841" s="47" t="str">
        <f aca="false">IF(AND(J1841=1,N(I1841)&gt;0),SUMIF($K$2:$K$5001,"&gt;="&amp;K1841,$I$2:$I$5001)/MAX(1,SUM($H$2:$H$5001)),"")</f>
        <v/>
      </c>
      <c r="M1841" s="47" t="str">
        <f aca="false">IF($A1841="","",INDEX($L$2:$L$5001,MATCH($A1841,$A$2:$A$5001,0)))</f>
        <v/>
      </c>
      <c r="N1841" s="48" t="str">
        <f aca="false">IF($A1841="","",IF(N(M1841)=0,"–",IF(M1841&lt;=Start!$D$20,"A",IF(M1841&lt;=Start!$D$21,"B","C"))))</f>
        <v/>
      </c>
      <c r="O1841" s="48" t="str">
        <f aca="false">IF($A1841="","",IF(NOT(ISNUMBER(F1841)),"Wert fehlt; ",IF(F1841&lt;=0,"Wert ist 0; ",""))&amp;IF(NOT(ISNUMBER(E1841)),"Bestand fehlt; ",IF(E1841&lt;0,"Bestand negativ; ",IF(E1841=0,"Nullbestand; ","")))&amp;IF(D1841="","Warengruppe fehlt; ","")&amp;IF(B1841="","Bezeichnung fehlt; ","")&amp;IF(COUNTIFS($A$2:$A$5001,$A1841,$C$2:$C$5001,C1841)&gt;1,"Artikel doppelt im selben Lager; ",""))</f>
        <v/>
      </c>
      <c r="P1841" s="47" t="n">
        <f aca="false">IF(OR($A1841="",D1841=""),0,IF(COUNTIF($D$2:D1841,D1841)=1,SUMIF($D$2:$D$5001,D1841,$H$2:$H$5001)+ROW()/10000000,0))</f>
        <v>0</v>
      </c>
      <c r="Q1841" s="47" t="n">
        <f aca="false">IF(OR($A1841="",C1841=""),0,IF(COUNTIF($C$2:C1841,C1841)=1,SUMIF($C$2:$C$5001,C1841,$H$2:$H$5001)+ROW()/10000000,0))</f>
        <v>0</v>
      </c>
    </row>
    <row r="1842" customFormat="false" ht="15" hidden="false" customHeight="false" outlineLevel="0" collapsed="false">
      <c r="A1842" s="43"/>
      <c r="B1842" s="44"/>
      <c r="C1842" s="44"/>
      <c r="D1842" s="44"/>
      <c r="E1842" s="44"/>
      <c r="F1842" s="44"/>
      <c r="G1842" s="44"/>
      <c r="H1842" s="46" t="str">
        <f aca="false">IF($A1842="","",IF(OR(NOT(ISNUMBER(E1842)),NOT(ISNUMBER(F1842))),"",MAX(0,E1842)*F1842))</f>
        <v/>
      </c>
      <c r="I1842" s="46" t="str">
        <f aca="false">IF($A1842="","",SUMIF($A$2:$A$5001,$A1842,$H$2:$H$5001))</f>
        <v/>
      </c>
      <c r="J1842" s="47" t="n">
        <f aca="false">IF($A1842="",0,IF(COUNTIF($A$2:A1842,$A1842)=1,1,0))</f>
        <v>0</v>
      </c>
      <c r="K1842" s="47" t="n">
        <f aca="false">IF(J1842=1,N(I1842)+ROW()/10000000,0)</f>
        <v>0</v>
      </c>
      <c r="L1842" s="47" t="str">
        <f aca="false">IF(AND(J1842=1,N(I1842)&gt;0),SUMIF($K$2:$K$5001,"&gt;="&amp;K1842,$I$2:$I$5001)/MAX(1,SUM($H$2:$H$5001)),"")</f>
        <v/>
      </c>
      <c r="M1842" s="47" t="str">
        <f aca="false">IF($A1842="","",INDEX($L$2:$L$5001,MATCH($A1842,$A$2:$A$5001,0)))</f>
        <v/>
      </c>
      <c r="N1842" s="48" t="str">
        <f aca="false">IF($A1842="","",IF(N(M1842)=0,"–",IF(M1842&lt;=Start!$D$20,"A",IF(M1842&lt;=Start!$D$21,"B","C"))))</f>
        <v/>
      </c>
      <c r="O1842" s="48" t="str">
        <f aca="false">IF($A1842="","",IF(NOT(ISNUMBER(F1842)),"Wert fehlt; ",IF(F1842&lt;=0,"Wert ist 0; ",""))&amp;IF(NOT(ISNUMBER(E1842)),"Bestand fehlt; ",IF(E1842&lt;0,"Bestand negativ; ",IF(E1842=0,"Nullbestand; ","")))&amp;IF(D1842="","Warengruppe fehlt; ","")&amp;IF(B1842="","Bezeichnung fehlt; ","")&amp;IF(COUNTIFS($A$2:$A$5001,$A1842,$C$2:$C$5001,C1842)&gt;1,"Artikel doppelt im selben Lager; ",""))</f>
        <v/>
      </c>
      <c r="P1842" s="47" t="n">
        <f aca="false">IF(OR($A1842="",D1842=""),0,IF(COUNTIF($D$2:D1842,D1842)=1,SUMIF($D$2:$D$5001,D1842,$H$2:$H$5001)+ROW()/10000000,0))</f>
        <v>0</v>
      </c>
      <c r="Q1842" s="47" t="n">
        <f aca="false">IF(OR($A1842="",C1842=""),0,IF(COUNTIF($C$2:C1842,C1842)=1,SUMIF($C$2:$C$5001,C1842,$H$2:$H$5001)+ROW()/10000000,0))</f>
        <v>0</v>
      </c>
    </row>
    <row r="1843" customFormat="false" ht="15" hidden="false" customHeight="false" outlineLevel="0" collapsed="false">
      <c r="A1843" s="43"/>
      <c r="B1843" s="44"/>
      <c r="C1843" s="44"/>
      <c r="D1843" s="44"/>
      <c r="E1843" s="44"/>
      <c r="F1843" s="44"/>
      <c r="G1843" s="44"/>
      <c r="H1843" s="46" t="str">
        <f aca="false">IF($A1843="","",IF(OR(NOT(ISNUMBER(E1843)),NOT(ISNUMBER(F1843))),"",MAX(0,E1843)*F1843))</f>
        <v/>
      </c>
      <c r="I1843" s="46" t="str">
        <f aca="false">IF($A1843="","",SUMIF($A$2:$A$5001,$A1843,$H$2:$H$5001))</f>
        <v/>
      </c>
      <c r="J1843" s="47" t="n">
        <f aca="false">IF($A1843="",0,IF(COUNTIF($A$2:A1843,$A1843)=1,1,0))</f>
        <v>0</v>
      </c>
      <c r="K1843" s="47" t="n">
        <f aca="false">IF(J1843=1,N(I1843)+ROW()/10000000,0)</f>
        <v>0</v>
      </c>
      <c r="L1843" s="47" t="str">
        <f aca="false">IF(AND(J1843=1,N(I1843)&gt;0),SUMIF($K$2:$K$5001,"&gt;="&amp;K1843,$I$2:$I$5001)/MAX(1,SUM($H$2:$H$5001)),"")</f>
        <v/>
      </c>
      <c r="M1843" s="47" t="str">
        <f aca="false">IF($A1843="","",INDEX($L$2:$L$5001,MATCH($A1843,$A$2:$A$5001,0)))</f>
        <v/>
      </c>
      <c r="N1843" s="48" t="str">
        <f aca="false">IF($A1843="","",IF(N(M1843)=0,"–",IF(M1843&lt;=Start!$D$20,"A",IF(M1843&lt;=Start!$D$21,"B","C"))))</f>
        <v/>
      </c>
      <c r="O1843" s="48" t="str">
        <f aca="false">IF($A1843="","",IF(NOT(ISNUMBER(F1843)),"Wert fehlt; ",IF(F1843&lt;=0,"Wert ist 0; ",""))&amp;IF(NOT(ISNUMBER(E1843)),"Bestand fehlt; ",IF(E1843&lt;0,"Bestand negativ; ",IF(E1843=0,"Nullbestand; ","")))&amp;IF(D1843="","Warengruppe fehlt; ","")&amp;IF(B1843="","Bezeichnung fehlt; ","")&amp;IF(COUNTIFS($A$2:$A$5001,$A1843,$C$2:$C$5001,C1843)&gt;1,"Artikel doppelt im selben Lager; ",""))</f>
        <v/>
      </c>
      <c r="P1843" s="47" t="n">
        <f aca="false">IF(OR($A1843="",D1843=""),0,IF(COUNTIF($D$2:D1843,D1843)=1,SUMIF($D$2:$D$5001,D1843,$H$2:$H$5001)+ROW()/10000000,0))</f>
        <v>0</v>
      </c>
      <c r="Q1843" s="47" t="n">
        <f aca="false">IF(OR($A1843="",C1843=""),0,IF(COUNTIF($C$2:C1843,C1843)=1,SUMIF($C$2:$C$5001,C1843,$H$2:$H$5001)+ROW()/10000000,0))</f>
        <v>0</v>
      </c>
    </row>
    <row r="1844" customFormat="false" ht="15" hidden="false" customHeight="false" outlineLevel="0" collapsed="false">
      <c r="A1844" s="43"/>
      <c r="B1844" s="44"/>
      <c r="C1844" s="44"/>
      <c r="D1844" s="44"/>
      <c r="E1844" s="44"/>
      <c r="F1844" s="44"/>
      <c r="G1844" s="44"/>
      <c r="H1844" s="46" t="str">
        <f aca="false">IF($A1844="","",IF(OR(NOT(ISNUMBER(E1844)),NOT(ISNUMBER(F1844))),"",MAX(0,E1844)*F1844))</f>
        <v/>
      </c>
      <c r="I1844" s="46" t="str">
        <f aca="false">IF($A1844="","",SUMIF($A$2:$A$5001,$A1844,$H$2:$H$5001))</f>
        <v/>
      </c>
      <c r="J1844" s="47" t="n">
        <f aca="false">IF($A1844="",0,IF(COUNTIF($A$2:A1844,$A1844)=1,1,0))</f>
        <v>0</v>
      </c>
      <c r="K1844" s="47" t="n">
        <f aca="false">IF(J1844=1,N(I1844)+ROW()/10000000,0)</f>
        <v>0</v>
      </c>
      <c r="L1844" s="47" t="str">
        <f aca="false">IF(AND(J1844=1,N(I1844)&gt;0),SUMIF($K$2:$K$5001,"&gt;="&amp;K1844,$I$2:$I$5001)/MAX(1,SUM($H$2:$H$5001)),"")</f>
        <v/>
      </c>
      <c r="M1844" s="47" t="str">
        <f aca="false">IF($A1844="","",INDEX($L$2:$L$5001,MATCH($A1844,$A$2:$A$5001,0)))</f>
        <v/>
      </c>
      <c r="N1844" s="48" t="str">
        <f aca="false">IF($A1844="","",IF(N(M1844)=0,"–",IF(M1844&lt;=Start!$D$20,"A",IF(M1844&lt;=Start!$D$21,"B","C"))))</f>
        <v/>
      </c>
      <c r="O1844" s="48" t="str">
        <f aca="false">IF($A1844="","",IF(NOT(ISNUMBER(F1844)),"Wert fehlt; ",IF(F1844&lt;=0,"Wert ist 0; ",""))&amp;IF(NOT(ISNUMBER(E1844)),"Bestand fehlt; ",IF(E1844&lt;0,"Bestand negativ; ",IF(E1844=0,"Nullbestand; ","")))&amp;IF(D1844="","Warengruppe fehlt; ","")&amp;IF(B1844="","Bezeichnung fehlt; ","")&amp;IF(COUNTIFS($A$2:$A$5001,$A1844,$C$2:$C$5001,C1844)&gt;1,"Artikel doppelt im selben Lager; ",""))</f>
        <v/>
      </c>
      <c r="P1844" s="47" t="n">
        <f aca="false">IF(OR($A1844="",D1844=""),0,IF(COUNTIF($D$2:D1844,D1844)=1,SUMIF($D$2:$D$5001,D1844,$H$2:$H$5001)+ROW()/10000000,0))</f>
        <v>0</v>
      </c>
      <c r="Q1844" s="47" t="n">
        <f aca="false">IF(OR($A1844="",C1844=""),0,IF(COUNTIF($C$2:C1844,C1844)=1,SUMIF($C$2:$C$5001,C1844,$H$2:$H$5001)+ROW()/10000000,0))</f>
        <v>0</v>
      </c>
    </row>
    <row r="1845" customFormat="false" ht="15" hidden="false" customHeight="false" outlineLevel="0" collapsed="false">
      <c r="A1845" s="43"/>
      <c r="B1845" s="44"/>
      <c r="C1845" s="44"/>
      <c r="D1845" s="44"/>
      <c r="E1845" s="44"/>
      <c r="F1845" s="44"/>
      <c r="G1845" s="44"/>
      <c r="H1845" s="46" t="str">
        <f aca="false">IF($A1845="","",IF(OR(NOT(ISNUMBER(E1845)),NOT(ISNUMBER(F1845))),"",MAX(0,E1845)*F1845))</f>
        <v/>
      </c>
      <c r="I1845" s="46" t="str">
        <f aca="false">IF($A1845="","",SUMIF($A$2:$A$5001,$A1845,$H$2:$H$5001))</f>
        <v/>
      </c>
      <c r="J1845" s="47" t="n">
        <f aca="false">IF($A1845="",0,IF(COUNTIF($A$2:A1845,$A1845)=1,1,0))</f>
        <v>0</v>
      </c>
      <c r="K1845" s="47" t="n">
        <f aca="false">IF(J1845=1,N(I1845)+ROW()/10000000,0)</f>
        <v>0</v>
      </c>
      <c r="L1845" s="47" t="str">
        <f aca="false">IF(AND(J1845=1,N(I1845)&gt;0),SUMIF($K$2:$K$5001,"&gt;="&amp;K1845,$I$2:$I$5001)/MAX(1,SUM($H$2:$H$5001)),"")</f>
        <v/>
      </c>
      <c r="M1845" s="47" t="str">
        <f aca="false">IF($A1845="","",INDEX($L$2:$L$5001,MATCH($A1845,$A$2:$A$5001,0)))</f>
        <v/>
      </c>
      <c r="N1845" s="48" t="str">
        <f aca="false">IF($A1845="","",IF(N(M1845)=0,"–",IF(M1845&lt;=Start!$D$20,"A",IF(M1845&lt;=Start!$D$21,"B","C"))))</f>
        <v/>
      </c>
      <c r="O1845" s="48" t="str">
        <f aca="false">IF($A1845="","",IF(NOT(ISNUMBER(F1845)),"Wert fehlt; ",IF(F1845&lt;=0,"Wert ist 0; ",""))&amp;IF(NOT(ISNUMBER(E1845)),"Bestand fehlt; ",IF(E1845&lt;0,"Bestand negativ; ",IF(E1845=0,"Nullbestand; ","")))&amp;IF(D1845="","Warengruppe fehlt; ","")&amp;IF(B1845="","Bezeichnung fehlt; ","")&amp;IF(COUNTIFS($A$2:$A$5001,$A1845,$C$2:$C$5001,C1845)&gt;1,"Artikel doppelt im selben Lager; ",""))</f>
        <v/>
      </c>
      <c r="P1845" s="47" t="n">
        <f aca="false">IF(OR($A1845="",D1845=""),0,IF(COUNTIF($D$2:D1845,D1845)=1,SUMIF($D$2:$D$5001,D1845,$H$2:$H$5001)+ROW()/10000000,0))</f>
        <v>0</v>
      </c>
      <c r="Q1845" s="47" t="n">
        <f aca="false">IF(OR($A1845="",C1845=""),0,IF(COUNTIF($C$2:C1845,C1845)=1,SUMIF($C$2:$C$5001,C1845,$H$2:$H$5001)+ROW()/10000000,0))</f>
        <v>0</v>
      </c>
    </row>
    <row r="1846" customFormat="false" ht="15" hidden="false" customHeight="false" outlineLevel="0" collapsed="false">
      <c r="A1846" s="43"/>
      <c r="B1846" s="44"/>
      <c r="C1846" s="44"/>
      <c r="D1846" s="44"/>
      <c r="E1846" s="44"/>
      <c r="F1846" s="44"/>
      <c r="G1846" s="44"/>
      <c r="H1846" s="46" t="str">
        <f aca="false">IF($A1846="","",IF(OR(NOT(ISNUMBER(E1846)),NOT(ISNUMBER(F1846))),"",MAX(0,E1846)*F1846))</f>
        <v/>
      </c>
      <c r="I1846" s="46" t="str">
        <f aca="false">IF($A1846="","",SUMIF($A$2:$A$5001,$A1846,$H$2:$H$5001))</f>
        <v/>
      </c>
      <c r="J1846" s="47" t="n">
        <f aca="false">IF($A1846="",0,IF(COUNTIF($A$2:A1846,$A1846)=1,1,0))</f>
        <v>0</v>
      </c>
      <c r="K1846" s="47" t="n">
        <f aca="false">IF(J1846=1,N(I1846)+ROW()/10000000,0)</f>
        <v>0</v>
      </c>
      <c r="L1846" s="47" t="str">
        <f aca="false">IF(AND(J1846=1,N(I1846)&gt;0),SUMIF($K$2:$K$5001,"&gt;="&amp;K1846,$I$2:$I$5001)/MAX(1,SUM($H$2:$H$5001)),"")</f>
        <v/>
      </c>
      <c r="M1846" s="47" t="str">
        <f aca="false">IF($A1846="","",INDEX($L$2:$L$5001,MATCH($A1846,$A$2:$A$5001,0)))</f>
        <v/>
      </c>
      <c r="N1846" s="48" t="str">
        <f aca="false">IF($A1846="","",IF(N(M1846)=0,"–",IF(M1846&lt;=Start!$D$20,"A",IF(M1846&lt;=Start!$D$21,"B","C"))))</f>
        <v/>
      </c>
      <c r="O1846" s="48" t="str">
        <f aca="false">IF($A1846="","",IF(NOT(ISNUMBER(F1846)),"Wert fehlt; ",IF(F1846&lt;=0,"Wert ist 0; ",""))&amp;IF(NOT(ISNUMBER(E1846)),"Bestand fehlt; ",IF(E1846&lt;0,"Bestand negativ; ",IF(E1846=0,"Nullbestand; ","")))&amp;IF(D1846="","Warengruppe fehlt; ","")&amp;IF(B1846="","Bezeichnung fehlt; ","")&amp;IF(COUNTIFS($A$2:$A$5001,$A1846,$C$2:$C$5001,C1846)&gt;1,"Artikel doppelt im selben Lager; ",""))</f>
        <v/>
      </c>
      <c r="P1846" s="47" t="n">
        <f aca="false">IF(OR($A1846="",D1846=""),0,IF(COUNTIF($D$2:D1846,D1846)=1,SUMIF($D$2:$D$5001,D1846,$H$2:$H$5001)+ROW()/10000000,0))</f>
        <v>0</v>
      </c>
      <c r="Q1846" s="47" t="n">
        <f aca="false">IF(OR($A1846="",C1846=""),0,IF(COUNTIF($C$2:C1846,C1846)=1,SUMIF($C$2:$C$5001,C1846,$H$2:$H$5001)+ROW()/10000000,0))</f>
        <v>0</v>
      </c>
    </row>
    <row r="1847" customFormat="false" ht="15" hidden="false" customHeight="false" outlineLevel="0" collapsed="false">
      <c r="A1847" s="43"/>
      <c r="B1847" s="44"/>
      <c r="C1847" s="44"/>
      <c r="D1847" s="44"/>
      <c r="E1847" s="44"/>
      <c r="F1847" s="44"/>
      <c r="G1847" s="44"/>
      <c r="H1847" s="46" t="str">
        <f aca="false">IF($A1847="","",IF(OR(NOT(ISNUMBER(E1847)),NOT(ISNUMBER(F1847))),"",MAX(0,E1847)*F1847))</f>
        <v/>
      </c>
      <c r="I1847" s="46" t="str">
        <f aca="false">IF($A1847="","",SUMIF($A$2:$A$5001,$A1847,$H$2:$H$5001))</f>
        <v/>
      </c>
      <c r="J1847" s="47" t="n">
        <f aca="false">IF($A1847="",0,IF(COUNTIF($A$2:A1847,$A1847)=1,1,0))</f>
        <v>0</v>
      </c>
      <c r="K1847" s="47" t="n">
        <f aca="false">IF(J1847=1,N(I1847)+ROW()/10000000,0)</f>
        <v>0</v>
      </c>
      <c r="L1847" s="47" t="str">
        <f aca="false">IF(AND(J1847=1,N(I1847)&gt;0),SUMIF($K$2:$K$5001,"&gt;="&amp;K1847,$I$2:$I$5001)/MAX(1,SUM($H$2:$H$5001)),"")</f>
        <v/>
      </c>
      <c r="M1847" s="47" t="str">
        <f aca="false">IF($A1847="","",INDEX($L$2:$L$5001,MATCH($A1847,$A$2:$A$5001,0)))</f>
        <v/>
      </c>
      <c r="N1847" s="48" t="str">
        <f aca="false">IF($A1847="","",IF(N(M1847)=0,"–",IF(M1847&lt;=Start!$D$20,"A",IF(M1847&lt;=Start!$D$21,"B","C"))))</f>
        <v/>
      </c>
      <c r="O1847" s="48" t="str">
        <f aca="false">IF($A1847="","",IF(NOT(ISNUMBER(F1847)),"Wert fehlt; ",IF(F1847&lt;=0,"Wert ist 0; ",""))&amp;IF(NOT(ISNUMBER(E1847)),"Bestand fehlt; ",IF(E1847&lt;0,"Bestand negativ; ",IF(E1847=0,"Nullbestand; ","")))&amp;IF(D1847="","Warengruppe fehlt; ","")&amp;IF(B1847="","Bezeichnung fehlt; ","")&amp;IF(COUNTIFS($A$2:$A$5001,$A1847,$C$2:$C$5001,C1847)&gt;1,"Artikel doppelt im selben Lager; ",""))</f>
        <v/>
      </c>
      <c r="P1847" s="47" t="n">
        <f aca="false">IF(OR($A1847="",D1847=""),0,IF(COUNTIF($D$2:D1847,D1847)=1,SUMIF($D$2:$D$5001,D1847,$H$2:$H$5001)+ROW()/10000000,0))</f>
        <v>0</v>
      </c>
      <c r="Q1847" s="47" t="n">
        <f aca="false">IF(OR($A1847="",C1847=""),0,IF(COUNTIF($C$2:C1847,C1847)=1,SUMIF($C$2:$C$5001,C1847,$H$2:$H$5001)+ROW()/10000000,0))</f>
        <v>0</v>
      </c>
    </row>
    <row r="1848" customFormat="false" ht="15" hidden="false" customHeight="false" outlineLevel="0" collapsed="false">
      <c r="A1848" s="43"/>
      <c r="B1848" s="44"/>
      <c r="C1848" s="44"/>
      <c r="D1848" s="44"/>
      <c r="E1848" s="44"/>
      <c r="F1848" s="44"/>
      <c r="G1848" s="44"/>
      <c r="H1848" s="46" t="str">
        <f aca="false">IF($A1848="","",IF(OR(NOT(ISNUMBER(E1848)),NOT(ISNUMBER(F1848))),"",MAX(0,E1848)*F1848))</f>
        <v/>
      </c>
      <c r="I1848" s="46" t="str">
        <f aca="false">IF($A1848="","",SUMIF($A$2:$A$5001,$A1848,$H$2:$H$5001))</f>
        <v/>
      </c>
      <c r="J1848" s="47" t="n">
        <f aca="false">IF($A1848="",0,IF(COUNTIF($A$2:A1848,$A1848)=1,1,0))</f>
        <v>0</v>
      </c>
      <c r="K1848" s="47" t="n">
        <f aca="false">IF(J1848=1,N(I1848)+ROW()/10000000,0)</f>
        <v>0</v>
      </c>
      <c r="L1848" s="47" t="str">
        <f aca="false">IF(AND(J1848=1,N(I1848)&gt;0),SUMIF($K$2:$K$5001,"&gt;="&amp;K1848,$I$2:$I$5001)/MAX(1,SUM($H$2:$H$5001)),"")</f>
        <v/>
      </c>
      <c r="M1848" s="47" t="str">
        <f aca="false">IF($A1848="","",INDEX($L$2:$L$5001,MATCH($A1848,$A$2:$A$5001,0)))</f>
        <v/>
      </c>
      <c r="N1848" s="48" t="str">
        <f aca="false">IF($A1848="","",IF(N(M1848)=0,"–",IF(M1848&lt;=Start!$D$20,"A",IF(M1848&lt;=Start!$D$21,"B","C"))))</f>
        <v/>
      </c>
      <c r="O1848" s="48" t="str">
        <f aca="false">IF($A1848="","",IF(NOT(ISNUMBER(F1848)),"Wert fehlt; ",IF(F1848&lt;=0,"Wert ist 0; ",""))&amp;IF(NOT(ISNUMBER(E1848)),"Bestand fehlt; ",IF(E1848&lt;0,"Bestand negativ; ",IF(E1848=0,"Nullbestand; ","")))&amp;IF(D1848="","Warengruppe fehlt; ","")&amp;IF(B1848="","Bezeichnung fehlt; ","")&amp;IF(COUNTIFS($A$2:$A$5001,$A1848,$C$2:$C$5001,C1848)&gt;1,"Artikel doppelt im selben Lager; ",""))</f>
        <v/>
      </c>
      <c r="P1848" s="47" t="n">
        <f aca="false">IF(OR($A1848="",D1848=""),0,IF(COUNTIF($D$2:D1848,D1848)=1,SUMIF($D$2:$D$5001,D1848,$H$2:$H$5001)+ROW()/10000000,0))</f>
        <v>0</v>
      </c>
      <c r="Q1848" s="47" t="n">
        <f aca="false">IF(OR($A1848="",C1848=""),0,IF(COUNTIF($C$2:C1848,C1848)=1,SUMIF($C$2:$C$5001,C1848,$H$2:$H$5001)+ROW()/10000000,0))</f>
        <v>0</v>
      </c>
    </row>
    <row r="1849" customFormat="false" ht="15" hidden="false" customHeight="false" outlineLevel="0" collapsed="false">
      <c r="A1849" s="43"/>
      <c r="B1849" s="44"/>
      <c r="C1849" s="44"/>
      <c r="D1849" s="44"/>
      <c r="E1849" s="44"/>
      <c r="F1849" s="44"/>
      <c r="G1849" s="44"/>
      <c r="H1849" s="46" t="str">
        <f aca="false">IF($A1849="","",IF(OR(NOT(ISNUMBER(E1849)),NOT(ISNUMBER(F1849))),"",MAX(0,E1849)*F1849))</f>
        <v/>
      </c>
      <c r="I1849" s="46" t="str">
        <f aca="false">IF($A1849="","",SUMIF($A$2:$A$5001,$A1849,$H$2:$H$5001))</f>
        <v/>
      </c>
      <c r="J1849" s="47" t="n">
        <f aca="false">IF($A1849="",0,IF(COUNTIF($A$2:A1849,$A1849)=1,1,0))</f>
        <v>0</v>
      </c>
      <c r="K1849" s="47" t="n">
        <f aca="false">IF(J1849=1,N(I1849)+ROW()/10000000,0)</f>
        <v>0</v>
      </c>
      <c r="L1849" s="47" t="str">
        <f aca="false">IF(AND(J1849=1,N(I1849)&gt;0),SUMIF($K$2:$K$5001,"&gt;="&amp;K1849,$I$2:$I$5001)/MAX(1,SUM($H$2:$H$5001)),"")</f>
        <v/>
      </c>
      <c r="M1849" s="47" t="str">
        <f aca="false">IF($A1849="","",INDEX($L$2:$L$5001,MATCH($A1849,$A$2:$A$5001,0)))</f>
        <v/>
      </c>
      <c r="N1849" s="48" t="str">
        <f aca="false">IF($A1849="","",IF(N(M1849)=0,"–",IF(M1849&lt;=Start!$D$20,"A",IF(M1849&lt;=Start!$D$21,"B","C"))))</f>
        <v/>
      </c>
      <c r="O1849" s="48" t="str">
        <f aca="false">IF($A1849="","",IF(NOT(ISNUMBER(F1849)),"Wert fehlt; ",IF(F1849&lt;=0,"Wert ist 0; ",""))&amp;IF(NOT(ISNUMBER(E1849)),"Bestand fehlt; ",IF(E1849&lt;0,"Bestand negativ; ",IF(E1849=0,"Nullbestand; ","")))&amp;IF(D1849="","Warengruppe fehlt; ","")&amp;IF(B1849="","Bezeichnung fehlt; ","")&amp;IF(COUNTIFS($A$2:$A$5001,$A1849,$C$2:$C$5001,C1849)&gt;1,"Artikel doppelt im selben Lager; ",""))</f>
        <v/>
      </c>
      <c r="P1849" s="47" t="n">
        <f aca="false">IF(OR($A1849="",D1849=""),0,IF(COUNTIF($D$2:D1849,D1849)=1,SUMIF($D$2:$D$5001,D1849,$H$2:$H$5001)+ROW()/10000000,0))</f>
        <v>0</v>
      </c>
      <c r="Q1849" s="47" t="n">
        <f aca="false">IF(OR($A1849="",C1849=""),0,IF(COUNTIF($C$2:C1849,C1849)=1,SUMIF($C$2:$C$5001,C1849,$H$2:$H$5001)+ROW()/10000000,0))</f>
        <v>0</v>
      </c>
    </row>
    <row r="1850" customFormat="false" ht="15" hidden="false" customHeight="false" outlineLevel="0" collapsed="false">
      <c r="A1850" s="43"/>
      <c r="B1850" s="44"/>
      <c r="C1850" s="44"/>
      <c r="D1850" s="44"/>
      <c r="E1850" s="44"/>
      <c r="F1850" s="44"/>
      <c r="G1850" s="44"/>
      <c r="H1850" s="46" t="str">
        <f aca="false">IF($A1850="","",IF(OR(NOT(ISNUMBER(E1850)),NOT(ISNUMBER(F1850))),"",MAX(0,E1850)*F1850))</f>
        <v/>
      </c>
      <c r="I1850" s="46" t="str">
        <f aca="false">IF($A1850="","",SUMIF($A$2:$A$5001,$A1850,$H$2:$H$5001))</f>
        <v/>
      </c>
      <c r="J1850" s="47" t="n">
        <f aca="false">IF($A1850="",0,IF(COUNTIF($A$2:A1850,$A1850)=1,1,0))</f>
        <v>0</v>
      </c>
      <c r="K1850" s="47" t="n">
        <f aca="false">IF(J1850=1,N(I1850)+ROW()/10000000,0)</f>
        <v>0</v>
      </c>
      <c r="L1850" s="47" t="str">
        <f aca="false">IF(AND(J1850=1,N(I1850)&gt;0),SUMIF($K$2:$K$5001,"&gt;="&amp;K1850,$I$2:$I$5001)/MAX(1,SUM($H$2:$H$5001)),"")</f>
        <v/>
      </c>
      <c r="M1850" s="47" t="str">
        <f aca="false">IF($A1850="","",INDEX($L$2:$L$5001,MATCH($A1850,$A$2:$A$5001,0)))</f>
        <v/>
      </c>
      <c r="N1850" s="48" t="str">
        <f aca="false">IF($A1850="","",IF(N(M1850)=0,"–",IF(M1850&lt;=Start!$D$20,"A",IF(M1850&lt;=Start!$D$21,"B","C"))))</f>
        <v/>
      </c>
      <c r="O1850" s="48" t="str">
        <f aca="false">IF($A1850="","",IF(NOT(ISNUMBER(F1850)),"Wert fehlt; ",IF(F1850&lt;=0,"Wert ist 0; ",""))&amp;IF(NOT(ISNUMBER(E1850)),"Bestand fehlt; ",IF(E1850&lt;0,"Bestand negativ; ",IF(E1850=0,"Nullbestand; ","")))&amp;IF(D1850="","Warengruppe fehlt; ","")&amp;IF(B1850="","Bezeichnung fehlt; ","")&amp;IF(COUNTIFS($A$2:$A$5001,$A1850,$C$2:$C$5001,C1850)&gt;1,"Artikel doppelt im selben Lager; ",""))</f>
        <v/>
      </c>
      <c r="P1850" s="47" t="n">
        <f aca="false">IF(OR($A1850="",D1850=""),0,IF(COUNTIF($D$2:D1850,D1850)=1,SUMIF($D$2:$D$5001,D1850,$H$2:$H$5001)+ROW()/10000000,0))</f>
        <v>0</v>
      </c>
      <c r="Q1850" s="47" t="n">
        <f aca="false">IF(OR($A1850="",C1850=""),0,IF(COUNTIF($C$2:C1850,C1850)=1,SUMIF($C$2:$C$5001,C1850,$H$2:$H$5001)+ROW()/10000000,0))</f>
        <v>0</v>
      </c>
    </row>
    <row r="1851" customFormat="false" ht="15" hidden="false" customHeight="false" outlineLevel="0" collapsed="false">
      <c r="A1851" s="43"/>
      <c r="B1851" s="44"/>
      <c r="C1851" s="44"/>
      <c r="D1851" s="44"/>
      <c r="E1851" s="44"/>
      <c r="F1851" s="44"/>
      <c r="G1851" s="44"/>
      <c r="H1851" s="46" t="str">
        <f aca="false">IF($A1851="","",IF(OR(NOT(ISNUMBER(E1851)),NOT(ISNUMBER(F1851))),"",MAX(0,E1851)*F1851))</f>
        <v/>
      </c>
      <c r="I1851" s="46" t="str">
        <f aca="false">IF($A1851="","",SUMIF($A$2:$A$5001,$A1851,$H$2:$H$5001))</f>
        <v/>
      </c>
      <c r="J1851" s="47" t="n">
        <f aca="false">IF($A1851="",0,IF(COUNTIF($A$2:A1851,$A1851)=1,1,0))</f>
        <v>0</v>
      </c>
      <c r="K1851" s="47" t="n">
        <f aca="false">IF(J1851=1,N(I1851)+ROW()/10000000,0)</f>
        <v>0</v>
      </c>
      <c r="L1851" s="47" t="str">
        <f aca="false">IF(AND(J1851=1,N(I1851)&gt;0),SUMIF($K$2:$K$5001,"&gt;="&amp;K1851,$I$2:$I$5001)/MAX(1,SUM($H$2:$H$5001)),"")</f>
        <v/>
      </c>
      <c r="M1851" s="47" t="str">
        <f aca="false">IF($A1851="","",INDEX($L$2:$L$5001,MATCH($A1851,$A$2:$A$5001,0)))</f>
        <v/>
      </c>
      <c r="N1851" s="48" t="str">
        <f aca="false">IF($A1851="","",IF(N(M1851)=0,"–",IF(M1851&lt;=Start!$D$20,"A",IF(M1851&lt;=Start!$D$21,"B","C"))))</f>
        <v/>
      </c>
      <c r="O1851" s="48" t="str">
        <f aca="false">IF($A1851="","",IF(NOT(ISNUMBER(F1851)),"Wert fehlt; ",IF(F1851&lt;=0,"Wert ist 0; ",""))&amp;IF(NOT(ISNUMBER(E1851)),"Bestand fehlt; ",IF(E1851&lt;0,"Bestand negativ; ",IF(E1851=0,"Nullbestand; ","")))&amp;IF(D1851="","Warengruppe fehlt; ","")&amp;IF(B1851="","Bezeichnung fehlt; ","")&amp;IF(COUNTIFS($A$2:$A$5001,$A1851,$C$2:$C$5001,C1851)&gt;1,"Artikel doppelt im selben Lager; ",""))</f>
        <v/>
      </c>
      <c r="P1851" s="47" t="n">
        <f aca="false">IF(OR($A1851="",D1851=""),0,IF(COUNTIF($D$2:D1851,D1851)=1,SUMIF($D$2:$D$5001,D1851,$H$2:$H$5001)+ROW()/10000000,0))</f>
        <v>0</v>
      </c>
      <c r="Q1851" s="47" t="n">
        <f aca="false">IF(OR($A1851="",C1851=""),0,IF(COUNTIF($C$2:C1851,C1851)=1,SUMIF($C$2:$C$5001,C1851,$H$2:$H$5001)+ROW()/10000000,0))</f>
        <v>0</v>
      </c>
    </row>
    <row r="1852" customFormat="false" ht="15" hidden="false" customHeight="false" outlineLevel="0" collapsed="false">
      <c r="A1852" s="43"/>
      <c r="B1852" s="44"/>
      <c r="C1852" s="44"/>
      <c r="D1852" s="44"/>
      <c r="E1852" s="44"/>
      <c r="F1852" s="44"/>
      <c r="G1852" s="44"/>
      <c r="H1852" s="46" t="str">
        <f aca="false">IF($A1852="","",IF(OR(NOT(ISNUMBER(E1852)),NOT(ISNUMBER(F1852))),"",MAX(0,E1852)*F1852))</f>
        <v/>
      </c>
      <c r="I1852" s="46" t="str">
        <f aca="false">IF($A1852="","",SUMIF($A$2:$A$5001,$A1852,$H$2:$H$5001))</f>
        <v/>
      </c>
      <c r="J1852" s="47" t="n">
        <f aca="false">IF($A1852="",0,IF(COUNTIF($A$2:A1852,$A1852)=1,1,0))</f>
        <v>0</v>
      </c>
      <c r="K1852" s="47" t="n">
        <f aca="false">IF(J1852=1,N(I1852)+ROW()/10000000,0)</f>
        <v>0</v>
      </c>
      <c r="L1852" s="47" t="str">
        <f aca="false">IF(AND(J1852=1,N(I1852)&gt;0),SUMIF($K$2:$K$5001,"&gt;="&amp;K1852,$I$2:$I$5001)/MAX(1,SUM($H$2:$H$5001)),"")</f>
        <v/>
      </c>
      <c r="M1852" s="47" t="str">
        <f aca="false">IF($A1852="","",INDEX($L$2:$L$5001,MATCH($A1852,$A$2:$A$5001,0)))</f>
        <v/>
      </c>
      <c r="N1852" s="48" t="str">
        <f aca="false">IF($A1852="","",IF(N(M1852)=0,"–",IF(M1852&lt;=Start!$D$20,"A",IF(M1852&lt;=Start!$D$21,"B","C"))))</f>
        <v/>
      </c>
      <c r="O1852" s="48" t="str">
        <f aca="false">IF($A1852="","",IF(NOT(ISNUMBER(F1852)),"Wert fehlt; ",IF(F1852&lt;=0,"Wert ist 0; ",""))&amp;IF(NOT(ISNUMBER(E1852)),"Bestand fehlt; ",IF(E1852&lt;0,"Bestand negativ; ",IF(E1852=0,"Nullbestand; ","")))&amp;IF(D1852="","Warengruppe fehlt; ","")&amp;IF(B1852="","Bezeichnung fehlt; ","")&amp;IF(COUNTIFS($A$2:$A$5001,$A1852,$C$2:$C$5001,C1852)&gt;1,"Artikel doppelt im selben Lager; ",""))</f>
        <v/>
      </c>
      <c r="P1852" s="47" t="n">
        <f aca="false">IF(OR($A1852="",D1852=""),0,IF(COUNTIF($D$2:D1852,D1852)=1,SUMIF($D$2:$D$5001,D1852,$H$2:$H$5001)+ROW()/10000000,0))</f>
        <v>0</v>
      </c>
      <c r="Q1852" s="47" t="n">
        <f aca="false">IF(OR($A1852="",C1852=""),0,IF(COUNTIF($C$2:C1852,C1852)=1,SUMIF($C$2:$C$5001,C1852,$H$2:$H$5001)+ROW()/10000000,0))</f>
        <v>0</v>
      </c>
    </row>
    <row r="1853" customFormat="false" ht="15" hidden="false" customHeight="false" outlineLevel="0" collapsed="false">
      <c r="A1853" s="43"/>
      <c r="B1853" s="44"/>
      <c r="C1853" s="44"/>
      <c r="D1853" s="44"/>
      <c r="E1853" s="44"/>
      <c r="F1853" s="44"/>
      <c r="G1853" s="44"/>
      <c r="H1853" s="46" t="str">
        <f aca="false">IF($A1853="","",IF(OR(NOT(ISNUMBER(E1853)),NOT(ISNUMBER(F1853))),"",MAX(0,E1853)*F1853))</f>
        <v/>
      </c>
      <c r="I1853" s="46" t="str">
        <f aca="false">IF($A1853="","",SUMIF($A$2:$A$5001,$A1853,$H$2:$H$5001))</f>
        <v/>
      </c>
      <c r="J1853" s="47" t="n">
        <f aca="false">IF($A1853="",0,IF(COUNTIF($A$2:A1853,$A1853)=1,1,0))</f>
        <v>0</v>
      </c>
      <c r="K1853" s="47" t="n">
        <f aca="false">IF(J1853=1,N(I1853)+ROW()/10000000,0)</f>
        <v>0</v>
      </c>
      <c r="L1853" s="47" t="str">
        <f aca="false">IF(AND(J1853=1,N(I1853)&gt;0),SUMIF($K$2:$K$5001,"&gt;="&amp;K1853,$I$2:$I$5001)/MAX(1,SUM($H$2:$H$5001)),"")</f>
        <v/>
      </c>
      <c r="M1853" s="47" t="str">
        <f aca="false">IF($A1853="","",INDEX($L$2:$L$5001,MATCH($A1853,$A$2:$A$5001,0)))</f>
        <v/>
      </c>
      <c r="N1853" s="48" t="str">
        <f aca="false">IF($A1853="","",IF(N(M1853)=0,"–",IF(M1853&lt;=Start!$D$20,"A",IF(M1853&lt;=Start!$D$21,"B","C"))))</f>
        <v/>
      </c>
      <c r="O1853" s="48" t="str">
        <f aca="false">IF($A1853="","",IF(NOT(ISNUMBER(F1853)),"Wert fehlt; ",IF(F1853&lt;=0,"Wert ist 0; ",""))&amp;IF(NOT(ISNUMBER(E1853)),"Bestand fehlt; ",IF(E1853&lt;0,"Bestand negativ; ",IF(E1853=0,"Nullbestand; ","")))&amp;IF(D1853="","Warengruppe fehlt; ","")&amp;IF(B1853="","Bezeichnung fehlt; ","")&amp;IF(COUNTIFS($A$2:$A$5001,$A1853,$C$2:$C$5001,C1853)&gt;1,"Artikel doppelt im selben Lager; ",""))</f>
        <v/>
      </c>
      <c r="P1853" s="47" t="n">
        <f aca="false">IF(OR($A1853="",D1853=""),0,IF(COUNTIF($D$2:D1853,D1853)=1,SUMIF($D$2:$D$5001,D1853,$H$2:$H$5001)+ROW()/10000000,0))</f>
        <v>0</v>
      </c>
      <c r="Q1853" s="47" t="n">
        <f aca="false">IF(OR($A1853="",C1853=""),0,IF(COUNTIF($C$2:C1853,C1853)=1,SUMIF($C$2:$C$5001,C1853,$H$2:$H$5001)+ROW()/10000000,0))</f>
        <v>0</v>
      </c>
    </row>
    <row r="1854" customFormat="false" ht="15" hidden="false" customHeight="false" outlineLevel="0" collapsed="false">
      <c r="A1854" s="43"/>
      <c r="B1854" s="44"/>
      <c r="C1854" s="44"/>
      <c r="D1854" s="44"/>
      <c r="E1854" s="44"/>
      <c r="F1854" s="44"/>
      <c r="G1854" s="44"/>
      <c r="H1854" s="46" t="str">
        <f aca="false">IF($A1854="","",IF(OR(NOT(ISNUMBER(E1854)),NOT(ISNUMBER(F1854))),"",MAX(0,E1854)*F1854))</f>
        <v/>
      </c>
      <c r="I1854" s="46" t="str">
        <f aca="false">IF($A1854="","",SUMIF($A$2:$A$5001,$A1854,$H$2:$H$5001))</f>
        <v/>
      </c>
      <c r="J1854" s="47" t="n">
        <f aca="false">IF($A1854="",0,IF(COUNTIF($A$2:A1854,$A1854)=1,1,0))</f>
        <v>0</v>
      </c>
      <c r="K1854" s="47" t="n">
        <f aca="false">IF(J1854=1,N(I1854)+ROW()/10000000,0)</f>
        <v>0</v>
      </c>
      <c r="L1854" s="47" t="str">
        <f aca="false">IF(AND(J1854=1,N(I1854)&gt;0),SUMIF($K$2:$K$5001,"&gt;="&amp;K1854,$I$2:$I$5001)/MAX(1,SUM($H$2:$H$5001)),"")</f>
        <v/>
      </c>
      <c r="M1854" s="47" t="str">
        <f aca="false">IF($A1854="","",INDEX($L$2:$L$5001,MATCH($A1854,$A$2:$A$5001,0)))</f>
        <v/>
      </c>
      <c r="N1854" s="48" t="str">
        <f aca="false">IF($A1854="","",IF(N(M1854)=0,"–",IF(M1854&lt;=Start!$D$20,"A",IF(M1854&lt;=Start!$D$21,"B","C"))))</f>
        <v/>
      </c>
      <c r="O1854" s="48" t="str">
        <f aca="false">IF($A1854="","",IF(NOT(ISNUMBER(F1854)),"Wert fehlt; ",IF(F1854&lt;=0,"Wert ist 0; ",""))&amp;IF(NOT(ISNUMBER(E1854)),"Bestand fehlt; ",IF(E1854&lt;0,"Bestand negativ; ",IF(E1854=0,"Nullbestand; ","")))&amp;IF(D1854="","Warengruppe fehlt; ","")&amp;IF(B1854="","Bezeichnung fehlt; ","")&amp;IF(COUNTIFS($A$2:$A$5001,$A1854,$C$2:$C$5001,C1854)&gt;1,"Artikel doppelt im selben Lager; ",""))</f>
        <v/>
      </c>
      <c r="P1854" s="47" t="n">
        <f aca="false">IF(OR($A1854="",D1854=""),0,IF(COUNTIF($D$2:D1854,D1854)=1,SUMIF($D$2:$D$5001,D1854,$H$2:$H$5001)+ROW()/10000000,0))</f>
        <v>0</v>
      </c>
      <c r="Q1854" s="47" t="n">
        <f aca="false">IF(OR($A1854="",C1854=""),0,IF(COUNTIF($C$2:C1854,C1854)=1,SUMIF($C$2:$C$5001,C1854,$H$2:$H$5001)+ROW()/10000000,0))</f>
        <v>0</v>
      </c>
    </row>
    <row r="1855" customFormat="false" ht="15" hidden="false" customHeight="false" outlineLevel="0" collapsed="false">
      <c r="A1855" s="43"/>
      <c r="B1855" s="44"/>
      <c r="C1855" s="44"/>
      <c r="D1855" s="44"/>
      <c r="E1855" s="44"/>
      <c r="F1855" s="44"/>
      <c r="G1855" s="44"/>
      <c r="H1855" s="46" t="str">
        <f aca="false">IF($A1855="","",IF(OR(NOT(ISNUMBER(E1855)),NOT(ISNUMBER(F1855))),"",MAX(0,E1855)*F1855))</f>
        <v/>
      </c>
      <c r="I1855" s="46" t="str">
        <f aca="false">IF($A1855="","",SUMIF($A$2:$A$5001,$A1855,$H$2:$H$5001))</f>
        <v/>
      </c>
      <c r="J1855" s="47" t="n">
        <f aca="false">IF($A1855="",0,IF(COUNTIF($A$2:A1855,$A1855)=1,1,0))</f>
        <v>0</v>
      </c>
      <c r="K1855" s="47" t="n">
        <f aca="false">IF(J1855=1,N(I1855)+ROW()/10000000,0)</f>
        <v>0</v>
      </c>
      <c r="L1855" s="47" t="str">
        <f aca="false">IF(AND(J1855=1,N(I1855)&gt;0),SUMIF($K$2:$K$5001,"&gt;="&amp;K1855,$I$2:$I$5001)/MAX(1,SUM($H$2:$H$5001)),"")</f>
        <v/>
      </c>
      <c r="M1855" s="47" t="str">
        <f aca="false">IF($A1855="","",INDEX($L$2:$L$5001,MATCH($A1855,$A$2:$A$5001,0)))</f>
        <v/>
      </c>
      <c r="N1855" s="48" t="str">
        <f aca="false">IF($A1855="","",IF(N(M1855)=0,"–",IF(M1855&lt;=Start!$D$20,"A",IF(M1855&lt;=Start!$D$21,"B","C"))))</f>
        <v/>
      </c>
      <c r="O1855" s="48" t="str">
        <f aca="false">IF($A1855="","",IF(NOT(ISNUMBER(F1855)),"Wert fehlt; ",IF(F1855&lt;=0,"Wert ist 0; ",""))&amp;IF(NOT(ISNUMBER(E1855)),"Bestand fehlt; ",IF(E1855&lt;0,"Bestand negativ; ",IF(E1855=0,"Nullbestand; ","")))&amp;IF(D1855="","Warengruppe fehlt; ","")&amp;IF(B1855="","Bezeichnung fehlt; ","")&amp;IF(COUNTIFS($A$2:$A$5001,$A1855,$C$2:$C$5001,C1855)&gt;1,"Artikel doppelt im selben Lager; ",""))</f>
        <v/>
      </c>
      <c r="P1855" s="47" t="n">
        <f aca="false">IF(OR($A1855="",D1855=""),0,IF(COUNTIF($D$2:D1855,D1855)=1,SUMIF($D$2:$D$5001,D1855,$H$2:$H$5001)+ROW()/10000000,0))</f>
        <v>0</v>
      </c>
      <c r="Q1855" s="47" t="n">
        <f aca="false">IF(OR($A1855="",C1855=""),0,IF(COUNTIF($C$2:C1855,C1855)=1,SUMIF($C$2:$C$5001,C1855,$H$2:$H$5001)+ROW()/10000000,0))</f>
        <v>0</v>
      </c>
    </row>
    <row r="1856" customFormat="false" ht="15" hidden="false" customHeight="false" outlineLevel="0" collapsed="false">
      <c r="A1856" s="43"/>
      <c r="B1856" s="44"/>
      <c r="C1856" s="44"/>
      <c r="D1856" s="44"/>
      <c r="E1856" s="44"/>
      <c r="F1856" s="44"/>
      <c r="G1856" s="44"/>
      <c r="H1856" s="46" t="str">
        <f aca="false">IF($A1856="","",IF(OR(NOT(ISNUMBER(E1856)),NOT(ISNUMBER(F1856))),"",MAX(0,E1856)*F1856))</f>
        <v/>
      </c>
      <c r="I1856" s="46" t="str">
        <f aca="false">IF($A1856="","",SUMIF($A$2:$A$5001,$A1856,$H$2:$H$5001))</f>
        <v/>
      </c>
      <c r="J1856" s="47" t="n">
        <f aca="false">IF($A1856="",0,IF(COUNTIF($A$2:A1856,$A1856)=1,1,0))</f>
        <v>0</v>
      </c>
      <c r="K1856" s="47" t="n">
        <f aca="false">IF(J1856=1,N(I1856)+ROW()/10000000,0)</f>
        <v>0</v>
      </c>
      <c r="L1856" s="47" t="str">
        <f aca="false">IF(AND(J1856=1,N(I1856)&gt;0),SUMIF($K$2:$K$5001,"&gt;="&amp;K1856,$I$2:$I$5001)/MAX(1,SUM($H$2:$H$5001)),"")</f>
        <v/>
      </c>
      <c r="M1856" s="47" t="str">
        <f aca="false">IF($A1856="","",INDEX($L$2:$L$5001,MATCH($A1856,$A$2:$A$5001,0)))</f>
        <v/>
      </c>
      <c r="N1856" s="48" t="str">
        <f aca="false">IF($A1856="","",IF(N(M1856)=0,"–",IF(M1856&lt;=Start!$D$20,"A",IF(M1856&lt;=Start!$D$21,"B","C"))))</f>
        <v/>
      </c>
      <c r="O1856" s="48" t="str">
        <f aca="false">IF($A1856="","",IF(NOT(ISNUMBER(F1856)),"Wert fehlt; ",IF(F1856&lt;=0,"Wert ist 0; ",""))&amp;IF(NOT(ISNUMBER(E1856)),"Bestand fehlt; ",IF(E1856&lt;0,"Bestand negativ; ",IF(E1856=0,"Nullbestand; ","")))&amp;IF(D1856="","Warengruppe fehlt; ","")&amp;IF(B1856="","Bezeichnung fehlt; ","")&amp;IF(COUNTIFS($A$2:$A$5001,$A1856,$C$2:$C$5001,C1856)&gt;1,"Artikel doppelt im selben Lager; ",""))</f>
        <v/>
      </c>
      <c r="P1856" s="47" t="n">
        <f aca="false">IF(OR($A1856="",D1856=""),0,IF(COUNTIF($D$2:D1856,D1856)=1,SUMIF($D$2:$D$5001,D1856,$H$2:$H$5001)+ROW()/10000000,0))</f>
        <v>0</v>
      </c>
      <c r="Q1856" s="47" t="n">
        <f aca="false">IF(OR($A1856="",C1856=""),0,IF(COUNTIF($C$2:C1856,C1856)=1,SUMIF($C$2:$C$5001,C1856,$H$2:$H$5001)+ROW()/10000000,0))</f>
        <v>0</v>
      </c>
    </row>
    <row r="1857" customFormat="false" ht="15" hidden="false" customHeight="false" outlineLevel="0" collapsed="false">
      <c r="A1857" s="43"/>
      <c r="B1857" s="44"/>
      <c r="C1857" s="44"/>
      <c r="D1857" s="44"/>
      <c r="E1857" s="44"/>
      <c r="F1857" s="44"/>
      <c r="G1857" s="44"/>
      <c r="H1857" s="46" t="str">
        <f aca="false">IF($A1857="","",IF(OR(NOT(ISNUMBER(E1857)),NOT(ISNUMBER(F1857))),"",MAX(0,E1857)*F1857))</f>
        <v/>
      </c>
      <c r="I1857" s="46" t="str">
        <f aca="false">IF($A1857="","",SUMIF($A$2:$A$5001,$A1857,$H$2:$H$5001))</f>
        <v/>
      </c>
      <c r="J1857" s="47" t="n">
        <f aca="false">IF($A1857="",0,IF(COUNTIF($A$2:A1857,$A1857)=1,1,0))</f>
        <v>0</v>
      </c>
      <c r="K1857" s="47" t="n">
        <f aca="false">IF(J1857=1,N(I1857)+ROW()/10000000,0)</f>
        <v>0</v>
      </c>
      <c r="L1857" s="47" t="str">
        <f aca="false">IF(AND(J1857=1,N(I1857)&gt;0),SUMIF($K$2:$K$5001,"&gt;="&amp;K1857,$I$2:$I$5001)/MAX(1,SUM($H$2:$H$5001)),"")</f>
        <v/>
      </c>
      <c r="M1857" s="47" t="str">
        <f aca="false">IF($A1857="","",INDEX($L$2:$L$5001,MATCH($A1857,$A$2:$A$5001,0)))</f>
        <v/>
      </c>
      <c r="N1857" s="48" t="str">
        <f aca="false">IF($A1857="","",IF(N(M1857)=0,"–",IF(M1857&lt;=Start!$D$20,"A",IF(M1857&lt;=Start!$D$21,"B","C"))))</f>
        <v/>
      </c>
      <c r="O1857" s="48" t="str">
        <f aca="false">IF($A1857="","",IF(NOT(ISNUMBER(F1857)),"Wert fehlt; ",IF(F1857&lt;=0,"Wert ist 0; ",""))&amp;IF(NOT(ISNUMBER(E1857)),"Bestand fehlt; ",IF(E1857&lt;0,"Bestand negativ; ",IF(E1857=0,"Nullbestand; ","")))&amp;IF(D1857="","Warengruppe fehlt; ","")&amp;IF(B1857="","Bezeichnung fehlt; ","")&amp;IF(COUNTIFS($A$2:$A$5001,$A1857,$C$2:$C$5001,C1857)&gt;1,"Artikel doppelt im selben Lager; ",""))</f>
        <v/>
      </c>
      <c r="P1857" s="47" t="n">
        <f aca="false">IF(OR($A1857="",D1857=""),0,IF(COUNTIF($D$2:D1857,D1857)=1,SUMIF($D$2:$D$5001,D1857,$H$2:$H$5001)+ROW()/10000000,0))</f>
        <v>0</v>
      </c>
      <c r="Q1857" s="47" t="n">
        <f aca="false">IF(OR($A1857="",C1857=""),0,IF(COUNTIF($C$2:C1857,C1857)=1,SUMIF($C$2:$C$5001,C1857,$H$2:$H$5001)+ROW()/10000000,0))</f>
        <v>0</v>
      </c>
    </row>
    <row r="1858" customFormat="false" ht="15" hidden="false" customHeight="false" outlineLevel="0" collapsed="false">
      <c r="A1858" s="43"/>
      <c r="B1858" s="44"/>
      <c r="C1858" s="44"/>
      <c r="D1858" s="44"/>
      <c r="E1858" s="44"/>
      <c r="F1858" s="44"/>
      <c r="G1858" s="44"/>
      <c r="H1858" s="46" t="str">
        <f aca="false">IF($A1858="","",IF(OR(NOT(ISNUMBER(E1858)),NOT(ISNUMBER(F1858))),"",MAX(0,E1858)*F1858))</f>
        <v/>
      </c>
      <c r="I1858" s="46" t="str">
        <f aca="false">IF($A1858="","",SUMIF($A$2:$A$5001,$A1858,$H$2:$H$5001))</f>
        <v/>
      </c>
      <c r="J1858" s="47" t="n">
        <f aca="false">IF($A1858="",0,IF(COUNTIF($A$2:A1858,$A1858)=1,1,0))</f>
        <v>0</v>
      </c>
      <c r="K1858" s="47" t="n">
        <f aca="false">IF(J1858=1,N(I1858)+ROW()/10000000,0)</f>
        <v>0</v>
      </c>
      <c r="L1858" s="47" t="str">
        <f aca="false">IF(AND(J1858=1,N(I1858)&gt;0),SUMIF($K$2:$K$5001,"&gt;="&amp;K1858,$I$2:$I$5001)/MAX(1,SUM($H$2:$H$5001)),"")</f>
        <v/>
      </c>
      <c r="M1858" s="47" t="str">
        <f aca="false">IF($A1858="","",INDEX($L$2:$L$5001,MATCH($A1858,$A$2:$A$5001,0)))</f>
        <v/>
      </c>
      <c r="N1858" s="48" t="str">
        <f aca="false">IF($A1858="","",IF(N(M1858)=0,"–",IF(M1858&lt;=Start!$D$20,"A",IF(M1858&lt;=Start!$D$21,"B","C"))))</f>
        <v/>
      </c>
      <c r="O1858" s="48" t="str">
        <f aca="false">IF($A1858="","",IF(NOT(ISNUMBER(F1858)),"Wert fehlt; ",IF(F1858&lt;=0,"Wert ist 0; ",""))&amp;IF(NOT(ISNUMBER(E1858)),"Bestand fehlt; ",IF(E1858&lt;0,"Bestand negativ; ",IF(E1858=0,"Nullbestand; ","")))&amp;IF(D1858="","Warengruppe fehlt; ","")&amp;IF(B1858="","Bezeichnung fehlt; ","")&amp;IF(COUNTIFS($A$2:$A$5001,$A1858,$C$2:$C$5001,C1858)&gt;1,"Artikel doppelt im selben Lager; ",""))</f>
        <v/>
      </c>
      <c r="P1858" s="47" t="n">
        <f aca="false">IF(OR($A1858="",D1858=""),0,IF(COUNTIF($D$2:D1858,D1858)=1,SUMIF($D$2:$D$5001,D1858,$H$2:$H$5001)+ROW()/10000000,0))</f>
        <v>0</v>
      </c>
      <c r="Q1858" s="47" t="n">
        <f aca="false">IF(OR($A1858="",C1858=""),0,IF(COUNTIF($C$2:C1858,C1858)=1,SUMIF($C$2:$C$5001,C1858,$H$2:$H$5001)+ROW()/10000000,0))</f>
        <v>0</v>
      </c>
    </row>
    <row r="1859" customFormat="false" ht="15" hidden="false" customHeight="false" outlineLevel="0" collapsed="false">
      <c r="A1859" s="43"/>
      <c r="B1859" s="44"/>
      <c r="C1859" s="44"/>
      <c r="D1859" s="44"/>
      <c r="E1859" s="44"/>
      <c r="F1859" s="44"/>
      <c r="G1859" s="44"/>
      <c r="H1859" s="46" t="str">
        <f aca="false">IF($A1859="","",IF(OR(NOT(ISNUMBER(E1859)),NOT(ISNUMBER(F1859))),"",MAX(0,E1859)*F1859))</f>
        <v/>
      </c>
      <c r="I1859" s="46" t="str">
        <f aca="false">IF($A1859="","",SUMIF($A$2:$A$5001,$A1859,$H$2:$H$5001))</f>
        <v/>
      </c>
      <c r="J1859" s="47" t="n">
        <f aca="false">IF($A1859="",0,IF(COUNTIF($A$2:A1859,$A1859)=1,1,0))</f>
        <v>0</v>
      </c>
      <c r="K1859" s="47" t="n">
        <f aca="false">IF(J1859=1,N(I1859)+ROW()/10000000,0)</f>
        <v>0</v>
      </c>
      <c r="L1859" s="47" t="str">
        <f aca="false">IF(AND(J1859=1,N(I1859)&gt;0),SUMIF($K$2:$K$5001,"&gt;="&amp;K1859,$I$2:$I$5001)/MAX(1,SUM($H$2:$H$5001)),"")</f>
        <v/>
      </c>
      <c r="M1859" s="47" t="str">
        <f aca="false">IF($A1859="","",INDEX($L$2:$L$5001,MATCH($A1859,$A$2:$A$5001,0)))</f>
        <v/>
      </c>
      <c r="N1859" s="48" t="str">
        <f aca="false">IF($A1859="","",IF(N(M1859)=0,"–",IF(M1859&lt;=Start!$D$20,"A",IF(M1859&lt;=Start!$D$21,"B","C"))))</f>
        <v/>
      </c>
      <c r="O1859" s="48" t="str">
        <f aca="false">IF($A1859="","",IF(NOT(ISNUMBER(F1859)),"Wert fehlt; ",IF(F1859&lt;=0,"Wert ist 0; ",""))&amp;IF(NOT(ISNUMBER(E1859)),"Bestand fehlt; ",IF(E1859&lt;0,"Bestand negativ; ",IF(E1859=0,"Nullbestand; ","")))&amp;IF(D1859="","Warengruppe fehlt; ","")&amp;IF(B1859="","Bezeichnung fehlt; ","")&amp;IF(COUNTIFS($A$2:$A$5001,$A1859,$C$2:$C$5001,C1859)&gt;1,"Artikel doppelt im selben Lager; ",""))</f>
        <v/>
      </c>
      <c r="P1859" s="47" t="n">
        <f aca="false">IF(OR($A1859="",D1859=""),0,IF(COUNTIF($D$2:D1859,D1859)=1,SUMIF($D$2:$D$5001,D1859,$H$2:$H$5001)+ROW()/10000000,0))</f>
        <v>0</v>
      </c>
      <c r="Q1859" s="47" t="n">
        <f aca="false">IF(OR($A1859="",C1859=""),0,IF(COUNTIF($C$2:C1859,C1859)=1,SUMIF($C$2:$C$5001,C1859,$H$2:$H$5001)+ROW()/10000000,0))</f>
        <v>0</v>
      </c>
    </row>
    <row r="1860" customFormat="false" ht="15" hidden="false" customHeight="false" outlineLevel="0" collapsed="false">
      <c r="A1860" s="43"/>
      <c r="B1860" s="44"/>
      <c r="C1860" s="44"/>
      <c r="D1860" s="44"/>
      <c r="E1860" s="44"/>
      <c r="F1860" s="44"/>
      <c r="G1860" s="44"/>
      <c r="H1860" s="46" t="str">
        <f aca="false">IF($A1860="","",IF(OR(NOT(ISNUMBER(E1860)),NOT(ISNUMBER(F1860))),"",MAX(0,E1860)*F1860))</f>
        <v/>
      </c>
      <c r="I1860" s="46" t="str">
        <f aca="false">IF($A1860="","",SUMIF($A$2:$A$5001,$A1860,$H$2:$H$5001))</f>
        <v/>
      </c>
      <c r="J1860" s="47" t="n">
        <f aca="false">IF($A1860="",0,IF(COUNTIF($A$2:A1860,$A1860)=1,1,0))</f>
        <v>0</v>
      </c>
      <c r="K1860" s="47" t="n">
        <f aca="false">IF(J1860=1,N(I1860)+ROW()/10000000,0)</f>
        <v>0</v>
      </c>
      <c r="L1860" s="47" t="str">
        <f aca="false">IF(AND(J1860=1,N(I1860)&gt;0),SUMIF($K$2:$K$5001,"&gt;="&amp;K1860,$I$2:$I$5001)/MAX(1,SUM($H$2:$H$5001)),"")</f>
        <v/>
      </c>
      <c r="M1860" s="47" t="str">
        <f aca="false">IF($A1860="","",INDEX($L$2:$L$5001,MATCH($A1860,$A$2:$A$5001,0)))</f>
        <v/>
      </c>
      <c r="N1860" s="48" t="str">
        <f aca="false">IF($A1860="","",IF(N(M1860)=0,"–",IF(M1860&lt;=Start!$D$20,"A",IF(M1860&lt;=Start!$D$21,"B","C"))))</f>
        <v/>
      </c>
      <c r="O1860" s="48" t="str">
        <f aca="false">IF($A1860="","",IF(NOT(ISNUMBER(F1860)),"Wert fehlt; ",IF(F1860&lt;=0,"Wert ist 0; ",""))&amp;IF(NOT(ISNUMBER(E1860)),"Bestand fehlt; ",IF(E1860&lt;0,"Bestand negativ; ",IF(E1860=0,"Nullbestand; ","")))&amp;IF(D1860="","Warengruppe fehlt; ","")&amp;IF(B1860="","Bezeichnung fehlt; ","")&amp;IF(COUNTIFS($A$2:$A$5001,$A1860,$C$2:$C$5001,C1860)&gt;1,"Artikel doppelt im selben Lager; ",""))</f>
        <v/>
      </c>
      <c r="P1860" s="47" t="n">
        <f aca="false">IF(OR($A1860="",D1860=""),0,IF(COUNTIF($D$2:D1860,D1860)=1,SUMIF($D$2:$D$5001,D1860,$H$2:$H$5001)+ROW()/10000000,0))</f>
        <v>0</v>
      </c>
      <c r="Q1860" s="47" t="n">
        <f aca="false">IF(OR($A1860="",C1860=""),0,IF(COUNTIF($C$2:C1860,C1860)=1,SUMIF($C$2:$C$5001,C1860,$H$2:$H$5001)+ROW()/10000000,0))</f>
        <v>0</v>
      </c>
    </row>
    <row r="1861" customFormat="false" ht="15" hidden="false" customHeight="false" outlineLevel="0" collapsed="false">
      <c r="A1861" s="43"/>
      <c r="B1861" s="44"/>
      <c r="C1861" s="44"/>
      <c r="D1861" s="44"/>
      <c r="E1861" s="44"/>
      <c r="F1861" s="44"/>
      <c r="G1861" s="44"/>
      <c r="H1861" s="46" t="str">
        <f aca="false">IF($A1861="","",IF(OR(NOT(ISNUMBER(E1861)),NOT(ISNUMBER(F1861))),"",MAX(0,E1861)*F1861))</f>
        <v/>
      </c>
      <c r="I1861" s="46" t="str">
        <f aca="false">IF($A1861="","",SUMIF($A$2:$A$5001,$A1861,$H$2:$H$5001))</f>
        <v/>
      </c>
      <c r="J1861" s="47" t="n">
        <f aca="false">IF($A1861="",0,IF(COUNTIF($A$2:A1861,$A1861)=1,1,0))</f>
        <v>0</v>
      </c>
      <c r="K1861" s="47" t="n">
        <f aca="false">IF(J1861=1,N(I1861)+ROW()/10000000,0)</f>
        <v>0</v>
      </c>
      <c r="L1861" s="47" t="str">
        <f aca="false">IF(AND(J1861=1,N(I1861)&gt;0),SUMIF($K$2:$K$5001,"&gt;="&amp;K1861,$I$2:$I$5001)/MAX(1,SUM($H$2:$H$5001)),"")</f>
        <v/>
      </c>
      <c r="M1861" s="47" t="str">
        <f aca="false">IF($A1861="","",INDEX($L$2:$L$5001,MATCH($A1861,$A$2:$A$5001,0)))</f>
        <v/>
      </c>
      <c r="N1861" s="48" t="str">
        <f aca="false">IF($A1861="","",IF(N(M1861)=0,"–",IF(M1861&lt;=Start!$D$20,"A",IF(M1861&lt;=Start!$D$21,"B","C"))))</f>
        <v/>
      </c>
      <c r="O1861" s="48" t="str">
        <f aca="false">IF($A1861="","",IF(NOT(ISNUMBER(F1861)),"Wert fehlt; ",IF(F1861&lt;=0,"Wert ist 0; ",""))&amp;IF(NOT(ISNUMBER(E1861)),"Bestand fehlt; ",IF(E1861&lt;0,"Bestand negativ; ",IF(E1861=0,"Nullbestand; ","")))&amp;IF(D1861="","Warengruppe fehlt; ","")&amp;IF(B1861="","Bezeichnung fehlt; ","")&amp;IF(COUNTIFS($A$2:$A$5001,$A1861,$C$2:$C$5001,C1861)&gt;1,"Artikel doppelt im selben Lager; ",""))</f>
        <v/>
      </c>
      <c r="P1861" s="47" t="n">
        <f aca="false">IF(OR($A1861="",D1861=""),0,IF(COUNTIF($D$2:D1861,D1861)=1,SUMIF($D$2:$D$5001,D1861,$H$2:$H$5001)+ROW()/10000000,0))</f>
        <v>0</v>
      </c>
      <c r="Q1861" s="47" t="n">
        <f aca="false">IF(OR($A1861="",C1861=""),0,IF(COUNTIF($C$2:C1861,C1861)=1,SUMIF($C$2:$C$5001,C1861,$H$2:$H$5001)+ROW()/10000000,0))</f>
        <v>0</v>
      </c>
    </row>
    <row r="1862" customFormat="false" ht="15" hidden="false" customHeight="false" outlineLevel="0" collapsed="false">
      <c r="A1862" s="43"/>
      <c r="B1862" s="44"/>
      <c r="C1862" s="44"/>
      <c r="D1862" s="44"/>
      <c r="E1862" s="44"/>
      <c r="F1862" s="44"/>
      <c r="G1862" s="44"/>
      <c r="H1862" s="46" t="str">
        <f aca="false">IF($A1862="","",IF(OR(NOT(ISNUMBER(E1862)),NOT(ISNUMBER(F1862))),"",MAX(0,E1862)*F1862))</f>
        <v/>
      </c>
      <c r="I1862" s="46" t="str">
        <f aca="false">IF($A1862="","",SUMIF($A$2:$A$5001,$A1862,$H$2:$H$5001))</f>
        <v/>
      </c>
      <c r="J1862" s="47" t="n">
        <f aca="false">IF($A1862="",0,IF(COUNTIF($A$2:A1862,$A1862)=1,1,0))</f>
        <v>0</v>
      </c>
      <c r="K1862" s="47" t="n">
        <f aca="false">IF(J1862=1,N(I1862)+ROW()/10000000,0)</f>
        <v>0</v>
      </c>
      <c r="L1862" s="47" t="str">
        <f aca="false">IF(AND(J1862=1,N(I1862)&gt;0),SUMIF($K$2:$K$5001,"&gt;="&amp;K1862,$I$2:$I$5001)/MAX(1,SUM($H$2:$H$5001)),"")</f>
        <v/>
      </c>
      <c r="M1862" s="47" t="str">
        <f aca="false">IF($A1862="","",INDEX($L$2:$L$5001,MATCH($A1862,$A$2:$A$5001,0)))</f>
        <v/>
      </c>
      <c r="N1862" s="48" t="str">
        <f aca="false">IF($A1862="","",IF(N(M1862)=0,"–",IF(M1862&lt;=Start!$D$20,"A",IF(M1862&lt;=Start!$D$21,"B","C"))))</f>
        <v/>
      </c>
      <c r="O1862" s="48" t="str">
        <f aca="false">IF($A1862="","",IF(NOT(ISNUMBER(F1862)),"Wert fehlt; ",IF(F1862&lt;=0,"Wert ist 0; ",""))&amp;IF(NOT(ISNUMBER(E1862)),"Bestand fehlt; ",IF(E1862&lt;0,"Bestand negativ; ",IF(E1862=0,"Nullbestand; ","")))&amp;IF(D1862="","Warengruppe fehlt; ","")&amp;IF(B1862="","Bezeichnung fehlt; ","")&amp;IF(COUNTIFS($A$2:$A$5001,$A1862,$C$2:$C$5001,C1862)&gt;1,"Artikel doppelt im selben Lager; ",""))</f>
        <v/>
      </c>
      <c r="P1862" s="47" t="n">
        <f aca="false">IF(OR($A1862="",D1862=""),0,IF(COUNTIF($D$2:D1862,D1862)=1,SUMIF($D$2:$D$5001,D1862,$H$2:$H$5001)+ROW()/10000000,0))</f>
        <v>0</v>
      </c>
      <c r="Q1862" s="47" t="n">
        <f aca="false">IF(OR($A1862="",C1862=""),0,IF(COUNTIF($C$2:C1862,C1862)=1,SUMIF($C$2:$C$5001,C1862,$H$2:$H$5001)+ROW()/10000000,0))</f>
        <v>0</v>
      </c>
    </row>
    <row r="1863" customFormat="false" ht="15" hidden="false" customHeight="false" outlineLevel="0" collapsed="false">
      <c r="A1863" s="43"/>
      <c r="B1863" s="44"/>
      <c r="C1863" s="44"/>
      <c r="D1863" s="44"/>
      <c r="E1863" s="44"/>
      <c r="F1863" s="44"/>
      <c r="G1863" s="44"/>
      <c r="H1863" s="46" t="str">
        <f aca="false">IF($A1863="","",IF(OR(NOT(ISNUMBER(E1863)),NOT(ISNUMBER(F1863))),"",MAX(0,E1863)*F1863))</f>
        <v/>
      </c>
      <c r="I1863" s="46" t="str">
        <f aca="false">IF($A1863="","",SUMIF($A$2:$A$5001,$A1863,$H$2:$H$5001))</f>
        <v/>
      </c>
      <c r="J1863" s="47" t="n">
        <f aca="false">IF($A1863="",0,IF(COUNTIF($A$2:A1863,$A1863)=1,1,0))</f>
        <v>0</v>
      </c>
      <c r="K1863" s="47" t="n">
        <f aca="false">IF(J1863=1,N(I1863)+ROW()/10000000,0)</f>
        <v>0</v>
      </c>
      <c r="L1863" s="47" t="str">
        <f aca="false">IF(AND(J1863=1,N(I1863)&gt;0),SUMIF($K$2:$K$5001,"&gt;="&amp;K1863,$I$2:$I$5001)/MAX(1,SUM($H$2:$H$5001)),"")</f>
        <v/>
      </c>
      <c r="M1863" s="47" t="str">
        <f aca="false">IF($A1863="","",INDEX($L$2:$L$5001,MATCH($A1863,$A$2:$A$5001,0)))</f>
        <v/>
      </c>
      <c r="N1863" s="48" t="str">
        <f aca="false">IF($A1863="","",IF(N(M1863)=0,"–",IF(M1863&lt;=Start!$D$20,"A",IF(M1863&lt;=Start!$D$21,"B","C"))))</f>
        <v/>
      </c>
      <c r="O1863" s="48" t="str">
        <f aca="false">IF($A1863="","",IF(NOT(ISNUMBER(F1863)),"Wert fehlt; ",IF(F1863&lt;=0,"Wert ist 0; ",""))&amp;IF(NOT(ISNUMBER(E1863)),"Bestand fehlt; ",IF(E1863&lt;0,"Bestand negativ; ",IF(E1863=0,"Nullbestand; ","")))&amp;IF(D1863="","Warengruppe fehlt; ","")&amp;IF(B1863="","Bezeichnung fehlt; ","")&amp;IF(COUNTIFS($A$2:$A$5001,$A1863,$C$2:$C$5001,C1863)&gt;1,"Artikel doppelt im selben Lager; ",""))</f>
        <v/>
      </c>
      <c r="P1863" s="47" t="n">
        <f aca="false">IF(OR($A1863="",D1863=""),0,IF(COUNTIF($D$2:D1863,D1863)=1,SUMIF($D$2:$D$5001,D1863,$H$2:$H$5001)+ROW()/10000000,0))</f>
        <v>0</v>
      </c>
      <c r="Q1863" s="47" t="n">
        <f aca="false">IF(OR($A1863="",C1863=""),0,IF(COUNTIF($C$2:C1863,C1863)=1,SUMIF($C$2:$C$5001,C1863,$H$2:$H$5001)+ROW()/10000000,0))</f>
        <v>0</v>
      </c>
    </row>
    <row r="1864" customFormat="false" ht="15" hidden="false" customHeight="false" outlineLevel="0" collapsed="false">
      <c r="A1864" s="43"/>
      <c r="B1864" s="44"/>
      <c r="C1864" s="44"/>
      <c r="D1864" s="44"/>
      <c r="E1864" s="44"/>
      <c r="F1864" s="44"/>
      <c r="G1864" s="44"/>
      <c r="H1864" s="46" t="str">
        <f aca="false">IF($A1864="","",IF(OR(NOT(ISNUMBER(E1864)),NOT(ISNUMBER(F1864))),"",MAX(0,E1864)*F1864))</f>
        <v/>
      </c>
      <c r="I1864" s="46" t="str">
        <f aca="false">IF($A1864="","",SUMIF($A$2:$A$5001,$A1864,$H$2:$H$5001))</f>
        <v/>
      </c>
      <c r="J1864" s="47" t="n">
        <f aca="false">IF($A1864="",0,IF(COUNTIF($A$2:A1864,$A1864)=1,1,0))</f>
        <v>0</v>
      </c>
      <c r="K1864" s="47" t="n">
        <f aca="false">IF(J1864=1,N(I1864)+ROW()/10000000,0)</f>
        <v>0</v>
      </c>
      <c r="L1864" s="47" t="str">
        <f aca="false">IF(AND(J1864=1,N(I1864)&gt;0),SUMIF($K$2:$K$5001,"&gt;="&amp;K1864,$I$2:$I$5001)/MAX(1,SUM($H$2:$H$5001)),"")</f>
        <v/>
      </c>
      <c r="M1864" s="47" t="str">
        <f aca="false">IF($A1864="","",INDEX($L$2:$L$5001,MATCH($A1864,$A$2:$A$5001,0)))</f>
        <v/>
      </c>
      <c r="N1864" s="48" t="str">
        <f aca="false">IF($A1864="","",IF(N(M1864)=0,"–",IF(M1864&lt;=Start!$D$20,"A",IF(M1864&lt;=Start!$D$21,"B","C"))))</f>
        <v/>
      </c>
      <c r="O1864" s="48" t="str">
        <f aca="false">IF($A1864="","",IF(NOT(ISNUMBER(F1864)),"Wert fehlt; ",IF(F1864&lt;=0,"Wert ist 0; ",""))&amp;IF(NOT(ISNUMBER(E1864)),"Bestand fehlt; ",IF(E1864&lt;0,"Bestand negativ; ",IF(E1864=0,"Nullbestand; ","")))&amp;IF(D1864="","Warengruppe fehlt; ","")&amp;IF(B1864="","Bezeichnung fehlt; ","")&amp;IF(COUNTIFS($A$2:$A$5001,$A1864,$C$2:$C$5001,C1864)&gt;1,"Artikel doppelt im selben Lager; ",""))</f>
        <v/>
      </c>
      <c r="P1864" s="47" t="n">
        <f aca="false">IF(OR($A1864="",D1864=""),0,IF(COUNTIF($D$2:D1864,D1864)=1,SUMIF($D$2:$D$5001,D1864,$H$2:$H$5001)+ROW()/10000000,0))</f>
        <v>0</v>
      </c>
      <c r="Q1864" s="47" t="n">
        <f aca="false">IF(OR($A1864="",C1864=""),0,IF(COUNTIF($C$2:C1864,C1864)=1,SUMIF($C$2:$C$5001,C1864,$H$2:$H$5001)+ROW()/10000000,0))</f>
        <v>0</v>
      </c>
    </row>
    <row r="1865" customFormat="false" ht="15" hidden="false" customHeight="false" outlineLevel="0" collapsed="false">
      <c r="A1865" s="43"/>
      <c r="B1865" s="44"/>
      <c r="C1865" s="44"/>
      <c r="D1865" s="44"/>
      <c r="E1865" s="44"/>
      <c r="F1865" s="44"/>
      <c r="G1865" s="44"/>
      <c r="H1865" s="46" t="str">
        <f aca="false">IF($A1865="","",IF(OR(NOT(ISNUMBER(E1865)),NOT(ISNUMBER(F1865))),"",MAX(0,E1865)*F1865))</f>
        <v/>
      </c>
      <c r="I1865" s="46" t="str">
        <f aca="false">IF($A1865="","",SUMIF($A$2:$A$5001,$A1865,$H$2:$H$5001))</f>
        <v/>
      </c>
      <c r="J1865" s="47" t="n">
        <f aca="false">IF($A1865="",0,IF(COUNTIF($A$2:A1865,$A1865)=1,1,0))</f>
        <v>0</v>
      </c>
      <c r="K1865" s="47" t="n">
        <f aca="false">IF(J1865=1,N(I1865)+ROW()/10000000,0)</f>
        <v>0</v>
      </c>
      <c r="L1865" s="47" t="str">
        <f aca="false">IF(AND(J1865=1,N(I1865)&gt;0),SUMIF($K$2:$K$5001,"&gt;="&amp;K1865,$I$2:$I$5001)/MAX(1,SUM($H$2:$H$5001)),"")</f>
        <v/>
      </c>
      <c r="M1865" s="47" t="str">
        <f aca="false">IF($A1865="","",INDEX($L$2:$L$5001,MATCH($A1865,$A$2:$A$5001,0)))</f>
        <v/>
      </c>
      <c r="N1865" s="48" t="str">
        <f aca="false">IF($A1865="","",IF(N(M1865)=0,"–",IF(M1865&lt;=Start!$D$20,"A",IF(M1865&lt;=Start!$D$21,"B","C"))))</f>
        <v/>
      </c>
      <c r="O1865" s="48" t="str">
        <f aca="false">IF($A1865="","",IF(NOT(ISNUMBER(F1865)),"Wert fehlt; ",IF(F1865&lt;=0,"Wert ist 0; ",""))&amp;IF(NOT(ISNUMBER(E1865)),"Bestand fehlt; ",IF(E1865&lt;0,"Bestand negativ; ",IF(E1865=0,"Nullbestand; ","")))&amp;IF(D1865="","Warengruppe fehlt; ","")&amp;IF(B1865="","Bezeichnung fehlt; ","")&amp;IF(COUNTIFS($A$2:$A$5001,$A1865,$C$2:$C$5001,C1865)&gt;1,"Artikel doppelt im selben Lager; ",""))</f>
        <v/>
      </c>
      <c r="P1865" s="47" t="n">
        <f aca="false">IF(OR($A1865="",D1865=""),0,IF(COUNTIF($D$2:D1865,D1865)=1,SUMIF($D$2:$D$5001,D1865,$H$2:$H$5001)+ROW()/10000000,0))</f>
        <v>0</v>
      </c>
      <c r="Q1865" s="47" t="n">
        <f aca="false">IF(OR($A1865="",C1865=""),0,IF(COUNTIF($C$2:C1865,C1865)=1,SUMIF($C$2:$C$5001,C1865,$H$2:$H$5001)+ROW()/10000000,0))</f>
        <v>0</v>
      </c>
    </row>
    <row r="1866" customFormat="false" ht="15" hidden="false" customHeight="false" outlineLevel="0" collapsed="false">
      <c r="A1866" s="43"/>
      <c r="B1866" s="44"/>
      <c r="C1866" s="44"/>
      <c r="D1866" s="44"/>
      <c r="E1866" s="44"/>
      <c r="F1866" s="44"/>
      <c r="G1866" s="44"/>
      <c r="H1866" s="46" t="str">
        <f aca="false">IF($A1866="","",IF(OR(NOT(ISNUMBER(E1866)),NOT(ISNUMBER(F1866))),"",MAX(0,E1866)*F1866))</f>
        <v/>
      </c>
      <c r="I1866" s="46" t="str">
        <f aca="false">IF($A1866="","",SUMIF($A$2:$A$5001,$A1866,$H$2:$H$5001))</f>
        <v/>
      </c>
      <c r="J1866" s="47" t="n">
        <f aca="false">IF($A1866="",0,IF(COUNTIF($A$2:A1866,$A1866)=1,1,0))</f>
        <v>0</v>
      </c>
      <c r="K1866" s="47" t="n">
        <f aca="false">IF(J1866=1,N(I1866)+ROW()/10000000,0)</f>
        <v>0</v>
      </c>
      <c r="L1866" s="47" t="str">
        <f aca="false">IF(AND(J1866=1,N(I1866)&gt;0),SUMIF($K$2:$K$5001,"&gt;="&amp;K1866,$I$2:$I$5001)/MAX(1,SUM($H$2:$H$5001)),"")</f>
        <v/>
      </c>
      <c r="M1866" s="47" t="str">
        <f aca="false">IF($A1866="","",INDEX($L$2:$L$5001,MATCH($A1866,$A$2:$A$5001,0)))</f>
        <v/>
      </c>
      <c r="N1866" s="48" t="str">
        <f aca="false">IF($A1866="","",IF(N(M1866)=0,"–",IF(M1866&lt;=Start!$D$20,"A",IF(M1866&lt;=Start!$D$21,"B","C"))))</f>
        <v/>
      </c>
      <c r="O1866" s="48" t="str">
        <f aca="false">IF($A1866="","",IF(NOT(ISNUMBER(F1866)),"Wert fehlt; ",IF(F1866&lt;=0,"Wert ist 0; ",""))&amp;IF(NOT(ISNUMBER(E1866)),"Bestand fehlt; ",IF(E1866&lt;0,"Bestand negativ; ",IF(E1866=0,"Nullbestand; ","")))&amp;IF(D1866="","Warengruppe fehlt; ","")&amp;IF(B1866="","Bezeichnung fehlt; ","")&amp;IF(COUNTIFS($A$2:$A$5001,$A1866,$C$2:$C$5001,C1866)&gt;1,"Artikel doppelt im selben Lager; ",""))</f>
        <v/>
      </c>
      <c r="P1866" s="47" t="n">
        <f aca="false">IF(OR($A1866="",D1866=""),0,IF(COUNTIF($D$2:D1866,D1866)=1,SUMIF($D$2:$D$5001,D1866,$H$2:$H$5001)+ROW()/10000000,0))</f>
        <v>0</v>
      </c>
      <c r="Q1866" s="47" t="n">
        <f aca="false">IF(OR($A1866="",C1866=""),0,IF(COUNTIF($C$2:C1866,C1866)=1,SUMIF($C$2:$C$5001,C1866,$H$2:$H$5001)+ROW()/10000000,0))</f>
        <v>0</v>
      </c>
    </row>
    <row r="1867" customFormat="false" ht="15" hidden="false" customHeight="false" outlineLevel="0" collapsed="false">
      <c r="A1867" s="43"/>
      <c r="B1867" s="44"/>
      <c r="C1867" s="44"/>
      <c r="D1867" s="44"/>
      <c r="E1867" s="44"/>
      <c r="F1867" s="44"/>
      <c r="G1867" s="44"/>
      <c r="H1867" s="46" t="str">
        <f aca="false">IF($A1867="","",IF(OR(NOT(ISNUMBER(E1867)),NOT(ISNUMBER(F1867))),"",MAX(0,E1867)*F1867))</f>
        <v/>
      </c>
      <c r="I1867" s="46" t="str">
        <f aca="false">IF($A1867="","",SUMIF($A$2:$A$5001,$A1867,$H$2:$H$5001))</f>
        <v/>
      </c>
      <c r="J1867" s="47" t="n">
        <f aca="false">IF($A1867="",0,IF(COUNTIF($A$2:A1867,$A1867)=1,1,0))</f>
        <v>0</v>
      </c>
      <c r="K1867" s="47" t="n">
        <f aca="false">IF(J1867=1,N(I1867)+ROW()/10000000,0)</f>
        <v>0</v>
      </c>
      <c r="L1867" s="47" t="str">
        <f aca="false">IF(AND(J1867=1,N(I1867)&gt;0),SUMIF($K$2:$K$5001,"&gt;="&amp;K1867,$I$2:$I$5001)/MAX(1,SUM($H$2:$H$5001)),"")</f>
        <v/>
      </c>
      <c r="M1867" s="47" t="str">
        <f aca="false">IF($A1867="","",INDEX($L$2:$L$5001,MATCH($A1867,$A$2:$A$5001,0)))</f>
        <v/>
      </c>
      <c r="N1867" s="48" t="str">
        <f aca="false">IF($A1867="","",IF(N(M1867)=0,"–",IF(M1867&lt;=Start!$D$20,"A",IF(M1867&lt;=Start!$D$21,"B","C"))))</f>
        <v/>
      </c>
      <c r="O1867" s="48" t="str">
        <f aca="false">IF($A1867="","",IF(NOT(ISNUMBER(F1867)),"Wert fehlt; ",IF(F1867&lt;=0,"Wert ist 0; ",""))&amp;IF(NOT(ISNUMBER(E1867)),"Bestand fehlt; ",IF(E1867&lt;0,"Bestand negativ; ",IF(E1867=0,"Nullbestand; ","")))&amp;IF(D1867="","Warengruppe fehlt; ","")&amp;IF(B1867="","Bezeichnung fehlt; ","")&amp;IF(COUNTIFS($A$2:$A$5001,$A1867,$C$2:$C$5001,C1867)&gt;1,"Artikel doppelt im selben Lager; ",""))</f>
        <v/>
      </c>
      <c r="P1867" s="47" t="n">
        <f aca="false">IF(OR($A1867="",D1867=""),0,IF(COUNTIF($D$2:D1867,D1867)=1,SUMIF($D$2:$D$5001,D1867,$H$2:$H$5001)+ROW()/10000000,0))</f>
        <v>0</v>
      </c>
      <c r="Q1867" s="47" t="n">
        <f aca="false">IF(OR($A1867="",C1867=""),0,IF(COUNTIF($C$2:C1867,C1867)=1,SUMIF($C$2:$C$5001,C1867,$H$2:$H$5001)+ROW()/10000000,0))</f>
        <v>0</v>
      </c>
    </row>
    <row r="1868" customFormat="false" ht="15" hidden="false" customHeight="false" outlineLevel="0" collapsed="false">
      <c r="A1868" s="43"/>
      <c r="B1868" s="44"/>
      <c r="C1868" s="44"/>
      <c r="D1868" s="44"/>
      <c r="E1868" s="44"/>
      <c r="F1868" s="44"/>
      <c r="G1868" s="44"/>
      <c r="H1868" s="46" t="str">
        <f aca="false">IF($A1868="","",IF(OR(NOT(ISNUMBER(E1868)),NOT(ISNUMBER(F1868))),"",MAX(0,E1868)*F1868))</f>
        <v/>
      </c>
      <c r="I1868" s="46" t="str">
        <f aca="false">IF($A1868="","",SUMIF($A$2:$A$5001,$A1868,$H$2:$H$5001))</f>
        <v/>
      </c>
      <c r="J1868" s="47" t="n">
        <f aca="false">IF($A1868="",0,IF(COUNTIF($A$2:A1868,$A1868)=1,1,0))</f>
        <v>0</v>
      </c>
      <c r="K1868" s="47" t="n">
        <f aca="false">IF(J1868=1,N(I1868)+ROW()/10000000,0)</f>
        <v>0</v>
      </c>
      <c r="L1868" s="47" t="str">
        <f aca="false">IF(AND(J1868=1,N(I1868)&gt;0),SUMIF($K$2:$K$5001,"&gt;="&amp;K1868,$I$2:$I$5001)/MAX(1,SUM($H$2:$H$5001)),"")</f>
        <v/>
      </c>
      <c r="M1868" s="47" t="str">
        <f aca="false">IF($A1868="","",INDEX($L$2:$L$5001,MATCH($A1868,$A$2:$A$5001,0)))</f>
        <v/>
      </c>
      <c r="N1868" s="48" t="str">
        <f aca="false">IF($A1868="","",IF(N(M1868)=0,"–",IF(M1868&lt;=Start!$D$20,"A",IF(M1868&lt;=Start!$D$21,"B","C"))))</f>
        <v/>
      </c>
      <c r="O1868" s="48" t="str">
        <f aca="false">IF($A1868="","",IF(NOT(ISNUMBER(F1868)),"Wert fehlt; ",IF(F1868&lt;=0,"Wert ist 0; ",""))&amp;IF(NOT(ISNUMBER(E1868)),"Bestand fehlt; ",IF(E1868&lt;0,"Bestand negativ; ",IF(E1868=0,"Nullbestand; ","")))&amp;IF(D1868="","Warengruppe fehlt; ","")&amp;IF(B1868="","Bezeichnung fehlt; ","")&amp;IF(COUNTIFS($A$2:$A$5001,$A1868,$C$2:$C$5001,C1868)&gt;1,"Artikel doppelt im selben Lager; ",""))</f>
        <v/>
      </c>
      <c r="P1868" s="47" t="n">
        <f aca="false">IF(OR($A1868="",D1868=""),0,IF(COUNTIF($D$2:D1868,D1868)=1,SUMIF($D$2:$D$5001,D1868,$H$2:$H$5001)+ROW()/10000000,0))</f>
        <v>0</v>
      </c>
      <c r="Q1868" s="47" t="n">
        <f aca="false">IF(OR($A1868="",C1868=""),0,IF(COUNTIF($C$2:C1868,C1868)=1,SUMIF($C$2:$C$5001,C1868,$H$2:$H$5001)+ROW()/10000000,0))</f>
        <v>0</v>
      </c>
    </row>
    <row r="1869" customFormat="false" ht="15" hidden="false" customHeight="false" outlineLevel="0" collapsed="false">
      <c r="A1869" s="43"/>
      <c r="B1869" s="44"/>
      <c r="C1869" s="44"/>
      <c r="D1869" s="44"/>
      <c r="E1869" s="44"/>
      <c r="F1869" s="44"/>
      <c r="G1869" s="44"/>
      <c r="H1869" s="46" t="str">
        <f aca="false">IF($A1869="","",IF(OR(NOT(ISNUMBER(E1869)),NOT(ISNUMBER(F1869))),"",MAX(0,E1869)*F1869))</f>
        <v/>
      </c>
      <c r="I1869" s="46" t="str">
        <f aca="false">IF($A1869="","",SUMIF($A$2:$A$5001,$A1869,$H$2:$H$5001))</f>
        <v/>
      </c>
      <c r="J1869" s="47" t="n">
        <f aca="false">IF($A1869="",0,IF(COUNTIF($A$2:A1869,$A1869)=1,1,0))</f>
        <v>0</v>
      </c>
      <c r="K1869" s="47" t="n">
        <f aca="false">IF(J1869=1,N(I1869)+ROW()/10000000,0)</f>
        <v>0</v>
      </c>
      <c r="L1869" s="47" t="str">
        <f aca="false">IF(AND(J1869=1,N(I1869)&gt;0),SUMIF($K$2:$K$5001,"&gt;="&amp;K1869,$I$2:$I$5001)/MAX(1,SUM($H$2:$H$5001)),"")</f>
        <v/>
      </c>
      <c r="M1869" s="47" t="str">
        <f aca="false">IF($A1869="","",INDEX($L$2:$L$5001,MATCH($A1869,$A$2:$A$5001,0)))</f>
        <v/>
      </c>
      <c r="N1869" s="48" t="str">
        <f aca="false">IF($A1869="","",IF(N(M1869)=0,"–",IF(M1869&lt;=Start!$D$20,"A",IF(M1869&lt;=Start!$D$21,"B","C"))))</f>
        <v/>
      </c>
      <c r="O1869" s="48" t="str">
        <f aca="false">IF($A1869="","",IF(NOT(ISNUMBER(F1869)),"Wert fehlt; ",IF(F1869&lt;=0,"Wert ist 0; ",""))&amp;IF(NOT(ISNUMBER(E1869)),"Bestand fehlt; ",IF(E1869&lt;0,"Bestand negativ; ",IF(E1869=0,"Nullbestand; ","")))&amp;IF(D1869="","Warengruppe fehlt; ","")&amp;IF(B1869="","Bezeichnung fehlt; ","")&amp;IF(COUNTIFS($A$2:$A$5001,$A1869,$C$2:$C$5001,C1869)&gt;1,"Artikel doppelt im selben Lager; ",""))</f>
        <v/>
      </c>
      <c r="P1869" s="47" t="n">
        <f aca="false">IF(OR($A1869="",D1869=""),0,IF(COUNTIF($D$2:D1869,D1869)=1,SUMIF($D$2:$D$5001,D1869,$H$2:$H$5001)+ROW()/10000000,0))</f>
        <v>0</v>
      </c>
      <c r="Q1869" s="47" t="n">
        <f aca="false">IF(OR($A1869="",C1869=""),0,IF(COUNTIF($C$2:C1869,C1869)=1,SUMIF($C$2:$C$5001,C1869,$H$2:$H$5001)+ROW()/10000000,0))</f>
        <v>0</v>
      </c>
    </row>
    <row r="1870" customFormat="false" ht="15" hidden="false" customHeight="false" outlineLevel="0" collapsed="false">
      <c r="A1870" s="43"/>
      <c r="B1870" s="44"/>
      <c r="C1870" s="44"/>
      <c r="D1870" s="44"/>
      <c r="E1870" s="44"/>
      <c r="F1870" s="44"/>
      <c r="G1870" s="44"/>
      <c r="H1870" s="46" t="str">
        <f aca="false">IF($A1870="","",IF(OR(NOT(ISNUMBER(E1870)),NOT(ISNUMBER(F1870))),"",MAX(0,E1870)*F1870))</f>
        <v/>
      </c>
      <c r="I1870" s="46" t="str">
        <f aca="false">IF($A1870="","",SUMIF($A$2:$A$5001,$A1870,$H$2:$H$5001))</f>
        <v/>
      </c>
      <c r="J1870" s="47" t="n">
        <f aca="false">IF($A1870="",0,IF(COUNTIF($A$2:A1870,$A1870)=1,1,0))</f>
        <v>0</v>
      </c>
      <c r="K1870" s="47" t="n">
        <f aca="false">IF(J1870=1,N(I1870)+ROW()/10000000,0)</f>
        <v>0</v>
      </c>
      <c r="L1870" s="47" t="str">
        <f aca="false">IF(AND(J1870=1,N(I1870)&gt;0),SUMIF($K$2:$K$5001,"&gt;="&amp;K1870,$I$2:$I$5001)/MAX(1,SUM($H$2:$H$5001)),"")</f>
        <v/>
      </c>
      <c r="M1870" s="47" t="str">
        <f aca="false">IF($A1870="","",INDEX($L$2:$L$5001,MATCH($A1870,$A$2:$A$5001,0)))</f>
        <v/>
      </c>
      <c r="N1870" s="48" t="str">
        <f aca="false">IF($A1870="","",IF(N(M1870)=0,"–",IF(M1870&lt;=Start!$D$20,"A",IF(M1870&lt;=Start!$D$21,"B","C"))))</f>
        <v/>
      </c>
      <c r="O1870" s="48" t="str">
        <f aca="false">IF($A1870="","",IF(NOT(ISNUMBER(F1870)),"Wert fehlt; ",IF(F1870&lt;=0,"Wert ist 0; ",""))&amp;IF(NOT(ISNUMBER(E1870)),"Bestand fehlt; ",IF(E1870&lt;0,"Bestand negativ; ",IF(E1870=0,"Nullbestand; ","")))&amp;IF(D1870="","Warengruppe fehlt; ","")&amp;IF(B1870="","Bezeichnung fehlt; ","")&amp;IF(COUNTIFS($A$2:$A$5001,$A1870,$C$2:$C$5001,C1870)&gt;1,"Artikel doppelt im selben Lager; ",""))</f>
        <v/>
      </c>
      <c r="P1870" s="47" t="n">
        <f aca="false">IF(OR($A1870="",D1870=""),0,IF(COUNTIF($D$2:D1870,D1870)=1,SUMIF($D$2:$D$5001,D1870,$H$2:$H$5001)+ROW()/10000000,0))</f>
        <v>0</v>
      </c>
      <c r="Q1870" s="47" t="n">
        <f aca="false">IF(OR($A1870="",C1870=""),0,IF(COUNTIF($C$2:C1870,C1870)=1,SUMIF($C$2:$C$5001,C1870,$H$2:$H$5001)+ROW()/10000000,0))</f>
        <v>0</v>
      </c>
    </row>
    <row r="1871" customFormat="false" ht="15" hidden="false" customHeight="false" outlineLevel="0" collapsed="false">
      <c r="A1871" s="43"/>
      <c r="B1871" s="44"/>
      <c r="C1871" s="44"/>
      <c r="D1871" s="44"/>
      <c r="E1871" s="44"/>
      <c r="F1871" s="44"/>
      <c r="G1871" s="44"/>
      <c r="H1871" s="46" t="str">
        <f aca="false">IF($A1871="","",IF(OR(NOT(ISNUMBER(E1871)),NOT(ISNUMBER(F1871))),"",MAX(0,E1871)*F1871))</f>
        <v/>
      </c>
      <c r="I1871" s="46" t="str">
        <f aca="false">IF($A1871="","",SUMIF($A$2:$A$5001,$A1871,$H$2:$H$5001))</f>
        <v/>
      </c>
      <c r="J1871" s="47" t="n">
        <f aca="false">IF($A1871="",0,IF(COUNTIF($A$2:A1871,$A1871)=1,1,0))</f>
        <v>0</v>
      </c>
      <c r="K1871" s="47" t="n">
        <f aca="false">IF(J1871=1,N(I1871)+ROW()/10000000,0)</f>
        <v>0</v>
      </c>
      <c r="L1871" s="47" t="str">
        <f aca="false">IF(AND(J1871=1,N(I1871)&gt;0),SUMIF($K$2:$K$5001,"&gt;="&amp;K1871,$I$2:$I$5001)/MAX(1,SUM($H$2:$H$5001)),"")</f>
        <v/>
      </c>
      <c r="M1871" s="47" t="str">
        <f aca="false">IF($A1871="","",INDEX($L$2:$L$5001,MATCH($A1871,$A$2:$A$5001,0)))</f>
        <v/>
      </c>
      <c r="N1871" s="48" t="str">
        <f aca="false">IF($A1871="","",IF(N(M1871)=0,"–",IF(M1871&lt;=Start!$D$20,"A",IF(M1871&lt;=Start!$D$21,"B","C"))))</f>
        <v/>
      </c>
      <c r="O1871" s="48" t="str">
        <f aca="false">IF($A1871="","",IF(NOT(ISNUMBER(F1871)),"Wert fehlt; ",IF(F1871&lt;=0,"Wert ist 0; ",""))&amp;IF(NOT(ISNUMBER(E1871)),"Bestand fehlt; ",IF(E1871&lt;0,"Bestand negativ; ",IF(E1871=0,"Nullbestand; ","")))&amp;IF(D1871="","Warengruppe fehlt; ","")&amp;IF(B1871="","Bezeichnung fehlt; ","")&amp;IF(COUNTIFS($A$2:$A$5001,$A1871,$C$2:$C$5001,C1871)&gt;1,"Artikel doppelt im selben Lager; ",""))</f>
        <v/>
      </c>
      <c r="P1871" s="47" t="n">
        <f aca="false">IF(OR($A1871="",D1871=""),0,IF(COUNTIF($D$2:D1871,D1871)=1,SUMIF($D$2:$D$5001,D1871,$H$2:$H$5001)+ROW()/10000000,0))</f>
        <v>0</v>
      </c>
      <c r="Q1871" s="47" t="n">
        <f aca="false">IF(OR($A1871="",C1871=""),0,IF(COUNTIF($C$2:C1871,C1871)=1,SUMIF($C$2:$C$5001,C1871,$H$2:$H$5001)+ROW()/10000000,0))</f>
        <v>0</v>
      </c>
    </row>
    <row r="1872" customFormat="false" ht="15" hidden="false" customHeight="false" outlineLevel="0" collapsed="false">
      <c r="A1872" s="43"/>
      <c r="B1872" s="44"/>
      <c r="C1872" s="44"/>
      <c r="D1872" s="44"/>
      <c r="E1872" s="44"/>
      <c r="F1872" s="44"/>
      <c r="G1872" s="44"/>
      <c r="H1872" s="46" t="str">
        <f aca="false">IF($A1872="","",IF(OR(NOT(ISNUMBER(E1872)),NOT(ISNUMBER(F1872))),"",MAX(0,E1872)*F1872))</f>
        <v/>
      </c>
      <c r="I1872" s="46" t="str">
        <f aca="false">IF($A1872="","",SUMIF($A$2:$A$5001,$A1872,$H$2:$H$5001))</f>
        <v/>
      </c>
      <c r="J1872" s="47" t="n">
        <f aca="false">IF($A1872="",0,IF(COUNTIF($A$2:A1872,$A1872)=1,1,0))</f>
        <v>0</v>
      </c>
      <c r="K1872" s="47" t="n">
        <f aca="false">IF(J1872=1,N(I1872)+ROW()/10000000,0)</f>
        <v>0</v>
      </c>
      <c r="L1872" s="47" t="str">
        <f aca="false">IF(AND(J1872=1,N(I1872)&gt;0),SUMIF($K$2:$K$5001,"&gt;="&amp;K1872,$I$2:$I$5001)/MAX(1,SUM($H$2:$H$5001)),"")</f>
        <v/>
      </c>
      <c r="M1872" s="47" t="str">
        <f aca="false">IF($A1872="","",INDEX($L$2:$L$5001,MATCH($A1872,$A$2:$A$5001,0)))</f>
        <v/>
      </c>
      <c r="N1872" s="48" t="str">
        <f aca="false">IF($A1872="","",IF(N(M1872)=0,"–",IF(M1872&lt;=Start!$D$20,"A",IF(M1872&lt;=Start!$D$21,"B","C"))))</f>
        <v/>
      </c>
      <c r="O1872" s="48" t="str">
        <f aca="false">IF($A1872="","",IF(NOT(ISNUMBER(F1872)),"Wert fehlt; ",IF(F1872&lt;=0,"Wert ist 0; ",""))&amp;IF(NOT(ISNUMBER(E1872)),"Bestand fehlt; ",IF(E1872&lt;0,"Bestand negativ; ",IF(E1872=0,"Nullbestand; ","")))&amp;IF(D1872="","Warengruppe fehlt; ","")&amp;IF(B1872="","Bezeichnung fehlt; ","")&amp;IF(COUNTIFS($A$2:$A$5001,$A1872,$C$2:$C$5001,C1872)&gt;1,"Artikel doppelt im selben Lager; ",""))</f>
        <v/>
      </c>
      <c r="P1872" s="47" t="n">
        <f aca="false">IF(OR($A1872="",D1872=""),0,IF(COUNTIF($D$2:D1872,D1872)=1,SUMIF($D$2:$D$5001,D1872,$H$2:$H$5001)+ROW()/10000000,0))</f>
        <v>0</v>
      </c>
      <c r="Q1872" s="47" t="n">
        <f aca="false">IF(OR($A1872="",C1872=""),0,IF(COUNTIF($C$2:C1872,C1872)=1,SUMIF($C$2:$C$5001,C1872,$H$2:$H$5001)+ROW()/10000000,0))</f>
        <v>0</v>
      </c>
    </row>
    <row r="1873" customFormat="false" ht="15" hidden="false" customHeight="false" outlineLevel="0" collapsed="false">
      <c r="A1873" s="43"/>
      <c r="B1873" s="44"/>
      <c r="C1873" s="44"/>
      <c r="D1873" s="44"/>
      <c r="E1873" s="44"/>
      <c r="F1873" s="44"/>
      <c r="G1873" s="44"/>
      <c r="H1873" s="46" t="str">
        <f aca="false">IF($A1873="","",IF(OR(NOT(ISNUMBER(E1873)),NOT(ISNUMBER(F1873))),"",MAX(0,E1873)*F1873))</f>
        <v/>
      </c>
      <c r="I1873" s="46" t="str">
        <f aca="false">IF($A1873="","",SUMIF($A$2:$A$5001,$A1873,$H$2:$H$5001))</f>
        <v/>
      </c>
      <c r="J1873" s="47" t="n">
        <f aca="false">IF($A1873="",0,IF(COUNTIF($A$2:A1873,$A1873)=1,1,0))</f>
        <v>0</v>
      </c>
      <c r="K1873" s="47" t="n">
        <f aca="false">IF(J1873=1,N(I1873)+ROW()/10000000,0)</f>
        <v>0</v>
      </c>
      <c r="L1873" s="47" t="str">
        <f aca="false">IF(AND(J1873=1,N(I1873)&gt;0),SUMIF($K$2:$K$5001,"&gt;="&amp;K1873,$I$2:$I$5001)/MAX(1,SUM($H$2:$H$5001)),"")</f>
        <v/>
      </c>
      <c r="M1873" s="47" t="str">
        <f aca="false">IF($A1873="","",INDEX($L$2:$L$5001,MATCH($A1873,$A$2:$A$5001,0)))</f>
        <v/>
      </c>
      <c r="N1873" s="48" t="str">
        <f aca="false">IF($A1873="","",IF(N(M1873)=0,"–",IF(M1873&lt;=Start!$D$20,"A",IF(M1873&lt;=Start!$D$21,"B","C"))))</f>
        <v/>
      </c>
      <c r="O1873" s="48" t="str">
        <f aca="false">IF($A1873="","",IF(NOT(ISNUMBER(F1873)),"Wert fehlt; ",IF(F1873&lt;=0,"Wert ist 0; ",""))&amp;IF(NOT(ISNUMBER(E1873)),"Bestand fehlt; ",IF(E1873&lt;0,"Bestand negativ; ",IF(E1873=0,"Nullbestand; ","")))&amp;IF(D1873="","Warengruppe fehlt; ","")&amp;IF(B1873="","Bezeichnung fehlt; ","")&amp;IF(COUNTIFS($A$2:$A$5001,$A1873,$C$2:$C$5001,C1873)&gt;1,"Artikel doppelt im selben Lager; ",""))</f>
        <v/>
      </c>
      <c r="P1873" s="47" t="n">
        <f aca="false">IF(OR($A1873="",D1873=""),0,IF(COUNTIF($D$2:D1873,D1873)=1,SUMIF($D$2:$D$5001,D1873,$H$2:$H$5001)+ROW()/10000000,0))</f>
        <v>0</v>
      </c>
      <c r="Q1873" s="47" t="n">
        <f aca="false">IF(OR($A1873="",C1873=""),0,IF(COUNTIF($C$2:C1873,C1873)=1,SUMIF($C$2:$C$5001,C1873,$H$2:$H$5001)+ROW()/10000000,0))</f>
        <v>0</v>
      </c>
    </row>
    <row r="1874" customFormat="false" ht="15" hidden="false" customHeight="false" outlineLevel="0" collapsed="false">
      <c r="A1874" s="43"/>
      <c r="B1874" s="44"/>
      <c r="C1874" s="44"/>
      <c r="D1874" s="44"/>
      <c r="E1874" s="44"/>
      <c r="F1874" s="44"/>
      <c r="G1874" s="44"/>
      <c r="H1874" s="46" t="str">
        <f aca="false">IF($A1874="","",IF(OR(NOT(ISNUMBER(E1874)),NOT(ISNUMBER(F1874))),"",MAX(0,E1874)*F1874))</f>
        <v/>
      </c>
      <c r="I1874" s="46" t="str">
        <f aca="false">IF($A1874="","",SUMIF($A$2:$A$5001,$A1874,$H$2:$H$5001))</f>
        <v/>
      </c>
      <c r="J1874" s="47" t="n">
        <f aca="false">IF($A1874="",0,IF(COUNTIF($A$2:A1874,$A1874)=1,1,0))</f>
        <v>0</v>
      </c>
      <c r="K1874" s="47" t="n">
        <f aca="false">IF(J1874=1,N(I1874)+ROW()/10000000,0)</f>
        <v>0</v>
      </c>
      <c r="L1874" s="47" t="str">
        <f aca="false">IF(AND(J1874=1,N(I1874)&gt;0),SUMIF($K$2:$K$5001,"&gt;="&amp;K1874,$I$2:$I$5001)/MAX(1,SUM($H$2:$H$5001)),"")</f>
        <v/>
      </c>
      <c r="M1874" s="47" t="str">
        <f aca="false">IF($A1874="","",INDEX($L$2:$L$5001,MATCH($A1874,$A$2:$A$5001,0)))</f>
        <v/>
      </c>
      <c r="N1874" s="48" t="str">
        <f aca="false">IF($A1874="","",IF(N(M1874)=0,"–",IF(M1874&lt;=Start!$D$20,"A",IF(M1874&lt;=Start!$D$21,"B","C"))))</f>
        <v/>
      </c>
      <c r="O1874" s="48" t="str">
        <f aca="false">IF($A1874="","",IF(NOT(ISNUMBER(F1874)),"Wert fehlt; ",IF(F1874&lt;=0,"Wert ist 0; ",""))&amp;IF(NOT(ISNUMBER(E1874)),"Bestand fehlt; ",IF(E1874&lt;0,"Bestand negativ; ",IF(E1874=0,"Nullbestand; ","")))&amp;IF(D1874="","Warengruppe fehlt; ","")&amp;IF(B1874="","Bezeichnung fehlt; ","")&amp;IF(COUNTIFS($A$2:$A$5001,$A1874,$C$2:$C$5001,C1874)&gt;1,"Artikel doppelt im selben Lager; ",""))</f>
        <v/>
      </c>
      <c r="P1874" s="47" t="n">
        <f aca="false">IF(OR($A1874="",D1874=""),0,IF(COUNTIF($D$2:D1874,D1874)=1,SUMIF($D$2:$D$5001,D1874,$H$2:$H$5001)+ROW()/10000000,0))</f>
        <v>0</v>
      </c>
      <c r="Q1874" s="47" t="n">
        <f aca="false">IF(OR($A1874="",C1874=""),0,IF(COUNTIF($C$2:C1874,C1874)=1,SUMIF($C$2:$C$5001,C1874,$H$2:$H$5001)+ROW()/10000000,0))</f>
        <v>0</v>
      </c>
    </row>
    <row r="1875" customFormat="false" ht="15" hidden="false" customHeight="false" outlineLevel="0" collapsed="false">
      <c r="A1875" s="43"/>
      <c r="B1875" s="44"/>
      <c r="C1875" s="44"/>
      <c r="D1875" s="44"/>
      <c r="E1875" s="44"/>
      <c r="F1875" s="44"/>
      <c r="G1875" s="44"/>
      <c r="H1875" s="46" t="str">
        <f aca="false">IF($A1875="","",IF(OR(NOT(ISNUMBER(E1875)),NOT(ISNUMBER(F1875))),"",MAX(0,E1875)*F1875))</f>
        <v/>
      </c>
      <c r="I1875" s="46" t="str">
        <f aca="false">IF($A1875="","",SUMIF($A$2:$A$5001,$A1875,$H$2:$H$5001))</f>
        <v/>
      </c>
      <c r="J1875" s="47" t="n">
        <f aca="false">IF($A1875="",0,IF(COUNTIF($A$2:A1875,$A1875)=1,1,0))</f>
        <v>0</v>
      </c>
      <c r="K1875" s="47" t="n">
        <f aca="false">IF(J1875=1,N(I1875)+ROW()/10000000,0)</f>
        <v>0</v>
      </c>
      <c r="L1875" s="47" t="str">
        <f aca="false">IF(AND(J1875=1,N(I1875)&gt;0),SUMIF($K$2:$K$5001,"&gt;="&amp;K1875,$I$2:$I$5001)/MAX(1,SUM($H$2:$H$5001)),"")</f>
        <v/>
      </c>
      <c r="M1875" s="47" t="str">
        <f aca="false">IF($A1875="","",INDEX($L$2:$L$5001,MATCH($A1875,$A$2:$A$5001,0)))</f>
        <v/>
      </c>
      <c r="N1875" s="48" t="str">
        <f aca="false">IF($A1875="","",IF(N(M1875)=0,"–",IF(M1875&lt;=Start!$D$20,"A",IF(M1875&lt;=Start!$D$21,"B","C"))))</f>
        <v/>
      </c>
      <c r="O1875" s="48" t="str">
        <f aca="false">IF($A1875="","",IF(NOT(ISNUMBER(F1875)),"Wert fehlt; ",IF(F1875&lt;=0,"Wert ist 0; ",""))&amp;IF(NOT(ISNUMBER(E1875)),"Bestand fehlt; ",IF(E1875&lt;0,"Bestand negativ; ",IF(E1875=0,"Nullbestand; ","")))&amp;IF(D1875="","Warengruppe fehlt; ","")&amp;IF(B1875="","Bezeichnung fehlt; ","")&amp;IF(COUNTIFS($A$2:$A$5001,$A1875,$C$2:$C$5001,C1875)&gt;1,"Artikel doppelt im selben Lager; ",""))</f>
        <v/>
      </c>
      <c r="P1875" s="47" t="n">
        <f aca="false">IF(OR($A1875="",D1875=""),0,IF(COUNTIF($D$2:D1875,D1875)=1,SUMIF($D$2:$D$5001,D1875,$H$2:$H$5001)+ROW()/10000000,0))</f>
        <v>0</v>
      </c>
      <c r="Q1875" s="47" t="n">
        <f aca="false">IF(OR($A1875="",C1875=""),0,IF(COUNTIF($C$2:C1875,C1875)=1,SUMIF($C$2:$C$5001,C1875,$H$2:$H$5001)+ROW()/10000000,0))</f>
        <v>0</v>
      </c>
    </row>
    <row r="1876" customFormat="false" ht="15" hidden="false" customHeight="false" outlineLevel="0" collapsed="false">
      <c r="A1876" s="43"/>
      <c r="B1876" s="44"/>
      <c r="C1876" s="44"/>
      <c r="D1876" s="44"/>
      <c r="E1876" s="44"/>
      <c r="F1876" s="44"/>
      <c r="G1876" s="44"/>
      <c r="H1876" s="46" t="str">
        <f aca="false">IF($A1876="","",IF(OR(NOT(ISNUMBER(E1876)),NOT(ISNUMBER(F1876))),"",MAX(0,E1876)*F1876))</f>
        <v/>
      </c>
      <c r="I1876" s="46" t="str">
        <f aca="false">IF($A1876="","",SUMIF($A$2:$A$5001,$A1876,$H$2:$H$5001))</f>
        <v/>
      </c>
      <c r="J1876" s="47" t="n">
        <f aca="false">IF($A1876="",0,IF(COUNTIF($A$2:A1876,$A1876)=1,1,0))</f>
        <v>0</v>
      </c>
      <c r="K1876" s="47" t="n">
        <f aca="false">IF(J1876=1,N(I1876)+ROW()/10000000,0)</f>
        <v>0</v>
      </c>
      <c r="L1876" s="47" t="str">
        <f aca="false">IF(AND(J1876=1,N(I1876)&gt;0),SUMIF($K$2:$K$5001,"&gt;="&amp;K1876,$I$2:$I$5001)/MAX(1,SUM($H$2:$H$5001)),"")</f>
        <v/>
      </c>
      <c r="M1876" s="47" t="str">
        <f aca="false">IF($A1876="","",INDEX($L$2:$L$5001,MATCH($A1876,$A$2:$A$5001,0)))</f>
        <v/>
      </c>
      <c r="N1876" s="48" t="str">
        <f aca="false">IF($A1876="","",IF(N(M1876)=0,"–",IF(M1876&lt;=Start!$D$20,"A",IF(M1876&lt;=Start!$D$21,"B","C"))))</f>
        <v/>
      </c>
      <c r="O1876" s="48" t="str">
        <f aca="false">IF($A1876="","",IF(NOT(ISNUMBER(F1876)),"Wert fehlt; ",IF(F1876&lt;=0,"Wert ist 0; ",""))&amp;IF(NOT(ISNUMBER(E1876)),"Bestand fehlt; ",IF(E1876&lt;0,"Bestand negativ; ",IF(E1876=0,"Nullbestand; ","")))&amp;IF(D1876="","Warengruppe fehlt; ","")&amp;IF(B1876="","Bezeichnung fehlt; ","")&amp;IF(COUNTIFS($A$2:$A$5001,$A1876,$C$2:$C$5001,C1876)&gt;1,"Artikel doppelt im selben Lager; ",""))</f>
        <v/>
      </c>
      <c r="P1876" s="47" t="n">
        <f aca="false">IF(OR($A1876="",D1876=""),0,IF(COUNTIF($D$2:D1876,D1876)=1,SUMIF($D$2:$D$5001,D1876,$H$2:$H$5001)+ROW()/10000000,0))</f>
        <v>0</v>
      </c>
      <c r="Q1876" s="47" t="n">
        <f aca="false">IF(OR($A1876="",C1876=""),0,IF(COUNTIF($C$2:C1876,C1876)=1,SUMIF($C$2:$C$5001,C1876,$H$2:$H$5001)+ROW()/10000000,0))</f>
        <v>0</v>
      </c>
    </row>
    <row r="1877" customFormat="false" ht="15" hidden="false" customHeight="false" outlineLevel="0" collapsed="false">
      <c r="A1877" s="43"/>
      <c r="B1877" s="44"/>
      <c r="C1877" s="44"/>
      <c r="D1877" s="44"/>
      <c r="E1877" s="44"/>
      <c r="F1877" s="44"/>
      <c r="G1877" s="44"/>
      <c r="H1877" s="46" t="str">
        <f aca="false">IF($A1877="","",IF(OR(NOT(ISNUMBER(E1877)),NOT(ISNUMBER(F1877))),"",MAX(0,E1877)*F1877))</f>
        <v/>
      </c>
      <c r="I1877" s="46" t="str">
        <f aca="false">IF($A1877="","",SUMIF($A$2:$A$5001,$A1877,$H$2:$H$5001))</f>
        <v/>
      </c>
      <c r="J1877" s="47" t="n">
        <f aca="false">IF($A1877="",0,IF(COUNTIF($A$2:A1877,$A1877)=1,1,0))</f>
        <v>0</v>
      </c>
      <c r="K1877" s="47" t="n">
        <f aca="false">IF(J1877=1,N(I1877)+ROW()/10000000,0)</f>
        <v>0</v>
      </c>
      <c r="L1877" s="47" t="str">
        <f aca="false">IF(AND(J1877=1,N(I1877)&gt;0),SUMIF($K$2:$K$5001,"&gt;="&amp;K1877,$I$2:$I$5001)/MAX(1,SUM($H$2:$H$5001)),"")</f>
        <v/>
      </c>
      <c r="M1877" s="47" t="str">
        <f aca="false">IF($A1877="","",INDEX($L$2:$L$5001,MATCH($A1877,$A$2:$A$5001,0)))</f>
        <v/>
      </c>
      <c r="N1877" s="48" t="str">
        <f aca="false">IF($A1877="","",IF(N(M1877)=0,"–",IF(M1877&lt;=Start!$D$20,"A",IF(M1877&lt;=Start!$D$21,"B","C"))))</f>
        <v/>
      </c>
      <c r="O1877" s="48" t="str">
        <f aca="false">IF($A1877="","",IF(NOT(ISNUMBER(F1877)),"Wert fehlt; ",IF(F1877&lt;=0,"Wert ist 0; ",""))&amp;IF(NOT(ISNUMBER(E1877)),"Bestand fehlt; ",IF(E1877&lt;0,"Bestand negativ; ",IF(E1877=0,"Nullbestand; ","")))&amp;IF(D1877="","Warengruppe fehlt; ","")&amp;IF(B1877="","Bezeichnung fehlt; ","")&amp;IF(COUNTIFS($A$2:$A$5001,$A1877,$C$2:$C$5001,C1877)&gt;1,"Artikel doppelt im selben Lager; ",""))</f>
        <v/>
      </c>
      <c r="P1877" s="47" t="n">
        <f aca="false">IF(OR($A1877="",D1877=""),0,IF(COUNTIF($D$2:D1877,D1877)=1,SUMIF($D$2:$D$5001,D1877,$H$2:$H$5001)+ROW()/10000000,0))</f>
        <v>0</v>
      </c>
      <c r="Q1877" s="47" t="n">
        <f aca="false">IF(OR($A1877="",C1877=""),0,IF(COUNTIF($C$2:C1877,C1877)=1,SUMIF($C$2:$C$5001,C1877,$H$2:$H$5001)+ROW()/10000000,0))</f>
        <v>0</v>
      </c>
    </row>
    <row r="1878" customFormat="false" ht="15" hidden="false" customHeight="false" outlineLevel="0" collapsed="false">
      <c r="A1878" s="43"/>
      <c r="B1878" s="44"/>
      <c r="C1878" s="44"/>
      <c r="D1878" s="44"/>
      <c r="E1878" s="44"/>
      <c r="F1878" s="44"/>
      <c r="G1878" s="44"/>
      <c r="H1878" s="46" t="str">
        <f aca="false">IF($A1878="","",IF(OR(NOT(ISNUMBER(E1878)),NOT(ISNUMBER(F1878))),"",MAX(0,E1878)*F1878))</f>
        <v/>
      </c>
      <c r="I1878" s="46" t="str">
        <f aca="false">IF($A1878="","",SUMIF($A$2:$A$5001,$A1878,$H$2:$H$5001))</f>
        <v/>
      </c>
      <c r="J1878" s="47" t="n">
        <f aca="false">IF($A1878="",0,IF(COUNTIF($A$2:A1878,$A1878)=1,1,0))</f>
        <v>0</v>
      </c>
      <c r="K1878" s="47" t="n">
        <f aca="false">IF(J1878=1,N(I1878)+ROW()/10000000,0)</f>
        <v>0</v>
      </c>
      <c r="L1878" s="47" t="str">
        <f aca="false">IF(AND(J1878=1,N(I1878)&gt;0),SUMIF($K$2:$K$5001,"&gt;="&amp;K1878,$I$2:$I$5001)/MAX(1,SUM($H$2:$H$5001)),"")</f>
        <v/>
      </c>
      <c r="M1878" s="47" t="str">
        <f aca="false">IF($A1878="","",INDEX($L$2:$L$5001,MATCH($A1878,$A$2:$A$5001,0)))</f>
        <v/>
      </c>
      <c r="N1878" s="48" t="str">
        <f aca="false">IF($A1878="","",IF(N(M1878)=0,"–",IF(M1878&lt;=Start!$D$20,"A",IF(M1878&lt;=Start!$D$21,"B","C"))))</f>
        <v/>
      </c>
      <c r="O1878" s="48" t="str">
        <f aca="false">IF($A1878="","",IF(NOT(ISNUMBER(F1878)),"Wert fehlt; ",IF(F1878&lt;=0,"Wert ist 0; ",""))&amp;IF(NOT(ISNUMBER(E1878)),"Bestand fehlt; ",IF(E1878&lt;0,"Bestand negativ; ",IF(E1878=0,"Nullbestand; ","")))&amp;IF(D1878="","Warengruppe fehlt; ","")&amp;IF(B1878="","Bezeichnung fehlt; ","")&amp;IF(COUNTIFS($A$2:$A$5001,$A1878,$C$2:$C$5001,C1878)&gt;1,"Artikel doppelt im selben Lager; ",""))</f>
        <v/>
      </c>
      <c r="P1878" s="47" t="n">
        <f aca="false">IF(OR($A1878="",D1878=""),0,IF(COUNTIF($D$2:D1878,D1878)=1,SUMIF($D$2:$D$5001,D1878,$H$2:$H$5001)+ROW()/10000000,0))</f>
        <v>0</v>
      </c>
      <c r="Q1878" s="47" t="n">
        <f aca="false">IF(OR($A1878="",C1878=""),0,IF(COUNTIF($C$2:C1878,C1878)=1,SUMIF($C$2:$C$5001,C1878,$H$2:$H$5001)+ROW()/10000000,0))</f>
        <v>0</v>
      </c>
    </row>
    <row r="1879" customFormat="false" ht="15" hidden="false" customHeight="false" outlineLevel="0" collapsed="false">
      <c r="A1879" s="43"/>
      <c r="B1879" s="44"/>
      <c r="C1879" s="44"/>
      <c r="D1879" s="44"/>
      <c r="E1879" s="44"/>
      <c r="F1879" s="44"/>
      <c r="G1879" s="44"/>
      <c r="H1879" s="46" t="str">
        <f aca="false">IF($A1879="","",IF(OR(NOT(ISNUMBER(E1879)),NOT(ISNUMBER(F1879))),"",MAX(0,E1879)*F1879))</f>
        <v/>
      </c>
      <c r="I1879" s="46" t="str">
        <f aca="false">IF($A1879="","",SUMIF($A$2:$A$5001,$A1879,$H$2:$H$5001))</f>
        <v/>
      </c>
      <c r="J1879" s="47" t="n">
        <f aca="false">IF($A1879="",0,IF(COUNTIF($A$2:A1879,$A1879)=1,1,0))</f>
        <v>0</v>
      </c>
      <c r="K1879" s="47" t="n">
        <f aca="false">IF(J1879=1,N(I1879)+ROW()/10000000,0)</f>
        <v>0</v>
      </c>
      <c r="L1879" s="47" t="str">
        <f aca="false">IF(AND(J1879=1,N(I1879)&gt;0),SUMIF($K$2:$K$5001,"&gt;="&amp;K1879,$I$2:$I$5001)/MAX(1,SUM($H$2:$H$5001)),"")</f>
        <v/>
      </c>
      <c r="M1879" s="47" t="str">
        <f aca="false">IF($A1879="","",INDEX($L$2:$L$5001,MATCH($A1879,$A$2:$A$5001,0)))</f>
        <v/>
      </c>
      <c r="N1879" s="48" t="str">
        <f aca="false">IF($A1879="","",IF(N(M1879)=0,"–",IF(M1879&lt;=Start!$D$20,"A",IF(M1879&lt;=Start!$D$21,"B","C"))))</f>
        <v/>
      </c>
      <c r="O1879" s="48" t="str">
        <f aca="false">IF($A1879="","",IF(NOT(ISNUMBER(F1879)),"Wert fehlt; ",IF(F1879&lt;=0,"Wert ist 0; ",""))&amp;IF(NOT(ISNUMBER(E1879)),"Bestand fehlt; ",IF(E1879&lt;0,"Bestand negativ; ",IF(E1879=0,"Nullbestand; ","")))&amp;IF(D1879="","Warengruppe fehlt; ","")&amp;IF(B1879="","Bezeichnung fehlt; ","")&amp;IF(COUNTIFS($A$2:$A$5001,$A1879,$C$2:$C$5001,C1879)&gt;1,"Artikel doppelt im selben Lager; ",""))</f>
        <v/>
      </c>
      <c r="P1879" s="47" t="n">
        <f aca="false">IF(OR($A1879="",D1879=""),0,IF(COUNTIF($D$2:D1879,D1879)=1,SUMIF($D$2:$D$5001,D1879,$H$2:$H$5001)+ROW()/10000000,0))</f>
        <v>0</v>
      </c>
      <c r="Q1879" s="47" t="n">
        <f aca="false">IF(OR($A1879="",C1879=""),0,IF(COUNTIF($C$2:C1879,C1879)=1,SUMIF($C$2:$C$5001,C1879,$H$2:$H$5001)+ROW()/10000000,0))</f>
        <v>0</v>
      </c>
    </row>
    <row r="1880" customFormat="false" ht="15" hidden="false" customHeight="false" outlineLevel="0" collapsed="false">
      <c r="A1880" s="43"/>
      <c r="B1880" s="44"/>
      <c r="C1880" s="44"/>
      <c r="D1880" s="44"/>
      <c r="E1880" s="44"/>
      <c r="F1880" s="44"/>
      <c r="G1880" s="44"/>
      <c r="H1880" s="46" t="str">
        <f aca="false">IF($A1880="","",IF(OR(NOT(ISNUMBER(E1880)),NOT(ISNUMBER(F1880))),"",MAX(0,E1880)*F1880))</f>
        <v/>
      </c>
      <c r="I1880" s="46" t="str">
        <f aca="false">IF($A1880="","",SUMIF($A$2:$A$5001,$A1880,$H$2:$H$5001))</f>
        <v/>
      </c>
      <c r="J1880" s="47" t="n">
        <f aca="false">IF($A1880="",0,IF(COUNTIF($A$2:A1880,$A1880)=1,1,0))</f>
        <v>0</v>
      </c>
      <c r="K1880" s="47" t="n">
        <f aca="false">IF(J1880=1,N(I1880)+ROW()/10000000,0)</f>
        <v>0</v>
      </c>
      <c r="L1880" s="47" t="str">
        <f aca="false">IF(AND(J1880=1,N(I1880)&gt;0),SUMIF($K$2:$K$5001,"&gt;="&amp;K1880,$I$2:$I$5001)/MAX(1,SUM($H$2:$H$5001)),"")</f>
        <v/>
      </c>
      <c r="M1880" s="47" t="str">
        <f aca="false">IF($A1880="","",INDEX($L$2:$L$5001,MATCH($A1880,$A$2:$A$5001,0)))</f>
        <v/>
      </c>
      <c r="N1880" s="48" t="str">
        <f aca="false">IF($A1880="","",IF(N(M1880)=0,"–",IF(M1880&lt;=Start!$D$20,"A",IF(M1880&lt;=Start!$D$21,"B","C"))))</f>
        <v/>
      </c>
      <c r="O1880" s="48" t="str">
        <f aca="false">IF($A1880="","",IF(NOT(ISNUMBER(F1880)),"Wert fehlt; ",IF(F1880&lt;=0,"Wert ist 0; ",""))&amp;IF(NOT(ISNUMBER(E1880)),"Bestand fehlt; ",IF(E1880&lt;0,"Bestand negativ; ",IF(E1880=0,"Nullbestand; ","")))&amp;IF(D1880="","Warengruppe fehlt; ","")&amp;IF(B1880="","Bezeichnung fehlt; ","")&amp;IF(COUNTIFS($A$2:$A$5001,$A1880,$C$2:$C$5001,C1880)&gt;1,"Artikel doppelt im selben Lager; ",""))</f>
        <v/>
      </c>
      <c r="P1880" s="47" t="n">
        <f aca="false">IF(OR($A1880="",D1880=""),0,IF(COUNTIF($D$2:D1880,D1880)=1,SUMIF($D$2:$D$5001,D1880,$H$2:$H$5001)+ROW()/10000000,0))</f>
        <v>0</v>
      </c>
      <c r="Q1880" s="47" t="n">
        <f aca="false">IF(OR($A1880="",C1880=""),0,IF(COUNTIF($C$2:C1880,C1880)=1,SUMIF($C$2:$C$5001,C1880,$H$2:$H$5001)+ROW()/10000000,0))</f>
        <v>0</v>
      </c>
    </row>
    <row r="1881" customFormat="false" ht="15" hidden="false" customHeight="false" outlineLevel="0" collapsed="false">
      <c r="A1881" s="43"/>
      <c r="B1881" s="44"/>
      <c r="C1881" s="44"/>
      <c r="D1881" s="44"/>
      <c r="E1881" s="44"/>
      <c r="F1881" s="44"/>
      <c r="G1881" s="44"/>
      <c r="H1881" s="46" t="str">
        <f aca="false">IF($A1881="","",IF(OR(NOT(ISNUMBER(E1881)),NOT(ISNUMBER(F1881))),"",MAX(0,E1881)*F1881))</f>
        <v/>
      </c>
      <c r="I1881" s="46" t="str">
        <f aca="false">IF($A1881="","",SUMIF($A$2:$A$5001,$A1881,$H$2:$H$5001))</f>
        <v/>
      </c>
      <c r="J1881" s="47" t="n">
        <f aca="false">IF($A1881="",0,IF(COUNTIF($A$2:A1881,$A1881)=1,1,0))</f>
        <v>0</v>
      </c>
      <c r="K1881" s="47" t="n">
        <f aca="false">IF(J1881=1,N(I1881)+ROW()/10000000,0)</f>
        <v>0</v>
      </c>
      <c r="L1881" s="47" t="str">
        <f aca="false">IF(AND(J1881=1,N(I1881)&gt;0),SUMIF($K$2:$K$5001,"&gt;="&amp;K1881,$I$2:$I$5001)/MAX(1,SUM($H$2:$H$5001)),"")</f>
        <v/>
      </c>
      <c r="M1881" s="47" t="str">
        <f aca="false">IF($A1881="","",INDEX($L$2:$L$5001,MATCH($A1881,$A$2:$A$5001,0)))</f>
        <v/>
      </c>
      <c r="N1881" s="48" t="str">
        <f aca="false">IF($A1881="","",IF(N(M1881)=0,"–",IF(M1881&lt;=Start!$D$20,"A",IF(M1881&lt;=Start!$D$21,"B","C"))))</f>
        <v/>
      </c>
      <c r="O1881" s="48" t="str">
        <f aca="false">IF($A1881="","",IF(NOT(ISNUMBER(F1881)),"Wert fehlt; ",IF(F1881&lt;=0,"Wert ist 0; ",""))&amp;IF(NOT(ISNUMBER(E1881)),"Bestand fehlt; ",IF(E1881&lt;0,"Bestand negativ; ",IF(E1881=0,"Nullbestand; ","")))&amp;IF(D1881="","Warengruppe fehlt; ","")&amp;IF(B1881="","Bezeichnung fehlt; ","")&amp;IF(COUNTIFS($A$2:$A$5001,$A1881,$C$2:$C$5001,C1881)&gt;1,"Artikel doppelt im selben Lager; ",""))</f>
        <v/>
      </c>
      <c r="P1881" s="47" t="n">
        <f aca="false">IF(OR($A1881="",D1881=""),0,IF(COUNTIF($D$2:D1881,D1881)=1,SUMIF($D$2:$D$5001,D1881,$H$2:$H$5001)+ROW()/10000000,0))</f>
        <v>0</v>
      </c>
      <c r="Q1881" s="47" t="n">
        <f aca="false">IF(OR($A1881="",C1881=""),0,IF(COUNTIF($C$2:C1881,C1881)=1,SUMIF($C$2:$C$5001,C1881,$H$2:$H$5001)+ROW()/10000000,0))</f>
        <v>0</v>
      </c>
    </row>
    <row r="1882" customFormat="false" ht="15" hidden="false" customHeight="false" outlineLevel="0" collapsed="false">
      <c r="A1882" s="43"/>
      <c r="B1882" s="44"/>
      <c r="C1882" s="44"/>
      <c r="D1882" s="44"/>
      <c r="E1882" s="44"/>
      <c r="F1882" s="44"/>
      <c r="G1882" s="44"/>
      <c r="H1882" s="46" t="str">
        <f aca="false">IF($A1882="","",IF(OR(NOT(ISNUMBER(E1882)),NOT(ISNUMBER(F1882))),"",MAX(0,E1882)*F1882))</f>
        <v/>
      </c>
      <c r="I1882" s="46" t="str">
        <f aca="false">IF($A1882="","",SUMIF($A$2:$A$5001,$A1882,$H$2:$H$5001))</f>
        <v/>
      </c>
      <c r="J1882" s="47" t="n">
        <f aca="false">IF($A1882="",0,IF(COUNTIF($A$2:A1882,$A1882)=1,1,0))</f>
        <v>0</v>
      </c>
      <c r="K1882" s="47" t="n">
        <f aca="false">IF(J1882=1,N(I1882)+ROW()/10000000,0)</f>
        <v>0</v>
      </c>
      <c r="L1882" s="47" t="str">
        <f aca="false">IF(AND(J1882=1,N(I1882)&gt;0),SUMIF($K$2:$K$5001,"&gt;="&amp;K1882,$I$2:$I$5001)/MAX(1,SUM($H$2:$H$5001)),"")</f>
        <v/>
      </c>
      <c r="M1882" s="47" t="str">
        <f aca="false">IF($A1882="","",INDEX($L$2:$L$5001,MATCH($A1882,$A$2:$A$5001,0)))</f>
        <v/>
      </c>
      <c r="N1882" s="48" t="str">
        <f aca="false">IF($A1882="","",IF(N(M1882)=0,"–",IF(M1882&lt;=Start!$D$20,"A",IF(M1882&lt;=Start!$D$21,"B","C"))))</f>
        <v/>
      </c>
      <c r="O1882" s="48" t="str">
        <f aca="false">IF($A1882="","",IF(NOT(ISNUMBER(F1882)),"Wert fehlt; ",IF(F1882&lt;=0,"Wert ist 0; ",""))&amp;IF(NOT(ISNUMBER(E1882)),"Bestand fehlt; ",IF(E1882&lt;0,"Bestand negativ; ",IF(E1882=0,"Nullbestand; ","")))&amp;IF(D1882="","Warengruppe fehlt; ","")&amp;IF(B1882="","Bezeichnung fehlt; ","")&amp;IF(COUNTIFS($A$2:$A$5001,$A1882,$C$2:$C$5001,C1882)&gt;1,"Artikel doppelt im selben Lager; ",""))</f>
        <v/>
      </c>
      <c r="P1882" s="47" t="n">
        <f aca="false">IF(OR($A1882="",D1882=""),0,IF(COUNTIF($D$2:D1882,D1882)=1,SUMIF($D$2:$D$5001,D1882,$H$2:$H$5001)+ROW()/10000000,0))</f>
        <v>0</v>
      </c>
      <c r="Q1882" s="47" t="n">
        <f aca="false">IF(OR($A1882="",C1882=""),0,IF(COUNTIF($C$2:C1882,C1882)=1,SUMIF($C$2:$C$5001,C1882,$H$2:$H$5001)+ROW()/10000000,0))</f>
        <v>0</v>
      </c>
    </row>
    <row r="1883" customFormat="false" ht="15" hidden="false" customHeight="false" outlineLevel="0" collapsed="false">
      <c r="A1883" s="43"/>
      <c r="B1883" s="44"/>
      <c r="C1883" s="44"/>
      <c r="D1883" s="44"/>
      <c r="E1883" s="44"/>
      <c r="F1883" s="44"/>
      <c r="G1883" s="44"/>
      <c r="H1883" s="46" t="str">
        <f aca="false">IF($A1883="","",IF(OR(NOT(ISNUMBER(E1883)),NOT(ISNUMBER(F1883))),"",MAX(0,E1883)*F1883))</f>
        <v/>
      </c>
      <c r="I1883" s="46" t="str">
        <f aca="false">IF($A1883="","",SUMIF($A$2:$A$5001,$A1883,$H$2:$H$5001))</f>
        <v/>
      </c>
      <c r="J1883" s="47" t="n">
        <f aca="false">IF($A1883="",0,IF(COUNTIF($A$2:A1883,$A1883)=1,1,0))</f>
        <v>0</v>
      </c>
      <c r="K1883" s="47" t="n">
        <f aca="false">IF(J1883=1,N(I1883)+ROW()/10000000,0)</f>
        <v>0</v>
      </c>
      <c r="L1883" s="47" t="str">
        <f aca="false">IF(AND(J1883=1,N(I1883)&gt;0),SUMIF($K$2:$K$5001,"&gt;="&amp;K1883,$I$2:$I$5001)/MAX(1,SUM($H$2:$H$5001)),"")</f>
        <v/>
      </c>
      <c r="M1883" s="47" t="str">
        <f aca="false">IF($A1883="","",INDEX($L$2:$L$5001,MATCH($A1883,$A$2:$A$5001,0)))</f>
        <v/>
      </c>
      <c r="N1883" s="48" t="str">
        <f aca="false">IF($A1883="","",IF(N(M1883)=0,"–",IF(M1883&lt;=Start!$D$20,"A",IF(M1883&lt;=Start!$D$21,"B","C"))))</f>
        <v/>
      </c>
      <c r="O1883" s="48" t="str">
        <f aca="false">IF($A1883="","",IF(NOT(ISNUMBER(F1883)),"Wert fehlt; ",IF(F1883&lt;=0,"Wert ist 0; ",""))&amp;IF(NOT(ISNUMBER(E1883)),"Bestand fehlt; ",IF(E1883&lt;0,"Bestand negativ; ",IF(E1883=0,"Nullbestand; ","")))&amp;IF(D1883="","Warengruppe fehlt; ","")&amp;IF(B1883="","Bezeichnung fehlt; ","")&amp;IF(COUNTIFS($A$2:$A$5001,$A1883,$C$2:$C$5001,C1883)&gt;1,"Artikel doppelt im selben Lager; ",""))</f>
        <v/>
      </c>
      <c r="P1883" s="47" t="n">
        <f aca="false">IF(OR($A1883="",D1883=""),0,IF(COUNTIF($D$2:D1883,D1883)=1,SUMIF($D$2:$D$5001,D1883,$H$2:$H$5001)+ROW()/10000000,0))</f>
        <v>0</v>
      </c>
      <c r="Q1883" s="47" t="n">
        <f aca="false">IF(OR($A1883="",C1883=""),0,IF(COUNTIF($C$2:C1883,C1883)=1,SUMIF($C$2:$C$5001,C1883,$H$2:$H$5001)+ROW()/10000000,0))</f>
        <v>0</v>
      </c>
    </row>
    <row r="1884" customFormat="false" ht="15" hidden="false" customHeight="false" outlineLevel="0" collapsed="false">
      <c r="A1884" s="43"/>
      <c r="B1884" s="44"/>
      <c r="C1884" s="44"/>
      <c r="D1884" s="44"/>
      <c r="E1884" s="44"/>
      <c r="F1884" s="44"/>
      <c r="G1884" s="44"/>
      <c r="H1884" s="46" t="str">
        <f aca="false">IF($A1884="","",IF(OR(NOT(ISNUMBER(E1884)),NOT(ISNUMBER(F1884))),"",MAX(0,E1884)*F1884))</f>
        <v/>
      </c>
      <c r="I1884" s="46" t="str">
        <f aca="false">IF($A1884="","",SUMIF($A$2:$A$5001,$A1884,$H$2:$H$5001))</f>
        <v/>
      </c>
      <c r="J1884" s="47" t="n">
        <f aca="false">IF($A1884="",0,IF(COUNTIF($A$2:A1884,$A1884)=1,1,0))</f>
        <v>0</v>
      </c>
      <c r="K1884" s="47" t="n">
        <f aca="false">IF(J1884=1,N(I1884)+ROW()/10000000,0)</f>
        <v>0</v>
      </c>
      <c r="L1884" s="47" t="str">
        <f aca="false">IF(AND(J1884=1,N(I1884)&gt;0),SUMIF($K$2:$K$5001,"&gt;="&amp;K1884,$I$2:$I$5001)/MAX(1,SUM($H$2:$H$5001)),"")</f>
        <v/>
      </c>
      <c r="M1884" s="47" t="str">
        <f aca="false">IF($A1884="","",INDEX($L$2:$L$5001,MATCH($A1884,$A$2:$A$5001,0)))</f>
        <v/>
      </c>
      <c r="N1884" s="48" t="str">
        <f aca="false">IF($A1884="","",IF(N(M1884)=0,"–",IF(M1884&lt;=Start!$D$20,"A",IF(M1884&lt;=Start!$D$21,"B","C"))))</f>
        <v/>
      </c>
      <c r="O1884" s="48" t="str">
        <f aca="false">IF($A1884="","",IF(NOT(ISNUMBER(F1884)),"Wert fehlt; ",IF(F1884&lt;=0,"Wert ist 0; ",""))&amp;IF(NOT(ISNUMBER(E1884)),"Bestand fehlt; ",IF(E1884&lt;0,"Bestand negativ; ",IF(E1884=0,"Nullbestand; ","")))&amp;IF(D1884="","Warengruppe fehlt; ","")&amp;IF(B1884="","Bezeichnung fehlt; ","")&amp;IF(COUNTIFS($A$2:$A$5001,$A1884,$C$2:$C$5001,C1884)&gt;1,"Artikel doppelt im selben Lager; ",""))</f>
        <v/>
      </c>
      <c r="P1884" s="47" t="n">
        <f aca="false">IF(OR($A1884="",D1884=""),0,IF(COUNTIF($D$2:D1884,D1884)=1,SUMIF($D$2:$D$5001,D1884,$H$2:$H$5001)+ROW()/10000000,0))</f>
        <v>0</v>
      </c>
      <c r="Q1884" s="47" t="n">
        <f aca="false">IF(OR($A1884="",C1884=""),0,IF(COUNTIF($C$2:C1884,C1884)=1,SUMIF($C$2:$C$5001,C1884,$H$2:$H$5001)+ROW()/10000000,0))</f>
        <v>0</v>
      </c>
    </row>
    <row r="1885" customFormat="false" ht="15" hidden="false" customHeight="false" outlineLevel="0" collapsed="false">
      <c r="A1885" s="43"/>
      <c r="B1885" s="44"/>
      <c r="C1885" s="44"/>
      <c r="D1885" s="44"/>
      <c r="E1885" s="44"/>
      <c r="F1885" s="44"/>
      <c r="G1885" s="44"/>
      <c r="H1885" s="46" t="str">
        <f aca="false">IF($A1885="","",IF(OR(NOT(ISNUMBER(E1885)),NOT(ISNUMBER(F1885))),"",MAX(0,E1885)*F1885))</f>
        <v/>
      </c>
      <c r="I1885" s="46" t="str">
        <f aca="false">IF($A1885="","",SUMIF($A$2:$A$5001,$A1885,$H$2:$H$5001))</f>
        <v/>
      </c>
      <c r="J1885" s="47" t="n">
        <f aca="false">IF($A1885="",0,IF(COUNTIF($A$2:A1885,$A1885)=1,1,0))</f>
        <v>0</v>
      </c>
      <c r="K1885" s="47" t="n">
        <f aca="false">IF(J1885=1,N(I1885)+ROW()/10000000,0)</f>
        <v>0</v>
      </c>
      <c r="L1885" s="47" t="str">
        <f aca="false">IF(AND(J1885=1,N(I1885)&gt;0),SUMIF($K$2:$K$5001,"&gt;="&amp;K1885,$I$2:$I$5001)/MAX(1,SUM($H$2:$H$5001)),"")</f>
        <v/>
      </c>
      <c r="M1885" s="47" t="str">
        <f aca="false">IF($A1885="","",INDEX($L$2:$L$5001,MATCH($A1885,$A$2:$A$5001,0)))</f>
        <v/>
      </c>
      <c r="N1885" s="48" t="str">
        <f aca="false">IF($A1885="","",IF(N(M1885)=0,"–",IF(M1885&lt;=Start!$D$20,"A",IF(M1885&lt;=Start!$D$21,"B","C"))))</f>
        <v/>
      </c>
      <c r="O1885" s="48" t="str">
        <f aca="false">IF($A1885="","",IF(NOT(ISNUMBER(F1885)),"Wert fehlt; ",IF(F1885&lt;=0,"Wert ist 0; ",""))&amp;IF(NOT(ISNUMBER(E1885)),"Bestand fehlt; ",IF(E1885&lt;0,"Bestand negativ; ",IF(E1885=0,"Nullbestand; ","")))&amp;IF(D1885="","Warengruppe fehlt; ","")&amp;IF(B1885="","Bezeichnung fehlt; ","")&amp;IF(COUNTIFS($A$2:$A$5001,$A1885,$C$2:$C$5001,C1885)&gt;1,"Artikel doppelt im selben Lager; ",""))</f>
        <v/>
      </c>
      <c r="P1885" s="47" t="n">
        <f aca="false">IF(OR($A1885="",D1885=""),0,IF(COUNTIF($D$2:D1885,D1885)=1,SUMIF($D$2:$D$5001,D1885,$H$2:$H$5001)+ROW()/10000000,0))</f>
        <v>0</v>
      </c>
      <c r="Q1885" s="47" t="n">
        <f aca="false">IF(OR($A1885="",C1885=""),0,IF(COUNTIF($C$2:C1885,C1885)=1,SUMIF($C$2:$C$5001,C1885,$H$2:$H$5001)+ROW()/10000000,0))</f>
        <v>0</v>
      </c>
    </row>
    <row r="1886" customFormat="false" ht="15" hidden="false" customHeight="false" outlineLevel="0" collapsed="false">
      <c r="A1886" s="43"/>
      <c r="B1886" s="44"/>
      <c r="C1886" s="44"/>
      <c r="D1886" s="44"/>
      <c r="E1886" s="44"/>
      <c r="F1886" s="44"/>
      <c r="G1886" s="44"/>
      <c r="H1886" s="46" t="str">
        <f aca="false">IF($A1886="","",IF(OR(NOT(ISNUMBER(E1886)),NOT(ISNUMBER(F1886))),"",MAX(0,E1886)*F1886))</f>
        <v/>
      </c>
      <c r="I1886" s="46" t="str">
        <f aca="false">IF($A1886="","",SUMIF($A$2:$A$5001,$A1886,$H$2:$H$5001))</f>
        <v/>
      </c>
      <c r="J1886" s="47" t="n">
        <f aca="false">IF($A1886="",0,IF(COUNTIF($A$2:A1886,$A1886)=1,1,0))</f>
        <v>0</v>
      </c>
      <c r="K1886" s="47" t="n">
        <f aca="false">IF(J1886=1,N(I1886)+ROW()/10000000,0)</f>
        <v>0</v>
      </c>
      <c r="L1886" s="47" t="str">
        <f aca="false">IF(AND(J1886=1,N(I1886)&gt;0),SUMIF($K$2:$K$5001,"&gt;="&amp;K1886,$I$2:$I$5001)/MAX(1,SUM($H$2:$H$5001)),"")</f>
        <v/>
      </c>
      <c r="M1886" s="47" t="str">
        <f aca="false">IF($A1886="","",INDEX($L$2:$L$5001,MATCH($A1886,$A$2:$A$5001,0)))</f>
        <v/>
      </c>
      <c r="N1886" s="48" t="str">
        <f aca="false">IF($A1886="","",IF(N(M1886)=0,"–",IF(M1886&lt;=Start!$D$20,"A",IF(M1886&lt;=Start!$D$21,"B","C"))))</f>
        <v/>
      </c>
      <c r="O1886" s="48" t="str">
        <f aca="false">IF($A1886="","",IF(NOT(ISNUMBER(F1886)),"Wert fehlt; ",IF(F1886&lt;=0,"Wert ist 0; ",""))&amp;IF(NOT(ISNUMBER(E1886)),"Bestand fehlt; ",IF(E1886&lt;0,"Bestand negativ; ",IF(E1886=0,"Nullbestand; ","")))&amp;IF(D1886="","Warengruppe fehlt; ","")&amp;IF(B1886="","Bezeichnung fehlt; ","")&amp;IF(COUNTIFS($A$2:$A$5001,$A1886,$C$2:$C$5001,C1886)&gt;1,"Artikel doppelt im selben Lager; ",""))</f>
        <v/>
      </c>
      <c r="P1886" s="47" t="n">
        <f aca="false">IF(OR($A1886="",D1886=""),0,IF(COUNTIF($D$2:D1886,D1886)=1,SUMIF($D$2:$D$5001,D1886,$H$2:$H$5001)+ROW()/10000000,0))</f>
        <v>0</v>
      </c>
      <c r="Q1886" s="47" t="n">
        <f aca="false">IF(OR($A1886="",C1886=""),0,IF(COUNTIF($C$2:C1886,C1886)=1,SUMIF($C$2:$C$5001,C1886,$H$2:$H$5001)+ROW()/10000000,0))</f>
        <v>0</v>
      </c>
    </row>
    <row r="1887" customFormat="false" ht="15" hidden="false" customHeight="false" outlineLevel="0" collapsed="false">
      <c r="A1887" s="43"/>
      <c r="B1887" s="44"/>
      <c r="C1887" s="44"/>
      <c r="D1887" s="44"/>
      <c r="E1887" s="44"/>
      <c r="F1887" s="44"/>
      <c r="G1887" s="44"/>
      <c r="H1887" s="46" t="str">
        <f aca="false">IF($A1887="","",IF(OR(NOT(ISNUMBER(E1887)),NOT(ISNUMBER(F1887))),"",MAX(0,E1887)*F1887))</f>
        <v/>
      </c>
      <c r="I1887" s="46" t="str">
        <f aca="false">IF($A1887="","",SUMIF($A$2:$A$5001,$A1887,$H$2:$H$5001))</f>
        <v/>
      </c>
      <c r="J1887" s="47" t="n">
        <f aca="false">IF($A1887="",0,IF(COUNTIF($A$2:A1887,$A1887)=1,1,0))</f>
        <v>0</v>
      </c>
      <c r="K1887" s="47" t="n">
        <f aca="false">IF(J1887=1,N(I1887)+ROW()/10000000,0)</f>
        <v>0</v>
      </c>
      <c r="L1887" s="47" t="str">
        <f aca="false">IF(AND(J1887=1,N(I1887)&gt;0),SUMIF($K$2:$K$5001,"&gt;="&amp;K1887,$I$2:$I$5001)/MAX(1,SUM($H$2:$H$5001)),"")</f>
        <v/>
      </c>
      <c r="M1887" s="47" t="str">
        <f aca="false">IF($A1887="","",INDEX($L$2:$L$5001,MATCH($A1887,$A$2:$A$5001,0)))</f>
        <v/>
      </c>
      <c r="N1887" s="48" t="str">
        <f aca="false">IF($A1887="","",IF(N(M1887)=0,"–",IF(M1887&lt;=Start!$D$20,"A",IF(M1887&lt;=Start!$D$21,"B","C"))))</f>
        <v/>
      </c>
      <c r="O1887" s="48" t="str">
        <f aca="false">IF($A1887="","",IF(NOT(ISNUMBER(F1887)),"Wert fehlt; ",IF(F1887&lt;=0,"Wert ist 0; ",""))&amp;IF(NOT(ISNUMBER(E1887)),"Bestand fehlt; ",IF(E1887&lt;0,"Bestand negativ; ",IF(E1887=0,"Nullbestand; ","")))&amp;IF(D1887="","Warengruppe fehlt; ","")&amp;IF(B1887="","Bezeichnung fehlt; ","")&amp;IF(COUNTIFS($A$2:$A$5001,$A1887,$C$2:$C$5001,C1887)&gt;1,"Artikel doppelt im selben Lager; ",""))</f>
        <v/>
      </c>
      <c r="P1887" s="47" t="n">
        <f aca="false">IF(OR($A1887="",D1887=""),0,IF(COUNTIF($D$2:D1887,D1887)=1,SUMIF($D$2:$D$5001,D1887,$H$2:$H$5001)+ROW()/10000000,0))</f>
        <v>0</v>
      </c>
      <c r="Q1887" s="47" t="n">
        <f aca="false">IF(OR($A1887="",C1887=""),0,IF(COUNTIF($C$2:C1887,C1887)=1,SUMIF($C$2:$C$5001,C1887,$H$2:$H$5001)+ROW()/10000000,0))</f>
        <v>0</v>
      </c>
    </row>
    <row r="1888" customFormat="false" ht="15" hidden="false" customHeight="false" outlineLevel="0" collapsed="false">
      <c r="A1888" s="43"/>
      <c r="B1888" s="44"/>
      <c r="C1888" s="44"/>
      <c r="D1888" s="44"/>
      <c r="E1888" s="44"/>
      <c r="F1888" s="44"/>
      <c r="G1888" s="44"/>
      <c r="H1888" s="46" t="str">
        <f aca="false">IF($A1888="","",IF(OR(NOT(ISNUMBER(E1888)),NOT(ISNUMBER(F1888))),"",MAX(0,E1888)*F1888))</f>
        <v/>
      </c>
      <c r="I1888" s="46" t="str">
        <f aca="false">IF($A1888="","",SUMIF($A$2:$A$5001,$A1888,$H$2:$H$5001))</f>
        <v/>
      </c>
      <c r="J1888" s="47" t="n">
        <f aca="false">IF($A1888="",0,IF(COUNTIF($A$2:A1888,$A1888)=1,1,0))</f>
        <v>0</v>
      </c>
      <c r="K1888" s="47" t="n">
        <f aca="false">IF(J1888=1,N(I1888)+ROW()/10000000,0)</f>
        <v>0</v>
      </c>
      <c r="L1888" s="47" t="str">
        <f aca="false">IF(AND(J1888=1,N(I1888)&gt;0),SUMIF($K$2:$K$5001,"&gt;="&amp;K1888,$I$2:$I$5001)/MAX(1,SUM($H$2:$H$5001)),"")</f>
        <v/>
      </c>
      <c r="M1888" s="47" t="str">
        <f aca="false">IF($A1888="","",INDEX($L$2:$L$5001,MATCH($A1888,$A$2:$A$5001,0)))</f>
        <v/>
      </c>
      <c r="N1888" s="48" t="str">
        <f aca="false">IF($A1888="","",IF(N(M1888)=0,"–",IF(M1888&lt;=Start!$D$20,"A",IF(M1888&lt;=Start!$D$21,"B","C"))))</f>
        <v/>
      </c>
      <c r="O1888" s="48" t="str">
        <f aca="false">IF($A1888="","",IF(NOT(ISNUMBER(F1888)),"Wert fehlt; ",IF(F1888&lt;=0,"Wert ist 0; ",""))&amp;IF(NOT(ISNUMBER(E1888)),"Bestand fehlt; ",IF(E1888&lt;0,"Bestand negativ; ",IF(E1888=0,"Nullbestand; ","")))&amp;IF(D1888="","Warengruppe fehlt; ","")&amp;IF(B1888="","Bezeichnung fehlt; ","")&amp;IF(COUNTIFS($A$2:$A$5001,$A1888,$C$2:$C$5001,C1888)&gt;1,"Artikel doppelt im selben Lager; ",""))</f>
        <v/>
      </c>
      <c r="P1888" s="47" t="n">
        <f aca="false">IF(OR($A1888="",D1888=""),0,IF(COUNTIF($D$2:D1888,D1888)=1,SUMIF($D$2:$D$5001,D1888,$H$2:$H$5001)+ROW()/10000000,0))</f>
        <v>0</v>
      </c>
      <c r="Q1888" s="47" t="n">
        <f aca="false">IF(OR($A1888="",C1888=""),0,IF(COUNTIF($C$2:C1888,C1888)=1,SUMIF($C$2:$C$5001,C1888,$H$2:$H$5001)+ROW()/10000000,0))</f>
        <v>0</v>
      </c>
    </row>
    <row r="1889" customFormat="false" ht="15" hidden="false" customHeight="false" outlineLevel="0" collapsed="false">
      <c r="A1889" s="43"/>
      <c r="B1889" s="44"/>
      <c r="C1889" s="44"/>
      <c r="D1889" s="44"/>
      <c r="E1889" s="44"/>
      <c r="F1889" s="44"/>
      <c r="G1889" s="44"/>
      <c r="H1889" s="46" t="str">
        <f aca="false">IF($A1889="","",IF(OR(NOT(ISNUMBER(E1889)),NOT(ISNUMBER(F1889))),"",MAX(0,E1889)*F1889))</f>
        <v/>
      </c>
      <c r="I1889" s="46" t="str">
        <f aca="false">IF($A1889="","",SUMIF($A$2:$A$5001,$A1889,$H$2:$H$5001))</f>
        <v/>
      </c>
      <c r="J1889" s="47" t="n">
        <f aca="false">IF($A1889="",0,IF(COUNTIF($A$2:A1889,$A1889)=1,1,0))</f>
        <v>0</v>
      </c>
      <c r="K1889" s="47" t="n">
        <f aca="false">IF(J1889=1,N(I1889)+ROW()/10000000,0)</f>
        <v>0</v>
      </c>
      <c r="L1889" s="47" t="str">
        <f aca="false">IF(AND(J1889=1,N(I1889)&gt;0),SUMIF($K$2:$K$5001,"&gt;="&amp;K1889,$I$2:$I$5001)/MAX(1,SUM($H$2:$H$5001)),"")</f>
        <v/>
      </c>
      <c r="M1889" s="47" t="str">
        <f aca="false">IF($A1889="","",INDEX($L$2:$L$5001,MATCH($A1889,$A$2:$A$5001,0)))</f>
        <v/>
      </c>
      <c r="N1889" s="48" t="str">
        <f aca="false">IF($A1889="","",IF(N(M1889)=0,"–",IF(M1889&lt;=Start!$D$20,"A",IF(M1889&lt;=Start!$D$21,"B","C"))))</f>
        <v/>
      </c>
      <c r="O1889" s="48" t="str">
        <f aca="false">IF($A1889="","",IF(NOT(ISNUMBER(F1889)),"Wert fehlt; ",IF(F1889&lt;=0,"Wert ist 0; ",""))&amp;IF(NOT(ISNUMBER(E1889)),"Bestand fehlt; ",IF(E1889&lt;0,"Bestand negativ; ",IF(E1889=0,"Nullbestand; ","")))&amp;IF(D1889="","Warengruppe fehlt; ","")&amp;IF(B1889="","Bezeichnung fehlt; ","")&amp;IF(COUNTIFS($A$2:$A$5001,$A1889,$C$2:$C$5001,C1889)&gt;1,"Artikel doppelt im selben Lager; ",""))</f>
        <v/>
      </c>
      <c r="P1889" s="47" t="n">
        <f aca="false">IF(OR($A1889="",D1889=""),0,IF(COUNTIF($D$2:D1889,D1889)=1,SUMIF($D$2:$D$5001,D1889,$H$2:$H$5001)+ROW()/10000000,0))</f>
        <v>0</v>
      </c>
      <c r="Q1889" s="47" t="n">
        <f aca="false">IF(OR($A1889="",C1889=""),0,IF(COUNTIF($C$2:C1889,C1889)=1,SUMIF($C$2:$C$5001,C1889,$H$2:$H$5001)+ROW()/10000000,0))</f>
        <v>0</v>
      </c>
    </row>
    <row r="1890" customFormat="false" ht="15" hidden="false" customHeight="false" outlineLevel="0" collapsed="false">
      <c r="A1890" s="43"/>
      <c r="B1890" s="44"/>
      <c r="C1890" s="44"/>
      <c r="D1890" s="44"/>
      <c r="E1890" s="44"/>
      <c r="F1890" s="44"/>
      <c r="G1890" s="44"/>
      <c r="H1890" s="46" t="str">
        <f aca="false">IF($A1890="","",IF(OR(NOT(ISNUMBER(E1890)),NOT(ISNUMBER(F1890))),"",MAX(0,E1890)*F1890))</f>
        <v/>
      </c>
      <c r="I1890" s="46" t="str">
        <f aca="false">IF($A1890="","",SUMIF($A$2:$A$5001,$A1890,$H$2:$H$5001))</f>
        <v/>
      </c>
      <c r="J1890" s="47" t="n">
        <f aca="false">IF($A1890="",0,IF(COUNTIF($A$2:A1890,$A1890)=1,1,0))</f>
        <v>0</v>
      </c>
      <c r="K1890" s="47" t="n">
        <f aca="false">IF(J1890=1,N(I1890)+ROW()/10000000,0)</f>
        <v>0</v>
      </c>
      <c r="L1890" s="47" t="str">
        <f aca="false">IF(AND(J1890=1,N(I1890)&gt;0),SUMIF($K$2:$K$5001,"&gt;="&amp;K1890,$I$2:$I$5001)/MAX(1,SUM($H$2:$H$5001)),"")</f>
        <v/>
      </c>
      <c r="M1890" s="47" t="str">
        <f aca="false">IF($A1890="","",INDEX($L$2:$L$5001,MATCH($A1890,$A$2:$A$5001,0)))</f>
        <v/>
      </c>
      <c r="N1890" s="48" t="str">
        <f aca="false">IF($A1890="","",IF(N(M1890)=0,"–",IF(M1890&lt;=Start!$D$20,"A",IF(M1890&lt;=Start!$D$21,"B","C"))))</f>
        <v/>
      </c>
      <c r="O1890" s="48" t="str">
        <f aca="false">IF($A1890="","",IF(NOT(ISNUMBER(F1890)),"Wert fehlt; ",IF(F1890&lt;=0,"Wert ist 0; ",""))&amp;IF(NOT(ISNUMBER(E1890)),"Bestand fehlt; ",IF(E1890&lt;0,"Bestand negativ; ",IF(E1890=0,"Nullbestand; ","")))&amp;IF(D1890="","Warengruppe fehlt; ","")&amp;IF(B1890="","Bezeichnung fehlt; ","")&amp;IF(COUNTIFS($A$2:$A$5001,$A1890,$C$2:$C$5001,C1890)&gt;1,"Artikel doppelt im selben Lager; ",""))</f>
        <v/>
      </c>
      <c r="P1890" s="47" t="n">
        <f aca="false">IF(OR($A1890="",D1890=""),0,IF(COUNTIF($D$2:D1890,D1890)=1,SUMIF($D$2:$D$5001,D1890,$H$2:$H$5001)+ROW()/10000000,0))</f>
        <v>0</v>
      </c>
      <c r="Q1890" s="47" t="n">
        <f aca="false">IF(OR($A1890="",C1890=""),0,IF(COUNTIF($C$2:C1890,C1890)=1,SUMIF($C$2:$C$5001,C1890,$H$2:$H$5001)+ROW()/10000000,0))</f>
        <v>0</v>
      </c>
    </row>
    <row r="1891" customFormat="false" ht="15" hidden="false" customHeight="false" outlineLevel="0" collapsed="false">
      <c r="A1891" s="43"/>
      <c r="B1891" s="44"/>
      <c r="C1891" s="44"/>
      <c r="D1891" s="44"/>
      <c r="E1891" s="44"/>
      <c r="F1891" s="44"/>
      <c r="G1891" s="44"/>
      <c r="H1891" s="46" t="str">
        <f aca="false">IF($A1891="","",IF(OR(NOT(ISNUMBER(E1891)),NOT(ISNUMBER(F1891))),"",MAX(0,E1891)*F1891))</f>
        <v/>
      </c>
      <c r="I1891" s="46" t="str">
        <f aca="false">IF($A1891="","",SUMIF($A$2:$A$5001,$A1891,$H$2:$H$5001))</f>
        <v/>
      </c>
      <c r="J1891" s="47" t="n">
        <f aca="false">IF($A1891="",0,IF(COUNTIF($A$2:A1891,$A1891)=1,1,0))</f>
        <v>0</v>
      </c>
      <c r="K1891" s="47" t="n">
        <f aca="false">IF(J1891=1,N(I1891)+ROW()/10000000,0)</f>
        <v>0</v>
      </c>
      <c r="L1891" s="47" t="str">
        <f aca="false">IF(AND(J1891=1,N(I1891)&gt;0),SUMIF($K$2:$K$5001,"&gt;="&amp;K1891,$I$2:$I$5001)/MAX(1,SUM($H$2:$H$5001)),"")</f>
        <v/>
      </c>
      <c r="M1891" s="47" t="str">
        <f aca="false">IF($A1891="","",INDEX($L$2:$L$5001,MATCH($A1891,$A$2:$A$5001,0)))</f>
        <v/>
      </c>
      <c r="N1891" s="48" t="str">
        <f aca="false">IF($A1891="","",IF(N(M1891)=0,"–",IF(M1891&lt;=Start!$D$20,"A",IF(M1891&lt;=Start!$D$21,"B","C"))))</f>
        <v/>
      </c>
      <c r="O1891" s="48" t="str">
        <f aca="false">IF($A1891="","",IF(NOT(ISNUMBER(F1891)),"Wert fehlt; ",IF(F1891&lt;=0,"Wert ist 0; ",""))&amp;IF(NOT(ISNUMBER(E1891)),"Bestand fehlt; ",IF(E1891&lt;0,"Bestand negativ; ",IF(E1891=0,"Nullbestand; ","")))&amp;IF(D1891="","Warengruppe fehlt; ","")&amp;IF(B1891="","Bezeichnung fehlt; ","")&amp;IF(COUNTIFS($A$2:$A$5001,$A1891,$C$2:$C$5001,C1891)&gt;1,"Artikel doppelt im selben Lager; ",""))</f>
        <v/>
      </c>
      <c r="P1891" s="47" t="n">
        <f aca="false">IF(OR($A1891="",D1891=""),0,IF(COUNTIF($D$2:D1891,D1891)=1,SUMIF($D$2:$D$5001,D1891,$H$2:$H$5001)+ROW()/10000000,0))</f>
        <v>0</v>
      </c>
      <c r="Q1891" s="47" t="n">
        <f aca="false">IF(OR($A1891="",C1891=""),0,IF(COUNTIF($C$2:C1891,C1891)=1,SUMIF($C$2:$C$5001,C1891,$H$2:$H$5001)+ROW()/10000000,0))</f>
        <v>0</v>
      </c>
    </row>
    <row r="1892" customFormat="false" ht="15" hidden="false" customHeight="false" outlineLevel="0" collapsed="false">
      <c r="A1892" s="43"/>
      <c r="B1892" s="44"/>
      <c r="C1892" s="44"/>
      <c r="D1892" s="44"/>
      <c r="E1892" s="44"/>
      <c r="F1892" s="44"/>
      <c r="G1892" s="44"/>
      <c r="H1892" s="46" t="str">
        <f aca="false">IF($A1892="","",IF(OR(NOT(ISNUMBER(E1892)),NOT(ISNUMBER(F1892))),"",MAX(0,E1892)*F1892))</f>
        <v/>
      </c>
      <c r="I1892" s="46" t="str">
        <f aca="false">IF($A1892="","",SUMIF($A$2:$A$5001,$A1892,$H$2:$H$5001))</f>
        <v/>
      </c>
      <c r="J1892" s="47" t="n">
        <f aca="false">IF($A1892="",0,IF(COUNTIF($A$2:A1892,$A1892)=1,1,0))</f>
        <v>0</v>
      </c>
      <c r="K1892" s="47" t="n">
        <f aca="false">IF(J1892=1,N(I1892)+ROW()/10000000,0)</f>
        <v>0</v>
      </c>
      <c r="L1892" s="47" t="str">
        <f aca="false">IF(AND(J1892=1,N(I1892)&gt;0),SUMIF($K$2:$K$5001,"&gt;="&amp;K1892,$I$2:$I$5001)/MAX(1,SUM($H$2:$H$5001)),"")</f>
        <v/>
      </c>
      <c r="M1892" s="47" t="str">
        <f aca="false">IF($A1892="","",INDEX($L$2:$L$5001,MATCH($A1892,$A$2:$A$5001,0)))</f>
        <v/>
      </c>
      <c r="N1892" s="48" t="str">
        <f aca="false">IF($A1892="","",IF(N(M1892)=0,"–",IF(M1892&lt;=Start!$D$20,"A",IF(M1892&lt;=Start!$D$21,"B","C"))))</f>
        <v/>
      </c>
      <c r="O1892" s="48" t="str">
        <f aca="false">IF($A1892="","",IF(NOT(ISNUMBER(F1892)),"Wert fehlt; ",IF(F1892&lt;=0,"Wert ist 0; ",""))&amp;IF(NOT(ISNUMBER(E1892)),"Bestand fehlt; ",IF(E1892&lt;0,"Bestand negativ; ",IF(E1892=0,"Nullbestand; ","")))&amp;IF(D1892="","Warengruppe fehlt; ","")&amp;IF(B1892="","Bezeichnung fehlt; ","")&amp;IF(COUNTIFS($A$2:$A$5001,$A1892,$C$2:$C$5001,C1892)&gt;1,"Artikel doppelt im selben Lager; ",""))</f>
        <v/>
      </c>
      <c r="P1892" s="47" t="n">
        <f aca="false">IF(OR($A1892="",D1892=""),0,IF(COUNTIF($D$2:D1892,D1892)=1,SUMIF($D$2:$D$5001,D1892,$H$2:$H$5001)+ROW()/10000000,0))</f>
        <v>0</v>
      </c>
      <c r="Q1892" s="47" t="n">
        <f aca="false">IF(OR($A1892="",C1892=""),0,IF(COUNTIF($C$2:C1892,C1892)=1,SUMIF($C$2:$C$5001,C1892,$H$2:$H$5001)+ROW()/10000000,0))</f>
        <v>0</v>
      </c>
    </row>
    <row r="1893" customFormat="false" ht="15" hidden="false" customHeight="false" outlineLevel="0" collapsed="false">
      <c r="A1893" s="43"/>
      <c r="B1893" s="44"/>
      <c r="C1893" s="44"/>
      <c r="D1893" s="44"/>
      <c r="E1893" s="44"/>
      <c r="F1893" s="44"/>
      <c r="G1893" s="44"/>
      <c r="H1893" s="46" t="str">
        <f aca="false">IF($A1893="","",IF(OR(NOT(ISNUMBER(E1893)),NOT(ISNUMBER(F1893))),"",MAX(0,E1893)*F1893))</f>
        <v/>
      </c>
      <c r="I1893" s="46" t="str">
        <f aca="false">IF($A1893="","",SUMIF($A$2:$A$5001,$A1893,$H$2:$H$5001))</f>
        <v/>
      </c>
      <c r="J1893" s="47" t="n">
        <f aca="false">IF($A1893="",0,IF(COUNTIF($A$2:A1893,$A1893)=1,1,0))</f>
        <v>0</v>
      </c>
      <c r="K1893" s="47" t="n">
        <f aca="false">IF(J1893=1,N(I1893)+ROW()/10000000,0)</f>
        <v>0</v>
      </c>
      <c r="L1893" s="47" t="str">
        <f aca="false">IF(AND(J1893=1,N(I1893)&gt;0),SUMIF($K$2:$K$5001,"&gt;="&amp;K1893,$I$2:$I$5001)/MAX(1,SUM($H$2:$H$5001)),"")</f>
        <v/>
      </c>
      <c r="M1893" s="47" t="str">
        <f aca="false">IF($A1893="","",INDEX($L$2:$L$5001,MATCH($A1893,$A$2:$A$5001,0)))</f>
        <v/>
      </c>
      <c r="N1893" s="48" t="str">
        <f aca="false">IF($A1893="","",IF(N(M1893)=0,"–",IF(M1893&lt;=Start!$D$20,"A",IF(M1893&lt;=Start!$D$21,"B","C"))))</f>
        <v/>
      </c>
      <c r="O1893" s="48" t="str">
        <f aca="false">IF($A1893="","",IF(NOT(ISNUMBER(F1893)),"Wert fehlt; ",IF(F1893&lt;=0,"Wert ist 0; ",""))&amp;IF(NOT(ISNUMBER(E1893)),"Bestand fehlt; ",IF(E1893&lt;0,"Bestand negativ; ",IF(E1893=0,"Nullbestand; ","")))&amp;IF(D1893="","Warengruppe fehlt; ","")&amp;IF(B1893="","Bezeichnung fehlt; ","")&amp;IF(COUNTIFS($A$2:$A$5001,$A1893,$C$2:$C$5001,C1893)&gt;1,"Artikel doppelt im selben Lager; ",""))</f>
        <v/>
      </c>
      <c r="P1893" s="47" t="n">
        <f aca="false">IF(OR($A1893="",D1893=""),0,IF(COUNTIF($D$2:D1893,D1893)=1,SUMIF($D$2:$D$5001,D1893,$H$2:$H$5001)+ROW()/10000000,0))</f>
        <v>0</v>
      </c>
      <c r="Q1893" s="47" t="n">
        <f aca="false">IF(OR($A1893="",C1893=""),0,IF(COUNTIF($C$2:C1893,C1893)=1,SUMIF($C$2:$C$5001,C1893,$H$2:$H$5001)+ROW()/10000000,0))</f>
        <v>0</v>
      </c>
    </row>
    <row r="1894" customFormat="false" ht="15" hidden="false" customHeight="false" outlineLevel="0" collapsed="false">
      <c r="A1894" s="43"/>
      <c r="B1894" s="44"/>
      <c r="C1894" s="44"/>
      <c r="D1894" s="44"/>
      <c r="E1894" s="44"/>
      <c r="F1894" s="44"/>
      <c r="G1894" s="44"/>
      <c r="H1894" s="46" t="str">
        <f aca="false">IF($A1894="","",IF(OR(NOT(ISNUMBER(E1894)),NOT(ISNUMBER(F1894))),"",MAX(0,E1894)*F1894))</f>
        <v/>
      </c>
      <c r="I1894" s="46" t="str">
        <f aca="false">IF($A1894="","",SUMIF($A$2:$A$5001,$A1894,$H$2:$H$5001))</f>
        <v/>
      </c>
      <c r="J1894" s="47" t="n">
        <f aca="false">IF($A1894="",0,IF(COUNTIF($A$2:A1894,$A1894)=1,1,0))</f>
        <v>0</v>
      </c>
      <c r="K1894" s="47" t="n">
        <f aca="false">IF(J1894=1,N(I1894)+ROW()/10000000,0)</f>
        <v>0</v>
      </c>
      <c r="L1894" s="47" t="str">
        <f aca="false">IF(AND(J1894=1,N(I1894)&gt;0),SUMIF($K$2:$K$5001,"&gt;="&amp;K1894,$I$2:$I$5001)/MAX(1,SUM($H$2:$H$5001)),"")</f>
        <v/>
      </c>
      <c r="M1894" s="47" t="str">
        <f aca="false">IF($A1894="","",INDEX($L$2:$L$5001,MATCH($A1894,$A$2:$A$5001,0)))</f>
        <v/>
      </c>
      <c r="N1894" s="48" t="str">
        <f aca="false">IF($A1894="","",IF(N(M1894)=0,"–",IF(M1894&lt;=Start!$D$20,"A",IF(M1894&lt;=Start!$D$21,"B","C"))))</f>
        <v/>
      </c>
      <c r="O1894" s="48" t="str">
        <f aca="false">IF($A1894="","",IF(NOT(ISNUMBER(F1894)),"Wert fehlt; ",IF(F1894&lt;=0,"Wert ist 0; ",""))&amp;IF(NOT(ISNUMBER(E1894)),"Bestand fehlt; ",IF(E1894&lt;0,"Bestand negativ; ",IF(E1894=0,"Nullbestand; ","")))&amp;IF(D1894="","Warengruppe fehlt; ","")&amp;IF(B1894="","Bezeichnung fehlt; ","")&amp;IF(COUNTIFS($A$2:$A$5001,$A1894,$C$2:$C$5001,C1894)&gt;1,"Artikel doppelt im selben Lager; ",""))</f>
        <v/>
      </c>
      <c r="P1894" s="47" t="n">
        <f aca="false">IF(OR($A1894="",D1894=""),0,IF(COUNTIF($D$2:D1894,D1894)=1,SUMIF($D$2:$D$5001,D1894,$H$2:$H$5001)+ROW()/10000000,0))</f>
        <v>0</v>
      </c>
      <c r="Q1894" s="47" t="n">
        <f aca="false">IF(OR($A1894="",C1894=""),0,IF(COUNTIF($C$2:C1894,C1894)=1,SUMIF($C$2:$C$5001,C1894,$H$2:$H$5001)+ROW()/10000000,0))</f>
        <v>0</v>
      </c>
    </row>
    <row r="1895" customFormat="false" ht="15" hidden="false" customHeight="false" outlineLevel="0" collapsed="false">
      <c r="A1895" s="43"/>
      <c r="B1895" s="44"/>
      <c r="C1895" s="44"/>
      <c r="D1895" s="44"/>
      <c r="E1895" s="44"/>
      <c r="F1895" s="44"/>
      <c r="G1895" s="44"/>
      <c r="H1895" s="46" t="str">
        <f aca="false">IF($A1895="","",IF(OR(NOT(ISNUMBER(E1895)),NOT(ISNUMBER(F1895))),"",MAX(0,E1895)*F1895))</f>
        <v/>
      </c>
      <c r="I1895" s="46" t="str">
        <f aca="false">IF($A1895="","",SUMIF($A$2:$A$5001,$A1895,$H$2:$H$5001))</f>
        <v/>
      </c>
      <c r="J1895" s="47" t="n">
        <f aca="false">IF($A1895="",0,IF(COUNTIF($A$2:A1895,$A1895)=1,1,0))</f>
        <v>0</v>
      </c>
      <c r="K1895" s="47" t="n">
        <f aca="false">IF(J1895=1,N(I1895)+ROW()/10000000,0)</f>
        <v>0</v>
      </c>
      <c r="L1895" s="47" t="str">
        <f aca="false">IF(AND(J1895=1,N(I1895)&gt;0),SUMIF($K$2:$K$5001,"&gt;="&amp;K1895,$I$2:$I$5001)/MAX(1,SUM($H$2:$H$5001)),"")</f>
        <v/>
      </c>
      <c r="M1895" s="47" t="str">
        <f aca="false">IF($A1895="","",INDEX($L$2:$L$5001,MATCH($A1895,$A$2:$A$5001,0)))</f>
        <v/>
      </c>
      <c r="N1895" s="48" t="str">
        <f aca="false">IF($A1895="","",IF(N(M1895)=0,"–",IF(M1895&lt;=Start!$D$20,"A",IF(M1895&lt;=Start!$D$21,"B","C"))))</f>
        <v/>
      </c>
      <c r="O1895" s="48" t="str">
        <f aca="false">IF($A1895="","",IF(NOT(ISNUMBER(F1895)),"Wert fehlt; ",IF(F1895&lt;=0,"Wert ist 0; ",""))&amp;IF(NOT(ISNUMBER(E1895)),"Bestand fehlt; ",IF(E1895&lt;0,"Bestand negativ; ",IF(E1895=0,"Nullbestand; ","")))&amp;IF(D1895="","Warengruppe fehlt; ","")&amp;IF(B1895="","Bezeichnung fehlt; ","")&amp;IF(COUNTIFS($A$2:$A$5001,$A1895,$C$2:$C$5001,C1895)&gt;1,"Artikel doppelt im selben Lager; ",""))</f>
        <v/>
      </c>
      <c r="P1895" s="47" t="n">
        <f aca="false">IF(OR($A1895="",D1895=""),0,IF(COUNTIF($D$2:D1895,D1895)=1,SUMIF($D$2:$D$5001,D1895,$H$2:$H$5001)+ROW()/10000000,0))</f>
        <v>0</v>
      </c>
      <c r="Q1895" s="47" t="n">
        <f aca="false">IF(OR($A1895="",C1895=""),0,IF(COUNTIF($C$2:C1895,C1895)=1,SUMIF($C$2:$C$5001,C1895,$H$2:$H$5001)+ROW()/10000000,0))</f>
        <v>0</v>
      </c>
    </row>
    <row r="1896" customFormat="false" ht="15" hidden="false" customHeight="false" outlineLevel="0" collapsed="false">
      <c r="A1896" s="43"/>
      <c r="B1896" s="44"/>
      <c r="C1896" s="44"/>
      <c r="D1896" s="44"/>
      <c r="E1896" s="44"/>
      <c r="F1896" s="44"/>
      <c r="G1896" s="44"/>
      <c r="H1896" s="46" t="str">
        <f aca="false">IF($A1896="","",IF(OR(NOT(ISNUMBER(E1896)),NOT(ISNUMBER(F1896))),"",MAX(0,E1896)*F1896))</f>
        <v/>
      </c>
      <c r="I1896" s="46" t="str">
        <f aca="false">IF($A1896="","",SUMIF($A$2:$A$5001,$A1896,$H$2:$H$5001))</f>
        <v/>
      </c>
      <c r="J1896" s="47" t="n">
        <f aca="false">IF($A1896="",0,IF(COUNTIF($A$2:A1896,$A1896)=1,1,0))</f>
        <v>0</v>
      </c>
      <c r="K1896" s="47" t="n">
        <f aca="false">IF(J1896=1,N(I1896)+ROW()/10000000,0)</f>
        <v>0</v>
      </c>
      <c r="L1896" s="47" t="str">
        <f aca="false">IF(AND(J1896=1,N(I1896)&gt;0),SUMIF($K$2:$K$5001,"&gt;="&amp;K1896,$I$2:$I$5001)/MAX(1,SUM($H$2:$H$5001)),"")</f>
        <v/>
      </c>
      <c r="M1896" s="47" t="str">
        <f aca="false">IF($A1896="","",INDEX($L$2:$L$5001,MATCH($A1896,$A$2:$A$5001,0)))</f>
        <v/>
      </c>
      <c r="N1896" s="48" t="str">
        <f aca="false">IF($A1896="","",IF(N(M1896)=0,"–",IF(M1896&lt;=Start!$D$20,"A",IF(M1896&lt;=Start!$D$21,"B","C"))))</f>
        <v/>
      </c>
      <c r="O1896" s="48" t="str">
        <f aca="false">IF($A1896="","",IF(NOT(ISNUMBER(F1896)),"Wert fehlt; ",IF(F1896&lt;=0,"Wert ist 0; ",""))&amp;IF(NOT(ISNUMBER(E1896)),"Bestand fehlt; ",IF(E1896&lt;0,"Bestand negativ; ",IF(E1896=0,"Nullbestand; ","")))&amp;IF(D1896="","Warengruppe fehlt; ","")&amp;IF(B1896="","Bezeichnung fehlt; ","")&amp;IF(COUNTIFS($A$2:$A$5001,$A1896,$C$2:$C$5001,C1896)&gt;1,"Artikel doppelt im selben Lager; ",""))</f>
        <v/>
      </c>
      <c r="P1896" s="47" t="n">
        <f aca="false">IF(OR($A1896="",D1896=""),0,IF(COUNTIF($D$2:D1896,D1896)=1,SUMIF($D$2:$D$5001,D1896,$H$2:$H$5001)+ROW()/10000000,0))</f>
        <v>0</v>
      </c>
      <c r="Q1896" s="47" t="n">
        <f aca="false">IF(OR($A1896="",C1896=""),0,IF(COUNTIF($C$2:C1896,C1896)=1,SUMIF($C$2:$C$5001,C1896,$H$2:$H$5001)+ROW()/10000000,0))</f>
        <v>0</v>
      </c>
    </row>
    <row r="1897" customFormat="false" ht="15" hidden="false" customHeight="false" outlineLevel="0" collapsed="false">
      <c r="A1897" s="43"/>
      <c r="B1897" s="44"/>
      <c r="C1897" s="44"/>
      <c r="D1897" s="44"/>
      <c r="E1897" s="44"/>
      <c r="F1897" s="44"/>
      <c r="G1897" s="44"/>
      <c r="H1897" s="46" t="str">
        <f aca="false">IF($A1897="","",IF(OR(NOT(ISNUMBER(E1897)),NOT(ISNUMBER(F1897))),"",MAX(0,E1897)*F1897))</f>
        <v/>
      </c>
      <c r="I1897" s="46" t="str">
        <f aca="false">IF($A1897="","",SUMIF($A$2:$A$5001,$A1897,$H$2:$H$5001))</f>
        <v/>
      </c>
      <c r="J1897" s="47" t="n">
        <f aca="false">IF($A1897="",0,IF(COUNTIF($A$2:A1897,$A1897)=1,1,0))</f>
        <v>0</v>
      </c>
      <c r="K1897" s="47" t="n">
        <f aca="false">IF(J1897=1,N(I1897)+ROW()/10000000,0)</f>
        <v>0</v>
      </c>
      <c r="L1897" s="47" t="str">
        <f aca="false">IF(AND(J1897=1,N(I1897)&gt;0),SUMIF($K$2:$K$5001,"&gt;="&amp;K1897,$I$2:$I$5001)/MAX(1,SUM($H$2:$H$5001)),"")</f>
        <v/>
      </c>
      <c r="M1897" s="47" t="str">
        <f aca="false">IF($A1897="","",INDEX($L$2:$L$5001,MATCH($A1897,$A$2:$A$5001,0)))</f>
        <v/>
      </c>
      <c r="N1897" s="48" t="str">
        <f aca="false">IF($A1897="","",IF(N(M1897)=0,"–",IF(M1897&lt;=Start!$D$20,"A",IF(M1897&lt;=Start!$D$21,"B","C"))))</f>
        <v/>
      </c>
      <c r="O1897" s="48" t="str">
        <f aca="false">IF($A1897="","",IF(NOT(ISNUMBER(F1897)),"Wert fehlt; ",IF(F1897&lt;=0,"Wert ist 0; ",""))&amp;IF(NOT(ISNUMBER(E1897)),"Bestand fehlt; ",IF(E1897&lt;0,"Bestand negativ; ",IF(E1897=0,"Nullbestand; ","")))&amp;IF(D1897="","Warengruppe fehlt; ","")&amp;IF(B1897="","Bezeichnung fehlt; ","")&amp;IF(COUNTIFS($A$2:$A$5001,$A1897,$C$2:$C$5001,C1897)&gt;1,"Artikel doppelt im selben Lager; ",""))</f>
        <v/>
      </c>
      <c r="P1897" s="47" t="n">
        <f aca="false">IF(OR($A1897="",D1897=""),0,IF(COUNTIF($D$2:D1897,D1897)=1,SUMIF($D$2:$D$5001,D1897,$H$2:$H$5001)+ROW()/10000000,0))</f>
        <v>0</v>
      </c>
      <c r="Q1897" s="47" t="n">
        <f aca="false">IF(OR($A1897="",C1897=""),0,IF(COUNTIF($C$2:C1897,C1897)=1,SUMIF($C$2:$C$5001,C1897,$H$2:$H$5001)+ROW()/10000000,0))</f>
        <v>0</v>
      </c>
    </row>
    <row r="1898" customFormat="false" ht="15" hidden="false" customHeight="false" outlineLevel="0" collapsed="false">
      <c r="A1898" s="43"/>
      <c r="B1898" s="44"/>
      <c r="C1898" s="44"/>
      <c r="D1898" s="44"/>
      <c r="E1898" s="44"/>
      <c r="F1898" s="44"/>
      <c r="G1898" s="44"/>
      <c r="H1898" s="46" t="str">
        <f aca="false">IF($A1898="","",IF(OR(NOT(ISNUMBER(E1898)),NOT(ISNUMBER(F1898))),"",MAX(0,E1898)*F1898))</f>
        <v/>
      </c>
      <c r="I1898" s="46" t="str">
        <f aca="false">IF($A1898="","",SUMIF($A$2:$A$5001,$A1898,$H$2:$H$5001))</f>
        <v/>
      </c>
      <c r="J1898" s="47" t="n">
        <f aca="false">IF($A1898="",0,IF(COUNTIF($A$2:A1898,$A1898)=1,1,0))</f>
        <v>0</v>
      </c>
      <c r="K1898" s="47" t="n">
        <f aca="false">IF(J1898=1,N(I1898)+ROW()/10000000,0)</f>
        <v>0</v>
      </c>
      <c r="L1898" s="47" t="str">
        <f aca="false">IF(AND(J1898=1,N(I1898)&gt;0),SUMIF($K$2:$K$5001,"&gt;="&amp;K1898,$I$2:$I$5001)/MAX(1,SUM($H$2:$H$5001)),"")</f>
        <v/>
      </c>
      <c r="M1898" s="47" t="str">
        <f aca="false">IF($A1898="","",INDEX($L$2:$L$5001,MATCH($A1898,$A$2:$A$5001,0)))</f>
        <v/>
      </c>
      <c r="N1898" s="48" t="str">
        <f aca="false">IF($A1898="","",IF(N(M1898)=0,"–",IF(M1898&lt;=Start!$D$20,"A",IF(M1898&lt;=Start!$D$21,"B","C"))))</f>
        <v/>
      </c>
      <c r="O1898" s="48" t="str">
        <f aca="false">IF($A1898="","",IF(NOT(ISNUMBER(F1898)),"Wert fehlt; ",IF(F1898&lt;=0,"Wert ist 0; ",""))&amp;IF(NOT(ISNUMBER(E1898)),"Bestand fehlt; ",IF(E1898&lt;0,"Bestand negativ; ",IF(E1898=0,"Nullbestand; ","")))&amp;IF(D1898="","Warengruppe fehlt; ","")&amp;IF(B1898="","Bezeichnung fehlt; ","")&amp;IF(COUNTIFS($A$2:$A$5001,$A1898,$C$2:$C$5001,C1898)&gt;1,"Artikel doppelt im selben Lager; ",""))</f>
        <v/>
      </c>
      <c r="P1898" s="47" t="n">
        <f aca="false">IF(OR($A1898="",D1898=""),0,IF(COUNTIF($D$2:D1898,D1898)=1,SUMIF($D$2:$D$5001,D1898,$H$2:$H$5001)+ROW()/10000000,0))</f>
        <v>0</v>
      </c>
      <c r="Q1898" s="47" t="n">
        <f aca="false">IF(OR($A1898="",C1898=""),0,IF(COUNTIF($C$2:C1898,C1898)=1,SUMIF($C$2:$C$5001,C1898,$H$2:$H$5001)+ROW()/10000000,0))</f>
        <v>0</v>
      </c>
    </row>
    <row r="1899" customFormat="false" ht="15" hidden="false" customHeight="false" outlineLevel="0" collapsed="false">
      <c r="A1899" s="43"/>
      <c r="B1899" s="44"/>
      <c r="C1899" s="44"/>
      <c r="D1899" s="44"/>
      <c r="E1899" s="44"/>
      <c r="F1899" s="44"/>
      <c r="G1899" s="44"/>
      <c r="H1899" s="46" t="str">
        <f aca="false">IF($A1899="","",IF(OR(NOT(ISNUMBER(E1899)),NOT(ISNUMBER(F1899))),"",MAX(0,E1899)*F1899))</f>
        <v/>
      </c>
      <c r="I1899" s="46" t="str">
        <f aca="false">IF($A1899="","",SUMIF($A$2:$A$5001,$A1899,$H$2:$H$5001))</f>
        <v/>
      </c>
      <c r="J1899" s="47" t="n">
        <f aca="false">IF($A1899="",0,IF(COUNTIF($A$2:A1899,$A1899)=1,1,0))</f>
        <v>0</v>
      </c>
      <c r="K1899" s="47" t="n">
        <f aca="false">IF(J1899=1,N(I1899)+ROW()/10000000,0)</f>
        <v>0</v>
      </c>
      <c r="L1899" s="47" t="str">
        <f aca="false">IF(AND(J1899=1,N(I1899)&gt;0),SUMIF($K$2:$K$5001,"&gt;="&amp;K1899,$I$2:$I$5001)/MAX(1,SUM($H$2:$H$5001)),"")</f>
        <v/>
      </c>
      <c r="M1899" s="47" t="str">
        <f aca="false">IF($A1899="","",INDEX($L$2:$L$5001,MATCH($A1899,$A$2:$A$5001,0)))</f>
        <v/>
      </c>
      <c r="N1899" s="48" t="str">
        <f aca="false">IF($A1899="","",IF(N(M1899)=0,"–",IF(M1899&lt;=Start!$D$20,"A",IF(M1899&lt;=Start!$D$21,"B","C"))))</f>
        <v/>
      </c>
      <c r="O1899" s="48" t="str">
        <f aca="false">IF($A1899="","",IF(NOT(ISNUMBER(F1899)),"Wert fehlt; ",IF(F1899&lt;=0,"Wert ist 0; ",""))&amp;IF(NOT(ISNUMBER(E1899)),"Bestand fehlt; ",IF(E1899&lt;0,"Bestand negativ; ",IF(E1899=0,"Nullbestand; ","")))&amp;IF(D1899="","Warengruppe fehlt; ","")&amp;IF(B1899="","Bezeichnung fehlt; ","")&amp;IF(COUNTIFS($A$2:$A$5001,$A1899,$C$2:$C$5001,C1899)&gt;1,"Artikel doppelt im selben Lager; ",""))</f>
        <v/>
      </c>
      <c r="P1899" s="47" t="n">
        <f aca="false">IF(OR($A1899="",D1899=""),0,IF(COUNTIF($D$2:D1899,D1899)=1,SUMIF($D$2:$D$5001,D1899,$H$2:$H$5001)+ROW()/10000000,0))</f>
        <v>0</v>
      </c>
      <c r="Q1899" s="47" t="n">
        <f aca="false">IF(OR($A1899="",C1899=""),0,IF(COUNTIF($C$2:C1899,C1899)=1,SUMIF($C$2:$C$5001,C1899,$H$2:$H$5001)+ROW()/10000000,0))</f>
        <v>0</v>
      </c>
    </row>
    <row r="1900" customFormat="false" ht="15" hidden="false" customHeight="false" outlineLevel="0" collapsed="false">
      <c r="A1900" s="43"/>
      <c r="B1900" s="44"/>
      <c r="C1900" s="44"/>
      <c r="D1900" s="44"/>
      <c r="E1900" s="44"/>
      <c r="F1900" s="44"/>
      <c r="G1900" s="44"/>
      <c r="H1900" s="46" t="str">
        <f aca="false">IF($A1900="","",IF(OR(NOT(ISNUMBER(E1900)),NOT(ISNUMBER(F1900))),"",MAX(0,E1900)*F1900))</f>
        <v/>
      </c>
      <c r="I1900" s="46" t="str">
        <f aca="false">IF($A1900="","",SUMIF($A$2:$A$5001,$A1900,$H$2:$H$5001))</f>
        <v/>
      </c>
      <c r="J1900" s="47" t="n">
        <f aca="false">IF($A1900="",0,IF(COUNTIF($A$2:A1900,$A1900)=1,1,0))</f>
        <v>0</v>
      </c>
      <c r="K1900" s="47" t="n">
        <f aca="false">IF(J1900=1,N(I1900)+ROW()/10000000,0)</f>
        <v>0</v>
      </c>
      <c r="L1900" s="47" t="str">
        <f aca="false">IF(AND(J1900=1,N(I1900)&gt;0),SUMIF($K$2:$K$5001,"&gt;="&amp;K1900,$I$2:$I$5001)/MAX(1,SUM($H$2:$H$5001)),"")</f>
        <v/>
      </c>
      <c r="M1900" s="47" t="str">
        <f aca="false">IF($A1900="","",INDEX($L$2:$L$5001,MATCH($A1900,$A$2:$A$5001,0)))</f>
        <v/>
      </c>
      <c r="N1900" s="48" t="str">
        <f aca="false">IF($A1900="","",IF(N(M1900)=0,"–",IF(M1900&lt;=Start!$D$20,"A",IF(M1900&lt;=Start!$D$21,"B","C"))))</f>
        <v/>
      </c>
      <c r="O1900" s="48" t="str">
        <f aca="false">IF($A1900="","",IF(NOT(ISNUMBER(F1900)),"Wert fehlt; ",IF(F1900&lt;=0,"Wert ist 0; ",""))&amp;IF(NOT(ISNUMBER(E1900)),"Bestand fehlt; ",IF(E1900&lt;0,"Bestand negativ; ",IF(E1900=0,"Nullbestand; ","")))&amp;IF(D1900="","Warengruppe fehlt; ","")&amp;IF(B1900="","Bezeichnung fehlt; ","")&amp;IF(COUNTIFS($A$2:$A$5001,$A1900,$C$2:$C$5001,C1900)&gt;1,"Artikel doppelt im selben Lager; ",""))</f>
        <v/>
      </c>
      <c r="P1900" s="47" t="n">
        <f aca="false">IF(OR($A1900="",D1900=""),0,IF(COUNTIF($D$2:D1900,D1900)=1,SUMIF($D$2:$D$5001,D1900,$H$2:$H$5001)+ROW()/10000000,0))</f>
        <v>0</v>
      </c>
      <c r="Q1900" s="47" t="n">
        <f aca="false">IF(OR($A1900="",C1900=""),0,IF(COUNTIF($C$2:C1900,C1900)=1,SUMIF($C$2:$C$5001,C1900,$H$2:$H$5001)+ROW()/10000000,0))</f>
        <v>0</v>
      </c>
    </row>
    <row r="1901" customFormat="false" ht="15" hidden="false" customHeight="false" outlineLevel="0" collapsed="false">
      <c r="A1901" s="43"/>
      <c r="B1901" s="44"/>
      <c r="C1901" s="44"/>
      <c r="D1901" s="44"/>
      <c r="E1901" s="44"/>
      <c r="F1901" s="44"/>
      <c r="G1901" s="44"/>
      <c r="H1901" s="46" t="str">
        <f aca="false">IF($A1901="","",IF(OR(NOT(ISNUMBER(E1901)),NOT(ISNUMBER(F1901))),"",MAX(0,E1901)*F1901))</f>
        <v/>
      </c>
      <c r="I1901" s="46" t="str">
        <f aca="false">IF($A1901="","",SUMIF($A$2:$A$5001,$A1901,$H$2:$H$5001))</f>
        <v/>
      </c>
      <c r="J1901" s="47" t="n">
        <f aca="false">IF($A1901="",0,IF(COUNTIF($A$2:A1901,$A1901)=1,1,0))</f>
        <v>0</v>
      </c>
      <c r="K1901" s="47" t="n">
        <f aca="false">IF(J1901=1,N(I1901)+ROW()/10000000,0)</f>
        <v>0</v>
      </c>
      <c r="L1901" s="47" t="str">
        <f aca="false">IF(AND(J1901=1,N(I1901)&gt;0),SUMIF($K$2:$K$5001,"&gt;="&amp;K1901,$I$2:$I$5001)/MAX(1,SUM($H$2:$H$5001)),"")</f>
        <v/>
      </c>
      <c r="M1901" s="47" t="str">
        <f aca="false">IF($A1901="","",INDEX($L$2:$L$5001,MATCH($A1901,$A$2:$A$5001,0)))</f>
        <v/>
      </c>
      <c r="N1901" s="48" t="str">
        <f aca="false">IF($A1901="","",IF(N(M1901)=0,"–",IF(M1901&lt;=Start!$D$20,"A",IF(M1901&lt;=Start!$D$21,"B","C"))))</f>
        <v/>
      </c>
      <c r="O1901" s="48" t="str">
        <f aca="false">IF($A1901="","",IF(NOT(ISNUMBER(F1901)),"Wert fehlt; ",IF(F1901&lt;=0,"Wert ist 0; ",""))&amp;IF(NOT(ISNUMBER(E1901)),"Bestand fehlt; ",IF(E1901&lt;0,"Bestand negativ; ",IF(E1901=0,"Nullbestand; ","")))&amp;IF(D1901="","Warengruppe fehlt; ","")&amp;IF(B1901="","Bezeichnung fehlt; ","")&amp;IF(COUNTIFS($A$2:$A$5001,$A1901,$C$2:$C$5001,C1901)&gt;1,"Artikel doppelt im selben Lager; ",""))</f>
        <v/>
      </c>
      <c r="P1901" s="47" t="n">
        <f aca="false">IF(OR($A1901="",D1901=""),0,IF(COUNTIF($D$2:D1901,D1901)=1,SUMIF($D$2:$D$5001,D1901,$H$2:$H$5001)+ROW()/10000000,0))</f>
        <v>0</v>
      </c>
      <c r="Q1901" s="47" t="n">
        <f aca="false">IF(OR($A1901="",C1901=""),0,IF(COUNTIF($C$2:C1901,C1901)=1,SUMIF($C$2:$C$5001,C1901,$H$2:$H$5001)+ROW()/10000000,0))</f>
        <v>0</v>
      </c>
    </row>
    <row r="1902" customFormat="false" ht="15" hidden="false" customHeight="false" outlineLevel="0" collapsed="false">
      <c r="A1902" s="43"/>
      <c r="B1902" s="44"/>
      <c r="C1902" s="44"/>
      <c r="D1902" s="44"/>
      <c r="E1902" s="44"/>
      <c r="F1902" s="44"/>
      <c r="G1902" s="44"/>
      <c r="H1902" s="46" t="str">
        <f aca="false">IF($A1902="","",IF(OR(NOT(ISNUMBER(E1902)),NOT(ISNUMBER(F1902))),"",MAX(0,E1902)*F1902))</f>
        <v/>
      </c>
      <c r="I1902" s="46" t="str">
        <f aca="false">IF($A1902="","",SUMIF($A$2:$A$5001,$A1902,$H$2:$H$5001))</f>
        <v/>
      </c>
      <c r="J1902" s="47" t="n">
        <f aca="false">IF($A1902="",0,IF(COUNTIF($A$2:A1902,$A1902)=1,1,0))</f>
        <v>0</v>
      </c>
      <c r="K1902" s="47" t="n">
        <f aca="false">IF(J1902=1,N(I1902)+ROW()/10000000,0)</f>
        <v>0</v>
      </c>
      <c r="L1902" s="47" t="str">
        <f aca="false">IF(AND(J1902=1,N(I1902)&gt;0),SUMIF($K$2:$K$5001,"&gt;="&amp;K1902,$I$2:$I$5001)/MAX(1,SUM($H$2:$H$5001)),"")</f>
        <v/>
      </c>
      <c r="M1902" s="47" t="str">
        <f aca="false">IF($A1902="","",INDEX($L$2:$L$5001,MATCH($A1902,$A$2:$A$5001,0)))</f>
        <v/>
      </c>
      <c r="N1902" s="48" t="str">
        <f aca="false">IF($A1902="","",IF(N(M1902)=0,"–",IF(M1902&lt;=Start!$D$20,"A",IF(M1902&lt;=Start!$D$21,"B","C"))))</f>
        <v/>
      </c>
      <c r="O1902" s="48" t="str">
        <f aca="false">IF($A1902="","",IF(NOT(ISNUMBER(F1902)),"Wert fehlt; ",IF(F1902&lt;=0,"Wert ist 0; ",""))&amp;IF(NOT(ISNUMBER(E1902)),"Bestand fehlt; ",IF(E1902&lt;0,"Bestand negativ; ",IF(E1902=0,"Nullbestand; ","")))&amp;IF(D1902="","Warengruppe fehlt; ","")&amp;IF(B1902="","Bezeichnung fehlt; ","")&amp;IF(COUNTIFS($A$2:$A$5001,$A1902,$C$2:$C$5001,C1902)&gt;1,"Artikel doppelt im selben Lager; ",""))</f>
        <v/>
      </c>
      <c r="P1902" s="47" t="n">
        <f aca="false">IF(OR($A1902="",D1902=""),0,IF(COUNTIF($D$2:D1902,D1902)=1,SUMIF($D$2:$D$5001,D1902,$H$2:$H$5001)+ROW()/10000000,0))</f>
        <v>0</v>
      </c>
      <c r="Q1902" s="47" t="n">
        <f aca="false">IF(OR($A1902="",C1902=""),0,IF(COUNTIF($C$2:C1902,C1902)=1,SUMIF($C$2:$C$5001,C1902,$H$2:$H$5001)+ROW()/10000000,0))</f>
        <v>0</v>
      </c>
    </row>
    <row r="1903" customFormat="false" ht="15" hidden="false" customHeight="false" outlineLevel="0" collapsed="false">
      <c r="A1903" s="43"/>
      <c r="B1903" s="44"/>
      <c r="C1903" s="44"/>
      <c r="D1903" s="44"/>
      <c r="E1903" s="44"/>
      <c r="F1903" s="44"/>
      <c r="G1903" s="44"/>
      <c r="H1903" s="46" t="str">
        <f aca="false">IF($A1903="","",IF(OR(NOT(ISNUMBER(E1903)),NOT(ISNUMBER(F1903))),"",MAX(0,E1903)*F1903))</f>
        <v/>
      </c>
      <c r="I1903" s="46" t="str">
        <f aca="false">IF($A1903="","",SUMIF($A$2:$A$5001,$A1903,$H$2:$H$5001))</f>
        <v/>
      </c>
      <c r="J1903" s="47" t="n">
        <f aca="false">IF($A1903="",0,IF(COUNTIF($A$2:A1903,$A1903)=1,1,0))</f>
        <v>0</v>
      </c>
      <c r="K1903" s="47" t="n">
        <f aca="false">IF(J1903=1,N(I1903)+ROW()/10000000,0)</f>
        <v>0</v>
      </c>
      <c r="L1903" s="47" t="str">
        <f aca="false">IF(AND(J1903=1,N(I1903)&gt;0),SUMIF($K$2:$K$5001,"&gt;="&amp;K1903,$I$2:$I$5001)/MAX(1,SUM($H$2:$H$5001)),"")</f>
        <v/>
      </c>
      <c r="M1903" s="47" t="str">
        <f aca="false">IF($A1903="","",INDEX($L$2:$L$5001,MATCH($A1903,$A$2:$A$5001,0)))</f>
        <v/>
      </c>
      <c r="N1903" s="48" t="str">
        <f aca="false">IF($A1903="","",IF(N(M1903)=0,"–",IF(M1903&lt;=Start!$D$20,"A",IF(M1903&lt;=Start!$D$21,"B","C"))))</f>
        <v/>
      </c>
      <c r="O1903" s="48" t="str">
        <f aca="false">IF($A1903="","",IF(NOT(ISNUMBER(F1903)),"Wert fehlt; ",IF(F1903&lt;=0,"Wert ist 0; ",""))&amp;IF(NOT(ISNUMBER(E1903)),"Bestand fehlt; ",IF(E1903&lt;0,"Bestand negativ; ",IF(E1903=0,"Nullbestand; ","")))&amp;IF(D1903="","Warengruppe fehlt; ","")&amp;IF(B1903="","Bezeichnung fehlt; ","")&amp;IF(COUNTIFS($A$2:$A$5001,$A1903,$C$2:$C$5001,C1903)&gt;1,"Artikel doppelt im selben Lager; ",""))</f>
        <v/>
      </c>
      <c r="P1903" s="47" t="n">
        <f aca="false">IF(OR($A1903="",D1903=""),0,IF(COUNTIF($D$2:D1903,D1903)=1,SUMIF($D$2:$D$5001,D1903,$H$2:$H$5001)+ROW()/10000000,0))</f>
        <v>0</v>
      </c>
      <c r="Q1903" s="47" t="n">
        <f aca="false">IF(OR($A1903="",C1903=""),0,IF(COUNTIF($C$2:C1903,C1903)=1,SUMIF($C$2:$C$5001,C1903,$H$2:$H$5001)+ROW()/10000000,0))</f>
        <v>0</v>
      </c>
    </row>
    <row r="1904" customFormat="false" ht="15" hidden="false" customHeight="false" outlineLevel="0" collapsed="false">
      <c r="A1904" s="43"/>
      <c r="B1904" s="44"/>
      <c r="C1904" s="44"/>
      <c r="D1904" s="44"/>
      <c r="E1904" s="44"/>
      <c r="F1904" s="44"/>
      <c r="G1904" s="44"/>
      <c r="H1904" s="46" t="str">
        <f aca="false">IF($A1904="","",IF(OR(NOT(ISNUMBER(E1904)),NOT(ISNUMBER(F1904))),"",MAX(0,E1904)*F1904))</f>
        <v/>
      </c>
      <c r="I1904" s="46" t="str">
        <f aca="false">IF($A1904="","",SUMIF($A$2:$A$5001,$A1904,$H$2:$H$5001))</f>
        <v/>
      </c>
      <c r="J1904" s="47" t="n">
        <f aca="false">IF($A1904="",0,IF(COUNTIF($A$2:A1904,$A1904)=1,1,0))</f>
        <v>0</v>
      </c>
      <c r="K1904" s="47" t="n">
        <f aca="false">IF(J1904=1,N(I1904)+ROW()/10000000,0)</f>
        <v>0</v>
      </c>
      <c r="L1904" s="47" t="str">
        <f aca="false">IF(AND(J1904=1,N(I1904)&gt;0),SUMIF($K$2:$K$5001,"&gt;="&amp;K1904,$I$2:$I$5001)/MAX(1,SUM($H$2:$H$5001)),"")</f>
        <v/>
      </c>
      <c r="M1904" s="47" t="str">
        <f aca="false">IF($A1904="","",INDEX($L$2:$L$5001,MATCH($A1904,$A$2:$A$5001,0)))</f>
        <v/>
      </c>
      <c r="N1904" s="48" t="str">
        <f aca="false">IF($A1904="","",IF(N(M1904)=0,"–",IF(M1904&lt;=Start!$D$20,"A",IF(M1904&lt;=Start!$D$21,"B","C"))))</f>
        <v/>
      </c>
      <c r="O1904" s="48" t="str">
        <f aca="false">IF($A1904="","",IF(NOT(ISNUMBER(F1904)),"Wert fehlt; ",IF(F1904&lt;=0,"Wert ist 0; ",""))&amp;IF(NOT(ISNUMBER(E1904)),"Bestand fehlt; ",IF(E1904&lt;0,"Bestand negativ; ",IF(E1904=0,"Nullbestand; ","")))&amp;IF(D1904="","Warengruppe fehlt; ","")&amp;IF(B1904="","Bezeichnung fehlt; ","")&amp;IF(COUNTIFS($A$2:$A$5001,$A1904,$C$2:$C$5001,C1904)&gt;1,"Artikel doppelt im selben Lager; ",""))</f>
        <v/>
      </c>
      <c r="P1904" s="47" t="n">
        <f aca="false">IF(OR($A1904="",D1904=""),0,IF(COUNTIF($D$2:D1904,D1904)=1,SUMIF($D$2:$D$5001,D1904,$H$2:$H$5001)+ROW()/10000000,0))</f>
        <v>0</v>
      </c>
      <c r="Q1904" s="47" t="n">
        <f aca="false">IF(OR($A1904="",C1904=""),0,IF(COUNTIF($C$2:C1904,C1904)=1,SUMIF($C$2:$C$5001,C1904,$H$2:$H$5001)+ROW()/10000000,0))</f>
        <v>0</v>
      </c>
    </row>
    <row r="1905" customFormat="false" ht="15" hidden="false" customHeight="false" outlineLevel="0" collapsed="false">
      <c r="A1905" s="43"/>
      <c r="B1905" s="44"/>
      <c r="C1905" s="44"/>
      <c r="D1905" s="44"/>
      <c r="E1905" s="44"/>
      <c r="F1905" s="44"/>
      <c r="G1905" s="44"/>
      <c r="H1905" s="46" t="str">
        <f aca="false">IF($A1905="","",IF(OR(NOT(ISNUMBER(E1905)),NOT(ISNUMBER(F1905))),"",MAX(0,E1905)*F1905))</f>
        <v/>
      </c>
      <c r="I1905" s="46" t="str">
        <f aca="false">IF($A1905="","",SUMIF($A$2:$A$5001,$A1905,$H$2:$H$5001))</f>
        <v/>
      </c>
      <c r="J1905" s="47" t="n">
        <f aca="false">IF($A1905="",0,IF(COUNTIF($A$2:A1905,$A1905)=1,1,0))</f>
        <v>0</v>
      </c>
      <c r="K1905" s="47" t="n">
        <f aca="false">IF(J1905=1,N(I1905)+ROW()/10000000,0)</f>
        <v>0</v>
      </c>
      <c r="L1905" s="47" t="str">
        <f aca="false">IF(AND(J1905=1,N(I1905)&gt;0),SUMIF($K$2:$K$5001,"&gt;="&amp;K1905,$I$2:$I$5001)/MAX(1,SUM($H$2:$H$5001)),"")</f>
        <v/>
      </c>
      <c r="M1905" s="47" t="str">
        <f aca="false">IF($A1905="","",INDEX($L$2:$L$5001,MATCH($A1905,$A$2:$A$5001,0)))</f>
        <v/>
      </c>
      <c r="N1905" s="48" t="str">
        <f aca="false">IF($A1905="","",IF(N(M1905)=0,"–",IF(M1905&lt;=Start!$D$20,"A",IF(M1905&lt;=Start!$D$21,"B","C"))))</f>
        <v/>
      </c>
      <c r="O1905" s="48" t="str">
        <f aca="false">IF($A1905="","",IF(NOT(ISNUMBER(F1905)),"Wert fehlt; ",IF(F1905&lt;=0,"Wert ist 0; ",""))&amp;IF(NOT(ISNUMBER(E1905)),"Bestand fehlt; ",IF(E1905&lt;0,"Bestand negativ; ",IF(E1905=0,"Nullbestand; ","")))&amp;IF(D1905="","Warengruppe fehlt; ","")&amp;IF(B1905="","Bezeichnung fehlt; ","")&amp;IF(COUNTIFS($A$2:$A$5001,$A1905,$C$2:$C$5001,C1905)&gt;1,"Artikel doppelt im selben Lager; ",""))</f>
        <v/>
      </c>
      <c r="P1905" s="47" t="n">
        <f aca="false">IF(OR($A1905="",D1905=""),0,IF(COUNTIF($D$2:D1905,D1905)=1,SUMIF($D$2:$D$5001,D1905,$H$2:$H$5001)+ROW()/10000000,0))</f>
        <v>0</v>
      </c>
      <c r="Q1905" s="47" t="n">
        <f aca="false">IF(OR($A1905="",C1905=""),0,IF(COUNTIF($C$2:C1905,C1905)=1,SUMIF($C$2:$C$5001,C1905,$H$2:$H$5001)+ROW()/10000000,0))</f>
        <v>0</v>
      </c>
    </row>
    <row r="1906" customFormat="false" ht="15" hidden="false" customHeight="false" outlineLevel="0" collapsed="false">
      <c r="A1906" s="43"/>
      <c r="B1906" s="44"/>
      <c r="C1906" s="44"/>
      <c r="D1906" s="44"/>
      <c r="E1906" s="44"/>
      <c r="F1906" s="44"/>
      <c r="G1906" s="44"/>
      <c r="H1906" s="46" t="str">
        <f aca="false">IF($A1906="","",IF(OR(NOT(ISNUMBER(E1906)),NOT(ISNUMBER(F1906))),"",MAX(0,E1906)*F1906))</f>
        <v/>
      </c>
      <c r="I1906" s="46" t="str">
        <f aca="false">IF($A1906="","",SUMIF($A$2:$A$5001,$A1906,$H$2:$H$5001))</f>
        <v/>
      </c>
      <c r="J1906" s="47" t="n">
        <f aca="false">IF($A1906="",0,IF(COUNTIF($A$2:A1906,$A1906)=1,1,0))</f>
        <v>0</v>
      </c>
      <c r="K1906" s="47" t="n">
        <f aca="false">IF(J1906=1,N(I1906)+ROW()/10000000,0)</f>
        <v>0</v>
      </c>
      <c r="L1906" s="47" t="str">
        <f aca="false">IF(AND(J1906=1,N(I1906)&gt;0),SUMIF($K$2:$K$5001,"&gt;="&amp;K1906,$I$2:$I$5001)/MAX(1,SUM($H$2:$H$5001)),"")</f>
        <v/>
      </c>
      <c r="M1906" s="47" t="str">
        <f aca="false">IF($A1906="","",INDEX($L$2:$L$5001,MATCH($A1906,$A$2:$A$5001,0)))</f>
        <v/>
      </c>
      <c r="N1906" s="48" t="str">
        <f aca="false">IF($A1906="","",IF(N(M1906)=0,"–",IF(M1906&lt;=Start!$D$20,"A",IF(M1906&lt;=Start!$D$21,"B","C"))))</f>
        <v/>
      </c>
      <c r="O1906" s="48" t="str">
        <f aca="false">IF($A1906="","",IF(NOT(ISNUMBER(F1906)),"Wert fehlt; ",IF(F1906&lt;=0,"Wert ist 0; ",""))&amp;IF(NOT(ISNUMBER(E1906)),"Bestand fehlt; ",IF(E1906&lt;0,"Bestand negativ; ",IF(E1906=0,"Nullbestand; ","")))&amp;IF(D1906="","Warengruppe fehlt; ","")&amp;IF(B1906="","Bezeichnung fehlt; ","")&amp;IF(COUNTIFS($A$2:$A$5001,$A1906,$C$2:$C$5001,C1906)&gt;1,"Artikel doppelt im selben Lager; ",""))</f>
        <v/>
      </c>
      <c r="P1906" s="47" t="n">
        <f aca="false">IF(OR($A1906="",D1906=""),0,IF(COUNTIF($D$2:D1906,D1906)=1,SUMIF($D$2:$D$5001,D1906,$H$2:$H$5001)+ROW()/10000000,0))</f>
        <v>0</v>
      </c>
      <c r="Q1906" s="47" t="n">
        <f aca="false">IF(OR($A1906="",C1906=""),0,IF(COUNTIF($C$2:C1906,C1906)=1,SUMIF($C$2:$C$5001,C1906,$H$2:$H$5001)+ROW()/10000000,0))</f>
        <v>0</v>
      </c>
    </row>
    <row r="1907" customFormat="false" ht="15" hidden="false" customHeight="false" outlineLevel="0" collapsed="false">
      <c r="A1907" s="43"/>
      <c r="B1907" s="44"/>
      <c r="C1907" s="44"/>
      <c r="D1907" s="44"/>
      <c r="E1907" s="44"/>
      <c r="F1907" s="44"/>
      <c r="G1907" s="44"/>
      <c r="H1907" s="46" t="str">
        <f aca="false">IF($A1907="","",IF(OR(NOT(ISNUMBER(E1907)),NOT(ISNUMBER(F1907))),"",MAX(0,E1907)*F1907))</f>
        <v/>
      </c>
      <c r="I1907" s="46" t="str">
        <f aca="false">IF($A1907="","",SUMIF($A$2:$A$5001,$A1907,$H$2:$H$5001))</f>
        <v/>
      </c>
      <c r="J1907" s="47" t="n">
        <f aca="false">IF($A1907="",0,IF(COUNTIF($A$2:A1907,$A1907)=1,1,0))</f>
        <v>0</v>
      </c>
      <c r="K1907" s="47" t="n">
        <f aca="false">IF(J1907=1,N(I1907)+ROW()/10000000,0)</f>
        <v>0</v>
      </c>
      <c r="L1907" s="47" t="str">
        <f aca="false">IF(AND(J1907=1,N(I1907)&gt;0),SUMIF($K$2:$K$5001,"&gt;="&amp;K1907,$I$2:$I$5001)/MAX(1,SUM($H$2:$H$5001)),"")</f>
        <v/>
      </c>
      <c r="M1907" s="47" t="str">
        <f aca="false">IF($A1907="","",INDEX($L$2:$L$5001,MATCH($A1907,$A$2:$A$5001,0)))</f>
        <v/>
      </c>
      <c r="N1907" s="48" t="str">
        <f aca="false">IF($A1907="","",IF(N(M1907)=0,"–",IF(M1907&lt;=Start!$D$20,"A",IF(M1907&lt;=Start!$D$21,"B","C"))))</f>
        <v/>
      </c>
      <c r="O1907" s="48" t="str">
        <f aca="false">IF($A1907="","",IF(NOT(ISNUMBER(F1907)),"Wert fehlt; ",IF(F1907&lt;=0,"Wert ist 0; ",""))&amp;IF(NOT(ISNUMBER(E1907)),"Bestand fehlt; ",IF(E1907&lt;0,"Bestand negativ; ",IF(E1907=0,"Nullbestand; ","")))&amp;IF(D1907="","Warengruppe fehlt; ","")&amp;IF(B1907="","Bezeichnung fehlt; ","")&amp;IF(COUNTIFS($A$2:$A$5001,$A1907,$C$2:$C$5001,C1907)&gt;1,"Artikel doppelt im selben Lager; ",""))</f>
        <v/>
      </c>
      <c r="P1907" s="47" t="n">
        <f aca="false">IF(OR($A1907="",D1907=""),0,IF(COUNTIF($D$2:D1907,D1907)=1,SUMIF($D$2:$D$5001,D1907,$H$2:$H$5001)+ROW()/10000000,0))</f>
        <v>0</v>
      </c>
      <c r="Q1907" s="47" t="n">
        <f aca="false">IF(OR($A1907="",C1907=""),0,IF(COUNTIF($C$2:C1907,C1907)=1,SUMIF($C$2:$C$5001,C1907,$H$2:$H$5001)+ROW()/10000000,0))</f>
        <v>0</v>
      </c>
    </row>
    <row r="1908" customFormat="false" ht="15" hidden="false" customHeight="false" outlineLevel="0" collapsed="false">
      <c r="A1908" s="43"/>
      <c r="B1908" s="44"/>
      <c r="C1908" s="44"/>
      <c r="D1908" s="44"/>
      <c r="E1908" s="44"/>
      <c r="F1908" s="44"/>
      <c r="G1908" s="44"/>
      <c r="H1908" s="46" t="str">
        <f aca="false">IF($A1908="","",IF(OR(NOT(ISNUMBER(E1908)),NOT(ISNUMBER(F1908))),"",MAX(0,E1908)*F1908))</f>
        <v/>
      </c>
      <c r="I1908" s="46" t="str">
        <f aca="false">IF($A1908="","",SUMIF($A$2:$A$5001,$A1908,$H$2:$H$5001))</f>
        <v/>
      </c>
      <c r="J1908" s="47" t="n">
        <f aca="false">IF($A1908="",0,IF(COUNTIF($A$2:A1908,$A1908)=1,1,0))</f>
        <v>0</v>
      </c>
      <c r="K1908" s="47" t="n">
        <f aca="false">IF(J1908=1,N(I1908)+ROW()/10000000,0)</f>
        <v>0</v>
      </c>
      <c r="L1908" s="47" t="str">
        <f aca="false">IF(AND(J1908=1,N(I1908)&gt;0),SUMIF($K$2:$K$5001,"&gt;="&amp;K1908,$I$2:$I$5001)/MAX(1,SUM($H$2:$H$5001)),"")</f>
        <v/>
      </c>
      <c r="M1908" s="47" t="str">
        <f aca="false">IF($A1908="","",INDEX($L$2:$L$5001,MATCH($A1908,$A$2:$A$5001,0)))</f>
        <v/>
      </c>
      <c r="N1908" s="48" t="str">
        <f aca="false">IF($A1908="","",IF(N(M1908)=0,"–",IF(M1908&lt;=Start!$D$20,"A",IF(M1908&lt;=Start!$D$21,"B","C"))))</f>
        <v/>
      </c>
      <c r="O1908" s="48" t="str">
        <f aca="false">IF($A1908="","",IF(NOT(ISNUMBER(F1908)),"Wert fehlt; ",IF(F1908&lt;=0,"Wert ist 0; ",""))&amp;IF(NOT(ISNUMBER(E1908)),"Bestand fehlt; ",IF(E1908&lt;0,"Bestand negativ; ",IF(E1908=0,"Nullbestand; ","")))&amp;IF(D1908="","Warengruppe fehlt; ","")&amp;IF(B1908="","Bezeichnung fehlt; ","")&amp;IF(COUNTIFS($A$2:$A$5001,$A1908,$C$2:$C$5001,C1908)&gt;1,"Artikel doppelt im selben Lager; ",""))</f>
        <v/>
      </c>
      <c r="P1908" s="47" t="n">
        <f aca="false">IF(OR($A1908="",D1908=""),0,IF(COUNTIF($D$2:D1908,D1908)=1,SUMIF($D$2:$D$5001,D1908,$H$2:$H$5001)+ROW()/10000000,0))</f>
        <v>0</v>
      </c>
      <c r="Q1908" s="47" t="n">
        <f aca="false">IF(OR($A1908="",C1908=""),0,IF(COUNTIF($C$2:C1908,C1908)=1,SUMIF($C$2:$C$5001,C1908,$H$2:$H$5001)+ROW()/10000000,0))</f>
        <v>0</v>
      </c>
    </row>
    <row r="1909" customFormat="false" ht="15" hidden="false" customHeight="false" outlineLevel="0" collapsed="false">
      <c r="A1909" s="43"/>
      <c r="B1909" s="44"/>
      <c r="C1909" s="44"/>
      <c r="D1909" s="44"/>
      <c r="E1909" s="44"/>
      <c r="F1909" s="44"/>
      <c r="G1909" s="44"/>
      <c r="H1909" s="46" t="str">
        <f aca="false">IF($A1909="","",IF(OR(NOT(ISNUMBER(E1909)),NOT(ISNUMBER(F1909))),"",MAX(0,E1909)*F1909))</f>
        <v/>
      </c>
      <c r="I1909" s="46" t="str">
        <f aca="false">IF($A1909="","",SUMIF($A$2:$A$5001,$A1909,$H$2:$H$5001))</f>
        <v/>
      </c>
      <c r="J1909" s="47" t="n">
        <f aca="false">IF($A1909="",0,IF(COUNTIF($A$2:A1909,$A1909)=1,1,0))</f>
        <v>0</v>
      </c>
      <c r="K1909" s="47" t="n">
        <f aca="false">IF(J1909=1,N(I1909)+ROW()/10000000,0)</f>
        <v>0</v>
      </c>
      <c r="L1909" s="47" t="str">
        <f aca="false">IF(AND(J1909=1,N(I1909)&gt;0),SUMIF($K$2:$K$5001,"&gt;="&amp;K1909,$I$2:$I$5001)/MAX(1,SUM($H$2:$H$5001)),"")</f>
        <v/>
      </c>
      <c r="M1909" s="47" t="str">
        <f aca="false">IF($A1909="","",INDEX($L$2:$L$5001,MATCH($A1909,$A$2:$A$5001,0)))</f>
        <v/>
      </c>
      <c r="N1909" s="48" t="str">
        <f aca="false">IF($A1909="","",IF(N(M1909)=0,"–",IF(M1909&lt;=Start!$D$20,"A",IF(M1909&lt;=Start!$D$21,"B","C"))))</f>
        <v/>
      </c>
      <c r="O1909" s="48" t="str">
        <f aca="false">IF($A1909="","",IF(NOT(ISNUMBER(F1909)),"Wert fehlt; ",IF(F1909&lt;=0,"Wert ist 0; ",""))&amp;IF(NOT(ISNUMBER(E1909)),"Bestand fehlt; ",IF(E1909&lt;0,"Bestand negativ; ",IF(E1909=0,"Nullbestand; ","")))&amp;IF(D1909="","Warengruppe fehlt; ","")&amp;IF(B1909="","Bezeichnung fehlt; ","")&amp;IF(COUNTIFS($A$2:$A$5001,$A1909,$C$2:$C$5001,C1909)&gt;1,"Artikel doppelt im selben Lager; ",""))</f>
        <v/>
      </c>
      <c r="P1909" s="47" t="n">
        <f aca="false">IF(OR($A1909="",D1909=""),0,IF(COUNTIF($D$2:D1909,D1909)=1,SUMIF($D$2:$D$5001,D1909,$H$2:$H$5001)+ROW()/10000000,0))</f>
        <v>0</v>
      </c>
      <c r="Q1909" s="47" t="n">
        <f aca="false">IF(OR($A1909="",C1909=""),0,IF(COUNTIF($C$2:C1909,C1909)=1,SUMIF($C$2:$C$5001,C1909,$H$2:$H$5001)+ROW()/10000000,0))</f>
        <v>0</v>
      </c>
    </row>
    <row r="1910" customFormat="false" ht="15" hidden="false" customHeight="false" outlineLevel="0" collapsed="false">
      <c r="A1910" s="43"/>
      <c r="B1910" s="44"/>
      <c r="C1910" s="44"/>
      <c r="D1910" s="44"/>
      <c r="E1910" s="44"/>
      <c r="F1910" s="44"/>
      <c r="G1910" s="44"/>
      <c r="H1910" s="46" t="str">
        <f aca="false">IF($A1910="","",IF(OR(NOT(ISNUMBER(E1910)),NOT(ISNUMBER(F1910))),"",MAX(0,E1910)*F1910))</f>
        <v/>
      </c>
      <c r="I1910" s="46" t="str">
        <f aca="false">IF($A1910="","",SUMIF($A$2:$A$5001,$A1910,$H$2:$H$5001))</f>
        <v/>
      </c>
      <c r="J1910" s="47" t="n">
        <f aca="false">IF($A1910="",0,IF(COUNTIF($A$2:A1910,$A1910)=1,1,0))</f>
        <v>0</v>
      </c>
      <c r="K1910" s="47" t="n">
        <f aca="false">IF(J1910=1,N(I1910)+ROW()/10000000,0)</f>
        <v>0</v>
      </c>
      <c r="L1910" s="47" t="str">
        <f aca="false">IF(AND(J1910=1,N(I1910)&gt;0),SUMIF($K$2:$K$5001,"&gt;="&amp;K1910,$I$2:$I$5001)/MAX(1,SUM($H$2:$H$5001)),"")</f>
        <v/>
      </c>
      <c r="M1910" s="47" t="str">
        <f aca="false">IF($A1910="","",INDEX($L$2:$L$5001,MATCH($A1910,$A$2:$A$5001,0)))</f>
        <v/>
      </c>
      <c r="N1910" s="48" t="str">
        <f aca="false">IF($A1910="","",IF(N(M1910)=0,"–",IF(M1910&lt;=Start!$D$20,"A",IF(M1910&lt;=Start!$D$21,"B","C"))))</f>
        <v/>
      </c>
      <c r="O1910" s="48" t="str">
        <f aca="false">IF($A1910="","",IF(NOT(ISNUMBER(F1910)),"Wert fehlt; ",IF(F1910&lt;=0,"Wert ist 0; ",""))&amp;IF(NOT(ISNUMBER(E1910)),"Bestand fehlt; ",IF(E1910&lt;0,"Bestand negativ; ",IF(E1910=0,"Nullbestand; ","")))&amp;IF(D1910="","Warengruppe fehlt; ","")&amp;IF(B1910="","Bezeichnung fehlt; ","")&amp;IF(COUNTIFS($A$2:$A$5001,$A1910,$C$2:$C$5001,C1910)&gt;1,"Artikel doppelt im selben Lager; ",""))</f>
        <v/>
      </c>
      <c r="P1910" s="47" t="n">
        <f aca="false">IF(OR($A1910="",D1910=""),0,IF(COUNTIF($D$2:D1910,D1910)=1,SUMIF($D$2:$D$5001,D1910,$H$2:$H$5001)+ROW()/10000000,0))</f>
        <v>0</v>
      </c>
      <c r="Q1910" s="47" t="n">
        <f aca="false">IF(OR($A1910="",C1910=""),0,IF(COUNTIF($C$2:C1910,C1910)=1,SUMIF($C$2:$C$5001,C1910,$H$2:$H$5001)+ROW()/10000000,0))</f>
        <v>0</v>
      </c>
    </row>
    <row r="1911" customFormat="false" ht="15" hidden="false" customHeight="false" outlineLevel="0" collapsed="false">
      <c r="A1911" s="43"/>
      <c r="B1911" s="44"/>
      <c r="C1911" s="44"/>
      <c r="D1911" s="44"/>
      <c r="E1911" s="44"/>
      <c r="F1911" s="44"/>
      <c r="G1911" s="44"/>
      <c r="H1911" s="46" t="str">
        <f aca="false">IF($A1911="","",IF(OR(NOT(ISNUMBER(E1911)),NOT(ISNUMBER(F1911))),"",MAX(0,E1911)*F1911))</f>
        <v/>
      </c>
      <c r="I1911" s="46" t="str">
        <f aca="false">IF($A1911="","",SUMIF($A$2:$A$5001,$A1911,$H$2:$H$5001))</f>
        <v/>
      </c>
      <c r="J1911" s="47" t="n">
        <f aca="false">IF($A1911="",0,IF(COUNTIF($A$2:A1911,$A1911)=1,1,0))</f>
        <v>0</v>
      </c>
      <c r="K1911" s="47" t="n">
        <f aca="false">IF(J1911=1,N(I1911)+ROW()/10000000,0)</f>
        <v>0</v>
      </c>
      <c r="L1911" s="47" t="str">
        <f aca="false">IF(AND(J1911=1,N(I1911)&gt;0),SUMIF($K$2:$K$5001,"&gt;="&amp;K1911,$I$2:$I$5001)/MAX(1,SUM($H$2:$H$5001)),"")</f>
        <v/>
      </c>
      <c r="M1911" s="47" t="str">
        <f aca="false">IF($A1911="","",INDEX($L$2:$L$5001,MATCH($A1911,$A$2:$A$5001,0)))</f>
        <v/>
      </c>
      <c r="N1911" s="48" t="str">
        <f aca="false">IF($A1911="","",IF(N(M1911)=0,"–",IF(M1911&lt;=Start!$D$20,"A",IF(M1911&lt;=Start!$D$21,"B","C"))))</f>
        <v/>
      </c>
      <c r="O1911" s="48" t="str">
        <f aca="false">IF($A1911="","",IF(NOT(ISNUMBER(F1911)),"Wert fehlt; ",IF(F1911&lt;=0,"Wert ist 0; ",""))&amp;IF(NOT(ISNUMBER(E1911)),"Bestand fehlt; ",IF(E1911&lt;0,"Bestand negativ; ",IF(E1911=0,"Nullbestand; ","")))&amp;IF(D1911="","Warengruppe fehlt; ","")&amp;IF(B1911="","Bezeichnung fehlt; ","")&amp;IF(COUNTIFS($A$2:$A$5001,$A1911,$C$2:$C$5001,C1911)&gt;1,"Artikel doppelt im selben Lager; ",""))</f>
        <v/>
      </c>
      <c r="P1911" s="47" t="n">
        <f aca="false">IF(OR($A1911="",D1911=""),0,IF(COUNTIF($D$2:D1911,D1911)=1,SUMIF($D$2:$D$5001,D1911,$H$2:$H$5001)+ROW()/10000000,0))</f>
        <v>0</v>
      </c>
      <c r="Q1911" s="47" t="n">
        <f aca="false">IF(OR($A1911="",C1911=""),0,IF(COUNTIF($C$2:C1911,C1911)=1,SUMIF($C$2:$C$5001,C1911,$H$2:$H$5001)+ROW()/10000000,0))</f>
        <v>0</v>
      </c>
    </row>
    <row r="1912" customFormat="false" ht="15" hidden="false" customHeight="false" outlineLevel="0" collapsed="false">
      <c r="A1912" s="43"/>
      <c r="B1912" s="44"/>
      <c r="C1912" s="44"/>
      <c r="D1912" s="44"/>
      <c r="E1912" s="44"/>
      <c r="F1912" s="44"/>
      <c r="G1912" s="44"/>
      <c r="H1912" s="46" t="str">
        <f aca="false">IF($A1912="","",IF(OR(NOT(ISNUMBER(E1912)),NOT(ISNUMBER(F1912))),"",MAX(0,E1912)*F1912))</f>
        <v/>
      </c>
      <c r="I1912" s="46" t="str">
        <f aca="false">IF($A1912="","",SUMIF($A$2:$A$5001,$A1912,$H$2:$H$5001))</f>
        <v/>
      </c>
      <c r="J1912" s="47" t="n">
        <f aca="false">IF($A1912="",0,IF(COUNTIF($A$2:A1912,$A1912)=1,1,0))</f>
        <v>0</v>
      </c>
      <c r="K1912" s="47" t="n">
        <f aca="false">IF(J1912=1,N(I1912)+ROW()/10000000,0)</f>
        <v>0</v>
      </c>
      <c r="L1912" s="47" t="str">
        <f aca="false">IF(AND(J1912=1,N(I1912)&gt;0),SUMIF($K$2:$K$5001,"&gt;="&amp;K1912,$I$2:$I$5001)/MAX(1,SUM($H$2:$H$5001)),"")</f>
        <v/>
      </c>
      <c r="M1912" s="47" t="str">
        <f aca="false">IF($A1912="","",INDEX($L$2:$L$5001,MATCH($A1912,$A$2:$A$5001,0)))</f>
        <v/>
      </c>
      <c r="N1912" s="48" t="str">
        <f aca="false">IF($A1912="","",IF(N(M1912)=0,"–",IF(M1912&lt;=Start!$D$20,"A",IF(M1912&lt;=Start!$D$21,"B","C"))))</f>
        <v/>
      </c>
      <c r="O1912" s="48" t="str">
        <f aca="false">IF($A1912="","",IF(NOT(ISNUMBER(F1912)),"Wert fehlt; ",IF(F1912&lt;=0,"Wert ist 0; ",""))&amp;IF(NOT(ISNUMBER(E1912)),"Bestand fehlt; ",IF(E1912&lt;0,"Bestand negativ; ",IF(E1912=0,"Nullbestand; ","")))&amp;IF(D1912="","Warengruppe fehlt; ","")&amp;IF(B1912="","Bezeichnung fehlt; ","")&amp;IF(COUNTIFS($A$2:$A$5001,$A1912,$C$2:$C$5001,C1912)&gt;1,"Artikel doppelt im selben Lager; ",""))</f>
        <v/>
      </c>
      <c r="P1912" s="47" t="n">
        <f aca="false">IF(OR($A1912="",D1912=""),0,IF(COUNTIF($D$2:D1912,D1912)=1,SUMIF($D$2:$D$5001,D1912,$H$2:$H$5001)+ROW()/10000000,0))</f>
        <v>0</v>
      </c>
      <c r="Q1912" s="47" t="n">
        <f aca="false">IF(OR($A1912="",C1912=""),0,IF(COUNTIF($C$2:C1912,C1912)=1,SUMIF($C$2:$C$5001,C1912,$H$2:$H$5001)+ROW()/10000000,0))</f>
        <v>0</v>
      </c>
    </row>
    <row r="1913" customFormat="false" ht="15" hidden="false" customHeight="false" outlineLevel="0" collapsed="false">
      <c r="A1913" s="43"/>
      <c r="B1913" s="44"/>
      <c r="C1913" s="44"/>
      <c r="D1913" s="44"/>
      <c r="E1913" s="44"/>
      <c r="F1913" s="44"/>
      <c r="G1913" s="44"/>
      <c r="H1913" s="46" t="str">
        <f aca="false">IF($A1913="","",IF(OR(NOT(ISNUMBER(E1913)),NOT(ISNUMBER(F1913))),"",MAX(0,E1913)*F1913))</f>
        <v/>
      </c>
      <c r="I1913" s="46" t="str">
        <f aca="false">IF($A1913="","",SUMIF($A$2:$A$5001,$A1913,$H$2:$H$5001))</f>
        <v/>
      </c>
      <c r="J1913" s="47" t="n">
        <f aca="false">IF($A1913="",0,IF(COUNTIF($A$2:A1913,$A1913)=1,1,0))</f>
        <v>0</v>
      </c>
      <c r="K1913" s="47" t="n">
        <f aca="false">IF(J1913=1,N(I1913)+ROW()/10000000,0)</f>
        <v>0</v>
      </c>
      <c r="L1913" s="47" t="str">
        <f aca="false">IF(AND(J1913=1,N(I1913)&gt;0),SUMIF($K$2:$K$5001,"&gt;="&amp;K1913,$I$2:$I$5001)/MAX(1,SUM($H$2:$H$5001)),"")</f>
        <v/>
      </c>
      <c r="M1913" s="47" t="str">
        <f aca="false">IF($A1913="","",INDEX($L$2:$L$5001,MATCH($A1913,$A$2:$A$5001,0)))</f>
        <v/>
      </c>
      <c r="N1913" s="48" t="str">
        <f aca="false">IF($A1913="","",IF(N(M1913)=0,"–",IF(M1913&lt;=Start!$D$20,"A",IF(M1913&lt;=Start!$D$21,"B","C"))))</f>
        <v/>
      </c>
      <c r="O1913" s="48" t="str">
        <f aca="false">IF($A1913="","",IF(NOT(ISNUMBER(F1913)),"Wert fehlt; ",IF(F1913&lt;=0,"Wert ist 0; ",""))&amp;IF(NOT(ISNUMBER(E1913)),"Bestand fehlt; ",IF(E1913&lt;0,"Bestand negativ; ",IF(E1913=0,"Nullbestand; ","")))&amp;IF(D1913="","Warengruppe fehlt; ","")&amp;IF(B1913="","Bezeichnung fehlt; ","")&amp;IF(COUNTIFS($A$2:$A$5001,$A1913,$C$2:$C$5001,C1913)&gt;1,"Artikel doppelt im selben Lager; ",""))</f>
        <v/>
      </c>
      <c r="P1913" s="47" t="n">
        <f aca="false">IF(OR($A1913="",D1913=""),0,IF(COUNTIF($D$2:D1913,D1913)=1,SUMIF($D$2:$D$5001,D1913,$H$2:$H$5001)+ROW()/10000000,0))</f>
        <v>0</v>
      </c>
      <c r="Q1913" s="47" t="n">
        <f aca="false">IF(OR($A1913="",C1913=""),0,IF(COUNTIF($C$2:C1913,C1913)=1,SUMIF($C$2:$C$5001,C1913,$H$2:$H$5001)+ROW()/10000000,0))</f>
        <v>0</v>
      </c>
    </row>
    <row r="1914" customFormat="false" ht="15" hidden="false" customHeight="false" outlineLevel="0" collapsed="false">
      <c r="A1914" s="43"/>
      <c r="B1914" s="44"/>
      <c r="C1914" s="44"/>
      <c r="D1914" s="44"/>
      <c r="E1914" s="44"/>
      <c r="F1914" s="44"/>
      <c r="G1914" s="44"/>
      <c r="H1914" s="46" t="str">
        <f aca="false">IF($A1914="","",IF(OR(NOT(ISNUMBER(E1914)),NOT(ISNUMBER(F1914))),"",MAX(0,E1914)*F1914))</f>
        <v/>
      </c>
      <c r="I1914" s="46" t="str">
        <f aca="false">IF($A1914="","",SUMIF($A$2:$A$5001,$A1914,$H$2:$H$5001))</f>
        <v/>
      </c>
      <c r="J1914" s="47" t="n">
        <f aca="false">IF($A1914="",0,IF(COUNTIF($A$2:A1914,$A1914)=1,1,0))</f>
        <v>0</v>
      </c>
      <c r="K1914" s="47" t="n">
        <f aca="false">IF(J1914=1,N(I1914)+ROW()/10000000,0)</f>
        <v>0</v>
      </c>
      <c r="L1914" s="47" t="str">
        <f aca="false">IF(AND(J1914=1,N(I1914)&gt;0),SUMIF($K$2:$K$5001,"&gt;="&amp;K1914,$I$2:$I$5001)/MAX(1,SUM($H$2:$H$5001)),"")</f>
        <v/>
      </c>
      <c r="M1914" s="47" t="str">
        <f aca="false">IF($A1914="","",INDEX($L$2:$L$5001,MATCH($A1914,$A$2:$A$5001,0)))</f>
        <v/>
      </c>
      <c r="N1914" s="48" t="str">
        <f aca="false">IF($A1914="","",IF(N(M1914)=0,"–",IF(M1914&lt;=Start!$D$20,"A",IF(M1914&lt;=Start!$D$21,"B","C"))))</f>
        <v/>
      </c>
      <c r="O1914" s="48" t="str">
        <f aca="false">IF($A1914="","",IF(NOT(ISNUMBER(F1914)),"Wert fehlt; ",IF(F1914&lt;=0,"Wert ist 0; ",""))&amp;IF(NOT(ISNUMBER(E1914)),"Bestand fehlt; ",IF(E1914&lt;0,"Bestand negativ; ",IF(E1914=0,"Nullbestand; ","")))&amp;IF(D1914="","Warengruppe fehlt; ","")&amp;IF(B1914="","Bezeichnung fehlt; ","")&amp;IF(COUNTIFS($A$2:$A$5001,$A1914,$C$2:$C$5001,C1914)&gt;1,"Artikel doppelt im selben Lager; ",""))</f>
        <v/>
      </c>
      <c r="P1914" s="47" t="n">
        <f aca="false">IF(OR($A1914="",D1914=""),0,IF(COUNTIF($D$2:D1914,D1914)=1,SUMIF($D$2:$D$5001,D1914,$H$2:$H$5001)+ROW()/10000000,0))</f>
        <v>0</v>
      </c>
      <c r="Q1914" s="47" t="n">
        <f aca="false">IF(OR($A1914="",C1914=""),0,IF(COUNTIF($C$2:C1914,C1914)=1,SUMIF($C$2:$C$5001,C1914,$H$2:$H$5001)+ROW()/10000000,0))</f>
        <v>0</v>
      </c>
    </row>
    <row r="1915" customFormat="false" ht="15" hidden="false" customHeight="false" outlineLevel="0" collapsed="false">
      <c r="A1915" s="43"/>
      <c r="B1915" s="44"/>
      <c r="C1915" s="44"/>
      <c r="D1915" s="44"/>
      <c r="E1915" s="44"/>
      <c r="F1915" s="44"/>
      <c r="G1915" s="44"/>
      <c r="H1915" s="46" t="str">
        <f aca="false">IF($A1915="","",IF(OR(NOT(ISNUMBER(E1915)),NOT(ISNUMBER(F1915))),"",MAX(0,E1915)*F1915))</f>
        <v/>
      </c>
      <c r="I1915" s="46" t="str">
        <f aca="false">IF($A1915="","",SUMIF($A$2:$A$5001,$A1915,$H$2:$H$5001))</f>
        <v/>
      </c>
      <c r="J1915" s="47" t="n">
        <f aca="false">IF($A1915="",0,IF(COUNTIF($A$2:A1915,$A1915)=1,1,0))</f>
        <v>0</v>
      </c>
      <c r="K1915" s="47" t="n">
        <f aca="false">IF(J1915=1,N(I1915)+ROW()/10000000,0)</f>
        <v>0</v>
      </c>
      <c r="L1915" s="47" t="str">
        <f aca="false">IF(AND(J1915=1,N(I1915)&gt;0),SUMIF($K$2:$K$5001,"&gt;="&amp;K1915,$I$2:$I$5001)/MAX(1,SUM($H$2:$H$5001)),"")</f>
        <v/>
      </c>
      <c r="M1915" s="47" t="str">
        <f aca="false">IF($A1915="","",INDEX($L$2:$L$5001,MATCH($A1915,$A$2:$A$5001,0)))</f>
        <v/>
      </c>
      <c r="N1915" s="48" t="str">
        <f aca="false">IF($A1915="","",IF(N(M1915)=0,"–",IF(M1915&lt;=Start!$D$20,"A",IF(M1915&lt;=Start!$D$21,"B","C"))))</f>
        <v/>
      </c>
      <c r="O1915" s="48" t="str">
        <f aca="false">IF($A1915="","",IF(NOT(ISNUMBER(F1915)),"Wert fehlt; ",IF(F1915&lt;=0,"Wert ist 0; ",""))&amp;IF(NOT(ISNUMBER(E1915)),"Bestand fehlt; ",IF(E1915&lt;0,"Bestand negativ; ",IF(E1915=0,"Nullbestand; ","")))&amp;IF(D1915="","Warengruppe fehlt; ","")&amp;IF(B1915="","Bezeichnung fehlt; ","")&amp;IF(COUNTIFS($A$2:$A$5001,$A1915,$C$2:$C$5001,C1915)&gt;1,"Artikel doppelt im selben Lager; ",""))</f>
        <v/>
      </c>
      <c r="P1915" s="47" t="n">
        <f aca="false">IF(OR($A1915="",D1915=""),0,IF(COUNTIF($D$2:D1915,D1915)=1,SUMIF($D$2:$D$5001,D1915,$H$2:$H$5001)+ROW()/10000000,0))</f>
        <v>0</v>
      </c>
      <c r="Q1915" s="47" t="n">
        <f aca="false">IF(OR($A1915="",C1915=""),0,IF(COUNTIF($C$2:C1915,C1915)=1,SUMIF($C$2:$C$5001,C1915,$H$2:$H$5001)+ROW()/10000000,0))</f>
        <v>0</v>
      </c>
    </row>
    <row r="1916" customFormat="false" ht="15" hidden="false" customHeight="false" outlineLevel="0" collapsed="false">
      <c r="A1916" s="43"/>
      <c r="B1916" s="44"/>
      <c r="C1916" s="44"/>
      <c r="D1916" s="44"/>
      <c r="E1916" s="44"/>
      <c r="F1916" s="44"/>
      <c r="G1916" s="44"/>
      <c r="H1916" s="46" t="str">
        <f aca="false">IF($A1916="","",IF(OR(NOT(ISNUMBER(E1916)),NOT(ISNUMBER(F1916))),"",MAX(0,E1916)*F1916))</f>
        <v/>
      </c>
      <c r="I1916" s="46" t="str">
        <f aca="false">IF($A1916="","",SUMIF($A$2:$A$5001,$A1916,$H$2:$H$5001))</f>
        <v/>
      </c>
      <c r="J1916" s="47" t="n">
        <f aca="false">IF($A1916="",0,IF(COUNTIF($A$2:A1916,$A1916)=1,1,0))</f>
        <v>0</v>
      </c>
      <c r="K1916" s="47" t="n">
        <f aca="false">IF(J1916=1,N(I1916)+ROW()/10000000,0)</f>
        <v>0</v>
      </c>
      <c r="L1916" s="47" t="str">
        <f aca="false">IF(AND(J1916=1,N(I1916)&gt;0),SUMIF($K$2:$K$5001,"&gt;="&amp;K1916,$I$2:$I$5001)/MAX(1,SUM($H$2:$H$5001)),"")</f>
        <v/>
      </c>
      <c r="M1916" s="47" t="str">
        <f aca="false">IF($A1916="","",INDEX($L$2:$L$5001,MATCH($A1916,$A$2:$A$5001,0)))</f>
        <v/>
      </c>
      <c r="N1916" s="48" t="str">
        <f aca="false">IF($A1916="","",IF(N(M1916)=0,"–",IF(M1916&lt;=Start!$D$20,"A",IF(M1916&lt;=Start!$D$21,"B","C"))))</f>
        <v/>
      </c>
      <c r="O1916" s="48" t="str">
        <f aca="false">IF($A1916="","",IF(NOT(ISNUMBER(F1916)),"Wert fehlt; ",IF(F1916&lt;=0,"Wert ist 0; ",""))&amp;IF(NOT(ISNUMBER(E1916)),"Bestand fehlt; ",IF(E1916&lt;0,"Bestand negativ; ",IF(E1916=0,"Nullbestand; ","")))&amp;IF(D1916="","Warengruppe fehlt; ","")&amp;IF(B1916="","Bezeichnung fehlt; ","")&amp;IF(COUNTIFS($A$2:$A$5001,$A1916,$C$2:$C$5001,C1916)&gt;1,"Artikel doppelt im selben Lager; ",""))</f>
        <v/>
      </c>
      <c r="P1916" s="47" t="n">
        <f aca="false">IF(OR($A1916="",D1916=""),0,IF(COUNTIF($D$2:D1916,D1916)=1,SUMIF($D$2:$D$5001,D1916,$H$2:$H$5001)+ROW()/10000000,0))</f>
        <v>0</v>
      </c>
      <c r="Q1916" s="47" t="n">
        <f aca="false">IF(OR($A1916="",C1916=""),0,IF(COUNTIF($C$2:C1916,C1916)=1,SUMIF($C$2:$C$5001,C1916,$H$2:$H$5001)+ROW()/10000000,0))</f>
        <v>0</v>
      </c>
    </row>
    <row r="1917" customFormat="false" ht="15" hidden="false" customHeight="false" outlineLevel="0" collapsed="false">
      <c r="A1917" s="43"/>
      <c r="B1917" s="44"/>
      <c r="C1917" s="44"/>
      <c r="D1917" s="44"/>
      <c r="E1917" s="44"/>
      <c r="F1917" s="44"/>
      <c r="G1917" s="44"/>
      <c r="H1917" s="46" t="str">
        <f aca="false">IF($A1917="","",IF(OR(NOT(ISNUMBER(E1917)),NOT(ISNUMBER(F1917))),"",MAX(0,E1917)*F1917))</f>
        <v/>
      </c>
      <c r="I1917" s="46" t="str">
        <f aca="false">IF($A1917="","",SUMIF($A$2:$A$5001,$A1917,$H$2:$H$5001))</f>
        <v/>
      </c>
      <c r="J1917" s="47" t="n">
        <f aca="false">IF($A1917="",0,IF(COUNTIF($A$2:A1917,$A1917)=1,1,0))</f>
        <v>0</v>
      </c>
      <c r="K1917" s="47" t="n">
        <f aca="false">IF(J1917=1,N(I1917)+ROW()/10000000,0)</f>
        <v>0</v>
      </c>
      <c r="L1917" s="47" t="str">
        <f aca="false">IF(AND(J1917=1,N(I1917)&gt;0),SUMIF($K$2:$K$5001,"&gt;="&amp;K1917,$I$2:$I$5001)/MAX(1,SUM($H$2:$H$5001)),"")</f>
        <v/>
      </c>
      <c r="M1917" s="47" t="str">
        <f aca="false">IF($A1917="","",INDEX($L$2:$L$5001,MATCH($A1917,$A$2:$A$5001,0)))</f>
        <v/>
      </c>
      <c r="N1917" s="48" t="str">
        <f aca="false">IF($A1917="","",IF(N(M1917)=0,"–",IF(M1917&lt;=Start!$D$20,"A",IF(M1917&lt;=Start!$D$21,"B","C"))))</f>
        <v/>
      </c>
      <c r="O1917" s="48" t="str">
        <f aca="false">IF($A1917="","",IF(NOT(ISNUMBER(F1917)),"Wert fehlt; ",IF(F1917&lt;=0,"Wert ist 0; ",""))&amp;IF(NOT(ISNUMBER(E1917)),"Bestand fehlt; ",IF(E1917&lt;0,"Bestand negativ; ",IF(E1917=0,"Nullbestand; ","")))&amp;IF(D1917="","Warengruppe fehlt; ","")&amp;IF(B1917="","Bezeichnung fehlt; ","")&amp;IF(COUNTIFS($A$2:$A$5001,$A1917,$C$2:$C$5001,C1917)&gt;1,"Artikel doppelt im selben Lager; ",""))</f>
        <v/>
      </c>
      <c r="P1917" s="47" t="n">
        <f aca="false">IF(OR($A1917="",D1917=""),0,IF(COUNTIF($D$2:D1917,D1917)=1,SUMIF($D$2:$D$5001,D1917,$H$2:$H$5001)+ROW()/10000000,0))</f>
        <v>0</v>
      </c>
      <c r="Q1917" s="47" t="n">
        <f aca="false">IF(OR($A1917="",C1917=""),0,IF(COUNTIF($C$2:C1917,C1917)=1,SUMIF($C$2:$C$5001,C1917,$H$2:$H$5001)+ROW()/10000000,0))</f>
        <v>0</v>
      </c>
    </row>
    <row r="1918" customFormat="false" ht="15" hidden="false" customHeight="false" outlineLevel="0" collapsed="false">
      <c r="A1918" s="43"/>
      <c r="B1918" s="44"/>
      <c r="C1918" s="44"/>
      <c r="D1918" s="44"/>
      <c r="E1918" s="44"/>
      <c r="F1918" s="44"/>
      <c r="G1918" s="44"/>
      <c r="H1918" s="46" t="str">
        <f aca="false">IF($A1918="","",IF(OR(NOT(ISNUMBER(E1918)),NOT(ISNUMBER(F1918))),"",MAX(0,E1918)*F1918))</f>
        <v/>
      </c>
      <c r="I1918" s="46" t="str">
        <f aca="false">IF($A1918="","",SUMIF($A$2:$A$5001,$A1918,$H$2:$H$5001))</f>
        <v/>
      </c>
      <c r="J1918" s="47" t="n">
        <f aca="false">IF($A1918="",0,IF(COUNTIF($A$2:A1918,$A1918)=1,1,0))</f>
        <v>0</v>
      </c>
      <c r="K1918" s="47" t="n">
        <f aca="false">IF(J1918=1,N(I1918)+ROW()/10000000,0)</f>
        <v>0</v>
      </c>
      <c r="L1918" s="47" t="str">
        <f aca="false">IF(AND(J1918=1,N(I1918)&gt;0),SUMIF($K$2:$K$5001,"&gt;="&amp;K1918,$I$2:$I$5001)/MAX(1,SUM($H$2:$H$5001)),"")</f>
        <v/>
      </c>
      <c r="M1918" s="47" t="str">
        <f aca="false">IF($A1918="","",INDEX($L$2:$L$5001,MATCH($A1918,$A$2:$A$5001,0)))</f>
        <v/>
      </c>
      <c r="N1918" s="48" t="str">
        <f aca="false">IF($A1918="","",IF(N(M1918)=0,"–",IF(M1918&lt;=Start!$D$20,"A",IF(M1918&lt;=Start!$D$21,"B","C"))))</f>
        <v/>
      </c>
      <c r="O1918" s="48" t="str">
        <f aca="false">IF($A1918="","",IF(NOT(ISNUMBER(F1918)),"Wert fehlt; ",IF(F1918&lt;=0,"Wert ist 0; ",""))&amp;IF(NOT(ISNUMBER(E1918)),"Bestand fehlt; ",IF(E1918&lt;0,"Bestand negativ; ",IF(E1918=0,"Nullbestand; ","")))&amp;IF(D1918="","Warengruppe fehlt; ","")&amp;IF(B1918="","Bezeichnung fehlt; ","")&amp;IF(COUNTIFS($A$2:$A$5001,$A1918,$C$2:$C$5001,C1918)&gt;1,"Artikel doppelt im selben Lager; ",""))</f>
        <v/>
      </c>
      <c r="P1918" s="47" t="n">
        <f aca="false">IF(OR($A1918="",D1918=""),0,IF(COUNTIF($D$2:D1918,D1918)=1,SUMIF($D$2:$D$5001,D1918,$H$2:$H$5001)+ROW()/10000000,0))</f>
        <v>0</v>
      </c>
      <c r="Q1918" s="47" t="n">
        <f aca="false">IF(OR($A1918="",C1918=""),0,IF(COUNTIF($C$2:C1918,C1918)=1,SUMIF($C$2:$C$5001,C1918,$H$2:$H$5001)+ROW()/10000000,0))</f>
        <v>0</v>
      </c>
    </row>
    <row r="1919" customFormat="false" ht="15" hidden="false" customHeight="false" outlineLevel="0" collapsed="false">
      <c r="A1919" s="43"/>
      <c r="B1919" s="44"/>
      <c r="C1919" s="44"/>
      <c r="D1919" s="44"/>
      <c r="E1919" s="44"/>
      <c r="F1919" s="44"/>
      <c r="G1919" s="44"/>
      <c r="H1919" s="46" t="str">
        <f aca="false">IF($A1919="","",IF(OR(NOT(ISNUMBER(E1919)),NOT(ISNUMBER(F1919))),"",MAX(0,E1919)*F1919))</f>
        <v/>
      </c>
      <c r="I1919" s="46" t="str">
        <f aca="false">IF($A1919="","",SUMIF($A$2:$A$5001,$A1919,$H$2:$H$5001))</f>
        <v/>
      </c>
      <c r="J1919" s="47" t="n">
        <f aca="false">IF($A1919="",0,IF(COUNTIF($A$2:A1919,$A1919)=1,1,0))</f>
        <v>0</v>
      </c>
      <c r="K1919" s="47" t="n">
        <f aca="false">IF(J1919=1,N(I1919)+ROW()/10000000,0)</f>
        <v>0</v>
      </c>
      <c r="L1919" s="47" t="str">
        <f aca="false">IF(AND(J1919=1,N(I1919)&gt;0),SUMIF($K$2:$K$5001,"&gt;="&amp;K1919,$I$2:$I$5001)/MAX(1,SUM($H$2:$H$5001)),"")</f>
        <v/>
      </c>
      <c r="M1919" s="47" t="str">
        <f aca="false">IF($A1919="","",INDEX($L$2:$L$5001,MATCH($A1919,$A$2:$A$5001,0)))</f>
        <v/>
      </c>
      <c r="N1919" s="48" t="str">
        <f aca="false">IF($A1919="","",IF(N(M1919)=0,"–",IF(M1919&lt;=Start!$D$20,"A",IF(M1919&lt;=Start!$D$21,"B","C"))))</f>
        <v/>
      </c>
      <c r="O1919" s="48" t="str">
        <f aca="false">IF($A1919="","",IF(NOT(ISNUMBER(F1919)),"Wert fehlt; ",IF(F1919&lt;=0,"Wert ist 0; ",""))&amp;IF(NOT(ISNUMBER(E1919)),"Bestand fehlt; ",IF(E1919&lt;0,"Bestand negativ; ",IF(E1919=0,"Nullbestand; ","")))&amp;IF(D1919="","Warengruppe fehlt; ","")&amp;IF(B1919="","Bezeichnung fehlt; ","")&amp;IF(COUNTIFS($A$2:$A$5001,$A1919,$C$2:$C$5001,C1919)&gt;1,"Artikel doppelt im selben Lager; ",""))</f>
        <v/>
      </c>
      <c r="P1919" s="47" t="n">
        <f aca="false">IF(OR($A1919="",D1919=""),0,IF(COUNTIF($D$2:D1919,D1919)=1,SUMIF($D$2:$D$5001,D1919,$H$2:$H$5001)+ROW()/10000000,0))</f>
        <v>0</v>
      </c>
      <c r="Q1919" s="47" t="n">
        <f aca="false">IF(OR($A1919="",C1919=""),0,IF(COUNTIF($C$2:C1919,C1919)=1,SUMIF($C$2:$C$5001,C1919,$H$2:$H$5001)+ROW()/10000000,0))</f>
        <v>0</v>
      </c>
    </row>
    <row r="1920" customFormat="false" ht="15" hidden="false" customHeight="false" outlineLevel="0" collapsed="false">
      <c r="A1920" s="43"/>
      <c r="B1920" s="44"/>
      <c r="C1920" s="44"/>
      <c r="D1920" s="44"/>
      <c r="E1920" s="44"/>
      <c r="F1920" s="44"/>
      <c r="G1920" s="44"/>
      <c r="H1920" s="46" t="str">
        <f aca="false">IF($A1920="","",IF(OR(NOT(ISNUMBER(E1920)),NOT(ISNUMBER(F1920))),"",MAX(0,E1920)*F1920))</f>
        <v/>
      </c>
      <c r="I1920" s="46" t="str">
        <f aca="false">IF($A1920="","",SUMIF($A$2:$A$5001,$A1920,$H$2:$H$5001))</f>
        <v/>
      </c>
      <c r="J1920" s="47" t="n">
        <f aca="false">IF($A1920="",0,IF(COUNTIF($A$2:A1920,$A1920)=1,1,0))</f>
        <v>0</v>
      </c>
      <c r="K1920" s="47" t="n">
        <f aca="false">IF(J1920=1,N(I1920)+ROW()/10000000,0)</f>
        <v>0</v>
      </c>
      <c r="L1920" s="47" t="str">
        <f aca="false">IF(AND(J1920=1,N(I1920)&gt;0),SUMIF($K$2:$K$5001,"&gt;="&amp;K1920,$I$2:$I$5001)/MAX(1,SUM($H$2:$H$5001)),"")</f>
        <v/>
      </c>
      <c r="M1920" s="47" t="str">
        <f aca="false">IF($A1920="","",INDEX($L$2:$L$5001,MATCH($A1920,$A$2:$A$5001,0)))</f>
        <v/>
      </c>
      <c r="N1920" s="48" t="str">
        <f aca="false">IF($A1920="","",IF(N(M1920)=0,"–",IF(M1920&lt;=Start!$D$20,"A",IF(M1920&lt;=Start!$D$21,"B","C"))))</f>
        <v/>
      </c>
      <c r="O1920" s="48" t="str">
        <f aca="false">IF($A1920="","",IF(NOT(ISNUMBER(F1920)),"Wert fehlt; ",IF(F1920&lt;=0,"Wert ist 0; ",""))&amp;IF(NOT(ISNUMBER(E1920)),"Bestand fehlt; ",IF(E1920&lt;0,"Bestand negativ; ",IF(E1920=0,"Nullbestand; ","")))&amp;IF(D1920="","Warengruppe fehlt; ","")&amp;IF(B1920="","Bezeichnung fehlt; ","")&amp;IF(COUNTIFS($A$2:$A$5001,$A1920,$C$2:$C$5001,C1920)&gt;1,"Artikel doppelt im selben Lager; ",""))</f>
        <v/>
      </c>
      <c r="P1920" s="47" t="n">
        <f aca="false">IF(OR($A1920="",D1920=""),0,IF(COUNTIF($D$2:D1920,D1920)=1,SUMIF($D$2:$D$5001,D1920,$H$2:$H$5001)+ROW()/10000000,0))</f>
        <v>0</v>
      </c>
      <c r="Q1920" s="47" t="n">
        <f aca="false">IF(OR($A1920="",C1920=""),0,IF(COUNTIF($C$2:C1920,C1920)=1,SUMIF($C$2:$C$5001,C1920,$H$2:$H$5001)+ROW()/10000000,0))</f>
        <v>0</v>
      </c>
    </row>
    <row r="1921" customFormat="false" ht="15" hidden="false" customHeight="false" outlineLevel="0" collapsed="false">
      <c r="A1921" s="43"/>
      <c r="B1921" s="44"/>
      <c r="C1921" s="44"/>
      <c r="D1921" s="44"/>
      <c r="E1921" s="44"/>
      <c r="F1921" s="44"/>
      <c r="G1921" s="44"/>
      <c r="H1921" s="46" t="str">
        <f aca="false">IF($A1921="","",IF(OR(NOT(ISNUMBER(E1921)),NOT(ISNUMBER(F1921))),"",MAX(0,E1921)*F1921))</f>
        <v/>
      </c>
      <c r="I1921" s="46" t="str">
        <f aca="false">IF($A1921="","",SUMIF($A$2:$A$5001,$A1921,$H$2:$H$5001))</f>
        <v/>
      </c>
      <c r="J1921" s="47" t="n">
        <f aca="false">IF($A1921="",0,IF(COUNTIF($A$2:A1921,$A1921)=1,1,0))</f>
        <v>0</v>
      </c>
      <c r="K1921" s="47" t="n">
        <f aca="false">IF(J1921=1,N(I1921)+ROW()/10000000,0)</f>
        <v>0</v>
      </c>
      <c r="L1921" s="47" t="str">
        <f aca="false">IF(AND(J1921=1,N(I1921)&gt;0),SUMIF($K$2:$K$5001,"&gt;="&amp;K1921,$I$2:$I$5001)/MAX(1,SUM($H$2:$H$5001)),"")</f>
        <v/>
      </c>
      <c r="M1921" s="47" t="str">
        <f aca="false">IF($A1921="","",INDEX($L$2:$L$5001,MATCH($A1921,$A$2:$A$5001,0)))</f>
        <v/>
      </c>
      <c r="N1921" s="48" t="str">
        <f aca="false">IF($A1921="","",IF(N(M1921)=0,"–",IF(M1921&lt;=Start!$D$20,"A",IF(M1921&lt;=Start!$D$21,"B","C"))))</f>
        <v/>
      </c>
      <c r="O1921" s="48" t="str">
        <f aca="false">IF($A1921="","",IF(NOT(ISNUMBER(F1921)),"Wert fehlt; ",IF(F1921&lt;=0,"Wert ist 0; ",""))&amp;IF(NOT(ISNUMBER(E1921)),"Bestand fehlt; ",IF(E1921&lt;0,"Bestand negativ; ",IF(E1921=0,"Nullbestand; ","")))&amp;IF(D1921="","Warengruppe fehlt; ","")&amp;IF(B1921="","Bezeichnung fehlt; ","")&amp;IF(COUNTIFS($A$2:$A$5001,$A1921,$C$2:$C$5001,C1921)&gt;1,"Artikel doppelt im selben Lager; ",""))</f>
        <v/>
      </c>
      <c r="P1921" s="47" t="n">
        <f aca="false">IF(OR($A1921="",D1921=""),0,IF(COUNTIF($D$2:D1921,D1921)=1,SUMIF($D$2:$D$5001,D1921,$H$2:$H$5001)+ROW()/10000000,0))</f>
        <v>0</v>
      </c>
      <c r="Q1921" s="47" t="n">
        <f aca="false">IF(OR($A1921="",C1921=""),0,IF(COUNTIF($C$2:C1921,C1921)=1,SUMIF($C$2:$C$5001,C1921,$H$2:$H$5001)+ROW()/10000000,0))</f>
        <v>0</v>
      </c>
    </row>
    <row r="1922" customFormat="false" ht="15" hidden="false" customHeight="false" outlineLevel="0" collapsed="false">
      <c r="A1922" s="43"/>
      <c r="B1922" s="44"/>
      <c r="C1922" s="44"/>
      <c r="D1922" s="44"/>
      <c r="E1922" s="44"/>
      <c r="F1922" s="44"/>
      <c r="G1922" s="44"/>
      <c r="H1922" s="46" t="str">
        <f aca="false">IF($A1922="","",IF(OR(NOT(ISNUMBER(E1922)),NOT(ISNUMBER(F1922))),"",MAX(0,E1922)*F1922))</f>
        <v/>
      </c>
      <c r="I1922" s="46" t="str">
        <f aca="false">IF($A1922="","",SUMIF($A$2:$A$5001,$A1922,$H$2:$H$5001))</f>
        <v/>
      </c>
      <c r="J1922" s="47" t="n">
        <f aca="false">IF($A1922="",0,IF(COUNTIF($A$2:A1922,$A1922)=1,1,0))</f>
        <v>0</v>
      </c>
      <c r="K1922" s="47" t="n">
        <f aca="false">IF(J1922=1,N(I1922)+ROW()/10000000,0)</f>
        <v>0</v>
      </c>
      <c r="L1922" s="47" t="str">
        <f aca="false">IF(AND(J1922=1,N(I1922)&gt;0),SUMIF($K$2:$K$5001,"&gt;="&amp;K1922,$I$2:$I$5001)/MAX(1,SUM($H$2:$H$5001)),"")</f>
        <v/>
      </c>
      <c r="M1922" s="47" t="str">
        <f aca="false">IF($A1922="","",INDEX($L$2:$L$5001,MATCH($A1922,$A$2:$A$5001,0)))</f>
        <v/>
      </c>
      <c r="N1922" s="48" t="str">
        <f aca="false">IF($A1922="","",IF(N(M1922)=0,"–",IF(M1922&lt;=Start!$D$20,"A",IF(M1922&lt;=Start!$D$21,"B","C"))))</f>
        <v/>
      </c>
      <c r="O1922" s="48" t="str">
        <f aca="false">IF($A1922="","",IF(NOT(ISNUMBER(F1922)),"Wert fehlt; ",IF(F1922&lt;=0,"Wert ist 0; ",""))&amp;IF(NOT(ISNUMBER(E1922)),"Bestand fehlt; ",IF(E1922&lt;0,"Bestand negativ; ",IF(E1922=0,"Nullbestand; ","")))&amp;IF(D1922="","Warengruppe fehlt; ","")&amp;IF(B1922="","Bezeichnung fehlt; ","")&amp;IF(COUNTIFS($A$2:$A$5001,$A1922,$C$2:$C$5001,C1922)&gt;1,"Artikel doppelt im selben Lager; ",""))</f>
        <v/>
      </c>
      <c r="P1922" s="47" t="n">
        <f aca="false">IF(OR($A1922="",D1922=""),0,IF(COUNTIF($D$2:D1922,D1922)=1,SUMIF($D$2:$D$5001,D1922,$H$2:$H$5001)+ROW()/10000000,0))</f>
        <v>0</v>
      </c>
      <c r="Q1922" s="47" t="n">
        <f aca="false">IF(OR($A1922="",C1922=""),0,IF(COUNTIF($C$2:C1922,C1922)=1,SUMIF($C$2:$C$5001,C1922,$H$2:$H$5001)+ROW()/10000000,0))</f>
        <v>0</v>
      </c>
    </row>
    <row r="1923" customFormat="false" ht="15" hidden="false" customHeight="false" outlineLevel="0" collapsed="false">
      <c r="A1923" s="43"/>
      <c r="B1923" s="44"/>
      <c r="C1923" s="44"/>
      <c r="D1923" s="44"/>
      <c r="E1923" s="44"/>
      <c r="F1923" s="44"/>
      <c r="G1923" s="44"/>
      <c r="H1923" s="46" t="str">
        <f aca="false">IF($A1923="","",IF(OR(NOT(ISNUMBER(E1923)),NOT(ISNUMBER(F1923))),"",MAX(0,E1923)*F1923))</f>
        <v/>
      </c>
      <c r="I1923" s="46" t="str">
        <f aca="false">IF($A1923="","",SUMIF($A$2:$A$5001,$A1923,$H$2:$H$5001))</f>
        <v/>
      </c>
      <c r="J1923" s="47" t="n">
        <f aca="false">IF($A1923="",0,IF(COUNTIF($A$2:A1923,$A1923)=1,1,0))</f>
        <v>0</v>
      </c>
      <c r="K1923" s="47" t="n">
        <f aca="false">IF(J1923=1,N(I1923)+ROW()/10000000,0)</f>
        <v>0</v>
      </c>
      <c r="L1923" s="47" t="str">
        <f aca="false">IF(AND(J1923=1,N(I1923)&gt;0),SUMIF($K$2:$K$5001,"&gt;="&amp;K1923,$I$2:$I$5001)/MAX(1,SUM($H$2:$H$5001)),"")</f>
        <v/>
      </c>
      <c r="M1923" s="47" t="str">
        <f aca="false">IF($A1923="","",INDEX($L$2:$L$5001,MATCH($A1923,$A$2:$A$5001,0)))</f>
        <v/>
      </c>
      <c r="N1923" s="48" t="str">
        <f aca="false">IF($A1923="","",IF(N(M1923)=0,"–",IF(M1923&lt;=Start!$D$20,"A",IF(M1923&lt;=Start!$D$21,"B","C"))))</f>
        <v/>
      </c>
      <c r="O1923" s="48" t="str">
        <f aca="false">IF($A1923="","",IF(NOT(ISNUMBER(F1923)),"Wert fehlt; ",IF(F1923&lt;=0,"Wert ist 0; ",""))&amp;IF(NOT(ISNUMBER(E1923)),"Bestand fehlt; ",IF(E1923&lt;0,"Bestand negativ; ",IF(E1923=0,"Nullbestand; ","")))&amp;IF(D1923="","Warengruppe fehlt; ","")&amp;IF(B1923="","Bezeichnung fehlt; ","")&amp;IF(COUNTIFS($A$2:$A$5001,$A1923,$C$2:$C$5001,C1923)&gt;1,"Artikel doppelt im selben Lager; ",""))</f>
        <v/>
      </c>
      <c r="P1923" s="47" t="n">
        <f aca="false">IF(OR($A1923="",D1923=""),0,IF(COUNTIF($D$2:D1923,D1923)=1,SUMIF($D$2:$D$5001,D1923,$H$2:$H$5001)+ROW()/10000000,0))</f>
        <v>0</v>
      </c>
      <c r="Q1923" s="47" t="n">
        <f aca="false">IF(OR($A1923="",C1923=""),0,IF(COUNTIF($C$2:C1923,C1923)=1,SUMIF($C$2:$C$5001,C1923,$H$2:$H$5001)+ROW()/10000000,0))</f>
        <v>0</v>
      </c>
    </row>
    <row r="1924" customFormat="false" ht="15" hidden="false" customHeight="false" outlineLevel="0" collapsed="false">
      <c r="A1924" s="43"/>
      <c r="B1924" s="44"/>
      <c r="C1924" s="44"/>
      <c r="D1924" s="44"/>
      <c r="E1924" s="44"/>
      <c r="F1924" s="44"/>
      <c r="G1924" s="44"/>
      <c r="H1924" s="46" t="str">
        <f aca="false">IF($A1924="","",IF(OR(NOT(ISNUMBER(E1924)),NOT(ISNUMBER(F1924))),"",MAX(0,E1924)*F1924))</f>
        <v/>
      </c>
      <c r="I1924" s="46" t="str">
        <f aca="false">IF($A1924="","",SUMIF($A$2:$A$5001,$A1924,$H$2:$H$5001))</f>
        <v/>
      </c>
      <c r="J1924" s="47" t="n">
        <f aca="false">IF($A1924="",0,IF(COUNTIF($A$2:A1924,$A1924)=1,1,0))</f>
        <v>0</v>
      </c>
      <c r="K1924" s="47" t="n">
        <f aca="false">IF(J1924=1,N(I1924)+ROW()/10000000,0)</f>
        <v>0</v>
      </c>
      <c r="L1924" s="47" t="str">
        <f aca="false">IF(AND(J1924=1,N(I1924)&gt;0),SUMIF($K$2:$K$5001,"&gt;="&amp;K1924,$I$2:$I$5001)/MAX(1,SUM($H$2:$H$5001)),"")</f>
        <v/>
      </c>
      <c r="M1924" s="47" t="str">
        <f aca="false">IF($A1924="","",INDEX($L$2:$L$5001,MATCH($A1924,$A$2:$A$5001,0)))</f>
        <v/>
      </c>
      <c r="N1924" s="48" t="str">
        <f aca="false">IF($A1924="","",IF(N(M1924)=0,"–",IF(M1924&lt;=Start!$D$20,"A",IF(M1924&lt;=Start!$D$21,"B","C"))))</f>
        <v/>
      </c>
      <c r="O1924" s="48" t="str">
        <f aca="false">IF($A1924="","",IF(NOT(ISNUMBER(F1924)),"Wert fehlt; ",IF(F1924&lt;=0,"Wert ist 0; ",""))&amp;IF(NOT(ISNUMBER(E1924)),"Bestand fehlt; ",IF(E1924&lt;0,"Bestand negativ; ",IF(E1924=0,"Nullbestand; ","")))&amp;IF(D1924="","Warengruppe fehlt; ","")&amp;IF(B1924="","Bezeichnung fehlt; ","")&amp;IF(COUNTIFS($A$2:$A$5001,$A1924,$C$2:$C$5001,C1924)&gt;1,"Artikel doppelt im selben Lager; ",""))</f>
        <v/>
      </c>
      <c r="P1924" s="47" t="n">
        <f aca="false">IF(OR($A1924="",D1924=""),0,IF(COUNTIF($D$2:D1924,D1924)=1,SUMIF($D$2:$D$5001,D1924,$H$2:$H$5001)+ROW()/10000000,0))</f>
        <v>0</v>
      </c>
      <c r="Q1924" s="47" t="n">
        <f aca="false">IF(OR($A1924="",C1924=""),0,IF(COUNTIF($C$2:C1924,C1924)=1,SUMIF($C$2:$C$5001,C1924,$H$2:$H$5001)+ROW()/10000000,0))</f>
        <v>0</v>
      </c>
    </row>
    <row r="1925" customFormat="false" ht="15" hidden="false" customHeight="false" outlineLevel="0" collapsed="false">
      <c r="A1925" s="43"/>
      <c r="B1925" s="44"/>
      <c r="C1925" s="44"/>
      <c r="D1925" s="44"/>
      <c r="E1925" s="44"/>
      <c r="F1925" s="44"/>
      <c r="G1925" s="44"/>
      <c r="H1925" s="46" t="str">
        <f aca="false">IF($A1925="","",IF(OR(NOT(ISNUMBER(E1925)),NOT(ISNUMBER(F1925))),"",MAX(0,E1925)*F1925))</f>
        <v/>
      </c>
      <c r="I1925" s="46" t="str">
        <f aca="false">IF($A1925="","",SUMIF($A$2:$A$5001,$A1925,$H$2:$H$5001))</f>
        <v/>
      </c>
      <c r="J1925" s="47" t="n">
        <f aca="false">IF($A1925="",0,IF(COUNTIF($A$2:A1925,$A1925)=1,1,0))</f>
        <v>0</v>
      </c>
      <c r="K1925" s="47" t="n">
        <f aca="false">IF(J1925=1,N(I1925)+ROW()/10000000,0)</f>
        <v>0</v>
      </c>
      <c r="L1925" s="47" t="str">
        <f aca="false">IF(AND(J1925=1,N(I1925)&gt;0),SUMIF($K$2:$K$5001,"&gt;="&amp;K1925,$I$2:$I$5001)/MAX(1,SUM($H$2:$H$5001)),"")</f>
        <v/>
      </c>
      <c r="M1925" s="47" t="str">
        <f aca="false">IF($A1925="","",INDEX($L$2:$L$5001,MATCH($A1925,$A$2:$A$5001,0)))</f>
        <v/>
      </c>
      <c r="N1925" s="48" t="str">
        <f aca="false">IF($A1925="","",IF(N(M1925)=0,"–",IF(M1925&lt;=Start!$D$20,"A",IF(M1925&lt;=Start!$D$21,"B","C"))))</f>
        <v/>
      </c>
      <c r="O1925" s="48" t="str">
        <f aca="false">IF($A1925="","",IF(NOT(ISNUMBER(F1925)),"Wert fehlt; ",IF(F1925&lt;=0,"Wert ist 0; ",""))&amp;IF(NOT(ISNUMBER(E1925)),"Bestand fehlt; ",IF(E1925&lt;0,"Bestand negativ; ",IF(E1925=0,"Nullbestand; ","")))&amp;IF(D1925="","Warengruppe fehlt; ","")&amp;IF(B1925="","Bezeichnung fehlt; ","")&amp;IF(COUNTIFS($A$2:$A$5001,$A1925,$C$2:$C$5001,C1925)&gt;1,"Artikel doppelt im selben Lager; ",""))</f>
        <v/>
      </c>
      <c r="P1925" s="47" t="n">
        <f aca="false">IF(OR($A1925="",D1925=""),0,IF(COUNTIF($D$2:D1925,D1925)=1,SUMIF($D$2:$D$5001,D1925,$H$2:$H$5001)+ROW()/10000000,0))</f>
        <v>0</v>
      </c>
      <c r="Q1925" s="47" t="n">
        <f aca="false">IF(OR($A1925="",C1925=""),0,IF(COUNTIF($C$2:C1925,C1925)=1,SUMIF($C$2:$C$5001,C1925,$H$2:$H$5001)+ROW()/10000000,0))</f>
        <v>0</v>
      </c>
    </row>
    <row r="1926" customFormat="false" ht="15" hidden="false" customHeight="false" outlineLevel="0" collapsed="false">
      <c r="A1926" s="43"/>
      <c r="B1926" s="44"/>
      <c r="C1926" s="44"/>
      <c r="D1926" s="44"/>
      <c r="E1926" s="44"/>
      <c r="F1926" s="44"/>
      <c r="G1926" s="44"/>
      <c r="H1926" s="46" t="str">
        <f aca="false">IF($A1926="","",IF(OR(NOT(ISNUMBER(E1926)),NOT(ISNUMBER(F1926))),"",MAX(0,E1926)*F1926))</f>
        <v/>
      </c>
      <c r="I1926" s="46" t="str">
        <f aca="false">IF($A1926="","",SUMIF($A$2:$A$5001,$A1926,$H$2:$H$5001))</f>
        <v/>
      </c>
      <c r="J1926" s="47" t="n">
        <f aca="false">IF($A1926="",0,IF(COUNTIF($A$2:A1926,$A1926)=1,1,0))</f>
        <v>0</v>
      </c>
      <c r="K1926" s="47" t="n">
        <f aca="false">IF(J1926=1,N(I1926)+ROW()/10000000,0)</f>
        <v>0</v>
      </c>
      <c r="L1926" s="47" t="str">
        <f aca="false">IF(AND(J1926=1,N(I1926)&gt;0),SUMIF($K$2:$K$5001,"&gt;="&amp;K1926,$I$2:$I$5001)/MAX(1,SUM($H$2:$H$5001)),"")</f>
        <v/>
      </c>
      <c r="M1926" s="47" t="str">
        <f aca="false">IF($A1926="","",INDEX($L$2:$L$5001,MATCH($A1926,$A$2:$A$5001,0)))</f>
        <v/>
      </c>
      <c r="N1926" s="48" t="str">
        <f aca="false">IF($A1926="","",IF(N(M1926)=0,"–",IF(M1926&lt;=Start!$D$20,"A",IF(M1926&lt;=Start!$D$21,"B","C"))))</f>
        <v/>
      </c>
      <c r="O1926" s="48" t="str">
        <f aca="false">IF($A1926="","",IF(NOT(ISNUMBER(F1926)),"Wert fehlt; ",IF(F1926&lt;=0,"Wert ist 0; ",""))&amp;IF(NOT(ISNUMBER(E1926)),"Bestand fehlt; ",IF(E1926&lt;0,"Bestand negativ; ",IF(E1926=0,"Nullbestand; ","")))&amp;IF(D1926="","Warengruppe fehlt; ","")&amp;IF(B1926="","Bezeichnung fehlt; ","")&amp;IF(COUNTIFS($A$2:$A$5001,$A1926,$C$2:$C$5001,C1926)&gt;1,"Artikel doppelt im selben Lager; ",""))</f>
        <v/>
      </c>
      <c r="P1926" s="47" t="n">
        <f aca="false">IF(OR($A1926="",D1926=""),0,IF(COUNTIF($D$2:D1926,D1926)=1,SUMIF($D$2:$D$5001,D1926,$H$2:$H$5001)+ROW()/10000000,0))</f>
        <v>0</v>
      </c>
      <c r="Q1926" s="47" t="n">
        <f aca="false">IF(OR($A1926="",C1926=""),0,IF(COUNTIF($C$2:C1926,C1926)=1,SUMIF($C$2:$C$5001,C1926,$H$2:$H$5001)+ROW()/10000000,0))</f>
        <v>0</v>
      </c>
    </row>
    <row r="1927" customFormat="false" ht="15" hidden="false" customHeight="false" outlineLevel="0" collapsed="false">
      <c r="A1927" s="43"/>
      <c r="B1927" s="44"/>
      <c r="C1927" s="44"/>
      <c r="D1927" s="44"/>
      <c r="E1927" s="44"/>
      <c r="F1927" s="44"/>
      <c r="G1927" s="44"/>
      <c r="H1927" s="46" t="str">
        <f aca="false">IF($A1927="","",IF(OR(NOT(ISNUMBER(E1927)),NOT(ISNUMBER(F1927))),"",MAX(0,E1927)*F1927))</f>
        <v/>
      </c>
      <c r="I1927" s="46" t="str">
        <f aca="false">IF($A1927="","",SUMIF($A$2:$A$5001,$A1927,$H$2:$H$5001))</f>
        <v/>
      </c>
      <c r="J1927" s="47" t="n">
        <f aca="false">IF($A1927="",0,IF(COUNTIF($A$2:A1927,$A1927)=1,1,0))</f>
        <v>0</v>
      </c>
      <c r="K1927" s="47" t="n">
        <f aca="false">IF(J1927=1,N(I1927)+ROW()/10000000,0)</f>
        <v>0</v>
      </c>
      <c r="L1927" s="47" t="str">
        <f aca="false">IF(AND(J1927=1,N(I1927)&gt;0),SUMIF($K$2:$K$5001,"&gt;="&amp;K1927,$I$2:$I$5001)/MAX(1,SUM($H$2:$H$5001)),"")</f>
        <v/>
      </c>
      <c r="M1927" s="47" t="str">
        <f aca="false">IF($A1927="","",INDEX($L$2:$L$5001,MATCH($A1927,$A$2:$A$5001,0)))</f>
        <v/>
      </c>
      <c r="N1927" s="48" t="str">
        <f aca="false">IF($A1927="","",IF(N(M1927)=0,"–",IF(M1927&lt;=Start!$D$20,"A",IF(M1927&lt;=Start!$D$21,"B","C"))))</f>
        <v/>
      </c>
      <c r="O1927" s="48" t="str">
        <f aca="false">IF($A1927="","",IF(NOT(ISNUMBER(F1927)),"Wert fehlt; ",IF(F1927&lt;=0,"Wert ist 0; ",""))&amp;IF(NOT(ISNUMBER(E1927)),"Bestand fehlt; ",IF(E1927&lt;0,"Bestand negativ; ",IF(E1927=0,"Nullbestand; ","")))&amp;IF(D1927="","Warengruppe fehlt; ","")&amp;IF(B1927="","Bezeichnung fehlt; ","")&amp;IF(COUNTIFS($A$2:$A$5001,$A1927,$C$2:$C$5001,C1927)&gt;1,"Artikel doppelt im selben Lager; ",""))</f>
        <v/>
      </c>
      <c r="P1927" s="47" t="n">
        <f aca="false">IF(OR($A1927="",D1927=""),0,IF(COUNTIF($D$2:D1927,D1927)=1,SUMIF($D$2:$D$5001,D1927,$H$2:$H$5001)+ROW()/10000000,0))</f>
        <v>0</v>
      </c>
      <c r="Q1927" s="47" t="n">
        <f aca="false">IF(OR($A1927="",C1927=""),0,IF(COUNTIF($C$2:C1927,C1927)=1,SUMIF($C$2:$C$5001,C1927,$H$2:$H$5001)+ROW()/10000000,0))</f>
        <v>0</v>
      </c>
    </row>
    <row r="1928" customFormat="false" ht="15" hidden="false" customHeight="false" outlineLevel="0" collapsed="false">
      <c r="A1928" s="43"/>
      <c r="B1928" s="44"/>
      <c r="C1928" s="44"/>
      <c r="D1928" s="44"/>
      <c r="E1928" s="44"/>
      <c r="F1928" s="44"/>
      <c r="G1928" s="44"/>
      <c r="H1928" s="46" t="str">
        <f aca="false">IF($A1928="","",IF(OR(NOT(ISNUMBER(E1928)),NOT(ISNUMBER(F1928))),"",MAX(0,E1928)*F1928))</f>
        <v/>
      </c>
      <c r="I1928" s="46" t="str">
        <f aca="false">IF($A1928="","",SUMIF($A$2:$A$5001,$A1928,$H$2:$H$5001))</f>
        <v/>
      </c>
      <c r="J1928" s="47" t="n">
        <f aca="false">IF($A1928="",0,IF(COUNTIF($A$2:A1928,$A1928)=1,1,0))</f>
        <v>0</v>
      </c>
      <c r="K1928" s="47" t="n">
        <f aca="false">IF(J1928=1,N(I1928)+ROW()/10000000,0)</f>
        <v>0</v>
      </c>
      <c r="L1928" s="47" t="str">
        <f aca="false">IF(AND(J1928=1,N(I1928)&gt;0),SUMIF($K$2:$K$5001,"&gt;="&amp;K1928,$I$2:$I$5001)/MAX(1,SUM($H$2:$H$5001)),"")</f>
        <v/>
      </c>
      <c r="M1928" s="47" t="str">
        <f aca="false">IF($A1928="","",INDEX($L$2:$L$5001,MATCH($A1928,$A$2:$A$5001,0)))</f>
        <v/>
      </c>
      <c r="N1928" s="48" t="str">
        <f aca="false">IF($A1928="","",IF(N(M1928)=0,"–",IF(M1928&lt;=Start!$D$20,"A",IF(M1928&lt;=Start!$D$21,"B","C"))))</f>
        <v/>
      </c>
      <c r="O1928" s="48" t="str">
        <f aca="false">IF($A1928="","",IF(NOT(ISNUMBER(F1928)),"Wert fehlt; ",IF(F1928&lt;=0,"Wert ist 0; ",""))&amp;IF(NOT(ISNUMBER(E1928)),"Bestand fehlt; ",IF(E1928&lt;0,"Bestand negativ; ",IF(E1928=0,"Nullbestand; ","")))&amp;IF(D1928="","Warengruppe fehlt; ","")&amp;IF(B1928="","Bezeichnung fehlt; ","")&amp;IF(COUNTIFS($A$2:$A$5001,$A1928,$C$2:$C$5001,C1928)&gt;1,"Artikel doppelt im selben Lager; ",""))</f>
        <v/>
      </c>
      <c r="P1928" s="47" t="n">
        <f aca="false">IF(OR($A1928="",D1928=""),0,IF(COUNTIF($D$2:D1928,D1928)=1,SUMIF($D$2:$D$5001,D1928,$H$2:$H$5001)+ROW()/10000000,0))</f>
        <v>0</v>
      </c>
      <c r="Q1928" s="47" t="n">
        <f aca="false">IF(OR($A1928="",C1928=""),0,IF(COUNTIF($C$2:C1928,C1928)=1,SUMIF($C$2:$C$5001,C1928,$H$2:$H$5001)+ROW()/10000000,0))</f>
        <v>0</v>
      </c>
    </row>
    <row r="1929" customFormat="false" ht="15" hidden="false" customHeight="false" outlineLevel="0" collapsed="false">
      <c r="A1929" s="43"/>
      <c r="B1929" s="44"/>
      <c r="C1929" s="44"/>
      <c r="D1929" s="44"/>
      <c r="E1929" s="44"/>
      <c r="F1929" s="44"/>
      <c r="G1929" s="44"/>
      <c r="H1929" s="46" t="str">
        <f aca="false">IF($A1929="","",IF(OR(NOT(ISNUMBER(E1929)),NOT(ISNUMBER(F1929))),"",MAX(0,E1929)*F1929))</f>
        <v/>
      </c>
      <c r="I1929" s="46" t="str">
        <f aca="false">IF($A1929="","",SUMIF($A$2:$A$5001,$A1929,$H$2:$H$5001))</f>
        <v/>
      </c>
      <c r="J1929" s="47" t="n">
        <f aca="false">IF($A1929="",0,IF(COUNTIF($A$2:A1929,$A1929)=1,1,0))</f>
        <v>0</v>
      </c>
      <c r="K1929" s="47" t="n">
        <f aca="false">IF(J1929=1,N(I1929)+ROW()/10000000,0)</f>
        <v>0</v>
      </c>
      <c r="L1929" s="47" t="str">
        <f aca="false">IF(AND(J1929=1,N(I1929)&gt;0),SUMIF($K$2:$K$5001,"&gt;="&amp;K1929,$I$2:$I$5001)/MAX(1,SUM($H$2:$H$5001)),"")</f>
        <v/>
      </c>
      <c r="M1929" s="47" t="str">
        <f aca="false">IF($A1929="","",INDEX($L$2:$L$5001,MATCH($A1929,$A$2:$A$5001,0)))</f>
        <v/>
      </c>
      <c r="N1929" s="48" t="str">
        <f aca="false">IF($A1929="","",IF(N(M1929)=0,"–",IF(M1929&lt;=Start!$D$20,"A",IF(M1929&lt;=Start!$D$21,"B","C"))))</f>
        <v/>
      </c>
      <c r="O1929" s="48" t="str">
        <f aca="false">IF($A1929="","",IF(NOT(ISNUMBER(F1929)),"Wert fehlt; ",IF(F1929&lt;=0,"Wert ist 0; ",""))&amp;IF(NOT(ISNUMBER(E1929)),"Bestand fehlt; ",IF(E1929&lt;0,"Bestand negativ; ",IF(E1929=0,"Nullbestand; ","")))&amp;IF(D1929="","Warengruppe fehlt; ","")&amp;IF(B1929="","Bezeichnung fehlt; ","")&amp;IF(COUNTIFS($A$2:$A$5001,$A1929,$C$2:$C$5001,C1929)&gt;1,"Artikel doppelt im selben Lager; ",""))</f>
        <v/>
      </c>
      <c r="P1929" s="47" t="n">
        <f aca="false">IF(OR($A1929="",D1929=""),0,IF(COUNTIF($D$2:D1929,D1929)=1,SUMIF($D$2:$D$5001,D1929,$H$2:$H$5001)+ROW()/10000000,0))</f>
        <v>0</v>
      </c>
      <c r="Q1929" s="47" t="n">
        <f aca="false">IF(OR($A1929="",C1929=""),0,IF(COUNTIF($C$2:C1929,C1929)=1,SUMIF($C$2:$C$5001,C1929,$H$2:$H$5001)+ROW()/10000000,0))</f>
        <v>0</v>
      </c>
    </row>
    <row r="1930" customFormat="false" ht="15" hidden="false" customHeight="false" outlineLevel="0" collapsed="false">
      <c r="A1930" s="43"/>
      <c r="B1930" s="44"/>
      <c r="C1930" s="44"/>
      <c r="D1930" s="44"/>
      <c r="E1930" s="44"/>
      <c r="F1930" s="44"/>
      <c r="G1930" s="44"/>
      <c r="H1930" s="46" t="str">
        <f aca="false">IF($A1930="","",IF(OR(NOT(ISNUMBER(E1930)),NOT(ISNUMBER(F1930))),"",MAX(0,E1930)*F1930))</f>
        <v/>
      </c>
      <c r="I1930" s="46" t="str">
        <f aca="false">IF($A1930="","",SUMIF($A$2:$A$5001,$A1930,$H$2:$H$5001))</f>
        <v/>
      </c>
      <c r="J1930" s="47" t="n">
        <f aca="false">IF($A1930="",0,IF(COUNTIF($A$2:A1930,$A1930)=1,1,0))</f>
        <v>0</v>
      </c>
      <c r="K1930" s="47" t="n">
        <f aca="false">IF(J1930=1,N(I1930)+ROW()/10000000,0)</f>
        <v>0</v>
      </c>
      <c r="L1930" s="47" t="str">
        <f aca="false">IF(AND(J1930=1,N(I1930)&gt;0),SUMIF($K$2:$K$5001,"&gt;="&amp;K1930,$I$2:$I$5001)/MAX(1,SUM($H$2:$H$5001)),"")</f>
        <v/>
      </c>
      <c r="M1930" s="47" t="str">
        <f aca="false">IF($A1930="","",INDEX($L$2:$L$5001,MATCH($A1930,$A$2:$A$5001,0)))</f>
        <v/>
      </c>
      <c r="N1930" s="48" t="str">
        <f aca="false">IF($A1930="","",IF(N(M1930)=0,"–",IF(M1930&lt;=Start!$D$20,"A",IF(M1930&lt;=Start!$D$21,"B","C"))))</f>
        <v/>
      </c>
      <c r="O1930" s="48" t="str">
        <f aca="false">IF($A1930="","",IF(NOT(ISNUMBER(F1930)),"Wert fehlt; ",IF(F1930&lt;=0,"Wert ist 0; ",""))&amp;IF(NOT(ISNUMBER(E1930)),"Bestand fehlt; ",IF(E1930&lt;0,"Bestand negativ; ",IF(E1930=0,"Nullbestand; ","")))&amp;IF(D1930="","Warengruppe fehlt; ","")&amp;IF(B1930="","Bezeichnung fehlt; ","")&amp;IF(COUNTIFS($A$2:$A$5001,$A1930,$C$2:$C$5001,C1930)&gt;1,"Artikel doppelt im selben Lager; ",""))</f>
        <v/>
      </c>
      <c r="P1930" s="47" t="n">
        <f aca="false">IF(OR($A1930="",D1930=""),0,IF(COUNTIF($D$2:D1930,D1930)=1,SUMIF($D$2:$D$5001,D1930,$H$2:$H$5001)+ROW()/10000000,0))</f>
        <v>0</v>
      </c>
      <c r="Q1930" s="47" t="n">
        <f aca="false">IF(OR($A1930="",C1930=""),0,IF(COUNTIF($C$2:C1930,C1930)=1,SUMIF($C$2:$C$5001,C1930,$H$2:$H$5001)+ROW()/10000000,0))</f>
        <v>0</v>
      </c>
    </row>
    <row r="1931" customFormat="false" ht="15" hidden="false" customHeight="false" outlineLevel="0" collapsed="false">
      <c r="A1931" s="43"/>
      <c r="B1931" s="44"/>
      <c r="C1931" s="44"/>
      <c r="D1931" s="44"/>
      <c r="E1931" s="44"/>
      <c r="F1931" s="44"/>
      <c r="G1931" s="44"/>
      <c r="H1931" s="46" t="str">
        <f aca="false">IF($A1931="","",IF(OR(NOT(ISNUMBER(E1931)),NOT(ISNUMBER(F1931))),"",MAX(0,E1931)*F1931))</f>
        <v/>
      </c>
      <c r="I1931" s="46" t="str">
        <f aca="false">IF($A1931="","",SUMIF($A$2:$A$5001,$A1931,$H$2:$H$5001))</f>
        <v/>
      </c>
      <c r="J1931" s="47" t="n">
        <f aca="false">IF($A1931="",0,IF(COUNTIF($A$2:A1931,$A1931)=1,1,0))</f>
        <v>0</v>
      </c>
      <c r="K1931" s="47" t="n">
        <f aca="false">IF(J1931=1,N(I1931)+ROW()/10000000,0)</f>
        <v>0</v>
      </c>
      <c r="L1931" s="47" t="str">
        <f aca="false">IF(AND(J1931=1,N(I1931)&gt;0),SUMIF($K$2:$K$5001,"&gt;="&amp;K1931,$I$2:$I$5001)/MAX(1,SUM($H$2:$H$5001)),"")</f>
        <v/>
      </c>
      <c r="M1931" s="47" t="str">
        <f aca="false">IF($A1931="","",INDEX($L$2:$L$5001,MATCH($A1931,$A$2:$A$5001,0)))</f>
        <v/>
      </c>
      <c r="N1931" s="48" t="str">
        <f aca="false">IF($A1931="","",IF(N(M1931)=0,"–",IF(M1931&lt;=Start!$D$20,"A",IF(M1931&lt;=Start!$D$21,"B","C"))))</f>
        <v/>
      </c>
      <c r="O1931" s="48" t="str">
        <f aca="false">IF($A1931="","",IF(NOT(ISNUMBER(F1931)),"Wert fehlt; ",IF(F1931&lt;=0,"Wert ist 0; ",""))&amp;IF(NOT(ISNUMBER(E1931)),"Bestand fehlt; ",IF(E1931&lt;0,"Bestand negativ; ",IF(E1931=0,"Nullbestand; ","")))&amp;IF(D1931="","Warengruppe fehlt; ","")&amp;IF(B1931="","Bezeichnung fehlt; ","")&amp;IF(COUNTIFS($A$2:$A$5001,$A1931,$C$2:$C$5001,C1931)&gt;1,"Artikel doppelt im selben Lager; ",""))</f>
        <v/>
      </c>
      <c r="P1931" s="47" t="n">
        <f aca="false">IF(OR($A1931="",D1931=""),0,IF(COUNTIF($D$2:D1931,D1931)=1,SUMIF($D$2:$D$5001,D1931,$H$2:$H$5001)+ROW()/10000000,0))</f>
        <v>0</v>
      </c>
      <c r="Q1931" s="47" t="n">
        <f aca="false">IF(OR($A1931="",C1931=""),0,IF(COUNTIF($C$2:C1931,C1931)=1,SUMIF($C$2:$C$5001,C1931,$H$2:$H$5001)+ROW()/10000000,0))</f>
        <v>0</v>
      </c>
    </row>
    <row r="1932" customFormat="false" ht="15" hidden="false" customHeight="false" outlineLevel="0" collapsed="false">
      <c r="A1932" s="43"/>
      <c r="B1932" s="44"/>
      <c r="C1932" s="44"/>
      <c r="D1932" s="44"/>
      <c r="E1932" s="44"/>
      <c r="F1932" s="44"/>
      <c r="G1932" s="44"/>
      <c r="H1932" s="46" t="str">
        <f aca="false">IF($A1932="","",IF(OR(NOT(ISNUMBER(E1932)),NOT(ISNUMBER(F1932))),"",MAX(0,E1932)*F1932))</f>
        <v/>
      </c>
      <c r="I1932" s="46" t="str">
        <f aca="false">IF($A1932="","",SUMIF($A$2:$A$5001,$A1932,$H$2:$H$5001))</f>
        <v/>
      </c>
      <c r="J1932" s="47" t="n">
        <f aca="false">IF($A1932="",0,IF(COUNTIF($A$2:A1932,$A1932)=1,1,0))</f>
        <v>0</v>
      </c>
      <c r="K1932" s="47" t="n">
        <f aca="false">IF(J1932=1,N(I1932)+ROW()/10000000,0)</f>
        <v>0</v>
      </c>
      <c r="L1932" s="47" t="str">
        <f aca="false">IF(AND(J1932=1,N(I1932)&gt;0),SUMIF($K$2:$K$5001,"&gt;="&amp;K1932,$I$2:$I$5001)/MAX(1,SUM($H$2:$H$5001)),"")</f>
        <v/>
      </c>
      <c r="M1932" s="47" t="str">
        <f aca="false">IF($A1932="","",INDEX($L$2:$L$5001,MATCH($A1932,$A$2:$A$5001,0)))</f>
        <v/>
      </c>
      <c r="N1932" s="48" t="str">
        <f aca="false">IF($A1932="","",IF(N(M1932)=0,"–",IF(M1932&lt;=Start!$D$20,"A",IF(M1932&lt;=Start!$D$21,"B","C"))))</f>
        <v/>
      </c>
      <c r="O1932" s="48" t="str">
        <f aca="false">IF($A1932="","",IF(NOT(ISNUMBER(F1932)),"Wert fehlt; ",IF(F1932&lt;=0,"Wert ist 0; ",""))&amp;IF(NOT(ISNUMBER(E1932)),"Bestand fehlt; ",IF(E1932&lt;0,"Bestand negativ; ",IF(E1932=0,"Nullbestand; ","")))&amp;IF(D1932="","Warengruppe fehlt; ","")&amp;IF(B1932="","Bezeichnung fehlt; ","")&amp;IF(COUNTIFS($A$2:$A$5001,$A1932,$C$2:$C$5001,C1932)&gt;1,"Artikel doppelt im selben Lager; ",""))</f>
        <v/>
      </c>
      <c r="P1932" s="47" t="n">
        <f aca="false">IF(OR($A1932="",D1932=""),0,IF(COUNTIF($D$2:D1932,D1932)=1,SUMIF($D$2:$D$5001,D1932,$H$2:$H$5001)+ROW()/10000000,0))</f>
        <v>0</v>
      </c>
      <c r="Q1932" s="47" t="n">
        <f aca="false">IF(OR($A1932="",C1932=""),0,IF(COUNTIF($C$2:C1932,C1932)=1,SUMIF($C$2:$C$5001,C1932,$H$2:$H$5001)+ROW()/10000000,0))</f>
        <v>0</v>
      </c>
    </row>
    <row r="1933" customFormat="false" ht="15" hidden="false" customHeight="false" outlineLevel="0" collapsed="false">
      <c r="A1933" s="43"/>
      <c r="B1933" s="44"/>
      <c r="C1933" s="44"/>
      <c r="D1933" s="44"/>
      <c r="E1933" s="44"/>
      <c r="F1933" s="44"/>
      <c r="G1933" s="44"/>
      <c r="H1933" s="46" t="str">
        <f aca="false">IF($A1933="","",IF(OR(NOT(ISNUMBER(E1933)),NOT(ISNUMBER(F1933))),"",MAX(0,E1933)*F1933))</f>
        <v/>
      </c>
      <c r="I1933" s="46" t="str">
        <f aca="false">IF($A1933="","",SUMIF($A$2:$A$5001,$A1933,$H$2:$H$5001))</f>
        <v/>
      </c>
      <c r="J1933" s="47" t="n">
        <f aca="false">IF($A1933="",0,IF(COUNTIF($A$2:A1933,$A1933)=1,1,0))</f>
        <v>0</v>
      </c>
      <c r="K1933" s="47" t="n">
        <f aca="false">IF(J1933=1,N(I1933)+ROW()/10000000,0)</f>
        <v>0</v>
      </c>
      <c r="L1933" s="47" t="str">
        <f aca="false">IF(AND(J1933=1,N(I1933)&gt;0),SUMIF($K$2:$K$5001,"&gt;="&amp;K1933,$I$2:$I$5001)/MAX(1,SUM($H$2:$H$5001)),"")</f>
        <v/>
      </c>
      <c r="M1933" s="47" t="str">
        <f aca="false">IF($A1933="","",INDEX($L$2:$L$5001,MATCH($A1933,$A$2:$A$5001,0)))</f>
        <v/>
      </c>
      <c r="N1933" s="48" t="str">
        <f aca="false">IF($A1933="","",IF(N(M1933)=0,"–",IF(M1933&lt;=Start!$D$20,"A",IF(M1933&lt;=Start!$D$21,"B","C"))))</f>
        <v/>
      </c>
      <c r="O1933" s="48" t="str">
        <f aca="false">IF($A1933="","",IF(NOT(ISNUMBER(F1933)),"Wert fehlt; ",IF(F1933&lt;=0,"Wert ist 0; ",""))&amp;IF(NOT(ISNUMBER(E1933)),"Bestand fehlt; ",IF(E1933&lt;0,"Bestand negativ; ",IF(E1933=0,"Nullbestand; ","")))&amp;IF(D1933="","Warengruppe fehlt; ","")&amp;IF(B1933="","Bezeichnung fehlt; ","")&amp;IF(COUNTIFS($A$2:$A$5001,$A1933,$C$2:$C$5001,C1933)&gt;1,"Artikel doppelt im selben Lager; ",""))</f>
        <v/>
      </c>
      <c r="P1933" s="47" t="n">
        <f aca="false">IF(OR($A1933="",D1933=""),0,IF(COUNTIF($D$2:D1933,D1933)=1,SUMIF($D$2:$D$5001,D1933,$H$2:$H$5001)+ROW()/10000000,0))</f>
        <v>0</v>
      </c>
      <c r="Q1933" s="47" t="n">
        <f aca="false">IF(OR($A1933="",C1933=""),0,IF(COUNTIF($C$2:C1933,C1933)=1,SUMIF($C$2:$C$5001,C1933,$H$2:$H$5001)+ROW()/10000000,0))</f>
        <v>0</v>
      </c>
    </row>
    <row r="1934" customFormat="false" ht="15" hidden="false" customHeight="false" outlineLevel="0" collapsed="false">
      <c r="A1934" s="43"/>
      <c r="B1934" s="44"/>
      <c r="C1934" s="44"/>
      <c r="D1934" s="44"/>
      <c r="E1934" s="44"/>
      <c r="F1934" s="44"/>
      <c r="G1934" s="44"/>
      <c r="H1934" s="46" t="str">
        <f aca="false">IF($A1934="","",IF(OR(NOT(ISNUMBER(E1934)),NOT(ISNUMBER(F1934))),"",MAX(0,E1934)*F1934))</f>
        <v/>
      </c>
      <c r="I1934" s="46" t="str">
        <f aca="false">IF($A1934="","",SUMIF($A$2:$A$5001,$A1934,$H$2:$H$5001))</f>
        <v/>
      </c>
      <c r="J1934" s="47" t="n">
        <f aca="false">IF($A1934="",0,IF(COUNTIF($A$2:A1934,$A1934)=1,1,0))</f>
        <v>0</v>
      </c>
      <c r="K1934" s="47" t="n">
        <f aca="false">IF(J1934=1,N(I1934)+ROW()/10000000,0)</f>
        <v>0</v>
      </c>
      <c r="L1934" s="47" t="str">
        <f aca="false">IF(AND(J1934=1,N(I1934)&gt;0),SUMIF($K$2:$K$5001,"&gt;="&amp;K1934,$I$2:$I$5001)/MAX(1,SUM($H$2:$H$5001)),"")</f>
        <v/>
      </c>
      <c r="M1934" s="47" t="str">
        <f aca="false">IF($A1934="","",INDEX($L$2:$L$5001,MATCH($A1934,$A$2:$A$5001,0)))</f>
        <v/>
      </c>
      <c r="N1934" s="48" t="str">
        <f aca="false">IF($A1934="","",IF(N(M1934)=0,"–",IF(M1934&lt;=Start!$D$20,"A",IF(M1934&lt;=Start!$D$21,"B","C"))))</f>
        <v/>
      </c>
      <c r="O1934" s="48" t="str">
        <f aca="false">IF($A1934="","",IF(NOT(ISNUMBER(F1934)),"Wert fehlt; ",IF(F1934&lt;=0,"Wert ist 0; ",""))&amp;IF(NOT(ISNUMBER(E1934)),"Bestand fehlt; ",IF(E1934&lt;0,"Bestand negativ; ",IF(E1934=0,"Nullbestand; ","")))&amp;IF(D1934="","Warengruppe fehlt; ","")&amp;IF(B1934="","Bezeichnung fehlt; ","")&amp;IF(COUNTIFS($A$2:$A$5001,$A1934,$C$2:$C$5001,C1934)&gt;1,"Artikel doppelt im selben Lager; ",""))</f>
        <v/>
      </c>
      <c r="P1934" s="47" t="n">
        <f aca="false">IF(OR($A1934="",D1934=""),0,IF(COUNTIF($D$2:D1934,D1934)=1,SUMIF($D$2:$D$5001,D1934,$H$2:$H$5001)+ROW()/10000000,0))</f>
        <v>0</v>
      </c>
      <c r="Q1934" s="47" t="n">
        <f aca="false">IF(OR($A1934="",C1934=""),0,IF(COUNTIF($C$2:C1934,C1934)=1,SUMIF($C$2:$C$5001,C1934,$H$2:$H$5001)+ROW()/10000000,0))</f>
        <v>0</v>
      </c>
    </row>
    <row r="1935" customFormat="false" ht="15" hidden="false" customHeight="false" outlineLevel="0" collapsed="false">
      <c r="A1935" s="43"/>
      <c r="B1935" s="44"/>
      <c r="C1935" s="44"/>
      <c r="D1935" s="44"/>
      <c r="E1935" s="44"/>
      <c r="F1935" s="44"/>
      <c r="G1935" s="44"/>
      <c r="H1935" s="46" t="str">
        <f aca="false">IF($A1935="","",IF(OR(NOT(ISNUMBER(E1935)),NOT(ISNUMBER(F1935))),"",MAX(0,E1935)*F1935))</f>
        <v/>
      </c>
      <c r="I1935" s="46" t="str">
        <f aca="false">IF($A1935="","",SUMIF($A$2:$A$5001,$A1935,$H$2:$H$5001))</f>
        <v/>
      </c>
      <c r="J1935" s="47" t="n">
        <f aca="false">IF($A1935="",0,IF(COUNTIF($A$2:A1935,$A1935)=1,1,0))</f>
        <v>0</v>
      </c>
      <c r="K1935" s="47" t="n">
        <f aca="false">IF(J1935=1,N(I1935)+ROW()/10000000,0)</f>
        <v>0</v>
      </c>
      <c r="L1935" s="47" t="str">
        <f aca="false">IF(AND(J1935=1,N(I1935)&gt;0),SUMIF($K$2:$K$5001,"&gt;="&amp;K1935,$I$2:$I$5001)/MAX(1,SUM($H$2:$H$5001)),"")</f>
        <v/>
      </c>
      <c r="M1935" s="47" t="str">
        <f aca="false">IF($A1935="","",INDEX($L$2:$L$5001,MATCH($A1935,$A$2:$A$5001,0)))</f>
        <v/>
      </c>
      <c r="N1935" s="48" t="str">
        <f aca="false">IF($A1935="","",IF(N(M1935)=0,"–",IF(M1935&lt;=Start!$D$20,"A",IF(M1935&lt;=Start!$D$21,"B","C"))))</f>
        <v/>
      </c>
      <c r="O1935" s="48" t="str">
        <f aca="false">IF($A1935="","",IF(NOT(ISNUMBER(F1935)),"Wert fehlt; ",IF(F1935&lt;=0,"Wert ist 0; ",""))&amp;IF(NOT(ISNUMBER(E1935)),"Bestand fehlt; ",IF(E1935&lt;0,"Bestand negativ; ",IF(E1935=0,"Nullbestand; ","")))&amp;IF(D1935="","Warengruppe fehlt; ","")&amp;IF(B1935="","Bezeichnung fehlt; ","")&amp;IF(COUNTIFS($A$2:$A$5001,$A1935,$C$2:$C$5001,C1935)&gt;1,"Artikel doppelt im selben Lager; ",""))</f>
        <v/>
      </c>
      <c r="P1935" s="47" t="n">
        <f aca="false">IF(OR($A1935="",D1935=""),0,IF(COUNTIF($D$2:D1935,D1935)=1,SUMIF($D$2:$D$5001,D1935,$H$2:$H$5001)+ROW()/10000000,0))</f>
        <v>0</v>
      </c>
      <c r="Q1935" s="47" t="n">
        <f aca="false">IF(OR($A1935="",C1935=""),0,IF(COUNTIF($C$2:C1935,C1935)=1,SUMIF($C$2:$C$5001,C1935,$H$2:$H$5001)+ROW()/10000000,0))</f>
        <v>0</v>
      </c>
    </row>
    <row r="1936" customFormat="false" ht="15" hidden="false" customHeight="false" outlineLevel="0" collapsed="false">
      <c r="A1936" s="43"/>
      <c r="B1936" s="44"/>
      <c r="C1936" s="44"/>
      <c r="D1936" s="44"/>
      <c r="E1936" s="44"/>
      <c r="F1936" s="44"/>
      <c r="G1936" s="44"/>
      <c r="H1936" s="46" t="str">
        <f aca="false">IF($A1936="","",IF(OR(NOT(ISNUMBER(E1936)),NOT(ISNUMBER(F1936))),"",MAX(0,E1936)*F1936))</f>
        <v/>
      </c>
      <c r="I1936" s="46" t="str">
        <f aca="false">IF($A1936="","",SUMIF($A$2:$A$5001,$A1936,$H$2:$H$5001))</f>
        <v/>
      </c>
      <c r="J1936" s="47" t="n">
        <f aca="false">IF($A1936="",0,IF(COUNTIF($A$2:A1936,$A1936)=1,1,0))</f>
        <v>0</v>
      </c>
      <c r="K1936" s="47" t="n">
        <f aca="false">IF(J1936=1,N(I1936)+ROW()/10000000,0)</f>
        <v>0</v>
      </c>
      <c r="L1936" s="47" t="str">
        <f aca="false">IF(AND(J1936=1,N(I1936)&gt;0),SUMIF($K$2:$K$5001,"&gt;="&amp;K1936,$I$2:$I$5001)/MAX(1,SUM($H$2:$H$5001)),"")</f>
        <v/>
      </c>
      <c r="M1936" s="47" t="str">
        <f aca="false">IF($A1936="","",INDEX($L$2:$L$5001,MATCH($A1936,$A$2:$A$5001,0)))</f>
        <v/>
      </c>
      <c r="N1936" s="48" t="str">
        <f aca="false">IF($A1936="","",IF(N(M1936)=0,"–",IF(M1936&lt;=Start!$D$20,"A",IF(M1936&lt;=Start!$D$21,"B","C"))))</f>
        <v/>
      </c>
      <c r="O1936" s="48" t="str">
        <f aca="false">IF($A1936="","",IF(NOT(ISNUMBER(F1936)),"Wert fehlt; ",IF(F1936&lt;=0,"Wert ist 0; ",""))&amp;IF(NOT(ISNUMBER(E1936)),"Bestand fehlt; ",IF(E1936&lt;0,"Bestand negativ; ",IF(E1936=0,"Nullbestand; ","")))&amp;IF(D1936="","Warengruppe fehlt; ","")&amp;IF(B1936="","Bezeichnung fehlt; ","")&amp;IF(COUNTIFS($A$2:$A$5001,$A1936,$C$2:$C$5001,C1936)&gt;1,"Artikel doppelt im selben Lager; ",""))</f>
        <v/>
      </c>
      <c r="P1936" s="47" t="n">
        <f aca="false">IF(OR($A1936="",D1936=""),0,IF(COUNTIF($D$2:D1936,D1936)=1,SUMIF($D$2:$D$5001,D1936,$H$2:$H$5001)+ROW()/10000000,0))</f>
        <v>0</v>
      </c>
      <c r="Q1936" s="47" t="n">
        <f aca="false">IF(OR($A1936="",C1936=""),0,IF(COUNTIF($C$2:C1936,C1936)=1,SUMIF($C$2:$C$5001,C1936,$H$2:$H$5001)+ROW()/10000000,0))</f>
        <v>0</v>
      </c>
    </row>
    <row r="1937" customFormat="false" ht="15" hidden="false" customHeight="false" outlineLevel="0" collapsed="false">
      <c r="A1937" s="43"/>
      <c r="B1937" s="44"/>
      <c r="C1937" s="44"/>
      <c r="D1937" s="44"/>
      <c r="E1937" s="44"/>
      <c r="F1937" s="44"/>
      <c r="G1937" s="44"/>
      <c r="H1937" s="46" t="str">
        <f aca="false">IF($A1937="","",IF(OR(NOT(ISNUMBER(E1937)),NOT(ISNUMBER(F1937))),"",MAX(0,E1937)*F1937))</f>
        <v/>
      </c>
      <c r="I1937" s="46" t="str">
        <f aca="false">IF($A1937="","",SUMIF($A$2:$A$5001,$A1937,$H$2:$H$5001))</f>
        <v/>
      </c>
      <c r="J1937" s="47" t="n">
        <f aca="false">IF($A1937="",0,IF(COUNTIF($A$2:A1937,$A1937)=1,1,0))</f>
        <v>0</v>
      </c>
      <c r="K1937" s="47" t="n">
        <f aca="false">IF(J1937=1,N(I1937)+ROW()/10000000,0)</f>
        <v>0</v>
      </c>
      <c r="L1937" s="47" t="str">
        <f aca="false">IF(AND(J1937=1,N(I1937)&gt;0),SUMIF($K$2:$K$5001,"&gt;="&amp;K1937,$I$2:$I$5001)/MAX(1,SUM($H$2:$H$5001)),"")</f>
        <v/>
      </c>
      <c r="M1937" s="47" t="str">
        <f aca="false">IF($A1937="","",INDEX($L$2:$L$5001,MATCH($A1937,$A$2:$A$5001,0)))</f>
        <v/>
      </c>
      <c r="N1937" s="48" t="str">
        <f aca="false">IF($A1937="","",IF(N(M1937)=0,"–",IF(M1937&lt;=Start!$D$20,"A",IF(M1937&lt;=Start!$D$21,"B","C"))))</f>
        <v/>
      </c>
      <c r="O1937" s="48" t="str">
        <f aca="false">IF($A1937="","",IF(NOT(ISNUMBER(F1937)),"Wert fehlt; ",IF(F1937&lt;=0,"Wert ist 0; ",""))&amp;IF(NOT(ISNUMBER(E1937)),"Bestand fehlt; ",IF(E1937&lt;0,"Bestand negativ; ",IF(E1937=0,"Nullbestand; ","")))&amp;IF(D1937="","Warengruppe fehlt; ","")&amp;IF(B1937="","Bezeichnung fehlt; ","")&amp;IF(COUNTIFS($A$2:$A$5001,$A1937,$C$2:$C$5001,C1937)&gt;1,"Artikel doppelt im selben Lager; ",""))</f>
        <v/>
      </c>
      <c r="P1937" s="47" t="n">
        <f aca="false">IF(OR($A1937="",D1937=""),0,IF(COUNTIF($D$2:D1937,D1937)=1,SUMIF($D$2:$D$5001,D1937,$H$2:$H$5001)+ROW()/10000000,0))</f>
        <v>0</v>
      </c>
      <c r="Q1937" s="47" t="n">
        <f aca="false">IF(OR($A1937="",C1937=""),0,IF(COUNTIF($C$2:C1937,C1937)=1,SUMIF($C$2:$C$5001,C1937,$H$2:$H$5001)+ROW()/10000000,0))</f>
        <v>0</v>
      </c>
    </row>
    <row r="1938" customFormat="false" ht="15" hidden="false" customHeight="false" outlineLevel="0" collapsed="false">
      <c r="A1938" s="43"/>
      <c r="B1938" s="44"/>
      <c r="C1938" s="44"/>
      <c r="D1938" s="44"/>
      <c r="E1938" s="44"/>
      <c r="F1938" s="44"/>
      <c r="G1938" s="44"/>
      <c r="H1938" s="46" t="str">
        <f aca="false">IF($A1938="","",IF(OR(NOT(ISNUMBER(E1938)),NOT(ISNUMBER(F1938))),"",MAX(0,E1938)*F1938))</f>
        <v/>
      </c>
      <c r="I1938" s="46" t="str">
        <f aca="false">IF($A1938="","",SUMIF($A$2:$A$5001,$A1938,$H$2:$H$5001))</f>
        <v/>
      </c>
      <c r="J1938" s="47" t="n">
        <f aca="false">IF($A1938="",0,IF(COUNTIF($A$2:A1938,$A1938)=1,1,0))</f>
        <v>0</v>
      </c>
      <c r="K1938" s="47" t="n">
        <f aca="false">IF(J1938=1,N(I1938)+ROW()/10000000,0)</f>
        <v>0</v>
      </c>
      <c r="L1938" s="47" t="str">
        <f aca="false">IF(AND(J1938=1,N(I1938)&gt;0),SUMIF($K$2:$K$5001,"&gt;="&amp;K1938,$I$2:$I$5001)/MAX(1,SUM($H$2:$H$5001)),"")</f>
        <v/>
      </c>
      <c r="M1938" s="47" t="str">
        <f aca="false">IF($A1938="","",INDEX($L$2:$L$5001,MATCH($A1938,$A$2:$A$5001,0)))</f>
        <v/>
      </c>
      <c r="N1938" s="48" t="str">
        <f aca="false">IF($A1938="","",IF(N(M1938)=0,"–",IF(M1938&lt;=Start!$D$20,"A",IF(M1938&lt;=Start!$D$21,"B","C"))))</f>
        <v/>
      </c>
      <c r="O1938" s="48" t="str">
        <f aca="false">IF($A1938="","",IF(NOT(ISNUMBER(F1938)),"Wert fehlt; ",IF(F1938&lt;=0,"Wert ist 0; ",""))&amp;IF(NOT(ISNUMBER(E1938)),"Bestand fehlt; ",IF(E1938&lt;0,"Bestand negativ; ",IF(E1938=0,"Nullbestand; ","")))&amp;IF(D1938="","Warengruppe fehlt; ","")&amp;IF(B1938="","Bezeichnung fehlt; ","")&amp;IF(COUNTIFS($A$2:$A$5001,$A1938,$C$2:$C$5001,C1938)&gt;1,"Artikel doppelt im selben Lager; ",""))</f>
        <v/>
      </c>
      <c r="P1938" s="47" t="n">
        <f aca="false">IF(OR($A1938="",D1938=""),0,IF(COUNTIF($D$2:D1938,D1938)=1,SUMIF($D$2:$D$5001,D1938,$H$2:$H$5001)+ROW()/10000000,0))</f>
        <v>0</v>
      </c>
      <c r="Q1938" s="47" t="n">
        <f aca="false">IF(OR($A1938="",C1938=""),0,IF(COUNTIF($C$2:C1938,C1938)=1,SUMIF($C$2:$C$5001,C1938,$H$2:$H$5001)+ROW()/10000000,0))</f>
        <v>0</v>
      </c>
    </row>
    <row r="1939" customFormat="false" ht="15" hidden="false" customHeight="false" outlineLevel="0" collapsed="false">
      <c r="A1939" s="43"/>
      <c r="B1939" s="44"/>
      <c r="C1939" s="44"/>
      <c r="D1939" s="44"/>
      <c r="E1939" s="44"/>
      <c r="F1939" s="44"/>
      <c r="G1939" s="44"/>
      <c r="H1939" s="46" t="str">
        <f aca="false">IF($A1939="","",IF(OR(NOT(ISNUMBER(E1939)),NOT(ISNUMBER(F1939))),"",MAX(0,E1939)*F1939))</f>
        <v/>
      </c>
      <c r="I1939" s="46" t="str">
        <f aca="false">IF($A1939="","",SUMIF($A$2:$A$5001,$A1939,$H$2:$H$5001))</f>
        <v/>
      </c>
      <c r="J1939" s="47" t="n">
        <f aca="false">IF($A1939="",0,IF(COUNTIF($A$2:A1939,$A1939)=1,1,0))</f>
        <v>0</v>
      </c>
      <c r="K1939" s="47" t="n">
        <f aca="false">IF(J1939=1,N(I1939)+ROW()/10000000,0)</f>
        <v>0</v>
      </c>
      <c r="L1939" s="47" t="str">
        <f aca="false">IF(AND(J1939=1,N(I1939)&gt;0),SUMIF($K$2:$K$5001,"&gt;="&amp;K1939,$I$2:$I$5001)/MAX(1,SUM($H$2:$H$5001)),"")</f>
        <v/>
      </c>
      <c r="M1939" s="47" t="str">
        <f aca="false">IF($A1939="","",INDEX($L$2:$L$5001,MATCH($A1939,$A$2:$A$5001,0)))</f>
        <v/>
      </c>
      <c r="N1939" s="48" t="str">
        <f aca="false">IF($A1939="","",IF(N(M1939)=0,"–",IF(M1939&lt;=Start!$D$20,"A",IF(M1939&lt;=Start!$D$21,"B","C"))))</f>
        <v/>
      </c>
      <c r="O1939" s="48" t="str">
        <f aca="false">IF($A1939="","",IF(NOT(ISNUMBER(F1939)),"Wert fehlt; ",IF(F1939&lt;=0,"Wert ist 0; ",""))&amp;IF(NOT(ISNUMBER(E1939)),"Bestand fehlt; ",IF(E1939&lt;0,"Bestand negativ; ",IF(E1939=0,"Nullbestand; ","")))&amp;IF(D1939="","Warengruppe fehlt; ","")&amp;IF(B1939="","Bezeichnung fehlt; ","")&amp;IF(COUNTIFS($A$2:$A$5001,$A1939,$C$2:$C$5001,C1939)&gt;1,"Artikel doppelt im selben Lager; ",""))</f>
        <v/>
      </c>
      <c r="P1939" s="47" t="n">
        <f aca="false">IF(OR($A1939="",D1939=""),0,IF(COUNTIF($D$2:D1939,D1939)=1,SUMIF($D$2:$D$5001,D1939,$H$2:$H$5001)+ROW()/10000000,0))</f>
        <v>0</v>
      </c>
      <c r="Q1939" s="47" t="n">
        <f aca="false">IF(OR($A1939="",C1939=""),0,IF(COUNTIF($C$2:C1939,C1939)=1,SUMIF($C$2:$C$5001,C1939,$H$2:$H$5001)+ROW()/10000000,0))</f>
        <v>0</v>
      </c>
    </row>
    <row r="1940" customFormat="false" ht="15" hidden="false" customHeight="false" outlineLevel="0" collapsed="false">
      <c r="A1940" s="43"/>
      <c r="B1940" s="44"/>
      <c r="C1940" s="44"/>
      <c r="D1940" s="44"/>
      <c r="E1940" s="44"/>
      <c r="F1940" s="44"/>
      <c r="G1940" s="44"/>
      <c r="H1940" s="46" t="str">
        <f aca="false">IF($A1940="","",IF(OR(NOT(ISNUMBER(E1940)),NOT(ISNUMBER(F1940))),"",MAX(0,E1940)*F1940))</f>
        <v/>
      </c>
      <c r="I1940" s="46" t="str">
        <f aca="false">IF($A1940="","",SUMIF($A$2:$A$5001,$A1940,$H$2:$H$5001))</f>
        <v/>
      </c>
      <c r="J1940" s="47" t="n">
        <f aca="false">IF($A1940="",0,IF(COUNTIF($A$2:A1940,$A1940)=1,1,0))</f>
        <v>0</v>
      </c>
      <c r="K1940" s="47" t="n">
        <f aca="false">IF(J1940=1,N(I1940)+ROW()/10000000,0)</f>
        <v>0</v>
      </c>
      <c r="L1940" s="47" t="str">
        <f aca="false">IF(AND(J1940=1,N(I1940)&gt;0),SUMIF($K$2:$K$5001,"&gt;="&amp;K1940,$I$2:$I$5001)/MAX(1,SUM($H$2:$H$5001)),"")</f>
        <v/>
      </c>
      <c r="M1940" s="47" t="str">
        <f aca="false">IF($A1940="","",INDEX($L$2:$L$5001,MATCH($A1940,$A$2:$A$5001,0)))</f>
        <v/>
      </c>
      <c r="N1940" s="48" t="str">
        <f aca="false">IF($A1940="","",IF(N(M1940)=0,"–",IF(M1940&lt;=Start!$D$20,"A",IF(M1940&lt;=Start!$D$21,"B","C"))))</f>
        <v/>
      </c>
      <c r="O1940" s="48" t="str">
        <f aca="false">IF($A1940="","",IF(NOT(ISNUMBER(F1940)),"Wert fehlt; ",IF(F1940&lt;=0,"Wert ist 0; ",""))&amp;IF(NOT(ISNUMBER(E1940)),"Bestand fehlt; ",IF(E1940&lt;0,"Bestand negativ; ",IF(E1940=0,"Nullbestand; ","")))&amp;IF(D1940="","Warengruppe fehlt; ","")&amp;IF(B1940="","Bezeichnung fehlt; ","")&amp;IF(COUNTIFS($A$2:$A$5001,$A1940,$C$2:$C$5001,C1940)&gt;1,"Artikel doppelt im selben Lager; ",""))</f>
        <v/>
      </c>
      <c r="P1940" s="47" t="n">
        <f aca="false">IF(OR($A1940="",D1940=""),0,IF(COUNTIF($D$2:D1940,D1940)=1,SUMIF($D$2:$D$5001,D1940,$H$2:$H$5001)+ROW()/10000000,0))</f>
        <v>0</v>
      </c>
      <c r="Q1940" s="47" t="n">
        <f aca="false">IF(OR($A1940="",C1940=""),0,IF(COUNTIF($C$2:C1940,C1940)=1,SUMIF($C$2:$C$5001,C1940,$H$2:$H$5001)+ROW()/10000000,0))</f>
        <v>0</v>
      </c>
    </row>
    <row r="1941" customFormat="false" ht="15" hidden="false" customHeight="false" outlineLevel="0" collapsed="false">
      <c r="A1941" s="43"/>
      <c r="B1941" s="44"/>
      <c r="C1941" s="44"/>
      <c r="D1941" s="44"/>
      <c r="E1941" s="44"/>
      <c r="F1941" s="44"/>
      <c r="G1941" s="44"/>
      <c r="H1941" s="46" t="str">
        <f aca="false">IF($A1941="","",IF(OR(NOT(ISNUMBER(E1941)),NOT(ISNUMBER(F1941))),"",MAX(0,E1941)*F1941))</f>
        <v/>
      </c>
      <c r="I1941" s="46" t="str">
        <f aca="false">IF($A1941="","",SUMIF($A$2:$A$5001,$A1941,$H$2:$H$5001))</f>
        <v/>
      </c>
      <c r="J1941" s="47" t="n">
        <f aca="false">IF($A1941="",0,IF(COUNTIF($A$2:A1941,$A1941)=1,1,0))</f>
        <v>0</v>
      </c>
      <c r="K1941" s="47" t="n">
        <f aca="false">IF(J1941=1,N(I1941)+ROW()/10000000,0)</f>
        <v>0</v>
      </c>
      <c r="L1941" s="47" t="str">
        <f aca="false">IF(AND(J1941=1,N(I1941)&gt;0),SUMIF($K$2:$K$5001,"&gt;="&amp;K1941,$I$2:$I$5001)/MAX(1,SUM($H$2:$H$5001)),"")</f>
        <v/>
      </c>
      <c r="M1941" s="47" t="str">
        <f aca="false">IF($A1941="","",INDEX($L$2:$L$5001,MATCH($A1941,$A$2:$A$5001,0)))</f>
        <v/>
      </c>
      <c r="N1941" s="48" t="str">
        <f aca="false">IF($A1941="","",IF(N(M1941)=0,"–",IF(M1941&lt;=Start!$D$20,"A",IF(M1941&lt;=Start!$D$21,"B","C"))))</f>
        <v/>
      </c>
      <c r="O1941" s="48" t="str">
        <f aca="false">IF($A1941="","",IF(NOT(ISNUMBER(F1941)),"Wert fehlt; ",IF(F1941&lt;=0,"Wert ist 0; ",""))&amp;IF(NOT(ISNUMBER(E1941)),"Bestand fehlt; ",IF(E1941&lt;0,"Bestand negativ; ",IF(E1941=0,"Nullbestand; ","")))&amp;IF(D1941="","Warengruppe fehlt; ","")&amp;IF(B1941="","Bezeichnung fehlt; ","")&amp;IF(COUNTIFS($A$2:$A$5001,$A1941,$C$2:$C$5001,C1941)&gt;1,"Artikel doppelt im selben Lager; ",""))</f>
        <v/>
      </c>
      <c r="P1941" s="47" t="n">
        <f aca="false">IF(OR($A1941="",D1941=""),0,IF(COUNTIF($D$2:D1941,D1941)=1,SUMIF($D$2:$D$5001,D1941,$H$2:$H$5001)+ROW()/10000000,0))</f>
        <v>0</v>
      </c>
      <c r="Q1941" s="47" t="n">
        <f aca="false">IF(OR($A1941="",C1941=""),0,IF(COUNTIF($C$2:C1941,C1941)=1,SUMIF($C$2:$C$5001,C1941,$H$2:$H$5001)+ROW()/10000000,0))</f>
        <v>0</v>
      </c>
    </row>
    <row r="1942" customFormat="false" ht="15" hidden="false" customHeight="false" outlineLevel="0" collapsed="false">
      <c r="A1942" s="43"/>
      <c r="B1942" s="44"/>
      <c r="C1942" s="44"/>
      <c r="D1942" s="44"/>
      <c r="E1942" s="44"/>
      <c r="F1942" s="44"/>
      <c r="G1942" s="44"/>
      <c r="H1942" s="46" t="str">
        <f aca="false">IF($A1942="","",IF(OR(NOT(ISNUMBER(E1942)),NOT(ISNUMBER(F1942))),"",MAX(0,E1942)*F1942))</f>
        <v/>
      </c>
      <c r="I1942" s="46" t="str">
        <f aca="false">IF($A1942="","",SUMIF($A$2:$A$5001,$A1942,$H$2:$H$5001))</f>
        <v/>
      </c>
      <c r="J1942" s="47" t="n">
        <f aca="false">IF($A1942="",0,IF(COUNTIF($A$2:A1942,$A1942)=1,1,0))</f>
        <v>0</v>
      </c>
      <c r="K1942" s="47" t="n">
        <f aca="false">IF(J1942=1,N(I1942)+ROW()/10000000,0)</f>
        <v>0</v>
      </c>
      <c r="L1942" s="47" t="str">
        <f aca="false">IF(AND(J1942=1,N(I1942)&gt;0),SUMIF($K$2:$K$5001,"&gt;="&amp;K1942,$I$2:$I$5001)/MAX(1,SUM($H$2:$H$5001)),"")</f>
        <v/>
      </c>
      <c r="M1942" s="47" t="str">
        <f aca="false">IF($A1942="","",INDEX($L$2:$L$5001,MATCH($A1942,$A$2:$A$5001,0)))</f>
        <v/>
      </c>
      <c r="N1942" s="48" t="str">
        <f aca="false">IF($A1942="","",IF(N(M1942)=0,"–",IF(M1942&lt;=Start!$D$20,"A",IF(M1942&lt;=Start!$D$21,"B","C"))))</f>
        <v/>
      </c>
      <c r="O1942" s="48" t="str">
        <f aca="false">IF($A1942="","",IF(NOT(ISNUMBER(F1942)),"Wert fehlt; ",IF(F1942&lt;=0,"Wert ist 0; ",""))&amp;IF(NOT(ISNUMBER(E1942)),"Bestand fehlt; ",IF(E1942&lt;0,"Bestand negativ; ",IF(E1942=0,"Nullbestand; ","")))&amp;IF(D1942="","Warengruppe fehlt; ","")&amp;IF(B1942="","Bezeichnung fehlt; ","")&amp;IF(COUNTIFS($A$2:$A$5001,$A1942,$C$2:$C$5001,C1942)&gt;1,"Artikel doppelt im selben Lager; ",""))</f>
        <v/>
      </c>
      <c r="P1942" s="47" t="n">
        <f aca="false">IF(OR($A1942="",D1942=""),0,IF(COUNTIF($D$2:D1942,D1942)=1,SUMIF($D$2:$D$5001,D1942,$H$2:$H$5001)+ROW()/10000000,0))</f>
        <v>0</v>
      </c>
      <c r="Q1942" s="47" t="n">
        <f aca="false">IF(OR($A1942="",C1942=""),0,IF(COUNTIF($C$2:C1942,C1942)=1,SUMIF($C$2:$C$5001,C1942,$H$2:$H$5001)+ROW()/10000000,0))</f>
        <v>0</v>
      </c>
    </row>
    <row r="1943" customFormat="false" ht="15" hidden="false" customHeight="false" outlineLevel="0" collapsed="false">
      <c r="A1943" s="43"/>
      <c r="B1943" s="44"/>
      <c r="C1943" s="44"/>
      <c r="D1943" s="44"/>
      <c r="E1943" s="44"/>
      <c r="F1943" s="44"/>
      <c r="G1943" s="44"/>
      <c r="H1943" s="46" t="str">
        <f aca="false">IF($A1943="","",IF(OR(NOT(ISNUMBER(E1943)),NOT(ISNUMBER(F1943))),"",MAX(0,E1943)*F1943))</f>
        <v/>
      </c>
      <c r="I1943" s="46" t="str">
        <f aca="false">IF($A1943="","",SUMIF($A$2:$A$5001,$A1943,$H$2:$H$5001))</f>
        <v/>
      </c>
      <c r="J1943" s="47" t="n">
        <f aca="false">IF($A1943="",0,IF(COUNTIF($A$2:A1943,$A1943)=1,1,0))</f>
        <v>0</v>
      </c>
      <c r="K1943" s="47" t="n">
        <f aca="false">IF(J1943=1,N(I1943)+ROW()/10000000,0)</f>
        <v>0</v>
      </c>
      <c r="L1943" s="47" t="str">
        <f aca="false">IF(AND(J1943=1,N(I1943)&gt;0),SUMIF($K$2:$K$5001,"&gt;="&amp;K1943,$I$2:$I$5001)/MAX(1,SUM($H$2:$H$5001)),"")</f>
        <v/>
      </c>
      <c r="M1943" s="47" t="str">
        <f aca="false">IF($A1943="","",INDEX($L$2:$L$5001,MATCH($A1943,$A$2:$A$5001,0)))</f>
        <v/>
      </c>
      <c r="N1943" s="48" t="str">
        <f aca="false">IF($A1943="","",IF(N(M1943)=0,"–",IF(M1943&lt;=Start!$D$20,"A",IF(M1943&lt;=Start!$D$21,"B","C"))))</f>
        <v/>
      </c>
      <c r="O1943" s="48" t="str">
        <f aca="false">IF($A1943="","",IF(NOT(ISNUMBER(F1943)),"Wert fehlt; ",IF(F1943&lt;=0,"Wert ist 0; ",""))&amp;IF(NOT(ISNUMBER(E1943)),"Bestand fehlt; ",IF(E1943&lt;0,"Bestand negativ; ",IF(E1943=0,"Nullbestand; ","")))&amp;IF(D1943="","Warengruppe fehlt; ","")&amp;IF(B1943="","Bezeichnung fehlt; ","")&amp;IF(COUNTIFS($A$2:$A$5001,$A1943,$C$2:$C$5001,C1943)&gt;1,"Artikel doppelt im selben Lager; ",""))</f>
        <v/>
      </c>
      <c r="P1943" s="47" t="n">
        <f aca="false">IF(OR($A1943="",D1943=""),0,IF(COUNTIF($D$2:D1943,D1943)=1,SUMIF($D$2:$D$5001,D1943,$H$2:$H$5001)+ROW()/10000000,0))</f>
        <v>0</v>
      </c>
      <c r="Q1943" s="47" t="n">
        <f aca="false">IF(OR($A1943="",C1943=""),0,IF(COUNTIF($C$2:C1943,C1943)=1,SUMIF($C$2:$C$5001,C1943,$H$2:$H$5001)+ROW()/10000000,0))</f>
        <v>0</v>
      </c>
    </row>
    <row r="1944" customFormat="false" ht="15" hidden="false" customHeight="false" outlineLevel="0" collapsed="false">
      <c r="A1944" s="43"/>
      <c r="B1944" s="44"/>
      <c r="C1944" s="44"/>
      <c r="D1944" s="44"/>
      <c r="E1944" s="44"/>
      <c r="F1944" s="44"/>
      <c r="G1944" s="44"/>
      <c r="H1944" s="46" t="str">
        <f aca="false">IF($A1944="","",IF(OR(NOT(ISNUMBER(E1944)),NOT(ISNUMBER(F1944))),"",MAX(0,E1944)*F1944))</f>
        <v/>
      </c>
      <c r="I1944" s="46" t="str">
        <f aca="false">IF($A1944="","",SUMIF($A$2:$A$5001,$A1944,$H$2:$H$5001))</f>
        <v/>
      </c>
      <c r="J1944" s="47" t="n">
        <f aca="false">IF($A1944="",0,IF(COUNTIF($A$2:A1944,$A1944)=1,1,0))</f>
        <v>0</v>
      </c>
      <c r="K1944" s="47" t="n">
        <f aca="false">IF(J1944=1,N(I1944)+ROW()/10000000,0)</f>
        <v>0</v>
      </c>
      <c r="L1944" s="47" t="str">
        <f aca="false">IF(AND(J1944=1,N(I1944)&gt;0),SUMIF($K$2:$K$5001,"&gt;="&amp;K1944,$I$2:$I$5001)/MAX(1,SUM($H$2:$H$5001)),"")</f>
        <v/>
      </c>
      <c r="M1944" s="47" t="str">
        <f aca="false">IF($A1944="","",INDEX($L$2:$L$5001,MATCH($A1944,$A$2:$A$5001,0)))</f>
        <v/>
      </c>
      <c r="N1944" s="48" t="str">
        <f aca="false">IF($A1944="","",IF(N(M1944)=0,"–",IF(M1944&lt;=Start!$D$20,"A",IF(M1944&lt;=Start!$D$21,"B","C"))))</f>
        <v/>
      </c>
      <c r="O1944" s="48" t="str">
        <f aca="false">IF($A1944="","",IF(NOT(ISNUMBER(F1944)),"Wert fehlt; ",IF(F1944&lt;=0,"Wert ist 0; ",""))&amp;IF(NOT(ISNUMBER(E1944)),"Bestand fehlt; ",IF(E1944&lt;0,"Bestand negativ; ",IF(E1944=0,"Nullbestand; ","")))&amp;IF(D1944="","Warengruppe fehlt; ","")&amp;IF(B1944="","Bezeichnung fehlt; ","")&amp;IF(COUNTIFS($A$2:$A$5001,$A1944,$C$2:$C$5001,C1944)&gt;1,"Artikel doppelt im selben Lager; ",""))</f>
        <v/>
      </c>
      <c r="P1944" s="47" t="n">
        <f aca="false">IF(OR($A1944="",D1944=""),0,IF(COUNTIF($D$2:D1944,D1944)=1,SUMIF($D$2:$D$5001,D1944,$H$2:$H$5001)+ROW()/10000000,0))</f>
        <v>0</v>
      </c>
      <c r="Q1944" s="47" t="n">
        <f aca="false">IF(OR($A1944="",C1944=""),0,IF(COUNTIF($C$2:C1944,C1944)=1,SUMIF($C$2:$C$5001,C1944,$H$2:$H$5001)+ROW()/10000000,0))</f>
        <v>0</v>
      </c>
    </row>
    <row r="1945" customFormat="false" ht="15" hidden="false" customHeight="false" outlineLevel="0" collapsed="false">
      <c r="A1945" s="43"/>
      <c r="B1945" s="44"/>
      <c r="C1945" s="44"/>
      <c r="D1945" s="44"/>
      <c r="E1945" s="44"/>
      <c r="F1945" s="44"/>
      <c r="G1945" s="44"/>
      <c r="H1945" s="46" t="str">
        <f aca="false">IF($A1945="","",IF(OR(NOT(ISNUMBER(E1945)),NOT(ISNUMBER(F1945))),"",MAX(0,E1945)*F1945))</f>
        <v/>
      </c>
      <c r="I1945" s="46" t="str">
        <f aca="false">IF($A1945="","",SUMIF($A$2:$A$5001,$A1945,$H$2:$H$5001))</f>
        <v/>
      </c>
      <c r="J1945" s="47" t="n">
        <f aca="false">IF($A1945="",0,IF(COUNTIF($A$2:A1945,$A1945)=1,1,0))</f>
        <v>0</v>
      </c>
      <c r="K1945" s="47" t="n">
        <f aca="false">IF(J1945=1,N(I1945)+ROW()/10000000,0)</f>
        <v>0</v>
      </c>
      <c r="L1945" s="47" t="str">
        <f aca="false">IF(AND(J1945=1,N(I1945)&gt;0),SUMIF($K$2:$K$5001,"&gt;="&amp;K1945,$I$2:$I$5001)/MAX(1,SUM($H$2:$H$5001)),"")</f>
        <v/>
      </c>
      <c r="M1945" s="47" t="str">
        <f aca="false">IF($A1945="","",INDEX($L$2:$L$5001,MATCH($A1945,$A$2:$A$5001,0)))</f>
        <v/>
      </c>
      <c r="N1945" s="48" t="str">
        <f aca="false">IF($A1945="","",IF(N(M1945)=0,"–",IF(M1945&lt;=Start!$D$20,"A",IF(M1945&lt;=Start!$D$21,"B","C"))))</f>
        <v/>
      </c>
      <c r="O1945" s="48" t="str">
        <f aca="false">IF($A1945="","",IF(NOT(ISNUMBER(F1945)),"Wert fehlt; ",IF(F1945&lt;=0,"Wert ist 0; ",""))&amp;IF(NOT(ISNUMBER(E1945)),"Bestand fehlt; ",IF(E1945&lt;0,"Bestand negativ; ",IF(E1945=0,"Nullbestand; ","")))&amp;IF(D1945="","Warengruppe fehlt; ","")&amp;IF(B1945="","Bezeichnung fehlt; ","")&amp;IF(COUNTIFS($A$2:$A$5001,$A1945,$C$2:$C$5001,C1945)&gt;1,"Artikel doppelt im selben Lager; ",""))</f>
        <v/>
      </c>
      <c r="P1945" s="47" t="n">
        <f aca="false">IF(OR($A1945="",D1945=""),0,IF(COUNTIF($D$2:D1945,D1945)=1,SUMIF($D$2:$D$5001,D1945,$H$2:$H$5001)+ROW()/10000000,0))</f>
        <v>0</v>
      </c>
      <c r="Q1945" s="47" t="n">
        <f aca="false">IF(OR($A1945="",C1945=""),0,IF(COUNTIF($C$2:C1945,C1945)=1,SUMIF($C$2:$C$5001,C1945,$H$2:$H$5001)+ROW()/10000000,0))</f>
        <v>0</v>
      </c>
    </row>
    <row r="1946" customFormat="false" ht="15" hidden="false" customHeight="false" outlineLevel="0" collapsed="false">
      <c r="A1946" s="43"/>
      <c r="B1946" s="44"/>
      <c r="C1946" s="44"/>
      <c r="D1946" s="44"/>
      <c r="E1946" s="44"/>
      <c r="F1946" s="44"/>
      <c r="G1946" s="44"/>
      <c r="H1946" s="46" t="str">
        <f aca="false">IF($A1946="","",IF(OR(NOT(ISNUMBER(E1946)),NOT(ISNUMBER(F1946))),"",MAX(0,E1946)*F1946))</f>
        <v/>
      </c>
      <c r="I1946" s="46" t="str">
        <f aca="false">IF($A1946="","",SUMIF($A$2:$A$5001,$A1946,$H$2:$H$5001))</f>
        <v/>
      </c>
      <c r="J1946" s="47" t="n">
        <f aca="false">IF($A1946="",0,IF(COUNTIF($A$2:A1946,$A1946)=1,1,0))</f>
        <v>0</v>
      </c>
      <c r="K1946" s="47" t="n">
        <f aca="false">IF(J1946=1,N(I1946)+ROW()/10000000,0)</f>
        <v>0</v>
      </c>
      <c r="L1946" s="47" t="str">
        <f aca="false">IF(AND(J1946=1,N(I1946)&gt;0),SUMIF($K$2:$K$5001,"&gt;="&amp;K1946,$I$2:$I$5001)/MAX(1,SUM($H$2:$H$5001)),"")</f>
        <v/>
      </c>
      <c r="M1946" s="47" t="str">
        <f aca="false">IF($A1946="","",INDEX($L$2:$L$5001,MATCH($A1946,$A$2:$A$5001,0)))</f>
        <v/>
      </c>
      <c r="N1946" s="48" t="str">
        <f aca="false">IF($A1946="","",IF(N(M1946)=0,"–",IF(M1946&lt;=Start!$D$20,"A",IF(M1946&lt;=Start!$D$21,"B","C"))))</f>
        <v/>
      </c>
      <c r="O1946" s="48" t="str">
        <f aca="false">IF($A1946="","",IF(NOT(ISNUMBER(F1946)),"Wert fehlt; ",IF(F1946&lt;=0,"Wert ist 0; ",""))&amp;IF(NOT(ISNUMBER(E1946)),"Bestand fehlt; ",IF(E1946&lt;0,"Bestand negativ; ",IF(E1946=0,"Nullbestand; ","")))&amp;IF(D1946="","Warengruppe fehlt; ","")&amp;IF(B1946="","Bezeichnung fehlt; ","")&amp;IF(COUNTIFS($A$2:$A$5001,$A1946,$C$2:$C$5001,C1946)&gt;1,"Artikel doppelt im selben Lager; ",""))</f>
        <v/>
      </c>
      <c r="P1946" s="47" t="n">
        <f aca="false">IF(OR($A1946="",D1946=""),0,IF(COUNTIF($D$2:D1946,D1946)=1,SUMIF($D$2:$D$5001,D1946,$H$2:$H$5001)+ROW()/10000000,0))</f>
        <v>0</v>
      </c>
      <c r="Q1946" s="47" t="n">
        <f aca="false">IF(OR($A1946="",C1946=""),0,IF(COUNTIF($C$2:C1946,C1946)=1,SUMIF($C$2:$C$5001,C1946,$H$2:$H$5001)+ROW()/10000000,0))</f>
        <v>0</v>
      </c>
    </row>
    <row r="1947" customFormat="false" ht="15" hidden="false" customHeight="false" outlineLevel="0" collapsed="false">
      <c r="A1947" s="43"/>
      <c r="B1947" s="44"/>
      <c r="C1947" s="44"/>
      <c r="D1947" s="44"/>
      <c r="E1947" s="44"/>
      <c r="F1947" s="44"/>
      <c r="G1947" s="44"/>
      <c r="H1947" s="46" t="str">
        <f aca="false">IF($A1947="","",IF(OR(NOT(ISNUMBER(E1947)),NOT(ISNUMBER(F1947))),"",MAX(0,E1947)*F1947))</f>
        <v/>
      </c>
      <c r="I1947" s="46" t="str">
        <f aca="false">IF($A1947="","",SUMIF($A$2:$A$5001,$A1947,$H$2:$H$5001))</f>
        <v/>
      </c>
      <c r="J1947" s="47" t="n">
        <f aca="false">IF($A1947="",0,IF(COUNTIF($A$2:A1947,$A1947)=1,1,0))</f>
        <v>0</v>
      </c>
      <c r="K1947" s="47" t="n">
        <f aca="false">IF(J1947=1,N(I1947)+ROW()/10000000,0)</f>
        <v>0</v>
      </c>
      <c r="L1947" s="47" t="str">
        <f aca="false">IF(AND(J1947=1,N(I1947)&gt;0),SUMIF($K$2:$K$5001,"&gt;="&amp;K1947,$I$2:$I$5001)/MAX(1,SUM($H$2:$H$5001)),"")</f>
        <v/>
      </c>
      <c r="M1947" s="47" t="str">
        <f aca="false">IF($A1947="","",INDEX($L$2:$L$5001,MATCH($A1947,$A$2:$A$5001,0)))</f>
        <v/>
      </c>
      <c r="N1947" s="48" t="str">
        <f aca="false">IF($A1947="","",IF(N(M1947)=0,"–",IF(M1947&lt;=Start!$D$20,"A",IF(M1947&lt;=Start!$D$21,"B","C"))))</f>
        <v/>
      </c>
      <c r="O1947" s="48" t="str">
        <f aca="false">IF($A1947="","",IF(NOT(ISNUMBER(F1947)),"Wert fehlt; ",IF(F1947&lt;=0,"Wert ist 0; ",""))&amp;IF(NOT(ISNUMBER(E1947)),"Bestand fehlt; ",IF(E1947&lt;0,"Bestand negativ; ",IF(E1947=0,"Nullbestand; ","")))&amp;IF(D1947="","Warengruppe fehlt; ","")&amp;IF(B1947="","Bezeichnung fehlt; ","")&amp;IF(COUNTIFS($A$2:$A$5001,$A1947,$C$2:$C$5001,C1947)&gt;1,"Artikel doppelt im selben Lager; ",""))</f>
        <v/>
      </c>
      <c r="P1947" s="47" t="n">
        <f aca="false">IF(OR($A1947="",D1947=""),0,IF(COUNTIF($D$2:D1947,D1947)=1,SUMIF($D$2:$D$5001,D1947,$H$2:$H$5001)+ROW()/10000000,0))</f>
        <v>0</v>
      </c>
      <c r="Q1947" s="47" t="n">
        <f aca="false">IF(OR($A1947="",C1947=""),0,IF(COUNTIF($C$2:C1947,C1947)=1,SUMIF($C$2:$C$5001,C1947,$H$2:$H$5001)+ROW()/10000000,0))</f>
        <v>0</v>
      </c>
    </row>
    <row r="1948" customFormat="false" ht="15" hidden="false" customHeight="false" outlineLevel="0" collapsed="false">
      <c r="A1948" s="43"/>
      <c r="B1948" s="44"/>
      <c r="C1948" s="44"/>
      <c r="D1948" s="44"/>
      <c r="E1948" s="44"/>
      <c r="F1948" s="44"/>
      <c r="G1948" s="44"/>
      <c r="H1948" s="46" t="str">
        <f aca="false">IF($A1948="","",IF(OR(NOT(ISNUMBER(E1948)),NOT(ISNUMBER(F1948))),"",MAX(0,E1948)*F1948))</f>
        <v/>
      </c>
      <c r="I1948" s="46" t="str">
        <f aca="false">IF($A1948="","",SUMIF($A$2:$A$5001,$A1948,$H$2:$H$5001))</f>
        <v/>
      </c>
      <c r="J1948" s="47" t="n">
        <f aca="false">IF($A1948="",0,IF(COUNTIF($A$2:A1948,$A1948)=1,1,0))</f>
        <v>0</v>
      </c>
      <c r="K1948" s="47" t="n">
        <f aca="false">IF(J1948=1,N(I1948)+ROW()/10000000,0)</f>
        <v>0</v>
      </c>
      <c r="L1948" s="47" t="str">
        <f aca="false">IF(AND(J1948=1,N(I1948)&gt;0),SUMIF($K$2:$K$5001,"&gt;="&amp;K1948,$I$2:$I$5001)/MAX(1,SUM($H$2:$H$5001)),"")</f>
        <v/>
      </c>
      <c r="M1948" s="47" t="str">
        <f aca="false">IF($A1948="","",INDEX($L$2:$L$5001,MATCH($A1948,$A$2:$A$5001,0)))</f>
        <v/>
      </c>
      <c r="N1948" s="48" t="str">
        <f aca="false">IF($A1948="","",IF(N(M1948)=0,"–",IF(M1948&lt;=Start!$D$20,"A",IF(M1948&lt;=Start!$D$21,"B","C"))))</f>
        <v/>
      </c>
      <c r="O1948" s="48" t="str">
        <f aca="false">IF($A1948="","",IF(NOT(ISNUMBER(F1948)),"Wert fehlt; ",IF(F1948&lt;=0,"Wert ist 0; ",""))&amp;IF(NOT(ISNUMBER(E1948)),"Bestand fehlt; ",IF(E1948&lt;0,"Bestand negativ; ",IF(E1948=0,"Nullbestand; ","")))&amp;IF(D1948="","Warengruppe fehlt; ","")&amp;IF(B1948="","Bezeichnung fehlt; ","")&amp;IF(COUNTIFS($A$2:$A$5001,$A1948,$C$2:$C$5001,C1948)&gt;1,"Artikel doppelt im selben Lager; ",""))</f>
        <v/>
      </c>
      <c r="P1948" s="47" t="n">
        <f aca="false">IF(OR($A1948="",D1948=""),0,IF(COUNTIF($D$2:D1948,D1948)=1,SUMIF($D$2:$D$5001,D1948,$H$2:$H$5001)+ROW()/10000000,0))</f>
        <v>0</v>
      </c>
      <c r="Q1948" s="47" t="n">
        <f aca="false">IF(OR($A1948="",C1948=""),0,IF(COUNTIF($C$2:C1948,C1948)=1,SUMIF($C$2:$C$5001,C1948,$H$2:$H$5001)+ROW()/10000000,0))</f>
        <v>0</v>
      </c>
    </row>
    <row r="1949" customFormat="false" ht="15" hidden="false" customHeight="false" outlineLevel="0" collapsed="false">
      <c r="A1949" s="43"/>
      <c r="B1949" s="44"/>
      <c r="C1949" s="44"/>
      <c r="D1949" s="44"/>
      <c r="E1949" s="44"/>
      <c r="F1949" s="44"/>
      <c r="G1949" s="44"/>
      <c r="H1949" s="46" t="str">
        <f aca="false">IF($A1949="","",IF(OR(NOT(ISNUMBER(E1949)),NOT(ISNUMBER(F1949))),"",MAX(0,E1949)*F1949))</f>
        <v/>
      </c>
      <c r="I1949" s="46" t="str">
        <f aca="false">IF($A1949="","",SUMIF($A$2:$A$5001,$A1949,$H$2:$H$5001))</f>
        <v/>
      </c>
      <c r="J1949" s="47" t="n">
        <f aca="false">IF($A1949="",0,IF(COUNTIF($A$2:A1949,$A1949)=1,1,0))</f>
        <v>0</v>
      </c>
      <c r="K1949" s="47" t="n">
        <f aca="false">IF(J1949=1,N(I1949)+ROW()/10000000,0)</f>
        <v>0</v>
      </c>
      <c r="L1949" s="47" t="str">
        <f aca="false">IF(AND(J1949=1,N(I1949)&gt;0),SUMIF($K$2:$K$5001,"&gt;="&amp;K1949,$I$2:$I$5001)/MAX(1,SUM($H$2:$H$5001)),"")</f>
        <v/>
      </c>
      <c r="M1949" s="47" t="str">
        <f aca="false">IF($A1949="","",INDEX($L$2:$L$5001,MATCH($A1949,$A$2:$A$5001,0)))</f>
        <v/>
      </c>
      <c r="N1949" s="48" t="str">
        <f aca="false">IF($A1949="","",IF(N(M1949)=0,"–",IF(M1949&lt;=Start!$D$20,"A",IF(M1949&lt;=Start!$D$21,"B","C"))))</f>
        <v/>
      </c>
      <c r="O1949" s="48" t="str">
        <f aca="false">IF($A1949="","",IF(NOT(ISNUMBER(F1949)),"Wert fehlt; ",IF(F1949&lt;=0,"Wert ist 0; ",""))&amp;IF(NOT(ISNUMBER(E1949)),"Bestand fehlt; ",IF(E1949&lt;0,"Bestand negativ; ",IF(E1949=0,"Nullbestand; ","")))&amp;IF(D1949="","Warengruppe fehlt; ","")&amp;IF(B1949="","Bezeichnung fehlt; ","")&amp;IF(COUNTIFS($A$2:$A$5001,$A1949,$C$2:$C$5001,C1949)&gt;1,"Artikel doppelt im selben Lager; ",""))</f>
        <v/>
      </c>
      <c r="P1949" s="47" t="n">
        <f aca="false">IF(OR($A1949="",D1949=""),0,IF(COUNTIF($D$2:D1949,D1949)=1,SUMIF($D$2:$D$5001,D1949,$H$2:$H$5001)+ROW()/10000000,0))</f>
        <v>0</v>
      </c>
      <c r="Q1949" s="47" t="n">
        <f aca="false">IF(OR($A1949="",C1949=""),0,IF(COUNTIF($C$2:C1949,C1949)=1,SUMIF($C$2:$C$5001,C1949,$H$2:$H$5001)+ROW()/10000000,0))</f>
        <v>0</v>
      </c>
    </row>
    <row r="1950" customFormat="false" ht="15" hidden="false" customHeight="false" outlineLevel="0" collapsed="false">
      <c r="A1950" s="43"/>
      <c r="B1950" s="44"/>
      <c r="C1950" s="44"/>
      <c r="D1950" s="44"/>
      <c r="E1950" s="44"/>
      <c r="F1950" s="44"/>
      <c r="G1950" s="44"/>
      <c r="H1950" s="46" t="str">
        <f aca="false">IF($A1950="","",IF(OR(NOT(ISNUMBER(E1950)),NOT(ISNUMBER(F1950))),"",MAX(0,E1950)*F1950))</f>
        <v/>
      </c>
      <c r="I1950" s="46" t="str">
        <f aca="false">IF($A1950="","",SUMIF($A$2:$A$5001,$A1950,$H$2:$H$5001))</f>
        <v/>
      </c>
      <c r="J1950" s="47" t="n">
        <f aca="false">IF($A1950="",0,IF(COUNTIF($A$2:A1950,$A1950)=1,1,0))</f>
        <v>0</v>
      </c>
      <c r="K1950" s="47" t="n">
        <f aca="false">IF(J1950=1,N(I1950)+ROW()/10000000,0)</f>
        <v>0</v>
      </c>
      <c r="L1950" s="47" t="str">
        <f aca="false">IF(AND(J1950=1,N(I1950)&gt;0),SUMIF($K$2:$K$5001,"&gt;="&amp;K1950,$I$2:$I$5001)/MAX(1,SUM($H$2:$H$5001)),"")</f>
        <v/>
      </c>
      <c r="M1950" s="47" t="str">
        <f aca="false">IF($A1950="","",INDEX($L$2:$L$5001,MATCH($A1950,$A$2:$A$5001,0)))</f>
        <v/>
      </c>
      <c r="N1950" s="48" t="str">
        <f aca="false">IF($A1950="","",IF(N(M1950)=0,"–",IF(M1950&lt;=Start!$D$20,"A",IF(M1950&lt;=Start!$D$21,"B","C"))))</f>
        <v/>
      </c>
      <c r="O1950" s="48" t="str">
        <f aca="false">IF($A1950="","",IF(NOT(ISNUMBER(F1950)),"Wert fehlt; ",IF(F1950&lt;=0,"Wert ist 0; ",""))&amp;IF(NOT(ISNUMBER(E1950)),"Bestand fehlt; ",IF(E1950&lt;0,"Bestand negativ; ",IF(E1950=0,"Nullbestand; ","")))&amp;IF(D1950="","Warengruppe fehlt; ","")&amp;IF(B1950="","Bezeichnung fehlt; ","")&amp;IF(COUNTIFS($A$2:$A$5001,$A1950,$C$2:$C$5001,C1950)&gt;1,"Artikel doppelt im selben Lager; ",""))</f>
        <v/>
      </c>
      <c r="P1950" s="47" t="n">
        <f aca="false">IF(OR($A1950="",D1950=""),0,IF(COUNTIF($D$2:D1950,D1950)=1,SUMIF($D$2:$D$5001,D1950,$H$2:$H$5001)+ROW()/10000000,0))</f>
        <v>0</v>
      </c>
      <c r="Q1950" s="47" t="n">
        <f aca="false">IF(OR($A1950="",C1950=""),0,IF(COUNTIF($C$2:C1950,C1950)=1,SUMIF($C$2:$C$5001,C1950,$H$2:$H$5001)+ROW()/10000000,0))</f>
        <v>0</v>
      </c>
    </row>
    <row r="1951" customFormat="false" ht="15" hidden="false" customHeight="false" outlineLevel="0" collapsed="false">
      <c r="A1951" s="43"/>
      <c r="B1951" s="44"/>
      <c r="C1951" s="44"/>
      <c r="D1951" s="44"/>
      <c r="E1951" s="44"/>
      <c r="F1951" s="44"/>
      <c r="G1951" s="44"/>
      <c r="H1951" s="46" t="str">
        <f aca="false">IF($A1951="","",IF(OR(NOT(ISNUMBER(E1951)),NOT(ISNUMBER(F1951))),"",MAX(0,E1951)*F1951))</f>
        <v/>
      </c>
      <c r="I1951" s="46" t="str">
        <f aca="false">IF($A1951="","",SUMIF($A$2:$A$5001,$A1951,$H$2:$H$5001))</f>
        <v/>
      </c>
      <c r="J1951" s="47" t="n">
        <f aca="false">IF($A1951="",0,IF(COUNTIF($A$2:A1951,$A1951)=1,1,0))</f>
        <v>0</v>
      </c>
      <c r="K1951" s="47" t="n">
        <f aca="false">IF(J1951=1,N(I1951)+ROW()/10000000,0)</f>
        <v>0</v>
      </c>
      <c r="L1951" s="47" t="str">
        <f aca="false">IF(AND(J1951=1,N(I1951)&gt;0),SUMIF($K$2:$K$5001,"&gt;="&amp;K1951,$I$2:$I$5001)/MAX(1,SUM($H$2:$H$5001)),"")</f>
        <v/>
      </c>
      <c r="M1951" s="47" t="str">
        <f aca="false">IF($A1951="","",INDEX($L$2:$L$5001,MATCH($A1951,$A$2:$A$5001,0)))</f>
        <v/>
      </c>
      <c r="N1951" s="48" t="str">
        <f aca="false">IF($A1951="","",IF(N(M1951)=0,"–",IF(M1951&lt;=Start!$D$20,"A",IF(M1951&lt;=Start!$D$21,"B","C"))))</f>
        <v/>
      </c>
      <c r="O1951" s="48" t="str">
        <f aca="false">IF($A1951="","",IF(NOT(ISNUMBER(F1951)),"Wert fehlt; ",IF(F1951&lt;=0,"Wert ist 0; ",""))&amp;IF(NOT(ISNUMBER(E1951)),"Bestand fehlt; ",IF(E1951&lt;0,"Bestand negativ; ",IF(E1951=0,"Nullbestand; ","")))&amp;IF(D1951="","Warengruppe fehlt; ","")&amp;IF(B1951="","Bezeichnung fehlt; ","")&amp;IF(COUNTIFS($A$2:$A$5001,$A1951,$C$2:$C$5001,C1951)&gt;1,"Artikel doppelt im selben Lager; ",""))</f>
        <v/>
      </c>
      <c r="P1951" s="47" t="n">
        <f aca="false">IF(OR($A1951="",D1951=""),0,IF(COUNTIF($D$2:D1951,D1951)=1,SUMIF($D$2:$D$5001,D1951,$H$2:$H$5001)+ROW()/10000000,0))</f>
        <v>0</v>
      </c>
      <c r="Q1951" s="47" t="n">
        <f aca="false">IF(OR($A1951="",C1951=""),0,IF(COUNTIF($C$2:C1951,C1951)=1,SUMIF($C$2:$C$5001,C1951,$H$2:$H$5001)+ROW()/10000000,0))</f>
        <v>0</v>
      </c>
    </row>
    <row r="1952" customFormat="false" ht="15" hidden="false" customHeight="false" outlineLevel="0" collapsed="false">
      <c r="A1952" s="43"/>
      <c r="B1952" s="44"/>
      <c r="C1952" s="44"/>
      <c r="D1952" s="44"/>
      <c r="E1952" s="44"/>
      <c r="F1952" s="44"/>
      <c r="G1952" s="44"/>
      <c r="H1952" s="46" t="str">
        <f aca="false">IF($A1952="","",IF(OR(NOT(ISNUMBER(E1952)),NOT(ISNUMBER(F1952))),"",MAX(0,E1952)*F1952))</f>
        <v/>
      </c>
      <c r="I1952" s="46" t="str">
        <f aca="false">IF($A1952="","",SUMIF($A$2:$A$5001,$A1952,$H$2:$H$5001))</f>
        <v/>
      </c>
      <c r="J1952" s="47" t="n">
        <f aca="false">IF($A1952="",0,IF(COUNTIF($A$2:A1952,$A1952)=1,1,0))</f>
        <v>0</v>
      </c>
      <c r="K1952" s="47" t="n">
        <f aca="false">IF(J1952=1,N(I1952)+ROW()/10000000,0)</f>
        <v>0</v>
      </c>
      <c r="L1952" s="47" t="str">
        <f aca="false">IF(AND(J1952=1,N(I1952)&gt;0),SUMIF($K$2:$K$5001,"&gt;="&amp;K1952,$I$2:$I$5001)/MAX(1,SUM($H$2:$H$5001)),"")</f>
        <v/>
      </c>
      <c r="M1952" s="47" t="str">
        <f aca="false">IF($A1952="","",INDEX($L$2:$L$5001,MATCH($A1952,$A$2:$A$5001,0)))</f>
        <v/>
      </c>
      <c r="N1952" s="48" t="str">
        <f aca="false">IF($A1952="","",IF(N(M1952)=0,"–",IF(M1952&lt;=Start!$D$20,"A",IF(M1952&lt;=Start!$D$21,"B","C"))))</f>
        <v/>
      </c>
      <c r="O1952" s="48" t="str">
        <f aca="false">IF($A1952="","",IF(NOT(ISNUMBER(F1952)),"Wert fehlt; ",IF(F1952&lt;=0,"Wert ist 0; ",""))&amp;IF(NOT(ISNUMBER(E1952)),"Bestand fehlt; ",IF(E1952&lt;0,"Bestand negativ; ",IF(E1952=0,"Nullbestand; ","")))&amp;IF(D1952="","Warengruppe fehlt; ","")&amp;IF(B1952="","Bezeichnung fehlt; ","")&amp;IF(COUNTIFS($A$2:$A$5001,$A1952,$C$2:$C$5001,C1952)&gt;1,"Artikel doppelt im selben Lager; ",""))</f>
        <v/>
      </c>
      <c r="P1952" s="47" t="n">
        <f aca="false">IF(OR($A1952="",D1952=""),0,IF(COUNTIF($D$2:D1952,D1952)=1,SUMIF($D$2:$D$5001,D1952,$H$2:$H$5001)+ROW()/10000000,0))</f>
        <v>0</v>
      </c>
      <c r="Q1952" s="47" t="n">
        <f aca="false">IF(OR($A1952="",C1952=""),0,IF(COUNTIF($C$2:C1952,C1952)=1,SUMIF($C$2:$C$5001,C1952,$H$2:$H$5001)+ROW()/10000000,0))</f>
        <v>0</v>
      </c>
    </row>
    <row r="1953" customFormat="false" ht="15" hidden="false" customHeight="false" outlineLevel="0" collapsed="false">
      <c r="A1953" s="43"/>
      <c r="B1953" s="44"/>
      <c r="C1953" s="44"/>
      <c r="D1953" s="44"/>
      <c r="E1953" s="44"/>
      <c r="F1953" s="44"/>
      <c r="G1953" s="44"/>
      <c r="H1953" s="46" t="str">
        <f aca="false">IF($A1953="","",IF(OR(NOT(ISNUMBER(E1953)),NOT(ISNUMBER(F1953))),"",MAX(0,E1953)*F1953))</f>
        <v/>
      </c>
      <c r="I1953" s="46" t="str">
        <f aca="false">IF($A1953="","",SUMIF($A$2:$A$5001,$A1953,$H$2:$H$5001))</f>
        <v/>
      </c>
      <c r="J1953" s="47" t="n">
        <f aca="false">IF($A1953="",0,IF(COUNTIF($A$2:A1953,$A1953)=1,1,0))</f>
        <v>0</v>
      </c>
      <c r="K1953" s="47" t="n">
        <f aca="false">IF(J1953=1,N(I1953)+ROW()/10000000,0)</f>
        <v>0</v>
      </c>
      <c r="L1953" s="47" t="str">
        <f aca="false">IF(AND(J1953=1,N(I1953)&gt;0),SUMIF($K$2:$K$5001,"&gt;="&amp;K1953,$I$2:$I$5001)/MAX(1,SUM($H$2:$H$5001)),"")</f>
        <v/>
      </c>
      <c r="M1953" s="47" t="str">
        <f aca="false">IF($A1953="","",INDEX($L$2:$L$5001,MATCH($A1953,$A$2:$A$5001,0)))</f>
        <v/>
      </c>
      <c r="N1953" s="48" t="str">
        <f aca="false">IF($A1953="","",IF(N(M1953)=0,"–",IF(M1953&lt;=Start!$D$20,"A",IF(M1953&lt;=Start!$D$21,"B","C"))))</f>
        <v/>
      </c>
      <c r="O1953" s="48" t="str">
        <f aca="false">IF($A1953="","",IF(NOT(ISNUMBER(F1953)),"Wert fehlt; ",IF(F1953&lt;=0,"Wert ist 0; ",""))&amp;IF(NOT(ISNUMBER(E1953)),"Bestand fehlt; ",IF(E1953&lt;0,"Bestand negativ; ",IF(E1953=0,"Nullbestand; ","")))&amp;IF(D1953="","Warengruppe fehlt; ","")&amp;IF(B1953="","Bezeichnung fehlt; ","")&amp;IF(COUNTIFS($A$2:$A$5001,$A1953,$C$2:$C$5001,C1953)&gt;1,"Artikel doppelt im selben Lager; ",""))</f>
        <v/>
      </c>
      <c r="P1953" s="47" t="n">
        <f aca="false">IF(OR($A1953="",D1953=""),0,IF(COUNTIF($D$2:D1953,D1953)=1,SUMIF($D$2:$D$5001,D1953,$H$2:$H$5001)+ROW()/10000000,0))</f>
        <v>0</v>
      </c>
      <c r="Q1953" s="47" t="n">
        <f aca="false">IF(OR($A1953="",C1953=""),0,IF(COUNTIF($C$2:C1953,C1953)=1,SUMIF($C$2:$C$5001,C1953,$H$2:$H$5001)+ROW()/10000000,0))</f>
        <v>0</v>
      </c>
    </row>
    <row r="1954" customFormat="false" ht="15" hidden="false" customHeight="false" outlineLevel="0" collapsed="false">
      <c r="A1954" s="43"/>
      <c r="B1954" s="44"/>
      <c r="C1954" s="44"/>
      <c r="D1954" s="44"/>
      <c r="E1954" s="44"/>
      <c r="F1954" s="44"/>
      <c r="G1954" s="44"/>
      <c r="H1954" s="46" t="str">
        <f aca="false">IF($A1954="","",IF(OR(NOT(ISNUMBER(E1954)),NOT(ISNUMBER(F1954))),"",MAX(0,E1954)*F1954))</f>
        <v/>
      </c>
      <c r="I1954" s="46" t="str">
        <f aca="false">IF($A1954="","",SUMIF($A$2:$A$5001,$A1954,$H$2:$H$5001))</f>
        <v/>
      </c>
      <c r="J1954" s="47" t="n">
        <f aca="false">IF($A1954="",0,IF(COUNTIF($A$2:A1954,$A1954)=1,1,0))</f>
        <v>0</v>
      </c>
      <c r="K1954" s="47" t="n">
        <f aca="false">IF(J1954=1,N(I1954)+ROW()/10000000,0)</f>
        <v>0</v>
      </c>
      <c r="L1954" s="47" t="str">
        <f aca="false">IF(AND(J1954=1,N(I1954)&gt;0),SUMIF($K$2:$K$5001,"&gt;="&amp;K1954,$I$2:$I$5001)/MAX(1,SUM($H$2:$H$5001)),"")</f>
        <v/>
      </c>
      <c r="M1954" s="47" t="str">
        <f aca="false">IF($A1954="","",INDEX($L$2:$L$5001,MATCH($A1954,$A$2:$A$5001,0)))</f>
        <v/>
      </c>
      <c r="N1954" s="48" t="str">
        <f aca="false">IF($A1954="","",IF(N(M1954)=0,"–",IF(M1954&lt;=Start!$D$20,"A",IF(M1954&lt;=Start!$D$21,"B","C"))))</f>
        <v/>
      </c>
      <c r="O1954" s="48" t="str">
        <f aca="false">IF($A1954="","",IF(NOT(ISNUMBER(F1954)),"Wert fehlt; ",IF(F1954&lt;=0,"Wert ist 0; ",""))&amp;IF(NOT(ISNUMBER(E1954)),"Bestand fehlt; ",IF(E1954&lt;0,"Bestand negativ; ",IF(E1954=0,"Nullbestand; ","")))&amp;IF(D1954="","Warengruppe fehlt; ","")&amp;IF(B1954="","Bezeichnung fehlt; ","")&amp;IF(COUNTIFS($A$2:$A$5001,$A1954,$C$2:$C$5001,C1954)&gt;1,"Artikel doppelt im selben Lager; ",""))</f>
        <v/>
      </c>
      <c r="P1954" s="47" t="n">
        <f aca="false">IF(OR($A1954="",D1954=""),0,IF(COUNTIF($D$2:D1954,D1954)=1,SUMIF($D$2:$D$5001,D1954,$H$2:$H$5001)+ROW()/10000000,0))</f>
        <v>0</v>
      </c>
      <c r="Q1954" s="47" t="n">
        <f aca="false">IF(OR($A1954="",C1954=""),0,IF(COUNTIF($C$2:C1954,C1954)=1,SUMIF($C$2:$C$5001,C1954,$H$2:$H$5001)+ROW()/10000000,0))</f>
        <v>0</v>
      </c>
    </row>
    <row r="1955" customFormat="false" ht="15" hidden="false" customHeight="false" outlineLevel="0" collapsed="false">
      <c r="A1955" s="43"/>
      <c r="B1955" s="44"/>
      <c r="C1955" s="44"/>
      <c r="D1955" s="44"/>
      <c r="E1955" s="44"/>
      <c r="F1955" s="44"/>
      <c r="G1955" s="44"/>
      <c r="H1955" s="46" t="str">
        <f aca="false">IF($A1955="","",IF(OR(NOT(ISNUMBER(E1955)),NOT(ISNUMBER(F1955))),"",MAX(0,E1955)*F1955))</f>
        <v/>
      </c>
      <c r="I1955" s="46" t="str">
        <f aca="false">IF($A1955="","",SUMIF($A$2:$A$5001,$A1955,$H$2:$H$5001))</f>
        <v/>
      </c>
      <c r="J1955" s="47" t="n">
        <f aca="false">IF($A1955="",0,IF(COUNTIF($A$2:A1955,$A1955)=1,1,0))</f>
        <v>0</v>
      </c>
      <c r="K1955" s="47" t="n">
        <f aca="false">IF(J1955=1,N(I1955)+ROW()/10000000,0)</f>
        <v>0</v>
      </c>
      <c r="L1955" s="47" t="str">
        <f aca="false">IF(AND(J1955=1,N(I1955)&gt;0),SUMIF($K$2:$K$5001,"&gt;="&amp;K1955,$I$2:$I$5001)/MAX(1,SUM($H$2:$H$5001)),"")</f>
        <v/>
      </c>
      <c r="M1955" s="47" t="str">
        <f aca="false">IF($A1955="","",INDEX($L$2:$L$5001,MATCH($A1955,$A$2:$A$5001,0)))</f>
        <v/>
      </c>
      <c r="N1955" s="48" t="str">
        <f aca="false">IF($A1955="","",IF(N(M1955)=0,"–",IF(M1955&lt;=Start!$D$20,"A",IF(M1955&lt;=Start!$D$21,"B","C"))))</f>
        <v/>
      </c>
      <c r="O1955" s="48" t="str">
        <f aca="false">IF($A1955="","",IF(NOT(ISNUMBER(F1955)),"Wert fehlt; ",IF(F1955&lt;=0,"Wert ist 0; ",""))&amp;IF(NOT(ISNUMBER(E1955)),"Bestand fehlt; ",IF(E1955&lt;0,"Bestand negativ; ",IF(E1955=0,"Nullbestand; ","")))&amp;IF(D1955="","Warengruppe fehlt; ","")&amp;IF(B1955="","Bezeichnung fehlt; ","")&amp;IF(COUNTIFS($A$2:$A$5001,$A1955,$C$2:$C$5001,C1955)&gt;1,"Artikel doppelt im selben Lager; ",""))</f>
        <v/>
      </c>
      <c r="P1955" s="47" t="n">
        <f aca="false">IF(OR($A1955="",D1955=""),0,IF(COUNTIF($D$2:D1955,D1955)=1,SUMIF($D$2:$D$5001,D1955,$H$2:$H$5001)+ROW()/10000000,0))</f>
        <v>0</v>
      </c>
      <c r="Q1955" s="47" t="n">
        <f aca="false">IF(OR($A1955="",C1955=""),0,IF(COUNTIF($C$2:C1955,C1955)=1,SUMIF($C$2:$C$5001,C1955,$H$2:$H$5001)+ROW()/10000000,0))</f>
        <v>0</v>
      </c>
    </row>
    <row r="1956" customFormat="false" ht="15" hidden="false" customHeight="false" outlineLevel="0" collapsed="false">
      <c r="A1956" s="43"/>
      <c r="B1956" s="44"/>
      <c r="C1956" s="44"/>
      <c r="D1956" s="44"/>
      <c r="E1956" s="44"/>
      <c r="F1956" s="44"/>
      <c r="G1956" s="44"/>
      <c r="H1956" s="46" t="str">
        <f aca="false">IF($A1956="","",IF(OR(NOT(ISNUMBER(E1956)),NOT(ISNUMBER(F1956))),"",MAX(0,E1956)*F1956))</f>
        <v/>
      </c>
      <c r="I1956" s="46" t="str">
        <f aca="false">IF($A1956="","",SUMIF($A$2:$A$5001,$A1956,$H$2:$H$5001))</f>
        <v/>
      </c>
      <c r="J1956" s="47" t="n">
        <f aca="false">IF($A1956="",0,IF(COUNTIF($A$2:A1956,$A1956)=1,1,0))</f>
        <v>0</v>
      </c>
      <c r="K1956" s="47" t="n">
        <f aca="false">IF(J1956=1,N(I1956)+ROW()/10000000,0)</f>
        <v>0</v>
      </c>
      <c r="L1956" s="47" t="str">
        <f aca="false">IF(AND(J1956=1,N(I1956)&gt;0),SUMIF($K$2:$K$5001,"&gt;="&amp;K1956,$I$2:$I$5001)/MAX(1,SUM($H$2:$H$5001)),"")</f>
        <v/>
      </c>
      <c r="M1956" s="47" t="str">
        <f aca="false">IF($A1956="","",INDEX($L$2:$L$5001,MATCH($A1956,$A$2:$A$5001,0)))</f>
        <v/>
      </c>
      <c r="N1956" s="48" t="str">
        <f aca="false">IF($A1956="","",IF(N(M1956)=0,"–",IF(M1956&lt;=Start!$D$20,"A",IF(M1956&lt;=Start!$D$21,"B","C"))))</f>
        <v/>
      </c>
      <c r="O1956" s="48" t="str">
        <f aca="false">IF($A1956="","",IF(NOT(ISNUMBER(F1956)),"Wert fehlt; ",IF(F1956&lt;=0,"Wert ist 0; ",""))&amp;IF(NOT(ISNUMBER(E1956)),"Bestand fehlt; ",IF(E1956&lt;0,"Bestand negativ; ",IF(E1956=0,"Nullbestand; ","")))&amp;IF(D1956="","Warengruppe fehlt; ","")&amp;IF(B1956="","Bezeichnung fehlt; ","")&amp;IF(COUNTIFS($A$2:$A$5001,$A1956,$C$2:$C$5001,C1956)&gt;1,"Artikel doppelt im selben Lager; ",""))</f>
        <v/>
      </c>
      <c r="P1956" s="47" t="n">
        <f aca="false">IF(OR($A1956="",D1956=""),0,IF(COUNTIF($D$2:D1956,D1956)=1,SUMIF($D$2:$D$5001,D1956,$H$2:$H$5001)+ROW()/10000000,0))</f>
        <v>0</v>
      </c>
      <c r="Q1956" s="47" t="n">
        <f aca="false">IF(OR($A1956="",C1956=""),0,IF(COUNTIF($C$2:C1956,C1956)=1,SUMIF($C$2:$C$5001,C1956,$H$2:$H$5001)+ROW()/10000000,0))</f>
        <v>0</v>
      </c>
    </row>
    <row r="1957" customFormat="false" ht="15" hidden="false" customHeight="false" outlineLevel="0" collapsed="false">
      <c r="A1957" s="43"/>
      <c r="B1957" s="44"/>
      <c r="C1957" s="44"/>
      <c r="D1957" s="44"/>
      <c r="E1957" s="44"/>
      <c r="F1957" s="44"/>
      <c r="G1957" s="44"/>
      <c r="H1957" s="46" t="str">
        <f aca="false">IF($A1957="","",IF(OR(NOT(ISNUMBER(E1957)),NOT(ISNUMBER(F1957))),"",MAX(0,E1957)*F1957))</f>
        <v/>
      </c>
      <c r="I1957" s="46" t="str">
        <f aca="false">IF($A1957="","",SUMIF($A$2:$A$5001,$A1957,$H$2:$H$5001))</f>
        <v/>
      </c>
      <c r="J1957" s="47" t="n">
        <f aca="false">IF($A1957="",0,IF(COUNTIF($A$2:A1957,$A1957)=1,1,0))</f>
        <v>0</v>
      </c>
      <c r="K1957" s="47" t="n">
        <f aca="false">IF(J1957=1,N(I1957)+ROW()/10000000,0)</f>
        <v>0</v>
      </c>
      <c r="L1957" s="47" t="str">
        <f aca="false">IF(AND(J1957=1,N(I1957)&gt;0),SUMIF($K$2:$K$5001,"&gt;="&amp;K1957,$I$2:$I$5001)/MAX(1,SUM($H$2:$H$5001)),"")</f>
        <v/>
      </c>
      <c r="M1957" s="47" t="str">
        <f aca="false">IF($A1957="","",INDEX($L$2:$L$5001,MATCH($A1957,$A$2:$A$5001,0)))</f>
        <v/>
      </c>
      <c r="N1957" s="48" t="str">
        <f aca="false">IF($A1957="","",IF(N(M1957)=0,"–",IF(M1957&lt;=Start!$D$20,"A",IF(M1957&lt;=Start!$D$21,"B","C"))))</f>
        <v/>
      </c>
      <c r="O1957" s="48" t="str">
        <f aca="false">IF($A1957="","",IF(NOT(ISNUMBER(F1957)),"Wert fehlt; ",IF(F1957&lt;=0,"Wert ist 0; ",""))&amp;IF(NOT(ISNUMBER(E1957)),"Bestand fehlt; ",IF(E1957&lt;0,"Bestand negativ; ",IF(E1957=0,"Nullbestand; ","")))&amp;IF(D1957="","Warengruppe fehlt; ","")&amp;IF(B1957="","Bezeichnung fehlt; ","")&amp;IF(COUNTIFS($A$2:$A$5001,$A1957,$C$2:$C$5001,C1957)&gt;1,"Artikel doppelt im selben Lager; ",""))</f>
        <v/>
      </c>
      <c r="P1957" s="47" t="n">
        <f aca="false">IF(OR($A1957="",D1957=""),0,IF(COUNTIF($D$2:D1957,D1957)=1,SUMIF($D$2:$D$5001,D1957,$H$2:$H$5001)+ROW()/10000000,0))</f>
        <v>0</v>
      </c>
      <c r="Q1957" s="47" t="n">
        <f aca="false">IF(OR($A1957="",C1957=""),0,IF(COUNTIF($C$2:C1957,C1957)=1,SUMIF($C$2:$C$5001,C1957,$H$2:$H$5001)+ROW()/10000000,0))</f>
        <v>0</v>
      </c>
    </row>
    <row r="1958" customFormat="false" ht="15" hidden="false" customHeight="false" outlineLevel="0" collapsed="false">
      <c r="A1958" s="43"/>
      <c r="B1958" s="44"/>
      <c r="C1958" s="44"/>
      <c r="D1958" s="44"/>
      <c r="E1958" s="44"/>
      <c r="F1958" s="44"/>
      <c r="G1958" s="44"/>
      <c r="H1958" s="46" t="str">
        <f aca="false">IF($A1958="","",IF(OR(NOT(ISNUMBER(E1958)),NOT(ISNUMBER(F1958))),"",MAX(0,E1958)*F1958))</f>
        <v/>
      </c>
      <c r="I1958" s="46" t="str">
        <f aca="false">IF($A1958="","",SUMIF($A$2:$A$5001,$A1958,$H$2:$H$5001))</f>
        <v/>
      </c>
      <c r="J1958" s="47" t="n">
        <f aca="false">IF($A1958="",0,IF(COUNTIF($A$2:A1958,$A1958)=1,1,0))</f>
        <v>0</v>
      </c>
      <c r="K1958" s="47" t="n">
        <f aca="false">IF(J1958=1,N(I1958)+ROW()/10000000,0)</f>
        <v>0</v>
      </c>
      <c r="L1958" s="47" t="str">
        <f aca="false">IF(AND(J1958=1,N(I1958)&gt;0),SUMIF($K$2:$K$5001,"&gt;="&amp;K1958,$I$2:$I$5001)/MAX(1,SUM($H$2:$H$5001)),"")</f>
        <v/>
      </c>
      <c r="M1958" s="47" t="str">
        <f aca="false">IF($A1958="","",INDEX($L$2:$L$5001,MATCH($A1958,$A$2:$A$5001,0)))</f>
        <v/>
      </c>
      <c r="N1958" s="48" t="str">
        <f aca="false">IF($A1958="","",IF(N(M1958)=0,"–",IF(M1958&lt;=Start!$D$20,"A",IF(M1958&lt;=Start!$D$21,"B","C"))))</f>
        <v/>
      </c>
      <c r="O1958" s="48" t="str">
        <f aca="false">IF($A1958="","",IF(NOT(ISNUMBER(F1958)),"Wert fehlt; ",IF(F1958&lt;=0,"Wert ist 0; ",""))&amp;IF(NOT(ISNUMBER(E1958)),"Bestand fehlt; ",IF(E1958&lt;0,"Bestand negativ; ",IF(E1958=0,"Nullbestand; ","")))&amp;IF(D1958="","Warengruppe fehlt; ","")&amp;IF(B1958="","Bezeichnung fehlt; ","")&amp;IF(COUNTIFS($A$2:$A$5001,$A1958,$C$2:$C$5001,C1958)&gt;1,"Artikel doppelt im selben Lager; ",""))</f>
        <v/>
      </c>
      <c r="P1958" s="47" t="n">
        <f aca="false">IF(OR($A1958="",D1958=""),0,IF(COUNTIF($D$2:D1958,D1958)=1,SUMIF($D$2:$D$5001,D1958,$H$2:$H$5001)+ROW()/10000000,0))</f>
        <v>0</v>
      </c>
      <c r="Q1958" s="47" t="n">
        <f aca="false">IF(OR($A1958="",C1958=""),0,IF(COUNTIF($C$2:C1958,C1958)=1,SUMIF($C$2:$C$5001,C1958,$H$2:$H$5001)+ROW()/10000000,0))</f>
        <v>0</v>
      </c>
    </row>
    <row r="1959" customFormat="false" ht="15" hidden="false" customHeight="false" outlineLevel="0" collapsed="false">
      <c r="A1959" s="43"/>
      <c r="B1959" s="44"/>
      <c r="C1959" s="44"/>
      <c r="D1959" s="44"/>
      <c r="E1959" s="44"/>
      <c r="F1959" s="44"/>
      <c r="G1959" s="44"/>
      <c r="H1959" s="46" t="str">
        <f aca="false">IF($A1959="","",IF(OR(NOT(ISNUMBER(E1959)),NOT(ISNUMBER(F1959))),"",MAX(0,E1959)*F1959))</f>
        <v/>
      </c>
      <c r="I1959" s="46" t="str">
        <f aca="false">IF($A1959="","",SUMIF($A$2:$A$5001,$A1959,$H$2:$H$5001))</f>
        <v/>
      </c>
      <c r="J1959" s="47" t="n">
        <f aca="false">IF($A1959="",0,IF(COUNTIF($A$2:A1959,$A1959)=1,1,0))</f>
        <v>0</v>
      </c>
      <c r="K1959" s="47" t="n">
        <f aca="false">IF(J1959=1,N(I1959)+ROW()/10000000,0)</f>
        <v>0</v>
      </c>
      <c r="L1959" s="47" t="str">
        <f aca="false">IF(AND(J1959=1,N(I1959)&gt;0),SUMIF($K$2:$K$5001,"&gt;="&amp;K1959,$I$2:$I$5001)/MAX(1,SUM($H$2:$H$5001)),"")</f>
        <v/>
      </c>
      <c r="M1959" s="47" t="str">
        <f aca="false">IF($A1959="","",INDEX($L$2:$L$5001,MATCH($A1959,$A$2:$A$5001,0)))</f>
        <v/>
      </c>
      <c r="N1959" s="48" t="str">
        <f aca="false">IF($A1959="","",IF(N(M1959)=0,"–",IF(M1959&lt;=Start!$D$20,"A",IF(M1959&lt;=Start!$D$21,"B","C"))))</f>
        <v/>
      </c>
      <c r="O1959" s="48" t="str">
        <f aca="false">IF($A1959="","",IF(NOT(ISNUMBER(F1959)),"Wert fehlt; ",IF(F1959&lt;=0,"Wert ist 0; ",""))&amp;IF(NOT(ISNUMBER(E1959)),"Bestand fehlt; ",IF(E1959&lt;0,"Bestand negativ; ",IF(E1959=0,"Nullbestand; ","")))&amp;IF(D1959="","Warengruppe fehlt; ","")&amp;IF(B1959="","Bezeichnung fehlt; ","")&amp;IF(COUNTIFS($A$2:$A$5001,$A1959,$C$2:$C$5001,C1959)&gt;1,"Artikel doppelt im selben Lager; ",""))</f>
        <v/>
      </c>
      <c r="P1959" s="47" t="n">
        <f aca="false">IF(OR($A1959="",D1959=""),0,IF(COUNTIF($D$2:D1959,D1959)=1,SUMIF($D$2:$D$5001,D1959,$H$2:$H$5001)+ROW()/10000000,0))</f>
        <v>0</v>
      </c>
      <c r="Q1959" s="47" t="n">
        <f aca="false">IF(OR($A1959="",C1959=""),0,IF(COUNTIF($C$2:C1959,C1959)=1,SUMIF($C$2:$C$5001,C1959,$H$2:$H$5001)+ROW()/10000000,0))</f>
        <v>0</v>
      </c>
    </row>
    <row r="1960" customFormat="false" ht="15" hidden="false" customHeight="false" outlineLevel="0" collapsed="false">
      <c r="A1960" s="43"/>
      <c r="B1960" s="44"/>
      <c r="C1960" s="44"/>
      <c r="D1960" s="44"/>
      <c r="E1960" s="44"/>
      <c r="F1960" s="44"/>
      <c r="G1960" s="44"/>
      <c r="H1960" s="46" t="str">
        <f aca="false">IF($A1960="","",IF(OR(NOT(ISNUMBER(E1960)),NOT(ISNUMBER(F1960))),"",MAX(0,E1960)*F1960))</f>
        <v/>
      </c>
      <c r="I1960" s="46" t="str">
        <f aca="false">IF($A1960="","",SUMIF($A$2:$A$5001,$A1960,$H$2:$H$5001))</f>
        <v/>
      </c>
      <c r="J1960" s="47" t="n">
        <f aca="false">IF($A1960="",0,IF(COUNTIF($A$2:A1960,$A1960)=1,1,0))</f>
        <v>0</v>
      </c>
      <c r="K1960" s="47" t="n">
        <f aca="false">IF(J1960=1,N(I1960)+ROW()/10000000,0)</f>
        <v>0</v>
      </c>
      <c r="L1960" s="47" t="str">
        <f aca="false">IF(AND(J1960=1,N(I1960)&gt;0),SUMIF($K$2:$K$5001,"&gt;="&amp;K1960,$I$2:$I$5001)/MAX(1,SUM($H$2:$H$5001)),"")</f>
        <v/>
      </c>
      <c r="M1960" s="47" t="str">
        <f aca="false">IF($A1960="","",INDEX($L$2:$L$5001,MATCH($A1960,$A$2:$A$5001,0)))</f>
        <v/>
      </c>
      <c r="N1960" s="48" t="str">
        <f aca="false">IF($A1960="","",IF(N(M1960)=0,"–",IF(M1960&lt;=Start!$D$20,"A",IF(M1960&lt;=Start!$D$21,"B","C"))))</f>
        <v/>
      </c>
      <c r="O1960" s="48" t="str">
        <f aca="false">IF($A1960="","",IF(NOT(ISNUMBER(F1960)),"Wert fehlt; ",IF(F1960&lt;=0,"Wert ist 0; ",""))&amp;IF(NOT(ISNUMBER(E1960)),"Bestand fehlt; ",IF(E1960&lt;0,"Bestand negativ; ",IF(E1960=0,"Nullbestand; ","")))&amp;IF(D1960="","Warengruppe fehlt; ","")&amp;IF(B1960="","Bezeichnung fehlt; ","")&amp;IF(COUNTIFS($A$2:$A$5001,$A1960,$C$2:$C$5001,C1960)&gt;1,"Artikel doppelt im selben Lager; ",""))</f>
        <v/>
      </c>
      <c r="P1960" s="47" t="n">
        <f aca="false">IF(OR($A1960="",D1960=""),0,IF(COUNTIF($D$2:D1960,D1960)=1,SUMIF($D$2:$D$5001,D1960,$H$2:$H$5001)+ROW()/10000000,0))</f>
        <v>0</v>
      </c>
      <c r="Q1960" s="47" t="n">
        <f aca="false">IF(OR($A1960="",C1960=""),0,IF(COUNTIF($C$2:C1960,C1960)=1,SUMIF($C$2:$C$5001,C1960,$H$2:$H$5001)+ROW()/10000000,0))</f>
        <v>0</v>
      </c>
    </row>
    <row r="1961" customFormat="false" ht="15" hidden="false" customHeight="false" outlineLevel="0" collapsed="false">
      <c r="A1961" s="43"/>
      <c r="B1961" s="44"/>
      <c r="C1961" s="44"/>
      <c r="D1961" s="44"/>
      <c r="E1961" s="44"/>
      <c r="F1961" s="44"/>
      <c r="G1961" s="44"/>
      <c r="H1961" s="46" t="str">
        <f aca="false">IF($A1961="","",IF(OR(NOT(ISNUMBER(E1961)),NOT(ISNUMBER(F1961))),"",MAX(0,E1961)*F1961))</f>
        <v/>
      </c>
      <c r="I1961" s="46" t="str">
        <f aca="false">IF($A1961="","",SUMIF($A$2:$A$5001,$A1961,$H$2:$H$5001))</f>
        <v/>
      </c>
      <c r="J1961" s="47" t="n">
        <f aca="false">IF($A1961="",0,IF(COUNTIF($A$2:A1961,$A1961)=1,1,0))</f>
        <v>0</v>
      </c>
      <c r="K1961" s="47" t="n">
        <f aca="false">IF(J1961=1,N(I1961)+ROW()/10000000,0)</f>
        <v>0</v>
      </c>
      <c r="L1961" s="47" t="str">
        <f aca="false">IF(AND(J1961=1,N(I1961)&gt;0),SUMIF($K$2:$K$5001,"&gt;="&amp;K1961,$I$2:$I$5001)/MAX(1,SUM($H$2:$H$5001)),"")</f>
        <v/>
      </c>
      <c r="M1961" s="47" t="str">
        <f aca="false">IF($A1961="","",INDEX($L$2:$L$5001,MATCH($A1961,$A$2:$A$5001,0)))</f>
        <v/>
      </c>
      <c r="N1961" s="48" t="str">
        <f aca="false">IF($A1961="","",IF(N(M1961)=0,"–",IF(M1961&lt;=Start!$D$20,"A",IF(M1961&lt;=Start!$D$21,"B","C"))))</f>
        <v/>
      </c>
      <c r="O1961" s="48" t="str">
        <f aca="false">IF($A1961="","",IF(NOT(ISNUMBER(F1961)),"Wert fehlt; ",IF(F1961&lt;=0,"Wert ist 0; ",""))&amp;IF(NOT(ISNUMBER(E1961)),"Bestand fehlt; ",IF(E1961&lt;0,"Bestand negativ; ",IF(E1961=0,"Nullbestand; ","")))&amp;IF(D1961="","Warengruppe fehlt; ","")&amp;IF(B1961="","Bezeichnung fehlt; ","")&amp;IF(COUNTIFS($A$2:$A$5001,$A1961,$C$2:$C$5001,C1961)&gt;1,"Artikel doppelt im selben Lager; ",""))</f>
        <v/>
      </c>
      <c r="P1961" s="47" t="n">
        <f aca="false">IF(OR($A1961="",D1961=""),0,IF(COUNTIF($D$2:D1961,D1961)=1,SUMIF($D$2:$D$5001,D1961,$H$2:$H$5001)+ROW()/10000000,0))</f>
        <v>0</v>
      </c>
      <c r="Q1961" s="47" t="n">
        <f aca="false">IF(OR($A1961="",C1961=""),0,IF(COUNTIF($C$2:C1961,C1961)=1,SUMIF($C$2:$C$5001,C1961,$H$2:$H$5001)+ROW()/10000000,0))</f>
        <v>0</v>
      </c>
    </row>
    <row r="1962" customFormat="false" ht="15" hidden="false" customHeight="false" outlineLevel="0" collapsed="false">
      <c r="A1962" s="43"/>
      <c r="B1962" s="44"/>
      <c r="C1962" s="44"/>
      <c r="D1962" s="44"/>
      <c r="E1962" s="44"/>
      <c r="F1962" s="44"/>
      <c r="G1962" s="44"/>
      <c r="H1962" s="46" t="str">
        <f aca="false">IF($A1962="","",IF(OR(NOT(ISNUMBER(E1962)),NOT(ISNUMBER(F1962))),"",MAX(0,E1962)*F1962))</f>
        <v/>
      </c>
      <c r="I1962" s="46" t="str">
        <f aca="false">IF($A1962="","",SUMIF($A$2:$A$5001,$A1962,$H$2:$H$5001))</f>
        <v/>
      </c>
      <c r="J1962" s="47" t="n">
        <f aca="false">IF($A1962="",0,IF(COUNTIF($A$2:A1962,$A1962)=1,1,0))</f>
        <v>0</v>
      </c>
      <c r="K1962" s="47" t="n">
        <f aca="false">IF(J1962=1,N(I1962)+ROW()/10000000,0)</f>
        <v>0</v>
      </c>
      <c r="L1962" s="47" t="str">
        <f aca="false">IF(AND(J1962=1,N(I1962)&gt;0),SUMIF($K$2:$K$5001,"&gt;="&amp;K1962,$I$2:$I$5001)/MAX(1,SUM($H$2:$H$5001)),"")</f>
        <v/>
      </c>
      <c r="M1962" s="47" t="str">
        <f aca="false">IF($A1962="","",INDEX($L$2:$L$5001,MATCH($A1962,$A$2:$A$5001,0)))</f>
        <v/>
      </c>
      <c r="N1962" s="48" t="str">
        <f aca="false">IF($A1962="","",IF(N(M1962)=0,"–",IF(M1962&lt;=Start!$D$20,"A",IF(M1962&lt;=Start!$D$21,"B","C"))))</f>
        <v/>
      </c>
      <c r="O1962" s="48" t="str">
        <f aca="false">IF($A1962="","",IF(NOT(ISNUMBER(F1962)),"Wert fehlt; ",IF(F1962&lt;=0,"Wert ist 0; ",""))&amp;IF(NOT(ISNUMBER(E1962)),"Bestand fehlt; ",IF(E1962&lt;0,"Bestand negativ; ",IF(E1962=0,"Nullbestand; ","")))&amp;IF(D1962="","Warengruppe fehlt; ","")&amp;IF(B1962="","Bezeichnung fehlt; ","")&amp;IF(COUNTIFS($A$2:$A$5001,$A1962,$C$2:$C$5001,C1962)&gt;1,"Artikel doppelt im selben Lager; ",""))</f>
        <v/>
      </c>
      <c r="P1962" s="47" t="n">
        <f aca="false">IF(OR($A1962="",D1962=""),0,IF(COUNTIF($D$2:D1962,D1962)=1,SUMIF($D$2:$D$5001,D1962,$H$2:$H$5001)+ROW()/10000000,0))</f>
        <v>0</v>
      </c>
      <c r="Q1962" s="47" t="n">
        <f aca="false">IF(OR($A1962="",C1962=""),0,IF(COUNTIF($C$2:C1962,C1962)=1,SUMIF($C$2:$C$5001,C1962,$H$2:$H$5001)+ROW()/10000000,0))</f>
        <v>0</v>
      </c>
    </row>
    <row r="1963" customFormat="false" ht="15" hidden="false" customHeight="false" outlineLevel="0" collapsed="false">
      <c r="A1963" s="43"/>
      <c r="B1963" s="44"/>
      <c r="C1963" s="44"/>
      <c r="D1963" s="44"/>
      <c r="E1963" s="44"/>
      <c r="F1963" s="44"/>
      <c r="G1963" s="44"/>
      <c r="H1963" s="46" t="str">
        <f aca="false">IF($A1963="","",IF(OR(NOT(ISNUMBER(E1963)),NOT(ISNUMBER(F1963))),"",MAX(0,E1963)*F1963))</f>
        <v/>
      </c>
      <c r="I1963" s="46" t="str">
        <f aca="false">IF($A1963="","",SUMIF($A$2:$A$5001,$A1963,$H$2:$H$5001))</f>
        <v/>
      </c>
      <c r="J1963" s="47" t="n">
        <f aca="false">IF($A1963="",0,IF(COUNTIF($A$2:A1963,$A1963)=1,1,0))</f>
        <v>0</v>
      </c>
      <c r="K1963" s="47" t="n">
        <f aca="false">IF(J1963=1,N(I1963)+ROW()/10000000,0)</f>
        <v>0</v>
      </c>
      <c r="L1963" s="47" t="str">
        <f aca="false">IF(AND(J1963=1,N(I1963)&gt;0),SUMIF($K$2:$K$5001,"&gt;="&amp;K1963,$I$2:$I$5001)/MAX(1,SUM($H$2:$H$5001)),"")</f>
        <v/>
      </c>
      <c r="M1963" s="47" t="str">
        <f aca="false">IF($A1963="","",INDEX($L$2:$L$5001,MATCH($A1963,$A$2:$A$5001,0)))</f>
        <v/>
      </c>
      <c r="N1963" s="48" t="str">
        <f aca="false">IF($A1963="","",IF(N(M1963)=0,"–",IF(M1963&lt;=Start!$D$20,"A",IF(M1963&lt;=Start!$D$21,"B","C"))))</f>
        <v/>
      </c>
      <c r="O1963" s="48" t="str">
        <f aca="false">IF($A1963="","",IF(NOT(ISNUMBER(F1963)),"Wert fehlt; ",IF(F1963&lt;=0,"Wert ist 0; ",""))&amp;IF(NOT(ISNUMBER(E1963)),"Bestand fehlt; ",IF(E1963&lt;0,"Bestand negativ; ",IF(E1963=0,"Nullbestand; ","")))&amp;IF(D1963="","Warengruppe fehlt; ","")&amp;IF(B1963="","Bezeichnung fehlt; ","")&amp;IF(COUNTIFS($A$2:$A$5001,$A1963,$C$2:$C$5001,C1963)&gt;1,"Artikel doppelt im selben Lager; ",""))</f>
        <v/>
      </c>
      <c r="P1963" s="47" t="n">
        <f aca="false">IF(OR($A1963="",D1963=""),0,IF(COUNTIF($D$2:D1963,D1963)=1,SUMIF($D$2:$D$5001,D1963,$H$2:$H$5001)+ROW()/10000000,0))</f>
        <v>0</v>
      </c>
      <c r="Q1963" s="47" t="n">
        <f aca="false">IF(OR($A1963="",C1963=""),0,IF(COUNTIF($C$2:C1963,C1963)=1,SUMIF($C$2:$C$5001,C1963,$H$2:$H$5001)+ROW()/10000000,0))</f>
        <v>0</v>
      </c>
    </row>
    <row r="1964" customFormat="false" ht="15" hidden="false" customHeight="false" outlineLevel="0" collapsed="false">
      <c r="A1964" s="43"/>
      <c r="B1964" s="44"/>
      <c r="C1964" s="44"/>
      <c r="D1964" s="44"/>
      <c r="E1964" s="44"/>
      <c r="F1964" s="44"/>
      <c r="G1964" s="44"/>
      <c r="H1964" s="46" t="str">
        <f aca="false">IF($A1964="","",IF(OR(NOT(ISNUMBER(E1964)),NOT(ISNUMBER(F1964))),"",MAX(0,E1964)*F1964))</f>
        <v/>
      </c>
      <c r="I1964" s="46" t="str">
        <f aca="false">IF($A1964="","",SUMIF($A$2:$A$5001,$A1964,$H$2:$H$5001))</f>
        <v/>
      </c>
      <c r="J1964" s="47" t="n">
        <f aca="false">IF($A1964="",0,IF(COUNTIF($A$2:A1964,$A1964)=1,1,0))</f>
        <v>0</v>
      </c>
      <c r="K1964" s="47" t="n">
        <f aca="false">IF(J1964=1,N(I1964)+ROW()/10000000,0)</f>
        <v>0</v>
      </c>
      <c r="L1964" s="47" t="str">
        <f aca="false">IF(AND(J1964=1,N(I1964)&gt;0),SUMIF($K$2:$K$5001,"&gt;="&amp;K1964,$I$2:$I$5001)/MAX(1,SUM($H$2:$H$5001)),"")</f>
        <v/>
      </c>
      <c r="M1964" s="47" t="str">
        <f aca="false">IF($A1964="","",INDEX($L$2:$L$5001,MATCH($A1964,$A$2:$A$5001,0)))</f>
        <v/>
      </c>
      <c r="N1964" s="48" t="str">
        <f aca="false">IF($A1964="","",IF(N(M1964)=0,"–",IF(M1964&lt;=Start!$D$20,"A",IF(M1964&lt;=Start!$D$21,"B","C"))))</f>
        <v/>
      </c>
      <c r="O1964" s="48" t="str">
        <f aca="false">IF($A1964="","",IF(NOT(ISNUMBER(F1964)),"Wert fehlt; ",IF(F1964&lt;=0,"Wert ist 0; ",""))&amp;IF(NOT(ISNUMBER(E1964)),"Bestand fehlt; ",IF(E1964&lt;0,"Bestand negativ; ",IF(E1964=0,"Nullbestand; ","")))&amp;IF(D1964="","Warengruppe fehlt; ","")&amp;IF(B1964="","Bezeichnung fehlt; ","")&amp;IF(COUNTIFS($A$2:$A$5001,$A1964,$C$2:$C$5001,C1964)&gt;1,"Artikel doppelt im selben Lager; ",""))</f>
        <v/>
      </c>
      <c r="P1964" s="47" t="n">
        <f aca="false">IF(OR($A1964="",D1964=""),0,IF(COUNTIF($D$2:D1964,D1964)=1,SUMIF($D$2:$D$5001,D1964,$H$2:$H$5001)+ROW()/10000000,0))</f>
        <v>0</v>
      </c>
      <c r="Q1964" s="47" t="n">
        <f aca="false">IF(OR($A1964="",C1964=""),0,IF(COUNTIF($C$2:C1964,C1964)=1,SUMIF($C$2:$C$5001,C1964,$H$2:$H$5001)+ROW()/10000000,0))</f>
        <v>0</v>
      </c>
    </row>
    <row r="1965" customFormat="false" ht="15" hidden="false" customHeight="false" outlineLevel="0" collapsed="false">
      <c r="A1965" s="43"/>
      <c r="B1965" s="44"/>
      <c r="C1965" s="44"/>
      <c r="D1965" s="44"/>
      <c r="E1965" s="44"/>
      <c r="F1965" s="44"/>
      <c r="G1965" s="44"/>
      <c r="H1965" s="46" t="str">
        <f aca="false">IF($A1965="","",IF(OR(NOT(ISNUMBER(E1965)),NOT(ISNUMBER(F1965))),"",MAX(0,E1965)*F1965))</f>
        <v/>
      </c>
      <c r="I1965" s="46" t="str">
        <f aca="false">IF($A1965="","",SUMIF($A$2:$A$5001,$A1965,$H$2:$H$5001))</f>
        <v/>
      </c>
      <c r="J1965" s="47" t="n">
        <f aca="false">IF($A1965="",0,IF(COUNTIF($A$2:A1965,$A1965)=1,1,0))</f>
        <v>0</v>
      </c>
      <c r="K1965" s="47" t="n">
        <f aca="false">IF(J1965=1,N(I1965)+ROW()/10000000,0)</f>
        <v>0</v>
      </c>
      <c r="L1965" s="47" t="str">
        <f aca="false">IF(AND(J1965=1,N(I1965)&gt;0),SUMIF($K$2:$K$5001,"&gt;="&amp;K1965,$I$2:$I$5001)/MAX(1,SUM($H$2:$H$5001)),"")</f>
        <v/>
      </c>
      <c r="M1965" s="47" t="str">
        <f aca="false">IF($A1965="","",INDEX($L$2:$L$5001,MATCH($A1965,$A$2:$A$5001,0)))</f>
        <v/>
      </c>
      <c r="N1965" s="48" t="str">
        <f aca="false">IF($A1965="","",IF(N(M1965)=0,"–",IF(M1965&lt;=Start!$D$20,"A",IF(M1965&lt;=Start!$D$21,"B","C"))))</f>
        <v/>
      </c>
      <c r="O1965" s="48" t="str">
        <f aca="false">IF($A1965="","",IF(NOT(ISNUMBER(F1965)),"Wert fehlt; ",IF(F1965&lt;=0,"Wert ist 0; ",""))&amp;IF(NOT(ISNUMBER(E1965)),"Bestand fehlt; ",IF(E1965&lt;0,"Bestand negativ; ",IF(E1965=0,"Nullbestand; ","")))&amp;IF(D1965="","Warengruppe fehlt; ","")&amp;IF(B1965="","Bezeichnung fehlt; ","")&amp;IF(COUNTIFS($A$2:$A$5001,$A1965,$C$2:$C$5001,C1965)&gt;1,"Artikel doppelt im selben Lager; ",""))</f>
        <v/>
      </c>
      <c r="P1965" s="47" t="n">
        <f aca="false">IF(OR($A1965="",D1965=""),0,IF(COUNTIF($D$2:D1965,D1965)=1,SUMIF($D$2:$D$5001,D1965,$H$2:$H$5001)+ROW()/10000000,0))</f>
        <v>0</v>
      </c>
      <c r="Q1965" s="47" t="n">
        <f aca="false">IF(OR($A1965="",C1965=""),0,IF(COUNTIF($C$2:C1965,C1965)=1,SUMIF($C$2:$C$5001,C1965,$H$2:$H$5001)+ROW()/10000000,0))</f>
        <v>0</v>
      </c>
    </row>
    <row r="1966" customFormat="false" ht="15" hidden="false" customHeight="false" outlineLevel="0" collapsed="false">
      <c r="A1966" s="43"/>
      <c r="B1966" s="44"/>
      <c r="C1966" s="44"/>
      <c r="D1966" s="44"/>
      <c r="E1966" s="44"/>
      <c r="F1966" s="44"/>
      <c r="G1966" s="44"/>
      <c r="H1966" s="46" t="str">
        <f aca="false">IF($A1966="","",IF(OR(NOT(ISNUMBER(E1966)),NOT(ISNUMBER(F1966))),"",MAX(0,E1966)*F1966))</f>
        <v/>
      </c>
      <c r="I1966" s="46" t="str">
        <f aca="false">IF($A1966="","",SUMIF($A$2:$A$5001,$A1966,$H$2:$H$5001))</f>
        <v/>
      </c>
      <c r="J1966" s="47" t="n">
        <f aca="false">IF($A1966="",0,IF(COUNTIF($A$2:A1966,$A1966)=1,1,0))</f>
        <v>0</v>
      </c>
      <c r="K1966" s="47" t="n">
        <f aca="false">IF(J1966=1,N(I1966)+ROW()/10000000,0)</f>
        <v>0</v>
      </c>
      <c r="L1966" s="47" t="str">
        <f aca="false">IF(AND(J1966=1,N(I1966)&gt;0),SUMIF($K$2:$K$5001,"&gt;="&amp;K1966,$I$2:$I$5001)/MAX(1,SUM($H$2:$H$5001)),"")</f>
        <v/>
      </c>
      <c r="M1966" s="47" t="str">
        <f aca="false">IF($A1966="","",INDEX($L$2:$L$5001,MATCH($A1966,$A$2:$A$5001,0)))</f>
        <v/>
      </c>
      <c r="N1966" s="48" t="str">
        <f aca="false">IF($A1966="","",IF(N(M1966)=0,"–",IF(M1966&lt;=Start!$D$20,"A",IF(M1966&lt;=Start!$D$21,"B","C"))))</f>
        <v/>
      </c>
      <c r="O1966" s="48" t="str">
        <f aca="false">IF($A1966="","",IF(NOT(ISNUMBER(F1966)),"Wert fehlt; ",IF(F1966&lt;=0,"Wert ist 0; ",""))&amp;IF(NOT(ISNUMBER(E1966)),"Bestand fehlt; ",IF(E1966&lt;0,"Bestand negativ; ",IF(E1966=0,"Nullbestand; ","")))&amp;IF(D1966="","Warengruppe fehlt; ","")&amp;IF(B1966="","Bezeichnung fehlt; ","")&amp;IF(COUNTIFS($A$2:$A$5001,$A1966,$C$2:$C$5001,C1966)&gt;1,"Artikel doppelt im selben Lager; ",""))</f>
        <v/>
      </c>
      <c r="P1966" s="47" t="n">
        <f aca="false">IF(OR($A1966="",D1966=""),0,IF(COUNTIF($D$2:D1966,D1966)=1,SUMIF($D$2:$D$5001,D1966,$H$2:$H$5001)+ROW()/10000000,0))</f>
        <v>0</v>
      </c>
      <c r="Q1966" s="47" t="n">
        <f aca="false">IF(OR($A1966="",C1966=""),0,IF(COUNTIF($C$2:C1966,C1966)=1,SUMIF($C$2:$C$5001,C1966,$H$2:$H$5001)+ROW()/10000000,0))</f>
        <v>0</v>
      </c>
    </row>
    <row r="1967" customFormat="false" ht="15" hidden="false" customHeight="false" outlineLevel="0" collapsed="false">
      <c r="A1967" s="43"/>
      <c r="B1967" s="44"/>
      <c r="C1967" s="44"/>
      <c r="D1967" s="44"/>
      <c r="E1967" s="44"/>
      <c r="F1967" s="44"/>
      <c r="G1967" s="44"/>
      <c r="H1967" s="46" t="str">
        <f aca="false">IF($A1967="","",IF(OR(NOT(ISNUMBER(E1967)),NOT(ISNUMBER(F1967))),"",MAX(0,E1967)*F1967))</f>
        <v/>
      </c>
      <c r="I1967" s="46" t="str">
        <f aca="false">IF($A1967="","",SUMIF($A$2:$A$5001,$A1967,$H$2:$H$5001))</f>
        <v/>
      </c>
      <c r="J1967" s="47" t="n">
        <f aca="false">IF($A1967="",0,IF(COUNTIF($A$2:A1967,$A1967)=1,1,0))</f>
        <v>0</v>
      </c>
      <c r="K1967" s="47" t="n">
        <f aca="false">IF(J1967=1,N(I1967)+ROW()/10000000,0)</f>
        <v>0</v>
      </c>
      <c r="L1967" s="47" t="str">
        <f aca="false">IF(AND(J1967=1,N(I1967)&gt;0),SUMIF($K$2:$K$5001,"&gt;="&amp;K1967,$I$2:$I$5001)/MAX(1,SUM($H$2:$H$5001)),"")</f>
        <v/>
      </c>
      <c r="M1967" s="47" t="str">
        <f aca="false">IF($A1967="","",INDEX($L$2:$L$5001,MATCH($A1967,$A$2:$A$5001,0)))</f>
        <v/>
      </c>
      <c r="N1967" s="48" t="str">
        <f aca="false">IF($A1967="","",IF(N(M1967)=0,"–",IF(M1967&lt;=Start!$D$20,"A",IF(M1967&lt;=Start!$D$21,"B","C"))))</f>
        <v/>
      </c>
      <c r="O1967" s="48" t="str">
        <f aca="false">IF($A1967="","",IF(NOT(ISNUMBER(F1967)),"Wert fehlt; ",IF(F1967&lt;=0,"Wert ist 0; ",""))&amp;IF(NOT(ISNUMBER(E1967)),"Bestand fehlt; ",IF(E1967&lt;0,"Bestand negativ; ",IF(E1967=0,"Nullbestand; ","")))&amp;IF(D1967="","Warengruppe fehlt; ","")&amp;IF(B1967="","Bezeichnung fehlt; ","")&amp;IF(COUNTIFS($A$2:$A$5001,$A1967,$C$2:$C$5001,C1967)&gt;1,"Artikel doppelt im selben Lager; ",""))</f>
        <v/>
      </c>
      <c r="P1967" s="47" t="n">
        <f aca="false">IF(OR($A1967="",D1967=""),0,IF(COUNTIF($D$2:D1967,D1967)=1,SUMIF($D$2:$D$5001,D1967,$H$2:$H$5001)+ROW()/10000000,0))</f>
        <v>0</v>
      </c>
      <c r="Q1967" s="47" t="n">
        <f aca="false">IF(OR($A1967="",C1967=""),0,IF(COUNTIF($C$2:C1967,C1967)=1,SUMIF($C$2:$C$5001,C1967,$H$2:$H$5001)+ROW()/10000000,0))</f>
        <v>0</v>
      </c>
    </row>
    <row r="1968" customFormat="false" ht="15" hidden="false" customHeight="false" outlineLevel="0" collapsed="false">
      <c r="A1968" s="43"/>
      <c r="B1968" s="44"/>
      <c r="C1968" s="44"/>
      <c r="D1968" s="44"/>
      <c r="E1968" s="44"/>
      <c r="F1968" s="44"/>
      <c r="G1968" s="44"/>
      <c r="H1968" s="46" t="str">
        <f aca="false">IF($A1968="","",IF(OR(NOT(ISNUMBER(E1968)),NOT(ISNUMBER(F1968))),"",MAX(0,E1968)*F1968))</f>
        <v/>
      </c>
      <c r="I1968" s="46" t="str">
        <f aca="false">IF($A1968="","",SUMIF($A$2:$A$5001,$A1968,$H$2:$H$5001))</f>
        <v/>
      </c>
      <c r="J1968" s="47" t="n">
        <f aca="false">IF($A1968="",0,IF(COUNTIF($A$2:A1968,$A1968)=1,1,0))</f>
        <v>0</v>
      </c>
      <c r="K1968" s="47" t="n">
        <f aca="false">IF(J1968=1,N(I1968)+ROW()/10000000,0)</f>
        <v>0</v>
      </c>
      <c r="L1968" s="47" t="str">
        <f aca="false">IF(AND(J1968=1,N(I1968)&gt;0),SUMIF($K$2:$K$5001,"&gt;="&amp;K1968,$I$2:$I$5001)/MAX(1,SUM($H$2:$H$5001)),"")</f>
        <v/>
      </c>
      <c r="M1968" s="47" t="str">
        <f aca="false">IF($A1968="","",INDEX($L$2:$L$5001,MATCH($A1968,$A$2:$A$5001,0)))</f>
        <v/>
      </c>
      <c r="N1968" s="48" t="str">
        <f aca="false">IF($A1968="","",IF(N(M1968)=0,"–",IF(M1968&lt;=Start!$D$20,"A",IF(M1968&lt;=Start!$D$21,"B","C"))))</f>
        <v/>
      </c>
      <c r="O1968" s="48" t="str">
        <f aca="false">IF($A1968="","",IF(NOT(ISNUMBER(F1968)),"Wert fehlt; ",IF(F1968&lt;=0,"Wert ist 0; ",""))&amp;IF(NOT(ISNUMBER(E1968)),"Bestand fehlt; ",IF(E1968&lt;0,"Bestand negativ; ",IF(E1968=0,"Nullbestand; ","")))&amp;IF(D1968="","Warengruppe fehlt; ","")&amp;IF(B1968="","Bezeichnung fehlt; ","")&amp;IF(COUNTIFS($A$2:$A$5001,$A1968,$C$2:$C$5001,C1968)&gt;1,"Artikel doppelt im selben Lager; ",""))</f>
        <v/>
      </c>
      <c r="P1968" s="47" t="n">
        <f aca="false">IF(OR($A1968="",D1968=""),0,IF(COUNTIF($D$2:D1968,D1968)=1,SUMIF($D$2:$D$5001,D1968,$H$2:$H$5001)+ROW()/10000000,0))</f>
        <v>0</v>
      </c>
      <c r="Q1968" s="47" t="n">
        <f aca="false">IF(OR($A1968="",C1968=""),0,IF(COUNTIF($C$2:C1968,C1968)=1,SUMIF($C$2:$C$5001,C1968,$H$2:$H$5001)+ROW()/10000000,0))</f>
        <v>0</v>
      </c>
    </row>
    <row r="1969" customFormat="false" ht="15" hidden="false" customHeight="false" outlineLevel="0" collapsed="false">
      <c r="A1969" s="43"/>
      <c r="B1969" s="44"/>
      <c r="C1969" s="44"/>
      <c r="D1969" s="44"/>
      <c r="E1969" s="44"/>
      <c r="F1969" s="44"/>
      <c r="G1969" s="44"/>
      <c r="H1969" s="46" t="str">
        <f aca="false">IF($A1969="","",IF(OR(NOT(ISNUMBER(E1969)),NOT(ISNUMBER(F1969))),"",MAX(0,E1969)*F1969))</f>
        <v/>
      </c>
      <c r="I1969" s="46" t="str">
        <f aca="false">IF($A1969="","",SUMIF($A$2:$A$5001,$A1969,$H$2:$H$5001))</f>
        <v/>
      </c>
      <c r="J1969" s="47" t="n">
        <f aca="false">IF($A1969="",0,IF(COUNTIF($A$2:A1969,$A1969)=1,1,0))</f>
        <v>0</v>
      </c>
      <c r="K1969" s="47" t="n">
        <f aca="false">IF(J1969=1,N(I1969)+ROW()/10000000,0)</f>
        <v>0</v>
      </c>
      <c r="L1969" s="47" t="str">
        <f aca="false">IF(AND(J1969=1,N(I1969)&gt;0),SUMIF($K$2:$K$5001,"&gt;="&amp;K1969,$I$2:$I$5001)/MAX(1,SUM($H$2:$H$5001)),"")</f>
        <v/>
      </c>
      <c r="M1969" s="47" t="str">
        <f aca="false">IF($A1969="","",INDEX($L$2:$L$5001,MATCH($A1969,$A$2:$A$5001,0)))</f>
        <v/>
      </c>
      <c r="N1969" s="48" t="str">
        <f aca="false">IF($A1969="","",IF(N(M1969)=0,"–",IF(M1969&lt;=Start!$D$20,"A",IF(M1969&lt;=Start!$D$21,"B","C"))))</f>
        <v/>
      </c>
      <c r="O1969" s="48" t="str">
        <f aca="false">IF($A1969="","",IF(NOT(ISNUMBER(F1969)),"Wert fehlt; ",IF(F1969&lt;=0,"Wert ist 0; ",""))&amp;IF(NOT(ISNUMBER(E1969)),"Bestand fehlt; ",IF(E1969&lt;0,"Bestand negativ; ",IF(E1969=0,"Nullbestand; ","")))&amp;IF(D1969="","Warengruppe fehlt; ","")&amp;IF(B1969="","Bezeichnung fehlt; ","")&amp;IF(COUNTIFS($A$2:$A$5001,$A1969,$C$2:$C$5001,C1969)&gt;1,"Artikel doppelt im selben Lager; ",""))</f>
        <v/>
      </c>
      <c r="P1969" s="47" t="n">
        <f aca="false">IF(OR($A1969="",D1969=""),0,IF(COUNTIF($D$2:D1969,D1969)=1,SUMIF($D$2:$D$5001,D1969,$H$2:$H$5001)+ROW()/10000000,0))</f>
        <v>0</v>
      </c>
      <c r="Q1969" s="47" t="n">
        <f aca="false">IF(OR($A1969="",C1969=""),0,IF(COUNTIF($C$2:C1969,C1969)=1,SUMIF($C$2:$C$5001,C1969,$H$2:$H$5001)+ROW()/10000000,0))</f>
        <v>0</v>
      </c>
    </row>
    <row r="1970" customFormat="false" ht="15" hidden="false" customHeight="false" outlineLevel="0" collapsed="false">
      <c r="A1970" s="43"/>
      <c r="B1970" s="44"/>
      <c r="C1970" s="44"/>
      <c r="D1970" s="44"/>
      <c r="E1970" s="44"/>
      <c r="F1970" s="44"/>
      <c r="G1970" s="44"/>
      <c r="H1970" s="46" t="str">
        <f aca="false">IF($A1970="","",IF(OR(NOT(ISNUMBER(E1970)),NOT(ISNUMBER(F1970))),"",MAX(0,E1970)*F1970))</f>
        <v/>
      </c>
      <c r="I1970" s="46" t="str">
        <f aca="false">IF($A1970="","",SUMIF($A$2:$A$5001,$A1970,$H$2:$H$5001))</f>
        <v/>
      </c>
      <c r="J1970" s="47" t="n">
        <f aca="false">IF($A1970="",0,IF(COUNTIF($A$2:A1970,$A1970)=1,1,0))</f>
        <v>0</v>
      </c>
      <c r="K1970" s="47" t="n">
        <f aca="false">IF(J1970=1,N(I1970)+ROW()/10000000,0)</f>
        <v>0</v>
      </c>
      <c r="L1970" s="47" t="str">
        <f aca="false">IF(AND(J1970=1,N(I1970)&gt;0),SUMIF($K$2:$K$5001,"&gt;="&amp;K1970,$I$2:$I$5001)/MAX(1,SUM($H$2:$H$5001)),"")</f>
        <v/>
      </c>
      <c r="M1970" s="47" t="str">
        <f aca="false">IF($A1970="","",INDEX($L$2:$L$5001,MATCH($A1970,$A$2:$A$5001,0)))</f>
        <v/>
      </c>
      <c r="N1970" s="48" t="str">
        <f aca="false">IF($A1970="","",IF(N(M1970)=0,"–",IF(M1970&lt;=Start!$D$20,"A",IF(M1970&lt;=Start!$D$21,"B","C"))))</f>
        <v/>
      </c>
      <c r="O1970" s="48" t="str">
        <f aca="false">IF($A1970="","",IF(NOT(ISNUMBER(F1970)),"Wert fehlt; ",IF(F1970&lt;=0,"Wert ist 0; ",""))&amp;IF(NOT(ISNUMBER(E1970)),"Bestand fehlt; ",IF(E1970&lt;0,"Bestand negativ; ",IF(E1970=0,"Nullbestand; ","")))&amp;IF(D1970="","Warengruppe fehlt; ","")&amp;IF(B1970="","Bezeichnung fehlt; ","")&amp;IF(COUNTIFS($A$2:$A$5001,$A1970,$C$2:$C$5001,C1970)&gt;1,"Artikel doppelt im selben Lager; ",""))</f>
        <v/>
      </c>
      <c r="P1970" s="47" t="n">
        <f aca="false">IF(OR($A1970="",D1970=""),0,IF(COUNTIF($D$2:D1970,D1970)=1,SUMIF($D$2:$D$5001,D1970,$H$2:$H$5001)+ROW()/10000000,0))</f>
        <v>0</v>
      </c>
      <c r="Q1970" s="47" t="n">
        <f aca="false">IF(OR($A1970="",C1970=""),0,IF(COUNTIF($C$2:C1970,C1970)=1,SUMIF($C$2:$C$5001,C1970,$H$2:$H$5001)+ROW()/10000000,0))</f>
        <v>0</v>
      </c>
    </row>
    <row r="1971" customFormat="false" ht="15" hidden="false" customHeight="false" outlineLevel="0" collapsed="false">
      <c r="A1971" s="43"/>
      <c r="B1971" s="44"/>
      <c r="C1971" s="44"/>
      <c r="D1971" s="44"/>
      <c r="E1971" s="44"/>
      <c r="F1971" s="44"/>
      <c r="G1971" s="44"/>
      <c r="H1971" s="46" t="str">
        <f aca="false">IF($A1971="","",IF(OR(NOT(ISNUMBER(E1971)),NOT(ISNUMBER(F1971))),"",MAX(0,E1971)*F1971))</f>
        <v/>
      </c>
      <c r="I1971" s="46" t="str">
        <f aca="false">IF($A1971="","",SUMIF($A$2:$A$5001,$A1971,$H$2:$H$5001))</f>
        <v/>
      </c>
      <c r="J1971" s="47" t="n">
        <f aca="false">IF($A1971="",0,IF(COUNTIF($A$2:A1971,$A1971)=1,1,0))</f>
        <v>0</v>
      </c>
      <c r="K1971" s="47" t="n">
        <f aca="false">IF(J1971=1,N(I1971)+ROW()/10000000,0)</f>
        <v>0</v>
      </c>
      <c r="L1971" s="47" t="str">
        <f aca="false">IF(AND(J1971=1,N(I1971)&gt;0),SUMIF($K$2:$K$5001,"&gt;="&amp;K1971,$I$2:$I$5001)/MAX(1,SUM($H$2:$H$5001)),"")</f>
        <v/>
      </c>
      <c r="M1971" s="47" t="str">
        <f aca="false">IF($A1971="","",INDEX($L$2:$L$5001,MATCH($A1971,$A$2:$A$5001,0)))</f>
        <v/>
      </c>
      <c r="N1971" s="48" t="str">
        <f aca="false">IF($A1971="","",IF(N(M1971)=0,"–",IF(M1971&lt;=Start!$D$20,"A",IF(M1971&lt;=Start!$D$21,"B","C"))))</f>
        <v/>
      </c>
      <c r="O1971" s="48" t="str">
        <f aca="false">IF($A1971="","",IF(NOT(ISNUMBER(F1971)),"Wert fehlt; ",IF(F1971&lt;=0,"Wert ist 0; ",""))&amp;IF(NOT(ISNUMBER(E1971)),"Bestand fehlt; ",IF(E1971&lt;0,"Bestand negativ; ",IF(E1971=0,"Nullbestand; ","")))&amp;IF(D1971="","Warengruppe fehlt; ","")&amp;IF(B1971="","Bezeichnung fehlt; ","")&amp;IF(COUNTIFS($A$2:$A$5001,$A1971,$C$2:$C$5001,C1971)&gt;1,"Artikel doppelt im selben Lager; ",""))</f>
        <v/>
      </c>
      <c r="P1971" s="47" t="n">
        <f aca="false">IF(OR($A1971="",D1971=""),0,IF(COUNTIF($D$2:D1971,D1971)=1,SUMIF($D$2:$D$5001,D1971,$H$2:$H$5001)+ROW()/10000000,0))</f>
        <v>0</v>
      </c>
      <c r="Q1971" s="47" t="n">
        <f aca="false">IF(OR($A1971="",C1971=""),0,IF(COUNTIF($C$2:C1971,C1971)=1,SUMIF($C$2:$C$5001,C1971,$H$2:$H$5001)+ROW()/10000000,0))</f>
        <v>0</v>
      </c>
    </row>
    <row r="1972" customFormat="false" ht="15" hidden="false" customHeight="false" outlineLevel="0" collapsed="false">
      <c r="A1972" s="43"/>
      <c r="B1972" s="44"/>
      <c r="C1972" s="44"/>
      <c r="D1972" s="44"/>
      <c r="E1972" s="44"/>
      <c r="F1972" s="44"/>
      <c r="G1972" s="44"/>
      <c r="H1972" s="46" t="str">
        <f aca="false">IF($A1972="","",IF(OR(NOT(ISNUMBER(E1972)),NOT(ISNUMBER(F1972))),"",MAX(0,E1972)*F1972))</f>
        <v/>
      </c>
      <c r="I1972" s="46" t="str">
        <f aca="false">IF($A1972="","",SUMIF($A$2:$A$5001,$A1972,$H$2:$H$5001))</f>
        <v/>
      </c>
      <c r="J1972" s="47" t="n">
        <f aca="false">IF($A1972="",0,IF(COUNTIF($A$2:A1972,$A1972)=1,1,0))</f>
        <v>0</v>
      </c>
      <c r="K1972" s="47" t="n">
        <f aca="false">IF(J1972=1,N(I1972)+ROW()/10000000,0)</f>
        <v>0</v>
      </c>
      <c r="L1972" s="47" t="str">
        <f aca="false">IF(AND(J1972=1,N(I1972)&gt;0),SUMIF($K$2:$K$5001,"&gt;="&amp;K1972,$I$2:$I$5001)/MAX(1,SUM($H$2:$H$5001)),"")</f>
        <v/>
      </c>
      <c r="M1972" s="47" t="str">
        <f aca="false">IF($A1972="","",INDEX($L$2:$L$5001,MATCH($A1972,$A$2:$A$5001,0)))</f>
        <v/>
      </c>
      <c r="N1972" s="48" t="str">
        <f aca="false">IF($A1972="","",IF(N(M1972)=0,"–",IF(M1972&lt;=Start!$D$20,"A",IF(M1972&lt;=Start!$D$21,"B","C"))))</f>
        <v/>
      </c>
      <c r="O1972" s="48" t="str">
        <f aca="false">IF($A1972="","",IF(NOT(ISNUMBER(F1972)),"Wert fehlt; ",IF(F1972&lt;=0,"Wert ist 0; ",""))&amp;IF(NOT(ISNUMBER(E1972)),"Bestand fehlt; ",IF(E1972&lt;0,"Bestand negativ; ",IF(E1972=0,"Nullbestand; ","")))&amp;IF(D1972="","Warengruppe fehlt; ","")&amp;IF(B1972="","Bezeichnung fehlt; ","")&amp;IF(COUNTIFS($A$2:$A$5001,$A1972,$C$2:$C$5001,C1972)&gt;1,"Artikel doppelt im selben Lager; ",""))</f>
        <v/>
      </c>
      <c r="P1972" s="47" t="n">
        <f aca="false">IF(OR($A1972="",D1972=""),0,IF(COUNTIF($D$2:D1972,D1972)=1,SUMIF($D$2:$D$5001,D1972,$H$2:$H$5001)+ROW()/10000000,0))</f>
        <v>0</v>
      </c>
      <c r="Q1972" s="47" t="n">
        <f aca="false">IF(OR($A1972="",C1972=""),0,IF(COUNTIF($C$2:C1972,C1972)=1,SUMIF($C$2:$C$5001,C1972,$H$2:$H$5001)+ROW()/10000000,0))</f>
        <v>0</v>
      </c>
    </row>
    <row r="1973" customFormat="false" ht="15" hidden="false" customHeight="false" outlineLevel="0" collapsed="false">
      <c r="A1973" s="43"/>
      <c r="B1973" s="44"/>
      <c r="C1973" s="44"/>
      <c r="D1973" s="44"/>
      <c r="E1973" s="44"/>
      <c r="F1973" s="44"/>
      <c r="G1973" s="44"/>
      <c r="H1973" s="46" t="str">
        <f aca="false">IF($A1973="","",IF(OR(NOT(ISNUMBER(E1973)),NOT(ISNUMBER(F1973))),"",MAX(0,E1973)*F1973))</f>
        <v/>
      </c>
      <c r="I1973" s="46" t="str">
        <f aca="false">IF($A1973="","",SUMIF($A$2:$A$5001,$A1973,$H$2:$H$5001))</f>
        <v/>
      </c>
      <c r="J1973" s="47" t="n">
        <f aca="false">IF($A1973="",0,IF(COUNTIF($A$2:A1973,$A1973)=1,1,0))</f>
        <v>0</v>
      </c>
      <c r="K1973" s="47" t="n">
        <f aca="false">IF(J1973=1,N(I1973)+ROW()/10000000,0)</f>
        <v>0</v>
      </c>
      <c r="L1973" s="47" t="str">
        <f aca="false">IF(AND(J1973=1,N(I1973)&gt;0),SUMIF($K$2:$K$5001,"&gt;="&amp;K1973,$I$2:$I$5001)/MAX(1,SUM($H$2:$H$5001)),"")</f>
        <v/>
      </c>
      <c r="M1973" s="47" t="str">
        <f aca="false">IF($A1973="","",INDEX($L$2:$L$5001,MATCH($A1973,$A$2:$A$5001,0)))</f>
        <v/>
      </c>
      <c r="N1973" s="48" t="str">
        <f aca="false">IF($A1973="","",IF(N(M1973)=0,"–",IF(M1973&lt;=Start!$D$20,"A",IF(M1973&lt;=Start!$D$21,"B","C"))))</f>
        <v/>
      </c>
      <c r="O1973" s="48" t="str">
        <f aca="false">IF($A1973="","",IF(NOT(ISNUMBER(F1973)),"Wert fehlt; ",IF(F1973&lt;=0,"Wert ist 0; ",""))&amp;IF(NOT(ISNUMBER(E1973)),"Bestand fehlt; ",IF(E1973&lt;0,"Bestand negativ; ",IF(E1973=0,"Nullbestand; ","")))&amp;IF(D1973="","Warengruppe fehlt; ","")&amp;IF(B1973="","Bezeichnung fehlt; ","")&amp;IF(COUNTIFS($A$2:$A$5001,$A1973,$C$2:$C$5001,C1973)&gt;1,"Artikel doppelt im selben Lager; ",""))</f>
        <v/>
      </c>
      <c r="P1973" s="47" t="n">
        <f aca="false">IF(OR($A1973="",D1973=""),0,IF(COUNTIF($D$2:D1973,D1973)=1,SUMIF($D$2:$D$5001,D1973,$H$2:$H$5001)+ROW()/10000000,0))</f>
        <v>0</v>
      </c>
      <c r="Q1973" s="47" t="n">
        <f aca="false">IF(OR($A1973="",C1973=""),0,IF(COUNTIF($C$2:C1973,C1973)=1,SUMIF($C$2:$C$5001,C1973,$H$2:$H$5001)+ROW()/10000000,0))</f>
        <v>0</v>
      </c>
    </row>
    <row r="1974" customFormat="false" ht="15" hidden="false" customHeight="false" outlineLevel="0" collapsed="false">
      <c r="A1974" s="43"/>
      <c r="B1974" s="44"/>
      <c r="C1974" s="44"/>
      <c r="D1974" s="44"/>
      <c r="E1974" s="44"/>
      <c r="F1974" s="44"/>
      <c r="G1974" s="44"/>
      <c r="H1974" s="46" t="str">
        <f aca="false">IF($A1974="","",IF(OR(NOT(ISNUMBER(E1974)),NOT(ISNUMBER(F1974))),"",MAX(0,E1974)*F1974))</f>
        <v/>
      </c>
      <c r="I1974" s="46" t="str">
        <f aca="false">IF($A1974="","",SUMIF($A$2:$A$5001,$A1974,$H$2:$H$5001))</f>
        <v/>
      </c>
      <c r="J1974" s="47" t="n">
        <f aca="false">IF($A1974="",0,IF(COUNTIF($A$2:A1974,$A1974)=1,1,0))</f>
        <v>0</v>
      </c>
      <c r="K1974" s="47" t="n">
        <f aca="false">IF(J1974=1,N(I1974)+ROW()/10000000,0)</f>
        <v>0</v>
      </c>
      <c r="L1974" s="47" t="str">
        <f aca="false">IF(AND(J1974=1,N(I1974)&gt;0),SUMIF($K$2:$K$5001,"&gt;="&amp;K1974,$I$2:$I$5001)/MAX(1,SUM($H$2:$H$5001)),"")</f>
        <v/>
      </c>
      <c r="M1974" s="47" t="str">
        <f aca="false">IF($A1974="","",INDEX($L$2:$L$5001,MATCH($A1974,$A$2:$A$5001,0)))</f>
        <v/>
      </c>
      <c r="N1974" s="48" t="str">
        <f aca="false">IF($A1974="","",IF(N(M1974)=0,"–",IF(M1974&lt;=Start!$D$20,"A",IF(M1974&lt;=Start!$D$21,"B","C"))))</f>
        <v/>
      </c>
      <c r="O1974" s="48" t="str">
        <f aca="false">IF($A1974="","",IF(NOT(ISNUMBER(F1974)),"Wert fehlt; ",IF(F1974&lt;=0,"Wert ist 0; ",""))&amp;IF(NOT(ISNUMBER(E1974)),"Bestand fehlt; ",IF(E1974&lt;0,"Bestand negativ; ",IF(E1974=0,"Nullbestand; ","")))&amp;IF(D1974="","Warengruppe fehlt; ","")&amp;IF(B1974="","Bezeichnung fehlt; ","")&amp;IF(COUNTIFS($A$2:$A$5001,$A1974,$C$2:$C$5001,C1974)&gt;1,"Artikel doppelt im selben Lager; ",""))</f>
        <v/>
      </c>
      <c r="P1974" s="47" t="n">
        <f aca="false">IF(OR($A1974="",D1974=""),0,IF(COUNTIF($D$2:D1974,D1974)=1,SUMIF($D$2:$D$5001,D1974,$H$2:$H$5001)+ROW()/10000000,0))</f>
        <v>0</v>
      </c>
      <c r="Q1974" s="47" t="n">
        <f aca="false">IF(OR($A1974="",C1974=""),0,IF(COUNTIF($C$2:C1974,C1974)=1,SUMIF($C$2:$C$5001,C1974,$H$2:$H$5001)+ROW()/10000000,0))</f>
        <v>0</v>
      </c>
    </row>
    <row r="1975" customFormat="false" ht="15" hidden="false" customHeight="false" outlineLevel="0" collapsed="false">
      <c r="A1975" s="43"/>
      <c r="B1975" s="44"/>
      <c r="C1975" s="44"/>
      <c r="D1975" s="44"/>
      <c r="E1975" s="44"/>
      <c r="F1975" s="44"/>
      <c r="G1975" s="44"/>
      <c r="H1975" s="46" t="str">
        <f aca="false">IF($A1975="","",IF(OR(NOT(ISNUMBER(E1975)),NOT(ISNUMBER(F1975))),"",MAX(0,E1975)*F1975))</f>
        <v/>
      </c>
      <c r="I1975" s="46" t="str">
        <f aca="false">IF($A1975="","",SUMIF($A$2:$A$5001,$A1975,$H$2:$H$5001))</f>
        <v/>
      </c>
      <c r="J1975" s="47" t="n">
        <f aca="false">IF($A1975="",0,IF(COUNTIF($A$2:A1975,$A1975)=1,1,0))</f>
        <v>0</v>
      </c>
      <c r="K1975" s="47" t="n">
        <f aca="false">IF(J1975=1,N(I1975)+ROW()/10000000,0)</f>
        <v>0</v>
      </c>
      <c r="L1975" s="47" t="str">
        <f aca="false">IF(AND(J1975=1,N(I1975)&gt;0),SUMIF($K$2:$K$5001,"&gt;="&amp;K1975,$I$2:$I$5001)/MAX(1,SUM($H$2:$H$5001)),"")</f>
        <v/>
      </c>
      <c r="M1975" s="47" t="str">
        <f aca="false">IF($A1975="","",INDEX($L$2:$L$5001,MATCH($A1975,$A$2:$A$5001,0)))</f>
        <v/>
      </c>
      <c r="N1975" s="48" t="str">
        <f aca="false">IF($A1975="","",IF(N(M1975)=0,"–",IF(M1975&lt;=Start!$D$20,"A",IF(M1975&lt;=Start!$D$21,"B","C"))))</f>
        <v/>
      </c>
      <c r="O1975" s="48" t="str">
        <f aca="false">IF($A1975="","",IF(NOT(ISNUMBER(F1975)),"Wert fehlt; ",IF(F1975&lt;=0,"Wert ist 0; ",""))&amp;IF(NOT(ISNUMBER(E1975)),"Bestand fehlt; ",IF(E1975&lt;0,"Bestand negativ; ",IF(E1975=0,"Nullbestand; ","")))&amp;IF(D1975="","Warengruppe fehlt; ","")&amp;IF(B1975="","Bezeichnung fehlt; ","")&amp;IF(COUNTIFS($A$2:$A$5001,$A1975,$C$2:$C$5001,C1975)&gt;1,"Artikel doppelt im selben Lager; ",""))</f>
        <v/>
      </c>
      <c r="P1975" s="47" t="n">
        <f aca="false">IF(OR($A1975="",D1975=""),0,IF(COUNTIF($D$2:D1975,D1975)=1,SUMIF($D$2:$D$5001,D1975,$H$2:$H$5001)+ROW()/10000000,0))</f>
        <v>0</v>
      </c>
      <c r="Q1975" s="47" t="n">
        <f aca="false">IF(OR($A1975="",C1975=""),0,IF(COUNTIF($C$2:C1975,C1975)=1,SUMIF($C$2:$C$5001,C1975,$H$2:$H$5001)+ROW()/10000000,0))</f>
        <v>0</v>
      </c>
    </row>
    <row r="1976" customFormat="false" ht="15" hidden="false" customHeight="false" outlineLevel="0" collapsed="false">
      <c r="A1976" s="43"/>
      <c r="B1976" s="44"/>
      <c r="C1976" s="44"/>
      <c r="D1976" s="44"/>
      <c r="E1976" s="44"/>
      <c r="F1976" s="44"/>
      <c r="G1976" s="44"/>
      <c r="H1976" s="46" t="str">
        <f aca="false">IF($A1976="","",IF(OR(NOT(ISNUMBER(E1976)),NOT(ISNUMBER(F1976))),"",MAX(0,E1976)*F1976))</f>
        <v/>
      </c>
      <c r="I1976" s="46" t="str">
        <f aca="false">IF($A1976="","",SUMIF($A$2:$A$5001,$A1976,$H$2:$H$5001))</f>
        <v/>
      </c>
      <c r="J1976" s="47" t="n">
        <f aca="false">IF($A1976="",0,IF(COUNTIF($A$2:A1976,$A1976)=1,1,0))</f>
        <v>0</v>
      </c>
      <c r="K1976" s="47" t="n">
        <f aca="false">IF(J1976=1,N(I1976)+ROW()/10000000,0)</f>
        <v>0</v>
      </c>
      <c r="L1976" s="47" t="str">
        <f aca="false">IF(AND(J1976=1,N(I1976)&gt;0),SUMIF($K$2:$K$5001,"&gt;="&amp;K1976,$I$2:$I$5001)/MAX(1,SUM($H$2:$H$5001)),"")</f>
        <v/>
      </c>
      <c r="M1976" s="47" t="str">
        <f aca="false">IF($A1976="","",INDEX($L$2:$L$5001,MATCH($A1976,$A$2:$A$5001,0)))</f>
        <v/>
      </c>
      <c r="N1976" s="48" t="str">
        <f aca="false">IF($A1976="","",IF(N(M1976)=0,"–",IF(M1976&lt;=Start!$D$20,"A",IF(M1976&lt;=Start!$D$21,"B","C"))))</f>
        <v/>
      </c>
      <c r="O1976" s="48" t="str">
        <f aca="false">IF($A1976="","",IF(NOT(ISNUMBER(F1976)),"Wert fehlt; ",IF(F1976&lt;=0,"Wert ist 0; ",""))&amp;IF(NOT(ISNUMBER(E1976)),"Bestand fehlt; ",IF(E1976&lt;0,"Bestand negativ; ",IF(E1976=0,"Nullbestand; ","")))&amp;IF(D1976="","Warengruppe fehlt; ","")&amp;IF(B1976="","Bezeichnung fehlt; ","")&amp;IF(COUNTIFS($A$2:$A$5001,$A1976,$C$2:$C$5001,C1976)&gt;1,"Artikel doppelt im selben Lager; ",""))</f>
        <v/>
      </c>
      <c r="P1976" s="47" t="n">
        <f aca="false">IF(OR($A1976="",D1976=""),0,IF(COUNTIF($D$2:D1976,D1976)=1,SUMIF($D$2:$D$5001,D1976,$H$2:$H$5001)+ROW()/10000000,0))</f>
        <v>0</v>
      </c>
      <c r="Q1976" s="47" t="n">
        <f aca="false">IF(OR($A1976="",C1976=""),0,IF(COUNTIF($C$2:C1976,C1976)=1,SUMIF($C$2:$C$5001,C1976,$H$2:$H$5001)+ROW()/10000000,0))</f>
        <v>0</v>
      </c>
    </row>
    <row r="1977" customFormat="false" ht="15" hidden="false" customHeight="false" outlineLevel="0" collapsed="false">
      <c r="A1977" s="43"/>
      <c r="B1977" s="44"/>
      <c r="C1977" s="44"/>
      <c r="D1977" s="44"/>
      <c r="E1977" s="44"/>
      <c r="F1977" s="44"/>
      <c r="G1977" s="44"/>
      <c r="H1977" s="46" t="str">
        <f aca="false">IF($A1977="","",IF(OR(NOT(ISNUMBER(E1977)),NOT(ISNUMBER(F1977))),"",MAX(0,E1977)*F1977))</f>
        <v/>
      </c>
      <c r="I1977" s="46" t="str">
        <f aca="false">IF($A1977="","",SUMIF($A$2:$A$5001,$A1977,$H$2:$H$5001))</f>
        <v/>
      </c>
      <c r="J1977" s="47" t="n">
        <f aca="false">IF($A1977="",0,IF(COUNTIF($A$2:A1977,$A1977)=1,1,0))</f>
        <v>0</v>
      </c>
      <c r="K1977" s="47" t="n">
        <f aca="false">IF(J1977=1,N(I1977)+ROW()/10000000,0)</f>
        <v>0</v>
      </c>
      <c r="L1977" s="47" t="str">
        <f aca="false">IF(AND(J1977=1,N(I1977)&gt;0),SUMIF($K$2:$K$5001,"&gt;="&amp;K1977,$I$2:$I$5001)/MAX(1,SUM($H$2:$H$5001)),"")</f>
        <v/>
      </c>
      <c r="M1977" s="47" t="str">
        <f aca="false">IF($A1977="","",INDEX($L$2:$L$5001,MATCH($A1977,$A$2:$A$5001,0)))</f>
        <v/>
      </c>
      <c r="N1977" s="48" t="str">
        <f aca="false">IF($A1977="","",IF(N(M1977)=0,"–",IF(M1977&lt;=Start!$D$20,"A",IF(M1977&lt;=Start!$D$21,"B","C"))))</f>
        <v/>
      </c>
      <c r="O1977" s="48" t="str">
        <f aca="false">IF($A1977="","",IF(NOT(ISNUMBER(F1977)),"Wert fehlt; ",IF(F1977&lt;=0,"Wert ist 0; ",""))&amp;IF(NOT(ISNUMBER(E1977)),"Bestand fehlt; ",IF(E1977&lt;0,"Bestand negativ; ",IF(E1977=0,"Nullbestand; ","")))&amp;IF(D1977="","Warengruppe fehlt; ","")&amp;IF(B1977="","Bezeichnung fehlt; ","")&amp;IF(COUNTIFS($A$2:$A$5001,$A1977,$C$2:$C$5001,C1977)&gt;1,"Artikel doppelt im selben Lager; ",""))</f>
        <v/>
      </c>
      <c r="P1977" s="47" t="n">
        <f aca="false">IF(OR($A1977="",D1977=""),0,IF(COUNTIF($D$2:D1977,D1977)=1,SUMIF($D$2:$D$5001,D1977,$H$2:$H$5001)+ROW()/10000000,0))</f>
        <v>0</v>
      </c>
      <c r="Q1977" s="47" t="n">
        <f aca="false">IF(OR($A1977="",C1977=""),0,IF(COUNTIF($C$2:C1977,C1977)=1,SUMIF($C$2:$C$5001,C1977,$H$2:$H$5001)+ROW()/10000000,0))</f>
        <v>0</v>
      </c>
    </row>
    <row r="1978" customFormat="false" ht="15" hidden="false" customHeight="false" outlineLevel="0" collapsed="false">
      <c r="A1978" s="43"/>
      <c r="B1978" s="44"/>
      <c r="C1978" s="44"/>
      <c r="D1978" s="44"/>
      <c r="E1978" s="44"/>
      <c r="F1978" s="44"/>
      <c r="G1978" s="44"/>
      <c r="H1978" s="46" t="str">
        <f aca="false">IF($A1978="","",IF(OR(NOT(ISNUMBER(E1978)),NOT(ISNUMBER(F1978))),"",MAX(0,E1978)*F1978))</f>
        <v/>
      </c>
      <c r="I1978" s="46" t="str">
        <f aca="false">IF($A1978="","",SUMIF($A$2:$A$5001,$A1978,$H$2:$H$5001))</f>
        <v/>
      </c>
      <c r="J1978" s="47" t="n">
        <f aca="false">IF($A1978="",0,IF(COUNTIF($A$2:A1978,$A1978)=1,1,0))</f>
        <v>0</v>
      </c>
      <c r="K1978" s="47" t="n">
        <f aca="false">IF(J1978=1,N(I1978)+ROW()/10000000,0)</f>
        <v>0</v>
      </c>
      <c r="L1978" s="47" t="str">
        <f aca="false">IF(AND(J1978=1,N(I1978)&gt;0),SUMIF($K$2:$K$5001,"&gt;="&amp;K1978,$I$2:$I$5001)/MAX(1,SUM($H$2:$H$5001)),"")</f>
        <v/>
      </c>
      <c r="M1978" s="47" t="str">
        <f aca="false">IF($A1978="","",INDEX($L$2:$L$5001,MATCH($A1978,$A$2:$A$5001,0)))</f>
        <v/>
      </c>
      <c r="N1978" s="48" t="str">
        <f aca="false">IF($A1978="","",IF(N(M1978)=0,"–",IF(M1978&lt;=Start!$D$20,"A",IF(M1978&lt;=Start!$D$21,"B","C"))))</f>
        <v/>
      </c>
      <c r="O1978" s="48" t="str">
        <f aca="false">IF($A1978="","",IF(NOT(ISNUMBER(F1978)),"Wert fehlt; ",IF(F1978&lt;=0,"Wert ist 0; ",""))&amp;IF(NOT(ISNUMBER(E1978)),"Bestand fehlt; ",IF(E1978&lt;0,"Bestand negativ; ",IF(E1978=0,"Nullbestand; ","")))&amp;IF(D1978="","Warengruppe fehlt; ","")&amp;IF(B1978="","Bezeichnung fehlt; ","")&amp;IF(COUNTIFS($A$2:$A$5001,$A1978,$C$2:$C$5001,C1978)&gt;1,"Artikel doppelt im selben Lager; ",""))</f>
        <v/>
      </c>
      <c r="P1978" s="47" t="n">
        <f aca="false">IF(OR($A1978="",D1978=""),0,IF(COUNTIF($D$2:D1978,D1978)=1,SUMIF($D$2:$D$5001,D1978,$H$2:$H$5001)+ROW()/10000000,0))</f>
        <v>0</v>
      </c>
      <c r="Q1978" s="47" t="n">
        <f aca="false">IF(OR($A1978="",C1978=""),0,IF(COUNTIF($C$2:C1978,C1978)=1,SUMIF($C$2:$C$5001,C1978,$H$2:$H$5001)+ROW()/10000000,0))</f>
        <v>0</v>
      </c>
    </row>
    <row r="1979" customFormat="false" ht="15" hidden="false" customHeight="false" outlineLevel="0" collapsed="false">
      <c r="A1979" s="43"/>
      <c r="B1979" s="44"/>
      <c r="C1979" s="44"/>
      <c r="D1979" s="44"/>
      <c r="E1979" s="44"/>
      <c r="F1979" s="44"/>
      <c r="G1979" s="44"/>
      <c r="H1979" s="46" t="str">
        <f aca="false">IF($A1979="","",IF(OR(NOT(ISNUMBER(E1979)),NOT(ISNUMBER(F1979))),"",MAX(0,E1979)*F1979))</f>
        <v/>
      </c>
      <c r="I1979" s="46" t="str">
        <f aca="false">IF($A1979="","",SUMIF($A$2:$A$5001,$A1979,$H$2:$H$5001))</f>
        <v/>
      </c>
      <c r="J1979" s="47" t="n">
        <f aca="false">IF($A1979="",0,IF(COUNTIF($A$2:A1979,$A1979)=1,1,0))</f>
        <v>0</v>
      </c>
      <c r="K1979" s="47" t="n">
        <f aca="false">IF(J1979=1,N(I1979)+ROW()/10000000,0)</f>
        <v>0</v>
      </c>
      <c r="L1979" s="47" t="str">
        <f aca="false">IF(AND(J1979=1,N(I1979)&gt;0),SUMIF($K$2:$K$5001,"&gt;="&amp;K1979,$I$2:$I$5001)/MAX(1,SUM($H$2:$H$5001)),"")</f>
        <v/>
      </c>
      <c r="M1979" s="47" t="str">
        <f aca="false">IF($A1979="","",INDEX($L$2:$L$5001,MATCH($A1979,$A$2:$A$5001,0)))</f>
        <v/>
      </c>
      <c r="N1979" s="48" t="str">
        <f aca="false">IF($A1979="","",IF(N(M1979)=0,"–",IF(M1979&lt;=Start!$D$20,"A",IF(M1979&lt;=Start!$D$21,"B","C"))))</f>
        <v/>
      </c>
      <c r="O1979" s="48" t="str">
        <f aca="false">IF($A1979="","",IF(NOT(ISNUMBER(F1979)),"Wert fehlt; ",IF(F1979&lt;=0,"Wert ist 0; ",""))&amp;IF(NOT(ISNUMBER(E1979)),"Bestand fehlt; ",IF(E1979&lt;0,"Bestand negativ; ",IF(E1979=0,"Nullbestand; ","")))&amp;IF(D1979="","Warengruppe fehlt; ","")&amp;IF(B1979="","Bezeichnung fehlt; ","")&amp;IF(COUNTIFS($A$2:$A$5001,$A1979,$C$2:$C$5001,C1979)&gt;1,"Artikel doppelt im selben Lager; ",""))</f>
        <v/>
      </c>
      <c r="P1979" s="47" t="n">
        <f aca="false">IF(OR($A1979="",D1979=""),0,IF(COUNTIF($D$2:D1979,D1979)=1,SUMIF($D$2:$D$5001,D1979,$H$2:$H$5001)+ROW()/10000000,0))</f>
        <v>0</v>
      </c>
      <c r="Q1979" s="47" t="n">
        <f aca="false">IF(OR($A1979="",C1979=""),0,IF(COUNTIF($C$2:C1979,C1979)=1,SUMIF($C$2:$C$5001,C1979,$H$2:$H$5001)+ROW()/10000000,0))</f>
        <v>0</v>
      </c>
    </row>
    <row r="1980" customFormat="false" ht="15" hidden="false" customHeight="false" outlineLevel="0" collapsed="false">
      <c r="A1980" s="43"/>
      <c r="B1980" s="44"/>
      <c r="C1980" s="44"/>
      <c r="D1980" s="44"/>
      <c r="E1980" s="44"/>
      <c r="F1980" s="44"/>
      <c r="G1980" s="44"/>
      <c r="H1980" s="46" t="str">
        <f aca="false">IF($A1980="","",IF(OR(NOT(ISNUMBER(E1980)),NOT(ISNUMBER(F1980))),"",MAX(0,E1980)*F1980))</f>
        <v/>
      </c>
      <c r="I1980" s="46" t="str">
        <f aca="false">IF($A1980="","",SUMIF($A$2:$A$5001,$A1980,$H$2:$H$5001))</f>
        <v/>
      </c>
      <c r="J1980" s="47" t="n">
        <f aca="false">IF($A1980="",0,IF(COUNTIF($A$2:A1980,$A1980)=1,1,0))</f>
        <v>0</v>
      </c>
      <c r="K1980" s="47" t="n">
        <f aca="false">IF(J1980=1,N(I1980)+ROW()/10000000,0)</f>
        <v>0</v>
      </c>
      <c r="L1980" s="47" t="str">
        <f aca="false">IF(AND(J1980=1,N(I1980)&gt;0),SUMIF($K$2:$K$5001,"&gt;="&amp;K1980,$I$2:$I$5001)/MAX(1,SUM($H$2:$H$5001)),"")</f>
        <v/>
      </c>
      <c r="M1980" s="47" t="str">
        <f aca="false">IF($A1980="","",INDEX($L$2:$L$5001,MATCH($A1980,$A$2:$A$5001,0)))</f>
        <v/>
      </c>
      <c r="N1980" s="48" t="str">
        <f aca="false">IF($A1980="","",IF(N(M1980)=0,"–",IF(M1980&lt;=Start!$D$20,"A",IF(M1980&lt;=Start!$D$21,"B","C"))))</f>
        <v/>
      </c>
      <c r="O1980" s="48" t="str">
        <f aca="false">IF($A1980="","",IF(NOT(ISNUMBER(F1980)),"Wert fehlt; ",IF(F1980&lt;=0,"Wert ist 0; ",""))&amp;IF(NOT(ISNUMBER(E1980)),"Bestand fehlt; ",IF(E1980&lt;0,"Bestand negativ; ",IF(E1980=0,"Nullbestand; ","")))&amp;IF(D1980="","Warengruppe fehlt; ","")&amp;IF(B1980="","Bezeichnung fehlt; ","")&amp;IF(COUNTIFS($A$2:$A$5001,$A1980,$C$2:$C$5001,C1980)&gt;1,"Artikel doppelt im selben Lager; ",""))</f>
        <v/>
      </c>
      <c r="P1980" s="47" t="n">
        <f aca="false">IF(OR($A1980="",D1980=""),0,IF(COUNTIF($D$2:D1980,D1980)=1,SUMIF($D$2:$D$5001,D1980,$H$2:$H$5001)+ROW()/10000000,0))</f>
        <v>0</v>
      </c>
      <c r="Q1980" s="47" t="n">
        <f aca="false">IF(OR($A1980="",C1980=""),0,IF(COUNTIF($C$2:C1980,C1980)=1,SUMIF($C$2:$C$5001,C1980,$H$2:$H$5001)+ROW()/10000000,0))</f>
        <v>0</v>
      </c>
    </row>
    <row r="1981" customFormat="false" ht="15" hidden="false" customHeight="false" outlineLevel="0" collapsed="false">
      <c r="A1981" s="43"/>
      <c r="B1981" s="44"/>
      <c r="C1981" s="44"/>
      <c r="D1981" s="44"/>
      <c r="E1981" s="44"/>
      <c r="F1981" s="44"/>
      <c r="G1981" s="44"/>
      <c r="H1981" s="46" t="str">
        <f aca="false">IF($A1981="","",IF(OR(NOT(ISNUMBER(E1981)),NOT(ISNUMBER(F1981))),"",MAX(0,E1981)*F1981))</f>
        <v/>
      </c>
      <c r="I1981" s="46" t="str">
        <f aca="false">IF($A1981="","",SUMIF($A$2:$A$5001,$A1981,$H$2:$H$5001))</f>
        <v/>
      </c>
      <c r="J1981" s="47" t="n">
        <f aca="false">IF($A1981="",0,IF(COUNTIF($A$2:A1981,$A1981)=1,1,0))</f>
        <v>0</v>
      </c>
      <c r="K1981" s="47" t="n">
        <f aca="false">IF(J1981=1,N(I1981)+ROW()/10000000,0)</f>
        <v>0</v>
      </c>
      <c r="L1981" s="47" t="str">
        <f aca="false">IF(AND(J1981=1,N(I1981)&gt;0),SUMIF($K$2:$K$5001,"&gt;="&amp;K1981,$I$2:$I$5001)/MAX(1,SUM($H$2:$H$5001)),"")</f>
        <v/>
      </c>
      <c r="M1981" s="47" t="str">
        <f aca="false">IF($A1981="","",INDEX($L$2:$L$5001,MATCH($A1981,$A$2:$A$5001,0)))</f>
        <v/>
      </c>
      <c r="N1981" s="48" t="str">
        <f aca="false">IF($A1981="","",IF(N(M1981)=0,"–",IF(M1981&lt;=Start!$D$20,"A",IF(M1981&lt;=Start!$D$21,"B","C"))))</f>
        <v/>
      </c>
      <c r="O1981" s="48" t="str">
        <f aca="false">IF($A1981="","",IF(NOT(ISNUMBER(F1981)),"Wert fehlt; ",IF(F1981&lt;=0,"Wert ist 0; ",""))&amp;IF(NOT(ISNUMBER(E1981)),"Bestand fehlt; ",IF(E1981&lt;0,"Bestand negativ; ",IF(E1981=0,"Nullbestand; ","")))&amp;IF(D1981="","Warengruppe fehlt; ","")&amp;IF(B1981="","Bezeichnung fehlt; ","")&amp;IF(COUNTIFS($A$2:$A$5001,$A1981,$C$2:$C$5001,C1981)&gt;1,"Artikel doppelt im selben Lager; ",""))</f>
        <v/>
      </c>
      <c r="P1981" s="47" t="n">
        <f aca="false">IF(OR($A1981="",D1981=""),0,IF(COUNTIF($D$2:D1981,D1981)=1,SUMIF($D$2:$D$5001,D1981,$H$2:$H$5001)+ROW()/10000000,0))</f>
        <v>0</v>
      </c>
      <c r="Q1981" s="47" t="n">
        <f aca="false">IF(OR($A1981="",C1981=""),0,IF(COUNTIF($C$2:C1981,C1981)=1,SUMIF($C$2:$C$5001,C1981,$H$2:$H$5001)+ROW()/10000000,0))</f>
        <v>0</v>
      </c>
    </row>
    <row r="1982" customFormat="false" ht="15" hidden="false" customHeight="false" outlineLevel="0" collapsed="false">
      <c r="A1982" s="43"/>
      <c r="B1982" s="44"/>
      <c r="C1982" s="44"/>
      <c r="D1982" s="44"/>
      <c r="E1982" s="44"/>
      <c r="F1982" s="44"/>
      <c r="G1982" s="44"/>
      <c r="H1982" s="46" t="str">
        <f aca="false">IF($A1982="","",IF(OR(NOT(ISNUMBER(E1982)),NOT(ISNUMBER(F1982))),"",MAX(0,E1982)*F1982))</f>
        <v/>
      </c>
      <c r="I1982" s="46" t="str">
        <f aca="false">IF($A1982="","",SUMIF($A$2:$A$5001,$A1982,$H$2:$H$5001))</f>
        <v/>
      </c>
      <c r="J1982" s="47" t="n">
        <f aca="false">IF($A1982="",0,IF(COUNTIF($A$2:A1982,$A1982)=1,1,0))</f>
        <v>0</v>
      </c>
      <c r="K1982" s="47" t="n">
        <f aca="false">IF(J1982=1,N(I1982)+ROW()/10000000,0)</f>
        <v>0</v>
      </c>
      <c r="L1982" s="47" t="str">
        <f aca="false">IF(AND(J1982=1,N(I1982)&gt;0),SUMIF($K$2:$K$5001,"&gt;="&amp;K1982,$I$2:$I$5001)/MAX(1,SUM($H$2:$H$5001)),"")</f>
        <v/>
      </c>
      <c r="M1982" s="47" t="str">
        <f aca="false">IF($A1982="","",INDEX($L$2:$L$5001,MATCH($A1982,$A$2:$A$5001,0)))</f>
        <v/>
      </c>
      <c r="N1982" s="48" t="str">
        <f aca="false">IF($A1982="","",IF(N(M1982)=0,"–",IF(M1982&lt;=Start!$D$20,"A",IF(M1982&lt;=Start!$D$21,"B","C"))))</f>
        <v/>
      </c>
      <c r="O1982" s="48" t="str">
        <f aca="false">IF($A1982="","",IF(NOT(ISNUMBER(F1982)),"Wert fehlt; ",IF(F1982&lt;=0,"Wert ist 0; ",""))&amp;IF(NOT(ISNUMBER(E1982)),"Bestand fehlt; ",IF(E1982&lt;0,"Bestand negativ; ",IF(E1982=0,"Nullbestand; ","")))&amp;IF(D1982="","Warengruppe fehlt; ","")&amp;IF(B1982="","Bezeichnung fehlt; ","")&amp;IF(COUNTIFS($A$2:$A$5001,$A1982,$C$2:$C$5001,C1982)&gt;1,"Artikel doppelt im selben Lager; ",""))</f>
        <v/>
      </c>
      <c r="P1982" s="47" t="n">
        <f aca="false">IF(OR($A1982="",D1982=""),0,IF(COUNTIF($D$2:D1982,D1982)=1,SUMIF($D$2:$D$5001,D1982,$H$2:$H$5001)+ROW()/10000000,0))</f>
        <v>0</v>
      </c>
      <c r="Q1982" s="47" t="n">
        <f aca="false">IF(OR($A1982="",C1982=""),0,IF(COUNTIF($C$2:C1982,C1982)=1,SUMIF($C$2:$C$5001,C1982,$H$2:$H$5001)+ROW()/10000000,0))</f>
        <v>0</v>
      </c>
    </row>
    <row r="1983" customFormat="false" ht="15" hidden="false" customHeight="false" outlineLevel="0" collapsed="false">
      <c r="A1983" s="43"/>
      <c r="B1983" s="44"/>
      <c r="C1983" s="44"/>
      <c r="D1983" s="44"/>
      <c r="E1983" s="44"/>
      <c r="F1983" s="44"/>
      <c r="G1983" s="44"/>
      <c r="H1983" s="46" t="str">
        <f aca="false">IF($A1983="","",IF(OR(NOT(ISNUMBER(E1983)),NOT(ISNUMBER(F1983))),"",MAX(0,E1983)*F1983))</f>
        <v/>
      </c>
      <c r="I1983" s="46" t="str">
        <f aca="false">IF($A1983="","",SUMIF($A$2:$A$5001,$A1983,$H$2:$H$5001))</f>
        <v/>
      </c>
      <c r="J1983" s="47" t="n">
        <f aca="false">IF($A1983="",0,IF(COUNTIF($A$2:A1983,$A1983)=1,1,0))</f>
        <v>0</v>
      </c>
      <c r="K1983" s="47" t="n">
        <f aca="false">IF(J1983=1,N(I1983)+ROW()/10000000,0)</f>
        <v>0</v>
      </c>
      <c r="L1983" s="47" t="str">
        <f aca="false">IF(AND(J1983=1,N(I1983)&gt;0),SUMIF($K$2:$K$5001,"&gt;="&amp;K1983,$I$2:$I$5001)/MAX(1,SUM($H$2:$H$5001)),"")</f>
        <v/>
      </c>
      <c r="M1983" s="47" t="str">
        <f aca="false">IF($A1983="","",INDEX($L$2:$L$5001,MATCH($A1983,$A$2:$A$5001,0)))</f>
        <v/>
      </c>
      <c r="N1983" s="48" t="str">
        <f aca="false">IF($A1983="","",IF(N(M1983)=0,"–",IF(M1983&lt;=Start!$D$20,"A",IF(M1983&lt;=Start!$D$21,"B","C"))))</f>
        <v/>
      </c>
      <c r="O1983" s="48" t="str">
        <f aca="false">IF($A1983="","",IF(NOT(ISNUMBER(F1983)),"Wert fehlt; ",IF(F1983&lt;=0,"Wert ist 0; ",""))&amp;IF(NOT(ISNUMBER(E1983)),"Bestand fehlt; ",IF(E1983&lt;0,"Bestand negativ; ",IF(E1983=0,"Nullbestand; ","")))&amp;IF(D1983="","Warengruppe fehlt; ","")&amp;IF(B1983="","Bezeichnung fehlt; ","")&amp;IF(COUNTIFS($A$2:$A$5001,$A1983,$C$2:$C$5001,C1983)&gt;1,"Artikel doppelt im selben Lager; ",""))</f>
        <v/>
      </c>
      <c r="P1983" s="47" t="n">
        <f aca="false">IF(OR($A1983="",D1983=""),0,IF(COUNTIF($D$2:D1983,D1983)=1,SUMIF($D$2:$D$5001,D1983,$H$2:$H$5001)+ROW()/10000000,0))</f>
        <v>0</v>
      </c>
      <c r="Q1983" s="47" t="n">
        <f aca="false">IF(OR($A1983="",C1983=""),0,IF(COUNTIF($C$2:C1983,C1983)=1,SUMIF($C$2:$C$5001,C1983,$H$2:$H$5001)+ROW()/10000000,0))</f>
        <v>0</v>
      </c>
    </row>
    <row r="1984" customFormat="false" ht="15" hidden="false" customHeight="false" outlineLevel="0" collapsed="false">
      <c r="A1984" s="43"/>
      <c r="B1984" s="44"/>
      <c r="C1984" s="44"/>
      <c r="D1984" s="44"/>
      <c r="E1984" s="44"/>
      <c r="F1984" s="44"/>
      <c r="G1984" s="44"/>
      <c r="H1984" s="46" t="str">
        <f aca="false">IF($A1984="","",IF(OR(NOT(ISNUMBER(E1984)),NOT(ISNUMBER(F1984))),"",MAX(0,E1984)*F1984))</f>
        <v/>
      </c>
      <c r="I1984" s="46" t="str">
        <f aca="false">IF($A1984="","",SUMIF($A$2:$A$5001,$A1984,$H$2:$H$5001))</f>
        <v/>
      </c>
      <c r="J1984" s="47" t="n">
        <f aca="false">IF($A1984="",0,IF(COUNTIF($A$2:A1984,$A1984)=1,1,0))</f>
        <v>0</v>
      </c>
      <c r="K1984" s="47" t="n">
        <f aca="false">IF(J1984=1,N(I1984)+ROW()/10000000,0)</f>
        <v>0</v>
      </c>
      <c r="L1984" s="47" t="str">
        <f aca="false">IF(AND(J1984=1,N(I1984)&gt;0),SUMIF($K$2:$K$5001,"&gt;="&amp;K1984,$I$2:$I$5001)/MAX(1,SUM($H$2:$H$5001)),"")</f>
        <v/>
      </c>
      <c r="M1984" s="47" t="str">
        <f aca="false">IF($A1984="","",INDEX($L$2:$L$5001,MATCH($A1984,$A$2:$A$5001,0)))</f>
        <v/>
      </c>
      <c r="N1984" s="48" t="str">
        <f aca="false">IF($A1984="","",IF(N(M1984)=0,"–",IF(M1984&lt;=Start!$D$20,"A",IF(M1984&lt;=Start!$D$21,"B","C"))))</f>
        <v/>
      </c>
      <c r="O1984" s="48" t="str">
        <f aca="false">IF($A1984="","",IF(NOT(ISNUMBER(F1984)),"Wert fehlt; ",IF(F1984&lt;=0,"Wert ist 0; ",""))&amp;IF(NOT(ISNUMBER(E1984)),"Bestand fehlt; ",IF(E1984&lt;0,"Bestand negativ; ",IF(E1984=0,"Nullbestand; ","")))&amp;IF(D1984="","Warengruppe fehlt; ","")&amp;IF(B1984="","Bezeichnung fehlt; ","")&amp;IF(COUNTIFS($A$2:$A$5001,$A1984,$C$2:$C$5001,C1984)&gt;1,"Artikel doppelt im selben Lager; ",""))</f>
        <v/>
      </c>
      <c r="P1984" s="47" t="n">
        <f aca="false">IF(OR($A1984="",D1984=""),0,IF(COUNTIF($D$2:D1984,D1984)=1,SUMIF($D$2:$D$5001,D1984,$H$2:$H$5001)+ROW()/10000000,0))</f>
        <v>0</v>
      </c>
      <c r="Q1984" s="47" t="n">
        <f aca="false">IF(OR($A1984="",C1984=""),0,IF(COUNTIF($C$2:C1984,C1984)=1,SUMIF($C$2:$C$5001,C1984,$H$2:$H$5001)+ROW()/10000000,0))</f>
        <v>0</v>
      </c>
    </row>
    <row r="1985" customFormat="false" ht="15" hidden="false" customHeight="false" outlineLevel="0" collapsed="false">
      <c r="A1985" s="43"/>
      <c r="B1985" s="44"/>
      <c r="C1985" s="44"/>
      <c r="D1985" s="44"/>
      <c r="E1985" s="44"/>
      <c r="F1985" s="44"/>
      <c r="G1985" s="44"/>
      <c r="H1985" s="46" t="str">
        <f aca="false">IF($A1985="","",IF(OR(NOT(ISNUMBER(E1985)),NOT(ISNUMBER(F1985))),"",MAX(0,E1985)*F1985))</f>
        <v/>
      </c>
      <c r="I1985" s="46" t="str">
        <f aca="false">IF($A1985="","",SUMIF($A$2:$A$5001,$A1985,$H$2:$H$5001))</f>
        <v/>
      </c>
      <c r="J1985" s="47" t="n">
        <f aca="false">IF($A1985="",0,IF(COUNTIF($A$2:A1985,$A1985)=1,1,0))</f>
        <v>0</v>
      </c>
      <c r="K1985" s="47" t="n">
        <f aca="false">IF(J1985=1,N(I1985)+ROW()/10000000,0)</f>
        <v>0</v>
      </c>
      <c r="L1985" s="47" t="str">
        <f aca="false">IF(AND(J1985=1,N(I1985)&gt;0),SUMIF($K$2:$K$5001,"&gt;="&amp;K1985,$I$2:$I$5001)/MAX(1,SUM($H$2:$H$5001)),"")</f>
        <v/>
      </c>
      <c r="M1985" s="47" t="str">
        <f aca="false">IF($A1985="","",INDEX($L$2:$L$5001,MATCH($A1985,$A$2:$A$5001,0)))</f>
        <v/>
      </c>
      <c r="N1985" s="48" t="str">
        <f aca="false">IF($A1985="","",IF(N(M1985)=0,"–",IF(M1985&lt;=Start!$D$20,"A",IF(M1985&lt;=Start!$D$21,"B","C"))))</f>
        <v/>
      </c>
      <c r="O1985" s="48" t="str">
        <f aca="false">IF($A1985="","",IF(NOT(ISNUMBER(F1985)),"Wert fehlt; ",IF(F1985&lt;=0,"Wert ist 0; ",""))&amp;IF(NOT(ISNUMBER(E1985)),"Bestand fehlt; ",IF(E1985&lt;0,"Bestand negativ; ",IF(E1985=0,"Nullbestand; ","")))&amp;IF(D1985="","Warengruppe fehlt; ","")&amp;IF(B1985="","Bezeichnung fehlt; ","")&amp;IF(COUNTIFS($A$2:$A$5001,$A1985,$C$2:$C$5001,C1985)&gt;1,"Artikel doppelt im selben Lager; ",""))</f>
        <v/>
      </c>
      <c r="P1985" s="47" t="n">
        <f aca="false">IF(OR($A1985="",D1985=""),0,IF(COUNTIF($D$2:D1985,D1985)=1,SUMIF($D$2:$D$5001,D1985,$H$2:$H$5001)+ROW()/10000000,0))</f>
        <v>0</v>
      </c>
      <c r="Q1985" s="47" t="n">
        <f aca="false">IF(OR($A1985="",C1985=""),0,IF(COUNTIF($C$2:C1985,C1985)=1,SUMIF($C$2:$C$5001,C1985,$H$2:$H$5001)+ROW()/10000000,0))</f>
        <v>0</v>
      </c>
    </row>
    <row r="1986" customFormat="false" ht="15" hidden="false" customHeight="false" outlineLevel="0" collapsed="false">
      <c r="A1986" s="43"/>
      <c r="B1986" s="44"/>
      <c r="C1986" s="44"/>
      <c r="D1986" s="44"/>
      <c r="E1986" s="44"/>
      <c r="F1986" s="44"/>
      <c r="G1986" s="44"/>
      <c r="H1986" s="46" t="str">
        <f aca="false">IF($A1986="","",IF(OR(NOT(ISNUMBER(E1986)),NOT(ISNUMBER(F1986))),"",MAX(0,E1986)*F1986))</f>
        <v/>
      </c>
      <c r="I1986" s="46" t="str">
        <f aca="false">IF($A1986="","",SUMIF($A$2:$A$5001,$A1986,$H$2:$H$5001))</f>
        <v/>
      </c>
      <c r="J1986" s="47" t="n">
        <f aca="false">IF($A1986="",0,IF(COUNTIF($A$2:A1986,$A1986)=1,1,0))</f>
        <v>0</v>
      </c>
      <c r="K1986" s="47" t="n">
        <f aca="false">IF(J1986=1,N(I1986)+ROW()/10000000,0)</f>
        <v>0</v>
      </c>
      <c r="L1986" s="47" t="str">
        <f aca="false">IF(AND(J1986=1,N(I1986)&gt;0),SUMIF($K$2:$K$5001,"&gt;="&amp;K1986,$I$2:$I$5001)/MAX(1,SUM($H$2:$H$5001)),"")</f>
        <v/>
      </c>
      <c r="M1986" s="47" t="str">
        <f aca="false">IF($A1986="","",INDEX($L$2:$L$5001,MATCH($A1986,$A$2:$A$5001,0)))</f>
        <v/>
      </c>
      <c r="N1986" s="48" t="str">
        <f aca="false">IF($A1986="","",IF(N(M1986)=0,"–",IF(M1986&lt;=Start!$D$20,"A",IF(M1986&lt;=Start!$D$21,"B","C"))))</f>
        <v/>
      </c>
      <c r="O1986" s="48" t="str">
        <f aca="false">IF($A1986="","",IF(NOT(ISNUMBER(F1986)),"Wert fehlt; ",IF(F1986&lt;=0,"Wert ist 0; ",""))&amp;IF(NOT(ISNUMBER(E1986)),"Bestand fehlt; ",IF(E1986&lt;0,"Bestand negativ; ",IF(E1986=0,"Nullbestand; ","")))&amp;IF(D1986="","Warengruppe fehlt; ","")&amp;IF(B1986="","Bezeichnung fehlt; ","")&amp;IF(COUNTIFS($A$2:$A$5001,$A1986,$C$2:$C$5001,C1986)&gt;1,"Artikel doppelt im selben Lager; ",""))</f>
        <v/>
      </c>
      <c r="P1986" s="47" t="n">
        <f aca="false">IF(OR($A1986="",D1986=""),0,IF(COUNTIF($D$2:D1986,D1986)=1,SUMIF($D$2:$D$5001,D1986,$H$2:$H$5001)+ROW()/10000000,0))</f>
        <v>0</v>
      </c>
      <c r="Q1986" s="47" t="n">
        <f aca="false">IF(OR($A1986="",C1986=""),0,IF(COUNTIF($C$2:C1986,C1986)=1,SUMIF($C$2:$C$5001,C1986,$H$2:$H$5001)+ROW()/10000000,0))</f>
        <v>0</v>
      </c>
    </row>
    <row r="1987" customFormat="false" ht="15" hidden="false" customHeight="false" outlineLevel="0" collapsed="false">
      <c r="A1987" s="43"/>
      <c r="B1987" s="44"/>
      <c r="C1987" s="44"/>
      <c r="D1987" s="44"/>
      <c r="E1987" s="44"/>
      <c r="F1987" s="44"/>
      <c r="G1987" s="44"/>
      <c r="H1987" s="46" t="str">
        <f aca="false">IF($A1987="","",IF(OR(NOT(ISNUMBER(E1987)),NOT(ISNUMBER(F1987))),"",MAX(0,E1987)*F1987))</f>
        <v/>
      </c>
      <c r="I1987" s="46" t="str">
        <f aca="false">IF($A1987="","",SUMIF($A$2:$A$5001,$A1987,$H$2:$H$5001))</f>
        <v/>
      </c>
      <c r="J1987" s="47" t="n">
        <f aca="false">IF($A1987="",0,IF(COUNTIF($A$2:A1987,$A1987)=1,1,0))</f>
        <v>0</v>
      </c>
      <c r="K1987" s="47" t="n">
        <f aca="false">IF(J1987=1,N(I1987)+ROW()/10000000,0)</f>
        <v>0</v>
      </c>
      <c r="L1987" s="47" t="str">
        <f aca="false">IF(AND(J1987=1,N(I1987)&gt;0),SUMIF($K$2:$K$5001,"&gt;="&amp;K1987,$I$2:$I$5001)/MAX(1,SUM($H$2:$H$5001)),"")</f>
        <v/>
      </c>
      <c r="M1987" s="47" t="str">
        <f aca="false">IF($A1987="","",INDEX($L$2:$L$5001,MATCH($A1987,$A$2:$A$5001,0)))</f>
        <v/>
      </c>
      <c r="N1987" s="48" t="str">
        <f aca="false">IF($A1987="","",IF(N(M1987)=0,"–",IF(M1987&lt;=Start!$D$20,"A",IF(M1987&lt;=Start!$D$21,"B","C"))))</f>
        <v/>
      </c>
      <c r="O1987" s="48" t="str">
        <f aca="false">IF($A1987="","",IF(NOT(ISNUMBER(F1987)),"Wert fehlt; ",IF(F1987&lt;=0,"Wert ist 0; ",""))&amp;IF(NOT(ISNUMBER(E1987)),"Bestand fehlt; ",IF(E1987&lt;0,"Bestand negativ; ",IF(E1987=0,"Nullbestand; ","")))&amp;IF(D1987="","Warengruppe fehlt; ","")&amp;IF(B1987="","Bezeichnung fehlt; ","")&amp;IF(COUNTIFS($A$2:$A$5001,$A1987,$C$2:$C$5001,C1987)&gt;1,"Artikel doppelt im selben Lager; ",""))</f>
        <v/>
      </c>
      <c r="P1987" s="47" t="n">
        <f aca="false">IF(OR($A1987="",D1987=""),0,IF(COUNTIF($D$2:D1987,D1987)=1,SUMIF($D$2:$D$5001,D1987,$H$2:$H$5001)+ROW()/10000000,0))</f>
        <v>0</v>
      </c>
      <c r="Q1987" s="47" t="n">
        <f aca="false">IF(OR($A1987="",C1987=""),0,IF(COUNTIF($C$2:C1987,C1987)=1,SUMIF($C$2:$C$5001,C1987,$H$2:$H$5001)+ROW()/10000000,0))</f>
        <v>0</v>
      </c>
    </row>
    <row r="1988" customFormat="false" ht="15" hidden="false" customHeight="false" outlineLevel="0" collapsed="false">
      <c r="A1988" s="43"/>
      <c r="B1988" s="44"/>
      <c r="C1988" s="44"/>
      <c r="D1988" s="44"/>
      <c r="E1988" s="44"/>
      <c r="F1988" s="44"/>
      <c r="G1988" s="44"/>
      <c r="H1988" s="46" t="str">
        <f aca="false">IF($A1988="","",IF(OR(NOT(ISNUMBER(E1988)),NOT(ISNUMBER(F1988))),"",MAX(0,E1988)*F1988))</f>
        <v/>
      </c>
      <c r="I1988" s="46" t="str">
        <f aca="false">IF($A1988="","",SUMIF($A$2:$A$5001,$A1988,$H$2:$H$5001))</f>
        <v/>
      </c>
      <c r="J1988" s="47" t="n">
        <f aca="false">IF($A1988="",0,IF(COUNTIF($A$2:A1988,$A1988)=1,1,0))</f>
        <v>0</v>
      </c>
      <c r="K1988" s="47" t="n">
        <f aca="false">IF(J1988=1,N(I1988)+ROW()/10000000,0)</f>
        <v>0</v>
      </c>
      <c r="L1988" s="47" t="str">
        <f aca="false">IF(AND(J1988=1,N(I1988)&gt;0),SUMIF($K$2:$K$5001,"&gt;="&amp;K1988,$I$2:$I$5001)/MAX(1,SUM($H$2:$H$5001)),"")</f>
        <v/>
      </c>
      <c r="M1988" s="47" t="str">
        <f aca="false">IF($A1988="","",INDEX($L$2:$L$5001,MATCH($A1988,$A$2:$A$5001,0)))</f>
        <v/>
      </c>
      <c r="N1988" s="48" t="str">
        <f aca="false">IF($A1988="","",IF(N(M1988)=0,"–",IF(M1988&lt;=Start!$D$20,"A",IF(M1988&lt;=Start!$D$21,"B","C"))))</f>
        <v/>
      </c>
      <c r="O1988" s="48" t="str">
        <f aca="false">IF($A1988="","",IF(NOT(ISNUMBER(F1988)),"Wert fehlt; ",IF(F1988&lt;=0,"Wert ist 0; ",""))&amp;IF(NOT(ISNUMBER(E1988)),"Bestand fehlt; ",IF(E1988&lt;0,"Bestand negativ; ",IF(E1988=0,"Nullbestand; ","")))&amp;IF(D1988="","Warengruppe fehlt; ","")&amp;IF(B1988="","Bezeichnung fehlt; ","")&amp;IF(COUNTIFS($A$2:$A$5001,$A1988,$C$2:$C$5001,C1988)&gt;1,"Artikel doppelt im selben Lager; ",""))</f>
        <v/>
      </c>
      <c r="P1988" s="47" t="n">
        <f aca="false">IF(OR($A1988="",D1988=""),0,IF(COUNTIF($D$2:D1988,D1988)=1,SUMIF($D$2:$D$5001,D1988,$H$2:$H$5001)+ROW()/10000000,0))</f>
        <v>0</v>
      </c>
      <c r="Q1988" s="47" t="n">
        <f aca="false">IF(OR($A1988="",C1988=""),0,IF(COUNTIF($C$2:C1988,C1988)=1,SUMIF($C$2:$C$5001,C1988,$H$2:$H$5001)+ROW()/10000000,0))</f>
        <v>0</v>
      </c>
    </row>
    <row r="1989" customFormat="false" ht="15" hidden="false" customHeight="false" outlineLevel="0" collapsed="false">
      <c r="A1989" s="43"/>
      <c r="B1989" s="44"/>
      <c r="C1989" s="44"/>
      <c r="D1989" s="44"/>
      <c r="E1989" s="44"/>
      <c r="F1989" s="44"/>
      <c r="G1989" s="44"/>
      <c r="H1989" s="46" t="str">
        <f aca="false">IF($A1989="","",IF(OR(NOT(ISNUMBER(E1989)),NOT(ISNUMBER(F1989))),"",MAX(0,E1989)*F1989))</f>
        <v/>
      </c>
      <c r="I1989" s="46" t="str">
        <f aca="false">IF($A1989="","",SUMIF($A$2:$A$5001,$A1989,$H$2:$H$5001))</f>
        <v/>
      </c>
      <c r="J1989" s="47" t="n">
        <f aca="false">IF($A1989="",0,IF(COUNTIF($A$2:A1989,$A1989)=1,1,0))</f>
        <v>0</v>
      </c>
      <c r="K1989" s="47" t="n">
        <f aca="false">IF(J1989=1,N(I1989)+ROW()/10000000,0)</f>
        <v>0</v>
      </c>
      <c r="L1989" s="47" t="str">
        <f aca="false">IF(AND(J1989=1,N(I1989)&gt;0),SUMIF($K$2:$K$5001,"&gt;="&amp;K1989,$I$2:$I$5001)/MAX(1,SUM($H$2:$H$5001)),"")</f>
        <v/>
      </c>
      <c r="M1989" s="47" t="str">
        <f aca="false">IF($A1989="","",INDEX($L$2:$L$5001,MATCH($A1989,$A$2:$A$5001,0)))</f>
        <v/>
      </c>
      <c r="N1989" s="48" t="str">
        <f aca="false">IF($A1989="","",IF(N(M1989)=0,"–",IF(M1989&lt;=Start!$D$20,"A",IF(M1989&lt;=Start!$D$21,"B","C"))))</f>
        <v/>
      </c>
      <c r="O1989" s="48" t="str">
        <f aca="false">IF($A1989="","",IF(NOT(ISNUMBER(F1989)),"Wert fehlt; ",IF(F1989&lt;=0,"Wert ist 0; ",""))&amp;IF(NOT(ISNUMBER(E1989)),"Bestand fehlt; ",IF(E1989&lt;0,"Bestand negativ; ",IF(E1989=0,"Nullbestand; ","")))&amp;IF(D1989="","Warengruppe fehlt; ","")&amp;IF(B1989="","Bezeichnung fehlt; ","")&amp;IF(COUNTIFS($A$2:$A$5001,$A1989,$C$2:$C$5001,C1989)&gt;1,"Artikel doppelt im selben Lager; ",""))</f>
        <v/>
      </c>
      <c r="P1989" s="47" t="n">
        <f aca="false">IF(OR($A1989="",D1989=""),0,IF(COUNTIF($D$2:D1989,D1989)=1,SUMIF($D$2:$D$5001,D1989,$H$2:$H$5001)+ROW()/10000000,0))</f>
        <v>0</v>
      </c>
      <c r="Q1989" s="47" t="n">
        <f aca="false">IF(OR($A1989="",C1989=""),0,IF(COUNTIF($C$2:C1989,C1989)=1,SUMIF($C$2:$C$5001,C1989,$H$2:$H$5001)+ROW()/10000000,0))</f>
        <v>0</v>
      </c>
    </row>
    <row r="1990" customFormat="false" ht="15" hidden="false" customHeight="false" outlineLevel="0" collapsed="false">
      <c r="A1990" s="43"/>
      <c r="B1990" s="44"/>
      <c r="C1990" s="44"/>
      <c r="D1990" s="44"/>
      <c r="E1990" s="44"/>
      <c r="F1990" s="44"/>
      <c r="G1990" s="44"/>
      <c r="H1990" s="46" t="str">
        <f aca="false">IF($A1990="","",IF(OR(NOT(ISNUMBER(E1990)),NOT(ISNUMBER(F1990))),"",MAX(0,E1990)*F1990))</f>
        <v/>
      </c>
      <c r="I1990" s="46" t="str">
        <f aca="false">IF($A1990="","",SUMIF($A$2:$A$5001,$A1990,$H$2:$H$5001))</f>
        <v/>
      </c>
      <c r="J1990" s="47" t="n">
        <f aca="false">IF($A1990="",0,IF(COUNTIF($A$2:A1990,$A1990)=1,1,0))</f>
        <v>0</v>
      </c>
      <c r="K1990" s="47" t="n">
        <f aca="false">IF(J1990=1,N(I1990)+ROW()/10000000,0)</f>
        <v>0</v>
      </c>
      <c r="L1990" s="47" t="str">
        <f aca="false">IF(AND(J1990=1,N(I1990)&gt;0),SUMIF($K$2:$K$5001,"&gt;="&amp;K1990,$I$2:$I$5001)/MAX(1,SUM($H$2:$H$5001)),"")</f>
        <v/>
      </c>
      <c r="M1990" s="47" t="str">
        <f aca="false">IF($A1990="","",INDEX($L$2:$L$5001,MATCH($A1990,$A$2:$A$5001,0)))</f>
        <v/>
      </c>
      <c r="N1990" s="48" t="str">
        <f aca="false">IF($A1990="","",IF(N(M1990)=0,"–",IF(M1990&lt;=Start!$D$20,"A",IF(M1990&lt;=Start!$D$21,"B","C"))))</f>
        <v/>
      </c>
      <c r="O1990" s="48" t="str">
        <f aca="false">IF($A1990="","",IF(NOT(ISNUMBER(F1990)),"Wert fehlt; ",IF(F1990&lt;=0,"Wert ist 0; ",""))&amp;IF(NOT(ISNUMBER(E1990)),"Bestand fehlt; ",IF(E1990&lt;0,"Bestand negativ; ",IF(E1990=0,"Nullbestand; ","")))&amp;IF(D1990="","Warengruppe fehlt; ","")&amp;IF(B1990="","Bezeichnung fehlt; ","")&amp;IF(COUNTIFS($A$2:$A$5001,$A1990,$C$2:$C$5001,C1990)&gt;1,"Artikel doppelt im selben Lager; ",""))</f>
        <v/>
      </c>
      <c r="P1990" s="47" t="n">
        <f aca="false">IF(OR($A1990="",D1990=""),0,IF(COUNTIF($D$2:D1990,D1990)=1,SUMIF($D$2:$D$5001,D1990,$H$2:$H$5001)+ROW()/10000000,0))</f>
        <v>0</v>
      </c>
      <c r="Q1990" s="47" t="n">
        <f aca="false">IF(OR($A1990="",C1990=""),0,IF(COUNTIF($C$2:C1990,C1990)=1,SUMIF($C$2:$C$5001,C1990,$H$2:$H$5001)+ROW()/10000000,0))</f>
        <v>0</v>
      </c>
    </row>
    <row r="1991" customFormat="false" ht="15" hidden="false" customHeight="false" outlineLevel="0" collapsed="false">
      <c r="A1991" s="43"/>
      <c r="B1991" s="44"/>
      <c r="C1991" s="44"/>
      <c r="D1991" s="44"/>
      <c r="E1991" s="44"/>
      <c r="F1991" s="44"/>
      <c r="G1991" s="44"/>
      <c r="H1991" s="46" t="str">
        <f aca="false">IF($A1991="","",IF(OR(NOT(ISNUMBER(E1991)),NOT(ISNUMBER(F1991))),"",MAX(0,E1991)*F1991))</f>
        <v/>
      </c>
      <c r="I1991" s="46" t="str">
        <f aca="false">IF($A1991="","",SUMIF($A$2:$A$5001,$A1991,$H$2:$H$5001))</f>
        <v/>
      </c>
      <c r="J1991" s="47" t="n">
        <f aca="false">IF($A1991="",0,IF(COUNTIF($A$2:A1991,$A1991)=1,1,0))</f>
        <v>0</v>
      </c>
      <c r="K1991" s="47" t="n">
        <f aca="false">IF(J1991=1,N(I1991)+ROW()/10000000,0)</f>
        <v>0</v>
      </c>
      <c r="L1991" s="47" t="str">
        <f aca="false">IF(AND(J1991=1,N(I1991)&gt;0),SUMIF($K$2:$K$5001,"&gt;="&amp;K1991,$I$2:$I$5001)/MAX(1,SUM($H$2:$H$5001)),"")</f>
        <v/>
      </c>
      <c r="M1991" s="47" t="str">
        <f aca="false">IF($A1991="","",INDEX($L$2:$L$5001,MATCH($A1991,$A$2:$A$5001,0)))</f>
        <v/>
      </c>
      <c r="N1991" s="48" t="str">
        <f aca="false">IF($A1991="","",IF(N(M1991)=0,"–",IF(M1991&lt;=Start!$D$20,"A",IF(M1991&lt;=Start!$D$21,"B","C"))))</f>
        <v/>
      </c>
      <c r="O1991" s="48" t="str">
        <f aca="false">IF($A1991="","",IF(NOT(ISNUMBER(F1991)),"Wert fehlt; ",IF(F1991&lt;=0,"Wert ist 0; ",""))&amp;IF(NOT(ISNUMBER(E1991)),"Bestand fehlt; ",IF(E1991&lt;0,"Bestand negativ; ",IF(E1991=0,"Nullbestand; ","")))&amp;IF(D1991="","Warengruppe fehlt; ","")&amp;IF(B1991="","Bezeichnung fehlt; ","")&amp;IF(COUNTIFS($A$2:$A$5001,$A1991,$C$2:$C$5001,C1991)&gt;1,"Artikel doppelt im selben Lager; ",""))</f>
        <v/>
      </c>
      <c r="P1991" s="47" t="n">
        <f aca="false">IF(OR($A1991="",D1991=""),0,IF(COUNTIF($D$2:D1991,D1991)=1,SUMIF($D$2:$D$5001,D1991,$H$2:$H$5001)+ROW()/10000000,0))</f>
        <v>0</v>
      </c>
      <c r="Q1991" s="47" t="n">
        <f aca="false">IF(OR($A1991="",C1991=""),0,IF(COUNTIF($C$2:C1991,C1991)=1,SUMIF($C$2:$C$5001,C1991,$H$2:$H$5001)+ROW()/10000000,0))</f>
        <v>0</v>
      </c>
    </row>
    <row r="1992" customFormat="false" ht="15" hidden="false" customHeight="false" outlineLevel="0" collapsed="false">
      <c r="A1992" s="43"/>
      <c r="B1992" s="44"/>
      <c r="C1992" s="44"/>
      <c r="D1992" s="44"/>
      <c r="E1992" s="44"/>
      <c r="F1992" s="44"/>
      <c r="G1992" s="44"/>
      <c r="H1992" s="46" t="str">
        <f aca="false">IF($A1992="","",IF(OR(NOT(ISNUMBER(E1992)),NOT(ISNUMBER(F1992))),"",MAX(0,E1992)*F1992))</f>
        <v/>
      </c>
      <c r="I1992" s="46" t="str">
        <f aca="false">IF($A1992="","",SUMIF($A$2:$A$5001,$A1992,$H$2:$H$5001))</f>
        <v/>
      </c>
      <c r="J1992" s="47" t="n">
        <f aca="false">IF($A1992="",0,IF(COUNTIF($A$2:A1992,$A1992)=1,1,0))</f>
        <v>0</v>
      </c>
      <c r="K1992" s="47" t="n">
        <f aca="false">IF(J1992=1,N(I1992)+ROW()/10000000,0)</f>
        <v>0</v>
      </c>
      <c r="L1992" s="47" t="str">
        <f aca="false">IF(AND(J1992=1,N(I1992)&gt;0),SUMIF($K$2:$K$5001,"&gt;="&amp;K1992,$I$2:$I$5001)/MAX(1,SUM($H$2:$H$5001)),"")</f>
        <v/>
      </c>
      <c r="M1992" s="47" t="str">
        <f aca="false">IF($A1992="","",INDEX($L$2:$L$5001,MATCH($A1992,$A$2:$A$5001,0)))</f>
        <v/>
      </c>
      <c r="N1992" s="48" t="str">
        <f aca="false">IF($A1992="","",IF(N(M1992)=0,"–",IF(M1992&lt;=Start!$D$20,"A",IF(M1992&lt;=Start!$D$21,"B","C"))))</f>
        <v/>
      </c>
      <c r="O1992" s="48" t="str">
        <f aca="false">IF($A1992="","",IF(NOT(ISNUMBER(F1992)),"Wert fehlt; ",IF(F1992&lt;=0,"Wert ist 0; ",""))&amp;IF(NOT(ISNUMBER(E1992)),"Bestand fehlt; ",IF(E1992&lt;0,"Bestand negativ; ",IF(E1992=0,"Nullbestand; ","")))&amp;IF(D1992="","Warengruppe fehlt; ","")&amp;IF(B1992="","Bezeichnung fehlt; ","")&amp;IF(COUNTIFS($A$2:$A$5001,$A1992,$C$2:$C$5001,C1992)&gt;1,"Artikel doppelt im selben Lager; ",""))</f>
        <v/>
      </c>
      <c r="P1992" s="47" t="n">
        <f aca="false">IF(OR($A1992="",D1992=""),0,IF(COUNTIF($D$2:D1992,D1992)=1,SUMIF($D$2:$D$5001,D1992,$H$2:$H$5001)+ROW()/10000000,0))</f>
        <v>0</v>
      </c>
      <c r="Q1992" s="47" t="n">
        <f aca="false">IF(OR($A1992="",C1992=""),0,IF(COUNTIF($C$2:C1992,C1992)=1,SUMIF($C$2:$C$5001,C1992,$H$2:$H$5001)+ROW()/10000000,0))</f>
        <v>0</v>
      </c>
    </row>
    <row r="1993" customFormat="false" ht="15" hidden="false" customHeight="false" outlineLevel="0" collapsed="false">
      <c r="A1993" s="43"/>
      <c r="B1993" s="44"/>
      <c r="C1993" s="44"/>
      <c r="D1993" s="44"/>
      <c r="E1993" s="44"/>
      <c r="F1993" s="44"/>
      <c r="G1993" s="44"/>
      <c r="H1993" s="46" t="str">
        <f aca="false">IF($A1993="","",IF(OR(NOT(ISNUMBER(E1993)),NOT(ISNUMBER(F1993))),"",MAX(0,E1993)*F1993))</f>
        <v/>
      </c>
      <c r="I1993" s="46" t="str">
        <f aca="false">IF($A1993="","",SUMIF($A$2:$A$5001,$A1993,$H$2:$H$5001))</f>
        <v/>
      </c>
      <c r="J1993" s="47" t="n">
        <f aca="false">IF($A1993="",0,IF(COUNTIF($A$2:A1993,$A1993)=1,1,0))</f>
        <v>0</v>
      </c>
      <c r="K1993" s="47" t="n">
        <f aca="false">IF(J1993=1,N(I1993)+ROW()/10000000,0)</f>
        <v>0</v>
      </c>
      <c r="L1993" s="47" t="str">
        <f aca="false">IF(AND(J1993=1,N(I1993)&gt;0),SUMIF($K$2:$K$5001,"&gt;="&amp;K1993,$I$2:$I$5001)/MAX(1,SUM($H$2:$H$5001)),"")</f>
        <v/>
      </c>
      <c r="M1993" s="47" t="str">
        <f aca="false">IF($A1993="","",INDEX($L$2:$L$5001,MATCH($A1993,$A$2:$A$5001,0)))</f>
        <v/>
      </c>
      <c r="N1993" s="48" t="str">
        <f aca="false">IF($A1993="","",IF(N(M1993)=0,"–",IF(M1993&lt;=Start!$D$20,"A",IF(M1993&lt;=Start!$D$21,"B","C"))))</f>
        <v/>
      </c>
      <c r="O1993" s="48" t="str">
        <f aca="false">IF($A1993="","",IF(NOT(ISNUMBER(F1993)),"Wert fehlt; ",IF(F1993&lt;=0,"Wert ist 0; ",""))&amp;IF(NOT(ISNUMBER(E1993)),"Bestand fehlt; ",IF(E1993&lt;0,"Bestand negativ; ",IF(E1993=0,"Nullbestand; ","")))&amp;IF(D1993="","Warengruppe fehlt; ","")&amp;IF(B1993="","Bezeichnung fehlt; ","")&amp;IF(COUNTIFS($A$2:$A$5001,$A1993,$C$2:$C$5001,C1993)&gt;1,"Artikel doppelt im selben Lager; ",""))</f>
        <v/>
      </c>
      <c r="P1993" s="47" t="n">
        <f aca="false">IF(OR($A1993="",D1993=""),0,IF(COUNTIF($D$2:D1993,D1993)=1,SUMIF($D$2:$D$5001,D1993,$H$2:$H$5001)+ROW()/10000000,0))</f>
        <v>0</v>
      </c>
      <c r="Q1993" s="47" t="n">
        <f aca="false">IF(OR($A1993="",C1993=""),0,IF(COUNTIF($C$2:C1993,C1993)=1,SUMIF($C$2:$C$5001,C1993,$H$2:$H$5001)+ROW()/10000000,0))</f>
        <v>0</v>
      </c>
    </row>
    <row r="1994" customFormat="false" ht="15" hidden="false" customHeight="false" outlineLevel="0" collapsed="false">
      <c r="A1994" s="43"/>
      <c r="B1994" s="44"/>
      <c r="C1994" s="44"/>
      <c r="D1994" s="44"/>
      <c r="E1994" s="44"/>
      <c r="F1994" s="44"/>
      <c r="G1994" s="44"/>
      <c r="H1994" s="46" t="str">
        <f aca="false">IF($A1994="","",IF(OR(NOT(ISNUMBER(E1994)),NOT(ISNUMBER(F1994))),"",MAX(0,E1994)*F1994))</f>
        <v/>
      </c>
      <c r="I1994" s="46" t="str">
        <f aca="false">IF($A1994="","",SUMIF($A$2:$A$5001,$A1994,$H$2:$H$5001))</f>
        <v/>
      </c>
      <c r="J1994" s="47" t="n">
        <f aca="false">IF($A1994="",0,IF(COUNTIF($A$2:A1994,$A1994)=1,1,0))</f>
        <v>0</v>
      </c>
      <c r="K1994" s="47" t="n">
        <f aca="false">IF(J1994=1,N(I1994)+ROW()/10000000,0)</f>
        <v>0</v>
      </c>
      <c r="L1994" s="47" t="str">
        <f aca="false">IF(AND(J1994=1,N(I1994)&gt;0),SUMIF($K$2:$K$5001,"&gt;="&amp;K1994,$I$2:$I$5001)/MAX(1,SUM($H$2:$H$5001)),"")</f>
        <v/>
      </c>
      <c r="M1994" s="47" t="str">
        <f aca="false">IF($A1994="","",INDEX($L$2:$L$5001,MATCH($A1994,$A$2:$A$5001,0)))</f>
        <v/>
      </c>
      <c r="N1994" s="48" t="str">
        <f aca="false">IF($A1994="","",IF(N(M1994)=0,"–",IF(M1994&lt;=Start!$D$20,"A",IF(M1994&lt;=Start!$D$21,"B","C"))))</f>
        <v/>
      </c>
      <c r="O1994" s="48" t="str">
        <f aca="false">IF($A1994="","",IF(NOT(ISNUMBER(F1994)),"Wert fehlt; ",IF(F1994&lt;=0,"Wert ist 0; ",""))&amp;IF(NOT(ISNUMBER(E1994)),"Bestand fehlt; ",IF(E1994&lt;0,"Bestand negativ; ",IF(E1994=0,"Nullbestand; ","")))&amp;IF(D1994="","Warengruppe fehlt; ","")&amp;IF(B1994="","Bezeichnung fehlt; ","")&amp;IF(COUNTIFS($A$2:$A$5001,$A1994,$C$2:$C$5001,C1994)&gt;1,"Artikel doppelt im selben Lager; ",""))</f>
        <v/>
      </c>
      <c r="P1994" s="47" t="n">
        <f aca="false">IF(OR($A1994="",D1994=""),0,IF(COUNTIF($D$2:D1994,D1994)=1,SUMIF($D$2:$D$5001,D1994,$H$2:$H$5001)+ROW()/10000000,0))</f>
        <v>0</v>
      </c>
      <c r="Q1994" s="47" t="n">
        <f aca="false">IF(OR($A1994="",C1994=""),0,IF(COUNTIF($C$2:C1994,C1994)=1,SUMIF($C$2:$C$5001,C1994,$H$2:$H$5001)+ROW()/10000000,0))</f>
        <v>0</v>
      </c>
    </row>
    <row r="1995" customFormat="false" ht="15" hidden="false" customHeight="false" outlineLevel="0" collapsed="false">
      <c r="A1995" s="43"/>
      <c r="B1995" s="44"/>
      <c r="C1995" s="44"/>
      <c r="D1995" s="44"/>
      <c r="E1995" s="44"/>
      <c r="F1995" s="44"/>
      <c r="G1995" s="44"/>
      <c r="H1995" s="46" t="str">
        <f aca="false">IF($A1995="","",IF(OR(NOT(ISNUMBER(E1995)),NOT(ISNUMBER(F1995))),"",MAX(0,E1995)*F1995))</f>
        <v/>
      </c>
      <c r="I1995" s="46" t="str">
        <f aca="false">IF($A1995="","",SUMIF($A$2:$A$5001,$A1995,$H$2:$H$5001))</f>
        <v/>
      </c>
      <c r="J1995" s="47" t="n">
        <f aca="false">IF($A1995="",0,IF(COUNTIF($A$2:A1995,$A1995)=1,1,0))</f>
        <v>0</v>
      </c>
      <c r="K1995" s="47" t="n">
        <f aca="false">IF(J1995=1,N(I1995)+ROW()/10000000,0)</f>
        <v>0</v>
      </c>
      <c r="L1995" s="47" t="str">
        <f aca="false">IF(AND(J1995=1,N(I1995)&gt;0),SUMIF($K$2:$K$5001,"&gt;="&amp;K1995,$I$2:$I$5001)/MAX(1,SUM($H$2:$H$5001)),"")</f>
        <v/>
      </c>
      <c r="M1995" s="47" t="str">
        <f aca="false">IF($A1995="","",INDEX($L$2:$L$5001,MATCH($A1995,$A$2:$A$5001,0)))</f>
        <v/>
      </c>
      <c r="N1995" s="48" t="str">
        <f aca="false">IF($A1995="","",IF(N(M1995)=0,"–",IF(M1995&lt;=Start!$D$20,"A",IF(M1995&lt;=Start!$D$21,"B","C"))))</f>
        <v/>
      </c>
      <c r="O1995" s="48" t="str">
        <f aca="false">IF($A1995="","",IF(NOT(ISNUMBER(F1995)),"Wert fehlt; ",IF(F1995&lt;=0,"Wert ist 0; ",""))&amp;IF(NOT(ISNUMBER(E1995)),"Bestand fehlt; ",IF(E1995&lt;0,"Bestand negativ; ",IF(E1995=0,"Nullbestand; ","")))&amp;IF(D1995="","Warengruppe fehlt; ","")&amp;IF(B1995="","Bezeichnung fehlt; ","")&amp;IF(COUNTIFS($A$2:$A$5001,$A1995,$C$2:$C$5001,C1995)&gt;1,"Artikel doppelt im selben Lager; ",""))</f>
        <v/>
      </c>
      <c r="P1995" s="47" t="n">
        <f aca="false">IF(OR($A1995="",D1995=""),0,IF(COUNTIF($D$2:D1995,D1995)=1,SUMIF($D$2:$D$5001,D1995,$H$2:$H$5001)+ROW()/10000000,0))</f>
        <v>0</v>
      </c>
      <c r="Q1995" s="47" t="n">
        <f aca="false">IF(OR($A1995="",C1995=""),0,IF(COUNTIF($C$2:C1995,C1995)=1,SUMIF($C$2:$C$5001,C1995,$H$2:$H$5001)+ROW()/10000000,0))</f>
        <v>0</v>
      </c>
    </row>
    <row r="1996" customFormat="false" ht="15" hidden="false" customHeight="false" outlineLevel="0" collapsed="false">
      <c r="A1996" s="43"/>
      <c r="B1996" s="44"/>
      <c r="C1996" s="44"/>
      <c r="D1996" s="44"/>
      <c r="E1996" s="44"/>
      <c r="F1996" s="44"/>
      <c r="G1996" s="44"/>
      <c r="H1996" s="46" t="str">
        <f aca="false">IF($A1996="","",IF(OR(NOT(ISNUMBER(E1996)),NOT(ISNUMBER(F1996))),"",MAX(0,E1996)*F1996))</f>
        <v/>
      </c>
      <c r="I1996" s="46" t="str">
        <f aca="false">IF($A1996="","",SUMIF($A$2:$A$5001,$A1996,$H$2:$H$5001))</f>
        <v/>
      </c>
      <c r="J1996" s="47" t="n">
        <f aca="false">IF($A1996="",0,IF(COUNTIF($A$2:A1996,$A1996)=1,1,0))</f>
        <v>0</v>
      </c>
      <c r="K1996" s="47" t="n">
        <f aca="false">IF(J1996=1,N(I1996)+ROW()/10000000,0)</f>
        <v>0</v>
      </c>
      <c r="L1996" s="47" t="str">
        <f aca="false">IF(AND(J1996=1,N(I1996)&gt;0),SUMIF($K$2:$K$5001,"&gt;="&amp;K1996,$I$2:$I$5001)/MAX(1,SUM($H$2:$H$5001)),"")</f>
        <v/>
      </c>
      <c r="M1996" s="47" t="str">
        <f aca="false">IF($A1996="","",INDEX($L$2:$L$5001,MATCH($A1996,$A$2:$A$5001,0)))</f>
        <v/>
      </c>
      <c r="N1996" s="48" t="str">
        <f aca="false">IF($A1996="","",IF(N(M1996)=0,"–",IF(M1996&lt;=Start!$D$20,"A",IF(M1996&lt;=Start!$D$21,"B","C"))))</f>
        <v/>
      </c>
      <c r="O1996" s="48" t="str">
        <f aca="false">IF($A1996="","",IF(NOT(ISNUMBER(F1996)),"Wert fehlt; ",IF(F1996&lt;=0,"Wert ist 0; ",""))&amp;IF(NOT(ISNUMBER(E1996)),"Bestand fehlt; ",IF(E1996&lt;0,"Bestand negativ; ",IF(E1996=0,"Nullbestand; ","")))&amp;IF(D1996="","Warengruppe fehlt; ","")&amp;IF(B1996="","Bezeichnung fehlt; ","")&amp;IF(COUNTIFS($A$2:$A$5001,$A1996,$C$2:$C$5001,C1996)&gt;1,"Artikel doppelt im selben Lager; ",""))</f>
        <v/>
      </c>
      <c r="P1996" s="47" t="n">
        <f aca="false">IF(OR($A1996="",D1996=""),0,IF(COUNTIF($D$2:D1996,D1996)=1,SUMIF($D$2:$D$5001,D1996,$H$2:$H$5001)+ROW()/10000000,0))</f>
        <v>0</v>
      </c>
      <c r="Q1996" s="47" t="n">
        <f aca="false">IF(OR($A1996="",C1996=""),0,IF(COUNTIF($C$2:C1996,C1996)=1,SUMIF($C$2:$C$5001,C1996,$H$2:$H$5001)+ROW()/10000000,0))</f>
        <v>0</v>
      </c>
    </row>
    <row r="1997" customFormat="false" ht="15" hidden="false" customHeight="false" outlineLevel="0" collapsed="false">
      <c r="A1997" s="43"/>
      <c r="B1997" s="44"/>
      <c r="C1997" s="44"/>
      <c r="D1997" s="44"/>
      <c r="E1997" s="44"/>
      <c r="F1997" s="44"/>
      <c r="G1997" s="44"/>
      <c r="H1997" s="46" t="str">
        <f aca="false">IF($A1997="","",IF(OR(NOT(ISNUMBER(E1997)),NOT(ISNUMBER(F1997))),"",MAX(0,E1997)*F1997))</f>
        <v/>
      </c>
      <c r="I1997" s="46" t="str">
        <f aca="false">IF($A1997="","",SUMIF($A$2:$A$5001,$A1997,$H$2:$H$5001))</f>
        <v/>
      </c>
      <c r="J1997" s="47" t="n">
        <f aca="false">IF($A1997="",0,IF(COUNTIF($A$2:A1997,$A1997)=1,1,0))</f>
        <v>0</v>
      </c>
      <c r="K1997" s="47" t="n">
        <f aca="false">IF(J1997=1,N(I1997)+ROW()/10000000,0)</f>
        <v>0</v>
      </c>
      <c r="L1997" s="47" t="str">
        <f aca="false">IF(AND(J1997=1,N(I1997)&gt;0),SUMIF($K$2:$K$5001,"&gt;="&amp;K1997,$I$2:$I$5001)/MAX(1,SUM($H$2:$H$5001)),"")</f>
        <v/>
      </c>
      <c r="M1997" s="47" t="str">
        <f aca="false">IF($A1997="","",INDEX($L$2:$L$5001,MATCH($A1997,$A$2:$A$5001,0)))</f>
        <v/>
      </c>
      <c r="N1997" s="48" t="str">
        <f aca="false">IF($A1997="","",IF(N(M1997)=0,"–",IF(M1997&lt;=Start!$D$20,"A",IF(M1997&lt;=Start!$D$21,"B","C"))))</f>
        <v/>
      </c>
      <c r="O1997" s="48" t="str">
        <f aca="false">IF($A1997="","",IF(NOT(ISNUMBER(F1997)),"Wert fehlt; ",IF(F1997&lt;=0,"Wert ist 0; ",""))&amp;IF(NOT(ISNUMBER(E1997)),"Bestand fehlt; ",IF(E1997&lt;0,"Bestand negativ; ",IF(E1997=0,"Nullbestand; ","")))&amp;IF(D1997="","Warengruppe fehlt; ","")&amp;IF(B1997="","Bezeichnung fehlt; ","")&amp;IF(COUNTIFS($A$2:$A$5001,$A1997,$C$2:$C$5001,C1997)&gt;1,"Artikel doppelt im selben Lager; ",""))</f>
        <v/>
      </c>
      <c r="P1997" s="47" t="n">
        <f aca="false">IF(OR($A1997="",D1997=""),0,IF(COUNTIF($D$2:D1997,D1997)=1,SUMIF($D$2:$D$5001,D1997,$H$2:$H$5001)+ROW()/10000000,0))</f>
        <v>0</v>
      </c>
      <c r="Q1997" s="47" t="n">
        <f aca="false">IF(OR($A1997="",C1997=""),0,IF(COUNTIF($C$2:C1997,C1997)=1,SUMIF($C$2:$C$5001,C1997,$H$2:$H$5001)+ROW()/10000000,0))</f>
        <v>0</v>
      </c>
    </row>
    <row r="1998" customFormat="false" ht="15" hidden="false" customHeight="false" outlineLevel="0" collapsed="false">
      <c r="A1998" s="43"/>
      <c r="B1998" s="44"/>
      <c r="C1998" s="44"/>
      <c r="D1998" s="44"/>
      <c r="E1998" s="44"/>
      <c r="F1998" s="44"/>
      <c r="G1998" s="44"/>
      <c r="H1998" s="46" t="str">
        <f aca="false">IF($A1998="","",IF(OR(NOT(ISNUMBER(E1998)),NOT(ISNUMBER(F1998))),"",MAX(0,E1998)*F1998))</f>
        <v/>
      </c>
      <c r="I1998" s="46" t="str">
        <f aca="false">IF($A1998="","",SUMIF($A$2:$A$5001,$A1998,$H$2:$H$5001))</f>
        <v/>
      </c>
      <c r="J1998" s="47" t="n">
        <f aca="false">IF($A1998="",0,IF(COUNTIF($A$2:A1998,$A1998)=1,1,0))</f>
        <v>0</v>
      </c>
      <c r="K1998" s="47" t="n">
        <f aca="false">IF(J1998=1,N(I1998)+ROW()/10000000,0)</f>
        <v>0</v>
      </c>
      <c r="L1998" s="47" t="str">
        <f aca="false">IF(AND(J1998=1,N(I1998)&gt;0),SUMIF($K$2:$K$5001,"&gt;="&amp;K1998,$I$2:$I$5001)/MAX(1,SUM($H$2:$H$5001)),"")</f>
        <v/>
      </c>
      <c r="M1998" s="47" t="str">
        <f aca="false">IF($A1998="","",INDEX($L$2:$L$5001,MATCH($A1998,$A$2:$A$5001,0)))</f>
        <v/>
      </c>
      <c r="N1998" s="48" t="str">
        <f aca="false">IF($A1998="","",IF(N(M1998)=0,"–",IF(M1998&lt;=Start!$D$20,"A",IF(M1998&lt;=Start!$D$21,"B","C"))))</f>
        <v/>
      </c>
      <c r="O1998" s="48" t="str">
        <f aca="false">IF($A1998="","",IF(NOT(ISNUMBER(F1998)),"Wert fehlt; ",IF(F1998&lt;=0,"Wert ist 0; ",""))&amp;IF(NOT(ISNUMBER(E1998)),"Bestand fehlt; ",IF(E1998&lt;0,"Bestand negativ; ",IF(E1998=0,"Nullbestand; ","")))&amp;IF(D1998="","Warengruppe fehlt; ","")&amp;IF(B1998="","Bezeichnung fehlt; ","")&amp;IF(COUNTIFS($A$2:$A$5001,$A1998,$C$2:$C$5001,C1998)&gt;1,"Artikel doppelt im selben Lager; ",""))</f>
        <v/>
      </c>
      <c r="P1998" s="47" t="n">
        <f aca="false">IF(OR($A1998="",D1998=""),0,IF(COUNTIF($D$2:D1998,D1998)=1,SUMIF($D$2:$D$5001,D1998,$H$2:$H$5001)+ROW()/10000000,0))</f>
        <v>0</v>
      </c>
      <c r="Q1998" s="47" t="n">
        <f aca="false">IF(OR($A1998="",C1998=""),0,IF(COUNTIF($C$2:C1998,C1998)=1,SUMIF($C$2:$C$5001,C1998,$H$2:$H$5001)+ROW()/10000000,0))</f>
        <v>0</v>
      </c>
    </row>
    <row r="1999" customFormat="false" ht="15" hidden="false" customHeight="false" outlineLevel="0" collapsed="false">
      <c r="A1999" s="43"/>
      <c r="B1999" s="44"/>
      <c r="C1999" s="44"/>
      <c r="D1999" s="44"/>
      <c r="E1999" s="44"/>
      <c r="F1999" s="44"/>
      <c r="G1999" s="44"/>
      <c r="H1999" s="46" t="str">
        <f aca="false">IF($A1999="","",IF(OR(NOT(ISNUMBER(E1999)),NOT(ISNUMBER(F1999))),"",MAX(0,E1999)*F1999))</f>
        <v/>
      </c>
      <c r="I1999" s="46" t="str">
        <f aca="false">IF($A1999="","",SUMIF($A$2:$A$5001,$A1999,$H$2:$H$5001))</f>
        <v/>
      </c>
      <c r="J1999" s="47" t="n">
        <f aca="false">IF($A1999="",0,IF(COUNTIF($A$2:A1999,$A1999)=1,1,0))</f>
        <v>0</v>
      </c>
      <c r="K1999" s="47" t="n">
        <f aca="false">IF(J1999=1,N(I1999)+ROW()/10000000,0)</f>
        <v>0</v>
      </c>
      <c r="L1999" s="47" t="str">
        <f aca="false">IF(AND(J1999=1,N(I1999)&gt;0),SUMIF($K$2:$K$5001,"&gt;="&amp;K1999,$I$2:$I$5001)/MAX(1,SUM($H$2:$H$5001)),"")</f>
        <v/>
      </c>
      <c r="M1999" s="47" t="str">
        <f aca="false">IF($A1999="","",INDEX($L$2:$L$5001,MATCH($A1999,$A$2:$A$5001,0)))</f>
        <v/>
      </c>
      <c r="N1999" s="48" t="str">
        <f aca="false">IF($A1999="","",IF(N(M1999)=0,"–",IF(M1999&lt;=Start!$D$20,"A",IF(M1999&lt;=Start!$D$21,"B","C"))))</f>
        <v/>
      </c>
      <c r="O1999" s="48" t="str">
        <f aca="false">IF($A1999="","",IF(NOT(ISNUMBER(F1999)),"Wert fehlt; ",IF(F1999&lt;=0,"Wert ist 0; ",""))&amp;IF(NOT(ISNUMBER(E1999)),"Bestand fehlt; ",IF(E1999&lt;0,"Bestand negativ; ",IF(E1999=0,"Nullbestand; ","")))&amp;IF(D1999="","Warengruppe fehlt; ","")&amp;IF(B1999="","Bezeichnung fehlt; ","")&amp;IF(COUNTIFS($A$2:$A$5001,$A1999,$C$2:$C$5001,C1999)&gt;1,"Artikel doppelt im selben Lager; ",""))</f>
        <v/>
      </c>
      <c r="P1999" s="47" t="n">
        <f aca="false">IF(OR($A1999="",D1999=""),0,IF(COUNTIF($D$2:D1999,D1999)=1,SUMIF($D$2:$D$5001,D1999,$H$2:$H$5001)+ROW()/10000000,0))</f>
        <v>0</v>
      </c>
      <c r="Q1999" s="47" t="n">
        <f aca="false">IF(OR($A1999="",C1999=""),0,IF(COUNTIF($C$2:C1999,C1999)=1,SUMIF($C$2:$C$5001,C1999,$H$2:$H$5001)+ROW()/10000000,0))</f>
        <v>0</v>
      </c>
    </row>
    <row r="2000" customFormat="false" ht="15" hidden="false" customHeight="false" outlineLevel="0" collapsed="false">
      <c r="A2000" s="43"/>
      <c r="B2000" s="44"/>
      <c r="C2000" s="44"/>
      <c r="D2000" s="44"/>
      <c r="E2000" s="44"/>
      <c r="F2000" s="44"/>
      <c r="G2000" s="44"/>
      <c r="H2000" s="46" t="str">
        <f aca="false">IF($A2000="","",IF(OR(NOT(ISNUMBER(E2000)),NOT(ISNUMBER(F2000))),"",MAX(0,E2000)*F2000))</f>
        <v/>
      </c>
      <c r="I2000" s="46" t="str">
        <f aca="false">IF($A2000="","",SUMIF($A$2:$A$5001,$A2000,$H$2:$H$5001))</f>
        <v/>
      </c>
      <c r="J2000" s="47" t="n">
        <f aca="false">IF($A2000="",0,IF(COUNTIF($A$2:A2000,$A2000)=1,1,0))</f>
        <v>0</v>
      </c>
      <c r="K2000" s="47" t="n">
        <f aca="false">IF(J2000=1,N(I2000)+ROW()/10000000,0)</f>
        <v>0</v>
      </c>
      <c r="L2000" s="47" t="str">
        <f aca="false">IF(AND(J2000=1,N(I2000)&gt;0),SUMIF($K$2:$K$5001,"&gt;="&amp;K2000,$I$2:$I$5001)/MAX(1,SUM($H$2:$H$5001)),"")</f>
        <v/>
      </c>
      <c r="M2000" s="47" t="str">
        <f aca="false">IF($A2000="","",INDEX($L$2:$L$5001,MATCH($A2000,$A$2:$A$5001,0)))</f>
        <v/>
      </c>
      <c r="N2000" s="48" t="str">
        <f aca="false">IF($A2000="","",IF(N(M2000)=0,"–",IF(M2000&lt;=Start!$D$20,"A",IF(M2000&lt;=Start!$D$21,"B","C"))))</f>
        <v/>
      </c>
      <c r="O2000" s="48" t="str">
        <f aca="false">IF($A2000="","",IF(NOT(ISNUMBER(F2000)),"Wert fehlt; ",IF(F2000&lt;=0,"Wert ist 0; ",""))&amp;IF(NOT(ISNUMBER(E2000)),"Bestand fehlt; ",IF(E2000&lt;0,"Bestand negativ; ",IF(E2000=0,"Nullbestand; ","")))&amp;IF(D2000="","Warengruppe fehlt; ","")&amp;IF(B2000="","Bezeichnung fehlt; ","")&amp;IF(COUNTIFS($A$2:$A$5001,$A2000,$C$2:$C$5001,C2000)&gt;1,"Artikel doppelt im selben Lager; ",""))</f>
        <v/>
      </c>
      <c r="P2000" s="47" t="n">
        <f aca="false">IF(OR($A2000="",D2000=""),0,IF(COUNTIF($D$2:D2000,D2000)=1,SUMIF($D$2:$D$5001,D2000,$H$2:$H$5001)+ROW()/10000000,0))</f>
        <v>0</v>
      </c>
      <c r="Q2000" s="47" t="n">
        <f aca="false">IF(OR($A2000="",C2000=""),0,IF(COUNTIF($C$2:C2000,C2000)=1,SUMIF($C$2:$C$5001,C2000,$H$2:$H$5001)+ROW()/10000000,0))</f>
        <v>0</v>
      </c>
    </row>
    <row r="2001" customFormat="false" ht="15" hidden="false" customHeight="false" outlineLevel="0" collapsed="false">
      <c r="A2001" s="43"/>
      <c r="B2001" s="44"/>
      <c r="C2001" s="44"/>
      <c r="D2001" s="44"/>
      <c r="E2001" s="44"/>
      <c r="F2001" s="44"/>
      <c r="G2001" s="44"/>
      <c r="H2001" s="46" t="str">
        <f aca="false">IF($A2001="","",IF(OR(NOT(ISNUMBER(E2001)),NOT(ISNUMBER(F2001))),"",MAX(0,E2001)*F2001))</f>
        <v/>
      </c>
      <c r="I2001" s="46" t="str">
        <f aca="false">IF($A2001="","",SUMIF($A$2:$A$5001,$A2001,$H$2:$H$5001))</f>
        <v/>
      </c>
      <c r="J2001" s="47" t="n">
        <f aca="false">IF($A2001="",0,IF(COUNTIF($A$2:A2001,$A2001)=1,1,0))</f>
        <v>0</v>
      </c>
      <c r="K2001" s="47" t="n">
        <f aca="false">IF(J2001=1,N(I2001)+ROW()/10000000,0)</f>
        <v>0</v>
      </c>
      <c r="L2001" s="47" t="str">
        <f aca="false">IF(AND(J2001=1,N(I2001)&gt;0),SUMIF($K$2:$K$5001,"&gt;="&amp;K2001,$I$2:$I$5001)/MAX(1,SUM($H$2:$H$5001)),"")</f>
        <v/>
      </c>
      <c r="M2001" s="47" t="str">
        <f aca="false">IF($A2001="","",INDEX($L$2:$L$5001,MATCH($A2001,$A$2:$A$5001,0)))</f>
        <v/>
      </c>
      <c r="N2001" s="48" t="str">
        <f aca="false">IF($A2001="","",IF(N(M2001)=0,"–",IF(M2001&lt;=Start!$D$20,"A",IF(M2001&lt;=Start!$D$21,"B","C"))))</f>
        <v/>
      </c>
      <c r="O2001" s="48" t="str">
        <f aca="false">IF($A2001="","",IF(NOT(ISNUMBER(F2001)),"Wert fehlt; ",IF(F2001&lt;=0,"Wert ist 0; ",""))&amp;IF(NOT(ISNUMBER(E2001)),"Bestand fehlt; ",IF(E2001&lt;0,"Bestand negativ; ",IF(E2001=0,"Nullbestand; ","")))&amp;IF(D2001="","Warengruppe fehlt; ","")&amp;IF(B2001="","Bezeichnung fehlt; ","")&amp;IF(COUNTIFS($A$2:$A$5001,$A2001,$C$2:$C$5001,C2001)&gt;1,"Artikel doppelt im selben Lager; ",""))</f>
        <v/>
      </c>
      <c r="P2001" s="47" t="n">
        <f aca="false">IF(OR($A2001="",D2001=""),0,IF(COUNTIF($D$2:D2001,D2001)=1,SUMIF($D$2:$D$5001,D2001,$H$2:$H$5001)+ROW()/10000000,0))</f>
        <v>0</v>
      </c>
      <c r="Q2001" s="47" t="n">
        <f aca="false">IF(OR($A2001="",C2001=""),0,IF(COUNTIF($C$2:C2001,C2001)=1,SUMIF($C$2:$C$5001,C2001,$H$2:$H$5001)+ROW()/10000000,0))</f>
        <v>0</v>
      </c>
    </row>
    <row r="2002" customFormat="false" ht="15" hidden="false" customHeight="false" outlineLevel="0" collapsed="false">
      <c r="A2002" s="43"/>
      <c r="B2002" s="44"/>
      <c r="C2002" s="44"/>
      <c r="D2002" s="44"/>
      <c r="E2002" s="44"/>
      <c r="F2002" s="44"/>
      <c r="G2002" s="44"/>
      <c r="H2002" s="46" t="str">
        <f aca="false">IF($A2002="","",IF(OR(NOT(ISNUMBER(E2002)),NOT(ISNUMBER(F2002))),"",MAX(0,E2002)*F2002))</f>
        <v/>
      </c>
      <c r="I2002" s="46" t="str">
        <f aca="false">IF($A2002="","",SUMIF($A$2:$A$5001,$A2002,$H$2:$H$5001))</f>
        <v/>
      </c>
      <c r="J2002" s="47" t="n">
        <f aca="false">IF($A2002="",0,IF(COUNTIF($A$2:A2002,$A2002)=1,1,0))</f>
        <v>0</v>
      </c>
      <c r="K2002" s="47" t="n">
        <f aca="false">IF(J2002=1,N(I2002)+ROW()/10000000,0)</f>
        <v>0</v>
      </c>
      <c r="L2002" s="47" t="str">
        <f aca="false">IF(AND(J2002=1,N(I2002)&gt;0),SUMIF($K$2:$K$5001,"&gt;="&amp;K2002,$I$2:$I$5001)/MAX(1,SUM($H$2:$H$5001)),"")</f>
        <v/>
      </c>
      <c r="M2002" s="47" t="str">
        <f aca="false">IF($A2002="","",INDEX($L$2:$L$5001,MATCH($A2002,$A$2:$A$5001,0)))</f>
        <v/>
      </c>
      <c r="N2002" s="48" t="str">
        <f aca="false">IF($A2002="","",IF(N(M2002)=0,"–",IF(M2002&lt;=Start!$D$20,"A",IF(M2002&lt;=Start!$D$21,"B","C"))))</f>
        <v/>
      </c>
      <c r="O2002" s="48" t="str">
        <f aca="false">IF($A2002="","",IF(NOT(ISNUMBER(F2002)),"Wert fehlt; ",IF(F2002&lt;=0,"Wert ist 0; ",""))&amp;IF(NOT(ISNUMBER(E2002)),"Bestand fehlt; ",IF(E2002&lt;0,"Bestand negativ; ",IF(E2002=0,"Nullbestand; ","")))&amp;IF(D2002="","Warengruppe fehlt; ","")&amp;IF(B2002="","Bezeichnung fehlt; ","")&amp;IF(COUNTIFS($A$2:$A$5001,$A2002,$C$2:$C$5001,C2002)&gt;1,"Artikel doppelt im selben Lager; ",""))</f>
        <v/>
      </c>
      <c r="P2002" s="47" t="n">
        <f aca="false">IF(OR($A2002="",D2002=""),0,IF(COUNTIF($D$2:D2002,D2002)=1,SUMIF($D$2:$D$5001,D2002,$H$2:$H$5001)+ROW()/10000000,0))</f>
        <v>0</v>
      </c>
      <c r="Q2002" s="47" t="n">
        <f aca="false">IF(OR($A2002="",C2002=""),0,IF(COUNTIF($C$2:C2002,C2002)=1,SUMIF($C$2:$C$5001,C2002,$H$2:$H$5001)+ROW()/10000000,0))</f>
        <v>0</v>
      </c>
    </row>
    <row r="2003" customFormat="false" ht="15" hidden="false" customHeight="false" outlineLevel="0" collapsed="false">
      <c r="A2003" s="43"/>
      <c r="B2003" s="44"/>
      <c r="C2003" s="44"/>
      <c r="D2003" s="44"/>
      <c r="E2003" s="44"/>
      <c r="F2003" s="44"/>
      <c r="G2003" s="44"/>
      <c r="H2003" s="46" t="str">
        <f aca="false">IF($A2003="","",IF(OR(NOT(ISNUMBER(E2003)),NOT(ISNUMBER(F2003))),"",MAX(0,E2003)*F2003))</f>
        <v/>
      </c>
      <c r="I2003" s="46" t="str">
        <f aca="false">IF($A2003="","",SUMIF($A$2:$A$5001,$A2003,$H$2:$H$5001))</f>
        <v/>
      </c>
      <c r="J2003" s="47" t="n">
        <f aca="false">IF($A2003="",0,IF(COUNTIF($A$2:A2003,$A2003)=1,1,0))</f>
        <v>0</v>
      </c>
      <c r="K2003" s="47" t="n">
        <f aca="false">IF(J2003=1,N(I2003)+ROW()/10000000,0)</f>
        <v>0</v>
      </c>
      <c r="L2003" s="47" t="str">
        <f aca="false">IF(AND(J2003=1,N(I2003)&gt;0),SUMIF($K$2:$K$5001,"&gt;="&amp;K2003,$I$2:$I$5001)/MAX(1,SUM($H$2:$H$5001)),"")</f>
        <v/>
      </c>
      <c r="M2003" s="47" t="str">
        <f aca="false">IF($A2003="","",INDEX($L$2:$L$5001,MATCH($A2003,$A$2:$A$5001,0)))</f>
        <v/>
      </c>
      <c r="N2003" s="48" t="str">
        <f aca="false">IF($A2003="","",IF(N(M2003)=0,"–",IF(M2003&lt;=Start!$D$20,"A",IF(M2003&lt;=Start!$D$21,"B","C"))))</f>
        <v/>
      </c>
      <c r="O2003" s="48" t="str">
        <f aca="false">IF($A2003="","",IF(NOT(ISNUMBER(F2003)),"Wert fehlt; ",IF(F2003&lt;=0,"Wert ist 0; ",""))&amp;IF(NOT(ISNUMBER(E2003)),"Bestand fehlt; ",IF(E2003&lt;0,"Bestand negativ; ",IF(E2003=0,"Nullbestand; ","")))&amp;IF(D2003="","Warengruppe fehlt; ","")&amp;IF(B2003="","Bezeichnung fehlt; ","")&amp;IF(COUNTIFS($A$2:$A$5001,$A2003,$C$2:$C$5001,C2003)&gt;1,"Artikel doppelt im selben Lager; ",""))</f>
        <v/>
      </c>
      <c r="P2003" s="47" t="n">
        <f aca="false">IF(OR($A2003="",D2003=""),0,IF(COUNTIF($D$2:D2003,D2003)=1,SUMIF($D$2:$D$5001,D2003,$H$2:$H$5001)+ROW()/10000000,0))</f>
        <v>0</v>
      </c>
      <c r="Q2003" s="47" t="n">
        <f aca="false">IF(OR($A2003="",C2003=""),0,IF(COUNTIF($C$2:C2003,C2003)=1,SUMIF($C$2:$C$5001,C2003,$H$2:$H$5001)+ROW()/10000000,0))</f>
        <v>0</v>
      </c>
    </row>
    <row r="2004" customFormat="false" ht="15" hidden="false" customHeight="false" outlineLevel="0" collapsed="false">
      <c r="A2004" s="43"/>
      <c r="B2004" s="44"/>
      <c r="C2004" s="44"/>
      <c r="D2004" s="44"/>
      <c r="E2004" s="44"/>
      <c r="F2004" s="44"/>
      <c r="G2004" s="44"/>
      <c r="H2004" s="46" t="str">
        <f aca="false">IF($A2004="","",IF(OR(NOT(ISNUMBER(E2004)),NOT(ISNUMBER(F2004))),"",MAX(0,E2004)*F2004))</f>
        <v/>
      </c>
      <c r="I2004" s="46" t="str">
        <f aca="false">IF($A2004="","",SUMIF($A$2:$A$5001,$A2004,$H$2:$H$5001))</f>
        <v/>
      </c>
      <c r="J2004" s="47" t="n">
        <f aca="false">IF($A2004="",0,IF(COUNTIF($A$2:A2004,$A2004)=1,1,0))</f>
        <v>0</v>
      </c>
      <c r="K2004" s="47" t="n">
        <f aca="false">IF(J2004=1,N(I2004)+ROW()/10000000,0)</f>
        <v>0</v>
      </c>
      <c r="L2004" s="47" t="str">
        <f aca="false">IF(AND(J2004=1,N(I2004)&gt;0),SUMIF($K$2:$K$5001,"&gt;="&amp;K2004,$I$2:$I$5001)/MAX(1,SUM($H$2:$H$5001)),"")</f>
        <v/>
      </c>
      <c r="M2004" s="47" t="str">
        <f aca="false">IF($A2004="","",INDEX($L$2:$L$5001,MATCH($A2004,$A$2:$A$5001,0)))</f>
        <v/>
      </c>
      <c r="N2004" s="48" t="str">
        <f aca="false">IF($A2004="","",IF(N(M2004)=0,"–",IF(M2004&lt;=Start!$D$20,"A",IF(M2004&lt;=Start!$D$21,"B","C"))))</f>
        <v/>
      </c>
      <c r="O2004" s="48" t="str">
        <f aca="false">IF($A2004="","",IF(NOT(ISNUMBER(F2004)),"Wert fehlt; ",IF(F2004&lt;=0,"Wert ist 0; ",""))&amp;IF(NOT(ISNUMBER(E2004)),"Bestand fehlt; ",IF(E2004&lt;0,"Bestand negativ; ",IF(E2004=0,"Nullbestand; ","")))&amp;IF(D2004="","Warengruppe fehlt; ","")&amp;IF(B2004="","Bezeichnung fehlt; ","")&amp;IF(COUNTIFS($A$2:$A$5001,$A2004,$C$2:$C$5001,C2004)&gt;1,"Artikel doppelt im selben Lager; ",""))</f>
        <v/>
      </c>
      <c r="P2004" s="47" t="n">
        <f aca="false">IF(OR($A2004="",D2004=""),0,IF(COUNTIF($D$2:D2004,D2004)=1,SUMIF($D$2:$D$5001,D2004,$H$2:$H$5001)+ROW()/10000000,0))</f>
        <v>0</v>
      </c>
      <c r="Q2004" s="47" t="n">
        <f aca="false">IF(OR($A2004="",C2004=""),0,IF(COUNTIF($C$2:C2004,C2004)=1,SUMIF($C$2:$C$5001,C2004,$H$2:$H$5001)+ROW()/10000000,0))</f>
        <v>0</v>
      </c>
    </row>
    <row r="2005" customFormat="false" ht="15" hidden="false" customHeight="false" outlineLevel="0" collapsed="false">
      <c r="A2005" s="43"/>
      <c r="B2005" s="44"/>
      <c r="C2005" s="44"/>
      <c r="D2005" s="44"/>
      <c r="E2005" s="44"/>
      <c r="F2005" s="44"/>
      <c r="G2005" s="44"/>
      <c r="H2005" s="46" t="str">
        <f aca="false">IF($A2005="","",IF(OR(NOT(ISNUMBER(E2005)),NOT(ISNUMBER(F2005))),"",MAX(0,E2005)*F2005))</f>
        <v/>
      </c>
      <c r="I2005" s="46" t="str">
        <f aca="false">IF($A2005="","",SUMIF($A$2:$A$5001,$A2005,$H$2:$H$5001))</f>
        <v/>
      </c>
      <c r="J2005" s="47" t="n">
        <f aca="false">IF($A2005="",0,IF(COUNTIF($A$2:A2005,$A2005)=1,1,0))</f>
        <v>0</v>
      </c>
      <c r="K2005" s="47" t="n">
        <f aca="false">IF(J2005=1,N(I2005)+ROW()/10000000,0)</f>
        <v>0</v>
      </c>
      <c r="L2005" s="47" t="str">
        <f aca="false">IF(AND(J2005=1,N(I2005)&gt;0),SUMIF($K$2:$K$5001,"&gt;="&amp;K2005,$I$2:$I$5001)/MAX(1,SUM($H$2:$H$5001)),"")</f>
        <v/>
      </c>
      <c r="M2005" s="47" t="str">
        <f aca="false">IF($A2005="","",INDEX($L$2:$L$5001,MATCH($A2005,$A$2:$A$5001,0)))</f>
        <v/>
      </c>
      <c r="N2005" s="48" t="str">
        <f aca="false">IF($A2005="","",IF(N(M2005)=0,"–",IF(M2005&lt;=Start!$D$20,"A",IF(M2005&lt;=Start!$D$21,"B","C"))))</f>
        <v/>
      </c>
      <c r="O2005" s="48" t="str">
        <f aca="false">IF($A2005="","",IF(NOT(ISNUMBER(F2005)),"Wert fehlt; ",IF(F2005&lt;=0,"Wert ist 0; ",""))&amp;IF(NOT(ISNUMBER(E2005)),"Bestand fehlt; ",IF(E2005&lt;0,"Bestand negativ; ",IF(E2005=0,"Nullbestand; ","")))&amp;IF(D2005="","Warengruppe fehlt; ","")&amp;IF(B2005="","Bezeichnung fehlt; ","")&amp;IF(COUNTIFS($A$2:$A$5001,$A2005,$C$2:$C$5001,C2005)&gt;1,"Artikel doppelt im selben Lager; ",""))</f>
        <v/>
      </c>
      <c r="P2005" s="47" t="n">
        <f aca="false">IF(OR($A2005="",D2005=""),0,IF(COUNTIF($D$2:D2005,D2005)=1,SUMIF($D$2:$D$5001,D2005,$H$2:$H$5001)+ROW()/10000000,0))</f>
        <v>0</v>
      </c>
      <c r="Q2005" s="47" t="n">
        <f aca="false">IF(OR($A2005="",C2005=""),0,IF(COUNTIF($C$2:C2005,C2005)=1,SUMIF($C$2:$C$5001,C2005,$H$2:$H$5001)+ROW()/10000000,0))</f>
        <v>0</v>
      </c>
    </row>
    <row r="2006" customFormat="false" ht="15" hidden="false" customHeight="false" outlineLevel="0" collapsed="false">
      <c r="A2006" s="43"/>
      <c r="B2006" s="44"/>
      <c r="C2006" s="44"/>
      <c r="D2006" s="44"/>
      <c r="E2006" s="44"/>
      <c r="F2006" s="44"/>
      <c r="G2006" s="44"/>
      <c r="H2006" s="46" t="str">
        <f aca="false">IF($A2006="","",IF(OR(NOT(ISNUMBER(E2006)),NOT(ISNUMBER(F2006))),"",MAX(0,E2006)*F2006))</f>
        <v/>
      </c>
      <c r="I2006" s="46" t="str">
        <f aca="false">IF($A2006="","",SUMIF($A$2:$A$5001,$A2006,$H$2:$H$5001))</f>
        <v/>
      </c>
      <c r="J2006" s="47" t="n">
        <f aca="false">IF($A2006="",0,IF(COUNTIF($A$2:A2006,$A2006)=1,1,0))</f>
        <v>0</v>
      </c>
      <c r="K2006" s="47" t="n">
        <f aca="false">IF(J2006=1,N(I2006)+ROW()/10000000,0)</f>
        <v>0</v>
      </c>
      <c r="L2006" s="47" t="str">
        <f aca="false">IF(AND(J2006=1,N(I2006)&gt;0),SUMIF($K$2:$K$5001,"&gt;="&amp;K2006,$I$2:$I$5001)/MAX(1,SUM($H$2:$H$5001)),"")</f>
        <v/>
      </c>
      <c r="M2006" s="47" t="str">
        <f aca="false">IF($A2006="","",INDEX($L$2:$L$5001,MATCH($A2006,$A$2:$A$5001,0)))</f>
        <v/>
      </c>
      <c r="N2006" s="48" t="str">
        <f aca="false">IF($A2006="","",IF(N(M2006)=0,"–",IF(M2006&lt;=Start!$D$20,"A",IF(M2006&lt;=Start!$D$21,"B","C"))))</f>
        <v/>
      </c>
      <c r="O2006" s="48" t="str">
        <f aca="false">IF($A2006="","",IF(NOT(ISNUMBER(F2006)),"Wert fehlt; ",IF(F2006&lt;=0,"Wert ist 0; ",""))&amp;IF(NOT(ISNUMBER(E2006)),"Bestand fehlt; ",IF(E2006&lt;0,"Bestand negativ; ",IF(E2006=0,"Nullbestand; ","")))&amp;IF(D2006="","Warengruppe fehlt; ","")&amp;IF(B2006="","Bezeichnung fehlt; ","")&amp;IF(COUNTIFS($A$2:$A$5001,$A2006,$C$2:$C$5001,C2006)&gt;1,"Artikel doppelt im selben Lager; ",""))</f>
        <v/>
      </c>
      <c r="P2006" s="47" t="n">
        <f aca="false">IF(OR($A2006="",D2006=""),0,IF(COUNTIF($D$2:D2006,D2006)=1,SUMIF($D$2:$D$5001,D2006,$H$2:$H$5001)+ROW()/10000000,0))</f>
        <v>0</v>
      </c>
      <c r="Q2006" s="47" t="n">
        <f aca="false">IF(OR($A2006="",C2006=""),0,IF(COUNTIF($C$2:C2006,C2006)=1,SUMIF($C$2:$C$5001,C2006,$H$2:$H$5001)+ROW()/10000000,0))</f>
        <v>0</v>
      </c>
    </row>
    <row r="2007" customFormat="false" ht="15" hidden="false" customHeight="false" outlineLevel="0" collapsed="false">
      <c r="A2007" s="43"/>
      <c r="B2007" s="44"/>
      <c r="C2007" s="44"/>
      <c r="D2007" s="44"/>
      <c r="E2007" s="44"/>
      <c r="F2007" s="44"/>
      <c r="G2007" s="44"/>
      <c r="H2007" s="46" t="str">
        <f aca="false">IF($A2007="","",IF(OR(NOT(ISNUMBER(E2007)),NOT(ISNUMBER(F2007))),"",MAX(0,E2007)*F2007))</f>
        <v/>
      </c>
      <c r="I2007" s="46" t="str">
        <f aca="false">IF($A2007="","",SUMIF($A$2:$A$5001,$A2007,$H$2:$H$5001))</f>
        <v/>
      </c>
      <c r="J2007" s="47" t="n">
        <f aca="false">IF($A2007="",0,IF(COUNTIF($A$2:A2007,$A2007)=1,1,0))</f>
        <v>0</v>
      </c>
      <c r="K2007" s="47" t="n">
        <f aca="false">IF(J2007=1,N(I2007)+ROW()/10000000,0)</f>
        <v>0</v>
      </c>
      <c r="L2007" s="47" t="str">
        <f aca="false">IF(AND(J2007=1,N(I2007)&gt;0),SUMIF($K$2:$K$5001,"&gt;="&amp;K2007,$I$2:$I$5001)/MAX(1,SUM($H$2:$H$5001)),"")</f>
        <v/>
      </c>
      <c r="M2007" s="47" t="str">
        <f aca="false">IF($A2007="","",INDEX($L$2:$L$5001,MATCH($A2007,$A$2:$A$5001,0)))</f>
        <v/>
      </c>
      <c r="N2007" s="48" t="str">
        <f aca="false">IF($A2007="","",IF(N(M2007)=0,"–",IF(M2007&lt;=Start!$D$20,"A",IF(M2007&lt;=Start!$D$21,"B","C"))))</f>
        <v/>
      </c>
      <c r="O2007" s="48" t="str">
        <f aca="false">IF($A2007="","",IF(NOT(ISNUMBER(F2007)),"Wert fehlt; ",IF(F2007&lt;=0,"Wert ist 0; ",""))&amp;IF(NOT(ISNUMBER(E2007)),"Bestand fehlt; ",IF(E2007&lt;0,"Bestand negativ; ",IF(E2007=0,"Nullbestand; ","")))&amp;IF(D2007="","Warengruppe fehlt; ","")&amp;IF(B2007="","Bezeichnung fehlt; ","")&amp;IF(COUNTIFS($A$2:$A$5001,$A2007,$C$2:$C$5001,C2007)&gt;1,"Artikel doppelt im selben Lager; ",""))</f>
        <v/>
      </c>
      <c r="P2007" s="47" t="n">
        <f aca="false">IF(OR($A2007="",D2007=""),0,IF(COUNTIF($D$2:D2007,D2007)=1,SUMIF($D$2:$D$5001,D2007,$H$2:$H$5001)+ROW()/10000000,0))</f>
        <v>0</v>
      </c>
      <c r="Q2007" s="47" t="n">
        <f aca="false">IF(OR($A2007="",C2007=""),0,IF(COUNTIF($C$2:C2007,C2007)=1,SUMIF($C$2:$C$5001,C2007,$H$2:$H$5001)+ROW()/10000000,0))</f>
        <v>0</v>
      </c>
    </row>
    <row r="2008" customFormat="false" ht="15" hidden="false" customHeight="false" outlineLevel="0" collapsed="false">
      <c r="A2008" s="43"/>
      <c r="B2008" s="44"/>
      <c r="C2008" s="44"/>
      <c r="D2008" s="44"/>
      <c r="E2008" s="44"/>
      <c r="F2008" s="44"/>
      <c r="G2008" s="44"/>
      <c r="H2008" s="46" t="str">
        <f aca="false">IF($A2008="","",IF(OR(NOT(ISNUMBER(E2008)),NOT(ISNUMBER(F2008))),"",MAX(0,E2008)*F2008))</f>
        <v/>
      </c>
      <c r="I2008" s="46" t="str">
        <f aca="false">IF($A2008="","",SUMIF($A$2:$A$5001,$A2008,$H$2:$H$5001))</f>
        <v/>
      </c>
      <c r="J2008" s="47" t="n">
        <f aca="false">IF($A2008="",0,IF(COUNTIF($A$2:A2008,$A2008)=1,1,0))</f>
        <v>0</v>
      </c>
      <c r="K2008" s="47" t="n">
        <f aca="false">IF(J2008=1,N(I2008)+ROW()/10000000,0)</f>
        <v>0</v>
      </c>
      <c r="L2008" s="47" t="str">
        <f aca="false">IF(AND(J2008=1,N(I2008)&gt;0),SUMIF($K$2:$K$5001,"&gt;="&amp;K2008,$I$2:$I$5001)/MAX(1,SUM($H$2:$H$5001)),"")</f>
        <v/>
      </c>
      <c r="M2008" s="47" t="str">
        <f aca="false">IF($A2008="","",INDEX($L$2:$L$5001,MATCH($A2008,$A$2:$A$5001,0)))</f>
        <v/>
      </c>
      <c r="N2008" s="48" t="str">
        <f aca="false">IF($A2008="","",IF(N(M2008)=0,"–",IF(M2008&lt;=Start!$D$20,"A",IF(M2008&lt;=Start!$D$21,"B","C"))))</f>
        <v/>
      </c>
      <c r="O2008" s="48" t="str">
        <f aca="false">IF($A2008="","",IF(NOT(ISNUMBER(F2008)),"Wert fehlt; ",IF(F2008&lt;=0,"Wert ist 0; ",""))&amp;IF(NOT(ISNUMBER(E2008)),"Bestand fehlt; ",IF(E2008&lt;0,"Bestand negativ; ",IF(E2008=0,"Nullbestand; ","")))&amp;IF(D2008="","Warengruppe fehlt; ","")&amp;IF(B2008="","Bezeichnung fehlt; ","")&amp;IF(COUNTIFS($A$2:$A$5001,$A2008,$C$2:$C$5001,C2008)&gt;1,"Artikel doppelt im selben Lager; ",""))</f>
        <v/>
      </c>
      <c r="P2008" s="47" t="n">
        <f aca="false">IF(OR($A2008="",D2008=""),0,IF(COUNTIF($D$2:D2008,D2008)=1,SUMIF($D$2:$D$5001,D2008,$H$2:$H$5001)+ROW()/10000000,0))</f>
        <v>0</v>
      </c>
      <c r="Q2008" s="47" t="n">
        <f aca="false">IF(OR($A2008="",C2008=""),0,IF(COUNTIF($C$2:C2008,C2008)=1,SUMIF($C$2:$C$5001,C2008,$H$2:$H$5001)+ROW()/10000000,0))</f>
        <v>0</v>
      </c>
    </row>
    <row r="2009" customFormat="false" ht="15" hidden="false" customHeight="false" outlineLevel="0" collapsed="false">
      <c r="A2009" s="43"/>
      <c r="B2009" s="44"/>
      <c r="C2009" s="44"/>
      <c r="D2009" s="44"/>
      <c r="E2009" s="44"/>
      <c r="F2009" s="44"/>
      <c r="G2009" s="44"/>
      <c r="H2009" s="46" t="str">
        <f aca="false">IF($A2009="","",IF(OR(NOT(ISNUMBER(E2009)),NOT(ISNUMBER(F2009))),"",MAX(0,E2009)*F2009))</f>
        <v/>
      </c>
      <c r="I2009" s="46" t="str">
        <f aca="false">IF($A2009="","",SUMIF($A$2:$A$5001,$A2009,$H$2:$H$5001))</f>
        <v/>
      </c>
      <c r="J2009" s="47" t="n">
        <f aca="false">IF($A2009="",0,IF(COUNTIF($A$2:A2009,$A2009)=1,1,0))</f>
        <v>0</v>
      </c>
      <c r="K2009" s="47" t="n">
        <f aca="false">IF(J2009=1,N(I2009)+ROW()/10000000,0)</f>
        <v>0</v>
      </c>
      <c r="L2009" s="47" t="str">
        <f aca="false">IF(AND(J2009=1,N(I2009)&gt;0),SUMIF($K$2:$K$5001,"&gt;="&amp;K2009,$I$2:$I$5001)/MAX(1,SUM($H$2:$H$5001)),"")</f>
        <v/>
      </c>
      <c r="M2009" s="47" t="str">
        <f aca="false">IF($A2009="","",INDEX($L$2:$L$5001,MATCH($A2009,$A$2:$A$5001,0)))</f>
        <v/>
      </c>
      <c r="N2009" s="48" t="str">
        <f aca="false">IF($A2009="","",IF(N(M2009)=0,"–",IF(M2009&lt;=Start!$D$20,"A",IF(M2009&lt;=Start!$D$21,"B","C"))))</f>
        <v/>
      </c>
      <c r="O2009" s="48" t="str">
        <f aca="false">IF($A2009="","",IF(NOT(ISNUMBER(F2009)),"Wert fehlt; ",IF(F2009&lt;=0,"Wert ist 0; ",""))&amp;IF(NOT(ISNUMBER(E2009)),"Bestand fehlt; ",IF(E2009&lt;0,"Bestand negativ; ",IF(E2009=0,"Nullbestand; ","")))&amp;IF(D2009="","Warengruppe fehlt; ","")&amp;IF(B2009="","Bezeichnung fehlt; ","")&amp;IF(COUNTIFS($A$2:$A$5001,$A2009,$C$2:$C$5001,C2009)&gt;1,"Artikel doppelt im selben Lager; ",""))</f>
        <v/>
      </c>
      <c r="P2009" s="47" t="n">
        <f aca="false">IF(OR($A2009="",D2009=""),0,IF(COUNTIF($D$2:D2009,D2009)=1,SUMIF($D$2:$D$5001,D2009,$H$2:$H$5001)+ROW()/10000000,0))</f>
        <v>0</v>
      </c>
      <c r="Q2009" s="47" t="n">
        <f aca="false">IF(OR($A2009="",C2009=""),0,IF(COUNTIF($C$2:C2009,C2009)=1,SUMIF($C$2:$C$5001,C2009,$H$2:$H$5001)+ROW()/10000000,0))</f>
        <v>0</v>
      </c>
    </row>
    <row r="2010" customFormat="false" ht="15" hidden="false" customHeight="false" outlineLevel="0" collapsed="false">
      <c r="A2010" s="43"/>
      <c r="B2010" s="44"/>
      <c r="C2010" s="44"/>
      <c r="D2010" s="44"/>
      <c r="E2010" s="44"/>
      <c r="F2010" s="44"/>
      <c r="G2010" s="44"/>
      <c r="H2010" s="46" t="str">
        <f aca="false">IF($A2010="","",IF(OR(NOT(ISNUMBER(E2010)),NOT(ISNUMBER(F2010))),"",MAX(0,E2010)*F2010))</f>
        <v/>
      </c>
      <c r="I2010" s="46" t="str">
        <f aca="false">IF($A2010="","",SUMIF($A$2:$A$5001,$A2010,$H$2:$H$5001))</f>
        <v/>
      </c>
      <c r="J2010" s="47" t="n">
        <f aca="false">IF($A2010="",0,IF(COUNTIF($A$2:A2010,$A2010)=1,1,0))</f>
        <v>0</v>
      </c>
      <c r="K2010" s="47" t="n">
        <f aca="false">IF(J2010=1,N(I2010)+ROW()/10000000,0)</f>
        <v>0</v>
      </c>
      <c r="L2010" s="47" t="str">
        <f aca="false">IF(AND(J2010=1,N(I2010)&gt;0),SUMIF($K$2:$K$5001,"&gt;="&amp;K2010,$I$2:$I$5001)/MAX(1,SUM($H$2:$H$5001)),"")</f>
        <v/>
      </c>
      <c r="M2010" s="47" t="str">
        <f aca="false">IF($A2010="","",INDEX($L$2:$L$5001,MATCH($A2010,$A$2:$A$5001,0)))</f>
        <v/>
      </c>
      <c r="N2010" s="48" t="str">
        <f aca="false">IF($A2010="","",IF(N(M2010)=0,"–",IF(M2010&lt;=Start!$D$20,"A",IF(M2010&lt;=Start!$D$21,"B","C"))))</f>
        <v/>
      </c>
      <c r="O2010" s="48" t="str">
        <f aca="false">IF($A2010="","",IF(NOT(ISNUMBER(F2010)),"Wert fehlt; ",IF(F2010&lt;=0,"Wert ist 0; ",""))&amp;IF(NOT(ISNUMBER(E2010)),"Bestand fehlt; ",IF(E2010&lt;0,"Bestand negativ; ",IF(E2010=0,"Nullbestand; ","")))&amp;IF(D2010="","Warengruppe fehlt; ","")&amp;IF(B2010="","Bezeichnung fehlt; ","")&amp;IF(COUNTIFS($A$2:$A$5001,$A2010,$C$2:$C$5001,C2010)&gt;1,"Artikel doppelt im selben Lager; ",""))</f>
        <v/>
      </c>
      <c r="P2010" s="47" t="n">
        <f aca="false">IF(OR($A2010="",D2010=""),0,IF(COUNTIF($D$2:D2010,D2010)=1,SUMIF($D$2:$D$5001,D2010,$H$2:$H$5001)+ROW()/10000000,0))</f>
        <v>0</v>
      </c>
      <c r="Q2010" s="47" t="n">
        <f aca="false">IF(OR($A2010="",C2010=""),0,IF(COUNTIF($C$2:C2010,C2010)=1,SUMIF($C$2:$C$5001,C2010,$H$2:$H$5001)+ROW()/10000000,0))</f>
        <v>0</v>
      </c>
    </row>
    <row r="2011" customFormat="false" ht="15" hidden="false" customHeight="false" outlineLevel="0" collapsed="false">
      <c r="A2011" s="43"/>
      <c r="B2011" s="44"/>
      <c r="C2011" s="44"/>
      <c r="D2011" s="44"/>
      <c r="E2011" s="44"/>
      <c r="F2011" s="44"/>
      <c r="G2011" s="44"/>
      <c r="H2011" s="46" t="str">
        <f aca="false">IF($A2011="","",IF(OR(NOT(ISNUMBER(E2011)),NOT(ISNUMBER(F2011))),"",MAX(0,E2011)*F2011))</f>
        <v/>
      </c>
      <c r="I2011" s="46" t="str">
        <f aca="false">IF($A2011="","",SUMIF($A$2:$A$5001,$A2011,$H$2:$H$5001))</f>
        <v/>
      </c>
      <c r="J2011" s="47" t="n">
        <f aca="false">IF($A2011="",0,IF(COUNTIF($A$2:A2011,$A2011)=1,1,0))</f>
        <v>0</v>
      </c>
      <c r="K2011" s="47" t="n">
        <f aca="false">IF(J2011=1,N(I2011)+ROW()/10000000,0)</f>
        <v>0</v>
      </c>
      <c r="L2011" s="47" t="str">
        <f aca="false">IF(AND(J2011=1,N(I2011)&gt;0),SUMIF($K$2:$K$5001,"&gt;="&amp;K2011,$I$2:$I$5001)/MAX(1,SUM($H$2:$H$5001)),"")</f>
        <v/>
      </c>
      <c r="M2011" s="47" t="str">
        <f aca="false">IF($A2011="","",INDEX($L$2:$L$5001,MATCH($A2011,$A$2:$A$5001,0)))</f>
        <v/>
      </c>
      <c r="N2011" s="48" t="str">
        <f aca="false">IF($A2011="","",IF(N(M2011)=0,"–",IF(M2011&lt;=Start!$D$20,"A",IF(M2011&lt;=Start!$D$21,"B","C"))))</f>
        <v/>
      </c>
      <c r="O2011" s="48" t="str">
        <f aca="false">IF($A2011="","",IF(NOT(ISNUMBER(F2011)),"Wert fehlt; ",IF(F2011&lt;=0,"Wert ist 0; ",""))&amp;IF(NOT(ISNUMBER(E2011)),"Bestand fehlt; ",IF(E2011&lt;0,"Bestand negativ; ",IF(E2011=0,"Nullbestand; ","")))&amp;IF(D2011="","Warengruppe fehlt; ","")&amp;IF(B2011="","Bezeichnung fehlt; ","")&amp;IF(COUNTIFS($A$2:$A$5001,$A2011,$C$2:$C$5001,C2011)&gt;1,"Artikel doppelt im selben Lager; ",""))</f>
        <v/>
      </c>
      <c r="P2011" s="47" t="n">
        <f aca="false">IF(OR($A2011="",D2011=""),0,IF(COUNTIF($D$2:D2011,D2011)=1,SUMIF($D$2:$D$5001,D2011,$H$2:$H$5001)+ROW()/10000000,0))</f>
        <v>0</v>
      </c>
      <c r="Q2011" s="47" t="n">
        <f aca="false">IF(OR($A2011="",C2011=""),0,IF(COUNTIF($C$2:C2011,C2011)=1,SUMIF($C$2:$C$5001,C2011,$H$2:$H$5001)+ROW()/10000000,0))</f>
        <v>0</v>
      </c>
    </row>
    <row r="2012" customFormat="false" ht="15" hidden="false" customHeight="false" outlineLevel="0" collapsed="false">
      <c r="A2012" s="43"/>
      <c r="B2012" s="44"/>
      <c r="C2012" s="44"/>
      <c r="D2012" s="44"/>
      <c r="E2012" s="44"/>
      <c r="F2012" s="44"/>
      <c r="G2012" s="44"/>
      <c r="H2012" s="46" t="str">
        <f aca="false">IF($A2012="","",IF(OR(NOT(ISNUMBER(E2012)),NOT(ISNUMBER(F2012))),"",MAX(0,E2012)*F2012))</f>
        <v/>
      </c>
      <c r="I2012" s="46" t="str">
        <f aca="false">IF($A2012="","",SUMIF($A$2:$A$5001,$A2012,$H$2:$H$5001))</f>
        <v/>
      </c>
      <c r="J2012" s="47" t="n">
        <f aca="false">IF($A2012="",0,IF(COUNTIF($A$2:A2012,$A2012)=1,1,0))</f>
        <v>0</v>
      </c>
      <c r="K2012" s="47" t="n">
        <f aca="false">IF(J2012=1,N(I2012)+ROW()/10000000,0)</f>
        <v>0</v>
      </c>
      <c r="L2012" s="47" t="str">
        <f aca="false">IF(AND(J2012=1,N(I2012)&gt;0),SUMIF($K$2:$K$5001,"&gt;="&amp;K2012,$I$2:$I$5001)/MAX(1,SUM($H$2:$H$5001)),"")</f>
        <v/>
      </c>
      <c r="M2012" s="47" t="str">
        <f aca="false">IF($A2012="","",INDEX($L$2:$L$5001,MATCH($A2012,$A$2:$A$5001,0)))</f>
        <v/>
      </c>
      <c r="N2012" s="48" t="str">
        <f aca="false">IF($A2012="","",IF(N(M2012)=0,"–",IF(M2012&lt;=Start!$D$20,"A",IF(M2012&lt;=Start!$D$21,"B","C"))))</f>
        <v/>
      </c>
      <c r="O2012" s="48" t="str">
        <f aca="false">IF($A2012="","",IF(NOT(ISNUMBER(F2012)),"Wert fehlt; ",IF(F2012&lt;=0,"Wert ist 0; ",""))&amp;IF(NOT(ISNUMBER(E2012)),"Bestand fehlt; ",IF(E2012&lt;0,"Bestand negativ; ",IF(E2012=0,"Nullbestand; ","")))&amp;IF(D2012="","Warengruppe fehlt; ","")&amp;IF(B2012="","Bezeichnung fehlt; ","")&amp;IF(COUNTIFS($A$2:$A$5001,$A2012,$C$2:$C$5001,C2012)&gt;1,"Artikel doppelt im selben Lager; ",""))</f>
        <v/>
      </c>
      <c r="P2012" s="47" t="n">
        <f aca="false">IF(OR($A2012="",D2012=""),0,IF(COUNTIF($D$2:D2012,D2012)=1,SUMIF($D$2:$D$5001,D2012,$H$2:$H$5001)+ROW()/10000000,0))</f>
        <v>0</v>
      </c>
      <c r="Q2012" s="47" t="n">
        <f aca="false">IF(OR($A2012="",C2012=""),0,IF(COUNTIF($C$2:C2012,C2012)=1,SUMIF($C$2:$C$5001,C2012,$H$2:$H$5001)+ROW()/10000000,0))</f>
        <v>0</v>
      </c>
    </row>
    <row r="2013" customFormat="false" ht="15" hidden="false" customHeight="false" outlineLevel="0" collapsed="false">
      <c r="A2013" s="43"/>
      <c r="B2013" s="44"/>
      <c r="C2013" s="44"/>
      <c r="D2013" s="44"/>
      <c r="E2013" s="44"/>
      <c r="F2013" s="44"/>
      <c r="G2013" s="44"/>
      <c r="H2013" s="46" t="str">
        <f aca="false">IF($A2013="","",IF(OR(NOT(ISNUMBER(E2013)),NOT(ISNUMBER(F2013))),"",MAX(0,E2013)*F2013))</f>
        <v/>
      </c>
      <c r="I2013" s="46" t="str">
        <f aca="false">IF($A2013="","",SUMIF($A$2:$A$5001,$A2013,$H$2:$H$5001))</f>
        <v/>
      </c>
      <c r="J2013" s="47" t="n">
        <f aca="false">IF($A2013="",0,IF(COUNTIF($A$2:A2013,$A2013)=1,1,0))</f>
        <v>0</v>
      </c>
      <c r="K2013" s="47" t="n">
        <f aca="false">IF(J2013=1,N(I2013)+ROW()/10000000,0)</f>
        <v>0</v>
      </c>
      <c r="L2013" s="47" t="str">
        <f aca="false">IF(AND(J2013=1,N(I2013)&gt;0),SUMIF($K$2:$K$5001,"&gt;="&amp;K2013,$I$2:$I$5001)/MAX(1,SUM($H$2:$H$5001)),"")</f>
        <v/>
      </c>
      <c r="M2013" s="47" t="str">
        <f aca="false">IF($A2013="","",INDEX($L$2:$L$5001,MATCH($A2013,$A$2:$A$5001,0)))</f>
        <v/>
      </c>
      <c r="N2013" s="48" t="str">
        <f aca="false">IF($A2013="","",IF(N(M2013)=0,"–",IF(M2013&lt;=Start!$D$20,"A",IF(M2013&lt;=Start!$D$21,"B","C"))))</f>
        <v/>
      </c>
      <c r="O2013" s="48" t="str">
        <f aca="false">IF($A2013="","",IF(NOT(ISNUMBER(F2013)),"Wert fehlt; ",IF(F2013&lt;=0,"Wert ist 0; ",""))&amp;IF(NOT(ISNUMBER(E2013)),"Bestand fehlt; ",IF(E2013&lt;0,"Bestand negativ; ",IF(E2013=0,"Nullbestand; ","")))&amp;IF(D2013="","Warengruppe fehlt; ","")&amp;IF(B2013="","Bezeichnung fehlt; ","")&amp;IF(COUNTIFS($A$2:$A$5001,$A2013,$C$2:$C$5001,C2013)&gt;1,"Artikel doppelt im selben Lager; ",""))</f>
        <v/>
      </c>
      <c r="P2013" s="47" t="n">
        <f aca="false">IF(OR($A2013="",D2013=""),0,IF(COUNTIF($D$2:D2013,D2013)=1,SUMIF($D$2:$D$5001,D2013,$H$2:$H$5001)+ROW()/10000000,0))</f>
        <v>0</v>
      </c>
      <c r="Q2013" s="47" t="n">
        <f aca="false">IF(OR($A2013="",C2013=""),0,IF(COUNTIF($C$2:C2013,C2013)=1,SUMIF($C$2:$C$5001,C2013,$H$2:$H$5001)+ROW()/10000000,0))</f>
        <v>0</v>
      </c>
    </row>
    <row r="2014" customFormat="false" ht="15" hidden="false" customHeight="false" outlineLevel="0" collapsed="false">
      <c r="A2014" s="43"/>
      <c r="B2014" s="44"/>
      <c r="C2014" s="44"/>
      <c r="D2014" s="44"/>
      <c r="E2014" s="44"/>
      <c r="F2014" s="44"/>
      <c r="G2014" s="44"/>
      <c r="H2014" s="46" t="str">
        <f aca="false">IF($A2014="","",IF(OR(NOT(ISNUMBER(E2014)),NOT(ISNUMBER(F2014))),"",MAX(0,E2014)*F2014))</f>
        <v/>
      </c>
      <c r="I2014" s="46" t="str">
        <f aca="false">IF($A2014="","",SUMIF($A$2:$A$5001,$A2014,$H$2:$H$5001))</f>
        <v/>
      </c>
      <c r="J2014" s="47" t="n">
        <f aca="false">IF($A2014="",0,IF(COUNTIF($A$2:A2014,$A2014)=1,1,0))</f>
        <v>0</v>
      </c>
      <c r="K2014" s="47" t="n">
        <f aca="false">IF(J2014=1,N(I2014)+ROW()/10000000,0)</f>
        <v>0</v>
      </c>
      <c r="L2014" s="47" t="str">
        <f aca="false">IF(AND(J2014=1,N(I2014)&gt;0),SUMIF($K$2:$K$5001,"&gt;="&amp;K2014,$I$2:$I$5001)/MAX(1,SUM($H$2:$H$5001)),"")</f>
        <v/>
      </c>
      <c r="M2014" s="47" t="str">
        <f aca="false">IF($A2014="","",INDEX($L$2:$L$5001,MATCH($A2014,$A$2:$A$5001,0)))</f>
        <v/>
      </c>
      <c r="N2014" s="48" t="str">
        <f aca="false">IF($A2014="","",IF(N(M2014)=0,"–",IF(M2014&lt;=Start!$D$20,"A",IF(M2014&lt;=Start!$D$21,"B","C"))))</f>
        <v/>
      </c>
      <c r="O2014" s="48" t="str">
        <f aca="false">IF($A2014="","",IF(NOT(ISNUMBER(F2014)),"Wert fehlt; ",IF(F2014&lt;=0,"Wert ist 0; ",""))&amp;IF(NOT(ISNUMBER(E2014)),"Bestand fehlt; ",IF(E2014&lt;0,"Bestand negativ; ",IF(E2014=0,"Nullbestand; ","")))&amp;IF(D2014="","Warengruppe fehlt; ","")&amp;IF(B2014="","Bezeichnung fehlt; ","")&amp;IF(COUNTIFS($A$2:$A$5001,$A2014,$C$2:$C$5001,C2014)&gt;1,"Artikel doppelt im selben Lager; ",""))</f>
        <v/>
      </c>
      <c r="P2014" s="47" t="n">
        <f aca="false">IF(OR($A2014="",D2014=""),0,IF(COUNTIF($D$2:D2014,D2014)=1,SUMIF($D$2:$D$5001,D2014,$H$2:$H$5001)+ROW()/10000000,0))</f>
        <v>0</v>
      </c>
      <c r="Q2014" s="47" t="n">
        <f aca="false">IF(OR($A2014="",C2014=""),0,IF(COUNTIF($C$2:C2014,C2014)=1,SUMIF($C$2:$C$5001,C2014,$H$2:$H$5001)+ROW()/10000000,0))</f>
        <v>0</v>
      </c>
    </row>
    <row r="2015" customFormat="false" ht="15" hidden="false" customHeight="false" outlineLevel="0" collapsed="false">
      <c r="A2015" s="43"/>
      <c r="B2015" s="44"/>
      <c r="C2015" s="44"/>
      <c r="D2015" s="44"/>
      <c r="E2015" s="44"/>
      <c r="F2015" s="44"/>
      <c r="G2015" s="44"/>
      <c r="H2015" s="46" t="str">
        <f aca="false">IF($A2015="","",IF(OR(NOT(ISNUMBER(E2015)),NOT(ISNUMBER(F2015))),"",MAX(0,E2015)*F2015))</f>
        <v/>
      </c>
      <c r="I2015" s="46" t="str">
        <f aca="false">IF($A2015="","",SUMIF($A$2:$A$5001,$A2015,$H$2:$H$5001))</f>
        <v/>
      </c>
      <c r="J2015" s="47" t="n">
        <f aca="false">IF($A2015="",0,IF(COUNTIF($A$2:A2015,$A2015)=1,1,0))</f>
        <v>0</v>
      </c>
      <c r="K2015" s="47" t="n">
        <f aca="false">IF(J2015=1,N(I2015)+ROW()/10000000,0)</f>
        <v>0</v>
      </c>
      <c r="L2015" s="47" t="str">
        <f aca="false">IF(AND(J2015=1,N(I2015)&gt;0),SUMIF($K$2:$K$5001,"&gt;="&amp;K2015,$I$2:$I$5001)/MAX(1,SUM($H$2:$H$5001)),"")</f>
        <v/>
      </c>
      <c r="M2015" s="47" t="str">
        <f aca="false">IF($A2015="","",INDEX($L$2:$L$5001,MATCH($A2015,$A$2:$A$5001,0)))</f>
        <v/>
      </c>
      <c r="N2015" s="48" t="str">
        <f aca="false">IF($A2015="","",IF(N(M2015)=0,"–",IF(M2015&lt;=Start!$D$20,"A",IF(M2015&lt;=Start!$D$21,"B","C"))))</f>
        <v/>
      </c>
      <c r="O2015" s="48" t="str">
        <f aca="false">IF($A2015="","",IF(NOT(ISNUMBER(F2015)),"Wert fehlt; ",IF(F2015&lt;=0,"Wert ist 0; ",""))&amp;IF(NOT(ISNUMBER(E2015)),"Bestand fehlt; ",IF(E2015&lt;0,"Bestand negativ; ",IF(E2015=0,"Nullbestand; ","")))&amp;IF(D2015="","Warengruppe fehlt; ","")&amp;IF(B2015="","Bezeichnung fehlt; ","")&amp;IF(COUNTIFS($A$2:$A$5001,$A2015,$C$2:$C$5001,C2015)&gt;1,"Artikel doppelt im selben Lager; ",""))</f>
        <v/>
      </c>
      <c r="P2015" s="47" t="n">
        <f aca="false">IF(OR($A2015="",D2015=""),0,IF(COUNTIF($D$2:D2015,D2015)=1,SUMIF($D$2:$D$5001,D2015,$H$2:$H$5001)+ROW()/10000000,0))</f>
        <v>0</v>
      </c>
      <c r="Q2015" s="47" t="n">
        <f aca="false">IF(OR($A2015="",C2015=""),0,IF(COUNTIF($C$2:C2015,C2015)=1,SUMIF($C$2:$C$5001,C2015,$H$2:$H$5001)+ROW()/10000000,0))</f>
        <v>0</v>
      </c>
    </row>
    <row r="2016" customFormat="false" ht="15" hidden="false" customHeight="false" outlineLevel="0" collapsed="false">
      <c r="A2016" s="43"/>
      <c r="B2016" s="44"/>
      <c r="C2016" s="44"/>
      <c r="D2016" s="44"/>
      <c r="E2016" s="44"/>
      <c r="F2016" s="44"/>
      <c r="G2016" s="44"/>
      <c r="H2016" s="46" t="str">
        <f aca="false">IF($A2016="","",IF(OR(NOT(ISNUMBER(E2016)),NOT(ISNUMBER(F2016))),"",MAX(0,E2016)*F2016))</f>
        <v/>
      </c>
      <c r="I2016" s="46" t="str">
        <f aca="false">IF($A2016="","",SUMIF($A$2:$A$5001,$A2016,$H$2:$H$5001))</f>
        <v/>
      </c>
      <c r="J2016" s="47" t="n">
        <f aca="false">IF($A2016="",0,IF(COUNTIF($A$2:A2016,$A2016)=1,1,0))</f>
        <v>0</v>
      </c>
      <c r="K2016" s="47" t="n">
        <f aca="false">IF(J2016=1,N(I2016)+ROW()/10000000,0)</f>
        <v>0</v>
      </c>
      <c r="L2016" s="47" t="str">
        <f aca="false">IF(AND(J2016=1,N(I2016)&gt;0),SUMIF($K$2:$K$5001,"&gt;="&amp;K2016,$I$2:$I$5001)/MAX(1,SUM($H$2:$H$5001)),"")</f>
        <v/>
      </c>
      <c r="M2016" s="47" t="str">
        <f aca="false">IF($A2016="","",INDEX($L$2:$L$5001,MATCH($A2016,$A$2:$A$5001,0)))</f>
        <v/>
      </c>
      <c r="N2016" s="48" t="str">
        <f aca="false">IF($A2016="","",IF(N(M2016)=0,"–",IF(M2016&lt;=Start!$D$20,"A",IF(M2016&lt;=Start!$D$21,"B","C"))))</f>
        <v/>
      </c>
      <c r="O2016" s="48" t="str">
        <f aca="false">IF($A2016="","",IF(NOT(ISNUMBER(F2016)),"Wert fehlt; ",IF(F2016&lt;=0,"Wert ist 0; ",""))&amp;IF(NOT(ISNUMBER(E2016)),"Bestand fehlt; ",IF(E2016&lt;0,"Bestand negativ; ",IF(E2016=0,"Nullbestand; ","")))&amp;IF(D2016="","Warengruppe fehlt; ","")&amp;IF(B2016="","Bezeichnung fehlt; ","")&amp;IF(COUNTIFS($A$2:$A$5001,$A2016,$C$2:$C$5001,C2016)&gt;1,"Artikel doppelt im selben Lager; ",""))</f>
        <v/>
      </c>
      <c r="P2016" s="47" t="n">
        <f aca="false">IF(OR($A2016="",D2016=""),0,IF(COUNTIF($D$2:D2016,D2016)=1,SUMIF($D$2:$D$5001,D2016,$H$2:$H$5001)+ROW()/10000000,0))</f>
        <v>0</v>
      </c>
      <c r="Q2016" s="47" t="n">
        <f aca="false">IF(OR($A2016="",C2016=""),0,IF(COUNTIF($C$2:C2016,C2016)=1,SUMIF($C$2:$C$5001,C2016,$H$2:$H$5001)+ROW()/10000000,0))</f>
        <v>0</v>
      </c>
    </row>
    <row r="2017" customFormat="false" ht="15" hidden="false" customHeight="false" outlineLevel="0" collapsed="false">
      <c r="A2017" s="43"/>
      <c r="B2017" s="44"/>
      <c r="C2017" s="44"/>
      <c r="D2017" s="44"/>
      <c r="E2017" s="44"/>
      <c r="F2017" s="44"/>
      <c r="G2017" s="44"/>
      <c r="H2017" s="46" t="str">
        <f aca="false">IF($A2017="","",IF(OR(NOT(ISNUMBER(E2017)),NOT(ISNUMBER(F2017))),"",MAX(0,E2017)*F2017))</f>
        <v/>
      </c>
      <c r="I2017" s="46" t="str">
        <f aca="false">IF($A2017="","",SUMIF($A$2:$A$5001,$A2017,$H$2:$H$5001))</f>
        <v/>
      </c>
      <c r="J2017" s="47" t="n">
        <f aca="false">IF($A2017="",0,IF(COUNTIF($A$2:A2017,$A2017)=1,1,0))</f>
        <v>0</v>
      </c>
      <c r="K2017" s="47" t="n">
        <f aca="false">IF(J2017=1,N(I2017)+ROW()/10000000,0)</f>
        <v>0</v>
      </c>
      <c r="L2017" s="47" t="str">
        <f aca="false">IF(AND(J2017=1,N(I2017)&gt;0),SUMIF($K$2:$K$5001,"&gt;="&amp;K2017,$I$2:$I$5001)/MAX(1,SUM($H$2:$H$5001)),"")</f>
        <v/>
      </c>
      <c r="M2017" s="47" t="str">
        <f aca="false">IF($A2017="","",INDEX($L$2:$L$5001,MATCH($A2017,$A$2:$A$5001,0)))</f>
        <v/>
      </c>
      <c r="N2017" s="48" t="str">
        <f aca="false">IF($A2017="","",IF(N(M2017)=0,"–",IF(M2017&lt;=Start!$D$20,"A",IF(M2017&lt;=Start!$D$21,"B","C"))))</f>
        <v/>
      </c>
      <c r="O2017" s="48" t="str">
        <f aca="false">IF($A2017="","",IF(NOT(ISNUMBER(F2017)),"Wert fehlt; ",IF(F2017&lt;=0,"Wert ist 0; ",""))&amp;IF(NOT(ISNUMBER(E2017)),"Bestand fehlt; ",IF(E2017&lt;0,"Bestand negativ; ",IF(E2017=0,"Nullbestand; ","")))&amp;IF(D2017="","Warengruppe fehlt; ","")&amp;IF(B2017="","Bezeichnung fehlt; ","")&amp;IF(COUNTIFS($A$2:$A$5001,$A2017,$C$2:$C$5001,C2017)&gt;1,"Artikel doppelt im selben Lager; ",""))</f>
        <v/>
      </c>
      <c r="P2017" s="47" t="n">
        <f aca="false">IF(OR($A2017="",D2017=""),0,IF(COUNTIF($D$2:D2017,D2017)=1,SUMIF($D$2:$D$5001,D2017,$H$2:$H$5001)+ROW()/10000000,0))</f>
        <v>0</v>
      </c>
      <c r="Q2017" s="47" t="n">
        <f aca="false">IF(OR($A2017="",C2017=""),0,IF(COUNTIF($C$2:C2017,C2017)=1,SUMIF($C$2:$C$5001,C2017,$H$2:$H$5001)+ROW()/10000000,0))</f>
        <v>0</v>
      </c>
    </row>
    <row r="2018" customFormat="false" ht="15" hidden="false" customHeight="false" outlineLevel="0" collapsed="false">
      <c r="A2018" s="43"/>
      <c r="B2018" s="44"/>
      <c r="C2018" s="44"/>
      <c r="D2018" s="44"/>
      <c r="E2018" s="44"/>
      <c r="F2018" s="44"/>
      <c r="G2018" s="44"/>
      <c r="H2018" s="46" t="str">
        <f aca="false">IF($A2018="","",IF(OR(NOT(ISNUMBER(E2018)),NOT(ISNUMBER(F2018))),"",MAX(0,E2018)*F2018))</f>
        <v/>
      </c>
      <c r="I2018" s="46" t="str">
        <f aca="false">IF($A2018="","",SUMIF($A$2:$A$5001,$A2018,$H$2:$H$5001))</f>
        <v/>
      </c>
      <c r="J2018" s="47" t="n">
        <f aca="false">IF($A2018="",0,IF(COUNTIF($A$2:A2018,$A2018)=1,1,0))</f>
        <v>0</v>
      </c>
      <c r="K2018" s="47" t="n">
        <f aca="false">IF(J2018=1,N(I2018)+ROW()/10000000,0)</f>
        <v>0</v>
      </c>
      <c r="L2018" s="47" t="str">
        <f aca="false">IF(AND(J2018=1,N(I2018)&gt;0),SUMIF($K$2:$K$5001,"&gt;="&amp;K2018,$I$2:$I$5001)/MAX(1,SUM($H$2:$H$5001)),"")</f>
        <v/>
      </c>
      <c r="M2018" s="47" t="str">
        <f aca="false">IF($A2018="","",INDEX($L$2:$L$5001,MATCH($A2018,$A$2:$A$5001,0)))</f>
        <v/>
      </c>
      <c r="N2018" s="48" t="str">
        <f aca="false">IF($A2018="","",IF(N(M2018)=0,"–",IF(M2018&lt;=Start!$D$20,"A",IF(M2018&lt;=Start!$D$21,"B","C"))))</f>
        <v/>
      </c>
      <c r="O2018" s="48" t="str">
        <f aca="false">IF($A2018="","",IF(NOT(ISNUMBER(F2018)),"Wert fehlt; ",IF(F2018&lt;=0,"Wert ist 0; ",""))&amp;IF(NOT(ISNUMBER(E2018)),"Bestand fehlt; ",IF(E2018&lt;0,"Bestand negativ; ",IF(E2018=0,"Nullbestand; ","")))&amp;IF(D2018="","Warengruppe fehlt; ","")&amp;IF(B2018="","Bezeichnung fehlt; ","")&amp;IF(COUNTIFS($A$2:$A$5001,$A2018,$C$2:$C$5001,C2018)&gt;1,"Artikel doppelt im selben Lager; ",""))</f>
        <v/>
      </c>
      <c r="P2018" s="47" t="n">
        <f aca="false">IF(OR($A2018="",D2018=""),0,IF(COUNTIF($D$2:D2018,D2018)=1,SUMIF($D$2:$D$5001,D2018,$H$2:$H$5001)+ROW()/10000000,0))</f>
        <v>0</v>
      </c>
      <c r="Q2018" s="47" t="n">
        <f aca="false">IF(OR($A2018="",C2018=""),0,IF(COUNTIF($C$2:C2018,C2018)=1,SUMIF($C$2:$C$5001,C2018,$H$2:$H$5001)+ROW()/10000000,0))</f>
        <v>0</v>
      </c>
    </row>
    <row r="2019" customFormat="false" ht="15" hidden="false" customHeight="false" outlineLevel="0" collapsed="false">
      <c r="A2019" s="43"/>
      <c r="B2019" s="44"/>
      <c r="C2019" s="44"/>
      <c r="D2019" s="44"/>
      <c r="E2019" s="44"/>
      <c r="F2019" s="44"/>
      <c r="G2019" s="44"/>
      <c r="H2019" s="46" t="str">
        <f aca="false">IF($A2019="","",IF(OR(NOT(ISNUMBER(E2019)),NOT(ISNUMBER(F2019))),"",MAX(0,E2019)*F2019))</f>
        <v/>
      </c>
      <c r="I2019" s="46" t="str">
        <f aca="false">IF($A2019="","",SUMIF($A$2:$A$5001,$A2019,$H$2:$H$5001))</f>
        <v/>
      </c>
      <c r="J2019" s="47" t="n">
        <f aca="false">IF($A2019="",0,IF(COUNTIF($A$2:A2019,$A2019)=1,1,0))</f>
        <v>0</v>
      </c>
      <c r="K2019" s="47" t="n">
        <f aca="false">IF(J2019=1,N(I2019)+ROW()/10000000,0)</f>
        <v>0</v>
      </c>
      <c r="L2019" s="47" t="str">
        <f aca="false">IF(AND(J2019=1,N(I2019)&gt;0),SUMIF($K$2:$K$5001,"&gt;="&amp;K2019,$I$2:$I$5001)/MAX(1,SUM($H$2:$H$5001)),"")</f>
        <v/>
      </c>
      <c r="M2019" s="47" t="str">
        <f aca="false">IF($A2019="","",INDEX($L$2:$L$5001,MATCH($A2019,$A$2:$A$5001,0)))</f>
        <v/>
      </c>
      <c r="N2019" s="48" t="str">
        <f aca="false">IF($A2019="","",IF(N(M2019)=0,"–",IF(M2019&lt;=Start!$D$20,"A",IF(M2019&lt;=Start!$D$21,"B","C"))))</f>
        <v/>
      </c>
      <c r="O2019" s="48" t="str">
        <f aca="false">IF($A2019="","",IF(NOT(ISNUMBER(F2019)),"Wert fehlt; ",IF(F2019&lt;=0,"Wert ist 0; ",""))&amp;IF(NOT(ISNUMBER(E2019)),"Bestand fehlt; ",IF(E2019&lt;0,"Bestand negativ; ",IF(E2019=0,"Nullbestand; ","")))&amp;IF(D2019="","Warengruppe fehlt; ","")&amp;IF(B2019="","Bezeichnung fehlt; ","")&amp;IF(COUNTIFS($A$2:$A$5001,$A2019,$C$2:$C$5001,C2019)&gt;1,"Artikel doppelt im selben Lager; ",""))</f>
        <v/>
      </c>
      <c r="P2019" s="47" t="n">
        <f aca="false">IF(OR($A2019="",D2019=""),0,IF(COUNTIF($D$2:D2019,D2019)=1,SUMIF($D$2:$D$5001,D2019,$H$2:$H$5001)+ROW()/10000000,0))</f>
        <v>0</v>
      </c>
      <c r="Q2019" s="47" t="n">
        <f aca="false">IF(OR($A2019="",C2019=""),0,IF(COUNTIF($C$2:C2019,C2019)=1,SUMIF($C$2:$C$5001,C2019,$H$2:$H$5001)+ROW()/10000000,0))</f>
        <v>0</v>
      </c>
    </row>
    <row r="2020" customFormat="false" ht="15" hidden="false" customHeight="false" outlineLevel="0" collapsed="false">
      <c r="A2020" s="43"/>
      <c r="B2020" s="44"/>
      <c r="C2020" s="44"/>
      <c r="D2020" s="44"/>
      <c r="E2020" s="44"/>
      <c r="F2020" s="44"/>
      <c r="G2020" s="44"/>
      <c r="H2020" s="46" t="str">
        <f aca="false">IF($A2020="","",IF(OR(NOT(ISNUMBER(E2020)),NOT(ISNUMBER(F2020))),"",MAX(0,E2020)*F2020))</f>
        <v/>
      </c>
      <c r="I2020" s="46" t="str">
        <f aca="false">IF($A2020="","",SUMIF($A$2:$A$5001,$A2020,$H$2:$H$5001))</f>
        <v/>
      </c>
      <c r="J2020" s="47" t="n">
        <f aca="false">IF($A2020="",0,IF(COUNTIF($A$2:A2020,$A2020)=1,1,0))</f>
        <v>0</v>
      </c>
      <c r="K2020" s="47" t="n">
        <f aca="false">IF(J2020=1,N(I2020)+ROW()/10000000,0)</f>
        <v>0</v>
      </c>
      <c r="L2020" s="47" t="str">
        <f aca="false">IF(AND(J2020=1,N(I2020)&gt;0),SUMIF($K$2:$K$5001,"&gt;="&amp;K2020,$I$2:$I$5001)/MAX(1,SUM($H$2:$H$5001)),"")</f>
        <v/>
      </c>
      <c r="M2020" s="47" t="str">
        <f aca="false">IF($A2020="","",INDEX($L$2:$L$5001,MATCH($A2020,$A$2:$A$5001,0)))</f>
        <v/>
      </c>
      <c r="N2020" s="48" t="str">
        <f aca="false">IF($A2020="","",IF(N(M2020)=0,"–",IF(M2020&lt;=Start!$D$20,"A",IF(M2020&lt;=Start!$D$21,"B","C"))))</f>
        <v/>
      </c>
      <c r="O2020" s="48" t="str">
        <f aca="false">IF($A2020="","",IF(NOT(ISNUMBER(F2020)),"Wert fehlt; ",IF(F2020&lt;=0,"Wert ist 0; ",""))&amp;IF(NOT(ISNUMBER(E2020)),"Bestand fehlt; ",IF(E2020&lt;0,"Bestand negativ; ",IF(E2020=0,"Nullbestand; ","")))&amp;IF(D2020="","Warengruppe fehlt; ","")&amp;IF(B2020="","Bezeichnung fehlt; ","")&amp;IF(COUNTIFS($A$2:$A$5001,$A2020,$C$2:$C$5001,C2020)&gt;1,"Artikel doppelt im selben Lager; ",""))</f>
        <v/>
      </c>
      <c r="P2020" s="47" t="n">
        <f aca="false">IF(OR($A2020="",D2020=""),0,IF(COUNTIF($D$2:D2020,D2020)=1,SUMIF($D$2:$D$5001,D2020,$H$2:$H$5001)+ROW()/10000000,0))</f>
        <v>0</v>
      </c>
      <c r="Q2020" s="47" t="n">
        <f aca="false">IF(OR($A2020="",C2020=""),0,IF(COUNTIF($C$2:C2020,C2020)=1,SUMIF($C$2:$C$5001,C2020,$H$2:$H$5001)+ROW()/10000000,0))</f>
        <v>0</v>
      </c>
    </row>
    <row r="2021" customFormat="false" ht="15" hidden="false" customHeight="false" outlineLevel="0" collapsed="false">
      <c r="A2021" s="43"/>
      <c r="B2021" s="44"/>
      <c r="C2021" s="44"/>
      <c r="D2021" s="44"/>
      <c r="E2021" s="44"/>
      <c r="F2021" s="44"/>
      <c r="G2021" s="44"/>
      <c r="H2021" s="46" t="str">
        <f aca="false">IF($A2021="","",IF(OR(NOT(ISNUMBER(E2021)),NOT(ISNUMBER(F2021))),"",MAX(0,E2021)*F2021))</f>
        <v/>
      </c>
      <c r="I2021" s="46" t="str">
        <f aca="false">IF($A2021="","",SUMIF($A$2:$A$5001,$A2021,$H$2:$H$5001))</f>
        <v/>
      </c>
      <c r="J2021" s="47" t="n">
        <f aca="false">IF($A2021="",0,IF(COUNTIF($A$2:A2021,$A2021)=1,1,0))</f>
        <v>0</v>
      </c>
      <c r="K2021" s="47" t="n">
        <f aca="false">IF(J2021=1,N(I2021)+ROW()/10000000,0)</f>
        <v>0</v>
      </c>
      <c r="L2021" s="47" t="str">
        <f aca="false">IF(AND(J2021=1,N(I2021)&gt;0),SUMIF($K$2:$K$5001,"&gt;="&amp;K2021,$I$2:$I$5001)/MAX(1,SUM($H$2:$H$5001)),"")</f>
        <v/>
      </c>
      <c r="M2021" s="47" t="str">
        <f aca="false">IF($A2021="","",INDEX($L$2:$L$5001,MATCH($A2021,$A$2:$A$5001,0)))</f>
        <v/>
      </c>
      <c r="N2021" s="48" t="str">
        <f aca="false">IF($A2021="","",IF(N(M2021)=0,"–",IF(M2021&lt;=Start!$D$20,"A",IF(M2021&lt;=Start!$D$21,"B","C"))))</f>
        <v/>
      </c>
      <c r="O2021" s="48" t="str">
        <f aca="false">IF($A2021="","",IF(NOT(ISNUMBER(F2021)),"Wert fehlt; ",IF(F2021&lt;=0,"Wert ist 0; ",""))&amp;IF(NOT(ISNUMBER(E2021)),"Bestand fehlt; ",IF(E2021&lt;0,"Bestand negativ; ",IF(E2021=0,"Nullbestand; ","")))&amp;IF(D2021="","Warengruppe fehlt; ","")&amp;IF(B2021="","Bezeichnung fehlt; ","")&amp;IF(COUNTIFS($A$2:$A$5001,$A2021,$C$2:$C$5001,C2021)&gt;1,"Artikel doppelt im selben Lager; ",""))</f>
        <v/>
      </c>
      <c r="P2021" s="47" t="n">
        <f aca="false">IF(OR($A2021="",D2021=""),0,IF(COUNTIF($D$2:D2021,D2021)=1,SUMIF($D$2:$D$5001,D2021,$H$2:$H$5001)+ROW()/10000000,0))</f>
        <v>0</v>
      </c>
      <c r="Q2021" s="47" t="n">
        <f aca="false">IF(OR($A2021="",C2021=""),0,IF(COUNTIF($C$2:C2021,C2021)=1,SUMIF($C$2:$C$5001,C2021,$H$2:$H$5001)+ROW()/10000000,0))</f>
        <v>0</v>
      </c>
    </row>
    <row r="2022" customFormat="false" ht="15" hidden="false" customHeight="false" outlineLevel="0" collapsed="false">
      <c r="A2022" s="43"/>
      <c r="B2022" s="44"/>
      <c r="C2022" s="44"/>
      <c r="D2022" s="44"/>
      <c r="E2022" s="44"/>
      <c r="F2022" s="44"/>
      <c r="G2022" s="44"/>
      <c r="H2022" s="46" t="str">
        <f aca="false">IF($A2022="","",IF(OR(NOT(ISNUMBER(E2022)),NOT(ISNUMBER(F2022))),"",MAX(0,E2022)*F2022))</f>
        <v/>
      </c>
      <c r="I2022" s="46" t="str">
        <f aca="false">IF($A2022="","",SUMIF($A$2:$A$5001,$A2022,$H$2:$H$5001))</f>
        <v/>
      </c>
      <c r="J2022" s="47" t="n">
        <f aca="false">IF($A2022="",0,IF(COUNTIF($A$2:A2022,$A2022)=1,1,0))</f>
        <v>0</v>
      </c>
      <c r="K2022" s="47" t="n">
        <f aca="false">IF(J2022=1,N(I2022)+ROW()/10000000,0)</f>
        <v>0</v>
      </c>
      <c r="L2022" s="47" t="str">
        <f aca="false">IF(AND(J2022=1,N(I2022)&gt;0),SUMIF($K$2:$K$5001,"&gt;="&amp;K2022,$I$2:$I$5001)/MAX(1,SUM($H$2:$H$5001)),"")</f>
        <v/>
      </c>
      <c r="M2022" s="47" t="str">
        <f aca="false">IF($A2022="","",INDEX($L$2:$L$5001,MATCH($A2022,$A$2:$A$5001,0)))</f>
        <v/>
      </c>
      <c r="N2022" s="48" t="str">
        <f aca="false">IF($A2022="","",IF(N(M2022)=0,"–",IF(M2022&lt;=Start!$D$20,"A",IF(M2022&lt;=Start!$D$21,"B","C"))))</f>
        <v/>
      </c>
      <c r="O2022" s="48" t="str">
        <f aca="false">IF($A2022="","",IF(NOT(ISNUMBER(F2022)),"Wert fehlt; ",IF(F2022&lt;=0,"Wert ist 0; ",""))&amp;IF(NOT(ISNUMBER(E2022)),"Bestand fehlt; ",IF(E2022&lt;0,"Bestand negativ; ",IF(E2022=0,"Nullbestand; ","")))&amp;IF(D2022="","Warengruppe fehlt; ","")&amp;IF(B2022="","Bezeichnung fehlt; ","")&amp;IF(COUNTIFS($A$2:$A$5001,$A2022,$C$2:$C$5001,C2022)&gt;1,"Artikel doppelt im selben Lager; ",""))</f>
        <v/>
      </c>
      <c r="P2022" s="47" t="n">
        <f aca="false">IF(OR($A2022="",D2022=""),0,IF(COUNTIF($D$2:D2022,D2022)=1,SUMIF($D$2:$D$5001,D2022,$H$2:$H$5001)+ROW()/10000000,0))</f>
        <v>0</v>
      </c>
      <c r="Q2022" s="47" t="n">
        <f aca="false">IF(OR($A2022="",C2022=""),0,IF(COUNTIF($C$2:C2022,C2022)=1,SUMIF($C$2:$C$5001,C2022,$H$2:$H$5001)+ROW()/10000000,0))</f>
        <v>0</v>
      </c>
    </row>
    <row r="2023" customFormat="false" ht="15" hidden="false" customHeight="false" outlineLevel="0" collapsed="false">
      <c r="A2023" s="43"/>
      <c r="B2023" s="44"/>
      <c r="C2023" s="44"/>
      <c r="D2023" s="44"/>
      <c r="E2023" s="44"/>
      <c r="F2023" s="44"/>
      <c r="G2023" s="44"/>
      <c r="H2023" s="46" t="str">
        <f aca="false">IF($A2023="","",IF(OR(NOT(ISNUMBER(E2023)),NOT(ISNUMBER(F2023))),"",MAX(0,E2023)*F2023))</f>
        <v/>
      </c>
      <c r="I2023" s="46" t="str">
        <f aca="false">IF($A2023="","",SUMIF($A$2:$A$5001,$A2023,$H$2:$H$5001))</f>
        <v/>
      </c>
      <c r="J2023" s="47" t="n">
        <f aca="false">IF($A2023="",0,IF(COUNTIF($A$2:A2023,$A2023)=1,1,0))</f>
        <v>0</v>
      </c>
      <c r="K2023" s="47" t="n">
        <f aca="false">IF(J2023=1,N(I2023)+ROW()/10000000,0)</f>
        <v>0</v>
      </c>
      <c r="L2023" s="47" t="str">
        <f aca="false">IF(AND(J2023=1,N(I2023)&gt;0),SUMIF($K$2:$K$5001,"&gt;="&amp;K2023,$I$2:$I$5001)/MAX(1,SUM($H$2:$H$5001)),"")</f>
        <v/>
      </c>
      <c r="M2023" s="47" t="str">
        <f aca="false">IF($A2023="","",INDEX($L$2:$L$5001,MATCH($A2023,$A$2:$A$5001,0)))</f>
        <v/>
      </c>
      <c r="N2023" s="48" t="str">
        <f aca="false">IF($A2023="","",IF(N(M2023)=0,"–",IF(M2023&lt;=Start!$D$20,"A",IF(M2023&lt;=Start!$D$21,"B","C"))))</f>
        <v/>
      </c>
      <c r="O2023" s="48" t="str">
        <f aca="false">IF($A2023="","",IF(NOT(ISNUMBER(F2023)),"Wert fehlt; ",IF(F2023&lt;=0,"Wert ist 0; ",""))&amp;IF(NOT(ISNUMBER(E2023)),"Bestand fehlt; ",IF(E2023&lt;0,"Bestand negativ; ",IF(E2023=0,"Nullbestand; ","")))&amp;IF(D2023="","Warengruppe fehlt; ","")&amp;IF(B2023="","Bezeichnung fehlt; ","")&amp;IF(COUNTIFS($A$2:$A$5001,$A2023,$C$2:$C$5001,C2023)&gt;1,"Artikel doppelt im selben Lager; ",""))</f>
        <v/>
      </c>
      <c r="P2023" s="47" t="n">
        <f aca="false">IF(OR($A2023="",D2023=""),0,IF(COUNTIF($D$2:D2023,D2023)=1,SUMIF($D$2:$D$5001,D2023,$H$2:$H$5001)+ROW()/10000000,0))</f>
        <v>0</v>
      </c>
      <c r="Q2023" s="47" t="n">
        <f aca="false">IF(OR($A2023="",C2023=""),0,IF(COUNTIF($C$2:C2023,C2023)=1,SUMIF($C$2:$C$5001,C2023,$H$2:$H$5001)+ROW()/10000000,0))</f>
        <v>0</v>
      </c>
    </row>
    <row r="2024" customFormat="false" ht="15" hidden="false" customHeight="false" outlineLevel="0" collapsed="false">
      <c r="A2024" s="43"/>
      <c r="B2024" s="44"/>
      <c r="C2024" s="44"/>
      <c r="D2024" s="44"/>
      <c r="E2024" s="44"/>
      <c r="F2024" s="44"/>
      <c r="G2024" s="44"/>
      <c r="H2024" s="46" t="str">
        <f aca="false">IF($A2024="","",IF(OR(NOT(ISNUMBER(E2024)),NOT(ISNUMBER(F2024))),"",MAX(0,E2024)*F2024))</f>
        <v/>
      </c>
      <c r="I2024" s="46" t="str">
        <f aca="false">IF($A2024="","",SUMIF($A$2:$A$5001,$A2024,$H$2:$H$5001))</f>
        <v/>
      </c>
      <c r="J2024" s="47" t="n">
        <f aca="false">IF($A2024="",0,IF(COUNTIF($A$2:A2024,$A2024)=1,1,0))</f>
        <v>0</v>
      </c>
      <c r="K2024" s="47" t="n">
        <f aca="false">IF(J2024=1,N(I2024)+ROW()/10000000,0)</f>
        <v>0</v>
      </c>
      <c r="L2024" s="47" t="str">
        <f aca="false">IF(AND(J2024=1,N(I2024)&gt;0),SUMIF($K$2:$K$5001,"&gt;="&amp;K2024,$I$2:$I$5001)/MAX(1,SUM($H$2:$H$5001)),"")</f>
        <v/>
      </c>
      <c r="M2024" s="47" t="str">
        <f aca="false">IF($A2024="","",INDEX($L$2:$L$5001,MATCH($A2024,$A$2:$A$5001,0)))</f>
        <v/>
      </c>
      <c r="N2024" s="48" t="str">
        <f aca="false">IF($A2024="","",IF(N(M2024)=0,"–",IF(M2024&lt;=Start!$D$20,"A",IF(M2024&lt;=Start!$D$21,"B","C"))))</f>
        <v/>
      </c>
      <c r="O2024" s="48" t="str">
        <f aca="false">IF($A2024="","",IF(NOT(ISNUMBER(F2024)),"Wert fehlt; ",IF(F2024&lt;=0,"Wert ist 0; ",""))&amp;IF(NOT(ISNUMBER(E2024)),"Bestand fehlt; ",IF(E2024&lt;0,"Bestand negativ; ",IF(E2024=0,"Nullbestand; ","")))&amp;IF(D2024="","Warengruppe fehlt; ","")&amp;IF(B2024="","Bezeichnung fehlt; ","")&amp;IF(COUNTIFS($A$2:$A$5001,$A2024,$C$2:$C$5001,C2024)&gt;1,"Artikel doppelt im selben Lager; ",""))</f>
        <v/>
      </c>
      <c r="P2024" s="47" t="n">
        <f aca="false">IF(OR($A2024="",D2024=""),0,IF(COUNTIF($D$2:D2024,D2024)=1,SUMIF($D$2:$D$5001,D2024,$H$2:$H$5001)+ROW()/10000000,0))</f>
        <v>0</v>
      </c>
      <c r="Q2024" s="47" t="n">
        <f aca="false">IF(OR($A2024="",C2024=""),0,IF(COUNTIF($C$2:C2024,C2024)=1,SUMIF($C$2:$C$5001,C2024,$H$2:$H$5001)+ROW()/10000000,0))</f>
        <v>0</v>
      </c>
    </row>
    <row r="2025" customFormat="false" ht="15" hidden="false" customHeight="false" outlineLevel="0" collapsed="false">
      <c r="A2025" s="43"/>
      <c r="B2025" s="44"/>
      <c r="C2025" s="44"/>
      <c r="D2025" s="44"/>
      <c r="E2025" s="44"/>
      <c r="F2025" s="44"/>
      <c r="G2025" s="44"/>
      <c r="H2025" s="46" t="str">
        <f aca="false">IF($A2025="","",IF(OR(NOT(ISNUMBER(E2025)),NOT(ISNUMBER(F2025))),"",MAX(0,E2025)*F2025))</f>
        <v/>
      </c>
      <c r="I2025" s="46" t="str">
        <f aca="false">IF($A2025="","",SUMIF($A$2:$A$5001,$A2025,$H$2:$H$5001))</f>
        <v/>
      </c>
      <c r="J2025" s="47" t="n">
        <f aca="false">IF($A2025="",0,IF(COUNTIF($A$2:A2025,$A2025)=1,1,0))</f>
        <v>0</v>
      </c>
      <c r="K2025" s="47" t="n">
        <f aca="false">IF(J2025=1,N(I2025)+ROW()/10000000,0)</f>
        <v>0</v>
      </c>
      <c r="L2025" s="47" t="str">
        <f aca="false">IF(AND(J2025=1,N(I2025)&gt;0),SUMIF($K$2:$K$5001,"&gt;="&amp;K2025,$I$2:$I$5001)/MAX(1,SUM($H$2:$H$5001)),"")</f>
        <v/>
      </c>
      <c r="M2025" s="47" t="str">
        <f aca="false">IF($A2025="","",INDEX($L$2:$L$5001,MATCH($A2025,$A$2:$A$5001,0)))</f>
        <v/>
      </c>
      <c r="N2025" s="48" t="str">
        <f aca="false">IF($A2025="","",IF(N(M2025)=0,"–",IF(M2025&lt;=Start!$D$20,"A",IF(M2025&lt;=Start!$D$21,"B","C"))))</f>
        <v/>
      </c>
      <c r="O2025" s="48" t="str">
        <f aca="false">IF($A2025="","",IF(NOT(ISNUMBER(F2025)),"Wert fehlt; ",IF(F2025&lt;=0,"Wert ist 0; ",""))&amp;IF(NOT(ISNUMBER(E2025)),"Bestand fehlt; ",IF(E2025&lt;0,"Bestand negativ; ",IF(E2025=0,"Nullbestand; ","")))&amp;IF(D2025="","Warengruppe fehlt; ","")&amp;IF(B2025="","Bezeichnung fehlt; ","")&amp;IF(COUNTIFS($A$2:$A$5001,$A2025,$C$2:$C$5001,C2025)&gt;1,"Artikel doppelt im selben Lager; ",""))</f>
        <v/>
      </c>
      <c r="P2025" s="47" t="n">
        <f aca="false">IF(OR($A2025="",D2025=""),0,IF(COUNTIF($D$2:D2025,D2025)=1,SUMIF($D$2:$D$5001,D2025,$H$2:$H$5001)+ROW()/10000000,0))</f>
        <v>0</v>
      </c>
      <c r="Q2025" s="47" t="n">
        <f aca="false">IF(OR($A2025="",C2025=""),0,IF(COUNTIF($C$2:C2025,C2025)=1,SUMIF($C$2:$C$5001,C2025,$H$2:$H$5001)+ROW()/10000000,0))</f>
        <v>0</v>
      </c>
    </row>
    <row r="2026" customFormat="false" ht="15" hidden="false" customHeight="false" outlineLevel="0" collapsed="false">
      <c r="A2026" s="43"/>
      <c r="B2026" s="44"/>
      <c r="C2026" s="44"/>
      <c r="D2026" s="44"/>
      <c r="E2026" s="44"/>
      <c r="F2026" s="44"/>
      <c r="G2026" s="44"/>
      <c r="H2026" s="46" t="str">
        <f aca="false">IF($A2026="","",IF(OR(NOT(ISNUMBER(E2026)),NOT(ISNUMBER(F2026))),"",MAX(0,E2026)*F2026))</f>
        <v/>
      </c>
      <c r="I2026" s="46" t="str">
        <f aca="false">IF($A2026="","",SUMIF($A$2:$A$5001,$A2026,$H$2:$H$5001))</f>
        <v/>
      </c>
      <c r="J2026" s="47" t="n">
        <f aca="false">IF($A2026="",0,IF(COUNTIF($A$2:A2026,$A2026)=1,1,0))</f>
        <v>0</v>
      </c>
      <c r="K2026" s="47" t="n">
        <f aca="false">IF(J2026=1,N(I2026)+ROW()/10000000,0)</f>
        <v>0</v>
      </c>
      <c r="L2026" s="47" t="str">
        <f aca="false">IF(AND(J2026=1,N(I2026)&gt;0),SUMIF($K$2:$K$5001,"&gt;="&amp;K2026,$I$2:$I$5001)/MAX(1,SUM($H$2:$H$5001)),"")</f>
        <v/>
      </c>
      <c r="M2026" s="47" t="str">
        <f aca="false">IF($A2026="","",INDEX($L$2:$L$5001,MATCH($A2026,$A$2:$A$5001,0)))</f>
        <v/>
      </c>
      <c r="N2026" s="48" t="str">
        <f aca="false">IF($A2026="","",IF(N(M2026)=0,"–",IF(M2026&lt;=Start!$D$20,"A",IF(M2026&lt;=Start!$D$21,"B","C"))))</f>
        <v/>
      </c>
      <c r="O2026" s="48" t="str">
        <f aca="false">IF($A2026="","",IF(NOT(ISNUMBER(F2026)),"Wert fehlt; ",IF(F2026&lt;=0,"Wert ist 0; ",""))&amp;IF(NOT(ISNUMBER(E2026)),"Bestand fehlt; ",IF(E2026&lt;0,"Bestand negativ; ",IF(E2026=0,"Nullbestand; ","")))&amp;IF(D2026="","Warengruppe fehlt; ","")&amp;IF(B2026="","Bezeichnung fehlt; ","")&amp;IF(COUNTIFS($A$2:$A$5001,$A2026,$C$2:$C$5001,C2026)&gt;1,"Artikel doppelt im selben Lager; ",""))</f>
        <v/>
      </c>
      <c r="P2026" s="47" t="n">
        <f aca="false">IF(OR($A2026="",D2026=""),0,IF(COUNTIF($D$2:D2026,D2026)=1,SUMIF($D$2:$D$5001,D2026,$H$2:$H$5001)+ROW()/10000000,0))</f>
        <v>0</v>
      </c>
      <c r="Q2026" s="47" t="n">
        <f aca="false">IF(OR($A2026="",C2026=""),0,IF(COUNTIF($C$2:C2026,C2026)=1,SUMIF($C$2:$C$5001,C2026,$H$2:$H$5001)+ROW()/10000000,0))</f>
        <v>0</v>
      </c>
    </row>
    <row r="2027" customFormat="false" ht="15" hidden="false" customHeight="false" outlineLevel="0" collapsed="false">
      <c r="A2027" s="43"/>
      <c r="B2027" s="44"/>
      <c r="C2027" s="44"/>
      <c r="D2027" s="44"/>
      <c r="E2027" s="44"/>
      <c r="F2027" s="44"/>
      <c r="G2027" s="44"/>
      <c r="H2027" s="46" t="str">
        <f aca="false">IF($A2027="","",IF(OR(NOT(ISNUMBER(E2027)),NOT(ISNUMBER(F2027))),"",MAX(0,E2027)*F2027))</f>
        <v/>
      </c>
      <c r="I2027" s="46" t="str">
        <f aca="false">IF($A2027="","",SUMIF($A$2:$A$5001,$A2027,$H$2:$H$5001))</f>
        <v/>
      </c>
      <c r="J2027" s="47" t="n">
        <f aca="false">IF($A2027="",0,IF(COUNTIF($A$2:A2027,$A2027)=1,1,0))</f>
        <v>0</v>
      </c>
      <c r="K2027" s="47" t="n">
        <f aca="false">IF(J2027=1,N(I2027)+ROW()/10000000,0)</f>
        <v>0</v>
      </c>
      <c r="L2027" s="47" t="str">
        <f aca="false">IF(AND(J2027=1,N(I2027)&gt;0),SUMIF($K$2:$K$5001,"&gt;="&amp;K2027,$I$2:$I$5001)/MAX(1,SUM($H$2:$H$5001)),"")</f>
        <v/>
      </c>
      <c r="M2027" s="47" t="str">
        <f aca="false">IF($A2027="","",INDEX($L$2:$L$5001,MATCH($A2027,$A$2:$A$5001,0)))</f>
        <v/>
      </c>
      <c r="N2027" s="48" t="str">
        <f aca="false">IF($A2027="","",IF(N(M2027)=0,"–",IF(M2027&lt;=Start!$D$20,"A",IF(M2027&lt;=Start!$D$21,"B","C"))))</f>
        <v/>
      </c>
      <c r="O2027" s="48" t="str">
        <f aca="false">IF($A2027="","",IF(NOT(ISNUMBER(F2027)),"Wert fehlt; ",IF(F2027&lt;=0,"Wert ist 0; ",""))&amp;IF(NOT(ISNUMBER(E2027)),"Bestand fehlt; ",IF(E2027&lt;0,"Bestand negativ; ",IF(E2027=0,"Nullbestand; ","")))&amp;IF(D2027="","Warengruppe fehlt; ","")&amp;IF(B2027="","Bezeichnung fehlt; ","")&amp;IF(COUNTIFS($A$2:$A$5001,$A2027,$C$2:$C$5001,C2027)&gt;1,"Artikel doppelt im selben Lager; ",""))</f>
        <v/>
      </c>
      <c r="P2027" s="47" t="n">
        <f aca="false">IF(OR($A2027="",D2027=""),0,IF(COUNTIF($D$2:D2027,D2027)=1,SUMIF($D$2:$D$5001,D2027,$H$2:$H$5001)+ROW()/10000000,0))</f>
        <v>0</v>
      </c>
      <c r="Q2027" s="47" t="n">
        <f aca="false">IF(OR($A2027="",C2027=""),0,IF(COUNTIF($C$2:C2027,C2027)=1,SUMIF($C$2:$C$5001,C2027,$H$2:$H$5001)+ROW()/10000000,0))</f>
        <v>0</v>
      </c>
    </row>
    <row r="2028" customFormat="false" ht="15" hidden="false" customHeight="false" outlineLevel="0" collapsed="false">
      <c r="A2028" s="43"/>
      <c r="B2028" s="44"/>
      <c r="C2028" s="44"/>
      <c r="D2028" s="44"/>
      <c r="E2028" s="44"/>
      <c r="F2028" s="44"/>
      <c r="G2028" s="44"/>
      <c r="H2028" s="46" t="str">
        <f aca="false">IF($A2028="","",IF(OR(NOT(ISNUMBER(E2028)),NOT(ISNUMBER(F2028))),"",MAX(0,E2028)*F2028))</f>
        <v/>
      </c>
      <c r="I2028" s="46" t="str">
        <f aca="false">IF($A2028="","",SUMIF($A$2:$A$5001,$A2028,$H$2:$H$5001))</f>
        <v/>
      </c>
      <c r="J2028" s="47" t="n">
        <f aca="false">IF($A2028="",0,IF(COUNTIF($A$2:A2028,$A2028)=1,1,0))</f>
        <v>0</v>
      </c>
      <c r="K2028" s="47" t="n">
        <f aca="false">IF(J2028=1,N(I2028)+ROW()/10000000,0)</f>
        <v>0</v>
      </c>
      <c r="L2028" s="47" t="str">
        <f aca="false">IF(AND(J2028=1,N(I2028)&gt;0),SUMIF($K$2:$K$5001,"&gt;="&amp;K2028,$I$2:$I$5001)/MAX(1,SUM($H$2:$H$5001)),"")</f>
        <v/>
      </c>
      <c r="M2028" s="47" t="str">
        <f aca="false">IF($A2028="","",INDEX($L$2:$L$5001,MATCH($A2028,$A$2:$A$5001,0)))</f>
        <v/>
      </c>
      <c r="N2028" s="48" t="str">
        <f aca="false">IF($A2028="","",IF(N(M2028)=0,"–",IF(M2028&lt;=Start!$D$20,"A",IF(M2028&lt;=Start!$D$21,"B","C"))))</f>
        <v/>
      </c>
      <c r="O2028" s="48" t="str">
        <f aca="false">IF($A2028="","",IF(NOT(ISNUMBER(F2028)),"Wert fehlt; ",IF(F2028&lt;=0,"Wert ist 0; ",""))&amp;IF(NOT(ISNUMBER(E2028)),"Bestand fehlt; ",IF(E2028&lt;0,"Bestand negativ; ",IF(E2028=0,"Nullbestand; ","")))&amp;IF(D2028="","Warengruppe fehlt; ","")&amp;IF(B2028="","Bezeichnung fehlt; ","")&amp;IF(COUNTIFS($A$2:$A$5001,$A2028,$C$2:$C$5001,C2028)&gt;1,"Artikel doppelt im selben Lager; ",""))</f>
        <v/>
      </c>
      <c r="P2028" s="47" t="n">
        <f aca="false">IF(OR($A2028="",D2028=""),0,IF(COUNTIF($D$2:D2028,D2028)=1,SUMIF($D$2:$D$5001,D2028,$H$2:$H$5001)+ROW()/10000000,0))</f>
        <v>0</v>
      </c>
      <c r="Q2028" s="47" t="n">
        <f aca="false">IF(OR($A2028="",C2028=""),0,IF(COUNTIF($C$2:C2028,C2028)=1,SUMIF($C$2:$C$5001,C2028,$H$2:$H$5001)+ROW()/10000000,0))</f>
        <v>0</v>
      </c>
    </row>
    <row r="2029" customFormat="false" ht="15" hidden="false" customHeight="false" outlineLevel="0" collapsed="false">
      <c r="A2029" s="43"/>
      <c r="B2029" s="44"/>
      <c r="C2029" s="44"/>
      <c r="D2029" s="44"/>
      <c r="E2029" s="44"/>
      <c r="F2029" s="44"/>
      <c r="G2029" s="44"/>
      <c r="H2029" s="46" t="str">
        <f aca="false">IF($A2029="","",IF(OR(NOT(ISNUMBER(E2029)),NOT(ISNUMBER(F2029))),"",MAX(0,E2029)*F2029))</f>
        <v/>
      </c>
      <c r="I2029" s="46" t="str">
        <f aca="false">IF($A2029="","",SUMIF($A$2:$A$5001,$A2029,$H$2:$H$5001))</f>
        <v/>
      </c>
      <c r="J2029" s="47" t="n">
        <f aca="false">IF($A2029="",0,IF(COUNTIF($A$2:A2029,$A2029)=1,1,0))</f>
        <v>0</v>
      </c>
      <c r="K2029" s="47" t="n">
        <f aca="false">IF(J2029=1,N(I2029)+ROW()/10000000,0)</f>
        <v>0</v>
      </c>
      <c r="L2029" s="47" t="str">
        <f aca="false">IF(AND(J2029=1,N(I2029)&gt;0),SUMIF($K$2:$K$5001,"&gt;="&amp;K2029,$I$2:$I$5001)/MAX(1,SUM($H$2:$H$5001)),"")</f>
        <v/>
      </c>
      <c r="M2029" s="47" t="str">
        <f aca="false">IF($A2029="","",INDEX($L$2:$L$5001,MATCH($A2029,$A$2:$A$5001,0)))</f>
        <v/>
      </c>
      <c r="N2029" s="48" t="str">
        <f aca="false">IF($A2029="","",IF(N(M2029)=0,"–",IF(M2029&lt;=Start!$D$20,"A",IF(M2029&lt;=Start!$D$21,"B","C"))))</f>
        <v/>
      </c>
      <c r="O2029" s="48" t="str">
        <f aca="false">IF($A2029="","",IF(NOT(ISNUMBER(F2029)),"Wert fehlt; ",IF(F2029&lt;=0,"Wert ist 0; ",""))&amp;IF(NOT(ISNUMBER(E2029)),"Bestand fehlt; ",IF(E2029&lt;0,"Bestand negativ; ",IF(E2029=0,"Nullbestand; ","")))&amp;IF(D2029="","Warengruppe fehlt; ","")&amp;IF(B2029="","Bezeichnung fehlt; ","")&amp;IF(COUNTIFS($A$2:$A$5001,$A2029,$C$2:$C$5001,C2029)&gt;1,"Artikel doppelt im selben Lager; ",""))</f>
        <v/>
      </c>
      <c r="P2029" s="47" t="n">
        <f aca="false">IF(OR($A2029="",D2029=""),0,IF(COUNTIF($D$2:D2029,D2029)=1,SUMIF($D$2:$D$5001,D2029,$H$2:$H$5001)+ROW()/10000000,0))</f>
        <v>0</v>
      </c>
      <c r="Q2029" s="47" t="n">
        <f aca="false">IF(OR($A2029="",C2029=""),0,IF(COUNTIF($C$2:C2029,C2029)=1,SUMIF($C$2:$C$5001,C2029,$H$2:$H$5001)+ROW()/10000000,0))</f>
        <v>0</v>
      </c>
    </row>
    <row r="2030" customFormat="false" ht="15" hidden="false" customHeight="false" outlineLevel="0" collapsed="false">
      <c r="A2030" s="43"/>
      <c r="B2030" s="44"/>
      <c r="C2030" s="44"/>
      <c r="D2030" s="44"/>
      <c r="E2030" s="44"/>
      <c r="F2030" s="44"/>
      <c r="G2030" s="44"/>
      <c r="H2030" s="46" t="str">
        <f aca="false">IF($A2030="","",IF(OR(NOT(ISNUMBER(E2030)),NOT(ISNUMBER(F2030))),"",MAX(0,E2030)*F2030))</f>
        <v/>
      </c>
      <c r="I2030" s="46" t="str">
        <f aca="false">IF($A2030="","",SUMIF($A$2:$A$5001,$A2030,$H$2:$H$5001))</f>
        <v/>
      </c>
      <c r="J2030" s="47" t="n">
        <f aca="false">IF($A2030="",0,IF(COUNTIF($A$2:A2030,$A2030)=1,1,0))</f>
        <v>0</v>
      </c>
      <c r="K2030" s="47" t="n">
        <f aca="false">IF(J2030=1,N(I2030)+ROW()/10000000,0)</f>
        <v>0</v>
      </c>
      <c r="L2030" s="47" t="str">
        <f aca="false">IF(AND(J2030=1,N(I2030)&gt;0),SUMIF($K$2:$K$5001,"&gt;="&amp;K2030,$I$2:$I$5001)/MAX(1,SUM($H$2:$H$5001)),"")</f>
        <v/>
      </c>
      <c r="M2030" s="47" t="str">
        <f aca="false">IF($A2030="","",INDEX($L$2:$L$5001,MATCH($A2030,$A$2:$A$5001,0)))</f>
        <v/>
      </c>
      <c r="N2030" s="48" t="str">
        <f aca="false">IF($A2030="","",IF(N(M2030)=0,"–",IF(M2030&lt;=Start!$D$20,"A",IF(M2030&lt;=Start!$D$21,"B","C"))))</f>
        <v/>
      </c>
      <c r="O2030" s="48" t="str">
        <f aca="false">IF($A2030="","",IF(NOT(ISNUMBER(F2030)),"Wert fehlt; ",IF(F2030&lt;=0,"Wert ist 0; ",""))&amp;IF(NOT(ISNUMBER(E2030)),"Bestand fehlt; ",IF(E2030&lt;0,"Bestand negativ; ",IF(E2030=0,"Nullbestand; ","")))&amp;IF(D2030="","Warengruppe fehlt; ","")&amp;IF(B2030="","Bezeichnung fehlt; ","")&amp;IF(COUNTIFS($A$2:$A$5001,$A2030,$C$2:$C$5001,C2030)&gt;1,"Artikel doppelt im selben Lager; ",""))</f>
        <v/>
      </c>
      <c r="P2030" s="47" t="n">
        <f aca="false">IF(OR($A2030="",D2030=""),0,IF(COUNTIF($D$2:D2030,D2030)=1,SUMIF($D$2:$D$5001,D2030,$H$2:$H$5001)+ROW()/10000000,0))</f>
        <v>0</v>
      </c>
      <c r="Q2030" s="47" t="n">
        <f aca="false">IF(OR($A2030="",C2030=""),0,IF(COUNTIF($C$2:C2030,C2030)=1,SUMIF($C$2:$C$5001,C2030,$H$2:$H$5001)+ROW()/10000000,0))</f>
        <v>0</v>
      </c>
    </row>
    <row r="2031" customFormat="false" ht="15" hidden="false" customHeight="false" outlineLevel="0" collapsed="false">
      <c r="A2031" s="43"/>
      <c r="B2031" s="44"/>
      <c r="C2031" s="44"/>
      <c r="D2031" s="44"/>
      <c r="E2031" s="44"/>
      <c r="F2031" s="44"/>
      <c r="G2031" s="44"/>
      <c r="H2031" s="46" t="str">
        <f aca="false">IF($A2031="","",IF(OR(NOT(ISNUMBER(E2031)),NOT(ISNUMBER(F2031))),"",MAX(0,E2031)*F2031))</f>
        <v/>
      </c>
      <c r="I2031" s="46" t="str">
        <f aca="false">IF($A2031="","",SUMIF($A$2:$A$5001,$A2031,$H$2:$H$5001))</f>
        <v/>
      </c>
      <c r="J2031" s="47" t="n">
        <f aca="false">IF($A2031="",0,IF(COUNTIF($A$2:A2031,$A2031)=1,1,0))</f>
        <v>0</v>
      </c>
      <c r="K2031" s="47" t="n">
        <f aca="false">IF(J2031=1,N(I2031)+ROW()/10000000,0)</f>
        <v>0</v>
      </c>
      <c r="L2031" s="47" t="str">
        <f aca="false">IF(AND(J2031=1,N(I2031)&gt;0),SUMIF($K$2:$K$5001,"&gt;="&amp;K2031,$I$2:$I$5001)/MAX(1,SUM($H$2:$H$5001)),"")</f>
        <v/>
      </c>
      <c r="M2031" s="47" t="str">
        <f aca="false">IF($A2031="","",INDEX($L$2:$L$5001,MATCH($A2031,$A$2:$A$5001,0)))</f>
        <v/>
      </c>
      <c r="N2031" s="48" t="str">
        <f aca="false">IF($A2031="","",IF(N(M2031)=0,"–",IF(M2031&lt;=Start!$D$20,"A",IF(M2031&lt;=Start!$D$21,"B","C"))))</f>
        <v/>
      </c>
      <c r="O2031" s="48" t="str">
        <f aca="false">IF($A2031="","",IF(NOT(ISNUMBER(F2031)),"Wert fehlt; ",IF(F2031&lt;=0,"Wert ist 0; ",""))&amp;IF(NOT(ISNUMBER(E2031)),"Bestand fehlt; ",IF(E2031&lt;0,"Bestand negativ; ",IF(E2031=0,"Nullbestand; ","")))&amp;IF(D2031="","Warengruppe fehlt; ","")&amp;IF(B2031="","Bezeichnung fehlt; ","")&amp;IF(COUNTIFS($A$2:$A$5001,$A2031,$C$2:$C$5001,C2031)&gt;1,"Artikel doppelt im selben Lager; ",""))</f>
        <v/>
      </c>
      <c r="P2031" s="47" t="n">
        <f aca="false">IF(OR($A2031="",D2031=""),0,IF(COUNTIF($D$2:D2031,D2031)=1,SUMIF($D$2:$D$5001,D2031,$H$2:$H$5001)+ROW()/10000000,0))</f>
        <v>0</v>
      </c>
      <c r="Q2031" s="47" t="n">
        <f aca="false">IF(OR($A2031="",C2031=""),0,IF(COUNTIF($C$2:C2031,C2031)=1,SUMIF($C$2:$C$5001,C2031,$H$2:$H$5001)+ROW()/10000000,0))</f>
        <v>0</v>
      </c>
    </row>
    <row r="2032" customFormat="false" ht="15" hidden="false" customHeight="false" outlineLevel="0" collapsed="false">
      <c r="A2032" s="43"/>
      <c r="B2032" s="44"/>
      <c r="C2032" s="44"/>
      <c r="D2032" s="44"/>
      <c r="E2032" s="44"/>
      <c r="F2032" s="44"/>
      <c r="G2032" s="44"/>
      <c r="H2032" s="46" t="str">
        <f aca="false">IF($A2032="","",IF(OR(NOT(ISNUMBER(E2032)),NOT(ISNUMBER(F2032))),"",MAX(0,E2032)*F2032))</f>
        <v/>
      </c>
      <c r="I2032" s="46" t="str">
        <f aca="false">IF($A2032="","",SUMIF($A$2:$A$5001,$A2032,$H$2:$H$5001))</f>
        <v/>
      </c>
      <c r="J2032" s="47" t="n">
        <f aca="false">IF($A2032="",0,IF(COUNTIF($A$2:A2032,$A2032)=1,1,0))</f>
        <v>0</v>
      </c>
      <c r="K2032" s="47" t="n">
        <f aca="false">IF(J2032=1,N(I2032)+ROW()/10000000,0)</f>
        <v>0</v>
      </c>
      <c r="L2032" s="47" t="str">
        <f aca="false">IF(AND(J2032=1,N(I2032)&gt;0),SUMIF($K$2:$K$5001,"&gt;="&amp;K2032,$I$2:$I$5001)/MAX(1,SUM($H$2:$H$5001)),"")</f>
        <v/>
      </c>
      <c r="M2032" s="47" t="str">
        <f aca="false">IF($A2032="","",INDEX($L$2:$L$5001,MATCH($A2032,$A$2:$A$5001,0)))</f>
        <v/>
      </c>
      <c r="N2032" s="48" t="str">
        <f aca="false">IF($A2032="","",IF(N(M2032)=0,"–",IF(M2032&lt;=Start!$D$20,"A",IF(M2032&lt;=Start!$D$21,"B","C"))))</f>
        <v/>
      </c>
      <c r="O2032" s="48" t="str">
        <f aca="false">IF($A2032="","",IF(NOT(ISNUMBER(F2032)),"Wert fehlt; ",IF(F2032&lt;=0,"Wert ist 0; ",""))&amp;IF(NOT(ISNUMBER(E2032)),"Bestand fehlt; ",IF(E2032&lt;0,"Bestand negativ; ",IF(E2032=0,"Nullbestand; ","")))&amp;IF(D2032="","Warengruppe fehlt; ","")&amp;IF(B2032="","Bezeichnung fehlt; ","")&amp;IF(COUNTIFS($A$2:$A$5001,$A2032,$C$2:$C$5001,C2032)&gt;1,"Artikel doppelt im selben Lager; ",""))</f>
        <v/>
      </c>
      <c r="P2032" s="47" t="n">
        <f aca="false">IF(OR($A2032="",D2032=""),0,IF(COUNTIF($D$2:D2032,D2032)=1,SUMIF($D$2:$D$5001,D2032,$H$2:$H$5001)+ROW()/10000000,0))</f>
        <v>0</v>
      </c>
      <c r="Q2032" s="47" t="n">
        <f aca="false">IF(OR($A2032="",C2032=""),0,IF(COUNTIF($C$2:C2032,C2032)=1,SUMIF($C$2:$C$5001,C2032,$H$2:$H$5001)+ROW()/10000000,0))</f>
        <v>0</v>
      </c>
    </row>
    <row r="2033" customFormat="false" ht="15" hidden="false" customHeight="false" outlineLevel="0" collapsed="false">
      <c r="A2033" s="43"/>
      <c r="B2033" s="44"/>
      <c r="C2033" s="44"/>
      <c r="D2033" s="44"/>
      <c r="E2033" s="44"/>
      <c r="F2033" s="44"/>
      <c r="G2033" s="44"/>
      <c r="H2033" s="46" t="str">
        <f aca="false">IF($A2033="","",IF(OR(NOT(ISNUMBER(E2033)),NOT(ISNUMBER(F2033))),"",MAX(0,E2033)*F2033))</f>
        <v/>
      </c>
      <c r="I2033" s="46" t="str">
        <f aca="false">IF($A2033="","",SUMIF($A$2:$A$5001,$A2033,$H$2:$H$5001))</f>
        <v/>
      </c>
      <c r="J2033" s="47" t="n">
        <f aca="false">IF($A2033="",0,IF(COUNTIF($A$2:A2033,$A2033)=1,1,0))</f>
        <v>0</v>
      </c>
      <c r="K2033" s="47" t="n">
        <f aca="false">IF(J2033=1,N(I2033)+ROW()/10000000,0)</f>
        <v>0</v>
      </c>
      <c r="L2033" s="47" t="str">
        <f aca="false">IF(AND(J2033=1,N(I2033)&gt;0),SUMIF($K$2:$K$5001,"&gt;="&amp;K2033,$I$2:$I$5001)/MAX(1,SUM($H$2:$H$5001)),"")</f>
        <v/>
      </c>
      <c r="M2033" s="47" t="str">
        <f aca="false">IF($A2033="","",INDEX($L$2:$L$5001,MATCH($A2033,$A$2:$A$5001,0)))</f>
        <v/>
      </c>
      <c r="N2033" s="48" t="str">
        <f aca="false">IF($A2033="","",IF(N(M2033)=0,"–",IF(M2033&lt;=Start!$D$20,"A",IF(M2033&lt;=Start!$D$21,"B","C"))))</f>
        <v/>
      </c>
      <c r="O2033" s="48" t="str">
        <f aca="false">IF($A2033="","",IF(NOT(ISNUMBER(F2033)),"Wert fehlt; ",IF(F2033&lt;=0,"Wert ist 0; ",""))&amp;IF(NOT(ISNUMBER(E2033)),"Bestand fehlt; ",IF(E2033&lt;0,"Bestand negativ; ",IF(E2033=0,"Nullbestand; ","")))&amp;IF(D2033="","Warengruppe fehlt; ","")&amp;IF(B2033="","Bezeichnung fehlt; ","")&amp;IF(COUNTIFS($A$2:$A$5001,$A2033,$C$2:$C$5001,C2033)&gt;1,"Artikel doppelt im selben Lager; ",""))</f>
        <v/>
      </c>
      <c r="P2033" s="47" t="n">
        <f aca="false">IF(OR($A2033="",D2033=""),0,IF(COUNTIF($D$2:D2033,D2033)=1,SUMIF($D$2:$D$5001,D2033,$H$2:$H$5001)+ROW()/10000000,0))</f>
        <v>0</v>
      </c>
      <c r="Q2033" s="47" t="n">
        <f aca="false">IF(OR($A2033="",C2033=""),0,IF(COUNTIF($C$2:C2033,C2033)=1,SUMIF($C$2:$C$5001,C2033,$H$2:$H$5001)+ROW()/10000000,0))</f>
        <v>0</v>
      </c>
    </row>
    <row r="2034" customFormat="false" ht="15" hidden="false" customHeight="false" outlineLevel="0" collapsed="false">
      <c r="A2034" s="43"/>
      <c r="B2034" s="44"/>
      <c r="C2034" s="44"/>
      <c r="D2034" s="44"/>
      <c r="E2034" s="44"/>
      <c r="F2034" s="44"/>
      <c r="G2034" s="44"/>
      <c r="H2034" s="46" t="str">
        <f aca="false">IF($A2034="","",IF(OR(NOT(ISNUMBER(E2034)),NOT(ISNUMBER(F2034))),"",MAX(0,E2034)*F2034))</f>
        <v/>
      </c>
      <c r="I2034" s="46" t="str">
        <f aca="false">IF($A2034="","",SUMIF($A$2:$A$5001,$A2034,$H$2:$H$5001))</f>
        <v/>
      </c>
      <c r="J2034" s="47" t="n">
        <f aca="false">IF($A2034="",0,IF(COUNTIF($A$2:A2034,$A2034)=1,1,0))</f>
        <v>0</v>
      </c>
      <c r="K2034" s="47" t="n">
        <f aca="false">IF(J2034=1,N(I2034)+ROW()/10000000,0)</f>
        <v>0</v>
      </c>
      <c r="L2034" s="47" t="str">
        <f aca="false">IF(AND(J2034=1,N(I2034)&gt;0),SUMIF($K$2:$K$5001,"&gt;="&amp;K2034,$I$2:$I$5001)/MAX(1,SUM($H$2:$H$5001)),"")</f>
        <v/>
      </c>
      <c r="M2034" s="47" t="str">
        <f aca="false">IF($A2034="","",INDEX($L$2:$L$5001,MATCH($A2034,$A$2:$A$5001,0)))</f>
        <v/>
      </c>
      <c r="N2034" s="48" t="str">
        <f aca="false">IF($A2034="","",IF(N(M2034)=0,"–",IF(M2034&lt;=Start!$D$20,"A",IF(M2034&lt;=Start!$D$21,"B","C"))))</f>
        <v/>
      </c>
      <c r="O2034" s="48" t="str">
        <f aca="false">IF($A2034="","",IF(NOT(ISNUMBER(F2034)),"Wert fehlt; ",IF(F2034&lt;=0,"Wert ist 0; ",""))&amp;IF(NOT(ISNUMBER(E2034)),"Bestand fehlt; ",IF(E2034&lt;0,"Bestand negativ; ",IF(E2034=0,"Nullbestand; ","")))&amp;IF(D2034="","Warengruppe fehlt; ","")&amp;IF(B2034="","Bezeichnung fehlt; ","")&amp;IF(COUNTIFS($A$2:$A$5001,$A2034,$C$2:$C$5001,C2034)&gt;1,"Artikel doppelt im selben Lager; ",""))</f>
        <v/>
      </c>
      <c r="P2034" s="47" t="n">
        <f aca="false">IF(OR($A2034="",D2034=""),0,IF(COUNTIF($D$2:D2034,D2034)=1,SUMIF($D$2:$D$5001,D2034,$H$2:$H$5001)+ROW()/10000000,0))</f>
        <v>0</v>
      </c>
      <c r="Q2034" s="47" t="n">
        <f aca="false">IF(OR($A2034="",C2034=""),0,IF(COUNTIF($C$2:C2034,C2034)=1,SUMIF($C$2:$C$5001,C2034,$H$2:$H$5001)+ROW()/10000000,0))</f>
        <v>0</v>
      </c>
    </row>
    <row r="2035" customFormat="false" ht="15" hidden="false" customHeight="false" outlineLevel="0" collapsed="false">
      <c r="A2035" s="43"/>
      <c r="B2035" s="44"/>
      <c r="C2035" s="44"/>
      <c r="D2035" s="44"/>
      <c r="E2035" s="44"/>
      <c r="F2035" s="44"/>
      <c r="G2035" s="44"/>
      <c r="H2035" s="46" t="str">
        <f aca="false">IF($A2035="","",IF(OR(NOT(ISNUMBER(E2035)),NOT(ISNUMBER(F2035))),"",MAX(0,E2035)*F2035))</f>
        <v/>
      </c>
      <c r="I2035" s="46" t="str">
        <f aca="false">IF($A2035="","",SUMIF($A$2:$A$5001,$A2035,$H$2:$H$5001))</f>
        <v/>
      </c>
      <c r="J2035" s="47" t="n">
        <f aca="false">IF($A2035="",0,IF(COUNTIF($A$2:A2035,$A2035)=1,1,0))</f>
        <v>0</v>
      </c>
      <c r="K2035" s="47" t="n">
        <f aca="false">IF(J2035=1,N(I2035)+ROW()/10000000,0)</f>
        <v>0</v>
      </c>
      <c r="L2035" s="47" t="str">
        <f aca="false">IF(AND(J2035=1,N(I2035)&gt;0),SUMIF($K$2:$K$5001,"&gt;="&amp;K2035,$I$2:$I$5001)/MAX(1,SUM($H$2:$H$5001)),"")</f>
        <v/>
      </c>
      <c r="M2035" s="47" t="str">
        <f aca="false">IF($A2035="","",INDEX($L$2:$L$5001,MATCH($A2035,$A$2:$A$5001,0)))</f>
        <v/>
      </c>
      <c r="N2035" s="48" t="str">
        <f aca="false">IF($A2035="","",IF(N(M2035)=0,"–",IF(M2035&lt;=Start!$D$20,"A",IF(M2035&lt;=Start!$D$21,"B","C"))))</f>
        <v/>
      </c>
      <c r="O2035" s="48" t="str">
        <f aca="false">IF($A2035="","",IF(NOT(ISNUMBER(F2035)),"Wert fehlt; ",IF(F2035&lt;=0,"Wert ist 0; ",""))&amp;IF(NOT(ISNUMBER(E2035)),"Bestand fehlt; ",IF(E2035&lt;0,"Bestand negativ; ",IF(E2035=0,"Nullbestand; ","")))&amp;IF(D2035="","Warengruppe fehlt; ","")&amp;IF(B2035="","Bezeichnung fehlt; ","")&amp;IF(COUNTIFS($A$2:$A$5001,$A2035,$C$2:$C$5001,C2035)&gt;1,"Artikel doppelt im selben Lager; ",""))</f>
        <v/>
      </c>
      <c r="P2035" s="47" t="n">
        <f aca="false">IF(OR($A2035="",D2035=""),0,IF(COUNTIF($D$2:D2035,D2035)=1,SUMIF($D$2:$D$5001,D2035,$H$2:$H$5001)+ROW()/10000000,0))</f>
        <v>0</v>
      </c>
      <c r="Q2035" s="47" t="n">
        <f aca="false">IF(OR($A2035="",C2035=""),0,IF(COUNTIF($C$2:C2035,C2035)=1,SUMIF($C$2:$C$5001,C2035,$H$2:$H$5001)+ROW()/10000000,0))</f>
        <v>0</v>
      </c>
    </row>
    <row r="2036" customFormat="false" ht="15" hidden="false" customHeight="false" outlineLevel="0" collapsed="false">
      <c r="A2036" s="43"/>
      <c r="B2036" s="44"/>
      <c r="C2036" s="44"/>
      <c r="D2036" s="44"/>
      <c r="E2036" s="44"/>
      <c r="F2036" s="44"/>
      <c r="G2036" s="44"/>
      <c r="H2036" s="46" t="str">
        <f aca="false">IF($A2036="","",IF(OR(NOT(ISNUMBER(E2036)),NOT(ISNUMBER(F2036))),"",MAX(0,E2036)*F2036))</f>
        <v/>
      </c>
      <c r="I2036" s="46" t="str">
        <f aca="false">IF($A2036="","",SUMIF($A$2:$A$5001,$A2036,$H$2:$H$5001))</f>
        <v/>
      </c>
      <c r="J2036" s="47" t="n">
        <f aca="false">IF($A2036="",0,IF(COUNTIF($A$2:A2036,$A2036)=1,1,0))</f>
        <v>0</v>
      </c>
      <c r="K2036" s="47" t="n">
        <f aca="false">IF(J2036=1,N(I2036)+ROW()/10000000,0)</f>
        <v>0</v>
      </c>
      <c r="L2036" s="47" t="str">
        <f aca="false">IF(AND(J2036=1,N(I2036)&gt;0),SUMIF($K$2:$K$5001,"&gt;="&amp;K2036,$I$2:$I$5001)/MAX(1,SUM($H$2:$H$5001)),"")</f>
        <v/>
      </c>
      <c r="M2036" s="47" t="str">
        <f aca="false">IF($A2036="","",INDEX($L$2:$L$5001,MATCH($A2036,$A$2:$A$5001,0)))</f>
        <v/>
      </c>
      <c r="N2036" s="48" t="str">
        <f aca="false">IF($A2036="","",IF(N(M2036)=0,"–",IF(M2036&lt;=Start!$D$20,"A",IF(M2036&lt;=Start!$D$21,"B","C"))))</f>
        <v/>
      </c>
      <c r="O2036" s="48" t="str">
        <f aca="false">IF($A2036="","",IF(NOT(ISNUMBER(F2036)),"Wert fehlt; ",IF(F2036&lt;=0,"Wert ist 0; ",""))&amp;IF(NOT(ISNUMBER(E2036)),"Bestand fehlt; ",IF(E2036&lt;0,"Bestand negativ; ",IF(E2036=0,"Nullbestand; ","")))&amp;IF(D2036="","Warengruppe fehlt; ","")&amp;IF(B2036="","Bezeichnung fehlt; ","")&amp;IF(COUNTIFS($A$2:$A$5001,$A2036,$C$2:$C$5001,C2036)&gt;1,"Artikel doppelt im selben Lager; ",""))</f>
        <v/>
      </c>
      <c r="P2036" s="47" t="n">
        <f aca="false">IF(OR($A2036="",D2036=""),0,IF(COUNTIF($D$2:D2036,D2036)=1,SUMIF($D$2:$D$5001,D2036,$H$2:$H$5001)+ROW()/10000000,0))</f>
        <v>0</v>
      </c>
      <c r="Q2036" s="47" t="n">
        <f aca="false">IF(OR($A2036="",C2036=""),0,IF(COUNTIF($C$2:C2036,C2036)=1,SUMIF($C$2:$C$5001,C2036,$H$2:$H$5001)+ROW()/10000000,0))</f>
        <v>0</v>
      </c>
    </row>
    <row r="2037" customFormat="false" ht="15" hidden="false" customHeight="false" outlineLevel="0" collapsed="false">
      <c r="A2037" s="43"/>
      <c r="B2037" s="44"/>
      <c r="C2037" s="44"/>
      <c r="D2037" s="44"/>
      <c r="E2037" s="44"/>
      <c r="F2037" s="44"/>
      <c r="G2037" s="44"/>
      <c r="H2037" s="46" t="str">
        <f aca="false">IF($A2037="","",IF(OR(NOT(ISNUMBER(E2037)),NOT(ISNUMBER(F2037))),"",MAX(0,E2037)*F2037))</f>
        <v/>
      </c>
      <c r="I2037" s="46" t="str">
        <f aca="false">IF($A2037="","",SUMIF($A$2:$A$5001,$A2037,$H$2:$H$5001))</f>
        <v/>
      </c>
      <c r="J2037" s="47" t="n">
        <f aca="false">IF($A2037="",0,IF(COUNTIF($A$2:A2037,$A2037)=1,1,0))</f>
        <v>0</v>
      </c>
      <c r="K2037" s="47" t="n">
        <f aca="false">IF(J2037=1,N(I2037)+ROW()/10000000,0)</f>
        <v>0</v>
      </c>
      <c r="L2037" s="47" t="str">
        <f aca="false">IF(AND(J2037=1,N(I2037)&gt;0),SUMIF($K$2:$K$5001,"&gt;="&amp;K2037,$I$2:$I$5001)/MAX(1,SUM($H$2:$H$5001)),"")</f>
        <v/>
      </c>
      <c r="M2037" s="47" t="str">
        <f aca="false">IF($A2037="","",INDEX($L$2:$L$5001,MATCH($A2037,$A$2:$A$5001,0)))</f>
        <v/>
      </c>
      <c r="N2037" s="48" t="str">
        <f aca="false">IF($A2037="","",IF(N(M2037)=0,"–",IF(M2037&lt;=Start!$D$20,"A",IF(M2037&lt;=Start!$D$21,"B","C"))))</f>
        <v/>
      </c>
      <c r="O2037" s="48" t="str">
        <f aca="false">IF($A2037="","",IF(NOT(ISNUMBER(F2037)),"Wert fehlt; ",IF(F2037&lt;=0,"Wert ist 0; ",""))&amp;IF(NOT(ISNUMBER(E2037)),"Bestand fehlt; ",IF(E2037&lt;0,"Bestand negativ; ",IF(E2037=0,"Nullbestand; ","")))&amp;IF(D2037="","Warengruppe fehlt; ","")&amp;IF(B2037="","Bezeichnung fehlt; ","")&amp;IF(COUNTIFS($A$2:$A$5001,$A2037,$C$2:$C$5001,C2037)&gt;1,"Artikel doppelt im selben Lager; ",""))</f>
        <v/>
      </c>
      <c r="P2037" s="47" t="n">
        <f aca="false">IF(OR($A2037="",D2037=""),0,IF(COUNTIF($D$2:D2037,D2037)=1,SUMIF($D$2:$D$5001,D2037,$H$2:$H$5001)+ROW()/10000000,0))</f>
        <v>0</v>
      </c>
      <c r="Q2037" s="47" t="n">
        <f aca="false">IF(OR($A2037="",C2037=""),0,IF(COUNTIF($C$2:C2037,C2037)=1,SUMIF($C$2:$C$5001,C2037,$H$2:$H$5001)+ROW()/10000000,0))</f>
        <v>0</v>
      </c>
    </row>
    <row r="2038" customFormat="false" ht="15" hidden="false" customHeight="false" outlineLevel="0" collapsed="false">
      <c r="A2038" s="43"/>
      <c r="B2038" s="44"/>
      <c r="C2038" s="44"/>
      <c r="D2038" s="44"/>
      <c r="E2038" s="44"/>
      <c r="F2038" s="44"/>
      <c r="G2038" s="44"/>
      <c r="H2038" s="46" t="str">
        <f aca="false">IF($A2038="","",IF(OR(NOT(ISNUMBER(E2038)),NOT(ISNUMBER(F2038))),"",MAX(0,E2038)*F2038))</f>
        <v/>
      </c>
      <c r="I2038" s="46" t="str">
        <f aca="false">IF($A2038="","",SUMIF($A$2:$A$5001,$A2038,$H$2:$H$5001))</f>
        <v/>
      </c>
      <c r="J2038" s="47" t="n">
        <f aca="false">IF($A2038="",0,IF(COUNTIF($A$2:A2038,$A2038)=1,1,0))</f>
        <v>0</v>
      </c>
      <c r="K2038" s="47" t="n">
        <f aca="false">IF(J2038=1,N(I2038)+ROW()/10000000,0)</f>
        <v>0</v>
      </c>
      <c r="L2038" s="47" t="str">
        <f aca="false">IF(AND(J2038=1,N(I2038)&gt;0),SUMIF($K$2:$K$5001,"&gt;="&amp;K2038,$I$2:$I$5001)/MAX(1,SUM($H$2:$H$5001)),"")</f>
        <v/>
      </c>
      <c r="M2038" s="47" t="str">
        <f aca="false">IF($A2038="","",INDEX($L$2:$L$5001,MATCH($A2038,$A$2:$A$5001,0)))</f>
        <v/>
      </c>
      <c r="N2038" s="48" t="str">
        <f aca="false">IF($A2038="","",IF(N(M2038)=0,"–",IF(M2038&lt;=Start!$D$20,"A",IF(M2038&lt;=Start!$D$21,"B","C"))))</f>
        <v/>
      </c>
      <c r="O2038" s="48" t="str">
        <f aca="false">IF($A2038="","",IF(NOT(ISNUMBER(F2038)),"Wert fehlt; ",IF(F2038&lt;=0,"Wert ist 0; ",""))&amp;IF(NOT(ISNUMBER(E2038)),"Bestand fehlt; ",IF(E2038&lt;0,"Bestand negativ; ",IF(E2038=0,"Nullbestand; ","")))&amp;IF(D2038="","Warengruppe fehlt; ","")&amp;IF(B2038="","Bezeichnung fehlt; ","")&amp;IF(COUNTIFS($A$2:$A$5001,$A2038,$C$2:$C$5001,C2038)&gt;1,"Artikel doppelt im selben Lager; ",""))</f>
        <v/>
      </c>
      <c r="P2038" s="47" t="n">
        <f aca="false">IF(OR($A2038="",D2038=""),0,IF(COUNTIF($D$2:D2038,D2038)=1,SUMIF($D$2:$D$5001,D2038,$H$2:$H$5001)+ROW()/10000000,0))</f>
        <v>0</v>
      </c>
      <c r="Q2038" s="47" t="n">
        <f aca="false">IF(OR($A2038="",C2038=""),0,IF(COUNTIF($C$2:C2038,C2038)=1,SUMIF($C$2:$C$5001,C2038,$H$2:$H$5001)+ROW()/10000000,0))</f>
        <v>0</v>
      </c>
    </row>
    <row r="2039" customFormat="false" ht="15" hidden="false" customHeight="false" outlineLevel="0" collapsed="false">
      <c r="A2039" s="43"/>
      <c r="B2039" s="44"/>
      <c r="C2039" s="44"/>
      <c r="D2039" s="44"/>
      <c r="E2039" s="44"/>
      <c r="F2039" s="44"/>
      <c r="G2039" s="44"/>
      <c r="H2039" s="46" t="str">
        <f aca="false">IF($A2039="","",IF(OR(NOT(ISNUMBER(E2039)),NOT(ISNUMBER(F2039))),"",MAX(0,E2039)*F2039))</f>
        <v/>
      </c>
      <c r="I2039" s="46" t="str">
        <f aca="false">IF($A2039="","",SUMIF($A$2:$A$5001,$A2039,$H$2:$H$5001))</f>
        <v/>
      </c>
      <c r="J2039" s="47" t="n">
        <f aca="false">IF($A2039="",0,IF(COUNTIF($A$2:A2039,$A2039)=1,1,0))</f>
        <v>0</v>
      </c>
      <c r="K2039" s="47" t="n">
        <f aca="false">IF(J2039=1,N(I2039)+ROW()/10000000,0)</f>
        <v>0</v>
      </c>
      <c r="L2039" s="47" t="str">
        <f aca="false">IF(AND(J2039=1,N(I2039)&gt;0),SUMIF($K$2:$K$5001,"&gt;="&amp;K2039,$I$2:$I$5001)/MAX(1,SUM($H$2:$H$5001)),"")</f>
        <v/>
      </c>
      <c r="M2039" s="47" t="str">
        <f aca="false">IF($A2039="","",INDEX($L$2:$L$5001,MATCH($A2039,$A$2:$A$5001,0)))</f>
        <v/>
      </c>
      <c r="N2039" s="48" t="str">
        <f aca="false">IF($A2039="","",IF(N(M2039)=0,"–",IF(M2039&lt;=Start!$D$20,"A",IF(M2039&lt;=Start!$D$21,"B","C"))))</f>
        <v/>
      </c>
      <c r="O2039" s="48" t="str">
        <f aca="false">IF($A2039="","",IF(NOT(ISNUMBER(F2039)),"Wert fehlt; ",IF(F2039&lt;=0,"Wert ist 0; ",""))&amp;IF(NOT(ISNUMBER(E2039)),"Bestand fehlt; ",IF(E2039&lt;0,"Bestand negativ; ",IF(E2039=0,"Nullbestand; ","")))&amp;IF(D2039="","Warengruppe fehlt; ","")&amp;IF(B2039="","Bezeichnung fehlt; ","")&amp;IF(COUNTIFS($A$2:$A$5001,$A2039,$C$2:$C$5001,C2039)&gt;1,"Artikel doppelt im selben Lager; ",""))</f>
        <v/>
      </c>
      <c r="P2039" s="47" t="n">
        <f aca="false">IF(OR($A2039="",D2039=""),0,IF(COUNTIF($D$2:D2039,D2039)=1,SUMIF($D$2:$D$5001,D2039,$H$2:$H$5001)+ROW()/10000000,0))</f>
        <v>0</v>
      </c>
      <c r="Q2039" s="47" t="n">
        <f aca="false">IF(OR($A2039="",C2039=""),0,IF(COUNTIF($C$2:C2039,C2039)=1,SUMIF($C$2:$C$5001,C2039,$H$2:$H$5001)+ROW()/10000000,0))</f>
        <v>0</v>
      </c>
    </row>
    <row r="2040" customFormat="false" ht="15" hidden="false" customHeight="false" outlineLevel="0" collapsed="false">
      <c r="A2040" s="43"/>
      <c r="B2040" s="44"/>
      <c r="C2040" s="44"/>
      <c r="D2040" s="44"/>
      <c r="E2040" s="44"/>
      <c r="F2040" s="44"/>
      <c r="G2040" s="44"/>
      <c r="H2040" s="46" t="str">
        <f aca="false">IF($A2040="","",IF(OR(NOT(ISNUMBER(E2040)),NOT(ISNUMBER(F2040))),"",MAX(0,E2040)*F2040))</f>
        <v/>
      </c>
      <c r="I2040" s="46" t="str">
        <f aca="false">IF($A2040="","",SUMIF($A$2:$A$5001,$A2040,$H$2:$H$5001))</f>
        <v/>
      </c>
      <c r="J2040" s="47" t="n">
        <f aca="false">IF($A2040="",0,IF(COUNTIF($A$2:A2040,$A2040)=1,1,0))</f>
        <v>0</v>
      </c>
      <c r="K2040" s="47" t="n">
        <f aca="false">IF(J2040=1,N(I2040)+ROW()/10000000,0)</f>
        <v>0</v>
      </c>
      <c r="L2040" s="47" t="str">
        <f aca="false">IF(AND(J2040=1,N(I2040)&gt;0),SUMIF($K$2:$K$5001,"&gt;="&amp;K2040,$I$2:$I$5001)/MAX(1,SUM($H$2:$H$5001)),"")</f>
        <v/>
      </c>
      <c r="M2040" s="47" t="str">
        <f aca="false">IF($A2040="","",INDEX($L$2:$L$5001,MATCH($A2040,$A$2:$A$5001,0)))</f>
        <v/>
      </c>
      <c r="N2040" s="48" t="str">
        <f aca="false">IF($A2040="","",IF(N(M2040)=0,"–",IF(M2040&lt;=Start!$D$20,"A",IF(M2040&lt;=Start!$D$21,"B","C"))))</f>
        <v/>
      </c>
      <c r="O2040" s="48" t="str">
        <f aca="false">IF($A2040="","",IF(NOT(ISNUMBER(F2040)),"Wert fehlt; ",IF(F2040&lt;=0,"Wert ist 0; ",""))&amp;IF(NOT(ISNUMBER(E2040)),"Bestand fehlt; ",IF(E2040&lt;0,"Bestand negativ; ",IF(E2040=0,"Nullbestand; ","")))&amp;IF(D2040="","Warengruppe fehlt; ","")&amp;IF(B2040="","Bezeichnung fehlt; ","")&amp;IF(COUNTIFS($A$2:$A$5001,$A2040,$C$2:$C$5001,C2040)&gt;1,"Artikel doppelt im selben Lager; ",""))</f>
        <v/>
      </c>
      <c r="P2040" s="47" t="n">
        <f aca="false">IF(OR($A2040="",D2040=""),0,IF(COUNTIF($D$2:D2040,D2040)=1,SUMIF($D$2:$D$5001,D2040,$H$2:$H$5001)+ROW()/10000000,0))</f>
        <v>0</v>
      </c>
      <c r="Q2040" s="47" t="n">
        <f aca="false">IF(OR($A2040="",C2040=""),0,IF(COUNTIF($C$2:C2040,C2040)=1,SUMIF($C$2:$C$5001,C2040,$H$2:$H$5001)+ROW()/10000000,0))</f>
        <v>0</v>
      </c>
    </row>
    <row r="2041" customFormat="false" ht="15" hidden="false" customHeight="false" outlineLevel="0" collapsed="false">
      <c r="A2041" s="43"/>
      <c r="B2041" s="44"/>
      <c r="C2041" s="44"/>
      <c r="D2041" s="44"/>
      <c r="E2041" s="44"/>
      <c r="F2041" s="44"/>
      <c r="G2041" s="44"/>
      <c r="H2041" s="46" t="str">
        <f aca="false">IF($A2041="","",IF(OR(NOT(ISNUMBER(E2041)),NOT(ISNUMBER(F2041))),"",MAX(0,E2041)*F2041))</f>
        <v/>
      </c>
      <c r="I2041" s="46" t="str">
        <f aca="false">IF($A2041="","",SUMIF($A$2:$A$5001,$A2041,$H$2:$H$5001))</f>
        <v/>
      </c>
      <c r="J2041" s="47" t="n">
        <f aca="false">IF($A2041="",0,IF(COUNTIF($A$2:A2041,$A2041)=1,1,0))</f>
        <v>0</v>
      </c>
      <c r="K2041" s="47" t="n">
        <f aca="false">IF(J2041=1,N(I2041)+ROW()/10000000,0)</f>
        <v>0</v>
      </c>
      <c r="L2041" s="47" t="str">
        <f aca="false">IF(AND(J2041=1,N(I2041)&gt;0),SUMIF($K$2:$K$5001,"&gt;="&amp;K2041,$I$2:$I$5001)/MAX(1,SUM($H$2:$H$5001)),"")</f>
        <v/>
      </c>
      <c r="M2041" s="47" t="str">
        <f aca="false">IF($A2041="","",INDEX($L$2:$L$5001,MATCH($A2041,$A$2:$A$5001,0)))</f>
        <v/>
      </c>
      <c r="N2041" s="48" t="str">
        <f aca="false">IF($A2041="","",IF(N(M2041)=0,"–",IF(M2041&lt;=Start!$D$20,"A",IF(M2041&lt;=Start!$D$21,"B","C"))))</f>
        <v/>
      </c>
      <c r="O2041" s="48" t="str">
        <f aca="false">IF($A2041="","",IF(NOT(ISNUMBER(F2041)),"Wert fehlt; ",IF(F2041&lt;=0,"Wert ist 0; ",""))&amp;IF(NOT(ISNUMBER(E2041)),"Bestand fehlt; ",IF(E2041&lt;0,"Bestand negativ; ",IF(E2041=0,"Nullbestand; ","")))&amp;IF(D2041="","Warengruppe fehlt; ","")&amp;IF(B2041="","Bezeichnung fehlt; ","")&amp;IF(COUNTIFS($A$2:$A$5001,$A2041,$C$2:$C$5001,C2041)&gt;1,"Artikel doppelt im selben Lager; ",""))</f>
        <v/>
      </c>
      <c r="P2041" s="47" t="n">
        <f aca="false">IF(OR($A2041="",D2041=""),0,IF(COUNTIF($D$2:D2041,D2041)=1,SUMIF($D$2:$D$5001,D2041,$H$2:$H$5001)+ROW()/10000000,0))</f>
        <v>0</v>
      </c>
      <c r="Q2041" s="47" t="n">
        <f aca="false">IF(OR($A2041="",C2041=""),0,IF(COUNTIF($C$2:C2041,C2041)=1,SUMIF($C$2:$C$5001,C2041,$H$2:$H$5001)+ROW()/10000000,0))</f>
        <v>0</v>
      </c>
    </row>
    <row r="2042" customFormat="false" ht="15" hidden="false" customHeight="false" outlineLevel="0" collapsed="false">
      <c r="A2042" s="43"/>
      <c r="B2042" s="44"/>
      <c r="C2042" s="44"/>
      <c r="D2042" s="44"/>
      <c r="E2042" s="44"/>
      <c r="F2042" s="44"/>
      <c r="G2042" s="44"/>
      <c r="H2042" s="46" t="str">
        <f aca="false">IF($A2042="","",IF(OR(NOT(ISNUMBER(E2042)),NOT(ISNUMBER(F2042))),"",MAX(0,E2042)*F2042))</f>
        <v/>
      </c>
      <c r="I2042" s="46" t="str">
        <f aca="false">IF($A2042="","",SUMIF($A$2:$A$5001,$A2042,$H$2:$H$5001))</f>
        <v/>
      </c>
      <c r="J2042" s="47" t="n">
        <f aca="false">IF($A2042="",0,IF(COUNTIF($A$2:A2042,$A2042)=1,1,0))</f>
        <v>0</v>
      </c>
      <c r="K2042" s="47" t="n">
        <f aca="false">IF(J2042=1,N(I2042)+ROW()/10000000,0)</f>
        <v>0</v>
      </c>
      <c r="L2042" s="47" t="str">
        <f aca="false">IF(AND(J2042=1,N(I2042)&gt;0),SUMIF($K$2:$K$5001,"&gt;="&amp;K2042,$I$2:$I$5001)/MAX(1,SUM($H$2:$H$5001)),"")</f>
        <v/>
      </c>
      <c r="M2042" s="47" t="str">
        <f aca="false">IF($A2042="","",INDEX($L$2:$L$5001,MATCH($A2042,$A$2:$A$5001,0)))</f>
        <v/>
      </c>
      <c r="N2042" s="48" t="str">
        <f aca="false">IF($A2042="","",IF(N(M2042)=0,"–",IF(M2042&lt;=Start!$D$20,"A",IF(M2042&lt;=Start!$D$21,"B","C"))))</f>
        <v/>
      </c>
      <c r="O2042" s="48" t="str">
        <f aca="false">IF($A2042="","",IF(NOT(ISNUMBER(F2042)),"Wert fehlt; ",IF(F2042&lt;=0,"Wert ist 0; ",""))&amp;IF(NOT(ISNUMBER(E2042)),"Bestand fehlt; ",IF(E2042&lt;0,"Bestand negativ; ",IF(E2042=0,"Nullbestand; ","")))&amp;IF(D2042="","Warengruppe fehlt; ","")&amp;IF(B2042="","Bezeichnung fehlt; ","")&amp;IF(COUNTIFS($A$2:$A$5001,$A2042,$C$2:$C$5001,C2042)&gt;1,"Artikel doppelt im selben Lager; ",""))</f>
        <v/>
      </c>
      <c r="P2042" s="47" t="n">
        <f aca="false">IF(OR($A2042="",D2042=""),0,IF(COUNTIF($D$2:D2042,D2042)=1,SUMIF($D$2:$D$5001,D2042,$H$2:$H$5001)+ROW()/10000000,0))</f>
        <v>0</v>
      </c>
      <c r="Q2042" s="47" t="n">
        <f aca="false">IF(OR($A2042="",C2042=""),0,IF(COUNTIF($C$2:C2042,C2042)=1,SUMIF($C$2:$C$5001,C2042,$H$2:$H$5001)+ROW()/10000000,0))</f>
        <v>0</v>
      </c>
    </row>
    <row r="2043" customFormat="false" ht="15" hidden="false" customHeight="false" outlineLevel="0" collapsed="false">
      <c r="A2043" s="43"/>
      <c r="B2043" s="44"/>
      <c r="C2043" s="44"/>
      <c r="D2043" s="44"/>
      <c r="E2043" s="44"/>
      <c r="F2043" s="44"/>
      <c r="G2043" s="44"/>
      <c r="H2043" s="46" t="str">
        <f aca="false">IF($A2043="","",IF(OR(NOT(ISNUMBER(E2043)),NOT(ISNUMBER(F2043))),"",MAX(0,E2043)*F2043))</f>
        <v/>
      </c>
      <c r="I2043" s="46" t="str">
        <f aca="false">IF($A2043="","",SUMIF($A$2:$A$5001,$A2043,$H$2:$H$5001))</f>
        <v/>
      </c>
      <c r="J2043" s="47" t="n">
        <f aca="false">IF($A2043="",0,IF(COUNTIF($A$2:A2043,$A2043)=1,1,0))</f>
        <v>0</v>
      </c>
      <c r="K2043" s="47" t="n">
        <f aca="false">IF(J2043=1,N(I2043)+ROW()/10000000,0)</f>
        <v>0</v>
      </c>
      <c r="L2043" s="47" t="str">
        <f aca="false">IF(AND(J2043=1,N(I2043)&gt;0),SUMIF($K$2:$K$5001,"&gt;="&amp;K2043,$I$2:$I$5001)/MAX(1,SUM($H$2:$H$5001)),"")</f>
        <v/>
      </c>
      <c r="M2043" s="47" t="str">
        <f aca="false">IF($A2043="","",INDEX($L$2:$L$5001,MATCH($A2043,$A$2:$A$5001,0)))</f>
        <v/>
      </c>
      <c r="N2043" s="48" t="str">
        <f aca="false">IF($A2043="","",IF(N(M2043)=0,"–",IF(M2043&lt;=Start!$D$20,"A",IF(M2043&lt;=Start!$D$21,"B","C"))))</f>
        <v/>
      </c>
      <c r="O2043" s="48" t="str">
        <f aca="false">IF($A2043="","",IF(NOT(ISNUMBER(F2043)),"Wert fehlt; ",IF(F2043&lt;=0,"Wert ist 0; ",""))&amp;IF(NOT(ISNUMBER(E2043)),"Bestand fehlt; ",IF(E2043&lt;0,"Bestand negativ; ",IF(E2043=0,"Nullbestand; ","")))&amp;IF(D2043="","Warengruppe fehlt; ","")&amp;IF(B2043="","Bezeichnung fehlt; ","")&amp;IF(COUNTIFS($A$2:$A$5001,$A2043,$C$2:$C$5001,C2043)&gt;1,"Artikel doppelt im selben Lager; ",""))</f>
        <v/>
      </c>
      <c r="P2043" s="47" t="n">
        <f aca="false">IF(OR($A2043="",D2043=""),0,IF(COUNTIF($D$2:D2043,D2043)=1,SUMIF($D$2:$D$5001,D2043,$H$2:$H$5001)+ROW()/10000000,0))</f>
        <v>0</v>
      </c>
      <c r="Q2043" s="47" t="n">
        <f aca="false">IF(OR($A2043="",C2043=""),0,IF(COUNTIF($C$2:C2043,C2043)=1,SUMIF($C$2:$C$5001,C2043,$H$2:$H$5001)+ROW()/10000000,0))</f>
        <v>0</v>
      </c>
    </row>
    <row r="2044" customFormat="false" ht="15" hidden="false" customHeight="false" outlineLevel="0" collapsed="false">
      <c r="A2044" s="43"/>
      <c r="B2044" s="44"/>
      <c r="C2044" s="44"/>
      <c r="D2044" s="44"/>
      <c r="E2044" s="44"/>
      <c r="F2044" s="44"/>
      <c r="G2044" s="44"/>
      <c r="H2044" s="46" t="str">
        <f aca="false">IF($A2044="","",IF(OR(NOT(ISNUMBER(E2044)),NOT(ISNUMBER(F2044))),"",MAX(0,E2044)*F2044))</f>
        <v/>
      </c>
      <c r="I2044" s="46" t="str">
        <f aca="false">IF($A2044="","",SUMIF($A$2:$A$5001,$A2044,$H$2:$H$5001))</f>
        <v/>
      </c>
      <c r="J2044" s="47" t="n">
        <f aca="false">IF($A2044="",0,IF(COUNTIF($A$2:A2044,$A2044)=1,1,0))</f>
        <v>0</v>
      </c>
      <c r="K2044" s="47" t="n">
        <f aca="false">IF(J2044=1,N(I2044)+ROW()/10000000,0)</f>
        <v>0</v>
      </c>
      <c r="L2044" s="47" t="str">
        <f aca="false">IF(AND(J2044=1,N(I2044)&gt;0),SUMIF($K$2:$K$5001,"&gt;="&amp;K2044,$I$2:$I$5001)/MAX(1,SUM($H$2:$H$5001)),"")</f>
        <v/>
      </c>
      <c r="M2044" s="47" t="str">
        <f aca="false">IF($A2044="","",INDEX($L$2:$L$5001,MATCH($A2044,$A$2:$A$5001,0)))</f>
        <v/>
      </c>
      <c r="N2044" s="48" t="str">
        <f aca="false">IF($A2044="","",IF(N(M2044)=0,"–",IF(M2044&lt;=Start!$D$20,"A",IF(M2044&lt;=Start!$D$21,"B","C"))))</f>
        <v/>
      </c>
      <c r="O2044" s="48" t="str">
        <f aca="false">IF($A2044="","",IF(NOT(ISNUMBER(F2044)),"Wert fehlt; ",IF(F2044&lt;=0,"Wert ist 0; ",""))&amp;IF(NOT(ISNUMBER(E2044)),"Bestand fehlt; ",IF(E2044&lt;0,"Bestand negativ; ",IF(E2044=0,"Nullbestand; ","")))&amp;IF(D2044="","Warengruppe fehlt; ","")&amp;IF(B2044="","Bezeichnung fehlt; ","")&amp;IF(COUNTIFS($A$2:$A$5001,$A2044,$C$2:$C$5001,C2044)&gt;1,"Artikel doppelt im selben Lager; ",""))</f>
        <v/>
      </c>
      <c r="P2044" s="47" t="n">
        <f aca="false">IF(OR($A2044="",D2044=""),0,IF(COUNTIF($D$2:D2044,D2044)=1,SUMIF($D$2:$D$5001,D2044,$H$2:$H$5001)+ROW()/10000000,0))</f>
        <v>0</v>
      </c>
      <c r="Q2044" s="47" t="n">
        <f aca="false">IF(OR($A2044="",C2044=""),0,IF(COUNTIF($C$2:C2044,C2044)=1,SUMIF($C$2:$C$5001,C2044,$H$2:$H$5001)+ROW()/10000000,0))</f>
        <v>0</v>
      </c>
    </row>
    <row r="2045" customFormat="false" ht="15" hidden="false" customHeight="false" outlineLevel="0" collapsed="false">
      <c r="A2045" s="43"/>
      <c r="B2045" s="44"/>
      <c r="C2045" s="44"/>
      <c r="D2045" s="44"/>
      <c r="E2045" s="44"/>
      <c r="F2045" s="44"/>
      <c r="G2045" s="44"/>
      <c r="H2045" s="46" t="str">
        <f aca="false">IF($A2045="","",IF(OR(NOT(ISNUMBER(E2045)),NOT(ISNUMBER(F2045))),"",MAX(0,E2045)*F2045))</f>
        <v/>
      </c>
      <c r="I2045" s="46" t="str">
        <f aca="false">IF($A2045="","",SUMIF($A$2:$A$5001,$A2045,$H$2:$H$5001))</f>
        <v/>
      </c>
      <c r="J2045" s="47" t="n">
        <f aca="false">IF($A2045="",0,IF(COUNTIF($A$2:A2045,$A2045)=1,1,0))</f>
        <v>0</v>
      </c>
      <c r="K2045" s="47" t="n">
        <f aca="false">IF(J2045=1,N(I2045)+ROW()/10000000,0)</f>
        <v>0</v>
      </c>
      <c r="L2045" s="47" t="str">
        <f aca="false">IF(AND(J2045=1,N(I2045)&gt;0),SUMIF($K$2:$K$5001,"&gt;="&amp;K2045,$I$2:$I$5001)/MAX(1,SUM($H$2:$H$5001)),"")</f>
        <v/>
      </c>
      <c r="M2045" s="47" t="str">
        <f aca="false">IF($A2045="","",INDEX($L$2:$L$5001,MATCH($A2045,$A$2:$A$5001,0)))</f>
        <v/>
      </c>
      <c r="N2045" s="48" t="str">
        <f aca="false">IF($A2045="","",IF(N(M2045)=0,"–",IF(M2045&lt;=Start!$D$20,"A",IF(M2045&lt;=Start!$D$21,"B","C"))))</f>
        <v/>
      </c>
      <c r="O2045" s="48" t="str">
        <f aca="false">IF($A2045="","",IF(NOT(ISNUMBER(F2045)),"Wert fehlt; ",IF(F2045&lt;=0,"Wert ist 0; ",""))&amp;IF(NOT(ISNUMBER(E2045)),"Bestand fehlt; ",IF(E2045&lt;0,"Bestand negativ; ",IF(E2045=0,"Nullbestand; ","")))&amp;IF(D2045="","Warengruppe fehlt; ","")&amp;IF(B2045="","Bezeichnung fehlt; ","")&amp;IF(COUNTIFS($A$2:$A$5001,$A2045,$C$2:$C$5001,C2045)&gt;1,"Artikel doppelt im selben Lager; ",""))</f>
        <v/>
      </c>
      <c r="P2045" s="47" t="n">
        <f aca="false">IF(OR($A2045="",D2045=""),0,IF(COUNTIF($D$2:D2045,D2045)=1,SUMIF($D$2:$D$5001,D2045,$H$2:$H$5001)+ROW()/10000000,0))</f>
        <v>0</v>
      </c>
      <c r="Q2045" s="47" t="n">
        <f aca="false">IF(OR($A2045="",C2045=""),0,IF(COUNTIF($C$2:C2045,C2045)=1,SUMIF($C$2:$C$5001,C2045,$H$2:$H$5001)+ROW()/10000000,0))</f>
        <v>0</v>
      </c>
    </row>
    <row r="2046" customFormat="false" ht="15" hidden="false" customHeight="false" outlineLevel="0" collapsed="false">
      <c r="A2046" s="43"/>
      <c r="B2046" s="44"/>
      <c r="C2046" s="44"/>
      <c r="D2046" s="44"/>
      <c r="E2046" s="44"/>
      <c r="F2046" s="44"/>
      <c r="G2046" s="44"/>
      <c r="H2046" s="46" t="str">
        <f aca="false">IF($A2046="","",IF(OR(NOT(ISNUMBER(E2046)),NOT(ISNUMBER(F2046))),"",MAX(0,E2046)*F2046))</f>
        <v/>
      </c>
      <c r="I2046" s="46" t="str">
        <f aca="false">IF($A2046="","",SUMIF($A$2:$A$5001,$A2046,$H$2:$H$5001))</f>
        <v/>
      </c>
      <c r="J2046" s="47" t="n">
        <f aca="false">IF($A2046="",0,IF(COUNTIF($A$2:A2046,$A2046)=1,1,0))</f>
        <v>0</v>
      </c>
      <c r="K2046" s="47" t="n">
        <f aca="false">IF(J2046=1,N(I2046)+ROW()/10000000,0)</f>
        <v>0</v>
      </c>
      <c r="L2046" s="47" t="str">
        <f aca="false">IF(AND(J2046=1,N(I2046)&gt;0),SUMIF($K$2:$K$5001,"&gt;="&amp;K2046,$I$2:$I$5001)/MAX(1,SUM($H$2:$H$5001)),"")</f>
        <v/>
      </c>
      <c r="M2046" s="47" t="str">
        <f aca="false">IF($A2046="","",INDEX($L$2:$L$5001,MATCH($A2046,$A$2:$A$5001,0)))</f>
        <v/>
      </c>
      <c r="N2046" s="48" t="str">
        <f aca="false">IF($A2046="","",IF(N(M2046)=0,"–",IF(M2046&lt;=Start!$D$20,"A",IF(M2046&lt;=Start!$D$21,"B","C"))))</f>
        <v/>
      </c>
      <c r="O2046" s="48" t="str">
        <f aca="false">IF($A2046="","",IF(NOT(ISNUMBER(F2046)),"Wert fehlt; ",IF(F2046&lt;=0,"Wert ist 0; ",""))&amp;IF(NOT(ISNUMBER(E2046)),"Bestand fehlt; ",IF(E2046&lt;0,"Bestand negativ; ",IF(E2046=0,"Nullbestand; ","")))&amp;IF(D2046="","Warengruppe fehlt; ","")&amp;IF(B2046="","Bezeichnung fehlt; ","")&amp;IF(COUNTIFS($A$2:$A$5001,$A2046,$C$2:$C$5001,C2046)&gt;1,"Artikel doppelt im selben Lager; ",""))</f>
        <v/>
      </c>
      <c r="P2046" s="47" t="n">
        <f aca="false">IF(OR($A2046="",D2046=""),0,IF(COUNTIF($D$2:D2046,D2046)=1,SUMIF($D$2:$D$5001,D2046,$H$2:$H$5001)+ROW()/10000000,0))</f>
        <v>0</v>
      </c>
      <c r="Q2046" s="47" t="n">
        <f aca="false">IF(OR($A2046="",C2046=""),0,IF(COUNTIF($C$2:C2046,C2046)=1,SUMIF($C$2:$C$5001,C2046,$H$2:$H$5001)+ROW()/10000000,0))</f>
        <v>0</v>
      </c>
    </row>
    <row r="2047" customFormat="false" ht="15" hidden="false" customHeight="false" outlineLevel="0" collapsed="false">
      <c r="A2047" s="43"/>
      <c r="B2047" s="44"/>
      <c r="C2047" s="44"/>
      <c r="D2047" s="44"/>
      <c r="E2047" s="44"/>
      <c r="F2047" s="44"/>
      <c r="G2047" s="44"/>
      <c r="H2047" s="46" t="str">
        <f aca="false">IF($A2047="","",IF(OR(NOT(ISNUMBER(E2047)),NOT(ISNUMBER(F2047))),"",MAX(0,E2047)*F2047))</f>
        <v/>
      </c>
      <c r="I2047" s="46" t="str">
        <f aca="false">IF($A2047="","",SUMIF($A$2:$A$5001,$A2047,$H$2:$H$5001))</f>
        <v/>
      </c>
      <c r="J2047" s="47" t="n">
        <f aca="false">IF($A2047="",0,IF(COUNTIF($A$2:A2047,$A2047)=1,1,0))</f>
        <v>0</v>
      </c>
      <c r="K2047" s="47" t="n">
        <f aca="false">IF(J2047=1,N(I2047)+ROW()/10000000,0)</f>
        <v>0</v>
      </c>
      <c r="L2047" s="47" t="str">
        <f aca="false">IF(AND(J2047=1,N(I2047)&gt;0),SUMIF($K$2:$K$5001,"&gt;="&amp;K2047,$I$2:$I$5001)/MAX(1,SUM($H$2:$H$5001)),"")</f>
        <v/>
      </c>
      <c r="M2047" s="47" t="str">
        <f aca="false">IF($A2047="","",INDEX($L$2:$L$5001,MATCH($A2047,$A$2:$A$5001,0)))</f>
        <v/>
      </c>
      <c r="N2047" s="48" t="str">
        <f aca="false">IF($A2047="","",IF(N(M2047)=0,"–",IF(M2047&lt;=Start!$D$20,"A",IF(M2047&lt;=Start!$D$21,"B","C"))))</f>
        <v/>
      </c>
      <c r="O2047" s="48" t="str">
        <f aca="false">IF($A2047="","",IF(NOT(ISNUMBER(F2047)),"Wert fehlt; ",IF(F2047&lt;=0,"Wert ist 0; ",""))&amp;IF(NOT(ISNUMBER(E2047)),"Bestand fehlt; ",IF(E2047&lt;0,"Bestand negativ; ",IF(E2047=0,"Nullbestand; ","")))&amp;IF(D2047="","Warengruppe fehlt; ","")&amp;IF(B2047="","Bezeichnung fehlt; ","")&amp;IF(COUNTIFS($A$2:$A$5001,$A2047,$C$2:$C$5001,C2047)&gt;1,"Artikel doppelt im selben Lager; ",""))</f>
        <v/>
      </c>
      <c r="P2047" s="47" t="n">
        <f aca="false">IF(OR($A2047="",D2047=""),0,IF(COUNTIF($D$2:D2047,D2047)=1,SUMIF($D$2:$D$5001,D2047,$H$2:$H$5001)+ROW()/10000000,0))</f>
        <v>0</v>
      </c>
      <c r="Q2047" s="47" t="n">
        <f aca="false">IF(OR($A2047="",C2047=""),0,IF(COUNTIF($C$2:C2047,C2047)=1,SUMIF($C$2:$C$5001,C2047,$H$2:$H$5001)+ROW()/10000000,0))</f>
        <v>0</v>
      </c>
    </row>
    <row r="2048" customFormat="false" ht="15" hidden="false" customHeight="false" outlineLevel="0" collapsed="false">
      <c r="A2048" s="43"/>
      <c r="B2048" s="44"/>
      <c r="C2048" s="44"/>
      <c r="D2048" s="44"/>
      <c r="E2048" s="44"/>
      <c r="F2048" s="44"/>
      <c r="G2048" s="44"/>
      <c r="H2048" s="46" t="str">
        <f aca="false">IF($A2048="","",IF(OR(NOT(ISNUMBER(E2048)),NOT(ISNUMBER(F2048))),"",MAX(0,E2048)*F2048))</f>
        <v/>
      </c>
      <c r="I2048" s="46" t="str">
        <f aca="false">IF($A2048="","",SUMIF($A$2:$A$5001,$A2048,$H$2:$H$5001))</f>
        <v/>
      </c>
      <c r="J2048" s="47" t="n">
        <f aca="false">IF($A2048="",0,IF(COUNTIF($A$2:A2048,$A2048)=1,1,0))</f>
        <v>0</v>
      </c>
      <c r="K2048" s="47" t="n">
        <f aca="false">IF(J2048=1,N(I2048)+ROW()/10000000,0)</f>
        <v>0</v>
      </c>
      <c r="L2048" s="47" t="str">
        <f aca="false">IF(AND(J2048=1,N(I2048)&gt;0),SUMIF($K$2:$K$5001,"&gt;="&amp;K2048,$I$2:$I$5001)/MAX(1,SUM($H$2:$H$5001)),"")</f>
        <v/>
      </c>
      <c r="M2048" s="47" t="str">
        <f aca="false">IF($A2048="","",INDEX($L$2:$L$5001,MATCH($A2048,$A$2:$A$5001,0)))</f>
        <v/>
      </c>
      <c r="N2048" s="48" t="str">
        <f aca="false">IF($A2048="","",IF(N(M2048)=0,"–",IF(M2048&lt;=Start!$D$20,"A",IF(M2048&lt;=Start!$D$21,"B","C"))))</f>
        <v/>
      </c>
      <c r="O2048" s="48" t="str">
        <f aca="false">IF($A2048="","",IF(NOT(ISNUMBER(F2048)),"Wert fehlt; ",IF(F2048&lt;=0,"Wert ist 0; ",""))&amp;IF(NOT(ISNUMBER(E2048)),"Bestand fehlt; ",IF(E2048&lt;0,"Bestand negativ; ",IF(E2048=0,"Nullbestand; ","")))&amp;IF(D2048="","Warengruppe fehlt; ","")&amp;IF(B2048="","Bezeichnung fehlt; ","")&amp;IF(COUNTIFS($A$2:$A$5001,$A2048,$C$2:$C$5001,C2048)&gt;1,"Artikel doppelt im selben Lager; ",""))</f>
        <v/>
      </c>
      <c r="P2048" s="47" t="n">
        <f aca="false">IF(OR($A2048="",D2048=""),0,IF(COUNTIF($D$2:D2048,D2048)=1,SUMIF($D$2:$D$5001,D2048,$H$2:$H$5001)+ROW()/10000000,0))</f>
        <v>0</v>
      </c>
      <c r="Q2048" s="47" t="n">
        <f aca="false">IF(OR($A2048="",C2048=""),0,IF(COUNTIF($C$2:C2048,C2048)=1,SUMIF($C$2:$C$5001,C2048,$H$2:$H$5001)+ROW()/10000000,0))</f>
        <v>0</v>
      </c>
    </row>
    <row r="2049" customFormat="false" ht="15" hidden="false" customHeight="false" outlineLevel="0" collapsed="false">
      <c r="A2049" s="43"/>
      <c r="B2049" s="44"/>
      <c r="C2049" s="44"/>
      <c r="D2049" s="44"/>
      <c r="E2049" s="44"/>
      <c r="F2049" s="44"/>
      <c r="G2049" s="44"/>
      <c r="H2049" s="46" t="str">
        <f aca="false">IF($A2049="","",IF(OR(NOT(ISNUMBER(E2049)),NOT(ISNUMBER(F2049))),"",MAX(0,E2049)*F2049))</f>
        <v/>
      </c>
      <c r="I2049" s="46" t="str">
        <f aca="false">IF($A2049="","",SUMIF($A$2:$A$5001,$A2049,$H$2:$H$5001))</f>
        <v/>
      </c>
      <c r="J2049" s="47" t="n">
        <f aca="false">IF($A2049="",0,IF(COUNTIF($A$2:A2049,$A2049)=1,1,0))</f>
        <v>0</v>
      </c>
      <c r="K2049" s="47" t="n">
        <f aca="false">IF(J2049=1,N(I2049)+ROW()/10000000,0)</f>
        <v>0</v>
      </c>
      <c r="L2049" s="47" t="str">
        <f aca="false">IF(AND(J2049=1,N(I2049)&gt;0),SUMIF($K$2:$K$5001,"&gt;="&amp;K2049,$I$2:$I$5001)/MAX(1,SUM($H$2:$H$5001)),"")</f>
        <v/>
      </c>
      <c r="M2049" s="47" t="str">
        <f aca="false">IF($A2049="","",INDEX($L$2:$L$5001,MATCH($A2049,$A$2:$A$5001,0)))</f>
        <v/>
      </c>
      <c r="N2049" s="48" t="str">
        <f aca="false">IF($A2049="","",IF(N(M2049)=0,"–",IF(M2049&lt;=Start!$D$20,"A",IF(M2049&lt;=Start!$D$21,"B","C"))))</f>
        <v/>
      </c>
      <c r="O2049" s="48" t="str">
        <f aca="false">IF($A2049="","",IF(NOT(ISNUMBER(F2049)),"Wert fehlt; ",IF(F2049&lt;=0,"Wert ist 0; ",""))&amp;IF(NOT(ISNUMBER(E2049)),"Bestand fehlt; ",IF(E2049&lt;0,"Bestand negativ; ",IF(E2049=0,"Nullbestand; ","")))&amp;IF(D2049="","Warengruppe fehlt; ","")&amp;IF(B2049="","Bezeichnung fehlt; ","")&amp;IF(COUNTIFS($A$2:$A$5001,$A2049,$C$2:$C$5001,C2049)&gt;1,"Artikel doppelt im selben Lager; ",""))</f>
        <v/>
      </c>
      <c r="P2049" s="47" t="n">
        <f aca="false">IF(OR($A2049="",D2049=""),0,IF(COUNTIF($D$2:D2049,D2049)=1,SUMIF($D$2:$D$5001,D2049,$H$2:$H$5001)+ROW()/10000000,0))</f>
        <v>0</v>
      </c>
      <c r="Q2049" s="47" t="n">
        <f aca="false">IF(OR($A2049="",C2049=""),0,IF(COUNTIF($C$2:C2049,C2049)=1,SUMIF($C$2:$C$5001,C2049,$H$2:$H$5001)+ROW()/10000000,0))</f>
        <v>0</v>
      </c>
    </row>
    <row r="2050" customFormat="false" ht="15" hidden="false" customHeight="false" outlineLevel="0" collapsed="false">
      <c r="A2050" s="43"/>
      <c r="B2050" s="44"/>
      <c r="C2050" s="44"/>
      <c r="D2050" s="44"/>
      <c r="E2050" s="44"/>
      <c r="F2050" s="44"/>
      <c r="G2050" s="44"/>
      <c r="H2050" s="46" t="str">
        <f aca="false">IF($A2050="","",IF(OR(NOT(ISNUMBER(E2050)),NOT(ISNUMBER(F2050))),"",MAX(0,E2050)*F2050))</f>
        <v/>
      </c>
      <c r="I2050" s="46" t="str">
        <f aca="false">IF($A2050="","",SUMIF($A$2:$A$5001,$A2050,$H$2:$H$5001))</f>
        <v/>
      </c>
      <c r="J2050" s="47" t="n">
        <f aca="false">IF($A2050="",0,IF(COUNTIF($A$2:A2050,$A2050)=1,1,0))</f>
        <v>0</v>
      </c>
      <c r="K2050" s="47" t="n">
        <f aca="false">IF(J2050=1,N(I2050)+ROW()/10000000,0)</f>
        <v>0</v>
      </c>
      <c r="L2050" s="47" t="str">
        <f aca="false">IF(AND(J2050=1,N(I2050)&gt;0),SUMIF($K$2:$K$5001,"&gt;="&amp;K2050,$I$2:$I$5001)/MAX(1,SUM($H$2:$H$5001)),"")</f>
        <v/>
      </c>
      <c r="M2050" s="47" t="str">
        <f aca="false">IF($A2050="","",INDEX($L$2:$L$5001,MATCH($A2050,$A$2:$A$5001,0)))</f>
        <v/>
      </c>
      <c r="N2050" s="48" t="str">
        <f aca="false">IF($A2050="","",IF(N(M2050)=0,"–",IF(M2050&lt;=Start!$D$20,"A",IF(M2050&lt;=Start!$D$21,"B","C"))))</f>
        <v/>
      </c>
      <c r="O2050" s="48" t="str">
        <f aca="false">IF($A2050="","",IF(NOT(ISNUMBER(F2050)),"Wert fehlt; ",IF(F2050&lt;=0,"Wert ist 0; ",""))&amp;IF(NOT(ISNUMBER(E2050)),"Bestand fehlt; ",IF(E2050&lt;0,"Bestand negativ; ",IF(E2050=0,"Nullbestand; ","")))&amp;IF(D2050="","Warengruppe fehlt; ","")&amp;IF(B2050="","Bezeichnung fehlt; ","")&amp;IF(COUNTIFS($A$2:$A$5001,$A2050,$C$2:$C$5001,C2050)&gt;1,"Artikel doppelt im selben Lager; ",""))</f>
        <v/>
      </c>
      <c r="P2050" s="47" t="n">
        <f aca="false">IF(OR($A2050="",D2050=""),0,IF(COUNTIF($D$2:D2050,D2050)=1,SUMIF($D$2:$D$5001,D2050,$H$2:$H$5001)+ROW()/10000000,0))</f>
        <v>0</v>
      </c>
      <c r="Q2050" s="47" t="n">
        <f aca="false">IF(OR($A2050="",C2050=""),0,IF(COUNTIF($C$2:C2050,C2050)=1,SUMIF($C$2:$C$5001,C2050,$H$2:$H$5001)+ROW()/10000000,0))</f>
        <v>0</v>
      </c>
    </row>
    <row r="2051" customFormat="false" ht="15" hidden="false" customHeight="false" outlineLevel="0" collapsed="false">
      <c r="A2051" s="43"/>
      <c r="B2051" s="44"/>
      <c r="C2051" s="44"/>
      <c r="D2051" s="44"/>
      <c r="E2051" s="44"/>
      <c r="F2051" s="44"/>
      <c r="G2051" s="44"/>
      <c r="H2051" s="46" t="str">
        <f aca="false">IF($A2051="","",IF(OR(NOT(ISNUMBER(E2051)),NOT(ISNUMBER(F2051))),"",MAX(0,E2051)*F2051))</f>
        <v/>
      </c>
      <c r="I2051" s="46" t="str">
        <f aca="false">IF($A2051="","",SUMIF($A$2:$A$5001,$A2051,$H$2:$H$5001))</f>
        <v/>
      </c>
      <c r="J2051" s="47" t="n">
        <f aca="false">IF($A2051="",0,IF(COUNTIF($A$2:A2051,$A2051)=1,1,0))</f>
        <v>0</v>
      </c>
      <c r="K2051" s="47" t="n">
        <f aca="false">IF(J2051=1,N(I2051)+ROW()/10000000,0)</f>
        <v>0</v>
      </c>
      <c r="L2051" s="47" t="str">
        <f aca="false">IF(AND(J2051=1,N(I2051)&gt;0),SUMIF($K$2:$K$5001,"&gt;="&amp;K2051,$I$2:$I$5001)/MAX(1,SUM($H$2:$H$5001)),"")</f>
        <v/>
      </c>
      <c r="M2051" s="47" t="str">
        <f aca="false">IF($A2051="","",INDEX($L$2:$L$5001,MATCH($A2051,$A$2:$A$5001,0)))</f>
        <v/>
      </c>
      <c r="N2051" s="48" t="str">
        <f aca="false">IF($A2051="","",IF(N(M2051)=0,"–",IF(M2051&lt;=Start!$D$20,"A",IF(M2051&lt;=Start!$D$21,"B","C"))))</f>
        <v/>
      </c>
      <c r="O2051" s="48" t="str">
        <f aca="false">IF($A2051="","",IF(NOT(ISNUMBER(F2051)),"Wert fehlt; ",IF(F2051&lt;=0,"Wert ist 0; ",""))&amp;IF(NOT(ISNUMBER(E2051)),"Bestand fehlt; ",IF(E2051&lt;0,"Bestand negativ; ",IF(E2051=0,"Nullbestand; ","")))&amp;IF(D2051="","Warengruppe fehlt; ","")&amp;IF(B2051="","Bezeichnung fehlt; ","")&amp;IF(COUNTIFS($A$2:$A$5001,$A2051,$C$2:$C$5001,C2051)&gt;1,"Artikel doppelt im selben Lager; ",""))</f>
        <v/>
      </c>
      <c r="P2051" s="47" t="n">
        <f aca="false">IF(OR($A2051="",D2051=""),0,IF(COUNTIF($D$2:D2051,D2051)=1,SUMIF($D$2:$D$5001,D2051,$H$2:$H$5001)+ROW()/10000000,0))</f>
        <v>0</v>
      </c>
      <c r="Q2051" s="47" t="n">
        <f aca="false">IF(OR($A2051="",C2051=""),0,IF(COUNTIF($C$2:C2051,C2051)=1,SUMIF($C$2:$C$5001,C2051,$H$2:$H$5001)+ROW()/10000000,0))</f>
        <v>0</v>
      </c>
    </row>
    <row r="2052" customFormat="false" ht="15" hidden="false" customHeight="false" outlineLevel="0" collapsed="false">
      <c r="A2052" s="43"/>
      <c r="B2052" s="44"/>
      <c r="C2052" s="44"/>
      <c r="D2052" s="44"/>
      <c r="E2052" s="44"/>
      <c r="F2052" s="44"/>
      <c r="G2052" s="44"/>
      <c r="H2052" s="46" t="str">
        <f aca="false">IF($A2052="","",IF(OR(NOT(ISNUMBER(E2052)),NOT(ISNUMBER(F2052))),"",MAX(0,E2052)*F2052))</f>
        <v/>
      </c>
      <c r="I2052" s="46" t="str">
        <f aca="false">IF($A2052="","",SUMIF($A$2:$A$5001,$A2052,$H$2:$H$5001))</f>
        <v/>
      </c>
      <c r="J2052" s="47" t="n">
        <f aca="false">IF($A2052="",0,IF(COUNTIF($A$2:A2052,$A2052)=1,1,0))</f>
        <v>0</v>
      </c>
      <c r="K2052" s="47" t="n">
        <f aca="false">IF(J2052=1,N(I2052)+ROW()/10000000,0)</f>
        <v>0</v>
      </c>
      <c r="L2052" s="47" t="str">
        <f aca="false">IF(AND(J2052=1,N(I2052)&gt;0),SUMIF($K$2:$K$5001,"&gt;="&amp;K2052,$I$2:$I$5001)/MAX(1,SUM($H$2:$H$5001)),"")</f>
        <v/>
      </c>
      <c r="M2052" s="47" t="str">
        <f aca="false">IF($A2052="","",INDEX($L$2:$L$5001,MATCH($A2052,$A$2:$A$5001,0)))</f>
        <v/>
      </c>
      <c r="N2052" s="48" t="str">
        <f aca="false">IF($A2052="","",IF(N(M2052)=0,"–",IF(M2052&lt;=Start!$D$20,"A",IF(M2052&lt;=Start!$D$21,"B","C"))))</f>
        <v/>
      </c>
      <c r="O2052" s="48" t="str">
        <f aca="false">IF($A2052="","",IF(NOT(ISNUMBER(F2052)),"Wert fehlt; ",IF(F2052&lt;=0,"Wert ist 0; ",""))&amp;IF(NOT(ISNUMBER(E2052)),"Bestand fehlt; ",IF(E2052&lt;0,"Bestand negativ; ",IF(E2052=0,"Nullbestand; ","")))&amp;IF(D2052="","Warengruppe fehlt; ","")&amp;IF(B2052="","Bezeichnung fehlt; ","")&amp;IF(COUNTIFS($A$2:$A$5001,$A2052,$C$2:$C$5001,C2052)&gt;1,"Artikel doppelt im selben Lager; ",""))</f>
        <v/>
      </c>
      <c r="P2052" s="47" t="n">
        <f aca="false">IF(OR($A2052="",D2052=""),0,IF(COUNTIF($D$2:D2052,D2052)=1,SUMIF($D$2:$D$5001,D2052,$H$2:$H$5001)+ROW()/10000000,0))</f>
        <v>0</v>
      </c>
      <c r="Q2052" s="47" t="n">
        <f aca="false">IF(OR($A2052="",C2052=""),0,IF(COUNTIF($C$2:C2052,C2052)=1,SUMIF($C$2:$C$5001,C2052,$H$2:$H$5001)+ROW()/10000000,0))</f>
        <v>0</v>
      </c>
    </row>
    <row r="2053" customFormat="false" ht="15" hidden="false" customHeight="false" outlineLevel="0" collapsed="false">
      <c r="A2053" s="43"/>
      <c r="B2053" s="44"/>
      <c r="C2053" s="44"/>
      <c r="D2053" s="44"/>
      <c r="E2053" s="44"/>
      <c r="F2053" s="44"/>
      <c r="G2053" s="44"/>
      <c r="H2053" s="46" t="str">
        <f aca="false">IF($A2053="","",IF(OR(NOT(ISNUMBER(E2053)),NOT(ISNUMBER(F2053))),"",MAX(0,E2053)*F2053))</f>
        <v/>
      </c>
      <c r="I2053" s="46" t="str">
        <f aca="false">IF($A2053="","",SUMIF($A$2:$A$5001,$A2053,$H$2:$H$5001))</f>
        <v/>
      </c>
      <c r="J2053" s="47" t="n">
        <f aca="false">IF($A2053="",0,IF(COUNTIF($A$2:A2053,$A2053)=1,1,0))</f>
        <v>0</v>
      </c>
      <c r="K2053" s="47" t="n">
        <f aca="false">IF(J2053=1,N(I2053)+ROW()/10000000,0)</f>
        <v>0</v>
      </c>
      <c r="L2053" s="47" t="str">
        <f aca="false">IF(AND(J2053=1,N(I2053)&gt;0),SUMIF($K$2:$K$5001,"&gt;="&amp;K2053,$I$2:$I$5001)/MAX(1,SUM($H$2:$H$5001)),"")</f>
        <v/>
      </c>
      <c r="M2053" s="47" t="str">
        <f aca="false">IF($A2053="","",INDEX($L$2:$L$5001,MATCH($A2053,$A$2:$A$5001,0)))</f>
        <v/>
      </c>
      <c r="N2053" s="48" t="str">
        <f aca="false">IF($A2053="","",IF(N(M2053)=0,"–",IF(M2053&lt;=Start!$D$20,"A",IF(M2053&lt;=Start!$D$21,"B","C"))))</f>
        <v/>
      </c>
      <c r="O2053" s="48" t="str">
        <f aca="false">IF($A2053="","",IF(NOT(ISNUMBER(F2053)),"Wert fehlt; ",IF(F2053&lt;=0,"Wert ist 0; ",""))&amp;IF(NOT(ISNUMBER(E2053)),"Bestand fehlt; ",IF(E2053&lt;0,"Bestand negativ; ",IF(E2053=0,"Nullbestand; ","")))&amp;IF(D2053="","Warengruppe fehlt; ","")&amp;IF(B2053="","Bezeichnung fehlt; ","")&amp;IF(COUNTIFS($A$2:$A$5001,$A2053,$C$2:$C$5001,C2053)&gt;1,"Artikel doppelt im selben Lager; ",""))</f>
        <v/>
      </c>
      <c r="P2053" s="47" t="n">
        <f aca="false">IF(OR($A2053="",D2053=""),0,IF(COUNTIF($D$2:D2053,D2053)=1,SUMIF($D$2:$D$5001,D2053,$H$2:$H$5001)+ROW()/10000000,0))</f>
        <v>0</v>
      </c>
      <c r="Q2053" s="47" t="n">
        <f aca="false">IF(OR($A2053="",C2053=""),0,IF(COUNTIF($C$2:C2053,C2053)=1,SUMIF($C$2:$C$5001,C2053,$H$2:$H$5001)+ROW()/10000000,0))</f>
        <v>0</v>
      </c>
    </row>
    <row r="2054" customFormat="false" ht="15" hidden="false" customHeight="false" outlineLevel="0" collapsed="false">
      <c r="A2054" s="43"/>
      <c r="B2054" s="44"/>
      <c r="C2054" s="44"/>
      <c r="D2054" s="44"/>
      <c r="E2054" s="44"/>
      <c r="F2054" s="44"/>
      <c r="G2054" s="44"/>
      <c r="H2054" s="46" t="str">
        <f aca="false">IF($A2054="","",IF(OR(NOT(ISNUMBER(E2054)),NOT(ISNUMBER(F2054))),"",MAX(0,E2054)*F2054))</f>
        <v/>
      </c>
      <c r="I2054" s="46" t="str">
        <f aca="false">IF($A2054="","",SUMIF($A$2:$A$5001,$A2054,$H$2:$H$5001))</f>
        <v/>
      </c>
      <c r="J2054" s="47" t="n">
        <f aca="false">IF($A2054="",0,IF(COUNTIF($A$2:A2054,$A2054)=1,1,0))</f>
        <v>0</v>
      </c>
      <c r="K2054" s="47" t="n">
        <f aca="false">IF(J2054=1,N(I2054)+ROW()/10000000,0)</f>
        <v>0</v>
      </c>
      <c r="L2054" s="47" t="str">
        <f aca="false">IF(AND(J2054=1,N(I2054)&gt;0),SUMIF($K$2:$K$5001,"&gt;="&amp;K2054,$I$2:$I$5001)/MAX(1,SUM($H$2:$H$5001)),"")</f>
        <v/>
      </c>
      <c r="M2054" s="47" t="str">
        <f aca="false">IF($A2054="","",INDEX($L$2:$L$5001,MATCH($A2054,$A$2:$A$5001,0)))</f>
        <v/>
      </c>
      <c r="N2054" s="48" t="str">
        <f aca="false">IF($A2054="","",IF(N(M2054)=0,"–",IF(M2054&lt;=Start!$D$20,"A",IF(M2054&lt;=Start!$D$21,"B","C"))))</f>
        <v/>
      </c>
      <c r="O2054" s="48" t="str">
        <f aca="false">IF($A2054="","",IF(NOT(ISNUMBER(F2054)),"Wert fehlt; ",IF(F2054&lt;=0,"Wert ist 0; ",""))&amp;IF(NOT(ISNUMBER(E2054)),"Bestand fehlt; ",IF(E2054&lt;0,"Bestand negativ; ",IF(E2054=0,"Nullbestand; ","")))&amp;IF(D2054="","Warengruppe fehlt; ","")&amp;IF(B2054="","Bezeichnung fehlt; ","")&amp;IF(COUNTIFS($A$2:$A$5001,$A2054,$C$2:$C$5001,C2054)&gt;1,"Artikel doppelt im selben Lager; ",""))</f>
        <v/>
      </c>
      <c r="P2054" s="47" t="n">
        <f aca="false">IF(OR($A2054="",D2054=""),0,IF(COUNTIF($D$2:D2054,D2054)=1,SUMIF($D$2:$D$5001,D2054,$H$2:$H$5001)+ROW()/10000000,0))</f>
        <v>0</v>
      </c>
      <c r="Q2054" s="47" t="n">
        <f aca="false">IF(OR($A2054="",C2054=""),0,IF(COUNTIF($C$2:C2054,C2054)=1,SUMIF($C$2:$C$5001,C2054,$H$2:$H$5001)+ROW()/10000000,0))</f>
        <v>0</v>
      </c>
    </row>
    <row r="2055" customFormat="false" ht="15" hidden="false" customHeight="false" outlineLevel="0" collapsed="false">
      <c r="A2055" s="43"/>
      <c r="B2055" s="44"/>
      <c r="C2055" s="44"/>
      <c r="D2055" s="44"/>
      <c r="E2055" s="44"/>
      <c r="F2055" s="44"/>
      <c r="G2055" s="44"/>
      <c r="H2055" s="46" t="str">
        <f aca="false">IF($A2055="","",IF(OR(NOT(ISNUMBER(E2055)),NOT(ISNUMBER(F2055))),"",MAX(0,E2055)*F2055))</f>
        <v/>
      </c>
      <c r="I2055" s="46" t="str">
        <f aca="false">IF($A2055="","",SUMIF($A$2:$A$5001,$A2055,$H$2:$H$5001))</f>
        <v/>
      </c>
      <c r="J2055" s="47" t="n">
        <f aca="false">IF($A2055="",0,IF(COUNTIF($A$2:A2055,$A2055)=1,1,0))</f>
        <v>0</v>
      </c>
      <c r="K2055" s="47" t="n">
        <f aca="false">IF(J2055=1,N(I2055)+ROW()/10000000,0)</f>
        <v>0</v>
      </c>
      <c r="L2055" s="47" t="str">
        <f aca="false">IF(AND(J2055=1,N(I2055)&gt;0),SUMIF($K$2:$K$5001,"&gt;="&amp;K2055,$I$2:$I$5001)/MAX(1,SUM($H$2:$H$5001)),"")</f>
        <v/>
      </c>
      <c r="M2055" s="47" t="str">
        <f aca="false">IF($A2055="","",INDEX($L$2:$L$5001,MATCH($A2055,$A$2:$A$5001,0)))</f>
        <v/>
      </c>
      <c r="N2055" s="48" t="str">
        <f aca="false">IF($A2055="","",IF(N(M2055)=0,"–",IF(M2055&lt;=Start!$D$20,"A",IF(M2055&lt;=Start!$D$21,"B","C"))))</f>
        <v/>
      </c>
      <c r="O2055" s="48" t="str">
        <f aca="false">IF($A2055="","",IF(NOT(ISNUMBER(F2055)),"Wert fehlt; ",IF(F2055&lt;=0,"Wert ist 0; ",""))&amp;IF(NOT(ISNUMBER(E2055)),"Bestand fehlt; ",IF(E2055&lt;0,"Bestand negativ; ",IF(E2055=0,"Nullbestand; ","")))&amp;IF(D2055="","Warengruppe fehlt; ","")&amp;IF(B2055="","Bezeichnung fehlt; ","")&amp;IF(COUNTIFS($A$2:$A$5001,$A2055,$C$2:$C$5001,C2055)&gt;1,"Artikel doppelt im selben Lager; ",""))</f>
        <v/>
      </c>
      <c r="P2055" s="47" t="n">
        <f aca="false">IF(OR($A2055="",D2055=""),0,IF(COUNTIF($D$2:D2055,D2055)=1,SUMIF($D$2:$D$5001,D2055,$H$2:$H$5001)+ROW()/10000000,0))</f>
        <v>0</v>
      </c>
      <c r="Q2055" s="47" t="n">
        <f aca="false">IF(OR($A2055="",C2055=""),0,IF(COUNTIF($C$2:C2055,C2055)=1,SUMIF($C$2:$C$5001,C2055,$H$2:$H$5001)+ROW()/10000000,0))</f>
        <v>0</v>
      </c>
    </row>
    <row r="2056" customFormat="false" ht="15" hidden="false" customHeight="false" outlineLevel="0" collapsed="false">
      <c r="A2056" s="43"/>
      <c r="B2056" s="44"/>
      <c r="C2056" s="44"/>
      <c r="D2056" s="44"/>
      <c r="E2056" s="44"/>
      <c r="F2056" s="44"/>
      <c r="G2056" s="44"/>
      <c r="H2056" s="46" t="str">
        <f aca="false">IF($A2056="","",IF(OR(NOT(ISNUMBER(E2056)),NOT(ISNUMBER(F2056))),"",MAX(0,E2056)*F2056))</f>
        <v/>
      </c>
      <c r="I2056" s="46" t="str">
        <f aca="false">IF($A2056="","",SUMIF($A$2:$A$5001,$A2056,$H$2:$H$5001))</f>
        <v/>
      </c>
      <c r="J2056" s="47" t="n">
        <f aca="false">IF($A2056="",0,IF(COUNTIF($A$2:A2056,$A2056)=1,1,0))</f>
        <v>0</v>
      </c>
      <c r="K2056" s="47" t="n">
        <f aca="false">IF(J2056=1,N(I2056)+ROW()/10000000,0)</f>
        <v>0</v>
      </c>
      <c r="L2056" s="47" t="str">
        <f aca="false">IF(AND(J2056=1,N(I2056)&gt;0),SUMIF($K$2:$K$5001,"&gt;="&amp;K2056,$I$2:$I$5001)/MAX(1,SUM($H$2:$H$5001)),"")</f>
        <v/>
      </c>
      <c r="M2056" s="47" t="str">
        <f aca="false">IF($A2056="","",INDEX($L$2:$L$5001,MATCH($A2056,$A$2:$A$5001,0)))</f>
        <v/>
      </c>
      <c r="N2056" s="48" t="str">
        <f aca="false">IF($A2056="","",IF(N(M2056)=0,"–",IF(M2056&lt;=Start!$D$20,"A",IF(M2056&lt;=Start!$D$21,"B","C"))))</f>
        <v/>
      </c>
      <c r="O2056" s="48" t="str">
        <f aca="false">IF($A2056="","",IF(NOT(ISNUMBER(F2056)),"Wert fehlt; ",IF(F2056&lt;=0,"Wert ist 0; ",""))&amp;IF(NOT(ISNUMBER(E2056)),"Bestand fehlt; ",IF(E2056&lt;0,"Bestand negativ; ",IF(E2056=0,"Nullbestand; ","")))&amp;IF(D2056="","Warengruppe fehlt; ","")&amp;IF(B2056="","Bezeichnung fehlt; ","")&amp;IF(COUNTIFS($A$2:$A$5001,$A2056,$C$2:$C$5001,C2056)&gt;1,"Artikel doppelt im selben Lager; ",""))</f>
        <v/>
      </c>
      <c r="P2056" s="47" t="n">
        <f aca="false">IF(OR($A2056="",D2056=""),0,IF(COUNTIF($D$2:D2056,D2056)=1,SUMIF($D$2:$D$5001,D2056,$H$2:$H$5001)+ROW()/10000000,0))</f>
        <v>0</v>
      </c>
      <c r="Q2056" s="47" t="n">
        <f aca="false">IF(OR($A2056="",C2056=""),0,IF(COUNTIF($C$2:C2056,C2056)=1,SUMIF($C$2:$C$5001,C2056,$H$2:$H$5001)+ROW()/10000000,0))</f>
        <v>0</v>
      </c>
    </row>
    <row r="2057" customFormat="false" ht="15" hidden="false" customHeight="false" outlineLevel="0" collapsed="false">
      <c r="A2057" s="43"/>
      <c r="B2057" s="44"/>
      <c r="C2057" s="44"/>
      <c r="D2057" s="44"/>
      <c r="E2057" s="44"/>
      <c r="F2057" s="44"/>
      <c r="G2057" s="44"/>
      <c r="H2057" s="46" t="str">
        <f aca="false">IF($A2057="","",IF(OR(NOT(ISNUMBER(E2057)),NOT(ISNUMBER(F2057))),"",MAX(0,E2057)*F2057))</f>
        <v/>
      </c>
      <c r="I2057" s="46" t="str">
        <f aca="false">IF($A2057="","",SUMIF($A$2:$A$5001,$A2057,$H$2:$H$5001))</f>
        <v/>
      </c>
      <c r="J2057" s="47" t="n">
        <f aca="false">IF($A2057="",0,IF(COUNTIF($A$2:A2057,$A2057)=1,1,0))</f>
        <v>0</v>
      </c>
      <c r="K2057" s="47" t="n">
        <f aca="false">IF(J2057=1,N(I2057)+ROW()/10000000,0)</f>
        <v>0</v>
      </c>
      <c r="L2057" s="47" t="str">
        <f aca="false">IF(AND(J2057=1,N(I2057)&gt;0),SUMIF($K$2:$K$5001,"&gt;="&amp;K2057,$I$2:$I$5001)/MAX(1,SUM($H$2:$H$5001)),"")</f>
        <v/>
      </c>
      <c r="M2057" s="47" t="str">
        <f aca="false">IF($A2057="","",INDEX($L$2:$L$5001,MATCH($A2057,$A$2:$A$5001,0)))</f>
        <v/>
      </c>
      <c r="N2057" s="48" t="str">
        <f aca="false">IF($A2057="","",IF(N(M2057)=0,"–",IF(M2057&lt;=Start!$D$20,"A",IF(M2057&lt;=Start!$D$21,"B","C"))))</f>
        <v/>
      </c>
      <c r="O2057" s="48" t="str">
        <f aca="false">IF($A2057="","",IF(NOT(ISNUMBER(F2057)),"Wert fehlt; ",IF(F2057&lt;=0,"Wert ist 0; ",""))&amp;IF(NOT(ISNUMBER(E2057)),"Bestand fehlt; ",IF(E2057&lt;0,"Bestand negativ; ",IF(E2057=0,"Nullbestand; ","")))&amp;IF(D2057="","Warengruppe fehlt; ","")&amp;IF(B2057="","Bezeichnung fehlt; ","")&amp;IF(COUNTIFS($A$2:$A$5001,$A2057,$C$2:$C$5001,C2057)&gt;1,"Artikel doppelt im selben Lager; ",""))</f>
        <v/>
      </c>
      <c r="P2057" s="47" t="n">
        <f aca="false">IF(OR($A2057="",D2057=""),0,IF(COUNTIF($D$2:D2057,D2057)=1,SUMIF($D$2:$D$5001,D2057,$H$2:$H$5001)+ROW()/10000000,0))</f>
        <v>0</v>
      </c>
      <c r="Q2057" s="47" t="n">
        <f aca="false">IF(OR($A2057="",C2057=""),0,IF(COUNTIF($C$2:C2057,C2057)=1,SUMIF($C$2:$C$5001,C2057,$H$2:$H$5001)+ROW()/10000000,0))</f>
        <v>0</v>
      </c>
    </row>
    <row r="2058" customFormat="false" ht="15" hidden="false" customHeight="false" outlineLevel="0" collapsed="false">
      <c r="A2058" s="43"/>
      <c r="B2058" s="44"/>
      <c r="C2058" s="44"/>
      <c r="D2058" s="44"/>
      <c r="E2058" s="44"/>
      <c r="F2058" s="44"/>
      <c r="G2058" s="44"/>
      <c r="H2058" s="46" t="str">
        <f aca="false">IF($A2058="","",IF(OR(NOT(ISNUMBER(E2058)),NOT(ISNUMBER(F2058))),"",MAX(0,E2058)*F2058))</f>
        <v/>
      </c>
      <c r="I2058" s="46" t="str">
        <f aca="false">IF($A2058="","",SUMIF($A$2:$A$5001,$A2058,$H$2:$H$5001))</f>
        <v/>
      </c>
      <c r="J2058" s="47" t="n">
        <f aca="false">IF($A2058="",0,IF(COUNTIF($A$2:A2058,$A2058)=1,1,0))</f>
        <v>0</v>
      </c>
      <c r="K2058" s="47" t="n">
        <f aca="false">IF(J2058=1,N(I2058)+ROW()/10000000,0)</f>
        <v>0</v>
      </c>
      <c r="L2058" s="47" t="str">
        <f aca="false">IF(AND(J2058=1,N(I2058)&gt;0),SUMIF($K$2:$K$5001,"&gt;="&amp;K2058,$I$2:$I$5001)/MAX(1,SUM($H$2:$H$5001)),"")</f>
        <v/>
      </c>
      <c r="M2058" s="47" t="str">
        <f aca="false">IF($A2058="","",INDEX($L$2:$L$5001,MATCH($A2058,$A$2:$A$5001,0)))</f>
        <v/>
      </c>
      <c r="N2058" s="48" t="str">
        <f aca="false">IF($A2058="","",IF(N(M2058)=0,"–",IF(M2058&lt;=Start!$D$20,"A",IF(M2058&lt;=Start!$D$21,"B","C"))))</f>
        <v/>
      </c>
      <c r="O2058" s="48" t="str">
        <f aca="false">IF($A2058="","",IF(NOT(ISNUMBER(F2058)),"Wert fehlt; ",IF(F2058&lt;=0,"Wert ist 0; ",""))&amp;IF(NOT(ISNUMBER(E2058)),"Bestand fehlt; ",IF(E2058&lt;0,"Bestand negativ; ",IF(E2058=0,"Nullbestand; ","")))&amp;IF(D2058="","Warengruppe fehlt; ","")&amp;IF(B2058="","Bezeichnung fehlt; ","")&amp;IF(COUNTIFS($A$2:$A$5001,$A2058,$C$2:$C$5001,C2058)&gt;1,"Artikel doppelt im selben Lager; ",""))</f>
        <v/>
      </c>
      <c r="P2058" s="47" t="n">
        <f aca="false">IF(OR($A2058="",D2058=""),0,IF(COUNTIF($D$2:D2058,D2058)=1,SUMIF($D$2:$D$5001,D2058,$H$2:$H$5001)+ROW()/10000000,0))</f>
        <v>0</v>
      </c>
      <c r="Q2058" s="47" t="n">
        <f aca="false">IF(OR($A2058="",C2058=""),0,IF(COUNTIF($C$2:C2058,C2058)=1,SUMIF($C$2:$C$5001,C2058,$H$2:$H$5001)+ROW()/10000000,0))</f>
        <v>0</v>
      </c>
    </row>
    <row r="2059" customFormat="false" ht="15" hidden="false" customHeight="false" outlineLevel="0" collapsed="false">
      <c r="A2059" s="43"/>
      <c r="B2059" s="44"/>
      <c r="C2059" s="44"/>
      <c r="D2059" s="44"/>
      <c r="E2059" s="44"/>
      <c r="F2059" s="44"/>
      <c r="G2059" s="44"/>
      <c r="H2059" s="46" t="str">
        <f aca="false">IF($A2059="","",IF(OR(NOT(ISNUMBER(E2059)),NOT(ISNUMBER(F2059))),"",MAX(0,E2059)*F2059))</f>
        <v/>
      </c>
      <c r="I2059" s="46" t="str">
        <f aca="false">IF($A2059="","",SUMIF($A$2:$A$5001,$A2059,$H$2:$H$5001))</f>
        <v/>
      </c>
      <c r="J2059" s="47" t="n">
        <f aca="false">IF($A2059="",0,IF(COUNTIF($A$2:A2059,$A2059)=1,1,0))</f>
        <v>0</v>
      </c>
      <c r="K2059" s="47" t="n">
        <f aca="false">IF(J2059=1,N(I2059)+ROW()/10000000,0)</f>
        <v>0</v>
      </c>
      <c r="L2059" s="47" t="str">
        <f aca="false">IF(AND(J2059=1,N(I2059)&gt;0),SUMIF($K$2:$K$5001,"&gt;="&amp;K2059,$I$2:$I$5001)/MAX(1,SUM($H$2:$H$5001)),"")</f>
        <v/>
      </c>
      <c r="M2059" s="47" t="str">
        <f aca="false">IF($A2059="","",INDEX($L$2:$L$5001,MATCH($A2059,$A$2:$A$5001,0)))</f>
        <v/>
      </c>
      <c r="N2059" s="48" t="str">
        <f aca="false">IF($A2059="","",IF(N(M2059)=0,"–",IF(M2059&lt;=Start!$D$20,"A",IF(M2059&lt;=Start!$D$21,"B","C"))))</f>
        <v/>
      </c>
      <c r="O2059" s="48" t="str">
        <f aca="false">IF($A2059="","",IF(NOT(ISNUMBER(F2059)),"Wert fehlt; ",IF(F2059&lt;=0,"Wert ist 0; ",""))&amp;IF(NOT(ISNUMBER(E2059)),"Bestand fehlt; ",IF(E2059&lt;0,"Bestand negativ; ",IF(E2059=0,"Nullbestand; ","")))&amp;IF(D2059="","Warengruppe fehlt; ","")&amp;IF(B2059="","Bezeichnung fehlt; ","")&amp;IF(COUNTIFS($A$2:$A$5001,$A2059,$C$2:$C$5001,C2059)&gt;1,"Artikel doppelt im selben Lager; ",""))</f>
        <v/>
      </c>
      <c r="P2059" s="47" t="n">
        <f aca="false">IF(OR($A2059="",D2059=""),0,IF(COUNTIF($D$2:D2059,D2059)=1,SUMIF($D$2:$D$5001,D2059,$H$2:$H$5001)+ROW()/10000000,0))</f>
        <v>0</v>
      </c>
      <c r="Q2059" s="47" t="n">
        <f aca="false">IF(OR($A2059="",C2059=""),0,IF(COUNTIF($C$2:C2059,C2059)=1,SUMIF($C$2:$C$5001,C2059,$H$2:$H$5001)+ROW()/10000000,0))</f>
        <v>0</v>
      </c>
    </row>
    <row r="2060" customFormat="false" ht="15" hidden="false" customHeight="false" outlineLevel="0" collapsed="false">
      <c r="A2060" s="43"/>
      <c r="B2060" s="44"/>
      <c r="C2060" s="44"/>
      <c r="D2060" s="44"/>
      <c r="E2060" s="44"/>
      <c r="F2060" s="44"/>
      <c r="G2060" s="44"/>
      <c r="H2060" s="46" t="str">
        <f aca="false">IF($A2060="","",IF(OR(NOT(ISNUMBER(E2060)),NOT(ISNUMBER(F2060))),"",MAX(0,E2060)*F2060))</f>
        <v/>
      </c>
      <c r="I2060" s="46" t="str">
        <f aca="false">IF($A2060="","",SUMIF($A$2:$A$5001,$A2060,$H$2:$H$5001))</f>
        <v/>
      </c>
      <c r="J2060" s="47" t="n">
        <f aca="false">IF($A2060="",0,IF(COUNTIF($A$2:A2060,$A2060)=1,1,0))</f>
        <v>0</v>
      </c>
      <c r="K2060" s="47" t="n">
        <f aca="false">IF(J2060=1,N(I2060)+ROW()/10000000,0)</f>
        <v>0</v>
      </c>
      <c r="L2060" s="47" t="str">
        <f aca="false">IF(AND(J2060=1,N(I2060)&gt;0),SUMIF($K$2:$K$5001,"&gt;="&amp;K2060,$I$2:$I$5001)/MAX(1,SUM($H$2:$H$5001)),"")</f>
        <v/>
      </c>
      <c r="M2060" s="47" t="str">
        <f aca="false">IF($A2060="","",INDEX($L$2:$L$5001,MATCH($A2060,$A$2:$A$5001,0)))</f>
        <v/>
      </c>
      <c r="N2060" s="48" t="str">
        <f aca="false">IF($A2060="","",IF(N(M2060)=0,"–",IF(M2060&lt;=Start!$D$20,"A",IF(M2060&lt;=Start!$D$21,"B","C"))))</f>
        <v/>
      </c>
      <c r="O2060" s="48" t="str">
        <f aca="false">IF($A2060="","",IF(NOT(ISNUMBER(F2060)),"Wert fehlt; ",IF(F2060&lt;=0,"Wert ist 0; ",""))&amp;IF(NOT(ISNUMBER(E2060)),"Bestand fehlt; ",IF(E2060&lt;0,"Bestand negativ; ",IF(E2060=0,"Nullbestand; ","")))&amp;IF(D2060="","Warengruppe fehlt; ","")&amp;IF(B2060="","Bezeichnung fehlt; ","")&amp;IF(COUNTIFS($A$2:$A$5001,$A2060,$C$2:$C$5001,C2060)&gt;1,"Artikel doppelt im selben Lager; ",""))</f>
        <v/>
      </c>
      <c r="P2060" s="47" t="n">
        <f aca="false">IF(OR($A2060="",D2060=""),0,IF(COUNTIF($D$2:D2060,D2060)=1,SUMIF($D$2:$D$5001,D2060,$H$2:$H$5001)+ROW()/10000000,0))</f>
        <v>0</v>
      </c>
      <c r="Q2060" s="47" t="n">
        <f aca="false">IF(OR($A2060="",C2060=""),0,IF(COUNTIF($C$2:C2060,C2060)=1,SUMIF($C$2:$C$5001,C2060,$H$2:$H$5001)+ROW()/10000000,0))</f>
        <v>0</v>
      </c>
    </row>
    <row r="2061" customFormat="false" ht="15" hidden="false" customHeight="false" outlineLevel="0" collapsed="false">
      <c r="A2061" s="43"/>
      <c r="B2061" s="44"/>
      <c r="C2061" s="44"/>
      <c r="D2061" s="44"/>
      <c r="E2061" s="44"/>
      <c r="F2061" s="44"/>
      <c r="G2061" s="44"/>
      <c r="H2061" s="46" t="str">
        <f aca="false">IF($A2061="","",IF(OR(NOT(ISNUMBER(E2061)),NOT(ISNUMBER(F2061))),"",MAX(0,E2061)*F2061))</f>
        <v/>
      </c>
      <c r="I2061" s="46" t="str">
        <f aca="false">IF($A2061="","",SUMIF($A$2:$A$5001,$A2061,$H$2:$H$5001))</f>
        <v/>
      </c>
      <c r="J2061" s="47" t="n">
        <f aca="false">IF($A2061="",0,IF(COUNTIF($A$2:A2061,$A2061)=1,1,0))</f>
        <v>0</v>
      </c>
      <c r="K2061" s="47" t="n">
        <f aca="false">IF(J2061=1,N(I2061)+ROW()/10000000,0)</f>
        <v>0</v>
      </c>
      <c r="L2061" s="47" t="str">
        <f aca="false">IF(AND(J2061=1,N(I2061)&gt;0),SUMIF($K$2:$K$5001,"&gt;="&amp;K2061,$I$2:$I$5001)/MAX(1,SUM($H$2:$H$5001)),"")</f>
        <v/>
      </c>
      <c r="M2061" s="47" t="str">
        <f aca="false">IF($A2061="","",INDEX($L$2:$L$5001,MATCH($A2061,$A$2:$A$5001,0)))</f>
        <v/>
      </c>
      <c r="N2061" s="48" t="str">
        <f aca="false">IF($A2061="","",IF(N(M2061)=0,"–",IF(M2061&lt;=Start!$D$20,"A",IF(M2061&lt;=Start!$D$21,"B","C"))))</f>
        <v/>
      </c>
      <c r="O2061" s="48" t="str">
        <f aca="false">IF($A2061="","",IF(NOT(ISNUMBER(F2061)),"Wert fehlt; ",IF(F2061&lt;=0,"Wert ist 0; ",""))&amp;IF(NOT(ISNUMBER(E2061)),"Bestand fehlt; ",IF(E2061&lt;0,"Bestand negativ; ",IF(E2061=0,"Nullbestand; ","")))&amp;IF(D2061="","Warengruppe fehlt; ","")&amp;IF(B2061="","Bezeichnung fehlt; ","")&amp;IF(COUNTIFS($A$2:$A$5001,$A2061,$C$2:$C$5001,C2061)&gt;1,"Artikel doppelt im selben Lager; ",""))</f>
        <v/>
      </c>
      <c r="P2061" s="47" t="n">
        <f aca="false">IF(OR($A2061="",D2061=""),0,IF(COUNTIF($D$2:D2061,D2061)=1,SUMIF($D$2:$D$5001,D2061,$H$2:$H$5001)+ROW()/10000000,0))</f>
        <v>0</v>
      </c>
      <c r="Q2061" s="47" t="n">
        <f aca="false">IF(OR($A2061="",C2061=""),0,IF(COUNTIF($C$2:C2061,C2061)=1,SUMIF($C$2:$C$5001,C2061,$H$2:$H$5001)+ROW()/10000000,0))</f>
        <v>0</v>
      </c>
    </row>
    <row r="2062" customFormat="false" ht="15" hidden="false" customHeight="false" outlineLevel="0" collapsed="false">
      <c r="A2062" s="43"/>
      <c r="B2062" s="44"/>
      <c r="C2062" s="44"/>
      <c r="D2062" s="44"/>
      <c r="E2062" s="44"/>
      <c r="F2062" s="44"/>
      <c r="G2062" s="44"/>
      <c r="H2062" s="46" t="str">
        <f aca="false">IF($A2062="","",IF(OR(NOT(ISNUMBER(E2062)),NOT(ISNUMBER(F2062))),"",MAX(0,E2062)*F2062))</f>
        <v/>
      </c>
      <c r="I2062" s="46" t="str">
        <f aca="false">IF($A2062="","",SUMIF($A$2:$A$5001,$A2062,$H$2:$H$5001))</f>
        <v/>
      </c>
      <c r="J2062" s="47" t="n">
        <f aca="false">IF($A2062="",0,IF(COUNTIF($A$2:A2062,$A2062)=1,1,0))</f>
        <v>0</v>
      </c>
      <c r="K2062" s="47" t="n">
        <f aca="false">IF(J2062=1,N(I2062)+ROW()/10000000,0)</f>
        <v>0</v>
      </c>
      <c r="L2062" s="47" t="str">
        <f aca="false">IF(AND(J2062=1,N(I2062)&gt;0),SUMIF($K$2:$K$5001,"&gt;="&amp;K2062,$I$2:$I$5001)/MAX(1,SUM($H$2:$H$5001)),"")</f>
        <v/>
      </c>
      <c r="M2062" s="47" t="str">
        <f aca="false">IF($A2062="","",INDEX($L$2:$L$5001,MATCH($A2062,$A$2:$A$5001,0)))</f>
        <v/>
      </c>
      <c r="N2062" s="48" t="str">
        <f aca="false">IF($A2062="","",IF(N(M2062)=0,"–",IF(M2062&lt;=Start!$D$20,"A",IF(M2062&lt;=Start!$D$21,"B","C"))))</f>
        <v/>
      </c>
      <c r="O2062" s="48" t="str">
        <f aca="false">IF($A2062="","",IF(NOT(ISNUMBER(F2062)),"Wert fehlt; ",IF(F2062&lt;=0,"Wert ist 0; ",""))&amp;IF(NOT(ISNUMBER(E2062)),"Bestand fehlt; ",IF(E2062&lt;0,"Bestand negativ; ",IF(E2062=0,"Nullbestand; ","")))&amp;IF(D2062="","Warengruppe fehlt; ","")&amp;IF(B2062="","Bezeichnung fehlt; ","")&amp;IF(COUNTIFS($A$2:$A$5001,$A2062,$C$2:$C$5001,C2062)&gt;1,"Artikel doppelt im selben Lager; ",""))</f>
        <v/>
      </c>
      <c r="P2062" s="47" t="n">
        <f aca="false">IF(OR($A2062="",D2062=""),0,IF(COUNTIF($D$2:D2062,D2062)=1,SUMIF($D$2:$D$5001,D2062,$H$2:$H$5001)+ROW()/10000000,0))</f>
        <v>0</v>
      </c>
      <c r="Q2062" s="47" t="n">
        <f aca="false">IF(OR($A2062="",C2062=""),0,IF(COUNTIF($C$2:C2062,C2062)=1,SUMIF($C$2:$C$5001,C2062,$H$2:$H$5001)+ROW()/10000000,0))</f>
        <v>0</v>
      </c>
    </row>
    <row r="2063" customFormat="false" ht="15" hidden="false" customHeight="false" outlineLevel="0" collapsed="false">
      <c r="A2063" s="43"/>
      <c r="B2063" s="44"/>
      <c r="C2063" s="44"/>
      <c r="D2063" s="44"/>
      <c r="E2063" s="44"/>
      <c r="F2063" s="44"/>
      <c r="G2063" s="44"/>
      <c r="H2063" s="46" t="str">
        <f aca="false">IF($A2063="","",IF(OR(NOT(ISNUMBER(E2063)),NOT(ISNUMBER(F2063))),"",MAX(0,E2063)*F2063))</f>
        <v/>
      </c>
      <c r="I2063" s="46" t="str">
        <f aca="false">IF($A2063="","",SUMIF($A$2:$A$5001,$A2063,$H$2:$H$5001))</f>
        <v/>
      </c>
      <c r="J2063" s="47" t="n">
        <f aca="false">IF($A2063="",0,IF(COUNTIF($A$2:A2063,$A2063)=1,1,0))</f>
        <v>0</v>
      </c>
      <c r="K2063" s="47" t="n">
        <f aca="false">IF(J2063=1,N(I2063)+ROW()/10000000,0)</f>
        <v>0</v>
      </c>
      <c r="L2063" s="47" t="str">
        <f aca="false">IF(AND(J2063=1,N(I2063)&gt;0),SUMIF($K$2:$K$5001,"&gt;="&amp;K2063,$I$2:$I$5001)/MAX(1,SUM($H$2:$H$5001)),"")</f>
        <v/>
      </c>
      <c r="M2063" s="47" t="str">
        <f aca="false">IF($A2063="","",INDEX($L$2:$L$5001,MATCH($A2063,$A$2:$A$5001,0)))</f>
        <v/>
      </c>
      <c r="N2063" s="48" t="str">
        <f aca="false">IF($A2063="","",IF(N(M2063)=0,"–",IF(M2063&lt;=Start!$D$20,"A",IF(M2063&lt;=Start!$D$21,"B","C"))))</f>
        <v/>
      </c>
      <c r="O2063" s="48" t="str">
        <f aca="false">IF($A2063="","",IF(NOT(ISNUMBER(F2063)),"Wert fehlt; ",IF(F2063&lt;=0,"Wert ist 0; ",""))&amp;IF(NOT(ISNUMBER(E2063)),"Bestand fehlt; ",IF(E2063&lt;0,"Bestand negativ; ",IF(E2063=0,"Nullbestand; ","")))&amp;IF(D2063="","Warengruppe fehlt; ","")&amp;IF(B2063="","Bezeichnung fehlt; ","")&amp;IF(COUNTIFS($A$2:$A$5001,$A2063,$C$2:$C$5001,C2063)&gt;1,"Artikel doppelt im selben Lager; ",""))</f>
        <v/>
      </c>
      <c r="P2063" s="47" t="n">
        <f aca="false">IF(OR($A2063="",D2063=""),0,IF(COUNTIF($D$2:D2063,D2063)=1,SUMIF($D$2:$D$5001,D2063,$H$2:$H$5001)+ROW()/10000000,0))</f>
        <v>0</v>
      </c>
      <c r="Q2063" s="47" t="n">
        <f aca="false">IF(OR($A2063="",C2063=""),0,IF(COUNTIF($C$2:C2063,C2063)=1,SUMIF($C$2:$C$5001,C2063,$H$2:$H$5001)+ROW()/10000000,0))</f>
        <v>0</v>
      </c>
    </row>
    <row r="2064" customFormat="false" ht="15" hidden="false" customHeight="false" outlineLevel="0" collapsed="false">
      <c r="A2064" s="43"/>
      <c r="B2064" s="44"/>
      <c r="C2064" s="44"/>
      <c r="D2064" s="44"/>
      <c r="E2064" s="44"/>
      <c r="F2064" s="44"/>
      <c r="G2064" s="44"/>
      <c r="H2064" s="46" t="str">
        <f aca="false">IF($A2064="","",IF(OR(NOT(ISNUMBER(E2064)),NOT(ISNUMBER(F2064))),"",MAX(0,E2064)*F2064))</f>
        <v/>
      </c>
      <c r="I2064" s="46" t="str">
        <f aca="false">IF($A2064="","",SUMIF($A$2:$A$5001,$A2064,$H$2:$H$5001))</f>
        <v/>
      </c>
      <c r="J2064" s="47" t="n">
        <f aca="false">IF($A2064="",0,IF(COUNTIF($A$2:A2064,$A2064)=1,1,0))</f>
        <v>0</v>
      </c>
      <c r="K2064" s="47" t="n">
        <f aca="false">IF(J2064=1,N(I2064)+ROW()/10000000,0)</f>
        <v>0</v>
      </c>
      <c r="L2064" s="47" t="str">
        <f aca="false">IF(AND(J2064=1,N(I2064)&gt;0),SUMIF($K$2:$K$5001,"&gt;="&amp;K2064,$I$2:$I$5001)/MAX(1,SUM($H$2:$H$5001)),"")</f>
        <v/>
      </c>
      <c r="M2064" s="47" t="str">
        <f aca="false">IF($A2064="","",INDEX($L$2:$L$5001,MATCH($A2064,$A$2:$A$5001,0)))</f>
        <v/>
      </c>
      <c r="N2064" s="48" t="str">
        <f aca="false">IF($A2064="","",IF(N(M2064)=0,"–",IF(M2064&lt;=Start!$D$20,"A",IF(M2064&lt;=Start!$D$21,"B","C"))))</f>
        <v/>
      </c>
      <c r="O2064" s="48" t="str">
        <f aca="false">IF($A2064="","",IF(NOT(ISNUMBER(F2064)),"Wert fehlt; ",IF(F2064&lt;=0,"Wert ist 0; ",""))&amp;IF(NOT(ISNUMBER(E2064)),"Bestand fehlt; ",IF(E2064&lt;0,"Bestand negativ; ",IF(E2064=0,"Nullbestand; ","")))&amp;IF(D2064="","Warengruppe fehlt; ","")&amp;IF(B2064="","Bezeichnung fehlt; ","")&amp;IF(COUNTIFS($A$2:$A$5001,$A2064,$C$2:$C$5001,C2064)&gt;1,"Artikel doppelt im selben Lager; ",""))</f>
        <v/>
      </c>
      <c r="P2064" s="47" t="n">
        <f aca="false">IF(OR($A2064="",D2064=""),0,IF(COUNTIF($D$2:D2064,D2064)=1,SUMIF($D$2:$D$5001,D2064,$H$2:$H$5001)+ROW()/10000000,0))</f>
        <v>0</v>
      </c>
      <c r="Q2064" s="47" t="n">
        <f aca="false">IF(OR($A2064="",C2064=""),0,IF(COUNTIF($C$2:C2064,C2064)=1,SUMIF($C$2:$C$5001,C2064,$H$2:$H$5001)+ROW()/10000000,0))</f>
        <v>0</v>
      </c>
    </row>
    <row r="2065" customFormat="false" ht="15" hidden="false" customHeight="false" outlineLevel="0" collapsed="false">
      <c r="A2065" s="43"/>
      <c r="B2065" s="44"/>
      <c r="C2065" s="44"/>
      <c r="D2065" s="44"/>
      <c r="E2065" s="44"/>
      <c r="F2065" s="44"/>
      <c r="G2065" s="44"/>
      <c r="H2065" s="46" t="str">
        <f aca="false">IF($A2065="","",IF(OR(NOT(ISNUMBER(E2065)),NOT(ISNUMBER(F2065))),"",MAX(0,E2065)*F2065))</f>
        <v/>
      </c>
      <c r="I2065" s="46" t="str">
        <f aca="false">IF($A2065="","",SUMIF($A$2:$A$5001,$A2065,$H$2:$H$5001))</f>
        <v/>
      </c>
      <c r="J2065" s="47" t="n">
        <f aca="false">IF($A2065="",0,IF(COUNTIF($A$2:A2065,$A2065)=1,1,0))</f>
        <v>0</v>
      </c>
      <c r="K2065" s="47" t="n">
        <f aca="false">IF(J2065=1,N(I2065)+ROW()/10000000,0)</f>
        <v>0</v>
      </c>
      <c r="L2065" s="47" t="str">
        <f aca="false">IF(AND(J2065=1,N(I2065)&gt;0),SUMIF($K$2:$K$5001,"&gt;="&amp;K2065,$I$2:$I$5001)/MAX(1,SUM($H$2:$H$5001)),"")</f>
        <v/>
      </c>
      <c r="M2065" s="47" t="str">
        <f aca="false">IF($A2065="","",INDEX($L$2:$L$5001,MATCH($A2065,$A$2:$A$5001,0)))</f>
        <v/>
      </c>
      <c r="N2065" s="48" t="str">
        <f aca="false">IF($A2065="","",IF(N(M2065)=0,"–",IF(M2065&lt;=Start!$D$20,"A",IF(M2065&lt;=Start!$D$21,"B","C"))))</f>
        <v/>
      </c>
      <c r="O2065" s="48" t="str">
        <f aca="false">IF($A2065="","",IF(NOT(ISNUMBER(F2065)),"Wert fehlt; ",IF(F2065&lt;=0,"Wert ist 0; ",""))&amp;IF(NOT(ISNUMBER(E2065)),"Bestand fehlt; ",IF(E2065&lt;0,"Bestand negativ; ",IF(E2065=0,"Nullbestand; ","")))&amp;IF(D2065="","Warengruppe fehlt; ","")&amp;IF(B2065="","Bezeichnung fehlt; ","")&amp;IF(COUNTIFS($A$2:$A$5001,$A2065,$C$2:$C$5001,C2065)&gt;1,"Artikel doppelt im selben Lager; ",""))</f>
        <v/>
      </c>
      <c r="P2065" s="47" t="n">
        <f aca="false">IF(OR($A2065="",D2065=""),0,IF(COUNTIF($D$2:D2065,D2065)=1,SUMIF($D$2:$D$5001,D2065,$H$2:$H$5001)+ROW()/10000000,0))</f>
        <v>0</v>
      </c>
      <c r="Q2065" s="47" t="n">
        <f aca="false">IF(OR($A2065="",C2065=""),0,IF(COUNTIF($C$2:C2065,C2065)=1,SUMIF($C$2:$C$5001,C2065,$H$2:$H$5001)+ROW()/10000000,0))</f>
        <v>0</v>
      </c>
    </row>
    <row r="2066" customFormat="false" ht="15" hidden="false" customHeight="false" outlineLevel="0" collapsed="false">
      <c r="A2066" s="43"/>
      <c r="B2066" s="44"/>
      <c r="C2066" s="44"/>
      <c r="D2066" s="44"/>
      <c r="E2066" s="44"/>
      <c r="F2066" s="44"/>
      <c r="G2066" s="44"/>
      <c r="H2066" s="46" t="str">
        <f aca="false">IF($A2066="","",IF(OR(NOT(ISNUMBER(E2066)),NOT(ISNUMBER(F2066))),"",MAX(0,E2066)*F2066))</f>
        <v/>
      </c>
      <c r="I2066" s="46" t="str">
        <f aca="false">IF($A2066="","",SUMIF($A$2:$A$5001,$A2066,$H$2:$H$5001))</f>
        <v/>
      </c>
      <c r="J2066" s="47" t="n">
        <f aca="false">IF($A2066="",0,IF(COUNTIF($A$2:A2066,$A2066)=1,1,0))</f>
        <v>0</v>
      </c>
      <c r="K2066" s="47" t="n">
        <f aca="false">IF(J2066=1,N(I2066)+ROW()/10000000,0)</f>
        <v>0</v>
      </c>
      <c r="L2066" s="47" t="str">
        <f aca="false">IF(AND(J2066=1,N(I2066)&gt;0),SUMIF($K$2:$K$5001,"&gt;="&amp;K2066,$I$2:$I$5001)/MAX(1,SUM($H$2:$H$5001)),"")</f>
        <v/>
      </c>
      <c r="M2066" s="47" t="str">
        <f aca="false">IF($A2066="","",INDEX($L$2:$L$5001,MATCH($A2066,$A$2:$A$5001,0)))</f>
        <v/>
      </c>
      <c r="N2066" s="48" t="str">
        <f aca="false">IF($A2066="","",IF(N(M2066)=0,"–",IF(M2066&lt;=Start!$D$20,"A",IF(M2066&lt;=Start!$D$21,"B","C"))))</f>
        <v/>
      </c>
      <c r="O2066" s="48" t="str">
        <f aca="false">IF($A2066="","",IF(NOT(ISNUMBER(F2066)),"Wert fehlt; ",IF(F2066&lt;=0,"Wert ist 0; ",""))&amp;IF(NOT(ISNUMBER(E2066)),"Bestand fehlt; ",IF(E2066&lt;0,"Bestand negativ; ",IF(E2066=0,"Nullbestand; ","")))&amp;IF(D2066="","Warengruppe fehlt; ","")&amp;IF(B2066="","Bezeichnung fehlt; ","")&amp;IF(COUNTIFS($A$2:$A$5001,$A2066,$C$2:$C$5001,C2066)&gt;1,"Artikel doppelt im selben Lager; ",""))</f>
        <v/>
      </c>
      <c r="P2066" s="47" t="n">
        <f aca="false">IF(OR($A2066="",D2066=""),0,IF(COUNTIF($D$2:D2066,D2066)=1,SUMIF($D$2:$D$5001,D2066,$H$2:$H$5001)+ROW()/10000000,0))</f>
        <v>0</v>
      </c>
      <c r="Q2066" s="47" t="n">
        <f aca="false">IF(OR($A2066="",C2066=""),0,IF(COUNTIF($C$2:C2066,C2066)=1,SUMIF($C$2:$C$5001,C2066,$H$2:$H$5001)+ROW()/10000000,0))</f>
        <v>0</v>
      </c>
    </row>
    <row r="2067" customFormat="false" ht="15" hidden="false" customHeight="false" outlineLevel="0" collapsed="false">
      <c r="A2067" s="43"/>
      <c r="B2067" s="44"/>
      <c r="C2067" s="44"/>
      <c r="D2067" s="44"/>
      <c r="E2067" s="44"/>
      <c r="F2067" s="44"/>
      <c r="G2067" s="44"/>
      <c r="H2067" s="46" t="str">
        <f aca="false">IF($A2067="","",IF(OR(NOT(ISNUMBER(E2067)),NOT(ISNUMBER(F2067))),"",MAX(0,E2067)*F2067))</f>
        <v/>
      </c>
      <c r="I2067" s="46" t="str">
        <f aca="false">IF($A2067="","",SUMIF($A$2:$A$5001,$A2067,$H$2:$H$5001))</f>
        <v/>
      </c>
      <c r="J2067" s="47" t="n">
        <f aca="false">IF($A2067="",0,IF(COUNTIF($A$2:A2067,$A2067)=1,1,0))</f>
        <v>0</v>
      </c>
      <c r="K2067" s="47" t="n">
        <f aca="false">IF(J2067=1,N(I2067)+ROW()/10000000,0)</f>
        <v>0</v>
      </c>
      <c r="L2067" s="47" t="str">
        <f aca="false">IF(AND(J2067=1,N(I2067)&gt;0),SUMIF($K$2:$K$5001,"&gt;="&amp;K2067,$I$2:$I$5001)/MAX(1,SUM($H$2:$H$5001)),"")</f>
        <v/>
      </c>
      <c r="M2067" s="47" t="str">
        <f aca="false">IF($A2067="","",INDEX($L$2:$L$5001,MATCH($A2067,$A$2:$A$5001,0)))</f>
        <v/>
      </c>
      <c r="N2067" s="48" t="str">
        <f aca="false">IF($A2067="","",IF(N(M2067)=0,"–",IF(M2067&lt;=Start!$D$20,"A",IF(M2067&lt;=Start!$D$21,"B","C"))))</f>
        <v/>
      </c>
      <c r="O2067" s="48" t="str">
        <f aca="false">IF($A2067="","",IF(NOT(ISNUMBER(F2067)),"Wert fehlt; ",IF(F2067&lt;=0,"Wert ist 0; ",""))&amp;IF(NOT(ISNUMBER(E2067)),"Bestand fehlt; ",IF(E2067&lt;0,"Bestand negativ; ",IF(E2067=0,"Nullbestand; ","")))&amp;IF(D2067="","Warengruppe fehlt; ","")&amp;IF(B2067="","Bezeichnung fehlt; ","")&amp;IF(COUNTIFS($A$2:$A$5001,$A2067,$C$2:$C$5001,C2067)&gt;1,"Artikel doppelt im selben Lager; ",""))</f>
        <v/>
      </c>
      <c r="P2067" s="47" t="n">
        <f aca="false">IF(OR($A2067="",D2067=""),0,IF(COUNTIF($D$2:D2067,D2067)=1,SUMIF($D$2:$D$5001,D2067,$H$2:$H$5001)+ROW()/10000000,0))</f>
        <v>0</v>
      </c>
      <c r="Q2067" s="47" t="n">
        <f aca="false">IF(OR($A2067="",C2067=""),0,IF(COUNTIF($C$2:C2067,C2067)=1,SUMIF($C$2:$C$5001,C2067,$H$2:$H$5001)+ROW()/10000000,0))</f>
        <v>0</v>
      </c>
    </row>
    <row r="2068" customFormat="false" ht="15" hidden="false" customHeight="false" outlineLevel="0" collapsed="false">
      <c r="A2068" s="43"/>
      <c r="B2068" s="44"/>
      <c r="C2068" s="44"/>
      <c r="D2068" s="44"/>
      <c r="E2068" s="44"/>
      <c r="F2068" s="44"/>
      <c r="G2068" s="44"/>
      <c r="H2068" s="46" t="str">
        <f aca="false">IF($A2068="","",IF(OR(NOT(ISNUMBER(E2068)),NOT(ISNUMBER(F2068))),"",MAX(0,E2068)*F2068))</f>
        <v/>
      </c>
      <c r="I2068" s="46" t="str">
        <f aca="false">IF($A2068="","",SUMIF($A$2:$A$5001,$A2068,$H$2:$H$5001))</f>
        <v/>
      </c>
      <c r="J2068" s="47" t="n">
        <f aca="false">IF($A2068="",0,IF(COUNTIF($A$2:A2068,$A2068)=1,1,0))</f>
        <v>0</v>
      </c>
      <c r="K2068" s="47" t="n">
        <f aca="false">IF(J2068=1,N(I2068)+ROW()/10000000,0)</f>
        <v>0</v>
      </c>
      <c r="L2068" s="47" t="str">
        <f aca="false">IF(AND(J2068=1,N(I2068)&gt;0),SUMIF($K$2:$K$5001,"&gt;="&amp;K2068,$I$2:$I$5001)/MAX(1,SUM($H$2:$H$5001)),"")</f>
        <v/>
      </c>
      <c r="M2068" s="47" t="str">
        <f aca="false">IF($A2068="","",INDEX($L$2:$L$5001,MATCH($A2068,$A$2:$A$5001,0)))</f>
        <v/>
      </c>
      <c r="N2068" s="48" t="str">
        <f aca="false">IF($A2068="","",IF(N(M2068)=0,"–",IF(M2068&lt;=Start!$D$20,"A",IF(M2068&lt;=Start!$D$21,"B","C"))))</f>
        <v/>
      </c>
      <c r="O2068" s="48" t="str">
        <f aca="false">IF($A2068="","",IF(NOT(ISNUMBER(F2068)),"Wert fehlt; ",IF(F2068&lt;=0,"Wert ist 0; ",""))&amp;IF(NOT(ISNUMBER(E2068)),"Bestand fehlt; ",IF(E2068&lt;0,"Bestand negativ; ",IF(E2068=0,"Nullbestand; ","")))&amp;IF(D2068="","Warengruppe fehlt; ","")&amp;IF(B2068="","Bezeichnung fehlt; ","")&amp;IF(COUNTIFS($A$2:$A$5001,$A2068,$C$2:$C$5001,C2068)&gt;1,"Artikel doppelt im selben Lager; ",""))</f>
        <v/>
      </c>
      <c r="P2068" s="47" t="n">
        <f aca="false">IF(OR($A2068="",D2068=""),0,IF(COUNTIF($D$2:D2068,D2068)=1,SUMIF($D$2:$D$5001,D2068,$H$2:$H$5001)+ROW()/10000000,0))</f>
        <v>0</v>
      </c>
      <c r="Q2068" s="47" t="n">
        <f aca="false">IF(OR($A2068="",C2068=""),0,IF(COUNTIF($C$2:C2068,C2068)=1,SUMIF($C$2:$C$5001,C2068,$H$2:$H$5001)+ROW()/10000000,0))</f>
        <v>0</v>
      </c>
    </row>
    <row r="2069" customFormat="false" ht="15" hidden="false" customHeight="false" outlineLevel="0" collapsed="false">
      <c r="A2069" s="43"/>
      <c r="B2069" s="44"/>
      <c r="C2069" s="44"/>
      <c r="D2069" s="44"/>
      <c r="E2069" s="44"/>
      <c r="F2069" s="44"/>
      <c r="G2069" s="44"/>
      <c r="H2069" s="46" t="str">
        <f aca="false">IF($A2069="","",IF(OR(NOT(ISNUMBER(E2069)),NOT(ISNUMBER(F2069))),"",MAX(0,E2069)*F2069))</f>
        <v/>
      </c>
      <c r="I2069" s="46" t="str">
        <f aca="false">IF($A2069="","",SUMIF($A$2:$A$5001,$A2069,$H$2:$H$5001))</f>
        <v/>
      </c>
      <c r="J2069" s="47" t="n">
        <f aca="false">IF($A2069="",0,IF(COUNTIF($A$2:A2069,$A2069)=1,1,0))</f>
        <v>0</v>
      </c>
      <c r="K2069" s="47" t="n">
        <f aca="false">IF(J2069=1,N(I2069)+ROW()/10000000,0)</f>
        <v>0</v>
      </c>
      <c r="L2069" s="47" t="str">
        <f aca="false">IF(AND(J2069=1,N(I2069)&gt;0),SUMIF($K$2:$K$5001,"&gt;="&amp;K2069,$I$2:$I$5001)/MAX(1,SUM($H$2:$H$5001)),"")</f>
        <v/>
      </c>
      <c r="M2069" s="47" t="str">
        <f aca="false">IF($A2069="","",INDEX($L$2:$L$5001,MATCH($A2069,$A$2:$A$5001,0)))</f>
        <v/>
      </c>
      <c r="N2069" s="48" t="str">
        <f aca="false">IF($A2069="","",IF(N(M2069)=0,"–",IF(M2069&lt;=Start!$D$20,"A",IF(M2069&lt;=Start!$D$21,"B","C"))))</f>
        <v/>
      </c>
      <c r="O2069" s="48" t="str">
        <f aca="false">IF($A2069="","",IF(NOT(ISNUMBER(F2069)),"Wert fehlt; ",IF(F2069&lt;=0,"Wert ist 0; ",""))&amp;IF(NOT(ISNUMBER(E2069)),"Bestand fehlt; ",IF(E2069&lt;0,"Bestand negativ; ",IF(E2069=0,"Nullbestand; ","")))&amp;IF(D2069="","Warengruppe fehlt; ","")&amp;IF(B2069="","Bezeichnung fehlt; ","")&amp;IF(COUNTIFS($A$2:$A$5001,$A2069,$C$2:$C$5001,C2069)&gt;1,"Artikel doppelt im selben Lager; ",""))</f>
        <v/>
      </c>
      <c r="P2069" s="47" t="n">
        <f aca="false">IF(OR($A2069="",D2069=""),0,IF(COUNTIF($D$2:D2069,D2069)=1,SUMIF($D$2:$D$5001,D2069,$H$2:$H$5001)+ROW()/10000000,0))</f>
        <v>0</v>
      </c>
      <c r="Q2069" s="47" t="n">
        <f aca="false">IF(OR($A2069="",C2069=""),0,IF(COUNTIF($C$2:C2069,C2069)=1,SUMIF($C$2:$C$5001,C2069,$H$2:$H$5001)+ROW()/10000000,0))</f>
        <v>0</v>
      </c>
    </row>
    <row r="2070" customFormat="false" ht="15" hidden="false" customHeight="false" outlineLevel="0" collapsed="false">
      <c r="A2070" s="43"/>
      <c r="B2070" s="44"/>
      <c r="C2070" s="44"/>
      <c r="D2070" s="44"/>
      <c r="E2070" s="44"/>
      <c r="F2070" s="44"/>
      <c r="G2070" s="44"/>
      <c r="H2070" s="46" t="str">
        <f aca="false">IF($A2070="","",IF(OR(NOT(ISNUMBER(E2070)),NOT(ISNUMBER(F2070))),"",MAX(0,E2070)*F2070))</f>
        <v/>
      </c>
      <c r="I2070" s="46" t="str">
        <f aca="false">IF($A2070="","",SUMIF($A$2:$A$5001,$A2070,$H$2:$H$5001))</f>
        <v/>
      </c>
      <c r="J2070" s="47" t="n">
        <f aca="false">IF($A2070="",0,IF(COUNTIF($A$2:A2070,$A2070)=1,1,0))</f>
        <v>0</v>
      </c>
      <c r="K2070" s="47" t="n">
        <f aca="false">IF(J2070=1,N(I2070)+ROW()/10000000,0)</f>
        <v>0</v>
      </c>
      <c r="L2070" s="47" t="str">
        <f aca="false">IF(AND(J2070=1,N(I2070)&gt;0),SUMIF($K$2:$K$5001,"&gt;="&amp;K2070,$I$2:$I$5001)/MAX(1,SUM($H$2:$H$5001)),"")</f>
        <v/>
      </c>
      <c r="M2070" s="47" t="str">
        <f aca="false">IF($A2070="","",INDEX($L$2:$L$5001,MATCH($A2070,$A$2:$A$5001,0)))</f>
        <v/>
      </c>
      <c r="N2070" s="48" t="str">
        <f aca="false">IF($A2070="","",IF(N(M2070)=0,"–",IF(M2070&lt;=Start!$D$20,"A",IF(M2070&lt;=Start!$D$21,"B","C"))))</f>
        <v/>
      </c>
      <c r="O2070" s="48" t="str">
        <f aca="false">IF($A2070="","",IF(NOT(ISNUMBER(F2070)),"Wert fehlt; ",IF(F2070&lt;=0,"Wert ist 0; ",""))&amp;IF(NOT(ISNUMBER(E2070)),"Bestand fehlt; ",IF(E2070&lt;0,"Bestand negativ; ",IF(E2070=0,"Nullbestand; ","")))&amp;IF(D2070="","Warengruppe fehlt; ","")&amp;IF(B2070="","Bezeichnung fehlt; ","")&amp;IF(COUNTIFS($A$2:$A$5001,$A2070,$C$2:$C$5001,C2070)&gt;1,"Artikel doppelt im selben Lager; ",""))</f>
        <v/>
      </c>
      <c r="P2070" s="47" t="n">
        <f aca="false">IF(OR($A2070="",D2070=""),0,IF(COUNTIF($D$2:D2070,D2070)=1,SUMIF($D$2:$D$5001,D2070,$H$2:$H$5001)+ROW()/10000000,0))</f>
        <v>0</v>
      </c>
      <c r="Q2070" s="47" t="n">
        <f aca="false">IF(OR($A2070="",C2070=""),0,IF(COUNTIF($C$2:C2070,C2070)=1,SUMIF($C$2:$C$5001,C2070,$H$2:$H$5001)+ROW()/10000000,0))</f>
        <v>0</v>
      </c>
    </row>
    <row r="2071" customFormat="false" ht="15" hidden="false" customHeight="false" outlineLevel="0" collapsed="false">
      <c r="A2071" s="43"/>
      <c r="B2071" s="44"/>
      <c r="C2071" s="44"/>
      <c r="D2071" s="44"/>
      <c r="E2071" s="44"/>
      <c r="F2071" s="44"/>
      <c r="G2071" s="44"/>
      <c r="H2071" s="46" t="str">
        <f aca="false">IF($A2071="","",IF(OR(NOT(ISNUMBER(E2071)),NOT(ISNUMBER(F2071))),"",MAX(0,E2071)*F2071))</f>
        <v/>
      </c>
      <c r="I2071" s="46" t="str">
        <f aca="false">IF($A2071="","",SUMIF($A$2:$A$5001,$A2071,$H$2:$H$5001))</f>
        <v/>
      </c>
      <c r="J2071" s="47" t="n">
        <f aca="false">IF($A2071="",0,IF(COUNTIF($A$2:A2071,$A2071)=1,1,0))</f>
        <v>0</v>
      </c>
      <c r="K2071" s="47" t="n">
        <f aca="false">IF(J2071=1,N(I2071)+ROW()/10000000,0)</f>
        <v>0</v>
      </c>
      <c r="L2071" s="47" t="str">
        <f aca="false">IF(AND(J2071=1,N(I2071)&gt;0),SUMIF($K$2:$K$5001,"&gt;="&amp;K2071,$I$2:$I$5001)/MAX(1,SUM($H$2:$H$5001)),"")</f>
        <v/>
      </c>
      <c r="M2071" s="47" t="str">
        <f aca="false">IF($A2071="","",INDEX($L$2:$L$5001,MATCH($A2071,$A$2:$A$5001,0)))</f>
        <v/>
      </c>
      <c r="N2071" s="48" t="str">
        <f aca="false">IF($A2071="","",IF(N(M2071)=0,"–",IF(M2071&lt;=Start!$D$20,"A",IF(M2071&lt;=Start!$D$21,"B","C"))))</f>
        <v/>
      </c>
      <c r="O2071" s="48" t="str">
        <f aca="false">IF($A2071="","",IF(NOT(ISNUMBER(F2071)),"Wert fehlt; ",IF(F2071&lt;=0,"Wert ist 0; ",""))&amp;IF(NOT(ISNUMBER(E2071)),"Bestand fehlt; ",IF(E2071&lt;0,"Bestand negativ; ",IF(E2071=0,"Nullbestand; ","")))&amp;IF(D2071="","Warengruppe fehlt; ","")&amp;IF(B2071="","Bezeichnung fehlt; ","")&amp;IF(COUNTIFS($A$2:$A$5001,$A2071,$C$2:$C$5001,C2071)&gt;1,"Artikel doppelt im selben Lager; ",""))</f>
        <v/>
      </c>
      <c r="P2071" s="47" t="n">
        <f aca="false">IF(OR($A2071="",D2071=""),0,IF(COUNTIF($D$2:D2071,D2071)=1,SUMIF($D$2:$D$5001,D2071,$H$2:$H$5001)+ROW()/10000000,0))</f>
        <v>0</v>
      </c>
      <c r="Q2071" s="47" t="n">
        <f aca="false">IF(OR($A2071="",C2071=""),0,IF(COUNTIF($C$2:C2071,C2071)=1,SUMIF($C$2:$C$5001,C2071,$H$2:$H$5001)+ROW()/10000000,0))</f>
        <v>0</v>
      </c>
    </row>
    <row r="2072" customFormat="false" ht="15" hidden="false" customHeight="false" outlineLevel="0" collapsed="false">
      <c r="A2072" s="43"/>
      <c r="B2072" s="44"/>
      <c r="C2072" s="44"/>
      <c r="D2072" s="44"/>
      <c r="E2072" s="44"/>
      <c r="F2072" s="44"/>
      <c r="G2072" s="44"/>
      <c r="H2072" s="46" t="str">
        <f aca="false">IF($A2072="","",IF(OR(NOT(ISNUMBER(E2072)),NOT(ISNUMBER(F2072))),"",MAX(0,E2072)*F2072))</f>
        <v/>
      </c>
      <c r="I2072" s="46" t="str">
        <f aca="false">IF($A2072="","",SUMIF($A$2:$A$5001,$A2072,$H$2:$H$5001))</f>
        <v/>
      </c>
      <c r="J2072" s="47" t="n">
        <f aca="false">IF($A2072="",0,IF(COUNTIF($A$2:A2072,$A2072)=1,1,0))</f>
        <v>0</v>
      </c>
      <c r="K2072" s="47" t="n">
        <f aca="false">IF(J2072=1,N(I2072)+ROW()/10000000,0)</f>
        <v>0</v>
      </c>
      <c r="L2072" s="47" t="str">
        <f aca="false">IF(AND(J2072=1,N(I2072)&gt;0),SUMIF($K$2:$K$5001,"&gt;="&amp;K2072,$I$2:$I$5001)/MAX(1,SUM($H$2:$H$5001)),"")</f>
        <v/>
      </c>
      <c r="M2072" s="47" t="str">
        <f aca="false">IF($A2072="","",INDEX($L$2:$L$5001,MATCH($A2072,$A$2:$A$5001,0)))</f>
        <v/>
      </c>
      <c r="N2072" s="48" t="str">
        <f aca="false">IF($A2072="","",IF(N(M2072)=0,"–",IF(M2072&lt;=Start!$D$20,"A",IF(M2072&lt;=Start!$D$21,"B","C"))))</f>
        <v/>
      </c>
      <c r="O2072" s="48" t="str">
        <f aca="false">IF($A2072="","",IF(NOT(ISNUMBER(F2072)),"Wert fehlt; ",IF(F2072&lt;=0,"Wert ist 0; ",""))&amp;IF(NOT(ISNUMBER(E2072)),"Bestand fehlt; ",IF(E2072&lt;0,"Bestand negativ; ",IF(E2072=0,"Nullbestand; ","")))&amp;IF(D2072="","Warengruppe fehlt; ","")&amp;IF(B2072="","Bezeichnung fehlt; ","")&amp;IF(COUNTIFS($A$2:$A$5001,$A2072,$C$2:$C$5001,C2072)&gt;1,"Artikel doppelt im selben Lager; ",""))</f>
        <v/>
      </c>
      <c r="P2072" s="47" t="n">
        <f aca="false">IF(OR($A2072="",D2072=""),0,IF(COUNTIF($D$2:D2072,D2072)=1,SUMIF($D$2:$D$5001,D2072,$H$2:$H$5001)+ROW()/10000000,0))</f>
        <v>0</v>
      </c>
      <c r="Q2072" s="47" t="n">
        <f aca="false">IF(OR($A2072="",C2072=""),0,IF(COUNTIF($C$2:C2072,C2072)=1,SUMIF($C$2:$C$5001,C2072,$H$2:$H$5001)+ROW()/10000000,0))</f>
        <v>0</v>
      </c>
    </row>
    <row r="2073" customFormat="false" ht="15" hidden="false" customHeight="false" outlineLevel="0" collapsed="false">
      <c r="A2073" s="43"/>
      <c r="B2073" s="44"/>
      <c r="C2073" s="44"/>
      <c r="D2073" s="44"/>
      <c r="E2073" s="44"/>
      <c r="F2073" s="44"/>
      <c r="G2073" s="44"/>
      <c r="H2073" s="46" t="str">
        <f aca="false">IF($A2073="","",IF(OR(NOT(ISNUMBER(E2073)),NOT(ISNUMBER(F2073))),"",MAX(0,E2073)*F2073))</f>
        <v/>
      </c>
      <c r="I2073" s="46" t="str">
        <f aca="false">IF($A2073="","",SUMIF($A$2:$A$5001,$A2073,$H$2:$H$5001))</f>
        <v/>
      </c>
      <c r="J2073" s="47" t="n">
        <f aca="false">IF($A2073="",0,IF(COUNTIF($A$2:A2073,$A2073)=1,1,0))</f>
        <v>0</v>
      </c>
      <c r="K2073" s="47" t="n">
        <f aca="false">IF(J2073=1,N(I2073)+ROW()/10000000,0)</f>
        <v>0</v>
      </c>
      <c r="L2073" s="47" t="str">
        <f aca="false">IF(AND(J2073=1,N(I2073)&gt;0),SUMIF($K$2:$K$5001,"&gt;="&amp;K2073,$I$2:$I$5001)/MAX(1,SUM($H$2:$H$5001)),"")</f>
        <v/>
      </c>
      <c r="M2073" s="47" t="str">
        <f aca="false">IF($A2073="","",INDEX($L$2:$L$5001,MATCH($A2073,$A$2:$A$5001,0)))</f>
        <v/>
      </c>
      <c r="N2073" s="48" t="str">
        <f aca="false">IF($A2073="","",IF(N(M2073)=0,"–",IF(M2073&lt;=Start!$D$20,"A",IF(M2073&lt;=Start!$D$21,"B","C"))))</f>
        <v/>
      </c>
      <c r="O2073" s="48" t="str">
        <f aca="false">IF($A2073="","",IF(NOT(ISNUMBER(F2073)),"Wert fehlt; ",IF(F2073&lt;=0,"Wert ist 0; ",""))&amp;IF(NOT(ISNUMBER(E2073)),"Bestand fehlt; ",IF(E2073&lt;0,"Bestand negativ; ",IF(E2073=0,"Nullbestand; ","")))&amp;IF(D2073="","Warengruppe fehlt; ","")&amp;IF(B2073="","Bezeichnung fehlt; ","")&amp;IF(COUNTIFS($A$2:$A$5001,$A2073,$C$2:$C$5001,C2073)&gt;1,"Artikel doppelt im selben Lager; ",""))</f>
        <v/>
      </c>
      <c r="P2073" s="47" t="n">
        <f aca="false">IF(OR($A2073="",D2073=""),0,IF(COUNTIF($D$2:D2073,D2073)=1,SUMIF($D$2:$D$5001,D2073,$H$2:$H$5001)+ROW()/10000000,0))</f>
        <v>0</v>
      </c>
      <c r="Q2073" s="47" t="n">
        <f aca="false">IF(OR($A2073="",C2073=""),0,IF(COUNTIF($C$2:C2073,C2073)=1,SUMIF($C$2:$C$5001,C2073,$H$2:$H$5001)+ROW()/10000000,0))</f>
        <v>0</v>
      </c>
    </row>
    <row r="2074" customFormat="false" ht="15" hidden="false" customHeight="false" outlineLevel="0" collapsed="false">
      <c r="A2074" s="43"/>
      <c r="B2074" s="44"/>
      <c r="C2074" s="44"/>
      <c r="D2074" s="44"/>
      <c r="E2074" s="44"/>
      <c r="F2074" s="44"/>
      <c r="G2074" s="44"/>
      <c r="H2074" s="46" t="str">
        <f aca="false">IF($A2074="","",IF(OR(NOT(ISNUMBER(E2074)),NOT(ISNUMBER(F2074))),"",MAX(0,E2074)*F2074))</f>
        <v/>
      </c>
      <c r="I2074" s="46" t="str">
        <f aca="false">IF($A2074="","",SUMIF($A$2:$A$5001,$A2074,$H$2:$H$5001))</f>
        <v/>
      </c>
      <c r="J2074" s="47" t="n">
        <f aca="false">IF($A2074="",0,IF(COUNTIF($A$2:A2074,$A2074)=1,1,0))</f>
        <v>0</v>
      </c>
      <c r="K2074" s="47" t="n">
        <f aca="false">IF(J2074=1,N(I2074)+ROW()/10000000,0)</f>
        <v>0</v>
      </c>
      <c r="L2074" s="47" t="str">
        <f aca="false">IF(AND(J2074=1,N(I2074)&gt;0),SUMIF($K$2:$K$5001,"&gt;="&amp;K2074,$I$2:$I$5001)/MAX(1,SUM($H$2:$H$5001)),"")</f>
        <v/>
      </c>
      <c r="M2074" s="47" t="str">
        <f aca="false">IF($A2074="","",INDEX($L$2:$L$5001,MATCH($A2074,$A$2:$A$5001,0)))</f>
        <v/>
      </c>
      <c r="N2074" s="48" t="str">
        <f aca="false">IF($A2074="","",IF(N(M2074)=0,"–",IF(M2074&lt;=Start!$D$20,"A",IF(M2074&lt;=Start!$D$21,"B","C"))))</f>
        <v/>
      </c>
      <c r="O2074" s="48" t="str">
        <f aca="false">IF($A2074="","",IF(NOT(ISNUMBER(F2074)),"Wert fehlt; ",IF(F2074&lt;=0,"Wert ist 0; ",""))&amp;IF(NOT(ISNUMBER(E2074)),"Bestand fehlt; ",IF(E2074&lt;0,"Bestand negativ; ",IF(E2074=0,"Nullbestand; ","")))&amp;IF(D2074="","Warengruppe fehlt; ","")&amp;IF(B2074="","Bezeichnung fehlt; ","")&amp;IF(COUNTIFS($A$2:$A$5001,$A2074,$C$2:$C$5001,C2074)&gt;1,"Artikel doppelt im selben Lager; ",""))</f>
        <v/>
      </c>
      <c r="P2074" s="47" t="n">
        <f aca="false">IF(OR($A2074="",D2074=""),0,IF(COUNTIF($D$2:D2074,D2074)=1,SUMIF($D$2:$D$5001,D2074,$H$2:$H$5001)+ROW()/10000000,0))</f>
        <v>0</v>
      </c>
      <c r="Q2074" s="47" t="n">
        <f aca="false">IF(OR($A2074="",C2074=""),0,IF(COUNTIF($C$2:C2074,C2074)=1,SUMIF($C$2:$C$5001,C2074,$H$2:$H$5001)+ROW()/10000000,0))</f>
        <v>0</v>
      </c>
    </row>
    <row r="2075" customFormat="false" ht="15" hidden="false" customHeight="false" outlineLevel="0" collapsed="false">
      <c r="A2075" s="43"/>
      <c r="B2075" s="44"/>
      <c r="C2075" s="44"/>
      <c r="D2075" s="44"/>
      <c r="E2075" s="44"/>
      <c r="F2075" s="44"/>
      <c r="G2075" s="44"/>
      <c r="H2075" s="46" t="str">
        <f aca="false">IF($A2075="","",IF(OR(NOT(ISNUMBER(E2075)),NOT(ISNUMBER(F2075))),"",MAX(0,E2075)*F2075))</f>
        <v/>
      </c>
      <c r="I2075" s="46" t="str">
        <f aca="false">IF($A2075="","",SUMIF($A$2:$A$5001,$A2075,$H$2:$H$5001))</f>
        <v/>
      </c>
      <c r="J2075" s="47" t="n">
        <f aca="false">IF($A2075="",0,IF(COUNTIF($A$2:A2075,$A2075)=1,1,0))</f>
        <v>0</v>
      </c>
      <c r="K2075" s="47" t="n">
        <f aca="false">IF(J2075=1,N(I2075)+ROW()/10000000,0)</f>
        <v>0</v>
      </c>
      <c r="L2075" s="47" t="str">
        <f aca="false">IF(AND(J2075=1,N(I2075)&gt;0),SUMIF($K$2:$K$5001,"&gt;="&amp;K2075,$I$2:$I$5001)/MAX(1,SUM($H$2:$H$5001)),"")</f>
        <v/>
      </c>
      <c r="M2075" s="47" t="str">
        <f aca="false">IF($A2075="","",INDEX($L$2:$L$5001,MATCH($A2075,$A$2:$A$5001,0)))</f>
        <v/>
      </c>
      <c r="N2075" s="48" t="str">
        <f aca="false">IF($A2075="","",IF(N(M2075)=0,"–",IF(M2075&lt;=Start!$D$20,"A",IF(M2075&lt;=Start!$D$21,"B","C"))))</f>
        <v/>
      </c>
      <c r="O2075" s="48" t="str">
        <f aca="false">IF($A2075="","",IF(NOT(ISNUMBER(F2075)),"Wert fehlt; ",IF(F2075&lt;=0,"Wert ist 0; ",""))&amp;IF(NOT(ISNUMBER(E2075)),"Bestand fehlt; ",IF(E2075&lt;0,"Bestand negativ; ",IF(E2075=0,"Nullbestand; ","")))&amp;IF(D2075="","Warengruppe fehlt; ","")&amp;IF(B2075="","Bezeichnung fehlt; ","")&amp;IF(COUNTIFS($A$2:$A$5001,$A2075,$C$2:$C$5001,C2075)&gt;1,"Artikel doppelt im selben Lager; ",""))</f>
        <v/>
      </c>
      <c r="P2075" s="47" t="n">
        <f aca="false">IF(OR($A2075="",D2075=""),0,IF(COUNTIF($D$2:D2075,D2075)=1,SUMIF($D$2:$D$5001,D2075,$H$2:$H$5001)+ROW()/10000000,0))</f>
        <v>0</v>
      </c>
      <c r="Q2075" s="47" t="n">
        <f aca="false">IF(OR($A2075="",C2075=""),0,IF(COUNTIF($C$2:C2075,C2075)=1,SUMIF($C$2:$C$5001,C2075,$H$2:$H$5001)+ROW()/10000000,0))</f>
        <v>0</v>
      </c>
    </row>
    <row r="2076" customFormat="false" ht="15" hidden="false" customHeight="false" outlineLevel="0" collapsed="false">
      <c r="A2076" s="43"/>
      <c r="B2076" s="44"/>
      <c r="C2076" s="44"/>
      <c r="D2076" s="44"/>
      <c r="E2076" s="44"/>
      <c r="F2076" s="44"/>
      <c r="G2076" s="44"/>
      <c r="H2076" s="46" t="str">
        <f aca="false">IF($A2076="","",IF(OR(NOT(ISNUMBER(E2076)),NOT(ISNUMBER(F2076))),"",MAX(0,E2076)*F2076))</f>
        <v/>
      </c>
      <c r="I2076" s="46" t="str">
        <f aca="false">IF($A2076="","",SUMIF($A$2:$A$5001,$A2076,$H$2:$H$5001))</f>
        <v/>
      </c>
      <c r="J2076" s="47" t="n">
        <f aca="false">IF($A2076="",0,IF(COUNTIF($A$2:A2076,$A2076)=1,1,0))</f>
        <v>0</v>
      </c>
      <c r="K2076" s="47" t="n">
        <f aca="false">IF(J2076=1,N(I2076)+ROW()/10000000,0)</f>
        <v>0</v>
      </c>
      <c r="L2076" s="47" t="str">
        <f aca="false">IF(AND(J2076=1,N(I2076)&gt;0),SUMIF($K$2:$K$5001,"&gt;="&amp;K2076,$I$2:$I$5001)/MAX(1,SUM($H$2:$H$5001)),"")</f>
        <v/>
      </c>
      <c r="M2076" s="47" t="str">
        <f aca="false">IF($A2076="","",INDEX($L$2:$L$5001,MATCH($A2076,$A$2:$A$5001,0)))</f>
        <v/>
      </c>
      <c r="N2076" s="48" t="str">
        <f aca="false">IF($A2076="","",IF(N(M2076)=0,"–",IF(M2076&lt;=Start!$D$20,"A",IF(M2076&lt;=Start!$D$21,"B","C"))))</f>
        <v/>
      </c>
      <c r="O2076" s="48" t="str">
        <f aca="false">IF($A2076="","",IF(NOT(ISNUMBER(F2076)),"Wert fehlt; ",IF(F2076&lt;=0,"Wert ist 0; ",""))&amp;IF(NOT(ISNUMBER(E2076)),"Bestand fehlt; ",IF(E2076&lt;0,"Bestand negativ; ",IF(E2076=0,"Nullbestand; ","")))&amp;IF(D2076="","Warengruppe fehlt; ","")&amp;IF(B2076="","Bezeichnung fehlt; ","")&amp;IF(COUNTIFS($A$2:$A$5001,$A2076,$C$2:$C$5001,C2076)&gt;1,"Artikel doppelt im selben Lager; ",""))</f>
        <v/>
      </c>
      <c r="P2076" s="47" t="n">
        <f aca="false">IF(OR($A2076="",D2076=""),0,IF(COUNTIF($D$2:D2076,D2076)=1,SUMIF($D$2:$D$5001,D2076,$H$2:$H$5001)+ROW()/10000000,0))</f>
        <v>0</v>
      </c>
      <c r="Q2076" s="47" t="n">
        <f aca="false">IF(OR($A2076="",C2076=""),0,IF(COUNTIF($C$2:C2076,C2076)=1,SUMIF($C$2:$C$5001,C2076,$H$2:$H$5001)+ROW()/10000000,0))</f>
        <v>0</v>
      </c>
    </row>
    <row r="2077" customFormat="false" ht="15" hidden="false" customHeight="false" outlineLevel="0" collapsed="false">
      <c r="A2077" s="43"/>
      <c r="B2077" s="44"/>
      <c r="C2077" s="44"/>
      <c r="D2077" s="44"/>
      <c r="E2077" s="44"/>
      <c r="F2077" s="44"/>
      <c r="G2077" s="44"/>
      <c r="H2077" s="46" t="str">
        <f aca="false">IF($A2077="","",IF(OR(NOT(ISNUMBER(E2077)),NOT(ISNUMBER(F2077))),"",MAX(0,E2077)*F2077))</f>
        <v/>
      </c>
      <c r="I2077" s="46" t="str">
        <f aca="false">IF($A2077="","",SUMIF($A$2:$A$5001,$A2077,$H$2:$H$5001))</f>
        <v/>
      </c>
      <c r="J2077" s="47" t="n">
        <f aca="false">IF($A2077="",0,IF(COUNTIF($A$2:A2077,$A2077)=1,1,0))</f>
        <v>0</v>
      </c>
      <c r="K2077" s="47" t="n">
        <f aca="false">IF(J2077=1,N(I2077)+ROW()/10000000,0)</f>
        <v>0</v>
      </c>
      <c r="L2077" s="47" t="str">
        <f aca="false">IF(AND(J2077=1,N(I2077)&gt;0),SUMIF($K$2:$K$5001,"&gt;="&amp;K2077,$I$2:$I$5001)/MAX(1,SUM($H$2:$H$5001)),"")</f>
        <v/>
      </c>
      <c r="M2077" s="47" t="str">
        <f aca="false">IF($A2077="","",INDEX($L$2:$L$5001,MATCH($A2077,$A$2:$A$5001,0)))</f>
        <v/>
      </c>
      <c r="N2077" s="48" t="str">
        <f aca="false">IF($A2077="","",IF(N(M2077)=0,"–",IF(M2077&lt;=Start!$D$20,"A",IF(M2077&lt;=Start!$D$21,"B","C"))))</f>
        <v/>
      </c>
      <c r="O2077" s="48" t="str">
        <f aca="false">IF($A2077="","",IF(NOT(ISNUMBER(F2077)),"Wert fehlt; ",IF(F2077&lt;=0,"Wert ist 0; ",""))&amp;IF(NOT(ISNUMBER(E2077)),"Bestand fehlt; ",IF(E2077&lt;0,"Bestand negativ; ",IF(E2077=0,"Nullbestand; ","")))&amp;IF(D2077="","Warengruppe fehlt; ","")&amp;IF(B2077="","Bezeichnung fehlt; ","")&amp;IF(COUNTIFS($A$2:$A$5001,$A2077,$C$2:$C$5001,C2077)&gt;1,"Artikel doppelt im selben Lager; ",""))</f>
        <v/>
      </c>
      <c r="P2077" s="47" t="n">
        <f aca="false">IF(OR($A2077="",D2077=""),0,IF(COUNTIF($D$2:D2077,D2077)=1,SUMIF($D$2:$D$5001,D2077,$H$2:$H$5001)+ROW()/10000000,0))</f>
        <v>0</v>
      </c>
      <c r="Q2077" s="47" t="n">
        <f aca="false">IF(OR($A2077="",C2077=""),0,IF(COUNTIF($C$2:C2077,C2077)=1,SUMIF($C$2:$C$5001,C2077,$H$2:$H$5001)+ROW()/10000000,0))</f>
        <v>0</v>
      </c>
    </row>
    <row r="2078" customFormat="false" ht="15" hidden="false" customHeight="false" outlineLevel="0" collapsed="false">
      <c r="A2078" s="43"/>
      <c r="B2078" s="44"/>
      <c r="C2078" s="44"/>
      <c r="D2078" s="44"/>
      <c r="E2078" s="44"/>
      <c r="F2078" s="44"/>
      <c r="G2078" s="44"/>
      <c r="H2078" s="46" t="str">
        <f aca="false">IF($A2078="","",IF(OR(NOT(ISNUMBER(E2078)),NOT(ISNUMBER(F2078))),"",MAX(0,E2078)*F2078))</f>
        <v/>
      </c>
      <c r="I2078" s="46" t="str">
        <f aca="false">IF($A2078="","",SUMIF($A$2:$A$5001,$A2078,$H$2:$H$5001))</f>
        <v/>
      </c>
      <c r="J2078" s="47" t="n">
        <f aca="false">IF($A2078="",0,IF(COUNTIF($A$2:A2078,$A2078)=1,1,0))</f>
        <v>0</v>
      </c>
      <c r="K2078" s="47" t="n">
        <f aca="false">IF(J2078=1,N(I2078)+ROW()/10000000,0)</f>
        <v>0</v>
      </c>
      <c r="L2078" s="47" t="str">
        <f aca="false">IF(AND(J2078=1,N(I2078)&gt;0),SUMIF($K$2:$K$5001,"&gt;="&amp;K2078,$I$2:$I$5001)/MAX(1,SUM($H$2:$H$5001)),"")</f>
        <v/>
      </c>
      <c r="M2078" s="47" t="str">
        <f aca="false">IF($A2078="","",INDEX($L$2:$L$5001,MATCH($A2078,$A$2:$A$5001,0)))</f>
        <v/>
      </c>
      <c r="N2078" s="48" t="str">
        <f aca="false">IF($A2078="","",IF(N(M2078)=0,"–",IF(M2078&lt;=Start!$D$20,"A",IF(M2078&lt;=Start!$D$21,"B","C"))))</f>
        <v/>
      </c>
      <c r="O2078" s="48" t="str">
        <f aca="false">IF($A2078="","",IF(NOT(ISNUMBER(F2078)),"Wert fehlt; ",IF(F2078&lt;=0,"Wert ist 0; ",""))&amp;IF(NOT(ISNUMBER(E2078)),"Bestand fehlt; ",IF(E2078&lt;0,"Bestand negativ; ",IF(E2078=0,"Nullbestand; ","")))&amp;IF(D2078="","Warengruppe fehlt; ","")&amp;IF(B2078="","Bezeichnung fehlt; ","")&amp;IF(COUNTIFS($A$2:$A$5001,$A2078,$C$2:$C$5001,C2078)&gt;1,"Artikel doppelt im selben Lager; ",""))</f>
        <v/>
      </c>
      <c r="P2078" s="47" t="n">
        <f aca="false">IF(OR($A2078="",D2078=""),0,IF(COUNTIF($D$2:D2078,D2078)=1,SUMIF($D$2:$D$5001,D2078,$H$2:$H$5001)+ROW()/10000000,0))</f>
        <v>0</v>
      </c>
      <c r="Q2078" s="47" t="n">
        <f aca="false">IF(OR($A2078="",C2078=""),0,IF(COUNTIF($C$2:C2078,C2078)=1,SUMIF($C$2:$C$5001,C2078,$H$2:$H$5001)+ROW()/10000000,0))</f>
        <v>0</v>
      </c>
    </row>
    <row r="2079" customFormat="false" ht="15" hidden="false" customHeight="false" outlineLevel="0" collapsed="false">
      <c r="A2079" s="43"/>
      <c r="B2079" s="44"/>
      <c r="C2079" s="44"/>
      <c r="D2079" s="44"/>
      <c r="E2079" s="44"/>
      <c r="F2079" s="44"/>
      <c r="G2079" s="44"/>
      <c r="H2079" s="46" t="str">
        <f aca="false">IF($A2079="","",IF(OR(NOT(ISNUMBER(E2079)),NOT(ISNUMBER(F2079))),"",MAX(0,E2079)*F2079))</f>
        <v/>
      </c>
      <c r="I2079" s="46" t="str">
        <f aca="false">IF($A2079="","",SUMIF($A$2:$A$5001,$A2079,$H$2:$H$5001))</f>
        <v/>
      </c>
      <c r="J2079" s="47" t="n">
        <f aca="false">IF($A2079="",0,IF(COUNTIF($A$2:A2079,$A2079)=1,1,0))</f>
        <v>0</v>
      </c>
      <c r="K2079" s="47" t="n">
        <f aca="false">IF(J2079=1,N(I2079)+ROW()/10000000,0)</f>
        <v>0</v>
      </c>
      <c r="L2079" s="47" t="str">
        <f aca="false">IF(AND(J2079=1,N(I2079)&gt;0),SUMIF($K$2:$K$5001,"&gt;="&amp;K2079,$I$2:$I$5001)/MAX(1,SUM($H$2:$H$5001)),"")</f>
        <v/>
      </c>
      <c r="M2079" s="47" t="str">
        <f aca="false">IF($A2079="","",INDEX($L$2:$L$5001,MATCH($A2079,$A$2:$A$5001,0)))</f>
        <v/>
      </c>
      <c r="N2079" s="48" t="str">
        <f aca="false">IF($A2079="","",IF(N(M2079)=0,"–",IF(M2079&lt;=Start!$D$20,"A",IF(M2079&lt;=Start!$D$21,"B","C"))))</f>
        <v/>
      </c>
      <c r="O2079" s="48" t="str">
        <f aca="false">IF($A2079="","",IF(NOT(ISNUMBER(F2079)),"Wert fehlt; ",IF(F2079&lt;=0,"Wert ist 0; ",""))&amp;IF(NOT(ISNUMBER(E2079)),"Bestand fehlt; ",IF(E2079&lt;0,"Bestand negativ; ",IF(E2079=0,"Nullbestand; ","")))&amp;IF(D2079="","Warengruppe fehlt; ","")&amp;IF(B2079="","Bezeichnung fehlt; ","")&amp;IF(COUNTIFS($A$2:$A$5001,$A2079,$C$2:$C$5001,C2079)&gt;1,"Artikel doppelt im selben Lager; ",""))</f>
        <v/>
      </c>
      <c r="P2079" s="47" t="n">
        <f aca="false">IF(OR($A2079="",D2079=""),0,IF(COUNTIF($D$2:D2079,D2079)=1,SUMIF($D$2:$D$5001,D2079,$H$2:$H$5001)+ROW()/10000000,0))</f>
        <v>0</v>
      </c>
      <c r="Q2079" s="47" t="n">
        <f aca="false">IF(OR($A2079="",C2079=""),0,IF(COUNTIF($C$2:C2079,C2079)=1,SUMIF($C$2:$C$5001,C2079,$H$2:$H$5001)+ROW()/10000000,0))</f>
        <v>0</v>
      </c>
    </row>
    <row r="2080" customFormat="false" ht="15" hidden="false" customHeight="false" outlineLevel="0" collapsed="false">
      <c r="A2080" s="43"/>
      <c r="B2080" s="44"/>
      <c r="C2080" s="44"/>
      <c r="D2080" s="44"/>
      <c r="E2080" s="44"/>
      <c r="F2080" s="44"/>
      <c r="G2080" s="44"/>
      <c r="H2080" s="46" t="str">
        <f aca="false">IF($A2080="","",IF(OR(NOT(ISNUMBER(E2080)),NOT(ISNUMBER(F2080))),"",MAX(0,E2080)*F2080))</f>
        <v/>
      </c>
      <c r="I2080" s="46" t="str">
        <f aca="false">IF($A2080="","",SUMIF($A$2:$A$5001,$A2080,$H$2:$H$5001))</f>
        <v/>
      </c>
      <c r="J2080" s="47" t="n">
        <f aca="false">IF($A2080="",0,IF(COUNTIF($A$2:A2080,$A2080)=1,1,0))</f>
        <v>0</v>
      </c>
      <c r="K2080" s="47" t="n">
        <f aca="false">IF(J2080=1,N(I2080)+ROW()/10000000,0)</f>
        <v>0</v>
      </c>
      <c r="L2080" s="47" t="str">
        <f aca="false">IF(AND(J2080=1,N(I2080)&gt;0),SUMIF($K$2:$K$5001,"&gt;="&amp;K2080,$I$2:$I$5001)/MAX(1,SUM($H$2:$H$5001)),"")</f>
        <v/>
      </c>
      <c r="M2080" s="47" t="str">
        <f aca="false">IF($A2080="","",INDEX($L$2:$L$5001,MATCH($A2080,$A$2:$A$5001,0)))</f>
        <v/>
      </c>
      <c r="N2080" s="48" t="str">
        <f aca="false">IF($A2080="","",IF(N(M2080)=0,"–",IF(M2080&lt;=Start!$D$20,"A",IF(M2080&lt;=Start!$D$21,"B","C"))))</f>
        <v/>
      </c>
      <c r="O2080" s="48" t="str">
        <f aca="false">IF($A2080="","",IF(NOT(ISNUMBER(F2080)),"Wert fehlt; ",IF(F2080&lt;=0,"Wert ist 0; ",""))&amp;IF(NOT(ISNUMBER(E2080)),"Bestand fehlt; ",IF(E2080&lt;0,"Bestand negativ; ",IF(E2080=0,"Nullbestand; ","")))&amp;IF(D2080="","Warengruppe fehlt; ","")&amp;IF(B2080="","Bezeichnung fehlt; ","")&amp;IF(COUNTIFS($A$2:$A$5001,$A2080,$C$2:$C$5001,C2080)&gt;1,"Artikel doppelt im selben Lager; ",""))</f>
        <v/>
      </c>
      <c r="P2080" s="47" t="n">
        <f aca="false">IF(OR($A2080="",D2080=""),0,IF(COUNTIF($D$2:D2080,D2080)=1,SUMIF($D$2:$D$5001,D2080,$H$2:$H$5001)+ROW()/10000000,0))</f>
        <v>0</v>
      </c>
      <c r="Q2080" s="47" t="n">
        <f aca="false">IF(OR($A2080="",C2080=""),0,IF(COUNTIF($C$2:C2080,C2080)=1,SUMIF($C$2:$C$5001,C2080,$H$2:$H$5001)+ROW()/10000000,0))</f>
        <v>0</v>
      </c>
    </row>
    <row r="2081" customFormat="false" ht="15" hidden="false" customHeight="false" outlineLevel="0" collapsed="false">
      <c r="A2081" s="43"/>
      <c r="B2081" s="44"/>
      <c r="C2081" s="44"/>
      <c r="D2081" s="44"/>
      <c r="E2081" s="44"/>
      <c r="F2081" s="44"/>
      <c r="G2081" s="44"/>
      <c r="H2081" s="46" t="str">
        <f aca="false">IF($A2081="","",IF(OR(NOT(ISNUMBER(E2081)),NOT(ISNUMBER(F2081))),"",MAX(0,E2081)*F2081))</f>
        <v/>
      </c>
      <c r="I2081" s="46" t="str">
        <f aca="false">IF($A2081="","",SUMIF($A$2:$A$5001,$A2081,$H$2:$H$5001))</f>
        <v/>
      </c>
      <c r="J2081" s="47" t="n">
        <f aca="false">IF($A2081="",0,IF(COUNTIF($A$2:A2081,$A2081)=1,1,0))</f>
        <v>0</v>
      </c>
      <c r="K2081" s="47" t="n">
        <f aca="false">IF(J2081=1,N(I2081)+ROW()/10000000,0)</f>
        <v>0</v>
      </c>
      <c r="L2081" s="47" t="str">
        <f aca="false">IF(AND(J2081=1,N(I2081)&gt;0),SUMIF($K$2:$K$5001,"&gt;="&amp;K2081,$I$2:$I$5001)/MAX(1,SUM($H$2:$H$5001)),"")</f>
        <v/>
      </c>
      <c r="M2081" s="47" t="str">
        <f aca="false">IF($A2081="","",INDEX($L$2:$L$5001,MATCH($A2081,$A$2:$A$5001,0)))</f>
        <v/>
      </c>
      <c r="N2081" s="48" t="str">
        <f aca="false">IF($A2081="","",IF(N(M2081)=0,"–",IF(M2081&lt;=Start!$D$20,"A",IF(M2081&lt;=Start!$D$21,"B","C"))))</f>
        <v/>
      </c>
      <c r="O2081" s="48" t="str">
        <f aca="false">IF($A2081="","",IF(NOT(ISNUMBER(F2081)),"Wert fehlt; ",IF(F2081&lt;=0,"Wert ist 0; ",""))&amp;IF(NOT(ISNUMBER(E2081)),"Bestand fehlt; ",IF(E2081&lt;0,"Bestand negativ; ",IF(E2081=0,"Nullbestand; ","")))&amp;IF(D2081="","Warengruppe fehlt; ","")&amp;IF(B2081="","Bezeichnung fehlt; ","")&amp;IF(COUNTIFS($A$2:$A$5001,$A2081,$C$2:$C$5001,C2081)&gt;1,"Artikel doppelt im selben Lager; ",""))</f>
        <v/>
      </c>
      <c r="P2081" s="47" t="n">
        <f aca="false">IF(OR($A2081="",D2081=""),0,IF(COUNTIF($D$2:D2081,D2081)=1,SUMIF($D$2:$D$5001,D2081,$H$2:$H$5001)+ROW()/10000000,0))</f>
        <v>0</v>
      </c>
      <c r="Q2081" s="47" t="n">
        <f aca="false">IF(OR($A2081="",C2081=""),0,IF(COUNTIF($C$2:C2081,C2081)=1,SUMIF($C$2:$C$5001,C2081,$H$2:$H$5001)+ROW()/10000000,0))</f>
        <v>0</v>
      </c>
    </row>
    <row r="2082" customFormat="false" ht="15" hidden="false" customHeight="false" outlineLevel="0" collapsed="false">
      <c r="A2082" s="43"/>
      <c r="B2082" s="44"/>
      <c r="C2082" s="44"/>
      <c r="D2082" s="44"/>
      <c r="E2082" s="44"/>
      <c r="F2082" s="44"/>
      <c r="G2082" s="44"/>
      <c r="H2082" s="46" t="str">
        <f aca="false">IF($A2082="","",IF(OR(NOT(ISNUMBER(E2082)),NOT(ISNUMBER(F2082))),"",MAX(0,E2082)*F2082))</f>
        <v/>
      </c>
      <c r="I2082" s="46" t="str">
        <f aca="false">IF($A2082="","",SUMIF($A$2:$A$5001,$A2082,$H$2:$H$5001))</f>
        <v/>
      </c>
      <c r="J2082" s="47" t="n">
        <f aca="false">IF($A2082="",0,IF(COUNTIF($A$2:A2082,$A2082)=1,1,0))</f>
        <v>0</v>
      </c>
      <c r="K2082" s="47" t="n">
        <f aca="false">IF(J2082=1,N(I2082)+ROW()/10000000,0)</f>
        <v>0</v>
      </c>
      <c r="L2082" s="47" t="str">
        <f aca="false">IF(AND(J2082=1,N(I2082)&gt;0),SUMIF($K$2:$K$5001,"&gt;="&amp;K2082,$I$2:$I$5001)/MAX(1,SUM($H$2:$H$5001)),"")</f>
        <v/>
      </c>
      <c r="M2082" s="47" t="str">
        <f aca="false">IF($A2082="","",INDEX($L$2:$L$5001,MATCH($A2082,$A$2:$A$5001,0)))</f>
        <v/>
      </c>
      <c r="N2082" s="48" t="str">
        <f aca="false">IF($A2082="","",IF(N(M2082)=0,"–",IF(M2082&lt;=Start!$D$20,"A",IF(M2082&lt;=Start!$D$21,"B","C"))))</f>
        <v/>
      </c>
      <c r="O2082" s="48" t="str">
        <f aca="false">IF($A2082="","",IF(NOT(ISNUMBER(F2082)),"Wert fehlt; ",IF(F2082&lt;=0,"Wert ist 0; ",""))&amp;IF(NOT(ISNUMBER(E2082)),"Bestand fehlt; ",IF(E2082&lt;0,"Bestand negativ; ",IF(E2082=0,"Nullbestand; ","")))&amp;IF(D2082="","Warengruppe fehlt; ","")&amp;IF(B2082="","Bezeichnung fehlt; ","")&amp;IF(COUNTIFS($A$2:$A$5001,$A2082,$C$2:$C$5001,C2082)&gt;1,"Artikel doppelt im selben Lager; ",""))</f>
        <v/>
      </c>
      <c r="P2082" s="47" t="n">
        <f aca="false">IF(OR($A2082="",D2082=""),0,IF(COUNTIF($D$2:D2082,D2082)=1,SUMIF($D$2:$D$5001,D2082,$H$2:$H$5001)+ROW()/10000000,0))</f>
        <v>0</v>
      </c>
      <c r="Q2082" s="47" t="n">
        <f aca="false">IF(OR($A2082="",C2082=""),0,IF(COUNTIF($C$2:C2082,C2082)=1,SUMIF($C$2:$C$5001,C2082,$H$2:$H$5001)+ROW()/10000000,0))</f>
        <v>0</v>
      </c>
    </row>
    <row r="2083" customFormat="false" ht="15" hidden="false" customHeight="false" outlineLevel="0" collapsed="false">
      <c r="A2083" s="43"/>
      <c r="B2083" s="44"/>
      <c r="C2083" s="44"/>
      <c r="D2083" s="44"/>
      <c r="E2083" s="44"/>
      <c r="F2083" s="44"/>
      <c r="G2083" s="44"/>
      <c r="H2083" s="46" t="str">
        <f aca="false">IF($A2083="","",IF(OR(NOT(ISNUMBER(E2083)),NOT(ISNUMBER(F2083))),"",MAX(0,E2083)*F2083))</f>
        <v/>
      </c>
      <c r="I2083" s="46" t="str">
        <f aca="false">IF($A2083="","",SUMIF($A$2:$A$5001,$A2083,$H$2:$H$5001))</f>
        <v/>
      </c>
      <c r="J2083" s="47" t="n">
        <f aca="false">IF($A2083="",0,IF(COUNTIF($A$2:A2083,$A2083)=1,1,0))</f>
        <v>0</v>
      </c>
      <c r="K2083" s="47" t="n">
        <f aca="false">IF(J2083=1,N(I2083)+ROW()/10000000,0)</f>
        <v>0</v>
      </c>
      <c r="L2083" s="47" t="str">
        <f aca="false">IF(AND(J2083=1,N(I2083)&gt;0),SUMIF($K$2:$K$5001,"&gt;="&amp;K2083,$I$2:$I$5001)/MAX(1,SUM($H$2:$H$5001)),"")</f>
        <v/>
      </c>
      <c r="M2083" s="47" t="str">
        <f aca="false">IF($A2083="","",INDEX($L$2:$L$5001,MATCH($A2083,$A$2:$A$5001,0)))</f>
        <v/>
      </c>
      <c r="N2083" s="48" t="str">
        <f aca="false">IF($A2083="","",IF(N(M2083)=0,"–",IF(M2083&lt;=Start!$D$20,"A",IF(M2083&lt;=Start!$D$21,"B","C"))))</f>
        <v/>
      </c>
      <c r="O2083" s="48" t="str">
        <f aca="false">IF($A2083="","",IF(NOT(ISNUMBER(F2083)),"Wert fehlt; ",IF(F2083&lt;=0,"Wert ist 0; ",""))&amp;IF(NOT(ISNUMBER(E2083)),"Bestand fehlt; ",IF(E2083&lt;0,"Bestand negativ; ",IF(E2083=0,"Nullbestand; ","")))&amp;IF(D2083="","Warengruppe fehlt; ","")&amp;IF(B2083="","Bezeichnung fehlt; ","")&amp;IF(COUNTIFS($A$2:$A$5001,$A2083,$C$2:$C$5001,C2083)&gt;1,"Artikel doppelt im selben Lager; ",""))</f>
        <v/>
      </c>
      <c r="P2083" s="47" t="n">
        <f aca="false">IF(OR($A2083="",D2083=""),0,IF(COUNTIF($D$2:D2083,D2083)=1,SUMIF($D$2:$D$5001,D2083,$H$2:$H$5001)+ROW()/10000000,0))</f>
        <v>0</v>
      </c>
      <c r="Q2083" s="47" t="n">
        <f aca="false">IF(OR($A2083="",C2083=""),0,IF(COUNTIF($C$2:C2083,C2083)=1,SUMIF($C$2:$C$5001,C2083,$H$2:$H$5001)+ROW()/10000000,0))</f>
        <v>0</v>
      </c>
    </row>
    <row r="2084" customFormat="false" ht="15" hidden="false" customHeight="false" outlineLevel="0" collapsed="false">
      <c r="A2084" s="43"/>
      <c r="B2084" s="44"/>
      <c r="C2084" s="44"/>
      <c r="D2084" s="44"/>
      <c r="E2084" s="44"/>
      <c r="F2084" s="44"/>
      <c r="G2084" s="44"/>
      <c r="H2084" s="46" t="str">
        <f aca="false">IF($A2084="","",IF(OR(NOT(ISNUMBER(E2084)),NOT(ISNUMBER(F2084))),"",MAX(0,E2084)*F2084))</f>
        <v/>
      </c>
      <c r="I2084" s="46" t="str">
        <f aca="false">IF($A2084="","",SUMIF($A$2:$A$5001,$A2084,$H$2:$H$5001))</f>
        <v/>
      </c>
      <c r="J2084" s="47" t="n">
        <f aca="false">IF($A2084="",0,IF(COUNTIF($A$2:A2084,$A2084)=1,1,0))</f>
        <v>0</v>
      </c>
      <c r="K2084" s="47" t="n">
        <f aca="false">IF(J2084=1,N(I2084)+ROW()/10000000,0)</f>
        <v>0</v>
      </c>
      <c r="L2084" s="47" t="str">
        <f aca="false">IF(AND(J2084=1,N(I2084)&gt;0),SUMIF($K$2:$K$5001,"&gt;="&amp;K2084,$I$2:$I$5001)/MAX(1,SUM($H$2:$H$5001)),"")</f>
        <v/>
      </c>
      <c r="M2084" s="47" t="str">
        <f aca="false">IF($A2084="","",INDEX($L$2:$L$5001,MATCH($A2084,$A$2:$A$5001,0)))</f>
        <v/>
      </c>
      <c r="N2084" s="48" t="str">
        <f aca="false">IF($A2084="","",IF(N(M2084)=0,"–",IF(M2084&lt;=Start!$D$20,"A",IF(M2084&lt;=Start!$D$21,"B","C"))))</f>
        <v/>
      </c>
      <c r="O2084" s="48" t="str">
        <f aca="false">IF($A2084="","",IF(NOT(ISNUMBER(F2084)),"Wert fehlt; ",IF(F2084&lt;=0,"Wert ist 0; ",""))&amp;IF(NOT(ISNUMBER(E2084)),"Bestand fehlt; ",IF(E2084&lt;0,"Bestand negativ; ",IF(E2084=0,"Nullbestand; ","")))&amp;IF(D2084="","Warengruppe fehlt; ","")&amp;IF(B2084="","Bezeichnung fehlt; ","")&amp;IF(COUNTIFS($A$2:$A$5001,$A2084,$C$2:$C$5001,C2084)&gt;1,"Artikel doppelt im selben Lager; ",""))</f>
        <v/>
      </c>
      <c r="P2084" s="47" t="n">
        <f aca="false">IF(OR($A2084="",D2084=""),0,IF(COUNTIF($D$2:D2084,D2084)=1,SUMIF($D$2:$D$5001,D2084,$H$2:$H$5001)+ROW()/10000000,0))</f>
        <v>0</v>
      </c>
      <c r="Q2084" s="47" t="n">
        <f aca="false">IF(OR($A2084="",C2084=""),0,IF(COUNTIF($C$2:C2084,C2084)=1,SUMIF($C$2:$C$5001,C2084,$H$2:$H$5001)+ROW()/10000000,0))</f>
        <v>0</v>
      </c>
    </row>
    <row r="2085" customFormat="false" ht="15" hidden="false" customHeight="false" outlineLevel="0" collapsed="false">
      <c r="A2085" s="43"/>
      <c r="B2085" s="44"/>
      <c r="C2085" s="44"/>
      <c r="D2085" s="44"/>
      <c r="E2085" s="44"/>
      <c r="F2085" s="44"/>
      <c r="G2085" s="44"/>
      <c r="H2085" s="46" t="str">
        <f aca="false">IF($A2085="","",IF(OR(NOT(ISNUMBER(E2085)),NOT(ISNUMBER(F2085))),"",MAX(0,E2085)*F2085))</f>
        <v/>
      </c>
      <c r="I2085" s="46" t="str">
        <f aca="false">IF($A2085="","",SUMIF($A$2:$A$5001,$A2085,$H$2:$H$5001))</f>
        <v/>
      </c>
      <c r="J2085" s="47" t="n">
        <f aca="false">IF($A2085="",0,IF(COUNTIF($A$2:A2085,$A2085)=1,1,0))</f>
        <v>0</v>
      </c>
      <c r="K2085" s="47" t="n">
        <f aca="false">IF(J2085=1,N(I2085)+ROW()/10000000,0)</f>
        <v>0</v>
      </c>
      <c r="L2085" s="47" t="str">
        <f aca="false">IF(AND(J2085=1,N(I2085)&gt;0),SUMIF($K$2:$K$5001,"&gt;="&amp;K2085,$I$2:$I$5001)/MAX(1,SUM($H$2:$H$5001)),"")</f>
        <v/>
      </c>
      <c r="M2085" s="47" t="str">
        <f aca="false">IF($A2085="","",INDEX($L$2:$L$5001,MATCH($A2085,$A$2:$A$5001,0)))</f>
        <v/>
      </c>
      <c r="N2085" s="48" t="str">
        <f aca="false">IF($A2085="","",IF(N(M2085)=0,"–",IF(M2085&lt;=Start!$D$20,"A",IF(M2085&lt;=Start!$D$21,"B","C"))))</f>
        <v/>
      </c>
      <c r="O2085" s="48" t="str">
        <f aca="false">IF($A2085="","",IF(NOT(ISNUMBER(F2085)),"Wert fehlt; ",IF(F2085&lt;=0,"Wert ist 0; ",""))&amp;IF(NOT(ISNUMBER(E2085)),"Bestand fehlt; ",IF(E2085&lt;0,"Bestand negativ; ",IF(E2085=0,"Nullbestand; ","")))&amp;IF(D2085="","Warengruppe fehlt; ","")&amp;IF(B2085="","Bezeichnung fehlt; ","")&amp;IF(COUNTIFS($A$2:$A$5001,$A2085,$C$2:$C$5001,C2085)&gt;1,"Artikel doppelt im selben Lager; ",""))</f>
        <v/>
      </c>
      <c r="P2085" s="47" t="n">
        <f aca="false">IF(OR($A2085="",D2085=""),0,IF(COUNTIF($D$2:D2085,D2085)=1,SUMIF($D$2:$D$5001,D2085,$H$2:$H$5001)+ROW()/10000000,0))</f>
        <v>0</v>
      </c>
      <c r="Q2085" s="47" t="n">
        <f aca="false">IF(OR($A2085="",C2085=""),0,IF(COUNTIF($C$2:C2085,C2085)=1,SUMIF($C$2:$C$5001,C2085,$H$2:$H$5001)+ROW()/10000000,0))</f>
        <v>0</v>
      </c>
    </row>
    <row r="2086" customFormat="false" ht="15" hidden="false" customHeight="false" outlineLevel="0" collapsed="false">
      <c r="A2086" s="43"/>
      <c r="B2086" s="44"/>
      <c r="C2086" s="44"/>
      <c r="D2086" s="44"/>
      <c r="E2086" s="44"/>
      <c r="F2086" s="44"/>
      <c r="G2086" s="44"/>
      <c r="H2086" s="46" t="str">
        <f aca="false">IF($A2086="","",IF(OR(NOT(ISNUMBER(E2086)),NOT(ISNUMBER(F2086))),"",MAX(0,E2086)*F2086))</f>
        <v/>
      </c>
      <c r="I2086" s="46" t="str">
        <f aca="false">IF($A2086="","",SUMIF($A$2:$A$5001,$A2086,$H$2:$H$5001))</f>
        <v/>
      </c>
      <c r="J2086" s="47" t="n">
        <f aca="false">IF($A2086="",0,IF(COUNTIF($A$2:A2086,$A2086)=1,1,0))</f>
        <v>0</v>
      </c>
      <c r="K2086" s="47" t="n">
        <f aca="false">IF(J2086=1,N(I2086)+ROW()/10000000,0)</f>
        <v>0</v>
      </c>
      <c r="L2086" s="47" t="str">
        <f aca="false">IF(AND(J2086=1,N(I2086)&gt;0),SUMIF($K$2:$K$5001,"&gt;="&amp;K2086,$I$2:$I$5001)/MAX(1,SUM($H$2:$H$5001)),"")</f>
        <v/>
      </c>
      <c r="M2086" s="47" t="str">
        <f aca="false">IF($A2086="","",INDEX($L$2:$L$5001,MATCH($A2086,$A$2:$A$5001,0)))</f>
        <v/>
      </c>
      <c r="N2086" s="48" t="str">
        <f aca="false">IF($A2086="","",IF(N(M2086)=0,"–",IF(M2086&lt;=Start!$D$20,"A",IF(M2086&lt;=Start!$D$21,"B","C"))))</f>
        <v/>
      </c>
      <c r="O2086" s="48" t="str">
        <f aca="false">IF($A2086="","",IF(NOT(ISNUMBER(F2086)),"Wert fehlt; ",IF(F2086&lt;=0,"Wert ist 0; ",""))&amp;IF(NOT(ISNUMBER(E2086)),"Bestand fehlt; ",IF(E2086&lt;0,"Bestand negativ; ",IF(E2086=0,"Nullbestand; ","")))&amp;IF(D2086="","Warengruppe fehlt; ","")&amp;IF(B2086="","Bezeichnung fehlt; ","")&amp;IF(COUNTIFS($A$2:$A$5001,$A2086,$C$2:$C$5001,C2086)&gt;1,"Artikel doppelt im selben Lager; ",""))</f>
        <v/>
      </c>
      <c r="P2086" s="47" t="n">
        <f aca="false">IF(OR($A2086="",D2086=""),0,IF(COUNTIF($D$2:D2086,D2086)=1,SUMIF($D$2:$D$5001,D2086,$H$2:$H$5001)+ROW()/10000000,0))</f>
        <v>0</v>
      </c>
      <c r="Q2086" s="47" t="n">
        <f aca="false">IF(OR($A2086="",C2086=""),0,IF(COUNTIF($C$2:C2086,C2086)=1,SUMIF($C$2:$C$5001,C2086,$H$2:$H$5001)+ROW()/10000000,0))</f>
        <v>0</v>
      </c>
    </row>
    <row r="2087" customFormat="false" ht="15" hidden="false" customHeight="false" outlineLevel="0" collapsed="false">
      <c r="A2087" s="43"/>
      <c r="B2087" s="44"/>
      <c r="C2087" s="44"/>
      <c r="D2087" s="44"/>
      <c r="E2087" s="44"/>
      <c r="F2087" s="44"/>
      <c r="G2087" s="44"/>
      <c r="H2087" s="46" t="str">
        <f aca="false">IF($A2087="","",IF(OR(NOT(ISNUMBER(E2087)),NOT(ISNUMBER(F2087))),"",MAX(0,E2087)*F2087))</f>
        <v/>
      </c>
      <c r="I2087" s="46" t="str">
        <f aca="false">IF($A2087="","",SUMIF($A$2:$A$5001,$A2087,$H$2:$H$5001))</f>
        <v/>
      </c>
      <c r="J2087" s="47" t="n">
        <f aca="false">IF($A2087="",0,IF(COUNTIF($A$2:A2087,$A2087)=1,1,0))</f>
        <v>0</v>
      </c>
      <c r="K2087" s="47" t="n">
        <f aca="false">IF(J2087=1,N(I2087)+ROW()/10000000,0)</f>
        <v>0</v>
      </c>
      <c r="L2087" s="47" t="str">
        <f aca="false">IF(AND(J2087=1,N(I2087)&gt;0),SUMIF($K$2:$K$5001,"&gt;="&amp;K2087,$I$2:$I$5001)/MAX(1,SUM($H$2:$H$5001)),"")</f>
        <v/>
      </c>
      <c r="M2087" s="47" t="str">
        <f aca="false">IF($A2087="","",INDEX($L$2:$L$5001,MATCH($A2087,$A$2:$A$5001,0)))</f>
        <v/>
      </c>
      <c r="N2087" s="48" t="str">
        <f aca="false">IF($A2087="","",IF(N(M2087)=0,"–",IF(M2087&lt;=Start!$D$20,"A",IF(M2087&lt;=Start!$D$21,"B","C"))))</f>
        <v/>
      </c>
      <c r="O2087" s="48" t="str">
        <f aca="false">IF($A2087="","",IF(NOT(ISNUMBER(F2087)),"Wert fehlt; ",IF(F2087&lt;=0,"Wert ist 0; ",""))&amp;IF(NOT(ISNUMBER(E2087)),"Bestand fehlt; ",IF(E2087&lt;0,"Bestand negativ; ",IF(E2087=0,"Nullbestand; ","")))&amp;IF(D2087="","Warengruppe fehlt; ","")&amp;IF(B2087="","Bezeichnung fehlt; ","")&amp;IF(COUNTIFS($A$2:$A$5001,$A2087,$C$2:$C$5001,C2087)&gt;1,"Artikel doppelt im selben Lager; ",""))</f>
        <v/>
      </c>
      <c r="P2087" s="47" t="n">
        <f aca="false">IF(OR($A2087="",D2087=""),0,IF(COUNTIF($D$2:D2087,D2087)=1,SUMIF($D$2:$D$5001,D2087,$H$2:$H$5001)+ROW()/10000000,0))</f>
        <v>0</v>
      </c>
      <c r="Q2087" s="47" t="n">
        <f aca="false">IF(OR($A2087="",C2087=""),0,IF(COUNTIF($C$2:C2087,C2087)=1,SUMIF($C$2:$C$5001,C2087,$H$2:$H$5001)+ROW()/10000000,0))</f>
        <v>0</v>
      </c>
    </row>
    <row r="2088" customFormat="false" ht="15" hidden="false" customHeight="false" outlineLevel="0" collapsed="false">
      <c r="A2088" s="43"/>
      <c r="B2088" s="44"/>
      <c r="C2088" s="44"/>
      <c r="D2088" s="44"/>
      <c r="E2088" s="44"/>
      <c r="F2088" s="44"/>
      <c r="G2088" s="44"/>
      <c r="H2088" s="46" t="str">
        <f aca="false">IF($A2088="","",IF(OR(NOT(ISNUMBER(E2088)),NOT(ISNUMBER(F2088))),"",MAX(0,E2088)*F2088))</f>
        <v/>
      </c>
      <c r="I2088" s="46" t="str">
        <f aca="false">IF($A2088="","",SUMIF($A$2:$A$5001,$A2088,$H$2:$H$5001))</f>
        <v/>
      </c>
      <c r="J2088" s="47" t="n">
        <f aca="false">IF($A2088="",0,IF(COUNTIF($A$2:A2088,$A2088)=1,1,0))</f>
        <v>0</v>
      </c>
      <c r="K2088" s="47" t="n">
        <f aca="false">IF(J2088=1,N(I2088)+ROW()/10000000,0)</f>
        <v>0</v>
      </c>
      <c r="L2088" s="47" t="str">
        <f aca="false">IF(AND(J2088=1,N(I2088)&gt;0),SUMIF($K$2:$K$5001,"&gt;="&amp;K2088,$I$2:$I$5001)/MAX(1,SUM($H$2:$H$5001)),"")</f>
        <v/>
      </c>
      <c r="M2088" s="47" t="str">
        <f aca="false">IF($A2088="","",INDEX($L$2:$L$5001,MATCH($A2088,$A$2:$A$5001,0)))</f>
        <v/>
      </c>
      <c r="N2088" s="48" t="str">
        <f aca="false">IF($A2088="","",IF(N(M2088)=0,"–",IF(M2088&lt;=Start!$D$20,"A",IF(M2088&lt;=Start!$D$21,"B","C"))))</f>
        <v/>
      </c>
      <c r="O2088" s="48" t="str">
        <f aca="false">IF($A2088="","",IF(NOT(ISNUMBER(F2088)),"Wert fehlt; ",IF(F2088&lt;=0,"Wert ist 0; ",""))&amp;IF(NOT(ISNUMBER(E2088)),"Bestand fehlt; ",IF(E2088&lt;0,"Bestand negativ; ",IF(E2088=0,"Nullbestand; ","")))&amp;IF(D2088="","Warengruppe fehlt; ","")&amp;IF(B2088="","Bezeichnung fehlt; ","")&amp;IF(COUNTIFS($A$2:$A$5001,$A2088,$C$2:$C$5001,C2088)&gt;1,"Artikel doppelt im selben Lager; ",""))</f>
        <v/>
      </c>
      <c r="P2088" s="47" t="n">
        <f aca="false">IF(OR($A2088="",D2088=""),0,IF(COUNTIF($D$2:D2088,D2088)=1,SUMIF($D$2:$D$5001,D2088,$H$2:$H$5001)+ROW()/10000000,0))</f>
        <v>0</v>
      </c>
      <c r="Q2088" s="47" t="n">
        <f aca="false">IF(OR($A2088="",C2088=""),0,IF(COUNTIF($C$2:C2088,C2088)=1,SUMIF($C$2:$C$5001,C2088,$H$2:$H$5001)+ROW()/10000000,0))</f>
        <v>0</v>
      </c>
    </row>
    <row r="2089" customFormat="false" ht="15" hidden="false" customHeight="false" outlineLevel="0" collapsed="false">
      <c r="A2089" s="43"/>
      <c r="B2089" s="44"/>
      <c r="C2089" s="44"/>
      <c r="D2089" s="44"/>
      <c r="E2089" s="44"/>
      <c r="F2089" s="44"/>
      <c r="G2089" s="44"/>
      <c r="H2089" s="46" t="str">
        <f aca="false">IF($A2089="","",IF(OR(NOT(ISNUMBER(E2089)),NOT(ISNUMBER(F2089))),"",MAX(0,E2089)*F2089))</f>
        <v/>
      </c>
      <c r="I2089" s="46" t="str">
        <f aca="false">IF($A2089="","",SUMIF($A$2:$A$5001,$A2089,$H$2:$H$5001))</f>
        <v/>
      </c>
      <c r="J2089" s="47" t="n">
        <f aca="false">IF($A2089="",0,IF(COUNTIF($A$2:A2089,$A2089)=1,1,0))</f>
        <v>0</v>
      </c>
      <c r="K2089" s="47" t="n">
        <f aca="false">IF(J2089=1,N(I2089)+ROW()/10000000,0)</f>
        <v>0</v>
      </c>
      <c r="L2089" s="47" t="str">
        <f aca="false">IF(AND(J2089=1,N(I2089)&gt;0),SUMIF($K$2:$K$5001,"&gt;="&amp;K2089,$I$2:$I$5001)/MAX(1,SUM($H$2:$H$5001)),"")</f>
        <v/>
      </c>
      <c r="M2089" s="47" t="str">
        <f aca="false">IF($A2089="","",INDEX($L$2:$L$5001,MATCH($A2089,$A$2:$A$5001,0)))</f>
        <v/>
      </c>
      <c r="N2089" s="48" t="str">
        <f aca="false">IF($A2089="","",IF(N(M2089)=0,"–",IF(M2089&lt;=Start!$D$20,"A",IF(M2089&lt;=Start!$D$21,"B","C"))))</f>
        <v/>
      </c>
      <c r="O2089" s="48" t="str">
        <f aca="false">IF($A2089="","",IF(NOT(ISNUMBER(F2089)),"Wert fehlt; ",IF(F2089&lt;=0,"Wert ist 0; ",""))&amp;IF(NOT(ISNUMBER(E2089)),"Bestand fehlt; ",IF(E2089&lt;0,"Bestand negativ; ",IF(E2089=0,"Nullbestand; ","")))&amp;IF(D2089="","Warengruppe fehlt; ","")&amp;IF(B2089="","Bezeichnung fehlt; ","")&amp;IF(COUNTIFS($A$2:$A$5001,$A2089,$C$2:$C$5001,C2089)&gt;1,"Artikel doppelt im selben Lager; ",""))</f>
        <v/>
      </c>
      <c r="P2089" s="47" t="n">
        <f aca="false">IF(OR($A2089="",D2089=""),0,IF(COUNTIF($D$2:D2089,D2089)=1,SUMIF($D$2:$D$5001,D2089,$H$2:$H$5001)+ROW()/10000000,0))</f>
        <v>0</v>
      </c>
      <c r="Q2089" s="47" t="n">
        <f aca="false">IF(OR($A2089="",C2089=""),0,IF(COUNTIF($C$2:C2089,C2089)=1,SUMIF($C$2:$C$5001,C2089,$H$2:$H$5001)+ROW()/10000000,0))</f>
        <v>0</v>
      </c>
    </row>
    <row r="2090" customFormat="false" ht="15" hidden="false" customHeight="false" outlineLevel="0" collapsed="false">
      <c r="A2090" s="43"/>
      <c r="B2090" s="44"/>
      <c r="C2090" s="44"/>
      <c r="D2090" s="44"/>
      <c r="E2090" s="44"/>
      <c r="F2090" s="44"/>
      <c r="G2090" s="44"/>
      <c r="H2090" s="46" t="str">
        <f aca="false">IF($A2090="","",IF(OR(NOT(ISNUMBER(E2090)),NOT(ISNUMBER(F2090))),"",MAX(0,E2090)*F2090))</f>
        <v/>
      </c>
      <c r="I2090" s="46" t="str">
        <f aca="false">IF($A2090="","",SUMIF($A$2:$A$5001,$A2090,$H$2:$H$5001))</f>
        <v/>
      </c>
      <c r="J2090" s="47" t="n">
        <f aca="false">IF($A2090="",0,IF(COUNTIF($A$2:A2090,$A2090)=1,1,0))</f>
        <v>0</v>
      </c>
      <c r="K2090" s="47" t="n">
        <f aca="false">IF(J2090=1,N(I2090)+ROW()/10000000,0)</f>
        <v>0</v>
      </c>
      <c r="L2090" s="47" t="str">
        <f aca="false">IF(AND(J2090=1,N(I2090)&gt;0),SUMIF($K$2:$K$5001,"&gt;="&amp;K2090,$I$2:$I$5001)/MAX(1,SUM($H$2:$H$5001)),"")</f>
        <v/>
      </c>
      <c r="M2090" s="47" t="str">
        <f aca="false">IF($A2090="","",INDEX($L$2:$L$5001,MATCH($A2090,$A$2:$A$5001,0)))</f>
        <v/>
      </c>
      <c r="N2090" s="48" t="str">
        <f aca="false">IF($A2090="","",IF(N(M2090)=0,"–",IF(M2090&lt;=Start!$D$20,"A",IF(M2090&lt;=Start!$D$21,"B","C"))))</f>
        <v/>
      </c>
      <c r="O2090" s="48" t="str">
        <f aca="false">IF($A2090="","",IF(NOT(ISNUMBER(F2090)),"Wert fehlt; ",IF(F2090&lt;=0,"Wert ist 0; ",""))&amp;IF(NOT(ISNUMBER(E2090)),"Bestand fehlt; ",IF(E2090&lt;0,"Bestand negativ; ",IF(E2090=0,"Nullbestand; ","")))&amp;IF(D2090="","Warengruppe fehlt; ","")&amp;IF(B2090="","Bezeichnung fehlt; ","")&amp;IF(COUNTIFS($A$2:$A$5001,$A2090,$C$2:$C$5001,C2090)&gt;1,"Artikel doppelt im selben Lager; ",""))</f>
        <v/>
      </c>
      <c r="P2090" s="47" t="n">
        <f aca="false">IF(OR($A2090="",D2090=""),0,IF(COUNTIF($D$2:D2090,D2090)=1,SUMIF($D$2:$D$5001,D2090,$H$2:$H$5001)+ROW()/10000000,0))</f>
        <v>0</v>
      </c>
      <c r="Q2090" s="47" t="n">
        <f aca="false">IF(OR($A2090="",C2090=""),0,IF(COUNTIF($C$2:C2090,C2090)=1,SUMIF($C$2:$C$5001,C2090,$H$2:$H$5001)+ROW()/10000000,0))</f>
        <v>0</v>
      </c>
    </row>
    <row r="2091" customFormat="false" ht="15" hidden="false" customHeight="false" outlineLevel="0" collapsed="false">
      <c r="A2091" s="43"/>
      <c r="B2091" s="44"/>
      <c r="C2091" s="44"/>
      <c r="D2091" s="44"/>
      <c r="E2091" s="44"/>
      <c r="F2091" s="44"/>
      <c r="G2091" s="44"/>
      <c r="H2091" s="46" t="str">
        <f aca="false">IF($A2091="","",IF(OR(NOT(ISNUMBER(E2091)),NOT(ISNUMBER(F2091))),"",MAX(0,E2091)*F2091))</f>
        <v/>
      </c>
      <c r="I2091" s="46" t="str">
        <f aca="false">IF($A2091="","",SUMIF($A$2:$A$5001,$A2091,$H$2:$H$5001))</f>
        <v/>
      </c>
      <c r="J2091" s="47" t="n">
        <f aca="false">IF($A2091="",0,IF(COUNTIF($A$2:A2091,$A2091)=1,1,0))</f>
        <v>0</v>
      </c>
      <c r="K2091" s="47" t="n">
        <f aca="false">IF(J2091=1,N(I2091)+ROW()/10000000,0)</f>
        <v>0</v>
      </c>
      <c r="L2091" s="47" t="str">
        <f aca="false">IF(AND(J2091=1,N(I2091)&gt;0),SUMIF($K$2:$K$5001,"&gt;="&amp;K2091,$I$2:$I$5001)/MAX(1,SUM($H$2:$H$5001)),"")</f>
        <v/>
      </c>
      <c r="M2091" s="47" t="str">
        <f aca="false">IF($A2091="","",INDEX($L$2:$L$5001,MATCH($A2091,$A$2:$A$5001,0)))</f>
        <v/>
      </c>
      <c r="N2091" s="48" t="str">
        <f aca="false">IF($A2091="","",IF(N(M2091)=0,"–",IF(M2091&lt;=Start!$D$20,"A",IF(M2091&lt;=Start!$D$21,"B","C"))))</f>
        <v/>
      </c>
      <c r="O2091" s="48" t="str">
        <f aca="false">IF($A2091="","",IF(NOT(ISNUMBER(F2091)),"Wert fehlt; ",IF(F2091&lt;=0,"Wert ist 0; ",""))&amp;IF(NOT(ISNUMBER(E2091)),"Bestand fehlt; ",IF(E2091&lt;0,"Bestand negativ; ",IF(E2091=0,"Nullbestand; ","")))&amp;IF(D2091="","Warengruppe fehlt; ","")&amp;IF(B2091="","Bezeichnung fehlt; ","")&amp;IF(COUNTIFS($A$2:$A$5001,$A2091,$C$2:$C$5001,C2091)&gt;1,"Artikel doppelt im selben Lager; ",""))</f>
        <v/>
      </c>
      <c r="P2091" s="47" t="n">
        <f aca="false">IF(OR($A2091="",D2091=""),0,IF(COUNTIF($D$2:D2091,D2091)=1,SUMIF($D$2:$D$5001,D2091,$H$2:$H$5001)+ROW()/10000000,0))</f>
        <v>0</v>
      </c>
      <c r="Q2091" s="47" t="n">
        <f aca="false">IF(OR($A2091="",C2091=""),0,IF(COUNTIF($C$2:C2091,C2091)=1,SUMIF($C$2:$C$5001,C2091,$H$2:$H$5001)+ROW()/10000000,0))</f>
        <v>0</v>
      </c>
    </row>
    <row r="2092" customFormat="false" ht="15" hidden="false" customHeight="false" outlineLevel="0" collapsed="false">
      <c r="A2092" s="43"/>
      <c r="B2092" s="44"/>
      <c r="C2092" s="44"/>
      <c r="D2092" s="44"/>
      <c r="E2092" s="44"/>
      <c r="F2092" s="44"/>
      <c r="G2092" s="44"/>
      <c r="H2092" s="46" t="str">
        <f aca="false">IF($A2092="","",IF(OR(NOT(ISNUMBER(E2092)),NOT(ISNUMBER(F2092))),"",MAX(0,E2092)*F2092))</f>
        <v/>
      </c>
      <c r="I2092" s="46" t="str">
        <f aca="false">IF($A2092="","",SUMIF($A$2:$A$5001,$A2092,$H$2:$H$5001))</f>
        <v/>
      </c>
      <c r="J2092" s="47" t="n">
        <f aca="false">IF($A2092="",0,IF(COUNTIF($A$2:A2092,$A2092)=1,1,0))</f>
        <v>0</v>
      </c>
      <c r="K2092" s="47" t="n">
        <f aca="false">IF(J2092=1,N(I2092)+ROW()/10000000,0)</f>
        <v>0</v>
      </c>
      <c r="L2092" s="47" t="str">
        <f aca="false">IF(AND(J2092=1,N(I2092)&gt;0),SUMIF($K$2:$K$5001,"&gt;="&amp;K2092,$I$2:$I$5001)/MAX(1,SUM($H$2:$H$5001)),"")</f>
        <v/>
      </c>
      <c r="M2092" s="47" t="str">
        <f aca="false">IF($A2092="","",INDEX($L$2:$L$5001,MATCH($A2092,$A$2:$A$5001,0)))</f>
        <v/>
      </c>
      <c r="N2092" s="48" t="str">
        <f aca="false">IF($A2092="","",IF(N(M2092)=0,"–",IF(M2092&lt;=Start!$D$20,"A",IF(M2092&lt;=Start!$D$21,"B","C"))))</f>
        <v/>
      </c>
      <c r="O2092" s="48" t="str">
        <f aca="false">IF($A2092="","",IF(NOT(ISNUMBER(F2092)),"Wert fehlt; ",IF(F2092&lt;=0,"Wert ist 0; ",""))&amp;IF(NOT(ISNUMBER(E2092)),"Bestand fehlt; ",IF(E2092&lt;0,"Bestand negativ; ",IF(E2092=0,"Nullbestand; ","")))&amp;IF(D2092="","Warengruppe fehlt; ","")&amp;IF(B2092="","Bezeichnung fehlt; ","")&amp;IF(COUNTIFS($A$2:$A$5001,$A2092,$C$2:$C$5001,C2092)&gt;1,"Artikel doppelt im selben Lager; ",""))</f>
        <v/>
      </c>
      <c r="P2092" s="47" t="n">
        <f aca="false">IF(OR($A2092="",D2092=""),0,IF(COUNTIF($D$2:D2092,D2092)=1,SUMIF($D$2:$D$5001,D2092,$H$2:$H$5001)+ROW()/10000000,0))</f>
        <v>0</v>
      </c>
      <c r="Q2092" s="47" t="n">
        <f aca="false">IF(OR($A2092="",C2092=""),0,IF(COUNTIF($C$2:C2092,C2092)=1,SUMIF($C$2:$C$5001,C2092,$H$2:$H$5001)+ROW()/10000000,0))</f>
        <v>0</v>
      </c>
    </row>
    <row r="2093" customFormat="false" ht="15" hidden="false" customHeight="false" outlineLevel="0" collapsed="false">
      <c r="A2093" s="43"/>
      <c r="B2093" s="44"/>
      <c r="C2093" s="44"/>
      <c r="D2093" s="44"/>
      <c r="E2093" s="44"/>
      <c r="F2093" s="44"/>
      <c r="G2093" s="44"/>
      <c r="H2093" s="46" t="str">
        <f aca="false">IF($A2093="","",IF(OR(NOT(ISNUMBER(E2093)),NOT(ISNUMBER(F2093))),"",MAX(0,E2093)*F2093))</f>
        <v/>
      </c>
      <c r="I2093" s="46" t="str">
        <f aca="false">IF($A2093="","",SUMIF($A$2:$A$5001,$A2093,$H$2:$H$5001))</f>
        <v/>
      </c>
      <c r="J2093" s="47" t="n">
        <f aca="false">IF($A2093="",0,IF(COUNTIF($A$2:A2093,$A2093)=1,1,0))</f>
        <v>0</v>
      </c>
      <c r="K2093" s="47" t="n">
        <f aca="false">IF(J2093=1,N(I2093)+ROW()/10000000,0)</f>
        <v>0</v>
      </c>
      <c r="L2093" s="47" t="str">
        <f aca="false">IF(AND(J2093=1,N(I2093)&gt;0),SUMIF($K$2:$K$5001,"&gt;="&amp;K2093,$I$2:$I$5001)/MAX(1,SUM($H$2:$H$5001)),"")</f>
        <v/>
      </c>
      <c r="M2093" s="47" t="str">
        <f aca="false">IF($A2093="","",INDEX($L$2:$L$5001,MATCH($A2093,$A$2:$A$5001,0)))</f>
        <v/>
      </c>
      <c r="N2093" s="48" t="str">
        <f aca="false">IF($A2093="","",IF(N(M2093)=0,"–",IF(M2093&lt;=Start!$D$20,"A",IF(M2093&lt;=Start!$D$21,"B","C"))))</f>
        <v/>
      </c>
      <c r="O2093" s="48" t="str">
        <f aca="false">IF($A2093="","",IF(NOT(ISNUMBER(F2093)),"Wert fehlt; ",IF(F2093&lt;=0,"Wert ist 0; ",""))&amp;IF(NOT(ISNUMBER(E2093)),"Bestand fehlt; ",IF(E2093&lt;0,"Bestand negativ; ",IF(E2093=0,"Nullbestand; ","")))&amp;IF(D2093="","Warengruppe fehlt; ","")&amp;IF(B2093="","Bezeichnung fehlt; ","")&amp;IF(COUNTIFS($A$2:$A$5001,$A2093,$C$2:$C$5001,C2093)&gt;1,"Artikel doppelt im selben Lager; ",""))</f>
        <v/>
      </c>
      <c r="P2093" s="47" t="n">
        <f aca="false">IF(OR($A2093="",D2093=""),0,IF(COUNTIF($D$2:D2093,D2093)=1,SUMIF($D$2:$D$5001,D2093,$H$2:$H$5001)+ROW()/10000000,0))</f>
        <v>0</v>
      </c>
      <c r="Q2093" s="47" t="n">
        <f aca="false">IF(OR($A2093="",C2093=""),0,IF(COUNTIF($C$2:C2093,C2093)=1,SUMIF($C$2:$C$5001,C2093,$H$2:$H$5001)+ROW()/10000000,0))</f>
        <v>0</v>
      </c>
    </row>
    <row r="2094" customFormat="false" ht="15" hidden="false" customHeight="false" outlineLevel="0" collapsed="false">
      <c r="A2094" s="43"/>
      <c r="B2094" s="44"/>
      <c r="C2094" s="44"/>
      <c r="D2094" s="44"/>
      <c r="E2094" s="44"/>
      <c r="F2094" s="44"/>
      <c r="G2094" s="44"/>
      <c r="H2094" s="46" t="str">
        <f aca="false">IF($A2094="","",IF(OR(NOT(ISNUMBER(E2094)),NOT(ISNUMBER(F2094))),"",MAX(0,E2094)*F2094))</f>
        <v/>
      </c>
      <c r="I2094" s="46" t="str">
        <f aca="false">IF($A2094="","",SUMIF($A$2:$A$5001,$A2094,$H$2:$H$5001))</f>
        <v/>
      </c>
      <c r="J2094" s="47" t="n">
        <f aca="false">IF($A2094="",0,IF(COUNTIF($A$2:A2094,$A2094)=1,1,0))</f>
        <v>0</v>
      </c>
      <c r="K2094" s="47" t="n">
        <f aca="false">IF(J2094=1,N(I2094)+ROW()/10000000,0)</f>
        <v>0</v>
      </c>
      <c r="L2094" s="47" t="str">
        <f aca="false">IF(AND(J2094=1,N(I2094)&gt;0),SUMIF($K$2:$K$5001,"&gt;="&amp;K2094,$I$2:$I$5001)/MAX(1,SUM($H$2:$H$5001)),"")</f>
        <v/>
      </c>
      <c r="M2094" s="47" t="str">
        <f aca="false">IF($A2094="","",INDEX($L$2:$L$5001,MATCH($A2094,$A$2:$A$5001,0)))</f>
        <v/>
      </c>
      <c r="N2094" s="48" t="str">
        <f aca="false">IF($A2094="","",IF(N(M2094)=0,"–",IF(M2094&lt;=Start!$D$20,"A",IF(M2094&lt;=Start!$D$21,"B","C"))))</f>
        <v/>
      </c>
      <c r="O2094" s="48" t="str">
        <f aca="false">IF($A2094="","",IF(NOT(ISNUMBER(F2094)),"Wert fehlt; ",IF(F2094&lt;=0,"Wert ist 0; ",""))&amp;IF(NOT(ISNUMBER(E2094)),"Bestand fehlt; ",IF(E2094&lt;0,"Bestand negativ; ",IF(E2094=0,"Nullbestand; ","")))&amp;IF(D2094="","Warengruppe fehlt; ","")&amp;IF(B2094="","Bezeichnung fehlt; ","")&amp;IF(COUNTIFS($A$2:$A$5001,$A2094,$C$2:$C$5001,C2094)&gt;1,"Artikel doppelt im selben Lager; ",""))</f>
        <v/>
      </c>
      <c r="P2094" s="47" t="n">
        <f aca="false">IF(OR($A2094="",D2094=""),0,IF(COUNTIF($D$2:D2094,D2094)=1,SUMIF($D$2:$D$5001,D2094,$H$2:$H$5001)+ROW()/10000000,0))</f>
        <v>0</v>
      </c>
      <c r="Q2094" s="47" t="n">
        <f aca="false">IF(OR($A2094="",C2094=""),0,IF(COUNTIF($C$2:C2094,C2094)=1,SUMIF($C$2:$C$5001,C2094,$H$2:$H$5001)+ROW()/10000000,0))</f>
        <v>0</v>
      </c>
    </row>
    <row r="2095" customFormat="false" ht="15" hidden="false" customHeight="false" outlineLevel="0" collapsed="false">
      <c r="A2095" s="43"/>
      <c r="B2095" s="44"/>
      <c r="C2095" s="44"/>
      <c r="D2095" s="44"/>
      <c r="E2095" s="44"/>
      <c r="F2095" s="44"/>
      <c r="G2095" s="44"/>
      <c r="H2095" s="46" t="str">
        <f aca="false">IF($A2095="","",IF(OR(NOT(ISNUMBER(E2095)),NOT(ISNUMBER(F2095))),"",MAX(0,E2095)*F2095))</f>
        <v/>
      </c>
      <c r="I2095" s="46" t="str">
        <f aca="false">IF($A2095="","",SUMIF($A$2:$A$5001,$A2095,$H$2:$H$5001))</f>
        <v/>
      </c>
      <c r="J2095" s="47" t="n">
        <f aca="false">IF($A2095="",0,IF(COUNTIF($A$2:A2095,$A2095)=1,1,0))</f>
        <v>0</v>
      </c>
      <c r="K2095" s="47" t="n">
        <f aca="false">IF(J2095=1,N(I2095)+ROW()/10000000,0)</f>
        <v>0</v>
      </c>
      <c r="L2095" s="47" t="str">
        <f aca="false">IF(AND(J2095=1,N(I2095)&gt;0),SUMIF($K$2:$K$5001,"&gt;="&amp;K2095,$I$2:$I$5001)/MAX(1,SUM($H$2:$H$5001)),"")</f>
        <v/>
      </c>
      <c r="M2095" s="47" t="str">
        <f aca="false">IF($A2095="","",INDEX($L$2:$L$5001,MATCH($A2095,$A$2:$A$5001,0)))</f>
        <v/>
      </c>
      <c r="N2095" s="48" t="str">
        <f aca="false">IF($A2095="","",IF(N(M2095)=0,"–",IF(M2095&lt;=Start!$D$20,"A",IF(M2095&lt;=Start!$D$21,"B","C"))))</f>
        <v/>
      </c>
      <c r="O2095" s="48" t="str">
        <f aca="false">IF($A2095="","",IF(NOT(ISNUMBER(F2095)),"Wert fehlt; ",IF(F2095&lt;=0,"Wert ist 0; ",""))&amp;IF(NOT(ISNUMBER(E2095)),"Bestand fehlt; ",IF(E2095&lt;0,"Bestand negativ; ",IF(E2095=0,"Nullbestand; ","")))&amp;IF(D2095="","Warengruppe fehlt; ","")&amp;IF(B2095="","Bezeichnung fehlt; ","")&amp;IF(COUNTIFS($A$2:$A$5001,$A2095,$C$2:$C$5001,C2095)&gt;1,"Artikel doppelt im selben Lager; ",""))</f>
        <v/>
      </c>
      <c r="P2095" s="47" t="n">
        <f aca="false">IF(OR($A2095="",D2095=""),0,IF(COUNTIF($D$2:D2095,D2095)=1,SUMIF($D$2:$D$5001,D2095,$H$2:$H$5001)+ROW()/10000000,0))</f>
        <v>0</v>
      </c>
      <c r="Q2095" s="47" t="n">
        <f aca="false">IF(OR($A2095="",C2095=""),0,IF(COUNTIF($C$2:C2095,C2095)=1,SUMIF($C$2:$C$5001,C2095,$H$2:$H$5001)+ROW()/10000000,0))</f>
        <v>0</v>
      </c>
    </row>
    <row r="2096" customFormat="false" ht="15" hidden="false" customHeight="false" outlineLevel="0" collapsed="false">
      <c r="A2096" s="43"/>
      <c r="B2096" s="44"/>
      <c r="C2096" s="44"/>
      <c r="D2096" s="44"/>
      <c r="E2096" s="44"/>
      <c r="F2096" s="44"/>
      <c r="G2096" s="44"/>
      <c r="H2096" s="46" t="str">
        <f aca="false">IF($A2096="","",IF(OR(NOT(ISNUMBER(E2096)),NOT(ISNUMBER(F2096))),"",MAX(0,E2096)*F2096))</f>
        <v/>
      </c>
      <c r="I2096" s="46" t="str">
        <f aca="false">IF($A2096="","",SUMIF($A$2:$A$5001,$A2096,$H$2:$H$5001))</f>
        <v/>
      </c>
      <c r="J2096" s="47" t="n">
        <f aca="false">IF($A2096="",0,IF(COUNTIF($A$2:A2096,$A2096)=1,1,0))</f>
        <v>0</v>
      </c>
      <c r="K2096" s="47" t="n">
        <f aca="false">IF(J2096=1,N(I2096)+ROW()/10000000,0)</f>
        <v>0</v>
      </c>
      <c r="L2096" s="47" t="str">
        <f aca="false">IF(AND(J2096=1,N(I2096)&gt;0),SUMIF($K$2:$K$5001,"&gt;="&amp;K2096,$I$2:$I$5001)/MAX(1,SUM($H$2:$H$5001)),"")</f>
        <v/>
      </c>
      <c r="M2096" s="47" t="str">
        <f aca="false">IF($A2096="","",INDEX($L$2:$L$5001,MATCH($A2096,$A$2:$A$5001,0)))</f>
        <v/>
      </c>
      <c r="N2096" s="48" t="str">
        <f aca="false">IF($A2096="","",IF(N(M2096)=0,"–",IF(M2096&lt;=Start!$D$20,"A",IF(M2096&lt;=Start!$D$21,"B","C"))))</f>
        <v/>
      </c>
      <c r="O2096" s="48" t="str">
        <f aca="false">IF($A2096="","",IF(NOT(ISNUMBER(F2096)),"Wert fehlt; ",IF(F2096&lt;=0,"Wert ist 0; ",""))&amp;IF(NOT(ISNUMBER(E2096)),"Bestand fehlt; ",IF(E2096&lt;0,"Bestand negativ; ",IF(E2096=0,"Nullbestand; ","")))&amp;IF(D2096="","Warengruppe fehlt; ","")&amp;IF(B2096="","Bezeichnung fehlt; ","")&amp;IF(COUNTIFS($A$2:$A$5001,$A2096,$C$2:$C$5001,C2096)&gt;1,"Artikel doppelt im selben Lager; ",""))</f>
        <v/>
      </c>
      <c r="P2096" s="47" t="n">
        <f aca="false">IF(OR($A2096="",D2096=""),0,IF(COUNTIF($D$2:D2096,D2096)=1,SUMIF($D$2:$D$5001,D2096,$H$2:$H$5001)+ROW()/10000000,0))</f>
        <v>0</v>
      </c>
      <c r="Q2096" s="47" t="n">
        <f aca="false">IF(OR($A2096="",C2096=""),0,IF(COUNTIF($C$2:C2096,C2096)=1,SUMIF($C$2:$C$5001,C2096,$H$2:$H$5001)+ROW()/10000000,0))</f>
        <v>0</v>
      </c>
    </row>
    <row r="2097" customFormat="false" ht="15" hidden="false" customHeight="false" outlineLevel="0" collapsed="false">
      <c r="A2097" s="43"/>
      <c r="B2097" s="44"/>
      <c r="C2097" s="44"/>
      <c r="D2097" s="44"/>
      <c r="E2097" s="44"/>
      <c r="F2097" s="44"/>
      <c r="G2097" s="44"/>
      <c r="H2097" s="46" t="str">
        <f aca="false">IF($A2097="","",IF(OR(NOT(ISNUMBER(E2097)),NOT(ISNUMBER(F2097))),"",MAX(0,E2097)*F2097))</f>
        <v/>
      </c>
      <c r="I2097" s="46" t="str">
        <f aca="false">IF($A2097="","",SUMIF($A$2:$A$5001,$A2097,$H$2:$H$5001))</f>
        <v/>
      </c>
      <c r="J2097" s="47" t="n">
        <f aca="false">IF($A2097="",0,IF(COUNTIF($A$2:A2097,$A2097)=1,1,0))</f>
        <v>0</v>
      </c>
      <c r="K2097" s="47" t="n">
        <f aca="false">IF(J2097=1,N(I2097)+ROW()/10000000,0)</f>
        <v>0</v>
      </c>
      <c r="L2097" s="47" t="str">
        <f aca="false">IF(AND(J2097=1,N(I2097)&gt;0),SUMIF($K$2:$K$5001,"&gt;="&amp;K2097,$I$2:$I$5001)/MAX(1,SUM($H$2:$H$5001)),"")</f>
        <v/>
      </c>
      <c r="M2097" s="47" t="str">
        <f aca="false">IF($A2097="","",INDEX($L$2:$L$5001,MATCH($A2097,$A$2:$A$5001,0)))</f>
        <v/>
      </c>
      <c r="N2097" s="48" t="str">
        <f aca="false">IF($A2097="","",IF(N(M2097)=0,"–",IF(M2097&lt;=Start!$D$20,"A",IF(M2097&lt;=Start!$D$21,"B","C"))))</f>
        <v/>
      </c>
      <c r="O2097" s="48" t="str">
        <f aca="false">IF($A2097="","",IF(NOT(ISNUMBER(F2097)),"Wert fehlt; ",IF(F2097&lt;=0,"Wert ist 0; ",""))&amp;IF(NOT(ISNUMBER(E2097)),"Bestand fehlt; ",IF(E2097&lt;0,"Bestand negativ; ",IF(E2097=0,"Nullbestand; ","")))&amp;IF(D2097="","Warengruppe fehlt; ","")&amp;IF(B2097="","Bezeichnung fehlt; ","")&amp;IF(COUNTIFS($A$2:$A$5001,$A2097,$C$2:$C$5001,C2097)&gt;1,"Artikel doppelt im selben Lager; ",""))</f>
        <v/>
      </c>
      <c r="P2097" s="47" t="n">
        <f aca="false">IF(OR($A2097="",D2097=""),0,IF(COUNTIF($D$2:D2097,D2097)=1,SUMIF($D$2:$D$5001,D2097,$H$2:$H$5001)+ROW()/10000000,0))</f>
        <v>0</v>
      </c>
      <c r="Q2097" s="47" t="n">
        <f aca="false">IF(OR($A2097="",C2097=""),0,IF(COUNTIF($C$2:C2097,C2097)=1,SUMIF($C$2:$C$5001,C2097,$H$2:$H$5001)+ROW()/10000000,0))</f>
        <v>0</v>
      </c>
    </row>
    <row r="2098" customFormat="false" ht="15" hidden="false" customHeight="false" outlineLevel="0" collapsed="false">
      <c r="A2098" s="43"/>
      <c r="B2098" s="44"/>
      <c r="C2098" s="44"/>
      <c r="D2098" s="44"/>
      <c r="E2098" s="44"/>
      <c r="F2098" s="44"/>
      <c r="G2098" s="44"/>
      <c r="H2098" s="46" t="str">
        <f aca="false">IF($A2098="","",IF(OR(NOT(ISNUMBER(E2098)),NOT(ISNUMBER(F2098))),"",MAX(0,E2098)*F2098))</f>
        <v/>
      </c>
      <c r="I2098" s="46" t="str">
        <f aca="false">IF($A2098="","",SUMIF($A$2:$A$5001,$A2098,$H$2:$H$5001))</f>
        <v/>
      </c>
      <c r="J2098" s="47" t="n">
        <f aca="false">IF($A2098="",0,IF(COUNTIF($A$2:A2098,$A2098)=1,1,0))</f>
        <v>0</v>
      </c>
      <c r="K2098" s="47" t="n">
        <f aca="false">IF(J2098=1,N(I2098)+ROW()/10000000,0)</f>
        <v>0</v>
      </c>
      <c r="L2098" s="47" t="str">
        <f aca="false">IF(AND(J2098=1,N(I2098)&gt;0),SUMIF($K$2:$K$5001,"&gt;="&amp;K2098,$I$2:$I$5001)/MAX(1,SUM($H$2:$H$5001)),"")</f>
        <v/>
      </c>
      <c r="M2098" s="47" t="str">
        <f aca="false">IF($A2098="","",INDEX($L$2:$L$5001,MATCH($A2098,$A$2:$A$5001,0)))</f>
        <v/>
      </c>
      <c r="N2098" s="48" t="str">
        <f aca="false">IF($A2098="","",IF(N(M2098)=0,"–",IF(M2098&lt;=Start!$D$20,"A",IF(M2098&lt;=Start!$D$21,"B","C"))))</f>
        <v/>
      </c>
      <c r="O2098" s="48" t="str">
        <f aca="false">IF($A2098="","",IF(NOT(ISNUMBER(F2098)),"Wert fehlt; ",IF(F2098&lt;=0,"Wert ist 0; ",""))&amp;IF(NOT(ISNUMBER(E2098)),"Bestand fehlt; ",IF(E2098&lt;0,"Bestand negativ; ",IF(E2098=0,"Nullbestand; ","")))&amp;IF(D2098="","Warengruppe fehlt; ","")&amp;IF(B2098="","Bezeichnung fehlt; ","")&amp;IF(COUNTIFS($A$2:$A$5001,$A2098,$C$2:$C$5001,C2098)&gt;1,"Artikel doppelt im selben Lager; ",""))</f>
        <v/>
      </c>
      <c r="P2098" s="47" t="n">
        <f aca="false">IF(OR($A2098="",D2098=""),0,IF(COUNTIF($D$2:D2098,D2098)=1,SUMIF($D$2:$D$5001,D2098,$H$2:$H$5001)+ROW()/10000000,0))</f>
        <v>0</v>
      </c>
      <c r="Q2098" s="47" t="n">
        <f aca="false">IF(OR($A2098="",C2098=""),0,IF(COUNTIF($C$2:C2098,C2098)=1,SUMIF($C$2:$C$5001,C2098,$H$2:$H$5001)+ROW()/10000000,0))</f>
        <v>0</v>
      </c>
    </row>
    <row r="2099" customFormat="false" ht="15" hidden="false" customHeight="false" outlineLevel="0" collapsed="false">
      <c r="A2099" s="43"/>
      <c r="B2099" s="44"/>
      <c r="C2099" s="44"/>
      <c r="D2099" s="44"/>
      <c r="E2099" s="44"/>
      <c r="F2099" s="44"/>
      <c r="G2099" s="44"/>
      <c r="H2099" s="46" t="str">
        <f aca="false">IF($A2099="","",IF(OR(NOT(ISNUMBER(E2099)),NOT(ISNUMBER(F2099))),"",MAX(0,E2099)*F2099))</f>
        <v/>
      </c>
      <c r="I2099" s="46" t="str">
        <f aca="false">IF($A2099="","",SUMIF($A$2:$A$5001,$A2099,$H$2:$H$5001))</f>
        <v/>
      </c>
      <c r="J2099" s="47" t="n">
        <f aca="false">IF($A2099="",0,IF(COUNTIF($A$2:A2099,$A2099)=1,1,0))</f>
        <v>0</v>
      </c>
      <c r="K2099" s="47" t="n">
        <f aca="false">IF(J2099=1,N(I2099)+ROW()/10000000,0)</f>
        <v>0</v>
      </c>
      <c r="L2099" s="47" t="str">
        <f aca="false">IF(AND(J2099=1,N(I2099)&gt;0),SUMIF($K$2:$K$5001,"&gt;="&amp;K2099,$I$2:$I$5001)/MAX(1,SUM($H$2:$H$5001)),"")</f>
        <v/>
      </c>
      <c r="M2099" s="47" t="str">
        <f aca="false">IF($A2099="","",INDEX($L$2:$L$5001,MATCH($A2099,$A$2:$A$5001,0)))</f>
        <v/>
      </c>
      <c r="N2099" s="48" t="str">
        <f aca="false">IF($A2099="","",IF(N(M2099)=0,"–",IF(M2099&lt;=Start!$D$20,"A",IF(M2099&lt;=Start!$D$21,"B","C"))))</f>
        <v/>
      </c>
      <c r="O2099" s="48" t="str">
        <f aca="false">IF($A2099="","",IF(NOT(ISNUMBER(F2099)),"Wert fehlt; ",IF(F2099&lt;=0,"Wert ist 0; ",""))&amp;IF(NOT(ISNUMBER(E2099)),"Bestand fehlt; ",IF(E2099&lt;0,"Bestand negativ; ",IF(E2099=0,"Nullbestand; ","")))&amp;IF(D2099="","Warengruppe fehlt; ","")&amp;IF(B2099="","Bezeichnung fehlt; ","")&amp;IF(COUNTIFS($A$2:$A$5001,$A2099,$C$2:$C$5001,C2099)&gt;1,"Artikel doppelt im selben Lager; ",""))</f>
        <v/>
      </c>
      <c r="P2099" s="47" t="n">
        <f aca="false">IF(OR($A2099="",D2099=""),0,IF(COUNTIF($D$2:D2099,D2099)=1,SUMIF($D$2:$D$5001,D2099,$H$2:$H$5001)+ROW()/10000000,0))</f>
        <v>0</v>
      </c>
      <c r="Q2099" s="47" t="n">
        <f aca="false">IF(OR($A2099="",C2099=""),0,IF(COUNTIF($C$2:C2099,C2099)=1,SUMIF($C$2:$C$5001,C2099,$H$2:$H$5001)+ROW()/10000000,0))</f>
        <v>0</v>
      </c>
    </row>
    <row r="2100" customFormat="false" ht="15" hidden="false" customHeight="false" outlineLevel="0" collapsed="false">
      <c r="A2100" s="43"/>
      <c r="B2100" s="44"/>
      <c r="C2100" s="44"/>
      <c r="D2100" s="44"/>
      <c r="E2100" s="44"/>
      <c r="F2100" s="44"/>
      <c r="G2100" s="44"/>
      <c r="H2100" s="46" t="str">
        <f aca="false">IF($A2100="","",IF(OR(NOT(ISNUMBER(E2100)),NOT(ISNUMBER(F2100))),"",MAX(0,E2100)*F2100))</f>
        <v/>
      </c>
      <c r="I2100" s="46" t="str">
        <f aca="false">IF($A2100="","",SUMIF($A$2:$A$5001,$A2100,$H$2:$H$5001))</f>
        <v/>
      </c>
      <c r="J2100" s="47" t="n">
        <f aca="false">IF($A2100="",0,IF(COUNTIF($A$2:A2100,$A2100)=1,1,0))</f>
        <v>0</v>
      </c>
      <c r="K2100" s="47" t="n">
        <f aca="false">IF(J2100=1,N(I2100)+ROW()/10000000,0)</f>
        <v>0</v>
      </c>
      <c r="L2100" s="47" t="str">
        <f aca="false">IF(AND(J2100=1,N(I2100)&gt;0),SUMIF($K$2:$K$5001,"&gt;="&amp;K2100,$I$2:$I$5001)/MAX(1,SUM($H$2:$H$5001)),"")</f>
        <v/>
      </c>
      <c r="M2100" s="47" t="str">
        <f aca="false">IF($A2100="","",INDEX($L$2:$L$5001,MATCH($A2100,$A$2:$A$5001,0)))</f>
        <v/>
      </c>
      <c r="N2100" s="48" t="str">
        <f aca="false">IF($A2100="","",IF(N(M2100)=0,"–",IF(M2100&lt;=Start!$D$20,"A",IF(M2100&lt;=Start!$D$21,"B","C"))))</f>
        <v/>
      </c>
      <c r="O2100" s="48" t="str">
        <f aca="false">IF($A2100="","",IF(NOT(ISNUMBER(F2100)),"Wert fehlt; ",IF(F2100&lt;=0,"Wert ist 0; ",""))&amp;IF(NOT(ISNUMBER(E2100)),"Bestand fehlt; ",IF(E2100&lt;0,"Bestand negativ; ",IF(E2100=0,"Nullbestand; ","")))&amp;IF(D2100="","Warengruppe fehlt; ","")&amp;IF(B2100="","Bezeichnung fehlt; ","")&amp;IF(COUNTIFS($A$2:$A$5001,$A2100,$C$2:$C$5001,C2100)&gt;1,"Artikel doppelt im selben Lager; ",""))</f>
        <v/>
      </c>
      <c r="P2100" s="47" t="n">
        <f aca="false">IF(OR($A2100="",D2100=""),0,IF(COUNTIF($D$2:D2100,D2100)=1,SUMIF($D$2:$D$5001,D2100,$H$2:$H$5001)+ROW()/10000000,0))</f>
        <v>0</v>
      </c>
      <c r="Q2100" s="47" t="n">
        <f aca="false">IF(OR($A2100="",C2100=""),0,IF(COUNTIF($C$2:C2100,C2100)=1,SUMIF($C$2:$C$5001,C2100,$H$2:$H$5001)+ROW()/10000000,0))</f>
        <v>0</v>
      </c>
    </row>
    <row r="2101" customFormat="false" ht="15" hidden="false" customHeight="false" outlineLevel="0" collapsed="false">
      <c r="A2101" s="43"/>
      <c r="B2101" s="44"/>
      <c r="C2101" s="44"/>
      <c r="D2101" s="44"/>
      <c r="E2101" s="44"/>
      <c r="F2101" s="44"/>
      <c r="G2101" s="44"/>
      <c r="H2101" s="46" t="str">
        <f aca="false">IF($A2101="","",IF(OR(NOT(ISNUMBER(E2101)),NOT(ISNUMBER(F2101))),"",MAX(0,E2101)*F2101))</f>
        <v/>
      </c>
      <c r="I2101" s="46" t="str">
        <f aca="false">IF($A2101="","",SUMIF($A$2:$A$5001,$A2101,$H$2:$H$5001))</f>
        <v/>
      </c>
      <c r="J2101" s="47" t="n">
        <f aca="false">IF($A2101="",0,IF(COUNTIF($A$2:A2101,$A2101)=1,1,0))</f>
        <v>0</v>
      </c>
      <c r="K2101" s="47" t="n">
        <f aca="false">IF(J2101=1,N(I2101)+ROW()/10000000,0)</f>
        <v>0</v>
      </c>
      <c r="L2101" s="47" t="str">
        <f aca="false">IF(AND(J2101=1,N(I2101)&gt;0),SUMIF($K$2:$K$5001,"&gt;="&amp;K2101,$I$2:$I$5001)/MAX(1,SUM($H$2:$H$5001)),"")</f>
        <v/>
      </c>
      <c r="M2101" s="47" t="str">
        <f aca="false">IF($A2101="","",INDEX($L$2:$L$5001,MATCH($A2101,$A$2:$A$5001,0)))</f>
        <v/>
      </c>
      <c r="N2101" s="48" t="str">
        <f aca="false">IF($A2101="","",IF(N(M2101)=0,"–",IF(M2101&lt;=Start!$D$20,"A",IF(M2101&lt;=Start!$D$21,"B","C"))))</f>
        <v/>
      </c>
      <c r="O2101" s="48" t="str">
        <f aca="false">IF($A2101="","",IF(NOT(ISNUMBER(F2101)),"Wert fehlt; ",IF(F2101&lt;=0,"Wert ist 0; ",""))&amp;IF(NOT(ISNUMBER(E2101)),"Bestand fehlt; ",IF(E2101&lt;0,"Bestand negativ; ",IF(E2101=0,"Nullbestand; ","")))&amp;IF(D2101="","Warengruppe fehlt; ","")&amp;IF(B2101="","Bezeichnung fehlt; ","")&amp;IF(COUNTIFS($A$2:$A$5001,$A2101,$C$2:$C$5001,C2101)&gt;1,"Artikel doppelt im selben Lager; ",""))</f>
        <v/>
      </c>
      <c r="P2101" s="47" t="n">
        <f aca="false">IF(OR($A2101="",D2101=""),0,IF(COUNTIF($D$2:D2101,D2101)=1,SUMIF($D$2:$D$5001,D2101,$H$2:$H$5001)+ROW()/10000000,0))</f>
        <v>0</v>
      </c>
      <c r="Q2101" s="47" t="n">
        <f aca="false">IF(OR($A2101="",C2101=""),0,IF(COUNTIF($C$2:C2101,C2101)=1,SUMIF($C$2:$C$5001,C2101,$H$2:$H$5001)+ROW()/10000000,0))</f>
        <v>0</v>
      </c>
    </row>
    <row r="2102" customFormat="false" ht="15" hidden="false" customHeight="false" outlineLevel="0" collapsed="false">
      <c r="A2102" s="43"/>
      <c r="B2102" s="44"/>
      <c r="C2102" s="44"/>
      <c r="D2102" s="44"/>
      <c r="E2102" s="44"/>
      <c r="F2102" s="44"/>
      <c r="G2102" s="44"/>
      <c r="H2102" s="46" t="str">
        <f aca="false">IF($A2102="","",IF(OR(NOT(ISNUMBER(E2102)),NOT(ISNUMBER(F2102))),"",MAX(0,E2102)*F2102))</f>
        <v/>
      </c>
      <c r="I2102" s="46" t="str">
        <f aca="false">IF($A2102="","",SUMIF($A$2:$A$5001,$A2102,$H$2:$H$5001))</f>
        <v/>
      </c>
      <c r="J2102" s="47" t="n">
        <f aca="false">IF($A2102="",0,IF(COUNTIF($A$2:A2102,$A2102)=1,1,0))</f>
        <v>0</v>
      </c>
      <c r="K2102" s="47" t="n">
        <f aca="false">IF(J2102=1,N(I2102)+ROW()/10000000,0)</f>
        <v>0</v>
      </c>
      <c r="L2102" s="47" t="str">
        <f aca="false">IF(AND(J2102=1,N(I2102)&gt;0),SUMIF($K$2:$K$5001,"&gt;="&amp;K2102,$I$2:$I$5001)/MAX(1,SUM($H$2:$H$5001)),"")</f>
        <v/>
      </c>
      <c r="M2102" s="47" t="str">
        <f aca="false">IF($A2102="","",INDEX($L$2:$L$5001,MATCH($A2102,$A$2:$A$5001,0)))</f>
        <v/>
      </c>
      <c r="N2102" s="48" t="str">
        <f aca="false">IF($A2102="","",IF(N(M2102)=0,"–",IF(M2102&lt;=Start!$D$20,"A",IF(M2102&lt;=Start!$D$21,"B","C"))))</f>
        <v/>
      </c>
      <c r="O2102" s="48" t="str">
        <f aca="false">IF($A2102="","",IF(NOT(ISNUMBER(F2102)),"Wert fehlt; ",IF(F2102&lt;=0,"Wert ist 0; ",""))&amp;IF(NOT(ISNUMBER(E2102)),"Bestand fehlt; ",IF(E2102&lt;0,"Bestand negativ; ",IF(E2102=0,"Nullbestand; ","")))&amp;IF(D2102="","Warengruppe fehlt; ","")&amp;IF(B2102="","Bezeichnung fehlt; ","")&amp;IF(COUNTIFS($A$2:$A$5001,$A2102,$C$2:$C$5001,C2102)&gt;1,"Artikel doppelt im selben Lager; ",""))</f>
        <v/>
      </c>
      <c r="P2102" s="47" t="n">
        <f aca="false">IF(OR($A2102="",D2102=""),0,IF(COUNTIF($D$2:D2102,D2102)=1,SUMIF($D$2:$D$5001,D2102,$H$2:$H$5001)+ROW()/10000000,0))</f>
        <v>0</v>
      </c>
      <c r="Q2102" s="47" t="n">
        <f aca="false">IF(OR($A2102="",C2102=""),0,IF(COUNTIF($C$2:C2102,C2102)=1,SUMIF($C$2:$C$5001,C2102,$H$2:$H$5001)+ROW()/10000000,0))</f>
        <v>0</v>
      </c>
    </row>
    <row r="2103" customFormat="false" ht="15" hidden="false" customHeight="false" outlineLevel="0" collapsed="false">
      <c r="A2103" s="43"/>
      <c r="B2103" s="44"/>
      <c r="C2103" s="44"/>
      <c r="D2103" s="44"/>
      <c r="E2103" s="44"/>
      <c r="F2103" s="44"/>
      <c r="G2103" s="44"/>
      <c r="H2103" s="46" t="str">
        <f aca="false">IF($A2103="","",IF(OR(NOT(ISNUMBER(E2103)),NOT(ISNUMBER(F2103))),"",MAX(0,E2103)*F2103))</f>
        <v/>
      </c>
      <c r="I2103" s="46" t="str">
        <f aca="false">IF($A2103="","",SUMIF($A$2:$A$5001,$A2103,$H$2:$H$5001))</f>
        <v/>
      </c>
      <c r="J2103" s="47" t="n">
        <f aca="false">IF($A2103="",0,IF(COUNTIF($A$2:A2103,$A2103)=1,1,0))</f>
        <v>0</v>
      </c>
      <c r="K2103" s="47" t="n">
        <f aca="false">IF(J2103=1,N(I2103)+ROW()/10000000,0)</f>
        <v>0</v>
      </c>
      <c r="L2103" s="47" t="str">
        <f aca="false">IF(AND(J2103=1,N(I2103)&gt;0),SUMIF($K$2:$K$5001,"&gt;="&amp;K2103,$I$2:$I$5001)/MAX(1,SUM($H$2:$H$5001)),"")</f>
        <v/>
      </c>
      <c r="M2103" s="47" t="str">
        <f aca="false">IF($A2103="","",INDEX($L$2:$L$5001,MATCH($A2103,$A$2:$A$5001,0)))</f>
        <v/>
      </c>
      <c r="N2103" s="48" t="str">
        <f aca="false">IF($A2103="","",IF(N(M2103)=0,"–",IF(M2103&lt;=Start!$D$20,"A",IF(M2103&lt;=Start!$D$21,"B","C"))))</f>
        <v/>
      </c>
      <c r="O2103" s="48" t="str">
        <f aca="false">IF($A2103="","",IF(NOT(ISNUMBER(F2103)),"Wert fehlt; ",IF(F2103&lt;=0,"Wert ist 0; ",""))&amp;IF(NOT(ISNUMBER(E2103)),"Bestand fehlt; ",IF(E2103&lt;0,"Bestand negativ; ",IF(E2103=0,"Nullbestand; ","")))&amp;IF(D2103="","Warengruppe fehlt; ","")&amp;IF(B2103="","Bezeichnung fehlt; ","")&amp;IF(COUNTIFS($A$2:$A$5001,$A2103,$C$2:$C$5001,C2103)&gt;1,"Artikel doppelt im selben Lager; ",""))</f>
        <v/>
      </c>
      <c r="P2103" s="47" t="n">
        <f aca="false">IF(OR($A2103="",D2103=""),0,IF(COUNTIF($D$2:D2103,D2103)=1,SUMIF($D$2:$D$5001,D2103,$H$2:$H$5001)+ROW()/10000000,0))</f>
        <v>0</v>
      </c>
      <c r="Q2103" s="47" t="n">
        <f aca="false">IF(OR($A2103="",C2103=""),0,IF(COUNTIF($C$2:C2103,C2103)=1,SUMIF($C$2:$C$5001,C2103,$H$2:$H$5001)+ROW()/10000000,0))</f>
        <v>0</v>
      </c>
    </row>
    <row r="2104" customFormat="false" ht="15" hidden="false" customHeight="false" outlineLevel="0" collapsed="false">
      <c r="A2104" s="43"/>
      <c r="B2104" s="44"/>
      <c r="C2104" s="44"/>
      <c r="D2104" s="44"/>
      <c r="E2104" s="44"/>
      <c r="F2104" s="44"/>
      <c r="G2104" s="44"/>
      <c r="H2104" s="46" t="str">
        <f aca="false">IF($A2104="","",IF(OR(NOT(ISNUMBER(E2104)),NOT(ISNUMBER(F2104))),"",MAX(0,E2104)*F2104))</f>
        <v/>
      </c>
      <c r="I2104" s="46" t="str">
        <f aca="false">IF($A2104="","",SUMIF($A$2:$A$5001,$A2104,$H$2:$H$5001))</f>
        <v/>
      </c>
      <c r="J2104" s="47" t="n">
        <f aca="false">IF($A2104="",0,IF(COUNTIF($A$2:A2104,$A2104)=1,1,0))</f>
        <v>0</v>
      </c>
      <c r="K2104" s="47" t="n">
        <f aca="false">IF(J2104=1,N(I2104)+ROW()/10000000,0)</f>
        <v>0</v>
      </c>
      <c r="L2104" s="47" t="str">
        <f aca="false">IF(AND(J2104=1,N(I2104)&gt;0),SUMIF($K$2:$K$5001,"&gt;="&amp;K2104,$I$2:$I$5001)/MAX(1,SUM($H$2:$H$5001)),"")</f>
        <v/>
      </c>
      <c r="M2104" s="47" t="str">
        <f aca="false">IF($A2104="","",INDEX($L$2:$L$5001,MATCH($A2104,$A$2:$A$5001,0)))</f>
        <v/>
      </c>
      <c r="N2104" s="48" t="str">
        <f aca="false">IF($A2104="","",IF(N(M2104)=0,"–",IF(M2104&lt;=Start!$D$20,"A",IF(M2104&lt;=Start!$D$21,"B","C"))))</f>
        <v/>
      </c>
      <c r="O2104" s="48" t="str">
        <f aca="false">IF($A2104="","",IF(NOT(ISNUMBER(F2104)),"Wert fehlt; ",IF(F2104&lt;=0,"Wert ist 0; ",""))&amp;IF(NOT(ISNUMBER(E2104)),"Bestand fehlt; ",IF(E2104&lt;0,"Bestand negativ; ",IF(E2104=0,"Nullbestand; ","")))&amp;IF(D2104="","Warengruppe fehlt; ","")&amp;IF(B2104="","Bezeichnung fehlt; ","")&amp;IF(COUNTIFS($A$2:$A$5001,$A2104,$C$2:$C$5001,C2104)&gt;1,"Artikel doppelt im selben Lager; ",""))</f>
        <v/>
      </c>
      <c r="P2104" s="47" t="n">
        <f aca="false">IF(OR($A2104="",D2104=""),0,IF(COUNTIF($D$2:D2104,D2104)=1,SUMIF($D$2:$D$5001,D2104,$H$2:$H$5001)+ROW()/10000000,0))</f>
        <v>0</v>
      </c>
      <c r="Q2104" s="47" t="n">
        <f aca="false">IF(OR($A2104="",C2104=""),0,IF(COUNTIF($C$2:C2104,C2104)=1,SUMIF($C$2:$C$5001,C2104,$H$2:$H$5001)+ROW()/10000000,0))</f>
        <v>0</v>
      </c>
    </row>
    <row r="2105" customFormat="false" ht="15" hidden="false" customHeight="false" outlineLevel="0" collapsed="false">
      <c r="A2105" s="43"/>
      <c r="B2105" s="44"/>
      <c r="C2105" s="44"/>
      <c r="D2105" s="44"/>
      <c r="E2105" s="44"/>
      <c r="F2105" s="44"/>
      <c r="G2105" s="44"/>
      <c r="H2105" s="46" t="str">
        <f aca="false">IF($A2105="","",IF(OR(NOT(ISNUMBER(E2105)),NOT(ISNUMBER(F2105))),"",MAX(0,E2105)*F2105))</f>
        <v/>
      </c>
      <c r="I2105" s="46" t="str">
        <f aca="false">IF($A2105="","",SUMIF($A$2:$A$5001,$A2105,$H$2:$H$5001))</f>
        <v/>
      </c>
      <c r="J2105" s="47" t="n">
        <f aca="false">IF($A2105="",0,IF(COUNTIF($A$2:A2105,$A2105)=1,1,0))</f>
        <v>0</v>
      </c>
      <c r="K2105" s="47" t="n">
        <f aca="false">IF(J2105=1,N(I2105)+ROW()/10000000,0)</f>
        <v>0</v>
      </c>
      <c r="L2105" s="47" t="str">
        <f aca="false">IF(AND(J2105=1,N(I2105)&gt;0),SUMIF($K$2:$K$5001,"&gt;="&amp;K2105,$I$2:$I$5001)/MAX(1,SUM($H$2:$H$5001)),"")</f>
        <v/>
      </c>
      <c r="M2105" s="47" t="str">
        <f aca="false">IF($A2105="","",INDEX($L$2:$L$5001,MATCH($A2105,$A$2:$A$5001,0)))</f>
        <v/>
      </c>
      <c r="N2105" s="48" t="str">
        <f aca="false">IF($A2105="","",IF(N(M2105)=0,"–",IF(M2105&lt;=Start!$D$20,"A",IF(M2105&lt;=Start!$D$21,"B","C"))))</f>
        <v/>
      </c>
      <c r="O2105" s="48" t="str">
        <f aca="false">IF($A2105="","",IF(NOT(ISNUMBER(F2105)),"Wert fehlt; ",IF(F2105&lt;=0,"Wert ist 0; ",""))&amp;IF(NOT(ISNUMBER(E2105)),"Bestand fehlt; ",IF(E2105&lt;0,"Bestand negativ; ",IF(E2105=0,"Nullbestand; ","")))&amp;IF(D2105="","Warengruppe fehlt; ","")&amp;IF(B2105="","Bezeichnung fehlt; ","")&amp;IF(COUNTIFS($A$2:$A$5001,$A2105,$C$2:$C$5001,C2105)&gt;1,"Artikel doppelt im selben Lager; ",""))</f>
        <v/>
      </c>
      <c r="P2105" s="47" t="n">
        <f aca="false">IF(OR($A2105="",D2105=""),0,IF(COUNTIF($D$2:D2105,D2105)=1,SUMIF($D$2:$D$5001,D2105,$H$2:$H$5001)+ROW()/10000000,0))</f>
        <v>0</v>
      </c>
      <c r="Q2105" s="47" t="n">
        <f aca="false">IF(OR($A2105="",C2105=""),0,IF(COUNTIF($C$2:C2105,C2105)=1,SUMIF($C$2:$C$5001,C2105,$H$2:$H$5001)+ROW()/10000000,0))</f>
        <v>0</v>
      </c>
    </row>
    <row r="2106" customFormat="false" ht="15" hidden="false" customHeight="false" outlineLevel="0" collapsed="false">
      <c r="A2106" s="43"/>
      <c r="B2106" s="44"/>
      <c r="C2106" s="44"/>
      <c r="D2106" s="44"/>
      <c r="E2106" s="44"/>
      <c r="F2106" s="44"/>
      <c r="G2106" s="44"/>
      <c r="H2106" s="46" t="str">
        <f aca="false">IF($A2106="","",IF(OR(NOT(ISNUMBER(E2106)),NOT(ISNUMBER(F2106))),"",MAX(0,E2106)*F2106))</f>
        <v/>
      </c>
      <c r="I2106" s="46" t="str">
        <f aca="false">IF($A2106="","",SUMIF($A$2:$A$5001,$A2106,$H$2:$H$5001))</f>
        <v/>
      </c>
      <c r="J2106" s="47" t="n">
        <f aca="false">IF($A2106="",0,IF(COUNTIF($A$2:A2106,$A2106)=1,1,0))</f>
        <v>0</v>
      </c>
      <c r="K2106" s="47" t="n">
        <f aca="false">IF(J2106=1,N(I2106)+ROW()/10000000,0)</f>
        <v>0</v>
      </c>
      <c r="L2106" s="47" t="str">
        <f aca="false">IF(AND(J2106=1,N(I2106)&gt;0),SUMIF($K$2:$K$5001,"&gt;="&amp;K2106,$I$2:$I$5001)/MAX(1,SUM($H$2:$H$5001)),"")</f>
        <v/>
      </c>
      <c r="M2106" s="47" t="str">
        <f aca="false">IF($A2106="","",INDEX($L$2:$L$5001,MATCH($A2106,$A$2:$A$5001,0)))</f>
        <v/>
      </c>
      <c r="N2106" s="48" t="str">
        <f aca="false">IF($A2106="","",IF(N(M2106)=0,"–",IF(M2106&lt;=Start!$D$20,"A",IF(M2106&lt;=Start!$D$21,"B","C"))))</f>
        <v/>
      </c>
      <c r="O2106" s="48" t="str">
        <f aca="false">IF($A2106="","",IF(NOT(ISNUMBER(F2106)),"Wert fehlt; ",IF(F2106&lt;=0,"Wert ist 0; ",""))&amp;IF(NOT(ISNUMBER(E2106)),"Bestand fehlt; ",IF(E2106&lt;0,"Bestand negativ; ",IF(E2106=0,"Nullbestand; ","")))&amp;IF(D2106="","Warengruppe fehlt; ","")&amp;IF(B2106="","Bezeichnung fehlt; ","")&amp;IF(COUNTIFS($A$2:$A$5001,$A2106,$C$2:$C$5001,C2106)&gt;1,"Artikel doppelt im selben Lager; ",""))</f>
        <v/>
      </c>
      <c r="P2106" s="47" t="n">
        <f aca="false">IF(OR($A2106="",D2106=""),0,IF(COUNTIF($D$2:D2106,D2106)=1,SUMIF($D$2:$D$5001,D2106,$H$2:$H$5001)+ROW()/10000000,0))</f>
        <v>0</v>
      </c>
      <c r="Q2106" s="47" t="n">
        <f aca="false">IF(OR($A2106="",C2106=""),0,IF(COUNTIF($C$2:C2106,C2106)=1,SUMIF($C$2:$C$5001,C2106,$H$2:$H$5001)+ROW()/10000000,0))</f>
        <v>0</v>
      </c>
    </row>
    <row r="2107" customFormat="false" ht="15" hidden="false" customHeight="false" outlineLevel="0" collapsed="false">
      <c r="A2107" s="43"/>
      <c r="B2107" s="44"/>
      <c r="C2107" s="44"/>
      <c r="D2107" s="44"/>
      <c r="E2107" s="44"/>
      <c r="F2107" s="44"/>
      <c r="G2107" s="44"/>
      <c r="H2107" s="46" t="str">
        <f aca="false">IF($A2107="","",IF(OR(NOT(ISNUMBER(E2107)),NOT(ISNUMBER(F2107))),"",MAX(0,E2107)*F2107))</f>
        <v/>
      </c>
      <c r="I2107" s="46" t="str">
        <f aca="false">IF($A2107="","",SUMIF($A$2:$A$5001,$A2107,$H$2:$H$5001))</f>
        <v/>
      </c>
      <c r="J2107" s="47" t="n">
        <f aca="false">IF($A2107="",0,IF(COUNTIF($A$2:A2107,$A2107)=1,1,0))</f>
        <v>0</v>
      </c>
      <c r="K2107" s="47" t="n">
        <f aca="false">IF(J2107=1,N(I2107)+ROW()/10000000,0)</f>
        <v>0</v>
      </c>
      <c r="L2107" s="47" t="str">
        <f aca="false">IF(AND(J2107=1,N(I2107)&gt;0),SUMIF($K$2:$K$5001,"&gt;="&amp;K2107,$I$2:$I$5001)/MAX(1,SUM($H$2:$H$5001)),"")</f>
        <v/>
      </c>
      <c r="M2107" s="47" t="str">
        <f aca="false">IF($A2107="","",INDEX($L$2:$L$5001,MATCH($A2107,$A$2:$A$5001,0)))</f>
        <v/>
      </c>
      <c r="N2107" s="48" t="str">
        <f aca="false">IF($A2107="","",IF(N(M2107)=0,"–",IF(M2107&lt;=Start!$D$20,"A",IF(M2107&lt;=Start!$D$21,"B","C"))))</f>
        <v/>
      </c>
      <c r="O2107" s="48" t="str">
        <f aca="false">IF($A2107="","",IF(NOT(ISNUMBER(F2107)),"Wert fehlt; ",IF(F2107&lt;=0,"Wert ist 0; ",""))&amp;IF(NOT(ISNUMBER(E2107)),"Bestand fehlt; ",IF(E2107&lt;0,"Bestand negativ; ",IF(E2107=0,"Nullbestand; ","")))&amp;IF(D2107="","Warengruppe fehlt; ","")&amp;IF(B2107="","Bezeichnung fehlt; ","")&amp;IF(COUNTIFS($A$2:$A$5001,$A2107,$C$2:$C$5001,C2107)&gt;1,"Artikel doppelt im selben Lager; ",""))</f>
        <v/>
      </c>
      <c r="P2107" s="47" t="n">
        <f aca="false">IF(OR($A2107="",D2107=""),0,IF(COUNTIF($D$2:D2107,D2107)=1,SUMIF($D$2:$D$5001,D2107,$H$2:$H$5001)+ROW()/10000000,0))</f>
        <v>0</v>
      </c>
      <c r="Q2107" s="47" t="n">
        <f aca="false">IF(OR($A2107="",C2107=""),0,IF(COUNTIF($C$2:C2107,C2107)=1,SUMIF($C$2:$C$5001,C2107,$H$2:$H$5001)+ROW()/10000000,0))</f>
        <v>0</v>
      </c>
    </row>
    <row r="2108" customFormat="false" ht="15" hidden="false" customHeight="false" outlineLevel="0" collapsed="false">
      <c r="A2108" s="43"/>
      <c r="B2108" s="44"/>
      <c r="C2108" s="44"/>
      <c r="D2108" s="44"/>
      <c r="E2108" s="44"/>
      <c r="F2108" s="44"/>
      <c r="G2108" s="44"/>
      <c r="H2108" s="46" t="str">
        <f aca="false">IF($A2108="","",IF(OR(NOT(ISNUMBER(E2108)),NOT(ISNUMBER(F2108))),"",MAX(0,E2108)*F2108))</f>
        <v/>
      </c>
      <c r="I2108" s="46" t="str">
        <f aca="false">IF($A2108="","",SUMIF($A$2:$A$5001,$A2108,$H$2:$H$5001))</f>
        <v/>
      </c>
      <c r="J2108" s="47" t="n">
        <f aca="false">IF($A2108="",0,IF(COUNTIF($A$2:A2108,$A2108)=1,1,0))</f>
        <v>0</v>
      </c>
      <c r="K2108" s="47" t="n">
        <f aca="false">IF(J2108=1,N(I2108)+ROW()/10000000,0)</f>
        <v>0</v>
      </c>
      <c r="L2108" s="47" t="str">
        <f aca="false">IF(AND(J2108=1,N(I2108)&gt;0),SUMIF($K$2:$K$5001,"&gt;="&amp;K2108,$I$2:$I$5001)/MAX(1,SUM($H$2:$H$5001)),"")</f>
        <v/>
      </c>
      <c r="M2108" s="47" t="str">
        <f aca="false">IF($A2108="","",INDEX($L$2:$L$5001,MATCH($A2108,$A$2:$A$5001,0)))</f>
        <v/>
      </c>
      <c r="N2108" s="48" t="str">
        <f aca="false">IF($A2108="","",IF(N(M2108)=0,"–",IF(M2108&lt;=Start!$D$20,"A",IF(M2108&lt;=Start!$D$21,"B","C"))))</f>
        <v/>
      </c>
      <c r="O2108" s="48" t="str">
        <f aca="false">IF($A2108="","",IF(NOT(ISNUMBER(F2108)),"Wert fehlt; ",IF(F2108&lt;=0,"Wert ist 0; ",""))&amp;IF(NOT(ISNUMBER(E2108)),"Bestand fehlt; ",IF(E2108&lt;0,"Bestand negativ; ",IF(E2108=0,"Nullbestand; ","")))&amp;IF(D2108="","Warengruppe fehlt; ","")&amp;IF(B2108="","Bezeichnung fehlt; ","")&amp;IF(COUNTIFS($A$2:$A$5001,$A2108,$C$2:$C$5001,C2108)&gt;1,"Artikel doppelt im selben Lager; ",""))</f>
        <v/>
      </c>
      <c r="P2108" s="47" t="n">
        <f aca="false">IF(OR($A2108="",D2108=""),0,IF(COUNTIF($D$2:D2108,D2108)=1,SUMIF($D$2:$D$5001,D2108,$H$2:$H$5001)+ROW()/10000000,0))</f>
        <v>0</v>
      </c>
      <c r="Q2108" s="47" t="n">
        <f aca="false">IF(OR($A2108="",C2108=""),0,IF(COUNTIF($C$2:C2108,C2108)=1,SUMIF($C$2:$C$5001,C2108,$H$2:$H$5001)+ROW()/10000000,0))</f>
        <v>0</v>
      </c>
    </row>
    <row r="2109" customFormat="false" ht="15" hidden="false" customHeight="false" outlineLevel="0" collapsed="false">
      <c r="A2109" s="43"/>
      <c r="B2109" s="44"/>
      <c r="C2109" s="44"/>
      <c r="D2109" s="44"/>
      <c r="E2109" s="44"/>
      <c r="F2109" s="44"/>
      <c r="G2109" s="44"/>
      <c r="H2109" s="46" t="str">
        <f aca="false">IF($A2109="","",IF(OR(NOT(ISNUMBER(E2109)),NOT(ISNUMBER(F2109))),"",MAX(0,E2109)*F2109))</f>
        <v/>
      </c>
      <c r="I2109" s="46" t="str">
        <f aca="false">IF($A2109="","",SUMIF($A$2:$A$5001,$A2109,$H$2:$H$5001))</f>
        <v/>
      </c>
      <c r="J2109" s="47" t="n">
        <f aca="false">IF($A2109="",0,IF(COUNTIF($A$2:A2109,$A2109)=1,1,0))</f>
        <v>0</v>
      </c>
      <c r="K2109" s="47" t="n">
        <f aca="false">IF(J2109=1,N(I2109)+ROW()/10000000,0)</f>
        <v>0</v>
      </c>
      <c r="L2109" s="47" t="str">
        <f aca="false">IF(AND(J2109=1,N(I2109)&gt;0),SUMIF($K$2:$K$5001,"&gt;="&amp;K2109,$I$2:$I$5001)/MAX(1,SUM($H$2:$H$5001)),"")</f>
        <v/>
      </c>
      <c r="M2109" s="47" t="str">
        <f aca="false">IF($A2109="","",INDEX($L$2:$L$5001,MATCH($A2109,$A$2:$A$5001,0)))</f>
        <v/>
      </c>
      <c r="N2109" s="48" t="str">
        <f aca="false">IF($A2109="","",IF(N(M2109)=0,"–",IF(M2109&lt;=Start!$D$20,"A",IF(M2109&lt;=Start!$D$21,"B","C"))))</f>
        <v/>
      </c>
      <c r="O2109" s="48" t="str">
        <f aca="false">IF($A2109="","",IF(NOT(ISNUMBER(F2109)),"Wert fehlt; ",IF(F2109&lt;=0,"Wert ist 0; ",""))&amp;IF(NOT(ISNUMBER(E2109)),"Bestand fehlt; ",IF(E2109&lt;0,"Bestand negativ; ",IF(E2109=0,"Nullbestand; ","")))&amp;IF(D2109="","Warengruppe fehlt; ","")&amp;IF(B2109="","Bezeichnung fehlt; ","")&amp;IF(COUNTIFS($A$2:$A$5001,$A2109,$C$2:$C$5001,C2109)&gt;1,"Artikel doppelt im selben Lager; ",""))</f>
        <v/>
      </c>
      <c r="P2109" s="47" t="n">
        <f aca="false">IF(OR($A2109="",D2109=""),0,IF(COUNTIF($D$2:D2109,D2109)=1,SUMIF($D$2:$D$5001,D2109,$H$2:$H$5001)+ROW()/10000000,0))</f>
        <v>0</v>
      </c>
      <c r="Q2109" s="47" t="n">
        <f aca="false">IF(OR($A2109="",C2109=""),0,IF(COUNTIF($C$2:C2109,C2109)=1,SUMIF($C$2:$C$5001,C2109,$H$2:$H$5001)+ROW()/10000000,0))</f>
        <v>0</v>
      </c>
    </row>
    <row r="2110" customFormat="false" ht="15" hidden="false" customHeight="false" outlineLevel="0" collapsed="false">
      <c r="A2110" s="43"/>
      <c r="B2110" s="44"/>
      <c r="C2110" s="44"/>
      <c r="D2110" s="44"/>
      <c r="E2110" s="44"/>
      <c r="F2110" s="44"/>
      <c r="G2110" s="44"/>
      <c r="H2110" s="46" t="str">
        <f aca="false">IF($A2110="","",IF(OR(NOT(ISNUMBER(E2110)),NOT(ISNUMBER(F2110))),"",MAX(0,E2110)*F2110))</f>
        <v/>
      </c>
      <c r="I2110" s="46" t="str">
        <f aca="false">IF($A2110="","",SUMIF($A$2:$A$5001,$A2110,$H$2:$H$5001))</f>
        <v/>
      </c>
      <c r="J2110" s="47" t="n">
        <f aca="false">IF($A2110="",0,IF(COUNTIF($A$2:A2110,$A2110)=1,1,0))</f>
        <v>0</v>
      </c>
      <c r="K2110" s="47" t="n">
        <f aca="false">IF(J2110=1,N(I2110)+ROW()/10000000,0)</f>
        <v>0</v>
      </c>
      <c r="L2110" s="47" t="str">
        <f aca="false">IF(AND(J2110=1,N(I2110)&gt;0),SUMIF($K$2:$K$5001,"&gt;="&amp;K2110,$I$2:$I$5001)/MAX(1,SUM($H$2:$H$5001)),"")</f>
        <v/>
      </c>
      <c r="M2110" s="47" t="str">
        <f aca="false">IF($A2110="","",INDEX($L$2:$L$5001,MATCH($A2110,$A$2:$A$5001,0)))</f>
        <v/>
      </c>
      <c r="N2110" s="48" t="str">
        <f aca="false">IF($A2110="","",IF(N(M2110)=0,"–",IF(M2110&lt;=Start!$D$20,"A",IF(M2110&lt;=Start!$D$21,"B","C"))))</f>
        <v/>
      </c>
      <c r="O2110" s="48" t="str">
        <f aca="false">IF($A2110="","",IF(NOT(ISNUMBER(F2110)),"Wert fehlt; ",IF(F2110&lt;=0,"Wert ist 0; ",""))&amp;IF(NOT(ISNUMBER(E2110)),"Bestand fehlt; ",IF(E2110&lt;0,"Bestand negativ; ",IF(E2110=0,"Nullbestand; ","")))&amp;IF(D2110="","Warengruppe fehlt; ","")&amp;IF(B2110="","Bezeichnung fehlt; ","")&amp;IF(COUNTIFS($A$2:$A$5001,$A2110,$C$2:$C$5001,C2110)&gt;1,"Artikel doppelt im selben Lager; ",""))</f>
        <v/>
      </c>
      <c r="P2110" s="47" t="n">
        <f aca="false">IF(OR($A2110="",D2110=""),0,IF(COUNTIF($D$2:D2110,D2110)=1,SUMIF($D$2:$D$5001,D2110,$H$2:$H$5001)+ROW()/10000000,0))</f>
        <v>0</v>
      </c>
      <c r="Q2110" s="47" t="n">
        <f aca="false">IF(OR($A2110="",C2110=""),0,IF(COUNTIF($C$2:C2110,C2110)=1,SUMIF($C$2:$C$5001,C2110,$H$2:$H$5001)+ROW()/10000000,0))</f>
        <v>0</v>
      </c>
    </row>
    <row r="2111" customFormat="false" ht="15" hidden="false" customHeight="false" outlineLevel="0" collapsed="false">
      <c r="A2111" s="43"/>
      <c r="B2111" s="44"/>
      <c r="C2111" s="44"/>
      <c r="D2111" s="44"/>
      <c r="E2111" s="44"/>
      <c r="F2111" s="44"/>
      <c r="G2111" s="44"/>
      <c r="H2111" s="46" t="str">
        <f aca="false">IF($A2111="","",IF(OR(NOT(ISNUMBER(E2111)),NOT(ISNUMBER(F2111))),"",MAX(0,E2111)*F2111))</f>
        <v/>
      </c>
      <c r="I2111" s="46" t="str">
        <f aca="false">IF($A2111="","",SUMIF($A$2:$A$5001,$A2111,$H$2:$H$5001))</f>
        <v/>
      </c>
      <c r="J2111" s="47" t="n">
        <f aca="false">IF($A2111="",0,IF(COUNTIF($A$2:A2111,$A2111)=1,1,0))</f>
        <v>0</v>
      </c>
      <c r="K2111" s="47" t="n">
        <f aca="false">IF(J2111=1,N(I2111)+ROW()/10000000,0)</f>
        <v>0</v>
      </c>
      <c r="L2111" s="47" t="str">
        <f aca="false">IF(AND(J2111=1,N(I2111)&gt;0),SUMIF($K$2:$K$5001,"&gt;="&amp;K2111,$I$2:$I$5001)/MAX(1,SUM($H$2:$H$5001)),"")</f>
        <v/>
      </c>
      <c r="M2111" s="47" t="str">
        <f aca="false">IF($A2111="","",INDEX($L$2:$L$5001,MATCH($A2111,$A$2:$A$5001,0)))</f>
        <v/>
      </c>
      <c r="N2111" s="48" t="str">
        <f aca="false">IF($A2111="","",IF(N(M2111)=0,"–",IF(M2111&lt;=Start!$D$20,"A",IF(M2111&lt;=Start!$D$21,"B","C"))))</f>
        <v/>
      </c>
      <c r="O2111" s="48" t="str">
        <f aca="false">IF($A2111="","",IF(NOT(ISNUMBER(F2111)),"Wert fehlt; ",IF(F2111&lt;=0,"Wert ist 0; ",""))&amp;IF(NOT(ISNUMBER(E2111)),"Bestand fehlt; ",IF(E2111&lt;0,"Bestand negativ; ",IF(E2111=0,"Nullbestand; ","")))&amp;IF(D2111="","Warengruppe fehlt; ","")&amp;IF(B2111="","Bezeichnung fehlt; ","")&amp;IF(COUNTIFS($A$2:$A$5001,$A2111,$C$2:$C$5001,C2111)&gt;1,"Artikel doppelt im selben Lager; ",""))</f>
        <v/>
      </c>
      <c r="P2111" s="47" t="n">
        <f aca="false">IF(OR($A2111="",D2111=""),0,IF(COUNTIF($D$2:D2111,D2111)=1,SUMIF($D$2:$D$5001,D2111,$H$2:$H$5001)+ROW()/10000000,0))</f>
        <v>0</v>
      </c>
      <c r="Q2111" s="47" t="n">
        <f aca="false">IF(OR($A2111="",C2111=""),0,IF(COUNTIF($C$2:C2111,C2111)=1,SUMIF($C$2:$C$5001,C2111,$H$2:$H$5001)+ROW()/10000000,0))</f>
        <v>0</v>
      </c>
    </row>
    <row r="2112" customFormat="false" ht="15" hidden="false" customHeight="false" outlineLevel="0" collapsed="false">
      <c r="A2112" s="43"/>
      <c r="B2112" s="44"/>
      <c r="C2112" s="44"/>
      <c r="D2112" s="44"/>
      <c r="E2112" s="44"/>
      <c r="F2112" s="44"/>
      <c r="G2112" s="44"/>
      <c r="H2112" s="46" t="str">
        <f aca="false">IF($A2112="","",IF(OR(NOT(ISNUMBER(E2112)),NOT(ISNUMBER(F2112))),"",MAX(0,E2112)*F2112))</f>
        <v/>
      </c>
      <c r="I2112" s="46" t="str">
        <f aca="false">IF($A2112="","",SUMIF($A$2:$A$5001,$A2112,$H$2:$H$5001))</f>
        <v/>
      </c>
      <c r="J2112" s="47" t="n">
        <f aca="false">IF($A2112="",0,IF(COUNTIF($A$2:A2112,$A2112)=1,1,0))</f>
        <v>0</v>
      </c>
      <c r="K2112" s="47" t="n">
        <f aca="false">IF(J2112=1,N(I2112)+ROW()/10000000,0)</f>
        <v>0</v>
      </c>
      <c r="L2112" s="47" t="str">
        <f aca="false">IF(AND(J2112=1,N(I2112)&gt;0),SUMIF($K$2:$K$5001,"&gt;="&amp;K2112,$I$2:$I$5001)/MAX(1,SUM($H$2:$H$5001)),"")</f>
        <v/>
      </c>
      <c r="M2112" s="47" t="str">
        <f aca="false">IF($A2112="","",INDEX($L$2:$L$5001,MATCH($A2112,$A$2:$A$5001,0)))</f>
        <v/>
      </c>
      <c r="N2112" s="48" t="str">
        <f aca="false">IF($A2112="","",IF(N(M2112)=0,"–",IF(M2112&lt;=Start!$D$20,"A",IF(M2112&lt;=Start!$D$21,"B","C"))))</f>
        <v/>
      </c>
      <c r="O2112" s="48" t="str">
        <f aca="false">IF($A2112="","",IF(NOT(ISNUMBER(F2112)),"Wert fehlt; ",IF(F2112&lt;=0,"Wert ist 0; ",""))&amp;IF(NOT(ISNUMBER(E2112)),"Bestand fehlt; ",IF(E2112&lt;0,"Bestand negativ; ",IF(E2112=0,"Nullbestand; ","")))&amp;IF(D2112="","Warengruppe fehlt; ","")&amp;IF(B2112="","Bezeichnung fehlt; ","")&amp;IF(COUNTIFS($A$2:$A$5001,$A2112,$C$2:$C$5001,C2112)&gt;1,"Artikel doppelt im selben Lager; ",""))</f>
        <v/>
      </c>
      <c r="P2112" s="47" t="n">
        <f aca="false">IF(OR($A2112="",D2112=""),0,IF(COUNTIF($D$2:D2112,D2112)=1,SUMIF($D$2:$D$5001,D2112,$H$2:$H$5001)+ROW()/10000000,0))</f>
        <v>0</v>
      </c>
      <c r="Q2112" s="47" t="n">
        <f aca="false">IF(OR($A2112="",C2112=""),0,IF(COUNTIF($C$2:C2112,C2112)=1,SUMIF($C$2:$C$5001,C2112,$H$2:$H$5001)+ROW()/10000000,0))</f>
        <v>0</v>
      </c>
    </row>
    <row r="2113" customFormat="false" ht="15" hidden="false" customHeight="false" outlineLevel="0" collapsed="false">
      <c r="A2113" s="43"/>
      <c r="B2113" s="44"/>
      <c r="C2113" s="44"/>
      <c r="D2113" s="44"/>
      <c r="E2113" s="44"/>
      <c r="F2113" s="44"/>
      <c r="G2113" s="44"/>
      <c r="H2113" s="46" t="str">
        <f aca="false">IF($A2113="","",IF(OR(NOT(ISNUMBER(E2113)),NOT(ISNUMBER(F2113))),"",MAX(0,E2113)*F2113))</f>
        <v/>
      </c>
      <c r="I2113" s="46" t="str">
        <f aca="false">IF($A2113="","",SUMIF($A$2:$A$5001,$A2113,$H$2:$H$5001))</f>
        <v/>
      </c>
      <c r="J2113" s="47" t="n">
        <f aca="false">IF($A2113="",0,IF(COUNTIF($A$2:A2113,$A2113)=1,1,0))</f>
        <v>0</v>
      </c>
      <c r="K2113" s="47" t="n">
        <f aca="false">IF(J2113=1,N(I2113)+ROW()/10000000,0)</f>
        <v>0</v>
      </c>
      <c r="L2113" s="47" t="str">
        <f aca="false">IF(AND(J2113=1,N(I2113)&gt;0),SUMIF($K$2:$K$5001,"&gt;="&amp;K2113,$I$2:$I$5001)/MAX(1,SUM($H$2:$H$5001)),"")</f>
        <v/>
      </c>
      <c r="M2113" s="47" t="str">
        <f aca="false">IF($A2113="","",INDEX($L$2:$L$5001,MATCH($A2113,$A$2:$A$5001,0)))</f>
        <v/>
      </c>
      <c r="N2113" s="48" t="str">
        <f aca="false">IF($A2113="","",IF(N(M2113)=0,"–",IF(M2113&lt;=Start!$D$20,"A",IF(M2113&lt;=Start!$D$21,"B","C"))))</f>
        <v/>
      </c>
      <c r="O2113" s="48" t="str">
        <f aca="false">IF($A2113="","",IF(NOT(ISNUMBER(F2113)),"Wert fehlt; ",IF(F2113&lt;=0,"Wert ist 0; ",""))&amp;IF(NOT(ISNUMBER(E2113)),"Bestand fehlt; ",IF(E2113&lt;0,"Bestand negativ; ",IF(E2113=0,"Nullbestand; ","")))&amp;IF(D2113="","Warengruppe fehlt; ","")&amp;IF(B2113="","Bezeichnung fehlt; ","")&amp;IF(COUNTIFS($A$2:$A$5001,$A2113,$C$2:$C$5001,C2113)&gt;1,"Artikel doppelt im selben Lager; ",""))</f>
        <v/>
      </c>
      <c r="P2113" s="47" t="n">
        <f aca="false">IF(OR($A2113="",D2113=""),0,IF(COUNTIF($D$2:D2113,D2113)=1,SUMIF($D$2:$D$5001,D2113,$H$2:$H$5001)+ROW()/10000000,0))</f>
        <v>0</v>
      </c>
      <c r="Q2113" s="47" t="n">
        <f aca="false">IF(OR($A2113="",C2113=""),0,IF(COUNTIF($C$2:C2113,C2113)=1,SUMIF($C$2:$C$5001,C2113,$H$2:$H$5001)+ROW()/10000000,0))</f>
        <v>0</v>
      </c>
    </row>
    <row r="2114" customFormat="false" ht="15" hidden="false" customHeight="false" outlineLevel="0" collapsed="false">
      <c r="A2114" s="43"/>
      <c r="B2114" s="44"/>
      <c r="C2114" s="44"/>
      <c r="D2114" s="44"/>
      <c r="E2114" s="44"/>
      <c r="F2114" s="44"/>
      <c r="G2114" s="44"/>
      <c r="H2114" s="46" t="str">
        <f aca="false">IF($A2114="","",IF(OR(NOT(ISNUMBER(E2114)),NOT(ISNUMBER(F2114))),"",MAX(0,E2114)*F2114))</f>
        <v/>
      </c>
      <c r="I2114" s="46" t="str">
        <f aca="false">IF($A2114="","",SUMIF($A$2:$A$5001,$A2114,$H$2:$H$5001))</f>
        <v/>
      </c>
      <c r="J2114" s="47" t="n">
        <f aca="false">IF($A2114="",0,IF(COUNTIF($A$2:A2114,$A2114)=1,1,0))</f>
        <v>0</v>
      </c>
      <c r="K2114" s="47" t="n">
        <f aca="false">IF(J2114=1,N(I2114)+ROW()/10000000,0)</f>
        <v>0</v>
      </c>
      <c r="L2114" s="47" t="str">
        <f aca="false">IF(AND(J2114=1,N(I2114)&gt;0),SUMIF($K$2:$K$5001,"&gt;="&amp;K2114,$I$2:$I$5001)/MAX(1,SUM($H$2:$H$5001)),"")</f>
        <v/>
      </c>
      <c r="M2114" s="47" t="str">
        <f aca="false">IF($A2114="","",INDEX($L$2:$L$5001,MATCH($A2114,$A$2:$A$5001,0)))</f>
        <v/>
      </c>
      <c r="N2114" s="48" t="str">
        <f aca="false">IF($A2114="","",IF(N(M2114)=0,"–",IF(M2114&lt;=Start!$D$20,"A",IF(M2114&lt;=Start!$D$21,"B","C"))))</f>
        <v/>
      </c>
      <c r="O2114" s="48" t="str">
        <f aca="false">IF($A2114="","",IF(NOT(ISNUMBER(F2114)),"Wert fehlt; ",IF(F2114&lt;=0,"Wert ist 0; ",""))&amp;IF(NOT(ISNUMBER(E2114)),"Bestand fehlt; ",IF(E2114&lt;0,"Bestand negativ; ",IF(E2114=0,"Nullbestand; ","")))&amp;IF(D2114="","Warengruppe fehlt; ","")&amp;IF(B2114="","Bezeichnung fehlt; ","")&amp;IF(COUNTIFS($A$2:$A$5001,$A2114,$C$2:$C$5001,C2114)&gt;1,"Artikel doppelt im selben Lager; ",""))</f>
        <v/>
      </c>
      <c r="P2114" s="47" t="n">
        <f aca="false">IF(OR($A2114="",D2114=""),0,IF(COUNTIF($D$2:D2114,D2114)=1,SUMIF($D$2:$D$5001,D2114,$H$2:$H$5001)+ROW()/10000000,0))</f>
        <v>0</v>
      </c>
      <c r="Q2114" s="47" t="n">
        <f aca="false">IF(OR($A2114="",C2114=""),0,IF(COUNTIF($C$2:C2114,C2114)=1,SUMIF($C$2:$C$5001,C2114,$H$2:$H$5001)+ROW()/10000000,0))</f>
        <v>0</v>
      </c>
    </row>
    <row r="2115" customFormat="false" ht="15" hidden="false" customHeight="false" outlineLevel="0" collapsed="false">
      <c r="A2115" s="43"/>
      <c r="B2115" s="44"/>
      <c r="C2115" s="44"/>
      <c r="D2115" s="44"/>
      <c r="E2115" s="44"/>
      <c r="F2115" s="44"/>
      <c r="G2115" s="44"/>
      <c r="H2115" s="46" t="str">
        <f aca="false">IF($A2115="","",IF(OR(NOT(ISNUMBER(E2115)),NOT(ISNUMBER(F2115))),"",MAX(0,E2115)*F2115))</f>
        <v/>
      </c>
      <c r="I2115" s="46" t="str">
        <f aca="false">IF($A2115="","",SUMIF($A$2:$A$5001,$A2115,$H$2:$H$5001))</f>
        <v/>
      </c>
      <c r="J2115" s="47" t="n">
        <f aca="false">IF($A2115="",0,IF(COUNTIF($A$2:A2115,$A2115)=1,1,0))</f>
        <v>0</v>
      </c>
      <c r="K2115" s="47" t="n">
        <f aca="false">IF(J2115=1,N(I2115)+ROW()/10000000,0)</f>
        <v>0</v>
      </c>
      <c r="L2115" s="47" t="str">
        <f aca="false">IF(AND(J2115=1,N(I2115)&gt;0),SUMIF($K$2:$K$5001,"&gt;="&amp;K2115,$I$2:$I$5001)/MAX(1,SUM($H$2:$H$5001)),"")</f>
        <v/>
      </c>
      <c r="M2115" s="47" t="str">
        <f aca="false">IF($A2115="","",INDEX($L$2:$L$5001,MATCH($A2115,$A$2:$A$5001,0)))</f>
        <v/>
      </c>
      <c r="N2115" s="48" t="str">
        <f aca="false">IF($A2115="","",IF(N(M2115)=0,"–",IF(M2115&lt;=Start!$D$20,"A",IF(M2115&lt;=Start!$D$21,"B","C"))))</f>
        <v/>
      </c>
      <c r="O2115" s="48" t="str">
        <f aca="false">IF($A2115="","",IF(NOT(ISNUMBER(F2115)),"Wert fehlt; ",IF(F2115&lt;=0,"Wert ist 0; ",""))&amp;IF(NOT(ISNUMBER(E2115)),"Bestand fehlt; ",IF(E2115&lt;0,"Bestand negativ; ",IF(E2115=0,"Nullbestand; ","")))&amp;IF(D2115="","Warengruppe fehlt; ","")&amp;IF(B2115="","Bezeichnung fehlt; ","")&amp;IF(COUNTIFS($A$2:$A$5001,$A2115,$C$2:$C$5001,C2115)&gt;1,"Artikel doppelt im selben Lager; ",""))</f>
        <v/>
      </c>
      <c r="P2115" s="47" t="n">
        <f aca="false">IF(OR($A2115="",D2115=""),0,IF(COUNTIF($D$2:D2115,D2115)=1,SUMIF($D$2:$D$5001,D2115,$H$2:$H$5001)+ROW()/10000000,0))</f>
        <v>0</v>
      </c>
      <c r="Q2115" s="47" t="n">
        <f aca="false">IF(OR($A2115="",C2115=""),0,IF(COUNTIF($C$2:C2115,C2115)=1,SUMIF($C$2:$C$5001,C2115,$H$2:$H$5001)+ROW()/10000000,0))</f>
        <v>0</v>
      </c>
    </row>
    <row r="2116" customFormat="false" ht="15" hidden="false" customHeight="false" outlineLevel="0" collapsed="false">
      <c r="A2116" s="43"/>
      <c r="B2116" s="44"/>
      <c r="C2116" s="44"/>
      <c r="D2116" s="44"/>
      <c r="E2116" s="44"/>
      <c r="F2116" s="44"/>
      <c r="G2116" s="44"/>
      <c r="H2116" s="46" t="str">
        <f aca="false">IF($A2116="","",IF(OR(NOT(ISNUMBER(E2116)),NOT(ISNUMBER(F2116))),"",MAX(0,E2116)*F2116))</f>
        <v/>
      </c>
      <c r="I2116" s="46" t="str">
        <f aca="false">IF($A2116="","",SUMIF($A$2:$A$5001,$A2116,$H$2:$H$5001))</f>
        <v/>
      </c>
      <c r="J2116" s="47" t="n">
        <f aca="false">IF($A2116="",0,IF(COUNTIF($A$2:A2116,$A2116)=1,1,0))</f>
        <v>0</v>
      </c>
      <c r="K2116" s="47" t="n">
        <f aca="false">IF(J2116=1,N(I2116)+ROW()/10000000,0)</f>
        <v>0</v>
      </c>
      <c r="L2116" s="47" t="str">
        <f aca="false">IF(AND(J2116=1,N(I2116)&gt;0),SUMIF($K$2:$K$5001,"&gt;="&amp;K2116,$I$2:$I$5001)/MAX(1,SUM($H$2:$H$5001)),"")</f>
        <v/>
      </c>
      <c r="M2116" s="47" t="str">
        <f aca="false">IF($A2116="","",INDEX($L$2:$L$5001,MATCH($A2116,$A$2:$A$5001,0)))</f>
        <v/>
      </c>
      <c r="N2116" s="48" t="str">
        <f aca="false">IF($A2116="","",IF(N(M2116)=0,"–",IF(M2116&lt;=Start!$D$20,"A",IF(M2116&lt;=Start!$D$21,"B","C"))))</f>
        <v/>
      </c>
      <c r="O2116" s="48" t="str">
        <f aca="false">IF($A2116="","",IF(NOT(ISNUMBER(F2116)),"Wert fehlt; ",IF(F2116&lt;=0,"Wert ist 0; ",""))&amp;IF(NOT(ISNUMBER(E2116)),"Bestand fehlt; ",IF(E2116&lt;0,"Bestand negativ; ",IF(E2116=0,"Nullbestand; ","")))&amp;IF(D2116="","Warengruppe fehlt; ","")&amp;IF(B2116="","Bezeichnung fehlt; ","")&amp;IF(COUNTIFS($A$2:$A$5001,$A2116,$C$2:$C$5001,C2116)&gt;1,"Artikel doppelt im selben Lager; ",""))</f>
        <v/>
      </c>
      <c r="P2116" s="47" t="n">
        <f aca="false">IF(OR($A2116="",D2116=""),0,IF(COUNTIF($D$2:D2116,D2116)=1,SUMIF($D$2:$D$5001,D2116,$H$2:$H$5001)+ROW()/10000000,0))</f>
        <v>0</v>
      </c>
      <c r="Q2116" s="47" t="n">
        <f aca="false">IF(OR($A2116="",C2116=""),0,IF(COUNTIF($C$2:C2116,C2116)=1,SUMIF($C$2:$C$5001,C2116,$H$2:$H$5001)+ROW()/10000000,0))</f>
        <v>0</v>
      </c>
    </row>
    <row r="2117" customFormat="false" ht="15" hidden="false" customHeight="false" outlineLevel="0" collapsed="false">
      <c r="A2117" s="43"/>
      <c r="B2117" s="44"/>
      <c r="C2117" s="44"/>
      <c r="D2117" s="44"/>
      <c r="E2117" s="44"/>
      <c r="F2117" s="44"/>
      <c r="G2117" s="44"/>
      <c r="H2117" s="46" t="str">
        <f aca="false">IF($A2117="","",IF(OR(NOT(ISNUMBER(E2117)),NOT(ISNUMBER(F2117))),"",MAX(0,E2117)*F2117))</f>
        <v/>
      </c>
      <c r="I2117" s="46" t="str">
        <f aca="false">IF($A2117="","",SUMIF($A$2:$A$5001,$A2117,$H$2:$H$5001))</f>
        <v/>
      </c>
      <c r="J2117" s="47" t="n">
        <f aca="false">IF($A2117="",0,IF(COUNTIF($A$2:A2117,$A2117)=1,1,0))</f>
        <v>0</v>
      </c>
      <c r="K2117" s="47" t="n">
        <f aca="false">IF(J2117=1,N(I2117)+ROW()/10000000,0)</f>
        <v>0</v>
      </c>
      <c r="L2117" s="47" t="str">
        <f aca="false">IF(AND(J2117=1,N(I2117)&gt;0),SUMIF($K$2:$K$5001,"&gt;="&amp;K2117,$I$2:$I$5001)/MAX(1,SUM($H$2:$H$5001)),"")</f>
        <v/>
      </c>
      <c r="M2117" s="47" t="str">
        <f aca="false">IF($A2117="","",INDEX($L$2:$L$5001,MATCH($A2117,$A$2:$A$5001,0)))</f>
        <v/>
      </c>
      <c r="N2117" s="48" t="str">
        <f aca="false">IF($A2117="","",IF(N(M2117)=0,"–",IF(M2117&lt;=Start!$D$20,"A",IF(M2117&lt;=Start!$D$21,"B","C"))))</f>
        <v/>
      </c>
      <c r="O2117" s="48" t="str">
        <f aca="false">IF($A2117="","",IF(NOT(ISNUMBER(F2117)),"Wert fehlt; ",IF(F2117&lt;=0,"Wert ist 0; ",""))&amp;IF(NOT(ISNUMBER(E2117)),"Bestand fehlt; ",IF(E2117&lt;0,"Bestand negativ; ",IF(E2117=0,"Nullbestand; ","")))&amp;IF(D2117="","Warengruppe fehlt; ","")&amp;IF(B2117="","Bezeichnung fehlt; ","")&amp;IF(COUNTIFS($A$2:$A$5001,$A2117,$C$2:$C$5001,C2117)&gt;1,"Artikel doppelt im selben Lager; ",""))</f>
        <v/>
      </c>
      <c r="P2117" s="47" t="n">
        <f aca="false">IF(OR($A2117="",D2117=""),0,IF(COUNTIF($D$2:D2117,D2117)=1,SUMIF($D$2:$D$5001,D2117,$H$2:$H$5001)+ROW()/10000000,0))</f>
        <v>0</v>
      </c>
      <c r="Q2117" s="47" t="n">
        <f aca="false">IF(OR($A2117="",C2117=""),0,IF(COUNTIF($C$2:C2117,C2117)=1,SUMIF($C$2:$C$5001,C2117,$H$2:$H$5001)+ROW()/10000000,0))</f>
        <v>0</v>
      </c>
    </row>
    <row r="2118" customFormat="false" ht="15" hidden="false" customHeight="false" outlineLevel="0" collapsed="false">
      <c r="A2118" s="43"/>
      <c r="B2118" s="44"/>
      <c r="C2118" s="44"/>
      <c r="D2118" s="44"/>
      <c r="E2118" s="44"/>
      <c r="F2118" s="44"/>
      <c r="G2118" s="44"/>
      <c r="H2118" s="46" t="str">
        <f aca="false">IF($A2118="","",IF(OR(NOT(ISNUMBER(E2118)),NOT(ISNUMBER(F2118))),"",MAX(0,E2118)*F2118))</f>
        <v/>
      </c>
      <c r="I2118" s="46" t="str">
        <f aca="false">IF($A2118="","",SUMIF($A$2:$A$5001,$A2118,$H$2:$H$5001))</f>
        <v/>
      </c>
      <c r="J2118" s="47" t="n">
        <f aca="false">IF($A2118="",0,IF(COUNTIF($A$2:A2118,$A2118)=1,1,0))</f>
        <v>0</v>
      </c>
      <c r="K2118" s="47" t="n">
        <f aca="false">IF(J2118=1,N(I2118)+ROW()/10000000,0)</f>
        <v>0</v>
      </c>
      <c r="L2118" s="47" t="str">
        <f aca="false">IF(AND(J2118=1,N(I2118)&gt;0),SUMIF($K$2:$K$5001,"&gt;="&amp;K2118,$I$2:$I$5001)/MAX(1,SUM($H$2:$H$5001)),"")</f>
        <v/>
      </c>
      <c r="M2118" s="47" t="str">
        <f aca="false">IF($A2118="","",INDEX($L$2:$L$5001,MATCH($A2118,$A$2:$A$5001,0)))</f>
        <v/>
      </c>
      <c r="N2118" s="48" t="str">
        <f aca="false">IF($A2118="","",IF(N(M2118)=0,"–",IF(M2118&lt;=Start!$D$20,"A",IF(M2118&lt;=Start!$D$21,"B","C"))))</f>
        <v/>
      </c>
      <c r="O2118" s="48" t="str">
        <f aca="false">IF($A2118="","",IF(NOT(ISNUMBER(F2118)),"Wert fehlt; ",IF(F2118&lt;=0,"Wert ist 0; ",""))&amp;IF(NOT(ISNUMBER(E2118)),"Bestand fehlt; ",IF(E2118&lt;0,"Bestand negativ; ",IF(E2118=0,"Nullbestand; ","")))&amp;IF(D2118="","Warengruppe fehlt; ","")&amp;IF(B2118="","Bezeichnung fehlt; ","")&amp;IF(COUNTIFS($A$2:$A$5001,$A2118,$C$2:$C$5001,C2118)&gt;1,"Artikel doppelt im selben Lager; ",""))</f>
        <v/>
      </c>
      <c r="P2118" s="47" t="n">
        <f aca="false">IF(OR($A2118="",D2118=""),0,IF(COUNTIF($D$2:D2118,D2118)=1,SUMIF($D$2:$D$5001,D2118,$H$2:$H$5001)+ROW()/10000000,0))</f>
        <v>0</v>
      </c>
      <c r="Q2118" s="47" t="n">
        <f aca="false">IF(OR($A2118="",C2118=""),0,IF(COUNTIF($C$2:C2118,C2118)=1,SUMIF($C$2:$C$5001,C2118,$H$2:$H$5001)+ROW()/10000000,0))</f>
        <v>0</v>
      </c>
    </row>
    <row r="2119" customFormat="false" ht="15" hidden="false" customHeight="false" outlineLevel="0" collapsed="false">
      <c r="A2119" s="43"/>
      <c r="B2119" s="44"/>
      <c r="C2119" s="44"/>
      <c r="D2119" s="44"/>
      <c r="E2119" s="44"/>
      <c r="F2119" s="44"/>
      <c r="G2119" s="44"/>
      <c r="H2119" s="46" t="str">
        <f aca="false">IF($A2119="","",IF(OR(NOT(ISNUMBER(E2119)),NOT(ISNUMBER(F2119))),"",MAX(0,E2119)*F2119))</f>
        <v/>
      </c>
      <c r="I2119" s="46" t="str">
        <f aca="false">IF($A2119="","",SUMIF($A$2:$A$5001,$A2119,$H$2:$H$5001))</f>
        <v/>
      </c>
      <c r="J2119" s="47" t="n">
        <f aca="false">IF($A2119="",0,IF(COUNTIF($A$2:A2119,$A2119)=1,1,0))</f>
        <v>0</v>
      </c>
      <c r="K2119" s="47" t="n">
        <f aca="false">IF(J2119=1,N(I2119)+ROW()/10000000,0)</f>
        <v>0</v>
      </c>
      <c r="L2119" s="47" t="str">
        <f aca="false">IF(AND(J2119=1,N(I2119)&gt;0),SUMIF($K$2:$K$5001,"&gt;="&amp;K2119,$I$2:$I$5001)/MAX(1,SUM($H$2:$H$5001)),"")</f>
        <v/>
      </c>
      <c r="M2119" s="47" t="str">
        <f aca="false">IF($A2119="","",INDEX($L$2:$L$5001,MATCH($A2119,$A$2:$A$5001,0)))</f>
        <v/>
      </c>
      <c r="N2119" s="48" t="str">
        <f aca="false">IF($A2119="","",IF(N(M2119)=0,"–",IF(M2119&lt;=Start!$D$20,"A",IF(M2119&lt;=Start!$D$21,"B","C"))))</f>
        <v/>
      </c>
      <c r="O2119" s="48" t="str">
        <f aca="false">IF($A2119="","",IF(NOT(ISNUMBER(F2119)),"Wert fehlt; ",IF(F2119&lt;=0,"Wert ist 0; ",""))&amp;IF(NOT(ISNUMBER(E2119)),"Bestand fehlt; ",IF(E2119&lt;0,"Bestand negativ; ",IF(E2119=0,"Nullbestand; ","")))&amp;IF(D2119="","Warengruppe fehlt; ","")&amp;IF(B2119="","Bezeichnung fehlt; ","")&amp;IF(COUNTIFS($A$2:$A$5001,$A2119,$C$2:$C$5001,C2119)&gt;1,"Artikel doppelt im selben Lager; ",""))</f>
        <v/>
      </c>
      <c r="P2119" s="47" t="n">
        <f aca="false">IF(OR($A2119="",D2119=""),0,IF(COUNTIF($D$2:D2119,D2119)=1,SUMIF($D$2:$D$5001,D2119,$H$2:$H$5001)+ROW()/10000000,0))</f>
        <v>0</v>
      </c>
      <c r="Q2119" s="47" t="n">
        <f aca="false">IF(OR($A2119="",C2119=""),0,IF(COUNTIF($C$2:C2119,C2119)=1,SUMIF($C$2:$C$5001,C2119,$H$2:$H$5001)+ROW()/10000000,0))</f>
        <v>0</v>
      </c>
    </row>
    <row r="2120" customFormat="false" ht="15" hidden="false" customHeight="false" outlineLevel="0" collapsed="false">
      <c r="A2120" s="43"/>
      <c r="B2120" s="44"/>
      <c r="C2120" s="44"/>
      <c r="D2120" s="44"/>
      <c r="E2120" s="44"/>
      <c r="F2120" s="44"/>
      <c r="G2120" s="44"/>
      <c r="H2120" s="46" t="str">
        <f aca="false">IF($A2120="","",IF(OR(NOT(ISNUMBER(E2120)),NOT(ISNUMBER(F2120))),"",MAX(0,E2120)*F2120))</f>
        <v/>
      </c>
      <c r="I2120" s="46" t="str">
        <f aca="false">IF($A2120="","",SUMIF($A$2:$A$5001,$A2120,$H$2:$H$5001))</f>
        <v/>
      </c>
      <c r="J2120" s="47" t="n">
        <f aca="false">IF($A2120="",0,IF(COUNTIF($A$2:A2120,$A2120)=1,1,0))</f>
        <v>0</v>
      </c>
      <c r="K2120" s="47" t="n">
        <f aca="false">IF(J2120=1,N(I2120)+ROW()/10000000,0)</f>
        <v>0</v>
      </c>
      <c r="L2120" s="47" t="str">
        <f aca="false">IF(AND(J2120=1,N(I2120)&gt;0),SUMIF($K$2:$K$5001,"&gt;="&amp;K2120,$I$2:$I$5001)/MAX(1,SUM($H$2:$H$5001)),"")</f>
        <v/>
      </c>
      <c r="M2120" s="47" t="str">
        <f aca="false">IF($A2120="","",INDEX($L$2:$L$5001,MATCH($A2120,$A$2:$A$5001,0)))</f>
        <v/>
      </c>
      <c r="N2120" s="48" t="str">
        <f aca="false">IF($A2120="","",IF(N(M2120)=0,"–",IF(M2120&lt;=Start!$D$20,"A",IF(M2120&lt;=Start!$D$21,"B","C"))))</f>
        <v/>
      </c>
      <c r="O2120" s="48" t="str">
        <f aca="false">IF($A2120="","",IF(NOT(ISNUMBER(F2120)),"Wert fehlt; ",IF(F2120&lt;=0,"Wert ist 0; ",""))&amp;IF(NOT(ISNUMBER(E2120)),"Bestand fehlt; ",IF(E2120&lt;0,"Bestand negativ; ",IF(E2120=0,"Nullbestand; ","")))&amp;IF(D2120="","Warengruppe fehlt; ","")&amp;IF(B2120="","Bezeichnung fehlt; ","")&amp;IF(COUNTIFS($A$2:$A$5001,$A2120,$C$2:$C$5001,C2120)&gt;1,"Artikel doppelt im selben Lager; ",""))</f>
        <v/>
      </c>
      <c r="P2120" s="47" t="n">
        <f aca="false">IF(OR($A2120="",D2120=""),0,IF(COUNTIF($D$2:D2120,D2120)=1,SUMIF($D$2:$D$5001,D2120,$H$2:$H$5001)+ROW()/10000000,0))</f>
        <v>0</v>
      </c>
      <c r="Q2120" s="47" t="n">
        <f aca="false">IF(OR($A2120="",C2120=""),0,IF(COUNTIF($C$2:C2120,C2120)=1,SUMIF($C$2:$C$5001,C2120,$H$2:$H$5001)+ROW()/10000000,0))</f>
        <v>0</v>
      </c>
    </row>
    <row r="2121" customFormat="false" ht="15" hidden="false" customHeight="false" outlineLevel="0" collapsed="false">
      <c r="A2121" s="43"/>
      <c r="B2121" s="44"/>
      <c r="C2121" s="44"/>
      <c r="D2121" s="44"/>
      <c r="E2121" s="44"/>
      <c r="F2121" s="44"/>
      <c r="G2121" s="44"/>
      <c r="H2121" s="46" t="str">
        <f aca="false">IF($A2121="","",IF(OR(NOT(ISNUMBER(E2121)),NOT(ISNUMBER(F2121))),"",MAX(0,E2121)*F2121))</f>
        <v/>
      </c>
      <c r="I2121" s="46" t="str">
        <f aca="false">IF($A2121="","",SUMIF($A$2:$A$5001,$A2121,$H$2:$H$5001))</f>
        <v/>
      </c>
      <c r="J2121" s="47" t="n">
        <f aca="false">IF($A2121="",0,IF(COUNTIF($A$2:A2121,$A2121)=1,1,0))</f>
        <v>0</v>
      </c>
      <c r="K2121" s="47" t="n">
        <f aca="false">IF(J2121=1,N(I2121)+ROW()/10000000,0)</f>
        <v>0</v>
      </c>
      <c r="L2121" s="47" t="str">
        <f aca="false">IF(AND(J2121=1,N(I2121)&gt;0),SUMIF($K$2:$K$5001,"&gt;="&amp;K2121,$I$2:$I$5001)/MAX(1,SUM($H$2:$H$5001)),"")</f>
        <v/>
      </c>
      <c r="M2121" s="47" t="str">
        <f aca="false">IF($A2121="","",INDEX($L$2:$L$5001,MATCH($A2121,$A$2:$A$5001,0)))</f>
        <v/>
      </c>
      <c r="N2121" s="48" t="str">
        <f aca="false">IF($A2121="","",IF(N(M2121)=0,"–",IF(M2121&lt;=Start!$D$20,"A",IF(M2121&lt;=Start!$D$21,"B","C"))))</f>
        <v/>
      </c>
      <c r="O2121" s="48" t="str">
        <f aca="false">IF($A2121="","",IF(NOT(ISNUMBER(F2121)),"Wert fehlt; ",IF(F2121&lt;=0,"Wert ist 0; ",""))&amp;IF(NOT(ISNUMBER(E2121)),"Bestand fehlt; ",IF(E2121&lt;0,"Bestand negativ; ",IF(E2121=0,"Nullbestand; ","")))&amp;IF(D2121="","Warengruppe fehlt; ","")&amp;IF(B2121="","Bezeichnung fehlt; ","")&amp;IF(COUNTIFS($A$2:$A$5001,$A2121,$C$2:$C$5001,C2121)&gt;1,"Artikel doppelt im selben Lager; ",""))</f>
        <v/>
      </c>
      <c r="P2121" s="47" t="n">
        <f aca="false">IF(OR($A2121="",D2121=""),0,IF(COUNTIF($D$2:D2121,D2121)=1,SUMIF($D$2:$D$5001,D2121,$H$2:$H$5001)+ROW()/10000000,0))</f>
        <v>0</v>
      </c>
      <c r="Q2121" s="47" t="n">
        <f aca="false">IF(OR($A2121="",C2121=""),0,IF(COUNTIF($C$2:C2121,C2121)=1,SUMIF($C$2:$C$5001,C2121,$H$2:$H$5001)+ROW()/10000000,0))</f>
        <v>0</v>
      </c>
    </row>
    <row r="2122" customFormat="false" ht="15" hidden="false" customHeight="false" outlineLevel="0" collapsed="false">
      <c r="A2122" s="43"/>
      <c r="B2122" s="44"/>
      <c r="C2122" s="44"/>
      <c r="D2122" s="44"/>
      <c r="E2122" s="44"/>
      <c r="F2122" s="44"/>
      <c r="G2122" s="44"/>
      <c r="H2122" s="46" t="str">
        <f aca="false">IF($A2122="","",IF(OR(NOT(ISNUMBER(E2122)),NOT(ISNUMBER(F2122))),"",MAX(0,E2122)*F2122))</f>
        <v/>
      </c>
      <c r="I2122" s="46" t="str">
        <f aca="false">IF($A2122="","",SUMIF($A$2:$A$5001,$A2122,$H$2:$H$5001))</f>
        <v/>
      </c>
      <c r="J2122" s="47" t="n">
        <f aca="false">IF($A2122="",0,IF(COUNTIF($A$2:A2122,$A2122)=1,1,0))</f>
        <v>0</v>
      </c>
      <c r="K2122" s="47" t="n">
        <f aca="false">IF(J2122=1,N(I2122)+ROW()/10000000,0)</f>
        <v>0</v>
      </c>
      <c r="L2122" s="47" t="str">
        <f aca="false">IF(AND(J2122=1,N(I2122)&gt;0),SUMIF($K$2:$K$5001,"&gt;="&amp;K2122,$I$2:$I$5001)/MAX(1,SUM($H$2:$H$5001)),"")</f>
        <v/>
      </c>
      <c r="M2122" s="47" t="str">
        <f aca="false">IF($A2122="","",INDEX($L$2:$L$5001,MATCH($A2122,$A$2:$A$5001,0)))</f>
        <v/>
      </c>
      <c r="N2122" s="48" t="str">
        <f aca="false">IF($A2122="","",IF(N(M2122)=0,"–",IF(M2122&lt;=Start!$D$20,"A",IF(M2122&lt;=Start!$D$21,"B","C"))))</f>
        <v/>
      </c>
      <c r="O2122" s="48" t="str">
        <f aca="false">IF($A2122="","",IF(NOT(ISNUMBER(F2122)),"Wert fehlt; ",IF(F2122&lt;=0,"Wert ist 0; ",""))&amp;IF(NOT(ISNUMBER(E2122)),"Bestand fehlt; ",IF(E2122&lt;0,"Bestand negativ; ",IF(E2122=0,"Nullbestand; ","")))&amp;IF(D2122="","Warengruppe fehlt; ","")&amp;IF(B2122="","Bezeichnung fehlt; ","")&amp;IF(COUNTIFS($A$2:$A$5001,$A2122,$C$2:$C$5001,C2122)&gt;1,"Artikel doppelt im selben Lager; ",""))</f>
        <v/>
      </c>
      <c r="P2122" s="47" t="n">
        <f aca="false">IF(OR($A2122="",D2122=""),0,IF(COUNTIF($D$2:D2122,D2122)=1,SUMIF($D$2:$D$5001,D2122,$H$2:$H$5001)+ROW()/10000000,0))</f>
        <v>0</v>
      </c>
      <c r="Q2122" s="47" t="n">
        <f aca="false">IF(OR($A2122="",C2122=""),0,IF(COUNTIF($C$2:C2122,C2122)=1,SUMIF($C$2:$C$5001,C2122,$H$2:$H$5001)+ROW()/10000000,0))</f>
        <v>0</v>
      </c>
    </row>
    <row r="2123" customFormat="false" ht="15" hidden="false" customHeight="false" outlineLevel="0" collapsed="false">
      <c r="A2123" s="43"/>
      <c r="B2123" s="44"/>
      <c r="C2123" s="44"/>
      <c r="D2123" s="44"/>
      <c r="E2123" s="44"/>
      <c r="F2123" s="44"/>
      <c r="G2123" s="44"/>
      <c r="H2123" s="46" t="str">
        <f aca="false">IF($A2123="","",IF(OR(NOT(ISNUMBER(E2123)),NOT(ISNUMBER(F2123))),"",MAX(0,E2123)*F2123))</f>
        <v/>
      </c>
      <c r="I2123" s="46" t="str">
        <f aca="false">IF($A2123="","",SUMIF($A$2:$A$5001,$A2123,$H$2:$H$5001))</f>
        <v/>
      </c>
      <c r="J2123" s="47" t="n">
        <f aca="false">IF($A2123="",0,IF(COUNTIF($A$2:A2123,$A2123)=1,1,0))</f>
        <v>0</v>
      </c>
      <c r="K2123" s="47" t="n">
        <f aca="false">IF(J2123=1,N(I2123)+ROW()/10000000,0)</f>
        <v>0</v>
      </c>
      <c r="L2123" s="47" t="str">
        <f aca="false">IF(AND(J2123=1,N(I2123)&gt;0),SUMIF($K$2:$K$5001,"&gt;="&amp;K2123,$I$2:$I$5001)/MAX(1,SUM($H$2:$H$5001)),"")</f>
        <v/>
      </c>
      <c r="M2123" s="47" t="str">
        <f aca="false">IF($A2123="","",INDEX($L$2:$L$5001,MATCH($A2123,$A$2:$A$5001,0)))</f>
        <v/>
      </c>
      <c r="N2123" s="48" t="str">
        <f aca="false">IF($A2123="","",IF(N(M2123)=0,"–",IF(M2123&lt;=Start!$D$20,"A",IF(M2123&lt;=Start!$D$21,"B","C"))))</f>
        <v/>
      </c>
      <c r="O2123" s="48" t="str">
        <f aca="false">IF($A2123="","",IF(NOT(ISNUMBER(F2123)),"Wert fehlt; ",IF(F2123&lt;=0,"Wert ist 0; ",""))&amp;IF(NOT(ISNUMBER(E2123)),"Bestand fehlt; ",IF(E2123&lt;0,"Bestand negativ; ",IF(E2123=0,"Nullbestand; ","")))&amp;IF(D2123="","Warengruppe fehlt; ","")&amp;IF(B2123="","Bezeichnung fehlt; ","")&amp;IF(COUNTIFS($A$2:$A$5001,$A2123,$C$2:$C$5001,C2123)&gt;1,"Artikel doppelt im selben Lager; ",""))</f>
        <v/>
      </c>
      <c r="P2123" s="47" t="n">
        <f aca="false">IF(OR($A2123="",D2123=""),0,IF(COUNTIF($D$2:D2123,D2123)=1,SUMIF($D$2:$D$5001,D2123,$H$2:$H$5001)+ROW()/10000000,0))</f>
        <v>0</v>
      </c>
      <c r="Q2123" s="47" t="n">
        <f aca="false">IF(OR($A2123="",C2123=""),0,IF(COUNTIF($C$2:C2123,C2123)=1,SUMIF($C$2:$C$5001,C2123,$H$2:$H$5001)+ROW()/10000000,0))</f>
        <v>0</v>
      </c>
    </row>
    <row r="2124" customFormat="false" ht="15" hidden="false" customHeight="false" outlineLevel="0" collapsed="false">
      <c r="A2124" s="43"/>
      <c r="B2124" s="44"/>
      <c r="C2124" s="44"/>
      <c r="D2124" s="44"/>
      <c r="E2124" s="44"/>
      <c r="F2124" s="44"/>
      <c r="G2124" s="44"/>
      <c r="H2124" s="46" t="str">
        <f aca="false">IF($A2124="","",IF(OR(NOT(ISNUMBER(E2124)),NOT(ISNUMBER(F2124))),"",MAX(0,E2124)*F2124))</f>
        <v/>
      </c>
      <c r="I2124" s="46" t="str">
        <f aca="false">IF($A2124="","",SUMIF($A$2:$A$5001,$A2124,$H$2:$H$5001))</f>
        <v/>
      </c>
      <c r="J2124" s="47" t="n">
        <f aca="false">IF($A2124="",0,IF(COUNTIF($A$2:A2124,$A2124)=1,1,0))</f>
        <v>0</v>
      </c>
      <c r="K2124" s="47" t="n">
        <f aca="false">IF(J2124=1,N(I2124)+ROW()/10000000,0)</f>
        <v>0</v>
      </c>
      <c r="L2124" s="47" t="str">
        <f aca="false">IF(AND(J2124=1,N(I2124)&gt;0),SUMIF($K$2:$K$5001,"&gt;="&amp;K2124,$I$2:$I$5001)/MAX(1,SUM($H$2:$H$5001)),"")</f>
        <v/>
      </c>
      <c r="M2124" s="47" t="str">
        <f aca="false">IF($A2124="","",INDEX($L$2:$L$5001,MATCH($A2124,$A$2:$A$5001,0)))</f>
        <v/>
      </c>
      <c r="N2124" s="48" t="str">
        <f aca="false">IF($A2124="","",IF(N(M2124)=0,"–",IF(M2124&lt;=Start!$D$20,"A",IF(M2124&lt;=Start!$D$21,"B","C"))))</f>
        <v/>
      </c>
      <c r="O2124" s="48" t="str">
        <f aca="false">IF($A2124="","",IF(NOT(ISNUMBER(F2124)),"Wert fehlt; ",IF(F2124&lt;=0,"Wert ist 0; ",""))&amp;IF(NOT(ISNUMBER(E2124)),"Bestand fehlt; ",IF(E2124&lt;0,"Bestand negativ; ",IF(E2124=0,"Nullbestand; ","")))&amp;IF(D2124="","Warengruppe fehlt; ","")&amp;IF(B2124="","Bezeichnung fehlt; ","")&amp;IF(COUNTIFS($A$2:$A$5001,$A2124,$C$2:$C$5001,C2124)&gt;1,"Artikel doppelt im selben Lager; ",""))</f>
        <v/>
      </c>
      <c r="P2124" s="47" t="n">
        <f aca="false">IF(OR($A2124="",D2124=""),0,IF(COUNTIF($D$2:D2124,D2124)=1,SUMIF($D$2:$D$5001,D2124,$H$2:$H$5001)+ROW()/10000000,0))</f>
        <v>0</v>
      </c>
      <c r="Q2124" s="47" t="n">
        <f aca="false">IF(OR($A2124="",C2124=""),0,IF(COUNTIF($C$2:C2124,C2124)=1,SUMIF($C$2:$C$5001,C2124,$H$2:$H$5001)+ROW()/10000000,0))</f>
        <v>0</v>
      </c>
    </row>
    <row r="2125" customFormat="false" ht="15" hidden="false" customHeight="false" outlineLevel="0" collapsed="false">
      <c r="A2125" s="43"/>
      <c r="B2125" s="44"/>
      <c r="C2125" s="44"/>
      <c r="D2125" s="44"/>
      <c r="E2125" s="44"/>
      <c r="F2125" s="44"/>
      <c r="G2125" s="44"/>
      <c r="H2125" s="46" t="str">
        <f aca="false">IF($A2125="","",IF(OR(NOT(ISNUMBER(E2125)),NOT(ISNUMBER(F2125))),"",MAX(0,E2125)*F2125))</f>
        <v/>
      </c>
      <c r="I2125" s="46" t="str">
        <f aca="false">IF($A2125="","",SUMIF($A$2:$A$5001,$A2125,$H$2:$H$5001))</f>
        <v/>
      </c>
      <c r="J2125" s="47" t="n">
        <f aca="false">IF($A2125="",0,IF(COUNTIF($A$2:A2125,$A2125)=1,1,0))</f>
        <v>0</v>
      </c>
      <c r="K2125" s="47" t="n">
        <f aca="false">IF(J2125=1,N(I2125)+ROW()/10000000,0)</f>
        <v>0</v>
      </c>
      <c r="L2125" s="47" t="str">
        <f aca="false">IF(AND(J2125=1,N(I2125)&gt;0),SUMIF($K$2:$K$5001,"&gt;="&amp;K2125,$I$2:$I$5001)/MAX(1,SUM($H$2:$H$5001)),"")</f>
        <v/>
      </c>
      <c r="M2125" s="47" t="str">
        <f aca="false">IF($A2125="","",INDEX($L$2:$L$5001,MATCH($A2125,$A$2:$A$5001,0)))</f>
        <v/>
      </c>
      <c r="N2125" s="48" t="str">
        <f aca="false">IF($A2125="","",IF(N(M2125)=0,"–",IF(M2125&lt;=Start!$D$20,"A",IF(M2125&lt;=Start!$D$21,"B","C"))))</f>
        <v/>
      </c>
      <c r="O2125" s="48" t="str">
        <f aca="false">IF($A2125="","",IF(NOT(ISNUMBER(F2125)),"Wert fehlt; ",IF(F2125&lt;=0,"Wert ist 0; ",""))&amp;IF(NOT(ISNUMBER(E2125)),"Bestand fehlt; ",IF(E2125&lt;0,"Bestand negativ; ",IF(E2125=0,"Nullbestand; ","")))&amp;IF(D2125="","Warengruppe fehlt; ","")&amp;IF(B2125="","Bezeichnung fehlt; ","")&amp;IF(COUNTIFS($A$2:$A$5001,$A2125,$C$2:$C$5001,C2125)&gt;1,"Artikel doppelt im selben Lager; ",""))</f>
        <v/>
      </c>
      <c r="P2125" s="47" t="n">
        <f aca="false">IF(OR($A2125="",D2125=""),0,IF(COUNTIF($D$2:D2125,D2125)=1,SUMIF($D$2:$D$5001,D2125,$H$2:$H$5001)+ROW()/10000000,0))</f>
        <v>0</v>
      </c>
      <c r="Q2125" s="47" t="n">
        <f aca="false">IF(OR($A2125="",C2125=""),0,IF(COUNTIF($C$2:C2125,C2125)=1,SUMIF($C$2:$C$5001,C2125,$H$2:$H$5001)+ROW()/10000000,0))</f>
        <v>0</v>
      </c>
    </row>
    <row r="2126" customFormat="false" ht="15" hidden="false" customHeight="false" outlineLevel="0" collapsed="false">
      <c r="A2126" s="43"/>
      <c r="B2126" s="44"/>
      <c r="C2126" s="44"/>
      <c r="D2126" s="44"/>
      <c r="E2126" s="44"/>
      <c r="F2126" s="44"/>
      <c r="G2126" s="44"/>
      <c r="H2126" s="46" t="str">
        <f aca="false">IF($A2126="","",IF(OR(NOT(ISNUMBER(E2126)),NOT(ISNUMBER(F2126))),"",MAX(0,E2126)*F2126))</f>
        <v/>
      </c>
      <c r="I2126" s="46" t="str">
        <f aca="false">IF($A2126="","",SUMIF($A$2:$A$5001,$A2126,$H$2:$H$5001))</f>
        <v/>
      </c>
      <c r="J2126" s="47" t="n">
        <f aca="false">IF($A2126="",0,IF(COUNTIF($A$2:A2126,$A2126)=1,1,0))</f>
        <v>0</v>
      </c>
      <c r="K2126" s="47" t="n">
        <f aca="false">IF(J2126=1,N(I2126)+ROW()/10000000,0)</f>
        <v>0</v>
      </c>
      <c r="L2126" s="47" t="str">
        <f aca="false">IF(AND(J2126=1,N(I2126)&gt;0),SUMIF($K$2:$K$5001,"&gt;="&amp;K2126,$I$2:$I$5001)/MAX(1,SUM($H$2:$H$5001)),"")</f>
        <v/>
      </c>
      <c r="M2126" s="47" t="str">
        <f aca="false">IF($A2126="","",INDEX($L$2:$L$5001,MATCH($A2126,$A$2:$A$5001,0)))</f>
        <v/>
      </c>
      <c r="N2126" s="48" t="str">
        <f aca="false">IF($A2126="","",IF(N(M2126)=0,"–",IF(M2126&lt;=Start!$D$20,"A",IF(M2126&lt;=Start!$D$21,"B","C"))))</f>
        <v/>
      </c>
      <c r="O2126" s="48" t="str">
        <f aca="false">IF($A2126="","",IF(NOT(ISNUMBER(F2126)),"Wert fehlt; ",IF(F2126&lt;=0,"Wert ist 0; ",""))&amp;IF(NOT(ISNUMBER(E2126)),"Bestand fehlt; ",IF(E2126&lt;0,"Bestand negativ; ",IF(E2126=0,"Nullbestand; ","")))&amp;IF(D2126="","Warengruppe fehlt; ","")&amp;IF(B2126="","Bezeichnung fehlt; ","")&amp;IF(COUNTIFS($A$2:$A$5001,$A2126,$C$2:$C$5001,C2126)&gt;1,"Artikel doppelt im selben Lager; ",""))</f>
        <v/>
      </c>
      <c r="P2126" s="47" t="n">
        <f aca="false">IF(OR($A2126="",D2126=""),0,IF(COUNTIF($D$2:D2126,D2126)=1,SUMIF($D$2:$D$5001,D2126,$H$2:$H$5001)+ROW()/10000000,0))</f>
        <v>0</v>
      </c>
      <c r="Q2126" s="47" t="n">
        <f aca="false">IF(OR($A2126="",C2126=""),0,IF(COUNTIF($C$2:C2126,C2126)=1,SUMIF($C$2:$C$5001,C2126,$H$2:$H$5001)+ROW()/10000000,0))</f>
        <v>0</v>
      </c>
    </row>
    <row r="2127" customFormat="false" ht="15" hidden="false" customHeight="false" outlineLevel="0" collapsed="false">
      <c r="A2127" s="43"/>
      <c r="B2127" s="44"/>
      <c r="C2127" s="44"/>
      <c r="D2127" s="44"/>
      <c r="E2127" s="44"/>
      <c r="F2127" s="44"/>
      <c r="G2127" s="44"/>
      <c r="H2127" s="46" t="str">
        <f aca="false">IF($A2127="","",IF(OR(NOT(ISNUMBER(E2127)),NOT(ISNUMBER(F2127))),"",MAX(0,E2127)*F2127))</f>
        <v/>
      </c>
      <c r="I2127" s="46" t="str">
        <f aca="false">IF($A2127="","",SUMIF($A$2:$A$5001,$A2127,$H$2:$H$5001))</f>
        <v/>
      </c>
      <c r="J2127" s="47" t="n">
        <f aca="false">IF($A2127="",0,IF(COUNTIF($A$2:A2127,$A2127)=1,1,0))</f>
        <v>0</v>
      </c>
      <c r="K2127" s="47" t="n">
        <f aca="false">IF(J2127=1,N(I2127)+ROW()/10000000,0)</f>
        <v>0</v>
      </c>
      <c r="L2127" s="47" t="str">
        <f aca="false">IF(AND(J2127=1,N(I2127)&gt;0),SUMIF($K$2:$K$5001,"&gt;="&amp;K2127,$I$2:$I$5001)/MAX(1,SUM($H$2:$H$5001)),"")</f>
        <v/>
      </c>
      <c r="M2127" s="47" t="str">
        <f aca="false">IF($A2127="","",INDEX($L$2:$L$5001,MATCH($A2127,$A$2:$A$5001,0)))</f>
        <v/>
      </c>
      <c r="N2127" s="48" t="str">
        <f aca="false">IF($A2127="","",IF(N(M2127)=0,"–",IF(M2127&lt;=Start!$D$20,"A",IF(M2127&lt;=Start!$D$21,"B","C"))))</f>
        <v/>
      </c>
      <c r="O2127" s="48" t="str">
        <f aca="false">IF($A2127="","",IF(NOT(ISNUMBER(F2127)),"Wert fehlt; ",IF(F2127&lt;=0,"Wert ist 0; ",""))&amp;IF(NOT(ISNUMBER(E2127)),"Bestand fehlt; ",IF(E2127&lt;0,"Bestand negativ; ",IF(E2127=0,"Nullbestand; ","")))&amp;IF(D2127="","Warengruppe fehlt; ","")&amp;IF(B2127="","Bezeichnung fehlt; ","")&amp;IF(COUNTIFS($A$2:$A$5001,$A2127,$C$2:$C$5001,C2127)&gt;1,"Artikel doppelt im selben Lager; ",""))</f>
        <v/>
      </c>
      <c r="P2127" s="47" t="n">
        <f aca="false">IF(OR($A2127="",D2127=""),0,IF(COUNTIF($D$2:D2127,D2127)=1,SUMIF($D$2:$D$5001,D2127,$H$2:$H$5001)+ROW()/10000000,0))</f>
        <v>0</v>
      </c>
      <c r="Q2127" s="47" t="n">
        <f aca="false">IF(OR($A2127="",C2127=""),0,IF(COUNTIF($C$2:C2127,C2127)=1,SUMIF($C$2:$C$5001,C2127,$H$2:$H$5001)+ROW()/10000000,0))</f>
        <v>0</v>
      </c>
    </row>
    <row r="2128" customFormat="false" ht="15" hidden="false" customHeight="false" outlineLevel="0" collapsed="false">
      <c r="A2128" s="43"/>
      <c r="B2128" s="44"/>
      <c r="C2128" s="44"/>
      <c r="D2128" s="44"/>
      <c r="E2128" s="44"/>
      <c r="F2128" s="44"/>
      <c r="G2128" s="44"/>
      <c r="H2128" s="46" t="str">
        <f aca="false">IF($A2128="","",IF(OR(NOT(ISNUMBER(E2128)),NOT(ISNUMBER(F2128))),"",MAX(0,E2128)*F2128))</f>
        <v/>
      </c>
      <c r="I2128" s="46" t="str">
        <f aca="false">IF($A2128="","",SUMIF($A$2:$A$5001,$A2128,$H$2:$H$5001))</f>
        <v/>
      </c>
      <c r="J2128" s="47" t="n">
        <f aca="false">IF($A2128="",0,IF(COUNTIF($A$2:A2128,$A2128)=1,1,0))</f>
        <v>0</v>
      </c>
      <c r="K2128" s="47" t="n">
        <f aca="false">IF(J2128=1,N(I2128)+ROW()/10000000,0)</f>
        <v>0</v>
      </c>
      <c r="L2128" s="47" t="str">
        <f aca="false">IF(AND(J2128=1,N(I2128)&gt;0),SUMIF($K$2:$K$5001,"&gt;="&amp;K2128,$I$2:$I$5001)/MAX(1,SUM($H$2:$H$5001)),"")</f>
        <v/>
      </c>
      <c r="M2128" s="47" t="str">
        <f aca="false">IF($A2128="","",INDEX($L$2:$L$5001,MATCH($A2128,$A$2:$A$5001,0)))</f>
        <v/>
      </c>
      <c r="N2128" s="48" t="str">
        <f aca="false">IF($A2128="","",IF(N(M2128)=0,"–",IF(M2128&lt;=Start!$D$20,"A",IF(M2128&lt;=Start!$D$21,"B","C"))))</f>
        <v/>
      </c>
      <c r="O2128" s="48" t="str">
        <f aca="false">IF($A2128="","",IF(NOT(ISNUMBER(F2128)),"Wert fehlt; ",IF(F2128&lt;=0,"Wert ist 0; ",""))&amp;IF(NOT(ISNUMBER(E2128)),"Bestand fehlt; ",IF(E2128&lt;0,"Bestand negativ; ",IF(E2128=0,"Nullbestand; ","")))&amp;IF(D2128="","Warengruppe fehlt; ","")&amp;IF(B2128="","Bezeichnung fehlt; ","")&amp;IF(COUNTIFS($A$2:$A$5001,$A2128,$C$2:$C$5001,C2128)&gt;1,"Artikel doppelt im selben Lager; ",""))</f>
        <v/>
      </c>
      <c r="P2128" s="47" t="n">
        <f aca="false">IF(OR($A2128="",D2128=""),0,IF(COUNTIF($D$2:D2128,D2128)=1,SUMIF($D$2:$D$5001,D2128,$H$2:$H$5001)+ROW()/10000000,0))</f>
        <v>0</v>
      </c>
      <c r="Q2128" s="47" t="n">
        <f aca="false">IF(OR($A2128="",C2128=""),0,IF(COUNTIF($C$2:C2128,C2128)=1,SUMIF($C$2:$C$5001,C2128,$H$2:$H$5001)+ROW()/10000000,0))</f>
        <v>0</v>
      </c>
    </row>
    <row r="2129" customFormat="false" ht="15" hidden="false" customHeight="false" outlineLevel="0" collapsed="false">
      <c r="A2129" s="43"/>
      <c r="B2129" s="44"/>
      <c r="C2129" s="44"/>
      <c r="D2129" s="44"/>
      <c r="E2129" s="44"/>
      <c r="F2129" s="44"/>
      <c r="G2129" s="44"/>
      <c r="H2129" s="46" t="str">
        <f aca="false">IF($A2129="","",IF(OR(NOT(ISNUMBER(E2129)),NOT(ISNUMBER(F2129))),"",MAX(0,E2129)*F2129))</f>
        <v/>
      </c>
      <c r="I2129" s="46" t="str">
        <f aca="false">IF($A2129="","",SUMIF($A$2:$A$5001,$A2129,$H$2:$H$5001))</f>
        <v/>
      </c>
      <c r="J2129" s="47" t="n">
        <f aca="false">IF($A2129="",0,IF(COUNTIF($A$2:A2129,$A2129)=1,1,0))</f>
        <v>0</v>
      </c>
      <c r="K2129" s="47" t="n">
        <f aca="false">IF(J2129=1,N(I2129)+ROW()/10000000,0)</f>
        <v>0</v>
      </c>
      <c r="L2129" s="47" t="str">
        <f aca="false">IF(AND(J2129=1,N(I2129)&gt;0),SUMIF($K$2:$K$5001,"&gt;="&amp;K2129,$I$2:$I$5001)/MAX(1,SUM($H$2:$H$5001)),"")</f>
        <v/>
      </c>
      <c r="M2129" s="47" t="str">
        <f aca="false">IF($A2129="","",INDEX($L$2:$L$5001,MATCH($A2129,$A$2:$A$5001,0)))</f>
        <v/>
      </c>
      <c r="N2129" s="48" t="str">
        <f aca="false">IF($A2129="","",IF(N(M2129)=0,"–",IF(M2129&lt;=Start!$D$20,"A",IF(M2129&lt;=Start!$D$21,"B","C"))))</f>
        <v/>
      </c>
      <c r="O2129" s="48" t="str">
        <f aca="false">IF($A2129="","",IF(NOT(ISNUMBER(F2129)),"Wert fehlt; ",IF(F2129&lt;=0,"Wert ist 0; ",""))&amp;IF(NOT(ISNUMBER(E2129)),"Bestand fehlt; ",IF(E2129&lt;0,"Bestand negativ; ",IF(E2129=0,"Nullbestand; ","")))&amp;IF(D2129="","Warengruppe fehlt; ","")&amp;IF(B2129="","Bezeichnung fehlt; ","")&amp;IF(COUNTIFS($A$2:$A$5001,$A2129,$C$2:$C$5001,C2129)&gt;1,"Artikel doppelt im selben Lager; ",""))</f>
        <v/>
      </c>
      <c r="P2129" s="47" t="n">
        <f aca="false">IF(OR($A2129="",D2129=""),0,IF(COUNTIF($D$2:D2129,D2129)=1,SUMIF($D$2:$D$5001,D2129,$H$2:$H$5001)+ROW()/10000000,0))</f>
        <v>0</v>
      </c>
      <c r="Q2129" s="47" t="n">
        <f aca="false">IF(OR($A2129="",C2129=""),0,IF(COUNTIF($C$2:C2129,C2129)=1,SUMIF($C$2:$C$5001,C2129,$H$2:$H$5001)+ROW()/10000000,0))</f>
        <v>0</v>
      </c>
    </row>
    <row r="2130" customFormat="false" ht="15" hidden="false" customHeight="false" outlineLevel="0" collapsed="false">
      <c r="A2130" s="43"/>
      <c r="B2130" s="44"/>
      <c r="C2130" s="44"/>
      <c r="D2130" s="44"/>
      <c r="E2130" s="44"/>
      <c r="F2130" s="44"/>
      <c r="G2130" s="44"/>
      <c r="H2130" s="46" t="str">
        <f aca="false">IF($A2130="","",IF(OR(NOT(ISNUMBER(E2130)),NOT(ISNUMBER(F2130))),"",MAX(0,E2130)*F2130))</f>
        <v/>
      </c>
      <c r="I2130" s="46" t="str">
        <f aca="false">IF($A2130="","",SUMIF($A$2:$A$5001,$A2130,$H$2:$H$5001))</f>
        <v/>
      </c>
      <c r="J2130" s="47" t="n">
        <f aca="false">IF($A2130="",0,IF(COUNTIF($A$2:A2130,$A2130)=1,1,0))</f>
        <v>0</v>
      </c>
      <c r="K2130" s="47" t="n">
        <f aca="false">IF(J2130=1,N(I2130)+ROW()/10000000,0)</f>
        <v>0</v>
      </c>
      <c r="L2130" s="47" t="str">
        <f aca="false">IF(AND(J2130=1,N(I2130)&gt;0),SUMIF($K$2:$K$5001,"&gt;="&amp;K2130,$I$2:$I$5001)/MAX(1,SUM($H$2:$H$5001)),"")</f>
        <v/>
      </c>
      <c r="M2130" s="47" t="str">
        <f aca="false">IF($A2130="","",INDEX($L$2:$L$5001,MATCH($A2130,$A$2:$A$5001,0)))</f>
        <v/>
      </c>
      <c r="N2130" s="48" t="str">
        <f aca="false">IF($A2130="","",IF(N(M2130)=0,"–",IF(M2130&lt;=Start!$D$20,"A",IF(M2130&lt;=Start!$D$21,"B","C"))))</f>
        <v/>
      </c>
      <c r="O2130" s="48" t="str">
        <f aca="false">IF($A2130="","",IF(NOT(ISNUMBER(F2130)),"Wert fehlt; ",IF(F2130&lt;=0,"Wert ist 0; ",""))&amp;IF(NOT(ISNUMBER(E2130)),"Bestand fehlt; ",IF(E2130&lt;0,"Bestand negativ; ",IF(E2130=0,"Nullbestand; ","")))&amp;IF(D2130="","Warengruppe fehlt; ","")&amp;IF(B2130="","Bezeichnung fehlt; ","")&amp;IF(COUNTIFS($A$2:$A$5001,$A2130,$C$2:$C$5001,C2130)&gt;1,"Artikel doppelt im selben Lager; ",""))</f>
        <v/>
      </c>
      <c r="P2130" s="47" t="n">
        <f aca="false">IF(OR($A2130="",D2130=""),0,IF(COUNTIF($D$2:D2130,D2130)=1,SUMIF($D$2:$D$5001,D2130,$H$2:$H$5001)+ROW()/10000000,0))</f>
        <v>0</v>
      </c>
      <c r="Q2130" s="47" t="n">
        <f aca="false">IF(OR($A2130="",C2130=""),0,IF(COUNTIF($C$2:C2130,C2130)=1,SUMIF($C$2:$C$5001,C2130,$H$2:$H$5001)+ROW()/10000000,0))</f>
        <v>0</v>
      </c>
    </row>
    <row r="2131" customFormat="false" ht="15" hidden="false" customHeight="false" outlineLevel="0" collapsed="false">
      <c r="A2131" s="43"/>
      <c r="B2131" s="44"/>
      <c r="C2131" s="44"/>
      <c r="D2131" s="44"/>
      <c r="E2131" s="44"/>
      <c r="F2131" s="44"/>
      <c r="G2131" s="44"/>
      <c r="H2131" s="46" t="str">
        <f aca="false">IF($A2131="","",IF(OR(NOT(ISNUMBER(E2131)),NOT(ISNUMBER(F2131))),"",MAX(0,E2131)*F2131))</f>
        <v/>
      </c>
      <c r="I2131" s="46" t="str">
        <f aca="false">IF($A2131="","",SUMIF($A$2:$A$5001,$A2131,$H$2:$H$5001))</f>
        <v/>
      </c>
      <c r="J2131" s="47" t="n">
        <f aca="false">IF($A2131="",0,IF(COUNTIF($A$2:A2131,$A2131)=1,1,0))</f>
        <v>0</v>
      </c>
      <c r="K2131" s="47" t="n">
        <f aca="false">IF(J2131=1,N(I2131)+ROW()/10000000,0)</f>
        <v>0</v>
      </c>
      <c r="L2131" s="47" t="str">
        <f aca="false">IF(AND(J2131=1,N(I2131)&gt;0),SUMIF($K$2:$K$5001,"&gt;="&amp;K2131,$I$2:$I$5001)/MAX(1,SUM($H$2:$H$5001)),"")</f>
        <v/>
      </c>
      <c r="M2131" s="47" t="str">
        <f aca="false">IF($A2131="","",INDEX($L$2:$L$5001,MATCH($A2131,$A$2:$A$5001,0)))</f>
        <v/>
      </c>
      <c r="N2131" s="48" t="str">
        <f aca="false">IF($A2131="","",IF(N(M2131)=0,"–",IF(M2131&lt;=Start!$D$20,"A",IF(M2131&lt;=Start!$D$21,"B","C"))))</f>
        <v/>
      </c>
      <c r="O2131" s="48" t="str">
        <f aca="false">IF($A2131="","",IF(NOT(ISNUMBER(F2131)),"Wert fehlt; ",IF(F2131&lt;=0,"Wert ist 0; ",""))&amp;IF(NOT(ISNUMBER(E2131)),"Bestand fehlt; ",IF(E2131&lt;0,"Bestand negativ; ",IF(E2131=0,"Nullbestand; ","")))&amp;IF(D2131="","Warengruppe fehlt; ","")&amp;IF(B2131="","Bezeichnung fehlt; ","")&amp;IF(COUNTIFS($A$2:$A$5001,$A2131,$C$2:$C$5001,C2131)&gt;1,"Artikel doppelt im selben Lager; ",""))</f>
        <v/>
      </c>
      <c r="P2131" s="47" t="n">
        <f aca="false">IF(OR($A2131="",D2131=""),0,IF(COUNTIF($D$2:D2131,D2131)=1,SUMIF($D$2:$D$5001,D2131,$H$2:$H$5001)+ROW()/10000000,0))</f>
        <v>0</v>
      </c>
      <c r="Q2131" s="47" t="n">
        <f aca="false">IF(OR($A2131="",C2131=""),0,IF(COUNTIF($C$2:C2131,C2131)=1,SUMIF($C$2:$C$5001,C2131,$H$2:$H$5001)+ROW()/10000000,0))</f>
        <v>0</v>
      </c>
    </row>
    <row r="2132" customFormat="false" ht="15" hidden="false" customHeight="false" outlineLevel="0" collapsed="false">
      <c r="A2132" s="43"/>
      <c r="B2132" s="44"/>
      <c r="C2132" s="44"/>
      <c r="D2132" s="44"/>
      <c r="E2132" s="44"/>
      <c r="F2132" s="44"/>
      <c r="G2132" s="44"/>
      <c r="H2132" s="46" t="str">
        <f aca="false">IF($A2132="","",IF(OR(NOT(ISNUMBER(E2132)),NOT(ISNUMBER(F2132))),"",MAX(0,E2132)*F2132))</f>
        <v/>
      </c>
      <c r="I2132" s="46" t="str">
        <f aca="false">IF($A2132="","",SUMIF($A$2:$A$5001,$A2132,$H$2:$H$5001))</f>
        <v/>
      </c>
      <c r="J2132" s="47" t="n">
        <f aca="false">IF($A2132="",0,IF(COUNTIF($A$2:A2132,$A2132)=1,1,0))</f>
        <v>0</v>
      </c>
      <c r="K2132" s="47" t="n">
        <f aca="false">IF(J2132=1,N(I2132)+ROW()/10000000,0)</f>
        <v>0</v>
      </c>
      <c r="L2132" s="47" t="str">
        <f aca="false">IF(AND(J2132=1,N(I2132)&gt;0),SUMIF($K$2:$K$5001,"&gt;="&amp;K2132,$I$2:$I$5001)/MAX(1,SUM($H$2:$H$5001)),"")</f>
        <v/>
      </c>
      <c r="M2132" s="47" t="str">
        <f aca="false">IF($A2132="","",INDEX($L$2:$L$5001,MATCH($A2132,$A$2:$A$5001,0)))</f>
        <v/>
      </c>
      <c r="N2132" s="48" t="str">
        <f aca="false">IF($A2132="","",IF(N(M2132)=0,"–",IF(M2132&lt;=Start!$D$20,"A",IF(M2132&lt;=Start!$D$21,"B","C"))))</f>
        <v/>
      </c>
      <c r="O2132" s="48" t="str">
        <f aca="false">IF($A2132="","",IF(NOT(ISNUMBER(F2132)),"Wert fehlt; ",IF(F2132&lt;=0,"Wert ist 0; ",""))&amp;IF(NOT(ISNUMBER(E2132)),"Bestand fehlt; ",IF(E2132&lt;0,"Bestand negativ; ",IF(E2132=0,"Nullbestand; ","")))&amp;IF(D2132="","Warengruppe fehlt; ","")&amp;IF(B2132="","Bezeichnung fehlt; ","")&amp;IF(COUNTIFS($A$2:$A$5001,$A2132,$C$2:$C$5001,C2132)&gt;1,"Artikel doppelt im selben Lager; ",""))</f>
        <v/>
      </c>
      <c r="P2132" s="47" t="n">
        <f aca="false">IF(OR($A2132="",D2132=""),0,IF(COUNTIF($D$2:D2132,D2132)=1,SUMIF($D$2:$D$5001,D2132,$H$2:$H$5001)+ROW()/10000000,0))</f>
        <v>0</v>
      </c>
      <c r="Q2132" s="47" t="n">
        <f aca="false">IF(OR($A2132="",C2132=""),0,IF(COUNTIF($C$2:C2132,C2132)=1,SUMIF($C$2:$C$5001,C2132,$H$2:$H$5001)+ROW()/10000000,0))</f>
        <v>0</v>
      </c>
    </row>
    <row r="2133" customFormat="false" ht="15" hidden="false" customHeight="false" outlineLevel="0" collapsed="false">
      <c r="A2133" s="43"/>
      <c r="B2133" s="44"/>
      <c r="C2133" s="44"/>
      <c r="D2133" s="44"/>
      <c r="E2133" s="44"/>
      <c r="F2133" s="44"/>
      <c r="G2133" s="44"/>
      <c r="H2133" s="46" t="str">
        <f aca="false">IF($A2133="","",IF(OR(NOT(ISNUMBER(E2133)),NOT(ISNUMBER(F2133))),"",MAX(0,E2133)*F2133))</f>
        <v/>
      </c>
      <c r="I2133" s="46" t="str">
        <f aca="false">IF($A2133="","",SUMIF($A$2:$A$5001,$A2133,$H$2:$H$5001))</f>
        <v/>
      </c>
      <c r="J2133" s="47" t="n">
        <f aca="false">IF($A2133="",0,IF(COUNTIF($A$2:A2133,$A2133)=1,1,0))</f>
        <v>0</v>
      </c>
      <c r="K2133" s="47" t="n">
        <f aca="false">IF(J2133=1,N(I2133)+ROW()/10000000,0)</f>
        <v>0</v>
      </c>
      <c r="L2133" s="47" t="str">
        <f aca="false">IF(AND(J2133=1,N(I2133)&gt;0),SUMIF($K$2:$K$5001,"&gt;="&amp;K2133,$I$2:$I$5001)/MAX(1,SUM($H$2:$H$5001)),"")</f>
        <v/>
      </c>
      <c r="M2133" s="47" t="str">
        <f aca="false">IF($A2133="","",INDEX($L$2:$L$5001,MATCH($A2133,$A$2:$A$5001,0)))</f>
        <v/>
      </c>
      <c r="N2133" s="48" t="str">
        <f aca="false">IF($A2133="","",IF(N(M2133)=0,"–",IF(M2133&lt;=Start!$D$20,"A",IF(M2133&lt;=Start!$D$21,"B","C"))))</f>
        <v/>
      </c>
      <c r="O2133" s="48" t="str">
        <f aca="false">IF($A2133="","",IF(NOT(ISNUMBER(F2133)),"Wert fehlt; ",IF(F2133&lt;=0,"Wert ist 0; ",""))&amp;IF(NOT(ISNUMBER(E2133)),"Bestand fehlt; ",IF(E2133&lt;0,"Bestand negativ; ",IF(E2133=0,"Nullbestand; ","")))&amp;IF(D2133="","Warengruppe fehlt; ","")&amp;IF(B2133="","Bezeichnung fehlt; ","")&amp;IF(COUNTIFS($A$2:$A$5001,$A2133,$C$2:$C$5001,C2133)&gt;1,"Artikel doppelt im selben Lager; ",""))</f>
        <v/>
      </c>
      <c r="P2133" s="47" t="n">
        <f aca="false">IF(OR($A2133="",D2133=""),0,IF(COUNTIF($D$2:D2133,D2133)=1,SUMIF($D$2:$D$5001,D2133,$H$2:$H$5001)+ROW()/10000000,0))</f>
        <v>0</v>
      </c>
      <c r="Q2133" s="47" t="n">
        <f aca="false">IF(OR($A2133="",C2133=""),0,IF(COUNTIF($C$2:C2133,C2133)=1,SUMIF($C$2:$C$5001,C2133,$H$2:$H$5001)+ROW()/10000000,0))</f>
        <v>0</v>
      </c>
    </row>
    <row r="2134" customFormat="false" ht="15" hidden="false" customHeight="false" outlineLevel="0" collapsed="false">
      <c r="A2134" s="43"/>
      <c r="B2134" s="44"/>
      <c r="C2134" s="44"/>
      <c r="D2134" s="44"/>
      <c r="E2134" s="44"/>
      <c r="F2134" s="44"/>
      <c r="G2134" s="44"/>
      <c r="H2134" s="46" t="str">
        <f aca="false">IF($A2134="","",IF(OR(NOT(ISNUMBER(E2134)),NOT(ISNUMBER(F2134))),"",MAX(0,E2134)*F2134))</f>
        <v/>
      </c>
      <c r="I2134" s="46" t="str">
        <f aca="false">IF($A2134="","",SUMIF($A$2:$A$5001,$A2134,$H$2:$H$5001))</f>
        <v/>
      </c>
      <c r="J2134" s="47" t="n">
        <f aca="false">IF($A2134="",0,IF(COUNTIF($A$2:A2134,$A2134)=1,1,0))</f>
        <v>0</v>
      </c>
      <c r="K2134" s="47" t="n">
        <f aca="false">IF(J2134=1,N(I2134)+ROW()/10000000,0)</f>
        <v>0</v>
      </c>
      <c r="L2134" s="47" t="str">
        <f aca="false">IF(AND(J2134=1,N(I2134)&gt;0),SUMIF($K$2:$K$5001,"&gt;="&amp;K2134,$I$2:$I$5001)/MAX(1,SUM($H$2:$H$5001)),"")</f>
        <v/>
      </c>
      <c r="M2134" s="47" t="str">
        <f aca="false">IF($A2134="","",INDEX($L$2:$L$5001,MATCH($A2134,$A$2:$A$5001,0)))</f>
        <v/>
      </c>
      <c r="N2134" s="48" t="str">
        <f aca="false">IF($A2134="","",IF(N(M2134)=0,"–",IF(M2134&lt;=Start!$D$20,"A",IF(M2134&lt;=Start!$D$21,"B","C"))))</f>
        <v/>
      </c>
      <c r="O2134" s="48" t="str">
        <f aca="false">IF($A2134="","",IF(NOT(ISNUMBER(F2134)),"Wert fehlt; ",IF(F2134&lt;=0,"Wert ist 0; ",""))&amp;IF(NOT(ISNUMBER(E2134)),"Bestand fehlt; ",IF(E2134&lt;0,"Bestand negativ; ",IF(E2134=0,"Nullbestand; ","")))&amp;IF(D2134="","Warengruppe fehlt; ","")&amp;IF(B2134="","Bezeichnung fehlt; ","")&amp;IF(COUNTIFS($A$2:$A$5001,$A2134,$C$2:$C$5001,C2134)&gt;1,"Artikel doppelt im selben Lager; ",""))</f>
        <v/>
      </c>
      <c r="P2134" s="47" t="n">
        <f aca="false">IF(OR($A2134="",D2134=""),0,IF(COUNTIF($D$2:D2134,D2134)=1,SUMIF($D$2:$D$5001,D2134,$H$2:$H$5001)+ROW()/10000000,0))</f>
        <v>0</v>
      </c>
      <c r="Q2134" s="47" t="n">
        <f aca="false">IF(OR($A2134="",C2134=""),0,IF(COUNTIF($C$2:C2134,C2134)=1,SUMIF($C$2:$C$5001,C2134,$H$2:$H$5001)+ROW()/10000000,0))</f>
        <v>0</v>
      </c>
    </row>
    <row r="2135" customFormat="false" ht="15" hidden="false" customHeight="false" outlineLevel="0" collapsed="false">
      <c r="A2135" s="43"/>
      <c r="B2135" s="44"/>
      <c r="C2135" s="44"/>
      <c r="D2135" s="44"/>
      <c r="E2135" s="44"/>
      <c r="F2135" s="44"/>
      <c r="G2135" s="44"/>
      <c r="H2135" s="46" t="str">
        <f aca="false">IF($A2135="","",IF(OR(NOT(ISNUMBER(E2135)),NOT(ISNUMBER(F2135))),"",MAX(0,E2135)*F2135))</f>
        <v/>
      </c>
      <c r="I2135" s="46" t="str">
        <f aca="false">IF($A2135="","",SUMIF($A$2:$A$5001,$A2135,$H$2:$H$5001))</f>
        <v/>
      </c>
      <c r="J2135" s="47" t="n">
        <f aca="false">IF($A2135="",0,IF(COUNTIF($A$2:A2135,$A2135)=1,1,0))</f>
        <v>0</v>
      </c>
      <c r="K2135" s="47" t="n">
        <f aca="false">IF(J2135=1,N(I2135)+ROW()/10000000,0)</f>
        <v>0</v>
      </c>
      <c r="L2135" s="47" t="str">
        <f aca="false">IF(AND(J2135=1,N(I2135)&gt;0),SUMIF($K$2:$K$5001,"&gt;="&amp;K2135,$I$2:$I$5001)/MAX(1,SUM($H$2:$H$5001)),"")</f>
        <v/>
      </c>
      <c r="M2135" s="47" t="str">
        <f aca="false">IF($A2135="","",INDEX($L$2:$L$5001,MATCH($A2135,$A$2:$A$5001,0)))</f>
        <v/>
      </c>
      <c r="N2135" s="48" t="str">
        <f aca="false">IF($A2135="","",IF(N(M2135)=0,"–",IF(M2135&lt;=Start!$D$20,"A",IF(M2135&lt;=Start!$D$21,"B","C"))))</f>
        <v/>
      </c>
      <c r="O2135" s="48" t="str">
        <f aca="false">IF($A2135="","",IF(NOT(ISNUMBER(F2135)),"Wert fehlt; ",IF(F2135&lt;=0,"Wert ist 0; ",""))&amp;IF(NOT(ISNUMBER(E2135)),"Bestand fehlt; ",IF(E2135&lt;0,"Bestand negativ; ",IF(E2135=0,"Nullbestand; ","")))&amp;IF(D2135="","Warengruppe fehlt; ","")&amp;IF(B2135="","Bezeichnung fehlt; ","")&amp;IF(COUNTIFS($A$2:$A$5001,$A2135,$C$2:$C$5001,C2135)&gt;1,"Artikel doppelt im selben Lager; ",""))</f>
        <v/>
      </c>
      <c r="P2135" s="47" t="n">
        <f aca="false">IF(OR($A2135="",D2135=""),0,IF(COUNTIF($D$2:D2135,D2135)=1,SUMIF($D$2:$D$5001,D2135,$H$2:$H$5001)+ROW()/10000000,0))</f>
        <v>0</v>
      </c>
      <c r="Q2135" s="47" t="n">
        <f aca="false">IF(OR($A2135="",C2135=""),0,IF(COUNTIF($C$2:C2135,C2135)=1,SUMIF($C$2:$C$5001,C2135,$H$2:$H$5001)+ROW()/10000000,0))</f>
        <v>0</v>
      </c>
    </row>
    <row r="2136" customFormat="false" ht="15" hidden="false" customHeight="false" outlineLevel="0" collapsed="false">
      <c r="A2136" s="43"/>
      <c r="B2136" s="44"/>
      <c r="C2136" s="44"/>
      <c r="D2136" s="44"/>
      <c r="E2136" s="44"/>
      <c r="F2136" s="44"/>
      <c r="G2136" s="44"/>
      <c r="H2136" s="46" t="str">
        <f aca="false">IF($A2136="","",IF(OR(NOT(ISNUMBER(E2136)),NOT(ISNUMBER(F2136))),"",MAX(0,E2136)*F2136))</f>
        <v/>
      </c>
      <c r="I2136" s="46" t="str">
        <f aca="false">IF($A2136="","",SUMIF($A$2:$A$5001,$A2136,$H$2:$H$5001))</f>
        <v/>
      </c>
      <c r="J2136" s="47" t="n">
        <f aca="false">IF($A2136="",0,IF(COUNTIF($A$2:A2136,$A2136)=1,1,0))</f>
        <v>0</v>
      </c>
      <c r="K2136" s="47" t="n">
        <f aca="false">IF(J2136=1,N(I2136)+ROW()/10000000,0)</f>
        <v>0</v>
      </c>
      <c r="L2136" s="47" t="str">
        <f aca="false">IF(AND(J2136=1,N(I2136)&gt;0),SUMIF($K$2:$K$5001,"&gt;="&amp;K2136,$I$2:$I$5001)/MAX(1,SUM($H$2:$H$5001)),"")</f>
        <v/>
      </c>
      <c r="M2136" s="47" t="str">
        <f aca="false">IF($A2136="","",INDEX($L$2:$L$5001,MATCH($A2136,$A$2:$A$5001,0)))</f>
        <v/>
      </c>
      <c r="N2136" s="48" t="str">
        <f aca="false">IF($A2136="","",IF(N(M2136)=0,"–",IF(M2136&lt;=Start!$D$20,"A",IF(M2136&lt;=Start!$D$21,"B","C"))))</f>
        <v/>
      </c>
      <c r="O2136" s="48" t="str">
        <f aca="false">IF($A2136="","",IF(NOT(ISNUMBER(F2136)),"Wert fehlt; ",IF(F2136&lt;=0,"Wert ist 0; ",""))&amp;IF(NOT(ISNUMBER(E2136)),"Bestand fehlt; ",IF(E2136&lt;0,"Bestand negativ; ",IF(E2136=0,"Nullbestand; ","")))&amp;IF(D2136="","Warengruppe fehlt; ","")&amp;IF(B2136="","Bezeichnung fehlt; ","")&amp;IF(COUNTIFS($A$2:$A$5001,$A2136,$C$2:$C$5001,C2136)&gt;1,"Artikel doppelt im selben Lager; ",""))</f>
        <v/>
      </c>
      <c r="P2136" s="47" t="n">
        <f aca="false">IF(OR($A2136="",D2136=""),0,IF(COUNTIF($D$2:D2136,D2136)=1,SUMIF($D$2:$D$5001,D2136,$H$2:$H$5001)+ROW()/10000000,0))</f>
        <v>0</v>
      </c>
      <c r="Q2136" s="47" t="n">
        <f aca="false">IF(OR($A2136="",C2136=""),0,IF(COUNTIF($C$2:C2136,C2136)=1,SUMIF($C$2:$C$5001,C2136,$H$2:$H$5001)+ROW()/10000000,0))</f>
        <v>0</v>
      </c>
    </row>
    <row r="2137" customFormat="false" ht="15" hidden="false" customHeight="false" outlineLevel="0" collapsed="false">
      <c r="A2137" s="43"/>
      <c r="B2137" s="44"/>
      <c r="C2137" s="44"/>
      <c r="D2137" s="44"/>
      <c r="E2137" s="44"/>
      <c r="F2137" s="44"/>
      <c r="G2137" s="44"/>
      <c r="H2137" s="46" t="str">
        <f aca="false">IF($A2137="","",IF(OR(NOT(ISNUMBER(E2137)),NOT(ISNUMBER(F2137))),"",MAX(0,E2137)*F2137))</f>
        <v/>
      </c>
      <c r="I2137" s="46" t="str">
        <f aca="false">IF($A2137="","",SUMIF($A$2:$A$5001,$A2137,$H$2:$H$5001))</f>
        <v/>
      </c>
      <c r="J2137" s="47" t="n">
        <f aca="false">IF($A2137="",0,IF(COUNTIF($A$2:A2137,$A2137)=1,1,0))</f>
        <v>0</v>
      </c>
      <c r="K2137" s="47" t="n">
        <f aca="false">IF(J2137=1,N(I2137)+ROW()/10000000,0)</f>
        <v>0</v>
      </c>
      <c r="L2137" s="47" t="str">
        <f aca="false">IF(AND(J2137=1,N(I2137)&gt;0),SUMIF($K$2:$K$5001,"&gt;="&amp;K2137,$I$2:$I$5001)/MAX(1,SUM($H$2:$H$5001)),"")</f>
        <v/>
      </c>
      <c r="M2137" s="47" t="str">
        <f aca="false">IF($A2137="","",INDEX($L$2:$L$5001,MATCH($A2137,$A$2:$A$5001,0)))</f>
        <v/>
      </c>
      <c r="N2137" s="48" t="str">
        <f aca="false">IF($A2137="","",IF(N(M2137)=0,"–",IF(M2137&lt;=Start!$D$20,"A",IF(M2137&lt;=Start!$D$21,"B","C"))))</f>
        <v/>
      </c>
      <c r="O2137" s="48" t="str">
        <f aca="false">IF($A2137="","",IF(NOT(ISNUMBER(F2137)),"Wert fehlt; ",IF(F2137&lt;=0,"Wert ist 0; ",""))&amp;IF(NOT(ISNUMBER(E2137)),"Bestand fehlt; ",IF(E2137&lt;0,"Bestand negativ; ",IF(E2137=0,"Nullbestand; ","")))&amp;IF(D2137="","Warengruppe fehlt; ","")&amp;IF(B2137="","Bezeichnung fehlt; ","")&amp;IF(COUNTIFS($A$2:$A$5001,$A2137,$C$2:$C$5001,C2137)&gt;1,"Artikel doppelt im selben Lager; ",""))</f>
        <v/>
      </c>
      <c r="P2137" s="47" t="n">
        <f aca="false">IF(OR($A2137="",D2137=""),0,IF(COUNTIF($D$2:D2137,D2137)=1,SUMIF($D$2:$D$5001,D2137,$H$2:$H$5001)+ROW()/10000000,0))</f>
        <v>0</v>
      </c>
      <c r="Q2137" s="47" t="n">
        <f aca="false">IF(OR($A2137="",C2137=""),0,IF(COUNTIF($C$2:C2137,C2137)=1,SUMIF($C$2:$C$5001,C2137,$H$2:$H$5001)+ROW()/10000000,0))</f>
        <v>0</v>
      </c>
    </row>
    <row r="2138" customFormat="false" ht="15" hidden="false" customHeight="false" outlineLevel="0" collapsed="false">
      <c r="A2138" s="43"/>
      <c r="B2138" s="44"/>
      <c r="C2138" s="44"/>
      <c r="D2138" s="44"/>
      <c r="E2138" s="44"/>
      <c r="F2138" s="44"/>
      <c r="G2138" s="44"/>
      <c r="H2138" s="46" t="str">
        <f aca="false">IF($A2138="","",IF(OR(NOT(ISNUMBER(E2138)),NOT(ISNUMBER(F2138))),"",MAX(0,E2138)*F2138))</f>
        <v/>
      </c>
      <c r="I2138" s="46" t="str">
        <f aca="false">IF($A2138="","",SUMIF($A$2:$A$5001,$A2138,$H$2:$H$5001))</f>
        <v/>
      </c>
      <c r="J2138" s="47" t="n">
        <f aca="false">IF($A2138="",0,IF(COUNTIF($A$2:A2138,$A2138)=1,1,0))</f>
        <v>0</v>
      </c>
      <c r="K2138" s="47" t="n">
        <f aca="false">IF(J2138=1,N(I2138)+ROW()/10000000,0)</f>
        <v>0</v>
      </c>
      <c r="L2138" s="47" t="str">
        <f aca="false">IF(AND(J2138=1,N(I2138)&gt;0),SUMIF($K$2:$K$5001,"&gt;="&amp;K2138,$I$2:$I$5001)/MAX(1,SUM($H$2:$H$5001)),"")</f>
        <v/>
      </c>
      <c r="M2138" s="47" t="str">
        <f aca="false">IF($A2138="","",INDEX($L$2:$L$5001,MATCH($A2138,$A$2:$A$5001,0)))</f>
        <v/>
      </c>
      <c r="N2138" s="48" t="str">
        <f aca="false">IF($A2138="","",IF(N(M2138)=0,"–",IF(M2138&lt;=Start!$D$20,"A",IF(M2138&lt;=Start!$D$21,"B","C"))))</f>
        <v/>
      </c>
      <c r="O2138" s="48" t="str">
        <f aca="false">IF($A2138="","",IF(NOT(ISNUMBER(F2138)),"Wert fehlt; ",IF(F2138&lt;=0,"Wert ist 0; ",""))&amp;IF(NOT(ISNUMBER(E2138)),"Bestand fehlt; ",IF(E2138&lt;0,"Bestand negativ; ",IF(E2138=0,"Nullbestand; ","")))&amp;IF(D2138="","Warengruppe fehlt; ","")&amp;IF(B2138="","Bezeichnung fehlt; ","")&amp;IF(COUNTIFS($A$2:$A$5001,$A2138,$C$2:$C$5001,C2138)&gt;1,"Artikel doppelt im selben Lager; ",""))</f>
        <v/>
      </c>
      <c r="P2138" s="47" t="n">
        <f aca="false">IF(OR($A2138="",D2138=""),0,IF(COUNTIF($D$2:D2138,D2138)=1,SUMIF($D$2:$D$5001,D2138,$H$2:$H$5001)+ROW()/10000000,0))</f>
        <v>0</v>
      </c>
      <c r="Q2138" s="47" t="n">
        <f aca="false">IF(OR($A2138="",C2138=""),0,IF(COUNTIF($C$2:C2138,C2138)=1,SUMIF($C$2:$C$5001,C2138,$H$2:$H$5001)+ROW()/10000000,0))</f>
        <v>0</v>
      </c>
    </row>
    <row r="2139" customFormat="false" ht="15" hidden="false" customHeight="false" outlineLevel="0" collapsed="false">
      <c r="A2139" s="43"/>
      <c r="B2139" s="44"/>
      <c r="C2139" s="44"/>
      <c r="D2139" s="44"/>
      <c r="E2139" s="44"/>
      <c r="F2139" s="44"/>
      <c r="G2139" s="44"/>
      <c r="H2139" s="46" t="str">
        <f aca="false">IF($A2139="","",IF(OR(NOT(ISNUMBER(E2139)),NOT(ISNUMBER(F2139))),"",MAX(0,E2139)*F2139))</f>
        <v/>
      </c>
      <c r="I2139" s="46" t="str">
        <f aca="false">IF($A2139="","",SUMIF($A$2:$A$5001,$A2139,$H$2:$H$5001))</f>
        <v/>
      </c>
      <c r="J2139" s="47" t="n">
        <f aca="false">IF($A2139="",0,IF(COUNTIF($A$2:A2139,$A2139)=1,1,0))</f>
        <v>0</v>
      </c>
      <c r="K2139" s="47" t="n">
        <f aca="false">IF(J2139=1,N(I2139)+ROW()/10000000,0)</f>
        <v>0</v>
      </c>
      <c r="L2139" s="47" t="str">
        <f aca="false">IF(AND(J2139=1,N(I2139)&gt;0),SUMIF($K$2:$K$5001,"&gt;="&amp;K2139,$I$2:$I$5001)/MAX(1,SUM($H$2:$H$5001)),"")</f>
        <v/>
      </c>
      <c r="M2139" s="47" t="str">
        <f aca="false">IF($A2139="","",INDEX($L$2:$L$5001,MATCH($A2139,$A$2:$A$5001,0)))</f>
        <v/>
      </c>
      <c r="N2139" s="48" t="str">
        <f aca="false">IF($A2139="","",IF(N(M2139)=0,"–",IF(M2139&lt;=Start!$D$20,"A",IF(M2139&lt;=Start!$D$21,"B","C"))))</f>
        <v/>
      </c>
      <c r="O2139" s="48" t="str">
        <f aca="false">IF($A2139="","",IF(NOT(ISNUMBER(F2139)),"Wert fehlt; ",IF(F2139&lt;=0,"Wert ist 0; ",""))&amp;IF(NOT(ISNUMBER(E2139)),"Bestand fehlt; ",IF(E2139&lt;0,"Bestand negativ; ",IF(E2139=0,"Nullbestand; ","")))&amp;IF(D2139="","Warengruppe fehlt; ","")&amp;IF(B2139="","Bezeichnung fehlt; ","")&amp;IF(COUNTIFS($A$2:$A$5001,$A2139,$C$2:$C$5001,C2139)&gt;1,"Artikel doppelt im selben Lager; ",""))</f>
        <v/>
      </c>
      <c r="P2139" s="47" t="n">
        <f aca="false">IF(OR($A2139="",D2139=""),0,IF(COUNTIF($D$2:D2139,D2139)=1,SUMIF($D$2:$D$5001,D2139,$H$2:$H$5001)+ROW()/10000000,0))</f>
        <v>0</v>
      </c>
      <c r="Q2139" s="47" t="n">
        <f aca="false">IF(OR($A2139="",C2139=""),0,IF(COUNTIF($C$2:C2139,C2139)=1,SUMIF($C$2:$C$5001,C2139,$H$2:$H$5001)+ROW()/10000000,0))</f>
        <v>0</v>
      </c>
    </row>
    <row r="2140" customFormat="false" ht="15" hidden="false" customHeight="false" outlineLevel="0" collapsed="false">
      <c r="A2140" s="43"/>
      <c r="B2140" s="44"/>
      <c r="C2140" s="44"/>
      <c r="D2140" s="44"/>
      <c r="E2140" s="44"/>
      <c r="F2140" s="44"/>
      <c r="G2140" s="44"/>
      <c r="H2140" s="46" t="str">
        <f aca="false">IF($A2140="","",IF(OR(NOT(ISNUMBER(E2140)),NOT(ISNUMBER(F2140))),"",MAX(0,E2140)*F2140))</f>
        <v/>
      </c>
      <c r="I2140" s="46" t="str">
        <f aca="false">IF($A2140="","",SUMIF($A$2:$A$5001,$A2140,$H$2:$H$5001))</f>
        <v/>
      </c>
      <c r="J2140" s="47" t="n">
        <f aca="false">IF($A2140="",0,IF(COUNTIF($A$2:A2140,$A2140)=1,1,0))</f>
        <v>0</v>
      </c>
      <c r="K2140" s="47" t="n">
        <f aca="false">IF(J2140=1,N(I2140)+ROW()/10000000,0)</f>
        <v>0</v>
      </c>
      <c r="L2140" s="47" t="str">
        <f aca="false">IF(AND(J2140=1,N(I2140)&gt;0),SUMIF($K$2:$K$5001,"&gt;="&amp;K2140,$I$2:$I$5001)/MAX(1,SUM($H$2:$H$5001)),"")</f>
        <v/>
      </c>
      <c r="M2140" s="47" t="str">
        <f aca="false">IF($A2140="","",INDEX($L$2:$L$5001,MATCH($A2140,$A$2:$A$5001,0)))</f>
        <v/>
      </c>
      <c r="N2140" s="48" t="str">
        <f aca="false">IF($A2140="","",IF(N(M2140)=0,"–",IF(M2140&lt;=Start!$D$20,"A",IF(M2140&lt;=Start!$D$21,"B","C"))))</f>
        <v/>
      </c>
      <c r="O2140" s="48" t="str">
        <f aca="false">IF($A2140="","",IF(NOT(ISNUMBER(F2140)),"Wert fehlt; ",IF(F2140&lt;=0,"Wert ist 0; ",""))&amp;IF(NOT(ISNUMBER(E2140)),"Bestand fehlt; ",IF(E2140&lt;0,"Bestand negativ; ",IF(E2140=0,"Nullbestand; ","")))&amp;IF(D2140="","Warengruppe fehlt; ","")&amp;IF(B2140="","Bezeichnung fehlt; ","")&amp;IF(COUNTIFS($A$2:$A$5001,$A2140,$C$2:$C$5001,C2140)&gt;1,"Artikel doppelt im selben Lager; ",""))</f>
        <v/>
      </c>
      <c r="P2140" s="47" t="n">
        <f aca="false">IF(OR($A2140="",D2140=""),0,IF(COUNTIF($D$2:D2140,D2140)=1,SUMIF($D$2:$D$5001,D2140,$H$2:$H$5001)+ROW()/10000000,0))</f>
        <v>0</v>
      </c>
      <c r="Q2140" s="47" t="n">
        <f aca="false">IF(OR($A2140="",C2140=""),0,IF(COUNTIF($C$2:C2140,C2140)=1,SUMIF($C$2:$C$5001,C2140,$H$2:$H$5001)+ROW()/10000000,0))</f>
        <v>0</v>
      </c>
    </row>
    <row r="2141" customFormat="false" ht="15" hidden="false" customHeight="false" outlineLevel="0" collapsed="false">
      <c r="A2141" s="43"/>
      <c r="B2141" s="44"/>
      <c r="C2141" s="44"/>
      <c r="D2141" s="44"/>
      <c r="E2141" s="44"/>
      <c r="F2141" s="44"/>
      <c r="G2141" s="44"/>
      <c r="H2141" s="46" t="str">
        <f aca="false">IF($A2141="","",IF(OR(NOT(ISNUMBER(E2141)),NOT(ISNUMBER(F2141))),"",MAX(0,E2141)*F2141))</f>
        <v/>
      </c>
      <c r="I2141" s="46" t="str">
        <f aca="false">IF($A2141="","",SUMIF($A$2:$A$5001,$A2141,$H$2:$H$5001))</f>
        <v/>
      </c>
      <c r="J2141" s="47" t="n">
        <f aca="false">IF($A2141="",0,IF(COUNTIF($A$2:A2141,$A2141)=1,1,0))</f>
        <v>0</v>
      </c>
      <c r="K2141" s="47" t="n">
        <f aca="false">IF(J2141=1,N(I2141)+ROW()/10000000,0)</f>
        <v>0</v>
      </c>
      <c r="L2141" s="47" t="str">
        <f aca="false">IF(AND(J2141=1,N(I2141)&gt;0),SUMIF($K$2:$K$5001,"&gt;="&amp;K2141,$I$2:$I$5001)/MAX(1,SUM($H$2:$H$5001)),"")</f>
        <v/>
      </c>
      <c r="M2141" s="47" t="str">
        <f aca="false">IF($A2141="","",INDEX($L$2:$L$5001,MATCH($A2141,$A$2:$A$5001,0)))</f>
        <v/>
      </c>
      <c r="N2141" s="48" t="str">
        <f aca="false">IF($A2141="","",IF(N(M2141)=0,"–",IF(M2141&lt;=Start!$D$20,"A",IF(M2141&lt;=Start!$D$21,"B","C"))))</f>
        <v/>
      </c>
      <c r="O2141" s="48" t="str">
        <f aca="false">IF($A2141="","",IF(NOT(ISNUMBER(F2141)),"Wert fehlt; ",IF(F2141&lt;=0,"Wert ist 0; ",""))&amp;IF(NOT(ISNUMBER(E2141)),"Bestand fehlt; ",IF(E2141&lt;0,"Bestand negativ; ",IF(E2141=0,"Nullbestand; ","")))&amp;IF(D2141="","Warengruppe fehlt; ","")&amp;IF(B2141="","Bezeichnung fehlt; ","")&amp;IF(COUNTIFS($A$2:$A$5001,$A2141,$C$2:$C$5001,C2141)&gt;1,"Artikel doppelt im selben Lager; ",""))</f>
        <v/>
      </c>
      <c r="P2141" s="47" t="n">
        <f aca="false">IF(OR($A2141="",D2141=""),0,IF(COUNTIF($D$2:D2141,D2141)=1,SUMIF($D$2:$D$5001,D2141,$H$2:$H$5001)+ROW()/10000000,0))</f>
        <v>0</v>
      </c>
      <c r="Q2141" s="47" t="n">
        <f aca="false">IF(OR($A2141="",C2141=""),0,IF(COUNTIF($C$2:C2141,C2141)=1,SUMIF($C$2:$C$5001,C2141,$H$2:$H$5001)+ROW()/10000000,0))</f>
        <v>0</v>
      </c>
    </row>
    <row r="2142" customFormat="false" ht="15" hidden="false" customHeight="false" outlineLevel="0" collapsed="false">
      <c r="A2142" s="43"/>
      <c r="B2142" s="44"/>
      <c r="C2142" s="44"/>
      <c r="D2142" s="44"/>
      <c r="E2142" s="44"/>
      <c r="F2142" s="44"/>
      <c r="G2142" s="44"/>
      <c r="H2142" s="46" t="str">
        <f aca="false">IF($A2142="","",IF(OR(NOT(ISNUMBER(E2142)),NOT(ISNUMBER(F2142))),"",MAX(0,E2142)*F2142))</f>
        <v/>
      </c>
      <c r="I2142" s="46" t="str">
        <f aca="false">IF($A2142="","",SUMIF($A$2:$A$5001,$A2142,$H$2:$H$5001))</f>
        <v/>
      </c>
      <c r="J2142" s="47" t="n">
        <f aca="false">IF($A2142="",0,IF(COUNTIF($A$2:A2142,$A2142)=1,1,0))</f>
        <v>0</v>
      </c>
      <c r="K2142" s="47" t="n">
        <f aca="false">IF(J2142=1,N(I2142)+ROW()/10000000,0)</f>
        <v>0</v>
      </c>
      <c r="L2142" s="47" t="str">
        <f aca="false">IF(AND(J2142=1,N(I2142)&gt;0),SUMIF($K$2:$K$5001,"&gt;="&amp;K2142,$I$2:$I$5001)/MAX(1,SUM($H$2:$H$5001)),"")</f>
        <v/>
      </c>
      <c r="M2142" s="47" t="str">
        <f aca="false">IF($A2142="","",INDEX($L$2:$L$5001,MATCH($A2142,$A$2:$A$5001,0)))</f>
        <v/>
      </c>
      <c r="N2142" s="48" t="str">
        <f aca="false">IF($A2142="","",IF(N(M2142)=0,"–",IF(M2142&lt;=Start!$D$20,"A",IF(M2142&lt;=Start!$D$21,"B","C"))))</f>
        <v/>
      </c>
      <c r="O2142" s="48" t="str">
        <f aca="false">IF($A2142="","",IF(NOT(ISNUMBER(F2142)),"Wert fehlt; ",IF(F2142&lt;=0,"Wert ist 0; ",""))&amp;IF(NOT(ISNUMBER(E2142)),"Bestand fehlt; ",IF(E2142&lt;0,"Bestand negativ; ",IF(E2142=0,"Nullbestand; ","")))&amp;IF(D2142="","Warengruppe fehlt; ","")&amp;IF(B2142="","Bezeichnung fehlt; ","")&amp;IF(COUNTIFS($A$2:$A$5001,$A2142,$C$2:$C$5001,C2142)&gt;1,"Artikel doppelt im selben Lager; ",""))</f>
        <v/>
      </c>
      <c r="P2142" s="47" t="n">
        <f aca="false">IF(OR($A2142="",D2142=""),0,IF(COUNTIF($D$2:D2142,D2142)=1,SUMIF($D$2:$D$5001,D2142,$H$2:$H$5001)+ROW()/10000000,0))</f>
        <v>0</v>
      </c>
      <c r="Q2142" s="47" t="n">
        <f aca="false">IF(OR($A2142="",C2142=""),0,IF(COUNTIF($C$2:C2142,C2142)=1,SUMIF($C$2:$C$5001,C2142,$H$2:$H$5001)+ROW()/10000000,0))</f>
        <v>0</v>
      </c>
    </row>
    <row r="2143" customFormat="false" ht="15" hidden="false" customHeight="false" outlineLevel="0" collapsed="false">
      <c r="A2143" s="43"/>
      <c r="B2143" s="44"/>
      <c r="C2143" s="44"/>
      <c r="D2143" s="44"/>
      <c r="E2143" s="44"/>
      <c r="F2143" s="44"/>
      <c r="G2143" s="44"/>
      <c r="H2143" s="46" t="str">
        <f aca="false">IF($A2143="","",IF(OR(NOT(ISNUMBER(E2143)),NOT(ISNUMBER(F2143))),"",MAX(0,E2143)*F2143))</f>
        <v/>
      </c>
      <c r="I2143" s="46" t="str">
        <f aca="false">IF($A2143="","",SUMIF($A$2:$A$5001,$A2143,$H$2:$H$5001))</f>
        <v/>
      </c>
      <c r="J2143" s="47" t="n">
        <f aca="false">IF($A2143="",0,IF(COUNTIF($A$2:A2143,$A2143)=1,1,0))</f>
        <v>0</v>
      </c>
      <c r="K2143" s="47" t="n">
        <f aca="false">IF(J2143=1,N(I2143)+ROW()/10000000,0)</f>
        <v>0</v>
      </c>
      <c r="L2143" s="47" t="str">
        <f aca="false">IF(AND(J2143=1,N(I2143)&gt;0),SUMIF($K$2:$K$5001,"&gt;="&amp;K2143,$I$2:$I$5001)/MAX(1,SUM($H$2:$H$5001)),"")</f>
        <v/>
      </c>
      <c r="M2143" s="47" t="str">
        <f aca="false">IF($A2143="","",INDEX($L$2:$L$5001,MATCH($A2143,$A$2:$A$5001,0)))</f>
        <v/>
      </c>
      <c r="N2143" s="48" t="str">
        <f aca="false">IF($A2143="","",IF(N(M2143)=0,"–",IF(M2143&lt;=Start!$D$20,"A",IF(M2143&lt;=Start!$D$21,"B","C"))))</f>
        <v/>
      </c>
      <c r="O2143" s="48" t="str">
        <f aca="false">IF($A2143="","",IF(NOT(ISNUMBER(F2143)),"Wert fehlt; ",IF(F2143&lt;=0,"Wert ist 0; ",""))&amp;IF(NOT(ISNUMBER(E2143)),"Bestand fehlt; ",IF(E2143&lt;0,"Bestand negativ; ",IF(E2143=0,"Nullbestand; ","")))&amp;IF(D2143="","Warengruppe fehlt; ","")&amp;IF(B2143="","Bezeichnung fehlt; ","")&amp;IF(COUNTIFS($A$2:$A$5001,$A2143,$C$2:$C$5001,C2143)&gt;1,"Artikel doppelt im selben Lager; ",""))</f>
        <v/>
      </c>
      <c r="P2143" s="47" t="n">
        <f aca="false">IF(OR($A2143="",D2143=""),0,IF(COUNTIF($D$2:D2143,D2143)=1,SUMIF($D$2:$D$5001,D2143,$H$2:$H$5001)+ROW()/10000000,0))</f>
        <v>0</v>
      </c>
      <c r="Q2143" s="47" t="n">
        <f aca="false">IF(OR($A2143="",C2143=""),0,IF(COUNTIF($C$2:C2143,C2143)=1,SUMIF($C$2:$C$5001,C2143,$H$2:$H$5001)+ROW()/10000000,0))</f>
        <v>0</v>
      </c>
    </row>
    <row r="2144" customFormat="false" ht="15" hidden="false" customHeight="false" outlineLevel="0" collapsed="false">
      <c r="A2144" s="43"/>
      <c r="B2144" s="44"/>
      <c r="C2144" s="44"/>
      <c r="D2144" s="44"/>
      <c r="E2144" s="44"/>
      <c r="F2144" s="44"/>
      <c r="G2144" s="44"/>
      <c r="H2144" s="46" t="str">
        <f aca="false">IF($A2144="","",IF(OR(NOT(ISNUMBER(E2144)),NOT(ISNUMBER(F2144))),"",MAX(0,E2144)*F2144))</f>
        <v/>
      </c>
      <c r="I2144" s="46" t="str">
        <f aca="false">IF($A2144="","",SUMIF($A$2:$A$5001,$A2144,$H$2:$H$5001))</f>
        <v/>
      </c>
      <c r="J2144" s="47" t="n">
        <f aca="false">IF($A2144="",0,IF(COUNTIF($A$2:A2144,$A2144)=1,1,0))</f>
        <v>0</v>
      </c>
      <c r="K2144" s="47" t="n">
        <f aca="false">IF(J2144=1,N(I2144)+ROW()/10000000,0)</f>
        <v>0</v>
      </c>
      <c r="L2144" s="47" t="str">
        <f aca="false">IF(AND(J2144=1,N(I2144)&gt;0),SUMIF($K$2:$K$5001,"&gt;="&amp;K2144,$I$2:$I$5001)/MAX(1,SUM($H$2:$H$5001)),"")</f>
        <v/>
      </c>
      <c r="M2144" s="47" t="str">
        <f aca="false">IF($A2144="","",INDEX($L$2:$L$5001,MATCH($A2144,$A$2:$A$5001,0)))</f>
        <v/>
      </c>
      <c r="N2144" s="48" t="str">
        <f aca="false">IF($A2144="","",IF(N(M2144)=0,"–",IF(M2144&lt;=Start!$D$20,"A",IF(M2144&lt;=Start!$D$21,"B","C"))))</f>
        <v/>
      </c>
      <c r="O2144" s="48" t="str">
        <f aca="false">IF($A2144="","",IF(NOT(ISNUMBER(F2144)),"Wert fehlt; ",IF(F2144&lt;=0,"Wert ist 0; ",""))&amp;IF(NOT(ISNUMBER(E2144)),"Bestand fehlt; ",IF(E2144&lt;0,"Bestand negativ; ",IF(E2144=0,"Nullbestand; ","")))&amp;IF(D2144="","Warengruppe fehlt; ","")&amp;IF(B2144="","Bezeichnung fehlt; ","")&amp;IF(COUNTIFS($A$2:$A$5001,$A2144,$C$2:$C$5001,C2144)&gt;1,"Artikel doppelt im selben Lager; ",""))</f>
        <v/>
      </c>
      <c r="P2144" s="47" t="n">
        <f aca="false">IF(OR($A2144="",D2144=""),0,IF(COUNTIF($D$2:D2144,D2144)=1,SUMIF($D$2:$D$5001,D2144,$H$2:$H$5001)+ROW()/10000000,0))</f>
        <v>0</v>
      </c>
      <c r="Q2144" s="47" t="n">
        <f aca="false">IF(OR($A2144="",C2144=""),0,IF(COUNTIF($C$2:C2144,C2144)=1,SUMIF($C$2:$C$5001,C2144,$H$2:$H$5001)+ROW()/10000000,0))</f>
        <v>0</v>
      </c>
    </row>
    <row r="2145" customFormat="false" ht="15" hidden="false" customHeight="false" outlineLevel="0" collapsed="false">
      <c r="A2145" s="43"/>
      <c r="B2145" s="44"/>
      <c r="C2145" s="44"/>
      <c r="D2145" s="44"/>
      <c r="E2145" s="44"/>
      <c r="F2145" s="44"/>
      <c r="G2145" s="44"/>
      <c r="H2145" s="46" t="str">
        <f aca="false">IF($A2145="","",IF(OR(NOT(ISNUMBER(E2145)),NOT(ISNUMBER(F2145))),"",MAX(0,E2145)*F2145))</f>
        <v/>
      </c>
      <c r="I2145" s="46" t="str">
        <f aca="false">IF($A2145="","",SUMIF($A$2:$A$5001,$A2145,$H$2:$H$5001))</f>
        <v/>
      </c>
      <c r="J2145" s="47" t="n">
        <f aca="false">IF($A2145="",0,IF(COUNTIF($A$2:A2145,$A2145)=1,1,0))</f>
        <v>0</v>
      </c>
      <c r="K2145" s="47" t="n">
        <f aca="false">IF(J2145=1,N(I2145)+ROW()/10000000,0)</f>
        <v>0</v>
      </c>
      <c r="L2145" s="47" t="str">
        <f aca="false">IF(AND(J2145=1,N(I2145)&gt;0),SUMIF($K$2:$K$5001,"&gt;="&amp;K2145,$I$2:$I$5001)/MAX(1,SUM($H$2:$H$5001)),"")</f>
        <v/>
      </c>
      <c r="M2145" s="47" t="str">
        <f aca="false">IF($A2145="","",INDEX($L$2:$L$5001,MATCH($A2145,$A$2:$A$5001,0)))</f>
        <v/>
      </c>
      <c r="N2145" s="48" t="str">
        <f aca="false">IF($A2145="","",IF(N(M2145)=0,"–",IF(M2145&lt;=Start!$D$20,"A",IF(M2145&lt;=Start!$D$21,"B","C"))))</f>
        <v/>
      </c>
      <c r="O2145" s="48" t="str">
        <f aca="false">IF($A2145="","",IF(NOT(ISNUMBER(F2145)),"Wert fehlt; ",IF(F2145&lt;=0,"Wert ist 0; ",""))&amp;IF(NOT(ISNUMBER(E2145)),"Bestand fehlt; ",IF(E2145&lt;0,"Bestand negativ; ",IF(E2145=0,"Nullbestand; ","")))&amp;IF(D2145="","Warengruppe fehlt; ","")&amp;IF(B2145="","Bezeichnung fehlt; ","")&amp;IF(COUNTIFS($A$2:$A$5001,$A2145,$C$2:$C$5001,C2145)&gt;1,"Artikel doppelt im selben Lager; ",""))</f>
        <v/>
      </c>
      <c r="P2145" s="47" t="n">
        <f aca="false">IF(OR($A2145="",D2145=""),0,IF(COUNTIF($D$2:D2145,D2145)=1,SUMIF($D$2:$D$5001,D2145,$H$2:$H$5001)+ROW()/10000000,0))</f>
        <v>0</v>
      </c>
      <c r="Q2145" s="47" t="n">
        <f aca="false">IF(OR($A2145="",C2145=""),0,IF(COUNTIF($C$2:C2145,C2145)=1,SUMIF($C$2:$C$5001,C2145,$H$2:$H$5001)+ROW()/10000000,0))</f>
        <v>0</v>
      </c>
    </row>
    <row r="2146" customFormat="false" ht="15" hidden="false" customHeight="false" outlineLevel="0" collapsed="false">
      <c r="A2146" s="43"/>
      <c r="B2146" s="44"/>
      <c r="C2146" s="44"/>
      <c r="D2146" s="44"/>
      <c r="E2146" s="44"/>
      <c r="F2146" s="44"/>
      <c r="G2146" s="44"/>
      <c r="H2146" s="46" t="str">
        <f aca="false">IF($A2146="","",IF(OR(NOT(ISNUMBER(E2146)),NOT(ISNUMBER(F2146))),"",MAX(0,E2146)*F2146))</f>
        <v/>
      </c>
      <c r="I2146" s="46" t="str">
        <f aca="false">IF($A2146="","",SUMIF($A$2:$A$5001,$A2146,$H$2:$H$5001))</f>
        <v/>
      </c>
      <c r="J2146" s="47" t="n">
        <f aca="false">IF($A2146="",0,IF(COUNTIF($A$2:A2146,$A2146)=1,1,0))</f>
        <v>0</v>
      </c>
      <c r="K2146" s="47" t="n">
        <f aca="false">IF(J2146=1,N(I2146)+ROW()/10000000,0)</f>
        <v>0</v>
      </c>
      <c r="L2146" s="47" t="str">
        <f aca="false">IF(AND(J2146=1,N(I2146)&gt;0),SUMIF($K$2:$K$5001,"&gt;="&amp;K2146,$I$2:$I$5001)/MAX(1,SUM($H$2:$H$5001)),"")</f>
        <v/>
      </c>
      <c r="M2146" s="47" t="str">
        <f aca="false">IF($A2146="","",INDEX($L$2:$L$5001,MATCH($A2146,$A$2:$A$5001,0)))</f>
        <v/>
      </c>
      <c r="N2146" s="48" t="str">
        <f aca="false">IF($A2146="","",IF(N(M2146)=0,"–",IF(M2146&lt;=Start!$D$20,"A",IF(M2146&lt;=Start!$D$21,"B","C"))))</f>
        <v/>
      </c>
      <c r="O2146" s="48" t="str">
        <f aca="false">IF($A2146="","",IF(NOT(ISNUMBER(F2146)),"Wert fehlt; ",IF(F2146&lt;=0,"Wert ist 0; ",""))&amp;IF(NOT(ISNUMBER(E2146)),"Bestand fehlt; ",IF(E2146&lt;0,"Bestand negativ; ",IF(E2146=0,"Nullbestand; ","")))&amp;IF(D2146="","Warengruppe fehlt; ","")&amp;IF(B2146="","Bezeichnung fehlt; ","")&amp;IF(COUNTIFS($A$2:$A$5001,$A2146,$C$2:$C$5001,C2146)&gt;1,"Artikel doppelt im selben Lager; ",""))</f>
        <v/>
      </c>
      <c r="P2146" s="47" t="n">
        <f aca="false">IF(OR($A2146="",D2146=""),0,IF(COUNTIF($D$2:D2146,D2146)=1,SUMIF($D$2:$D$5001,D2146,$H$2:$H$5001)+ROW()/10000000,0))</f>
        <v>0</v>
      </c>
      <c r="Q2146" s="47" t="n">
        <f aca="false">IF(OR($A2146="",C2146=""),0,IF(COUNTIF($C$2:C2146,C2146)=1,SUMIF($C$2:$C$5001,C2146,$H$2:$H$5001)+ROW()/10000000,0))</f>
        <v>0</v>
      </c>
    </row>
    <row r="2147" customFormat="false" ht="15" hidden="false" customHeight="false" outlineLevel="0" collapsed="false">
      <c r="A2147" s="43"/>
      <c r="B2147" s="44"/>
      <c r="C2147" s="44"/>
      <c r="D2147" s="44"/>
      <c r="E2147" s="44"/>
      <c r="F2147" s="44"/>
      <c r="G2147" s="44"/>
      <c r="H2147" s="46" t="str">
        <f aca="false">IF($A2147="","",IF(OR(NOT(ISNUMBER(E2147)),NOT(ISNUMBER(F2147))),"",MAX(0,E2147)*F2147))</f>
        <v/>
      </c>
      <c r="I2147" s="46" t="str">
        <f aca="false">IF($A2147="","",SUMIF($A$2:$A$5001,$A2147,$H$2:$H$5001))</f>
        <v/>
      </c>
      <c r="J2147" s="47" t="n">
        <f aca="false">IF($A2147="",0,IF(COUNTIF($A$2:A2147,$A2147)=1,1,0))</f>
        <v>0</v>
      </c>
      <c r="K2147" s="47" t="n">
        <f aca="false">IF(J2147=1,N(I2147)+ROW()/10000000,0)</f>
        <v>0</v>
      </c>
      <c r="L2147" s="47" t="str">
        <f aca="false">IF(AND(J2147=1,N(I2147)&gt;0),SUMIF($K$2:$K$5001,"&gt;="&amp;K2147,$I$2:$I$5001)/MAX(1,SUM($H$2:$H$5001)),"")</f>
        <v/>
      </c>
      <c r="M2147" s="47" t="str">
        <f aca="false">IF($A2147="","",INDEX($L$2:$L$5001,MATCH($A2147,$A$2:$A$5001,0)))</f>
        <v/>
      </c>
      <c r="N2147" s="48" t="str">
        <f aca="false">IF($A2147="","",IF(N(M2147)=0,"–",IF(M2147&lt;=Start!$D$20,"A",IF(M2147&lt;=Start!$D$21,"B","C"))))</f>
        <v/>
      </c>
      <c r="O2147" s="48" t="str">
        <f aca="false">IF($A2147="","",IF(NOT(ISNUMBER(F2147)),"Wert fehlt; ",IF(F2147&lt;=0,"Wert ist 0; ",""))&amp;IF(NOT(ISNUMBER(E2147)),"Bestand fehlt; ",IF(E2147&lt;0,"Bestand negativ; ",IF(E2147=0,"Nullbestand; ","")))&amp;IF(D2147="","Warengruppe fehlt; ","")&amp;IF(B2147="","Bezeichnung fehlt; ","")&amp;IF(COUNTIFS($A$2:$A$5001,$A2147,$C$2:$C$5001,C2147)&gt;1,"Artikel doppelt im selben Lager; ",""))</f>
        <v/>
      </c>
      <c r="P2147" s="47" t="n">
        <f aca="false">IF(OR($A2147="",D2147=""),0,IF(COUNTIF($D$2:D2147,D2147)=1,SUMIF($D$2:$D$5001,D2147,$H$2:$H$5001)+ROW()/10000000,0))</f>
        <v>0</v>
      </c>
      <c r="Q2147" s="47" t="n">
        <f aca="false">IF(OR($A2147="",C2147=""),0,IF(COUNTIF($C$2:C2147,C2147)=1,SUMIF($C$2:$C$5001,C2147,$H$2:$H$5001)+ROW()/10000000,0))</f>
        <v>0</v>
      </c>
    </row>
    <row r="2148" customFormat="false" ht="15" hidden="false" customHeight="false" outlineLevel="0" collapsed="false">
      <c r="A2148" s="43"/>
      <c r="B2148" s="44"/>
      <c r="C2148" s="44"/>
      <c r="D2148" s="44"/>
      <c r="E2148" s="44"/>
      <c r="F2148" s="44"/>
      <c r="G2148" s="44"/>
      <c r="H2148" s="46" t="str">
        <f aca="false">IF($A2148="","",IF(OR(NOT(ISNUMBER(E2148)),NOT(ISNUMBER(F2148))),"",MAX(0,E2148)*F2148))</f>
        <v/>
      </c>
      <c r="I2148" s="46" t="str">
        <f aca="false">IF($A2148="","",SUMIF($A$2:$A$5001,$A2148,$H$2:$H$5001))</f>
        <v/>
      </c>
      <c r="J2148" s="47" t="n">
        <f aca="false">IF($A2148="",0,IF(COUNTIF($A$2:A2148,$A2148)=1,1,0))</f>
        <v>0</v>
      </c>
      <c r="K2148" s="47" t="n">
        <f aca="false">IF(J2148=1,N(I2148)+ROW()/10000000,0)</f>
        <v>0</v>
      </c>
      <c r="L2148" s="47" t="str">
        <f aca="false">IF(AND(J2148=1,N(I2148)&gt;0),SUMIF($K$2:$K$5001,"&gt;="&amp;K2148,$I$2:$I$5001)/MAX(1,SUM($H$2:$H$5001)),"")</f>
        <v/>
      </c>
      <c r="M2148" s="47" t="str">
        <f aca="false">IF($A2148="","",INDEX($L$2:$L$5001,MATCH($A2148,$A$2:$A$5001,0)))</f>
        <v/>
      </c>
      <c r="N2148" s="48" t="str">
        <f aca="false">IF($A2148="","",IF(N(M2148)=0,"–",IF(M2148&lt;=Start!$D$20,"A",IF(M2148&lt;=Start!$D$21,"B","C"))))</f>
        <v/>
      </c>
      <c r="O2148" s="48" t="str">
        <f aca="false">IF($A2148="","",IF(NOT(ISNUMBER(F2148)),"Wert fehlt; ",IF(F2148&lt;=0,"Wert ist 0; ",""))&amp;IF(NOT(ISNUMBER(E2148)),"Bestand fehlt; ",IF(E2148&lt;0,"Bestand negativ; ",IF(E2148=0,"Nullbestand; ","")))&amp;IF(D2148="","Warengruppe fehlt; ","")&amp;IF(B2148="","Bezeichnung fehlt; ","")&amp;IF(COUNTIFS($A$2:$A$5001,$A2148,$C$2:$C$5001,C2148)&gt;1,"Artikel doppelt im selben Lager; ",""))</f>
        <v/>
      </c>
      <c r="P2148" s="47" t="n">
        <f aca="false">IF(OR($A2148="",D2148=""),0,IF(COUNTIF($D$2:D2148,D2148)=1,SUMIF($D$2:$D$5001,D2148,$H$2:$H$5001)+ROW()/10000000,0))</f>
        <v>0</v>
      </c>
      <c r="Q2148" s="47" t="n">
        <f aca="false">IF(OR($A2148="",C2148=""),0,IF(COUNTIF($C$2:C2148,C2148)=1,SUMIF($C$2:$C$5001,C2148,$H$2:$H$5001)+ROW()/10000000,0))</f>
        <v>0</v>
      </c>
    </row>
    <row r="2149" customFormat="false" ht="15" hidden="false" customHeight="false" outlineLevel="0" collapsed="false">
      <c r="A2149" s="43"/>
      <c r="B2149" s="44"/>
      <c r="C2149" s="44"/>
      <c r="D2149" s="44"/>
      <c r="E2149" s="44"/>
      <c r="F2149" s="44"/>
      <c r="G2149" s="44"/>
      <c r="H2149" s="46" t="str">
        <f aca="false">IF($A2149="","",IF(OR(NOT(ISNUMBER(E2149)),NOT(ISNUMBER(F2149))),"",MAX(0,E2149)*F2149))</f>
        <v/>
      </c>
      <c r="I2149" s="46" t="str">
        <f aca="false">IF($A2149="","",SUMIF($A$2:$A$5001,$A2149,$H$2:$H$5001))</f>
        <v/>
      </c>
      <c r="J2149" s="47" t="n">
        <f aca="false">IF($A2149="",0,IF(COUNTIF($A$2:A2149,$A2149)=1,1,0))</f>
        <v>0</v>
      </c>
      <c r="K2149" s="47" t="n">
        <f aca="false">IF(J2149=1,N(I2149)+ROW()/10000000,0)</f>
        <v>0</v>
      </c>
      <c r="L2149" s="47" t="str">
        <f aca="false">IF(AND(J2149=1,N(I2149)&gt;0),SUMIF($K$2:$K$5001,"&gt;="&amp;K2149,$I$2:$I$5001)/MAX(1,SUM($H$2:$H$5001)),"")</f>
        <v/>
      </c>
      <c r="M2149" s="47" t="str">
        <f aca="false">IF($A2149="","",INDEX($L$2:$L$5001,MATCH($A2149,$A$2:$A$5001,0)))</f>
        <v/>
      </c>
      <c r="N2149" s="48" t="str">
        <f aca="false">IF($A2149="","",IF(N(M2149)=0,"–",IF(M2149&lt;=Start!$D$20,"A",IF(M2149&lt;=Start!$D$21,"B","C"))))</f>
        <v/>
      </c>
      <c r="O2149" s="48" t="str">
        <f aca="false">IF($A2149="","",IF(NOT(ISNUMBER(F2149)),"Wert fehlt; ",IF(F2149&lt;=0,"Wert ist 0; ",""))&amp;IF(NOT(ISNUMBER(E2149)),"Bestand fehlt; ",IF(E2149&lt;0,"Bestand negativ; ",IF(E2149=0,"Nullbestand; ","")))&amp;IF(D2149="","Warengruppe fehlt; ","")&amp;IF(B2149="","Bezeichnung fehlt; ","")&amp;IF(COUNTIFS($A$2:$A$5001,$A2149,$C$2:$C$5001,C2149)&gt;1,"Artikel doppelt im selben Lager; ",""))</f>
        <v/>
      </c>
      <c r="P2149" s="47" t="n">
        <f aca="false">IF(OR($A2149="",D2149=""),0,IF(COUNTIF($D$2:D2149,D2149)=1,SUMIF($D$2:$D$5001,D2149,$H$2:$H$5001)+ROW()/10000000,0))</f>
        <v>0</v>
      </c>
      <c r="Q2149" s="47" t="n">
        <f aca="false">IF(OR($A2149="",C2149=""),0,IF(COUNTIF($C$2:C2149,C2149)=1,SUMIF($C$2:$C$5001,C2149,$H$2:$H$5001)+ROW()/10000000,0))</f>
        <v>0</v>
      </c>
    </row>
    <row r="2150" customFormat="false" ht="15" hidden="false" customHeight="false" outlineLevel="0" collapsed="false">
      <c r="A2150" s="43"/>
      <c r="B2150" s="44"/>
      <c r="C2150" s="44"/>
      <c r="D2150" s="44"/>
      <c r="E2150" s="44"/>
      <c r="F2150" s="44"/>
      <c r="G2150" s="44"/>
      <c r="H2150" s="46" t="str">
        <f aca="false">IF($A2150="","",IF(OR(NOT(ISNUMBER(E2150)),NOT(ISNUMBER(F2150))),"",MAX(0,E2150)*F2150))</f>
        <v/>
      </c>
      <c r="I2150" s="46" t="str">
        <f aca="false">IF($A2150="","",SUMIF($A$2:$A$5001,$A2150,$H$2:$H$5001))</f>
        <v/>
      </c>
      <c r="J2150" s="47" t="n">
        <f aca="false">IF($A2150="",0,IF(COUNTIF($A$2:A2150,$A2150)=1,1,0))</f>
        <v>0</v>
      </c>
      <c r="K2150" s="47" t="n">
        <f aca="false">IF(J2150=1,N(I2150)+ROW()/10000000,0)</f>
        <v>0</v>
      </c>
      <c r="L2150" s="47" t="str">
        <f aca="false">IF(AND(J2150=1,N(I2150)&gt;0),SUMIF($K$2:$K$5001,"&gt;="&amp;K2150,$I$2:$I$5001)/MAX(1,SUM($H$2:$H$5001)),"")</f>
        <v/>
      </c>
      <c r="M2150" s="47" t="str">
        <f aca="false">IF($A2150="","",INDEX($L$2:$L$5001,MATCH($A2150,$A$2:$A$5001,0)))</f>
        <v/>
      </c>
      <c r="N2150" s="48" t="str">
        <f aca="false">IF($A2150="","",IF(N(M2150)=0,"–",IF(M2150&lt;=Start!$D$20,"A",IF(M2150&lt;=Start!$D$21,"B","C"))))</f>
        <v/>
      </c>
      <c r="O2150" s="48" t="str">
        <f aca="false">IF($A2150="","",IF(NOT(ISNUMBER(F2150)),"Wert fehlt; ",IF(F2150&lt;=0,"Wert ist 0; ",""))&amp;IF(NOT(ISNUMBER(E2150)),"Bestand fehlt; ",IF(E2150&lt;0,"Bestand negativ; ",IF(E2150=0,"Nullbestand; ","")))&amp;IF(D2150="","Warengruppe fehlt; ","")&amp;IF(B2150="","Bezeichnung fehlt; ","")&amp;IF(COUNTIFS($A$2:$A$5001,$A2150,$C$2:$C$5001,C2150)&gt;1,"Artikel doppelt im selben Lager; ",""))</f>
        <v/>
      </c>
      <c r="P2150" s="47" t="n">
        <f aca="false">IF(OR($A2150="",D2150=""),0,IF(COUNTIF($D$2:D2150,D2150)=1,SUMIF($D$2:$D$5001,D2150,$H$2:$H$5001)+ROW()/10000000,0))</f>
        <v>0</v>
      </c>
      <c r="Q2150" s="47" t="n">
        <f aca="false">IF(OR($A2150="",C2150=""),0,IF(COUNTIF($C$2:C2150,C2150)=1,SUMIF($C$2:$C$5001,C2150,$H$2:$H$5001)+ROW()/10000000,0))</f>
        <v>0</v>
      </c>
    </row>
    <row r="2151" customFormat="false" ht="15" hidden="false" customHeight="false" outlineLevel="0" collapsed="false">
      <c r="A2151" s="43"/>
      <c r="B2151" s="44"/>
      <c r="C2151" s="44"/>
      <c r="D2151" s="44"/>
      <c r="E2151" s="44"/>
      <c r="F2151" s="44"/>
      <c r="G2151" s="44"/>
      <c r="H2151" s="46" t="str">
        <f aca="false">IF($A2151="","",IF(OR(NOT(ISNUMBER(E2151)),NOT(ISNUMBER(F2151))),"",MAX(0,E2151)*F2151))</f>
        <v/>
      </c>
      <c r="I2151" s="46" t="str">
        <f aca="false">IF($A2151="","",SUMIF($A$2:$A$5001,$A2151,$H$2:$H$5001))</f>
        <v/>
      </c>
      <c r="J2151" s="47" t="n">
        <f aca="false">IF($A2151="",0,IF(COUNTIF($A$2:A2151,$A2151)=1,1,0))</f>
        <v>0</v>
      </c>
      <c r="K2151" s="47" t="n">
        <f aca="false">IF(J2151=1,N(I2151)+ROW()/10000000,0)</f>
        <v>0</v>
      </c>
      <c r="L2151" s="47" t="str">
        <f aca="false">IF(AND(J2151=1,N(I2151)&gt;0),SUMIF($K$2:$K$5001,"&gt;="&amp;K2151,$I$2:$I$5001)/MAX(1,SUM($H$2:$H$5001)),"")</f>
        <v/>
      </c>
      <c r="M2151" s="47" t="str">
        <f aca="false">IF($A2151="","",INDEX($L$2:$L$5001,MATCH($A2151,$A$2:$A$5001,0)))</f>
        <v/>
      </c>
      <c r="N2151" s="48" t="str">
        <f aca="false">IF($A2151="","",IF(N(M2151)=0,"–",IF(M2151&lt;=Start!$D$20,"A",IF(M2151&lt;=Start!$D$21,"B","C"))))</f>
        <v/>
      </c>
      <c r="O2151" s="48" t="str">
        <f aca="false">IF($A2151="","",IF(NOT(ISNUMBER(F2151)),"Wert fehlt; ",IF(F2151&lt;=0,"Wert ist 0; ",""))&amp;IF(NOT(ISNUMBER(E2151)),"Bestand fehlt; ",IF(E2151&lt;0,"Bestand negativ; ",IF(E2151=0,"Nullbestand; ","")))&amp;IF(D2151="","Warengruppe fehlt; ","")&amp;IF(B2151="","Bezeichnung fehlt; ","")&amp;IF(COUNTIFS($A$2:$A$5001,$A2151,$C$2:$C$5001,C2151)&gt;1,"Artikel doppelt im selben Lager; ",""))</f>
        <v/>
      </c>
      <c r="P2151" s="47" t="n">
        <f aca="false">IF(OR($A2151="",D2151=""),0,IF(COUNTIF($D$2:D2151,D2151)=1,SUMIF($D$2:$D$5001,D2151,$H$2:$H$5001)+ROW()/10000000,0))</f>
        <v>0</v>
      </c>
      <c r="Q2151" s="47" t="n">
        <f aca="false">IF(OR($A2151="",C2151=""),0,IF(COUNTIF($C$2:C2151,C2151)=1,SUMIF($C$2:$C$5001,C2151,$H$2:$H$5001)+ROW()/10000000,0))</f>
        <v>0</v>
      </c>
    </row>
    <row r="2152" customFormat="false" ht="15" hidden="false" customHeight="false" outlineLevel="0" collapsed="false">
      <c r="A2152" s="43"/>
      <c r="B2152" s="44"/>
      <c r="C2152" s="44"/>
      <c r="D2152" s="44"/>
      <c r="E2152" s="44"/>
      <c r="F2152" s="44"/>
      <c r="G2152" s="44"/>
      <c r="H2152" s="46" t="str">
        <f aca="false">IF($A2152="","",IF(OR(NOT(ISNUMBER(E2152)),NOT(ISNUMBER(F2152))),"",MAX(0,E2152)*F2152))</f>
        <v/>
      </c>
      <c r="I2152" s="46" t="str">
        <f aca="false">IF($A2152="","",SUMIF($A$2:$A$5001,$A2152,$H$2:$H$5001))</f>
        <v/>
      </c>
      <c r="J2152" s="47" t="n">
        <f aca="false">IF($A2152="",0,IF(COUNTIF($A$2:A2152,$A2152)=1,1,0))</f>
        <v>0</v>
      </c>
      <c r="K2152" s="47" t="n">
        <f aca="false">IF(J2152=1,N(I2152)+ROW()/10000000,0)</f>
        <v>0</v>
      </c>
      <c r="L2152" s="47" t="str">
        <f aca="false">IF(AND(J2152=1,N(I2152)&gt;0),SUMIF($K$2:$K$5001,"&gt;="&amp;K2152,$I$2:$I$5001)/MAX(1,SUM($H$2:$H$5001)),"")</f>
        <v/>
      </c>
      <c r="M2152" s="47" t="str">
        <f aca="false">IF($A2152="","",INDEX($L$2:$L$5001,MATCH($A2152,$A$2:$A$5001,0)))</f>
        <v/>
      </c>
      <c r="N2152" s="48" t="str">
        <f aca="false">IF($A2152="","",IF(N(M2152)=0,"–",IF(M2152&lt;=Start!$D$20,"A",IF(M2152&lt;=Start!$D$21,"B","C"))))</f>
        <v/>
      </c>
      <c r="O2152" s="48" t="str">
        <f aca="false">IF($A2152="","",IF(NOT(ISNUMBER(F2152)),"Wert fehlt; ",IF(F2152&lt;=0,"Wert ist 0; ",""))&amp;IF(NOT(ISNUMBER(E2152)),"Bestand fehlt; ",IF(E2152&lt;0,"Bestand negativ; ",IF(E2152=0,"Nullbestand; ","")))&amp;IF(D2152="","Warengruppe fehlt; ","")&amp;IF(B2152="","Bezeichnung fehlt; ","")&amp;IF(COUNTIFS($A$2:$A$5001,$A2152,$C$2:$C$5001,C2152)&gt;1,"Artikel doppelt im selben Lager; ",""))</f>
        <v/>
      </c>
      <c r="P2152" s="47" t="n">
        <f aca="false">IF(OR($A2152="",D2152=""),0,IF(COUNTIF($D$2:D2152,D2152)=1,SUMIF($D$2:$D$5001,D2152,$H$2:$H$5001)+ROW()/10000000,0))</f>
        <v>0</v>
      </c>
      <c r="Q2152" s="47" t="n">
        <f aca="false">IF(OR($A2152="",C2152=""),0,IF(COUNTIF($C$2:C2152,C2152)=1,SUMIF($C$2:$C$5001,C2152,$H$2:$H$5001)+ROW()/10000000,0))</f>
        <v>0</v>
      </c>
    </row>
    <row r="2153" customFormat="false" ht="15" hidden="false" customHeight="false" outlineLevel="0" collapsed="false">
      <c r="A2153" s="43"/>
      <c r="B2153" s="44"/>
      <c r="C2153" s="44"/>
      <c r="D2153" s="44"/>
      <c r="E2153" s="44"/>
      <c r="F2153" s="44"/>
      <c r="G2153" s="44"/>
      <c r="H2153" s="46" t="str">
        <f aca="false">IF($A2153="","",IF(OR(NOT(ISNUMBER(E2153)),NOT(ISNUMBER(F2153))),"",MAX(0,E2153)*F2153))</f>
        <v/>
      </c>
      <c r="I2153" s="46" t="str">
        <f aca="false">IF($A2153="","",SUMIF($A$2:$A$5001,$A2153,$H$2:$H$5001))</f>
        <v/>
      </c>
      <c r="J2153" s="47" t="n">
        <f aca="false">IF($A2153="",0,IF(COUNTIF($A$2:A2153,$A2153)=1,1,0))</f>
        <v>0</v>
      </c>
      <c r="K2153" s="47" t="n">
        <f aca="false">IF(J2153=1,N(I2153)+ROW()/10000000,0)</f>
        <v>0</v>
      </c>
      <c r="L2153" s="47" t="str">
        <f aca="false">IF(AND(J2153=1,N(I2153)&gt;0),SUMIF($K$2:$K$5001,"&gt;="&amp;K2153,$I$2:$I$5001)/MAX(1,SUM($H$2:$H$5001)),"")</f>
        <v/>
      </c>
      <c r="M2153" s="47" t="str">
        <f aca="false">IF($A2153="","",INDEX($L$2:$L$5001,MATCH($A2153,$A$2:$A$5001,0)))</f>
        <v/>
      </c>
      <c r="N2153" s="48" t="str">
        <f aca="false">IF($A2153="","",IF(N(M2153)=0,"–",IF(M2153&lt;=Start!$D$20,"A",IF(M2153&lt;=Start!$D$21,"B","C"))))</f>
        <v/>
      </c>
      <c r="O2153" s="48" t="str">
        <f aca="false">IF($A2153="","",IF(NOT(ISNUMBER(F2153)),"Wert fehlt; ",IF(F2153&lt;=0,"Wert ist 0; ",""))&amp;IF(NOT(ISNUMBER(E2153)),"Bestand fehlt; ",IF(E2153&lt;0,"Bestand negativ; ",IF(E2153=0,"Nullbestand; ","")))&amp;IF(D2153="","Warengruppe fehlt; ","")&amp;IF(B2153="","Bezeichnung fehlt; ","")&amp;IF(COUNTIFS($A$2:$A$5001,$A2153,$C$2:$C$5001,C2153)&gt;1,"Artikel doppelt im selben Lager; ",""))</f>
        <v/>
      </c>
      <c r="P2153" s="47" t="n">
        <f aca="false">IF(OR($A2153="",D2153=""),0,IF(COUNTIF($D$2:D2153,D2153)=1,SUMIF($D$2:$D$5001,D2153,$H$2:$H$5001)+ROW()/10000000,0))</f>
        <v>0</v>
      </c>
      <c r="Q2153" s="47" t="n">
        <f aca="false">IF(OR($A2153="",C2153=""),0,IF(COUNTIF($C$2:C2153,C2153)=1,SUMIF($C$2:$C$5001,C2153,$H$2:$H$5001)+ROW()/10000000,0))</f>
        <v>0</v>
      </c>
    </row>
    <row r="2154" customFormat="false" ht="15" hidden="false" customHeight="false" outlineLevel="0" collapsed="false">
      <c r="A2154" s="43"/>
      <c r="B2154" s="44"/>
      <c r="C2154" s="44"/>
      <c r="D2154" s="44"/>
      <c r="E2154" s="44"/>
      <c r="F2154" s="44"/>
      <c r="G2154" s="44"/>
      <c r="H2154" s="46" t="str">
        <f aca="false">IF($A2154="","",IF(OR(NOT(ISNUMBER(E2154)),NOT(ISNUMBER(F2154))),"",MAX(0,E2154)*F2154))</f>
        <v/>
      </c>
      <c r="I2154" s="46" t="str">
        <f aca="false">IF($A2154="","",SUMIF($A$2:$A$5001,$A2154,$H$2:$H$5001))</f>
        <v/>
      </c>
      <c r="J2154" s="47" t="n">
        <f aca="false">IF($A2154="",0,IF(COUNTIF($A$2:A2154,$A2154)=1,1,0))</f>
        <v>0</v>
      </c>
      <c r="K2154" s="47" t="n">
        <f aca="false">IF(J2154=1,N(I2154)+ROW()/10000000,0)</f>
        <v>0</v>
      </c>
      <c r="L2154" s="47" t="str">
        <f aca="false">IF(AND(J2154=1,N(I2154)&gt;0),SUMIF($K$2:$K$5001,"&gt;="&amp;K2154,$I$2:$I$5001)/MAX(1,SUM($H$2:$H$5001)),"")</f>
        <v/>
      </c>
      <c r="M2154" s="47" t="str">
        <f aca="false">IF($A2154="","",INDEX($L$2:$L$5001,MATCH($A2154,$A$2:$A$5001,0)))</f>
        <v/>
      </c>
      <c r="N2154" s="48" t="str">
        <f aca="false">IF($A2154="","",IF(N(M2154)=0,"–",IF(M2154&lt;=Start!$D$20,"A",IF(M2154&lt;=Start!$D$21,"B","C"))))</f>
        <v/>
      </c>
      <c r="O2154" s="48" t="str">
        <f aca="false">IF($A2154="","",IF(NOT(ISNUMBER(F2154)),"Wert fehlt; ",IF(F2154&lt;=0,"Wert ist 0; ",""))&amp;IF(NOT(ISNUMBER(E2154)),"Bestand fehlt; ",IF(E2154&lt;0,"Bestand negativ; ",IF(E2154=0,"Nullbestand; ","")))&amp;IF(D2154="","Warengruppe fehlt; ","")&amp;IF(B2154="","Bezeichnung fehlt; ","")&amp;IF(COUNTIFS($A$2:$A$5001,$A2154,$C$2:$C$5001,C2154)&gt;1,"Artikel doppelt im selben Lager; ",""))</f>
        <v/>
      </c>
      <c r="P2154" s="47" t="n">
        <f aca="false">IF(OR($A2154="",D2154=""),0,IF(COUNTIF($D$2:D2154,D2154)=1,SUMIF($D$2:$D$5001,D2154,$H$2:$H$5001)+ROW()/10000000,0))</f>
        <v>0</v>
      </c>
      <c r="Q2154" s="47" t="n">
        <f aca="false">IF(OR($A2154="",C2154=""),0,IF(COUNTIF($C$2:C2154,C2154)=1,SUMIF($C$2:$C$5001,C2154,$H$2:$H$5001)+ROW()/10000000,0))</f>
        <v>0</v>
      </c>
    </row>
    <row r="2155" customFormat="false" ht="15" hidden="false" customHeight="false" outlineLevel="0" collapsed="false">
      <c r="A2155" s="43"/>
      <c r="B2155" s="44"/>
      <c r="C2155" s="44"/>
      <c r="D2155" s="44"/>
      <c r="E2155" s="44"/>
      <c r="F2155" s="44"/>
      <c r="G2155" s="44"/>
      <c r="H2155" s="46" t="str">
        <f aca="false">IF($A2155="","",IF(OR(NOT(ISNUMBER(E2155)),NOT(ISNUMBER(F2155))),"",MAX(0,E2155)*F2155))</f>
        <v/>
      </c>
      <c r="I2155" s="46" t="str">
        <f aca="false">IF($A2155="","",SUMIF($A$2:$A$5001,$A2155,$H$2:$H$5001))</f>
        <v/>
      </c>
      <c r="J2155" s="47" t="n">
        <f aca="false">IF($A2155="",0,IF(COUNTIF($A$2:A2155,$A2155)=1,1,0))</f>
        <v>0</v>
      </c>
      <c r="K2155" s="47" t="n">
        <f aca="false">IF(J2155=1,N(I2155)+ROW()/10000000,0)</f>
        <v>0</v>
      </c>
      <c r="L2155" s="47" t="str">
        <f aca="false">IF(AND(J2155=1,N(I2155)&gt;0),SUMIF($K$2:$K$5001,"&gt;="&amp;K2155,$I$2:$I$5001)/MAX(1,SUM($H$2:$H$5001)),"")</f>
        <v/>
      </c>
      <c r="M2155" s="47" t="str">
        <f aca="false">IF($A2155="","",INDEX($L$2:$L$5001,MATCH($A2155,$A$2:$A$5001,0)))</f>
        <v/>
      </c>
      <c r="N2155" s="48" t="str">
        <f aca="false">IF($A2155="","",IF(N(M2155)=0,"–",IF(M2155&lt;=Start!$D$20,"A",IF(M2155&lt;=Start!$D$21,"B","C"))))</f>
        <v/>
      </c>
      <c r="O2155" s="48" t="str">
        <f aca="false">IF($A2155="","",IF(NOT(ISNUMBER(F2155)),"Wert fehlt; ",IF(F2155&lt;=0,"Wert ist 0; ",""))&amp;IF(NOT(ISNUMBER(E2155)),"Bestand fehlt; ",IF(E2155&lt;0,"Bestand negativ; ",IF(E2155=0,"Nullbestand; ","")))&amp;IF(D2155="","Warengruppe fehlt; ","")&amp;IF(B2155="","Bezeichnung fehlt; ","")&amp;IF(COUNTIFS($A$2:$A$5001,$A2155,$C$2:$C$5001,C2155)&gt;1,"Artikel doppelt im selben Lager; ",""))</f>
        <v/>
      </c>
      <c r="P2155" s="47" t="n">
        <f aca="false">IF(OR($A2155="",D2155=""),0,IF(COUNTIF($D$2:D2155,D2155)=1,SUMIF($D$2:$D$5001,D2155,$H$2:$H$5001)+ROW()/10000000,0))</f>
        <v>0</v>
      </c>
      <c r="Q2155" s="47" t="n">
        <f aca="false">IF(OR($A2155="",C2155=""),0,IF(COUNTIF($C$2:C2155,C2155)=1,SUMIF($C$2:$C$5001,C2155,$H$2:$H$5001)+ROW()/10000000,0))</f>
        <v>0</v>
      </c>
    </row>
    <row r="2156" customFormat="false" ht="15" hidden="false" customHeight="false" outlineLevel="0" collapsed="false">
      <c r="A2156" s="43"/>
      <c r="B2156" s="44"/>
      <c r="C2156" s="44"/>
      <c r="D2156" s="44"/>
      <c r="E2156" s="44"/>
      <c r="F2156" s="44"/>
      <c r="G2156" s="44"/>
      <c r="H2156" s="46" t="str">
        <f aca="false">IF($A2156="","",IF(OR(NOT(ISNUMBER(E2156)),NOT(ISNUMBER(F2156))),"",MAX(0,E2156)*F2156))</f>
        <v/>
      </c>
      <c r="I2156" s="46" t="str">
        <f aca="false">IF($A2156="","",SUMIF($A$2:$A$5001,$A2156,$H$2:$H$5001))</f>
        <v/>
      </c>
      <c r="J2156" s="47" t="n">
        <f aca="false">IF($A2156="",0,IF(COUNTIF($A$2:A2156,$A2156)=1,1,0))</f>
        <v>0</v>
      </c>
      <c r="K2156" s="47" t="n">
        <f aca="false">IF(J2156=1,N(I2156)+ROW()/10000000,0)</f>
        <v>0</v>
      </c>
      <c r="L2156" s="47" t="str">
        <f aca="false">IF(AND(J2156=1,N(I2156)&gt;0),SUMIF($K$2:$K$5001,"&gt;="&amp;K2156,$I$2:$I$5001)/MAX(1,SUM($H$2:$H$5001)),"")</f>
        <v/>
      </c>
      <c r="M2156" s="47" t="str">
        <f aca="false">IF($A2156="","",INDEX($L$2:$L$5001,MATCH($A2156,$A$2:$A$5001,0)))</f>
        <v/>
      </c>
      <c r="N2156" s="48" t="str">
        <f aca="false">IF($A2156="","",IF(N(M2156)=0,"–",IF(M2156&lt;=Start!$D$20,"A",IF(M2156&lt;=Start!$D$21,"B","C"))))</f>
        <v/>
      </c>
      <c r="O2156" s="48" t="str">
        <f aca="false">IF($A2156="","",IF(NOT(ISNUMBER(F2156)),"Wert fehlt; ",IF(F2156&lt;=0,"Wert ist 0; ",""))&amp;IF(NOT(ISNUMBER(E2156)),"Bestand fehlt; ",IF(E2156&lt;0,"Bestand negativ; ",IF(E2156=0,"Nullbestand; ","")))&amp;IF(D2156="","Warengruppe fehlt; ","")&amp;IF(B2156="","Bezeichnung fehlt; ","")&amp;IF(COUNTIFS($A$2:$A$5001,$A2156,$C$2:$C$5001,C2156)&gt;1,"Artikel doppelt im selben Lager; ",""))</f>
        <v/>
      </c>
      <c r="P2156" s="47" t="n">
        <f aca="false">IF(OR($A2156="",D2156=""),0,IF(COUNTIF($D$2:D2156,D2156)=1,SUMIF($D$2:$D$5001,D2156,$H$2:$H$5001)+ROW()/10000000,0))</f>
        <v>0</v>
      </c>
      <c r="Q2156" s="47" t="n">
        <f aca="false">IF(OR($A2156="",C2156=""),0,IF(COUNTIF($C$2:C2156,C2156)=1,SUMIF($C$2:$C$5001,C2156,$H$2:$H$5001)+ROW()/10000000,0))</f>
        <v>0</v>
      </c>
    </row>
    <row r="2157" customFormat="false" ht="15" hidden="false" customHeight="false" outlineLevel="0" collapsed="false">
      <c r="A2157" s="43"/>
      <c r="B2157" s="44"/>
      <c r="C2157" s="44"/>
      <c r="D2157" s="44"/>
      <c r="E2157" s="44"/>
      <c r="F2157" s="44"/>
      <c r="G2157" s="44"/>
      <c r="H2157" s="46" t="str">
        <f aca="false">IF($A2157="","",IF(OR(NOT(ISNUMBER(E2157)),NOT(ISNUMBER(F2157))),"",MAX(0,E2157)*F2157))</f>
        <v/>
      </c>
      <c r="I2157" s="46" t="str">
        <f aca="false">IF($A2157="","",SUMIF($A$2:$A$5001,$A2157,$H$2:$H$5001))</f>
        <v/>
      </c>
      <c r="J2157" s="47" t="n">
        <f aca="false">IF($A2157="",0,IF(COUNTIF($A$2:A2157,$A2157)=1,1,0))</f>
        <v>0</v>
      </c>
      <c r="K2157" s="47" t="n">
        <f aca="false">IF(J2157=1,N(I2157)+ROW()/10000000,0)</f>
        <v>0</v>
      </c>
      <c r="L2157" s="47" t="str">
        <f aca="false">IF(AND(J2157=1,N(I2157)&gt;0),SUMIF($K$2:$K$5001,"&gt;="&amp;K2157,$I$2:$I$5001)/MAX(1,SUM($H$2:$H$5001)),"")</f>
        <v/>
      </c>
      <c r="M2157" s="47" t="str">
        <f aca="false">IF($A2157="","",INDEX($L$2:$L$5001,MATCH($A2157,$A$2:$A$5001,0)))</f>
        <v/>
      </c>
      <c r="N2157" s="48" t="str">
        <f aca="false">IF($A2157="","",IF(N(M2157)=0,"–",IF(M2157&lt;=Start!$D$20,"A",IF(M2157&lt;=Start!$D$21,"B","C"))))</f>
        <v/>
      </c>
      <c r="O2157" s="48" t="str">
        <f aca="false">IF($A2157="","",IF(NOT(ISNUMBER(F2157)),"Wert fehlt; ",IF(F2157&lt;=0,"Wert ist 0; ",""))&amp;IF(NOT(ISNUMBER(E2157)),"Bestand fehlt; ",IF(E2157&lt;0,"Bestand negativ; ",IF(E2157=0,"Nullbestand; ","")))&amp;IF(D2157="","Warengruppe fehlt; ","")&amp;IF(B2157="","Bezeichnung fehlt; ","")&amp;IF(COUNTIFS($A$2:$A$5001,$A2157,$C$2:$C$5001,C2157)&gt;1,"Artikel doppelt im selben Lager; ",""))</f>
        <v/>
      </c>
      <c r="P2157" s="47" t="n">
        <f aca="false">IF(OR($A2157="",D2157=""),0,IF(COUNTIF($D$2:D2157,D2157)=1,SUMIF($D$2:$D$5001,D2157,$H$2:$H$5001)+ROW()/10000000,0))</f>
        <v>0</v>
      </c>
      <c r="Q2157" s="47" t="n">
        <f aca="false">IF(OR($A2157="",C2157=""),0,IF(COUNTIF($C$2:C2157,C2157)=1,SUMIF($C$2:$C$5001,C2157,$H$2:$H$5001)+ROW()/10000000,0))</f>
        <v>0</v>
      </c>
    </row>
    <row r="2158" customFormat="false" ht="15" hidden="false" customHeight="false" outlineLevel="0" collapsed="false">
      <c r="A2158" s="43"/>
      <c r="B2158" s="44"/>
      <c r="C2158" s="44"/>
      <c r="D2158" s="44"/>
      <c r="E2158" s="44"/>
      <c r="F2158" s="44"/>
      <c r="G2158" s="44"/>
      <c r="H2158" s="46" t="str">
        <f aca="false">IF($A2158="","",IF(OR(NOT(ISNUMBER(E2158)),NOT(ISNUMBER(F2158))),"",MAX(0,E2158)*F2158))</f>
        <v/>
      </c>
      <c r="I2158" s="46" t="str">
        <f aca="false">IF($A2158="","",SUMIF($A$2:$A$5001,$A2158,$H$2:$H$5001))</f>
        <v/>
      </c>
      <c r="J2158" s="47" t="n">
        <f aca="false">IF($A2158="",0,IF(COUNTIF($A$2:A2158,$A2158)=1,1,0))</f>
        <v>0</v>
      </c>
      <c r="K2158" s="47" t="n">
        <f aca="false">IF(J2158=1,N(I2158)+ROW()/10000000,0)</f>
        <v>0</v>
      </c>
      <c r="L2158" s="47" t="str">
        <f aca="false">IF(AND(J2158=1,N(I2158)&gt;0),SUMIF($K$2:$K$5001,"&gt;="&amp;K2158,$I$2:$I$5001)/MAX(1,SUM($H$2:$H$5001)),"")</f>
        <v/>
      </c>
      <c r="M2158" s="47" t="str">
        <f aca="false">IF($A2158="","",INDEX($L$2:$L$5001,MATCH($A2158,$A$2:$A$5001,0)))</f>
        <v/>
      </c>
      <c r="N2158" s="48" t="str">
        <f aca="false">IF($A2158="","",IF(N(M2158)=0,"–",IF(M2158&lt;=Start!$D$20,"A",IF(M2158&lt;=Start!$D$21,"B","C"))))</f>
        <v/>
      </c>
      <c r="O2158" s="48" t="str">
        <f aca="false">IF($A2158="","",IF(NOT(ISNUMBER(F2158)),"Wert fehlt; ",IF(F2158&lt;=0,"Wert ist 0; ",""))&amp;IF(NOT(ISNUMBER(E2158)),"Bestand fehlt; ",IF(E2158&lt;0,"Bestand negativ; ",IF(E2158=0,"Nullbestand; ","")))&amp;IF(D2158="","Warengruppe fehlt; ","")&amp;IF(B2158="","Bezeichnung fehlt; ","")&amp;IF(COUNTIFS($A$2:$A$5001,$A2158,$C$2:$C$5001,C2158)&gt;1,"Artikel doppelt im selben Lager; ",""))</f>
        <v/>
      </c>
      <c r="P2158" s="47" t="n">
        <f aca="false">IF(OR($A2158="",D2158=""),0,IF(COUNTIF($D$2:D2158,D2158)=1,SUMIF($D$2:$D$5001,D2158,$H$2:$H$5001)+ROW()/10000000,0))</f>
        <v>0</v>
      </c>
      <c r="Q2158" s="47" t="n">
        <f aca="false">IF(OR($A2158="",C2158=""),0,IF(COUNTIF($C$2:C2158,C2158)=1,SUMIF($C$2:$C$5001,C2158,$H$2:$H$5001)+ROW()/10000000,0))</f>
        <v>0</v>
      </c>
    </row>
    <row r="2159" customFormat="false" ht="15" hidden="false" customHeight="false" outlineLevel="0" collapsed="false">
      <c r="A2159" s="43"/>
      <c r="B2159" s="44"/>
      <c r="C2159" s="44"/>
      <c r="D2159" s="44"/>
      <c r="E2159" s="44"/>
      <c r="F2159" s="44"/>
      <c r="G2159" s="44"/>
      <c r="H2159" s="46" t="str">
        <f aca="false">IF($A2159="","",IF(OR(NOT(ISNUMBER(E2159)),NOT(ISNUMBER(F2159))),"",MAX(0,E2159)*F2159))</f>
        <v/>
      </c>
      <c r="I2159" s="46" t="str">
        <f aca="false">IF($A2159="","",SUMIF($A$2:$A$5001,$A2159,$H$2:$H$5001))</f>
        <v/>
      </c>
      <c r="J2159" s="47" t="n">
        <f aca="false">IF($A2159="",0,IF(COUNTIF($A$2:A2159,$A2159)=1,1,0))</f>
        <v>0</v>
      </c>
      <c r="K2159" s="47" t="n">
        <f aca="false">IF(J2159=1,N(I2159)+ROW()/10000000,0)</f>
        <v>0</v>
      </c>
      <c r="L2159" s="47" t="str">
        <f aca="false">IF(AND(J2159=1,N(I2159)&gt;0),SUMIF($K$2:$K$5001,"&gt;="&amp;K2159,$I$2:$I$5001)/MAX(1,SUM($H$2:$H$5001)),"")</f>
        <v/>
      </c>
      <c r="M2159" s="47" t="str">
        <f aca="false">IF($A2159="","",INDEX($L$2:$L$5001,MATCH($A2159,$A$2:$A$5001,0)))</f>
        <v/>
      </c>
      <c r="N2159" s="48" t="str">
        <f aca="false">IF($A2159="","",IF(N(M2159)=0,"–",IF(M2159&lt;=Start!$D$20,"A",IF(M2159&lt;=Start!$D$21,"B","C"))))</f>
        <v/>
      </c>
      <c r="O2159" s="48" t="str">
        <f aca="false">IF($A2159="","",IF(NOT(ISNUMBER(F2159)),"Wert fehlt; ",IF(F2159&lt;=0,"Wert ist 0; ",""))&amp;IF(NOT(ISNUMBER(E2159)),"Bestand fehlt; ",IF(E2159&lt;0,"Bestand negativ; ",IF(E2159=0,"Nullbestand; ","")))&amp;IF(D2159="","Warengruppe fehlt; ","")&amp;IF(B2159="","Bezeichnung fehlt; ","")&amp;IF(COUNTIFS($A$2:$A$5001,$A2159,$C$2:$C$5001,C2159)&gt;1,"Artikel doppelt im selben Lager; ",""))</f>
        <v/>
      </c>
      <c r="P2159" s="47" t="n">
        <f aca="false">IF(OR($A2159="",D2159=""),0,IF(COUNTIF($D$2:D2159,D2159)=1,SUMIF($D$2:$D$5001,D2159,$H$2:$H$5001)+ROW()/10000000,0))</f>
        <v>0</v>
      </c>
      <c r="Q2159" s="47" t="n">
        <f aca="false">IF(OR($A2159="",C2159=""),0,IF(COUNTIF($C$2:C2159,C2159)=1,SUMIF($C$2:$C$5001,C2159,$H$2:$H$5001)+ROW()/10000000,0))</f>
        <v>0</v>
      </c>
    </row>
    <row r="2160" customFormat="false" ht="15" hidden="false" customHeight="false" outlineLevel="0" collapsed="false">
      <c r="A2160" s="43"/>
      <c r="B2160" s="44"/>
      <c r="C2160" s="44"/>
      <c r="D2160" s="44"/>
      <c r="E2160" s="44"/>
      <c r="F2160" s="44"/>
      <c r="G2160" s="44"/>
      <c r="H2160" s="46" t="str">
        <f aca="false">IF($A2160="","",IF(OR(NOT(ISNUMBER(E2160)),NOT(ISNUMBER(F2160))),"",MAX(0,E2160)*F2160))</f>
        <v/>
      </c>
      <c r="I2160" s="46" t="str">
        <f aca="false">IF($A2160="","",SUMIF($A$2:$A$5001,$A2160,$H$2:$H$5001))</f>
        <v/>
      </c>
      <c r="J2160" s="47" t="n">
        <f aca="false">IF($A2160="",0,IF(COUNTIF($A$2:A2160,$A2160)=1,1,0))</f>
        <v>0</v>
      </c>
      <c r="K2160" s="47" t="n">
        <f aca="false">IF(J2160=1,N(I2160)+ROW()/10000000,0)</f>
        <v>0</v>
      </c>
      <c r="L2160" s="47" t="str">
        <f aca="false">IF(AND(J2160=1,N(I2160)&gt;0),SUMIF($K$2:$K$5001,"&gt;="&amp;K2160,$I$2:$I$5001)/MAX(1,SUM($H$2:$H$5001)),"")</f>
        <v/>
      </c>
      <c r="M2160" s="47" t="str">
        <f aca="false">IF($A2160="","",INDEX($L$2:$L$5001,MATCH($A2160,$A$2:$A$5001,0)))</f>
        <v/>
      </c>
      <c r="N2160" s="48" t="str">
        <f aca="false">IF($A2160="","",IF(N(M2160)=0,"–",IF(M2160&lt;=Start!$D$20,"A",IF(M2160&lt;=Start!$D$21,"B","C"))))</f>
        <v/>
      </c>
      <c r="O2160" s="48" t="str">
        <f aca="false">IF($A2160="","",IF(NOT(ISNUMBER(F2160)),"Wert fehlt; ",IF(F2160&lt;=0,"Wert ist 0; ",""))&amp;IF(NOT(ISNUMBER(E2160)),"Bestand fehlt; ",IF(E2160&lt;0,"Bestand negativ; ",IF(E2160=0,"Nullbestand; ","")))&amp;IF(D2160="","Warengruppe fehlt; ","")&amp;IF(B2160="","Bezeichnung fehlt; ","")&amp;IF(COUNTIFS($A$2:$A$5001,$A2160,$C$2:$C$5001,C2160)&gt;1,"Artikel doppelt im selben Lager; ",""))</f>
        <v/>
      </c>
      <c r="P2160" s="47" t="n">
        <f aca="false">IF(OR($A2160="",D2160=""),0,IF(COUNTIF($D$2:D2160,D2160)=1,SUMIF($D$2:$D$5001,D2160,$H$2:$H$5001)+ROW()/10000000,0))</f>
        <v>0</v>
      </c>
      <c r="Q2160" s="47" t="n">
        <f aca="false">IF(OR($A2160="",C2160=""),0,IF(COUNTIF($C$2:C2160,C2160)=1,SUMIF($C$2:$C$5001,C2160,$H$2:$H$5001)+ROW()/10000000,0))</f>
        <v>0</v>
      </c>
    </row>
    <row r="2161" customFormat="false" ht="15" hidden="false" customHeight="false" outlineLevel="0" collapsed="false">
      <c r="A2161" s="43"/>
      <c r="B2161" s="44"/>
      <c r="C2161" s="44"/>
      <c r="D2161" s="44"/>
      <c r="E2161" s="44"/>
      <c r="F2161" s="44"/>
      <c r="G2161" s="44"/>
      <c r="H2161" s="46" t="str">
        <f aca="false">IF($A2161="","",IF(OR(NOT(ISNUMBER(E2161)),NOT(ISNUMBER(F2161))),"",MAX(0,E2161)*F2161))</f>
        <v/>
      </c>
      <c r="I2161" s="46" t="str">
        <f aca="false">IF($A2161="","",SUMIF($A$2:$A$5001,$A2161,$H$2:$H$5001))</f>
        <v/>
      </c>
      <c r="J2161" s="47" t="n">
        <f aca="false">IF($A2161="",0,IF(COUNTIF($A$2:A2161,$A2161)=1,1,0))</f>
        <v>0</v>
      </c>
      <c r="K2161" s="47" t="n">
        <f aca="false">IF(J2161=1,N(I2161)+ROW()/10000000,0)</f>
        <v>0</v>
      </c>
      <c r="L2161" s="47" t="str">
        <f aca="false">IF(AND(J2161=1,N(I2161)&gt;0),SUMIF($K$2:$K$5001,"&gt;="&amp;K2161,$I$2:$I$5001)/MAX(1,SUM($H$2:$H$5001)),"")</f>
        <v/>
      </c>
      <c r="M2161" s="47" t="str">
        <f aca="false">IF($A2161="","",INDEX($L$2:$L$5001,MATCH($A2161,$A$2:$A$5001,0)))</f>
        <v/>
      </c>
      <c r="N2161" s="48" t="str">
        <f aca="false">IF($A2161="","",IF(N(M2161)=0,"–",IF(M2161&lt;=Start!$D$20,"A",IF(M2161&lt;=Start!$D$21,"B","C"))))</f>
        <v/>
      </c>
      <c r="O2161" s="48" t="str">
        <f aca="false">IF($A2161="","",IF(NOT(ISNUMBER(F2161)),"Wert fehlt; ",IF(F2161&lt;=0,"Wert ist 0; ",""))&amp;IF(NOT(ISNUMBER(E2161)),"Bestand fehlt; ",IF(E2161&lt;0,"Bestand negativ; ",IF(E2161=0,"Nullbestand; ","")))&amp;IF(D2161="","Warengruppe fehlt; ","")&amp;IF(B2161="","Bezeichnung fehlt; ","")&amp;IF(COUNTIFS($A$2:$A$5001,$A2161,$C$2:$C$5001,C2161)&gt;1,"Artikel doppelt im selben Lager; ",""))</f>
        <v/>
      </c>
      <c r="P2161" s="47" t="n">
        <f aca="false">IF(OR($A2161="",D2161=""),0,IF(COUNTIF($D$2:D2161,D2161)=1,SUMIF($D$2:$D$5001,D2161,$H$2:$H$5001)+ROW()/10000000,0))</f>
        <v>0</v>
      </c>
      <c r="Q2161" s="47" t="n">
        <f aca="false">IF(OR($A2161="",C2161=""),0,IF(COUNTIF($C$2:C2161,C2161)=1,SUMIF($C$2:$C$5001,C2161,$H$2:$H$5001)+ROW()/10000000,0))</f>
        <v>0</v>
      </c>
    </row>
    <row r="2162" customFormat="false" ht="15" hidden="false" customHeight="false" outlineLevel="0" collapsed="false">
      <c r="A2162" s="43"/>
      <c r="B2162" s="44"/>
      <c r="C2162" s="44"/>
      <c r="D2162" s="44"/>
      <c r="E2162" s="44"/>
      <c r="F2162" s="44"/>
      <c r="G2162" s="44"/>
      <c r="H2162" s="46" t="str">
        <f aca="false">IF($A2162="","",IF(OR(NOT(ISNUMBER(E2162)),NOT(ISNUMBER(F2162))),"",MAX(0,E2162)*F2162))</f>
        <v/>
      </c>
      <c r="I2162" s="46" t="str">
        <f aca="false">IF($A2162="","",SUMIF($A$2:$A$5001,$A2162,$H$2:$H$5001))</f>
        <v/>
      </c>
      <c r="J2162" s="47" t="n">
        <f aca="false">IF($A2162="",0,IF(COUNTIF($A$2:A2162,$A2162)=1,1,0))</f>
        <v>0</v>
      </c>
      <c r="K2162" s="47" t="n">
        <f aca="false">IF(J2162=1,N(I2162)+ROW()/10000000,0)</f>
        <v>0</v>
      </c>
      <c r="L2162" s="47" t="str">
        <f aca="false">IF(AND(J2162=1,N(I2162)&gt;0),SUMIF($K$2:$K$5001,"&gt;="&amp;K2162,$I$2:$I$5001)/MAX(1,SUM($H$2:$H$5001)),"")</f>
        <v/>
      </c>
      <c r="M2162" s="47" t="str">
        <f aca="false">IF($A2162="","",INDEX($L$2:$L$5001,MATCH($A2162,$A$2:$A$5001,0)))</f>
        <v/>
      </c>
      <c r="N2162" s="48" t="str">
        <f aca="false">IF($A2162="","",IF(N(M2162)=0,"–",IF(M2162&lt;=Start!$D$20,"A",IF(M2162&lt;=Start!$D$21,"B","C"))))</f>
        <v/>
      </c>
      <c r="O2162" s="48" t="str">
        <f aca="false">IF($A2162="","",IF(NOT(ISNUMBER(F2162)),"Wert fehlt; ",IF(F2162&lt;=0,"Wert ist 0; ",""))&amp;IF(NOT(ISNUMBER(E2162)),"Bestand fehlt; ",IF(E2162&lt;0,"Bestand negativ; ",IF(E2162=0,"Nullbestand; ","")))&amp;IF(D2162="","Warengruppe fehlt; ","")&amp;IF(B2162="","Bezeichnung fehlt; ","")&amp;IF(COUNTIFS($A$2:$A$5001,$A2162,$C$2:$C$5001,C2162)&gt;1,"Artikel doppelt im selben Lager; ",""))</f>
        <v/>
      </c>
      <c r="P2162" s="47" t="n">
        <f aca="false">IF(OR($A2162="",D2162=""),0,IF(COUNTIF($D$2:D2162,D2162)=1,SUMIF($D$2:$D$5001,D2162,$H$2:$H$5001)+ROW()/10000000,0))</f>
        <v>0</v>
      </c>
      <c r="Q2162" s="47" t="n">
        <f aca="false">IF(OR($A2162="",C2162=""),0,IF(COUNTIF($C$2:C2162,C2162)=1,SUMIF($C$2:$C$5001,C2162,$H$2:$H$5001)+ROW()/10000000,0))</f>
        <v>0</v>
      </c>
    </row>
    <row r="2163" customFormat="false" ht="15" hidden="false" customHeight="false" outlineLevel="0" collapsed="false">
      <c r="A2163" s="43"/>
      <c r="B2163" s="44"/>
      <c r="C2163" s="44"/>
      <c r="D2163" s="44"/>
      <c r="E2163" s="44"/>
      <c r="F2163" s="44"/>
      <c r="G2163" s="44"/>
      <c r="H2163" s="46" t="str">
        <f aca="false">IF($A2163="","",IF(OR(NOT(ISNUMBER(E2163)),NOT(ISNUMBER(F2163))),"",MAX(0,E2163)*F2163))</f>
        <v/>
      </c>
      <c r="I2163" s="46" t="str">
        <f aca="false">IF($A2163="","",SUMIF($A$2:$A$5001,$A2163,$H$2:$H$5001))</f>
        <v/>
      </c>
      <c r="J2163" s="47" t="n">
        <f aca="false">IF($A2163="",0,IF(COUNTIF($A$2:A2163,$A2163)=1,1,0))</f>
        <v>0</v>
      </c>
      <c r="K2163" s="47" t="n">
        <f aca="false">IF(J2163=1,N(I2163)+ROW()/10000000,0)</f>
        <v>0</v>
      </c>
      <c r="L2163" s="47" t="str">
        <f aca="false">IF(AND(J2163=1,N(I2163)&gt;0),SUMIF($K$2:$K$5001,"&gt;="&amp;K2163,$I$2:$I$5001)/MAX(1,SUM($H$2:$H$5001)),"")</f>
        <v/>
      </c>
      <c r="M2163" s="47" t="str">
        <f aca="false">IF($A2163="","",INDEX($L$2:$L$5001,MATCH($A2163,$A$2:$A$5001,0)))</f>
        <v/>
      </c>
      <c r="N2163" s="48" t="str">
        <f aca="false">IF($A2163="","",IF(N(M2163)=0,"–",IF(M2163&lt;=Start!$D$20,"A",IF(M2163&lt;=Start!$D$21,"B","C"))))</f>
        <v/>
      </c>
      <c r="O2163" s="48" t="str">
        <f aca="false">IF($A2163="","",IF(NOT(ISNUMBER(F2163)),"Wert fehlt; ",IF(F2163&lt;=0,"Wert ist 0; ",""))&amp;IF(NOT(ISNUMBER(E2163)),"Bestand fehlt; ",IF(E2163&lt;0,"Bestand negativ; ",IF(E2163=0,"Nullbestand; ","")))&amp;IF(D2163="","Warengruppe fehlt; ","")&amp;IF(B2163="","Bezeichnung fehlt; ","")&amp;IF(COUNTIFS($A$2:$A$5001,$A2163,$C$2:$C$5001,C2163)&gt;1,"Artikel doppelt im selben Lager; ",""))</f>
        <v/>
      </c>
      <c r="P2163" s="47" t="n">
        <f aca="false">IF(OR($A2163="",D2163=""),0,IF(COUNTIF($D$2:D2163,D2163)=1,SUMIF($D$2:$D$5001,D2163,$H$2:$H$5001)+ROW()/10000000,0))</f>
        <v>0</v>
      </c>
      <c r="Q2163" s="47" t="n">
        <f aca="false">IF(OR($A2163="",C2163=""),0,IF(COUNTIF($C$2:C2163,C2163)=1,SUMIF($C$2:$C$5001,C2163,$H$2:$H$5001)+ROW()/10000000,0))</f>
        <v>0</v>
      </c>
    </row>
    <row r="2164" customFormat="false" ht="15" hidden="false" customHeight="false" outlineLevel="0" collapsed="false">
      <c r="A2164" s="43"/>
      <c r="B2164" s="44"/>
      <c r="C2164" s="44"/>
      <c r="D2164" s="44"/>
      <c r="E2164" s="44"/>
      <c r="F2164" s="44"/>
      <c r="G2164" s="44"/>
      <c r="H2164" s="46" t="str">
        <f aca="false">IF($A2164="","",IF(OR(NOT(ISNUMBER(E2164)),NOT(ISNUMBER(F2164))),"",MAX(0,E2164)*F2164))</f>
        <v/>
      </c>
      <c r="I2164" s="46" t="str">
        <f aca="false">IF($A2164="","",SUMIF($A$2:$A$5001,$A2164,$H$2:$H$5001))</f>
        <v/>
      </c>
      <c r="J2164" s="47" t="n">
        <f aca="false">IF($A2164="",0,IF(COUNTIF($A$2:A2164,$A2164)=1,1,0))</f>
        <v>0</v>
      </c>
      <c r="K2164" s="47" t="n">
        <f aca="false">IF(J2164=1,N(I2164)+ROW()/10000000,0)</f>
        <v>0</v>
      </c>
      <c r="L2164" s="47" t="str">
        <f aca="false">IF(AND(J2164=1,N(I2164)&gt;0),SUMIF($K$2:$K$5001,"&gt;="&amp;K2164,$I$2:$I$5001)/MAX(1,SUM($H$2:$H$5001)),"")</f>
        <v/>
      </c>
      <c r="M2164" s="47" t="str">
        <f aca="false">IF($A2164="","",INDEX($L$2:$L$5001,MATCH($A2164,$A$2:$A$5001,0)))</f>
        <v/>
      </c>
      <c r="N2164" s="48" t="str">
        <f aca="false">IF($A2164="","",IF(N(M2164)=0,"–",IF(M2164&lt;=Start!$D$20,"A",IF(M2164&lt;=Start!$D$21,"B","C"))))</f>
        <v/>
      </c>
      <c r="O2164" s="48" t="str">
        <f aca="false">IF($A2164="","",IF(NOT(ISNUMBER(F2164)),"Wert fehlt; ",IF(F2164&lt;=0,"Wert ist 0; ",""))&amp;IF(NOT(ISNUMBER(E2164)),"Bestand fehlt; ",IF(E2164&lt;0,"Bestand negativ; ",IF(E2164=0,"Nullbestand; ","")))&amp;IF(D2164="","Warengruppe fehlt; ","")&amp;IF(B2164="","Bezeichnung fehlt; ","")&amp;IF(COUNTIFS($A$2:$A$5001,$A2164,$C$2:$C$5001,C2164)&gt;1,"Artikel doppelt im selben Lager; ",""))</f>
        <v/>
      </c>
      <c r="P2164" s="47" t="n">
        <f aca="false">IF(OR($A2164="",D2164=""),0,IF(COUNTIF($D$2:D2164,D2164)=1,SUMIF($D$2:$D$5001,D2164,$H$2:$H$5001)+ROW()/10000000,0))</f>
        <v>0</v>
      </c>
      <c r="Q2164" s="47" t="n">
        <f aca="false">IF(OR($A2164="",C2164=""),0,IF(COUNTIF($C$2:C2164,C2164)=1,SUMIF($C$2:$C$5001,C2164,$H$2:$H$5001)+ROW()/10000000,0))</f>
        <v>0</v>
      </c>
    </row>
    <row r="2165" customFormat="false" ht="15" hidden="false" customHeight="false" outlineLevel="0" collapsed="false">
      <c r="A2165" s="43"/>
      <c r="B2165" s="44"/>
      <c r="C2165" s="44"/>
      <c r="D2165" s="44"/>
      <c r="E2165" s="44"/>
      <c r="F2165" s="44"/>
      <c r="G2165" s="44"/>
      <c r="H2165" s="46" t="str">
        <f aca="false">IF($A2165="","",IF(OR(NOT(ISNUMBER(E2165)),NOT(ISNUMBER(F2165))),"",MAX(0,E2165)*F2165))</f>
        <v/>
      </c>
      <c r="I2165" s="46" t="str">
        <f aca="false">IF($A2165="","",SUMIF($A$2:$A$5001,$A2165,$H$2:$H$5001))</f>
        <v/>
      </c>
      <c r="J2165" s="47" t="n">
        <f aca="false">IF($A2165="",0,IF(COUNTIF($A$2:A2165,$A2165)=1,1,0))</f>
        <v>0</v>
      </c>
      <c r="K2165" s="47" t="n">
        <f aca="false">IF(J2165=1,N(I2165)+ROW()/10000000,0)</f>
        <v>0</v>
      </c>
      <c r="L2165" s="47" t="str">
        <f aca="false">IF(AND(J2165=1,N(I2165)&gt;0),SUMIF($K$2:$K$5001,"&gt;="&amp;K2165,$I$2:$I$5001)/MAX(1,SUM($H$2:$H$5001)),"")</f>
        <v/>
      </c>
      <c r="M2165" s="47" t="str">
        <f aca="false">IF($A2165="","",INDEX($L$2:$L$5001,MATCH($A2165,$A$2:$A$5001,0)))</f>
        <v/>
      </c>
      <c r="N2165" s="48" t="str">
        <f aca="false">IF($A2165="","",IF(N(M2165)=0,"–",IF(M2165&lt;=Start!$D$20,"A",IF(M2165&lt;=Start!$D$21,"B","C"))))</f>
        <v/>
      </c>
      <c r="O2165" s="48" t="str">
        <f aca="false">IF($A2165="","",IF(NOT(ISNUMBER(F2165)),"Wert fehlt; ",IF(F2165&lt;=0,"Wert ist 0; ",""))&amp;IF(NOT(ISNUMBER(E2165)),"Bestand fehlt; ",IF(E2165&lt;0,"Bestand negativ; ",IF(E2165=0,"Nullbestand; ","")))&amp;IF(D2165="","Warengruppe fehlt; ","")&amp;IF(B2165="","Bezeichnung fehlt; ","")&amp;IF(COUNTIFS($A$2:$A$5001,$A2165,$C$2:$C$5001,C2165)&gt;1,"Artikel doppelt im selben Lager; ",""))</f>
        <v/>
      </c>
      <c r="P2165" s="47" t="n">
        <f aca="false">IF(OR($A2165="",D2165=""),0,IF(COUNTIF($D$2:D2165,D2165)=1,SUMIF($D$2:$D$5001,D2165,$H$2:$H$5001)+ROW()/10000000,0))</f>
        <v>0</v>
      </c>
      <c r="Q2165" s="47" t="n">
        <f aca="false">IF(OR($A2165="",C2165=""),0,IF(COUNTIF($C$2:C2165,C2165)=1,SUMIF($C$2:$C$5001,C2165,$H$2:$H$5001)+ROW()/10000000,0))</f>
        <v>0</v>
      </c>
    </row>
    <row r="2166" customFormat="false" ht="15" hidden="false" customHeight="false" outlineLevel="0" collapsed="false">
      <c r="A2166" s="43"/>
      <c r="B2166" s="44"/>
      <c r="C2166" s="44"/>
      <c r="D2166" s="44"/>
      <c r="E2166" s="44"/>
      <c r="F2166" s="44"/>
      <c r="G2166" s="44"/>
      <c r="H2166" s="46" t="str">
        <f aca="false">IF($A2166="","",IF(OR(NOT(ISNUMBER(E2166)),NOT(ISNUMBER(F2166))),"",MAX(0,E2166)*F2166))</f>
        <v/>
      </c>
      <c r="I2166" s="46" t="str">
        <f aca="false">IF($A2166="","",SUMIF($A$2:$A$5001,$A2166,$H$2:$H$5001))</f>
        <v/>
      </c>
      <c r="J2166" s="47" t="n">
        <f aca="false">IF($A2166="",0,IF(COUNTIF($A$2:A2166,$A2166)=1,1,0))</f>
        <v>0</v>
      </c>
      <c r="K2166" s="47" t="n">
        <f aca="false">IF(J2166=1,N(I2166)+ROW()/10000000,0)</f>
        <v>0</v>
      </c>
      <c r="L2166" s="47" t="str">
        <f aca="false">IF(AND(J2166=1,N(I2166)&gt;0),SUMIF($K$2:$K$5001,"&gt;="&amp;K2166,$I$2:$I$5001)/MAX(1,SUM($H$2:$H$5001)),"")</f>
        <v/>
      </c>
      <c r="M2166" s="47" t="str">
        <f aca="false">IF($A2166="","",INDEX($L$2:$L$5001,MATCH($A2166,$A$2:$A$5001,0)))</f>
        <v/>
      </c>
      <c r="N2166" s="48" t="str">
        <f aca="false">IF($A2166="","",IF(N(M2166)=0,"–",IF(M2166&lt;=Start!$D$20,"A",IF(M2166&lt;=Start!$D$21,"B","C"))))</f>
        <v/>
      </c>
      <c r="O2166" s="48" t="str">
        <f aca="false">IF($A2166="","",IF(NOT(ISNUMBER(F2166)),"Wert fehlt; ",IF(F2166&lt;=0,"Wert ist 0; ",""))&amp;IF(NOT(ISNUMBER(E2166)),"Bestand fehlt; ",IF(E2166&lt;0,"Bestand negativ; ",IF(E2166=0,"Nullbestand; ","")))&amp;IF(D2166="","Warengruppe fehlt; ","")&amp;IF(B2166="","Bezeichnung fehlt; ","")&amp;IF(COUNTIFS($A$2:$A$5001,$A2166,$C$2:$C$5001,C2166)&gt;1,"Artikel doppelt im selben Lager; ",""))</f>
        <v/>
      </c>
      <c r="P2166" s="47" t="n">
        <f aca="false">IF(OR($A2166="",D2166=""),0,IF(COUNTIF($D$2:D2166,D2166)=1,SUMIF($D$2:$D$5001,D2166,$H$2:$H$5001)+ROW()/10000000,0))</f>
        <v>0</v>
      </c>
      <c r="Q2166" s="47" t="n">
        <f aca="false">IF(OR($A2166="",C2166=""),0,IF(COUNTIF($C$2:C2166,C2166)=1,SUMIF($C$2:$C$5001,C2166,$H$2:$H$5001)+ROW()/10000000,0))</f>
        <v>0</v>
      </c>
    </row>
    <row r="2167" customFormat="false" ht="15" hidden="false" customHeight="false" outlineLevel="0" collapsed="false">
      <c r="A2167" s="43"/>
      <c r="B2167" s="44"/>
      <c r="C2167" s="44"/>
      <c r="D2167" s="44"/>
      <c r="E2167" s="44"/>
      <c r="F2167" s="44"/>
      <c r="G2167" s="44"/>
      <c r="H2167" s="46" t="str">
        <f aca="false">IF($A2167="","",IF(OR(NOT(ISNUMBER(E2167)),NOT(ISNUMBER(F2167))),"",MAX(0,E2167)*F2167))</f>
        <v/>
      </c>
      <c r="I2167" s="46" t="str">
        <f aca="false">IF($A2167="","",SUMIF($A$2:$A$5001,$A2167,$H$2:$H$5001))</f>
        <v/>
      </c>
      <c r="J2167" s="47" t="n">
        <f aca="false">IF($A2167="",0,IF(COUNTIF($A$2:A2167,$A2167)=1,1,0))</f>
        <v>0</v>
      </c>
      <c r="K2167" s="47" t="n">
        <f aca="false">IF(J2167=1,N(I2167)+ROW()/10000000,0)</f>
        <v>0</v>
      </c>
      <c r="L2167" s="47" t="str">
        <f aca="false">IF(AND(J2167=1,N(I2167)&gt;0),SUMIF($K$2:$K$5001,"&gt;="&amp;K2167,$I$2:$I$5001)/MAX(1,SUM($H$2:$H$5001)),"")</f>
        <v/>
      </c>
      <c r="M2167" s="47" t="str">
        <f aca="false">IF($A2167="","",INDEX($L$2:$L$5001,MATCH($A2167,$A$2:$A$5001,0)))</f>
        <v/>
      </c>
      <c r="N2167" s="48" t="str">
        <f aca="false">IF($A2167="","",IF(N(M2167)=0,"–",IF(M2167&lt;=Start!$D$20,"A",IF(M2167&lt;=Start!$D$21,"B","C"))))</f>
        <v/>
      </c>
      <c r="O2167" s="48" t="str">
        <f aca="false">IF($A2167="","",IF(NOT(ISNUMBER(F2167)),"Wert fehlt; ",IF(F2167&lt;=0,"Wert ist 0; ",""))&amp;IF(NOT(ISNUMBER(E2167)),"Bestand fehlt; ",IF(E2167&lt;0,"Bestand negativ; ",IF(E2167=0,"Nullbestand; ","")))&amp;IF(D2167="","Warengruppe fehlt; ","")&amp;IF(B2167="","Bezeichnung fehlt; ","")&amp;IF(COUNTIFS($A$2:$A$5001,$A2167,$C$2:$C$5001,C2167)&gt;1,"Artikel doppelt im selben Lager; ",""))</f>
        <v/>
      </c>
      <c r="P2167" s="47" t="n">
        <f aca="false">IF(OR($A2167="",D2167=""),0,IF(COUNTIF($D$2:D2167,D2167)=1,SUMIF($D$2:$D$5001,D2167,$H$2:$H$5001)+ROW()/10000000,0))</f>
        <v>0</v>
      </c>
      <c r="Q2167" s="47" t="n">
        <f aca="false">IF(OR($A2167="",C2167=""),0,IF(COUNTIF($C$2:C2167,C2167)=1,SUMIF($C$2:$C$5001,C2167,$H$2:$H$5001)+ROW()/10000000,0))</f>
        <v>0</v>
      </c>
    </row>
    <row r="2168" customFormat="false" ht="15" hidden="false" customHeight="false" outlineLevel="0" collapsed="false">
      <c r="A2168" s="43"/>
      <c r="B2168" s="44"/>
      <c r="C2168" s="44"/>
      <c r="D2168" s="44"/>
      <c r="E2168" s="44"/>
      <c r="F2168" s="44"/>
      <c r="G2168" s="44"/>
      <c r="H2168" s="46" t="str">
        <f aca="false">IF($A2168="","",IF(OR(NOT(ISNUMBER(E2168)),NOT(ISNUMBER(F2168))),"",MAX(0,E2168)*F2168))</f>
        <v/>
      </c>
      <c r="I2168" s="46" t="str">
        <f aca="false">IF($A2168="","",SUMIF($A$2:$A$5001,$A2168,$H$2:$H$5001))</f>
        <v/>
      </c>
      <c r="J2168" s="47" t="n">
        <f aca="false">IF($A2168="",0,IF(COUNTIF($A$2:A2168,$A2168)=1,1,0))</f>
        <v>0</v>
      </c>
      <c r="K2168" s="47" t="n">
        <f aca="false">IF(J2168=1,N(I2168)+ROW()/10000000,0)</f>
        <v>0</v>
      </c>
      <c r="L2168" s="47" t="str">
        <f aca="false">IF(AND(J2168=1,N(I2168)&gt;0),SUMIF($K$2:$K$5001,"&gt;="&amp;K2168,$I$2:$I$5001)/MAX(1,SUM($H$2:$H$5001)),"")</f>
        <v/>
      </c>
      <c r="M2168" s="47" t="str">
        <f aca="false">IF($A2168="","",INDEX($L$2:$L$5001,MATCH($A2168,$A$2:$A$5001,0)))</f>
        <v/>
      </c>
      <c r="N2168" s="48" t="str">
        <f aca="false">IF($A2168="","",IF(N(M2168)=0,"–",IF(M2168&lt;=Start!$D$20,"A",IF(M2168&lt;=Start!$D$21,"B","C"))))</f>
        <v/>
      </c>
      <c r="O2168" s="48" t="str">
        <f aca="false">IF($A2168="","",IF(NOT(ISNUMBER(F2168)),"Wert fehlt; ",IF(F2168&lt;=0,"Wert ist 0; ",""))&amp;IF(NOT(ISNUMBER(E2168)),"Bestand fehlt; ",IF(E2168&lt;0,"Bestand negativ; ",IF(E2168=0,"Nullbestand; ","")))&amp;IF(D2168="","Warengruppe fehlt; ","")&amp;IF(B2168="","Bezeichnung fehlt; ","")&amp;IF(COUNTIFS($A$2:$A$5001,$A2168,$C$2:$C$5001,C2168)&gt;1,"Artikel doppelt im selben Lager; ",""))</f>
        <v/>
      </c>
      <c r="P2168" s="47" t="n">
        <f aca="false">IF(OR($A2168="",D2168=""),0,IF(COUNTIF($D$2:D2168,D2168)=1,SUMIF($D$2:$D$5001,D2168,$H$2:$H$5001)+ROW()/10000000,0))</f>
        <v>0</v>
      </c>
      <c r="Q2168" s="47" t="n">
        <f aca="false">IF(OR($A2168="",C2168=""),0,IF(COUNTIF($C$2:C2168,C2168)=1,SUMIF($C$2:$C$5001,C2168,$H$2:$H$5001)+ROW()/10000000,0))</f>
        <v>0</v>
      </c>
    </row>
    <row r="2169" customFormat="false" ht="15" hidden="false" customHeight="false" outlineLevel="0" collapsed="false">
      <c r="A2169" s="43"/>
      <c r="B2169" s="44"/>
      <c r="C2169" s="44"/>
      <c r="D2169" s="44"/>
      <c r="E2169" s="44"/>
      <c r="F2169" s="44"/>
      <c r="G2169" s="44"/>
      <c r="H2169" s="46" t="str">
        <f aca="false">IF($A2169="","",IF(OR(NOT(ISNUMBER(E2169)),NOT(ISNUMBER(F2169))),"",MAX(0,E2169)*F2169))</f>
        <v/>
      </c>
      <c r="I2169" s="46" t="str">
        <f aca="false">IF($A2169="","",SUMIF($A$2:$A$5001,$A2169,$H$2:$H$5001))</f>
        <v/>
      </c>
      <c r="J2169" s="47" t="n">
        <f aca="false">IF($A2169="",0,IF(COUNTIF($A$2:A2169,$A2169)=1,1,0))</f>
        <v>0</v>
      </c>
      <c r="K2169" s="47" t="n">
        <f aca="false">IF(J2169=1,N(I2169)+ROW()/10000000,0)</f>
        <v>0</v>
      </c>
      <c r="L2169" s="47" t="str">
        <f aca="false">IF(AND(J2169=1,N(I2169)&gt;0),SUMIF($K$2:$K$5001,"&gt;="&amp;K2169,$I$2:$I$5001)/MAX(1,SUM($H$2:$H$5001)),"")</f>
        <v/>
      </c>
      <c r="M2169" s="47" t="str">
        <f aca="false">IF($A2169="","",INDEX($L$2:$L$5001,MATCH($A2169,$A$2:$A$5001,0)))</f>
        <v/>
      </c>
      <c r="N2169" s="48" t="str">
        <f aca="false">IF($A2169="","",IF(N(M2169)=0,"–",IF(M2169&lt;=Start!$D$20,"A",IF(M2169&lt;=Start!$D$21,"B","C"))))</f>
        <v/>
      </c>
      <c r="O2169" s="48" t="str">
        <f aca="false">IF($A2169="","",IF(NOT(ISNUMBER(F2169)),"Wert fehlt; ",IF(F2169&lt;=0,"Wert ist 0; ",""))&amp;IF(NOT(ISNUMBER(E2169)),"Bestand fehlt; ",IF(E2169&lt;0,"Bestand negativ; ",IF(E2169=0,"Nullbestand; ","")))&amp;IF(D2169="","Warengruppe fehlt; ","")&amp;IF(B2169="","Bezeichnung fehlt; ","")&amp;IF(COUNTIFS($A$2:$A$5001,$A2169,$C$2:$C$5001,C2169)&gt;1,"Artikel doppelt im selben Lager; ",""))</f>
        <v/>
      </c>
      <c r="P2169" s="47" t="n">
        <f aca="false">IF(OR($A2169="",D2169=""),0,IF(COUNTIF($D$2:D2169,D2169)=1,SUMIF($D$2:$D$5001,D2169,$H$2:$H$5001)+ROW()/10000000,0))</f>
        <v>0</v>
      </c>
      <c r="Q2169" s="47" t="n">
        <f aca="false">IF(OR($A2169="",C2169=""),0,IF(COUNTIF($C$2:C2169,C2169)=1,SUMIF($C$2:$C$5001,C2169,$H$2:$H$5001)+ROW()/10000000,0))</f>
        <v>0</v>
      </c>
    </row>
    <row r="2170" customFormat="false" ht="15" hidden="false" customHeight="false" outlineLevel="0" collapsed="false">
      <c r="A2170" s="43"/>
      <c r="B2170" s="44"/>
      <c r="C2170" s="44"/>
      <c r="D2170" s="44"/>
      <c r="E2170" s="44"/>
      <c r="F2170" s="44"/>
      <c r="G2170" s="44"/>
      <c r="H2170" s="46" t="str">
        <f aca="false">IF($A2170="","",IF(OR(NOT(ISNUMBER(E2170)),NOT(ISNUMBER(F2170))),"",MAX(0,E2170)*F2170))</f>
        <v/>
      </c>
      <c r="I2170" s="46" t="str">
        <f aca="false">IF($A2170="","",SUMIF($A$2:$A$5001,$A2170,$H$2:$H$5001))</f>
        <v/>
      </c>
      <c r="J2170" s="47" t="n">
        <f aca="false">IF($A2170="",0,IF(COUNTIF($A$2:A2170,$A2170)=1,1,0))</f>
        <v>0</v>
      </c>
      <c r="K2170" s="47" t="n">
        <f aca="false">IF(J2170=1,N(I2170)+ROW()/10000000,0)</f>
        <v>0</v>
      </c>
      <c r="L2170" s="47" t="str">
        <f aca="false">IF(AND(J2170=1,N(I2170)&gt;0),SUMIF($K$2:$K$5001,"&gt;="&amp;K2170,$I$2:$I$5001)/MAX(1,SUM($H$2:$H$5001)),"")</f>
        <v/>
      </c>
      <c r="M2170" s="47" t="str">
        <f aca="false">IF($A2170="","",INDEX($L$2:$L$5001,MATCH($A2170,$A$2:$A$5001,0)))</f>
        <v/>
      </c>
      <c r="N2170" s="48" t="str">
        <f aca="false">IF($A2170="","",IF(N(M2170)=0,"–",IF(M2170&lt;=Start!$D$20,"A",IF(M2170&lt;=Start!$D$21,"B","C"))))</f>
        <v/>
      </c>
      <c r="O2170" s="48" t="str">
        <f aca="false">IF($A2170="","",IF(NOT(ISNUMBER(F2170)),"Wert fehlt; ",IF(F2170&lt;=0,"Wert ist 0; ",""))&amp;IF(NOT(ISNUMBER(E2170)),"Bestand fehlt; ",IF(E2170&lt;0,"Bestand negativ; ",IF(E2170=0,"Nullbestand; ","")))&amp;IF(D2170="","Warengruppe fehlt; ","")&amp;IF(B2170="","Bezeichnung fehlt; ","")&amp;IF(COUNTIFS($A$2:$A$5001,$A2170,$C$2:$C$5001,C2170)&gt;1,"Artikel doppelt im selben Lager; ",""))</f>
        <v/>
      </c>
      <c r="P2170" s="47" t="n">
        <f aca="false">IF(OR($A2170="",D2170=""),0,IF(COUNTIF($D$2:D2170,D2170)=1,SUMIF($D$2:$D$5001,D2170,$H$2:$H$5001)+ROW()/10000000,0))</f>
        <v>0</v>
      </c>
      <c r="Q2170" s="47" t="n">
        <f aca="false">IF(OR($A2170="",C2170=""),0,IF(COUNTIF($C$2:C2170,C2170)=1,SUMIF($C$2:$C$5001,C2170,$H$2:$H$5001)+ROW()/10000000,0))</f>
        <v>0</v>
      </c>
    </row>
    <row r="2171" customFormat="false" ht="15" hidden="false" customHeight="false" outlineLevel="0" collapsed="false">
      <c r="A2171" s="43"/>
      <c r="B2171" s="44"/>
      <c r="C2171" s="44"/>
      <c r="D2171" s="44"/>
      <c r="E2171" s="44"/>
      <c r="F2171" s="44"/>
      <c r="G2171" s="44"/>
      <c r="H2171" s="46" t="str">
        <f aca="false">IF($A2171="","",IF(OR(NOT(ISNUMBER(E2171)),NOT(ISNUMBER(F2171))),"",MAX(0,E2171)*F2171))</f>
        <v/>
      </c>
      <c r="I2171" s="46" t="str">
        <f aca="false">IF($A2171="","",SUMIF($A$2:$A$5001,$A2171,$H$2:$H$5001))</f>
        <v/>
      </c>
      <c r="J2171" s="47" t="n">
        <f aca="false">IF($A2171="",0,IF(COUNTIF($A$2:A2171,$A2171)=1,1,0))</f>
        <v>0</v>
      </c>
      <c r="K2171" s="47" t="n">
        <f aca="false">IF(J2171=1,N(I2171)+ROW()/10000000,0)</f>
        <v>0</v>
      </c>
      <c r="L2171" s="47" t="str">
        <f aca="false">IF(AND(J2171=1,N(I2171)&gt;0),SUMIF($K$2:$K$5001,"&gt;="&amp;K2171,$I$2:$I$5001)/MAX(1,SUM($H$2:$H$5001)),"")</f>
        <v/>
      </c>
      <c r="M2171" s="47" t="str">
        <f aca="false">IF($A2171="","",INDEX($L$2:$L$5001,MATCH($A2171,$A$2:$A$5001,0)))</f>
        <v/>
      </c>
      <c r="N2171" s="48" t="str">
        <f aca="false">IF($A2171="","",IF(N(M2171)=0,"–",IF(M2171&lt;=Start!$D$20,"A",IF(M2171&lt;=Start!$D$21,"B","C"))))</f>
        <v/>
      </c>
      <c r="O2171" s="48" t="str">
        <f aca="false">IF($A2171="","",IF(NOT(ISNUMBER(F2171)),"Wert fehlt; ",IF(F2171&lt;=0,"Wert ist 0; ",""))&amp;IF(NOT(ISNUMBER(E2171)),"Bestand fehlt; ",IF(E2171&lt;0,"Bestand negativ; ",IF(E2171=0,"Nullbestand; ","")))&amp;IF(D2171="","Warengruppe fehlt; ","")&amp;IF(B2171="","Bezeichnung fehlt; ","")&amp;IF(COUNTIFS($A$2:$A$5001,$A2171,$C$2:$C$5001,C2171)&gt;1,"Artikel doppelt im selben Lager; ",""))</f>
        <v/>
      </c>
      <c r="P2171" s="47" t="n">
        <f aca="false">IF(OR($A2171="",D2171=""),0,IF(COUNTIF($D$2:D2171,D2171)=1,SUMIF($D$2:$D$5001,D2171,$H$2:$H$5001)+ROW()/10000000,0))</f>
        <v>0</v>
      </c>
      <c r="Q2171" s="47" t="n">
        <f aca="false">IF(OR($A2171="",C2171=""),0,IF(COUNTIF($C$2:C2171,C2171)=1,SUMIF($C$2:$C$5001,C2171,$H$2:$H$5001)+ROW()/10000000,0))</f>
        <v>0</v>
      </c>
    </row>
    <row r="2172" customFormat="false" ht="15" hidden="false" customHeight="false" outlineLevel="0" collapsed="false">
      <c r="A2172" s="43"/>
      <c r="B2172" s="44"/>
      <c r="C2172" s="44"/>
      <c r="D2172" s="44"/>
      <c r="E2172" s="44"/>
      <c r="F2172" s="44"/>
      <c r="G2172" s="44"/>
      <c r="H2172" s="46" t="str">
        <f aca="false">IF($A2172="","",IF(OR(NOT(ISNUMBER(E2172)),NOT(ISNUMBER(F2172))),"",MAX(0,E2172)*F2172))</f>
        <v/>
      </c>
      <c r="I2172" s="46" t="str">
        <f aca="false">IF($A2172="","",SUMIF($A$2:$A$5001,$A2172,$H$2:$H$5001))</f>
        <v/>
      </c>
      <c r="J2172" s="47" t="n">
        <f aca="false">IF($A2172="",0,IF(COUNTIF($A$2:A2172,$A2172)=1,1,0))</f>
        <v>0</v>
      </c>
      <c r="K2172" s="47" t="n">
        <f aca="false">IF(J2172=1,N(I2172)+ROW()/10000000,0)</f>
        <v>0</v>
      </c>
      <c r="L2172" s="47" t="str">
        <f aca="false">IF(AND(J2172=1,N(I2172)&gt;0),SUMIF($K$2:$K$5001,"&gt;="&amp;K2172,$I$2:$I$5001)/MAX(1,SUM($H$2:$H$5001)),"")</f>
        <v/>
      </c>
      <c r="M2172" s="47" t="str">
        <f aca="false">IF($A2172="","",INDEX($L$2:$L$5001,MATCH($A2172,$A$2:$A$5001,0)))</f>
        <v/>
      </c>
      <c r="N2172" s="48" t="str">
        <f aca="false">IF($A2172="","",IF(N(M2172)=0,"–",IF(M2172&lt;=Start!$D$20,"A",IF(M2172&lt;=Start!$D$21,"B","C"))))</f>
        <v/>
      </c>
      <c r="O2172" s="48" t="str">
        <f aca="false">IF($A2172="","",IF(NOT(ISNUMBER(F2172)),"Wert fehlt; ",IF(F2172&lt;=0,"Wert ist 0; ",""))&amp;IF(NOT(ISNUMBER(E2172)),"Bestand fehlt; ",IF(E2172&lt;0,"Bestand negativ; ",IF(E2172=0,"Nullbestand; ","")))&amp;IF(D2172="","Warengruppe fehlt; ","")&amp;IF(B2172="","Bezeichnung fehlt; ","")&amp;IF(COUNTIFS($A$2:$A$5001,$A2172,$C$2:$C$5001,C2172)&gt;1,"Artikel doppelt im selben Lager; ",""))</f>
        <v/>
      </c>
      <c r="P2172" s="47" t="n">
        <f aca="false">IF(OR($A2172="",D2172=""),0,IF(COUNTIF($D$2:D2172,D2172)=1,SUMIF($D$2:$D$5001,D2172,$H$2:$H$5001)+ROW()/10000000,0))</f>
        <v>0</v>
      </c>
      <c r="Q2172" s="47" t="n">
        <f aca="false">IF(OR($A2172="",C2172=""),0,IF(COUNTIF($C$2:C2172,C2172)=1,SUMIF($C$2:$C$5001,C2172,$H$2:$H$5001)+ROW()/10000000,0))</f>
        <v>0</v>
      </c>
    </row>
    <row r="2173" customFormat="false" ht="15" hidden="false" customHeight="false" outlineLevel="0" collapsed="false">
      <c r="A2173" s="43"/>
      <c r="B2173" s="44"/>
      <c r="C2173" s="44"/>
      <c r="D2173" s="44"/>
      <c r="E2173" s="44"/>
      <c r="F2173" s="44"/>
      <c r="G2173" s="44"/>
      <c r="H2173" s="46" t="str">
        <f aca="false">IF($A2173="","",IF(OR(NOT(ISNUMBER(E2173)),NOT(ISNUMBER(F2173))),"",MAX(0,E2173)*F2173))</f>
        <v/>
      </c>
      <c r="I2173" s="46" t="str">
        <f aca="false">IF($A2173="","",SUMIF($A$2:$A$5001,$A2173,$H$2:$H$5001))</f>
        <v/>
      </c>
      <c r="J2173" s="47" t="n">
        <f aca="false">IF($A2173="",0,IF(COUNTIF($A$2:A2173,$A2173)=1,1,0))</f>
        <v>0</v>
      </c>
      <c r="K2173" s="47" t="n">
        <f aca="false">IF(J2173=1,N(I2173)+ROW()/10000000,0)</f>
        <v>0</v>
      </c>
      <c r="L2173" s="47" t="str">
        <f aca="false">IF(AND(J2173=1,N(I2173)&gt;0),SUMIF($K$2:$K$5001,"&gt;="&amp;K2173,$I$2:$I$5001)/MAX(1,SUM($H$2:$H$5001)),"")</f>
        <v/>
      </c>
      <c r="M2173" s="47" t="str">
        <f aca="false">IF($A2173="","",INDEX($L$2:$L$5001,MATCH($A2173,$A$2:$A$5001,0)))</f>
        <v/>
      </c>
      <c r="N2173" s="48" t="str">
        <f aca="false">IF($A2173="","",IF(N(M2173)=0,"–",IF(M2173&lt;=Start!$D$20,"A",IF(M2173&lt;=Start!$D$21,"B","C"))))</f>
        <v/>
      </c>
      <c r="O2173" s="48" t="str">
        <f aca="false">IF($A2173="","",IF(NOT(ISNUMBER(F2173)),"Wert fehlt; ",IF(F2173&lt;=0,"Wert ist 0; ",""))&amp;IF(NOT(ISNUMBER(E2173)),"Bestand fehlt; ",IF(E2173&lt;0,"Bestand negativ; ",IF(E2173=0,"Nullbestand; ","")))&amp;IF(D2173="","Warengruppe fehlt; ","")&amp;IF(B2173="","Bezeichnung fehlt; ","")&amp;IF(COUNTIFS($A$2:$A$5001,$A2173,$C$2:$C$5001,C2173)&gt;1,"Artikel doppelt im selben Lager; ",""))</f>
        <v/>
      </c>
      <c r="P2173" s="47" t="n">
        <f aca="false">IF(OR($A2173="",D2173=""),0,IF(COUNTIF($D$2:D2173,D2173)=1,SUMIF($D$2:$D$5001,D2173,$H$2:$H$5001)+ROW()/10000000,0))</f>
        <v>0</v>
      </c>
      <c r="Q2173" s="47" t="n">
        <f aca="false">IF(OR($A2173="",C2173=""),0,IF(COUNTIF($C$2:C2173,C2173)=1,SUMIF($C$2:$C$5001,C2173,$H$2:$H$5001)+ROW()/10000000,0))</f>
        <v>0</v>
      </c>
    </row>
    <row r="2174" customFormat="false" ht="15" hidden="false" customHeight="false" outlineLevel="0" collapsed="false">
      <c r="A2174" s="43"/>
      <c r="B2174" s="44"/>
      <c r="C2174" s="44"/>
      <c r="D2174" s="44"/>
      <c r="E2174" s="44"/>
      <c r="F2174" s="44"/>
      <c r="G2174" s="44"/>
      <c r="H2174" s="46" t="str">
        <f aca="false">IF($A2174="","",IF(OR(NOT(ISNUMBER(E2174)),NOT(ISNUMBER(F2174))),"",MAX(0,E2174)*F2174))</f>
        <v/>
      </c>
      <c r="I2174" s="46" t="str">
        <f aca="false">IF($A2174="","",SUMIF($A$2:$A$5001,$A2174,$H$2:$H$5001))</f>
        <v/>
      </c>
      <c r="J2174" s="47" t="n">
        <f aca="false">IF($A2174="",0,IF(COUNTIF($A$2:A2174,$A2174)=1,1,0))</f>
        <v>0</v>
      </c>
      <c r="K2174" s="47" t="n">
        <f aca="false">IF(J2174=1,N(I2174)+ROW()/10000000,0)</f>
        <v>0</v>
      </c>
      <c r="L2174" s="47" t="str">
        <f aca="false">IF(AND(J2174=1,N(I2174)&gt;0),SUMIF($K$2:$K$5001,"&gt;="&amp;K2174,$I$2:$I$5001)/MAX(1,SUM($H$2:$H$5001)),"")</f>
        <v/>
      </c>
      <c r="M2174" s="47" t="str">
        <f aca="false">IF($A2174="","",INDEX($L$2:$L$5001,MATCH($A2174,$A$2:$A$5001,0)))</f>
        <v/>
      </c>
      <c r="N2174" s="48" t="str">
        <f aca="false">IF($A2174="","",IF(N(M2174)=0,"–",IF(M2174&lt;=Start!$D$20,"A",IF(M2174&lt;=Start!$D$21,"B","C"))))</f>
        <v/>
      </c>
      <c r="O2174" s="48" t="str">
        <f aca="false">IF($A2174="","",IF(NOT(ISNUMBER(F2174)),"Wert fehlt; ",IF(F2174&lt;=0,"Wert ist 0; ",""))&amp;IF(NOT(ISNUMBER(E2174)),"Bestand fehlt; ",IF(E2174&lt;0,"Bestand negativ; ",IF(E2174=0,"Nullbestand; ","")))&amp;IF(D2174="","Warengruppe fehlt; ","")&amp;IF(B2174="","Bezeichnung fehlt; ","")&amp;IF(COUNTIFS($A$2:$A$5001,$A2174,$C$2:$C$5001,C2174)&gt;1,"Artikel doppelt im selben Lager; ",""))</f>
        <v/>
      </c>
      <c r="P2174" s="47" t="n">
        <f aca="false">IF(OR($A2174="",D2174=""),0,IF(COUNTIF($D$2:D2174,D2174)=1,SUMIF($D$2:$D$5001,D2174,$H$2:$H$5001)+ROW()/10000000,0))</f>
        <v>0</v>
      </c>
      <c r="Q2174" s="47" t="n">
        <f aca="false">IF(OR($A2174="",C2174=""),0,IF(COUNTIF($C$2:C2174,C2174)=1,SUMIF($C$2:$C$5001,C2174,$H$2:$H$5001)+ROW()/10000000,0))</f>
        <v>0</v>
      </c>
    </row>
    <row r="2175" customFormat="false" ht="15" hidden="false" customHeight="false" outlineLevel="0" collapsed="false">
      <c r="A2175" s="43"/>
      <c r="B2175" s="44"/>
      <c r="C2175" s="44"/>
      <c r="D2175" s="44"/>
      <c r="E2175" s="44"/>
      <c r="F2175" s="44"/>
      <c r="G2175" s="44"/>
      <c r="H2175" s="46" t="str">
        <f aca="false">IF($A2175="","",IF(OR(NOT(ISNUMBER(E2175)),NOT(ISNUMBER(F2175))),"",MAX(0,E2175)*F2175))</f>
        <v/>
      </c>
      <c r="I2175" s="46" t="str">
        <f aca="false">IF($A2175="","",SUMIF($A$2:$A$5001,$A2175,$H$2:$H$5001))</f>
        <v/>
      </c>
      <c r="J2175" s="47" t="n">
        <f aca="false">IF($A2175="",0,IF(COUNTIF($A$2:A2175,$A2175)=1,1,0))</f>
        <v>0</v>
      </c>
      <c r="K2175" s="47" t="n">
        <f aca="false">IF(J2175=1,N(I2175)+ROW()/10000000,0)</f>
        <v>0</v>
      </c>
      <c r="L2175" s="47" t="str">
        <f aca="false">IF(AND(J2175=1,N(I2175)&gt;0),SUMIF($K$2:$K$5001,"&gt;="&amp;K2175,$I$2:$I$5001)/MAX(1,SUM($H$2:$H$5001)),"")</f>
        <v/>
      </c>
      <c r="M2175" s="47" t="str">
        <f aca="false">IF($A2175="","",INDEX($L$2:$L$5001,MATCH($A2175,$A$2:$A$5001,0)))</f>
        <v/>
      </c>
      <c r="N2175" s="48" t="str">
        <f aca="false">IF($A2175="","",IF(N(M2175)=0,"–",IF(M2175&lt;=Start!$D$20,"A",IF(M2175&lt;=Start!$D$21,"B","C"))))</f>
        <v/>
      </c>
      <c r="O2175" s="48" t="str">
        <f aca="false">IF($A2175="","",IF(NOT(ISNUMBER(F2175)),"Wert fehlt; ",IF(F2175&lt;=0,"Wert ist 0; ",""))&amp;IF(NOT(ISNUMBER(E2175)),"Bestand fehlt; ",IF(E2175&lt;0,"Bestand negativ; ",IF(E2175=0,"Nullbestand; ","")))&amp;IF(D2175="","Warengruppe fehlt; ","")&amp;IF(B2175="","Bezeichnung fehlt; ","")&amp;IF(COUNTIFS($A$2:$A$5001,$A2175,$C$2:$C$5001,C2175)&gt;1,"Artikel doppelt im selben Lager; ",""))</f>
        <v/>
      </c>
      <c r="P2175" s="47" t="n">
        <f aca="false">IF(OR($A2175="",D2175=""),0,IF(COUNTIF($D$2:D2175,D2175)=1,SUMIF($D$2:$D$5001,D2175,$H$2:$H$5001)+ROW()/10000000,0))</f>
        <v>0</v>
      </c>
      <c r="Q2175" s="47" t="n">
        <f aca="false">IF(OR($A2175="",C2175=""),0,IF(COUNTIF($C$2:C2175,C2175)=1,SUMIF($C$2:$C$5001,C2175,$H$2:$H$5001)+ROW()/10000000,0))</f>
        <v>0</v>
      </c>
    </row>
    <row r="2176" customFormat="false" ht="15" hidden="false" customHeight="false" outlineLevel="0" collapsed="false">
      <c r="A2176" s="43"/>
      <c r="B2176" s="44"/>
      <c r="C2176" s="44"/>
      <c r="D2176" s="44"/>
      <c r="E2176" s="44"/>
      <c r="F2176" s="44"/>
      <c r="G2176" s="44"/>
      <c r="H2176" s="46" t="str">
        <f aca="false">IF($A2176="","",IF(OR(NOT(ISNUMBER(E2176)),NOT(ISNUMBER(F2176))),"",MAX(0,E2176)*F2176))</f>
        <v/>
      </c>
      <c r="I2176" s="46" t="str">
        <f aca="false">IF($A2176="","",SUMIF($A$2:$A$5001,$A2176,$H$2:$H$5001))</f>
        <v/>
      </c>
      <c r="J2176" s="47" t="n">
        <f aca="false">IF($A2176="",0,IF(COUNTIF($A$2:A2176,$A2176)=1,1,0))</f>
        <v>0</v>
      </c>
      <c r="K2176" s="47" t="n">
        <f aca="false">IF(J2176=1,N(I2176)+ROW()/10000000,0)</f>
        <v>0</v>
      </c>
      <c r="L2176" s="47" t="str">
        <f aca="false">IF(AND(J2176=1,N(I2176)&gt;0),SUMIF($K$2:$K$5001,"&gt;="&amp;K2176,$I$2:$I$5001)/MAX(1,SUM($H$2:$H$5001)),"")</f>
        <v/>
      </c>
      <c r="M2176" s="47" t="str">
        <f aca="false">IF($A2176="","",INDEX($L$2:$L$5001,MATCH($A2176,$A$2:$A$5001,0)))</f>
        <v/>
      </c>
      <c r="N2176" s="48" t="str">
        <f aca="false">IF($A2176="","",IF(N(M2176)=0,"–",IF(M2176&lt;=Start!$D$20,"A",IF(M2176&lt;=Start!$D$21,"B","C"))))</f>
        <v/>
      </c>
      <c r="O2176" s="48" t="str">
        <f aca="false">IF($A2176="","",IF(NOT(ISNUMBER(F2176)),"Wert fehlt; ",IF(F2176&lt;=0,"Wert ist 0; ",""))&amp;IF(NOT(ISNUMBER(E2176)),"Bestand fehlt; ",IF(E2176&lt;0,"Bestand negativ; ",IF(E2176=0,"Nullbestand; ","")))&amp;IF(D2176="","Warengruppe fehlt; ","")&amp;IF(B2176="","Bezeichnung fehlt; ","")&amp;IF(COUNTIFS($A$2:$A$5001,$A2176,$C$2:$C$5001,C2176)&gt;1,"Artikel doppelt im selben Lager; ",""))</f>
        <v/>
      </c>
      <c r="P2176" s="47" t="n">
        <f aca="false">IF(OR($A2176="",D2176=""),0,IF(COUNTIF($D$2:D2176,D2176)=1,SUMIF($D$2:$D$5001,D2176,$H$2:$H$5001)+ROW()/10000000,0))</f>
        <v>0</v>
      </c>
      <c r="Q2176" s="47" t="n">
        <f aca="false">IF(OR($A2176="",C2176=""),0,IF(COUNTIF($C$2:C2176,C2176)=1,SUMIF($C$2:$C$5001,C2176,$H$2:$H$5001)+ROW()/10000000,0))</f>
        <v>0</v>
      </c>
    </row>
    <row r="2177" customFormat="false" ht="15" hidden="false" customHeight="false" outlineLevel="0" collapsed="false">
      <c r="A2177" s="43"/>
      <c r="B2177" s="44"/>
      <c r="C2177" s="44"/>
      <c r="D2177" s="44"/>
      <c r="E2177" s="44"/>
      <c r="F2177" s="44"/>
      <c r="G2177" s="44"/>
      <c r="H2177" s="46" t="str">
        <f aca="false">IF($A2177="","",IF(OR(NOT(ISNUMBER(E2177)),NOT(ISNUMBER(F2177))),"",MAX(0,E2177)*F2177))</f>
        <v/>
      </c>
      <c r="I2177" s="46" t="str">
        <f aca="false">IF($A2177="","",SUMIF($A$2:$A$5001,$A2177,$H$2:$H$5001))</f>
        <v/>
      </c>
      <c r="J2177" s="47" t="n">
        <f aca="false">IF($A2177="",0,IF(COUNTIF($A$2:A2177,$A2177)=1,1,0))</f>
        <v>0</v>
      </c>
      <c r="K2177" s="47" t="n">
        <f aca="false">IF(J2177=1,N(I2177)+ROW()/10000000,0)</f>
        <v>0</v>
      </c>
      <c r="L2177" s="47" t="str">
        <f aca="false">IF(AND(J2177=1,N(I2177)&gt;0),SUMIF($K$2:$K$5001,"&gt;="&amp;K2177,$I$2:$I$5001)/MAX(1,SUM($H$2:$H$5001)),"")</f>
        <v/>
      </c>
      <c r="M2177" s="47" t="str">
        <f aca="false">IF($A2177="","",INDEX($L$2:$L$5001,MATCH($A2177,$A$2:$A$5001,0)))</f>
        <v/>
      </c>
      <c r="N2177" s="48" t="str">
        <f aca="false">IF($A2177="","",IF(N(M2177)=0,"–",IF(M2177&lt;=Start!$D$20,"A",IF(M2177&lt;=Start!$D$21,"B","C"))))</f>
        <v/>
      </c>
      <c r="O2177" s="48" t="str">
        <f aca="false">IF($A2177="","",IF(NOT(ISNUMBER(F2177)),"Wert fehlt; ",IF(F2177&lt;=0,"Wert ist 0; ",""))&amp;IF(NOT(ISNUMBER(E2177)),"Bestand fehlt; ",IF(E2177&lt;0,"Bestand negativ; ",IF(E2177=0,"Nullbestand; ","")))&amp;IF(D2177="","Warengruppe fehlt; ","")&amp;IF(B2177="","Bezeichnung fehlt; ","")&amp;IF(COUNTIFS($A$2:$A$5001,$A2177,$C$2:$C$5001,C2177)&gt;1,"Artikel doppelt im selben Lager; ",""))</f>
        <v/>
      </c>
      <c r="P2177" s="47" t="n">
        <f aca="false">IF(OR($A2177="",D2177=""),0,IF(COUNTIF($D$2:D2177,D2177)=1,SUMIF($D$2:$D$5001,D2177,$H$2:$H$5001)+ROW()/10000000,0))</f>
        <v>0</v>
      </c>
      <c r="Q2177" s="47" t="n">
        <f aca="false">IF(OR($A2177="",C2177=""),0,IF(COUNTIF($C$2:C2177,C2177)=1,SUMIF($C$2:$C$5001,C2177,$H$2:$H$5001)+ROW()/10000000,0))</f>
        <v>0</v>
      </c>
    </row>
    <row r="2178" customFormat="false" ht="15" hidden="false" customHeight="false" outlineLevel="0" collapsed="false">
      <c r="A2178" s="43"/>
      <c r="B2178" s="44"/>
      <c r="C2178" s="44"/>
      <c r="D2178" s="44"/>
      <c r="E2178" s="44"/>
      <c r="F2178" s="44"/>
      <c r="G2178" s="44"/>
      <c r="H2178" s="46" t="str">
        <f aca="false">IF($A2178="","",IF(OR(NOT(ISNUMBER(E2178)),NOT(ISNUMBER(F2178))),"",MAX(0,E2178)*F2178))</f>
        <v/>
      </c>
      <c r="I2178" s="46" t="str">
        <f aca="false">IF($A2178="","",SUMIF($A$2:$A$5001,$A2178,$H$2:$H$5001))</f>
        <v/>
      </c>
      <c r="J2178" s="47" t="n">
        <f aca="false">IF($A2178="",0,IF(COUNTIF($A$2:A2178,$A2178)=1,1,0))</f>
        <v>0</v>
      </c>
      <c r="K2178" s="47" t="n">
        <f aca="false">IF(J2178=1,N(I2178)+ROW()/10000000,0)</f>
        <v>0</v>
      </c>
      <c r="L2178" s="47" t="str">
        <f aca="false">IF(AND(J2178=1,N(I2178)&gt;0),SUMIF($K$2:$K$5001,"&gt;="&amp;K2178,$I$2:$I$5001)/MAX(1,SUM($H$2:$H$5001)),"")</f>
        <v/>
      </c>
      <c r="M2178" s="47" t="str">
        <f aca="false">IF($A2178="","",INDEX($L$2:$L$5001,MATCH($A2178,$A$2:$A$5001,0)))</f>
        <v/>
      </c>
      <c r="N2178" s="48" t="str">
        <f aca="false">IF($A2178="","",IF(N(M2178)=0,"–",IF(M2178&lt;=Start!$D$20,"A",IF(M2178&lt;=Start!$D$21,"B","C"))))</f>
        <v/>
      </c>
      <c r="O2178" s="48" t="str">
        <f aca="false">IF($A2178="","",IF(NOT(ISNUMBER(F2178)),"Wert fehlt; ",IF(F2178&lt;=0,"Wert ist 0; ",""))&amp;IF(NOT(ISNUMBER(E2178)),"Bestand fehlt; ",IF(E2178&lt;0,"Bestand negativ; ",IF(E2178=0,"Nullbestand; ","")))&amp;IF(D2178="","Warengruppe fehlt; ","")&amp;IF(B2178="","Bezeichnung fehlt; ","")&amp;IF(COUNTIFS($A$2:$A$5001,$A2178,$C$2:$C$5001,C2178)&gt;1,"Artikel doppelt im selben Lager; ",""))</f>
        <v/>
      </c>
      <c r="P2178" s="47" t="n">
        <f aca="false">IF(OR($A2178="",D2178=""),0,IF(COUNTIF($D$2:D2178,D2178)=1,SUMIF($D$2:$D$5001,D2178,$H$2:$H$5001)+ROW()/10000000,0))</f>
        <v>0</v>
      </c>
      <c r="Q2178" s="47" t="n">
        <f aca="false">IF(OR($A2178="",C2178=""),0,IF(COUNTIF($C$2:C2178,C2178)=1,SUMIF($C$2:$C$5001,C2178,$H$2:$H$5001)+ROW()/10000000,0))</f>
        <v>0</v>
      </c>
    </row>
    <row r="2179" customFormat="false" ht="15" hidden="false" customHeight="false" outlineLevel="0" collapsed="false">
      <c r="A2179" s="43"/>
      <c r="B2179" s="44"/>
      <c r="C2179" s="44"/>
      <c r="D2179" s="44"/>
      <c r="E2179" s="44"/>
      <c r="F2179" s="44"/>
      <c r="G2179" s="44"/>
      <c r="H2179" s="46" t="str">
        <f aca="false">IF($A2179="","",IF(OR(NOT(ISNUMBER(E2179)),NOT(ISNUMBER(F2179))),"",MAX(0,E2179)*F2179))</f>
        <v/>
      </c>
      <c r="I2179" s="46" t="str">
        <f aca="false">IF($A2179="","",SUMIF($A$2:$A$5001,$A2179,$H$2:$H$5001))</f>
        <v/>
      </c>
      <c r="J2179" s="47" t="n">
        <f aca="false">IF($A2179="",0,IF(COUNTIF($A$2:A2179,$A2179)=1,1,0))</f>
        <v>0</v>
      </c>
      <c r="K2179" s="47" t="n">
        <f aca="false">IF(J2179=1,N(I2179)+ROW()/10000000,0)</f>
        <v>0</v>
      </c>
      <c r="L2179" s="47" t="str">
        <f aca="false">IF(AND(J2179=1,N(I2179)&gt;0),SUMIF($K$2:$K$5001,"&gt;="&amp;K2179,$I$2:$I$5001)/MAX(1,SUM($H$2:$H$5001)),"")</f>
        <v/>
      </c>
      <c r="M2179" s="47" t="str">
        <f aca="false">IF($A2179="","",INDEX($L$2:$L$5001,MATCH($A2179,$A$2:$A$5001,0)))</f>
        <v/>
      </c>
      <c r="N2179" s="48" t="str">
        <f aca="false">IF($A2179="","",IF(N(M2179)=0,"–",IF(M2179&lt;=Start!$D$20,"A",IF(M2179&lt;=Start!$D$21,"B","C"))))</f>
        <v/>
      </c>
      <c r="O2179" s="48" t="str">
        <f aca="false">IF($A2179="","",IF(NOT(ISNUMBER(F2179)),"Wert fehlt; ",IF(F2179&lt;=0,"Wert ist 0; ",""))&amp;IF(NOT(ISNUMBER(E2179)),"Bestand fehlt; ",IF(E2179&lt;0,"Bestand negativ; ",IF(E2179=0,"Nullbestand; ","")))&amp;IF(D2179="","Warengruppe fehlt; ","")&amp;IF(B2179="","Bezeichnung fehlt; ","")&amp;IF(COUNTIFS($A$2:$A$5001,$A2179,$C$2:$C$5001,C2179)&gt;1,"Artikel doppelt im selben Lager; ",""))</f>
        <v/>
      </c>
      <c r="P2179" s="47" t="n">
        <f aca="false">IF(OR($A2179="",D2179=""),0,IF(COUNTIF($D$2:D2179,D2179)=1,SUMIF($D$2:$D$5001,D2179,$H$2:$H$5001)+ROW()/10000000,0))</f>
        <v>0</v>
      </c>
      <c r="Q2179" s="47" t="n">
        <f aca="false">IF(OR($A2179="",C2179=""),0,IF(COUNTIF($C$2:C2179,C2179)=1,SUMIF($C$2:$C$5001,C2179,$H$2:$H$5001)+ROW()/10000000,0))</f>
        <v>0</v>
      </c>
    </row>
    <row r="2180" customFormat="false" ht="15" hidden="false" customHeight="false" outlineLevel="0" collapsed="false">
      <c r="A2180" s="43"/>
      <c r="B2180" s="44"/>
      <c r="C2180" s="44"/>
      <c r="D2180" s="44"/>
      <c r="E2180" s="44"/>
      <c r="F2180" s="44"/>
      <c r="G2180" s="44"/>
      <c r="H2180" s="46" t="str">
        <f aca="false">IF($A2180="","",IF(OR(NOT(ISNUMBER(E2180)),NOT(ISNUMBER(F2180))),"",MAX(0,E2180)*F2180))</f>
        <v/>
      </c>
      <c r="I2180" s="46" t="str">
        <f aca="false">IF($A2180="","",SUMIF($A$2:$A$5001,$A2180,$H$2:$H$5001))</f>
        <v/>
      </c>
      <c r="J2180" s="47" t="n">
        <f aca="false">IF($A2180="",0,IF(COUNTIF($A$2:A2180,$A2180)=1,1,0))</f>
        <v>0</v>
      </c>
      <c r="K2180" s="47" t="n">
        <f aca="false">IF(J2180=1,N(I2180)+ROW()/10000000,0)</f>
        <v>0</v>
      </c>
      <c r="L2180" s="47" t="str">
        <f aca="false">IF(AND(J2180=1,N(I2180)&gt;0),SUMIF($K$2:$K$5001,"&gt;="&amp;K2180,$I$2:$I$5001)/MAX(1,SUM($H$2:$H$5001)),"")</f>
        <v/>
      </c>
      <c r="M2180" s="47" t="str">
        <f aca="false">IF($A2180="","",INDEX($L$2:$L$5001,MATCH($A2180,$A$2:$A$5001,0)))</f>
        <v/>
      </c>
      <c r="N2180" s="48" t="str">
        <f aca="false">IF($A2180="","",IF(N(M2180)=0,"–",IF(M2180&lt;=Start!$D$20,"A",IF(M2180&lt;=Start!$D$21,"B","C"))))</f>
        <v/>
      </c>
      <c r="O2180" s="48" t="str">
        <f aca="false">IF($A2180="","",IF(NOT(ISNUMBER(F2180)),"Wert fehlt; ",IF(F2180&lt;=0,"Wert ist 0; ",""))&amp;IF(NOT(ISNUMBER(E2180)),"Bestand fehlt; ",IF(E2180&lt;0,"Bestand negativ; ",IF(E2180=0,"Nullbestand; ","")))&amp;IF(D2180="","Warengruppe fehlt; ","")&amp;IF(B2180="","Bezeichnung fehlt; ","")&amp;IF(COUNTIFS($A$2:$A$5001,$A2180,$C$2:$C$5001,C2180)&gt;1,"Artikel doppelt im selben Lager; ",""))</f>
        <v/>
      </c>
      <c r="P2180" s="47" t="n">
        <f aca="false">IF(OR($A2180="",D2180=""),0,IF(COUNTIF($D$2:D2180,D2180)=1,SUMIF($D$2:$D$5001,D2180,$H$2:$H$5001)+ROW()/10000000,0))</f>
        <v>0</v>
      </c>
      <c r="Q2180" s="47" t="n">
        <f aca="false">IF(OR($A2180="",C2180=""),0,IF(COUNTIF($C$2:C2180,C2180)=1,SUMIF($C$2:$C$5001,C2180,$H$2:$H$5001)+ROW()/10000000,0))</f>
        <v>0</v>
      </c>
    </row>
    <row r="2181" customFormat="false" ht="15" hidden="false" customHeight="false" outlineLevel="0" collapsed="false">
      <c r="A2181" s="43"/>
      <c r="B2181" s="44"/>
      <c r="C2181" s="44"/>
      <c r="D2181" s="44"/>
      <c r="E2181" s="44"/>
      <c r="F2181" s="44"/>
      <c r="G2181" s="44"/>
      <c r="H2181" s="46" t="str">
        <f aca="false">IF($A2181="","",IF(OR(NOT(ISNUMBER(E2181)),NOT(ISNUMBER(F2181))),"",MAX(0,E2181)*F2181))</f>
        <v/>
      </c>
      <c r="I2181" s="46" t="str">
        <f aca="false">IF($A2181="","",SUMIF($A$2:$A$5001,$A2181,$H$2:$H$5001))</f>
        <v/>
      </c>
      <c r="J2181" s="47" t="n">
        <f aca="false">IF($A2181="",0,IF(COUNTIF($A$2:A2181,$A2181)=1,1,0))</f>
        <v>0</v>
      </c>
      <c r="K2181" s="47" t="n">
        <f aca="false">IF(J2181=1,N(I2181)+ROW()/10000000,0)</f>
        <v>0</v>
      </c>
      <c r="L2181" s="47" t="str">
        <f aca="false">IF(AND(J2181=1,N(I2181)&gt;0),SUMIF($K$2:$K$5001,"&gt;="&amp;K2181,$I$2:$I$5001)/MAX(1,SUM($H$2:$H$5001)),"")</f>
        <v/>
      </c>
      <c r="M2181" s="47" t="str">
        <f aca="false">IF($A2181="","",INDEX($L$2:$L$5001,MATCH($A2181,$A$2:$A$5001,0)))</f>
        <v/>
      </c>
      <c r="N2181" s="48" t="str">
        <f aca="false">IF($A2181="","",IF(N(M2181)=0,"–",IF(M2181&lt;=Start!$D$20,"A",IF(M2181&lt;=Start!$D$21,"B","C"))))</f>
        <v/>
      </c>
      <c r="O2181" s="48" t="str">
        <f aca="false">IF($A2181="","",IF(NOT(ISNUMBER(F2181)),"Wert fehlt; ",IF(F2181&lt;=0,"Wert ist 0; ",""))&amp;IF(NOT(ISNUMBER(E2181)),"Bestand fehlt; ",IF(E2181&lt;0,"Bestand negativ; ",IF(E2181=0,"Nullbestand; ","")))&amp;IF(D2181="","Warengruppe fehlt; ","")&amp;IF(B2181="","Bezeichnung fehlt; ","")&amp;IF(COUNTIFS($A$2:$A$5001,$A2181,$C$2:$C$5001,C2181)&gt;1,"Artikel doppelt im selben Lager; ",""))</f>
        <v/>
      </c>
      <c r="P2181" s="47" t="n">
        <f aca="false">IF(OR($A2181="",D2181=""),0,IF(COUNTIF($D$2:D2181,D2181)=1,SUMIF($D$2:$D$5001,D2181,$H$2:$H$5001)+ROW()/10000000,0))</f>
        <v>0</v>
      </c>
      <c r="Q2181" s="47" t="n">
        <f aca="false">IF(OR($A2181="",C2181=""),0,IF(COUNTIF($C$2:C2181,C2181)=1,SUMIF($C$2:$C$5001,C2181,$H$2:$H$5001)+ROW()/10000000,0))</f>
        <v>0</v>
      </c>
    </row>
    <row r="2182" customFormat="false" ht="15" hidden="false" customHeight="false" outlineLevel="0" collapsed="false">
      <c r="A2182" s="43"/>
      <c r="B2182" s="44"/>
      <c r="C2182" s="44"/>
      <c r="D2182" s="44"/>
      <c r="E2182" s="44"/>
      <c r="F2182" s="44"/>
      <c r="G2182" s="44"/>
      <c r="H2182" s="46" t="str">
        <f aca="false">IF($A2182="","",IF(OR(NOT(ISNUMBER(E2182)),NOT(ISNUMBER(F2182))),"",MAX(0,E2182)*F2182))</f>
        <v/>
      </c>
      <c r="I2182" s="46" t="str">
        <f aca="false">IF($A2182="","",SUMIF($A$2:$A$5001,$A2182,$H$2:$H$5001))</f>
        <v/>
      </c>
      <c r="J2182" s="47" t="n">
        <f aca="false">IF($A2182="",0,IF(COUNTIF($A$2:A2182,$A2182)=1,1,0))</f>
        <v>0</v>
      </c>
      <c r="K2182" s="47" t="n">
        <f aca="false">IF(J2182=1,N(I2182)+ROW()/10000000,0)</f>
        <v>0</v>
      </c>
      <c r="L2182" s="47" t="str">
        <f aca="false">IF(AND(J2182=1,N(I2182)&gt;0),SUMIF($K$2:$K$5001,"&gt;="&amp;K2182,$I$2:$I$5001)/MAX(1,SUM($H$2:$H$5001)),"")</f>
        <v/>
      </c>
      <c r="M2182" s="47" t="str">
        <f aca="false">IF($A2182="","",INDEX($L$2:$L$5001,MATCH($A2182,$A$2:$A$5001,0)))</f>
        <v/>
      </c>
      <c r="N2182" s="48" t="str">
        <f aca="false">IF($A2182="","",IF(N(M2182)=0,"–",IF(M2182&lt;=Start!$D$20,"A",IF(M2182&lt;=Start!$D$21,"B","C"))))</f>
        <v/>
      </c>
      <c r="O2182" s="48" t="str">
        <f aca="false">IF($A2182="","",IF(NOT(ISNUMBER(F2182)),"Wert fehlt; ",IF(F2182&lt;=0,"Wert ist 0; ",""))&amp;IF(NOT(ISNUMBER(E2182)),"Bestand fehlt; ",IF(E2182&lt;0,"Bestand negativ; ",IF(E2182=0,"Nullbestand; ","")))&amp;IF(D2182="","Warengruppe fehlt; ","")&amp;IF(B2182="","Bezeichnung fehlt; ","")&amp;IF(COUNTIFS($A$2:$A$5001,$A2182,$C$2:$C$5001,C2182)&gt;1,"Artikel doppelt im selben Lager; ",""))</f>
        <v/>
      </c>
      <c r="P2182" s="47" t="n">
        <f aca="false">IF(OR($A2182="",D2182=""),0,IF(COUNTIF($D$2:D2182,D2182)=1,SUMIF($D$2:$D$5001,D2182,$H$2:$H$5001)+ROW()/10000000,0))</f>
        <v>0</v>
      </c>
      <c r="Q2182" s="47" t="n">
        <f aca="false">IF(OR($A2182="",C2182=""),0,IF(COUNTIF($C$2:C2182,C2182)=1,SUMIF($C$2:$C$5001,C2182,$H$2:$H$5001)+ROW()/10000000,0))</f>
        <v>0</v>
      </c>
    </row>
    <row r="2183" customFormat="false" ht="15" hidden="false" customHeight="false" outlineLevel="0" collapsed="false">
      <c r="A2183" s="43"/>
      <c r="B2183" s="44"/>
      <c r="C2183" s="44"/>
      <c r="D2183" s="44"/>
      <c r="E2183" s="44"/>
      <c r="F2183" s="44"/>
      <c r="G2183" s="44"/>
      <c r="H2183" s="46" t="str">
        <f aca="false">IF($A2183="","",IF(OR(NOT(ISNUMBER(E2183)),NOT(ISNUMBER(F2183))),"",MAX(0,E2183)*F2183))</f>
        <v/>
      </c>
      <c r="I2183" s="46" t="str">
        <f aca="false">IF($A2183="","",SUMIF($A$2:$A$5001,$A2183,$H$2:$H$5001))</f>
        <v/>
      </c>
      <c r="J2183" s="47" t="n">
        <f aca="false">IF($A2183="",0,IF(COUNTIF($A$2:A2183,$A2183)=1,1,0))</f>
        <v>0</v>
      </c>
      <c r="K2183" s="47" t="n">
        <f aca="false">IF(J2183=1,N(I2183)+ROW()/10000000,0)</f>
        <v>0</v>
      </c>
      <c r="L2183" s="47" t="str">
        <f aca="false">IF(AND(J2183=1,N(I2183)&gt;0),SUMIF($K$2:$K$5001,"&gt;="&amp;K2183,$I$2:$I$5001)/MAX(1,SUM($H$2:$H$5001)),"")</f>
        <v/>
      </c>
      <c r="M2183" s="47" t="str">
        <f aca="false">IF($A2183="","",INDEX($L$2:$L$5001,MATCH($A2183,$A$2:$A$5001,0)))</f>
        <v/>
      </c>
      <c r="N2183" s="48" t="str">
        <f aca="false">IF($A2183="","",IF(N(M2183)=0,"–",IF(M2183&lt;=Start!$D$20,"A",IF(M2183&lt;=Start!$D$21,"B","C"))))</f>
        <v/>
      </c>
      <c r="O2183" s="48" t="str">
        <f aca="false">IF($A2183="","",IF(NOT(ISNUMBER(F2183)),"Wert fehlt; ",IF(F2183&lt;=0,"Wert ist 0; ",""))&amp;IF(NOT(ISNUMBER(E2183)),"Bestand fehlt; ",IF(E2183&lt;0,"Bestand negativ; ",IF(E2183=0,"Nullbestand; ","")))&amp;IF(D2183="","Warengruppe fehlt; ","")&amp;IF(B2183="","Bezeichnung fehlt; ","")&amp;IF(COUNTIFS($A$2:$A$5001,$A2183,$C$2:$C$5001,C2183)&gt;1,"Artikel doppelt im selben Lager; ",""))</f>
        <v/>
      </c>
      <c r="P2183" s="47" t="n">
        <f aca="false">IF(OR($A2183="",D2183=""),0,IF(COUNTIF($D$2:D2183,D2183)=1,SUMIF($D$2:$D$5001,D2183,$H$2:$H$5001)+ROW()/10000000,0))</f>
        <v>0</v>
      </c>
      <c r="Q2183" s="47" t="n">
        <f aca="false">IF(OR($A2183="",C2183=""),0,IF(COUNTIF($C$2:C2183,C2183)=1,SUMIF($C$2:$C$5001,C2183,$H$2:$H$5001)+ROW()/10000000,0))</f>
        <v>0</v>
      </c>
    </row>
    <row r="2184" customFormat="false" ht="15" hidden="false" customHeight="false" outlineLevel="0" collapsed="false">
      <c r="A2184" s="43"/>
      <c r="B2184" s="44"/>
      <c r="C2184" s="44"/>
      <c r="D2184" s="44"/>
      <c r="E2184" s="44"/>
      <c r="F2184" s="44"/>
      <c r="G2184" s="44"/>
      <c r="H2184" s="46" t="str">
        <f aca="false">IF($A2184="","",IF(OR(NOT(ISNUMBER(E2184)),NOT(ISNUMBER(F2184))),"",MAX(0,E2184)*F2184))</f>
        <v/>
      </c>
      <c r="I2184" s="46" t="str">
        <f aca="false">IF($A2184="","",SUMIF($A$2:$A$5001,$A2184,$H$2:$H$5001))</f>
        <v/>
      </c>
      <c r="J2184" s="47" t="n">
        <f aca="false">IF($A2184="",0,IF(COUNTIF($A$2:A2184,$A2184)=1,1,0))</f>
        <v>0</v>
      </c>
      <c r="K2184" s="47" t="n">
        <f aca="false">IF(J2184=1,N(I2184)+ROW()/10000000,0)</f>
        <v>0</v>
      </c>
      <c r="L2184" s="47" t="str">
        <f aca="false">IF(AND(J2184=1,N(I2184)&gt;0),SUMIF($K$2:$K$5001,"&gt;="&amp;K2184,$I$2:$I$5001)/MAX(1,SUM($H$2:$H$5001)),"")</f>
        <v/>
      </c>
      <c r="M2184" s="47" t="str">
        <f aca="false">IF($A2184="","",INDEX($L$2:$L$5001,MATCH($A2184,$A$2:$A$5001,0)))</f>
        <v/>
      </c>
      <c r="N2184" s="48" t="str">
        <f aca="false">IF($A2184="","",IF(N(M2184)=0,"–",IF(M2184&lt;=Start!$D$20,"A",IF(M2184&lt;=Start!$D$21,"B","C"))))</f>
        <v/>
      </c>
      <c r="O2184" s="48" t="str">
        <f aca="false">IF($A2184="","",IF(NOT(ISNUMBER(F2184)),"Wert fehlt; ",IF(F2184&lt;=0,"Wert ist 0; ",""))&amp;IF(NOT(ISNUMBER(E2184)),"Bestand fehlt; ",IF(E2184&lt;0,"Bestand negativ; ",IF(E2184=0,"Nullbestand; ","")))&amp;IF(D2184="","Warengruppe fehlt; ","")&amp;IF(B2184="","Bezeichnung fehlt; ","")&amp;IF(COUNTIFS($A$2:$A$5001,$A2184,$C$2:$C$5001,C2184)&gt;1,"Artikel doppelt im selben Lager; ",""))</f>
        <v/>
      </c>
      <c r="P2184" s="47" t="n">
        <f aca="false">IF(OR($A2184="",D2184=""),0,IF(COUNTIF($D$2:D2184,D2184)=1,SUMIF($D$2:$D$5001,D2184,$H$2:$H$5001)+ROW()/10000000,0))</f>
        <v>0</v>
      </c>
      <c r="Q2184" s="47" t="n">
        <f aca="false">IF(OR($A2184="",C2184=""),0,IF(COUNTIF($C$2:C2184,C2184)=1,SUMIF($C$2:$C$5001,C2184,$H$2:$H$5001)+ROW()/10000000,0))</f>
        <v>0</v>
      </c>
    </row>
    <row r="2185" customFormat="false" ht="15" hidden="false" customHeight="false" outlineLevel="0" collapsed="false">
      <c r="A2185" s="43"/>
      <c r="B2185" s="44"/>
      <c r="C2185" s="44"/>
      <c r="D2185" s="44"/>
      <c r="E2185" s="44"/>
      <c r="F2185" s="44"/>
      <c r="G2185" s="44"/>
      <c r="H2185" s="46" t="str">
        <f aca="false">IF($A2185="","",IF(OR(NOT(ISNUMBER(E2185)),NOT(ISNUMBER(F2185))),"",MAX(0,E2185)*F2185))</f>
        <v/>
      </c>
      <c r="I2185" s="46" t="str">
        <f aca="false">IF($A2185="","",SUMIF($A$2:$A$5001,$A2185,$H$2:$H$5001))</f>
        <v/>
      </c>
      <c r="J2185" s="47" t="n">
        <f aca="false">IF($A2185="",0,IF(COUNTIF($A$2:A2185,$A2185)=1,1,0))</f>
        <v>0</v>
      </c>
      <c r="K2185" s="47" t="n">
        <f aca="false">IF(J2185=1,N(I2185)+ROW()/10000000,0)</f>
        <v>0</v>
      </c>
      <c r="L2185" s="47" t="str">
        <f aca="false">IF(AND(J2185=1,N(I2185)&gt;0),SUMIF($K$2:$K$5001,"&gt;="&amp;K2185,$I$2:$I$5001)/MAX(1,SUM($H$2:$H$5001)),"")</f>
        <v/>
      </c>
      <c r="M2185" s="47" t="str">
        <f aca="false">IF($A2185="","",INDEX($L$2:$L$5001,MATCH($A2185,$A$2:$A$5001,0)))</f>
        <v/>
      </c>
      <c r="N2185" s="48" t="str">
        <f aca="false">IF($A2185="","",IF(N(M2185)=0,"–",IF(M2185&lt;=Start!$D$20,"A",IF(M2185&lt;=Start!$D$21,"B","C"))))</f>
        <v/>
      </c>
      <c r="O2185" s="48" t="str">
        <f aca="false">IF($A2185="","",IF(NOT(ISNUMBER(F2185)),"Wert fehlt; ",IF(F2185&lt;=0,"Wert ist 0; ",""))&amp;IF(NOT(ISNUMBER(E2185)),"Bestand fehlt; ",IF(E2185&lt;0,"Bestand negativ; ",IF(E2185=0,"Nullbestand; ","")))&amp;IF(D2185="","Warengruppe fehlt; ","")&amp;IF(B2185="","Bezeichnung fehlt; ","")&amp;IF(COUNTIFS($A$2:$A$5001,$A2185,$C$2:$C$5001,C2185)&gt;1,"Artikel doppelt im selben Lager; ",""))</f>
        <v/>
      </c>
      <c r="P2185" s="47" t="n">
        <f aca="false">IF(OR($A2185="",D2185=""),0,IF(COUNTIF($D$2:D2185,D2185)=1,SUMIF($D$2:$D$5001,D2185,$H$2:$H$5001)+ROW()/10000000,0))</f>
        <v>0</v>
      </c>
      <c r="Q2185" s="47" t="n">
        <f aca="false">IF(OR($A2185="",C2185=""),0,IF(COUNTIF($C$2:C2185,C2185)=1,SUMIF($C$2:$C$5001,C2185,$H$2:$H$5001)+ROW()/10000000,0))</f>
        <v>0</v>
      </c>
    </row>
    <row r="2186" customFormat="false" ht="15" hidden="false" customHeight="false" outlineLevel="0" collapsed="false">
      <c r="A2186" s="43"/>
      <c r="B2186" s="44"/>
      <c r="C2186" s="44"/>
      <c r="D2186" s="44"/>
      <c r="E2186" s="44"/>
      <c r="F2186" s="44"/>
      <c r="G2186" s="44"/>
      <c r="H2186" s="46" t="str">
        <f aca="false">IF($A2186="","",IF(OR(NOT(ISNUMBER(E2186)),NOT(ISNUMBER(F2186))),"",MAX(0,E2186)*F2186))</f>
        <v/>
      </c>
      <c r="I2186" s="46" t="str">
        <f aca="false">IF($A2186="","",SUMIF($A$2:$A$5001,$A2186,$H$2:$H$5001))</f>
        <v/>
      </c>
      <c r="J2186" s="47" t="n">
        <f aca="false">IF($A2186="",0,IF(COUNTIF($A$2:A2186,$A2186)=1,1,0))</f>
        <v>0</v>
      </c>
      <c r="K2186" s="47" t="n">
        <f aca="false">IF(J2186=1,N(I2186)+ROW()/10000000,0)</f>
        <v>0</v>
      </c>
      <c r="L2186" s="47" t="str">
        <f aca="false">IF(AND(J2186=1,N(I2186)&gt;0),SUMIF($K$2:$K$5001,"&gt;="&amp;K2186,$I$2:$I$5001)/MAX(1,SUM($H$2:$H$5001)),"")</f>
        <v/>
      </c>
      <c r="M2186" s="47" t="str">
        <f aca="false">IF($A2186="","",INDEX($L$2:$L$5001,MATCH($A2186,$A$2:$A$5001,0)))</f>
        <v/>
      </c>
      <c r="N2186" s="48" t="str">
        <f aca="false">IF($A2186="","",IF(N(M2186)=0,"–",IF(M2186&lt;=Start!$D$20,"A",IF(M2186&lt;=Start!$D$21,"B","C"))))</f>
        <v/>
      </c>
      <c r="O2186" s="48" t="str">
        <f aca="false">IF($A2186="","",IF(NOT(ISNUMBER(F2186)),"Wert fehlt; ",IF(F2186&lt;=0,"Wert ist 0; ",""))&amp;IF(NOT(ISNUMBER(E2186)),"Bestand fehlt; ",IF(E2186&lt;0,"Bestand negativ; ",IF(E2186=0,"Nullbestand; ","")))&amp;IF(D2186="","Warengruppe fehlt; ","")&amp;IF(B2186="","Bezeichnung fehlt; ","")&amp;IF(COUNTIFS($A$2:$A$5001,$A2186,$C$2:$C$5001,C2186)&gt;1,"Artikel doppelt im selben Lager; ",""))</f>
        <v/>
      </c>
      <c r="P2186" s="47" t="n">
        <f aca="false">IF(OR($A2186="",D2186=""),0,IF(COUNTIF($D$2:D2186,D2186)=1,SUMIF($D$2:$D$5001,D2186,$H$2:$H$5001)+ROW()/10000000,0))</f>
        <v>0</v>
      </c>
      <c r="Q2186" s="47" t="n">
        <f aca="false">IF(OR($A2186="",C2186=""),0,IF(COUNTIF($C$2:C2186,C2186)=1,SUMIF($C$2:$C$5001,C2186,$H$2:$H$5001)+ROW()/10000000,0))</f>
        <v>0</v>
      </c>
    </row>
    <row r="2187" customFormat="false" ht="15" hidden="false" customHeight="false" outlineLevel="0" collapsed="false">
      <c r="A2187" s="43"/>
      <c r="B2187" s="44"/>
      <c r="C2187" s="44"/>
      <c r="D2187" s="44"/>
      <c r="E2187" s="44"/>
      <c r="F2187" s="44"/>
      <c r="G2187" s="44"/>
      <c r="H2187" s="46" t="str">
        <f aca="false">IF($A2187="","",IF(OR(NOT(ISNUMBER(E2187)),NOT(ISNUMBER(F2187))),"",MAX(0,E2187)*F2187))</f>
        <v/>
      </c>
      <c r="I2187" s="46" t="str">
        <f aca="false">IF($A2187="","",SUMIF($A$2:$A$5001,$A2187,$H$2:$H$5001))</f>
        <v/>
      </c>
      <c r="J2187" s="47" t="n">
        <f aca="false">IF($A2187="",0,IF(COUNTIF($A$2:A2187,$A2187)=1,1,0))</f>
        <v>0</v>
      </c>
      <c r="K2187" s="47" t="n">
        <f aca="false">IF(J2187=1,N(I2187)+ROW()/10000000,0)</f>
        <v>0</v>
      </c>
      <c r="L2187" s="47" t="str">
        <f aca="false">IF(AND(J2187=1,N(I2187)&gt;0),SUMIF($K$2:$K$5001,"&gt;="&amp;K2187,$I$2:$I$5001)/MAX(1,SUM($H$2:$H$5001)),"")</f>
        <v/>
      </c>
      <c r="M2187" s="47" t="str">
        <f aca="false">IF($A2187="","",INDEX($L$2:$L$5001,MATCH($A2187,$A$2:$A$5001,0)))</f>
        <v/>
      </c>
      <c r="N2187" s="48" t="str">
        <f aca="false">IF($A2187="","",IF(N(M2187)=0,"–",IF(M2187&lt;=Start!$D$20,"A",IF(M2187&lt;=Start!$D$21,"B","C"))))</f>
        <v/>
      </c>
      <c r="O2187" s="48" t="str">
        <f aca="false">IF($A2187="","",IF(NOT(ISNUMBER(F2187)),"Wert fehlt; ",IF(F2187&lt;=0,"Wert ist 0; ",""))&amp;IF(NOT(ISNUMBER(E2187)),"Bestand fehlt; ",IF(E2187&lt;0,"Bestand negativ; ",IF(E2187=0,"Nullbestand; ","")))&amp;IF(D2187="","Warengruppe fehlt; ","")&amp;IF(B2187="","Bezeichnung fehlt; ","")&amp;IF(COUNTIFS($A$2:$A$5001,$A2187,$C$2:$C$5001,C2187)&gt;1,"Artikel doppelt im selben Lager; ",""))</f>
        <v/>
      </c>
      <c r="P2187" s="47" t="n">
        <f aca="false">IF(OR($A2187="",D2187=""),0,IF(COUNTIF($D$2:D2187,D2187)=1,SUMIF($D$2:$D$5001,D2187,$H$2:$H$5001)+ROW()/10000000,0))</f>
        <v>0</v>
      </c>
      <c r="Q2187" s="47" t="n">
        <f aca="false">IF(OR($A2187="",C2187=""),0,IF(COUNTIF($C$2:C2187,C2187)=1,SUMIF($C$2:$C$5001,C2187,$H$2:$H$5001)+ROW()/10000000,0))</f>
        <v>0</v>
      </c>
    </row>
    <row r="2188" customFormat="false" ht="15" hidden="false" customHeight="false" outlineLevel="0" collapsed="false">
      <c r="A2188" s="43"/>
      <c r="B2188" s="44"/>
      <c r="C2188" s="44"/>
      <c r="D2188" s="44"/>
      <c r="E2188" s="44"/>
      <c r="F2188" s="44"/>
      <c r="G2188" s="44"/>
      <c r="H2188" s="46" t="str">
        <f aca="false">IF($A2188="","",IF(OR(NOT(ISNUMBER(E2188)),NOT(ISNUMBER(F2188))),"",MAX(0,E2188)*F2188))</f>
        <v/>
      </c>
      <c r="I2188" s="46" t="str">
        <f aca="false">IF($A2188="","",SUMIF($A$2:$A$5001,$A2188,$H$2:$H$5001))</f>
        <v/>
      </c>
      <c r="J2188" s="47" t="n">
        <f aca="false">IF($A2188="",0,IF(COUNTIF($A$2:A2188,$A2188)=1,1,0))</f>
        <v>0</v>
      </c>
      <c r="K2188" s="47" t="n">
        <f aca="false">IF(J2188=1,N(I2188)+ROW()/10000000,0)</f>
        <v>0</v>
      </c>
      <c r="L2188" s="47" t="str">
        <f aca="false">IF(AND(J2188=1,N(I2188)&gt;0),SUMIF($K$2:$K$5001,"&gt;="&amp;K2188,$I$2:$I$5001)/MAX(1,SUM($H$2:$H$5001)),"")</f>
        <v/>
      </c>
      <c r="M2188" s="47" t="str">
        <f aca="false">IF($A2188="","",INDEX($L$2:$L$5001,MATCH($A2188,$A$2:$A$5001,0)))</f>
        <v/>
      </c>
      <c r="N2188" s="48" t="str">
        <f aca="false">IF($A2188="","",IF(N(M2188)=0,"–",IF(M2188&lt;=Start!$D$20,"A",IF(M2188&lt;=Start!$D$21,"B","C"))))</f>
        <v/>
      </c>
      <c r="O2188" s="48" t="str">
        <f aca="false">IF($A2188="","",IF(NOT(ISNUMBER(F2188)),"Wert fehlt; ",IF(F2188&lt;=0,"Wert ist 0; ",""))&amp;IF(NOT(ISNUMBER(E2188)),"Bestand fehlt; ",IF(E2188&lt;0,"Bestand negativ; ",IF(E2188=0,"Nullbestand; ","")))&amp;IF(D2188="","Warengruppe fehlt; ","")&amp;IF(B2188="","Bezeichnung fehlt; ","")&amp;IF(COUNTIFS($A$2:$A$5001,$A2188,$C$2:$C$5001,C2188)&gt;1,"Artikel doppelt im selben Lager; ",""))</f>
        <v/>
      </c>
      <c r="P2188" s="47" t="n">
        <f aca="false">IF(OR($A2188="",D2188=""),0,IF(COUNTIF($D$2:D2188,D2188)=1,SUMIF($D$2:$D$5001,D2188,$H$2:$H$5001)+ROW()/10000000,0))</f>
        <v>0</v>
      </c>
      <c r="Q2188" s="47" t="n">
        <f aca="false">IF(OR($A2188="",C2188=""),0,IF(COUNTIF($C$2:C2188,C2188)=1,SUMIF($C$2:$C$5001,C2188,$H$2:$H$5001)+ROW()/10000000,0))</f>
        <v>0</v>
      </c>
    </row>
    <row r="2189" customFormat="false" ht="15" hidden="false" customHeight="false" outlineLevel="0" collapsed="false">
      <c r="A2189" s="43"/>
      <c r="B2189" s="44"/>
      <c r="C2189" s="44"/>
      <c r="D2189" s="44"/>
      <c r="E2189" s="44"/>
      <c r="F2189" s="44"/>
      <c r="G2189" s="44"/>
      <c r="H2189" s="46" t="str">
        <f aca="false">IF($A2189="","",IF(OR(NOT(ISNUMBER(E2189)),NOT(ISNUMBER(F2189))),"",MAX(0,E2189)*F2189))</f>
        <v/>
      </c>
      <c r="I2189" s="46" t="str">
        <f aca="false">IF($A2189="","",SUMIF($A$2:$A$5001,$A2189,$H$2:$H$5001))</f>
        <v/>
      </c>
      <c r="J2189" s="47" t="n">
        <f aca="false">IF($A2189="",0,IF(COUNTIF($A$2:A2189,$A2189)=1,1,0))</f>
        <v>0</v>
      </c>
      <c r="K2189" s="47" t="n">
        <f aca="false">IF(J2189=1,N(I2189)+ROW()/10000000,0)</f>
        <v>0</v>
      </c>
      <c r="L2189" s="47" t="str">
        <f aca="false">IF(AND(J2189=1,N(I2189)&gt;0),SUMIF($K$2:$K$5001,"&gt;="&amp;K2189,$I$2:$I$5001)/MAX(1,SUM($H$2:$H$5001)),"")</f>
        <v/>
      </c>
      <c r="M2189" s="47" t="str">
        <f aca="false">IF($A2189="","",INDEX($L$2:$L$5001,MATCH($A2189,$A$2:$A$5001,0)))</f>
        <v/>
      </c>
      <c r="N2189" s="48" t="str">
        <f aca="false">IF($A2189="","",IF(N(M2189)=0,"–",IF(M2189&lt;=Start!$D$20,"A",IF(M2189&lt;=Start!$D$21,"B","C"))))</f>
        <v/>
      </c>
      <c r="O2189" s="48" t="str">
        <f aca="false">IF($A2189="","",IF(NOT(ISNUMBER(F2189)),"Wert fehlt; ",IF(F2189&lt;=0,"Wert ist 0; ",""))&amp;IF(NOT(ISNUMBER(E2189)),"Bestand fehlt; ",IF(E2189&lt;0,"Bestand negativ; ",IF(E2189=0,"Nullbestand; ","")))&amp;IF(D2189="","Warengruppe fehlt; ","")&amp;IF(B2189="","Bezeichnung fehlt; ","")&amp;IF(COUNTIFS($A$2:$A$5001,$A2189,$C$2:$C$5001,C2189)&gt;1,"Artikel doppelt im selben Lager; ",""))</f>
        <v/>
      </c>
      <c r="P2189" s="47" t="n">
        <f aca="false">IF(OR($A2189="",D2189=""),0,IF(COUNTIF($D$2:D2189,D2189)=1,SUMIF($D$2:$D$5001,D2189,$H$2:$H$5001)+ROW()/10000000,0))</f>
        <v>0</v>
      </c>
      <c r="Q2189" s="47" t="n">
        <f aca="false">IF(OR($A2189="",C2189=""),0,IF(COUNTIF($C$2:C2189,C2189)=1,SUMIF($C$2:$C$5001,C2189,$H$2:$H$5001)+ROW()/10000000,0))</f>
        <v>0</v>
      </c>
    </row>
    <row r="2190" customFormat="false" ht="15" hidden="false" customHeight="false" outlineLevel="0" collapsed="false">
      <c r="A2190" s="43"/>
      <c r="B2190" s="44"/>
      <c r="C2190" s="44"/>
      <c r="D2190" s="44"/>
      <c r="E2190" s="44"/>
      <c r="F2190" s="44"/>
      <c r="G2190" s="44"/>
      <c r="H2190" s="46" t="str">
        <f aca="false">IF($A2190="","",IF(OR(NOT(ISNUMBER(E2190)),NOT(ISNUMBER(F2190))),"",MAX(0,E2190)*F2190))</f>
        <v/>
      </c>
      <c r="I2190" s="46" t="str">
        <f aca="false">IF($A2190="","",SUMIF($A$2:$A$5001,$A2190,$H$2:$H$5001))</f>
        <v/>
      </c>
      <c r="J2190" s="47" t="n">
        <f aca="false">IF($A2190="",0,IF(COUNTIF($A$2:A2190,$A2190)=1,1,0))</f>
        <v>0</v>
      </c>
      <c r="K2190" s="47" t="n">
        <f aca="false">IF(J2190=1,N(I2190)+ROW()/10000000,0)</f>
        <v>0</v>
      </c>
      <c r="L2190" s="47" t="str">
        <f aca="false">IF(AND(J2190=1,N(I2190)&gt;0),SUMIF($K$2:$K$5001,"&gt;="&amp;K2190,$I$2:$I$5001)/MAX(1,SUM($H$2:$H$5001)),"")</f>
        <v/>
      </c>
      <c r="M2190" s="47" t="str">
        <f aca="false">IF($A2190="","",INDEX($L$2:$L$5001,MATCH($A2190,$A$2:$A$5001,0)))</f>
        <v/>
      </c>
      <c r="N2190" s="48" t="str">
        <f aca="false">IF($A2190="","",IF(N(M2190)=0,"–",IF(M2190&lt;=Start!$D$20,"A",IF(M2190&lt;=Start!$D$21,"B","C"))))</f>
        <v/>
      </c>
      <c r="O2190" s="48" t="str">
        <f aca="false">IF($A2190="","",IF(NOT(ISNUMBER(F2190)),"Wert fehlt; ",IF(F2190&lt;=0,"Wert ist 0; ",""))&amp;IF(NOT(ISNUMBER(E2190)),"Bestand fehlt; ",IF(E2190&lt;0,"Bestand negativ; ",IF(E2190=0,"Nullbestand; ","")))&amp;IF(D2190="","Warengruppe fehlt; ","")&amp;IF(B2190="","Bezeichnung fehlt; ","")&amp;IF(COUNTIFS($A$2:$A$5001,$A2190,$C$2:$C$5001,C2190)&gt;1,"Artikel doppelt im selben Lager; ",""))</f>
        <v/>
      </c>
      <c r="P2190" s="47" t="n">
        <f aca="false">IF(OR($A2190="",D2190=""),0,IF(COUNTIF($D$2:D2190,D2190)=1,SUMIF($D$2:$D$5001,D2190,$H$2:$H$5001)+ROW()/10000000,0))</f>
        <v>0</v>
      </c>
      <c r="Q2190" s="47" t="n">
        <f aca="false">IF(OR($A2190="",C2190=""),0,IF(COUNTIF($C$2:C2190,C2190)=1,SUMIF($C$2:$C$5001,C2190,$H$2:$H$5001)+ROW()/10000000,0))</f>
        <v>0</v>
      </c>
    </row>
    <row r="2191" customFormat="false" ht="15" hidden="false" customHeight="false" outlineLevel="0" collapsed="false">
      <c r="A2191" s="43"/>
      <c r="B2191" s="44"/>
      <c r="C2191" s="44"/>
      <c r="D2191" s="44"/>
      <c r="E2191" s="44"/>
      <c r="F2191" s="44"/>
      <c r="G2191" s="44"/>
      <c r="H2191" s="46" t="str">
        <f aca="false">IF($A2191="","",IF(OR(NOT(ISNUMBER(E2191)),NOT(ISNUMBER(F2191))),"",MAX(0,E2191)*F2191))</f>
        <v/>
      </c>
      <c r="I2191" s="46" t="str">
        <f aca="false">IF($A2191="","",SUMIF($A$2:$A$5001,$A2191,$H$2:$H$5001))</f>
        <v/>
      </c>
      <c r="J2191" s="47" t="n">
        <f aca="false">IF($A2191="",0,IF(COUNTIF($A$2:A2191,$A2191)=1,1,0))</f>
        <v>0</v>
      </c>
      <c r="K2191" s="47" t="n">
        <f aca="false">IF(J2191=1,N(I2191)+ROW()/10000000,0)</f>
        <v>0</v>
      </c>
      <c r="L2191" s="47" t="str">
        <f aca="false">IF(AND(J2191=1,N(I2191)&gt;0),SUMIF($K$2:$K$5001,"&gt;="&amp;K2191,$I$2:$I$5001)/MAX(1,SUM($H$2:$H$5001)),"")</f>
        <v/>
      </c>
      <c r="M2191" s="47" t="str">
        <f aca="false">IF($A2191="","",INDEX($L$2:$L$5001,MATCH($A2191,$A$2:$A$5001,0)))</f>
        <v/>
      </c>
      <c r="N2191" s="48" t="str">
        <f aca="false">IF($A2191="","",IF(N(M2191)=0,"–",IF(M2191&lt;=Start!$D$20,"A",IF(M2191&lt;=Start!$D$21,"B","C"))))</f>
        <v/>
      </c>
      <c r="O2191" s="48" t="str">
        <f aca="false">IF($A2191="","",IF(NOT(ISNUMBER(F2191)),"Wert fehlt; ",IF(F2191&lt;=0,"Wert ist 0; ",""))&amp;IF(NOT(ISNUMBER(E2191)),"Bestand fehlt; ",IF(E2191&lt;0,"Bestand negativ; ",IF(E2191=0,"Nullbestand; ","")))&amp;IF(D2191="","Warengruppe fehlt; ","")&amp;IF(B2191="","Bezeichnung fehlt; ","")&amp;IF(COUNTIFS($A$2:$A$5001,$A2191,$C$2:$C$5001,C2191)&gt;1,"Artikel doppelt im selben Lager; ",""))</f>
        <v/>
      </c>
      <c r="P2191" s="47" t="n">
        <f aca="false">IF(OR($A2191="",D2191=""),0,IF(COUNTIF($D$2:D2191,D2191)=1,SUMIF($D$2:$D$5001,D2191,$H$2:$H$5001)+ROW()/10000000,0))</f>
        <v>0</v>
      </c>
      <c r="Q2191" s="47" t="n">
        <f aca="false">IF(OR($A2191="",C2191=""),0,IF(COUNTIF($C$2:C2191,C2191)=1,SUMIF($C$2:$C$5001,C2191,$H$2:$H$5001)+ROW()/10000000,0))</f>
        <v>0</v>
      </c>
    </row>
    <row r="2192" customFormat="false" ht="15" hidden="false" customHeight="false" outlineLevel="0" collapsed="false">
      <c r="A2192" s="43"/>
      <c r="B2192" s="44"/>
      <c r="C2192" s="44"/>
      <c r="D2192" s="44"/>
      <c r="E2192" s="44"/>
      <c r="F2192" s="44"/>
      <c r="G2192" s="44"/>
      <c r="H2192" s="46" t="str">
        <f aca="false">IF($A2192="","",IF(OR(NOT(ISNUMBER(E2192)),NOT(ISNUMBER(F2192))),"",MAX(0,E2192)*F2192))</f>
        <v/>
      </c>
      <c r="I2192" s="46" t="str">
        <f aca="false">IF($A2192="","",SUMIF($A$2:$A$5001,$A2192,$H$2:$H$5001))</f>
        <v/>
      </c>
      <c r="J2192" s="47" t="n">
        <f aca="false">IF($A2192="",0,IF(COUNTIF($A$2:A2192,$A2192)=1,1,0))</f>
        <v>0</v>
      </c>
      <c r="K2192" s="47" t="n">
        <f aca="false">IF(J2192=1,N(I2192)+ROW()/10000000,0)</f>
        <v>0</v>
      </c>
      <c r="L2192" s="47" t="str">
        <f aca="false">IF(AND(J2192=1,N(I2192)&gt;0),SUMIF($K$2:$K$5001,"&gt;="&amp;K2192,$I$2:$I$5001)/MAX(1,SUM($H$2:$H$5001)),"")</f>
        <v/>
      </c>
      <c r="M2192" s="47" t="str">
        <f aca="false">IF($A2192="","",INDEX($L$2:$L$5001,MATCH($A2192,$A$2:$A$5001,0)))</f>
        <v/>
      </c>
      <c r="N2192" s="48" t="str">
        <f aca="false">IF($A2192="","",IF(N(M2192)=0,"–",IF(M2192&lt;=Start!$D$20,"A",IF(M2192&lt;=Start!$D$21,"B","C"))))</f>
        <v/>
      </c>
      <c r="O2192" s="48" t="str">
        <f aca="false">IF($A2192="","",IF(NOT(ISNUMBER(F2192)),"Wert fehlt; ",IF(F2192&lt;=0,"Wert ist 0; ",""))&amp;IF(NOT(ISNUMBER(E2192)),"Bestand fehlt; ",IF(E2192&lt;0,"Bestand negativ; ",IF(E2192=0,"Nullbestand; ","")))&amp;IF(D2192="","Warengruppe fehlt; ","")&amp;IF(B2192="","Bezeichnung fehlt; ","")&amp;IF(COUNTIFS($A$2:$A$5001,$A2192,$C$2:$C$5001,C2192)&gt;1,"Artikel doppelt im selben Lager; ",""))</f>
        <v/>
      </c>
      <c r="P2192" s="47" t="n">
        <f aca="false">IF(OR($A2192="",D2192=""),0,IF(COUNTIF($D$2:D2192,D2192)=1,SUMIF($D$2:$D$5001,D2192,$H$2:$H$5001)+ROW()/10000000,0))</f>
        <v>0</v>
      </c>
      <c r="Q2192" s="47" t="n">
        <f aca="false">IF(OR($A2192="",C2192=""),0,IF(COUNTIF($C$2:C2192,C2192)=1,SUMIF($C$2:$C$5001,C2192,$H$2:$H$5001)+ROW()/10000000,0))</f>
        <v>0</v>
      </c>
    </row>
    <row r="2193" customFormat="false" ht="15" hidden="false" customHeight="false" outlineLevel="0" collapsed="false">
      <c r="A2193" s="43"/>
      <c r="B2193" s="44"/>
      <c r="C2193" s="44"/>
      <c r="D2193" s="44"/>
      <c r="E2193" s="44"/>
      <c r="F2193" s="44"/>
      <c r="G2193" s="44"/>
      <c r="H2193" s="46" t="str">
        <f aca="false">IF($A2193="","",IF(OR(NOT(ISNUMBER(E2193)),NOT(ISNUMBER(F2193))),"",MAX(0,E2193)*F2193))</f>
        <v/>
      </c>
      <c r="I2193" s="46" t="str">
        <f aca="false">IF($A2193="","",SUMIF($A$2:$A$5001,$A2193,$H$2:$H$5001))</f>
        <v/>
      </c>
      <c r="J2193" s="47" t="n">
        <f aca="false">IF($A2193="",0,IF(COUNTIF($A$2:A2193,$A2193)=1,1,0))</f>
        <v>0</v>
      </c>
      <c r="K2193" s="47" t="n">
        <f aca="false">IF(J2193=1,N(I2193)+ROW()/10000000,0)</f>
        <v>0</v>
      </c>
      <c r="L2193" s="47" t="str">
        <f aca="false">IF(AND(J2193=1,N(I2193)&gt;0),SUMIF($K$2:$K$5001,"&gt;="&amp;K2193,$I$2:$I$5001)/MAX(1,SUM($H$2:$H$5001)),"")</f>
        <v/>
      </c>
      <c r="M2193" s="47" t="str">
        <f aca="false">IF($A2193="","",INDEX($L$2:$L$5001,MATCH($A2193,$A$2:$A$5001,0)))</f>
        <v/>
      </c>
      <c r="N2193" s="48" t="str">
        <f aca="false">IF($A2193="","",IF(N(M2193)=0,"–",IF(M2193&lt;=Start!$D$20,"A",IF(M2193&lt;=Start!$D$21,"B","C"))))</f>
        <v/>
      </c>
      <c r="O2193" s="48" t="str">
        <f aca="false">IF($A2193="","",IF(NOT(ISNUMBER(F2193)),"Wert fehlt; ",IF(F2193&lt;=0,"Wert ist 0; ",""))&amp;IF(NOT(ISNUMBER(E2193)),"Bestand fehlt; ",IF(E2193&lt;0,"Bestand negativ; ",IF(E2193=0,"Nullbestand; ","")))&amp;IF(D2193="","Warengruppe fehlt; ","")&amp;IF(B2193="","Bezeichnung fehlt; ","")&amp;IF(COUNTIFS($A$2:$A$5001,$A2193,$C$2:$C$5001,C2193)&gt;1,"Artikel doppelt im selben Lager; ",""))</f>
        <v/>
      </c>
      <c r="P2193" s="47" t="n">
        <f aca="false">IF(OR($A2193="",D2193=""),0,IF(COUNTIF($D$2:D2193,D2193)=1,SUMIF($D$2:$D$5001,D2193,$H$2:$H$5001)+ROW()/10000000,0))</f>
        <v>0</v>
      </c>
      <c r="Q2193" s="47" t="n">
        <f aca="false">IF(OR($A2193="",C2193=""),0,IF(COUNTIF($C$2:C2193,C2193)=1,SUMIF($C$2:$C$5001,C2193,$H$2:$H$5001)+ROW()/10000000,0))</f>
        <v>0</v>
      </c>
    </row>
    <row r="2194" customFormat="false" ht="15" hidden="false" customHeight="false" outlineLevel="0" collapsed="false">
      <c r="A2194" s="43"/>
      <c r="B2194" s="44"/>
      <c r="C2194" s="44"/>
      <c r="D2194" s="44"/>
      <c r="E2194" s="44"/>
      <c r="F2194" s="44"/>
      <c r="G2194" s="44"/>
      <c r="H2194" s="46" t="str">
        <f aca="false">IF($A2194="","",IF(OR(NOT(ISNUMBER(E2194)),NOT(ISNUMBER(F2194))),"",MAX(0,E2194)*F2194))</f>
        <v/>
      </c>
      <c r="I2194" s="46" t="str">
        <f aca="false">IF($A2194="","",SUMIF($A$2:$A$5001,$A2194,$H$2:$H$5001))</f>
        <v/>
      </c>
      <c r="J2194" s="47" t="n">
        <f aca="false">IF($A2194="",0,IF(COUNTIF($A$2:A2194,$A2194)=1,1,0))</f>
        <v>0</v>
      </c>
      <c r="K2194" s="47" t="n">
        <f aca="false">IF(J2194=1,N(I2194)+ROW()/10000000,0)</f>
        <v>0</v>
      </c>
      <c r="L2194" s="47" t="str">
        <f aca="false">IF(AND(J2194=1,N(I2194)&gt;0),SUMIF($K$2:$K$5001,"&gt;="&amp;K2194,$I$2:$I$5001)/MAX(1,SUM($H$2:$H$5001)),"")</f>
        <v/>
      </c>
      <c r="M2194" s="47" t="str">
        <f aca="false">IF($A2194="","",INDEX($L$2:$L$5001,MATCH($A2194,$A$2:$A$5001,0)))</f>
        <v/>
      </c>
      <c r="N2194" s="48" t="str">
        <f aca="false">IF($A2194="","",IF(N(M2194)=0,"–",IF(M2194&lt;=Start!$D$20,"A",IF(M2194&lt;=Start!$D$21,"B","C"))))</f>
        <v/>
      </c>
      <c r="O2194" s="48" t="str">
        <f aca="false">IF($A2194="","",IF(NOT(ISNUMBER(F2194)),"Wert fehlt; ",IF(F2194&lt;=0,"Wert ist 0; ",""))&amp;IF(NOT(ISNUMBER(E2194)),"Bestand fehlt; ",IF(E2194&lt;0,"Bestand negativ; ",IF(E2194=0,"Nullbestand; ","")))&amp;IF(D2194="","Warengruppe fehlt; ","")&amp;IF(B2194="","Bezeichnung fehlt; ","")&amp;IF(COUNTIFS($A$2:$A$5001,$A2194,$C$2:$C$5001,C2194)&gt;1,"Artikel doppelt im selben Lager; ",""))</f>
        <v/>
      </c>
      <c r="P2194" s="47" t="n">
        <f aca="false">IF(OR($A2194="",D2194=""),0,IF(COUNTIF($D$2:D2194,D2194)=1,SUMIF($D$2:$D$5001,D2194,$H$2:$H$5001)+ROW()/10000000,0))</f>
        <v>0</v>
      </c>
      <c r="Q2194" s="47" t="n">
        <f aca="false">IF(OR($A2194="",C2194=""),0,IF(COUNTIF($C$2:C2194,C2194)=1,SUMIF($C$2:$C$5001,C2194,$H$2:$H$5001)+ROW()/10000000,0))</f>
        <v>0</v>
      </c>
    </row>
    <row r="2195" customFormat="false" ht="15" hidden="false" customHeight="false" outlineLevel="0" collapsed="false">
      <c r="A2195" s="43"/>
      <c r="B2195" s="44"/>
      <c r="C2195" s="44"/>
      <c r="D2195" s="44"/>
      <c r="E2195" s="44"/>
      <c r="F2195" s="44"/>
      <c r="G2195" s="44"/>
      <c r="H2195" s="46" t="str">
        <f aca="false">IF($A2195="","",IF(OR(NOT(ISNUMBER(E2195)),NOT(ISNUMBER(F2195))),"",MAX(0,E2195)*F2195))</f>
        <v/>
      </c>
      <c r="I2195" s="46" t="str">
        <f aca="false">IF($A2195="","",SUMIF($A$2:$A$5001,$A2195,$H$2:$H$5001))</f>
        <v/>
      </c>
      <c r="J2195" s="47" t="n">
        <f aca="false">IF($A2195="",0,IF(COUNTIF($A$2:A2195,$A2195)=1,1,0))</f>
        <v>0</v>
      </c>
      <c r="K2195" s="47" t="n">
        <f aca="false">IF(J2195=1,N(I2195)+ROW()/10000000,0)</f>
        <v>0</v>
      </c>
      <c r="L2195" s="47" t="str">
        <f aca="false">IF(AND(J2195=1,N(I2195)&gt;0),SUMIF($K$2:$K$5001,"&gt;="&amp;K2195,$I$2:$I$5001)/MAX(1,SUM($H$2:$H$5001)),"")</f>
        <v/>
      </c>
      <c r="M2195" s="47" t="str">
        <f aca="false">IF($A2195="","",INDEX($L$2:$L$5001,MATCH($A2195,$A$2:$A$5001,0)))</f>
        <v/>
      </c>
      <c r="N2195" s="48" t="str">
        <f aca="false">IF($A2195="","",IF(N(M2195)=0,"–",IF(M2195&lt;=Start!$D$20,"A",IF(M2195&lt;=Start!$D$21,"B","C"))))</f>
        <v/>
      </c>
      <c r="O2195" s="48" t="str">
        <f aca="false">IF($A2195="","",IF(NOT(ISNUMBER(F2195)),"Wert fehlt; ",IF(F2195&lt;=0,"Wert ist 0; ",""))&amp;IF(NOT(ISNUMBER(E2195)),"Bestand fehlt; ",IF(E2195&lt;0,"Bestand negativ; ",IF(E2195=0,"Nullbestand; ","")))&amp;IF(D2195="","Warengruppe fehlt; ","")&amp;IF(B2195="","Bezeichnung fehlt; ","")&amp;IF(COUNTIFS($A$2:$A$5001,$A2195,$C$2:$C$5001,C2195)&gt;1,"Artikel doppelt im selben Lager; ",""))</f>
        <v/>
      </c>
      <c r="P2195" s="47" t="n">
        <f aca="false">IF(OR($A2195="",D2195=""),0,IF(COUNTIF($D$2:D2195,D2195)=1,SUMIF($D$2:$D$5001,D2195,$H$2:$H$5001)+ROW()/10000000,0))</f>
        <v>0</v>
      </c>
      <c r="Q2195" s="47" t="n">
        <f aca="false">IF(OR($A2195="",C2195=""),0,IF(COUNTIF($C$2:C2195,C2195)=1,SUMIF($C$2:$C$5001,C2195,$H$2:$H$5001)+ROW()/10000000,0))</f>
        <v>0</v>
      </c>
    </row>
    <row r="2196" customFormat="false" ht="15" hidden="false" customHeight="false" outlineLevel="0" collapsed="false">
      <c r="A2196" s="43"/>
      <c r="B2196" s="44"/>
      <c r="C2196" s="44"/>
      <c r="D2196" s="44"/>
      <c r="E2196" s="44"/>
      <c r="F2196" s="44"/>
      <c r="G2196" s="44"/>
      <c r="H2196" s="46" t="str">
        <f aca="false">IF($A2196="","",IF(OR(NOT(ISNUMBER(E2196)),NOT(ISNUMBER(F2196))),"",MAX(0,E2196)*F2196))</f>
        <v/>
      </c>
      <c r="I2196" s="46" t="str">
        <f aca="false">IF($A2196="","",SUMIF($A$2:$A$5001,$A2196,$H$2:$H$5001))</f>
        <v/>
      </c>
      <c r="J2196" s="47" t="n">
        <f aca="false">IF($A2196="",0,IF(COUNTIF($A$2:A2196,$A2196)=1,1,0))</f>
        <v>0</v>
      </c>
      <c r="K2196" s="47" t="n">
        <f aca="false">IF(J2196=1,N(I2196)+ROW()/10000000,0)</f>
        <v>0</v>
      </c>
      <c r="L2196" s="47" t="str">
        <f aca="false">IF(AND(J2196=1,N(I2196)&gt;0),SUMIF($K$2:$K$5001,"&gt;="&amp;K2196,$I$2:$I$5001)/MAX(1,SUM($H$2:$H$5001)),"")</f>
        <v/>
      </c>
      <c r="M2196" s="47" t="str">
        <f aca="false">IF($A2196="","",INDEX($L$2:$L$5001,MATCH($A2196,$A$2:$A$5001,0)))</f>
        <v/>
      </c>
      <c r="N2196" s="48" t="str">
        <f aca="false">IF($A2196="","",IF(N(M2196)=0,"–",IF(M2196&lt;=Start!$D$20,"A",IF(M2196&lt;=Start!$D$21,"B","C"))))</f>
        <v/>
      </c>
      <c r="O2196" s="48" t="str">
        <f aca="false">IF($A2196="","",IF(NOT(ISNUMBER(F2196)),"Wert fehlt; ",IF(F2196&lt;=0,"Wert ist 0; ",""))&amp;IF(NOT(ISNUMBER(E2196)),"Bestand fehlt; ",IF(E2196&lt;0,"Bestand negativ; ",IF(E2196=0,"Nullbestand; ","")))&amp;IF(D2196="","Warengruppe fehlt; ","")&amp;IF(B2196="","Bezeichnung fehlt; ","")&amp;IF(COUNTIFS($A$2:$A$5001,$A2196,$C$2:$C$5001,C2196)&gt;1,"Artikel doppelt im selben Lager; ",""))</f>
        <v/>
      </c>
      <c r="P2196" s="47" t="n">
        <f aca="false">IF(OR($A2196="",D2196=""),0,IF(COUNTIF($D$2:D2196,D2196)=1,SUMIF($D$2:$D$5001,D2196,$H$2:$H$5001)+ROW()/10000000,0))</f>
        <v>0</v>
      </c>
      <c r="Q2196" s="47" t="n">
        <f aca="false">IF(OR($A2196="",C2196=""),0,IF(COUNTIF($C$2:C2196,C2196)=1,SUMIF($C$2:$C$5001,C2196,$H$2:$H$5001)+ROW()/10000000,0))</f>
        <v>0</v>
      </c>
    </row>
    <row r="2197" customFormat="false" ht="15" hidden="false" customHeight="false" outlineLevel="0" collapsed="false">
      <c r="A2197" s="43"/>
      <c r="B2197" s="44"/>
      <c r="C2197" s="44"/>
      <c r="D2197" s="44"/>
      <c r="E2197" s="44"/>
      <c r="F2197" s="44"/>
      <c r="G2197" s="44"/>
      <c r="H2197" s="46" t="str">
        <f aca="false">IF($A2197="","",IF(OR(NOT(ISNUMBER(E2197)),NOT(ISNUMBER(F2197))),"",MAX(0,E2197)*F2197))</f>
        <v/>
      </c>
      <c r="I2197" s="46" t="str">
        <f aca="false">IF($A2197="","",SUMIF($A$2:$A$5001,$A2197,$H$2:$H$5001))</f>
        <v/>
      </c>
      <c r="J2197" s="47" t="n">
        <f aca="false">IF($A2197="",0,IF(COUNTIF($A$2:A2197,$A2197)=1,1,0))</f>
        <v>0</v>
      </c>
      <c r="K2197" s="47" t="n">
        <f aca="false">IF(J2197=1,N(I2197)+ROW()/10000000,0)</f>
        <v>0</v>
      </c>
      <c r="L2197" s="47" t="str">
        <f aca="false">IF(AND(J2197=1,N(I2197)&gt;0),SUMIF($K$2:$K$5001,"&gt;="&amp;K2197,$I$2:$I$5001)/MAX(1,SUM($H$2:$H$5001)),"")</f>
        <v/>
      </c>
      <c r="M2197" s="47" t="str">
        <f aca="false">IF($A2197="","",INDEX($L$2:$L$5001,MATCH($A2197,$A$2:$A$5001,0)))</f>
        <v/>
      </c>
      <c r="N2197" s="48" t="str">
        <f aca="false">IF($A2197="","",IF(N(M2197)=0,"–",IF(M2197&lt;=Start!$D$20,"A",IF(M2197&lt;=Start!$D$21,"B","C"))))</f>
        <v/>
      </c>
      <c r="O2197" s="48" t="str">
        <f aca="false">IF($A2197="","",IF(NOT(ISNUMBER(F2197)),"Wert fehlt; ",IF(F2197&lt;=0,"Wert ist 0; ",""))&amp;IF(NOT(ISNUMBER(E2197)),"Bestand fehlt; ",IF(E2197&lt;0,"Bestand negativ; ",IF(E2197=0,"Nullbestand; ","")))&amp;IF(D2197="","Warengruppe fehlt; ","")&amp;IF(B2197="","Bezeichnung fehlt; ","")&amp;IF(COUNTIFS($A$2:$A$5001,$A2197,$C$2:$C$5001,C2197)&gt;1,"Artikel doppelt im selben Lager; ",""))</f>
        <v/>
      </c>
      <c r="P2197" s="47" t="n">
        <f aca="false">IF(OR($A2197="",D2197=""),0,IF(COUNTIF($D$2:D2197,D2197)=1,SUMIF($D$2:$D$5001,D2197,$H$2:$H$5001)+ROW()/10000000,0))</f>
        <v>0</v>
      </c>
      <c r="Q2197" s="47" t="n">
        <f aca="false">IF(OR($A2197="",C2197=""),0,IF(COUNTIF($C$2:C2197,C2197)=1,SUMIF($C$2:$C$5001,C2197,$H$2:$H$5001)+ROW()/10000000,0))</f>
        <v>0</v>
      </c>
    </row>
    <row r="2198" customFormat="false" ht="15" hidden="false" customHeight="false" outlineLevel="0" collapsed="false">
      <c r="A2198" s="43"/>
      <c r="B2198" s="44"/>
      <c r="C2198" s="44"/>
      <c r="D2198" s="44"/>
      <c r="E2198" s="44"/>
      <c r="F2198" s="44"/>
      <c r="G2198" s="44"/>
      <c r="H2198" s="46" t="str">
        <f aca="false">IF($A2198="","",IF(OR(NOT(ISNUMBER(E2198)),NOT(ISNUMBER(F2198))),"",MAX(0,E2198)*F2198))</f>
        <v/>
      </c>
      <c r="I2198" s="46" t="str">
        <f aca="false">IF($A2198="","",SUMIF($A$2:$A$5001,$A2198,$H$2:$H$5001))</f>
        <v/>
      </c>
      <c r="J2198" s="47" t="n">
        <f aca="false">IF($A2198="",0,IF(COUNTIF($A$2:A2198,$A2198)=1,1,0))</f>
        <v>0</v>
      </c>
      <c r="K2198" s="47" t="n">
        <f aca="false">IF(J2198=1,N(I2198)+ROW()/10000000,0)</f>
        <v>0</v>
      </c>
      <c r="L2198" s="47" t="str">
        <f aca="false">IF(AND(J2198=1,N(I2198)&gt;0),SUMIF($K$2:$K$5001,"&gt;="&amp;K2198,$I$2:$I$5001)/MAX(1,SUM($H$2:$H$5001)),"")</f>
        <v/>
      </c>
      <c r="M2198" s="47" t="str">
        <f aca="false">IF($A2198="","",INDEX($L$2:$L$5001,MATCH($A2198,$A$2:$A$5001,0)))</f>
        <v/>
      </c>
      <c r="N2198" s="48" t="str">
        <f aca="false">IF($A2198="","",IF(N(M2198)=0,"–",IF(M2198&lt;=Start!$D$20,"A",IF(M2198&lt;=Start!$D$21,"B","C"))))</f>
        <v/>
      </c>
      <c r="O2198" s="48" t="str">
        <f aca="false">IF($A2198="","",IF(NOT(ISNUMBER(F2198)),"Wert fehlt; ",IF(F2198&lt;=0,"Wert ist 0; ",""))&amp;IF(NOT(ISNUMBER(E2198)),"Bestand fehlt; ",IF(E2198&lt;0,"Bestand negativ; ",IF(E2198=0,"Nullbestand; ","")))&amp;IF(D2198="","Warengruppe fehlt; ","")&amp;IF(B2198="","Bezeichnung fehlt; ","")&amp;IF(COUNTIFS($A$2:$A$5001,$A2198,$C$2:$C$5001,C2198)&gt;1,"Artikel doppelt im selben Lager; ",""))</f>
        <v/>
      </c>
      <c r="P2198" s="47" t="n">
        <f aca="false">IF(OR($A2198="",D2198=""),0,IF(COUNTIF($D$2:D2198,D2198)=1,SUMIF($D$2:$D$5001,D2198,$H$2:$H$5001)+ROW()/10000000,0))</f>
        <v>0</v>
      </c>
      <c r="Q2198" s="47" t="n">
        <f aca="false">IF(OR($A2198="",C2198=""),0,IF(COUNTIF($C$2:C2198,C2198)=1,SUMIF($C$2:$C$5001,C2198,$H$2:$H$5001)+ROW()/10000000,0))</f>
        <v>0</v>
      </c>
    </row>
    <row r="2199" customFormat="false" ht="15" hidden="false" customHeight="false" outlineLevel="0" collapsed="false">
      <c r="A2199" s="43"/>
      <c r="B2199" s="44"/>
      <c r="C2199" s="44"/>
      <c r="D2199" s="44"/>
      <c r="E2199" s="44"/>
      <c r="F2199" s="44"/>
      <c r="G2199" s="44"/>
      <c r="H2199" s="46" t="str">
        <f aca="false">IF($A2199="","",IF(OR(NOT(ISNUMBER(E2199)),NOT(ISNUMBER(F2199))),"",MAX(0,E2199)*F2199))</f>
        <v/>
      </c>
      <c r="I2199" s="46" t="str">
        <f aca="false">IF($A2199="","",SUMIF($A$2:$A$5001,$A2199,$H$2:$H$5001))</f>
        <v/>
      </c>
      <c r="J2199" s="47" t="n">
        <f aca="false">IF($A2199="",0,IF(COUNTIF($A$2:A2199,$A2199)=1,1,0))</f>
        <v>0</v>
      </c>
      <c r="K2199" s="47" t="n">
        <f aca="false">IF(J2199=1,N(I2199)+ROW()/10000000,0)</f>
        <v>0</v>
      </c>
      <c r="L2199" s="47" t="str">
        <f aca="false">IF(AND(J2199=1,N(I2199)&gt;0),SUMIF($K$2:$K$5001,"&gt;="&amp;K2199,$I$2:$I$5001)/MAX(1,SUM($H$2:$H$5001)),"")</f>
        <v/>
      </c>
      <c r="M2199" s="47" t="str">
        <f aca="false">IF($A2199="","",INDEX($L$2:$L$5001,MATCH($A2199,$A$2:$A$5001,0)))</f>
        <v/>
      </c>
      <c r="N2199" s="48" t="str">
        <f aca="false">IF($A2199="","",IF(N(M2199)=0,"–",IF(M2199&lt;=Start!$D$20,"A",IF(M2199&lt;=Start!$D$21,"B","C"))))</f>
        <v/>
      </c>
      <c r="O2199" s="48" t="str">
        <f aca="false">IF($A2199="","",IF(NOT(ISNUMBER(F2199)),"Wert fehlt; ",IF(F2199&lt;=0,"Wert ist 0; ",""))&amp;IF(NOT(ISNUMBER(E2199)),"Bestand fehlt; ",IF(E2199&lt;0,"Bestand negativ; ",IF(E2199=0,"Nullbestand; ","")))&amp;IF(D2199="","Warengruppe fehlt; ","")&amp;IF(B2199="","Bezeichnung fehlt; ","")&amp;IF(COUNTIFS($A$2:$A$5001,$A2199,$C$2:$C$5001,C2199)&gt;1,"Artikel doppelt im selben Lager; ",""))</f>
        <v/>
      </c>
      <c r="P2199" s="47" t="n">
        <f aca="false">IF(OR($A2199="",D2199=""),0,IF(COUNTIF($D$2:D2199,D2199)=1,SUMIF($D$2:$D$5001,D2199,$H$2:$H$5001)+ROW()/10000000,0))</f>
        <v>0</v>
      </c>
      <c r="Q2199" s="47" t="n">
        <f aca="false">IF(OR($A2199="",C2199=""),0,IF(COUNTIF($C$2:C2199,C2199)=1,SUMIF($C$2:$C$5001,C2199,$H$2:$H$5001)+ROW()/10000000,0))</f>
        <v>0</v>
      </c>
    </row>
    <row r="2200" customFormat="false" ht="15" hidden="false" customHeight="false" outlineLevel="0" collapsed="false">
      <c r="A2200" s="43"/>
      <c r="B2200" s="44"/>
      <c r="C2200" s="44"/>
      <c r="D2200" s="44"/>
      <c r="E2200" s="44"/>
      <c r="F2200" s="44"/>
      <c r="G2200" s="44"/>
      <c r="H2200" s="46" t="str">
        <f aca="false">IF($A2200="","",IF(OR(NOT(ISNUMBER(E2200)),NOT(ISNUMBER(F2200))),"",MAX(0,E2200)*F2200))</f>
        <v/>
      </c>
      <c r="I2200" s="46" t="str">
        <f aca="false">IF($A2200="","",SUMIF($A$2:$A$5001,$A2200,$H$2:$H$5001))</f>
        <v/>
      </c>
      <c r="J2200" s="47" t="n">
        <f aca="false">IF($A2200="",0,IF(COUNTIF($A$2:A2200,$A2200)=1,1,0))</f>
        <v>0</v>
      </c>
      <c r="K2200" s="47" t="n">
        <f aca="false">IF(J2200=1,N(I2200)+ROW()/10000000,0)</f>
        <v>0</v>
      </c>
      <c r="L2200" s="47" t="str">
        <f aca="false">IF(AND(J2200=1,N(I2200)&gt;0),SUMIF($K$2:$K$5001,"&gt;="&amp;K2200,$I$2:$I$5001)/MAX(1,SUM($H$2:$H$5001)),"")</f>
        <v/>
      </c>
      <c r="M2200" s="47" t="str">
        <f aca="false">IF($A2200="","",INDEX($L$2:$L$5001,MATCH($A2200,$A$2:$A$5001,0)))</f>
        <v/>
      </c>
      <c r="N2200" s="48" t="str">
        <f aca="false">IF($A2200="","",IF(N(M2200)=0,"–",IF(M2200&lt;=Start!$D$20,"A",IF(M2200&lt;=Start!$D$21,"B","C"))))</f>
        <v/>
      </c>
      <c r="O2200" s="48" t="str">
        <f aca="false">IF($A2200="","",IF(NOT(ISNUMBER(F2200)),"Wert fehlt; ",IF(F2200&lt;=0,"Wert ist 0; ",""))&amp;IF(NOT(ISNUMBER(E2200)),"Bestand fehlt; ",IF(E2200&lt;0,"Bestand negativ; ",IF(E2200=0,"Nullbestand; ","")))&amp;IF(D2200="","Warengruppe fehlt; ","")&amp;IF(B2200="","Bezeichnung fehlt; ","")&amp;IF(COUNTIFS($A$2:$A$5001,$A2200,$C$2:$C$5001,C2200)&gt;1,"Artikel doppelt im selben Lager; ",""))</f>
        <v/>
      </c>
      <c r="P2200" s="47" t="n">
        <f aca="false">IF(OR($A2200="",D2200=""),0,IF(COUNTIF($D$2:D2200,D2200)=1,SUMIF($D$2:$D$5001,D2200,$H$2:$H$5001)+ROW()/10000000,0))</f>
        <v>0</v>
      </c>
      <c r="Q2200" s="47" t="n">
        <f aca="false">IF(OR($A2200="",C2200=""),0,IF(COUNTIF($C$2:C2200,C2200)=1,SUMIF($C$2:$C$5001,C2200,$H$2:$H$5001)+ROW()/10000000,0))</f>
        <v>0</v>
      </c>
    </row>
    <row r="2201" customFormat="false" ht="15" hidden="false" customHeight="false" outlineLevel="0" collapsed="false">
      <c r="A2201" s="43"/>
      <c r="B2201" s="44"/>
      <c r="C2201" s="44"/>
      <c r="D2201" s="44"/>
      <c r="E2201" s="44"/>
      <c r="F2201" s="44"/>
      <c r="G2201" s="44"/>
      <c r="H2201" s="46" t="str">
        <f aca="false">IF($A2201="","",IF(OR(NOT(ISNUMBER(E2201)),NOT(ISNUMBER(F2201))),"",MAX(0,E2201)*F2201))</f>
        <v/>
      </c>
      <c r="I2201" s="46" t="str">
        <f aca="false">IF($A2201="","",SUMIF($A$2:$A$5001,$A2201,$H$2:$H$5001))</f>
        <v/>
      </c>
      <c r="J2201" s="47" t="n">
        <f aca="false">IF($A2201="",0,IF(COUNTIF($A$2:A2201,$A2201)=1,1,0))</f>
        <v>0</v>
      </c>
      <c r="K2201" s="47" t="n">
        <f aca="false">IF(J2201=1,N(I2201)+ROW()/10000000,0)</f>
        <v>0</v>
      </c>
      <c r="L2201" s="47" t="str">
        <f aca="false">IF(AND(J2201=1,N(I2201)&gt;0),SUMIF($K$2:$K$5001,"&gt;="&amp;K2201,$I$2:$I$5001)/MAX(1,SUM($H$2:$H$5001)),"")</f>
        <v/>
      </c>
      <c r="M2201" s="47" t="str">
        <f aca="false">IF($A2201="","",INDEX($L$2:$L$5001,MATCH($A2201,$A$2:$A$5001,0)))</f>
        <v/>
      </c>
      <c r="N2201" s="48" t="str">
        <f aca="false">IF($A2201="","",IF(N(M2201)=0,"–",IF(M2201&lt;=Start!$D$20,"A",IF(M2201&lt;=Start!$D$21,"B","C"))))</f>
        <v/>
      </c>
      <c r="O2201" s="48" t="str">
        <f aca="false">IF($A2201="","",IF(NOT(ISNUMBER(F2201)),"Wert fehlt; ",IF(F2201&lt;=0,"Wert ist 0; ",""))&amp;IF(NOT(ISNUMBER(E2201)),"Bestand fehlt; ",IF(E2201&lt;0,"Bestand negativ; ",IF(E2201=0,"Nullbestand; ","")))&amp;IF(D2201="","Warengruppe fehlt; ","")&amp;IF(B2201="","Bezeichnung fehlt; ","")&amp;IF(COUNTIFS($A$2:$A$5001,$A2201,$C$2:$C$5001,C2201)&gt;1,"Artikel doppelt im selben Lager; ",""))</f>
        <v/>
      </c>
      <c r="P2201" s="47" t="n">
        <f aca="false">IF(OR($A2201="",D2201=""),0,IF(COUNTIF($D$2:D2201,D2201)=1,SUMIF($D$2:$D$5001,D2201,$H$2:$H$5001)+ROW()/10000000,0))</f>
        <v>0</v>
      </c>
      <c r="Q2201" s="47" t="n">
        <f aca="false">IF(OR($A2201="",C2201=""),0,IF(COUNTIF($C$2:C2201,C2201)=1,SUMIF($C$2:$C$5001,C2201,$H$2:$H$5001)+ROW()/10000000,0))</f>
        <v>0</v>
      </c>
    </row>
    <row r="2202" customFormat="false" ht="15" hidden="false" customHeight="false" outlineLevel="0" collapsed="false">
      <c r="A2202" s="43"/>
      <c r="B2202" s="44"/>
      <c r="C2202" s="44"/>
      <c r="D2202" s="44"/>
      <c r="E2202" s="44"/>
      <c r="F2202" s="44"/>
      <c r="G2202" s="44"/>
      <c r="H2202" s="46" t="str">
        <f aca="false">IF($A2202="","",IF(OR(NOT(ISNUMBER(E2202)),NOT(ISNUMBER(F2202))),"",MAX(0,E2202)*F2202))</f>
        <v/>
      </c>
      <c r="I2202" s="46" t="str">
        <f aca="false">IF($A2202="","",SUMIF($A$2:$A$5001,$A2202,$H$2:$H$5001))</f>
        <v/>
      </c>
      <c r="J2202" s="47" t="n">
        <f aca="false">IF($A2202="",0,IF(COUNTIF($A$2:A2202,$A2202)=1,1,0))</f>
        <v>0</v>
      </c>
      <c r="K2202" s="47" t="n">
        <f aca="false">IF(J2202=1,N(I2202)+ROW()/10000000,0)</f>
        <v>0</v>
      </c>
      <c r="L2202" s="47" t="str">
        <f aca="false">IF(AND(J2202=1,N(I2202)&gt;0),SUMIF($K$2:$K$5001,"&gt;="&amp;K2202,$I$2:$I$5001)/MAX(1,SUM($H$2:$H$5001)),"")</f>
        <v/>
      </c>
      <c r="M2202" s="47" t="str">
        <f aca="false">IF($A2202="","",INDEX($L$2:$L$5001,MATCH($A2202,$A$2:$A$5001,0)))</f>
        <v/>
      </c>
      <c r="N2202" s="48" t="str">
        <f aca="false">IF($A2202="","",IF(N(M2202)=0,"–",IF(M2202&lt;=Start!$D$20,"A",IF(M2202&lt;=Start!$D$21,"B","C"))))</f>
        <v/>
      </c>
      <c r="O2202" s="48" t="str">
        <f aca="false">IF($A2202="","",IF(NOT(ISNUMBER(F2202)),"Wert fehlt; ",IF(F2202&lt;=0,"Wert ist 0; ",""))&amp;IF(NOT(ISNUMBER(E2202)),"Bestand fehlt; ",IF(E2202&lt;0,"Bestand negativ; ",IF(E2202=0,"Nullbestand; ","")))&amp;IF(D2202="","Warengruppe fehlt; ","")&amp;IF(B2202="","Bezeichnung fehlt; ","")&amp;IF(COUNTIFS($A$2:$A$5001,$A2202,$C$2:$C$5001,C2202)&gt;1,"Artikel doppelt im selben Lager; ",""))</f>
        <v/>
      </c>
      <c r="P2202" s="47" t="n">
        <f aca="false">IF(OR($A2202="",D2202=""),0,IF(COUNTIF($D$2:D2202,D2202)=1,SUMIF($D$2:$D$5001,D2202,$H$2:$H$5001)+ROW()/10000000,0))</f>
        <v>0</v>
      </c>
      <c r="Q2202" s="47" t="n">
        <f aca="false">IF(OR($A2202="",C2202=""),0,IF(COUNTIF($C$2:C2202,C2202)=1,SUMIF($C$2:$C$5001,C2202,$H$2:$H$5001)+ROW()/10000000,0))</f>
        <v>0</v>
      </c>
    </row>
    <row r="2203" customFormat="false" ht="15" hidden="false" customHeight="false" outlineLevel="0" collapsed="false">
      <c r="A2203" s="43"/>
      <c r="B2203" s="44"/>
      <c r="C2203" s="44"/>
      <c r="D2203" s="44"/>
      <c r="E2203" s="44"/>
      <c r="F2203" s="44"/>
      <c r="G2203" s="44"/>
      <c r="H2203" s="46" t="str">
        <f aca="false">IF($A2203="","",IF(OR(NOT(ISNUMBER(E2203)),NOT(ISNUMBER(F2203))),"",MAX(0,E2203)*F2203))</f>
        <v/>
      </c>
      <c r="I2203" s="46" t="str">
        <f aca="false">IF($A2203="","",SUMIF($A$2:$A$5001,$A2203,$H$2:$H$5001))</f>
        <v/>
      </c>
      <c r="J2203" s="47" t="n">
        <f aca="false">IF($A2203="",0,IF(COUNTIF($A$2:A2203,$A2203)=1,1,0))</f>
        <v>0</v>
      </c>
      <c r="K2203" s="47" t="n">
        <f aca="false">IF(J2203=1,N(I2203)+ROW()/10000000,0)</f>
        <v>0</v>
      </c>
      <c r="L2203" s="47" t="str">
        <f aca="false">IF(AND(J2203=1,N(I2203)&gt;0),SUMIF($K$2:$K$5001,"&gt;="&amp;K2203,$I$2:$I$5001)/MAX(1,SUM($H$2:$H$5001)),"")</f>
        <v/>
      </c>
      <c r="M2203" s="47" t="str">
        <f aca="false">IF($A2203="","",INDEX($L$2:$L$5001,MATCH($A2203,$A$2:$A$5001,0)))</f>
        <v/>
      </c>
      <c r="N2203" s="48" t="str">
        <f aca="false">IF($A2203="","",IF(N(M2203)=0,"–",IF(M2203&lt;=Start!$D$20,"A",IF(M2203&lt;=Start!$D$21,"B","C"))))</f>
        <v/>
      </c>
      <c r="O2203" s="48" t="str">
        <f aca="false">IF($A2203="","",IF(NOT(ISNUMBER(F2203)),"Wert fehlt; ",IF(F2203&lt;=0,"Wert ist 0; ",""))&amp;IF(NOT(ISNUMBER(E2203)),"Bestand fehlt; ",IF(E2203&lt;0,"Bestand negativ; ",IF(E2203=0,"Nullbestand; ","")))&amp;IF(D2203="","Warengruppe fehlt; ","")&amp;IF(B2203="","Bezeichnung fehlt; ","")&amp;IF(COUNTIFS($A$2:$A$5001,$A2203,$C$2:$C$5001,C2203)&gt;1,"Artikel doppelt im selben Lager; ",""))</f>
        <v/>
      </c>
      <c r="P2203" s="47" t="n">
        <f aca="false">IF(OR($A2203="",D2203=""),0,IF(COUNTIF($D$2:D2203,D2203)=1,SUMIF($D$2:$D$5001,D2203,$H$2:$H$5001)+ROW()/10000000,0))</f>
        <v>0</v>
      </c>
      <c r="Q2203" s="47" t="n">
        <f aca="false">IF(OR($A2203="",C2203=""),0,IF(COUNTIF($C$2:C2203,C2203)=1,SUMIF($C$2:$C$5001,C2203,$H$2:$H$5001)+ROW()/10000000,0))</f>
        <v>0</v>
      </c>
    </row>
    <row r="2204" customFormat="false" ht="15" hidden="false" customHeight="false" outlineLevel="0" collapsed="false">
      <c r="A2204" s="43"/>
      <c r="B2204" s="44"/>
      <c r="C2204" s="44"/>
      <c r="D2204" s="44"/>
      <c r="E2204" s="44"/>
      <c r="F2204" s="44"/>
      <c r="G2204" s="44"/>
      <c r="H2204" s="46" t="str">
        <f aca="false">IF($A2204="","",IF(OR(NOT(ISNUMBER(E2204)),NOT(ISNUMBER(F2204))),"",MAX(0,E2204)*F2204))</f>
        <v/>
      </c>
      <c r="I2204" s="46" t="str">
        <f aca="false">IF($A2204="","",SUMIF($A$2:$A$5001,$A2204,$H$2:$H$5001))</f>
        <v/>
      </c>
      <c r="J2204" s="47" t="n">
        <f aca="false">IF($A2204="",0,IF(COUNTIF($A$2:A2204,$A2204)=1,1,0))</f>
        <v>0</v>
      </c>
      <c r="K2204" s="47" t="n">
        <f aca="false">IF(J2204=1,N(I2204)+ROW()/10000000,0)</f>
        <v>0</v>
      </c>
      <c r="L2204" s="47" t="str">
        <f aca="false">IF(AND(J2204=1,N(I2204)&gt;0),SUMIF($K$2:$K$5001,"&gt;="&amp;K2204,$I$2:$I$5001)/MAX(1,SUM($H$2:$H$5001)),"")</f>
        <v/>
      </c>
      <c r="M2204" s="47" t="str">
        <f aca="false">IF($A2204="","",INDEX($L$2:$L$5001,MATCH($A2204,$A$2:$A$5001,0)))</f>
        <v/>
      </c>
      <c r="N2204" s="48" t="str">
        <f aca="false">IF($A2204="","",IF(N(M2204)=0,"–",IF(M2204&lt;=Start!$D$20,"A",IF(M2204&lt;=Start!$D$21,"B","C"))))</f>
        <v/>
      </c>
      <c r="O2204" s="48" t="str">
        <f aca="false">IF($A2204="","",IF(NOT(ISNUMBER(F2204)),"Wert fehlt; ",IF(F2204&lt;=0,"Wert ist 0; ",""))&amp;IF(NOT(ISNUMBER(E2204)),"Bestand fehlt; ",IF(E2204&lt;0,"Bestand negativ; ",IF(E2204=0,"Nullbestand; ","")))&amp;IF(D2204="","Warengruppe fehlt; ","")&amp;IF(B2204="","Bezeichnung fehlt; ","")&amp;IF(COUNTIFS($A$2:$A$5001,$A2204,$C$2:$C$5001,C2204)&gt;1,"Artikel doppelt im selben Lager; ",""))</f>
        <v/>
      </c>
      <c r="P2204" s="47" t="n">
        <f aca="false">IF(OR($A2204="",D2204=""),0,IF(COUNTIF($D$2:D2204,D2204)=1,SUMIF($D$2:$D$5001,D2204,$H$2:$H$5001)+ROW()/10000000,0))</f>
        <v>0</v>
      </c>
      <c r="Q2204" s="47" t="n">
        <f aca="false">IF(OR($A2204="",C2204=""),0,IF(COUNTIF($C$2:C2204,C2204)=1,SUMIF($C$2:$C$5001,C2204,$H$2:$H$5001)+ROW()/10000000,0))</f>
        <v>0</v>
      </c>
    </row>
    <row r="2205" customFormat="false" ht="15" hidden="false" customHeight="false" outlineLevel="0" collapsed="false">
      <c r="A2205" s="43"/>
      <c r="B2205" s="44"/>
      <c r="C2205" s="44"/>
      <c r="D2205" s="44"/>
      <c r="E2205" s="44"/>
      <c r="F2205" s="44"/>
      <c r="G2205" s="44"/>
      <c r="H2205" s="46" t="str">
        <f aca="false">IF($A2205="","",IF(OR(NOT(ISNUMBER(E2205)),NOT(ISNUMBER(F2205))),"",MAX(0,E2205)*F2205))</f>
        <v/>
      </c>
      <c r="I2205" s="46" t="str">
        <f aca="false">IF($A2205="","",SUMIF($A$2:$A$5001,$A2205,$H$2:$H$5001))</f>
        <v/>
      </c>
      <c r="J2205" s="47" t="n">
        <f aca="false">IF($A2205="",0,IF(COUNTIF($A$2:A2205,$A2205)=1,1,0))</f>
        <v>0</v>
      </c>
      <c r="K2205" s="47" t="n">
        <f aca="false">IF(J2205=1,N(I2205)+ROW()/10000000,0)</f>
        <v>0</v>
      </c>
      <c r="L2205" s="47" t="str">
        <f aca="false">IF(AND(J2205=1,N(I2205)&gt;0),SUMIF($K$2:$K$5001,"&gt;="&amp;K2205,$I$2:$I$5001)/MAX(1,SUM($H$2:$H$5001)),"")</f>
        <v/>
      </c>
      <c r="M2205" s="47" t="str">
        <f aca="false">IF($A2205="","",INDEX($L$2:$L$5001,MATCH($A2205,$A$2:$A$5001,0)))</f>
        <v/>
      </c>
      <c r="N2205" s="48" t="str">
        <f aca="false">IF($A2205="","",IF(N(M2205)=0,"–",IF(M2205&lt;=Start!$D$20,"A",IF(M2205&lt;=Start!$D$21,"B","C"))))</f>
        <v/>
      </c>
      <c r="O2205" s="48" t="str">
        <f aca="false">IF($A2205="","",IF(NOT(ISNUMBER(F2205)),"Wert fehlt; ",IF(F2205&lt;=0,"Wert ist 0; ",""))&amp;IF(NOT(ISNUMBER(E2205)),"Bestand fehlt; ",IF(E2205&lt;0,"Bestand negativ; ",IF(E2205=0,"Nullbestand; ","")))&amp;IF(D2205="","Warengruppe fehlt; ","")&amp;IF(B2205="","Bezeichnung fehlt; ","")&amp;IF(COUNTIFS($A$2:$A$5001,$A2205,$C$2:$C$5001,C2205)&gt;1,"Artikel doppelt im selben Lager; ",""))</f>
        <v/>
      </c>
      <c r="P2205" s="47" t="n">
        <f aca="false">IF(OR($A2205="",D2205=""),0,IF(COUNTIF($D$2:D2205,D2205)=1,SUMIF($D$2:$D$5001,D2205,$H$2:$H$5001)+ROW()/10000000,0))</f>
        <v>0</v>
      </c>
      <c r="Q2205" s="47" t="n">
        <f aca="false">IF(OR($A2205="",C2205=""),0,IF(COUNTIF($C$2:C2205,C2205)=1,SUMIF($C$2:$C$5001,C2205,$H$2:$H$5001)+ROW()/10000000,0))</f>
        <v>0</v>
      </c>
    </row>
    <row r="2206" customFormat="false" ht="15" hidden="false" customHeight="false" outlineLevel="0" collapsed="false">
      <c r="A2206" s="43"/>
      <c r="B2206" s="44"/>
      <c r="C2206" s="44"/>
      <c r="D2206" s="44"/>
      <c r="E2206" s="44"/>
      <c r="F2206" s="44"/>
      <c r="G2206" s="44"/>
      <c r="H2206" s="46" t="str">
        <f aca="false">IF($A2206="","",IF(OR(NOT(ISNUMBER(E2206)),NOT(ISNUMBER(F2206))),"",MAX(0,E2206)*F2206))</f>
        <v/>
      </c>
      <c r="I2206" s="46" t="str">
        <f aca="false">IF($A2206="","",SUMIF($A$2:$A$5001,$A2206,$H$2:$H$5001))</f>
        <v/>
      </c>
      <c r="J2206" s="47" t="n">
        <f aca="false">IF($A2206="",0,IF(COUNTIF($A$2:A2206,$A2206)=1,1,0))</f>
        <v>0</v>
      </c>
      <c r="K2206" s="47" t="n">
        <f aca="false">IF(J2206=1,N(I2206)+ROW()/10000000,0)</f>
        <v>0</v>
      </c>
      <c r="L2206" s="47" t="str">
        <f aca="false">IF(AND(J2206=1,N(I2206)&gt;0),SUMIF($K$2:$K$5001,"&gt;="&amp;K2206,$I$2:$I$5001)/MAX(1,SUM($H$2:$H$5001)),"")</f>
        <v/>
      </c>
      <c r="M2206" s="47" t="str">
        <f aca="false">IF($A2206="","",INDEX($L$2:$L$5001,MATCH($A2206,$A$2:$A$5001,0)))</f>
        <v/>
      </c>
      <c r="N2206" s="48" t="str">
        <f aca="false">IF($A2206="","",IF(N(M2206)=0,"–",IF(M2206&lt;=Start!$D$20,"A",IF(M2206&lt;=Start!$D$21,"B","C"))))</f>
        <v/>
      </c>
      <c r="O2206" s="48" t="str">
        <f aca="false">IF($A2206="","",IF(NOT(ISNUMBER(F2206)),"Wert fehlt; ",IF(F2206&lt;=0,"Wert ist 0; ",""))&amp;IF(NOT(ISNUMBER(E2206)),"Bestand fehlt; ",IF(E2206&lt;0,"Bestand negativ; ",IF(E2206=0,"Nullbestand; ","")))&amp;IF(D2206="","Warengruppe fehlt; ","")&amp;IF(B2206="","Bezeichnung fehlt; ","")&amp;IF(COUNTIFS($A$2:$A$5001,$A2206,$C$2:$C$5001,C2206)&gt;1,"Artikel doppelt im selben Lager; ",""))</f>
        <v/>
      </c>
      <c r="P2206" s="47" t="n">
        <f aca="false">IF(OR($A2206="",D2206=""),0,IF(COUNTIF($D$2:D2206,D2206)=1,SUMIF($D$2:$D$5001,D2206,$H$2:$H$5001)+ROW()/10000000,0))</f>
        <v>0</v>
      </c>
      <c r="Q2206" s="47" t="n">
        <f aca="false">IF(OR($A2206="",C2206=""),0,IF(COUNTIF($C$2:C2206,C2206)=1,SUMIF($C$2:$C$5001,C2206,$H$2:$H$5001)+ROW()/10000000,0))</f>
        <v>0</v>
      </c>
    </row>
    <row r="2207" customFormat="false" ht="15" hidden="false" customHeight="false" outlineLevel="0" collapsed="false">
      <c r="A2207" s="43"/>
      <c r="B2207" s="44"/>
      <c r="C2207" s="44"/>
      <c r="D2207" s="44"/>
      <c r="E2207" s="44"/>
      <c r="F2207" s="44"/>
      <c r="G2207" s="44"/>
      <c r="H2207" s="46" t="str">
        <f aca="false">IF($A2207="","",IF(OR(NOT(ISNUMBER(E2207)),NOT(ISNUMBER(F2207))),"",MAX(0,E2207)*F2207))</f>
        <v/>
      </c>
      <c r="I2207" s="46" t="str">
        <f aca="false">IF($A2207="","",SUMIF($A$2:$A$5001,$A2207,$H$2:$H$5001))</f>
        <v/>
      </c>
      <c r="J2207" s="47" t="n">
        <f aca="false">IF($A2207="",0,IF(COUNTIF($A$2:A2207,$A2207)=1,1,0))</f>
        <v>0</v>
      </c>
      <c r="K2207" s="47" t="n">
        <f aca="false">IF(J2207=1,N(I2207)+ROW()/10000000,0)</f>
        <v>0</v>
      </c>
      <c r="L2207" s="47" t="str">
        <f aca="false">IF(AND(J2207=1,N(I2207)&gt;0),SUMIF($K$2:$K$5001,"&gt;="&amp;K2207,$I$2:$I$5001)/MAX(1,SUM($H$2:$H$5001)),"")</f>
        <v/>
      </c>
      <c r="M2207" s="47" t="str">
        <f aca="false">IF($A2207="","",INDEX($L$2:$L$5001,MATCH($A2207,$A$2:$A$5001,0)))</f>
        <v/>
      </c>
      <c r="N2207" s="48" t="str">
        <f aca="false">IF($A2207="","",IF(N(M2207)=0,"–",IF(M2207&lt;=Start!$D$20,"A",IF(M2207&lt;=Start!$D$21,"B","C"))))</f>
        <v/>
      </c>
      <c r="O2207" s="48" t="str">
        <f aca="false">IF($A2207="","",IF(NOT(ISNUMBER(F2207)),"Wert fehlt; ",IF(F2207&lt;=0,"Wert ist 0; ",""))&amp;IF(NOT(ISNUMBER(E2207)),"Bestand fehlt; ",IF(E2207&lt;0,"Bestand negativ; ",IF(E2207=0,"Nullbestand; ","")))&amp;IF(D2207="","Warengruppe fehlt; ","")&amp;IF(B2207="","Bezeichnung fehlt; ","")&amp;IF(COUNTIFS($A$2:$A$5001,$A2207,$C$2:$C$5001,C2207)&gt;1,"Artikel doppelt im selben Lager; ",""))</f>
        <v/>
      </c>
      <c r="P2207" s="47" t="n">
        <f aca="false">IF(OR($A2207="",D2207=""),0,IF(COUNTIF($D$2:D2207,D2207)=1,SUMIF($D$2:$D$5001,D2207,$H$2:$H$5001)+ROW()/10000000,0))</f>
        <v>0</v>
      </c>
      <c r="Q2207" s="47" t="n">
        <f aca="false">IF(OR($A2207="",C2207=""),0,IF(COUNTIF($C$2:C2207,C2207)=1,SUMIF($C$2:$C$5001,C2207,$H$2:$H$5001)+ROW()/10000000,0))</f>
        <v>0</v>
      </c>
    </row>
    <row r="2208" customFormat="false" ht="15" hidden="false" customHeight="false" outlineLevel="0" collapsed="false">
      <c r="A2208" s="43"/>
      <c r="B2208" s="44"/>
      <c r="C2208" s="44"/>
      <c r="D2208" s="44"/>
      <c r="E2208" s="44"/>
      <c r="F2208" s="44"/>
      <c r="G2208" s="44"/>
      <c r="H2208" s="46" t="str">
        <f aca="false">IF($A2208="","",IF(OR(NOT(ISNUMBER(E2208)),NOT(ISNUMBER(F2208))),"",MAX(0,E2208)*F2208))</f>
        <v/>
      </c>
      <c r="I2208" s="46" t="str">
        <f aca="false">IF($A2208="","",SUMIF($A$2:$A$5001,$A2208,$H$2:$H$5001))</f>
        <v/>
      </c>
      <c r="J2208" s="47" t="n">
        <f aca="false">IF($A2208="",0,IF(COUNTIF($A$2:A2208,$A2208)=1,1,0))</f>
        <v>0</v>
      </c>
      <c r="K2208" s="47" t="n">
        <f aca="false">IF(J2208=1,N(I2208)+ROW()/10000000,0)</f>
        <v>0</v>
      </c>
      <c r="L2208" s="47" t="str">
        <f aca="false">IF(AND(J2208=1,N(I2208)&gt;0),SUMIF($K$2:$K$5001,"&gt;="&amp;K2208,$I$2:$I$5001)/MAX(1,SUM($H$2:$H$5001)),"")</f>
        <v/>
      </c>
      <c r="M2208" s="47" t="str">
        <f aca="false">IF($A2208="","",INDEX($L$2:$L$5001,MATCH($A2208,$A$2:$A$5001,0)))</f>
        <v/>
      </c>
      <c r="N2208" s="48" t="str">
        <f aca="false">IF($A2208="","",IF(N(M2208)=0,"–",IF(M2208&lt;=Start!$D$20,"A",IF(M2208&lt;=Start!$D$21,"B","C"))))</f>
        <v/>
      </c>
      <c r="O2208" s="48" t="str">
        <f aca="false">IF($A2208="","",IF(NOT(ISNUMBER(F2208)),"Wert fehlt; ",IF(F2208&lt;=0,"Wert ist 0; ",""))&amp;IF(NOT(ISNUMBER(E2208)),"Bestand fehlt; ",IF(E2208&lt;0,"Bestand negativ; ",IF(E2208=0,"Nullbestand; ","")))&amp;IF(D2208="","Warengruppe fehlt; ","")&amp;IF(B2208="","Bezeichnung fehlt; ","")&amp;IF(COUNTIFS($A$2:$A$5001,$A2208,$C$2:$C$5001,C2208)&gt;1,"Artikel doppelt im selben Lager; ",""))</f>
        <v/>
      </c>
      <c r="P2208" s="47" t="n">
        <f aca="false">IF(OR($A2208="",D2208=""),0,IF(COUNTIF($D$2:D2208,D2208)=1,SUMIF($D$2:$D$5001,D2208,$H$2:$H$5001)+ROW()/10000000,0))</f>
        <v>0</v>
      </c>
      <c r="Q2208" s="47" t="n">
        <f aca="false">IF(OR($A2208="",C2208=""),0,IF(COUNTIF($C$2:C2208,C2208)=1,SUMIF($C$2:$C$5001,C2208,$H$2:$H$5001)+ROW()/10000000,0))</f>
        <v>0</v>
      </c>
    </row>
    <row r="2209" customFormat="false" ht="15" hidden="false" customHeight="false" outlineLevel="0" collapsed="false">
      <c r="A2209" s="43"/>
      <c r="B2209" s="44"/>
      <c r="C2209" s="44"/>
      <c r="D2209" s="44"/>
      <c r="E2209" s="44"/>
      <c r="F2209" s="44"/>
      <c r="G2209" s="44"/>
      <c r="H2209" s="46" t="str">
        <f aca="false">IF($A2209="","",IF(OR(NOT(ISNUMBER(E2209)),NOT(ISNUMBER(F2209))),"",MAX(0,E2209)*F2209))</f>
        <v/>
      </c>
      <c r="I2209" s="46" t="str">
        <f aca="false">IF($A2209="","",SUMIF($A$2:$A$5001,$A2209,$H$2:$H$5001))</f>
        <v/>
      </c>
      <c r="J2209" s="47" t="n">
        <f aca="false">IF($A2209="",0,IF(COUNTIF($A$2:A2209,$A2209)=1,1,0))</f>
        <v>0</v>
      </c>
      <c r="K2209" s="47" t="n">
        <f aca="false">IF(J2209=1,N(I2209)+ROW()/10000000,0)</f>
        <v>0</v>
      </c>
      <c r="L2209" s="47" t="str">
        <f aca="false">IF(AND(J2209=1,N(I2209)&gt;0),SUMIF($K$2:$K$5001,"&gt;="&amp;K2209,$I$2:$I$5001)/MAX(1,SUM($H$2:$H$5001)),"")</f>
        <v/>
      </c>
      <c r="M2209" s="47" t="str">
        <f aca="false">IF($A2209="","",INDEX($L$2:$L$5001,MATCH($A2209,$A$2:$A$5001,0)))</f>
        <v/>
      </c>
      <c r="N2209" s="48" t="str">
        <f aca="false">IF($A2209="","",IF(N(M2209)=0,"–",IF(M2209&lt;=Start!$D$20,"A",IF(M2209&lt;=Start!$D$21,"B","C"))))</f>
        <v/>
      </c>
      <c r="O2209" s="48" t="str">
        <f aca="false">IF($A2209="","",IF(NOT(ISNUMBER(F2209)),"Wert fehlt; ",IF(F2209&lt;=0,"Wert ist 0; ",""))&amp;IF(NOT(ISNUMBER(E2209)),"Bestand fehlt; ",IF(E2209&lt;0,"Bestand negativ; ",IF(E2209=0,"Nullbestand; ","")))&amp;IF(D2209="","Warengruppe fehlt; ","")&amp;IF(B2209="","Bezeichnung fehlt; ","")&amp;IF(COUNTIFS($A$2:$A$5001,$A2209,$C$2:$C$5001,C2209)&gt;1,"Artikel doppelt im selben Lager; ",""))</f>
        <v/>
      </c>
      <c r="P2209" s="47" t="n">
        <f aca="false">IF(OR($A2209="",D2209=""),0,IF(COUNTIF($D$2:D2209,D2209)=1,SUMIF($D$2:$D$5001,D2209,$H$2:$H$5001)+ROW()/10000000,0))</f>
        <v>0</v>
      </c>
      <c r="Q2209" s="47" t="n">
        <f aca="false">IF(OR($A2209="",C2209=""),0,IF(COUNTIF($C$2:C2209,C2209)=1,SUMIF($C$2:$C$5001,C2209,$H$2:$H$5001)+ROW()/10000000,0))</f>
        <v>0</v>
      </c>
    </row>
    <row r="2210" customFormat="false" ht="15" hidden="false" customHeight="false" outlineLevel="0" collapsed="false">
      <c r="A2210" s="43"/>
      <c r="B2210" s="44"/>
      <c r="C2210" s="44"/>
      <c r="D2210" s="44"/>
      <c r="E2210" s="44"/>
      <c r="F2210" s="44"/>
      <c r="G2210" s="44"/>
      <c r="H2210" s="46" t="str">
        <f aca="false">IF($A2210="","",IF(OR(NOT(ISNUMBER(E2210)),NOT(ISNUMBER(F2210))),"",MAX(0,E2210)*F2210))</f>
        <v/>
      </c>
      <c r="I2210" s="46" t="str">
        <f aca="false">IF($A2210="","",SUMIF($A$2:$A$5001,$A2210,$H$2:$H$5001))</f>
        <v/>
      </c>
      <c r="J2210" s="47" t="n">
        <f aca="false">IF($A2210="",0,IF(COUNTIF($A$2:A2210,$A2210)=1,1,0))</f>
        <v>0</v>
      </c>
      <c r="K2210" s="47" t="n">
        <f aca="false">IF(J2210=1,N(I2210)+ROW()/10000000,0)</f>
        <v>0</v>
      </c>
      <c r="L2210" s="47" t="str">
        <f aca="false">IF(AND(J2210=1,N(I2210)&gt;0),SUMIF($K$2:$K$5001,"&gt;="&amp;K2210,$I$2:$I$5001)/MAX(1,SUM($H$2:$H$5001)),"")</f>
        <v/>
      </c>
      <c r="M2210" s="47" t="str">
        <f aca="false">IF($A2210="","",INDEX($L$2:$L$5001,MATCH($A2210,$A$2:$A$5001,0)))</f>
        <v/>
      </c>
      <c r="N2210" s="48" t="str">
        <f aca="false">IF($A2210="","",IF(N(M2210)=0,"–",IF(M2210&lt;=Start!$D$20,"A",IF(M2210&lt;=Start!$D$21,"B","C"))))</f>
        <v/>
      </c>
      <c r="O2210" s="48" t="str">
        <f aca="false">IF($A2210="","",IF(NOT(ISNUMBER(F2210)),"Wert fehlt; ",IF(F2210&lt;=0,"Wert ist 0; ",""))&amp;IF(NOT(ISNUMBER(E2210)),"Bestand fehlt; ",IF(E2210&lt;0,"Bestand negativ; ",IF(E2210=0,"Nullbestand; ","")))&amp;IF(D2210="","Warengruppe fehlt; ","")&amp;IF(B2210="","Bezeichnung fehlt; ","")&amp;IF(COUNTIFS($A$2:$A$5001,$A2210,$C$2:$C$5001,C2210)&gt;1,"Artikel doppelt im selben Lager; ",""))</f>
        <v/>
      </c>
      <c r="P2210" s="47" t="n">
        <f aca="false">IF(OR($A2210="",D2210=""),0,IF(COUNTIF($D$2:D2210,D2210)=1,SUMIF($D$2:$D$5001,D2210,$H$2:$H$5001)+ROW()/10000000,0))</f>
        <v>0</v>
      </c>
      <c r="Q2210" s="47" t="n">
        <f aca="false">IF(OR($A2210="",C2210=""),0,IF(COUNTIF($C$2:C2210,C2210)=1,SUMIF($C$2:$C$5001,C2210,$H$2:$H$5001)+ROW()/10000000,0))</f>
        <v>0</v>
      </c>
    </row>
    <row r="2211" customFormat="false" ht="15" hidden="false" customHeight="false" outlineLevel="0" collapsed="false">
      <c r="A2211" s="43"/>
      <c r="B2211" s="44"/>
      <c r="C2211" s="44"/>
      <c r="D2211" s="44"/>
      <c r="E2211" s="44"/>
      <c r="F2211" s="44"/>
      <c r="G2211" s="44"/>
      <c r="H2211" s="46" t="str">
        <f aca="false">IF($A2211="","",IF(OR(NOT(ISNUMBER(E2211)),NOT(ISNUMBER(F2211))),"",MAX(0,E2211)*F2211))</f>
        <v/>
      </c>
      <c r="I2211" s="46" t="str">
        <f aca="false">IF($A2211="","",SUMIF($A$2:$A$5001,$A2211,$H$2:$H$5001))</f>
        <v/>
      </c>
      <c r="J2211" s="47" t="n">
        <f aca="false">IF($A2211="",0,IF(COUNTIF($A$2:A2211,$A2211)=1,1,0))</f>
        <v>0</v>
      </c>
      <c r="K2211" s="47" t="n">
        <f aca="false">IF(J2211=1,N(I2211)+ROW()/10000000,0)</f>
        <v>0</v>
      </c>
      <c r="L2211" s="47" t="str">
        <f aca="false">IF(AND(J2211=1,N(I2211)&gt;0),SUMIF($K$2:$K$5001,"&gt;="&amp;K2211,$I$2:$I$5001)/MAX(1,SUM($H$2:$H$5001)),"")</f>
        <v/>
      </c>
      <c r="M2211" s="47" t="str">
        <f aca="false">IF($A2211="","",INDEX($L$2:$L$5001,MATCH($A2211,$A$2:$A$5001,0)))</f>
        <v/>
      </c>
      <c r="N2211" s="48" t="str">
        <f aca="false">IF($A2211="","",IF(N(M2211)=0,"–",IF(M2211&lt;=Start!$D$20,"A",IF(M2211&lt;=Start!$D$21,"B","C"))))</f>
        <v/>
      </c>
      <c r="O2211" s="48" t="str">
        <f aca="false">IF($A2211="","",IF(NOT(ISNUMBER(F2211)),"Wert fehlt; ",IF(F2211&lt;=0,"Wert ist 0; ",""))&amp;IF(NOT(ISNUMBER(E2211)),"Bestand fehlt; ",IF(E2211&lt;0,"Bestand negativ; ",IF(E2211=0,"Nullbestand; ","")))&amp;IF(D2211="","Warengruppe fehlt; ","")&amp;IF(B2211="","Bezeichnung fehlt; ","")&amp;IF(COUNTIFS($A$2:$A$5001,$A2211,$C$2:$C$5001,C2211)&gt;1,"Artikel doppelt im selben Lager; ",""))</f>
        <v/>
      </c>
      <c r="P2211" s="47" t="n">
        <f aca="false">IF(OR($A2211="",D2211=""),0,IF(COUNTIF($D$2:D2211,D2211)=1,SUMIF($D$2:$D$5001,D2211,$H$2:$H$5001)+ROW()/10000000,0))</f>
        <v>0</v>
      </c>
      <c r="Q2211" s="47" t="n">
        <f aca="false">IF(OR($A2211="",C2211=""),0,IF(COUNTIF($C$2:C2211,C2211)=1,SUMIF($C$2:$C$5001,C2211,$H$2:$H$5001)+ROW()/10000000,0))</f>
        <v>0</v>
      </c>
    </row>
    <row r="2212" customFormat="false" ht="15" hidden="false" customHeight="false" outlineLevel="0" collapsed="false">
      <c r="A2212" s="43"/>
      <c r="B2212" s="44"/>
      <c r="C2212" s="44"/>
      <c r="D2212" s="44"/>
      <c r="E2212" s="44"/>
      <c r="F2212" s="44"/>
      <c r="G2212" s="44"/>
      <c r="H2212" s="46" t="str">
        <f aca="false">IF($A2212="","",IF(OR(NOT(ISNUMBER(E2212)),NOT(ISNUMBER(F2212))),"",MAX(0,E2212)*F2212))</f>
        <v/>
      </c>
      <c r="I2212" s="46" t="str">
        <f aca="false">IF($A2212="","",SUMIF($A$2:$A$5001,$A2212,$H$2:$H$5001))</f>
        <v/>
      </c>
      <c r="J2212" s="47" t="n">
        <f aca="false">IF($A2212="",0,IF(COUNTIF($A$2:A2212,$A2212)=1,1,0))</f>
        <v>0</v>
      </c>
      <c r="K2212" s="47" t="n">
        <f aca="false">IF(J2212=1,N(I2212)+ROW()/10000000,0)</f>
        <v>0</v>
      </c>
      <c r="L2212" s="47" t="str">
        <f aca="false">IF(AND(J2212=1,N(I2212)&gt;0),SUMIF($K$2:$K$5001,"&gt;="&amp;K2212,$I$2:$I$5001)/MAX(1,SUM($H$2:$H$5001)),"")</f>
        <v/>
      </c>
      <c r="M2212" s="47" t="str">
        <f aca="false">IF($A2212="","",INDEX($L$2:$L$5001,MATCH($A2212,$A$2:$A$5001,0)))</f>
        <v/>
      </c>
      <c r="N2212" s="48" t="str">
        <f aca="false">IF($A2212="","",IF(N(M2212)=0,"–",IF(M2212&lt;=Start!$D$20,"A",IF(M2212&lt;=Start!$D$21,"B","C"))))</f>
        <v/>
      </c>
      <c r="O2212" s="48" t="str">
        <f aca="false">IF($A2212="","",IF(NOT(ISNUMBER(F2212)),"Wert fehlt; ",IF(F2212&lt;=0,"Wert ist 0; ",""))&amp;IF(NOT(ISNUMBER(E2212)),"Bestand fehlt; ",IF(E2212&lt;0,"Bestand negativ; ",IF(E2212=0,"Nullbestand; ","")))&amp;IF(D2212="","Warengruppe fehlt; ","")&amp;IF(B2212="","Bezeichnung fehlt; ","")&amp;IF(COUNTIFS($A$2:$A$5001,$A2212,$C$2:$C$5001,C2212)&gt;1,"Artikel doppelt im selben Lager; ",""))</f>
        <v/>
      </c>
      <c r="P2212" s="47" t="n">
        <f aca="false">IF(OR($A2212="",D2212=""),0,IF(COUNTIF($D$2:D2212,D2212)=1,SUMIF($D$2:$D$5001,D2212,$H$2:$H$5001)+ROW()/10000000,0))</f>
        <v>0</v>
      </c>
      <c r="Q2212" s="47" t="n">
        <f aca="false">IF(OR($A2212="",C2212=""),0,IF(COUNTIF($C$2:C2212,C2212)=1,SUMIF($C$2:$C$5001,C2212,$H$2:$H$5001)+ROW()/10000000,0))</f>
        <v>0</v>
      </c>
    </row>
    <row r="2213" customFormat="false" ht="15" hidden="false" customHeight="false" outlineLevel="0" collapsed="false">
      <c r="A2213" s="43"/>
      <c r="B2213" s="44"/>
      <c r="C2213" s="44"/>
      <c r="D2213" s="44"/>
      <c r="E2213" s="44"/>
      <c r="F2213" s="44"/>
      <c r="G2213" s="44"/>
      <c r="H2213" s="46" t="str">
        <f aca="false">IF($A2213="","",IF(OR(NOT(ISNUMBER(E2213)),NOT(ISNUMBER(F2213))),"",MAX(0,E2213)*F2213))</f>
        <v/>
      </c>
      <c r="I2213" s="46" t="str">
        <f aca="false">IF($A2213="","",SUMIF($A$2:$A$5001,$A2213,$H$2:$H$5001))</f>
        <v/>
      </c>
      <c r="J2213" s="47" t="n">
        <f aca="false">IF($A2213="",0,IF(COUNTIF($A$2:A2213,$A2213)=1,1,0))</f>
        <v>0</v>
      </c>
      <c r="K2213" s="47" t="n">
        <f aca="false">IF(J2213=1,N(I2213)+ROW()/10000000,0)</f>
        <v>0</v>
      </c>
      <c r="L2213" s="47" t="str">
        <f aca="false">IF(AND(J2213=1,N(I2213)&gt;0),SUMIF($K$2:$K$5001,"&gt;="&amp;K2213,$I$2:$I$5001)/MAX(1,SUM($H$2:$H$5001)),"")</f>
        <v/>
      </c>
      <c r="M2213" s="47" t="str">
        <f aca="false">IF($A2213="","",INDEX($L$2:$L$5001,MATCH($A2213,$A$2:$A$5001,0)))</f>
        <v/>
      </c>
      <c r="N2213" s="48" t="str">
        <f aca="false">IF($A2213="","",IF(N(M2213)=0,"–",IF(M2213&lt;=Start!$D$20,"A",IF(M2213&lt;=Start!$D$21,"B","C"))))</f>
        <v/>
      </c>
      <c r="O2213" s="48" t="str">
        <f aca="false">IF($A2213="","",IF(NOT(ISNUMBER(F2213)),"Wert fehlt; ",IF(F2213&lt;=0,"Wert ist 0; ",""))&amp;IF(NOT(ISNUMBER(E2213)),"Bestand fehlt; ",IF(E2213&lt;0,"Bestand negativ; ",IF(E2213=0,"Nullbestand; ","")))&amp;IF(D2213="","Warengruppe fehlt; ","")&amp;IF(B2213="","Bezeichnung fehlt; ","")&amp;IF(COUNTIFS($A$2:$A$5001,$A2213,$C$2:$C$5001,C2213)&gt;1,"Artikel doppelt im selben Lager; ",""))</f>
        <v/>
      </c>
      <c r="P2213" s="47" t="n">
        <f aca="false">IF(OR($A2213="",D2213=""),0,IF(COUNTIF($D$2:D2213,D2213)=1,SUMIF($D$2:$D$5001,D2213,$H$2:$H$5001)+ROW()/10000000,0))</f>
        <v>0</v>
      </c>
      <c r="Q2213" s="47" t="n">
        <f aca="false">IF(OR($A2213="",C2213=""),0,IF(COUNTIF($C$2:C2213,C2213)=1,SUMIF($C$2:$C$5001,C2213,$H$2:$H$5001)+ROW()/10000000,0))</f>
        <v>0</v>
      </c>
    </row>
    <row r="2214" customFormat="false" ht="15" hidden="false" customHeight="false" outlineLevel="0" collapsed="false">
      <c r="A2214" s="43"/>
      <c r="B2214" s="44"/>
      <c r="C2214" s="44"/>
      <c r="D2214" s="44"/>
      <c r="E2214" s="44"/>
      <c r="F2214" s="44"/>
      <c r="G2214" s="44"/>
      <c r="H2214" s="46" t="str">
        <f aca="false">IF($A2214="","",IF(OR(NOT(ISNUMBER(E2214)),NOT(ISNUMBER(F2214))),"",MAX(0,E2214)*F2214))</f>
        <v/>
      </c>
      <c r="I2214" s="46" t="str">
        <f aca="false">IF($A2214="","",SUMIF($A$2:$A$5001,$A2214,$H$2:$H$5001))</f>
        <v/>
      </c>
      <c r="J2214" s="47" t="n">
        <f aca="false">IF($A2214="",0,IF(COUNTIF($A$2:A2214,$A2214)=1,1,0))</f>
        <v>0</v>
      </c>
      <c r="K2214" s="47" t="n">
        <f aca="false">IF(J2214=1,N(I2214)+ROW()/10000000,0)</f>
        <v>0</v>
      </c>
      <c r="L2214" s="47" t="str">
        <f aca="false">IF(AND(J2214=1,N(I2214)&gt;0),SUMIF($K$2:$K$5001,"&gt;="&amp;K2214,$I$2:$I$5001)/MAX(1,SUM($H$2:$H$5001)),"")</f>
        <v/>
      </c>
      <c r="M2214" s="47" t="str">
        <f aca="false">IF($A2214="","",INDEX($L$2:$L$5001,MATCH($A2214,$A$2:$A$5001,0)))</f>
        <v/>
      </c>
      <c r="N2214" s="48" t="str">
        <f aca="false">IF($A2214="","",IF(N(M2214)=0,"–",IF(M2214&lt;=Start!$D$20,"A",IF(M2214&lt;=Start!$D$21,"B","C"))))</f>
        <v/>
      </c>
      <c r="O2214" s="48" t="str">
        <f aca="false">IF($A2214="","",IF(NOT(ISNUMBER(F2214)),"Wert fehlt; ",IF(F2214&lt;=0,"Wert ist 0; ",""))&amp;IF(NOT(ISNUMBER(E2214)),"Bestand fehlt; ",IF(E2214&lt;0,"Bestand negativ; ",IF(E2214=0,"Nullbestand; ","")))&amp;IF(D2214="","Warengruppe fehlt; ","")&amp;IF(B2214="","Bezeichnung fehlt; ","")&amp;IF(COUNTIFS($A$2:$A$5001,$A2214,$C$2:$C$5001,C2214)&gt;1,"Artikel doppelt im selben Lager; ",""))</f>
        <v/>
      </c>
      <c r="P2214" s="47" t="n">
        <f aca="false">IF(OR($A2214="",D2214=""),0,IF(COUNTIF($D$2:D2214,D2214)=1,SUMIF($D$2:$D$5001,D2214,$H$2:$H$5001)+ROW()/10000000,0))</f>
        <v>0</v>
      </c>
      <c r="Q2214" s="47" t="n">
        <f aca="false">IF(OR($A2214="",C2214=""),0,IF(COUNTIF($C$2:C2214,C2214)=1,SUMIF($C$2:$C$5001,C2214,$H$2:$H$5001)+ROW()/10000000,0))</f>
        <v>0</v>
      </c>
    </row>
    <row r="2215" customFormat="false" ht="15" hidden="false" customHeight="false" outlineLevel="0" collapsed="false">
      <c r="A2215" s="43"/>
      <c r="B2215" s="44"/>
      <c r="C2215" s="44"/>
      <c r="D2215" s="44"/>
      <c r="E2215" s="44"/>
      <c r="F2215" s="44"/>
      <c r="G2215" s="44"/>
      <c r="H2215" s="46" t="str">
        <f aca="false">IF($A2215="","",IF(OR(NOT(ISNUMBER(E2215)),NOT(ISNUMBER(F2215))),"",MAX(0,E2215)*F2215))</f>
        <v/>
      </c>
      <c r="I2215" s="46" t="str">
        <f aca="false">IF($A2215="","",SUMIF($A$2:$A$5001,$A2215,$H$2:$H$5001))</f>
        <v/>
      </c>
      <c r="J2215" s="47" t="n">
        <f aca="false">IF($A2215="",0,IF(COUNTIF($A$2:A2215,$A2215)=1,1,0))</f>
        <v>0</v>
      </c>
      <c r="K2215" s="47" t="n">
        <f aca="false">IF(J2215=1,N(I2215)+ROW()/10000000,0)</f>
        <v>0</v>
      </c>
      <c r="L2215" s="47" t="str">
        <f aca="false">IF(AND(J2215=1,N(I2215)&gt;0),SUMIF($K$2:$K$5001,"&gt;="&amp;K2215,$I$2:$I$5001)/MAX(1,SUM($H$2:$H$5001)),"")</f>
        <v/>
      </c>
      <c r="M2215" s="47" t="str">
        <f aca="false">IF($A2215="","",INDEX($L$2:$L$5001,MATCH($A2215,$A$2:$A$5001,0)))</f>
        <v/>
      </c>
      <c r="N2215" s="48" t="str">
        <f aca="false">IF($A2215="","",IF(N(M2215)=0,"–",IF(M2215&lt;=Start!$D$20,"A",IF(M2215&lt;=Start!$D$21,"B","C"))))</f>
        <v/>
      </c>
      <c r="O2215" s="48" t="str">
        <f aca="false">IF($A2215="","",IF(NOT(ISNUMBER(F2215)),"Wert fehlt; ",IF(F2215&lt;=0,"Wert ist 0; ",""))&amp;IF(NOT(ISNUMBER(E2215)),"Bestand fehlt; ",IF(E2215&lt;0,"Bestand negativ; ",IF(E2215=0,"Nullbestand; ","")))&amp;IF(D2215="","Warengruppe fehlt; ","")&amp;IF(B2215="","Bezeichnung fehlt; ","")&amp;IF(COUNTIFS($A$2:$A$5001,$A2215,$C$2:$C$5001,C2215)&gt;1,"Artikel doppelt im selben Lager; ",""))</f>
        <v/>
      </c>
      <c r="P2215" s="47" t="n">
        <f aca="false">IF(OR($A2215="",D2215=""),0,IF(COUNTIF($D$2:D2215,D2215)=1,SUMIF($D$2:$D$5001,D2215,$H$2:$H$5001)+ROW()/10000000,0))</f>
        <v>0</v>
      </c>
      <c r="Q2215" s="47" t="n">
        <f aca="false">IF(OR($A2215="",C2215=""),0,IF(COUNTIF($C$2:C2215,C2215)=1,SUMIF($C$2:$C$5001,C2215,$H$2:$H$5001)+ROW()/10000000,0))</f>
        <v>0</v>
      </c>
    </row>
    <row r="2216" customFormat="false" ht="15" hidden="false" customHeight="false" outlineLevel="0" collapsed="false">
      <c r="A2216" s="43"/>
      <c r="B2216" s="44"/>
      <c r="C2216" s="44"/>
      <c r="D2216" s="44"/>
      <c r="E2216" s="44"/>
      <c r="F2216" s="44"/>
      <c r="G2216" s="44"/>
      <c r="H2216" s="46" t="str">
        <f aca="false">IF($A2216="","",IF(OR(NOT(ISNUMBER(E2216)),NOT(ISNUMBER(F2216))),"",MAX(0,E2216)*F2216))</f>
        <v/>
      </c>
      <c r="I2216" s="46" t="str">
        <f aca="false">IF($A2216="","",SUMIF($A$2:$A$5001,$A2216,$H$2:$H$5001))</f>
        <v/>
      </c>
      <c r="J2216" s="47" t="n">
        <f aca="false">IF($A2216="",0,IF(COUNTIF($A$2:A2216,$A2216)=1,1,0))</f>
        <v>0</v>
      </c>
      <c r="K2216" s="47" t="n">
        <f aca="false">IF(J2216=1,N(I2216)+ROW()/10000000,0)</f>
        <v>0</v>
      </c>
      <c r="L2216" s="47" t="str">
        <f aca="false">IF(AND(J2216=1,N(I2216)&gt;0),SUMIF($K$2:$K$5001,"&gt;="&amp;K2216,$I$2:$I$5001)/MAX(1,SUM($H$2:$H$5001)),"")</f>
        <v/>
      </c>
      <c r="M2216" s="47" t="str">
        <f aca="false">IF($A2216="","",INDEX($L$2:$L$5001,MATCH($A2216,$A$2:$A$5001,0)))</f>
        <v/>
      </c>
      <c r="N2216" s="48" t="str">
        <f aca="false">IF($A2216="","",IF(N(M2216)=0,"–",IF(M2216&lt;=Start!$D$20,"A",IF(M2216&lt;=Start!$D$21,"B","C"))))</f>
        <v/>
      </c>
      <c r="O2216" s="48" t="str">
        <f aca="false">IF($A2216="","",IF(NOT(ISNUMBER(F2216)),"Wert fehlt; ",IF(F2216&lt;=0,"Wert ist 0; ",""))&amp;IF(NOT(ISNUMBER(E2216)),"Bestand fehlt; ",IF(E2216&lt;0,"Bestand negativ; ",IF(E2216=0,"Nullbestand; ","")))&amp;IF(D2216="","Warengruppe fehlt; ","")&amp;IF(B2216="","Bezeichnung fehlt; ","")&amp;IF(COUNTIFS($A$2:$A$5001,$A2216,$C$2:$C$5001,C2216)&gt;1,"Artikel doppelt im selben Lager; ",""))</f>
        <v/>
      </c>
      <c r="P2216" s="47" t="n">
        <f aca="false">IF(OR($A2216="",D2216=""),0,IF(COUNTIF($D$2:D2216,D2216)=1,SUMIF($D$2:$D$5001,D2216,$H$2:$H$5001)+ROW()/10000000,0))</f>
        <v>0</v>
      </c>
      <c r="Q2216" s="47" t="n">
        <f aca="false">IF(OR($A2216="",C2216=""),0,IF(COUNTIF($C$2:C2216,C2216)=1,SUMIF($C$2:$C$5001,C2216,$H$2:$H$5001)+ROW()/10000000,0))</f>
        <v>0</v>
      </c>
    </row>
    <row r="2217" customFormat="false" ht="15" hidden="false" customHeight="false" outlineLevel="0" collapsed="false">
      <c r="A2217" s="43"/>
      <c r="B2217" s="44"/>
      <c r="C2217" s="44"/>
      <c r="D2217" s="44"/>
      <c r="E2217" s="44"/>
      <c r="F2217" s="44"/>
      <c r="G2217" s="44"/>
      <c r="H2217" s="46" t="str">
        <f aca="false">IF($A2217="","",IF(OR(NOT(ISNUMBER(E2217)),NOT(ISNUMBER(F2217))),"",MAX(0,E2217)*F2217))</f>
        <v/>
      </c>
      <c r="I2217" s="46" t="str">
        <f aca="false">IF($A2217="","",SUMIF($A$2:$A$5001,$A2217,$H$2:$H$5001))</f>
        <v/>
      </c>
      <c r="J2217" s="47" t="n">
        <f aca="false">IF($A2217="",0,IF(COUNTIF($A$2:A2217,$A2217)=1,1,0))</f>
        <v>0</v>
      </c>
      <c r="K2217" s="47" t="n">
        <f aca="false">IF(J2217=1,N(I2217)+ROW()/10000000,0)</f>
        <v>0</v>
      </c>
      <c r="L2217" s="47" t="str">
        <f aca="false">IF(AND(J2217=1,N(I2217)&gt;0),SUMIF($K$2:$K$5001,"&gt;="&amp;K2217,$I$2:$I$5001)/MAX(1,SUM($H$2:$H$5001)),"")</f>
        <v/>
      </c>
      <c r="M2217" s="47" t="str">
        <f aca="false">IF($A2217="","",INDEX($L$2:$L$5001,MATCH($A2217,$A$2:$A$5001,0)))</f>
        <v/>
      </c>
      <c r="N2217" s="48" t="str">
        <f aca="false">IF($A2217="","",IF(N(M2217)=0,"–",IF(M2217&lt;=Start!$D$20,"A",IF(M2217&lt;=Start!$D$21,"B","C"))))</f>
        <v/>
      </c>
      <c r="O2217" s="48" t="str">
        <f aca="false">IF($A2217="","",IF(NOT(ISNUMBER(F2217)),"Wert fehlt; ",IF(F2217&lt;=0,"Wert ist 0; ",""))&amp;IF(NOT(ISNUMBER(E2217)),"Bestand fehlt; ",IF(E2217&lt;0,"Bestand negativ; ",IF(E2217=0,"Nullbestand; ","")))&amp;IF(D2217="","Warengruppe fehlt; ","")&amp;IF(B2217="","Bezeichnung fehlt; ","")&amp;IF(COUNTIFS($A$2:$A$5001,$A2217,$C$2:$C$5001,C2217)&gt;1,"Artikel doppelt im selben Lager; ",""))</f>
        <v/>
      </c>
      <c r="P2217" s="47" t="n">
        <f aca="false">IF(OR($A2217="",D2217=""),0,IF(COUNTIF($D$2:D2217,D2217)=1,SUMIF($D$2:$D$5001,D2217,$H$2:$H$5001)+ROW()/10000000,0))</f>
        <v>0</v>
      </c>
      <c r="Q2217" s="47" t="n">
        <f aca="false">IF(OR($A2217="",C2217=""),0,IF(COUNTIF($C$2:C2217,C2217)=1,SUMIF($C$2:$C$5001,C2217,$H$2:$H$5001)+ROW()/10000000,0))</f>
        <v>0</v>
      </c>
    </row>
    <row r="2218" customFormat="false" ht="15" hidden="false" customHeight="false" outlineLevel="0" collapsed="false">
      <c r="A2218" s="43"/>
      <c r="B2218" s="44"/>
      <c r="C2218" s="44"/>
      <c r="D2218" s="44"/>
      <c r="E2218" s="44"/>
      <c r="F2218" s="44"/>
      <c r="G2218" s="44"/>
      <c r="H2218" s="46" t="str">
        <f aca="false">IF($A2218="","",IF(OR(NOT(ISNUMBER(E2218)),NOT(ISNUMBER(F2218))),"",MAX(0,E2218)*F2218))</f>
        <v/>
      </c>
      <c r="I2218" s="46" t="str">
        <f aca="false">IF($A2218="","",SUMIF($A$2:$A$5001,$A2218,$H$2:$H$5001))</f>
        <v/>
      </c>
      <c r="J2218" s="47" t="n">
        <f aca="false">IF($A2218="",0,IF(COUNTIF($A$2:A2218,$A2218)=1,1,0))</f>
        <v>0</v>
      </c>
      <c r="K2218" s="47" t="n">
        <f aca="false">IF(J2218=1,N(I2218)+ROW()/10000000,0)</f>
        <v>0</v>
      </c>
      <c r="L2218" s="47" t="str">
        <f aca="false">IF(AND(J2218=1,N(I2218)&gt;0),SUMIF($K$2:$K$5001,"&gt;="&amp;K2218,$I$2:$I$5001)/MAX(1,SUM($H$2:$H$5001)),"")</f>
        <v/>
      </c>
      <c r="M2218" s="47" t="str">
        <f aca="false">IF($A2218="","",INDEX($L$2:$L$5001,MATCH($A2218,$A$2:$A$5001,0)))</f>
        <v/>
      </c>
      <c r="N2218" s="48" t="str">
        <f aca="false">IF($A2218="","",IF(N(M2218)=0,"–",IF(M2218&lt;=Start!$D$20,"A",IF(M2218&lt;=Start!$D$21,"B","C"))))</f>
        <v/>
      </c>
      <c r="O2218" s="48" t="str">
        <f aca="false">IF($A2218="","",IF(NOT(ISNUMBER(F2218)),"Wert fehlt; ",IF(F2218&lt;=0,"Wert ist 0; ",""))&amp;IF(NOT(ISNUMBER(E2218)),"Bestand fehlt; ",IF(E2218&lt;0,"Bestand negativ; ",IF(E2218=0,"Nullbestand; ","")))&amp;IF(D2218="","Warengruppe fehlt; ","")&amp;IF(B2218="","Bezeichnung fehlt; ","")&amp;IF(COUNTIFS($A$2:$A$5001,$A2218,$C$2:$C$5001,C2218)&gt;1,"Artikel doppelt im selben Lager; ",""))</f>
        <v/>
      </c>
      <c r="P2218" s="47" t="n">
        <f aca="false">IF(OR($A2218="",D2218=""),0,IF(COUNTIF($D$2:D2218,D2218)=1,SUMIF($D$2:$D$5001,D2218,$H$2:$H$5001)+ROW()/10000000,0))</f>
        <v>0</v>
      </c>
      <c r="Q2218" s="47" t="n">
        <f aca="false">IF(OR($A2218="",C2218=""),0,IF(COUNTIF($C$2:C2218,C2218)=1,SUMIF($C$2:$C$5001,C2218,$H$2:$H$5001)+ROW()/10000000,0))</f>
        <v>0</v>
      </c>
    </row>
    <row r="2219" customFormat="false" ht="15" hidden="false" customHeight="false" outlineLevel="0" collapsed="false">
      <c r="A2219" s="43"/>
      <c r="B2219" s="44"/>
      <c r="C2219" s="44"/>
      <c r="D2219" s="44"/>
      <c r="E2219" s="44"/>
      <c r="F2219" s="44"/>
      <c r="G2219" s="44"/>
      <c r="H2219" s="46" t="str">
        <f aca="false">IF($A2219="","",IF(OR(NOT(ISNUMBER(E2219)),NOT(ISNUMBER(F2219))),"",MAX(0,E2219)*F2219))</f>
        <v/>
      </c>
      <c r="I2219" s="46" t="str">
        <f aca="false">IF($A2219="","",SUMIF($A$2:$A$5001,$A2219,$H$2:$H$5001))</f>
        <v/>
      </c>
      <c r="J2219" s="47" t="n">
        <f aca="false">IF($A2219="",0,IF(COUNTIF($A$2:A2219,$A2219)=1,1,0))</f>
        <v>0</v>
      </c>
      <c r="K2219" s="47" t="n">
        <f aca="false">IF(J2219=1,N(I2219)+ROW()/10000000,0)</f>
        <v>0</v>
      </c>
      <c r="L2219" s="47" t="str">
        <f aca="false">IF(AND(J2219=1,N(I2219)&gt;0),SUMIF($K$2:$K$5001,"&gt;="&amp;K2219,$I$2:$I$5001)/MAX(1,SUM($H$2:$H$5001)),"")</f>
        <v/>
      </c>
      <c r="M2219" s="47" t="str">
        <f aca="false">IF($A2219="","",INDEX($L$2:$L$5001,MATCH($A2219,$A$2:$A$5001,0)))</f>
        <v/>
      </c>
      <c r="N2219" s="48" t="str">
        <f aca="false">IF($A2219="","",IF(N(M2219)=0,"–",IF(M2219&lt;=Start!$D$20,"A",IF(M2219&lt;=Start!$D$21,"B","C"))))</f>
        <v/>
      </c>
      <c r="O2219" s="48" t="str">
        <f aca="false">IF($A2219="","",IF(NOT(ISNUMBER(F2219)),"Wert fehlt; ",IF(F2219&lt;=0,"Wert ist 0; ",""))&amp;IF(NOT(ISNUMBER(E2219)),"Bestand fehlt; ",IF(E2219&lt;0,"Bestand negativ; ",IF(E2219=0,"Nullbestand; ","")))&amp;IF(D2219="","Warengruppe fehlt; ","")&amp;IF(B2219="","Bezeichnung fehlt; ","")&amp;IF(COUNTIFS($A$2:$A$5001,$A2219,$C$2:$C$5001,C2219)&gt;1,"Artikel doppelt im selben Lager; ",""))</f>
        <v/>
      </c>
      <c r="P2219" s="47" t="n">
        <f aca="false">IF(OR($A2219="",D2219=""),0,IF(COUNTIF($D$2:D2219,D2219)=1,SUMIF($D$2:$D$5001,D2219,$H$2:$H$5001)+ROW()/10000000,0))</f>
        <v>0</v>
      </c>
      <c r="Q2219" s="47" t="n">
        <f aca="false">IF(OR($A2219="",C2219=""),0,IF(COUNTIF($C$2:C2219,C2219)=1,SUMIF($C$2:$C$5001,C2219,$H$2:$H$5001)+ROW()/10000000,0))</f>
        <v>0</v>
      </c>
    </row>
    <row r="2220" customFormat="false" ht="15" hidden="false" customHeight="false" outlineLevel="0" collapsed="false">
      <c r="A2220" s="43"/>
      <c r="B2220" s="44"/>
      <c r="C2220" s="44"/>
      <c r="D2220" s="44"/>
      <c r="E2220" s="44"/>
      <c r="F2220" s="44"/>
      <c r="G2220" s="44"/>
      <c r="H2220" s="46" t="str">
        <f aca="false">IF($A2220="","",IF(OR(NOT(ISNUMBER(E2220)),NOT(ISNUMBER(F2220))),"",MAX(0,E2220)*F2220))</f>
        <v/>
      </c>
      <c r="I2220" s="46" t="str">
        <f aca="false">IF($A2220="","",SUMIF($A$2:$A$5001,$A2220,$H$2:$H$5001))</f>
        <v/>
      </c>
      <c r="J2220" s="47" t="n">
        <f aca="false">IF($A2220="",0,IF(COUNTIF($A$2:A2220,$A2220)=1,1,0))</f>
        <v>0</v>
      </c>
      <c r="K2220" s="47" t="n">
        <f aca="false">IF(J2220=1,N(I2220)+ROW()/10000000,0)</f>
        <v>0</v>
      </c>
      <c r="L2220" s="47" t="str">
        <f aca="false">IF(AND(J2220=1,N(I2220)&gt;0),SUMIF($K$2:$K$5001,"&gt;="&amp;K2220,$I$2:$I$5001)/MAX(1,SUM($H$2:$H$5001)),"")</f>
        <v/>
      </c>
      <c r="M2220" s="47" t="str">
        <f aca="false">IF($A2220="","",INDEX($L$2:$L$5001,MATCH($A2220,$A$2:$A$5001,0)))</f>
        <v/>
      </c>
      <c r="N2220" s="48" t="str">
        <f aca="false">IF($A2220="","",IF(N(M2220)=0,"–",IF(M2220&lt;=Start!$D$20,"A",IF(M2220&lt;=Start!$D$21,"B","C"))))</f>
        <v/>
      </c>
      <c r="O2220" s="48" t="str">
        <f aca="false">IF($A2220="","",IF(NOT(ISNUMBER(F2220)),"Wert fehlt; ",IF(F2220&lt;=0,"Wert ist 0; ",""))&amp;IF(NOT(ISNUMBER(E2220)),"Bestand fehlt; ",IF(E2220&lt;0,"Bestand negativ; ",IF(E2220=0,"Nullbestand; ","")))&amp;IF(D2220="","Warengruppe fehlt; ","")&amp;IF(B2220="","Bezeichnung fehlt; ","")&amp;IF(COUNTIFS($A$2:$A$5001,$A2220,$C$2:$C$5001,C2220)&gt;1,"Artikel doppelt im selben Lager; ",""))</f>
        <v/>
      </c>
      <c r="P2220" s="47" t="n">
        <f aca="false">IF(OR($A2220="",D2220=""),0,IF(COUNTIF($D$2:D2220,D2220)=1,SUMIF($D$2:$D$5001,D2220,$H$2:$H$5001)+ROW()/10000000,0))</f>
        <v>0</v>
      </c>
      <c r="Q2220" s="47" t="n">
        <f aca="false">IF(OR($A2220="",C2220=""),0,IF(COUNTIF($C$2:C2220,C2220)=1,SUMIF($C$2:$C$5001,C2220,$H$2:$H$5001)+ROW()/10000000,0))</f>
        <v>0</v>
      </c>
    </row>
    <row r="2221" customFormat="false" ht="15" hidden="false" customHeight="false" outlineLevel="0" collapsed="false">
      <c r="A2221" s="43"/>
      <c r="B2221" s="44"/>
      <c r="C2221" s="44"/>
      <c r="D2221" s="44"/>
      <c r="E2221" s="44"/>
      <c r="F2221" s="44"/>
      <c r="G2221" s="44"/>
      <c r="H2221" s="46" t="str">
        <f aca="false">IF($A2221="","",IF(OR(NOT(ISNUMBER(E2221)),NOT(ISNUMBER(F2221))),"",MAX(0,E2221)*F2221))</f>
        <v/>
      </c>
      <c r="I2221" s="46" t="str">
        <f aca="false">IF($A2221="","",SUMIF($A$2:$A$5001,$A2221,$H$2:$H$5001))</f>
        <v/>
      </c>
      <c r="J2221" s="47" t="n">
        <f aca="false">IF($A2221="",0,IF(COUNTIF($A$2:A2221,$A2221)=1,1,0))</f>
        <v>0</v>
      </c>
      <c r="K2221" s="47" t="n">
        <f aca="false">IF(J2221=1,N(I2221)+ROW()/10000000,0)</f>
        <v>0</v>
      </c>
      <c r="L2221" s="47" t="str">
        <f aca="false">IF(AND(J2221=1,N(I2221)&gt;0),SUMIF($K$2:$K$5001,"&gt;="&amp;K2221,$I$2:$I$5001)/MAX(1,SUM($H$2:$H$5001)),"")</f>
        <v/>
      </c>
      <c r="M2221" s="47" t="str">
        <f aca="false">IF($A2221="","",INDEX($L$2:$L$5001,MATCH($A2221,$A$2:$A$5001,0)))</f>
        <v/>
      </c>
      <c r="N2221" s="48" t="str">
        <f aca="false">IF($A2221="","",IF(N(M2221)=0,"–",IF(M2221&lt;=Start!$D$20,"A",IF(M2221&lt;=Start!$D$21,"B","C"))))</f>
        <v/>
      </c>
      <c r="O2221" s="48" t="str">
        <f aca="false">IF($A2221="","",IF(NOT(ISNUMBER(F2221)),"Wert fehlt; ",IF(F2221&lt;=0,"Wert ist 0; ",""))&amp;IF(NOT(ISNUMBER(E2221)),"Bestand fehlt; ",IF(E2221&lt;0,"Bestand negativ; ",IF(E2221=0,"Nullbestand; ","")))&amp;IF(D2221="","Warengruppe fehlt; ","")&amp;IF(B2221="","Bezeichnung fehlt; ","")&amp;IF(COUNTIFS($A$2:$A$5001,$A2221,$C$2:$C$5001,C2221)&gt;1,"Artikel doppelt im selben Lager; ",""))</f>
        <v/>
      </c>
      <c r="P2221" s="47" t="n">
        <f aca="false">IF(OR($A2221="",D2221=""),0,IF(COUNTIF($D$2:D2221,D2221)=1,SUMIF($D$2:$D$5001,D2221,$H$2:$H$5001)+ROW()/10000000,0))</f>
        <v>0</v>
      </c>
      <c r="Q2221" s="47" t="n">
        <f aca="false">IF(OR($A2221="",C2221=""),0,IF(COUNTIF($C$2:C2221,C2221)=1,SUMIF($C$2:$C$5001,C2221,$H$2:$H$5001)+ROW()/10000000,0))</f>
        <v>0</v>
      </c>
    </row>
    <row r="2222" customFormat="false" ht="15" hidden="false" customHeight="false" outlineLevel="0" collapsed="false">
      <c r="A2222" s="43"/>
      <c r="B2222" s="44"/>
      <c r="C2222" s="44"/>
      <c r="D2222" s="44"/>
      <c r="E2222" s="44"/>
      <c r="F2222" s="44"/>
      <c r="G2222" s="44"/>
      <c r="H2222" s="46" t="str">
        <f aca="false">IF($A2222="","",IF(OR(NOT(ISNUMBER(E2222)),NOT(ISNUMBER(F2222))),"",MAX(0,E2222)*F2222))</f>
        <v/>
      </c>
      <c r="I2222" s="46" t="str">
        <f aca="false">IF($A2222="","",SUMIF($A$2:$A$5001,$A2222,$H$2:$H$5001))</f>
        <v/>
      </c>
      <c r="J2222" s="47" t="n">
        <f aca="false">IF($A2222="",0,IF(COUNTIF($A$2:A2222,$A2222)=1,1,0))</f>
        <v>0</v>
      </c>
      <c r="K2222" s="47" t="n">
        <f aca="false">IF(J2222=1,N(I2222)+ROW()/10000000,0)</f>
        <v>0</v>
      </c>
      <c r="L2222" s="47" t="str">
        <f aca="false">IF(AND(J2222=1,N(I2222)&gt;0),SUMIF($K$2:$K$5001,"&gt;="&amp;K2222,$I$2:$I$5001)/MAX(1,SUM($H$2:$H$5001)),"")</f>
        <v/>
      </c>
      <c r="M2222" s="47" t="str">
        <f aca="false">IF($A2222="","",INDEX($L$2:$L$5001,MATCH($A2222,$A$2:$A$5001,0)))</f>
        <v/>
      </c>
      <c r="N2222" s="48" t="str">
        <f aca="false">IF($A2222="","",IF(N(M2222)=0,"–",IF(M2222&lt;=Start!$D$20,"A",IF(M2222&lt;=Start!$D$21,"B","C"))))</f>
        <v/>
      </c>
      <c r="O2222" s="48" t="str">
        <f aca="false">IF($A2222="","",IF(NOT(ISNUMBER(F2222)),"Wert fehlt; ",IF(F2222&lt;=0,"Wert ist 0; ",""))&amp;IF(NOT(ISNUMBER(E2222)),"Bestand fehlt; ",IF(E2222&lt;0,"Bestand negativ; ",IF(E2222=0,"Nullbestand; ","")))&amp;IF(D2222="","Warengruppe fehlt; ","")&amp;IF(B2222="","Bezeichnung fehlt; ","")&amp;IF(COUNTIFS($A$2:$A$5001,$A2222,$C$2:$C$5001,C2222)&gt;1,"Artikel doppelt im selben Lager; ",""))</f>
        <v/>
      </c>
      <c r="P2222" s="47" t="n">
        <f aca="false">IF(OR($A2222="",D2222=""),0,IF(COUNTIF($D$2:D2222,D2222)=1,SUMIF($D$2:$D$5001,D2222,$H$2:$H$5001)+ROW()/10000000,0))</f>
        <v>0</v>
      </c>
      <c r="Q2222" s="47" t="n">
        <f aca="false">IF(OR($A2222="",C2222=""),0,IF(COUNTIF($C$2:C2222,C2222)=1,SUMIF($C$2:$C$5001,C2222,$H$2:$H$5001)+ROW()/10000000,0))</f>
        <v>0</v>
      </c>
    </row>
    <row r="2223" customFormat="false" ht="15" hidden="false" customHeight="false" outlineLevel="0" collapsed="false">
      <c r="A2223" s="43"/>
      <c r="B2223" s="44"/>
      <c r="C2223" s="44"/>
      <c r="D2223" s="44"/>
      <c r="E2223" s="44"/>
      <c r="F2223" s="44"/>
      <c r="G2223" s="44"/>
      <c r="H2223" s="46" t="str">
        <f aca="false">IF($A2223="","",IF(OR(NOT(ISNUMBER(E2223)),NOT(ISNUMBER(F2223))),"",MAX(0,E2223)*F2223))</f>
        <v/>
      </c>
      <c r="I2223" s="46" t="str">
        <f aca="false">IF($A2223="","",SUMIF($A$2:$A$5001,$A2223,$H$2:$H$5001))</f>
        <v/>
      </c>
      <c r="J2223" s="47" t="n">
        <f aca="false">IF($A2223="",0,IF(COUNTIF($A$2:A2223,$A2223)=1,1,0))</f>
        <v>0</v>
      </c>
      <c r="K2223" s="47" t="n">
        <f aca="false">IF(J2223=1,N(I2223)+ROW()/10000000,0)</f>
        <v>0</v>
      </c>
      <c r="L2223" s="47" t="str">
        <f aca="false">IF(AND(J2223=1,N(I2223)&gt;0),SUMIF($K$2:$K$5001,"&gt;="&amp;K2223,$I$2:$I$5001)/MAX(1,SUM($H$2:$H$5001)),"")</f>
        <v/>
      </c>
      <c r="M2223" s="47" t="str">
        <f aca="false">IF($A2223="","",INDEX($L$2:$L$5001,MATCH($A2223,$A$2:$A$5001,0)))</f>
        <v/>
      </c>
      <c r="N2223" s="48" t="str">
        <f aca="false">IF($A2223="","",IF(N(M2223)=0,"–",IF(M2223&lt;=Start!$D$20,"A",IF(M2223&lt;=Start!$D$21,"B","C"))))</f>
        <v/>
      </c>
      <c r="O2223" s="48" t="str">
        <f aca="false">IF($A2223="","",IF(NOT(ISNUMBER(F2223)),"Wert fehlt; ",IF(F2223&lt;=0,"Wert ist 0; ",""))&amp;IF(NOT(ISNUMBER(E2223)),"Bestand fehlt; ",IF(E2223&lt;0,"Bestand negativ; ",IF(E2223=0,"Nullbestand; ","")))&amp;IF(D2223="","Warengruppe fehlt; ","")&amp;IF(B2223="","Bezeichnung fehlt; ","")&amp;IF(COUNTIFS($A$2:$A$5001,$A2223,$C$2:$C$5001,C2223)&gt;1,"Artikel doppelt im selben Lager; ",""))</f>
        <v/>
      </c>
      <c r="P2223" s="47" t="n">
        <f aca="false">IF(OR($A2223="",D2223=""),0,IF(COUNTIF($D$2:D2223,D2223)=1,SUMIF($D$2:$D$5001,D2223,$H$2:$H$5001)+ROW()/10000000,0))</f>
        <v>0</v>
      </c>
      <c r="Q2223" s="47" t="n">
        <f aca="false">IF(OR($A2223="",C2223=""),0,IF(COUNTIF($C$2:C2223,C2223)=1,SUMIF($C$2:$C$5001,C2223,$H$2:$H$5001)+ROW()/10000000,0))</f>
        <v>0</v>
      </c>
    </row>
    <row r="2224" customFormat="false" ht="15" hidden="false" customHeight="false" outlineLevel="0" collapsed="false">
      <c r="A2224" s="43"/>
      <c r="B2224" s="44"/>
      <c r="C2224" s="44"/>
      <c r="D2224" s="44"/>
      <c r="E2224" s="44"/>
      <c r="F2224" s="44"/>
      <c r="G2224" s="44"/>
      <c r="H2224" s="46" t="str">
        <f aca="false">IF($A2224="","",IF(OR(NOT(ISNUMBER(E2224)),NOT(ISNUMBER(F2224))),"",MAX(0,E2224)*F2224))</f>
        <v/>
      </c>
      <c r="I2224" s="46" t="str">
        <f aca="false">IF($A2224="","",SUMIF($A$2:$A$5001,$A2224,$H$2:$H$5001))</f>
        <v/>
      </c>
      <c r="J2224" s="47" t="n">
        <f aca="false">IF($A2224="",0,IF(COUNTIF($A$2:A2224,$A2224)=1,1,0))</f>
        <v>0</v>
      </c>
      <c r="K2224" s="47" t="n">
        <f aca="false">IF(J2224=1,N(I2224)+ROW()/10000000,0)</f>
        <v>0</v>
      </c>
      <c r="L2224" s="47" t="str">
        <f aca="false">IF(AND(J2224=1,N(I2224)&gt;0),SUMIF($K$2:$K$5001,"&gt;="&amp;K2224,$I$2:$I$5001)/MAX(1,SUM($H$2:$H$5001)),"")</f>
        <v/>
      </c>
      <c r="M2224" s="47" t="str">
        <f aca="false">IF($A2224="","",INDEX($L$2:$L$5001,MATCH($A2224,$A$2:$A$5001,0)))</f>
        <v/>
      </c>
      <c r="N2224" s="48" t="str">
        <f aca="false">IF($A2224="","",IF(N(M2224)=0,"–",IF(M2224&lt;=Start!$D$20,"A",IF(M2224&lt;=Start!$D$21,"B","C"))))</f>
        <v/>
      </c>
      <c r="O2224" s="48" t="str">
        <f aca="false">IF($A2224="","",IF(NOT(ISNUMBER(F2224)),"Wert fehlt; ",IF(F2224&lt;=0,"Wert ist 0; ",""))&amp;IF(NOT(ISNUMBER(E2224)),"Bestand fehlt; ",IF(E2224&lt;0,"Bestand negativ; ",IF(E2224=0,"Nullbestand; ","")))&amp;IF(D2224="","Warengruppe fehlt; ","")&amp;IF(B2224="","Bezeichnung fehlt; ","")&amp;IF(COUNTIFS($A$2:$A$5001,$A2224,$C$2:$C$5001,C2224)&gt;1,"Artikel doppelt im selben Lager; ",""))</f>
        <v/>
      </c>
      <c r="P2224" s="47" t="n">
        <f aca="false">IF(OR($A2224="",D2224=""),0,IF(COUNTIF($D$2:D2224,D2224)=1,SUMIF($D$2:$D$5001,D2224,$H$2:$H$5001)+ROW()/10000000,0))</f>
        <v>0</v>
      </c>
      <c r="Q2224" s="47" t="n">
        <f aca="false">IF(OR($A2224="",C2224=""),0,IF(COUNTIF($C$2:C2224,C2224)=1,SUMIF($C$2:$C$5001,C2224,$H$2:$H$5001)+ROW()/10000000,0))</f>
        <v>0</v>
      </c>
    </row>
    <row r="2225" customFormat="false" ht="15" hidden="false" customHeight="false" outlineLevel="0" collapsed="false">
      <c r="A2225" s="43"/>
      <c r="B2225" s="44"/>
      <c r="C2225" s="44"/>
      <c r="D2225" s="44"/>
      <c r="E2225" s="44"/>
      <c r="F2225" s="44"/>
      <c r="G2225" s="44"/>
      <c r="H2225" s="46" t="str">
        <f aca="false">IF($A2225="","",IF(OR(NOT(ISNUMBER(E2225)),NOT(ISNUMBER(F2225))),"",MAX(0,E2225)*F2225))</f>
        <v/>
      </c>
      <c r="I2225" s="46" t="str">
        <f aca="false">IF($A2225="","",SUMIF($A$2:$A$5001,$A2225,$H$2:$H$5001))</f>
        <v/>
      </c>
      <c r="J2225" s="47" t="n">
        <f aca="false">IF($A2225="",0,IF(COUNTIF($A$2:A2225,$A2225)=1,1,0))</f>
        <v>0</v>
      </c>
      <c r="K2225" s="47" t="n">
        <f aca="false">IF(J2225=1,N(I2225)+ROW()/10000000,0)</f>
        <v>0</v>
      </c>
      <c r="L2225" s="47" t="str">
        <f aca="false">IF(AND(J2225=1,N(I2225)&gt;0),SUMIF($K$2:$K$5001,"&gt;="&amp;K2225,$I$2:$I$5001)/MAX(1,SUM($H$2:$H$5001)),"")</f>
        <v/>
      </c>
      <c r="M2225" s="47" t="str">
        <f aca="false">IF($A2225="","",INDEX($L$2:$L$5001,MATCH($A2225,$A$2:$A$5001,0)))</f>
        <v/>
      </c>
      <c r="N2225" s="48" t="str">
        <f aca="false">IF($A2225="","",IF(N(M2225)=0,"–",IF(M2225&lt;=Start!$D$20,"A",IF(M2225&lt;=Start!$D$21,"B","C"))))</f>
        <v/>
      </c>
      <c r="O2225" s="48" t="str">
        <f aca="false">IF($A2225="","",IF(NOT(ISNUMBER(F2225)),"Wert fehlt; ",IF(F2225&lt;=0,"Wert ist 0; ",""))&amp;IF(NOT(ISNUMBER(E2225)),"Bestand fehlt; ",IF(E2225&lt;0,"Bestand negativ; ",IF(E2225=0,"Nullbestand; ","")))&amp;IF(D2225="","Warengruppe fehlt; ","")&amp;IF(B2225="","Bezeichnung fehlt; ","")&amp;IF(COUNTIFS($A$2:$A$5001,$A2225,$C$2:$C$5001,C2225)&gt;1,"Artikel doppelt im selben Lager; ",""))</f>
        <v/>
      </c>
      <c r="P2225" s="47" t="n">
        <f aca="false">IF(OR($A2225="",D2225=""),0,IF(COUNTIF($D$2:D2225,D2225)=1,SUMIF($D$2:$D$5001,D2225,$H$2:$H$5001)+ROW()/10000000,0))</f>
        <v>0</v>
      </c>
      <c r="Q2225" s="47" t="n">
        <f aca="false">IF(OR($A2225="",C2225=""),0,IF(COUNTIF($C$2:C2225,C2225)=1,SUMIF($C$2:$C$5001,C2225,$H$2:$H$5001)+ROW()/10000000,0))</f>
        <v>0</v>
      </c>
    </row>
    <row r="2226" customFormat="false" ht="15" hidden="false" customHeight="false" outlineLevel="0" collapsed="false">
      <c r="A2226" s="43"/>
      <c r="B2226" s="44"/>
      <c r="C2226" s="44"/>
      <c r="D2226" s="44"/>
      <c r="E2226" s="44"/>
      <c r="F2226" s="44"/>
      <c r="G2226" s="44"/>
      <c r="H2226" s="46" t="str">
        <f aca="false">IF($A2226="","",IF(OR(NOT(ISNUMBER(E2226)),NOT(ISNUMBER(F2226))),"",MAX(0,E2226)*F2226))</f>
        <v/>
      </c>
      <c r="I2226" s="46" t="str">
        <f aca="false">IF($A2226="","",SUMIF($A$2:$A$5001,$A2226,$H$2:$H$5001))</f>
        <v/>
      </c>
      <c r="J2226" s="47" t="n">
        <f aca="false">IF($A2226="",0,IF(COUNTIF($A$2:A2226,$A2226)=1,1,0))</f>
        <v>0</v>
      </c>
      <c r="K2226" s="47" t="n">
        <f aca="false">IF(J2226=1,N(I2226)+ROW()/10000000,0)</f>
        <v>0</v>
      </c>
      <c r="L2226" s="47" t="str">
        <f aca="false">IF(AND(J2226=1,N(I2226)&gt;0),SUMIF($K$2:$K$5001,"&gt;="&amp;K2226,$I$2:$I$5001)/MAX(1,SUM($H$2:$H$5001)),"")</f>
        <v/>
      </c>
      <c r="M2226" s="47" t="str">
        <f aca="false">IF($A2226="","",INDEX($L$2:$L$5001,MATCH($A2226,$A$2:$A$5001,0)))</f>
        <v/>
      </c>
      <c r="N2226" s="48" t="str">
        <f aca="false">IF($A2226="","",IF(N(M2226)=0,"–",IF(M2226&lt;=Start!$D$20,"A",IF(M2226&lt;=Start!$D$21,"B","C"))))</f>
        <v/>
      </c>
      <c r="O2226" s="48" t="str">
        <f aca="false">IF($A2226="","",IF(NOT(ISNUMBER(F2226)),"Wert fehlt; ",IF(F2226&lt;=0,"Wert ist 0; ",""))&amp;IF(NOT(ISNUMBER(E2226)),"Bestand fehlt; ",IF(E2226&lt;0,"Bestand negativ; ",IF(E2226=0,"Nullbestand; ","")))&amp;IF(D2226="","Warengruppe fehlt; ","")&amp;IF(B2226="","Bezeichnung fehlt; ","")&amp;IF(COUNTIFS($A$2:$A$5001,$A2226,$C$2:$C$5001,C2226)&gt;1,"Artikel doppelt im selben Lager; ",""))</f>
        <v/>
      </c>
      <c r="P2226" s="47" t="n">
        <f aca="false">IF(OR($A2226="",D2226=""),0,IF(COUNTIF($D$2:D2226,D2226)=1,SUMIF($D$2:$D$5001,D2226,$H$2:$H$5001)+ROW()/10000000,0))</f>
        <v>0</v>
      </c>
      <c r="Q2226" s="47" t="n">
        <f aca="false">IF(OR($A2226="",C2226=""),0,IF(COUNTIF($C$2:C2226,C2226)=1,SUMIF($C$2:$C$5001,C2226,$H$2:$H$5001)+ROW()/10000000,0))</f>
        <v>0</v>
      </c>
    </row>
    <row r="2227" customFormat="false" ht="15" hidden="false" customHeight="false" outlineLevel="0" collapsed="false">
      <c r="A2227" s="43"/>
      <c r="B2227" s="44"/>
      <c r="C2227" s="44"/>
      <c r="D2227" s="44"/>
      <c r="E2227" s="44"/>
      <c r="F2227" s="44"/>
      <c r="G2227" s="44"/>
      <c r="H2227" s="46" t="str">
        <f aca="false">IF($A2227="","",IF(OR(NOT(ISNUMBER(E2227)),NOT(ISNUMBER(F2227))),"",MAX(0,E2227)*F2227))</f>
        <v/>
      </c>
      <c r="I2227" s="46" t="str">
        <f aca="false">IF($A2227="","",SUMIF($A$2:$A$5001,$A2227,$H$2:$H$5001))</f>
        <v/>
      </c>
      <c r="J2227" s="47" t="n">
        <f aca="false">IF($A2227="",0,IF(COUNTIF($A$2:A2227,$A2227)=1,1,0))</f>
        <v>0</v>
      </c>
      <c r="K2227" s="47" t="n">
        <f aca="false">IF(J2227=1,N(I2227)+ROW()/10000000,0)</f>
        <v>0</v>
      </c>
      <c r="L2227" s="47" t="str">
        <f aca="false">IF(AND(J2227=1,N(I2227)&gt;0),SUMIF($K$2:$K$5001,"&gt;="&amp;K2227,$I$2:$I$5001)/MAX(1,SUM($H$2:$H$5001)),"")</f>
        <v/>
      </c>
      <c r="M2227" s="47" t="str">
        <f aca="false">IF($A2227="","",INDEX($L$2:$L$5001,MATCH($A2227,$A$2:$A$5001,0)))</f>
        <v/>
      </c>
      <c r="N2227" s="48" t="str">
        <f aca="false">IF($A2227="","",IF(N(M2227)=0,"–",IF(M2227&lt;=Start!$D$20,"A",IF(M2227&lt;=Start!$D$21,"B","C"))))</f>
        <v/>
      </c>
      <c r="O2227" s="48" t="str">
        <f aca="false">IF($A2227="","",IF(NOT(ISNUMBER(F2227)),"Wert fehlt; ",IF(F2227&lt;=0,"Wert ist 0; ",""))&amp;IF(NOT(ISNUMBER(E2227)),"Bestand fehlt; ",IF(E2227&lt;0,"Bestand negativ; ",IF(E2227=0,"Nullbestand; ","")))&amp;IF(D2227="","Warengruppe fehlt; ","")&amp;IF(B2227="","Bezeichnung fehlt; ","")&amp;IF(COUNTIFS($A$2:$A$5001,$A2227,$C$2:$C$5001,C2227)&gt;1,"Artikel doppelt im selben Lager; ",""))</f>
        <v/>
      </c>
      <c r="P2227" s="47" t="n">
        <f aca="false">IF(OR($A2227="",D2227=""),0,IF(COUNTIF($D$2:D2227,D2227)=1,SUMIF($D$2:$D$5001,D2227,$H$2:$H$5001)+ROW()/10000000,0))</f>
        <v>0</v>
      </c>
      <c r="Q2227" s="47" t="n">
        <f aca="false">IF(OR($A2227="",C2227=""),0,IF(COUNTIF($C$2:C2227,C2227)=1,SUMIF($C$2:$C$5001,C2227,$H$2:$H$5001)+ROW()/10000000,0))</f>
        <v>0</v>
      </c>
    </row>
    <row r="2228" customFormat="false" ht="15" hidden="false" customHeight="false" outlineLevel="0" collapsed="false">
      <c r="A2228" s="43"/>
      <c r="B2228" s="44"/>
      <c r="C2228" s="44"/>
      <c r="D2228" s="44"/>
      <c r="E2228" s="44"/>
      <c r="F2228" s="44"/>
      <c r="G2228" s="44"/>
      <c r="H2228" s="46" t="str">
        <f aca="false">IF($A2228="","",IF(OR(NOT(ISNUMBER(E2228)),NOT(ISNUMBER(F2228))),"",MAX(0,E2228)*F2228))</f>
        <v/>
      </c>
      <c r="I2228" s="46" t="str">
        <f aca="false">IF($A2228="","",SUMIF($A$2:$A$5001,$A2228,$H$2:$H$5001))</f>
        <v/>
      </c>
      <c r="J2228" s="47" t="n">
        <f aca="false">IF($A2228="",0,IF(COUNTIF($A$2:A2228,$A2228)=1,1,0))</f>
        <v>0</v>
      </c>
      <c r="K2228" s="47" t="n">
        <f aca="false">IF(J2228=1,N(I2228)+ROW()/10000000,0)</f>
        <v>0</v>
      </c>
      <c r="L2228" s="47" t="str">
        <f aca="false">IF(AND(J2228=1,N(I2228)&gt;0),SUMIF($K$2:$K$5001,"&gt;="&amp;K2228,$I$2:$I$5001)/MAX(1,SUM($H$2:$H$5001)),"")</f>
        <v/>
      </c>
      <c r="M2228" s="47" t="str">
        <f aca="false">IF($A2228="","",INDEX($L$2:$L$5001,MATCH($A2228,$A$2:$A$5001,0)))</f>
        <v/>
      </c>
      <c r="N2228" s="48" t="str">
        <f aca="false">IF($A2228="","",IF(N(M2228)=0,"–",IF(M2228&lt;=Start!$D$20,"A",IF(M2228&lt;=Start!$D$21,"B","C"))))</f>
        <v/>
      </c>
      <c r="O2228" s="48" t="str">
        <f aca="false">IF($A2228="","",IF(NOT(ISNUMBER(F2228)),"Wert fehlt; ",IF(F2228&lt;=0,"Wert ist 0; ",""))&amp;IF(NOT(ISNUMBER(E2228)),"Bestand fehlt; ",IF(E2228&lt;0,"Bestand negativ; ",IF(E2228=0,"Nullbestand; ","")))&amp;IF(D2228="","Warengruppe fehlt; ","")&amp;IF(B2228="","Bezeichnung fehlt; ","")&amp;IF(COUNTIFS($A$2:$A$5001,$A2228,$C$2:$C$5001,C2228)&gt;1,"Artikel doppelt im selben Lager; ",""))</f>
        <v/>
      </c>
      <c r="P2228" s="47" t="n">
        <f aca="false">IF(OR($A2228="",D2228=""),0,IF(COUNTIF($D$2:D2228,D2228)=1,SUMIF($D$2:$D$5001,D2228,$H$2:$H$5001)+ROW()/10000000,0))</f>
        <v>0</v>
      </c>
      <c r="Q2228" s="47" t="n">
        <f aca="false">IF(OR($A2228="",C2228=""),0,IF(COUNTIF($C$2:C2228,C2228)=1,SUMIF($C$2:$C$5001,C2228,$H$2:$H$5001)+ROW()/10000000,0))</f>
        <v>0</v>
      </c>
    </row>
    <row r="2229" customFormat="false" ht="15" hidden="false" customHeight="false" outlineLevel="0" collapsed="false">
      <c r="A2229" s="43"/>
      <c r="B2229" s="44"/>
      <c r="C2229" s="44"/>
      <c r="D2229" s="44"/>
      <c r="E2229" s="44"/>
      <c r="F2229" s="44"/>
      <c r="G2229" s="44"/>
      <c r="H2229" s="46" t="str">
        <f aca="false">IF($A2229="","",IF(OR(NOT(ISNUMBER(E2229)),NOT(ISNUMBER(F2229))),"",MAX(0,E2229)*F2229))</f>
        <v/>
      </c>
      <c r="I2229" s="46" t="str">
        <f aca="false">IF($A2229="","",SUMIF($A$2:$A$5001,$A2229,$H$2:$H$5001))</f>
        <v/>
      </c>
      <c r="J2229" s="47" t="n">
        <f aca="false">IF($A2229="",0,IF(COUNTIF($A$2:A2229,$A2229)=1,1,0))</f>
        <v>0</v>
      </c>
      <c r="K2229" s="47" t="n">
        <f aca="false">IF(J2229=1,N(I2229)+ROW()/10000000,0)</f>
        <v>0</v>
      </c>
      <c r="L2229" s="47" t="str">
        <f aca="false">IF(AND(J2229=1,N(I2229)&gt;0),SUMIF($K$2:$K$5001,"&gt;="&amp;K2229,$I$2:$I$5001)/MAX(1,SUM($H$2:$H$5001)),"")</f>
        <v/>
      </c>
      <c r="M2229" s="47" t="str">
        <f aca="false">IF($A2229="","",INDEX($L$2:$L$5001,MATCH($A2229,$A$2:$A$5001,0)))</f>
        <v/>
      </c>
      <c r="N2229" s="48" t="str">
        <f aca="false">IF($A2229="","",IF(N(M2229)=0,"–",IF(M2229&lt;=Start!$D$20,"A",IF(M2229&lt;=Start!$D$21,"B","C"))))</f>
        <v/>
      </c>
      <c r="O2229" s="48" t="str">
        <f aca="false">IF($A2229="","",IF(NOT(ISNUMBER(F2229)),"Wert fehlt; ",IF(F2229&lt;=0,"Wert ist 0; ",""))&amp;IF(NOT(ISNUMBER(E2229)),"Bestand fehlt; ",IF(E2229&lt;0,"Bestand negativ; ",IF(E2229=0,"Nullbestand; ","")))&amp;IF(D2229="","Warengruppe fehlt; ","")&amp;IF(B2229="","Bezeichnung fehlt; ","")&amp;IF(COUNTIFS($A$2:$A$5001,$A2229,$C$2:$C$5001,C2229)&gt;1,"Artikel doppelt im selben Lager; ",""))</f>
        <v/>
      </c>
      <c r="P2229" s="47" t="n">
        <f aca="false">IF(OR($A2229="",D2229=""),0,IF(COUNTIF($D$2:D2229,D2229)=1,SUMIF($D$2:$D$5001,D2229,$H$2:$H$5001)+ROW()/10000000,0))</f>
        <v>0</v>
      </c>
      <c r="Q2229" s="47" t="n">
        <f aca="false">IF(OR($A2229="",C2229=""),0,IF(COUNTIF($C$2:C2229,C2229)=1,SUMIF($C$2:$C$5001,C2229,$H$2:$H$5001)+ROW()/10000000,0))</f>
        <v>0</v>
      </c>
    </row>
    <row r="2230" customFormat="false" ht="15" hidden="false" customHeight="false" outlineLevel="0" collapsed="false">
      <c r="A2230" s="43"/>
      <c r="B2230" s="44"/>
      <c r="C2230" s="44"/>
      <c r="D2230" s="44"/>
      <c r="E2230" s="44"/>
      <c r="F2230" s="44"/>
      <c r="G2230" s="44"/>
      <c r="H2230" s="46" t="str">
        <f aca="false">IF($A2230="","",IF(OR(NOT(ISNUMBER(E2230)),NOT(ISNUMBER(F2230))),"",MAX(0,E2230)*F2230))</f>
        <v/>
      </c>
      <c r="I2230" s="46" t="str">
        <f aca="false">IF($A2230="","",SUMIF($A$2:$A$5001,$A2230,$H$2:$H$5001))</f>
        <v/>
      </c>
      <c r="J2230" s="47" t="n">
        <f aca="false">IF($A2230="",0,IF(COUNTIF($A$2:A2230,$A2230)=1,1,0))</f>
        <v>0</v>
      </c>
      <c r="K2230" s="47" t="n">
        <f aca="false">IF(J2230=1,N(I2230)+ROW()/10000000,0)</f>
        <v>0</v>
      </c>
      <c r="L2230" s="47" t="str">
        <f aca="false">IF(AND(J2230=1,N(I2230)&gt;0),SUMIF($K$2:$K$5001,"&gt;="&amp;K2230,$I$2:$I$5001)/MAX(1,SUM($H$2:$H$5001)),"")</f>
        <v/>
      </c>
      <c r="M2230" s="47" t="str">
        <f aca="false">IF($A2230="","",INDEX($L$2:$L$5001,MATCH($A2230,$A$2:$A$5001,0)))</f>
        <v/>
      </c>
      <c r="N2230" s="48" t="str">
        <f aca="false">IF($A2230="","",IF(N(M2230)=0,"–",IF(M2230&lt;=Start!$D$20,"A",IF(M2230&lt;=Start!$D$21,"B","C"))))</f>
        <v/>
      </c>
      <c r="O2230" s="48" t="str">
        <f aca="false">IF($A2230="","",IF(NOT(ISNUMBER(F2230)),"Wert fehlt; ",IF(F2230&lt;=0,"Wert ist 0; ",""))&amp;IF(NOT(ISNUMBER(E2230)),"Bestand fehlt; ",IF(E2230&lt;0,"Bestand negativ; ",IF(E2230=0,"Nullbestand; ","")))&amp;IF(D2230="","Warengruppe fehlt; ","")&amp;IF(B2230="","Bezeichnung fehlt; ","")&amp;IF(COUNTIFS($A$2:$A$5001,$A2230,$C$2:$C$5001,C2230)&gt;1,"Artikel doppelt im selben Lager; ",""))</f>
        <v/>
      </c>
      <c r="P2230" s="47" t="n">
        <f aca="false">IF(OR($A2230="",D2230=""),0,IF(COUNTIF($D$2:D2230,D2230)=1,SUMIF($D$2:$D$5001,D2230,$H$2:$H$5001)+ROW()/10000000,0))</f>
        <v>0</v>
      </c>
      <c r="Q2230" s="47" t="n">
        <f aca="false">IF(OR($A2230="",C2230=""),0,IF(COUNTIF($C$2:C2230,C2230)=1,SUMIF($C$2:$C$5001,C2230,$H$2:$H$5001)+ROW()/10000000,0))</f>
        <v>0</v>
      </c>
    </row>
    <row r="2231" customFormat="false" ht="15" hidden="false" customHeight="false" outlineLevel="0" collapsed="false">
      <c r="A2231" s="43"/>
      <c r="B2231" s="44"/>
      <c r="C2231" s="44"/>
      <c r="D2231" s="44"/>
      <c r="E2231" s="44"/>
      <c r="F2231" s="44"/>
      <c r="G2231" s="44"/>
      <c r="H2231" s="46" t="str">
        <f aca="false">IF($A2231="","",IF(OR(NOT(ISNUMBER(E2231)),NOT(ISNUMBER(F2231))),"",MAX(0,E2231)*F2231))</f>
        <v/>
      </c>
      <c r="I2231" s="46" t="str">
        <f aca="false">IF($A2231="","",SUMIF($A$2:$A$5001,$A2231,$H$2:$H$5001))</f>
        <v/>
      </c>
      <c r="J2231" s="47" t="n">
        <f aca="false">IF($A2231="",0,IF(COUNTIF($A$2:A2231,$A2231)=1,1,0))</f>
        <v>0</v>
      </c>
      <c r="K2231" s="47" t="n">
        <f aca="false">IF(J2231=1,N(I2231)+ROW()/10000000,0)</f>
        <v>0</v>
      </c>
      <c r="L2231" s="47" t="str">
        <f aca="false">IF(AND(J2231=1,N(I2231)&gt;0),SUMIF($K$2:$K$5001,"&gt;="&amp;K2231,$I$2:$I$5001)/MAX(1,SUM($H$2:$H$5001)),"")</f>
        <v/>
      </c>
      <c r="M2231" s="47" t="str">
        <f aca="false">IF($A2231="","",INDEX($L$2:$L$5001,MATCH($A2231,$A$2:$A$5001,0)))</f>
        <v/>
      </c>
      <c r="N2231" s="48" t="str">
        <f aca="false">IF($A2231="","",IF(N(M2231)=0,"–",IF(M2231&lt;=Start!$D$20,"A",IF(M2231&lt;=Start!$D$21,"B","C"))))</f>
        <v/>
      </c>
      <c r="O2231" s="48" t="str">
        <f aca="false">IF($A2231="","",IF(NOT(ISNUMBER(F2231)),"Wert fehlt; ",IF(F2231&lt;=0,"Wert ist 0; ",""))&amp;IF(NOT(ISNUMBER(E2231)),"Bestand fehlt; ",IF(E2231&lt;0,"Bestand negativ; ",IF(E2231=0,"Nullbestand; ","")))&amp;IF(D2231="","Warengruppe fehlt; ","")&amp;IF(B2231="","Bezeichnung fehlt; ","")&amp;IF(COUNTIFS($A$2:$A$5001,$A2231,$C$2:$C$5001,C2231)&gt;1,"Artikel doppelt im selben Lager; ",""))</f>
        <v/>
      </c>
      <c r="P2231" s="47" t="n">
        <f aca="false">IF(OR($A2231="",D2231=""),0,IF(COUNTIF($D$2:D2231,D2231)=1,SUMIF($D$2:$D$5001,D2231,$H$2:$H$5001)+ROW()/10000000,0))</f>
        <v>0</v>
      </c>
      <c r="Q2231" s="47" t="n">
        <f aca="false">IF(OR($A2231="",C2231=""),0,IF(COUNTIF($C$2:C2231,C2231)=1,SUMIF($C$2:$C$5001,C2231,$H$2:$H$5001)+ROW()/10000000,0))</f>
        <v>0</v>
      </c>
    </row>
    <row r="2232" customFormat="false" ht="15" hidden="false" customHeight="false" outlineLevel="0" collapsed="false">
      <c r="A2232" s="43"/>
      <c r="B2232" s="44"/>
      <c r="C2232" s="44"/>
      <c r="D2232" s="44"/>
      <c r="E2232" s="44"/>
      <c r="F2232" s="44"/>
      <c r="G2232" s="44"/>
      <c r="H2232" s="46" t="str">
        <f aca="false">IF($A2232="","",IF(OR(NOT(ISNUMBER(E2232)),NOT(ISNUMBER(F2232))),"",MAX(0,E2232)*F2232))</f>
        <v/>
      </c>
      <c r="I2232" s="46" t="str">
        <f aca="false">IF($A2232="","",SUMIF($A$2:$A$5001,$A2232,$H$2:$H$5001))</f>
        <v/>
      </c>
      <c r="J2232" s="47" t="n">
        <f aca="false">IF($A2232="",0,IF(COUNTIF($A$2:A2232,$A2232)=1,1,0))</f>
        <v>0</v>
      </c>
      <c r="K2232" s="47" t="n">
        <f aca="false">IF(J2232=1,N(I2232)+ROW()/10000000,0)</f>
        <v>0</v>
      </c>
      <c r="L2232" s="47" t="str">
        <f aca="false">IF(AND(J2232=1,N(I2232)&gt;0),SUMIF($K$2:$K$5001,"&gt;="&amp;K2232,$I$2:$I$5001)/MAX(1,SUM($H$2:$H$5001)),"")</f>
        <v/>
      </c>
      <c r="M2232" s="47" t="str">
        <f aca="false">IF($A2232="","",INDEX($L$2:$L$5001,MATCH($A2232,$A$2:$A$5001,0)))</f>
        <v/>
      </c>
      <c r="N2232" s="48" t="str">
        <f aca="false">IF($A2232="","",IF(N(M2232)=0,"–",IF(M2232&lt;=Start!$D$20,"A",IF(M2232&lt;=Start!$D$21,"B","C"))))</f>
        <v/>
      </c>
      <c r="O2232" s="48" t="str">
        <f aca="false">IF($A2232="","",IF(NOT(ISNUMBER(F2232)),"Wert fehlt; ",IF(F2232&lt;=0,"Wert ist 0; ",""))&amp;IF(NOT(ISNUMBER(E2232)),"Bestand fehlt; ",IF(E2232&lt;0,"Bestand negativ; ",IF(E2232=0,"Nullbestand; ","")))&amp;IF(D2232="","Warengruppe fehlt; ","")&amp;IF(B2232="","Bezeichnung fehlt; ","")&amp;IF(COUNTIFS($A$2:$A$5001,$A2232,$C$2:$C$5001,C2232)&gt;1,"Artikel doppelt im selben Lager; ",""))</f>
        <v/>
      </c>
      <c r="P2232" s="47" t="n">
        <f aca="false">IF(OR($A2232="",D2232=""),0,IF(COUNTIF($D$2:D2232,D2232)=1,SUMIF($D$2:$D$5001,D2232,$H$2:$H$5001)+ROW()/10000000,0))</f>
        <v>0</v>
      </c>
      <c r="Q2232" s="47" t="n">
        <f aca="false">IF(OR($A2232="",C2232=""),0,IF(COUNTIF($C$2:C2232,C2232)=1,SUMIF($C$2:$C$5001,C2232,$H$2:$H$5001)+ROW()/10000000,0))</f>
        <v>0</v>
      </c>
    </row>
    <row r="2233" customFormat="false" ht="15" hidden="false" customHeight="false" outlineLevel="0" collapsed="false">
      <c r="A2233" s="43"/>
      <c r="B2233" s="44"/>
      <c r="C2233" s="44"/>
      <c r="D2233" s="44"/>
      <c r="E2233" s="44"/>
      <c r="F2233" s="44"/>
      <c r="G2233" s="44"/>
      <c r="H2233" s="46" t="str">
        <f aca="false">IF($A2233="","",IF(OR(NOT(ISNUMBER(E2233)),NOT(ISNUMBER(F2233))),"",MAX(0,E2233)*F2233))</f>
        <v/>
      </c>
      <c r="I2233" s="46" t="str">
        <f aca="false">IF($A2233="","",SUMIF($A$2:$A$5001,$A2233,$H$2:$H$5001))</f>
        <v/>
      </c>
      <c r="J2233" s="47" t="n">
        <f aca="false">IF($A2233="",0,IF(COUNTIF($A$2:A2233,$A2233)=1,1,0))</f>
        <v>0</v>
      </c>
      <c r="K2233" s="47" t="n">
        <f aca="false">IF(J2233=1,N(I2233)+ROW()/10000000,0)</f>
        <v>0</v>
      </c>
      <c r="L2233" s="47" t="str">
        <f aca="false">IF(AND(J2233=1,N(I2233)&gt;0),SUMIF($K$2:$K$5001,"&gt;="&amp;K2233,$I$2:$I$5001)/MAX(1,SUM($H$2:$H$5001)),"")</f>
        <v/>
      </c>
      <c r="M2233" s="47" t="str">
        <f aca="false">IF($A2233="","",INDEX($L$2:$L$5001,MATCH($A2233,$A$2:$A$5001,0)))</f>
        <v/>
      </c>
      <c r="N2233" s="48" t="str">
        <f aca="false">IF($A2233="","",IF(N(M2233)=0,"–",IF(M2233&lt;=Start!$D$20,"A",IF(M2233&lt;=Start!$D$21,"B","C"))))</f>
        <v/>
      </c>
      <c r="O2233" s="48" t="str">
        <f aca="false">IF($A2233="","",IF(NOT(ISNUMBER(F2233)),"Wert fehlt; ",IF(F2233&lt;=0,"Wert ist 0; ",""))&amp;IF(NOT(ISNUMBER(E2233)),"Bestand fehlt; ",IF(E2233&lt;0,"Bestand negativ; ",IF(E2233=0,"Nullbestand; ","")))&amp;IF(D2233="","Warengruppe fehlt; ","")&amp;IF(B2233="","Bezeichnung fehlt; ","")&amp;IF(COUNTIFS($A$2:$A$5001,$A2233,$C$2:$C$5001,C2233)&gt;1,"Artikel doppelt im selben Lager; ",""))</f>
        <v/>
      </c>
      <c r="P2233" s="47" t="n">
        <f aca="false">IF(OR($A2233="",D2233=""),0,IF(COUNTIF($D$2:D2233,D2233)=1,SUMIF($D$2:$D$5001,D2233,$H$2:$H$5001)+ROW()/10000000,0))</f>
        <v>0</v>
      </c>
      <c r="Q2233" s="47" t="n">
        <f aca="false">IF(OR($A2233="",C2233=""),0,IF(COUNTIF($C$2:C2233,C2233)=1,SUMIF($C$2:$C$5001,C2233,$H$2:$H$5001)+ROW()/10000000,0))</f>
        <v>0</v>
      </c>
    </row>
    <row r="2234" customFormat="false" ht="15" hidden="false" customHeight="false" outlineLevel="0" collapsed="false">
      <c r="A2234" s="43"/>
      <c r="B2234" s="44"/>
      <c r="C2234" s="44"/>
      <c r="D2234" s="44"/>
      <c r="E2234" s="44"/>
      <c r="F2234" s="44"/>
      <c r="G2234" s="44"/>
      <c r="H2234" s="46" t="str">
        <f aca="false">IF($A2234="","",IF(OR(NOT(ISNUMBER(E2234)),NOT(ISNUMBER(F2234))),"",MAX(0,E2234)*F2234))</f>
        <v/>
      </c>
      <c r="I2234" s="46" t="str">
        <f aca="false">IF($A2234="","",SUMIF($A$2:$A$5001,$A2234,$H$2:$H$5001))</f>
        <v/>
      </c>
      <c r="J2234" s="47" t="n">
        <f aca="false">IF($A2234="",0,IF(COUNTIF($A$2:A2234,$A2234)=1,1,0))</f>
        <v>0</v>
      </c>
      <c r="K2234" s="47" t="n">
        <f aca="false">IF(J2234=1,N(I2234)+ROW()/10000000,0)</f>
        <v>0</v>
      </c>
      <c r="L2234" s="47" t="str">
        <f aca="false">IF(AND(J2234=1,N(I2234)&gt;0),SUMIF($K$2:$K$5001,"&gt;="&amp;K2234,$I$2:$I$5001)/MAX(1,SUM($H$2:$H$5001)),"")</f>
        <v/>
      </c>
      <c r="M2234" s="47" t="str">
        <f aca="false">IF($A2234="","",INDEX($L$2:$L$5001,MATCH($A2234,$A$2:$A$5001,0)))</f>
        <v/>
      </c>
      <c r="N2234" s="48" t="str">
        <f aca="false">IF($A2234="","",IF(N(M2234)=0,"–",IF(M2234&lt;=Start!$D$20,"A",IF(M2234&lt;=Start!$D$21,"B","C"))))</f>
        <v/>
      </c>
      <c r="O2234" s="48" t="str">
        <f aca="false">IF($A2234="","",IF(NOT(ISNUMBER(F2234)),"Wert fehlt; ",IF(F2234&lt;=0,"Wert ist 0; ",""))&amp;IF(NOT(ISNUMBER(E2234)),"Bestand fehlt; ",IF(E2234&lt;0,"Bestand negativ; ",IF(E2234=0,"Nullbestand; ","")))&amp;IF(D2234="","Warengruppe fehlt; ","")&amp;IF(B2234="","Bezeichnung fehlt; ","")&amp;IF(COUNTIFS($A$2:$A$5001,$A2234,$C$2:$C$5001,C2234)&gt;1,"Artikel doppelt im selben Lager; ",""))</f>
        <v/>
      </c>
      <c r="P2234" s="47" t="n">
        <f aca="false">IF(OR($A2234="",D2234=""),0,IF(COUNTIF($D$2:D2234,D2234)=1,SUMIF($D$2:$D$5001,D2234,$H$2:$H$5001)+ROW()/10000000,0))</f>
        <v>0</v>
      </c>
      <c r="Q2234" s="47" t="n">
        <f aca="false">IF(OR($A2234="",C2234=""),0,IF(COUNTIF($C$2:C2234,C2234)=1,SUMIF($C$2:$C$5001,C2234,$H$2:$H$5001)+ROW()/10000000,0))</f>
        <v>0</v>
      </c>
    </row>
    <row r="2235" customFormat="false" ht="15" hidden="false" customHeight="false" outlineLevel="0" collapsed="false">
      <c r="A2235" s="43"/>
      <c r="B2235" s="44"/>
      <c r="C2235" s="44"/>
      <c r="D2235" s="44"/>
      <c r="E2235" s="44"/>
      <c r="F2235" s="44"/>
      <c r="G2235" s="44"/>
      <c r="H2235" s="46" t="str">
        <f aca="false">IF($A2235="","",IF(OR(NOT(ISNUMBER(E2235)),NOT(ISNUMBER(F2235))),"",MAX(0,E2235)*F2235))</f>
        <v/>
      </c>
      <c r="I2235" s="46" t="str">
        <f aca="false">IF($A2235="","",SUMIF($A$2:$A$5001,$A2235,$H$2:$H$5001))</f>
        <v/>
      </c>
      <c r="J2235" s="47" t="n">
        <f aca="false">IF($A2235="",0,IF(COUNTIF($A$2:A2235,$A2235)=1,1,0))</f>
        <v>0</v>
      </c>
      <c r="K2235" s="47" t="n">
        <f aca="false">IF(J2235=1,N(I2235)+ROW()/10000000,0)</f>
        <v>0</v>
      </c>
      <c r="L2235" s="47" t="str">
        <f aca="false">IF(AND(J2235=1,N(I2235)&gt;0),SUMIF($K$2:$K$5001,"&gt;="&amp;K2235,$I$2:$I$5001)/MAX(1,SUM($H$2:$H$5001)),"")</f>
        <v/>
      </c>
      <c r="M2235" s="47" t="str">
        <f aca="false">IF($A2235="","",INDEX($L$2:$L$5001,MATCH($A2235,$A$2:$A$5001,0)))</f>
        <v/>
      </c>
      <c r="N2235" s="48" t="str">
        <f aca="false">IF($A2235="","",IF(N(M2235)=0,"–",IF(M2235&lt;=Start!$D$20,"A",IF(M2235&lt;=Start!$D$21,"B","C"))))</f>
        <v/>
      </c>
      <c r="O2235" s="48" t="str">
        <f aca="false">IF($A2235="","",IF(NOT(ISNUMBER(F2235)),"Wert fehlt; ",IF(F2235&lt;=0,"Wert ist 0; ",""))&amp;IF(NOT(ISNUMBER(E2235)),"Bestand fehlt; ",IF(E2235&lt;0,"Bestand negativ; ",IF(E2235=0,"Nullbestand; ","")))&amp;IF(D2235="","Warengruppe fehlt; ","")&amp;IF(B2235="","Bezeichnung fehlt; ","")&amp;IF(COUNTIFS($A$2:$A$5001,$A2235,$C$2:$C$5001,C2235)&gt;1,"Artikel doppelt im selben Lager; ",""))</f>
        <v/>
      </c>
      <c r="P2235" s="47" t="n">
        <f aca="false">IF(OR($A2235="",D2235=""),0,IF(COUNTIF($D$2:D2235,D2235)=1,SUMIF($D$2:$D$5001,D2235,$H$2:$H$5001)+ROW()/10000000,0))</f>
        <v>0</v>
      </c>
      <c r="Q2235" s="47" t="n">
        <f aca="false">IF(OR($A2235="",C2235=""),0,IF(COUNTIF($C$2:C2235,C2235)=1,SUMIF($C$2:$C$5001,C2235,$H$2:$H$5001)+ROW()/10000000,0))</f>
        <v>0</v>
      </c>
    </row>
    <row r="2236" customFormat="false" ht="15" hidden="false" customHeight="false" outlineLevel="0" collapsed="false">
      <c r="A2236" s="43"/>
      <c r="B2236" s="44"/>
      <c r="C2236" s="44"/>
      <c r="D2236" s="44"/>
      <c r="E2236" s="44"/>
      <c r="F2236" s="44"/>
      <c r="G2236" s="44"/>
      <c r="H2236" s="46" t="str">
        <f aca="false">IF($A2236="","",IF(OR(NOT(ISNUMBER(E2236)),NOT(ISNUMBER(F2236))),"",MAX(0,E2236)*F2236))</f>
        <v/>
      </c>
      <c r="I2236" s="46" t="str">
        <f aca="false">IF($A2236="","",SUMIF($A$2:$A$5001,$A2236,$H$2:$H$5001))</f>
        <v/>
      </c>
      <c r="J2236" s="47" t="n">
        <f aca="false">IF($A2236="",0,IF(COUNTIF($A$2:A2236,$A2236)=1,1,0))</f>
        <v>0</v>
      </c>
      <c r="K2236" s="47" t="n">
        <f aca="false">IF(J2236=1,N(I2236)+ROW()/10000000,0)</f>
        <v>0</v>
      </c>
      <c r="L2236" s="47" t="str">
        <f aca="false">IF(AND(J2236=1,N(I2236)&gt;0),SUMIF($K$2:$K$5001,"&gt;="&amp;K2236,$I$2:$I$5001)/MAX(1,SUM($H$2:$H$5001)),"")</f>
        <v/>
      </c>
      <c r="M2236" s="47" t="str">
        <f aca="false">IF($A2236="","",INDEX($L$2:$L$5001,MATCH($A2236,$A$2:$A$5001,0)))</f>
        <v/>
      </c>
      <c r="N2236" s="48" t="str">
        <f aca="false">IF($A2236="","",IF(N(M2236)=0,"–",IF(M2236&lt;=Start!$D$20,"A",IF(M2236&lt;=Start!$D$21,"B","C"))))</f>
        <v/>
      </c>
      <c r="O2236" s="48" t="str">
        <f aca="false">IF($A2236="","",IF(NOT(ISNUMBER(F2236)),"Wert fehlt; ",IF(F2236&lt;=0,"Wert ist 0; ",""))&amp;IF(NOT(ISNUMBER(E2236)),"Bestand fehlt; ",IF(E2236&lt;0,"Bestand negativ; ",IF(E2236=0,"Nullbestand; ","")))&amp;IF(D2236="","Warengruppe fehlt; ","")&amp;IF(B2236="","Bezeichnung fehlt; ","")&amp;IF(COUNTIFS($A$2:$A$5001,$A2236,$C$2:$C$5001,C2236)&gt;1,"Artikel doppelt im selben Lager; ",""))</f>
        <v/>
      </c>
      <c r="P2236" s="47" t="n">
        <f aca="false">IF(OR($A2236="",D2236=""),0,IF(COUNTIF($D$2:D2236,D2236)=1,SUMIF($D$2:$D$5001,D2236,$H$2:$H$5001)+ROW()/10000000,0))</f>
        <v>0</v>
      </c>
      <c r="Q2236" s="47" t="n">
        <f aca="false">IF(OR($A2236="",C2236=""),0,IF(COUNTIF($C$2:C2236,C2236)=1,SUMIF($C$2:$C$5001,C2236,$H$2:$H$5001)+ROW()/10000000,0))</f>
        <v>0</v>
      </c>
    </row>
    <row r="2237" customFormat="false" ht="15" hidden="false" customHeight="false" outlineLevel="0" collapsed="false">
      <c r="A2237" s="43"/>
      <c r="B2237" s="44"/>
      <c r="C2237" s="44"/>
      <c r="D2237" s="44"/>
      <c r="E2237" s="44"/>
      <c r="F2237" s="44"/>
      <c r="G2237" s="44"/>
      <c r="H2237" s="46" t="str">
        <f aca="false">IF($A2237="","",IF(OR(NOT(ISNUMBER(E2237)),NOT(ISNUMBER(F2237))),"",MAX(0,E2237)*F2237))</f>
        <v/>
      </c>
      <c r="I2237" s="46" t="str">
        <f aca="false">IF($A2237="","",SUMIF($A$2:$A$5001,$A2237,$H$2:$H$5001))</f>
        <v/>
      </c>
      <c r="J2237" s="47" t="n">
        <f aca="false">IF($A2237="",0,IF(COUNTIF($A$2:A2237,$A2237)=1,1,0))</f>
        <v>0</v>
      </c>
      <c r="K2237" s="47" t="n">
        <f aca="false">IF(J2237=1,N(I2237)+ROW()/10000000,0)</f>
        <v>0</v>
      </c>
      <c r="L2237" s="47" t="str">
        <f aca="false">IF(AND(J2237=1,N(I2237)&gt;0),SUMIF($K$2:$K$5001,"&gt;="&amp;K2237,$I$2:$I$5001)/MAX(1,SUM($H$2:$H$5001)),"")</f>
        <v/>
      </c>
      <c r="M2237" s="47" t="str">
        <f aca="false">IF($A2237="","",INDEX($L$2:$L$5001,MATCH($A2237,$A$2:$A$5001,0)))</f>
        <v/>
      </c>
      <c r="N2237" s="48" t="str">
        <f aca="false">IF($A2237="","",IF(N(M2237)=0,"–",IF(M2237&lt;=Start!$D$20,"A",IF(M2237&lt;=Start!$D$21,"B","C"))))</f>
        <v/>
      </c>
      <c r="O2237" s="48" t="str">
        <f aca="false">IF($A2237="","",IF(NOT(ISNUMBER(F2237)),"Wert fehlt; ",IF(F2237&lt;=0,"Wert ist 0; ",""))&amp;IF(NOT(ISNUMBER(E2237)),"Bestand fehlt; ",IF(E2237&lt;0,"Bestand negativ; ",IF(E2237=0,"Nullbestand; ","")))&amp;IF(D2237="","Warengruppe fehlt; ","")&amp;IF(B2237="","Bezeichnung fehlt; ","")&amp;IF(COUNTIFS($A$2:$A$5001,$A2237,$C$2:$C$5001,C2237)&gt;1,"Artikel doppelt im selben Lager; ",""))</f>
        <v/>
      </c>
      <c r="P2237" s="47" t="n">
        <f aca="false">IF(OR($A2237="",D2237=""),0,IF(COUNTIF($D$2:D2237,D2237)=1,SUMIF($D$2:$D$5001,D2237,$H$2:$H$5001)+ROW()/10000000,0))</f>
        <v>0</v>
      </c>
      <c r="Q2237" s="47" t="n">
        <f aca="false">IF(OR($A2237="",C2237=""),0,IF(COUNTIF($C$2:C2237,C2237)=1,SUMIF($C$2:$C$5001,C2237,$H$2:$H$5001)+ROW()/10000000,0))</f>
        <v>0</v>
      </c>
    </row>
    <row r="2238" customFormat="false" ht="15" hidden="false" customHeight="false" outlineLevel="0" collapsed="false">
      <c r="A2238" s="43"/>
      <c r="B2238" s="44"/>
      <c r="C2238" s="44"/>
      <c r="D2238" s="44"/>
      <c r="E2238" s="44"/>
      <c r="F2238" s="44"/>
      <c r="G2238" s="44"/>
      <c r="H2238" s="46" t="str">
        <f aca="false">IF($A2238="","",IF(OR(NOT(ISNUMBER(E2238)),NOT(ISNUMBER(F2238))),"",MAX(0,E2238)*F2238))</f>
        <v/>
      </c>
      <c r="I2238" s="46" t="str">
        <f aca="false">IF($A2238="","",SUMIF($A$2:$A$5001,$A2238,$H$2:$H$5001))</f>
        <v/>
      </c>
      <c r="J2238" s="47" t="n">
        <f aca="false">IF($A2238="",0,IF(COUNTIF($A$2:A2238,$A2238)=1,1,0))</f>
        <v>0</v>
      </c>
      <c r="K2238" s="47" t="n">
        <f aca="false">IF(J2238=1,N(I2238)+ROW()/10000000,0)</f>
        <v>0</v>
      </c>
      <c r="L2238" s="47" t="str">
        <f aca="false">IF(AND(J2238=1,N(I2238)&gt;0),SUMIF($K$2:$K$5001,"&gt;="&amp;K2238,$I$2:$I$5001)/MAX(1,SUM($H$2:$H$5001)),"")</f>
        <v/>
      </c>
      <c r="M2238" s="47" t="str">
        <f aca="false">IF($A2238="","",INDEX($L$2:$L$5001,MATCH($A2238,$A$2:$A$5001,0)))</f>
        <v/>
      </c>
      <c r="N2238" s="48" t="str">
        <f aca="false">IF($A2238="","",IF(N(M2238)=0,"–",IF(M2238&lt;=Start!$D$20,"A",IF(M2238&lt;=Start!$D$21,"B","C"))))</f>
        <v/>
      </c>
      <c r="O2238" s="48" t="str">
        <f aca="false">IF($A2238="","",IF(NOT(ISNUMBER(F2238)),"Wert fehlt; ",IF(F2238&lt;=0,"Wert ist 0; ",""))&amp;IF(NOT(ISNUMBER(E2238)),"Bestand fehlt; ",IF(E2238&lt;0,"Bestand negativ; ",IF(E2238=0,"Nullbestand; ","")))&amp;IF(D2238="","Warengruppe fehlt; ","")&amp;IF(B2238="","Bezeichnung fehlt; ","")&amp;IF(COUNTIFS($A$2:$A$5001,$A2238,$C$2:$C$5001,C2238)&gt;1,"Artikel doppelt im selben Lager; ",""))</f>
        <v/>
      </c>
      <c r="P2238" s="47" t="n">
        <f aca="false">IF(OR($A2238="",D2238=""),0,IF(COUNTIF($D$2:D2238,D2238)=1,SUMIF($D$2:$D$5001,D2238,$H$2:$H$5001)+ROW()/10000000,0))</f>
        <v>0</v>
      </c>
      <c r="Q2238" s="47" t="n">
        <f aca="false">IF(OR($A2238="",C2238=""),0,IF(COUNTIF($C$2:C2238,C2238)=1,SUMIF($C$2:$C$5001,C2238,$H$2:$H$5001)+ROW()/10000000,0))</f>
        <v>0</v>
      </c>
    </row>
    <row r="2239" customFormat="false" ht="15" hidden="false" customHeight="false" outlineLevel="0" collapsed="false">
      <c r="A2239" s="43"/>
      <c r="B2239" s="44"/>
      <c r="C2239" s="44"/>
      <c r="D2239" s="44"/>
      <c r="E2239" s="44"/>
      <c r="F2239" s="44"/>
      <c r="G2239" s="44"/>
      <c r="H2239" s="46" t="str">
        <f aca="false">IF($A2239="","",IF(OR(NOT(ISNUMBER(E2239)),NOT(ISNUMBER(F2239))),"",MAX(0,E2239)*F2239))</f>
        <v/>
      </c>
      <c r="I2239" s="46" t="str">
        <f aca="false">IF($A2239="","",SUMIF($A$2:$A$5001,$A2239,$H$2:$H$5001))</f>
        <v/>
      </c>
      <c r="J2239" s="47" t="n">
        <f aca="false">IF($A2239="",0,IF(COUNTIF($A$2:A2239,$A2239)=1,1,0))</f>
        <v>0</v>
      </c>
      <c r="K2239" s="47" t="n">
        <f aca="false">IF(J2239=1,N(I2239)+ROW()/10000000,0)</f>
        <v>0</v>
      </c>
      <c r="L2239" s="47" t="str">
        <f aca="false">IF(AND(J2239=1,N(I2239)&gt;0),SUMIF($K$2:$K$5001,"&gt;="&amp;K2239,$I$2:$I$5001)/MAX(1,SUM($H$2:$H$5001)),"")</f>
        <v/>
      </c>
      <c r="M2239" s="47" t="str">
        <f aca="false">IF($A2239="","",INDEX($L$2:$L$5001,MATCH($A2239,$A$2:$A$5001,0)))</f>
        <v/>
      </c>
      <c r="N2239" s="48" t="str">
        <f aca="false">IF($A2239="","",IF(N(M2239)=0,"–",IF(M2239&lt;=Start!$D$20,"A",IF(M2239&lt;=Start!$D$21,"B","C"))))</f>
        <v/>
      </c>
      <c r="O2239" s="48" t="str">
        <f aca="false">IF($A2239="","",IF(NOT(ISNUMBER(F2239)),"Wert fehlt; ",IF(F2239&lt;=0,"Wert ist 0; ",""))&amp;IF(NOT(ISNUMBER(E2239)),"Bestand fehlt; ",IF(E2239&lt;0,"Bestand negativ; ",IF(E2239=0,"Nullbestand; ","")))&amp;IF(D2239="","Warengruppe fehlt; ","")&amp;IF(B2239="","Bezeichnung fehlt; ","")&amp;IF(COUNTIFS($A$2:$A$5001,$A2239,$C$2:$C$5001,C2239)&gt;1,"Artikel doppelt im selben Lager; ",""))</f>
        <v/>
      </c>
      <c r="P2239" s="47" t="n">
        <f aca="false">IF(OR($A2239="",D2239=""),0,IF(COUNTIF($D$2:D2239,D2239)=1,SUMIF($D$2:$D$5001,D2239,$H$2:$H$5001)+ROW()/10000000,0))</f>
        <v>0</v>
      </c>
      <c r="Q2239" s="47" t="n">
        <f aca="false">IF(OR($A2239="",C2239=""),0,IF(COUNTIF($C$2:C2239,C2239)=1,SUMIF($C$2:$C$5001,C2239,$H$2:$H$5001)+ROW()/10000000,0))</f>
        <v>0</v>
      </c>
    </row>
    <row r="2240" customFormat="false" ht="15" hidden="false" customHeight="false" outlineLevel="0" collapsed="false">
      <c r="A2240" s="43"/>
      <c r="B2240" s="44"/>
      <c r="C2240" s="44"/>
      <c r="D2240" s="44"/>
      <c r="E2240" s="44"/>
      <c r="F2240" s="44"/>
      <c r="G2240" s="44"/>
      <c r="H2240" s="46" t="str">
        <f aca="false">IF($A2240="","",IF(OR(NOT(ISNUMBER(E2240)),NOT(ISNUMBER(F2240))),"",MAX(0,E2240)*F2240))</f>
        <v/>
      </c>
      <c r="I2240" s="46" t="str">
        <f aca="false">IF($A2240="","",SUMIF($A$2:$A$5001,$A2240,$H$2:$H$5001))</f>
        <v/>
      </c>
      <c r="J2240" s="47" t="n">
        <f aca="false">IF($A2240="",0,IF(COUNTIF($A$2:A2240,$A2240)=1,1,0))</f>
        <v>0</v>
      </c>
      <c r="K2240" s="47" t="n">
        <f aca="false">IF(J2240=1,N(I2240)+ROW()/10000000,0)</f>
        <v>0</v>
      </c>
      <c r="L2240" s="47" t="str">
        <f aca="false">IF(AND(J2240=1,N(I2240)&gt;0),SUMIF($K$2:$K$5001,"&gt;="&amp;K2240,$I$2:$I$5001)/MAX(1,SUM($H$2:$H$5001)),"")</f>
        <v/>
      </c>
      <c r="M2240" s="47" t="str">
        <f aca="false">IF($A2240="","",INDEX($L$2:$L$5001,MATCH($A2240,$A$2:$A$5001,0)))</f>
        <v/>
      </c>
      <c r="N2240" s="48" t="str">
        <f aca="false">IF($A2240="","",IF(N(M2240)=0,"–",IF(M2240&lt;=Start!$D$20,"A",IF(M2240&lt;=Start!$D$21,"B","C"))))</f>
        <v/>
      </c>
      <c r="O2240" s="48" t="str">
        <f aca="false">IF($A2240="","",IF(NOT(ISNUMBER(F2240)),"Wert fehlt; ",IF(F2240&lt;=0,"Wert ist 0; ",""))&amp;IF(NOT(ISNUMBER(E2240)),"Bestand fehlt; ",IF(E2240&lt;0,"Bestand negativ; ",IF(E2240=0,"Nullbestand; ","")))&amp;IF(D2240="","Warengruppe fehlt; ","")&amp;IF(B2240="","Bezeichnung fehlt; ","")&amp;IF(COUNTIFS($A$2:$A$5001,$A2240,$C$2:$C$5001,C2240)&gt;1,"Artikel doppelt im selben Lager; ",""))</f>
        <v/>
      </c>
      <c r="P2240" s="47" t="n">
        <f aca="false">IF(OR($A2240="",D2240=""),0,IF(COUNTIF($D$2:D2240,D2240)=1,SUMIF($D$2:$D$5001,D2240,$H$2:$H$5001)+ROW()/10000000,0))</f>
        <v>0</v>
      </c>
      <c r="Q2240" s="47" t="n">
        <f aca="false">IF(OR($A2240="",C2240=""),0,IF(COUNTIF($C$2:C2240,C2240)=1,SUMIF($C$2:$C$5001,C2240,$H$2:$H$5001)+ROW()/10000000,0))</f>
        <v>0</v>
      </c>
    </row>
    <row r="2241" customFormat="false" ht="15" hidden="false" customHeight="false" outlineLevel="0" collapsed="false">
      <c r="A2241" s="43"/>
      <c r="B2241" s="44"/>
      <c r="C2241" s="44"/>
      <c r="D2241" s="44"/>
      <c r="E2241" s="44"/>
      <c r="F2241" s="44"/>
      <c r="G2241" s="44"/>
      <c r="H2241" s="46" t="str">
        <f aca="false">IF($A2241="","",IF(OR(NOT(ISNUMBER(E2241)),NOT(ISNUMBER(F2241))),"",MAX(0,E2241)*F2241))</f>
        <v/>
      </c>
      <c r="I2241" s="46" t="str">
        <f aca="false">IF($A2241="","",SUMIF($A$2:$A$5001,$A2241,$H$2:$H$5001))</f>
        <v/>
      </c>
      <c r="J2241" s="47" t="n">
        <f aca="false">IF($A2241="",0,IF(COUNTIF($A$2:A2241,$A2241)=1,1,0))</f>
        <v>0</v>
      </c>
      <c r="K2241" s="47" t="n">
        <f aca="false">IF(J2241=1,N(I2241)+ROW()/10000000,0)</f>
        <v>0</v>
      </c>
      <c r="L2241" s="47" t="str">
        <f aca="false">IF(AND(J2241=1,N(I2241)&gt;0),SUMIF($K$2:$K$5001,"&gt;="&amp;K2241,$I$2:$I$5001)/MAX(1,SUM($H$2:$H$5001)),"")</f>
        <v/>
      </c>
      <c r="M2241" s="47" t="str">
        <f aca="false">IF($A2241="","",INDEX($L$2:$L$5001,MATCH($A2241,$A$2:$A$5001,0)))</f>
        <v/>
      </c>
      <c r="N2241" s="48" t="str">
        <f aca="false">IF($A2241="","",IF(N(M2241)=0,"–",IF(M2241&lt;=Start!$D$20,"A",IF(M2241&lt;=Start!$D$21,"B","C"))))</f>
        <v/>
      </c>
      <c r="O2241" s="48" t="str">
        <f aca="false">IF($A2241="","",IF(NOT(ISNUMBER(F2241)),"Wert fehlt; ",IF(F2241&lt;=0,"Wert ist 0; ",""))&amp;IF(NOT(ISNUMBER(E2241)),"Bestand fehlt; ",IF(E2241&lt;0,"Bestand negativ; ",IF(E2241=0,"Nullbestand; ","")))&amp;IF(D2241="","Warengruppe fehlt; ","")&amp;IF(B2241="","Bezeichnung fehlt; ","")&amp;IF(COUNTIFS($A$2:$A$5001,$A2241,$C$2:$C$5001,C2241)&gt;1,"Artikel doppelt im selben Lager; ",""))</f>
        <v/>
      </c>
      <c r="P2241" s="47" t="n">
        <f aca="false">IF(OR($A2241="",D2241=""),0,IF(COUNTIF($D$2:D2241,D2241)=1,SUMIF($D$2:$D$5001,D2241,$H$2:$H$5001)+ROW()/10000000,0))</f>
        <v>0</v>
      </c>
      <c r="Q2241" s="47" t="n">
        <f aca="false">IF(OR($A2241="",C2241=""),0,IF(COUNTIF($C$2:C2241,C2241)=1,SUMIF($C$2:$C$5001,C2241,$H$2:$H$5001)+ROW()/10000000,0))</f>
        <v>0</v>
      </c>
    </row>
    <row r="2242" customFormat="false" ht="15" hidden="false" customHeight="false" outlineLevel="0" collapsed="false">
      <c r="A2242" s="43"/>
      <c r="B2242" s="44"/>
      <c r="C2242" s="44"/>
      <c r="D2242" s="44"/>
      <c r="E2242" s="44"/>
      <c r="F2242" s="44"/>
      <c r="G2242" s="44"/>
      <c r="H2242" s="46" t="str">
        <f aca="false">IF($A2242="","",IF(OR(NOT(ISNUMBER(E2242)),NOT(ISNUMBER(F2242))),"",MAX(0,E2242)*F2242))</f>
        <v/>
      </c>
      <c r="I2242" s="46" t="str">
        <f aca="false">IF($A2242="","",SUMIF($A$2:$A$5001,$A2242,$H$2:$H$5001))</f>
        <v/>
      </c>
      <c r="J2242" s="47" t="n">
        <f aca="false">IF($A2242="",0,IF(COUNTIF($A$2:A2242,$A2242)=1,1,0))</f>
        <v>0</v>
      </c>
      <c r="K2242" s="47" t="n">
        <f aca="false">IF(J2242=1,N(I2242)+ROW()/10000000,0)</f>
        <v>0</v>
      </c>
      <c r="L2242" s="47" t="str">
        <f aca="false">IF(AND(J2242=1,N(I2242)&gt;0),SUMIF($K$2:$K$5001,"&gt;="&amp;K2242,$I$2:$I$5001)/MAX(1,SUM($H$2:$H$5001)),"")</f>
        <v/>
      </c>
      <c r="M2242" s="47" t="str">
        <f aca="false">IF($A2242="","",INDEX($L$2:$L$5001,MATCH($A2242,$A$2:$A$5001,0)))</f>
        <v/>
      </c>
      <c r="N2242" s="48" t="str">
        <f aca="false">IF($A2242="","",IF(N(M2242)=0,"–",IF(M2242&lt;=Start!$D$20,"A",IF(M2242&lt;=Start!$D$21,"B","C"))))</f>
        <v/>
      </c>
      <c r="O2242" s="48" t="str">
        <f aca="false">IF($A2242="","",IF(NOT(ISNUMBER(F2242)),"Wert fehlt; ",IF(F2242&lt;=0,"Wert ist 0; ",""))&amp;IF(NOT(ISNUMBER(E2242)),"Bestand fehlt; ",IF(E2242&lt;0,"Bestand negativ; ",IF(E2242=0,"Nullbestand; ","")))&amp;IF(D2242="","Warengruppe fehlt; ","")&amp;IF(B2242="","Bezeichnung fehlt; ","")&amp;IF(COUNTIFS($A$2:$A$5001,$A2242,$C$2:$C$5001,C2242)&gt;1,"Artikel doppelt im selben Lager; ",""))</f>
        <v/>
      </c>
      <c r="P2242" s="47" t="n">
        <f aca="false">IF(OR($A2242="",D2242=""),0,IF(COUNTIF($D$2:D2242,D2242)=1,SUMIF($D$2:$D$5001,D2242,$H$2:$H$5001)+ROW()/10000000,0))</f>
        <v>0</v>
      </c>
      <c r="Q2242" s="47" t="n">
        <f aca="false">IF(OR($A2242="",C2242=""),0,IF(COUNTIF($C$2:C2242,C2242)=1,SUMIF($C$2:$C$5001,C2242,$H$2:$H$5001)+ROW()/10000000,0))</f>
        <v>0</v>
      </c>
    </row>
    <row r="2243" customFormat="false" ht="15" hidden="false" customHeight="false" outlineLevel="0" collapsed="false">
      <c r="A2243" s="43"/>
      <c r="B2243" s="44"/>
      <c r="C2243" s="44"/>
      <c r="D2243" s="44"/>
      <c r="E2243" s="44"/>
      <c r="F2243" s="44"/>
      <c r="G2243" s="44"/>
      <c r="H2243" s="46" t="str">
        <f aca="false">IF($A2243="","",IF(OR(NOT(ISNUMBER(E2243)),NOT(ISNUMBER(F2243))),"",MAX(0,E2243)*F2243))</f>
        <v/>
      </c>
      <c r="I2243" s="46" t="str">
        <f aca="false">IF($A2243="","",SUMIF($A$2:$A$5001,$A2243,$H$2:$H$5001))</f>
        <v/>
      </c>
      <c r="J2243" s="47" t="n">
        <f aca="false">IF($A2243="",0,IF(COUNTIF($A$2:A2243,$A2243)=1,1,0))</f>
        <v>0</v>
      </c>
      <c r="K2243" s="47" t="n">
        <f aca="false">IF(J2243=1,N(I2243)+ROW()/10000000,0)</f>
        <v>0</v>
      </c>
      <c r="L2243" s="47" t="str">
        <f aca="false">IF(AND(J2243=1,N(I2243)&gt;0),SUMIF($K$2:$K$5001,"&gt;="&amp;K2243,$I$2:$I$5001)/MAX(1,SUM($H$2:$H$5001)),"")</f>
        <v/>
      </c>
      <c r="M2243" s="47" t="str">
        <f aca="false">IF($A2243="","",INDEX($L$2:$L$5001,MATCH($A2243,$A$2:$A$5001,0)))</f>
        <v/>
      </c>
      <c r="N2243" s="48" t="str">
        <f aca="false">IF($A2243="","",IF(N(M2243)=0,"–",IF(M2243&lt;=Start!$D$20,"A",IF(M2243&lt;=Start!$D$21,"B","C"))))</f>
        <v/>
      </c>
      <c r="O2243" s="48" t="str">
        <f aca="false">IF($A2243="","",IF(NOT(ISNUMBER(F2243)),"Wert fehlt; ",IF(F2243&lt;=0,"Wert ist 0; ",""))&amp;IF(NOT(ISNUMBER(E2243)),"Bestand fehlt; ",IF(E2243&lt;0,"Bestand negativ; ",IF(E2243=0,"Nullbestand; ","")))&amp;IF(D2243="","Warengruppe fehlt; ","")&amp;IF(B2243="","Bezeichnung fehlt; ","")&amp;IF(COUNTIFS($A$2:$A$5001,$A2243,$C$2:$C$5001,C2243)&gt;1,"Artikel doppelt im selben Lager; ",""))</f>
        <v/>
      </c>
      <c r="P2243" s="47" t="n">
        <f aca="false">IF(OR($A2243="",D2243=""),0,IF(COUNTIF($D$2:D2243,D2243)=1,SUMIF($D$2:$D$5001,D2243,$H$2:$H$5001)+ROW()/10000000,0))</f>
        <v>0</v>
      </c>
      <c r="Q2243" s="47" t="n">
        <f aca="false">IF(OR($A2243="",C2243=""),0,IF(COUNTIF($C$2:C2243,C2243)=1,SUMIF($C$2:$C$5001,C2243,$H$2:$H$5001)+ROW()/10000000,0))</f>
        <v>0</v>
      </c>
    </row>
    <row r="2244" customFormat="false" ht="15" hidden="false" customHeight="false" outlineLevel="0" collapsed="false">
      <c r="A2244" s="43"/>
      <c r="B2244" s="44"/>
      <c r="C2244" s="44"/>
      <c r="D2244" s="44"/>
      <c r="E2244" s="44"/>
      <c r="F2244" s="44"/>
      <c r="G2244" s="44"/>
      <c r="H2244" s="46" t="str">
        <f aca="false">IF($A2244="","",IF(OR(NOT(ISNUMBER(E2244)),NOT(ISNUMBER(F2244))),"",MAX(0,E2244)*F2244))</f>
        <v/>
      </c>
      <c r="I2244" s="46" t="str">
        <f aca="false">IF($A2244="","",SUMIF($A$2:$A$5001,$A2244,$H$2:$H$5001))</f>
        <v/>
      </c>
      <c r="J2244" s="47" t="n">
        <f aca="false">IF($A2244="",0,IF(COUNTIF($A$2:A2244,$A2244)=1,1,0))</f>
        <v>0</v>
      </c>
      <c r="K2244" s="47" t="n">
        <f aca="false">IF(J2244=1,N(I2244)+ROW()/10000000,0)</f>
        <v>0</v>
      </c>
      <c r="L2244" s="47" t="str">
        <f aca="false">IF(AND(J2244=1,N(I2244)&gt;0),SUMIF($K$2:$K$5001,"&gt;="&amp;K2244,$I$2:$I$5001)/MAX(1,SUM($H$2:$H$5001)),"")</f>
        <v/>
      </c>
      <c r="M2244" s="47" t="str">
        <f aca="false">IF($A2244="","",INDEX($L$2:$L$5001,MATCH($A2244,$A$2:$A$5001,0)))</f>
        <v/>
      </c>
      <c r="N2244" s="48" t="str">
        <f aca="false">IF($A2244="","",IF(N(M2244)=0,"–",IF(M2244&lt;=Start!$D$20,"A",IF(M2244&lt;=Start!$D$21,"B","C"))))</f>
        <v/>
      </c>
      <c r="O2244" s="48" t="str">
        <f aca="false">IF($A2244="","",IF(NOT(ISNUMBER(F2244)),"Wert fehlt; ",IF(F2244&lt;=0,"Wert ist 0; ",""))&amp;IF(NOT(ISNUMBER(E2244)),"Bestand fehlt; ",IF(E2244&lt;0,"Bestand negativ; ",IF(E2244=0,"Nullbestand; ","")))&amp;IF(D2244="","Warengruppe fehlt; ","")&amp;IF(B2244="","Bezeichnung fehlt; ","")&amp;IF(COUNTIFS($A$2:$A$5001,$A2244,$C$2:$C$5001,C2244)&gt;1,"Artikel doppelt im selben Lager; ",""))</f>
        <v/>
      </c>
      <c r="P2244" s="47" t="n">
        <f aca="false">IF(OR($A2244="",D2244=""),0,IF(COUNTIF($D$2:D2244,D2244)=1,SUMIF($D$2:$D$5001,D2244,$H$2:$H$5001)+ROW()/10000000,0))</f>
        <v>0</v>
      </c>
      <c r="Q2244" s="47" t="n">
        <f aca="false">IF(OR($A2244="",C2244=""),0,IF(COUNTIF($C$2:C2244,C2244)=1,SUMIF($C$2:$C$5001,C2244,$H$2:$H$5001)+ROW()/10000000,0))</f>
        <v>0</v>
      </c>
    </row>
    <row r="2245" customFormat="false" ht="15" hidden="false" customHeight="false" outlineLevel="0" collapsed="false">
      <c r="A2245" s="43"/>
      <c r="B2245" s="44"/>
      <c r="C2245" s="44"/>
      <c r="D2245" s="44"/>
      <c r="E2245" s="44"/>
      <c r="F2245" s="44"/>
      <c r="G2245" s="44"/>
      <c r="H2245" s="46" t="str">
        <f aca="false">IF($A2245="","",IF(OR(NOT(ISNUMBER(E2245)),NOT(ISNUMBER(F2245))),"",MAX(0,E2245)*F2245))</f>
        <v/>
      </c>
      <c r="I2245" s="46" t="str">
        <f aca="false">IF($A2245="","",SUMIF($A$2:$A$5001,$A2245,$H$2:$H$5001))</f>
        <v/>
      </c>
      <c r="J2245" s="47" t="n">
        <f aca="false">IF($A2245="",0,IF(COUNTIF($A$2:A2245,$A2245)=1,1,0))</f>
        <v>0</v>
      </c>
      <c r="K2245" s="47" t="n">
        <f aca="false">IF(J2245=1,N(I2245)+ROW()/10000000,0)</f>
        <v>0</v>
      </c>
      <c r="L2245" s="47" t="str">
        <f aca="false">IF(AND(J2245=1,N(I2245)&gt;0),SUMIF($K$2:$K$5001,"&gt;="&amp;K2245,$I$2:$I$5001)/MAX(1,SUM($H$2:$H$5001)),"")</f>
        <v/>
      </c>
      <c r="M2245" s="47" t="str">
        <f aca="false">IF($A2245="","",INDEX($L$2:$L$5001,MATCH($A2245,$A$2:$A$5001,0)))</f>
        <v/>
      </c>
      <c r="N2245" s="48" t="str">
        <f aca="false">IF($A2245="","",IF(N(M2245)=0,"–",IF(M2245&lt;=Start!$D$20,"A",IF(M2245&lt;=Start!$D$21,"B","C"))))</f>
        <v/>
      </c>
      <c r="O2245" s="48" t="str">
        <f aca="false">IF($A2245="","",IF(NOT(ISNUMBER(F2245)),"Wert fehlt; ",IF(F2245&lt;=0,"Wert ist 0; ",""))&amp;IF(NOT(ISNUMBER(E2245)),"Bestand fehlt; ",IF(E2245&lt;0,"Bestand negativ; ",IF(E2245=0,"Nullbestand; ","")))&amp;IF(D2245="","Warengruppe fehlt; ","")&amp;IF(B2245="","Bezeichnung fehlt; ","")&amp;IF(COUNTIFS($A$2:$A$5001,$A2245,$C$2:$C$5001,C2245)&gt;1,"Artikel doppelt im selben Lager; ",""))</f>
        <v/>
      </c>
      <c r="P2245" s="47" t="n">
        <f aca="false">IF(OR($A2245="",D2245=""),0,IF(COUNTIF($D$2:D2245,D2245)=1,SUMIF($D$2:$D$5001,D2245,$H$2:$H$5001)+ROW()/10000000,0))</f>
        <v>0</v>
      </c>
      <c r="Q2245" s="47" t="n">
        <f aca="false">IF(OR($A2245="",C2245=""),0,IF(COUNTIF($C$2:C2245,C2245)=1,SUMIF($C$2:$C$5001,C2245,$H$2:$H$5001)+ROW()/10000000,0))</f>
        <v>0</v>
      </c>
    </row>
    <row r="2246" customFormat="false" ht="15" hidden="false" customHeight="false" outlineLevel="0" collapsed="false">
      <c r="A2246" s="43"/>
      <c r="B2246" s="44"/>
      <c r="C2246" s="44"/>
      <c r="D2246" s="44"/>
      <c r="E2246" s="44"/>
      <c r="F2246" s="44"/>
      <c r="G2246" s="44"/>
      <c r="H2246" s="46" t="str">
        <f aca="false">IF($A2246="","",IF(OR(NOT(ISNUMBER(E2246)),NOT(ISNUMBER(F2246))),"",MAX(0,E2246)*F2246))</f>
        <v/>
      </c>
      <c r="I2246" s="46" t="str">
        <f aca="false">IF($A2246="","",SUMIF($A$2:$A$5001,$A2246,$H$2:$H$5001))</f>
        <v/>
      </c>
      <c r="J2246" s="47" t="n">
        <f aca="false">IF($A2246="",0,IF(COUNTIF($A$2:A2246,$A2246)=1,1,0))</f>
        <v>0</v>
      </c>
      <c r="K2246" s="47" t="n">
        <f aca="false">IF(J2246=1,N(I2246)+ROW()/10000000,0)</f>
        <v>0</v>
      </c>
      <c r="L2246" s="47" t="str">
        <f aca="false">IF(AND(J2246=1,N(I2246)&gt;0),SUMIF($K$2:$K$5001,"&gt;="&amp;K2246,$I$2:$I$5001)/MAX(1,SUM($H$2:$H$5001)),"")</f>
        <v/>
      </c>
      <c r="M2246" s="47" t="str">
        <f aca="false">IF($A2246="","",INDEX($L$2:$L$5001,MATCH($A2246,$A$2:$A$5001,0)))</f>
        <v/>
      </c>
      <c r="N2246" s="48" t="str">
        <f aca="false">IF($A2246="","",IF(N(M2246)=0,"–",IF(M2246&lt;=Start!$D$20,"A",IF(M2246&lt;=Start!$D$21,"B","C"))))</f>
        <v/>
      </c>
      <c r="O2246" s="48" t="str">
        <f aca="false">IF($A2246="","",IF(NOT(ISNUMBER(F2246)),"Wert fehlt; ",IF(F2246&lt;=0,"Wert ist 0; ",""))&amp;IF(NOT(ISNUMBER(E2246)),"Bestand fehlt; ",IF(E2246&lt;0,"Bestand negativ; ",IF(E2246=0,"Nullbestand; ","")))&amp;IF(D2246="","Warengruppe fehlt; ","")&amp;IF(B2246="","Bezeichnung fehlt; ","")&amp;IF(COUNTIFS($A$2:$A$5001,$A2246,$C$2:$C$5001,C2246)&gt;1,"Artikel doppelt im selben Lager; ",""))</f>
        <v/>
      </c>
      <c r="P2246" s="47" t="n">
        <f aca="false">IF(OR($A2246="",D2246=""),0,IF(COUNTIF($D$2:D2246,D2246)=1,SUMIF($D$2:$D$5001,D2246,$H$2:$H$5001)+ROW()/10000000,0))</f>
        <v>0</v>
      </c>
      <c r="Q2246" s="47" t="n">
        <f aca="false">IF(OR($A2246="",C2246=""),0,IF(COUNTIF($C$2:C2246,C2246)=1,SUMIF($C$2:$C$5001,C2246,$H$2:$H$5001)+ROW()/10000000,0))</f>
        <v>0</v>
      </c>
    </row>
    <row r="2247" customFormat="false" ht="15" hidden="false" customHeight="false" outlineLevel="0" collapsed="false">
      <c r="A2247" s="43"/>
      <c r="B2247" s="44"/>
      <c r="C2247" s="44"/>
      <c r="D2247" s="44"/>
      <c r="E2247" s="44"/>
      <c r="F2247" s="44"/>
      <c r="G2247" s="44"/>
      <c r="H2247" s="46" t="str">
        <f aca="false">IF($A2247="","",IF(OR(NOT(ISNUMBER(E2247)),NOT(ISNUMBER(F2247))),"",MAX(0,E2247)*F2247))</f>
        <v/>
      </c>
      <c r="I2247" s="46" t="str">
        <f aca="false">IF($A2247="","",SUMIF($A$2:$A$5001,$A2247,$H$2:$H$5001))</f>
        <v/>
      </c>
      <c r="J2247" s="47" t="n">
        <f aca="false">IF($A2247="",0,IF(COUNTIF($A$2:A2247,$A2247)=1,1,0))</f>
        <v>0</v>
      </c>
      <c r="K2247" s="47" t="n">
        <f aca="false">IF(J2247=1,N(I2247)+ROW()/10000000,0)</f>
        <v>0</v>
      </c>
      <c r="L2247" s="47" t="str">
        <f aca="false">IF(AND(J2247=1,N(I2247)&gt;0),SUMIF($K$2:$K$5001,"&gt;="&amp;K2247,$I$2:$I$5001)/MAX(1,SUM($H$2:$H$5001)),"")</f>
        <v/>
      </c>
      <c r="M2247" s="47" t="str">
        <f aca="false">IF($A2247="","",INDEX($L$2:$L$5001,MATCH($A2247,$A$2:$A$5001,0)))</f>
        <v/>
      </c>
      <c r="N2247" s="48" t="str">
        <f aca="false">IF($A2247="","",IF(N(M2247)=0,"–",IF(M2247&lt;=Start!$D$20,"A",IF(M2247&lt;=Start!$D$21,"B","C"))))</f>
        <v/>
      </c>
      <c r="O2247" s="48" t="str">
        <f aca="false">IF($A2247="","",IF(NOT(ISNUMBER(F2247)),"Wert fehlt; ",IF(F2247&lt;=0,"Wert ist 0; ",""))&amp;IF(NOT(ISNUMBER(E2247)),"Bestand fehlt; ",IF(E2247&lt;0,"Bestand negativ; ",IF(E2247=0,"Nullbestand; ","")))&amp;IF(D2247="","Warengruppe fehlt; ","")&amp;IF(B2247="","Bezeichnung fehlt; ","")&amp;IF(COUNTIFS($A$2:$A$5001,$A2247,$C$2:$C$5001,C2247)&gt;1,"Artikel doppelt im selben Lager; ",""))</f>
        <v/>
      </c>
      <c r="P2247" s="47" t="n">
        <f aca="false">IF(OR($A2247="",D2247=""),0,IF(COUNTIF($D$2:D2247,D2247)=1,SUMIF($D$2:$D$5001,D2247,$H$2:$H$5001)+ROW()/10000000,0))</f>
        <v>0</v>
      </c>
      <c r="Q2247" s="47" t="n">
        <f aca="false">IF(OR($A2247="",C2247=""),0,IF(COUNTIF($C$2:C2247,C2247)=1,SUMIF($C$2:$C$5001,C2247,$H$2:$H$5001)+ROW()/10000000,0))</f>
        <v>0</v>
      </c>
    </row>
    <row r="2248" customFormat="false" ht="15" hidden="false" customHeight="false" outlineLevel="0" collapsed="false">
      <c r="A2248" s="43"/>
      <c r="B2248" s="44"/>
      <c r="C2248" s="44"/>
      <c r="D2248" s="44"/>
      <c r="E2248" s="44"/>
      <c r="F2248" s="44"/>
      <c r="G2248" s="44"/>
      <c r="H2248" s="46" t="str">
        <f aca="false">IF($A2248="","",IF(OR(NOT(ISNUMBER(E2248)),NOT(ISNUMBER(F2248))),"",MAX(0,E2248)*F2248))</f>
        <v/>
      </c>
      <c r="I2248" s="46" t="str">
        <f aca="false">IF($A2248="","",SUMIF($A$2:$A$5001,$A2248,$H$2:$H$5001))</f>
        <v/>
      </c>
      <c r="J2248" s="47" t="n">
        <f aca="false">IF($A2248="",0,IF(COUNTIF($A$2:A2248,$A2248)=1,1,0))</f>
        <v>0</v>
      </c>
      <c r="K2248" s="47" t="n">
        <f aca="false">IF(J2248=1,N(I2248)+ROW()/10000000,0)</f>
        <v>0</v>
      </c>
      <c r="L2248" s="47" t="str">
        <f aca="false">IF(AND(J2248=1,N(I2248)&gt;0),SUMIF($K$2:$K$5001,"&gt;="&amp;K2248,$I$2:$I$5001)/MAX(1,SUM($H$2:$H$5001)),"")</f>
        <v/>
      </c>
      <c r="M2248" s="47" t="str">
        <f aca="false">IF($A2248="","",INDEX($L$2:$L$5001,MATCH($A2248,$A$2:$A$5001,0)))</f>
        <v/>
      </c>
      <c r="N2248" s="48" t="str">
        <f aca="false">IF($A2248="","",IF(N(M2248)=0,"–",IF(M2248&lt;=Start!$D$20,"A",IF(M2248&lt;=Start!$D$21,"B","C"))))</f>
        <v/>
      </c>
      <c r="O2248" s="48" t="str">
        <f aca="false">IF($A2248="","",IF(NOT(ISNUMBER(F2248)),"Wert fehlt; ",IF(F2248&lt;=0,"Wert ist 0; ",""))&amp;IF(NOT(ISNUMBER(E2248)),"Bestand fehlt; ",IF(E2248&lt;0,"Bestand negativ; ",IF(E2248=0,"Nullbestand; ","")))&amp;IF(D2248="","Warengruppe fehlt; ","")&amp;IF(B2248="","Bezeichnung fehlt; ","")&amp;IF(COUNTIFS($A$2:$A$5001,$A2248,$C$2:$C$5001,C2248)&gt;1,"Artikel doppelt im selben Lager; ",""))</f>
        <v/>
      </c>
      <c r="P2248" s="47" t="n">
        <f aca="false">IF(OR($A2248="",D2248=""),0,IF(COUNTIF($D$2:D2248,D2248)=1,SUMIF($D$2:$D$5001,D2248,$H$2:$H$5001)+ROW()/10000000,0))</f>
        <v>0</v>
      </c>
      <c r="Q2248" s="47" t="n">
        <f aca="false">IF(OR($A2248="",C2248=""),0,IF(COUNTIF($C$2:C2248,C2248)=1,SUMIF($C$2:$C$5001,C2248,$H$2:$H$5001)+ROW()/10000000,0))</f>
        <v>0</v>
      </c>
    </row>
    <row r="2249" customFormat="false" ht="15" hidden="false" customHeight="false" outlineLevel="0" collapsed="false">
      <c r="A2249" s="43"/>
      <c r="B2249" s="44"/>
      <c r="C2249" s="44"/>
      <c r="D2249" s="44"/>
      <c r="E2249" s="44"/>
      <c r="F2249" s="44"/>
      <c r="G2249" s="44"/>
      <c r="H2249" s="46" t="str">
        <f aca="false">IF($A2249="","",IF(OR(NOT(ISNUMBER(E2249)),NOT(ISNUMBER(F2249))),"",MAX(0,E2249)*F2249))</f>
        <v/>
      </c>
      <c r="I2249" s="46" t="str">
        <f aca="false">IF($A2249="","",SUMIF($A$2:$A$5001,$A2249,$H$2:$H$5001))</f>
        <v/>
      </c>
      <c r="J2249" s="47" t="n">
        <f aca="false">IF($A2249="",0,IF(COUNTIF($A$2:A2249,$A2249)=1,1,0))</f>
        <v>0</v>
      </c>
      <c r="K2249" s="47" t="n">
        <f aca="false">IF(J2249=1,N(I2249)+ROW()/10000000,0)</f>
        <v>0</v>
      </c>
      <c r="L2249" s="47" t="str">
        <f aca="false">IF(AND(J2249=1,N(I2249)&gt;0),SUMIF($K$2:$K$5001,"&gt;="&amp;K2249,$I$2:$I$5001)/MAX(1,SUM($H$2:$H$5001)),"")</f>
        <v/>
      </c>
      <c r="M2249" s="47" t="str">
        <f aca="false">IF($A2249="","",INDEX($L$2:$L$5001,MATCH($A2249,$A$2:$A$5001,0)))</f>
        <v/>
      </c>
      <c r="N2249" s="48" t="str">
        <f aca="false">IF($A2249="","",IF(N(M2249)=0,"–",IF(M2249&lt;=Start!$D$20,"A",IF(M2249&lt;=Start!$D$21,"B","C"))))</f>
        <v/>
      </c>
      <c r="O2249" s="48" t="str">
        <f aca="false">IF($A2249="","",IF(NOT(ISNUMBER(F2249)),"Wert fehlt; ",IF(F2249&lt;=0,"Wert ist 0; ",""))&amp;IF(NOT(ISNUMBER(E2249)),"Bestand fehlt; ",IF(E2249&lt;0,"Bestand negativ; ",IF(E2249=0,"Nullbestand; ","")))&amp;IF(D2249="","Warengruppe fehlt; ","")&amp;IF(B2249="","Bezeichnung fehlt; ","")&amp;IF(COUNTIFS($A$2:$A$5001,$A2249,$C$2:$C$5001,C2249)&gt;1,"Artikel doppelt im selben Lager; ",""))</f>
        <v/>
      </c>
      <c r="P2249" s="47" t="n">
        <f aca="false">IF(OR($A2249="",D2249=""),0,IF(COUNTIF($D$2:D2249,D2249)=1,SUMIF($D$2:$D$5001,D2249,$H$2:$H$5001)+ROW()/10000000,0))</f>
        <v>0</v>
      </c>
      <c r="Q2249" s="47" t="n">
        <f aca="false">IF(OR($A2249="",C2249=""),0,IF(COUNTIF($C$2:C2249,C2249)=1,SUMIF($C$2:$C$5001,C2249,$H$2:$H$5001)+ROW()/10000000,0))</f>
        <v>0</v>
      </c>
    </row>
    <row r="2250" customFormat="false" ht="15" hidden="false" customHeight="false" outlineLevel="0" collapsed="false">
      <c r="A2250" s="43"/>
      <c r="B2250" s="44"/>
      <c r="C2250" s="44"/>
      <c r="D2250" s="44"/>
      <c r="E2250" s="44"/>
      <c r="F2250" s="44"/>
      <c r="G2250" s="44"/>
      <c r="H2250" s="46" t="str">
        <f aca="false">IF($A2250="","",IF(OR(NOT(ISNUMBER(E2250)),NOT(ISNUMBER(F2250))),"",MAX(0,E2250)*F2250))</f>
        <v/>
      </c>
      <c r="I2250" s="46" t="str">
        <f aca="false">IF($A2250="","",SUMIF($A$2:$A$5001,$A2250,$H$2:$H$5001))</f>
        <v/>
      </c>
      <c r="J2250" s="47" t="n">
        <f aca="false">IF($A2250="",0,IF(COUNTIF($A$2:A2250,$A2250)=1,1,0))</f>
        <v>0</v>
      </c>
      <c r="K2250" s="47" t="n">
        <f aca="false">IF(J2250=1,N(I2250)+ROW()/10000000,0)</f>
        <v>0</v>
      </c>
      <c r="L2250" s="47" t="str">
        <f aca="false">IF(AND(J2250=1,N(I2250)&gt;0),SUMIF($K$2:$K$5001,"&gt;="&amp;K2250,$I$2:$I$5001)/MAX(1,SUM($H$2:$H$5001)),"")</f>
        <v/>
      </c>
      <c r="M2250" s="47" t="str">
        <f aca="false">IF($A2250="","",INDEX($L$2:$L$5001,MATCH($A2250,$A$2:$A$5001,0)))</f>
        <v/>
      </c>
      <c r="N2250" s="48" t="str">
        <f aca="false">IF($A2250="","",IF(N(M2250)=0,"–",IF(M2250&lt;=Start!$D$20,"A",IF(M2250&lt;=Start!$D$21,"B","C"))))</f>
        <v/>
      </c>
      <c r="O2250" s="48" t="str">
        <f aca="false">IF($A2250="","",IF(NOT(ISNUMBER(F2250)),"Wert fehlt; ",IF(F2250&lt;=0,"Wert ist 0; ",""))&amp;IF(NOT(ISNUMBER(E2250)),"Bestand fehlt; ",IF(E2250&lt;0,"Bestand negativ; ",IF(E2250=0,"Nullbestand; ","")))&amp;IF(D2250="","Warengruppe fehlt; ","")&amp;IF(B2250="","Bezeichnung fehlt; ","")&amp;IF(COUNTIFS($A$2:$A$5001,$A2250,$C$2:$C$5001,C2250)&gt;1,"Artikel doppelt im selben Lager; ",""))</f>
        <v/>
      </c>
      <c r="P2250" s="47" t="n">
        <f aca="false">IF(OR($A2250="",D2250=""),0,IF(COUNTIF($D$2:D2250,D2250)=1,SUMIF($D$2:$D$5001,D2250,$H$2:$H$5001)+ROW()/10000000,0))</f>
        <v>0</v>
      </c>
      <c r="Q2250" s="47" t="n">
        <f aca="false">IF(OR($A2250="",C2250=""),0,IF(COUNTIF($C$2:C2250,C2250)=1,SUMIF($C$2:$C$5001,C2250,$H$2:$H$5001)+ROW()/10000000,0))</f>
        <v>0</v>
      </c>
    </row>
    <row r="2251" customFormat="false" ht="15" hidden="false" customHeight="false" outlineLevel="0" collapsed="false">
      <c r="A2251" s="43"/>
      <c r="B2251" s="44"/>
      <c r="C2251" s="44"/>
      <c r="D2251" s="44"/>
      <c r="E2251" s="44"/>
      <c r="F2251" s="44"/>
      <c r="G2251" s="44"/>
      <c r="H2251" s="46" t="str">
        <f aca="false">IF($A2251="","",IF(OR(NOT(ISNUMBER(E2251)),NOT(ISNUMBER(F2251))),"",MAX(0,E2251)*F2251))</f>
        <v/>
      </c>
      <c r="I2251" s="46" t="str">
        <f aca="false">IF($A2251="","",SUMIF($A$2:$A$5001,$A2251,$H$2:$H$5001))</f>
        <v/>
      </c>
      <c r="J2251" s="47" t="n">
        <f aca="false">IF($A2251="",0,IF(COUNTIF($A$2:A2251,$A2251)=1,1,0))</f>
        <v>0</v>
      </c>
      <c r="K2251" s="47" t="n">
        <f aca="false">IF(J2251=1,N(I2251)+ROW()/10000000,0)</f>
        <v>0</v>
      </c>
      <c r="L2251" s="47" t="str">
        <f aca="false">IF(AND(J2251=1,N(I2251)&gt;0),SUMIF($K$2:$K$5001,"&gt;="&amp;K2251,$I$2:$I$5001)/MAX(1,SUM($H$2:$H$5001)),"")</f>
        <v/>
      </c>
      <c r="M2251" s="47" t="str">
        <f aca="false">IF($A2251="","",INDEX($L$2:$L$5001,MATCH($A2251,$A$2:$A$5001,0)))</f>
        <v/>
      </c>
      <c r="N2251" s="48" t="str">
        <f aca="false">IF($A2251="","",IF(N(M2251)=0,"–",IF(M2251&lt;=Start!$D$20,"A",IF(M2251&lt;=Start!$D$21,"B","C"))))</f>
        <v/>
      </c>
      <c r="O2251" s="48" t="str">
        <f aca="false">IF($A2251="","",IF(NOT(ISNUMBER(F2251)),"Wert fehlt; ",IF(F2251&lt;=0,"Wert ist 0; ",""))&amp;IF(NOT(ISNUMBER(E2251)),"Bestand fehlt; ",IF(E2251&lt;0,"Bestand negativ; ",IF(E2251=0,"Nullbestand; ","")))&amp;IF(D2251="","Warengruppe fehlt; ","")&amp;IF(B2251="","Bezeichnung fehlt; ","")&amp;IF(COUNTIFS($A$2:$A$5001,$A2251,$C$2:$C$5001,C2251)&gt;1,"Artikel doppelt im selben Lager; ",""))</f>
        <v/>
      </c>
      <c r="P2251" s="47" t="n">
        <f aca="false">IF(OR($A2251="",D2251=""),0,IF(COUNTIF($D$2:D2251,D2251)=1,SUMIF($D$2:$D$5001,D2251,$H$2:$H$5001)+ROW()/10000000,0))</f>
        <v>0</v>
      </c>
      <c r="Q2251" s="47" t="n">
        <f aca="false">IF(OR($A2251="",C2251=""),0,IF(COUNTIF($C$2:C2251,C2251)=1,SUMIF($C$2:$C$5001,C2251,$H$2:$H$5001)+ROW()/10000000,0))</f>
        <v>0</v>
      </c>
    </row>
    <row r="2252" customFormat="false" ht="15" hidden="false" customHeight="false" outlineLevel="0" collapsed="false">
      <c r="A2252" s="43"/>
      <c r="B2252" s="44"/>
      <c r="C2252" s="44"/>
      <c r="D2252" s="44"/>
      <c r="E2252" s="44"/>
      <c r="F2252" s="44"/>
      <c r="G2252" s="44"/>
      <c r="H2252" s="46" t="str">
        <f aca="false">IF($A2252="","",IF(OR(NOT(ISNUMBER(E2252)),NOT(ISNUMBER(F2252))),"",MAX(0,E2252)*F2252))</f>
        <v/>
      </c>
      <c r="I2252" s="46" t="str">
        <f aca="false">IF($A2252="","",SUMIF($A$2:$A$5001,$A2252,$H$2:$H$5001))</f>
        <v/>
      </c>
      <c r="J2252" s="47" t="n">
        <f aca="false">IF($A2252="",0,IF(COUNTIF($A$2:A2252,$A2252)=1,1,0))</f>
        <v>0</v>
      </c>
      <c r="K2252" s="47" t="n">
        <f aca="false">IF(J2252=1,N(I2252)+ROW()/10000000,0)</f>
        <v>0</v>
      </c>
      <c r="L2252" s="47" t="str">
        <f aca="false">IF(AND(J2252=1,N(I2252)&gt;0),SUMIF($K$2:$K$5001,"&gt;="&amp;K2252,$I$2:$I$5001)/MAX(1,SUM($H$2:$H$5001)),"")</f>
        <v/>
      </c>
      <c r="M2252" s="47" t="str">
        <f aca="false">IF($A2252="","",INDEX($L$2:$L$5001,MATCH($A2252,$A$2:$A$5001,0)))</f>
        <v/>
      </c>
      <c r="N2252" s="48" t="str">
        <f aca="false">IF($A2252="","",IF(N(M2252)=0,"–",IF(M2252&lt;=Start!$D$20,"A",IF(M2252&lt;=Start!$D$21,"B","C"))))</f>
        <v/>
      </c>
      <c r="O2252" s="48" t="str">
        <f aca="false">IF($A2252="","",IF(NOT(ISNUMBER(F2252)),"Wert fehlt; ",IF(F2252&lt;=0,"Wert ist 0; ",""))&amp;IF(NOT(ISNUMBER(E2252)),"Bestand fehlt; ",IF(E2252&lt;0,"Bestand negativ; ",IF(E2252=0,"Nullbestand; ","")))&amp;IF(D2252="","Warengruppe fehlt; ","")&amp;IF(B2252="","Bezeichnung fehlt; ","")&amp;IF(COUNTIFS($A$2:$A$5001,$A2252,$C$2:$C$5001,C2252)&gt;1,"Artikel doppelt im selben Lager; ",""))</f>
        <v/>
      </c>
      <c r="P2252" s="47" t="n">
        <f aca="false">IF(OR($A2252="",D2252=""),0,IF(COUNTIF($D$2:D2252,D2252)=1,SUMIF($D$2:$D$5001,D2252,$H$2:$H$5001)+ROW()/10000000,0))</f>
        <v>0</v>
      </c>
      <c r="Q2252" s="47" t="n">
        <f aca="false">IF(OR($A2252="",C2252=""),0,IF(COUNTIF($C$2:C2252,C2252)=1,SUMIF($C$2:$C$5001,C2252,$H$2:$H$5001)+ROW()/10000000,0))</f>
        <v>0</v>
      </c>
    </row>
    <row r="2253" customFormat="false" ht="15" hidden="false" customHeight="false" outlineLevel="0" collapsed="false">
      <c r="A2253" s="43"/>
      <c r="B2253" s="44"/>
      <c r="C2253" s="44"/>
      <c r="D2253" s="44"/>
      <c r="E2253" s="44"/>
      <c r="F2253" s="44"/>
      <c r="G2253" s="44"/>
      <c r="H2253" s="46" t="str">
        <f aca="false">IF($A2253="","",IF(OR(NOT(ISNUMBER(E2253)),NOT(ISNUMBER(F2253))),"",MAX(0,E2253)*F2253))</f>
        <v/>
      </c>
      <c r="I2253" s="46" t="str">
        <f aca="false">IF($A2253="","",SUMIF($A$2:$A$5001,$A2253,$H$2:$H$5001))</f>
        <v/>
      </c>
      <c r="J2253" s="47" t="n">
        <f aca="false">IF($A2253="",0,IF(COUNTIF($A$2:A2253,$A2253)=1,1,0))</f>
        <v>0</v>
      </c>
      <c r="K2253" s="47" t="n">
        <f aca="false">IF(J2253=1,N(I2253)+ROW()/10000000,0)</f>
        <v>0</v>
      </c>
      <c r="L2253" s="47" t="str">
        <f aca="false">IF(AND(J2253=1,N(I2253)&gt;0),SUMIF($K$2:$K$5001,"&gt;="&amp;K2253,$I$2:$I$5001)/MAX(1,SUM($H$2:$H$5001)),"")</f>
        <v/>
      </c>
      <c r="M2253" s="47" t="str">
        <f aca="false">IF($A2253="","",INDEX($L$2:$L$5001,MATCH($A2253,$A$2:$A$5001,0)))</f>
        <v/>
      </c>
      <c r="N2253" s="48" t="str">
        <f aca="false">IF($A2253="","",IF(N(M2253)=0,"–",IF(M2253&lt;=Start!$D$20,"A",IF(M2253&lt;=Start!$D$21,"B","C"))))</f>
        <v/>
      </c>
      <c r="O2253" s="48" t="str">
        <f aca="false">IF($A2253="","",IF(NOT(ISNUMBER(F2253)),"Wert fehlt; ",IF(F2253&lt;=0,"Wert ist 0; ",""))&amp;IF(NOT(ISNUMBER(E2253)),"Bestand fehlt; ",IF(E2253&lt;0,"Bestand negativ; ",IF(E2253=0,"Nullbestand; ","")))&amp;IF(D2253="","Warengruppe fehlt; ","")&amp;IF(B2253="","Bezeichnung fehlt; ","")&amp;IF(COUNTIFS($A$2:$A$5001,$A2253,$C$2:$C$5001,C2253)&gt;1,"Artikel doppelt im selben Lager; ",""))</f>
        <v/>
      </c>
      <c r="P2253" s="47" t="n">
        <f aca="false">IF(OR($A2253="",D2253=""),0,IF(COUNTIF($D$2:D2253,D2253)=1,SUMIF($D$2:$D$5001,D2253,$H$2:$H$5001)+ROW()/10000000,0))</f>
        <v>0</v>
      </c>
      <c r="Q2253" s="47" t="n">
        <f aca="false">IF(OR($A2253="",C2253=""),0,IF(COUNTIF($C$2:C2253,C2253)=1,SUMIF($C$2:$C$5001,C2253,$H$2:$H$5001)+ROW()/10000000,0))</f>
        <v>0</v>
      </c>
    </row>
    <row r="2254" customFormat="false" ht="15" hidden="false" customHeight="false" outlineLevel="0" collapsed="false">
      <c r="A2254" s="43"/>
      <c r="B2254" s="44"/>
      <c r="C2254" s="44"/>
      <c r="D2254" s="44"/>
      <c r="E2254" s="44"/>
      <c r="F2254" s="44"/>
      <c r="G2254" s="44"/>
      <c r="H2254" s="46" t="str">
        <f aca="false">IF($A2254="","",IF(OR(NOT(ISNUMBER(E2254)),NOT(ISNUMBER(F2254))),"",MAX(0,E2254)*F2254))</f>
        <v/>
      </c>
      <c r="I2254" s="46" t="str">
        <f aca="false">IF($A2254="","",SUMIF($A$2:$A$5001,$A2254,$H$2:$H$5001))</f>
        <v/>
      </c>
      <c r="J2254" s="47" t="n">
        <f aca="false">IF($A2254="",0,IF(COUNTIF($A$2:A2254,$A2254)=1,1,0))</f>
        <v>0</v>
      </c>
      <c r="K2254" s="47" t="n">
        <f aca="false">IF(J2254=1,N(I2254)+ROW()/10000000,0)</f>
        <v>0</v>
      </c>
      <c r="L2254" s="47" t="str">
        <f aca="false">IF(AND(J2254=1,N(I2254)&gt;0),SUMIF($K$2:$K$5001,"&gt;="&amp;K2254,$I$2:$I$5001)/MAX(1,SUM($H$2:$H$5001)),"")</f>
        <v/>
      </c>
      <c r="M2254" s="47" t="str">
        <f aca="false">IF($A2254="","",INDEX($L$2:$L$5001,MATCH($A2254,$A$2:$A$5001,0)))</f>
        <v/>
      </c>
      <c r="N2254" s="48" t="str">
        <f aca="false">IF($A2254="","",IF(N(M2254)=0,"–",IF(M2254&lt;=Start!$D$20,"A",IF(M2254&lt;=Start!$D$21,"B","C"))))</f>
        <v/>
      </c>
      <c r="O2254" s="48" t="str">
        <f aca="false">IF($A2254="","",IF(NOT(ISNUMBER(F2254)),"Wert fehlt; ",IF(F2254&lt;=0,"Wert ist 0; ",""))&amp;IF(NOT(ISNUMBER(E2254)),"Bestand fehlt; ",IF(E2254&lt;0,"Bestand negativ; ",IF(E2254=0,"Nullbestand; ","")))&amp;IF(D2254="","Warengruppe fehlt; ","")&amp;IF(B2254="","Bezeichnung fehlt; ","")&amp;IF(COUNTIFS($A$2:$A$5001,$A2254,$C$2:$C$5001,C2254)&gt;1,"Artikel doppelt im selben Lager; ",""))</f>
        <v/>
      </c>
      <c r="P2254" s="47" t="n">
        <f aca="false">IF(OR($A2254="",D2254=""),0,IF(COUNTIF($D$2:D2254,D2254)=1,SUMIF($D$2:$D$5001,D2254,$H$2:$H$5001)+ROW()/10000000,0))</f>
        <v>0</v>
      </c>
      <c r="Q2254" s="47" t="n">
        <f aca="false">IF(OR($A2254="",C2254=""),0,IF(COUNTIF($C$2:C2254,C2254)=1,SUMIF($C$2:$C$5001,C2254,$H$2:$H$5001)+ROW()/10000000,0))</f>
        <v>0</v>
      </c>
    </row>
    <row r="2255" customFormat="false" ht="15" hidden="false" customHeight="false" outlineLevel="0" collapsed="false">
      <c r="A2255" s="43"/>
      <c r="B2255" s="44"/>
      <c r="C2255" s="44"/>
      <c r="D2255" s="44"/>
      <c r="E2255" s="44"/>
      <c r="F2255" s="44"/>
      <c r="G2255" s="44"/>
      <c r="H2255" s="46" t="str">
        <f aca="false">IF($A2255="","",IF(OR(NOT(ISNUMBER(E2255)),NOT(ISNUMBER(F2255))),"",MAX(0,E2255)*F2255))</f>
        <v/>
      </c>
      <c r="I2255" s="46" t="str">
        <f aca="false">IF($A2255="","",SUMIF($A$2:$A$5001,$A2255,$H$2:$H$5001))</f>
        <v/>
      </c>
      <c r="J2255" s="47" t="n">
        <f aca="false">IF($A2255="",0,IF(COUNTIF($A$2:A2255,$A2255)=1,1,0))</f>
        <v>0</v>
      </c>
      <c r="K2255" s="47" t="n">
        <f aca="false">IF(J2255=1,N(I2255)+ROW()/10000000,0)</f>
        <v>0</v>
      </c>
      <c r="L2255" s="47" t="str">
        <f aca="false">IF(AND(J2255=1,N(I2255)&gt;0),SUMIF($K$2:$K$5001,"&gt;="&amp;K2255,$I$2:$I$5001)/MAX(1,SUM($H$2:$H$5001)),"")</f>
        <v/>
      </c>
      <c r="M2255" s="47" t="str">
        <f aca="false">IF($A2255="","",INDEX($L$2:$L$5001,MATCH($A2255,$A$2:$A$5001,0)))</f>
        <v/>
      </c>
      <c r="N2255" s="48" t="str">
        <f aca="false">IF($A2255="","",IF(N(M2255)=0,"–",IF(M2255&lt;=Start!$D$20,"A",IF(M2255&lt;=Start!$D$21,"B","C"))))</f>
        <v/>
      </c>
      <c r="O2255" s="48" t="str">
        <f aca="false">IF($A2255="","",IF(NOT(ISNUMBER(F2255)),"Wert fehlt; ",IF(F2255&lt;=0,"Wert ist 0; ",""))&amp;IF(NOT(ISNUMBER(E2255)),"Bestand fehlt; ",IF(E2255&lt;0,"Bestand negativ; ",IF(E2255=0,"Nullbestand; ","")))&amp;IF(D2255="","Warengruppe fehlt; ","")&amp;IF(B2255="","Bezeichnung fehlt; ","")&amp;IF(COUNTIFS($A$2:$A$5001,$A2255,$C$2:$C$5001,C2255)&gt;1,"Artikel doppelt im selben Lager; ",""))</f>
        <v/>
      </c>
      <c r="P2255" s="47" t="n">
        <f aca="false">IF(OR($A2255="",D2255=""),0,IF(COUNTIF($D$2:D2255,D2255)=1,SUMIF($D$2:$D$5001,D2255,$H$2:$H$5001)+ROW()/10000000,0))</f>
        <v>0</v>
      </c>
      <c r="Q2255" s="47" t="n">
        <f aca="false">IF(OR($A2255="",C2255=""),0,IF(COUNTIF($C$2:C2255,C2255)=1,SUMIF($C$2:$C$5001,C2255,$H$2:$H$5001)+ROW()/10000000,0))</f>
        <v>0</v>
      </c>
    </row>
    <row r="2256" customFormat="false" ht="15" hidden="false" customHeight="false" outlineLevel="0" collapsed="false">
      <c r="A2256" s="43"/>
      <c r="B2256" s="44"/>
      <c r="C2256" s="44"/>
      <c r="D2256" s="44"/>
      <c r="E2256" s="44"/>
      <c r="F2256" s="44"/>
      <c r="G2256" s="44"/>
      <c r="H2256" s="46" t="str">
        <f aca="false">IF($A2256="","",IF(OR(NOT(ISNUMBER(E2256)),NOT(ISNUMBER(F2256))),"",MAX(0,E2256)*F2256))</f>
        <v/>
      </c>
      <c r="I2256" s="46" t="str">
        <f aca="false">IF($A2256="","",SUMIF($A$2:$A$5001,$A2256,$H$2:$H$5001))</f>
        <v/>
      </c>
      <c r="J2256" s="47" t="n">
        <f aca="false">IF($A2256="",0,IF(COUNTIF($A$2:A2256,$A2256)=1,1,0))</f>
        <v>0</v>
      </c>
      <c r="K2256" s="47" t="n">
        <f aca="false">IF(J2256=1,N(I2256)+ROW()/10000000,0)</f>
        <v>0</v>
      </c>
      <c r="L2256" s="47" t="str">
        <f aca="false">IF(AND(J2256=1,N(I2256)&gt;0),SUMIF($K$2:$K$5001,"&gt;="&amp;K2256,$I$2:$I$5001)/MAX(1,SUM($H$2:$H$5001)),"")</f>
        <v/>
      </c>
      <c r="M2256" s="47" t="str">
        <f aca="false">IF($A2256="","",INDEX($L$2:$L$5001,MATCH($A2256,$A$2:$A$5001,0)))</f>
        <v/>
      </c>
      <c r="N2256" s="48" t="str">
        <f aca="false">IF($A2256="","",IF(N(M2256)=0,"–",IF(M2256&lt;=Start!$D$20,"A",IF(M2256&lt;=Start!$D$21,"B","C"))))</f>
        <v/>
      </c>
      <c r="O2256" s="48" t="str">
        <f aca="false">IF($A2256="","",IF(NOT(ISNUMBER(F2256)),"Wert fehlt; ",IF(F2256&lt;=0,"Wert ist 0; ",""))&amp;IF(NOT(ISNUMBER(E2256)),"Bestand fehlt; ",IF(E2256&lt;0,"Bestand negativ; ",IF(E2256=0,"Nullbestand; ","")))&amp;IF(D2256="","Warengruppe fehlt; ","")&amp;IF(B2256="","Bezeichnung fehlt; ","")&amp;IF(COUNTIFS($A$2:$A$5001,$A2256,$C$2:$C$5001,C2256)&gt;1,"Artikel doppelt im selben Lager; ",""))</f>
        <v/>
      </c>
      <c r="P2256" s="47" t="n">
        <f aca="false">IF(OR($A2256="",D2256=""),0,IF(COUNTIF($D$2:D2256,D2256)=1,SUMIF($D$2:$D$5001,D2256,$H$2:$H$5001)+ROW()/10000000,0))</f>
        <v>0</v>
      </c>
      <c r="Q2256" s="47" t="n">
        <f aca="false">IF(OR($A2256="",C2256=""),0,IF(COUNTIF($C$2:C2256,C2256)=1,SUMIF($C$2:$C$5001,C2256,$H$2:$H$5001)+ROW()/10000000,0))</f>
        <v>0</v>
      </c>
    </row>
    <row r="2257" customFormat="false" ht="15" hidden="false" customHeight="false" outlineLevel="0" collapsed="false">
      <c r="A2257" s="43"/>
      <c r="B2257" s="44"/>
      <c r="C2257" s="44"/>
      <c r="D2257" s="44"/>
      <c r="E2257" s="44"/>
      <c r="F2257" s="44"/>
      <c r="G2257" s="44"/>
      <c r="H2257" s="46" t="str">
        <f aca="false">IF($A2257="","",IF(OR(NOT(ISNUMBER(E2257)),NOT(ISNUMBER(F2257))),"",MAX(0,E2257)*F2257))</f>
        <v/>
      </c>
      <c r="I2257" s="46" t="str">
        <f aca="false">IF($A2257="","",SUMIF($A$2:$A$5001,$A2257,$H$2:$H$5001))</f>
        <v/>
      </c>
      <c r="J2257" s="47" t="n">
        <f aca="false">IF($A2257="",0,IF(COUNTIF($A$2:A2257,$A2257)=1,1,0))</f>
        <v>0</v>
      </c>
      <c r="K2257" s="47" t="n">
        <f aca="false">IF(J2257=1,N(I2257)+ROW()/10000000,0)</f>
        <v>0</v>
      </c>
      <c r="L2257" s="47" t="str">
        <f aca="false">IF(AND(J2257=1,N(I2257)&gt;0),SUMIF($K$2:$K$5001,"&gt;="&amp;K2257,$I$2:$I$5001)/MAX(1,SUM($H$2:$H$5001)),"")</f>
        <v/>
      </c>
      <c r="M2257" s="47" t="str">
        <f aca="false">IF($A2257="","",INDEX($L$2:$L$5001,MATCH($A2257,$A$2:$A$5001,0)))</f>
        <v/>
      </c>
      <c r="N2257" s="48" t="str">
        <f aca="false">IF($A2257="","",IF(N(M2257)=0,"–",IF(M2257&lt;=Start!$D$20,"A",IF(M2257&lt;=Start!$D$21,"B","C"))))</f>
        <v/>
      </c>
      <c r="O2257" s="48" t="str">
        <f aca="false">IF($A2257="","",IF(NOT(ISNUMBER(F2257)),"Wert fehlt; ",IF(F2257&lt;=0,"Wert ist 0; ",""))&amp;IF(NOT(ISNUMBER(E2257)),"Bestand fehlt; ",IF(E2257&lt;0,"Bestand negativ; ",IF(E2257=0,"Nullbestand; ","")))&amp;IF(D2257="","Warengruppe fehlt; ","")&amp;IF(B2257="","Bezeichnung fehlt; ","")&amp;IF(COUNTIFS($A$2:$A$5001,$A2257,$C$2:$C$5001,C2257)&gt;1,"Artikel doppelt im selben Lager; ",""))</f>
        <v/>
      </c>
      <c r="P2257" s="47" t="n">
        <f aca="false">IF(OR($A2257="",D2257=""),0,IF(COUNTIF($D$2:D2257,D2257)=1,SUMIF($D$2:$D$5001,D2257,$H$2:$H$5001)+ROW()/10000000,0))</f>
        <v>0</v>
      </c>
      <c r="Q2257" s="47" t="n">
        <f aca="false">IF(OR($A2257="",C2257=""),0,IF(COUNTIF($C$2:C2257,C2257)=1,SUMIF($C$2:$C$5001,C2257,$H$2:$H$5001)+ROW()/10000000,0))</f>
        <v>0</v>
      </c>
    </row>
    <row r="2258" customFormat="false" ht="15" hidden="false" customHeight="false" outlineLevel="0" collapsed="false">
      <c r="A2258" s="43"/>
      <c r="B2258" s="44"/>
      <c r="C2258" s="44"/>
      <c r="D2258" s="44"/>
      <c r="E2258" s="44"/>
      <c r="F2258" s="44"/>
      <c r="G2258" s="44"/>
      <c r="H2258" s="46" t="str">
        <f aca="false">IF($A2258="","",IF(OR(NOT(ISNUMBER(E2258)),NOT(ISNUMBER(F2258))),"",MAX(0,E2258)*F2258))</f>
        <v/>
      </c>
      <c r="I2258" s="46" t="str">
        <f aca="false">IF($A2258="","",SUMIF($A$2:$A$5001,$A2258,$H$2:$H$5001))</f>
        <v/>
      </c>
      <c r="J2258" s="47" t="n">
        <f aca="false">IF($A2258="",0,IF(COUNTIF($A$2:A2258,$A2258)=1,1,0))</f>
        <v>0</v>
      </c>
      <c r="K2258" s="47" t="n">
        <f aca="false">IF(J2258=1,N(I2258)+ROW()/10000000,0)</f>
        <v>0</v>
      </c>
      <c r="L2258" s="47" t="str">
        <f aca="false">IF(AND(J2258=1,N(I2258)&gt;0),SUMIF($K$2:$K$5001,"&gt;="&amp;K2258,$I$2:$I$5001)/MAX(1,SUM($H$2:$H$5001)),"")</f>
        <v/>
      </c>
      <c r="M2258" s="47" t="str">
        <f aca="false">IF($A2258="","",INDEX($L$2:$L$5001,MATCH($A2258,$A$2:$A$5001,0)))</f>
        <v/>
      </c>
      <c r="N2258" s="48" t="str">
        <f aca="false">IF($A2258="","",IF(N(M2258)=0,"–",IF(M2258&lt;=Start!$D$20,"A",IF(M2258&lt;=Start!$D$21,"B","C"))))</f>
        <v/>
      </c>
      <c r="O2258" s="48" t="str">
        <f aca="false">IF($A2258="","",IF(NOT(ISNUMBER(F2258)),"Wert fehlt; ",IF(F2258&lt;=0,"Wert ist 0; ",""))&amp;IF(NOT(ISNUMBER(E2258)),"Bestand fehlt; ",IF(E2258&lt;0,"Bestand negativ; ",IF(E2258=0,"Nullbestand; ","")))&amp;IF(D2258="","Warengruppe fehlt; ","")&amp;IF(B2258="","Bezeichnung fehlt; ","")&amp;IF(COUNTIFS($A$2:$A$5001,$A2258,$C$2:$C$5001,C2258)&gt;1,"Artikel doppelt im selben Lager; ",""))</f>
        <v/>
      </c>
      <c r="P2258" s="47" t="n">
        <f aca="false">IF(OR($A2258="",D2258=""),0,IF(COUNTIF($D$2:D2258,D2258)=1,SUMIF($D$2:$D$5001,D2258,$H$2:$H$5001)+ROW()/10000000,0))</f>
        <v>0</v>
      </c>
      <c r="Q2258" s="47" t="n">
        <f aca="false">IF(OR($A2258="",C2258=""),0,IF(COUNTIF($C$2:C2258,C2258)=1,SUMIF($C$2:$C$5001,C2258,$H$2:$H$5001)+ROW()/10000000,0))</f>
        <v>0</v>
      </c>
    </row>
    <row r="2259" customFormat="false" ht="15" hidden="false" customHeight="false" outlineLevel="0" collapsed="false">
      <c r="A2259" s="43"/>
      <c r="B2259" s="44"/>
      <c r="C2259" s="44"/>
      <c r="D2259" s="44"/>
      <c r="E2259" s="44"/>
      <c r="F2259" s="44"/>
      <c r="G2259" s="44"/>
      <c r="H2259" s="46" t="str">
        <f aca="false">IF($A2259="","",IF(OR(NOT(ISNUMBER(E2259)),NOT(ISNUMBER(F2259))),"",MAX(0,E2259)*F2259))</f>
        <v/>
      </c>
      <c r="I2259" s="46" t="str">
        <f aca="false">IF($A2259="","",SUMIF($A$2:$A$5001,$A2259,$H$2:$H$5001))</f>
        <v/>
      </c>
      <c r="J2259" s="47" t="n">
        <f aca="false">IF($A2259="",0,IF(COUNTIF($A$2:A2259,$A2259)=1,1,0))</f>
        <v>0</v>
      </c>
      <c r="K2259" s="47" t="n">
        <f aca="false">IF(J2259=1,N(I2259)+ROW()/10000000,0)</f>
        <v>0</v>
      </c>
      <c r="L2259" s="47" t="str">
        <f aca="false">IF(AND(J2259=1,N(I2259)&gt;0),SUMIF($K$2:$K$5001,"&gt;="&amp;K2259,$I$2:$I$5001)/MAX(1,SUM($H$2:$H$5001)),"")</f>
        <v/>
      </c>
      <c r="M2259" s="47" t="str">
        <f aca="false">IF($A2259="","",INDEX($L$2:$L$5001,MATCH($A2259,$A$2:$A$5001,0)))</f>
        <v/>
      </c>
      <c r="N2259" s="48" t="str">
        <f aca="false">IF($A2259="","",IF(N(M2259)=0,"–",IF(M2259&lt;=Start!$D$20,"A",IF(M2259&lt;=Start!$D$21,"B","C"))))</f>
        <v/>
      </c>
      <c r="O2259" s="48" t="str">
        <f aca="false">IF($A2259="","",IF(NOT(ISNUMBER(F2259)),"Wert fehlt; ",IF(F2259&lt;=0,"Wert ist 0; ",""))&amp;IF(NOT(ISNUMBER(E2259)),"Bestand fehlt; ",IF(E2259&lt;0,"Bestand negativ; ",IF(E2259=0,"Nullbestand; ","")))&amp;IF(D2259="","Warengruppe fehlt; ","")&amp;IF(B2259="","Bezeichnung fehlt; ","")&amp;IF(COUNTIFS($A$2:$A$5001,$A2259,$C$2:$C$5001,C2259)&gt;1,"Artikel doppelt im selben Lager; ",""))</f>
        <v/>
      </c>
      <c r="P2259" s="47" t="n">
        <f aca="false">IF(OR($A2259="",D2259=""),0,IF(COUNTIF($D$2:D2259,D2259)=1,SUMIF($D$2:$D$5001,D2259,$H$2:$H$5001)+ROW()/10000000,0))</f>
        <v>0</v>
      </c>
      <c r="Q2259" s="47" t="n">
        <f aca="false">IF(OR($A2259="",C2259=""),0,IF(COUNTIF($C$2:C2259,C2259)=1,SUMIF($C$2:$C$5001,C2259,$H$2:$H$5001)+ROW()/10000000,0))</f>
        <v>0</v>
      </c>
    </row>
    <row r="2260" customFormat="false" ht="15" hidden="false" customHeight="false" outlineLevel="0" collapsed="false">
      <c r="A2260" s="43"/>
      <c r="B2260" s="44"/>
      <c r="C2260" s="44"/>
      <c r="D2260" s="44"/>
      <c r="E2260" s="44"/>
      <c r="F2260" s="44"/>
      <c r="G2260" s="44"/>
      <c r="H2260" s="46" t="str">
        <f aca="false">IF($A2260="","",IF(OR(NOT(ISNUMBER(E2260)),NOT(ISNUMBER(F2260))),"",MAX(0,E2260)*F2260))</f>
        <v/>
      </c>
      <c r="I2260" s="46" t="str">
        <f aca="false">IF($A2260="","",SUMIF($A$2:$A$5001,$A2260,$H$2:$H$5001))</f>
        <v/>
      </c>
      <c r="J2260" s="47" t="n">
        <f aca="false">IF($A2260="",0,IF(COUNTIF($A$2:A2260,$A2260)=1,1,0))</f>
        <v>0</v>
      </c>
      <c r="K2260" s="47" t="n">
        <f aca="false">IF(J2260=1,N(I2260)+ROW()/10000000,0)</f>
        <v>0</v>
      </c>
      <c r="L2260" s="47" t="str">
        <f aca="false">IF(AND(J2260=1,N(I2260)&gt;0),SUMIF($K$2:$K$5001,"&gt;="&amp;K2260,$I$2:$I$5001)/MAX(1,SUM($H$2:$H$5001)),"")</f>
        <v/>
      </c>
      <c r="M2260" s="47" t="str">
        <f aca="false">IF($A2260="","",INDEX($L$2:$L$5001,MATCH($A2260,$A$2:$A$5001,0)))</f>
        <v/>
      </c>
      <c r="N2260" s="48" t="str">
        <f aca="false">IF($A2260="","",IF(N(M2260)=0,"–",IF(M2260&lt;=Start!$D$20,"A",IF(M2260&lt;=Start!$D$21,"B","C"))))</f>
        <v/>
      </c>
      <c r="O2260" s="48" t="str">
        <f aca="false">IF($A2260="","",IF(NOT(ISNUMBER(F2260)),"Wert fehlt; ",IF(F2260&lt;=0,"Wert ist 0; ",""))&amp;IF(NOT(ISNUMBER(E2260)),"Bestand fehlt; ",IF(E2260&lt;0,"Bestand negativ; ",IF(E2260=0,"Nullbestand; ","")))&amp;IF(D2260="","Warengruppe fehlt; ","")&amp;IF(B2260="","Bezeichnung fehlt; ","")&amp;IF(COUNTIFS($A$2:$A$5001,$A2260,$C$2:$C$5001,C2260)&gt;1,"Artikel doppelt im selben Lager; ",""))</f>
        <v/>
      </c>
      <c r="P2260" s="47" t="n">
        <f aca="false">IF(OR($A2260="",D2260=""),0,IF(COUNTIF($D$2:D2260,D2260)=1,SUMIF($D$2:$D$5001,D2260,$H$2:$H$5001)+ROW()/10000000,0))</f>
        <v>0</v>
      </c>
      <c r="Q2260" s="47" t="n">
        <f aca="false">IF(OR($A2260="",C2260=""),0,IF(COUNTIF($C$2:C2260,C2260)=1,SUMIF($C$2:$C$5001,C2260,$H$2:$H$5001)+ROW()/10000000,0))</f>
        <v>0</v>
      </c>
    </row>
    <row r="2261" customFormat="false" ht="15" hidden="false" customHeight="false" outlineLevel="0" collapsed="false">
      <c r="A2261" s="43"/>
      <c r="B2261" s="44"/>
      <c r="C2261" s="44"/>
      <c r="D2261" s="44"/>
      <c r="E2261" s="44"/>
      <c r="F2261" s="44"/>
      <c r="G2261" s="44"/>
      <c r="H2261" s="46" t="str">
        <f aca="false">IF($A2261="","",IF(OR(NOT(ISNUMBER(E2261)),NOT(ISNUMBER(F2261))),"",MAX(0,E2261)*F2261))</f>
        <v/>
      </c>
      <c r="I2261" s="46" t="str">
        <f aca="false">IF($A2261="","",SUMIF($A$2:$A$5001,$A2261,$H$2:$H$5001))</f>
        <v/>
      </c>
      <c r="J2261" s="47" t="n">
        <f aca="false">IF($A2261="",0,IF(COUNTIF($A$2:A2261,$A2261)=1,1,0))</f>
        <v>0</v>
      </c>
      <c r="K2261" s="47" t="n">
        <f aca="false">IF(J2261=1,N(I2261)+ROW()/10000000,0)</f>
        <v>0</v>
      </c>
      <c r="L2261" s="47" t="str">
        <f aca="false">IF(AND(J2261=1,N(I2261)&gt;0),SUMIF($K$2:$K$5001,"&gt;="&amp;K2261,$I$2:$I$5001)/MAX(1,SUM($H$2:$H$5001)),"")</f>
        <v/>
      </c>
      <c r="M2261" s="47" t="str">
        <f aca="false">IF($A2261="","",INDEX($L$2:$L$5001,MATCH($A2261,$A$2:$A$5001,0)))</f>
        <v/>
      </c>
      <c r="N2261" s="48" t="str">
        <f aca="false">IF($A2261="","",IF(N(M2261)=0,"–",IF(M2261&lt;=Start!$D$20,"A",IF(M2261&lt;=Start!$D$21,"B","C"))))</f>
        <v/>
      </c>
      <c r="O2261" s="48" t="str">
        <f aca="false">IF($A2261="","",IF(NOT(ISNUMBER(F2261)),"Wert fehlt; ",IF(F2261&lt;=0,"Wert ist 0; ",""))&amp;IF(NOT(ISNUMBER(E2261)),"Bestand fehlt; ",IF(E2261&lt;0,"Bestand negativ; ",IF(E2261=0,"Nullbestand; ","")))&amp;IF(D2261="","Warengruppe fehlt; ","")&amp;IF(B2261="","Bezeichnung fehlt; ","")&amp;IF(COUNTIFS($A$2:$A$5001,$A2261,$C$2:$C$5001,C2261)&gt;1,"Artikel doppelt im selben Lager; ",""))</f>
        <v/>
      </c>
      <c r="P2261" s="47" t="n">
        <f aca="false">IF(OR($A2261="",D2261=""),0,IF(COUNTIF($D$2:D2261,D2261)=1,SUMIF($D$2:$D$5001,D2261,$H$2:$H$5001)+ROW()/10000000,0))</f>
        <v>0</v>
      </c>
      <c r="Q2261" s="47" t="n">
        <f aca="false">IF(OR($A2261="",C2261=""),0,IF(COUNTIF($C$2:C2261,C2261)=1,SUMIF($C$2:$C$5001,C2261,$H$2:$H$5001)+ROW()/10000000,0))</f>
        <v>0</v>
      </c>
    </row>
    <row r="2262" customFormat="false" ht="15" hidden="false" customHeight="false" outlineLevel="0" collapsed="false">
      <c r="A2262" s="43"/>
      <c r="B2262" s="44"/>
      <c r="C2262" s="44"/>
      <c r="D2262" s="44"/>
      <c r="E2262" s="44"/>
      <c r="F2262" s="44"/>
      <c r="G2262" s="44"/>
      <c r="H2262" s="46" t="str">
        <f aca="false">IF($A2262="","",IF(OR(NOT(ISNUMBER(E2262)),NOT(ISNUMBER(F2262))),"",MAX(0,E2262)*F2262))</f>
        <v/>
      </c>
      <c r="I2262" s="46" t="str">
        <f aca="false">IF($A2262="","",SUMIF($A$2:$A$5001,$A2262,$H$2:$H$5001))</f>
        <v/>
      </c>
      <c r="J2262" s="47" t="n">
        <f aca="false">IF($A2262="",0,IF(COUNTIF($A$2:A2262,$A2262)=1,1,0))</f>
        <v>0</v>
      </c>
      <c r="K2262" s="47" t="n">
        <f aca="false">IF(J2262=1,N(I2262)+ROW()/10000000,0)</f>
        <v>0</v>
      </c>
      <c r="L2262" s="47" t="str">
        <f aca="false">IF(AND(J2262=1,N(I2262)&gt;0),SUMIF($K$2:$K$5001,"&gt;="&amp;K2262,$I$2:$I$5001)/MAX(1,SUM($H$2:$H$5001)),"")</f>
        <v/>
      </c>
      <c r="M2262" s="47" t="str">
        <f aca="false">IF($A2262="","",INDEX($L$2:$L$5001,MATCH($A2262,$A$2:$A$5001,0)))</f>
        <v/>
      </c>
      <c r="N2262" s="48" t="str">
        <f aca="false">IF($A2262="","",IF(N(M2262)=0,"–",IF(M2262&lt;=Start!$D$20,"A",IF(M2262&lt;=Start!$D$21,"B","C"))))</f>
        <v/>
      </c>
      <c r="O2262" s="48" t="str">
        <f aca="false">IF($A2262="","",IF(NOT(ISNUMBER(F2262)),"Wert fehlt; ",IF(F2262&lt;=0,"Wert ist 0; ",""))&amp;IF(NOT(ISNUMBER(E2262)),"Bestand fehlt; ",IF(E2262&lt;0,"Bestand negativ; ",IF(E2262=0,"Nullbestand; ","")))&amp;IF(D2262="","Warengruppe fehlt; ","")&amp;IF(B2262="","Bezeichnung fehlt; ","")&amp;IF(COUNTIFS($A$2:$A$5001,$A2262,$C$2:$C$5001,C2262)&gt;1,"Artikel doppelt im selben Lager; ",""))</f>
        <v/>
      </c>
      <c r="P2262" s="47" t="n">
        <f aca="false">IF(OR($A2262="",D2262=""),0,IF(COUNTIF($D$2:D2262,D2262)=1,SUMIF($D$2:$D$5001,D2262,$H$2:$H$5001)+ROW()/10000000,0))</f>
        <v>0</v>
      </c>
      <c r="Q2262" s="47" t="n">
        <f aca="false">IF(OR($A2262="",C2262=""),0,IF(COUNTIF($C$2:C2262,C2262)=1,SUMIF($C$2:$C$5001,C2262,$H$2:$H$5001)+ROW()/10000000,0))</f>
        <v>0</v>
      </c>
    </row>
    <row r="2263" customFormat="false" ht="15" hidden="false" customHeight="false" outlineLevel="0" collapsed="false">
      <c r="A2263" s="43"/>
      <c r="B2263" s="44"/>
      <c r="C2263" s="44"/>
      <c r="D2263" s="44"/>
      <c r="E2263" s="44"/>
      <c r="F2263" s="44"/>
      <c r="G2263" s="44"/>
      <c r="H2263" s="46" t="str">
        <f aca="false">IF($A2263="","",IF(OR(NOT(ISNUMBER(E2263)),NOT(ISNUMBER(F2263))),"",MAX(0,E2263)*F2263))</f>
        <v/>
      </c>
      <c r="I2263" s="46" t="str">
        <f aca="false">IF($A2263="","",SUMIF($A$2:$A$5001,$A2263,$H$2:$H$5001))</f>
        <v/>
      </c>
      <c r="J2263" s="47" t="n">
        <f aca="false">IF($A2263="",0,IF(COUNTIF($A$2:A2263,$A2263)=1,1,0))</f>
        <v>0</v>
      </c>
      <c r="K2263" s="47" t="n">
        <f aca="false">IF(J2263=1,N(I2263)+ROW()/10000000,0)</f>
        <v>0</v>
      </c>
      <c r="L2263" s="47" t="str">
        <f aca="false">IF(AND(J2263=1,N(I2263)&gt;0),SUMIF($K$2:$K$5001,"&gt;="&amp;K2263,$I$2:$I$5001)/MAX(1,SUM($H$2:$H$5001)),"")</f>
        <v/>
      </c>
      <c r="M2263" s="47" t="str">
        <f aca="false">IF($A2263="","",INDEX($L$2:$L$5001,MATCH($A2263,$A$2:$A$5001,0)))</f>
        <v/>
      </c>
      <c r="N2263" s="48" t="str">
        <f aca="false">IF($A2263="","",IF(N(M2263)=0,"–",IF(M2263&lt;=Start!$D$20,"A",IF(M2263&lt;=Start!$D$21,"B","C"))))</f>
        <v/>
      </c>
      <c r="O2263" s="48" t="str">
        <f aca="false">IF($A2263="","",IF(NOT(ISNUMBER(F2263)),"Wert fehlt; ",IF(F2263&lt;=0,"Wert ist 0; ",""))&amp;IF(NOT(ISNUMBER(E2263)),"Bestand fehlt; ",IF(E2263&lt;0,"Bestand negativ; ",IF(E2263=0,"Nullbestand; ","")))&amp;IF(D2263="","Warengruppe fehlt; ","")&amp;IF(B2263="","Bezeichnung fehlt; ","")&amp;IF(COUNTIFS($A$2:$A$5001,$A2263,$C$2:$C$5001,C2263)&gt;1,"Artikel doppelt im selben Lager; ",""))</f>
        <v/>
      </c>
      <c r="P2263" s="47" t="n">
        <f aca="false">IF(OR($A2263="",D2263=""),0,IF(COUNTIF($D$2:D2263,D2263)=1,SUMIF($D$2:$D$5001,D2263,$H$2:$H$5001)+ROW()/10000000,0))</f>
        <v>0</v>
      </c>
      <c r="Q2263" s="47" t="n">
        <f aca="false">IF(OR($A2263="",C2263=""),0,IF(COUNTIF($C$2:C2263,C2263)=1,SUMIF($C$2:$C$5001,C2263,$H$2:$H$5001)+ROW()/10000000,0))</f>
        <v>0</v>
      </c>
    </row>
    <row r="2264" customFormat="false" ht="15" hidden="false" customHeight="false" outlineLevel="0" collapsed="false">
      <c r="A2264" s="43"/>
      <c r="B2264" s="44"/>
      <c r="C2264" s="44"/>
      <c r="D2264" s="44"/>
      <c r="E2264" s="44"/>
      <c r="F2264" s="44"/>
      <c r="G2264" s="44"/>
      <c r="H2264" s="46" t="str">
        <f aca="false">IF($A2264="","",IF(OR(NOT(ISNUMBER(E2264)),NOT(ISNUMBER(F2264))),"",MAX(0,E2264)*F2264))</f>
        <v/>
      </c>
      <c r="I2264" s="46" t="str">
        <f aca="false">IF($A2264="","",SUMIF($A$2:$A$5001,$A2264,$H$2:$H$5001))</f>
        <v/>
      </c>
      <c r="J2264" s="47" t="n">
        <f aca="false">IF($A2264="",0,IF(COUNTIF($A$2:A2264,$A2264)=1,1,0))</f>
        <v>0</v>
      </c>
      <c r="K2264" s="47" t="n">
        <f aca="false">IF(J2264=1,N(I2264)+ROW()/10000000,0)</f>
        <v>0</v>
      </c>
      <c r="L2264" s="47" t="str">
        <f aca="false">IF(AND(J2264=1,N(I2264)&gt;0),SUMIF($K$2:$K$5001,"&gt;="&amp;K2264,$I$2:$I$5001)/MAX(1,SUM($H$2:$H$5001)),"")</f>
        <v/>
      </c>
      <c r="M2264" s="47" t="str">
        <f aca="false">IF($A2264="","",INDEX($L$2:$L$5001,MATCH($A2264,$A$2:$A$5001,0)))</f>
        <v/>
      </c>
      <c r="N2264" s="48" t="str">
        <f aca="false">IF($A2264="","",IF(N(M2264)=0,"–",IF(M2264&lt;=Start!$D$20,"A",IF(M2264&lt;=Start!$D$21,"B","C"))))</f>
        <v/>
      </c>
      <c r="O2264" s="48" t="str">
        <f aca="false">IF($A2264="","",IF(NOT(ISNUMBER(F2264)),"Wert fehlt; ",IF(F2264&lt;=0,"Wert ist 0; ",""))&amp;IF(NOT(ISNUMBER(E2264)),"Bestand fehlt; ",IF(E2264&lt;0,"Bestand negativ; ",IF(E2264=0,"Nullbestand; ","")))&amp;IF(D2264="","Warengruppe fehlt; ","")&amp;IF(B2264="","Bezeichnung fehlt; ","")&amp;IF(COUNTIFS($A$2:$A$5001,$A2264,$C$2:$C$5001,C2264)&gt;1,"Artikel doppelt im selben Lager; ",""))</f>
        <v/>
      </c>
      <c r="P2264" s="47" t="n">
        <f aca="false">IF(OR($A2264="",D2264=""),0,IF(COUNTIF($D$2:D2264,D2264)=1,SUMIF($D$2:$D$5001,D2264,$H$2:$H$5001)+ROW()/10000000,0))</f>
        <v>0</v>
      </c>
      <c r="Q2264" s="47" t="n">
        <f aca="false">IF(OR($A2264="",C2264=""),0,IF(COUNTIF($C$2:C2264,C2264)=1,SUMIF($C$2:$C$5001,C2264,$H$2:$H$5001)+ROW()/10000000,0))</f>
        <v>0</v>
      </c>
    </row>
    <row r="2265" customFormat="false" ht="15" hidden="false" customHeight="false" outlineLevel="0" collapsed="false">
      <c r="A2265" s="43"/>
      <c r="B2265" s="44"/>
      <c r="C2265" s="44"/>
      <c r="D2265" s="44"/>
      <c r="E2265" s="44"/>
      <c r="F2265" s="44"/>
      <c r="G2265" s="44"/>
      <c r="H2265" s="46" t="str">
        <f aca="false">IF($A2265="","",IF(OR(NOT(ISNUMBER(E2265)),NOT(ISNUMBER(F2265))),"",MAX(0,E2265)*F2265))</f>
        <v/>
      </c>
      <c r="I2265" s="46" t="str">
        <f aca="false">IF($A2265="","",SUMIF($A$2:$A$5001,$A2265,$H$2:$H$5001))</f>
        <v/>
      </c>
      <c r="J2265" s="47" t="n">
        <f aca="false">IF($A2265="",0,IF(COUNTIF($A$2:A2265,$A2265)=1,1,0))</f>
        <v>0</v>
      </c>
      <c r="K2265" s="47" t="n">
        <f aca="false">IF(J2265=1,N(I2265)+ROW()/10000000,0)</f>
        <v>0</v>
      </c>
      <c r="L2265" s="47" t="str">
        <f aca="false">IF(AND(J2265=1,N(I2265)&gt;0),SUMIF($K$2:$K$5001,"&gt;="&amp;K2265,$I$2:$I$5001)/MAX(1,SUM($H$2:$H$5001)),"")</f>
        <v/>
      </c>
      <c r="M2265" s="47" t="str">
        <f aca="false">IF($A2265="","",INDEX($L$2:$L$5001,MATCH($A2265,$A$2:$A$5001,0)))</f>
        <v/>
      </c>
      <c r="N2265" s="48" t="str">
        <f aca="false">IF($A2265="","",IF(N(M2265)=0,"–",IF(M2265&lt;=Start!$D$20,"A",IF(M2265&lt;=Start!$D$21,"B","C"))))</f>
        <v/>
      </c>
      <c r="O2265" s="48" t="str">
        <f aca="false">IF($A2265="","",IF(NOT(ISNUMBER(F2265)),"Wert fehlt; ",IF(F2265&lt;=0,"Wert ist 0; ",""))&amp;IF(NOT(ISNUMBER(E2265)),"Bestand fehlt; ",IF(E2265&lt;0,"Bestand negativ; ",IF(E2265=0,"Nullbestand; ","")))&amp;IF(D2265="","Warengruppe fehlt; ","")&amp;IF(B2265="","Bezeichnung fehlt; ","")&amp;IF(COUNTIFS($A$2:$A$5001,$A2265,$C$2:$C$5001,C2265)&gt;1,"Artikel doppelt im selben Lager; ",""))</f>
        <v/>
      </c>
      <c r="P2265" s="47" t="n">
        <f aca="false">IF(OR($A2265="",D2265=""),0,IF(COUNTIF($D$2:D2265,D2265)=1,SUMIF($D$2:$D$5001,D2265,$H$2:$H$5001)+ROW()/10000000,0))</f>
        <v>0</v>
      </c>
      <c r="Q2265" s="47" t="n">
        <f aca="false">IF(OR($A2265="",C2265=""),0,IF(COUNTIF($C$2:C2265,C2265)=1,SUMIF($C$2:$C$5001,C2265,$H$2:$H$5001)+ROW()/10000000,0))</f>
        <v>0</v>
      </c>
    </row>
    <row r="2266" customFormat="false" ht="15" hidden="false" customHeight="false" outlineLevel="0" collapsed="false">
      <c r="A2266" s="43"/>
      <c r="B2266" s="44"/>
      <c r="C2266" s="44"/>
      <c r="D2266" s="44"/>
      <c r="E2266" s="44"/>
      <c r="F2266" s="44"/>
      <c r="G2266" s="44"/>
      <c r="H2266" s="46" t="str">
        <f aca="false">IF($A2266="","",IF(OR(NOT(ISNUMBER(E2266)),NOT(ISNUMBER(F2266))),"",MAX(0,E2266)*F2266))</f>
        <v/>
      </c>
      <c r="I2266" s="46" t="str">
        <f aca="false">IF($A2266="","",SUMIF($A$2:$A$5001,$A2266,$H$2:$H$5001))</f>
        <v/>
      </c>
      <c r="J2266" s="47" t="n">
        <f aca="false">IF($A2266="",0,IF(COUNTIF($A$2:A2266,$A2266)=1,1,0))</f>
        <v>0</v>
      </c>
      <c r="K2266" s="47" t="n">
        <f aca="false">IF(J2266=1,N(I2266)+ROW()/10000000,0)</f>
        <v>0</v>
      </c>
      <c r="L2266" s="47" t="str">
        <f aca="false">IF(AND(J2266=1,N(I2266)&gt;0),SUMIF($K$2:$K$5001,"&gt;="&amp;K2266,$I$2:$I$5001)/MAX(1,SUM($H$2:$H$5001)),"")</f>
        <v/>
      </c>
      <c r="M2266" s="47" t="str">
        <f aca="false">IF($A2266="","",INDEX($L$2:$L$5001,MATCH($A2266,$A$2:$A$5001,0)))</f>
        <v/>
      </c>
      <c r="N2266" s="48" t="str">
        <f aca="false">IF($A2266="","",IF(N(M2266)=0,"–",IF(M2266&lt;=Start!$D$20,"A",IF(M2266&lt;=Start!$D$21,"B","C"))))</f>
        <v/>
      </c>
      <c r="O2266" s="48" t="str">
        <f aca="false">IF($A2266="","",IF(NOT(ISNUMBER(F2266)),"Wert fehlt; ",IF(F2266&lt;=0,"Wert ist 0; ",""))&amp;IF(NOT(ISNUMBER(E2266)),"Bestand fehlt; ",IF(E2266&lt;0,"Bestand negativ; ",IF(E2266=0,"Nullbestand; ","")))&amp;IF(D2266="","Warengruppe fehlt; ","")&amp;IF(B2266="","Bezeichnung fehlt; ","")&amp;IF(COUNTIFS($A$2:$A$5001,$A2266,$C$2:$C$5001,C2266)&gt;1,"Artikel doppelt im selben Lager; ",""))</f>
        <v/>
      </c>
      <c r="P2266" s="47" t="n">
        <f aca="false">IF(OR($A2266="",D2266=""),0,IF(COUNTIF($D$2:D2266,D2266)=1,SUMIF($D$2:$D$5001,D2266,$H$2:$H$5001)+ROW()/10000000,0))</f>
        <v>0</v>
      </c>
      <c r="Q2266" s="47" t="n">
        <f aca="false">IF(OR($A2266="",C2266=""),0,IF(COUNTIF($C$2:C2266,C2266)=1,SUMIF($C$2:$C$5001,C2266,$H$2:$H$5001)+ROW()/10000000,0))</f>
        <v>0</v>
      </c>
    </row>
    <row r="2267" customFormat="false" ht="15" hidden="false" customHeight="false" outlineLevel="0" collapsed="false">
      <c r="A2267" s="43"/>
      <c r="B2267" s="44"/>
      <c r="C2267" s="44"/>
      <c r="D2267" s="44"/>
      <c r="E2267" s="44"/>
      <c r="F2267" s="44"/>
      <c r="G2267" s="44"/>
      <c r="H2267" s="46" t="str">
        <f aca="false">IF($A2267="","",IF(OR(NOT(ISNUMBER(E2267)),NOT(ISNUMBER(F2267))),"",MAX(0,E2267)*F2267))</f>
        <v/>
      </c>
      <c r="I2267" s="46" t="str">
        <f aca="false">IF($A2267="","",SUMIF($A$2:$A$5001,$A2267,$H$2:$H$5001))</f>
        <v/>
      </c>
      <c r="J2267" s="47" t="n">
        <f aca="false">IF($A2267="",0,IF(COUNTIF($A$2:A2267,$A2267)=1,1,0))</f>
        <v>0</v>
      </c>
      <c r="K2267" s="47" t="n">
        <f aca="false">IF(J2267=1,N(I2267)+ROW()/10000000,0)</f>
        <v>0</v>
      </c>
      <c r="L2267" s="47" t="str">
        <f aca="false">IF(AND(J2267=1,N(I2267)&gt;0),SUMIF($K$2:$K$5001,"&gt;="&amp;K2267,$I$2:$I$5001)/MAX(1,SUM($H$2:$H$5001)),"")</f>
        <v/>
      </c>
      <c r="M2267" s="47" t="str">
        <f aca="false">IF($A2267="","",INDEX($L$2:$L$5001,MATCH($A2267,$A$2:$A$5001,0)))</f>
        <v/>
      </c>
      <c r="N2267" s="48" t="str">
        <f aca="false">IF($A2267="","",IF(N(M2267)=0,"–",IF(M2267&lt;=Start!$D$20,"A",IF(M2267&lt;=Start!$D$21,"B","C"))))</f>
        <v/>
      </c>
      <c r="O2267" s="48" t="str">
        <f aca="false">IF($A2267="","",IF(NOT(ISNUMBER(F2267)),"Wert fehlt; ",IF(F2267&lt;=0,"Wert ist 0; ",""))&amp;IF(NOT(ISNUMBER(E2267)),"Bestand fehlt; ",IF(E2267&lt;0,"Bestand negativ; ",IF(E2267=0,"Nullbestand; ","")))&amp;IF(D2267="","Warengruppe fehlt; ","")&amp;IF(B2267="","Bezeichnung fehlt; ","")&amp;IF(COUNTIFS($A$2:$A$5001,$A2267,$C$2:$C$5001,C2267)&gt;1,"Artikel doppelt im selben Lager; ",""))</f>
        <v/>
      </c>
      <c r="P2267" s="47" t="n">
        <f aca="false">IF(OR($A2267="",D2267=""),0,IF(COUNTIF($D$2:D2267,D2267)=1,SUMIF($D$2:$D$5001,D2267,$H$2:$H$5001)+ROW()/10000000,0))</f>
        <v>0</v>
      </c>
      <c r="Q2267" s="47" t="n">
        <f aca="false">IF(OR($A2267="",C2267=""),0,IF(COUNTIF($C$2:C2267,C2267)=1,SUMIF($C$2:$C$5001,C2267,$H$2:$H$5001)+ROW()/10000000,0))</f>
        <v>0</v>
      </c>
    </row>
    <row r="2268" customFormat="false" ht="15" hidden="false" customHeight="false" outlineLevel="0" collapsed="false">
      <c r="A2268" s="43"/>
      <c r="B2268" s="44"/>
      <c r="C2268" s="44"/>
      <c r="D2268" s="44"/>
      <c r="E2268" s="44"/>
      <c r="F2268" s="44"/>
      <c r="G2268" s="44"/>
      <c r="H2268" s="46" t="str">
        <f aca="false">IF($A2268="","",IF(OR(NOT(ISNUMBER(E2268)),NOT(ISNUMBER(F2268))),"",MAX(0,E2268)*F2268))</f>
        <v/>
      </c>
      <c r="I2268" s="46" t="str">
        <f aca="false">IF($A2268="","",SUMIF($A$2:$A$5001,$A2268,$H$2:$H$5001))</f>
        <v/>
      </c>
      <c r="J2268" s="47" t="n">
        <f aca="false">IF($A2268="",0,IF(COUNTIF($A$2:A2268,$A2268)=1,1,0))</f>
        <v>0</v>
      </c>
      <c r="K2268" s="47" t="n">
        <f aca="false">IF(J2268=1,N(I2268)+ROW()/10000000,0)</f>
        <v>0</v>
      </c>
      <c r="L2268" s="47" t="str">
        <f aca="false">IF(AND(J2268=1,N(I2268)&gt;0),SUMIF($K$2:$K$5001,"&gt;="&amp;K2268,$I$2:$I$5001)/MAX(1,SUM($H$2:$H$5001)),"")</f>
        <v/>
      </c>
      <c r="M2268" s="47" t="str">
        <f aca="false">IF($A2268="","",INDEX($L$2:$L$5001,MATCH($A2268,$A$2:$A$5001,0)))</f>
        <v/>
      </c>
      <c r="N2268" s="48" t="str">
        <f aca="false">IF($A2268="","",IF(N(M2268)=0,"–",IF(M2268&lt;=Start!$D$20,"A",IF(M2268&lt;=Start!$D$21,"B","C"))))</f>
        <v/>
      </c>
      <c r="O2268" s="48" t="str">
        <f aca="false">IF($A2268="","",IF(NOT(ISNUMBER(F2268)),"Wert fehlt; ",IF(F2268&lt;=0,"Wert ist 0; ",""))&amp;IF(NOT(ISNUMBER(E2268)),"Bestand fehlt; ",IF(E2268&lt;0,"Bestand negativ; ",IF(E2268=0,"Nullbestand; ","")))&amp;IF(D2268="","Warengruppe fehlt; ","")&amp;IF(B2268="","Bezeichnung fehlt; ","")&amp;IF(COUNTIFS($A$2:$A$5001,$A2268,$C$2:$C$5001,C2268)&gt;1,"Artikel doppelt im selben Lager; ",""))</f>
        <v/>
      </c>
      <c r="P2268" s="47" t="n">
        <f aca="false">IF(OR($A2268="",D2268=""),0,IF(COUNTIF($D$2:D2268,D2268)=1,SUMIF($D$2:$D$5001,D2268,$H$2:$H$5001)+ROW()/10000000,0))</f>
        <v>0</v>
      </c>
      <c r="Q2268" s="47" t="n">
        <f aca="false">IF(OR($A2268="",C2268=""),0,IF(COUNTIF($C$2:C2268,C2268)=1,SUMIF($C$2:$C$5001,C2268,$H$2:$H$5001)+ROW()/10000000,0))</f>
        <v>0</v>
      </c>
    </row>
    <row r="2269" customFormat="false" ht="15" hidden="false" customHeight="false" outlineLevel="0" collapsed="false">
      <c r="A2269" s="43"/>
      <c r="B2269" s="44"/>
      <c r="C2269" s="44"/>
      <c r="D2269" s="44"/>
      <c r="E2269" s="44"/>
      <c r="F2269" s="44"/>
      <c r="G2269" s="44"/>
      <c r="H2269" s="46" t="str">
        <f aca="false">IF($A2269="","",IF(OR(NOT(ISNUMBER(E2269)),NOT(ISNUMBER(F2269))),"",MAX(0,E2269)*F2269))</f>
        <v/>
      </c>
      <c r="I2269" s="46" t="str">
        <f aca="false">IF($A2269="","",SUMIF($A$2:$A$5001,$A2269,$H$2:$H$5001))</f>
        <v/>
      </c>
      <c r="J2269" s="47" t="n">
        <f aca="false">IF($A2269="",0,IF(COUNTIF($A$2:A2269,$A2269)=1,1,0))</f>
        <v>0</v>
      </c>
      <c r="K2269" s="47" t="n">
        <f aca="false">IF(J2269=1,N(I2269)+ROW()/10000000,0)</f>
        <v>0</v>
      </c>
      <c r="L2269" s="47" t="str">
        <f aca="false">IF(AND(J2269=1,N(I2269)&gt;0),SUMIF($K$2:$K$5001,"&gt;="&amp;K2269,$I$2:$I$5001)/MAX(1,SUM($H$2:$H$5001)),"")</f>
        <v/>
      </c>
      <c r="M2269" s="47" t="str">
        <f aca="false">IF($A2269="","",INDEX($L$2:$L$5001,MATCH($A2269,$A$2:$A$5001,0)))</f>
        <v/>
      </c>
      <c r="N2269" s="48" t="str">
        <f aca="false">IF($A2269="","",IF(N(M2269)=0,"–",IF(M2269&lt;=Start!$D$20,"A",IF(M2269&lt;=Start!$D$21,"B","C"))))</f>
        <v/>
      </c>
      <c r="O2269" s="48" t="str">
        <f aca="false">IF($A2269="","",IF(NOT(ISNUMBER(F2269)),"Wert fehlt; ",IF(F2269&lt;=0,"Wert ist 0; ",""))&amp;IF(NOT(ISNUMBER(E2269)),"Bestand fehlt; ",IF(E2269&lt;0,"Bestand negativ; ",IF(E2269=0,"Nullbestand; ","")))&amp;IF(D2269="","Warengruppe fehlt; ","")&amp;IF(B2269="","Bezeichnung fehlt; ","")&amp;IF(COUNTIFS($A$2:$A$5001,$A2269,$C$2:$C$5001,C2269)&gt;1,"Artikel doppelt im selben Lager; ",""))</f>
        <v/>
      </c>
      <c r="P2269" s="47" t="n">
        <f aca="false">IF(OR($A2269="",D2269=""),0,IF(COUNTIF($D$2:D2269,D2269)=1,SUMIF($D$2:$D$5001,D2269,$H$2:$H$5001)+ROW()/10000000,0))</f>
        <v>0</v>
      </c>
      <c r="Q2269" s="47" t="n">
        <f aca="false">IF(OR($A2269="",C2269=""),0,IF(COUNTIF($C$2:C2269,C2269)=1,SUMIF($C$2:$C$5001,C2269,$H$2:$H$5001)+ROW()/10000000,0))</f>
        <v>0</v>
      </c>
    </row>
    <row r="2270" customFormat="false" ht="15" hidden="false" customHeight="false" outlineLevel="0" collapsed="false">
      <c r="A2270" s="43"/>
      <c r="B2270" s="44"/>
      <c r="C2270" s="44"/>
      <c r="D2270" s="44"/>
      <c r="E2270" s="44"/>
      <c r="F2270" s="44"/>
      <c r="G2270" s="44"/>
      <c r="H2270" s="46" t="str">
        <f aca="false">IF($A2270="","",IF(OR(NOT(ISNUMBER(E2270)),NOT(ISNUMBER(F2270))),"",MAX(0,E2270)*F2270))</f>
        <v/>
      </c>
      <c r="I2270" s="46" t="str">
        <f aca="false">IF($A2270="","",SUMIF($A$2:$A$5001,$A2270,$H$2:$H$5001))</f>
        <v/>
      </c>
      <c r="J2270" s="47" t="n">
        <f aca="false">IF($A2270="",0,IF(COUNTIF($A$2:A2270,$A2270)=1,1,0))</f>
        <v>0</v>
      </c>
      <c r="K2270" s="47" t="n">
        <f aca="false">IF(J2270=1,N(I2270)+ROW()/10000000,0)</f>
        <v>0</v>
      </c>
      <c r="L2270" s="47" t="str">
        <f aca="false">IF(AND(J2270=1,N(I2270)&gt;0),SUMIF($K$2:$K$5001,"&gt;="&amp;K2270,$I$2:$I$5001)/MAX(1,SUM($H$2:$H$5001)),"")</f>
        <v/>
      </c>
      <c r="M2270" s="47" t="str">
        <f aca="false">IF($A2270="","",INDEX($L$2:$L$5001,MATCH($A2270,$A$2:$A$5001,0)))</f>
        <v/>
      </c>
      <c r="N2270" s="48" t="str">
        <f aca="false">IF($A2270="","",IF(N(M2270)=0,"–",IF(M2270&lt;=Start!$D$20,"A",IF(M2270&lt;=Start!$D$21,"B","C"))))</f>
        <v/>
      </c>
      <c r="O2270" s="48" t="str">
        <f aca="false">IF($A2270="","",IF(NOT(ISNUMBER(F2270)),"Wert fehlt; ",IF(F2270&lt;=0,"Wert ist 0; ",""))&amp;IF(NOT(ISNUMBER(E2270)),"Bestand fehlt; ",IF(E2270&lt;0,"Bestand negativ; ",IF(E2270=0,"Nullbestand; ","")))&amp;IF(D2270="","Warengruppe fehlt; ","")&amp;IF(B2270="","Bezeichnung fehlt; ","")&amp;IF(COUNTIFS($A$2:$A$5001,$A2270,$C$2:$C$5001,C2270)&gt;1,"Artikel doppelt im selben Lager; ",""))</f>
        <v/>
      </c>
      <c r="P2270" s="47" t="n">
        <f aca="false">IF(OR($A2270="",D2270=""),0,IF(COUNTIF($D$2:D2270,D2270)=1,SUMIF($D$2:$D$5001,D2270,$H$2:$H$5001)+ROW()/10000000,0))</f>
        <v>0</v>
      </c>
      <c r="Q2270" s="47" t="n">
        <f aca="false">IF(OR($A2270="",C2270=""),0,IF(COUNTIF($C$2:C2270,C2270)=1,SUMIF($C$2:$C$5001,C2270,$H$2:$H$5001)+ROW()/10000000,0))</f>
        <v>0</v>
      </c>
    </row>
    <row r="2271" customFormat="false" ht="15" hidden="false" customHeight="false" outlineLevel="0" collapsed="false">
      <c r="A2271" s="43"/>
      <c r="B2271" s="44"/>
      <c r="C2271" s="44"/>
      <c r="D2271" s="44"/>
      <c r="E2271" s="44"/>
      <c r="F2271" s="44"/>
      <c r="G2271" s="44"/>
      <c r="H2271" s="46" t="str">
        <f aca="false">IF($A2271="","",IF(OR(NOT(ISNUMBER(E2271)),NOT(ISNUMBER(F2271))),"",MAX(0,E2271)*F2271))</f>
        <v/>
      </c>
      <c r="I2271" s="46" t="str">
        <f aca="false">IF($A2271="","",SUMIF($A$2:$A$5001,$A2271,$H$2:$H$5001))</f>
        <v/>
      </c>
      <c r="J2271" s="47" t="n">
        <f aca="false">IF($A2271="",0,IF(COUNTIF($A$2:A2271,$A2271)=1,1,0))</f>
        <v>0</v>
      </c>
      <c r="K2271" s="47" t="n">
        <f aca="false">IF(J2271=1,N(I2271)+ROW()/10000000,0)</f>
        <v>0</v>
      </c>
      <c r="L2271" s="47" t="str">
        <f aca="false">IF(AND(J2271=1,N(I2271)&gt;0),SUMIF($K$2:$K$5001,"&gt;="&amp;K2271,$I$2:$I$5001)/MAX(1,SUM($H$2:$H$5001)),"")</f>
        <v/>
      </c>
      <c r="M2271" s="47" t="str">
        <f aca="false">IF($A2271="","",INDEX($L$2:$L$5001,MATCH($A2271,$A$2:$A$5001,0)))</f>
        <v/>
      </c>
      <c r="N2271" s="48" t="str">
        <f aca="false">IF($A2271="","",IF(N(M2271)=0,"–",IF(M2271&lt;=Start!$D$20,"A",IF(M2271&lt;=Start!$D$21,"B","C"))))</f>
        <v/>
      </c>
      <c r="O2271" s="48" t="str">
        <f aca="false">IF($A2271="","",IF(NOT(ISNUMBER(F2271)),"Wert fehlt; ",IF(F2271&lt;=0,"Wert ist 0; ",""))&amp;IF(NOT(ISNUMBER(E2271)),"Bestand fehlt; ",IF(E2271&lt;0,"Bestand negativ; ",IF(E2271=0,"Nullbestand; ","")))&amp;IF(D2271="","Warengruppe fehlt; ","")&amp;IF(B2271="","Bezeichnung fehlt; ","")&amp;IF(COUNTIFS($A$2:$A$5001,$A2271,$C$2:$C$5001,C2271)&gt;1,"Artikel doppelt im selben Lager; ",""))</f>
        <v/>
      </c>
      <c r="P2271" s="47" t="n">
        <f aca="false">IF(OR($A2271="",D2271=""),0,IF(COUNTIF($D$2:D2271,D2271)=1,SUMIF($D$2:$D$5001,D2271,$H$2:$H$5001)+ROW()/10000000,0))</f>
        <v>0</v>
      </c>
      <c r="Q2271" s="47" t="n">
        <f aca="false">IF(OR($A2271="",C2271=""),0,IF(COUNTIF($C$2:C2271,C2271)=1,SUMIF($C$2:$C$5001,C2271,$H$2:$H$5001)+ROW()/10000000,0))</f>
        <v>0</v>
      </c>
    </row>
    <row r="2272" customFormat="false" ht="15" hidden="false" customHeight="false" outlineLevel="0" collapsed="false">
      <c r="A2272" s="43"/>
      <c r="B2272" s="44"/>
      <c r="C2272" s="44"/>
      <c r="D2272" s="44"/>
      <c r="E2272" s="44"/>
      <c r="F2272" s="44"/>
      <c r="G2272" s="44"/>
      <c r="H2272" s="46" t="str">
        <f aca="false">IF($A2272="","",IF(OR(NOT(ISNUMBER(E2272)),NOT(ISNUMBER(F2272))),"",MAX(0,E2272)*F2272))</f>
        <v/>
      </c>
      <c r="I2272" s="46" t="str">
        <f aca="false">IF($A2272="","",SUMIF($A$2:$A$5001,$A2272,$H$2:$H$5001))</f>
        <v/>
      </c>
      <c r="J2272" s="47" t="n">
        <f aca="false">IF($A2272="",0,IF(COUNTIF($A$2:A2272,$A2272)=1,1,0))</f>
        <v>0</v>
      </c>
      <c r="K2272" s="47" t="n">
        <f aca="false">IF(J2272=1,N(I2272)+ROW()/10000000,0)</f>
        <v>0</v>
      </c>
      <c r="L2272" s="47" t="str">
        <f aca="false">IF(AND(J2272=1,N(I2272)&gt;0),SUMIF($K$2:$K$5001,"&gt;="&amp;K2272,$I$2:$I$5001)/MAX(1,SUM($H$2:$H$5001)),"")</f>
        <v/>
      </c>
      <c r="M2272" s="47" t="str">
        <f aca="false">IF($A2272="","",INDEX($L$2:$L$5001,MATCH($A2272,$A$2:$A$5001,0)))</f>
        <v/>
      </c>
      <c r="N2272" s="48" t="str">
        <f aca="false">IF($A2272="","",IF(N(M2272)=0,"–",IF(M2272&lt;=Start!$D$20,"A",IF(M2272&lt;=Start!$D$21,"B","C"))))</f>
        <v/>
      </c>
      <c r="O2272" s="48" t="str">
        <f aca="false">IF($A2272="","",IF(NOT(ISNUMBER(F2272)),"Wert fehlt; ",IF(F2272&lt;=0,"Wert ist 0; ",""))&amp;IF(NOT(ISNUMBER(E2272)),"Bestand fehlt; ",IF(E2272&lt;0,"Bestand negativ; ",IF(E2272=0,"Nullbestand; ","")))&amp;IF(D2272="","Warengruppe fehlt; ","")&amp;IF(B2272="","Bezeichnung fehlt; ","")&amp;IF(COUNTIFS($A$2:$A$5001,$A2272,$C$2:$C$5001,C2272)&gt;1,"Artikel doppelt im selben Lager; ",""))</f>
        <v/>
      </c>
      <c r="P2272" s="47" t="n">
        <f aca="false">IF(OR($A2272="",D2272=""),0,IF(COUNTIF($D$2:D2272,D2272)=1,SUMIF($D$2:$D$5001,D2272,$H$2:$H$5001)+ROW()/10000000,0))</f>
        <v>0</v>
      </c>
      <c r="Q2272" s="47" t="n">
        <f aca="false">IF(OR($A2272="",C2272=""),0,IF(COUNTIF($C$2:C2272,C2272)=1,SUMIF($C$2:$C$5001,C2272,$H$2:$H$5001)+ROW()/10000000,0))</f>
        <v>0</v>
      </c>
    </row>
    <row r="2273" customFormat="false" ht="15" hidden="false" customHeight="false" outlineLevel="0" collapsed="false">
      <c r="A2273" s="43"/>
      <c r="B2273" s="44"/>
      <c r="C2273" s="44"/>
      <c r="D2273" s="44"/>
      <c r="E2273" s="44"/>
      <c r="F2273" s="44"/>
      <c r="G2273" s="44"/>
      <c r="H2273" s="46" t="str">
        <f aca="false">IF($A2273="","",IF(OR(NOT(ISNUMBER(E2273)),NOT(ISNUMBER(F2273))),"",MAX(0,E2273)*F2273))</f>
        <v/>
      </c>
      <c r="I2273" s="46" t="str">
        <f aca="false">IF($A2273="","",SUMIF($A$2:$A$5001,$A2273,$H$2:$H$5001))</f>
        <v/>
      </c>
      <c r="J2273" s="47" t="n">
        <f aca="false">IF($A2273="",0,IF(COUNTIF($A$2:A2273,$A2273)=1,1,0))</f>
        <v>0</v>
      </c>
      <c r="K2273" s="47" t="n">
        <f aca="false">IF(J2273=1,N(I2273)+ROW()/10000000,0)</f>
        <v>0</v>
      </c>
      <c r="L2273" s="47" t="str">
        <f aca="false">IF(AND(J2273=1,N(I2273)&gt;0),SUMIF($K$2:$K$5001,"&gt;="&amp;K2273,$I$2:$I$5001)/MAX(1,SUM($H$2:$H$5001)),"")</f>
        <v/>
      </c>
      <c r="M2273" s="47" t="str">
        <f aca="false">IF($A2273="","",INDEX($L$2:$L$5001,MATCH($A2273,$A$2:$A$5001,0)))</f>
        <v/>
      </c>
      <c r="N2273" s="48" t="str">
        <f aca="false">IF($A2273="","",IF(N(M2273)=0,"–",IF(M2273&lt;=Start!$D$20,"A",IF(M2273&lt;=Start!$D$21,"B","C"))))</f>
        <v/>
      </c>
      <c r="O2273" s="48" t="str">
        <f aca="false">IF($A2273="","",IF(NOT(ISNUMBER(F2273)),"Wert fehlt; ",IF(F2273&lt;=0,"Wert ist 0; ",""))&amp;IF(NOT(ISNUMBER(E2273)),"Bestand fehlt; ",IF(E2273&lt;0,"Bestand negativ; ",IF(E2273=0,"Nullbestand; ","")))&amp;IF(D2273="","Warengruppe fehlt; ","")&amp;IF(B2273="","Bezeichnung fehlt; ","")&amp;IF(COUNTIFS($A$2:$A$5001,$A2273,$C$2:$C$5001,C2273)&gt;1,"Artikel doppelt im selben Lager; ",""))</f>
        <v/>
      </c>
      <c r="P2273" s="47" t="n">
        <f aca="false">IF(OR($A2273="",D2273=""),0,IF(COUNTIF($D$2:D2273,D2273)=1,SUMIF($D$2:$D$5001,D2273,$H$2:$H$5001)+ROW()/10000000,0))</f>
        <v>0</v>
      </c>
      <c r="Q2273" s="47" t="n">
        <f aca="false">IF(OR($A2273="",C2273=""),0,IF(COUNTIF($C$2:C2273,C2273)=1,SUMIF($C$2:$C$5001,C2273,$H$2:$H$5001)+ROW()/10000000,0))</f>
        <v>0</v>
      </c>
    </row>
    <row r="2274" customFormat="false" ht="15" hidden="false" customHeight="false" outlineLevel="0" collapsed="false">
      <c r="A2274" s="43"/>
      <c r="B2274" s="44"/>
      <c r="C2274" s="44"/>
      <c r="D2274" s="44"/>
      <c r="E2274" s="44"/>
      <c r="F2274" s="44"/>
      <c r="G2274" s="44"/>
      <c r="H2274" s="46" t="str">
        <f aca="false">IF($A2274="","",IF(OR(NOT(ISNUMBER(E2274)),NOT(ISNUMBER(F2274))),"",MAX(0,E2274)*F2274))</f>
        <v/>
      </c>
      <c r="I2274" s="46" t="str">
        <f aca="false">IF($A2274="","",SUMIF($A$2:$A$5001,$A2274,$H$2:$H$5001))</f>
        <v/>
      </c>
      <c r="J2274" s="47" t="n">
        <f aca="false">IF($A2274="",0,IF(COUNTIF($A$2:A2274,$A2274)=1,1,0))</f>
        <v>0</v>
      </c>
      <c r="K2274" s="47" t="n">
        <f aca="false">IF(J2274=1,N(I2274)+ROW()/10000000,0)</f>
        <v>0</v>
      </c>
      <c r="L2274" s="47" t="str">
        <f aca="false">IF(AND(J2274=1,N(I2274)&gt;0),SUMIF($K$2:$K$5001,"&gt;="&amp;K2274,$I$2:$I$5001)/MAX(1,SUM($H$2:$H$5001)),"")</f>
        <v/>
      </c>
      <c r="M2274" s="47" t="str">
        <f aca="false">IF($A2274="","",INDEX($L$2:$L$5001,MATCH($A2274,$A$2:$A$5001,0)))</f>
        <v/>
      </c>
      <c r="N2274" s="48" t="str">
        <f aca="false">IF($A2274="","",IF(N(M2274)=0,"–",IF(M2274&lt;=Start!$D$20,"A",IF(M2274&lt;=Start!$D$21,"B","C"))))</f>
        <v/>
      </c>
      <c r="O2274" s="48" t="str">
        <f aca="false">IF($A2274="","",IF(NOT(ISNUMBER(F2274)),"Wert fehlt; ",IF(F2274&lt;=0,"Wert ist 0; ",""))&amp;IF(NOT(ISNUMBER(E2274)),"Bestand fehlt; ",IF(E2274&lt;0,"Bestand negativ; ",IF(E2274=0,"Nullbestand; ","")))&amp;IF(D2274="","Warengruppe fehlt; ","")&amp;IF(B2274="","Bezeichnung fehlt; ","")&amp;IF(COUNTIFS($A$2:$A$5001,$A2274,$C$2:$C$5001,C2274)&gt;1,"Artikel doppelt im selben Lager; ",""))</f>
        <v/>
      </c>
      <c r="P2274" s="47" t="n">
        <f aca="false">IF(OR($A2274="",D2274=""),0,IF(COUNTIF($D$2:D2274,D2274)=1,SUMIF($D$2:$D$5001,D2274,$H$2:$H$5001)+ROW()/10000000,0))</f>
        <v>0</v>
      </c>
      <c r="Q2274" s="47" t="n">
        <f aca="false">IF(OR($A2274="",C2274=""),0,IF(COUNTIF($C$2:C2274,C2274)=1,SUMIF($C$2:$C$5001,C2274,$H$2:$H$5001)+ROW()/10000000,0))</f>
        <v>0</v>
      </c>
    </row>
    <row r="2275" customFormat="false" ht="15" hidden="false" customHeight="false" outlineLevel="0" collapsed="false">
      <c r="A2275" s="43"/>
      <c r="B2275" s="44"/>
      <c r="C2275" s="44"/>
      <c r="D2275" s="44"/>
      <c r="E2275" s="44"/>
      <c r="F2275" s="44"/>
      <c r="G2275" s="44"/>
      <c r="H2275" s="46" t="str">
        <f aca="false">IF($A2275="","",IF(OR(NOT(ISNUMBER(E2275)),NOT(ISNUMBER(F2275))),"",MAX(0,E2275)*F2275))</f>
        <v/>
      </c>
      <c r="I2275" s="46" t="str">
        <f aca="false">IF($A2275="","",SUMIF($A$2:$A$5001,$A2275,$H$2:$H$5001))</f>
        <v/>
      </c>
      <c r="J2275" s="47" t="n">
        <f aca="false">IF($A2275="",0,IF(COUNTIF($A$2:A2275,$A2275)=1,1,0))</f>
        <v>0</v>
      </c>
      <c r="K2275" s="47" t="n">
        <f aca="false">IF(J2275=1,N(I2275)+ROW()/10000000,0)</f>
        <v>0</v>
      </c>
      <c r="L2275" s="47" t="str">
        <f aca="false">IF(AND(J2275=1,N(I2275)&gt;0),SUMIF($K$2:$K$5001,"&gt;="&amp;K2275,$I$2:$I$5001)/MAX(1,SUM($H$2:$H$5001)),"")</f>
        <v/>
      </c>
      <c r="M2275" s="47" t="str">
        <f aca="false">IF($A2275="","",INDEX($L$2:$L$5001,MATCH($A2275,$A$2:$A$5001,0)))</f>
        <v/>
      </c>
      <c r="N2275" s="48" t="str">
        <f aca="false">IF($A2275="","",IF(N(M2275)=0,"–",IF(M2275&lt;=Start!$D$20,"A",IF(M2275&lt;=Start!$D$21,"B","C"))))</f>
        <v/>
      </c>
      <c r="O2275" s="48" t="str">
        <f aca="false">IF($A2275="","",IF(NOT(ISNUMBER(F2275)),"Wert fehlt; ",IF(F2275&lt;=0,"Wert ist 0; ",""))&amp;IF(NOT(ISNUMBER(E2275)),"Bestand fehlt; ",IF(E2275&lt;0,"Bestand negativ; ",IF(E2275=0,"Nullbestand; ","")))&amp;IF(D2275="","Warengruppe fehlt; ","")&amp;IF(B2275="","Bezeichnung fehlt; ","")&amp;IF(COUNTIFS($A$2:$A$5001,$A2275,$C$2:$C$5001,C2275)&gt;1,"Artikel doppelt im selben Lager; ",""))</f>
        <v/>
      </c>
      <c r="P2275" s="47" t="n">
        <f aca="false">IF(OR($A2275="",D2275=""),0,IF(COUNTIF($D$2:D2275,D2275)=1,SUMIF($D$2:$D$5001,D2275,$H$2:$H$5001)+ROW()/10000000,0))</f>
        <v>0</v>
      </c>
      <c r="Q2275" s="47" t="n">
        <f aca="false">IF(OR($A2275="",C2275=""),0,IF(COUNTIF($C$2:C2275,C2275)=1,SUMIF($C$2:$C$5001,C2275,$H$2:$H$5001)+ROW()/10000000,0))</f>
        <v>0</v>
      </c>
    </row>
    <row r="2276" customFormat="false" ht="15" hidden="false" customHeight="false" outlineLevel="0" collapsed="false">
      <c r="A2276" s="43"/>
      <c r="B2276" s="44"/>
      <c r="C2276" s="44"/>
      <c r="D2276" s="44"/>
      <c r="E2276" s="44"/>
      <c r="F2276" s="44"/>
      <c r="G2276" s="44"/>
      <c r="H2276" s="46" t="str">
        <f aca="false">IF($A2276="","",IF(OR(NOT(ISNUMBER(E2276)),NOT(ISNUMBER(F2276))),"",MAX(0,E2276)*F2276))</f>
        <v/>
      </c>
      <c r="I2276" s="46" t="str">
        <f aca="false">IF($A2276="","",SUMIF($A$2:$A$5001,$A2276,$H$2:$H$5001))</f>
        <v/>
      </c>
      <c r="J2276" s="47" t="n">
        <f aca="false">IF($A2276="",0,IF(COUNTIF($A$2:A2276,$A2276)=1,1,0))</f>
        <v>0</v>
      </c>
      <c r="K2276" s="47" t="n">
        <f aca="false">IF(J2276=1,N(I2276)+ROW()/10000000,0)</f>
        <v>0</v>
      </c>
      <c r="L2276" s="47" t="str">
        <f aca="false">IF(AND(J2276=1,N(I2276)&gt;0),SUMIF($K$2:$K$5001,"&gt;="&amp;K2276,$I$2:$I$5001)/MAX(1,SUM($H$2:$H$5001)),"")</f>
        <v/>
      </c>
      <c r="M2276" s="47" t="str">
        <f aca="false">IF($A2276="","",INDEX($L$2:$L$5001,MATCH($A2276,$A$2:$A$5001,0)))</f>
        <v/>
      </c>
      <c r="N2276" s="48" t="str">
        <f aca="false">IF($A2276="","",IF(N(M2276)=0,"–",IF(M2276&lt;=Start!$D$20,"A",IF(M2276&lt;=Start!$D$21,"B","C"))))</f>
        <v/>
      </c>
      <c r="O2276" s="48" t="str">
        <f aca="false">IF($A2276="","",IF(NOT(ISNUMBER(F2276)),"Wert fehlt; ",IF(F2276&lt;=0,"Wert ist 0; ",""))&amp;IF(NOT(ISNUMBER(E2276)),"Bestand fehlt; ",IF(E2276&lt;0,"Bestand negativ; ",IF(E2276=0,"Nullbestand; ","")))&amp;IF(D2276="","Warengruppe fehlt; ","")&amp;IF(B2276="","Bezeichnung fehlt; ","")&amp;IF(COUNTIFS($A$2:$A$5001,$A2276,$C$2:$C$5001,C2276)&gt;1,"Artikel doppelt im selben Lager; ",""))</f>
        <v/>
      </c>
      <c r="P2276" s="47" t="n">
        <f aca="false">IF(OR($A2276="",D2276=""),0,IF(COUNTIF($D$2:D2276,D2276)=1,SUMIF($D$2:$D$5001,D2276,$H$2:$H$5001)+ROW()/10000000,0))</f>
        <v>0</v>
      </c>
      <c r="Q2276" s="47" t="n">
        <f aca="false">IF(OR($A2276="",C2276=""),0,IF(COUNTIF($C$2:C2276,C2276)=1,SUMIF($C$2:$C$5001,C2276,$H$2:$H$5001)+ROW()/10000000,0))</f>
        <v>0</v>
      </c>
    </row>
    <row r="2277" customFormat="false" ht="15" hidden="false" customHeight="false" outlineLevel="0" collapsed="false">
      <c r="A2277" s="43"/>
      <c r="B2277" s="44"/>
      <c r="C2277" s="44"/>
      <c r="D2277" s="44"/>
      <c r="E2277" s="44"/>
      <c r="F2277" s="44"/>
      <c r="G2277" s="44"/>
      <c r="H2277" s="46" t="str">
        <f aca="false">IF($A2277="","",IF(OR(NOT(ISNUMBER(E2277)),NOT(ISNUMBER(F2277))),"",MAX(0,E2277)*F2277))</f>
        <v/>
      </c>
      <c r="I2277" s="46" t="str">
        <f aca="false">IF($A2277="","",SUMIF($A$2:$A$5001,$A2277,$H$2:$H$5001))</f>
        <v/>
      </c>
      <c r="J2277" s="47" t="n">
        <f aca="false">IF($A2277="",0,IF(COUNTIF($A$2:A2277,$A2277)=1,1,0))</f>
        <v>0</v>
      </c>
      <c r="K2277" s="47" t="n">
        <f aca="false">IF(J2277=1,N(I2277)+ROW()/10000000,0)</f>
        <v>0</v>
      </c>
      <c r="L2277" s="47" t="str">
        <f aca="false">IF(AND(J2277=1,N(I2277)&gt;0),SUMIF($K$2:$K$5001,"&gt;="&amp;K2277,$I$2:$I$5001)/MAX(1,SUM($H$2:$H$5001)),"")</f>
        <v/>
      </c>
      <c r="M2277" s="47" t="str">
        <f aca="false">IF($A2277="","",INDEX($L$2:$L$5001,MATCH($A2277,$A$2:$A$5001,0)))</f>
        <v/>
      </c>
      <c r="N2277" s="48" t="str">
        <f aca="false">IF($A2277="","",IF(N(M2277)=0,"–",IF(M2277&lt;=Start!$D$20,"A",IF(M2277&lt;=Start!$D$21,"B","C"))))</f>
        <v/>
      </c>
      <c r="O2277" s="48" t="str">
        <f aca="false">IF($A2277="","",IF(NOT(ISNUMBER(F2277)),"Wert fehlt; ",IF(F2277&lt;=0,"Wert ist 0; ",""))&amp;IF(NOT(ISNUMBER(E2277)),"Bestand fehlt; ",IF(E2277&lt;0,"Bestand negativ; ",IF(E2277=0,"Nullbestand; ","")))&amp;IF(D2277="","Warengruppe fehlt; ","")&amp;IF(B2277="","Bezeichnung fehlt; ","")&amp;IF(COUNTIFS($A$2:$A$5001,$A2277,$C$2:$C$5001,C2277)&gt;1,"Artikel doppelt im selben Lager; ",""))</f>
        <v/>
      </c>
      <c r="P2277" s="47" t="n">
        <f aca="false">IF(OR($A2277="",D2277=""),0,IF(COUNTIF($D$2:D2277,D2277)=1,SUMIF($D$2:$D$5001,D2277,$H$2:$H$5001)+ROW()/10000000,0))</f>
        <v>0</v>
      </c>
      <c r="Q2277" s="47" t="n">
        <f aca="false">IF(OR($A2277="",C2277=""),0,IF(COUNTIF($C$2:C2277,C2277)=1,SUMIF($C$2:$C$5001,C2277,$H$2:$H$5001)+ROW()/10000000,0))</f>
        <v>0</v>
      </c>
    </row>
    <row r="2278" customFormat="false" ht="15" hidden="false" customHeight="false" outlineLevel="0" collapsed="false">
      <c r="A2278" s="43"/>
      <c r="B2278" s="44"/>
      <c r="C2278" s="44"/>
      <c r="D2278" s="44"/>
      <c r="E2278" s="44"/>
      <c r="F2278" s="44"/>
      <c r="G2278" s="44"/>
      <c r="H2278" s="46" t="str">
        <f aca="false">IF($A2278="","",IF(OR(NOT(ISNUMBER(E2278)),NOT(ISNUMBER(F2278))),"",MAX(0,E2278)*F2278))</f>
        <v/>
      </c>
      <c r="I2278" s="46" t="str">
        <f aca="false">IF($A2278="","",SUMIF($A$2:$A$5001,$A2278,$H$2:$H$5001))</f>
        <v/>
      </c>
      <c r="J2278" s="47" t="n">
        <f aca="false">IF($A2278="",0,IF(COUNTIF($A$2:A2278,$A2278)=1,1,0))</f>
        <v>0</v>
      </c>
      <c r="K2278" s="47" t="n">
        <f aca="false">IF(J2278=1,N(I2278)+ROW()/10000000,0)</f>
        <v>0</v>
      </c>
      <c r="L2278" s="47" t="str">
        <f aca="false">IF(AND(J2278=1,N(I2278)&gt;0),SUMIF($K$2:$K$5001,"&gt;="&amp;K2278,$I$2:$I$5001)/MAX(1,SUM($H$2:$H$5001)),"")</f>
        <v/>
      </c>
      <c r="M2278" s="47" t="str">
        <f aca="false">IF($A2278="","",INDEX($L$2:$L$5001,MATCH($A2278,$A$2:$A$5001,0)))</f>
        <v/>
      </c>
      <c r="N2278" s="48" t="str">
        <f aca="false">IF($A2278="","",IF(N(M2278)=0,"–",IF(M2278&lt;=Start!$D$20,"A",IF(M2278&lt;=Start!$D$21,"B","C"))))</f>
        <v/>
      </c>
      <c r="O2278" s="48" t="str">
        <f aca="false">IF($A2278="","",IF(NOT(ISNUMBER(F2278)),"Wert fehlt; ",IF(F2278&lt;=0,"Wert ist 0; ",""))&amp;IF(NOT(ISNUMBER(E2278)),"Bestand fehlt; ",IF(E2278&lt;0,"Bestand negativ; ",IF(E2278=0,"Nullbestand; ","")))&amp;IF(D2278="","Warengruppe fehlt; ","")&amp;IF(B2278="","Bezeichnung fehlt; ","")&amp;IF(COUNTIFS($A$2:$A$5001,$A2278,$C$2:$C$5001,C2278)&gt;1,"Artikel doppelt im selben Lager; ",""))</f>
        <v/>
      </c>
      <c r="P2278" s="47" t="n">
        <f aca="false">IF(OR($A2278="",D2278=""),0,IF(COUNTIF($D$2:D2278,D2278)=1,SUMIF($D$2:$D$5001,D2278,$H$2:$H$5001)+ROW()/10000000,0))</f>
        <v>0</v>
      </c>
      <c r="Q2278" s="47" t="n">
        <f aca="false">IF(OR($A2278="",C2278=""),0,IF(COUNTIF($C$2:C2278,C2278)=1,SUMIF($C$2:$C$5001,C2278,$H$2:$H$5001)+ROW()/10000000,0))</f>
        <v>0</v>
      </c>
    </row>
    <row r="2279" customFormat="false" ht="15" hidden="false" customHeight="false" outlineLevel="0" collapsed="false">
      <c r="A2279" s="43"/>
      <c r="B2279" s="44"/>
      <c r="C2279" s="44"/>
      <c r="D2279" s="44"/>
      <c r="E2279" s="44"/>
      <c r="F2279" s="44"/>
      <c r="G2279" s="44"/>
      <c r="H2279" s="46" t="str">
        <f aca="false">IF($A2279="","",IF(OR(NOT(ISNUMBER(E2279)),NOT(ISNUMBER(F2279))),"",MAX(0,E2279)*F2279))</f>
        <v/>
      </c>
      <c r="I2279" s="46" t="str">
        <f aca="false">IF($A2279="","",SUMIF($A$2:$A$5001,$A2279,$H$2:$H$5001))</f>
        <v/>
      </c>
      <c r="J2279" s="47" t="n">
        <f aca="false">IF($A2279="",0,IF(COUNTIF($A$2:A2279,$A2279)=1,1,0))</f>
        <v>0</v>
      </c>
      <c r="K2279" s="47" t="n">
        <f aca="false">IF(J2279=1,N(I2279)+ROW()/10000000,0)</f>
        <v>0</v>
      </c>
      <c r="L2279" s="47" t="str">
        <f aca="false">IF(AND(J2279=1,N(I2279)&gt;0),SUMIF($K$2:$K$5001,"&gt;="&amp;K2279,$I$2:$I$5001)/MAX(1,SUM($H$2:$H$5001)),"")</f>
        <v/>
      </c>
      <c r="M2279" s="47" t="str">
        <f aca="false">IF($A2279="","",INDEX($L$2:$L$5001,MATCH($A2279,$A$2:$A$5001,0)))</f>
        <v/>
      </c>
      <c r="N2279" s="48" t="str">
        <f aca="false">IF($A2279="","",IF(N(M2279)=0,"–",IF(M2279&lt;=Start!$D$20,"A",IF(M2279&lt;=Start!$D$21,"B","C"))))</f>
        <v/>
      </c>
      <c r="O2279" s="48" t="str">
        <f aca="false">IF($A2279="","",IF(NOT(ISNUMBER(F2279)),"Wert fehlt; ",IF(F2279&lt;=0,"Wert ist 0; ",""))&amp;IF(NOT(ISNUMBER(E2279)),"Bestand fehlt; ",IF(E2279&lt;0,"Bestand negativ; ",IF(E2279=0,"Nullbestand; ","")))&amp;IF(D2279="","Warengruppe fehlt; ","")&amp;IF(B2279="","Bezeichnung fehlt; ","")&amp;IF(COUNTIFS($A$2:$A$5001,$A2279,$C$2:$C$5001,C2279)&gt;1,"Artikel doppelt im selben Lager; ",""))</f>
        <v/>
      </c>
      <c r="P2279" s="47" t="n">
        <f aca="false">IF(OR($A2279="",D2279=""),0,IF(COUNTIF($D$2:D2279,D2279)=1,SUMIF($D$2:$D$5001,D2279,$H$2:$H$5001)+ROW()/10000000,0))</f>
        <v>0</v>
      </c>
      <c r="Q2279" s="47" t="n">
        <f aca="false">IF(OR($A2279="",C2279=""),0,IF(COUNTIF($C$2:C2279,C2279)=1,SUMIF($C$2:$C$5001,C2279,$H$2:$H$5001)+ROW()/10000000,0))</f>
        <v>0</v>
      </c>
    </row>
    <row r="2280" customFormat="false" ht="15" hidden="false" customHeight="false" outlineLevel="0" collapsed="false">
      <c r="A2280" s="43"/>
      <c r="B2280" s="44"/>
      <c r="C2280" s="44"/>
      <c r="D2280" s="44"/>
      <c r="E2280" s="44"/>
      <c r="F2280" s="44"/>
      <c r="G2280" s="44"/>
      <c r="H2280" s="46" t="str">
        <f aca="false">IF($A2280="","",IF(OR(NOT(ISNUMBER(E2280)),NOT(ISNUMBER(F2280))),"",MAX(0,E2280)*F2280))</f>
        <v/>
      </c>
      <c r="I2280" s="46" t="str">
        <f aca="false">IF($A2280="","",SUMIF($A$2:$A$5001,$A2280,$H$2:$H$5001))</f>
        <v/>
      </c>
      <c r="J2280" s="47" t="n">
        <f aca="false">IF($A2280="",0,IF(COUNTIF($A$2:A2280,$A2280)=1,1,0))</f>
        <v>0</v>
      </c>
      <c r="K2280" s="47" t="n">
        <f aca="false">IF(J2280=1,N(I2280)+ROW()/10000000,0)</f>
        <v>0</v>
      </c>
      <c r="L2280" s="47" t="str">
        <f aca="false">IF(AND(J2280=1,N(I2280)&gt;0),SUMIF($K$2:$K$5001,"&gt;="&amp;K2280,$I$2:$I$5001)/MAX(1,SUM($H$2:$H$5001)),"")</f>
        <v/>
      </c>
      <c r="M2280" s="47" t="str">
        <f aca="false">IF($A2280="","",INDEX($L$2:$L$5001,MATCH($A2280,$A$2:$A$5001,0)))</f>
        <v/>
      </c>
      <c r="N2280" s="48" t="str">
        <f aca="false">IF($A2280="","",IF(N(M2280)=0,"–",IF(M2280&lt;=Start!$D$20,"A",IF(M2280&lt;=Start!$D$21,"B","C"))))</f>
        <v/>
      </c>
      <c r="O2280" s="48" t="str">
        <f aca="false">IF($A2280="","",IF(NOT(ISNUMBER(F2280)),"Wert fehlt; ",IF(F2280&lt;=0,"Wert ist 0; ",""))&amp;IF(NOT(ISNUMBER(E2280)),"Bestand fehlt; ",IF(E2280&lt;0,"Bestand negativ; ",IF(E2280=0,"Nullbestand; ","")))&amp;IF(D2280="","Warengruppe fehlt; ","")&amp;IF(B2280="","Bezeichnung fehlt; ","")&amp;IF(COUNTIFS($A$2:$A$5001,$A2280,$C$2:$C$5001,C2280)&gt;1,"Artikel doppelt im selben Lager; ",""))</f>
        <v/>
      </c>
      <c r="P2280" s="47" t="n">
        <f aca="false">IF(OR($A2280="",D2280=""),0,IF(COUNTIF($D$2:D2280,D2280)=1,SUMIF($D$2:$D$5001,D2280,$H$2:$H$5001)+ROW()/10000000,0))</f>
        <v>0</v>
      </c>
      <c r="Q2280" s="47" t="n">
        <f aca="false">IF(OR($A2280="",C2280=""),0,IF(COUNTIF($C$2:C2280,C2280)=1,SUMIF($C$2:$C$5001,C2280,$H$2:$H$5001)+ROW()/10000000,0))</f>
        <v>0</v>
      </c>
    </row>
    <row r="2281" customFormat="false" ht="15" hidden="false" customHeight="false" outlineLevel="0" collapsed="false">
      <c r="A2281" s="43"/>
      <c r="B2281" s="44"/>
      <c r="C2281" s="44"/>
      <c r="D2281" s="44"/>
      <c r="E2281" s="44"/>
      <c r="F2281" s="44"/>
      <c r="G2281" s="44"/>
      <c r="H2281" s="46" t="str">
        <f aca="false">IF($A2281="","",IF(OR(NOT(ISNUMBER(E2281)),NOT(ISNUMBER(F2281))),"",MAX(0,E2281)*F2281))</f>
        <v/>
      </c>
      <c r="I2281" s="46" t="str">
        <f aca="false">IF($A2281="","",SUMIF($A$2:$A$5001,$A2281,$H$2:$H$5001))</f>
        <v/>
      </c>
      <c r="J2281" s="47" t="n">
        <f aca="false">IF($A2281="",0,IF(COUNTIF($A$2:A2281,$A2281)=1,1,0))</f>
        <v>0</v>
      </c>
      <c r="K2281" s="47" t="n">
        <f aca="false">IF(J2281=1,N(I2281)+ROW()/10000000,0)</f>
        <v>0</v>
      </c>
      <c r="L2281" s="47" t="str">
        <f aca="false">IF(AND(J2281=1,N(I2281)&gt;0),SUMIF($K$2:$K$5001,"&gt;="&amp;K2281,$I$2:$I$5001)/MAX(1,SUM($H$2:$H$5001)),"")</f>
        <v/>
      </c>
      <c r="M2281" s="47" t="str">
        <f aca="false">IF($A2281="","",INDEX($L$2:$L$5001,MATCH($A2281,$A$2:$A$5001,0)))</f>
        <v/>
      </c>
      <c r="N2281" s="48" t="str">
        <f aca="false">IF($A2281="","",IF(N(M2281)=0,"–",IF(M2281&lt;=Start!$D$20,"A",IF(M2281&lt;=Start!$D$21,"B","C"))))</f>
        <v/>
      </c>
      <c r="O2281" s="48" t="str">
        <f aca="false">IF($A2281="","",IF(NOT(ISNUMBER(F2281)),"Wert fehlt; ",IF(F2281&lt;=0,"Wert ist 0; ",""))&amp;IF(NOT(ISNUMBER(E2281)),"Bestand fehlt; ",IF(E2281&lt;0,"Bestand negativ; ",IF(E2281=0,"Nullbestand; ","")))&amp;IF(D2281="","Warengruppe fehlt; ","")&amp;IF(B2281="","Bezeichnung fehlt; ","")&amp;IF(COUNTIFS($A$2:$A$5001,$A2281,$C$2:$C$5001,C2281)&gt;1,"Artikel doppelt im selben Lager; ",""))</f>
        <v/>
      </c>
      <c r="P2281" s="47" t="n">
        <f aca="false">IF(OR($A2281="",D2281=""),0,IF(COUNTIF($D$2:D2281,D2281)=1,SUMIF($D$2:$D$5001,D2281,$H$2:$H$5001)+ROW()/10000000,0))</f>
        <v>0</v>
      </c>
      <c r="Q2281" s="47" t="n">
        <f aca="false">IF(OR($A2281="",C2281=""),0,IF(COUNTIF($C$2:C2281,C2281)=1,SUMIF($C$2:$C$5001,C2281,$H$2:$H$5001)+ROW()/10000000,0))</f>
        <v>0</v>
      </c>
    </row>
    <row r="2282" customFormat="false" ht="15" hidden="false" customHeight="false" outlineLevel="0" collapsed="false">
      <c r="A2282" s="43"/>
      <c r="B2282" s="44"/>
      <c r="C2282" s="44"/>
      <c r="D2282" s="44"/>
      <c r="E2282" s="44"/>
      <c r="F2282" s="44"/>
      <c r="G2282" s="44"/>
      <c r="H2282" s="46" t="str">
        <f aca="false">IF($A2282="","",IF(OR(NOT(ISNUMBER(E2282)),NOT(ISNUMBER(F2282))),"",MAX(0,E2282)*F2282))</f>
        <v/>
      </c>
      <c r="I2282" s="46" t="str">
        <f aca="false">IF($A2282="","",SUMIF($A$2:$A$5001,$A2282,$H$2:$H$5001))</f>
        <v/>
      </c>
      <c r="J2282" s="47" t="n">
        <f aca="false">IF($A2282="",0,IF(COUNTIF($A$2:A2282,$A2282)=1,1,0))</f>
        <v>0</v>
      </c>
      <c r="K2282" s="47" t="n">
        <f aca="false">IF(J2282=1,N(I2282)+ROW()/10000000,0)</f>
        <v>0</v>
      </c>
      <c r="L2282" s="47" t="str">
        <f aca="false">IF(AND(J2282=1,N(I2282)&gt;0),SUMIF($K$2:$K$5001,"&gt;="&amp;K2282,$I$2:$I$5001)/MAX(1,SUM($H$2:$H$5001)),"")</f>
        <v/>
      </c>
      <c r="M2282" s="47" t="str">
        <f aca="false">IF($A2282="","",INDEX($L$2:$L$5001,MATCH($A2282,$A$2:$A$5001,0)))</f>
        <v/>
      </c>
      <c r="N2282" s="48" t="str">
        <f aca="false">IF($A2282="","",IF(N(M2282)=0,"–",IF(M2282&lt;=Start!$D$20,"A",IF(M2282&lt;=Start!$D$21,"B","C"))))</f>
        <v/>
      </c>
      <c r="O2282" s="48" t="str">
        <f aca="false">IF($A2282="","",IF(NOT(ISNUMBER(F2282)),"Wert fehlt; ",IF(F2282&lt;=0,"Wert ist 0; ",""))&amp;IF(NOT(ISNUMBER(E2282)),"Bestand fehlt; ",IF(E2282&lt;0,"Bestand negativ; ",IF(E2282=0,"Nullbestand; ","")))&amp;IF(D2282="","Warengruppe fehlt; ","")&amp;IF(B2282="","Bezeichnung fehlt; ","")&amp;IF(COUNTIFS($A$2:$A$5001,$A2282,$C$2:$C$5001,C2282)&gt;1,"Artikel doppelt im selben Lager; ",""))</f>
        <v/>
      </c>
      <c r="P2282" s="47" t="n">
        <f aca="false">IF(OR($A2282="",D2282=""),0,IF(COUNTIF($D$2:D2282,D2282)=1,SUMIF($D$2:$D$5001,D2282,$H$2:$H$5001)+ROW()/10000000,0))</f>
        <v>0</v>
      </c>
      <c r="Q2282" s="47" t="n">
        <f aca="false">IF(OR($A2282="",C2282=""),0,IF(COUNTIF($C$2:C2282,C2282)=1,SUMIF($C$2:$C$5001,C2282,$H$2:$H$5001)+ROW()/10000000,0))</f>
        <v>0</v>
      </c>
    </row>
    <row r="2283" customFormat="false" ht="15" hidden="false" customHeight="false" outlineLevel="0" collapsed="false">
      <c r="A2283" s="43"/>
      <c r="B2283" s="44"/>
      <c r="C2283" s="44"/>
      <c r="D2283" s="44"/>
      <c r="E2283" s="44"/>
      <c r="F2283" s="44"/>
      <c r="G2283" s="44"/>
      <c r="H2283" s="46" t="str">
        <f aca="false">IF($A2283="","",IF(OR(NOT(ISNUMBER(E2283)),NOT(ISNUMBER(F2283))),"",MAX(0,E2283)*F2283))</f>
        <v/>
      </c>
      <c r="I2283" s="46" t="str">
        <f aca="false">IF($A2283="","",SUMIF($A$2:$A$5001,$A2283,$H$2:$H$5001))</f>
        <v/>
      </c>
      <c r="J2283" s="47" t="n">
        <f aca="false">IF($A2283="",0,IF(COUNTIF($A$2:A2283,$A2283)=1,1,0))</f>
        <v>0</v>
      </c>
      <c r="K2283" s="47" t="n">
        <f aca="false">IF(J2283=1,N(I2283)+ROW()/10000000,0)</f>
        <v>0</v>
      </c>
      <c r="L2283" s="47" t="str">
        <f aca="false">IF(AND(J2283=1,N(I2283)&gt;0),SUMIF($K$2:$K$5001,"&gt;="&amp;K2283,$I$2:$I$5001)/MAX(1,SUM($H$2:$H$5001)),"")</f>
        <v/>
      </c>
      <c r="M2283" s="47" t="str">
        <f aca="false">IF($A2283="","",INDEX($L$2:$L$5001,MATCH($A2283,$A$2:$A$5001,0)))</f>
        <v/>
      </c>
      <c r="N2283" s="48" t="str">
        <f aca="false">IF($A2283="","",IF(N(M2283)=0,"–",IF(M2283&lt;=Start!$D$20,"A",IF(M2283&lt;=Start!$D$21,"B","C"))))</f>
        <v/>
      </c>
      <c r="O2283" s="48" t="str">
        <f aca="false">IF($A2283="","",IF(NOT(ISNUMBER(F2283)),"Wert fehlt; ",IF(F2283&lt;=0,"Wert ist 0; ",""))&amp;IF(NOT(ISNUMBER(E2283)),"Bestand fehlt; ",IF(E2283&lt;0,"Bestand negativ; ",IF(E2283=0,"Nullbestand; ","")))&amp;IF(D2283="","Warengruppe fehlt; ","")&amp;IF(B2283="","Bezeichnung fehlt; ","")&amp;IF(COUNTIFS($A$2:$A$5001,$A2283,$C$2:$C$5001,C2283)&gt;1,"Artikel doppelt im selben Lager; ",""))</f>
        <v/>
      </c>
      <c r="P2283" s="47" t="n">
        <f aca="false">IF(OR($A2283="",D2283=""),0,IF(COUNTIF($D$2:D2283,D2283)=1,SUMIF($D$2:$D$5001,D2283,$H$2:$H$5001)+ROW()/10000000,0))</f>
        <v>0</v>
      </c>
      <c r="Q2283" s="47" t="n">
        <f aca="false">IF(OR($A2283="",C2283=""),0,IF(COUNTIF($C$2:C2283,C2283)=1,SUMIF($C$2:$C$5001,C2283,$H$2:$H$5001)+ROW()/10000000,0))</f>
        <v>0</v>
      </c>
    </row>
    <row r="2284" customFormat="false" ht="15" hidden="false" customHeight="false" outlineLevel="0" collapsed="false">
      <c r="A2284" s="43"/>
      <c r="B2284" s="44"/>
      <c r="C2284" s="44"/>
      <c r="D2284" s="44"/>
      <c r="E2284" s="44"/>
      <c r="F2284" s="44"/>
      <c r="G2284" s="44"/>
      <c r="H2284" s="46" t="str">
        <f aca="false">IF($A2284="","",IF(OR(NOT(ISNUMBER(E2284)),NOT(ISNUMBER(F2284))),"",MAX(0,E2284)*F2284))</f>
        <v/>
      </c>
      <c r="I2284" s="46" t="str">
        <f aca="false">IF($A2284="","",SUMIF($A$2:$A$5001,$A2284,$H$2:$H$5001))</f>
        <v/>
      </c>
      <c r="J2284" s="47" t="n">
        <f aca="false">IF($A2284="",0,IF(COUNTIF($A$2:A2284,$A2284)=1,1,0))</f>
        <v>0</v>
      </c>
      <c r="K2284" s="47" t="n">
        <f aca="false">IF(J2284=1,N(I2284)+ROW()/10000000,0)</f>
        <v>0</v>
      </c>
      <c r="L2284" s="47" t="str">
        <f aca="false">IF(AND(J2284=1,N(I2284)&gt;0),SUMIF($K$2:$K$5001,"&gt;="&amp;K2284,$I$2:$I$5001)/MAX(1,SUM($H$2:$H$5001)),"")</f>
        <v/>
      </c>
      <c r="M2284" s="47" t="str">
        <f aca="false">IF($A2284="","",INDEX($L$2:$L$5001,MATCH($A2284,$A$2:$A$5001,0)))</f>
        <v/>
      </c>
      <c r="N2284" s="48" t="str">
        <f aca="false">IF($A2284="","",IF(N(M2284)=0,"–",IF(M2284&lt;=Start!$D$20,"A",IF(M2284&lt;=Start!$D$21,"B","C"))))</f>
        <v/>
      </c>
      <c r="O2284" s="48" t="str">
        <f aca="false">IF($A2284="","",IF(NOT(ISNUMBER(F2284)),"Wert fehlt; ",IF(F2284&lt;=0,"Wert ist 0; ",""))&amp;IF(NOT(ISNUMBER(E2284)),"Bestand fehlt; ",IF(E2284&lt;0,"Bestand negativ; ",IF(E2284=0,"Nullbestand; ","")))&amp;IF(D2284="","Warengruppe fehlt; ","")&amp;IF(B2284="","Bezeichnung fehlt; ","")&amp;IF(COUNTIFS($A$2:$A$5001,$A2284,$C$2:$C$5001,C2284)&gt;1,"Artikel doppelt im selben Lager; ",""))</f>
        <v/>
      </c>
      <c r="P2284" s="47" t="n">
        <f aca="false">IF(OR($A2284="",D2284=""),0,IF(COUNTIF($D$2:D2284,D2284)=1,SUMIF($D$2:$D$5001,D2284,$H$2:$H$5001)+ROW()/10000000,0))</f>
        <v>0</v>
      </c>
      <c r="Q2284" s="47" t="n">
        <f aca="false">IF(OR($A2284="",C2284=""),0,IF(COUNTIF($C$2:C2284,C2284)=1,SUMIF($C$2:$C$5001,C2284,$H$2:$H$5001)+ROW()/10000000,0))</f>
        <v>0</v>
      </c>
    </row>
    <row r="2285" customFormat="false" ht="15" hidden="false" customHeight="false" outlineLevel="0" collapsed="false">
      <c r="A2285" s="43"/>
      <c r="B2285" s="44"/>
      <c r="C2285" s="44"/>
      <c r="D2285" s="44"/>
      <c r="E2285" s="44"/>
      <c r="F2285" s="44"/>
      <c r="G2285" s="44"/>
      <c r="H2285" s="46" t="str">
        <f aca="false">IF($A2285="","",IF(OR(NOT(ISNUMBER(E2285)),NOT(ISNUMBER(F2285))),"",MAX(0,E2285)*F2285))</f>
        <v/>
      </c>
      <c r="I2285" s="46" t="str">
        <f aca="false">IF($A2285="","",SUMIF($A$2:$A$5001,$A2285,$H$2:$H$5001))</f>
        <v/>
      </c>
      <c r="J2285" s="47" t="n">
        <f aca="false">IF($A2285="",0,IF(COUNTIF($A$2:A2285,$A2285)=1,1,0))</f>
        <v>0</v>
      </c>
      <c r="K2285" s="47" t="n">
        <f aca="false">IF(J2285=1,N(I2285)+ROW()/10000000,0)</f>
        <v>0</v>
      </c>
      <c r="L2285" s="47" t="str">
        <f aca="false">IF(AND(J2285=1,N(I2285)&gt;0),SUMIF($K$2:$K$5001,"&gt;="&amp;K2285,$I$2:$I$5001)/MAX(1,SUM($H$2:$H$5001)),"")</f>
        <v/>
      </c>
      <c r="M2285" s="47" t="str">
        <f aca="false">IF($A2285="","",INDEX($L$2:$L$5001,MATCH($A2285,$A$2:$A$5001,0)))</f>
        <v/>
      </c>
      <c r="N2285" s="48" t="str">
        <f aca="false">IF($A2285="","",IF(N(M2285)=0,"–",IF(M2285&lt;=Start!$D$20,"A",IF(M2285&lt;=Start!$D$21,"B","C"))))</f>
        <v/>
      </c>
      <c r="O2285" s="48" t="str">
        <f aca="false">IF($A2285="","",IF(NOT(ISNUMBER(F2285)),"Wert fehlt; ",IF(F2285&lt;=0,"Wert ist 0; ",""))&amp;IF(NOT(ISNUMBER(E2285)),"Bestand fehlt; ",IF(E2285&lt;0,"Bestand negativ; ",IF(E2285=0,"Nullbestand; ","")))&amp;IF(D2285="","Warengruppe fehlt; ","")&amp;IF(B2285="","Bezeichnung fehlt; ","")&amp;IF(COUNTIFS($A$2:$A$5001,$A2285,$C$2:$C$5001,C2285)&gt;1,"Artikel doppelt im selben Lager; ",""))</f>
        <v/>
      </c>
      <c r="P2285" s="47" t="n">
        <f aca="false">IF(OR($A2285="",D2285=""),0,IF(COUNTIF($D$2:D2285,D2285)=1,SUMIF($D$2:$D$5001,D2285,$H$2:$H$5001)+ROW()/10000000,0))</f>
        <v>0</v>
      </c>
      <c r="Q2285" s="47" t="n">
        <f aca="false">IF(OR($A2285="",C2285=""),0,IF(COUNTIF($C$2:C2285,C2285)=1,SUMIF($C$2:$C$5001,C2285,$H$2:$H$5001)+ROW()/10000000,0))</f>
        <v>0</v>
      </c>
    </row>
    <row r="2286" customFormat="false" ht="15" hidden="false" customHeight="false" outlineLevel="0" collapsed="false">
      <c r="A2286" s="43"/>
      <c r="B2286" s="44"/>
      <c r="C2286" s="44"/>
      <c r="D2286" s="44"/>
      <c r="E2286" s="44"/>
      <c r="F2286" s="44"/>
      <c r="G2286" s="44"/>
      <c r="H2286" s="46" t="str">
        <f aca="false">IF($A2286="","",IF(OR(NOT(ISNUMBER(E2286)),NOT(ISNUMBER(F2286))),"",MAX(0,E2286)*F2286))</f>
        <v/>
      </c>
      <c r="I2286" s="46" t="str">
        <f aca="false">IF($A2286="","",SUMIF($A$2:$A$5001,$A2286,$H$2:$H$5001))</f>
        <v/>
      </c>
      <c r="J2286" s="47" t="n">
        <f aca="false">IF($A2286="",0,IF(COUNTIF($A$2:A2286,$A2286)=1,1,0))</f>
        <v>0</v>
      </c>
      <c r="K2286" s="47" t="n">
        <f aca="false">IF(J2286=1,N(I2286)+ROW()/10000000,0)</f>
        <v>0</v>
      </c>
      <c r="L2286" s="47" t="str">
        <f aca="false">IF(AND(J2286=1,N(I2286)&gt;0),SUMIF($K$2:$K$5001,"&gt;="&amp;K2286,$I$2:$I$5001)/MAX(1,SUM($H$2:$H$5001)),"")</f>
        <v/>
      </c>
      <c r="M2286" s="47" t="str">
        <f aca="false">IF($A2286="","",INDEX($L$2:$L$5001,MATCH($A2286,$A$2:$A$5001,0)))</f>
        <v/>
      </c>
      <c r="N2286" s="48" t="str">
        <f aca="false">IF($A2286="","",IF(N(M2286)=0,"–",IF(M2286&lt;=Start!$D$20,"A",IF(M2286&lt;=Start!$D$21,"B","C"))))</f>
        <v/>
      </c>
      <c r="O2286" s="48" t="str">
        <f aca="false">IF($A2286="","",IF(NOT(ISNUMBER(F2286)),"Wert fehlt; ",IF(F2286&lt;=0,"Wert ist 0; ",""))&amp;IF(NOT(ISNUMBER(E2286)),"Bestand fehlt; ",IF(E2286&lt;0,"Bestand negativ; ",IF(E2286=0,"Nullbestand; ","")))&amp;IF(D2286="","Warengruppe fehlt; ","")&amp;IF(B2286="","Bezeichnung fehlt; ","")&amp;IF(COUNTIFS($A$2:$A$5001,$A2286,$C$2:$C$5001,C2286)&gt;1,"Artikel doppelt im selben Lager; ",""))</f>
        <v/>
      </c>
      <c r="P2286" s="47" t="n">
        <f aca="false">IF(OR($A2286="",D2286=""),0,IF(COUNTIF($D$2:D2286,D2286)=1,SUMIF($D$2:$D$5001,D2286,$H$2:$H$5001)+ROW()/10000000,0))</f>
        <v>0</v>
      </c>
      <c r="Q2286" s="47" t="n">
        <f aca="false">IF(OR($A2286="",C2286=""),0,IF(COUNTIF($C$2:C2286,C2286)=1,SUMIF($C$2:$C$5001,C2286,$H$2:$H$5001)+ROW()/10000000,0))</f>
        <v>0</v>
      </c>
    </row>
    <row r="2287" customFormat="false" ht="15" hidden="false" customHeight="false" outlineLevel="0" collapsed="false">
      <c r="A2287" s="43"/>
      <c r="B2287" s="44"/>
      <c r="C2287" s="44"/>
      <c r="D2287" s="44"/>
      <c r="E2287" s="44"/>
      <c r="F2287" s="44"/>
      <c r="G2287" s="44"/>
      <c r="H2287" s="46" t="str">
        <f aca="false">IF($A2287="","",IF(OR(NOT(ISNUMBER(E2287)),NOT(ISNUMBER(F2287))),"",MAX(0,E2287)*F2287))</f>
        <v/>
      </c>
      <c r="I2287" s="46" t="str">
        <f aca="false">IF($A2287="","",SUMIF($A$2:$A$5001,$A2287,$H$2:$H$5001))</f>
        <v/>
      </c>
      <c r="J2287" s="47" t="n">
        <f aca="false">IF($A2287="",0,IF(COUNTIF($A$2:A2287,$A2287)=1,1,0))</f>
        <v>0</v>
      </c>
      <c r="K2287" s="47" t="n">
        <f aca="false">IF(J2287=1,N(I2287)+ROW()/10000000,0)</f>
        <v>0</v>
      </c>
      <c r="L2287" s="47" t="str">
        <f aca="false">IF(AND(J2287=1,N(I2287)&gt;0),SUMIF($K$2:$K$5001,"&gt;="&amp;K2287,$I$2:$I$5001)/MAX(1,SUM($H$2:$H$5001)),"")</f>
        <v/>
      </c>
      <c r="M2287" s="47" t="str">
        <f aca="false">IF($A2287="","",INDEX($L$2:$L$5001,MATCH($A2287,$A$2:$A$5001,0)))</f>
        <v/>
      </c>
      <c r="N2287" s="48" t="str">
        <f aca="false">IF($A2287="","",IF(N(M2287)=0,"–",IF(M2287&lt;=Start!$D$20,"A",IF(M2287&lt;=Start!$D$21,"B","C"))))</f>
        <v/>
      </c>
      <c r="O2287" s="48" t="str">
        <f aca="false">IF($A2287="","",IF(NOT(ISNUMBER(F2287)),"Wert fehlt; ",IF(F2287&lt;=0,"Wert ist 0; ",""))&amp;IF(NOT(ISNUMBER(E2287)),"Bestand fehlt; ",IF(E2287&lt;0,"Bestand negativ; ",IF(E2287=0,"Nullbestand; ","")))&amp;IF(D2287="","Warengruppe fehlt; ","")&amp;IF(B2287="","Bezeichnung fehlt; ","")&amp;IF(COUNTIFS($A$2:$A$5001,$A2287,$C$2:$C$5001,C2287)&gt;1,"Artikel doppelt im selben Lager; ",""))</f>
        <v/>
      </c>
      <c r="P2287" s="47" t="n">
        <f aca="false">IF(OR($A2287="",D2287=""),0,IF(COUNTIF($D$2:D2287,D2287)=1,SUMIF($D$2:$D$5001,D2287,$H$2:$H$5001)+ROW()/10000000,0))</f>
        <v>0</v>
      </c>
      <c r="Q2287" s="47" t="n">
        <f aca="false">IF(OR($A2287="",C2287=""),0,IF(COUNTIF($C$2:C2287,C2287)=1,SUMIF($C$2:$C$5001,C2287,$H$2:$H$5001)+ROW()/10000000,0))</f>
        <v>0</v>
      </c>
    </row>
    <row r="2288" customFormat="false" ht="15" hidden="false" customHeight="false" outlineLevel="0" collapsed="false">
      <c r="A2288" s="43"/>
      <c r="B2288" s="44"/>
      <c r="C2288" s="44"/>
      <c r="D2288" s="44"/>
      <c r="E2288" s="44"/>
      <c r="F2288" s="44"/>
      <c r="G2288" s="44"/>
      <c r="H2288" s="46" t="str">
        <f aca="false">IF($A2288="","",IF(OR(NOT(ISNUMBER(E2288)),NOT(ISNUMBER(F2288))),"",MAX(0,E2288)*F2288))</f>
        <v/>
      </c>
      <c r="I2288" s="46" t="str">
        <f aca="false">IF($A2288="","",SUMIF($A$2:$A$5001,$A2288,$H$2:$H$5001))</f>
        <v/>
      </c>
      <c r="J2288" s="47" t="n">
        <f aca="false">IF($A2288="",0,IF(COUNTIF($A$2:A2288,$A2288)=1,1,0))</f>
        <v>0</v>
      </c>
      <c r="K2288" s="47" t="n">
        <f aca="false">IF(J2288=1,N(I2288)+ROW()/10000000,0)</f>
        <v>0</v>
      </c>
      <c r="L2288" s="47" t="str">
        <f aca="false">IF(AND(J2288=1,N(I2288)&gt;0),SUMIF($K$2:$K$5001,"&gt;="&amp;K2288,$I$2:$I$5001)/MAX(1,SUM($H$2:$H$5001)),"")</f>
        <v/>
      </c>
      <c r="M2288" s="47" t="str">
        <f aca="false">IF($A2288="","",INDEX($L$2:$L$5001,MATCH($A2288,$A$2:$A$5001,0)))</f>
        <v/>
      </c>
      <c r="N2288" s="48" t="str">
        <f aca="false">IF($A2288="","",IF(N(M2288)=0,"–",IF(M2288&lt;=Start!$D$20,"A",IF(M2288&lt;=Start!$D$21,"B","C"))))</f>
        <v/>
      </c>
      <c r="O2288" s="48" t="str">
        <f aca="false">IF($A2288="","",IF(NOT(ISNUMBER(F2288)),"Wert fehlt; ",IF(F2288&lt;=0,"Wert ist 0; ",""))&amp;IF(NOT(ISNUMBER(E2288)),"Bestand fehlt; ",IF(E2288&lt;0,"Bestand negativ; ",IF(E2288=0,"Nullbestand; ","")))&amp;IF(D2288="","Warengruppe fehlt; ","")&amp;IF(B2288="","Bezeichnung fehlt; ","")&amp;IF(COUNTIFS($A$2:$A$5001,$A2288,$C$2:$C$5001,C2288)&gt;1,"Artikel doppelt im selben Lager; ",""))</f>
        <v/>
      </c>
      <c r="P2288" s="47" t="n">
        <f aca="false">IF(OR($A2288="",D2288=""),0,IF(COUNTIF($D$2:D2288,D2288)=1,SUMIF($D$2:$D$5001,D2288,$H$2:$H$5001)+ROW()/10000000,0))</f>
        <v>0</v>
      </c>
      <c r="Q2288" s="47" t="n">
        <f aca="false">IF(OR($A2288="",C2288=""),0,IF(COUNTIF($C$2:C2288,C2288)=1,SUMIF($C$2:$C$5001,C2288,$H$2:$H$5001)+ROW()/10000000,0))</f>
        <v>0</v>
      </c>
    </row>
    <row r="2289" customFormat="false" ht="15" hidden="false" customHeight="false" outlineLevel="0" collapsed="false">
      <c r="A2289" s="43"/>
      <c r="B2289" s="44"/>
      <c r="C2289" s="44"/>
      <c r="D2289" s="44"/>
      <c r="E2289" s="44"/>
      <c r="F2289" s="44"/>
      <c r="G2289" s="44"/>
      <c r="H2289" s="46" t="str">
        <f aca="false">IF($A2289="","",IF(OR(NOT(ISNUMBER(E2289)),NOT(ISNUMBER(F2289))),"",MAX(0,E2289)*F2289))</f>
        <v/>
      </c>
      <c r="I2289" s="46" t="str">
        <f aca="false">IF($A2289="","",SUMIF($A$2:$A$5001,$A2289,$H$2:$H$5001))</f>
        <v/>
      </c>
      <c r="J2289" s="47" t="n">
        <f aca="false">IF($A2289="",0,IF(COUNTIF($A$2:A2289,$A2289)=1,1,0))</f>
        <v>0</v>
      </c>
      <c r="K2289" s="47" t="n">
        <f aca="false">IF(J2289=1,N(I2289)+ROW()/10000000,0)</f>
        <v>0</v>
      </c>
      <c r="L2289" s="47" t="str">
        <f aca="false">IF(AND(J2289=1,N(I2289)&gt;0),SUMIF($K$2:$K$5001,"&gt;="&amp;K2289,$I$2:$I$5001)/MAX(1,SUM($H$2:$H$5001)),"")</f>
        <v/>
      </c>
      <c r="M2289" s="47" t="str">
        <f aca="false">IF($A2289="","",INDEX($L$2:$L$5001,MATCH($A2289,$A$2:$A$5001,0)))</f>
        <v/>
      </c>
      <c r="N2289" s="48" t="str">
        <f aca="false">IF($A2289="","",IF(N(M2289)=0,"–",IF(M2289&lt;=Start!$D$20,"A",IF(M2289&lt;=Start!$D$21,"B","C"))))</f>
        <v/>
      </c>
      <c r="O2289" s="48" t="str">
        <f aca="false">IF($A2289="","",IF(NOT(ISNUMBER(F2289)),"Wert fehlt; ",IF(F2289&lt;=0,"Wert ist 0; ",""))&amp;IF(NOT(ISNUMBER(E2289)),"Bestand fehlt; ",IF(E2289&lt;0,"Bestand negativ; ",IF(E2289=0,"Nullbestand; ","")))&amp;IF(D2289="","Warengruppe fehlt; ","")&amp;IF(B2289="","Bezeichnung fehlt; ","")&amp;IF(COUNTIFS($A$2:$A$5001,$A2289,$C$2:$C$5001,C2289)&gt;1,"Artikel doppelt im selben Lager; ",""))</f>
        <v/>
      </c>
      <c r="P2289" s="47" t="n">
        <f aca="false">IF(OR($A2289="",D2289=""),0,IF(COUNTIF($D$2:D2289,D2289)=1,SUMIF($D$2:$D$5001,D2289,$H$2:$H$5001)+ROW()/10000000,0))</f>
        <v>0</v>
      </c>
      <c r="Q2289" s="47" t="n">
        <f aca="false">IF(OR($A2289="",C2289=""),0,IF(COUNTIF($C$2:C2289,C2289)=1,SUMIF($C$2:$C$5001,C2289,$H$2:$H$5001)+ROW()/10000000,0))</f>
        <v>0</v>
      </c>
    </row>
    <row r="2290" customFormat="false" ht="15" hidden="false" customHeight="false" outlineLevel="0" collapsed="false">
      <c r="A2290" s="43"/>
      <c r="B2290" s="44"/>
      <c r="C2290" s="44"/>
      <c r="D2290" s="44"/>
      <c r="E2290" s="44"/>
      <c r="F2290" s="44"/>
      <c r="G2290" s="44"/>
      <c r="H2290" s="46" t="str">
        <f aca="false">IF($A2290="","",IF(OR(NOT(ISNUMBER(E2290)),NOT(ISNUMBER(F2290))),"",MAX(0,E2290)*F2290))</f>
        <v/>
      </c>
      <c r="I2290" s="46" t="str">
        <f aca="false">IF($A2290="","",SUMIF($A$2:$A$5001,$A2290,$H$2:$H$5001))</f>
        <v/>
      </c>
      <c r="J2290" s="47" t="n">
        <f aca="false">IF($A2290="",0,IF(COUNTIF($A$2:A2290,$A2290)=1,1,0))</f>
        <v>0</v>
      </c>
      <c r="K2290" s="47" t="n">
        <f aca="false">IF(J2290=1,N(I2290)+ROW()/10000000,0)</f>
        <v>0</v>
      </c>
      <c r="L2290" s="47" t="str">
        <f aca="false">IF(AND(J2290=1,N(I2290)&gt;0),SUMIF($K$2:$K$5001,"&gt;="&amp;K2290,$I$2:$I$5001)/MAX(1,SUM($H$2:$H$5001)),"")</f>
        <v/>
      </c>
      <c r="M2290" s="47" t="str">
        <f aca="false">IF($A2290="","",INDEX($L$2:$L$5001,MATCH($A2290,$A$2:$A$5001,0)))</f>
        <v/>
      </c>
      <c r="N2290" s="48" t="str">
        <f aca="false">IF($A2290="","",IF(N(M2290)=0,"–",IF(M2290&lt;=Start!$D$20,"A",IF(M2290&lt;=Start!$D$21,"B","C"))))</f>
        <v/>
      </c>
      <c r="O2290" s="48" t="str">
        <f aca="false">IF($A2290="","",IF(NOT(ISNUMBER(F2290)),"Wert fehlt; ",IF(F2290&lt;=0,"Wert ist 0; ",""))&amp;IF(NOT(ISNUMBER(E2290)),"Bestand fehlt; ",IF(E2290&lt;0,"Bestand negativ; ",IF(E2290=0,"Nullbestand; ","")))&amp;IF(D2290="","Warengruppe fehlt; ","")&amp;IF(B2290="","Bezeichnung fehlt; ","")&amp;IF(COUNTIFS($A$2:$A$5001,$A2290,$C$2:$C$5001,C2290)&gt;1,"Artikel doppelt im selben Lager; ",""))</f>
        <v/>
      </c>
      <c r="P2290" s="47" t="n">
        <f aca="false">IF(OR($A2290="",D2290=""),0,IF(COUNTIF($D$2:D2290,D2290)=1,SUMIF($D$2:$D$5001,D2290,$H$2:$H$5001)+ROW()/10000000,0))</f>
        <v>0</v>
      </c>
      <c r="Q2290" s="47" t="n">
        <f aca="false">IF(OR($A2290="",C2290=""),0,IF(COUNTIF($C$2:C2290,C2290)=1,SUMIF($C$2:$C$5001,C2290,$H$2:$H$5001)+ROW()/10000000,0))</f>
        <v>0</v>
      </c>
    </row>
    <row r="2291" customFormat="false" ht="15" hidden="false" customHeight="false" outlineLevel="0" collapsed="false">
      <c r="A2291" s="43"/>
      <c r="B2291" s="44"/>
      <c r="C2291" s="44"/>
      <c r="D2291" s="44"/>
      <c r="E2291" s="44"/>
      <c r="F2291" s="44"/>
      <c r="G2291" s="44"/>
      <c r="H2291" s="46" t="str">
        <f aca="false">IF($A2291="","",IF(OR(NOT(ISNUMBER(E2291)),NOT(ISNUMBER(F2291))),"",MAX(0,E2291)*F2291))</f>
        <v/>
      </c>
      <c r="I2291" s="46" t="str">
        <f aca="false">IF($A2291="","",SUMIF($A$2:$A$5001,$A2291,$H$2:$H$5001))</f>
        <v/>
      </c>
      <c r="J2291" s="47" t="n">
        <f aca="false">IF($A2291="",0,IF(COUNTIF($A$2:A2291,$A2291)=1,1,0))</f>
        <v>0</v>
      </c>
      <c r="K2291" s="47" t="n">
        <f aca="false">IF(J2291=1,N(I2291)+ROW()/10000000,0)</f>
        <v>0</v>
      </c>
      <c r="L2291" s="47" t="str">
        <f aca="false">IF(AND(J2291=1,N(I2291)&gt;0),SUMIF($K$2:$K$5001,"&gt;="&amp;K2291,$I$2:$I$5001)/MAX(1,SUM($H$2:$H$5001)),"")</f>
        <v/>
      </c>
      <c r="M2291" s="47" t="str">
        <f aca="false">IF($A2291="","",INDEX($L$2:$L$5001,MATCH($A2291,$A$2:$A$5001,0)))</f>
        <v/>
      </c>
      <c r="N2291" s="48" t="str">
        <f aca="false">IF($A2291="","",IF(N(M2291)=0,"–",IF(M2291&lt;=Start!$D$20,"A",IF(M2291&lt;=Start!$D$21,"B","C"))))</f>
        <v/>
      </c>
      <c r="O2291" s="48" t="str">
        <f aca="false">IF($A2291="","",IF(NOT(ISNUMBER(F2291)),"Wert fehlt; ",IF(F2291&lt;=0,"Wert ist 0; ",""))&amp;IF(NOT(ISNUMBER(E2291)),"Bestand fehlt; ",IF(E2291&lt;0,"Bestand negativ; ",IF(E2291=0,"Nullbestand; ","")))&amp;IF(D2291="","Warengruppe fehlt; ","")&amp;IF(B2291="","Bezeichnung fehlt; ","")&amp;IF(COUNTIFS($A$2:$A$5001,$A2291,$C$2:$C$5001,C2291)&gt;1,"Artikel doppelt im selben Lager; ",""))</f>
        <v/>
      </c>
      <c r="P2291" s="47" t="n">
        <f aca="false">IF(OR($A2291="",D2291=""),0,IF(COUNTIF($D$2:D2291,D2291)=1,SUMIF($D$2:$D$5001,D2291,$H$2:$H$5001)+ROW()/10000000,0))</f>
        <v>0</v>
      </c>
      <c r="Q2291" s="47" t="n">
        <f aca="false">IF(OR($A2291="",C2291=""),0,IF(COUNTIF($C$2:C2291,C2291)=1,SUMIF($C$2:$C$5001,C2291,$H$2:$H$5001)+ROW()/10000000,0))</f>
        <v>0</v>
      </c>
    </row>
    <row r="2292" customFormat="false" ht="15" hidden="false" customHeight="false" outlineLevel="0" collapsed="false">
      <c r="A2292" s="43"/>
      <c r="B2292" s="44"/>
      <c r="C2292" s="44"/>
      <c r="D2292" s="44"/>
      <c r="E2292" s="44"/>
      <c r="F2292" s="44"/>
      <c r="G2292" s="44"/>
      <c r="H2292" s="46" t="str">
        <f aca="false">IF($A2292="","",IF(OR(NOT(ISNUMBER(E2292)),NOT(ISNUMBER(F2292))),"",MAX(0,E2292)*F2292))</f>
        <v/>
      </c>
      <c r="I2292" s="46" t="str">
        <f aca="false">IF($A2292="","",SUMIF($A$2:$A$5001,$A2292,$H$2:$H$5001))</f>
        <v/>
      </c>
      <c r="J2292" s="47" t="n">
        <f aca="false">IF($A2292="",0,IF(COUNTIF($A$2:A2292,$A2292)=1,1,0))</f>
        <v>0</v>
      </c>
      <c r="K2292" s="47" t="n">
        <f aca="false">IF(J2292=1,N(I2292)+ROW()/10000000,0)</f>
        <v>0</v>
      </c>
      <c r="L2292" s="47" t="str">
        <f aca="false">IF(AND(J2292=1,N(I2292)&gt;0),SUMIF($K$2:$K$5001,"&gt;="&amp;K2292,$I$2:$I$5001)/MAX(1,SUM($H$2:$H$5001)),"")</f>
        <v/>
      </c>
      <c r="M2292" s="47" t="str">
        <f aca="false">IF($A2292="","",INDEX($L$2:$L$5001,MATCH($A2292,$A$2:$A$5001,0)))</f>
        <v/>
      </c>
      <c r="N2292" s="48" t="str">
        <f aca="false">IF($A2292="","",IF(N(M2292)=0,"–",IF(M2292&lt;=Start!$D$20,"A",IF(M2292&lt;=Start!$D$21,"B","C"))))</f>
        <v/>
      </c>
      <c r="O2292" s="48" t="str">
        <f aca="false">IF($A2292="","",IF(NOT(ISNUMBER(F2292)),"Wert fehlt; ",IF(F2292&lt;=0,"Wert ist 0; ",""))&amp;IF(NOT(ISNUMBER(E2292)),"Bestand fehlt; ",IF(E2292&lt;0,"Bestand negativ; ",IF(E2292=0,"Nullbestand; ","")))&amp;IF(D2292="","Warengruppe fehlt; ","")&amp;IF(B2292="","Bezeichnung fehlt; ","")&amp;IF(COUNTIFS($A$2:$A$5001,$A2292,$C$2:$C$5001,C2292)&gt;1,"Artikel doppelt im selben Lager; ",""))</f>
        <v/>
      </c>
      <c r="P2292" s="47" t="n">
        <f aca="false">IF(OR($A2292="",D2292=""),0,IF(COUNTIF($D$2:D2292,D2292)=1,SUMIF($D$2:$D$5001,D2292,$H$2:$H$5001)+ROW()/10000000,0))</f>
        <v>0</v>
      </c>
      <c r="Q2292" s="47" t="n">
        <f aca="false">IF(OR($A2292="",C2292=""),0,IF(COUNTIF($C$2:C2292,C2292)=1,SUMIF($C$2:$C$5001,C2292,$H$2:$H$5001)+ROW()/10000000,0))</f>
        <v>0</v>
      </c>
    </row>
    <row r="2293" customFormat="false" ht="15" hidden="false" customHeight="false" outlineLevel="0" collapsed="false">
      <c r="A2293" s="43"/>
      <c r="B2293" s="44"/>
      <c r="C2293" s="44"/>
      <c r="D2293" s="44"/>
      <c r="E2293" s="44"/>
      <c r="F2293" s="44"/>
      <c r="G2293" s="44"/>
      <c r="H2293" s="46" t="str">
        <f aca="false">IF($A2293="","",IF(OR(NOT(ISNUMBER(E2293)),NOT(ISNUMBER(F2293))),"",MAX(0,E2293)*F2293))</f>
        <v/>
      </c>
      <c r="I2293" s="46" t="str">
        <f aca="false">IF($A2293="","",SUMIF($A$2:$A$5001,$A2293,$H$2:$H$5001))</f>
        <v/>
      </c>
      <c r="J2293" s="47" t="n">
        <f aca="false">IF($A2293="",0,IF(COUNTIF($A$2:A2293,$A2293)=1,1,0))</f>
        <v>0</v>
      </c>
      <c r="K2293" s="47" t="n">
        <f aca="false">IF(J2293=1,N(I2293)+ROW()/10000000,0)</f>
        <v>0</v>
      </c>
      <c r="L2293" s="47" t="str">
        <f aca="false">IF(AND(J2293=1,N(I2293)&gt;0),SUMIF($K$2:$K$5001,"&gt;="&amp;K2293,$I$2:$I$5001)/MAX(1,SUM($H$2:$H$5001)),"")</f>
        <v/>
      </c>
      <c r="M2293" s="47" t="str">
        <f aca="false">IF($A2293="","",INDEX($L$2:$L$5001,MATCH($A2293,$A$2:$A$5001,0)))</f>
        <v/>
      </c>
      <c r="N2293" s="48" t="str">
        <f aca="false">IF($A2293="","",IF(N(M2293)=0,"–",IF(M2293&lt;=Start!$D$20,"A",IF(M2293&lt;=Start!$D$21,"B","C"))))</f>
        <v/>
      </c>
      <c r="O2293" s="48" t="str">
        <f aca="false">IF($A2293="","",IF(NOT(ISNUMBER(F2293)),"Wert fehlt; ",IF(F2293&lt;=0,"Wert ist 0; ",""))&amp;IF(NOT(ISNUMBER(E2293)),"Bestand fehlt; ",IF(E2293&lt;0,"Bestand negativ; ",IF(E2293=0,"Nullbestand; ","")))&amp;IF(D2293="","Warengruppe fehlt; ","")&amp;IF(B2293="","Bezeichnung fehlt; ","")&amp;IF(COUNTIFS($A$2:$A$5001,$A2293,$C$2:$C$5001,C2293)&gt;1,"Artikel doppelt im selben Lager; ",""))</f>
        <v/>
      </c>
      <c r="P2293" s="47" t="n">
        <f aca="false">IF(OR($A2293="",D2293=""),0,IF(COUNTIF($D$2:D2293,D2293)=1,SUMIF($D$2:$D$5001,D2293,$H$2:$H$5001)+ROW()/10000000,0))</f>
        <v>0</v>
      </c>
      <c r="Q2293" s="47" t="n">
        <f aca="false">IF(OR($A2293="",C2293=""),0,IF(COUNTIF($C$2:C2293,C2293)=1,SUMIF($C$2:$C$5001,C2293,$H$2:$H$5001)+ROW()/10000000,0))</f>
        <v>0</v>
      </c>
    </row>
    <row r="2294" customFormat="false" ht="15" hidden="false" customHeight="false" outlineLevel="0" collapsed="false">
      <c r="A2294" s="43"/>
      <c r="B2294" s="44"/>
      <c r="C2294" s="44"/>
      <c r="D2294" s="44"/>
      <c r="E2294" s="44"/>
      <c r="F2294" s="44"/>
      <c r="G2294" s="44"/>
      <c r="H2294" s="46" t="str">
        <f aca="false">IF($A2294="","",IF(OR(NOT(ISNUMBER(E2294)),NOT(ISNUMBER(F2294))),"",MAX(0,E2294)*F2294))</f>
        <v/>
      </c>
      <c r="I2294" s="46" t="str">
        <f aca="false">IF($A2294="","",SUMIF($A$2:$A$5001,$A2294,$H$2:$H$5001))</f>
        <v/>
      </c>
      <c r="J2294" s="47" t="n">
        <f aca="false">IF($A2294="",0,IF(COUNTIF($A$2:A2294,$A2294)=1,1,0))</f>
        <v>0</v>
      </c>
      <c r="K2294" s="47" t="n">
        <f aca="false">IF(J2294=1,N(I2294)+ROW()/10000000,0)</f>
        <v>0</v>
      </c>
      <c r="L2294" s="47" t="str">
        <f aca="false">IF(AND(J2294=1,N(I2294)&gt;0),SUMIF($K$2:$K$5001,"&gt;="&amp;K2294,$I$2:$I$5001)/MAX(1,SUM($H$2:$H$5001)),"")</f>
        <v/>
      </c>
      <c r="M2294" s="47" t="str">
        <f aca="false">IF($A2294="","",INDEX($L$2:$L$5001,MATCH($A2294,$A$2:$A$5001,0)))</f>
        <v/>
      </c>
      <c r="N2294" s="48" t="str">
        <f aca="false">IF($A2294="","",IF(N(M2294)=0,"–",IF(M2294&lt;=Start!$D$20,"A",IF(M2294&lt;=Start!$D$21,"B","C"))))</f>
        <v/>
      </c>
      <c r="O2294" s="48" t="str">
        <f aca="false">IF($A2294="","",IF(NOT(ISNUMBER(F2294)),"Wert fehlt; ",IF(F2294&lt;=0,"Wert ist 0; ",""))&amp;IF(NOT(ISNUMBER(E2294)),"Bestand fehlt; ",IF(E2294&lt;0,"Bestand negativ; ",IF(E2294=0,"Nullbestand; ","")))&amp;IF(D2294="","Warengruppe fehlt; ","")&amp;IF(B2294="","Bezeichnung fehlt; ","")&amp;IF(COUNTIFS($A$2:$A$5001,$A2294,$C$2:$C$5001,C2294)&gt;1,"Artikel doppelt im selben Lager; ",""))</f>
        <v/>
      </c>
      <c r="P2294" s="47" t="n">
        <f aca="false">IF(OR($A2294="",D2294=""),0,IF(COUNTIF($D$2:D2294,D2294)=1,SUMIF($D$2:$D$5001,D2294,$H$2:$H$5001)+ROW()/10000000,0))</f>
        <v>0</v>
      </c>
      <c r="Q2294" s="47" t="n">
        <f aca="false">IF(OR($A2294="",C2294=""),0,IF(COUNTIF($C$2:C2294,C2294)=1,SUMIF($C$2:$C$5001,C2294,$H$2:$H$5001)+ROW()/10000000,0))</f>
        <v>0</v>
      </c>
    </row>
    <row r="2295" customFormat="false" ht="15" hidden="false" customHeight="false" outlineLevel="0" collapsed="false">
      <c r="A2295" s="43"/>
      <c r="B2295" s="44"/>
      <c r="C2295" s="44"/>
      <c r="D2295" s="44"/>
      <c r="E2295" s="44"/>
      <c r="F2295" s="44"/>
      <c r="G2295" s="44"/>
      <c r="H2295" s="46" t="str">
        <f aca="false">IF($A2295="","",IF(OR(NOT(ISNUMBER(E2295)),NOT(ISNUMBER(F2295))),"",MAX(0,E2295)*F2295))</f>
        <v/>
      </c>
      <c r="I2295" s="46" t="str">
        <f aca="false">IF($A2295="","",SUMIF($A$2:$A$5001,$A2295,$H$2:$H$5001))</f>
        <v/>
      </c>
      <c r="J2295" s="47" t="n">
        <f aca="false">IF($A2295="",0,IF(COUNTIF($A$2:A2295,$A2295)=1,1,0))</f>
        <v>0</v>
      </c>
      <c r="K2295" s="47" t="n">
        <f aca="false">IF(J2295=1,N(I2295)+ROW()/10000000,0)</f>
        <v>0</v>
      </c>
      <c r="L2295" s="47" t="str">
        <f aca="false">IF(AND(J2295=1,N(I2295)&gt;0),SUMIF($K$2:$K$5001,"&gt;="&amp;K2295,$I$2:$I$5001)/MAX(1,SUM($H$2:$H$5001)),"")</f>
        <v/>
      </c>
      <c r="M2295" s="47" t="str">
        <f aca="false">IF($A2295="","",INDEX($L$2:$L$5001,MATCH($A2295,$A$2:$A$5001,0)))</f>
        <v/>
      </c>
      <c r="N2295" s="48" t="str">
        <f aca="false">IF($A2295="","",IF(N(M2295)=0,"–",IF(M2295&lt;=Start!$D$20,"A",IF(M2295&lt;=Start!$D$21,"B","C"))))</f>
        <v/>
      </c>
      <c r="O2295" s="48" t="str">
        <f aca="false">IF($A2295="","",IF(NOT(ISNUMBER(F2295)),"Wert fehlt; ",IF(F2295&lt;=0,"Wert ist 0; ",""))&amp;IF(NOT(ISNUMBER(E2295)),"Bestand fehlt; ",IF(E2295&lt;0,"Bestand negativ; ",IF(E2295=0,"Nullbestand; ","")))&amp;IF(D2295="","Warengruppe fehlt; ","")&amp;IF(B2295="","Bezeichnung fehlt; ","")&amp;IF(COUNTIFS($A$2:$A$5001,$A2295,$C$2:$C$5001,C2295)&gt;1,"Artikel doppelt im selben Lager; ",""))</f>
        <v/>
      </c>
      <c r="P2295" s="47" t="n">
        <f aca="false">IF(OR($A2295="",D2295=""),0,IF(COUNTIF($D$2:D2295,D2295)=1,SUMIF($D$2:$D$5001,D2295,$H$2:$H$5001)+ROW()/10000000,0))</f>
        <v>0</v>
      </c>
      <c r="Q2295" s="47" t="n">
        <f aca="false">IF(OR($A2295="",C2295=""),0,IF(COUNTIF($C$2:C2295,C2295)=1,SUMIF($C$2:$C$5001,C2295,$H$2:$H$5001)+ROW()/10000000,0))</f>
        <v>0</v>
      </c>
    </row>
    <row r="2296" customFormat="false" ht="15" hidden="false" customHeight="false" outlineLevel="0" collapsed="false">
      <c r="A2296" s="43"/>
      <c r="B2296" s="44"/>
      <c r="C2296" s="44"/>
      <c r="D2296" s="44"/>
      <c r="E2296" s="44"/>
      <c r="F2296" s="44"/>
      <c r="G2296" s="44"/>
      <c r="H2296" s="46" t="str">
        <f aca="false">IF($A2296="","",IF(OR(NOT(ISNUMBER(E2296)),NOT(ISNUMBER(F2296))),"",MAX(0,E2296)*F2296))</f>
        <v/>
      </c>
      <c r="I2296" s="46" t="str">
        <f aca="false">IF($A2296="","",SUMIF($A$2:$A$5001,$A2296,$H$2:$H$5001))</f>
        <v/>
      </c>
      <c r="J2296" s="47" t="n">
        <f aca="false">IF($A2296="",0,IF(COUNTIF($A$2:A2296,$A2296)=1,1,0))</f>
        <v>0</v>
      </c>
      <c r="K2296" s="47" t="n">
        <f aca="false">IF(J2296=1,N(I2296)+ROW()/10000000,0)</f>
        <v>0</v>
      </c>
      <c r="L2296" s="47" t="str">
        <f aca="false">IF(AND(J2296=1,N(I2296)&gt;0),SUMIF($K$2:$K$5001,"&gt;="&amp;K2296,$I$2:$I$5001)/MAX(1,SUM($H$2:$H$5001)),"")</f>
        <v/>
      </c>
      <c r="M2296" s="47" t="str">
        <f aca="false">IF($A2296="","",INDEX($L$2:$L$5001,MATCH($A2296,$A$2:$A$5001,0)))</f>
        <v/>
      </c>
      <c r="N2296" s="48" t="str">
        <f aca="false">IF($A2296="","",IF(N(M2296)=0,"–",IF(M2296&lt;=Start!$D$20,"A",IF(M2296&lt;=Start!$D$21,"B","C"))))</f>
        <v/>
      </c>
      <c r="O2296" s="48" t="str">
        <f aca="false">IF($A2296="","",IF(NOT(ISNUMBER(F2296)),"Wert fehlt; ",IF(F2296&lt;=0,"Wert ist 0; ",""))&amp;IF(NOT(ISNUMBER(E2296)),"Bestand fehlt; ",IF(E2296&lt;0,"Bestand negativ; ",IF(E2296=0,"Nullbestand; ","")))&amp;IF(D2296="","Warengruppe fehlt; ","")&amp;IF(B2296="","Bezeichnung fehlt; ","")&amp;IF(COUNTIFS($A$2:$A$5001,$A2296,$C$2:$C$5001,C2296)&gt;1,"Artikel doppelt im selben Lager; ",""))</f>
        <v/>
      </c>
      <c r="P2296" s="47" t="n">
        <f aca="false">IF(OR($A2296="",D2296=""),0,IF(COUNTIF($D$2:D2296,D2296)=1,SUMIF($D$2:$D$5001,D2296,$H$2:$H$5001)+ROW()/10000000,0))</f>
        <v>0</v>
      </c>
      <c r="Q2296" s="47" t="n">
        <f aca="false">IF(OR($A2296="",C2296=""),0,IF(COUNTIF($C$2:C2296,C2296)=1,SUMIF($C$2:$C$5001,C2296,$H$2:$H$5001)+ROW()/10000000,0))</f>
        <v>0</v>
      </c>
    </row>
    <row r="2297" customFormat="false" ht="15" hidden="false" customHeight="false" outlineLevel="0" collapsed="false">
      <c r="A2297" s="43"/>
      <c r="B2297" s="44"/>
      <c r="C2297" s="44"/>
      <c r="D2297" s="44"/>
      <c r="E2297" s="44"/>
      <c r="F2297" s="44"/>
      <c r="G2297" s="44"/>
      <c r="H2297" s="46" t="str">
        <f aca="false">IF($A2297="","",IF(OR(NOT(ISNUMBER(E2297)),NOT(ISNUMBER(F2297))),"",MAX(0,E2297)*F2297))</f>
        <v/>
      </c>
      <c r="I2297" s="46" t="str">
        <f aca="false">IF($A2297="","",SUMIF($A$2:$A$5001,$A2297,$H$2:$H$5001))</f>
        <v/>
      </c>
      <c r="J2297" s="47" t="n">
        <f aca="false">IF($A2297="",0,IF(COUNTIF($A$2:A2297,$A2297)=1,1,0))</f>
        <v>0</v>
      </c>
      <c r="K2297" s="47" t="n">
        <f aca="false">IF(J2297=1,N(I2297)+ROW()/10000000,0)</f>
        <v>0</v>
      </c>
      <c r="L2297" s="47" t="str">
        <f aca="false">IF(AND(J2297=1,N(I2297)&gt;0),SUMIF($K$2:$K$5001,"&gt;="&amp;K2297,$I$2:$I$5001)/MAX(1,SUM($H$2:$H$5001)),"")</f>
        <v/>
      </c>
      <c r="M2297" s="47" t="str">
        <f aca="false">IF($A2297="","",INDEX($L$2:$L$5001,MATCH($A2297,$A$2:$A$5001,0)))</f>
        <v/>
      </c>
      <c r="N2297" s="48" t="str">
        <f aca="false">IF($A2297="","",IF(N(M2297)=0,"–",IF(M2297&lt;=Start!$D$20,"A",IF(M2297&lt;=Start!$D$21,"B","C"))))</f>
        <v/>
      </c>
      <c r="O2297" s="48" t="str">
        <f aca="false">IF($A2297="","",IF(NOT(ISNUMBER(F2297)),"Wert fehlt; ",IF(F2297&lt;=0,"Wert ist 0; ",""))&amp;IF(NOT(ISNUMBER(E2297)),"Bestand fehlt; ",IF(E2297&lt;0,"Bestand negativ; ",IF(E2297=0,"Nullbestand; ","")))&amp;IF(D2297="","Warengruppe fehlt; ","")&amp;IF(B2297="","Bezeichnung fehlt; ","")&amp;IF(COUNTIFS($A$2:$A$5001,$A2297,$C$2:$C$5001,C2297)&gt;1,"Artikel doppelt im selben Lager; ",""))</f>
        <v/>
      </c>
      <c r="P2297" s="47" t="n">
        <f aca="false">IF(OR($A2297="",D2297=""),0,IF(COUNTIF($D$2:D2297,D2297)=1,SUMIF($D$2:$D$5001,D2297,$H$2:$H$5001)+ROW()/10000000,0))</f>
        <v>0</v>
      </c>
      <c r="Q2297" s="47" t="n">
        <f aca="false">IF(OR($A2297="",C2297=""),0,IF(COUNTIF($C$2:C2297,C2297)=1,SUMIF($C$2:$C$5001,C2297,$H$2:$H$5001)+ROW()/10000000,0))</f>
        <v>0</v>
      </c>
    </row>
    <row r="2298" customFormat="false" ht="15" hidden="false" customHeight="false" outlineLevel="0" collapsed="false">
      <c r="A2298" s="43"/>
      <c r="B2298" s="44"/>
      <c r="C2298" s="44"/>
      <c r="D2298" s="44"/>
      <c r="E2298" s="44"/>
      <c r="F2298" s="44"/>
      <c r="G2298" s="44"/>
      <c r="H2298" s="46" t="str">
        <f aca="false">IF($A2298="","",IF(OR(NOT(ISNUMBER(E2298)),NOT(ISNUMBER(F2298))),"",MAX(0,E2298)*F2298))</f>
        <v/>
      </c>
      <c r="I2298" s="46" t="str">
        <f aca="false">IF($A2298="","",SUMIF($A$2:$A$5001,$A2298,$H$2:$H$5001))</f>
        <v/>
      </c>
      <c r="J2298" s="47" t="n">
        <f aca="false">IF($A2298="",0,IF(COUNTIF($A$2:A2298,$A2298)=1,1,0))</f>
        <v>0</v>
      </c>
      <c r="K2298" s="47" t="n">
        <f aca="false">IF(J2298=1,N(I2298)+ROW()/10000000,0)</f>
        <v>0</v>
      </c>
      <c r="L2298" s="47" t="str">
        <f aca="false">IF(AND(J2298=1,N(I2298)&gt;0),SUMIF($K$2:$K$5001,"&gt;="&amp;K2298,$I$2:$I$5001)/MAX(1,SUM($H$2:$H$5001)),"")</f>
        <v/>
      </c>
      <c r="M2298" s="47" t="str">
        <f aca="false">IF($A2298="","",INDEX($L$2:$L$5001,MATCH($A2298,$A$2:$A$5001,0)))</f>
        <v/>
      </c>
      <c r="N2298" s="48" t="str">
        <f aca="false">IF($A2298="","",IF(N(M2298)=0,"–",IF(M2298&lt;=Start!$D$20,"A",IF(M2298&lt;=Start!$D$21,"B","C"))))</f>
        <v/>
      </c>
      <c r="O2298" s="48" t="str">
        <f aca="false">IF($A2298="","",IF(NOT(ISNUMBER(F2298)),"Wert fehlt; ",IF(F2298&lt;=0,"Wert ist 0; ",""))&amp;IF(NOT(ISNUMBER(E2298)),"Bestand fehlt; ",IF(E2298&lt;0,"Bestand negativ; ",IF(E2298=0,"Nullbestand; ","")))&amp;IF(D2298="","Warengruppe fehlt; ","")&amp;IF(B2298="","Bezeichnung fehlt; ","")&amp;IF(COUNTIFS($A$2:$A$5001,$A2298,$C$2:$C$5001,C2298)&gt;1,"Artikel doppelt im selben Lager; ",""))</f>
        <v/>
      </c>
      <c r="P2298" s="47" t="n">
        <f aca="false">IF(OR($A2298="",D2298=""),0,IF(COUNTIF($D$2:D2298,D2298)=1,SUMIF($D$2:$D$5001,D2298,$H$2:$H$5001)+ROW()/10000000,0))</f>
        <v>0</v>
      </c>
      <c r="Q2298" s="47" t="n">
        <f aca="false">IF(OR($A2298="",C2298=""),0,IF(COUNTIF($C$2:C2298,C2298)=1,SUMIF($C$2:$C$5001,C2298,$H$2:$H$5001)+ROW()/10000000,0))</f>
        <v>0</v>
      </c>
    </row>
    <row r="2299" customFormat="false" ht="15" hidden="false" customHeight="false" outlineLevel="0" collapsed="false">
      <c r="A2299" s="43"/>
      <c r="B2299" s="44"/>
      <c r="C2299" s="44"/>
      <c r="D2299" s="44"/>
      <c r="E2299" s="44"/>
      <c r="F2299" s="44"/>
      <c r="G2299" s="44"/>
      <c r="H2299" s="46" t="str">
        <f aca="false">IF($A2299="","",IF(OR(NOT(ISNUMBER(E2299)),NOT(ISNUMBER(F2299))),"",MAX(0,E2299)*F2299))</f>
        <v/>
      </c>
      <c r="I2299" s="46" t="str">
        <f aca="false">IF($A2299="","",SUMIF($A$2:$A$5001,$A2299,$H$2:$H$5001))</f>
        <v/>
      </c>
      <c r="J2299" s="47" t="n">
        <f aca="false">IF($A2299="",0,IF(COUNTIF($A$2:A2299,$A2299)=1,1,0))</f>
        <v>0</v>
      </c>
      <c r="K2299" s="47" t="n">
        <f aca="false">IF(J2299=1,N(I2299)+ROW()/10000000,0)</f>
        <v>0</v>
      </c>
      <c r="L2299" s="47" t="str">
        <f aca="false">IF(AND(J2299=1,N(I2299)&gt;0),SUMIF($K$2:$K$5001,"&gt;="&amp;K2299,$I$2:$I$5001)/MAX(1,SUM($H$2:$H$5001)),"")</f>
        <v/>
      </c>
      <c r="M2299" s="47" t="str">
        <f aca="false">IF($A2299="","",INDEX($L$2:$L$5001,MATCH($A2299,$A$2:$A$5001,0)))</f>
        <v/>
      </c>
      <c r="N2299" s="48" t="str">
        <f aca="false">IF($A2299="","",IF(N(M2299)=0,"–",IF(M2299&lt;=Start!$D$20,"A",IF(M2299&lt;=Start!$D$21,"B","C"))))</f>
        <v/>
      </c>
      <c r="O2299" s="48" t="str">
        <f aca="false">IF($A2299="","",IF(NOT(ISNUMBER(F2299)),"Wert fehlt; ",IF(F2299&lt;=0,"Wert ist 0; ",""))&amp;IF(NOT(ISNUMBER(E2299)),"Bestand fehlt; ",IF(E2299&lt;0,"Bestand negativ; ",IF(E2299=0,"Nullbestand; ","")))&amp;IF(D2299="","Warengruppe fehlt; ","")&amp;IF(B2299="","Bezeichnung fehlt; ","")&amp;IF(COUNTIFS($A$2:$A$5001,$A2299,$C$2:$C$5001,C2299)&gt;1,"Artikel doppelt im selben Lager; ",""))</f>
        <v/>
      </c>
      <c r="P2299" s="47" t="n">
        <f aca="false">IF(OR($A2299="",D2299=""),0,IF(COUNTIF($D$2:D2299,D2299)=1,SUMIF($D$2:$D$5001,D2299,$H$2:$H$5001)+ROW()/10000000,0))</f>
        <v>0</v>
      </c>
      <c r="Q2299" s="47" t="n">
        <f aca="false">IF(OR($A2299="",C2299=""),0,IF(COUNTIF($C$2:C2299,C2299)=1,SUMIF($C$2:$C$5001,C2299,$H$2:$H$5001)+ROW()/10000000,0))</f>
        <v>0</v>
      </c>
    </row>
    <row r="2300" customFormat="false" ht="15" hidden="false" customHeight="false" outlineLevel="0" collapsed="false">
      <c r="A2300" s="43"/>
      <c r="B2300" s="44"/>
      <c r="C2300" s="44"/>
      <c r="D2300" s="44"/>
      <c r="E2300" s="44"/>
      <c r="F2300" s="44"/>
      <c r="G2300" s="44"/>
      <c r="H2300" s="46" t="str">
        <f aca="false">IF($A2300="","",IF(OR(NOT(ISNUMBER(E2300)),NOT(ISNUMBER(F2300))),"",MAX(0,E2300)*F2300))</f>
        <v/>
      </c>
      <c r="I2300" s="46" t="str">
        <f aca="false">IF($A2300="","",SUMIF($A$2:$A$5001,$A2300,$H$2:$H$5001))</f>
        <v/>
      </c>
      <c r="J2300" s="47" t="n">
        <f aca="false">IF($A2300="",0,IF(COUNTIF($A$2:A2300,$A2300)=1,1,0))</f>
        <v>0</v>
      </c>
      <c r="K2300" s="47" t="n">
        <f aca="false">IF(J2300=1,N(I2300)+ROW()/10000000,0)</f>
        <v>0</v>
      </c>
      <c r="L2300" s="47" t="str">
        <f aca="false">IF(AND(J2300=1,N(I2300)&gt;0),SUMIF($K$2:$K$5001,"&gt;="&amp;K2300,$I$2:$I$5001)/MAX(1,SUM($H$2:$H$5001)),"")</f>
        <v/>
      </c>
      <c r="M2300" s="47" t="str">
        <f aca="false">IF($A2300="","",INDEX($L$2:$L$5001,MATCH($A2300,$A$2:$A$5001,0)))</f>
        <v/>
      </c>
      <c r="N2300" s="48" t="str">
        <f aca="false">IF($A2300="","",IF(N(M2300)=0,"–",IF(M2300&lt;=Start!$D$20,"A",IF(M2300&lt;=Start!$D$21,"B","C"))))</f>
        <v/>
      </c>
      <c r="O2300" s="48" t="str">
        <f aca="false">IF($A2300="","",IF(NOT(ISNUMBER(F2300)),"Wert fehlt; ",IF(F2300&lt;=0,"Wert ist 0; ",""))&amp;IF(NOT(ISNUMBER(E2300)),"Bestand fehlt; ",IF(E2300&lt;0,"Bestand negativ; ",IF(E2300=0,"Nullbestand; ","")))&amp;IF(D2300="","Warengruppe fehlt; ","")&amp;IF(B2300="","Bezeichnung fehlt; ","")&amp;IF(COUNTIFS($A$2:$A$5001,$A2300,$C$2:$C$5001,C2300)&gt;1,"Artikel doppelt im selben Lager; ",""))</f>
        <v/>
      </c>
      <c r="P2300" s="47" t="n">
        <f aca="false">IF(OR($A2300="",D2300=""),0,IF(COUNTIF($D$2:D2300,D2300)=1,SUMIF($D$2:$D$5001,D2300,$H$2:$H$5001)+ROW()/10000000,0))</f>
        <v>0</v>
      </c>
      <c r="Q2300" s="47" t="n">
        <f aca="false">IF(OR($A2300="",C2300=""),0,IF(COUNTIF($C$2:C2300,C2300)=1,SUMIF($C$2:$C$5001,C2300,$H$2:$H$5001)+ROW()/10000000,0))</f>
        <v>0</v>
      </c>
    </row>
    <row r="2301" customFormat="false" ht="15" hidden="false" customHeight="false" outlineLevel="0" collapsed="false">
      <c r="A2301" s="43"/>
      <c r="B2301" s="44"/>
      <c r="C2301" s="44"/>
      <c r="D2301" s="44"/>
      <c r="E2301" s="44"/>
      <c r="F2301" s="44"/>
      <c r="G2301" s="44"/>
      <c r="H2301" s="46" t="str">
        <f aca="false">IF($A2301="","",IF(OR(NOT(ISNUMBER(E2301)),NOT(ISNUMBER(F2301))),"",MAX(0,E2301)*F2301))</f>
        <v/>
      </c>
      <c r="I2301" s="46" t="str">
        <f aca="false">IF($A2301="","",SUMIF($A$2:$A$5001,$A2301,$H$2:$H$5001))</f>
        <v/>
      </c>
      <c r="J2301" s="47" t="n">
        <f aca="false">IF($A2301="",0,IF(COUNTIF($A$2:A2301,$A2301)=1,1,0))</f>
        <v>0</v>
      </c>
      <c r="K2301" s="47" t="n">
        <f aca="false">IF(J2301=1,N(I2301)+ROW()/10000000,0)</f>
        <v>0</v>
      </c>
      <c r="L2301" s="47" t="str">
        <f aca="false">IF(AND(J2301=1,N(I2301)&gt;0),SUMIF($K$2:$K$5001,"&gt;="&amp;K2301,$I$2:$I$5001)/MAX(1,SUM($H$2:$H$5001)),"")</f>
        <v/>
      </c>
      <c r="M2301" s="47" t="str">
        <f aca="false">IF($A2301="","",INDEX($L$2:$L$5001,MATCH($A2301,$A$2:$A$5001,0)))</f>
        <v/>
      </c>
      <c r="N2301" s="48" t="str">
        <f aca="false">IF($A2301="","",IF(N(M2301)=0,"–",IF(M2301&lt;=Start!$D$20,"A",IF(M2301&lt;=Start!$D$21,"B","C"))))</f>
        <v/>
      </c>
      <c r="O2301" s="48" t="str">
        <f aca="false">IF($A2301="","",IF(NOT(ISNUMBER(F2301)),"Wert fehlt; ",IF(F2301&lt;=0,"Wert ist 0; ",""))&amp;IF(NOT(ISNUMBER(E2301)),"Bestand fehlt; ",IF(E2301&lt;0,"Bestand negativ; ",IF(E2301=0,"Nullbestand; ","")))&amp;IF(D2301="","Warengruppe fehlt; ","")&amp;IF(B2301="","Bezeichnung fehlt; ","")&amp;IF(COUNTIFS($A$2:$A$5001,$A2301,$C$2:$C$5001,C2301)&gt;1,"Artikel doppelt im selben Lager; ",""))</f>
        <v/>
      </c>
      <c r="P2301" s="47" t="n">
        <f aca="false">IF(OR($A2301="",D2301=""),0,IF(COUNTIF($D$2:D2301,D2301)=1,SUMIF($D$2:$D$5001,D2301,$H$2:$H$5001)+ROW()/10000000,0))</f>
        <v>0</v>
      </c>
      <c r="Q2301" s="47" t="n">
        <f aca="false">IF(OR($A2301="",C2301=""),0,IF(COUNTIF($C$2:C2301,C2301)=1,SUMIF($C$2:$C$5001,C2301,$H$2:$H$5001)+ROW()/10000000,0))</f>
        <v>0</v>
      </c>
    </row>
    <row r="2302" customFormat="false" ht="15" hidden="false" customHeight="false" outlineLevel="0" collapsed="false">
      <c r="A2302" s="43"/>
      <c r="B2302" s="44"/>
      <c r="C2302" s="44"/>
      <c r="D2302" s="44"/>
      <c r="E2302" s="44"/>
      <c r="F2302" s="44"/>
      <c r="G2302" s="44"/>
      <c r="H2302" s="46" t="str">
        <f aca="false">IF($A2302="","",IF(OR(NOT(ISNUMBER(E2302)),NOT(ISNUMBER(F2302))),"",MAX(0,E2302)*F2302))</f>
        <v/>
      </c>
      <c r="I2302" s="46" t="str">
        <f aca="false">IF($A2302="","",SUMIF($A$2:$A$5001,$A2302,$H$2:$H$5001))</f>
        <v/>
      </c>
      <c r="J2302" s="47" t="n">
        <f aca="false">IF($A2302="",0,IF(COUNTIF($A$2:A2302,$A2302)=1,1,0))</f>
        <v>0</v>
      </c>
      <c r="K2302" s="47" t="n">
        <f aca="false">IF(J2302=1,N(I2302)+ROW()/10000000,0)</f>
        <v>0</v>
      </c>
      <c r="L2302" s="47" t="str">
        <f aca="false">IF(AND(J2302=1,N(I2302)&gt;0),SUMIF($K$2:$K$5001,"&gt;="&amp;K2302,$I$2:$I$5001)/MAX(1,SUM($H$2:$H$5001)),"")</f>
        <v/>
      </c>
      <c r="M2302" s="47" t="str">
        <f aca="false">IF($A2302="","",INDEX($L$2:$L$5001,MATCH($A2302,$A$2:$A$5001,0)))</f>
        <v/>
      </c>
      <c r="N2302" s="48" t="str">
        <f aca="false">IF($A2302="","",IF(N(M2302)=0,"–",IF(M2302&lt;=Start!$D$20,"A",IF(M2302&lt;=Start!$D$21,"B","C"))))</f>
        <v/>
      </c>
      <c r="O2302" s="48" t="str">
        <f aca="false">IF($A2302="","",IF(NOT(ISNUMBER(F2302)),"Wert fehlt; ",IF(F2302&lt;=0,"Wert ist 0; ",""))&amp;IF(NOT(ISNUMBER(E2302)),"Bestand fehlt; ",IF(E2302&lt;0,"Bestand negativ; ",IF(E2302=0,"Nullbestand; ","")))&amp;IF(D2302="","Warengruppe fehlt; ","")&amp;IF(B2302="","Bezeichnung fehlt; ","")&amp;IF(COUNTIFS($A$2:$A$5001,$A2302,$C$2:$C$5001,C2302)&gt;1,"Artikel doppelt im selben Lager; ",""))</f>
        <v/>
      </c>
      <c r="P2302" s="47" t="n">
        <f aca="false">IF(OR($A2302="",D2302=""),0,IF(COUNTIF($D$2:D2302,D2302)=1,SUMIF($D$2:$D$5001,D2302,$H$2:$H$5001)+ROW()/10000000,0))</f>
        <v>0</v>
      </c>
      <c r="Q2302" s="47" t="n">
        <f aca="false">IF(OR($A2302="",C2302=""),0,IF(COUNTIF($C$2:C2302,C2302)=1,SUMIF($C$2:$C$5001,C2302,$H$2:$H$5001)+ROW()/10000000,0))</f>
        <v>0</v>
      </c>
    </row>
    <row r="2303" customFormat="false" ht="15" hidden="false" customHeight="false" outlineLevel="0" collapsed="false">
      <c r="A2303" s="43"/>
      <c r="B2303" s="44"/>
      <c r="C2303" s="44"/>
      <c r="D2303" s="44"/>
      <c r="E2303" s="44"/>
      <c r="F2303" s="44"/>
      <c r="G2303" s="44"/>
      <c r="H2303" s="46" t="str">
        <f aca="false">IF($A2303="","",IF(OR(NOT(ISNUMBER(E2303)),NOT(ISNUMBER(F2303))),"",MAX(0,E2303)*F2303))</f>
        <v/>
      </c>
      <c r="I2303" s="46" t="str">
        <f aca="false">IF($A2303="","",SUMIF($A$2:$A$5001,$A2303,$H$2:$H$5001))</f>
        <v/>
      </c>
      <c r="J2303" s="47" t="n">
        <f aca="false">IF($A2303="",0,IF(COUNTIF($A$2:A2303,$A2303)=1,1,0))</f>
        <v>0</v>
      </c>
      <c r="K2303" s="47" t="n">
        <f aca="false">IF(J2303=1,N(I2303)+ROW()/10000000,0)</f>
        <v>0</v>
      </c>
      <c r="L2303" s="47" t="str">
        <f aca="false">IF(AND(J2303=1,N(I2303)&gt;0),SUMIF($K$2:$K$5001,"&gt;="&amp;K2303,$I$2:$I$5001)/MAX(1,SUM($H$2:$H$5001)),"")</f>
        <v/>
      </c>
      <c r="M2303" s="47" t="str">
        <f aca="false">IF($A2303="","",INDEX($L$2:$L$5001,MATCH($A2303,$A$2:$A$5001,0)))</f>
        <v/>
      </c>
      <c r="N2303" s="48" t="str">
        <f aca="false">IF($A2303="","",IF(N(M2303)=0,"–",IF(M2303&lt;=Start!$D$20,"A",IF(M2303&lt;=Start!$D$21,"B","C"))))</f>
        <v/>
      </c>
      <c r="O2303" s="48" t="str">
        <f aca="false">IF($A2303="","",IF(NOT(ISNUMBER(F2303)),"Wert fehlt; ",IF(F2303&lt;=0,"Wert ist 0; ",""))&amp;IF(NOT(ISNUMBER(E2303)),"Bestand fehlt; ",IF(E2303&lt;0,"Bestand negativ; ",IF(E2303=0,"Nullbestand; ","")))&amp;IF(D2303="","Warengruppe fehlt; ","")&amp;IF(B2303="","Bezeichnung fehlt; ","")&amp;IF(COUNTIFS($A$2:$A$5001,$A2303,$C$2:$C$5001,C2303)&gt;1,"Artikel doppelt im selben Lager; ",""))</f>
        <v/>
      </c>
      <c r="P2303" s="47" t="n">
        <f aca="false">IF(OR($A2303="",D2303=""),0,IF(COUNTIF($D$2:D2303,D2303)=1,SUMIF($D$2:$D$5001,D2303,$H$2:$H$5001)+ROW()/10000000,0))</f>
        <v>0</v>
      </c>
      <c r="Q2303" s="47" t="n">
        <f aca="false">IF(OR($A2303="",C2303=""),0,IF(COUNTIF($C$2:C2303,C2303)=1,SUMIF($C$2:$C$5001,C2303,$H$2:$H$5001)+ROW()/10000000,0))</f>
        <v>0</v>
      </c>
    </row>
    <row r="2304" customFormat="false" ht="15" hidden="false" customHeight="false" outlineLevel="0" collapsed="false">
      <c r="A2304" s="43"/>
      <c r="B2304" s="44"/>
      <c r="C2304" s="44"/>
      <c r="D2304" s="44"/>
      <c r="E2304" s="44"/>
      <c r="F2304" s="44"/>
      <c r="G2304" s="44"/>
      <c r="H2304" s="46" t="str">
        <f aca="false">IF($A2304="","",IF(OR(NOT(ISNUMBER(E2304)),NOT(ISNUMBER(F2304))),"",MAX(0,E2304)*F2304))</f>
        <v/>
      </c>
      <c r="I2304" s="46" t="str">
        <f aca="false">IF($A2304="","",SUMIF($A$2:$A$5001,$A2304,$H$2:$H$5001))</f>
        <v/>
      </c>
      <c r="J2304" s="47" t="n">
        <f aca="false">IF($A2304="",0,IF(COUNTIF($A$2:A2304,$A2304)=1,1,0))</f>
        <v>0</v>
      </c>
      <c r="K2304" s="47" t="n">
        <f aca="false">IF(J2304=1,N(I2304)+ROW()/10000000,0)</f>
        <v>0</v>
      </c>
      <c r="L2304" s="47" t="str">
        <f aca="false">IF(AND(J2304=1,N(I2304)&gt;0),SUMIF($K$2:$K$5001,"&gt;="&amp;K2304,$I$2:$I$5001)/MAX(1,SUM($H$2:$H$5001)),"")</f>
        <v/>
      </c>
      <c r="M2304" s="47" t="str">
        <f aca="false">IF($A2304="","",INDEX($L$2:$L$5001,MATCH($A2304,$A$2:$A$5001,0)))</f>
        <v/>
      </c>
      <c r="N2304" s="48" t="str">
        <f aca="false">IF($A2304="","",IF(N(M2304)=0,"–",IF(M2304&lt;=Start!$D$20,"A",IF(M2304&lt;=Start!$D$21,"B","C"))))</f>
        <v/>
      </c>
      <c r="O2304" s="48" t="str">
        <f aca="false">IF($A2304="","",IF(NOT(ISNUMBER(F2304)),"Wert fehlt; ",IF(F2304&lt;=0,"Wert ist 0; ",""))&amp;IF(NOT(ISNUMBER(E2304)),"Bestand fehlt; ",IF(E2304&lt;0,"Bestand negativ; ",IF(E2304=0,"Nullbestand; ","")))&amp;IF(D2304="","Warengruppe fehlt; ","")&amp;IF(B2304="","Bezeichnung fehlt; ","")&amp;IF(COUNTIFS($A$2:$A$5001,$A2304,$C$2:$C$5001,C2304)&gt;1,"Artikel doppelt im selben Lager; ",""))</f>
        <v/>
      </c>
      <c r="P2304" s="47" t="n">
        <f aca="false">IF(OR($A2304="",D2304=""),0,IF(COUNTIF($D$2:D2304,D2304)=1,SUMIF($D$2:$D$5001,D2304,$H$2:$H$5001)+ROW()/10000000,0))</f>
        <v>0</v>
      </c>
      <c r="Q2304" s="47" t="n">
        <f aca="false">IF(OR($A2304="",C2304=""),0,IF(COUNTIF($C$2:C2304,C2304)=1,SUMIF($C$2:$C$5001,C2304,$H$2:$H$5001)+ROW()/10000000,0))</f>
        <v>0</v>
      </c>
    </row>
    <row r="2305" customFormat="false" ht="15" hidden="false" customHeight="false" outlineLevel="0" collapsed="false">
      <c r="A2305" s="43"/>
      <c r="B2305" s="44"/>
      <c r="C2305" s="44"/>
      <c r="D2305" s="44"/>
      <c r="E2305" s="44"/>
      <c r="F2305" s="44"/>
      <c r="G2305" s="44"/>
      <c r="H2305" s="46" t="str">
        <f aca="false">IF($A2305="","",IF(OR(NOT(ISNUMBER(E2305)),NOT(ISNUMBER(F2305))),"",MAX(0,E2305)*F2305))</f>
        <v/>
      </c>
      <c r="I2305" s="46" t="str">
        <f aca="false">IF($A2305="","",SUMIF($A$2:$A$5001,$A2305,$H$2:$H$5001))</f>
        <v/>
      </c>
      <c r="J2305" s="47" t="n">
        <f aca="false">IF($A2305="",0,IF(COUNTIF($A$2:A2305,$A2305)=1,1,0))</f>
        <v>0</v>
      </c>
      <c r="K2305" s="47" t="n">
        <f aca="false">IF(J2305=1,N(I2305)+ROW()/10000000,0)</f>
        <v>0</v>
      </c>
      <c r="L2305" s="47" t="str">
        <f aca="false">IF(AND(J2305=1,N(I2305)&gt;0),SUMIF($K$2:$K$5001,"&gt;="&amp;K2305,$I$2:$I$5001)/MAX(1,SUM($H$2:$H$5001)),"")</f>
        <v/>
      </c>
      <c r="M2305" s="47" t="str">
        <f aca="false">IF($A2305="","",INDEX($L$2:$L$5001,MATCH($A2305,$A$2:$A$5001,0)))</f>
        <v/>
      </c>
      <c r="N2305" s="48" t="str">
        <f aca="false">IF($A2305="","",IF(N(M2305)=0,"–",IF(M2305&lt;=Start!$D$20,"A",IF(M2305&lt;=Start!$D$21,"B","C"))))</f>
        <v/>
      </c>
      <c r="O2305" s="48" t="str">
        <f aca="false">IF($A2305="","",IF(NOT(ISNUMBER(F2305)),"Wert fehlt; ",IF(F2305&lt;=0,"Wert ist 0; ",""))&amp;IF(NOT(ISNUMBER(E2305)),"Bestand fehlt; ",IF(E2305&lt;0,"Bestand negativ; ",IF(E2305=0,"Nullbestand; ","")))&amp;IF(D2305="","Warengruppe fehlt; ","")&amp;IF(B2305="","Bezeichnung fehlt; ","")&amp;IF(COUNTIFS($A$2:$A$5001,$A2305,$C$2:$C$5001,C2305)&gt;1,"Artikel doppelt im selben Lager; ",""))</f>
        <v/>
      </c>
      <c r="P2305" s="47" t="n">
        <f aca="false">IF(OR($A2305="",D2305=""),0,IF(COUNTIF($D$2:D2305,D2305)=1,SUMIF($D$2:$D$5001,D2305,$H$2:$H$5001)+ROW()/10000000,0))</f>
        <v>0</v>
      </c>
      <c r="Q2305" s="47" t="n">
        <f aca="false">IF(OR($A2305="",C2305=""),0,IF(COUNTIF($C$2:C2305,C2305)=1,SUMIF($C$2:$C$5001,C2305,$H$2:$H$5001)+ROW()/10000000,0))</f>
        <v>0</v>
      </c>
    </row>
    <row r="2306" customFormat="false" ht="15" hidden="false" customHeight="false" outlineLevel="0" collapsed="false">
      <c r="A2306" s="43"/>
      <c r="B2306" s="44"/>
      <c r="C2306" s="44"/>
      <c r="D2306" s="44"/>
      <c r="E2306" s="44"/>
      <c r="F2306" s="44"/>
      <c r="G2306" s="44"/>
      <c r="H2306" s="46" t="str">
        <f aca="false">IF($A2306="","",IF(OR(NOT(ISNUMBER(E2306)),NOT(ISNUMBER(F2306))),"",MAX(0,E2306)*F2306))</f>
        <v/>
      </c>
      <c r="I2306" s="46" t="str">
        <f aca="false">IF($A2306="","",SUMIF($A$2:$A$5001,$A2306,$H$2:$H$5001))</f>
        <v/>
      </c>
      <c r="J2306" s="47" t="n">
        <f aca="false">IF($A2306="",0,IF(COUNTIF($A$2:A2306,$A2306)=1,1,0))</f>
        <v>0</v>
      </c>
      <c r="K2306" s="47" t="n">
        <f aca="false">IF(J2306=1,N(I2306)+ROW()/10000000,0)</f>
        <v>0</v>
      </c>
      <c r="L2306" s="47" t="str">
        <f aca="false">IF(AND(J2306=1,N(I2306)&gt;0),SUMIF($K$2:$K$5001,"&gt;="&amp;K2306,$I$2:$I$5001)/MAX(1,SUM($H$2:$H$5001)),"")</f>
        <v/>
      </c>
      <c r="M2306" s="47" t="str">
        <f aca="false">IF($A2306="","",INDEX($L$2:$L$5001,MATCH($A2306,$A$2:$A$5001,0)))</f>
        <v/>
      </c>
      <c r="N2306" s="48" t="str">
        <f aca="false">IF($A2306="","",IF(N(M2306)=0,"–",IF(M2306&lt;=Start!$D$20,"A",IF(M2306&lt;=Start!$D$21,"B","C"))))</f>
        <v/>
      </c>
      <c r="O2306" s="48" t="str">
        <f aca="false">IF($A2306="","",IF(NOT(ISNUMBER(F2306)),"Wert fehlt; ",IF(F2306&lt;=0,"Wert ist 0; ",""))&amp;IF(NOT(ISNUMBER(E2306)),"Bestand fehlt; ",IF(E2306&lt;0,"Bestand negativ; ",IF(E2306=0,"Nullbestand; ","")))&amp;IF(D2306="","Warengruppe fehlt; ","")&amp;IF(B2306="","Bezeichnung fehlt; ","")&amp;IF(COUNTIFS($A$2:$A$5001,$A2306,$C$2:$C$5001,C2306)&gt;1,"Artikel doppelt im selben Lager; ",""))</f>
        <v/>
      </c>
      <c r="P2306" s="47" t="n">
        <f aca="false">IF(OR($A2306="",D2306=""),0,IF(COUNTIF($D$2:D2306,D2306)=1,SUMIF($D$2:$D$5001,D2306,$H$2:$H$5001)+ROW()/10000000,0))</f>
        <v>0</v>
      </c>
      <c r="Q2306" s="47" t="n">
        <f aca="false">IF(OR($A2306="",C2306=""),0,IF(COUNTIF($C$2:C2306,C2306)=1,SUMIF($C$2:$C$5001,C2306,$H$2:$H$5001)+ROW()/10000000,0))</f>
        <v>0</v>
      </c>
    </row>
    <row r="2307" customFormat="false" ht="15" hidden="false" customHeight="false" outlineLevel="0" collapsed="false">
      <c r="A2307" s="43"/>
      <c r="B2307" s="44"/>
      <c r="C2307" s="44"/>
      <c r="D2307" s="44"/>
      <c r="E2307" s="44"/>
      <c r="F2307" s="44"/>
      <c r="G2307" s="44"/>
      <c r="H2307" s="46" t="str">
        <f aca="false">IF($A2307="","",IF(OR(NOT(ISNUMBER(E2307)),NOT(ISNUMBER(F2307))),"",MAX(0,E2307)*F2307))</f>
        <v/>
      </c>
      <c r="I2307" s="46" t="str">
        <f aca="false">IF($A2307="","",SUMIF($A$2:$A$5001,$A2307,$H$2:$H$5001))</f>
        <v/>
      </c>
      <c r="J2307" s="47" t="n">
        <f aca="false">IF($A2307="",0,IF(COUNTIF($A$2:A2307,$A2307)=1,1,0))</f>
        <v>0</v>
      </c>
      <c r="K2307" s="47" t="n">
        <f aca="false">IF(J2307=1,N(I2307)+ROW()/10000000,0)</f>
        <v>0</v>
      </c>
      <c r="L2307" s="47" t="str">
        <f aca="false">IF(AND(J2307=1,N(I2307)&gt;0),SUMIF($K$2:$K$5001,"&gt;="&amp;K2307,$I$2:$I$5001)/MAX(1,SUM($H$2:$H$5001)),"")</f>
        <v/>
      </c>
      <c r="M2307" s="47" t="str">
        <f aca="false">IF($A2307="","",INDEX($L$2:$L$5001,MATCH($A2307,$A$2:$A$5001,0)))</f>
        <v/>
      </c>
      <c r="N2307" s="48" t="str">
        <f aca="false">IF($A2307="","",IF(N(M2307)=0,"–",IF(M2307&lt;=Start!$D$20,"A",IF(M2307&lt;=Start!$D$21,"B","C"))))</f>
        <v/>
      </c>
      <c r="O2307" s="48" t="str">
        <f aca="false">IF($A2307="","",IF(NOT(ISNUMBER(F2307)),"Wert fehlt; ",IF(F2307&lt;=0,"Wert ist 0; ",""))&amp;IF(NOT(ISNUMBER(E2307)),"Bestand fehlt; ",IF(E2307&lt;0,"Bestand negativ; ",IF(E2307=0,"Nullbestand; ","")))&amp;IF(D2307="","Warengruppe fehlt; ","")&amp;IF(B2307="","Bezeichnung fehlt; ","")&amp;IF(COUNTIFS($A$2:$A$5001,$A2307,$C$2:$C$5001,C2307)&gt;1,"Artikel doppelt im selben Lager; ",""))</f>
        <v/>
      </c>
      <c r="P2307" s="47" t="n">
        <f aca="false">IF(OR($A2307="",D2307=""),0,IF(COUNTIF($D$2:D2307,D2307)=1,SUMIF($D$2:$D$5001,D2307,$H$2:$H$5001)+ROW()/10000000,0))</f>
        <v>0</v>
      </c>
      <c r="Q2307" s="47" t="n">
        <f aca="false">IF(OR($A2307="",C2307=""),0,IF(COUNTIF($C$2:C2307,C2307)=1,SUMIF($C$2:$C$5001,C2307,$H$2:$H$5001)+ROW()/10000000,0))</f>
        <v>0</v>
      </c>
    </row>
    <row r="2308" customFormat="false" ht="15" hidden="false" customHeight="false" outlineLevel="0" collapsed="false">
      <c r="A2308" s="43"/>
      <c r="B2308" s="44"/>
      <c r="C2308" s="44"/>
      <c r="D2308" s="44"/>
      <c r="E2308" s="44"/>
      <c r="F2308" s="44"/>
      <c r="G2308" s="44"/>
      <c r="H2308" s="46" t="str">
        <f aca="false">IF($A2308="","",IF(OR(NOT(ISNUMBER(E2308)),NOT(ISNUMBER(F2308))),"",MAX(0,E2308)*F2308))</f>
        <v/>
      </c>
      <c r="I2308" s="46" t="str">
        <f aca="false">IF($A2308="","",SUMIF($A$2:$A$5001,$A2308,$H$2:$H$5001))</f>
        <v/>
      </c>
      <c r="J2308" s="47" t="n">
        <f aca="false">IF($A2308="",0,IF(COUNTIF($A$2:A2308,$A2308)=1,1,0))</f>
        <v>0</v>
      </c>
      <c r="K2308" s="47" t="n">
        <f aca="false">IF(J2308=1,N(I2308)+ROW()/10000000,0)</f>
        <v>0</v>
      </c>
      <c r="L2308" s="47" t="str">
        <f aca="false">IF(AND(J2308=1,N(I2308)&gt;0),SUMIF($K$2:$K$5001,"&gt;="&amp;K2308,$I$2:$I$5001)/MAX(1,SUM($H$2:$H$5001)),"")</f>
        <v/>
      </c>
      <c r="M2308" s="47" t="str">
        <f aca="false">IF($A2308="","",INDEX($L$2:$L$5001,MATCH($A2308,$A$2:$A$5001,0)))</f>
        <v/>
      </c>
      <c r="N2308" s="48" t="str">
        <f aca="false">IF($A2308="","",IF(N(M2308)=0,"–",IF(M2308&lt;=Start!$D$20,"A",IF(M2308&lt;=Start!$D$21,"B","C"))))</f>
        <v/>
      </c>
      <c r="O2308" s="48" t="str">
        <f aca="false">IF($A2308="","",IF(NOT(ISNUMBER(F2308)),"Wert fehlt; ",IF(F2308&lt;=0,"Wert ist 0; ",""))&amp;IF(NOT(ISNUMBER(E2308)),"Bestand fehlt; ",IF(E2308&lt;0,"Bestand negativ; ",IF(E2308=0,"Nullbestand; ","")))&amp;IF(D2308="","Warengruppe fehlt; ","")&amp;IF(B2308="","Bezeichnung fehlt; ","")&amp;IF(COUNTIFS($A$2:$A$5001,$A2308,$C$2:$C$5001,C2308)&gt;1,"Artikel doppelt im selben Lager; ",""))</f>
        <v/>
      </c>
      <c r="P2308" s="47" t="n">
        <f aca="false">IF(OR($A2308="",D2308=""),0,IF(COUNTIF($D$2:D2308,D2308)=1,SUMIF($D$2:$D$5001,D2308,$H$2:$H$5001)+ROW()/10000000,0))</f>
        <v>0</v>
      </c>
      <c r="Q2308" s="47" t="n">
        <f aca="false">IF(OR($A2308="",C2308=""),0,IF(COUNTIF($C$2:C2308,C2308)=1,SUMIF($C$2:$C$5001,C2308,$H$2:$H$5001)+ROW()/10000000,0))</f>
        <v>0</v>
      </c>
    </row>
    <row r="2309" customFormat="false" ht="15" hidden="false" customHeight="false" outlineLevel="0" collapsed="false">
      <c r="A2309" s="43"/>
      <c r="B2309" s="44"/>
      <c r="C2309" s="44"/>
      <c r="D2309" s="44"/>
      <c r="E2309" s="44"/>
      <c r="F2309" s="44"/>
      <c r="G2309" s="44"/>
      <c r="H2309" s="46" t="str">
        <f aca="false">IF($A2309="","",IF(OR(NOT(ISNUMBER(E2309)),NOT(ISNUMBER(F2309))),"",MAX(0,E2309)*F2309))</f>
        <v/>
      </c>
      <c r="I2309" s="46" t="str">
        <f aca="false">IF($A2309="","",SUMIF($A$2:$A$5001,$A2309,$H$2:$H$5001))</f>
        <v/>
      </c>
      <c r="J2309" s="47" t="n">
        <f aca="false">IF($A2309="",0,IF(COUNTIF($A$2:A2309,$A2309)=1,1,0))</f>
        <v>0</v>
      </c>
      <c r="K2309" s="47" t="n">
        <f aca="false">IF(J2309=1,N(I2309)+ROW()/10000000,0)</f>
        <v>0</v>
      </c>
      <c r="L2309" s="47" t="str">
        <f aca="false">IF(AND(J2309=1,N(I2309)&gt;0),SUMIF($K$2:$K$5001,"&gt;="&amp;K2309,$I$2:$I$5001)/MAX(1,SUM($H$2:$H$5001)),"")</f>
        <v/>
      </c>
      <c r="M2309" s="47" t="str">
        <f aca="false">IF($A2309="","",INDEX($L$2:$L$5001,MATCH($A2309,$A$2:$A$5001,0)))</f>
        <v/>
      </c>
      <c r="N2309" s="48" t="str">
        <f aca="false">IF($A2309="","",IF(N(M2309)=0,"–",IF(M2309&lt;=Start!$D$20,"A",IF(M2309&lt;=Start!$D$21,"B","C"))))</f>
        <v/>
      </c>
      <c r="O2309" s="48" t="str">
        <f aca="false">IF($A2309="","",IF(NOT(ISNUMBER(F2309)),"Wert fehlt; ",IF(F2309&lt;=0,"Wert ist 0; ",""))&amp;IF(NOT(ISNUMBER(E2309)),"Bestand fehlt; ",IF(E2309&lt;0,"Bestand negativ; ",IF(E2309=0,"Nullbestand; ","")))&amp;IF(D2309="","Warengruppe fehlt; ","")&amp;IF(B2309="","Bezeichnung fehlt; ","")&amp;IF(COUNTIFS($A$2:$A$5001,$A2309,$C$2:$C$5001,C2309)&gt;1,"Artikel doppelt im selben Lager; ",""))</f>
        <v/>
      </c>
      <c r="P2309" s="47" t="n">
        <f aca="false">IF(OR($A2309="",D2309=""),0,IF(COUNTIF($D$2:D2309,D2309)=1,SUMIF($D$2:$D$5001,D2309,$H$2:$H$5001)+ROW()/10000000,0))</f>
        <v>0</v>
      </c>
      <c r="Q2309" s="47" t="n">
        <f aca="false">IF(OR($A2309="",C2309=""),0,IF(COUNTIF($C$2:C2309,C2309)=1,SUMIF($C$2:$C$5001,C2309,$H$2:$H$5001)+ROW()/10000000,0))</f>
        <v>0</v>
      </c>
    </row>
    <row r="2310" customFormat="false" ht="15" hidden="false" customHeight="false" outlineLevel="0" collapsed="false">
      <c r="A2310" s="43"/>
      <c r="B2310" s="44"/>
      <c r="C2310" s="44"/>
      <c r="D2310" s="44"/>
      <c r="E2310" s="44"/>
      <c r="F2310" s="44"/>
      <c r="G2310" s="44"/>
      <c r="H2310" s="46" t="str">
        <f aca="false">IF($A2310="","",IF(OR(NOT(ISNUMBER(E2310)),NOT(ISNUMBER(F2310))),"",MAX(0,E2310)*F2310))</f>
        <v/>
      </c>
      <c r="I2310" s="46" t="str">
        <f aca="false">IF($A2310="","",SUMIF($A$2:$A$5001,$A2310,$H$2:$H$5001))</f>
        <v/>
      </c>
      <c r="J2310" s="47" t="n">
        <f aca="false">IF($A2310="",0,IF(COUNTIF($A$2:A2310,$A2310)=1,1,0))</f>
        <v>0</v>
      </c>
      <c r="K2310" s="47" t="n">
        <f aca="false">IF(J2310=1,N(I2310)+ROW()/10000000,0)</f>
        <v>0</v>
      </c>
      <c r="L2310" s="47" t="str">
        <f aca="false">IF(AND(J2310=1,N(I2310)&gt;0),SUMIF($K$2:$K$5001,"&gt;="&amp;K2310,$I$2:$I$5001)/MAX(1,SUM($H$2:$H$5001)),"")</f>
        <v/>
      </c>
      <c r="M2310" s="47" t="str">
        <f aca="false">IF($A2310="","",INDEX($L$2:$L$5001,MATCH($A2310,$A$2:$A$5001,0)))</f>
        <v/>
      </c>
      <c r="N2310" s="48" t="str">
        <f aca="false">IF($A2310="","",IF(N(M2310)=0,"–",IF(M2310&lt;=Start!$D$20,"A",IF(M2310&lt;=Start!$D$21,"B","C"))))</f>
        <v/>
      </c>
      <c r="O2310" s="48" t="str">
        <f aca="false">IF($A2310="","",IF(NOT(ISNUMBER(F2310)),"Wert fehlt; ",IF(F2310&lt;=0,"Wert ist 0; ",""))&amp;IF(NOT(ISNUMBER(E2310)),"Bestand fehlt; ",IF(E2310&lt;0,"Bestand negativ; ",IF(E2310=0,"Nullbestand; ","")))&amp;IF(D2310="","Warengruppe fehlt; ","")&amp;IF(B2310="","Bezeichnung fehlt; ","")&amp;IF(COUNTIFS($A$2:$A$5001,$A2310,$C$2:$C$5001,C2310)&gt;1,"Artikel doppelt im selben Lager; ",""))</f>
        <v/>
      </c>
      <c r="P2310" s="47" t="n">
        <f aca="false">IF(OR($A2310="",D2310=""),0,IF(COUNTIF($D$2:D2310,D2310)=1,SUMIF($D$2:$D$5001,D2310,$H$2:$H$5001)+ROW()/10000000,0))</f>
        <v>0</v>
      </c>
      <c r="Q2310" s="47" t="n">
        <f aca="false">IF(OR($A2310="",C2310=""),0,IF(COUNTIF($C$2:C2310,C2310)=1,SUMIF($C$2:$C$5001,C2310,$H$2:$H$5001)+ROW()/10000000,0))</f>
        <v>0</v>
      </c>
    </row>
    <row r="2311" customFormat="false" ht="15" hidden="false" customHeight="false" outlineLevel="0" collapsed="false">
      <c r="A2311" s="43"/>
      <c r="B2311" s="44"/>
      <c r="C2311" s="44"/>
      <c r="D2311" s="44"/>
      <c r="E2311" s="44"/>
      <c r="F2311" s="44"/>
      <c r="G2311" s="44"/>
      <c r="H2311" s="46" t="str">
        <f aca="false">IF($A2311="","",IF(OR(NOT(ISNUMBER(E2311)),NOT(ISNUMBER(F2311))),"",MAX(0,E2311)*F2311))</f>
        <v/>
      </c>
      <c r="I2311" s="46" t="str">
        <f aca="false">IF($A2311="","",SUMIF($A$2:$A$5001,$A2311,$H$2:$H$5001))</f>
        <v/>
      </c>
      <c r="J2311" s="47" t="n">
        <f aca="false">IF($A2311="",0,IF(COUNTIF($A$2:A2311,$A2311)=1,1,0))</f>
        <v>0</v>
      </c>
      <c r="K2311" s="47" t="n">
        <f aca="false">IF(J2311=1,N(I2311)+ROW()/10000000,0)</f>
        <v>0</v>
      </c>
      <c r="L2311" s="47" t="str">
        <f aca="false">IF(AND(J2311=1,N(I2311)&gt;0),SUMIF($K$2:$K$5001,"&gt;="&amp;K2311,$I$2:$I$5001)/MAX(1,SUM($H$2:$H$5001)),"")</f>
        <v/>
      </c>
      <c r="M2311" s="47" t="str">
        <f aca="false">IF($A2311="","",INDEX($L$2:$L$5001,MATCH($A2311,$A$2:$A$5001,0)))</f>
        <v/>
      </c>
      <c r="N2311" s="48" t="str">
        <f aca="false">IF($A2311="","",IF(N(M2311)=0,"–",IF(M2311&lt;=Start!$D$20,"A",IF(M2311&lt;=Start!$D$21,"B","C"))))</f>
        <v/>
      </c>
      <c r="O2311" s="48" t="str">
        <f aca="false">IF($A2311="","",IF(NOT(ISNUMBER(F2311)),"Wert fehlt; ",IF(F2311&lt;=0,"Wert ist 0; ",""))&amp;IF(NOT(ISNUMBER(E2311)),"Bestand fehlt; ",IF(E2311&lt;0,"Bestand negativ; ",IF(E2311=0,"Nullbestand; ","")))&amp;IF(D2311="","Warengruppe fehlt; ","")&amp;IF(B2311="","Bezeichnung fehlt; ","")&amp;IF(COUNTIFS($A$2:$A$5001,$A2311,$C$2:$C$5001,C2311)&gt;1,"Artikel doppelt im selben Lager; ",""))</f>
        <v/>
      </c>
      <c r="P2311" s="47" t="n">
        <f aca="false">IF(OR($A2311="",D2311=""),0,IF(COUNTIF($D$2:D2311,D2311)=1,SUMIF($D$2:$D$5001,D2311,$H$2:$H$5001)+ROW()/10000000,0))</f>
        <v>0</v>
      </c>
      <c r="Q2311" s="47" t="n">
        <f aca="false">IF(OR($A2311="",C2311=""),0,IF(COUNTIF($C$2:C2311,C2311)=1,SUMIF($C$2:$C$5001,C2311,$H$2:$H$5001)+ROW()/10000000,0))</f>
        <v>0</v>
      </c>
    </row>
    <row r="2312" customFormat="false" ht="15" hidden="false" customHeight="false" outlineLevel="0" collapsed="false">
      <c r="A2312" s="43"/>
      <c r="B2312" s="44"/>
      <c r="C2312" s="44"/>
      <c r="D2312" s="44"/>
      <c r="E2312" s="44"/>
      <c r="F2312" s="44"/>
      <c r="G2312" s="44"/>
      <c r="H2312" s="46" t="str">
        <f aca="false">IF($A2312="","",IF(OR(NOT(ISNUMBER(E2312)),NOT(ISNUMBER(F2312))),"",MAX(0,E2312)*F2312))</f>
        <v/>
      </c>
      <c r="I2312" s="46" t="str">
        <f aca="false">IF($A2312="","",SUMIF($A$2:$A$5001,$A2312,$H$2:$H$5001))</f>
        <v/>
      </c>
      <c r="J2312" s="47" t="n">
        <f aca="false">IF($A2312="",0,IF(COUNTIF($A$2:A2312,$A2312)=1,1,0))</f>
        <v>0</v>
      </c>
      <c r="K2312" s="47" t="n">
        <f aca="false">IF(J2312=1,N(I2312)+ROW()/10000000,0)</f>
        <v>0</v>
      </c>
      <c r="L2312" s="47" t="str">
        <f aca="false">IF(AND(J2312=1,N(I2312)&gt;0),SUMIF($K$2:$K$5001,"&gt;="&amp;K2312,$I$2:$I$5001)/MAX(1,SUM($H$2:$H$5001)),"")</f>
        <v/>
      </c>
      <c r="M2312" s="47" t="str">
        <f aca="false">IF($A2312="","",INDEX($L$2:$L$5001,MATCH($A2312,$A$2:$A$5001,0)))</f>
        <v/>
      </c>
      <c r="N2312" s="48" t="str">
        <f aca="false">IF($A2312="","",IF(N(M2312)=0,"–",IF(M2312&lt;=Start!$D$20,"A",IF(M2312&lt;=Start!$D$21,"B","C"))))</f>
        <v/>
      </c>
      <c r="O2312" s="48" t="str">
        <f aca="false">IF($A2312="","",IF(NOT(ISNUMBER(F2312)),"Wert fehlt; ",IF(F2312&lt;=0,"Wert ist 0; ",""))&amp;IF(NOT(ISNUMBER(E2312)),"Bestand fehlt; ",IF(E2312&lt;0,"Bestand negativ; ",IF(E2312=0,"Nullbestand; ","")))&amp;IF(D2312="","Warengruppe fehlt; ","")&amp;IF(B2312="","Bezeichnung fehlt; ","")&amp;IF(COUNTIFS($A$2:$A$5001,$A2312,$C$2:$C$5001,C2312)&gt;1,"Artikel doppelt im selben Lager; ",""))</f>
        <v/>
      </c>
      <c r="P2312" s="47" t="n">
        <f aca="false">IF(OR($A2312="",D2312=""),0,IF(COUNTIF($D$2:D2312,D2312)=1,SUMIF($D$2:$D$5001,D2312,$H$2:$H$5001)+ROW()/10000000,0))</f>
        <v>0</v>
      </c>
      <c r="Q2312" s="47" t="n">
        <f aca="false">IF(OR($A2312="",C2312=""),0,IF(COUNTIF($C$2:C2312,C2312)=1,SUMIF($C$2:$C$5001,C2312,$H$2:$H$5001)+ROW()/10000000,0))</f>
        <v>0</v>
      </c>
    </row>
    <row r="2313" customFormat="false" ht="15" hidden="false" customHeight="false" outlineLevel="0" collapsed="false">
      <c r="A2313" s="43"/>
      <c r="B2313" s="44"/>
      <c r="C2313" s="44"/>
      <c r="D2313" s="44"/>
      <c r="E2313" s="44"/>
      <c r="F2313" s="44"/>
      <c r="G2313" s="44"/>
      <c r="H2313" s="46" t="str">
        <f aca="false">IF($A2313="","",IF(OR(NOT(ISNUMBER(E2313)),NOT(ISNUMBER(F2313))),"",MAX(0,E2313)*F2313))</f>
        <v/>
      </c>
      <c r="I2313" s="46" t="str">
        <f aca="false">IF($A2313="","",SUMIF($A$2:$A$5001,$A2313,$H$2:$H$5001))</f>
        <v/>
      </c>
      <c r="J2313" s="47" t="n">
        <f aca="false">IF($A2313="",0,IF(COUNTIF($A$2:A2313,$A2313)=1,1,0))</f>
        <v>0</v>
      </c>
      <c r="K2313" s="47" t="n">
        <f aca="false">IF(J2313=1,N(I2313)+ROW()/10000000,0)</f>
        <v>0</v>
      </c>
      <c r="L2313" s="47" t="str">
        <f aca="false">IF(AND(J2313=1,N(I2313)&gt;0),SUMIF($K$2:$K$5001,"&gt;="&amp;K2313,$I$2:$I$5001)/MAX(1,SUM($H$2:$H$5001)),"")</f>
        <v/>
      </c>
      <c r="M2313" s="47" t="str">
        <f aca="false">IF($A2313="","",INDEX($L$2:$L$5001,MATCH($A2313,$A$2:$A$5001,0)))</f>
        <v/>
      </c>
      <c r="N2313" s="48" t="str">
        <f aca="false">IF($A2313="","",IF(N(M2313)=0,"–",IF(M2313&lt;=Start!$D$20,"A",IF(M2313&lt;=Start!$D$21,"B","C"))))</f>
        <v/>
      </c>
      <c r="O2313" s="48" t="str">
        <f aca="false">IF($A2313="","",IF(NOT(ISNUMBER(F2313)),"Wert fehlt; ",IF(F2313&lt;=0,"Wert ist 0; ",""))&amp;IF(NOT(ISNUMBER(E2313)),"Bestand fehlt; ",IF(E2313&lt;0,"Bestand negativ; ",IF(E2313=0,"Nullbestand; ","")))&amp;IF(D2313="","Warengruppe fehlt; ","")&amp;IF(B2313="","Bezeichnung fehlt; ","")&amp;IF(COUNTIFS($A$2:$A$5001,$A2313,$C$2:$C$5001,C2313)&gt;1,"Artikel doppelt im selben Lager; ",""))</f>
        <v/>
      </c>
      <c r="P2313" s="47" t="n">
        <f aca="false">IF(OR($A2313="",D2313=""),0,IF(COUNTIF($D$2:D2313,D2313)=1,SUMIF($D$2:$D$5001,D2313,$H$2:$H$5001)+ROW()/10000000,0))</f>
        <v>0</v>
      </c>
      <c r="Q2313" s="47" t="n">
        <f aca="false">IF(OR($A2313="",C2313=""),0,IF(COUNTIF($C$2:C2313,C2313)=1,SUMIF($C$2:$C$5001,C2313,$H$2:$H$5001)+ROW()/10000000,0))</f>
        <v>0</v>
      </c>
    </row>
    <row r="2314" customFormat="false" ht="15" hidden="false" customHeight="false" outlineLevel="0" collapsed="false">
      <c r="A2314" s="43"/>
      <c r="B2314" s="44"/>
      <c r="C2314" s="44"/>
      <c r="D2314" s="44"/>
      <c r="E2314" s="44"/>
      <c r="F2314" s="44"/>
      <c r="G2314" s="44"/>
      <c r="H2314" s="46" t="str">
        <f aca="false">IF($A2314="","",IF(OR(NOT(ISNUMBER(E2314)),NOT(ISNUMBER(F2314))),"",MAX(0,E2314)*F2314))</f>
        <v/>
      </c>
      <c r="I2314" s="46" t="str">
        <f aca="false">IF($A2314="","",SUMIF($A$2:$A$5001,$A2314,$H$2:$H$5001))</f>
        <v/>
      </c>
      <c r="J2314" s="47" t="n">
        <f aca="false">IF($A2314="",0,IF(COUNTIF($A$2:A2314,$A2314)=1,1,0))</f>
        <v>0</v>
      </c>
      <c r="K2314" s="47" t="n">
        <f aca="false">IF(J2314=1,N(I2314)+ROW()/10000000,0)</f>
        <v>0</v>
      </c>
      <c r="L2314" s="47" t="str">
        <f aca="false">IF(AND(J2314=1,N(I2314)&gt;0),SUMIF($K$2:$K$5001,"&gt;="&amp;K2314,$I$2:$I$5001)/MAX(1,SUM($H$2:$H$5001)),"")</f>
        <v/>
      </c>
      <c r="M2314" s="47" t="str">
        <f aca="false">IF($A2314="","",INDEX($L$2:$L$5001,MATCH($A2314,$A$2:$A$5001,0)))</f>
        <v/>
      </c>
      <c r="N2314" s="48" t="str">
        <f aca="false">IF($A2314="","",IF(N(M2314)=0,"–",IF(M2314&lt;=Start!$D$20,"A",IF(M2314&lt;=Start!$D$21,"B","C"))))</f>
        <v/>
      </c>
      <c r="O2314" s="48" t="str">
        <f aca="false">IF($A2314="","",IF(NOT(ISNUMBER(F2314)),"Wert fehlt; ",IF(F2314&lt;=0,"Wert ist 0; ",""))&amp;IF(NOT(ISNUMBER(E2314)),"Bestand fehlt; ",IF(E2314&lt;0,"Bestand negativ; ",IF(E2314=0,"Nullbestand; ","")))&amp;IF(D2314="","Warengruppe fehlt; ","")&amp;IF(B2314="","Bezeichnung fehlt; ","")&amp;IF(COUNTIFS($A$2:$A$5001,$A2314,$C$2:$C$5001,C2314)&gt;1,"Artikel doppelt im selben Lager; ",""))</f>
        <v/>
      </c>
      <c r="P2314" s="47" t="n">
        <f aca="false">IF(OR($A2314="",D2314=""),0,IF(COUNTIF($D$2:D2314,D2314)=1,SUMIF($D$2:$D$5001,D2314,$H$2:$H$5001)+ROW()/10000000,0))</f>
        <v>0</v>
      </c>
      <c r="Q2314" s="47" t="n">
        <f aca="false">IF(OR($A2314="",C2314=""),0,IF(COUNTIF($C$2:C2314,C2314)=1,SUMIF($C$2:$C$5001,C2314,$H$2:$H$5001)+ROW()/10000000,0))</f>
        <v>0</v>
      </c>
    </row>
    <row r="2315" customFormat="false" ht="15" hidden="false" customHeight="false" outlineLevel="0" collapsed="false">
      <c r="A2315" s="43"/>
      <c r="B2315" s="44"/>
      <c r="C2315" s="44"/>
      <c r="D2315" s="44"/>
      <c r="E2315" s="44"/>
      <c r="F2315" s="44"/>
      <c r="G2315" s="44"/>
      <c r="H2315" s="46" t="str">
        <f aca="false">IF($A2315="","",IF(OR(NOT(ISNUMBER(E2315)),NOT(ISNUMBER(F2315))),"",MAX(0,E2315)*F2315))</f>
        <v/>
      </c>
      <c r="I2315" s="46" t="str">
        <f aca="false">IF($A2315="","",SUMIF($A$2:$A$5001,$A2315,$H$2:$H$5001))</f>
        <v/>
      </c>
      <c r="J2315" s="47" t="n">
        <f aca="false">IF($A2315="",0,IF(COUNTIF($A$2:A2315,$A2315)=1,1,0))</f>
        <v>0</v>
      </c>
      <c r="K2315" s="47" t="n">
        <f aca="false">IF(J2315=1,N(I2315)+ROW()/10000000,0)</f>
        <v>0</v>
      </c>
      <c r="L2315" s="47" t="str">
        <f aca="false">IF(AND(J2315=1,N(I2315)&gt;0),SUMIF($K$2:$K$5001,"&gt;="&amp;K2315,$I$2:$I$5001)/MAX(1,SUM($H$2:$H$5001)),"")</f>
        <v/>
      </c>
      <c r="M2315" s="47" t="str">
        <f aca="false">IF($A2315="","",INDEX($L$2:$L$5001,MATCH($A2315,$A$2:$A$5001,0)))</f>
        <v/>
      </c>
      <c r="N2315" s="48" t="str">
        <f aca="false">IF($A2315="","",IF(N(M2315)=0,"–",IF(M2315&lt;=Start!$D$20,"A",IF(M2315&lt;=Start!$D$21,"B","C"))))</f>
        <v/>
      </c>
      <c r="O2315" s="48" t="str">
        <f aca="false">IF($A2315="","",IF(NOT(ISNUMBER(F2315)),"Wert fehlt; ",IF(F2315&lt;=0,"Wert ist 0; ",""))&amp;IF(NOT(ISNUMBER(E2315)),"Bestand fehlt; ",IF(E2315&lt;0,"Bestand negativ; ",IF(E2315=0,"Nullbestand; ","")))&amp;IF(D2315="","Warengruppe fehlt; ","")&amp;IF(B2315="","Bezeichnung fehlt; ","")&amp;IF(COUNTIFS($A$2:$A$5001,$A2315,$C$2:$C$5001,C2315)&gt;1,"Artikel doppelt im selben Lager; ",""))</f>
        <v/>
      </c>
      <c r="P2315" s="47" t="n">
        <f aca="false">IF(OR($A2315="",D2315=""),0,IF(COUNTIF($D$2:D2315,D2315)=1,SUMIF($D$2:$D$5001,D2315,$H$2:$H$5001)+ROW()/10000000,0))</f>
        <v>0</v>
      </c>
      <c r="Q2315" s="47" t="n">
        <f aca="false">IF(OR($A2315="",C2315=""),0,IF(COUNTIF($C$2:C2315,C2315)=1,SUMIF($C$2:$C$5001,C2315,$H$2:$H$5001)+ROW()/10000000,0))</f>
        <v>0</v>
      </c>
    </row>
    <row r="2316" customFormat="false" ht="15" hidden="false" customHeight="false" outlineLevel="0" collapsed="false">
      <c r="A2316" s="43"/>
      <c r="B2316" s="44"/>
      <c r="C2316" s="44"/>
      <c r="D2316" s="44"/>
      <c r="E2316" s="44"/>
      <c r="F2316" s="44"/>
      <c r="G2316" s="44"/>
      <c r="H2316" s="46" t="str">
        <f aca="false">IF($A2316="","",IF(OR(NOT(ISNUMBER(E2316)),NOT(ISNUMBER(F2316))),"",MAX(0,E2316)*F2316))</f>
        <v/>
      </c>
      <c r="I2316" s="46" t="str">
        <f aca="false">IF($A2316="","",SUMIF($A$2:$A$5001,$A2316,$H$2:$H$5001))</f>
        <v/>
      </c>
      <c r="J2316" s="47" t="n">
        <f aca="false">IF($A2316="",0,IF(COUNTIF($A$2:A2316,$A2316)=1,1,0))</f>
        <v>0</v>
      </c>
      <c r="K2316" s="47" t="n">
        <f aca="false">IF(J2316=1,N(I2316)+ROW()/10000000,0)</f>
        <v>0</v>
      </c>
      <c r="L2316" s="47" t="str">
        <f aca="false">IF(AND(J2316=1,N(I2316)&gt;0),SUMIF($K$2:$K$5001,"&gt;="&amp;K2316,$I$2:$I$5001)/MAX(1,SUM($H$2:$H$5001)),"")</f>
        <v/>
      </c>
      <c r="M2316" s="47" t="str">
        <f aca="false">IF($A2316="","",INDEX($L$2:$L$5001,MATCH($A2316,$A$2:$A$5001,0)))</f>
        <v/>
      </c>
      <c r="N2316" s="48" t="str">
        <f aca="false">IF($A2316="","",IF(N(M2316)=0,"–",IF(M2316&lt;=Start!$D$20,"A",IF(M2316&lt;=Start!$D$21,"B","C"))))</f>
        <v/>
      </c>
      <c r="O2316" s="48" t="str">
        <f aca="false">IF($A2316="","",IF(NOT(ISNUMBER(F2316)),"Wert fehlt; ",IF(F2316&lt;=0,"Wert ist 0; ",""))&amp;IF(NOT(ISNUMBER(E2316)),"Bestand fehlt; ",IF(E2316&lt;0,"Bestand negativ; ",IF(E2316=0,"Nullbestand; ","")))&amp;IF(D2316="","Warengruppe fehlt; ","")&amp;IF(B2316="","Bezeichnung fehlt; ","")&amp;IF(COUNTIFS($A$2:$A$5001,$A2316,$C$2:$C$5001,C2316)&gt;1,"Artikel doppelt im selben Lager; ",""))</f>
        <v/>
      </c>
      <c r="P2316" s="47" t="n">
        <f aca="false">IF(OR($A2316="",D2316=""),0,IF(COUNTIF($D$2:D2316,D2316)=1,SUMIF($D$2:$D$5001,D2316,$H$2:$H$5001)+ROW()/10000000,0))</f>
        <v>0</v>
      </c>
      <c r="Q2316" s="47" t="n">
        <f aca="false">IF(OR($A2316="",C2316=""),0,IF(COUNTIF($C$2:C2316,C2316)=1,SUMIF($C$2:$C$5001,C2316,$H$2:$H$5001)+ROW()/10000000,0))</f>
        <v>0</v>
      </c>
    </row>
    <row r="2317" customFormat="false" ht="15" hidden="false" customHeight="false" outlineLevel="0" collapsed="false">
      <c r="A2317" s="43"/>
      <c r="B2317" s="44"/>
      <c r="C2317" s="44"/>
      <c r="D2317" s="44"/>
      <c r="E2317" s="44"/>
      <c r="F2317" s="44"/>
      <c r="G2317" s="44"/>
      <c r="H2317" s="46" t="str">
        <f aca="false">IF($A2317="","",IF(OR(NOT(ISNUMBER(E2317)),NOT(ISNUMBER(F2317))),"",MAX(0,E2317)*F2317))</f>
        <v/>
      </c>
      <c r="I2317" s="46" t="str">
        <f aca="false">IF($A2317="","",SUMIF($A$2:$A$5001,$A2317,$H$2:$H$5001))</f>
        <v/>
      </c>
      <c r="J2317" s="47" t="n">
        <f aca="false">IF($A2317="",0,IF(COUNTIF($A$2:A2317,$A2317)=1,1,0))</f>
        <v>0</v>
      </c>
      <c r="K2317" s="47" t="n">
        <f aca="false">IF(J2317=1,N(I2317)+ROW()/10000000,0)</f>
        <v>0</v>
      </c>
      <c r="L2317" s="47" t="str">
        <f aca="false">IF(AND(J2317=1,N(I2317)&gt;0),SUMIF($K$2:$K$5001,"&gt;="&amp;K2317,$I$2:$I$5001)/MAX(1,SUM($H$2:$H$5001)),"")</f>
        <v/>
      </c>
      <c r="M2317" s="47" t="str">
        <f aca="false">IF($A2317="","",INDEX($L$2:$L$5001,MATCH($A2317,$A$2:$A$5001,0)))</f>
        <v/>
      </c>
      <c r="N2317" s="48" t="str">
        <f aca="false">IF($A2317="","",IF(N(M2317)=0,"–",IF(M2317&lt;=Start!$D$20,"A",IF(M2317&lt;=Start!$D$21,"B","C"))))</f>
        <v/>
      </c>
      <c r="O2317" s="48" t="str">
        <f aca="false">IF($A2317="","",IF(NOT(ISNUMBER(F2317)),"Wert fehlt; ",IF(F2317&lt;=0,"Wert ist 0; ",""))&amp;IF(NOT(ISNUMBER(E2317)),"Bestand fehlt; ",IF(E2317&lt;0,"Bestand negativ; ",IF(E2317=0,"Nullbestand; ","")))&amp;IF(D2317="","Warengruppe fehlt; ","")&amp;IF(B2317="","Bezeichnung fehlt; ","")&amp;IF(COUNTIFS($A$2:$A$5001,$A2317,$C$2:$C$5001,C2317)&gt;1,"Artikel doppelt im selben Lager; ",""))</f>
        <v/>
      </c>
      <c r="P2317" s="47" t="n">
        <f aca="false">IF(OR($A2317="",D2317=""),0,IF(COUNTIF($D$2:D2317,D2317)=1,SUMIF($D$2:$D$5001,D2317,$H$2:$H$5001)+ROW()/10000000,0))</f>
        <v>0</v>
      </c>
      <c r="Q2317" s="47" t="n">
        <f aca="false">IF(OR($A2317="",C2317=""),0,IF(COUNTIF($C$2:C2317,C2317)=1,SUMIF($C$2:$C$5001,C2317,$H$2:$H$5001)+ROW()/10000000,0))</f>
        <v>0</v>
      </c>
    </row>
    <row r="2318" customFormat="false" ht="15" hidden="false" customHeight="false" outlineLevel="0" collapsed="false">
      <c r="A2318" s="43"/>
      <c r="B2318" s="44"/>
      <c r="C2318" s="44"/>
      <c r="D2318" s="44"/>
      <c r="E2318" s="44"/>
      <c r="F2318" s="44"/>
      <c r="G2318" s="44"/>
      <c r="H2318" s="46" t="str">
        <f aca="false">IF($A2318="","",IF(OR(NOT(ISNUMBER(E2318)),NOT(ISNUMBER(F2318))),"",MAX(0,E2318)*F2318))</f>
        <v/>
      </c>
      <c r="I2318" s="46" t="str">
        <f aca="false">IF($A2318="","",SUMIF($A$2:$A$5001,$A2318,$H$2:$H$5001))</f>
        <v/>
      </c>
      <c r="J2318" s="47" t="n">
        <f aca="false">IF($A2318="",0,IF(COUNTIF($A$2:A2318,$A2318)=1,1,0))</f>
        <v>0</v>
      </c>
      <c r="K2318" s="47" t="n">
        <f aca="false">IF(J2318=1,N(I2318)+ROW()/10000000,0)</f>
        <v>0</v>
      </c>
      <c r="L2318" s="47" t="str">
        <f aca="false">IF(AND(J2318=1,N(I2318)&gt;0),SUMIF($K$2:$K$5001,"&gt;="&amp;K2318,$I$2:$I$5001)/MAX(1,SUM($H$2:$H$5001)),"")</f>
        <v/>
      </c>
      <c r="M2318" s="47" t="str">
        <f aca="false">IF($A2318="","",INDEX($L$2:$L$5001,MATCH($A2318,$A$2:$A$5001,0)))</f>
        <v/>
      </c>
      <c r="N2318" s="48" t="str">
        <f aca="false">IF($A2318="","",IF(N(M2318)=0,"–",IF(M2318&lt;=Start!$D$20,"A",IF(M2318&lt;=Start!$D$21,"B","C"))))</f>
        <v/>
      </c>
      <c r="O2318" s="48" t="str">
        <f aca="false">IF($A2318="","",IF(NOT(ISNUMBER(F2318)),"Wert fehlt; ",IF(F2318&lt;=0,"Wert ist 0; ",""))&amp;IF(NOT(ISNUMBER(E2318)),"Bestand fehlt; ",IF(E2318&lt;0,"Bestand negativ; ",IF(E2318=0,"Nullbestand; ","")))&amp;IF(D2318="","Warengruppe fehlt; ","")&amp;IF(B2318="","Bezeichnung fehlt; ","")&amp;IF(COUNTIFS($A$2:$A$5001,$A2318,$C$2:$C$5001,C2318)&gt;1,"Artikel doppelt im selben Lager; ",""))</f>
        <v/>
      </c>
      <c r="P2318" s="47" t="n">
        <f aca="false">IF(OR($A2318="",D2318=""),0,IF(COUNTIF($D$2:D2318,D2318)=1,SUMIF($D$2:$D$5001,D2318,$H$2:$H$5001)+ROW()/10000000,0))</f>
        <v>0</v>
      </c>
      <c r="Q2318" s="47" t="n">
        <f aca="false">IF(OR($A2318="",C2318=""),0,IF(COUNTIF($C$2:C2318,C2318)=1,SUMIF($C$2:$C$5001,C2318,$H$2:$H$5001)+ROW()/10000000,0))</f>
        <v>0</v>
      </c>
    </row>
    <row r="2319" customFormat="false" ht="15" hidden="false" customHeight="false" outlineLevel="0" collapsed="false">
      <c r="A2319" s="43"/>
      <c r="B2319" s="44"/>
      <c r="C2319" s="44"/>
      <c r="D2319" s="44"/>
      <c r="E2319" s="44"/>
      <c r="F2319" s="44"/>
      <c r="G2319" s="44"/>
      <c r="H2319" s="46" t="str">
        <f aca="false">IF($A2319="","",IF(OR(NOT(ISNUMBER(E2319)),NOT(ISNUMBER(F2319))),"",MAX(0,E2319)*F2319))</f>
        <v/>
      </c>
      <c r="I2319" s="46" t="str">
        <f aca="false">IF($A2319="","",SUMIF($A$2:$A$5001,$A2319,$H$2:$H$5001))</f>
        <v/>
      </c>
      <c r="J2319" s="47" t="n">
        <f aca="false">IF($A2319="",0,IF(COUNTIF($A$2:A2319,$A2319)=1,1,0))</f>
        <v>0</v>
      </c>
      <c r="K2319" s="47" t="n">
        <f aca="false">IF(J2319=1,N(I2319)+ROW()/10000000,0)</f>
        <v>0</v>
      </c>
      <c r="L2319" s="47" t="str">
        <f aca="false">IF(AND(J2319=1,N(I2319)&gt;0),SUMIF($K$2:$K$5001,"&gt;="&amp;K2319,$I$2:$I$5001)/MAX(1,SUM($H$2:$H$5001)),"")</f>
        <v/>
      </c>
      <c r="M2319" s="47" t="str">
        <f aca="false">IF($A2319="","",INDEX($L$2:$L$5001,MATCH($A2319,$A$2:$A$5001,0)))</f>
        <v/>
      </c>
      <c r="N2319" s="48" t="str">
        <f aca="false">IF($A2319="","",IF(N(M2319)=0,"–",IF(M2319&lt;=Start!$D$20,"A",IF(M2319&lt;=Start!$D$21,"B","C"))))</f>
        <v/>
      </c>
      <c r="O2319" s="48" t="str">
        <f aca="false">IF($A2319="","",IF(NOT(ISNUMBER(F2319)),"Wert fehlt; ",IF(F2319&lt;=0,"Wert ist 0; ",""))&amp;IF(NOT(ISNUMBER(E2319)),"Bestand fehlt; ",IF(E2319&lt;0,"Bestand negativ; ",IF(E2319=0,"Nullbestand; ","")))&amp;IF(D2319="","Warengruppe fehlt; ","")&amp;IF(B2319="","Bezeichnung fehlt; ","")&amp;IF(COUNTIFS($A$2:$A$5001,$A2319,$C$2:$C$5001,C2319)&gt;1,"Artikel doppelt im selben Lager; ",""))</f>
        <v/>
      </c>
      <c r="P2319" s="47" t="n">
        <f aca="false">IF(OR($A2319="",D2319=""),0,IF(COUNTIF($D$2:D2319,D2319)=1,SUMIF($D$2:$D$5001,D2319,$H$2:$H$5001)+ROW()/10000000,0))</f>
        <v>0</v>
      </c>
      <c r="Q2319" s="47" t="n">
        <f aca="false">IF(OR($A2319="",C2319=""),0,IF(COUNTIF($C$2:C2319,C2319)=1,SUMIF($C$2:$C$5001,C2319,$H$2:$H$5001)+ROW()/10000000,0))</f>
        <v>0</v>
      </c>
    </row>
    <row r="2320" customFormat="false" ht="15" hidden="false" customHeight="false" outlineLevel="0" collapsed="false">
      <c r="A2320" s="43"/>
      <c r="B2320" s="44"/>
      <c r="C2320" s="44"/>
      <c r="D2320" s="44"/>
      <c r="E2320" s="44"/>
      <c r="F2320" s="44"/>
      <c r="G2320" s="44"/>
      <c r="H2320" s="46" t="str">
        <f aca="false">IF($A2320="","",IF(OR(NOT(ISNUMBER(E2320)),NOT(ISNUMBER(F2320))),"",MAX(0,E2320)*F2320))</f>
        <v/>
      </c>
      <c r="I2320" s="46" t="str">
        <f aca="false">IF($A2320="","",SUMIF($A$2:$A$5001,$A2320,$H$2:$H$5001))</f>
        <v/>
      </c>
      <c r="J2320" s="47" t="n">
        <f aca="false">IF($A2320="",0,IF(COUNTIF($A$2:A2320,$A2320)=1,1,0))</f>
        <v>0</v>
      </c>
      <c r="K2320" s="47" t="n">
        <f aca="false">IF(J2320=1,N(I2320)+ROW()/10000000,0)</f>
        <v>0</v>
      </c>
      <c r="L2320" s="47" t="str">
        <f aca="false">IF(AND(J2320=1,N(I2320)&gt;0),SUMIF($K$2:$K$5001,"&gt;="&amp;K2320,$I$2:$I$5001)/MAX(1,SUM($H$2:$H$5001)),"")</f>
        <v/>
      </c>
      <c r="M2320" s="47" t="str">
        <f aca="false">IF($A2320="","",INDEX($L$2:$L$5001,MATCH($A2320,$A$2:$A$5001,0)))</f>
        <v/>
      </c>
      <c r="N2320" s="48" t="str">
        <f aca="false">IF($A2320="","",IF(N(M2320)=0,"–",IF(M2320&lt;=Start!$D$20,"A",IF(M2320&lt;=Start!$D$21,"B","C"))))</f>
        <v/>
      </c>
      <c r="O2320" s="48" t="str">
        <f aca="false">IF($A2320="","",IF(NOT(ISNUMBER(F2320)),"Wert fehlt; ",IF(F2320&lt;=0,"Wert ist 0; ",""))&amp;IF(NOT(ISNUMBER(E2320)),"Bestand fehlt; ",IF(E2320&lt;0,"Bestand negativ; ",IF(E2320=0,"Nullbestand; ","")))&amp;IF(D2320="","Warengruppe fehlt; ","")&amp;IF(B2320="","Bezeichnung fehlt; ","")&amp;IF(COUNTIFS($A$2:$A$5001,$A2320,$C$2:$C$5001,C2320)&gt;1,"Artikel doppelt im selben Lager; ",""))</f>
        <v/>
      </c>
      <c r="P2320" s="47" t="n">
        <f aca="false">IF(OR($A2320="",D2320=""),0,IF(COUNTIF($D$2:D2320,D2320)=1,SUMIF($D$2:$D$5001,D2320,$H$2:$H$5001)+ROW()/10000000,0))</f>
        <v>0</v>
      </c>
      <c r="Q2320" s="47" t="n">
        <f aca="false">IF(OR($A2320="",C2320=""),0,IF(COUNTIF($C$2:C2320,C2320)=1,SUMIF($C$2:$C$5001,C2320,$H$2:$H$5001)+ROW()/10000000,0))</f>
        <v>0</v>
      </c>
    </row>
    <row r="2321" customFormat="false" ht="15" hidden="false" customHeight="false" outlineLevel="0" collapsed="false">
      <c r="A2321" s="43"/>
      <c r="B2321" s="44"/>
      <c r="C2321" s="44"/>
      <c r="D2321" s="44"/>
      <c r="E2321" s="44"/>
      <c r="F2321" s="44"/>
      <c r="G2321" s="44"/>
      <c r="H2321" s="46" t="str">
        <f aca="false">IF($A2321="","",IF(OR(NOT(ISNUMBER(E2321)),NOT(ISNUMBER(F2321))),"",MAX(0,E2321)*F2321))</f>
        <v/>
      </c>
      <c r="I2321" s="46" t="str">
        <f aca="false">IF($A2321="","",SUMIF($A$2:$A$5001,$A2321,$H$2:$H$5001))</f>
        <v/>
      </c>
      <c r="J2321" s="47" t="n">
        <f aca="false">IF($A2321="",0,IF(COUNTIF($A$2:A2321,$A2321)=1,1,0))</f>
        <v>0</v>
      </c>
      <c r="K2321" s="47" t="n">
        <f aca="false">IF(J2321=1,N(I2321)+ROW()/10000000,0)</f>
        <v>0</v>
      </c>
      <c r="L2321" s="47" t="str">
        <f aca="false">IF(AND(J2321=1,N(I2321)&gt;0),SUMIF($K$2:$K$5001,"&gt;="&amp;K2321,$I$2:$I$5001)/MAX(1,SUM($H$2:$H$5001)),"")</f>
        <v/>
      </c>
      <c r="M2321" s="47" t="str">
        <f aca="false">IF($A2321="","",INDEX($L$2:$L$5001,MATCH($A2321,$A$2:$A$5001,0)))</f>
        <v/>
      </c>
      <c r="N2321" s="48" t="str">
        <f aca="false">IF($A2321="","",IF(N(M2321)=0,"–",IF(M2321&lt;=Start!$D$20,"A",IF(M2321&lt;=Start!$D$21,"B","C"))))</f>
        <v/>
      </c>
      <c r="O2321" s="48" t="str">
        <f aca="false">IF($A2321="","",IF(NOT(ISNUMBER(F2321)),"Wert fehlt; ",IF(F2321&lt;=0,"Wert ist 0; ",""))&amp;IF(NOT(ISNUMBER(E2321)),"Bestand fehlt; ",IF(E2321&lt;0,"Bestand negativ; ",IF(E2321=0,"Nullbestand; ","")))&amp;IF(D2321="","Warengruppe fehlt; ","")&amp;IF(B2321="","Bezeichnung fehlt; ","")&amp;IF(COUNTIFS($A$2:$A$5001,$A2321,$C$2:$C$5001,C2321)&gt;1,"Artikel doppelt im selben Lager; ",""))</f>
        <v/>
      </c>
      <c r="P2321" s="47" t="n">
        <f aca="false">IF(OR($A2321="",D2321=""),0,IF(COUNTIF($D$2:D2321,D2321)=1,SUMIF($D$2:$D$5001,D2321,$H$2:$H$5001)+ROW()/10000000,0))</f>
        <v>0</v>
      </c>
      <c r="Q2321" s="47" t="n">
        <f aca="false">IF(OR($A2321="",C2321=""),0,IF(COUNTIF($C$2:C2321,C2321)=1,SUMIF($C$2:$C$5001,C2321,$H$2:$H$5001)+ROW()/10000000,0))</f>
        <v>0</v>
      </c>
    </row>
    <row r="2322" customFormat="false" ht="15" hidden="false" customHeight="false" outlineLevel="0" collapsed="false">
      <c r="A2322" s="43"/>
      <c r="B2322" s="44"/>
      <c r="C2322" s="44"/>
      <c r="D2322" s="44"/>
      <c r="E2322" s="44"/>
      <c r="F2322" s="44"/>
      <c r="G2322" s="44"/>
      <c r="H2322" s="46" t="str">
        <f aca="false">IF($A2322="","",IF(OR(NOT(ISNUMBER(E2322)),NOT(ISNUMBER(F2322))),"",MAX(0,E2322)*F2322))</f>
        <v/>
      </c>
      <c r="I2322" s="46" t="str">
        <f aca="false">IF($A2322="","",SUMIF($A$2:$A$5001,$A2322,$H$2:$H$5001))</f>
        <v/>
      </c>
      <c r="J2322" s="47" t="n">
        <f aca="false">IF($A2322="",0,IF(COUNTIF($A$2:A2322,$A2322)=1,1,0))</f>
        <v>0</v>
      </c>
      <c r="K2322" s="47" t="n">
        <f aca="false">IF(J2322=1,N(I2322)+ROW()/10000000,0)</f>
        <v>0</v>
      </c>
      <c r="L2322" s="47" t="str">
        <f aca="false">IF(AND(J2322=1,N(I2322)&gt;0),SUMIF($K$2:$K$5001,"&gt;="&amp;K2322,$I$2:$I$5001)/MAX(1,SUM($H$2:$H$5001)),"")</f>
        <v/>
      </c>
      <c r="M2322" s="47" t="str">
        <f aca="false">IF($A2322="","",INDEX($L$2:$L$5001,MATCH($A2322,$A$2:$A$5001,0)))</f>
        <v/>
      </c>
      <c r="N2322" s="48" t="str">
        <f aca="false">IF($A2322="","",IF(N(M2322)=0,"–",IF(M2322&lt;=Start!$D$20,"A",IF(M2322&lt;=Start!$D$21,"B","C"))))</f>
        <v/>
      </c>
      <c r="O2322" s="48" t="str">
        <f aca="false">IF($A2322="","",IF(NOT(ISNUMBER(F2322)),"Wert fehlt; ",IF(F2322&lt;=0,"Wert ist 0; ",""))&amp;IF(NOT(ISNUMBER(E2322)),"Bestand fehlt; ",IF(E2322&lt;0,"Bestand negativ; ",IF(E2322=0,"Nullbestand; ","")))&amp;IF(D2322="","Warengruppe fehlt; ","")&amp;IF(B2322="","Bezeichnung fehlt; ","")&amp;IF(COUNTIFS($A$2:$A$5001,$A2322,$C$2:$C$5001,C2322)&gt;1,"Artikel doppelt im selben Lager; ",""))</f>
        <v/>
      </c>
      <c r="P2322" s="47" t="n">
        <f aca="false">IF(OR($A2322="",D2322=""),0,IF(COUNTIF($D$2:D2322,D2322)=1,SUMIF($D$2:$D$5001,D2322,$H$2:$H$5001)+ROW()/10000000,0))</f>
        <v>0</v>
      </c>
      <c r="Q2322" s="47" t="n">
        <f aca="false">IF(OR($A2322="",C2322=""),0,IF(COUNTIF($C$2:C2322,C2322)=1,SUMIF($C$2:$C$5001,C2322,$H$2:$H$5001)+ROW()/10000000,0))</f>
        <v>0</v>
      </c>
    </row>
    <row r="2323" customFormat="false" ht="15" hidden="false" customHeight="false" outlineLevel="0" collapsed="false">
      <c r="A2323" s="43"/>
      <c r="B2323" s="44"/>
      <c r="C2323" s="44"/>
      <c r="D2323" s="44"/>
      <c r="E2323" s="44"/>
      <c r="F2323" s="44"/>
      <c r="G2323" s="44"/>
      <c r="H2323" s="46" t="str">
        <f aca="false">IF($A2323="","",IF(OR(NOT(ISNUMBER(E2323)),NOT(ISNUMBER(F2323))),"",MAX(0,E2323)*F2323))</f>
        <v/>
      </c>
      <c r="I2323" s="46" t="str">
        <f aca="false">IF($A2323="","",SUMIF($A$2:$A$5001,$A2323,$H$2:$H$5001))</f>
        <v/>
      </c>
      <c r="J2323" s="47" t="n">
        <f aca="false">IF($A2323="",0,IF(COUNTIF($A$2:A2323,$A2323)=1,1,0))</f>
        <v>0</v>
      </c>
      <c r="K2323" s="47" t="n">
        <f aca="false">IF(J2323=1,N(I2323)+ROW()/10000000,0)</f>
        <v>0</v>
      </c>
      <c r="L2323" s="47" t="str">
        <f aca="false">IF(AND(J2323=1,N(I2323)&gt;0),SUMIF($K$2:$K$5001,"&gt;="&amp;K2323,$I$2:$I$5001)/MAX(1,SUM($H$2:$H$5001)),"")</f>
        <v/>
      </c>
      <c r="M2323" s="47" t="str">
        <f aca="false">IF($A2323="","",INDEX($L$2:$L$5001,MATCH($A2323,$A$2:$A$5001,0)))</f>
        <v/>
      </c>
      <c r="N2323" s="48" t="str">
        <f aca="false">IF($A2323="","",IF(N(M2323)=0,"–",IF(M2323&lt;=Start!$D$20,"A",IF(M2323&lt;=Start!$D$21,"B","C"))))</f>
        <v/>
      </c>
      <c r="O2323" s="48" t="str">
        <f aca="false">IF($A2323="","",IF(NOT(ISNUMBER(F2323)),"Wert fehlt; ",IF(F2323&lt;=0,"Wert ist 0; ",""))&amp;IF(NOT(ISNUMBER(E2323)),"Bestand fehlt; ",IF(E2323&lt;0,"Bestand negativ; ",IF(E2323=0,"Nullbestand; ","")))&amp;IF(D2323="","Warengruppe fehlt; ","")&amp;IF(B2323="","Bezeichnung fehlt; ","")&amp;IF(COUNTIFS($A$2:$A$5001,$A2323,$C$2:$C$5001,C2323)&gt;1,"Artikel doppelt im selben Lager; ",""))</f>
        <v/>
      </c>
      <c r="P2323" s="47" t="n">
        <f aca="false">IF(OR($A2323="",D2323=""),0,IF(COUNTIF($D$2:D2323,D2323)=1,SUMIF($D$2:$D$5001,D2323,$H$2:$H$5001)+ROW()/10000000,0))</f>
        <v>0</v>
      </c>
      <c r="Q2323" s="47" t="n">
        <f aca="false">IF(OR($A2323="",C2323=""),0,IF(COUNTIF($C$2:C2323,C2323)=1,SUMIF($C$2:$C$5001,C2323,$H$2:$H$5001)+ROW()/10000000,0))</f>
        <v>0</v>
      </c>
    </row>
    <row r="2324" customFormat="false" ht="15" hidden="false" customHeight="false" outlineLevel="0" collapsed="false">
      <c r="A2324" s="43"/>
      <c r="B2324" s="44"/>
      <c r="C2324" s="44"/>
      <c r="D2324" s="44"/>
      <c r="E2324" s="44"/>
      <c r="F2324" s="44"/>
      <c r="G2324" s="44"/>
      <c r="H2324" s="46" t="str">
        <f aca="false">IF($A2324="","",IF(OR(NOT(ISNUMBER(E2324)),NOT(ISNUMBER(F2324))),"",MAX(0,E2324)*F2324))</f>
        <v/>
      </c>
      <c r="I2324" s="46" t="str">
        <f aca="false">IF($A2324="","",SUMIF($A$2:$A$5001,$A2324,$H$2:$H$5001))</f>
        <v/>
      </c>
      <c r="J2324" s="47" t="n">
        <f aca="false">IF($A2324="",0,IF(COUNTIF($A$2:A2324,$A2324)=1,1,0))</f>
        <v>0</v>
      </c>
      <c r="K2324" s="47" t="n">
        <f aca="false">IF(J2324=1,N(I2324)+ROW()/10000000,0)</f>
        <v>0</v>
      </c>
      <c r="L2324" s="47" t="str">
        <f aca="false">IF(AND(J2324=1,N(I2324)&gt;0),SUMIF($K$2:$K$5001,"&gt;="&amp;K2324,$I$2:$I$5001)/MAX(1,SUM($H$2:$H$5001)),"")</f>
        <v/>
      </c>
      <c r="M2324" s="47" t="str">
        <f aca="false">IF($A2324="","",INDEX($L$2:$L$5001,MATCH($A2324,$A$2:$A$5001,0)))</f>
        <v/>
      </c>
      <c r="N2324" s="48" t="str">
        <f aca="false">IF($A2324="","",IF(N(M2324)=0,"–",IF(M2324&lt;=Start!$D$20,"A",IF(M2324&lt;=Start!$D$21,"B","C"))))</f>
        <v/>
      </c>
      <c r="O2324" s="48" t="str">
        <f aca="false">IF($A2324="","",IF(NOT(ISNUMBER(F2324)),"Wert fehlt; ",IF(F2324&lt;=0,"Wert ist 0; ",""))&amp;IF(NOT(ISNUMBER(E2324)),"Bestand fehlt; ",IF(E2324&lt;0,"Bestand negativ; ",IF(E2324=0,"Nullbestand; ","")))&amp;IF(D2324="","Warengruppe fehlt; ","")&amp;IF(B2324="","Bezeichnung fehlt; ","")&amp;IF(COUNTIFS($A$2:$A$5001,$A2324,$C$2:$C$5001,C2324)&gt;1,"Artikel doppelt im selben Lager; ",""))</f>
        <v/>
      </c>
      <c r="P2324" s="47" t="n">
        <f aca="false">IF(OR($A2324="",D2324=""),0,IF(COUNTIF($D$2:D2324,D2324)=1,SUMIF($D$2:$D$5001,D2324,$H$2:$H$5001)+ROW()/10000000,0))</f>
        <v>0</v>
      </c>
      <c r="Q2324" s="47" t="n">
        <f aca="false">IF(OR($A2324="",C2324=""),0,IF(COUNTIF($C$2:C2324,C2324)=1,SUMIF($C$2:$C$5001,C2324,$H$2:$H$5001)+ROW()/10000000,0))</f>
        <v>0</v>
      </c>
    </row>
    <row r="2325" customFormat="false" ht="15" hidden="false" customHeight="false" outlineLevel="0" collapsed="false">
      <c r="A2325" s="43"/>
      <c r="B2325" s="44"/>
      <c r="C2325" s="44"/>
      <c r="D2325" s="44"/>
      <c r="E2325" s="44"/>
      <c r="F2325" s="44"/>
      <c r="G2325" s="44"/>
      <c r="H2325" s="46" t="str">
        <f aca="false">IF($A2325="","",IF(OR(NOT(ISNUMBER(E2325)),NOT(ISNUMBER(F2325))),"",MAX(0,E2325)*F2325))</f>
        <v/>
      </c>
      <c r="I2325" s="46" t="str">
        <f aca="false">IF($A2325="","",SUMIF($A$2:$A$5001,$A2325,$H$2:$H$5001))</f>
        <v/>
      </c>
      <c r="J2325" s="47" t="n">
        <f aca="false">IF($A2325="",0,IF(COUNTIF($A$2:A2325,$A2325)=1,1,0))</f>
        <v>0</v>
      </c>
      <c r="K2325" s="47" t="n">
        <f aca="false">IF(J2325=1,N(I2325)+ROW()/10000000,0)</f>
        <v>0</v>
      </c>
      <c r="L2325" s="47" t="str">
        <f aca="false">IF(AND(J2325=1,N(I2325)&gt;0),SUMIF($K$2:$K$5001,"&gt;="&amp;K2325,$I$2:$I$5001)/MAX(1,SUM($H$2:$H$5001)),"")</f>
        <v/>
      </c>
      <c r="M2325" s="47" t="str">
        <f aca="false">IF($A2325="","",INDEX($L$2:$L$5001,MATCH($A2325,$A$2:$A$5001,0)))</f>
        <v/>
      </c>
      <c r="N2325" s="48" t="str">
        <f aca="false">IF($A2325="","",IF(N(M2325)=0,"–",IF(M2325&lt;=Start!$D$20,"A",IF(M2325&lt;=Start!$D$21,"B","C"))))</f>
        <v/>
      </c>
      <c r="O2325" s="48" t="str">
        <f aca="false">IF($A2325="","",IF(NOT(ISNUMBER(F2325)),"Wert fehlt; ",IF(F2325&lt;=0,"Wert ist 0; ",""))&amp;IF(NOT(ISNUMBER(E2325)),"Bestand fehlt; ",IF(E2325&lt;0,"Bestand negativ; ",IF(E2325=0,"Nullbestand; ","")))&amp;IF(D2325="","Warengruppe fehlt; ","")&amp;IF(B2325="","Bezeichnung fehlt; ","")&amp;IF(COUNTIFS($A$2:$A$5001,$A2325,$C$2:$C$5001,C2325)&gt;1,"Artikel doppelt im selben Lager; ",""))</f>
        <v/>
      </c>
      <c r="P2325" s="47" t="n">
        <f aca="false">IF(OR($A2325="",D2325=""),0,IF(COUNTIF($D$2:D2325,D2325)=1,SUMIF($D$2:$D$5001,D2325,$H$2:$H$5001)+ROW()/10000000,0))</f>
        <v>0</v>
      </c>
      <c r="Q2325" s="47" t="n">
        <f aca="false">IF(OR($A2325="",C2325=""),0,IF(COUNTIF($C$2:C2325,C2325)=1,SUMIF($C$2:$C$5001,C2325,$H$2:$H$5001)+ROW()/10000000,0))</f>
        <v>0</v>
      </c>
    </row>
    <row r="2326" customFormat="false" ht="15" hidden="false" customHeight="false" outlineLevel="0" collapsed="false">
      <c r="A2326" s="43"/>
      <c r="B2326" s="44"/>
      <c r="C2326" s="44"/>
      <c r="D2326" s="44"/>
      <c r="E2326" s="44"/>
      <c r="F2326" s="44"/>
      <c r="G2326" s="44"/>
      <c r="H2326" s="46" t="str">
        <f aca="false">IF($A2326="","",IF(OR(NOT(ISNUMBER(E2326)),NOT(ISNUMBER(F2326))),"",MAX(0,E2326)*F2326))</f>
        <v/>
      </c>
      <c r="I2326" s="46" t="str">
        <f aca="false">IF($A2326="","",SUMIF($A$2:$A$5001,$A2326,$H$2:$H$5001))</f>
        <v/>
      </c>
      <c r="J2326" s="47" t="n">
        <f aca="false">IF($A2326="",0,IF(COUNTIF($A$2:A2326,$A2326)=1,1,0))</f>
        <v>0</v>
      </c>
      <c r="K2326" s="47" t="n">
        <f aca="false">IF(J2326=1,N(I2326)+ROW()/10000000,0)</f>
        <v>0</v>
      </c>
      <c r="L2326" s="47" t="str">
        <f aca="false">IF(AND(J2326=1,N(I2326)&gt;0),SUMIF($K$2:$K$5001,"&gt;="&amp;K2326,$I$2:$I$5001)/MAX(1,SUM($H$2:$H$5001)),"")</f>
        <v/>
      </c>
      <c r="M2326" s="47" t="str">
        <f aca="false">IF($A2326="","",INDEX($L$2:$L$5001,MATCH($A2326,$A$2:$A$5001,0)))</f>
        <v/>
      </c>
      <c r="N2326" s="48" t="str">
        <f aca="false">IF($A2326="","",IF(N(M2326)=0,"–",IF(M2326&lt;=Start!$D$20,"A",IF(M2326&lt;=Start!$D$21,"B","C"))))</f>
        <v/>
      </c>
      <c r="O2326" s="48" t="str">
        <f aca="false">IF($A2326="","",IF(NOT(ISNUMBER(F2326)),"Wert fehlt; ",IF(F2326&lt;=0,"Wert ist 0; ",""))&amp;IF(NOT(ISNUMBER(E2326)),"Bestand fehlt; ",IF(E2326&lt;0,"Bestand negativ; ",IF(E2326=0,"Nullbestand; ","")))&amp;IF(D2326="","Warengruppe fehlt; ","")&amp;IF(B2326="","Bezeichnung fehlt; ","")&amp;IF(COUNTIFS($A$2:$A$5001,$A2326,$C$2:$C$5001,C2326)&gt;1,"Artikel doppelt im selben Lager; ",""))</f>
        <v/>
      </c>
      <c r="P2326" s="47" t="n">
        <f aca="false">IF(OR($A2326="",D2326=""),0,IF(COUNTIF($D$2:D2326,D2326)=1,SUMIF($D$2:$D$5001,D2326,$H$2:$H$5001)+ROW()/10000000,0))</f>
        <v>0</v>
      </c>
      <c r="Q2326" s="47" t="n">
        <f aca="false">IF(OR($A2326="",C2326=""),0,IF(COUNTIF($C$2:C2326,C2326)=1,SUMIF($C$2:$C$5001,C2326,$H$2:$H$5001)+ROW()/10000000,0))</f>
        <v>0</v>
      </c>
    </row>
    <row r="2327" customFormat="false" ht="15" hidden="false" customHeight="false" outlineLevel="0" collapsed="false">
      <c r="A2327" s="43"/>
      <c r="B2327" s="44"/>
      <c r="C2327" s="44"/>
      <c r="D2327" s="44"/>
      <c r="E2327" s="44"/>
      <c r="F2327" s="44"/>
      <c r="G2327" s="44"/>
      <c r="H2327" s="46" t="str">
        <f aca="false">IF($A2327="","",IF(OR(NOT(ISNUMBER(E2327)),NOT(ISNUMBER(F2327))),"",MAX(0,E2327)*F2327))</f>
        <v/>
      </c>
      <c r="I2327" s="46" t="str">
        <f aca="false">IF($A2327="","",SUMIF($A$2:$A$5001,$A2327,$H$2:$H$5001))</f>
        <v/>
      </c>
      <c r="J2327" s="47" t="n">
        <f aca="false">IF($A2327="",0,IF(COUNTIF($A$2:A2327,$A2327)=1,1,0))</f>
        <v>0</v>
      </c>
      <c r="K2327" s="47" t="n">
        <f aca="false">IF(J2327=1,N(I2327)+ROW()/10000000,0)</f>
        <v>0</v>
      </c>
      <c r="L2327" s="47" t="str">
        <f aca="false">IF(AND(J2327=1,N(I2327)&gt;0),SUMIF($K$2:$K$5001,"&gt;="&amp;K2327,$I$2:$I$5001)/MAX(1,SUM($H$2:$H$5001)),"")</f>
        <v/>
      </c>
      <c r="M2327" s="47" t="str">
        <f aca="false">IF($A2327="","",INDEX($L$2:$L$5001,MATCH($A2327,$A$2:$A$5001,0)))</f>
        <v/>
      </c>
      <c r="N2327" s="48" t="str">
        <f aca="false">IF($A2327="","",IF(N(M2327)=0,"–",IF(M2327&lt;=Start!$D$20,"A",IF(M2327&lt;=Start!$D$21,"B","C"))))</f>
        <v/>
      </c>
      <c r="O2327" s="48" t="str">
        <f aca="false">IF($A2327="","",IF(NOT(ISNUMBER(F2327)),"Wert fehlt; ",IF(F2327&lt;=0,"Wert ist 0; ",""))&amp;IF(NOT(ISNUMBER(E2327)),"Bestand fehlt; ",IF(E2327&lt;0,"Bestand negativ; ",IF(E2327=0,"Nullbestand; ","")))&amp;IF(D2327="","Warengruppe fehlt; ","")&amp;IF(B2327="","Bezeichnung fehlt; ","")&amp;IF(COUNTIFS($A$2:$A$5001,$A2327,$C$2:$C$5001,C2327)&gt;1,"Artikel doppelt im selben Lager; ",""))</f>
        <v/>
      </c>
      <c r="P2327" s="47" t="n">
        <f aca="false">IF(OR($A2327="",D2327=""),0,IF(COUNTIF($D$2:D2327,D2327)=1,SUMIF($D$2:$D$5001,D2327,$H$2:$H$5001)+ROW()/10000000,0))</f>
        <v>0</v>
      </c>
      <c r="Q2327" s="47" t="n">
        <f aca="false">IF(OR($A2327="",C2327=""),0,IF(COUNTIF($C$2:C2327,C2327)=1,SUMIF($C$2:$C$5001,C2327,$H$2:$H$5001)+ROW()/10000000,0))</f>
        <v>0</v>
      </c>
    </row>
    <row r="2328" customFormat="false" ht="15" hidden="false" customHeight="false" outlineLevel="0" collapsed="false">
      <c r="A2328" s="43"/>
      <c r="B2328" s="44"/>
      <c r="C2328" s="44"/>
      <c r="D2328" s="44"/>
      <c r="E2328" s="44"/>
      <c r="F2328" s="44"/>
      <c r="G2328" s="44"/>
      <c r="H2328" s="46" t="str">
        <f aca="false">IF($A2328="","",IF(OR(NOT(ISNUMBER(E2328)),NOT(ISNUMBER(F2328))),"",MAX(0,E2328)*F2328))</f>
        <v/>
      </c>
      <c r="I2328" s="46" t="str">
        <f aca="false">IF($A2328="","",SUMIF($A$2:$A$5001,$A2328,$H$2:$H$5001))</f>
        <v/>
      </c>
      <c r="J2328" s="47" t="n">
        <f aca="false">IF($A2328="",0,IF(COUNTIF($A$2:A2328,$A2328)=1,1,0))</f>
        <v>0</v>
      </c>
      <c r="K2328" s="47" t="n">
        <f aca="false">IF(J2328=1,N(I2328)+ROW()/10000000,0)</f>
        <v>0</v>
      </c>
      <c r="L2328" s="47" t="str">
        <f aca="false">IF(AND(J2328=1,N(I2328)&gt;0),SUMIF($K$2:$K$5001,"&gt;="&amp;K2328,$I$2:$I$5001)/MAX(1,SUM($H$2:$H$5001)),"")</f>
        <v/>
      </c>
      <c r="M2328" s="47" t="str">
        <f aca="false">IF($A2328="","",INDEX($L$2:$L$5001,MATCH($A2328,$A$2:$A$5001,0)))</f>
        <v/>
      </c>
      <c r="N2328" s="48" t="str">
        <f aca="false">IF($A2328="","",IF(N(M2328)=0,"–",IF(M2328&lt;=Start!$D$20,"A",IF(M2328&lt;=Start!$D$21,"B","C"))))</f>
        <v/>
      </c>
      <c r="O2328" s="48" t="str">
        <f aca="false">IF($A2328="","",IF(NOT(ISNUMBER(F2328)),"Wert fehlt; ",IF(F2328&lt;=0,"Wert ist 0; ",""))&amp;IF(NOT(ISNUMBER(E2328)),"Bestand fehlt; ",IF(E2328&lt;0,"Bestand negativ; ",IF(E2328=0,"Nullbestand; ","")))&amp;IF(D2328="","Warengruppe fehlt; ","")&amp;IF(B2328="","Bezeichnung fehlt; ","")&amp;IF(COUNTIFS($A$2:$A$5001,$A2328,$C$2:$C$5001,C2328)&gt;1,"Artikel doppelt im selben Lager; ",""))</f>
        <v/>
      </c>
      <c r="P2328" s="47" t="n">
        <f aca="false">IF(OR($A2328="",D2328=""),0,IF(COUNTIF($D$2:D2328,D2328)=1,SUMIF($D$2:$D$5001,D2328,$H$2:$H$5001)+ROW()/10000000,0))</f>
        <v>0</v>
      </c>
      <c r="Q2328" s="47" t="n">
        <f aca="false">IF(OR($A2328="",C2328=""),0,IF(COUNTIF($C$2:C2328,C2328)=1,SUMIF($C$2:$C$5001,C2328,$H$2:$H$5001)+ROW()/10000000,0))</f>
        <v>0</v>
      </c>
    </row>
    <row r="2329" customFormat="false" ht="15" hidden="false" customHeight="false" outlineLevel="0" collapsed="false">
      <c r="A2329" s="43"/>
      <c r="B2329" s="44"/>
      <c r="C2329" s="44"/>
      <c r="D2329" s="44"/>
      <c r="E2329" s="44"/>
      <c r="F2329" s="44"/>
      <c r="G2329" s="44"/>
      <c r="H2329" s="46" t="str">
        <f aca="false">IF($A2329="","",IF(OR(NOT(ISNUMBER(E2329)),NOT(ISNUMBER(F2329))),"",MAX(0,E2329)*F2329))</f>
        <v/>
      </c>
      <c r="I2329" s="46" t="str">
        <f aca="false">IF($A2329="","",SUMIF($A$2:$A$5001,$A2329,$H$2:$H$5001))</f>
        <v/>
      </c>
      <c r="J2329" s="47" t="n">
        <f aca="false">IF($A2329="",0,IF(COUNTIF($A$2:A2329,$A2329)=1,1,0))</f>
        <v>0</v>
      </c>
      <c r="K2329" s="47" t="n">
        <f aca="false">IF(J2329=1,N(I2329)+ROW()/10000000,0)</f>
        <v>0</v>
      </c>
      <c r="L2329" s="47" t="str">
        <f aca="false">IF(AND(J2329=1,N(I2329)&gt;0),SUMIF($K$2:$K$5001,"&gt;="&amp;K2329,$I$2:$I$5001)/MAX(1,SUM($H$2:$H$5001)),"")</f>
        <v/>
      </c>
      <c r="M2329" s="47" t="str">
        <f aca="false">IF($A2329="","",INDEX($L$2:$L$5001,MATCH($A2329,$A$2:$A$5001,0)))</f>
        <v/>
      </c>
      <c r="N2329" s="48" t="str">
        <f aca="false">IF($A2329="","",IF(N(M2329)=0,"–",IF(M2329&lt;=Start!$D$20,"A",IF(M2329&lt;=Start!$D$21,"B","C"))))</f>
        <v/>
      </c>
      <c r="O2329" s="48" t="str">
        <f aca="false">IF($A2329="","",IF(NOT(ISNUMBER(F2329)),"Wert fehlt; ",IF(F2329&lt;=0,"Wert ist 0; ",""))&amp;IF(NOT(ISNUMBER(E2329)),"Bestand fehlt; ",IF(E2329&lt;0,"Bestand negativ; ",IF(E2329=0,"Nullbestand; ","")))&amp;IF(D2329="","Warengruppe fehlt; ","")&amp;IF(B2329="","Bezeichnung fehlt; ","")&amp;IF(COUNTIFS($A$2:$A$5001,$A2329,$C$2:$C$5001,C2329)&gt;1,"Artikel doppelt im selben Lager; ",""))</f>
        <v/>
      </c>
      <c r="P2329" s="47" t="n">
        <f aca="false">IF(OR($A2329="",D2329=""),0,IF(COUNTIF($D$2:D2329,D2329)=1,SUMIF($D$2:$D$5001,D2329,$H$2:$H$5001)+ROW()/10000000,0))</f>
        <v>0</v>
      </c>
      <c r="Q2329" s="47" t="n">
        <f aca="false">IF(OR($A2329="",C2329=""),0,IF(COUNTIF($C$2:C2329,C2329)=1,SUMIF($C$2:$C$5001,C2329,$H$2:$H$5001)+ROW()/10000000,0))</f>
        <v>0</v>
      </c>
    </row>
    <row r="2330" customFormat="false" ht="15" hidden="false" customHeight="false" outlineLevel="0" collapsed="false">
      <c r="A2330" s="43"/>
      <c r="B2330" s="44"/>
      <c r="C2330" s="44"/>
      <c r="D2330" s="44"/>
      <c r="E2330" s="44"/>
      <c r="F2330" s="44"/>
      <c r="G2330" s="44"/>
      <c r="H2330" s="46" t="str">
        <f aca="false">IF($A2330="","",IF(OR(NOT(ISNUMBER(E2330)),NOT(ISNUMBER(F2330))),"",MAX(0,E2330)*F2330))</f>
        <v/>
      </c>
      <c r="I2330" s="46" t="str">
        <f aca="false">IF($A2330="","",SUMIF($A$2:$A$5001,$A2330,$H$2:$H$5001))</f>
        <v/>
      </c>
      <c r="J2330" s="47" t="n">
        <f aca="false">IF($A2330="",0,IF(COUNTIF($A$2:A2330,$A2330)=1,1,0))</f>
        <v>0</v>
      </c>
      <c r="K2330" s="47" t="n">
        <f aca="false">IF(J2330=1,N(I2330)+ROW()/10000000,0)</f>
        <v>0</v>
      </c>
      <c r="L2330" s="47" t="str">
        <f aca="false">IF(AND(J2330=1,N(I2330)&gt;0),SUMIF($K$2:$K$5001,"&gt;="&amp;K2330,$I$2:$I$5001)/MAX(1,SUM($H$2:$H$5001)),"")</f>
        <v/>
      </c>
      <c r="M2330" s="47" t="str">
        <f aca="false">IF($A2330="","",INDEX($L$2:$L$5001,MATCH($A2330,$A$2:$A$5001,0)))</f>
        <v/>
      </c>
      <c r="N2330" s="48" t="str">
        <f aca="false">IF($A2330="","",IF(N(M2330)=0,"–",IF(M2330&lt;=Start!$D$20,"A",IF(M2330&lt;=Start!$D$21,"B","C"))))</f>
        <v/>
      </c>
      <c r="O2330" s="48" t="str">
        <f aca="false">IF($A2330="","",IF(NOT(ISNUMBER(F2330)),"Wert fehlt; ",IF(F2330&lt;=0,"Wert ist 0; ",""))&amp;IF(NOT(ISNUMBER(E2330)),"Bestand fehlt; ",IF(E2330&lt;0,"Bestand negativ; ",IF(E2330=0,"Nullbestand; ","")))&amp;IF(D2330="","Warengruppe fehlt; ","")&amp;IF(B2330="","Bezeichnung fehlt; ","")&amp;IF(COUNTIFS($A$2:$A$5001,$A2330,$C$2:$C$5001,C2330)&gt;1,"Artikel doppelt im selben Lager; ",""))</f>
        <v/>
      </c>
      <c r="P2330" s="47" t="n">
        <f aca="false">IF(OR($A2330="",D2330=""),0,IF(COUNTIF($D$2:D2330,D2330)=1,SUMIF($D$2:$D$5001,D2330,$H$2:$H$5001)+ROW()/10000000,0))</f>
        <v>0</v>
      </c>
      <c r="Q2330" s="47" t="n">
        <f aca="false">IF(OR($A2330="",C2330=""),0,IF(COUNTIF($C$2:C2330,C2330)=1,SUMIF($C$2:$C$5001,C2330,$H$2:$H$5001)+ROW()/10000000,0))</f>
        <v>0</v>
      </c>
    </row>
    <row r="2331" customFormat="false" ht="15" hidden="false" customHeight="false" outlineLevel="0" collapsed="false">
      <c r="A2331" s="43"/>
      <c r="B2331" s="44"/>
      <c r="C2331" s="44"/>
      <c r="D2331" s="44"/>
      <c r="E2331" s="44"/>
      <c r="F2331" s="44"/>
      <c r="G2331" s="44"/>
      <c r="H2331" s="46" t="str">
        <f aca="false">IF($A2331="","",IF(OR(NOT(ISNUMBER(E2331)),NOT(ISNUMBER(F2331))),"",MAX(0,E2331)*F2331))</f>
        <v/>
      </c>
      <c r="I2331" s="46" t="str">
        <f aca="false">IF($A2331="","",SUMIF($A$2:$A$5001,$A2331,$H$2:$H$5001))</f>
        <v/>
      </c>
      <c r="J2331" s="47" t="n">
        <f aca="false">IF($A2331="",0,IF(COUNTIF($A$2:A2331,$A2331)=1,1,0))</f>
        <v>0</v>
      </c>
      <c r="K2331" s="47" t="n">
        <f aca="false">IF(J2331=1,N(I2331)+ROW()/10000000,0)</f>
        <v>0</v>
      </c>
      <c r="L2331" s="47" t="str">
        <f aca="false">IF(AND(J2331=1,N(I2331)&gt;0),SUMIF($K$2:$K$5001,"&gt;="&amp;K2331,$I$2:$I$5001)/MAX(1,SUM($H$2:$H$5001)),"")</f>
        <v/>
      </c>
      <c r="M2331" s="47" t="str">
        <f aca="false">IF($A2331="","",INDEX($L$2:$L$5001,MATCH($A2331,$A$2:$A$5001,0)))</f>
        <v/>
      </c>
      <c r="N2331" s="48" t="str">
        <f aca="false">IF($A2331="","",IF(N(M2331)=0,"–",IF(M2331&lt;=Start!$D$20,"A",IF(M2331&lt;=Start!$D$21,"B","C"))))</f>
        <v/>
      </c>
      <c r="O2331" s="48" t="str">
        <f aca="false">IF($A2331="","",IF(NOT(ISNUMBER(F2331)),"Wert fehlt; ",IF(F2331&lt;=0,"Wert ist 0; ",""))&amp;IF(NOT(ISNUMBER(E2331)),"Bestand fehlt; ",IF(E2331&lt;0,"Bestand negativ; ",IF(E2331=0,"Nullbestand; ","")))&amp;IF(D2331="","Warengruppe fehlt; ","")&amp;IF(B2331="","Bezeichnung fehlt; ","")&amp;IF(COUNTIFS($A$2:$A$5001,$A2331,$C$2:$C$5001,C2331)&gt;1,"Artikel doppelt im selben Lager; ",""))</f>
        <v/>
      </c>
      <c r="P2331" s="47" t="n">
        <f aca="false">IF(OR($A2331="",D2331=""),0,IF(COUNTIF($D$2:D2331,D2331)=1,SUMIF($D$2:$D$5001,D2331,$H$2:$H$5001)+ROW()/10000000,0))</f>
        <v>0</v>
      </c>
      <c r="Q2331" s="47" t="n">
        <f aca="false">IF(OR($A2331="",C2331=""),0,IF(COUNTIF($C$2:C2331,C2331)=1,SUMIF($C$2:$C$5001,C2331,$H$2:$H$5001)+ROW()/10000000,0))</f>
        <v>0</v>
      </c>
    </row>
    <row r="2332" customFormat="false" ht="15" hidden="false" customHeight="false" outlineLevel="0" collapsed="false">
      <c r="A2332" s="43"/>
      <c r="B2332" s="44"/>
      <c r="C2332" s="44"/>
      <c r="D2332" s="44"/>
      <c r="E2332" s="44"/>
      <c r="F2332" s="44"/>
      <c r="G2332" s="44"/>
      <c r="H2332" s="46" t="str">
        <f aca="false">IF($A2332="","",IF(OR(NOT(ISNUMBER(E2332)),NOT(ISNUMBER(F2332))),"",MAX(0,E2332)*F2332))</f>
        <v/>
      </c>
      <c r="I2332" s="46" t="str">
        <f aca="false">IF($A2332="","",SUMIF($A$2:$A$5001,$A2332,$H$2:$H$5001))</f>
        <v/>
      </c>
      <c r="J2332" s="47" t="n">
        <f aca="false">IF($A2332="",0,IF(COUNTIF($A$2:A2332,$A2332)=1,1,0))</f>
        <v>0</v>
      </c>
      <c r="K2332" s="47" t="n">
        <f aca="false">IF(J2332=1,N(I2332)+ROW()/10000000,0)</f>
        <v>0</v>
      </c>
      <c r="L2332" s="47" t="str">
        <f aca="false">IF(AND(J2332=1,N(I2332)&gt;0),SUMIF($K$2:$K$5001,"&gt;="&amp;K2332,$I$2:$I$5001)/MAX(1,SUM($H$2:$H$5001)),"")</f>
        <v/>
      </c>
      <c r="M2332" s="47" t="str">
        <f aca="false">IF($A2332="","",INDEX($L$2:$L$5001,MATCH($A2332,$A$2:$A$5001,0)))</f>
        <v/>
      </c>
      <c r="N2332" s="48" t="str">
        <f aca="false">IF($A2332="","",IF(N(M2332)=0,"–",IF(M2332&lt;=Start!$D$20,"A",IF(M2332&lt;=Start!$D$21,"B","C"))))</f>
        <v/>
      </c>
      <c r="O2332" s="48" t="str">
        <f aca="false">IF($A2332="","",IF(NOT(ISNUMBER(F2332)),"Wert fehlt; ",IF(F2332&lt;=0,"Wert ist 0; ",""))&amp;IF(NOT(ISNUMBER(E2332)),"Bestand fehlt; ",IF(E2332&lt;0,"Bestand negativ; ",IF(E2332=0,"Nullbestand; ","")))&amp;IF(D2332="","Warengruppe fehlt; ","")&amp;IF(B2332="","Bezeichnung fehlt; ","")&amp;IF(COUNTIFS($A$2:$A$5001,$A2332,$C$2:$C$5001,C2332)&gt;1,"Artikel doppelt im selben Lager; ",""))</f>
        <v/>
      </c>
      <c r="P2332" s="47" t="n">
        <f aca="false">IF(OR($A2332="",D2332=""),0,IF(COUNTIF($D$2:D2332,D2332)=1,SUMIF($D$2:$D$5001,D2332,$H$2:$H$5001)+ROW()/10000000,0))</f>
        <v>0</v>
      </c>
      <c r="Q2332" s="47" t="n">
        <f aca="false">IF(OR($A2332="",C2332=""),0,IF(COUNTIF($C$2:C2332,C2332)=1,SUMIF($C$2:$C$5001,C2332,$H$2:$H$5001)+ROW()/10000000,0))</f>
        <v>0</v>
      </c>
    </row>
    <row r="2333" customFormat="false" ht="15" hidden="false" customHeight="false" outlineLevel="0" collapsed="false">
      <c r="A2333" s="43"/>
      <c r="B2333" s="44"/>
      <c r="C2333" s="44"/>
      <c r="D2333" s="44"/>
      <c r="E2333" s="44"/>
      <c r="F2333" s="44"/>
      <c r="G2333" s="44"/>
      <c r="H2333" s="46" t="str">
        <f aca="false">IF($A2333="","",IF(OR(NOT(ISNUMBER(E2333)),NOT(ISNUMBER(F2333))),"",MAX(0,E2333)*F2333))</f>
        <v/>
      </c>
      <c r="I2333" s="46" t="str">
        <f aca="false">IF($A2333="","",SUMIF($A$2:$A$5001,$A2333,$H$2:$H$5001))</f>
        <v/>
      </c>
      <c r="J2333" s="47" t="n">
        <f aca="false">IF($A2333="",0,IF(COUNTIF($A$2:A2333,$A2333)=1,1,0))</f>
        <v>0</v>
      </c>
      <c r="K2333" s="47" t="n">
        <f aca="false">IF(J2333=1,N(I2333)+ROW()/10000000,0)</f>
        <v>0</v>
      </c>
      <c r="L2333" s="47" t="str">
        <f aca="false">IF(AND(J2333=1,N(I2333)&gt;0),SUMIF($K$2:$K$5001,"&gt;="&amp;K2333,$I$2:$I$5001)/MAX(1,SUM($H$2:$H$5001)),"")</f>
        <v/>
      </c>
      <c r="M2333" s="47" t="str">
        <f aca="false">IF($A2333="","",INDEX($L$2:$L$5001,MATCH($A2333,$A$2:$A$5001,0)))</f>
        <v/>
      </c>
      <c r="N2333" s="48" t="str">
        <f aca="false">IF($A2333="","",IF(N(M2333)=0,"–",IF(M2333&lt;=Start!$D$20,"A",IF(M2333&lt;=Start!$D$21,"B","C"))))</f>
        <v/>
      </c>
      <c r="O2333" s="48" t="str">
        <f aca="false">IF($A2333="","",IF(NOT(ISNUMBER(F2333)),"Wert fehlt; ",IF(F2333&lt;=0,"Wert ist 0; ",""))&amp;IF(NOT(ISNUMBER(E2333)),"Bestand fehlt; ",IF(E2333&lt;0,"Bestand negativ; ",IF(E2333=0,"Nullbestand; ","")))&amp;IF(D2333="","Warengruppe fehlt; ","")&amp;IF(B2333="","Bezeichnung fehlt; ","")&amp;IF(COUNTIFS($A$2:$A$5001,$A2333,$C$2:$C$5001,C2333)&gt;1,"Artikel doppelt im selben Lager; ",""))</f>
        <v/>
      </c>
      <c r="P2333" s="47" t="n">
        <f aca="false">IF(OR($A2333="",D2333=""),0,IF(COUNTIF($D$2:D2333,D2333)=1,SUMIF($D$2:$D$5001,D2333,$H$2:$H$5001)+ROW()/10000000,0))</f>
        <v>0</v>
      </c>
      <c r="Q2333" s="47" t="n">
        <f aca="false">IF(OR($A2333="",C2333=""),0,IF(COUNTIF($C$2:C2333,C2333)=1,SUMIF($C$2:$C$5001,C2333,$H$2:$H$5001)+ROW()/10000000,0))</f>
        <v>0</v>
      </c>
    </row>
    <row r="2334" customFormat="false" ht="15" hidden="false" customHeight="false" outlineLevel="0" collapsed="false">
      <c r="A2334" s="43"/>
      <c r="B2334" s="44"/>
      <c r="C2334" s="44"/>
      <c r="D2334" s="44"/>
      <c r="E2334" s="44"/>
      <c r="F2334" s="44"/>
      <c r="G2334" s="44"/>
      <c r="H2334" s="46" t="str">
        <f aca="false">IF($A2334="","",IF(OR(NOT(ISNUMBER(E2334)),NOT(ISNUMBER(F2334))),"",MAX(0,E2334)*F2334))</f>
        <v/>
      </c>
      <c r="I2334" s="46" t="str">
        <f aca="false">IF($A2334="","",SUMIF($A$2:$A$5001,$A2334,$H$2:$H$5001))</f>
        <v/>
      </c>
      <c r="J2334" s="47" t="n">
        <f aca="false">IF($A2334="",0,IF(COUNTIF($A$2:A2334,$A2334)=1,1,0))</f>
        <v>0</v>
      </c>
      <c r="K2334" s="47" t="n">
        <f aca="false">IF(J2334=1,N(I2334)+ROW()/10000000,0)</f>
        <v>0</v>
      </c>
      <c r="L2334" s="47" t="str">
        <f aca="false">IF(AND(J2334=1,N(I2334)&gt;0),SUMIF($K$2:$K$5001,"&gt;="&amp;K2334,$I$2:$I$5001)/MAX(1,SUM($H$2:$H$5001)),"")</f>
        <v/>
      </c>
      <c r="M2334" s="47" t="str">
        <f aca="false">IF($A2334="","",INDEX($L$2:$L$5001,MATCH($A2334,$A$2:$A$5001,0)))</f>
        <v/>
      </c>
      <c r="N2334" s="48" t="str">
        <f aca="false">IF($A2334="","",IF(N(M2334)=0,"–",IF(M2334&lt;=Start!$D$20,"A",IF(M2334&lt;=Start!$D$21,"B","C"))))</f>
        <v/>
      </c>
      <c r="O2334" s="48" t="str">
        <f aca="false">IF($A2334="","",IF(NOT(ISNUMBER(F2334)),"Wert fehlt; ",IF(F2334&lt;=0,"Wert ist 0; ",""))&amp;IF(NOT(ISNUMBER(E2334)),"Bestand fehlt; ",IF(E2334&lt;0,"Bestand negativ; ",IF(E2334=0,"Nullbestand; ","")))&amp;IF(D2334="","Warengruppe fehlt; ","")&amp;IF(B2334="","Bezeichnung fehlt; ","")&amp;IF(COUNTIFS($A$2:$A$5001,$A2334,$C$2:$C$5001,C2334)&gt;1,"Artikel doppelt im selben Lager; ",""))</f>
        <v/>
      </c>
      <c r="P2334" s="47" t="n">
        <f aca="false">IF(OR($A2334="",D2334=""),0,IF(COUNTIF($D$2:D2334,D2334)=1,SUMIF($D$2:$D$5001,D2334,$H$2:$H$5001)+ROW()/10000000,0))</f>
        <v>0</v>
      </c>
      <c r="Q2334" s="47" t="n">
        <f aca="false">IF(OR($A2334="",C2334=""),0,IF(COUNTIF($C$2:C2334,C2334)=1,SUMIF($C$2:$C$5001,C2334,$H$2:$H$5001)+ROW()/10000000,0))</f>
        <v>0</v>
      </c>
    </row>
    <row r="2335" customFormat="false" ht="15" hidden="false" customHeight="false" outlineLevel="0" collapsed="false">
      <c r="A2335" s="43"/>
      <c r="B2335" s="44"/>
      <c r="C2335" s="44"/>
      <c r="D2335" s="44"/>
      <c r="E2335" s="44"/>
      <c r="F2335" s="44"/>
      <c r="G2335" s="44"/>
      <c r="H2335" s="46" t="str">
        <f aca="false">IF($A2335="","",IF(OR(NOT(ISNUMBER(E2335)),NOT(ISNUMBER(F2335))),"",MAX(0,E2335)*F2335))</f>
        <v/>
      </c>
      <c r="I2335" s="46" t="str">
        <f aca="false">IF($A2335="","",SUMIF($A$2:$A$5001,$A2335,$H$2:$H$5001))</f>
        <v/>
      </c>
      <c r="J2335" s="47" t="n">
        <f aca="false">IF($A2335="",0,IF(COUNTIF($A$2:A2335,$A2335)=1,1,0))</f>
        <v>0</v>
      </c>
      <c r="K2335" s="47" t="n">
        <f aca="false">IF(J2335=1,N(I2335)+ROW()/10000000,0)</f>
        <v>0</v>
      </c>
      <c r="L2335" s="47" t="str">
        <f aca="false">IF(AND(J2335=1,N(I2335)&gt;0),SUMIF($K$2:$K$5001,"&gt;="&amp;K2335,$I$2:$I$5001)/MAX(1,SUM($H$2:$H$5001)),"")</f>
        <v/>
      </c>
      <c r="M2335" s="47" t="str">
        <f aca="false">IF($A2335="","",INDEX($L$2:$L$5001,MATCH($A2335,$A$2:$A$5001,0)))</f>
        <v/>
      </c>
      <c r="N2335" s="48" t="str">
        <f aca="false">IF($A2335="","",IF(N(M2335)=0,"–",IF(M2335&lt;=Start!$D$20,"A",IF(M2335&lt;=Start!$D$21,"B","C"))))</f>
        <v/>
      </c>
      <c r="O2335" s="48" t="str">
        <f aca="false">IF($A2335="","",IF(NOT(ISNUMBER(F2335)),"Wert fehlt; ",IF(F2335&lt;=0,"Wert ist 0; ",""))&amp;IF(NOT(ISNUMBER(E2335)),"Bestand fehlt; ",IF(E2335&lt;0,"Bestand negativ; ",IF(E2335=0,"Nullbestand; ","")))&amp;IF(D2335="","Warengruppe fehlt; ","")&amp;IF(B2335="","Bezeichnung fehlt; ","")&amp;IF(COUNTIFS($A$2:$A$5001,$A2335,$C$2:$C$5001,C2335)&gt;1,"Artikel doppelt im selben Lager; ",""))</f>
        <v/>
      </c>
      <c r="P2335" s="47" t="n">
        <f aca="false">IF(OR($A2335="",D2335=""),0,IF(COUNTIF($D$2:D2335,D2335)=1,SUMIF($D$2:$D$5001,D2335,$H$2:$H$5001)+ROW()/10000000,0))</f>
        <v>0</v>
      </c>
      <c r="Q2335" s="47" t="n">
        <f aca="false">IF(OR($A2335="",C2335=""),0,IF(COUNTIF($C$2:C2335,C2335)=1,SUMIF($C$2:$C$5001,C2335,$H$2:$H$5001)+ROW()/10000000,0))</f>
        <v>0</v>
      </c>
    </row>
    <row r="2336" customFormat="false" ht="15" hidden="false" customHeight="false" outlineLevel="0" collapsed="false">
      <c r="A2336" s="43"/>
      <c r="B2336" s="44"/>
      <c r="C2336" s="44"/>
      <c r="D2336" s="44"/>
      <c r="E2336" s="44"/>
      <c r="F2336" s="44"/>
      <c r="G2336" s="44"/>
      <c r="H2336" s="46" t="str">
        <f aca="false">IF($A2336="","",IF(OR(NOT(ISNUMBER(E2336)),NOT(ISNUMBER(F2336))),"",MAX(0,E2336)*F2336))</f>
        <v/>
      </c>
      <c r="I2336" s="46" t="str">
        <f aca="false">IF($A2336="","",SUMIF($A$2:$A$5001,$A2336,$H$2:$H$5001))</f>
        <v/>
      </c>
      <c r="J2336" s="47" t="n">
        <f aca="false">IF($A2336="",0,IF(COUNTIF($A$2:A2336,$A2336)=1,1,0))</f>
        <v>0</v>
      </c>
      <c r="K2336" s="47" t="n">
        <f aca="false">IF(J2336=1,N(I2336)+ROW()/10000000,0)</f>
        <v>0</v>
      </c>
      <c r="L2336" s="47" t="str">
        <f aca="false">IF(AND(J2336=1,N(I2336)&gt;0),SUMIF($K$2:$K$5001,"&gt;="&amp;K2336,$I$2:$I$5001)/MAX(1,SUM($H$2:$H$5001)),"")</f>
        <v/>
      </c>
      <c r="M2336" s="47" t="str">
        <f aca="false">IF($A2336="","",INDEX($L$2:$L$5001,MATCH($A2336,$A$2:$A$5001,0)))</f>
        <v/>
      </c>
      <c r="N2336" s="48" t="str">
        <f aca="false">IF($A2336="","",IF(N(M2336)=0,"–",IF(M2336&lt;=Start!$D$20,"A",IF(M2336&lt;=Start!$D$21,"B","C"))))</f>
        <v/>
      </c>
      <c r="O2336" s="48" t="str">
        <f aca="false">IF($A2336="","",IF(NOT(ISNUMBER(F2336)),"Wert fehlt; ",IF(F2336&lt;=0,"Wert ist 0; ",""))&amp;IF(NOT(ISNUMBER(E2336)),"Bestand fehlt; ",IF(E2336&lt;0,"Bestand negativ; ",IF(E2336=0,"Nullbestand; ","")))&amp;IF(D2336="","Warengruppe fehlt; ","")&amp;IF(B2336="","Bezeichnung fehlt; ","")&amp;IF(COUNTIFS($A$2:$A$5001,$A2336,$C$2:$C$5001,C2336)&gt;1,"Artikel doppelt im selben Lager; ",""))</f>
        <v/>
      </c>
      <c r="P2336" s="47" t="n">
        <f aca="false">IF(OR($A2336="",D2336=""),0,IF(COUNTIF($D$2:D2336,D2336)=1,SUMIF($D$2:$D$5001,D2336,$H$2:$H$5001)+ROW()/10000000,0))</f>
        <v>0</v>
      </c>
      <c r="Q2336" s="47" t="n">
        <f aca="false">IF(OR($A2336="",C2336=""),0,IF(COUNTIF($C$2:C2336,C2336)=1,SUMIF($C$2:$C$5001,C2336,$H$2:$H$5001)+ROW()/10000000,0))</f>
        <v>0</v>
      </c>
    </row>
    <row r="2337" customFormat="false" ht="15" hidden="false" customHeight="false" outlineLevel="0" collapsed="false">
      <c r="A2337" s="43"/>
      <c r="B2337" s="44"/>
      <c r="C2337" s="44"/>
      <c r="D2337" s="44"/>
      <c r="E2337" s="44"/>
      <c r="F2337" s="44"/>
      <c r="G2337" s="44"/>
      <c r="H2337" s="46" t="str">
        <f aca="false">IF($A2337="","",IF(OR(NOT(ISNUMBER(E2337)),NOT(ISNUMBER(F2337))),"",MAX(0,E2337)*F2337))</f>
        <v/>
      </c>
      <c r="I2337" s="46" t="str">
        <f aca="false">IF($A2337="","",SUMIF($A$2:$A$5001,$A2337,$H$2:$H$5001))</f>
        <v/>
      </c>
      <c r="J2337" s="47" t="n">
        <f aca="false">IF($A2337="",0,IF(COUNTIF($A$2:A2337,$A2337)=1,1,0))</f>
        <v>0</v>
      </c>
      <c r="K2337" s="47" t="n">
        <f aca="false">IF(J2337=1,N(I2337)+ROW()/10000000,0)</f>
        <v>0</v>
      </c>
      <c r="L2337" s="47" t="str">
        <f aca="false">IF(AND(J2337=1,N(I2337)&gt;0),SUMIF($K$2:$K$5001,"&gt;="&amp;K2337,$I$2:$I$5001)/MAX(1,SUM($H$2:$H$5001)),"")</f>
        <v/>
      </c>
      <c r="M2337" s="47" t="str">
        <f aca="false">IF($A2337="","",INDEX($L$2:$L$5001,MATCH($A2337,$A$2:$A$5001,0)))</f>
        <v/>
      </c>
      <c r="N2337" s="48" t="str">
        <f aca="false">IF($A2337="","",IF(N(M2337)=0,"–",IF(M2337&lt;=Start!$D$20,"A",IF(M2337&lt;=Start!$D$21,"B","C"))))</f>
        <v/>
      </c>
      <c r="O2337" s="48" t="str">
        <f aca="false">IF($A2337="","",IF(NOT(ISNUMBER(F2337)),"Wert fehlt; ",IF(F2337&lt;=0,"Wert ist 0; ",""))&amp;IF(NOT(ISNUMBER(E2337)),"Bestand fehlt; ",IF(E2337&lt;0,"Bestand negativ; ",IF(E2337=0,"Nullbestand; ","")))&amp;IF(D2337="","Warengruppe fehlt; ","")&amp;IF(B2337="","Bezeichnung fehlt; ","")&amp;IF(COUNTIFS($A$2:$A$5001,$A2337,$C$2:$C$5001,C2337)&gt;1,"Artikel doppelt im selben Lager; ",""))</f>
        <v/>
      </c>
      <c r="P2337" s="47" t="n">
        <f aca="false">IF(OR($A2337="",D2337=""),0,IF(COUNTIF($D$2:D2337,D2337)=1,SUMIF($D$2:$D$5001,D2337,$H$2:$H$5001)+ROW()/10000000,0))</f>
        <v>0</v>
      </c>
      <c r="Q2337" s="47" t="n">
        <f aca="false">IF(OR($A2337="",C2337=""),0,IF(COUNTIF($C$2:C2337,C2337)=1,SUMIF($C$2:$C$5001,C2337,$H$2:$H$5001)+ROW()/10000000,0))</f>
        <v>0</v>
      </c>
    </row>
    <row r="2338" customFormat="false" ht="15" hidden="false" customHeight="false" outlineLevel="0" collapsed="false">
      <c r="A2338" s="43"/>
      <c r="B2338" s="44"/>
      <c r="C2338" s="44"/>
      <c r="D2338" s="44"/>
      <c r="E2338" s="44"/>
      <c r="F2338" s="44"/>
      <c r="G2338" s="44"/>
      <c r="H2338" s="46" t="str">
        <f aca="false">IF($A2338="","",IF(OR(NOT(ISNUMBER(E2338)),NOT(ISNUMBER(F2338))),"",MAX(0,E2338)*F2338))</f>
        <v/>
      </c>
      <c r="I2338" s="46" t="str">
        <f aca="false">IF($A2338="","",SUMIF($A$2:$A$5001,$A2338,$H$2:$H$5001))</f>
        <v/>
      </c>
      <c r="J2338" s="47" t="n">
        <f aca="false">IF($A2338="",0,IF(COUNTIF($A$2:A2338,$A2338)=1,1,0))</f>
        <v>0</v>
      </c>
      <c r="K2338" s="47" t="n">
        <f aca="false">IF(J2338=1,N(I2338)+ROW()/10000000,0)</f>
        <v>0</v>
      </c>
      <c r="L2338" s="47" t="str">
        <f aca="false">IF(AND(J2338=1,N(I2338)&gt;0),SUMIF($K$2:$K$5001,"&gt;="&amp;K2338,$I$2:$I$5001)/MAX(1,SUM($H$2:$H$5001)),"")</f>
        <v/>
      </c>
      <c r="M2338" s="47" t="str">
        <f aca="false">IF($A2338="","",INDEX($L$2:$L$5001,MATCH($A2338,$A$2:$A$5001,0)))</f>
        <v/>
      </c>
      <c r="N2338" s="48" t="str">
        <f aca="false">IF($A2338="","",IF(N(M2338)=0,"–",IF(M2338&lt;=Start!$D$20,"A",IF(M2338&lt;=Start!$D$21,"B","C"))))</f>
        <v/>
      </c>
      <c r="O2338" s="48" t="str">
        <f aca="false">IF($A2338="","",IF(NOT(ISNUMBER(F2338)),"Wert fehlt; ",IF(F2338&lt;=0,"Wert ist 0; ",""))&amp;IF(NOT(ISNUMBER(E2338)),"Bestand fehlt; ",IF(E2338&lt;0,"Bestand negativ; ",IF(E2338=0,"Nullbestand; ","")))&amp;IF(D2338="","Warengruppe fehlt; ","")&amp;IF(B2338="","Bezeichnung fehlt; ","")&amp;IF(COUNTIFS($A$2:$A$5001,$A2338,$C$2:$C$5001,C2338)&gt;1,"Artikel doppelt im selben Lager; ",""))</f>
        <v/>
      </c>
      <c r="P2338" s="47" t="n">
        <f aca="false">IF(OR($A2338="",D2338=""),0,IF(COUNTIF($D$2:D2338,D2338)=1,SUMIF($D$2:$D$5001,D2338,$H$2:$H$5001)+ROW()/10000000,0))</f>
        <v>0</v>
      </c>
      <c r="Q2338" s="47" t="n">
        <f aca="false">IF(OR($A2338="",C2338=""),0,IF(COUNTIF($C$2:C2338,C2338)=1,SUMIF($C$2:$C$5001,C2338,$H$2:$H$5001)+ROW()/10000000,0))</f>
        <v>0</v>
      </c>
    </row>
    <row r="2339" customFormat="false" ht="15" hidden="false" customHeight="false" outlineLevel="0" collapsed="false">
      <c r="A2339" s="43"/>
      <c r="B2339" s="44"/>
      <c r="C2339" s="44"/>
      <c r="D2339" s="44"/>
      <c r="E2339" s="44"/>
      <c r="F2339" s="44"/>
      <c r="G2339" s="44"/>
      <c r="H2339" s="46" t="str">
        <f aca="false">IF($A2339="","",IF(OR(NOT(ISNUMBER(E2339)),NOT(ISNUMBER(F2339))),"",MAX(0,E2339)*F2339))</f>
        <v/>
      </c>
      <c r="I2339" s="46" t="str">
        <f aca="false">IF($A2339="","",SUMIF($A$2:$A$5001,$A2339,$H$2:$H$5001))</f>
        <v/>
      </c>
      <c r="J2339" s="47" t="n">
        <f aca="false">IF($A2339="",0,IF(COUNTIF($A$2:A2339,$A2339)=1,1,0))</f>
        <v>0</v>
      </c>
      <c r="K2339" s="47" t="n">
        <f aca="false">IF(J2339=1,N(I2339)+ROW()/10000000,0)</f>
        <v>0</v>
      </c>
      <c r="L2339" s="47" t="str">
        <f aca="false">IF(AND(J2339=1,N(I2339)&gt;0),SUMIF($K$2:$K$5001,"&gt;="&amp;K2339,$I$2:$I$5001)/MAX(1,SUM($H$2:$H$5001)),"")</f>
        <v/>
      </c>
      <c r="M2339" s="47" t="str">
        <f aca="false">IF($A2339="","",INDEX($L$2:$L$5001,MATCH($A2339,$A$2:$A$5001,0)))</f>
        <v/>
      </c>
      <c r="N2339" s="48" t="str">
        <f aca="false">IF($A2339="","",IF(N(M2339)=0,"–",IF(M2339&lt;=Start!$D$20,"A",IF(M2339&lt;=Start!$D$21,"B","C"))))</f>
        <v/>
      </c>
      <c r="O2339" s="48" t="str">
        <f aca="false">IF($A2339="","",IF(NOT(ISNUMBER(F2339)),"Wert fehlt; ",IF(F2339&lt;=0,"Wert ist 0; ",""))&amp;IF(NOT(ISNUMBER(E2339)),"Bestand fehlt; ",IF(E2339&lt;0,"Bestand negativ; ",IF(E2339=0,"Nullbestand; ","")))&amp;IF(D2339="","Warengruppe fehlt; ","")&amp;IF(B2339="","Bezeichnung fehlt; ","")&amp;IF(COUNTIFS($A$2:$A$5001,$A2339,$C$2:$C$5001,C2339)&gt;1,"Artikel doppelt im selben Lager; ",""))</f>
        <v/>
      </c>
      <c r="P2339" s="47" t="n">
        <f aca="false">IF(OR($A2339="",D2339=""),0,IF(COUNTIF($D$2:D2339,D2339)=1,SUMIF($D$2:$D$5001,D2339,$H$2:$H$5001)+ROW()/10000000,0))</f>
        <v>0</v>
      </c>
      <c r="Q2339" s="47" t="n">
        <f aca="false">IF(OR($A2339="",C2339=""),0,IF(COUNTIF($C$2:C2339,C2339)=1,SUMIF($C$2:$C$5001,C2339,$H$2:$H$5001)+ROW()/10000000,0))</f>
        <v>0</v>
      </c>
    </row>
    <row r="2340" customFormat="false" ht="15" hidden="false" customHeight="false" outlineLevel="0" collapsed="false">
      <c r="A2340" s="43"/>
      <c r="B2340" s="44"/>
      <c r="C2340" s="44"/>
      <c r="D2340" s="44"/>
      <c r="E2340" s="44"/>
      <c r="F2340" s="44"/>
      <c r="G2340" s="44"/>
      <c r="H2340" s="46" t="str">
        <f aca="false">IF($A2340="","",IF(OR(NOT(ISNUMBER(E2340)),NOT(ISNUMBER(F2340))),"",MAX(0,E2340)*F2340))</f>
        <v/>
      </c>
      <c r="I2340" s="46" t="str">
        <f aca="false">IF($A2340="","",SUMIF($A$2:$A$5001,$A2340,$H$2:$H$5001))</f>
        <v/>
      </c>
      <c r="J2340" s="47" t="n">
        <f aca="false">IF($A2340="",0,IF(COUNTIF($A$2:A2340,$A2340)=1,1,0))</f>
        <v>0</v>
      </c>
      <c r="K2340" s="47" t="n">
        <f aca="false">IF(J2340=1,N(I2340)+ROW()/10000000,0)</f>
        <v>0</v>
      </c>
      <c r="L2340" s="47" t="str">
        <f aca="false">IF(AND(J2340=1,N(I2340)&gt;0),SUMIF($K$2:$K$5001,"&gt;="&amp;K2340,$I$2:$I$5001)/MAX(1,SUM($H$2:$H$5001)),"")</f>
        <v/>
      </c>
      <c r="M2340" s="47" t="str">
        <f aca="false">IF($A2340="","",INDEX($L$2:$L$5001,MATCH($A2340,$A$2:$A$5001,0)))</f>
        <v/>
      </c>
      <c r="N2340" s="48" t="str">
        <f aca="false">IF($A2340="","",IF(N(M2340)=0,"–",IF(M2340&lt;=Start!$D$20,"A",IF(M2340&lt;=Start!$D$21,"B","C"))))</f>
        <v/>
      </c>
      <c r="O2340" s="48" t="str">
        <f aca="false">IF($A2340="","",IF(NOT(ISNUMBER(F2340)),"Wert fehlt; ",IF(F2340&lt;=0,"Wert ist 0; ",""))&amp;IF(NOT(ISNUMBER(E2340)),"Bestand fehlt; ",IF(E2340&lt;0,"Bestand negativ; ",IF(E2340=0,"Nullbestand; ","")))&amp;IF(D2340="","Warengruppe fehlt; ","")&amp;IF(B2340="","Bezeichnung fehlt; ","")&amp;IF(COUNTIFS($A$2:$A$5001,$A2340,$C$2:$C$5001,C2340)&gt;1,"Artikel doppelt im selben Lager; ",""))</f>
        <v/>
      </c>
      <c r="P2340" s="47" t="n">
        <f aca="false">IF(OR($A2340="",D2340=""),0,IF(COUNTIF($D$2:D2340,D2340)=1,SUMIF($D$2:$D$5001,D2340,$H$2:$H$5001)+ROW()/10000000,0))</f>
        <v>0</v>
      </c>
      <c r="Q2340" s="47" t="n">
        <f aca="false">IF(OR($A2340="",C2340=""),0,IF(COUNTIF($C$2:C2340,C2340)=1,SUMIF($C$2:$C$5001,C2340,$H$2:$H$5001)+ROW()/10000000,0))</f>
        <v>0</v>
      </c>
    </row>
    <row r="2341" customFormat="false" ht="15" hidden="false" customHeight="false" outlineLevel="0" collapsed="false">
      <c r="A2341" s="43"/>
      <c r="B2341" s="44"/>
      <c r="C2341" s="44"/>
      <c r="D2341" s="44"/>
      <c r="E2341" s="44"/>
      <c r="F2341" s="44"/>
      <c r="G2341" s="44"/>
      <c r="H2341" s="46" t="str">
        <f aca="false">IF($A2341="","",IF(OR(NOT(ISNUMBER(E2341)),NOT(ISNUMBER(F2341))),"",MAX(0,E2341)*F2341))</f>
        <v/>
      </c>
      <c r="I2341" s="46" t="str">
        <f aca="false">IF($A2341="","",SUMIF($A$2:$A$5001,$A2341,$H$2:$H$5001))</f>
        <v/>
      </c>
      <c r="J2341" s="47" t="n">
        <f aca="false">IF($A2341="",0,IF(COUNTIF($A$2:A2341,$A2341)=1,1,0))</f>
        <v>0</v>
      </c>
      <c r="K2341" s="47" t="n">
        <f aca="false">IF(J2341=1,N(I2341)+ROW()/10000000,0)</f>
        <v>0</v>
      </c>
      <c r="L2341" s="47" t="str">
        <f aca="false">IF(AND(J2341=1,N(I2341)&gt;0),SUMIF($K$2:$K$5001,"&gt;="&amp;K2341,$I$2:$I$5001)/MAX(1,SUM($H$2:$H$5001)),"")</f>
        <v/>
      </c>
      <c r="M2341" s="47" t="str">
        <f aca="false">IF($A2341="","",INDEX($L$2:$L$5001,MATCH($A2341,$A$2:$A$5001,0)))</f>
        <v/>
      </c>
      <c r="N2341" s="48" t="str">
        <f aca="false">IF($A2341="","",IF(N(M2341)=0,"–",IF(M2341&lt;=Start!$D$20,"A",IF(M2341&lt;=Start!$D$21,"B","C"))))</f>
        <v/>
      </c>
      <c r="O2341" s="48" t="str">
        <f aca="false">IF($A2341="","",IF(NOT(ISNUMBER(F2341)),"Wert fehlt; ",IF(F2341&lt;=0,"Wert ist 0; ",""))&amp;IF(NOT(ISNUMBER(E2341)),"Bestand fehlt; ",IF(E2341&lt;0,"Bestand negativ; ",IF(E2341=0,"Nullbestand; ","")))&amp;IF(D2341="","Warengruppe fehlt; ","")&amp;IF(B2341="","Bezeichnung fehlt; ","")&amp;IF(COUNTIFS($A$2:$A$5001,$A2341,$C$2:$C$5001,C2341)&gt;1,"Artikel doppelt im selben Lager; ",""))</f>
        <v/>
      </c>
      <c r="P2341" s="47" t="n">
        <f aca="false">IF(OR($A2341="",D2341=""),0,IF(COUNTIF($D$2:D2341,D2341)=1,SUMIF($D$2:$D$5001,D2341,$H$2:$H$5001)+ROW()/10000000,0))</f>
        <v>0</v>
      </c>
      <c r="Q2341" s="47" t="n">
        <f aca="false">IF(OR($A2341="",C2341=""),0,IF(COUNTIF($C$2:C2341,C2341)=1,SUMIF($C$2:$C$5001,C2341,$H$2:$H$5001)+ROW()/10000000,0))</f>
        <v>0</v>
      </c>
    </row>
    <row r="2342" customFormat="false" ht="15" hidden="false" customHeight="false" outlineLevel="0" collapsed="false">
      <c r="A2342" s="43"/>
      <c r="B2342" s="44"/>
      <c r="C2342" s="44"/>
      <c r="D2342" s="44"/>
      <c r="E2342" s="44"/>
      <c r="F2342" s="44"/>
      <c r="G2342" s="44"/>
      <c r="H2342" s="46" t="str">
        <f aca="false">IF($A2342="","",IF(OR(NOT(ISNUMBER(E2342)),NOT(ISNUMBER(F2342))),"",MAX(0,E2342)*F2342))</f>
        <v/>
      </c>
      <c r="I2342" s="46" t="str">
        <f aca="false">IF($A2342="","",SUMIF($A$2:$A$5001,$A2342,$H$2:$H$5001))</f>
        <v/>
      </c>
      <c r="J2342" s="47" t="n">
        <f aca="false">IF($A2342="",0,IF(COUNTIF($A$2:A2342,$A2342)=1,1,0))</f>
        <v>0</v>
      </c>
      <c r="K2342" s="47" t="n">
        <f aca="false">IF(J2342=1,N(I2342)+ROW()/10000000,0)</f>
        <v>0</v>
      </c>
      <c r="L2342" s="47" t="str">
        <f aca="false">IF(AND(J2342=1,N(I2342)&gt;0),SUMIF($K$2:$K$5001,"&gt;="&amp;K2342,$I$2:$I$5001)/MAX(1,SUM($H$2:$H$5001)),"")</f>
        <v/>
      </c>
      <c r="M2342" s="47" t="str">
        <f aca="false">IF($A2342="","",INDEX($L$2:$L$5001,MATCH($A2342,$A$2:$A$5001,0)))</f>
        <v/>
      </c>
      <c r="N2342" s="48" t="str">
        <f aca="false">IF($A2342="","",IF(N(M2342)=0,"–",IF(M2342&lt;=Start!$D$20,"A",IF(M2342&lt;=Start!$D$21,"B","C"))))</f>
        <v/>
      </c>
      <c r="O2342" s="48" t="str">
        <f aca="false">IF($A2342="","",IF(NOT(ISNUMBER(F2342)),"Wert fehlt; ",IF(F2342&lt;=0,"Wert ist 0; ",""))&amp;IF(NOT(ISNUMBER(E2342)),"Bestand fehlt; ",IF(E2342&lt;0,"Bestand negativ; ",IF(E2342=0,"Nullbestand; ","")))&amp;IF(D2342="","Warengruppe fehlt; ","")&amp;IF(B2342="","Bezeichnung fehlt; ","")&amp;IF(COUNTIFS($A$2:$A$5001,$A2342,$C$2:$C$5001,C2342)&gt;1,"Artikel doppelt im selben Lager; ",""))</f>
        <v/>
      </c>
      <c r="P2342" s="47" t="n">
        <f aca="false">IF(OR($A2342="",D2342=""),0,IF(COUNTIF($D$2:D2342,D2342)=1,SUMIF($D$2:$D$5001,D2342,$H$2:$H$5001)+ROW()/10000000,0))</f>
        <v>0</v>
      </c>
      <c r="Q2342" s="47" t="n">
        <f aca="false">IF(OR($A2342="",C2342=""),0,IF(COUNTIF($C$2:C2342,C2342)=1,SUMIF($C$2:$C$5001,C2342,$H$2:$H$5001)+ROW()/10000000,0))</f>
        <v>0</v>
      </c>
    </row>
    <row r="2343" customFormat="false" ht="15" hidden="false" customHeight="false" outlineLevel="0" collapsed="false">
      <c r="A2343" s="43"/>
      <c r="B2343" s="44"/>
      <c r="C2343" s="44"/>
      <c r="D2343" s="44"/>
      <c r="E2343" s="44"/>
      <c r="F2343" s="44"/>
      <c r="G2343" s="44"/>
      <c r="H2343" s="46" t="str">
        <f aca="false">IF($A2343="","",IF(OR(NOT(ISNUMBER(E2343)),NOT(ISNUMBER(F2343))),"",MAX(0,E2343)*F2343))</f>
        <v/>
      </c>
      <c r="I2343" s="46" t="str">
        <f aca="false">IF($A2343="","",SUMIF($A$2:$A$5001,$A2343,$H$2:$H$5001))</f>
        <v/>
      </c>
      <c r="J2343" s="47" t="n">
        <f aca="false">IF($A2343="",0,IF(COUNTIF($A$2:A2343,$A2343)=1,1,0))</f>
        <v>0</v>
      </c>
      <c r="K2343" s="47" t="n">
        <f aca="false">IF(J2343=1,N(I2343)+ROW()/10000000,0)</f>
        <v>0</v>
      </c>
      <c r="L2343" s="47" t="str">
        <f aca="false">IF(AND(J2343=1,N(I2343)&gt;0),SUMIF($K$2:$K$5001,"&gt;="&amp;K2343,$I$2:$I$5001)/MAX(1,SUM($H$2:$H$5001)),"")</f>
        <v/>
      </c>
      <c r="M2343" s="47" t="str">
        <f aca="false">IF($A2343="","",INDEX($L$2:$L$5001,MATCH($A2343,$A$2:$A$5001,0)))</f>
        <v/>
      </c>
      <c r="N2343" s="48" t="str">
        <f aca="false">IF($A2343="","",IF(N(M2343)=0,"–",IF(M2343&lt;=Start!$D$20,"A",IF(M2343&lt;=Start!$D$21,"B","C"))))</f>
        <v/>
      </c>
      <c r="O2343" s="48" t="str">
        <f aca="false">IF($A2343="","",IF(NOT(ISNUMBER(F2343)),"Wert fehlt; ",IF(F2343&lt;=0,"Wert ist 0; ",""))&amp;IF(NOT(ISNUMBER(E2343)),"Bestand fehlt; ",IF(E2343&lt;0,"Bestand negativ; ",IF(E2343=0,"Nullbestand; ","")))&amp;IF(D2343="","Warengruppe fehlt; ","")&amp;IF(B2343="","Bezeichnung fehlt; ","")&amp;IF(COUNTIFS($A$2:$A$5001,$A2343,$C$2:$C$5001,C2343)&gt;1,"Artikel doppelt im selben Lager; ",""))</f>
        <v/>
      </c>
      <c r="P2343" s="47" t="n">
        <f aca="false">IF(OR($A2343="",D2343=""),0,IF(COUNTIF($D$2:D2343,D2343)=1,SUMIF($D$2:$D$5001,D2343,$H$2:$H$5001)+ROW()/10000000,0))</f>
        <v>0</v>
      </c>
      <c r="Q2343" s="47" t="n">
        <f aca="false">IF(OR($A2343="",C2343=""),0,IF(COUNTIF($C$2:C2343,C2343)=1,SUMIF($C$2:$C$5001,C2343,$H$2:$H$5001)+ROW()/10000000,0))</f>
        <v>0</v>
      </c>
    </row>
    <row r="2344" customFormat="false" ht="15" hidden="false" customHeight="false" outlineLevel="0" collapsed="false">
      <c r="A2344" s="43"/>
      <c r="B2344" s="44"/>
      <c r="C2344" s="44"/>
      <c r="D2344" s="44"/>
      <c r="E2344" s="44"/>
      <c r="F2344" s="44"/>
      <c r="G2344" s="44"/>
      <c r="H2344" s="46" t="str">
        <f aca="false">IF($A2344="","",IF(OR(NOT(ISNUMBER(E2344)),NOT(ISNUMBER(F2344))),"",MAX(0,E2344)*F2344))</f>
        <v/>
      </c>
      <c r="I2344" s="46" t="str">
        <f aca="false">IF($A2344="","",SUMIF($A$2:$A$5001,$A2344,$H$2:$H$5001))</f>
        <v/>
      </c>
      <c r="J2344" s="47" t="n">
        <f aca="false">IF($A2344="",0,IF(COUNTIF($A$2:A2344,$A2344)=1,1,0))</f>
        <v>0</v>
      </c>
      <c r="K2344" s="47" t="n">
        <f aca="false">IF(J2344=1,N(I2344)+ROW()/10000000,0)</f>
        <v>0</v>
      </c>
      <c r="L2344" s="47" t="str">
        <f aca="false">IF(AND(J2344=1,N(I2344)&gt;0),SUMIF($K$2:$K$5001,"&gt;="&amp;K2344,$I$2:$I$5001)/MAX(1,SUM($H$2:$H$5001)),"")</f>
        <v/>
      </c>
      <c r="M2344" s="47" t="str">
        <f aca="false">IF($A2344="","",INDEX($L$2:$L$5001,MATCH($A2344,$A$2:$A$5001,0)))</f>
        <v/>
      </c>
      <c r="N2344" s="48" t="str">
        <f aca="false">IF($A2344="","",IF(N(M2344)=0,"–",IF(M2344&lt;=Start!$D$20,"A",IF(M2344&lt;=Start!$D$21,"B","C"))))</f>
        <v/>
      </c>
      <c r="O2344" s="48" t="str">
        <f aca="false">IF($A2344="","",IF(NOT(ISNUMBER(F2344)),"Wert fehlt; ",IF(F2344&lt;=0,"Wert ist 0; ",""))&amp;IF(NOT(ISNUMBER(E2344)),"Bestand fehlt; ",IF(E2344&lt;0,"Bestand negativ; ",IF(E2344=0,"Nullbestand; ","")))&amp;IF(D2344="","Warengruppe fehlt; ","")&amp;IF(B2344="","Bezeichnung fehlt; ","")&amp;IF(COUNTIFS($A$2:$A$5001,$A2344,$C$2:$C$5001,C2344)&gt;1,"Artikel doppelt im selben Lager; ",""))</f>
        <v/>
      </c>
      <c r="P2344" s="47" t="n">
        <f aca="false">IF(OR($A2344="",D2344=""),0,IF(COUNTIF($D$2:D2344,D2344)=1,SUMIF($D$2:$D$5001,D2344,$H$2:$H$5001)+ROW()/10000000,0))</f>
        <v>0</v>
      </c>
      <c r="Q2344" s="47" t="n">
        <f aca="false">IF(OR($A2344="",C2344=""),0,IF(COUNTIF($C$2:C2344,C2344)=1,SUMIF($C$2:$C$5001,C2344,$H$2:$H$5001)+ROW()/10000000,0))</f>
        <v>0</v>
      </c>
    </row>
    <row r="2345" customFormat="false" ht="15" hidden="false" customHeight="false" outlineLevel="0" collapsed="false">
      <c r="A2345" s="43"/>
      <c r="B2345" s="44"/>
      <c r="C2345" s="44"/>
      <c r="D2345" s="44"/>
      <c r="E2345" s="44"/>
      <c r="F2345" s="44"/>
      <c r="G2345" s="44"/>
      <c r="H2345" s="46" t="str">
        <f aca="false">IF($A2345="","",IF(OR(NOT(ISNUMBER(E2345)),NOT(ISNUMBER(F2345))),"",MAX(0,E2345)*F2345))</f>
        <v/>
      </c>
      <c r="I2345" s="46" t="str">
        <f aca="false">IF($A2345="","",SUMIF($A$2:$A$5001,$A2345,$H$2:$H$5001))</f>
        <v/>
      </c>
      <c r="J2345" s="47" t="n">
        <f aca="false">IF($A2345="",0,IF(COUNTIF($A$2:A2345,$A2345)=1,1,0))</f>
        <v>0</v>
      </c>
      <c r="K2345" s="47" t="n">
        <f aca="false">IF(J2345=1,N(I2345)+ROW()/10000000,0)</f>
        <v>0</v>
      </c>
      <c r="L2345" s="47" t="str">
        <f aca="false">IF(AND(J2345=1,N(I2345)&gt;0),SUMIF($K$2:$K$5001,"&gt;="&amp;K2345,$I$2:$I$5001)/MAX(1,SUM($H$2:$H$5001)),"")</f>
        <v/>
      </c>
      <c r="M2345" s="47" t="str">
        <f aca="false">IF($A2345="","",INDEX($L$2:$L$5001,MATCH($A2345,$A$2:$A$5001,0)))</f>
        <v/>
      </c>
      <c r="N2345" s="48" t="str">
        <f aca="false">IF($A2345="","",IF(N(M2345)=0,"–",IF(M2345&lt;=Start!$D$20,"A",IF(M2345&lt;=Start!$D$21,"B","C"))))</f>
        <v/>
      </c>
      <c r="O2345" s="48" t="str">
        <f aca="false">IF($A2345="","",IF(NOT(ISNUMBER(F2345)),"Wert fehlt; ",IF(F2345&lt;=0,"Wert ist 0; ",""))&amp;IF(NOT(ISNUMBER(E2345)),"Bestand fehlt; ",IF(E2345&lt;0,"Bestand negativ; ",IF(E2345=0,"Nullbestand; ","")))&amp;IF(D2345="","Warengruppe fehlt; ","")&amp;IF(B2345="","Bezeichnung fehlt; ","")&amp;IF(COUNTIFS($A$2:$A$5001,$A2345,$C$2:$C$5001,C2345)&gt;1,"Artikel doppelt im selben Lager; ",""))</f>
        <v/>
      </c>
      <c r="P2345" s="47" t="n">
        <f aca="false">IF(OR($A2345="",D2345=""),0,IF(COUNTIF($D$2:D2345,D2345)=1,SUMIF($D$2:$D$5001,D2345,$H$2:$H$5001)+ROW()/10000000,0))</f>
        <v>0</v>
      </c>
      <c r="Q2345" s="47" t="n">
        <f aca="false">IF(OR($A2345="",C2345=""),0,IF(COUNTIF($C$2:C2345,C2345)=1,SUMIF($C$2:$C$5001,C2345,$H$2:$H$5001)+ROW()/10000000,0))</f>
        <v>0</v>
      </c>
    </row>
    <row r="2346" customFormat="false" ht="15" hidden="false" customHeight="false" outlineLevel="0" collapsed="false">
      <c r="A2346" s="43"/>
      <c r="B2346" s="44"/>
      <c r="C2346" s="44"/>
      <c r="D2346" s="44"/>
      <c r="E2346" s="44"/>
      <c r="F2346" s="44"/>
      <c r="G2346" s="44"/>
      <c r="H2346" s="46" t="str">
        <f aca="false">IF($A2346="","",IF(OR(NOT(ISNUMBER(E2346)),NOT(ISNUMBER(F2346))),"",MAX(0,E2346)*F2346))</f>
        <v/>
      </c>
      <c r="I2346" s="46" t="str">
        <f aca="false">IF($A2346="","",SUMIF($A$2:$A$5001,$A2346,$H$2:$H$5001))</f>
        <v/>
      </c>
      <c r="J2346" s="47" t="n">
        <f aca="false">IF($A2346="",0,IF(COUNTIF($A$2:A2346,$A2346)=1,1,0))</f>
        <v>0</v>
      </c>
      <c r="K2346" s="47" t="n">
        <f aca="false">IF(J2346=1,N(I2346)+ROW()/10000000,0)</f>
        <v>0</v>
      </c>
      <c r="L2346" s="47" t="str">
        <f aca="false">IF(AND(J2346=1,N(I2346)&gt;0),SUMIF($K$2:$K$5001,"&gt;="&amp;K2346,$I$2:$I$5001)/MAX(1,SUM($H$2:$H$5001)),"")</f>
        <v/>
      </c>
      <c r="M2346" s="47" t="str">
        <f aca="false">IF($A2346="","",INDEX($L$2:$L$5001,MATCH($A2346,$A$2:$A$5001,0)))</f>
        <v/>
      </c>
      <c r="N2346" s="48" t="str">
        <f aca="false">IF($A2346="","",IF(N(M2346)=0,"–",IF(M2346&lt;=Start!$D$20,"A",IF(M2346&lt;=Start!$D$21,"B","C"))))</f>
        <v/>
      </c>
      <c r="O2346" s="48" t="str">
        <f aca="false">IF($A2346="","",IF(NOT(ISNUMBER(F2346)),"Wert fehlt; ",IF(F2346&lt;=0,"Wert ist 0; ",""))&amp;IF(NOT(ISNUMBER(E2346)),"Bestand fehlt; ",IF(E2346&lt;0,"Bestand negativ; ",IF(E2346=0,"Nullbestand; ","")))&amp;IF(D2346="","Warengruppe fehlt; ","")&amp;IF(B2346="","Bezeichnung fehlt; ","")&amp;IF(COUNTIFS($A$2:$A$5001,$A2346,$C$2:$C$5001,C2346)&gt;1,"Artikel doppelt im selben Lager; ",""))</f>
        <v/>
      </c>
      <c r="P2346" s="47" t="n">
        <f aca="false">IF(OR($A2346="",D2346=""),0,IF(COUNTIF($D$2:D2346,D2346)=1,SUMIF($D$2:$D$5001,D2346,$H$2:$H$5001)+ROW()/10000000,0))</f>
        <v>0</v>
      </c>
      <c r="Q2346" s="47" t="n">
        <f aca="false">IF(OR($A2346="",C2346=""),0,IF(COUNTIF($C$2:C2346,C2346)=1,SUMIF($C$2:$C$5001,C2346,$H$2:$H$5001)+ROW()/10000000,0))</f>
        <v>0</v>
      </c>
    </row>
    <row r="2347" customFormat="false" ht="15" hidden="false" customHeight="false" outlineLevel="0" collapsed="false">
      <c r="A2347" s="43"/>
      <c r="B2347" s="44"/>
      <c r="C2347" s="44"/>
      <c r="D2347" s="44"/>
      <c r="E2347" s="44"/>
      <c r="F2347" s="44"/>
      <c r="G2347" s="44"/>
      <c r="H2347" s="46" t="str">
        <f aca="false">IF($A2347="","",IF(OR(NOT(ISNUMBER(E2347)),NOT(ISNUMBER(F2347))),"",MAX(0,E2347)*F2347))</f>
        <v/>
      </c>
      <c r="I2347" s="46" t="str">
        <f aca="false">IF($A2347="","",SUMIF($A$2:$A$5001,$A2347,$H$2:$H$5001))</f>
        <v/>
      </c>
      <c r="J2347" s="47" t="n">
        <f aca="false">IF($A2347="",0,IF(COUNTIF($A$2:A2347,$A2347)=1,1,0))</f>
        <v>0</v>
      </c>
      <c r="K2347" s="47" t="n">
        <f aca="false">IF(J2347=1,N(I2347)+ROW()/10000000,0)</f>
        <v>0</v>
      </c>
      <c r="L2347" s="47" t="str">
        <f aca="false">IF(AND(J2347=1,N(I2347)&gt;0),SUMIF($K$2:$K$5001,"&gt;="&amp;K2347,$I$2:$I$5001)/MAX(1,SUM($H$2:$H$5001)),"")</f>
        <v/>
      </c>
      <c r="M2347" s="47" t="str">
        <f aca="false">IF($A2347="","",INDEX($L$2:$L$5001,MATCH($A2347,$A$2:$A$5001,0)))</f>
        <v/>
      </c>
      <c r="N2347" s="48" t="str">
        <f aca="false">IF($A2347="","",IF(N(M2347)=0,"–",IF(M2347&lt;=Start!$D$20,"A",IF(M2347&lt;=Start!$D$21,"B","C"))))</f>
        <v/>
      </c>
      <c r="O2347" s="48" t="str">
        <f aca="false">IF($A2347="","",IF(NOT(ISNUMBER(F2347)),"Wert fehlt; ",IF(F2347&lt;=0,"Wert ist 0; ",""))&amp;IF(NOT(ISNUMBER(E2347)),"Bestand fehlt; ",IF(E2347&lt;0,"Bestand negativ; ",IF(E2347=0,"Nullbestand; ","")))&amp;IF(D2347="","Warengruppe fehlt; ","")&amp;IF(B2347="","Bezeichnung fehlt; ","")&amp;IF(COUNTIFS($A$2:$A$5001,$A2347,$C$2:$C$5001,C2347)&gt;1,"Artikel doppelt im selben Lager; ",""))</f>
        <v/>
      </c>
      <c r="P2347" s="47" t="n">
        <f aca="false">IF(OR($A2347="",D2347=""),0,IF(COUNTIF($D$2:D2347,D2347)=1,SUMIF($D$2:$D$5001,D2347,$H$2:$H$5001)+ROW()/10000000,0))</f>
        <v>0</v>
      </c>
      <c r="Q2347" s="47" t="n">
        <f aca="false">IF(OR($A2347="",C2347=""),0,IF(COUNTIF($C$2:C2347,C2347)=1,SUMIF($C$2:$C$5001,C2347,$H$2:$H$5001)+ROW()/10000000,0))</f>
        <v>0</v>
      </c>
    </row>
    <row r="2348" customFormat="false" ht="15" hidden="false" customHeight="false" outlineLevel="0" collapsed="false">
      <c r="A2348" s="43"/>
      <c r="B2348" s="44"/>
      <c r="C2348" s="44"/>
      <c r="D2348" s="44"/>
      <c r="E2348" s="44"/>
      <c r="F2348" s="44"/>
      <c r="G2348" s="44"/>
      <c r="H2348" s="46" t="str">
        <f aca="false">IF($A2348="","",IF(OR(NOT(ISNUMBER(E2348)),NOT(ISNUMBER(F2348))),"",MAX(0,E2348)*F2348))</f>
        <v/>
      </c>
      <c r="I2348" s="46" t="str">
        <f aca="false">IF($A2348="","",SUMIF($A$2:$A$5001,$A2348,$H$2:$H$5001))</f>
        <v/>
      </c>
      <c r="J2348" s="47" t="n">
        <f aca="false">IF($A2348="",0,IF(COUNTIF($A$2:A2348,$A2348)=1,1,0))</f>
        <v>0</v>
      </c>
      <c r="K2348" s="47" t="n">
        <f aca="false">IF(J2348=1,N(I2348)+ROW()/10000000,0)</f>
        <v>0</v>
      </c>
      <c r="L2348" s="47" t="str">
        <f aca="false">IF(AND(J2348=1,N(I2348)&gt;0),SUMIF($K$2:$K$5001,"&gt;="&amp;K2348,$I$2:$I$5001)/MAX(1,SUM($H$2:$H$5001)),"")</f>
        <v/>
      </c>
      <c r="M2348" s="47" t="str">
        <f aca="false">IF($A2348="","",INDEX($L$2:$L$5001,MATCH($A2348,$A$2:$A$5001,0)))</f>
        <v/>
      </c>
      <c r="N2348" s="48" t="str">
        <f aca="false">IF($A2348="","",IF(N(M2348)=0,"–",IF(M2348&lt;=Start!$D$20,"A",IF(M2348&lt;=Start!$D$21,"B","C"))))</f>
        <v/>
      </c>
      <c r="O2348" s="48" t="str">
        <f aca="false">IF($A2348="","",IF(NOT(ISNUMBER(F2348)),"Wert fehlt; ",IF(F2348&lt;=0,"Wert ist 0; ",""))&amp;IF(NOT(ISNUMBER(E2348)),"Bestand fehlt; ",IF(E2348&lt;0,"Bestand negativ; ",IF(E2348=0,"Nullbestand; ","")))&amp;IF(D2348="","Warengruppe fehlt; ","")&amp;IF(B2348="","Bezeichnung fehlt; ","")&amp;IF(COUNTIFS($A$2:$A$5001,$A2348,$C$2:$C$5001,C2348)&gt;1,"Artikel doppelt im selben Lager; ",""))</f>
        <v/>
      </c>
      <c r="P2348" s="47" t="n">
        <f aca="false">IF(OR($A2348="",D2348=""),0,IF(COUNTIF($D$2:D2348,D2348)=1,SUMIF($D$2:$D$5001,D2348,$H$2:$H$5001)+ROW()/10000000,0))</f>
        <v>0</v>
      </c>
      <c r="Q2348" s="47" t="n">
        <f aca="false">IF(OR($A2348="",C2348=""),0,IF(COUNTIF($C$2:C2348,C2348)=1,SUMIF($C$2:$C$5001,C2348,$H$2:$H$5001)+ROW()/10000000,0))</f>
        <v>0</v>
      </c>
    </row>
    <row r="2349" customFormat="false" ht="15" hidden="false" customHeight="false" outlineLevel="0" collapsed="false">
      <c r="A2349" s="43"/>
      <c r="B2349" s="44"/>
      <c r="C2349" s="44"/>
      <c r="D2349" s="44"/>
      <c r="E2349" s="44"/>
      <c r="F2349" s="44"/>
      <c r="G2349" s="44"/>
      <c r="H2349" s="46" t="str">
        <f aca="false">IF($A2349="","",IF(OR(NOT(ISNUMBER(E2349)),NOT(ISNUMBER(F2349))),"",MAX(0,E2349)*F2349))</f>
        <v/>
      </c>
      <c r="I2349" s="46" t="str">
        <f aca="false">IF($A2349="","",SUMIF($A$2:$A$5001,$A2349,$H$2:$H$5001))</f>
        <v/>
      </c>
      <c r="J2349" s="47" t="n">
        <f aca="false">IF($A2349="",0,IF(COUNTIF($A$2:A2349,$A2349)=1,1,0))</f>
        <v>0</v>
      </c>
      <c r="K2349" s="47" t="n">
        <f aca="false">IF(J2349=1,N(I2349)+ROW()/10000000,0)</f>
        <v>0</v>
      </c>
      <c r="L2349" s="47" t="str">
        <f aca="false">IF(AND(J2349=1,N(I2349)&gt;0),SUMIF($K$2:$K$5001,"&gt;="&amp;K2349,$I$2:$I$5001)/MAX(1,SUM($H$2:$H$5001)),"")</f>
        <v/>
      </c>
      <c r="M2349" s="47" t="str">
        <f aca="false">IF($A2349="","",INDEX($L$2:$L$5001,MATCH($A2349,$A$2:$A$5001,0)))</f>
        <v/>
      </c>
      <c r="N2349" s="48" t="str">
        <f aca="false">IF($A2349="","",IF(N(M2349)=0,"–",IF(M2349&lt;=Start!$D$20,"A",IF(M2349&lt;=Start!$D$21,"B","C"))))</f>
        <v/>
      </c>
      <c r="O2349" s="48" t="str">
        <f aca="false">IF($A2349="","",IF(NOT(ISNUMBER(F2349)),"Wert fehlt; ",IF(F2349&lt;=0,"Wert ist 0; ",""))&amp;IF(NOT(ISNUMBER(E2349)),"Bestand fehlt; ",IF(E2349&lt;0,"Bestand negativ; ",IF(E2349=0,"Nullbestand; ","")))&amp;IF(D2349="","Warengruppe fehlt; ","")&amp;IF(B2349="","Bezeichnung fehlt; ","")&amp;IF(COUNTIFS($A$2:$A$5001,$A2349,$C$2:$C$5001,C2349)&gt;1,"Artikel doppelt im selben Lager; ",""))</f>
        <v/>
      </c>
      <c r="P2349" s="47" t="n">
        <f aca="false">IF(OR($A2349="",D2349=""),0,IF(COUNTIF($D$2:D2349,D2349)=1,SUMIF($D$2:$D$5001,D2349,$H$2:$H$5001)+ROW()/10000000,0))</f>
        <v>0</v>
      </c>
      <c r="Q2349" s="47" t="n">
        <f aca="false">IF(OR($A2349="",C2349=""),0,IF(COUNTIF($C$2:C2349,C2349)=1,SUMIF($C$2:$C$5001,C2349,$H$2:$H$5001)+ROW()/10000000,0))</f>
        <v>0</v>
      </c>
    </row>
    <row r="2350" customFormat="false" ht="15" hidden="false" customHeight="false" outlineLevel="0" collapsed="false">
      <c r="A2350" s="43"/>
      <c r="B2350" s="44"/>
      <c r="C2350" s="44"/>
      <c r="D2350" s="44"/>
      <c r="E2350" s="44"/>
      <c r="F2350" s="44"/>
      <c r="G2350" s="44"/>
      <c r="H2350" s="46" t="str">
        <f aca="false">IF($A2350="","",IF(OR(NOT(ISNUMBER(E2350)),NOT(ISNUMBER(F2350))),"",MAX(0,E2350)*F2350))</f>
        <v/>
      </c>
      <c r="I2350" s="46" t="str">
        <f aca="false">IF($A2350="","",SUMIF($A$2:$A$5001,$A2350,$H$2:$H$5001))</f>
        <v/>
      </c>
      <c r="J2350" s="47" t="n">
        <f aca="false">IF($A2350="",0,IF(COUNTIF($A$2:A2350,$A2350)=1,1,0))</f>
        <v>0</v>
      </c>
      <c r="K2350" s="47" t="n">
        <f aca="false">IF(J2350=1,N(I2350)+ROW()/10000000,0)</f>
        <v>0</v>
      </c>
      <c r="L2350" s="47" t="str">
        <f aca="false">IF(AND(J2350=1,N(I2350)&gt;0),SUMIF($K$2:$K$5001,"&gt;="&amp;K2350,$I$2:$I$5001)/MAX(1,SUM($H$2:$H$5001)),"")</f>
        <v/>
      </c>
      <c r="M2350" s="47" t="str">
        <f aca="false">IF($A2350="","",INDEX($L$2:$L$5001,MATCH($A2350,$A$2:$A$5001,0)))</f>
        <v/>
      </c>
      <c r="N2350" s="48" t="str">
        <f aca="false">IF($A2350="","",IF(N(M2350)=0,"–",IF(M2350&lt;=Start!$D$20,"A",IF(M2350&lt;=Start!$D$21,"B","C"))))</f>
        <v/>
      </c>
      <c r="O2350" s="48" t="str">
        <f aca="false">IF($A2350="","",IF(NOT(ISNUMBER(F2350)),"Wert fehlt; ",IF(F2350&lt;=0,"Wert ist 0; ",""))&amp;IF(NOT(ISNUMBER(E2350)),"Bestand fehlt; ",IF(E2350&lt;0,"Bestand negativ; ",IF(E2350=0,"Nullbestand; ","")))&amp;IF(D2350="","Warengruppe fehlt; ","")&amp;IF(B2350="","Bezeichnung fehlt; ","")&amp;IF(COUNTIFS($A$2:$A$5001,$A2350,$C$2:$C$5001,C2350)&gt;1,"Artikel doppelt im selben Lager; ",""))</f>
        <v/>
      </c>
      <c r="P2350" s="47" t="n">
        <f aca="false">IF(OR($A2350="",D2350=""),0,IF(COUNTIF($D$2:D2350,D2350)=1,SUMIF($D$2:$D$5001,D2350,$H$2:$H$5001)+ROW()/10000000,0))</f>
        <v>0</v>
      </c>
      <c r="Q2350" s="47" t="n">
        <f aca="false">IF(OR($A2350="",C2350=""),0,IF(COUNTIF($C$2:C2350,C2350)=1,SUMIF($C$2:$C$5001,C2350,$H$2:$H$5001)+ROW()/10000000,0))</f>
        <v>0</v>
      </c>
    </row>
    <row r="2351" customFormat="false" ht="15" hidden="false" customHeight="false" outlineLevel="0" collapsed="false">
      <c r="A2351" s="43"/>
      <c r="B2351" s="44"/>
      <c r="C2351" s="44"/>
      <c r="D2351" s="44"/>
      <c r="E2351" s="44"/>
      <c r="F2351" s="44"/>
      <c r="G2351" s="44"/>
      <c r="H2351" s="46" t="str">
        <f aca="false">IF($A2351="","",IF(OR(NOT(ISNUMBER(E2351)),NOT(ISNUMBER(F2351))),"",MAX(0,E2351)*F2351))</f>
        <v/>
      </c>
      <c r="I2351" s="46" t="str">
        <f aca="false">IF($A2351="","",SUMIF($A$2:$A$5001,$A2351,$H$2:$H$5001))</f>
        <v/>
      </c>
      <c r="J2351" s="47" t="n">
        <f aca="false">IF($A2351="",0,IF(COUNTIF($A$2:A2351,$A2351)=1,1,0))</f>
        <v>0</v>
      </c>
      <c r="K2351" s="47" t="n">
        <f aca="false">IF(J2351=1,N(I2351)+ROW()/10000000,0)</f>
        <v>0</v>
      </c>
      <c r="L2351" s="47" t="str">
        <f aca="false">IF(AND(J2351=1,N(I2351)&gt;0),SUMIF($K$2:$K$5001,"&gt;="&amp;K2351,$I$2:$I$5001)/MAX(1,SUM($H$2:$H$5001)),"")</f>
        <v/>
      </c>
      <c r="M2351" s="47" t="str">
        <f aca="false">IF($A2351="","",INDEX($L$2:$L$5001,MATCH($A2351,$A$2:$A$5001,0)))</f>
        <v/>
      </c>
      <c r="N2351" s="48" t="str">
        <f aca="false">IF($A2351="","",IF(N(M2351)=0,"–",IF(M2351&lt;=Start!$D$20,"A",IF(M2351&lt;=Start!$D$21,"B","C"))))</f>
        <v/>
      </c>
      <c r="O2351" s="48" t="str">
        <f aca="false">IF($A2351="","",IF(NOT(ISNUMBER(F2351)),"Wert fehlt; ",IF(F2351&lt;=0,"Wert ist 0; ",""))&amp;IF(NOT(ISNUMBER(E2351)),"Bestand fehlt; ",IF(E2351&lt;0,"Bestand negativ; ",IF(E2351=0,"Nullbestand; ","")))&amp;IF(D2351="","Warengruppe fehlt; ","")&amp;IF(B2351="","Bezeichnung fehlt; ","")&amp;IF(COUNTIFS($A$2:$A$5001,$A2351,$C$2:$C$5001,C2351)&gt;1,"Artikel doppelt im selben Lager; ",""))</f>
        <v/>
      </c>
      <c r="P2351" s="47" t="n">
        <f aca="false">IF(OR($A2351="",D2351=""),0,IF(COUNTIF($D$2:D2351,D2351)=1,SUMIF($D$2:$D$5001,D2351,$H$2:$H$5001)+ROW()/10000000,0))</f>
        <v>0</v>
      </c>
      <c r="Q2351" s="47" t="n">
        <f aca="false">IF(OR($A2351="",C2351=""),0,IF(COUNTIF($C$2:C2351,C2351)=1,SUMIF($C$2:$C$5001,C2351,$H$2:$H$5001)+ROW()/10000000,0))</f>
        <v>0</v>
      </c>
    </row>
    <row r="2352" customFormat="false" ht="15" hidden="false" customHeight="false" outlineLevel="0" collapsed="false">
      <c r="A2352" s="43"/>
      <c r="B2352" s="44"/>
      <c r="C2352" s="44"/>
      <c r="D2352" s="44"/>
      <c r="E2352" s="44"/>
      <c r="F2352" s="44"/>
      <c r="G2352" s="44"/>
      <c r="H2352" s="46" t="str">
        <f aca="false">IF($A2352="","",IF(OR(NOT(ISNUMBER(E2352)),NOT(ISNUMBER(F2352))),"",MAX(0,E2352)*F2352))</f>
        <v/>
      </c>
      <c r="I2352" s="46" t="str">
        <f aca="false">IF($A2352="","",SUMIF($A$2:$A$5001,$A2352,$H$2:$H$5001))</f>
        <v/>
      </c>
      <c r="J2352" s="47" t="n">
        <f aca="false">IF($A2352="",0,IF(COUNTIF($A$2:A2352,$A2352)=1,1,0))</f>
        <v>0</v>
      </c>
      <c r="K2352" s="47" t="n">
        <f aca="false">IF(J2352=1,N(I2352)+ROW()/10000000,0)</f>
        <v>0</v>
      </c>
      <c r="L2352" s="47" t="str">
        <f aca="false">IF(AND(J2352=1,N(I2352)&gt;0),SUMIF($K$2:$K$5001,"&gt;="&amp;K2352,$I$2:$I$5001)/MAX(1,SUM($H$2:$H$5001)),"")</f>
        <v/>
      </c>
      <c r="M2352" s="47" t="str">
        <f aca="false">IF($A2352="","",INDEX($L$2:$L$5001,MATCH($A2352,$A$2:$A$5001,0)))</f>
        <v/>
      </c>
      <c r="N2352" s="48" t="str">
        <f aca="false">IF($A2352="","",IF(N(M2352)=0,"–",IF(M2352&lt;=Start!$D$20,"A",IF(M2352&lt;=Start!$D$21,"B","C"))))</f>
        <v/>
      </c>
      <c r="O2352" s="48" t="str">
        <f aca="false">IF($A2352="","",IF(NOT(ISNUMBER(F2352)),"Wert fehlt; ",IF(F2352&lt;=0,"Wert ist 0; ",""))&amp;IF(NOT(ISNUMBER(E2352)),"Bestand fehlt; ",IF(E2352&lt;0,"Bestand negativ; ",IF(E2352=0,"Nullbestand; ","")))&amp;IF(D2352="","Warengruppe fehlt; ","")&amp;IF(B2352="","Bezeichnung fehlt; ","")&amp;IF(COUNTIFS($A$2:$A$5001,$A2352,$C$2:$C$5001,C2352)&gt;1,"Artikel doppelt im selben Lager; ",""))</f>
        <v/>
      </c>
      <c r="P2352" s="47" t="n">
        <f aca="false">IF(OR($A2352="",D2352=""),0,IF(COUNTIF($D$2:D2352,D2352)=1,SUMIF($D$2:$D$5001,D2352,$H$2:$H$5001)+ROW()/10000000,0))</f>
        <v>0</v>
      </c>
      <c r="Q2352" s="47" t="n">
        <f aca="false">IF(OR($A2352="",C2352=""),0,IF(COUNTIF($C$2:C2352,C2352)=1,SUMIF($C$2:$C$5001,C2352,$H$2:$H$5001)+ROW()/10000000,0))</f>
        <v>0</v>
      </c>
    </row>
    <row r="2353" customFormat="false" ht="15" hidden="false" customHeight="false" outlineLevel="0" collapsed="false">
      <c r="A2353" s="43"/>
      <c r="B2353" s="44"/>
      <c r="C2353" s="44"/>
      <c r="D2353" s="44"/>
      <c r="E2353" s="44"/>
      <c r="F2353" s="44"/>
      <c r="G2353" s="44"/>
      <c r="H2353" s="46" t="str">
        <f aca="false">IF($A2353="","",IF(OR(NOT(ISNUMBER(E2353)),NOT(ISNUMBER(F2353))),"",MAX(0,E2353)*F2353))</f>
        <v/>
      </c>
      <c r="I2353" s="46" t="str">
        <f aca="false">IF($A2353="","",SUMIF($A$2:$A$5001,$A2353,$H$2:$H$5001))</f>
        <v/>
      </c>
      <c r="J2353" s="47" t="n">
        <f aca="false">IF($A2353="",0,IF(COUNTIF($A$2:A2353,$A2353)=1,1,0))</f>
        <v>0</v>
      </c>
      <c r="K2353" s="47" t="n">
        <f aca="false">IF(J2353=1,N(I2353)+ROW()/10000000,0)</f>
        <v>0</v>
      </c>
      <c r="L2353" s="47" t="str">
        <f aca="false">IF(AND(J2353=1,N(I2353)&gt;0),SUMIF($K$2:$K$5001,"&gt;="&amp;K2353,$I$2:$I$5001)/MAX(1,SUM($H$2:$H$5001)),"")</f>
        <v/>
      </c>
      <c r="M2353" s="47" t="str">
        <f aca="false">IF($A2353="","",INDEX($L$2:$L$5001,MATCH($A2353,$A$2:$A$5001,0)))</f>
        <v/>
      </c>
      <c r="N2353" s="48" t="str">
        <f aca="false">IF($A2353="","",IF(N(M2353)=0,"–",IF(M2353&lt;=Start!$D$20,"A",IF(M2353&lt;=Start!$D$21,"B","C"))))</f>
        <v/>
      </c>
      <c r="O2353" s="48" t="str">
        <f aca="false">IF($A2353="","",IF(NOT(ISNUMBER(F2353)),"Wert fehlt; ",IF(F2353&lt;=0,"Wert ist 0; ",""))&amp;IF(NOT(ISNUMBER(E2353)),"Bestand fehlt; ",IF(E2353&lt;0,"Bestand negativ; ",IF(E2353=0,"Nullbestand; ","")))&amp;IF(D2353="","Warengruppe fehlt; ","")&amp;IF(B2353="","Bezeichnung fehlt; ","")&amp;IF(COUNTIFS($A$2:$A$5001,$A2353,$C$2:$C$5001,C2353)&gt;1,"Artikel doppelt im selben Lager; ",""))</f>
        <v/>
      </c>
      <c r="P2353" s="47" t="n">
        <f aca="false">IF(OR($A2353="",D2353=""),0,IF(COUNTIF($D$2:D2353,D2353)=1,SUMIF($D$2:$D$5001,D2353,$H$2:$H$5001)+ROW()/10000000,0))</f>
        <v>0</v>
      </c>
      <c r="Q2353" s="47" t="n">
        <f aca="false">IF(OR($A2353="",C2353=""),0,IF(COUNTIF($C$2:C2353,C2353)=1,SUMIF($C$2:$C$5001,C2353,$H$2:$H$5001)+ROW()/10000000,0))</f>
        <v>0</v>
      </c>
    </row>
    <row r="2354" customFormat="false" ht="15" hidden="false" customHeight="false" outlineLevel="0" collapsed="false">
      <c r="A2354" s="43"/>
      <c r="B2354" s="44"/>
      <c r="C2354" s="44"/>
      <c r="D2354" s="44"/>
      <c r="E2354" s="44"/>
      <c r="F2354" s="44"/>
      <c r="G2354" s="44"/>
      <c r="H2354" s="46" t="str">
        <f aca="false">IF($A2354="","",IF(OR(NOT(ISNUMBER(E2354)),NOT(ISNUMBER(F2354))),"",MAX(0,E2354)*F2354))</f>
        <v/>
      </c>
      <c r="I2354" s="46" t="str">
        <f aca="false">IF($A2354="","",SUMIF($A$2:$A$5001,$A2354,$H$2:$H$5001))</f>
        <v/>
      </c>
      <c r="J2354" s="47" t="n">
        <f aca="false">IF($A2354="",0,IF(COUNTIF($A$2:A2354,$A2354)=1,1,0))</f>
        <v>0</v>
      </c>
      <c r="K2354" s="47" t="n">
        <f aca="false">IF(J2354=1,N(I2354)+ROW()/10000000,0)</f>
        <v>0</v>
      </c>
      <c r="L2354" s="47" t="str">
        <f aca="false">IF(AND(J2354=1,N(I2354)&gt;0),SUMIF($K$2:$K$5001,"&gt;="&amp;K2354,$I$2:$I$5001)/MAX(1,SUM($H$2:$H$5001)),"")</f>
        <v/>
      </c>
      <c r="M2354" s="47" t="str">
        <f aca="false">IF($A2354="","",INDEX($L$2:$L$5001,MATCH($A2354,$A$2:$A$5001,0)))</f>
        <v/>
      </c>
      <c r="N2354" s="48" t="str">
        <f aca="false">IF($A2354="","",IF(N(M2354)=0,"–",IF(M2354&lt;=Start!$D$20,"A",IF(M2354&lt;=Start!$D$21,"B","C"))))</f>
        <v/>
      </c>
      <c r="O2354" s="48" t="str">
        <f aca="false">IF($A2354="","",IF(NOT(ISNUMBER(F2354)),"Wert fehlt; ",IF(F2354&lt;=0,"Wert ist 0; ",""))&amp;IF(NOT(ISNUMBER(E2354)),"Bestand fehlt; ",IF(E2354&lt;0,"Bestand negativ; ",IF(E2354=0,"Nullbestand; ","")))&amp;IF(D2354="","Warengruppe fehlt; ","")&amp;IF(B2354="","Bezeichnung fehlt; ","")&amp;IF(COUNTIFS($A$2:$A$5001,$A2354,$C$2:$C$5001,C2354)&gt;1,"Artikel doppelt im selben Lager; ",""))</f>
        <v/>
      </c>
      <c r="P2354" s="47" t="n">
        <f aca="false">IF(OR($A2354="",D2354=""),0,IF(COUNTIF($D$2:D2354,D2354)=1,SUMIF($D$2:$D$5001,D2354,$H$2:$H$5001)+ROW()/10000000,0))</f>
        <v>0</v>
      </c>
      <c r="Q2354" s="47" t="n">
        <f aca="false">IF(OR($A2354="",C2354=""),0,IF(COUNTIF($C$2:C2354,C2354)=1,SUMIF($C$2:$C$5001,C2354,$H$2:$H$5001)+ROW()/10000000,0))</f>
        <v>0</v>
      </c>
    </row>
    <row r="2355" customFormat="false" ht="15" hidden="false" customHeight="false" outlineLevel="0" collapsed="false">
      <c r="A2355" s="43"/>
      <c r="B2355" s="44"/>
      <c r="C2355" s="44"/>
      <c r="D2355" s="44"/>
      <c r="E2355" s="44"/>
      <c r="F2355" s="44"/>
      <c r="G2355" s="44"/>
      <c r="H2355" s="46" t="str">
        <f aca="false">IF($A2355="","",IF(OR(NOT(ISNUMBER(E2355)),NOT(ISNUMBER(F2355))),"",MAX(0,E2355)*F2355))</f>
        <v/>
      </c>
      <c r="I2355" s="46" t="str">
        <f aca="false">IF($A2355="","",SUMIF($A$2:$A$5001,$A2355,$H$2:$H$5001))</f>
        <v/>
      </c>
      <c r="J2355" s="47" t="n">
        <f aca="false">IF($A2355="",0,IF(COUNTIF($A$2:A2355,$A2355)=1,1,0))</f>
        <v>0</v>
      </c>
      <c r="K2355" s="47" t="n">
        <f aca="false">IF(J2355=1,N(I2355)+ROW()/10000000,0)</f>
        <v>0</v>
      </c>
      <c r="L2355" s="47" t="str">
        <f aca="false">IF(AND(J2355=1,N(I2355)&gt;0),SUMIF($K$2:$K$5001,"&gt;="&amp;K2355,$I$2:$I$5001)/MAX(1,SUM($H$2:$H$5001)),"")</f>
        <v/>
      </c>
      <c r="M2355" s="47" t="str">
        <f aca="false">IF($A2355="","",INDEX($L$2:$L$5001,MATCH($A2355,$A$2:$A$5001,0)))</f>
        <v/>
      </c>
      <c r="N2355" s="48" t="str">
        <f aca="false">IF($A2355="","",IF(N(M2355)=0,"–",IF(M2355&lt;=Start!$D$20,"A",IF(M2355&lt;=Start!$D$21,"B","C"))))</f>
        <v/>
      </c>
      <c r="O2355" s="48" t="str">
        <f aca="false">IF($A2355="","",IF(NOT(ISNUMBER(F2355)),"Wert fehlt; ",IF(F2355&lt;=0,"Wert ist 0; ",""))&amp;IF(NOT(ISNUMBER(E2355)),"Bestand fehlt; ",IF(E2355&lt;0,"Bestand negativ; ",IF(E2355=0,"Nullbestand; ","")))&amp;IF(D2355="","Warengruppe fehlt; ","")&amp;IF(B2355="","Bezeichnung fehlt; ","")&amp;IF(COUNTIFS($A$2:$A$5001,$A2355,$C$2:$C$5001,C2355)&gt;1,"Artikel doppelt im selben Lager; ",""))</f>
        <v/>
      </c>
      <c r="P2355" s="47" t="n">
        <f aca="false">IF(OR($A2355="",D2355=""),0,IF(COUNTIF($D$2:D2355,D2355)=1,SUMIF($D$2:$D$5001,D2355,$H$2:$H$5001)+ROW()/10000000,0))</f>
        <v>0</v>
      </c>
      <c r="Q2355" s="47" t="n">
        <f aca="false">IF(OR($A2355="",C2355=""),0,IF(COUNTIF($C$2:C2355,C2355)=1,SUMIF($C$2:$C$5001,C2355,$H$2:$H$5001)+ROW()/10000000,0))</f>
        <v>0</v>
      </c>
    </row>
    <row r="2356" customFormat="false" ht="15" hidden="false" customHeight="false" outlineLevel="0" collapsed="false">
      <c r="A2356" s="43"/>
      <c r="B2356" s="44"/>
      <c r="C2356" s="44"/>
      <c r="D2356" s="44"/>
      <c r="E2356" s="44"/>
      <c r="F2356" s="44"/>
      <c r="G2356" s="44"/>
      <c r="H2356" s="46" t="str">
        <f aca="false">IF($A2356="","",IF(OR(NOT(ISNUMBER(E2356)),NOT(ISNUMBER(F2356))),"",MAX(0,E2356)*F2356))</f>
        <v/>
      </c>
      <c r="I2356" s="46" t="str">
        <f aca="false">IF($A2356="","",SUMIF($A$2:$A$5001,$A2356,$H$2:$H$5001))</f>
        <v/>
      </c>
      <c r="J2356" s="47" t="n">
        <f aca="false">IF($A2356="",0,IF(COUNTIF($A$2:A2356,$A2356)=1,1,0))</f>
        <v>0</v>
      </c>
      <c r="K2356" s="47" t="n">
        <f aca="false">IF(J2356=1,N(I2356)+ROW()/10000000,0)</f>
        <v>0</v>
      </c>
      <c r="L2356" s="47" t="str">
        <f aca="false">IF(AND(J2356=1,N(I2356)&gt;0),SUMIF($K$2:$K$5001,"&gt;="&amp;K2356,$I$2:$I$5001)/MAX(1,SUM($H$2:$H$5001)),"")</f>
        <v/>
      </c>
      <c r="M2356" s="47" t="str">
        <f aca="false">IF($A2356="","",INDEX($L$2:$L$5001,MATCH($A2356,$A$2:$A$5001,0)))</f>
        <v/>
      </c>
      <c r="N2356" s="48" t="str">
        <f aca="false">IF($A2356="","",IF(N(M2356)=0,"–",IF(M2356&lt;=Start!$D$20,"A",IF(M2356&lt;=Start!$D$21,"B","C"))))</f>
        <v/>
      </c>
      <c r="O2356" s="48" t="str">
        <f aca="false">IF($A2356="","",IF(NOT(ISNUMBER(F2356)),"Wert fehlt; ",IF(F2356&lt;=0,"Wert ist 0; ",""))&amp;IF(NOT(ISNUMBER(E2356)),"Bestand fehlt; ",IF(E2356&lt;0,"Bestand negativ; ",IF(E2356=0,"Nullbestand; ","")))&amp;IF(D2356="","Warengruppe fehlt; ","")&amp;IF(B2356="","Bezeichnung fehlt; ","")&amp;IF(COUNTIFS($A$2:$A$5001,$A2356,$C$2:$C$5001,C2356)&gt;1,"Artikel doppelt im selben Lager; ",""))</f>
        <v/>
      </c>
      <c r="P2356" s="47" t="n">
        <f aca="false">IF(OR($A2356="",D2356=""),0,IF(COUNTIF($D$2:D2356,D2356)=1,SUMIF($D$2:$D$5001,D2356,$H$2:$H$5001)+ROW()/10000000,0))</f>
        <v>0</v>
      </c>
      <c r="Q2356" s="47" t="n">
        <f aca="false">IF(OR($A2356="",C2356=""),0,IF(COUNTIF($C$2:C2356,C2356)=1,SUMIF($C$2:$C$5001,C2356,$H$2:$H$5001)+ROW()/10000000,0))</f>
        <v>0</v>
      </c>
    </row>
    <row r="2357" customFormat="false" ht="15" hidden="false" customHeight="false" outlineLevel="0" collapsed="false">
      <c r="A2357" s="43"/>
      <c r="B2357" s="44"/>
      <c r="C2357" s="44"/>
      <c r="D2357" s="44"/>
      <c r="E2357" s="44"/>
      <c r="F2357" s="44"/>
      <c r="G2357" s="44"/>
      <c r="H2357" s="46" t="str">
        <f aca="false">IF($A2357="","",IF(OR(NOT(ISNUMBER(E2357)),NOT(ISNUMBER(F2357))),"",MAX(0,E2357)*F2357))</f>
        <v/>
      </c>
      <c r="I2357" s="46" t="str">
        <f aca="false">IF($A2357="","",SUMIF($A$2:$A$5001,$A2357,$H$2:$H$5001))</f>
        <v/>
      </c>
      <c r="J2357" s="47" t="n">
        <f aca="false">IF($A2357="",0,IF(COUNTIF($A$2:A2357,$A2357)=1,1,0))</f>
        <v>0</v>
      </c>
      <c r="K2357" s="47" t="n">
        <f aca="false">IF(J2357=1,N(I2357)+ROW()/10000000,0)</f>
        <v>0</v>
      </c>
      <c r="L2357" s="47" t="str">
        <f aca="false">IF(AND(J2357=1,N(I2357)&gt;0),SUMIF($K$2:$K$5001,"&gt;="&amp;K2357,$I$2:$I$5001)/MAX(1,SUM($H$2:$H$5001)),"")</f>
        <v/>
      </c>
      <c r="M2357" s="47" t="str">
        <f aca="false">IF($A2357="","",INDEX($L$2:$L$5001,MATCH($A2357,$A$2:$A$5001,0)))</f>
        <v/>
      </c>
      <c r="N2357" s="48" t="str">
        <f aca="false">IF($A2357="","",IF(N(M2357)=0,"–",IF(M2357&lt;=Start!$D$20,"A",IF(M2357&lt;=Start!$D$21,"B","C"))))</f>
        <v/>
      </c>
      <c r="O2357" s="48" t="str">
        <f aca="false">IF($A2357="","",IF(NOT(ISNUMBER(F2357)),"Wert fehlt; ",IF(F2357&lt;=0,"Wert ist 0; ",""))&amp;IF(NOT(ISNUMBER(E2357)),"Bestand fehlt; ",IF(E2357&lt;0,"Bestand negativ; ",IF(E2357=0,"Nullbestand; ","")))&amp;IF(D2357="","Warengruppe fehlt; ","")&amp;IF(B2357="","Bezeichnung fehlt; ","")&amp;IF(COUNTIFS($A$2:$A$5001,$A2357,$C$2:$C$5001,C2357)&gt;1,"Artikel doppelt im selben Lager; ",""))</f>
        <v/>
      </c>
      <c r="P2357" s="47" t="n">
        <f aca="false">IF(OR($A2357="",D2357=""),0,IF(COUNTIF($D$2:D2357,D2357)=1,SUMIF($D$2:$D$5001,D2357,$H$2:$H$5001)+ROW()/10000000,0))</f>
        <v>0</v>
      </c>
      <c r="Q2357" s="47" t="n">
        <f aca="false">IF(OR($A2357="",C2357=""),0,IF(COUNTIF($C$2:C2357,C2357)=1,SUMIF($C$2:$C$5001,C2357,$H$2:$H$5001)+ROW()/10000000,0))</f>
        <v>0</v>
      </c>
    </row>
    <row r="2358" customFormat="false" ht="15" hidden="false" customHeight="false" outlineLevel="0" collapsed="false">
      <c r="A2358" s="43"/>
      <c r="B2358" s="44"/>
      <c r="C2358" s="44"/>
      <c r="D2358" s="44"/>
      <c r="E2358" s="44"/>
      <c r="F2358" s="44"/>
      <c r="G2358" s="44"/>
      <c r="H2358" s="46" t="str">
        <f aca="false">IF($A2358="","",IF(OR(NOT(ISNUMBER(E2358)),NOT(ISNUMBER(F2358))),"",MAX(0,E2358)*F2358))</f>
        <v/>
      </c>
      <c r="I2358" s="46" t="str">
        <f aca="false">IF($A2358="","",SUMIF($A$2:$A$5001,$A2358,$H$2:$H$5001))</f>
        <v/>
      </c>
      <c r="J2358" s="47" t="n">
        <f aca="false">IF($A2358="",0,IF(COUNTIF($A$2:A2358,$A2358)=1,1,0))</f>
        <v>0</v>
      </c>
      <c r="K2358" s="47" t="n">
        <f aca="false">IF(J2358=1,N(I2358)+ROW()/10000000,0)</f>
        <v>0</v>
      </c>
      <c r="L2358" s="47" t="str">
        <f aca="false">IF(AND(J2358=1,N(I2358)&gt;0),SUMIF($K$2:$K$5001,"&gt;="&amp;K2358,$I$2:$I$5001)/MAX(1,SUM($H$2:$H$5001)),"")</f>
        <v/>
      </c>
      <c r="M2358" s="47" t="str">
        <f aca="false">IF($A2358="","",INDEX($L$2:$L$5001,MATCH($A2358,$A$2:$A$5001,0)))</f>
        <v/>
      </c>
      <c r="N2358" s="48" t="str">
        <f aca="false">IF($A2358="","",IF(N(M2358)=0,"–",IF(M2358&lt;=Start!$D$20,"A",IF(M2358&lt;=Start!$D$21,"B","C"))))</f>
        <v/>
      </c>
      <c r="O2358" s="48" t="str">
        <f aca="false">IF($A2358="","",IF(NOT(ISNUMBER(F2358)),"Wert fehlt; ",IF(F2358&lt;=0,"Wert ist 0; ",""))&amp;IF(NOT(ISNUMBER(E2358)),"Bestand fehlt; ",IF(E2358&lt;0,"Bestand negativ; ",IF(E2358=0,"Nullbestand; ","")))&amp;IF(D2358="","Warengruppe fehlt; ","")&amp;IF(B2358="","Bezeichnung fehlt; ","")&amp;IF(COUNTIFS($A$2:$A$5001,$A2358,$C$2:$C$5001,C2358)&gt;1,"Artikel doppelt im selben Lager; ",""))</f>
        <v/>
      </c>
      <c r="P2358" s="47" t="n">
        <f aca="false">IF(OR($A2358="",D2358=""),0,IF(COUNTIF($D$2:D2358,D2358)=1,SUMIF($D$2:$D$5001,D2358,$H$2:$H$5001)+ROW()/10000000,0))</f>
        <v>0</v>
      </c>
      <c r="Q2358" s="47" t="n">
        <f aca="false">IF(OR($A2358="",C2358=""),0,IF(COUNTIF($C$2:C2358,C2358)=1,SUMIF($C$2:$C$5001,C2358,$H$2:$H$5001)+ROW()/10000000,0))</f>
        <v>0</v>
      </c>
    </row>
    <row r="2359" customFormat="false" ht="15" hidden="false" customHeight="false" outlineLevel="0" collapsed="false">
      <c r="A2359" s="43"/>
      <c r="B2359" s="44"/>
      <c r="C2359" s="44"/>
      <c r="D2359" s="44"/>
      <c r="E2359" s="44"/>
      <c r="F2359" s="44"/>
      <c r="G2359" s="44"/>
      <c r="H2359" s="46" t="str">
        <f aca="false">IF($A2359="","",IF(OR(NOT(ISNUMBER(E2359)),NOT(ISNUMBER(F2359))),"",MAX(0,E2359)*F2359))</f>
        <v/>
      </c>
      <c r="I2359" s="46" t="str">
        <f aca="false">IF($A2359="","",SUMIF($A$2:$A$5001,$A2359,$H$2:$H$5001))</f>
        <v/>
      </c>
      <c r="J2359" s="47" t="n">
        <f aca="false">IF($A2359="",0,IF(COUNTIF($A$2:A2359,$A2359)=1,1,0))</f>
        <v>0</v>
      </c>
      <c r="K2359" s="47" t="n">
        <f aca="false">IF(J2359=1,N(I2359)+ROW()/10000000,0)</f>
        <v>0</v>
      </c>
      <c r="L2359" s="47" t="str">
        <f aca="false">IF(AND(J2359=1,N(I2359)&gt;0),SUMIF($K$2:$K$5001,"&gt;="&amp;K2359,$I$2:$I$5001)/MAX(1,SUM($H$2:$H$5001)),"")</f>
        <v/>
      </c>
      <c r="M2359" s="47" t="str">
        <f aca="false">IF($A2359="","",INDEX($L$2:$L$5001,MATCH($A2359,$A$2:$A$5001,0)))</f>
        <v/>
      </c>
      <c r="N2359" s="48" t="str">
        <f aca="false">IF($A2359="","",IF(N(M2359)=0,"–",IF(M2359&lt;=Start!$D$20,"A",IF(M2359&lt;=Start!$D$21,"B","C"))))</f>
        <v/>
      </c>
      <c r="O2359" s="48" t="str">
        <f aca="false">IF($A2359="","",IF(NOT(ISNUMBER(F2359)),"Wert fehlt; ",IF(F2359&lt;=0,"Wert ist 0; ",""))&amp;IF(NOT(ISNUMBER(E2359)),"Bestand fehlt; ",IF(E2359&lt;0,"Bestand negativ; ",IF(E2359=0,"Nullbestand; ","")))&amp;IF(D2359="","Warengruppe fehlt; ","")&amp;IF(B2359="","Bezeichnung fehlt; ","")&amp;IF(COUNTIFS($A$2:$A$5001,$A2359,$C$2:$C$5001,C2359)&gt;1,"Artikel doppelt im selben Lager; ",""))</f>
        <v/>
      </c>
      <c r="P2359" s="47" t="n">
        <f aca="false">IF(OR($A2359="",D2359=""),0,IF(COUNTIF($D$2:D2359,D2359)=1,SUMIF($D$2:$D$5001,D2359,$H$2:$H$5001)+ROW()/10000000,0))</f>
        <v>0</v>
      </c>
      <c r="Q2359" s="47" t="n">
        <f aca="false">IF(OR($A2359="",C2359=""),0,IF(COUNTIF($C$2:C2359,C2359)=1,SUMIF($C$2:$C$5001,C2359,$H$2:$H$5001)+ROW()/10000000,0))</f>
        <v>0</v>
      </c>
    </row>
    <row r="2360" customFormat="false" ht="15" hidden="false" customHeight="false" outlineLevel="0" collapsed="false">
      <c r="A2360" s="43"/>
      <c r="B2360" s="44"/>
      <c r="C2360" s="44"/>
      <c r="D2360" s="44"/>
      <c r="E2360" s="44"/>
      <c r="F2360" s="44"/>
      <c r="G2360" s="44"/>
      <c r="H2360" s="46" t="str">
        <f aca="false">IF($A2360="","",IF(OR(NOT(ISNUMBER(E2360)),NOT(ISNUMBER(F2360))),"",MAX(0,E2360)*F2360))</f>
        <v/>
      </c>
      <c r="I2360" s="46" t="str">
        <f aca="false">IF($A2360="","",SUMIF($A$2:$A$5001,$A2360,$H$2:$H$5001))</f>
        <v/>
      </c>
      <c r="J2360" s="47" t="n">
        <f aca="false">IF($A2360="",0,IF(COUNTIF($A$2:A2360,$A2360)=1,1,0))</f>
        <v>0</v>
      </c>
      <c r="K2360" s="47" t="n">
        <f aca="false">IF(J2360=1,N(I2360)+ROW()/10000000,0)</f>
        <v>0</v>
      </c>
      <c r="L2360" s="47" t="str">
        <f aca="false">IF(AND(J2360=1,N(I2360)&gt;0),SUMIF($K$2:$K$5001,"&gt;="&amp;K2360,$I$2:$I$5001)/MAX(1,SUM($H$2:$H$5001)),"")</f>
        <v/>
      </c>
      <c r="M2360" s="47" t="str">
        <f aca="false">IF($A2360="","",INDEX($L$2:$L$5001,MATCH($A2360,$A$2:$A$5001,0)))</f>
        <v/>
      </c>
      <c r="N2360" s="48" t="str">
        <f aca="false">IF($A2360="","",IF(N(M2360)=0,"–",IF(M2360&lt;=Start!$D$20,"A",IF(M2360&lt;=Start!$D$21,"B","C"))))</f>
        <v/>
      </c>
      <c r="O2360" s="48" t="str">
        <f aca="false">IF($A2360="","",IF(NOT(ISNUMBER(F2360)),"Wert fehlt; ",IF(F2360&lt;=0,"Wert ist 0; ",""))&amp;IF(NOT(ISNUMBER(E2360)),"Bestand fehlt; ",IF(E2360&lt;0,"Bestand negativ; ",IF(E2360=0,"Nullbestand; ","")))&amp;IF(D2360="","Warengruppe fehlt; ","")&amp;IF(B2360="","Bezeichnung fehlt; ","")&amp;IF(COUNTIFS($A$2:$A$5001,$A2360,$C$2:$C$5001,C2360)&gt;1,"Artikel doppelt im selben Lager; ",""))</f>
        <v/>
      </c>
      <c r="P2360" s="47" t="n">
        <f aca="false">IF(OR($A2360="",D2360=""),0,IF(COUNTIF($D$2:D2360,D2360)=1,SUMIF($D$2:$D$5001,D2360,$H$2:$H$5001)+ROW()/10000000,0))</f>
        <v>0</v>
      </c>
      <c r="Q2360" s="47" t="n">
        <f aca="false">IF(OR($A2360="",C2360=""),0,IF(COUNTIF($C$2:C2360,C2360)=1,SUMIF($C$2:$C$5001,C2360,$H$2:$H$5001)+ROW()/10000000,0))</f>
        <v>0</v>
      </c>
    </row>
    <row r="2361" customFormat="false" ht="15" hidden="false" customHeight="false" outlineLevel="0" collapsed="false">
      <c r="A2361" s="43"/>
      <c r="B2361" s="44"/>
      <c r="C2361" s="44"/>
      <c r="D2361" s="44"/>
      <c r="E2361" s="44"/>
      <c r="F2361" s="44"/>
      <c r="G2361" s="44"/>
      <c r="H2361" s="46" t="str">
        <f aca="false">IF($A2361="","",IF(OR(NOT(ISNUMBER(E2361)),NOT(ISNUMBER(F2361))),"",MAX(0,E2361)*F2361))</f>
        <v/>
      </c>
      <c r="I2361" s="46" t="str">
        <f aca="false">IF($A2361="","",SUMIF($A$2:$A$5001,$A2361,$H$2:$H$5001))</f>
        <v/>
      </c>
      <c r="J2361" s="47" t="n">
        <f aca="false">IF($A2361="",0,IF(COUNTIF($A$2:A2361,$A2361)=1,1,0))</f>
        <v>0</v>
      </c>
      <c r="K2361" s="47" t="n">
        <f aca="false">IF(J2361=1,N(I2361)+ROW()/10000000,0)</f>
        <v>0</v>
      </c>
      <c r="L2361" s="47" t="str">
        <f aca="false">IF(AND(J2361=1,N(I2361)&gt;0),SUMIF($K$2:$K$5001,"&gt;="&amp;K2361,$I$2:$I$5001)/MAX(1,SUM($H$2:$H$5001)),"")</f>
        <v/>
      </c>
      <c r="M2361" s="47" t="str">
        <f aca="false">IF($A2361="","",INDEX($L$2:$L$5001,MATCH($A2361,$A$2:$A$5001,0)))</f>
        <v/>
      </c>
      <c r="N2361" s="48" t="str">
        <f aca="false">IF($A2361="","",IF(N(M2361)=0,"–",IF(M2361&lt;=Start!$D$20,"A",IF(M2361&lt;=Start!$D$21,"B","C"))))</f>
        <v/>
      </c>
      <c r="O2361" s="48" t="str">
        <f aca="false">IF($A2361="","",IF(NOT(ISNUMBER(F2361)),"Wert fehlt; ",IF(F2361&lt;=0,"Wert ist 0; ",""))&amp;IF(NOT(ISNUMBER(E2361)),"Bestand fehlt; ",IF(E2361&lt;0,"Bestand negativ; ",IF(E2361=0,"Nullbestand; ","")))&amp;IF(D2361="","Warengruppe fehlt; ","")&amp;IF(B2361="","Bezeichnung fehlt; ","")&amp;IF(COUNTIFS($A$2:$A$5001,$A2361,$C$2:$C$5001,C2361)&gt;1,"Artikel doppelt im selben Lager; ",""))</f>
        <v/>
      </c>
      <c r="P2361" s="47" t="n">
        <f aca="false">IF(OR($A2361="",D2361=""),0,IF(COUNTIF($D$2:D2361,D2361)=1,SUMIF($D$2:$D$5001,D2361,$H$2:$H$5001)+ROW()/10000000,0))</f>
        <v>0</v>
      </c>
      <c r="Q2361" s="47" t="n">
        <f aca="false">IF(OR($A2361="",C2361=""),0,IF(COUNTIF($C$2:C2361,C2361)=1,SUMIF($C$2:$C$5001,C2361,$H$2:$H$5001)+ROW()/10000000,0))</f>
        <v>0</v>
      </c>
    </row>
    <row r="2362" customFormat="false" ht="15" hidden="false" customHeight="false" outlineLevel="0" collapsed="false">
      <c r="A2362" s="43"/>
      <c r="B2362" s="44"/>
      <c r="C2362" s="44"/>
      <c r="D2362" s="44"/>
      <c r="E2362" s="44"/>
      <c r="F2362" s="44"/>
      <c r="G2362" s="44"/>
      <c r="H2362" s="46" t="str">
        <f aca="false">IF($A2362="","",IF(OR(NOT(ISNUMBER(E2362)),NOT(ISNUMBER(F2362))),"",MAX(0,E2362)*F2362))</f>
        <v/>
      </c>
      <c r="I2362" s="46" t="str">
        <f aca="false">IF($A2362="","",SUMIF($A$2:$A$5001,$A2362,$H$2:$H$5001))</f>
        <v/>
      </c>
      <c r="J2362" s="47" t="n">
        <f aca="false">IF($A2362="",0,IF(COUNTIF($A$2:A2362,$A2362)=1,1,0))</f>
        <v>0</v>
      </c>
      <c r="K2362" s="47" t="n">
        <f aca="false">IF(J2362=1,N(I2362)+ROW()/10000000,0)</f>
        <v>0</v>
      </c>
      <c r="L2362" s="47" t="str">
        <f aca="false">IF(AND(J2362=1,N(I2362)&gt;0),SUMIF($K$2:$K$5001,"&gt;="&amp;K2362,$I$2:$I$5001)/MAX(1,SUM($H$2:$H$5001)),"")</f>
        <v/>
      </c>
      <c r="M2362" s="47" t="str">
        <f aca="false">IF($A2362="","",INDEX($L$2:$L$5001,MATCH($A2362,$A$2:$A$5001,0)))</f>
        <v/>
      </c>
      <c r="N2362" s="48" t="str">
        <f aca="false">IF($A2362="","",IF(N(M2362)=0,"–",IF(M2362&lt;=Start!$D$20,"A",IF(M2362&lt;=Start!$D$21,"B","C"))))</f>
        <v/>
      </c>
      <c r="O2362" s="48" t="str">
        <f aca="false">IF($A2362="","",IF(NOT(ISNUMBER(F2362)),"Wert fehlt; ",IF(F2362&lt;=0,"Wert ist 0; ",""))&amp;IF(NOT(ISNUMBER(E2362)),"Bestand fehlt; ",IF(E2362&lt;0,"Bestand negativ; ",IF(E2362=0,"Nullbestand; ","")))&amp;IF(D2362="","Warengruppe fehlt; ","")&amp;IF(B2362="","Bezeichnung fehlt; ","")&amp;IF(COUNTIFS($A$2:$A$5001,$A2362,$C$2:$C$5001,C2362)&gt;1,"Artikel doppelt im selben Lager; ",""))</f>
        <v/>
      </c>
      <c r="P2362" s="47" t="n">
        <f aca="false">IF(OR($A2362="",D2362=""),0,IF(COUNTIF($D$2:D2362,D2362)=1,SUMIF($D$2:$D$5001,D2362,$H$2:$H$5001)+ROW()/10000000,0))</f>
        <v>0</v>
      </c>
      <c r="Q2362" s="47" t="n">
        <f aca="false">IF(OR($A2362="",C2362=""),0,IF(COUNTIF($C$2:C2362,C2362)=1,SUMIF($C$2:$C$5001,C2362,$H$2:$H$5001)+ROW()/10000000,0))</f>
        <v>0</v>
      </c>
    </row>
    <row r="2363" customFormat="false" ht="15" hidden="false" customHeight="false" outlineLevel="0" collapsed="false">
      <c r="A2363" s="43"/>
      <c r="B2363" s="44"/>
      <c r="C2363" s="44"/>
      <c r="D2363" s="44"/>
      <c r="E2363" s="44"/>
      <c r="F2363" s="44"/>
      <c r="G2363" s="44"/>
      <c r="H2363" s="46" t="str">
        <f aca="false">IF($A2363="","",IF(OR(NOT(ISNUMBER(E2363)),NOT(ISNUMBER(F2363))),"",MAX(0,E2363)*F2363))</f>
        <v/>
      </c>
      <c r="I2363" s="46" t="str">
        <f aca="false">IF($A2363="","",SUMIF($A$2:$A$5001,$A2363,$H$2:$H$5001))</f>
        <v/>
      </c>
      <c r="J2363" s="47" t="n">
        <f aca="false">IF($A2363="",0,IF(COUNTIF($A$2:A2363,$A2363)=1,1,0))</f>
        <v>0</v>
      </c>
      <c r="K2363" s="47" t="n">
        <f aca="false">IF(J2363=1,N(I2363)+ROW()/10000000,0)</f>
        <v>0</v>
      </c>
      <c r="L2363" s="47" t="str">
        <f aca="false">IF(AND(J2363=1,N(I2363)&gt;0),SUMIF($K$2:$K$5001,"&gt;="&amp;K2363,$I$2:$I$5001)/MAX(1,SUM($H$2:$H$5001)),"")</f>
        <v/>
      </c>
      <c r="M2363" s="47" t="str">
        <f aca="false">IF($A2363="","",INDEX($L$2:$L$5001,MATCH($A2363,$A$2:$A$5001,0)))</f>
        <v/>
      </c>
      <c r="N2363" s="48" t="str">
        <f aca="false">IF($A2363="","",IF(N(M2363)=0,"–",IF(M2363&lt;=Start!$D$20,"A",IF(M2363&lt;=Start!$D$21,"B","C"))))</f>
        <v/>
      </c>
      <c r="O2363" s="48" t="str">
        <f aca="false">IF($A2363="","",IF(NOT(ISNUMBER(F2363)),"Wert fehlt; ",IF(F2363&lt;=0,"Wert ist 0; ",""))&amp;IF(NOT(ISNUMBER(E2363)),"Bestand fehlt; ",IF(E2363&lt;0,"Bestand negativ; ",IF(E2363=0,"Nullbestand; ","")))&amp;IF(D2363="","Warengruppe fehlt; ","")&amp;IF(B2363="","Bezeichnung fehlt; ","")&amp;IF(COUNTIFS($A$2:$A$5001,$A2363,$C$2:$C$5001,C2363)&gt;1,"Artikel doppelt im selben Lager; ",""))</f>
        <v/>
      </c>
      <c r="P2363" s="47" t="n">
        <f aca="false">IF(OR($A2363="",D2363=""),0,IF(COUNTIF($D$2:D2363,D2363)=1,SUMIF($D$2:$D$5001,D2363,$H$2:$H$5001)+ROW()/10000000,0))</f>
        <v>0</v>
      </c>
      <c r="Q2363" s="47" t="n">
        <f aca="false">IF(OR($A2363="",C2363=""),0,IF(COUNTIF($C$2:C2363,C2363)=1,SUMIF($C$2:$C$5001,C2363,$H$2:$H$5001)+ROW()/10000000,0))</f>
        <v>0</v>
      </c>
    </row>
    <row r="2364" customFormat="false" ht="15" hidden="false" customHeight="false" outlineLevel="0" collapsed="false">
      <c r="A2364" s="43"/>
      <c r="B2364" s="44"/>
      <c r="C2364" s="44"/>
      <c r="D2364" s="44"/>
      <c r="E2364" s="44"/>
      <c r="F2364" s="44"/>
      <c r="G2364" s="44"/>
      <c r="H2364" s="46" t="str">
        <f aca="false">IF($A2364="","",IF(OR(NOT(ISNUMBER(E2364)),NOT(ISNUMBER(F2364))),"",MAX(0,E2364)*F2364))</f>
        <v/>
      </c>
      <c r="I2364" s="46" t="str">
        <f aca="false">IF($A2364="","",SUMIF($A$2:$A$5001,$A2364,$H$2:$H$5001))</f>
        <v/>
      </c>
      <c r="J2364" s="47" t="n">
        <f aca="false">IF($A2364="",0,IF(COUNTIF($A$2:A2364,$A2364)=1,1,0))</f>
        <v>0</v>
      </c>
      <c r="K2364" s="47" t="n">
        <f aca="false">IF(J2364=1,N(I2364)+ROW()/10000000,0)</f>
        <v>0</v>
      </c>
      <c r="L2364" s="47" t="str">
        <f aca="false">IF(AND(J2364=1,N(I2364)&gt;0),SUMIF($K$2:$K$5001,"&gt;="&amp;K2364,$I$2:$I$5001)/MAX(1,SUM($H$2:$H$5001)),"")</f>
        <v/>
      </c>
      <c r="M2364" s="47" t="str">
        <f aca="false">IF($A2364="","",INDEX($L$2:$L$5001,MATCH($A2364,$A$2:$A$5001,0)))</f>
        <v/>
      </c>
      <c r="N2364" s="48" t="str">
        <f aca="false">IF($A2364="","",IF(N(M2364)=0,"–",IF(M2364&lt;=Start!$D$20,"A",IF(M2364&lt;=Start!$D$21,"B","C"))))</f>
        <v/>
      </c>
      <c r="O2364" s="48" t="str">
        <f aca="false">IF($A2364="","",IF(NOT(ISNUMBER(F2364)),"Wert fehlt; ",IF(F2364&lt;=0,"Wert ist 0; ",""))&amp;IF(NOT(ISNUMBER(E2364)),"Bestand fehlt; ",IF(E2364&lt;0,"Bestand negativ; ",IF(E2364=0,"Nullbestand; ","")))&amp;IF(D2364="","Warengruppe fehlt; ","")&amp;IF(B2364="","Bezeichnung fehlt; ","")&amp;IF(COUNTIFS($A$2:$A$5001,$A2364,$C$2:$C$5001,C2364)&gt;1,"Artikel doppelt im selben Lager; ",""))</f>
        <v/>
      </c>
      <c r="P2364" s="47" t="n">
        <f aca="false">IF(OR($A2364="",D2364=""),0,IF(COUNTIF($D$2:D2364,D2364)=1,SUMIF($D$2:$D$5001,D2364,$H$2:$H$5001)+ROW()/10000000,0))</f>
        <v>0</v>
      </c>
      <c r="Q2364" s="47" t="n">
        <f aca="false">IF(OR($A2364="",C2364=""),0,IF(COUNTIF($C$2:C2364,C2364)=1,SUMIF($C$2:$C$5001,C2364,$H$2:$H$5001)+ROW()/10000000,0))</f>
        <v>0</v>
      </c>
    </row>
    <row r="2365" customFormat="false" ht="15" hidden="false" customHeight="false" outlineLevel="0" collapsed="false">
      <c r="A2365" s="43"/>
      <c r="B2365" s="44"/>
      <c r="C2365" s="44"/>
      <c r="D2365" s="44"/>
      <c r="E2365" s="44"/>
      <c r="F2365" s="44"/>
      <c r="G2365" s="44"/>
      <c r="H2365" s="46" t="str">
        <f aca="false">IF($A2365="","",IF(OR(NOT(ISNUMBER(E2365)),NOT(ISNUMBER(F2365))),"",MAX(0,E2365)*F2365))</f>
        <v/>
      </c>
      <c r="I2365" s="46" t="str">
        <f aca="false">IF($A2365="","",SUMIF($A$2:$A$5001,$A2365,$H$2:$H$5001))</f>
        <v/>
      </c>
      <c r="J2365" s="47" t="n">
        <f aca="false">IF($A2365="",0,IF(COUNTIF($A$2:A2365,$A2365)=1,1,0))</f>
        <v>0</v>
      </c>
      <c r="K2365" s="47" t="n">
        <f aca="false">IF(J2365=1,N(I2365)+ROW()/10000000,0)</f>
        <v>0</v>
      </c>
      <c r="L2365" s="47" t="str">
        <f aca="false">IF(AND(J2365=1,N(I2365)&gt;0),SUMIF($K$2:$K$5001,"&gt;="&amp;K2365,$I$2:$I$5001)/MAX(1,SUM($H$2:$H$5001)),"")</f>
        <v/>
      </c>
      <c r="M2365" s="47" t="str">
        <f aca="false">IF($A2365="","",INDEX($L$2:$L$5001,MATCH($A2365,$A$2:$A$5001,0)))</f>
        <v/>
      </c>
      <c r="N2365" s="48" t="str">
        <f aca="false">IF($A2365="","",IF(N(M2365)=0,"–",IF(M2365&lt;=Start!$D$20,"A",IF(M2365&lt;=Start!$D$21,"B","C"))))</f>
        <v/>
      </c>
      <c r="O2365" s="48" t="str">
        <f aca="false">IF($A2365="","",IF(NOT(ISNUMBER(F2365)),"Wert fehlt; ",IF(F2365&lt;=0,"Wert ist 0; ",""))&amp;IF(NOT(ISNUMBER(E2365)),"Bestand fehlt; ",IF(E2365&lt;0,"Bestand negativ; ",IF(E2365=0,"Nullbestand; ","")))&amp;IF(D2365="","Warengruppe fehlt; ","")&amp;IF(B2365="","Bezeichnung fehlt; ","")&amp;IF(COUNTIFS($A$2:$A$5001,$A2365,$C$2:$C$5001,C2365)&gt;1,"Artikel doppelt im selben Lager; ",""))</f>
        <v/>
      </c>
      <c r="P2365" s="47" t="n">
        <f aca="false">IF(OR($A2365="",D2365=""),0,IF(COUNTIF($D$2:D2365,D2365)=1,SUMIF($D$2:$D$5001,D2365,$H$2:$H$5001)+ROW()/10000000,0))</f>
        <v>0</v>
      </c>
      <c r="Q2365" s="47" t="n">
        <f aca="false">IF(OR($A2365="",C2365=""),0,IF(COUNTIF($C$2:C2365,C2365)=1,SUMIF($C$2:$C$5001,C2365,$H$2:$H$5001)+ROW()/10000000,0))</f>
        <v>0</v>
      </c>
    </row>
    <row r="2366" customFormat="false" ht="15" hidden="false" customHeight="false" outlineLevel="0" collapsed="false">
      <c r="A2366" s="43"/>
      <c r="B2366" s="44"/>
      <c r="C2366" s="44"/>
      <c r="D2366" s="44"/>
      <c r="E2366" s="44"/>
      <c r="F2366" s="44"/>
      <c r="G2366" s="44"/>
      <c r="H2366" s="46" t="str">
        <f aca="false">IF($A2366="","",IF(OR(NOT(ISNUMBER(E2366)),NOT(ISNUMBER(F2366))),"",MAX(0,E2366)*F2366))</f>
        <v/>
      </c>
      <c r="I2366" s="46" t="str">
        <f aca="false">IF($A2366="","",SUMIF($A$2:$A$5001,$A2366,$H$2:$H$5001))</f>
        <v/>
      </c>
      <c r="J2366" s="47" t="n">
        <f aca="false">IF($A2366="",0,IF(COUNTIF($A$2:A2366,$A2366)=1,1,0))</f>
        <v>0</v>
      </c>
      <c r="K2366" s="47" t="n">
        <f aca="false">IF(J2366=1,N(I2366)+ROW()/10000000,0)</f>
        <v>0</v>
      </c>
      <c r="L2366" s="47" t="str">
        <f aca="false">IF(AND(J2366=1,N(I2366)&gt;0),SUMIF($K$2:$K$5001,"&gt;="&amp;K2366,$I$2:$I$5001)/MAX(1,SUM($H$2:$H$5001)),"")</f>
        <v/>
      </c>
      <c r="M2366" s="47" t="str">
        <f aca="false">IF($A2366="","",INDEX($L$2:$L$5001,MATCH($A2366,$A$2:$A$5001,0)))</f>
        <v/>
      </c>
      <c r="N2366" s="48" t="str">
        <f aca="false">IF($A2366="","",IF(N(M2366)=0,"–",IF(M2366&lt;=Start!$D$20,"A",IF(M2366&lt;=Start!$D$21,"B","C"))))</f>
        <v/>
      </c>
      <c r="O2366" s="48" t="str">
        <f aca="false">IF($A2366="","",IF(NOT(ISNUMBER(F2366)),"Wert fehlt; ",IF(F2366&lt;=0,"Wert ist 0; ",""))&amp;IF(NOT(ISNUMBER(E2366)),"Bestand fehlt; ",IF(E2366&lt;0,"Bestand negativ; ",IF(E2366=0,"Nullbestand; ","")))&amp;IF(D2366="","Warengruppe fehlt; ","")&amp;IF(B2366="","Bezeichnung fehlt; ","")&amp;IF(COUNTIFS($A$2:$A$5001,$A2366,$C$2:$C$5001,C2366)&gt;1,"Artikel doppelt im selben Lager; ",""))</f>
        <v/>
      </c>
      <c r="P2366" s="47" t="n">
        <f aca="false">IF(OR($A2366="",D2366=""),0,IF(COUNTIF($D$2:D2366,D2366)=1,SUMIF($D$2:$D$5001,D2366,$H$2:$H$5001)+ROW()/10000000,0))</f>
        <v>0</v>
      </c>
      <c r="Q2366" s="47" t="n">
        <f aca="false">IF(OR($A2366="",C2366=""),0,IF(COUNTIF($C$2:C2366,C2366)=1,SUMIF($C$2:$C$5001,C2366,$H$2:$H$5001)+ROW()/10000000,0))</f>
        <v>0</v>
      </c>
    </row>
    <row r="2367" customFormat="false" ht="15" hidden="false" customHeight="false" outlineLevel="0" collapsed="false">
      <c r="A2367" s="43"/>
      <c r="B2367" s="44"/>
      <c r="C2367" s="44"/>
      <c r="D2367" s="44"/>
      <c r="E2367" s="44"/>
      <c r="F2367" s="44"/>
      <c r="G2367" s="44"/>
      <c r="H2367" s="46" t="str">
        <f aca="false">IF($A2367="","",IF(OR(NOT(ISNUMBER(E2367)),NOT(ISNUMBER(F2367))),"",MAX(0,E2367)*F2367))</f>
        <v/>
      </c>
      <c r="I2367" s="46" t="str">
        <f aca="false">IF($A2367="","",SUMIF($A$2:$A$5001,$A2367,$H$2:$H$5001))</f>
        <v/>
      </c>
      <c r="J2367" s="47" t="n">
        <f aca="false">IF($A2367="",0,IF(COUNTIF($A$2:A2367,$A2367)=1,1,0))</f>
        <v>0</v>
      </c>
      <c r="K2367" s="47" t="n">
        <f aca="false">IF(J2367=1,N(I2367)+ROW()/10000000,0)</f>
        <v>0</v>
      </c>
      <c r="L2367" s="47" t="str">
        <f aca="false">IF(AND(J2367=1,N(I2367)&gt;0),SUMIF($K$2:$K$5001,"&gt;="&amp;K2367,$I$2:$I$5001)/MAX(1,SUM($H$2:$H$5001)),"")</f>
        <v/>
      </c>
      <c r="M2367" s="47" t="str">
        <f aca="false">IF($A2367="","",INDEX($L$2:$L$5001,MATCH($A2367,$A$2:$A$5001,0)))</f>
        <v/>
      </c>
      <c r="N2367" s="48" t="str">
        <f aca="false">IF($A2367="","",IF(N(M2367)=0,"–",IF(M2367&lt;=Start!$D$20,"A",IF(M2367&lt;=Start!$D$21,"B","C"))))</f>
        <v/>
      </c>
      <c r="O2367" s="48" t="str">
        <f aca="false">IF($A2367="","",IF(NOT(ISNUMBER(F2367)),"Wert fehlt; ",IF(F2367&lt;=0,"Wert ist 0; ",""))&amp;IF(NOT(ISNUMBER(E2367)),"Bestand fehlt; ",IF(E2367&lt;0,"Bestand negativ; ",IF(E2367=0,"Nullbestand; ","")))&amp;IF(D2367="","Warengruppe fehlt; ","")&amp;IF(B2367="","Bezeichnung fehlt; ","")&amp;IF(COUNTIFS($A$2:$A$5001,$A2367,$C$2:$C$5001,C2367)&gt;1,"Artikel doppelt im selben Lager; ",""))</f>
        <v/>
      </c>
      <c r="P2367" s="47" t="n">
        <f aca="false">IF(OR($A2367="",D2367=""),0,IF(COUNTIF($D$2:D2367,D2367)=1,SUMIF($D$2:$D$5001,D2367,$H$2:$H$5001)+ROW()/10000000,0))</f>
        <v>0</v>
      </c>
      <c r="Q2367" s="47" t="n">
        <f aca="false">IF(OR($A2367="",C2367=""),0,IF(COUNTIF($C$2:C2367,C2367)=1,SUMIF($C$2:$C$5001,C2367,$H$2:$H$5001)+ROW()/10000000,0))</f>
        <v>0</v>
      </c>
    </row>
    <row r="2368" customFormat="false" ht="15" hidden="false" customHeight="false" outlineLevel="0" collapsed="false">
      <c r="A2368" s="43"/>
      <c r="B2368" s="44"/>
      <c r="C2368" s="44"/>
      <c r="D2368" s="44"/>
      <c r="E2368" s="44"/>
      <c r="F2368" s="44"/>
      <c r="G2368" s="44"/>
      <c r="H2368" s="46" t="str">
        <f aca="false">IF($A2368="","",IF(OR(NOT(ISNUMBER(E2368)),NOT(ISNUMBER(F2368))),"",MAX(0,E2368)*F2368))</f>
        <v/>
      </c>
      <c r="I2368" s="46" t="str">
        <f aca="false">IF($A2368="","",SUMIF($A$2:$A$5001,$A2368,$H$2:$H$5001))</f>
        <v/>
      </c>
      <c r="J2368" s="47" t="n">
        <f aca="false">IF($A2368="",0,IF(COUNTIF($A$2:A2368,$A2368)=1,1,0))</f>
        <v>0</v>
      </c>
      <c r="K2368" s="47" t="n">
        <f aca="false">IF(J2368=1,N(I2368)+ROW()/10000000,0)</f>
        <v>0</v>
      </c>
      <c r="L2368" s="47" t="str">
        <f aca="false">IF(AND(J2368=1,N(I2368)&gt;0),SUMIF($K$2:$K$5001,"&gt;="&amp;K2368,$I$2:$I$5001)/MAX(1,SUM($H$2:$H$5001)),"")</f>
        <v/>
      </c>
      <c r="M2368" s="47" t="str">
        <f aca="false">IF($A2368="","",INDEX($L$2:$L$5001,MATCH($A2368,$A$2:$A$5001,0)))</f>
        <v/>
      </c>
      <c r="N2368" s="48" t="str">
        <f aca="false">IF($A2368="","",IF(N(M2368)=0,"–",IF(M2368&lt;=Start!$D$20,"A",IF(M2368&lt;=Start!$D$21,"B","C"))))</f>
        <v/>
      </c>
      <c r="O2368" s="48" t="str">
        <f aca="false">IF($A2368="","",IF(NOT(ISNUMBER(F2368)),"Wert fehlt; ",IF(F2368&lt;=0,"Wert ist 0; ",""))&amp;IF(NOT(ISNUMBER(E2368)),"Bestand fehlt; ",IF(E2368&lt;0,"Bestand negativ; ",IF(E2368=0,"Nullbestand; ","")))&amp;IF(D2368="","Warengruppe fehlt; ","")&amp;IF(B2368="","Bezeichnung fehlt; ","")&amp;IF(COUNTIFS($A$2:$A$5001,$A2368,$C$2:$C$5001,C2368)&gt;1,"Artikel doppelt im selben Lager; ",""))</f>
        <v/>
      </c>
      <c r="P2368" s="47" t="n">
        <f aca="false">IF(OR($A2368="",D2368=""),0,IF(COUNTIF($D$2:D2368,D2368)=1,SUMIF($D$2:$D$5001,D2368,$H$2:$H$5001)+ROW()/10000000,0))</f>
        <v>0</v>
      </c>
      <c r="Q2368" s="47" t="n">
        <f aca="false">IF(OR($A2368="",C2368=""),0,IF(COUNTIF($C$2:C2368,C2368)=1,SUMIF($C$2:$C$5001,C2368,$H$2:$H$5001)+ROW()/10000000,0))</f>
        <v>0</v>
      </c>
    </row>
    <row r="2369" customFormat="false" ht="15" hidden="false" customHeight="false" outlineLevel="0" collapsed="false">
      <c r="A2369" s="43"/>
      <c r="B2369" s="44"/>
      <c r="C2369" s="44"/>
      <c r="D2369" s="44"/>
      <c r="E2369" s="44"/>
      <c r="F2369" s="44"/>
      <c r="G2369" s="44"/>
      <c r="H2369" s="46" t="str">
        <f aca="false">IF($A2369="","",IF(OR(NOT(ISNUMBER(E2369)),NOT(ISNUMBER(F2369))),"",MAX(0,E2369)*F2369))</f>
        <v/>
      </c>
      <c r="I2369" s="46" t="str">
        <f aca="false">IF($A2369="","",SUMIF($A$2:$A$5001,$A2369,$H$2:$H$5001))</f>
        <v/>
      </c>
      <c r="J2369" s="47" t="n">
        <f aca="false">IF($A2369="",0,IF(COUNTIF($A$2:A2369,$A2369)=1,1,0))</f>
        <v>0</v>
      </c>
      <c r="K2369" s="47" t="n">
        <f aca="false">IF(J2369=1,N(I2369)+ROW()/10000000,0)</f>
        <v>0</v>
      </c>
      <c r="L2369" s="47" t="str">
        <f aca="false">IF(AND(J2369=1,N(I2369)&gt;0),SUMIF($K$2:$K$5001,"&gt;="&amp;K2369,$I$2:$I$5001)/MAX(1,SUM($H$2:$H$5001)),"")</f>
        <v/>
      </c>
      <c r="M2369" s="47" t="str">
        <f aca="false">IF($A2369="","",INDEX($L$2:$L$5001,MATCH($A2369,$A$2:$A$5001,0)))</f>
        <v/>
      </c>
      <c r="N2369" s="48" t="str">
        <f aca="false">IF($A2369="","",IF(N(M2369)=0,"–",IF(M2369&lt;=Start!$D$20,"A",IF(M2369&lt;=Start!$D$21,"B","C"))))</f>
        <v/>
      </c>
      <c r="O2369" s="48" t="str">
        <f aca="false">IF($A2369="","",IF(NOT(ISNUMBER(F2369)),"Wert fehlt; ",IF(F2369&lt;=0,"Wert ist 0; ",""))&amp;IF(NOT(ISNUMBER(E2369)),"Bestand fehlt; ",IF(E2369&lt;0,"Bestand negativ; ",IF(E2369=0,"Nullbestand; ","")))&amp;IF(D2369="","Warengruppe fehlt; ","")&amp;IF(B2369="","Bezeichnung fehlt; ","")&amp;IF(COUNTIFS($A$2:$A$5001,$A2369,$C$2:$C$5001,C2369)&gt;1,"Artikel doppelt im selben Lager; ",""))</f>
        <v/>
      </c>
      <c r="P2369" s="47" t="n">
        <f aca="false">IF(OR($A2369="",D2369=""),0,IF(COUNTIF($D$2:D2369,D2369)=1,SUMIF($D$2:$D$5001,D2369,$H$2:$H$5001)+ROW()/10000000,0))</f>
        <v>0</v>
      </c>
      <c r="Q2369" s="47" t="n">
        <f aca="false">IF(OR($A2369="",C2369=""),0,IF(COUNTIF($C$2:C2369,C2369)=1,SUMIF($C$2:$C$5001,C2369,$H$2:$H$5001)+ROW()/10000000,0))</f>
        <v>0</v>
      </c>
    </row>
    <row r="2370" customFormat="false" ht="15" hidden="false" customHeight="false" outlineLevel="0" collapsed="false">
      <c r="A2370" s="43"/>
      <c r="B2370" s="44"/>
      <c r="C2370" s="44"/>
      <c r="D2370" s="44"/>
      <c r="E2370" s="44"/>
      <c r="F2370" s="44"/>
      <c r="G2370" s="44"/>
      <c r="H2370" s="46" t="str">
        <f aca="false">IF($A2370="","",IF(OR(NOT(ISNUMBER(E2370)),NOT(ISNUMBER(F2370))),"",MAX(0,E2370)*F2370))</f>
        <v/>
      </c>
      <c r="I2370" s="46" t="str">
        <f aca="false">IF($A2370="","",SUMIF($A$2:$A$5001,$A2370,$H$2:$H$5001))</f>
        <v/>
      </c>
      <c r="J2370" s="47" t="n">
        <f aca="false">IF($A2370="",0,IF(COUNTIF($A$2:A2370,$A2370)=1,1,0))</f>
        <v>0</v>
      </c>
      <c r="K2370" s="47" t="n">
        <f aca="false">IF(J2370=1,N(I2370)+ROW()/10000000,0)</f>
        <v>0</v>
      </c>
      <c r="L2370" s="47" t="str">
        <f aca="false">IF(AND(J2370=1,N(I2370)&gt;0),SUMIF($K$2:$K$5001,"&gt;="&amp;K2370,$I$2:$I$5001)/MAX(1,SUM($H$2:$H$5001)),"")</f>
        <v/>
      </c>
      <c r="M2370" s="47" t="str">
        <f aca="false">IF($A2370="","",INDEX($L$2:$L$5001,MATCH($A2370,$A$2:$A$5001,0)))</f>
        <v/>
      </c>
      <c r="N2370" s="48" t="str">
        <f aca="false">IF($A2370="","",IF(N(M2370)=0,"–",IF(M2370&lt;=Start!$D$20,"A",IF(M2370&lt;=Start!$D$21,"B","C"))))</f>
        <v/>
      </c>
      <c r="O2370" s="48" t="str">
        <f aca="false">IF($A2370="","",IF(NOT(ISNUMBER(F2370)),"Wert fehlt; ",IF(F2370&lt;=0,"Wert ist 0; ",""))&amp;IF(NOT(ISNUMBER(E2370)),"Bestand fehlt; ",IF(E2370&lt;0,"Bestand negativ; ",IF(E2370=0,"Nullbestand; ","")))&amp;IF(D2370="","Warengruppe fehlt; ","")&amp;IF(B2370="","Bezeichnung fehlt; ","")&amp;IF(COUNTIFS($A$2:$A$5001,$A2370,$C$2:$C$5001,C2370)&gt;1,"Artikel doppelt im selben Lager; ",""))</f>
        <v/>
      </c>
      <c r="P2370" s="47" t="n">
        <f aca="false">IF(OR($A2370="",D2370=""),0,IF(COUNTIF($D$2:D2370,D2370)=1,SUMIF($D$2:$D$5001,D2370,$H$2:$H$5001)+ROW()/10000000,0))</f>
        <v>0</v>
      </c>
      <c r="Q2370" s="47" t="n">
        <f aca="false">IF(OR($A2370="",C2370=""),0,IF(COUNTIF($C$2:C2370,C2370)=1,SUMIF($C$2:$C$5001,C2370,$H$2:$H$5001)+ROW()/10000000,0))</f>
        <v>0</v>
      </c>
    </row>
    <row r="2371" customFormat="false" ht="15" hidden="false" customHeight="false" outlineLevel="0" collapsed="false">
      <c r="A2371" s="43"/>
      <c r="B2371" s="44"/>
      <c r="C2371" s="44"/>
      <c r="D2371" s="44"/>
      <c r="E2371" s="44"/>
      <c r="F2371" s="44"/>
      <c r="G2371" s="44"/>
      <c r="H2371" s="46" t="str">
        <f aca="false">IF($A2371="","",IF(OR(NOT(ISNUMBER(E2371)),NOT(ISNUMBER(F2371))),"",MAX(0,E2371)*F2371))</f>
        <v/>
      </c>
      <c r="I2371" s="46" t="str">
        <f aca="false">IF($A2371="","",SUMIF($A$2:$A$5001,$A2371,$H$2:$H$5001))</f>
        <v/>
      </c>
      <c r="J2371" s="47" t="n">
        <f aca="false">IF($A2371="",0,IF(COUNTIF($A$2:A2371,$A2371)=1,1,0))</f>
        <v>0</v>
      </c>
      <c r="K2371" s="47" t="n">
        <f aca="false">IF(J2371=1,N(I2371)+ROW()/10000000,0)</f>
        <v>0</v>
      </c>
      <c r="L2371" s="47" t="str">
        <f aca="false">IF(AND(J2371=1,N(I2371)&gt;0),SUMIF($K$2:$K$5001,"&gt;="&amp;K2371,$I$2:$I$5001)/MAX(1,SUM($H$2:$H$5001)),"")</f>
        <v/>
      </c>
      <c r="M2371" s="47" t="str">
        <f aca="false">IF($A2371="","",INDEX($L$2:$L$5001,MATCH($A2371,$A$2:$A$5001,0)))</f>
        <v/>
      </c>
      <c r="N2371" s="48" t="str">
        <f aca="false">IF($A2371="","",IF(N(M2371)=0,"–",IF(M2371&lt;=Start!$D$20,"A",IF(M2371&lt;=Start!$D$21,"B","C"))))</f>
        <v/>
      </c>
      <c r="O2371" s="48" t="str">
        <f aca="false">IF($A2371="","",IF(NOT(ISNUMBER(F2371)),"Wert fehlt; ",IF(F2371&lt;=0,"Wert ist 0; ",""))&amp;IF(NOT(ISNUMBER(E2371)),"Bestand fehlt; ",IF(E2371&lt;0,"Bestand negativ; ",IF(E2371=0,"Nullbestand; ","")))&amp;IF(D2371="","Warengruppe fehlt; ","")&amp;IF(B2371="","Bezeichnung fehlt; ","")&amp;IF(COUNTIFS($A$2:$A$5001,$A2371,$C$2:$C$5001,C2371)&gt;1,"Artikel doppelt im selben Lager; ",""))</f>
        <v/>
      </c>
      <c r="P2371" s="47" t="n">
        <f aca="false">IF(OR($A2371="",D2371=""),0,IF(COUNTIF($D$2:D2371,D2371)=1,SUMIF($D$2:$D$5001,D2371,$H$2:$H$5001)+ROW()/10000000,0))</f>
        <v>0</v>
      </c>
      <c r="Q2371" s="47" t="n">
        <f aca="false">IF(OR($A2371="",C2371=""),0,IF(COUNTIF($C$2:C2371,C2371)=1,SUMIF($C$2:$C$5001,C2371,$H$2:$H$5001)+ROW()/10000000,0))</f>
        <v>0</v>
      </c>
    </row>
    <row r="2372" customFormat="false" ht="15" hidden="false" customHeight="false" outlineLevel="0" collapsed="false">
      <c r="A2372" s="43"/>
      <c r="B2372" s="44"/>
      <c r="C2372" s="44"/>
      <c r="D2372" s="44"/>
      <c r="E2372" s="44"/>
      <c r="F2372" s="44"/>
      <c r="G2372" s="44"/>
      <c r="H2372" s="46" t="str">
        <f aca="false">IF($A2372="","",IF(OR(NOT(ISNUMBER(E2372)),NOT(ISNUMBER(F2372))),"",MAX(0,E2372)*F2372))</f>
        <v/>
      </c>
      <c r="I2372" s="46" t="str">
        <f aca="false">IF($A2372="","",SUMIF($A$2:$A$5001,$A2372,$H$2:$H$5001))</f>
        <v/>
      </c>
      <c r="J2372" s="47" t="n">
        <f aca="false">IF($A2372="",0,IF(COUNTIF($A$2:A2372,$A2372)=1,1,0))</f>
        <v>0</v>
      </c>
      <c r="K2372" s="47" t="n">
        <f aca="false">IF(J2372=1,N(I2372)+ROW()/10000000,0)</f>
        <v>0</v>
      </c>
      <c r="L2372" s="47" t="str">
        <f aca="false">IF(AND(J2372=1,N(I2372)&gt;0),SUMIF($K$2:$K$5001,"&gt;="&amp;K2372,$I$2:$I$5001)/MAX(1,SUM($H$2:$H$5001)),"")</f>
        <v/>
      </c>
      <c r="M2372" s="47" t="str">
        <f aca="false">IF($A2372="","",INDEX($L$2:$L$5001,MATCH($A2372,$A$2:$A$5001,0)))</f>
        <v/>
      </c>
      <c r="N2372" s="48" t="str">
        <f aca="false">IF($A2372="","",IF(N(M2372)=0,"–",IF(M2372&lt;=Start!$D$20,"A",IF(M2372&lt;=Start!$D$21,"B","C"))))</f>
        <v/>
      </c>
      <c r="O2372" s="48" t="str">
        <f aca="false">IF($A2372="","",IF(NOT(ISNUMBER(F2372)),"Wert fehlt; ",IF(F2372&lt;=0,"Wert ist 0; ",""))&amp;IF(NOT(ISNUMBER(E2372)),"Bestand fehlt; ",IF(E2372&lt;0,"Bestand negativ; ",IF(E2372=0,"Nullbestand; ","")))&amp;IF(D2372="","Warengruppe fehlt; ","")&amp;IF(B2372="","Bezeichnung fehlt; ","")&amp;IF(COUNTIFS($A$2:$A$5001,$A2372,$C$2:$C$5001,C2372)&gt;1,"Artikel doppelt im selben Lager; ",""))</f>
        <v/>
      </c>
      <c r="P2372" s="47" t="n">
        <f aca="false">IF(OR($A2372="",D2372=""),0,IF(COUNTIF($D$2:D2372,D2372)=1,SUMIF($D$2:$D$5001,D2372,$H$2:$H$5001)+ROW()/10000000,0))</f>
        <v>0</v>
      </c>
      <c r="Q2372" s="47" t="n">
        <f aca="false">IF(OR($A2372="",C2372=""),0,IF(COUNTIF($C$2:C2372,C2372)=1,SUMIF($C$2:$C$5001,C2372,$H$2:$H$5001)+ROW()/10000000,0))</f>
        <v>0</v>
      </c>
    </row>
    <row r="2373" customFormat="false" ht="15" hidden="false" customHeight="false" outlineLevel="0" collapsed="false">
      <c r="A2373" s="43"/>
      <c r="B2373" s="44"/>
      <c r="C2373" s="44"/>
      <c r="D2373" s="44"/>
      <c r="E2373" s="44"/>
      <c r="F2373" s="44"/>
      <c r="G2373" s="44"/>
      <c r="H2373" s="46" t="str">
        <f aca="false">IF($A2373="","",IF(OR(NOT(ISNUMBER(E2373)),NOT(ISNUMBER(F2373))),"",MAX(0,E2373)*F2373))</f>
        <v/>
      </c>
      <c r="I2373" s="46" t="str">
        <f aca="false">IF($A2373="","",SUMIF($A$2:$A$5001,$A2373,$H$2:$H$5001))</f>
        <v/>
      </c>
      <c r="J2373" s="47" t="n">
        <f aca="false">IF($A2373="",0,IF(COUNTIF($A$2:A2373,$A2373)=1,1,0))</f>
        <v>0</v>
      </c>
      <c r="K2373" s="47" t="n">
        <f aca="false">IF(J2373=1,N(I2373)+ROW()/10000000,0)</f>
        <v>0</v>
      </c>
      <c r="L2373" s="47" t="str">
        <f aca="false">IF(AND(J2373=1,N(I2373)&gt;0),SUMIF($K$2:$K$5001,"&gt;="&amp;K2373,$I$2:$I$5001)/MAX(1,SUM($H$2:$H$5001)),"")</f>
        <v/>
      </c>
      <c r="M2373" s="47" t="str">
        <f aca="false">IF($A2373="","",INDEX($L$2:$L$5001,MATCH($A2373,$A$2:$A$5001,0)))</f>
        <v/>
      </c>
      <c r="N2373" s="48" t="str">
        <f aca="false">IF($A2373="","",IF(N(M2373)=0,"–",IF(M2373&lt;=Start!$D$20,"A",IF(M2373&lt;=Start!$D$21,"B","C"))))</f>
        <v/>
      </c>
      <c r="O2373" s="48" t="str">
        <f aca="false">IF($A2373="","",IF(NOT(ISNUMBER(F2373)),"Wert fehlt; ",IF(F2373&lt;=0,"Wert ist 0; ",""))&amp;IF(NOT(ISNUMBER(E2373)),"Bestand fehlt; ",IF(E2373&lt;0,"Bestand negativ; ",IF(E2373=0,"Nullbestand; ","")))&amp;IF(D2373="","Warengruppe fehlt; ","")&amp;IF(B2373="","Bezeichnung fehlt; ","")&amp;IF(COUNTIFS($A$2:$A$5001,$A2373,$C$2:$C$5001,C2373)&gt;1,"Artikel doppelt im selben Lager; ",""))</f>
        <v/>
      </c>
      <c r="P2373" s="47" t="n">
        <f aca="false">IF(OR($A2373="",D2373=""),0,IF(COUNTIF($D$2:D2373,D2373)=1,SUMIF($D$2:$D$5001,D2373,$H$2:$H$5001)+ROW()/10000000,0))</f>
        <v>0</v>
      </c>
      <c r="Q2373" s="47" t="n">
        <f aca="false">IF(OR($A2373="",C2373=""),0,IF(COUNTIF($C$2:C2373,C2373)=1,SUMIF($C$2:$C$5001,C2373,$H$2:$H$5001)+ROW()/10000000,0))</f>
        <v>0</v>
      </c>
    </row>
    <row r="2374" customFormat="false" ht="15" hidden="false" customHeight="false" outlineLevel="0" collapsed="false">
      <c r="A2374" s="43"/>
      <c r="B2374" s="44"/>
      <c r="C2374" s="44"/>
      <c r="D2374" s="44"/>
      <c r="E2374" s="44"/>
      <c r="F2374" s="44"/>
      <c r="G2374" s="44"/>
      <c r="H2374" s="46" t="str">
        <f aca="false">IF($A2374="","",IF(OR(NOT(ISNUMBER(E2374)),NOT(ISNUMBER(F2374))),"",MAX(0,E2374)*F2374))</f>
        <v/>
      </c>
      <c r="I2374" s="46" t="str">
        <f aca="false">IF($A2374="","",SUMIF($A$2:$A$5001,$A2374,$H$2:$H$5001))</f>
        <v/>
      </c>
      <c r="J2374" s="47" t="n">
        <f aca="false">IF($A2374="",0,IF(COUNTIF($A$2:A2374,$A2374)=1,1,0))</f>
        <v>0</v>
      </c>
      <c r="K2374" s="47" t="n">
        <f aca="false">IF(J2374=1,N(I2374)+ROW()/10000000,0)</f>
        <v>0</v>
      </c>
      <c r="L2374" s="47" t="str">
        <f aca="false">IF(AND(J2374=1,N(I2374)&gt;0),SUMIF($K$2:$K$5001,"&gt;="&amp;K2374,$I$2:$I$5001)/MAX(1,SUM($H$2:$H$5001)),"")</f>
        <v/>
      </c>
      <c r="M2374" s="47" t="str">
        <f aca="false">IF($A2374="","",INDEX($L$2:$L$5001,MATCH($A2374,$A$2:$A$5001,0)))</f>
        <v/>
      </c>
      <c r="N2374" s="48" t="str">
        <f aca="false">IF($A2374="","",IF(N(M2374)=0,"–",IF(M2374&lt;=Start!$D$20,"A",IF(M2374&lt;=Start!$D$21,"B","C"))))</f>
        <v/>
      </c>
      <c r="O2374" s="48" t="str">
        <f aca="false">IF($A2374="","",IF(NOT(ISNUMBER(F2374)),"Wert fehlt; ",IF(F2374&lt;=0,"Wert ist 0; ",""))&amp;IF(NOT(ISNUMBER(E2374)),"Bestand fehlt; ",IF(E2374&lt;0,"Bestand negativ; ",IF(E2374=0,"Nullbestand; ","")))&amp;IF(D2374="","Warengruppe fehlt; ","")&amp;IF(B2374="","Bezeichnung fehlt; ","")&amp;IF(COUNTIFS($A$2:$A$5001,$A2374,$C$2:$C$5001,C2374)&gt;1,"Artikel doppelt im selben Lager; ",""))</f>
        <v/>
      </c>
      <c r="P2374" s="47" t="n">
        <f aca="false">IF(OR($A2374="",D2374=""),0,IF(COUNTIF($D$2:D2374,D2374)=1,SUMIF($D$2:$D$5001,D2374,$H$2:$H$5001)+ROW()/10000000,0))</f>
        <v>0</v>
      </c>
      <c r="Q2374" s="47" t="n">
        <f aca="false">IF(OR($A2374="",C2374=""),0,IF(COUNTIF($C$2:C2374,C2374)=1,SUMIF($C$2:$C$5001,C2374,$H$2:$H$5001)+ROW()/10000000,0))</f>
        <v>0</v>
      </c>
    </row>
    <row r="2375" customFormat="false" ht="15" hidden="false" customHeight="false" outlineLevel="0" collapsed="false">
      <c r="A2375" s="43"/>
      <c r="B2375" s="44"/>
      <c r="C2375" s="44"/>
      <c r="D2375" s="44"/>
      <c r="E2375" s="44"/>
      <c r="F2375" s="44"/>
      <c r="G2375" s="44"/>
      <c r="H2375" s="46" t="str">
        <f aca="false">IF($A2375="","",IF(OR(NOT(ISNUMBER(E2375)),NOT(ISNUMBER(F2375))),"",MAX(0,E2375)*F2375))</f>
        <v/>
      </c>
      <c r="I2375" s="46" t="str">
        <f aca="false">IF($A2375="","",SUMIF($A$2:$A$5001,$A2375,$H$2:$H$5001))</f>
        <v/>
      </c>
      <c r="J2375" s="47" t="n">
        <f aca="false">IF($A2375="",0,IF(COUNTIF($A$2:A2375,$A2375)=1,1,0))</f>
        <v>0</v>
      </c>
      <c r="K2375" s="47" t="n">
        <f aca="false">IF(J2375=1,N(I2375)+ROW()/10000000,0)</f>
        <v>0</v>
      </c>
      <c r="L2375" s="47" t="str">
        <f aca="false">IF(AND(J2375=1,N(I2375)&gt;0),SUMIF($K$2:$K$5001,"&gt;="&amp;K2375,$I$2:$I$5001)/MAX(1,SUM($H$2:$H$5001)),"")</f>
        <v/>
      </c>
      <c r="M2375" s="47" t="str">
        <f aca="false">IF($A2375="","",INDEX($L$2:$L$5001,MATCH($A2375,$A$2:$A$5001,0)))</f>
        <v/>
      </c>
      <c r="N2375" s="48" t="str">
        <f aca="false">IF($A2375="","",IF(N(M2375)=0,"–",IF(M2375&lt;=Start!$D$20,"A",IF(M2375&lt;=Start!$D$21,"B","C"))))</f>
        <v/>
      </c>
      <c r="O2375" s="48" t="str">
        <f aca="false">IF($A2375="","",IF(NOT(ISNUMBER(F2375)),"Wert fehlt; ",IF(F2375&lt;=0,"Wert ist 0; ",""))&amp;IF(NOT(ISNUMBER(E2375)),"Bestand fehlt; ",IF(E2375&lt;0,"Bestand negativ; ",IF(E2375=0,"Nullbestand; ","")))&amp;IF(D2375="","Warengruppe fehlt; ","")&amp;IF(B2375="","Bezeichnung fehlt; ","")&amp;IF(COUNTIFS($A$2:$A$5001,$A2375,$C$2:$C$5001,C2375)&gt;1,"Artikel doppelt im selben Lager; ",""))</f>
        <v/>
      </c>
      <c r="P2375" s="47" t="n">
        <f aca="false">IF(OR($A2375="",D2375=""),0,IF(COUNTIF($D$2:D2375,D2375)=1,SUMIF($D$2:$D$5001,D2375,$H$2:$H$5001)+ROW()/10000000,0))</f>
        <v>0</v>
      </c>
      <c r="Q2375" s="47" t="n">
        <f aca="false">IF(OR($A2375="",C2375=""),0,IF(COUNTIF($C$2:C2375,C2375)=1,SUMIF($C$2:$C$5001,C2375,$H$2:$H$5001)+ROW()/10000000,0))</f>
        <v>0</v>
      </c>
    </row>
    <row r="2376" customFormat="false" ht="15" hidden="false" customHeight="false" outlineLevel="0" collapsed="false">
      <c r="A2376" s="43"/>
      <c r="B2376" s="44"/>
      <c r="C2376" s="44"/>
      <c r="D2376" s="44"/>
      <c r="E2376" s="44"/>
      <c r="F2376" s="44"/>
      <c r="G2376" s="44"/>
      <c r="H2376" s="46" t="str">
        <f aca="false">IF($A2376="","",IF(OR(NOT(ISNUMBER(E2376)),NOT(ISNUMBER(F2376))),"",MAX(0,E2376)*F2376))</f>
        <v/>
      </c>
      <c r="I2376" s="46" t="str">
        <f aca="false">IF($A2376="","",SUMIF($A$2:$A$5001,$A2376,$H$2:$H$5001))</f>
        <v/>
      </c>
      <c r="J2376" s="47" t="n">
        <f aca="false">IF($A2376="",0,IF(COUNTIF($A$2:A2376,$A2376)=1,1,0))</f>
        <v>0</v>
      </c>
      <c r="K2376" s="47" t="n">
        <f aca="false">IF(J2376=1,N(I2376)+ROW()/10000000,0)</f>
        <v>0</v>
      </c>
      <c r="L2376" s="47" t="str">
        <f aca="false">IF(AND(J2376=1,N(I2376)&gt;0),SUMIF($K$2:$K$5001,"&gt;="&amp;K2376,$I$2:$I$5001)/MAX(1,SUM($H$2:$H$5001)),"")</f>
        <v/>
      </c>
      <c r="M2376" s="47" t="str">
        <f aca="false">IF($A2376="","",INDEX($L$2:$L$5001,MATCH($A2376,$A$2:$A$5001,0)))</f>
        <v/>
      </c>
      <c r="N2376" s="48" t="str">
        <f aca="false">IF($A2376="","",IF(N(M2376)=0,"–",IF(M2376&lt;=Start!$D$20,"A",IF(M2376&lt;=Start!$D$21,"B","C"))))</f>
        <v/>
      </c>
      <c r="O2376" s="48" t="str">
        <f aca="false">IF($A2376="","",IF(NOT(ISNUMBER(F2376)),"Wert fehlt; ",IF(F2376&lt;=0,"Wert ist 0; ",""))&amp;IF(NOT(ISNUMBER(E2376)),"Bestand fehlt; ",IF(E2376&lt;0,"Bestand negativ; ",IF(E2376=0,"Nullbestand; ","")))&amp;IF(D2376="","Warengruppe fehlt; ","")&amp;IF(B2376="","Bezeichnung fehlt; ","")&amp;IF(COUNTIFS($A$2:$A$5001,$A2376,$C$2:$C$5001,C2376)&gt;1,"Artikel doppelt im selben Lager; ",""))</f>
        <v/>
      </c>
      <c r="P2376" s="47" t="n">
        <f aca="false">IF(OR($A2376="",D2376=""),0,IF(COUNTIF($D$2:D2376,D2376)=1,SUMIF($D$2:$D$5001,D2376,$H$2:$H$5001)+ROW()/10000000,0))</f>
        <v>0</v>
      </c>
      <c r="Q2376" s="47" t="n">
        <f aca="false">IF(OR($A2376="",C2376=""),0,IF(COUNTIF($C$2:C2376,C2376)=1,SUMIF($C$2:$C$5001,C2376,$H$2:$H$5001)+ROW()/10000000,0))</f>
        <v>0</v>
      </c>
    </row>
    <row r="2377" customFormat="false" ht="15" hidden="false" customHeight="false" outlineLevel="0" collapsed="false">
      <c r="A2377" s="43"/>
      <c r="B2377" s="44"/>
      <c r="C2377" s="44"/>
      <c r="D2377" s="44"/>
      <c r="E2377" s="44"/>
      <c r="F2377" s="44"/>
      <c r="G2377" s="44"/>
      <c r="H2377" s="46" t="str">
        <f aca="false">IF($A2377="","",IF(OR(NOT(ISNUMBER(E2377)),NOT(ISNUMBER(F2377))),"",MAX(0,E2377)*F2377))</f>
        <v/>
      </c>
      <c r="I2377" s="46" t="str">
        <f aca="false">IF($A2377="","",SUMIF($A$2:$A$5001,$A2377,$H$2:$H$5001))</f>
        <v/>
      </c>
      <c r="J2377" s="47" t="n">
        <f aca="false">IF($A2377="",0,IF(COUNTIF($A$2:A2377,$A2377)=1,1,0))</f>
        <v>0</v>
      </c>
      <c r="K2377" s="47" t="n">
        <f aca="false">IF(J2377=1,N(I2377)+ROW()/10000000,0)</f>
        <v>0</v>
      </c>
      <c r="L2377" s="47" t="str">
        <f aca="false">IF(AND(J2377=1,N(I2377)&gt;0),SUMIF($K$2:$K$5001,"&gt;="&amp;K2377,$I$2:$I$5001)/MAX(1,SUM($H$2:$H$5001)),"")</f>
        <v/>
      </c>
      <c r="M2377" s="47" t="str">
        <f aca="false">IF($A2377="","",INDEX($L$2:$L$5001,MATCH($A2377,$A$2:$A$5001,0)))</f>
        <v/>
      </c>
      <c r="N2377" s="48" t="str">
        <f aca="false">IF($A2377="","",IF(N(M2377)=0,"–",IF(M2377&lt;=Start!$D$20,"A",IF(M2377&lt;=Start!$D$21,"B","C"))))</f>
        <v/>
      </c>
      <c r="O2377" s="48" t="str">
        <f aca="false">IF($A2377="","",IF(NOT(ISNUMBER(F2377)),"Wert fehlt; ",IF(F2377&lt;=0,"Wert ist 0; ",""))&amp;IF(NOT(ISNUMBER(E2377)),"Bestand fehlt; ",IF(E2377&lt;0,"Bestand negativ; ",IF(E2377=0,"Nullbestand; ","")))&amp;IF(D2377="","Warengruppe fehlt; ","")&amp;IF(B2377="","Bezeichnung fehlt; ","")&amp;IF(COUNTIFS($A$2:$A$5001,$A2377,$C$2:$C$5001,C2377)&gt;1,"Artikel doppelt im selben Lager; ",""))</f>
        <v/>
      </c>
      <c r="P2377" s="47" t="n">
        <f aca="false">IF(OR($A2377="",D2377=""),0,IF(COUNTIF($D$2:D2377,D2377)=1,SUMIF($D$2:$D$5001,D2377,$H$2:$H$5001)+ROW()/10000000,0))</f>
        <v>0</v>
      </c>
      <c r="Q2377" s="47" t="n">
        <f aca="false">IF(OR($A2377="",C2377=""),0,IF(COUNTIF($C$2:C2377,C2377)=1,SUMIF($C$2:$C$5001,C2377,$H$2:$H$5001)+ROW()/10000000,0))</f>
        <v>0</v>
      </c>
    </row>
    <row r="2378" customFormat="false" ht="15" hidden="false" customHeight="false" outlineLevel="0" collapsed="false">
      <c r="A2378" s="43"/>
      <c r="B2378" s="44"/>
      <c r="C2378" s="44"/>
      <c r="D2378" s="44"/>
      <c r="E2378" s="44"/>
      <c r="F2378" s="44"/>
      <c r="G2378" s="44"/>
      <c r="H2378" s="46" t="str">
        <f aca="false">IF($A2378="","",IF(OR(NOT(ISNUMBER(E2378)),NOT(ISNUMBER(F2378))),"",MAX(0,E2378)*F2378))</f>
        <v/>
      </c>
      <c r="I2378" s="46" t="str">
        <f aca="false">IF($A2378="","",SUMIF($A$2:$A$5001,$A2378,$H$2:$H$5001))</f>
        <v/>
      </c>
      <c r="J2378" s="47" t="n">
        <f aca="false">IF($A2378="",0,IF(COUNTIF($A$2:A2378,$A2378)=1,1,0))</f>
        <v>0</v>
      </c>
      <c r="K2378" s="47" t="n">
        <f aca="false">IF(J2378=1,N(I2378)+ROW()/10000000,0)</f>
        <v>0</v>
      </c>
      <c r="L2378" s="47" t="str">
        <f aca="false">IF(AND(J2378=1,N(I2378)&gt;0),SUMIF($K$2:$K$5001,"&gt;="&amp;K2378,$I$2:$I$5001)/MAX(1,SUM($H$2:$H$5001)),"")</f>
        <v/>
      </c>
      <c r="M2378" s="47" t="str">
        <f aca="false">IF($A2378="","",INDEX($L$2:$L$5001,MATCH($A2378,$A$2:$A$5001,0)))</f>
        <v/>
      </c>
      <c r="N2378" s="48" t="str">
        <f aca="false">IF($A2378="","",IF(N(M2378)=0,"–",IF(M2378&lt;=Start!$D$20,"A",IF(M2378&lt;=Start!$D$21,"B","C"))))</f>
        <v/>
      </c>
      <c r="O2378" s="48" t="str">
        <f aca="false">IF($A2378="","",IF(NOT(ISNUMBER(F2378)),"Wert fehlt; ",IF(F2378&lt;=0,"Wert ist 0; ",""))&amp;IF(NOT(ISNUMBER(E2378)),"Bestand fehlt; ",IF(E2378&lt;0,"Bestand negativ; ",IF(E2378=0,"Nullbestand; ","")))&amp;IF(D2378="","Warengruppe fehlt; ","")&amp;IF(B2378="","Bezeichnung fehlt; ","")&amp;IF(COUNTIFS($A$2:$A$5001,$A2378,$C$2:$C$5001,C2378)&gt;1,"Artikel doppelt im selben Lager; ",""))</f>
        <v/>
      </c>
      <c r="P2378" s="47" t="n">
        <f aca="false">IF(OR($A2378="",D2378=""),0,IF(COUNTIF($D$2:D2378,D2378)=1,SUMIF($D$2:$D$5001,D2378,$H$2:$H$5001)+ROW()/10000000,0))</f>
        <v>0</v>
      </c>
      <c r="Q2378" s="47" t="n">
        <f aca="false">IF(OR($A2378="",C2378=""),0,IF(COUNTIF($C$2:C2378,C2378)=1,SUMIF($C$2:$C$5001,C2378,$H$2:$H$5001)+ROW()/10000000,0))</f>
        <v>0</v>
      </c>
    </row>
    <row r="2379" customFormat="false" ht="15" hidden="false" customHeight="false" outlineLevel="0" collapsed="false">
      <c r="A2379" s="43"/>
      <c r="B2379" s="44"/>
      <c r="C2379" s="44"/>
      <c r="D2379" s="44"/>
      <c r="E2379" s="44"/>
      <c r="F2379" s="44"/>
      <c r="G2379" s="44"/>
      <c r="H2379" s="46" t="str">
        <f aca="false">IF($A2379="","",IF(OR(NOT(ISNUMBER(E2379)),NOT(ISNUMBER(F2379))),"",MAX(0,E2379)*F2379))</f>
        <v/>
      </c>
      <c r="I2379" s="46" t="str">
        <f aca="false">IF($A2379="","",SUMIF($A$2:$A$5001,$A2379,$H$2:$H$5001))</f>
        <v/>
      </c>
      <c r="J2379" s="47" t="n">
        <f aca="false">IF($A2379="",0,IF(COUNTIF($A$2:A2379,$A2379)=1,1,0))</f>
        <v>0</v>
      </c>
      <c r="K2379" s="47" t="n">
        <f aca="false">IF(J2379=1,N(I2379)+ROW()/10000000,0)</f>
        <v>0</v>
      </c>
      <c r="L2379" s="47" t="str">
        <f aca="false">IF(AND(J2379=1,N(I2379)&gt;0),SUMIF($K$2:$K$5001,"&gt;="&amp;K2379,$I$2:$I$5001)/MAX(1,SUM($H$2:$H$5001)),"")</f>
        <v/>
      </c>
      <c r="M2379" s="47" t="str">
        <f aca="false">IF($A2379="","",INDEX($L$2:$L$5001,MATCH($A2379,$A$2:$A$5001,0)))</f>
        <v/>
      </c>
      <c r="N2379" s="48" t="str">
        <f aca="false">IF($A2379="","",IF(N(M2379)=0,"–",IF(M2379&lt;=Start!$D$20,"A",IF(M2379&lt;=Start!$D$21,"B","C"))))</f>
        <v/>
      </c>
      <c r="O2379" s="48" t="str">
        <f aca="false">IF($A2379="","",IF(NOT(ISNUMBER(F2379)),"Wert fehlt; ",IF(F2379&lt;=0,"Wert ist 0; ",""))&amp;IF(NOT(ISNUMBER(E2379)),"Bestand fehlt; ",IF(E2379&lt;0,"Bestand negativ; ",IF(E2379=0,"Nullbestand; ","")))&amp;IF(D2379="","Warengruppe fehlt; ","")&amp;IF(B2379="","Bezeichnung fehlt; ","")&amp;IF(COUNTIFS($A$2:$A$5001,$A2379,$C$2:$C$5001,C2379)&gt;1,"Artikel doppelt im selben Lager; ",""))</f>
        <v/>
      </c>
      <c r="P2379" s="47" t="n">
        <f aca="false">IF(OR($A2379="",D2379=""),0,IF(COUNTIF($D$2:D2379,D2379)=1,SUMIF($D$2:$D$5001,D2379,$H$2:$H$5001)+ROW()/10000000,0))</f>
        <v>0</v>
      </c>
      <c r="Q2379" s="47" t="n">
        <f aca="false">IF(OR($A2379="",C2379=""),0,IF(COUNTIF($C$2:C2379,C2379)=1,SUMIF($C$2:$C$5001,C2379,$H$2:$H$5001)+ROW()/10000000,0))</f>
        <v>0</v>
      </c>
    </row>
    <row r="2380" customFormat="false" ht="15" hidden="false" customHeight="false" outlineLevel="0" collapsed="false">
      <c r="A2380" s="43"/>
      <c r="B2380" s="44"/>
      <c r="C2380" s="44"/>
      <c r="D2380" s="44"/>
      <c r="E2380" s="44"/>
      <c r="F2380" s="44"/>
      <c r="G2380" s="44"/>
      <c r="H2380" s="46" t="str">
        <f aca="false">IF($A2380="","",IF(OR(NOT(ISNUMBER(E2380)),NOT(ISNUMBER(F2380))),"",MAX(0,E2380)*F2380))</f>
        <v/>
      </c>
      <c r="I2380" s="46" t="str">
        <f aca="false">IF($A2380="","",SUMIF($A$2:$A$5001,$A2380,$H$2:$H$5001))</f>
        <v/>
      </c>
      <c r="J2380" s="47" t="n">
        <f aca="false">IF($A2380="",0,IF(COUNTIF($A$2:A2380,$A2380)=1,1,0))</f>
        <v>0</v>
      </c>
      <c r="K2380" s="47" t="n">
        <f aca="false">IF(J2380=1,N(I2380)+ROW()/10000000,0)</f>
        <v>0</v>
      </c>
      <c r="L2380" s="47" t="str">
        <f aca="false">IF(AND(J2380=1,N(I2380)&gt;0),SUMIF($K$2:$K$5001,"&gt;="&amp;K2380,$I$2:$I$5001)/MAX(1,SUM($H$2:$H$5001)),"")</f>
        <v/>
      </c>
      <c r="M2380" s="47" t="str">
        <f aca="false">IF($A2380="","",INDEX($L$2:$L$5001,MATCH($A2380,$A$2:$A$5001,0)))</f>
        <v/>
      </c>
      <c r="N2380" s="48" t="str">
        <f aca="false">IF($A2380="","",IF(N(M2380)=0,"–",IF(M2380&lt;=Start!$D$20,"A",IF(M2380&lt;=Start!$D$21,"B","C"))))</f>
        <v/>
      </c>
      <c r="O2380" s="48" t="str">
        <f aca="false">IF($A2380="","",IF(NOT(ISNUMBER(F2380)),"Wert fehlt; ",IF(F2380&lt;=0,"Wert ist 0; ",""))&amp;IF(NOT(ISNUMBER(E2380)),"Bestand fehlt; ",IF(E2380&lt;0,"Bestand negativ; ",IF(E2380=0,"Nullbestand; ","")))&amp;IF(D2380="","Warengruppe fehlt; ","")&amp;IF(B2380="","Bezeichnung fehlt; ","")&amp;IF(COUNTIFS($A$2:$A$5001,$A2380,$C$2:$C$5001,C2380)&gt;1,"Artikel doppelt im selben Lager; ",""))</f>
        <v/>
      </c>
      <c r="P2380" s="47" t="n">
        <f aca="false">IF(OR($A2380="",D2380=""),0,IF(COUNTIF($D$2:D2380,D2380)=1,SUMIF($D$2:$D$5001,D2380,$H$2:$H$5001)+ROW()/10000000,0))</f>
        <v>0</v>
      </c>
      <c r="Q2380" s="47" t="n">
        <f aca="false">IF(OR($A2380="",C2380=""),0,IF(COUNTIF($C$2:C2380,C2380)=1,SUMIF($C$2:$C$5001,C2380,$H$2:$H$5001)+ROW()/10000000,0))</f>
        <v>0</v>
      </c>
    </row>
    <row r="2381" customFormat="false" ht="15" hidden="false" customHeight="false" outlineLevel="0" collapsed="false">
      <c r="A2381" s="43"/>
      <c r="B2381" s="44"/>
      <c r="C2381" s="44"/>
      <c r="D2381" s="44"/>
      <c r="E2381" s="44"/>
      <c r="F2381" s="44"/>
      <c r="G2381" s="44"/>
      <c r="H2381" s="46" t="str">
        <f aca="false">IF($A2381="","",IF(OR(NOT(ISNUMBER(E2381)),NOT(ISNUMBER(F2381))),"",MAX(0,E2381)*F2381))</f>
        <v/>
      </c>
      <c r="I2381" s="46" t="str">
        <f aca="false">IF($A2381="","",SUMIF($A$2:$A$5001,$A2381,$H$2:$H$5001))</f>
        <v/>
      </c>
      <c r="J2381" s="47" t="n">
        <f aca="false">IF($A2381="",0,IF(COUNTIF($A$2:A2381,$A2381)=1,1,0))</f>
        <v>0</v>
      </c>
      <c r="K2381" s="47" t="n">
        <f aca="false">IF(J2381=1,N(I2381)+ROW()/10000000,0)</f>
        <v>0</v>
      </c>
      <c r="L2381" s="47" t="str">
        <f aca="false">IF(AND(J2381=1,N(I2381)&gt;0),SUMIF($K$2:$K$5001,"&gt;="&amp;K2381,$I$2:$I$5001)/MAX(1,SUM($H$2:$H$5001)),"")</f>
        <v/>
      </c>
      <c r="M2381" s="47" t="str">
        <f aca="false">IF($A2381="","",INDEX($L$2:$L$5001,MATCH($A2381,$A$2:$A$5001,0)))</f>
        <v/>
      </c>
      <c r="N2381" s="48" t="str">
        <f aca="false">IF($A2381="","",IF(N(M2381)=0,"–",IF(M2381&lt;=Start!$D$20,"A",IF(M2381&lt;=Start!$D$21,"B","C"))))</f>
        <v/>
      </c>
      <c r="O2381" s="48" t="str">
        <f aca="false">IF($A2381="","",IF(NOT(ISNUMBER(F2381)),"Wert fehlt; ",IF(F2381&lt;=0,"Wert ist 0; ",""))&amp;IF(NOT(ISNUMBER(E2381)),"Bestand fehlt; ",IF(E2381&lt;0,"Bestand negativ; ",IF(E2381=0,"Nullbestand; ","")))&amp;IF(D2381="","Warengruppe fehlt; ","")&amp;IF(B2381="","Bezeichnung fehlt; ","")&amp;IF(COUNTIFS($A$2:$A$5001,$A2381,$C$2:$C$5001,C2381)&gt;1,"Artikel doppelt im selben Lager; ",""))</f>
        <v/>
      </c>
      <c r="P2381" s="47" t="n">
        <f aca="false">IF(OR($A2381="",D2381=""),0,IF(COUNTIF($D$2:D2381,D2381)=1,SUMIF($D$2:$D$5001,D2381,$H$2:$H$5001)+ROW()/10000000,0))</f>
        <v>0</v>
      </c>
      <c r="Q2381" s="47" t="n">
        <f aca="false">IF(OR($A2381="",C2381=""),0,IF(COUNTIF($C$2:C2381,C2381)=1,SUMIF($C$2:$C$5001,C2381,$H$2:$H$5001)+ROW()/10000000,0))</f>
        <v>0</v>
      </c>
    </row>
    <row r="2382" customFormat="false" ht="15" hidden="false" customHeight="false" outlineLevel="0" collapsed="false">
      <c r="A2382" s="43"/>
      <c r="B2382" s="44"/>
      <c r="C2382" s="44"/>
      <c r="D2382" s="44"/>
      <c r="E2382" s="44"/>
      <c r="F2382" s="44"/>
      <c r="G2382" s="44"/>
      <c r="H2382" s="46" t="str">
        <f aca="false">IF($A2382="","",IF(OR(NOT(ISNUMBER(E2382)),NOT(ISNUMBER(F2382))),"",MAX(0,E2382)*F2382))</f>
        <v/>
      </c>
      <c r="I2382" s="46" t="str">
        <f aca="false">IF($A2382="","",SUMIF($A$2:$A$5001,$A2382,$H$2:$H$5001))</f>
        <v/>
      </c>
      <c r="J2382" s="47" t="n">
        <f aca="false">IF($A2382="",0,IF(COUNTIF($A$2:A2382,$A2382)=1,1,0))</f>
        <v>0</v>
      </c>
      <c r="K2382" s="47" t="n">
        <f aca="false">IF(J2382=1,N(I2382)+ROW()/10000000,0)</f>
        <v>0</v>
      </c>
      <c r="L2382" s="47" t="str">
        <f aca="false">IF(AND(J2382=1,N(I2382)&gt;0),SUMIF($K$2:$K$5001,"&gt;="&amp;K2382,$I$2:$I$5001)/MAX(1,SUM($H$2:$H$5001)),"")</f>
        <v/>
      </c>
      <c r="M2382" s="47" t="str">
        <f aca="false">IF($A2382="","",INDEX($L$2:$L$5001,MATCH($A2382,$A$2:$A$5001,0)))</f>
        <v/>
      </c>
      <c r="N2382" s="48" t="str">
        <f aca="false">IF($A2382="","",IF(N(M2382)=0,"–",IF(M2382&lt;=Start!$D$20,"A",IF(M2382&lt;=Start!$D$21,"B","C"))))</f>
        <v/>
      </c>
      <c r="O2382" s="48" t="str">
        <f aca="false">IF($A2382="","",IF(NOT(ISNUMBER(F2382)),"Wert fehlt; ",IF(F2382&lt;=0,"Wert ist 0; ",""))&amp;IF(NOT(ISNUMBER(E2382)),"Bestand fehlt; ",IF(E2382&lt;0,"Bestand negativ; ",IF(E2382=0,"Nullbestand; ","")))&amp;IF(D2382="","Warengruppe fehlt; ","")&amp;IF(B2382="","Bezeichnung fehlt; ","")&amp;IF(COUNTIFS($A$2:$A$5001,$A2382,$C$2:$C$5001,C2382)&gt;1,"Artikel doppelt im selben Lager; ",""))</f>
        <v/>
      </c>
      <c r="P2382" s="47" t="n">
        <f aca="false">IF(OR($A2382="",D2382=""),0,IF(COUNTIF($D$2:D2382,D2382)=1,SUMIF($D$2:$D$5001,D2382,$H$2:$H$5001)+ROW()/10000000,0))</f>
        <v>0</v>
      </c>
      <c r="Q2382" s="47" t="n">
        <f aca="false">IF(OR($A2382="",C2382=""),0,IF(COUNTIF($C$2:C2382,C2382)=1,SUMIF($C$2:$C$5001,C2382,$H$2:$H$5001)+ROW()/10000000,0))</f>
        <v>0</v>
      </c>
    </row>
    <row r="2383" customFormat="false" ht="15" hidden="false" customHeight="false" outlineLevel="0" collapsed="false">
      <c r="A2383" s="43"/>
      <c r="B2383" s="44"/>
      <c r="C2383" s="44"/>
      <c r="D2383" s="44"/>
      <c r="E2383" s="44"/>
      <c r="F2383" s="44"/>
      <c r="G2383" s="44"/>
      <c r="H2383" s="46" t="str">
        <f aca="false">IF($A2383="","",IF(OR(NOT(ISNUMBER(E2383)),NOT(ISNUMBER(F2383))),"",MAX(0,E2383)*F2383))</f>
        <v/>
      </c>
      <c r="I2383" s="46" t="str">
        <f aca="false">IF($A2383="","",SUMIF($A$2:$A$5001,$A2383,$H$2:$H$5001))</f>
        <v/>
      </c>
      <c r="J2383" s="47" t="n">
        <f aca="false">IF($A2383="",0,IF(COUNTIF($A$2:A2383,$A2383)=1,1,0))</f>
        <v>0</v>
      </c>
      <c r="K2383" s="47" t="n">
        <f aca="false">IF(J2383=1,N(I2383)+ROW()/10000000,0)</f>
        <v>0</v>
      </c>
      <c r="L2383" s="47" t="str">
        <f aca="false">IF(AND(J2383=1,N(I2383)&gt;0),SUMIF($K$2:$K$5001,"&gt;="&amp;K2383,$I$2:$I$5001)/MAX(1,SUM($H$2:$H$5001)),"")</f>
        <v/>
      </c>
      <c r="M2383" s="47" t="str">
        <f aca="false">IF($A2383="","",INDEX($L$2:$L$5001,MATCH($A2383,$A$2:$A$5001,0)))</f>
        <v/>
      </c>
      <c r="N2383" s="48" t="str">
        <f aca="false">IF($A2383="","",IF(N(M2383)=0,"–",IF(M2383&lt;=Start!$D$20,"A",IF(M2383&lt;=Start!$D$21,"B","C"))))</f>
        <v/>
      </c>
      <c r="O2383" s="48" t="str">
        <f aca="false">IF($A2383="","",IF(NOT(ISNUMBER(F2383)),"Wert fehlt; ",IF(F2383&lt;=0,"Wert ist 0; ",""))&amp;IF(NOT(ISNUMBER(E2383)),"Bestand fehlt; ",IF(E2383&lt;0,"Bestand negativ; ",IF(E2383=0,"Nullbestand; ","")))&amp;IF(D2383="","Warengruppe fehlt; ","")&amp;IF(B2383="","Bezeichnung fehlt; ","")&amp;IF(COUNTIFS($A$2:$A$5001,$A2383,$C$2:$C$5001,C2383)&gt;1,"Artikel doppelt im selben Lager; ",""))</f>
        <v/>
      </c>
      <c r="P2383" s="47" t="n">
        <f aca="false">IF(OR($A2383="",D2383=""),0,IF(COUNTIF($D$2:D2383,D2383)=1,SUMIF($D$2:$D$5001,D2383,$H$2:$H$5001)+ROW()/10000000,0))</f>
        <v>0</v>
      </c>
      <c r="Q2383" s="47" t="n">
        <f aca="false">IF(OR($A2383="",C2383=""),0,IF(COUNTIF($C$2:C2383,C2383)=1,SUMIF($C$2:$C$5001,C2383,$H$2:$H$5001)+ROW()/10000000,0))</f>
        <v>0</v>
      </c>
    </row>
    <row r="2384" customFormat="false" ht="15" hidden="false" customHeight="false" outlineLevel="0" collapsed="false">
      <c r="A2384" s="43"/>
      <c r="B2384" s="44"/>
      <c r="C2384" s="44"/>
      <c r="D2384" s="44"/>
      <c r="E2384" s="44"/>
      <c r="F2384" s="44"/>
      <c r="G2384" s="44"/>
      <c r="H2384" s="46" t="str">
        <f aca="false">IF($A2384="","",IF(OR(NOT(ISNUMBER(E2384)),NOT(ISNUMBER(F2384))),"",MAX(0,E2384)*F2384))</f>
        <v/>
      </c>
      <c r="I2384" s="46" t="str">
        <f aca="false">IF($A2384="","",SUMIF($A$2:$A$5001,$A2384,$H$2:$H$5001))</f>
        <v/>
      </c>
      <c r="J2384" s="47" t="n">
        <f aca="false">IF($A2384="",0,IF(COUNTIF($A$2:A2384,$A2384)=1,1,0))</f>
        <v>0</v>
      </c>
      <c r="K2384" s="47" t="n">
        <f aca="false">IF(J2384=1,N(I2384)+ROW()/10000000,0)</f>
        <v>0</v>
      </c>
      <c r="L2384" s="47" t="str">
        <f aca="false">IF(AND(J2384=1,N(I2384)&gt;0),SUMIF($K$2:$K$5001,"&gt;="&amp;K2384,$I$2:$I$5001)/MAX(1,SUM($H$2:$H$5001)),"")</f>
        <v/>
      </c>
      <c r="M2384" s="47" t="str">
        <f aca="false">IF($A2384="","",INDEX($L$2:$L$5001,MATCH($A2384,$A$2:$A$5001,0)))</f>
        <v/>
      </c>
      <c r="N2384" s="48" t="str">
        <f aca="false">IF($A2384="","",IF(N(M2384)=0,"–",IF(M2384&lt;=Start!$D$20,"A",IF(M2384&lt;=Start!$D$21,"B","C"))))</f>
        <v/>
      </c>
      <c r="O2384" s="48" t="str">
        <f aca="false">IF($A2384="","",IF(NOT(ISNUMBER(F2384)),"Wert fehlt; ",IF(F2384&lt;=0,"Wert ist 0; ",""))&amp;IF(NOT(ISNUMBER(E2384)),"Bestand fehlt; ",IF(E2384&lt;0,"Bestand negativ; ",IF(E2384=0,"Nullbestand; ","")))&amp;IF(D2384="","Warengruppe fehlt; ","")&amp;IF(B2384="","Bezeichnung fehlt; ","")&amp;IF(COUNTIFS($A$2:$A$5001,$A2384,$C$2:$C$5001,C2384)&gt;1,"Artikel doppelt im selben Lager; ",""))</f>
        <v/>
      </c>
      <c r="P2384" s="47" t="n">
        <f aca="false">IF(OR($A2384="",D2384=""),0,IF(COUNTIF($D$2:D2384,D2384)=1,SUMIF($D$2:$D$5001,D2384,$H$2:$H$5001)+ROW()/10000000,0))</f>
        <v>0</v>
      </c>
      <c r="Q2384" s="47" t="n">
        <f aca="false">IF(OR($A2384="",C2384=""),0,IF(COUNTIF($C$2:C2384,C2384)=1,SUMIF($C$2:$C$5001,C2384,$H$2:$H$5001)+ROW()/10000000,0))</f>
        <v>0</v>
      </c>
    </row>
    <row r="2385" customFormat="false" ht="15" hidden="false" customHeight="false" outlineLevel="0" collapsed="false">
      <c r="A2385" s="43"/>
      <c r="B2385" s="44"/>
      <c r="C2385" s="44"/>
      <c r="D2385" s="44"/>
      <c r="E2385" s="44"/>
      <c r="F2385" s="44"/>
      <c r="G2385" s="44"/>
      <c r="H2385" s="46" t="str">
        <f aca="false">IF($A2385="","",IF(OR(NOT(ISNUMBER(E2385)),NOT(ISNUMBER(F2385))),"",MAX(0,E2385)*F2385))</f>
        <v/>
      </c>
      <c r="I2385" s="46" t="str">
        <f aca="false">IF($A2385="","",SUMIF($A$2:$A$5001,$A2385,$H$2:$H$5001))</f>
        <v/>
      </c>
      <c r="J2385" s="47" t="n">
        <f aca="false">IF($A2385="",0,IF(COUNTIF($A$2:A2385,$A2385)=1,1,0))</f>
        <v>0</v>
      </c>
      <c r="K2385" s="47" t="n">
        <f aca="false">IF(J2385=1,N(I2385)+ROW()/10000000,0)</f>
        <v>0</v>
      </c>
      <c r="L2385" s="47" t="str">
        <f aca="false">IF(AND(J2385=1,N(I2385)&gt;0),SUMIF($K$2:$K$5001,"&gt;="&amp;K2385,$I$2:$I$5001)/MAX(1,SUM($H$2:$H$5001)),"")</f>
        <v/>
      </c>
      <c r="M2385" s="47" t="str">
        <f aca="false">IF($A2385="","",INDEX($L$2:$L$5001,MATCH($A2385,$A$2:$A$5001,0)))</f>
        <v/>
      </c>
      <c r="N2385" s="48" t="str">
        <f aca="false">IF($A2385="","",IF(N(M2385)=0,"–",IF(M2385&lt;=Start!$D$20,"A",IF(M2385&lt;=Start!$D$21,"B","C"))))</f>
        <v/>
      </c>
      <c r="O2385" s="48" t="str">
        <f aca="false">IF($A2385="","",IF(NOT(ISNUMBER(F2385)),"Wert fehlt; ",IF(F2385&lt;=0,"Wert ist 0; ",""))&amp;IF(NOT(ISNUMBER(E2385)),"Bestand fehlt; ",IF(E2385&lt;0,"Bestand negativ; ",IF(E2385=0,"Nullbestand; ","")))&amp;IF(D2385="","Warengruppe fehlt; ","")&amp;IF(B2385="","Bezeichnung fehlt; ","")&amp;IF(COUNTIFS($A$2:$A$5001,$A2385,$C$2:$C$5001,C2385)&gt;1,"Artikel doppelt im selben Lager; ",""))</f>
        <v/>
      </c>
      <c r="P2385" s="47" t="n">
        <f aca="false">IF(OR($A2385="",D2385=""),0,IF(COUNTIF($D$2:D2385,D2385)=1,SUMIF($D$2:$D$5001,D2385,$H$2:$H$5001)+ROW()/10000000,0))</f>
        <v>0</v>
      </c>
      <c r="Q2385" s="47" t="n">
        <f aca="false">IF(OR($A2385="",C2385=""),0,IF(COUNTIF($C$2:C2385,C2385)=1,SUMIF($C$2:$C$5001,C2385,$H$2:$H$5001)+ROW()/10000000,0))</f>
        <v>0</v>
      </c>
    </row>
    <row r="2386" customFormat="false" ht="15" hidden="false" customHeight="false" outlineLevel="0" collapsed="false">
      <c r="A2386" s="43"/>
      <c r="B2386" s="44"/>
      <c r="C2386" s="44"/>
      <c r="D2386" s="44"/>
      <c r="E2386" s="44"/>
      <c r="F2386" s="44"/>
      <c r="G2386" s="44"/>
      <c r="H2386" s="46" t="str">
        <f aca="false">IF($A2386="","",IF(OR(NOT(ISNUMBER(E2386)),NOT(ISNUMBER(F2386))),"",MAX(0,E2386)*F2386))</f>
        <v/>
      </c>
      <c r="I2386" s="46" t="str">
        <f aca="false">IF($A2386="","",SUMIF($A$2:$A$5001,$A2386,$H$2:$H$5001))</f>
        <v/>
      </c>
      <c r="J2386" s="47" t="n">
        <f aca="false">IF($A2386="",0,IF(COUNTIF($A$2:A2386,$A2386)=1,1,0))</f>
        <v>0</v>
      </c>
      <c r="K2386" s="47" t="n">
        <f aca="false">IF(J2386=1,N(I2386)+ROW()/10000000,0)</f>
        <v>0</v>
      </c>
      <c r="L2386" s="47" t="str">
        <f aca="false">IF(AND(J2386=1,N(I2386)&gt;0),SUMIF($K$2:$K$5001,"&gt;="&amp;K2386,$I$2:$I$5001)/MAX(1,SUM($H$2:$H$5001)),"")</f>
        <v/>
      </c>
      <c r="M2386" s="47" t="str">
        <f aca="false">IF($A2386="","",INDEX($L$2:$L$5001,MATCH($A2386,$A$2:$A$5001,0)))</f>
        <v/>
      </c>
      <c r="N2386" s="48" t="str">
        <f aca="false">IF($A2386="","",IF(N(M2386)=0,"–",IF(M2386&lt;=Start!$D$20,"A",IF(M2386&lt;=Start!$D$21,"B","C"))))</f>
        <v/>
      </c>
      <c r="O2386" s="48" t="str">
        <f aca="false">IF($A2386="","",IF(NOT(ISNUMBER(F2386)),"Wert fehlt; ",IF(F2386&lt;=0,"Wert ist 0; ",""))&amp;IF(NOT(ISNUMBER(E2386)),"Bestand fehlt; ",IF(E2386&lt;0,"Bestand negativ; ",IF(E2386=0,"Nullbestand; ","")))&amp;IF(D2386="","Warengruppe fehlt; ","")&amp;IF(B2386="","Bezeichnung fehlt; ","")&amp;IF(COUNTIFS($A$2:$A$5001,$A2386,$C$2:$C$5001,C2386)&gt;1,"Artikel doppelt im selben Lager; ",""))</f>
        <v/>
      </c>
      <c r="P2386" s="47" t="n">
        <f aca="false">IF(OR($A2386="",D2386=""),0,IF(COUNTIF($D$2:D2386,D2386)=1,SUMIF($D$2:$D$5001,D2386,$H$2:$H$5001)+ROW()/10000000,0))</f>
        <v>0</v>
      </c>
      <c r="Q2386" s="47" t="n">
        <f aca="false">IF(OR($A2386="",C2386=""),0,IF(COUNTIF($C$2:C2386,C2386)=1,SUMIF($C$2:$C$5001,C2386,$H$2:$H$5001)+ROW()/10000000,0))</f>
        <v>0</v>
      </c>
    </row>
    <row r="2387" customFormat="false" ht="15" hidden="false" customHeight="false" outlineLevel="0" collapsed="false">
      <c r="A2387" s="43"/>
      <c r="B2387" s="44"/>
      <c r="C2387" s="44"/>
      <c r="D2387" s="44"/>
      <c r="E2387" s="44"/>
      <c r="F2387" s="44"/>
      <c r="G2387" s="44"/>
      <c r="H2387" s="46" t="str">
        <f aca="false">IF($A2387="","",IF(OR(NOT(ISNUMBER(E2387)),NOT(ISNUMBER(F2387))),"",MAX(0,E2387)*F2387))</f>
        <v/>
      </c>
      <c r="I2387" s="46" t="str">
        <f aca="false">IF($A2387="","",SUMIF($A$2:$A$5001,$A2387,$H$2:$H$5001))</f>
        <v/>
      </c>
      <c r="J2387" s="47" t="n">
        <f aca="false">IF($A2387="",0,IF(COUNTIF($A$2:A2387,$A2387)=1,1,0))</f>
        <v>0</v>
      </c>
      <c r="K2387" s="47" t="n">
        <f aca="false">IF(J2387=1,N(I2387)+ROW()/10000000,0)</f>
        <v>0</v>
      </c>
      <c r="L2387" s="47" t="str">
        <f aca="false">IF(AND(J2387=1,N(I2387)&gt;0),SUMIF($K$2:$K$5001,"&gt;="&amp;K2387,$I$2:$I$5001)/MAX(1,SUM($H$2:$H$5001)),"")</f>
        <v/>
      </c>
      <c r="M2387" s="47" t="str">
        <f aca="false">IF($A2387="","",INDEX($L$2:$L$5001,MATCH($A2387,$A$2:$A$5001,0)))</f>
        <v/>
      </c>
      <c r="N2387" s="48" t="str">
        <f aca="false">IF($A2387="","",IF(N(M2387)=0,"–",IF(M2387&lt;=Start!$D$20,"A",IF(M2387&lt;=Start!$D$21,"B","C"))))</f>
        <v/>
      </c>
      <c r="O2387" s="48" t="str">
        <f aca="false">IF($A2387="","",IF(NOT(ISNUMBER(F2387)),"Wert fehlt; ",IF(F2387&lt;=0,"Wert ist 0; ",""))&amp;IF(NOT(ISNUMBER(E2387)),"Bestand fehlt; ",IF(E2387&lt;0,"Bestand negativ; ",IF(E2387=0,"Nullbestand; ","")))&amp;IF(D2387="","Warengruppe fehlt; ","")&amp;IF(B2387="","Bezeichnung fehlt; ","")&amp;IF(COUNTIFS($A$2:$A$5001,$A2387,$C$2:$C$5001,C2387)&gt;1,"Artikel doppelt im selben Lager; ",""))</f>
        <v/>
      </c>
      <c r="P2387" s="47" t="n">
        <f aca="false">IF(OR($A2387="",D2387=""),0,IF(COUNTIF($D$2:D2387,D2387)=1,SUMIF($D$2:$D$5001,D2387,$H$2:$H$5001)+ROW()/10000000,0))</f>
        <v>0</v>
      </c>
      <c r="Q2387" s="47" t="n">
        <f aca="false">IF(OR($A2387="",C2387=""),0,IF(COUNTIF($C$2:C2387,C2387)=1,SUMIF($C$2:$C$5001,C2387,$H$2:$H$5001)+ROW()/10000000,0))</f>
        <v>0</v>
      </c>
    </row>
    <row r="2388" customFormat="false" ht="15" hidden="false" customHeight="false" outlineLevel="0" collapsed="false">
      <c r="A2388" s="43"/>
      <c r="B2388" s="44"/>
      <c r="C2388" s="44"/>
      <c r="D2388" s="44"/>
      <c r="E2388" s="44"/>
      <c r="F2388" s="44"/>
      <c r="G2388" s="44"/>
      <c r="H2388" s="46" t="str">
        <f aca="false">IF($A2388="","",IF(OR(NOT(ISNUMBER(E2388)),NOT(ISNUMBER(F2388))),"",MAX(0,E2388)*F2388))</f>
        <v/>
      </c>
      <c r="I2388" s="46" t="str">
        <f aca="false">IF($A2388="","",SUMIF($A$2:$A$5001,$A2388,$H$2:$H$5001))</f>
        <v/>
      </c>
      <c r="J2388" s="47" t="n">
        <f aca="false">IF($A2388="",0,IF(COUNTIF($A$2:A2388,$A2388)=1,1,0))</f>
        <v>0</v>
      </c>
      <c r="K2388" s="47" t="n">
        <f aca="false">IF(J2388=1,N(I2388)+ROW()/10000000,0)</f>
        <v>0</v>
      </c>
      <c r="L2388" s="47" t="str">
        <f aca="false">IF(AND(J2388=1,N(I2388)&gt;0),SUMIF($K$2:$K$5001,"&gt;="&amp;K2388,$I$2:$I$5001)/MAX(1,SUM($H$2:$H$5001)),"")</f>
        <v/>
      </c>
      <c r="M2388" s="47" t="str">
        <f aca="false">IF($A2388="","",INDEX($L$2:$L$5001,MATCH($A2388,$A$2:$A$5001,0)))</f>
        <v/>
      </c>
      <c r="N2388" s="48" t="str">
        <f aca="false">IF($A2388="","",IF(N(M2388)=0,"–",IF(M2388&lt;=Start!$D$20,"A",IF(M2388&lt;=Start!$D$21,"B","C"))))</f>
        <v/>
      </c>
      <c r="O2388" s="48" t="str">
        <f aca="false">IF($A2388="","",IF(NOT(ISNUMBER(F2388)),"Wert fehlt; ",IF(F2388&lt;=0,"Wert ist 0; ",""))&amp;IF(NOT(ISNUMBER(E2388)),"Bestand fehlt; ",IF(E2388&lt;0,"Bestand negativ; ",IF(E2388=0,"Nullbestand; ","")))&amp;IF(D2388="","Warengruppe fehlt; ","")&amp;IF(B2388="","Bezeichnung fehlt; ","")&amp;IF(COUNTIFS($A$2:$A$5001,$A2388,$C$2:$C$5001,C2388)&gt;1,"Artikel doppelt im selben Lager; ",""))</f>
        <v/>
      </c>
      <c r="P2388" s="47" t="n">
        <f aca="false">IF(OR($A2388="",D2388=""),0,IF(COUNTIF($D$2:D2388,D2388)=1,SUMIF($D$2:$D$5001,D2388,$H$2:$H$5001)+ROW()/10000000,0))</f>
        <v>0</v>
      </c>
      <c r="Q2388" s="47" t="n">
        <f aca="false">IF(OR($A2388="",C2388=""),0,IF(COUNTIF($C$2:C2388,C2388)=1,SUMIF($C$2:$C$5001,C2388,$H$2:$H$5001)+ROW()/10000000,0))</f>
        <v>0</v>
      </c>
    </row>
    <row r="2389" customFormat="false" ht="15" hidden="false" customHeight="false" outlineLevel="0" collapsed="false">
      <c r="A2389" s="43"/>
      <c r="B2389" s="44"/>
      <c r="C2389" s="44"/>
      <c r="D2389" s="44"/>
      <c r="E2389" s="44"/>
      <c r="F2389" s="44"/>
      <c r="G2389" s="44"/>
      <c r="H2389" s="46" t="str">
        <f aca="false">IF($A2389="","",IF(OR(NOT(ISNUMBER(E2389)),NOT(ISNUMBER(F2389))),"",MAX(0,E2389)*F2389))</f>
        <v/>
      </c>
      <c r="I2389" s="46" t="str">
        <f aca="false">IF($A2389="","",SUMIF($A$2:$A$5001,$A2389,$H$2:$H$5001))</f>
        <v/>
      </c>
      <c r="J2389" s="47" t="n">
        <f aca="false">IF($A2389="",0,IF(COUNTIF($A$2:A2389,$A2389)=1,1,0))</f>
        <v>0</v>
      </c>
      <c r="K2389" s="47" t="n">
        <f aca="false">IF(J2389=1,N(I2389)+ROW()/10000000,0)</f>
        <v>0</v>
      </c>
      <c r="L2389" s="47" t="str">
        <f aca="false">IF(AND(J2389=1,N(I2389)&gt;0),SUMIF($K$2:$K$5001,"&gt;="&amp;K2389,$I$2:$I$5001)/MAX(1,SUM($H$2:$H$5001)),"")</f>
        <v/>
      </c>
      <c r="M2389" s="47" t="str">
        <f aca="false">IF($A2389="","",INDEX($L$2:$L$5001,MATCH($A2389,$A$2:$A$5001,0)))</f>
        <v/>
      </c>
      <c r="N2389" s="48" t="str">
        <f aca="false">IF($A2389="","",IF(N(M2389)=0,"–",IF(M2389&lt;=Start!$D$20,"A",IF(M2389&lt;=Start!$D$21,"B","C"))))</f>
        <v/>
      </c>
      <c r="O2389" s="48" t="str">
        <f aca="false">IF($A2389="","",IF(NOT(ISNUMBER(F2389)),"Wert fehlt; ",IF(F2389&lt;=0,"Wert ist 0; ",""))&amp;IF(NOT(ISNUMBER(E2389)),"Bestand fehlt; ",IF(E2389&lt;0,"Bestand negativ; ",IF(E2389=0,"Nullbestand; ","")))&amp;IF(D2389="","Warengruppe fehlt; ","")&amp;IF(B2389="","Bezeichnung fehlt; ","")&amp;IF(COUNTIFS($A$2:$A$5001,$A2389,$C$2:$C$5001,C2389)&gt;1,"Artikel doppelt im selben Lager; ",""))</f>
        <v/>
      </c>
      <c r="P2389" s="47" t="n">
        <f aca="false">IF(OR($A2389="",D2389=""),0,IF(COUNTIF($D$2:D2389,D2389)=1,SUMIF($D$2:$D$5001,D2389,$H$2:$H$5001)+ROW()/10000000,0))</f>
        <v>0</v>
      </c>
      <c r="Q2389" s="47" t="n">
        <f aca="false">IF(OR($A2389="",C2389=""),0,IF(COUNTIF($C$2:C2389,C2389)=1,SUMIF($C$2:$C$5001,C2389,$H$2:$H$5001)+ROW()/10000000,0))</f>
        <v>0</v>
      </c>
    </row>
    <row r="2390" customFormat="false" ht="15" hidden="false" customHeight="false" outlineLevel="0" collapsed="false">
      <c r="A2390" s="43"/>
      <c r="B2390" s="44"/>
      <c r="C2390" s="44"/>
      <c r="D2390" s="44"/>
      <c r="E2390" s="44"/>
      <c r="F2390" s="44"/>
      <c r="G2390" s="44"/>
      <c r="H2390" s="46" t="str">
        <f aca="false">IF($A2390="","",IF(OR(NOT(ISNUMBER(E2390)),NOT(ISNUMBER(F2390))),"",MAX(0,E2390)*F2390))</f>
        <v/>
      </c>
      <c r="I2390" s="46" t="str">
        <f aca="false">IF($A2390="","",SUMIF($A$2:$A$5001,$A2390,$H$2:$H$5001))</f>
        <v/>
      </c>
      <c r="J2390" s="47" t="n">
        <f aca="false">IF($A2390="",0,IF(COUNTIF($A$2:A2390,$A2390)=1,1,0))</f>
        <v>0</v>
      </c>
      <c r="K2390" s="47" t="n">
        <f aca="false">IF(J2390=1,N(I2390)+ROW()/10000000,0)</f>
        <v>0</v>
      </c>
      <c r="L2390" s="47" t="str">
        <f aca="false">IF(AND(J2390=1,N(I2390)&gt;0),SUMIF($K$2:$K$5001,"&gt;="&amp;K2390,$I$2:$I$5001)/MAX(1,SUM($H$2:$H$5001)),"")</f>
        <v/>
      </c>
      <c r="M2390" s="47" t="str">
        <f aca="false">IF($A2390="","",INDEX($L$2:$L$5001,MATCH($A2390,$A$2:$A$5001,0)))</f>
        <v/>
      </c>
      <c r="N2390" s="48" t="str">
        <f aca="false">IF($A2390="","",IF(N(M2390)=0,"–",IF(M2390&lt;=Start!$D$20,"A",IF(M2390&lt;=Start!$D$21,"B","C"))))</f>
        <v/>
      </c>
      <c r="O2390" s="48" t="str">
        <f aca="false">IF($A2390="","",IF(NOT(ISNUMBER(F2390)),"Wert fehlt; ",IF(F2390&lt;=0,"Wert ist 0; ",""))&amp;IF(NOT(ISNUMBER(E2390)),"Bestand fehlt; ",IF(E2390&lt;0,"Bestand negativ; ",IF(E2390=0,"Nullbestand; ","")))&amp;IF(D2390="","Warengruppe fehlt; ","")&amp;IF(B2390="","Bezeichnung fehlt; ","")&amp;IF(COUNTIFS($A$2:$A$5001,$A2390,$C$2:$C$5001,C2390)&gt;1,"Artikel doppelt im selben Lager; ",""))</f>
        <v/>
      </c>
      <c r="P2390" s="47" t="n">
        <f aca="false">IF(OR($A2390="",D2390=""),0,IF(COUNTIF($D$2:D2390,D2390)=1,SUMIF($D$2:$D$5001,D2390,$H$2:$H$5001)+ROW()/10000000,0))</f>
        <v>0</v>
      </c>
      <c r="Q2390" s="47" t="n">
        <f aca="false">IF(OR($A2390="",C2390=""),0,IF(COUNTIF($C$2:C2390,C2390)=1,SUMIF($C$2:$C$5001,C2390,$H$2:$H$5001)+ROW()/10000000,0))</f>
        <v>0</v>
      </c>
    </row>
    <row r="2391" customFormat="false" ht="15" hidden="false" customHeight="false" outlineLevel="0" collapsed="false">
      <c r="A2391" s="43"/>
      <c r="B2391" s="44"/>
      <c r="C2391" s="44"/>
      <c r="D2391" s="44"/>
      <c r="E2391" s="44"/>
      <c r="F2391" s="44"/>
      <c r="G2391" s="44"/>
      <c r="H2391" s="46" t="str">
        <f aca="false">IF($A2391="","",IF(OR(NOT(ISNUMBER(E2391)),NOT(ISNUMBER(F2391))),"",MAX(0,E2391)*F2391))</f>
        <v/>
      </c>
      <c r="I2391" s="46" t="str">
        <f aca="false">IF($A2391="","",SUMIF($A$2:$A$5001,$A2391,$H$2:$H$5001))</f>
        <v/>
      </c>
      <c r="J2391" s="47" t="n">
        <f aca="false">IF($A2391="",0,IF(COUNTIF($A$2:A2391,$A2391)=1,1,0))</f>
        <v>0</v>
      </c>
      <c r="K2391" s="47" t="n">
        <f aca="false">IF(J2391=1,N(I2391)+ROW()/10000000,0)</f>
        <v>0</v>
      </c>
      <c r="L2391" s="47" t="str">
        <f aca="false">IF(AND(J2391=1,N(I2391)&gt;0),SUMIF($K$2:$K$5001,"&gt;="&amp;K2391,$I$2:$I$5001)/MAX(1,SUM($H$2:$H$5001)),"")</f>
        <v/>
      </c>
      <c r="M2391" s="47" t="str">
        <f aca="false">IF($A2391="","",INDEX($L$2:$L$5001,MATCH($A2391,$A$2:$A$5001,0)))</f>
        <v/>
      </c>
      <c r="N2391" s="48" t="str">
        <f aca="false">IF($A2391="","",IF(N(M2391)=0,"–",IF(M2391&lt;=Start!$D$20,"A",IF(M2391&lt;=Start!$D$21,"B","C"))))</f>
        <v/>
      </c>
      <c r="O2391" s="48" t="str">
        <f aca="false">IF($A2391="","",IF(NOT(ISNUMBER(F2391)),"Wert fehlt; ",IF(F2391&lt;=0,"Wert ist 0; ",""))&amp;IF(NOT(ISNUMBER(E2391)),"Bestand fehlt; ",IF(E2391&lt;0,"Bestand negativ; ",IF(E2391=0,"Nullbestand; ","")))&amp;IF(D2391="","Warengruppe fehlt; ","")&amp;IF(B2391="","Bezeichnung fehlt; ","")&amp;IF(COUNTIFS($A$2:$A$5001,$A2391,$C$2:$C$5001,C2391)&gt;1,"Artikel doppelt im selben Lager; ",""))</f>
        <v/>
      </c>
      <c r="P2391" s="47" t="n">
        <f aca="false">IF(OR($A2391="",D2391=""),0,IF(COUNTIF($D$2:D2391,D2391)=1,SUMIF($D$2:$D$5001,D2391,$H$2:$H$5001)+ROW()/10000000,0))</f>
        <v>0</v>
      </c>
      <c r="Q2391" s="47" t="n">
        <f aca="false">IF(OR($A2391="",C2391=""),0,IF(COUNTIF($C$2:C2391,C2391)=1,SUMIF($C$2:$C$5001,C2391,$H$2:$H$5001)+ROW()/10000000,0))</f>
        <v>0</v>
      </c>
    </row>
    <row r="2392" customFormat="false" ht="15" hidden="false" customHeight="false" outlineLevel="0" collapsed="false">
      <c r="A2392" s="43"/>
      <c r="B2392" s="44"/>
      <c r="C2392" s="44"/>
      <c r="D2392" s="44"/>
      <c r="E2392" s="44"/>
      <c r="F2392" s="44"/>
      <c r="G2392" s="44"/>
      <c r="H2392" s="46" t="str">
        <f aca="false">IF($A2392="","",IF(OR(NOT(ISNUMBER(E2392)),NOT(ISNUMBER(F2392))),"",MAX(0,E2392)*F2392))</f>
        <v/>
      </c>
      <c r="I2392" s="46" t="str">
        <f aca="false">IF($A2392="","",SUMIF($A$2:$A$5001,$A2392,$H$2:$H$5001))</f>
        <v/>
      </c>
      <c r="J2392" s="47" t="n">
        <f aca="false">IF($A2392="",0,IF(COUNTIF($A$2:A2392,$A2392)=1,1,0))</f>
        <v>0</v>
      </c>
      <c r="K2392" s="47" t="n">
        <f aca="false">IF(J2392=1,N(I2392)+ROW()/10000000,0)</f>
        <v>0</v>
      </c>
      <c r="L2392" s="47" t="str">
        <f aca="false">IF(AND(J2392=1,N(I2392)&gt;0),SUMIF($K$2:$K$5001,"&gt;="&amp;K2392,$I$2:$I$5001)/MAX(1,SUM($H$2:$H$5001)),"")</f>
        <v/>
      </c>
      <c r="M2392" s="47" t="str">
        <f aca="false">IF($A2392="","",INDEX($L$2:$L$5001,MATCH($A2392,$A$2:$A$5001,0)))</f>
        <v/>
      </c>
      <c r="N2392" s="48" t="str">
        <f aca="false">IF($A2392="","",IF(N(M2392)=0,"–",IF(M2392&lt;=Start!$D$20,"A",IF(M2392&lt;=Start!$D$21,"B","C"))))</f>
        <v/>
      </c>
      <c r="O2392" s="48" t="str">
        <f aca="false">IF($A2392="","",IF(NOT(ISNUMBER(F2392)),"Wert fehlt; ",IF(F2392&lt;=0,"Wert ist 0; ",""))&amp;IF(NOT(ISNUMBER(E2392)),"Bestand fehlt; ",IF(E2392&lt;0,"Bestand negativ; ",IF(E2392=0,"Nullbestand; ","")))&amp;IF(D2392="","Warengruppe fehlt; ","")&amp;IF(B2392="","Bezeichnung fehlt; ","")&amp;IF(COUNTIFS($A$2:$A$5001,$A2392,$C$2:$C$5001,C2392)&gt;1,"Artikel doppelt im selben Lager; ",""))</f>
        <v/>
      </c>
      <c r="P2392" s="47" t="n">
        <f aca="false">IF(OR($A2392="",D2392=""),0,IF(COUNTIF($D$2:D2392,D2392)=1,SUMIF($D$2:$D$5001,D2392,$H$2:$H$5001)+ROW()/10000000,0))</f>
        <v>0</v>
      </c>
      <c r="Q2392" s="47" t="n">
        <f aca="false">IF(OR($A2392="",C2392=""),0,IF(COUNTIF($C$2:C2392,C2392)=1,SUMIF($C$2:$C$5001,C2392,$H$2:$H$5001)+ROW()/10000000,0))</f>
        <v>0</v>
      </c>
    </row>
    <row r="2393" customFormat="false" ht="15" hidden="false" customHeight="false" outlineLevel="0" collapsed="false">
      <c r="A2393" s="43"/>
      <c r="B2393" s="44"/>
      <c r="C2393" s="44"/>
      <c r="D2393" s="44"/>
      <c r="E2393" s="44"/>
      <c r="F2393" s="44"/>
      <c r="G2393" s="44"/>
      <c r="H2393" s="46" t="str">
        <f aca="false">IF($A2393="","",IF(OR(NOT(ISNUMBER(E2393)),NOT(ISNUMBER(F2393))),"",MAX(0,E2393)*F2393))</f>
        <v/>
      </c>
      <c r="I2393" s="46" t="str">
        <f aca="false">IF($A2393="","",SUMIF($A$2:$A$5001,$A2393,$H$2:$H$5001))</f>
        <v/>
      </c>
      <c r="J2393" s="47" t="n">
        <f aca="false">IF($A2393="",0,IF(COUNTIF($A$2:A2393,$A2393)=1,1,0))</f>
        <v>0</v>
      </c>
      <c r="K2393" s="47" t="n">
        <f aca="false">IF(J2393=1,N(I2393)+ROW()/10000000,0)</f>
        <v>0</v>
      </c>
      <c r="L2393" s="47" t="str">
        <f aca="false">IF(AND(J2393=1,N(I2393)&gt;0),SUMIF($K$2:$K$5001,"&gt;="&amp;K2393,$I$2:$I$5001)/MAX(1,SUM($H$2:$H$5001)),"")</f>
        <v/>
      </c>
      <c r="M2393" s="47" t="str">
        <f aca="false">IF($A2393="","",INDEX($L$2:$L$5001,MATCH($A2393,$A$2:$A$5001,0)))</f>
        <v/>
      </c>
      <c r="N2393" s="48" t="str">
        <f aca="false">IF($A2393="","",IF(N(M2393)=0,"–",IF(M2393&lt;=Start!$D$20,"A",IF(M2393&lt;=Start!$D$21,"B","C"))))</f>
        <v/>
      </c>
      <c r="O2393" s="48" t="str">
        <f aca="false">IF($A2393="","",IF(NOT(ISNUMBER(F2393)),"Wert fehlt; ",IF(F2393&lt;=0,"Wert ist 0; ",""))&amp;IF(NOT(ISNUMBER(E2393)),"Bestand fehlt; ",IF(E2393&lt;0,"Bestand negativ; ",IF(E2393=0,"Nullbestand; ","")))&amp;IF(D2393="","Warengruppe fehlt; ","")&amp;IF(B2393="","Bezeichnung fehlt; ","")&amp;IF(COUNTIFS($A$2:$A$5001,$A2393,$C$2:$C$5001,C2393)&gt;1,"Artikel doppelt im selben Lager; ",""))</f>
        <v/>
      </c>
      <c r="P2393" s="47" t="n">
        <f aca="false">IF(OR($A2393="",D2393=""),0,IF(COUNTIF($D$2:D2393,D2393)=1,SUMIF($D$2:$D$5001,D2393,$H$2:$H$5001)+ROW()/10000000,0))</f>
        <v>0</v>
      </c>
      <c r="Q2393" s="47" t="n">
        <f aca="false">IF(OR($A2393="",C2393=""),0,IF(COUNTIF($C$2:C2393,C2393)=1,SUMIF($C$2:$C$5001,C2393,$H$2:$H$5001)+ROW()/10000000,0))</f>
        <v>0</v>
      </c>
    </row>
    <row r="2394" customFormat="false" ht="15" hidden="false" customHeight="false" outlineLevel="0" collapsed="false">
      <c r="A2394" s="43"/>
      <c r="B2394" s="44"/>
      <c r="C2394" s="44"/>
      <c r="D2394" s="44"/>
      <c r="E2394" s="44"/>
      <c r="F2394" s="44"/>
      <c r="G2394" s="44"/>
      <c r="H2394" s="46" t="str">
        <f aca="false">IF($A2394="","",IF(OR(NOT(ISNUMBER(E2394)),NOT(ISNUMBER(F2394))),"",MAX(0,E2394)*F2394))</f>
        <v/>
      </c>
      <c r="I2394" s="46" t="str">
        <f aca="false">IF($A2394="","",SUMIF($A$2:$A$5001,$A2394,$H$2:$H$5001))</f>
        <v/>
      </c>
      <c r="J2394" s="47" t="n">
        <f aca="false">IF($A2394="",0,IF(COUNTIF($A$2:A2394,$A2394)=1,1,0))</f>
        <v>0</v>
      </c>
      <c r="K2394" s="47" t="n">
        <f aca="false">IF(J2394=1,N(I2394)+ROW()/10000000,0)</f>
        <v>0</v>
      </c>
      <c r="L2394" s="47" t="str">
        <f aca="false">IF(AND(J2394=1,N(I2394)&gt;0),SUMIF($K$2:$K$5001,"&gt;="&amp;K2394,$I$2:$I$5001)/MAX(1,SUM($H$2:$H$5001)),"")</f>
        <v/>
      </c>
      <c r="M2394" s="47" t="str">
        <f aca="false">IF($A2394="","",INDEX($L$2:$L$5001,MATCH($A2394,$A$2:$A$5001,0)))</f>
        <v/>
      </c>
      <c r="N2394" s="48" t="str">
        <f aca="false">IF($A2394="","",IF(N(M2394)=0,"–",IF(M2394&lt;=Start!$D$20,"A",IF(M2394&lt;=Start!$D$21,"B","C"))))</f>
        <v/>
      </c>
      <c r="O2394" s="48" t="str">
        <f aca="false">IF($A2394="","",IF(NOT(ISNUMBER(F2394)),"Wert fehlt; ",IF(F2394&lt;=0,"Wert ist 0; ",""))&amp;IF(NOT(ISNUMBER(E2394)),"Bestand fehlt; ",IF(E2394&lt;0,"Bestand negativ; ",IF(E2394=0,"Nullbestand; ","")))&amp;IF(D2394="","Warengruppe fehlt; ","")&amp;IF(B2394="","Bezeichnung fehlt; ","")&amp;IF(COUNTIFS($A$2:$A$5001,$A2394,$C$2:$C$5001,C2394)&gt;1,"Artikel doppelt im selben Lager; ",""))</f>
        <v/>
      </c>
      <c r="P2394" s="47" t="n">
        <f aca="false">IF(OR($A2394="",D2394=""),0,IF(COUNTIF($D$2:D2394,D2394)=1,SUMIF($D$2:$D$5001,D2394,$H$2:$H$5001)+ROW()/10000000,0))</f>
        <v>0</v>
      </c>
      <c r="Q2394" s="47" t="n">
        <f aca="false">IF(OR($A2394="",C2394=""),0,IF(COUNTIF($C$2:C2394,C2394)=1,SUMIF($C$2:$C$5001,C2394,$H$2:$H$5001)+ROW()/10000000,0))</f>
        <v>0</v>
      </c>
    </row>
    <row r="2395" customFormat="false" ht="15" hidden="false" customHeight="false" outlineLevel="0" collapsed="false">
      <c r="A2395" s="43"/>
      <c r="B2395" s="44"/>
      <c r="C2395" s="44"/>
      <c r="D2395" s="44"/>
      <c r="E2395" s="44"/>
      <c r="F2395" s="44"/>
      <c r="G2395" s="44"/>
      <c r="H2395" s="46" t="str">
        <f aca="false">IF($A2395="","",IF(OR(NOT(ISNUMBER(E2395)),NOT(ISNUMBER(F2395))),"",MAX(0,E2395)*F2395))</f>
        <v/>
      </c>
      <c r="I2395" s="46" t="str">
        <f aca="false">IF($A2395="","",SUMIF($A$2:$A$5001,$A2395,$H$2:$H$5001))</f>
        <v/>
      </c>
      <c r="J2395" s="47" t="n">
        <f aca="false">IF($A2395="",0,IF(COUNTIF($A$2:A2395,$A2395)=1,1,0))</f>
        <v>0</v>
      </c>
      <c r="K2395" s="47" t="n">
        <f aca="false">IF(J2395=1,N(I2395)+ROW()/10000000,0)</f>
        <v>0</v>
      </c>
      <c r="L2395" s="47" t="str">
        <f aca="false">IF(AND(J2395=1,N(I2395)&gt;0),SUMIF($K$2:$K$5001,"&gt;="&amp;K2395,$I$2:$I$5001)/MAX(1,SUM($H$2:$H$5001)),"")</f>
        <v/>
      </c>
      <c r="M2395" s="47" t="str">
        <f aca="false">IF($A2395="","",INDEX($L$2:$L$5001,MATCH($A2395,$A$2:$A$5001,0)))</f>
        <v/>
      </c>
      <c r="N2395" s="48" t="str">
        <f aca="false">IF($A2395="","",IF(N(M2395)=0,"–",IF(M2395&lt;=Start!$D$20,"A",IF(M2395&lt;=Start!$D$21,"B","C"))))</f>
        <v/>
      </c>
      <c r="O2395" s="48" t="str">
        <f aca="false">IF($A2395="","",IF(NOT(ISNUMBER(F2395)),"Wert fehlt; ",IF(F2395&lt;=0,"Wert ist 0; ",""))&amp;IF(NOT(ISNUMBER(E2395)),"Bestand fehlt; ",IF(E2395&lt;0,"Bestand negativ; ",IF(E2395=0,"Nullbestand; ","")))&amp;IF(D2395="","Warengruppe fehlt; ","")&amp;IF(B2395="","Bezeichnung fehlt; ","")&amp;IF(COUNTIFS($A$2:$A$5001,$A2395,$C$2:$C$5001,C2395)&gt;1,"Artikel doppelt im selben Lager; ",""))</f>
        <v/>
      </c>
      <c r="P2395" s="47" t="n">
        <f aca="false">IF(OR($A2395="",D2395=""),0,IF(COUNTIF($D$2:D2395,D2395)=1,SUMIF($D$2:$D$5001,D2395,$H$2:$H$5001)+ROW()/10000000,0))</f>
        <v>0</v>
      </c>
      <c r="Q2395" s="47" t="n">
        <f aca="false">IF(OR($A2395="",C2395=""),0,IF(COUNTIF($C$2:C2395,C2395)=1,SUMIF($C$2:$C$5001,C2395,$H$2:$H$5001)+ROW()/10000000,0))</f>
        <v>0</v>
      </c>
    </row>
    <row r="2396" customFormat="false" ht="15" hidden="false" customHeight="false" outlineLevel="0" collapsed="false">
      <c r="A2396" s="43"/>
      <c r="B2396" s="44"/>
      <c r="C2396" s="44"/>
      <c r="D2396" s="44"/>
      <c r="E2396" s="44"/>
      <c r="F2396" s="44"/>
      <c r="G2396" s="44"/>
      <c r="H2396" s="46" t="str">
        <f aca="false">IF($A2396="","",IF(OR(NOT(ISNUMBER(E2396)),NOT(ISNUMBER(F2396))),"",MAX(0,E2396)*F2396))</f>
        <v/>
      </c>
      <c r="I2396" s="46" t="str">
        <f aca="false">IF($A2396="","",SUMIF($A$2:$A$5001,$A2396,$H$2:$H$5001))</f>
        <v/>
      </c>
      <c r="J2396" s="47" t="n">
        <f aca="false">IF($A2396="",0,IF(COUNTIF($A$2:A2396,$A2396)=1,1,0))</f>
        <v>0</v>
      </c>
      <c r="K2396" s="47" t="n">
        <f aca="false">IF(J2396=1,N(I2396)+ROW()/10000000,0)</f>
        <v>0</v>
      </c>
      <c r="L2396" s="47" t="str">
        <f aca="false">IF(AND(J2396=1,N(I2396)&gt;0),SUMIF($K$2:$K$5001,"&gt;="&amp;K2396,$I$2:$I$5001)/MAX(1,SUM($H$2:$H$5001)),"")</f>
        <v/>
      </c>
      <c r="M2396" s="47" t="str">
        <f aca="false">IF($A2396="","",INDEX($L$2:$L$5001,MATCH($A2396,$A$2:$A$5001,0)))</f>
        <v/>
      </c>
      <c r="N2396" s="48" t="str">
        <f aca="false">IF($A2396="","",IF(N(M2396)=0,"–",IF(M2396&lt;=Start!$D$20,"A",IF(M2396&lt;=Start!$D$21,"B","C"))))</f>
        <v/>
      </c>
      <c r="O2396" s="48" t="str">
        <f aca="false">IF($A2396="","",IF(NOT(ISNUMBER(F2396)),"Wert fehlt; ",IF(F2396&lt;=0,"Wert ist 0; ",""))&amp;IF(NOT(ISNUMBER(E2396)),"Bestand fehlt; ",IF(E2396&lt;0,"Bestand negativ; ",IF(E2396=0,"Nullbestand; ","")))&amp;IF(D2396="","Warengruppe fehlt; ","")&amp;IF(B2396="","Bezeichnung fehlt; ","")&amp;IF(COUNTIFS($A$2:$A$5001,$A2396,$C$2:$C$5001,C2396)&gt;1,"Artikel doppelt im selben Lager; ",""))</f>
        <v/>
      </c>
      <c r="P2396" s="47" t="n">
        <f aca="false">IF(OR($A2396="",D2396=""),0,IF(COUNTIF($D$2:D2396,D2396)=1,SUMIF($D$2:$D$5001,D2396,$H$2:$H$5001)+ROW()/10000000,0))</f>
        <v>0</v>
      </c>
      <c r="Q2396" s="47" t="n">
        <f aca="false">IF(OR($A2396="",C2396=""),0,IF(COUNTIF($C$2:C2396,C2396)=1,SUMIF($C$2:$C$5001,C2396,$H$2:$H$5001)+ROW()/10000000,0))</f>
        <v>0</v>
      </c>
    </row>
    <row r="2397" customFormat="false" ht="15" hidden="false" customHeight="false" outlineLevel="0" collapsed="false">
      <c r="A2397" s="43"/>
      <c r="B2397" s="44"/>
      <c r="C2397" s="44"/>
      <c r="D2397" s="44"/>
      <c r="E2397" s="44"/>
      <c r="F2397" s="44"/>
      <c r="G2397" s="44"/>
      <c r="H2397" s="46" t="str">
        <f aca="false">IF($A2397="","",IF(OR(NOT(ISNUMBER(E2397)),NOT(ISNUMBER(F2397))),"",MAX(0,E2397)*F2397))</f>
        <v/>
      </c>
      <c r="I2397" s="46" t="str">
        <f aca="false">IF($A2397="","",SUMIF($A$2:$A$5001,$A2397,$H$2:$H$5001))</f>
        <v/>
      </c>
      <c r="J2397" s="47" t="n">
        <f aca="false">IF($A2397="",0,IF(COUNTIF($A$2:A2397,$A2397)=1,1,0))</f>
        <v>0</v>
      </c>
      <c r="K2397" s="47" t="n">
        <f aca="false">IF(J2397=1,N(I2397)+ROW()/10000000,0)</f>
        <v>0</v>
      </c>
      <c r="L2397" s="47" t="str">
        <f aca="false">IF(AND(J2397=1,N(I2397)&gt;0),SUMIF($K$2:$K$5001,"&gt;="&amp;K2397,$I$2:$I$5001)/MAX(1,SUM($H$2:$H$5001)),"")</f>
        <v/>
      </c>
      <c r="M2397" s="47" t="str">
        <f aca="false">IF($A2397="","",INDEX($L$2:$L$5001,MATCH($A2397,$A$2:$A$5001,0)))</f>
        <v/>
      </c>
      <c r="N2397" s="48" t="str">
        <f aca="false">IF($A2397="","",IF(N(M2397)=0,"–",IF(M2397&lt;=Start!$D$20,"A",IF(M2397&lt;=Start!$D$21,"B","C"))))</f>
        <v/>
      </c>
      <c r="O2397" s="48" t="str">
        <f aca="false">IF($A2397="","",IF(NOT(ISNUMBER(F2397)),"Wert fehlt; ",IF(F2397&lt;=0,"Wert ist 0; ",""))&amp;IF(NOT(ISNUMBER(E2397)),"Bestand fehlt; ",IF(E2397&lt;0,"Bestand negativ; ",IF(E2397=0,"Nullbestand; ","")))&amp;IF(D2397="","Warengruppe fehlt; ","")&amp;IF(B2397="","Bezeichnung fehlt; ","")&amp;IF(COUNTIFS($A$2:$A$5001,$A2397,$C$2:$C$5001,C2397)&gt;1,"Artikel doppelt im selben Lager; ",""))</f>
        <v/>
      </c>
      <c r="P2397" s="47" t="n">
        <f aca="false">IF(OR($A2397="",D2397=""),0,IF(COUNTIF($D$2:D2397,D2397)=1,SUMIF($D$2:$D$5001,D2397,$H$2:$H$5001)+ROW()/10000000,0))</f>
        <v>0</v>
      </c>
      <c r="Q2397" s="47" t="n">
        <f aca="false">IF(OR($A2397="",C2397=""),0,IF(COUNTIF($C$2:C2397,C2397)=1,SUMIF($C$2:$C$5001,C2397,$H$2:$H$5001)+ROW()/10000000,0))</f>
        <v>0</v>
      </c>
    </row>
    <row r="2398" customFormat="false" ht="15" hidden="false" customHeight="false" outlineLevel="0" collapsed="false">
      <c r="A2398" s="43"/>
      <c r="B2398" s="44"/>
      <c r="C2398" s="44"/>
      <c r="D2398" s="44"/>
      <c r="E2398" s="44"/>
      <c r="F2398" s="44"/>
      <c r="G2398" s="44"/>
      <c r="H2398" s="46" t="str">
        <f aca="false">IF($A2398="","",IF(OR(NOT(ISNUMBER(E2398)),NOT(ISNUMBER(F2398))),"",MAX(0,E2398)*F2398))</f>
        <v/>
      </c>
      <c r="I2398" s="46" t="str">
        <f aca="false">IF($A2398="","",SUMIF($A$2:$A$5001,$A2398,$H$2:$H$5001))</f>
        <v/>
      </c>
      <c r="J2398" s="47" t="n">
        <f aca="false">IF($A2398="",0,IF(COUNTIF($A$2:A2398,$A2398)=1,1,0))</f>
        <v>0</v>
      </c>
      <c r="K2398" s="47" t="n">
        <f aca="false">IF(J2398=1,N(I2398)+ROW()/10000000,0)</f>
        <v>0</v>
      </c>
      <c r="L2398" s="47" t="str">
        <f aca="false">IF(AND(J2398=1,N(I2398)&gt;0),SUMIF($K$2:$K$5001,"&gt;="&amp;K2398,$I$2:$I$5001)/MAX(1,SUM($H$2:$H$5001)),"")</f>
        <v/>
      </c>
      <c r="M2398" s="47" t="str">
        <f aca="false">IF($A2398="","",INDEX($L$2:$L$5001,MATCH($A2398,$A$2:$A$5001,0)))</f>
        <v/>
      </c>
      <c r="N2398" s="48" t="str">
        <f aca="false">IF($A2398="","",IF(N(M2398)=0,"–",IF(M2398&lt;=Start!$D$20,"A",IF(M2398&lt;=Start!$D$21,"B","C"))))</f>
        <v/>
      </c>
      <c r="O2398" s="48" t="str">
        <f aca="false">IF($A2398="","",IF(NOT(ISNUMBER(F2398)),"Wert fehlt; ",IF(F2398&lt;=0,"Wert ist 0; ",""))&amp;IF(NOT(ISNUMBER(E2398)),"Bestand fehlt; ",IF(E2398&lt;0,"Bestand negativ; ",IF(E2398=0,"Nullbestand; ","")))&amp;IF(D2398="","Warengruppe fehlt; ","")&amp;IF(B2398="","Bezeichnung fehlt; ","")&amp;IF(COUNTIFS($A$2:$A$5001,$A2398,$C$2:$C$5001,C2398)&gt;1,"Artikel doppelt im selben Lager; ",""))</f>
        <v/>
      </c>
      <c r="P2398" s="47" t="n">
        <f aca="false">IF(OR($A2398="",D2398=""),0,IF(COUNTIF($D$2:D2398,D2398)=1,SUMIF($D$2:$D$5001,D2398,$H$2:$H$5001)+ROW()/10000000,0))</f>
        <v>0</v>
      </c>
      <c r="Q2398" s="47" t="n">
        <f aca="false">IF(OR($A2398="",C2398=""),0,IF(COUNTIF($C$2:C2398,C2398)=1,SUMIF($C$2:$C$5001,C2398,$H$2:$H$5001)+ROW()/10000000,0))</f>
        <v>0</v>
      </c>
    </row>
    <row r="2399" customFormat="false" ht="15" hidden="false" customHeight="false" outlineLevel="0" collapsed="false">
      <c r="A2399" s="43"/>
      <c r="B2399" s="44"/>
      <c r="C2399" s="44"/>
      <c r="D2399" s="44"/>
      <c r="E2399" s="44"/>
      <c r="F2399" s="44"/>
      <c r="G2399" s="44"/>
      <c r="H2399" s="46" t="str">
        <f aca="false">IF($A2399="","",IF(OR(NOT(ISNUMBER(E2399)),NOT(ISNUMBER(F2399))),"",MAX(0,E2399)*F2399))</f>
        <v/>
      </c>
      <c r="I2399" s="46" t="str">
        <f aca="false">IF($A2399="","",SUMIF($A$2:$A$5001,$A2399,$H$2:$H$5001))</f>
        <v/>
      </c>
      <c r="J2399" s="47" t="n">
        <f aca="false">IF($A2399="",0,IF(COUNTIF($A$2:A2399,$A2399)=1,1,0))</f>
        <v>0</v>
      </c>
      <c r="K2399" s="47" t="n">
        <f aca="false">IF(J2399=1,N(I2399)+ROW()/10000000,0)</f>
        <v>0</v>
      </c>
      <c r="L2399" s="47" t="str">
        <f aca="false">IF(AND(J2399=1,N(I2399)&gt;0),SUMIF($K$2:$K$5001,"&gt;="&amp;K2399,$I$2:$I$5001)/MAX(1,SUM($H$2:$H$5001)),"")</f>
        <v/>
      </c>
      <c r="M2399" s="47" t="str">
        <f aca="false">IF($A2399="","",INDEX($L$2:$L$5001,MATCH($A2399,$A$2:$A$5001,0)))</f>
        <v/>
      </c>
      <c r="N2399" s="48" t="str">
        <f aca="false">IF($A2399="","",IF(N(M2399)=0,"–",IF(M2399&lt;=Start!$D$20,"A",IF(M2399&lt;=Start!$D$21,"B","C"))))</f>
        <v/>
      </c>
      <c r="O2399" s="48" t="str">
        <f aca="false">IF($A2399="","",IF(NOT(ISNUMBER(F2399)),"Wert fehlt; ",IF(F2399&lt;=0,"Wert ist 0; ",""))&amp;IF(NOT(ISNUMBER(E2399)),"Bestand fehlt; ",IF(E2399&lt;0,"Bestand negativ; ",IF(E2399=0,"Nullbestand; ","")))&amp;IF(D2399="","Warengruppe fehlt; ","")&amp;IF(B2399="","Bezeichnung fehlt; ","")&amp;IF(COUNTIFS($A$2:$A$5001,$A2399,$C$2:$C$5001,C2399)&gt;1,"Artikel doppelt im selben Lager; ",""))</f>
        <v/>
      </c>
      <c r="P2399" s="47" t="n">
        <f aca="false">IF(OR($A2399="",D2399=""),0,IF(COUNTIF($D$2:D2399,D2399)=1,SUMIF($D$2:$D$5001,D2399,$H$2:$H$5001)+ROW()/10000000,0))</f>
        <v>0</v>
      </c>
      <c r="Q2399" s="47" t="n">
        <f aca="false">IF(OR($A2399="",C2399=""),0,IF(COUNTIF($C$2:C2399,C2399)=1,SUMIF($C$2:$C$5001,C2399,$H$2:$H$5001)+ROW()/10000000,0))</f>
        <v>0</v>
      </c>
    </row>
    <row r="2400" customFormat="false" ht="15" hidden="false" customHeight="false" outlineLevel="0" collapsed="false">
      <c r="A2400" s="43"/>
      <c r="B2400" s="44"/>
      <c r="C2400" s="44"/>
      <c r="D2400" s="44"/>
      <c r="E2400" s="44"/>
      <c r="F2400" s="44"/>
      <c r="G2400" s="44"/>
      <c r="H2400" s="46" t="str">
        <f aca="false">IF($A2400="","",IF(OR(NOT(ISNUMBER(E2400)),NOT(ISNUMBER(F2400))),"",MAX(0,E2400)*F2400))</f>
        <v/>
      </c>
      <c r="I2400" s="46" t="str">
        <f aca="false">IF($A2400="","",SUMIF($A$2:$A$5001,$A2400,$H$2:$H$5001))</f>
        <v/>
      </c>
      <c r="J2400" s="47" t="n">
        <f aca="false">IF($A2400="",0,IF(COUNTIF($A$2:A2400,$A2400)=1,1,0))</f>
        <v>0</v>
      </c>
      <c r="K2400" s="47" t="n">
        <f aca="false">IF(J2400=1,N(I2400)+ROW()/10000000,0)</f>
        <v>0</v>
      </c>
      <c r="L2400" s="47" t="str">
        <f aca="false">IF(AND(J2400=1,N(I2400)&gt;0),SUMIF($K$2:$K$5001,"&gt;="&amp;K2400,$I$2:$I$5001)/MAX(1,SUM($H$2:$H$5001)),"")</f>
        <v/>
      </c>
      <c r="M2400" s="47" t="str">
        <f aca="false">IF($A2400="","",INDEX($L$2:$L$5001,MATCH($A2400,$A$2:$A$5001,0)))</f>
        <v/>
      </c>
      <c r="N2400" s="48" t="str">
        <f aca="false">IF($A2400="","",IF(N(M2400)=0,"–",IF(M2400&lt;=Start!$D$20,"A",IF(M2400&lt;=Start!$D$21,"B","C"))))</f>
        <v/>
      </c>
      <c r="O2400" s="48" t="str">
        <f aca="false">IF($A2400="","",IF(NOT(ISNUMBER(F2400)),"Wert fehlt; ",IF(F2400&lt;=0,"Wert ist 0; ",""))&amp;IF(NOT(ISNUMBER(E2400)),"Bestand fehlt; ",IF(E2400&lt;0,"Bestand negativ; ",IF(E2400=0,"Nullbestand; ","")))&amp;IF(D2400="","Warengruppe fehlt; ","")&amp;IF(B2400="","Bezeichnung fehlt; ","")&amp;IF(COUNTIFS($A$2:$A$5001,$A2400,$C$2:$C$5001,C2400)&gt;1,"Artikel doppelt im selben Lager; ",""))</f>
        <v/>
      </c>
      <c r="P2400" s="47" t="n">
        <f aca="false">IF(OR($A2400="",D2400=""),0,IF(COUNTIF($D$2:D2400,D2400)=1,SUMIF($D$2:$D$5001,D2400,$H$2:$H$5001)+ROW()/10000000,0))</f>
        <v>0</v>
      </c>
      <c r="Q2400" s="47" t="n">
        <f aca="false">IF(OR($A2400="",C2400=""),0,IF(COUNTIF($C$2:C2400,C2400)=1,SUMIF($C$2:$C$5001,C2400,$H$2:$H$5001)+ROW()/10000000,0))</f>
        <v>0</v>
      </c>
    </row>
    <row r="2401" customFormat="false" ht="15" hidden="false" customHeight="false" outlineLevel="0" collapsed="false">
      <c r="A2401" s="43"/>
      <c r="B2401" s="44"/>
      <c r="C2401" s="44"/>
      <c r="D2401" s="44"/>
      <c r="E2401" s="44"/>
      <c r="F2401" s="44"/>
      <c r="G2401" s="44"/>
      <c r="H2401" s="46" t="str">
        <f aca="false">IF($A2401="","",IF(OR(NOT(ISNUMBER(E2401)),NOT(ISNUMBER(F2401))),"",MAX(0,E2401)*F2401))</f>
        <v/>
      </c>
      <c r="I2401" s="46" t="str">
        <f aca="false">IF($A2401="","",SUMIF($A$2:$A$5001,$A2401,$H$2:$H$5001))</f>
        <v/>
      </c>
      <c r="J2401" s="47" t="n">
        <f aca="false">IF($A2401="",0,IF(COUNTIF($A$2:A2401,$A2401)=1,1,0))</f>
        <v>0</v>
      </c>
      <c r="K2401" s="47" t="n">
        <f aca="false">IF(J2401=1,N(I2401)+ROW()/10000000,0)</f>
        <v>0</v>
      </c>
      <c r="L2401" s="47" t="str">
        <f aca="false">IF(AND(J2401=1,N(I2401)&gt;0),SUMIF($K$2:$K$5001,"&gt;="&amp;K2401,$I$2:$I$5001)/MAX(1,SUM($H$2:$H$5001)),"")</f>
        <v/>
      </c>
      <c r="M2401" s="47" t="str">
        <f aca="false">IF($A2401="","",INDEX($L$2:$L$5001,MATCH($A2401,$A$2:$A$5001,0)))</f>
        <v/>
      </c>
      <c r="N2401" s="48" t="str">
        <f aca="false">IF($A2401="","",IF(N(M2401)=0,"–",IF(M2401&lt;=Start!$D$20,"A",IF(M2401&lt;=Start!$D$21,"B","C"))))</f>
        <v/>
      </c>
      <c r="O2401" s="48" t="str">
        <f aca="false">IF($A2401="","",IF(NOT(ISNUMBER(F2401)),"Wert fehlt; ",IF(F2401&lt;=0,"Wert ist 0; ",""))&amp;IF(NOT(ISNUMBER(E2401)),"Bestand fehlt; ",IF(E2401&lt;0,"Bestand negativ; ",IF(E2401=0,"Nullbestand; ","")))&amp;IF(D2401="","Warengruppe fehlt; ","")&amp;IF(B2401="","Bezeichnung fehlt; ","")&amp;IF(COUNTIFS($A$2:$A$5001,$A2401,$C$2:$C$5001,C2401)&gt;1,"Artikel doppelt im selben Lager; ",""))</f>
        <v/>
      </c>
      <c r="P2401" s="47" t="n">
        <f aca="false">IF(OR($A2401="",D2401=""),0,IF(COUNTIF($D$2:D2401,D2401)=1,SUMIF($D$2:$D$5001,D2401,$H$2:$H$5001)+ROW()/10000000,0))</f>
        <v>0</v>
      </c>
      <c r="Q2401" s="47" t="n">
        <f aca="false">IF(OR($A2401="",C2401=""),0,IF(COUNTIF($C$2:C2401,C2401)=1,SUMIF($C$2:$C$5001,C2401,$H$2:$H$5001)+ROW()/10000000,0))</f>
        <v>0</v>
      </c>
    </row>
    <row r="2402" customFormat="false" ht="15" hidden="false" customHeight="false" outlineLevel="0" collapsed="false">
      <c r="A2402" s="43"/>
      <c r="B2402" s="44"/>
      <c r="C2402" s="44"/>
      <c r="D2402" s="44"/>
      <c r="E2402" s="44"/>
      <c r="F2402" s="44"/>
      <c r="G2402" s="44"/>
      <c r="H2402" s="46" t="str">
        <f aca="false">IF($A2402="","",IF(OR(NOT(ISNUMBER(E2402)),NOT(ISNUMBER(F2402))),"",MAX(0,E2402)*F2402))</f>
        <v/>
      </c>
      <c r="I2402" s="46" t="str">
        <f aca="false">IF($A2402="","",SUMIF($A$2:$A$5001,$A2402,$H$2:$H$5001))</f>
        <v/>
      </c>
      <c r="J2402" s="47" t="n">
        <f aca="false">IF($A2402="",0,IF(COUNTIF($A$2:A2402,$A2402)=1,1,0))</f>
        <v>0</v>
      </c>
      <c r="K2402" s="47" t="n">
        <f aca="false">IF(J2402=1,N(I2402)+ROW()/10000000,0)</f>
        <v>0</v>
      </c>
      <c r="L2402" s="47" t="str">
        <f aca="false">IF(AND(J2402=1,N(I2402)&gt;0),SUMIF($K$2:$K$5001,"&gt;="&amp;K2402,$I$2:$I$5001)/MAX(1,SUM($H$2:$H$5001)),"")</f>
        <v/>
      </c>
      <c r="M2402" s="47" t="str">
        <f aca="false">IF($A2402="","",INDEX($L$2:$L$5001,MATCH($A2402,$A$2:$A$5001,0)))</f>
        <v/>
      </c>
      <c r="N2402" s="48" t="str">
        <f aca="false">IF($A2402="","",IF(N(M2402)=0,"–",IF(M2402&lt;=Start!$D$20,"A",IF(M2402&lt;=Start!$D$21,"B","C"))))</f>
        <v/>
      </c>
      <c r="O2402" s="48" t="str">
        <f aca="false">IF($A2402="","",IF(NOT(ISNUMBER(F2402)),"Wert fehlt; ",IF(F2402&lt;=0,"Wert ist 0; ",""))&amp;IF(NOT(ISNUMBER(E2402)),"Bestand fehlt; ",IF(E2402&lt;0,"Bestand negativ; ",IF(E2402=0,"Nullbestand; ","")))&amp;IF(D2402="","Warengruppe fehlt; ","")&amp;IF(B2402="","Bezeichnung fehlt; ","")&amp;IF(COUNTIFS($A$2:$A$5001,$A2402,$C$2:$C$5001,C2402)&gt;1,"Artikel doppelt im selben Lager; ",""))</f>
        <v/>
      </c>
      <c r="P2402" s="47" t="n">
        <f aca="false">IF(OR($A2402="",D2402=""),0,IF(COUNTIF($D$2:D2402,D2402)=1,SUMIF($D$2:$D$5001,D2402,$H$2:$H$5001)+ROW()/10000000,0))</f>
        <v>0</v>
      </c>
      <c r="Q2402" s="47" t="n">
        <f aca="false">IF(OR($A2402="",C2402=""),0,IF(COUNTIF($C$2:C2402,C2402)=1,SUMIF($C$2:$C$5001,C2402,$H$2:$H$5001)+ROW()/10000000,0))</f>
        <v>0</v>
      </c>
    </row>
    <row r="2403" customFormat="false" ht="15" hidden="false" customHeight="false" outlineLevel="0" collapsed="false">
      <c r="A2403" s="43"/>
      <c r="B2403" s="44"/>
      <c r="C2403" s="44"/>
      <c r="D2403" s="44"/>
      <c r="E2403" s="44"/>
      <c r="F2403" s="44"/>
      <c r="G2403" s="44"/>
      <c r="H2403" s="46" t="str">
        <f aca="false">IF($A2403="","",IF(OR(NOT(ISNUMBER(E2403)),NOT(ISNUMBER(F2403))),"",MAX(0,E2403)*F2403))</f>
        <v/>
      </c>
      <c r="I2403" s="46" t="str">
        <f aca="false">IF($A2403="","",SUMIF($A$2:$A$5001,$A2403,$H$2:$H$5001))</f>
        <v/>
      </c>
      <c r="J2403" s="47" t="n">
        <f aca="false">IF($A2403="",0,IF(COUNTIF($A$2:A2403,$A2403)=1,1,0))</f>
        <v>0</v>
      </c>
      <c r="K2403" s="47" t="n">
        <f aca="false">IF(J2403=1,N(I2403)+ROW()/10000000,0)</f>
        <v>0</v>
      </c>
      <c r="L2403" s="47" t="str">
        <f aca="false">IF(AND(J2403=1,N(I2403)&gt;0),SUMIF($K$2:$K$5001,"&gt;="&amp;K2403,$I$2:$I$5001)/MAX(1,SUM($H$2:$H$5001)),"")</f>
        <v/>
      </c>
      <c r="M2403" s="47" t="str">
        <f aca="false">IF($A2403="","",INDEX($L$2:$L$5001,MATCH($A2403,$A$2:$A$5001,0)))</f>
        <v/>
      </c>
      <c r="N2403" s="48" t="str">
        <f aca="false">IF($A2403="","",IF(N(M2403)=0,"–",IF(M2403&lt;=Start!$D$20,"A",IF(M2403&lt;=Start!$D$21,"B","C"))))</f>
        <v/>
      </c>
      <c r="O2403" s="48" t="str">
        <f aca="false">IF($A2403="","",IF(NOT(ISNUMBER(F2403)),"Wert fehlt; ",IF(F2403&lt;=0,"Wert ist 0; ",""))&amp;IF(NOT(ISNUMBER(E2403)),"Bestand fehlt; ",IF(E2403&lt;0,"Bestand negativ; ",IF(E2403=0,"Nullbestand; ","")))&amp;IF(D2403="","Warengruppe fehlt; ","")&amp;IF(B2403="","Bezeichnung fehlt; ","")&amp;IF(COUNTIFS($A$2:$A$5001,$A2403,$C$2:$C$5001,C2403)&gt;1,"Artikel doppelt im selben Lager; ",""))</f>
        <v/>
      </c>
      <c r="P2403" s="47" t="n">
        <f aca="false">IF(OR($A2403="",D2403=""),0,IF(COUNTIF($D$2:D2403,D2403)=1,SUMIF($D$2:$D$5001,D2403,$H$2:$H$5001)+ROW()/10000000,0))</f>
        <v>0</v>
      </c>
      <c r="Q2403" s="47" t="n">
        <f aca="false">IF(OR($A2403="",C2403=""),0,IF(COUNTIF($C$2:C2403,C2403)=1,SUMIF($C$2:$C$5001,C2403,$H$2:$H$5001)+ROW()/10000000,0))</f>
        <v>0</v>
      </c>
    </row>
    <row r="2404" customFormat="false" ht="15" hidden="false" customHeight="false" outlineLevel="0" collapsed="false">
      <c r="A2404" s="43"/>
      <c r="B2404" s="44"/>
      <c r="C2404" s="44"/>
      <c r="D2404" s="44"/>
      <c r="E2404" s="44"/>
      <c r="F2404" s="44"/>
      <c r="G2404" s="44"/>
      <c r="H2404" s="46" t="str">
        <f aca="false">IF($A2404="","",IF(OR(NOT(ISNUMBER(E2404)),NOT(ISNUMBER(F2404))),"",MAX(0,E2404)*F2404))</f>
        <v/>
      </c>
      <c r="I2404" s="46" t="str">
        <f aca="false">IF($A2404="","",SUMIF($A$2:$A$5001,$A2404,$H$2:$H$5001))</f>
        <v/>
      </c>
      <c r="J2404" s="47" t="n">
        <f aca="false">IF($A2404="",0,IF(COUNTIF($A$2:A2404,$A2404)=1,1,0))</f>
        <v>0</v>
      </c>
      <c r="K2404" s="47" t="n">
        <f aca="false">IF(J2404=1,N(I2404)+ROW()/10000000,0)</f>
        <v>0</v>
      </c>
      <c r="L2404" s="47" t="str">
        <f aca="false">IF(AND(J2404=1,N(I2404)&gt;0),SUMIF($K$2:$K$5001,"&gt;="&amp;K2404,$I$2:$I$5001)/MAX(1,SUM($H$2:$H$5001)),"")</f>
        <v/>
      </c>
      <c r="M2404" s="47" t="str">
        <f aca="false">IF($A2404="","",INDEX($L$2:$L$5001,MATCH($A2404,$A$2:$A$5001,0)))</f>
        <v/>
      </c>
      <c r="N2404" s="48" t="str">
        <f aca="false">IF($A2404="","",IF(N(M2404)=0,"–",IF(M2404&lt;=Start!$D$20,"A",IF(M2404&lt;=Start!$D$21,"B","C"))))</f>
        <v/>
      </c>
      <c r="O2404" s="48" t="str">
        <f aca="false">IF($A2404="","",IF(NOT(ISNUMBER(F2404)),"Wert fehlt; ",IF(F2404&lt;=0,"Wert ist 0; ",""))&amp;IF(NOT(ISNUMBER(E2404)),"Bestand fehlt; ",IF(E2404&lt;0,"Bestand negativ; ",IF(E2404=0,"Nullbestand; ","")))&amp;IF(D2404="","Warengruppe fehlt; ","")&amp;IF(B2404="","Bezeichnung fehlt; ","")&amp;IF(COUNTIFS($A$2:$A$5001,$A2404,$C$2:$C$5001,C2404)&gt;1,"Artikel doppelt im selben Lager; ",""))</f>
        <v/>
      </c>
      <c r="P2404" s="47" t="n">
        <f aca="false">IF(OR($A2404="",D2404=""),0,IF(COUNTIF($D$2:D2404,D2404)=1,SUMIF($D$2:$D$5001,D2404,$H$2:$H$5001)+ROW()/10000000,0))</f>
        <v>0</v>
      </c>
      <c r="Q2404" s="47" t="n">
        <f aca="false">IF(OR($A2404="",C2404=""),0,IF(COUNTIF($C$2:C2404,C2404)=1,SUMIF($C$2:$C$5001,C2404,$H$2:$H$5001)+ROW()/10000000,0))</f>
        <v>0</v>
      </c>
    </row>
    <row r="2405" customFormat="false" ht="15" hidden="false" customHeight="false" outlineLevel="0" collapsed="false">
      <c r="A2405" s="43"/>
      <c r="B2405" s="44"/>
      <c r="C2405" s="44"/>
      <c r="D2405" s="44"/>
      <c r="E2405" s="44"/>
      <c r="F2405" s="44"/>
      <c r="G2405" s="44"/>
      <c r="H2405" s="46" t="str">
        <f aca="false">IF($A2405="","",IF(OR(NOT(ISNUMBER(E2405)),NOT(ISNUMBER(F2405))),"",MAX(0,E2405)*F2405))</f>
        <v/>
      </c>
      <c r="I2405" s="46" t="str">
        <f aca="false">IF($A2405="","",SUMIF($A$2:$A$5001,$A2405,$H$2:$H$5001))</f>
        <v/>
      </c>
      <c r="J2405" s="47" t="n">
        <f aca="false">IF($A2405="",0,IF(COUNTIF($A$2:A2405,$A2405)=1,1,0))</f>
        <v>0</v>
      </c>
      <c r="K2405" s="47" t="n">
        <f aca="false">IF(J2405=1,N(I2405)+ROW()/10000000,0)</f>
        <v>0</v>
      </c>
      <c r="L2405" s="47" t="str">
        <f aca="false">IF(AND(J2405=1,N(I2405)&gt;0),SUMIF($K$2:$K$5001,"&gt;="&amp;K2405,$I$2:$I$5001)/MAX(1,SUM($H$2:$H$5001)),"")</f>
        <v/>
      </c>
      <c r="M2405" s="47" t="str">
        <f aca="false">IF($A2405="","",INDEX($L$2:$L$5001,MATCH($A2405,$A$2:$A$5001,0)))</f>
        <v/>
      </c>
      <c r="N2405" s="48" t="str">
        <f aca="false">IF($A2405="","",IF(N(M2405)=0,"–",IF(M2405&lt;=Start!$D$20,"A",IF(M2405&lt;=Start!$D$21,"B","C"))))</f>
        <v/>
      </c>
      <c r="O2405" s="48" t="str">
        <f aca="false">IF($A2405="","",IF(NOT(ISNUMBER(F2405)),"Wert fehlt; ",IF(F2405&lt;=0,"Wert ist 0; ",""))&amp;IF(NOT(ISNUMBER(E2405)),"Bestand fehlt; ",IF(E2405&lt;0,"Bestand negativ; ",IF(E2405=0,"Nullbestand; ","")))&amp;IF(D2405="","Warengruppe fehlt; ","")&amp;IF(B2405="","Bezeichnung fehlt; ","")&amp;IF(COUNTIFS($A$2:$A$5001,$A2405,$C$2:$C$5001,C2405)&gt;1,"Artikel doppelt im selben Lager; ",""))</f>
        <v/>
      </c>
      <c r="P2405" s="47" t="n">
        <f aca="false">IF(OR($A2405="",D2405=""),0,IF(COUNTIF($D$2:D2405,D2405)=1,SUMIF($D$2:$D$5001,D2405,$H$2:$H$5001)+ROW()/10000000,0))</f>
        <v>0</v>
      </c>
      <c r="Q2405" s="47" t="n">
        <f aca="false">IF(OR($A2405="",C2405=""),0,IF(COUNTIF($C$2:C2405,C2405)=1,SUMIF($C$2:$C$5001,C2405,$H$2:$H$5001)+ROW()/10000000,0))</f>
        <v>0</v>
      </c>
    </row>
    <row r="2406" customFormat="false" ht="15" hidden="false" customHeight="false" outlineLevel="0" collapsed="false">
      <c r="A2406" s="43"/>
      <c r="B2406" s="44"/>
      <c r="C2406" s="44"/>
      <c r="D2406" s="44"/>
      <c r="E2406" s="44"/>
      <c r="F2406" s="44"/>
      <c r="G2406" s="44"/>
      <c r="H2406" s="46" t="str">
        <f aca="false">IF($A2406="","",IF(OR(NOT(ISNUMBER(E2406)),NOT(ISNUMBER(F2406))),"",MAX(0,E2406)*F2406))</f>
        <v/>
      </c>
      <c r="I2406" s="46" t="str">
        <f aca="false">IF($A2406="","",SUMIF($A$2:$A$5001,$A2406,$H$2:$H$5001))</f>
        <v/>
      </c>
      <c r="J2406" s="47" t="n">
        <f aca="false">IF($A2406="",0,IF(COUNTIF($A$2:A2406,$A2406)=1,1,0))</f>
        <v>0</v>
      </c>
      <c r="K2406" s="47" t="n">
        <f aca="false">IF(J2406=1,N(I2406)+ROW()/10000000,0)</f>
        <v>0</v>
      </c>
      <c r="L2406" s="47" t="str">
        <f aca="false">IF(AND(J2406=1,N(I2406)&gt;0),SUMIF($K$2:$K$5001,"&gt;="&amp;K2406,$I$2:$I$5001)/MAX(1,SUM($H$2:$H$5001)),"")</f>
        <v/>
      </c>
      <c r="M2406" s="47" t="str">
        <f aca="false">IF($A2406="","",INDEX($L$2:$L$5001,MATCH($A2406,$A$2:$A$5001,0)))</f>
        <v/>
      </c>
      <c r="N2406" s="48" t="str">
        <f aca="false">IF($A2406="","",IF(N(M2406)=0,"–",IF(M2406&lt;=Start!$D$20,"A",IF(M2406&lt;=Start!$D$21,"B","C"))))</f>
        <v/>
      </c>
      <c r="O2406" s="48" t="str">
        <f aca="false">IF($A2406="","",IF(NOT(ISNUMBER(F2406)),"Wert fehlt; ",IF(F2406&lt;=0,"Wert ist 0; ",""))&amp;IF(NOT(ISNUMBER(E2406)),"Bestand fehlt; ",IF(E2406&lt;0,"Bestand negativ; ",IF(E2406=0,"Nullbestand; ","")))&amp;IF(D2406="","Warengruppe fehlt; ","")&amp;IF(B2406="","Bezeichnung fehlt; ","")&amp;IF(COUNTIFS($A$2:$A$5001,$A2406,$C$2:$C$5001,C2406)&gt;1,"Artikel doppelt im selben Lager; ",""))</f>
        <v/>
      </c>
      <c r="P2406" s="47" t="n">
        <f aca="false">IF(OR($A2406="",D2406=""),0,IF(COUNTIF($D$2:D2406,D2406)=1,SUMIF($D$2:$D$5001,D2406,$H$2:$H$5001)+ROW()/10000000,0))</f>
        <v>0</v>
      </c>
      <c r="Q2406" s="47" t="n">
        <f aca="false">IF(OR($A2406="",C2406=""),0,IF(COUNTIF($C$2:C2406,C2406)=1,SUMIF($C$2:$C$5001,C2406,$H$2:$H$5001)+ROW()/10000000,0))</f>
        <v>0</v>
      </c>
    </row>
    <row r="2407" customFormat="false" ht="15" hidden="false" customHeight="false" outlineLevel="0" collapsed="false">
      <c r="A2407" s="43"/>
      <c r="B2407" s="44"/>
      <c r="C2407" s="44"/>
      <c r="D2407" s="44"/>
      <c r="E2407" s="44"/>
      <c r="F2407" s="44"/>
      <c r="G2407" s="44"/>
      <c r="H2407" s="46" t="str">
        <f aca="false">IF($A2407="","",IF(OR(NOT(ISNUMBER(E2407)),NOT(ISNUMBER(F2407))),"",MAX(0,E2407)*F2407))</f>
        <v/>
      </c>
      <c r="I2407" s="46" t="str">
        <f aca="false">IF($A2407="","",SUMIF($A$2:$A$5001,$A2407,$H$2:$H$5001))</f>
        <v/>
      </c>
      <c r="J2407" s="47" t="n">
        <f aca="false">IF($A2407="",0,IF(COUNTIF($A$2:A2407,$A2407)=1,1,0))</f>
        <v>0</v>
      </c>
      <c r="K2407" s="47" t="n">
        <f aca="false">IF(J2407=1,N(I2407)+ROW()/10000000,0)</f>
        <v>0</v>
      </c>
      <c r="L2407" s="47" t="str">
        <f aca="false">IF(AND(J2407=1,N(I2407)&gt;0),SUMIF($K$2:$K$5001,"&gt;="&amp;K2407,$I$2:$I$5001)/MAX(1,SUM($H$2:$H$5001)),"")</f>
        <v/>
      </c>
      <c r="M2407" s="47" t="str">
        <f aca="false">IF($A2407="","",INDEX($L$2:$L$5001,MATCH($A2407,$A$2:$A$5001,0)))</f>
        <v/>
      </c>
      <c r="N2407" s="48" t="str">
        <f aca="false">IF($A2407="","",IF(N(M2407)=0,"–",IF(M2407&lt;=Start!$D$20,"A",IF(M2407&lt;=Start!$D$21,"B","C"))))</f>
        <v/>
      </c>
      <c r="O2407" s="48" t="str">
        <f aca="false">IF($A2407="","",IF(NOT(ISNUMBER(F2407)),"Wert fehlt; ",IF(F2407&lt;=0,"Wert ist 0; ",""))&amp;IF(NOT(ISNUMBER(E2407)),"Bestand fehlt; ",IF(E2407&lt;0,"Bestand negativ; ",IF(E2407=0,"Nullbestand; ","")))&amp;IF(D2407="","Warengruppe fehlt; ","")&amp;IF(B2407="","Bezeichnung fehlt; ","")&amp;IF(COUNTIFS($A$2:$A$5001,$A2407,$C$2:$C$5001,C2407)&gt;1,"Artikel doppelt im selben Lager; ",""))</f>
        <v/>
      </c>
      <c r="P2407" s="47" t="n">
        <f aca="false">IF(OR($A2407="",D2407=""),0,IF(COUNTIF($D$2:D2407,D2407)=1,SUMIF($D$2:$D$5001,D2407,$H$2:$H$5001)+ROW()/10000000,0))</f>
        <v>0</v>
      </c>
      <c r="Q2407" s="47" t="n">
        <f aca="false">IF(OR($A2407="",C2407=""),0,IF(COUNTIF($C$2:C2407,C2407)=1,SUMIF($C$2:$C$5001,C2407,$H$2:$H$5001)+ROW()/10000000,0))</f>
        <v>0</v>
      </c>
    </row>
    <row r="2408" customFormat="false" ht="15" hidden="false" customHeight="false" outlineLevel="0" collapsed="false">
      <c r="A2408" s="43"/>
      <c r="B2408" s="44"/>
      <c r="C2408" s="44"/>
      <c r="D2408" s="44"/>
      <c r="E2408" s="44"/>
      <c r="F2408" s="44"/>
      <c r="G2408" s="44"/>
      <c r="H2408" s="46" t="str">
        <f aca="false">IF($A2408="","",IF(OR(NOT(ISNUMBER(E2408)),NOT(ISNUMBER(F2408))),"",MAX(0,E2408)*F2408))</f>
        <v/>
      </c>
      <c r="I2408" s="46" t="str">
        <f aca="false">IF($A2408="","",SUMIF($A$2:$A$5001,$A2408,$H$2:$H$5001))</f>
        <v/>
      </c>
      <c r="J2408" s="47" t="n">
        <f aca="false">IF($A2408="",0,IF(COUNTIF($A$2:A2408,$A2408)=1,1,0))</f>
        <v>0</v>
      </c>
      <c r="K2408" s="47" t="n">
        <f aca="false">IF(J2408=1,N(I2408)+ROW()/10000000,0)</f>
        <v>0</v>
      </c>
      <c r="L2408" s="47" t="str">
        <f aca="false">IF(AND(J2408=1,N(I2408)&gt;0),SUMIF($K$2:$K$5001,"&gt;="&amp;K2408,$I$2:$I$5001)/MAX(1,SUM($H$2:$H$5001)),"")</f>
        <v/>
      </c>
      <c r="M2408" s="47" t="str">
        <f aca="false">IF($A2408="","",INDEX($L$2:$L$5001,MATCH($A2408,$A$2:$A$5001,0)))</f>
        <v/>
      </c>
      <c r="N2408" s="48" t="str">
        <f aca="false">IF($A2408="","",IF(N(M2408)=0,"–",IF(M2408&lt;=Start!$D$20,"A",IF(M2408&lt;=Start!$D$21,"B","C"))))</f>
        <v/>
      </c>
      <c r="O2408" s="48" t="str">
        <f aca="false">IF($A2408="","",IF(NOT(ISNUMBER(F2408)),"Wert fehlt; ",IF(F2408&lt;=0,"Wert ist 0; ",""))&amp;IF(NOT(ISNUMBER(E2408)),"Bestand fehlt; ",IF(E2408&lt;0,"Bestand negativ; ",IF(E2408=0,"Nullbestand; ","")))&amp;IF(D2408="","Warengruppe fehlt; ","")&amp;IF(B2408="","Bezeichnung fehlt; ","")&amp;IF(COUNTIFS($A$2:$A$5001,$A2408,$C$2:$C$5001,C2408)&gt;1,"Artikel doppelt im selben Lager; ",""))</f>
        <v/>
      </c>
      <c r="P2408" s="47" t="n">
        <f aca="false">IF(OR($A2408="",D2408=""),0,IF(COUNTIF($D$2:D2408,D2408)=1,SUMIF($D$2:$D$5001,D2408,$H$2:$H$5001)+ROW()/10000000,0))</f>
        <v>0</v>
      </c>
      <c r="Q2408" s="47" t="n">
        <f aca="false">IF(OR($A2408="",C2408=""),0,IF(COUNTIF($C$2:C2408,C2408)=1,SUMIF($C$2:$C$5001,C2408,$H$2:$H$5001)+ROW()/10000000,0))</f>
        <v>0</v>
      </c>
    </row>
    <row r="2409" customFormat="false" ht="15" hidden="false" customHeight="false" outlineLevel="0" collapsed="false">
      <c r="A2409" s="43"/>
      <c r="B2409" s="44"/>
      <c r="C2409" s="44"/>
      <c r="D2409" s="44"/>
      <c r="E2409" s="44"/>
      <c r="F2409" s="44"/>
      <c r="G2409" s="44"/>
      <c r="H2409" s="46" t="str">
        <f aca="false">IF($A2409="","",IF(OR(NOT(ISNUMBER(E2409)),NOT(ISNUMBER(F2409))),"",MAX(0,E2409)*F2409))</f>
        <v/>
      </c>
      <c r="I2409" s="46" t="str">
        <f aca="false">IF($A2409="","",SUMIF($A$2:$A$5001,$A2409,$H$2:$H$5001))</f>
        <v/>
      </c>
      <c r="J2409" s="47" t="n">
        <f aca="false">IF($A2409="",0,IF(COUNTIF($A$2:A2409,$A2409)=1,1,0))</f>
        <v>0</v>
      </c>
      <c r="K2409" s="47" t="n">
        <f aca="false">IF(J2409=1,N(I2409)+ROW()/10000000,0)</f>
        <v>0</v>
      </c>
      <c r="L2409" s="47" t="str">
        <f aca="false">IF(AND(J2409=1,N(I2409)&gt;0),SUMIF($K$2:$K$5001,"&gt;="&amp;K2409,$I$2:$I$5001)/MAX(1,SUM($H$2:$H$5001)),"")</f>
        <v/>
      </c>
      <c r="M2409" s="47" t="str">
        <f aca="false">IF($A2409="","",INDEX($L$2:$L$5001,MATCH($A2409,$A$2:$A$5001,0)))</f>
        <v/>
      </c>
      <c r="N2409" s="48" t="str">
        <f aca="false">IF($A2409="","",IF(N(M2409)=0,"–",IF(M2409&lt;=Start!$D$20,"A",IF(M2409&lt;=Start!$D$21,"B","C"))))</f>
        <v/>
      </c>
      <c r="O2409" s="48" t="str">
        <f aca="false">IF($A2409="","",IF(NOT(ISNUMBER(F2409)),"Wert fehlt; ",IF(F2409&lt;=0,"Wert ist 0; ",""))&amp;IF(NOT(ISNUMBER(E2409)),"Bestand fehlt; ",IF(E2409&lt;0,"Bestand negativ; ",IF(E2409=0,"Nullbestand; ","")))&amp;IF(D2409="","Warengruppe fehlt; ","")&amp;IF(B2409="","Bezeichnung fehlt; ","")&amp;IF(COUNTIFS($A$2:$A$5001,$A2409,$C$2:$C$5001,C2409)&gt;1,"Artikel doppelt im selben Lager; ",""))</f>
        <v/>
      </c>
      <c r="P2409" s="47" t="n">
        <f aca="false">IF(OR($A2409="",D2409=""),0,IF(COUNTIF($D$2:D2409,D2409)=1,SUMIF($D$2:$D$5001,D2409,$H$2:$H$5001)+ROW()/10000000,0))</f>
        <v>0</v>
      </c>
      <c r="Q2409" s="47" t="n">
        <f aca="false">IF(OR($A2409="",C2409=""),0,IF(COUNTIF($C$2:C2409,C2409)=1,SUMIF($C$2:$C$5001,C2409,$H$2:$H$5001)+ROW()/10000000,0))</f>
        <v>0</v>
      </c>
    </row>
    <row r="2410" customFormat="false" ht="15" hidden="false" customHeight="false" outlineLevel="0" collapsed="false">
      <c r="A2410" s="43"/>
      <c r="B2410" s="44"/>
      <c r="C2410" s="44"/>
      <c r="D2410" s="44"/>
      <c r="E2410" s="44"/>
      <c r="F2410" s="44"/>
      <c r="G2410" s="44"/>
      <c r="H2410" s="46" t="str">
        <f aca="false">IF($A2410="","",IF(OR(NOT(ISNUMBER(E2410)),NOT(ISNUMBER(F2410))),"",MAX(0,E2410)*F2410))</f>
        <v/>
      </c>
      <c r="I2410" s="46" t="str">
        <f aca="false">IF($A2410="","",SUMIF($A$2:$A$5001,$A2410,$H$2:$H$5001))</f>
        <v/>
      </c>
      <c r="J2410" s="47" t="n">
        <f aca="false">IF($A2410="",0,IF(COUNTIF($A$2:A2410,$A2410)=1,1,0))</f>
        <v>0</v>
      </c>
      <c r="K2410" s="47" t="n">
        <f aca="false">IF(J2410=1,N(I2410)+ROW()/10000000,0)</f>
        <v>0</v>
      </c>
      <c r="L2410" s="47" t="str">
        <f aca="false">IF(AND(J2410=1,N(I2410)&gt;0),SUMIF($K$2:$K$5001,"&gt;="&amp;K2410,$I$2:$I$5001)/MAX(1,SUM($H$2:$H$5001)),"")</f>
        <v/>
      </c>
      <c r="M2410" s="47" t="str">
        <f aca="false">IF($A2410="","",INDEX($L$2:$L$5001,MATCH($A2410,$A$2:$A$5001,0)))</f>
        <v/>
      </c>
      <c r="N2410" s="48" t="str">
        <f aca="false">IF($A2410="","",IF(N(M2410)=0,"–",IF(M2410&lt;=Start!$D$20,"A",IF(M2410&lt;=Start!$D$21,"B","C"))))</f>
        <v/>
      </c>
      <c r="O2410" s="48" t="str">
        <f aca="false">IF($A2410="","",IF(NOT(ISNUMBER(F2410)),"Wert fehlt; ",IF(F2410&lt;=0,"Wert ist 0; ",""))&amp;IF(NOT(ISNUMBER(E2410)),"Bestand fehlt; ",IF(E2410&lt;0,"Bestand negativ; ",IF(E2410=0,"Nullbestand; ","")))&amp;IF(D2410="","Warengruppe fehlt; ","")&amp;IF(B2410="","Bezeichnung fehlt; ","")&amp;IF(COUNTIFS($A$2:$A$5001,$A2410,$C$2:$C$5001,C2410)&gt;1,"Artikel doppelt im selben Lager; ",""))</f>
        <v/>
      </c>
      <c r="P2410" s="47" t="n">
        <f aca="false">IF(OR($A2410="",D2410=""),0,IF(COUNTIF($D$2:D2410,D2410)=1,SUMIF($D$2:$D$5001,D2410,$H$2:$H$5001)+ROW()/10000000,0))</f>
        <v>0</v>
      </c>
      <c r="Q2410" s="47" t="n">
        <f aca="false">IF(OR($A2410="",C2410=""),0,IF(COUNTIF($C$2:C2410,C2410)=1,SUMIF($C$2:$C$5001,C2410,$H$2:$H$5001)+ROW()/10000000,0))</f>
        <v>0</v>
      </c>
    </row>
    <row r="2411" customFormat="false" ht="15" hidden="false" customHeight="false" outlineLevel="0" collapsed="false">
      <c r="A2411" s="43"/>
      <c r="B2411" s="44"/>
      <c r="C2411" s="44"/>
      <c r="D2411" s="44"/>
      <c r="E2411" s="44"/>
      <c r="F2411" s="44"/>
      <c r="G2411" s="44"/>
      <c r="H2411" s="46" t="str">
        <f aca="false">IF($A2411="","",IF(OR(NOT(ISNUMBER(E2411)),NOT(ISNUMBER(F2411))),"",MAX(0,E2411)*F2411))</f>
        <v/>
      </c>
      <c r="I2411" s="46" t="str">
        <f aca="false">IF($A2411="","",SUMIF($A$2:$A$5001,$A2411,$H$2:$H$5001))</f>
        <v/>
      </c>
      <c r="J2411" s="47" t="n">
        <f aca="false">IF($A2411="",0,IF(COUNTIF($A$2:A2411,$A2411)=1,1,0))</f>
        <v>0</v>
      </c>
      <c r="K2411" s="47" t="n">
        <f aca="false">IF(J2411=1,N(I2411)+ROW()/10000000,0)</f>
        <v>0</v>
      </c>
      <c r="L2411" s="47" t="str">
        <f aca="false">IF(AND(J2411=1,N(I2411)&gt;0),SUMIF($K$2:$K$5001,"&gt;="&amp;K2411,$I$2:$I$5001)/MAX(1,SUM($H$2:$H$5001)),"")</f>
        <v/>
      </c>
      <c r="M2411" s="47" t="str">
        <f aca="false">IF($A2411="","",INDEX($L$2:$L$5001,MATCH($A2411,$A$2:$A$5001,0)))</f>
        <v/>
      </c>
      <c r="N2411" s="48" t="str">
        <f aca="false">IF($A2411="","",IF(N(M2411)=0,"–",IF(M2411&lt;=Start!$D$20,"A",IF(M2411&lt;=Start!$D$21,"B","C"))))</f>
        <v/>
      </c>
      <c r="O2411" s="48" t="str">
        <f aca="false">IF($A2411="","",IF(NOT(ISNUMBER(F2411)),"Wert fehlt; ",IF(F2411&lt;=0,"Wert ist 0; ",""))&amp;IF(NOT(ISNUMBER(E2411)),"Bestand fehlt; ",IF(E2411&lt;0,"Bestand negativ; ",IF(E2411=0,"Nullbestand; ","")))&amp;IF(D2411="","Warengruppe fehlt; ","")&amp;IF(B2411="","Bezeichnung fehlt; ","")&amp;IF(COUNTIFS($A$2:$A$5001,$A2411,$C$2:$C$5001,C2411)&gt;1,"Artikel doppelt im selben Lager; ",""))</f>
        <v/>
      </c>
      <c r="P2411" s="47" t="n">
        <f aca="false">IF(OR($A2411="",D2411=""),0,IF(COUNTIF($D$2:D2411,D2411)=1,SUMIF($D$2:$D$5001,D2411,$H$2:$H$5001)+ROW()/10000000,0))</f>
        <v>0</v>
      </c>
      <c r="Q2411" s="47" t="n">
        <f aca="false">IF(OR($A2411="",C2411=""),0,IF(COUNTIF($C$2:C2411,C2411)=1,SUMIF($C$2:$C$5001,C2411,$H$2:$H$5001)+ROW()/10000000,0))</f>
        <v>0</v>
      </c>
    </row>
    <row r="2412" customFormat="false" ht="15" hidden="false" customHeight="false" outlineLevel="0" collapsed="false">
      <c r="A2412" s="43"/>
      <c r="B2412" s="44"/>
      <c r="C2412" s="44"/>
      <c r="D2412" s="44"/>
      <c r="E2412" s="44"/>
      <c r="F2412" s="44"/>
      <c r="G2412" s="44"/>
      <c r="H2412" s="46" t="str">
        <f aca="false">IF($A2412="","",IF(OR(NOT(ISNUMBER(E2412)),NOT(ISNUMBER(F2412))),"",MAX(0,E2412)*F2412))</f>
        <v/>
      </c>
      <c r="I2412" s="46" t="str">
        <f aca="false">IF($A2412="","",SUMIF($A$2:$A$5001,$A2412,$H$2:$H$5001))</f>
        <v/>
      </c>
      <c r="J2412" s="47" t="n">
        <f aca="false">IF($A2412="",0,IF(COUNTIF($A$2:A2412,$A2412)=1,1,0))</f>
        <v>0</v>
      </c>
      <c r="K2412" s="47" t="n">
        <f aca="false">IF(J2412=1,N(I2412)+ROW()/10000000,0)</f>
        <v>0</v>
      </c>
      <c r="L2412" s="47" t="str">
        <f aca="false">IF(AND(J2412=1,N(I2412)&gt;0),SUMIF($K$2:$K$5001,"&gt;="&amp;K2412,$I$2:$I$5001)/MAX(1,SUM($H$2:$H$5001)),"")</f>
        <v/>
      </c>
      <c r="M2412" s="47" t="str">
        <f aca="false">IF($A2412="","",INDEX($L$2:$L$5001,MATCH($A2412,$A$2:$A$5001,0)))</f>
        <v/>
      </c>
      <c r="N2412" s="48" t="str">
        <f aca="false">IF($A2412="","",IF(N(M2412)=0,"–",IF(M2412&lt;=Start!$D$20,"A",IF(M2412&lt;=Start!$D$21,"B","C"))))</f>
        <v/>
      </c>
      <c r="O2412" s="48" t="str">
        <f aca="false">IF($A2412="","",IF(NOT(ISNUMBER(F2412)),"Wert fehlt; ",IF(F2412&lt;=0,"Wert ist 0; ",""))&amp;IF(NOT(ISNUMBER(E2412)),"Bestand fehlt; ",IF(E2412&lt;0,"Bestand negativ; ",IF(E2412=0,"Nullbestand; ","")))&amp;IF(D2412="","Warengruppe fehlt; ","")&amp;IF(B2412="","Bezeichnung fehlt; ","")&amp;IF(COUNTIFS($A$2:$A$5001,$A2412,$C$2:$C$5001,C2412)&gt;1,"Artikel doppelt im selben Lager; ",""))</f>
        <v/>
      </c>
      <c r="P2412" s="47" t="n">
        <f aca="false">IF(OR($A2412="",D2412=""),0,IF(COUNTIF($D$2:D2412,D2412)=1,SUMIF($D$2:$D$5001,D2412,$H$2:$H$5001)+ROW()/10000000,0))</f>
        <v>0</v>
      </c>
      <c r="Q2412" s="47" t="n">
        <f aca="false">IF(OR($A2412="",C2412=""),0,IF(COUNTIF($C$2:C2412,C2412)=1,SUMIF($C$2:$C$5001,C2412,$H$2:$H$5001)+ROW()/10000000,0))</f>
        <v>0</v>
      </c>
    </row>
    <row r="2413" customFormat="false" ht="15" hidden="false" customHeight="false" outlineLevel="0" collapsed="false">
      <c r="A2413" s="43"/>
      <c r="B2413" s="44"/>
      <c r="C2413" s="44"/>
      <c r="D2413" s="44"/>
      <c r="E2413" s="44"/>
      <c r="F2413" s="44"/>
      <c r="G2413" s="44"/>
      <c r="H2413" s="46" t="str">
        <f aca="false">IF($A2413="","",IF(OR(NOT(ISNUMBER(E2413)),NOT(ISNUMBER(F2413))),"",MAX(0,E2413)*F2413))</f>
        <v/>
      </c>
      <c r="I2413" s="46" t="str">
        <f aca="false">IF($A2413="","",SUMIF($A$2:$A$5001,$A2413,$H$2:$H$5001))</f>
        <v/>
      </c>
      <c r="J2413" s="47" t="n">
        <f aca="false">IF($A2413="",0,IF(COUNTIF($A$2:A2413,$A2413)=1,1,0))</f>
        <v>0</v>
      </c>
      <c r="K2413" s="47" t="n">
        <f aca="false">IF(J2413=1,N(I2413)+ROW()/10000000,0)</f>
        <v>0</v>
      </c>
      <c r="L2413" s="47" t="str">
        <f aca="false">IF(AND(J2413=1,N(I2413)&gt;0),SUMIF($K$2:$K$5001,"&gt;="&amp;K2413,$I$2:$I$5001)/MAX(1,SUM($H$2:$H$5001)),"")</f>
        <v/>
      </c>
      <c r="M2413" s="47" t="str">
        <f aca="false">IF($A2413="","",INDEX($L$2:$L$5001,MATCH($A2413,$A$2:$A$5001,0)))</f>
        <v/>
      </c>
      <c r="N2413" s="48" t="str">
        <f aca="false">IF($A2413="","",IF(N(M2413)=0,"–",IF(M2413&lt;=Start!$D$20,"A",IF(M2413&lt;=Start!$D$21,"B","C"))))</f>
        <v/>
      </c>
      <c r="O2413" s="48" t="str">
        <f aca="false">IF($A2413="","",IF(NOT(ISNUMBER(F2413)),"Wert fehlt; ",IF(F2413&lt;=0,"Wert ist 0; ",""))&amp;IF(NOT(ISNUMBER(E2413)),"Bestand fehlt; ",IF(E2413&lt;0,"Bestand negativ; ",IF(E2413=0,"Nullbestand; ","")))&amp;IF(D2413="","Warengruppe fehlt; ","")&amp;IF(B2413="","Bezeichnung fehlt; ","")&amp;IF(COUNTIFS($A$2:$A$5001,$A2413,$C$2:$C$5001,C2413)&gt;1,"Artikel doppelt im selben Lager; ",""))</f>
        <v/>
      </c>
      <c r="P2413" s="47" t="n">
        <f aca="false">IF(OR($A2413="",D2413=""),0,IF(COUNTIF($D$2:D2413,D2413)=1,SUMIF($D$2:$D$5001,D2413,$H$2:$H$5001)+ROW()/10000000,0))</f>
        <v>0</v>
      </c>
      <c r="Q2413" s="47" t="n">
        <f aca="false">IF(OR($A2413="",C2413=""),0,IF(COUNTIF($C$2:C2413,C2413)=1,SUMIF($C$2:$C$5001,C2413,$H$2:$H$5001)+ROW()/10000000,0))</f>
        <v>0</v>
      </c>
    </row>
    <row r="2414" customFormat="false" ht="15" hidden="false" customHeight="false" outlineLevel="0" collapsed="false">
      <c r="A2414" s="43"/>
      <c r="B2414" s="44"/>
      <c r="C2414" s="44"/>
      <c r="D2414" s="44"/>
      <c r="E2414" s="44"/>
      <c r="F2414" s="44"/>
      <c r="G2414" s="44"/>
      <c r="H2414" s="46" t="str">
        <f aca="false">IF($A2414="","",IF(OR(NOT(ISNUMBER(E2414)),NOT(ISNUMBER(F2414))),"",MAX(0,E2414)*F2414))</f>
        <v/>
      </c>
      <c r="I2414" s="46" t="str">
        <f aca="false">IF($A2414="","",SUMIF($A$2:$A$5001,$A2414,$H$2:$H$5001))</f>
        <v/>
      </c>
      <c r="J2414" s="47" t="n">
        <f aca="false">IF($A2414="",0,IF(COUNTIF($A$2:A2414,$A2414)=1,1,0))</f>
        <v>0</v>
      </c>
      <c r="K2414" s="47" t="n">
        <f aca="false">IF(J2414=1,N(I2414)+ROW()/10000000,0)</f>
        <v>0</v>
      </c>
      <c r="L2414" s="47" t="str">
        <f aca="false">IF(AND(J2414=1,N(I2414)&gt;0),SUMIF($K$2:$K$5001,"&gt;="&amp;K2414,$I$2:$I$5001)/MAX(1,SUM($H$2:$H$5001)),"")</f>
        <v/>
      </c>
      <c r="M2414" s="47" t="str">
        <f aca="false">IF($A2414="","",INDEX($L$2:$L$5001,MATCH($A2414,$A$2:$A$5001,0)))</f>
        <v/>
      </c>
      <c r="N2414" s="48" t="str">
        <f aca="false">IF($A2414="","",IF(N(M2414)=0,"–",IF(M2414&lt;=Start!$D$20,"A",IF(M2414&lt;=Start!$D$21,"B","C"))))</f>
        <v/>
      </c>
      <c r="O2414" s="48" t="str">
        <f aca="false">IF($A2414="","",IF(NOT(ISNUMBER(F2414)),"Wert fehlt; ",IF(F2414&lt;=0,"Wert ist 0; ",""))&amp;IF(NOT(ISNUMBER(E2414)),"Bestand fehlt; ",IF(E2414&lt;0,"Bestand negativ; ",IF(E2414=0,"Nullbestand; ","")))&amp;IF(D2414="","Warengruppe fehlt; ","")&amp;IF(B2414="","Bezeichnung fehlt; ","")&amp;IF(COUNTIFS($A$2:$A$5001,$A2414,$C$2:$C$5001,C2414)&gt;1,"Artikel doppelt im selben Lager; ",""))</f>
        <v/>
      </c>
      <c r="P2414" s="47" t="n">
        <f aca="false">IF(OR($A2414="",D2414=""),0,IF(COUNTIF($D$2:D2414,D2414)=1,SUMIF($D$2:$D$5001,D2414,$H$2:$H$5001)+ROW()/10000000,0))</f>
        <v>0</v>
      </c>
      <c r="Q2414" s="47" t="n">
        <f aca="false">IF(OR($A2414="",C2414=""),0,IF(COUNTIF($C$2:C2414,C2414)=1,SUMIF($C$2:$C$5001,C2414,$H$2:$H$5001)+ROW()/10000000,0))</f>
        <v>0</v>
      </c>
    </row>
    <row r="2415" customFormat="false" ht="15" hidden="false" customHeight="false" outlineLevel="0" collapsed="false">
      <c r="A2415" s="43"/>
      <c r="B2415" s="44"/>
      <c r="C2415" s="44"/>
      <c r="D2415" s="44"/>
      <c r="E2415" s="44"/>
      <c r="F2415" s="44"/>
      <c r="G2415" s="44"/>
      <c r="H2415" s="46" t="str">
        <f aca="false">IF($A2415="","",IF(OR(NOT(ISNUMBER(E2415)),NOT(ISNUMBER(F2415))),"",MAX(0,E2415)*F2415))</f>
        <v/>
      </c>
      <c r="I2415" s="46" t="str">
        <f aca="false">IF($A2415="","",SUMIF($A$2:$A$5001,$A2415,$H$2:$H$5001))</f>
        <v/>
      </c>
      <c r="J2415" s="47" t="n">
        <f aca="false">IF($A2415="",0,IF(COUNTIF($A$2:A2415,$A2415)=1,1,0))</f>
        <v>0</v>
      </c>
      <c r="K2415" s="47" t="n">
        <f aca="false">IF(J2415=1,N(I2415)+ROW()/10000000,0)</f>
        <v>0</v>
      </c>
      <c r="L2415" s="47" t="str">
        <f aca="false">IF(AND(J2415=1,N(I2415)&gt;0),SUMIF($K$2:$K$5001,"&gt;="&amp;K2415,$I$2:$I$5001)/MAX(1,SUM($H$2:$H$5001)),"")</f>
        <v/>
      </c>
      <c r="M2415" s="47" t="str">
        <f aca="false">IF($A2415="","",INDEX($L$2:$L$5001,MATCH($A2415,$A$2:$A$5001,0)))</f>
        <v/>
      </c>
      <c r="N2415" s="48" t="str">
        <f aca="false">IF($A2415="","",IF(N(M2415)=0,"–",IF(M2415&lt;=Start!$D$20,"A",IF(M2415&lt;=Start!$D$21,"B","C"))))</f>
        <v/>
      </c>
      <c r="O2415" s="48" t="str">
        <f aca="false">IF($A2415="","",IF(NOT(ISNUMBER(F2415)),"Wert fehlt; ",IF(F2415&lt;=0,"Wert ist 0; ",""))&amp;IF(NOT(ISNUMBER(E2415)),"Bestand fehlt; ",IF(E2415&lt;0,"Bestand negativ; ",IF(E2415=0,"Nullbestand; ","")))&amp;IF(D2415="","Warengruppe fehlt; ","")&amp;IF(B2415="","Bezeichnung fehlt; ","")&amp;IF(COUNTIFS($A$2:$A$5001,$A2415,$C$2:$C$5001,C2415)&gt;1,"Artikel doppelt im selben Lager; ",""))</f>
        <v/>
      </c>
      <c r="P2415" s="47" t="n">
        <f aca="false">IF(OR($A2415="",D2415=""),0,IF(COUNTIF($D$2:D2415,D2415)=1,SUMIF($D$2:$D$5001,D2415,$H$2:$H$5001)+ROW()/10000000,0))</f>
        <v>0</v>
      </c>
      <c r="Q2415" s="47" t="n">
        <f aca="false">IF(OR($A2415="",C2415=""),0,IF(COUNTIF($C$2:C2415,C2415)=1,SUMIF($C$2:$C$5001,C2415,$H$2:$H$5001)+ROW()/10000000,0))</f>
        <v>0</v>
      </c>
    </row>
    <row r="2416" customFormat="false" ht="15" hidden="false" customHeight="false" outlineLevel="0" collapsed="false">
      <c r="A2416" s="43"/>
      <c r="B2416" s="44"/>
      <c r="C2416" s="44"/>
      <c r="D2416" s="44"/>
      <c r="E2416" s="44"/>
      <c r="F2416" s="44"/>
      <c r="G2416" s="44"/>
      <c r="H2416" s="46" t="str">
        <f aca="false">IF($A2416="","",IF(OR(NOT(ISNUMBER(E2416)),NOT(ISNUMBER(F2416))),"",MAX(0,E2416)*F2416))</f>
        <v/>
      </c>
      <c r="I2416" s="46" t="str">
        <f aca="false">IF($A2416="","",SUMIF($A$2:$A$5001,$A2416,$H$2:$H$5001))</f>
        <v/>
      </c>
      <c r="J2416" s="47" t="n">
        <f aca="false">IF($A2416="",0,IF(COUNTIF($A$2:A2416,$A2416)=1,1,0))</f>
        <v>0</v>
      </c>
      <c r="K2416" s="47" t="n">
        <f aca="false">IF(J2416=1,N(I2416)+ROW()/10000000,0)</f>
        <v>0</v>
      </c>
      <c r="L2416" s="47" t="str">
        <f aca="false">IF(AND(J2416=1,N(I2416)&gt;0),SUMIF($K$2:$K$5001,"&gt;="&amp;K2416,$I$2:$I$5001)/MAX(1,SUM($H$2:$H$5001)),"")</f>
        <v/>
      </c>
      <c r="M2416" s="47" t="str">
        <f aca="false">IF($A2416="","",INDEX($L$2:$L$5001,MATCH($A2416,$A$2:$A$5001,0)))</f>
        <v/>
      </c>
      <c r="N2416" s="48" t="str">
        <f aca="false">IF($A2416="","",IF(N(M2416)=0,"–",IF(M2416&lt;=Start!$D$20,"A",IF(M2416&lt;=Start!$D$21,"B","C"))))</f>
        <v/>
      </c>
      <c r="O2416" s="48" t="str">
        <f aca="false">IF($A2416="","",IF(NOT(ISNUMBER(F2416)),"Wert fehlt; ",IF(F2416&lt;=0,"Wert ist 0; ",""))&amp;IF(NOT(ISNUMBER(E2416)),"Bestand fehlt; ",IF(E2416&lt;0,"Bestand negativ; ",IF(E2416=0,"Nullbestand; ","")))&amp;IF(D2416="","Warengruppe fehlt; ","")&amp;IF(B2416="","Bezeichnung fehlt; ","")&amp;IF(COUNTIFS($A$2:$A$5001,$A2416,$C$2:$C$5001,C2416)&gt;1,"Artikel doppelt im selben Lager; ",""))</f>
        <v/>
      </c>
      <c r="P2416" s="47" t="n">
        <f aca="false">IF(OR($A2416="",D2416=""),0,IF(COUNTIF($D$2:D2416,D2416)=1,SUMIF($D$2:$D$5001,D2416,$H$2:$H$5001)+ROW()/10000000,0))</f>
        <v>0</v>
      </c>
      <c r="Q2416" s="47" t="n">
        <f aca="false">IF(OR($A2416="",C2416=""),0,IF(COUNTIF($C$2:C2416,C2416)=1,SUMIF($C$2:$C$5001,C2416,$H$2:$H$5001)+ROW()/10000000,0))</f>
        <v>0</v>
      </c>
    </row>
    <row r="2417" customFormat="false" ht="15" hidden="false" customHeight="false" outlineLevel="0" collapsed="false">
      <c r="A2417" s="43"/>
      <c r="B2417" s="44"/>
      <c r="C2417" s="44"/>
      <c r="D2417" s="44"/>
      <c r="E2417" s="44"/>
      <c r="F2417" s="44"/>
      <c r="G2417" s="44"/>
      <c r="H2417" s="46" t="str">
        <f aca="false">IF($A2417="","",IF(OR(NOT(ISNUMBER(E2417)),NOT(ISNUMBER(F2417))),"",MAX(0,E2417)*F2417))</f>
        <v/>
      </c>
      <c r="I2417" s="46" t="str">
        <f aca="false">IF($A2417="","",SUMIF($A$2:$A$5001,$A2417,$H$2:$H$5001))</f>
        <v/>
      </c>
      <c r="J2417" s="47" t="n">
        <f aca="false">IF($A2417="",0,IF(COUNTIF($A$2:A2417,$A2417)=1,1,0))</f>
        <v>0</v>
      </c>
      <c r="K2417" s="47" t="n">
        <f aca="false">IF(J2417=1,N(I2417)+ROW()/10000000,0)</f>
        <v>0</v>
      </c>
      <c r="L2417" s="47" t="str">
        <f aca="false">IF(AND(J2417=1,N(I2417)&gt;0),SUMIF($K$2:$K$5001,"&gt;="&amp;K2417,$I$2:$I$5001)/MAX(1,SUM($H$2:$H$5001)),"")</f>
        <v/>
      </c>
      <c r="M2417" s="47" t="str">
        <f aca="false">IF($A2417="","",INDEX($L$2:$L$5001,MATCH($A2417,$A$2:$A$5001,0)))</f>
        <v/>
      </c>
      <c r="N2417" s="48" t="str">
        <f aca="false">IF($A2417="","",IF(N(M2417)=0,"–",IF(M2417&lt;=Start!$D$20,"A",IF(M2417&lt;=Start!$D$21,"B","C"))))</f>
        <v/>
      </c>
      <c r="O2417" s="48" t="str">
        <f aca="false">IF($A2417="","",IF(NOT(ISNUMBER(F2417)),"Wert fehlt; ",IF(F2417&lt;=0,"Wert ist 0; ",""))&amp;IF(NOT(ISNUMBER(E2417)),"Bestand fehlt; ",IF(E2417&lt;0,"Bestand negativ; ",IF(E2417=0,"Nullbestand; ","")))&amp;IF(D2417="","Warengruppe fehlt; ","")&amp;IF(B2417="","Bezeichnung fehlt; ","")&amp;IF(COUNTIFS($A$2:$A$5001,$A2417,$C$2:$C$5001,C2417)&gt;1,"Artikel doppelt im selben Lager; ",""))</f>
        <v/>
      </c>
      <c r="P2417" s="47" t="n">
        <f aca="false">IF(OR($A2417="",D2417=""),0,IF(COUNTIF($D$2:D2417,D2417)=1,SUMIF($D$2:$D$5001,D2417,$H$2:$H$5001)+ROW()/10000000,0))</f>
        <v>0</v>
      </c>
      <c r="Q2417" s="47" t="n">
        <f aca="false">IF(OR($A2417="",C2417=""),0,IF(COUNTIF($C$2:C2417,C2417)=1,SUMIF($C$2:$C$5001,C2417,$H$2:$H$5001)+ROW()/10000000,0))</f>
        <v>0</v>
      </c>
    </row>
    <row r="2418" customFormat="false" ht="15" hidden="false" customHeight="false" outlineLevel="0" collapsed="false">
      <c r="A2418" s="43"/>
      <c r="B2418" s="44"/>
      <c r="C2418" s="44"/>
      <c r="D2418" s="44"/>
      <c r="E2418" s="44"/>
      <c r="F2418" s="44"/>
      <c r="G2418" s="44"/>
      <c r="H2418" s="46" t="str">
        <f aca="false">IF($A2418="","",IF(OR(NOT(ISNUMBER(E2418)),NOT(ISNUMBER(F2418))),"",MAX(0,E2418)*F2418))</f>
        <v/>
      </c>
      <c r="I2418" s="46" t="str">
        <f aca="false">IF($A2418="","",SUMIF($A$2:$A$5001,$A2418,$H$2:$H$5001))</f>
        <v/>
      </c>
      <c r="J2418" s="47" t="n">
        <f aca="false">IF($A2418="",0,IF(COUNTIF($A$2:A2418,$A2418)=1,1,0))</f>
        <v>0</v>
      </c>
      <c r="K2418" s="47" t="n">
        <f aca="false">IF(J2418=1,N(I2418)+ROW()/10000000,0)</f>
        <v>0</v>
      </c>
      <c r="L2418" s="47" t="str">
        <f aca="false">IF(AND(J2418=1,N(I2418)&gt;0),SUMIF($K$2:$K$5001,"&gt;="&amp;K2418,$I$2:$I$5001)/MAX(1,SUM($H$2:$H$5001)),"")</f>
        <v/>
      </c>
      <c r="M2418" s="47" t="str">
        <f aca="false">IF($A2418="","",INDEX($L$2:$L$5001,MATCH($A2418,$A$2:$A$5001,0)))</f>
        <v/>
      </c>
      <c r="N2418" s="48" t="str">
        <f aca="false">IF($A2418="","",IF(N(M2418)=0,"–",IF(M2418&lt;=Start!$D$20,"A",IF(M2418&lt;=Start!$D$21,"B","C"))))</f>
        <v/>
      </c>
      <c r="O2418" s="48" t="str">
        <f aca="false">IF($A2418="","",IF(NOT(ISNUMBER(F2418)),"Wert fehlt; ",IF(F2418&lt;=0,"Wert ist 0; ",""))&amp;IF(NOT(ISNUMBER(E2418)),"Bestand fehlt; ",IF(E2418&lt;0,"Bestand negativ; ",IF(E2418=0,"Nullbestand; ","")))&amp;IF(D2418="","Warengruppe fehlt; ","")&amp;IF(B2418="","Bezeichnung fehlt; ","")&amp;IF(COUNTIFS($A$2:$A$5001,$A2418,$C$2:$C$5001,C2418)&gt;1,"Artikel doppelt im selben Lager; ",""))</f>
        <v/>
      </c>
      <c r="P2418" s="47" t="n">
        <f aca="false">IF(OR($A2418="",D2418=""),0,IF(COUNTIF($D$2:D2418,D2418)=1,SUMIF($D$2:$D$5001,D2418,$H$2:$H$5001)+ROW()/10000000,0))</f>
        <v>0</v>
      </c>
      <c r="Q2418" s="47" t="n">
        <f aca="false">IF(OR($A2418="",C2418=""),0,IF(COUNTIF($C$2:C2418,C2418)=1,SUMIF($C$2:$C$5001,C2418,$H$2:$H$5001)+ROW()/10000000,0))</f>
        <v>0</v>
      </c>
    </row>
    <row r="2419" customFormat="false" ht="15" hidden="false" customHeight="false" outlineLevel="0" collapsed="false">
      <c r="A2419" s="43"/>
      <c r="B2419" s="44"/>
      <c r="C2419" s="44"/>
      <c r="D2419" s="44"/>
      <c r="E2419" s="44"/>
      <c r="F2419" s="44"/>
      <c r="G2419" s="44"/>
      <c r="H2419" s="46" t="str">
        <f aca="false">IF($A2419="","",IF(OR(NOT(ISNUMBER(E2419)),NOT(ISNUMBER(F2419))),"",MAX(0,E2419)*F2419))</f>
        <v/>
      </c>
      <c r="I2419" s="46" t="str">
        <f aca="false">IF($A2419="","",SUMIF($A$2:$A$5001,$A2419,$H$2:$H$5001))</f>
        <v/>
      </c>
      <c r="J2419" s="47" t="n">
        <f aca="false">IF($A2419="",0,IF(COUNTIF($A$2:A2419,$A2419)=1,1,0))</f>
        <v>0</v>
      </c>
      <c r="K2419" s="47" t="n">
        <f aca="false">IF(J2419=1,N(I2419)+ROW()/10000000,0)</f>
        <v>0</v>
      </c>
      <c r="L2419" s="47" t="str">
        <f aca="false">IF(AND(J2419=1,N(I2419)&gt;0),SUMIF($K$2:$K$5001,"&gt;="&amp;K2419,$I$2:$I$5001)/MAX(1,SUM($H$2:$H$5001)),"")</f>
        <v/>
      </c>
      <c r="M2419" s="47" t="str">
        <f aca="false">IF($A2419="","",INDEX($L$2:$L$5001,MATCH($A2419,$A$2:$A$5001,0)))</f>
        <v/>
      </c>
      <c r="N2419" s="48" t="str">
        <f aca="false">IF($A2419="","",IF(N(M2419)=0,"–",IF(M2419&lt;=Start!$D$20,"A",IF(M2419&lt;=Start!$D$21,"B","C"))))</f>
        <v/>
      </c>
      <c r="O2419" s="48" t="str">
        <f aca="false">IF($A2419="","",IF(NOT(ISNUMBER(F2419)),"Wert fehlt; ",IF(F2419&lt;=0,"Wert ist 0; ",""))&amp;IF(NOT(ISNUMBER(E2419)),"Bestand fehlt; ",IF(E2419&lt;0,"Bestand negativ; ",IF(E2419=0,"Nullbestand; ","")))&amp;IF(D2419="","Warengruppe fehlt; ","")&amp;IF(B2419="","Bezeichnung fehlt; ","")&amp;IF(COUNTIFS($A$2:$A$5001,$A2419,$C$2:$C$5001,C2419)&gt;1,"Artikel doppelt im selben Lager; ",""))</f>
        <v/>
      </c>
      <c r="P2419" s="47" t="n">
        <f aca="false">IF(OR($A2419="",D2419=""),0,IF(COUNTIF($D$2:D2419,D2419)=1,SUMIF($D$2:$D$5001,D2419,$H$2:$H$5001)+ROW()/10000000,0))</f>
        <v>0</v>
      </c>
      <c r="Q2419" s="47" t="n">
        <f aca="false">IF(OR($A2419="",C2419=""),0,IF(COUNTIF($C$2:C2419,C2419)=1,SUMIF($C$2:$C$5001,C2419,$H$2:$H$5001)+ROW()/10000000,0))</f>
        <v>0</v>
      </c>
    </row>
    <row r="2420" customFormat="false" ht="15" hidden="false" customHeight="false" outlineLevel="0" collapsed="false">
      <c r="A2420" s="43"/>
      <c r="B2420" s="44"/>
      <c r="C2420" s="44"/>
      <c r="D2420" s="44"/>
      <c r="E2420" s="44"/>
      <c r="F2420" s="44"/>
      <c r="G2420" s="44"/>
      <c r="H2420" s="46" t="str">
        <f aca="false">IF($A2420="","",IF(OR(NOT(ISNUMBER(E2420)),NOT(ISNUMBER(F2420))),"",MAX(0,E2420)*F2420))</f>
        <v/>
      </c>
      <c r="I2420" s="46" t="str">
        <f aca="false">IF($A2420="","",SUMIF($A$2:$A$5001,$A2420,$H$2:$H$5001))</f>
        <v/>
      </c>
      <c r="J2420" s="47" t="n">
        <f aca="false">IF($A2420="",0,IF(COUNTIF($A$2:A2420,$A2420)=1,1,0))</f>
        <v>0</v>
      </c>
      <c r="K2420" s="47" t="n">
        <f aca="false">IF(J2420=1,N(I2420)+ROW()/10000000,0)</f>
        <v>0</v>
      </c>
      <c r="L2420" s="47" t="str">
        <f aca="false">IF(AND(J2420=1,N(I2420)&gt;0),SUMIF($K$2:$K$5001,"&gt;="&amp;K2420,$I$2:$I$5001)/MAX(1,SUM($H$2:$H$5001)),"")</f>
        <v/>
      </c>
      <c r="M2420" s="47" t="str">
        <f aca="false">IF($A2420="","",INDEX($L$2:$L$5001,MATCH($A2420,$A$2:$A$5001,0)))</f>
        <v/>
      </c>
      <c r="N2420" s="48" t="str">
        <f aca="false">IF($A2420="","",IF(N(M2420)=0,"–",IF(M2420&lt;=Start!$D$20,"A",IF(M2420&lt;=Start!$D$21,"B","C"))))</f>
        <v/>
      </c>
      <c r="O2420" s="48" t="str">
        <f aca="false">IF($A2420="","",IF(NOT(ISNUMBER(F2420)),"Wert fehlt; ",IF(F2420&lt;=0,"Wert ist 0; ",""))&amp;IF(NOT(ISNUMBER(E2420)),"Bestand fehlt; ",IF(E2420&lt;0,"Bestand negativ; ",IF(E2420=0,"Nullbestand; ","")))&amp;IF(D2420="","Warengruppe fehlt; ","")&amp;IF(B2420="","Bezeichnung fehlt; ","")&amp;IF(COUNTIFS($A$2:$A$5001,$A2420,$C$2:$C$5001,C2420)&gt;1,"Artikel doppelt im selben Lager; ",""))</f>
        <v/>
      </c>
      <c r="P2420" s="47" t="n">
        <f aca="false">IF(OR($A2420="",D2420=""),0,IF(COUNTIF($D$2:D2420,D2420)=1,SUMIF($D$2:$D$5001,D2420,$H$2:$H$5001)+ROW()/10000000,0))</f>
        <v>0</v>
      </c>
      <c r="Q2420" s="47" t="n">
        <f aca="false">IF(OR($A2420="",C2420=""),0,IF(COUNTIF($C$2:C2420,C2420)=1,SUMIF($C$2:$C$5001,C2420,$H$2:$H$5001)+ROW()/10000000,0))</f>
        <v>0</v>
      </c>
    </row>
    <row r="2421" customFormat="false" ht="15" hidden="false" customHeight="false" outlineLevel="0" collapsed="false">
      <c r="A2421" s="43"/>
      <c r="B2421" s="44"/>
      <c r="C2421" s="44"/>
      <c r="D2421" s="44"/>
      <c r="E2421" s="44"/>
      <c r="F2421" s="44"/>
      <c r="G2421" s="44"/>
      <c r="H2421" s="46" t="str">
        <f aca="false">IF($A2421="","",IF(OR(NOT(ISNUMBER(E2421)),NOT(ISNUMBER(F2421))),"",MAX(0,E2421)*F2421))</f>
        <v/>
      </c>
      <c r="I2421" s="46" t="str">
        <f aca="false">IF($A2421="","",SUMIF($A$2:$A$5001,$A2421,$H$2:$H$5001))</f>
        <v/>
      </c>
      <c r="J2421" s="47" t="n">
        <f aca="false">IF($A2421="",0,IF(COUNTIF($A$2:A2421,$A2421)=1,1,0))</f>
        <v>0</v>
      </c>
      <c r="K2421" s="47" t="n">
        <f aca="false">IF(J2421=1,N(I2421)+ROW()/10000000,0)</f>
        <v>0</v>
      </c>
      <c r="L2421" s="47" t="str">
        <f aca="false">IF(AND(J2421=1,N(I2421)&gt;0),SUMIF($K$2:$K$5001,"&gt;="&amp;K2421,$I$2:$I$5001)/MAX(1,SUM($H$2:$H$5001)),"")</f>
        <v/>
      </c>
      <c r="M2421" s="47" t="str">
        <f aca="false">IF($A2421="","",INDEX($L$2:$L$5001,MATCH($A2421,$A$2:$A$5001,0)))</f>
        <v/>
      </c>
      <c r="N2421" s="48" t="str">
        <f aca="false">IF($A2421="","",IF(N(M2421)=0,"–",IF(M2421&lt;=Start!$D$20,"A",IF(M2421&lt;=Start!$D$21,"B","C"))))</f>
        <v/>
      </c>
      <c r="O2421" s="48" t="str">
        <f aca="false">IF($A2421="","",IF(NOT(ISNUMBER(F2421)),"Wert fehlt; ",IF(F2421&lt;=0,"Wert ist 0; ",""))&amp;IF(NOT(ISNUMBER(E2421)),"Bestand fehlt; ",IF(E2421&lt;0,"Bestand negativ; ",IF(E2421=0,"Nullbestand; ","")))&amp;IF(D2421="","Warengruppe fehlt; ","")&amp;IF(B2421="","Bezeichnung fehlt; ","")&amp;IF(COUNTIFS($A$2:$A$5001,$A2421,$C$2:$C$5001,C2421)&gt;1,"Artikel doppelt im selben Lager; ",""))</f>
        <v/>
      </c>
      <c r="P2421" s="47" t="n">
        <f aca="false">IF(OR($A2421="",D2421=""),0,IF(COUNTIF($D$2:D2421,D2421)=1,SUMIF($D$2:$D$5001,D2421,$H$2:$H$5001)+ROW()/10000000,0))</f>
        <v>0</v>
      </c>
      <c r="Q2421" s="47" t="n">
        <f aca="false">IF(OR($A2421="",C2421=""),0,IF(COUNTIF($C$2:C2421,C2421)=1,SUMIF($C$2:$C$5001,C2421,$H$2:$H$5001)+ROW()/10000000,0))</f>
        <v>0</v>
      </c>
    </row>
    <row r="2422" customFormat="false" ht="15" hidden="false" customHeight="false" outlineLevel="0" collapsed="false">
      <c r="A2422" s="43"/>
      <c r="B2422" s="44"/>
      <c r="C2422" s="44"/>
      <c r="D2422" s="44"/>
      <c r="E2422" s="44"/>
      <c r="F2422" s="44"/>
      <c r="G2422" s="44"/>
      <c r="H2422" s="46" t="str">
        <f aca="false">IF($A2422="","",IF(OR(NOT(ISNUMBER(E2422)),NOT(ISNUMBER(F2422))),"",MAX(0,E2422)*F2422))</f>
        <v/>
      </c>
      <c r="I2422" s="46" t="str">
        <f aca="false">IF($A2422="","",SUMIF($A$2:$A$5001,$A2422,$H$2:$H$5001))</f>
        <v/>
      </c>
      <c r="J2422" s="47" t="n">
        <f aca="false">IF($A2422="",0,IF(COUNTIF($A$2:A2422,$A2422)=1,1,0))</f>
        <v>0</v>
      </c>
      <c r="K2422" s="47" t="n">
        <f aca="false">IF(J2422=1,N(I2422)+ROW()/10000000,0)</f>
        <v>0</v>
      </c>
      <c r="L2422" s="47" t="str">
        <f aca="false">IF(AND(J2422=1,N(I2422)&gt;0),SUMIF($K$2:$K$5001,"&gt;="&amp;K2422,$I$2:$I$5001)/MAX(1,SUM($H$2:$H$5001)),"")</f>
        <v/>
      </c>
      <c r="M2422" s="47" t="str">
        <f aca="false">IF($A2422="","",INDEX($L$2:$L$5001,MATCH($A2422,$A$2:$A$5001,0)))</f>
        <v/>
      </c>
      <c r="N2422" s="48" t="str">
        <f aca="false">IF($A2422="","",IF(N(M2422)=0,"–",IF(M2422&lt;=Start!$D$20,"A",IF(M2422&lt;=Start!$D$21,"B","C"))))</f>
        <v/>
      </c>
      <c r="O2422" s="48" t="str">
        <f aca="false">IF($A2422="","",IF(NOT(ISNUMBER(F2422)),"Wert fehlt; ",IF(F2422&lt;=0,"Wert ist 0; ",""))&amp;IF(NOT(ISNUMBER(E2422)),"Bestand fehlt; ",IF(E2422&lt;0,"Bestand negativ; ",IF(E2422=0,"Nullbestand; ","")))&amp;IF(D2422="","Warengruppe fehlt; ","")&amp;IF(B2422="","Bezeichnung fehlt; ","")&amp;IF(COUNTIFS($A$2:$A$5001,$A2422,$C$2:$C$5001,C2422)&gt;1,"Artikel doppelt im selben Lager; ",""))</f>
        <v/>
      </c>
      <c r="P2422" s="47" t="n">
        <f aca="false">IF(OR($A2422="",D2422=""),0,IF(COUNTIF($D$2:D2422,D2422)=1,SUMIF($D$2:$D$5001,D2422,$H$2:$H$5001)+ROW()/10000000,0))</f>
        <v>0</v>
      </c>
      <c r="Q2422" s="47" t="n">
        <f aca="false">IF(OR($A2422="",C2422=""),0,IF(COUNTIF($C$2:C2422,C2422)=1,SUMIF($C$2:$C$5001,C2422,$H$2:$H$5001)+ROW()/10000000,0))</f>
        <v>0</v>
      </c>
    </row>
    <row r="2423" customFormat="false" ht="15" hidden="false" customHeight="false" outlineLevel="0" collapsed="false">
      <c r="A2423" s="43"/>
      <c r="B2423" s="44"/>
      <c r="C2423" s="44"/>
      <c r="D2423" s="44"/>
      <c r="E2423" s="44"/>
      <c r="F2423" s="44"/>
      <c r="G2423" s="44"/>
      <c r="H2423" s="46" t="str">
        <f aca="false">IF($A2423="","",IF(OR(NOT(ISNUMBER(E2423)),NOT(ISNUMBER(F2423))),"",MAX(0,E2423)*F2423))</f>
        <v/>
      </c>
      <c r="I2423" s="46" t="str">
        <f aca="false">IF($A2423="","",SUMIF($A$2:$A$5001,$A2423,$H$2:$H$5001))</f>
        <v/>
      </c>
      <c r="J2423" s="47" t="n">
        <f aca="false">IF($A2423="",0,IF(COUNTIF($A$2:A2423,$A2423)=1,1,0))</f>
        <v>0</v>
      </c>
      <c r="K2423" s="47" t="n">
        <f aca="false">IF(J2423=1,N(I2423)+ROW()/10000000,0)</f>
        <v>0</v>
      </c>
      <c r="L2423" s="47" t="str">
        <f aca="false">IF(AND(J2423=1,N(I2423)&gt;0),SUMIF($K$2:$K$5001,"&gt;="&amp;K2423,$I$2:$I$5001)/MAX(1,SUM($H$2:$H$5001)),"")</f>
        <v/>
      </c>
      <c r="M2423" s="47" t="str">
        <f aca="false">IF($A2423="","",INDEX($L$2:$L$5001,MATCH($A2423,$A$2:$A$5001,0)))</f>
        <v/>
      </c>
      <c r="N2423" s="48" t="str">
        <f aca="false">IF($A2423="","",IF(N(M2423)=0,"–",IF(M2423&lt;=Start!$D$20,"A",IF(M2423&lt;=Start!$D$21,"B","C"))))</f>
        <v/>
      </c>
      <c r="O2423" s="48" t="str">
        <f aca="false">IF($A2423="","",IF(NOT(ISNUMBER(F2423)),"Wert fehlt; ",IF(F2423&lt;=0,"Wert ist 0; ",""))&amp;IF(NOT(ISNUMBER(E2423)),"Bestand fehlt; ",IF(E2423&lt;0,"Bestand negativ; ",IF(E2423=0,"Nullbestand; ","")))&amp;IF(D2423="","Warengruppe fehlt; ","")&amp;IF(B2423="","Bezeichnung fehlt; ","")&amp;IF(COUNTIFS($A$2:$A$5001,$A2423,$C$2:$C$5001,C2423)&gt;1,"Artikel doppelt im selben Lager; ",""))</f>
        <v/>
      </c>
      <c r="P2423" s="47" t="n">
        <f aca="false">IF(OR($A2423="",D2423=""),0,IF(COUNTIF($D$2:D2423,D2423)=1,SUMIF($D$2:$D$5001,D2423,$H$2:$H$5001)+ROW()/10000000,0))</f>
        <v>0</v>
      </c>
      <c r="Q2423" s="47" t="n">
        <f aca="false">IF(OR($A2423="",C2423=""),0,IF(COUNTIF($C$2:C2423,C2423)=1,SUMIF($C$2:$C$5001,C2423,$H$2:$H$5001)+ROW()/10000000,0))</f>
        <v>0</v>
      </c>
    </row>
    <row r="2424" customFormat="false" ht="15" hidden="false" customHeight="false" outlineLevel="0" collapsed="false">
      <c r="A2424" s="43"/>
      <c r="B2424" s="44"/>
      <c r="C2424" s="44"/>
      <c r="D2424" s="44"/>
      <c r="E2424" s="44"/>
      <c r="F2424" s="44"/>
      <c r="G2424" s="44"/>
      <c r="H2424" s="46" t="str">
        <f aca="false">IF($A2424="","",IF(OR(NOT(ISNUMBER(E2424)),NOT(ISNUMBER(F2424))),"",MAX(0,E2424)*F2424))</f>
        <v/>
      </c>
      <c r="I2424" s="46" t="str">
        <f aca="false">IF($A2424="","",SUMIF($A$2:$A$5001,$A2424,$H$2:$H$5001))</f>
        <v/>
      </c>
      <c r="J2424" s="47" t="n">
        <f aca="false">IF($A2424="",0,IF(COUNTIF($A$2:A2424,$A2424)=1,1,0))</f>
        <v>0</v>
      </c>
      <c r="K2424" s="47" t="n">
        <f aca="false">IF(J2424=1,N(I2424)+ROW()/10000000,0)</f>
        <v>0</v>
      </c>
      <c r="L2424" s="47" t="str">
        <f aca="false">IF(AND(J2424=1,N(I2424)&gt;0),SUMIF($K$2:$K$5001,"&gt;="&amp;K2424,$I$2:$I$5001)/MAX(1,SUM($H$2:$H$5001)),"")</f>
        <v/>
      </c>
      <c r="M2424" s="47" t="str">
        <f aca="false">IF($A2424="","",INDEX($L$2:$L$5001,MATCH($A2424,$A$2:$A$5001,0)))</f>
        <v/>
      </c>
      <c r="N2424" s="48" t="str">
        <f aca="false">IF($A2424="","",IF(N(M2424)=0,"–",IF(M2424&lt;=Start!$D$20,"A",IF(M2424&lt;=Start!$D$21,"B","C"))))</f>
        <v/>
      </c>
      <c r="O2424" s="48" t="str">
        <f aca="false">IF($A2424="","",IF(NOT(ISNUMBER(F2424)),"Wert fehlt; ",IF(F2424&lt;=0,"Wert ist 0; ",""))&amp;IF(NOT(ISNUMBER(E2424)),"Bestand fehlt; ",IF(E2424&lt;0,"Bestand negativ; ",IF(E2424=0,"Nullbestand; ","")))&amp;IF(D2424="","Warengruppe fehlt; ","")&amp;IF(B2424="","Bezeichnung fehlt; ","")&amp;IF(COUNTIFS($A$2:$A$5001,$A2424,$C$2:$C$5001,C2424)&gt;1,"Artikel doppelt im selben Lager; ",""))</f>
        <v/>
      </c>
      <c r="P2424" s="47" t="n">
        <f aca="false">IF(OR($A2424="",D2424=""),0,IF(COUNTIF($D$2:D2424,D2424)=1,SUMIF($D$2:$D$5001,D2424,$H$2:$H$5001)+ROW()/10000000,0))</f>
        <v>0</v>
      </c>
      <c r="Q2424" s="47" t="n">
        <f aca="false">IF(OR($A2424="",C2424=""),0,IF(COUNTIF($C$2:C2424,C2424)=1,SUMIF($C$2:$C$5001,C2424,$H$2:$H$5001)+ROW()/10000000,0))</f>
        <v>0</v>
      </c>
    </row>
    <row r="2425" customFormat="false" ht="15" hidden="false" customHeight="false" outlineLevel="0" collapsed="false">
      <c r="A2425" s="43"/>
      <c r="B2425" s="44"/>
      <c r="C2425" s="44"/>
      <c r="D2425" s="44"/>
      <c r="E2425" s="44"/>
      <c r="F2425" s="44"/>
      <c r="G2425" s="44"/>
      <c r="H2425" s="46" t="str">
        <f aca="false">IF($A2425="","",IF(OR(NOT(ISNUMBER(E2425)),NOT(ISNUMBER(F2425))),"",MAX(0,E2425)*F2425))</f>
        <v/>
      </c>
      <c r="I2425" s="46" t="str">
        <f aca="false">IF($A2425="","",SUMIF($A$2:$A$5001,$A2425,$H$2:$H$5001))</f>
        <v/>
      </c>
      <c r="J2425" s="47" t="n">
        <f aca="false">IF($A2425="",0,IF(COUNTIF($A$2:A2425,$A2425)=1,1,0))</f>
        <v>0</v>
      </c>
      <c r="K2425" s="47" t="n">
        <f aca="false">IF(J2425=1,N(I2425)+ROW()/10000000,0)</f>
        <v>0</v>
      </c>
      <c r="L2425" s="47" t="str">
        <f aca="false">IF(AND(J2425=1,N(I2425)&gt;0),SUMIF($K$2:$K$5001,"&gt;="&amp;K2425,$I$2:$I$5001)/MAX(1,SUM($H$2:$H$5001)),"")</f>
        <v/>
      </c>
      <c r="M2425" s="47" t="str">
        <f aca="false">IF($A2425="","",INDEX($L$2:$L$5001,MATCH($A2425,$A$2:$A$5001,0)))</f>
        <v/>
      </c>
      <c r="N2425" s="48" t="str">
        <f aca="false">IF($A2425="","",IF(N(M2425)=0,"–",IF(M2425&lt;=Start!$D$20,"A",IF(M2425&lt;=Start!$D$21,"B","C"))))</f>
        <v/>
      </c>
      <c r="O2425" s="48" t="str">
        <f aca="false">IF($A2425="","",IF(NOT(ISNUMBER(F2425)),"Wert fehlt; ",IF(F2425&lt;=0,"Wert ist 0; ",""))&amp;IF(NOT(ISNUMBER(E2425)),"Bestand fehlt; ",IF(E2425&lt;0,"Bestand negativ; ",IF(E2425=0,"Nullbestand; ","")))&amp;IF(D2425="","Warengruppe fehlt; ","")&amp;IF(B2425="","Bezeichnung fehlt; ","")&amp;IF(COUNTIFS($A$2:$A$5001,$A2425,$C$2:$C$5001,C2425)&gt;1,"Artikel doppelt im selben Lager; ",""))</f>
        <v/>
      </c>
      <c r="P2425" s="47" t="n">
        <f aca="false">IF(OR($A2425="",D2425=""),0,IF(COUNTIF($D$2:D2425,D2425)=1,SUMIF($D$2:$D$5001,D2425,$H$2:$H$5001)+ROW()/10000000,0))</f>
        <v>0</v>
      </c>
      <c r="Q2425" s="47" t="n">
        <f aca="false">IF(OR($A2425="",C2425=""),0,IF(COUNTIF($C$2:C2425,C2425)=1,SUMIF($C$2:$C$5001,C2425,$H$2:$H$5001)+ROW()/10000000,0))</f>
        <v>0</v>
      </c>
    </row>
    <row r="2426" customFormat="false" ht="15" hidden="false" customHeight="false" outlineLevel="0" collapsed="false">
      <c r="A2426" s="43"/>
      <c r="B2426" s="44"/>
      <c r="C2426" s="44"/>
      <c r="D2426" s="44"/>
      <c r="E2426" s="44"/>
      <c r="F2426" s="44"/>
      <c r="G2426" s="44"/>
      <c r="H2426" s="46" t="str">
        <f aca="false">IF($A2426="","",IF(OR(NOT(ISNUMBER(E2426)),NOT(ISNUMBER(F2426))),"",MAX(0,E2426)*F2426))</f>
        <v/>
      </c>
      <c r="I2426" s="46" t="str">
        <f aca="false">IF($A2426="","",SUMIF($A$2:$A$5001,$A2426,$H$2:$H$5001))</f>
        <v/>
      </c>
      <c r="J2426" s="47" t="n">
        <f aca="false">IF($A2426="",0,IF(COUNTIF($A$2:A2426,$A2426)=1,1,0))</f>
        <v>0</v>
      </c>
      <c r="K2426" s="47" t="n">
        <f aca="false">IF(J2426=1,N(I2426)+ROW()/10000000,0)</f>
        <v>0</v>
      </c>
      <c r="L2426" s="47" t="str">
        <f aca="false">IF(AND(J2426=1,N(I2426)&gt;0),SUMIF($K$2:$K$5001,"&gt;="&amp;K2426,$I$2:$I$5001)/MAX(1,SUM($H$2:$H$5001)),"")</f>
        <v/>
      </c>
      <c r="M2426" s="47" t="str">
        <f aca="false">IF($A2426="","",INDEX($L$2:$L$5001,MATCH($A2426,$A$2:$A$5001,0)))</f>
        <v/>
      </c>
      <c r="N2426" s="48" t="str">
        <f aca="false">IF($A2426="","",IF(N(M2426)=0,"–",IF(M2426&lt;=Start!$D$20,"A",IF(M2426&lt;=Start!$D$21,"B","C"))))</f>
        <v/>
      </c>
      <c r="O2426" s="48" t="str">
        <f aca="false">IF($A2426="","",IF(NOT(ISNUMBER(F2426)),"Wert fehlt; ",IF(F2426&lt;=0,"Wert ist 0; ",""))&amp;IF(NOT(ISNUMBER(E2426)),"Bestand fehlt; ",IF(E2426&lt;0,"Bestand negativ; ",IF(E2426=0,"Nullbestand; ","")))&amp;IF(D2426="","Warengruppe fehlt; ","")&amp;IF(B2426="","Bezeichnung fehlt; ","")&amp;IF(COUNTIFS($A$2:$A$5001,$A2426,$C$2:$C$5001,C2426)&gt;1,"Artikel doppelt im selben Lager; ",""))</f>
        <v/>
      </c>
      <c r="P2426" s="47" t="n">
        <f aca="false">IF(OR($A2426="",D2426=""),0,IF(COUNTIF($D$2:D2426,D2426)=1,SUMIF($D$2:$D$5001,D2426,$H$2:$H$5001)+ROW()/10000000,0))</f>
        <v>0</v>
      </c>
      <c r="Q2426" s="47" t="n">
        <f aca="false">IF(OR($A2426="",C2426=""),0,IF(COUNTIF($C$2:C2426,C2426)=1,SUMIF($C$2:$C$5001,C2426,$H$2:$H$5001)+ROW()/10000000,0))</f>
        <v>0</v>
      </c>
    </row>
    <row r="2427" customFormat="false" ht="15" hidden="false" customHeight="false" outlineLevel="0" collapsed="false">
      <c r="A2427" s="43"/>
      <c r="B2427" s="44"/>
      <c r="C2427" s="44"/>
      <c r="D2427" s="44"/>
      <c r="E2427" s="44"/>
      <c r="F2427" s="44"/>
      <c r="G2427" s="44"/>
      <c r="H2427" s="46" t="str">
        <f aca="false">IF($A2427="","",IF(OR(NOT(ISNUMBER(E2427)),NOT(ISNUMBER(F2427))),"",MAX(0,E2427)*F2427))</f>
        <v/>
      </c>
      <c r="I2427" s="46" t="str">
        <f aca="false">IF($A2427="","",SUMIF($A$2:$A$5001,$A2427,$H$2:$H$5001))</f>
        <v/>
      </c>
      <c r="J2427" s="47" t="n">
        <f aca="false">IF($A2427="",0,IF(COUNTIF($A$2:A2427,$A2427)=1,1,0))</f>
        <v>0</v>
      </c>
      <c r="K2427" s="47" t="n">
        <f aca="false">IF(J2427=1,N(I2427)+ROW()/10000000,0)</f>
        <v>0</v>
      </c>
      <c r="L2427" s="47" t="str">
        <f aca="false">IF(AND(J2427=1,N(I2427)&gt;0),SUMIF($K$2:$K$5001,"&gt;="&amp;K2427,$I$2:$I$5001)/MAX(1,SUM($H$2:$H$5001)),"")</f>
        <v/>
      </c>
      <c r="M2427" s="47" t="str">
        <f aca="false">IF($A2427="","",INDEX($L$2:$L$5001,MATCH($A2427,$A$2:$A$5001,0)))</f>
        <v/>
      </c>
      <c r="N2427" s="48" t="str">
        <f aca="false">IF($A2427="","",IF(N(M2427)=0,"–",IF(M2427&lt;=Start!$D$20,"A",IF(M2427&lt;=Start!$D$21,"B","C"))))</f>
        <v/>
      </c>
      <c r="O2427" s="48" t="str">
        <f aca="false">IF($A2427="","",IF(NOT(ISNUMBER(F2427)),"Wert fehlt; ",IF(F2427&lt;=0,"Wert ist 0; ",""))&amp;IF(NOT(ISNUMBER(E2427)),"Bestand fehlt; ",IF(E2427&lt;0,"Bestand negativ; ",IF(E2427=0,"Nullbestand; ","")))&amp;IF(D2427="","Warengruppe fehlt; ","")&amp;IF(B2427="","Bezeichnung fehlt; ","")&amp;IF(COUNTIFS($A$2:$A$5001,$A2427,$C$2:$C$5001,C2427)&gt;1,"Artikel doppelt im selben Lager; ",""))</f>
        <v/>
      </c>
      <c r="P2427" s="47" t="n">
        <f aca="false">IF(OR($A2427="",D2427=""),0,IF(COUNTIF($D$2:D2427,D2427)=1,SUMIF($D$2:$D$5001,D2427,$H$2:$H$5001)+ROW()/10000000,0))</f>
        <v>0</v>
      </c>
      <c r="Q2427" s="47" t="n">
        <f aca="false">IF(OR($A2427="",C2427=""),0,IF(COUNTIF($C$2:C2427,C2427)=1,SUMIF($C$2:$C$5001,C2427,$H$2:$H$5001)+ROW()/10000000,0))</f>
        <v>0</v>
      </c>
    </row>
    <row r="2428" customFormat="false" ht="15" hidden="false" customHeight="false" outlineLevel="0" collapsed="false">
      <c r="A2428" s="43"/>
      <c r="B2428" s="44"/>
      <c r="C2428" s="44"/>
      <c r="D2428" s="44"/>
      <c r="E2428" s="44"/>
      <c r="F2428" s="44"/>
      <c r="G2428" s="44"/>
      <c r="H2428" s="46" t="str">
        <f aca="false">IF($A2428="","",IF(OR(NOT(ISNUMBER(E2428)),NOT(ISNUMBER(F2428))),"",MAX(0,E2428)*F2428))</f>
        <v/>
      </c>
      <c r="I2428" s="46" t="str">
        <f aca="false">IF($A2428="","",SUMIF($A$2:$A$5001,$A2428,$H$2:$H$5001))</f>
        <v/>
      </c>
      <c r="J2428" s="47" t="n">
        <f aca="false">IF($A2428="",0,IF(COUNTIF($A$2:A2428,$A2428)=1,1,0))</f>
        <v>0</v>
      </c>
      <c r="K2428" s="47" t="n">
        <f aca="false">IF(J2428=1,N(I2428)+ROW()/10000000,0)</f>
        <v>0</v>
      </c>
      <c r="L2428" s="47" t="str">
        <f aca="false">IF(AND(J2428=1,N(I2428)&gt;0),SUMIF($K$2:$K$5001,"&gt;="&amp;K2428,$I$2:$I$5001)/MAX(1,SUM($H$2:$H$5001)),"")</f>
        <v/>
      </c>
      <c r="M2428" s="47" t="str">
        <f aca="false">IF($A2428="","",INDEX($L$2:$L$5001,MATCH($A2428,$A$2:$A$5001,0)))</f>
        <v/>
      </c>
      <c r="N2428" s="48" t="str">
        <f aca="false">IF($A2428="","",IF(N(M2428)=0,"–",IF(M2428&lt;=Start!$D$20,"A",IF(M2428&lt;=Start!$D$21,"B","C"))))</f>
        <v/>
      </c>
      <c r="O2428" s="48" t="str">
        <f aca="false">IF($A2428="","",IF(NOT(ISNUMBER(F2428)),"Wert fehlt; ",IF(F2428&lt;=0,"Wert ist 0; ",""))&amp;IF(NOT(ISNUMBER(E2428)),"Bestand fehlt; ",IF(E2428&lt;0,"Bestand negativ; ",IF(E2428=0,"Nullbestand; ","")))&amp;IF(D2428="","Warengruppe fehlt; ","")&amp;IF(B2428="","Bezeichnung fehlt; ","")&amp;IF(COUNTIFS($A$2:$A$5001,$A2428,$C$2:$C$5001,C2428)&gt;1,"Artikel doppelt im selben Lager; ",""))</f>
        <v/>
      </c>
      <c r="P2428" s="47" t="n">
        <f aca="false">IF(OR($A2428="",D2428=""),0,IF(COUNTIF($D$2:D2428,D2428)=1,SUMIF($D$2:$D$5001,D2428,$H$2:$H$5001)+ROW()/10000000,0))</f>
        <v>0</v>
      </c>
      <c r="Q2428" s="47" t="n">
        <f aca="false">IF(OR($A2428="",C2428=""),0,IF(COUNTIF($C$2:C2428,C2428)=1,SUMIF($C$2:$C$5001,C2428,$H$2:$H$5001)+ROW()/10000000,0))</f>
        <v>0</v>
      </c>
    </row>
    <row r="2429" customFormat="false" ht="15" hidden="false" customHeight="false" outlineLevel="0" collapsed="false">
      <c r="A2429" s="43"/>
      <c r="B2429" s="44"/>
      <c r="C2429" s="44"/>
      <c r="D2429" s="44"/>
      <c r="E2429" s="44"/>
      <c r="F2429" s="44"/>
      <c r="G2429" s="44"/>
      <c r="H2429" s="46" t="str">
        <f aca="false">IF($A2429="","",IF(OR(NOT(ISNUMBER(E2429)),NOT(ISNUMBER(F2429))),"",MAX(0,E2429)*F2429))</f>
        <v/>
      </c>
      <c r="I2429" s="46" t="str">
        <f aca="false">IF($A2429="","",SUMIF($A$2:$A$5001,$A2429,$H$2:$H$5001))</f>
        <v/>
      </c>
      <c r="J2429" s="47" t="n">
        <f aca="false">IF($A2429="",0,IF(COUNTIF($A$2:A2429,$A2429)=1,1,0))</f>
        <v>0</v>
      </c>
      <c r="K2429" s="47" t="n">
        <f aca="false">IF(J2429=1,N(I2429)+ROW()/10000000,0)</f>
        <v>0</v>
      </c>
      <c r="L2429" s="47" t="str">
        <f aca="false">IF(AND(J2429=1,N(I2429)&gt;0),SUMIF($K$2:$K$5001,"&gt;="&amp;K2429,$I$2:$I$5001)/MAX(1,SUM($H$2:$H$5001)),"")</f>
        <v/>
      </c>
      <c r="M2429" s="47" t="str">
        <f aca="false">IF($A2429="","",INDEX($L$2:$L$5001,MATCH($A2429,$A$2:$A$5001,0)))</f>
        <v/>
      </c>
      <c r="N2429" s="48" t="str">
        <f aca="false">IF($A2429="","",IF(N(M2429)=0,"–",IF(M2429&lt;=Start!$D$20,"A",IF(M2429&lt;=Start!$D$21,"B","C"))))</f>
        <v/>
      </c>
      <c r="O2429" s="48" t="str">
        <f aca="false">IF($A2429="","",IF(NOT(ISNUMBER(F2429)),"Wert fehlt; ",IF(F2429&lt;=0,"Wert ist 0; ",""))&amp;IF(NOT(ISNUMBER(E2429)),"Bestand fehlt; ",IF(E2429&lt;0,"Bestand negativ; ",IF(E2429=0,"Nullbestand; ","")))&amp;IF(D2429="","Warengruppe fehlt; ","")&amp;IF(B2429="","Bezeichnung fehlt; ","")&amp;IF(COUNTIFS($A$2:$A$5001,$A2429,$C$2:$C$5001,C2429)&gt;1,"Artikel doppelt im selben Lager; ",""))</f>
        <v/>
      </c>
      <c r="P2429" s="47" t="n">
        <f aca="false">IF(OR($A2429="",D2429=""),0,IF(COUNTIF($D$2:D2429,D2429)=1,SUMIF($D$2:$D$5001,D2429,$H$2:$H$5001)+ROW()/10000000,0))</f>
        <v>0</v>
      </c>
      <c r="Q2429" s="47" t="n">
        <f aca="false">IF(OR($A2429="",C2429=""),0,IF(COUNTIF($C$2:C2429,C2429)=1,SUMIF($C$2:$C$5001,C2429,$H$2:$H$5001)+ROW()/10000000,0))</f>
        <v>0</v>
      </c>
    </row>
    <row r="2430" customFormat="false" ht="15" hidden="false" customHeight="false" outlineLevel="0" collapsed="false">
      <c r="A2430" s="43"/>
      <c r="B2430" s="44"/>
      <c r="C2430" s="44"/>
      <c r="D2430" s="44"/>
      <c r="E2430" s="44"/>
      <c r="F2430" s="44"/>
      <c r="G2430" s="44"/>
      <c r="H2430" s="46" t="str">
        <f aca="false">IF($A2430="","",IF(OR(NOT(ISNUMBER(E2430)),NOT(ISNUMBER(F2430))),"",MAX(0,E2430)*F2430))</f>
        <v/>
      </c>
      <c r="I2430" s="46" t="str">
        <f aca="false">IF($A2430="","",SUMIF($A$2:$A$5001,$A2430,$H$2:$H$5001))</f>
        <v/>
      </c>
      <c r="J2430" s="47" t="n">
        <f aca="false">IF($A2430="",0,IF(COUNTIF($A$2:A2430,$A2430)=1,1,0))</f>
        <v>0</v>
      </c>
      <c r="K2430" s="47" t="n">
        <f aca="false">IF(J2430=1,N(I2430)+ROW()/10000000,0)</f>
        <v>0</v>
      </c>
      <c r="L2430" s="47" t="str">
        <f aca="false">IF(AND(J2430=1,N(I2430)&gt;0),SUMIF($K$2:$K$5001,"&gt;="&amp;K2430,$I$2:$I$5001)/MAX(1,SUM($H$2:$H$5001)),"")</f>
        <v/>
      </c>
      <c r="M2430" s="47" t="str">
        <f aca="false">IF($A2430="","",INDEX($L$2:$L$5001,MATCH($A2430,$A$2:$A$5001,0)))</f>
        <v/>
      </c>
      <c r="N2430" s="48" t="str">
        <f aca="false">IF($A2430="","",IF(N(M2430)=0,"–",IF(M2430&lt;=Start!$D$20,"A",IF(M2430&lt;=Start!$D$21,"B","C"))))</f>
        <v/>
      </c>
      <c r="O2430" s="48" t="str">
        <f aca="false">IF($A2430="","",IF(NOT(ISNUMBER(F2430)),"Wert fehlt; ",IF(F2430&lt;=0,"Wert ist 0; ",""))&amp;IF(NOT(ISNUMBER(E2430)),"Bestand fehlt; ",IF(E2430&lt;0,"Bestand negativ; ",IF(E2430=0,"Nullbestand; ","")))&amp;IF(D2430="","Warengruppe fehlt; ","")&amp;IF(B2430="","Bezeichnung fehlt; ","")&amp;IF(COUNTIFS($A$2:$A$5001,$A2430,$C$2:$C$5001,C2430)&gt;1,"Artikel doppelt im selben Lager; ",""))</f>
        <v/>
      </c>
      <c r="P2430" s="47" t="n">
        <f aca="false">IF(OR($A2430="",D2430=""),0,IF(COUNTIF($D$2:D2430,D2430)=1,SUMIF($D$2:$D$5001,D2430,$H$2:$H$5001)+ROW()/10000000,0))</f>
        <v>0</v>
      </c>
      <c r="Q2430" s="47" t="n">
        <f aca="false">IF(OR($A2430="",C2430=""),0,IF(COUNTIF($C$2:C2430,C2430)=1,SUMIF($C$2:$C$5001,C2430,$H$2:$H$5001)+ROW()/10000000,0))</f>
        <v>0</v>
      </c>
    </row>
    <row r="2431" customFormat="false" ht="15" hidden="false" customHeight="false" outlineLevel="0" collapsed="false">
      <c r="A2431" s="43"/>
      <c r="B2431" s="44"/>
      <c r="C2431" s="44"/>
      <c r="D2431" s="44"/>
      <c r="E2431" s="44"/>
      <c r="F2431" s="44"/>
      <c r="G2431" s="44"/>
      <c r="H2431" s="46" t="str">
        <f aca="false">IF($A2431="","",IF(OR(NOT(ISNUMBER(E2431)),NOT(ISNUMBER(F2431))),"",MAX(0,E2431)*F2431))</f>
        <v/>
      </c>
      <c r="I2431" s="46" t="str">
        <f aca="false">IF($A2431="","",SUMIF($A$2:$A$5001,$A2431,$H$2:$H$5001))</f>
        <v/>
      </c>
      <c r="J2431" s="47" t="n">
        <f aca="false">IF($A2431="",0,IF(COUNTIF($A$2:A2431,$A2431)=1,1,0))</f>
        <v>0</v>
      </c>
      <c r="K2431" s="47" t="n">
        <f aca="false">IF(J2431=1,N(I2431)+ROW()/10000000,0)</f>
        <v>0</v>
      </c>
      <c r="L2431" s="47" t="str">
        <f aca="false">IF(AND(J2431=1,N(I2431)&gt;0),SUMIF($K$2:$K$5001,"&gt;="&amp;K2431,$I$2:$I$5001)/MAX(1,SUM($H$2:$H$5001)),"")</f>
        <v/>
      </c>
      <c r="M2431" s="47" t="str">
        <f aca="false">IF($A2431="","",INDEX($L$2:$L$5001,MATCH($A2431,$A$2:$A$5001,0)))</f>
        <v/>
      </c>
      <c r="N2431" s="48" t="str">
        <f aca="false">IF($A2431="","",IF(N(M2431)=0,"–",IF(M2431&lt;=Start!$D$20,"A",IF(M2431&lt;=Start!$D$21,"B","C"))))</f>
        <v/>
      </c>
      <c r="O2431" s="48" t="str">
        <f aca="false">IF($A2431="","",IF(NOT(ISNUMBER(F2431)),"Wert fehlt; ",IF(F2431&lt;=0,"Wert ist 0; ",""))&amp;IF(NOT(ISNUMBER(E2431)),"Bestand fehlt; ",IF(E2431&lt;0,"Bestand negativ; ",IF(E2431=0,"Nullbestand; ","")))&amp;IF(D2431="","Warengruppe fehlt; ","")&amp;IF(B2431="","Bezeichnung fehlt; ","")&amp;IF(COUNTIFS($A$2:$A$5001,$A2431,$C$2:$C$5001,C2431)&gt;1,"Artikel doppelt im selben Lager; ",""))</f>
        <v/>
      </c>
      <c r="P2431" s="47" t="n">
        <f aca="false">IF(OR($A2431="",D2431=""),0,IF(COUNTIF($D$2:D2431,D2431)=1,SUMIF($D$2:$D$5001,D2431,$H$2:$H$5001)+ROW()/10000000,0))</f>
        <v>0</v>
      </c>
      <c r="Q2431" s="47" t="n">
        <f aca="false">IF(OR($A2431="",C2431=""),0,IF(COUNTIF($C$2:C2431,C2431)=1,SUMIF($C$2:$C$5001,C2431,$H$2:$H$5001)+ROW()/10000000,0))</f>
        <v>0</v>
      </c>
    </row>
    <row r="2432" customFormat="false" ht="15" hidden="false" customHeight="false" outlineLevel="0" collapsed="false">
      <c r="A2432" s="43"/>
      <c r="B2432" s="44"/>
      <c r="C2432" s="44"/>
      <c r="D2432" s="44"/>
      <c r="E2432" s="44"/>
      <c r="F2432" s="44"/>
      <c r="G2432" s="44"/>
      <c r="H2432" s="46" t="str">
        <f aca="false">IF($A2432="","",IF(OR(NOT(ISNUMBER(E2432)),NOT(ISNUMBER(F2432))),"",MAX(0,E2432)*F2432))</f>
        <v/>
      </c>
      <c r="I2432" s="46" t="str">
        <f aca="false">IF($A2432="","",SUMIF($A$2:$A$5001,$A2432,$H$2:$H$5001))</f>
        <v/>
      </c>
      <c r="J2432" s="47" t="n">
        <f aca="false">IF($A2432="",0,IF(COUNTIF($A$2:A2432,$A2432)=1,1,0))</f>
        <v>0</v>
      </c>
      <c r="K2432" s="47" t="n">
        <f aca="false">IF(J2432=1,N(I2432)+ROW()/10000000,0)</f>
        <v>0</v>
      </c>
      <c r="L2432" s="47" t="str">
        <f aca="false">IF(AND(J2432=1,N(I2432)&gt;0),SUMIF($K$2:$K$5001,"&gt;="&amp;K2432,$I$2:$I$5001)/MAX(1,SUM($H$2:$H$5001)),"")</f>
        <v/>
      </c>
      <c r="M2432" s="47" t="str">
        <f aca="false">IF($A2432="","",INDEX($L$2:$L$5001,MATCH($A2432,$A$2:$A$5001,0)))</f>
        <v/>
      </c>
      <c r="N2432" s="48" t="str">
        <f aca="false">IF($A2432="","",IF(N(M2432)=0,"–",IF(M2432&lt;=Start!$D$20,"A",IF(M2432&lt;=Start!$D$21,"B","C"))))</f>
        <v/>
      </c>
      <c r="O2432" s="48" t="str">
        <f aca="false">IF($A2432="","",IF(NOT(ISNUMBER(F2432)),"Wert fehlt; ",IF(F2432&lt;=0,"Wert ist 0; ",""))&amp;IF(NOT(ISNUMBER(E2432)),"Bestand fehlt; ",IF(E2432&lt;0,"Bestand negativ; ",IF(E2432=0,"Nullbestand; ","")))&amp;IF(D2432="","Warengruppe fehlt; ","")&amp;IF(B2432="","Bezeichnung fehlt; ","")&amp;IF(COUNTIFS($A$2:$A$5001,$A2432,$C$2:$C$5001,C2432)&gt;1,"Artikel doppelt im selben Lager; ",""))</f>
        <v/>
      </c>
      <c r="P2432" s="47" t="n">
        <f aca="false">IF(OR($A2432="",D2432=""),0,IF(COUNTIF($D$2:D2432,D2432)=1,SUMIF($D$2:$D$5001,D2432,$H$2:$H$5001)+ROW()/10000000,0))</f>
        <v>0</v>
      </c>
      <c r="Q2432" s="47" t="n">
        <f aca="false">IF(OR($A2432="",C2432=""),0,IF(COUNTIF($C$2:C2432,C2432)=1,SUMIF($C$2:$C$5001,C2432,$H$2:$H$5001)+ROW()/10000000,0))</f>
        <v>0</v>
      </c>
    </row>
    <row r="2433" customFormat="false" ht="15" hidden="false" customHeight="false" outlineLevel="0" collapsed="false">
      <c r="A2433" s="43"/>
      <c r="B2433" s="44"/>
      <c r="C2433" s="44"/>
      <c r="D2433" s="44"/>
      <c r="E2433" s="44"/>
      <c r="F2433" s="44"/>
      <c r="G2433" s="44"/>
      <c r="H2433" s="46" t="str">
        <f aca="false">IF($A2433="","",IF(OR(NOT(ISNUMBER(E2433)),NOT(ISNUMBER(F2433))),"",MAX(0,E2433)*F2433))</f>
        <v/>
      </c>
      <c r="I2433" s="46" t="str">
        <f aca="false">IF($A2433="","",SUMIF($A$2:$A$5001,$A2433,$H$2:$H$5001))</f>
        <v/>
      </c>
      <c r="J2433" s="47" t="n">
        <f aca="false">IF($A2433="",0,IF(COUNTIF($A$2:A2433,$A2433)=1,1,0))</f>
        <v>0</v>
      </c>
      <c r="K2433" s="47" t="n">
        <f aca="false">IF(J2433=1,N(I2433)+ROW()/10000000,0)</f>
        <v>0</v>
      </c>
      <c r="L2433" s="47" t="str">
        <f aca="false">IF(AND(J2433=1,N(I2433)&gt;0),SUMIF($K$2:$K$5001,"&gt;="&amp;K2433,$I$2:$I$5001)/MAX(1,SUM($H$2:$H$5001)),"")</f>
        <v/>
      </c>
      <c r="M2433" s="47" t="str">
        <f aca="false">IF($A2433="","",INDEX($L$2:$L$5001,MATCH($A2433,$A$2:$A$5001,0)))</f>
        <v/>
      </c>
      <c r="N2433" s="48" t="str">
        <f aca="false">IF($A2433="","",IF(N(M2433)=0,"–",IF(M2433&lt;=Start!$D$20,"A",IF(M2433&lt;=Start!$D$21,"B","C"))))</f>
        <v/>
      </c>
      <c r="O2433" s="48" t="str">
        <f aca="false">IF($A2433="","",IF(NOT(ISNUMBER(F2433)),"Wert fehlt; ",IF(F2433&lt;=0,"Wert ist 0; ",""))&amp;IF(NOT(ISNUMBER(E2433)),"Bestand fehlt; ",IF(E2433&lt;0,"Bestand negativ; ",IF(E2433=0,"Nullbestand; ","")))&amp;IF(D2433="","Warengruppe fehlt; ","")&amp;IF(B2433="","Bezeichnung fehlt; ","")&amp;IF(COUNTIFS($A$2:$A$5001,$A2433,$C$2:$C$5001,C2433)&gt;1,"Artikel doppelt im selben Lager; ",""))</f>
        <v/>
      </c>
      <c r="P2433" s="47" t="n">
        <f aca="false">IF(OR($A2433="",D2433=""),0,IF(COUNTIF($D$2:D2433,D2433)=1,SUMIF($D$2:$D$5001,D2433,$H$2:$H$5001)+ROW()/10000000,0))</f>
        <v>0</v>
      </c>
      <c r="Q2433" s="47" t="n">
        <f aca="false">IF(OR($A2433="",C2433=""),0,IF(COUNTIF($C$2:C2433,C2433)=1,SUMIF($C$2:$C$5001,C2433,$H$2:$H$5001)+ROW()/10000000,0))</f>
        <v>0</v>
      </c>
    </row>
    <row r="2434" customFormat="false" ht="15" hidden="false" customHeight="false" outlineLevel="0" collapsed="false">
      <c r="A2434" s="43"/>
      <c r="B2434" s="44"/>
      <c r="C2434" s="44"/>
      <c r="D2434" s="44"/>
      <c r="E2434" s="44"/>
      <c r="F2434" s="44"/>
      <c r="G2434" s="44"/>
      <c r="H2434" s="46" t="str">
        <f aca="false">IF($A2434="","",IF(OR(NOT(ISNUMBER(E2434)),NOT(ISNUMBER(F2434))),"",MAX(0,E2434)*F2434))</f>
        <v/>
      </c>
      <c r="I2434" s="46" t="str">
        <f aca="false">IF($A2434="","",SUMIF($A$2:$A$5001,$A2434,$H$2:$H$5001))</f>
        <v/>
      </c>
      <c r="J2434" s="47" t="n">
        <f aca="false">IF($A2434="",0,IF(COUNTIF($A$2:A2434,$A2434)=1,1,0))</f>
        <v>0</v>
      </c>
      <c r="K2434" s="47" t="n">
        <f aca="false">IF(J2434=1,N(I2434)+ROW()/10000000,0)</f>
        <v>0</v>
      </c>
      <c r="L2434" s="47" t="str">
        <f aca="false">IF(AND(J2434=1,N(I2434)&gt;0),SUMIF($K$2:$K$5001,"&gt;="&amp;K2434,$I$2:$I$5001)/MAX(1,SUM($H$2:$H$5001)),"")</f>
        <v/>
      </c>
      <c r="M2434" s="47" t="str">
        <f aca="false">IF($A2434="","",INDEX($L$2:$L$5001,MATCH($A2434,$A$2:$A$5001,0)))</f>
        <v/>
      </c>
      <c r="N2434" s="48" t="str">
        <f aca="false">IF($A2434="","",IF(N(M2434)=0,"–",IF(M2434&lt;=Start!$D$20,"A",IF(M2434&lt;=Start!$D$21,"B","C"))))</f>
        <v/>
      </c>
      <c r="O2434" s="48" t="str">
        <f aca="false">IF($A2434="","",IF(NOT(ISNUMBER(F2434)),"Wert fehlt; ",IF(F2434&lt;=0,"Wert ist 0; ",""))&amp;IF(NOT(ISNUMBER(E2434)),"Bestand fehlt; ",IF(E2434&lt;0,"Bestand negativ; ",IF(E2434=0,"Nullbestand; ","")))&amp;IF(D2434="","Warengruppe fehlt; ","")&amp;IF(B2434="","Bezeichnung fehlt; ","")&amp;IF(COUNTIFS($A$2:$A$5001,$A2434,$C$2:$C$5001,C2434)&gt;1,"Artikel doppelt im selben Lager; ",""))</f>
        <v/>
      </c>
      <c r="P2434" s="47" t="n">
        <f aca="false">IF(OR($A2434="",D2434=""),0,IF(COUNTIF($D$2:D2434,D2434)=1,SUMIF($D$2:$D$5001,D2434,$H$2:$H$5001)+ROW()/10000000,0))</f>
        <v>0</v>
      </c>
      <c r="Q2434" s="47" t="n">
        <f aca="false">IF(OR($A2434="",C2434=""),0,IF(COUNTIF($C$2:C2434,C2434)=1,SUMIF($C$2:$C$5001,C2434,$H$2:$H$5001)+ROW()/10000000,0))</f>
        <v>0</v>
      </c>
    </row>
    <row r="2435" customFormat="false" ht="15" hidden="false" customHeight="false" outlineLevel="0" collapsed="false">
      <c r="A2435" s="43"/>
      <c r="B2435" s="44"/>
      <c r="C2435" s="44"/>
      <c r="D2435" s="44"/>
      <c r="E2435" s="44"/>
      <c r="F2435" s="44"/>
      <c r="G2435" s="44"/>
      <c r="H2435" s="46" t="str">
        <f aca="false">IF($A2435="","",IF(OR(NOT(ISNUMBER(E2435)),NOT(ISNUMBER(F2435))),"",MAX(0,E2435)*F2435))</f>
        <v/>
      </c>
      <c r="I2435" s="46" t="str">
        <f aca="false">IF($A2435="","",SUMIF($A$2:$A$5001,$A2435,$H$2:$H$5001))</f>
        <v/>
      </c>
      <c r="J2435" s="47" t="n">
        <f aca="false">IF($A2435="",0,IF(COUNTIF($A$2:A2435,$A2435)=1,1,0))</f>
        <v>0</v>
      </c>
      <c r="K2435" s="47" t="n">
        <f aca="false">IF(J2435=1,N(I2435)+ROW()/10000000,0)</f>
        <v>0</v>
      </c>
      <c r="L2435" s="47" t="str">
        <f aca="false">IF(AND(J2435=1,N(I2435)&gt;0),SUMIF($K$2:$K$5001,"&gt;="&amp;K2435,$I$2:$I$5001)/MAX(1,SUM($H$2:$H$5001)),"")</f>
        <v/>
      </c>
      <c r="M2435" s="47" t="str">
        <f aca="false">IF($A2435="","",INDEX($L$2:$L$5001,MATCH($A2435,$A$2:$A$5001,0)))</f>
        <v/>
      </c>
      <c r="N2435" s="48" t="str">
        <f aca="false">IF($A2435="","",IF(N(M2435)=0,"–",IF(M2435&lt;=Start!$D$20,"A",IF(M2435&lt;=Start!$D$21,"B","C"))))</f>
        <v/>
      </c>
      <c r="O2435" s="48" t="str">
        <f aca="false">IF($A2435="","",IF(NOT(ISNUMBER(F2435)),"Wert fehlt; ",IF(F2435&lt;=0,"Wert ist 0; ",""))&amp;IF(NOT(ISNUMBER(E2435)),"Bestand fehlt; ",IF(E2435&lt;0,"Bestand negativ; ",IF(E2435=0,"Nullbestand; ","")))&amp;IF(D2435="","Warengruppe fehlt; ","")&amp;IF(B2435="","Bezeichnung fehlt; ","")&amp;IF(COUNTIFS($A$2:$A$5001,$A2435,$C$2:$C$5001,C2435)&gt;1,"Artikel doppelt im selben Lager; ",""))</f>
        <v/>
      </c>
      <c r="P2435" s="47" t="n">
        <f aca="false">IF(OR($A2435="",D2435=""),0,IF(COUNTIF($D$2:D2435,D2435)=1,SUMIF($D$2:$D$5001,D2435,$H$2:$H$5001)+ROW()/10000000,0))</f>
        <v>0</v>
      </c>
      <c r="Q2435" s="47" t="n">
        <f aca="false">IF(OR($A2435="",C2435=""),0,IF(COUNTIF($C$2:C2435,C2435)=1,SUMIF($C$2:$C$5001,C2435,$H$2:$H$5001)+ROW()/10000000,0))</f>
        <v>0</v>
      </c>
    </row>
    <row r="2436" customFormat="false" ht="15" hidden="false" customHeight="false" outlineLevel="0" collapsed="false">
      <c r="A2436" s="43"/>
      <c r="B2436" s="44"/>
      <c r="C2436" s="44"/>
      <c r="D2436" s="44"/>
      <c r="E2436" s="44"/>
      <c r="F2436" s="44"/>
      <c r="G2436" s="44"/>
      <c r="H2436" s="46" t="str">
        <f aca="false">IF($A2436="","",IF(OR(NOT(ISNUMBER(E2436)),NOT(ISNUMBER(F2436))),"",MAX(0,E2436)*F2436))</f>
        <v/>
      </c>
      <c r="I2436" s="46" t="str">
        <f aca="false">IF($A2436="","",SUMIF($A$2:$A$5001,$A2436,$H$2:$H$5001))</f>
        <v/>
      </c>
      <c r="J2436" s="47" t="n">
        <f aca="false">IF($A2436="",0,IF(COUNTIF($A$2:A2436,$A2436)=1,1,0))</f>
        <v>0</v>
      </c>
      <c r="K2436" s="47" t="n">
        <f aca="false">IF(J2436=1,N(I2436)+ROW()/10000000,0)</f>
        <v>0</v>
      </c>
      <c r="L2436" s="47" t="str">
        <f aca="false">IF(AND(J2436=1,N(I2436)&gt;0),SUMIF($K$2:$K$5001,"&gt;="&amp;K2436,$I$2:$I$5001)/MAX(1,SUM($H$2:$H$5001)),"")</f>
        <v/>
      </c>
      <c r="M2436" s="47" t="str">
        <f aca="false">IF($A2436="","",INDEX($L$2:$L$5001,MATCH($A2436,$A$2:$A$5001,0)))</f>
        <v/>
      </c>
      <c r="N2436" s="48" t="str">
        <f aca="false">IF($A2436="","",IF(N(M2436)=0,"–",IF(M2436&lt;=Start!$D$20,"A",IF(M2436&lt;=Start!$D$21,"B","C"))))</f>
        <v/>
      </c>
      <c r="O2436" s="48" t="str">
        <f aca="false">IF($A2436="","",IF(NOT(ISNUMBER(F2436)),"Wert fehlt; ",IF(F2436&lt;=0,"Wert ist 0; ",""))&amp;IF(NOT(ISNUMBER(E2436)),"Bestand fehlt; ",IF(E2436&lt;0,"Bestand negativ; ",IF(E2436=0,"Nullbestand; ","")))&amp;IF(D2436="","Warengruppe fehlt; ","")&amp;IF(B2436="","Bezeichnung fehlt; ","")&amp;IF(COUNTIFS($A$2:$A$5001,$A2436,$C$2:$C$5001,C2436)&gt;1,"Artikel doppelt im selben Lager; ",""))</f>
        <v/>
      </c>
      <c r="P2436" s="47" t="n">
        <f aca="false">IF(OR($A2436="",D2436=""),0,IF(COUNTIF($D$2:D2436,D2436)=1,SUMIF($D$2:$D$5001,D2436,$H$2:$H$5001)+ROW()/10000000,0))</f>
        <v>0</v>
      </c>
      <c r="Q2436" s="47" t="n">
        <f aca="false">IF(OR($A2436="",C2436=""),0,IF(COUNTIF($C$2:C2436,C2436)=1,SUMIF($C$2:$C$5001,C2436,$H$2:$H$5001)+ROW()/10000000,0))</f>
        <v>0</v>
      </c>
    </row>
    <row r="2437" customFormat="false" ht="15" hidden="false" customHeight="false" outlineLevel="0" collapsed="false">
      <c r="A2437" s="43"/>
      <c r="B2437" s="44"/>
      <c r="C2437" s="44"/>
      <c r="D2437" s="44"/>
      <c r="E2437" s="44"/>
      <c r="F2437" s="44"/>
      <c r="G2437" s="44"/>
      <c r="H2437" s="46" t="str">
        <f aca="false">IF($A2437="","",IF(OR(NOT(ISNUMBER(E2437)),NOT(ISNUMBER(F2437))),"",MAX(0,E2437)*F2437))</f>
        <v/>
      </c>
      <c r="I2437" s="46" t="str">
        <f aca="false">IF($A2437="","",SUMIF($A$2:$A$5001,$A2437,$H$2:$H$5001))</f>
        <v/>
      </c>
      <c r="J2437" s="47" t="n">
        <f aca="false">IF($A2437="",0,IF(COUNTIF($A$2:A2437,$A2437)=1,1,0))</f>
        <v>0</v>
      </c>
      <c r="K2437" s="47" t="n">
        <f aca="false">IF(J2437=1,N(I2437)+ROW()/10000000,0)</f>
        <v>0</v>
      </c>
      <c r="L2437" s="47" t="str">
        <f aca="false">IF(AND(J2437=1,N(I2437)&gt;0),SUMIF($K$2:$K$5001,"&gt;="&amp;K2437,$I$2:$I$5001)/MAX(1,SUM($H$2:$H$5001)),"")</f>
        <v/>
      </c>
      <c r="M2437" s="47" t="str">
        <f aca="false">IF($A2437="","",INDEX($L$2:$L$5001,MATCH($A2437,$A$2:$A$5001,0)))</f>
        <v/>
      </c>
      <c r="N2437" s="48" t="str">
        <f aca="false">IF($A2437="","",IF(N(M2437)=0,"–",IF(M2437&lt;=Start!$D$20,"A",IF(M2437&lt;=Start!$D$21,"B","C"))))</f>
        <v/>
      </c>
      <c r="O2437" s="48" t="str">
        <f aca="false">IF($A2437="","",IF(NOT(ISNUMBER(F2437)),"Wert fehlt; ",IF(F2437&lt;=0,"Wert ist 0; ",""))&amp;IF(NOT(ISNUMBER(E2437)),"Bestand fehlt; ",IF(E2437&lt;0,"Bestand negativ; ",IF(E2437=0,"Nullbestand; ","")))&amp;IF(D2437="","Warengruppe fehlt; ","")&amp;IF(B2437="","Bezeichnung fehlt; ","")&amp;IF(COUNTIFS($A$2:$A$5001,$A2437,$C$2:$C$5001,C2437)&gt;1,"Artikel doppelt im selben Lager; ",""))</f>
        <v/>
      </c>
      <c r="P2437" s="47" t="n">
        <f aca="false">IF(OR($A2437="",D2437=""),0,IF(COUNTIF($D$2:D2437,D2437)=1,SUMIF($D$2:$D$5001,D2437,$H$2:$H$5001)+ROW()/10000000,0))</f>
        <v>0</v>
      </c>
      <c r="Q2437" s="47" t="n">
        <f aca="false">IF(OR($A2437="",C2437=""),0,IF(COUNTIF($C$2:C2437,C2437)=1,SUMIF($C$2:$C$5001,C2437,$H$2:$H$5001)+ROW()/10000000,0))</f>
        <v>0</v>
      </c>
    </row>
    <row r="2438" customFormat="false" ht="15" hidden="false" customHeight="false" outlineLevel="0" collapsed="false">
      <c r="A2438" s="43"/>
      <c r="B2438" s="44"/>
      <c r="C2438" s="44"/>
      <c r="D2438" s="44"/>
      <c r="E2438" s="44"/>
      <c r="F2438" s="44"/>
      <c r="G2438" s="44"/>
      <c r="H2438" s="46" t="str">
        <f aca="false">IF($A2438="","",IF(OR(NOT(ISNUMBER(E2438)),NOT(ISNUMBER(F2438))),"",MAX(0,E2438)*F2438))</f>
        <v/>
      </c>
      <c r="I2438" s="46" t="str">
        <f aca="false">IF($A2438="","",SUMIF($A$2:$A$5001,$A2438,$H$2:$H$5001))</f>
        <v/>
      </c>
      <c r="J2438" s="47" t="n">
        <f aca="false">IF($A2438="",0,IF(COUNTIF($A$2:A2438,$A2438)=1,1,0))</f>
        <v>0</v>
      </c>
      <c r="K2438" s="47" t="n">
        <f aca="false">IF(J2438=1,N(I2438)+ROW()/10000000,0)</f>
        <v>0</v>
      </c>
      <c r="L2438" s="47" t="str">
        <f aca="false">IF(AND(J2438=1,N(I2438)&gt;0),SUMIF($K$2:$K$5001,"&gt;="&amp;K2438,$I$2:$I$5001)/MAX(1,SUM($H$2:$H$5001)),"")</f>
        <v/>
      </c>
      <c r="M2438" s="47" t="str">
        <f aca="false">IF($A2438="","",INDEX($L$2:$L$5001,MATCH($A2438,$A$2:$A$5001,0)))</f>
        <v/>
      </c>
      <c r="N2438" s="48" t="str">
        <f aca="false">IF($A2438="","",IF(N(M2438)=0,"–",IF(M2438&lt;=Start!$D$20,"A",IF(M2438&lt;=Start!$D$21,"B","C"))))</f>
        <v/>
      </c>
      <c r="O2438" s="48" t="str">
        <f aca="false">IF($A2438="","",IF(NOT(ISNUMBER(F2438)),"Wert fehlt; ",IF(F2438&lt;=0,"Wert ist 0; ",""))&amp;IF(NOT(ISNUMBER(E2438)),"Bestand fehlt; ",IF(E2438&lt;0,"Bestand negativ; ",IF(E2438=0,"Nullbestand; ","")))&amp;IF(D2438="","Warengruppe fehlt; ","")&amp;IF(B2438="","Bezeichnung fehlt; ","")&amp;IF(COUNTIFS($A$2:$A$5001,$A2438,$C$2:$C$5001,C2438)&gt;1,"Artikel doppelt im selben Lager; ",""))</f>
        <v/>
      </c>
      <c r="P2438" s="47" t="n">
        <f aca="false">IF(OR($A2438="",D2438=""),0,IF(COUNTIF($D$2:D2438,D2438)=1,SUMIF($D$2:$D$5001,D2438,$H$2:$H$5001)+ROW()/10000000,0))</f>
        <v>0</v>
      </c>
      <c r="Q2438" s="47" t="n">
        <f aca="false">IF(OR($A2438="",C2438=""),0,IF(COUNTIF($C$2:C2438,C2438)=1,SUMIF($C$2:$C$5001,C2438,$H$2:$H$5001)+ROW()/10000000,0))</f>
        <v>0</v>
      </c>
    </row>
    <row r="2439" customFormat="false" ht="15" hidden="false" customHeight="false" outlineLevel="0" collapsed="false">
      <c r="A2439" s="43"/>
      <c r="B2439" s="44"/>
      <c r="C2439" s="44"/>
      <c r="D2439" s="44"/>
      <c r="E2439" s="44"/>
      <c r="F2439" s="44"/>
      <c r="G2439" s="44"/>
      <c r="H2439" s="46" t="str">
        <f aca="false">IF($A2439="","",IF(OR(NOT(ISNUMBER(E2439)),NOT(ISNUMBER(F2439))),"",MAX(0,E2439)*F2439))</f>
        <v/>
      </c>
      <c r="I2439" s="46" t="str">
        <f aca="false">IF($A2439="","",SUMIF($A$2:$A$5001,$A2439,$H$2:$H$5001))</f>
        <v/>
      </c>
      <c r="J2439" s="47" t="n">
        <f aca="false">IF($A2439="",0,IF(COUNTIF($A$2:A2439,$A2439)=1,1,0))</f>
        <v>0</v>
      </c>
      <c r="K2439" s="47" t="n">
        <f aca="false">IF(J2439=1,N(I2439)+ROW()/10000000,0)</f>
        <v>0</v>
      </c>
      <c r="L2439" s="47" t="str">
        <f aca="false">IF(AND(J2439=1,N(I2439)&gt;0),SUMIF($K$2:$K$5001,"&gt;="&amp;K2439,$I$2:$I$5001)/MAX(1,SUM($H$2:$H$5001)),"")</f>
        <v/>
      </c>
      <c r="M2439" s="47" t="str">
        <f aca="false">IF($A2439="","",INDEX($L$2:$L$5001,MATCH($A2439,$A$2:$A$5001,0)))</f>
        <v/>
      </c>
      <c r="N2439" s="48" t="str">
        <f aca="false">IF($A2439="","",IF(N(M2439)=0,"–",IF(M2439&lt;=Start!$D$20,"A",IF(M2439&lt;=Start!$D$21,"B","C"))))</f>
        <v/>
      </c>
      <c r="O2439" s="48" t="str">
        <f aca="false">IF($A2439="","",IF(NOT(ISNUMBER(F2439)),"Wert fehlt; ",IF(F2439&lt;=0,"Wert ist 0; ",""))&amp;IF(NOT(ISNUMBER(E2439)),"Bestand fehlt; ",IF(E2439&lt;0,"Bestand negativ; ",IF(E2439=0,"Nullbestand; ","")))&amp;IF(D2439="","Warengruppe fehlt; ","")&amp;IF(B2439="","Bezeichnung fehlt; ","")&amp;IF(COUNTIFS($A$2:$A$5001,$A2439,$C$2:$C$5001,C2439)&gt;1,"Artikel doppelt im selben Lager; ",""))</f>
        <v/>
      </c>
      <c r="P2439" s="47" t="n">
        <f aca="false">IF(OR($A2439="",D2439=""),0,IF(COUNTIF($D$2:D2439,D2439)=1,SUMIF($D$2:$D$5001,D2439,$H$2:$H$5001)+ROW()/10000000,0))</f>
        <v>0</v>
      </c>
      <c r="Q2439" s="47" t="n">
        <f aca="false">IF(OR($A2439="",C2439=""),0,IF(COUNTIF($C$2:C2439,C2439)=1,SUMIF($C$2:$C$5001,C2439,$H$2:$H$5001)+ROW()/10000000,0))</f>
        <v>0</v>
      </c>
    </row>
    <row r="2440" customFormat="false" ht="15" hidden="false" customHeight="false" outlineLevel="0" collapsed="false">
      <c r="A2440" s="43"/>
      <c r="B2440" s="44"/>
      <c r="C2440" s="44"/>
      <c r="D2440" s="44"/>
      <c r="E2440" s="44"/>
      <c r="F2440" s="44"/>
      <c r="G2440" s="44"/>
      <c r="H2440" s="46" t="str">
        <f aca="false">IF($A2440="","",IF(OR(NOT(ISNUMBER(E2440)),NOT(ISNUMBER(F2440))),"",MAX(0,E2440)*F2440))</f>
        <v/>
      </c>
      <c r="I2440" s="46" t="str">
        <f aca="false">IF($A2440="","",SUMIF($A$2:$A$5001,$A2440,$H$2:$H$5001))</f>
        <v/>
      </c>
      <c r="J2440" s="47" t="n">
        <f aca="false">IF($A2440="",0,IF(COUNTIF($A$2:A2440,$A2440)=1,1,0))</f>
        <v>0</v>
      </c>
      <c r="K2440" s="47" t="n">
        <f aca="false">IF(J2440=1,N(I2440)+ROW()/10000000,0)</f>
        <v>0</v>
      </c>
      <c r="L2440" s="47" t="str">
        <f aca="false">IF(AND(J2440=1,N(I2440)&gt;0),SUMIF($K$2:$K$5001,"&gt;="&amp;K2440,$I$2:$I$5001)/MAX(1,SUM($H$2:$H$5001)),"")</f>
        <v/>
      </c>
      <c r="M2440" s="47" t="str">
        <f aca="false">IF($A2440="","",INDEX($L$2:$L$5001,MATCH($A2440,$A$2:$A$5001,0)))</f>
        <v/>
      </c>
      <c r="N2440" s="48" t="str">
        <f aca="false">IF($A2440="","",IF(N(M2440)=0,"–",IF(M2440&lt;=Start!$D$20,"A",IF(M2440&lt;=Start!$D$21,"B","C"))))</f>
        <v/>
      </c>
      <c r="O2440" s="48" t="str">
        <f aca="false">IF($A2440="","",IF(NOT(ISNUMBER(F2440)),"Wert fehlt; ",IF(F2440&lt;=0,"Wert ist 0; ",""))&amp;IF(NOT(ISNUMBER(E2440)),"Bestand fehlt; ",IF(E2440&lt;0,"Bestand negativ; ",IF(E2440=0,"Nullbestand; ","")))&amp;IF(D2440="","Warengruppe fehlt; ","")&amp;IF(B2440="","Bezeichnung fehlt; ","")&amp;IF(COUNTIFS($A$2:$A$5001,$A2440,$C$2:$C$5001,C2440)&gt;1,"Artikel doppelt im selben Lager; ",""))</f>
        <v/>
      </c>
      <c r="P2440" s="47" t="n">
        <f aca="false">IF(OR($A2440="",D2440=""),0,IF(COUNTIF($D$2:D2440,D2440)=1,SUMIF($D$2:$D$5001,D2440,$H$2:$H$5001)+ROW()/10000000,0))</f>
        <v>0</v>
      </c>
      <c r="Q2440" s="47" t="n">
        <f aca="false">IF(OR($A2440="",C2440=""),0,IF(COUNTIF($C$2:C2440,C2440)=1,SUMIF($C$2:$C$5001,C2440,$H$2:$H$5001)+ROW()/10000000,0))</f>
        <v>0</v>
      </c>
    </row>
    <row r="2441" customFormat="false" ht="15" hidden="false" customHeight="false" outlineLevel="0" collapsed="false">
      <c r="A2441" s="43"/>
      <c r="B2441" s="44"/>
      <c r="C2441" s="44"/>
      <c r="D2441" s="44"/>
      <c r="E2441" s="44"/>
      <c r="F2441" s="44"/>
      <c r="G2441" s="44"/>
      <c r="H2441" s="46" t="str">
        <f aca="false">IF($A2441="","",IF(OR(NOT(ISNUMBER(E2441)),NOT(ISNUMBER(F2441))),"",MAX(0,E2441)*F2441))</f>
        <v/>
      </c>
      <c r="I2441" s="46" t="str">
        <f aca="false">IF($A2441="","",SUMIF($A$2:$A$5001,$A2441,$H$2:$H$5001))</f>
        <v/>
      </c>
      <c r="J2441" s="47" t="n">
        <f aca="false">IF($A2441="",0,IF(COUNTIF($A$2:A2441,$A2441)=1,1,0))</f>
        <v>0</v>
      </c>
      <c r="K2441" s="47" t="n">
        <f aca="false">IF(J2441=1,N(I2441)+ROW()/10000000,0)</f>
        <v>0</v>
      </c>
      <c r="L2441" s="47" t="str">
        <f aca="false">IF(AND(J2441=1,N(I2441)&gt;0),SUMIF($K$2:$K$5001,"&gt;="&amp;K2441,$I$2:$I$5001)/MAX(1,SUM($H$2:$H$5001)),"")</f>
        <v/>
      </c>
      <c r="M2441" s="47" t="str">
        <f aca="false">IF($A2441="","",INDEX($L$2:$L$5001,MATCH($A2441,$A$2:$A$5001,0)))</f>
        <v/>
      </c>
      <c r="N2441" s="48" t="str">
        <f aca="false">IF($A2441="","",IF(N(M2441)=0,"–",IF(M2441&lt;=Start!$D$20,"A",IF(M2441&lt;=Start!$D$21,"B","C"))))</f>
        <v/>
      </c>
      <c r="O2441" s="48" t="str">
        <f aca="false">IF($A2441="","",IF(NOT(ISNUMBER(F2441)),"Wert fehlt; ",IF(F2441&lt;=0,"Wert ist 0; ",""))&amp;IF(NOT(ISNUMBER(E2441)),"Bestand fehlt; ",IF(E2441&lt;0,"Bestand negativ; ",IF(E2441=0,"Nullbestand; ","")))&amp;IF(D2441="","Warengruppe fehlt; ","")&amp;IF(B2441="","Bezeichnung fehlt; ","")&amp;IF(COUNTIFS($A$2:$A$5001,$A2441,$C$2:$C$5001,C2441)&gt;1,"Artikel doppelt im selben Lager; ",""))</f>
        <v/>
      </c>
      <c r="P2441" s="47" t="n">
        <f aca="false">IF(OR($A2441="",D2441=""),0,IF(COUNTIF($D$2:D2441,D2441)=1,SUMIF($D$2:$D$5001,D2441,$H$2:$H$5001)+ROW()/10000000,0))</f>
        <v>0</v>
      </c>
      <c r="Q2441" s="47" t="n">
        <f aca="false">IF(OR($A2441="",C2441=""),0,IF(COUNTIF($C$2:C2441,C2441)=1,SUMIF($C$2:$C$5001,C2441,$H$2:$H$5001)+ROW()/10000000,0))</f>
        <v>0</v>
      </c>
    </row>
    <row r="2442" customFormat="false" ht="15" hidden="false" customHeight="false" outlineLevel="0" collapsed="false">
      <c r="A2442" s="43"/>
      <c r="B2442" s="44"/>
      <c r="C2442" s="44"/>
      <c r="D2442" s="44"/>
      <c r="E2442" s="44"/>
      <c r="F2442" s="44"/>
      <c r="G2442" s="44"/>
      <c r="H2442" s="46" t="str">
        <f aca="false">IF($A2442="","",IF(OR(NOT(ISNUMBER(E2442)),NOT(ISNUMBER(F2442))),"",MAX(0,E2442)*F2442))</f>
        <v/>
      </c>
      <c r="I2442" s="46" t="str">
        <f aca="false">IF($A2442="","",SUMIF($A$2:$A$5001,$A2442,$H$2:$H$5001))</f>
        <v/>
      </c>
      <c r="J2442" s="47" t="n">
        <f aca="false">IF($A2442="",0,IF(COUNTIF($A$2:A2442,$A2442)=1,1,0))</f>
        <v>0</v>
      </c>
      <c r="K2442" s="47" t="n">
        <f aca="false">IF(J2442=1,N(I2442)+ROW()/10000000,0)</f>
        <v>0</v>
      </c>
      <c r="L2442" s="47" t="str">
        <f aca="false">IF(AND(J2442=1,N(I2442)&gt;0),SUMIF($K$2:$K$5001,"&gt;="&amp;K2442,$I$2:$I$5001)/MAX(1,SUM($H$2:$H$5001)),"")</f>
        <v/>
      </c>
      <c r="M2442" s="47" t="str">
        <f aca="false">IF($A2442="","",INDEX($L$2:$L$5001,MATCH($A2442,$A$2:$A$5001,0)))</f>
        <v/>
      </c>
      <c r="N2442" s="48" t="str">
        <f aca="false">IF($A2442="","",IF(N(M2442)=0,"–",IF(M2442&lt;=Start!$D$20,"A",IF(M2442&lt;=Start!$D$21,"B","C"))))</f>
        <v/>
      </c>
      <c r="O2442" s="48" t="str">
        <f aca="false">IF($A2442="","",IF(NOT(ISNUMBER(F2442)),"Wert fehlt; ",IF(F2442&lt;=0,"Wert ist 0; ",""))&amp;IF(NOT(ISNUMBER(E2442)),"Bestand fehlt; ",IF(E2442&lt;0,"Bestand negativ; ",IF(E2442=0,"Nullbestand; ","")))&amp;IF(D2442="","Warengruppe fehlt; ","")&amp;IF(B2442="","Bezeichnung fehlt; ","")&amp;IF(COUNTIFS($A$2:$A$5001,$A2442,$C$2:$C$5001,C2442)&gt;1,"Artikel doppelt im selben Lager; ",""))</f>
        <v/>
      </c>
      <c r="P2442" s="47" t="n">
        <f aca="false">IF(OR($A2442="",D2442=""),0,IF(COUNTIF($D$2:D2442,D2442)=1,SUMIF($D$2:$D$5001,D2442,$H$2:$H$5001)+ROW()/10000000,0))</f>
        <v>0</v>
      </c>
      <c r="Q2442" s="47" t="n">
        <f aca="false">IF(OR($A2442="",C2442=""),0,IF(COUNTIF($C$2:C2442,C2442)=1,SUMIF($C$2:$C$5001,C2442,$H$2:$H$5001)+ROW()/10000000,0))</f>
        <v>0</v>
      </c>
    </row>
    <row r="2443" customFormat="false" ht="15" hidden="false" customHeight="false" outlineLevel="0" collapsed="false">
      <c r="A2443" s="43"/>
      <c r="B2443" s="44"/>
      <c r="C2443" s="44"/>
      <c r="D2443" s="44"/>
      <c r="E2443" s="44"/>
      <c r="F2443" s="44"/>
      <c r="G2443" s="44"/>
      <c r="H2443" s="46" t="str">
        <f aca="false">IF($A2443="","",IF(OR(NOT(ISNUMBER(E2443)),NOT(ISNUMBER(F2443))),"",MAX(0,E2443)*F2443))</f>
        <v/>
      </c>
      <c r="I2443" s="46" t="str">
        <f aca="false">IF($A2443="","",SUMIF($A$2:$A$5001,$A2443,$H$2:$H$5001))</f>
        <v/>
      </c>
      <c r="J2443" s="47" t="n">
        <f aca="false">IF($A2443="",0,IF(COUNTIF($A$2:A2443,$A2443)=1,1,0))</f>
        <v>0</v>
      </c>
      <c r="K2443" s="47" t="n">
        <f aca="false">IF(J2443=1,N(I2443)+ROW()/10000000,0)</f>
        <v>0</v>
      </c>
      <c r="L2443" s="47" t="str">
        <f aca="false">IF(AND(J2443=1,N(I2443)&gt;0),SUMIF($K$2:$K$5001,"&gt;="&amp;K2443,$I$2:$I$5001)/MAX(1,SUM($H$2:$H$5001)),"")</f>
        <v/>
      </c>
      <c r="M2443" s="47" t="str">
        <f aca="false">IF($A2443="","",INDEX($L$2:$L$5001,MATCH($A2443,$A$2:$A$5001,0)))</f>
        <v/>
      </c>
      <c r="N2443" s="48" t="str">
        <f aca="false">IF($A2443="","",IF(N(M2443)=0,"–",IF(M2443&lt;=Start!$D$20,"A",IF(M2443&lt;=Start!$D$21,"B","C"))))</f>
        <v/>
      </c>
      <c r="O2443" s="48" t="str">
        <f aca="false">IF($A2443="","",IF(NOT(ISNUMBER(F2443)),"Wert fehlt; ",IF(F2443&lt;=0,"Wert ist 0; ",""))&amp;IF(NOT(ISNUMBER(E2443)),"Bestand fehlt; ",IF(E2443&lt;0,"Bestand negativ; ",IF(E2443=0,"Nullbestand; ","")))&amp;IF(D2443="","Warengruppe fehlt; ","")&amp;IF(B2443="","Bezeichnung fehlt; ","")&amp;IF(COUNTIFS($A$2:$A$5001,$A2443,$C$2:$C$5001,C2443)&gt;1,"Artikel doppelt im selben Lager; ",""))</f>
        <v/>
      </c>
      <c r="P2443" s="47" t="n">
        <f aca="false">IF(OR($A2443="",D2443=""),0,IF(COUNTIF($D$2:D2443,D2443)=1,SUMIF($D$2:$D$5001,D2443,$H$2:$H$5001)+ROW()/10000000,0))</f>
        <v>0</v>
      </c>
      <c r="Q2443" s="47" t="n">
        <f aca="false">IF(OR($A2443="",C2443=""),0,IF(COUNTIF($C$2:C2443,C2443)=1,SUMIF($C$2:$C$5001,C2443,$H$2:$H$5001)+ROW()/10000000,0))</f>
        <v>0</v>
      </c>
    </row>
    <row r="2444" customFormat="false" ht="15" hidden="false" customHeight="false" outlineLevel="0" collapsed="false">
      <c r="A2444" s="43"/>
      <c r="B2444" s="44"/>
      <c r="C2444" s="44"/>
      <c r="D2444" s="44"/>
      <c r="E2444" s="44"/>
      <c r="F2444" s="44"/>
      <c r="G2444" s="44"/>
      <c r="H2444" s="46" t="str">
        <f aca="false">IF($A2444="","",IF(OR(NOT(ISNUMBER(E2444)),NOT(ISNUMBER(F2444))),"",MAX(0,E2444)*F2444))</f>
        <v/>
      </c>
      <c r="I2444" s="46" t="str">
        <f aca="false">IF($A2444="","",SUMIF($A$2:$A$5001,$A2444,$H$2:$H$5001))</f>
        <v/>
      </c>
      <c r="J2444" s="47" t="n">
        <f aca="false">IF($A2444="",0,IF(COUNTIF($A$2:A2444,$A2444)=1,1,0))</f>
        <v>0</v>
      </c>
      <c r="K2444" s="47" t="n">
        <f aca="false">IF(J2444=1,N(I2444)+ROW()/10000000,0)</f>
        <v>0</v>
      </c>
      <c r="L2444" s="47" t="str">
        <f aca="false">IF(AND(J2444=1,N(I2444)&gt;0),SUMIF($K$2:$K$5001,"&gt;="&amp;K2444,$I$2:$I$5001)/MAX(1,SUM($H$2:$H$5001)),"")</f>
        <v/>
      </c>
      <c r="M2444" s="47" t="str">
        <f aca="false">IF($A2444="","",INDEX($L$2:$L$5001,MATCH($A2444,$A$2:$A$5001,0)))</f>
        <v/>
      </c>
      <c r="N2444" s="48" t="str">
        <f aca="false">IF($A2444="","",IF(N(M2444)=0,"–",IF(M2444&lt;=Start!$D$20,"A",IF(M2444&lt;=Start!$D$21,"B","C"))))</f>
        <v/>
      </c>
      <c r="O2444" s="48" t="str">
        <f aca="false">IF($A2444="","",IF(NOT(ISNUMBER(F2444)),"Wert fehlt; ",IF(F2444&lt;=0,"Wert ist 0; ",""))&amp;IF(NOT(ISNUMBER(E2444)),"Bestand fehlt; ",IF(E2444&lt;0,"Bestand negativ; ",IF(E2444=0,"Nullbestand; ","")))&amp;IF(D2444="","Warengruppe fehlt; ","")&amp;IF(B2444="","Bezeichnung fehlt; ","")&amp;IF(COUNTIFS($A$2:$A$5001,$A2444,$C$2:$C$5001,C2444)&gt;1,"Artikel doppelt im selben Lager; ",""))</f>
        <v/>
      </c>
      <c r="P2444" s="47" t="n">
        <f aca="false">IF(OR($A2444="",D2444=""),0,IF(COUNTIF($D$2:D2444,D2444)=1,SUMIF($D$2:$D$5001,D2444,$H$2:$H$5001)+ROW()/10000000,0))</f>
        <v>0</v>
      </c>
      <c r="Q2444" s="47" t="n">
        <f aca="false">IF(OR($A2444="",C2444=""),0,IF(COUNTIF($C$2:C2444,C2444)=1,SUMIF($C$2:$C$5001,C2444,$H$2:$H$5001)+ROW()/10000000,0))</f>
        <v>0</v>
      </c>
    </row>
    <row r="2445" customFormat="false" ht="15" hidden="false" customHeight="false" outlineLevel="0" collapsed="false">
      <c r="A2445" s="43"/>
      <c r="B2445" s="44"/>
      <c r="C2445" s="44"/>
      <c r="D2445" s="44"/>
      <c r="E2445" s="44"/>
      <c r="F2445" s="44"/>
      <c r="G2445" s="44"/>
      <c r="H2445" s="46" t="str">
        <f aca="false">IF($A2445="","",IF(OR(NOT(ISNUMBER(E2445)),NOT(ISNUMBER(F2445))),"",MAX(0,E2445)*F2445))</f>
        <v/>
      </c>
      <c r="I2445" s="46" t="str">
        <f aca="false">IF($A2445="","",SUMIF($A$2:$A$5001,$A2445,$H$2:$H$5001))</f>
        <v/>
      </c>
      <c r="J2445" s="47" t="n">
        <f aca="false">IF($A2445="",0,IF(COUNTIF($A$2:A2445,$A2445)=1,1,0))</f>
        <v>0</v>
      </c>
      <c r="K2445" s="47" t="n">
        <f aca="false">IF(J2445=1,N(I2445)+ROW()/10000000,0)</f>
        <v>0</v>
      </c>
      <c r="L2445" s="47" t="str">
        <f aca="false">IF(AND(J2445=1,N(I2445)&gt;0),SUMIF($K$2:$K$5001,"&gt;="&amp;K2445,$I$2:$I$5001)/MAX(1,SUM($H$2:$H$5001)),"")</f>
        <v/>
      </c>
      <c r="M2445" s="47" t="str">
        <f aca="false">IF($A2445="","",INDEX($L$2:$L$5001,MATCH($A2445,$A$2:$A$5001,0)))</f>
        <v/>
      </c>
      <c r="N2445" s="48" t="str">
        <f aca="false">IF($A2445="","",IF(N(M2445)=0,"–",IF(M2445&lt;=Start!$D$20,"A",IF(M2445&lt;=Start!$D$21,"B","C"))))</f>
        <v/>
      </c>
      <c r="O2445" s="48" t="str">
        <f aca="false">IF($A2445="","",IF(NOT(ISNUMBER(F2445)),"Wert fehlt; ",IF(F2445&lt;=0,"Wert ist 0; ",""))&amp;IF(NOT(ISNUMBER(E2445)),"Bestand fehlt; ",IF(E2445&lt;0,"Bestand negativ; ",IF(E2445=0,"Nullbestand; ","")))&amp;IF(D2445="","Warengruppe fehlt; ","")&amp;IF(B2445="","Bezeichnung fehlt; ","")&amp;IF(COUNTIFS($A$2:$A$5001,$A2445,$C$2:$C$5001,C2445)&gt;1,"Artikel doppelt im selben Lager; ",""))</f>
        <v/>
      </c>
      <c r="P2445" s="47" t="n">
        <f aca="false">IF(OR($A2445="",D2445=""),0,IF(COUNTIF($D$2:D2445,D2445)=1,SUMIF($D$2:$D$5001,D2445,$H$2:$H$5001)+ROW()/10000000,0))</f>
        <v>0</v>
      </c>
      <c r="Q2445" s="47" t="n">
        <f aca="false">IF(OR($A2445="",C2445=""),0,IF(COUNTIF($C$2:C2445,C2445)=1,SUMIF($C$2:$C$5001,C2445,$H$2:$H$5001)+ROW()/10000000,0))</f>
        <v>0</v>
      </c>
    </row>
    <row r="2446" customFormat="false" ht="15" hidden="false" customHeight="false" outlineLevel="0" collapsed="false">
      <c r="A2446" s="43"/>
      <c r="B2446" s="44"/>
      <c r="C2446" s="44"/>
      <c r="D2446" s="44"/>
      <c r="E2446" s="44"/>
      <c r="F2446" s="44"/>
      <c r="G2446" s="44"/>
      <c r="H2446" s="46" t="str">
        <f aca="false">IF($A2446="","",IF(OR(NOT(ISNUMBER(E2446)),NOT(ISNUMBER(F2446))),"",MAX(0,E2446)*F2446))</f>
        <v/>
      </c>
      <c r="I2446" s="46" t="str">
        <f aca="false">IF($A2446="","",SUMIF($A$2:$A$5001,$A2446,$H$2:$H$5001))</f>
        <v/>
      </c>
      <c r="J2446" s="47" t="n">
        <f aca="false">IF($A2446="",0,IF(COUNTIF($A$2:A2446,$A2446)=1,1,0))</f>
        <v>0</v>
      </c>
      <c r="K2446" s="47" t="n">
        <f aca="false">IF(J2446=1,N(I2446)+ROW()/10000000,0)</f>
        <v>0</v>
      </c>
      <c r="L2446" s="47" t="str">
        <f aca="false">IF(AND(J2446=1,N(I2446)&gt;0),SUMIF($K$2:$K$5001,"&gt;="&amp;K2446,$I$2:$I$5001)/MAX(1,SUM($H$2:$H$5001)),"")</f>
        <v/>
      </c>
      <c r="M2446" s="47" t="str">
        <f aca="false">IF($A2446="","",INDEX($L$2:$L$5001,MATCH($A2446,$A$2:$A$5001,0)))</f>
        <v/>
      </c>
      <c r="N2446" s="48" t="str">
        <f aca="false">IF($A2446="","",IF(N(M2446)=0,"–",IF(M2446&lt;=Start!$D$20,"A",IF(M2446&lt;=Start!$D$21,"B","C"))))</f>
        <v/>
      </c>
      <c r="O2446" s="48" t="str">
        <f aca="false">IF($A2446="","",IF(NOT(ISNUMBER(F2446)),"Wert fehlt; ",IF(F2446&lt;=0,"Wert ist 0; ",""))&amp;IF(NOT(ISNUMBER(E2446)),"Bestand fehlt; ",IF(E2446&lt;0,"Bestand negativ; ",IF(E2446=0,"Nullbestand; ","")))&amp;IF(D2446="","Warengruppe fehlt; ","")&amp;IF(B2446="","Bezeichnung fehlt; ","")&amp;IF(COUNTIFS($A$2:$A$5001,$A2446,$C$2:$C$5001,C2446)&gt;1,"Artikel doppelt im selben Lager; ",""))</f>
        <v/>
      </c>
      <c r="P2446" s="47" t="n">
        <f aca="false">IF(OR($A2446="",D2446=""),0,IF(COUNTIF($D$2:D2446,D2446)=1,SUMIF($D$2:$D$5001,D2446,$H$2:$H$5001)+ROW()/10000000,0))</f>
        <v>0</v>
      </c>
      <c r="Q2446" s="47" t="n">
        <f aca="false">IF(OR($A2446="",C2446=""),0,IF(COUNTIF($C$2:C2446,C2446)=1,SUMIF($C$2:$C$5001,C2446,$H$2:$H$5001)+ROW()/10000000,0))</f>
        <v>0</v>
      </c>
    </row>
    <row r="2447" customFormat="false" ht="15" hidden="false" customHeight="false" outlineLevel="0" collapsed="false">
      <c r="A2447" s="43"/>
      <c r="B2447" s="44"/>
      <c r="C2447" s="44"/>
      <c r="D2447" s="44"/>
      <c r="E2447" s="44"/>
      <c r="F2447" s="44"/>
      <c r="G2447" s="44"/>
      <c r="H2447" s="46" t="str">
        <f aca="false">IF($A2447="","",IF(OR(NOT(ISNUMBER(E2447)),NOT(ISNUMBER(F2447))),"",MAX(0,E2447)*F2447))</f>
        <v/>
      </c>
      <c r="I2447" s="46" t="str">
        <f aca="false">IF($A2447="","",SUMIF($A$2:$A$5001,$A2447,$H$2:$H$5001))</f>
        <v/>
      </c>
      <c r="J2447" s="47" t="n">
        <f aca="false">IF($A2447="",0,IF(COUNTIF($A$2:A2447,$A2447)=1,1,0))</f>
        <v>0</v>
      </c>
      <c r="K2447" s="47" t="n">
        <f aca="false">IF(J2447=1,N(I2447)+ROW()/10000000,0)</f>
        <v>0</v>
      </c>
      <c r="L2447" s="47" t="str">
        <f aca="false">IF(AND(J2447=1,N(I2447)&gt;0),SUMIF($K$2:$K$5001,"&gt;="&amp;K2447,$I$2:$I$5001)/MAX(1,SUM($H$2:$H$5001)),"")</f>
        <v/>
      </c>
      <c r="M2447" s="47" t="str">
        <f aca="false">IF($A2447="","",INDEX($L$2:$L$5001,MATCH($A2447,$A$2:$A$5001,0)))</f>
        <v/>
      </c>
      <c r="N2447" s="48" t="str">
        <f aca="false">IF($A2447="","",IF(N(M2447)=0,"–",IF(M2447&lt;=Start!$D$20,"A",IF(M2447&lt;=Start!$D$21,"B","C"))))</f>
        <v/>
      </c>
      <c r="O2447" s="48" t="str">
        <f aca="false">IF($A2447="","",IF(NOT(ISNUMBER(F2447)),"Wert fehlt; ",IF(F2447&lt;=0,"Wert ist 0; ",""))&amp;IF(NOT(ISNUMBER(E2447)),"Bestand fehlt; ",IF(E2447&lt;0,"Bestand negativ; ",IF(E2447=0,"Nullbestand; ","")))&amp;IF(D2447="","Warengruppe fehlt; ","")&amp;IF(B2447="","Bezeichnung fehlt; ","")&amp;IF(COUNTIFS($A$2:$A$5001,$A2447,$C$2:$C$5001,C2447)&gt;1,"Artikel doppelt im selben Lager; ",""))</f>
        <v/>
      </c>
      <c r="P2447" s="47" t="n">
        <f aca="false">IF(OR($A2447="",D2447=""),0,IF(COUNTIF($D$2:D2447,D2447)=1,SUMIF($D$2:$D$5001,D2447,$H$2:$H$5001)+ROW()/10000000,0))</f>
        <v>0</v>
      </c>
      <c r="Q2447" s="47" t="n">
        <f aca="false">IF(OR($A2447="",C2447=""),0,IF(COUNTIF($C$2:C2447,C2447)=1,SUMIF($C$2:$C$5001,C2447,$H$2:$H$5001)+ROW()/10000000,0))</f>
        <v>0</v>
      </c>
    </row>
    <row r="2448" customFormat="false" ht="15" hidden="false" customHeight="false" outlineLevel="0" collapsed="false">
      <c r="A2448" s="43"/>
      <c r="B2448" s="44"/>
      <c r="C2448" s="44"/>
      <c r="D2448" s="44"/>
      <c r="E2448" s="44"/>
      <c r="F2448" s="44"/>
      <c r="G2448" s="44"/>
      <c r="H2448" s="46" t="str">
        <f aca="false">IF($A2448="","",IF(OR(NOT(ISNUMBER(E2448)),NOT(ISNUMBER(F2448))),"",MAX(0,E2448)*F2448))</f>
        <v/>
      </c>
      <c r="I2448" s="46" t="str">
        <f aca="false">IF($A2448="","",SUMIF($A$2:$A$5001,$A2448,$H$2:$H$5001))</f>
        <v/>
      </c>
      <c r="J2448" s="47" t="n">
        <f aca="false">IF($A2448="",0,IF(COUNTIF($A$2:A2448,$A2448)=1,1,0))</f>
        <v>0</v>
      </c>
      <c r="K2448" s="47" t="n">
        <f aca="false">IF(J2448=1,N(I2448)+ROW()/10000000,0)</f>
        <v>0</v>
      </c>
      <c r="L2448" s="47" t="str">
        <f aca="false">IF(AND(J2448=1,N(I2448)&gt;0),SUMIF($K$2:$K$5001,"&gt;="&amp;K2448,$I$2:$I$5001)/MAX(1,SUM($H$2:$H$5001)),"")</f>
        <v/>
      </c>
      <c r="M2448" s="47" t="str">
        <f aca="false">IF($A2448="","",INDEX($L$2:$L$5001,MATCH($A2448,$A$2:$A$5001,0)))</f>
        <v/>
      </c>
      <c r="N2448" s="48" t="str">
        <f aca="false">IF($A2448="","",IF(N(M2448)=0,"–",IF(M2448&lt;=Start!$D$20,"A",IF(M2448&lt;=Start!$D$21,"B","C"))))</f>
        <v/>
      </c>
      <c r="O2448" s="48" t="str">
        <f aca="false">IF($A2448="","",IF(NOT(ISNUMBER(F2448)),"Wert fehlt; ",IF(F2448&lt;=0,"Wert ist 0; ",""))&amp;IF(NOT(ISNUMBER(E2448)),"Bestand fehlt; ",IF(E2448&lt;0,"Bestand negativ; ",IF(E2448=0,"Nullbestand; ","")))&amp;IF(D2448="","Warengruppe fehlt; ","")&amp;IF(B2448="","Bezeichnung fehlt; ","")&amp;IF(COUNTIFS($A$2:$A$5001,$A2448,$C$2:$C$5001,C2448)&gt;1,"Artikel doppelt im selben Lager; ",""))</f>
        <v/>
      </c>
      <c r="P2448" s="47" t="n">
        <f aca="false">IF(OR($A2448="",D2448=""),0,IF(COUNTIF($D$2:D2448,D2448)=1,SUMIF($D$2:$D$5001,D2448,$H$2:$H$5001)+ROW()/10000000,0))</f>
        <v>0</v>
      </c>
      <c r="Q2448" s="47" t="n">
        <f aca="false">IF(OR($A2448="",C2448=""),0,IF(COUNTIF($C$2:C2448,C2448)=1,SUMIF($C$2:$C$5001,C2448,$H$2:$H$5001)+ROW()/10000000,0))</f>
        <v>0</v>
      </c>
    </row>
    <row r="2449" customFormat="false" ht="15" hidden="false" customHeight="false" outlineLevel="0" collapsed="false">
      <c r="A2449" s="43"/>
      <c r="B2449" s="44"/>
      <c r="C2449" s="44"/>
      <c r="D2449" s="44"/>
      <c r="E2449" s="44"/>
      <c r="F2449" s="44"/>
      <c r="G2449" s="44"/>
      <c r="H2449" s="46" t="str">
        <f aca="false">IF($A2449="","",IF(OR(NOT(ISNUMBER(E2449)),NOT(ISNUMBER(F2449))),"",MAX(0,E2449)*F2449))</f>
        <v/>
      </c>
      <c r="I2449" s="46" t="str">
        <f aca="false">IF($A2449="","",SUMIF($A$2:$A$5001,$A2449,$H$2:$H$5001))</f>
        <v/>
      </c>
      <c r="J2449" s="47" t="n">
        <f aca="false">IF($A2449="",0,IF(COUNTIF($A$2:A2449,$A2449)=1,1,0))</f>
        <v>0</v>
      </c>
      <c r="K2449" s="47" t="n">
        <f aca="false">IF(J2449=1,N(I2449)+ROW()/10000000,0)</f>
        <v>0</v>
      </c>
      <c r="L2449" s="47" t="str">
        <f aca="false">IF(AND(J2449=1,N(I2449)&gt;0),SUMIF($K$2:$K$5001,"&gt;="&amp;K2449,$I$2:$I$5001)/MAX(1,SUM($H$2:$H$5001)),"")</f>
        <v/>
      </c>
      <c r="M2449" s="47" t="str">
        <f aca="false">IF($A2449="","",INDEX($L$2:$L$5001,MATCH($A2449,$A$2:$A$5001,0)))</f>
        <v/>
      </c>
      <c r="N2449" s="48" t="str">
        <f aca="false">IF($A2449="","",IF(N(M2449)=0,"–",IF(M2449&lt;=Start!$D$20,"A",IF(M2449&lt;=Start!$D$21,"B","C"))))</f>
        <v/>
      </c>
      <c r="O2449" s="48" t="str">
        <f aca="false">IF($A2449="","",IF(NOT(ISNUMBER(F2449)),"Wert fehlt; ",IF(F2449&lt;=0,"Wert ist 0; ",""))&amp;IF(NOT(ISNUMBER(E2449)),"Bestand fehlt; ",IF(E2449&lt;0,"Bestand negativ; ",IF(E2449=0,"Nullbestand; ","")))&amp;IF(D2449="","Warengruppe fehlt; ","")&amp;IF(B2449="","Bezeichnung fehlt; ","")&amp;IF(COUNTIFS($A$2:$A$5001,$A2449,$C$2:$C$5001,C2449)&gt;1,"Artikel doppelt im selben Lager; ",""))</f>
        <v/>
      </c>
      <c r="P2449" s="47" t="n">
        <f aca="false">IF(OR($A2449="",D2449=""),0,IF(COUNTIF($D$2:D2449,D2449)=1,SUMIF($D$2:$D$5001,D2449,$H$2:$H$5001)+ROW()/10000000,0))</f>
        <v>0</v>
      </c>
      <c r="Q2449" s="47" t="n">
        <f aca="false">IF(OR($A2449="",C2449=""),0,IF(COUNTIF($C$2:C2449,C2449)=1,SUMIF($C$2:$C$5001,C2449,$H$2:$H$5001)+ROW()/10000000,0))</f>
        <v>0</v>
      </c>
    </row>
    <row r="2450" customFormat="false" ht="15" hidden="false" customHeight="false" outlineLevel="0" collapsed="false">
      <c r="A2450" s="43"/>
      <c r="B2450" s="44"/>
      <c r="C2450" s="44"/>
      <c r="D2450" s="44"/>
      <c r="E2450" s="44"/>
      <c r="F2450" s="44"/>
      <c r="G2450" s="44"/>
      <c r="H2450" s="46" t="str">
        <f aca="false">IF($A2450="","",IF(OR(NOT(ISNUMBER(E2450)),NOT(ISNUMBER(F2450))),"",MAX(0,E2450)*F2450))</f>
        <v/>
      </c>
      <c r="I2450" s="46" t="str">
        <f aca="false">IF($A2450="","",SUMIF($A$2:$A$5001,$A2450,$H$2:$H$5001))</f>
        <v/>
      </c>
      <c r="J2450" s="47" t="n">
        <f aca="false">IF($A2450="",0,IF(COUNTIF($A$2:A2450,$A2450)=1,1,0))</f>
        <v>0</v>
      </c>
      <c r="K2450" s="47" t="n">
        <f aca="false">IF(J2450=1,N(I2450)+ROW()/10000000,0)</f>
        <v>0</v>
      </c>
      <c r="L2450" s="47" t="str">
        <f aca="false">IF(AND(J2450=1,N(I2450)&gt;0),SUMIF($K$2:$K$5001,"&gt;="&amp;K2450,$I$2:$I$5001)/MAX(1,SUM($H$2:$H$5001)),"")</f>
        <v/>
      </c>
      <c r="M2450" s="47" t="str">
        <f aca="false">IF($A2450="","",INDEX($L$2:$L$5001,MATCH($A2450,$A$2:$A$5001,0)))</f>
        <v/>
      </c>
      <c r="N2450" s="48" t="str">
        <f aca="false">IF($A2450="","",IF(N(M2450)=0,"–",IF(M2450&lt;=Start!$D$20,"A",IF(M2450&lt;=Start!$D$21,"B","C"))))</f>
        <v/>
      </c>
      <c r="O2450" s="48" t="str">
        <f aca="false">IF($A2450="","",IF(NOT(ISNUMBER(F2450)),"Wert fehlt; ",IF(F2450&lt;=0,"Wert ist 0; ",""))&amp;IF(NOT(ISNUMBER(E2450)),"Bestand fehlt; ",IF(E2450&lt;0,"Bestand negativ; ",IF(E2450=0,"Nullbestand; ","")))&amp;IF(D2450="","Warengruppe fehlt; ","")&amp;IF(B2450="","Bezeichnung fehlt; ","")&amp;IF(COUNTIFS($A$2:$A$5001,$A2450,$C$2:$C$5001,C2450)&gt;1,"Artikel doppelt im selben Lager; ",""))</f>
        <v/>
      </c>
      <c r="P2450" s="47" t="n">
        <f aca="false">IF(OR($A2450="",D2450=""),0,IF(COUNTIF($D$2:D2450,D2450)=1,SUMIF($D$2:$D$5001,D2450,$H$2:$H$5001)+ROW()/10000000,0))</f>
        <v>0</v>
      </c>
      <c r="Q2450" s="47" t="n">
        <f aca="false">IF(OR($A2450="",C2450=""),0,IF(COUNTIF($C$2:C2450,C2450)=1,SUMIF($C$2:$C$5001,C2450,$H$2:$H$5001)+ROW()/10000000,0))</f>
        <v>0</v>
      </c>
    </row>
    <row r="2451" customFormat="false" ht="15" hidden="false" customHeight="false" outlineLevel="0" collapsed="false">
      <c r="A2451" s="43"/>
      <c r="B2451" s="44"/>
      <c r="C2451" s="44"/>
      <c r="D2451" s="44"/>
      <c r="E2451" s="44"/>
      <c r="F2451" s="44"/>
      <c r="G2451" s="44"/>
      <c r="H2451" s="46" t="str">
        <f aca="false">IF($A2451="","",IF(OR(NOT(ISNUMBER(E2451)),NOT(ISNUMBER(F2451))),"",MAX(0,E2451)*F2451))</f>
        <v/>
      </c>
      <c r="I2451" s="46" t="str">
        <f aca="false">IF($A2451="","",SUMIF($A$2:$A$5001,$A2451,$H$2:$H$5001))</f>
        <v/>
      </c>
      <c r="J2451" s="47" t="n">
        <f aca="false">IF($A2451="",0,IF(COUNTIF($A$2:A2451,$A2451)=1,1,0))</f>
        <v>0</v>
      </c>
      <c r="K2451" s="47" t="n">
        <f aca="false">IF(J2451=1,N(I2451)+ROW()/10000000,0)</f>
        <v>0</v>
      </c>
      <c r="L2451" s="47" t="str">
        <f aca="false">IF(AND(J2451=1,N(I2451)&gt;0),SUMIF($K$2:$K$5001,"&gt;="&amp;K2451,$I$2:$I$5001)/MAX(1,SUM($H$2:$H$5001)),"")</f>
        <v/>
      </c>
      <c r="M2451" s="47" t="str">
        <f aca="false">IF($A2451="","",INDEX($L$2:$L$5001,MATCH($A2451,$A$2:$A$5001,0)))</f>
        <v/>
      </c>
      <c r="N2451" s="48" t="str">
        <f aca="false">IF($A2451="","",IF(N(M2451)=0,"–",IF(M2451&lt;=Start!$D$20,"A",IF(M2451&lt;=Start!$D$21,"B","C"))))</f>
        <v/>
      </c>
      <c r="O2451" s="48" t="str">
        <f aca="false">IF($A2451="","",IF(NOT(ISNUMBER(F2451)),"Wert fehlt; ",IF(F2451&lt;=0,"Wert ist 0; ",""))&amp;IF(NOT(ISNUMBER(E2451)),"Bestand fehlt; ",IF(E2451&lt;0,"Bestand negativ; ",IF(E2451=0,"Nullbestand; ","")))&amp;IF(D2451="","Warengruppe fehlt; ","")&amp;IF(B2451="","Bezeichnung fehlt; ","")&amp;IF(COUNTIFS($A$2:$A$5001,$A2451,$C$2:$C$5001,C2451)&gt;1,"Artikel doppelt im selben Lager; ",""))</f>
        <v/>
      </c>
      <c r="P2451" s="47" t="n">
        <f aca="false">IF(OR($A2451="",D2451=""),0,IF(COUNTIF($D$2:D2451,D2451)=1,SUMIF($D$2:$D$5001,D2451,$H$2:$H$5001)+ROW()/10000000,0))</f>
        <v>0</v>
      </c>
      <c r="Q2451" s="47" t="n">
        <f aca="false">IF(OR($A2451="",C2451=""),0,IF(COUNTIF($C$2:C2451,C2451)=1,SUMIF($C$2:$C$5001,C2451,$H$2:$H$5001)+ROW()/10000000,0))</f>
        <v>0</v>
      </c>
    </row>
    <row r="2452" customFormat="false" ht="15" hidden="false" customHeight="false" outlineLevel="0" collapsed="false">
      <c r="A2452" s="43"/>
      <c r="B2452" s="44"/>
      <c r="C2452" s="44"/>
      <c r="D2452" s="44"/>
      <c r="E2452" s="44"/>
      <c r="F2452" s="44"/>
      <c r="G2452" s="44"/>
      <c r="H2452" s="46" t="str">
        <f aca="false">IF($A2452="","",IF(OR(NOT(ISNUMBER(E2452)),NOT(ISNUMBER(F2452))),"",MAX(0,E2452)*F2452))</f>
        <v/>
      </c>
      <c r="I2452" s="46" t="str">
        <f aca="false">IF($A2452="","",SUMIF($A$2:$A$5001,$A2452,$H$2:$H$5001))</f>
        <v/>
      </c>
      <c r="J2452" s="47" t="n">
        <f aca="false">IF($A2452="",0,IF(COUNTIF($A$2:A2452,$A2452)=1,1,0))</f>
        <v>0</v>
      </c>
      <c r="K2452" s="47" t="n">
        <f aca="false">IF(J2452=1,N(I2452)+ROW()/10000000,0)</f>
        <v>0</v>
      </c>
      <c r="L2452" s="47" t="str">
        <f aca="false">IF(AND(J2452=1,N(I2452)&gt;0),SUMIF($K$2:$K$5001,"&gt;="&amp;K2452,$I$2:$I$5001)/MAX(1,SUM($H$2:$H$5001)),"")</f>
        <v/>
      </c>
      <c r="M2452" s="47" t="str">
        <f aca="false">IF($A2452="","",INDEX($L$2:$L$5001,MATCH($A2452,$A$2:$A$5001,0)))</f>
        <v/>
      </c>
      <c r="N2452" s="48" t="str">
        <f aca="false">IF($A2452="","",IF(N(M2452)=0,"–",IF(M2452&lt;=Start!$D$20,"A",IF(M2452&lt;=Start!$D$21,"B","C"))))</f>
        <v/>
      </c>
      <c r="O2452" s="48" t="str">
        <f aca="false">IF($A2452="","",IF(NOT(ISNUMBER(F2452)),"Wert fehlt; ",IF(F2452&lt;=0,"Wert ist 0; ",""))&amp;IF(NOT(ISNUMBER(E2452)),"Bestand fehlt; ",IF(E2452&lt;0,"Bestand negativ; ",IF(E2452=0,"Nullbestand; ","")))&amp;IF(D2452="","Warengruppe fehlt; ","")&amp;IF(B2452="","Bezeichnung fehlt; ","")&amp;IF(COUNTIFS($A$2:$A$5001,$A2452,$C$2:$C$5001,C2452)&gt;1,"Artikel doppelt im selben Lager; ",""))</f>
        <v/>
      </c>
      <c r="P2452" s="47" t="n">
        <f aca="false">IF(OR($A2452="",D2452=""),0,IF(COUNTIF($D$2:D2452,D2452)=1,SUMIF($D$2:$D$5001,D2452,$H$2:$H$5001)+ROW()/10000000,0))</f>
        <v>0</v>
      </c>
      <c r="Q2452" s="47" t="n">
        <f aca="false">IF(OR($A2452="",C2452=""),0,IF(COUNTIF($C$2:C2452,C2452)=1,SUMIF($C$2:$C$5001,C2452,$H$2:$H$5001)+ROW()/10000000,0))</f>
        <v>0</v>
      </c>
    </row>
    <row r="2453" customFormat="false" ht="15" hidden="false" customHeight="false" outlineLevel="0" collapsed="false">
      <c r="A2453" s="43"/>
      <c r="B2453" s="44"/>
      <c r="C2453" s="44"/>
      <c r="D2453" s="44"/>
      <c r="E2453" s="44"/>
      <c r="F2453" s="44"/>
      <c r="G2453" s="44"/>
      <c r="H2453" s="46" t="str">
        <f aca="false">IF($A2453="","",IF(OR(NOT(ISNUMBER(E2453)),NOT(ISNUMBER(F2453))),"",MAX(0,E2453)*F2453))</f>
        <v/>
      </c>
      <c r="I2453" s="46" t="str">
        <f aca="false">IF($A2453="","",SUMIF($A$2:$A$5001,$A2453,$H$2:$H$5001))</f>
        <v/>
      </c>
      <c r="J2453" s="47" t="n">
        <f aca="false">IF($A2453="",0,IF(COUNTIF($A$2:A2453,$A2453)=1,1,0))</f>
        <v>0</v>
      </c>
      <c r="K2453" s="47" t="n">
        <f aca="false">IF(J2453=1,N(I2453)+ROW()/10000000,0)</f>
        <v>0</v>
      </c>
      <c r="L2453" s="47" t="str">
        <f aca="false">IF(AND(J2453=1,N(I2453)&gt;0),SUMIF($K$2:$K$5001,"&gt;="&amp;K2453,$I$2:$I$5001)/MAX(1,SUM($H$2:$H$5001)),"")</f>
        <v/>
      </c>
      <c r="M2453" s="47" t="str">
        <f aca="false">IF($A2453="","",INDEX($L$2:$L$5001,MATCH($A2453,$A$2:$A$5001,0)))</f>
        <v/>
      </c>
      <c r="N2453" s="48" t="str">
        <f aca="false">IF($A2453="","",IF(N(M2453)=0,"–",IF(M2453&lt;=Start!$D$20,"A",IF(M2453&lt;=Start!$D$21,"B","C"))))</f>
        <v/>
      </c>
      <c r="O2453" s="48" t="str">
        <f aca="false">IF($A2453="","",IF(NOT(ISNUMBER(F2453)),"Wert fehlt; ",IF(F2453&lt;=0,"Wert ist 0; ",""))&amp;IF(NOT(ISNUMBER(E2453)),"Bestand fehlt; ",IF(E2453&lt;0,"Bestand negativ; ",IF(E2453=0,"Nullbestand; ","")))&amp;IF(D2453="","Warengruppe fehlt; ","")&amp;IF(B2453="","Bezeichnung fehlt; ","")&amp;IF(COUNTIFS($A$2:$A$5001,$A2453,$C$2:$C$5001,C2453)&gt;1,"Artikel doppelt im selben Lager; ",""))</f>
        <v/>
      </c>
      <c r="P2453" s="47" t="n">
        <f aca="false">IF(OR($A2453="",D2453=""),0,IF(COUNTIF($D$2:D2453,D2453)=1,SUMIF($D$2:$D$5001,D2453,$H$2:$H$5001)+ROW()/10000000,0))</f>
        <v>0</v>
      </c>
      <c r="Q2453" s="47" t="n">
        <f aca="false">IF(OR($A2453="",C2453=""),0,IF(COUNTIF($C$2:C2453,C2453)=1,SUMIF($C$2:$C$5001,C2453,$H$2:$H$5001)+ROW()/10000000,0))</f>
        <v>0</v>
      </c>
    </row>
    <row r="2454" customFormat="false" ht="15" hidden="false" customHeight="false" outlineLevel="0" collapsed="false">
      <c r="A2454" s="43"/>
      <c r="B2454" s="44"/>
      <c r="C2454" s="44"/>
      <c r="D2454" s="44"/>
      <c r="E2454" s="44"/>
      <c r="F2454" s="44"/>
      <c r="G2454" s="44"/>
      <c r="H2454" s="46" t="str">
        <f aca="false">IF($A2454="","",IF(OR(NOT(ISNUMBER(E2454)),NOT(ISNUMBER(F2454))),"",MAX(0,E2454)*F2454))</f>
        <v/>
      </c>
      <c r="I2454" s="46" t="str">
        <f aca="false">IF($A2454="","",SUMIF($A$2:$A$5001,$A2454,$H$2:$H$5001))</f>
        <v/>
      </c>
      <c r="J2454" s="47" t="n">
        <f aca="false">IF($A2454="",0,IF(COUNTIF($A$2:A2454,$A2454)=1,1,0))</f>
        <v>0</v>
      </c>
      <c r="K2454" s="47" t="n">
        <f aca="false">IF(J2454=1,N(I2454)+ROW()/10000000,0)</f>
        <v>0</v>
      </c>
      <c r="L2454" s="47" t="str">
        <f aca="false">IF(AND(J2454=1,N(I2454)&gt;0),SUMIF($K$2:$K$5001,"&gt;="&amp;K2454,$I$2:$I$5001)/MAX(1,SUM($H$2:$H$5001)),"")</f>
        <v/>
      </c>
      <c r="M2454" s="47" t="str">
        <f aca="false">IF($A2454="","",INDEX($L$2:$L$5001,MATCH($A2454,$A$2:$A$5001,0)))</f>
        <v/>
      </c>
      <c r="N2454" s="48" t="str">
        <f aca="false">IF($A2454="","",IF(N(M2454)=0,"–",IF(M2454&lt;=Start!$D$20,"A",IF(M2454&lt;=Start!$D$21,"B","C"))))</f>
        <v/>
      </c>
      <c r="O2454" s="48" t="str">
        <f aca="false">IF($A2454="","",IF(NOT(ISNUMBER(F2454)),"Wert fehlt; ",IF(F2454&lt;=0,"Wert ist 0; ",""))&amp;IF(NOT(ISNUMBER(E2454)),"Bestand fehlt; ",IF(E2454&lt;0,"Bestand negativ; ",IF(E2454=0,"Nullbestand; ","")))&amp;IF(D2454="","Warengruppe fehlt; ","")&amp;IF(B2454="","Bezeichnung fehlt; ","")&amp;IF(COUNTIFS($A$2:$A$5001,$A2454,$C$2:$C$5001,C2454)&gt;1,"Artikel doppelt im selben Lager; ",""))</f>
        <v/>
      </c>
      <c r="P2454" s="47" t="n">
        <f aca="false">IF(OR($A2454="",D2454=""),0,IF(COUNTIF($D$2:D2454,D2454)=1,SUMIF($D$2:$D$5001,D2454,$H$2:$H$5001)+ROW()/10000000,0))</f>
        <v>0</v>
      </c>
      <c r="Q2454" s="47" t="n">
        <f aca="false">IF(OR($A2454="",C2454=""),0,IF(COUNTIF($C$2:C2454,C2454)=1,SUMIF($C$2:$C$5001,C2454,$H$2:$H$5001)+ROW()/10000000,0))</f>
        <v>0</v>
      </c>
    </row>
    <row r="2455" customFormat="false" ht="15" hidden="false" customHeight="false" outlineLevel="0" collapsed="false">
      <c r="A2455" s="43"/>
      <c r="B2455" s="44"/>
      <c r="C2455" s="44"/>
      <c r="D2455" s="44"/>
      <c r="E2455" s="44"/>
      <c r="F2455" s="44"/>
      <c r="G2455" s="44"/>
      <c r="H2455" s="46" t="str">
        <f aca="false">IF($A2455="","",IF(OR(NOT(ISNUMBER(E2455)),NOT(ISNUMBER(F2455))),"",MAX(0,E2455)*F2455))</f>
        <v/>
      </c>
      <c r="I2455" s="46" t="str">
        <f aca="false">IF($A2455="","",SUMIF($A$2:$A$5001,$A2455,$H$2:$H$5001))</f>
        <v/>
      </c>
      <c r="J2455" s="47" t="n">
        <f aca="false">IF($A2455="",0,IF(COUNTIF($A$2:A2455,$A2455)=1,1,0))</f>
        <v>0</v>
      </c>
      <c r="K2455" s="47" t="n">
        <f aca="false">IF(J2455=1,N(I2455)+ROW()/10000000,0)</f>
        <v>0</v>
      </c>
      <c r="L2455" s="47" t="str">
        <f aca="false">IF(AND(J2455=1,N(I2455)&gt;0),SUMIF($K$2:$K$5001,"&gt;="&amp;K2455,$I$2:$I$5001)/MAX(1,SUM($H$2:$H$5001)),"")</f>
        <v/>
      </c>
      <c r="M2455" s="47" t="str">
        <f aca="false">IF($A2455="","",INDEX($L$2:$L$5001,MATCH($A2455,$A$2:$A$5001,0)))</f>
        <v/>
      </c>
      <c r="N2455" s="48" t="str">
        <f aca="false">IF($A2455="","",IF(N(M2455)=0,"–",IF(M2455&lt;=Start!$D$20,"A",IF(M2455&lt;=Start!$D$21,"B","C"))))</f>
        <v/>
      </c>
      <c r="O2455" s="48" t="str">
        <f aca="false">IF($A2455="","",IF(NOT(ISNUMBER(F2455)),"Wert fehlt; ",IF(F2455&lt;=0,"Wert ist 0; ",""))&amp;IF(NOT(ISNUMBER(E2455)),"Bestand fehlt; ",IF(E2455&lt;0,"Bestand negativ; ",IF(E2455=0,"Nullbestand; ","")))&amp;IF(D2455="","Warengruppe fehlt; ","")&amp;IF(B2455="","Bezeichnung fehlt; ","")&amp;IF(COUNTIFS($A$2:$A$5001,$A2455,$C$2:$C$5001,C2455)&gt;1,"Artikel doppelt im selben Lager; ",""))</f>
        <v/>
      </c>
      <c r="P2455" s="47" t="n">
        <f aca="false">IF(OR($A2455="",D2455=""),0,IF(COUNTIF($D$2:D2455,D2455)=1,SUMIF($D$2:$D$5001,D2455,$H$2:$H$5001)+ROW()/10000000,0))</f>
        <v>0</v>
      </c>
      <c r="Q2455" s="47" t="n">
        <f aca="false">IF(OR($A2455="",C2455=""),0,IF(COUNTIF($C$2:C2455,C2455)=1,SUMIF($C$2:$C$5001,C2455,$H$2:$H$5001)+ROW()/10000000,0))</f>
        <v>0</v>
      </c>
    </row>
    <row r="2456" customFormat="false" ht="15" hidden="false" customHeight="false" outlineLevel="0" collapsed="false">
      <c r="A2456" s="43"/>
      <c r="B2456" s="44"/>
      <c r="C2456" s="44"/>
      <c r="D2456" s="44"/>
      <c r="E2456" s="44"/>
      <c r="F2456" s="44"/>
      <c r="G2456" s="44"/>
      <c r="H2456" s="46" t="str">
        <f aca="false">IF($A2456="","",IF(OR(NOT(ISNUMBER(E2456)),NOT(ISNUMBER(F2456))),"",MAX(0,E2456)*F2456))</f>
        <v/>
      </c>
      <c r="I2456" s="46" t="str">
        <f aca="false">IF($A2456="","",SUMIF($A$2:$A$5001,$A2456,$H$2:$H$5001))</f>
        <v/>
      </c>
      <c r="J2456" s="47" t="n">
        <f aca="false">IF($A2456="",0,IF(COUNTIF($A$2:A2456,$A2456)=1,1,0))</f>
        <v>0</v>
      </c>
      <c r="K2456" s="47" t="n">
        <f aca="false">IF(J2456=1,N(I2456)+ROW()/10000000,0)</f>
        <v>0</v>
      </c>
      <c r="L2456" s="47" t="str">
        <f aca="false">IF(AND(J2456=1,N(I2456)&gt;0),SUMIF($K$2:$K$5001,"&gt;="&amp;K2456,$I$2:$I$5001)/MAX(1,SUM($H$2:$H$5001)),"")</f>
        <v/>
      </c>
      <c r="M2456" s="47" t="str">
        <f aca="false">IF($A2456="","",INDEX($L$2:$L$5001,MATCH($A2456,$A$2:$A$5001,0)))</f>
        <v/>
      </c>
      <c r="N2456" s="48" t="str">
        <f aca="false">IF($A2456="","",IF(N(M2456)=0,"–",IF(M2456&lt;=Start!$D$20,"A",IF(M2456&lt;=Start!$D$21,"B","C"))))</f>
        <v/>
      </c>
      <c r="O2456" s="48" t="str">
        <f aca="false">IF($A2456="","",IF(NOT(ISNUMBER(F2456)),"Wert fehlt; ",IF(F2456&lt;=0,"Wert ist 0; ",""))&amp;IF(NOT(ISNUMBER(E2456)),"Bestand fehlt; ",IF(E2456&lt;0,"Bestand negativ; ",IF(E2456=0,"Nullbestand; ","")))&amp;IF(D2456="","Warengruppe fehlt; ","")&amp;IF(B2456="","Bezeichnung fehlt; ","")&amp;IF(COUNTIFS($A$2:$A$5001,$A2456,$C$2:$C$5001,C2456)&gt;1,"Artikel doppelt im selben Lager; ",""))</f>
        <v/>
      </c>
      <c r="P2456" s="47" t="n">
        <f aca="false">IF(OR($A2456="",D2456=""),0,IF(COUNTIF($D$2:D2456,D2456)=1,SUMIF($D$2:$D$5001,D2456,$H$2:$H$5001)+ROW()/10000000,0))</f>
        <v>0</v>
      </c>
      <c r="Q2456" s="47" t="n">
        <f aca="false">IF(OR($A2456="",C2456=""),0,IF(COUNTIF($C$2:C2456,C2456)=1,SUMIF($C$2:$C$5001,C2456,$H$2:$H$5001)+ROW()/10000000,0))</f>
        <v>0</v>
      </c>
    </row>
    <row r="2457" customFormat="false" ht="15" hidden="false" customHeight="false" outlineLevel="0" collapsed="false">
      <c r="A2457" s="43"/>
      <c r="B2457" s="44"/>
      <c r="C2457" s="44"/>
      <c r="D2457" s="44"/>
      <c r="E2457" s="44"/>
      <c r="F2457" s="44"/>
      <c r="G2457" s="44"/>
      <c r="H2457" s="46" t="str">
        <f aca="false">IF($A2457="","",IF(OR(NOT(ISNUMBER(E2457)),NOT(ISNUMBER(F2457))),"",MAX(0,E2457)*F2457))</f>
        <v/>
      </c>
      <c r="I2457" s="46" t="str">
        <f aca="false">IF($A2457="","",SUMIF($A$2:$A$5001,$A2457,$H$2:$H$5001))</f>
        <v/>
      </c>
      <c r="J2457" s="47" t="n">
        <f aca="false">IF($A2457="",0,IF(COUNTIF($A$2:A2457,$A2457)=1,1,0))</f>
        <v>0</v>
      </c>
      <c r="K2457" s="47" t="n">
        <f aca="false">IF(J2457=1,N(I2457)+ROW()/10000000,0)</f>
        <v>0</v>
      </c>
      <c r="L2457" s="47" t="str">
        <f aca="false">IF(AND(J2457=1,N(I2457)&gt;0),SUMIF($K$2:$K$5001,"&gt;="&amp;K2457,$I$2:$I$5001)/MAX(1,SUM($H$2:$H$5001)),"")</f>
        <v/>
      </c>
      <c r="M2457" s="47" t="str">
        <f aca="false">IF($A2457="","",INDEX($L$2:$L$5001,MATCH($A2457,$A$2:$A$5001,0)))</f>
        <v/>
      </c>
      <c r="N2457" s="48" t="str">
        <f aca="false">IF($A2457="","",IF(N(M2457)=0,"–",IF(M2457&lt;=Start!$D$20,"A",IF(M2457&lt;=Start!$D$21,"B","C"))))</f>
        <v/>
      </c>
      <c r="O2457" s="48" t="str">
        <f aca="false">IF($A2457="","",IF(NOT(ISNUMBER(F2457)),"Wert fehlt; ",IF(F2457&lt;=0,"Wert ist 0; ",""))&amp;IF(NOT(ISNUMBER(E2457)),"Bestand fehlt; ",IF(E2457&lt;0,"Bestand negativ; ",IF(E2457=0,"Nullbestand; ","")))&amp;IF(D2457="","Warengruppe fehlt; ","")&amp;IF(B2457="","Bezeichnung fehlt; ","")&amp;IF(COUNTIFS($A$2:$A$5001,$A2457,$C$2:$C$5001,C2457)&gt;1,"Artikel doppelt im selben Lager; ",""))</f>
        <v/>
      </c>
      <c r="P2457" s="47" t="n">
        <f aca="false">IF(OR($A2457="",D2457=""),0,IF(COUNTIF($D$2:D2457,D2457)=1,SUMIF($D$2:$D$5001,D2457,$H$2:$H$5001)+ROW()/10000000,0))</f>
        <v>0</v>
      </c>
      <c r="Q2457" s="47" t="n">
        <f aca="false">IF(OR($A2457="",C2457=""),0,IF(COUNTIF($C$2:C2457,C2457)=1,SUMIF($C$2:$C$5001,C2457,$H$2:$H$5001)+ROW()/10000000,0))</f>
        <v>0</v>
      </c>
    </row>
    <row r="2458" customFormat="false" ht="15" hidden="false" customHeight="false" outlineLevel="0" collapsed="false">
      <c r="A2458" s="43"/>
      <c r="B2458" s="44"/>
      <c r="C2458" s="44"/>
      <c r="D2458" s="44"/>
      <c r="E2458" s="44"/>
      <c r="F2458" s="44"/>
      <c r="G2458" s="44"/>
      <c r="H2458" s="46" t="str">
        <f aca="false">IF($A2458="","",IF(OR(NOT(ISNUMBER(E2458)),NOT(ISNUMBER(F2458))),"",MAX(0,E2458)*F2458))</f>
        <v/>
      </c>
      <c r="I2458" s="46" t="str">
        <f aca="false">IF($A2458="","",SUMIF($A$2:$A$5001,$A2458,$H$2:$H$5001))</f>
        <v/>
      </c>
      <c r="J2458" s="47" t="n">
        <f aca="false">IF($A2458="",0,IF(COUNTIF($A$2:A2458,$A2458)=1,1,0))</f>
        <v>0</v>
      </c>
      <c r="K2458" s="47" t="n">
        <f aca="false">IF(J2458=1,N(I2458)+ROW()/10000000,0)</f>
        <v>0</v>
      </c>
      <c r="L2458" s="47" t="str">
        <f aca="false">IF(AND(J2458=1,N(I2458)&gt;0),SUMIF($K$2:$K$5001,"&gt;="&amp;K2458,$I$2:$I$5001)/MAX(1,SUM($H$2:$H$5001)),"")</f>
        <v/>
      </c>
      <c r="M2458" s="47" t="str">
        <f aca="false">IF($A2458="","",INDEX($L$2:$L$5001,MATCH($A2458,$A$2:$A$5001,0)))</f>
        <v/>
      </c>
      <c r="N2458" s="48" t="str">
        <f aca="false">IF($A2458="","",IF(N(M2458)=0,"–",IF(M2458&lt;=Start!$D$20,"A",IF(M2458&lt;=Start!$D$21,"B","C"))))</f>
        <v/>
      </c>
      <c r="O2458" s="48" t="str">
        <f aca="false">IF($A2458="","",IF(NOT(ISNUMBER(F2458)),"Wert fehlt; ",IF(F2458&lt;=0,"Wert ist 0; ",""))&amp;IF(NOT(ISNUMBER(E2458)),"Bestand fehlt; ",IF(E2458&lt;0,"Bestand negativ; ",IF(E2458=0,"Nullbestand; ","")))&amp;IF(D2458="","Warengruppe fehlt; ","")&amp;IF(B2458="","Bezeichnung fehlt; ","")&amp;IF(COUNTIFS($A$2:$A$5001,$A2458,$C$2:$C$5001,C2458)&gt;1,"Artikel doppelt im selben Lager; ",""))</f>
        <v/>
      </c>
      <c r="P2458" s="47" t="n">
        <f aca="false">IF(OR($A2458="",D2458=""),0,IF(COUNTIF($D$2:D2458,D2458)=1,SUMIF($D$2:$D$5001,D2458,$H$2:$H$5001)+ROW()/10000000,0))</f>
        <v>0</v>
      </c>
      <c r="Q2458" s="47" t="n">
        <f aca="false">IF(OR($A2458="",C2458=""),0,IF(COUNTIF($C$2:C2458,C2458)=1,SUMIF($C$2:$C$5001,C2458,$H$2:$H$5001)+ROW()/10000000,0))</f>
        <v>0</v>
      </c>
    </row>
    <row r="2459" customFormat="false" ht="15" hidden="false" customHeight="false" outlineLevel="0" collapsed="false">
      <c r="A2459" s="43"/>
      <c r="B2459" s="44"/>
      <c r="C2459" s="44"/>
      <c r="D2459" s="44"/>
      <c r="E2459" s="44"/>
      <c r="F2459" s="44"/>
      <c r="G2459" s="44"/>
      <c r="H2459" s="46" t="str">
        <f aca="false">IF($A2459="","",IF(OR(NOT(ISNUMBER(E2459)),NOT(ISNUMBER(F2459))),"",MAX(0,E2459)*F2459))</f>
        <v/>
      </c>
      <c r="I2459" s="46" t="str">
        <f aca="false">IF($A2459="","",SUMIF($A$2:$A$5001,$A2459,$H$2:$H$5001))</f>
        <v/>
      </c>
      <c r="J2459" s="47" t="n">
        <f aca="false">IF($A2459="",0,IF(COUNTIF($A$2:A2459,$A2459)=1,1,0))</f>
        <v>0</v>
      </c>
      <c r="K2459" s="47" t="n">
        <f aca="false">IF(J2459=1,N(I2459)+ROW()/10000000,0)</f>
        <v>0</v>
      </c>
      <c r="L2459" s="47" t="str">
        <f aca="false">IF(AND(J2459=1,N(I2459)&gt;0),SUMIF($K$2:$K$5001,"&gt;="&amp;K2459,$I$2:$I$5001)/MAX(1,SUM($H$2:$H$5001)),"")</f>
        <v/>
      </c>
      <c r="M2459" s="47" t="str">
        <f aca="false">IF($A2459="","",INDEX($L$2:$L$5001,MATCH($A2459,$A$2:$A$5001,0)))</f>
        <v/>
      </c>
      <c r="N2459" s="48" t="str">
        <f aca="false">IF($A2459="","",IF(N(M2459)=0,"–",IF(M2459&lt;=Start!$D$20,"A",IF(M2459&lt;=Start!$D$21,"B","C"))))</f>
        <v/>
      </c>
      <c r="O2459" s="48" t="str">
        <f aca="false">IF($A2459="","",IF(NOT(ISNUMBER(F2459)),"Wert fehlt; ",IF(F2459&lt;=0,"Wert ist 0; ",""))&amp;IF(NOT(ISNUMBER(E2459)),"Bestand fehlt; ",IF(E2459&lt;0,"Bestand negativ; ",IF(E2459=0,"Nullbestand; ","")))&amp;IF(D2459="","Warengruppe fehlt; ","")&amp;IF(B2459="","Bezeichnung fehlt; ","")&amp;IF(COUNTIFS($A$2:$A$5001,$A2459,$C$2:$C$5001,C2459)&gt;1,"Artikel doppelt im selben Lager; ",""))</f>
        <v/>
      </c>
      <c r="P2459" s="47" t="n">
        <f aca="false">IF(OR($A2459="",D2459=""),0,IF(COUNTIF($D$2:D2459,D2459)=1,SUMIF($D$2:$D$5001,D2459,$H$2:$H$5001)+ROW()/10000000,0))</f>
        <v>0</v>
      </c>
      <c r="Q2459" s="47" t="n">
        <f aca="false">IF(OR($A2459="",C2459=""),0,IF(COUNTIF($C$2:C2459,C2459)=1,SUMIF($C$2:$C$5001,C2459,$H$2:$H$5001)+ROW()/10000000,0))</f>
        <v>0</v>
      </c>
    </row>
    <row r="2460" customFormat="false" ht="15" hidden="false" customHeight="false" outlineLevel="0" collapsed="false">
      <c r="A2460" s="43"/>
      <c r="B2460" s="44"/>
      <c r="C2460" s="44"/>
      <c r="D2460" s="44"/>
      <c r="E2460" s="44"/>
      <c r="F2460" s="44"/>
      <c r="G2460" s="44"/>
      <c r="H2460" s="46" t="str">
        <f aca="false">IF($A2460="","",IF(OR(NOT(ISNUMBER(E2460)),NOT(ISNUMBER(F2460))),"",MAX(0,E2460)*F2460))</f>
        <v/>
      </c>
      <c r="I2460" s="46" t="str">
        <f aca="false">IF($A2460="","",SUMIF($A$2:$A$5001,$A2460,$H$2:$H$5001))</f>
        <v/>
      </c>
      <c r="J2460" s="47" t="n">
        <f aca="false">IF($A2460="",0,IF(COUNTIF($A$2:A2460,$A2460)=1,1,0))</f>
        <v>0</v>
      </c>
      <c r="K2460" s="47" t="n">
        <f aca="false">IF(J2460=1,N(I2460)+ROW()/10000000,0)</f>
        <v>0</v>
      </c>
      <c r="L2460" s="47" t="str">
        <f aca="false">IF(AND(J2460=1,N(I2460)&gt;0),SUMIF($K$2:$K$5001,"&gt;="&amp;K2460,$I$2:$I$5001)/MAX(1,SUM($H$2:$H$5001)),"")</f>
        <v/>
      </c>
      <c r="M2460" s="47" t="str">
        <f aca="false">IF($A2460="","",INDEX($L$2:$L$5001,MATCH($A2460,$A$2:$A$5001,0)))</f>
        <v/>
      </c>
      <c r="N2460" s="48" t="str">
        <f aca="false">IF($A2460="","",IF(N(M2460)=0,"–",IF(M2460&lt;=Start!$D$20,"A",IF(M2460&lt;=Start!$D$21,"B","C"))))</f>
        <v/>
      </c>
      <c r="O2460" s="48" t="str">
        <f aca="false">IF($A2460="","",IF(NOT(ISNUMBER(F2460)),"Wert fehlt; ",IF(F2460&lt;=0,"Wert ist 0; ",""))&amp;IF(NOT(ISNUMBER(E2460)),"Bestand fehlt; ",IF(E2460&lt;0,"Bestand negativ; ",IF(E2460=0,"Nullbestand; ","")))&amp;IF(D2460="","Warengruppe fehlt; ","")&amp;IF(B2460="","Bezeichnung fehlt; ","")&amp;IF(COUNTIFS($A$2:$A$5001,$A2460,$C$2:$C$5001,C2460)&gt;1,"Artikel doppelt im selben Lager; ",""))</f>
        <v/>
      </c>
      <c r="P2460" s="47" t="n">
        <f aca="false">IF(OR($A2460="",D2460=""),0,IF(COUNTIF($D$2:D2460,D2460)=1,SUMIF($D$2:$D$5001,D2460,$H$2:$H$5001)+ROW()/10000000,0))</f>
        <v>0</v>
      </c>
      <c r="Q2460" s="47" t="n">
        <f aca="false">IF(OR($A2460="",C2460=""),0,IF(COUNTIF($C$2:C2460,C2460)=1,SUMIF($C$2:$C$5001,C2460,$H$2:$H$5001)+ROW()/10000000,0))</f>
        <v>0</v>
      </c>
    </row>
    <row r="2461" customFormat="false" ht="15" hidden="false" customHeight="false" outlineLevel="0" collapsed="false">
      <c r="A2461" s="43"/>
      <c r="B2461" s="44"/>
      <c r="C2461" s="44"/>
      <c r="D2461" s="44"/>
      <c r="E2461" s="44"/>
      <c r="F2461" s="44"/>
      <c r="G2461" s="44"/>
      <c r="H2461" s="46" t="str">
        <f aca="false">IF($A2461="","",IF(OR(NOT(ISNUMBER(E2461)),NOT(ISNUMBER(F2461))),"",MAX(0,E2461)*F2461))</f>
        <v/>
      </c>
      <c r="I2461" s="46" t="str">
        <f aca="false">IF($A2461="","",SUMIF($A$2:$A$5001,$A2461,$H$2:$H$5001))</f>
        <v/>
      </c>
      <c r="J2461" s="47" t="n">
        <f aca="false">IF($A2461="",0,IF(COUNTIF($A$2:A2461,$A2461)=1,1,0))</f>
        <v>0</v>
      </c>
      <c r="K2461" s="47" t="n">
        <f aca="false">IF(J2461=1,N(I2461)+ROW()/10000000,0)</f>
        <v>0</v>
      </c>
      <c r="L2461" s="47" t="str">
        <f aca="false">IF(AND(J2461=1,N(I2461)&gt;0),SUMIF($K$2:$K$5001,"&gt;="&amp;K2461,$I$2:$I$5001)/MAX(1,SUM($H$2:$H$5001)),"")</f>
        <v/>
      </c>
      <c r="M2461" s="47" t="str">
        <f aca="false">IF($A2461="","",INDEX($L$2:$L$5001,MATCH($A2461,$A$2:$A$5001,0)))</f>
        <v/>
      </c>
      <c r="N2461" s="48" t="str">
        <f aca="false">IF($A2461="","",IF(N(M2461)=0,"–",IF(M2461&lt;=Start!$D$20,"A",IF(M2461&lt;=Start!$D$21,"B","C"))))</f>
        <v/>
      </c>
      <c r="O2461" s="48" t="str">
        <f aca="false">IF($A2461="","",IF(NOT(ISNUMBER(F2461)),"Wert fehlt; ",IF(F2461&lt;=0,"Wert ist 0; ",""))&amp;IF(NOT(ISNUMBER(E2461)),"Bestand fehlt; ",IF(E2461&lt;0,"Bestand negativ; ",IF(E2461=0,"Nullbestand; ","")))&amp;IF(D2461="","Warengruppe fehlt; ","")&amp;IF(B2461="","Bezeichnung fehlt; ","")&amp;IF(COUNTIFS($A$2:$A$5001,$A2461,$C$2:$C$5001,C2461)&gt;1,"Artikel doppelt im selben Lager; ",""))</f>
        <v/>
      </c>
      <c r="P2461" s="47" t="n">
        <f aca="false">IF(OR($A2461="",D2461=""),0,IF(COUNTIF($D$2:D2461,D2461)=1,SUMIF($D$2:$D$5001,D2461,$H$2:$H$5001)+ROW()/10000000,0))</f>
        <v>0</v>
      </c>
      <c r="Q2461" s="47" t="n">
        <f aca="false">IF(OR($A2461="",C2461=""),0,IF(COUNTIF($C$2:C2461,C2461)=1,SUMIF($C$2:$C$5001,C2461,$H$2:$H$5001)+ROW()/10000000,0))</f>
        <v>0</v>
      </c>
    </row>
    <row r="2462" customFormat="false" ht="15" hidden="false" customHeight="false" outlineLevel="0" collapsed="false">
      <c r="A2462" s="43"/>
      <c r="B2462" s="44"/>
      <c r="C2462" s="44"/>
      <c r="D2462" s="44"/>
      <c r="E2462" s="44"/>
      <c r="F2462" s="44"/>
      <c r="G2462" s="44"/>
      <c r="H2462" s="46" t="str">
        <f aca="false">IF($A2462="","",IF(OR(NOT(ISNUMBER(E2462)),NOT(ISNUMBER(F2462))),"",MAX(0,E2462)*F2462))</f>
        <v/>
      </c>
      <c r="I2462" s="46" t="str">
        <f aca="false">IF($A2462="","",SUMIF($A$2:$A$5001,$A2462,$H$2:$H$5001))</f>
        <v/>
      </c>
      <c r="J2462" s="47" t="n">
        <f aca="false">IF($A2462="",0,IF(COUNTIF($A$2:A2462,$A2462)=1,1,0))</f>
        <v>0</v>
      </c>
      <c r="K2462" s="47" t="n">
        <f aca="false">IF(J2462=1,N(I2462)+ROW()/10000000,0)</f>
        <v>0</v>
      </c>
      <c r="L2462" s="47" t="str">
        <f aca="false">IF(AND(J2462=1,N(I2462)&gt;0),SUMIF($K$2:$K$5001,"&gt;="&amp;K2462,$I$2:$I$5001)/MAX(1,SUM($H$2:$H$5001)),"")</f>
        <v/>
      </c>
      <c r="M2462" s="47" t="str">
        <f aca="false">IF($A2462="","",INDEX($L$2:$L$5001,MATCH($A2462,$A$2:$A$5001,0)))</f>
        <v/>
      </c>
      <c r="N2462" s="48" t="str">
        <f aca="false">IF($A2462="","",IF(N(M2462)=0,"–",IF(M2462&lt;=Start!$D$20,"A",IF(M2462&lt;=Start!$D$21,"B","C"))))</f>
        <v/>
      </c>
      <c r="O2462" s="48" t="str">
        <f aca="false">IF($A2462="","",IF(NOT(ISNUMBER(F2462)),"Wert fehlt; ",IF(F2462&lt;=0,"Wert ist 0; ",""))&amp;IF(NOT(ISNUMBER(E2462)),"Bestand fehlt; ",IF(E2462&lt;0,"Bestand negativ; ",IF(E2462=0,"Nullbestand; ","")))&amp;IF(D2462="","Warengruppe fehlt; ","")&amp;IF(B2462="","Bezeichnung fehlt; ","")&amp;IF(COUNTIFS($A$2:$A$5001,$A2462,$C$2:$C$5001,C2462)&gt;1,"Artikel doppelt im selben Lager; ",""))</f>
        <v/>
      </c>
      <c r="P2462" s="47" t="n">
        <f aca="false">IF(OR($A2462="",D2462=""),0,IF(COUNTIF($D$2:D2462,D2462)=1,SUMIF($D$2:$D$5001,D2462,$H$2:$H$5001)+ROW()/10000000,0))</f>
        <v>0</v>
      </c>
      <c r="Q2462" s="47" t="n">
        <f aca="false">IF(OR($A2462="",C2462=""),0,IF(COUNTIF($C$2:C2462,C2462)=1,SUMIF($C$2:$C$5001,C2462,$H$2:$H$5001)+ROW()/10000000,0))</f>
        <v>0</v>
      </c>
    </row>
    <row r="2463" customFormat="false" ht="15" hidden="false" customHeight="false" outlineLevel="0" collapsed="false">
      <c r="A2463" s="43"/>
      <c r="B2463" s="44"/>
      <c r="C2463" s="44"/>
      <c r="D2463" s="44"/>
      <c r="E2463" s="44"/>
      <c r="F2463" s="44"/>
      <c r="G2463" s="44"/>
      <c r="H2463" s="46" t="str">
        <f aca="false">IF($A2463="","",IF(OR(NOT(ISNUMBER(E2463)),NOT(ISNUMBER(F2463))),"",MAX(0,E2463)*F2463))</f>
        <v/>
      </c>
      <c r="I2463" s="46" t="str">
        <f aca="false">IF($A2463="","",SUMIF($A$2:$A$5001,$A2463,$H$2:$H$5001))</f>
        <v/>
      </c>
      <c r="J2463" s="47" t="n">
        <f aca="false">IF($A2463="",0,IF(COUNTIF($A$2:A2463,$A2463)=1,1,0))</f>
        <v>0</v>
      </c>
      <c r="K2463" s="47" t="n">
        <f aca="false">IF(J2463=1,N(I2463)+ROW()/10000000,0)</f>
        <v>0</v>
      </c>
      <c r="L2463" s="47" t="str">
        <f aca="false">IF(AND(J2463=1,N(I2463)&gt;0),SUMIF($K$2:$K$5001,"&gt;="&amp;K2463,$I$2:$I$5001)/MAX(1,SUM($H$2:$H$5001)),"")</f>
        <v/>
      </c>
      <c r="M2463" s="47" t="str">
        <f aca="false">IF($A2463="","",INDEX($L$2:$L$5001,MATCH($A2463,$A$2:$A$5001,0)))</f>
        <v/>
      </c>
      <c r="N2463" s="48" t="str">
        <f aca="false">IF($A2463="","",IF(N(M2463)=0,"–",IF(M2463&lt;=Start!$D$20,"A",IF(M2463&lt;=Start!$D$21,"B","C"))))</f>
        <v/>
      </c>
      <c r="O2463" s="48" t="str">
        <f aca="false">IF($A2463="","",IF(NOT(ISNUMBER(F2463)),"Wert fehlt; ",IF(F2463&lt;=0,"Wert ist 0; ",""))&amp;IF(NOT(ISNUMBER(E2463)),"Bestand fehlt; ",IF(E2463&lt;0,"Bestand negativ; ",IF(E2463=0,"Nullbestand; ","")))&amp;IF(D2463="","Warengruppe fehlt; ","")&amp;IF(B2463="","Bezeichnung fehlt; ","")&amp;IF(COUNTIFS($A$2:$A$5001,$A2463,$C$2:$C$5001,C2463)&gt;1,"Artikel doppelt im selben Lager; ",""))</f>
        <v/>
      </c>
      <c r="P2463" s="47" t="n">
        <f aca="false">IF(OR($A2463="",D2463=""),0,IF(COUNTIF($D$2:D2463,D2463)=1,SUMIF($D$2:$D$5001,D2463,$H$2:$H$5001)+ROW()/10000000,0))</f>
        <v>0</v>
      </c>
      <c r="Q2463" s="47" t="n">
        <f aca="false">IF(OR($A2463="",C2463=""),0,IF(COUNTIF($C$2:C2463,C2463)=1,SUMIF($C$2:$C$5001,C2463,$H$2:$H$5001)+ROW()/10000000,0))</f>
        <v>0</v>
      </c>
    </row>
    <row r="2464" customFormat="false" ht="15" hidden="false" customHeight="false" outlineLevel="0" collapsed="false">
      <c r="A2464" s="43"/>
      <c r="B2464" s="44"/>
      <c r="C2464" s="44"/>
      <c r="D2464" s="44"/>
      <c r="E2464" s="44"/>
      <c r="F2464" s="44"/>
      <c r="G2464" s="44"/>
      <c r="H2464" s="46" t="str">
        <f aca="false">IF($A2464="","",IF(OR(NOT(ISNUMBER(E2464)),NOT(ISNUMBER(F2464))),"",MAX(0,E2464)*F2464))</f>
        <v/>
      </c>
      <c r="I2464" s="46" t="str">
        <f aca="false">IF($A2464="","",SUMIF($A$2:$A$5001,$A2464,$H$2:$H$5001))</f>
        <v/>
      </c>
      <c r="J2464" s="47" t="n">
        <f aca="false">IF($A2464="",0,IF(COUNTIF($A$2:A2464,$A2464)=1,1,0))</f>
        <v>0</v>
      </c>
      <c r="K2464" s="47" t="n">
        <f aca="false">IF(J2464=1,N(I2464)+ROW()/10000000,0)</f>
        <v>0</v>
      </c>
      <c r="L2464" s="47" t="str">
        <f aca="false">IF(AND(J2464=1,N(I2464)&gt;0),SUMIF($K$2:$K$5001,"&gt;="&amp;K2464,$I$2:$I$5001)/MAX(1,SUM($H$2:$H$5001)),"")</f>
        <v/>
      </c>
      <c r="M2464" s="47" t="str">
        <f aca="false">IF($A2464="","",INDEX($L$2:$L$5001,MATCH($A2464,$A$2:$A$5001,0)))</f>
        <v/>
      </c>
      <c r="N2464" s="48" t="str">
        <f aca="false">IF($A2464="","",IF(N(M2464)=0,"–",IF(M2464&lt;=Start!$D$20,"A",IF(M2464&lt;=Start!$D$21,"B","C"))))</f>
        <v/>
      </c>
      <c r="O2464" s="48" t="str">
        <f aca="false">IF($A2464="","",IF(NOT(ISNUMBER(F2464)),"Wert fehlt; ",IF(F2464&lt;=0,"Wert ist 0; ",""))&amp;IF(NOT(ISNUMBER(E2464)),"Bestand fehlt; ",IF(E2464&lt;0,"Bestand negativ; ",IF(E2464=0,"Nullbestand; ","")))&amp;IF(D2464="","Warengruppe fehlt; ","")&amp;IF(B2464="","Bezeichnung fehlt; ","")&amp;IF(COUNTIFS($A$2:$A$5001,$A2464,$C$2:$C$5001,C2464)&gt;1,"Artikel doppelt im selben Lager; ",""))</f>
        <v/>
      </c>
      <c r="P2464" s="47" t="n">
        <f aca="false">IF(OR($A2464="",D2464=""),0,IF(COUNTIF($D$2:D2464,D2464)=1,SUMIF($D$2:$D$5001,D2464,$H$2:$H$5001)+ROW()/10000000,0))</f>
        <v>0</v>
      </c>
      <c r="Q2464" s="47" t="n">
        <f aca="false">IF(OR($A2464="",C2464=""),0,IF(COUNTIF($C$2:C2464,C2464)=1,SUMIF($C$2:$C$5001,C2464,$H$2:$H$5001)+ROW()/10000000,0))</f>
        <v>0</v>
      </c>
    </row>
    <row r="2465" customFormat="false" ht="15" hidden="false" customHeight="false" outlineLevel="0" collapsed="false">
      <c r="A2465" s="43"/>
      <c r="B2465" s="44"/>
      <c r="C2465" s="44"/>
      <c r="D2465" s="44"/>
      <c r="E2465" s="44"/>
      <c r="F2465" s="44"/>
      <c r="G2465" s="44"/>
      <c r="H2465" s="46" t="str">
        <f aca="false">IF($A2465="","",IF(OR(NOT(ISNUMBER(E2465)),NOT(ISNUMBER(F2465))),"",MAX(0,E2465)*F2465))</f>
        <v/>
      </c>
      <c r="I2465" s="46" t="str">
        <f aca="false">IF($A2465="","",SUMIF($A$2:$A$5001,$A2465,$H$2:$H$5001))</f>
        <v/>
      </c>
      <c r="J2465" s="47" t="n">
        <f aca="false">IF($A2465="",0,IF(COUNTIF($A$2:A2465,$A2465)=1,1,0))</f>
        <v>0</v>
      </c>
      <c r="K2465" s="47" t="n">
        <f aca="false">IF(J2465=1,N(I2465)+ROW()/10000000,0)</f>
        <v>0</v>
      </c>
      <c r="L2465" s="47" t="str">
        <f aca="false">IF(AND(J2465=1,N(I2465)&gt;0),SUMIF($K$2:$K$5001,"&gt;="&amp;K2465,$I$2:$I$5001)/MAX(1,SUM($H$2:$H$5001)),"")</f>
        <v/>
      </c>
      <c r="M2465" s="47" t="str">
        <f aca="false">IF($A2465="","",INDEX($L$2:$L$5001,MATCH($A2465,$A$2:$A$5001,0)))</f>
        <v/>
      </c>
      <c r="N2465" s="48" t="str">
        <f aca="false">IF($A2465="","",IF(N(M2465)=0,"–",IF(M2465&lt;=Start!$D$20,"A",IF(M2465&lt;=Start!$D$21,"B","C"))))</f>
        <v/>
      </c>
      <c r="O2465" s="48" t="str">
        <f aca="false">IF($A2465="","",IF(NOT(ISNUMBER(F2465)),"Wert fehlt; ",IF(F2465&lt;=0,"Wert ist 0; ",""))&amp;IF(NOT(ISNUMBER(E2465)),"Bestand fehlt; ",IF(E2465&lt;0,"Bestand negativ; ",IF(E2465=0,"Nullbestand; ","")))&amp;IF(D2465="","Warengruppe fehlt; ","")&amp;IF(B2465="","Bezeichnung fehlt; ","")&amp;IF(COUNTIFS($A$2:$A$5001,$A2465,$C$2:$C$5001,C2465)&gt;1,"Artikel doppelt im selben Lager; ",""))</f>
        <v/>
      </c>
      <c r="P2465" s="47" t="n">
        <f aca="false">IF(OR($A2465="",D2465=""),0,IF(COUNTIF($D$2:D2465,D2465)=1,SUMIF($D$2:$D$5001,D2465,$H$2:$H$5001)+ROW()/10000000,0))</f>
        <v>0</v>
      </c>
      <c r="Q2465" s="47" t="n">
        <f aca="false">IF(OR($A2465="",C2465=""),0,IF(COUNTIF($C$2:C2465,C2465)=1,SUMIF($C$2:$C$5001,C2465,$H$2:$H$5001)+ROW()/10000000,0))</f>
        <v>0</v>
      </c>
    </row>
    <row r="2466" customFormat="false" ht="15" hidden="false" customHeight="false" outlineLevel="0" collapsed="false">
      <c r="A2466" s="43"/>
      <c r="B2466" s="44"/>
      <c r="C2466" s="44"/>
      <c r="D2466" s="44"/>
      <c r="E2466" s="44"/>
      <c r="F2466" s="44"/>
      <c r="G2466" s="44"/>
      <c r="H2466" s="46" t="str">
        <f aca="false">IF($A2466="","",IF(OR(NOT(ISNUMBER(E2466)),NOT(ISNUMBER(F2466))),"",MAX(0,E2466)*F2466))</f>
        <v/>
      </c>
      <c r="I2466" s="46" t="str">
        <f aca="false">IF($A2466="","",SUMIF($A$2:$A$5001,$A2466,$H$2:$H$5001))</f>
        <v/>
      </c>
      <c r="J2466" s="47" t="n">
        <f aca="false">IF($A2466="",0,IF(COUNTIF($A$2:A2466,$A2466)=1,1,0))</f>
        <v>0</v>
      </c>
      <c r="K2466" s="47" t="n">
        <f aca="false">IF(J2466=1,N(I2466)+ROW()/10000000,0)</f>
        <v>0</v>
      </c>
      <c r="L2466" s="47" t="str">
        <f aca="false">IF(AND(J2466=1,N(I2466)&gt;0),SUMIF($K$2:$K$5001,"&gt;="&amp;K2466,$I$2:$I$5001)/MAX(1,SUM($H$2:$H$5001)),"")</f>
        <v/>
      </c>
      <c r="M2466" s="47" t="str">
        <f aca="false">IF($A2466="","",INDEX($L$2:$L$5001,MATCH($A2466,$A$2:$A$5001,0)))</f>
        <v/>
      </c>
      <c r="N2466" s="48" t="str">
        <f aca="false">IF($A2466="","",IF(N(M2466)=0,"–",IF(M2466&lt;=Start!$D$20,"A",IF(M2466&lt;=Start!$D$21,"B","C"))))</f>
        <v/>
      </c>
      <c r="O2466" s="48" t="str">
        <f aca="false">IF($A2466="","",IF(NOT(ISNUMBER(F2466)),"Wert fehlt; ",IF(F2466&lt;=0,"Wert ist 0; ",""))&amp;IF(NOT(ISNUMBER(E2466)),"Bestand fehlt; ",IF(E2466&lt;0,"Bestand negativ; ",IF(E2466=0,"Nullbestand; ","")))&amp;IF(D2466="","Warengruppe fehlt; ","")&amp;IF(B2466="","Bezeichnung fehlt; ","")&amp;IF(COUNTIFS($A$2:$A$5001,$A2466,$C$2:$C$5001,C2466)&gt;1,"Artikel doppelt im selben Lager; ",""))</f>
        <v/>
      </c>
      <c r="P2466" s="47" t="n">
        <f aca="false">IF(OR($A2466="",D2466=""),0,IF(COUNTIF($D$2:D2466,D2466)=1,SUMIF($D$2:$D$5001,D2466,$H$2:$H$5001)+ROW()/10000000,0))</f>
        <v>0</v>
      </c>
      <c r="Q2466" s="47" t="n">
        <f aca="false">IF(OR($A2466="",C2466=""),0,IF(COUNTIF($C$2:C2466,C2466)=1,SUMIF($C$2:$C$5001,C2466,$H$2:$H$5001)+ROW()/10000000,0))</f>
        <v>0</v>
      </c>
    </row>
    <row r="2467" customFormat="false" ht="15" hidden="false" customHeight="false" outlineLevel="0" collapsed="false">
      <c r="A2467" s="43"/>
      <c r="B2467" s="44"/>
      <c r="C2467" s="44"/>
      <c r="D2467" s="44"/>
      <c r="E2467" s="44"/>
      <c r="F2467" s="44"/>
      <c r="G2467" s="44"/>
      <c r="H2467" s="46" t="str">
        <f aca="false">IF($A2467="","",IF(OR(NOT(ISNUMBER(E2467)),NOT(ISNUMBER(F2467))),"",MAX(0,E2467)*F2467))</f>
        <v/>
      </c>
      <c r="I2467" s="46" t="str">
        <f aca="false">IF($A2467="","",SUMIF($A$2:$A$5001,$A2467,$H$2:$H$5001))</f>
        <v/>
      </c>
      <c r="J2467" s="47" t="n">
        <f aca="false">IF($A2467="",0,IF(COUNTIF($A$2:A2467,$A2467)=1,1,0))</f>
        <v>0</v>
      </c>
      <c r="K2467" s="47" t="n">
        <f aca="false">IF(J2467=1,N(I2467)+ROW()/10000000,0)</f>
        <v>0</v>
      </c>
      <c r="L2467" s="47" t="str">
        <f aca="false">IF(AND(J2467=1,N(I2467)&gt;0),SUMIF($K$2:$K$5001,"&gt;="&amp;K2467,$I$2:$I$5001)/MAX(1,SUM($H$2:$H$5001)),"")</f>
        <v/>
      </c>
      <c r="M2467" s="47" t="str">
        <f aca="false">IF($A2467="","",INDEX($L$2:$L$5001,MATCH($A2467,$A$2:$A$5001,0)))</f>
        <v/>
      </c>
      <c r="N2467" s="48" t="str">
        <f aca="false">IF($A2467="","",IF(N(M2467)=0,"–",IF(M2467&lt;=Start!$D$20,"A",IF(M2467&lt;=Start!$D$21,"B","C"))))</f>
        <v/>
      </c>
      <c r="O2467" s="48" t="str">
        <f aca="false">IF($A2467="","",IF(NOT(ISNUMBER(F2467)),"Wert fehlt; ",IF(F2467&lt;=0,"Wert ist 0; ",""))&amp;IF(NOT(ISNUMBER(E2467)),"Bestand fehlt; ",IF(E2467&lt;0,"Bestand negativ; ",IF(E2467=0,"Nullbestand; ","")))&amp;IF(D2467="","Warengruppe fehlt; ","")&amp;IF(B2467="","Bezeichnung fehlt; ","")&amp;IF(COUNTIFS($A$2:$A$5001,$A2467,$C$2:$C$5001,C2467)&gt;1,"Artikel doppelt im selben Lager; ",""))</f>
        <v/>
      </c>
      <c r="P2467" s="47" t="n">
        <f aca="false">IF(OR($A2467="",D2467=""),0,IF(COUNTIF($D$2:D2467,D2467)=1,SUMIF($D$2:$D$5001,D2467,$H$2:$H$5001)+ROW()/10000000,0))</f>
        <v>0</v>
      </c>
      <c r="Q2467" s="47" t="n">
        <f aca="false">IF(OR($A2467="",C2467=""),0,IF(COUNTIF($C$2:C2467,C2467)=1,SUMIF($C$2:$C$5001,C2467,$H$2:$H$5001)+ROW()/10000000,0))</f>
        <v>0</v>
      </c>
    </row>
    <row r="2468" customFormat="false" ht="15" hidden="false" customHeight="false" outlineLevel="0" collapsed="false">
      <c r="A2468" s="43"/>
      <c r="B2468" s="44"/>
      <c r="C2468" s="44"/>
      <c r="D2468" s="44"/>
      <c r="E2468" s="44"/>
      <c r="F2468" s="44"/>
      <c r="G2468" s="44"/>
      <c r="H2468" s="46" t="str">
        <f aca="false">IF($A2468="","",IF(OR(NOT(ISNUMBER(E2468)),NOT(ISNUMBER(F2468))),"",MAX(0,E2468)*F2468))</f>
        <v/>
      </c>
      <c r="I2468" s="46" t="str">
        <f aca="false">IF($A2468="","",SUMIF($A$2:$A$5001,$A2468,$H$2:$H$5001))</f>
        <v/>
      </c>
      <c r="J2468" s="47" t="n">
        <f aca="false">IF($A2468="",0,IF(COUNTIF($A$2:A2468,$A2468)=1,1,0))</f>
        <v>0</v>
      </c>
      <c r="K2468" s="47" t="n">
        <f aca="false">IF(J2468=1,N(I2468)+ROW()/10000000,0)</f>
        <v>0</v>
      </c>
      <c r="L2468" s="47" t="str">
        <f aca="false">IF(AND(J2468=1,N(I2468)&gt;0),SUMIF($K$2:$K$5001,"&gt;="&amp;K2468,$I$2:$I$5001)/MAX(1,SUM($H$2:$H$5001)),"")</f>
        <v/>
      </c>
      <c r="M2468" s="47" t="str">
        <f aca="false">IF($A2468="","",INDEX($L$2:$L$5001,MATCH($A2468,$A$2:$A$5001,0)))</f>
        <v/>
      </c>
      <c r="N2468" s="48" t="str">
        <f aca="false">IF($A2468="","",IF(N(M2468)=0,"–",IF(M2468&lt;=Start!$D$20,"A",IF(M2468&lt;=Start!$D$21,"B","C"))))</f>
        <v/>
      </c>
      <c r="O2468" s="48" t="str">
        <f aca="false">IF($A2468="","",IF(NOT(ISNUMBER(F2468)),"Wert fehlt; ",IF(F2468&lt;=0,"Wert ist 0; ",""))&amp;IF(NOT(ISNUMBER(E2468)),"Bestand fehlt; ",IF(E2468&lt;0,"Bestand negativ; ",IF(E2468=0,"Nullbestand; ","")))&amp;IF(D2468="","Warengruppe fehlt; ","")&amp;IF(B2468="","Bezeichnung fehlt; ","")&amp;IF(COUNTIFS($A$2:$A$5001,$A2468,$C$2:$C$5001,C2468)&gt;1,"Artikel doppelt im selben Lager; ",""))</f>
        <v/>
      </c>
      <c r="P2468" s="47" t="n">
        <f aca="false">IF(OR($A2468="",D2468=""),0,IF(COUNTIF($D$2:D2468,D2468)=1,SUMIF($D$2:$D$5001,D2468,$H$2:$H$5001)+ROW()/10000000,0))</f>
        <v>0</v>
      </c>
      <c r="Q2468" s="47" t="n">
        <f aca="false">IF(OR($A2468="",C2468=""),0,IF(COUNTIF($C$2:C2468,C2468)=1,SUMIF($C$2:$C$5001,C2468,$H$2:$H$5001)+ROW()/10000000,0))</f>
        <v>0</v>
      </c>
    </row>
    <row r="2469" customFormat="false" ht="15" hidden="false" customHeight="false" outlineLevel="0" collapsed="false">
      <c r="A2469" s="43"/>
      <c r="B2469" s="44"/>
      <c r="C2469" s="44"/>
      <c r="D2469" s="44"/>
      <c r="E2469" s="44"/>
      <c r="F2469" s="44"/>
      <c r="G2469" s="44"/>
      <c r="H2469" s="46" t="str">
        <f aca="false">IF($A2469="","",IF(OR(NOT(ISNUMBER(E2469)),NOT(ISNUMBER(F2469))),"",MAX(0,E2469)*F2469))</f>
        <v/>
      </c>
      <c r="I2469" s="46" t="str">
        <f aca="false">IF($A2469="","",SUMIF($A$2:$A$5001,$A2469,$H$2:$H$5001))</f>
        <v/>
      </c>
      <c r="J2469" s="47" t="n">
        <f aca="false">IF($A2469="",0,IF(COUNTIF($A$2:A2469,$A2469)=1,1,0))</f>
        <v>0</v>
      </c>
      <c r="K2469" s="47" t="n">
        <f aca="false">IF(J2469=1,N(I2469)+ROW()/10000000,0)</f>
        <v>0</v>
      </c>
      <c r="L2469" s="47" t="str">
        <f aca="false">IF(AND(J2469=1,N(I2469)&gt;0),SUMIF($K$2:$K$5001,"&gt;="&amp;K2469,$I$2:$I$5001)/MAX(1,SUM($H$2:$H$5001)),"")</f>
        <v/>
      </c>
      <c r="M2469" s="47" t="str">
        <f aca="false">IF($A2469="","",INDEX($L$2:$L$5001,MATCH($A2469,$A$2:$A$5001,0)))</f>
        <v/>
      </c>
      <c r="N2469" s="48" t="str">
        <f aca="false">IF($A2469="","",IF(N(M2469)=0,"–",IF(M2469&lt;=Start!$D$20,"A",IF(M2469&lt;=Start!$D$21,"B","C"))))</f>
        <v/>
      </c>
      <c r="O2469" s="48" t="str">
        <f aca="false">IF($A2469="","",IF(NOT(ISNUMBER(F2469)),"Wert fehlt; ",IF(F2469&lt;=0,"Wert ist 0; ",""))&amp;IF(NOT(ISNUMBER(E2469)),"Bestand fehlt; ",IF(E2469&lt;0,"Bestand negativ; ",IF(E2469=0,"Nullbestand; ","")))&amp;IF(D2469="","Warengruppe fehlt; ","")&amp;IF(B2469="","Bezeichnung fehlt; ","")&amp;IF(COUNTIFS($A$2:$A$5001,$A2469,$C$2:$C$5001,C2469)&gt;1,"Artikel doppelt im selben Lager; ",""))</f>
        <v/>
      </c>
      <c r="P2469" s="47" t="n">
        <f aca="false">IF(OR($A2469="",D2469=""),0,IF(COUNTIF($D$2:D2469,D2469)=1,SUMIF($D$2:$D$5001,D2469,$H$2:$H$5001)+ROW()/10000000,0))</f>
        <v>0</v>
      </c>
      <c r="Q2469" s="47" t="n">
        <f aca="false">IF(OR($A2469="",C2469=""),0,IF(COUNTIF($C$2:C2469,C2469)=1,SUMIF($C$2:$C$5001,C2469,$H$2:$H$5001)+ROW()/10000000,0))</f>
        <v>0</v>
      </c>
    </row>
    <row r="2470" customFormat="false" ht="15" hidden="false" customHeight="false" outlineLevel="0" collapsed="false">
      <c r="A2470" s="43"/>
      <c r="B2470" s="44"/>
      <c r="C2470" s="44"/>
      <c r="D2470" s="44"/>
      <c r="E2470" s="44"/>
      <c r="F2470" s="44"/>
      <c r="G2470" s="44"/>
      <c r="H2470" s="46" t="str">
        <f aca="false">IF($A2470="","",IF(OR(NOT(ISNUMBER(E2470)),NOT(ISNUMBER(F2470))),"",MAX(0,E2470)*F2470))</f>
        <v/>
      </c>
      <c r="I2470" s="46" t="str">
        <f aca="false">IF($A2470="","",SUMIF($A$2:$A$5001,$A2470,$H$2:$H$5001))</f>
        <v/>
      </c>
      <c r="J2470" s="47" t="n">
        <f aca="false">IF($A2470="",0,IF(COUNTIF($A$2:A2470,$A2470)=1,1,0))</f>
        <v>0</v>
      </c>
      <c r="K2470" s="47" t="n">
        <f aca="false">IF(J2470=1,N(I2470)+ROW()/10000000,0)</f>
        <v>0</v>
      </c>
      <c r="L2470" s="47" t="str">
        <f aca="false">IF(AND(J2470=1,N(I2470)&gt;0),SUMIF($K$2:$K$5001,"&gt;="&amp;K2470,$I$2:$I$5001)/MAX(1,SUM($H$2:$H$5001)),"")</f>
        <v/>
      </c>
      <c r="M2470" s="47" t="str">
        <f aca="false">IF($A2470="","",INDEX($L$2:$L$5001,MATCH($A2470,$A$2:$A$5001,0)))</f>
        <v/>
      </c>
      <c r="N2470" s="48" t="str">
        <f aca="false">IF($A2470="","",IF(N(M2470)=0,"–",IF(M2470&lt;=Start!$D$20,"A",IF(M2470&lt;=Start!$D$21,"B","C"))))</f>
        <v/>
      </c>
      <c r="O2470" s="48" t="str">
        <f aca="false">IF($A2470="","",IF(NOT(ISNUMBER(F2470)),"Wert fehlt; ",IF(F2470&lt;=0,"Wert ist 0; ",""))&amp;IF(NOT(ISNUMBER(E2470)),"Bestand fehlt; ",IF(E2470&lt;0,"Bestand negativ; ",IF(E2470=0,"Nullbestand; ","")))&amp;IF(D2470="","Warengruppe fehlt; ","")&amp;IF(B2470="","Bezeichnung fehlt; ","")&amp;IF(COUNTIFS($A$2:$A$5001,$A2470,$C$2:$C$5001,C2470)&gt;1,"Artikel doppelt im selben Lager; ",""))</f>
        <v/>
      </c>
      <c r="P2470" s="47" t="n">
        <f aca="false">IF(OR($A2470="",D2470=""),0,IF(COUNTIF($D$2:D2470,D2470)=1,SUMIF($D$2:$D$5001,D2470,$H$2:$H$5001)+ROW()/10000000,0))</f>
        <v>0</v>
      </c>
      <c r="Q2470" s="47" t="n">
        <f aca="false">IF(OR($A2470="",C2470=""),0,IF(COUNTIF($C$2:C2470,C2470)=1,SUMIF($C$2:$C$5001,C2470,$H$2:$H$5001)+ROW()/10000000,0))</f>
        <v>0</v>
      </c>
    </row>
    <row r="2471" customFormat="false" ht="15" hidden="false" customHeight="false" outlineLevel="0" collapsed="false">
      <c r="A2471" s="43"/>
      <c r="B2471" s="44"/>
      <c r="C2471" s="44"/>
      <c r="D2471" s="44"/>
      <c r="E2471" s="44"/>
      <c r="F2471" s="44"/>
      <c r="G2471" s="44"/>
      <c r="H2471" s="46" t="str">
        <f aca="false">IF($A2471="","",IF(OR(NOT(ISNUMBER(E2471)),NOT(ISNUMBER(F2471))),"",MAX(0,E2471)*F2471))</f>
        <v/>
      </c>
      <c r="I2471" s="46" t="str">
        <f aca="false">IF($A2471="","",SUMIF($A$2:$A$5001,$A2471,$H$2:$H$5001))</f>
        <v/>
      </c>
      <c r="J2471" s="47" t="n">
        <f aca="false">IF($A2471="",0,IF(COUNTIF($A$2:A2471,$A2471)=1,1,0))</f>
        <v>0</v>
      </c>
      <c r="K2471" s="47" t="n">
        <f aca="false">IF(J2471=1,N(I2471)+ROW()/10000000,0)</f>
        <v>0</v>
      </c>
      <c r="L2471" s="47" t="str">
        <f aca="false">IF(AND(J2471=1,N(I2471)&gt;0),SUMIF($K$2:$K$5001,"&gt;="&amp;K2471,$I$2:$I$5001)/MAX(1,SUM($H$2:$H$5001)),"")</f>
        <v/>
      </c>
      <c r="M2471" s="47" t="str">
        <f aca="false">IF($A2471="","",INDEX($L$2:$L$5001,MATCH($A2471,$A$2:$A$5001,0)))</f>
        <v/>
      </c>
      <c r="N2471" s="48" t="str">
        <f aca="false">IF($A2471="","",IF(N(M2471)=0,"–",IF(M2471&lt;=Start!$D$20,"A",IF(M2471&lt;=Start!$D$21,"B","C"))))</f>
        <v/>
      </c>
      <c r="O2471" s="48" t="str">
        <f aca="false">IF($A2471="","",IF(NOT(ISNUMBER(F2471)),"Wert fehlt; ",IF(F2471&lt;=0,"Wert ist 0; ",""))&amp;IF(NOT(ISNUMBER(E2471)),"Bestand fehlt; ",IF(E2471&lt;0,"Bestand negativ; ",IF(E2471=0,"Nullbestand; ","")))&amp;IF(D2471="","Warengruppe fehlt; ","")&amp;IF(B2471="","Bezeichnung fehlt; ","")&amp;IF(COUNTIFS($A$2:$A$5001,$A2471,$C$2:$C$5001,C2471)&gt;1,"Artikel doppelt im selben Lager; ",""))</f>
        <v/>
      </c>
      <c r="P2471" s="47" t="n">
        <f aca="false">IF(OR($A2471="",D2471=""),0,IF(COUNTIF($D$2:D2471,D2471)=1,SUMIF($D$2:$D$5001,D2471,$H$2:$H$5001)+ROW()/10000000,0))</f>
        <v>0</v>
      </c>
      <c r="Q2471" s="47" t="n">
        <f aca="false">IF(OR($A2471="",C2471=""),0,IF(COUNTIF($C$2:C2471,C2471)=1,SUMIF($C$2:$C$5001,C2471,$H$2:$H$5001)+ROW()/10000000,0))</f>
        <v>0</v>
      </c>
    </row>
    <row r="2472" customFormat="false" ht="15" hidden="false" customHeight="false" outlineLevel="0" collapsed="false">
      <c r="A2472" s="43"/>
      <c r="B2472" s="44"/>
      <c r="C2472" s="44"/>
      <c r="D2472" s="44"/>
      <c r="E2472" s="44"/>
      <c r="F2472" s="44"/>
      <c r="G2472" s="44"/>
      <c r="H2472" s="46" t="str">
        <f aca="false">IF($A2472="","",IF(OR(NOT(ISNUMBER(E2472)),NOT(ISNUMBER(F2472))),"",MAX(0,E2472)*F2472))</f>
        <v/>
      </c>
      <c r="I2472" s="46" t="str">
        <f aca="false">IF($A2472="","",SUMIF($A$2:$A$5001,$A2472,$H$2:$H$5001))</f>
        <v/>
      </c>
      <c r="J2472" s="47" t="n">
        <f aca="false">IF($A2472="",0,IF(COUNTIF($A$2:A2472,$A2472)=1,1,0))</f>
        <v>0</v>
      </c>
      <c r="K2472" s="47" t="n">
        <f aca="false">IF(J2472=1,N(I2472)+ROW()/10000000,0)</f>
        <v>0</v>
      </c>
      <c r="L2472" s="47" t="str">
        <f aca="false">IF(AND(J2472=1,N(I2472)&gt;0),SUMIF($K$2:$K$5001,"&gt;="&amp;K2472,$I$2:$I$5001)/MAX(1,SUM($H$2:$H$5001)),"")</f>
        <v/>
      </c>
      <c r="M2472" s="47" t="str">
        <f aca="false">IF($A2472="","",INDEX($L$2:$L$5001,MATCH($A2472,$A$2:$A$5001,0)))</f>
        <v/>
      </c>
      <c r="N2472" s="48" t="str">
        <f aca="false">IF($A2472="","",IF(N(M2472)=0,"–",IF(M2472&lt;=Start!$D$20,"A",IF(M2472&lt;=Start!$D$21,"B","C"))))</f>
        <v/>
      </c>
      <c r="O2472" s="48" t="str">
        <f aca="false">IF($A2472="","",IF(NOT(ISNUMBER(F2472)),"Wert fehlt; ",IF(F2472&lt;=0,"Wert ist 0; ",""))&amp;IF(NOT(ISNUMBER(E2472)),"Bestand fehlt; ",IF(E2472&lt;0,"Bestand negativ; ",IF(E2472=0,"Nullbestand; ","")))&amp;IF(D2472="","Warengruppe fehlt; ","")&amp;IF(B2472="","Bezeichnung fehlt; ","")&amp;IF(COUNTIFS($A$2:$A$5001,$A2472,$C$2:$C$5001,C2472)&gt;1,"Artikel doppelt im selben Lager; ",""))</f>
        <v/>
      </c>
      <c r="P2472" s="47" t="n">
        <f aca="false">IF(OR($A2472="",D2472=""),0,IF(COUNTIF($D$2:D2472,D2472)=1,SUMIF($D$2:$D$5001,D2472,$H$2:$H$5001)+ROW()/10000000,0))</f>
        <v>0</v>
      </c>
      <c r="Q2472" s="47" t="n">
        <f aca="false">IF(OR($A2472="",C2472=""),0,IF(COUNTIF($C$2:C2472,C2472)=1,SUMIF($C$2:$C$5001,C2472,$H$2:$H$5001)+ROW()/10000000,0))</f>
        <v>0</v>
      </c>
    </row>
    <row r="2473" customFormat="false" ht="15" hidden="false" customHeight="false" outlineLevel="0" collapsed="false">
      <c r="A2473" s="43"/>
      <c r="B2473" s="44"/>
      <c r="C2473" s="44"/>
      <c r="D2473" s="44"/>
      <c r="E2473" s="44"/>
      <c r="F2473" s="44"/>
      <c r="G2473" s="44"/>
      <c r="H2473" s="46" t="str">
        <f aca="false">IF($A2473="","",IF(OR(NOT(ISNUMBER(E2473)),NOT(ISNUMBER(F2473))),"",MAX(0,E2473)*F2473))</f>
        <v/>
      </c>
      <c r="I2473" s="46" t="str">
        <f aca="false">IF($A2473="","",SUMIF($A$2:$A$5001,$A2473,$H$2:$H$5001))</f>
        <v/>
      </c>
      <c r="J2473" s="47" t="n">
        <f aca="false">IF($A2473="",0,IF(COUNTIF($A$2:A2473,$A2473)=1,1,0))</f>
        <v>0</v>
      </c>
      <c r="K2473" s="47" t="n">
        <f aca="false">IF(J2473=1,N(I2473)+ROW()/10000000,0)</f>
        <v>0</v>
      </c>
      <c r="L2473" s="47" t="str">
        <f aca="false">IF(AND(J2473=1,N(I2473)&gt;0),SUMIF($K$2:$K$5001,"&gt;="&amp;K2473,$I$2:$I$5001)/MAX(1,SUM($H$2:$H$5001)),"")</f>
        <v/>
      </c>
      <c r="M2473" s="47" t="str">
        <f aca="false">IF($A2473="","",INDEX($L$2:$L$5001,MATCH($A2473,$A$2:$A$5001,0)))</f>
        <v/>
      </c>
      <c r="N2473" s="48" t="str">
        <f aca="false">IF($A2473="","",IF(N(M2473)=0,"–",IF(M2473&lt;=Start!$D$20,"A",IF(M2473&lt;=Start!$D$21,"B","C"))))</f>
        <v/>
      </c>
      <c r="O2473" s="48" t="str">
        <f aca="false">IF($A2473="","",IF(NOT(ISNUMBER(F2473)),"Wert fehlt; ",IF(F2473&lt;=0,"Wert ist 0; ",""))&amp;IF(NOT(ISNUMBER(E2473)),"Bestand fehlt; ",IF(E2473&lt;0,"Bestand negativ; ",IF(E2473=0,"Nullbestand; ","")))&amp;IF(D2473="","Warengruppe fehlt; ","")&amp;IF(B2473="","Bezeichnung fehlt; ","")&amp;IF(COUNTIFS($A$2:$A$5001,$A2473,$C$2:$C$5001,C2473)&gt;1,"Artikel doppelt im selben Lager; ",""))</f>
        <v/>
      </c>
      <c r="P2473" s="47" t="n">
        <f aca="false">IF(OR($A2473="",D2473=""),0,IF(COUNTIF($D$2:D2473,D2473)=1,SUMIF($D$2:$D$5001,D2473,$H$2:$H$5001)+ROW()/10000000,0))</f>
        <v>0</v>
      </c>
      <c r="Q2473" s="47" t="n">
        <f aca="false">IF(OR($A2473="",C2473=""),0,IF(COUNTIF($C$2:C2473,C2473)=1,SUMIF($C$2:$C$5001,C2473,$H$2:$H$5001)+ROW()/10000000,0))</f>
        <v>0</v>
      </c>
    </row>
    <row r="2474" customFormat="false" ht="15" hidden="false" customHeight="false" outlineLevel="0" collapsed="false">
      <c r="A2474" s="43"/>
      <c r="B2474" s="44"/>
      <c r="C2474" s="44"/>
      <c r="D2474" s="44"/>
      <c r="E2474" s="44"/>
      <c r="F2474" s="44"/>
      <c r="G2474" s="44"/>
      <c r="H2474" s="46" t="str">
        <f aca="false">IF($A2474="","",IF(OR(NOT(ISNUMBER(E2474)),NOT(ISNUMBER(F2474))),"",MAX(0,E2474)*F2474))</f>
        <v/>
      </c>
      <c r="I2474" s="46" t="str">
        <f aca="false">IF($A2474="","",SUMIF($A$2:$A$5001,$A2474,$H$2:$H$5001))</f>
        <v/>
      </c>
      <c r="J2474" s="47" t="n">
        <f aca="false">IF($A2474="",0,IF(COUNTIF($A$2:A2474,$A2474)=1,1,0))</f>
        <v>0</v>
      </c>
      <c r="K2474" s="47" t="n">
        <f aca="false">IF(J2474=1,N(I2474)+ROW()/10000000,0)</f>
        <v>0</v>
      </c>
      <c r="L2474" s="47" t="str">
        <f aca="false">IF(AND(J2474=1,N(I2474)&gt;0),SUMIF($K$2:$K$5001,"&gt;="&amp;K2474,$I$2:$I$5001)/MAX(1,SUM($H$2:$H$5001)),"")</f>
        <v/>
      </c>
      <c r="M2474" s="47" t="str">
        <f aca="false">IF($A2474="","",INDEX($L$2:$L$5001,MATCH($A2474,$A$2:$A$5001,0)))</f>
        <v/>
      </c>
      <c r="N2474" s="48" t="str">
        <f aca="false">IF($A2474="","",IF(N(M2474)=0,"–",IF(M2474&lt;=Start!$D$20,"A",IF(M2474&lt;=Start!$D$21,"B","C"))))</f>
        <v/>
      </c>
      <c r="O2474" s="48" t="str">
        <f aca="false">IF($A2474="","",IF(NOT(ISNUMBER(F2474)),"Wert fehlt; ",IF(F2474&lt;=0,"Wert ist 0; ",""))&amp;IF(NOT(ISNUMBER(E2474)),"Bestand fehlt; ",IF(E2474&lt;0,"Bestand negativ; ",IF(E2474=0,"Nullbestand; ","")))&amp;IF(D2474="","Warengruppe fehlt; ","")&amp;IF(B2474="","Bezeichnung fehlt; ","")&amp;IF(COUNTIFS($A$2:$A$5001,$A2474,$C$2:$C$5001,C2474)&gt;1,"Artikel doppelt im selben Lager; ",""))</f>
        <v/>
      </c>
      <c r="P2474" s="47" t="n">
        <f aca="false">IF(OR($A2474="",D2474=""),0,IF(COUNTIF($D$2:D2474,D2474)=1,SUMIF($D$2:$D$5001,D2474,$H$2:$H$5001)+ROW()/10000000,0))</f>
        <v>0</v>
      </c>
      <c r="Q2474" s="47" t="n">
        <f aca="false">IF(OR($A2474="",C2474=""),0,IF(COUNTIF($C$2:C2474,C2474)=1,SUMIF($C$2:$C$5001,C2474,$H$2:$H$5001)+ROW()/10000000,0))</f>
        <v>0</v>
      </c>
    </row>
    <row r="2475" customFormat="false" ht="15" hidden="false" customHeight="false" outlineLevel="0" collapsed="false">
      <c r="A2475" s="43"/>
      <c r="B2475" s="44"/>
      <c r="C2475" s="44"/>
      <c r="D2475" s="44"/>
      <c r="E2475" s="44"/>
      <c r="F2475" s="44"/>
      <c r="G2475" s="44"/>
      <c r="H2475" s="46" t="str">
        <f aca="false">IF($A2475="","",IF(OR(NOT(ISNUMBER(E2475)),NOT(ISNUMBER(F2475))),"",MAX(0,E2475)*F2475))</f>
        <v/>
      </c>
      <c r="I2475" s="46" t="str">
        <f aca="false">IF($A2475="","",SUMIF($A$2:$A$5001,$A2475,$H$2:$H$5001))</f>
        <v/>
      </c>
      <c r="J2475" s="47" t="n">
        <f aca="false">IF($A2475="",0,IF(COUNTIF($A$2:A2475,$A2475)=1,1,0))</f>
        <v>0</v>
      </c>
      <c r="K2475" s="47" t="n">
        <f aca="false">IF(J2475=1,N(I2475)+ROW()/10000000,0)</f>
        <v>0</v>
      </c>
      <c r="L2475" s="47" t="str">
        <f aca="false">IF(AND(J2475=1,N(I2475)&gt;0),SUMIF($K$2:$K$5001,"&gt;="&amp;K2475,$I$2:$I$5001)/MAX(1,SUM($H$2:$H$5001)),"")</f>
        <v/>
      </c>
      <c r="M2475" s="47" t="str">
        <f aca="false">IF($A2475="","",INDEX($L$2:$L$5001,MATCH($A2475,$A$2:$A$5001,0)))</f>
        <v/>
      </c>
      <c r="N2475" s="48" t="str">
        <f aca="false">IF($A2475="","",IF(N(M2475)=0,"–",IF(M2475&lt;=Start!$D$20,"A",IF(M2475&lt;=Start!$D$21,"B","C"))))</f>
        <v/>
      </c>
      <c r="O2475" s="48" t="str">
        <f aca="false">IF($A2475="","",IF(NOT(ISNUMBER(F2475)),"Wert fehlt; ",IF(F2475&lt;=0,"Wert ist 0; ",""))&amp;IF(NOT(ISNUMBER(E2475)),"Bestand fehlt; ",IF(E2475&lt;0,"Bestand negativ; ",IF(E2475=0,"Nullbestand; ","")))&amp;IF(D2475="","Warengruppe fehlt; ","")&amp;IF(B2475="","Bezeichnung fehlt; ","")&amp;IF(COUNTIFS($A$2:$A$5001,$A2475,$C$2:$C$5001,C2475)&gt;1,"Artikel doppelt im selben Lager; ",""))</f>
        <v/>
      </c>
      <c r="P2475" s="47" t="n">
        <f aca="false">IF(OR($A2475="",D2475=""),0,IF(COUNTIF($D$2:D2475,D2475)=1,SUMIF($D$2:$D$5001,D2475,$H$2:$H$5001)+ROW()/10000000,0))</f>
        <v>0</v>
      </c>
      <c r="Q2475" s="47" t="n">
        <f aca="false">IF(OR($A2475="",C2475=""),0,IF(COUNTIF($C$2:C2475,C2475)=1,SUMIF($C$2:$C$5001,C2475,$H$2:$H$5001)+ROW()/10000000,0))</f>
        <v>0</v>
      </c>
    </row>
    <row r="2476" customFormat="false" ht="15" hidden="false" customHeight="false" outlineLevel="0" collapsed="false">
      <c r="A2476" s="43"/>
      <c r="B2476" s="44"/>
      <c r="C2476" s="44"/>
      <c r="D2476" s="44"/>
      <c r="E2476" s="44"/>
      <c r="F2476" s="44"/>
      <c r="G2476" s="44"/>
      <c r="H2476" s="46" t="str">
        <f aca="false">IF($A2476="","",IF(OR(NOT(ISNUMBER(E2476)),NOT(ISNUMBER(F2476))),"",MAX(0,E2476)*F2476))</f>
        <v/>
      </c>
      <c r="I2476" s="46" t="str">
        <f aca="false">IF($A2476="","",SUMIF($A$2:$A$5001,$A2476,$H$2:$H$5001))</f>
        <v/>
      </c>
      <c r="J2476" s="47" t="n">
        <f aca="false">IF($A2476="",0,IF(COUNTIF($A$2:A2476,$A2476)=1,1,0))</f>
        <v>0</v>
      </c>
      <c r="K2476" s="47" t="n">
        <f aca="false">IF(J2476=1,N(I2476)+ROW()/10000000,0)</f>
        <v>0</v>
      </c>
      <c r="L2476" s="47" t="str">
        <f aca="false">IF(AND(J2476=1,N(I2476)&gt;0),SUMIF($K$2:$K$5001,"&gt;="&amp;K2476,$I$2:$I$5001)/MAX(1,SUM($H$2:$H$5001)),"")</f>
        <v/>
      </c>
      <c r="M2476" s="47" t="str">
        <f aca="false">IF($A2476="","",INDEX($L$2:$L$5001,MATCH($A2476,$A$2:$A$5001,0)))</f>
        <v/>
      </c>
      <c r="N2476" s="48" t="str">
        <f aca="false">IF($A2476="","",IF(N(M2476)=0,"–",IF(M2476&lt;=Start!$D$20,"A",IF(M2476&lt;=Start!$D$21,"B","C"))))</f>
        <v/>
      </c>
      <c r="O2476" s="48" t="str">
        <f aca="false">IF($A2476="","",IF(NOT(ISNUMBER(F2476)),"Wert fehlt; ",IF(F2476&lt;=0,"Wert ist 0; ",""))&amp;IF(NOT(ISNUMBER(E2476)),"Bestand fehlt; ",IF(E2476&lt;0,"Bestand negativ; ",IF(E2476=0,"Nullbestand; ","")))&amp;IF(D2476="","Warengruppe fehlt; ","")&amp;IF(B2476="","Bezeichnung fehlt; ","")&amp;IF(COUNTIFS($A$2:$A$5001,$A2476,$C$2:$C$5001,C2476)&gt;1,"Artikel doppelt im selben Lager; ",""))</f>
        <v/>
      </c>
      <c r="P2476" s="47" t="n">
        <f aca="false">IF(OR($A2476="",D2476=""),0,IF(COUNTIF($D$2:D2476,D2476)=1,SUMIF($D$2:$D$5001,D2476,$H$2:$H$5001)+ROW()/10000000,0))</f>
        <v>0</v>
      </c>
      <c r="Q2476" s="47" t="n">
        <f aca="false">IF(OR($A2476="",C2476=""),0,IF(COUNTIF($C$2:C2476,C2476)=1,SUMIF($C$2:$C$5001,C2476,$H$2:$H$5001)+ROW()/10000000,0))</f>
        <v>0</v>
      </c>
    </row>
    <row r="2477" customFormat="false" ht="15" hidden="false" customHeight="false" outlineLevel="0" collapsed="false">
      <c r="A2477" s="43"/>
      <c r="B2477" s="44"/>
      <c r="C2477" s="44"/>
      <c r="D2477" s="44"/>
      <c r="E2477" s="44"/>
      <c r="F2477" s="44"/>
      <c r="G2477" s="44"/>
      <c r="H2477" s="46" t="str">
        <f aca="false">IF($A2477="","",IF(OR(NOT(ISNUMBER(E2477)),NOT(ISNUMBER(F2477))),"",MAX(0,E2477)*F2477))</f>
        <v/>
      </c>
      <c r="I2477" s="46" t="str">
        <f aca="false">IF($A2477="","",SUMIF($A$2:$A$5001,$A2477,$H$2:$H$5001))</f>
        <v/>
      </c>
      <c r="J2477" s="47" t="n">
        <f aca="false">IF($A2477="",0,IF(COUNTIF($A$2:A2477,$A2477)=1,1,0))</f>
        <v>0</v>
      </c>
      <c r="K2477" s="47" t="n">
        <f aca="false">IF(J2477=1,N(I2477)+ROW()/10000000,0)</f>
        <v>0</v>
      </c>
      <c r="L2477" s="47" t="str">
        <f aca="false">IF(AND(J2477=1,N(I2477)&gt;0),SUMIF($K$2:$K$5001,"&gt;="&amp;K2477,$I$2:$I$5001)/MAX(1,SUM($H$2:$H$5001)),"")</f>
        <v/>
      </c>
      <c r="M2477" s="47" t="str">
        <f aca="false">IF($A2477="","",INDEX($L$2:$L$5001,MATCH($A2477,$A$2:$A$5001,0)))</f>
        <v/>
      </c>
      <c r="N2477" s="48" t="str">
        <f aca="false">IF($A2477="","",IF(N(M2477)=0,"–",IF(M2477&lt;=Start!$D$20,"A",IF(M2477&lt;=Start!$D$21,"B","C"))))</f>
        <v/>
      </c>
      <c r="O2477" s="48" t="str">
        <f aca="false">IF($A2477="","",IF(NOT(ISNUMBER(F2477)),"Wert fehlt; ",IF(F2477&lt;=0,"Wert ist 0; ",""))&amp;IF(NOT(ISNUMBER(E2477)),"Bestand fehlt; ",IF(E2477&lt;0,"Bestand negativ; ",IF(E2477=0,"Nullbestand; ","")))&amp;IF(D2477="","Warengruppe fehlt; ","")&amp;IF(B2477="","Bezeichnung fehlt; ","")&amp;IF(COUNTIFS($A$2:$A$5001,$A2477,$C$2:$C$5001,C2477)&gt;1,"Artikel doppelt im selben Lager; ",""))</f>
        <v/>
      </c>
      <c r="P2477" s="47" t="n">
        <f aca="false">IF(OR($A2477="",D2477=""),0,IF(COUNTIF($D$2:D2477,D2477)=1,SUMIF($D$2:$D$5001,D2477,$H$2:$H$5001)+ROW()/10000000,0))</f>
        <v>0</v>
      </c>
      <c r="Q2477" s="47" t="n">
        <f aca="false">IF(OR($A2477="",C2477=""),0,IF(COUNTIF($C$2:C2477,C2477)=1,SUMIF($C$2:$C$5001,C2477,$H$2:$H$5001)+ROW()/10000000,0))</f>
        <v>0</v>
      </c>
    </row>
    <row r="2478" customFormat="false" ht="15" hidden="false" customHeight="false" outlineLevel="0" collapsed="false">
      <c r="A2478" s="43"/>
      <c r="B2478" s="44"/>
      <c r="C2478" s="44"/>
      <c r="D2478" s="44"/>
      <c r="E2478" s="44"/>
      <c r="F2478" s="44"/>
      <c r="G2478" s="44"/>
      <c r="H2478" s="46" t="str">
        <f aca="false">IF($A2478="","",IF(OR(NOT(ISNUMBER(E2478)),NOT(ISNUMBER(F2478))),"",MAX(0,E2478)*F2478))</f>
        <v/>
      </c>
      <c r="I2478" s="46" t="str">
        <f aca="false">IF($A2478="","",SUMIF($A$2:$A$5001,$A2478,$H$2:$H$5001))</f>
        <v/>
      </c>
      <c r="J2478" s="47" t="n">
        <f aca="false">IF($A2478="",0,IF(COUNTIF($A$2:A2478,$A2478)=1,1,0))</f>
        <v>0</v>
      </c>
      <c r="K2478" s="47" t="n">
        <f aca="false">IF(J2478=1,N(I2478)+ROW()/10000000,0)</f>
        <v>0</v>
      </c>
      <c r="L2478" s="47" t="str">
        <f aca="false">IF(AND(J2478=1,N(I2478)&gt;0),SUMIF($K$2:$K$5001,"&gt;="&amp;K2478,$I$2:$I$5001)/MAX(1,SUM($H$2:$H$5001)),"")</f>
        <v/>
      </c>
      <c r="M2478" s="47" t="str">
        <f aca="false">IF($A2478="","",INDEX($L$2:$L$5001,MATCH($A2478,$A$2:$A$5001,0)))</f>
        <v/>
      </c>
      <c r="N2478" s="48" t="str">
        <f aca="false">IF($A2478="","",IF(N(M2478)=0,"–",IF(M2478&lt;=Start!$D$20,"A",IF(M2478&lt;=Start!$D$21,"B","C"))))</f>
        <v/>
      </c>
      <c r="O2478" s="48" t="str">
        <f aca="false">IF($A2478="","",IF(NOT(ISNUMBER(F2478)),"Wert fehlt; ",IF(F2478&lt;=0,"Wert ist 0; ",""))&amp;IF(NOT(ISNUMBER(E2478)),"Bestand fehlt; ",IF(E2478&lt;0,"Bestand negativ; ",IF(E2478=0,"Nullbestand; ","")))&amp;IF(D2478="","Warengruppe fehlt; ","")&amp;IF(B2478="","Bezeichnung fehlt; ","")&amp;IF(COUNTIFS($A$2:$A$5001,$A2478,$C$2:$C$5001,C2478)&gt;1,"Artikel doppelt im selben Lager; ",""))</f>
        <v/>
      </c>
      <c r="P2478" s="47" t="n">
        <f aca="false">IF(OR($A2478="",D2478=""),0,IF(COUNTIF($D$2:D2478,D2478)=1,SUMIF($D$2:$D$5001,D2478,$H$2:$H$5001)+ROW()/10000000,0))</f>
        <v>0</v>
      </c>
      <c r="Q2478" s="47" t="n">
        <f aca="false">IF(OR($A2478="",C2478=""),0,IF(COUNTIF($C$2:C2478,C2478)=1,SUMIF($C$2:$C$5001,C2478,$H$2:$H$5001)+ROW()/10000000,0))</f>
        <v>0</v>
      </c>
    </row>
    <row r="2479" customFormat="false" ht="15" hidden="false" customHeight="false" outlineLevel="0" collapsed="false">
      <c r="A2479" s="43"/>
      <c r="B2479" s="44"/>
      <c r="C2479" s="44"/>
      <c r="D2479" s="44"/>
      <c r="E2479" s="44"/>
      <c r="F2479" s="44"/>
      <c r="G2479" s="44"/>
      <c r="H2479" s="46" t="str">
        <f aca="false">IF($A2479="","",IF(OR(NOT(ISNUMBER(E2479)),NOT(ISNUMBER(F2479))),"",MAX(0,E2479)*F2479))</f>
        <v/>
      </c>
      <c r="I2479" s="46" t="str">
        <f aca="false">IF($A2479="","",SUMIF($A$2:$A$5001,$A2479,$H$2:$H$5001))</f>
        <v/>
      </c>
      <c r="J2479" s="47" t="n">
        <f aca="false">IF($A2479="",0,IF(COUNTIF($A$2:A2479,$A2479)=1,1,0))</f>
        <v>0</v>
      </c>
      <c r="K2479" s="47" t="n">
        <f aca="false">IF(J2479=1,N(I2479)+ROW()/10000000,0)</f>
        <v>0</v>
      </c>
      <c r="L2479" s="47" t="str">
        <f aca="false">IF(AND(J2479=1,N(I2479)&gt;0),SUMIF($K$2:$K$5001,"&gt;="&amp;K2479,$I$2:$I$5001)/MAX(1,SUM($H$2:$H$5001)),"")</f>
        <v/>
      </c>
      <c r="M2479" s="47" t="str">
        <f aca="false">IF($A2479="","",INDEX($L$2:$L$5001,MATCH($A2479,$A$2:$A$5001,0)))</f>
        <v/>
      </c>
      <c r="N2479" s="48" t="str">
        <f aca="false">IF($A2479="","",IF(N(M2479)=0,"–",IF(M2479&lt;=Start!$D$20,"A",IF(M2479&lt;=Start!$D$21,"B","C"))))</f>
        <v/>
      </c>
      <c r="O2479" s="48" t="str">
        <f aca="false">IF($A2479="","",IF(NOT(ISNUMBER(F2479)),"Wert fehlt; ",IF(F2479&lt;=0,"Wert ist 0; ",""))&amp;IF(NOT(ISNUMBER(E2479)),"Bestand fehlt; ",IF(E2479&lt;0,"Bestand negativ; ",IF(E2479=0,"Nullbestand; ","")))&amp;IF(D2479="","Warengruppe fehlt; ","")&amp;IF(B2479="","Bezeichnung fehlt; ","")&amp;IF(COUNTIFS($A$2:$A$5001,$A2479,$C$2:$C$5001,C2479)&gt;1,"Artikel doppelt im selben Lager; ",""))</f>
        <v/>
      </c>
      <c r="P2479" s="47" t="n">
        <f aca="false">IF(OR($A2479="",D2479=""),0,IF(COUNTIF($D$2:D2479,D2479)=1,SUMIF($D$2:$D$5001,D2479,$H$2:$H$5001)+ROW()/10000000,0))</f>
        <v>0</v>
      </c>
      <c r="Q2479" s="47" t="n">
        <f aca="false">IF(OR($A2479="",C2479=""),0,IF(COUNTIF($C$2:C2479,C2479)=1,SUMIF($C$2:$C$5001,C2479,$H$2:$H$5001)+ROW()/10000000,0))</f>
        <v>0</v>
      </c>
    </row>
    <row r="2480" customFormat="false" ht="15" hidden="false" customHeight="false" outlineLevel="0" collapsed="false">
      <c r="A2480" s="43"/>
      <c r="B2480" s="44"/>
      <c r="C2480" s="44"/>
      <c r="D2480" s="44"/>
      <c r="E2480" s="44"/>
      <c r="F2480" s="44"/>
      <c r="G2480" s="44"/>
      <c r="H2480" s="46" t="str">
        <f aca="false">IF($A2480="","",IF(OR(NOT(ISNUMBER(E2480)),NOT(ISNUMBER(F2480))),"",MAX(0,E2480)*F2480))</f>
        <v/>
      </c>
      <c r="I2480" s="46" t="str">
        <f aca="false">IF($A2480="","",SUMIF($A$2:$A$5001,$A2480,$H$2:$H$5001))</f>
        <v/>
      </c>
      <c r="J2480" s="47" t="n">
        <f aca="false">IF($A2480="",0,IF(COUNTIF($A$2:A2480,$A2480)=1,1,0))</f>
        <v>0</v>
      </c>
      <c r="K2480" s="47" t="n">
        <f aca="false">IF(J2480=1,N(I2480)+ROW()/10000000,0)</f>
        <v>0</v>
      </c>
      <c r="L2480" s="47" t="str">
        <f aca="false">IF(AND(J2480=1,N(I2480)&gt;0),SUMIF($K$2:$K$5001,"&gt;="&amp;K2480,$I$2:$I$5001)/MAX(1,SUM($H$2:$H$5001)),"")</f>
        <v/>
      </c>
      <c r="M2480" s="47" t="str">
        <f aca="false">IF($A2480="","",INDEX($L$2:$L$5001,MATCH($A2480,$A$2:$A$5001,0)))</f>
        <v/>
      </c>
      <c r="N2480" s="48" t="str">
        <f aca="false">IF($A2480="","",IF(N(M2480)=0,"–",IF(M2480&lt;=Start!$D$20,"A",IF(M2480&lt;=Start!$D$21,"B","C"))))</f>
        <v/>
      </c>
      <c r="O2480" s="48" t="str">
        <f aca="false">IF($A2480="","",IF(NOT(ISNUMBER(F2480)),"Wert fehlt; ",IF(F2480&lt;=0,"Wert ist 0; ",""))&amp;IF(NOT(ISNUMBER(E2480)),"Bestand fehlt; ",IF(E2480&lt;0,"Bestand negativ; ",IF(E2480=0,"Nullbestand; ","")))&amp;IF(D2480="","Warengruppe fehlt; ","")&amp;IF(B2480="","Bezeichnung fehlt; ","")&amp;IF(COUNTIFS($A$2:$A$5001,$A2480,$C$2:$C$5001,C2480)&gt;1,"Artikel doppelt im selben Lager; ",""))</f>
        <v/>
      </c>
      <c r="P2480" s="47" t="n">
        <f aca="false">IF(OR($A2480="",D2480=""),0,IF(COUNTIF($D$2:D2480,D2480)=1,SUMIF($D$2:$D$5001,D2480,$H$2:$H$5001)+ROW()/10000000,0))</f>
        <v>0</v>
      </c>
      <c r="Q2480" s="47" t="n">
        <f aca="false">IF(OR($A2480="",C2480=""),0,IF(COUNTIF($C$2:C2480,C2480)=1,SUMIF($C$2:$C$5001,C2480,$H$2:$H$5001)+ROW()/10000000,0))</f>
        <v>0</v>
      </c>
    </row>
    <row r="2481" customFormat="false" ht="15" hidden="false" customHeight="false" outlineLevel="0" collapsed="false">
      <c r="A2481" s="43"/>
      <c r="B2481" s="44"/>
      <c r="C2481" s="44"/>
      <c r="D2481" s="44"/>
      <c r="E2481" s="44"/>
      <c r="F2481" s="44"/>
      <c r="G2481" s="44"/>
      <c r="H2481" s="46" t="str">
        <f aca="false">IF($A2481="","",IF(OR(NOT(ISNUMBER(E2481)),NOT(ISNUMBER(F2481))),"",MAX(0,E2481)*F2481))</f>
        <v/>
      </c>
      <c r="I2481" s="46" t="str">
        <f aca="false">IF($A2481="","",SUMIF($A$2:$A$5001,$A2481,$H$2:$H$5001))</f>
        <v/>
      </c>
      <c r="J2481" s="47" t="n">
        <f aca="false">IF($A2481="",0,IF(COUNTIF($A$2:A2481,$A2481)=1,1,0))</f>
        <v>0</v>
      </c>
      <c r="K2481" s="47" t="n">
        <f aca="false">IF(J2481=1,N(I2481)+ROW()/10000000,0)</f>
        <v>0</v>
      </c>
      <c r="L2481" s="47" t="str">
        <f aca="false">IF(AND(J2481=1,N(I2481)&gt;0),SUMIF($K$2:$K$5001,"&gt;="&amp;K2481,$I$2:$I$5001)/MAX(1,SUM($H$2:$H$5001)),"")</f>
        <v/>
      </c>
      <c r="M2481" s="47" t="str">
        <f aca="false">IF($A2481="","",INDEX($L$2:$L$5001,MATCH($A2481,$A$2:$A$5001,0)))</f>
        <v/>
      </c>
      <c r="N2481" s="48" t="str">
        <f aca="false">IF($A2481="","",IF(N(M2481)=0,"–",IF(M2481&lt;=Start!$D$20,"A",IF(M2481&lt;=Start!$D$21,"B","C"))))</f>
        <v/>
      </c>
      <c r="O2481" s="48" t="str">
        <f aca="false">IF($A2481="","",IF(NOT(ISNUMBER(F2481)),"Wert fehlt; ",IF(F2481&lt;=0,"Wert ist 0; ",""))&amp;IF(NOT(ISNUMBER(E2481)),"Bestand fehlt; ",IF(E2481&lt;0,"Bestand negativ; ",IF(E2481=0,"Nullbestand; ","")))&amp;IF(D2481="","Warengruppe fehlt; ","")&amp;IF(B2481="","Bezeichnung fehlt; ","")&amp;IF(COUNTIFS($A$2:$A$5001,$A2481,$C$2:$C$5001,C2481)&gt;1,"Artikel doppelt im selben Lager; ",""))</f>
        <v/>
      </c>
      <c r="P2481" s="47" t="n">
        <f aca="false">IF(OR($A2481="",D2481=""),0,IF(COUNTIF($D$2:D2481,D2481)=1,SUMIF($D$2:$D$5001,D2481,$H$2:$H$5001)+ROW()/10000000,0))</f>
        <v>0</v>
      </c>
      <c r="Q2481" s="47" t="n">
        <f aca="false">IF(OR($A2481="",C2481=""),0,IF(COUNTIF($C$2:C2481,C2481)=1,SUMIF($C$2:$C$5001,C2481,$H$2:$H$5001)+ROW()/10000000,0))</f>
        <v>0</v>
      </c>
    </row>
    <row r="2482" customFormat="false" ht="15" hidden="false" customHeight="false" outlineLevel="0" collapsed="false">
      <c r="A2482" s="43"/>
      <c r="B2482" s="44"/>
      <c r="C2482" s="44"/>
      <c r="D2482" s="44"/>
      <c r="E2482" s="44"/>
      <c r="F2482" s="44"/>
      <c r="G2482" s="44"/>
      <c r="H2482" s="46" t="str">
        <f aca="false">IF($A2482="","",IF(OR(NOT(ISNUMBER(E2482)),NOT(ISNUMBER(F2482))),"",MAX(0,E2482)*F2482))</f>
        <v/>
      </c>
      <c r="I2482" s="46" t="str">
        <f aca="false">IF($A2482="","",SUMIF($A$2:$A$5001,$A2482,$H$2:$H$5001))</f>
        <v/>
      </c>
      <c r="J2482" s="47" t="n">
        <f aca="false">IF($A2482="",0,IF(COUNTIF($A$2:A2482,$A2482)=1,1,0))</f>
        <v>0</v>
      </c>
      <c r="K2482" s="47" t="n">
        <f aca="false">IF(J2482=1,N(I2482)+ROW()/10000000,0)</f>
        <v>0</v>
      </c>
      <c r="L2482" s="47" t="str">
        <f aca="false">IF(AND(J2482=1,N(I2482)&gt;0),SUMIF($K$2:$K$5001,"&gt;="&amp;K2482,$I$2:$I$5001)/MAX(1,SUM($H$2:$H$5001)),"")</f>
        <v/>
      </c>
      <c r="M2482" s="47" t="str">
        <f aca="false">IF($A2482="","",INDEX($L$2:$L$5001,MATCH($A2482,$A$2:$A$5001,0)))</f>
        <v/>
      </c>
      <c r="N2482" s="48" t="str">
        <f aca="false">IF($A2482="","",IF(N(M2482)=0,"–",IF(M2482&lt;=Start!$D$20,"A",IF(M2482&lt;=Start!$D$21,"B","C"))))</f>
        <v/>
      </c>
      <c r="O2482" s="48" t="str">
        <f aca="false">IF($A2482="","",IF(NOT(ISNUMBER(F2482)),"Wert fehlt; ",IF(F2482&lt;=0,"Wert ist 0; ",""))&amp;IF(NOT(ISNUMBER(E2482)),"Bestand fehlt; ",IF(E2482&lt;0,"Bestand negativ; ",IF(E2482=0,"Nullbestand; ","")))&amp;IF(D2482="","Warengruppe fehlt; ","")&amp;IF(B2482="","Bezeichnung fehlt; ","")&amp;IF(COUNTIFS($A$2:$A$5001,$A2482,$C$2:$C$5001,C2482)&gt;1,"Artikel doppelt im selben Lager; ",""))</f>
        <v/>
      </c>
      <c r="P2482" s="47" t="n">
        <f aca="false">IF(OR($A2482="",D2482=""),0,IF(COUNTIF($D$2:D2482,D2482)=1,SUMIF($D$2:$D$5001,D2482,$H$2:$H$5001)+ROW()/10000000,0))</f>
        <v>0</v>
      </c>
      <c r="Q2482" s="47" t="n">
        <f aca="false">IF(OR($A2482="",C2482=""),0,IF(COUNTIF($C$2:C2482,C2482)=1,SUMIF($C$2:$C$5001,C2482,$H$2:$H$5001)+ROW()/10000000,0))</f>
        <v>0</v>
      </c>
    </row>
    <row r="2483" customFormat="false" ht="15" hidden="false" customHeight="false" outlineLevel="0" collapsed="false">
      <c r="A2483" s="43"/>
      <c r="B2483" s="44"/>
      <c r="C2483" s="44"/>
      <c r="D2483" s="44"/>
      <c r="E2483" s="44"/>
      <c r="F2483" s="44"/>
      <c r="G2483" s="44"/>
      <c r="H2483" s="46" t="str">
        <f aca="false">IF($A2483="","",IF(OR(NOT(ISNUMBER(E2483)),NOT(ISNUMBER(F2483))),"",MAX(0,E2483)*F2483))</f>
        <v/>
      </c>
      <c r="I2483" s="46" t="str">
        <f aca="false">IF($A2483="","",SUMIF($A$2:$A$5001,$A2483,$H$2:$H$5001))</f>
        <v/>
      </c>
      <c r="J2483" s="47" t="n">
        <f aca="false">IF($A2483="",0,IF(COUNTIF($A$2:A2483,$A2483)=1,1,0))</f>
        <v>0</v>
      </c>
      <c r="K2483" s="47" t="n">
        <f aca="false">IF(J2483=1,N(I2483)+ROW()/10000000,0)</f>
        <v>0</v>
      </c>
      <c r="L2483" s="47" t="str">
        <f aca="false">IF(AND(J2483=1,N(I2483)&gt;0),SUMIF($K$2:$K$5001,"&gt;="&amp;K2483,$I$2:$I$5001)/MAX(1,SUM($H$2:$H$5001)),"")</f>
        <v/>
      </c>
      <c r="M2483" s="47" t="str">
        <f aca="false">IF($A2483="","",INDEX($L$2:$L$5001,MATCH($A2483,$A$2:$A$5001,0)))</f>
        <v/>
      </c>
      <c r="N2483" s="48" t="str">
        <f aca="false">IF($A2483="","",IF(N(M2483)=0,"–",IF(M2483&lt;=Start!$D$20,"A",IF(M2483&lt;=Start!$D$21,"B","C"))))</f>
        <v/>
      </c>
      <c r="O2483" s="48" t="str">
        <f aca="false">IF($A2483="","",IF(NOT(ISNUMBER(F2483)),"Wert fehlt; ",IF(F2483&lt;=0,"Wert ist 0; ",""))&amp;IF(NOT(ISNUMBER(E2483)),"Bestand fehlt; ",IF(E2483&lt;0,"Bestand negativ; ",IF(E2483=0,"Nullbestand; ","")))&amp;IF(D2483="","Warengruppe fehlt; ","")&amp;IF(B2483="","Bezeichnung fehlt; ","")&amp;IF(COUNTIFS($A$2:$A$5001,$A2483,$C$2:$C$5001,C2483)&gt;1,"Artikel doppelt im selben Lager; ",""))</f>
        <v/>
      </c>
      <c r="P2483" s="47" t="n">
        <f aca="false">IF(OR($A2483="",D2483=""),0,IF(COUNTIF($D$2:D2483,D2483)=1,SUMIF($D$2:$D$5001,D2483,$H$2:$H$5001)+ROW()/10000000,0))</f>
        <v>0</v>
      </c>
      <c r="Q2483" s="47" t="n">
        <f aca="false">IF(OR($A2483="",C2483=""),0,IF(COUNTIF($C$2:C2483,C2483)=1,SUMIF($C$2:$C$5001,C2483,$H$2:$H$5001)+ROW()/10000000,0))</f>
        <v>0</v>
      </c>
    </row>
    <row r="2484" customFormat="false" ht="15" hidden="false" customHeight="false" outlineLevel="0" collapsed="false">
      <c r="A2484" s="43"/>
      <c r="B2484" s="44"/>
      <c r="C2484" s="44"/>
      <c r="D2484" s="44"/>
      <c r="E2484" s="44"/>
      <c r="F2484" s="44"/>
      <c r="G2484" s="44"/>
      <c r="H2484" s="46" t="str">
        <f aca="false">IF($A2484="","",IF(OR(NOT(ISNUMBER(E2484)),NOT(ISNUMBER(F2484))),"",MAX(0,E2484)*F2484))</f>
        <v/>
      </c>
      <c r="I2484" s="46" t="str">
        <f aca="false">IF($A2484="","",SUMIF($A$2:$A$5001,$A2484,$H$2:$H$5001))</f>
        <v/>
      </c>
      <c r="J2484" s="47" t="n">
        <f aca="false">IF($A2484="",0,IF(COUNTIF($A$2:A2484,$A2484)=1,1,0))</f>
        <v>0</v>
      </c>
      <c r="K2484" s="47" t="n">
        <f aca="false">IF(J2484=1,N(I2484)+ROW()/10000000,0)</f>
        <v>0</v>
      </c>
      <c r="L2484" s="47" t="str">
        <f aca="false">IF(AND(J2484=1,N(I2484)&gt;0),SUMIF($K$2:$K$5001,"&gt;="&amp;K2484,$I$2:$I$5001)/MAX(1,SUM($H$2:$H$5001)),"")</f>
        <v/>
      </c>
      <c r="M2484" s="47" t="str">
        <f aca="false">IF($A2484="","",INDEX($L$2:$L$5001,MATCH($A2484,$A$2:$A$5001,0)))</f>
        <v/>
      </c>
      <c r="N2484" s="48" t="str">
        <f aca="false">IF($A2484="","",IF(N(M2484)=0,"–",IF(M2484&lt;=Start!$D$20,"A",IF(M2484&lt;=Start!$D$21,"B","C"))))</f>
        <v/>
      </c>
      <c r="O2484" s="48" t="str">
        <f aca="false">IF($A2484="","",IF(NOT(ISNUMBER(F2484)),"Wert fehlt; ",IF(F2484&lt;=0,"Wert ist 0; ",""))&amp;IF(NOT(ISNUMBER(E2484)),"Bestand fehlt; ",IF(E2484&lt;0,"Bestand negativ; ",IF(E2484=0,"Nullbestand; ","")))&amp;IF(D2484="","Warengruppe fehlt; ","")&amp;IF(B2484="","Bezeichnung fehlt; ","")&amp;IF(COUNTIFS($A$2:$A$5001,$A2484,$C$2:$C$5001,C2484)&gt;1,"Artikel doppelt im selben Lager; ",""))</f>
        <v/>
      </c>
      <c r="P2484" s="47" t="n">
        <f aca="false">IF(OR($A2484="",D2484=""),0,IF(COUNTIF($D$2:D2484,D2484)=1,SUMIF($D$2:$D$5001,D2484,$H$2:$H$5001)+ROW()/10000000,0))</f>
        <v>0</v>
      </c>
      <c r="Q2484" s="47" t="n">
        <f aca="false">IF(OR($A2484="",C2484=""),0,IF(COUNTIF($C$2:C2484,C2484)=1,SUMIF($C$2:$C$5001,C2484,$H$2:$H$5001)+ROW()/10000000,0))</f>
        <v>0</v>
      </c>
    </row>
    <row r="2485" customFormat="false" ht="15" hidden="false" customHeight="false" outlineLevel="0" collapsed="false">
      <c r="A2485" s="43"/>
      <c r="B2485" s="44"/>
      <c r="C2485" s="44"/>
      <c r="D2485" s="44"/>
      <c r="E2485" s="44"/>
      <c r="F2485" s="44"/>
      <c r="G2485" s="44"/>
      <c r="H2485" s="46" t="str">
        <f aca="false">IF($A2485="","",IF(OR(NOT(ISNUMBER(E2485)),NOT(ISNUMBER(F2485))),"",MAX(0,E2485)*F2485))</f>
        <v/>
      </c>
      <c r="I2485" s="46" t="str">
        <f aca="false">IF($A2485="","",SUMIF($A$2:$A$5001,$A2485,$H$2:$H$5001))</f>
        <v/>
      </c>
      <c r="J2485" s="47" t="n">
        <f aca="false">IF($A2485="",0,IF(COUNTIF($A$2:A2485,$A2485)=1,1,0))</f>
        <v>0</v>
      </c>
      <c r="K2485" s="47" t="n">
        <f aca="false">IF(J2485=1,N(I2485)+ROW()/10000000,0)</f>
        <v>0</v>
      </c>
      <c r="L2485" s="47" t="str">
        <f aca="false">IF(AND(J2485=1,N(I2485)&gt;0),SUMIF($K$2:$K$5001,"&gt;="&amp;K2485,$I$2:$I$5001)/MAX(1,SUM($H$2:$H$5001)),"")</f>
        <v/>
      </c>
      <c r="M2485" s="47" t="str">
        <f aca="false">IF($A2485="","",INDEX($L$2:$L$5001,MATCH($A2485,$A$2:$A$5001,0)))</f>
        <v/>
      </c>
      <c r="N2485" s="48" t="str">
        <f aca="false">IF($A2485="","",IF(N(M2485)=0,"–",IF(M2485&lt;=Start!$D$20,"A",IF(M2485&lt;=Start!$D$21,"B","C"))))</f>
        <v/>
      </c>
      <c r="O2485" s="48" t="str">
        <f aca="false">IF($A2485="","",IF(NOT(ISNUMBER(F2485)),"Wert fehlt; ",IF(F2485&lt;=0,"Wert ist 0; ",""))&amp;IF(NOT(ISNUMBER(E2485)),"Bestand fehlt; ",IF(E2485&lt;0,"Bestand negativ; ",IF(E2485=0,"Nullbestand; ","")))&amp;IF(D2485="","Warengruppe fehlt; ","")&amp;IF(B2485="","Bezeichnung fehlt; ","")&amp;IF(COUNTIFS($A$2:$A$5001,$A2485,$C$2:$C$5001,C2485)&gt;1,"Artikel doppelt im selben Lager; ",""))</f>
        <v/>
      </c>
      <c r="P2485" s="47" t="n">
        <f aca="false">IF(OR($A2485="",D2485=""),0,IF(COUNTIF($D$2:D2485,D2485)=1,SUMIF($D$2:$D$5001,D2485,$H$2:$H$5001)+ROW()/10000000,0))</f>
        <v>0</v>
      </c>
      <c r="Q2485" s="47" t="n">
        <f aca="false">IF(OR($A2485="",C2485=""),0,IF(COUNTIF($C$2:C2485,C2485)=1,SUMIF($C$2:$C$5001,C2485,$H$2:$H$5001)+ROW()/10000000,0))</f>
        <v>0</v>
      </c>
    </row>
    <row r="2486" customFormat="false" ht="15" hidden="false" customHeight="false" outlineLevel="0" collapsed="false">
      <c r="A2486" s="43"/>
      <c r="B2486" s="44"/>
      <c r="C2486" s="44"/>
      <c r="D2486" s="44"/>
      <c r="E2486" s="44"/>
      <c r="F2486" s="44"/>
      <c r="G2486" s="44"/>
      <c r="H2486" s="46" t="str">
        <f aca="false">IF($A2486="","",IF(OR(NOT(ISNUMBER(E2486)),NOT(ISNUMBER(F2486))),"",MAX(0,E2486)*F2486))</f>
        <v/>
      </c>
      <c r="I2486" s="46" t="str">
        <f aca="false">IF($A2486="","",SUMIF($A$2:$A$5001,$A2486,$H$2:$H$5001))</f>
        <v/>
      </c>
      <c r="J2486" s="47" t="n">
        <f aca="false">IF($A2486="",0,IF(COUNTIF($A$2:A2486,$A2486)=1,1,0))</f>
        <v>0</v>
      </c>
      <c r="K2486" s="47" t="n">
        <f aca="false">IF(J2486=1,N(I2486)+ROW()/10000000,0)</f>
        <v>0</v>
      </c>
      <c r="L2486" s="47" t="str">
        <f aca="false">IF(AND(J2486=1,N(I2486)&gt;0),SUMIF($K$2:$K$5001,"&gt;="&amp;K2486,$I$2:$I$5001)/MAX(1,SUM($H$2:$H$5001)),"")</f>
        <v/>
      </c>
      <c r="M2486" s="47" t="str">
        <f aca="false">IF($A2486="","",INDEX($L$2:$L$5001,MATCH($A2486,$A$2:$A$5001,0)))</f>
        <v/>
      </c>
      <c r="N2486" s="48" t="str">
        <f aca="false">IF($A2486="","",IF(N(M2486)=0,"–",IF(M2486&lt;=Start!$D$20,"A",IF(M2486&lt;=Start!$D$21,"B","C"))))</f>
        <v/>
      </c>
      <c r="O2486" s="48" t="str">
        <f aca="false">IF($A2486="","",IF(NOT(ISNUMBER(F2486)),"Wert fehlt; ",IF(F2486&lt;=0,"Wert ist 0; ",""))&amp;IF(NOT(ISNUMBER(E2486)),"Bestand fehlt; ",IF(E2486&lt;0,"Bestand negativ; ",IF(E2486=0,"Nullbestand; ","")))&amp;IF(D2486="","Warengruppe fehlt; ","")&amp;IF(B2486="","Bezeichnung fehlt; ","")&amp;IF(COUNTIFS($A$2:$A$5001,$A2486,$C$2:$C$5001,C2486)&gt;1,"Artikel doppelt im selben Lager; ",""))</f>
        <v/>
      </c>
      <c r="P2486" s="47" t="n">
        <f aca="false">IF(OR($A2486="",D2486=""),0,IF(COUNTIF($D$2:D2486,D2486)=1,SUMIF($D$2:$D$5001,D2486,$H$2:$H$5001)+ROW()/10000000,0))</f>
        <v>0</v>
      </c>
      <c r="Q2486" s="47" t="n">
        <f aca="false">IF(OR($A2486="",C2486=""),0,IF(COUNTIF($C$2:C2486,C2486)=1,SUMIF($C$2:$C$5001,C2486,$H$2:$H$5001)+ROW()/10000000,0))</f>
        <v>0</v>
      </c>
    </row>
    <row r="2487" customFormat="false" ht="15" hidden="false" customHeight="false" outlineLevel="0" collapsed="false">
      <c r="A2487" s="43"/>
      <c r="B2487" s="44"/>
      <c r="C2487" s="44"/>
      <c r="D2487" s="44"/>
      <c r="E2487" s="44"/>
      <c r="F2487" s="44"/>
      <c r="G2487" s="44"/>
      <c r="H2487" s="46" t="str">
        <f aca="false">IF($A2487="","",IF(OR(NOT(ISNUMBER(E2487)),NOT(ISNUMBER(F2487))),"",MAX(0,E2487)*F2487))</f>
        <v/>
      </c>
      <c r="I2487" s="46" t="str">
        <f aca="false">IF($A2487="","",SUMIF($A$2:$A$5001,$A2487,$H$2:$H$5001))</f>
        <v/>
      </c>
      <c r="J2487" s="47" t="n">
        <f aca="false">IF($A2487="",0,IF(COUNTIF($A$2:A2487,$A2487)=1,1,0))</f>
        <v>0</v>
      </c>
      <c r="K2487" s="47" t="n">
        <f aca="false">IF(J2487=1,N(I2487)+ROW()/10000000,0)</f>
        <v>0</v>
      </c>
      <c r="L2487" s="47" t="str">
        <f aca="false">IF(AND(J2487=1,N(I2487)&gt;0),SUMIF($K$2:$K$5001,"&gt;="&amp;K2487,$I$2:$I$5001)/MAX(1,SUM($H$2:$H$5001)),"")</f>
        <v/>
      </c>
      <c r="M2487" s="47" t="str">
        <f aca="false">IF($A2487="","",INDEX($L$2:$L$5001,MATCH($A2487,$A$2:$A$5001,0)))</f>
        <v/>
      </c>
      <c r="N2487" s="48" t="str">
        <f aca="false">IF($A2487="","",IF(N(M2487)=0,"–",IF(M2487&lt;=Start!$D$20,"A",IF(M2487&lt;=Start!$D$21,"B","C"))))</f>
        <v/>
      </c>
      <c r="O2487" s="48" t="str">
        <f aca="false">IF($A2487="","",IF(NOT(ISNUMBER(F2487)),"Wert fehlt; ",IF(F2487&lt;=0,"Wert ist 0; ",""))&amp;IF(NOT(ISNUMBER(E2487)),"Bestand fehlt; ",IF(E2487&lt;0,"Bestand negativ; ",IF(E2487=0,"Nullbestand; ","")))&amp;IF(D2487="","Warengruppe fehlt; ","")&amp;IF(B2487="","Bezeichnung fehlt; ","")&amp;IF(COUNTIFS($A$2:$A$5001,$A2487,$C$2:$C$5001,C2487)&gt;1,"Artikel doppelt im selben Lager; ",""))</f>
        <v/>
      </c>
      <c r="P2487" s="47" t="n">
        <f aca="false">IF(OR($A2487="",D2487=""),0,IF(COUNTIF($D$2:D2487,D2487)=1,SUMIF($D$2:$D$5001,D2487,$H$2:$H$5001)+ROW()/10000000,0))</f>
        <v>0</v>
      </c>
      <c r="Q2487" s="47" t="n">
        <f aca="false">IF(OR($A2487="",C2487=""),0,IF(COUNTIF($C$2:C2487,C2487)=1,SUMIF($C$2:$C$5001,C2487,$H$2:$H$5001)+ROW()/10000000,0))</f>
        <v>0</v>
      </c>
    </row>
    <row r="2488" customFormat="false" ht="15" hidden="false" customHeight="false" outlineLevel="0" collapsed="false">
      <c r="A2488" s="43"/>
      <c r="B2488" s="44"/>
      <c r="C2488" s="44"/>
      <c r="D2488" s="44"/>
      <c r="E2488" s="44"/>
      <c r="F2488" s="44"/>
      <c r="G2488" s="44"/>
      <c r="H2488" s="46" t="str">
        <f aca="false">IF($A2488="","",IF(OR(NOT(ISNUMBER(E2488)),NOT(ISNUMBER(F2488))),"",MAX(0,E2488)*F2488))</f>
        <v/>
      </c>
      <c r="I2488" s="46" t="str">
        <f aca="false">IF($A2488="","",SUMIF($A$2:$A$5001,$A2488,$H$2:$H$5001))</f>
        <v/>
      </c>
      <c r="J2488" s="47" t="n">
        <f aca="false">IF($A2488="",0,IF(COUNTIF($A$2:A2488,$A2488)=1,1,0))</f>
        <v>0</v>
      </c>
      <c r="K2488" s="47" t="n">
        <f aca="false">IF(J2488=1,N(I2488)+ROW()/10000000,0)</f>
        <v>0</v>
      </c>
      <c r="L2488" s="47" t="str">
        <f aca="false">IF(AND(J2488=1,N(I2488)&gt;0),SUMIF($K$2:$K$5001,"&gt;="&amp;K2488,$I$2:$I$5001)/MAX(1,SUM($H$2:$H$5001)),"")</f>
        <v/>
      </c>
      <c r="M2488" s="47" t="str">
        <f aca="false">IF($A2488="","",INDEX($L$2:$L$5001,MATCH($A2488,$A$2:$A$5001,0)))</f>
        <v/>
      </c>
      <c r="N2488" s="48" t="str">
        <f aca="false">IF($A2488="","",IF(N(M2488)=0,"–",IF(M2488&lt;=Start!$D$20,"A",IF(M2488&lt;=Start!$D$21,"B","C"))))</f>
        <v/>
      </c>
      <c r="O2488" s="48" t="str">
        <f aca="false">IF($A2488="","",IF(NOT(ISNUMBER(F2488)),"Wert fehlt; ",IF(F2488&lt;=0,"Wert ist 0; ",""))&amp;IF(NOT(ISNUMBER(E2488)),"Bestand fehlt; ",IF(E2488&lt;0,"Bestand negativ; ",IF(E2488=0,"Nullbestand; ","")))&amp;IF(D2488="","Warengruppe fehlt; ","")&amp;IF(B2488="","Bezeichnung fehlt; ","")&amp;IF(COUNTIFS($A$2:$A$5001,$A2488,$C$2:$C$5001,C2488)&gt;1,"Artikel doppelt im selben Lager; ",""))</f>
        <v/>
      </c>
      <c r="P2488" s="47" t="n">
        <f aca="false">IF(OR($A2488="",D2488=""),0,IF(COUNTIF($D$2:D2488,D2488)=1,SUMIF($D$2:$D$5001,D2488,$H$2:$H$5001)+ROW()/10000000,0))</f>
        <v>0</v>
      </c>
      <c r="Q2488" s="47" t="n">
        <f aca="false">IF(OR($A2488="",C2488=""),0,IF(COUNTIF($C$2:C2488,C2488)=1,SUMIF($C$2:$C$5001,C2488,$H$2:$H$5001)+ROW()/10000000,0))</f>
        <v>0</v>
      </c>
    </row>
    <row r="2489" customFormat="false" ht="15" hidden="false" customHeight="false" outlineLevel="0" collapsed="false">
      <c r="A2489" s="43"/>
      <c r="B2489" s="44"/>
      <c r="C2489" s="44"/>
      <c r="D2489" s="44"/>
      <c r="E2489" s="44"/>
      <c r="F2489" s="44"/>
      <c r="G2489" s="44"/>
      <c r="H2489" s="46" t="str">
        <f aca="false">IF($A2489="","",IF(OR(NOT(ISNUMBER(E2489)),NOT(ISNUMBER(F2489))),"",MAX(0,E2489)*F2489))</f>
        <v/>
      </c>
      <c r="I2489" s="46" t="str">
        <f aca="false">IF($A2489="","",SUMIF($A$2:$A$5001,$A2489,$H$2:$H$5001))</f>
        <v/>
      </c>
      <c r="J2489" s="47" t="n">
        <f aca="false">IF($A2489="",0,IF(COUNTIF($A$2:A2489,$A2489)=1,1,0))</f>
        <v>0</v>
      </c>
      <c r="K2489" s="47" t="n">
        <f aca="false">IF(J2489=1,N(I2489)+ROW()/10000000,0)</f>
        <v>0</v>
      </c>
      <c r="L2489" s="47" t="str">
        <f aca="false">IF(AND(J2489=1,N(I2489)&gt;0),SUMIF($K$2:$K$5001,"&gt;="&amp;K2489,$I$2:$I$5001)/MAX(1,SUM($H$2:$H$5001)),"")</f>
        <v/>
      </c>
      <c r="M2489" s="47" t="str">
        <f aca="false">IF($A2489="","",INDEX($L$2:$L$5001,MATCH($A2489,$A$2:$A$5001,0)))</f>
        <v/>
      </c>
      <c r="N2489" s="48" t="str">
        <f aca="false">IF($A2489="","",IF(N(M2489)=0,"–",IF(M2489&lt;=Start!$D$20,"A",IF(M2489&lt;=Start!$D$21,"B","C"))))</f>
        <v/>
      </c>
      <c r="O2489" s="48" t="str">
        <f aca="false">IF($A2489="","",IF(NOT(ISNUMBER(F2489)),"Wert fehlt; ",IF(F2489&lt;=0,"Wert ist 0; ",""))&amp;IF(NOT(ISNUMBER(E2489)),"Bestand fehlt; ",IF(E2489&lt;0,"Bestand negativ; ",IF(E2489=0,"Nullbestand; ","")))&amp;IF(D2489="","Warengruppe fehlt; ","")&amp;IF(B2489="","Bezeichnung fehlt; ","")&amp;IF(COUNTIFS($A$2:$A$5001,$A2489,$C$2:$C$5001,C2489)&gt;1,"Artikel doppelt im selben Lager; ",""))</f>
        <v/>
      </c>
      <c r="P2489" s="47" t="n">
        <f aca="false">IF(OR($A2489="",D2489=""),0,IF(COUNTIF($D$2:D2489,D2489)=1,SUMIF($D$2:$D$5001,D2489,$H$2:$H$5001)+ROW()/10000000,0))</f>
        <v>0</v>
      </c>
      <c r="Q2489" s="47" t="n">
        <f aca="false">IF(OR($A2489="",C2489=""),0,IF(COUNTIF($C$2:C2489,C2489)=1,SUMIF($C$2:$C$5001,C2489,$H$2:$H$5001)+ROW()/10000000,0))</f>
        <v>0</v>
      </c>
    </row>
    <row r="2490" customFormat="false" ht="15" hidden="false" customHeight="false" outlineLevel="0" collapsed="false">
      <c r="A2490" s="43"/>
      <c r="B2490" s="44"/>
      <c r="C2490" s="44"/>
      <c r="D2490" s="44"/>
      <c r="E2490" s="44"/>
      <c r="F2490" s="44"/>
      <c r="G2490" s="44"/>
      <c r="H2490" s="46" t="str">
        <f aca="false">IF($A2490="","",IF(OR(NOT(ISNUMBER(E2490)),NOT(ISNUMBER(F2490))),"",MAX(0,E2490)*F2490))</f>
        <v/>
      </c>
      <c r="I2490" s="46" t="str">
        <f aca="false">IF($A2490="","",SUMIF($A$2:$A$5001,$A2490,$H$2:$H$5001))</f>
        <v/>
      </c>
      <c r="J2490" s="47" t="n">
        <f aca="false">IF($A2490="",0,IF(COUNTIF($A$2:A2490,$A2490)=1,1,0))</f>
        <v>0</v>
      </c>
      <c r="K2490" s="47" t="n">
        <f aca="false">IF(J2490=1,N(I2490)+ROW()/10000000,0)</f>
        <v>0</v>
      </c>
      <c r="L2490" s="47" t="str">
        <f aca="false">IF(AND(J2490=1,N(I2490)&gt;0),SUMIF($K$2:$K$5001,"&gt;="&amp;K2490,$I$2:$I$5001)/MAX(1,SUM($H$2:$H$5001)),"")</f>
        <v/>
      </c>
      <c r="M2490" s="47" t="str">
        <f aca="false">IF($A2490="","",INDEX($L$2:$L$5001,MATCH($A2490,$A$2:$A$5001,0)))</f>
        <v/>
      </c>
      <c r="N2490" s="48" t="str">
        <f aca="false">IF($A2490="","",IF(N(M2490)=0,"–",IF(M2490&lt;=Start!$D$20,"A",IF(M2490&lt;=Start!$D$21,"B","C"))))</f>
        <v/>
      </c>
      <c r="O2490" s="48" t="str">
        <f aca="false">IF($A2490="","",IF(NOT(ISNUMBER(F2490)),"Wert fehlt; ",IF(F2490&lt;=0,"Wert ist 0; ",""))&amp;IF(NOT(ISNUMBER(E2490)),"Bestand fehlt; ",IF(E2490&lt;0,"Bestand negativ; ",IF(E2490=0,"Nullbestand; ","")))&amp;IF(D2490="","Warengruppe fehlt; ","")&amp;IF(B2490="","Bezeichnung fehlt; ","")&amp;IF(COUNTIFS($A$2:$A$5001,$A2490,$C$2:$C$5001,C2490)&gt;1,"Artikel doppelt im selben Lager; ",""))</f>
        <v/>
      </c>
      <c r="P2490" s="47" t="n">
        <f aca="false">IF(OR($A2490="",D2490=""),0,IF(COUNTIF($D$2:D2490,D2490)=1,SUMIF($D$2:$D$5001,D2490,$H$2:$H$5001)+ROW()/10000000,0))</f>
        <v>0</v>
      </c>
      <c r="Q2490" s="47" t="n">
        <f aca="false">IF(OR($A2490="",C2490=""),0,IF(COUNTIF($C$2:C2490,C2490)=1,SUMIF($C$2:$C$5001,C2490,$H$2:$H$5001)+ROW()/10000000,0))</f>
        <v>0</v>
      </c>
    </row>
    <row r="2491" customFormat="false" ht="15" hidden="false" customHeight="false" outlineLevel="0" collapsed="false">
      <c r="A2491" s="43"/>
      <c r="B2491" s="44"/>
      <c r="C2491" s="44"/>
      <c r="D2491" s="44"/>
      <c r="E2491" s="44"/>
      <c r="F2491" s="44"/>
      <c r="G2491" s="44"/>
      <c r="H2491" s="46" t="str">
        <f aca="false">IF($A2491="","",IF(OR(NOT(ISNUMBER(E2491)),NOT(ISNUMBER(F2491))),"",MAX(0,E2491)*F2491))</f>
        <v/>
      </c>
      <c r="I2491" s="46" t="str">
        <f aca="false">IF($A2491="","",SUMIF($A$2:$A$5001,$A2491,$H$2:$H$5001))</f>
        <v/>
      </c>
      <c r="J2491" s="47" t="n">
        <f aca="false">IF($A2491="",0,IF(COUNTIF($A$2:A2491,$A2491)=1,1,0))</f>
        <v>0</v>
      </c>
      <c r="K2491" s="47" t="n">
        <f aca="false">IF(J2491=1,N(I2491)+ROW()/10000000,0)</f>
        <v>0</v>
      </c>
      <c r="L2491" s="47" t="str">
        <f aca="false">IF(AND(J2491=1,N(I2491)&gt;0),SUMIF($K$2:$K$5001,"&gt;="&amp;K2491,$I$2:$I$5001)/MAX(1,SUM($H$2:$H$5001)),"")</f>
        <v/>
      </c>
      <c r="M2491" s="47" t="str">
        <f aca="false">IF($A2491="","",INDEX($L$2:$L$5001,MATCH($A2491,$A$2:$A$5001,0)))</f>
        <v/>
      </c>
      <c r="N2491" s="48" t="str">
        <f aca="false">IF($A2491="","",IF(N(M2491)=0,"–",IF(M2491&lt;=Start!$D$20,"A",IF(M2491&lt;=Start!$D$21,"B","C"))))</f>
        <v/>
      </c>
      <c r="O2491" s="48" t="str">
        <f aca="false">IF($A2491="","",IF(NOT(ISNUMBER(F2491)),"Wert fehlt; ",IF(F2491&lt;=0,"Wert ist 0; ",""))&amp;IF(NOT(ISNUMBER(E2491)),"Bestand fehlt; ",IF(E2491&lt;0,"Bestand negativ; ",IF(E2491=0,"Nullbestand; ","")))&amp;IF(D2491="","Warengruppe fehlt; ","")&amp;IF(B2491="","Bezeichnung fehlt; ","")&amp;IF(COUNTIFS($A$2:$A$5001,$A2491,$C$2:$C$5001,C2491)&gt;1,"Artikel doppelt im selben Lager; ",""))</f>
        <v/>
      </c>
      <c r="P2491" s="47" t="n">
        <f aca="false">IF(OR($A2491="",D2491=""),0,IF(COUNTIF($D$2:D2491,D2491)=1,SUMIF($D$2:$D$5001,D2491,$H$2:$H$5001)+ROW()/10000000,0))</f>
        <v>0</v>
      </c>
      <c r="Q2491" s="47" t="n">
        <f aca="false">IF(OR($A2491="",C2491=""),0,IF(COUNTIF($C$2:C2491,C2491)=1,SUMIF($C$2:$C$5001,C2491,$H$2:$H$5001)+ROW()/10000000,0))</f>
        <v>0</v>
      </c>
    </row>
    <row r="2492" customFormat="false" ht="15" hidden="false" customHeight="false" outlineLevel="0" collapsed="false">
      <c r="A2492" s="43"/>
      <c r="B2492" s="44"/>
      <c r="C2492" s="44"/>
      <c r="D2492" s="44"/>
      <c r="E2492" s="44"/>
      <c r="F2492" s="44"/>
      <c r="G2492" s="44"/>
      <c r="H2492" s="46" t="str">
        <f aca="false">IF($A2492="","",IF(OR(NOT(ISNUMBER(E2492)),NOT(ISNUMBER(F2492))),"",MAX(0,E2492)*F2492))</f>
        <v/>
      </c>
      <c r="I2492" s="46" t="str">
        <f aca="false">IF($A2492="","",SUMIF($A$2:$A$5001,$A2492,$H$2:$H$5001))</f>
        <v/>
      </c>
      <c r="J2492" s="47" t="n">
        <f aca="false">IF($A2492="",0,IF(COUNTIF($A$2:A2492,$A2492)=1,1,0))</f>
        <v>0</v>
      </c>
      <c r="K2492" s="47" t="n">
        <f aca="false">IF(J2492=1,N(I2492)+ROW()/10000000,0)</f>
        <v>0</v>
      </c>
      <c r="L2492" s="47" t="str">
        <f aca="false">IF(AND(J2492=1,N(I2492)&gt;0),SUMIF($K$2:$K$5001,"&gt;="&amp;K2492,$I$2:$I$5001)/MAX(1,SUM($H$2:$H$5001)),"")</f>
        <v/>
      </c>
      <c r="M2492" s="47" t="str">
        <f aca="false">IF($A2492="","",INDEX($L$2:$L$5001,MATCH($A2492,$A$2:$A$5001,0)))</f>
        <v/>
      </c>
      <c r="N2492" s="48" t="str">
        <f aca="false">IF($A2492="","",IF(N(M2492)=0,"–",IF(M2492&lt;=Start!$D$20,"A",IF(M2492&lt;=Start!$D$21,"B","C"))))</f>
        <v/>
      </c>
      <c r="O2492" s="48" t="str">
        <f aca="false">IF($A2492="","",IF(NOT(ISNUMBER(F2492)),"Wert fehlt; ",IF(F2492&lt;=0,"Wert ist 0; ",""))&amp;IF(NOT(ISNUMBER(E2492)),"Bestand fehlt; ",IF(E2492&lt;0,"Bestand negativ; ",IF(E2492=0,"Nullbestand; ","")))&amp;IF(D2492="","Warengruppe fehlt; ","")&amp;IF(B2492="","Bezeichnung fehlt; ","")&amp;IF(COUNTIFS($A$2:$A$5001,$A2492,$C$2:$C$5001,C2492)&gt;1,"Artikel doppelt im selben Lager; ",""))</f>
        <v/>
      </c>
      <c r="P2492" s="47" t="n">
        <f aca="false">IF(OR($A2492="",D2492=""),0,IF(COUNTIF($D$2:D2492,D2492)=1,SUMIF($D$2:$D$5001,D2492,$H$2:$H$5001)+ROW()/10000000,0))</f>
        <v>0</v>
      </c>
      <c r="Q2492" s="47" t="n">
        <f aca="false">IF(OR($A2492="",C2492=""),0,IF(COUNTIF($C$2:C2492,C2492)=1,SUMIF($C$2:$C$5001,C2492,$H$2:$H$5001)+ROW()/10000000,0))</f>
        <v>0</v>
      </c>
    </row>
    <row r="2493" customFormat="false" ht="15" hidden="false" customHeight="false" outlineLevel="0" collapsed="false">
      <c r="A2493" s="43"/>
      <c r="B2493" s="44"/>
      <c r="C2493" s="44"/>
      <c r="D2493" s="44"/>
      <c r="E2493" s="44"/>
      <c r="F2493" s="44"/>
      <c r="G2493" s="44"/>
      <c r="H2493" s="46" t="str">
        <f aca="false">IF($A2493="","",IF(OR(NOT(ISNUMBER(E2493)),NOT(ISNUMBER(F2493))),"",MAX(0,E2493)*F2493))</f>
        <v/>
      </c>
      <c r="I2493" s="46" t="str">
        <f aca="false">IF($A2493="","",SUMIF($A$2:$A$5001,$A2493,$H$2:$H$5001))</f>
        <v/>
      </c>
      <c r="J2493" s="47" t="n">
        <f aca="false">IF($A2493="",0,IF(COUNTIF($A$2:A2493,$A2493)=1,1,0))</f>
        <v>0</v>
      </c>
      <c r="K2493" s="47" t="n">
        <f aca="false">IF(J2493=1,N(I2493)+ROW()/10000000,0)</f>
        <v>0</v>
      </c>
      <c r="L2493" s="47" t="str">
        <f aca="false">IF(AND(J2493=1,N(I2493)&gt;0),SUMIF($K$2:$K$5001,"&gt;="&amp;K2493,$I$2:$I$5001)/MAX(1,SUM($H$2:$H$5001)),"")</f>
        <v/>
      </c>
      <c r="M2493" s="47" t="str">
        <f aca="false">IF($A2493="","",INDEX($L$2:$L$5001,MATCH($A2493,$A$2:$A$5001,0)))</f>
        <v/>
      </c>
      <c r="N2493" s="48" t="str">
        <f aca="false">IF($A2493="","",IF(N(M2493)=0,"–",IF(M2493&lt;=Start!$D$20,"A",IF(M2493&lt;=Start!$D$21,"B","C"))))</f>
        <v/>
      </c>
      <c r="O2493" s="48" t="str">
        <f aca="false">IF($A2493="","",IF(NOT(ISNUMBER(F2493)),"Wert fehlt; ",IF(F2493&lt;=0,"Wert ist 0; ",""))&amp;IF(NOT(ISNUMBER(E2493)),"Bestand fehlt; ",IF(E2493&lt;0,"Bestand negativ; ",IF(E2493=0,"Nullbestand; ","")))&amp;IF(D2493="","Warengruppe fehlt; ","")&amp;IF(B2493="","Bezeichnung fehlt; ","")&amp;IF(COUNTIFS($A$2:$A$5001,$A2493,$C$2:$C$5001,C2493)&gt;1,"Artikel doppelt im selben Lager; ",""))</f>
        <v/>
      </c>
      <c r="P2493" s="47" t="n">
        <f aca="false">IF(OR($A2493="",D2493=""),0,IF(COUNTIF($D$2:D2493,D2493)=1,SUMIF($D$2:$D$5001,D2493,$H$2:$H$5001)+ROW()/10000000,0))</f>
        <v>0</v>
      </c>
      <c r="Q2493" s="47" t="n">
        <f aca="false">IF(OR($A2493="",C2493=""),0,IF(COUNTIF($C$2:C2493,C2493)=1,SUMIF($C$2:$C$5001,C2493,$H$2:$H$5001)+ROW()/10000000,0))</f>
        <v>0</v>
      </c>
    </row>
    <row r="2494" customFormat="false" ht="15" hidden="false" customHeight="false" outlineLevel="0" collapsed="false">
      <c r="A2494" s="43"/>
      <c r="B2494" s="44"/>
      <c r="C2494" s="44"/>
      <c r="D2494" s="44"/>
      <c r="E2494" s="44"/>
      <c r="F2494" s="44"/>
      <c r="G2494" s="44"/>
      <c r="H2494" s="46" t="str">
        <f aca="false">IF($A2494="","",IF(OR(NOT(ISNUMBER(E2494)),NOT(ISNUMBER(F2494))),"",MAX(0,E2494)*F2494))</f>
        <v/>
      </c>
      <c r="I2494" s="46" t="str">
        <f aca="false">IF($A2494="","",SUMIF($A$2:$A$5001,$A2494,$H$2:$H$5001))</f>
        <v/>
      </c>
      <c r="J2494" s="47" t="n">
        <f aca="false">IF($A2494="",0,IF(COUNTIF($A$2:A2494,$A2494)=1,1,0))</f>
        <v>0</v>
      </c>
      <c r="K2494" s="47" t="n">
        <f aca="false">IF(J2494=1,N(I2494)+ROW()/10000000,0)</f>
        <v>0</v>
      </c>
      <c r="L2494" s="47" t="str">
        <f aca="false">IF(AND(J2494=1,N(I2494)&gt;0),SUMIF($K$2:$K$5001,"&gt;="&amp;K2494,$I$2:$I$5001)/MAX(1,SUM($H$2:$H$5001)),"")</f>
        <v/>
      </c>
      <c r="M2494" s="47" t="str">
        <f aca="false">IF($A2494="","",INDEX($L$2:$L$5001,MATCH($A2494,$A$2:$A$5001,0)))</f>
        <v/>
      </c>
      <c r="N2494" s="48" t="str">
        <f aca="false">IF($A2494="","",IF(N(M2494)=0,"–",IF(M2494&lt;=Start!$D$20,"A",IF(M2494&lt;=Start!$D$21,"B","C"))))</f>
        <v/>
      </c>
      <c r="O2494" s="48" t="str">
        <f aca="false">IF($A2494="","",IF(NOT(ISNUMBER(F2494)),"Wert fehlt; ",IF(F2494&lt;=0,"Wert ist 0; ",""))&amp;IF(NOT(ISNUMBER(E2494)),"Bestand fehlt; ",IF(E2494&lt;0,"Bestand negativ; ",IF(E2494=0,"Nullbestand; ","")))&amp;IF(D2494="","Warengruppe fehlt; ","")&amp;IF(B2494="","Bezeichnung fehlt; ","")&amp;IF(COUNTIFS($A$2:$A$5001,$A2494,$C$2:$C$5001,C2494)&gt;1,"Artikel doppelt im selben Lager; ",""))</f>
        <v/>
      </c>
      <c r="P2494" s="47" t="n">
        <f aca="false">IF(OR($A2494="",D2494=""),0,IF(COUNTIF($D$2:D2494,D2494)=1,SUMIF($D$2:$D$5001,D2494,$H$2:$H$5001)+ROW()/10000000,0))</f>
        <v>0</v>
      </c>
      <c r="Q2494" s="47" t="n">
        <f aca="false">IF(OR($A2494="",C2494=""),0,IF(COUNTIF($C$2:C2494,C2494)=1,SUMIF($C$2:$C$5001,C2494,$H$2:$H$5001)+ROW()/10000000,0))</f>
        <v>0</v>
      </c>
    </row>
    <row r="2495" customFormat="false" ht="15" hidden="false" customHeight="false" outlineLevel="0" collapsed="false">
      <c r="A2495" s="43"/>
      <c r="B2495" s="44"/>
      <c r="C2495" s="44"/>
      <c r="D2495" s="44"/>
      <c r="E2495" s="44"/>
      <c r="F2495" s="44"/>
      <c r="G2495" s="44"/>
      <c r="H2495" s="46" t="str">
        <f aca="false">IF($A2495="","",IF(OR(NOT(ISNUMBER(E2495)),NOT(ISNUMBER(F2495))),"",MAX(0,E2495)*F2495))</f>
        <v/>
      </c>
      <c r="I2495" s="46" t="str">
        <f aca="false">IF($A2495="","",SUMIF($A$2:$A$5001,$A2495,$H$2:$H$5001))</f>
        <v/>
      </c>
      <c r="J2495" s="47" t="n">
        <f aca="false">IF($A2495="",0,IF(COUNTIF($A$2:A2495,$A2495)=1,1,0))</f>
        <v>0</v>
      </c>
      <c r="K2495" s="47" t="n">
        <f aca="false">IF(J2495=1,N(I2495)+ROW()/10000000,0)</f>
        <v>0</v>
      </c>
      <c r="L2495" s="47" t="str">
        <f aca="false">IF(AND(J2495=1,N(I2495)&gt;0),SUMIF($K$2:$K$5001,"&gt;="&amp;K2495,$I$2:$I$5001)/MAX(1,SUM($H$2:$H$5001)),"")</f>
        <v/>
      </c>
      <c r="M2495" s="47" t="str">
        <f aca="false">IF($A2495="","",INDEX($L$2:$L$5001,MATCH($A2495,$A$2:$A$5001,0)))</f>
        <v/>
      </c>
      <c r="N2495" s="48" t="str">
        <f aca="false">IF($A2495="","",IF(N(M2495)=0,"–",IF(M2495&lt;=Start!$D$20,"A",IF(M2495&lt;=Start!$D$21,"B","C"))))</f>
        <v/>
      </c>
      <c r="O2495" s="48" t="str">
        <f aca="false">IF($A2495="","",IF(NOT(ISNUMBER(F2495)),"Wert fehlt; ",IF(F2495&lt;=0,"Wert ist 0; ",""))&amp;IF(NOT(ISNUMBER(E2495)),"Bestand fehlt; ",IF(E2495&lt;0,"Bestand negativ; ",IF(E2495=0,"Nullbestand; ","")))&amp;IF(D2495="","Warengruppe fehlt; ","")&amp;IF(B2495="","Bezeichnung fehlt; ","")&amp;IF(COUNTIFS($A$2:$A$5001,$A2495,$C$2:$C$5001,C2495)&gt;1,"Artikel doppelt im selben Lager; ",""))</f>
        <v/>
      </c>
      <c r="P2495" s="47" t="n">
        <f aca="false">IF(OR($A2495="",D2495=""),0,IF(COUNTIF($D$2:D2495,D2495)=1,SUMIF($D$2:$D$5001,D2495,$H$2:$H$5001)+ROW()/10000000,0))</f>
        <v>0</v>
      </c>
      <c r="Q2495" s="47" t="n">
        <f aca="false">IF(OR($A2495="",C2495=""),0,IF(COUNTIF($C$2:C2495,C2495)=1,SUMIF($C$2:$C$5001,C2495,$H$2:$H$5001)+ROW()/10000000,0))</f>
        <v>0</v>
      </c>
    </row>
    <row r="2496" customFormat="false" ht="15" hidden="false" customHeight="false" outlineLevel="0" collapsed="false">
      <c r="A2496" s="43"/>
      <c r="B2496" s="44"/>
      <c r="C2496" s="44"/>
      <c r="D2496" s="44"/>
      <c r="E2496" s="44"/>
      <c r="F2496" s="44"/>
      <c r="G2496" s="44"/>
      <c r="H2496" s="46" t="str">
        <f aca="false">IF($A2496="","",IF(OR(NOT(ISNUMBER(E2496)),NOT(ISNUMBER(F2496))),"",MAX(0,E2496)*F2496))</f>
        <v/>
      </c>
      <c r="I2496" s="46" t="str">
        <f aca="false">IF($A2496="","",SUMIF($A$2:$A$5001,$A2496,$H$2:$H$5001))</f>
        <v/>
      </c>
      <c r="J2496" s="47" t="n">
        <f aca="false">IF($A2496="",0,IF(COUNTIF($A$2:A2496,$A2496)=1,1,0))</f>
        <v>0</v>
      </c>
      <c r="K2496" s="47" t="n">
        <f aca="false">IF(J2496=1,N(I2496)+ROW()/10000000,0)</f>
        <v>0</v>
      </c>
      <c r="L2496" s="47" t="str">
        <f aca="false">IF(AND(J2496=1,N(I2496)&gt;0),SUMIF($K$2:$K$5001,"&gt;="&amp;K2496,$I$2:$I$5001)/MAX(1,SUM($H$2:$H$5001)),"")</f>
        <v/>
      </c>
      <c r="M2496" s="47" t="str">
        <f aca="false">IF($A2496="","",INDEX($L$2:$L$5001,MATCH($A2496,$A$2:$A$5001,0)))</f>
        <v/>
      </c>
      <c r="N2496" s="48" t="str">
        <f aca="false">IF($A2496="","",IF(N(M2496)=0,"–",IF(M2496&lt;=Start!$D$20,"A",IF(M2496&lt;=Start!$D$21,"B","C"))))</f>
        <v/>
      </c>
      <c r="O2496" s="48" t="str">
        <f aca="false">IF($A2496="","",IF(NOT(ISNUMBER(F2496)),"Wert fehlt; ",IF(F2496&lt;=0,"Wert ist 0; ",""))&amp;IF(NOT(ISNUMBER(E2496)),"Bestand fehlt; ",IF(E2496&lt;0,"Bestand negativ; ",IF(E2496=0,"Nullbestand; ","")))&amp;IF(D2496="","Warengruppe fehlt; ","")&amp;IF(B2496="","Bezeichnung fehlt; ","")&amp;IF(COUNTIFS($A$2:$A$5001,$A2496,$C$2:$C$5001,C2496)&gt;1,"Artikel doppelt im selben Lager; ",""))</f>
        <v/>
      </c>
      <c r="P2496" s="47" t="n">
        <f aca="false">IF(OR($A2496="",D2496=""),0,IF(COUNTIF($D$2:D2496,D2496)=1,SUMIF($D$2:$D$5001,D2496,$H$2:$H$5001)+ROW()/10000000,0))</f>
        <v>0</v>
      </c>
      <c r="Q2496" s="47" t="n">
        <f aca="false">IF(OR($A2496="",C2496=""),0,IF(COUNTIF($C$2:C2496,C2496)=1,SUMIF($C$2:$C$5001,C2496,$H$2:$H$5001)+ROW()/10000000,0))</f>
        <v>0</v>
      </c>
    </row>
    <row r="2497" customFormat="false" ht="15" hidden="false" customHeight="false" outlineLevel="0" collapsed="false">
      <c r="A2497" s="43"/>
      <c r="B2497" s="44"/>
      <c r="C2497" s="44"/>
      <c r="D2497" s="44"/>
      <c r="E2497" s="44"/>
      <c r="F2497" s="44"/>
      <c r="G2497" s="44"/>
      <c r="H2497" s="46" t="str">
        <f aca="false">IF($A2497="","",IF(OR(NOT(ISNUMBER(E2497)),NOT(ISNUMBER(F2497))),"",MAX(0,E2497)*F2497))</f>
        <v/>
      </c>
      <c r="I2497" s="46" t="str">
        <f aca="false">IF($A2497="","",SUMIF($A$2:$A$5001,$A2497,$H$2:$H$5001))</f>
        <v/>
      </c>
      <c r="J2497" s="47" t="n">
        <f aca="false">IF($A2497="",0,IF(COUNTIF($A$2:A2497,$A2497)=1,1,0))</f>
        <v>0</v>
      </c>
      <c r="K2497" s="47" t="n">
        <f aca="false">IF(J2497=1,N(I2497)+ROW()/10000000,0)</f>
        <v>0</v>
      </c>
      <c r="L2497" s="47" t="str">
        <f aca="false">IF(AND(J2497=1,N(I2497)&gt;0),SUMIF($K$2:$K$5001,"&gt;="&amp;K2497,$I$2:$I$5001)/MAX(1,SUM($H$2:$H$5001)),"")</f>
        <v/>
      </c>
      <c r="M2497" s="47" t="str">
        <f aca="false">IF($A2497="","",INDEX($L$2:$L$5001,MATCH($A2497,$A$2:$A$5001,0)))</f>
        <v/>
      </c>
      <c r="N2497" s="48" t="str">
        <f aca="false">IF($A2497="","",IF(N(M2497)=0,"–",IF(M2497&lt;=Start!$D$20,"A",IF(M2497&lt;=Start!$D$21,"B","C"))))</f>
        <v/>
      </c>
      <c r="O2497" s="48" t="str">
        <f aca="false">IF($A2497="","",IF(NOT(ISNUMBER(F2497)),"Wert fehlt; ",IF(F2497&lt;=0,"Wert ist 0; ",""))&amp;IF(NOT(ISNUMBER(E2497)),"Bestand fehlt; ",IF(E2497&lt;0,"Bestand negativ; ",IF(E2497=0,"Nullbestand; ","")))&amp;IF(D2497="","Warengruppe fehlt; ","")&amp;IF(B2497="","Bezeichnung fehlt; ","")&amp;IF(COUNTIFS($A$2:$A$5001,$A2497,$C$2:$C$5001,C2497)&gt;1,"Artikel doppelt im selben Lager; ",""))</f>
        <v/>
      </c>
      <c r="P2497" s="47" t="n">
        <f aca="false">IF(OR($A2497="",D2497=""),0,IF(COUNTIF($D$2:D2497,D2497)=1,SUMIF($D$2:$D$5001,D2497,$H$2:$H$5001)+ROW()/10000000,0))</f>
        <v>0</v>
      </c>
      <c r="Q2497" s="47" t="n">
        <f aca="false">IF(OR($A2497="",C2497=""),0,IF(COUNTIF($C$2:C2497,C2497)=1,SUMIF($C$2:$C$5001,C2497,$H$2:$H$5001)+ROW()/10000000,0))</f>
        <v>0</v>
      </c>
    </row>
    <row r="2498" customFormat="false" ht="15" hidden="false" customHeight="false" outlineLevel="0" collapsed="false">
      <c r="A2498" s="43"/>
      <c r="B2498" s="44"/>
      <c r="C2498" s="44"/>
      <c r="D2498" s="44"/>
      <c r="E2498" s="44"/>
      <c r="F2498" s="44"/>
      <c r="G2498" s="44"/>
      <c r="H2498" s="46" t="str">
        <f aca="false">IF($A2498="","",IF(OR(NOT(ISNUMBER(E2498)),NOT(ISNUMBER(F2498))),"",MAX(0,E2498)*F2498))</f>
        <v/>
      </c>
      <c r="I2498" s="46" t="str">
        <f aca="false">IF($A2498="","",SUMIF($A$2:$A$5001,$A2498,$H$2:$H$5001))</f>
        <v/>
      </c>
      <c r="J2498" s="47" t="n">
        <f aca="false">IF($A2498="",0,IF(COUNTIF($A$2:A2498,$A2498)=1,1,0))</f>
        <v>0</v>
      </c>
      <c r="K2498" s="47" t="n">
        <f aca="false">IF(J2498=1,N(I2498)+ROW()/10000000,0)</f>
        <v>0</v>
      </c>
      <c r="L2498" s="47" t="str">
        <f aca="false">IF(AND(J2498=1,N(I2498)&gt;0),SUMIF($K$2:$K$5001,"&gt;="&amp;K2498,$I$2:$I$5001)/MAX(1,SUM($H$2:$H$5001)),"")</f>
        <v/>
      </c>
      <c r="M2498" s="47" t="str">
        <f aca="false">IF($A2498="","",INDEX($L$2:$L$5001,MATCH($A2498,$A$2:$A$5001,0)))</f>
        <v/>
      </c>
      <c r="N2498" s="48" t="str">
        <f aca="false">IF($A2498="","",IF(N(M2498)=0,"–",IF(M2498&lt;=Start!$D$20,"A",IF(M2498&lt;=Start!$D$21,"B","C"))))</f>
        <v/>
      </c>
      <c r="O2498" s="48" t="str">
        <f aca="false">IF($A2498="","",IF(NOT(ISNUMBER(F2498)),"Wert fehlt; ",IF(F2498&lt;=0,"Wert ist 0; ",""))&amp;IF(NOT(ISNUMBER(E2498)),"Bestand fehlt; ",IF(E2498&lt;0,"Bestand negativ; ",IF(E2498=0,"Nullbestand; ","")))&amp;IF(D2498="","Warengruppe fehlt; ","")&amp;IF(B2498="","Bezeichnung fehlt; ","")&amp;IF(COUNTIFS($A$2:$A$5001,$A2498,$C$2:$C$5001,C2498)&gt;1,"Artikel doppelt im selben Lager; ",""))</f>
        <v/>
      </c>
      <c r="P2498" s="47" t="n">
        <f aca="false">IF(OR($A2498="",D2498=""),0,IF(COUNTIF($D$2:D2498,D2498)=1,SUMIF($D$2:$D$5001,D2498,$H$2:$H$5001)+ROW()/10000000,0))</f>
        <v>0</v>
      </c>
      <c r="Q2498" s="47" t="n">
        <f aca="false">IF(OR($A2498="",C2498=""),0,IF(COUNTIF($C$2:C2498,C2498)=1,SUMIF($C$2:$C$5001,C2498,$H$2:$H$5001)+ROW()/10000000,0))</f>
        <v>0</v>
      </c>
    </row>
    <row r="2499" customFormat="false" ht="15" hidden="false" customHeight="false" outlineLevel="0" collapsed="false">
      <c r="A2499" s="43"/>
      <c r="B2499" s="44"/>
      <c r="C2499" s="44"/>
      <c r="D2499" s="44"/>
      <c r="E2499" s="44"/>
      <c r="F2499" s="44"/>
      <c r="G2499" s="44"/>
      <c r="H2499" s="46" t="str">
        <f aca="false">IF($A2499="","",IF(OR(NOT(ISNUMBER(E2499)),NOT(ISNUMBER(F2499))),"",MAX(0,E2499)*F2499))</f>
        <v/>
      </c>
      <c r="I2499" s="46" t="str">
        <f aca="false">IF($A2499="","",SUMIF($A$2:$A$5001,$A2499,$H$2:$H$5001))</f>
        <v/>
      </c>
      <c r="J2499" s="47" t="n">
        <f aca="false">IF($A2499="",0,IF(COUNTIF($A$2:A2499,$A2499)=1,1,0))</f>
        <v>0</v>
      </c>
      <c r="K2499" s="47" t="n">
        <f aca="false">IF(J2499=1,N(I2499)+ROW()/10000000,0)</f>
        <v>0</v>
      </c>
      <c r="L2499" s="47" t="str">
        <f aca="false">IF(AND(J2499=1,N(I2499)&gt;0),SUMIF($K$2:$K$5001,"&gt;="&amp;K2499,$I$2:$I$5001)/MAX(1,SUM($H$2:$H$5001)),"")</f>
        <v/>
      </c>
      <c r="M2499" s="47" t="str">
        <f aca="false">IF($A2499="","",INDEX($L$2:$L$5001,MATCH($A2499,$A$2:$A$5001,0)))</f>
        <v/>
      </c>
      <c r="N2499" s="48" t="str">
        <f aca="false">IF($A2499="","",IF(N(M2499)=0,"–",IF(M2499&lt;=Start!$D$20,"A",IF(M2499&lt;=Start!$D$21,"B","C"))))</f>
        <v/>
      </c>
      <c r="O2499" s="48" t="str">
        <f aca="false">IF($A2499="","",IF(NOT(ISNUMBER(F2499)),"Wert fehlt; ",IF(F2499&lt;=0,"Wert ist 0; ",""))&amp;IF(NOT(ISNUMBER(E2499)),"Bestand fehlt; ",IF(E2499&lt;0,"Bestand negativ; ",IF(E2499=0,"Nullbestand; ","")))&amp;IF(D2499="","Warengruppe fehlt; ","")&amp;IF(B2499="","Bezeichnung fehlt; ","")&amp;IF(COUNTIFS($A$2:$A$5001,$A2499,$C$2:$C$5001,C2499)&gt;1,"Artikel doppelt im selben Lager; ",""))</f>
        <v/>
      </c>
      <c r="P2499" s="47" t="n">
        <f aca="false">IF(OR($A2499="",D2499=""),0,IF(COUNTIF($D$2:D2499,D2499)=1,SUMIF($D$2:$D$5001,D2499,$H$2:$H$5001)+ROW()/10000000,0))</f>
        <v>0</v>
      </c>
      <c r="Q2499" s="47" t="n">
        <f aca="false">IF(OR($A2499="",C2499=""),0,IF(COUNTIF($C$2:C2499,C2499)=1,SUMIF($C$2:$C$5001,C2499,$H$2:$H$5001)+ROW()/10000000,0))</f>
        <v>0</v>
      </c>
    </row>
    <row r="2500" customFormat="false" ht="15" hidden="false" customHeight="false" outlineLevel="0" collapsed="false">
      <c r="A2500" s="43"/>
      <c r="B2500" s="44"/>
      <c r="C2500" s="44"/>
      <c r="D2500" s="44"/>
      <c r="E2500" s="44"/>
      <c r="F2500" s="44"/>
      <c r="G2500" s="44"/>
      <c r="H2500" s="46" t="str">
        <f aca="false">IF($A2500="","",IF(OR(NOT(ISNUMBER(E2500)),NOT(ISNUMBER(F2500))),"",MAX(0,E2500)*F2500))</f>
        <v/>
      </c>
      <c r="I2500" s="46" t="str">
        <f aca="false">IF($A2500="","",SUMIF($A$2:$A$5001,$A2500,$H$2:$H$5001))</f>
        <v/>
      </c>
      <c r="J2500" s="47" t="n">
        <f aca="false">IF($A2500="",0,IF(COUNTIF($A$2:A2500,$A2500)=1,1,0))</f>
        <v>0</v>
      </c>
      <c r="K2500" s="47" t="n">
        <f aca="false">IF(J2500=1,N(I2500)+ROW()/10000000,0)</f>
        <v>0</v>
      </c>
      <c r="L2500" s="47" t="str">
        <f aca="false">IF(AND(J2500=1,N(I2500)&gt;0),SUMIF($K$2:$K$5001,"&gt;="&amp;K2500,$I$2:$I$5001)/MAX(1,SUM($H$2:$H$5001)),"")</f>
        <v/>
      </c>
      <c r="M2500" s="47" t="str">
        <f aca="false">IF($A2500="","",INDEX($L$2:$L$5001,MATCH($A2500,$A$2:$A$5001,0)))</f>
        <v/>
      </c>
      <c r="N2500" s="48" t="str">
        <f aca="false">IF($A2500="","",IF(N(M2500)=0,"–",IF(M2500&lt;=Start!$D$20,"A",IF(M2500&lt;=Start!$D$21,"B","C"))))</f>
        <v/>
      </c>
      <c r="O2500" s="48" t="str">
        <f aca="false">IF($A2500="","",IF(NOT(ISNUMBER(F2500)),"Wert fehlt; ",IF(F2500&lt;=0,"Wert ist 0; ",""))&amp;IF(NOT(ISNUMBER(E2500)),"Bestand fehlt; ",IF(E2500&lt;0,"Bestand negativ; ",IF(E2500=0,"Nullbestand; ","")))&amp;IF(D2500="","Warengruppe fehlt; ","")&amp;IF(B2500="","Bezeichnung fehlt; ","")&amp;IF(COUNTIFS($A$2:$A$5001,$A2500,$C$2:$C$5001,C2500)&gt;1,"Artikel doppelt im selben Lager; ",""))</f>
        <v/>
      </c>
      <c r="P2500" s="47" t="n">
        <f aca="false">IF(OR($A2500="",D2500=""),0,IF(COUNTIF($D$2:D2500,D2500)=1,SUMIF($D$2:$D$5001,D2500,$H$2:$H$5001)+ROW()/10000000,0))</f>
        <v>0</v>
      </c>
      <c r="Q2500" s="47" t="n">
        <f aca="false">IF(OR($A2500="",C2500=""),0,IF(COUNTIF($C$2:C2500,C2500)=1,SUMIF($C$2:$C$5001,C2500,$H$2:$H$5001)+ROW()/10000000,0))</f>
        <v>0</v>
      </c>
    </row>
    <row r="2501" customFormat="false" ht="15" hidden="false" customHeight="false" outlineLevel="0" collapsed="false">
      <c r="A2501" s="43"/>
      <c r="B2501" s="44"/>
      <c r="C2501" s="44"/>
      <c r="D2501" s="44"/>
      <c r="E2501" s="44"/>
      <c r="F2501" s="44"/>
      <c r="G2501" s="44"/>
      <c r="H2501" s="46" t="str">
        <f aca="false">IF($A2501="","",IF(OR(NOT(ISNUMBER(E2501)),NOT(ISNUMBER(F2501))),"",MAX(0,E2501)*F2501))</f>
        <v/>
      </c>
      <c r="I2501" s="46" t="str">
        <f aca="false">IF($A2501="","",SUMIF($A$2:$A$5001,$A2501,$H$2:$H$5001))</f>
        <v/>
      </c>
      <c r="J2501" s="47" t="n">
        <f aca="false">IF($A2501="",0,IF(COUNTIF($A$2:A2501,$A2501)=1,1,0))</f>
        <v>0</v>
      </c>
      <c r="K2501" s="47" t="n">
        <f aca="false">IF(J2501=1,N(I2501)+ROW()/10000000,0)</f>
        <v>0</v>
      </c>
      <c r="L2501" s="47" t="str">
        <f aca="false">IF(AND(J2501=1,N(I2501)&gt;0),SUMIF($K$2:$K$5001,"&gt;="&amp;K2501,$I$2:$I$5001)/MAX(1,SUM($H$2:$H$5001)),"")</f>
        <v/>
      </c>
      <c r="M2501" s="47" t="str">
        <f aca="false">IF($A2501="","",INDEX($L$2:$L$5001,MATCH($A2501,$A$2:$A$5001,0)))</f>
        <v/>
      </c>
      <c r="N2501" s="48" t="str">
        <f aca="false">IF($A2501="","",IF(N(M2501)=0,"–",IF(M2501&lt;=Start!$D$20,"A",IF(M2501&lt;=Start!$D$21,"B","C"))))</f>
        <v/>
      </c>
      <c r="O2501" s="48" t="str">
        <f aca="false">IF($A2501="","",IF(NOT(ISNUMBER(F2501)),"Wert fehlt; ",IF(F2501&lt;=0,"Wert ist 0; ",""))&amp;IF(NOT(ISNUMBER(E2501)),"Bestand fehlt; ",IF(E2501&lt;0,"Bestand negativ; ",IF(E2501=0,"Nullbestand; ","")))&amp;IF(D2501="","Warengruppe fehlt; ","")&amp;IF(B2501="","Bezeichnung fehlt; ","")&amp;IF(COUNTIFS($A$2:$A$5001,$A2501,$C$2:$C$5001,C2501)&gt;1,"Artikel doppelt im selben Lager; ",""))</f>
        <v/>
      </c>
      <c r="P2501" s="47" t="n">
        <f aca="false">IF(OR($A2501="",D2501=""),0,IF(COUNTIF($D$2:D2501,D2501)=1,SUMIF($D$2:$D$5001,D2501,$H$2:$H$5001)+ROW()/10000000,0))</f>
        <v>0</v>
      </c>
      <c r="Q2501" s="47" t="n">
        <f aca="false">IF(OR($A2501="",C2501=""),0,IF(COUNTIF($C$2:C2501,C2501)=1,SUMIF($C$2:$C$5001,C2501,$H$2:$H$5001)+ROW()/10000000,0))</f>
        <v>0</v>
      </c>
    </row>
    <row r="2502" customFormat="false" ht="15" hidden="false" customHeight="false" outlineLevel="0" collapsed="false">
      <c r="A2502" s="43"/>
      <c r="B2502" s="44"/>
      <c r="C2502" s="44"/>
      <c r="D2502" s="44"/>
      <c r="E2502" s="44"/>
      <c r="F2502" s="44"/>
      <c r="G2502" s="44"/>
      <c r="H2502" s="46" t="str">
        <f aca="false">IF($A2502="","",IF(OR(NOT(ISNUMBER(E2502)),NOT(ISNUMBER(F2502))),"",MAX(0,E2502)*F2502))</f>
        <v/>
      </c>
      <c r="I2502" s="46" t="str">
        <f aca="false">IF($A2502="","",SUMIF($A$2:$A$5001,$A2502,$H$2:$H$5001))</f>
        <v/>
      </c>
      <c r="J2502" s="47" t="n">
        <f aca="false">IF($A2502="",0,IF(COUNTIF($A$2:A2502,$A2502)=1,1,0))</f>
        <v>0</v>
      </c>
      <c r="K2502" s="47" t="n">
        <f aca="false">IF(J2502=1,N(I2502)+ROW()/10000000,0)</f>
        <v>0</v>
      </c>
      <c r="L2502" s="47" t="str">
        <f aca="false">IF(AND(J2502=1,N(I2502)&gt;0),SUMIF($K$2:$K$5001,"&gt;="&amp;K2502,$I$2:$I$5001)/MAX(1,SUM($H$2:$H$5001)),"")</f>
        <v/>
      </c>
      <c r="M2502" s="47" t="str">
        <f aca="false">IF($A2502="","",INDEX($L$2:$L$5001,MATCH($A2502,$A$2:$A$5001,0)))</f>
        <v/>
      </c>
      <c r="N2502" s="48" t="str">
        <f aca="false">IF($A2502="","",IF(N(M2502)=0,"–",IF(M2502&lt;=Start!$D$20,"A",IF(M2502&lt;=Start!$D$21,"B","C"))))</f>
        <v/>
      </c>
      <c r="O2502" s="48" t="str">
        <f aca="false">IF($A2502="","",IF(NOT(ISNUMBER(F2502)),"Wert fehlt; ",IF(F2502&lt;=0,"Wert ist 0; ",""))&amp;IF(NOT(ISNUMBER(E2502)),"Bestand fehlt; ",IF(E2502&lt;0,"Bestand negativ; ",IF(E2502=0,"Nullbestand; ","")))&amp;IF(D2502="","Warengruppe fehlt; ","")&amp;IF(B2502="","Bezeichnung fehlt; ","")&amp;IF(COUNTIFS($A$2:$A$5001,$A2502,$C$2:$C$5001,C2502)&gt;1,"Artikel doppelt im selben Lager; ",""))</f>
        <v/>
      </c>
      <c r="P2502" s="47" t="n">
        <f aca="false">IF(OR($A2502="",D2502=""),0,IF(COUNTIF($D$2:D2502,D2502)=1,SUMIF($D$2:$D$5001,D2502,$H$2:$H$5001)+ROW()/10000000,0))</f>
        <v>0</v>
      </c>
      <c r="Q2502" s="47" t="n">
        <f aca="false">IF(OR($A2502="",C2502=""),0,IF(COUNTIF($C$2:C2502,C2502)=1,SUMIF($C$2:$C$5001,C2502,$H$2:$H$5001)+ROW()/10000000,0))</f>
        <v>0</v>
      </c>
    </row>
    <row r="2503" customFormat="false" ht="15" hidden="false" customHeight="false" outlineLevel="0" collapsed="false">
      <c r="A2503" s="43"/>
      <c r="B2503" s="44"/>
      <c r="C2503" s="44"/>
      <c r="D2503" s="44"/>
      <c r="E2503" s="44"/>
      <c r="F2503" s="44"/>
      <c r="G2503" s="44"/>
      <c r="H2503" s="46" t="str">
        <f aca="false">IF($A2503="","",IF(OR(NOT(ISNUMBER(E2503)),NOT(ISNUMBER(F2503))),"",MAX(0,E2503)*F2503))</f>
        <v/>
      </c>
      <c r="I2503" s="46" t="str">
        <f aca="false">IF($A2503="","",SUMIF($A$2:$A$5001,$A2503,$H$2:$H$5001))</f>
        <v/>
      </c>
      <c r="J2503" s="47" t="n">
        <f aca="false">IF($A2503="",0,IF(COUNTIF($A$2:A2503,$A2503)=1,1,0))</f>
        <v>0</v>
      </c>
      <c r="K2503" s="47" t="n">
        <f aca="false">IF(J2503=1,N(I2503)+ROW()/10000000,0)</f>
        <v>0</v>
      </c>
      <c r="L2503" s="47" t="str">
        <f aca="false">IF(AND(J2503=1,N(I2503)&gt;0),SUMIF($K$2:$K$5001,"&gt;="&amp;K2503,$I$2:$I$5001)/MAX(1,SUM($H$2:$H$5001)),"")</f>
        <v/>
      </c>
      <c r="M2503" s="47" t="str">
        <f aca="false">IF($A2503="","",INDEX($L$2:$L$5001,MATCH($A2503,$A$2:$A$5001,0)))</f>
        <v/>
      </c>
      <c r="N2503" s="48" t="str">
        <f aca="false">IF($A2503="","",IF(N(M2503)=0,"–",IF(M2503&lt;=Start!$D$20,"A",IF(M2503&lt;=Start!$D$21,"B","C"))))</f>
        <v/>
      </c>
      <c r="O2503" s="48" t="str">
        <f aca="false">IF($A2503="","",IF(NOT(ISNUMBER(F2503)),"Wert fehlt; ",IF(F2503&lt;=0,"Wert ist 0; ",""))&amp;IF(NOT(ISNUMBER(E2503)),"Bestand fehlt; ",IF(E2503&lt;0,"Bestand negativ; ",IF(E2503=0,"Nullbestand; ","")))&amp;IF(D2503="","Warengruppe fehlt; ","")&amp;IF(B2503="","Bezeichnung fehlt; ","")&amp;IF(COUNTIFS($A$2:$A$5001,$A2503,$C$2:$C$5001,C2503)&gt;1,"Artikel doppelt im selben Lager; ",""))</f>
        <v/>
      </c>
      <c r="P2503" s="47" t="n">
        <f aca="false">IF(OR($A2503="",D2503=""),0,IF(COUNTIF($D$2:D2503,D2503)=1,SUMIF($D$2:$D$5001,D2503,$H$2:$H$5001)+ROW()/10000000,0))</f>
        <v>0</v>
      </c>
      <c r="Q2503" s="47" t="n">
        <f aca="false">IF(OR($A2503="",C2503=""),0,IF(COUNTIF($C$2:C2503,C2503)=1,SUMIF($C$2:$C$5001,C2503,$H$2:$H$5001)+ROW()/10000000,0))</f>
        <v>0</v>
      </c>
    </row>
    <row r="2504" customFormat="false" ht="15" hidden="false" customHeight="false" outlineLevel="0" collapsed="false">
      <c r="A2504" s="43"/>
      <c r="B2504" s="44"/>
      <c r="C2504" s="44"/>
      <c r="D2504" s="44"/>
      <c r="E2504" s="44"/>
      <c r="F2504" s="44"/>
      <c r="G2504" s="44"/>
      <c r="H2504" s="46" t="str">
        <f aca="false">IF($A2504="","",IF(OR(NOT(ISNUMBER(E2504)),NOT(ISNUMBER(F2504))),"",MAX(0,E2504)*F2504))</f>
        <v/>
      </c>
      <c r="I2504" s="46" t="str">
        <f aca="false">IF($A2504="","",SUMIF($A$2:$A$5001,$A2504,$H$2:$H$5001))</f>
        <v/>
      </c>
      <c r="J2504" s="47" t="n">
        <f aca="false">IF($A2504="",0,IF(COUNTIF($A$2:A2504,$A2504)=1,1,0))</f>
        <v>0</v>
      </c>
      <c r="K2504" s="47" t="n">
        <f aca="false">IF(J2504=1,N(I2504)+ROW()/10000000,0)</f>
        <v>0</v>
      </c>
      <c r="L2504" s="47" t="str">
        <f aca="false">IF(AND(J2504=1,N(I2504)&gt;0),SUMIF($K$2:$K$5001,"&gt;="&amp;K2504,$I$2:$I$5001)/MAX(1,SUM($H$2:$H$5001)),"")</f>
        <v/>
      </c>
      <c r="M2504" s="47" t="str">
        <f aca="false">IF($A2504="","",INDEX($L$2:$L$5001,MATCH($A2504,$A$2:$A$5001,0)))</f>
        <v/>
      </c>
      <c r="N2504" s="48" t="str">
        <f aca="false">IF($A2504="","",IF(N(M2504)=0,"–",IF(M2504&lt;=Start!$D$20,"A",IF(M2504&lt;=Start!$D$21,"B","C"))))</f>
        <v/>
      </c>
      <c r="O2504" s="48" t="str">
        <f aca="false">IF($A2504="","",IF(NOT(ISNUMBER(F2504)),"Wert fehlt; ",IF(F2504&lt;=0,"Wert ist 0; ",""))&amp;IF(NOT(ISNUMBER(E2504)),"Bestand fehlt; ",IF(E2504&lt;0,"Bestand negativ; ",IF(E2504=0,"Nullbestand; ","")))&amp;IF(D2504="","Warengruppe fehlt; ","")&amp;IF(B2504="","Bezeichnung fehlt; ","")&amp;IF(COUNTIFS($A$2:$A$5001,$A2504,$C$2:$C$5001,C2504)&gt;1,"Artikel doppelt im selben Lager; ",""))</f>
        <v/>
      </c>
      <c r="P2504" s="47" t="n">
        <f aca="false">IF(OR($A2504="",D2504=""),0,IF(COUNTIF($D$2:D2504,D2504)=1,SUMIF($D$2:$D$5001,D2504,$H$2:$H$5001)+ROW()/10000000,0))</f>
        <v>0</v>
      </c>
      <c r="Q2504" s="47" t="n">
        <f aca="false">IF(OR($A2504="",C2504=""),0,IF(COUNTIF($C$2:C2504,C2504)=1,SUMIF($C$2:$C$5001,C2504,$H$2:$H$5001)+ROW()/10000000,0))</f>
        <v>0</v>
      </c>
    </row>
    <row r="2505" customFormat="false" ht="15" hidden="false" customHeight="false" outlineLevel="0" collapsed="false">
      <c r="A2505" s="43"/>
      <c r="B2505" s="44"/>
      <c r="C2505" s="44"/>
      <c r="D2505" s="44"/>
      <c r="E2505" s="44"/>
      <c r="F2505" s="44"/>
      <c r="G2505" s="44"/>
      <c r="H2505" s="46" t="str">
        <f aca="false">IF($A2505="","",IF(OR(NOT(ISNUMBER(E2505)),NOT(ISNUMBER(F2505))),"",MAX(0,E2505)*F2505))</f>
        <v/>
      </c>
      <c r="I2505" s="46" t="str">
        <f aca="false">IF($A2505="","",SUMIF($A$2:$A$5001,$A2505,$H$2:$H$5001))</f>
        <v/>
      </c>
      <c r="J2505" s="47" t="n">
        <f aca="false">IF($A2505="",0,IF(COUNTIF($A$2:A2505,$A2505)=1,1,0))</f>
        <v>0</v>
      </c>
      <c r="K2505" s="47" t="n">
        <f aca="false">IF(J2505=1,N(I2505)+ROW()/10000000,0)</f>
        <v>0</v>
      </c>
      <c r="L2505" s="47" t="str">
        <f aca="false">IF(AND(J2505=1,N(I2505)&gt;0),SUMIF($K$2:$K$5001,"&gt;="&amp;K2505,$I$2:$I$5001)/MAX(1,SUM($H$2:$H$5001)),"")</f>
        <v/>
      </c>
      <c r="M2505" s="47" t="str">
        <f aca="false">IF($A2505="","",INDEX($L$2:$L$5001,MATCH($A2505,$A$2:$A$5001,0)))</f>
        <v/>
      </c>
      <c r="N2505" s="48" t="str">
        <f aca="false">IF($A2505="","",IF(N(M2505)=0,"–",IF(M2505&lt;=Start!$D$20,"A",IF(M2505&lt;=Start!$D$21,"B","C"))))</f>
        <v/>
      </c>
      <c r="O2505" s="48" t="str">
        <f aca="false">IF($A2505="","",IF(NOT(ISNUMBER(F2505)),"Wert fehlt; ",IF(F2505&lt;=0,"Wert ist 0; ",""))&amp;IF(NOT(ISNUMBER(E2505)),"Bestand fehlt; ",IF(E2505&lt;0,"Bestand negativ; ",IF(E2505=0,"Nullbestand; ","")))&amp;IF(D2505="","Warengruppe fehlt; ","")&amp;IF(B2505="","Bezeichnung fehlt; ","")&amp;IF(COUNTIFS($A$2:$A$5001,$A2505,$C$2:$C$5001,C2505)&gt;1,"Artikel doppelt im selben Lager; ",""))</f>
        <v/>
      </c>
      <c r="P2505" s="47" t="n">
        <f aca="false">IF(OR($A2505="",D2505=""),0,IF(COUNTIF($D$2:D2505,D2505)=1,SUMIF($D$2:$D$5001,D2505,$H$2:$H$5001)+ROW()/10000000,0))</f>
        <v>0</v>
      </c>
      <c r="Q2505" s="47" t="n">
        <f aca="false">IF(OR($A2505="",C2505=""),0,IF(COUNTIF($C$2:C2505,C2505)=1,SUMIF($C$2:$C$5001,C2505,$H$2:$H$5001)+ROW()/10000000,0))</f>
        <v>0</v>
      </c>
    </row>
    <row r="2506" customFormat="false" ht="15" hidden="false" customHeight="false" outlineLevel="0" collapsed="false">
      <c r="A2506" s="43"/>
      <c r="B2506" s="44"/>
      <c r="C2506" s="44"/>
      <c r="D2506" s="44"/>
      <c r="E2506" s="44"/>
      <c r="F2506" s="44"/>
      <c r="G2506" s="44"/>
      <c r="H2506" s="46" t="str">
        <f aca="false">IF($A2506="","",IF(OR(NOT(ISNUMBER(E2506)),NOT(ISNUMBER(F2506))),"",MAX(0,E2506)*F2506))</f>
        <v/>
      </c>
      <c r="I2506" s="46" t="str">
        <f aca="false">IF($A2506="","",SUMIF($A$2:$A$5001,$A2506,$H$2:$H$5001))</f>
        <v/>
      </c>
      <c r="J2506" s="47" t="n">
        <f aca="false">IF($A2506="",0,IF(COUNTIF($A$2:A2506,$A2506)=1,1,0))</f>
        <v>0</v>
      </c>
      <c r="K2506" s="47" t="n">
        <f aca="false">IF(J2506=1,N(I2506)+ROW()/10000000,0)</f>
        <v>0</v>
      </c>
      <c r="L2506" s="47" t="str">
        <f aca="false">IF(AND(J2506=1,N(I2506)&gt;0),SUMIF($K$2:$K$5001,"&gt;="&amp;K2506,$I$2:$I$5001)/MAX(1,SUM($H$2:$H$5001)),"")</f>
        <v/>
      </c>
      <c r="M2506" s="47" t="str">
        <f aca="false">IF($A2506="","",INDEX($L$2:$L$5001,MATCH($A2506,$A$2:$A$5001,0)))</f>
        <v/>
      </c>
      <c r="N2506" s="48" t="str">
        <f aca="false">IF($A2506="","",IF(N(M2506)=0,"–",IF(M2506&lt;=Start!$D$20,"A",IF(M2506&lt;=Start!$D$21,"B","C"))))</f>
        <v/>
      </c>
      <c r="O2506" s="48" t="str">
        <f aca="false">IF($A2506="","",IF(NOT(ISNUMBER(F2506)),"Wert fehlt; ",IF(F2506&lt;=0,"Wert ist 0; ",""))&amp;IF(NOT(ISNUMBER(E2506)),"Bestand fehlt; ",IF(E2506&lt;0,"Bestand negativ; ",IF(E2506=0,"Nullbestand; ","")))&amp;IF(D2506="","Warengruppe fehlt; ","")&amp;IF(B2506="","Bezeichnung fehlt; ","")&amp;IF(COUNTIFS($A$2:$A$5001,$A2506,$C$2:$C$5001,C2506)&gt;1,"Artikel doppelt im selben Lager; ",""))</f>
        <v/>
      </c>
      <c r="P2506" s="47" t="n">
        <f aca="false">IF(OR($A2506="",D2506=""),0,IF(COUNTIF($D$2:D2506,D2506)=1,SUMIF($D$2:$D$5001,D2506,$H$2:$H$5001)+ROW()/10000000,0))</f>
        <v>0</v>
      </c>
      <c r="Q2506" s="47" t="n">
        <f aca="false">IF(OR($A2506="",C2506=""),0,IF(COUNTIF($C$2:C2506,C2506)=1,SUMIF($C$2:$C$5001,C2506,$H$2:$H$5001)+ROW()/10000000,0))</f>
        <v>0</v>
      </c>
    </row>
    <row r="2507" customFormat="false" ht="15" hidden="false" customHeight="false" outlineLevel="0" collapsed="false">
      <c r="A2507" s="43"/>
      <c r="B2507" s="44"/>
      <c r="C2507" s="44"/>
      <c r="D2507" s="44"/>
      <c r="E2507" s="44"/>
      <c r="F2507" s="44"/>
      <c r="G2507" s="44"/>
      <c r="H2507" s="46" t="str">
        <f aca="false">IF($A2507="","",IF(OR(NOT(ISNUMBER(E2507)),NOT(ISNUMBER(F2507))),"",MAX(0,E2507)*F2507))</f>
        <v/>
      </c>
      <c r="I2507" s="46" t="str">
        <f aca="false">IF($A2507="","",SUMIF($A$2:$A$5001,$A2507,$H$2:$H$5001))</f>
        <v/>
      </c>
      <c r="J2507" s="47" t="n">
        <f aca="false">IF($A2507="",0,IF(COUNTIF($A$2:A2507,$A2507)=1,1,0))</f>
        <v>0</v>
      </c>
      <c r="K2507" s="47" t="n">
        <f aca="false">IF(J2507=1,N(I2507)+ROW()/10000000,0)</f>
        <v>0</v>
      </c>
      <c r="L2507" s="47" t="str">
        <f aca="false">IF(AND(J2507=1,N(I2507)&gt;0),SUMIF($K$2:$K$5001,"&gt;="&amp;K2507,$I$2:$I$5001)/MAX(1,SUM($H$2:$H$5001)),"")</f>
        <v/>
      </c>
      <c r="M2507" s="47" t="str">
        <f aca="false">IF($A2507="","",INDEX($L$2:$L$5001,MATCH($A2507,$A$2:$A$5001,0)))</f>
        <v/>
      </c>
      <c r="N2507" s="48" t="str">
        <f aca="false">IF($A2507="","",IF(N(M2507)=0,"–",IF(M2507&lt;=Start!$D$20,"A",IF(M2507&lt;=Start!$D$21,"B","C"))))</f>
        <v/>
      </c>
      <c r="O2507" s="48" t="str">
        <f aca="false">IF($A2507="","",IF(NOT(ISNUMBER(F2507)),"Wert fehlt; ",IF(F2507&lt;=0,"Wert ist 0; ",""))&amp;IF(NOT(ISNUMBER(E2507)),"Bestand fehlt; ",IF(E2507&lt;0,"Bestand negativ; ",IF(E2507=0,"Nullbestand; ","")))&amp;IF(D2507="","Warengruppe fehlt; ","")&amp;IF(B2507="","Bezeichnung fehlt; ","")&amp;IF(COUNTIFS($A$2:$A$5001,$A2507,$C$2:$C$5001,C2507)&gt;1,"Artikel doppelt im selben Lager; ",""))</f>
        <v/>
      </c>
      <c r="P2507" s="47" t="n">
        <f aca="false">IF(OR($A2507="",D2507=""),0,IF(COUNTIF($D$2:D2507,D2507)=1,SUMIF($D$2:$D$5001,D2507,$H$2:$H$5001)+ROW()/10000000,0))</f>
        <v>0</v>
      </c>
      <c r="Q2507" s="47" t="n">
        <f aca="false">IF(OR($A2507="",C2507=""),0,IF(COUNTIF($C$2:C2507,C2507)=1,SUMIF($C$2:$C$5001,C2507,$H$2:$H$5001)+ROW()/10000000,0))</f>
        <v>0</v>
      </c>
    </row>
    <row r="2508" customFormat="false" ht="15" hidden="false" customHeight="false" outlineLevel="0" collapsed="false">
      <c r="A2508" s="43"/>
      <c r="B2508" s="44"/>
      <c r="C2508" s="44"/>
      <c r="D2508" s="44"/>
      <c r="E2508" s="44"/>
      <c r="F2508" s="44"/>
      <c r="G2508" s="44"/>
      <c r="H2508" s="46" t="str">
        <f aca="false">IF($A2508="","",IF(OR(NOT(ISNUMBER(E2508)),NOT(ISNUMBER(F2508))),"",MAX(0,E2508)*F2508))</f>
        <v/>
      </c>
      <c r="I2508" s="46" t="str">
        <f aca="false">IF($A2508="","",SUMIF($A$2:$A$5001,$A2508,$H$2:$H$5001))</f>
        <v/>
      </c>
      <c r="J2508" s="47" t="n">
        <f aca="false">IF($A2508="",0,IF(COUNTIF($A$2:A2508,$A2508)=1,1,0))</f>
        <v>0</v>
      </c>
      <c r="K2508" s="47" t="n">
        <f aca="false">IF(J2508=1,N(I2508)+ROW()/10000000,0)</f>
        <v>0</v>
      </c>
      <c r="L2508" s="47" t="str">
        <f aca="false">IF(AND(J2508=1,N(I2508)&gt;0),SUMIF($K$2:$K$5001,"&gt;="&amp;K2508,$I$2:$I$5001)/MAX(1,SUM($H$2:$H$5001)),"")</f>
        <v/>
      </c>
      <c r="M2508" s="47" t="str">
        <f aca="false">IF($A2508="","",INDEX($L$2:$L$5001,MATCH($A2508,$A$2:$A$5001,0)))</f>
        <v/>
      </c>
      <c r="N2508" s="48" t="str">
        <f aca="false">IF($A2508="","",IF(N(M2508)=0,"–",IF(M2508&lt;=Start!$D$20,"A",IF(M2508&lt;=Start!$D$21,"B","C"))))</f>
        <v/>
      </c>
      <c r="O2508" s="48" t="str">
        <f aca="false">IF($A2508="","",IF(NOT(ISNUMBER(F2508)),"Wert fehlt; ",IF(F2508&lt;=0,"Wert ist 0; ",""))&amp;IF(NOT(ISNUMBER(E2508)),"Bestand fehlt; ",IF(E2508&lt;0,"Bestand negativ; ",IF(E2508=0,"Nullbestand; ","")))&amp;IF(D2508="","Warengruppe fehlt; ","")&amp;IF(B2508="","Bezeichnung fehlt; ","")&amp;IF(COUNTIFS($A$2:$A$5001,$A2508,$C$2:$C$5001,C2508)&gt;1,"Artikel doppelt im selben Lager; ",""))</f>
        <v/>
      </c>
      <c r="P2508" s="47" t="n">
        <f aca="false">IF(OR($A2508="",D2508=""),0,IF(COUNTIF($D$2:D2508,D2508)=1,SUMIF($D$2:$D$5001,D2508,$H$2:$H$5001)+ROW()/10000000,0))</f>
        <v>0</v>
      </c>
      <c r="Q2508" s="47" t="n">
        <f aca="false">IF(OR($A2508="",C2508=""),0,IF(COUNTIF($C$2:C2508,C2508)=1,SUMIF($C$2:$C$5001,C2508,$H$2:$H$5001)+ROW()/10000000,0))</f>
        <v>0</v>
      </c>
    </row>
    <row r="2509" customFormat="false" ht="15" hidden="false" customHeight="false" outlineLevel="0" collapsed="false">
      <c r="A2509" s="43"/>
      <c r="B2509" s="44"/>
      <c r="C2509" s="44"/>
      <c r="D2509" s="44"/>
      <c r="E2509" s="44"/>
      <c r="F2509" s="44"/>
      <c r="G2509" s="44"/>
      <c r="H2509" s="46" t="str">
        <f aca="false">IF($A2509="","",IF(OR(NOT(ISNUMBER(E2509)),NOT(ISNUMBER(F2509))),"",MAX(0,E2509)*F2509))</f>
        <v/>
      </c>
      <c r="I2509" s="46" t="str">
        <f aca="false">IF($A2509="","",SUMIF($A$2:$A$5001,$A2509,$H$2:$H$5001))</f>
        <v/>
      </c>
      <c r="J2509" s="47" t="n">
        <f aca="false">IF($A2509="",0,IF(COUNTIF($A$2:A2509,$A2509)=1,1,0))</f>
        <v>0</v>
      </c>
      <c r="K2509" s="47" t="n">
        <f aca="false">IF(J2509=1,N(I2509)+ROW()/10000000,0)</f>
        <v>0</v>
      </c>
      <c r="L2509" s="47" t="str">
        <f aca="false">IF(AND(J2509=1,N(I2509)&gt;0),SUMIF($K$2:$K$5001,"&gt;="&amp;K2509,$I$2:$I$5001)/MAX(1,SUM($H$2:$H$5001)),"")</f>
        <v/>
      </c>
      <c r="M2509" s="47" t="str">
        <f aca="false">IF($A2509="","",INDEX($L$2:$L$5001,MATCH($A2509,$A$2:$A$5001,0)))</f>
        <v/>
      </c>
      <c r="N2509" s="48" t="str">
        <f aca="false">IF($A2509="","",IF(N(M2509)=0,"–",IF(M2509&lt;=Start!$D$20,"A",IF(M2509&lt;=Start!$D$21,"B","C"))))</f>
        <v/>
      </c>
      <c r="O2509" s="48" t="str">
        <f aca="false">IF($A2509="","",IF(NOT(ISNUMBER(F2509)),"Wert fehlt; ",IF(F2509&lt;=0,"Wert ist 0; ",""))&amp;IF(NOT(ISNUMBER(E2509)),"Bestand fehlt; ",IF(E2509&lt;0,"Bestand negativ; ",IF(E2509=0,"Nullbestand; ","")))&amp;IF(D2509="","Warengruppe fehlt; ","")&amp;IF(B2509="","Bezeichnung fehlt; ","")&amp;IF(COUNTIFS($A$2:$A$5001,$A2509,$C$2:$C$5001,C2509)&gt;1,"Artikel doppelt im selben Lager; ",""))</f>
        <v/>
      </c>
      <c r="P2509" s="47" t="n">
        <f aca="false">IF(OR($A2509="",D2509=""),0,IF(COUNTIF($D$2:D2509,D2509)=1,SUMIF($D$2:$D$5001,D2509,$H$2:$H$5001)+ROW()/10000000,0))</f>
        <v>0</v>
      </c>
      <c r="Q2509" s="47" t="n">
        <f aca="false">IF(OR($A2509="",C2509=""),0,IF(COUNTIF($C$2:C2509,C2509)=1,SUMIF($C$2:$C$5001,C2509,$H$2:$H$5001)+ROW()/10000000,0))</f>
        <v>0</v>
      </c>
    </row>
    <row r="2510" customFormat="false" ht="15" hidden="false" customHeight="false" outlineLevel="0" collapsed="false">
      <c r="A2510" s="43"/>
      <c r="B2510" s="44"/>
      <c r="C2510" s="44"/>
      <c r="D2510" s="44"/>
      <c r="E2510" s="44"/>
      <c r="F2510" s="44"/>
      <c r="G2510" s="44"/>
      <c r="H2510" s="46" t="str">
        <f aca="false">IF($A2510="","",IF(OR(NOT(ISNUMBER(E2510)),NOT(ISNUMBER(F2510))),"",MAX(0,E2510)*F2510))</f>
        <v/>
      </c>
      <c r="I2510" s="46" t="str">
        <f aca="false">IF($A2510="","",SUMIF($A$2:$A$5001,$A2510,$H$2:$H$5001))</f>
        <v/>
      </c>
      <c r="J2510" s="47" t="n">
        <f aca="false">IF($A2510="",0,IF(COUNTIF($A$2:A2510,$A2510)=1,1,0))</f>
        <v>0</v>
      </c>
      <c r="K2510" s="47" t="n">
        <f aca="false">IF(J2510=1,N(I2510)+ROW()/10000000,0)</f>
        <v>0</v>
      </c>
      <c r="L2510" s="47" t="str">
        <f aca="false">IF(AND(J2510=1,N(I2510)&gt;0),SUMIF($K$2:$K$5001,"&gt;="&amp;K2510,$I$2:$I$5001)/MAX(1,SUM($H$2:$H$5001)),"")</f>
        <v/>
      </c>
      <c r="M2510" s="47" t="str">
        <f aca="false">IF($A2510="","",INDEX($L$2:$L$5001,MATCH($A2510,$A$2:$A$5001,0)))</f>
        <v/>
      </c>
      <c r="N2510" s="48" t="str">
        <f aca="false">IF($A2510="","",IF(N(M2510)=0,"–",IF(M2510&lt;=Start!$D$20,"A",IF(M2510&lt;=Start!$D$21,"B","C"))))</f>
        <v/>
      </c>
      <c r="O2510" s="48" t="str">
        <f aca="false">IF($A2510="","",IF(NOT(ISNUMBER(F2510)),"Wert fehlt; ",IF(F2510&lt;=0,"Wert ist 0; ",""))&amp;IF(NOT(ISNUMBER(E2510)),"Bestand fehlt; ",IF(E2510&lt;0,"Bestand negativ; ",IF(E2510=0,"Nullbestand; ","")))&amp;IF(D2510="","Warengruppe fehlt; ","")&amp;IF(B2510="","Bezeichnung fehlt; ","")&amp;IF(COUNTIFS($A$2:$A$5001,$A2510,$C$2:$C$5001,C2510)&gt;1,"Artikel doppelt im selben Lager; ",""))</f>
        <v/>
      </c>
      <c r="P2510" s="47" t="n">
        <f aca="false">IF(OR($A2510="",D2510=""),0,IF(COUNTIF($D$2:D2510,D2510)=1,SUMIF($D$2:$D$5001,D2510,$H$2:$H$5001)+ROW()/10000000,0))</f>
        <v>0</v>
      </c>
      <c r="Q2510" s="47" t="n">
        <f aca="false">IF(OR($A2510="",C2510=""),0,IF(COUNTIF($C$2:C2510,C2510)=1,SUMIF($C$2:$C$5001,C2510,$H$2:$H$5001)+ROW()/10000000,0))</f>
        <v>0</v>
      </c>
    </row>
    <row r="2511" customFormat="false" ht="15" hidden="false" customHeight="false" outlineLevel="0" collapsed="false">
      <c r="A2511" s="43"/>
      <c r="B2511" s="44"/>
      <c r="C2511" s="44"/>
      <c r="D2511" s="44"/>
      <c r="E2511" s="44"/>
      <c r="F2511" s="44"/>
      <c r="G2511" s="44"/>
      <c r="H2511" s="46" t="str">
        <f aca="false">IF($A2511="","",IF(OR(NOT(ISNUMBER(E2511)),NOT(ISNUMBER(F2511))),"",MAX(0,E2511)*F2511))</f>
        <v/>
      </c>
      <c r="I2511" s="46" t="str">
        <f aca="false">IF($A2511="","",SUMIF($A$2:$A$5001,$A2511,$H$2:$H$5001))</f>
        <v/>
      </c>
      <c r="J2511" s="47" t="n">
        <f aca="false">IF($A2511="",0,IF(COUNTIF($A$2:A2511,$A2511)=1,1,0))</f>
        <v>0</v>
      </c>
      <c r="K2511" s="47" t="n">
        <f aca="false">IF(J2511=1,N(I2511)+ROW()/10000000,0)</f>
        <v>0</v>
      </c>
      <c r="L2511" s="47" t="str">
        <f aca="false">IF(AND(J2511=1,N(I2511)&gt;0),SUMIF($K$2:$K$5001,"&gt;="&amp;K2511,$I$2:$I$5001)/MAX(1,SUM($H$2:$H$5001)),"")</f>
        <v/>
      </c>
      <c r="M2511" s="47" t="str">
        <f aca="false">IF($A2511="","",INDEX($L$2:$L$5001,MATCH($A2511,$A$2:$A$5001,0)))</f>
        <v/>
      </c>
      <c r="N2511" s="48" t="str">
        <f aca="false">IF($A2511="","",IF(N(M2511)=0,"–",IF(M2511&lt;=Start!$D$20,"A",IF(M2511&lt;=Start!$D$21,"B","C"))))</f>
        <v/>
      </c>
      <c r="O2511" s="48" t="str">
        <f aca="false">IF($A2511="","",IF(NOT(ISNUMBER(F2511)),"Wert fehlt; ",IF(F2511&lt;=0,"Wert ist 0; ",""))&amp;IF(NOT(ISNUMBER(E2511)),"Bestand fehlt; ",IF(E2511&lt;0,"Bestand negativ; ",IF(E2511=0,"Nullbestand; ","")))&amp;IF(D2511="","Warengruppe fehlt; ","")&amp;IF(B2511="","Bezeichnung fehlt; ","")&amp;IF(COUNTIFS($A$2:$A$5001,$A2511,$C$2:$C$5001,C2511)&gt;1,"Artikel doppelt im selben Lager; ",""))</f>
        <v/>
      </c>
      <c r="P2511" s="47" t="n">
        <f aca="false">IF(OR($A2511="",D2511=""),0,IF(COUNTIF($D$2:D2511,D2511)=1,SUMIF($D$2:$D$5001,D2511,$H$2:$H$5001)+ROW()/10000000,0))</f>
        <v>0</v>
      </c>
      <c r="Q2511" s="47" t="n">
        <f aca="false">IF(OR($A2511="",C2511=""),0,IF(COUNTIF($C$2:C2511,C2511)=1,SUMIF($C$2:$C$5001,C2511,$H$2:$H$5001)+ROW()/10000000,0))</f>
        <v>0</v>
      </c>
    </row>
    <row r="2512" customFormat="false" ht="15" hidden="false" customHeight="false" outlineLevel="0" collapsed="false">
      <c r="A2512" s="43"/>
      <c r="B2512" s="44"/>
      <c r="C2512" s="44"/>
      <c r="D2512" s="44"/>
      <c r="E2512" s="44"/>
      <c r="F2512" s="44"/>
      <c r="G2512" s="44"/>
      <c r="H2512" s="46" t="str">
        <f aca="false">IF($A2512="","",IF(OR(NOT(ISNUMBER(E2512)),NOT(ISNUMBER(F2512))),"",MAX(0,E2512)*F2512))</f>
        <v/>
      </c>
      <c r="I2512" s="46" t="str">
        <f aca="false">IF($A2512="","",SUMIF($A$2:$A$5001,$A2512,$H$2:$H$5001))</f>
        <v/>
      </c>
      <c r="J2512" s="47" t="n">
        <f aca="false">IF($A2512="",0,IF(COUNTIF($A$2:A2512,$A2512)=1,1,0))</f>
        <v>0</v>
      </c>
      <c r="K2512" s="47" t="n">
        <f aca="false">IF(J2512=1,N(I2512)+ROW()/10000000,0)</f>
        <v>0</v>
      </c>
      <c r="L2512" s="47" t="str">
        <f aca="false">IF(AND(J2512=1,N(I2512)&gt;0),SUMIF($K$2:$K$5001,"&gt;="&amp;K2512,$I$2:$I$5001)/MAX(1,SUM($H$2:$H$5001)),"")</f>
        <v/>
      </c>
      <c r="M2512" s="47" t="str">
        <f aca="false">IF($A2512="","",INDEX($L$2:$L$5001,MATCH($A2512,$A$2:$A$5001,0)))</f>
        <v/>
      </c>
      <c r="N2512" s="48" t="str">
        <f aca="false">IF($A2512="","",IF(N(M2512)=0,"–",IF(M2512&lt;=Start!$D$20,"A",IF(M2512&lt;=Start!$D$21,"B","C"))))</f>
        <v/>
      </c>
      <c r="O2512" s="48" t="str">
        <f aca="false">IF($A2512="","",IF(NOT(ISNUMBER(F2512)),"Wert fehlt; ",IF(F2512&lt;=0,"Wert ist 0; ",""))&amp;IF(NOT(ISNUMBER(E2512)),"Bestand fehlt; ",IF(E2512&lt;0,"Bestand negativ; ",IF(E2512=0,"Nullbestand; ","")))&amp;IF(D2512="","Warengruppe fehlt; ","")&amp;IF(B2512="","Bezeichnung fehlt; ","")&amp;IF(COUNTIFS($A$2:$A$5001,$A2512,$C$2:$C$5001,C2512)&gt;1,"Artikel doppelt im selben Lager; ",""))</f>
        <v/>
      </c>
      <c r="P2512" s="47" t="n">
        <f aca="false">IF(OR($A2512="",D2512=""),0,IF(COUNTIF($D$2:D2512,D2512)=1,SUMIF($D$2:$D$5001,D2512,$H$2:$H$5001)+ROW()/10000000,0))</f>
        <v>0</v>
      </c>
      <c r="Q2512" s="47" t="n">
        <f aca="false">IF(OR($A2512="",C2512=""),0,IF(COUNTIF($C$2:C2512,C2512)=1,SUMIF($C$2:$C$5001,C2512,$H$2:$H$5001)+ROW()/10000000,0))</f>
        <v>0</v>
      </c>
    </row>
    <row r="2513" customFormat="false" ht="15" hidden="false" customHeight="false" outlineLevel="0" collapsed="false">
      <c r="A2513" s="43"/>
      <c r="B2513" s="44"/>
      <c r="C2513" s="44"/>
      <c r="D2513" s="44"/>
      <c r="E2513" s="44"/>
      <c r="F2513" s="44"/>
      <c r="G2513" s="44"/>
      <c r="H2513" s="46" t="str">
        <f aca="false">IF($A2513="","",IF(OR(NOT(ISNUMBER(E2513)),NOT(ISNUMBER(F2513))),"",MAX(0,E2513)*F2513))</f>
        <v/>
      </c>
      <c r="I2513" s="46" t="str">
        <f aca="false">IF($A2513="","",SUMIF($A$2:$A$5001,$A2513,$H$2:$H$5001))</f>
        <v/>
      </c>
      <c r="J2513" s="47" t="n">
        <f aca="false">IF($A2513="",0,IF(COUNTIF($A$2:A2513,$A2513)=1,1,0))</f>
        <v>0</v>
      </c>
      <c r="K2513" s="47" t="n">
        <f aca="false">IF(J2513=1,N(I2513)+ROW()/10000000,0)</f>
        <v>0</v>
      </c>
      <c r="L2513" s="47" t="str">
        <f aca="false">IF(AND(J2513=1,N(I2513)&gt;0),SUMIF($K$2:$K$5001,"&gt;="&amp;K2513,$I$2:$I$5001)/MAX(1,SUM($H$2:$H$5001)),"")</f>
        <v/>
      </c>
      <c r="M2513" s="47" t="str">
        <f aca="false">IF($A2513="","",INDEX($L$2:$L$5001,MATCH($A2513,$A$2:$A$5001,0)))</f>
        <v/>
      </c>
      <c r="N2513" s="48" t="str">
        <f aca="false">IF($A2513="","",IF(N(M2513)=0,"–",IF(M2513&lt;=Start!$D$20,"A",IF(M2513&lt;=Start!$D$21,"B","C"))))</f>
        <v/>
      </c>
      <c r="O2513" s="48" t="str">
        <f aca="false">IF($A2513="","",IF(NOT(ISNUMBER(F2513)),"Wert fehlt; ",IF(F2513&lt;=0,"Wert ist 0; ",""))&amp;IF(NOT(ISNUMBER(E2513)),"Bestand fehlt; ",IF(E2513&lt;0,"Bestand negativ; ",IF(E2513=0,"Nullbestand; ","")))&amp;IF(D2513="","Warengruppe fehlt; ","")&amp;IF(B2513="","Bezeichnung fehlt; ","")&amp;IF(COUNTIFS($A$2:$A$5001,$A2513,$C$2:$C$5001,C2513)&gt;1,"Artikel doppelt im selben Lager; ",""))</f>
        <v/>
      </c>
      <c r="P2513" s="47" t="n">
        <f aca="false">IF(OR($A2513="",D2513=""),0,IF(COUNTIF($D$2:D2513,D2513)=1,SUMIF($D$2:$D$5001,D2513,$H$2:$H$5001)+ROW()/10000000,0))</f>
        <v>0</v>
      </c>
      <c r="Q2513" s="47" t="n">
        <f aca="false">IF(OR($A2513="",C2513=""),0,IF(COUNTIF($C$2:C2513,C2513)=1,SUMIF($C$2:$C$5001,C2513,$H$2:$H$5001)+ROW()/10000000,0))</f>
        <v>0</v>
      </c>
    </row>
    <row r="2514" customFormat="false" ht="15" hidden="false" customHeight="false" outlineLevel="0" collapsed="false">
      <c r="A2514" s="43"/>
      <c r="B2514" s="44"/>
      <c r="C2514" s="44"/>
      <c r="D2514" s="44"/>
      <c r="E2514" s="44"/>
      <c r="F2514" s="44"/>
      <c r="G2514" s="44"/>
      <c r="H2514" s="46" t="str">
        <f aca="false">IF($A2514="","",IF(OR(NOT(ISNUMBER(E2514)),NOT(ISNUMBER(F2514))),"",MAX(0,E2514)*F2514))</f>
        <v/>
      </c>
      <c r="I2514" s="46" t="str">
        <f aca="false">IF($A2514="","",SUMIF($A$2:$A$5001,$A2514,$H$2:$H$5001))</f>
        <v/>
      </c>
      <c r="J2514" s="47" t="n">
        <f aca="false">IF($A2514="",0,IF(COUNTIF($A$2:A2514,$A2514)=1,1,0))</f>
        <v>0</v>
      </c>
      <c r="K2514" s="47" t="n">
        <f aca="false">IF(J2514=1,N(I2514)+ROW()/10000000,0)</f>
        <v>0</v>
      </c>
      <c r="L2514" s="47" t="str">
        <f aca="false">IF(AND(J2514=1,N(I2514)&gt;0),SUMIF($K$2:$K$5001,"&gt;="&amp;K2514,$I$2:$I$5001)/MAX(1,SUM($H$2:$H$5001)),"")</f>
        <v/>
      </c>
      <c r="M2514" s="47" t="str">
        <f aca="false">IF($A2514="","",INDEX($L$2:$L$5001,MATCH($A2514,$A$2:$A$5001,0)))</f>
        <v/>
      </c>
      <c r="N2514" s="48" t="str">
        <f aca="false">IF($A2514="","",IF(N(M2514)=0,"–",IF(M2514&lt;=Start!$D$20,"A",IF(M2514&lt;=Start!$D$21,"B","C"))))</f>
        <v/>
      </c>
      <c r="O2514" s="48" t="str">
        <f aca="false">IF($A2514="","",IF(NOT(ISNUMBER(F2514)),"Wert fehlt; ",IF(F2514&lt;=0,"Wert ist 0; ",""))&amp;IF(NOT(ISNUMBER(E2514)),"Bestand fehlt; ",IF(E2514&lt;0,"Bestand negativ; ",IF(E2514=0,"Nullbestand; ","")))&amp;IF(D2514="","Warengruppe fehlt; ","")&amp;IF(B2514="","Bezeichnung fehlt; ","")&amp;IF(COUNTIFS($A$2:$A$5001,$A2514,$C$2:$C$5001,C2514)&gt;1,"Artikel doppelt im selben Lager; ",""))</f>
        <v/>
      </c>
      <c r="P2514" s="47" t="n">
        <f aca="false">IF(OR($A2514="",D2514=""),0,IF(COUNTIF($D$2:D2514,D2514)=1,SUMIF($D$2:$D$5001,D2514,$H$2:$H$5001)+ROW()/10000000,0))</f>
        <v>0</v>
      </c>
      <c r="Q2514" s="47" t="n">
        <f aca="false">IF(OR($A2514="",C2514=""),0,IF(COUNTIF($C$2:C2514,C2514)=1,SUMIF($C$2:$C$5001,C2514,$H$2:$H$5001)+ROW()/10000000,0))</f>
        <v>0</v>
      </c>
    </row>
    <row r="2515" customFormat="false" ht="15" hidden="false" customHeight="false" outlineLevel="0" collapsed="false">
      <c r="A2515" s="43"/>
      <c r="B2515" s="44"/>
      <c r="C2515" s="44"/>
      <c r="D2515" s="44"/>
      <c r="E2515" s="44"/>
      <c r="F2515" s="44"/>
      <c r="G2515" s="44"/>
      <c r="H2515" s="46" t="str">
        <f aca="false">IF($A2515="","",IF(OR(NOT(ISNUMBER(E2515)),NOT(ISNUMBER(F2515))),"",MAX(0,E2515)*F2515))</f>
        <v/>
      </c>
      <c r="I2515" s="46" t="str">
        <f aca="false">IF($A2515="","",SUMIF($A$2:$A$5001,$A2515,$H$2:$H$5001))</f>
        <v/>
      </c>
      <c r="J2515" s="47" t="n">
        <f aca="false">IF($A2515="",0,IF(COUNTIF($A$2:A2515,$A2515)=1,1,0))</f>
        <v>0</v>
      </c>
      <c r="K2515" s="47" t="n">
        <f aca="false">IF(J2515=1,N(I2515)+ROW()/10000000,0)</f>
        <v>0</v>
      </c>
      <c r="L2515" s="47" t="str">
        <f aca="false">IF(AND(J2515=1,N(I2515)&gt;0),SUMIF($K$2:$K$5001,"&gt;="&amp;K2515,$I$2:$I$5001)/MAX(1,SUM($H$2:$H$5001)),"")</f>
        <v/>
      </c>
      <c r="M2515" s="47" t="str">
        <f aca="false">IF($A2515="","",INDEX($L$2:$L$5001,MATCH($A2515,$A$2:$A$5001,0)))</f>
        <v/>
      </c>
      <c r="N2515" s="48" t="str">
        <f aca="false">IF($A2515="","",IF(N(M2515)=0,"–",IF(M2515&lt;=Start!$D$20,"A",IF(M2515&lt;=Start!$D$21,"B","C"))))</f>
        <v/>
      </c>
      <c r="O2515" s="48" t="str">
        <f aca="false">IF($A2515="","",IF(NOT(ISNUMBER(F2515)),"Wert fehlt; ",IF(F2515&lt;=0,"Wert ist 0; ",""))&amp;IF(NOT(ISNUMBER(E2515)),"Bestand fehlt; ",IF(E2515&lt;0,"Bestand negativ; ",IF(E2515=0,"Nullbestand; ","")))&amp;IF(D2515="","Warengruppe fehlt; ","")&amp;IF(B2515="","Bezeichnung fehlt; ","")&amp;IF(COUNTIFS($A$2:$A$5001,$A2515,$C$2:$C$5001,C2515)&gt;1,"Artikel doppelt im selben Lager; ",""))</f>
        <v/>
      </c>
      <c r="P2515" s="47" t="n">
        <f aca="false">IF(OR($A2515="",D2515=""),0,IF(COUNTIF($D$2:D2515,D2515)=1,SUMIF($D$2:$D$5001,D2515,$H$2:$H$5001)+ROW()/10000000,0))</f>
        <v>0</v>
      </c>
      <c r="Q2515" s="47" t="n">
        <f aca="false">IF(OR($A2515="",C2515=""),0,IF(COUNTIF($C$2:C2515,C2515)=1,SUMIF($C$2:$C$5001,C2515,$H$2:$H$5001)+ROW()/10000000,0))</f>
        <v>0</v>
      </c>
    </row>
    <row r="2516" customFormat="false" ht="15" hidden="false" customHeight="false" outlineLevel="0" collapsed="false">
      <c r="A2516" s="43"/>
      <c r="B2516" s="44"/>
      <c r="C2516" s="44"/>
      <c r="D2516" s="44"/>
      <c r="E2516" s="44"/>
      <c r="F2516" s="44"/>
      <c r="G2516" s="44"/>
      <c r="H2516" s="46" t="str">
        <f aca="false">IF($A2516="","",IF(OR(NOT(ISNUMBER(E2516)),NOT(ISNUMBER(F2516))),"",MAX(0,E2516)*F2516))</f>
        <v/>
      </c>
      <c r="I2516" s="46" t="str">
        <f aca="false">IF($A2516="","",SUMIF($A$2:$A$5001,$A2516,$H$2:$H$5001))</f>
        <v/>
      </c>
      <c r="J2516" s="47" t="n">
        <f aca="false">IF($A2516="",0,IF(COUNTIF($A$2:A2516,$A2516)=1,1,0))</f>
        <v>0</v>
      </c>
      <c r="K2516" s="47" t="n">
        <f aca="false">IF(J2516=1,N(I2516)+ROW()/10000000,0)</f>
        <v>0</v>
      </c>
      <c r="L2516" s="47" t="str">
        <f aca="false">IF(AND(J2516=1,N(I2516)&gt;0),SUMIF($K$2:$K$5001,"&gt;="&amp;K2516,$I$2:$I$5001)/MAX(1,SUM($H$2:$H$5001)),"")</f>
        <v/>
      </c>
      <c r="M2516" s="47" t="str">
        <f aca="false">IF($A2516="","",INDEX($L$2:$L$5001,MATCH($A2516,$A$2:$A$5001,0)))</f>
        <v/>
      </c>
      <c r="N2516" s="48" t="str">
        <f aca="false">IF($A2516="","",IF(N(M2516)=0,"–",IF(M2516&lt;=Start!$D$20,"A",IF(M2516&lt;=Start!$D$21,"B","C"))))</f>
        <v/>
      </c>
      <c r="O2516" s="48" t="str">
        <f aca="false">IF($A2516="","",IF(NOT(ISNUMBER(F2516)),"Wert fehlt; ",IF(F2516&lt;=0,"Wert ist 0; ",""))&amp;IF(NOT(ISNUMBER(E2516)),"Bestand fehlt; ",IF(E2516&lt;0,"Bestand negativ; ",IF(E2516=0,"Nullbestand; ","")))&amp;IF(D2516="","Warengruppe fehlt; ","")&amp;IF(B2516="","Bezeichnung fehlt; ","")&amp;IF(COUNTIFS($A$2:$A$5001,$A2516,$C$2:$C$5001,C2516)&gt;1,"Artikel doppelt im selben Lager; ",""))</f>
        <v/>
      </c>
      <c r="P2516" s="47" t="n">
        <f aca="false">IF(OR($A2516="",D2516=""),0,IF(COUNTIF($D$2:D2516,D2516)=1,SUMIF($D$2:$D$5001,D2516,$H$2:$H$5001)+ROW()/10000000,0))</f>
        <v>0</v>
      </c>
      <c r="Q2516" s="47" t="n">
        <f aca="false">IF(OR($A2516="",C2516=""),0,IF(COUNTIF($C$2:C2516,C2516)=1,SUMIF($C$2:$C$5001,C2516,$H$2:$H$5001)+ROW()/10000000,0))</f>
        <v>0</v>
      </c>
    </row>
    <row r="2517" customFormat="false" ht="15" hidden="false" customHeight="false" outlineLevel="0" collapsed="false">
      <c r="A2517" s="43"/>
      <c r="B2517" s="44"/>
      <c r="C2517" s="44"/>
      <c r="D2517" s="44"/>
      <c r="E2517" s="44"/>
      <c r="F2517" s="44"/>
      <c r="G2517" s="44"/>
      <c r="H2517" s="46" t="str">
        <f aca="false">IF($A2517="","",IF(OR(NOT(ISNUMBER(E2517)),NOT(ISNUMBER(F2517))),"",MAX(0,E2517)*F2517))</f>
        <v/>
      </c>
      <c r="I2517" s="46" t="str">
        <f aca="false">IF($A2517="","",SUMIF($A$2:$A$5001,$A2517,$H$2:$H$5001))</f>
        <v/>
      </c>
      <c r="J2517" s="47" t="n">
        <f aca="false">IF($A2517="",0,IF(COUNTIF($A$2:A2517,$A2517)=1,1,0))</f>
        <v>0</v>
      </c>
      <c r="K2517" s="47" t="n">
        <f aca="false">IF(J2517=1,N(I2517)+ROW()/10000000,0)</f>
        <v>0</v>
      </c>
      <c r="L2517" s="47" t="str">
        <f aca="false">IF(AND(J2517=1,N(I2517)&gt;0),SUMIF($K$2:$K$5001,"&gt;="&amp;K2517,$I$2:$I$5001)/MAX(1,SUM($H$2:$H$5001)),"")</f>
        <v/>
      </c>
      <c r="M2517" s="47" t="str">
        <f aca="false">IF($A2517="","",INDEX($L$2:$L$5001,MATCH($A2517,$A$2:$A$5001,0)))</f>
        <v/>
      </c>
      <c r="N2517" s="48" t="str">
        <f aca="false">IF($A2517="","",IF(N(M2517)=0,"–",IF(M2517&lt;=Start!$D$20,"A",IF(M2517&lt;=Start!$D$21,"B","C"))))</f>
        <v/>
      </c>
      <c r="O2517" s="48" t="str">
        <f aca="false">IF($A2517="","",IF(NOT(ISNUMBER(F2517)),"Wert fehlt; ",IF(F2517&lt;=0,"Wert ist 0; ",""))&amp;IF(NOT(ISNUMBER(E2517)),"Bestand fehlt; ",IF(E2517&lt;0,"Bestand negativ; ",IF(E2517=0,"Nullbestand; ","")))&amp;IF(D2517="","Warengruppe fehlt; ","")&amp;IF(B2517="","Bezeichnung fehlt; ","")&amp;IF(COUNTIFS($A$2:$A$5001,$A2517,$C$2:$C$5001,C2517)&gt;1,"Artikel doppelt im selben Lager; ",""))</f>
        <v/>
      </c>
      <c r="P2517" s="47" t="n">
        <f aca="false">IF(OR($A2517="",D2517=""),0,IF(COUNTIF($D$2:D2517,D2517)=1,SUMIF($D$2:$D$5001,D2517,$H$2:$H$5001)+ROW()/10000000,0))</f>
        <v>0</v>
      </c>
      <c r="Q2517" s="47" t="n">
        <f aca="false">IF(OR($A2517="",C2517=""),0,IF(COUNTIF($C$2:C2517,C2517)=1,SUMIF($C$2:$C$5001,C2517,$H$2:$H$5001)+ROW()/10000000,0))</f>
        <v>0</v>
      </c>
    </row>
    <row r="2518" customFormat="false" ht="15" hidden="false" customHeight="false" outlineLevel="0" collapsed="false">
      <c r="A2518" s="43"/>
      <c r="B2518" s="44"/>
      <c r="C2518" s="44"/>
      <c r="D2518" s="44"/>
      <c r="E2518" s="44"/>
      <c r="F2518" s="44"/>
      <c r="G2518" s="44"/>
      <c r="H2518" s="46" t="str">
        <f aca="false">IF($A2518="","",IF(OR(NOT(ISNUMBER(E2518)),NOT(ISNUMBER(F2518))),"",MAX(0,E2518)*F2518))</f>
        <v/>
      </c>
      <c r="I2518" s="46" t="str">
        <f aca="false">IF($A2518="","",SUMIF($A$2:$A$5001,$A2518,$H$2:$H$5001))</f>
        <v/>
      </c>
      <c r="J2518" s="47" t="n">
        <f aca="false">IF($A2518="",0,IF(COUNTIF($A$2:A2518,$A2518)=1,1,0))</f>
        <v>0</v>
      </c>
      <c r="K2518" s="47" t="n">
        <f aca="false">IF(J2518=1,N(I2518)+ROW()/10000000,0)</f>
        <v>0</v>
      </c>
      <c r="L2518" s="47" t="str">
        <f aca="false">IF(AND(J2518=1,N(I2518)&gt;0),SUMIF($K$2:$K$5001,"&gt;="&amp;K2518,$I$2:$I$5001)/MAX(1,SUM($H$2:$H$5001)),"")</f>
        <v/>
      </c>
      <c r="M2518" s="47" t="str">
        <f aca="false">IF($A2518="","",INDEX($L$2:$L$5001,MATCH($A2518,$A$2:$A$5001,0)))</f>
        <v/>
      </c>
      <c r="N2518" s="48" t="str">
        <f aca="false">IF($A2518="","",IF(N(M2518)=0,"–",IF(M2518&lt;=Start!$D$20,"A",IF(M2518&lt;=Start!$D$21,"B","C"))))</f>
        <v/>
      </c>
      <c r="O2518" s="48" t="str">
        <f aca="false">IF($A2518="","",IF(NOT(ISNUMBER(F2518)),"Wert fehlt; ",IF(F2518&lt;=0,"Wert ist 0; ",""))&amp;IF(NOT(ISNUMBER(E2518)),"Bestand fehlt; ",IF(E2518&lt;0,"Bestand negativ; ",IF(E2518=0,"Nullbestand; ","")))&amp;IF(D2518="","Warengruppe fehlt; ","")&amp;IF(B2518="","Bezeichnung fehlt; ","")&amp;IF(COUNTIFS($A$2:$A$5001,$A2518,$C$2:$C$5001,C2518)&gt;1,"Artikel doppelt im selben Lager; ",""))</f>
        <v/>
      </c>
      <c r="P2518" s="47" t="n">
        <f aca="false">IF(OR($A2518="",D2518=""),0,IF(COUNTIF($D$2:D2518,D2518)=1,SUMIF($D$2:$D$5001,D2518,$H$2:$H$5001)+ROW()/10000000,0))</f>
        <v>0</v>
      </c>
      <c r="Q2518" s="47" t="n">
        <f aca="false">IF(OR($A2518="",C2518=""),0,IF(COUNTIF($C$2:C2518,C2518)=1,SUMIF($C$2:$C$5001,C2518,$H$2:$H$5001)+ROW()/10000000,0))</f>
        <v>0</v>
      </c>
    </row>
    <row r="2519" customFormat="false" ht="15" hidden="false" customHeight="false" outlineLevel="0" collapsed="false">
      <c r="A2519" s="43"/>
      <c r="B2519" s="44"/>
      <c r="C2519" s="44"/>
      <c r="D2519" s="44"/>
      <c r="E2519" s="44"/>
      <c r="F2519" s="44"/>
      <c r="G2519" s="44"/>
      <c r="H2519" s="46" t="str">
        <f aca="false">IF($A2519="","",IF(OR(NOT(ISNUMBER(E2519)),NOT(ISNUMBER(F2519))),"",MAX(0,E2519)*F2519))</f>
        <v/>
      </c>
      <c r="I2519" s="46" t="str">
        <f aca="false">IF($A2519="","",SUMIF($A$2:$A$5001,$A2519,$H$2:$H$5001))</f>
        <v/>
      </c>
      <c r="J2519" s="47" t="n">
        <f aca="false">IF($A2519="",0,IF(COUNTIF($A$2:A2519,$A2519)=1,1,0))</f>
        <v>0</v>
      </c>
      <c r="K2519" s="47" t="n">
        <f aca="false">IF(J2519=1,N(I2519)+ROW()/10000000,0)</f>
        <v>0</v>
      </c>
      <c r="L2519" s="47" t="str">
        <f aca="false">IF(AND(J2519=1,N(I2519)&gt;0),SUMIF($K$2:$K$5001,"&gt;="&amp;K2519,$I$2:$I$5001)/MAX(1,SUM($H$2:$H$5001)),"")</f>
        <v/>
      </c>
      <c r="M2519" s="47" t="str">
        <f aca="false">IF($A2519="","",INDEX($L$2:$L$5001,MATCH($A2519,$A$2:$A$5001,0)))</f>
        <v/>
      </c>
      <c r="N2519" s="48" t="str">
        <f aca="false">IF($A2519="","",IF(N(M2519)=0,"–",IF(M2519&lt;=Start!$D$20,"A",IF(M2519&lt;=Start!$D$21,"B","C"))))</f>
        <v/>
      </c>
      <c r="O2519" s="48" t="str">
        <f aca="false">IF($A2519="","",IF(NOT(ISNUMBER(F2519)),"Wert fehlt; ",IF(F2519&lt;=0,"Wert ist 0; ",""))&amp;IF(NOT(ISNUMBER(E2519)),"Bestand fehlt; ",IF(E2519&lt;0,"Bestand negativ; ",IF(E2519=0,"Nullbestand; ","")))&amp;IF(D2519="","Warengruppe fehlt; ","")&amp;IF(B2519="","Bezeichnung fehlt; ","")&amp;IF(COUNTIFS($A$2:$A$5001,$A2519,$C$2:$C$5001,C2519)&gt;1,"Artikel doppelt im selben Lager; ",""))</f>
        <v/>
      </c>
      <c r="P2519" s="47" t="n">
        <f aca="false">IF(OR($A2519="",D2519=""),0,IF(COUNTIF($D$2:D2519,D2519)=1,SUMIF($D$2:$D$5001,D2519,$H$2:$H$5001)+ROW()/10000000,0))</f>
        <v>0</v>
      </c>
      <c r="Q2519" s="47" t="n">
        <f aca="false">IF(OR($A2519="",C2519=""),0,IF(COUNTIF($C$2:C2519,C2519)=1,SUMIF($C$2:$C$5001,C2519,$H$2:$H$5001)+ROW()/10000000,0))</f>
        <v>0</v>
      </c>
    </row>
    <row r="2520" customFormat="false" ht="15" hidden="false" customHeight="false" outlineLevel="0" collapsed="false">
      <c r="A2520" s="43"/>
      <c r="B2520" s="44"/>
      <c r="C2520" s="44"/>
      <c r="D2520" s="44"/>
      <c r="E2520" s="44"/>
      <c r="F2520" s="44"/>
      <c r="G2520" s="44"/>
      <c r="H2520" s="46" t="str">
        <f aca="false">IF($A2520="","",IF(OR(NOT(ISNUMBER(E2520)),NOT(ISNUMBER(F2520))),"",MAX(0,E2520)*F2520))</f>
        <v/>
      </c>
      <c r="I2520" s="46" t="str">
        <f aca="false">IF($A2520="","",SUMIF($A$2:$A$5001,$A2520,$H$2:$H$5001))</f>
        <v/>
      </c>
      <c r="J2520" s="47" t="n">
        <f aca="false">IF($A2520="",0,IF(COUNTIF($A$2:A2520,$A2520)=1,1,0))</f>
        <v>0</v>
      </c>
      <c r="K2520" s="47" t="n">
        <f aca="false">IF(J2520=1,N(I2520)+ROW()/10000000,0)</f>
        <v>0</v>
      </c>
      <c r="L2520" s="47" t="str">
        <f aca="false">IF(AND(J2520=1,N(I2520)&gt;0),SUMIF($K$2:$K$5001,"&gt;="&amp;K2520,$I$2:$I$5001)/MAX(1,SUM($H$2:$H$5001)),"")</f>
        <v/>
      </c>
      <c r="M2520" s="47" t="str">
        <f aca="false">IF($A2520="","",INDEX($L$2:$L$5001,MATCH($A2520,$A$2:$A$5001,0)))</f>
        <v/>
      </c>
      <c r="N2520" s="48" t="str">
        <f aca="false">IF($A2520="","",IF(N(M2520)=0,"–",IF(M2520&lt;=Start!$D$20,"A",IF(M2520&lt;=Start!$D$21,"B","C"))))</f>
        <v/>
      </c>
      <c r="O2520" s="48" t="str">
        <f aca="false">IF($A2520="","",IF(NOT(ISNUMBER(F2520)),"Wert fehlt; ",IF(F2520&lt;=0,"Wert ist 0; ",""))&amp;IF(NOT(ISNUMBER(E2520)),"Bestand fehlt; ",IF(E2520&lt;0,"Bestand negativ; ",IF(E2520=0,"Nullbestand; ","")))&amp;IF(D2520="","Warengruppe fehlt; ","")&amp;IF(B2520="","Bezeichnung fehlt; ","")&amp;IF(COUNTIFS($A$2:$A$5001,$A2520,$C$2:$C$5001,C2520)&gt;1,"Artikel doppelt im selben Lager; ",""))</f>
        <v/>
      </c>
      <c r="P2520" s="47" t="n">
        <f aca="false">IF(OR($A2520="",D2520=""),0,IF(COUNTIF($D$2:D2520,D2520)=1,SUMIF($D$2:$D$5001,D2520,$H$2:$H$5001)+ROW()/10000000,0))</f>
        <v>0</v>
      </c>
      <c r="Q2520" s="47" t="n">
        <f aca="false">IF(OR($A2520="",C2520=""),0,IF(COUNTIF($C$2:C2520,C2520)=1,SUMIF($C$2:$C$5001,C2520,$H$2:$H$5001)+ROW()/10000000,0))</f>
        <v>0</v>
      </c>
    </row>
    <row r="2521" customFormat="false" ht="15" hidden="false" customHeight="false" outlineLevel="0" collapsed="false">
      <c r="A2521" s="43"/>
      <c r="B2521" s="44"/>
      <c r="C2521" s="44"/>
      <c r="D2521" s="44"/>
      <c r="E2521" s="44"/>
      <c r="F2521" s="44"/>
      <c r="G2521" s="44"/>
      <c r="H2521" s="46" t="str">
        <f aca="false">IF($A2521="","",IF(OR(NOT(ISNUMBER(E2521)),NOT(ISNUMBER(F2521))),"",MAX(0,E2521)*F2521))</f>
        <v/>
      </c>
      <c r="I2521" s="46" t="str">
        <f aca="false">IF($A2521="","",SUMIF($A$2:$A$5001,$A2521,$H$2:$H$5001))</f>
        <v/>
      </c>
      <c r="J2521" s="47" t="n">
        <f aca="false">IF($A2521="",0,IF(COUNTIF($A$2:A2521,$A2521)=1,1,0))</f>
        <v>0</v>
      </c>
      <c r="K2521" s="47" t="n">
        <f aca="false">IF(J2521=1,N(I2521)+ROW()/10000000,0)</f>
        <v>0</v>
      </c>
      <c r="L2521" s="47" t="str">
        <f aca="false">IF(AND(J2521=1,N(I2521)&gt;0),SUMIF($K$2:$K$5001,"&gt;="&amp;K2521,$I$2:$I$5001)/MAX(1,SUM($H$2:$H$5001)),"")</f>
        <v/>
      </c>
      <c r="M2521" s="47" t="str">
        <f aca="false">IF($A2521="","",INDEX($L$2:$L$5001,MATCH($A2521,$A$2:$A$5001,0)))</f>
        <v/>
      </c>
      <c r="N2521" s="48" t="str">
        <f aca="false">IF($A2521="","",IF(N(M2521)=0,"–",IF(M2521&lt;=Start!$D$20,"A",IF(M2521&lt;=Start!$D$21,"B","C"))))</f>
        <v/>
      </c>
      <c r="O2521" s="48" t="str">
        <f aca="false">IF($A2521="","",IF(NOT(ISNUMBER(F2521)),"Wert fehlt; ",IF(F2521&lt;=0,"Wert ist 0; ",""))&amp;IF(NOT(ISNUMBER(E2521)),"Bestand fehlt; ",IF(E2521&lt;0,"Bestand negativ; ",IF(E2521=0,"Nullbestand; ","")))&amp;IF(D2521="","Warengruppe fehlt; ","")&amp;IF(B2521="","Bezeichnung fehlt; ","")&amp;IF(COUNTIFS($A$2:$A$5001,$A2521,$C$2:$C$5001,C2521)&gt;1,"Artikel doppelt im selben Lager; ",""))</f>
        <v/>
      </c>
      <c r="P2521" s="47" t="n">
        <f aca="false">IF(OR($A2521="",D2521=""),0,IF(COUNTIF($D$2:D2521,D2521)=1,SUMIF($D$2:$D$5001,D2521,$H$2:$H$5001)+ROW()/10000000,0))</f>
        <v>0</v>
      </c>
      <c r="Q2521" s="47" t="n">
        <f aca="false">IF(OR($A2521="",C2521=""),0,IF(COUNTIF($C$2:C2521,C2521)=1,SUMIF($C$2:$C$5001,C2521,$H$2:$H$5001)+ROW()/10000000,0))</f>
        <v>0</v>
      </c>
    </row>
    <row r="2522" customFormat="false" ht="15" hidden="false" customHeight="false" outlineLevel="0" collapsed="false">
      <c r="A2522" s="43"/>
      <c r="B2522" s="44"/>
      <c r="C2522" s="44"/>
      <c r="D2522" s="44"/>
      <c r="E2522" s="44"/>
      <c r="F2522" s="44"/>
      <c r="G2522" s="44"/>
      <c r="H2522" s="46" t="str">
        <f aca="false">IF($A2522="","",IF(OR(NOT(ISNUMBER(E2522)),NOT(ISNUMBER(F2522))),"",MAX(0,E2522)*F2522))</f>
        <v/>
      </c>
      <c r="I2522" s="46" t="str">
        <f aca="false">IF($A2522="","",SUMIF($A$2:$A$5001,$A2522,$H$2:$H$5001))</f>
        <v/>
      </c>
      <c r="J2522" s="47" t="n">
        <f aca="false">IF($A2522="",0,IF(COUNTIF($A$2:A2522,$A2522)=1,1,0))</f>
        <v>0</v>
      </c>
      <c r="K2522" s="47" t="n">
        <f aca="false">IF(J2522=1,N(I2522)+ROW()/10000000,0)</f>
        <v>0</v>
      </c>
      <c r="L2522" s="47" t="str">
        <f aca="false">IF(AND(J2522=1,N(I2522)&gt;0),SUMIF($K$2:$K$5001,"&gt;="&amp;K2522,$I$2:$I$5001)/MAX(1,SUM($H$2:$H$5001)),"")</f>
        <v/>
      </c>
      <c r="M2522" s="47" t="str">
        <f aca="false">IF($A2522="","",INDEX($L$2:$L$5001,MATCH($A2522,$A$2:$A$5001,0)))</f>
        <v/>
      </c>
      <c r="N2522" s="48" t="str">
        <f aca="false">IF($A2522="","",IF(N(M2522)=0,"–",IF(M2522&lt;=Start!$D$20,"A",IF(M2522&lt;=Start!$D$21,"B","C"))))</f>
        <v/>
      </c>
      <c r="O2522" s="48" t="str">
        <f aca="false">IF($A2522="","",IF(NOT(ISNUMBER(F2522)),"Wert fehlt; ",IF(F2522&lt;=0,"Wert ist 0; ",""))&amp;IF(NOT(ISNUMBER(E2522)),"Bestand fehlt; ",IF(E2522&lt;0,"Bestand negativ; ",IF(E2522=0,"Nullbestand; ","")))&amp;IF(D2522="","Warengruppe fehlt; ","")&amp;IF(B2522="","Bezeichnung fehlt; ","")&amp;IF(COUNTIFS($A$2:$A$5001,$A2522,$C$2:$C$5001,C2522)&gt;1,"Artikel doppelt im selben Lager; ",""))</f>
        <v/>
      </c>
      <c r="P2522" s="47" t="n">
        <f aca="false">IF(OR($A2522="",D2522=""),0,IF(COUNTIF($D$2:D2522,D2522)=1,SUMIF($D$2:$D$5001,D2522,$H$2:$H$5001)+ROW()/10000000,0))</f>
        <v>0</v>
      </c>
      <c r="Q2522" s="47" t="n">
        <f aca="false">IF(OR($A2522="",C2522=""),0,IF(COUNTIF($C$2:C2522,C2522)=1,SUMIF($C$2:$C$5001,C2522,$H$2:$H$5001)+ROW()/10000000,0))</f>
        <v>0</v>
      </c>
    </row>
    <row r="2523" customFormat="false" ht="15" hidden="false" customHeight="false" outlineLevel="0" collapsed="false">
      <c r="A2523" s="43"/>
      <c r="B2523" s="44"/>
      <c r="C2523" s="44"/>
      <c r="D2523" s="44"/>
      <c r="E2523" s="44"/>
      <c r="F2523" s="44"/>
      <c r="G2523" s="44"/>
      <c r="H2523" s="46" t="str">
        <f aca="false">IF($A2523="","",IF(OR(NOT(ISNUMBER(E2523)),NOT(ISNUMBER(F2523))),"",MAX(0,E2523)*F2523))</f>
        <v/>
      </c>
      <c r="I2523" s="46" t="str">
        <f aca="false">IF($A2523="","",SUMIF($A$2:$A$5001,$A2523,$H$2:$H$5001))</f>
        <v/>
      </c>
      <c r="J2523" s="47" t="n">
        <f aca="false">IF($A2523="",0,IF(COUNTIF($A$2:A2523,$A2523)=1,1,0))</f>
        <v>0</v>
      </c>
      <c r="K2523" s="47" t="n">
        <f aca="false">IF(J2523=1,N(I2523)+ROW()/10000000,0)</f>
        <v>0</v>
      </c>
      <c r="L2523" s="47" t="str">
        <f aca="false">IF(AND(J2523=1,N(I2523)&gt;0),SUMIF($K$2:$K$5001,"&gt;="&amp;K2523,$I$2:$I$5001)/MAX(1,SUM($H$2:$H$5001)),"")</f>
        <v/>
      </c>
      <c r="M2523" s="47" t="str">
        <f aca="false">IF($A2523="","",INDEX($L$2:$L$5001,MATCH($A2523,$A$2:$A$5001,0)))</f>
        <v/>
      </c>
      <c r="N2523" s="48" t="str">
        <f aca="false">IF($A2523="","",IF(N(M2523)=0,"–",IF(M2523&lt;=Start!$D$20,"A",IF(M2523&lt;=Start!$D$21,"B","C"))))</f>
        <v/>
      </c>
      <c r="O2523" s="48" t="str">
        <f aca="false">IF($A2523="","",IF(NOT(ISNUMBER(F2523)),"Wert fehlt; ",IF(F2523&lt;=0,"Wert ist 0; ",""))&amp;IF(NOT(ISNUMBER(E2523)),"Bestand fehlt; ",IF(E2523&lt;0,"Bestand negativ; ",IF(E2523=0,"Nullbestand; ","")))&amp;IF(D2523="","Warengruppe fehlt; ","")&amp;IF(B2523="","Bezeichnung fehlt; ","")&amp;IF(COUNTIFS($A$2:$A$5001,$A2523,$C$2:$C$5001,C2523)&gt;1,"Artikel doppelt im selben Lager; ",""))</f>
        <v/>
      </c>
      <c r="P2523" s="47" t="n">
        <f aca="false">IF(OR($A2523="",D2523=""),0,IF(COUNTIF($D$2:D2523,D2523)=1,SUMIF($D$2:$D$5001,D2523,$H$2:$H$5001)+ROW()/10000000,0))</f>
        <v>0</v>
      </c>
      <c r="Q2523" s="47" t="n">
        <f aca="false">IF(OR($A2523="",C2523=""),0,IF(COUNTIF($C$2:C2523,C2523)=1,SUMIF($C$2:$C$5001,C2523,$H$2:$H$5001)+ROW()/10000000,0))</f>
        <v>0</v>
      </c>
    </row>
    <row r="2524" customFormat="false" ht="15" hidden="false" customHeight="false" outlineLevel="0" collapsed="false">
      <c r="A2524" s="43"/>
      <c r="B2524" s="44"/>
      <c r="C2524" s="44"/>
      <c r="D2524" s="44"/>
      <c r="E2524" s="44"/>
      <c r="F2524" s="44"/>
      <c r="G2524" s="44"/>
      <c r="H2524" s="46" t="str">
        <f aca="false">IF($A2524="","",IF(OR(NOT(ISNUMBER(E2524)),NOT(ISNUMBER(F2524))),"",MAX(0,E2524)*F2524))</f>
        <v/>
      </c>
      <c r="I2524" s="46" t="str">
        <f aca="false">IF($A2524="","",SUMIF($A$2:$A$5001,$A2524,$H$2:$H$5001))</f>
        <v/>
      </c>
      <c r="J2524" s="47" t="n">
        <f aca="false">IF($A2524="",0,IF(COUNTIF($A$2:A2524,$A2524)=1,1,0))</f>
        <v>0</v>
      </c>
      <c r="K2524" s="47" t="n">
        <f aca="false">IF(J2524=1,N(I2524)+ROW()/10000000,0)</f>
        <v>0</v>
      </c>
      <c r="L2524" s="47" t="str">
        <f aca="false">IF(AND(J2524=1,N(I2524)&gt;0),SUMIF($K$2:$K$5001,"&gt;="&amp;K2524,$I$2:$I$5001)/MAX(1,SUM($H$2:$H$5001)),"")</f>
        <v/>
      </c>
      <c r="M2524" s="47" t="str">
        <f aca="false">IF($A2524="","",INDEX($L$2:$L$5001,MATCH($A2524,$A$2:$A$5001,0)))</f>
        <v/>
      </c>
      <c r="N2524" s="48" t="str">
        <f aca="false">IF($A2524="","",IF(N(M2524)=0,"–",IF(M2524&lt;=Start!$D$20,"A",IF(M2524&lt;=Start!$D$21,"B","C"))))</f>
        <v/>
      </c>
      <c r="O2524" s="48" t="str">
        <f aca="false">IF($A2524="","",IF(NOT(ISNUMBER(F2524)),"Wert fehlt; ",IF(F2524&lt;=0,"Wert ist 0; ",""))&amp;IF(NOT(ISNUMBER(E2524)),"Bestand fehlt; ",IF(E2524&lt;0,"Bestand negativ; ",IF(E2524=0,"Nullbestand; ","")))&amp;IF(D2524="","Warengruppe fehlt; ","")&amp;IF(B2524="","Bezeichnung fehlt; ","")&amp;IF(COUNTIFS($A$2:$A$5001,$A2524,$C$2:$C$5001,C2524)&gt;1,"Artikel doppelt im selben Lager; ",""))</f>
        <v/>
      </c>
      <c r="P2524" s="47" t="n">
        <f aca="false">IF(OR($A2524="",D2524=""),0,IF(COUNTIF($D$2:D2524,D2524)=1,SUMIF($D$2:$D$5001,D2524,$H$2:$H$5001)+ROW()/10000000,0))</f>
        <v>0</v>
      </c>
      <c r="Q2524" s="47" t="n">
        <f aca="false">IF(OR($A2524="",C2524=""),0,IF(COUNTIF($C$2:C2524,C2524)=1,SUMIF($C$2:$C$5001,C2524,$H$2:$H$5001)+ROW()/10000000,0))</f>
        <v>0</v>
      </c>
    </row>
    <row r="2525" customFormat="false" ht="15" hidden="false" customHeight="false" outlineLevel="0" collapsed="false">
      <c r="A2525" s="43"/>
      <c r="B2525" s="44"/>
      <c r="C2525" s="44"/>
      <c r="D2525" s="44"/>
      <c r="E2525" s="44"/>
      <c r="F2525" s="44"/>
      <c r="G2525" s="44"/>
      <c r="H2525" s="46" t="str">
        <f aca="false">IF($A2525="","",IF(OR(NOT(ISNUMBER(E2525)),NOT(ISNUMBER(F2525))),"",MAX(0,E2525)*F2525))</f>
        <v/>
      </c>
      <c r="I2525" s="46" t="str">
        <f aca="false">IF($A2525="","",SUMIF($A$2:$A$5001,$A2525,$H$2:$H$5001))</f>
        <v/>
      </c>
      <c r="J2525" s="47" t="n">
        <f aca="false">IF($A2525="",0,IF(COUNTIF($A$2:A2525,$A2525)=1,1,0))</f>
        <v>0</v>
      </c>
      <c r="K2525" s="47" t="n">
        <f aca="false">IF(J2525=1,N(I2525)+ROW()/10000000,0)</f>
        <v>0</v>
      </c>
      <c r="L2525" s="47" t="str">
        <f aca="false">IF(AND(J2525=1,N(I2525)&gt;0),SUMIF($K$2:$K$5001,"&gt;="&amp;K2525,$I$2:$I$5001)/MAX(1,SUM($H$2:$H$5001)),"")</f>
        <v/>
      </c>
      <c r="M2525" s="47" t="str">
        <f aca="false">IF($A2525="","",INDEX($L$2:$L$5001,MATCH($A2525,$A$2:$A$5001,0)))</f>
        <v/>
      </c>
      <c r="N2525" s="48" t="str">
        <f aca="false">IF($A2525="","",IF(N(M2525)=0,"–",IF(M2525&lt;=Start!$D$20,"A",IF(M2525&lt;=Start!$D$21,"B","C"))))</f>
        <v/>
      </c>
      <c r="O2525" s="48" t="str">
        <f aca="false">IF($A2525="","",IF(NOT(ISNUMBER(F2525)),"Wert fehlt; ",IF(F2525&lt;=0,"Wert ist 0; ",""))&amp;IF(NOT(ISNUMBER(E2525)),"Bestand fehlt; ",IF(E2525&lt;0,"Bestand negativ; ",IF(E2525=0,"Nullbestand; ","")))&amp;IF(D2525="","Warengruppe fehlt; ","")&amp;IF(B2525="","Bezeichnung fehlt; ","")&amp;IF(COUNTIFS($A$2:$A$5001,$A2525,$C$2:$C$5001,C2525)&gt;1,"Artikel doppelt im selben Lager; ",""))</f>
        <v/>
      </c>
      <c r="P2525" s="47" t="n">
        <f aca="false">IF(OR($A2525="",D2525=""),0,IF(COUNTIF($D$2:D2525,D2525)=1,SUMIF($D$2:$D$5001,D2525,$H$2:$H$5001)+ROW()/10000000,0))</f>
        <v>0</v>
      </c>
      <c r="Q2525" s="47" t="n">
        <f aca="false">IF(OR($A2525="",C2525=""),0,IF(COUNTIF($C$2:C2525,C2525)=1,SUMIF($C$2:$C$5001,C2525,$H$2:$H$5001)+ROW()/10000000,0))</f>
        <v>0</v>
      </c>
    </row>
    <row r="2526" customFormat="false" ht="15" hidden="false" customHeight="false" outlineLevel="0" collapsed="false">
      <c r="A2526" s="43"/>
      <c r="B2526" s="44"/>
      <c r="C2526" s="44"/>
      <c r="D2526" s="44"/>
      <c r="E2526" s="44"/>
      <c r="F2526" s="44"/>
      <c r="G2526" s="44"/>
      <c r="H2526" s="46" t="str">
        <f aca="false">IF($A2526="","",IF(OR(NOT(ISNUMBER(E2526)),NOT(ISNUMBER(F2526))),"",MAX(0,E2526)*F2526))</f>
        <v/>
      </c>
      <c r="I2526" s="46" t="str">
        <f aca="false">IF($A2526="","",SUMIF($A$2:$A$5001,$A2526,$H$2:$H$5001))</f>
        <v/>
      </c>
      <c r="J2526" s="47" t="n">
        <f aca="false">IF($A2526="",0,IF(COUNTIF($A$2:A2526,$A2526)=1,1,0))</f>
        <v>0</v>
      </c>
      <c r="K2526" s="47" t="n">
        <f aca="false">IF(J2526=1,N(I2526)+ROW()/10000000,0)</f>
        <v>0</v>
      </c>
      <c r="L2526" s="47" t="str">
        <f aca="false">IF(AND(J2526=1,N(I2526)&gt;0),SUMIF($K$2:$K$5001,"&gt;="&amp;K2526,$I$2:$I$5001)/MAX(1,SUM($H$2:$H$5001)),"")</f>
        <v/>
      </c>
      <c r="M2526" s="47" t="str">
        <f aca="false">IF($A2526="","",INDEX($L$2:$L$5001,MATCH($A2526,$A$2:$A$5001,0)))</f>
        <v/>
      </c>
      <c r="N2526" s="48" t="str">
        <f aca="false">IF($A2526="","",IF(N(M2526)=0,"–",IF(M2526&lt;=Start!$D$20,"A",IF(M2526&lt;=Start!$D$21,"B","C"))))</f>
        <v/>
      </c>
      <c r="O2526" s="48" t="str">
        <f aca="false">IF($A2526="","",IF(NOT(ISNUMBER(F2526)),"Wert fehlt; ",IF(F2526&lt;=0,"Wert ist 0; ",""))&amp;IF(NOT(ISNUMBER(E2526)),"Bestand fehlt; ",IF(E2526&lt;0,"Bestand negativ; ",IF(E2526=0,"Nullbestand; ","")))&amp;IF(D2526="","Warengruppe fehlt; ","")&amp;IF(B2526="","Bezeichnung fehlt; ","")&amp;IF(COUNTIFS($A$2:$A$5001,$A2526,$C$2:$C$5001,C2526)&gt;1,"Artikel doppelt im selben Lager; ",""))</f>
        <v/>
      </c>
      <c r="P2526" s="47" t="n">
        <f aca="false">IF(OR($A2526="",D2526=""),0,IF(COUNTIF($D$2:D2526,D2526)=1,SUMIF($D$2:$D$5001,D2526,$H$2:$H$5001)+ROW()/10000000,0))</f>
        <v>0</v>
      </c>
      <c r="Q2526" s="47" t="n">
        <f aca="false">IF(OR($A2526="",C2526=""),0,IF(COUNTIF($C$2:C2526,C2526)=1,SUMIF($C$2:$C$5001,C2526,$H$2:$H$5001)+ROW()/10000000,0))</f>
        <v>0</v>
      </c>
    </row>
    <row r="2527" customFormat="false" ht="15" hidden="false" customHeight="false" outlineLevel="0" collapsed="false">
      <c r="A2527" s="43"/>
      <c r="B2527" s="44"/>
      <c r="C2527" s="44"/>
      <c r="D2527" s="44"/>
      <c r="E2527" s="44"/>
      <c r="F2527" s="44"/>
      <c r="G2527" s="44"/>
      <c r="H2527" s="46" t="str">
        <f aca="false">IF($A2527="","",IF(OR(NOT(ISNUMBER(E2527)),NOT(ISNUMBER(F2527))),"",MAX(0,E2527)*F2527))</f>
        <v/>
      </c>
      <c r="I2527" s="46" t="str">
        <f aca="false">IF($A2527="","",SUMIF($A$2:$A$5001,$A2527,$H$2:$H$5001))</f>
        <v/>
      </c>
      <c r="J2527" s="47" t="n">
        <f aca="false">IF($A2527="",0,IF(COUNTIF($A$2:A2527,$A2527)=1,1,0))</f>
        <v>0</v>
      </c>
      <c r="K2527" s="47" t="n">
        <f aca="false">IF(J2527=1,N(I2527)+ROW()/10000000,0)</f>
        <v>0</v>
      </c>
      <c r="L2527" s="47" t="str">
        <f aca="false">IF(AND(J2527=1,N(I2527)&gt;0),SUMIF($K$2:$K$5001,"&gt;="&amp;K2527,$I$2:$I$5001)/MAX(1,SUM($H$2:$H$5001)),"")</f>
        <v/>
      </c>
      <c r="M2527" s="47" t="str">
        <f aca="false">IF($A2527="","",INDEX($L$2:$L$5001,MATCH($A2527,$A$2:$A$5001,0)))</f>
        <v/>
      </c>
      <c r="N2527" s="48" t="str">
        <f aca="false">IF($A2527="","",IF(N(M2527)=0,"–",IF(M2527&lt;=Start!$D$20,"A",IF(M2527&lt;=Start!$D$21,"B","C"))))</f>
        <v/>
      </c>
      <c r="O2527" s="48" t="str">
        <f aca="false">IF($A2527="","",IF(NOT(ISNUMBER(F2527)),"Wert fehlt; ",IF(F2527&lt;=0,"Wert ist 0; ",""))&amp;IF(NOT(ISNUMBER(E2527)),"Bestand fehlt; ",IF(E2527&lt;0,"Bestand negativ; ",IF(E2527=0,"Nullbestand; ","")))&amp;IF(D2527="","Warengruppe fehlt; ","")&amp;IF(B2527="","Bezeichnung fehlt; ","")&amp;IF(COUNTIFS($A$2:$A$5001,$A2527,$C$2:$C$5001,C2527)&gt;1,"Artikel doppelt im selben Lager; ",""))</f>
        <v/>
      </c>
      <c r="P2527" s="47" t="n">
        <f aca="false">IF(OR($A2527="",D2527=""),0,IF(COUNTIF($D$2:D2527,D2527)=1,SUMIF($D$2:$D$5001,D2527,$H$2:$H$5001)+ROW()/10000000,0))</f>
        <v>0</v>
      </c>
      <c r="Q2527" s="47" t="n">
        <f aca="false">IF(OR($A2527="",C2527=""),0,IF(COUNTIF($C$2:C2527,C2527)=1,SUMIF($C$2:$C$5001,C2527,$H$2:$H$5001)+ROW()/10000000,0))</f>
        <v>0</v>
      </c>
    </row>
    <row r="2528" customFormat="false" ht="15" hidden="false" customHeight="false" outlineLevel="0" collapsed="false">
      <c r="A2528" s="43"/>
      <c r="B2528" s="44"/>
      <c r="C2528" s="44"/>
      <c r="D2528" s="44"/>
      <c r="E2528" s="44"/>
      <c r="F2528" s="44"/>
      <c r="G2528" s="44"/>
      <c r="H2528" s="46" t="str">
        <f aca="false">IF($A2528="","",IF(OR(NOT(ISNUMBER(E2528)),NOT(ISNUMBER(F2528))),"",MAX(0,E2528)*F2528))</f>
        <v/>
      </c>
      <c r="I2528" s="46" t="str">
        <f aca="false">IF($A2528="","",SUMIF($A$2:$A$5001,$A2528,$H$2:$H$5001))</f>
        <v/>
      </c>
      <c r="J2528" s="47" t="n">
        <f aca="false">IF($A2528="",0,IF(COUNTIF($A$2:A2528,$A2528)=1,1,0))</f>
        <v>0</v>
      </c>
      <c r="K2528" s="47" t="n">
        <f aca="false">IF(J2528=1,N(I2528)+ROW()/10000000,0)</f>
        <v>0</v>
      </c>
      <c r="L2528" s="47" t="str">
        <f aca="false">IF(AND(J2528=1,N(I2528)&gt;0),SUMIF($K$2:$K$5001,"&gt;="&amp;K2528,$I$2:$I$5001)/MAX(1,SUM($H$2:$H$5001)),"")</f>
        <v/>
      </c>
      <c r="M2528" s="47" t="str">
        <f aca="false">IF($A2528="","",INDEX($L$2:$L$5001,MATCH($A2528,$A$2:$A$5001,0)))</f>
        <v/>
      </c>
      <c r="N2528" s="48" t="str">
        <f aca="false">IF($A2528="","",IF(N(M2528)=0,"–",IF(M2528&lt;=Start!$D$20,"A",IF(M2528&lt;=Start!$D$21,"B","C"))))</f>
        <v/>
      </c>
      <c r="O2528" s="48" t="str">
        <f aca="false">IF($A2528="","",IF(NOT(ISNUMBER(F2528)),"Wert fehlt; ",IF(F2528&lt;=0,"Wert ist 0; ",""))&amp;IF(NOT(ISNUMBER(E2528)),"Bestand fehlt; ",IF(E2528&lt;0,"Bestand negativ; ",IF(E2528=0,"Nullbestand; ","")))&amp;IF(D2528="","Warengruppe fehlt; ","")&amp;IF(B2528="","Bezeichnung fehlt; ","")&amp;IF(COUNTIFS($A$2:$A$5001,$A2528,$C$2:$C$5001,C2528)&gt;1,"Artikel doppelt im selben Lager; ",""))</f>
        <v/>
      </c>
      <c r="P2528" s="47" t="n">
        <f aca="false">IF(OR($A2528="",D2528=""),0,IF(COUNTIF($D$2:D2528,D2528)=1,SUMIF($D$2:$D$5001,D2528,$H$2:$H$5001)+ROW()/10000000,0))</f>
        <v>0</v>
      </c>
      <c r="Q2528" s="47" t="n">
        <f aca="false">IF(OR($A2528="",C2528=""),0,IF(COUNTIF($C$2:C2528,C2528)=1,SUMIF($C$2:$C$5001,C2528,$H$2:$H$5001)+ROW()/10000000,0))</f>
        <v>0</v>
      </c>
    </row>
    <row r="2529" customFormat="false" ht="15" hidden="false" customHeight="false" outlineLevel="0" collapsed="false">
      <c r="A2529" s="43"/>
      <c r="B2529" s="44"/>
      <c r="C2529" s="44"/>
      <c r="D2529" s="44"/>
      <c r="E2529" s="44"/>
      <c r="F2529" s="44"/>
      <c r="G2529" s="44"/>
      <c r="H2529" s="46" t="str">
        <f aca="false">IF($A2529="","",IF(OR(NOT(ISNUMBER(E2529)),NOT(ISNUMBER(F2529))),"",MAX(0,E2529)*F2529))</f>
        <v/>
      </c>
      <c r="I2529" s="46" t="str">
        <f aca="false">IF($A2529="","",SUMIF($A$2:$A$5001,$A2529,$H$2:$H$5001))</f>
        <v/>
      </c>
      <c r="J2529" s="47" t="n">
        <f aca="false">IF($A2529="",0,IF(COUNTIF($A$2:A2529,$A2529)=1,1,0))</f>
        <v>0</v>
      </c>
      <c r="K2529" s="47" t="n">
        <f aca="false">IF(J2529=1,N(I2529)+ROW()/10000000,0)</f>
        <v>0</v>
      </c>
      <c r="L2529" s="47" t="str">
        <f aca="false">IF(AND(J2529=1,N(I2529)&gt;0),SUMIF($K$2:$K$5001,"&gt;="&amp;K2529,$I$2:$I$5001)/MAX(1,SUM($H$2:$H$5001)),"")</f>
        <v/>
      </c>
      <c r="M2529" s="47" t="str">
        <f aca="false">IF($A2529="","",INDEX($L$2:$L$5001,MATCH($A2529,$A$2:$A$5001,0)))</f>
        <v/>
      </c>
      <c r="N2529" s="48" t="str">
        <f aca="false">IF($A2529="","",IF(N(M2529)=0,"–",IF(M2529&lt;=Start!$D$20,"A",IF(M2529&lt;=Start!$D$21,"B","C"))))</f>
        <v/>
      </c>
      <c r="O2529" s="48" t="str">
        <f aca="false">IF($A2529="","",IF(NOT(ISNUMBER(F2529)),"Wert fehlt; ",IF(F2529&lt;=0,"Wert ist 0; ",""))&amp;IF(NOT(ISNUMBER(E2529)),"Bestand fehlt; ",IF(E2529&lt;0,"Bestand negativ; ",IF(E2529=0,"Nullbestand; ","")))&amp;IF(D2529="","Warengruppe fehlt; ","")&amp;IF(B2529="","Bezeichnung fehlt; ","")&amp;IF(COUNTIFS($A$2:$A$5001,$A2529,$C$2:$C$5001,C2529)&gt;1,"Artikel doppelt im selben Lager; ",""))</f>
        <v/>
      </c>
      <c r="P2529" s="47" t="n">
        <f aca="false">IF(OR($A2529="",D2529=""),0,IF(COUNTIF($D$2:D2529,D2529)=1,SUMIF($D$2:$D$5001,D2529,$H$2:$H$5001)+ROW()/10000000,0))</f>
        <v>0</v>
      </c>
      <c r="Q2529" s="47" t="n">
        <f aca="false">IF(OR($A2529="",C2529=""),0,IF(COUNTIF($C$2:C2529,C2529)=1,SUMIF($C$2:$C$5001,C2529,$H$2:$H$5001)+ROW()/10000000,0))</f>
        <v>0</v>
      </c>
    </row>
    <row r="2530" customFormat="false" ht="15" hidden="false" customHeight="false" outlineLevel="0" collapsed="false">
      <c r="A2530" s="43"/>
      <c r="B2530" s="44"/>
      <c r="C2530" s="44"/>
      <c r="D2530" s="44"/>
      <c r="E2530" s="44"/>
      <c r="F2530" s="44"/>
      <c r="G2530" s="44"/>
      <c r="H2530" s="46" t="str">
        <f aca="false">IF($A2530="","",IF(OR(NOT(ISNUMBER(E2530)),NOT(ISNUMBER(F2530))),"",MAX(0,E2530)*F2530))</f>
        <v/>
      </c>
      <c r="I2530" s="46" t="str">
        <f aca="false">IF($A2530="","",SUMIF($A$2:$A$5001,$A2530,$H$2:$H$5001))</f>
        <v/>
      </c>
      <c r="J2530" s="47" t="n">
        <f aca="false">IF($A2530="",0,IF(COUNTIF($A$2:A2530,$A2530)=1,1,0))</f>
        <v>0</v>
      </c>
      <c r="K2530" s="47" t="n">
        <f aca="false">IF(J2530=1,N(I2530)+ROW()/10000000,0)</f>
        <v>0</v>
      </c>
      <c r="L2530" s="47" t="str">
        <f aca="false">IF(AND(J2530=1,N(I2530)&gt;0),SUMIF($K$2:$K$5001,"&gt;="&amp;K2530,$I$2:$I$5001)/MAX(1,SUM($H$2:$H$5001)),"")</f>
        <v/>
      </c>
      <c r="M2530" s="47" t="str">
        <f aca="false">IF($A2530="","",INDEX($L$2:$L$5001,MATCH($A2530,$A$2:$A$5001,0)))</f>
        <v/>
      </c>
      <c r="N2530" s="48" t="str">
        <f aca="false">IF($A2530="","",IF(N(M2530)=0,"–",IF(M2530&lt;=Start!$D$20,"A",IF(M2530&lt;=Start!$D$21,"B","C"))))</f>
        <v/>
      </c>
      <c r="O2530" s="48" t="str">
        <f aca="false">IF($A2530="","",IF(NOT(ISNUMBER(F2530)),"Wert fehlt; ",IF(F2530&lt;=0,"Wert ist 0; ",""))&amp;IF(NOT(ISNUMBER(E2530)),"Bestand fehlt; ",IF(E2530&lt;0,"Bestand negativ; ",IF(E2530=0,"Nullbestand; ","")))&amp;IF(D2530="","Warengruppe fehlt; ","")&amp;IF(B2530="","Bezeichnung fehlt; ","")&amp;IF(COUNTIFS($A$2:$A$5001,$A2530,$C$2:$C$5001,C2530)&gt;1,"Artikel doppelt im selben Lager; ",""))</f>
        <v/>
      </c>
      <c r="P2530" s="47" t="n">
        <f aca="false">IF(OR($A2530="",D2530=""),0,IF(COUNTIF($D$2:D2530,D2530)=1,SUMIF($D$2:$D$5001,D2530,$H$2:$H$5001)+ROW()/10000000,0))</f>
        <v>0</v>
      </c>
      <c r="Q2530" s="47" t="n">
        <f aca="false">IF(OR($A2530="",C2530=""),0,IF(COUNTIF($C$2:C2530,C2530)=1,SUMIF($C$2:$C$5001,C2530,$H$2:$H$5001)+ROW()/10000000,0))</f>
        <v>0</v>
      </c>
    </row>
    <row r="2531" customFormat="false" ht="15" hidden="false" customHeight="false" outlineLevel="0" collapsed="false">
      <c r="A2531" s="43"/>
      <c r="B2531" s="44"/>
      <c r="C2531" s="44"/>
      <c r="D2531" s="44"/>
      <c r="E2531" s="44"/>
      <c r="F2531" s="44"/>
      <c r="G2531" s="44"/>
      <c r="H2531" s="46" t="str">
        <f aca="false">IF($A2531="","",IF(OR(NOT(ISNUMBER(E2531)),NOT(ISNUMBER(F2531))),"",MAX(0,E2531)*F2531))</f>
        <v/>
      </c>
      <c r="I2531" s="46" t="str">
        <f aca="false">IF($A2531="","",SUMIF($A$2:$A$5001,$A2531,$H$2:$H$5001))</f>
        <v/>
      </c>
      <c r="J2531" s="47" t="n">
        <f aca="false">IF($A2531="",0,IF(COUNTIF($A$2:A2531,$A2531)=1,1,0))</f>
        <v>0</v>
      </c>
      <c r="K2531" s="47" t="n">
        <f aca="false">IF(J2531=1,N(I2531)+ROW()/10000000,0)</f>
        <v>0</v>
      </c>
      <c r="L2531" s="47" t="str">
        <f aca="false">IF(AND(J2531=1,N(I2531)&gt;0),SUMIF($K$2:$K$5001,"&gt;="&amp;K2531,$I$2:$I$5001)/MAX(1,SUM($H$2:$H$5001)),"")</f>
        <v/>
      </c>
      <c r="M2531" s="47" t="str">
        <f aca="false">IF($A2531="","",INDEX($L$2:$L$5001,MATCH($A2531,$A$2:$A$5001,0)))</f>
        <v/>
      </c>
      <c r="N2531" s="48" t="str">
        <f aca="false">IF($A2531="","",IF(N(M2531)=0,"–",IF(M2531&lt;=Start!$D$20,"A",IF(M2531&lt;=Start!$D$21,"B","C"))))</f>
        <v/>
      </c>
      <c r="O2531" s="48" t="str">
        <f aca="false">IF($A2531="","",IF(NOT(ISNUMBER(F2531)),"Wert fehlt; ",IF(F2531&lt;=0,"Wert ist 0; ",""))&amp;IF(NOT(ISNUMBER(E2531)),"Bestand fehlt; ",IF(E2531&lt;0,"Bestand negativ; ",IF(E2531=0,"Nullbestand; ","")))&amp;IF(D2531="","Warengruppe fehlt; ","")&amp;IF(B2531="","Bezeichnung fehlt; ","")&amp;IF(COUNTIFS($A$2:$A$5001,$A2531,$C$2:$C$5001,C2531)&gt;1,"Artikel doppelt im selben Lager; ",""))</f>
        <v/>
      </c>
      <c r="P2531" s="47" t="n">
        <f aca="false">IF(OR($A2531="",D2531=""),0,IF(COUNTIF($D$2:D2531,D2531)=1,SUMIF($D$2:$D$5001,D2531,$H$2:$H$5001)+ROW()/10000000,0))</f>
        <v>0</v>
      </c>
      <c r="Q2531" s="47" t="n">
        <f aca="false">IF(OR($A2531="",C2531=""),0,IF(COUNTIF($C$2:C2531,C2531)=1,SUMIF($C$2:$C$5001,C2531,$H$2:$H$5001)+ROW()/10000000,0))</f>
        <v>0</v>
      </c>
    </row>
    <row r="2532" customFormat="false" ht="15" hidden="false" customHeight="false" outlineLevel="0" collapsed="false">
      <c r="A2532" s="43"/>
      <c r="B2532" s="44"/>
      <c r="C2532" s="44"/>
      <c r="D2532" s="44"/>
      <c r="E2532" s="44"/>
      <c r="F2532" s="44"/>
      <c r="G2532" s="44"/>
      <c r="H2532" s="46" t="str">
        <f aca="false">IF($A2532="","",IF(OR(NOT(ISNUMBER(E2532)),NOT(ISNUMBER(F2532))),"",MAX(0,E2532)*F2532))</f>
        <v/>
      </c>
      <c r="I2532" s="46" t="str">
        <f aca="false">IF($A2532="","",SUMIF($A$2:$A$5001,$A2532,$H$2:$H$5001))</f>
        <v/>
      </c>
      <c r="J2532" s="47" t="n">
        <f aca="false">IF($A2532="",0,IF(COUNTIF($A$2:A2532,$A2532)=1,1,0))</f>
        <v>0</v>
      </c>
      <c r="K2532" s="47" t="n">
        <f aca="false">IF(J2532=1,N(I2532)+ROW()/10000000,0)</f>
        <v>0</v>
      </c>
      <c r="L2532" s="47" t="str">
        <f aca="false">IF(AND(J2532=1,N(I2532)&gt;0),SUMIF($K$2:$K$5001,"&gt;="&amp;K2532,$I$2:$I$5001)/MAX(1,SUM($H$2:$H$5001)),"")</f>
        <v/>
      </c>
      <c r="M2532" s="47" t="str">
        <f aca="false">IF($A2532="","",INDEX($L$2:$L$5001,MATCH($A2532,$A$2:$A$5001,0)))</f>
        <v/>
      </c>
      <c r="N2532" s="48" t="str">
        <f aca="false">IF($A2532="","",IF(N(M2532)=0,"–",IF(M2532&lt;=Start!$D$20,"A",IF(M2532&lt;=Start!$D$21,"B","C"))))</f>
        <v/>
      </c>
      <c r="O2532" s="48" t="str">
        <f aca="false">IF($A2532="","",IF(NOT(ISNUMBER(F2532)),"Wert fehlt; ",IF(F2532&lt;=0,"Wert ist 0; ",""))&amp;IF(NOT(ISNUMBER(E2532)),"Bestand fehlt; ",IF(E2532&lt;0,"Bestand negativ; ",IF(E2532=0,"Nullbestand; ","")))&amp;IF(D2532="","Warengruppe fehlt; ","")&amp;IF(B2532="","Bezeichnung fehlt; ","")&amp;IF(COUNTIFS($A$2:$A$5001,$A2532,$C$2:$C$5001,C2532)&gt;1,"Artikel doppelt im selben Lager; ",""))</f>
        <v/>
      </c>
      <c r="P2532" s="47" t="n">
        <f aca="false">IF(OR($A2532="",D2532=""),0,IF(COUNTIF($D$2:D2532,D2532)=1,SUMIF($D$2:$D$5001,D2532,$H$2:$H$5001)+ROW()/10000000,0))</f>
        <v>0</v>
      </c>
      <c r="Q2532" s="47" t="n">
        <f aca="false">IF(OR($A2532="",C2532=""),0,IF(COUNTIF($C$2:C2532,C2532)=1,SUMIF($C$2:$C$5001,C2532,$H$2:$H$5001)+ROW()/10000000,0))</f>
        <v>0</v>
      </c>
    </row>
    <row r="2533" customFormat="false" ht="15" hidden="false" customHeight="false" outlineLevel="0" collapsed="false">
      <c r="A2533" s="43"/>
      <c r="B2533" s="44"/>
      <c r="C2533" s="44"/>
      <c r="D2533" s="44"/>
      <c r="E2533" s="44"/>
      <c r="F2533" s="44"/>
      <c r="G2533" s="44"/>
      <c r="H2533" s="46" t="str">
        <f aca="false">IF($A2533="","",IF(OR(NOT(ISNUMBER(E2533)),NOT(ISNUMBER(F2533))),"",MAX(0,E2533)*F2533))</f>
        <v/>
      </c>
      <c r="I2533" s="46" t="str">
        <f aca="false">IF($A2533="","",SUMIF($A$2:$A$5001,$A2533,$H$2:$H$5001))</f>
        <v/>
      </c>
      <c r="J2533" s="47" t="n">
        <f aca="false">IF($A2533="",0,IF(COUNTIF($A$2:A2533,$A2533)=1,1,0))</f>
        <v>0</v>
      </c>
      <c r="K2533" s="47" t="n">
        <f aca="false">IF(J2533=1,N(I2533)+ROW()/10000000,0)</f>
        <v>0</v>
      </c>
      <c r="L2533" s="47" t="str">
        <f aca="false">IF(AND(J2533=1,N(I2533)&gt;0),SUMIF($K$2:$K$5001,"&gt;="&amp;K2533,$I$2:$I$5001)/MAX(1,SUM($H$2:$H$5001)),"")</f>
        <v/>
      </c>
      <c r="M2533" s="47" t="str">
        <f aca="false">IF($A2533="","",INDEX($L$2:$L$5001,MATCH($A2533,$A$2:$A$5001,0)))</f>
        <v/>
      </c>
      <c r="N2533" s="48" t="str">
        <f aca="false">IF($A2533="","",IF(N(M2533)=0,"–",IF(M2533&lt;=Start!$D$20,"A",IF(M2533&lt;=Start!$D$21,"B","C"))))</f>
        <v/>
      </c>
      <c r="O2533" s="48" t="str">
        <f aca="false">IF($A2533="","",IF(NOT(ISNUMBER(F2533)),"Wert fehlt; ",IF(F2533&lt;=0,"Wert ist 0; ",""))&amp;IF(NOT(ISNUMBER(E2533)),"Bestand fehlt; ",IF(E2533&lt;0,"Bestand negativ; ",IF(E2533=0,"Nullbestand; ","")))&amp;IF(D2533="","Warengruppe fehlt; ","")&amp;IF(B2533="","Bezeichnung fehlt; ","")&amp;IF(COUNTIFS($A$2:$A$5001,$A2533,$C$2:$C$5001,C2533)&gt;1,"Artikel doppelt im selben Lager; ",""))</f>
        <v/>
      </c>
      <c r="P2533" s="47" t="n">
        <f aca="false">IF(OR($A2533="",D2533=""),0,IF(COUNTIF($D$2:D2533,D2533)=1,SUMIF($D$2:$D$5001,D2533,$H$2:$H$5001)+ROW()/10000000,0))</f>
        <v>0</v>
      </c>
      <c r="Q2533" s="47" t="n">
        <f aca="false">IF(OR($A2533="",C2533=""),0,IF(COUNTIF($C$2:C2533,C2533)=1,SUMIF($C$2:$C$5001,C2533,$H$2:$H$5001)+ROW()/10000000,0))</f>
        <v>0</v>
      </c>
    </row>
    <row r="2534" customFormat="false" ht="15" hidden="false" customHeight="false" outlineLevel="0" collapsed="false">
      <c r="A2534" s="43"/>
      <c r="B2534" s="44"/>
      <c r="C2534" s="44"/>
      <c r="D2534" s="44"/>
      <c r="E2534" s="44"/>
      <c r="F2534" s="44"/>
      <c r="G2534" s="44"/>
      <c r="H2534" s="46" t="str">
        <f aca="false">IF($A2534="","",IF(OR(NOT(ISNUMBER(E2534)),NOT(ISNUMBER(F2534))),"",MAX(0,E2534)*F2534))</f>
        <v/>
      </c>
      <c r="I2534" s="46" t="str">
        <f aca="false">IF($A2534="","",SUMIF($A$2:$A$5001,$A2534,$H$2:$H$5001))</f>
        <v/>
      </c>
      <c r="J2534" s="47" t="n">
        <f aca="false">IF($A2534="",0,IF(COUNTIF($A$2:A2534,$A2534)=1,1,0))</f>
        <v>0</v>
      </c>
      <c r="K2534" s="47" t="n">
        <f aca="false">IF(J2534=1,N(I2534)+ROW()/10000000,0)</f>
        <v>0</v>
      </c>
      <c r="L2534" s="47" t="str">
        <f aca="false">IF(AND(J2534=1,N(I2534)&gt;0),SUMIF($K$2:$K$5001,"&gt;="&amp;K2534,$I$2:$I$5001)/MAX(1,SUM($H$2:$H$5001)),"")</f>
        <v/>
      </c>
      <c r="M2534" s="47" t="str">
        <f aca="false">IF($A2534="","",INDEX($L$2:$L$5001,MATCH($A2534,$A$2:$A$5001,0)))</f>
        <v/>
      </c>
      <c r="N2534" s="48" t="str">
        <f aca="false">IF($A2534="","",IF(N(M2534)=0,"–",IF(M2534&lt;=Start!$D$20,"A",IF(M2534&lt;=Start!$D$21,"B","C"))))</f>
        <v/>
      </c>
      <c r="O2534" s="48" t="str">
        <f aca="false">IF($A2534="","",IF(NOT(ISNUMBER(F2534)),"Wert fehlt; ",IF(F2534&lt;=0,"Wert ist 0; ",""))&amp;IF(NOT(ISNUMBER(E2534)),"Bestand fehlt; ",IF(E2534&lt;0,"Bestand negativ; ",IF(E2534=0,"Nullbestand; ","")))&amp;IF(D2534="","Warengruppe fehlt; ","")&amp;IF(B2534="","Bezeichnung fehlt; ","")&amp;IF(COUNTIFS($A$2:$A$5001,$A2534,$C$2:$C$5001,C2534)&gt;1,"Artikel doppelt im selben Lager; ",""))</f>
        <v/>
      </c>
      <c r="P2534" s="47" t="n">
        <f aca="false">IF(OR($A2534="",D2534=""),0,IF(COUNTIF($D$2:D2534,D2534)=1,SUMIF($D$2:$D$5001,D2534,$H$2:$H$5001)+ROW()/10000000,0))</f>
        <v>0</v>
      </c>
      <c r="Q2534" s="47" t="n">
        <f aca="false">IF(OR($A2534="",C2534=""),0,IF(COUNTIF($C$2:C2534,C2534)=1,SUMIF($C$2:$C$5001,C2534,$H$2:$H$5001)+ROW()/10000000,0))</f>
        <v>0</v>
      </c>
    </row>
    <row r="2535" customFormat="false" ht="15" hidden="false" customHeight="false" outlineLevel="0" collapsed="false">
      <c r="A2535" s="43"/>
      <c r="B2535" s="44"/>
      <c r="C2535" s="44"/>
      <c r="D2535" s="44"/>
      <c r="E2535" s="44"/>
      <c r="F2535" s="44"/>
      <c r="G2535" s="44"/>
      <c r="H2535" s="46" t="str">
        <f aca="false">IF($A2535="","",IF(OR(NOT(ISNUMBER(E2535)),NOT(ISNUMBER(F2535))),"",MAX(0,E2535)*F2535))</f>
        <v/>
      </c>
      <c r="I2535" s="46" t="str">
        <f aca="false">IF($A2535="","",SUMIF($A$2:$A$5001,$A2535,$H$2:$H$5001))</f>
        <v/>
      </c>
      <c r="J2535" s="47" t="n">
        <f aca="false">IF($A2535="",0,IF(COUNTIF($A$2:A2535,$A2535)=1,1,0))</f>
        <v>0</v>
      </c>
      <c r="K2535" s="47" t="n">
        <f aca="false">IF(J2535=1,N(I2535)+ROW()/10000000,0)</f>
        <v>0</v>
      </c>
      <c r="L2535" s="47" t="str">
        <f aca="false">IF(AND(J2535=1,N(I2535)&gt;0),SUMIF($K$2:$K$5001,"&gt;="&amp;K2535,$I$2:$I$5001)/MAX(1,SUM($H$2:$H$5001)),"")</f>
        <v/>
      </c>
      <c r="M2535" s="47" t="str">
        <f aca="false">IF($A2535="","",INDEX($L$2:$L$5001,MATCH($A2535,$A$2:$A$5001,0)))</f>
        <v/>
      </c>
      <c r="N2535" s="48" t="str">
        <f aca="false">IF($A2535="","",IF(N(M2535)=0,"–",IF(M2535&lt;=Start!$D$20,"A",IF(M2535&lt;=Start!$D$21,"B","C"))))</f>
        <v/>
      </c>
      <c r="O2535" s="48" t="str">
        <f aca="false">IF($A2535="","",IF(NOT(ISNUMBER(F2535)),"Wert fehlt; ",IF(F2535&lt;=0,"Wert ist 0; ",""))&amp;IF(NOT(ISNUMBER(E2535)),"Bestand fehlt; ",IF(E2535&lt;0,"Bestand negativ; ",IF(E2535=0,"Nullbestand; ","")))&amp;IF(D2535="","Warengruppe fehlt; ","")&amp;IF(B2535="","Bezeichnung fehlt; ","")&amp;IF(COUNTIFS($A$2:$A$5001,$A2535,$C$2:$C$5001,C2535)&gt;1,"Artikel doppelt im selben Lager; ",""))</f>
        <v/>
      </c>
      <c r="P2535" s="47" t="n">
        <f aca="false">IF(OR($A2535="",D2535=""),0,IF(COUNTIF($D$2:D2535,D2535)=1,SUMIF($D$2:$D$5001,D2535,$H$2:$H$5001)+ROW()/10000000,0))</f>
        <v>0</v>
      </c>
      <c r="Q2535" s="47" t="n">
        <f aca="false">IF(OR($A2535="",C2535=""),0,IF(COUNTIF($C$2:C2535,C2535)=1,SUMIF($C$2:$C$5001,C2535,$H$2:$H$5001)+ROW()/10000000,0))</f>
        <v>0</v>
      </c>
    </row>
    <row r="2536" customFormat="false" ht="15" hidden="false" customHeight="false" outlineLevel="0" collapsed="false">
      <c r="A2536" s="43"/>
      <c r="B2536" s="44"/>
      <c r="C2536" s="44"/>
      <c r="D2536" s="44"/>
      <c r="E2536" s="44"/>
      <c r="F2536" s="44"/>
      <c r="G2536" s="44"/>
      <c r="H2536" s="46" t="str">
        <f aca="false">IF($A2536="","",IF(OR(NOT(ISNUMBER(E2536)),NOT(ISNUMBER(F2536))),"",MAX(0,E2536)*F2536))</f>
        <v/>
      </c>
      <c r="I2536" s="46" t="str">
        <f aca="false">IF($A2536="","",SUMIF($A$2:$A$5001,$A2536,$H$2:$H$5001))</f>
        <v/>
      </c>
      <c r="J2536" s="47" t="n">
        <f aca="false">IF($A2536="",0,IF(COUNTIF($A$2:A2536,$A2536)=1,1,0))</f>
        <v>0</v>
      </c>
      <c r="K2536" s="47" t="n">
        <f aca="false">IF(J2536=1,N(I2536)+ROW()/10000000,0)</f>
        <v>0</v>
      </c>
      <c r="L2536" s="47" t="str">
        <f aca="false">IF(AND(J2536=1,N(I2536)&gt;0),SUMIF($K$2:$K$5001,"&gt;="&amp;K2536,$I$2:$I$5001)/MAX(1,SUM($H$2:$H$5001)),"")</f>
        <v/>
      </c>
      <c r="M2536" s="47" t="str">
        <f aca="false">IF($A2536="","",INDEX($L$2:$L$5001,MATCH($A2536,$A$2:$A$5001,0)))</f>
        <v/>
      </c>
      <c r="N2536" s="48" t="str">
        <f aca="false">IF($A2536="","",IF(N(M2536)=0,"–",IF(M2536&lt;=Start!$D$20,"A",IF(M2536&lt;=Start!$D$21,"B","C"))))</f>
        <v/>
      </c>
      <c r="O2536" s="48" t="str">
        <f aca="false">IF($A2536="","",IF(NOT(ISNUMBER(F2536)),"Wert fehlt; ",IF(F2536&lt;=0,"Wert ist 0; ",""))&amp;IF(NOT(ISNUMBER(E2536)),"Bestand fehlt; ",IF(E2536&lt;0,"Bestand negativ; ",IF(E2536=0,"Nullbestand; ","")))&amp;IF(D2536="","Warengruppe fehlt; ","")&amp;IF(B2536="","Bezeichnung fehlt; ","")&amp;IF(COUNTIFS($A$2:$A$5001,$A2536,$C$2:$C$5001,C2536)&gt;1,"Artikel doppelt im selben Lager; ",""))</f>
        <v/>
      </c>
      <c r="P2536" s="47" t="n">
        <f aca="false">IF(OR($A2536="",D2536=""),0,IF(COUNTIF($D$2:D2536,D2536)=1,SUMIF($D$2:$D$5001,D2536,$H$2:$H$5001)+ROW()/10000000,0))</f>
        <v>0</v>
      </c>
      <c r="Q2536" s="47" t="n">
        <f aca="false">IF(OR($A2536="",C2536=""),0,IF(COUNTIF($C$2:C2536,C2536)=1,SUMIF($C$2:$C$5001,C2536,$H$2:$H$5001)+ROW()/10000000,0))</f>
        <v>0</v>
      </c>
    </row>
    <row r="2537" customFormat="false" ht="15" hidden="false" customHeight="false" outlineLevel="0" collapsed="false">
      <c r="A2537" s="43"/>
      <c r="B2537" s="44"/>
      <c r="C2537" s="44"/>
      <c r="D2537" s="44"/>
      <c r="E2537" s="44"/>
      <c r="F2537" s="44"/>
      <c r="G2537" s="44"/>
      <c r="H2537" s="46" t="str">
        <f aca="false">IF($A2537="","",IF(OR(NOT(ISNUMBER(E2537)),NOT(ISNUMBER(F2537))),"",MAX(0,E2537)*F2537))</f>
        <v/>
      </c>
      <c r="I2537" s="46" t="str">
        <f aca="false">IF($A2537="","",SUMIF($A$2:$A$5001,$A2537,$H$2:$H$5001))</f>
        <v/>
      </c>
      <c r="J2537" s="47" t="n">
        <f aca="false">IF($A2537="",0,IF(COUNTIF($A$2:A2537,$A2537)=1,1,0))</f>
        <v>0</v>
      </c>
      <c r="K2537" s="47" t="n">
        <f aca="false">IF(J2537=1,N(I2537)+ROW()/10000000,0)</f>
        <v>0</v>
      </c>
      <c r="L2537" s="47" t="str">
        <f aca="false">IF(AND(J2537=1,N(I2537)&gt;0),SUMIF($K$2:$K$5001,"&gt;="&amp;K2537,$I$2:$I$5001)/MAX(1,SUM($H$2:$H$5001)),"")</f>
        <v/>
      </c>
      <c r="M2537" s="47" t="str">
        <f aca="false">IF($A2537="","",INDEX($L$2:$L$5001,MATCH($A2537,$A$2:$A$5001,0)))</f>
        <v/>
      </c>
      <c r="N2537" s="48" t="str">
        <f aca="false">IF($A2537="","",IF(N(M2537)=0,"–",IF(M2537&lt;=Start!$D$20,"A",IF(M2537&lt;=Start!$D$21,"B","C"))))</f>
        <v/>
      </c>
      <c r="O2537" s="48" t="str">
        <f aca="false">IF($A2537="","",IF(NOT(ISNUMBER(F2537)),"Wert fehlt; ",IF(F2537&lt;=0,"Wert ist 0; ",""))&amp;IF(NOT(ISNUMBER(E2537)),"Bestand fehlt; ",IF(E2537&lt;0,"Bestand negativ; ",IF(E2537=0,"Nullbestand; ","")))&amp;IF(D2537="","Warengruppe fehlt; ","")&amp;IF(B2537="","Bezeichnung fehlt; ","")&amp;IF(COUNTIFS($A$2:$A$5001,$A2537,$C$2:$C$5001,C2537)&gt;1,"Artikel doppelt im selben Lager; ",""))</f>
        <v/>
      </c>
      <c r="P2537" s="47" t="n">
        <f aca="false">IF(OR($A2537="",D2537=""),0,IF(COUNTIF($D$2:D2537,D2537)=1,SUMIF($D$2:$D$5001,D2537,$H$2:$H$5001)+ROW()/10000000,0))</f>
        <v>0</v>
      </c>
      <c r="Q2537" s="47" t="n">
        <f aca="false">IF(OR($A2537="",C2537=""),0,IF(COUNTIF($C$2:C2537,C2537)=1,SUMIF($C$2:$C$5001,C2537,$H$2:$H$5001)+ROW()/10000000,0))</f>
        <v>0</v>
      </c>
    </row>
    <row r="2538" customFormat="false" ht="15" hidden="false" customHeight="false" outlineLevel="0" collapsed="false">
      <c r="A2538" s="43"/>
      <c r="B2538" s="44"/>
      <c r="C2538" s="44"/>
      <c r="D2538" s="44"/>
      <c r="E2538" s="44"/>
      <c r="F2538" s="44"/>
      <c r="G2538" s="44"/>
      <c r="H2538" s="46" t="str">
        <f aca="false">IF($A2538="","",IF(OR(NOT(ISNUMBER(E2538)),NOT(ISNUMBER(F2538))),"",MAX(0,E2538)*F2538))</f>
        <v/>
      </c>
      <c r="I2538" s="46" t="str">
        <f aca="false">IF($A2538="","",SUMIF($A$2:$A$5001,$A2538,$H$2:$H$5001))</f>
        <v/>
      </c>
      <c r="J2538" s="47" t="n">
        <f aca="false">IF($A2538="",0,IF(COUNTIF($A$2:A2538,$A2538)=1,1,0))</f>
        <v>0</v>
      </c>
      <c r="K2538" s="47" t="n">
        <f aca="false">IF(J2538=1,N(I2538)+ROW()/10000000,0)</f>
        <v>0</v>
      </c>
      <c r="L2538" s="47" t="str">
        <f aca="false">IF(AND(J2538=1,N(I2538)&gt;0),SUMIF($K$2:$K$5001,"&gt;="&amp;K2538,$I$2:$I$5001)/MAX(1,SUM($H$2:$H$5001)),"")</f>
        <v/>
      </c>
      <c r="M2538" s="47" t="str">
        <f aca="false">IF($A2538="","",INDEX($L$2:$L$5001,MATCH($A2538,$A$2:$A$5001,0)))</f>
        <v/>
      </c>
      <c r="N2538" s="48" t="str">
        <f aca="false">IF($A2538="","",IF(N(M2538)=0,"–",IF(M2538&lt;=Start!$D$20,"A",IF(M2538&lt;=Start!$D$21,"B","C"))))</f>
        <v/>
      </c>
      <c r="O2538" s="48" t="str">
        <f aca="false">IF($A2538="","",IF(NOT(ISNUMBER(F2538)),"Wert fehlt; ",IF(F2538&lt;=0,"Wert ist 0; ",""))&amp;IF(NOT(ISNUMBER(E2538)),"Bestand fehlt; ",IF(E2538&lt;0,"Bestand negativ; ",IF(E2538=0,"Nullbestand; ","")))&amp;IF(D2538="","Warengruppe fehlt; ","")&amp;IF(B2538="","Bezeichnung fehlt; ","")&amp;IF(COUNTIFS($A$2:$A$5001,$A2538,$C$2:$C$5001,C2538)&gt;1,"Artikel doppelt im selben Lager; ",""))</f>
        <v/>
      </c>
      <c r="P2538" s="47" t="n">
        <f aca="false">IF(OR($A2538="",D2538=""),0,IF(COUNTIF($D$2:D2538,D2538)=1,SUMIF($D$2:$D$5001,D2538,$H$2:$H$5001)+ROW()/10000000,0))</f>
        <v>0</v>
      </c>
      <c r="Q2538" s="47" t="n">
        <f aca="false">IF(OR($A2538="",C2538=""),0,IF(COUNTIF($C$2:C2538,C2538)=1,SUMIF($C$2:$C$5001,C2538,$H$2:$H$5001)+ROW()/10000000,0))</f>
        <v>0</v>
      </c>
    </row>
    <row r="2539" customFormat="false" ht="15" hidden="false" customHeight="false" outlineLevel="0" collapsed="false">
      <c r="A2539" s="43"/>
      <c r="B2539" s="44"/>
      <c r="C2539" s="44"/>
      <c r="D2539" s="44"/>
      <c r="E2539" s="44"/>
      <c r="F2539" s="44"/>
      <c r="G2539" s="44"/>
      <c r="H2539" s="46" t="str">
        <f aca="false">IF($A2539="","",IF(OR(NOT(ISNUMBER(E2539)),NOT(ISNUMBER(F2539))),"",MAX(0,E2539)*F2539))</f>
        <v/>
      </c>
      <c r="I2539" s="46" t="str">
        <f aca="false">IF($A2539="","",SUMIF($A$2:$A$5001,$A2539,$H$2:$H$5001))</f>
        <v/>
      </c>
      <c r="J2539" s="47" t="n">
        <f aca="false">IF($A2539="",0,IF(COUNTIF($A$2:A2539,$A2539)=1,1,0))</f>
        <v>0</v>
      </c>
      <c r="K2539" s="47" t="n">
        <f aca="false">IF(J2539=1,N(I2539)+ROW()/10000000,0)</f>
        <v>0</v>
      </c>
      <c r="L2539" s="47" t="str">
        <f aca="false">IF(AND(J2539=1,N(I2539)&gt;0),SUMIF($K$2:$K$5001,"&gt;="&amp;K2539,$I$2:$I$5001)/MAX(1,SUM($H$2:$H$5001)),"")</f>
        <v/>
      </c>
      <c r="M2539" s="47" t="str">
        <f aca="false">IF($A2539="","",INDEX($L$2:$L$5001,MATCH($A2539,$A$2:$A$5001,0)))</f>
        <v/>
      </c>
      <c r="N2539" s="48" t="str">
        <f aca="false">IF($A2539="","",IF(N(M2539)=0,"–",IF(M2539&lt;=Start!$D$20,"A",IF(M2539&lt;=Start!$D$21,"B","C"))))</f>
        <v/>
      </c>
      <c r="O2539" s="48" t="str">
        <f aca="false">IF($A2539="","",IF(NOT(ISNUMBER(F2539)),"Wert fehlt; ",IF(F2539&lt;=0,"Wert ist 0; ",""))&amp;IF(NOT(ISNUMBER(E2539)),"Bestand fehlt; ",IF(E2539&lt;0,"Bestand negativ; ",IF(E2539=0,"Nullbestand; ","")))&amp;IF(D2539="","Warengruppe fehlt; ","")&amp;IF(B2539="","Bezeichnung fehlt; ","")&amp;IF(COUNTIFS($A$2:$A$5001,$A2539,$C$2:$C$5001,C2539)&gt;1,"Artikel doppelt im selben Lager; ",""))</f>
        <v/>
      </c>
      <c r="P2539" s="47" t="n">
        <f aca="false">IF(OR($A2539="",D2539=""),0,IF(COUNTIF($D$2:D2539,D2539)=1,SUMIF($D$2:$D$5001,D2539,$H$2:$H$5001)+ROW()/10000000,0))</f>
        <v>0</v>
      </c>
      <c r="Q2539" s="47" t="n">
        <f aca="false">IF(OR($A2539="",C2539=""),0,IF(COUNTIF($C$2:C2539,C2539)=1,SUMIF($C$2:$C$5001,C2539,$H$2:$H$5001)+ROW()/10000000,0))</f>
        <v>0</v>
      </c>
    </row>
    <row r="2540" customFormat="false" ht="15" hidden="false" customHeight="false" outlineLevel="0" collapsed="false">
      <c r="A2540" s="43"/>
      <c r="B2540" s="44"/>
      <c r="C2540" s="44"/>
      <c r="D2540" s="44"/>
      <c r="E2540" s="44"/>
      <c r="F2540" s="44"/>
      <c r="G2540" s="44"/>
      <c r="H2540" s="46" t="str">
        <f aca="false">IF($A2540="","",IF(OR(NOT(ISNUMBER(E2540)),NOT(ISNUMBER(F2540))),"",MAX(0,E2540)*F2540))</f>
        <v/>
      </c>
      <c r="I2540" s="46" t="str">
        <f aca="false">IF($A2540="","",SUMIF($A$2:$A$5001,$A2540,$H$2:$H$5001))</f>
        <v/>
      </c>
      <c r="J2540" s="47" t="n">
        <f aca="false">IF($A2540="",0,IF(COUNTIF($A$2:A2540,$A2540)=1,1,0))</f>
        <v>0</v>
      </c>
      <c r="K2540" s="47" t="n">
        <f aca="false">IF(J2540=1,N(I2540)+ROW()/10000000,0)</f>
        <v>0</v>
      </c>
      <c r="L2540" s="47" t="str">
        <f aca="false">IF(AND(J2540=1,N(I2540)&gt;0),SUMIF($K$2:$K$5001,"&gt;="&amp;K2540,$I$2:$I$5001)/MAX(1,SUM($H$2:$H$5001)),"")</f>
        <v/>
      </c>
      <c r="M2540" s="47" t="str">
        <f aca="false">IF($A2540="","",INDEX($L$2:$L$5001,MATCH($A2540,$A$2:$A$5001,0)))</f>
        <v/>
      </c>
      <c r="N2540" s="48" t="str">
        <f aca="false">IF($A2540="","",IF(N(M2540)=0,"–",IF(M2540&lt;=Start!$D$20,"A",IF(M2540&lt;=Start!$D$21,"B","C"))))</f>
        <v/>
      </c>
      <c r="O2540" s="48" t="str">
        <f aca="false">IF($A2540="","",IF(NOT(ISNUMBER(F2540)),"Wert fehlt; ",IF(F2540&lt;=0,"Wert ist 0; ",""))&amp;IF(NOT(ISNUMBER(E2540)),"Bestand fehlt; ",IF(E2540&lt;0,"Bestand negativ; ",IF(E2540=0,"Nullbestand; ","")))&amp;IF(D2540="","Warengruppe fehlt; ","")&amp;IF(B2540="","Bezeichnung fehlt; ","")&amp;IF(COUNTIFS($A$2:$A$5001,$A2540,$C$2:$C$5001,C2540)&gt;1,"Artikel doppelt im selben Lager; ",""))</f>
        <v/>
      </c>
      <c r="P2540" s="47" t="n">
        <f aca="false">IF(OR($A2540="",D2540=""),0,IF(COUNTIF($D$2:D2540,D2540)=1,SUMIF($D$2:$D$5001,D2540,$H$2:$H$5001)+ROW()/10000000,0))</f>
        <v>0</v>
      </c>
      <c r="Q2540" s="47" t="n">
        <f aca="false">IF(OR($A2540="",C2540=""),0,IF(COUNTIF($C$2:C2540,C2540)=1,SUMIF($C$2:$C$5001,C2540,$H$2:$H$5001)+ROW()/10000000,0))</f>
        <v>0</v>
      </c>
    </row>
    <row r="2541" customFormat="false" ht="15" hidden="false" customHeight="false" outlineLevel="0" collapsed="false">
      <c r="A2541" s="43"/>
      <c r="B2541" s="44"/>
      <c r="C2541" s="44"/>
      <c r="D2541" s="44"/>
      <c r="E2541" s="44"/>
      <c r="F2541" s="44"/>
      <c r="G2541" s="44"/>
      <c r="H2541" s="46" t="str">
        <f aca="false">IF($A2541="","",IF(OR(NOT(ISNUMBER(E2541)),NOT(ISNUMBER(F2541))),"",MAX(0,E2541)*F2541))</f>
        <v/>
      </c>
      <c r="I2541" s="46" t="str">
        <f aca="false">IF($A2541="","",SUMIF($A$2:$A$5001,$A2541,$H$2:$H$5001))</f>
        <v/>
      </c>
      <c r="J2541" s="47" t="n">
        <f aca="false">IF($A2541="",0,IF(COUNTIF($A$2:A2541,$A2541)=1,1,0))</f>
        <v>0</v>
      </c>
      <c r="K2541" s="47" t="n">
        <f aca="false">IF(J2541=1,N(I2541)+ROW()/10000000,0)</f>
        <v>0</v>
      </c>
      <c r="L2541" s="47" t="str">
        <f aca="false">IF(AND(J2541=1,N(I2541)&gt;0),SUMIF($K$2:$K$5001,"&gt;="&amp;K2541,$I$2:$I$5001)/MAX(1,SUM($H$2:$H$5001)),"")</f>
        <v/>
      </c>
      <c r="M2541" s="47" t="str">
        <f aca="false">IF($A2541="","",INDEX($L$2:$L$5001,MATCH($A2541,$A$2:$A$5001,0)))</f>
        <v/>
      </c>
      <c r="N2541" s="48" t="str">
        <f aca="false">IF($A2541="","",IF(N(M2541)=0,"–",IF(M2541&lt;=Start!$D$20,"A",IF(M2541&lt;=Start!$D$21,"B","C"))))</f>
        <v/>
      </c>
      <c r="O2541" s="48" t="str">
        <f aca="false">IF($A2541="","",IF(NOT(ISNUMBER(F2541)),"Wert fehlt; ",IF(F2541&lt;=0,"Wert ist 0; ",""))&amp;IF(NOT(ISNUMBER(E2541)),"Bestand fehlt; ",IF(E2541&lt;0,"Bestand negativ; ",IF(E2541=0,"Nullbestand; ","")))&amp;IF(D2541="","Warengruppe fehlt; ","")&amp;IF(B2541="","Bezeichnung fehlt; ","")&amp;IF(COUNTIFS($A$2:$A$5001,$A2541,$C$2:$C$5001,C2541)&gt;1,"Artikel doppelt im selben Lager; ",""))</f>
        <v/>
      </c>
      <c r="P2541" s="47" t="n">
        <f aca="false">IF(OR($A2541="",D2541=""),0,IF(COUNTIF($D$2:D2541,D2541)=1,SUMIF($D$2:$D$5001,D2541,$H$2:$H$5001)+ROW()/10000000,0))</f>
        <v>0</v>
      </c>
      <c r="Q2541" s="47" t="n">
        <f aca="false">IF(OR($A2541="",C2541=""),0,IF(COUNTIF($C$2:C2541,C2541)=1,SUMIF($C$2:$C$5001,C2541,$H$2:$H$5001)+ROW()/10000000,0))</f>
        <v>0</v>
      </c>
    </row>
    <row r="2542" customFormat="false" ht="15" hidden="false" customHeight="false" outlineLevel="0" collapsed="false">
      <c r="A2542" s="43"/>
      <c r="B2542" s="44"/>
      <c r="C2542" s="44"/>
      <c r="D2542" s="44"/>
      <c r="E2542" s="44"/>
      <c r="F2542" s="44"/>
      <c r="G2542" s="44"/>
      <c r="H2542" s="46" t="str">
        <f aca="false">IF($A2542="","",IF(OR(NOT(ISNUMBER(E2542)),NOT(ISNUMBER(F2542))),"",MAX(0,E2542)*F2542))</f>
        <v/>
      </c>
      <c r="I2542" s="46" t="str">
        <f aca="false">IF($A2542="","",SUMIF($A$2:$A$5001,$A2542,$H$2:$H$5001))</f>
        <v/>
      </c>
      <c r="J2542" s="47" t="n">
        <f aca="false">IF($A2542="",0,IF(COUNTIF($A$2:A2542,$A2542)=1,1,0))</f>
        <v>0</v>
      </c>
      <c r="K2542" s="47" t="n">
        <f aca="false">IF(J2542=1,N(I2542)+ROW()/10000000,0)</f>
        <v>0</v>
      </c>
      <c r="L2542" s="47" t="str">
        <f aca="false">IF(AND(J2542=1,N(I2542)&gt;0),SUMIF($K$2:$K$5001,"&gt;="&amp;K2542,$I$2:$I$5001)/MAX(1,SUM($H$2:$H$5001)),"")</f>
        <v/>
      </c>
      <c r="M2542" s="47" t="str">
        <f aca="false">IF($A2542="","",INDEX($L$2:$L$5001,MATCH($A2542,$A$2:$A$5001,0)))</f>
        <v/>
      </c>
      <c r="N2542" s="48" t="str">
        <f aca="false">IF($A2542="","",IF(N(M2542)=0,"–",IF(M2542&lt;=Start!$D$20,"A",IF(M2542&lt;=Start!$D$21,"B","C"))))</f>
        <v/>
      </c>
      <c r="O2542" s="48" t="str">
        <f aca="false">IF($A2542="","",IF(NOT(ISNUMBER(F2542)),"Wert fehlt; ",IF(F2542&lt;=0,"Wert ist 0; ",""))&amp;IF(NOT(ISNUMBER(E2542)),"Bestand fehlt; ",IF(E2542&lt;0,"Bestand negativ; ",IF(E2542=0,"Nullbestand; ","")))&amp;IF(D2542="","Warengruppe fehlt; ","")&amp;IF(B2542="","Bezeichnung fehlt; ","")&amp;IF(COUNTIFS($A$2:$A$5001,$A2542,$C$2:$C$5001,C2542)&gt;1,"Artikel doppelt im selben Lager; ",""))</f>
        <v/>
      </c>
      <c r="P2542" s="47" t="n">
        <f aca="false">IF(OR($A2542="",D2542=""),0,IF(COUNTIF($D$2:D2542,D2542)=1,SUMIF($D$2:$D$5001,D2542,$H$2:$H$5001)+ROW()/10000000,0))</f>
        <v>0</v>
      </c>
      <c r="Q2542" s="47" t="n">
        <f aca="false">IF(OR($A2542="",C2542=""),0,IF(COUNTIF($C$2:C2542,C2542)=1,SUMIF($C$2:$C$5001,C2542,$H$2:$H$5001)+ROW()/10000000,0))</f>
        <v>0</v>
      </c>
    </row>
    <row r="2543" customFormat="false" ht="15" hidden="false" customHeight="false" outlineLevel="0" collapsed="false">
      <c r="A2543" s="43"/>
      <c r="B2543" s="44"/>
      <c r="C2543" s="44"/>
      <c r="D2543" s="44"/>
      <c r="E2543" s="44"/>
      <c r="F2543" s="44"/>
      <c r="G2543" s="44"/>
      <c r="H2543" s="46" t="str">
        <f aca="false">IF($A2543="","",IF(OR(NOT(ISNUMBER(E2543)),NOT(ISNUMBER(F2543))),"",MAX(0,E2543)*F2543))</f>
        <v/>
      </c>
      <c r="I2543" s="46" t="str">
        <f aca="false">IF($A2543="","",SUMIF($A$2:$A$5001,$A2543,$H$2:$H$5001))</f>
        <v/>
      </c>
      <c r="J2543" s="47" t="n">
        <f aca="false">IF($A2543="",0,IF(COUNTIF($A$2:A2543,$A2543)=1,1,0))</f>
        <v>0</v>
      </c>
      <c r="K2543" s="47" t="n">
        <f aca="false">IF(J2543=1,N(I2543)+ROW()/10000000,0)</f>
        <v>0</v>
      </c>
      <c r="L2543" s="47" t="str">
        <f aca="false">IF(AND(J2543=1,N(I2543)&gt;0),SUMIF($K$2:$K$5001,"&gt;="&amp;K2543,$I$2:$I$5001)/MAX(1,SUM($H$2:$H$5001)),"")</f>
        <v/>
      </c>
      <c r="M2543" s="47" t="str">
        <f aca="false">IF($A2543="","",INDEX($L$2:$L$5001,MATCH($A2543,$A$2:$A$5001,0)))</f>
        <v/>
      </c>
      <c r="N2543" s="48" t="str">
        <f aca="false">IF($A2543="","",IF(N(M2543)=0,"–",IF(M2543&lt;=Start!$D$20,"A",IF(M2543&lt;=Start!$D$21,"B","C"))))</f>
        <v/>
      </c>
      <c r="O2543" s="48" t="str">
        <f aca="false">IF($A2543="","",IF(NOT(ISNUMBER(F2543)),"Wert fehlt; ",IF(F2543&lt;=0,"Wert ist 0; ",""))&amp;IF(NOT(ISNUMBER(E2543)),"Bestand fehlt; ",IF(E2543&lt;0,"Bestand negativ; ",IF(E2543=0,"Nullbestand; ","")))&amp;IF(D2543="","Warengruppe fehlt; ","")&amp;IF(B2543="","Bezeichnung fehlt; ","")&amp;IF(COUNTIFS($A$2:$A$5001,$A2543,$C$2:$C$5001,C2543)&gt;1,"Artikel doppelt im selben Lager; ",""))</f>
        <v/>
      </c>
      <c r="P2543" s="47" t="n">
        <f aca="false">IF(OR($A2543="",D2543=""),0,IF(COUNTIF($D$2:D2543,D2543)=1,SUMIF($D$2:$D$5001,D2543,$H$2:$H$5001)+ROW()/10000000,0))</f>
        <v>0</v>
      </c>
      <c r="Q2543" s="47" t="n">
        <f aca="false">IF(OR($A2543="",C2543=""),0,IF(COUNTIF($C$2:C2543,C2543)=1,SUMIF($C$2:$C$5001,C2543,$H$2:$H$5001)+ROW()/10000000,0))</f>
        <v>0</v>
      </c>
    </row>
    <row r="2544" customFormat="false" ht="15" hidden="false" customHeight="false" outlineLevel="0" collapsed="false">
      <c r="A2544" s="43"/>
      <c r="B2544" s="44"/>
      <c r="C2544" s="44"/>
      <c r="D2544" s="44"/>
      <c r="E2544" s="44"/>
      <c r="F2544" s="44"/>
      <c r="G2544" s="44"/>
      <c r="H2544" s="46" t="str">
        <f aca="false">IF($A2544="","",IF(OR(NOT(ISNUMBER(E2544)),NOT(ISNUMBER(F2544))),"",MAX(0,E2544)*F2544))</f>
        <v/>
      </c>
      <c r="I2544" s="46" t="str">
        <f aca="false">IF($A2544="","",SUMIF($A$2:$A$5001,$A2544,$H$2:$H$5001))</f>
        <v/>
      </c>
      <c r="J2544" s="47" t="n">
        <f aca="false">IF($A2544="",0,IF(COUNTIF($A$2:A2544,$A2544)=1,1,0))</f>
        <v>0</v>
      </c>
      <c r="K2544" s="47" t="n">
        <f aca="false">IF(J2544=1,N(I2544)+ROW()/10000000,0)</f>
        <v>0</v>
      </c>
      <c r="L2544" s="47" t="str">
        <f aca="false">IF(AND(J2544=1,N(I2544)&gt;0),SUMIF($K$2:$K$5001,"&gt;="&amp;K2544,$I$2:$I$5001)/MAX(1,SUM($H$2:$H$5001)),"")</f>
        <v/>
      </c>
      <c r="M2544" s="47" t="str">
        <f aca="false">IF($A2544="","",INDEX($L$2:$L$5001,MATCH($A2544,$A$2:$A$5001,0)))</f>
        <v/>
      </c>
      <c r="N2544" s="48" t="str">
        <f aca="false">IF($A2544="","",IF(N(M2544)=0,"–",IF(M2544&lt;=Start!$D$20,"A",IF(M2544&lt;=Start!$D$21,"B","C"))))</f>
        <v/>
      </c>
      <c r="O2544" s="48" t="str">
        <f aca="false">IF($A2544="","",IF(NOT(ISNUMBER(F2544)),"Wert fehlt; ",IF(F2544&lt;=0,"Wert ist 0; ",""))&amp;IF(NOT(ISNUMBER(E2544)),"Bestand fehlt; ",IF(E2544&lt;0,"Bestand negativ; ",IF(E2544=0,"Nullbestand; ","")))&amp;IF(D2544="","Warengruppe fehlt; ","")&amp;IF(B2544="","Bezeichnung fehlt; ","")&amp;IF(COUNTIFS($A$2:$A$5001,$A2544,$C$2:$C$5001,C2544)&gt;1,"Artikel doppelt im selben Lager; ",""))</f>
        <v/>
      </c>
      <c r="P2544" s="47" t="n">
        <f aca="false">IF(OR($A2544="",D2544=""),0,IF(COUNTIF($D$2:D2544,D2544)=1,SUMIF($D$2:$D$5001,D2544,$H$2:$H$5001)+ROW()/10000000,0))</f>
        <v>0</v>
      </c>
      <c r="Q2544" s="47" t="n">
        <f aca="false">IF(OR($A2544="",C2544=""),0,IF(COUNTIF($C$2:C2544,C2544)=1,SUMIF($C$2:$C$5001,C2544,$H$2:$H$5001)+ROW()/10000000,0))</f>
        <v>0</v>
      </c>
    </row>
    <row r="2545" customFormat="false" ht="15" hidden="false" customHeight="false" outlineLevel="0" collapsed="false">
      <c r="A2545" s="43"/>
      <c r="B2545" s="44"/>
      <c r="C2545" s="44"/>
      <c r="D2545" s="44"/>
      <c r="E2545" s="44"/>
      <c r="F2545" s="44"/>
      <c r="G2545" s="44"/>
      <c r="H2545" s="46" t="str">
        <f aca="false">IF($A2545="","",IF(OR(NOT(ISNUMBER(E2545)),NOT(ISNUMBER(F2545))),"",MAX(0,E2545)*F2545))</f>
        <v/>
      </c>
      <c r="I2545" s="46" t="str">
        <f aca="false">IF($A2545="","",SUMIF($A$2:$A$5001,$A2545,$H$2:$H$5001))</f>
        <v/>
      </c>
      <c r="J2545" s="47" t="n">
        <f aca="false">IF($A2545="",0,IF(COUNTIF($A$2:A2545,$A2545)=1,1,0))</f>
        <v>0</v>
      </c>
      <c r="K2545" s="47" t="n">
        <f aca="false">IF(J2545=1,N(I2545)+ROW()/10000000,0)</f>
        <v>0</v>
      </c>
      <c r="L2545" s="47" t="str">
        <f aca="false">IF(AND(J2545=1,N(I2545)&gt;0),SUMIF($K$2:$K$5001,"&gt;="&amp;K2545,$I$2:$I$5001)/MAX(1,SUM($H$2:$H$5001)),"")</f>
        <v/>
      </c>
      <c r="M2545" s="47" t="str">
        <f aca="false">IF($A2545="","",INDEX($L$2:$L$5001,MATCH($A2545,$A$2:$A$5001,0)))</f>
        <v/>
      </c>
      <c r="N2545" s="48" t="str">
        <f aca="false">IF($A2545="","",IF(N(M2545)=0,"–",IF(M2545&lt;=Start!$D$20,"A",IF(M2545&lt;=Start!$D$21,"B","C"))))</f>
        <v/>
      </c>
      <c r="O2545" s="48" t="str">
        <f aca="false">IF($A2545="","",IF(NOT(ISNUMBER(F2545)),"Wert fehlt; ",IF(F2545&lt;=0,"Wert ist 0; ",""))&amp;IF(NOT(ISNUMBER(E2545)),"Bestand fehlt; ",IF(E2545&lt;0,"Bestand negativ; ",IF(E2545=0,"Nullbestand; ","")))&amp;IF(D2545="","Warengruppe fehlt; ","")&amp;IF(B2545="","Bezeichnung fehlt; ","")&amp;IF(COUNTIFS($A$2:$A$5001,$A2545,$C$2:$C$5001,C2545)&gt;1,"Artikel doppelt im selben Lager; ",""))</f>
        <v/>
      </c>
      <c r="P2545" s="47" t="n">
        <f aca="false">IF(OR($A2545="",D2545=""),0,IF(COUNTIF($D$2:D2545,D2545)=1,SUMIF($D$2:$D$5001,D2545,$H$2:$H$5001)+ROW()/10000000,0))</f>
        <v>0</v>
      </c>
      <c r="Q2545" s="47" t="n">
        <f aca="false">IF(OR($A2545="",C2545=""),0,IF(COUNTIF($C$2:C2545,C2545)=1,SUMIF($C$2:$C$5001,C2545,$H$2:$H$5001)+ROW()/10000000,0))</f>
        <v>0</v>
      </c>
    </row>
    <row r="2546" customFormat="false" ht="15" hidden="false" customHeight="false" outlineLevel="0" collapsed="false">
      <c r="A2546" s="43"/>
      <c r="B2546" s="44"/>
      <c r="C2546" s="44"/>
      <c r="D2546" s="44"/>
      <c r="E2546" s="44"/>
      <c r="F2546" s="44"/>
      <c r="G2546" s="44"/>
      <c r="H2546" s="46" t="str">
        <f aca="false">IF($A2546="","",IF(OR(NOT(ISNUMBER(E2546)),NOT(ISNUMBER(F2546))),"",MAX(0,E2546)*F2546))</f>
        <v/>
      </c>
      <c r="I2546" s="46" t="str">
        <f aca="false">IF($A2546="","",SUMIF($A$2:$A$5001,$A2546,$H$2:$H$5001))</f>
        <v/>
      </c>
      <c r="J2546" s="47" t="n">
        <f aca="false">IF($A2546="",0,IF(COUNTIF($A$2:A2546,$A2546)=1,1,0))</f>
        <v>0</v>
      </c>
      <c r="K2546" s="47" t="n">
        <f aca="false">IF(J2546=1,N(I2546)+ROW()/10000000,0)</f>
        <v>0</v>
      </c>
      <c r="L2546" s="47" t="str">
        <f aca="false">IF(AND(J2546=1,N(I2546)&gt;0),SUMIF($K$2:$K$5001,"&gt;="&amp;K2546,$I$2:$I$5001)/MAX(1,SUM($H$2:$H$5001)),"")</f>
        <v/>
      </c>
      <c r="M2546" s="47" t="str">
        <f aca="false">IF($A2546="","",INDEX($L$2:$L$5001,MATCH($A2546,$A$2:$A$5001,0)))</f>
        <v/>
      </c>
      <c r="N2546" s="48" t="str">
        <f aca="false">IF($A2546="","",IF(N(M2546)=0,"–",IF(M2546&lt;=Start!$D$20,"A",IF(M2546&lt;=Start!$D$21,"B","C"))))</f>
        <v/>
      </c>
      <c r="O2546" s="48" t="str">
        <f aca="false">IF($A2546="","",IF(NOT(ISNUMBER(F2546)),"Wert fehlt; ",IF(F2546&lt;=0,"Wert ist 0; ",""))&amp;IF(NOT(ISNUMBER(E2546)),"Bestand fehlt; ",IF(E2546&lt;0,"Bestand negativ; ",IF(E2546=0,"Nullbestand; ","")))&amp;IF(D2546="","Warengruppe fehlt; ","")&amp;IF(B2546="","Bezeichnung fehlt; ","")&amp;IF(COUNTIFS($A$2:$A$5001,$A2546,$C$2:$C$5001,C2546)&gt;1,"Artikel doppelt im selben Lager; ",""))</f>
        <v/>
      </c>
      <c r="P2546" s="47" t="n">
        <f aca="false">IF(OR($A2546="",D2546=""),0,IF(COUNTIF($D$2:D2546,D2546)=1,SUMIF($D$2:$D$5001,D2546,$H$2:$H$5001)+ROW()/10000000,0))</f>
        <v>0</v>
      </c>
      <c r="Q2546" s="47" t="n">
        <f aca="false">IF(OR($A2546="",C2546=""),0,IF(COUNTIF($C$2:C2546,C2546)=1,SUMIF($C$2:$C$5001,C2546,$H$2:$H$5001)+ROW()/10000000,0))</f>
        <v>0</v>
      </c>
    </row>
    <row r="2547" customFormat="false" ht="15" hidden="false" customHeight="false" outlineLevel="0" collapsed="false">
      <c r="A2547" s="43"/>
      <c r="B2547" s="44"/>
      <c r="C2547" s="44"/>
      <c r="D2547" s="44"/>
      <c r="E2547" s="44"/>
      <c r="F2547" s="44"/>
      <c r="G2547" s="44"/>
      <c r="H2547" s="46" t="str">
        <f aca="false">IF($A2547="","",IF(OR(NOT(ISNUMBER(E2547)),NOT(ISNUMBER(F2547))),"",MAX(0,E2547)*F2547))</f>
        <v/>
      </c>
      <c r="I2547" s="46" t="str">
        <f aca="false">IF($A2547="","",SUMIF($A$2:$A$5001,$A2547,$H$2:$H$5001))</f>
        <v/>
      </c>
      <c r="J2547" s="47" t="n">
        <f aca="false">IF($A2547="",0,IF(COUNTIF($A$2:A2547,$A2547)=1,1,0))</f>
        <v>0</v>
      </c>
      <c r="K2547" s="47" t="n">
        <f aca="false">IF(J2547=1,N(I2547)+ROW()/10000000,0)</f>
        <v>0</v>
      </c>
      <c r="L2547" s="47" t="str">
        <f aca="false">IF(AND(J2547=1,N(I2547)&gt;0),SUMIF($K$2:$K$5001,"&gt;="&amp;K2547,$I$2:$I$5001)/MAX(1,SUM($H$2:$H$5001)),"")</f>
        <v/>
      </c>
      <c r="M2547" s="47" t="str">
        <f aca="false">IF($A2547="","",INDEX($L$2:$L$5001,MATCH($A2547,$A$2:$A$5001,0)))</f>
        <v/>
      </c>
      <c r="N2547" s="48" t="str">
        <f aca="false">IF($A2547="","",IF(N(M2547)=0,"–",IF(M2547&lt;=Start!$D$20,"A",IF(M2547&lt;=Start!$D$21,"B","C"))))</f>
        <v/>
      </c>
      <c r="O2547" s="48" t="str">
        <f aca="false">IF($A2547="","",IF(NOT(ISNUMBER(F2547)),"Wert fehlt; ",IF(F2547&lt;=0,"Wert ist 0; ",""))&amp;IF(NOT(ISNUMBER(E2547)),"Bestand fehlt; ",IF(E2547&lt;0,"Bestand negativ; ",IF(E2547=0,"Nullbestand; ","")))&amp;IF(D2547="","Warengruppe fehlt; ","")&amp;IF(B2547="","Bezeichnung fehlt; ","")&amp;IF(COUNTIFS($A$2:$A$5001,$A2547,$C$2:$C$5001,C2547)&gt;1,"Artikel doppelt im selben Lager; ",""))</f>
        <v/>
      </c>
      <c r="P2547" s="47" t="n">
        <f aca="false">IF(OR($A2547="",D2547=""),0,IF(COUNTIF($D$2:D2547,D2547)=1,SUMIF($D$2:$D$5001,D2547,$H$2:$H$5001)+ROW()/10000000,0))</f>
        <v>0</v>
      </c>
      <c r="Q2547" s="47" t="n">
        <f aca="false">IF(OR($A2547="",C2547=""),0,IF(COUNTIF($C$2:C2547,C2547)=1,SUMIF($C$2:$C$5001,C2547,$H$2:$H$5001)+ROW()/10000000,0))</f>
        <v>0</v>
      </c>
    </row>
    <row r="2548" customFormat="false" ht="15" hidden="false" customHeight="false" outlineLevel="0" collapsed="false">
      <c r="A2548" s="43"/>
      <c r="B2548" s="44"/>
      <c r="C2548" s="44"/>
      <c r="D2548" s="44"/>
      <c r="E2548" s="44"/>
      <c r="F2548" s="44"/>
      <c r="G2548" s="44"/>
      <c r="H2548" s="46" t="str">
        <f aca="false">IF($A2548="","",IF(OR(NOT(ISNUMBER(E2548)),NOT(ISNUMBER(F2548))),"",MAX(0,E2548)*F2548))</f>
        <v/>
      </c>
      <c r="I2548" s="46" t="str">
        <f aca="false">IF($A2548="","",SUMIF($A$2:$A$5001,$A2548,$H$2:$H$5001))</f>
        <v/>
      </c>
      <c r="J2548" s="47" t="n">
        <f aca="false">IF($A2548="",0,IF(COUNTIF($A$2:A2548,$A2548)=1,1,0))</f>
        <v>0</v>
      </c>
      <c r="K2548" s="47" t="n">
        <f aca="false">IF(J2548=1,N(I2548)+ROW()/10000000,0)</f>
        <v>0</v>
      </c>
      <c r="L2548" s="47" t="str">
        <f aca="false">IF(AND(J2548=1,N(I2548)&gt;0),SUMIF($K$2:$K$5001,"&gt;="&amp;K2548,$I$2:$I$5001)/MAX(1,SUM($H$2:$H$5001)),"")</f>
        <v/>
      </c>
      <c r="M2548" s="47" t="str">
        <f aca="false">IF($A2548="","",INDEX($L$2:$L$5001,MATCH($A2548,$A$2:$A$5001,0)))</f>
        <v/>
      </c>
      <c r="N2548" s="48" t="str">
        <f aca="false">IF($A2548="","",IF(N(M2548)=0,"–",IF(M2548&lt;=Start!$D$20,"A",IF(M2548&lt;=Start!$D$21,"B","C"))))</f>
        <v/>
      </c>
      <c r="O2548" s="48" t="str">
        <f aca="false">IF($A2548="","",IF(NOT(ISNUMBER(F2548)),"Wert fehlt; ",IF(F2548&lt;=0,"Wert ist 0; ",""))&amp;IF(NOT(ISNUMBER(E2548)),"Bestand fehlt; ",IF(E2548&lt;0,"Bestand negativ; ",IF(E2548=0,"Nullbestand; ","")))&amp;IF(D2548="","Warengruppe fehlt; ","")&amp;IF(B2548="","Bezeichnung fehlt; ","")&amp;IF(COUNTIFS($A$2:$A$5001,$A2548,$C$2:$C$5001,C2548)&gt;1,"Artikel doppelt im selben Lager; ",""))</f>
        <v/>
      </c>
      <c r="P2548" s="47" t="n">
        <f aca="false">IF(OR($A2548="",D2548=""),0,IF(COUNTIF($D$2:D2548,D2548)=1,SUMIF($D$2:$D$5001,D2548,$H$2:$H$5001)+ROW()/10000000,0))</f>
        <v>0</v>
      </c>
      <c r="Q2548" s="47" t="n">
        <f aca="false">IF(OR($A2548="",C2548=""),0,IF(COUNTIF($C$2:C2548,C2548)=1,SUMIF($C$2:$C$5001,C2548,$H$2:$H$5001)+ROW()/10000000,0))</f>
        <v>0</v>
      </c>
    </row>
    <row r="2549" customFormat="false" ht="15" hidden="false" customHeight="false" outlineLevel="0" collapsed="false">
      <c r="A2549" s="43"/>
      <c r="B2549" s="44"/>
      <c r="C2549" s="44"/>
      <c r="D2549" s="44"/>
      <c r="E2549" s="44"/>
      <c r="F2549" s="44"/>
      <c r="G2549" s="44"/>
      <c r="H2549" s="46" t="str">
        <f aca="false">IF($A2549="","",IF(OR(NOT(ISNUMBER(E2549)),NOT(ISNUMBER(F2549))),"",MAX(0,E2549)*F2549))</f>
        <v/>
      </c>
      <c r="I2549" s="46" t="str">
        <f aca="false">IF($A2549="","",SUMIF($A$2:$A$5001,$A2549,$H$2:$H$5001))</f>
        <v/>
      </c>
      <c r="J2549" s="47" t="n">
        <f aca="false">IF($A2549="",0,IF(COUNTIF($A$2:A2549,$A2549)=1,1,0))</f>
        <v>0</v>
      </c>
      <c r="K2549" s="47" t="n">
        <f aca="false">IF(J2549=1,N(I2549)+ROW()/10000000,0)</f>
        <v>0</v>
      </c>
      <c r="L2549" s="47" t="str">
        <f aca="false">IF(AND(J2549=1,N(I2549)&gt;0),SUMIF($K$2:$K$5001,"&gt;="&amp;K2549,$I$2:$I$5001)/MAX(1,SUM($H$2:$H$5001)),"")</f>
        <v/>
      </c>
      <c r="M2549" s="47" t="str">
        <f aca="false">IF($A2549="","",INDEX($L$2:$L$5001,MATCH($A2549,$A$2:$A$5001,0)))</f>
        <v/>
      </c>
      <c r="N2549" s="48" t="str">
        <f aca="false">IF($A2549="","",IF(N(M2549)=0,"–",IF(M2549&lt;=Start!$D$20,"A",IF(M2549&lt;=Start!$D$21,"B","C"))))</f>
        <v/>
      </c>
      <c r="O2549" s="48" t="str">
        <f aca="false">IF($A2549="","",IF(NOT(ISNUMBER(F2549)),"Wert fehlt; ",IF(F2549&lt;=0,"Wert ist 0; ",""))&amp;IF(NOT(ISNUMBER(E2549)),"Bestand fehlt; ",IF(E2549&lt;0,"Bestand negativ; ",IF(E2549=0,"Nullbestand; ","")))&amp;IF(D2549="","Warengruppe fehlt; ","")&amp;IF(B2549="","Bezeichnung fehlt; ","")&amp;IF(COUNTIFS($A$2:$A$5001,$A2549,$C$2:$C$5001,C2549)&gt;1,"Artikel doppelt im selben Lager; ",""))</f>
        <v/>
      </c>
      <c r="P2549" s="47" t="n">
        <f aca="false">IF(OR($A2549="",D2549=""),0,IF(COUNTIF($D$2:D2549,D2549)=1,SUMIF($D$2:$D$5001,D2549,$H$2:$H$5001)+ROW()/10000000,0))</f>
        <v>0</v>
      </c>
      <c r="Q2549" s="47" t="n">
        <f aca="false">IF(OR($A2549="",C2549=""),0,IF(COUNTIF($C$2:C2549,C2549)=1,SUMIF($C$2:$C$5001,C2549,$H$2:$H$5001)+ROW()/10000000,0))</f>
        <v>0</v>
      </c>
    </row>
    <row r="2550" customFormat="false" ht="15" hidden="false" customHeight="false" outlineLevel="0" collapsed="false">
      <c r="A2550" s="43"/>
      <c r="B2550" s="44"/>
      <c r="C2550" s="44"/>
      <c r="D2550" s="44"/>
      <c r="E2550" s="44"/>
      <c r="F2550" s="44"/>
      <c r="G2550" s="44"/>
      <c r="H2550" s="46" t="str">
        <f aca="false">IF($A2550="","",IF(OR(NOT(ISNUMBER(E2550)),NOT(ISNUMBER(F2550))),"",MAX(0,E2550)*F2550))</f>
        <v/>
      </c>
      <c r="I2550" s="46" t="str">
        <f aca="false">IF($A2550="","",SUMIF($A$2:$A$5001,$A2550,$H$2:$H$5001))</f>
        <v/>
      </c>
      <c r="J2550" s="47" t="n">
        <f aca="false">IF($A2550="",0,IF(COUNTIF($A$2:A2550,$A2550)=1,1,0))</f>
        <v>0</v>
      </c>
      <c r="K2550" s="47" t="n">
        <f aca="false">IF(J2550=1,N(I2550)+ROW()/10000000,0)</f>
        <v>0</v>
      </c>
      <c r="L2550" s="47" t="str">
        <f aca="false">IF(AND(J2550=1,N(I2550)&gt;0),SUMIF($K$2:$K$5001,"&gt;="&amp;K2550,$I$2:$I$5001)/MAX(1,SUM($H$2:$H$5001)),"")</f>
        <v/>
      </c>
      <c r="M2550" s="47" t="str">
        <f aca="false">IF($A2550="","",INDEX($L$2:$L$5001,MATCH($A2550,$A$2:$A$5001,0)))</f>
        <v/>
      </c>
      <c r="N2550" s="48" t="str">
        <f aca="false">IF($A2550="","",IF(N(M2550)=0,"–",IF(M2550&lt;=Start!$D$20,"A",IF(M2550&lt;=Start!$D$21,"B","C"))))</f>
        <v/>
      </c>
      <c r="O2550" s="48" t="str">
        <f aca="false">IF($A2550="","",IF(NOT(ISNUMBER(F2550)),"Wert fehlt; ",IF(F2550&lt;=0,"Wert ist 0; ",""))&amp;IF(NOT(ISNUMBER(E2550)),"Bestand fehlt; ",IF(E2550&lt;0,"Bestand negativ; ",IF(E2550=0,"Nullbestand; ","")))&amp;IF(D2550="","Warengruppe fehlt; ","")&amp;IF(B2550="","Bezeichnung fehlt; ","")&amp;IF(COUNTIFS($A$2:$A$5001,$A2550,$C$2:$C$5001,C2550)&gt;1,"Artikel doppelt im selben Lager; ",""))</f>
        <v/>
      </c>
      <c r="P2550" s="47" t="n">
        <f aca="false">IF(OR($A2550="",D2550=""),0,IF(COUNTIF($D$2:D2550,D2550)=1,SUMIF($D$2:$D$5001,D2550,$H$2:$H$5001)+ROW()/10000000,0))</f>
        <v>0</v>
      </c>
      <c r="Q2550" s="47" t="n">
        <f aca="false">IF(OR($A2550="",C2550=""),0,IF(COUNTIF($C$2:C2550,C2550)=1,SUMIF($C$2:$C$5001,C2550,$H$2:$H$5001)+ROW()/10000000,0))</f>
        <v>0</v>
      </c>
    </row>
    <row r="2551" customFormat="false" ht="15" hidden="false" customHeight="false" outlineLevel="0" collapsed="false">
      <c r="A2551" s="43"/>
      <c r="B2551" s="44"/>
      <c r="C2551" s="44"/>
      <c r="D2551" s="44"/>
      <c r="E2551" s="44"/>
      <c r="F2551" s="44"/>
      <c r="G2551" s="44"/>
      <c r="H2551" s="46" t="str">
        <f aca="false">IF($A2551="","",IF(OR(NOT(ISNUMBER(E2551)),NOT(ISNUMBER(F2551))),"",MAX(0,E2551)*F2551))</f>
        <v/>
      </c>
      <c r="I2551" s="46" t="str">
        <f aca="false">IF($A2551="","",SUMIF($A$2:$A$5001,$A2551,$H$2:$H$5001))</f>
        <v/>
      </c>
      <c r="J2551" s="47" t="n">
        <f aca="false">IF($A2551="",0,IF(COUNTIF($A$2:A2551,$A2551)=1,1,0))</f>
        <v>0</v>
      </c>
      <c r="K2551" s="47" t="n">
        <f aca="false">IF(J2551=1,N(I2551)+ROW()/10000000,0)</f>
        <v>0</v>
      </c>
      <c r="L2551" s="47" t="str">
        <f aca="false">IF(AND(J2551=1,N(I2551)&gt;0),SUMIF($K$2:$K$5001,"&gt;="&amp;K2551,$I$2:$I$5001)/MAX(1,SUM($H$2:$H$5001)),"")</f>
        <v/>
      </c>
      <c r="M2551" s="47" t="str">
        <f aca="false">IF($A2551="","",INDEX($L$2:$L$5001,MATCH($A2551,$A$2:$A$5001,0)))</f>
        <v/>
      </c>
      <c r="N2551" s="48" t="str">
        <f aca="false">IF($A2551="","",IF(N(M2551)=0,"–",IF(M2551&lt;=Start!$D$20,"A",IF(M2551&lt;=Start!$D$21,"B","C"))))</f>
        <v/>
      </c>
      <c r="O2551" s="48" t="str">
        <f aca="false">IF($A2551="","",IF(NOT(ISNUMBER(F2551)),"Wert fehlt; ",IF(F2551&lt;=0,"Wert ist 0; ",""))&amp;IF(NOT(ISNUMBER(E2551)),"Bestand fehlt; ",IF(E2551&lt;0,"Bestand negativ; ",IF(E2551=0,"Nullbestand; ","")))&amp;IF(D2551="","Warengruppe fehlt; ","")&amp;IF(B2551="","Bezeichnung fehlt; ","")&amp;IF(COUNTIFS($A$2:$A$5001,$A2551,$C$2:$C$5001,C2551)&gt;1,"Artikel doppelt im selben Lager; ",""))</f>
        <v/>
      </c>
      <c r="P2551" s="47" t="n">
        <f aca="false">IF(OR($A2551="",D2551=""),0,IF(COUNTIF($D$2:D2551,D2551)=1,SUMIF($D$2:$D$5001,D2551,$H$2:$H$5001)+ROW()/10000000,0))</f>
        <v>0</v>
      </c>
      <c r="Q2551" s="47" t="n">
        <f aca="false">IF(OR($A2551="",C2551=""),0,IF(COUNTIF($C$2:C2551,C2551)=1,SUMIF($C$2:$C$5001,C2551,$H$2:$H$5001)+ROW()/10000000,0))</f>
        <v>0</v>
      </c>
    </row>
    <row r="2552" customFormat="false" ht="15" hidden="false" customHeight="false" outlineLevel="0" collapsed="false">
      <c r="A2552" s="43"/>
      <c r="B2552" s="44"/>
      <c r="C2552" s="44"/>
      <c r="D2552" s="44"/>
      <c r="E2552" s="44"/>
      <c r="F2552" s="44"/>
      <c r="G2552" s="44"/>
      <c r="H2552" s="46" t="str">
        <f aca="false">IF($A2552="","",IF(OR(NOT(ISNUMBER(E2552)),NOT(ISNUMBER(F2552))),"",MAX(0,E2552)*F2552))</f>
        <v/>
      </c>
      <c r="I2552" s="46" t="str">
        <f aca="false">IF($A2552="","",SUMIF($A$2:$A$5001,$A2552,$H$2:$H$5001))</f>
        <v/>
      </c>
      <c r="J2552" s="47" t="n">
        <f aca="false">IF($A2552="",0,IF(COUNTIF($A$2:A2552,$A2552)=1,1,0))</f>
        <v>0</v>
      </c>
      <c r="K2552" s="47" t="n">
        <f aca="false">IF(J2552=1,N(I2552)+ROW()/10000000,0)</f>
        <v>0</v>
      </c>
      <c r="L2552" s="47" t="str">
        <f aca="false">IF(AND(J2552=1,N(I2552)&gt;0),SUMIF($K$2:$K$5001,"&gt;="&amp;K2552,$I$2:$I$5001)/MAX(1,SUM($H$2:$H$5001)),"")</f>
        <v/>
      </c>
      <c r="M2552" s="47" t="str">
        <f aca="false">IF($A2552="","",INDEX($L$2:$L$5001,MATCH($A2552,$A$2:$A$5001,0)))</f>
        <v/>
      </c>
      <c r="N2552" s="48" t="str">
        <f aca="false">IF($A2552="","",IF(N(M2552)=0,"–",IF(M2552&lt;=Start!$D$20,"A",IF(M2552&lt;=Start!$D$21,"B","C"))))</f>
        <v/>
      </c>
      <c r="O2552" s="48" t="str">
        <f aca="false">IF($A2552="","",IF(NOT(ISNUMBER(F2552)),"Wert fehlt; ",IF(F2552&lt;=0,"Wert ist 0; ",""))&amp;IF(NOT(ISNUMBER(E2552)),"Bestand fehlt; ",IF(E2552&lt;0,"Bestand negativ; ",IF(E2552=0,"Nullbestand; ","")))&amp;IF(D2552="","Warengruppe fehlt; ","")&amp;IF(B2552="","Bezeichnung fehlt; ","")&amp;IF(COUNTIFS($A$2:$A$5001,$A2552,$C$2:$C$5001,C2552)&gt;1,"Artikel doppelt im selben Lager; ",""))</f>
        <v/>
      </c>
      <c r="P2552" s="47" t="n">
        <f aca="false">IF(OR($A2552="",D2552=""),0,IF(COUNTIF($D$2:D2552,D2552)=1,SUMIF($D$2:$D$5001,D2552,$H$2:$H$5001)+ROW()/10000000,0))</f>
        <v>0</v>
      </c>
      <c r="Q2552" s="47" t="n">
        <f aca="false">IF(OR($A2552="",C2552=""),0,IF(COUNTIF($C$2:C2552,C2552)=1,SUMIF($C$2:$C$5001,C2552,$H$2:$H$5001)+ROW()/10000000,0))</f>
        <v>0</v>
      </c>
    </row>
    <row r="2553" customFormat="false" ht="15" hidden="false" customHeight="false" outlineLevel="0" collapsed="false">
      <c r="A2553" s="43"/>
      <c r="B2553" s="44"/>
      <c r="C2553" s="44"/>
      <c r="D2553" s="44"/>
      <c r="E2553" s="44"/>
      <c r="F2553" s="44"/>
      <c r="G2553" s="44"/>
      <c r="H2553" s="46" t="str">
        <f aca="false">IF($A2553="","",IF(OR(NOT(ISNUMBER(E2553)),NOT(ISNUMBER(F2553))),"",MAX(0,E2553)*F2553))</f>
        <v/>
      </c>
      <c r="I2553" s="46" t="str">
        <f aca="false">IF($A2553="","",SUMIF($A$2:$A$5001,$A2553,$H$2:$H$5001))</f>
        <v/>
      </c>
      <c r="J2553" s="47" t="n">
        <f aca="false">IF($A2553="",0,IF(COUNTIF($A$2:A2553,$A2553)=1,1,0))</f>
        <v>0</v>
      </c>
      <c r="K2553" s="47" t="n">
        <f aca="false">IF(J2553=1,N(I2553)+ROW()/10000000,0)</f>
        <v>0</v>
      </c>
      <c r="L2553" s="47" t="str">
        <f aca="false">IF(AND(J2553=1,N(I2553)&gt;0),SUMIF($K$2:$K$5001,"&gt;="&amp;K2553,$I$2:$I$5001)/MAX(1,SUM($H$2:$H$5001)),"")</f>
        <v/>
      </c>
      <c r="M2553" s="47" t="str">
        <f aca="false">IF($A2553="","",INDEX($L$2:$L$5001,MATCH($A2553,$A$2:$A$5001,0)))</f>
        <v/>
      </c>
      <c r="N2553" s="48" t="str">
        <f aca="false">IF($A2553="","",IF(N(M2553)=0,"–",IF(M2553&lt;=Start!$D$20,"A",IF(M2553&lt;=Start!$D$21,"B","C"))))</f>
        <v/>
      </c>
      <c r="O2553" s="48" t="str">
        <f aca="false">IF($A2553="","",IF(NOT(ISNUMBER(F2553)),"Wert fehlt; ",IF(F2553&lt;=0,"Wert ist 0; ",""))&amp;IF(NOT(ISNUMBER(E2553)),"Bestand fehlt; ",IF(E2553&lt;0,"Bestand negativ; ",IF(E2553=0,"Nullbestand; ","")))&amp;IF(D2553="","Warengruppe fehlt; ","")&amp;IF(B2553="","Bezeichnung fehlt; ","")&amp;IF(COUNTIFS($A$2:$A$5001,$A2553,$C$2:$C$5001,C2553)&gt;1,"Artikel doppelt im selben Lager; ",""))</f>
        <v/>
      </c>
      <c r="P2553" s="47" t="n">
        <f aca="false">IF(OR($A2553="",D2553=""),0,IF(COUNTIF($D$2:D2553,D2553)=1,SUMIF($D$2:$D$5001,D2553,$H$2:$H$5001)+ROW()/10000000,0))</f>
        <v>0</v>
      </c>
      <c r="Q2553" s="47" t="n">
        <f aca="false">IF(OR($A2553="",C2553=""),0,IF(COUNTIF($C$2:C2553,C2553)=1,SUMIF($C$2:$C$5001,C2553,$H$2:$H$5001)+ROW()/10000000,0))</f>
        <v>0</v>
      </c>
    </row>
    <row r="2554" customFormat="false" ht="15" hidden="false" customHeight="false" outlineLevel="0" collapsed="false">
      <c r="A2554" s="43"/>
      <c r="B2554" s="44"/>
      <c r="C2554" s="44"/>
      <c r="D2554" s="44"/>
      <c r="E2554" s="44"/>
      <c r="F2554" s="44"/>
      <c r="G2554" s="44"/>
      <c r="H2554" s="46" t="str">
        <f aca="false">IF($A2554="","",IF(OR(NOT(ISNUMBER(E2554)),NOT(ISNUMBER(F2554))),"",MAX(0,E2554)*F2554))</f>
        <v/>
      </c>
      <c r="I2554" s="46" t="str">
        <f aca="false">IF($A2554="","",SUMIF($A$2:$A$5001,$A2554,$H$2:$H$5001))</f>
        <v/>
      </c>
      <c r="J2554" s="47" t="n">
        <f aca="false">IF($A2554="",0,IF(COUNTIF($A$2:A2554,$A2554)=1,1,0))</f>
        <v>0</v>
      </c>
      <c r="K2554" s="47" t="n">
        <f aca="false">IF(J2554=1,N(I2554)+ROW()/10000000,0)</f>
        <v>0</v>
      </c>
      <c r="L2554" s="47" t="str">
        <f aca="false">IF(AND(J2554=1,N(I2554)&gt;0),SUMIF($K$2:$K$5001,"&gt;="&amp;K2554,$I$2:$I$5001)/MAX(1,SUM($H$2:$H$5001)),"")</f>
        <v/>
      </c>
      <c r="M2554" s="47" t="str">
        <f aca="false">IF($A2554="","",INDEX($L$2:$L$5001,MATCH($A2554,$A$2:$A$5001,0)))</f>
        <v/>
      </c>
      <c r="N2554" s="48" t="str">
        <f aca="false">IF($A2554="","",IF(N(M2554)=0,"–",IF(M2554&lt;=Start!$D$20,"A",IF(M2554&lt;=Start!$D$21,"B","C"))))</f>
        <v/>
      </c>
      <c r="O2554" s="48" t="str">
        <f aca="false">IF($A2554="","",IF(NOT(ISNUMBER(F2554)),"Wert fehlt; ",IF(F2554&lt;=0,"Wert ist 0; ",""))&amp;IF(NOT(ISNUMBER(E2554)),"Bestand fehlt; ",IF(E2554&lt;0,"Bestand negativ; ",IF(E2554=0,"Nullbestand; ","")))&amp;IF(D2554="","Warengruppe fehlt; ","")&amp;IF(B2554="","Bezeichnung fehlt; ","")&amp;IF(COUNTIFS($A$2:$A$5001,$A2554,$C$2:$C$5001,C2554)&gt;1,"Artikel doppelt im selben Lager; ",""))</f>
        <v/>
      </c>
      <c r="P2554" s="47" t="n">
        <f aca="false">IF(OR($A2554="",D2554=""),0,IF(COUNTIF($D$2:D2554,D2554)=1,SUMIF($D$2:$D$5001,D2554,$H$2:$H$5001)+ROW()/10000000,0))</f>
        <v>0</v>
      </c>
      <c r="Q2554" s="47" t="n">
        <f aca="false">IF(OR($A2554="",C2554=""),0,IF(COUNTIF($C$2:C2554,C2554)=1,SUMIF($C$2:$C$5001,C2554,$H$2:$H$5001)+ROW()/10000000,0))</f>
        <v>0</v>
      </c>
    </row>
    <row r="2555" customFormat="false" ht="15" hidden="false" customHeight="false" outlineLevel="0" collapsed="false">
      <c r="A2555" s="43"/>
      <c r="B2555" s="44"/>
      <c r="C2555" s="44"/>
      <c r="D2555" s="44"/>
      <c r="E2555" s="44"/>
      <c r="F2555" s="44"/>
      <c r="G2555" s="44"/>
      <c r="H2555" s="46" t="str">
        <f aca="false">IF($A2555="","",IF(OR(NOT(ISNUMBER(E2555)),NOT(ISNUMBER(F2555))),"",MAX(0,E2555)*F2555))</f>
        <v/>
      </c>
      <c r="I2555" s="46" t="str">
        <f aca="false">IF($A2555="","",SUMIF($A$2:$A$5001,$A2555,$H$2:$H$5001))</f>
        <v/>
      </c>
      <c r="J2555" s="47" t="n">
        <f aca="false">IF($A2555="",0,IF(COUNTIF($A$2:A2555,$A2555)=1,1,0))</f>
        <v>0</v>
      </c>
      <c r="K2555" s="47" t="n">
        <f aca="false">IF(J2555=1,N(I2555)+ROW()/10000000,0)</f>
        <v>0</v>
      </c>
      <c r="L2555" s="47" t="str">
        <f aca="false">IF(AND(J2555=1,N(I2555)&gt;0),SUMIF($K$2:$K$5001,"&gt;="&amp;K2555,$I$2:$I$5001)/MAX(1,SUM($H$2:$H$5001)),"")</f>
        <v/>
      </c>
      <c r="M2555" s="47" t="str">
        <f aca="false">IF($A2555="","",INDEX($L$2:$L$5001,MATCH($A2555,$A$2:$A$5001,0)))</f>
        <v/>
      </c>
      <c r="N2555" s="48" t="str">
        <f aca="false">IF($A2555="","",IF(N(M2555)=0,"–",IF(M2555&lt;=Start!$D$20,"A",IF(M2555&lt;=Start!$D$21,"B","C"))))</f>
        <v/>
      </c>
      <c r="O2555" s="48" t="str">
        <f aca="false">IF($A2555="","",IF(NOT(ISNUMBER(F2555)),"Wert fehlt; ",IF(F2555&lt;=0,"Wert ist 0; ",""))&amp;IF(NOT(ISNUMBER(E2555)),"Bestand fehlt; ",IF(E2555&lt;0,"Bestand negativ; ",IF(E2555=0,"Nullbestand; ","")))&amp;IF(D2555="","Warengruppe fehlt; ","")&amp;IF(B2555="","Bezeichnung fehlt; ","")&amp;IF(COUNTIFS($A$2:$A$5001,$A2555,$C$2:$C$5001,C2555)&gt;1,"Artikel doppelt im selben Lager; ",""))</f>
        <v/>
      </c>
      <c r="P2555" s="47" t="n">
        <f aca="false">IF(OR($A2555="",D2555=""),0,IF(COUNTIF($D$2:D2555,D2555)=1,SUMIF($D$2:$D$5001,D2555,$H$2:$H$5001)+ROW()/10000000,0))</f>
        <v>0</v>
      </c>
      <c r="Q2555" s="47" t="n">
        <f aca="false">IF(OR($A2555="",C2555=""),0,IF(COUNTIF($C$2:C2555,C2555)=1,SUMIF($C$2:$C$5001,C2555,$H$2:$H$5001)+ROW()/10000000,0))</f>
        <v>0</v>
      </c>
    </row>
    <row r="2556" customFormat="false" ht="15" hidden="false" customHeight="false" outlineLevel="0" collapsed="false">
      <c r="A2556" s="43"/>
      <c r="B2556" s="44"/>
      <c r="C2556" s="44"/>
      <c r="D2556" s="44"/>
      <c r="E2556" s="44"/>
      <c r="F2556" s="44"/>
      <c r="G2556" s="44"/>
      <c r="H2556" s="46" t="str">
        <f aca="false">IF($A2556="","",IF(OR(NOT(ISNUMBER(E2556)),NOT(ISNUMBER(F2556))),"",MAX(0,E2556)*F2556))</f>
        <v/>
      </c>
      <c r="I2556" s="46" t="str">
        <f aca="false">IF($A2556="","",SUMIF($A$2:$A$5001,$A2556,$H$2:$H$5001))</f>
        <v/>
      </c>
      <c r="J2556" s="47" t="n">
        <f aca="false">IF($A2556="",0,IF(COUNTIF($A$2:A2556,$A2556)=1,1,0))</f>
        <v>0</v>
      </c>
      <c r="K2556" s="47" t="n">
        <f aca="false">IF(J2556=1,N(I2556)+ROW()/10000000,0)</f>
        <v>0</v>
      </c>
      <c r="L2556" s="47" t="str">
        <f aca="false">IF(AND(J2556=1,N(I2556)&gt;0),SUMIF($K$2:$K$5001,"&gt;="&amp;K2556,$I$2:$I$5001)/MAX(1,SUM($H$2:$H$5001)),"")</f>
        <v/>
      </c>
      <c r="M2556" s="47" t="str">
        <f aca="false">IF($A2556="","",INDEX($L$2:$L$5001,MATCH($A2556,$A$2:$A$5001,0)))</f>
        <v/>
      </c>
      <c r="N2556" s="48" t="str">
        <f aca="false">IF($A2556="","",IF(N(M2556)=0,"–",IF(M2556&lt;=Start!$D$20,"A",IF(M2556&lt;=Start!$D$21,"B","C"))))</f>
        <v/>
      </c>
      <c r="O2556" s="48" t="str">
        <f aca="false">IF($A2556="","",IF(NOT(ISNUMBER(F2556)),"Wert fehlt; ",IF(F2556&lt;=0,"Wert ist 0; ",""))&amp;IF(NOT(ISNUMBER(E2556)),"Bestand fehlt; ",IF(E2556&lt;0,"Bestand negativ; ",IF(E2556=0,"Nullbestand; ","")))&amp;IF(D2556="","Warengruppe fehlt; ","")&amp;IF(B2556="","Bezeichnung fehlt; ","")&amp;IF(COUNTIFS($A$2:$A$5001,$A2556,$C$2:$C$5001,C2556)&gt;1,"Artikel doppelt im selben Lager; ",""))</f>
        <v/>
      </c>
      <c r="P2556" s="47" t="n">
        <f aca="false">IF(OR($A2556="",D2556=""),0,IF(COUNTIF($D$2:D2556,D2556)=1,SUMIF($D$2:$D$5001,D2556,$H$2:$H$5001)+ROW()/10000000,0))</f>
        <v>0</v>
      </c>
      <c r="Q2556" s="47" t="n">
        <f aca="false">IF(OR($A2556="",C2556=""),0,IF(COUNTIF($C$2:C2556,C2556)=1,SUMIF($C$2:$C$5001,C2556,$H$2:$H$5001)+ROW()/10000000,0))</f>
        <v>0</v>
      </c>
    </row>
    <row r="2557" customFormat="false" ht="15" hidden="false" customHeight="false" outlineLevel="0" collapsed="false">
      <c r="A2557" s="43"/>
      <c r="B2557" s="44"/>
      <c r="C2557" s="44"/>
      <c r="D2557" s="44"/>
      <c r="E2557" s="44"/>
      <c r="F2557" s="44"/>
      <c r="G2557" s="44"/>
      <c r="H2557" s="46" t="str">
        <f aca="false">IF($A2557="","",IF(OR(NOT(ISNUMBER(E2557)),NOT(ISNUMBER(F2557))),"",MAX(0,E2557)*F2557))</f>
        <v/>
      </c>
      <c r="I2557" s="46" t="str">
        <f aca="false">IF($A2557="","",SUMIF($A$2:$A$5001,$A2557,$H$2:$H$5001))</f>
        <v/>
      </c>
      <c r="J2557" s="47" t="n">
        <f aca="false">IF($A2557="",0,IF(COUNTIF($A$2:A2557,$A2557)=1,1,0))</f>
        <v>0</v>
      </c>
      <c r="K2557" s="47" t="n">
        <f aca="false">IF(J2557=1,N(I2557)+ROW()/10000000,0)</f>
        <v>0</v>
      </c>
      <c r="L2557" s="47" t="str">
        <f aca="false">IF(AND(J2557=1,N(I2557)&gt;0),SUMIF($K$2:$K$5001,"&gt;="&amp;K2557,$I$2:$I$5001)/MAX(1,SUM($H$2:$H$5001)),"")</f>
        <v/>
      </c>
      <c r="M2557" s="47" t="str">
        <f aca="false">IF($A2557="","",INDEX($L$2:$L$5001,MATCH($A2557,$A$2:$A$5001,0)))</f>
        <v/>
      </c>
      <c r="N2557" s="48" t="str">
        <f aca="false">IF($A2557="","",IF(N(M2557)=0,"–",IF(M2557&lt;=Start!$D$20,"A",IF(M2557&lt;=Start!$D$21,"B","C"))))</f>
        <v/>
      </c>
      <c r="O2557" s="48" t="str">
        <f aca="false">IF($A2557="","",IF(NOT(ISNUMBER(F2557)),"Wert fehlt; ",IF(F2557&lt;=0,"Wert ist 0; ",""))&amp;IF(NOT(ISNUMBER(E2557)),"Bestand fehlt; ",IF(E2557&lt;0,"Bestand negativ; ",IF(E2557=0,"Nullbestand; ","")))&amp;IF(D2557="","Warengruppe fehlt; ","")&amp;IF(B2557="","Bezeichnung fehlt; ","")&amp;IF(COUNTIFS($A$2:$A$5001,$A2557,$C$2:$C$5001,C2557)&gt;1,"Artikel doppelt im selben Lager; ",""))</f>
        <v/>
      </c>
      <c r="P2557" s="47" t="n">
        <f aca="false">IF(OR($A2557="",D2557=""),0,IF(COUNTIF($D$2:D2557,D2557)=1,SUMIF($D$2:$D$5001,D2557,$H$2:$H$5001)+ROW()/10000000,0))</f>
        <v>0</v>
      </c>
      <c r="Q2557" s="47" t="n">
        <f aca="false">IF(OR($A2557="",C2557=""),0,IF(COUNTIF($C$2:C2557,C2557)=1,SUMIF($C$2:$C$5001,C2557,$H$2:$H$5001)+ROW()/10000000,0))</f>
        <v>0</v>
      </c>
    </row>
    <row r="2558" customFormat="false" ht="15" hidden="false" customHeight="false" outlineLevel="0" collapsed="false">
      <c r="A2558" s="43"/>
      <c r="B2558" s="44"/>
      <c r="C2558" s="44"/>
      <c r="D2558" s="44"/>
      <c r="E2558" s="44"/>
      <c r="F2558" s="44"/>
      <c r="G2558" s="44"/>
      <c r="H2558" s="46" t="str">
        <f aca="false">IF($A2558="","",IF(OR(NOT(ISNUMBER(E2558)),NOT(ISNUMBER(F2558))),"",MAX(0,E2558)*F2558))</f>
        <v/>
      </c>
      <c r="I2558" s="46" t="str">
        <f aca="false">IF($A2558="","",SUMIF($A$2:$A$5001,$A2558,$H$2:$H$5001))</f>
        <v/>
      </c>
      <c r="J2558" s="47" t="n">
        <f aca="false">IF($A2558="",0,IF(COUNTIF($A$2:A2558,$A2558)=1,1,0))</f>
        <v>0</v>
      </c>
      <c r="K2558" s="47" t="n">
        <f aca="false">IF(J2558=1,N(I2558)+ROW()/10000000,0)</f>
        <v>0</v>
      </c>
      <c r="L2558" s="47" t="str">
        <f aca="false">IF(AND(J2558=1,N(I2558)&gt;0),SUMIF($K$2:$K$5001,"&gt;="&amp;K2558,$I$2:$I$5001)/MAX(1,SUM($H$2:$H$5001)),"")</f>
        <v/>
      </c>
      <c r="M2558" s="47" t="str">
        <f aca="false">IF($A2558="","",INDEX($L$2:$L$5001,MATCH($A2558,$A$2:$A$5001,0)))</f>
        <v/>
      </c>
      <c r="N2558" s="48" t="str">
        <f aca="false">IF($A2558="","",IF(N(M2558)=0,"–",IF(M2558&lt;=Start!$D$20,"A",IF(M2558&lt;=Start!$D$21,"B","C"))))</f>
        <v/>
      </c>
      <c r="O2558" s="48" t="str">
        <f aca="false">IF($A2558="","",IF(NOT(ISNUMBER(F2558)),"Wert fehlt; ",IF(F2558&lt;=0,"Wert ist 0; ",""))&amp;IF(NOT(ISNUMBER(E2558)),"Bestand fehlt; ",IF(E2558&lt;0,"Bestand negativ; ",IF(E2558=0,"Nullbestand; ","")))&amp;IF(D2558="","Warengruppe fehlt; ","")&amp;IF(B2558="","Bezeichnung fehlt; ","")&amp;IF(COUNTIFS($A$2:$A$5001,$A2558,$C$2:$C$5001,C2558)&gt;1,"Artikel doppelt im selben Lager; ",""))</f>
        <v/>
      </c>
      <c r="P2558" s="47" t="n">
        <f aca="false">IF(OR($A2558="",D2558=""),0,IF(COUNTIF($D$2:D2558,D2558)=1,SUMIF($D$2:$D$5001,D2558,$H$2:$H$5001)+ROW()/10000000,0))</f>
        <v>0</v>
      </c>
      <c r="Q2558" s="47" t="n">
        <f aca="false">IF(OR($A2558="",C2558=""),0,IF(COUNTIF($C$2:C2558,C2558)=1,SUMIF($C$2:$C$5001,C2558,$H$2:$H$5001)+ROW()/10000000,0))</f>
        <v>0</v>
      </c>
    </row>
    <row r="2559" customFormat="false" ht="15" hidden="false" customHeight="false" outlineLevel="0" collapsed="false">
      <c r="A2559" s="43"/>
      <c r="B2559" s="44"/>
      <c r="C2559" s="44"/>
      <c r="D2559" s="44"/>
      <c r="E2559" s="44"/>
      <c r="F2559" s="44"/>
      <c r="G2559" s="44"/>
      <c r="H2559" s="46" t="str">
        <f aca="false">IF($A2559="","",IF(OR(NOT(ISNUMBER(E2559)),NOT(ISNUMBER(F2559))),"",MAX(0,E2559)*F2559))</f>
        <v/>
      </c>
      <c r="I2559" s="46" t="str">
        <f aca="false">IF($A2559="","",SUMIF($A$2:$A$5001,$A2559,$H$2:$H$5001))</f>
        <v/>
      </c>
      <c r="J2559" s="47" t="n">
        <f aca="false">IF($A2559="",0,IF(COUNTIF($A$2:A2559,$A2559)=1,1,0))</f>
        <v>0</v>
      </c>
      <c r="K2559" s="47" t="n">
        <f aca="false">IF(J2559=1,N(I2559)+ROW()/10000000,0)</f>
        <v>0</v>
      </c>
      <c r="L2559" s="47" t="str">
        <f aca="false">IF(AND(J2559=1,N(I2559)&gt;0),SUMIF($K$2:$K$5001,"&gt;="&amp;K2559,$I$2:$I$5001)/MAX(1,SUM($H$2:$H$5001)),"")</f>
        <v/>
      </c>
      <c r="M2559" s="47" t="str">
        <f aca="false">IF($A2559="","",INDEX($L$2:$L$5001,MATCH($A2559,$A$2:$A$5001,0)))</f>
        <v/>
      </c>
      <c r="N2559" s="48" t="str">
        <f aca="false">IF($A2559="","",IF(N(M2559)=0,"–",IF(M2559&lt;=Start!$D$20,"A",IF(M2559&lt;=Start!$D$21,"B","C"))))</f>
        <v/>
      </c>
      <c r="O2559" s="48" t="str">
        <f aca="false">IF($A2559="","",IF(NOT(ISNUMBER(F2559)),"Wert fehlt; ",IF(F2559&lt;=0,"Wert ist 0; ",""))&amp;IF(NOT(ISNUMBER(E2559)),"Bestand fehlt; ",IF(E2559&lt;0,"Bestand negativ; ",IF(E2559=0,"Nullbestand; ","")))&amp;IF(D2559="","Warengruppe fehlt; ","")&amp;IF(B2559="","Bezeichnung fehlt; ","")&amp;IF(COUNTIFS($A$2:$A$5001,$A2559,$C$2:$C$5001,C2559)&gt;1,"Artikel doppelt im selben Lager; ",""))</f>
        <v/>
      </c>
      <c r="P2559" s="47" t="n">
        <f aca="false">IF(OR($A2559="",D2559=""),0,IF(COUNTIF($D$2:D2559,D2559)=1,SUMIF($D$2:$D$5001,D2559,$H$2:$H$5001)+ROW()/10000000,0))</f>
        <v>0</v>
      </c>
      <c r="Q2559" s="47" t="n">
        <f aca="false">IF(OR($A2559="",C2559=""),0,IF(COUNTIF($C$2:C2559,C2559)=1,SUMIF($C$2:$C$5001,C2559,$H$2:$H$5001)+ROW()/10000000,0))</f>
        <v>0</v>
      </c>
    </row>
    <row r="2560" customFormat="false" ht="15" hidden="false" customHeight="false" outlineLevel="0" collapsed="false">
      <c r="A2560" s="43"/>
      <c r="B2560" s="44"/>
      <c r="C2560" s="44"/>
      <c r="D2560" s="44"/>
      <c r="E2560" s="44"/>
      <c r="F2560" s="44"/>
      <c r="G2560" s="44"/>
      <c r="H2560" s="46" t="str">
        <f aca="false">IF($A2560="","",IF(OR(NOT(ISNUMBER(E2560)),NOT(ISNUMBER(F2560))),"",MAX(0,E2560)*F2560))</f>
        <v/>
      </c>
      <c r="I2560" s="46" t="str">
        <f aca="false">IF($A2560="","",SUMIF($A$2:$A$5001,$A2560,$H$2:$H$5001))</f>
        <v/>
      </c>
      <c r="J2560" s="47" t="n">
        <f aca="false">IF($A2560="",0,IF(COUNTIF($A$2:A2560,$A2560)=1,1,0))</f>
        <v>0</v>
      </c>
      <c r="K2560" s="47" t="n">
        <f aca="false">IF(J2560=1,N(I2560)+ROW()/10000000,0)</f>
        <v>0</v>
      </c>
      <c r="L2560" s="47" t="str">
        <f aca="false">IF(AND(J2560=1,N(I2560)&gt;0),SUMIF($K$2:$K$5001,"&gt;="&amp;K2560,$I$2:$I$5001)/MAX(1,SUM($H$2:$H$5001)),"")</f>
        <v/>
      </c>
      <c r="M2560" s="47" t="str">
        <f aca="false">IF($A2560="","",INDEX($L$2:$L$5001,MATCH($A2560,$A$2:$A$5001,0)))</f>
        <v/>
      </c>
      <c r="N2560" s="48" t="str">
        <f aca="false">IF($A2560="","",IF(N(M2560)=0,"–",IF(M2560&lt;=Start!$D$20,"A",IF(M2560&lt;=Start!$D$21,"B","C"))))</f>
        <v/>
      </c>
      <c r="O2560" s="48" t="str">
        <f aca="false">IF($A2560="","",IF(NOT(ISNUMBER(F2560)),"Wert fehlt; ",IF(F2560&lt;=0,"Wert ist 0; ",""))&amp;IF(NOT(ISNUMBER(E2560)),"Bestand fehlt; ",IF(E2560&lt;0,"Bestand negativ; ",IF(E2560=0,"Nullbestand; ","")))&amp;IF(D2560="","Warengruppe fehlt; ","")&amp;IF(B2560="","Bezeichnung fehlt; ","")&amp;IF(COUNTIFS($A$2:$A$5001,$A2560,$C$2:$C$5001,C2560)&gt;1,"Artikel doppelt im selben Lager; ",""))</f>
        <v/>
      </c>
      <c r="P2560" s="47" t="n">
        <f aca="false">IF(OR($A2560="",D2560=""),0,IF(COUNTIF($D$2:D2560,D2560)=1,SUMIF($D$2:$D$5001,D2560,$H$2:$H$5001)+ROW()/10000000,0))</f>
        <v>0</v>
      </c>
      <c r="Q2560" s="47" t="n">
        <f aca="false">IF(OR($A2560="",C2560=""),0,IF(COUNTIF($C$2:C2560,C2560)=1,SUMIF($C$2:$C$5001,C2560,$H$2:$H$5001)+ROW()/10000000,0))</f>
        <v>0</v>
      </c>
    </row>
    <row r="2561" customFormat="false" ht="15" hidden="false" customHeight="false" outlineLevel="0" collapsed="false">
      <c r="A2561" s="43"/>
      <c r="B2561" s="44"/>
      <c r="C2561" s="44"/>
      <c r="D2561" s="44"/>
      <c r="E2561" s="44"/>
      <c r="F2561" s="44"/>
      <c r="G2561" s="44"/>
      <c r="H2561" s="46" t="str">
        <f aca="false">IF($A2561="","",IF(OR(NOT(ISNUMBER(E2561)),NOT(ISNUMBER(F2561))),"",MAX(0,E2561)*F2561))</f>
        <v/>
      </c>
      <c r="I2561" s="46" t="str">
        <f aca="false">IF($A2561="","",SUMIF($A$2:$A$5001,$A2561,$H$2:$H$5001))</f>
        <v/>
      </c>
      <c r="J2561" s="47" t="n">
        <f aca="false">IF($A2561="",0,IF(COUNTIF($A$2:A2561,$A2561)=1,1,0))</f>
        <v>0</v>
      </c>
      <c r="K2561" s="47" t="n">
        <f aca="false">IF(J2561=1,N(I2561)+ROW()/10000000,0)</f>
        <v>0</v>
      </c>
      <c r="L2561" s="47" t="str">
        <f aca="false">IF(AND(J2561=1,N(I2561)&gt;0),SUMIF($K$2:$K$5001,"&gt;="&amp;K2561,$I$2:$I$5001)/MAX(1,SUM($H$2:$H$5001)),"")</f>
        <v/>
      </c>
      <c r="M2561" s="47" t="str">
        <f aca="false">IF($A2561="","",INDEX($L$2:$L$5001,MATCH($A2561,$A$2:$A$5001,0)))</f>
        <v/>
      </c>
      <c r="N2561" s="48" t="str">
        <f aca="false">IF($A2561="","",IF(N(M2561)=0,"–",IF(M2561&lt;=Start!$D$20,"A",IF(M2561&lt;=Start!$D$21,"B","C"))))</f>
        <v/>
      </c>
      <c r="O2561" s="48" t="str">
        <f aca="false">IF($A2561="","",IF(NOT(ISNUMBER(F2561)),"Wert fehlt; ",IF(F2561&lt;=0,"Wert ist 0; ",""))&amp;IF(NOT(ISNUMBER(E2561)),"Bestand fehlt; ",IF(E2561&lt;0,"Bestand negativ; ",IF(E2561=0,"Nullbestand; ","")))&amp;IF(D2561="","Warengruppe fehlt; ","")&amp;IF(B2561="","Bezeichnung fehlt; ","")&amp;IF(COUNTIFS($A$2:$A$5001,$A2561,$C$2:$C$5001,C2561)&gt;1,"Artikel doppelt im selben Lager; ",""))</f>
        <v/>
      </c>
      <c r="P2561" s="47" t="n">
        <f aca="false">IF(OR($A2561="",D2561=""),0,IF(COUNTIF($D$2:D2561,D2561)=1,SUMIF($D$2:$D$5001,D2561,$H$2:$H$5001)+ROW()/10000000,0))</f>
        <v>0</v>
      </c>
      <c r="Q2561" s="47" t="n">
        <f aca="false">IF(OR($A2561="",C2561=""),0,IF(COUNTIF($C$2:C2561,C2561)=1,SUMIF($C$2:$C$5001,C2561,$H$2:$H$5001)+ROW()/10000000,0))</f>
        <v>0</v>
      </c>
    </row>
    <row r="2562" customFormat="false" ht="15" hidden="false" customHeight="false" outlineLevel="0" collapsed="false">
      <c r="A2562" s="43"/>
      <c r="B2562" s="44"/>
      <c r="C2562" s="44"/>
      <c r="D2562" s="44"/>
      <c r="E2562" s="44"/>
      <c r="F2562" s="44"/>
      <c r="G2562" s="44"/>
      <c r="H2562" s="46" t="str">
        <f aca="false">IF($A2562="","",IF(OR(NOT(ISNUMBER(E2562)),NOT(ISNUMBER(F2562))),"",MAX(0,E2562)*F2562))</f>
        <v/>
      </c>
      <c r="I2562" s="46" t="str">
        <f aca="false">IF($A2562="","",SUMIF($A$2:$A$5001,$A2562,$H$2:$H$5001))</f>
        <v/>
      </c>
      <c r="J2562" s="47" t="n">
        <f aca="false">IF($A2562="",0,IF(COUNTIF($A$2:A2562,$A2562)=1,1,0))</f>
        <v>0</v>
      </c>
      <c r="K2562" s="47" t="n">
        <f aca="false">IF(J2562=1,N(I2562)+ROW()/10000000,0)</f>
        <v>0</v>
      </c>
      <c r="L2562" s="47" t="str">
        <f aca="false">IF(AND(J2562=1,N(I2562)&gt;0),SUMIF($K$2:$K$5001,"&gt;="&amp;K2562,$I$2:$I$5001)/MAX(1,SUM($H$2:$H$5001)),"")</f>
        <v/>
      </c>
      <c r="M2562" s="47" t="str">
        <f aca="false">IF($A2562="","",INDEX($L$2:$L$5001,MATCH($A2562,$A$2:$A$5001,0)))</f>
        <v/>
      </c>
      <c r="N2562" s="48" t="str">
        <f aca="false">IF($A2562="","",IF(N(M2562)=0,"–",IF(M2562&lt;=Start!$D$20,"A",IF(M2562&lt;=Start!$D$21,"B","C"))))</f>
        <v/>
      </c>
      <c r="O2562" s="48" t="str">
        <f aca="false">IF($A2562="","",IF(NOT(ISNUMBER(F2562)),"Wert fehlt; ",IF(F2562&lt;=0,"Wert ist 0; ",""))&amp;IF(NOT(ISNUMBER(E2562)),"Bestand fehlt; ",IF(E2562&lt;0,"Bestand negativ; ",IF(E2562=0,"Nullbestand; ","")))&amp;IF(D2562="","Warengruppe fehlt; ","")&amp;IF(B2562="","Bezeichnung fehlt; ","")&amp;IF(COUNTIFS($A$2:$A$5001,$A2562,$C$2:$C$5001,C2562)&gt;1,"Artikel doppelt im selben Lager; ",""))</f>
        <v/>
      </c>
      <c r="P2562" s="47" t="n">
        <f aca="false">IF(OR($A2562="",D2562=""),0,IF(COUNTIF($D$2:D2562,D2562)=1,SUMIF($D$2:$D$5001,D2562,$H$2:$H$5001)+ROW()/10000000,0))</f>
        <v>0</v>
      </c>
      <c r="Q2562" s="47" t="n">
        <f aca="false">IF(OR($A2562="",C2562=""),0,IF(COUNTIF($C$2:C2562,C2562)=1,SUMIF($C$2:$C$5001,C2562,$H$2:$H$5001)+ROW()/10000000,0))</f>
        <v>0</v>
      </c>
    </row>
    <row r="2563" customFormat="false" ht="15" hidden="false" customHeight="false" outlineLevel="0" collapsed="false">
      <c r="A2563" s="43"/>
      <c r="B2563" s="44"/>
      <c r="C2563" s="44"/>
      <c r="D2563" s="44"/>
      <c r="E2563" s="44"/>
      <c r="F2563" s="44"/>
      <c r="G2563" s="44"/>
      <c r="H2563" s="46" t="str">
        <f aca="false">IF($A2563="","",IF(OR(NOT(ISNUMBER(E2563)),NOT(ISNUMBER(F2563))),"",MAX(0,E2563)*F2563))</f>
        <v/>
      </c>
      <c r="I2563" s="46" t="str">
        <f aca="false">IF($A2563="","",SUMIF($A$2:$A$5001,$A2563,$H$2:$H$5001))</f>
        <v/>
      </c>
      <c r="J2563" s="47" t="n">
        <f aca="false">IF($A2563="",0,IF(COUNTIF($A$2:A2563,$A2563)=1,1,0))</f>
        <v>0</v>
      </c>
      <c r="K2563" s="47" t="n">
        <f aca="false">IF(J2563=1,N(I2563)+ROW()/10000000,0)</f>
        <v>0</v>
      </c>
      <c r="L2563" s="47" t="str">
        <f aca="false">IF(AND(J2563=1,N(I2563)&gt;0),SUMIF($K$2:$K$5001,"&gt;="&amp;K2563,$I$2:$I$5001)/MAX(1,SUM($H$2:$H$5001)),"")</f>
        <v/>
      </c>
      <c r="M2563" s="47" t="str">
        <f aca="false">IF($A2563="","",INDEX($L$2:$L$5001,MATCH($A2563,$A$2:$A$5001,0)))</f>
        <v/>
      </c>
      <c r="N2563" s="48" t="str">
        <f aca="false">IF($A2563="","",IF(N(M2563)=0,"–",IF(M2563&lt;=Start!$D$20,"A",IF(M2563&lt;=Start!$D$21,"B","C"))))</f>
        <v/>
      </c>
      <c r="O2563" s="48" t="str">
        <f aca="false">IF($A2563="","",IF(NOT(ISNUMBER(F2563)),"Wert fehlt; ",IF(F2563&lt;=0,"Wert ist 0; ",""))&amp;IF(NOT(ISNUMBER(E2563)),"Bestand fehlt; ",IF(E2563&lt;0,"Bestand negativ; ",IF(E2563=0,"Nullbestand; ","")))&amp;IF(D2563="","Warengruppe fehlt; ","")&amp;IF(B2563="","Bezeichnung fehlt; ","")&amp;IF(COUNTIFS($A$2:$A$5001,$A2563,$C$2:$C$5001,C2563)&gt;1,"Artikel doppelt im selben Lager; ",""))</f>
        <v/>
      </c>
      <c r="P2563" s="47" t="n">
        <f aca="false">IF(OR($A2563="",D2563=""),0,IF(COUNTIF($D$2:D2563,D2563)=1,SUMIF($D$2:$D$5001,D2563,$H$2:$H$5001)+ROW()/10000000,0))</f>
        <v>0</v>
      </c>
      <c r="Q2563" s="47" t="n">
        <f aca="false">IF(OR($A2563="",C2563=""),0,IF(COUNTIF($C$2:C2563,C2563)=1,SUMIF($C$2:$C$5001,C2563,$H$2:$H$5001)+ROW()/10000000,0))</f>
        <v>0</v>
      </c>
    </row>
    <row r="2564" customFormat="false" ht="15" hidden="false" customHeight="false" outlineLevel="0" collapsed="false">
      <c r="A2564" s="43"/>
      <c r="B2564" s="44"/>
      <c r="C2564" s="44"/>
      <c r="D2564" s="44"/>
      <c r="E2564" s="44"/>
      <c r="F2564" s="44"/>
      <c r="G2564" s="44"/>
      <c r="H2564" s="46" t="str">
        <f aca="false">IF($A2564="","",IF(OR(NOT(ISNUMBER(E2564)),NOT(ISNUMBER(F2564))),"",MAX(0,E2564)*F2564))</f>
        <v/>
      </c>
      <c r="I2564" s="46" t="str">
        <f aca="false">IF($A2564="","",SUMIF($A$2:$A$5001,$A2564,$H$2:$H$5001))</f>
        <v/>
      </c>
      <c r="J2564" s="47" t="n">
        <f aca="false">IF($A2564="",0,IF(COUNTIF($A$2:A2564,$A2564)=1,1,0))</f>
        <v>0</v>
      </c>
      <c r="K2564" s="47" t="n">
        <f aca="false">IF(J2564=1,N(I2564)+ROW()/10000000,0)</f>
        <v>0</v>
      </c>
      <c r="L2564" s="47" t="str">
        <f aca="false">IF(AND(J2564=1,N(I2564)&gt;0),SUMIF($K$2:$K$5001,"&gt;="&amp;K2564,$I$2:$I$5001)/MAX(1,SUM($H$2:$H$5001)),"")</f>
        <v/>
      </c>
      <c r="M2564" s="47" t="str">
        <f aca="false">IF($A2564="","",INDEX($L$2:$L$5001,MATCH($A2564,$A$2:$A$5001,0)))</f>
        <v/>
      </c>
      <c r="N2564" s="48" t="str">
        <f aca="false">IF($A2564="","",IF(N(M2564)=0,"–",IF(M2564&lt;=Start!$D$20,"A",IF(M2564&lt;=Start!$D$21,"B","C"))))</f>
        <v/>
      </c>
      <c r="O2564" s="48" t="str">
        <f aca="false">IF($A2564="","",IF(NOT(ISNUMBER(F2564)),"Wert fehlt; ",IF(F2564&lt;=0,"Wert ist 0; ",""))&amp;IF(NOT(ISNUMBER(E2564)),"Bestand fehlt; ",IF(E2564&lt;0,"Bestand negativ; ",IF(E2564=0,"Nullbestand; ","")))&amp;IF(D2564="","Warengruppe fehlt; ","")&amp;IF(B2564="","Bezeichnung fehlt; ","")&amp;IF(COUNTIFS($A$2:$A$5001,$A2564,$C$2:$C$5001,C2564)&gt;1,"Artikel doppelt im selben Lager; ",""))</f>
        <v/>
      </c>
      <c r="P2564" s="47" t="n">
        <f aca="false">IF(OR($A2564="",D2564=""),0,IF(COUNTIF($D$2:D2564,D2564)=1,SUMIF($D$2:$D$5001,D2564,$H$2:$H$5001)+ROW()/10000000,0))</f>
        <v>0</v>
      </c>
      <c r="Q2564" s="47" t="n">
        <f aca="false">IF(OR($A2564="",C2564=""),0,IF(COUNTIF($C$2:C2564,C2564)=1,SUMIF($C$2:$C$5001,C2564,$H$2:$H$5001)+ROW()/10000000,0))</f>
        <v>0</v>
      </c>
    </row>
    <row r="2565" customFormat="false" ht="15" hidden="false" customHeight="false" outlineLevel="0" collapsed="false">
      <c r="A2565" s="43"/>
      <c r="B2565" s="44"/>
      <c r="C2565" s="44"/>
      <c r="D2565" s="44"/>
      <c r="E2565" s="44"/>
      <c r="F2565" s="44"/>
      <c r="G2565" s="44"/>
      <c r="H2565" s="46" t="str">
        <f aca="false">IF($A2565="","",IF(OR(NOT(ISNUMBER(E2565)),NOT(ISNUMBER(F2565))),"",MAX(0,E2565)*F2565))</f>
        <v/>
      </c>
      <c r="I2565" s="46" t="str">
        <f aca="false">IF($A2565="","",SUMIF($A$2:$A$5001,$A2565,$H$2:$H$5001))</f>
        <v/>
      </c>
      <c r="J2565" s="47" t="n">
        <f aca="false">IF($A2565="",0,IF(COUNTIF($A$2:A2565,$A2565)=1,1,0))</f>
        <v>0</v>
      </c>
      <c r="K2565" s="47" t="n">
        <f aca="false">IF(J2565=1,N(I2565)+ROW()/10000000,0)</f>
        <v>0</v>
      </c>
      <c r="L2565" s="47" t="str">
        <f aca="false">IF(AND(J2565=1,N(I2565)&gt;0),SUMIF($K$2:$K$5001,"&gt;="&amp;K2565,$I$2:$I$5001)/MAX(1,SUM($H$2:$H$5001)),"")</f>
        <v/>
      </c>
      <c r="M2565" s="47" t="str">
        <f aca="false">IF($A2565="","",INDEX($L$2:$L$5001,MATCH($A2565,$A$2:$A$5001,0)))</f>
        <v/>
      </c>
      <c r="N2565" s="48" t="str">
        <f aca="false">IF($A2565="","",IF(N(M2565)=0,"–",IF(M2565&lt;=Start!$D$20,"A",IF(M2565&lt;=Start!$D$21,"B","C"))))</f>
        <v/>
      </c>
      <c r="O2565" s="48" t="str">
        <f aca="false">IF($A2565="","",IF(NOT(ISNUMBER(F2565)),"Wert fehlt; ",IF(F2565&lt;=0,"Wert ist 0; ",""))&amp;IF(NOT(ISNUMBER(E2565)),"Bestand fehlt; ",IF(E2565&lt;0,"Bestand negativ; ",IF(E2565=0,"Nullbestand; ","")))&amp;IF(D2565="","Warengruppe fehlt; ","")&amp;IF(B2565="","Bezeichnung fehlt; ","")&amp;IF(COUNTIFS($A$2:$A$5001,$A2565,$C$2:$C$5001,C2565)&gt;1,"Artikel doppelt im selben Lager; ",""))</f>
        <v/>
      </c>
      <c r="P2565" s="47" t="n">
        <f aca="false">IF(OR($A2565="",D2565=""),0,IF(COUNTIF($D$2:D2565,D2565)=1,SUMIF($D$2:$D$5001,D2565,$H$2:$H$5001)+ROW()/10000000,0))</f>
        <v>0</v>
      </c>
      <c r="Q2565" s="47" t="n">
        <f aca="false">IF(OR($A2565="",C2565=""),0,IF(COUNTIF($C$2:C2565,C2565)=1,SUMIF($C$2:$C$5001,C2565,$H$2:$H$5001)+ROW()/10000000,0))</f>
        <v>0</v>
      </c>
    </row>
    <row r="2566" customFormat="false" ht="15" hidden="false" customHeight="false" outlineLevel="0" collapsed="false">
      <c r="A2566" s="43"/>
      <c r="B2566" s="44"/>
      <c r="C2566" s="44"/>
      <c r="D2566" s="44"/>
      <c r="E2566" s="44"/>
      <c r="F2566" s="44"/>
      <c r="G2566" s="44"/>
      <c r="H2566" s="46" t="str">
        <f aca="false">IF($A2566="","",IF(OR(NOT(ISNUMBER(E2566)),NOT(ISNUMBER(F2566))),"",MAX(0,E2566)*F2566))</f>
        <v/>
      </c>
      <c r="I2566" s="46" t="str">
        <f aca="false">IF($A2566="","",SUMIF($A$2:$A$5001,$A2566,$H$2:$H$5001))</f>
        <v/>
      </c>
      <c r="J2566" s="47" t="n">
        <f aca="false">IF($A2566="",0,IF(COUNTIF($A$2:A2566,$A2566)=1,1,0))</f>
        <v>0</v>
      </c>
      <c r="K2566" s="47" t="n">
        <f aca="false">IF(J2566=1,N(I2566)+ROW()/10000000,0)</f>
        <v>0</v>
      </c>
      <c r="L2566" s="47" t="str">
        <f aca="false">IF(AND(J2566=1,N(I2566)&gt;0),SUMIF($K$2:$K$5001,"&gt;="&amp;K2566,$I$2:$I$5001)/MAX(1,SUM($H$2:$H$5001)),"")</f>
        <v/>
      </c>
      <c r="M2566" s="47" t="str">
        <f aca="false">IF($A2566="","",INDEX($L$2:$L$5001,MATCH($A2566,$A$2:$A$5001,0)))</f>
        <v/>
      </c>
      <c r="N2566" s="48" t="str">
        <f aca="false">IF($A2566="","",IF(N(M2566)=0,"–",IF(M2566&lt;=Start!$D$20,"A",IF(M2566&lt;=Start!$D$21,"B","C"))))</f>
        <v/>
      </c>
      <c r="O2566" s="48" t="str">
        <f aca="false">IF($A2566="","",IF(NOT(ISNUMBER(F2566)),"Wert fehlt; ",IF(F2566&lt;=0,"Wert ist 0; ",""))&amp;IF(NOT(ISNUMBER(E2566)),"Bestand fehlt; ",IF(E2566&lt;0,"Bestand negativ; ",IF(E2566=0,"Nullbestand; ","")))&amp;IF(D2566="","Warengruppe fehlt; ","")&amp;IF(B2566="","Bezeichnung fehlt; ","")&amp;IF(COUNTIFS($A$2:$A$5001,$A2566,$C$2:$C$5001,C2566)&gt;1,"Artikel doppelt im selben Lager; ",""))</f>
        <v/>
      </c>
      <c r="P2566" s="47" t="n">
        <f aca="false">IF(OR($A2566="",D2566=""),0,IF(COUNTIF($D$2:D2566,D2566)=1,SUMIF($D$2:$D$5001,D2566,$H$2:$H$5001)+ROW()/10000000,0))</f>
        <v>0</v>
      </c>
      <c r="Q2566" s="47" t="n">
        <f aca="false">IF(OR($A2566="",C2566=""),0,IF(COUNTIF($C$2:C2566,C2566)=1,SUMIF($C$2:$C$5001,C2566,$H$2:$H$5001)+ROW()/10000000,0))</f>
        <v>0</v>
      </c>
    </row>
    <row r="2567" customFormat="false" ht="15" hidden="false" customHeight="false" outlineLevel="0" collapsed="false">
      <c r="A2567" s="43"/>
      <c r="B2567" s="44"/>
      <c r="C2567" s="44"/>
      <c r="D2567" s="44"/>
      <c r="E2567" s="44"/>
      <c r="F2567" s="44"/>
      <c r="G2567" s="44"/>
      <c r="H2567" s="46" t="str">
        <f aca="false">IF($A2567="","",IF(OR(NOT(ISNUMBER(E2567)),NOT(ISNUMBER(F2567))),"",MAX(0,E2567)*F2567))</f>
        <v/>
      </c>
      <c r="I2567" s="46" t="str">
        <f aca="false">IF($A2567="","",SUMIF($A$2:$A$5001,$A2567,$H$2:$H$5001))</f>
        <v/>
      </c>
      <c r="J2567" s="47" t="n">
        <f aca="false">IF($A2567="",0,IF(COUNTIF($A$2:A2567,$A2567)=1,1,0))</f>
        <v>0</v>
      </c>
      <c r="K2567" s="47" t="n">
        <f aca="false">IF(J2567=1,N(I2567)+ROW()/10000000,0)</f>
        <v>0</v>
      </c>
      <c r="L2567" s="47" t="str">
        <f aca="false">IF(AND(J2567=1,N(I2567)&gt;0),SUMIF($K$2:$K$5001,"&gt;="&amp;K2567,$I$2:$I$5001)/MAX(1,SUM($H$2:$H$5001)),"")</f>
        <v/>
      </c>
      <c r="M2567" s="47" t="str">
        <f aca="false">IF($A2567="","",INDEX($L$2:$L$5001,MATCH($A2567,$A$2:$A$5001,0)))</f>
        <v/>
      </c>
      <c r="N2567" s="48" t="str">
        <f aca="false">IF($A2567="","",IF(N(M2567)=0,"–",IF(M2567&lt;=Start!$D$20,"A",IF(M2567&lt;=Start!$D$21,"B","C"))))</f>
        <v/>
      </c>
      <c r="O2567" s="48" t="str">
        <f aca="false">IF($A2567="","",IF(NOT(ISNUMBER(F2567)),"Wert fehlt; ",IF(F2567&lt;=0,"Wert ist 0; ",""))&amp;IF(NOT(ISNUMBER(E2567)),"Bestand fehlt; ",IF(E2567&lt;0,"Bestand negativ; ",IF(E2567=0,"Nullbestand; ","")))&amp;IF(D2567="","Warengruppe fehlt; ","")&amp;IF(B2567="","Bezeichnung fehlt; ","")&amp;IF(COUNTIFS($A$2:$A$5001,$A2567,$C$2:$C$5001,C2567)&gt;1,"Artikel doppelt im selben Lager; ",""))</f>
        <v/>
      </c>
      <c r="P2567" s="47" t="n">
        <f aca="false">IF(OR($A2567="",D2567=""),0,IF(COUNTIF($D$2:D2567,D2567)=1,SUMIF($D$2:$D$5001,D2567,$H$2:$H$5001)+ROW()/10000000,0))</f>
        <v>0</v>
      </c>
      <c r="Q2567" s="47" t="n">
        <f aca="false">IF(OR($A2567="",C2567=""),0,IF(COUNTIF($C$2:C2567,C2567)=1,SUMIF($C$2:$C$5001,C2567,$H$2:$H$5001)+ROW()/10000000,0))</f>
        <v>0</v>
      </c>
    </row>
    <row r="2568" customFormat="false" ht="15" hidden="false" customHeight="false" outlineLevel="0" collapsed="false">
      <c r="A2568" s="43"/>
      <c r="B2568" s="44"/>
      <c r="C2568" s="44"/>
      <c r="D2568" s="44"/>
      <c r="E2568" s="44"/>
      <c r="F2568" s="44"/>
      <c r="G2568" s="44"/>
      <c r="H2568" s="46" t="str">
        <f aca="false">IF($A2568="","",IF(OR(NOT(ISNUMBER(E2568)),NOT(ISNUMBER(F2568))),"",MAX(0,E2568)*F2568))</f>
        <v/>
      </c>
      <c r="I2568" s="46" t="str">
        <f aca="false">IF($A2568="","",SUMIF($A$2:$A$5001,$A2568,$H$2:$H$5001))</f>
        <v/>
      </c>
      <c r="J2568" s="47" t="n">
        <f aca="false">IF($A2568="",0,IF(COUNTIF($A$2:A2568,$A2568)=1,1,0))</f>
        <v>0</v>
      </c>
      <c r="K2568" s="47" t="n">
        <f aca="false">IF(J2568=1,N(I2568)+ROW()/10000000,0)</f>
        <v>0</v>
      </c>
      <c r="L2568" s="47" t="str">
        <f aca="false">IF(AND(J2568=1,N(I2568)&gt;0),SUMIF($K$2:$K$5001,"&gt;="&amp;K2568,$I$2:$I$5001)/MAX(1,SUM($H$2:$H$5001)),"")</f>
        <v/>
      </c>
      <c r="M2568" s="47" t="str">
        <f aca="false">IF($A2568="","",INDEX($L$2:$L$5001,MATCH($A2568,$A$2:$A$5001,0)))</f>
        <v/>
      </c>
      <c r="N2568" s="48" t="str">
        <f aca="false">IF($A2568="","",IF(N(M2568)=0,"–",IF(M2568&lt;=Start!$D$20,"A",IF(M2568&lt;=Start!$D$21,"B","C"))))</f>
        <v/>
      </c>
      <c r="O2568" s="48" t="str">
        <f aca="false">IF($A2568="","",IF(NOT(ISNUMBER(F2568)),"Wert fehlt; ",IF(F2568&lt;=0,"Wert ist 0; ",""))&amp;IF(NOT(ISNUMBER(E2568)),"Bestand fehlt; ",IF(E2568&lt;0,"Bestand negativ; ",IF(E2568=0,"Nullbestand; ","")))&amp;IF(D2568="","Warengruppe fehlt; ","")&amp;IF(B2568="","Bezeichnung fehlt; ","")&amp;IF(COUNTIFS($A$2:$A$5001,$A2568,$C$2:$C$5001,C2568)&gt;1,"Artikel doppelt im selben Lager; ",""))</f>
        <v/>
      </c>
      <c r="P2568" s="47" t="n">
        <f aca="false">IF(OR($A2568="",D2568=""),0,IF(COUNTIF($D$2:D2568,D2568)=1,SUMIF($D$2:$D$5001,D2568,$H$2:$H$5001)+ROW()/10000000,0))</f>
        <v>0</v>
      </c>
      <c r="Q2568" s="47" t="n">
        <f aca="false">IF(OR($A2568="",C2568=""),0,IF(COUNTIF($C$2:C2568,C2568)=1,SUMIF($C$2:$C$5001,C2568,$H$2:$H$5001)+ROW()/10000000,0))</f>
        <v>0</v>
      </c>
    </row>
    <row r="2569" customFormat="false" ht="15" hidden="false" customHeight="false" outlineLevel="0" collapsed="false">
      <c r="A2569" s="43"/>
      <c r="B2569" s="44"/>
      <c r="C2569" s="44"/>
      <c r="D2569" s="44"/>
      <c r="E2569" s="44"/>
      <c r="F2569" s="44"/>
      <c r="G2569" s="44"/>
      <c r="H2569" s="46" t="str">
        <f aca="false">IF($A2569="","",IF(OR(NOT(ISNUMBER(E2569)),NOT(ISNUMBER(F2569))),"",MAX(0,E2569)*F2569))</f>
        <v/>
      </c>
      <c r="I2569" s="46" t="str">
        <f aca="false">IF($A2569="","",SUMIF($A$2:$A$5001,$A2569,$H$2:$H$5001))</f>
        <v/>
      </c>
      <c r="J2569" s="47" t="n">
        <f aca="false">IF($A2569="",0,IF(COUNTIF($A$2:A2569,$A2569)=1,1,0))</f>
        <v>0</v>
      </c>
      <c r="K2569" s="47" t="n">
        <f aca="false">IF(J2569=1,N(I2569)+ROW()/10000000,0)</f>
        <v>0</v>
      </c>
      <c r="L2569" s="47" t="str">
        <f aca="false">IF(AND(J2569=1,N(I2569)&gt;0),SUMIF($K$2:$K$5001,"&gt;="&amp;K2569,$I$2:$I$5001)/MAX(1,SUM($H$2:$H$5001)),"")</f>
        <v/>
      </c>
      <c r="M2569" s="47" t="str">
        <f aca="false">IF($A2569="","",INDEX($L$2:$L$5001,MATCH($A2569,$A$2:$A$5001,0)))</f>
        <v/>
      </c>
      <c r="N2569" s="48" t="str">
        <f aca="false">IF($A2569="","",IF(N(M2569)=0,"–",IF(M2569&lt;=Start!$D$20,"A",IF(M2569&lt;=Start!$D$21,"B","C"))))</f>
        <v/>
      </c>
      <c r="O2569" s="48" t="str">
        <f aca="false">IF($A2569="","",IF(NOT(ISNUMBER(F2569)),"Wert fehlt; ",IF(F2569&lt;=0,"Wert ist 0; ",""))&amp;IF(NOT(ISNUMBER(E2569)),"Bestand fehlt; ",IF(E2569&lt;0,"Bestand negativ; ",IF(E2569=0,"Nullbestand; ","")))&amp;IF(D2569="","Warengruppe fehlt; ","")&amp;IF(B2569="","Bezeichnung fehlt; ","")&amp;IF(COUNTIFS($A$2:$A$5001,$A2569,$C$2:$C$5001,C2569)&gt;1,"Artikel doppelt im selben Lager; ",""))</f>
        <v/>
      </c>
      <c r="P2569" s="47" t="n">
        <f aca="false">IF(OR($A2569="",D2569=""),0,IF(COUNTIF($D$2:D2569,D2569)=1,SUMIF($D$2:$D$5001,D2569,$H$2:$H$5001)+ROW()/10000000,0))</f>
        <v>0</v>
      </c>
      <c r="Q2569" s="47" t="n">
        <f aca="false">IF(OR($A2569="",C2569=""),0,IF(COUNTIF($C$2:C2569,C2569)=1,SUMIF($C$2:$C$5001,C2569,$H$2:$H$5001)+ROW()/10000000,0))</f>
        <v>0</v>
      </c>
    </row>
    <row r="2570" customFormat="false" ht="15" hidden="false" customHeight="false" outlineLevel="0" collapsed="false">
      <c r="A2570" s="43"/>
      <c r="B2570" s="44"/>
      <c r="C2570" s="44"/>
      <c r="D2570" s="44"/>
      <c r="E2570" s="44"/>
      <c r="F2570" s="44"/>
      <c r="G2570" s="44"/>
      <c r="H2570" s="46" t="str">
        <f aca="false">IF($A2570="","",IF(OR(NOT(ISNUMBER(E2570)),NOT(ISNUMBER(F2570))),"",MAX(0,E2570)*F2570))</f>
        <v/>
      </c>
      <c r="I2570" s="46" t="str">
        <f aca="false">IF($A2570="","",SUMIF($A$2:$A$5001,$A2570,$H$2:$H$5001))</f>
        <v/>
      </c>
      <c r="J2570" s="47" t="n">
        <f aca="false">IF($A2570="",0,IF(COUNTIF($A$2:A2570,$A2570)=1,1,0))</f>
        <v>0</v>
      </c>
      <c r="K2570" s="47" t="n">
        <f aca="false">IF(J2570=1,N(I2570)+ROW()/10000000,0)</f>
        <v>0</v>
      </c>
      <c r="L2570" s="47" t="str">
        <f aca="false">IF(AND(J2570=1,N(I2570)&gt;0),SUMIF($K$2:$K$5001,"&gt;="&amp;K2570,$I$2:$I$5001)/MAX(1,SUM($H$2:$H$5001)),"")</f>
        <v/>
      </c>
      <c r="M2570" s="47" t="str">
        <f aca="false">IF($A2570="","",INDEX($L$2:$L$5001,MATCH($A2570,$A$2:$A$5001,0)))</f>
        <v/>
      </c>
      <c r="N2570" s="48" t="str">
        <f aca="false">IF($A2570="","",IF(N(M2570)=0,"–",IF(M2570&lt;=Start!$D$20,"A",IF(M2570&lt;=Start!$D$21,"B","C"))))</f>
        <v/>
      </c>
      <c r="O2570" s="48" t="str">
        <f aca="false">IF($A2570="","",IF(NOT(ISNUMBER(F2570)),"Wert fehlt; ",IF(F2570&lt;=0,"Wert ist 0; ",""))&amp;IF(NOT(ISNUMBER(E2570)),"Bestand fehlt; ",IF(E2570&lt;0,"Bestand negativ; ",IF(E2570=0,"Nullbestand; ","")))&amp;IF(D2570="","Warengruppe fehlt; ","")&amp;IF(B2570="","Bezeichnung fehlt; ","")&amp;IF(COUNTIFS($A$2:$A$5001,$A2570,$C$2:$C$5001,C2570)&gt;1,"Artikel doppelt im selben Lager; ",""))</f>
        <v/>
      </c>
      <c r="P2570" s="47" t="n">
        <f aca="false">IF(OR($A2570="",D2570=""),0,IF(COUNTIF($D$2:D2570,D2570)=1,SUMIF($D$2:$D$5001,D2570,$H$2:$H$5001)+ROW()/10000000,0))</f>
        <v>0</v>
      </c>
      <c r="Q2570" s="47" t="n">
        <f aca="false">IF(OR($A2570="",C2570=""),0,IF(COUNTIF($C$2:C2570,C2570)=1,SUMIF($C$2:$C$5001,C2570,$H$2:$H$5001)+ROW()/10000000,0))</f>
        <v>0</v>
      </c>
    </row>
    <row r="2571" customFormat="false" ht="15" hidden="false" customHeight="false" outlineLevel="0" collapsed="false">
      <c r="A2571" s="43"/>
      <c r="B2571" s="44"/>
      <c r="C2571" s="44"/>
      <c r="D2571" s="44"/>
      <c r="E2571" s="44"/>
      <c r="F2571" s="44"/>
      <c r="G2571" s="44"/>
      <c r="H2571" s="46" t="str">
        <f aca="false">IF($A2571="","",IF(OR(NOT(ISNUMBER(E2571)),NOT(ISNUMBER(F2571))),"",MAX(0,E2571)*F2571))</f>
        <v/>
      </c>
      <c r="I2571" s="46" t="str">
        <f aca="false">IF($A2571="","",SUMIF($A$2:$A$5001,$A2571,$H$2:$H$5001))</f>
        <v/>
      </c>
      <c r="J2571" s="47" t="n">
        <f aca="false">IF($A2571="",0,IF(COUNTIF($A$2:A2571,$A2571)=1,1,0))</f>
        <v>0</v>
      </c>
      <c r="K2571" s="47" t="n">
        <f aca="false">IF(J2571=1,N(I2571)+ROW()/10000000,0)</f>
        <v>0</v>
      </c>
      <c r="L2571" s="47" t="str">
        <f aca="false">IF(AND(J2571=1,N(I2571)&gt;0),SUMIF($K$2:$K$5001,"&gt;="&amp;K2571,$I$2:$I$5001)/MAX(1,SUM($H$2:$H$5001)),"")</f>
        <v/>
      </c>
      <c r="M2571" s="47" t="str">
        <f aca="false">IF($A2571="","",INDEX($L$2:$L$5001,MATCH($A2571,$A$2:$A$5001,0)))</f>
        <v/>
      </c>
      <c r="N2571" s="48" t="str">
        <f aca="false">IF($A2571="","",IF(N(M2571)=0,"–",IF(M2571&lt;=Start!$D$20,"A",IF(M2571&lt;=Start!$D$21,"B","C"))))</f>
        <v/>
      </c>
      <c r="O2571" s="48" t="str">
        <f aca="false">IF($A2571="","",IF(NOT(ISNUMBER(F2571)),"Wert fehlt; ",IF(F2571&lt;=0,"Wert ist 0; ",""))&amp;IF(NOT(ISNUMBER(E2571)),"Bestand fehlt; ",IF(E2571&lt;0,"Bestand negativ; ",IF(E2571=0,"Nullbestand; ","")))&amp;IF(D2571="","Warengruppe fehlt; ","")&amp;IF(B2571="","Bezeichnung fehlt; ","")&amp;IF(COUNTIFS($A$2:$A$5001,$A2571,$C$2:$C$5001,C2571)&gt;1,"Artikel doppelt im selben Lager; ",""))</f>
        <v/>
      </c>
      <c r="P2571" s="47" t="n">
        <f aca="false">IF(OR($A2571="",D2571=""),0,IF(COUNTIF($D$2:D2571,D2571)=1,SUMIF($D$2:$D$5001,D2571,$H$2:$H$5001)+ROW()/10000000,0))</f>
        <v>0</v>
      </c>
      <c r="Q2571" s="47" t="n">
        <f aca="false">IF(OR($A2571="",C2571=""),0,IF(COUNTIF($C$2:C2571,C2571)=1,SUMIF($C$2:$C$5001,C2571,$H$2:$H$5001)+ROW()/10000000,0))</f>
        <v>0</v>
      </c>
    </row>
    <row r="2572" customFormat="false" ht="15" hidden="false" customHeight="false" outlineLevel="0" collapsed="false">
      <c r="A2572" s="43"/>
      <c r="B2572" s="44"/>
      <c r="C2572" s="44"/>
      <c r="D2572" s="44"/>
      <c r="E2572" s="44"/>
      <c r="F2572" s="44"/>
      <c r="G2572" s="44"/>
      <c r="H2572" s="46" t="str">
        <f aca="false">IF($A2572="","",IF(OR(NOT(ISNUMBER(E2572)),NOT(ISNUMBER(F2572))),"",MAX(0,E2572)*F2572))</f>
        <v/>
      </c>
      <c r="I2572" s="46" t="str">
        <f aca="false">IF($A2572="","",SUMIF($A$2:$A$5001,$A2572,$H$2:$H$5001))</f>
        <v/>
      </c>
      <c r="J2572" s="47" t="n">
        <f aca="false">IF($A2572="",0,IF(COUNTIF($A$2:A2572,$A2572)=1,1,0))</f>
        <v>0</v>
      </c>
      <c r="K2572" s="47" t="n">
        <f aca="false">IF(J2572=1,N(I2572)+ROW()/10000000,0)</f>
        <v>0</v>
      </c>
      <c r="L2572" s="47" t="str">
        <f aca="false">IF(AND(J2572=1,N(I2572)&gt;0),SUMIF($K$2:$K$5001,"&gt;="&amp;K2572,$I$2:$I$5001)/MAX(1,SUM($H$2:$H$5001)),"")</f>
        <v/>
      </c>
      <c r="M2572" s="47" t="str">
        <f aca="false">IF($A2572="","",INDEX($L$2:$L$5001,MATCH($A2572,$A$2:$A$5001,0)))</f>
        <v/>
      </c>
      <c r="N2572" s="48" t="str">
        <f aca="false">IF($A2572="","",IF(N(M2572)=0,"–",IF(M2572&lt;=Start!$D$20,"A",IF(M2572&lt;=Start!$D$21,"B","C"))))</f>
        <v/>
      </c>
      <c r="O2572" s="48" t="str">
        <f aca="false">IF($A2572="","",IF(NOT(ISNUMBER(F2572)),"Wert fehlt; ",IF(F2572&lt;=0,"Wert ist 0; ",""))&amp;IF(NOT(ISNUMBER(E2572)),"Bestand fehlt; ",IF(E2572&lt;0,"Bestand negativ; ",IF(E2572=0,"Nullbestand; ","")))&amp;IF(D2572="","Warengruppe fehlt; ","")&amp;IF(B2572="","Bezeichnung fehlt; ","")&amp;IF(COUNTIFS($A$2:$A$5001,$A2572,$C$2:$C$5001,C2572)&gt;1,"Artikel doppelt im selben Lager; ",""))</f>
        <v/>
      </c>
      <c r="P2572" s="47" t="n">
        <f aca="false">IF(OR($A2572="",D2572=""),0,IF(COUNTIF($D$2:D2572,D2572)=1,SUMIF($D$2:$D$5001,D2572,$H$2:$H$5001)+ROW()/10000000,0))</f>
        <v>0</v>
      </c>
      <c r="Q2572" s="47" t="n">
        <f aca="false">IF(OR($A2572="",C2572=""),0,IF(COUNTIF($C$2:C2572,C2572)=1,SUMIF($C$2:$C$5001,C2572,$H$2:$H$5001)+ROW()/10000000,0))</f>
        <v>0</v>
      </c>
    </row>
    <row r="2573" customFormat="false" ht="15" hidden="false" customHeight="false" outlineLevel="0" collapsed="false">
      <c r="A2573" s="43"/>
      <c r="B2573" s="44"/>
      <c r="C2573" s="44"/>
      <c r="D2573" s="44"/>
      <c r="E2573" s="44"/>
      <c r="F2573" s="44"/>
      <c r="G2573" s="44"/>
      <c r="H2573" s="46" t="str">
        <f aca="false">IF($A2573="","",IF(OR(NOT(ISNUMBER(E2573)),NOT(ISNUMBER(F2573))),"",MAX(0,E2573)*F2573))</f>
        <v/>
      </c>
      <c r="I2573" s="46" t="str">
        <f aca="false">IF($A2573="","",SUMIF($A$2:$A$5001,$A2573,$H$2:$H$5001))</f>
        <v/>
      </c>
      <c r="J2573" s="47" t="n">
        <f aca="false">IF($A2573="",0,IF(COUNTIF($A$2:A2573,$A2573)=1,1,0))</f>
        <v>0</v>
      </c>
      <c r="K2573" s="47" t="n">
        <f aca="false">IF(J2573=1,N(I2573)+ROW()/10000000,0)</f>
        <v>0</v>
      </c>
      <c r="L2573" s="47" t="str">
        <f aca="false">IF(AND(J2573=1,N(I2573)&gt;0),SUMIF($K$2:$K$5001,"&gt;="&amp;K2573,$I$2:$I$5001)/MAX(1,SUM($H$2:$H$5001)),"")</f>
        <v/>
      </c>
      <c r="M2573" s="47" t="str">
        <f aca="false">IF($A2573="","",INDEX($L$2:$L$5001,MATCH($A2573,$A$2:$A$5001,0)))</f>
        <v/>
      </c>
      <c r="N2573" s="48" t="str">
        <f aca="false">IF($A2573="","",IF(N(M2573)=0,"–",IF(M2573&lt;=Start!$D$20,"A",IF(M2573&lt;=Start!$D$21,"B","C"))))</f>
        <v/>
      </c>
      <c r="O2573" s="48" t="str">
        <f aca="false">IF($A2573="","",IF(NOT(ISNUMBER(F2573)),"Wert fehlt; ",IF(F2573&lt;=0,"Wert ist 0; ",""))&amp;IF(NOT(ISNUMBER(E2573)),"Bestand fehlt; ",IF(E2573&lt;0,"Bestand negativ; ",IF(E2573=0,"Nullbestand; ","")))&amp;IF(D2573="","Warengruppe fehlt; ","")&amp;IF(B2573="","Bezeichnung fehlt; ","")&amp;IF(COUNTIFS($A$2:$A$5001,$A2573,$C$2:$C$5001,C2573)&gt;1,"Artikel doppelt im selben Lager; ",""))</f>
        <v/>
      </c>
      <c r="P2573" s="47" t="n">
        <f aca="false">IF(OR($A2573="",D2573=""),0,IF(COUNTIF($D$2:D2573,D2573)=1,SUMIF($D$2:$D$5001,D2573,$H$2:$H$5001)+ROW()/10000000,0))</f>
        <v>0</v>
      </c>
      <c r="Q2573" s="47" t="n">
        <f aca="false">IF(OR($A2573="",C2573=""),0,IF(COUNTIF($C$2:C2573,C2573)=1,SUMIF($C$2:$C$5001,C2573,$H$2:$H$5001)+ROW()/10000000,0))</f>
        <v>0</v>
      </c>
    </row>
    <row r="2574" customFormat="false" ht="15" hidden="false" customHeight="false" outlineLevel="0" collapsed="false">
      <c r="A2574" s="43"/>
      <c r="B2574" s="44"/>
      <c r="C2574" s="44"/>
      <c r="D2574" s="44"/>
      <c r="E2574" s="44"/>
      <c r="F2574" s="44"/>
      <c r="G2574" s="44"/>
      <c r="H2574" s="46" t="str">
        <f aca="false">IF($A2574="","",IF(OR(NOT(ISNUMBER(E2574)),NOT(ISNUMBER(F2574))),"",MAX(0,E2574)*F2574))</f>
        <v/>
      </c>
      <c r="I2574" s="46" t="str">
        <f aca="false">IF($A2574="","",SUMIF($A$2:$A$5001,$A2574,$H$2:$H$5001))</f>
        <v/>
      </c>
      <c r="J2574" s="47" t="n">
        <f aca="false">IF($A2574="",0,IF(COUNTIF($A$2:A2574,$A2574)=1,1,0))</f>
        <v>0</v>
      </c>
      <c r="K2574" s="47" t="n">
        <f aca="false">IF(J2574=1,N(I2574)+ROW()/10000000,0)</f>
        <v>0</v>
      </c>
      <c r="L2574" s="47" t="str">
        <f aca="false">IF(AND(J2574=1,N(I2574)&gt;0),SUMIF($K$2:$K$5001,"&gt;="&amp;K2574,$I$2:$I$5001)/MAX(1,SUM($H$2:$H$5001)),"")</f>
        <v/>
      </c>
      <c r="M2574" s="47" t="str">
        <f aca="false">IF($A2574="","",INDEX($L$2:$L$5001,MATCH($A2574,$A$2:$A$5001,0)))</f>
        <v/>
      </c>
      <c r="N2574" s="48" t="str">
        <f aca="false">IF($A2574="","",IF(N(M2574)=0,"–",IF(M2574&lt;=Start!$D$20,"A",IF(M2574&lt;=Start!$D$21,"B","C"))))</f>
        <v/>
      </c>
      <c r="O2574" s="48" t="str">
        <f aca="false">IF($A2574="","",IF(NOT(ISNUMBER(F2574)),"Wert fehlt; ",IF(F2574&lt;=0,"Wert ist 0; ",""))&amp;IF(NOT(ISNUMBER(E2574)),"Bestand fehlt; ",IF(E2574&lt;0,"Bestand negativ; ",IF(E2574=0,"Nullbestand; ","")))&amp;IF(D2574="","Warengruppe fehlt; ","")&amp;IF(B2574="","Bezeichnung fehlt; ","")&amp;IF(COUNTIFS($A$2:$A$5001,$A2574,$C$2:$C$5001,C2574)&gt;1,"Artikel doppelt im selben Lager; ",""))</f>
        <v/>
      </c>
      <c r="P2574" s="47" t="n">
        <f aca="false">IF(OR($A2574="",D2574=""),0,IF(COUNTIF($D$2:D2574,D2574)=1,SUMIF($D$2:$D$5001,D2574,$H$2:$H$5001)+ROW()/10000000,0))</f>
        <v>0</v>
      </c>
      <c r="Q2574" s="47" t="n">
        <f aca="false">IF(OR($A2574="",C2574=""),0,IF(COUNTIF($C$2:C2574,C2574)=1,SUMIF($C$2:$C$5001,C2574,$H$2:$H$5001)+ROW()/10000000,0))</f>
        <v>0</v>
      </c>
    </row>
    <row r="2575" customFormat="false" ht="15" hidden="false" customHeight="false" outlineLevel="0" collapsed="false">
      <c r="A2575" s="43"/>
      <c r="B2575" s="44"/>
      <c r="C2575" s="44"/>
      <c r="D2575" s="44"/>
      <c r="E2575" s="44"/>
      <c r="F2575" s="44"/>
      <c r="G2575" s="44"/>
      <c r="H2575" s="46" t="str">
        <f aca="false">IF($A2575="","",IF(OR(NOT(ISNUMBER(E2575)),NOT(ISNUMBER(F2575))),"",MAX(0,E2575)*F2575))</f>
        <v/>
      </c>
      <c r="I2575" s="46" t="str">
        <f aca="false">IF($A2575="","",SUMIF($A$2:$A$5001,$A2575,$H$2:$H$5001))</f>
        <v/>
      </c>
      <c r="J2575" s="47" t="n">
        <f aca="false">IF($A2575="",0,IF(COUNTIF($A$2:A2575,$A2575)=1,1,0))</f>
        <v>0</v>
      </c>
      <c r="K2575" s="47" t="n">
        <f aca="false">IF(J2575=1,N(I2575)+ROW()/10000000,0)</f>
        <v>0</v>
      </c>
      <c r="L2575" s="47" t="str">
        <f aca="false">IF(AND(J2575=1,N(I2575)&gt;0),SUMIF($K$2:$K$5001,"&gt;="&amp;K2575,$I$2:$I$5001)/MAX(1,SUM($H$2:$H$5001)),"")</f>
        <v/>
      </c>
      <c r="M2575" s="47" t="str">
        <f aca="false">IF($A2575="","",INDEX($L$2:$L$5001,MATCH($A2575,$A$2:$A$5001,0)))</f>
        <v/>
      </c>
      <c r="N2575" s="48" t="str">
        <f aca="false">IF($A2575="","",IF(N(M2575)=0,"–",IF(M2575&lt;=Start!$D$20,"A",IF(M2575&lt;=Start!$D$21,"B","C"))))</f>
        <v/>
      </c>
      <c r="O2575" s="48" t="str">
        <f aca="false">IF($A2575="","",IF(NOT(ISNUMBER(F2575)),"Wert fehlt; ",IF(F2575&lt;=0,"Wert ist 0; ",""))&amp;IF(NOT(ISNUMBER(E2575)),"Bestand fehlt; ",IF(E2575&lt;0,"Bestand negativ; ",IF(E2575=0,"Nullbestand; ","")))&amp;IF(D2575="","Warengruppe fehlt; ","")&amp;IF(B2575="","Bezeichnung fehlt; ","")&amp;IF(COUNTIFS($A$2:$A$5001,$A2575,$C$2:$C$5001,C2575)&gt;1,"Artikel doppelt im selben Lager; ",""))</f>
        <v/>
      </c>
      <c r="P2575" s="47" t="n">
        <f aca="false">IF(OR($A2575="",D2575=""),0,IF(COUNTIF($D$2:D2575,D2575)=1,SUMIF($D$2:$D$5001,D2575,$H$2:$H$5001)+ROW()/10000000,0))</f>
        <v>0</v>
      </c>
      <c r="Q2575" s="47" t="n">
        <f aca="false">IF(OR($A2575="",C2575=""),0,IF(COUNTIF($C$2:C2575,C2575)=1,SUMIF($C$2:$C$5001,C2575,$H$2:$H$5001)+ROW()/10000000,0))</f>
        <v>0</v>
      </c>
    </row>
    <row r="2576" customFormat="false" ht="15" hidden="false" customHeight="false" outlineLevel="0" collapsed="false">
      <c r="A2576" s="43"/>
      <c r="B2576" s="44"/>
      <c r="C2576" s="44"/>
      <c r="D2576" s="44"/>
      <c r="E2576" s="44"/>
      <c r="F2576" s="44"/>
      <c r="G2576" s="44"/>
      <c r="H2576" s="46" t="str">
        <f aca="false">IF($A2576="","",IF(OR(NOT(ISNUMBER(E2576)),NOT(ISNUMBER(F2576))),"",MAX(0,E2576)*F2576))</f>
        <v/>
      </c>
      <c r="I2576" s="46" t="str">
        <f aca="false">IF($A2576="","",SUMIF($A$2:$A$5001,$A2576,$H$2:$H$5001))</f>
        <v/>
      </c>
      <c r="J2576" s="47" t="n">
        <f aca="false">IF($A2576="",0,IF(COUNTIF($A$2:A2576,$A2576)=1,1,0))</f>
        <v>0</v>
      </c>
      <c r="K2576" s="47" t="n">
        <f aca="false">IF(J2576=1,N(I2576)+ROW()/10000000,0)</f>
        <v>0</v>
      </c>
      <c r="L2576" s="47" t="str">
        <f aca="false">IF(AND(J2576=1,N(I2576)&gt;0),SUMIF($K$2:$K$5001,"&gt;="&amp;K2576,$I$2:$I$5001)/MAX(1,SUM($H$2:$H$5001)),"")</f>
        <v/>
      </c>
      <c r="M2576" s="47" t="str">
        <f aca="false">IF($A2576="","",INDEX($L$2:$L$5001,MATCH($A2576,$A$2:$A$5001,0)))</f>
        <v/>
      </c>
      <c r="N2576" s="48" t="str">
        <f aca="false">IF($A2576="","",IF(N(M2576)=0,"–",IF(M2576&lt;=Start!$D$20,"A",IF(M2576&lt;=Start!$D$21,"B","C"))))</f>
        <v/>
      </c>
      <c r="O2576" s="48" t="str">
        <f aca="false">IF($A2576="","",IF(NOT(ISNUMBER(F2576)),"Wert fehlt; ",IF(F2576&lt;=0,"Wert ist 0; ",""))&amp;IF(NOT(ISNUMBER(E2576)),"Bestand fehlt; ",IF(E2576&lt;0,"Bestand negativ; ",IF(E2576=0,"Nullbestand; ","")))&amp;IF(D2576="","Warengruppe fehlt; ","")&amp;IF(B2576="","Bezeichnung fehlt; ","")&amp;IF(COUNTIFS($A$2:$A$5001,$A2576,$C$2:$C$5001,C2576)&gt;1,"Artikel doppelt im selben Lager; ",""))</f>
        <v/>
      </c>
      <c r="P2576" s="47" t="n">
        <f aca="false">IF(OR($A2576="",D2576=""),0,IF(COUNTIF($D$2:D2576,D2576)=1,SUMIF($D$2:$D$5001,D2576,$H$2:$H$5001)+ROW()/10000000,0))</f>
        <v>0</v>
      </c>
      <c r="Q2576" s="47" t="n">
        <f aca="false">IF(OR($A2576="",C2576=""),0,IF(COUNTIF($C$2:C2576,C2576)=1,SUMIF($C$2:$C$5001,C2576,$H$2:$H$5001)+ROW()/10000000,0))</f>
        <v>0</v>
      </c>
    </row>
    <row r="2577" customFormat="false" ht="15" hidden="false" customHeight="false" outlineLevel="0" collapsed="false">
      <c r="A2577" s="43"/>
      <c r="B2577" s="44"/>
      <c r="C2577" s="44"/>
      <c r="D2577" s="44"/>
      <c r="E2577" s="44"/>
      <c r="F2577" s="44"/>
      <c r="G2577" s="44"/>
      <c r="H2577" s="46" t="str">
        <f aca="false">IF($A2577="","",IF(OR(NOT(ISNUMBER(E2577)),NOT(ISNUMBER(F2577))),"",MAX(0,E2577)*F2577))</f>
        <v/>
      </c>
      <c r="I2577" s="46" t="str">
        <f aca="false">IF($A2577="","",SUMIF($A$2:$A$5001,$A2577,$H$2:$H$5001))</f>
        <v/>
      </c>
      <c r="J2577" s="47" t="n">
        <f aca="false">IF($A2577="",0,IF(COUNTIF($A$2:A2577,$A2577)=1,1,0))</f>
        <v>0</v>
      </c>
      <c r="K2577" s="47" t="n">
        <f aca="false">IF(J2577=1,N(I2577)+ROW()/10000000,0)</f>
        <v>0</v>
      </c>
      <c r="L2577" s="47" t="str">
        <f aca="false">IF(AND(J2577=1,N(I2577)&gt;0),SUMIF($K$2:$K$5001,"&gt;="&amp;K2577,$I$2:$I$5001)/MAX(1,SUM($H$2:$H$5001)),"")</f>
        <v/>
      </c>
      <c r="M2577" s="47" t="str">
        <f aca="false">IF($A2577="","",INDEX($L$2:$L$5001,MATCH($A2577,$A$2:$A$5001,0)))</f>
        <v/>
      </c>
      <c r="N2577" s="48" t="str">
        <f aca="false">IF($A2577="","",IF(N(M2577)=0,"–",IF(M2577&lt;=Start!$D$20,"A",IF(M2577&lt;=Start!$D$21,"B","C"))))</f>
        <v/>
      </c>
      <c r="O2577" s="48" t="str">
        <f aca="false">IF($A2577="","",IF(NOT(ISNUMBER(F2577)),"Wert fehlt; ",IF(F2577&lt;=0,"Wert ist 0; ",""))&amp;IF(NOT(ISNUMBER(E2577)),"Bestand fehlt; ",IF(E2577&lt;0,"Bestand negativ; ",IF(E2577=0,"Nullbestand; ","")))&amp;IF(D2577="","Warengruppe fehlt; ","")&amp;IF(B2577="","Bezeichnung fehlt; ","")&amp;IF(COUNTIFS($A$2:$A$5001,$A2577,$C$2:$C$5001,C2577)&gt;1,"Artikel doppelt im selben Lager; ",""))</f>
        <v/>
      </c>
      <c r="P2577" s="47" t="n">
        <f aca="false">IF(OR($A2577="",D2577=""),0,IF(COUNTIF($D$2:D2577,D2577)=1,SUMIF($D$2:$D$5001,D2577,$H$2:$H$5001)+ROW()/10000000,0))</f>
        <v>0</v>
      </c>
      <c r="Q2577" s="47" t="n">
        <f aca="false">IF(OR($A2577="",C2577=""),0,IF(COUNTIF($C$2:C2577,C2577)=1,SUMIF($C$2:$C$5001,C2577,$H$2:$H$5001)+ROW()/10000000,0))</f>
        <v>0</v>
      </c>
    </row>
    <row r="2578" customFormat="false" ht="15" hidden="false" customHeight="false" outlineLevel="0" collapsed="false">
      <c r="A2578" s="43"/>
      <c r="B2578" s="44"/>
      <c r="C2578" s="44"/>
      <c r="D2578" s="44"/>
      <c r="E2578" s="44"/>
      <c r="F2578" s="44"/>
      <c r="G2578" s="44"/>
      <c r="H2578" s="46" t="str">
        <f aca="false">IF($A2578="","",IF(OR(NOT(ISNUMBER(E2578)),NOT(ISNUMBER(F2578))),"",MAX(0,E2578)*F2578))</f>
        <v/>
      </c>
      <c r="I2578" s="46" t="str">
        <f aca="false">IF($A2578="","",SUMIF($A$2:$A$5001,$A2578,$H$2:$H$5001))</f>
        <v/>
      </c>
      <c r="J2578" s="47" t="n">
        <f aca="false">IF($A2578="",0,IF(COUNTIF($A$2:A2578,$A2578)=1,1,0))</f>
        <v>0</v>
      </c>
      <c r="K2578" s="47" t="n">
        <f aca="false">IF(J2578=1,N(I2578)+ROW()/10000000,0)</f>
        <v>0</v>
      </c>
      <c r="L2578" s="47" t="str">
        <f aca="false">IF(AND(J2578=1,N(I2578)&gt;0),SUMIF($K$2:$K$5001,"&gt;="&amp;K2578,$I$2:$I$5001)/MAX(1,SUM($H$2:$H$5001)),"")</f>
        <v/>
      </c>
      <c r="M2578" s="47" t="str">
        <f aca="false">IF($A2578="","",INDEX($L$2:$L$5001,MATCH($A2578,$A$2:$A$5001,0)))</f>
        <v/>
      </c>
      <c r="N2578" s="48" t="str">
        <f aca="false">IF($A2578="","",IF(N(M2578)=0,"–",IF(M2578&lt;=Start!$D$20,"A",IF(M2578&lt;=Start!$D$21,"B","C"))))</f>
        <v/>
      </c>
      <c r="O2578" s="48" t="str">
        <f aca="false">IF($A2578="","",IF(NOT(ISNUMBER(F2578)),"Wert fehlt; ",IF(F2578&lt;=0,"Wert ist 0; ",""))&amp;IF(NOT(ISNUMBER(E2578)),"Bestand fehlt; ",IF(E2578&lt;0,"Bestand negativ; ",IF(E2578=0,"Nullbestand; ","")))&amp;IF(D2578="","Warengruppe fehlt; ","")&amp;IF(B2578="","Bezeichnung fehlt; ","")&amp;IF(COUNTIFS($A$2:$A$5001,$A2578,$C$2:$C$5001,C2578)&gt;1,"Artikel doppelt im selben Lager; ",""))</f>
        <v/>
      </c>
      <c r="P2578" s="47" t="n">
        <f aca="false">IF(OR($A2578="",D2578=""),0,IF(COUNTIF($D$2:D2578,D2578)=1,SUMIF($D$2:$D$5001,D2578,$H$2:$H$5001)+ROW()/10000000,0))</f>
        <v>0</v>
      </c>
      <c r="Q2578" s="47" t="n">
        <f aca="false">IF(OR($A2578="",C2578=""),0,IF(COUNTIF($C$2:C2578,C2578)=1,SUMIF($C$2:$C$5001,C2578,$H$2:$H$5001)+ROW()/10000000,0))</f>
        <v>0</v>
      </c>
    </row>
    <row r="2579" customFormat="false" ht="15" hidden="false" customHeight="false" outlineLevel="0" collapsed="false">
      <c r="A2579" s="43"/>
      <c r="B2579" s="44"/>
      <c r="C2579" s="44"/>
      <c r="D2579" s="44"/>
      <c r="E2579" s="44"/>
      <c r="F2579" s="44"/>
      <c r="G2579" s="44"/>
      <c r="H2579" s="46" t="str">
        <f aca="false">IF($A2579="","",IF(OR(NOT(ISNUMBER(E2579)),NOT(ISNUMBER(F2579))),"",MAX(0,E2579)*F2579))</f>
        <v/>
      </c>
      <c r="I2579" s="46" t="str">
        <f aca="false">IF($A2579="","",SUMIF($A$2:$A$5001,$A2579,$H$2:$H$5001))</f>
        <v/>
      </c>
      <c r="J2579" s="47" t="n">
        <f aca="false">IF($A2579="",0,IF(COUNTIF($A$2:A2579,$A2579)=1,1,0))</f>
        <v>0</v>
      </c>
      <c r="K2579" s="47" t="n">
        <f aca="false">IF(J2579=1,N(I2579)+ROW()/10000000,0)</f>
        <v>0</v>
      </c>
      <c r="L2579" s="47" t="str">
        <f aca="false">IF(AND(J2579=1,N(I2579)&gt;0),SUMIF($K$2:$K$5001,"&gt;="&amp;K2579,$I$2:$I$5001)/MAX(1,SUM($H$2:$H$5001)),"")</f>
        <v/>
      </c>
      <c r="M2579" s="47" t="str">
        <f aca="false">IF($A2579="","",INDEX($L$2:$L$5001,MATCH($A2579,$A$2:$A$5001,0)))</f>
        <v/>
      </c>
      <c r="N2579" s="48" t="str">
        <f aca="false">IF($A2579="","",IF(N(M2579)=0,"–",IF(M2579&lt;=Start!$D$20,"A",IF(M2579&lt;=Start!$D$21,"B","C"))))</f>
        <v/>
      </c>
      <c r="O2579" s="48" t="str">
        <f aca="false">IF($A2579="","",IF(NOT(ISNUMBER(F2579)),"Wert fehlt; ",IF(F2579&lt;=0,"Wert ist 0; ",""))&amp;IF(NOT(ISNUMBER(E2579)),"Bestand fehlt; ",IF(E2579&lt;0,"Bestand negativ; ",IF(E2579=0,"Nullbestand; ","")))&amp;IF(D2579="","Warengruppe fehlt; ","")&amp;IF(B2579="","Bezeichnung fehlt; ","")&amp;IF(COUNTIFS($A$2:$A$5001,$A2579,$C$2:$C$5001,C2579)&gt;1,"Artikel doppelt im selben Lager; ",""))</f>
        <v/>
      </c>
      <c r="P2579" s="47" t="n">
        <f aca="false">IF(OR($A2579="",D2579=""),0,IF(COUNTIF($D$2:D2579,D2579)=1,SUMIF($D$2:$D$5001,D2579,$H$2:$H$5001)+ROW()/10000000,0))</f>
        <v>0</v>
      </c>
      <c r="Q2579" s="47" t="n">
        <f aca="false">IF(OR($A2579="",C2579=""),0,IF(COUNTIF($C$2:C2579,C2579)=1,SUMIF($C$2:$C$5001,C2579,$H$2:$H$5001)+ROW()/10000000,0))</f>
        <v>0</v>
      </c>
    </row>
    <row r="2580" customFormat="false" ht="15" hidden="false" customHeight="false" outlineLevel="0" collapsed="false">
      <c r="A2580" s="43"/>
      <c r="B2580" s="44"/>
      <c r="C2580" s="44"/>
      <c r="D2580" s="44"/>
      <c r="E2580" s="44"/>
      <c r="F2580" s="44"/>
      <c r="G2580" s="44"/>
      <c r="H2580" s="46" t="str">
        <f aca="false">IF($A2580="","",IF(OR(NOT(ISNUMBER(E2580)),NOT(ISNUMBER(F2580))),"",MAX(0,E2580)*F2580))</f>
        <v/>
      </c>
      <c r="I2580" s="46" t="str">
        <f aca="false">IF($A2580="","",SUMIF($A$2:$A$5001,$A2580,$H$2:$H$5001))</f>
        <v/>
      </c>
      <c r="J2580" s="47" t="n">
        <f aca="false">IF($A2580="",0,IF(COUNTIF($A$2:A2580,$A2580)=1,1,0))</f>
        <v>0</v>
      </c>
      <c r="K2580" s="47" t="n">
        <f aca="false">IF(J2580=1,N(I2580)+ROW()/10000000,0)</f>
        <v>0</v>
      </c>
      <c r="L2580" s="47" t="str">
        <f aca="false">IF(AND(J2580=1,N(I2580)&gt;0),SUMIF($K$2:$K$5001,"&gt;="&amp;K2580,$I$2:$I$5001)/MAX(1,SUM($H$2:$H$5001)),"")</f>
        <v/>
      </c>
      <c r="M2580" s="47" t="str">
        <f aca="false">IF($A2580="","",INDEX($L$2:$L$5001,MATCH($A2580,$A$2:$A$5001,0)))</f>
        <v/>
      </c>
      <c r="N2580" s="48" t="str">
        <f aca="false">IF($A2580="","",IF(N(M2580)=0,"–",IF(M2580&lt;=Start!$D$20,"A",IF(M2580&lt;=Start!$D$21,"B","C"))))</f>
        <v/>
      </c>
      <c r="O2580" s="48" t="str">
        <f aca="false">IF($A2580="","",IF(NOT(ISNUMBER(F2580)),"Wert fehlt; ",IF(F2580&lt;=0,"Wert ist 0; ",""))&amp;IF(NOT(ISNUMBER(E2580)),"Bestand fehlt; ",IF(E2580&lt;0,"Bestand negativ; ",IF(E2580=0,"Nullbestand; ","")))&amp;IF(D2580="","Warengruppe fehlt; ","")&amp;IF(B2580="","Bezeichnung fehlt; ","")&amp;IF(COUNTIFS($A$2:$A$5001,$A2580,$C$2:$C$5001,C2580)&gt;1,"Artikel doppelt im selben Lager; ",""))</f>
        <v/>
      </c>
      <c r="P2580" s="47" t="n">
        <f aca="false">IF(OR($A2580="",D2580=""),0,IF(COUNTIF($D$2:D2580,D2580)=1,SUMIF($D$2:$D$5001,D2580,$H$2:$H$5001)+ROW()/10000000,0))</f>
        <v>0</v>
      </c>
      <c r="Q2580" s="47" t="n">
        <f aca="false">IF(OR($A2580="",C2580=""),0,IF(COUNTIF($C$2:C2580,C2580)=1,SUMIF($C$2:$C$5001,C2580,$H$2:$H$5001)+ROW()/10000000,0))</f>
        <v>0</v>
      </c>
    </row>
    <row r="2581" customFormat="false" ht="15" hidden="false" customHeight="false" outlineLevel="0" collapsed="false">
      <c r="A2581" s="43"/>
      <c r="B2581" s="44"/>
      <c r="C2581" s="44"/>
      <c r="D2581" s="44"/>
      <c r="E2581" s="44"/>
      <c r="F2581" s="44"/>
      <c r="G2581" s="44"/>
      <c r="H2581" s="46" t="str">
        <f aca="false">IF($A2581="","",IF(OR(NOT(ISNUMBER(E2581)),NOT(ISNUMBER(F2581))),"",MAX(0,E2581)*F2581))</f>
        <v/>
      </c>
      <c r="I2581" s="46" t="str">
        <f aca="false">IF($A2581="","",SUMIF($A$2:$A$5001,$A2581,$H$2:$H$5001))</f>
        <v/>
      </c>
      <c r="J2581" s="47" t="n">
        <f aca="false">IF($A2581="",0,IF(COUNTIF($A$2:A2581,$A2581)=1,1,0))</f>
        <v>0</v>
      </c>
      <c r="K2581" s="47" t="n">
        <f aca="false">IF(J2581=1,N(I2581)+ROW()/10000000,0)</f>
        <v>0</v>
      </c>
      <c r="L2581" s="47" t="str">
        <f aca="false">IF(AND(J2581=1,N(I2581)&gt;0),SUMIF($K$2:$K$5001,"&gt;="&amp;K2581,$I$2:$I$5001)/MAX(1,SUM($H$2:$H$5001)),"")</f>
        <v/>
      </c>
      <c r="M2581" s="47" t="str">
        <f aca="false">IF($A2581="","",INDEX($L$2:$L$5001,MATCH($A2581,$A$2:$A$5001,0)))</f>
        <v/>
      </c>
      <c r="N2581" s="48" t="str">
        <f aca="false">IF($A2581="","",IF(N(M2581)=0,"–",IF(M2581&lt;=Start!$D$20,"A",IF(M2581&lt;=Start!$D$21,"B","C"))))</f>
        <v/>
      </c>
      <c r="O2581" s="48" t="str">
        <f aca="false">IF($A2581="","",IF(NOT(ISNUMBER(F2581)),"Wert fehlt; ",IF(F2581&lt;=0,"Wert ist 0; ",""))&amp;IF(NOT(ISNUMBER(E2581)),"Bestand fehlt; ",IF(E2581&lt;0,"Bestand negativ; ",IF(E2581=0,"Nullbestand; ","")))&amp;IF(D2581="","Warengruppe fehlt; ","")&amp;IF(B2581="","Bezeichnung fehlt; ","")&amp;IF(COUNTIFS($A$2:$A$5001,$A2581,$C$2:$C$5001,C2581)&gt;1,"Artikel doppelt im selben Lager; ",""))</f>
        <v/>
      </c>
      <c r="P2581" s="47" t="n">
        <f aca="false">IF(OR($A2581="",D2581=""),0,IF(COUNTIF($D$2:D2581,D2581)=1,SUMIF($D$2:$D$5001,D2581,$H$2:$H$5001)+ROW()/10000000,0))</f>
        <v>0</v>
      </c>
      <c r="Q2581" s="47" t="n">
        <f aca="false">IF(OR($A2581="",C2581=""),0,IF(COUNTIF($C$2:C2581,C2581)=1,SUMIF($C$2:$C$5001,C2581,$H$2:$H$5001)+ROW()/10000000,0))</f>
        <v>0</v>
      </c>
    </row>
    <row r="2582" customFormat="false" ht="15" hidden="false" customHeight="false" outlineLevel="0" collapsed="false">
      <c r="A2582" s="43"/>
      <c r="B2582" s="44"/>
      <c r="C2582" s="44"/>
      <c r="D2582" s="44"/>
      <c r="E2582" s="44"/>
      <c r="F2582" s="44"/>
      <c r="G2582" s="44"/>
      <c r="H2582" s="46" t="str">
        <f aca="false">IF($A2582="","",IF(OR(NOT(ISNUMBER(E2582)),NOT(ISNUMBER(F2582))),"",MAX(0,E2582)*F2582))</f>
        <v/>
      </c>
      <c r="I2582" s="46" t="str">
        <f aca="false">IF($A2582="","",SUMIF($A$2:$A$5001,$A2582,$H$2:$H$5001))</f>
        <v/>
      </c>
      <c r="J2582" s="47" t="n">
        <f aca="false">IF($A2582="",0,IF(COUNTIF($A$2:A2582,$A2582)=1,1,0))</f>
        <v>0</v>
      </c>
      <c r="K2582" s="47" t="n">
        <f aca="false">IF(J2582=1,N(I2582)+ROW()/10000000,0)</f>
        <v>0</v>
      </c>
      <c r="L2582" s="47" t="str">
        <f aca="false">IF(AND(J2582=1,N(I2582)&gt;0),SUMIF($K$2:$K$5001,"&gt;="&amp;K2582,$I$2:$I$5001)/MAX(1,SUM($H$2:$H$5001)),"")</f>
        <v/>
      </c>
      <c r="M2582" s="47" t="str">
        <f aca="false">IF($A2582="","",INDEX($L$2:$L$5001,MATCH($A2582,$A$2:$A$5001,0)))</f>
        <v/>
      </c>
      <c r="N2582" s="48" t="str">
        <f aca="false">IF($A2582="","",IF(N(M2582)=0,"–",IF(M2582&lt;=Start!$D$20,"A",IF(M2582&lt;=Start!$D$21,"B","C"))))</f>
        <v/>
      </c>
      <c r="O2582" s="48" t="str">
        <f aca="false">IF($A2582="","",IF(NOT(ISNUMBER(F2582)),"Wert fehlt; ",IF(F2582&lt;=0,"Wert ist 0; ",""))&amp;IF(NOT(ISNUMBER(E2582)),"Bestand fehlt; ",IF(E2582&lt;0,"Bestand negativ; ",IF(E2582=0,"Nullbestand; ","")))&amp;IF(D2582="","Warengruppe fehlt; ","")&amp;IF(B2582="","Bezeichnung fehlt; ","")&amp;IF(COUNTIFS($A$2:$A$5001,$A2582,$C$2:$C$5001,C2582)&gt;1,"Artikel doppelt im selben Lager; ",""))</f>
        <v/>
      </c>
      <c r="P2582" s="47" t="n">
        <f aca="false">IF(OR($A2582="",D2582=""),0,IF(COUNTIF($D$2:D2582,D2582)=1,SUMIF($D$2:$D$5001,D2582,$H$2:$H$5001)+ROW()/10000000,0))</f>
        <v>0</v>
      </c>
      <c r="Q2582" s="47" t="n">
        <f aca="false">IF(OR($A2582="",C2582=""),0,IF(COUNTIF($C$2:C2582,C2582)=1,SUMIF($C$2:$C$5001,C2582,$H$2:$H$5001)+ROW()/10000000,0))</f>
        <v>0</v>
      </c>
    </row>
    <row r="2583" customFormat="false" ht="15" hidden="false" customHeight="false" outlineLevel="0" collapsed="false">
      <c r="A2583" s="43"/>
      <c r="B2583" s="44"/>
      <c r="C2583" s="44"/>
      <c r="D2583" s="44"/>
      <c r="E2583" s="44"/>
      <c r="F2583" s="44"/>
      <c r="G2583" s="44"/>
      <c r="H2583" s="46" t="str">
        <f aca="false">IF($A2583="","",IF(OR(NOT(ISNUMBER(E2583)),NOT(ISNUMBER(F2583))),"",MAX(0,E2583)*F2583))</f>
        <v/>
      </c>
      <c r="I2583" s="46" t="str">
        <f aca="false">IF($A2583="","",SUMIF($A$2:$A$5001,$A2583,$H$2:$H$5001))</f>
        <v/>
      </c>
      <c r="J2583" s="47" t="n">
        <f aca="false">IF($A2583="",0,IF(COUNTIF($A$2:A2583,$A2583)=1,1,0))</f>
        <v>0</v>
      </c>
      <c r="K2583" s="47" t="n">
        <f aca="false">IF(J2583=1,N(I2583)+ROW()/10000000,0)</f>
        <v>0</v>
      </c>
      <c r="L2583" s="47" t="str">
        <f aca="false">IF(AND(J2583=1,N(I2583)&gt;0),SUMIF($K$2:$K$5001,"&gt;="&amp;K2583,$I$2:$I$5001)/MAX(1,SUM($H$2:$H$5001)),"")</f>
        <v/>
      </c>
      <c r="M2583" s="47" t="str">
        <f aca="false">IF($A2583="","",INDEX($L$2:$L$5001,MATCH($A2583,$A$2:$A$5001,0)))</f>
        <v/>
      </c>
      <c r="N2583" s="48" t="str">
        <f aca="false">IF($A2583="","",IF(N(M2583)=0,"–",IF(M2583&lt;=Start!$D$20,"A",IF(M2583&lt;=Start!$D$21,"B","C"))))</f>
        <v/>
      </c>
      <c r="O2583" s="48" t="str">
        <f aca="false">IF($A2583="","",IF(NOT(ISNUMBER(F2583)),"Wert fehlt; ",IF(F2583&lt;=0,"Wert ist 0; ",""))&amp;IF(NOT(ISNUMBER(E2583)),"Bestand fehlt; ",IF(E2583&lt;0,"Bestand negativ; ",IF(E2583=0,"Nullbestand; ","")))&amp;IF(D2583="","Warengruppe fehlt; ","")&amp;IF(B2583="","Bezeichnung fehlt; ","")&amp;IF(COUNTIFS($A$2:$A$5001,$A2583,$C$2:$C$5001,C2583)&gt;1,"Artikel doppelt im selben Lager; ",""))</f>
        <v/>
      </c>
      <c r="P2583" s="47" t="n">
        <f aca="false">IF(OR($A2583="",D2583=""),0,IF(COUNTIF($D$2:D2583,D2583)=1,SUMIF($D$2:$D$5001,D2583,$H$2:$H$5001)+ROW()/10000000,0))</f>
        <v>0</v>
      </c>
      <c r="Q2583" s="47" t="n">
        <f aca="false">IF(OR($A2583="",C2583=""),0,IF(COUNTIF($C$2:C2583,C2583)=1,SUMIF($C$2:$C$5001,C2583,$H$2:$H$5001)+ROW()/10000000,0))</f>
        <v>0</v>
      </c>
    </row>
    <row r="2584" customFormat="false" ht="15" hidden="false" customHeight="false" outlineLevel="0" collapsed="false">
      <c r="A2584" s="43"/>
      <c r="B2584" s="44"/>
      <c r="C2584" s="44"/>
      <c r="D2584" s="44"/>
      <c r="E2584" s="44"/>
      <c r="F2584" s="44"/>
      <c r="G2584" s="44"/>
      <c r="H2584" s="46" t="str">
        <f aca="false">IF($A2584="","",IF(OR(NOT(ISNUMBER(E2584)),NOT(ISNUMBER(F2584))),"",MAX(0,E2584)*F2584))</f>
        <v/>
      </c>
      <c r="I2584" s="46" t="str">
        <f aca="false">IF($A2584="","",SUMIF($A$2:$A$5001,$A2584,$H$2:$H$5001))</f>
        <v/>
      </c>
      <c r="J2584" s="47" t="n">
        <f aca="false">IF($A2584="",0,IF(COUNTIF($A$2:A2584,$A2584)=1,1,0))</f>
        <v>0</v>
      </c>
      <c r="K2584" s="47" t="n">
        <f aca="false">IF(J2584=1,N(I2584)+ROW()/10000000,0)</f>
        <v>0</v>
      </c>
      <c r="L2584" s="47" t="str">
        <f aca="false">IF(AND(J2584=1,N(I2584)&gt;0),SUMIF($K$2:$K$5001,"&gt;="&amp;K2584,$I$2:$I$5001)/MAX(1,SUM($H$2:$H$5001)),"")</f>
        <v/>
      </c>
      <c r="M2584" s="47" t="str">
        <f aca="false">IF($A2584="","",INDEX($L$2:$L$5001,MATCH($A2584,$A$2:$A$5001,0)))</f>
        <v/>
      </c>
      <c r="N2584" s="48" t="str">
        <f aca="false">IF($A2584="","",IF(N(M2584)=0,"–",IF(M2584&lt;=Start!$D$20,"A",IF(M2584&lt;=Start!$D$21,"B","C"))))</f>
        <v/>
      </c>
      <c r="O2584" s="48" t="str">
        <f aca="false">IF($A2584="","",IF(NOT(ISNUMBER(F2584)),"Wert fehlt; ",IF(F2584&lt;=0,"Wert ist 0; ",""))&amp;IF(NOT(ISNUMBER(E2584)),"Bestand fehlt; ",IF(E2584&lt;0,"Bestand negativ; ",IF(E2584=0,"Nullbestand; ","")))&amp;IF(D2584="","Warengruppe fehlt; ","")&amp;IF(B2584="","Bezeichnung fehlt; ","")&amp;IF(COUNTIFS($A$2:$A$5001,$A2584,$C$2:$C$5001,C2584)&gt;1,"Artikel doppelt im selben Lager; ",""))</f>
        <v/>
      </c>
      <c r="P2584" s="47" t="n">
        <f aca="false">IF(OR($A2584="",D2584=""),0,IF(COUNTIF($D$2:D2584,D2584)=1,SUMIF($D$2:$D$5001,D2584,$H$2:$H$5001)+ROW()/10000000,0))</f>
        <v>0</v>
      </c>
      <c r="Q2584" s="47" t="n">
        <f aca="false">IF(OR($A2584="",C2584=""),0,IF(COUNTIF($C$2:C2584,C2584)=1,SUMIF($C$2:$C$5001,C2584,$H$2:$H$5001)+ROW()/10000000,0))</f>
        <v>0</v>
      </c>
    </row>
    <row r="2585" customFormat="false" ht="15" hidden="false" customHeight="false" outlineLevel="0" collapsed="false">
      <c r="A2585" s="43"/>
      <c r="B2585" s="44"/>
      <c r="C2585" s="44"/>
      <c r="D2585" s="44"/>
      <c r="E2585" s="44"/>
      <c r="F2585" s="44"/>
      <c r="G2585" s="44"/>
      <c r="H2585" s="46" t="str">
        <f aca="false">IF($A2585="","",IF(OR(NOT(ISNUMBER(E2585)),NOT(ISNUMBER(F2585))),"",MAX(0,E2585)*F2585))</f>
        <v/>
      </c>
      <c r="I2585" s="46" t="str">
        <f aca="false">IF($A2585="","",SUMIF($A$2:$A$5001,$A2585,$H$2:$H$5001))</f>
        <v/>
      </c>
      <c r="J2585" s="47" t="n">
        <f aca="false">IF($A2585="",0,IF(COUNTIF($A$2:A2585,$A2585)=1,1,0))</f>
        <v>0</v>
      </c>
      <c r="K2585" s="47" t="n">
        <f aca="false">IF(J2585=1,N(I2585)+ROW()/10000000,0)</f>
        <v>0</v>
      </c>
      <c r="L2585" s="47" t="str">
        <f aca="false">IF(AND(J2585=1,N(I2585)&gt;0),SUMIF($K$2:$K$5001,"&gt;="&amp;K2585,$I$2:$I$5001)/MAX(1,SUM($H$2:$H$5001)),"")</f>
        <v/>
      </c>
      <c r="M2585" s="47" t="str">
        <f aca="false">IF($A2585="","",INDEX($L$2:$L$5001,MATCH($A2585,$A$2:$A$5001,0)))</f>
        <v/>
      </c>
      <c r="N2585" s="48" t="str">
        <f aca="false">IF($A2585="","",IF(N(M2585)=0,"–",IF(M2585&lt;=Start!$D$20,"A",IF(M2585&lt;=Start!$D$21,"B","C"))))</f>
        <v/>
      </c>
      <c r="O2585" s="48" t="str">
        <f aca="false">IF($A2585="","",IF(NOT(ISNUMBER(F2585)),"Wert fehlt; ",IF(F2585&lt;=0,"Wert ist 0; ",""))&amp;IF(NOT(ISNUMBER(E2585)),"Bestand fehlt; ",IF(E2585&lt;0,"Bestand negativ; ",IF(E2585=0,"Nullbestand; ","")))&amp;IF(D2585="","Warengruppe fehlt; ","")&amp;IF(B2585="","Bezeichnung fehlt; ","")&amp;IF(COUNTIFS($A$2:$A$5001,$A2585,$C$2:$C$5001,C2585)&gt;1,"Artikel doppelt im selben Lager; ",""))</f>
        <v/>
      </c>
      <c r="P2585" s="47" t="n">
        <f aca="false">IF(OR($A2585="",D2585=""),0,IF(COUNTIF($D$2:D2585,D2585)=1,SUMIF($D$2:$D$5001,D2585,$H$2:$H$5001)+ROW()/10000000,0))</f>
        <v>0</v>
      </c>
      <c r="Q2585" s="47" t="n">
        <f aca="false">IF(OR($A2585="",C2585=""),0,IF(COUNTIF($C$2:C2585,C2585)=1,SUMIF($C$2:$C$5001,C2585,$H$2:$H$5001)+ROW()/10000000,0))</f>
        <v>0</v>
      </c>
    </row>
    <row r="2586" customFormat="false" ht="15" hidden="false" customHeight="false" outlineLevel="0" collapsed="false">
      <c r="A2586" s="43"/>
      <c r="B2586" s="44"/>
      <c r="C2586" s="44"/>
      <c r="D2586" s="44"/>
      <c r="E2586" s="44"/>
      <c r="F2586" s="44"/>
      <c r="G2586" s="44"/>
      <c r="H2586" s="46" t="str">
        <f aca="false">IF($A2586="","",IF(OR(NOT(ISNUMBER(E2586)),NOT(ISNUMBER(F2586))),"",MAX(0,E2586)*F2586))</f>
        <v/>
      </c>
      <c r="I2586" s="46" t="str">
        <f aca="false">IF($A2586="","",SUMIF($A$2:$A$5001,$A2586,$H$2:$H$5001))</f>
        <v/>
      </c>
      <c r="J2586" s="47" t="n">
        <f aca="false">IF($A2586="",0,IF(COUNTIF($A$2:A2586,$A2586)=1,1,0))</f>
        <v>0</v>
      </c>
      <c r="K2586" s="47" t="n">
        <f aca="false">IF(J2586=1,N(I2586)+ROW()/10000000,0)</f>
        <v>0</v>
      </c>
      <c r="L2586" s="47" t="str">
        <f aca="false">IF(AND(J2586=1,N(I2586)&gt;0),SUMIF($K$2:$K$5001,"&gt;="&amp;K2586,$I$2:$I$5001)/MAX(1,SUM($H$2:$H$5001)),"")</f>
        <v/>
      </c>
      <c r="M2586" s="47" t="str">
        <f aca="false">IF($A2586="","",INDEX($L$2:$L$5001,MATCH($A2586,$A$2:$A$5001,0)))</f>
        <v/>
      </c>
      <c r="N2586" s="48" t="str">
        <f aca="false">IF($A2586="","",IF(N(M2586)=0,"–",IF(M2586&lt;=Start!$D$20,"A",IF(M2586&lt;=Start!$D$21,"B","C"))))</f>
        <v/>
      </c>
      <c r="O2586" s="48" t="str">
        <f aca="false">IF($A2586="","",IF(NOT(ISNUMBER(F2586)),"Wert fehlt; ",IF(F2586&lt;=0,"Wert ist 0; ",""))&amp;IF(NOT(ISNUMBER(E2586)),"Bestand fehlt; ",IF(E2586&lt;0,"Bestand negativ; ",IF(E2586=0,"Nullbestand; ","")))&amp;IF(D2586="","Warengruppe fehlt; ","")&amp;IF(B2586="","Bezeichnung fehlt; ","")&amp;IF(COUNTIFS($A$2:$A$5001,$A2586,$C$2:$C$5001,C2586)&gt;1,"Artikel doppelt im selben Lager; ",""))</f>
        <v/>
      </c>
      <c r="P2586" s="47" t="n">
        <f aca="false">IF(OR($A2586="",D2586=""),0,IF(COUNTIF($D$2:D2586,D2586)=1,SUMIF($D$2:$D$5001,D2586,$H$2:$H$5001)+ROW()/10000000,0))</f>
        <v>0</v>
      </c>
      <c r="Q2586" s="47" t="n">
        <f aca="false">IF(OR($A2586="",C2586=""),0,IF(COUNTIF($C$2:C2586,C2586)=1,SUMIF($C$2:$C$5001,C2586,$H$2:$H$5001)+ROW()/10000000,0))</f>
        <v>0</v>
      </c>
    </row>
    <row r="2587" customFormat="false" ht="15" hidden="false" customHeight="false" outlineLevel="0" collapsed="false">
      <c r="A2587" s="43"/>
      <c r="B2587" s="44"/>
      <c r="C2587" s="44"/>
      <c r="D2587" s="44"/>
      <c r="E2587" s="44"/>
      <c r="F2587" s="44"/>
      <c r="G2587" s="44"/>
      <c r="H2587" s="46" t="str">
        <f aca="false">IF($A2587="","",IF(OR(NOT(ISNUMBER(E2587)),NOT(ISNUMBER(F2587))),"",MAX(0,E2587)*F2587))</f>
        <v/>
      </c>
      <c r="I2587" s="46" t="str">
        <f aca="false">IF($A2587="","",SUMIF($A$2:$A$5001,$A2587,$H$2:$H$5001))</f>
        <v/>
      </c>
      <c r="J2587" s="47" t="n">
        <f aca="false">IF($A2587="",0,IF(COUNTIF($A$2:A2587,$A2587)=1,1,0))</f>
        <v>0</v>
      </c>
      <c r="K2587" s="47" t="n">
        <f aca="false">IF(J2587=1,N(I2587)+ROW()/10000000,0)</f>
        <v>0</v>
      </c>
      <c r="L2587" s="47" t="str">
        <f aca="false">IF(AND(J2587=1,N(I2587)&gt;0),SUMIF($K$2:$K$5001,"&gt;="&amp;K2587,$I$2:$I$5001)/MAX(1,SUM($H$2:$H$5001)),"")</f>
        <v/>
      </c>
      <c r="M2587" s="47" t="str">
        <f aca="false">IF($A2587="","",INDEX($L$2:$L$5001,MATCH($A2587,$A$2:$A$5001,0)))</f>
        <v/>
      </c>
      <c r="N2587" s="48" t="str">
        <f aca="false">IF($A2587="","",IF(N(M2587)=0,"–",IF(M2587&lt;=Start!$D$20,"A",IF(M2587&lt;=Start!$D$21,"B","C"))))</f>
        <v/>
      </c>
      <c r="O2587" s="48" t="str">
        <f aca="false">IF($A2587="","",IF(NOT(ISNUMBER(F2587)),"Wert fehlt; ",IF(F2587&lt;=0,"Wert ist 0; ",""))&amp;IF(NOT(ISNUMBER(E2587)),"Bestand fehlt; ",IF(E2587&lt;0,"Bestand negativ; ",IF(E2587=0,"Nullbestand; ","")))&amp;IF(D2587="","Warengruppe fehlt; ","")&amp;IF(B2587="","Bezeichnung fehlt; ","")&amp;IF(COUNTIFS($A$2:$A$5001,$A2587,$C$2:$C$5001,C2587)&gt;1,"Artikel doppelt im selben Lager; ",""))</f>
        <v/>
      </c>
      <c r="P2587" s="47" t="n">
        <f aca="false">IF(OR($A2587="",D2587=""),0,IF(COUNTIF($D$2:D2587,D2587)=1,SUMIF($D$2:$D$5001,D2587,$H$2:$H$5001)+ROW()/10000000,0))</f>
        <v>0</v>
      </c>
      <c r="Q2587" s="47" t="n">
        <f aca="false">IF(OR($A2587="",C2587=""),0,IF(COUNTIF($C$2:C2587,C2587)=1,SUMIF($C$2:$C$5001,C2587,$H$2:$H$5001)+ROW()/10000000,0))</f>
        <v>0</v>
      </c>
    </row>
    <row r="2588" customFormat="false" ht="15" hidden="false" customHeight="false" outlineLevel="0" collapsed="false">
      <c r="A2588" s="43"/>
      <c r="B2588" s="44"/>
      <c r="C2588" s="44"/>
      <c r="D2588" s="44"/>
      <c r="E2588" s="44"/>
      <c r="F2588" s="44"/>
      <c r="G2588" s="44"/>
      <c r="H2588" s="46" t="str">
        <f aca="false">IF($A2588="","",IF(OR(NOT(ISNUMBER(E2588)),NOT(ISNUMBER(F2588))),"",MAX(0,E2588)*F2588))</f>
        <v/>
      </c>
      <c r="I2588" s="46" t="str">
        <f aca="false">IF($A2588="","",SUMIF($A$2:$A$5001,$A2588,$H$2:$H$5001))</f>
        <v/>
      </c>
      <c r="J2588" s="47" t="n">
        <f aca="false">IF($A2588="",0,IF(COUNTIF($A$2:A2588,$A2588)=1,1,0))</f>
        <v>0</v>
      </c>
      <c r="K2588" s="47" t="n">
        <f aca="false">IF(J2588=1,N(I2588)+ROW()/10000000,0)</f>
        <v>0</v>
      </c>
      <c r="L2588" s="47" t="str">
        <f aca="false">IF(AND(J2588=1,N(I2588)&gt;0),SUMIF($K$2:$K$5001,"&gt;="&amp;K2588,$I$2:$I$5001)/MAX(1,SUM($H$2:$H$5001)),"")</f>
        <v/>
      </c>
      <c r="M2588" s="47" t="str">
        <f aca="false">IF($A2588="","",INDEX($L$2:$L$5001,MATCH($A2588,$A$2:$A$5001,0)))</f>
        <v/>
      </c>
      <c r="N2588" s="48" t="str">
        <f aca="false">IF($A2588="","",IF(N(M2588)=0,"–",IF(M2588&lt;=Start!$D$20,"A",IF(M2588&lt;=Start!$D$21,"B","C"))))</f>
        <v/>
      </c>
      <c r="O2588" s="48" t="str">
        <f aca="false">IF($A2588="","",IF(NOT(ISNUMBER(F2588)),"Wert fehlt; ",IF(F2588&lt;=0,"Wert ist 0; ",""))&amp;IF(NOT(ISNUMBER(E2588)),"Bestand fehlt; ",IF(E2588&lt;0,"Bestand negativ; ",IF(E2588=0,"Nullbestand; ","")))&amp;IF(D2588="","Warengruppe fehlt; ","")&amp;IF(B2588="","Bezeichnung fehlt; ","")&amp;IF(COUNTIFS($A$2:$A$5001,$A2588,$C$2:$C$5001,C2588)&gt;1,"Artikel doppelt im selben Lager; ",""))</f>
        <v/>
      </c>
      <c r="P2588" s="47" t="n">
        <f aca="false">IF(OR($A2588="",D2588=""),0,IF(COUNTIF($D$2:D2588,D2588)=1,SUMIF($D$2:$D$5001,D2588,$H$2:$H$5001)+ROW()/10000000,0))</f>
        <v>0</v>
      </c>
      <c r="Q2588" s="47" t="n">
        <f aca="false">IF(OR($A2588="",C2588=""),0,IF(COUNTIF($C$2:C2588,C2588)=1,SUMIF($C$2:$C$5001,C2588,$H$2:$H$5001)+ROW()/10000000,0))</f>
        <v>0</v>
      </c>
    </row>
    <row r="2589" customFormat="false" ht="15" hidden="false" customHeight="false" outlineLevel="0" collapsed="false">
      <c r="A2589" s="43"/>
      <c r="B2589" s="44"/>
      <c r="C2589" s="44"/>
      <c r="D2589" s="44"/>
      <c r="E2589" s="44"/>
      <c r="F2589" s="44"/>
      <c r="G2589" s="44"/>
      <c r="H2589" s="46" t="str">
        <f aca="false">IF($A2589="","",IF(OR(NOT(ISNUMBER(E2589)),NOT(ISNUMBER(F2589))),"",MAX(0,E2589)*F2589))</f>
        <v/>
      </c>
      <c r="I2589" s="46" t="str">
        <f aca="false">IF($A2589="","",SUMIF($A$2:$A$5001,$A2589,$H$2:$H$5001))</f>
        <v/>
      </c>
      <c r="J2589" s="47" t="n">
        <f aca="false">IF($A2589="",0,IF(COUNTIF($A$2:A2589,$A2589)=1,1,0))</f>
        <v>0</v>
      </c>
      <c r="K2589" s="47" t="n">
        <f aca="false">IF(J2589=1,N(I2589)+ROW()/10000000,0)</f>
        <v>0</v>
      </c>
      <c r="L2589" s="47" t="str">
        <f aca="false">IF(AND(J2589=1,N(I2589)&gt;0),SUMIF($K$2:$K$5001,"&gt;="&amp;K2589,$I$2:$I$5001)/MAX(1,SUM($H$2:$H$5001)),"")</f>
        <v/>
      </c>
      <c r="M2589" s="47" t="str">
        <f aca="false">IF($A2589="","",INDEX($L$2:$L$5001,MATCH($A2589,$A$2:$A$5001,0)))</f>
        <v/>
      </c>
      <c r="N2589" s="48" t="str">
        <f aca="false">IF($A2589="","",IF(N(M2589)=0,"–",IF(M2589&lt;=Start!$D$20,"A",IF(M2589&lt;=Start!$D$21,"B","C"))))</f>
        <v/>
      </c>
      <c r="O2589" s="48" t="str">
        <f aca="false">IF($A2589="","",IF(NOT(ISNUMBER(F2589)),"Wert fehlt; ",IF(F2589&lt;=0,"Wert ist 0; ",""))&amp;IF(NOT(ISNUMBER(E2589)),"Bestand fehlt; ",IF(E2589&lt;0,"Bestand negativ; ",IF(E2589=0,"Nullbestand; ","")))&amp;IF(D2589="","Warengruppe fehlt; ","")&amp;IF(B2589="","Bezeichnung fehlt; ","")&amp;IF(COUNTIFS($A$2:$A$5001,$A2589,$C$2:$C$5001,C2589)&gt;1,"Artikel doppelt im selben Lager; ",""))</f>
        <v/>
      </c>
      <c r="P2589" s="47" t="n">
        <f aca="false">IF(OR($A2589="",D2589=""),0,IF(COUNTIF($D$2:D2589,D2589)=1,SUMIF($D$2:$D$5001,D2589,$H$2:$H$5001)+ROW()/10000000,0))</f>
        <v>0</v>
      </c>
      <c r="Q2589" s="47" t="n">
        <f aca="false">IF(OR($A2589="",C2589=""),0,IF(COUNTIF($C$2:C2589,C2589)=1,SUMIF($C$2:$C$5001,C2589,$H$2:$H$5001)+ROW()/10000000,0))</f>
        <v>0</v>
      </c>
    </row>
    <row r="2590" customFormat="false" ht="15" hidden="false" customHeight="false" outlineLevel="0" collapsed="false">
      <c r="A2590" s="43"/>
      <c r="B2590" s="44"/>
      <c r="C2590" s="44"/>
      <c r="D2590" s="44"/>
      <c r="E2590" s="44"/>
      <c r="F2590" s="44"/>
      <c r="G2590" s="44"/>
      <c r="H2590" s="46" t="str">
        <f aca="false">IF($A2590="","",IF(OR(NOT(ISNUMBER(E2590)),NOT(ISNUMBER(F2590))),"",MAX(0,E2590)*F2590))</f>
        <v/>
      </c>
      <c r="I2590" s="46" t="str">
        <f aca="false">IF($A2590="","",SUMIF($A$2:$A$5001,$A2590,$H$2:$H$5001))</f>
        <v/>
      </c>
      <c r="J2590" s="47" t="n">
        <f aca="false">IF($A2590="",0,IF(COUNTIF($A$2:A2590,$A2590)=1,1,0))</f>
        <v>0</v>
      </c>
      <c r="K2590" s="47" t="n">
        <f aca="false">IF(J2590=1,N(I2590)+ROW()/10000000,0)</f>
        <v>0</v>
      </c>
      <c r="L2590" s="47" t="str">
        <f aca="false">IF(AND(J2590=1,N(I2590)&gt;0),SUMIF($K$2:$K$5001,"&gt;="&amp;K2590,$I$2:$I$5001)/MAX(1,SUM($H$2:$H$5001)),"")</f>
        <v/>
      </c>
      <c r="M2590" s="47" t="str">
        <f aca="false">IF($A2590="","",INDEX($L$2:$L$5001,MATCH($A2590,$A$2:$A$5001,0)))</f>
        <v/>
      </c>
      <c r="N2590" s="48" t="str">
        <f aca="false">IF($A2590="","",IF(N(M2590)=0,"–",IF(M2590&lt;=Start!$D$20,"A",IF(M2590&lt;=Start!$D$21,"B","C"))))</f>
        <v/>
      </c>
      <c r="O2590" s="48" t="str">
        <f aca="false">IF($A2590="","",IF(NOT(ISNUMBER(F2590)),"Wert fehlt; ",IF(F2590&lt;=0,"Wert ist 0; ",""))&amp;IF(NOT(ISNUMBER(E2590)),"Bestand fehlt; ",IF(E2590&lt;0,"Bestand negativ; ",IF(E2590=0,"Nullbestand; ","")))&amp;IF(D2590="","Warengruppe fehlt; ","")&amp;IF(B2590="","Bezeichnung fehlt; ","")&amp;IF(COUNTIFS($A$2:$A$5001,$A2590,$C$2:$C$5001,C2590)&gt;1,"Artikel doppelt im selben Lager; ",""))</f>
        <v/>
      </c>
      <c r="P2590" s="47" t="n">
        <f aca="false">IF(OR($A2590="",D2590=""),0,IF(COUNTIF($D$2:D2590,D2590)=1,SUMIF($D$2:$D$5001,D2590,$H$2:$H$5001)+ROW()/10000000,0))</f>
        <v>0</v>
      </c>
      <c r="Q2590" s="47" t="n">
        <f aca="false">IF(OR($A2590="",C2590=""),0,IF(COUNTIF($C$2:C2590,C2590)=1,SUMIF($C$2:$C$5001,C2590,$H$2:$H$5001)+ROW()/10000000,0))</f>
        <v>0</v>
      </c>
    </row>
    <row r="2591" customFormat="false" ht="15" hidden="false" customHeight="false" outlineLevel="0" collapsed="false">
      <c r="A2591" s="43"/>
      <c r="B2591" s="44"/>
      <c r="C2591" s="44"/>
      <c r="D2591" s="44"/>
      <c r="E2591" s="44"/>
      <c r="F2591" s="44"/>
      <c r="G2591" s="44"/>
      <c r="H2591" s="46" t="str">
        <f aca="false">IF($A2591="","",IF(OR(NOT(ISNUMBER(E2591)),NOT(ISNUMBER(F2591))),"",MAX(0,E2591)*F2591))</f>
        <v/>
      </c>
      <c r="I2591" s="46" t="str">
        <f aca="false">IF($A2591="","",SUMIF($A$2:$A$5001,$A2591,$H$2:$H$5001))</f>
        <v/>
      </c>
      <c r="J2591" s="47" t="n">
        <f aca="false">IF($A2591="",0,IF(COUNTIF($A$2:A2591,$A2591)=1,1,0))</f>
        <v>0</v>
      </c>
      <c r="K2591" s="47" t="n">
        <f aca="false">IF(J2591=1,N(I2591)+ROW()/10000000,0)</f>
        <v>0</v>
      </c>
      <c r="L2591" s="47" t="str">
        <f aca="false">IF(AND(J2591=1,N(I2591)&gt;0),SUMIF($K$2:$K$5001,"&gt;="&amp;K2591,$I$2:$I$5001)/MAX(1,SUM($H$2:$H$5001)),"")</f>
        <v/>
      </c>
      <c r="M2591" s="47" t="str">
        <f aca="false">IF($A2591="","",INDEX($L$2:$L$5001,MATCH($A2591,$A$2:$A$5001,0)))</f>
        <v/>
      </c>
      <c r="N2591" s="48" t="str">
        <f aca="false">IF($A2591="","",IF(N(M2591)=0,"–",IF(M2591&lt;=Start!$D$20,"A",IF(M2591&lt;=Start!$D$21,"B","C"))))</f>
        <v/>
      </c>
      <c r="O2591" s="48" t="str">
        <f aca="false">IF($A2591="","",IF(NOT(ISNUMBER(F2591)),"Wert fehlt; ",IF(F2591&lt;=0,"Wert ist 0; ",""))&amp;IF(NOT(ISNUMBER(E2591)),"Bestand fehlt; ",IF(E2591&lt;0,"Bestand negativ; ",IF(E2591=0,"Nullbestand; ","")))&amp;IF(D2591="","Warengruppe fehlt; ","")&amp;IF(B2591="","Bezeichnung fehlt; ","")&amp;IF(COUNTIFS($A$2:$A$5001,$A2591,$C$2:$C$5001,C2591)&gt;1,"Artikel doppelt im selben Lager; ",""))</f>
        <v/>
      </c>
      <c r="P2591" s="47" t="n">
        <f aca="false">IF(OR($A2591="",D2591=""),0,IF(COUNTIF($D$2:D2591,D2591)=1,SUMIF($D$2:$D$5001,D2591,$H$2:$H$5001)+ROW()/10000000,0))</f>
        <v>0</v>
      </c>
      <c r="Q2591" s="47" t="n">
        <f aca="false">IF(OR($A2591="",C2591=""),0,IF(COUNTIF($C$2:C2591,C2591)=1,SUMIF($C$2:$C$5001,C2591,$H$2:$H$5001)+ROW()/10000000,0))</f>
        <v>0</v>
      </c>
    </row>
    <row r="2592" customFormat="false" ht="15" hidden="false" customHeight="false" outlineLevel="0" collapsed="false">
      <c r="A2592" s="43"/>
      <c r="B2592" s="44"/>
      <c r="C2592" s="44"/>
      <c r="D2592" s="44"/>
      <c r="E2592" s="44"/>
      <c r="F2592" s="44"/>
      <c r="G2592" s="44"/>
      <c r="H2592" s="46" t="str">
        <f aca="false">IF($A2592="","",IF(OR(NOT(ISNUMBER(E2592)),NOT(ISNUMBER(F2592))),"",MAX(0,E2592)*F2592))</f>
        <v/>
      </c>
      <c r="I2592" s="46" t="str">
        <f aca="false">IF($A2592="","",SUMIF($A$2:$A$5001,$A2592,$H$2:$H$5001))</f>
        <v/>
      </c>
      <c r="J2592" s="47" t="n">
        <f aca="false">IF($A2592="",0,IF(COUNTIF($A$2:A2592,$A2592)=1,1,0))</f>
        <v>0</v>
      </c>
      <c r="K2592" s="47" t="n">
        <f aca="false">IF(J2592=1,N(I2592)+ROW()/10000000,0)</f>
        <v>0</v>
      </c>
      <c r="L2592" s="47" t="str">
        <f aca="false">IF(AND(J2592=1,N(I2592)&gt;0),SUMIF($K$2:$K$5001,"&gt;="&amp;K2592,$I$2:$I$5001)/MAX(1,SUM($H$2:$H$5001)),"")</f>
        <v/>
      </c>
      <c r="M2592" s="47" t="str">
        <f aca="false">IF($A2592="","",INDEX($L$2:$L$5001,MATCH($A2592,$A$2:$A$5001,0)))</f>
        <v/>
      </c>
      <c r="N2592" s="48" t="str">
        <f aca="false">IF($A2592="","",IF(N(M2592)=0,"–",IF(M2592&lt;=Start!$D$20,"A",IF(M2592&lt;=Start!$D$21,"B","C"))))</f>
        <v/>
      </c>
      <c r="O2592" s="48" t="str">
        <f aca="false">IF($A2592="","",IF(NOT(ISNUMBER(F2592)),"Wert fehlt; ",IF(F2592&lt;=0,"Wert ist 0; ",""))&amp;IF(NOT(ISNUMBER(E2592)),"Bestand fehlt; ",IF(E2592&lt;0,"Bestand negativ; ",IF(E2592=0,"Nullbestand; ","")))&amp;IF(D2592="","Warengruppe fehlt; ","")&amp;IF(B2592="","Bezeichnung fehlt; ","")&amp;IF(COUNTIFS($A$2:$A$5001,$A2592,$C$2:$C$5001,C2592)&gt;1,"Artikel doppelt im selben Lager; ",""))</f>
        <v/>
      </c>
      <c r="P2592" s="47" t="n">
        <f aca="false">IF(OR($A2592="",D2592=""),0,IF(COUNTIF($D$2:D2592,D2592)=1,SUMIF($D$2:$D$5001,D2592,$H$2:$H$5001)+ROW()/10000000,0))</f>
        <v>0</v>
      </c>
      <c r="Q2592" s="47" t="n">
        <f aca="false">IF(OR($A2592="",C2592=""),0,IF(COUNTIF($C$2:C2592,C2592)=1,SUMIF($C$2:$C$5001,C2592,$H$2:$H$5001)+ROW()/10000000,0))</f>
        <v>0</v>
      </c>
    </row>
    <row r="2593" customFormat="false" ht="15" hidden="false" customHeight="false" outlineLevel="0" collapsed="false">
      <c r="A2593" s="43"/>
      <c r="B2593" s="44"/>
      <c r="C2593" s="44"/>
      <c r="D2593" s="44"/>
      <c r="E2593" s="44"/>
      <c r="F2593" s="44"/>
      <c r="G2593" s="44"/>
      <c r="H2593" s="46" t="str">
        <f aca="false">IF($A2593="","",IF(OR(NOT(ISNUMBER(E2593)),NOT(ISNUMBER(F2593))),"",MAX(0,E2593)*F2593))</f>
        <v/>
      </c>
      <c r="I2593" s="46" t="str">
        <f aca="false">IF($A2593="","",SUMIF($A$2:$A$5001,$A2593,$H$2:$H$5001))</f>
        <v/>
      </c>
      <c r="J2593" s="47" t="n">
        <f aca="false">IF($A2593="",0,IF(COUNTIF($A$2:A2593,$A2593)=1,1,0))</f>
        <v>0</v>
      </c>
      <c r="K2593" s="47" t="n">
        <f aca="false">IF(J2593=1,N(I2593)+ROW()/10000000,0)</f>
        <v>0</v>
      </c>
      <c r="L2593" s="47" t="str">
        <f aca="false">IF(AND(J2593=1,N(I2593)&gt;0),SUMIF($K$2:$K$5001,"&gt;="&amp;K2593,$I$2:$I$5001)/MAX(1,SUM($H$2:$H$5001)),"")</f>
        <v/>
      </c>
      <c r="M2593" s="47" t="str">
        <f aca="false">IF($A2593="","",INDEX($L$2:$L$5001,MATCH($A2593,$A$2:$A$5001,0)))</f>
        <v/>
      </c>
      <c r="N2593" s="48" t="str">
        <f aca="false">IF($A2593="","",IF(N(M2593)=0,"–",IF(M2593&lt;=Start!$D$20,"A",IF(M2593&lt;=Start!$D$21,"B","C"))))</f>
        <v/>
      </c>
      <c r="O2593" s="48" t="str">
        <f aca="false">IF($A2593="","",IF(NOT(ISNUMBER(F2593)),"Wert fehlt; ",IF(F2593&lt;=0,"Wert ist 0; ",""))&amp;IF(NOT(ISNUMBER(E2593)),"Bestand fehlt; ",IF(E2593&lt;0,"Bestand negativ; ",IF(E2593=0,"Nullbestand; ","")))&amp;IF(D2593="","Warengruppe fehlt; ","")&amp;IF(B2593="","Bezeichnung fehlt; ","")&amp;IF(COUNTIFS($A$2:$A$5001,$A2593,$C$2:$C$5001,C2593)&gt;1,"Artikel doppelt im selben Lager; ",""))</f>
        <v/>
      </c>
      <c r="P2593" s="47" t="n">
        <f aca="false">IF(OR($A2593="",D2593=""),0,IF(COUNTIF($D$2:D2593,D2593)=1,SUMIF($D$2:$D$5001,D2593,$H$2:$H$5001)+ROW()/10000000,0))</f>
        <v>0</v>
      </c>
      <c r="Q2593" s="47" t="n">
        <f aca="false">IF(OR($A2593="",C2593=""),0,IF(COUNTIF($C$2:C2593,C2593)=1,SUMIF($C$2:$C$5001,C2593,$H$2:$H$5001)+ROW()/10000000,0))</f>
        <v>0</v>
      </c>
    </row>
    <row r="2594" customFormat="false" ht="15" hidden="false" customHeight="false" outlineLevel="0" collapsed="false">
      <c r="A2594" s="43"/>
      <c r="B2594" s="44"/>
      <c r="C2594" s="44"/>
      <c r="D2594" s="44"/>
      <c r="E2594" s="44"/>
      <c r="F2594" s="44"/>
      <c r="G2594" s="44"/>
      <c r="H2594" s="46" t="str">
        <f aca="false">IF($A2594="","",IF(OR(NOT(ISNUMBER(E2594)),NOT(ISNUMBER(F2594))),"",MAX(0,E2594)*F2594))</f>
        <v/>
      </c>
      <c r="I2594" s="46" t="str">
        <f aca="false">IF($A2594="","",SUMIF($A$2:$A$5001,$A2594,$H$2:$H$5001))</f>
        <v/>
      </c>
      <c r="J2594" s="47" t="n">
        <f aca="false">IF($A2594="",0,IF(COUNTIF($A$2:A2594,$A2594)=1,1,0))</f>
        <v>0</v>
      </c>
      <c r="K2594" s="47" t="n">
        <f aca="false">IF(J2594=1,N(I2594)+ROW()/10000000,0)</f>
        <v>0</v>
      </c>
      <c r="L2594" s="47" t="str">
        <f aca="false">IF(AND(J2594=1,N(I2594)&gt;0),SUMIF($K$2:$K$5001,"&gt;="&amp;K2594,$I$2:$I$5001)/MAX(1,SUM($H$2:$H$5001)),"")</f>
        <v/>
      </c>
      <c r="M2594" s="47" t="str">
        <f aca="false">IF($A2594="","",INDEX($L$2:$L$5001,MATCH($A2594,$A$2:$A$5001,0)))</f>
        <v/>
      </c>
      <c r="N2594" s="48" t="str">
        <f aca="false">IF($A2594="","",IF(N(M2594)=0,"–",IF(M2594&lt;=Start!$D$20,"A",IF(M2594&lt;=Start!$D$21,"B","C"))))</f>
        <v/>
      </c>
      <c r="O2594" s="48" t="str">
        <f aca="false">IF($A2594="","",IF(NOT(ISNUMBER(F2594)),"Wert fehlt; ",IF(F2594&lt;=0,"Wert ist 0; ",""))&amp;IF(NOT(ISNUMBER(E2594)),"Bestand fehlt; ",IF(E2594&lt;0,"Bestand negativ; ",IF(E2594=0,"Nullbestand; ","")))&amp;IF(D2594="","Warengruppe fehlt; ","")&amp;IF(B2594="","Bezeichnung fehlt; ","")&amp;IF(COUNTIFS($A$2:$A$5001,$A2594,$C$2:$C$5001,C2594)&gt;1,"Artikel doppelt im selben Lager; ",""))</f>
        <v/>
      </c>
      <c r="P2594" s="47" t="n">
        <f aca="false">IF(OR($A2594="",D2594=""),0,IF(COUNTIF($D$2:D2594,D2594)=1,SUMIF($D$2:$D$5001,D2594,$H$2:$H$5001)+ROW()/10000000,0))</f>
        <v>0</v>
      </c>
      <c r="Q2594" s="47" t="n">
        <f aca="false">IF(OR($A2594="",C2594=""),0,IF(COUNTIF($C$2:C2594,C2594)=1,SUMIF($C$2:$C$5001,C2594,$H$2:$H$5001)+ROW()/10000000,0))</f>
        <v>0</v>
      </c>
    </row>
    <row r="2595" customFormat="false" ht="15" hidden="false" customHeight="false" outlineLevel="0" collapsed="false">
      <c r="A2595" s="43"/>
      <c r="B2595" s="44"/>
      <c r="C2595" s="44"/>
      <c r="D2595" s="44"/>
      <c r="E2595" s="44"/>
      <c r="F2595" s="44"/>
      <c r="G2595" s="44"/>
      <c r="H2595" s="46" t="str">
        <f aca="false">IF($A2595="","",IF(OR(NOT(ISNUMBER(E2595)),NOT(ISNUMBER(F2595))),"",MAX(0,E2595)*F2595))</f>
        <v/>
      </c>
      <c r="I2595" s="46" t="str">
        <f aca="false">IF($A2595="","",SUMIF($A$2:$A$5001,$A2595,$H$2:$H$5001))</f>
        <v/>
      </c>
      <c r="J2595" s="47" t="n">
        <f aca="false">IF($A2595="",0,IF(COUNTIF($A$2:A2595,$A2595)=1,1,0))</f>
        <v>0</v>
      </c>
      <c r="K2595" s="47" t="n">
        <f aca="false">IF(J2595=1,N(I2595)+ROW()/10000000,0)</f>
        <v>0</v>
      </c>
      <c r="L2595" s="47" t="str">
        <f aca="false">IF(AND(J2595=1,N(I2595)&gt;0),SUMIF($K$2:$K$5001,"&gt;="&amp;K2595,$I$2:$I$5001)/MAX(1,SUM($H$2:$H$5001)),"")</f>
        <v/>
      </c>
      <c r="M2595" s="47" t="str">
        <f aca="false">IF($A2595="","",INDEX($L$2:$L$5001,MATCH($A2595,$A$2:$A$5001,0)))</f>
        <v/>
      </c>
      <c r="N2595" s="48" t="str">
        <f aca="false">IF($A2595="","",IF(N(M2595)=0,"–",IF(M2595&lt;=Start!$D$20,"A",IF(M2595&lt;=Start!$D$21,"B","C"))))</f>
        <v/>
      </c>
      <c r="O2595" s="48" t="str">
        <f aca="false">IF($A2595="","",IF(NOT(ISNUMBER(F2595)),"Wert fehlt; ",IF(F2595&lt;=0,"Wert ist 0; ",""))&amp;IF(NOT(ISNUMBER(E2595)),"Bestand fehlt; ",IF(E2595&lt;0,"Bestand negativ; ",IF(E2595=0,"Nullbestand; ","")))&amp;IF(D2595="","Warengruppe fehlt; ","")&amp;IF(B2595="","Bezeichnung fehlt; ","")&amp;IF(COUNTIFS($A$2:$A$5001,$A2595,$C$2:$C$5001,C2595)&gt;1,"Artikel doppelt im selben Lager; ",""))</f>
        <v/>
      </c>
      <c r="P2595" s="47" t="n">
        <f aca="false">IF(OR($A2595="",D2595=""),0,IF(COUNTIF($D$2:D2595,D2595)=1,SUMIF($D$2:$D$5001,D2595,$H$2:$H$5001)+ROW()/10000000,0))</f>
        <v>0</v>
      </c>
      <c r="Q2595" s="47" t="n">
        <f aca="false">IF(OR($A2595="",C2595=""),0,IF(COUNTIF($C$2:C2595,C2595)=1,SUMIF($C$2:$C$5001,C2595,$H$2:$H$5001)+ROW()/10000000,0))</f>
        <v>0</v>
      </c>
    </row>
    <row r="2596" customFormat="false" ht="15" hidden="false" customHeight="false" outlineLevel="0" collapsed="false">
      <c r="A2596" s="43"/>
      <c r="B2596" s="44"/>
      <c r="C2596" s="44"/>
      <c r="D2596" s="44"/>
      <c r="E2596" s="44"/>
      <c r="F2596" s="44"/>
      <c r="G2596" s="44"/>
      <c r="H2596" s="46" t="str">
        <f aca="false">IF($A2596="","",IF(OR(NOT(ISNUMBER(E2596)),NOT(ISNUMBER(F2596))),"",MAX(0,E2596)*F2596))</f>
        <v/>
      </c>
      <c r="I2596" s="46" t="str">
        <f aca="false">IF($A2596="","",SUMIF($A$2:$A$5001,$A2596,$H$2:$H$5001))</f>
        <v/>
      </c>
      <c r="J2596" s="47" t="n">
        <f aca="false">IF($A2596="",0,IF(COUNTIF($A$2:A2596,$A2596)=1,1,0))</f>
        <v>0</v>
      </c>
      <c r="K2596" s="47" t="n">
        <f aca="false">IF(J2596=1,N(I2596)+ROW()/10000000,0)</f>
        <v>0</v>
      </c>
      <c r="L2596" s="47" t="str">
        <f aca="false">IF(AND(J2596=1,N(I2596)&gt;0),SUMIF($K$2:$K$5001,"&gt;="&amp;K2596,$I$2:$I$5001)/MAX(1,SUM($H$2:$H$5001)),"")</f>
        <v/>
      </c>
      <c r="M2596" s="47" t="str">
        <f aca="false">IF($A2596="","",INDEX($L$2:$L$5001,MATCH($A2596,$A$2:$A$5001,0)))</f>
        <v/>
      </c>
      <c r="N2596" s="48" t="str">
        <f aca="false">IF($A2596="","",IF(N(M2596)=0,"–",IF(M2596&lt;=Start!$D$20,"A",IF(M2596&lt;=Start!$D$21,"B","C"))))</f>
        <v/>
      </c>
      <c r="O2596" s="48" t="str">
        <f aca="false">IF($A2596="","",IF(NOT(ISNUMBER(F2596)),"Wert fehlt; ",IF(F2596&lt;=0,"Wert ist 0; ",""))&amp;IF(NOT(ISNUMBER(E2596)),"Bestand fehlt; ",IF(E2596&lt;0,"Bestand negativ; ",IF(E2596=0,"Nullbestand; ","")))&amp;IF(D2596="","Warengruppe fehlt; ","")&amp;IF(B2596="","Bezeichnung fehlt; ","")&amp;IF(COUNTIFS($A$2:$A$5001,$A2596,$C$2:$C$5001,C2596)&gt;1,"Artikel doppelt im selben Lager; ",""))</f>
        <v/>
      </c>
      <c r="P2596" s="47" t="n">
        <f aca="false">IF(OR($A2596="",D2596=""),0,IF(COUNTIF($D$2:D2596,D2596)=1,SUMIF($D$2:$D$5001,D2596,$H$2:$H$5001)+ROW()/10000000,0))</f>
        <v>0</v>
      </c>
      <c r="Q2596" s="47" t="n">
        <f aca="false">IF(OR($A2596="",C2596=""),0,IF(COUNTIF($C$2:C2596,C2596)=1,SUMIF($C$2:$C$5001,C2596,$H$2:$H$5001)+ROW()/10000000,0))</f>
        <v>0</v>
      </c>
    </row>
    <row r="2597" customFormat="false" ht="15" hidden="false" customHeight="false" outlineLevel="0" collapsed="false">
      <c r="A2597" s="43"/>
      <c r="B2597" s="44"/>
      <c r="C2597" s="44"/>
      <c r="D2597" s="44"/>
      <c r="E2597" s="44"/>
      <c r="F2597" s="44"/>
      <c r="G2597" s="44"/>
      <c r="H2597" s="46" t="str">
        <f aca="false">IF($A2597="","",IF(OR(NOT(ISNUMBER(E2597)),NOT(ISNUMBER(F2597))),"",MAX(0,E2597)*F2597))</f>
        <v/>
      </c>
      <c r="I2597" s="46" t="str">
        <f aca="false">IF($A2597="","",SUMIF($A$2:$A$5001,$A2597,$H$2:$H$5001))</f>
        <v/>
      </c>
      <c r="J2597" s="47" t="n">
        <f aca="false">IF($A2597="",0,IF(COUNTIF($A$2:A2597,$A2597)=1,1,0))</f>
        <v>0</v>
      </c>
      <c r="K2597" s="47" t="n">
        <f aca="false">IF(J2597=1,N(I2597)+ROW()/10000000,0)</f>
        <v>0</v>
      </c>
      <c r="L2597" s="47" t="str">
        <f aca="false">IF(AND(J2597=1,N(I2597)&gt;0),SUMIF($K$2:$K$5001,"&gt;="&amp;K2597,$I$2:$I$5001)/MAX(1,SUM($H$2:$H$5001)),"")</f>
        <v/>
      </c>
      <c r="M2597" s="47" t="str">
        <f aca="false">IF($A2597="","",INDEX($L$2:$L$5001,MATCH($A2597,$A$2:$A$5001,0)))</f>
        <v/>
      </c>
      <c r="N2597" s="48" t="str">
        <f aca="false">IF($A2597="","",IF(N(M2597)=0,"–",IF(M2597&lt;=Start!$D$20,"A",IF(M2597&lt;=Start!$D$21,"B","C"))))</f>
        <v/>
      </c>
      <c r="O2597" s="48" t="str">
        <f aca="false">IF($A2597="","",IF(NOT(ISNUMBER(F2597)),"Wert fehlt; ",IF(F2597&lt;=0,"Wert ist 0; ",""))&amp;IF(NOT(ISNUMBER(E2597)),"Bestand fehlt; ",IF(E2597&lt;0,"Bestand negativ; ",IF(E2597=0,"Nullbestand; ","")))&amp;IF(D2597="","Warengruppe fehlt; ","")&amp;IF(B2597="","Bezeichnung fehlt; ","")&amp;IF(COUNTIFS($A$2:$A$5001,$A2597,$C$2:$C$5001,C2597)&gt;1,"Artikel doppelt im selben Lager; ",""))</f>
        <v/>
      </c>
      <c r="P2597" s="47" t="n">
        <f aca="false">IF(OR($A2597="",D2597=""),0,IF(COUNTIF($D$2:D2597,D2597)=1,SUMIF($D$2:$D$5001,D2597,$H$2:$H$5001)+ROW()/10000000,0))</f>
        <v>0</v>
      </c>
      <c r="Q2597" s="47" t="n">
        <f aca="false">IF(OR($A2597="",C2597=""),0,IF(COUNTIF($C$2:C2597,C2597)=1,SUMIF($C$2:$C$5001,C2597,$H$2:$H$5001)+ROW()/10000000,0))</f>
        <v>0</v>
      </c>
    </row>
    <row r="2598" customFormat="false" ht="15" hidden="false" customHeight="false" outlineLevel="0" collapsed="false">
      <c r="A2598" s="43"/>
      <c r="B2598" s="44"/>
      <c r="C2598" s="44"/>
      <c r="D2598" s="44"/>
      <c r="E2598" s="44"/>
      <c r="F2598" s="44"/>
      <c r="G2598" s="44"/>
      <c r="H2598" s="46" t="str">
        <f aca="false">IF($A2598="","",IF(OR(NOT(ISNUMBER(E2598)),NOT(ISNUMBER(F2598))),"",MAX(0,E2598)*F2598))</f>
        <v/>
      </c>
      <c r="I2598" s="46" t="str">
        <f aca="false">IF($A2598="","",SUMIF($A$2:$A$5001,$A2598,$H$2:$H$5001))</f>
        <v/>
      </c>
      <c r="J2598" s="47" t="n">
        <f aca="false">IF($A2598="",0,IF(COUNTIF($A$2:A2598,$A2598)=1,1,0))</f>
        <v>0</v>
      </c>
      <c r="K2598" s="47" t="n">
        <f aca="false">IF(J2598=1,N(I2598)+ROW()/10000000,0)</f>
        <v>0</v>
      </c>
      <c r="L2598" s="47" t="str">
        <f aca="false">IF(AND(J2598=1,N(I2598)&gt;0),SUMIF($K$2:$K$5001,"&gt;="&amp;K2598,$I$2:$I$5001)/MAX(1,SUM($H$2:$H$5001)),"")</f>
        <v/>
      </c>
      <c r="M2598" s="47" t="str">
        <f aca="false">IF($A2598="","",INDEX($L$2:$L$5001,MATCH($A2598,$A$2:$A$5001,0)))</f>
        <v/>
      </c>
      <c r="N2598" s="48" t="str">
        <f aca="false">IF($A2598="","",IF(N(M2598)=0,"–",IF(M2598&lt;=Start!$D$20,"A",IF(M2598&lt;=Start!$D$21,"B","C"))))</f>
        <v/>
      </c>
      <c r="O2598" s="48" t="str">
        <f aca="false">IF($A2598="","",IF(NOT(ISNUMBER(F2598)),"Wert fehlt; ",IF(F2598&lt;=0,"Wert ist 0; ",""))&amp;IF(NOT(ISNUMBER(E2598)),"Bestand fehlt; ",IF(E2598&lt;0,"Bestand negativ; ",IF(E2598=0,"Nullbestand; ","")))&amp;IF(D2598="","Warengruppe fehlt; ","")&amp;IF(B2598="","Bezeichnung fehlt; ","")&amp;IF(COUNTIFS($A$2:$A$5001,$A2598,$C$2:$C$5001,C2598)&gt;1,"Artikel doppelt im selben Lager; ",""))</f>
        <v/>
      </c>
      <c r="P2598" s="47" t="n">
        <f aca="false">IF(OR($A2598="",D2598=""),0,IF(COUNTIF($D$2:D2598,D2598)=1,SUMIF($D$2:$D$5001,D2598,$H$2:$H$5001)+ROW()/10000000,0))</f>
        <v>0</v>
      </c>
      <c r="Q2598" s="47" t="n">
        <f aca="false">IF(OR($A2598="",C2598=""),0,IF(COUNTIF($C$2:C2598,C2598)=1,SUMIF($C$2:$C$5001,C2598,$H$2:$H$5001)+ROW()/10000000,0))</f>
        <v>0</v>
      </c>
    </row>
    <row r="2599" customFormat="false" ht="15" hidden="false" customHeight="false" outlineLevel="0" collapsed="false">
      <c r="A2599" s="43"/>
      <c r="B2599" s="44"/>
      <c r="C2599" s="44"/>
      <c r="D2599" s="44"/>
      <c r="E2599" s="44"/>
      <c r="F2599" s="44"/>
      <c r="G2599" s="44"/>
      <c r="H2599" s="46" t="str">
        <f aca="false">IF($A2599="","",IF(OR(NOT(ISNUMBER(E2599)),NOT(ISNUMBER(F2599))),"",MAX(0,E2599)*F2599))</f>
        <v/>
      </c>
      <c r="I2599" s="46" t="str">
        <f aca="false">IF($A2599="","",SUMIF($A$2:$A$5001,$A2599,$H$2:$H$5001))</f>
        <v/>
      </c>
      <c r="J2599" s="47" t="n">
        <f aca="false">IF($A2599="",0,IF(COUNTIF($A$2:A2599,$A2599)=1,1,0))</f>
        <v>0</v>
      </c>
      <c r="K2599" s="47" t="n">
        <f aca="false">IF(J2599=1,N(I2599)+ROW()/10000000,0)</f>
        <v>0</v>
      </c>
      <c r="L2599" s="47" t="str">
        <f aca="false">IF(AND(J2599=1,N(I2599)&gt;0),SUMIF($K$2:$K$5001,"&gt;="&amp;K2599,$I$2:$I$5001)/MAX(1,SUM($H$2:$H$5001)),"")</f>
        <v/>
      </c>
      <c r="M2599" s="47" t="str">
        <f aca="false">IF($A2599="","",INDEX($L$2:$L$5001,MATCH($A2599,$A$2:$A$5001,0)))</f>
        <v/>
      </c>
      <c r="N2599" s="48" t="str">
        <f aca="false">IF($A2599="","",IF(N(M2599)=0,"–",IF(M2599&lt;=Start!$D$20,"A",IF(M2599&lt;=Start!$D$21,"B","C"))))</f>
        <v/>
      </c>
      <c r="O2599" s="48" t="str">
        <f aca="false">IF($A2599="","",IF(NOT(ISNUMBER(F2599)),"Wert fehlt; ",IF(F2599&lt;=0,"Wert ist 0; ",""))&amp;IF(NOT(ISNUMBER(E2599)),"Bestand fehlt; ",IF(E2599&lt;0,"Bestand negativ; ",IF(E2599=0,"Nullbestand; ","")))&amp;IF(D2599="","Warengruppe fehlt; ","")&amp;IF(B2599="","Bezeichnung fehlt; ","")&amp;IF(COUNTIFS($A$2:$A$5001,$A2599,$C$2:$C$5001,C2599)&gt;1,"Artikel doppelt im selben Lager; ",""))</f>
        <v/>
      </c>
      <c r="P2599" s="47" t="n">
        <f aca="false">IF(OR($A2599="",D2599=""),0,IF(COUNTIF($D$2:D2599,D2599)=1,SUMIF($D$2:$D$5001,D2599,$H$2:$H$5001)+ROW()/10000000,0))</f>
        <v>0</v>
      </c>
      <c r="Q2599" s="47" t="n">
        <f aca="false">IF(OR($A2599="",C2599=""),0,IF(COUNTIF($C$2:C2599,C2599)=1,SUMIF($C$2:$C$5001,C2599,$H$2:$H$5001)+ROW()/10000000,0))</f>
        <v>0</v>
      </c>
    </row>
    <row r="2600" customFormat="false" ht="15" hidden="false" customHeight="false" outlineLevel="0" collapsed="false">
      <c r="A2600" s="43"/>
      <c r="B2600" s="44"/>
      <c r="C2600" s="44"/>
      <c r="D2600" s="44"/>
      <c r="E2600" s="44"/>
      <c r="F2600" s="44"/>
      <c r="G2600" s="44"/>
      <c r="H2600" s="46" t="str">
        <f aca="false">IF($A2600="","",IF(OR(NOT(ISNUMBER(E2600)),NOT(ISNUMBER(F2600))),"",MAX(0,E2600)*F2600))</f>
        <v/>
      </c>
      <c r="I2600" s="46" t="str">
        <f aca="false">IF($A2600="","",SUMIF($A$2:$A$5001,$A2600,$H$2:$H$5001))</f>
        <v/>
      </c>
      <c r="J2600" s="47" t="n">
        <f aca="false">IF($A2600="",0,IF(COUNTIF($A$2:A2600,$A2600)=1,1,0))</f>
        <v>0</v>
      </c>
      <c r="K2600" s="47" t="n">
        <f aca="false">IF(J2600=1,N(I2600)+ROW()/10000000,0)</f>
        <v>0</v>
      </c>
      <c r="L2600" s="47" t="str">
        <f aca="false">IF(AND(J2600=1,N(I2600)&gt;0),SUMIF($K$2:$K$5001,"&gt;="&amp;K2600,$I$2:$I$5001)/MAX(1,SUM($H$2:$H$5001)),"")</f>
        <v/>
      </c>
      <c r="M2600" s="47" t="str">
        <f aca="false">IF($A2600="","",INDEX($L$2:$L$5001,MATCH($A2600,$A$2:$A$5001,0)))</f>
        <v/>
      </c>
      <c r="N2600" s="48" t="str">
        <f aca="false">IF($A2600="","",IF(N(M2600)=0,"–",IF(M2600&lt;=Start!$D$20,"A",IF(M2600&lt;=Start!$D$21,"B","C"))))</f>
        <v/>
      </c>
      <c r="O2600" s="48" t="str">
        <f aca="false">IF($A2600="","",IF(NOT(ISNUMBER(F2600)),"Wert fehlt; ",IF(F2600&lt;=0,"Wert ist 0; ",""))&amp;IF(NOT(ISNUMBER(E2600)),"Bestand fehlt; ",IF(E2600&lt;0,"Bestand negativ; ",IF(E2600=0,"Nullbestand; ","")))&amp;IF(D2600="","Warengruppe fehlt; ","")&amp;IF(B2600="","Bezeichnung fehlt; ","")&amp;IF(COUNTIFS($A$2:$A$5001,$A2600,$C$2:$C$5001,C2600)&gt;1,"Artikel doppelt im selben Lager; ",""))</f>
        <v/>
      </c>
      <c r="P2600" s="47" t="n">
        <f aca="false">IF(OR($A2600="",D2600=""),0,IF(COUNTIF($D$2:D2600,D2600)=1,SUMIF($D$2:$D$5001,D2600,$H$2:$H$5001)+ROW()/10000000,0))</f>
        <v>0</v>
      </c>
      <c r="Q2600" s="47" t="n">
        <f aca="false">IF(OR($A2600="",C2600=""),0,IF(COUNTIF($C$2:C2600,C2600)=1,SUMIF($C$2:$C$5001,C2600,$H$2:$H$5001)+ROW()/10000000,0))</f>
        <v>0</v>
      </c>
    </row>
    <row r="2601" customFormat="false" ht="15" hidden="false" customHeight="false" outlineLevel="0" collapsed="false">
      <c r="A2601" s="43"/>
      <c r="B2601" s="44"/>
      <c r="C2601" s="44"/>
      <c r="D2601" s="44"/>
      <c r="E2601" s="44"/>
      <c r="F2601" s="44"/>
      <c r="G2601" s="44"/>
      <c r="H2601" s="46" t="str">
        <f aca="false">IF($A2601="","",IF(OR(NOT(ISNUMBER(E2601)),NOT(ISNUMBER(F2601))),"",MAX(0,E2601)*F2601))</f>
        <v/>
      </c>
      <c r="I2601" s="46" t="str">
        <f aca="false">IF($A2601="","",SUMIF($A$2:$A$5001,$A2601,$H$2:$H$5001))</f>
        <v/>
      </c>
      <c r="J2601" s="47" t="n">
        <f aca="false">IF($A2601="",0,IF(COUNTIF($A$2:A2601,$A2601)=1,1,0))</f>
        <v>0</v>
      </c>
      <c r="K2601" s="47" t="n">
        <f aca="false">IF(J2601=1,N(I2601)+ROW()/10000000,0)</f>
        <v>0</v>
      </c>
      <c r="L2601" s="47" t="str">
        <f aca="false">IF(AND(J2601=1,N(I2601)&gt;0),SUMIF($K$2:$K$5001,"&gt;="&amp;K2601,$I$2:$I$5001)/MAX(1,SUM($H$2:$H$5001)),"")</f>
        <v/>
      </c>
      <c r="M2601" s="47" t="str">
        <f aca="false">IF($A2601="","",INDEX($L$2:$L$5001,MATCH($A2601,$A$2:$A$5001,0)))</f>
        <v/>
      </c>
      <c r="N2601" s="48" t="str">
        <f aca="false">IF($A2601="","",IF(N(M2601)=0,"–",IF(M2601&lt;=Start!$D$20,"A",IF(M2601&lt;=Start!$D$21,"B","C"))))</f>
        <v/>
      </c>
      <c r="O2601" s="48" t="str">
        <f aca="false">IF($A2601="","",IF(NOT(ISNUMBER(F2601)),"Wert fehlt; ",IF(F2601&lt;=0,"Wert ist 0; ",""))&amp;IF(NOT(ISNUMBER(E2601)),"Bestand fehlt; ",IF(E2601&lt;0,"Bestand negativ; ",IF(E2601=0,"Nullbestand; ","")))&amp;IF(D2601="","Warengruppe fehlt; ","")&amp;IF(B2601="","Bezeichnung fehlt; ","")&amp;IF(COUNTIFS($A$2:$A$5001,$A2601,$C$2:$C$5001,C2601)&gt;1,"Artikel doppelt im selben Lager; ",""))</f>
        <v/>
      </c>
      <c r="P2601" s="47" t="n">
        <f aca="false">IF(OR($A2601="",D2601=""),0,IF(COUNTIF($D$2:D2601,D2601)=1,SUMIF($D$2:$D$5001,D2601,$H$2:$H$5001)+ROW()/10000000,0))</f>
        <v>0</v>
      </c>
      <c r="Q2601" s="47" t="n">
        <f aca="false">IF(OR($A2601="",C2601=""),0,IF(COUNTIF($C$2:C2601,C2601)=1,SUMIF($C$2:$C$5001,C2601,$H$2:$H$5001)+ROW()/10000000,0))</f>
        <v>0</v>
      </c>
    </row>
    <row r="2602" customFormat="false" ht="15" hidden="false" customHeight="false" outlineLevel="0" collapsed="false">
      <c r="A2602" s="43"/>
      <c r="B2602" s="44"/>
      <c r="C2602" s="44"/>
      <c r="D2602" s="44"/>
      <c r="E2602" s="44"/>
      <c r="F2602" s="44"/>
      <c r="G2602" s="44"/>
      <c r="H2602" s="46" t="str">
        <f aca="false">IF($A2602="","",IF(OR(NOT(ISNUMBER(E2602)),NOT(ISNUMBER(F2602))),"",MAX(0,E2602)*F2602))</f>
        <v/>
      </c>
      <c r="I2602" s="46" t="str">
        <f aca="false">IF($A2602="","",SUMIF($A$2:$A$5001,$A2602,$H$2:$H$5001))</f>
        <v/>
      </c>
      <c r="J2602" s="47" t="n">
        <f aca="false">IF($A2602="",0,IF(COUNTIF($A$2:A2602,$A2602)=1,1,0))</f>
        <v>0</v>
      </c>
      <c r="K2602" s="47" t="n">
        <f aca="false">IF(J2602=1,N(I2602)+ROW()/10000000,0)</f>
        <v>0</v>
      </c>
      <c r="L2602" s="47" t="str">
        <f aca="false">IF(AND(J2602=1,N(I2602)&gt;0),SUMIF($K$2:$K$5001,"&gt;="&amp;K2602,$I$2:$I$5001)/MAX(1,SUM($H$2:$H$5001)),"")</f>
        <v/>
      </c>
      <c r="M2602" s="47" t="str">
        <f aca="false">IF($A2602="","",INDEX($L$2:$L$5001,MATCH($A2602,$A$2:$A$5001,0)))</f>
        <v/>
      </c>
      <c r="N2602" s="48" t="str">
        <f aca="false">IF($A2602="","",IF(N(M2602)=0,"–",IF(M2602&lt;=Start!$D$20,"A",IF(M2602&lt;=Start!$D$21,"B","C"))))</f>
        <v/>
      </c>
      <c r="O2602" s="48" t="str">
        <f aca="false">IF($A2602="","",IF(NOT(ISNUMBER(F2602)),"Wert fehlt; ",IF(F2602&lt;=0,"Wert ist 0; ",""))&amp;IF(NOT(ISNUMBER(E2602)),"Bestand fehlt; ",IF(E2602&lt;0,"Bestand negativ; ",IF(E2602=0,"Nullbestand; ","")))&amp;IF(D2602="","Warengruppe fehlt; ","")&amp;IF(B2602="","Bezeichnung fehlt; ","")&amp;IF(COUNTIFS($A$2:$A$5001,$A2602,$C$2:$C$5001,C2602)&gt;1,"Artikel doppelt im selben Lager; ",""))</f>
        <v/>
      </c>
      <c r="P2602" s="47" t="n">
        <f aca="false">IF(OR($A2602="",D2602=""),0,IF(COUNTIF($D$2:D2602,D2602)=1,SUMIF($D$2:$D$5001,D2602,$H$2:$H$5001)+ROW()/10000000,0))</f>
        <v>0</v>
      </c>
      <c r="Q2602" s="47" t="n">
        <f aca="false">IF(OR($A2602="",C2602=""),0,IF(COUNTIF($C$2:C2602,C2602)=1,SUMIF($C$2:$C$5001,C2602,$H$2:$H$5001)+ROW()/10000000,0))</f>
        <v>0</v>
      </c>
    </row>
    <row r="2603" customFormat="false" ht="15" hidden="false" customHeight="false" outlineLevel="0" collapsed="false">
      <c r="A2603" s="43"/>
      <c r="B2603" s="44"/>
      <c r="C2603" s="44"/>
      <c r="D2603" s="44"/>
      <c r="E2603" s="44"/>
      <c r="F2603" s="44"/>
      <c r="G2603" s="44"/>
      <c r="H2603" s="46" t="str">
        <f aca="false">IF($A2603="","",IF(OR(NOT(ISNUMBER(E2603)),NOT(ISNUMBER(F2603))),"",MAX(0,E2603)*F2603))</f>
        <v/>
      </c>
      <c r="I2603" s="46" t="str">
        <f aca="false">IF($A2603="","",SUMIF($A$2:$A$5001,$A2603,$H$2:$H$5001))</f>
        <v/>
      </c>
      <c r="J2603" s="47" t="n">
        <f aca="false">IF($A2603="",0,IF(COUNTIF($A$2:A2603,$A2603)=1,1,0))</f>
        <v>0</v>
      </c>
      <c r="K2603" s="47" t="n">
        <f aca="false">IF(J2603=1,N(I2603)+ROW()/10000000,0)</f>
        <v>0</v>
      </c>
      <c r="L2603" s="47" t="str">
        <f aca="false">IF(AND(J2603=1,N(I2603)&gt;0),SUMIF($K$2:$K$5001,"&gt;="&amp;K2603,$I$2:$I$5001)/MAX(1,SUM($H$2:$H$5001)),"")</f>
        <v/>
      </c>
      <c r="M2603" s="47" t="str">
        <f aca="false">IF($A2603="","",INDEX($L$2:$L$5001,MATCH($A2603,$A$2:$A$5001,0)))</f>
        <v/>
      </c>
      <c r="N2603" s="48" t="str">
        <f aca="false">IF($A2603="","",IF(N(M2603)=0,"–",IF(M2603&lt;=Start!$D$20,"A",IF(M2603&lt;=Start!$D$21,"B","C"))))</f>
        <v/>
      </c>
      <c r="O2603" s="48" t="str">
        <f aca="false">IF($A2603="","",IF(NOT(ISNUMBER(F2603)),"Wert fehlt; ",IF(F2603&lt;=0,"Wert ist 0; ",""))&amp;IF(NOT(ISNUMBER(E2603)),"Bestand fehlt; ",IF(E2603&lt;0,"Bestand negativ; ",IF(E2603=0,"Nullbestand; ","")))&amp;IF(D2603="","Warengruppe fehlt; ","")&amp;IF(B2603="","Bezeichnung fehlt; ","")&amp;IF(COUNTIFS($A$2:$A$5001,$A2603,$C$2:$C$5001,C2603)&gt;1,"Artikel doppelt im selben Lager; ",""))</f>
        <v/>
      </c>
      <c r="P2603" s="47" t="n">
        <f aca="false">IF(OR($A2603="",D2603=""),0,IF(COUNTIF($D$2:D2603,D2603)=1,SUMIF($D$2:$D$5001,D2603,$H$2:$H$5001)+ROW()/10000000,0))</f>
        <v>0</v>
      </c>
      <c r="Q2603" s="47" t="n">
        <f aca="false">IF(OR($A2603="",C2603=""),0,IF(COUNTIF($C$2:C2603,C2603)=1,SUMIF($C$2:$C$5001,C2603,$H$2:$H$5001)+ROW()/10000000,0))</f>
        <v>0</v>
      </c>
    </row>
    <row r="2604" customFormat="false" ht="15" hidden="false" customHeight="false" outlineLevel="0" collapsed="false">
      <c r="A2604" s="43"/>
      <c r="B2604" s="44"/>
      <c r="C2604" s="44"/>
      <c r="D2604" s="44"/>
      <c r="E2604" s="44"/>
      <c r="F2604" s="44"/>
      <c r="G2604" s="44"/>
      <c r="H2604" s="46" t="str">
        <f aca="false">IF($A2604="","",IF(OR(NOT(ISNUMBER(E2604)),NOT(ISNUMBER(F2604))),"",MAX(0,E2604)*F2604))</f>
        <v/>
      </c>
      <c r="I2604" s="46" t="str">
        <f aca="false">IF($A2604="","",SUMIF($A$2:$A$5001,$A2604,$H$2:$H$5001))</f>
        <v/>
      </c>
      <c r="J2604" s="47" t="n">
        <f aca="false">IF($A2604="",0,IF(COUNTIF($A$2:A2604,$A2604)=1,1,0))</f>
        <v>0</v>
      </c>
      <c r="K2604" s="47" t="n">
        <f aca="false">IF(J2604=1,N(I2604)+ROW()/10000000,0)</f>
        <v>0</v>
      </c>
      <c r="L2604" s="47" t="str">
        <f aca="false">IF(AND(J2604=1,N(I2604)&gt;0),SUMIF($K$2:$K$5001,"&gt;="&amp;K2604,$I$2:$I$5001)/MAX(1,SUM($H$2:$H$5001)),"")</f>
        <v/>
      </c>
      <c r="M2604" s="47" t="str">
        <f aca="false">IF($A2604="","",INDEX($L$2:$L$5001,MATCH($A2604,$A$2:$A$5001,0)))</f>
        <v/>
      </c>
      <c r="N2604" s="48" t="str">
        <f aca="false">IF($A2604="","",IF(N(M2604)=0,"–",IF(M2604&lt;=Start!$D$20,"A",IF(M2604&lt;=Start!$D$21,"B","C"))))</f>
        <v/>
      </c>
      <c r="O2604" s="48" t="str">
        <f aca="false">IF($A2604="","",IF(NOT(ISNUMBER(F2604)),"Wert fehlt; ",IF(F2604&lt;=0,"Wert ist 0; ",""))&amp;IF(NOT(ISNUMBER(E2604)),"Bestand fehlt; ",IF(E2604&lt;0,"Bestand negativ; ",IF(E2604=0,"Nullbestand; ","")))&amp;IF(D2604="","Warengruppe fehlt; ","")&amp;IF(B2604="","Bezeichnung fehlt; ","")&amp;IF(COUNTIFS($A$2:$A$5001,$A2604,$C$2:$C$5001,C2604)&gt;1,"Artikel doppelt im selben Lager; ",""))</f>
        <v/>
      </c>
      <c r="P2604" s="47" t="n">
        <f aca="false">IF(OR($A2604="",D2604=""),0,IF(COUNTIF($D$2:D2604,D2604)=1,SUMIF($D$2:$D$5001,D2604,$H$2:$H$5001)+ROW()/10000000,0))</f>
        <v>0</v>
      </c>
      <c r="Q2604" s="47" t="n">
        <f aca="false">IF(OR($A2604="",C2604=""),0,IF(COUNTIF($C$2:C2604,C2604)=1,SUMIF($C$2:$C$5001,C2604,$H$2:$H$5001)+ROW()/10000000,0))</f>
        <v>0</v>
      </c>
    </row>
    <row r="2605" customFormat="false" ht="15" hidden="false" customHeight="false" outlineLevel="0" collapsed="false">
      <c r="A2605" s="43"/>
      <c r="B2605" s="44"/>
      <c r="C2605" s="44"/>
      <c r="D2605" s="44"/>
      <c r="E2605" s="44"/>
      <c r="F2605" s="44"/>
      <c r="G2605" s="44"/>
      <c r="H2605" s="46" t="str">
        <f aca="false">IF($A2605="","",IF(OR(NOT(ISNUMBER(E2605)),NOT(ISNUMBER(F2605))),"",MAX(0,E2605)*F2605))</f>
        <v/>
      </c>
      <c r="I2605" s="46" t="str">
        <f aca="false">IF($A2605="","",SUMIF($A$2:$A$5001,$A2605,$H$2:$H$5001))</f>
        <v/>
      </c>
      <c r="J2605" s="47" t="n">
        <f aca="false">IF($A2605="",0,IF(COUNTIF($A$2:A2605,$A2605)=1,1,0))</f>
        <v>0</v>
      </c>
      <c r="K2605" s="47" t="n">
        <f aca="false">IF(J2605=1,N(I2605)+ROW()/10000000,0)</f>
        <v>0</v>
      </c>
      <c r="L2605" s="47" t="str">
        <f aca="false">IF(AND(J2605=1,N(I2605)&gt;0),SUMIF($K$2:$K$5001,"&gt;="&amp;K2605,$I$2:$I$5001)/MAX(1,SUM($H$2:$H$5001)),"")</f>
        <v/>
      </c>
      <c r="M2605" s="47" t="str">
        <f aca="false">IF($A2605="","",INDEX($L$2:$L$5001,MATCH($A2605,$A$2:$A$5001,0)))</f>
        <v/>
      </c>
      <c r="N2605" s="48" t="str">
        <f aca="false">IF($A2605="","",IF(N(M2605)=0,"–",IF(M2605&lt;=Start!$D$20,"A",IF(M2605&lt;=Start!$D$21,"B","C"))))</f>
        <v/>
      </c>
      <c r="O2605" s="48" t="str">
        <f aca="false">IF($A2605="","",IF(NOT(ISNUMBER(F2605)),"Wert fehlt; ",IF(F2605&lt;=0,"Wert ist 0; ",""))&amp;IF(NOT(ISNUMBER(E2605)),"Bestand fehlt; ",IF(E2605&lt;0,"Bestand negativ; ",IF(E2605=0,"Nullbestand; ","")))&amp;IF(D2605="","Warengruppe fehlt; ","")&amp;IF(B2605="","Bezeichnung fehlt; ","")&amp;IF(COUNTIFS($A$2:$A$5001,$A2605,$C$2:$C$5001,C2605)&gt;1,"Artikel doppelt im selben Lager; ",""))</f>
        <v/>
      </c>
      <c r="P2605" s="47" t="n">
        <f aca="false">IF(OR($A2605="",D2605=""),0,IF(COUNTIF($D$2:D2605,D2605)=1,SUMIF($D$2:$D$5001,D2605,$H$2:$H$5001)+ROW()/10000000,0))</f>
        <v>0</v>
      </c>
      <c r="Q2605" s="47" t="n">
        <f aca="false">IF(OR($A2605="",C2605=""),0,IF(COUNTIF($C$2:C2605,C2605)=1,SUMIF($C$2:$C$5001,C2605,$H$2:$H$5001)+ROW()/10000000,0))</f>
        <v>0</v>
      </c>
    </row>
    <row r="2606" customFormat="false" ht="15" hidden="false" customHeight="false" outlineLevel="0" collapsed="false">
      <c r="A2606" s="43"/>
      <c r="B2606" s="44"/>
      <c r="C2606" s="44"/>
      <c r="D2606" s="44"/>
      <c r="E2606" s="44"/>
      <c r="F2606" s="44"/>
      <c r="G2606" s="44"/>
      <c r="H2606" s="46" t="str">
        <f aca="false">IF($A2606="","",IF(OR(NOT(ISNUMBER(E2606)),NOT(ISNUMBER(F2606))),"",MAX(0,E2606)*F2606))</f>
        <v/>
      </c>
      <c r="I2606" s="46" t="str">
        <f aca="false">IF($A2606="","",SUMIF($A$2:$A$5001,$A2606,$H$2:$H$5001))</f>
        <v/>
      </c>
      <c r="J2606" s="47" t="n">
        <f aca="false">IF($A2606="",0,IF(COUNTIF($A$2:A2606,$A2606)=1,1,0))</f>
        <v>0</v>
      </c>
      <c r="K2606" s="47" t="n">
        <f aca="false">IF(J2606=1,N(I2606)+ROW()/10000000,0)</f>
        <v>0</v>
      </c>
      <c r="L2606" s="47" t="str">
        <f aca="false">IF(AND(J2606=1,N(I2606)&gt;0),SUMIF($K$2:$K$5001,"&gt;="&amp;K2606,$I$2:$I$5001)/MAX(1,SUM($H$2:$H$5001)),"")</f>
        <v/>
      </c>
      <c r="M2606" s="47" t="str">
        <f aca="false">IF($A2606="","",INDEX($L$2:$L$5001,MATCH($A2606,$A$2:$A$5001,0)))</f>
        <v/>
      </c>
      <c r="N2606" s="48" t="str">
        <f aca="false">IF($A2606="","",IF(N(M2606)=0,"–",IF(M2606&lt;=Start!$D$20,"A",IF(M2606&lt;=Start!$D$21,"B","C"))))</f>
        <v/>
      </c>
      <c r="O2606" s="48" t="str">
        <f aca="false">IF($A2606="","",IF(NOT(ISNUMBER(F2606)),"Wert fehlt; ",IF(F2606&lt;=0,"Wert ist 0; ",""))&amp;IF(NOT(ISNUMBER(E2606)),"Bestand fehlt; ",IF(E2606&lt;0,"Bestand negativ; ",IF(E2606=0,"Nullbestand; ","")))&amp;IF(D2606="","Warengruppe fehlt; ","")&amp;IF(B2606="","Bezeichnung fehlt; ","")&amp;IF(COUNTIFS($A$2:$A$5001,$A2606,$C$2:$C$5001,C2606)&gt;1,"Artikel doppelt im selben Lager; ",""))</f>
        <v/>
      </c>
      <c r="P2606" s="47" t="n">
        <f aca="false">IF(OR($A2606="",D2606=""),0,IF(COUNTIF($D$2:D2606,D2606)=1,SUMIF($D$2:$D$5001,D2606,$H$2:$H$5001)+ROW()/10000000,0))</f>
        <v>0</v>
      </c>
      <c r="Q2606" s="47" t="n">
        <f aca="false">IF(OR($A2606="",C2606=""),0,IF(COUNTIF($C$2:C2606,C2606)=1,SUMIF($C$2:$C$5001,C2606,$H$2:$H$5001)+ROW()/10000000,0))</f>
        <v>0</v>
      </c>
    </row>
    <row r="2607" customFormat="false" ht="15" hidden="false" customHeight="false" outlineLevel="0" collapsed="false">
      <c r="A2607" s="43"/>
      <c r="B2607" s="44"/>
      <c r="C2607" s="44"/>
      <c r="D2607" s="44"/>
      <c r="E2607" s="44"/>
      <c r="F2607" s="44"/>
      <c r="G2607" s="44"/>
      <c r="H2607" s="46" t="str">
        <f aca="false">IF($A2607="","",IF(OR(NOT(ISNUMBER(E2607)),NOT(ISNUMBER(F2607))),"",MAX(0,E2607)*F2607))</f>
        <v/>
      </c>
      <c r="I2607" s="46" t="str">
        <f aca="false">IF($A2607="","",SUMIF($A$2:$A$5001,$A2607,$H$2:$H$5001))</f>
        <v/>
      </c>
      <c r="J2607" s="47" t="n">
        <f aca="false">IF($A2607="",0,IF(COUNTIF($A$2:A2607,$A2607)=1,1,0))</f>
        <v>0</v>
      </c>
      <c r="K2607" s="47" t="n">
        <f aca="false">IF(J2607=1,N(I2607)+ROW()/10000000,0)</f>
        <v>0</v>
      </c>
      <c r="L2607" s="47" t="str">
        <f aca="false">IF(AND(J2607=1,N(I2607)&gt;0),SUMIF($K$2:$K$5001,"&gt;="&amp;K2607,$I$2:$I$5001)/MAX(1,SUM($H$2:$H$5001)),"")</f>
        <v/>
      </c>
      <c r="M2607" s="47" t="str">
        <f aca="false">IF($A2607="","",INDEX($L$2:$L$5001,MATCH($A2607,$A$2:$A$5001,0)))</f>
        <v/>
      </c>
      <c r="N2607" s="48" t="str">
        <f aca="false">IF($A2607="","",IF(N(M2607)=0,"–",IF(M2607&lt;=Start!$D$20,"A",IF(M2607&lt;=Start!$D$21,"B","C"))))</f>
        <v/>
      </c>
      <c r="O2607" s="48" t="str">
        <f aca="false">IF($A2607="","",IF(NOT(ISNUMBER(F2607)),"Wert fehlt; ",IF(F2607&lt;=0,"Wert ist 0; ",""))&amp;IF(NOT(ISNUMBER(E2607)),"Bestand fehlt; ",IF(E2607&lt;0,"Bestand negativ; ",IF(E2607=0,"Nullbestand; ","")))&amp;IF(D2607="","Warengruppe fehlt; ","")&amp;IF(B2607="","Bezeichnung fehlt; ","")&amp;IF(COUNTIFS($A$2:$A$5001,$A2607,$C$2:$C$5001,C2607)&gt;1,"Artikel doppelt im selben Lager; ",""))</f>
        <v/>
      </c>
      <c r="P2607" s="47" t="n">
        <f aca="false">IF(OR($A2607="",D2607=""),0,IF(COUNTIF($D$2:D2607,D2607)=1,SUMIF($D$2:$D$5001,D2607,$H$2:$H$5001)+ROW()/10000000,0))</f>
        <v>0</v>
      </c>
      <c r="Q2607" s="47" t="n">
        <f aca="false">IF(OR($A2607="",C2607=""),0,IF(COUNTIF($C$2:C2607,C2607)=1,SUMIF($C$2:$C$5001,C2607,$H$2:$H$5001)+ROW()/10000000,0))</f>
        <v>0</v>
      </c>
    </row>
    <row r="2608" customFormat="false" ht="15" hidden="false" customHeight="false" outlineLevel="0" collapsed="false">
      <c r="A2608" s="43"/>
      <c r="B2608" s="44"/>
      <c r="C2608" s="44"/>
      <c r="D2608" s="44"/>
      <c r="E2608" s="44"/>
      <c r="F2608" s="44"/>
      <c r="G2608" s="44"/>
      <c r="H2608" s="46" t="str">
        <f aca="false">IF($A2608="","",IF(OR(NOT(ISNUMBER(E2608)),NOT(ISNUMBER(F2608))),"",MAX(0,E2608)*F2608))</f>
        <v/>
      </c>
      <c r="I2608" s="46" t="str">
        <f aca="false">IF($A2608="","",SUMIF($A$2:$A$5001,$A2608,$H$2:$H$5001))</f>
        <v/>
      </c>
      <c r="J2608" s="47" t="n">
        <f aca="false">IF($A2608="",0,IF(COUNTIF($A$2:A2608,$A2608)=1,1,0))</f>
        <v>0</v>
      </c>
      <c r="K2608" s="47" t="n">
        <f aca="false">IF(J2608=1,N(I2608)+ROW()/10000000,0)</f>
        <v>0</v>
      </c>
      <c r="L2608" s="47" t="str">
        <f aca="false">IF(AND(J2608=1,N(I2608)&gt;0),SUMIF($K$2:$K$5001,"&gt;="&amp;K2608,$I$2:$I$5001)/MAX(1,SUM($H$2:$H$5001)),"")</f>
        <v/>
      </c>
      <c r="M2608" s="47" t="str">
        <f aca="false">IF($A2608="","",INDEX($L$2:$L$5001,MATCH($A2608,$A$2:$A$5001,0)))</f>
        <v/>
      </c>
      <c r="N2608" s="48" t="str">
        <f aca="false">IF($A2608="","",IF(N(M2608)=0,"–",IF(M2608&lt;=Start!$D$20,"A",IF(M2608&lt;=Start!$D$21,"B","C"))))</f>
        <v/>
      </c>
      <c r="O2608" s="48" t="str">
        <f aca="false">IF($A2608="","",IF(NOT(ISNUMBER(F2608)),"Wert fehlt; ",IF(F2608&lt;=0,"Wert ist 0; ",""))&amp;IF(NOT(ISNUMBER(E2608)),"Bestand fehlt; ",IF(E2608&lt;0,"Bestand negativ; ",IF(E2608=0,"Nullbestand; ","")))&amp;IF(D2608="","Warengruppe fehlt; ","")&amp;IF(B2608="","Bezeichnung fehlt; ","")&amp;IF(COUNTIFS($A$2:$A$5001,$A2608,$C$2:$C$5001,C2608)&gt;1,"Artikel doppelt im selben Lager; ",""))</f>
        <v/>
      </c>
      <c r="P2608" s="47" t="n">
        <f aca="false">IF(OR($A2608="",D2608=""),0,IF(COUNTIF($D$2:D2608,D2608)=1,SUMIF($D$2:$D$5001,D2608,$H$2:$H$5001)+ROW()/10000000,0))</f>
        <v>0</v>
      </c>
      <c r="Q2608" s="47" t="n">
        <f aca="false">IF(OR($A2608="",C2608=""),0,IF(COUNTIF($C$2:C2608,C2608)=1,SUMIF($C$2:$C$5001,C2608,$H$2:$H$5001)+ROW()/10000000,0))</f>
        <v>0</v>
      </c>
    </row>
    <row r="2609" customFormat="false" ht="15" hidden="false" customHeight="false" outlineLevel="0" collapsed="false">
      <c r="A2609" s="43"/>
      <c r="B2609" s="44"/>
      <c r="C2609" s="44"/>
      <c r="D2609" s="44"/>
      <c r="E2609" s="44"/>
      <c r="F2609" s="44"/>
      <c r="G2609" s="44"/>
      <c r="H2609" s="46" t="str">
        <f aca="false">IF($A2609="","",IF(OR(NOT(ISNUMBER(E2609)),NOT(ISNUMBER(F2609))),"",MAX(0,E2609)*F2609))</f>
        <v/>
      </c>
      <c r="I2609" s="46" t="str">
        <f aca="false">IF($A2609="","",SUMIF($A$2:$A$5001,$A2609,$H$2:$H$5001))</f>
        <v/>
      </c>
      <c r="J2609" s="47" t="n">
        <f aca="false">IF($A2609="",0,IF(COUNTIF($A$2:A2609,$A2609)=1,1,0))</f>
        <v>0</v>
      </c>
      <c r="K2609" s="47" t="n">
        <f aca="false">IF(J2609=1,N(I2609)+ROW()/10000000,0)</f>
        <v>0</v>
      </c>
      <c r="L2609" s="47" t="str">
        <f aca="false">IF(AND(J2609=1,N(I2609)&gt;0),SUMIF($K$2:$K$5001,"&gt;="&amp;K2609,$I$2:$I$5001)/MAX(1,SUM($H$2:$H$5001)),"")</f>
        <v/>
      </c>
      <c r="M2609" s="47" t="str">
        <f aca="false">IF($A2609="","",INDEX($L$2:$L$5001,MATCH($A2609,$A$2:$A$5001,0)))</f>
        <v/>
      </c>
      <c r="N2609" s="48" t="str">
        <f aca="false">IF($A2609="","",IF(N(M2609)=0,"–",IF(M2609&lt;=Start!$D$20,"A",IF(M2609&lt;=Start!$D$21,"B","C"))))</f>
        <v/>
      </c>
      <c r="O2609" s="48" t="str">
        <f aca="false">IF($A2609="","",IF(NOT(ISNUMBER(F2609)),"Wert fehlt; ",IF(F2609&lt;=0,"Wert ist 0; ",""))&amp;IF(NOT(ISNUMBER(E2609)),"Bestand fehlt; ",IF(E2609&lt;0,"Bestand negativ; ",IF(E2609=0,"Nullbestand; ","")))&amp;IF(D2609="","Warengruppe fehlt; ","")&amp;IF(B2609="","Bezeichnung fehlt; ","")&amp;IF(COUNTIFS($A$2:$A$5001,$A2609,$C$2:$C$5001,C2609)&gt;1,"Artikel doppelt im selben Lager; ",""))</f>
        <v/>
      </c>
      <c r="P2609" s="47" t="n">
        <f aca="false">IF(OR($A2609="",D2609=""),0,IF(COUNTIF($D$2:D2609,D2609)=1,SUMIF($D$2:$D$5001,D2609,$H$2:$H$5001)+ROW()/10000000,0))</f>
        <v>0</v>
      </c>
      <c r="Q2609" s="47" t="n">
        <f aca="false">IF(OR($A2609="",C2609=""),0,IF(COUNTIF($C$2:C2609,C2609)=1,SUMIF($C$2:$C$5001,C2609,$H$2:$H$5001)+ROW()/10000000,0))</f>
        <v>0</v>
      </c>
    </row>
    <row r="2610" customFormat="false" ht="15" hidden="false" customHeight="false" outlineLevel="0" collapsed="false">
      <c r="A2610" s="43"/>
      <c r="B2610" s="44"/>
      <c r="C2610" s="44"/>
      <c r="D2610" s="44"/>
      <c r="E2610" s="44"/>
      <c r="F2610" s="44"/>
      <c r="G2610" s="44"/>
      <c r="H2610" s="46" t="str">
        <f aca="false">IF($A2610="","",IF(OR(NOT(ISNUMBER(E2610)),NOT(ISNUMBER(F2610))),"",MAX(0,E2610)*F2610))</f>
        <v/>
      </c>
      <c r="I2610" s="46" t="str">
        <f aca="false">IF($A2610="","",SUMIF($A$2:$A$5001,$A2610,$H$2:$H$5001))</f>
        <v/>
      </c>
      <c r="J2610" s="47" t="n">
        <f aca="false">IF($A2610="",0,IF(COUNTIF($A$2:A2610,$A2610)=1,1,0))</f>
        <v>0</v>
      </c>
      <c r="K2610" s="47" t="n">
        <f aca="false">IF(J2610=1,N(I2610)+ROW()/10000000,0)</f>
        <v>0</v>
      </c>
      <c r="L2610" s="47" t="str">
        <f aca="false">IF(AND(J2610=1,N(I2610)&gt;0),SUMIF($K$2:$K$5001,"&gt;="&amp;K2610,$I$2:$I$5001)/MAX(1,SUM($H$2:$H$5001)),"")</f>
        <v/>
      </c>
      <c r="M2610" s="47" t="str">
        <f aca="false">IF($A2610="","",INDEX($L$2:$L$5001,MATCH($A2610,$A$2:$A$5001,0)))</f>
        <v/>
      </c>
      <c r="N2610" s="48" t="str">
        <f aca="false">IF($A2610="","",IF(N(M2610)=0,"–",IF(M2610&lt;=Start!$D$20,"A",IF(M2610&lt;=Start!$D$21,"B","C"))))</f>
        <v/>
      </c>
      <c r="O2610" s="48" t="str">
        <f aca="false">IF($A2610="","",IF(NOT(ISNUMBER(F2610)),"Wert fehlt; ",IF(F2610&lt;=0,"Wert ist 0; ",""))&amp;IF(NOT(ISNUMBER(E2610)),"Bestand fehlt; ",IF(E2610&lt;0,"Bestand negativ; ",IF(E2610=0,"Nullbestand; ","")))&amp;IF(D2610="","Warengruppe fehlt; ","")&amp;IF(B2610="","Bezeichnung fehlt; ","")&amp;IF(COUNTIFS($A$2:$A$5001,$A2610,$C$2:$C$5001,C2610)&gt;1,"Artikel doppelt im selben Lager; ",""))</f>
        <v/>
      </c>
      <c r="P2610" s="47" t="n">
        <f aca="false">IF(OR($A2610="",D2610=""),0,IF(COUNTIF($D$2:D2610,D2610)=1,SUMIF($D$2:$D$5001,D2610,$H$2:$H$5001)+ROW()/10000000,0))</f>
        <v>0</v>
      </c>
      <c r="Q2610" s="47" t="n">
        <f aca="false">IF(OR($A2610="",C2610=""),0,IF(COUNTIF($C$2:C2610,C2610)=1,SUMIF($C$2:$C$5001,C2610,$H$2:$H$5001)+ROW()/10000000,0))</f>
        <v>0</v>
      </c>
    </row>
    <row r="2611" customFormat="false" ht="15" hidden="false" customHeight="false" outlineLevel="0" collapsed="false">
      <c r="A2611" s="43"/>
      <c r="B2611" s="44"/>
      <c r="C2611" s="44"/>
      <c r="D2611" s="44"/>
      <c r="E2611" s="44"/>
      <c r="F2611" s="44"/>
      <c r="G2611" s="44"/>
      <c r="H2611" s="46" t="str">
        <f aca="false">IF($A2611="","",IF(OR(NOT(ISNUMBER(E2611)),NOT(ISNUMBER(F2611))),"",MAX(0,E2611)*F2611))</f>
        <v/>
      </c>
      <c r="I2611" s="46" t="str">
        <f aca="false">IF($A2611="","",SUMIF($A$2:$A$5001,$A2611,$H$2:$H$5001))</f>
        <v/>
      </c>
      <c r="J2611" s="47" t="n">
        <f aca="false">IF($A2611="",0,IF(COUNTIF($A$2:A2611,$A2611)=1,1,0))</f>
        <v>0</v>
      </c>
      <c r="K2611" s="47" t="n">
        <f aca="false">IF(J2611=1,N(I2611)+ROW()/10000000,0)</f>
        <v>0</v>
      </c>
      <c r="L2611" s="47" t="str">
        <f aca="false">IF(AND(J2611=1,N(I2611)&gt;0),SUMIF($K$2:$K$5001,"&gt;="&amp;K2611,$I$2:$I$5001)/MAX(1,SUM($H$2:$H$5001)),"")</f>
        <v/>
      </c>
      <c r="M2611" s="47" t="str">
        <f aca="false">IF($A2611="","",INDEX($L$2:$L$5001,MATCH($A2611,$A$2:$A$5001,0)))</f>
        <v/>
      </c>
      <c r="N2611" s="48" t="str">
        <f aca="false">IF($A2611="","",IF(N(M2611)=0,"–",IF(M2611&lt;=Start!$D$20,"A",IF(M2611&lt;=Start!$D$21,"B","C"))))</f>
        <v/>
      </c>
      <c r="O2611" s="48" t="str">
        <f aca="false">IF($A2611="","",IF(NOT(ISNUMBER(F2611)),"Wert fehlt; ",IF(F2611&lt;=0,"Wert ist 0; ",""))&amp;IF(NOT(ISNUMBER(E2611)),"Bestand fehlt; ",IF(E2611&lt;0,"Bestand negativ; ",IF(E2611=0,"Nullbestand; ","")))&amp;IF(D2611="","Warengruppe fehlt; ","")&amp;IF(B2611="","Bezeichnung fehlt; ","")&amp;IF(COUNTIFS($A$2:$A$5001,$A2611,$C$2:$C$5001,C2611)&gt;1,"Artikel doppelt im selben Lager; ",""))</f>
        <v/>
      </c>
      <c r="P2611" s="47" t="n">
        <f aca="false">IF(OR($A2611="",D2611=""),0,IF(COUNTIF($D$2:D2611,D2611)=1,SUMIF($D$2:$D$5001,D2611,$H$2:$H$5001)+ROW()/10000000,0))</f>
        <v>0</v>
      </c>
      <c r="Q2611" s="47" t="n">
        <f aca="false">IF(OR($A2611="",C2611=""),0,IF(COUNTIF($C$2:C2611,C2611)=1,SUMIF($C$2:$C$5001,C2611,$H$2:$H$5001)+ROW()/10000000,0))</f>
        <v>0</v>
      </c>
    </row>
    <row r="2612" customFormat="false" ht="15" hidden="false" customHeight="false" outlineLevel="0" collapsed="false">
      <c r="A2612" s="43"/>
      <c r="B2612" s="44"/>
      <c r="C2612" s="44"/>
      <c r="D2612" s="44"/>
      <c r="E2612" s="44"/>
      <c r="F2612" s="44"/>
      <c r="G2612" s="44"/>
      <c r="H2612" s="46" t="str">
        <f aca="false">IF($A2612="","",IF(OR(NOT(ISNUMBER(E2612)),NOT(ISNUMBER(F2612))),"",MAX(0,E2612)*F2612))</f>
        <v/>
      </c>
      <c r="I2612" s="46" t="str">
        <f aca="false">IF($A2612="","",SUMIF($A$2:$A$5001,$A2612,$H$2:$H$5001))</f>
        <v/>
      </c>
      <c r="J2612" s="47" t="n">
        <f aca="false">IF($A2612="",0,IF(COUNTIF($A$2:A2612,$A2612)=1,1,0))</f>
        <v>0</v>
      </c>
      <c r="K2612" s="47" t="n">
        <f aca="false">IF(J2612=1,N(I2612)+ROW()/10000000,0)</f>
        <v>0</v>
      </c>
      <c r="L2612" s="47" t="str">
        <f aca="false">IF(AND(J2612=1,N(I2612)&gt;0),SUMIF($K$2:$K$5001,"&gt;="&amp;K2612,$I$2:$I$5001)/MAX(1,SUM($H$2:$H$5001)),"")</f>
        <v/>
      </c>
      <c r="M2612" s="47" t="str">
        <f aca="false">IF($A2612="","",INDEX($L$2:$L$5001,MATCH($A2612,$A$2:$A$5001,0)))</f>
        <v/>
      </c>
      <c r="N2612" s="48" t="str">
        <f aca="false">IF($A2612="","",IF(N(M2612)=0,"–",IF(M2612&lt;=Start!$D$20,"A",IF(M2612&lt;=Start!$D$21,"B","C"))))</f>
        <v/>
      </c>
      <c r="O2612" s="48" t="str">
        <f aca="false">IF($A2612="","",IF(NOT(ISNUMBER(F2612)),"Wert fehlt; ",IF(F2612&lt;=0,"Wert ist 0; ",""))&amp;IF(NOT(ISNUMBER(E2612)),"Bestand fehlt; ",IF(E2612&lt;0,"Bestand negativ; ",IF(E2612=0,"Nullbestand; ","")))&amp;IF(D2612="","Warengruppe fehlt; ","")&amp;IF(B2612="","Bezeichnung fehlt; ","")&amp;IF(COUNTIFS($A$2:$A$5001,$A2612,$C$2:$C$5001,C2612)&gt;1,"Artikel doppelt im selben Lager; ",""))</f>
        <v/>
      </c>
      <c r="P2612" s="47" t="n">
        <f aca="false">IF(OR($A2612="",D2612=""),0,IF(COUNTIF($D$2:D2612,D2612)=1,SUMIF($D$2:$D$5001,D2612,$H$2:$H$5001)+ROW()/10000000,0))</f>
        <v>0</v>
      </c>
      <c r="Q2612" s="47" t="n">
        <f aca="false">IF(OR($A2612="",C2612=""),0,IF(COUNTIF($C$2:C2612,C2612)=1,SUMIF($C$2:$C$5001,C2612,$H$2:$H$5001)+ROW()/10000000,0))</f>
        <v>0</v>
      </c>
    </row>
    <row r="2613" customFormat="false" ht="15" hidden="false" customHeight="false" outlineLevel="0" collapsed="false">
      <c r="A2613" s="43"/>
      <c r="B2613" s="44"/>
      <c r="C2613" s="44"/>
      <c r="D2613" s="44"/>
      <c r="E2613" s="44"/>
      <c r="F2613" s="44"/>
      <c r="G2613" s="44"/>
      <c r="H2613" s="46" t="str">
        <f aca="false">IF($A2613="","",IF(OR(NOT(ISNUMBER(E2613)),NOT(ISNUMBER(F2613))),"",MAX(0,E2613)*F2613))</f>
        <v/>
      </c>
      <c r="I2613" s="46" t="str">
        <f aca="false">IF($A2613="","",SUMIF($A$2:$A$5001,$A2613,$H$2:$H$5001))</f>
        <v/>
      </c>
      <c r="J2613" s="47" t="n">
        <f aca="false">IF($A2613="",0,IF(COUNTIF($A$2:A2613,$A2613)=1,1,0))</f>
        <v>0</v>
      </c>
      <c r="K2613" s="47" t="n">
        <f aca="false">IF(J2613=1,N(I2613)+ROW()/10000000,0)</f>
        <v>0</v>
      </c>
      <c r="L2613" s="47" t="str">
        <f aca="false">IF(AND(J2613=1,N(I2613)&gt;0),SUMIF($K$2:$K$5001,"&gt;="&amp;K2613,$I$2:$I$5001)/MAX(1,SUM($H$2:$H$5001)),"")</f>
        <v/>
      </c>
      <c r="M2613" s="47" t="str">
        <f aca="false">IF($A2613="","",INDEX($L$2:$L$5001,MATCH($A2613,$A$2:$A$5001,0)))</f>
        <v/>
      </c>
      <c r="N2613" s="48" t="str">
        <f aca="false">IF($A2613="","",IF(N(M2613)=0,"–",IF(M2613&lt;=Start!$D$20,"A",IF(M2613&lt;=Start!$D$21,"B","C"))))</f>
        <v/>
      </c>
      <c r="O2613" s="48" t="str">
        <f aca="false">IF($A2613="","",IF(NOT(ISNUMBER(F2613)),"Wert fehlt; ",IF(F2613&lt;=0,"Wert ist 0; ",""))&amp;IF(NOT(ISNUMBER(E2613)),"Bestand fehlt; ",IF(E2613&lt;0,"Bestand negativ; ",IF(E2613=0,"Nullbestand; ","")))&amp;IF(D2613="","Warengruppe fehlt; ","")&amp;IF(B2613="","Bezeichnung fehlt; ","")&amp;IF(COUNTIFS($A$2:$A$5001,$A2613,$C$2:$C$5001,C2613)&gt;1,"Artikel doppelt im selben Lager; ",""))</f>
        <v/>
      </c>
      <c r="P2613" s="47" t="n">
        <f aca="false">IF(OR($A2613="",D2613=""),0,IF(COUNTIF($D$2:D2613,D2613)=1,SUMIF($D$2:$D$5001,D2613,$H$2:$H$5001)+ROW()/10000000,0))</f>
        <v>0</v>
      </c>
      <c r="Q2613" s="47" t="n">
        <f aca="false">IF(OR($A2613="",C2613=""),0,IF(COUNTIF($C$2:C2613,C2613)=1,SUMIF($C$2:$C$5001,C2613,$H$2:$H$5001)+ROW()/10000000,0))</f>
        <v>0</v>
      </c>
    </row>
    <row r="2614" customFormat="false" ht="15" hidden="false" customHeight="false" outlineLevel="0" collapsed="false">
      <c r="A2614" s="43"/>
      <c r="B2614" s="44"/>
      <c r="C2614" s="44"/>
      <c r="D2614" s="44"/>
      <c r="E2614" s="44"/>
      <c r="F2614" s="44"/>
      <c r="G2614" s="44"/>
      <c r="H2614" s="46" t="str">
        <f aca="false">IF($A2614="","",IF(OR(NOT(ISNUMBER(E2614)),NOT(ISNUMBER(F2614))),"",MAX(0,E2614)*F2614))</f>
        <v/>
      </c>
      <c r="I2614" s="46" t="str">
        <f aca="false">IF($A2614="","",SUMIF($A$2:$A$5001,$A2614,$H$2:$H$5001))</f>
        <v/>
      </c>
      <c r="J2614" s="47" t="n">
        <f aca="false">IF($A2614="",0,IF(COUNTIF($A$2:A2614,$A2614)=1,1,0))</f>
        <v>0</v>
      </c>
      <c r="K2614" s="47" t="n">
        <f aca="false">IF(J2614=1,N(I2614)+ROW()/10000000,0)</f>
        <v>0</v>
      </c>
      <c r="L2614" s="47" t="str">
        <f aca="false">IF(AND(J2614=1,N(I2614)&gt;0),SUMIF($K$2:$K$5001,"&gt;="&amp;K2614,$I$2:$I$5001)/MAX(1,SUM($H$2:$H$5001)),"")</f>
        <v/>
      </c>
      <c r="M2614" s="47" t="str">
        <f aca="false">IF($A2614="","",INDEX($L$2:$L$5001,MATCH($A2614,$A$2:$A$5001,0)))</f>
        <v/>
      </c>
      <c r="N2614" s="48" t="str">
        <f aca="false">IF($A2614="","",IF(N(M2614)=0,"–",IF(M2614&lt;=Start!$D$20,"A",IF(M2614&lt;=Start!$D$21,"B","C"))))</f>
        <v/>
      </c>
      <c r="O2614" s="48" t="str">
        <f aca="false">IF($A2614="","",IF(NOT(ISNUMBER(F2614)),"Wert fehlt; ",IF(F2614&lt;=0,"Wert ist 0; ",""))&amp;IF(NOT(ISNUMBER(E2614)),"Bestand fehlt; ",IF(E2614&lt;0,"Bestand negativ; ",IF(E2614=0,"Nullbestand; ","")))&amp;IF(D2614="","Warengruppe fehlt; ","")&amp;IF(B2614="","Bezeichnung fehlt; ","")&amp;IF(COUNTIFS($A$2:$A$5001,$A2614,$C$2:$C$5001,C2614)&gt;1,"Artikel doppelt im selben Lager; ",""))</f>
        <v/>
      </c>
      <c r="P2614" s="47" t="n">
        <f aca="false">IF(OR($A2614="",D2614=""),0,IF(COUNTIF($D$2:D2614,D2614)=1,SUMIF($D$2:$D$5001,D2614,$H$2:$H$5001)+ROW()/10000000,0))</f>
        <v>0</v>
      </c>
      <c r="Q2614" s="47" t="n">
        <f aca="false">IF(OR($A2614="",C2614=""),0,IF(COUNTIF($C$2:C2614,C2614)=1,SUMIF($C$2:$C$5001,C2614,$H$2:$H$5001)+ROW()/10000000,0))</f>
        <v>0</v>
      </c>
    </row>
    <row r="2615" customFormat="false" ht="15" hidden="false" customHeight="false" outlineLevel="0" collapsed="false">
      <c r="A2615" s="43"/>
      <c r="B2615" s="44"/>
      <c r="C2615" s="44"/>
      <c r="D2615" s="44"/>
      <c r="E2615" s="44"/>
      <c r="F2615" s="44"/>
      <c r="G2615" s="44"/>
      <c r="H2615" s="46" t="str">
        <f aca="false">IF($A2615="","",IF(OR(NOT(ISNUMBER(E2615)),NOT(ISNUMBER(F2615))),"",MAX(0,E2615)*F2615))</f>
        <v/>
      </c>
      <c r="I2615" s="46" t="str">
        <f aca="false">IF($A2615="","",SUMIF($A$2:$A$5001,$A2615,$H$2:$H$5001))</f>
        <v/>
      </c>
      <c r="J2615" s="47" t="n">
        <f aca="false">IF($A2615="",0,IF(COUNTIF($A$2:A2615,$A2615)=1,1,0))</f>
        <v>0</v>
      </c>
      <c r="K2615" s="47" t="n">
        <f aca="false">IF(J2615=1,N(I2615)+ROW()/10000000,0)</f>
        <v>0</v>
      </c>
      <c r="L2615" s="47" t="str">
        <f aca="false">IF(AND(J2615=1,N(I2615)&gt;0),SUMIF($K$2:$K$5001,"&gt;="&amp;K2615,$I$2:$I$5001)/MAX(1,SUM($H$2:$H$5001)),"")</f>
        <v/>
      </c>
      <c r="M2615" s="47" t="str">
        <f aca="false">IF($A2615="","",INDEX($L$2:$L$5001,MATCH($A2615,$A$2:$A$5001,0)))</f>
        <v/>
      </c>
      <c r="N2615" s="48" t="str">
        <f aca="false">IF($A2615="","",IF(N(M2615)=0,"–",IF(M2615&lt;=Start!$D$20,"A",IF(M2615&lt;=Start!$D$21,"B","C"))))</f>
        <v/>
      </c>
      <c r="O2615" s="48" t="str">
        <f aca="false">IF($A2615="","",IF(NOT(ISNUMBER(F2615)),"Wert fehlt; ",IF(F2615&lt;=0,"Wert ist 0; ",""))&amp;IF(NOT(ISNUMBER(E2615)),"Bestand fehlt; ",IF(E2615&lt;0,"Bestand negativ; ",IF(E2615=0,"Nullbestand; ","")))&amp;IF(D2615="","Warengruppe fehlt; ","")&amp;IF(B2615="","Bezeichnung fehlt; ","")&amp;IF(COUNTIFS($A$2:$A$5001,$A2615,$C$2:$C$5001,C2615)&gt;1,"Artikel doppelt im selben Lager; ",""))</f>
        <v/>
      </c>
      <c r="P2615" s="47" t="n">
        <f aca="false">IF(OR($A2615="",D2615=""),0,IF(COUNTIF($D$2:D2615,D2615)=1,SUMIF($D$2:$D$5001,D2615,$H$2:$H$5001)+ROW()/10000000,0))</f>
        <v>0</v>
      </c>
      <c r="Q2615" s="47" t="n">
        <f aca="false">IF(OR($A2615="",C2615=""),0,IF(COUNTIF($C$2:C2615,C2615)=1,SUMIF($C$2:$C$5001,C2615,$H$2:$H$5001)+ROW()/10000000,0))</f>
        <v>0</v>
      </c>
    </row>
    <row r="2616" customFormat="false" ht="15" hidden="false" customHeight="false" outlineLevel="0" collapsed="false">
      <c r="A2616" s="43"/>
      <c r="B2616" s="44"/>
      <c r="C2616" s="44"/>
      <c r="D2616" s="44"/>
      <c r="E2616" s="44"/>
      <c r="F2616" s="44"/>
      <c r="G2616" s="44"/>
      <c r="H2616" s="46" t="str">
        <f aca="false">IF($A2616="","",IF(OR(NOT(ISNUMBER(E2616)),NOT(ISNUMBER(F2616))),"",MAX(0,E2616)*F2616))</f>
        <v/>
      </c>
      <c r="I2616" s="46" t="str">
        <f aca="false">IF($A2616="","",SUMIF($A$2:$A$5001,$A2616,$H$2:$H$5001))</f>
        <v/>
      </c>
      <c r="J2616" s="47" t="n">
        <f aca="false">IF($A2616="",0,IF(COUNTIF($A$2:A2616,$A2616)=1,1,0))</f>
        <v>0</v>
      </c>
      <c r="K2616" s="47" t="n">
        <f aca="false">IF(J2616=1,N(I2616)+ROW()/10000000,0)</f>
        <v>0</v>
      </c>
      <c r="L2616" s="47" t="str">
        <f aca="false">IF(AND(J2616=1,N(I2616)&gt;0),SUMIF($K$2:$K$5001,"&gt;="&amp;K2616,$I$2:$I$5001)/MAX(1,SUM($H$2:$H$5001)),"")</f>
        <v/>
      </c>
      <c r="M2616" s="47" t="str">
        <f aca="false">IF($A2616="","",INDEX($L$2:$L$5001,MATCH($A2616,$A$2:$A$5001,0)))</f>
        <v/>
      </c>
      <c r="N2616" s="48" t="str">
        <f aca="false">IF($A2616="","",IF(N(M2616)=0,"–",IF(M2616&lt;=Start!$D$20,"A",IF(M2616&lt;=Start!$D$21,"B","C"))))</f>
        <v/>
      </c>
      <c r="O2616" s="48" t="str">
        <f aca="false">IF($A2616="","",IF(NOT(ISNUMBER(F2616)),"Wert fehlt; ",IF(F2616&lt;=0,"Wert ist 0; ",""))&amp;IF(NOT(ISNUMBER(E2616)),"Bestand fehlt; ",IF(E2616&lt;0,"Bestand negativ; ",IF(E2616=0,"Nullbestand; ","")))&amp;IF(D2616="","Warengruppe fehlt; ","")&amp;IF(B2616="","Bezeichnung fehlt; ","")&amp;IF(COUNTIFS($A$2:$A$5001,$A2616,$C$2:$C$5001,C2616)&gt;1,"Artikel doppelt im selben Lager; ",""))</f>
        <v/>
      </c>
      <c r="P2616" s="47" t="n">
        <f aca="false">IF(OR($A2616="",D2616=""),0,IF(COUNTIF($D$2:D2616,D2616)=1,SUMIF($D$2:$D$5001,D2616,$H$2:$H$5001)+ROW()/10000000,0))</f>
        <v>0</v>
      </c>
      <c r="Q2616" s="47" t="n">
        <f aca="false">IF(OR($A2616="",C2616=""),0,IF(COUNTIF($C$2:C2616,C2616)=1,SUMIF($C$2:$C$5001,C2616,$H$2:$H$5001)+ROW()/10000000,0))</f>
        <v>0</v>
      </c>
    </row>
    <row r="2617" customFormat="false" ht="15" hidden="false" customHeight="false" outlineLevel="0" collapsed="false">
      <c r="A2617" s="43"/>
      <c r="B2617" s="44"/>
      <c r="C2617" s="44"/>
      <c r="D2617" s="44"/>
      <c r="E2617" s="44"/>
      <c r="F2617" s="44"/>
      <c r="G2617" s="44"/>
      <c r="H2617" s="46" t="str">
        <f aca="false">IF($A2617="","",IF(OR(NOT(ISNUMBER(E2617)),NOT(ISNUMBER(F2617))),"",MAX(0,E2617)*F2617))</f>
        <v/>
      </c>
      <c r="I2617" s="46" t="str">
        <f aca="false">IF($A2617="","",SUMIF($A$2:$A$5001,$A2617,$H$2:$H$5001))</f>
        <v/>
      </c>
      <c r="J2617" s="47" t="n">
        <f aca="false">IF($A2617="",0,IF(COUNTIF($A$2:A2617,$A2617)=1,1,0))</f>
        <v>0</v>
      </c>
      <c r="K2617" s="47" t="n">
        <f aca="false">IF(J2617=1,N(I2617)+ROW()/10000000,0)</f>
        <v>0</v>
      </c>
      <c r="L2617" s="47" t="str">
        <f aca="false">IF(AND(J2617=1,N(I2617)&gt;0),SUMIF($K$2:$K$5001,"&gt;="&amp;K2617,$I$2:$I$5001)/MAX(1,SUM($H$2:$H$5001)),"")</f>
        <v/>
      </c>
      <c r="M2617" s="47" t="str">
        <f aca="false">IF($A2617="","",INDEX($L$2:$L$5001,MATCH($A2617,$A$2:$A$5001,0)))</f>
        <v/>
      </c>
      <c r="N2617" s="48" t="str">
        <f aca="false">IF($A2617="","",IF(N(M2617)=0,"–",IF(M2617&lt;=Start!$D$20,"A",IF(M2617&lt;=Start!$D$21,"B","C"))))</f>
        <v/>
      </c>
      <c r="O2617" s="48" t="str">
        <f aca="false">IF($A2617="","",IF(NOT(ISNUMBER(F2617)),"Wert fehlt; ",IF(F2617&lt;=0,"Wert ist 0; ",""))&amp;IF(NOT(ISNUMBER(E2617)),"Bestand fehlt; ",IF(E2617&lt;0,"Bestand negativ; ",IF(E2617=0,"Nullbestand; ","")))&amp;IF(D2617="","Warengruppe fehlt; ","")&amp;IF(B2617="","Bezeichnung fehlt; ","")&amp;IF(COUNTIFS($A$2:$A$5001,$A2617,$C$2:$C$5001,C2617)&gt;1,"Artikel doppelt im selben Lager; ",""))</f>
        <v/>
      </c>
      <c r="P2617" s="47" t="n">
        <f aca="false">IF(OR($A2617="",D2617=""),0,IF(COUNTIF($D$2:D2617,D2617)=1,SUMIF($D$2:$D$5001,D2617,$H$2:$H$5001)+ROW()/10000000,0))</f>
        <v>0</v>
      </c>
      <c r="Q2617" s="47" t="n">
        <f aca="false">IF(OR($A2617="",C2617=""),0,IF(COUNTIF($C$2:C2617,C2617)=1,SUMIF($C$2:$C$5001,C2617,$H$2:$H$5001)+ROW()/10000000,0))</f>
        <v>0</v>
      </c>
    </row>
    <row r="2618" customFormat="false" ht="15" hidden="false" customHeight="false" outlineLevel="0" collapsed="false">
      <c r="A2618" s="43"/>
      <c r="B2618" s="44"/>
      <c r="C2618" s="44"/>
      <c r="D2618" s="44"/>
      <c r="E2618" s="44"/>
      <c r="F2618" s="44"/>
      <c r="G2618" s="44"/>
      <c r="H2618" s="46" t="str">
        <f aca="false">IF($A2618="","",IF(OR(NOT(ISNUMBER(E2618)),NOT(ISNUMBER(F2618))),"",MAX(0,E2618)*F2618))</f>
        <v/>
      </c>
      <c r="I2618" s="46" t="str">
        <f aca="false">IF($A2618="","",SUMIF($A$2:$A$5001,$A2618,$H$2:$H$5001))</f>
        <v/>
      </c>
      <c r="J2618" s="47" t="n">
        <f aca="false">IF($A2618="",0,IF(COUNTIF($A$2:A2618,$A2618)=1,1,0))</f>
        <v>0</v>
      </c>
      <c r="K2618" s="47" t="n">
        <f aca="false">IF(J2618=1,N(I2618)+ROW()/10000000,0)</f>
        <v>0</v>
      </c>
      <c r="L2618" s="47" t="str">
        <f aca="false">IF(AND(J2618=1,N(I2618)&gt;0),SUMIF($K$2:$K$5001,"&gt;="&amp;K2618,$I$2:$I$5001)/MAX(1,SUM($H$2:$H$5001)),"")</f>
        <v/>
      </c>
      <c r="M2618" s="47" t="str">
        <f aca="false">IF($A2618="","",INDEX($L$2:$L$5001,MATCH($A2618,$A$2:$A$5001,0)))</f>
        <v/>
      </c>
      <c r="N2618" s="48" t="str">
        <f aca="false">IF($A2618="","",IF(N(M2618)=0,"–",IF(M2618&lt;=Start!$D$20,"A",IF(M2618&lt;=Start!$D$21,"B","C"))))</f>
        <v/>
      </c>
      <c r="O2618" s="48" t="str">
        <f aca="false">IF($A2618="","",IF(NOT(ISNUMBER(F2618)),"Wert fehlt; ",IF(F2618&lt;=0,"Wert ist 0; ",""))&amp;IF(NOT(ISNUMBER(E2618)),"Bestand fehlt; ",IF(E2618&lt;0,"Bestand negativ; ",IF(E2618=0,"Nullbestand; ","")))&amp;IF(D2618="","Warengruppe fehlt; ","")&amp;IF(B2618="","Bezeichnung fehlt; ","")&amp;IF(COUNTIFS($A$2:$A$5001,$A2618,$C$2:$C$5001,C2618)&gt;1,"Artikel doppelt im selben Lager; ",""))</f>
        <v/>
      </c>
      <c r="P2618" s="47" t="n">
        <f aca="false">IF(OR($A2618="",D2618=""),0,IF(COUNTIF($D$2:D2618,D2618)=1,SUMIF($D$2:$D$5001,D2618,$H$2:$H$5001)+ROW()/10000000,0))</f>
        <v>0</v>
      </c>
      <c r="Q2618" s="47" t="n">
        <f aca="false">IF(OR($A2618="",C2618=""),0,IF(COUNTIF($C$2:C2618,C2618)=1,SUMIF($C$2:$C$5001,C2618,$H$2:$H$5001)+ROW()/10000000,0))</f>
        <v>0</v>
      </c>
    </row>
    <row r="2619" customFormat="false" ht="15" hidden="false" customHeight="false" outlineLevel="0" collapsed="false">
      <c r="A2619" s="43"/>
      <c r="B2619" s="44"/>
      <c r="C2619" s="44"/>
      <c r="D2619" s="44"/>
      <c r="E2619" s="44"/>
      <c r="F2619" s="44"/>
      <c r="G2619" s="44"/>
      <c r="H2619" s="46" t="str">
        <f aca="false">IF($A2619="","",IF(OR(NOT(ISNUMBER(E2619)),NOT(ISNUMBER(F2619))),"",MAX(0,E2619)*F2619))</f>
        <v/>
      </c>
      <c r="I2619" s="46" t="str">
        <f aca="false">IF($A2619="","",SUMIF($A$2:$A$5001,$A2619,$H$2:$H$5001))</f>
        <v/>
      </c>
      <c r="J2619" s="47" t="n">
        <f aca="false">IF($A2619="",0,IF(COUNTIF($A$2:A2619,$A2619)=1,1,0))</f>
        <v>0</v>
      </c>
      <c r="K2619" s="47" t="n">
        <f aca="false">IF(J2619=1,N(I2619)+ROW()/10000000,0)</f>
        <v>0</v>
      </c>
      <c r="L2619" s="47" t="str">
        <f aca="false">IF(AND(J2619=1,N(I2619)&gt;0),SUMIF($K$2:$K$5001,"&gt;="&amp;K2619,$I$2:$I$5001)/MAX(1,SUM($H$2:$H$5001)),"")</f>
        <v/>
      </c>
      <c r="M2619" s="47" t="str">
        <f aca="false">IF($A2619="","",INDEX($L$2:$L$5001,MATCH($A2619,$A$2:$A$5001,0)))</f>
        <v/>
      </c>
      <c r="N2619" s="48" t="str">
        <f aca="false">IF($A2619="","",IF(N(M2619)=0,"–",IF(M2619&lt;=Start!$D$20,"A",IF(M2619&lt;=Start!$D$21,"B","C"))))</f>
        <v/>
      </c>
      <c r="O2619" s="48" t="str">
        <f aca="false">IF($A2619="","",IF(NOT(ISNUMBER(F2619)),"Wert fehlt; ",IF(F2619&lt;=0,"Wert ist 0; ",""))&amp;IF(NOT(ISNUMBER(E2619)),"Bestand fehlt; ",IF(E2619&lt;0,"Bestand negativ; ",IF(E2619=0,"Nullbestand; ","")))&amp;IF(D2619="","Warengruppe fehlt; ","")&amp;IF(B2619="","Bezeichnung fehlt; ","")&amp;IF(COUNTIFS($A$2:$A$5001,$A2619,$C$2:$C$5001,C2619)&gt;1,"Artikel doppelt im selben Lager; ",""))</f>
        <v/>
      </c>
      <c r="P2619" s="47" t="n">
        <f aca="false">IF(OR($A2619="",D2619=""),0,IF(COUNTIF($D$2:D2619,D2619)=1,SUMIF($D$2:$D$5001,D2619,$H$2:$H$5001)+ROW()/10000000,0))</f>
        <v>0</v>
      </c>
      <c r="Q2619" s="47" t="n">
        <f aca="false">IF(OR($A2619="",C2619=""),0,IF(COUNTIF($C$2:C2619,C2619)=1,SUMIF($C$2:$C$5001,C2619,$H$2:$H$5001)+ROW()/10000000,0))</f>
        <v>0</v>
      </c>
    </row>
    <row r="2620" customFormat="false" ht="15" hidden="false" customHeight="false" outlineLevel="0" collapsed="false">
      <c r="A2620" s="43"/>
      <c r="B2620" s="44"/>
      <c r="C2620" s="44"/>
      <c r="D2620" s="44"/>
      <c r="E2620" s="44"/>
      <c r="F2620" s="44"/>
      <c r="G2620" s="44"/>
      <c r="H2620" s="46" t="str">
        <f aca="false">IF($A2620="","",IF(OR(NOT(ISNUMBER(E2620)),NOT(ISNUMBER(F2620))),"",MAX(0,E2620)*F2620))</f>
        <v/>
      </c>
      <c r="I2620" s="46" t="str">
        <f aca="false">IF($A2620="","",SUMIF($A$2:$A$5001,$A2620,$H$2:$H$5001))</f>
        <v/>
      </c>
      <c r="J2620" s="47" t="n">
        <f aca="false">IF($A2620="",0,IF(COUNTIF($A$2:A2620,$A2620)=1,1,0))</f>
        <v>0</v>
      </c>
      <c r="K2620" s="47" t="n">
        <f aca="false">IF(J2620=1,N(I2620)+ROW()/10000000,0)</f>
        <v>0</v>
      </c>
      <c r="L2620" s="47" t="str">
        <f aca="false">IF(AND(J2620=1,N(I2620)&gt;0),SUMIF($K$2:$K$5001,"&gt;="&amp;K2620,$I$2:$I$5001)/MAX(1,SUM($H$2:$H$5001)),"")</f>
        <v/>
      </c>
      <c r="M2620" s="47" t="str">
        <f aca="false">IF($A2620="","",INDEX($L$2:$L$5001,MATCH($A2620,$A$2:$A$5001,0)))</f>
        <v/>
      </c>
      <c r="N2620" s="48" t="str">
        <f aca="false">IF($A2620="","",IF(N(M2620)=0,"–",IF(M2620&lt;=Start!$D$20,"A",IF(M2620&lt;=Start!$D$21,"B","C"))))</f>
        <v/>
      </c>
      <c r="O2620" s="48" t="str">
        <f aca="false">IF($A2620="","",IF(NOT(ISNUMBER(F2620)),"Wert fehlt; ",IF(F2620&lt;=0,"Wert ist 0; ",""))&amp;IF(NOT(ISNUMBER(E2620)),"Bestand fehlt; ",IF(E2620&lt;0,"Bestand negativ; ",IF(E2620=0,"Nullbestand; ","")))&amp;IF(D2620="","Warengruppe fehlt; ","")&amp;IF(B2620="","Bezeichnung fehlt; ","")&amp;IF(COUNTIFS($A$2:$A$5001,$A2620,$C$2:$C$5001,C2620)&gt;1,"Artikel doppelt im selben Lager; ",""))</f>
        <v/>
      </c>
      <c r="P2620" s="47" t="n">
        <f aca="false">IF(OR($A2620="",D2620=""),0,IF(COUNTIF($D$2:D2620,D2620)=1,SUMIF($D$2:$D$5001,D2620,$H$2:$H$5001)+ROW()/10000000,0))</f>
        <v>0</v>
      </c>
      <c r="Q2620" s="47" t="n">
        <f aca="false">IF(OR($A2620="",C2620=""),0,IF(COUNTIF($C$2:C2620,C2620)=1,SUMIF($C$2:$C$5001,C2620,$H$2:$H$5001)+ROW()/10000000,0))</f>
        <v>0</v>
      </c>
    </row>
    <row r="2621" customFormat="false" ht="15" hidden="false" customHeight="false" outlineLevel="0" collapsed="false">
      <c r="A2621" s="43"/>
      <c r="B2621" s="44"/>
      <c r="C2621" s="44"/>
      <c r="D2621" s="44"/>
      <c r="E2621" s="44"/>
      <c r="F2621" s="44"/>
      <c r="G2621" s="44"/>
      <c r="H2621" s="46" t="str">
        <f aca="false">IF($A2621="","",IF(OR(NOT(ISNUMBER(E2621)),NOT(ISNUMBER(F2621))),"",MAX(0,E2621)*F2621))</f>
        <v/>
      </c>
      <c r="I2621" s="46" t="str">
        <f aca="false">IF($A2621="","",SUMIF($A$2:$A$5001,$A2621,$H$2:$H$5001))</f>
        <v/>
      </c>
      <c r="J2621" s="47" t="n">
        <f aca="false">IF($A2621="",0,IF(COUNTIF($A$2:A2621,$A2621)=1,1,0))</f>
        <v>0</v>
      </c>
      <c r="K2621" s="47" t="n">
        <f aca="false">IF(J2621=1,N(I2621)+ROW()/10000000,0)</f>
        <v>0</v>
      </c>
      <c r="L2621" s="47" t="str">
        <f aca="false">IF(AND(J2621=1,N(I2621)&gt;0),SUMIF($K$2:$K$5001,"&gt;="&amp;K2621,$I$2:$I$5001)/MAX(1,SUM($H$2:$H$5001)),"")</f>
        <v/>
      </c>
      <c r="M2621" s="47" t="str">
        <f aca="false">IF($A2621="","",INDEX($L$2:$L$5001,MATCH($A2621,$A$2:$A$5001,0)))</f>
        <v/>
      </c>
      <c r="N2621" s="48" t="str">
        <f aca="false">IF($A2621="","",IF(N(M2621)=0,"–",IF(M2621&lt;=Start!$D$20,"A",IF(M2621&lt;=Start!$D$21,"B","C"))))</f>
        <v/>
      </c>
      <c r="O2621" s="48" t="str">
        <f aca="false">IF($A2621="","",IF(NOT(ISNUMBER(F2621)),"Wert fehlt; ",IF(F2621&lt;=0,"Wert ist 0; ",""))&amp;IF(NOT(ISNUMBER(E2621)),"Bestand fehlt; ",IF(E2621&lt;0,"Bestand negativ; ",IF(E2621=0,"Nullbestand; ","")))&amp;IF(D2621="","Warengruppe fehlt; ","")&amp;IF(B2621="","Bezeichnung fehlt; ","")&amp;IF(COUNTIFS($A$2:$A$5001,$A2621,$C$2:$C$5001,C2621)&gt;1,"Artikel doppelt im selben Lager; ",""))</f>
        <v/>
      </c>
      <c r="P2621" s="47" t="n">
        <f aca="false">IF(OR($A2621="",D2621=""),0,IF(COUNTIF($D$2:D2621,D2621)=1,SUMIF($D$2:$D$5001,D2621,$H$2:$H$5001)+ROW()/10000000,0))</f>
        <v>0</v>
      </c>
      <c r="Q2621" s="47" t="n">
        <f aca="false">IF(OR($A2621="",C2621=""),0,IF(COUNTIF($C$2:C2621,C2621)=1,SUMIF($C$2:$C$5001,C2621,$H$2:$H$5001)+ROW()/10000000,0))</f>
        <v>0</v>
      </c>
    </row>
    <row r="2622" customFormat="false" ht="15" hidden="false" customHeight="false" outlineLevel="0" collapsed="false">
      <c r="A2622" s="43"/>
      <c r="B2622" s="44"/>
      <c r="C2622" s="44"/>
      <c r="D2622" s="44"/>
      <c r="E2622" s="44"/>
      <c r="F2622" s="44"/>
      <c r="G2622" s="44"/>
      <c r="H2622" s="46" t="str">
        <f aca="false">IF($A2622="","",IF(OR(NOT(ISNUMBER(E2622)),NOT(ISNUMBER(F2622))),"",MAX(0,E2622)*F2622))</f>
        <v/>
      </c>
      <c r="I2622" s="46" t="str">
        <f aca="false">IF($A2622="","",SUMIF($A$2:$A$5001,$A2622,$H$2:$H$5001))</f>
        <v/>
      </c>
      <c r="J2622" s="47" t="n">
        <f aca="false">IF($A2622="",0,IF(COUNTIF($A$2:A2622,$A2622)=1,1,0))</f>
        <v>0</v>
      </c>
      <c r="K2622" s="47" t="n">
        <f aca="false">IF(J2622=1,N(I2622)+ROW()/10000000,0)</f>
        <v>0</v>
      </c>
      <c r="L2622" s="47" t="str">
        <f aca="false">IF(AND(J2622=1,N(I2622)&gt;0),SUMIF($K$2:$K$5001,"&gt;="&amp;K2622,$I$2:$I$5001)/MAX(1,SUM($H$2:$H$5001)),"")</f>
        <v/>
      </c>
      <c r="M2622" s="47" t="str">
        <f aca="false">IF($A2622="","",INDEX($L$2:$L$5001,MATCH($A2622,$A$2:$A$5001,0)))</f>
        <v/>
      </c>
      <c r="N2622" s="48" t="str">
        <f aca="false">IF($A2622="","",IF(N(M2622)=0,"–",IF(M2622&lt;=Start!$D$20,"A",IF(M2622&lt;=Start!$D$21,"B","C"))))</f>
        <v/>
      </c>
      <c r="O2622" s="48" t="str">
        <f aca="false">IF($A2622="","",IF(NOT(ISNUMBER(F2622)),"Wert fehlt; ",IF(F2622&lt;=0,"Wert ist 0; ",""))&amp;IF(NOT(ISNUMBER(E2622)),"Bestand fehlt; ",IF(E2622&lt;0,"Bestand negativ; ",IF(E2622=0,"Nullbestand; ","")))&amp;IF(D2622="","Warengruppe fehlt; ","")&amp;IF(B2622="","Bezeichnung fehlt; ","")&amp;IF(COUNTIFS($A$2:$A$5001,$A2622,$C$2:$C$5001,C2622)&gt;1,"Artikel doppelt im selben Lager; ",""))</f>
        <v/>
      </c>
      <c r="P2622" s="47" t="n">
        <f aca="false">IF(OR($A2622="",D2622=""),0,IF(COUNTIF($D$2:D2622,D2622)=1,SUMIF($D$2:$D$5001,D2622,$H$2:$H$5001)+ROW()/10000000,0))</f>
        <v>0</v>
      </c>
      <c r="Q2622" s="47" t="n">
        <f aca="false">IF(OR($A2622="",C2622=""),0,IF(COUNTIF($C$2:C2622,C2622)=1,SUMIF($C$2:$C$5001,C2622,$H$2:$H$5001)+ROW()/10000000,0))</f>
        <v>0</v>
      </c>
    </row>
    <row r="2623" customFormat="false" ht="15" hidden="false" customHeight="false" outlineLevel="0" collapsed="false">
      <c r="A2623" s="43"/>
      <c r="B2623" s="44"/>
      <c r="C2623" s="44"/>
      <c r="D2623" s="44"/>
      <c r="E2623" s="44"/>
      <c r="F2623" s="44"/>
      <c r="G2623" s="44"/>
      <c r="H2623" s="46" t="str">
        <f aca="false">IF($A2623="","",IF(OR(NOT(ISNUMBER(E2623)),NOT(ISNUMBER(F2623))),"",MAX(0,E2623)*F2623))</f>
        <v/>
      </c>
      <c r="I2623" s="46" t="str">
        <f aca="false">IF($A2623="","",SUMIF($A$2:$A$5001,$A2623,$H$2:$H$5001))</f>
        <v/>
      </c>
      <c r="J2623" s="47" t="n">
        <f aca="false">IF($A2623="",0,IF(COUNTIF($A$2:A2623,$A2623)=1,1,0))</f>
        <v>0</v>
      </c>
      <c r="K2623" s="47" t="n">
        <f aca="false">IF(J2623=1,N(I2623)+ROW()/10000000,0)</f>
        <v>0</v>
      </c>
      <c r="L2623" s="47" t="str">
        <f aca="false">IF(AND(J2623=1,N(I2623)&gt;0),SUMIF($K$2:$K$5001,"&gt;="&amp;K2623,$I$2:$I$5001)/MAX(1,SUM($H$2:$H$5001)),"")</f>
        <v/>
      </c>
      <c r="M2623" s="47" t="str">
        <f aca="false">IF($A2623="","",INDEX($L$2:$L$5001,MATCH($A2623,$A$2:$A$5001,0)))</f>
        <v/>
      </c>
      <c r="N2623" s="48" t="str">
        <f aca="false">IF($A2623="","",IF(N(M2623)=0,"–",IF(M2623&lt;=Start!$D$20,"A",IF(M2623&lt;=Start!$D$21,"B","C"))))</f>
        <v/>
      </c>
      <c r="O2623" s="48" t="str">
        <f aca="false">IF($A2623="","",IF(NOT(ISNUMBER(F2623)),"Wert fehlt; ",IF(F2623&lt;=0,"Wert ist 0; ",""))&amp;IF(NOT(ISNUMBER(E2623)),"Bestand fehlt; ",IF(E2623&lt;0,"Bestand negativ; ",IF(E2623=0,"Nullbestand; ","")))&amp;IF(D2623="","Warengruppe fehlt; ","")&amp;IF(B2623="","Bezeichnung fehlt; ","")&amp;IF(COUNTIFS($A$2:$A$5001,$A2623,$C$2:$C$5001,C2623)&gt;1,"Artikel doppelt im selben Lager; ",""))</f>
        <v/>
      </c>
      <c r="P2623" s="47" t="n">
        <f aca="false">IF(OR($A2623="",D2623=""),0,IF(COUNTIF($D$2:D2623,D2623)=1,SUMIF($D$2:$D$5001,D2623,$H$2:$H$5001)+ROW()/10000000,0))</f>
        <v>0</v>
      </c>
      <c r="Q2623" s="47" t="n">
        <f aca="false">IF(OR($A2623="",C2623=""),0,IF(COUNTIF($C$2:C2623,C2623)=1,SUMIF($C$2:$C$5001,C2623,$H$2:$H$5001)+ROW()/10000000,0))</f>
        <v>0</v>
      </c>
    </row>
    <row r="2624" customFormat="false" ht="15" hidden="false" customHeight="false" outlineLevel="0" collapsed="false">
      <c r="A2624" s="43"/>
      <c r="B2624" s="44"/>
      <c r="C2624" s="44"/>
      <c r="D2624" s="44"/>
      <c r="E2624" s="44"/>
      <c r="F2624" s="44"/>
      <c r="G2624" s="44"/>
      <c r="H2624" s="46" t="str">
        <f aca="false">IF($A2624="","",IF(OR(NOT(ISNUMBER(E2624)),NOT(ISNUMBER(F2624))),"",MAX(0,E2624)*F2624))</f>
        <v/>
      </c>
      <c r="I2624" s="46" t="str">
        <f aca="false">IF($A2624="","",SUMIF($A$2:$A$5001,$A2624,$H$2:$H$5001))</f>
        <v/>
      </c>
      <c r="J2624" s="47" t="n">
        <f aca="false">IF($A2624="",0,IF(COUNTIF($A$2:A2624,$A2624)=1,1,0))</f>
        <v>0</v>
      </c>
      <c r="K2624" s="47" t="n">
        <f aca="false">IF(J2624=1,N(I2624)+ROW()/10000000,0)</f>
        <v>0</v>
      </c>
      <c r="L2624" s="47" t="str">
        <f aca="false">IF(AND(J2624=1,N(I2624)&gt;0),SUMIF($K$2:$K$5001,"&gt;="&amp;K2624,$I$2:$I$5001)/MAX(1,SUM($H$2:$H$5001)),"")</f>
        <v/>
      </c>
      <c r="M2624" s="47" t="str">
        <f aca="false">IF($A2624="","",INDEX($L$2:$L$5001,MATCH($A2624,$A$2:$A$5001,0)))</f>
        <v/>
      </c>
      <c r="N2624" s="48" t="str">
        <f aca="false">IF($A2624="","",IF(N(M2624)=0,"–",IF(M2624&lt;=Start!$D$20,"A",IF(M2624&lt;=Start!$D$21,"B","C"))))</f>
        <v/>
      </c>
      <c r="O2624" s="48" t="str">
        <f aca="false">IF($A2624="","",IF(NOT(ISNUMBER(F2624)),"Wert fehlt; ",IF(F2624&lt;=0,"Wert ist 0; ",""))&amp;IF(NOT(ISNUMBER(E2624)),"Bestand fehlt; ",IF(E2624&lt;0,"Bestand negativ; ",IF(E2624=0,"Nullbestand; ","")))&amp;IF(D2624="","Warengruppe fehlt; ","")&amp;IF(B2624="","Bezeichnung fehlt; ","")&amp;IF(COUNTIFS($A$2:$A$5001,$A2624,$C$2:$C$5001,C2624)&gt;1,"Artikel doppelt im selben Lager; ",""))</f>
        <v/>
      </c>
      <c r="P2624" s="47" t="n">
        <f aca="false">IF(OR($A2624="",D2624=""),0,IF(COUNTIF($D$2:D2624,D2624)=1,SUMIF($D$2:$D$5001,D2624,$H$2:$H$5001)+ROW()/10000000,0))</f>
        <v>0</v>
      </c>
      <c r="Q2624" s="47" t="n">
        <f aca="false">IF(OR($A2624="",C2624=""),0,IF(COUNTIF($C$2:C2624,C2624)=1,SUMIF($C$2:$C$5001,C2624,$H$2:$H$5001)+ROW()/10000000,0))</f>
        <v>0</v>
      </c>
    </row>
    <row r="2625" customFormat="false" ht="15" hidden="false" customHeight="false" outlineLevel="0" collapsed="false">
      <c r="A2625" s="43"/>
      <c r="B2625" s="44"/>
      <c r="C2625" s="44"/>
      <c r="D2625" s="44"/>
      <c r="E2625" s="44"/>
      <c r="F2625" s="44"/>
      <c r="G2625" s="44"/>
      <c r="H2625" s="46" t="str">
        <f aca="false">IF($A2625="","",IF(OR(NOT(ISNUMBER(E2625)),NOT(ISNUMBER(F2625))),"",MAX(0,E2625)*F2625))</f>
        <v/>
      </c>
      <c r="I2625" s="46" t="str">
        <f aca="false">IF($A2625="","",SUMIF($A$2:$A$5001,$A2625,$H$2:$H$5001))</f>
        <v/>
      </c>
      <c r="J2625" s="47" t="n">
        <f aca="false">IF($A2625="",0,IF(COUNTIF($A$2:A2625,$A2625)=1,1,0))</f>
        <v>0</v>
      </c>
      <c r="K2625" s="47" t="n">
        <f aca="false">IF(J2625=1,N(I2625)+ROW()/10000000,0)</f>
        <v>0</v>
      </c>
      <c r="L2625" s="47" t="str">
        <f aca="false">IF(AND(J2625=1,N(I2625)&gt;0),SUMIF($K$2:$K$5001,"&gt;="&amp;K2625,$I$2:$I$5001)/MAX(1,SUM($H$2:$H$5001)),"")</f>
        <v/>
      </c>
      <c r="M2625" s="47" t="str">
        <f aca="false">IF($A2625="","",INDEX($L$2:$L$5001,MATCH($A2625,$A$2:$A$5001,0)))</f>
        <v/>
      </c>
      <c r="N2625" s="48" t="str">
        <f aca="false">IF($A2625="","",IF(N(M2625)=0,"–",IF(M2625&lt;=Start!$D$20,"A",IF(M2625&lt;=Start!$D$21,"B","C"))))</f>
        <v/>
      </c>
      <c r="O2625" s="48" t="str">
        <f aca="false">IF($A2625="","",IF(NOT(ISNUMBER(F2625)),"Wert fehlt; ",IF(F2625&lt;=0,"Wert ist 0; ",""))&amp;IF(NOT(ISNUMBER(E2625)),"Bestand fehlt; ",IF(E2625&lt;0,"Bestand negativ; ",IF(E2625=0,"Nullbestand; ","")))&amp;IF(D2625="","Warengruppe fehlt; ","")&amp;IF(B2625="","Bezeichnung fehlt; ","")&amp;IF(COUNTIFS($A$2:$A$5001,$A2625,$C$2:$C$5001,C2625)&gt;1,"Artikel doppelt im selben Lager; ",""))</f>
        <v/>
      </c>
      <c r="P2625" s="47" t="n">
        <f aca="false">IF(OR($A2625="",D2625=""),0,IF(COUNTIF($D$2:D2625,D2625)=1,SUMIF($D$2:$D$5001,D2625,$H$2:$H$5001)+ROW()/10000000,0))</f>
        <v>0</v>
      </c>
      <c r="Q2625" s="47" t="n">
        <f aca="false">IF(OR($A2625="",C2625=""),0,IF(COUNTIF($C$2:C2625,C2625)=1,SUMIF($C$2:$C$5001,C2625,$H$2:$H$5001)+ROW()/10000000,0))</f>
        <v>0</v>
      </c>
    </row>
    <row r="2626" customFormat="false" ht="15" hidden="false" customHeight="false" outlineLevel="0" collapsed="false">
      <c r="A2626" s="43"/>
      <c r="B2626" s="44"/>
      <c r="C2626" s="44"/>
      <c r="D2626" s="44"/>
      <c r="E2626" s="44"/>
      <c r="F2626" s="44"/>
      <c r="G2626" s="44"/>
      <c r="H2626" s="46" t="str">
        <f aca="false">IF($A2626="","",IF(OR(NOT(ISNUMBER(E2626)),NOT(ISNUMBER(F2626))),"",MAX(0,E2626)*F2626))</f>
        <v/>
      </c>
      <c r="I2626" s="46" t="str">
        <f aca="false">IF($A2626="","",SUMIF($A$2:$A$5001,$A2626,$H$2:$H$5001))</f>
        <v/>
      </c>
      <c r="J2626" s="47" t="n">
        <f aca="false">IF($A2626="",0,IF(COUNTIF($A$2:A2626,$A2626)=1,1,0))</f>
        <v>0</v>
      </c>
      <c r="K2626" s="47" t="n">
        <f aca="false">IF(J2626=1,N(I2626)+ROW()/10000000,0)</f>
        <v>0</v>
      </c>
      <c r="L2626" s="47" t="str">
        <f aca="false">IF(AND(J2626=1,N(I2626)&gt;0),SUMIF($K$2:$K$5001,"&gt;="&amp;K2626,$I$2:$I$5001)/MAX(1,SUM($H$2:$H$5001)),"")</f>
        <v/>
      </c>
      <c r="M2626" s="47" t="str">
        <f aca="false">IF($A2626="","",INDEX($L$2:$L$5001,MATCH($A2626,$A$2:$A$5001,0)))</f>
        <v/>
      </c>
      <c r="N2626" s="48" t="str">
        <f aca="false">IF($A2626="","",IF(N(M2626)=0,"–",IF(M2626&lt;=Start!$D$20,"A",IF(M2626&lt;=Start!$D$21,"B","C"))))</f>
        <v/>
      </c>
      <c r="O2626" s="48" t="str">
        <f aca="false">IF($A2626="","",IF(NOT(ISNUMBER(F2626)),"Wert fehlt; ",IF(F2626&lt;=0,"Wert ist 0; ",""))&amp;IF(NOT(ISNUMBER(E2626)),"Bestand fehlt; ",IF(E2626&lt;0,"Bestand negativ; ",IF(E2626=0,"Nullbestand; ","")))&amp;IF(D2626="","Warengruppe fehlt; ","")&amp;IF(B2626="","Bezeichnung fehlt; ","")&amp;IF(COUNTIFS($A$2:$A$5001,$A2626,$C$2:$C$5001,C2626)&gt;1,"Artikel doppelt im selben Lager; ",""))</f>
        <v/>
      </c>
      <c r="P2626" s="47" t="n">
        <f aca="false">IF(OR($A2626="",D2626=""),0,IF(COUNTIF($D$2:D2626,D2626)=1,SUMIF($D$2:$D$5001,D2626,$H$2:$H$5001)+ROW()/10000000,0))</f>
        <v>0</v>
      </c>
      <c r="Q2626" s="47" t="n">
        <f aca="false">IF(OR($A2626="",C2626=""),0,IF(COUNTIF($C$2:C2626,C2626)=1,SUMIF($C$2:$C$5001,C2626,$H$2:$H$5001)+ROW()/10000000,0))</f>
        <v>0</v>
      </c>
    </row>
    <row r="2627" customFormat="false" ht="15" hidden="false" customHeight="false" outlineLevel="0" collapsed="false">
      <c r="A2627" s="43"/>
      <c r="B2627" s="44"/>
      <c r="C2627" s="44"/>
      <c r="D2627" s="44"/>
      <c r="E2627" s="44"/>
      <c r="F2627" s="44"/>
      <c r="G2627" s="44"/>
      <c r="H2627" s="46" t="str">
        <f aca="false">IF($A2627="","",IF(OR(NOT(ISNUMBER(E2627)),NOT(ISNUMBER(F2627))),"",MAX(0,E2627)*F2627))</f>
        <v/>
      </c>
      <c r="I2627" s="46" t="str">
        <f aca="false">IF($A2627="","",SUMIF($A$2:$A$5001,$A2627,$H$2:$H$5001))</f>
        <v/>
      </c>
      <c r="J2627" s="47" t="n">
        <f aca="false">IF($A2627="",0,IF(COUNTIF($A$2:A2627,$A2627)=1,1,0))</f>
        <v>0</v>
      </c>
      <c r="K2627" s="47" t="n">
        <f aca="false">IF(J2627=1,N(I2627)+ROW()/10000000,0)</f>
        <v>0</v>
      </c>
      <c r="L2627" s="47" t="str">
        <f aca="false">IF(AND(J2627=1,N(I2627)&gt;0),SUMIF($K$2:$K$5001,"&gt;="&amp;K2627,$I$2:$I$5001)/MAX(1,SUM($H$2:$H$5001)),"")</f>
        <v/>
      </c>
      <c r="M2627" s="47" t="str">
        <f aca="false">IF($A2627="","",INDEX($L$2:$L$5001,MATCH($A2627,$A$2:$A$5001,0)))</f>
        <v/>
      </c>
      <c r="N2627" s="48" t="str">
        <f aca="false">IF($A2627="","",IF(N(M2627)=0,"–",IF(M2627&lt;=Start!$D$20,"A",IF(M2627&lt;=Start!$D$21,"B","C"))))</f>
        <v/>
      </c>
      <c r="O2627" s="48" t="str">
        <f aca="false">IF($A2627="","",IF(NOT(ISNUMBER(F2627)),"Wert fehlt; ",IF(F2627&lt;=0,"Wert ist 0; ",""))&amp;IF(NOT(ISNUMBER(E2627)),"Bestand fehlt; ",IF(E2627&lt;0,"Bestand negativ; ",IF(E2627=0,"Nullbestand; ","")))&amp;IF(D2627="","Warengruppe fehlt; ","")&amp;IF(B2627="","Bezeichnung fehlt; ","")&amp;IF(COUNTIFS($A$2:$A$5001,$A2627,$C$2:$C$5001,C2627)&gt;1,"Artikel doppelt im selben Lager; ",""))</f>
        <v/>
      </c>
      <c r="P2627" s="47" t="n">
        <f aca="false">IF(OR($A2627="",D2627=""),0,IF(COUNTIF($D$2:D2627,D2627)=1,SUMIF($D$2:$D$5001,D2627,$H$2:$H$5001)+ROW()/10000000,0))</f>
        <v>0</v>
      </c>
      <c r="Q2627" s="47" t="n">
        <f aca="false">IF(OR($A2627="",C2627=""),0,IF(COUNTIF($C$2:C2627,C2627)=1,SUMIF($C$2:$C$5001,C2627,$H$2:$H$5001)+ROW()/10000000,0))</f>
        <v>0</v>
      </c>
    </row>
    <row r="2628" customFormat="false" ht="15" hidden="false" customHeight="false" outlineLevel="0" collapsed="false">
      <c r="A2628" s="43"/>
      <c r="B2628" s="44"/>
      <c r="C2628" s="44"/>
      <c r="D2628" s="44"/>
      <c r="E2628" s="44"/>
      <c r="F2628" s="44"/>
      <c r="G2628" s="44"/>
      <c r="H2628" s="46" t="str">
        <f aca="false">IF($A2628="","",IF(OR(NOT(ISNUMBER(E2628)),NOT(ISNUMBER(F2628))),"",MAX(0,E2628)*F2628))</f>
        <v/>
      </c>
      <c r="I2628" s="46" t="str">
        <f aca="false">IF($A2628="","",SUMIF($A$2:$A$5001,$A2628,$H$2:$H$5001))</f>
        <v/>
      </c>
      <c r="J2628" s="47" t="n">
        <f aca="false">IF($A2628="",0,IF(COUNTIF($A$2:A2628,$A2628)=1,1,0))</f>
        <v>0</v>
      </c>
      <c r="K2628" s="47" t="n">
        <f aca="false">IF(J2628=1,N(I2628)+ROW()/10000000,0)</f>
        <v>0</v>
      </c>
      <c r="L2628" s="47" t="str">
        <f aca="false">IF(AND(J2628=1,N(I2628)&gt;0),SUMIF($K$2:$K$5001,"&gt;="&amp;K2628,$I$2:$I$5001)/MAX(1,SUM($H$2:$H$5001)),"")</f>
        <v/>
      </c>
      <c r="M2628" s="47" t="str">
        <f aca="false">IF($A2628="","",INDEX($L$2:$L$5001,MATCH($A2628,$A$2:$A$5001,0)))</f>
        <v/>
      </c>
      <c r="N2628" s="48" t="str">
        <f aca="false">IF($A2628="","",IF(N(M2628)=0,"–",IF(M2628&lt;=Start!$D$20,"A",IF(M2628&lt;=Start!$D$21,"B","C"))))</f>
        <v/>
      </c>
      <c r="O2628" s="48" t="str">
        <f aca="false">IF($A2628="","",IF(NOT(ISNUMBER(F2628)),"Wert fehlt; ",IF(F2628&lt;=0,"Wert ist 0; ",""))&amp;IF(NOT(ISNUMBER(E2628)),"Bestand fehlt; ",IF(E2628&lt;0,"Bestand negativ; ",IF(E2628=0,"Nullbestand; ","")))&amp;IF(D2628="","Warengruppe fehlt; ","")&amp;IF(B2628="","Bezeichnung fehlt; ","")&amp;IF(COUNTIFS($A$2:$A$5001,$A2628,$C$2:$C$5001,C2628)&gt;1,"Artikel doppelt im selben Lager; ",""))</f>
        <v/>
      </c>
      <c r="P2628" s="47" t="n">
        <f aca="false">IF(OR($A2628="",D2628=""),0,IF(COUNTIF($D$2:D2628,D2628)=1,SUMIF($D$2:$D$5001,D2628,$H$2:$H$5001)+ROW()/10000000,0))</f>
        <v>0</v>
      </c>
      <c r="Q2628" s="47" t="n">
        <f aca="false">IF(OR($A2628="",C2628=""),0,IF(COUNTIF($C$2:C2628,C2628)=1,SUMIF($C$2:$C$5001,C2628,$H$2:$H$5001)+ROW()/10000000,0))</f>
        <v>0</v>
      </c>
    </row>
    <row r="2629" customFormat="false" ht="15" hidden="false" customHeight="false" outlineLevel="0" collapsed="false">
      <c r="A2629" s="43"/>
      <c r="B2629" s="44"/>
      <c r="C2629" s="44"/>
      <c r="D2629" s="44"/>
      <c r="E2629" s="44"/>
      <c r="F2629" s="44"/>
      <c r="G2629" s="44"/>
      <c r="H2629" s="46" t="str">
        <f aca="false">IF($A2629="","",IF(OR(NOT(ISNUMBER(E2629)),NOT(ISNUMBER(F2629))),"",MAX(0,E2629)*F2629))</f>
        <v/>
      </c>
      <c r="I2629" s="46" t="str">
        <f aca="false">IF($A2629="","",SUMIF($A$2:$A$5001,$A2629,$H$2:$H$5001))</f>
        <v/>
      </c>
      <c r="J2629" s="47" t="n">
        <f aca="false">IF($A2629="",0,IF(COUNTIF($A$2:A2629,$A2629)=1,1,0))</f>
        <v>0</v>
      </c>
      <c r="K2629" s="47" t="n">
        <f aca="false">IF(J2629=1,N(I2629)+ROW()/10000000,0)</f>
        <v>0</v>
      </c>
      <c r="L2629" s="47" t="str">
        <f aca="false">IF(AND(J2629=1,N(I2629)&gt;0),SUMIF($K$2:$K$5001,"&gt;="&amp;K2629,$I$2:$I$5001)/MAX(1,SUM($H$2:$H$5001)),"")</f>
        <v/>
      </c>
      <c r="M2629" s="47" t="str">
        <f aca="false">IF($A2629="","",INDEX($L$2:$L$5001,MATCH($A2629,$A$2:$A$5001,0)))</f>
        <v/>
      </c>
      <c r="N2629" s="48" t="str">
        <f aca="false">IF($A2629="","",IF(N(M2629)=0,"–",IF(M2629&lt;=Start!$D$20,"A",IF(M2629&lt;=Start!$D$21,"B","C"))))</f>
        <v/>
      </c>
      <c r="O2629" s="48" t="str">
        <f aca="false">IF($A2629="","",IF(NOT(ISNUMBER(F2629)),"Wert fehlt; ",IF(F2629&lt;=0,"Wert ist 0; ",""))&amp;IF(NOT(ISNUMBER(E2629)),"Bestand fehlt; ",IF(E2629&lt;0,"Bestand negativ; ",IF(E2629=0,"Nullbestand; ","")))&amp;IF(D2629="","Warengruppe fehlt; ","")&amp;IF(B2629="","Bezeichnung fehlt; ","")&amp;IF(COUNTIFS($A$2:$A$5001,$A2629,$C$2:$C$5001,C2629)&gt;1,"Artikel doppelt im selben Lager; ",""))</f>
        <v/>
      </c>
      <c r="P2629" s="47" t="n">
        <f aca="false">IF(OR($A2629="",D2629=""),0,IF(COUNTIF($D$2:D2629,D2629)=1,SUMIF($D$2:$D$5001,D2629,$H$2:$H$5001)+ROW()/10000000,0))</f>
        <v>0</v>
      </c>
      <c r="Q2629" s="47" t="n">
        <f aca="false">IF(OR($A2629="",C2629=""),0,IF(COUNTIF($C$2:C2629,C2629)=1,SUMIF($C$2:$C$5001,C2629,$H$2:$H$5001)+ROW()/10000000,0))</f>
        <v>0</v>
      </c>
    </row>
    <row r="2630" customFormat="false" ht="15" hidden="false" customHeight="false" outlineLevel="0" collapsed="false">
      <c r="A2630" s="43"/>
      <c r="B2630" s="44"/>
      <c r="C2630" s="44"/>
      <c r="D2630" s="44"/>
      <c r="E2630" s="44"/>
      <c r="F2630" s="44"/>
      <c r="G2630" s="44"/>
      <c r="H2630" s="46" t="str">
        <f aca="false">IF($A2630="","",IF(OR(NOT(ISNUMBER(E2630)),NOT(ISNUMBER(F2630))),"",MAX(0,E2630)*F2630))</f>
        <v/>
      </c>
      <c r="I2630" s="46" t="str">
        <f aca="false">IF($A2630="","",SUMIF($A$2:$A$5001,$A2630,$H$2:$H$5001))</f>
        <v/>
      </c>
      <c r="J2630" s="47" t="n">
        <f aca="false">IF($A2630="",0,IF(COUNTIF($A$2:A2630,$A2630)=1,1,0))</f>
        <v>0</v>
      </c>
      <c r="K2630" s="47" t="n">
        <f aca="false">IF(J2630=1,N(I2630)+ROW()/10000000,0)</f>
        <v>0</v>
      </c>
      <c r="L2630" s="47" t="str">
        <f aca="false">IF(AND(J2630=1,N(I2630)&gt;0),SUMIF($K$2:$K$5001,"&gt;="&amp;K2630,$I$2:$I$5001)/MAX(1,SUM($H$2:$H$5001)),"")</f>
        <v/>
      </c>
      <c r="M2630" s="47" t="str">
        <f aca="false">IF($A2630="","",INDEX($L$2:$L$5001,MATCH($A2630,$A$2:$A$5001,0)))</f>
        <v/>
      </c>
      <c r="N2630" s="48" t="str">
        <f aca="false">IF($A2630="","",IF(N(M2630)=0,"–",IF(M2630&lt;=Start!$D$20,"A",IF(M2630&lt;=Start!$D$21,"B","C"))))</f>
        <v/>
      </c>
      <c r="O2630" s="48" t="str">
        <f aca="false">IF($A2630="","",IF(NOT(ISNUMBER(F2630)),"Wert fehlt; ",IF(F2630&lt;=0,"Wert ist 0; ",""))&amp;IF(NOT(ISNUMBER(E2630)),"Bestand fehlt; ",IF(E2630&lt;0,"Bestand negativ; ",IF(E2630=0,"Nullbestand; ","")))&amp;IF(D2630="","Warengruppe fehlt; ","")&amp;IF(B2630="","Bezeichnung fehlt; ","")&amp;IF(COUNTIFS($A$2:$A$5001,$A2630,$C$2:$C$5001,C2630)&gt;1,"Artikel doppelt im selben Lager; ",""))</f>
        <v/>
      </c>
      <c r="P2630" s="47" t="n">
        <f aca="false">IF(OR($A2630="",D2630=""),0,IF(COUNTIF($D$2:D2630,D2630)=1,SUMIF($D$2:$D$5001,D2630,$H$2:$H$5001)+ROW()/10000000,0))</f>
        <v>0</v>
      </c>
      <c r="Q2630" s="47" t="n">
        <f aca="false">IF(OR($A2630="",C2630=""),0,IF(COUNTIF($C$2:C2630,C2630)=1,SUMIF($C$2:$C$5001,C2630,$H$2:$H$5001)+ROW()/10000000,0))</f>
        <v>0</v>
      </c>
    </row>
    <row r="2631" customFormat="false" ht="15" hidden="false" customHeight="false" outlineLevel="0" collapsed="false">
      <c r="A2631" s="43"/>
      <c r="B2631" s="44"/>
      <c r="C2631" s="44"/>
      <c r="D2631" s="44"/>
      <c r="E2631" s="44"/>
      <c r="F2631" s="44"/>
      <c r="G2631" s="44"/>
      <c r="H2631" s="46" t="str">
        <f aca="false">IF($A2631="","",IF(OR(NOT(ISNUMBER(E2631)),NOT(ISNUMBER(F2631))),"",MAX(0,E2631)*F2631))</f>
        <v/>
      </c>
      <c r="I2631" s="46" t="str">
        <f aca="false">IF($A2631="","",SUMIF($A$2:$A$5001,$A2631,$H$2:$H$5001))</f>
        <v/>
      </c>
      <c r="J2631" s="47" t="n">
        <f aca="false">IF($A2631="",0,IF(COUNTIF($A$2:A2631,$A2631)=1,1,0))</f>
        <v>0</v>
      </c>
      <c r="K2631" s="47" t="n">
        <f aca="false">IF(J2631=1,N(I2631)+ROW()/10000000,0)</f>
        <v>0</v>
      </c>
      <c r="L2631" s="47" t="str">
        <f aca="false">IF(AND(J2631=1,N(I2631)&gt;0),SUMIF($K$2:$K$5001,"&gt;="&amp;K2631,$I$2:$I$5001)/MAX(1,SUM($H$2:$H$5001)),"")</f>
        <v/>
      </c>
      <c r="M2631" s="47" t="str">
        <f aca="false">IF($A2631="","",INDEX($L$2:$L$5001,MATCH($A2631,$A$2:$A$5001,0)))</f>
        <v/>
      </c>
      <c r="N2631" s="48" t="str">
        <f aca="false">IF($A2631="","",IF(N(M2631)=0,"–",IF(M2631&lt;=Start!$D$20,"A",IF(M2631&lt;=Start!$D$21,"B","C"))))</f>
        <v/>
      </c>
      <c r="O2631" s="48" t="str">
        <f aca="false">IF($A2631="","",IF(NOT(ISNUMBER(F2631)),"Wert fehlt; ",IF(F2631&lt;=0,"Wert ist 0; ",""))&amp;IF(NOT(ISNUMBER(E2631)),"Bestand fehlt; ",IF(E2631&lt;0,"Bestand negativ; ",IF(E2631=0,"Nullbestand; ","")))&amp;IF(D2631="","Warengruppe fehlt; ","")&amp;IF(B2631="","Bezeichnung fehlt; ","")&amp;IF(COUNTIFS($A$2:$A$5001,$A2631,$C$2:$C$5001,C2631)&gt;1,"Artikel doppelt im selben Lager; ",""))</f>
        <v/>
      </c>
      <c r="P2631" s="47" t="n">
        <f aca="false">IF(OR($A2631="",D2631=""),0,IF(COUNTIF($D$2:D2631,D2631)=1,SUMIF($D$2:$D$5001,D2631,$H$2:$H$5001)+ROW()/10000000,0))</f>
        <v>0</v>
      </c>
      <c r="Q2631" s="47" t="n">
        <f aca="false">IF(OR($A2631="",C2631=""),0,IF(COUNTIF($C$2:C2631,C2631)=1,SUMIF($C$2:$C$5001,C2631,$H$2:$H$5001)+ROW()/10000000,0))</f>
        <v>0</v>
      </c>
    </row>
    <row r="2632" customFormat="false" ht="15" hidden="false" customHeight="false" outlineLevel="0" collapsed="false">
      <c r="A2632" s="43"/>
      <c r="B2632" s="44"/>
      <c r="C2632" s="44"/>
      <c r="D2632" s="44"/>
      <c r="E2632" s="44"/>
      <c r="F2632" s="44"/>
      <c r="G2632" s="44"/>
      <c r="H2632" s="46" t="str">
        <f aca="false">IF($A2632="","",IF(OR(NOT(ISNUMBER(E2632)),NOT(ISNUMBER(F2632))),"",MAX(0,E2632)*F2632))</f>
        <v/>
      </c>
      <c r="I2632" s="46" t="str">
        <f aca="false">IF($A2632="","",SUMIF($A$2:$A$5001,$A2632,$H$2:$H$5001))</f>
        <v/>
      </c>
      <c r="J2632" s="47" t="n">
        <f aca="false">IF($A2632="",0,IF(COUNTIF($A$2:A2632,$A2632)=1,1,0))</f>
        <v>0</v>
      </c>
      <c r="K2632" s="47" t="n">
        <f aca="false">IF(J2632=1,N(I2632)+ROW()/10000000,0)</f>
        <v>0</v>
      </c>
      <c r="L2632" s="47" t="str">
        <f aca="false">IF(AND(J2632=1,N(I2632)&gt;0),SUMIF($K$2:$K$5001,"&gt;="&amp;K2632,$I$2:$I$5001)/MAX(1,SUM($H$2:$H$5001)),"")</f>
        <v/>
      </c>
      <c r="M2632" s="47" t="str">
        <f aca="false">IF($A2632="","",INDEX($L$2:$L$5001,MATCH($A2632,$A$2:$A$5001,0)))</f>
        <v/>
      </c>
      <c r="N2632" s="48" t="str">
        <f aca="false">IF($A2632="","",IF(N(M2632)=0,"–",IF(M2632&lt;=Start!$D$20,"A",IF(M2632&lt;=Start!$D$21,"B","C"))))</f>
        <v/>
      </c>
      <c r="O2632" s="48" t="str">
        <f aca="false">IF($A2632="","",IF(NOT(ISNUMBER(F2632)),"Wert fehlt; ",IF(F2632&lt;=0,"Wert ist 0; ",""))&amp;IF(NOT(ISNUMBER(E2632)),"Bestand fehlt; ",IF(E2632&lt;0,"Bestand negativ; ",IF(E2632=0,"Nullbestand; ","")))&amp;IF(D2632="","Warengruppe fehlt; ","")&amp;IF(B2632="","Bezeichnung fehlt; ","")&amp;IF(COUNTIFS($A$2:$A$5001,$A2632,$C$2:$C$5001,C2632)&gt;1,"Artikel doppelt im selben Lager; ",""))</f>
        <v/>
      </c>
      <c r="P2632" s="47" t="n">
        <f aca="false">IF(OR($A2632="",D2632=""),0,IF(COUNTIF($D$2:D2632,D2632)=1,SUMIF($D$2:$D$5001,D2632,$H$2:$H$5001)+ROW()/10000000,0))</f>
        <v>0</v>
      </c>
      <c r="Q2632" s="47" t="n">
        <f aca="false">IF(OR($A2632="",C2632=""),0,IF(COUNTIF($C$2:C2632,C2632)=1,SUMIF($C$2:$C$5001,C2632,$H$2:$H$5001)+ROW()/10000000,0))</f>
        <v>0</v>
      </c>
    </row>
    <row r="2633" customFormat="false" ht="15" hidden="false" customHeight="false" outlineLevel="0" collapsed="false">
      <c r="A2633" s="43"/>
      <c r="B2633" s="44"/>
      <c r="C2633" s="44"/>
      <c r="D2633" s="44"/>
      <c r="E2633" s="44"/>
      <c r="F2633" s="44"/>
      <c r="G2633" s="44"/>
      <c r="H2633" s="46" t="str">
        <f aca="false">IF($A2633="","",IF(OR(NOT(ISNUMBER(E2633)),NOT(ISNUMBER(F2633))),"",MAX(0,E2633)*F2633))</f>
        <v/>
      </c>
      <c r="I2633" s="46" t="str">
        <f aca="false">IF($A2633="","",SUMIF($A$2:$A$5001,$A2633,$H$2:$H$5001))</f>
        <v/>
      </c>
      <c r="J2633" s="47" t="n">
        <f aca="false">IF($A2633="",0,IF(COUNTIF($A$2:A2633,$A2633)=1,1,0))</f>
        <v>0</v>
      </c>
      <c r="K2633" s="47" t="n">
        <f aca="false">IF(J2633=1,N(I2633)+ROW()/10000000,0)</f>
        <v>0</v>
      </c>
      <c r="L2633" s="47" t="str">
        <f aca="false">IF(AND(J2633=1,N(I2633)&gt;0),SUMIF($K$2:$K$5001,"&gt;="&amp;K2633,$I$2:$I$5001)/MAX(1,SUM($H$2:$H$5001)),"")</f>
        <v/>
      </c>
      <c r="M2633" s="47" t="str">
        <f aca="false">IF($A2633="","",INDEX($L$2:$L$5001,MATCH($A2633,$A$2:$A$5001,0)))</f>
        <v/>
      </c>
      <c r="N2633" s="48" t="str">
        <f aca="false">IF($A2633="","",IF(N(M2633)=0,"–",IF(M2633&lt;=Start!$D$20,"A",IF(M2633&lt;=Start!$D$21,"B","C"))))</f>
        <v/>
      </c>
      <c r="O2633" s="48" t="str">
        <f aca="false">IF($A2633="","",IF(NOT(ISNUMBER(F2633)),"Wert fehlt; ",IF(F2633&lt;=0,"Wert ist 0; ",""))&amp;IF(NOT(ISNUMBER(E2633)),"Bestand fehlt; ",IF(E2633&lt;0,"Bestand negativ; ",IF(E2633=0,"Nullbestand; ","")))&amp;IF(D2633="","Warengruppe fehlt; ","")&amp;IF(B2633="","Bezeichnung fehlt; ","")&amp;IF(COUNTIFS($A$2:$A$5001,$A2633,$C$2:$C$5001,C2633)&gt;1,"Artikel doppelt im selben Lager; ",""))</f>
        <v/>
      </c>
      <c r="P2633" s="47" t="n">
        <f aca="false">IF(OR($A2633="",D2633=""),0,IF(COUNTIF($D$2:D2633,D2633)=1,SUMIF($D$2:$D$5001,D2633,$H$2:$H$5001)+ROW()/10000000,0))</f>
        <v>0</v>
      </c>
      <c r="Q2633" s="47" t="n">
        <f aca="false">IF(OR($A2633="",C2633=""),0,IF(COUNTIF($C$2:C2633,C2633)=1,SUMIF($C$2:$C$5001,C2633,$H$2:$H$5001)+ROW()/10000000,0))</f>
        <v>0</v>
      </c>
    </row>
    <row r="2634" customFormat="false" ht="15" hidden="false" customHeight="false" outlineLevel="0" collapsed="false">
      <c r="A2634" s="43"/>
      <c r="B2634" s="44"/>
      <c r="C2634" s="44"/>
      <c r="D2634" s="44"/>
      <c r="E2634" s="44"/>
      <c r="F2634" s="44"/>
      <c r="G2634" s="44"/>
      <c r="H2634" s="46" t="str">
        <f aca="false">IF($A2634="","",IF(OR(NOT(ISNUMBER(E2634)),NOT(ISNUMBER(F2634))),"",MAX(0,E2634)*F2634))</f>
        <v/>
      </c>
      <c r="I2634" s="46" t="str">
        <f aca="false">IF($A2634="","",SUMIF($A$2:$A$5001,$A2634,$H$2:$H$5001))</f>
        <v/>
      </c>
      <c r="J2634" s="47" t="n">
        <f aca="false">IF($A2634="",0,IF(COUNTIF($A$2:A2634,$A2634)=1,1,0))</f>
        <v>0</v>
      </c>
      <c r="K2634" s="47" t="n">
        <f aca="false">IF(J2634=1,N(I2634)+ROW()/10000000,0)</f>
        <v>0</v>
      </c>
      <c r="L2634" s="47" t="str">
        <f aca="false">IF(AND(J2634=1,N(I2634)&gt;0),SUMIF($K$2:$K$5001,"&gt;="&amp;K2634,$I$2:$I$5001)/MAX(1,SUM($H$2:$H$5001)),"")</f>
        <v/>
      </c>
      <c r="M2634" s="47" t="str">
        <f aca="false">IF($A2634="","",INDEX($L$2:$L$5001,MATCH($A2634,$A$2:$A$5001,0)))</f>
        <v/>
      </c>
      <c r="N2634" s="48" t="str">
        <f aca="false">IF($A2634="","",IF(N(M2634)=0,"–",IF(M2634&lt;=Start!$D$20,"A",IF(M2634&lt;=Start!$D$21,"B","C"))))</f>
        <v/>
      </c>
      <c r="O2634" s="48" t="str">
        <f aca="false">IF($A2634="","",IF(NOT(ISNUMBER(F2634)),"Wert fehlt; ",IF(F2634&lt;=0,"Wert ist 0; ",""))&amp;IF(NOT(ISNUMBER(E2634)),"Bestand fehlt; ",IF(E2634&lt;0,"Bestand negativ; ",IF(E2634=0,"Nullbestand; ","")))&amp;IF(D2634="","Warengruppe fehlt; ","")&amp;IF(B2634="","Bezeichnung fehlt; ","")&amp;IF(COUNTIFS($A$2:$A$5001,$A2634,$C$2:$C$5001,C2634)&gt;1,"Artikel doppelt im selben Lager; ",""))</f>
        <v/>
      </c>
      <c r="P2634" s="47" t="n">
        <f aca="false">IF(OR($A2634="",D2634=""),0,IF(COUNTIF($D$2:D2634,D2634)=1,SUMIF($D$2:$D$5001,D2634,$H$2:$H$5001)+ROW()/10000000,0))</f>
        <v>0</v>
      </c>
      <c r="Q2634" s="47" t="n">
        <f aca="false">IF(OR($A2634="",C2634=""),0,IF(COUNTIF($C$2:C2634,C2634)=1,SUMIF($C$2:$C$5001,C2634,$H$2:$H$5001)+ROW()/10000000,0))</f>
        <v>0</v>
      </c>
    </row>
    <row r="2635" customFormat="false" ht="15" hidden="false" customHeight="false" outlineLevel="0" collapsed="false">
      <c r="A2635" s="43"/>
      <c r="B2635" s="44"/>
      <c r="C2635" s="44"/>
      <c r="D2635" s="44"/>
      <c r="E2635" s="44"/>
      <c r="F2635" s="44"/>
      <c r="G2635" s="44"/>
      <c r="H2635" s="46" t="str">
        <f aca="false">IF($A2635="","",IF(OR(NOT(ISNUMBER(E2635)),NOT(ISNUMBER(F2635))),"",MAX(0,E2635)*F2635))</f>
        <v/>
      </c>
      <c r="I2635" s="46" t="str">
        <f aca="false">IF($A2635="","",SUMIF($A$2:$A$5001,$A2635,$H$2:$H$5001))</f>
        <v/>
      </c>
      <c r="J2635" s="47" t="n">
        <f aca="false">IF($A2635="",0,IF(COUNTIF($A$2:A2635,$A2635)=1,1,0))</f>
        <v>0</v>
      </c>
      <c r="K2635" s="47" t="n">
        <f aca="false">IF(J2635=1,N(I2635)+ROW()/10000000,0)</f>
        <v>0</v>
      </c>
      <c r="L2635" s="47" t="str">
        <f aca="false">IF(AND(J2635=1,N(I2635)&gt;0),SUMIF($K$2:$K$5001,"&gt;="&amp;K2635,$I$2:$I$5001)/MAX(1,SUM($H$2:$H$5001)),"")</f>
        <v/>
      </c>
      <c r="M2635" s="47" t="str">
        <f aca="false">IF($A2635="","",INDEX($L$2:$L$5001,MATCH($A2635,$A$2:$A$5001,0)))</f>
        <v/>
      </c>
      <c r="N2635" s="48" t="str">
        <f aca="false">IF($A2635="","",IF(N(M2635)=0,"–",IF(M2635&lt;=Start!$D$20,"A",IF(M2635&lt;=Start!$D$21,"B","C"))))</f>
        <v/>
      </c>
      <c r="O2635" s="48" t="str">
        <f aca="false">IF($A2635="","",IF(NOT(ISNUMBER(F2635)),"Wert fehlt; ",IF(F2635&lt;=0,"Wert ist 0; ",""))&amp;IF(NOT(ISNUMBER(E2635)),"Bestand fehlt; ",IF(E2635&lt;0,"Bestand negativ; ",IF(E2635=0,"Nullbestand; ","")))&amp;IF(D2635="","Warengruppe fehlt; ","")&amp;IF(B2635="","Bezeichnung fehlt; ","")&amp;IF(COUNTIFS($A$2:$A$5001,$A2635,$C$2:$C$5001,C2635)&gt;1,"Artikel doppelt im selben Lager; ",""))</f>
        <v/>
      </c>
      <c r="P2635" s="47" t="n">
        <f aca="false">IF(OR($A2635="",D2635=""),0,IF(COUNTIF($D$2:D2635,D2635)=1,SUMIF($D$2:$D$5001,D2635,$H$2:$H$5001)+ROW()/10000000,0))</f>
        <v>0</v>
      </c>
      <c r="Q2635" s="47" t="n">
        <f aca="false">IF(OR($A2635="",C2635=""),0,IF(COUNTIF($C$2:C2635,C2635)=1,SUMIF($C$2:$C$5001,C2635,$H$2:$H$5001)+ROW()/10000000,0))</f>
        <v>0</v>
      </c>
    </row>
    <row r="2636" customFormat="false" ht="15" hidden="false" customHeight="false" outlineLevel="0" collapsed="false">
      <c r="A2636" s="43"/>
      <c r="B2636" s="44"/>
      <c r="C2636" s="44"/>
      <c r="D2636" s="44"/>
      <c r="E2636" s="44"/>
      <c r="F2636" s="44"/>
      <c r="G2636" s="44"/>
      <c r="H2636" s="46" t="str">
        <f aca="false">IF($A2636="","",IF(OR(NOT(ISNUMBER(E2636)),NOT(ISNUMBER(F2636))),"",MAX(0,E2636)*F2636))</f>
        <v/>
      </c>
      <c r="I2636" s="46" t="str">
        <f aca="false">IF($A2636="","",SUMIF($A$2:$A$5001,$A2636,$H$2:$H$5001))</f>
        <v/>
      </c>
      <c r="J2636" s="47" t="n">
        <f aca="false">IF($A2636="",0,IF(COUNTIF($A$2:A2636,$A2636)=1,1,0))</f>
        <v>0</v>
      </c>
      <c r="K2636" s="47" t="n">
        <f aca="false">IF(J2636=1,N(I2636)+ROW()/10000000,0)</f>
        <v>0</v>
      </c>
      <c r="L2636" s="47" t="str">
        <f aca="false">IF(AND(J2636=1,N(I2636)&gt;0),SUMIF($K$2:$K$5001,"&gt;="&amp;K2636,$I$2:$I$5001)/MAX(1,SUM($H$2:$H$5001)),"")</f>
        <v/>
      </c>
      <c r="M2636" s="47" t="str">
        <f aca="false">IF($A2636="","",INDEX($L$2:$L$5001,MATCH($A2636,$A$2:$A$5001,0)))</f>
        <v/>
      </c>
      <c r="N2636" s="48" t="str">
        <f aca="false">IF($A2636="","",IF(N(M2636)=0,"–",IF(M2636&lt;=Start!$D$20,"A",IF(M2636&lt;=Start!$D$21,"B","C"))))</f>
        <v/>
      </c>
      <c r="O2636" s="48" t="str">
        <f aca="false">IF($A2636="","",IF(NOT(ISNUMBER(F2636)),"Wert fehlt; ",IF(F2636&lt;=0,"Wert ist 0; ",""))&amp;IF(NOT(ISNUMBER(E2636)),"Bestand fehlt; ",IF(E2636&lt;0,"Bestand negativ; ",IF(E2636=0,"Nullbestand; ","")))&amp;IF(D2636="","Warengruppe fehlt; ","")&amp;IF(B2636="","Bezeichnung fehlt; ","")&amp;IF(COUNTIFS($A$2:$A$5001,$A2636,$C$2:$C$5001,C2636)&gt;1,"Artikel doppelt im selben Lager; ",""))</f>
        <v/>
      </c>
      <c r="P2636" s="47" t="n">
        <f aca="false">IF(OR($A2636="",D2636=""),0,IF(COUNTIF($D$2:D2636,D2636)=1,SUMIF($D$2:$D$5001,D2636,$H$2:$H$5001)+ROW()/10000000,0))</f>
        <v>0</v>
      </c>
      <c r="Q2636" s="47" t="n">
        <f aca="false">IF(OR($A2636="",C2636=""),0,IF(COUNTIF($C$2:C2636,C2636)=1,SUMIF($C$2:$C$5001,C2636,$H$2:$H$5001)+ROW()/10000000,0))</f>
        <v>0</v>
      </c>
    </row>
    <row r="2637" customFormat="false" ht="15" hidden="false" customHeight="false" outlineLevel="0" collapsed="false">
      <c r="A2637" s="43"/>
      <c r="B2637" s="44"/>
      <c r="C2637" s="44"/>
      <c r="D2637" s="44"/>
      <c r="E2637" s="44"/>
      <c r="F2637" s="44"/>
      <c r="G2637" s="44"/>
      <c r="H2637" s="46" t="str">
        <f aca="false">IF($A2637="","",IF(OR(NOT(ISNUMBER(E2637)),NOT(ISNUMBER(F2637))),"",MAX(0,E2637)*F2637))</f>
        <v/>
      </c>
      <c r="I2637" s="46" t="str">
        <f aca="false">IF($A2637="","",SUMIF($A$2:$A$5001,$A2637,$H$2:$H$5001))</f>
        <v/>
      </c>
      <c r="J2637" s="47" t="n">
        <f aca="false">IF($A2637="",0,IF(COUNTIF($A$2:A2637,$A2637)=1,1,0))</f>
        <v>0</v>
      </c>
      <c r="K2637" s="47" t="n">
        <f aca="false">IF(J2637=1,N(I2637)+ROW()/10000000,0)</f>
        <v>0</v>
      </c>
      <c r="L2637" s="47" t="str">
        <f aca="false">IF(AND(J2637=1,N(I2637)&gt;0),SUMIF($K$2:$K$5001,"&gt;="&amp;K2637,$I$2:$I$5001)/MAX(1,SUM($H$2:$H$5001)),"")</f>
        <v/>
      </c>
      <c r="M2637" s="47" t="str">
        <f aca="false">IF($A2637="","",INDEX($L$2:$L$5001,MATCH($A2637,$A$2:$A$5001,0)))</f>
        <v/>
      </c>
      <c r="N2637" s="48" t="str">
        <f aca="false">IF($A2637="","",IF(N(M2637)=0,"–",IF(M2637&lt;=Start!$D$20,"A",IF(M2637&lt;=Start!$D$21,"B","C"))))</f>
        <v/>
      </c>
      <c r="O2637" s="48" t="str">
        <f aca="false">IF($A2637="","",IF(NOT(ISNUMBER(F2637)),"Wert fehlt; ",IF(F2637&lt;=0,"Wert ist 0; ",""))&amp;IF(NOT(ISNUMBER(E2637)),"Bestand fehlt; ",IF(E2637&lt;0,"Bestand negativ; ",IF(E2637=0,"Nullbestand; ","")))&amp;IF(D2637="","Warengruppe fehlt; ","")&amp;IF(B2637="","Bezeichnung fehlt; ","")&amp;IF(COUNTIFS($A$2:$A$5001,$A2637,$C$2:$C$5001,C2637)&gt;1,"Artikel doppelt im selben Lager; ",""))</f>
        <v/>
      </c>
      <c r="P2637" s="47" t="n">
        <f aca="false">IF(OR($A2637="",D2637=""),0,IF(COUNTIF($D$2:D2637,D2637)=1,SUMIF($D$2:$D$5001,D2637,$H$2:$H$5001)+ROW()/10000000,0))</f>
        <v>0</v>
      </c>
      <c r="Q2637" s="47" t="n">
        <f aca="false">IF(OR($A2637="",C2637=""),0,IF(COUNTIF($C$2:C2637,C2637)=1,SUMIF($C$2:$C$5001,C2637,$H$2:$H$5001)+ROW()/10000000,0))</f>
        <v>0</v>
      </c>
    </row>
    <row r="2638" customFormat="false" ht="15" hidden="false" customHeight="false" outlineLevel="0" collapsed="false">
      <c r="A2638" s="43"/>
      <c r="B2638" s="44"/>
      <c r="C2638" s="44"/>
      <c r="D2638" s="44"/>
      <c r="E2638" s="44"/>
      <c r="F2638" s="44"/>
      <c r="G2638" s="44"/>
      <c r="H2638" s="46" t="str">
        <f aca="false">IF($A2638="","",IF(OR(NOT(ISNUMBER(E2638)),NOT(ISNUMBER(F2638))),"",MAX(0,E2638)*F2638))</f>
        <v/>
      </c>
      <c r="I2638" s="46" t="str">
        <f aca="false">IF($A2638="","",SUMIF($A$2:$A$5001,$A2638,$H$2:$H$5001))</f>
        <v/>
      </c>
      <c r="J2638" s="47" t="n">
        <f aca="false">IF($A2638="",0,IF(COUNTIF($A$2:A2638,$A2638)=1,1,0))</f>
        <v>0</v>
      </c>
      <c r="K2638" s="47" t="n">
        <f aca="false">IF(J2638=1,N(I2638)+ROW()/10000000,0)</f>
        <v>0</v>
      </c>
      <c r="L2638" s="47" t="str">
        <f aca="false">IF(AND(J2638=1,N(I2638)&gt;0),SUMIF($K$2:$K$5001,"&gt;="&amp;K2638,$I$2:$I$5001)/MAX(1,SUM($H$2:$H$5001)),"")</f>
        <v/>
      </c>
      <c r="M2638" s="47" t="str">
        <f aca="false">IF($A2638="","",INDEX($L$2:$L$5001,MATCH($A2638,$A$2:$A$5001,0)))</f>
        <v/>
      </c>
      <c r="N2638" s="48" t="str">
        <f aca="false">IF($A2638="","",IF(N(M2638)=0,"–",IF(M2638&lt;=Start!$D$20,"A",IF(M2638&lt;=Start!$D$21,"B","C"))))</f>
        <v/>
      </c>
      <c r="O2638" s="48" t="str">
        <f aca="false">IF($A2638="","",IF(NOT(ISNUMBER(F2638)),"Wert fehlt; ",IF(F2638&lt;=0,"Wert ist 0; ",""))&amp;IF(NOT(ISNUMBER(E2638)),"Bestand fehlt; ",IF(E2638&lt;0,"Bestand negativ; ",IF(E2638=0,"Nullbestand; ","")))&amp;IF(D2638="","Warengruppe fehlt; ","")&amp;IF(B2638="","Bezeichnung fehlt; ","")&amp;IF(COUNTIFS($A$2:$A$5001,$A2638,$C$2:$C$5001,C2638)&gt;1,"Artikel doppelt im selben Lager; ",""))</f>
        <v/>
      </c>
      <c r="P2638" s="47" t="n">
        <f aca="false">IF(OR($A2638="",D2638=""),0,IF(COUNTIF($D$2:D2638,D2638)=1,SUMIF($D$2:$D$5001,D2638,$H$2:$H$5001)+ROW()/10000000,0))</f>
        <v>0</v>
      </c>
      <c r="Q2638" s="47" t="n">
        <f aca="false">IF(OR($A2638="",C2638=""),0,IF(COUNTIF($C$2:C2638,C2638)=1,SUMIF($C$2:$C$5001,C2638,$H$2:$H$5001)+ROW()/10000000,0))</f>
        <v>0</v>
      </c>
    </row>
    <row r="2639" customFormat="false" ht="15" hidden="false" customHeight="false" outlineLevel="0" collapsed="false">
      <c r="A2639" s="43"/>
      <c r="B2639" s="44"/>
      <c r="C2639" s="44"/>
      <c r="D2639" s="44"/>
      <c r="E2639" s="44"/>
      <c r="F2639" s="44"/>
      <c r="G2639" s="44"/>
      <c r="H2639" s="46" t="str">
        <f aca="false">IF($A2639="","",IF(OR(NOT(ISNUMBER(E2639)),NOT(ISNUMBER(F2639))),"",MAX(0,E2639)*F2639))</f>
        <v/>
      </c>
      <c r="I2639" s="46" t="str">
        <f aca="false">IF($A2639="","",SUMIF($A$2:$A$5001,$A2639,$H$2:$H$5001))</f>
        <v/>
      </c>
      <c r="J2639" s="47" t="n">
        <f aca="false">IF($A2639="",0,IF(COUNTIF($A$2:A2639,$A2639)=1,1,0))</f>
        <v>0</v>
      </c>
      <c r="K2639" s="47" t="n">
        <f aca="false">IF(J2639=1,N(I2639)+ROW()/10000000,0)</f>
        <v>0</v>
      </c>
      <c r="L2639" s="47" t="str">
        <f aca="false">IF(AND(J2639=1,N(I2639)&gt;0),SUMIF($K$2:$K$5001,"&gt;="&amp;K2639,$I$2:$I$5001)/MAX(1,SUM($H$2:$H$5001)),"")</f>
        <v/>
      </c>
      <c r="M2639" s="47" t="str">
        <f aca="false">IF($A2639="","",INDEX($L$2:$L$5001,MATCH($A2639,$A$2:$A$5001,0)))</f>
        <v/>
      </c>
      <c r="N2639" s="48" t="str">
        <f aca="false">IF($A2639="","",IF(N(M2639)=0,"–",IF(M2639&lt;=Start!$D$20,"A",IF(M2639&lt;=Start!$D$21,"B","C"))))</f>
        <v/>
      </c>
      <c r="O2639" s="48" t="str">
        <f aca="false">IF($A2639="","",IF(NOT(ISNUMBER(F2639)),"Wert fehlt; ",IF(F2639&lt;=0,"Wert ist 0; ",""))&amp;IF(NOT(ISNUMBER(E2639)),"Bestand fehlt; ",IF(E2639&lt;0,"Bestand negativ; ",IF(E2639=0,"Nullbestand; ","")))&amp;IF(D2639="","Warengruppe fehlt; ","")&amp;IF(B2639="","Bezeichnung fehlt; ","")&amp;IF(COUNTIFS($A$2:$A$5001,$A2639,$C$2:$C$5001,C2639)&gt;1,"Artikel doppelt im selben Lager; ",""))</f>
        <v/>
      </c>
      <c r="P2639" s="47" t="n">
        <f aca="false">IF(OR($A2639="",D2639=""),0,IF(COUNTIF($D$2:D2639,D2639)=1,SUMIF($D$2:$D$5001,D2639,$H$2:$H$5001)+ROW()/10000000,0))</f>
        <v>0</v>
      </c>
      <c r="Q2639" s="47" t="n">
        <f aca="false">IF(OR($A2639="",C2639=""),0,IF(COUNTIF($C$2:C2639,C2639)=1,SUMIF($C$2:$C$5001,C2639,$H$2:$H$5001)+ROW()/10000000,0))</f>
        <v>0</v>
      </c>
    </row>
    <row r="2640" customFormat="false" ht="15" hidden="false" customHeight="false" outlineLevel="0" collapsed="false">
      <c r="A2640" s="43"/>
      <c r="B2640" s="44"/>
      <c r="C2640" s="44"/>
      <c r="D2640" s="44"/>
      <c r="E2640" s="44"/>
      <c r="F2640" s="44"/>
      <c r="G2640" s="44"/>
      <c r="H2640" s="46" t="str">
        <f aca="false">IF($A2640="","",IF(OR(NOT(ISNUMBER(E2640)),NOT(ISNUMBER(F2640))),"",MAX(0,E2640)*F2640))</f>
        <v/>
      </c>
      <c r="I2640" s="46" t="str">
        <f aca="false">IF($A2640="","",SUMIF($A$2:$A$5001,$A2640,$H$2:$H$5001))</f>
        <v/>
      </c>
      <c r="J2640" s="47" t="n">
        <f aca="false">IF($A2640="",0,IF(COUNTIF($A$2:A2640,$A2640)=1,1,0))</f>
        <v>0</v>
      </c>
      <c r="K2640" s="47" t="n">
        <f aca="false">IF(J2640=1,N(I2640)+ROW()/10000000,0)</f>
        <v>0</v>
      </c>
      <c r="L2640" s="47" t="str">
        <f aca="false">IF(AND(J2640=1,N(I2640)&gt;0),SUMIF($K$2:$K$5001,"&gt;="&amp;K2640,$I$2:$I$5001)/MAX(1,SUM($H$2:$H$5001)),"")</f>
        <v/>
      </c>
      <c r="M2640" s="47" t="str">
        <f aca="false">IF($A2640="","",INDEX($L$2:$L$5001,MATCH($A2640,$A$2:$A$5001,0)))</f>
        <v/>
      </c>
      <c r="N2640" s="48" t="str">
        <f aca="false">IF($A2640="","",IF(N(M2640)=0,"–",IF(M2640&lt;=Start!$D$20,"A",IF(M2640&lt;=Start!$D$21,"B","C"))))</f>
        <v/>
      </c>
      <c r="O2640" s="48" t="str">
        <f aca="false">IF($A2640="","",IF(NOT(ISNUMBER(F2640)),"Wert fehlt; ",IF(F2640&lt;=0,"Wert ist 0; ",""))&amp;IF(NOT(ISNUMBER(E2640)),"Bestand fehlt; ",IF(E2640&lt;0,"Bestand negativ; ",IF(E2640=0,"Nullbestand; ","")))&amp;IF(D2640="","Warengruppe fehlt; ","")&amp;IF(B2640="","Bezeichnung fehlt; ","")&amp;IF(COUNTIFS($A$2:$A$5001,$A2640,$C$2:$C$5001,C2640)&gt;1,"Artikel doppelt im selben Lager; ",""))</f>
        <v/>
      </c>
      <c r="P2640" s="47" t="n">
        <f aca="false">IF(OR($A2640="",D2640=""),0,IF(COUNTIF($D$2:D2640,D2640)=1,SUMIF($D$2:$D$5001,D2640,$H$2:$H$5001)+ROW()/10000000,0))</f>
        <v>0</v>
      </c>
      <c r="Q2640" s="47" t="n">
        <f aca="false">IF(OR($A2640="",C2640=""),0,IF(COUNTIF($C$2:C2640,C2640)=1,SUMIF($C$2:$C$5001,C2640,$H$2:$H$5001)+ROW()/10000000,0))</f>
        <v>0</v>
      </c>
    </row>
    <row r="2641" customFormat="false" ht="15" hidden="false" customHeight="false" outlineLevel="0" collapsed="false">
      <c r="A2641" s="43"/>
      <c r="B2641" s="44"/>
      <c r="C2641" s="44"/>
      <c r="D2641" s="44"/>
      <c r="E2641" s="44"/>
      <c r="F2641" s="44"/>
      <c r="G2641" s="44"/>
      <c r="H2641" s="46" t="str">
        <f aca="false">IF($A2641="","",IF(OR(NOT(ISNUMBER(E2641)),NOT(ISNUMBER(F2641))),"",MAX(0,E2641)*F2641))</f>
        <v/>
      </c>
      <c r="I2641" s="46" t="str">
        <f aca="false">IF($A2641="","",SUMIF($A$2:$A$5001,$A2641,$H$2:$H$5001))</f>
        <v/>
      </c>
      <c r="J2641" s="47" t="n">
        <f aca="false">IF($A2641="",0,IF(COUNTIF($A$2:A2641,$A2641)=1,1,0))</f>
        <v>0</v>
      </c>
      <c r="K2641" s="47" t="n">
        <f aca="false">IF(J2641=1,N(I2641)+ROW()/10000000,0)</f>
        <v>0</v>
      </c>
      <c r="L2641" s="47" t="str">
        <f aca="false">IF(AND(J2641=1,N(I2641)&gt;0),SUMIF($K$2:$K$5001,"&gt;="&amp;K2641,$I$2:$I$5001)/MAX(1,SUM($H$2:$H$5001)),"")</f>
        <v/>
      </c>
      <c r="M2641" s="47" t="str">
        <f aca="false">IF($A2641="","",INDEX($L$2:$L$5001,MATCH($A2641,$A$2:$A$5001,0)))</f>
        <v/>
      </c>
      <c r="N2641" s="48" t="str">
        <f aca="false">IF($A2641="","",IF(N(M2641)=0,"–",IF(M2641&lt;=Start!$D$20,"A",IF(M2641&lt;=Start!$D$21,"B","C"))))</f>
        <v/>
      </c>
      <c r="O2641" s="48" t="str">
        <f aca="false">IF($A2641="","",IF(NOT(ISNUMBER(F2641)),"Wert fehlt; ",IF(F2641&lt;=0,"Wert ist 0; ",""))&amp;IF(NOT(ISNUMBER(E2641)),"Bestand fehlt; ",IF(E2641&lt;0,"Bestand negativ; ",IF(E2641=0,"Nullbestand; ","")))&amp;IF(D2641="","Warengruppe fehlt; ","")&amp;IF(B2641="","Bezeichnung fehlt; ","")&amp;IF(COUNTIFS($A$2:$A$5001,$A2641,$C$2:$C$5001,C2641)&gt;1,"Artikel doppelt im selben Lager; ",""))</f>
        <v/>
      </c>
      <c r="P2641" s="47" t="n">
        <f aca="false">IF(OR($A2641="",D2641=""),0,IF(COUNTIF($D$2:D2641,D2641)=1,SUMIF($D$2:$D$5001,D2641,$H$2:$H$5001)+ROW()/10000000,0))</f>
        <v>0</v>
      </c>
      <c r="Q2641" s="47" t="n">
        <f aca="false">IF(OR($A2641="",C2641=""),0,IF(COUNTIF($C$2:C2641,C2641)=1,SUMIF($C$2:$C$5001,C2641,$H$2:$H$5001)+ROW()/10000000,0))</f>
        <v>0</v>
      </c>
    </row>
    <row r="2642" customFormat="false" ht="15" hidden="false" customHeight="false" outlineLevel="0" collapsed="false">
      <c r="A2642" s="43"/>
      <c r="B2642" s="44"/>
      <c r="C2642" s="44"/>
      <c r="D2642" s="44"/>
      <c r="E2642" s="44"/>
      <c r="F2642" s="44"/>
      <c r="G2642" s="44"/>
      <c r="H2642" s="46" t="str">
        <f aca="false">IF($A2642="","",IF(OR(NOT(ISNUMBER(E2642)),NOT(ISNUMBER(F2642))),"",MAX(0,E2642)*F2642))</f>
        <v/>
      </c>
      <c r="I2642" s="46" t="str">
        <f aca="false">IF($A2642="","",SUMIF($A$2:$A$5001,$A2642,$H$2:$H$5001))</f>
        <v/>
      </c>
      <c r="J2642" s="47" t="n">
        <f aca="false">IF($A2642="",0,IF(COUNTIF($A$2:A2642,$A2642)=1,1,0))</f>
        <v>0</v>
      </c>
      <c r="K2642" s="47" t="n">
        <f aca="false">IF(J2642=1,N(I2642)+ROW()/10000000,0)</f>
        <v>0</v>
      </c>
      <c r="L2642" s="47" t="str">
        <f aca="false">IF(AND(J2642=1,N(I2642)&gt;0),SUMIF($K$2:$K$5001,"&gt;="&amp;K2642,$I$2:$I$5001)/MAX(1,SUM($H$2:$H$5001)),"")</f>
        <v/>
      </c>
      <c r="M2642" s="47" t="str">
        <f aca="false">IF($A2642="","",INDEX($L$2:$L$5001,MATCH($A2642,$A$2:$A$5001,0)))</f>
        <v/>
      </c>
      <c r="N2642" s="48" t="str">
        <f aca="false">IF($A2642="","",IF(N(M2642)=0,"–",IF(M2642&lt;=Start!$D$20,"A",IF(M2642&lt;=Start!$D$21,"B","C"))))</f>
        <v/>
      </c>
      <c r="O2642" s="48" t="str">
        <f aca="false">IF($A2642="","",IF(NOT(ISNUMBER(F2642)),"Wert fehlt; ",IF(F2642&lt;=0,"Wert ist 0; ",""))&amp;IF(NOT(ISNUMBER(E2642)),"Bestand fehlt; ",IF(E2642&lt;0,"Bestand negativ; ",IF(E2642=0,"Nullbestand; ","")))&amp;IF(D2642="","Warengruppe fehlt; ","")&amp;IF(B2642="","Bezeichnung fehlt; ","")&amp;IF(COUNTIFS($A$2:$A$5001,$A2642,$C$2:$C$5001,C2642)&gt;1,"Artikel doppelt im selben Lager; ",""))</f>
        <v/>
      </c>
      <c r="P2642" s="47" t="n">
        <f aca="false">IF(OR($A2642="",D2642=""),0,IF(COUNTIF($D$2:D2642,D2642)=1,SUMIF($D$2:$D$5001,D2642,$H$2:$H$5001)+ROW()/10000000,0))</f>
        <v>0</v>
      </c>
      <c r="Q2642" s="47" t="n">
        <f aca="false">IF(OR($A2642="",C2642=""),0,IF(COUNTIF($C$2:C2642,C2642)=1,SUMIF($C$2:$C$5001,C2642,$H$2:$H$5001)+ROW()/10000000,0))</f>
        <v>0</v>
      </c>
    </row>
    <row r="2643" customFormat="false" ht="15" hidden="false" customHeight="false" outlineLevel="0" collapsed="false">
      <c r="A2643" s="43"/>
      <c r="B2643" s="44"/>
      <c r="C2643" s="44"/>
      <c r="D2643" s="44"/>
      <c r="E2643" s="44"/>
      <c r="F2643" s="44"/>
      <c r="G2643" s="44"/>
      <c r="H2643" s="46" t="str">
        <f aca="false">IF($A2643="","",IF(OR(NOT(ISNUMBER(E2643)),NOT(ISNUMBER(F2643))),"",MAX(0,E2643)*F2643))</f>
        <v/>
      </c>
      <c r="I2643" s="46" t="str">
        <f aca="false">IF($A2643="","",SUMIF($A$2:$A$5001,$A2643,$H$2:$H$5001))</f>
        <v/>
      </c>
      <c r="J2643" s="47" t="n">
        <f aca="false">IF($A2643="",0,IF(COUNTIF($A$2:A2643,$A2643)=1,1,0))</f>
        <v>0</v>
      </c>
      <c r="K2643" s="47" t="n">
        <f aca="false">IF(J2643=1,N(I2643)+ROW()/10000000,0)</f>
        <v>0</v>
      </c>
      <c r="L2643" s="47" t="str">
        <f aca="false">IF(AND(J2643=1,N(I2643)&gt;0),SUMIF($K$2:$K$5001,"&gt;="&amp;K2643,$I$2:$I$5001)/MAX(1,SUM($H$2:$H$5001)),"")</f>
        <v/>
      </c>
      <c r="M2643" s="47" t="str">
        <f aca="false">IF($A2643="","",INDEX($L$2:$L$5001,MATCH($A2643,$A$2:$A$5001,0)))</f>
        <v/>
      </c>
      <c r="N2643" s="48" t="str">
        <f aca="false">IF($A2643="","",IF(N(M2643)=0,"–",IF(M2643&lt;=Start!$D$20,"A",IF(M2643&lt;=Start!$D$21,"B","C"))))</f>
        <v/>
      </c>
      <c r="O2643" s="48" t="str">
        <f aca="false">IF($A2643="","",IF(NOT(ISNUMBER(F2643)),"Wert fehlt; ",IF(F2643&lt;=0,"Wert ist 0; ",""))&amp;IF(NOT(ISNUMBER(E2643)),"Bestand fehlt; ",IF(E2643&lt;0,"Bestand negativ; ",IF(E2643=0,"Nullbestand; ","")))&amp;IF(D2643="","Warengruppe fehlt; ","")&amp;IF(B2643="","Bezeichnung fehlt; ","")&amp;IF(COUNTIFS($A$2:$A$5001,$A2643,$C$2:$C$5001,C2643)&gt;1,"Artikel doppelt im selben Lager; ",""))</f>
        <v/>
      </c>
      <c r="P2643" s="47" t="n">
        <f aca="false">IF(OR($A2643="",D2643=""),0,IF(COUNTIF($D$2:D2643,D2643)=1,SUMIF($D$2:$D$5001,D2643,$H$2:$H$5001)+ROW()/10000000,0))</f>
        <v>0</v>
      </c>
      <c r="Q2643" s="47" t="n">
        <f aca="false">IF(OR($A2643="",C2643=""),0,IF(COUNTIF($C$2:C2643,C2643)=1,SUMIF($C$2:$C$5001,C2643,$H$2:$H$5001)+ROW()/10000000,0))</f>
        <v>0</v>
      </c>
    </row>
    <row r="2644" customFormat="false" ht="15" hidden="false" customHeight="false" outlineLevel="0" collapsed="false">
      <c r="A2644" s="43"/>
      <c r="B2644" s="44"/>
      <c r="C2644" s="44"/>
      <c r="D2644" s="44"/>
      <c r="E2644" s="44"/>
      <c r="F2644" s="44"/>
      <c r="G2644" s="44"/>
      <c r="H2644" s="46" t="str">
        <f aca="false">IF($A2644="","",IF(OR(NOT(ISNUMBER(E2644)),NOT(ISNUMBER(F2644))),"",MAX(0,E2644)*F2644))</f>
        <v/>
      </c>
      <c r="I2644" s="46" t="str">
        <f aca="false">IF($A2644="","",SUMIF($A$2:$A$5001,$A2644,$H$2:$H$5001))</f>
        <v/>
      </c>
      <c r="J2644" s="47" t="n">
        <f aca="false">IF($A2644="",0,IF(COUNTIF($A$2:A2644,$A2644)=1,1,0))</f>
        <v>0</v>
      </c>
      <c r="K2644" s="47" t="n">
        <f aca="false">IF(J2644=1,N(I2644)+ROW()/10000000,0)</f>
        <v>0</v>
      </c>
      <c r="L2644" s="47" t="str">
        <f aca="false">IF(AND(J2644=1,N(I2644)&gt;0),SUMIF($K$2:$K$5001,"&gt;="&amp;K2644,$I$2:$I$5001)/MAX(1,SUM($H$2:$H$5001)),"")</f>
        <v/>
      </c>
      <c r="M2644" s="47" t="str">
        <f aca="false">IF($A2644="","",INDEX($L$2:$L$5001,MATCH($A2644,$A$2:$A$5001,0)))</f>
        <v/>
      </c>
      <c r="N2644" s="48" t="str">
        <f aca="false">IF($A2644="","",IF(N(M2644)=0,"–",IF(M2644&lt;=Start!$D$20,"A",IF(M2644&lt;=Start!$D$21,"B","C"))))</f>
        <v/>
      </c>
      <c r="O2644" s="48" t="str">
        <f aca="false">IF($A2644="","",IF(NOT(ISNUMBER(F2644)),"Wert fehlt; ",IF(F2644&lt;=0,"Wert ist 0; ",""))&amp;IF(NOT(ISNUMBER(E2644)),"Bestand fehlt; ",IF(E2644&lt;0,"Bestand negativ; ",IF(E2644=0,"Nullbestand; ","")))&amp;IF(D2644="","Warengruppe fehlt; ","")&amp;IF(B2644="","Bezeichnung fehlt; ","")&amp;IF(COUNTIFS($A$2:$A$5001,$A2644,$C$2:$C$5001,C2644)&gt;1,"Artikel doppelt im selben Lager; ",""))</f>
        <v/>
      </c>
      <c r="P2644" s="47" t="n">
        <f aca="false">IF(OR($A2644="",D2644=""),0,IF(COUNTIF($D$2:D2644,D2644)=1,SUMIF($D$2:$D$5001,D2644,$H$2:$H$5001)+ROW()/10000000,0))</f>
        <v>0</v>
      </c>
      <c r="Q2644" s="47" t="n">
        <f aca="false">IF(OR($A2644="",C2644=""),0,IF(COUNTIF($C$2:C2644,C2644)=1,SUMIF($C$2:$C$5001,C2644,$H$2:$H$5001)+ROW()/10000000,0))</f>
        <v>0</v>
      </c>
    </row>
    <row r="2645" customFormat="false" ht="15" hidden="false" customHeight="false" outlineLevel="0" collapsed="false">
      <c r="A2645" s="43"/>
      <c r="B2645" s="44"/>
      <c r="C2645" s="44"/>
      <c r="D2645" s="44"/>
      <c r="E2645" s="44"/>
      <c r="F2645" s="44"/>
      <c r="G2645" s="44"/>
      <c r="H2645" s="46" t="str">
        <f aca="false">IF($A2645="","",IF(OR(NOT(ISNUMBER(E2645)),NOT(ISNUMBER(F2645))),"",MAX(0,E2645)*F2645))</f>
        <v/>
      </c>
      <c r="I2645" s="46" t="str">
        <f aca="false">IF($A2645="","",SUMIF($A$2:$A$5001,$A2645,$H$2:$H$5001))</f>
        <v/>
      </c>
      <c r="J2645" s="47" t="n">
        <f aca="false">IF($A2645="",0,IF(COUNTIF($A$2:A2645,$A2645)=1,1,0))</f>
        <v>0</v>
      </c>
      <c r="K2645" s="47" t="n">
        <f aca="false">IF(J2645=1,N(I2645)+ROW()/10000000,0)</f>
        <v>0</v>
      </c>
      <c r="L2645" s="47" t="str">
        <f aca="false">IF(AND(J2645=1,N(I2645)&gt;0),SUMIF($K$2:$K$5001,"&gt;="&amp;K2645,$I$2:$I$5001)/MAX(1,SUM($H$2:$H$5001)),"")</f>
        <v/>
      </c>
      <c r="M2645" s="47" t="str">
        <f aca="false">IF($A2645="","",INDEX($L$2:$L$5001,MATCH($A2645,$A$2:$A$5001,0)))</f>
        <v/>
      </c>
      <c r="N2645" s="48" t="str">
        <f aca="false">IF($A2645="","",IF(N(M2645)=0,"–",IF(M2645&lt;=Start!$D$20,"A",IF(M2645&lt;=Start!$D$21,"B","C"))))</f>
        <v/>
      </c>
      <c r="O2645" s="48" t="str">
        <f aca="false">IF($A2645="","",IF(NOT(ISNUMBER(F2645)),"Wert fehlt; ",IF(F2645&lt;=0,"Wert ist 0; ",""))&amp;IF(NOT(ISNUMBER(E2645)),"Bestand fehlt; ",IF(E2645&lt;0,"Bestand negativ; ",IF(E2645=0,"Nullbestand; ","")))&amp;IF(D2645="","Warengruppe fehlt; ","")&amp;IF(B2645="","Bezeichnung fehlt; ","")&amp;IF(COUNTIFS($A$2:$A$5001,$A2645,$C$2:$C$5001,C2645)&gt;1,"Artikel doppelt im selben Lager; ",""))</f>
        <v/>
      </c>
      <c r="P2645" s="47" t="n">
        <f aca="false">IF(OR($A2645="",D2645=""),0,IF(COUNTIF($D$2:D2645,D2645)=1,SUMIF($D$2:$D$5001,D2645,$H$2:$H$5001)+ROW()/10000000,0))</f>
        <v>0</v>
      </c>
      <c r="Q2645" s="47" t="n">
        <f aca="false">IF(OR($A2645="",C2645=""),0,IF(COUNTIF($C$2:C2645,C2645)=1,SUMIF($C$2:$C$5001,C2645,$H$2:$H$5001)+ROW()/10000000,0))</f>
        <v>0</v>
      </c>
    </row>
    <row r="2646" customFormat="false" ht="15" hidden="false" customHeight="false" outlineLevel="0" collapsed="false">
      <c r="A2646" s="43"/>
      <c r="B2646" s="44"/>
      <c r="C2646" s="44"/>
      <c r="D2646" s="44"/>
      <c r="E2646" s="44"/>
      <c r="F2646" s="44"/>
      <c r="G2646" s="44"/>
      <c r="H2646" s="46" t="str">
        <f aca="false">IF($A2646="","",IF(OR(NOT(ISNUMBER(E2646)),NOT(ISNUMBER(F2646))),"",MAX(0,E2646)*F2646))</f>
        <v/>
      </c>
      <c r="I2646" s="46" t="str">
        <f aca="false">IF($A2646="","",SUMIF($A$2:$A$5001,$A2646,$H$2:$H$5001))</f>
        <v/>
      </c>
      <c r="J2646" s="47" t="n">
        <f aca="false">IF($A2646="",0,IF(COUNTIF($A$2:A2646,$A2646)=1,1,0))</f>
        <v>0</v>
      </c>
      <c r="K2646" s="47" t="n">
        <f aca="false">IF(J2646=1,N(I2646)+ROW()/10000000,0)</f>
        <v>0</v>
      </c>
      <c r="L2646" s="47" t="str">
        <f aca="false">IF(AND(J2646=1,N(I2646)&gt;0),SUMIF($K$2:$K$5001,"&gt;="&amp;K2646,$I$2:$I$5001)/MAX(1,SUM($H$2:$H$5001)),"")</f>
        <v/>
      </c>
      <c r="M2646" s="47" t="str">
        <f aca="false">IF($A2646="","",INDEX($L$2:$L$5001,MATCH($A2646,$A$2:$A$5001,0)))</f>
        <v/>
      </c>
      <c r="N2646" s="48" t="str">
        <f aca="false">IF($A2646="","",IF(N(M2646)=0,"–",IF(M2646&lt;=Start!$D$20,"A",IF(M2646&lt;=Start!$D$21,"B","C"))))</f>
        <v/>
      </c>
      <c r="O2646" s="48" t="str">
        <f aca="false">IF($A2646="","",IF(NOT(ISNUMBER(F2646)),"Wert fehlt; ",IF(F2646&lt;=0,"Wert ist 0; ",""))&amp;IF(NOT(ISNUMBER(E2646)),"Bestand fehlt; ",IF(E2646&lt;0,"Bestand negativ; ",IF(E2646=0,"Nullbestand; ","")))&amp;IF(D2646="","Warengruppe fehlt; ","")&amp;IF(B2646="","Bezeichnung fehlt; ","")&amp;IF(COUNTIFS($A$2:$A$5001,$A2646,$C$2:$C$5001,C2646)&gt;1,"Artikel doppelt im selben Lager; ",""))</f>
        <v/>
      </c>
      <c r="P2646" s="47" t="n">
        <f aca="false">IF(OR($A2646="",D2646=""),0,IF(COUNTIF($D$2:D2646,D2646)=1,SUMIF($D$2:$D$5001,D2646,$H$2:$H$5001)+ROW()/10000000,0))</f>
        <v>0</v>
      </c>
      <c r="Q2646" s="47" t="n">
        <f aca="false">IF(OR($A2646="",C2646=""),0,IF(COUNTIF($C$2:C2646,C2646)=1,SUMIF($C$2:$C$5001,C2646,$H$2:$H$5001)+ROW()/10000000,0))</f>
        <v>0</v>
      </c>
    </row>
    <row r="2647" customFormat="false" ht="15" hidden="false" customHeight="false" outlineLevel="0" collapsed="false">
      <c r="A2647" s="43"/>
      <c r="B2647" s="44"/>
      <c r="C2647" s="44"/>
      <c r="D2647" s="44"/>
      <c r="E2647" s="44"/>
      <c r="F2647" s="44"/>
      <c r="G2647" s="44"/>
      <c r="H2647" s="46" t="str">
        <f aca="false">IF($A2647="","",IF(OR(NOT(ISNUMBER(E2647)),NOT(ISNUMBER(F2647))),"",MAX(0,E2647)*F2647))</f>
        <v/>
      </c>
      <c r="I2647" s="46" t="str">
        <f aca="false">IF($A2647="","",SUMIF($A$2:$A$5001,$A2647,$H$2:$H$5001))</f>
        <v/>
      </c>
      <c r="J2647" s="47" t="n">
        <f aca="false">IF($A2647="",0,IF(COUNTIF($A$2:A2647,$A2647)=1,1,0))</f>
        <v>0</v>
      </c>
      <c r="K2647" s="47" t="n">
        <f aca="false">IF(J2647=1,N(I2647)+ROW()/10000000,0)</f>
        <v>0</v>
      </c>
      <c r="L2647" s="47" t="str">
        <f aca="false">IF(AND(J2647=1,N(I2647)&gt;0),SUMIF($K$2:$K$5001,"&gt;="&amp;K2647,$I$2:$I$5001)/MAX(1,SUM($H$2:$H$5001)),"")</f>
        <v/>
      </c>
      <c r="M2647" s="47" t="str">
        <f aca="false">IF($A2647="","",INDEX($L$2:$L$5001,MATCH($A2647,$A$2:$A$5001,0)))</f>
        <v/>
      </c>
      <c r="N2647" s="48" t="str">
        <f aca="false">IF($A2647="","",IF(N(M2647)=0,"–",IF(M2647&lt;=Start!$D$20,"A",IF(M2647&lt;=Start!$D$21,"B","C"))))</f>
        <v/>
      </c>
      <c r="O2647" s="48" t="str">
        <f aca="false">IF($A2647="","",IF(NOT(ISNUMBER(F2647)),"Wert fehlt; ",IF(F2647&lt;=0,"Wert ist 0; ",""))&amp;IF(NOT(ISNUMBER(E2647)),"Bestand fehlt; ",IF(E2647&lt;0,"Bestand negativ; ",IF(E2647=0,"Nullbestand; ","")))&amp;IF(D2647="","Warengruppe fehlt; ","")&amp;IF(B2647="","Bezeichnung fehlt; ","")&amp;IF(COUNTIFS($A$2:$A$5001,$A2647,$C$2:$C$5001,C2647)&gt;1,"Artikel doppelt im selben Lager; ",""))</f>
        <v/>
      </c>
      <c r="P2647" s="47" t="n">
        <f aca="false">IF(OR($A2647="",D2647=""),0,IF(COUNTIF($D$2:D2647,D2647)=1,SUMIF($D$2:$D$5001,D2647,$H$2:$H$5001)+ROW()/10000000,0))</f>
        <v>0</v>
      </c>
      <c r="Q2647" s="47" t="n">
        <f aca="false">IF(OR($A2647="",C2647=""),0,IF(COUNTIF($C$2:C2647,C2647)=1,SUMIF($C$2:$C$5001,C2647,$H$2:$H$5001)+ROW()/10000000,0))</f>
        <v>0</v>
      </c>
    </row>
    <row r="2648" customFormat="false" ht="15" hidden="false" customHeight="false" outlineLevel="0" collapsed="false">
      <c r="A2648" s="43"/>
      <c r="B2648" s="44"/>
      <c r="C2648" s="44"/>
      <c r="D2648" s="44"/>
      <c r="E2648" s="44"/>
      <c r="F2648" s="44"/>
      <c r="G2648" s="44"/>
      <c r="H2648" s="46" t="str">
        <f aca="false">IF($A2648="","",IF(OR(NOT(ISNUMBER(E2648)),NOT(ISNUMBER(F2648))),"",MAX(0,E2648)*F2648))</f>
        <v/>
      </c>
      <c r="I2648" s="46" t="str">
        <f aca="false">IF($A2648="","",SUMIF($A$2:$A$5001,$A2648,$H$2:$H$5001))</f>
        <v/>
      </c>
      <c r="J2648" s="47" t="n">
        <f aca="false">IF($A2648="",0,IF(COUNTIF($A$2:A2648,$A2648)=1,1,0))</f>
        <v>0</v>
      </c>
      <c r="K2648" s="47" t="n">
        <f aca="false">IF(J2648=1,N(I2648)+ROW()/10000000,0)</f>
        <v>0</v>
      </c>
      <c r="L2648" s="47" t="str">
        <f aca="false">IF(AND(J2648=1,N(I2648)&gt;0),SUMIF($K$2:$K$5001,"&gt;="&amp;K2648,$I$2:$I$5001)/MAX(1,SUM($H$2:$H$5001)),"")</f>
        <v/>
      </c>
      <c r="M2648" s="47" t="str">
        <f aca="false">IF($A2648="","",INDEX($L$2:$L$5001,MATCH($A2648,$A$2:$A$5001,0)))</f>
        <v/>
      </c>
      <c r="N2648" s="48" t="str">
        <f aca="false">IF($A2648="","",IF(N(M2648)=0,"–",IF(M2648&lt;=Start!$D$20,"A",IF(M2648&lt;=Start!$D$21,"B","C"))))</f>
        <v/>
      </c>
      <c r="O2648" s="48" t="str">
        <f aca="false">IF($A2648="","",IF(NOT(ISNUMBER(F2648)),"Wert fehlt; ",IF(F2648&lt;=0,"Wert ist 0; ",""))&amp;IF(NOT(ISNUMBER(E2648)),"Bestand fehlt; ",IF(E2648&lt;0,"Bestand negativ; ",IF(E2648=0,"Nullbestand; ","")))&amp;IF(D2648="","Warengruppe fehlt; ","")&amp;IF(B2648="","Bezeichnung fehlt; ","")&amp;IF(COUNTIFS($A$2:$A$5001,$A2648,$C$2:$C$5001,C2648)&gt;1,"Artikel doppelt im selben Lager; ",""))</f>
        <v/>
      </c>
      <c r="P2648" s="47" t="n">
        <f aca="false">IF(OR($A2648="",D2648=""),0,IF(COUNTIF($D$2:D2648,D2648)=1,SUMIF($D$2:$D$5001,D2648,$H$2:$H$5001)+ROW()/10000000,0))</f>
        <v>0</v>
      </c>
      <c r="Q2648" s="47" t="n">
        <f aca="false">IF(OR($A2648="",C2648=""),0,IF(COUNTIF($C$2:C2648,C2648)=1,SUMIF($C$2:$C$5001,C2648,$H$2:$H$5001)+ROW()/10000000,0))</f>
        <v>0</v>
      </c>
    </row>
    <row r="2649" customFormat="false" ht="15" hidden="false" customHeight="false" outlineLevel="0" collapsed="false">
      <c r="A2649" s="43"/>
      <c r="B2649" s="44"/>
      <c r="C2649" s="44"/>
      <c r="D2649" s="44"/>
      <c r="E2649" s="44"/>
      <c r="F2649" s="44"/>
      <c r="G2649" s="44"/>
      <c r="H2649" s="46" t="str">
        <f aca="false">IF($A2649="","",IF(OR(NOT(ISNUMBER(E2649)),NOT(ISNUMBER(F2649))),"",MAX(0,E2649)*F2649))</f>
        <v/>
      </c>
      <c r="I2649" s="46" t="str">
        <f aca="false">IF($A2649="","",SUMIF($A$2:$A$5001,$A2649,$H$2:$H$5001))</f>
        <v/>
      </c>
      <c r="J2649" s="47" t="n">
        <f aca="false">IF($A2649="",0,IF(COUNTIF($A$2:A2649,$A2649)=1,1,0))</f>
        <v>0</v>
      </c>
      <c r="K2649" s="47" t="n">
        <f aca="false">IF(J2649=1,N(I2649)+ROW()/10000000,0)</f>
        <v>0</v>
      </c>
      <c r="L2649" s="47" t="str">
        <f aca="false">IF(AND(J2649=1,N(I2649)&gt;0),SUMIF($K$2:$K$5001,"&gt;="&amp;K2649,$I$2:$I$5001)/MAX(1,SUM($H$2:$H$5001)),"")</f>
        <v/>
      </c>
      <c r="M2649" s="47" t="str">
        <f aca="false">IF($A2649="","",INDEX($L$2:$L$5001,MATCH($A2649,$A$2:$A$5001,0)))</f>
        <v/>
      </c>
      <c r="N2649" s="48" t="str">
        <f aca="false">IF($A2649="","",IF(N(M2649)=0,"–",IF(M2649&lt;=Start!$D$20,"A",IF(M2649&lt;=Start!$D$21,"B","C"))))</f>
        <v/>
      </c>
      <c r="O2649" s="48" t="str">
        <f aca="false">IF($A2649="","",IF(NOT(ISNUMBER(F2649)),"Wert fehlt; ",IF(F2649&lt;=0,"Wert ist 0; ",""))&amp;IF(NOT(ISNUMBER(E2649)),"Bestand fehlt; ",IF(E2649&lt;0,"Bestand negativ; ",IF(E2649=0,"Nullbestand; ","")))&amp;IF(D2649="","Warengruppe fehlt; ","")&amp;IF(B2649="","Bezeichnung fehlt; ","")&amp;IF(COUNTIFS($A$2:$A$5001,$A2649,$C$2:$C$5001,C2649)&gt;1,"Artikel doppelt im selben Lager; ",""))</f>
        <v/>
      </c>
      <c r="P2649" s="47" t="n">
        <f aca="false">IF(OR($A2649="",D2649=""),0,IF(COUNTIF($D$2:D2649,D2649)=1,SUMIF($D$2:$D$5001,D2649,$H$2:$H$5001)+ROW()/10000000,0))</f>
        <v>0</v>
      </c>
      <c r="Q2649" s="47" t="n">
        <f aca="false">IF(OR($A2649="",C2649=""),0,IF(COUNTIF($C$2:C2649,C2649)=1,SUMIF($C$2:$C$5001,C2649,$H$2:$H$5001)+ROW()/10000000,0))</f>
        <v>0</v>
      </c>
    </row>
    <row r="2650" customFormat="false" ht="15" hidden="false" customHeight="false" outlineLevel="0" collapsed="false">
      <c r="A2650" s="43"/>
      <c r="B2650" s="44"/>
      <c r="C2650" s="44"/>
      <c r="D2650" s="44"/>
      <c r="E2650" s="44"/>
      <c r="F2650" s="44"/>
      <c r="G2650" s="44"/>
      <c r="H2650" s="46" t="str">
        <f aca="false">IF($A2650="","",IF(OR(NOT(ISNUMBER(E2650)),NOT(ISNUMBER(F2650))),"",MAX(0,E2650)*F2650))</f>
        <v/>
      </c>
      <c r="I2650" s="46" t="str">
        <f aca="false">IF($A2650="","",SUMIF($A$2:$A$5001,$A2650,$H$2:$H$5001))</f>
        <v/>
      </c>
      <c r="J2650" s="47" t="n">
        <f aca="false">IF($A2650="",0,IF(COUNTIF($A$2:A2650,$A2650)=1,1,0))</f>
        <v>0</v>
      </c>
      <c r="K2650" s="47" t="n">
        <f aca="false">IF(J2650=1,N(I2650)+ROW()/10000000,0)</f>
        <v>0</v>
      </c>
      <c r="L2650" s="47" t="str">
        <f aca="false">IF(AND(J2650=1,N(I2650)&gt;0),SUMIF($K$2:$K$5001,"&gt;="&amp;K2650,$I$2:$I$5001)/MAX(1,SUM($H$2:$H$5001)),"")</f>
        <v/>
      </c>
      <c r="M2650" s="47" t="str">
        <f aca="false">IF($A2650="","",INDEX($L$2:$L$5001,MATCH($A2650,$A$2:$A$5001,0)))</f>
        <v/>
      </c>
      <c r="N2650" s="48" t="str">
        <f aca="false">IF($A2650="","",IF(N(M2650)=0,"–",IF(M2650&lt;=Start!$D$20,"A",IF(M2650&lt;=Start!$D$21,"B","C"))))</f>
        <v/>
      </c>
      <c r="O2650" s="48" t="str">
        <f aca="false">IF($A2650="","",IF(NOT(ISNUMBER(F2650)),"Wert fehlt; ",IF(F2650&lt;=0,"Wert ist 0; ",""))&amp;IF(NOT(ISNUMBER(E2650)),"Bestand fehlt; ",IF(E2650&lt;0,"Bestand negativ; ",IF(E2650=0,"Nullbestand; ","")))&amp;IF(D2650="","Warengruppe fehlt; ","")&amp;IF(B2650="","Bezeichnung fehlt; ","")&amp;IF(COUNTIFS($A$2:$A$5001,$A2650,$C$2:$C$5001,C2650)&gt;1,"Artikel doppelt im selben Lager; ",""))</f>
        <v/>
      </c>
      <c r="P2650" s="47" t="n">
        <f aca="false">IF(OR($A2650="",D2650=""),0,IF(COUNTIF($D$2:D2650,D2650)=1,SUMIF($D$2:$D$5001,D2650,$H$2:$H$5001)+ROW()/10000000,0))</f>
        <v>0</v>
      </c>
      <c r="Q2650" s="47" t="n">
        <f aca="false">IF(OR($A2650="",C2650=""),0,IF(COUNTIF($C$2:C2650,C2650)=1,SUMIF($C$2:$C$5001,C2650,$H$2:$H$5001)+ROW()/10000000,0))</f>
        <v>0</v>
      </c>
    </row>
    <row r="2651" customFormat="false" ht="15" hidden="false" customHeight="false" outlineLevel="0" collapsed="false">
      <c r="A2651" s="43"/>
      <c r="B2651" s="44"/>
      <c r="C2651" s="44"/>
      <c r="D2651" s="44"/>
      <c r="E2651" s="44"/>
      <c r="F2651" s="44"/>
      <c r="G2651" s="44"/>
      <c r="H2651" s="46" t="str">
        <f aca="false">IF($A2651="","",IF(OR(NOT(ISNUMBER(E2651)),NOT(ISNUMBER(F2651))),"",MAX(0,E2651)*F2651))</f>
        <v/>
      </c>
      <c r="I2651" s="46" t="str">
        <f aca="false">IF($A2651="","",SUMIF($A$2:$A$5001,$A2651,$H$2:$H$5001))</f>
        <v/>
      </c>
      <c r="J2651" s="47" t="n">
        <f aca="false">IF($A2651="",0,IF(COUNTIF($A$2:A2651,$A2651)=1,1,0))</f>
        <v>0</v>
      </c>
      <c r="K2651" s="47" t="n">
        <f aca="false">IF(J2651=1,N(I2651)+ROW()/10000000,0)</f>
        <v>0</v>
      </c>
      <c r="L2651" s="47" t="str">
        <f aca="false">IF(AND(J2651=1,N(I2651)&gt;0),SUMIF($K$2:$K$5001,"&gt;="&amp;K2651,$I$2:$I$5001)/MAX(1,SUM($H$2:$H$5001)),"")</f>
        <v/>
      </c>
      <c r="M2651" s="47" t="str">
        <f aca="false">IF($A2651="","",INDEX($L$2:$L$5001,MATCH($A2651,$A$2:$A$5001,0)))</f>
        <v/>
      </c>
      <c r="N2651" s="48" t="str">
        <f aca="false">IF($A2651="","",IF(N(M2651)=0,"–",IF(M2651&lt;=Start!$D$20,"A",IF(M2651&lt;=Start!$D$21,"B","C"))))</f>
        <v/>
      </c>
      <c r="O2651" s="48" t="str">
        <f aca="false">IF($A2651="","",IF(NOT(ISNUMBER(F2651)),"Wert fehlt; ",IF(F2651&lt;=0,"Wert ist 0; ",""))&amp;IF(NOT(ISNUMBER(E2651)),"Bestand fehlt; ",IF(E2651&lt;0,"Bestand negativ; ",IF(E2651=0,"Nullbestand; ","")))&amp;IF(D2651="","Warengruppe fehlt; ","")&amp;IF(B2651="","Bezeichnung fehlt; ","")&amp;IF(COUNTIFS($A$2:$A$5001,$A2651,$C$2:$C$5001,C2651)&gt;1,"Artikel doppelt im selben Lager; ",""))</f>
        <v/>
      </c>
      <c r="P2651" s="47" t="n">
        <f aca="false">IF(OR($A2651="",D2651=""),0,IF(COUNTIF($D$2:D2651,D2651)=1,SUMIF($D$2:$D$5001,D2651,$H$2:$H$5001)+ROW()/10000000,0))</f>
        <v>0</v>
      </c>
      <c r="Q2651" s="47" t="n">
        <f aca="false">IF(OR($A2651="",C2651=""),0,IF(COUNTIF($C$2:C2651,C2651)=1,SUMIF($C$2:$C$5001,C2651,$H$2:$H$5001)+ROW()/10000000,0))</f>
        <v>0</v>
      </c>
    </row>
    <row r="2652" customFormat="false" ht="15" hidden="false" customHeight="false" outlineLevel="0" collapsed="false">
      <c r="A2652" s="43"/>
      <c r="B2652" s="44"/>
      <c r="C2652" s="44"/>
      <c r="D2652" s="44"/>
      <c r="E2652" s="44"/>
      <c r="F2652" s="44"/>
      <c r="G2652" s="44"/>
      <c r="H2652" s="46" t="str">
        <f aca="false">IF($A2652="","",IF(OR(NOT(ISNUMBER(E2652)),NOT(ISNUMBER(F2652))),"",MAX(0,E2652)*F2652))</f>
        <v/>
      </c>
      <c r="I2652" s="46" t="str">
        <f aca="false">IF($A2652="","",SUMIF($A$2:$A$5001,$A2652,$H$2:$H$5001))</f>
        <v/>
      </c>
      <c r="J2652" s="47" t="n">
        <f aca="false">IF($A2652="",0,IF(COUNTIF($A$2:A2652,$A2652)=1,1,0))</f>
        <v>0</v>
      </c>
      <c r="K2652" s="47" t="n">
        <f aca="false">IF(J2652=1,N(I2652)+ROW()/10000000,0)</f>
        <v>0</v>
      </c>
      <c r="L2652" s="47" t="str">
        <f aca="false">IF(AND(J2652=1,N(I2652)&gt;0),SUMIF($K$2:$K$5001,"&gt;="&amp;K2652,$I$2:$I$5001)/MAX(1,SUM($H$2:$H$5001)),"")</f>
        <v/>
      </c>
      <c r="M2652" s="47" t="str">
        <f aca="false">IF($A2652="","",INDEX($L$2:$L$5001,MATCH($A2652,$A$2:$A$5001,0)))</f>
        <v/>
      </c>
      <c r="N2652" s="48" t="str">
        <f aca="false">IF($A2652="","",IF(N(M2652)=0,"–",IF(M2652&lt;=Start!$D$20,"A",IF(M2652&lt;=Start!$D$21,"B","C"))))</f>
        <v/>
      </c>
      <c r="O2652" s="48" t="str">
        <f aca="false">IF($A2652="","",IF(NOT(ISNUMBER(F2652)),"Wert fehlt; ",IF(F2652&lt;=0,"Wert ist 0; ",""))&amp;IF(NOT(ISNUMBER(E2652)),"Bestand fehlt; ",IF(E2652&lt;0,"Bestand negativ; ",IF(E2652=0,"Nullbestand; ","")))&amp;IF(D2652="","Warengruppe fehlt; ","")&amp;IF(B2652="","Bezeichnung fehlt; ","")&amp;IF(COUNTIFS($A$2:$A$5001,$A2652,$C$2:$C$5001,C2652)&gt;1,"Artikel doppelt im selben Lager; ",""))</f>
        <v/>
      </c>
      <c r="P2652" s="47" t="n">
        <f aca="false">IF(OR($A2652="",D2652=""),0,IF(COUNTIF($D$2:D2652,D2652)=1,SUMIF($D$2:$D$5001,D2652,$H$2:$H$5001)+ROW()/10000000,0))</f>
        <v>0</v>
      </c>
      <c r="Q2652" s="47" t="n">
        <f aca="false">IF(OR($A2652="",C2652=""),0,IF(COUNTIF($C$2:C2652,C2652)=1,SUMIF($C$2:$C$5001,C2652,$H$2:$H$5001)+ROW()/10000000,0))</f>
        <v>0</v>
      </c>
    </row>
    <row r="2653" customFormat="false" ht="15" hidden="false" customHeight="false" outlineLevel="0" collapsed="false">
      <c r="A2653" s="43"/>
      <c r="B2653" s="44"/>
      <c r="C2653" s="44"/>
      <c r="D2653" s="44"/>
      <c r="E2653" s="44"/>
      <c r="F2653" s="44"/>
      <c r="G2653" s="44"/>
      <c r="H2653" s="46" t="str">
        <f aca="false">IF($A2653="","",IF(OR(NOT(ISNUMBER(E2653)),NOT(ISNUMBER(F2653))),"",MAX(0,E2653)*F2653))</f>
        <v/>
      </c>
      <c r="I2653" s="46" t="str">
        <f aca="false">IF($A2653="","",SUMIF($A$2:$A$5001,$A2653,$H$2:$H$5001))</f>
        <v/>
      </c>
      <c r="J2653" s="47" t="n">
        <f aca="false">IF($A2653="",0,IF(COUNTIF($A$2:A2653,$A2653)=1,1,0))</f>
        <v>0</v>
      </c>
      <c r="K2653" s="47" t="n">
        <f aca="false">IF(J2653=1,N(I2653)+ROW()/10000000,0)</f>
        <v>0</v>
      </c>
      <c r="L2653" s="47" t="str">
        <f aca="false">IF(AND(J2653=1,N(I2653)&gt;0),SUMIF($K$2:$K$5001,"&gt;="&amp;K2653,$I$2:$I$5001)/MAX(1,SUM($H$2:$H$5001)),"")</f>
        <v/>
      </c>
      <c r="M2653" s="47" t="str">
        <f aca="false">IF($A2653="","",INDEX($L$2:$L$5001,MATCH($A2653,$A$2:$A$5001,0)))</f>
        <v/>
      </c>
      <c r="N2653" s="48" t="str">
        <f aca="false">IF($A2653="","",IF(N(M2653)=0,"–",IF(M2653&lt;=Start!$D$20,"A",IF(M2653&lt;=Start!$D$21,"B","C"))))</f>
        <v/>
      </c>
      <c r="O2653" s="48" t="str">
        <f aca="false">IF($A2653="","",IF(NOT(ISNUMBER(F2653)),"Wert fehlt; ",IF(F2653&lt;=0,"Wert ist 0; ",""))&amp;IF(NOT(ISNUMBER(E2653)),"Bestand fehlt; ",IF(E2653&lt;0,"Bestand negativ; ",IF(E2653=0,"Nullbestand; ","")))&amp;IF(D2653="","Warengruppe fehlt; ","")&amp;IF(B2653="","Bezeichnung fehlt; ","")&amp;IF(COUNTIFS($A$2:$A$5001,$A2653,$C$2:$C$5001,C2653)&gt;1,"Artikel doppelt im selben Lager; ",""))</f>
        <v/>
      </c>
      <c r="P2653" s="47" t="n">
        <f aca="false">IF(OR($A2653="",D2653=""),0,IF(COUNTIF($D$2:D2653,D2653)=1,SUMIF($D$2:$D$5001,D2653,$H$2:$H$5001)+ROW()/10000000,0))</f>
        <v>0</v>
      </c>
      <c r="Q2653" s="47" t="n">
        <f aca="false">IF(OR($A2653="",C2653=""),0,IF(COUNTIF($C$2:C2653,C2653)=1,SUMIF($C$2:$C$5001,C2653,$H$2:$H$5001)+ROW()/10000000,0))</f>
        <v>0</v>
      </c>
    </row>
    <row r="2654" customFormat="false" ht="15" hidden="false" customHeight="false" outlineLevel="0" collapsed="false">
      <c r="A2654" s="43"/>
      <c r="B2654" s="44"/>
      <c r="C2654" s="44"/>
      <c r="D2654" s="44"/>
      <c r="E2654" s="44"/>
      <c r="F2654" s="44"/>
      <c r="G2654" s="44"/>
      <c r="H2654" s="46" t="str">
        <f aca="false">IF($A2654="","",IF(OR(NOT(ISNUMBER(E2654)),NOT(ISNUMBER(F2654))),"",MAX(0,E2654)*F2654))</f>
        <v/>
      </c>
      <c r="I2654" s="46" t="str">
        <f aca="false">IF($A2654="","",SUMIF($A$2:$A$5001,$A2654,$H$2:$H$5001))</f>
        <v/>
      </c>
      <c r="J2654" s="47" t="n">
        <f aca="false">IF($A2654="",0,IF(COUNTIF($A$2:A2654,$A2654)=1,1,0))</f>
        <v>0</v>
      </c>
      <c r="K2654" s="47" t="n">
        <f aca="false">IF(J2654=1,N(I2654)+ROW()/10000000,0)</f>
        <v>0</v>
      </c>
      <c r="L2654" s="47" t="str">
        <f aca="false">IF(AND(J2654=1,N(I2654)&gt;0),SUMIF($K$2:$K$5001,"&gt;="&amp;K2654,$I$2:$I$5001)/MAX(1,SUM($H$2:$H$5001)),"")</f>
        <v/>
      </c>
      <c r="M2654" s="47" t="str">
        <f aca="false">IF($A2654="","",INDEX($L$2:$L$5001,MATCH($A2654,$A$2:$A$5001,0)))</f>
        <v/>
      </c>
      <c r="N2654" s="48" t="str">
        <f aca="false">IF($A2654="","",IF(N(M2654)=0,"–",IF(M2654&lt;=Start!$D$20,"A",IF(M2654&lt;=Start!$D$21,"B","C"))))</f>
        <v/>
      </c>
      <c r="O2654" s="48" t="str">
        <f aca="false">IF($A2654="","",IF(NOT(ISNUMBER(F2654)),"Wert fehlt; ",IF(F2654&lt;=0,"Wert ist 0; ",""))&amp;IF(NOT(ISNUMBER(E2654)),"Bestand fehlt; ",IF(E2654&lt;0,"Bestand negativ; ",IF(E2654=0,"Nullbestand; ","")))&amp;IF(D2654="","Warengruppe fehlt; ","")&amp;IF(B2654="","Bezeichnung fehlt; ","")&amp;IF(COUNTIFS($A$2:$A$5001,$A2654,$C$2:$C$5001,C2654)&gt;1,"Artikel doppelt im selben Lager; ",""))</f>
        <v/>
      </c>
      <c r="P2654" s="47" t="n">
        <f aca="false">IF(OR($A2654="",D2654=""),0,IF(COUNTIF($D$2:D2654,D2654)=1,SUMIF($D$2:$D$5001,D2654,$H$2:$H$5001)+ROW()/10000000,0))</f>
        <v>0</v>
      </c>
      <c r="Q2654" s="47" t="n">
        <f aca="false">IF(OR($A2654="",C2654=""),0,IF(COUNTIF($C$2:C2654,C2654)=1,SUMIF($C$2:$C$5001,C2654,$H$2:$H$5001)+ROW()/10000000,0))</f>
        <v>0</v>
      </c>
    </row>
    <row r="2655" customFormat="false" ht="15" hidden="false" customHeight="false" outlineLevel="0" collapsed="false">
      <c r="A2655" s="43"/>
      <c r="B2655" s="44"/>
      <c r="C2655" s="44"/>
      <c r="D2655" s="44"/>
      <c r="E2655" s="44"/>
      <c r="F2655" s="44"/>
      <c r="G2655" s="44"/>
      <c r="H2655" s="46" t="str">
        <f aca="false">IF($A2655="","",IF(OR(NOT(ISNUMBER(E2655)),NOT(ISNUMBER(F2655))),"",MAX(0,E2655)*F2655))</f>
        <v/>
      </c>
      <c r="I2655" s="46" t="str">
        <f aca="false">IF($A2655="","",SUMIF($A$2:$A$5001,$A2655,$H$2:$H$5001))</f>
        <v/>
      </c>
      <c r="J2655" s="47" t="n">
        <f aca="false">IF($A2655="",0,IF(COUNTIF($A$2:A2655,$A2655)=1,1,0))</f>
        <v>0</v>
      </c>
      <c r="K2655" s="47" t="n">
        <f aca="false">IF(J2655=1,N(I2655)+ROW()/10000000,0)</f>
        <v>0</v>
      </c>
      <c r="L2655" s="47" t="str">
        <f aca="false">IF(AND(J2655=1,N(I2655)&gt;0),SUMIF($K$2:$K$5001,"&gt;="&amp;K2655,$I$2:$I$5001)/MAX(1,SUM($H$2:$H$5001)),"")</f>
        <v/>
      </c>
      <c r="M2655" s="47" t="str">
        <f aca="false">IF($A2655="","",INDEX($L$2:$L$5001,MATCH($A2655,$A$2:$A$5001,0)))</f>
        <v/>
      </c>
      <c r="N2655" s="48" t="str">
        <f aca="false">IF($A2655="","",IF(N(M2655)=0,"–",IF(M2655&lt;=Start!$D$20,"A",IF(M2655&lt;=Start!$D$21,"B","C"))))</f>
        <v/>
      </c>
      <c r="O2655" s="48" t="str">
        <f aca="false">IF($A2655="","",IF(NOT(ISNUMBER(F2655)),"Wert fehlt; ",IF(F2655&lt;=0,"Wert ist 0; ",""))&amp;IF(NOT(ISNUMBER(E2655)),"Bestand fehlt; ",IF(E2655&lt;0,"Bestand negativ; ",IF(E2655=0,"Nullbestand; ","")))&amp;IF(D2655="","Warengruppe fehlt; ","")&amp;IF(B2655="","Bezeichnung fehlt; ","")&amp;IF(COUNTIFS($A$2:$A$5001,$A2655,$C$2:$C$5001,C2655)&gt;1,"Artikel doppelt im selben Lager; ",""))</f>
        <v/>
      </c>
      <c r="P2655" s="47" t="n">
        <f aca="false">IF(OR($A2655="",D2655=""),0,IF(COUNTIF($D$2:D2655,D2655)=1,SUMIF($D$2:$D$5001,D2655,$H$2:$H$5001)+ROW()/10000000,0))</f>
        <v>0</v>
      </c>
      <c r="Q2655" s="47" t="n">
        <f aca="false">IF(OR($A2655="",C2655=""),0,IF(COUNTIF($C$2:C2655,C2655)=1,SUMIF($C$2:$C$5001,C2655,$H$2:$H$5001)+ROW()/10000000,0))</f>
        <v>0</v>
      </c>
    </row>
    <row r="2656" customFormat="false" ht="15" hidden="false" customHeight="false" outlineLevel="0" collapsed="false">
      <c r="A2656" s="43"/>
      <c r="B2656" s="44"/>
      <c r="C2656" s="44"/>
      <c r="D2656" s="44"/>
      <c r="E2656" s="44"/>
      <c r="F2656" s="44"/>
      <c r="G2656" s="44"/>
      <c r="H2656" s="46" t="str">
        <f aca="false">IF($A2656="","",IF(OR(NOT(ISNUMBER(E2656)),NOT(ISNUMBER(F2656))),"",MAX(0,E2656)*F2656))</f>
        <v/>
      </c>
      <c r="I2656" s="46" t="str">
        <f aca="false">IF($A2656="","",SUMIF($A$2:$A$5001,$A2656,$H$2:$H$5001))</f>
        <v/>
      </c>
      <c r="J2656" s="47" t="n">
        <f aca="false">IF($A2656="",0,IF(COUNTIF($A$2:A2656,$A2656)=1,1,0))</f>
        <v>0</v>
      </c>
      <c r="K2656" s="47" t="n">
        <f aca="false">IF(J2656=1,N(I2656)+ROW()/10000000,0)</f>
        <v>0</v>
      </c>
      <c r="L2656" s="47" t="str">
        <f aca="false">IF(AND(J2656=1,N(I2656)&gt;0),SUMIF($K$2:$K$5001,"&gt;="&amp;K2656,$I$2:$I$5001)/MAX(1,SUM($H$2:$H$5001)),"")</f>
        <v/>
      </c>
      <c r="M2656" s="47" t="str">
        <f aca="false">IF($A2656="","",INDEX($L$2:$L$5001,MATCH($A2656,$A$2:$A$5001,0)))</f>
        <v/>
      </c>
      <c r="N2656" s="48" t="str">
        <f aca="false">IF($A2656="","",IF(N(M2656)=0,"–",IF(M2656&lt;=Start!$D$20,"A",IF(M2656&lt;=Start!$D$21,"B","C"))))</f>
        <v/>
      </c>
      <c r="O2656" s="48" t="str">
        <f aca="false">IF($A2656="","",IF(NOT(ISNUMBER(F2656)),"Wert fehlt; ",IF(F2656&lt;=0,"Wert ist 0; ",""))&amp;IF(NOT(ISNUMBER(E2656)),"Bestand fehlt; ",IF(E2656&lt;0,"Bestand negativ; ",IF(E2656=0,"Nullbestand; ","")))&amp;IF(D2656="","Warengruppe fehlt; ","")&amp;IF(B2656="","Bezeichnung fehlt; ","")&amp;IF(COUNTIFS($A$2:$A$5001,$A2656,$C$2:$C$5001,C2656)&gt;1,"Artikel doppelt im selben Lager; ",""))</f>
        <v/>
      </c>
      <c r="P2656" s="47" t="n">
        <f aca="false">IF(OR($A2656="",D2656=""),0,IF(COUNTIF($D$2:D2656,D2656)=1,SUMIF($D$2:$D$5001,D2656,$H$2:$H$5001)+ROW()/10000000,0))</f>
        <v>0</v>
      </c>
      <c r="Q2656" s="47" t="n">
        <f aca="false">IF(OR($A2656="",C2656=""),0,IF(COUNTIF($C$2:C2656,C2656)=1,SUMIF($C$2:$C$5001,C2656,$H$2:$H$5001)+ROW()/10000000,0))</f>
        <v>0</v>
      </c>
    </row>
    <row r="2657" customFormat="false" ht="15" hidden="false" customHeight="false" outlineLevel="0" collapsed="false">
      <c r="A2657" s="43"/>
      <c r="B2657" s="44"/>
      <c r="C2657" s="44"/>
      <c r="D2657" s="44"/>
      <c r="E2657" s="44"/>
      <c r="F2657" s="44"/>
      <c r="G2657" s="44"/>
      <c r="H2657" s="46" t="str">
        <f aca="false">IF($A2657="","",IF(OR(NOT(ISNUMBER(E2657)),NOT(ISNUMBER(F2657))),"",MAX(0,E2657)*F2657))</f>
        <v/>
      </c>
      <c r="I2657" s="46" t="str">
        <f aca="false">IF($A2657="","",SUMIF($A$2:$A$5001,$A2657,$H$2:$H$5001))</f>
        <v/>
      </c>
      <c r="J2657" s="47" t="n">
        <f aca="false">IF($A2657="",0,IF(COUNTIF($A$2:A2657,$A2657)=1,1,0))</f>
        <v>0</v>
      </c>
      <c r="K2657" s="47" t="n">
        <f aca="false">IF(J2657=1,N(I2657)+ROW()/10000000,0)</f>
        <v>0</v>
      </c>
      <c r="L2657" s="47" t="str">
        <f aca="false">IF(AND(J2657=1,N(I2657)&gt;0),SUMIF($K$2:$K$5001,"&gt;="&amp;K2657,$I$2:$I$5001)/MAX(1,SUM($H$2:$H$5001)),"")</f>
        <v/>
      </c>
      <c r="M2657" s="47" t="str">
        <f aca="false">IF($A2657="","",INDEX($L$2:$L$5001,MATCH($A2657,$A$2:$A$5001,0)))</f>
        <v/>
      </c>
      <c r="N2657" s="48" t="str">
        <f aca="false">IF($A2657="","",IF(N(M2657)=0,"–",IF(M2657&lt;=Start!$D$20,"A",IF(M2657&lt;=Start!$D$21,"B","C"))))</f>
        <v/>
      </c>
      <c r="O2657" s="48" t="str">
        <f aca="false">IF($A2657="","",IF(NOT(ISNUMBER(F2657)),"Wert fehlt; ",IF(F2657&lt;=0,"Wert ist 0; ",""))&amp;IF(NOT(ISNUMBER(E2657)),"Bestand fehlt; ",IF(E2657&lt;0,"Bestand negativ; ",IF(E2657=0,"Nullbestand; ","")))&amp;IF(D2657="","Warengruppe fehlt; ","")&amp;IF(B2657="","Bezeichnung fehlt; ","")&amp;IF(COUNTIFS($A$2:$A$5001,$A2657,$C$2:$C$5001,C2657)&gt;1,"Artikel doppelt im selben Lager; ",""))</f>
        <v/>
      </c>
      <c r="P2657" s="47" t="n">
        <f aca="false">IF(OR($A2657="",D2657=""),0,IF(COUNTIF($D$2:D2657,D2657)=1,SUMIF($D$2:$D$5001,D2657,$H$2:$H$5001)+ROW()/10000000,0))</f>
        <v>0</v>
      </c>
      <c r="Q2657" s="47" t="n">
        <f aca="false">IF(OR($A2657="",C2657=""),0,IF(COUNTIF($C$2:C2657,C2657)=1,SUMIF($C$2:$C$5001,C2657,$H$2:$H$5001)+ROW()/10000000,0))</f>
        <v>0</v>
      </c>
    </row>
    <row r="2658" customFormat="false" ht="15" hidden="false" customHeight="false" outlineLevel="0" collapsed="false">
      <c r="A2658" s="43"/>
      <c r="B2658" s="44"/>
      <c r="C2658" s="44"/>
      <c r="D2658" s="44"/>
      <c r="E2658" s="44"/>
      <c r="F2658" s="44"/>
      <c r="G2658" s="44"/>
      <c r="H2658" s="46" t="str">
        <f aca="false">IF($A2658="","",IF(OR(NOT(ISNUMBER(E2658)),NOT(ISNUMBER(F2658))),"",MAX(0,E2658)*F2658))</f>
        <v/>
      </c>
      <c r="I2658" s="46" t="str">
        <f aca="false">IF($A2658="","",SUMIF($A$2:$A$5001,$A2658,$H$2:$H$5001))</f>
        <v/>
      </c>
      <c r="J2658" s="47" t="n">
        <f aca="false">IF($A2658="",0,IF(COUNTIF($A$2:A2658,$A2658)=1,1,0))</f>
        <v>0</v>
      </c>
      <c r="K2658" s="47" t="n">
        <f aca="false">IF(J2658=1,N(I2658)+ROW()/10000000,0)</f>
        <v>0</v>
      </c>
      <c r="L2658" s="47" t="str">
        <f aca="false">IF(AND(J2658=1,N(I2658)&gt;0),SUMIF($K$2:$K$5001,"&gt;="&amp;K2658,$I$2:$I$5001)/MAX(1,SUM($H$2:$H$5001)),"")</f>
        <v/>
      </c>
      <c r="M2658" s="47" t="str">
        <f aca="false">IF($A2658="","",INDEX($L$2:$L$5001,MATCH($A2658,$A$2:$A$5001,0)))</f>
        <v/>
      </c>
      <c r="N2658" s="48" t="str">
        <f aca="false">IF($A2658="","",IF(N(M2658)=0,"–",IF(M2658&lt;=Start!$D$20,"A",IF(M2658&lt;=Start!$D$21,"B","C"))))</f>
        <v/>
      </c>
      <c r="O2658" s="48" t="str">
        <f aca="false">IF($A2658="","",IF(NOT(ISNUMBER(F2658)),"Wert fehlt; ",IF(F2658&lt;=0,"Wert ist 0; ",""))&amp;IF(NOT(ISNUMBER(E2658)),"Bestand fehlt; ",IF(E2658&lt;0,"Bestand negativ; ",IF(E2658=0,"Nullbestand; ","")))&amp;IF(D2658="","Warengruppe fehlt; ","")&amp;IF(B2658="","Bezeichnung fehlt; ","")&amp;IF(COUNTIFS($A$2:$A$5001,$A2658,$C$2:$C$5001,C2658)&gt;1,"Artikel doppelt im selben Lager; ",""))</f>
        <v/>
      </c>
      <c r="P2658" s="47" t="n">
        <f aca="false">IF(OR($A2658="",D2658=""),0,IF(COUNTIF($D$2:D2658,D2658)=1,SUMIF($D$2:$D$5001,D2658,$H$2:$H$5001)+ROW()/10000000,0))</f>
        <v>0</v>
      </c>
      <c r="Q2658" s="47" t="n">
        <f aca="false">IF(OR($A2658="",C2658=""),0,IF(COUNTIF($C$2:C2658,C2658)=1,SUMIF($C$2:$C$5001,C2658,$H$2:$H$5001)+ROW()/10000000,0))</f>
        <v>0</v>
      </c>
    </row>
    <row r="2659" customFormat="false" ht="15" hidden="false" customHeight="false" outlineLevel="0" collapsed="false">
      <c r="A2659" s="43"/>
      <c r="B2659" s="44"/>
      <c r="C2659" s="44"/>
      <c r="D2659" s="44"/>
      <c r="E2659" s="44"/>
      <c r="F2659" s="44"/>
      <c r="G2659" s="44"/>
      <c r="H2659" s="46" t="str">
        <f aca="false">IF($A2659="","",IF(OR(NOT(ISNUMBER(E2659)),NOT(ISNUMBER(F2659))),"",MAX(0,E2659)*F2659))</f>
        <v/>
      </c>
      <c r="I2659" s="46" t="str">
        <f aca="false">IF($A2659="","",SUMIF($A$2:$A$5001,$A2659,$H$2:$H$5001))</f>
        <v/>
      </c>
      <c r="J2659" s="47" t="n">
        <f aca="false">IF($A2659="",0,IF(COUNTIF($A$2:A2659,$A2659)=1,1,0))</f>
        <v>0</v>
      </c>
      <c r="K2659" s="47" t="n">
        <f aca="false">IF(J2659=1,N(I2659)+ROW()/10000000,0)</f>
        <v>0</v>
      </c>
      <c r="L2659" s="47" t="str">
        <f aca="false">IF(AND(J2659=1,N(I2659)&gt;0),SUMIF($K$2:$K$5001,"&gt;="&amp;K2659,$I$2:$I$5001)/MAX(1,SUM($H$2:$H$5001)),"")</f>
        <v/>
      </c>
      <c r="M2659" s="47" t="str">
        <f aca="false">IF($A2659="","",INDEX($L$2:$L$5001,MATCH($A2659,$A$2:$A$5001,0)))</f>
        <v/>
      </c>
      <c r="N2659" s="48" t="str">
        <f aca="false">IF($A2659="","",IF(N(M2659)=0,"–",IF(M2659&lt;=Start!$D$20,"A",IF(M2659&lt;=Start!$D$21,"B","C"))))</f>
        <v/>
      </c>
      <c r="O2659" s="48" t="str">
        <f aca="false">IF($A2659="","",IF(NOT(ISNUMBER(F2659)),"Wert fehlt; ",IF(F2659&lt;=0,"Wert ist 0; ",""))&amp;IF(NOT(ISNUMBER(E2659)),"Bestand fehlt; ",IF(E2659&lt;0,"Bestand negativ; ",IF(E2659=0,"Nullbestand; ","")))&amp;IF(D2659="","Warengruppe fehlt; ","")&amp;IF(B2659="","Bezeichnung fehlt; ","")&amp;IF(COUNTIFS($A$2:$A$5001,$A2659,$C$2:$C$5001,C2659)&gt;1,"Artikel doppelt im selben Lager; ",""))</f>
        <v/>
      </c>
      <c r="P2659" s="47" t="n">
        <f aca="false">IF(OR($A2659="",D2659=""),0,IF(COUNTIF($D$2:D2659,D2659)=1,SUMIF($D$2:$D$5001,D2659,$H$2:$H$5001)+ROW()/10000000,0))</f>
        <v>0</v>
      </c>
      <c r="Q2659" s="47" t="n">
        <f aca="false">IF(OR($A2659="",C2659=""),0,IF(COUNTIF($C$2:C2659,C2659)=1,SUMIF($C$2:$C$5001,C2659,$H$2:$H$5001)+ROW()/10000000,0))</f>
        <v>0</v>
      </c>
    </row>
    <row r="2660" customFormat="false" ht="15" hidden="false" customHeight="false" outlineLevel="0" collapsed="false">
      <c r="A2660" s="43"/>
      <c r="B2660" s="44"/>
      <c r="C2660" s="44"/>
      <c r="D2660" s="44"/>
      <c r="E2660" s="44"/>
      <c r="F2660" s="44"/>
      <c r="G2660" s="44"/>
      <c r="H2660" s="46" t="str">
        <f aca="false">IF($A2660="","",IF(OR(NOT(ISNUMBER(E2660)),NOT(ISNUMBER(F2660))),"",MAX(0,E2660)*F2660))</f>
        <v/>
      </c>
      <c r="I2660" s="46" t="str">
        <f aca="false">IF($A2660="","",SUMIF($A$2:$A$5001,$A2660,$H$2:$H$5001))</f>
        <v/>
      </c>
      <c r="J2660" s="47" t="n">
        <f aca="false">IF($A2660="",0,IF(COUNTIF($A$2:A2660,$A2660)=1,1,0))</f>
        <v>0</v>
      </c>
      <c r="K2660" s="47" t="n">
        <f aca="false">IF(J2660=1,N(I2660)+ROW()/10000000,0)</f>
        <v>0</v>
      </c>
      <c r="L2660" s="47" t="str">
        <f aca="false">IF(AND(J2660=1,N(I2660)&gt;0),SUMIF($K$2:$K$5001,"&gt;="&amp;K2660,$I$2:$I$5001)/MAX(1,SUM($H$2:$H$5001)),"")</f>
        <v/>
      </c>
      <c r="M2660" s="47" t="str">
        <f aca="false">IF($A2660="","",INDEX($L$2:$L$5001,MATCH($A2660,$A$2:$A$5001,0)))</f>
        <v/>
      </c>
      <c r="N2660" s="48" t="str">
        <f aca="false">IF($A2660="","",IF(N(M2660)=0,"–",IF(M2660&lt;=Start!$D$20,"A",IF(M2660&lt;=Start!$D$21,"B","C"))))</f>
        <v/>
      </c>
      <c r="O2660" s="48" t="str">
        <f aca="false">IF($A2660="","",IF(NOT(ISNUMBER(F2660)),"Wert fehlt; ",IF(F2660&lt;=0,"Wert ist 0; ",""))&amp;IF(NOT(ISNUMBER(E2660)),"Bestand fehlt; ",IF(E2660&lt;0,"Bestand negativ; ",IF(E2660=0,"Nullbestand; ","")))&amp;IF(D2660="","Warengruppe fehlt; ","")&amp;IF(B2660="","Bezeichnung fehlt; ","")&amp;IF(COUNTIFS($A$2:$A$5001,$A2660,$C$2:$C$5001,C2660)&gt;1,"Artikel doppelt im selben Lager; ",""))</f>
        <v/>
      </c>
      <c r="P2660" s="47" t="n">
        <f aca="false">IF(OR($A2660="",D2660=""),0,IF(COUNTIF($D$2:D2660,D2660)=1,SUMIF($D$2:$D$5001,D2660,$H$2:$H$5001)+ROW()/10000000,0))</f>
        <v>0</v>
      </c>
      <c r="Q2660" s="47" t="n">
        <f aca="false">IF(OR($A2660="",C2660=""),0,IF(COUNTIF($C$2:C2660,C2660)=1,SUMIF($C$2:$C$5001,C2660,$H$2:$H$5001)+ROW()/10000000,0))</f>
        <v>0</v>
      </c>
    </row>
    <row r="2661" customFormat="false" ht="15" hidden="false" customHeight="false" outlineLevel="0" collapsed="false">
      <c r="A2661" s="43"/>
      <c r="B2661" s="44"/>
      <c r="C2661" s="44"/>
      <c r="D2661" s="44"/>
      <c r="E2661" s="44"/>
      <c r="F2661" s="44"/>
      <c r="G2661" s="44"/>
      <c r="H2661" s="46" t="str">
        <f aca="false">IF($A2661="","",IF(OR(NOT(ISNUMBER(E2661)),NOT(ISNUMBER(F2661))),"",MAX(0,E2661)*F2661))</f>
        <v/>
      </c>
      <c r="I2661" s="46" t="str">
        <f aca="false">IF($A2661="","",SUMIF($A$2:$A$5001,$A2661,$H$2:$H$5001))</f>
        <v/>
      </c>
      <c r="J2661" s="47" t="n">
        <f aca="false">IF($A2661="",0,IF(COUNTIF($A$2:A2661,$A2661)=1,1,0))</f>
        <v>0</v>
      </c>
      <c r="K2661" s="47" t="n">
        <f aca="false">IF(J2661=1,N(I2661)+ROW()/10000000,0)</f>
        <v>0</v>
      </c>
      <c r="L2661" s="47" t="str">
        <f aca="false">IF(AND(J2661=1,N(I2661)&gt;0),SUMIF($K$2:$K$5001,"&gt;="&amp;K2661,$I$2:$I$5001)/MAX(1,SUM($H$2:$H$5001)),"")</f>
        <v/>
      </c>
      <c r="M2661" s="47" t="str">
        <f aca="false">IF($A2661="","",INDEX($L$2:$L$5001,MATCH($A2661,$A$2:$A$5001,0)))</f>
        <v/>
      </c>
      <c r="N2661" s="48" t="str">
        <f aca="false">IF($A2661="","",IF(N(M2661)=0,"–",IF(M2661&lt;=Start!$D$20,"A",IF(M2661&lt;=Start!$D$21,"B","C"))))</f>
        <v/>
      </c>
      <c r="O2661" s="48" t="str">
        <f aca="false">IF($A2661="","",IF(NOT(ISNUMBER(F2661)),"Wert fehlt; ",IF(F2661&lt;=0,"Wert ist 0; ",""))&amp;IF(NOT(ISNUMBER(E2661)),"Bestand fehlt; ",IF(E2661&lt;0,"Bestand negativ; ",IF(E2661=0,"Nullbestand; ","")))&amp;IF(D2661="","Warengruppe fehlt; ","")&amp;IF(B2661="","Bezeichnung fehlt; ","")&amp;IF(COUNTIFS($A$2:$A$5001,$A2661,$C$2:$C$5001,C2661)&gt;1,"Artikel doppelt im selben Lager; ",""))</f>
        <v/>
      </c>
      <c r="P2661" s="47" t="n">
        <f aca="false">IF(OR($A2661="",D2661=""),0,IF(COUNTIF($D$2:D2661,D2661)=1,SUMIF($D$2:$D$5001,D2661,$H$2:$H$5001)+ROW()/10000000,0))</f>
        <v>0</v>
      </c>
      <c r="Q2661" s="47" t="n">
        <f aca="false">IF(OR($A2661="",C2661=""),0,IF(COUNTIF($C$2:C2661,C2661)=1,SUMIF($C$2:$C$5001,C2661,$H$2:$H$5001)+ROW()/10000000,0))</f>
        <v>0</v>
      </c>
    </row>
    <row r="2662" customFormat="false" ht="15" hidden="false" customHeight="false" outlineLevel="0" collapsed="false">
      <c r="A2662" s="43"/>
      <c r="B2662" s="44"/>
      <c r="C2662" s="44"/>
      <c r="D2662" s="44"/>
      <c r="E2662" s="44"/>
      <c r="F2662" s="44"/>
      <c r="G2662" s="44"/>
      <c r="H2662" s="46" t="str">
        <f aca="false">IF($A2662="","",IF(OR(NOT(ISNUMBER(E2662)),NOT(ISNUMBER(F2662))),"",MAX(0,E2662)*F2662))</f>
        <v/>
      </c>
      <c r="I2662" s="46" t="str">
        <f aca="false">IF($A2662="","",SUMIF($A$2:$A$5001,$A2662,$H$2:$H$5001))</f>
        <v/>
      </c>
      <c r="J2662" s="47" t="n">
        <f aca="false">IF($A2662="",0,IF(COUNTIF($A$2:A2662,$A2662)=1,1,0))</f>
        <v>0</v>
      </c>
      <c r="K2662" s="47" t="n">
        <f aca="false">IF(J2662=1,N(I2662)+ROW()/10000000,0)</f>
        <v>0</v>
      </c>
      <c r="L2662" s="47" t="str">
        <f aca="false">IF(AND(J2662=1,N(I2662)&gt;0),SUMIF($K$2:$K$5001,"&gt;="&amp;K2662,$I$2:$I$5001)/MAX(1,SUM($H$2:$H$5001)),"")</f>
        <v/>
      </c>
      <c r="M2662" s="47" t="str">
        <f aca="false">IF($A2662="","",INDEX($L$2:$L$5001,MATCH($A2662,$A$2:$A$5001,0)))</f>
        <v/>
      </c>
      <c r="N2662" s="48" t="str">
        <f aca="false">IF($A2662="","",IF(N(M2662)=0,"–",IF(M2662&lt;=Start!$D$20,"A",IF(M2662&lt;=Start!$D$21,"B","C"))))</f>
        <v/>
      </c>
      <c r="O2662" s="48" t="str">
        <f aca="false">IF($A2662="","",IF(NOT(ISNUMBER(F2662)),"Wert fehlt; ",IF(F2662&lt;=0,"Wert ist 0; ",""))&amp;IF(NOT(ISNUMBER(E2662)),"Bestand fehlt; ",IF(E2662&lt;0,"Bestand negativ; ",IF(E2662=0,"Nullbestand; ","")))&amp;IF(D2662="","Warengruppe fehlt; ","")&amp;IF(B2662="","Bezeichnung fehlt; ","")&amp;IF(COUNTIFS($A$2:$A$5001,$A2662,$C$2:$C$5001,C2662)&gt;1,"Artikel doppelt im selben Lager; ",""))</f>
        <v/>
      </c>
      <c r="P2662" s="47" t="n">
        <f aca="false">IF(OR($A2662="",D2662=""),0,IF(COUNTIF($D$2:D2662,D2662)=1,SUMIF($D$2:$D$5001,D2662,$H$2:$H$5001)+ROW()/10000000,0))</f>
        <v>0</v>
      </c>
      <c r="Q2662" s="47" t="n">
        <f aca="false">IF(OR($A2662="",C2662=""),0,IF(COUNTIF($C$2:C2662,C2662)=1,SUMIF($C$2:$C$5001,C2662,$H$2:$H$5001)+ROW()/10000000,0))</f>
        <v>0</v>
      </c>
    </row>
    <row r="2663" customFormat="false" ht="15" hidden="false" customHeight="false" outlineLevel="0" collapsed="false">
      <c r="A2663" s="43"/>
      <c r="B2663" s="44"/>
      <c r="C2663" s="44"/>
      <c r="D2663" s="44"/>
      <c r="E2663" s="44"/>
      <c r="F2663" s="44"/>
      <c r="G2663" s="44"/>
      <c r="H2663" s="46" t="str">
        <f aca="false">IF($A2663="","",IF(OR(NOT(ISNUMBER(E2663)),NOT(ISNUMBER(F2663))),"",MAX(0,E2663)*F2663))</f>
        <v/>
      </c>
      <c r="I2663" s="46" t="str">
        <f aca="false">IF($A2663="","",SUMIF($A$2:$A$5001,$A2663,$H$2:$H$5001))</f>
        <v/>
      </c>
      <c r="J2663" s="47" t="n">
        <f aca="false">IF($A2663="",0,IF(COUNTIF($A$2:A2663,$A2663)=1,1,0))</f>
        <v>0</v>
      </c>
      <c r="K2663" s="47" t="n">
        <f aca="false">IF(J2663=1,N(I2663)+ROW()/10000000,0)</f>
        <v>0</v>
      </c>
      <c r="L2663" s="47" t="str">
        <f aca="false">IF(AND(J2663=1,N(I2663)&gt;0),SUMIF($K$2:$K$5001,"&gt;="&amp;K2663,$I$2:$I$5001)/MAX(1,SUM($H$2:$H$5001)),"")</f>
        <v/>
      </c>
      <c r="M2663" s="47" t="str">
        <f aca="false">IF($A2663="","",INDEX($L$2:$L$5001,MATCH($A2663,$A$2:$A$5001,0)))</f>
        <v/>
      </c>
      <c r="N2663" s="48" t="str">
        <f aca="false">IF($A2663="","",IF(N(M2663)=0,"–",IF(M2663&lt;=Start!$D$20,"A",IF(M2663&lt;=Start!$D$21,"B","C"))))</f>
        <v/>
      </c>
      <c r="O2663" s="48" t="str">
        <f aca="false">IF($A2663="","",IF(NOT(ISNUMBER(F2663)),"Wert fehlt; ",IF(F2663&lt;=0,"Wert ist 0; ",""))&amp;IF(NOT(ISNUMBER(E2663)),"Bestand fehlt; ",IF(E2663&lt;0,"Bestand negativ; ",IF(E2663=0,"Nullbestand; ","")))&amp;IF(D2663="","Warengruppe fehlt; ","")&amp;IF(B2663="","Bezeichnung fehlt; ","")&amp;IF(COUNTIFS($A$2:$A$5001,$A2663,$C$2:$C$5001,C2663)&gt;1,"Artikel doppelt im selben Lager; ",""))</f>
        <v/>
      </c>
      <c r="P2663" s="47" t="n">
        <f aca="false">IF(OR($A2663="",D2663=""),0,IF(COUNTIF($D$2:D2663,D2663)=1,SUMIF($D$2:$D$5001,D2663,$H$2:$H$5001)+ROW()/10000000,0))</f>
        <v>0</v>
      </c>
      <c r="Q2663" s="47" t="n">
        <f aca="false">IF(OR($A2663="",C2663=""),0,IF(COUNTIF($C$2:C2663,C2663)=1,SUMIF($C$2:$C$5001,C2663,$H$2:$H$5001)+ROW()/10000000,0))</f>
        <v>0</v>
      </c>
    </row>
    <row r="2664" customFormat="false" ht="15" hidden="false" customHeight="false" outlineLevel="0" collapsed="false">
      <c r="A2664" s="43"/>
      <c r="B2664" s="44"/>
      <c r="C2664" s="44"/>
      <c r="D2664" s="44"/>
      <c r="E2664" s="44"/>
      <c r="F2664" s="44"/>
      <c r="G2664" s="44"/>
      <c r="H2664" s="46" t="str">
        <f aca="false">IF($A2664="","",IF(OR(NOT(ISNUMBER(E2664)),NOT(ISNUMBER(F2664))),"",MAX(0,E2664)*F2664))</f>
        <v/>
      </c>
      <c r="I2664" s="46" t="str">
        <f aca="false">IF($A2664="","",SUMIF($A$2:$A$5001,$A2664,$H$2:$H$5001))</f>
        <v/>
      </c>
      <c r="J2664" s="47" t="n">
        <f aca="false">IF($A2664="",0,IF(COUNTIF($A$2:A2664,$A2664)=1,1,0))</f>
        <v>0</v>
      </c>
      <c r="K2664" s="47" t="n">
        <f aca="false">IF(J2664=1,N(I2664)+ROW()/10000000,0)</f>
        <v>0</v>
      </c>
      <c r="L2664" s="47" t="str">
        <f aca="false">IF(AND(J2664=1,N(I2664)&gt;0),SUMIF($K$2:$K$5001,"&gt;="&amp;K2664,$I$2:$I$5001)/MAX(1,SUM($H$2:$H$5001)),"")</f>
        <v/>
      </c>
      <c r="M2664" s="47" t="str">
        <f aca="false">IF($A2664="","",INDEX($L$2:$L$5001,MATCH($A2664,$A$2:$A$5001,0)))</f>
        <v/>
      </c>
      <c r="N2664" s="48" t="str">
        <f aca="false">IF($A2664="","",IF(N(M2664)=0,"–",IF(M2664&lt;=Start!$D$20,"A",IF(M2664&lt;=Start!$D$21,"B","C"))))</f>
        <v/>
      </c>
      <c r="O2664" s="48" t="str">
        <f aca="false">IF($A2664="","",IF(NOT(ISNUMBER(F2664)),"Wert fehlt; ",IF(F2664&lt;=0,"Wert ist 0; ",""))&amp;IF(NOT(ISNUMBER(E2664)),"Bestand fehlt; ",IF(E2664&lt;0,"Bestand negativ; ",IF(E2664=0,"Nullbestand; ","")))&amp;IF(D2664="","Warengruppe fehlt; ","")&amp;IF(B2664="","Bezeichnung fehlt; ","")&amp;IF(COUNTIFS($A$2:$A$5001,$A2664,$C$2:$C$5001,C2664)&gt;1,"Artikel doppelt im selben Lager; ",""))</f>
        <v/>
      </c>
      <c r="P2664" s="47" t="n">
        <f aca="false">IF(OR($A2664="",D2664=""),0,IF(COUNTIF($D$2:D2664,D2664)=1,SUMIF($D$2:$D$5001,D2664,$H$2:$H$5001)+ROW()/10000000,0))</f>
        <v>0</v>
      </c>
      <c r="Q2664" s="47" t="n">
        <f aca="false">IF(OR($A2664="",C2664=""),0,IF(COUNTIF($C$2:C2664,C2664)=1,SUMIF($C$2:$C$5001,C2664,$H$2:$H$5001)+ROW()/10000000,0))</f>
        <v>0</v>
      </c>
    </row>
    <row r="2665" customFormat="false" ht="15" hidden="false" customHeight="false" outlineLevel="0" collapsed="false">
      <c r="A2665" s="43"/>
      <c r="B2665" s="44"/>
      <c r="C2665" s="44"/>
      <c r="D2665" s="44"/>
      <c r="E2665" s="44"/>
      <c r="F2665" s="44"/>
      <c r="G2665" s="44"/>
      <c r="H2665" s="46" t="str">
        <f aca="false">IF($A2665="","",IF(OR(NOT(ISNUMBER(E2665)),NOT(ISNUMBER(F2665))),"",MAX(0,E2665)*F2665))</f>
        <v/>
      </c>
      <c r="I2665" s="46" t="str">
        <f aca="false">IF($A2665="","",SUMIF($A$2:$A$5001,$A2665,$H$2:$H$5001))</f>
        <v/>
      </c>
      <c r="J2665" s="47" t="n">
        <f aca="false">IF($A2665="",0,IF(COUNTIF($A$2:A2665,$A2665)=1,1,0))</f>
        <v>0</v>
      </c>
      <c r="K2665" s="47" t="n">
        <f aca="false">IF(J2665=1,N(I2665)+ROW()/10000000,0)</f>
        <v>0</v>
      </c>
      <c r="L2665" s="47" t="str">
        <f aca="false">IF(AND(J2665=1,N(I2665)&gt;0),SUMIF($K$2:$K$5001,"&gt;="&amp;K2665,$I$2:$I$5001)/MAX(1,SUM($H$2:$H$5001)),"")</f>
        <v/>
      </c>
      <c r="M2665" s="47" t="str">
        <f aca="false">IF($A2665="","",INDEX($L$2:$L$5001,MATCH($A2665,$A$2:$A$5001,0)))</f>
        <v/>
      </c>
      <c r="N2665" s="48" t="str">
        <f aca="false">IF($A2665="","",IF(N(M2665)=0,"–",IF(M2665&lt;=Start!$D$20,"A",IF(M2665&lt;=Start!$D$21,"B","C"))))</f>
        <v/>
      </c>
      <c r="O2665" s="48" t="str">
        <f aca="false">IF($A2665="","",IF(NOT(ISNUMBER(F2665)),"Wert fehlt; ",IF(F2665&lt;=0,"Wert ist 0; ",""))&amp;IF(NOT(ISNUMBER(E2665)),"Bestand fehlt; ",IF(E2665&lt;0,"Bestand negativ; ",IF(E2665=0,"Nullbestand; ","")))&amp;IF(D2665="","Warengruppe fehlt; ","")&amp;IF(B2665="","Bezeichnung fehlt; ","")&amp;IF(COUNTIFS($A$2:$A$5001,$A2665,$C$2:$C$5001,C2665)&gt;1,"Artikel doppelt im selben Lager; ",""))</f>
        <v/>
      </c>
      <c r="P2665" s="47" t="n">
        <f aca="false">IF(OR($A2665="",D2665=""),0,IF(COUNTIF($D$2:D2665,D2665)=1,SUMIF($D$2:$D$5001,D2665,$H$2:$H$5001)+ROW()/10000000,0))</f>
        <v>0</v>
      </c>
      <c r="Q2665" s="47" t="n">
        <f aca="false">IF(OR($A2665="",C2665=""),0,IF(COUNTIF($C$2:C2665,C2665)=1,SUMIF($C$2:$C$5001,C2665,$H$2:$H$5001)+ROW()/10000000,0))</f>
        <v>0</v>
      </c>
    </row>
    <row r="2666" customFormat="false" ht="15" hidden="false" customHeight="false" outlineLevel="0" collapsed="false">
      <c r="A2666" s="43"/>
      <c r="B2666" s="44"/>
      <c r="C2666" s="44"/>
      <c r="D2666" s="44"/>
      <c r="E2666" s="44"/>
      <c r="F2666" s="44"/>
      <c r="G2666" s="44"/>
      <c r="H2666" s="46" t="str">
        <f aca="false">IF($A2666="","",IF(OR(NOT(ISNUMBER(E2666)),NOT(ISNUMBER(F2666))),"",MAX(0,E2666)*F2666))</f>
        <v/>
      </c>
      <c r="I2666" s="46" t="str">
        <f aca="false">IF($A2666="","",SUMIF($A$2:$A$5001,$A2666,$H$2:$H$5001))</f>
        <v/>
      </c>
      <c r="J2666" s="47" t="n">
        <f aca="false">IF($A2666="",0,IF(COUNTIF($A$2:A2666,$A2666)=1,1,0))</f>
        <v>0</v>
      </c>
      <c r="K2666" s="47" t="n">
        <f aca="false">IF(J2666=1,N(I2666)+ROW()/10000000,0)</f>
        <v>0</v>
      </c>
      <c r="L2666" s="47" t="str">
        <f aca="false">IF(AND(J2666=1,N(I2666)&gt;0),SUMIF($K$2:$K$5001,"&gt;="&amp;K2666,$I$2:$I$5001)/MAX(1,SUM($H$2:$H$5001)),"")</f>
        <v/>
      </c>
      <c r="M2666" s="47" t="str">
        <f aca="false">IF($A2666="","",INDEX($L$2:$L$5001,MATCH($A2666,$A$2:$A$5001,0)))</f>
        <v/>
      </c>
      <c r="N2666" s="48" t="str">
        <f aca="false">IF($A2666="","",IF(N(M2666)=0,"–",IF(M2666&lt;=Start!$D$20,"A",IF(M2666&lt;=Start!$D$21,"B","C"))))</f>
        <v/>
      </c>
      <c r="O2666" s="48" t="str">
        <f aca="false">IF($A2666="","",IF(NOT(ISNUMBER(F2666)),"Wert fehlt; ",IF(F2666&lt;=0,"Wert ist 0; ",""))&amp;IF(NOT(ISNUMBER(E2666)),"Bestand fehlt; ",IF(E2666&lt;0,"Bestand negativ; ",IF(E2666=0,"Nullbestand; ","")))&amp;IF(D2666="","Warengruppe fehlt; ","")&amp;IF(B2666="","Bezeichnung fehlt; ","")&amp;IF(COUNTIFS($A$2:$A$5001,$A2666,$C$2:$C$5001,C2666)&gt;1,"Artikel doppelt im selben Lager; ",""))</f>
        <v/>
      </c>
      <c r="P2666" s="47" t="n">
        <f aca="false">IF(OR($A2666="",D2666=""),0,IF(COUNTIF($D$2:D2666,D2666)=1,SUMIF($D$2:$D$5001,D2666,$H$2:$H$5001)+ROW()/10000000,0))</f>
        <v>0</v>
      </c>
      <c r="Q2666" s="47" t="n">
        <f aca="false">IF(OR($A2666="",C2666=""),0,IF(COUNTIF($C$2:C2666,C2666)=1,SUMIF($C$2:$C$5001,C2666,$H$2:$H$5001)+ROW()/10000000,0))</f>
        <v>0</v>
      </c>
    </row>
    <row r="2667" customFormat="false" ht="15" hidden="false" customHeight="false" outlineLevel="0" collapsed="false">
      <c r="A2667" s="43"/>
      <c r="B2667" s="44"/>
      <c r="C2667" s="44"/>
      <c r="D2667" s="44"/>
      <c r="E2667" s="44"/>
      <c r="F2667" s="44"/>
      <c r="G2667" s="44"/>
      <c r="H2667" s="46" t="str">
        <f aca="false">IF($A2667="","",IF(OR(NOT(ISNUMBER(E2667)),NOT(ISNUMBER(F2667))),"",MAX(0,E2667)*F2667))</f>
        <v/>
      </c>
      <c r="I2667" s="46" t="str">
        <f aca="false">IF($A2667="","",SUMIF($A$2:$A$5001,$A2667,$H$2:$H$5001))</f>
        <v/>
      </c>
      <c r="J2667" s="47" t="n">
        <f aca="false">IF($A2667="",0,IF(COUNTIF($A$2:A2667,$A2667)=1,1,0))</f>
        <v>0</v>
      </c>
      <c r="K2667" s="47" t="n">
        <f aca="false">IF(J2667=1,N(I2667)+ROW()/10000000,0)</f>
        <v>0</v>
      </c>
      <c r="L2667" s="47" t="str">
        <f aca="false">IF(AND(J2667=1,N(I2667)&gt;0),SUMIF($K$2:$K$5001,"&gt;="&amp;K2667,$I$2:$I$5001)/MAX(1,SUM($H$2:$H$5001)),"")</f>
        <v/>
      </c>
      <c r="M2667" s="47" t="str">
        <f aca="false">IF($A2667="","",INDEX($L$2:$L$5001,MATCH($A2667,$A$2:$A$5001,0)))</f>
        <v/>
      </c>
      <c r="N2667" s="48" t="str">
        <f aca="false">IF($A2667="","",IF(N(M2667)=0,"–",IF(M2667&lt;=Start!$D$20,"A",IF(M2667&lt;=Start!$D$21,"B","C"))))</f>
        <v/>
      </c>
      <c r="O2667" s="48" t="str">
        <f aca="false">IF($A2667="","",IF(NOT(ISNUMBER(F2667)),"Wert fehlt; ",IF(F2667&lt;=0,"Wert ist 0; ",""))&amp;IF(NOT(ISNUMBER(E2667)),"Bestand fehlt; ",IF(E2667&lt;0,"Bestand negativ; ",IF(E2667=0,"Nullbestand; ","")))&amp;IF(D2667="","Warengruppe fehlt; ","")&amp;IF(B2667="","Bezeichnung fehlt; ","")&amp;IF(COUNTIFS($A$2:$A$5001,$A2667,$C$2:$C$5001,C2667)&gt;1,"Artikel doppelt im selben Lager; ",""))</f>
        <v/>
      </c>
      <c r="P2667" s="47" t="n">
        <f aca="false">IF(OR($A2667="",D2667=""),0,IF(COUNTIF($D$2:D2667,D2667)=1,SUMIF($D$2:$D$5001,D2667,$H$2:$H$5001)+ROW()/10000000,0))</f>
        <v>0</v>
      </c>
      <c r="Q2667" s="47" t="n">
        <f aca="false">IF(OR($A2667="",C2667=""),0,IF(COUNTIF($C$2:C2667,C2667)=1,SUMIF($C$2:$C$5001,C2667,$H$2:$H$5001)+ROW()/10000000,0))</f>
        <v>0</v>
      </c>
    </row>
    <row r="2668" customFormat="false" ht="15" hidden="false" customHeight="false" outlineLevel="0" collapsed="false">
      <c r="A2668" s="43"/>
      <c r="B2668" s="44"/>
      <c r="C2668" s="44"/>
      <c r="D2668" s="44"/>
      <c r="E2668" s="44"/>
      <c r="F2668" s="44"/>
      <c r="G2668" s="44"/>
      <c r="H2668" s="46" t="str">
        <f aca="false">IF($A2668="","",IF(OR(NOT(ISNUMBER(E2668)),NOT(ISNUMBER(F2668))),"",MAX(0,E2668)*F2668))</f>
        <v/>
      </c>
      <c r="I2668" s="46" t="str">
        <f aca="false">IF($A2668="","",SUMIF($A$2:$A$5001,$A2668,$H$2:$H$5001))</f>
        <v/>
      </c>
      <c r="J2668" s="47" t="n">
        <f aca="false">IF($A2668="",0,IF(COUNTIF($A$2:A2668,$A2668)=1,1,0))</f>
        <v>0</v>
      </c>
      <c r="K2668" s="47" t="n">
        <f aca="false">IF(J2668=1,N(I2668)+ROW()/10000000,0)</f>
        <v>0</v>
      </c>
      <c r="L2668" s="47" t="str">
        <f aca="false">IF(AND(J2668=1,N(I2668)&gt;0),SUMIF($K$2:$K$5001,"&gt;="&amp;K2668,$I$2:$I$5001)/MAX(1,SUM($H$2:$H$5001)),"")</f>
        <v/>
      </c>
      <c r="M2668" s="47" t="str">
        <f aca="false">IF($A2668="","",INDEX($L$2:$L$5001,MATCH($A2668,$A$2:$A$5001,0)))</f>
        <v/>
      </c>
      <c r="N2668" s="48" t="str">
        <f aca="false">IF($A2668="","",IF(N(M2668)=0,"–",IF(M2668&lt;=Start!$D$20,"A",IF(M2668&lt;=Start!$D$21,"B","C"))))</f>
        <v/>
      </c>
      <c r="O2668" s="48" t="str">
        <f aca="false">IF($A2668="","",IF(NOT(ISNUMBER(F2668)),"Wert fehlt; ",IF(F2668&lt;=0,"Wert ist 0; ",""))&amp;IF(NOT(ISNUMBER(E2668)),"Bestand fehlt; ",IF(E2668&lt;0,"Bestand negativ; ",IF(E2668=0,"Nullbestand; ","")))&amp;IF(D2668="","Warengruppe fehlt; ","")&amp;IF(B2668="","Bezeichnung fehlt; ","")&amp;IF(COUNTIFS($A$2:$A$5001,$A2668,$C$2:$C$5001,C2668)&gt;1,"Artikel doppelt im selben Lager; ",""))</f>
        <v/>
      </c>
      <c r="P2668" s="47" t="n">
        <f aca="false">IF(OR($A2668="",D2668=""),0,IF(COUNTIF($D$2:D2668,D2668)=1,SUMIF($D$2:$D$5001,D2668,$H$2:$H$5001)+ROW()/10000000,0))</f>
        <v>0</v>
      </c>
      <c r="Q2668" s="47" t="n">
        <f aca="false">IF(OR($A2668="",C2668=""),0,IF(COUNTIF($C$2:C2668,C2668)=1,SUMIF($C$2:$C$5001,C2668,$H$2:$H$5001)+ROW()/10000000,0))</f>
        <v>0</v>
      </c>
    </row>
    <row r="2669" customFormat="false" ht="15" hidden="false" customHeight="false" outlineLevel="0" collapsed="false">
      <c r="A2669" s="43"/>
      <c r="B2669" s="44"/>
      <c r="C2669" s="44"/>
      <c r="D2669" s="44"/>
      <c r="E2669" s="44"/>
      <c r="F2669" s="44"/>
      <c r="G2669" s="44"/>
      <c r="H2669" s="46" t="str">
        <f aca="false">IF($A2669="","",IF(OR(NOT(ISNUMBER(E2669)),NOT(ISNUMBER(F2669))),"",MAX(0,E2669)*F2669))</f>
        <v/>
      </c>
      <c r="I2669" s="46" t="str">
        <f aca="false">IF($A2669="","",SUMIF($A$2:$A$5001,$A2669,$H$2:$H$5001))</f>
        <v/>
      </c>
      <c r="J2669" s="47" t="n">
        <f aca="false">IF($A2669="",0,IF(COUNTIF($A$2:A2669,$A2669)=1,1,0))</f>
        <v>0</v>
      </c>
      <c r="K2669" s="47" t="n">
        <f aca="false">IF(J2669=1,N(I2669)+ROW()/10000000,0)</f>
        <v>0</v>
      </c>
      <c r="L2669" s="47" t="str">
        <f aca="false">IF(AND(J2669=1,N(I2669)&gt;0),SUMIF($K$2:$K$5001,"&gt;="&amp;K2669,$I$2:$I$5001)/MAX(1,SUM($H$2:$H$5001)),"")</f>
        <v/>
      </c>
      <c r="M2669" s="47" t="str">
        <f aca="false">IF($A2669="","",INDEX($L$2:$L$5001,MATCH($A2669,$A$2:$A$5001,0)))</f>
        <v/>
      </c>
      <c r="N2669" s="48" t="str">
        <f aca="false">IF($A2669="","",IF(N(M2669)=0,"–",IF(M2669&lt;=Start!$D$20,"A",IF(M2669&lt;=Start!$D$21,"B","C"))))</f>
        <v/>
      </c>
      <c r="O2669" s="48" t="str">
        <f aca="false">IF($A2669="","",IF(NOT(ISNUMBER(F2669)),"Wert fehlt; ",IF(F2669&lt;=0,"Wert ist 0; ",""))&amp;IF(NOT(ISNUMBER(E2669)),"Bestand fehlt; ",IF(E2669&lt;0,"Bestand negativ; ",IF(E2669=0,"Nullbestand; ","")))&amp;IF(D2669="","Warengruppe fehlt; ","")&amp;IF(B2669="","Bezeichnung fehlt; ","")&amp;IF(COUNTIFS($A$2:$A$5001,$A2669,$C$2:$C$5001,C2669)&gt;1,"Artikel doppelt im selben Lager; ",""))</f>
        <v/>
      </c>
      <c r="P2669" s="47" t="n">
        <f aca="false">IF(OR($A2669="",D2669=""),0,IF(COUNTIF($D$2:D2669,D2669)=1,SUMIF($D$2:$D$5001,D2669,$H$2:$H$5001)+ROW()/10000000,0))</f>
        <v>0</v>
      </c>
      <c r="Q2669" s="47" t="n">
        <f aca="false">IF(OR($A2669="",C2669=""),0,IF(COUNTIF($C$2:C2669,C2669)=1,SUMIF($C$2:$C$5001,C2669,$H$2:$H$5001)+ROW()/10000000,0))</f>
        <v>0</v>
      </c>
    </row>
    <row r="2670" customFormat="false" ht="15" hidden="false" customHeight="false" outlineLevel="0" collapsed="false">
      <c r="A2670" s="43"/>
      <c r="B2670" s="44"/>
      <c r="C2670" s="44"/>
      <c r="D2670" s="44"/>
      <c r="E2670" s="44"/>
      <c r="F2670" s="44"/>
      <c r="G2670" s="44"/>
      <c r="H2670" s="46" t="str">
        <f aca="false">IF($A2670="","",IF(OR(NOT(ISNUMBER(E2670)),NOT(ISNUMBER(F2670))),"",MAX(0,E2670)*F2670))</f>
        <v/>
      </c>
      <c r="I2670" s="46" t="str">
        <f aca="false">IF($A2670="","",SUMIF($A$2:$A$5001,$A2670,$H$2:$H$5001))</f>
        <v/>
      </c>
      <c r="J2670" s="47" t="n">
        <f aca="false">IF($A2670="",0,IF(COUNTIF($A$2:A2670,$A2670)=1,1,0))</f>
        <v>0</v>
      </c>
      <c r="K2670" s="47" t="n">
        <f aca="false">IF(J2670=1,N(I2670)+ROW()/10000000,0)</f>
        <v>0</v>
      </c>
      <c r="L2670" s="47" t="str">
        <f aca="false">IF(AND(J2670=1,N(I2670)&gt;0),SUMIF($K$2:$K$5001,"&gt;="&amp;K2670,$I$2:$I$5001)/MAX(1,SUM($H$2:$H$5001)),"")</f>
        <v/>
      </c>
      <c r="M2670" s="47" t="str">
        <f aca="false">IF($A2670="","",INDEX($L$2:$L$5001,MATCH($A2670,$A$2:$A$5001,0)))</f>
        <v/>
      </c>
      <c r="N2670" s="48" t="str">
        <f aca="false">IF($A2670="","",IF(N(M2670)=0,"–",IF(M2670&lt;=Start!$D$20,"A",IF(M2670&lt;=Start!$D$21,"B","C"))))</f>
        <v/>
      </c>
      <c r="O2670" s="48" t="str">
        <f aca="false">IF($A2670="","",IF(NOT(ISNUMBER(F2670)),"Wert fehlt; ",IF(F2670&lt;=0,"Wert ist 0; ",""))&amp;IF(NOT(ISNUMBER(E2670)),"Bestand fehlt; ",IF(E2670&lt;0,"Bestand negativ; ",IF(E2670=0,"Nullbestand; ","")))&amp;IF(D2670="","Warengruppe fehlt; ","")&amp;IF(B2670="","Bezeichnung fehlt; ","")&amp;IF(COUNTIFS($A$2:$A$5001,$A2670,$C$2:$C$5001,C2670)&gt;1,"Artikel doppelt im selben Lager; ",""))</f>
        <v/>
      </c>
      <c r="P2670" s="47" t="n">
        <f aca="false">IF(OR($A2670="",D2670=""),0,IF(COUNTIF($D$2:D2670,D2670)=1,SUMIF($D$2:$D$5001,D2670,$H$2:$H$5001)+ROW()/10000000,0))</f>
        <v>0</v>
      </c>
      <c r="Q2670" s="47" t="n">
        <f aca="false">IF(OR($A2670="",C2670=""),0,IF(COUNTIF($C$2:C2670,C2670)=1,SUMIF($C$2:$C$5001,C2670,$H$2:$H$5001)+ROW()/10000000,0))</f>
        <v>0</v>
      </c>
    </row>
    <row r="2671" customFormat="false" ht="15" hidden="false" customHeight="false" outlineLevel="0" collapsed="false">
      <c r="A2671" s="43"/>
      <c r="B2671" s="44"/>
      <c r="C2671" s="44"/>
      <c r="D2671" s="44"/>
      <c r="E2671" s="44"/>
      <c r="F2671" s="44"/>
      <c r="G2671" s="44"/>
      <c r="H2671" s="46" t="str">
        <f aca="false">IF($A2671="","",IF(OR(NOT(ISNUMBER(E2671)),NOT(ISNUMBER(F2671))),"",MAX(0,E2671)*F2671))</f>
        <v/>
      </c>
      <c r="I2671" s="46" t="str">
        <f aca="false">IF($A2671="","",SUMIF($A$2:$A$5001,$A2671,$H$2:$H$5001))</f>
        <v/>
      </c>
      <c r="J2671" s="47" t="n">
        <f aca="false">IF($A2671="",0,IF(COUNTIF($A$2:A2671,$A2671)=1,1,0))</f>
        <v>0</v>
      </c>
      <c r="K2671" s="47" t="n">
        <f aca="false">IF(J2671=1,N(I2671)+ROW()/10000000,0)</f>
        <v>0</v>
      </c>
      <c r="L2671" s="47" t="str">
        <f aca="false">IF(AND(J2671=1,N(I2671)&gt;0),SUMIF($K$2:$K$5001,"&gt;="&amp;K2671,$I$2:$I$5001)/MAX(1,SUM($H$2:$H$5001)),"")</f>
        <v/>
      </c>
      <c r="M2671" s="47" t="str">
        <f aca="false">IF($A2671="","",INDEX($L$2:$L$5001,MATCH($A2671,$A$2:$A$5001,0)))</f>
        <v/>
      </c>
      <c r="N2671" s="48" t="str">
        <f aca="false">IF($A2671="","",IF(N(M2671)=0,"–",IF(M2671&lt;=Start!$D$20,"A",IF(M2671&lt;=Start!$D$21,"B","C"))))</f>
        <v/>
      </c>
      <c r="O2671" s="48" t="str">
        <f aca="false">IF($A2671="","",IF(NOT(ISNUMBER(F2671)),"Wert fehlt; ",IF(F2671&lt;=0,"Wert ist 0; ",""))&amp;IF(NOT(ISNUMBER(E2671)),"Bestand fehlt; ",IF(E2671&lt;0,"Bestand negativ; ",IF(E2671=0,"Nullbestand; ","")))&amp;IF(D2671="","Warengruppe fehlt; ","")&amp;IF(B2671="","Bezeichnung fehlt; ","")&amp;IF(COUNTIFS($A$2:$A$5001,$A2671,$C$2:$C$5001,C2671)&gt;1,"Artikel doppelt im selben Lager; ",""))</f>
        <v/>
      </c>
      <c r="P2671" s="47" t="n">
        <f aca="false">IF(OR($A2671="",D2671=""),0,IF(COUNTIF($D$2:D2671,D2671)=1,SUMIF($D$2:$D$5001,D2671,$H$2:$H$5001)+ROW()/10000000,0))</f>
        <v>0</v>
      </c>
      <c r="Q2671" s="47" t="n">
        <f aca="false">IF(OR($A2671="",C2671=""),0,IF(COUNTIF($C$2:C2671,C2671)=1,SUMIF($C$2:$C$5001,C2671,$H$2:$H$5001)+ROW()/10000000,0))</f>
        <v>0</v>
      </c>
    </row>
    <row r="2672" customFormat="false" ht="15" hidden="false" customHeight="false" outlineLevel="0" collapsed="false">
      <c r="A2672" s="43"/>
      <c r="B2672" s="44"/>
      <c r="C2672" s="44"/>
      <c r="D2672" s="44"/>
      <c r="E2672" s="44"/>
      <c r="F2672" s="44"/>
      <c r="G2672" s="44"/>
      <c r="H2672" s="46" t="str">
        <f aca="false">IF($A2672="","",IF(OR(NOT(ISNUMBER(E2672)),NOT(ISNUMBER(F2672))),"",MAX(0,E2672)*F2672))</f>
        <v/>
      </c>
      <c r="I2672" s="46" t="str">
        <f aca="false">IF($A2672="","",SUMIF($A$2:$A$5001,$A2672,$H$2:$H$5001))</f>
        <v/>
      </c>
      <c r="J2672" s="47" t="n">
        <f aca="false">IF($A2672="",0,IF(COUNTIF($A$2:A2672,$A2672)=1,1,0))</f>
        <v>0</v>
      </c>
      <c r="K2672" s="47" t="n">
        <f aca="false">IF(J2672=1,N(I2672)+ROW()/10000000,0)</f>
        <v>0</v>
      </c>
      <c r="L2672" s="47" t="str">
        <f aca="false">IF(AND(J2672=1,N(I2672)&gt;0),SUMIF($K$2:$K$5001,"&gt;="&amp;K2672,$I$2:$I$5001)/MAX(1,SUM($H$2:$H$5001)),"")</f>
        <v/>
      </c>
      <c r="M2672" s="47" t="str">
        <f aca="false">IF($A2672="","",INDEX($L$2:$L$5001,MATCH($A2672,$A$2:$A$5001,0)))</f>
        <v/>
      </c>
      <c r="N2672" s="48" t="str">
        <f aca="false">IF($A2672="","",IF(N(M2672)=0,"–",IF(M2672&lt;=Start!$D$20,"A",IF(M2672&lt;=Start!$D$21,"B","C"))))</f>
        <v/>
      </c>
      <c r="O2672" s="48" t="str">
        <f aca="false">IF($A2672="","",IF(NOT(ISNUMBER(F2672)),"Wert fehlt; ",IF(F2672&lt;=0,"Wert ist 0; ",""))&amp;IF(NOT(ISNUMBER(E2672)),"Bestand fehlt; ",IF(E2672&lt;0,"Bestand negativ; ",IF(E2672=0,"Nullbestand; ","")))&amp;IF(D2672="","Warengruppe fehlt; ","")&amp;IF(B2672="","Bezeichnung fehlt; ","")&amp;IF(COUNTIFS($A$2:$A$5001,$A2672,$C$2:$C$5001,C2672)&gt;1,"Artikel doppelt im selben Lager; ",""))</f>
        <v/>
      </c>
      <c r="P2672" s="47" t="n">
        <f aca="false">IF(OR($A2672="",D2672=""),0,IF(COUNTIF($D$2:D2672,D2672)=1,SUMIF($D$2:$D$5001,D2672,$H$2:$H$5001)+ROW()/10000000,0))</f>
        <v>0</v>
      </c>
      <c r="Q2672" s="47" t="n">
        <f aca="false">IF(OR($A2672="",C2672=""),0,IF(COUNTIF($C$2:C2672,C2672)=1,SUMIF($C$2:$C$5001,C2672,$H$2:$H$5001)+ROW()/10000000,0))</f>
        <v>0</v>
      </c>
    </row>
    <row r="2673" customFormat="false" ht="15" hidden="false" customHeight="false" outlineLevel="0" collapsed="false">
      <c r="A2673" s="43"/>
      <c r="B2673" s="44"/>
      <c r="C2673" s="44"/>
      <c r="D2673" s="44"/>
      <c r="E2673" s="44"/>
      <c r="F2673" s="44"/>
      <c r="G2673" s="44"/>
      <c r="H2673" s="46" t="str">
        <f aca="false">IF($A2673="","",IF(OR(NOT(ISNUMBER(E2673)),NOT(ISNUMBER(F2673))),"",MAX(0,E2673)*F2673))</f>
        <v/>
      </c>
      <c r="I2673" s="46" t="str">
        <f aca="false">IF($A2673="","",SUMIF($A$2:$A$5001,$A2673,$H$2:$H$5001))</f>
        <v/>
      </c>
      <c r="J2673" s="47" t="n">
        <f aca="false">IF($A2673="",0,IF(COUNTIF($A$2:A2673,$A2673)=1,1,0))</f>
        <v>0</v>
      </c>
      <c r="K2673" s="47" t="n">
        <f aca="false">IF(J2673=1,N(I2673)+ROW()/10000000,0)</f>
        <v>0</v>
      </c>
      <c r="L2673" s="47" t="str">
        <f aca="false">IF(AND(J2673=1,N(I2673)&gt;0),SUMIF($K$2:$K$5001,"&gt;="&amp;K2673,$I$2:$I$5001)/MAX(1,SUM($H$2:$H$5001)),"")</f>
        <v/>
      </c>
      <c r="M2673" s="47" t="str">
        <f aca="false">IF($A2673="","",INDEX($L$2:$L$5001,MATCH($A2673,$A$2:$A$5001,0)))</f>
        <v/>
      </c>
      <c r="N2673" s="48" t="str">
        <f aca="false">IF($A2673="","",IF(N(M2673)=0,"–",IF(M2673&lt;=Start!$D$20,"A",IF(M2673&lt;=Start!$D$21,"B","C"))))</f>
        <v/>
      </c>
      <c r="O2673" s="48" t="str">
        <f aca="false">IF($A2673="","",IF(NOT(ISNUMBER(F2673)),"Wert fehlt; ",IF(F2673&lt;=0,"Wert ist 0; ",""))&amp;IF(NOT(ISNUMBER(E2673)),"Bestand fehlt; ",IF(E2673&lt;0,"Bestand negativ; ",IF(E2673=0,"Nullbestand; ","")))&amp;IF(D2673="","Warengruppe fehlt; ","")&amp;IF(B2673="","Bezeichnung fehlt; ","")&amp;IF(COUNTIFS($A$2:$A$5001,$A2673,$C$2:$C$5001,C2673)&gt;1,"Artikel doppelt im selben Lager; ",""))</f>
        <v/>
      </c>
      <c r="P2673" s="47" t="n">
        <f aca="false">IF(OR($A2673="",D2673=""),0,IF(COUNTIF($D$2:D2673,D2673)=1,SUMIF($D$2:$D$5001,D2673,$H$2:$H$5001)+ROW()/10000000,0))</f>
        <v>0</v>
      </c>
      <c r="Q2673" s="47" t="n">
        <f aca="false">IF(OR($A2673="",C2673=""),0,IF(COUNTIF($C$2:C2673,C2673)=1,SUMIF($C$2:$C$5001,C2673,$H$2:$H$5001)+ROW()/10000000,0))</f>
        <v>0</v>
      </c>
    </row>
    <row r="2674" customFormat="false" ht="15" hidden="false" customHeight="false" outlineLevel="0" collapsed="false">
      <c r="A2674" s="43"/>
      <c r="B2674" s="44"/>
      <c r="C2674" s="44"/>
      <c r="D2674" s="44"/>
      <c r="E2674" s="44"/>
      <c r="F2674" s="44"/>
      <c r="G2674" s="44"/>
      <c r="H2674" s="46" t="str">
        <f aca="false">IF($A2674="","",IF(OR(NOT(ISNUMBER(E2674)),NOT(ISNUMBER(F2674))),"",MAX(0,E2674)*F2674))</f>
        <v/>
      </c>
      <c r="I2674" s="46" t="str">
        <f aca="false">IF($A2674="","",SUMIF($A$2:$A$5001,$A2674,$H$2:$H$5001))</f>
        <v/>
      </c>
      <c r="J2674" s="47" t="n">
        <f aca="false">IF($A2674="",0,IF(COUNTIF($A$2:A2674,$A2674)=1,1,0))</f>
        <v>0</v>
      </c>
      <c r="K2674" s="47" t="n">
        <f aca="false">IF(J2674=1,N(I2674)+ROW()/10000000,0)</f>
        <v>0</v>
      </c>
      <c r="L2674" s="47" t="str">
        <f aca="false">IF(AND(J2674=1,N(I2674)&gt;0),SUMIF($K$2:$K$5001,"&gt;="&amp;K2674,$I$2:$I$5001)/MAX(1,SUM($H$2:$H$5001)),"")</f>
        <v/>
      </c>
      <c r="M2674" s="47" t="str">
        <f aca="false">IF($A2674="","",INDEX($L$2:$L$5001,MATCH($A2674,$A$2:$A$5001,0)))</f>
        <v/>
      </c>
      <c r="N2674" s="48" t="str">
        <f aca="false">IF($A2674="","",IF(N(M2674)=0,"–",IF(M2674&lt;=Start!$D$20,"A",IF(M2674&lt;=Start!$D$21,"B","C"))))</f>
        <v/>
      </c>
      <c r="O2674" s="48" t="str">
        <f aca="false">IF($A2674="","",IF(NOT(ISNUMBER(F2674)),"Wert fehlt; ",IF(F2674&lt;=0,"Wert ist 0; ",""))&amp;IF(NOT(ISNUMBER(E2674)),"Bestand fehlt; ",IF(E2674&lt;0,"Bestand negativ; ",IF(E2674=0,"Nullbestand; ","")))&amp;IF(D2674="","Warengruppe fehlt; ","")&amp;IF(B2674="","Bezeichnung fehlt; ","")&amp;IF(COUNTIFS($A$2:$A$5001,$A2674,$C$2:$C$5001,C2674)&gt;1,"Artikel doppelt im selben Lager; ",""))</f>
        <v/>
      </c>
      <c r="P2674" s="47" t="n">
        <f aca="false">IF(OR($A2674="",D2674=""),0,IF(COUNTIF($D$2:D2674,D2674)=1,SUMIF($D$2:$D$5001,D2674,$H$2:$H$5001)+ROW()/10000000,0))</f>
        <v>0</v>
      </c>
      <c r="Q2674" s="47" t="n">
        <f aca="false">IF(OR($A2674="",C2674=""),0,IF(COUNTIF($C$2:C2674,C2674)=1,SUMIF($C$2:$C$5001,C2674,$H$2:$H$5001)+ROW()/10000000,0))</f>
        <v>0</v>
      </c>
    </row>
    <row r="2675" customFormat="false" ht="15" hidden="false" customHeight="false" outlineLevel="0" collapsed="false">
      <c r="A2675" s="43"/>
      <c r="B2675" s="44"/>
      <c r="C2675" s="44"/>
      <c r="D2675" s="44"/>
      <c r="E2675" s="44"/>
      <c r="F2675" s="44"/>
      <c r="G2675" s="44"/>
      <c r="H2675" s="46" t="str">
        <f aca="false">IF($A2675="","",IF(OR(NOT(ISNUMBER(E2675)),NOT(ISNUMBER(F2675))),"",MAX(0,E2675)*F2675))</f>
        <v/>
      </c>
      <c r="I2675" s="46" t="str">
        <f aca="false">IF($A2675="","",SUMIF($A$2:$A$5001,$A2675,$H$2:$H$5001))</f>
        <v/>
      </c>
      <c r="J2675" s="47" t="n">
        <f aca="false">IF($A2675="",0,IF(COUNTIF($A$2:A2675,$A2675)=1,1,0))</f>
        <v>0</v>
      </c>
      <c r="K2675" s="47" t="n">
        <f aca="false">IF(J2675=1,N(I2675)+ROW()/10000000,0)</f>
        <v>0</v>
      </c>
      <c r="L2675" s="47" t="str">
        <f aca="false">IF(AND(J2675=1,N(I2675)&gt;0),SUMIF($K$2:$K$5001,"&gt;="&amp;K2675,$I$2:$I$5001)/MAX(1,SUM($H$2:$H$5001)),"")</f>
        <v/>
      </c>
      <c r="M2675" s="47" t="str">
        <f aca="false">IF($A2675="","",INDEX($L$2:$L$5001,MATCH($A2675,$A$2:$A$5001,0)))</f>
        <v/>
      </c>
      <c r="N2675" s="48" t="str">
        <f aca="false">IF($A2675="","",IF(N(M2675)=0,"–",IF(M2675&lt;=Start!$D$20,"A",IF(M2675&lt;=Start!$D$21,"B","C"))))</f>
        <v/>
      </c>
      <c r="O2675" s="48" t="str">
        <f aca="false">IF($A2675="","",IF(NOT(ISNUMBER(F2675)),"Wert fehlt; ",IF(F2675&lt;=0,"Wert ist 0; ",""))&amp;IF(NOT(ISNUMBER(E2675)),"Bestand fehlt; ",IF(E2675&lt;0,"Bestand negativ; ",IF(E2675=0,"Nullbestand; ","")))&amp;IF(D2675="","Warengruppe fehlt; ","")&amp;IF(B2675="","Bezeichnung fehlt; ","")&amp;IF(COUNTIFS($A$2:$A$5001,$A2675,$C$2:$C$5001,C2675)&gt;1,"Artikel doppelt im selben Lager; ",""))</f>
        <v/>
      </c>
      <c r="P2675" s="47" t="n">
        <f aca="false">IF(OR($A2675="",D2675=""),0,IF(COUNTIF($D$2:D2675,D2675)=1,SUMIF($D$2:$D$5001,D2675,$H$2:$H$5001)+ROW()/10000000,0))</f>
        <v>0</v>
      </c>
      <c r="Q2675" s="47" t="n">
        <f aca="false">IF(OR($A2675="",C2675=""),0,IF(COUNTIF($C$2:C2675,C2675)=1,SUMIF($C$2:$C$5001,C2675,$H$2:$H$5001)+ROW()/10000000,0))</f>
        <v>0</v>
      </c>
    </row>
    <row r="2676" customFormat="false" ht="15" hidden="false" customHeight="false" outlineLevel="0" collapsed="false">
      <c r="A2676" s="43"/>
      <c r="B2676" s="44"/>
      <c r="C2676" s="44"/>
      <c r="D2676" s="44"/>
      <c r="E2676" s="44"/>
      <c r="F2676" s="44"/>
      <c r="G2676" s="44"/>
      <c r="H2676" s="46" t="str">
        <f aca="false">IF($A2676="","",IF(OR(NOT(ISNUMBER(E2676)),NOT(ISNUMBER(F2676))),"",MAX(0,E2676)*F2676))</f>
        <v/>
      </c>
      <c r="I2676" s="46" t="str">
        <f aca="false">IF($A2676="","",SUMIF($A$2:$A$5001,$A2676,$H$2:$H$5001))</f>
        <v/>
      </c>
      <c r="J2676" s="47" t="n">
        <f aca="false">IF($A2676="",0,IF(COUNTIF($A$2:A2676,$A2676)=1,1,0))</f>
        <v>0</v>
      </c>
      <c r="K2676" s="47" t="n">
        <f aca="false">IF(J2676=1,N(I2676)+ROW()/10000000,0)</f>
        <v>0</v>
      </c>
      <c r="L2676" s="47" t="str">
        <f aca="false">IF(AND(J2676=1,N(I2676)&gt;0),SUMIF($K$2:$K$5001,"&gt;="&amp;K2676,$I$2:$I$5001)/MAX(1,SUM($H$2:$H$5001)),"")</f>
        <v/>
      </c>
      <c r="M2676" s="47" t="str">
        <f aca="false">IF($A2676="","",INDEX($L$2:$L$5001,MATCH($A2676,$A$2:$A$5001,0)))</f>
        <v/>
      </c>
      <c r="N2676" s="48" t="str">
        <f aca="false">IF($A2676="","",IF(N(M2676)=0,"–",IF(M2676&lt;=Start!$D$20,"A",IF(M2676&lt;=Start!$D$21,"B","C"))))</f>
        <v/>
      </c>
      <c r="O2676" s="48" t="str">
        <f aca="false">IF($A2676="","",IF(NOT(ISNUMBER(F2676)),"Wert fehlt; ",IF(F2676&lt;=0,"Wert ist 0; ",""))&amp;IF(NOT(ISNUMBER(E2676)),"Bestand fehlt; ",IF(E2676&lt;0,"Bestand negativ; ",IF(E2676=0,"Nullbestand; ","")))&amp;IF(D2676="","Warengruppe fehlt; ","")&amp;IF(B2676="","Bezeichnung fehlt; ","")&amp;IF(COUNTIFS($A$2:$A$5001,$A2676,$C$2:$C$5001,C2676)&gt;1,"Artikel doppelt im selben Lager; ",""))</f>
        <v/>
      </c>
      <c r="P2676" s="47" t="n">
        <f aca="false">IF(OR($A2676="",D2676=""),0,IF(COUNTIF($D$2:D2676,D2676)=1,SUMIF($D$2:$D$5001,D2676,$H$2:$H$5001)+ROW()/10000000,0))</f>
        <v>0</v>
      </c>
      <c r="Q2676" s="47" t="n">
        <f aca="false">IF(OR($A2676="",C2676=""),0,IF(COUNTIF($C$2:C2676,C2676)=1,SUMIF($C$2:$C$5001,C2676,$H$2:$H$5001)+ROW()/10000000,0))</f>
        <v>0</v>
      </c>
    </row>
    <row r="2677" customFormat="false" ht="15" hidden="false" customHeight="false" outlineLevel="0" collapsed="false">
      <c r="A2677" s="43"/>
      <c r="B2677" s="44"/>
      <c r="C2677" s="44"/>
      <c r="D2677" s="44"/>
      <c r="E2677" s="44"/>
      <c r="F2677" s="44"/>
      <c r="G2677" s="44"/>
      <c r="H2677" s="46" t="str">
        <f aca="false">IF($A2677="","",IF(OR(NOT(ISNUMBER(E2677)),NOT(ISNUMBER(F2677))),"",MAX(0,E2677)*F2677))</f>
        <v/>
      </c>
      <c r="I2677" s="46" t="str">
        <f aca="false">IF($A2677="","",SUMIF($A$2:$A$5001,$A2677,$H$2:$H$5001))</f>
        <v/>
      </c>
      <c r="J2677" s="47" t="n">
        <f aca="false">IF($A2677="",0,IF(COUNTIF($A$2:A2677,$A2677)=1,1,0))</f>
        <v>0</v>
      </c>
      <c r="K2677" s="47" t="n">
        <f aca="false">IF(J2677=1,N(I2677)+ROW()/10000000,0)</f>
        <v>0</v>
      </c>
      <c r="L2677" s="47" t="str">
        <f aca="false">IF(AND(J2677=1,N(I2677)&gt;0),SUMIF($K$2:$K$5001,"&gt;="&amp;K2677,$I$2:$I$5001)/MAX(1,SUM($H$2:$H$5001)),"")</f>
        <v/>
      </c>
      <c r="M2677" s="47" t="str">
        <f aca="false">IF($A2677="","",INDEX($L$2:$L$5001,MATCH($A2677,$A$2:$A$5001,0)))</f>
        <v/>
      </c>
      <c r="N2677" s="48" t="str">
        <f aca="false">IF($A2677="","",IF(N(M2677)=0,"–",IF(M2677&lt;=Start!$D$20,"A",IF(M2677&lt;=Start!$D$21,"B","C"))))</f>
        <v/>
      </c>
      <c r="O2677" s="48" t="str">
        <f aca="false">IF($A2677="","",IF(NOT(ISNUMBER(F2677)),"Wert fehlt; ",IF(F2677&lt;=0,"Wert ist 0; ",""))&amp;IF(NOT(ISNUMBER(E2677)),"Bestand fehlt; ",IF(E2677&lt;0,"Bestand negativ; ",IF(E2677=0,"Nullbestand; ","")))&amp;IF(D2677="","Warengruppe fehlt; ","")&amp;IF(B2677="","Bezeichnung fehlt; ","")&amp;IF(COUNTIFS($A$2:$A$5001,$A2677,$C$2:$C$5001,C2677)&gt;1,"Artikel doppelt im selben Lager; ",""))</f>
        <v/>
      </c>
      <c r="P2677" s="47" t="n">
        <f aca="false">IF(OR($A2677="",D2677=""),0,IF(COUNTIF($D$2:D2677,D2677)=1,SUMIF($D$2:$D$5001,D2677,$H$2:$H$5001)+ROW()/10000000,0))</f>
        <v>0</v>
      </c>
      <c r="Q2677" s="47" t="n">
        <f aca="false">IF(OR($A2677="",C2677=""),0,IF(COUNTIF($C$2:C2677,C2677)=1,SUMIF($C$2:$C$5001,C2677,$H$2:$H$5001)+ROW()/10000000,0))</f>
        <v>0</v>
      </c>
    </row>
    <row r="2678" customFormat="false" ht="15" hidden="false" customHeight="false" outlineLevel="0" collapsed="false">
      <c r="A2678" s="43"/>
      <c r="B2678" s="44"/>
      <c r="C2678" s="44"/>
      <c r="D2678" s="44"/>
      <c r="E2678" s="44"/>
      <c r="F2678" s="44"/>
      <c r="G2678" s="44"/>
      <c r="H2678" s="46" t="str">
        <f aca="false">IF($A2678="","",IF(OR(NOT(ISNUMBER(E2678)),NOT(ISNUMBER(F2678))),"",MAX(0,E2678)*F2678))</f>
        <v/>
      </c>
      <c r="I2678" s="46" t="str">
        <f aca="false">IF($A2678="","",SUMIF($A$2:$A$5001,$A2678,$H$2:$H$5001))</f>
        <v/>
      </c>
      <c r="J2678" s="47" t="n">
        <f aca="false">IF($A2678="",0,IF(COUNTIF($A$2:A2678,$A2678)=1,1,0))</f>
        <v>0</v>
      </c>
      <c r="K2678" s="47" t="n">
        <f aca="false">IF(J2678=1,N(I2678)+ROW()/10000000,0)</f>
        <v>0</v>
      </c>
      <c r="L2678" s="47" t="str">
        <f aca="false">IF(AND(J2678=1,N(I2678)&gt;0),SUMIF($K$2:$K$5001,"&gt;="&amp;K2678,$I$2:$I$5001)/MAX(1,SUM($H$2:$H$5001)),"")</f>
        <v/>
      </c>
      <c r="M2678" s="47" t="str">
        <f aca="false">IF($A2678="","",INDEX($L$2:$L$5001,MATCH($A2678,$A$2:$A$5001,0)))</f>
        <v/>
      </c>
      <c r="N2678" s="48" t="str">
        <f aca="false">IF($A2678="","",IF(N(M2678)=0,"–",IF(M2678&lt;=Start!$D$20,"A",IF(M2678&lt;=Start!$D$21,"B","C"))))</f>
        <v/>
      </c>
      <c r="O2678" s="48" t="str">
        <f aca="false">IF($A2678="","",IF(NOT(ISNUMBER(F2678)),"Wert fehlt; ",IF(F2678&lt;=0,"Wert ist 0; ",""))&amp;IF(NOT(ISNUMBER(E2678)),"Bestand fehlt; ",IF(E2678&lt;0,"Bestand negativ; ",IF(E2678=0,"Nullbestand; ","")))&amp;IF(D2678="","Warengruppe fehlt; ","")&amp;IF(B2678="","Bezeichnung fehlt; ","")&amp;IF(COUNTIFS($A$2:$A$5001,$A2678,$C$2:$C$5001,C2678)&gt;1,"Artikel doppelt im selben Lager; ",""))</f>
        <v/>
      </c>
      <c r="P2678" s="47" t="n">
        <f aca="false">IF(OR($A2678="",D2678=""),0,IF(COUNTIF($D$2:D2678,D2678)=1,SUMIF($D$2:$D$5001,D2678,$H$2:$H$5001)+ROW()/10000000,0))</f>
        <v>0</v>
      </c>
      <c r="Q2678" s="47" t="n">
        <f aca="false">IF(OR($A2678="",C2678=""),0,IF(COUNTIF($C$2:C2678,C2678)=1,SUMIF($C$2:$C$5001,C2678,$H$2:$H$5001)+ROW()/10000000,0))</f>
        <v>0</v>
      </c>
    </row>
    <row r="2679" customFormat="false" ht="15" hidden="false" customHeight="false" outlineLevel="0" collapsed="false">
      <c r="A2679" s="43"/>
      <c r="B2679" s="44"/>
      <c r="C2679" s="44"/>
      <c r="D2679" s="44"/>
      <c r="E2679" s="44"/>
      <c r="F2679" s="44"/>
      <c r="G2679" s="44"/>
      <c r="H2679" s="46" t="str">
        <f aca="false">IF($A2679="","",IF(OR(NOT(ISNUMBER(E2679)),NOT(ISNUMBER(F2679))),"",MAX(0,E2679)*F2679))</f>
        <v/>
      </c>
      <c r="I2679" s="46" t="str">
        <f aca="false">IF($A2679="","",SUMIF($A$2:$A$5001,$A2679,$H$2:$H$5001))</f>
        <v/>
      </c>
      <c r="J2679" s="47" t="n">
        <f aca="false">IF($A2679="",0,IF(COUNTIF($A$2:A2679,$A2679)=1,1,0))</f>
        <v>0</v>
      </c>
      <c r="K2679" s="47" t="n">
        <f aca="false">IF(J2679=1,N(I2679)+ROW()/10000000,0)</f>
        <v>0</v>
      </c>
      <c r="L2679" s="47" t="str">
        <f aca="false">IF(AND(J2679=1,N(I2679)&gt;0),SUMIF($K$2:$K$5001,"&gt;="&amp;K2679,$I$2:$I$5001)/MAX(1,SUM($H$2:$H$5001)),"")</f>
        <v/>
      </c>
      <c r="M2679" s="47" t="str">
        <f aca="false">IF($A2679="","",INDEX($L$2:$L$5001,MATCH($A2679,$A$2:$A$5001,0)))</f>
        <v/>
      </c>
      <c r="N2679" s="48" t="str">
        <f aca="false">IF($A2679="","",IF(N(M2679)=0,"–",IF(M2679&lt;=Start!$D$20,"A",IF(M2679&lt;=Start!$D$21,"B","C"))))</f>
        <v/>
      </c>
      <c r="O2679" s="48" t="str">
        <f aca="false">IF($A2679="","",IF(NOT(ISNUMBER(F2679)),"Wert fehlt; ",IF(F2679&lt;=0,"Wert ist 0; ",""))&amp;IF(NOT(ISNUMBER(E2679)),"Bestand fehlt; ",IF(E2679&lt;0,"Bestand negativ; ",IF(E2679=0,"Nullbestand; ","")))&amp;IF(D2679="","Warengruppe fehlt; ","")&amp;IF(B2679="","Bezeichnung fehlt; ","")&amp;IF(COUNTIFS($A$2:$A$5001,$A2679,$C$2:$C$5001,C2679)&gt;1,"Artikel doppelt im selben Lager; ",""))</f>
        <v/>
      </c>
      <c r="P2679" s="47" t="n">
        <f aca="false">IF(OR($A2679="",D2679=""),0,IF(COUNTIF($D$2:D2679,D2679)=1,SUMIF($D$2:$D$5001,D2679,$H$2:$H$5001)+ROW()/10000000,0))</f>
        <v>0</v>
      </c>
      <c r="Q2679" s="47" t="n">
        <f aca="false">IF(OR($A2679="",C2679=""),0,IF(COUNTIF($C$2:C2679,C2679)=1,SUMIF($C$2:$C$5001,C2679,$H$2:$H$5001)+ROW()/10000000,0))</f>
        <v>0</v>
      </c>
    </row>
    <row r="2680" customFormat="false" ht="15" hidden="false" customHeight="false" outlineLevel="0" collapsed="false">
      <c r="A2680" s="43"/>
      <c r="B2680" s="44"/>
      <c r="C2680" s="44"/>
      <c r="D2680" s="44"/>
      <c r="E2680" s="44"/>
      <c r="F2680" s="44"/>
      <c r="G2680" s="44"/>
      <c r="H2680" s="46" t="str">
        <f aca="false">IF($A2680="","",IF(OR(NOT(ISNUMBER(E2680)),NOT(ISNUMBER(F2680))),"",MAX(0,E2680)*F2680))</f>
        <v/>
      </c>
      <c r="I2680" s="46" t="str">
        <f aca="false">IF($A2680="","",SUMIF($A$2:$A$5001,$A2680,$H$2:$H$5001))</f>
        <v/>
      </c>
      <c r="J2680" s="47" t="n">
        <f aca="false">IF($A2680="",0,IF(COUNTIF($A$2:A2680,$A2680)=1,1,0))</f>
        <v>0</v>
      </c>
      <c r="K2680" s="47" t="n">
        <f aca="false">IF(J2680=1,N(I2680)+ROW()/10000000,0)</f>
        <v>0</v>
      </c>
      <c r="L2680" s="47" t="str">
        <f aca="false">IF(AND(J2680=1,N(I2680)&gt;0),SUMIF($K$2:$K$5001,"&gt;="&amp;K2680,$I$2:$I$5001)/MAX(1,SUM($H$2:$H$5001)),"")</f>
        <v/>
      </c>
      <c r="M2680" s="47" t="str">
        <f aca="false">IF($A2680="","",INDEX($L$2:$L$5001,MATCH($A2680,$A$2:$A$5001,0)))</f>
        <v/>
      </c>
      <c r="N2680" s="48" t="str">
        <f aca="false">IF($A2680="","",IF(N(M2680)=0,"–",IF(M2680&lt;=Start!$D$20,"A",IF(M2680&lt;=Start!$D$21,"B","C"))))</f>
        <v/>
      </c>
      <c r="O2680" s="48" t="str">
        <f aca="false">IF($A2680="","",IF(NOT(ISNUMBER(F2680)),"Wert fehlt; ",IF(F2680&lt;=0,"Wert ist 0; ",""))&amp;IF(NOT(ISNUMBER(E2680)),"Bestand fehlt; ",IF(E2680&lt;0,"Bestand negativ; ",IF(E2680=0,"Nullbestand; ","")))&amp;IF(D2680="","Warengruppe fehlt; ","")&amp;IF(B2680="","Bezeichnung fehlt; ","")&amp;IF(COUNTIFS($A$2:$A$5001,$A2680,$C$2:$C$5001,C2680)&gt;1,"Artikel doppelt im selben Lager; ",""))</f>
        <v/>
      </c>
      <c r="P2680" s="47" t="n">
        <f aca="false">IF(OR($A2680="",D2680=""),0,IF(COUNTIF($D$2:D2680,D2680)=1,SUMIF($D$2:$D$5001,D2680,$H$2:$H$5001)+ROW()/10000000,0))</f>
        <v>0</v>
      </c>
      <c r="Q2680" s="47" t="n">
        <f aca="false">IF(OR($A2680="",C2680=""),0,IF(COUNTIF($C$2:C2680,C2680)=1,SUMIF($C$2:$C$5001,C2680,$H$2:$H$5001)+ROW()/10000000,0))</f>
        <v>0</v>
      </c>
    </row>
    <row r="2681" customFormat="false" ht="15" hidden="false" customHeight="false" outlineLevel="0" collapsed="false">
      <c r="A2681" s="43"/>
      <c r="B2681" s="44"/>
      <c r="C2681" s="44"/>
      <c r="D2681" s="44"/>
      <c r="E2681" s="44"/>
      <c r="F2681" s="44"/>
      <c r="G2681" s="44"/>
      <c r="H2681" s="46" t="str">
        <f aca="false">IF($A2681="","",IF(OR(NOT(ISNUMBER(E2681)),NOT(ISNUMBER(F2681))),"",MAX(0,E2681)*F2681))</f>
        <v/>
      </c>
      <c r="I2681" s="46" t="str">
        <f aca="false">IF($A2681="","",SUMIF($A$2:$A$5001,$A2681,$H$2:$H$5001))</f>
        <v/>
      </c>
      <c r="J2681" s="47" t="n">
        <f aca="false">IF($A2681="",0,IF(COUNTIF($A$2:A2681,$A2681)=1,1,0))</f>
        <v>0</v>
      </c>
      <c r="K2681" s="47" t="n">
        <f aca="false">IF(J2681=1,N(I2681)+ROW()/10000000,0)</f>
        <v>0</v>
      </c>
      <c r="L2681" s="47" t="str">
        <f aca="false">IF(AND(J2681=1,N(I2681)&gt;0),SUMIF($K$2:$K$5001,"&gt;="&amp;K2681,$I$2:$I$5001)/MAX(1,SUM($H$2:$H$5001)),"")</f>
        <v/>
      </c>
      <c r="M2681" s="47" t="str">
        <f aca="false">IF($A2681="","",INDEX($L$2:$L$5001,MATCH($A2681,$A$2:$A$5001,0)))</f>
        <v/>
      </c>
      <c r="N2681" s="48" t="str">
        <f aca="false">IF($A2681="","",IF(N(M2681)=0,"–",IF(M2681&lt;=Start!$D$20,"A",IF(M2681&lt;=Start!$D$21,"B","C"))))</f>
        <v/>
      </c>
      <c r="O2681" s="48" t="str">
        <f aca="false">IF($A2681="","",IF(NOT(ISNUMBER(F2681)),"Wert fehlt; ",IF(F2681&lt;=0,"Wert ist 0; ",""))&amp;IF(NOT(ISNUMBER(E2681)),"Bestand fehlt; ",IF(E2681&lt;0,"Bestand negativ; ",IF(E2681=0,"Nullbestand; ","")))&amp;IF(D2681="","Warengruppe fehlt; ","")&amp;IF(B2681="","Bezeichnung fehlt; ","")&amp;IF(COUNTIFS($A$2:$A$5001,$A2681,$C$2:$C$5001,C2681)&gt;1,"Artikel doppelt im selben Lager; ",""))</f>
        <v/>
      </c>
      <c r="P2681" s="47" t="n">
        <f aca="false">IF(OR($A2681="",D2681=""),0,IF(COUNTIF($D$2:D2681,D2681)=1,SUMIF($D$2:$D$5001,D2681,$H$2:$H$5001)+ROW()/10000000,0))</f>
        <v>0</v>
      </c>
      <c r="Q2681" s="47" t="n">
        <f aca="false">IF(OR($A2681="",C2681=""),0,IF(COUNTIF($C$2:C2681,C2681)=1,SUMIF($C$2:$C$5001,C2681,$H$2:$H$5001)+ROW()/10000000,0))</f>
        <v>0</v>
      </c>
    </row>
    <row r="2682" customFormat="false" ht="15" hidden="false" customHeight="false" outlineLevel="0" collapsed="false">
      <c r="A2682" s="43"/>
      <c r="B2682" s="44"/>
      <c r="C2682" s="44"/>
      <c r="D2682" s="44"/>
      <c r="E2682" s="44"/>
      <c r="F2682" s="44"/>
      <c r="G2682" s="44"/>
      <c r="H2682" s="46" t="str">
        <f aca="false">IF($A2682="","",IF(OR(NOT(ISNUMBER(E2682)),NOT(ISNUMBER(F2682))),"",MAX(0,E2682)*F2682))</f>
        <v/>
      </c>
      <c r="I2682" s="46" t="str">
        <f aca="false">IF($A2682="","",SUMIF($A$2:$A$5001,$A2682,$H$2:$H$5001))</f>
        <v/>
      </c>
      <c r="J2682" s="47" t="n">
        <f aca="false">IF($A2682="",0,IF(COUNTIF($A$2:A2682,$A2682)=1,1,0))</f>
        <v>0</v>
      </c>
      <c r="K2682" s="47" t="n">
        <f aca="false">IF(J2682=1,N(I2682)+ROW()/10000000,0)</f>
        <v>0</v>
      </c>
      <c r="L2682" s="47" t="str">
        <f aca="false">IF(AND(J2682=1,N(I2682)&gt;0),SUMIF($K$2:$K$5001,"&gt;="&amp;K2682,$I$2:$I$5001)/MAX(1,SUM($H$2:$H$5001)),"")</f>
        <v/>
      </c>
      <c r="M2682" s="47" t="str">
        <f aca="false">IF($A2682="","",INDEX($L$2:$L$5001,MATCH($A2682,$A$2:$A$5001,0)))</f>
        <v/>
      </c>
      <c r="N2682" s="48" t="str">
        <f aca="false">IF($A2682="","",IF(N(M2682)=0,"–",IF(M2682&lt;=Start!$D$20,"A",IF(M2682&lt;=Start!$D$21,"B","C"))))</f>
        <v/>
      </c>
      <c r="O2682" s="48" t="str">
        <f aca="false">IF($A2682="","",IF(NOT(ISNUMBER(F2682)),"Wert fehlt; ",IF(F2682&lt;=0,"Wert ist 0; ",""))&amp;IF(NOT(ISNUMBER(E2682)),"Bestand fehlt; ",IF(E2682&lt;0,"Bestand negativ; ",IF(E2682=0,"Nullbestand; ","")))&amp;IF(D2682="","Warengruppe fehlt; ","")&amp;IF(B2682="","Bezeichnung fehlt; ","")&amp;IF(COUNTIFS($A$2:$A$5001,$A2682,$C$2:$C$5001,C2682)&gt;1,"Artikel doppelt im selben Lager; ",""))</f>
        <v/>
      </c>
      <c r="P2682" s="47" t="n">
        <f aca="false">IF(OR($A2682="",D2682=""),0,IF(COUNTIF($D$2:D2682,D2682)=1,SUMIF($D$2:$D$5001,D2682,$H$2:$H$5001)+ROW()/10000000,0))</f>
        <v>0</v>
      </c>
      <c r="Q2682" s="47" t="n">
        <f aca="false">IF(OR($A2682="",C2682=""),0,IF(COUNTIF($C$2:C2682,C2682)=1,SUMIF($C$2:$C$5001,C2682,$H$2:$H$5001)+ROW()/10000000,0))</f>
        <v>0</v>
      </c>
    </row>
    <row r="2683" customFormat="false" ht="15" hidden="false" customHeight="false" outlineLevel="0" collapsed="false">
      <c r="A2683" s="43"/>
      <c r="B2683" s="44"/>
      <c r="C2683" s="44"/>
      <c r="D2683" s="44"/>
      <c r="E2683" s="44"/>
      <c r="F2683" s="44"/>
      <c r="G2683" s="44"/>
      <c r="H2683" s="46" t="str">
        <f aca="false">IF($A2683="","",IF(OR(NOT(ISNUMBER(E2683)),NOT(ISNUMBER(F2683))),"",MAX(0,E2683)*F2683))</f>
        <v/>
      </c>
      <c r="I2683" s="46" t="str">
        <f aca="false">IF($A2683="","",SUMIF($A$2:$A$5001,$A2683,$H$2:$H$5001))</f>
        <v/>
      </c>
      <c r="J2683" s="47" t="n">
        <f aca="false">IF($A2683="",0,IF(COUNTIF($A$2:A2683,$A2683)=1,1,0))</f>
        <v>0</v>
      </c>
      <c r="K2683" s="47" t="n">
        <f aca="false">IF(J2683=1,N(I2683)+ROW()/10000000,0)</f>
        <v>0</v>
      </c>
      <c r="L2683" s="47" t="str">
        <f aca="false">IF(AND(J2683=1,N(I2683)&gt;0),SUMIF($K$2:$K$5001,"&gt;="&amp;K2683,$I$2:$I$5001)/MAX(1,SUM($H$2:$H$5001)),"")</f>
        <v/>
      </c>
      <c r="M2683" s="47" t="str">
        <f aca="false">IF($A2683="","",INDEX($L$2:$L$5001,MATCH($A2683,$A$2:$A$5001,0)))</f>
        <v/>
      </c>
      <c r="N2683" s="48" t="str">
        <f aca="false">IF($A2683="","",IF(N(M2683)=0,"–",IF(M2683&lt;=Start!$D$20,"A",IF(M2683&lt;=Start!$D$21,"B","C"))))</f>
        <v/>
      </c>
      <c r="O2683" s="48" t="str">
        <f aca="false">IF($A2683="","",IF(NOT(ISNUMBER(F2683)),"Wert fehlt; ",IF(F2683&lt;=0,"Wert ist 0; ",""))&amp;IF(NOT(ISNUMBER(E2683)),"Bestand fehlt; ",IF(E2683&lt;0,"Bestand negativ; ",IF(E2683=0,"Nullbestand; ","")))&amp;IF(D2683="","Warengruppe fehlt; ","")&amp;IF(B2683="","Bezeichnung fehlt; ","")&amp;IF(COUNTIFS($A$2:$A$5001,$A2683,$C$2:$C$5001,C2683)&gt;1,"Artikel doppelt im selben Lager; ",""))</f>
        <v/>
      </c>
      <c r="P2683" s="47" t="n">
        <f aca="false">IF(OR($A2683="",D2683=""),0,IF(COUNTIF($D$2:D2683,D2683)=1,SUMIF($D$2:$D$5001,D2683,$H$2:$H$5001)+ROW()/10000000,0))</f>
        <v>0</v>
      </c>
      <c r="Q2683" s="47" t="n">
        <f aca="false">IF(OR($A2683="",C2683=""),0,IF(COUNTIF($C$2:C2683,C2683)=1,SUMIF($C$2:$C$5001,C2683,$H$2:$H$5001)+ROW()/10000000,0))</f>
        <v>0</v>
      </c>
    </row>
    <row r="2684" customFormat="false" ht="15" hidden="false" customHeight="false" outlineLevel="0" collapsed="false">
      <c r="A2684" s="43"/>
      <c r="B2684" s="44"/>
      <c r="C2684" s="44"/>
      <c r="D2684" s="44"/>
      <c r="E2684" s="44"/>
      <c r="F2684" s="44"/>
      <c r="G2684" s="44"/>
      <c r="H2684" s="46" t="str">
        <f aca="false">IF($A2684="","",IF(OR(NOT(ISNUMBER(E2684)),NOT(ISNUMBER(F2684))),"",MAX(0,E2684)*F2684))</f>
        <v/>
      </c>
      <c r="I2684" s="46" t="str">
        <f aca="false">IF($A2684="","",SUMIF($A$2:$A$5001,$A2684,$H$2:$H$5001))</f>
        <v/>
      </c>
      <c r="J2684" s="47" t="n">
        <f aca="false">IF($A2684="",0,IF(COUNTIF($A$2:A2684,$A2684)=1,1,0))</f>
        <v>0</v>
      </c>
      <c r="K2684" s="47" t="n">
        <f aca="false">IF(J2684=1,N(I2684)+ROW()/10000000,0)</f>
        <v>0</v>
      </c>
      <c r="L2684" s="47" t="str">
        <f aca="false">IF(AND(J2684=1,N(I2684)&gt;0),SUMIF($K$2:$K$5001,"&gt;="&amp;K2684,$I$2:$I$5001)/MAX(1,SUM($H$2:$H$5001)),"")</f>
        <v/>
      </c>
      <c r="M2684" s="47" t="str">
        <f aca="false">IF($A2684="","",INDEX($L$2:$L$5001,MATCH($A2684,$A$2:$A$5001,0)))</f>
        <v/>
      </c>
      <c r="N2684" s="48" t="str">
        <f aca="false">IF($A2684="","",IF(N(M2684)=0,"–",IF(M2684&lt;=Start!$D$20,"A",IF(M2684&lt;=Start!$D$21,"B","C"))))</f>
        <v/>
      </c>
      <c r="O2684" s="48" t="str">
        <f aca="false">IF($A2684="","",IF(NOT(ISNUMBER(F2684)),"Wert fehlt; ",IF(F2684&lt;=0,"Wert ist 0; ",""))&amp;IF(NOT(ISNUMBER(E2684)),"Bestand fehlt; ",IF(E2684&lt;0,"Bestand negativ; ",IF(E2684=0,"Nullbestand; ","")))&amp;IF(D2684="","Warengruppe fehlt; ","")&amp;IF(B2684="","Bezeichnung fehlt; ","")&amp;IF(COUNTIFS($A$2:$A$5001,$A2684,$C$2:$C$5001,C2684)&gt;1,"Artikel doppelt im selben Lager; ",""))</f>
        <v/>
      </c>
      <c r="P2684" s="47" t="n">
        <f aca="false">IF(OR($A2684="",D2684=""),0,IF(COUNTIF($D$2:D2684,D2684)=1,SUMIF($D$2:$D$5001,D2684,$H$2:$H$5001)+ROW()/10000000,0))</f>
        <v>0</v>
      </c>
      <c r="Q2684" s="47" t="n">
        <f aca="false">IF(OR($A2684="",C2684=""),0,IF(COUNTIF($C$2:C2684,C2684)=1,SUMIF($C$2:$C$5001,C2684,$H$2:$H$5001)+ROW()/10000000,0))</f>
        <v>0</v>
      </c>
    </row>
    <row r="2685" customFormat="false" ht="15" hidden="false" customHeight="false" outlineLevel="0" collapsed="false">
      <c r="A2685" s="43"/>
      <c r="B2685" s="44"/>
      <c r="C2685" s="44"/>
      <c r="D2685" s="44"/>
      <c r="E2685" s="44"/>
      <c r="F2685" s="44"/>
      <c r="G2685" s="44"/>
      <c r="H2685" s="46" t="str">
        <f aca="false">IF($A2685="","",IF(OR(NOT(ISNUMBER(E2685)),NOT(ISNUMBER(F2685))),"",MAX(0,E2685)*F2685))</f>
        <v/>
      </c>
      <c r="I2685" s="46" t="str">
        <f aca="false">IF($A2685="","",SUMIF($A$2:$A$5001,$A2685,$H$2:$H$5001))</f>
        <v/>
      </c>
      <c r="J2685" s="47" t="n">
        <f aca="false">IF($A2685="",0,IF(COUNTIF($A$2:A2685,$A2685)=1,1,0))</f>
        <v>0</v>
      </c>
      <c r="K2685" s="47" t="n">
        <f aca="false">IF(J2685=1,N(I2685)+ROW()/10000000,0)</f>
        <v>0</v>
      </c>
      <c r="L2685" s="47" t="str">
        <f aca="false">IF(AND(J2685=1,N(I2685)&gt;0),SUMIF($K$2:$K$5001,"&gt;="&amp;K2685,$I$2:$I$5001)/MAX(1,SUM($H$2:$H$5001)),"")</f>
        <v/>
      </c>
      <c r="M2685" s="47" t="str">
        <f aca="false">IF($A2685="","",INDEX($L$2:$L$5001,MATCH($A2685,$A$2:$A$5001,0)))</f>
        <v/>
      </c>
      <c r="N2685" s="48" t="str">
        <f aca="false">IF($A2685="","",IF(N(M2685)=0,"–",IF(M2685&lt;=Start!$D$20,"A",IF(M2685&lt;=Start!$D$21,"B","C"))))</f>
        <v/>
      </c>
      <c r="O2685" s="48" t="str">
        <f aca="false">IF($A2685="","",IF(NOT(ISNUMBER(F2685)),"Wert fehlt; ",IF(F2685&lt;=0,"Wert ist 0; ",""))&amp;IF(NOT(ISNUMBER(E2685)),"Bestand fehlt; ",IF(E2685&lt;0,"Bestand negativ; ",IF(E2685=0,"Nullbestand; ","")))&amp;IF(D2685="","Warengruppe fehlt; ","")&amp;IF(B2685="","Bezeichnung fehlt; ","")&amp;IF(COUNTIFS($A$2:$A$5001,$A2685,$C$2:$C$5001,C2685)&gt;1,"Artikel doppelt im selben Lager; ",""))</f>
        <v/>
      </c>
      <c r="P2685" s="47" t="n">
        <f aca="false">IF(OR($A2685="",D2685=""),0,IF(COUNTIF($D$2:D2685,D2685)=1,SUMIF($D$2:$D$5001,D2685,$H$2:$H$5001)+ROW()/10000000,0))</f>
        <v>0</v>
      </c>
      <c r="Q2685" s="47" t="n">
        <f aca="false">IF(OR($A2685="",C2685=""),0,IF(COUNTIF($C$2:C2685,C2685)=1,SUMIF($C$2:$C$5001,C2685,$H$2:$H$5001)+ROW()/10000000,0))</f>
        <v>0</v>
      </c>
    </row>
    <row r="2686" customFormat="false" ht="15" hidden="false" customHeight="false" outlineLevel="0" collapsed="false">
      <c r="A2686" s="43"/>
      <c r="B2686" s="44"/>
      <c r="C2686" s="44"/>
      <c r="D2686" s="44"/>
      <c r="E2686" s="44"/>
      <c r="F2686" s="44"/>
      <c r="G2686" s="44"/>
      <c r="H2686" s="46" t="str">
        <f aca="false">IF($A2686="","",IF(OR(NOT(ISNUMBER(E2686)),NOT(ISNUMBER(F2686))),"",MAX(0,E2686)*F2686))</f>
        <v/>
      </c>
      <c r="I2686" s="46" t="str">
        <f aca="false">IF($A2686="","",SUMIF($A$2:$A$5001,$A2686,$H$2:$H$5001))</f>
        <v/>
      </c>
      <c r="J2686" s="47" t="n">
        <f aca="false">IF($A2686="",0,IF(COUNTIF($A$2:A2686,$A2686)=1,1,0))</f>
        <v>0</v>
      </c>
      <c r="K2686" s="47" t="n">
        <f aca="false">IF(J2686=1,N(I2686)+ROW()/10000000,0)</f>
        <v>0</v>
      </c>
      <c r="L2686" s="47" t="str">
        <f aca="false">IF(AND(J2686=1,N(I2686)&gt;0),SUMIF($K$2:$K$5001,"&gt;="&amp;K2686,$I$2:$I$5001)/MAX(1,SUM($H$2:$H$5001)),"")</f>
        <v/>
      </c>
      <c r="M2686" s="47" t="str">
        <f aca="false">IF($A2686="","",INDEX($L$2:$L$5001,MATCH($A2686,$A$2:$A$5001,0)))</f>
        <v/>
      </c>
      <c r="N2686" s="48" t="str">
        <f aca="false">IF($A2686="","",IF(N(M2686)=0,"–",IF(M2686&lt;=Start!$D$20,"A",IF(M2686&lt;=Start!$D$21,"B","C"))))</f>
        <v/>
      </c>
      <c r="O2686" s="48" t="str">
        <f aca="false">IF($A2686="","",IF(NOT(ISNUMBER(F2686)),"Wert fehlt; ",IF(F2686&lt;=0,"Wert ist 0; ",""))&amp;IF(NOT(ISNUMBER(E2686)),"Bestand fehlt; ",IF(E2686&lt;0,"Bestand negativ; ",IF(E2686=0,"Nullbestand; ","")))&amp;IF(D2686="","Warengruppe fehlt; ","")&amp;IF(B2686="","Bezeichnung fehlt; ","")&amp;IF(COUNTIFS($A$2:$A$5001,$A2686,$C$2:$C$5001,C2686)&gt;1,"Artikel doppelt im selben Lager; ",""))</f>
        <v/>
      </c>
      <c r="P2686" s="47" t="n">
        <f aca="false">IF(OR($A2686="",D2686=""),0,IF(COUNTIF($D$2:D2686,D2686)=1,SUMIF($D$2:$D$5001,D2686,$H$2:$H$5001)+ROW()/10000000,0))</f>
        <v>0</v>
      </c>
      <c r="Q2686" s="47" t="n">
        <f aca="false">IF(OR($A2686="",C2686=""),0,IF(COUNTIF($C$2:C2686,C2686)=1,SUMIF($C$2:$C$5001,C2686,$H$2:$H$5001)+ROW()/10000000,0))</f>
        <v>0</v>
      </c>
    </row>
    <row r="2687" customFormat="false" ht="15" hidden="false" customHeight="false" outlineLevel="0" collapsed="false">
      <c r="A2687" s="43"/>
      <c r="B2687" s="44"/>
      <c r="C2687" s="44"/>
      <c r="D2687" s="44"/>
      <c r="E2687" s="44"/>
      <c r="F2687" s="44"/>
      <c r="G2687" s="44"/>
      <c r="H2687" s="46" t="str">
        <f aca="false">IF($A2687="","",IF(OR(NOT(ISNUMBER(E2687)),NOT(ISNUMBER(F2687))),"",MAX(0,E2687)*F2687))</f>
        <v/>
      </c>
      <c r="I2687" s="46" t="str">
        <f aca="false">IF($A2687="","",SUMIF($A$2:$A$5001,$A2687,$H$2:$H$5001))</f>
        <v/>
      </c>
      <c r="J2687" s="47" t="n">
        <f aca="false">IF($A2687="",0,IF(COUNTIF($A$2:A2687,$A2687)=1,1,0))</f>
        <v>0</v>
      </c>
      <c r="K2687" s="47" t="n">
        <f aca="false">IF(J2687=1,N(I2687)+ROW()/10000000,0)</f>
        <v>0</v>
      </c>
      <c r="L2687" s="47" t="str">
        <f aca="false">IF(AND(J2687=1,N(I2687)&gt;0),SUMIF($K$2:$K$5001,"&gt;="&amp;K2687,$I$2:$I$5001)/MAX(1,SUM($H$2:$H$5001)),"")</f>
        <v/>
      </c>
      <c r="M2687" s="47" t="str">
        <f aca="false">IF($A2687="","",INDEX($L$2:$L$5001,MATCH($A2687,$A$2:$A$5001,0)))</f>
        <v/>
      </c>
      <c r="N2687" s="48" t="str">
        <f aca="false">IF($A2687="","",IF(N(M2687)=0,"–",IF(M2687&lt;=Start!$D$20,"A",IF(M2687&lt;=Start!$D$21,"B","C"))))</f>
        <v/>
      </c>
      <c r="O2687" s="48" t="str">
        <f aca="false">IF($A2687="","",IF(NOT(ISNUMBER(F2687)),"Wert fehlt; ",IF(F2687&lt;=0,"Wert ist 0; ",""))&amp;IF(NOT(ISNUMBER(E2687)),"Bestand fehlt; ",IF(E2687&lt;0,"Bestand negativ; ",IF(E2687=0,"Nullbestand; ","")))&amp;IF(D2687="","Warengruppe fehlt; ","")&amp;IF(B2687="","Bezeichnung fehlt; ","")&amp;IF(COUNTIFS($A$2:$A$5001,$A2687,$C$2:$C$5001,C2687)&gt;1,"Artikel doppelt im selben Lager; ",""))</f>
        <v/>
      </c>
      <c r="P2687" s="47" t="n">
        <f aca="false">IF(OR($A2687="",D2687=""),0,IF(COUNTIF($D$2:D2687,D2687)=1,SUMIF($D$2:$D$5001,D2687,$H$2:$H$5001)+ROW()/10000000,0))</f>
        <v>0</v>
      </c>
      <c r="Q2687" s="47" t="n">
        <f aca="false">IF(OR($A2687="",C2687=""),0,IF(COUNTIF($C$2:C2687,C2687)=1,SUMIF($C$2:$C$5001,C2687,$H$2:$H$5001)+ROW()/10000000,0))</f>
        <v>0</v>
      </c>
    </row>
    <row r="2688" customFormat="false" ht="15" hidden="false" customHeight="false" outlineLevel="0" collapsed="false">
      <c r="A2688" s="43"/>
      <c r="B2688" s="44"/>
      <c r="C2688" s="44"/>
      <c r="D2688" s="44"/>
      <c r="E2688" s="44"/>
      <c r="F2688" s="44"/>
      <c r="G2688" s="44"/>
      <c r="H2688" s="46" t="str">
        <f aca="false">IF($A2688="","",IF(OR(NOT(ISNUMBER(E2688)),NOT(ISNUMBER(F2688))),"",MAX(0,E2688)*F2688))</f>
        <v/>
      </c>
      <c r="I2688" s="46" t="str">
        <f aca="false">IF($A2688="","",SUMIF($A$2:$A$5001,$A2688,$H$2:$H$5001))</f>
        <v/>
      </c>
      <c r="J2688" s="47" t="n">
        <f aca="false">IF($A2688="",0,IF(COUNTIF($A$2:A2688,$A2688)=1,1,0))</f>
        <v>0</v>
      </c>
      <c r="K2688" s="47" t="n">
        <f aca="false">IF(J2688=1,N(I2688)+ROW()/10000000,0)</f>
        <v>0</v>
      </c>
      <c r="L2688" s="47" t="str">
        <f aca="false">IF(AND(J2688=1,N(I2688)&gt;0),SUMIF($K$2:$K$5001,"&gt;="&amp;K2688,$I$2:$I$5001)/MAX(1,SUM($H$2:$H$5001)),"")</f>
        <v/>
      </c>
      <c r="M2688" s="47" t="str">
        <f aca="false">IF($A2688="","",INDEX($L$2:$L$5001,MATCH($A2688,$A$2:$A$5001,0)))</f>
        <v/>
      </c>
      <c r="N2688" s="48" t="str">
        <f aca="false">IF($A2688="","",IF(N(M2688)=0,"–",IF(M2688&lt;=Start!$D$20,"A",IF(M2688&lt;=Start!$D$21,"B","C"))))</f>
        <v/>
      </c>
      <c r="O2688" s="48" t="str">
        <f aca="false">IF($A2688="","",IF(NOT(ISNUMBER(F2688)),"Wert fehlt; ",IF(F2688&lt;=0,"Wert ist 0; ",""))&amp;IF(NOT(ISNUMBER(E2688)),"Bestand fehlt; ",IF(E2688&lt;0,"Bestand negativ; ",IF(E2688=0,"Nullbestand; ","")))&amp;IF(D2688="","Warengruppe fehlt; ","")&amp;IF(B2688="","Bezeichnung fehlt; ","")&amp;IF(COUNTIFS($A$2:$A$5001,$A2688,$C$2:$C$5001,C2688)&gt;1,"Artikel doppelt im selben Lager; ",""))</f>
        <v/>
      </c>
      <c r="P2688" s="47" t="n">
        <f aca="false">IF(OR($A2688="",D2688=""),0,IF(COUNTIF($D$2:D2688,D2688)=1,SUMIF($D$2:$D$5001,D2688,$H$2:$H$5001)+ROW()/10000000,0))</f>
        <v>0</v>
      </c>
      <c r="Q2688" s="47" t="n">
        <f aca="false">IF(OR($A2688="",C2688=""),0,IF(COUNTIF($C$2:C2688,C2688)=1,SUMIF($C$2:$C$5001,C2688,$H$2:$H$5001)+ROW()/10000000,0))</f>
        <v>0</v>
      </c>
    </row>
    <row r="2689" customFormat="false" ht="15" hidden="false" customHeight="false" outlineLevel="0" collapsed="false">
      <c r="A2689" s="43"/>
      <c r="B2689" s="44"/>
      <c r="C2689" s="44"/>
      <c r="D2689" s="44"/>
      <c r="E2689" s="44"/>
      <c r="F2689" s="44"/>
      <c r="G2689" s="44"/>
      <c r="H2689" s="46" t="str">
        <f aca="false">IF($A2689="","",IF(OR(NOT(ISNUMBER(E2689)),NOT(ISNUMBER(F2689))),"",MAX(0,E2689)*F2689))</f>
        <v/>
      </c>
      <c r="I2689" s="46" t="str">
        <f aca="false">IF($A2689="","",SUMIF($A$2:$A$5001,$A2689,$H$2:$H$5001))</f>
        <v/>
      </c>
      <c r="J2689" s="47" t="n">
        <f aca="false">IF($A2689="",0,IF(COUNTIF($A$2:A2689,$A2689)=1,1,0))</f>
        <v>0</v>
      </c>
      <c r="K2689" s="47" t="n">
        <f aca="false">IF(J2689=1,N(I2689)+ROW()/10000000,0)</f>
        <v>0</v>
      </c>
      <c r="L2689" s="47" t="str">
        <f aca="false">IF(AND(J2689=1,N(I2689)&gt;0),SUMIF($K$2:$K$5001,"&gt;="&amp;K2689,$I$2:$I$5001)/MAX(1,SUM($H$2:$H$5001)),"")</f>
        <v/>
      </c>
      <c r="M2689" s="47" t="str">
        <f aca="false">IF($A2689="","",INDEX($L$2:$L$5001,MATCH($A2689,$A$2:$A$5001,0)))</f>
        <v/>
      </c>
      <c r="N2689" s="48" t="str">
        <f aca="false">IF($A2689="","",IF(N(M2689)=0,"–",IF(M2689&lt;=Start!$D$20,"A",IF(M2689&lt;=Start!$D$21,"B","C"))))</f>
        <v/>
      </c>
      <c r="O2689" s="48" t="str">
        <f aca="false">IF($A2689="","",IF(NOT(ISNUMBER(F2689)),"Wert fehlt; ",IF(F2689&lt;=0,"Wert ist 0; ",""))&amp;IF(NOT(ISNUMBER(E2689)),"Bestand fehlt; ",IF(E2689&lt;0,"Bestand negativ; ",IF(E2689=0,"Nullbestand; ","")))&amp;IF(D2689="","Warengruppe fehlt; ","")&amp;IF(B2689="","Bezeichnung fehlt; ","")&amp;IF(COUNTIFS($A$2:$A$5001,$A2689,$C$2:$C$5001,C2689)&gt;1,"Artikel doppelt im selben Lager; ",""))</f>
        <v/>
      </c>
      <c r="P2689" s="47" t="n">
        <f aca="false">IF(OR($A2689="",D2689=""),0,IF(COUNTIF($D$2:D2689,D2689)=1,SUMIF($D$2:$D$5001,D2689,$H$2:$H$5001)+ROW()/10000000,0))</f>
        <v>0</v>
      </c>
      <c r="Q2689" s="47" t="n">
        <f aca="false">IF(OR($A2689="",C2689=""),0,IF(COUNTIF($C$2:C2689,C2689)=1,SUMIF($C$2:$C$5001,C2689,$H$2:$H$5001)+ROW()/10000000,0))</f>
        <v>0</v>
      </c>
    </row>
    <row r="2690" customFormat="false" ht="15" hidden="false" customHeight="false" outlineLevel="0" collapsed="false">
      <c r="A2690" s="43"/>
      <c r="B2690" s="44"/>
      <c r="C2690" s="44"/>
      <c r="D2690" s="44"/>
      <c r="E2690" s="44"/>
      <c r="F2690" s="44"/>
      <c r="G2690" s="44"/>
      <c r="H2690" s="46" t="str">
        <f aca="false">IF($A2690="","",IF(OR(NOT(ISNUMBER(E2690)),NOT(ISNUMBER(F2690))),"",MAX(0,E2690)*F2690))</f>
        <v/>
      </c>
      <c r="I2690" s="46" t="str">
        <f aca="false">IF($A2690="","",SUMIF($A$2:$A$5001,$A2690,$H$2:$H$5001))</f>
        <v/>
      </c>
      <c r="J2690" s="47" t="n">
        <f aca="false">IF($A2690="",0,IF(COUNTIF($A$2:A2690,$A2690)=1,1,0))</f>
        <v>0</v>
      </c>
      <c r="K2690" s="47" t="n">
        <f aca="false">IF(J2690=1,N(I2690)+ROW()/10000000,0)</f>
        <v>0</v>
      </c>
      <c r="L2690" s="47" t="str">
        <f aca="false">IF(AND(J2690=1,N(I2690)&gt;0),SUMIF($K$2:$K$5001,"&gt;="&amp;K2690,$I$2:$I$5001)/MAX(1,SUM($H$2:$H$5001)),"")</f>
        <v/>
      </c>
      <c r="M2690" s="47" t="str">
        <f aca="false">IF($A2690="","",INDEX($L$2:$L$5001,MATCH($A2690,$A$2:$A$5001,0)))</f>
        <v/>
      </c>
      <c r="N2690" s="48" t="str">
        <f aca="false">IF($A2690="","",IF(N(M2690)=0,"–",IF(M2690&lt;=Start!$D$20,"A",IF(M2690&lt;=Start!$D$21,"B","C"))))</f>
        <v/>
      </c>
      <c r="O2690" s="48" t="str">
        <f aca="false">IF($A2690="","",IF(NOT(ISNUMBER(F2690)),"Wert fehlt; ",IF(F2690&lt;=0,"Wert ist 0; ",""))&amp;IF(NOT(ISNUMBER(E2690)),"Bestand fehlt; ",IF(E2690&lt;0,"Bestand negativ; ",IF(E2690=0,"Nullbestand; ","")))&amp;IF(D2690="","Warengruppe fehlt; ","")&amp;IF(B2690="","Bezeichnung fehlt; ","")&amp;IF(COUNTIFS($A$2:$A$5001,$A2690,$C$2:$C$5001,C2690)&gt;1,"Artikel doppelt im selben Lager; ",""))</f>
        <v/>
      </c>
      <c r="P2690" s="47" t="n">
        <f aca="false">IF(OR($A2690="",D2690=""),0,IF(COUNTIF($D$2:D2690,D2690)=1,SUMIF($D$2:$D$5001,D2690,$H$2:$H$5001)+ROW()/10000000,0))</f>
        <v>0</v>
      </c>
      <c r="Q2690" s="47" t="n">
        <f aca="false">IF(OR($A2690="",C2690=""),0,IF(COUNTIF($C$2:C2690,C2690)=1,SUMIF($C$2:$C$5001,C2690,$H$2:$H$5001)+ROW()/10000000,0))</f>
        <v>0</v>
      </c>
    </row>
    <row r="2691" customFormat="false" ht="15" hidden="false" customHeight="false" outlineLevel="0" collapsed="false">
      <c r="A2691" s="43"/>
      <c r="B2691" s="44"/>
      <c r="C2691" s="44"/>
      <c r="D2691" s="44"/>
      <c r="E2691" s="44"/>
      <c r="F2691" s="44"/>
      <c r="G2691" s="44"/>
      <c r="H2691" s="46" t="str">
        <f aca="false">IF($A2691="","",IF(OR(NOT(ISNUMBER(E2691)),NOT(ISNUMBER(F2691))),"",MAX(0,E2691)*F2691))</f>
        <v/>
      </c>
      <c r="I2691" s="46" t="str">
        <f aca="false">IF($A2691="","",SUMIF($A$2:$A$5001,$A2691,$H$2:$H$5001))</f>
        <v/>
      </c>
      <c r="J2691" s="47" t="n">
        <f aca="false">IF($A2691="",0,IF(COUNTIF($A$2:A2691,$A2691)=1,1,0))</f>
        <v>0</v>
      </c>
      <c r="K2691" s="47" t="n">
        <f aca="false">IF(J2691=1,N(I2691)+ROW()/10000000,0)</f>
        <v>0</v>
      </c>
      <c r="L2691" s="47" t="str">
        <f aca="false">IF(AND(J2691=1,N(I2691)&gt;0),SUMIF($K$2:$K$5001,"&gt;="&amp;K2691,$I$2:$I$5001)/MAX(1,SUM($H$2:$H$5001)),"")</f>
        <v/>
      </c>
      <c r="M2691" s="47" t="str">
        <f aca="false">IF($A2691="","",INDEX($L$2:$L$5001,MATCH($A2691,$A$2:$A$5001,0)))</f>
        <v/>
      </c>
      <c r="N2691" s="48" t="str">
        <f aca="false">IF($A2691="","",IF(N(M2691)=0,"–",IF(M2691&lt;=Start!$D$20,"A",IF(M2691&lt;=Start!$D$21,"B","C"))))</f>
        <v/>
      </c>
      <c r="O2691" s="48" t="str">
        <f aca="false">IF($A2691="","",IF(NOT(ISNUMBER(F2691)),"Wert fehlt; ",IF(F2691&lt;=0,"Wert ist 0; ",""))&amp;IF(NOT(ISNUMBER(E2691)),"Bestand fehlt; ",IF(E2691&lt;0,"Bestand negativ; ",IF(E2691=0,"Nullbestand; ","")))&amp;IF(D2691="","Warengruppe fehlt; ","")&amp;IF(B2691="","Bezeichnung fehlt; ","")&amp;IF(COUNTIFS($A$2:$A$5001,$A2691,$C$2:$C$5001,C2691)&gt;1,"Artikel doppelt im selben Lager; ",""))</f>
        <v/>
      </c>
      <c r="P2691" s="47" t="n">
        <f aca="false">IF(OR($A2691="",D2691=""),0,IF(COUNTIF($D$2:D2691,D2691)=1,SUMIF($D$2:$D$5001,D2691,$H$2:$H$5001)+ROW()/10000000,0))</f>
        <v>0</v>
      </c>
      <c r="Q2691" s="47" t="n">
        <f aca="false">IF(OR($A2691="",C2691=""),0,IF(COUNTIF($C$2:C2691,C2691)=1,SUMIF($C$2:$C$5001,C2691,$H$2:$H$5001)+ROW()/10000000,0))</f>
        <v>0</v>
      </c>
    </row>
    <row r="2692" customFormat="false" ht="15" hidden="false" customHeight="false" outlineLevel="0" collapsed="false">
      <c r="A2692" s="43"/>
      <c r="B2692" s="44"/>
      <c r="C2692" s="44"/>
      <c r="D2692" s="44"/>
      <c r="E2692" s="44"/>
      <c r="F2692" s="44"/>
      <c r="G2692" s="44"/>
      <c r="H2692" s="46" t="str">
        <f aca="false">IF($A2692="","",IF(OR(NOT(ISNUMBER(E2692)),NOT(ISNUMBER(F2692))),"",MAX(0,E2692)*F2692))</f>
        <v/>
      </c>
      <c r="I2692" s="46" t="str">
        <f aca="false">IF($A2692="","",SUMIF($A$2:$A$5001,$A2692,$H$2:$H$5001))</f>
        <v/>
      </c>
      <c r="J2692" s="47" t="n">
        <f aca="false">IF($A2692="",0,IF(COUNTIF($A$2:A2692,$A2692)=1,1,0))</f>
        <v>0</v>
      </c>
      <c r="K2692" s="47" t="n">
        <f aca="false">IF(J2692=1,N(I2692)+ROW()/10000000,0)</f>
        <v>0</v>
      </c>
      <c r="L2692" s="47" t="str">
        <f aca="false">IF(AND(J2692=1,N(I2692)&gt;0),SUMIF($K$2:$K$5001,"&gt;="&amp;K2692,$I$2:$I$5001)/MAX(1,SUM($H$2:$H$5001)),"")</f>
        <v/>
      </c>
      <c r="M2692" s="47" t="str">
        <f aca="false">IF($A2692="","",INDEX($L$2:$L$5001,MATCH($A2692,$A$2:$A$5001,0)))</f>
        <v/>
      </c>
      <c r="N2692" s="48" t="str">
        <f aca="false">IF($A2692="","",IF(N(M2692)=0,"–",IF(M2692&lt;=Start!$D$20,"A",IF(M2692&lt;=Start!$D$21,"B","C"))))</f>
        <v/>
      </c>
      <c r="O2692" s="48" t="str">
        <f aca="false">IF($A2692="","",IF(NOT(ISNUMBER(F2692)),"Wert fehlt; ",IF(F2692&lt;=0,"Wert ist 0; ",""))&amp;IF(NOT(ISNUMBER(E2692)),"Bestand fehlt; ",IF(E2692&lt;0,"Bestand negativ; ",IF(E2692=0,"Nullbestand; ","")))&amp;IF(D2692="","Warengruppe fehlt; ","")&amp;IF(B2692="","Bezeichnung fehlt; ","")&amp;IF(COUNTIFS($A$2:$A$5001,$A2692,$C$2:$C$5001,C2692)&gt;1,"Artikel doppelt im selben Lager; ",""))</f>
        <v/>
      </c>
      <c r="P2692" s="47" t="n">
        <f aca="false">IF(OR($A2692="",D2692=""),0,IF(COUNTIF($D$2:D2692,D2692)=1,SUMIF($D$2:$D$5001,D2692,$H$2:$H$5001)+ROW()/10000000,0))</f>
        <v>0</v>
      </c>
      <c r="Q2692" s="47" t="n">
        <f aca="false">IF(OR($A2692="",C2692=""),0,IF(COUNTIF($C$2:C2692,C2692)=1,SUMIF($C$2:$C$5001,C2692,$H$2:$H$5001)+ROW()/10000000,0))</f>
        <v>0</v>
      </c>
    </row>
    <row r="2693" customFormat="false" ht="15" hidden="false" customHeight="false" outlineLevel="0" collapsed="false">
      <c r="A2693" s="43"/>
      <c r="B2693" s="44"/>
      <c r="C2693" s="44"/>
      <c r="D2693" s="44"/>
      <c r="E2693" s="44"/>
      <c r="F2693" s="44"/>
      <c r="G2693" s="44"/>
      <c r="H2693" s="46" t="str">
        <f aca="false">IF($A2693="","",IF(OR(NOT(ISNUMBER(E2693)),NOT(ISNUMBER(F2693))),"",MAX(0,E2693)*F2693))</f>
        <v/>
      </c>
      <c r="I2693" s="46" t="str">
        <f aca="false">IF($A2693="","",SUMIF($A$2:$A$5001,$A2693,$H$2:$H$5001))</f>
        <v/>
      </c>
      <c r="J2693" s="47" t="n">
        <f aca="false">IF($A2693="",0,IF(COUNTIF($A$2:A2693,$A2693)=1,1,0))</f>
        <v>0</v>
      </c>
      <c r="K2693" s="47" t="n">
        <f aca="false">IF(J2693=1,N(I2693)+ROW()/10000000,0)</f>
        <v>0</v>
      </c>
      <c r="L2693" s="47" t="str">
        <f aca="false">IF(AND(J2693=1,N(I2693)&gt;0),SUMIF($K$2:$K$5001,"&gt;="&amp;K2693,$I$2:$I$5001)/MAX(1,SUM($H$2:$H$5001)),"")</f>
        <v/>
      </c>
      <c r="M2693" s="47" t="str">
        <f aca="false">IF($A2693="","",INDEX($L$2:$L$5001,MATCH($A2693,$A$2:$A$5001,0)))</f>
        <v/>
      </c>
      <c r="N2693" s="48" t="str">
        <f aca="false">IF($A2693="","",IF(N(M2693)=0,"–",IF(M2693&lt;=Start!$D$20,"A",IF(M2693&lt;=Start!$D$21,"B","C"))))</f>
        <v/>
      </c>
      <c r="O2693" s="48" t="str">
        <f aca="false">IF($A2693="","",IF(NOT(ISNUMBER(F2693)),"Wert fehlt; ",IF(F2693&lt;=0,"Wert ist 0; ",""))&amp;IF(NOT(ISNUMBER(E2693)),"Bestand fehlt; ",IF(E2693&lt;0,"Bestand negativ; ",IF(E2693=0,"Nullbestand; ","")))&amp;IF(D2693="","Warengruppe fehlt; ","")&amp;IF(B2693="","Bezeichnung fehlt; ","")&amp;IF(COUNTIFS($A$2:$A$5001,$A2693,$C$2:$C$5001,C2693)&gt;1,"Artikel doppelt im selben Lager; ",""))</f>
        <v/>
      </c>
      <c r="P2693" s="47" t="n">
        <f aca="false">IF(OR($A2693="",D2693=""),0,IF(COUNTIF($D$2:D2693,D2693)=1,SUMIF($D$2:$D$5001,D2693,$H$2:$H$5001)+ROW()/10000000,0))</f>
        <v>0</v>
      </c>
      <c r="Q2693" s="47" t="n">
        <f aca="false">IF(OR($A2693="",C2693=""),0,IF(COUNTIF($C$2:C2693,C2693)=1,SUMIF($C$2:$C$5001,C2693,$H$2:$H$5001)+ROW()/10000000,0))</f>
        <v>0</v>
      </c>
    </row>
    <row r="2694" customFormat="false" ht="15" hidden="false" customHeight="false" outlineLevel="0" collapsed="false">
      <c r="A2694" s="43"/>
      <c r="B2694" s="44"/>
      <c r="C2694" s="44"/>
      <c r="D2694" s="44"/>
      <c r="E2694" s="44"/>
      <c r="F2694" s="44"/>
      <c r="G2694" s="44"/>
      <c r="H2694" s="46" t="str">
        <f aca="false">IF($A2694="","",IF(OR(NOT(ISNUMBER(E2694)),NOT(ISNUMBER(F2694))),"",MAX(0,E2694)*F2694))</f>
        <v/>
      </c>
      <c r="I2694" s="46" t="str">
        <f aca="false">IF($A2694="","",SUMIF($A$2:$A$5001,$A2694,$H$2:$H$5001))</f>
        <v/>
      </c>
      <c r="J2694" s="47" t="n">
        <f aca="false">IF($A2694="",0,IF(COUNTIF($A$2:A2694,$A2694)=1,1,0))</f>
        <v>0</v>
      </c>
      <c r="K2694" s="47" t="n">
        <f aca="false">IF(J2694=1,N(I2694)+ROW()/10000000,0)</f>
        <v>0</v>
      </c>
      <c r="L2694" s="47" t="str">
        <f aca="false">IF(AND(J2694=1,N(I2694)&gt;0),SUMIF($K$2:$K$5001,"&gt;="&amp;K2694,$I$2:$I$5001)/MAX(1,SUM($H$2:$H$5001)),"")</f>
        <v/>
      </c>
      <c r="M2694" s="47" t="str">
        <f aca="false">IF($A2694="","",INDEX($L$2:$L$5001,MATCH($A2694,$A$2:$A$5001,0)))</f>
        <v/>
      </c>
      <c r="N2694" s="48" t="str">
        <f aca="false">IF($A2694="","",IF(N(M2694)=0,"–",IF(M2694&lt;=Start!$D$20,"A",IF(M2694&lt;=Start!$D$21,"B","C"))))</f>
        <v/>
      </c>
      <c r="O2694" s="48" t="str">
        <f aca="false">IF($A2694="","",IF(NOT(ISNUMBER(F2694)),"Wert fehlt; ",IF(F2694&lt;=0,"Wert ist 0; ",""))&amp;IF(NOT(ISNUMBER(E2694)),"Bestand fehlt; ",IF(E2694&lt;0,"Bestand negativ; ",IF(E2694=0,"Nullbestand; ","")))&amp;IF(D2694="","Warengruppe fehlt; ","")&amp;IF(B2694="","Bezeichnung fehlt; ","")&amp;IF(COUNTIFS($A$2:$A$5001,$A2694,$C$2:$C$5001,C2694)&gt;1,"Artikel doppelt im selben Lager; ",""))</f>
        <v/>
      </c>
      <c r="P2694" s="47" t="n">
        <f aca="false">IF(OR($A2694="",D2694=""),0,IF(COUNTIF($D$2:D2694,D2694)=1,SUMIF($D$2:$D$5001,D2694,$H$2:$H$5001)+ROW()/10000000,0))</f>
        <v>0</v>
      </c>
      <c r="Q2694" s="47" t="n">
        <f aca="false">IF(OR($A2694="",C2694=""),0,IF(COUNTIF($C$2:C2694,C2694)=1,SUMIF($C$2:$C$5001,C2694,$H$2:$H$5001)+ROW()/10000000,0))</f>
        <v>0</v>
      </c>
    </row>
    <row r="2695" customFormat="false" ht="15" hidden="false" customHeight="false" outlineLevel="0" collapsed="false">
      <c r="A2695" s="43"/>
      <c r="B2695" s="44"/>
      <c r="C2695" s="44"/>
      <c r="D2695" s="44"/>
      <c r="E2695" s="44"/>
      <c r="F2695" s="44"/>
      <c r="G2695" s="44"/>
      <c r="H2695" s="46" t="str">
        <f aca="false">IF($A2695="","",IF(OR(NOT(ISNUMBER(E2695)),NOT(ISNUMBER(F2695))),"",MAX(0,E2695)*F2695))</f>
        <v/>
      </c>
      <c r="I2695" s="46" t="str">
        <f aca="false">IF($A2695="","",SUMIF($A$2:$A$5001,$A2695,$H$2:$H$5001))</f>
        <v/>
      </c>
      <c r="J2695" s="47" t="n">
        <f aca="false">IF($A2695="",0,IF(COUNTIF($A$2:A2695,$A2695)=1,1,0))</f>
        <v>0</v>
      </c>
      <c r="K2695" s="47" t="n">
        <f aca="false">IF(J2695=1,N(I2695)+ROW()/10000000,0)</f>
        <v>0</v>
      </c>
      <c r="L2695" s="47" t="str">
        <f aca="false">IF(AND(J2695=1,N(I2695)&gt;0),SUMIF($K$2:$K$5001,"&gt;="&amp;K2695,$I$2:$I$5001)/MAX(1,SUM($H$2:$H$5001)),"")</f>
        <v/>
      </c>
      <c r="M2695" s="47" t="str">
        <f aca="false">IF($A2695="","",INDEX($L$2:$L$5001,MATCH($A2695,$A$2:$A$5001,0)))</f>
        <v/>
      </c>
      <c r="N2695" s="48" t="str">
        <f aca="false">IF($A2695="","",IF(N(M2695)=0,"–",IF(M2695&lt;=Start!$D$20,"A",IF(M2695&lt;=Start!$D$21,"B","C"))))</f>
        <v/>
      </c>
      <c r="O2695" s="48" t="str">
        <f aca="false">IF($A2695="","",IF(NOT(ISNUMBER(F2695)),"Wert fehlt; ",IF(F2695&lt;=0,"Wert ist 0; ",""))&amp;IF(NOT(ISNUMBER(E2695)),"Bestand fehlt; ",IF(E2695&lt;0,"Bestand negativ; ",IF(E2695=0,"Nullbestand; ","")))&amp;IF(D2695="","Warengruppe fehlt; ","")&amp;IF(B2695="","Bezeichnung fehlt; ","")&amp;IF(COUNTIFS($A$2:$A$5001,$A2695,$C$2:$C$5001,C2695)&gt;1,"Artikel doppelt im selben Lager; ",""))</f>
        <v/>
      </c>
      <c r="P2695" s="47" t="n">
        <f aca="false">IF(OR($A2695="",D2695=""),0,IF(COUNTIF($D$2:D2695,D2695)=1,SUMIF($D$2:$D$5001,D2695,$H$2:$H$5001)+ROW()/10000000,0))</f>
        <v>0</v>
      </c>
      <c r="Q2695" s="47" t="n">
        <f aca="false">IF(OR($A2695="",C2695=""),0,IF(COUNTIF($C$2:C2695,C2695)=1,SUMIF($C$2:$C$5001,C2695,$H$2:$H$5001)+ROW()/10000000,0))</f>
        <v>0</v>
      </c>
    </row>
    <row r="2696" customFormat="false" ht="15" hidden="false" customHeight="false" outlineLevel="0" collapsed="false">
      <c r="A2696" s="43"/>
      <c r="B2696" s="44"/>
      <c r="C2696" s="44"/>
      <c r="D2696" s="44"/>
      <c r="E2696" s="44"/>
      <c r="F2696" s="44"/>
      <c r="G2696" s="44"/>
      <c r="H2696" s="46" t="str">
        <f aca="false">IF($A2696="","",IF(OR(NOT(ISNUMBER(E2696)),NOT(ISNUMBER(F2696))),"",MAX(0,E2696)*F2696))</f>
        <v/>
      </c>
      <c r="I2696" s="46" t="str">
        <f aca="false">IF($A2696="","",SUMIF($A$2:$A$5001,$A2696,$H$2:$H$5001))</f>
        <v/>
      </c>
      <c r="J2696" s="47" t="n">
        <f aca="false">IF($A2696="",0,IF(COUNTIF($A$2:A2696,$A2696)=1,1,0))</f>
        <v>0</v>
      </c>
      <c r="K2696" s="47" t="n">
        <f aca="false">IF(J2696=1,N(I2696)+ROW()/10000000,0)</f>
        <v>0</v>
      </c>
      <c r="L2696" s="47" t="str">
        <f aca="false">IF(AND(J2696=1,N(I2696)&gt;0),SUMIF($K$2:$K$5001,"&gt;="&amp;K2696,$I$2:$I$5001)/MAX(1,SUM($H$2:$H$5001)),"")</f>
        <v/>
      </c>
      <c r="M2696" s="47" t="str">
        <f aca="false">IF($A2696="","",INDEX($L$2:$L$5001,MATCH($A2696,$A$2:$A$5001,0)))</f>
        <v/>
      </c>
      <c r="N2696" s="48" t="str">
        <f aca="false">IF($A2696="","",IF(N(M2696)=0,"–",IF(M2696&lt;=Start!$D$20,"A",IF(M2696&lt;=Start!$D$21,"B","C"))))</f>
        <v/>
      </c>
      <c r="O2696" s="48" t="str">
        <f aca="false">IF($A2696="","",IF(NOT(ISNUMBER(F2696)),"Wert fehlt; ",IF(F2696&lt;=0,"Wert ist 0; ",""))&amp;IF(NOT(ISNUMBER(E2696)),"Bestand fehlt; ",IF(E2696&lt;0,"Bestand negativ; ",IF(E2696=0,"Nullbestand; ","")))&amp;IF(D2696="","Warengruppe fehlt; ","")&amp;IF(B2696="","Bezeichnung fehlt; ","")&amp;IF(COUNTIFS($A$2:$A$5001,$A2696,$C$2:$C$5001,C2696)&gt;1,"Artikel doppelt im selben Lager; ",""))</f>
        <v/>
      </c>
      <c r="P2696" s="47" t="n">
        <f aca="false">IF(OR($A2696="",D2696=""),0,IF(COUNTIF($D$2:D2696,D2696)=1,SUMIF($D$2:$D$5001,D2696,$H$2:$H$5001)+ROW()/10000000,0))</f>
        <v>0</v>
      </c>
      <c r="Q2696" s="47" t="n">
        <f aca="false">IF(OR($A2696="",C2696=""),0,IF(COUNTIF($C$2:C2696,C2696)=1,SUMIF($C$2:$C$5001,C2696,$H$2:$H$5001)+ROW()/10000000,0))</f>
        <v>0</v>
      </c>
    </row>
    <row r="2697" customFormat="false" ht="15" hidden="false" customHeight="false" outlineLevel="0" collapsed="false">
      <c r="A2697" s="43"/>
      <c r="B2697" s="44"/>
      <c r="C2697" s="44"/>
      <c r="D2697" s="44"/>
      <c r="E2697" s="44"/>
      <c r="F2697" s="44"/>
      <c r="G2697" s="44"/>
      <c r="H2697" s="46" t="str">
        <f aca="false">IF($A2697="","",IF(OR(NOT(ISNUMBER(E2697)),NOT(ISNUMBER(F2697))),"",MAX(0,E2697)*F2697))</f>
        <v/>
      </c>
      <c r="I2697" s="46" t="str">
        <f aca="false">IF($A2697="","",SUMIF($A$2:$A$5001,$A2697,$H$2:$H$5001))</f>
        <v/>
      </c>
      <c r="J2697" s="47" t="n">
        <f aca="false">IF($A2697="",0,IF(COUNTIF($A$2:A2697,$A2697)=1,1,0))</f>
        <v>0</v>
      </c>
      <c r="K2697" s="47" t="n">
        <f aca="false">IF(J2697=1,N(I2697)+ROW()/10000000,0)</f>
        <v>0</v>
      </c>
      <c r="L2697" s="47" t="str">
        <f aca="false">IF(AND(J2697=1,N(I2697)&gt;0),SUMIF($K$2:$K$5001,"&gt;="&amp;K2697,$I$2:$I$5001)/MAX(1,SUM($H$2:$H$5001)),"")</f>
        <v/>
      </c>
      <c r="M2697" s="47" t="str">
        <f aca="false">IF($A2697="","",INDEX($L$2:$L$5001,MATCH($A2697,$A$2:$A$5001,0)))</f>
        <v/>
      </c>
      <c r="N2697" s="48" t="str">
        <f aca="false">IF($A2697="","",IF(N(M2697)=0,"–",IF(M2697&lt;=Start!$D$20,"A",IF(M2697&lt;=Start!$D$21,"B","C"))))</f>
        <v/>
      </c>
      <c r="O2697" s="48" t="str">
        <f aca="false">IF($A2697="","",IF(NOT(ISNUMBER(F2697)),"Wert fehlt; ",IF(F2697&lt;=0,"Wert ist 0; ",""))&amp;IF(NOT(ISNUMBER(E2697)),"Bestand fehlt; ",IF(E2697&lt;0,"Bestand negativ; ",IF(E2697=0,"Nullbestand; ","")))&amp;IF(D2697="","Warengruppe fehlt; ","")&amp;IF(B2697="","Bezeichnung fehlt; ","")&amp;IF(COUNTIFS($A$2:$A$5001,$A2697,$C$2:$C$5001,C2697)&gt;1,"Artikel doppelt im selben Lager; ",""))</f>
        <v/>
      </c>
      <c r="P2697" s="47" t="n">
        <f aca="false">IF(OR($A2697="",D2697=""),0,IF(COUNTIF($D$2:D2697,D2697)=1,SUMIF($D$2:$D$5001,D2697,$H$2:$H$5001)+ROW()/10000000,0))</f>
        <v>0</v>
      </c>
      <c r="Q2697" s="47" t="n">
        <f aca="false">IF(OR($A2697="",C2697=""),0,IF(COUNTIF($C$2:C2697,C2697)=1,SUMIF($C$2:$C$5001,C2697,$H$2:$H$5001)+ROW()/10000000,0))</f>
        <v>0</v>
      </c>
    </row>
    <row r="2698" customFormat="false" ht="15" hidden="false" customHeight="false" outlineLevel="0" collapsed="false">
      <c r="A2698" s="43"/>
      <c r="B2698" s="44"/>
      <c r="C2698" s="44"/>
      <c r="D2698" s="44"/>
      <c r="E2698" s="44"/>
      <c r="F2698" s="44"/>
      <c r="G2698" s="44"/>
      <c r="H2698" s="46" t="str">
        <f aca="false">IF($A2698="","",IF(OR(NOT(ISNUMBER(E2698)),NOT(ISNUMBER(F2698))),"",MAX(0,E2698)*F2698))</f>
        <v/>
      </c>
      <c r="I2698" s="46" t="str">
        <f aca="false">IF($A2698="","",SUMIF($A$2:$A$5001,$A2698,$H$2:$H$5001))</f>
        <v/>
      </c>
      <c r="J2698" s="47" t="n">
        <f aca="false">IF($A2698="",0,IF(COUNTIF($A$2:A2698,$A2698)=1,1,0))</f>
        <v>0</v>
      </c>
      <c r="K2698" s="47" t="n">
        <f aca="false">IF(J2698=1,N(I2698)+ROW()/10000000,0)</f>
        <v>0</v>
      </c>
      <c r="L2698" s="47" t="str">
        <f aca="false">IF(AND(J2698=1,N(I2698)&gt;0),SUMIF($K$2:$K$5001,"&gt;="&amp;K2698,$I$2:$I$5001)/MAX(1,SUM($H$2:$H$5001)),"")</f>
        <v/>
      </c>
      <c r="M2698" s="47" t="str">
        <f aca="false">IF($A2698="","",INDEX($L$2:$L$5001,MATCH($A2698,$A$2:$A$5001,0)))</f>
        <v/>
      </c>
      <c r="N2698" s="48" t="str">
        <f aca="false">IF($A2698="","",IF(N(M2698)=0,"–",IF(M2698&lt;=Start!$D$20,"A",IF(M2698&lt;=Start!$D$21,"B","C"))))</f>
        <v/>
      </c>
      <c r="O2698" s="48" t="str">
        <f aca="false">IF($A2698="","",IF(NOT(ISNUMBER(F2698)),"Wert fehlt; ",IF(F2698&lt;=0,"Wert ist 0; ",""))&amp;IF(NOT(ISNUMBER(E2698)),"Bestand fehlt; ",IF(E2698&lt;0,"Bestand negativ; ",IF(E2698=0,"Nullbestand; ","")))&amp;IF(D2698="","Warengruppe fehlt; ","")&amp;IF(B2698="","Bezeichnung fehlt; ","")&amp;IF(COUNTIFS($A$2:$A$5001,$A2698,$C$2:$C$5001,C2698)&gt;1,"Artikel doppelt im selben Lager; ",""))</f>
        <v/>
      </c>
      <c r="P2698" s="47" t="n">
        <f aca="false">IF(OR($A2698="",D2698=""),0,IF(COUNTIF($D$2:D2698,D2698)=1,SUMIF($D$2:$D$5001,D2698,$H$2:$H$5001)+ROW()/10000000,0))</f>
        <v>0</v>
      </c>
      <c r="Q2698" s="47" t="n">
        <f aca="false">IF(OR($A2698="",C2698=""),0,IF(COUNTIF($C$2:C2698,C2698)=1,SUMIF($C$2:$C$5001,C2698,$H$2:$H$5001)+ROW()/10000000,0))</f>
        <v>0</v>
      </c>
    </row>
    <row r="2699" customFormat="false" ht="15" hidden="false" customHeight="false" outlineLevel="0" collapsed="false">
      <c r="A2699" s="43"/>
      <c r="B2699" s="44"/>
      <c r="C2699" s="44"/>
      <c r="D2699" s="44"/>
      <c r="E2699" s="44"/>
      <c r="F2699" s="44"/>
      <c r="G2699" s="44"/>
      <c r="H2699" s="46" t="str">
        <f aca="false">IF($A2699="","",IF(OR(NOT(ISNUMBER(E2699)),NOT(ISNUMBER(F2699))),"",MAX(0,E2699)*F2699))</f>
        <v/>
      </c>
      <c r="I2699" s="46" t="str">
        <f aca="false">IF($A2699="","",SUMIF($A$2:$A$5001,$A2699,$H$2:$H$5001))</f>
        <v/>
      </c>
      <c r="J2699" s="47" t="n">
        <f aca="false">IF($A2699="",0,IF(COUNTIF($A$2:A2699,$A2699)=1,1,0))</f>
        <v>0</v>
      </c>
      <c r="K2699" s="47" t="n">
        <f aca="false">IF(J2699=1,N(I2699)+ROW()/10000000,0)</f>
        <v>0</v>
      </c>
      <c r="L2699" s="47" t="str">
        <f aca="false">IF(AND(J2699=1,N(I2699)&gt;0),SUMIF($K$2:$K$5001,"&gt;="&amp;K2699,$I$2:$I$5001)/MAX(1,SUM($H$2:$H$5001)),"")</f>
        <v/>
      </c>
      <c r="M2699" s="47" t="str">
        <f aca="false">IF($A2699="","",INDEX($L$2:$L$5001,MATCH($A2699,$A$2:$A$5001,0)))</f>
        <v/>
      </c>
      <c r="N2699" s="48" t="str">
        <f aca="false">IF($A2699="","",IF(N(M2699)=0,"–",IF(M2699&lt;=Start!$D$20,"A",IF(M2699&lt;=Start!$D$21,"B","C"))))</f>
        <v/>
      </c>
      <c r="O2699" s="48" t="str">
        <f aca="false">IF($A2699="","",IF(NOT(ISNUMBER(F2699)),"Wert fehlt; ",IF(F2699&lt;=0,"Wert ist 0; ",""))&amp;IF(NOT(ISNUMBER(E2699)),"Bestand fehlt; ",IF(E2699&lt;0,"Bestand negativ; ",IF(E2699=0,"Nullbestand; ","")))&amp;IF(D2699="","Warengruppe fehlt; ","")&amp;IF(B2699="","Bezeichnung fehlt; ","")&amp;IF(COUNTIFS($A$2:$A$5001,$A2699,$C$2:$C$5001,C2699)&gt;1,"Artikel doppelt im selben Lager; ",""))</f>
        <v/>
      </c>
      <c r="P2699" s="47" t="n">
        <f aca="false">IF(OR($A2699="",D2699=""),0,IF(COUNTIF($D$2:D2699,D2699)=1,SUMIF($D$2:$D$5001,D2699,$H$2:$H$5001)+ROW()/10000000,0))</f>
        <v>0</v>
      </c>
      <c r="Q2699" s="47" t="n">
        <f aca="false">IF(OR($A2699="",C2699=""),0,IF(COUNTIF($C$2:C2699,C2699)=1,SUMIF($C$2:$C$5001,C2699,$H$2:$H$5001)+ROW()/10000000,0))</f>
        <v>0</v>
      </c>
    </row>
    <row r="2700" customFormat="false" ht="15" hidden="false" customHeight="false" outlineLevel="0" collapsed="false">
      <c r="A2700" s="43"/>
      <c r="B2700" s="44"/>
      <c r="C2700" s="44"/>
      <c r="D2700" s="44"/>
      <c r="E2700" s="44"/>
      <c r="F2700" s="44"/>
      <c r="G2700" s="44"/>
      <c r="H2700" s="46" t="str">
        <f aca="false">IF($A2700="","",IF(OR(NOT(ISNUMBER(E2700)),NOT(ISNUMBER(F2700))),"",MAX(0,E2700)*F2700))</f>
        <v/>
      </c>
      <c r="I2700" s="46" t="str">
        <f aca="false">IF($A2700="","",SUMIF($A$2:$A$5001,$A2700,$H$2:$H$5001))</f>
        <v/>
      </c>
      <c r="J2700" s="47" t="n">
        <f aca="false">IF($A2700="",0,IF(COUNTIF($A$2:A2700,$A2700)=1,1,0))</f>
        <v>0</v>
      </c>
      <c r="K2700" s="47" t="n">
        <f aca="false">IF(J2700=1,N(I2700)+ROW()/10000000,0)</f>
        <v>0</v>
      </c>
      <c r="L2700" s="47" t="str">
        <f aca="false">IF(AND(J2700=1,N(I2700)&gt;0),SUMIF($K$2:$K$5001,"&gt;="&amp;K2700,$I$2:$I$5001)/MAX(1,SUM($H$2:$H$5001)),"")</f>
        <v/>
      </c>
      <c r="M2700" s="47" t="str">
        <f aca="false">IF($A2700="","",INDEX($L$2:$L$5001,MATCH($A2700,$A$2:$A$5001,0)))</f>
        <v/>
      </c>
      <c r="N2700" s="48" t="str">
        <f aca="false">IF($A2700="","",IF(N(M2700)=0,"–",IF(M2700&lt;=Start!$D$20,"A",IF(M2700&lt;=Start!$D$21,"B","C"))))</f>
        <v/>
      </c>
      <c r="O2700" s="48" t="str">
        <f aca="false">IF($A2700="","",IF(NOT(ISNUMBER(F2700)),"Wert fehlt; ",IF(F2700&lt;=0,"Wert ist 0; ",""))&amp;IF(NOT(ISNUMBER(E2700)),"Bestand fehlt; ",IF(E2700&lt;0,"Bestand negativ; ",IF(E2700=0,"Nullbestand; ","")))&amp;IF(D2700="","Warengruppe fehlt; ","")&amp;IF(B2700="","Bezeichnung fehlt; ","")&amp;IF(COUNTIFS($A$2:$A$5001,$A2700,$C$2:$C$5001,C2700)&gt;1,"Artikel doppelt im selben Lager; ",""))</f>
        <v/>
      </c>
      <c r="P2700" s="47" t="n">
        <f aca="false">IF(OR($A2700="",D2700=""),0,IF(COUNTIF($D$2:D2700,D2700)=1,SUMIF($D$2:$D$5001,D2700,$H$2:$H$5001)+ROW()/10000000,0))</f>
        <v>0</v>
      </c>
      <c r="Q2700" s="47" t="n">
        <f aca="false">IF(OR($A2700="",C2700=""),0,IF(COUNTIF($C$2:C2700,C2700)=1,SUMIF($C$2:$C$5001,C2700,$H$2:$H$5001)+ROW()/10000000,0))</f>
        <v>0</v>
      </c>
    </row>
    <row r="2701" customFormat="false" ht="15" hidden="false" customHeight="false" outlineLevel="0" collapsed="false">
      <c r="A2701" s="43"/>
      <c r="B2701" s="44"/>
      <c r="C2701" s="44"/>
      <c r="D2701" s="44"/>
      <c r="E2701" s="44"/>
      <c r="F2701" s="44"/>
      <c r="G2701" s="44"/>
      <c r="H2701" s="46" t="str">
        <f aca="false">IF($A2701="","",IF(OR(NOT(ISNUMBER(E2701)),NOT(ISNUMBER(F2701))),"",MAX(0,E2701)*F2701))</f>
        <v/>
      </c>
      <c r="I2701" s="46" t="str">
        <f aca="false">IF($A2701="","",SUMIF($A$2:$A$5001,$A2701,$H$2:$H$5001))</f>
        <v/>
      </c>
      <c r="J2701" s="47" t="n">
        <f aca="false">IF($A2701="",0,IF(COUNTIF($A$2:A2701,$A2701)=1,1,0))</f>
        <v>0</v>
      </c>
      <c r="K2701" s="47" t="n">
        <f aca="false">IF(J2701=1,N(I2701)+ROW()/10000000,0)</f>
        <v>0</v>
      </c>
      <c r="L2701" s="47" t="str">
        <f aca="false">IF(AND(J2701=1,N(I2701)&gt;0),SUMIF($K$2:$K$5001,"&gt;="&amp;K2701,$I$2:$I$5001)/MAX(1,SUM($H$2:$H$5001)),"")</f>
        <v/>
      </c>
      <c r="M2701" s="47" t="str">
        <f aca="false">IF($A2701="","",INDEX($L$2:$L$5001,MATCH($A2701,$A$2:$A$5001,0)))</f>
        <v/>
      </c>
      <c r="N2701" s="48" t="str">
        <f aca="false">IF($A2701="","",IF(N(M2701)=0,"–",IF(M2701&lt;=Start!$D$20,"A",IF(M2701&lt;=Start!$D$21,"B","C"))))</f>
        <v/>
      </c>
      <c r="O2701" s="48" t="str">
        <f aca="false">IF($A2701="","",IF(NOT(ISNUMBER(F2701)),"Wert fehlt; ",IF(F2701&lt;=0,"Wert ist 0; ",""))&amp;IF(NOT(ISNUMBER(E2701)),"Bestand fehlt; ",IF(E2701&lt;0,"Bestand negativ; ",IF(E2701=0,"Nullbestand; ","")))&amp;IF(D2701="","Warengruppe fehlt; ","")&amp;IF(B2701="","Bezeichnung fehlt; ","")&amp;IF(COUNTIFS($A$2:$A$5001,$A2701,$C$2:$C$5001,C2701)&gt;1,"Artikel doppelt im selben Lager; ",""))</f>
        <v/>
      </c>
      <c r="P2701" s="47" t="n">
        <f aca="false">IF(OR($A2701="",D2701=""),0,IF(COUNTIF($D$2:D2701,D2701)=1,SUMIF($D$2:$D$5001,D2701,$H$2:$H$5001)+ROW()/10000000,0))</f>
        <v>0</v>
      </c>
      <c r="Q2701" s="47" t="n">
        <f aca="false">IF(OR($A2701="",C2701=""),0,IF(COUNTIF($C$2:C2701,C2701)=1,SUMIF($C$2:$C$5001,C2701,$H$2:$H$5001)+ROW()/10000000,0))</f>
        <v>0</v>
      </c>
    </row>
    <row r="2702" customFormat="false" ht="15" hidden="false" customHeight="false" outlineLevel="0" collapsed="false">
      <c r="A2702" s="43"/>
      <c r="B2702" s="44"/>
      <c r="C2702" s="44"/>
      <c r="D2702" s="44"/>
      <c r="E2702" s="44"/>
      <c r="F2702" s="44"/>
      <c r="G2702" s="44"/>
      <c r="H2702" s="46" t="str">
        <f aca="false">IF($A2702="","",IF(OR(NOT(ISNUMBER(E2702)),NOT(ISNUMBER(F2702))),"",MAX(0,E2702)*F2702))</f>
        <v/>
      </c>
      <c r="I2702" s="46" t="str">
        <f aca="false">IF($A2702="","",SUMIF($A$2:$A$5001,$A2702,$H$2:$H$5001))</f>
        <v/>
      </c>
      <c r="J2702" s="47" t="n">
        <f aca="false">IF($A2702="",0,IF(COUNTIF($A$2:A2702,$A2702)=1,1,0))</f>
        <v>0</v>
      </c>
      <c r="K2702" s="47" t="n">
        <f aca="false">IF(J2702=1,N(I2702)+ROW()/10000000,0)</f>
        <v>0</v>
      </c>
      <c r="L2702" s="47" t="str">
        <f aca="false">IF(AND(J2702=1,N(I2702)&gt;0),SUMIF($K$2:$K$5001,"&gt;="&amp;K2702,$I$2:$I$5001)/MAX(1,SUM($H$2:$H$5001)),"")</f>
        <v/>
      </c>
      <c r="M2702" s="47" t="str">
        <f aca="false">IF($A2702="","",INDEX($L$2:$L$5001,MATCH($A2702,$A$2:$A$5001,0)))</f>
        <v/>
      </c>
      <c r="N2702" s="48" t="str">
        <f aca="false">IF($A2702="","",IF(N(M2702)=0,"–",IF(M2702&lt;=Start!$D$20,"A",IF(M2702&lt;=Start!$D$21,"B","C"))))</f>
        <v/>
      </c>
      <c r="O2702" s="48" t="str">
        <f aca="false">IF($A2702="","",IF(NOT(ISNUMBER(F2702)),"Wert fehlt; ",IF(F2702&lt;=0,"Wert ist 0; ",""))&amp;IF(NOT(ISNUMBER(E2702)),"Bestand fehlt; ",IF(E2702&lt;0,"Bestand negativ; ",IF(E2702=0,"Nullbestand; ","")))&amp;IF(D2702="","Warengruppe fehlt; ","")&amp;IF(B2702="","Bezeichnung fehlt; ","")&amp;IF(COUNTIFS($A$2:$A$5001,$A2702,$C$2:$C$5001,C2702)&gt;1,"Artikel doppelt im selben Lager; ",""))</f>
        <v/>
      </c>
      <c r="P2702" s="47" t="n">
        <f aca="false">IF(OR($A2702="",D2702=""),0,IF(COUNTIF($D$2:D2702,D2702)=1,SUMIF($D$2:$D$5001,D2702,$H$2:$H$5001)+ROW()/10000000,0))</f>
        <v>0</v>
      </c>
      <c r="Q2702" s="47" t="n">
        <f aca="false">IF(OR($A2702="",C2702=""),0,IF(COUNTIF($C$2:C2702,C2702)=1,SUMIF($C$2:$C$5001,C2702,$H$2:$H$5001)+ROW()/10000000,0))</f>
        <v>0</v>
      </c>
    </row>
    <row r="2703" customFormat="false" ht="15" hidden="false" customHeight="false" outlineLevel="0" collapsed="false">
      <c r="A2703" s="43"/>
      <c r="B2703" s="44"/>
      <c r="C2703" s="44"/>
      <c r="D2703" s="44"/>
      <c r="E2703" s="44"/>
      <c r="F2703" s="44"/>
      <c r="G2703" s="44"/>
      <c r="H2703" s="46" t="str">
        <f aca="false">IF($A2703="","",IF(OR(NOT(ISNUMBER(E2703)),NOT(ISNUMBER(F2703))),"",MAX(0,E2703)*F2703))</f>
        <v/>
      </c>
      <c r="I2703" s="46" t="str">
        <f aca="false">IF($A2703="","",SUMIF($A$2:$A$5001,$A2703,$H$2:$H$5001))</f>
        <v/>
      </c>
      <c r="J2703" s="47" t="n">
        <f aca="false">IF($A2703="",0,IF(COUNTIF($A$2:A2703,$A2703)=1,1,0))</f>
        <v>0</v>
      </c>
      <c r="K2703" s="47" t="n">
        <f aca="false">IF(J2703=1,N(I2703)+ROW()/10000000,0)</f>
        <v>0</v>
      </c>
      <c r="L2703" s="47" t="str">
        <f aca="false">IF(AND(J2703=1,N(I2703)&gt;0),SUMIF($K$2:$K$5001,"&gt;="&amp;K2703,$I$2:$I$5001)/MAX(1,SUM($H$2:$H$5001)),"")</f>
        <v/>
      </c>
      <c r="M2703" s="47" t="str">
        <f aca="false">IF($A2703="","",INDEX($L$2:$L$5001,MATCH($A2703,$A$2:$A$5001,0)))</f>
        <v/>
      </c>
      <c r="N2703" s="48" t="str">
        <f aca="false">IF($A2703="","",IF(N(M2703)=0,"–",IF(M2703&lt;=Start!$D$20,"A",IF(M2703&lt;=Start!$D$21,"B","C"))))</f>
        <v/>
      </c>
      <c r="O2703" s="48" t="str">
        <f aca="false">IF($A2703="","",IF(NOT(ISNUMBER(F2703)),"Wert fehlt; ",IF(F2703&lt;=0,"Wert ist 0; ",""))&amp;IF(NOT(ISNUMBER(E2703)),"Bestand fehlt; ",IF(E2703&lt;0,"Bestand negativ; ",IF(E2703=0,"Nullbestand; ","")))&amp;IF(D2703="","Warengruppe fehlt; ","")&amp;IF(B2703="","Bezeichnung fehlt; ","")&amp;IF(COUNTIFS($A$2:$A$5001,$A2703,$C$2:$C$5001,C2703)&gt;1,"Artikel doppelt im selben Lager; ",""))</f>
        <v/>
      </c>
      <c r="P2703" s="47" t="n">
        <f aca="false">IF(OR($A2703="",D2703=""),0,IF(COUNTIF($D$2:D2703,D2703)=1,SUMIF($D$2:$D$5001,D2703,$H$2:$H$5001)+ROW()/10000000,0))</f>
        <v>0</v>
      </c>
      <c r="Q2703" s="47" t="n">
        <f aca="false">IF(OR($A2703="",C2703=""),0,IF(COUNTIF($C$2:C2703,C2703)=1,SUMIF($C$2:$C$5001,C2703,$H$2:$H$5001)+ROW()/10000000,0))</f>
        <v>0</v>
      </c>
    </row>
    <row r="2704" customFormat="false" ht="15" hidden="false" customHeight="false" outlineLevel="0" collapsed="false">
      <c r="A2704" s="43"/>
      <c r="B2704" s="44"/>
      <c r="C2704" s="44"/>
      <c r="D2704" s="44"/>
      <c r="E2704" s="44"/>
      <c r="F2704" s="44"/>
      <c r="G2704" s="44"/>
      <c r="H2704" s="46" t="str">
        <f aca="false">IF($A2704="","",IF(OR(NOT(ISNUMBER(E2704)),NOT(ISNUMBER(F2704))),"",MAX(0,E2704)*F2704))</f>
        <v/>
      </c>
      <c r="I2704" s="46" t="str">
        <f aca="false">IF($A2704="","",SUMIF($A$2:$A$5001,$A2704,$H$2:$H$5001))</f>
        <v/>
      </c>
      <c r="J2704" s="47" t="n">
        <f aca="false">IF($A2704="",0,IF(COUNTIF($A$2:A2704,$A2704)=1,1,0))</f>
        <v>0</v>
      </c>
      <c r="K2704" s="47" t="n">
        <f aca="false">IF(J2704=1,N(I2704)+ROW()/10000000,0)</f>
        <v>0</v>
      </c>
      <c r="L2704" s="47" t="str">
        <f aca="false">IF(AND(J2704=1,N(I2704)&gt;0),SUMIF($K$2:$K$5001,"&gt;="&amp;K2704,$I$2:$I$5001)/MAX(1,SUM($H$2:$H$5001)),"")</f>
        <v/>
      </c>
      <c r="M2704" s="47" t="str">
        <f aca="false">IF($A2704="","",INDEX($L$2:$L$5001,MATCH($A2704,$A$2:$A$5001,0)))</f>
        <v/>
      </c>
      <c r="N2704" s="48" t="str">
        <f aca="false">IF($A2704="","",IF(N(M2704)=0,"–",IF(M2704&lt;=Start!$D$20,"A",IF(M2704&lt;=Start!$D$21,"B","C"))))</f>
        <v/>
      </c>
      <c r="O2704" s="48" t="str">
        <f aca="false">IF($A2704="","",IF(NOT(ISNUMBER(F2704)),"Wert fehlt; ",IF(F2704&lt;=0,"Wert ist 0; ",""))&amp;IF(NOT(ISNUMBER(E2704)),"Bestand fehlt; ",IF(E2704&lt;0,"Bestand negativ; ",IF(E2704=0,"Nullbestand; ","")))&amp;IF(D2704="","Warengruppe fehlt; ","")&amp;IF(B2704="","Bezeichnung fehlt; ","")&amp;IF(COUNTIFS($A$2:$A$5001,$A2704,$C$2:$C$5001,C2704)&gt;1,"Artikel doppelt im selben Lager; ",""))</f>
        <v/>
      </c>
      <c r="P2704" s="47" t="n">
        <f aca="false">IF(OR($A2704="",D2704=""),0,IF(COUNTIF($D$2:D2704,D2704)=1,SUMIF($D$2:$D$5001,D2704,$H$2:$H$5001)+ROW()/10000000,0))</f>
        <v>0</v>
      </c>
      <c r="Q2704" s="47" t="n">
        <f aca="false">IF(OR($A2704="",C2704=""),0,IF(COUNTIF($C$2:C2704,C2704)=1,SUMIF($C$2:$C$5001,C2704,$H$2:$H$5001)+ROW()/10000000,0))</f>
        <v>0</v>
      </c>
    </row>
    <row r="2705" customFormat="false" ht="15" hidden="false" customHeight="false" outlineLevel="0" collapsed="false">
      <c r="A2705" s="43"/>
      <c r="B2705" s="44"/>
      <c r="C2705" s="44"/>
      <c r="D2705" s="44"/>
      <c r="E2705" s="44"/>
      <c r="F2705" s="44"/>
      <c r="G2705" s="44"/>
      <c r="H2705" s="46" t="str">
        <f aca="false">IF($A2705="","",IF(OR(NOT(ISNUMBER(E2705)),NOT(ISNUMBER(F2705))),"",MAX(0,E2705)*F2705))</f>
        <v/>
      </c>
      <c r="I2705" s="46" t="str">
        <f aca="false">IF($A2705="","",SUMIF($A$2:$A$5001,$A2705,$H$2:$H$5001))</f>
        <v/>
      </c>
      <c r="J2705" s="47" t="n">
        <f aca="false">IF($A2705="",0,IF(COUNTIF($A$2:A2705,$A2705)=1,1,0))</f>
        <v>0</v>
      </c>
      <c r="K2705" s="47" t="n">
        <f aca="false">IF(J2705=1,N(I2705)+ROW()/10000000,0)</f>
        <v>0</v>
      </c>
      <c r="L2705" s="47" t="str">
        <f aca="false">IF(AND(J2705=1,N(I2705)&gt;0),SUMIF($K$2:$K$5001,"&gt;="&amp;K2705,$I$2:$I$5001)/MAX(1,SUM($H$2:$H$5001)),"")</f>
        <v/>
      </c>
      <c r="M2705" s="47" t="str">
        <f aca="false">IF($A2705="","",INDEX($L$2:$L$5001,MATCH($A2705,$A$2:$A$5001,0)))</f>
        <v/>
      </c>
      <c r="N2705" s="48" t="str">
        <f aca="false">IF($A2705="","",IF(N(M2705)=0,"–",IF(M2705&lt;=Start!$D$20,"A",IF(M2705&lt;=Start!$D$21,"B","C"))))</f>
        <v/>
      </c>
      <c r="O2705" s="48" t="str">
        <f aca="false">IF($A2705="","",IF(NOT(ISNUMBER(F2705)),"Wert fehlt; ",IF(F2705&lt;=0,"Wert ist 0; ",""))&amp;IF(NOT(ISNUMBER(E2705)),"Bestand fehlt; ",IF(E2705&lt;0,"Bestand negativ; ",IF(E2705=0,"Nullbestand; ","")))&amp;IF(D2705="","Warengruppe fehlt; ","")&amp;IF(B2705="","Bezeichnung fehlt; ","")&amp;IF(COUNTIFS($A$2:$A$5001,$A2705,$C$2:$C$5001,C2705)&gt;1,"Artikel doppelt im selben Lager; ",""))</f>
        <v/>
      </c>
      <c r="P2705" s="47" t="n">
        <f aca="false">IF(OR($A2705="",D2705=""),0,IF(COUNTIF($D$2:D2705,D2705)=1,SUMIF($D$2:$D$5001,D2705,$H$2:$H$5001)+ROW()/10000000,0))</f>
        <v>0</v>
      </c>
      <c r="Q2705" s="47" t="n">
        <f aca="false">IF(OR($A2705="",C2705=""),0,IF(COUNTIF($C$2:C2705,C2705)=1,SUMIF($C$2:$C$5001,C2705,$H$2:$H$5001)+ROW()/10000000,0))</f>
        <v>0</v>
      </c>
    </row>
    <row r="2706" customFormat="false" ht="15" hidden="false" customHeight="false" outlineLevel="0" collapsed="false">
      <c r="A2706" s="43"/>
      <c r="B2706" s="44"/>
      <c r="C2706" s="44"/>
      <c r="D2706" s="44"/>
      <c r="E2706" s="44"/>
      <c r="F2706" s="44"/>
      <c r="G2706" s="44"/>
      <c r="H2706" s="46" t="str">
        <f aca="false">IF($A2706="","",IF(OR(NOT(ISNUMBER(E2706)),NOT(ISNUMBER(F2706))),"",MAX(0,E2706)*F2706))</f>
        <v/>
      </c>
      <c r="I2706" s="46" t="str">
        <f aca="false">IF($A2706="","",SUMIF($A$2:$A$5001,$A2706,$H$2:$H$5001))</f>
        <v/>
      </c>
      <c r="J2706" s="47" t="n">
        <f aca="false">IF($A2706="",0,IF(COUNTIF($A$2:A2706,$A2706)=1,1,0))</f>
        <v>0</v>
      </c>
      <c r="K2706" s="47" t="n">
        <f aca="false">IF(J2706=1,N(I2706)+ROW()/10000000,0)</f>
        <v>0</v>
      </c>
      <c r="L2706" s="47" t="str">
        <f aca="false">IF(AND(J2706=1,N(I2706)&gt;0),SUMIF($K$2:$K$5001,"&gt;="&amp;K2706,$I$2:$I$5001)/MAX(1,SUM($H$2:$H$5001)),"")</f>
        <v/>
      </c>
      <c r="M2706" s="47" t="str">
        <f aca="false">IF($A2706="","",INDEX($L$2:$L$5001,MATCH($A2706,$A$2:$A$5001,0)))</f>
        <v/>
      </c>
      <c r="N2706" s="48" t="str">
        <f aca="false">IF($A2706="","",IF(N(M2706)=0,"–",IF(M2706&lt;=Start!$D$20,"A",IF(M2706&lt;=Start!$D$21,"B","C"))))</f>
        <v/>
      </c>
      <c r="O2706" s="48" t="str">
        <f aca="false">IF($A2706="","",IF(NOT(ISNUMBER(F2706)),"Wert fehlt; ",IF(F2706&lt;=0,"Wert ist 0; ",""))&amp;IF(NOT(ISNUMBER(E2706)),"Bestand fehlt; ",IF(E2706&lt;0,"Bestand negativ; ",IF(E2706=0,"Nullbestand; ","")))&amp;IF(D2706="","Warengruppe fehlt; ","")&amp;IF(B2706="","Bezeichnung fehlt; ","")&amp;IF(COUNTIFS($A$2:$A$5001,$A2706,$C$2:$C$5001,C2706)&gt;1,"Artikel doppelt im selben Lager; ",""))</f>
        <v/>
      </c>
      <c r="P2706" s="47" t="n">
        <f aca="false">IF(OR($A2706="",D2706=""),0,IF(COUNTIF($D$2:D2706,D2706)=1,SUMIF($D$2:$D$5001,D2706,$H$2:$H$5001)+ROW()/10000000,0))</f>
        <v>0</v>
      </c>
      <c r="Q2706" s="47" t="n">
        <f aca="false">IF(OR($A2706="",C2706=""),0,IF(COUNTIF($C$2:C2706,C2706)=1,SUMIF($C$2:$C$5001,C2706,$H$2:$H$5001)+ROW()/10000000,0))</f>
        <v>0</v>
      </c>
    </row>
    <row r="2707" customFormat="false" ht="15" hidden="false" customHeight="false" outlineLevel="0" collapsed="false">
      <c r="A2707" s="43"/>
      <c r="B2707" s="44"/>
      <c r="C2707" s="44"/>
      <c r="D2707" s="44"/>
      <c r="E2707" s="44"/>
      <c r="F2707" s="44"/>
      <c r="G2707" s="44"/>
      <c r="H2707" s="46" t="str">
        <f aca="false">IF($A2707="","",IF(OR(NOT(ISNUMBER(E2707)),NOT(ISNUMBER(F2707))),"",MAX(0,E2707)*F2707))</f>
        <v/>
      </c>
      <c r="I2707" s="46" t="str">
        <f aca="false">IF($A2707="","",SUMIF($A$2:$A$5001,$A2707,$H$2:$H$5001))</f>
        <v/>
      </c>
      <c r="J2707" s="47" t="n">
        <f aca="false">IF($A2707="",0,IF(COUNTIF($A$2:A2707,$A2707)=1,1,0))</f>
        <v>0</v>
      </c>
      <c r="K2707" s="47" t="n">
        <f aca="false">IF(J2707=1,N(I2707)+ROW()/10000000,0)</f>
        <v>0</v>
      </c>
      <c r="L2707" s="47" t="str">
        <f aca="false">IF(AND(J2707=1,N(I2707)&gt;0),SUMIF($K$2:$K$5001,"&gt;="&amp;K2707,$I$2:$I$5001)/MAX(1,SUM($H$2:$H$5001)),"")</f>
        <v/>
      </c>
      <c r="M2707" s="47" t="str">
        <f aca="false">IF($A2707="","",INDEX($L$2:$L$5001,MATCH($A2707,$A$2:$A$5001,0)))</f>
        <v/>
      </c>
      <c r="N2707" s="48" t="str">
        <f aca="false">IF($A2707="","",IF(N(M2707)=0,"–",IF(M2707&lt;=Start!$D$20,"A",IF(M2707&lt;=Start!$D$21,"B","C"))))</f>
        <v/>
      </c>
      <c r="O2707" s="48" t="str">
        <f aca="false">IF($A2707="","",IF(NOT(ISNUMBER(F2707)),"Wert fehlt; ",IF(F2707&lt;=0,"Wert ist 0; ",""))&amp;IF(NOT(ISNUMBER(E2707)),"Bestand fehlt; ",IF(E2707&lt;0,"Bestand negativ; ",IF(E2707=0,"Nullbestand; ","")))&amp;IF(D2707="","Warengruppe fehlt; ","")&amp;IF(B2707="","Bezeichnung fehlt; ","")&amp;IF(COUNTIFS($A$2:$A$5001,$A2707,$C$2:$C$5001,C2707)&gt;1,"Artikel doppelt im selben Lager; ",""))</f>
        <v/>
      </c>
      <c r="P2707" s="47" t="n">
        <f aca="false">IF(OR($A2707="",D2707=""),0,IF(COUNTIF($D$2:D2707,D2707)=1,SUMIF($D$2:$D$5001,D2707,$H$2:$H$5001)+ROW()/10000000,0))</f>
        <v>0</v>
      </c>
      <c r="Q2707" s="47" t="n">
        <f aca="false">IF(OR($A2707="",C2707=""),0,IF(COUNTIF($C$2:C2707,C2707)=1,SUMIF($C$2:$C$5001,C2707,$H$2:$H$5001)+ROW()/10000000,0))</f>
        <v>0</v>
      </c>
    </row>
    <row r="2708" customFormat="false" ht="15" hidden="false" customHeight="false" outlineLevel="0" collapsed="false">
      <c r="A2708" s="43"/>
      <c r="B2708" s="44"/>
      <c r="C2708" s="44"/>
      <c r="D2708" s="44"/>
      <c r="E2708" s="44"/>
      <c r="F2708" s="44"/>
      <c r="G2708" s="44"/>
      <c r="H2708" s="46" t="str">
        <f aca="false">IF($A2708="","",IF(OR(NOT(ISNUMBER(E2708)),NOT(ISNUMBER(F2708))),"",MAX(0,E2708)*F2708))</f>
        <v/>
      </c>
      <c r="I2708" s="46" t="str">
        <f aca="false">IF($A2708="","",SUMIF($A$2:$A$5001,$A2708,$H$2:$H$5001))</f>
        <v/>
      </c>
      <c r="J2708" s="47" t="n">
        <f aca="false">IF($A2708="",0,IF(COUNTIF($A$2:A2708,$A2708)=1,1,0))</f>
        <v>0</v>
      </c>
      <c r="K2708" s="47" t="n">
        <f aca="false">IF(J2708=1,N(I2708)+ROW()/10000000,0)</f>
        <v>0</v>
      </c>
      <c r="L2708" s="47" t="str">
        <f aca="false">IF(AND(J2708=1,N(I2708)&gt;0),SUMIF($K$2:$K$5001,"&gt;="&amp;K2708,$I$2:$I$5001)/MAX(1,SUM($H$2:$H$5001)),"")</f>
        <v/>
      </c>
      <c r="M2708" s="47" t="str">
        <f aca="false">IF($A2708="","",INDEX($L$2:$L$5001,MATCH($A2708,$A$2:$A$5001,0)))</f>
        <v/>
      </c>
      <c r="N2708" s="48" t="str">
        <f aca="false">IF($A2708="","",IF(N(M2708)=0,"–",IF(M2708&lt;=Start!$D$20,"A",IF(M2708&lt;=Start!$D$21,"B","C"))))</f>
        <v/>
      </c>
      <c r="O2708" s="48" t="str">
        <f aca="false">IF($A2708="","",IF(NOT(ISNUMBER(F2708)),"Wert fehlt; ",IF(F2708&lt;=0,"Wert ist 0; ",""))&amp;IF(NOT(ISNUMBER(E2708)),"Bestand fehlt; ",IF(E2708&lt;0,"Bestand negativ; ",IF(E2708=0,"Nullbestand; ","")))&amp;IF(D2708="","Warengruppe fehlt; ","")&amp;IF(B2708="","Bezeichnung fehlt; ","")&amp;IF(COUNTIFS($A$2:$A$5001,$A2708,$C$2:$C$5001,C2708)&gt;1,"Artikel doppelt im selben Lager; ",""))</f>
        <v/>
      </c>
      <c r="P2708" s="47" t="n">
        <f aca="false">IF(OR($A2708="",D2708=""),0,IF(COUNTIF($D$2:D2708,D2708)=1,SUMIF($D$2:$D$5001,D2708,$H$2:$H$5001)+ROW()/10000000,0))</f>
        <v>0</v>
      </c>
      <c r="Q2708" s="47" t="n">
        <f aca="false">IF(OR($A2708="",C2708=""),0,IF(COUNTIF($C$2:C2708,C2708)=1,SUMIF($C$2:$C$5001,C2708,$H$2:$H$5001)+ROW()/10000000,0))</f>
        <v>0</v>
      </c>
    </row>
    <row r="2709" customFormat="false" ht="15" hidden="false" customHeight="false" outlineLevel="0" collapsed="false">
      <c r="A2709" s="43"/>
      <c r="B2709" s="44"/>
      <c r="C2709" s="44"/>
      <c r="D2709" s="44"/>
      <c r="E2709" s="44"/>
      <c r="F2709" s="44"/>
      <c r="G2709" s="44"/>
      <c r="H2709" s="46" t="str">
        <f aca="false">IF($A2709="","",IF(OR(NOT(ISNUMBER(E2709)),NOT(ISNUMBER(F2709))),"",MAX(0,E2709)*F2709))</f>
        <v/>
      </c>
      <c r="I2709" s="46" t="str">
        <f aca="false">IF($A2709="","",SUMIF($A$2:$A$5001,$A2709,$H$2:$H$5001))</f>
        <v/>
      </c>
      <c r="J2709" s="47" t="n">
        <f aca="false">IF($A2709="",0,IF(COUNTIF($A$2:A2709,$A2709)=1,1,0))</f>
        <v>0</v>
      </c>
      <c r="K2709" s="47" t="n">
        <f aca="false">IF(J2709=1,N(I2709)+ROW()/10000000,0)</f>
        <v>0</v>
      </c>
      <c r="L2709" s="47" t="str">
        <f aca="false">IF(AND(J2709=1,N(I2709)&gt;0),SUMIF($K$2:$K$5001,"&gt;="&amp;K2709,$I$2:$I$5001)/MAX(1,SUM($H$2:$H$5001)),"")</f>
        <v/>
      </c>
      <c r="M2709" s="47" t="str">
        <f aca="false">IF($A2709="","",INDEX($L$2:$L$5001,MATCH($A2709,$A$2:$A$5001,0)))</f>
        <v/>
      </c>
      <c r="N2709" s="48" t="str">
        <f aca="false">IF($A2709="","",IF(N(M2709)=0,"–",IF(M2709&lt;=Start!$D$20,"A",IF(M2709&lt;=Start!$D$21,"B","C"))))</f>
        <v/>
      </c>
      <c r="O2709" s="48" t="str">
        <f aca="false">IF($A2709="","",IF(NOT(ISNUMBER(F2709)),"Wert fehlt; ",IF(F2709&lt;=0,"Wert ist 0; ",""))&amp;IF(NOT(ISNUMBER(E2709)),"Bestand fehlt; ",IF(E2709&lt;0,"Bestand negativ; ",IF(E2709=0,"Nullbestand; ","")))&amp;IF(D2709="","Warengruppe fehlt; ","")&amp;IF(B2709="","Bezeichnung fehlt; ","")&amp;IF(COUNTIFS($A$2:$A$5001,$A2709,$C$2:$C$5001,C2709)&gt;1,"Artikel doppelt im selben Lager; ",""))</f>
        <v/>
      </c>
      <c r="P2709" s="47" t="n">
        <f aca="false">IF(OR($A2709="",D2709=""),0,IF(COUNTIF($D$2:D2709,D2709)=1,SUMIF($D$2:$D$5001,D2709,$H$2:$H$5001)+ROW()/10000000,0))</f>
        <v>0</v>
      </c>
      <c r="Q2709" s="47" t="n">
        <f aca="false">IF(OR($A2709="",C2709=""),0,IF(COUNTIF($C$2:C2709,C2709)=1,SUMIF($C$2:$C$5001,C2709,$H$2:$H$5001)+ROW()/10000000,0))</f>
        <v>0</v>
      </c>
    </row>
    <row r="2710" customFormat="false" ht="15" hidden="false" customHeight="false" outlineLevel="0" collapsed="false">
      <c r="A2710" s="43"/>
      <c r="B2710" s="44"/>
      <c r="C2710" s="44"/>
      <c r="D2710" s="44"/>
      <c r="E2710" s="44"/>
      <c r="F2710" s="44"/>
      <c r="G2710" s="44"/>
      <c r="H2710" s="46" t="str">
        <f aca="false">IF($A2710="","",IF(OR(NOT(ISNUMBER(E2710)),NOT(ISNUMBER(F2710))),"",MAX(0,E2710)*F2710))</f>
        <v/>
      </c>
      <c r="I2710" s="46" t="str">
        <f aca="false">IF($A2710="","",SUMIF($A$2:$A$5001,$A2710,$H$2:$H$5001))</f>
        <v/>
      </c>
      <c r="J2710" s="47" t="n">
        <f aca="false">IF($A2710="",0,IF(COUNTIF($A$2:A2710,$A2710)=1,1,0))</f>
        <v>0</v>
      </c>
      <c r="K2710" s="47" t="n">
        <f aca="false">IF(J2710=1,N(I2710)+ROW()/10000000,0)</f>
        <v>0</v>
      </c>
      <c r="L2710" s="47" t="str">
        <f aca="false">IF(AND(J2710=1,N(I2710)&gt;0),SUMIF($K$2:$K$5001,"&gt;="&amp;K2710,$I$2:$I$5001)/MAX(1,SUM($H$2:$H$5001)),"")</f>
        <v/>
      </c>
      <c r="M2710" s="47" t="str">
        <f aca="false">IF($A2710="","",INDEX($L$2:$L$5001,MATCH($A2710,$A$2:$A$5001,0)))</f>
        <v/>
      </c>
      <c r="N2710" s="48" t="str">
        <f aca="false">IF($A2710="","",IF(N(M2710)=0,"–",IF(M2710&lt;=Start!$D$20,"A",IF(M2710&lt;=Start!$D$21,"B","C"))))</f>
        <v/>
      </c>
      <c r="O2710" s="48" t="str">
        <f aca="false">IF($A2710="","",IF(NOT(ISNUMBER(F2710)),"Wert fehlt; ",IF(F2710&lt;=0,"Wert ist 0; ",""))&amp;IF(NOT(ISNUMBER(E2710)),"Bestand fehlt; ",IF(E2710&lt;0,"Bestand negativ; ",IF(E2710=0,"Nullbestand; ","")))&amp;IF(D2710="","Warengruppe fehlt; ","")&amp;IF(B2710="","Bezeichnung fehlt; ","")&amp;IF(COUNTIFS($A$2:$A$5001,$A2710,$C$2:$C$5001,C2710)&gt;1,"Artikel doppelt im selben Lager; ",""))</f>
        <v/>
      </c>
      <c r="P2710" s="47" t="n">
        <f aca="false">IF(OR($A2710="",D2710=""),0,IF(COUNTIF($D$2:D2710,D2710)=1,SUMIF($D$2:$D$5001,D2710,$H$2:$H$5001)+ROW()/10000000,0))</f>
        <v>0</v>
      </c>
      <c r="Q2710" s="47" t="n">
        <f aca="false">IF(OR($A2710="",C2710=""),0,IF(COUNTIF($C$2:C2710,C2710)=1,SUMIF($C$2:$C$5001,C2710,$H$2:$H$5001)+ROW()/10000000,0))</f>
        <v>0</v>
      </c>
    </row>
    <row r="2711" customFormat="false" ht="15" hidden="false" customHeight="false" outlineLevel="0" collapsed="false">
      <c r="A2711" s="43"/>
      <c r="B2711" s="44"/>
      <c r="C2711" s="44"/>
      <c r="D2711" s="44"/>
      <c r="E2711" s="44"/>
      <c r="F2711" s="44"/>
      <c r="G2711" s="44"/>
      <c r="H2711" s="46" t="str">
        <f aca="false">IF($A2711="","",IF(OR(NOT(ISNUMBER(E2711)),NOT(ISNUMBER(F2711))),"",MAX(0,E2711)*F2711))</f>
        <v/>
      </c>
      <c r="I2711" s="46" t="str">
        <f aca="false">IF($A2711="","",SUMIF($A$2:$A$5001,$A2711,$H$2:$H$5001))</f>
        <v/>
      </c>
      <c r="J2711" s="47" t="n">
        <f aca="false">IF($A2711="",0,IF(COUNTIF($A$2:A2711,$A2711)=1,1,0))</f>
        <v>0</v>
      </c>
      <c r="K2711" s="47" t="n">
        <f aca="false">IF(J2711=1,N(I2711)+ROW()/10000000,0)</f>
        <v>0</v>
      </c>
      <c r="L2711" s="47" t="str">
        <f aca="false">IF(AND(J2711=1,N(I2711)&gt;0),SUMIF($K$2:$K$5001,"&gt;="&amp;K2711,$I$2:$I$5001)/MAX(1,SUM($H$2:$H$5001)),"")</f>
        <v/>
      </c>
      <c r="M2711" s="47" t="str">
        <f aca="false">IF($A2711="","",INDEX($L$2:$L$5001,MATCH($A2711,$A$2:$A$5001,0)))</f>
        <v/>
      </c>
      <c r="N2711" s="48" t="str">
        <f aca="false">IF($A2711="","",IF(N(M2711)=0,"–",IF(M2711&lt;=Start!$D$20,"A",IF(M2711&lt;=Start!$D$21,"B","C"))))</f>
        <v/>
      </c>
      <c r="O2711" s="48" t="str">
        <f aca="false">IF($A2711="","",IF(NOT(ISNUMBER(F2711)),"Wert fehlt; ",IF(F2711&lt;=0,"Wert ist 0; ",""))&amp;IF(NOT(ISNUMBER(E2711)),"Bestand fehlt; ",IF(E2711&lt;0,"Bestand negativ; ",IF(E2711=0,"Nullbestand; ","")))&amp;IF(D2711="","Warengruppe fehlt; ","")&amp;IF(B2711="","Bezeichnung fehlt; ","")&amp;IF(COUNTIFS($A$2:$A$5001,$A2711,$C$2:$C$5001,C2711)&gt;1,"Artikel doppelt im selben Lager; ",""))</f>
        <v/>
      </c>
      <c r="P2711" s="47" t="n">
        <f aca="false">IF(OR($A2711="",D2711=""),0,IF(COUNTIF($D$2:D2711,D2711)=1,SUMIF($D$2:$D$5001,D2711,$H$2:$H$5001)+ROW()/10000000,0))</f>
        <v>0</v>
      </c>
      <c r="Q2711" s="47" t="n">
        <f aca="false">IF(OR($A2711="",C2711=""),0,IF(COUNTIF($C$2:C2711,C2711)=1,SUMIF($C$2:$C$5001,C2711,$H$2:$H$5001)+ROW()/10000000,0))</f>
        <v>0</v>
      </c>
    </row>
    <row r="2712" customFormat="false" ht="15" hidden="false" customHeight="false" outlineLevel="0" collapsed="false">
      <c r="A2712" s="43"/>
      <c r="B2712" s="44"/>
      <c r="C2712" s="44"/>
      <c r="D2712" s="44"/>
      <c r="E2712" s="44"/>
      <c r="F2712" s="44"/>
      <c r="G2712" s="44"/>
      <c r="H2712" s="46" t="str">
        <f aca="false">IF($A2712="","",IF(OR(NOT(ISNUMBER(E2712)),NOT(ISNUMBER(F2712))),"",MAX(0,E2712)*F2712))</f>
        <v/>
      </c>
      <c r="I2712" s="46" t="str">
        <f aca="false">IF($A2712="","",SUMIF($A$2:$A$5001,$A2712,$H$2:$H$5001))</f>
        <v/>
      </c>
      <c r="J2712" s="47" t="n">
        <f aca="false">IF($A2712="",0,IF(COUNTIF($A$2:A2712,$A2712)=1,1,0))</f>
        <v>0</v>
      </c>
      <c r="K2712" s="47" t="n">
        <f aca="false">IF(J2712=1,N(I2712)+ROW()/10000000,0)</f>
        <v>0</v>
      </c>
      <c r="L2712" s="47" t="str">
        <f aca="false">IF(AND(J2712=1,N(I2712)&gt;0),SUMIF($K$2:$K$5001,"&gt;="&amp;K2712,$I$2:$I$5001)/MAX(1,SUM($H$2:$H$5001)),"")</f>
        <v/>
      </c>
      <c r="M2712" s="47" t="str">
        <f aca="false">IF($A2712="","",INDEX($L$2:$L$5001,MATCH($A2712,$A$2:$A$5001,0)))</f>
        <v/>
      </c>
      <c r="N2712" s="48" t="str">
        <f aca="false">IF($A2712="","",IF(N(M2712)=0,"–",IF(M2712&lt;=Start!$D$20,"A",IF(M2712&lt;=Start!$D$21,"B","C"))))</f>
        <v/>
      </c>
      <c r="O2712" s="48" t="str">
        <f aca="false">IF($A2712="","",IF(NOT(ISNUMBER(F2712)),"Wert fehlt; ",IF(F2712&lt;=0,"Wert ist 0; ",""))&amp;IF(NOT(ISNUMBER(E2712)),"Bestand fehlt; ",IF(E2712&lt;0,"Bestand negativ; ",IF(E2712=0,"Nullbestand; ","")))&amp;IF(D2712="","Warengruppe fehlt; ","")&amp;IF(B2712="","Bezeichnung fehlt; ","")&amp;IF(COUNTIFS($A$2:$A$5001,$A2712,$C$2:$C$5001,C2712)&gt;1,"Artikel doppelt im selben Lager; ",""))</f>
        <v/>
      </c>
      <c r="P2712" s="47" t="n">
        <f aca="false">IF(OR($A2712="",D2712=""),0,IF(COUNTIF($D$2:D2712,D2712)=1,SUMIF($D$2:$D$5001,D2712,$H$2:$H$5001)+ROW()/10000000,0))</f>
        <v>0</v>
      </c>
      <c r="Q2712" s="47" t="n">
        <f aca="false">IF(OR($A2712="",C2712=""),0,IF(COUNTIF($C$2:C2712,C2712)=1,SUMIF($C$2:$C$5001,C2712,$H$2:$H$5001)+ROW()/10000000,0))</f>
        <v>0</v>
      </c>
    </row>
    <row r="2713" customFormat="false" ht="15" hidden="false" customHeight="false" outlineLevel="0" collapsed="false">
      <c r="A2713" s="43"/>
      <c r="B2713" s="44"/>
      <c r="C2713" s="44"/>
      <c r="D2713" s="44"/>
      <c r="E2713" s="44"/>
      <c r="F2713" s="44"/>
      <c r="G2713" s="44"/>
      <c r="H2713" s="46" t="str">
        <f aca="false">IF($A2713="","",IF(OR(NOT(ISNUMBER(E2713)),NOT(ISNUMBER(F2713))),"",MAX(0,E2713)*F2713))</f>
        <v/>
      </c>
      <c r="I2713" s="46" t="str">
        <f aca="false">IF($A2713="","",SUMIF($A$2:$A$5001,$A2713,$H$2:$H$5001))</f>
        <v/>
      </c>
      <c r="J2713" s="47" t="n">
        <f aca="false">IF($A2713="",0,IF(COUNTIF($A$2:A2713,$A2713)=1,1,0))</f>
        <v>0</v>
      </c>
      <c r="K2713" s="47" t="n">
        <f aca="false">IF(J2713=1,N(I2713)+ROW()/10000000,0)</f>
        <v>0</v>
      </c>
      <c r="L2713" s="47" t="str">
        <f aca="false">IF(AND(J2713=1,N(I2713)&gt;0),SUMIF($K$2:$K$5001,"&gt;="&amp;K2713,$I$2:$I$5001)/MAX(1,SUM($H$2:$H$5001)),"")</f>
        <v/>
      </c>
      <c r="M2713" s="47" t="str">
        <f aca="false">IF($A2713="","",INDEX($L$2:$L$5001,MATCH($A2713,$A$2:$A$5001,0)))</f>
        <v/>
      </c>
      <c r="N2713" s="48" t="str">
        <f aca="false">IF($A2713="","",IF(N(M2713)=0,"–",IF(M2713&lt;=Start!$D$20,"A",IF(M2713&lt;=Start!$D$21,"B","C"))))</f>
        <v/>
      </c>
      <c r="O2713" s="48" t="str">
        <f aca="false">IF($A2713="","",IF(NOT(ISNUMBER(F2713)),"Wert fehlt; ",IF(F2713&lt;=0,"Wert ist 0; ",""))&amp;IF(NOT(ISNUMBER(E2713)),"Bestand fehlt; ",IF(E2713&lt;0,"Bestand negativ; ",IF(E2713=0,"Nullbestand; ","")))&amp;IF(D2713="","Warengruppe fehlt; ","")&amp;IF(B2713="","Bezeichnung fehlt; ","")&amp;IF(COUNTIFS($A$2:$A$5001,$A2713,$C$2:$C$5001,C2713)&gt;1,"Artikel doppelt im selben Lager; ",""))</f>
        <v/>
      </c>
      <c r="P2713" s="47" t="n">
        <f aca="false">IF(OR($A2713="",D2713=""),0,IF(COUNTIF($D$2:D2713,D2713)=1,SUMIF($D$2:$D$5001,D2713,$H$2:$H$5001)+ROW()/10000000,0))</f>
        <v>0</v>
      </c>
      <c r="Q2713" s="47" t="n">
        <f aca="false">IF(OR($A2713="",C2713=""),0,IF(COUNTIF($C$2:C2713,C2713)=1,SUMIF($C$2:$C$5001,C2713,$H$2:$H$5001)+ROW()/10000000,0))</f>
        <v>0</v>
      </c>
    </row>
    <row r="2714" customFormat="false" ht="15" hidden="false" customHeight="false" outlineLevel="0" collapsed="false">
      <c r="A2714" s="43"/>
      <c r="B2714" s="44"/>
      <c r="C2714" s="44"/>
      <c r="D2714" s="44"/>
      <c r="E2714" s="44"/>
      <c r="F2714" s="44"/>
      <c r="G2714" s="44"/>
      <c r="H2714" s="46" t="str">
        <f aca="false">IF($A2714="","",IF(OR(NOT(ISNUMBER(E2714)),NOT(ISNUMBER(F2714))),"",MAX(0,E2714)*F2714))</f>
        <v/>
      </c>
      <c r="I2714" s="46" t="str">
        <f aca="false">IF($A2714="","",SUMIF($A$2:$A$5001,$A2714,$H$2:$H$5001))</f>
        <v/>
      </c>
      <c r="J2714" s="47" t="n">
        <f aca="false">IF($A2714="",0,IF(COUNTIF($A$2:A2714,$A2714)=1,1,0))</f>
        <v>0</v>
      </c>
      <c r="K2714" s="47" t="n">
        <f aca="false">IF(J2714=1,N(I2714)+ROW()/10000000,0)</f>
        <v>0</v>
      </c>
      <c r="L2714" s="47" t="str">
        <f aca="false">IF(AND(J2714=1,N(I2714)&gt;0),SUMIF($K$2:$K$5001,"&gt;="&amp;K2714,$I$2:$I$5001)/MAX(1,SUM($H$2:$H$5001)),"")</f>
        <v/>
      </c>
      <c r="M2714" s="47" t="str">
        <f aca="false">IF($A2714="","",INDEX($L$2:$L$5001,MATCH($A2714,$A$2:$A$5001,0)))</f>
        <v/>
      </c>
      <c r="N2714" s="48" t="str">
        <f aca="false">IF($A2714="","",IF(N(M2714)=0,"–",IF(M2714&lt;=Start!$D$20,"A",IF(M2714&lt;=Start!$D$21,"B","C"))))</f>
        <v/>
      </c>
      <c r="O2714" s="48" t="str">
        <f aca="false">IF($A2714="","",IF(NOT(ISNUMBER(F2714)),"Wert fehlt; ",IF(F2714&lt;=0,"Wert ist 0; ",""))&amp;IF(NOT(ISNUMBER(E2714)),"Bestand fehlt; ",IF(E2714&lt;0,"Bestand negativ; ",IF(E2714=0,"Nullbestand; ","")))&amp;IF(D2714="","Warengruppe fehlt; ","")&amp;IF(B2714="","Bezeichnung fehlt; ","")&amp;IF(COUNTIFS($A$2:$A$5001,$A2714,$C$2:$C$5001,C2714)&gt;1,"Artikel doppelt im selben Lager; ",""))</f>
        <v/>
      </c>
      <c r="P2714" s="47" t="n">
        <f aca="false">IF(OR($A2714="",D2714=""),0,IF(COUNTIF($D$2:D2714,D2714)=1,SUMIF($D$2:$D$5001,D2714,$H$2:$H$5001)+ROW()/10000000,0))</f>
        <v>0</v>
      </c>
      <c r="Q2714" s="47" t="n">
        <f aca="false">IF(OR($A2714="",C2714=""),0,IF(COUNTIF($C$2:C2714,C2714)=1,SUMIF($C$2:$C$5001,C2714,$H$2:$H$5001)+ROW()/10000000,0))</f>
        <v>0</v>
      </c>
    </row>
    <row r="2715" customFormat="false" ht="15" hidden="false" customHeight="false" outlineLevel="0" collapsed="false">
      <c r="A2715" s="43"/>
      <c r="B2715" s="44"/>
      <c r="C2715" s="44"/>
      <c r="D2715" s="44"/>
      <c r="E2715" s="44"/>
      <c r="F2715" s="44"/>
      <c r="G2715" s="44"/>
      <c r="H2715" s="46" t="str">
        <f aca="false">IF($A2715="","",IF(OR(NOT(ISNUMBER(E2715)),NOT(ISNUMBER(F2715))),"",MAX(0,E2715)*F2715))</f>
        <v/>
      </c>
      <c r="I2715" s="46" t="str">
        <f aca="false">IF($A2715="","",SUMIF($A$2:$A$5001,$A2715,$H$2:$H$5001))</f>
        <v/>
      </c>
      <c r="J2715" s="47" t="n">
        <f aca="false">IF($A2715="",0,IF(COUNTIF($A$2:A2715,$A2715)=1,1,0))</f>
        <v>0</v>
      </c>
      <c r="K2715" s="47" t="n">
        <f aca="false">IF(J2715=1,N(I2715)+ROW()/10000000,0)</f>
        <v>0</v>
      </c>
      <c r="L2715" s="47" t="str">
        <f aca="false">IF(AND(J2715=1,N(I2715)&gt;0),SUMIF($K$2:$K$5001,"&gt;="&amp;K2715,$I$2:$I$5001)/MAX(1,SUM($H$2:$H$5001)),"")</f>
        <v/>
      </c>
      <c r="M2715" s="47" t="str">
        <f aca="false">IF($A2715="","",INDEX($L$2:$L$5001,MATCH($A2715,$A$2:$A$5001,0)))</f>
        <v/>
      </c>
      <c r="N2715" s="48" t="str">
        <f aca="false">IF($A2715="","",IF(N(M2715)=0,"–",IF(M2715&lt;=Start!$D$20,"A",IF(M2715&lt;=Start!$D$21,"B","C"))))</f>
        <v/>
      </c>
      <c r="O2715" s="48" t="str">
        <f aca="false">IF($A2715="","",IF(NOT(ISNUMBER(F2715)),"Wert fehlt; ",IF(F2715&lt;=0,"Wert ist 0; ",""))&amp;IF(NOT(ISNUMBER(E2715)),"Bestand fehlt; ",IF(E2715&lt;0,"Bestand negativ; ",IF(E2715=0,"Nullbestand; ","")))&amp;IF(D2715="","Warengruppe fehlt; ","")&amp;IF(B2715="","Bezeichnung fehlt; ","")&amp;IF(COUNTIFS($A$2:$A$5001,$A2715,$C$2:$C$5001,C2715)&gt;1,"Artikel doppelt im selben Lager; ",""))</f>
        <v/>
      </c>
      <c r="P2715" s="47" t="n">
        <f aca="false">IF(OR($A2715="",D2715=""),0,IF(COUNTIF($D$2:D2715,D2715)=1,SUMIF($D$2:$D$5001,D2715,$H$2:$H$5001)+ROW()/10000000,0))</f>
        <v>0</v>
      </c>
      <c r="Q2715" s="47" t="n">
        <f aca="false">IF(OR($A2715="",C2715=""),0,IF(COUNTIF($C$2:C2715,C2715)=1,SUMIF($C$2:$C$5001,C2715,$H$2:$H$5001)+ROW()/10000000,0))</f>
        <v>0</v>
      </c>
    </row>
    <row r="2716" customFormat="false" ht="15" hidden="false" customHeight="false" outlineLevel="0" collapsed="false">
      <c r="A2716" s="43"/>
      <c r="B2716" s="44"/>
      <c r="C2716" s="44"/>
      <c r="D2716" s="44"/>
      <c r="E2716" s="44"/>
      <c r="F2716" s="44"/>
      <c r="G2716" s="44"/>
      <c r="H2716" s="46" t="str">
        <f aca="false">IF($A2716="","",IF(OR(NOT(ISNUMBER(E2716)),NOT(ISNUMBER(F2716))),"",MAX(0,E2716)*F2716))</f>
        <v/>
      </c>
      <c r="I2716" s="46" t="str">
        <f aca="false">IF($A2716="","",SUMIF($A$2:$A$5001,$A2716,$H$2:$H$5001))</f>
        <v/>
      </c>
      <c r="J2716" s="47" t="n">
        <f aca="false">IF($A2716="",0,IF(COUNTIF($A$2:A2716,$A2716)=1,1,0))</f>
        <v>0</v>
      </c>
      <c r="K2716" s="47" t="n">
        <f aca="false">IF(J2716=1,N(I2716)+ROW()/10000000,0)</f>
        <v>0</v>
      </c>
      <c r="L2716" s="47" t="str">
        <f aca="false">IF(AND(J2716=1,N(I2716)&gt;0),SUMIF($K$2:$K$5001,"&gt;="&amp;K2716,$I$2:$I$5001)/MAX(1,SUM($H$2:$H$5001)),"")</f>
        <v/>
      </c>
      <c r="M2716" s="47" t="str">
        <f aca="false">IF($A2716="","",INDEX($L$2:$L$5001,MATCH($A2716,$A$2:$A$5001,0)))</f>
        <v/>
      </c>
      <c r="N2716" s="48" t="str">
        <f aca="false">IF($A2716="","",IF(N(M2716)=0,"–",IF(M2716&lt;=Start!$D$20,"A",IF(M2716&lt;=Start!$D$21,"B","C"))))</f>
        <v/>
      </c>
      <c r="O2716" s="48" t="str">
        <f aca="false">IF($A2716="","",IF(NOT(ISNUMBER(F2716)),"Wert fehlt; ",IF(F2716&lt;=0,"Wert ist 0; ",""))&amp;IF(NOT(ISNUMBER(E2716)),"Bestand fehlt; ",IF(E2716&lt;0,"Bestand negativ; ",IF(E2716=0,"Nullbestand; ","")))&amp;IF(D2716="","Warengruppe fehlt; ","")&amp;IF(B2716="","Bezeichnung fehlt; ","")&amp;IF(COUNTIFS($A$2:$A$5001,$A2716,$C$2:$C$5001,C2716)&gt;1,"Artikel doppelt im selben Lager; ",""))</f>
        <v/>
      </c>
      <c r="P2716" s="47" t="n">
        <f aca="false">IF(OR($A2716="",D2716=""),0,IF(COUNTIF($D$2:D2716,D2716)=1,SUMIF($D$2:$D$5001,D2716,$H$2:$H$5001)+ROW()/10000000,0))</f>
        <v>0</v>
      </c>
      <c r="Q2716" s="47" t="n">
        <f aca="false">IF(OR($A2716="",C2716=""),0,IF(COUNTIF($C$2:C2716,C2716)=1,SUMIF($C$2:$C$5001,C2716,$H$2:$H$5001)+ROW()/10000000,0))</f>
        <v>0</v>
      </c>
    </row>
    <row r="2717" customFormat="false" ht="15" hidden="false" customHeight="false" outlineLevel="0" collapsed="false">
      <c r="A2717" s="43"/>
      <c r="B2717" s="44"/>
      <c r="C2717" s="44"/>
      <c r="D2717" s="44"/>
      <c r="E2717" s="44"/>
      <c r="F2717" s="44"/>
      <c r="G2717" s="44"/>
      <c r="H2717" s="46" t="str">
        <f aca="false">IF($A2717="","",IF(OR(NOT(ISNUMBER(E2717)),NOT(ISNUMBER(F2717))),"",MAX(0,E2717)*F2717))</f>
        <v/>
      </c>
      <c r="I2717" s="46" t="str">
        <f aca="false">IF($A2717="","",SUMIF($A$2:$A$5001,$A2717,$H$2:$H$5001))</f>
        <v/>
      </c>
      <c r="J2717" s="47" t="n">
        <f aca="false">IF($A2717="",0,IF(COUNTIF($A$2:A2717,$A2717)=1,1,0))</f>
        <v>0</v>
      </c>
      <c r="K2717" s="47" t="n">
        <f aca="false">IF(J2717=1,N(I2717)+ROW()/10000000,0)</f>
        <v>0</v>
      </c>
      <c r="L2717" s="47" t="str">
        <f aca="false">IF(AND(J2717=1,N(I2717)&gt;0),SUMIF($K$2:$K$5001,"&gt;="&amp;K2717,$I$2:$I$5001)/MAX(1,SUM($H$2:$H$5001)),"")</f>
        <v/>
      </c>
      <c r="M2717" s="47" t="str">
        <f aca="false">IF($A2717="","",INDEX($L$2:$L$5001,MATCH($A2717,$A$2:$A$5001,0)))</f>
        <v/>
      </c>
      <c r="N2717" s="48" t="str">
        <f aca="false">IF($A2717="","",IF(N(M2717)=0,"–",IF(M2717&lt;=Start!$D$20,"A",IF(M2717&lt;=Start!$D$21,"B","C"))))</f>
        <v/>
      </c>
      <c r="O2717" s="48" t="str">
        <f aca="false">IF($A2717="","",IF(NOT(ISNUMBER(F2717)),"Wert fehlt; ",IF(F2717&lt;=0,"Wert ist 0; ",""))&amp;IF(NOT(ISNUMBER(E2717)),"Bestand fehlt; ",IF(E2717&lt;0,"Bestand negativ; ",IF(E2717=0,"Nullbestand; ","")))&amp;IF(D2717="","Warengruppe fehlt; ","")&amp;IF(B2717="","Bezeichnung fehlt; ","")&amp;IF(COUNTIFS($A$2:$A$5001,$A2717,$C$2:$C$5001,C2717)&gt;1,"Artikel doppelt im selben Lager; ",""))</f>
        <v/>
      </c>
      <c r="P2717" s="47" t="n">
        <f aca="false">IF(OR($A2717="",D2717=""),0,IF(COUNTIF($D$2:D2717,D2717)=1,SUMIF($D$2:$D$5001,D2717,$H$2:$H$5001)+ROW()/10000000,0))</f>
        <v>0</v>
      </c>
      <c r="Q2717" s="47" t="n">
        <f aca="false">IF(OR($A2717="",C2717=""),0,IF(COUNTIF($C$2:C2717,C2717)=1,SUMIF($C$2:$C$5001,C2717,$H$2:$H$5001)+ROW()/10000000,0))</f>
        <v>0</v>
      </c>
    </row>
    <row r="2718" customFormat="false" ht="15" hidden="false" customHeight="false" outlineLevel="0" collapsed="false">
      <c r="A2718" s="43"/>
      <c r="B2718" s="44"/>
      <c r="C2718" s="44"/>
      <c r="D2718" s="44"/>
      <c r="E2718" s="44"/>
      <c r="F2718" s="44"/>
      <c r="G2718" s="44"/>
      <c r="H2718" s="46" t="str">
        <f aca="false">IF($A2718="","",IF(OR(NOT(ISNUMBER(E2718)),NOT(ISNUMBER(F2718))),"",MAX(0,E2718)*F2718))</f>
        <v/>
      </c>
      <c r="I2718" s="46" t="str">
        <f aca="false">IF($A2718="","",SUMIF($A$2:$A$5001,$A2718,$H$2:$H$5001))</f>
        <v/>
      </c>
      <c r="J2718" s="47" t="n">
        <f aca="false">IF($A2718="",0,IF(COUNTIF($A$2:A2718,$A2718)=1,1,0))</f>
        <v>0</v>
      </c>
      <c r="K2718" s="47" t="n">
        <f aca="false">IF(J2718=1,N(I2718)+ROW()/10000000,0)</f>
        <v>0</v>
      </c>
      <c r="L2718" s="47" t="str">
        <f aca="false">IF(AND(J2718=1,N(I2718)&gt;0),SUMIF($K$2:$K$5001,"&gt;="&amp;K2718,$I$2:$I$5001)/MAX(1,SUM($H$2:$H$5001)),"")</f>
        <v/>
      </c>
      <c r="M2718" s="47" t="str">
        <f aca="false">IF($A2718="","",INDEX($L$2:$L$5001,MATCH($A2718,$A$2:$A$5001,0)))</f>
        <v/>
      </c>
      <c r="N2718" s="48" t="str">
        <f aca="false">IF($A2718="","",IF(N(M2718)=0,"–",IF(M2718&lt;=Start!$D$20,"A",IF(M2718&lt;=Start!$D$21,"B","C"))))</f>
        <v/>
      </c>
      <c r="O2718" s="48" t="str">
        <f aca="false">IF($A2718="","",IF(NOT(ISNUMBER(F2718)),"Wert fehlt; ",IF(F2718&lt;=0,"Wert ist 0; ",""))&amp;IF(NOT(ISNUMBER(E2718)),"Bestand fehlt; ",IF(E2718&lt;0,"Bestand negativ; ",IF(E2718=0,"Nullbestand; ","")))&amp;IF(D2718="","Warengruppe fehlt; ","")&amp;IF(B2718="","Bezeichnung fehlt; ","")&amp;IF(COUNTIFS($A$2:$A$5001,$A2718,$C$2:$C$5001,C2718)&gt;1,"Artikel doppelt im selben Lager; ",""))</f>
        <v/>
      </c>
      <c r="P2718" s="47" t="n">
        <f aca="false">IF(OR($A2718="",D2718=""),0,IF(COUNTIF($D$2:D2718,D2718)=1,SUMIF($D$2:$D$5001,D2718,$H$2:$H$5001)+ROW()/10000000,0))</f>
        <v>0</v>
      </c>
      <c r="Q2718" s="47" t="n">
        <f aca="false">IF(OR($A2718="",C2718=""),0,IF(COUNTIF($C$2:C2718,C2718)=1,SUMIF($C$2:$C$5001,C2718,$H$2:$H$5001)+ROW()/10000000,0))</f>
        <v>0</v>
      </c>
    </row>
    <row r="2719" customFormat="false" ht="15" hidden="false" customHeight="false" outlineLevel="0" collapsed="false">
      <c r="A2719" s="43"/>
      <c r="B2719" s="44"/>
      <c r="C2719" s="44"/>
      <c r="D2719" s="44"/>
      <c r="E2719" s="44"/>
      <c r="F2719" s="44"/>
      <c r="G2719" s="44"/>
      <c r="H2719" s="46" t="str">
        <f aca="false">IF($A2719="","",IF(OR(NOT(ISNUMBER(E2719)),NOT(ISNUMBER(F2719))),"",MAX(0,E2719)*F2719))</f>
        <v/>
      </c>
      <c r="I2719" s="46" t="str">
        <f aca="false">IF($A2719="","",SUMIF($A$2:$A$5001,$A2719,$H$2:$H$5001))</f>
        <v/>
      </c>
      <c r="J2719" s="47" t="n">
        <f aca="false">IF($A2719="",0,IF(COUNTIF($A$2:A2719,$A2719)=1,1,0))</f>
        <v>0</v>
      </c>
      <c r="K2719" s="47" t="n">
        <f aca="false">IF(J2719=1,N(I2719)+ROW()/10000000,0)</f>
        <v>0</v>
      </c>
      <c r="L2719" s="47" t="str">
        <f aca="false">IF(AND(J2719=1,N(I2719)&gt;0),SUMIF($K$2:$K$5001,"&gt;="&amp;K2719,$I$2:$I$5001)/MAX(1,SUM($H$2:$H$5001)),"")</f>
        <v/>
      </c>
      <c r="M2719" s="47" t="str">
        <f aca="false">IF($A2719="","",INDEX($L$2:$L$5001,MATCH($A2719,$A$2:$A$5001,0)))</f>
        <v/>
      </c>
      <c r="N2719" s="48" t="str">
        <f aca="false">IF($A2719="","",IF(N(M2719)=0,"–",IF(M2719&lt;=Start!$D$20,"A",IF(M2719&lt;=Start!$D$21,"B","C"))))</f>
        <v/>
      </c>
      <c r="O2719" s="48" t="str">
        <f aca="false">IF($A2719="","",IF(NOT(ISNUMBER(F2719)),"Wert fehlt; ",IF(F2719&lt;=0,"Wert ist 0; ",""))&amp;IF(NOT(ISNUMBER(E2719)),"Bestand fehlt; ",IF(E2719&lt;0,"Bestand negativ; ",IF(E2719=0,"Nullbestand; ","")))&amp;IF(D2719="","Warengruppe fehlt; ","")&amp;IF(B2719="","Bezeichnung fehlt; ","")&amp;IF(COUNTIFS($A$2:$A$5001,$A2719,$C$2:$C$5001,C2719)&gt;1,"Artikel doppelt im selben Lager; ",""))</f>
        <v/>
      </c>
      <c r="P2719" s="47" t="n">
        <f aca="false">IF(OR($A2719="",D2719=""),0,IF(COUNTIF($D$2:D2719,D2719)=1,SUMIF($D$2:$D$5001,D2719,$H$2:$H$5001)+ROW()/10000000,0))</f>
        <v>0</v>
      </c>
      <c r="Q2719" s="47" t="n">
        <f aca="false">IF(OR($A2719="",C2719=""),0,IF(COUNTIF($C$2:C2719,C2719)=1,SUMIF($C$2:$C$5001,C2719,$H$2:$H$5001)+ROW()/10000000,0))</f>
        <v>0</v>
      </c>
    </row>
    <row r="2720" customFormat="false" ht="15" hidden="false" customHeight="false" outlineLevel="0" collapsed="false">
      <c r="A2720" s="43"/>
      <c r="B2720" s="44"/>
      <c r="C2720" s="44"/>
      <c r="D2720" s="44"/>
      <c r="E2720" s="44"/>
      <c r="F2720" s="44"/>
      <c r="G2720" s="44"/>
      <c r="H2720" s="46" t="str">
        <f aca="false">IF($A2720="","",IF(OR(NOT(ISNUMBER(E2720)),NOT(ISNUMBER(F2720))),"",MAX(0,E2720)*F2720))</f>
        <v/>
      </c>
      <c r="I2720" s="46" t="str">
        <f aca="false">IF($A2720="","",SUMIF($A$2:$A$5001,$A2720,$H$2:$H$5001))</f>
        <v/>
      </c>
      <c r="J2720" s="47" t="n">
        <f aca="false">IF($A2720="",0,IF(COUNTIF($A$2:A2720,$A2720)=1,1,0))</f>
        <v>0</v>
      </c>
      <c r="K2720" s="47" t="n">
        <f aca="false">IF(J2720=1,N(I2720)+ROW()/10000000,0)</f>
        <v>0</v>
      </c>
      <c r="L2720" s="47" t="str">
        <f aca="false">IF(AND(J2720=1,N(I2720)&gt;0),SUMIF($K$2:$K$5001,"&gt;="&amp;K2720,$I$2:$I$5001)/MAX(1,SUM($H$2:$H$5001)),"")</f>
        <v/>
      </c>
      <c r="M2720" s="47" t="str">
        <f aca="false">IF($A2720="","",INDEX($L$2:$L$5001,MATCH($A2720,$A$2:$A$5001,0)))</f>
        <v/>
      </c>
      <c r="N2720" s="48" t="str">
        <f aca="false">IF($A2720="","",IF(N(M2720)=0,"–",IF(M2720&lt;=Start!$D$20,"A",IF(M2720&lt;=Start!$D$21,"B","C"))))</f>
        <v/>
      </c>
      <c r="O2720" s="48" t="str">
        <f aca="false">IF($A2720="","",IF(NOT(ISNUMBER(F2720)),"Wert fehlt; ",IF(F2720&lt;=0,"Wert ist 0; ",""))&amp;IF(NOT(ISNUMBER(E2720)),"Bestand fehlt; ",IF(E2720&lt;0,"Bestand negativ; ",IF(E2720=0,"Nullbestand; ","")))&amp;IF(D2720="","Warengruppe fehlt; ","")&amp;IF(B2720="","Bezeichnung fehlt; ","")&amp;IF(COUNTIFS($A$2:$A$5001,$A2720,$C$2:$C$5001,C2720)&gt;1,"Artikel doppelt im selben Lager; ",""))</f>
        <v/>
      </c>
      <c r="P2720" s="47" t="n">
        <f aca="false">IF(OR($A2720="",D2720=""),0,IF(COUNTIF($D$2:D2720,D2720)=1,SUMIF($D$2:$D$5001,D2720,$H$2:$H$5001)+ROW()/10000000,0))</f>
        <v>0</v>
      </c>
      <c r="Q2720" s="47" t="n">
        <f aca="false">IF(OR($A2720="",C2720=""),0,IF(COUNTIF($C$2:C2720,C2720)=1,SUMIF($C$2:$C$5001,C2720,$H$2:$H$5001)+ROW()/10000000,0))</f>
        <v>0</v>
      </c>
    </row>
    <row r="2721" customFormat="false" ht="15" hidden="false" customHeight="false" outlineLevel="0" collapsed="false">
      <c r="A2721" s="43"/>
      <c r="B2721" s="44"/>
      <c r="C2721" s="44"/>
      <c r="D2721" s="44"/>
      <c r="E2721" s="44"/>
      <c r="F2721" s="44"/>
      <c r="G2721" s="44"/>
      <c r="H2721" s="46" t="str">
        <f aca="false">IF($A2721="","",IF(OR(NOT(ISNUMBER(E2721)),NOT(ISNUMBER(F2721))),"",MAX(0,E2721)*F2721))</f>
        <v/>
      </c>
      <c r="I2721" s="46" t="str">
        <f aca="false">IF($A2721="","",SUMIF($A$2:$A$5001,$A2721,$H$2:$H$5001))</f>
        <v/>
      </c>
      <c r="J2721" s="47" t="n">
        <f aca="false">IF($A2721="",0,IF(COUNTIF($A$2:A2721,$A2721)=1,1,0))</f>
        <v>0</v>
      </c>
      <c r="K2721" s="47" t="n">
        <f aca="false">IF(J2721=1,N(I2721)+ROW()/10000000,0)</f>
        <v>0</v>
      </c>
      <c r="L2721" s="47" t="str">
        <f aca="false">IF(AND(J2721=1,N(I2721)&gt;0),SUMIF($K$2:$K$5001,"&gt;="&amp;K2721,$I$2:$I$5001)/MAX(1,SUM($H$2:$H$5001)),"")</f>
        <v/>
      </c>
      <c r="M2721" s="47" t="str">
        <f aca="false">IF($A2721="","",INDEX($L$2:$L$5001,MATCH($A2721,$A$2:$A$5001,0)))</f>
        <v/>
      </c>
      <c r="N2721" s="48" t="str">
        <f aca="false">IF($A2721="","",IF(N(M2721)=0,"–",IF(M2721&lt;=Start!$D$20,"A",IF(M2721&lt;=Start!$D$21,"B","C"))))</f>
        <v/>
      </c>
      <c r="O2721" s="48" t="str">
        <f aca="false">IF($A2721="","",IF(NOT(ISNUMBER(F2721)),"Wert fehlt; ",IF(F2721&lt;=0,"Wert ist 0; ",""))&amp;IF(NOT(ISNUMBER(E2721)),"Bestand fehlt; ",IF(E2721&lt;0,"Bestand negativ; ",IF(E2721=0,"Nullbestand; ","")))&amp;IF(D2721="","Warengruppe fehlt; ","")&amp;IF(B2721="","Bezeichnung fehlt; ","")&amp;IF(COUNTIFS($A$2:$A$5001,$A2721,$C$2:$C$5001,C2721)&gt;1,"Artikel doppelt im selben Lager; ",""))</f>
        <v/>
      </c>
      <c r="P2721" s="47" t="n">
        <f aca="false">IF(OR($A2721="",D2721=""),0,IF(COUNTIF($D$2:D2721,D2721)=1,SUMIF($D$2:$D$5001,D2721,$H$2:$H$5001)+ROW()/10000000,0))</f>
        <v>0</v>
      </c>
      <c r="Q2721" s="47" t="n">
        <f aca="false">IF(OR($A2721="",C2721=""),0,IF(COUNTIF($C$2:C2721,C2721)=1,SUMIF($C$2:$C$5001,C2721,$H$2:$H$5001)+ROW()/10000000,0))</f>
        <v>0</v>
      </c>
    </row>
    <row r="2722" customFormat="false" ht="15" hidden="false" customHeight="false" outlineLevel="0" collapsed="false">
      <c r="A2722" s="43"/>
      <c r="B2722" s="44"/>
      <c r="C2722" s="44"/>
      <c r="D2722" s="44"/>
      <c r="E2722" s="44"/>
      <c r="F2722" s="44"/>
      <c r="G2722" s="44"/>
      <c r="H2722" s="46" t="str">
        <f aca="false">IF($A2722="","",IF(OR(NOT(ISNUMBER(E2722)),NOT(ISNUMBER(F2722))),"",MAX(0,E2722)*F2722))</f>
        <v/>
      </c>
      <c r="I2722" s="46" t="str">
        <f aca="false">IF($A2722="","",SUMIF($A$2:$A$5001,$A2722,$H$2:$H$5001))</f>
        <v/>
      </c>
      <c r="J2722" s="47" t="n">
        <f aca="false">IF($A2722="",0,IF(COUNTIF($A$2:A2722,$A2722)=1,1,0))</f>
        <v>0</v>
      </c>
      <c r="K2722" s="47" t="n">
        <f aca="false">IF(J2722=1,N(I2722)+ROW()/10000000,0)</f>
        <v>0</v>
      </c>
      <c r="L2722" s="47" t="str">
        <f aca="false">IF(AND(J2722=1,N(I2722)&gt;0),SUMIF($K$2:$K$5001,"&gt;="&amp;K2722,$I$2:$I$5001)/MAX(1,SUM($H$2:$H$5001)),"")</f>
        <v/>
      </c>
      <c r="M2722" s="47" t="str">
        <f aca="false">IF($A2722="","",INDEX($L$2:$L$5001,MATCH($A2722,$A$2:$A$5001,0)))</f>
        <v/>
      </c>
      <c r="N2722" s="48" t="str">
        <f aca="false">IF($A2722="","",IF(N(M2722)=0,"–",IF(M2722&lt;=Start!$D$20,"A",IF(M2722&lt;=Start!$D$21,"B","C"))))</f>
        <v/>
      </c>
      <c r="O2722" s="48" t="str">
        <f aca="false">IF($A2722="","",IF(NOT(ISNUMBER(F2722)),"Wert fehlt; ",IF(F2722&lt;=0,"Wert ist 0; ",""))&amp;IF(NOT(ISNUMBER(E2722)),"Bestand fehlt; ",IF(E2722&lt;0,"Bestand negativ; ",IF(E2722=0,"Nullbestand; ","")))&amp;IF(D2722="","Warengruppe fehlt; ","")&amp;IF(B2722="","Bezeichnung fehlt; ","")&amp;IF(COUNTIFS($A$2:$A$5001,$A2722,$C$2:$C$5001,C2722)&gt;1,"Artikel doppelt im selben Lager; ",""))</f>
        <v/>
      </c>
      <c r="P2722" s="47" t="n">
        <f aca="false">IF(OR($A2722="",D2722=""),0,IF(COUNTIF($D$2:D2722,D2722)=1,SUMIF($D$2:$D$5001,D2722,$H$2:$H$5001)+ROW()/10000000,0))</f>
        <v>0</v>
      </c>
      <c r="Q2722" s="47" t="n">
        <f aca="false">IF(OR($A2722="",C2722=""),0,IF(COUNTIF($C$2:C2722,C2722)=1,SUMIF($C$2:$C$5001,C2722,$H$2:$H$5001)+ROW()/10000000,0))</f>
        <v>0</v>
      </c>
    </row>
    <row r="2723" customFormat="false" ht="15" hidden="false" customHeight="false" outlineLevel="0" collapsed="false">
      <c r="A2723" s="43"/>
      <c r="B2723" s="44"/>
      <c r="C2723" s="44"/>
      <c r="D2723" s="44"/>
      <c r="E2723" s="44"/>
      <c r="F2723" s="44"/>
      <c r="G2723" s="44"/>
      <c r="H2723" s="46" t="str">
        <f aca="false">IF($A2723="","",IF(OR(NOT(ISNUMBER(E2723)),NOT(ISNUMBER(F2723))),"",MAX(0,E2723)*F2723))</f>
        <v/>
      </c>
      <c r="I2723" s="46" t="str">
        <f aca="false">IF($A2723="","",SUMIF($A$2:$A$5001,$A2723,$H$2:$H$5001))</f>
        <v/>
      </c>
      <c r="J2723" s="47" t="n">
        <f aca="false">IF($A2723="",0,IF(COUNTIF($A$2:A2723,$A2723)=1,1,0))</f>
        <v>0</v>
      </c>
      <c r="K2723" s="47" t="n">
        <f aca="false">IF(J2723=1,N(I2723)+ROW()/10000000,0)</f>
        <v>0</v>
      </c>
      <c r="L2723" s="47" t="str">
        <f aca="false">IF(AND(J2723=1,N(I2723)&gt;0),SUMIF($K$2:$K$5001,"&gt;="&amp;K2723,$I$2:$I$5001)/MAX(1,SUM($H$2:$H$5001)),"")</f>
        <v/>
      </c>
      <c r="M2723" s="47" t="str">
        <f aca="false">IF($A2723="","",INDEX($L$2:$L$5001,MATCH($A2723,$A$2:$A$5001,0)))</f>
        <v/>
      </c>
      <c r="N2723" s="48" t="str">
        <f aca="false">IF($A2723="","",IF(N(M2723)=0,"–",IF(M2723&lt;=Start!$D$20,"A",IF(M2723&lt;=Start!$D$21,"B","C"))))</f>
        <v/>
      </c>
      <c r="O2723" s="48" t="str">
        <f aca="false">IF($A2723="","",IF(NOT(ISNUMBER(F2723)),"Wert fehlt; ",IF(F2723&lt;=0,"Wert ist 0; ",""))&amp;IF(NOT(ISNUMBER(E2723)),"Bestand fehlt; ",IF(E2723&lt;0,"Bestand negativ; ",IF(E2723=0,"Nullbestand; ","")))&amp;IF(D2723="","Warengruppe fehlt; ","")&amp;IF(B2723="","Bezeichnung fehlt; ","")&amp;IF(COUNTIFS($A$2:$A$5001,$A2723,$C$2:$C$5001,C2723)&gt;1,"Artikel doppelt im selben Lager; ",""))</f>
        <v/>
      </c>
      <c r="P2723" s="47" t="n">
        <f aca="false">IF(OR($A2723="",D2723=""),0,IF(COUNTIF($D$2:D2723,D2723)=1,SUMIF($D$2:$D$5001,D2723,$H$2:$H$5001)+ROW()/10000000,0))</f>
        <v>0</v>
      </c>
      <c r="Q2723" s="47" t="n">
        <f aca="false">IF(OR($A2723="",C2723=""),0,IF(COUNTIF($C$2:C2723,C2723)=1,SUMIF($C$2:$C$5001,C2723,$H$2:$H$5001)+ROW()/10000000,0))</f>
        <v>0</v>
      </c>
    </row>
    <row r="2724" customFormat="false" ht="15" hidden="false" customHeight="false" outlineLevel="0" collapsed="false">
      <c r="A2724" s="43"/>
      <c r="B2724" s="44"/>
      <c r="C2724" s="44"/>
      <c r="D2724" s="44"/>
      <c r="E2724" s="44"/>
      <c r="F2724" s="44"/>
      <c r="G2724" s="44"/>
      <c r="H2724" s="46" t="str">
        <f aca="false">IF($A2724="","",IF(OR(NOT(ISNUMBER(E2724)),NOT(ISNUMBER(F2724))),"",MAX(0,E2724)*F2724))</f>
        <v/>
      </c>
      <c r="I2724" s="46" t="str">
        <f aca="false">IF($A2724="","",SUMIF($A$2:$A$5001,$A2724,$H$2:$H$5001))</f>
        <v/>
      </c>
      <c r="J2724" s="47" t="n">
        <f aca="false">IF($A2724="",0,IF(COUNTIF($A$2:A2724,$A2724)=1,1,0))</f>
        <v>0</v>
      </c>
      <c r="K2724" s="47" t="n">
        <f aca="false">IF(J2724=1,N(I2724)+ROW()/10000000,0)</f>
        <v>0</v>
      </c>
      <c r="L2724" s="47" t="str">
        <f aca="false">IF(AND(J2724=1,N(I2724)&gt;0),SUMIF($K$2:$K$5001,"&gt;="&amp;K2724,$I$2:$I$5001)/MAX(1,SUM($H$2:$H$5001)),"")</f>
        <v/>
      </c>
      <c r="M2724" s="47" t="str">
        <f aca="false">IF($A2724="","",INDEX($L$2:$L$5001,MATCH($A2724,$A$2:$A$5001,0)))</f>
        <v/>
      </c>
      <c r="N2724" s="48" t="str">
        <f aca="false">IF($A2724="","",IF(N(M2724)=0,"–",IF(M2724&lt;=Start!$D$20,"A",IF(M2724&lt;=Start!$D$21,"B","C"))))</f>
        <v/>
      </c>
      <c r="O2724" s="48" t="str">
        <f aca="false">IF($A2724="","",IF(NOT(ISNUMBER(F2724)),"Wert fehlt; ",IF(F2724&lt;=0,"Wert ist 0; ",""))&amp;IF(NOT(ISNUMBER(E2724)),"Bestand fehlt; ",IF(E2724&lt;0,"Bestand negativ; ",IF(E2724=0,"Nullbestand; ","")))&amp;IF(D2724="","Warengruppe fehlt; ","")&amp;IF(B2724="","Bezeichnung fehlt; ","")&amp;IF(COUNTIFS($A$2:$A$5001,$A2724,$C$2:$C$5001,C2724)&gt;1,"Artikel doppelt im selben Lager; ",""))</f>
        <v/>
      </c>
      <c r="P2724" s="47" t="n">
        <f aca="false">IF(OR($A2724="",D2724=""),0,IF(COUNTIF($D$2:D2724,D2724)=1,SUMIF($D$2:$D$5001,D2724,$H$2:$H$5001)+ROW()/10000000,0))</f>
        <v>0</v>
      </c>
      <c r="Q2724" s="47" t="n">
        <f aca="false">IF(OR($A2724="",C2724=""),0,IF(COUNTIF($C$2:C2724,C2724)=1,SUMIF($C$2:$C$5001,C2724,$H$2:$H$5001)+ROW()/10000000,0))</f>
        <v>0</v>
      </c>
    </row>
    <row r="2725" customFormat="false" ht="15" hidden="false" customHeight="false" outlineLevel="0" collapsed="false">
      <c r="A2725" s="43"/>
      <c r="B2725" s="44"/>
      <c r="C2725" s="44"/>
      <c r="D2725" s="44"/>
      <c r="E2725" s="44"/>
      <c r="F2725" s="44"/>
      <c r="G2725" s="44"/>
      <c r="H2725" s="46" t="str">
        <f aca="false">IF($A2725="","",IF(OR(NOT(ISNUMBER(E2725)),NOT(ISNUMBER(F2725))),"",MAX(0,E2725)*F2725))</f>
        <v/>
      </c>
      <c r="I2725" s="46" t="str">
        <f aca="false">IF($A2725="","",SUMIF($A$2:$A$5001,$A2725,$H$2:$H$5001))</f>
        <v/>
      </c>
      <c r="J2725" s="47" t="n">
        <f aca="false">IF($A2725="",0,IF(COUNTIF($A$2:A2725,$A2725)=1,1,0))</f>
        <v>0</v>
      </c>
      <c r="K2725" s="47" t="n">
        <f aca="false">IF(J2725=1,N(I2725)+ROW()/10000000,0)</f>
        <v>0</v>
      </c>
      <c r="L2725" s="47" t="str">
        <f aca="false">IF(AND(J2725=1,N(I2725)&gt;0),SUMIF($K$2:$K$5001,"&gt;="&amp;K2725,$I$2:$I$5001)/MAX(1,SUM($H$2:$H$5001)),"")</f>
        <v/>
      </c>
      <c r="M2725" s="47" t="str">
        <f aca="false">IF($A2725="","",INDEX($L$2:$L$5001,MATCH($A2725,$A$2:$A$5001,0)))</f>
        <v/>
      </c>
      <c r="N2725" s="48" t="str">
        <f aca="false">IF($A2725="","",IF(N(M2725)=0,"–",IF(M2725&lt;=Start!$D$20,"A",IF(M2725&lt;=Start!$D$21,"B","C"))))</f>
        <v/>
      </c>
      <c r="O2725" s="48" t="str">
        <f aca="false">IF($A2725="","",IF(NOT(ISNUMBER(F2725)),"Wert fehlt; ",IF(F2725&lt;=0,"Wert ist 0; ",""))&amp;IF(NOT(ISNUMBER(E2725)),"Bestand fehlt; ",IF(E2725&lt;0,"Bestand negativ; ",IF(E2725=0,"Nullbestand; ","")))&amp;IF(D2725="","Warengruppe fehlt; ","")&amp;IF(B2725="","Bezeichnung fehlt; ","")&amp;IF(COUNTIFS($A$2:$A$5001,$A2725,$C$2:$C$5001,C2725)&gt;1,"Artikel doppelt im selben Lager; ",""))</f>
        <v/>
      </c>
      <c r="P2725" s="47" t="n">
        <f aca="false">IF(OR($A2725="",D2725=""),0,IF(COUNTIF($D$2:D2725,D2725)=1,SUMIF($D$2:$D$5001,D2725,$H$2:$H$5001)+ROW()/10000000,0))</f>
        <v>0</v>
      </c>
      <c r="Q2725" s="47" t="n">
        <f aca="false">IF(OR($A2725="",C2725=""),0,IF(COUNTIF($C$2:C2725,C2725)=1,SUMIF($C$2:$C$5001,C2725,$H$2:$H$5001)+ROW()/10000000,0))</f>
        <v>0</v>
      </c>
    </row>
    <row r="2726" customFormat="false" ht="15" hidden="false" customHeight="false" outlineLevel="0" collapsed="false">
      <c r="A2726" s="43"/>
      <c r="B2726" s="44"/>
      <c r="C2726" s="44"/>
      <c r="D2726" s="44"/>
      <c r="E2726" s="44"/>
      <c r="F2726" s="44"/>
      <c r="G2726" s="44"/>
      <c r="H2726" s="46" t="str">
        <f aca="false">IF($A2726="","",IF(OR(NOT(ISNUMBER(E2726)),NOT(ISNUMBER(F2726))),"",MAX(0,E2726)*F2726))</f>
        <v/>
      </c>
      <c r="I2726" s="46" t="str">
        <f aca="false">IF($A2726="","",SUMIF($A$2:$A$5001,$A2726,$H$2:$H$5001))</f>
        <v/>
      </c>
      <c r="J2726" s="47" t="n">
        <f aca="false">IF($A2726="",0,IF(COUNTIF($A$2:A2726,$A2726)=1,1,0))</f>
        <v>0</v>
      </c>
      <c r="K2726" s="47" t="n">
        <f aca="false">IF(J2726=1,N(I2726)+ROW()/10000000,0)</f>
        <v>0</v>
      </c>
      <c r="L2726" s="47" t="str">
        <f aca="false">IF(AND(J2726=1,N(I2726)&gt;0),SUMIF($K$2:$K$5001,"&gt;="&amp;K2726,$I$2:$I$5001)/MAX(1,SUM($H$2:$H$5001)),"")</f>
        <v/>
      </c>
      <c r="M2726" s="47" t="str">
        <f aca="false">IF($A2726="","",INDEX($L$2:$L$5001,MATCH($A2726,$A$2:$A$5001,0)))</f>
        <v/>
      </c>
      <c r="N2726" s="48" t="str">
        <f aca="false">IF($A2726="","",IF(N(M2726)=0,"–",IF(M2726&lt;=Start!$D$20,"A",IF(M2726&lt;=Start!$D$21,"B","C"))))</f>
        <v/>
      </c>
      <c r="O2726" s="48" t="str">
        <f aca="false">IF($A2726="","",IF(NOT(ISNUMBER(F2726)),"Wert fehlt; ",IF(F2726&lt;=0,"Wert ist 0; ",""))&amp;IF(NOT(ISNUMBER(E2726)),"Bestand fehlt; ",IF(E2726&lt;0,"Bestand negativ; ",IF(E2726=0,"Nullbestand; ","")))&amp;IF(D2726="","Warengruppe fehlt; ","")&amp;IF(B2726="","Bezeichnung fehlt; ","")&amp;IF(COUNTIFS($A$2:$A$5001,$A2726,$C$2:$C$5001,C2726)&gt;1,"Artikel doppelt im selben Lager; ",""))</f>
        <v/>
      </c>
      <c r="P2726" s="47" t="n">
        <f aca="false">IF(OR($A2726="",D2726=""),0,IF(COUNTIF($D$2:D2726,D2726)=1,SUMIF($D$2:$D$5001,D2726,$H$2:$H$5001)+ROW()/10000000,0))</f>
        <v>0</v>
      </c>
      <c r="Q2726" s="47" t="n">
        <f aca="false">IF(OR($A2726="",C2726=""),0,IF(COUNTIF($C$2:C2726,C2726)=1,SUMIF($C$2:$C$5001,C2726,$H$2:$H$5001)+ROW()/10000000,0))</f>
        <v>0</v>
      </c>
    </row>
    <row r="2727" customFormat="false" ht="15" hidden="false" customHeight="false" outlineLevel="0" collapsed="false">
      <c r="A2727" s="43"/>
      <c r="B2727" s="44"/>
      <c r="C2727" s="44"/>
      <c r="D2727" s="44"/>
      <c r="E2727" s="44"/>
      <c r="F2727" s="44"/>
      <c r="G2727" s="44"/>
      <c r="H2727" s="46" t="str">
        <f aca="false">IF($A2727="","",IF(OR(NOT(ISNUMBER(E2727)),NOT(ISNUMBER(F2727))),"",MAX(0,E2727)*F2727))</f>
        <v/>
      </c>
      <c r="I2727" s="46" t="str">
        <f aca="false">IF($A2727="","",SUMIF($A$2:$A$5001,$A2727,$H$2:$H$5001))</f>
        <v/>
      </c>
      <c r="J2727" s="47" t="n">
        <f aca="false">IF($A2727="",0,IF(COUNTIF($A$2:A2727,$A2727)=1,1,0))</f>
        <v>0</v>
      </c>
      <c r="K2727" s="47" t="n">
        <f aca="false">IF(J2727=1,N(I2727)+ROW()/10000000,0)</f>
        <v>0</v>
      </c>
      <c r="L2727" s="47" t="str">
        <f aca="false">IF(AND(J2727=1,N(I2727)&gt;0),SUMIF($K$2:$K$5001,"&gt;="&amp;K2727,$I$2:$I$5001)/MAX(1,SUM($H$2:$H$5001)),"")</f>
        <v/>
      </c>
      <c r="M2727" s="47" t="str">
        <f aca="false">IF($A2727="","",INDEX($L$2:$L$5001,MATCH($A2727,$A$2:$A$5001,0)))</f>
        <v/>
      </c>
      <c r="N2727" s="48" t="str">
        <f aca="false">IF($A2727="","",IF(N(M2727)=0,"–",IF(M2727&lt;=Start!$D$20,"A",IF(M2727&lt;=Start!$D$21,"B","C"))))</f>
        <v/>
      </c>
      <c r="O2727" s="48" t="str">
        <f aca="false">IF($A2727="","",IF(NOT(ISNUMBER(F2727)),"Wert fehlt; ",IF(F2727&lt;=0,"Wert ist 0; ",""))&amp;IF(NOT(ISNUMBER(E2727)),"Bestand fehlt; ",IF(E2727&lt;0,"Bestand negativ; ",IF(E2727=0,"Nullbestand; ","")))&amp;IF(D2727="","Warengruppe fehlt; ","")&amp;IF(B2727="","Bezeichnung fehlt; ","")&amp;IF(COUNTIFS($A$2:$A$5001,$A2727,$C$2:$C$5001,C2727)&gt;1,"Artikel doppelt im selben Lager; ",""))</f>
        <v/>
      </c>
      <c r="P2727" s="47" t="n">
        <f aca="false">IF(OR($A2727="",D2727=""),0,IF(COUNTIF($D$2:D2727,D2727)=1,SUMIF($D$2:$D$5001,D2727,$H$2:$H$5001)+ROW()/10000000,0))</f>
        <v>0</v>
      </c>
      <c r="Q2727" s="47" t="n">
        <f aca="false">IF(OR($A2727="",C2727=""),0,IF(COUNTIF($C$2:C2727,C2727)=1,SUMIF($C$2:$C$5001,C2727,$H$2:$H$5001)+ROW()/10000000,0))</f>
        <v>0</v>
      </c>
    </row>
    <row r="2728" customFormat="false" ht="15" hidden="false" customHeight="false" outlineLevel="0" collapsed="false">
      <c r="A2728" s="43"/>
      <c r="B2728" s="44"/>
      <c r="C2728" s="44"/>
      <c r="D2728" s="44"/>
      <c r="E2728" s="44"/>
      <c r="F2728" s="44"/>
      <c r="G2728" s="44"/>
      <c r="H2728" s="46" t="str">
        <f aca="false">IF($A2728="","",IF(OR(NOT(ISNUMBER(E2728)),NOT(ISNUMBER(F2728))),"",MAX(0,E2728)*F2728))</f>
        <v/>
      </c>
      <c r="I2728" s="46" t="str">
        <f aca="false">IF($A2728="","",SUMIF($A$2:$A$5001,$A2728,$H$2:$H$5001))</f>
        <v/>
      </c>
      <c r="J2728" s="47" t="n">
        <f aca="false">IF($A2728="",0,IF(COUNTIF($A$2:A2728,$A2728)=1,1,0))</f>
        <v>0</v>
      </c>
      <c r="K2728" s="47" t="n">
        <f aca="false">IF(J2728=1,N(I2728)+ROW()/10000000,0)</f>
        <v>0</v>
      </c>
      <c r="L2728" s="47" t="str">
        <f aca="false">IF(AND(J2728=1,N(I2728)&gt;0),SUMIF($K$2:$K$5001,"&gt;="&amp;K2728,$I$2:$I$5001)/MAX(1,SUM($H$2:$H$5001)),"")</f>
        <v/>
      </c>
      <c r="M2728" s="47" t="str">
        <f aca="false">IF($A2728="","",INDEX($L$2:$L$5001,MATCH($A2728,$A$2:$A$5001,0)))</f>
        <v/>
      </c>
      <c r="N2728" s="48" t="str">
        <f aca="false">IF($A2728="","",IF(N(M2728)=0,"–",IF(M2728&lt;=Start!$D$20,"A",IF(M2728&lt;=Start!$D$21,"B","C"))))</f>
        <v/>
      </c>
      <c r="O2728" s="48" t="str">
        <f aca="false">IF($A2728="","",IF(NOT(ISNUMBER(F2728)),"Wert fehlt; ",IF(F2728&lt;=0,"Wert ist 0; ",""))&amp;IF(NOT(ISNUMBER(E2728)),"Bestand fehlt; ",IF(E2728&lt;0,"Bestand negativ; ",IF(E2728=0,"Nullbestand; ","")))&amp;IF(D2728="","Warengruppe fehlt; ","")&amp;IF(B2728="","Bezeichnung fehlt; ","")&amp;IF(COUNTIFS($A$2:$A$5001,$A2728,$C$2:$C$5001,C2728)&gt;1,"Artikel doppelt im selben Lager; ",""))</f>
        <v/>
      </c>
      <c r="P2728" s="47" t="n">
        <f aca="false">IF(OR($A2728="",D2728=""),0,IF(COUNTIF($D$2:D2728,D2728)=1,SUMIF($D$2:$D$5001,D2728,$H$2:$H$5001)+ROW()/10000000,0))</f>
        <v>0</v>
      </c>
      <c r="Q2728" s="47" t="n">
        <f aca="false">IF(OR($A2728="",C2728=""),0,IF(COUNTIF($C$2:C2728,C2728)=1,SUMIF($C$2:$C$5001,C2728,$H$2:$H$5001)+ROW()/10000000,0))</f>
        <v>0</v>
      </c>
    </row>
    <row r="2729" customFormat="false" ht="15" hidden="false" customHeight="false" outlineLevel="0" collapsed="false">
      <c r="A2729" s="43"/>
      <c r="B2729" s="44"/>
      <c r="C2729" s="44"/>
      <c r="D2729" s="44"/>
      <c r="E2729" s="44"/>
      <c r="F2729" s="44"/>
      <c r="G2729" s="44"/>
      <c r="H2729" s="46" t="str">
        <f aca="false">IF($A2729="","",IF(OR(NOT(ISNUMBER(E2729)),NOT(ISNUMBER(F2729))),"",MAX(0,E2729)*F2729))</f>
        <v/>
      </c>
      <c r="I2729" s="46" t="str">
        <f aca="false">IF($A2729="","",SUMIF($A$2:$A$5001,$A2729,$H$2:$H$5001))</f>
        <v/>
      </c>
      <c r="J2729" s="47" t="n">
        <f aca="false">IF($A2729="",0,IF(COUNTIF($A$2:A2729,$A2729)=1,1,0))</f>
        <v>0</v>
      </c>
      <c r="K2729" s="47" t="n">
        <f aca="false">IF(J2729=1,N(I2729)+ROW()/10000000,0)</f>
        <v>0</v>
      </c>
      <c r="L2729" s="47" t="str">
        <f aca="false">IF(AND(J2729=1,N(I2729)&gt;0),SUMIF($K$2:$K$5001,"&gt;="&amp;K2729,$I$2:$I$5001)/MAX(1,SUM($H$2:$H$5001)),"")</f>
        <v/>
      </c>
      <c r="M2729" s="47" t="str">
        <f aca="false">IF($A2729="","",INDEX($L$2:$L$5001,MATCH($A2729,$A$2:$A$5001,0)))</f>
        <v/>
      </c>
      <c r="N2729" s="48" t="str">
        <f aca="false">IF($A2729="","",IF(N(M2729)=0,"–",IF(M2729&lt;=Start!$D$20,"A",IF(M2729&lt;=Start!$D$21,"B","C"))))</f>
        <v/>
      </c>
      <c r="O2729" s="48" t="str">
        <f aca="false">IF($A2729="","",IF(NOT(ISNUMBER(F2729)),"Wert fehlt; ",IF(F2729&lt;=0,"Wert ist 0; ",""))&amp;IF(NOT(ISNUMBER(E2729)),"Bestand fehlt; ",IF(E2729&lt;0,"Bestand negativ; ",IF(E2729=0,"Nullbestand; ","")))&amp;IF(D2729="","Warengruppe fehlt; ","")&amp;IF(B2729="","Bezeichnung fehlt; ","")&amp;IF(COUNTIFS($A$2:$A$5001,$A2729,$C$2:$C$5001,C2729)&gt;1,"Artikel doppelt im selben Lager; ",""))</f>
        <v/>
      </c>
      <c r="P2729" s="47" t="n">
        <f aca="false">IF(OR($A2729="",D2729=""),0,IF(COUNTIF($D$2:D2729,D2729)=1,SUMIF($D$2:$D$5001,D2729,$H$2:$H$5001)+ROW()/10000000,0))</f>
        <v>0</v>
      </c>
      <c r="Q2729" s="47" t="n">
        <f aca="false">IF(OR($A2729="",C2729=""),0,IF(COUNTIF($C$2:C2729,C2729)=1,SUMIF($C$2:$C$5001,C2729,$H$2:$H$5001)+ROW()/10000000,0))</f>
        <v>0</v>
      </c>
    </row>
    <row r="2730" customFormat="false" ht="15" hidden="false" customHeight="false" outlineLevel="0" collapsed="false">
      <c r="A2730" s="43"/>
      <c r="B2730" s="44"/>
      <c r="C2730" s="44"/>
      <c r="D2730" s="44"/>
      <c r="E2730" s="44"/>
      <c r="F2730" s="44"/>
      <c r="G2730" s="44"/>
      <c r="H2730" s="46" t="str">
        <f aca="false">IF($A2730="","",IF(OR(NOT(ISNUMBER(E2730)),NOT(ISNUMBER(F2730))),"",MAX(0,E2730)*F2730))</f>
        <v/>
      </c>
      <c r="I2730" s="46" t="str">
        <f aca="false">IF($A2730="","",SUMIF($A$2:$A$5001,$A2730,$H$2:$H$5001))</f>
        <v/>
      </c>
      <c r="J2730" s="47" t="n">
        <f aca="false">IF($A2730="",0,IF(COUNTIF($A$2:A2730,$A2730)=1,1,0))</f>
        <v>0</v>
      </c>
      <c r="K2730" s="47" t="n">
        <f aca="false">IF(J2730=1,N(I2730)+ROW()/10000000,0)</f>
        <v>0</v>
      </c>
      <c r="L2730" s="47" t="str">
        <f aca="false">IF(AND(J2730=1,N(I2730)&gt;0),SUMIF($K$2:$K$5001,"&gt;="&amp;K2730,$I$2:$I$5001)/MAX(1,SUM($H$2:$H$5001)),"")</f>
        <v/>
      </c>
      <c r="M2730" s="47" t="str">
        <f aca="false">IF($A2730="","",INDEX($L$2:$L$5001,MATCH($A2730,$A$2:$A$5001,0)))</f>
        <v/>
      </c>
      <c r="N2730" s="48" t="str">
        <f aca="false">IF($A2730="","",IF(N(M2730)=0,"–",IF(M2730&lt;=Start!$D$20,"A",IF(M2730&lt;=Start!$D$21,"B","C"))))</f>
        <v/>
      </c>
      <c r="O2730" s="48" t="str">
        <f aca="false">IF($A2730="","",IF(NOT(ISNUMBER(F2730)),"Wert fehlt; ",IF(F2730&lt;=0,"Wert ist 0; ",""))&amp;IF(NOT(ISNUMBER(E2730)),"Bestand fehlt; ",IF(E2730&lt;0,"Bestand negativ; ",IF(E2730=0,"Nullbestand; ","")))&amp;IF(D2730="","Warengruppe fehlt; ","")&amp;IF(B2730="","Bezeichnung fehlt; ","")&amp;IF(COUNTIFS($A$2:$A$5001,$A2730,$C$2:$C$5001,C2730)&gt;1,"Artikel doppelt im selben Lager; ",""))</f>
        <v/>
      </c>
      <c r="P2730" s="47" t="n">
        <f aca="false">IF(OR($A2730="",D2730=""),0,IF(COUNTIF($D$2:D2730,D2730)=1,SUMIF($D$2:$D$5001,D2730,$H$2:$H$5001)+ROW()/10000000,0))</f>
        <v>0</v>
      </c>
      <c r="Q2730" s="47" t="n">
        <f aca="false">IF(OR($A2730="",C2730=""),0,IF(COUNTIF($C$2:C2730,C2730)=1,SUMIF($C$2:$C$5001,C2730,$H$2:$H$5001)+ROW()/10000000,0))</f>
        <v>0</v>
      </c>
    </row>
    <row r="2731" customFormat="false" ht="15" hidden="false" customHeight="false" outlineLevel="0" collapsed="false">
      <c r="A2731" s="43"/>
      <c r="B2731" s="44"/>
      <c r="C2731" s="44"/>
      <c r="D2731" s="44"/>
      <c r="E2731" s="44"/>
      <c r="F2731" s="44"/>
      <c r="G2731" s="44"/>
      <c r="H2731" s="46" t="str">
        <f aca="false">IF($A2731="","",IF(OR(NOT(ISNUMBER(E2731)),NOT(ISNUMBER(F2731))),"",MAX(0,E2731)*F2731))</f>
        <v/>
      </c>
      <c r="I2731" s="46" t="str">
        <f aca="false">IF($A2731="","",SUMIF($A$2:$A$5001,$A2731,$H$2:$H$5001))</f>
        <v/>
      </c>
      <c r="J2731" s="47" t="n">
        <f aca="false">IF($A2731="",0,IF(COUNTIF($A$2:A2731,$A2731)=1,1,0))</f>
        <v>0</v>
      </c>
      <c r="K2731" s="47" t="n">
        <f aca="false">IF(J2731=1,N(I2731)+ROW()/10000000,0)</f>
        <v>0</v>
      </c>
      <c r="L2731" s="47" t="str">
        <f aca="false">IF(AND(J2731=1,N(I2731)&gt;0),SUMIF($K$2:$K$5001,"&gt;="&amp;K2731,$I$2:$I$5001)/MAX(1,SUM($H$2:$H$5001)),"")</f>
        <v/>
      </c>
      <c r="M2731" s="47" t="str">
        <f aca="false">IF($A2731="","",INDEX($L$2:$L$5001,MATCH($A2731,$A$2:$A$5001,0)))</f>
        <v/>
      </c>
      <c r="N2731" s="48" t="str">
        <f aca="false">IF($A2731="","",IF(N(M2731)=0,"–",IF(M2731&lt;=Start!$D$20,"A",IF(M2731&lt;=Start!$D$21,"B","C"))))</f>
        <v/>
      </c>
      <c r="O2731" s="48" t="str">
        <f aca="false">IF($A2731="","",IF(NOT(ISNUMBER(F2731)),"Wert fehlt; ",IF(F2731&lt;=0,"Wert ist 0; ",""))&amp;IF(NOT(ISNUMBER(E2731)),"Bestand fehlt; ",IF(E2731&lt;0,"Bestand negativ; ",IF(E2731=0,"Nullbestand; ","")))&amp;IF(D2731="","Warengruppe fehlt; ","")&amp;IF(B2731="","Bezeichnung fehlt; ","")&amp;IF(COUNTIFS($A$2:$A$5001,$A2731,$C$2:$C$5001,C2731)&gt;1,"Artikel doppelt im selben Lager; ",""))</f>
        <v/>
      </c>
      <c r="P2731" s="47" t="n">
        <f aca="false">IF(OR($A2731="",D2731=""),0,IF(COUNTIF($D$2:D2731,D2731)=1,SUMIF($D$2:$D$5001,D2731,$H$2:$H$5001)+ROW()/10000000,0))</f>
        <v>0</v>
      </c>
      <c r="Q2731" s="47" t="n">
        <f aca="false">IF(OR($A2731="",C2731=""),0,IF(COUNTIF($C$2:C2731,C2731)=1,SUMIF($C$2:$C$5001,C2731,$H$2:$H$5001)+ROW()/10000000,0))</f>
        <v>0</v>
      </c>
    </row>
    <row r="2732" customFormat="false" ht="15" hidden="false" customHeight="false" outlineLevel="0" collapsed="false">
      <c r="A2732" s="43"/>
      <c r="B2732" s="44"/>
      <c r="C2732" s="44"/>
      <c r="D2732" s="44"/>
      <c r="E2732" s="44"/>
      <c r="F2732" s="44"/>
      <c r="G2732" s="44"/>
      <c r="H2732" s="46" t="str">
        <f aca="false">IF($A2732="","",IF(OR(NOT(ISNUMBER(E2732)),NOT(ISNUMBER(F2732))),"",MAX(0,E2732)*F2732))</f>
        <v/>
      </c>
      <c r="I2732" s="46" t="str">
        <f aca="false">IF($A2732="","",SUMIF($A$2:$A$5001,$A2732,$H$2:$H$5001))</f>
        <v/>
      </c>
      <c r="J2732" s="47" t="n">
        <f aca="false">IF($A2732="",0,IF(COUNTIF($A$2:A2732,$A2732)=1,1,0))</f>
        <v>0</v>
      </c>
      <c r="K2732" s="47" t="n">
        <f aca="false">IF(J2732=1,N(I2732)+ROW()/10000000,0)</f>
        <v>0</v>
      </c>
      <c r="L2732" s="47" t="str">
        <f aca="false">IF(AND(J2732=1,N(I2732)&gt;0),SUMIF($K$2:$K$5001,"&gt;="&amp;K2732,$I$2:$I$5001)/MAX(1,SUM($H$2:$H$5001)),"")</f>
        <v/>
      </c>
      <c r="M2732" s="47" t="str">
        <f aca="false">IF($A2732="","",INDEX($L$2:$L$5001,MATCH($A2732,$A$2:$A$5001,0)))</f>
        <v/>
      </c>
      <c r="N2732" s="48" t="str">
        <f aca="false">IF($A2732="","",IF(N(M2732)=0,"–",IF(M2732&lt;=Start!$D$20,"A",IF(M2732&lt;=Start!$D$21,"B","C"))))</f>
        <v/>
      </c>
      <c r="O2732" s="48" t="str">
        <f aca="false">IF($A2732="","",IF(NOT(ISNUMBER(F2732)),"Wert fehlt; ",IF(F2732&lt;=0,"Wert ist 0; ",""))&amp;IF(NOT(ISNUMBER(E2732)),"Bestand fehlt; ",IF(E2732&lt;0,"Bestand negativ; ",IF(E2732=0,"Nullbestand; ","")))&amp;IF(D2732="","Warengruppe fehlt; ","")&amp;IF(B2732="","Bezeichnung fehlt; ","")&amp;IF(COUNTIFS($A$2:$A$5001,$A2732,$C$2:$C$5001,C2732)&gt;1,"Artikel doppelt im selben Lager; ",""))</f>
        <v/>
      </c>
      <c r="P2732" s="47" t="n">
        <f aca="false">IF(OR($A2732="",D2732=""),0,IF(COUNTIF($D$2:D2732,D2732)=1,SUMIF($D$2:$D$5001,D2732,$H$2:$H$5001)+ROW()/10000000,0))</f>
        <v>0</v>
      </c>
      <c r="Q2732" s="47" t="n">
        <f aca="false">IF(OR($A2732="",C2732=""),0,IF(COUNTIF($C$2:C2732,C2732)=1,SUMIF($C$2:$C$5001,C2732,$H$2:$H$5001)+ROW()/10000000,0))</f>
        <v>0</v>
      </c>
    </row>
    <row r="2733" customFormat="false" ht="15" hidden="false" customHeight="false" outlineLevel="0" collapsed="false">
      <c r="A2733" s="43"/>
      <c r="B2733" s="44"/>
      <c r="C2733" s="44"/>
      <c r="D2733" s="44"/>
      <c r="E2733" s="44"/>
      <c r="F2733" s="44"/>
      <c r="G2733" s="44"/>
      <c r="H2733" s="46" t="str">
        <f aca="false">IF($A2733="","",IF(OR(NOT(ISNUMBER(E2733)),NOT(ISNUMBER(F2733))),"",MAX(0,E2733)*F2733))</f>
        <v/>
      </c>
      <c r="I2733" s="46" t="str">
        <f aca="false">IF($A2733="","",SUMIF($A$2:$A$5001,$A2733,$H$2:$H$5001))</f>
        <v/>
      </c>
      <c r="J2733" s="47" t="n">
        <f aca="false">IF($A2733="",0,IF(COUNTIF($A$2:A2733,$A2733)=1,1,0))</f>
        <v>0</v>
      </c>
      <c r="K2733" s="47" t="n">
        <f aca="false">IF(J2733=1,N(I2733)+ROW()/10000000,0)</f>
        <v>0</v>
      </c>
      <c r="L2733" s="47" t="str">
        <f aca="false">IF(AND(J2733=1,N(I2733)&gt;0),SUMIF($K$2:$K$5001,"&gt;="&amp;K2733,$I$2:$I$5001)/MAX(1,SUM($H$2:$H$5001)),"")</f>
        <v/>
      </c>
      <c r="M2733" s="47" t="str">
        <f aca="false">IF($A2733="","",INDEX($L$2:$L$5001,MATCH($A2733,$A$2:$A$5001,0)))</f>
        <v/>
      </c>
      <c r="N2733" s="48" t="str">
        <f aca="false">IF($A2733="","",IF(N(M2733)=0,"–",IF(M2733&lt;=Start!$D$20,"A",IF(M2733&lt;=Start!$D$21,"B","C"))))</f>
        <v/>
      </c>
      <c r="O2733" s="48" t="str">
        <f aca="false">IF($A2733="","",IF(NOT(ISNUMBER(F2733)),"Wert fehlt; ",IF(F2733&lt;=0,"Wert ist 0; ",""))&amp;IF(NOT(ISNUMBER(E2733)),"Bestand fehlt; ",IF(E2733&lt;0,"Bestand negativ; ",IF(E2733=0,"Nullbestand; ","")))&amp;IF(D2733="","Warengruppe fehlt; ","")&amp;IF(B2733="","Bezeichnung fehlt; ","")&amp;IF(COUNTIFS($A$2:$A$5001,$A2733,$C$2:$C$5001,C2733)&gt;1,"Artikel doppelt im selben Lager; ",""))</f>
        <v/>
      </c>
      <c r="P2733" s="47" t="n">
        <f aca="false">IF(OR($A2733="",D2733=""),0,IF(COUNTIF($D$2:D2733,D2733)=1,SUMIF($D$2:$D$5001,D2733,$H$2:$H$5001)+ROW()/10000000,0))</f>
        <v>0</v>
      </c>
      <c r="Q2733" s="47" t="n">
        <f aca="false">IF(OR($A2733="",C2733=""),0,IF(COUNTIF($C$2:C2733,C2733)=1,SUMIF($C$2:$C$5001,C2733,$H$2:$H$5001)+ROW()/10000000,0))</f>
        <v>0</v>
      </c>
    </row>
    <row r="2734" customFormat="false" ht="15" hidden="false" customHeight="false" outlineLevel="0" collapsed="false">
      <c r="A2734" s="43"/>
      <c r="B2734" s="44"/>
      <c r="C2734" s="44"/>
      <c r="D2734" s="44"/>
      <c r="E2734" s="44"/>
      <c r="F2734" s="44"/>
      <c r="G2734" s="44"/>
      <c r="H2734" s="46" t="str">
        <f aca="false">IF($A2734="","",IF(OR(NOT(ISNUMBER(E2734)),NOT(ISNUMBER(F2734))),"",MAX(0,E2734)*F2734))</f>
        <v/>
      </c>
      <c r="I2734" s="46" t="str">
        <f aca="false">IF($A2734="","",SUMIF($A$2:$A$5001,$A2734,$H$2:$H$5001))</f>
        <v/>
      </c>
      <c r="J2734" s="47" t="n">
        <f aca="false">IF($A2734="",0,IF(COUNTIF($A$2:A2734,$A2734)=1,1,0))</f>
        <v>0</v>
      </c>
      <c r="K2734" s="47" t="n">
        <f aca="false">IF(J2734=1,N(I2734)+ROW()/10000000,0)</f>
        <v>0</v>
      </c>
      <c r="L2734" s="47" t="str">
        <f aca="false">IF(AND(J2734=1,N(I2734)&gt;0),SUMIF($K$2:$K$5001,"&gt;="&amp;K2734,$I$2:$I$5001)/MAX(1,SUM($H$2:$H$5001)),"")</f>
        <v/>
      </c>
      <c r="M2734" s="47" t="str">
        <f aca="false">IF($A2734="","",INDEX($L$2:$L$5001,MATCH($A2734,$A$2:$A$5001,0)))</f>
        <v/>
      </c>
      <c r="N2734" s="48" t="str">
        <f aca="false">IF($A2734="","",IF(N(M2734)=0,"–",IF(M2734&lt;=Start!$D$20,"A",IF(M2734&lt;=Start!$D$21,"B","C"))))</f>
        <v/>
      </c>
      <c r="O2734" s="48" t="str">
        <f aca="false">IF($A2734="","",IF(NOT(ISNUMBER(F2734)),"Wert fehlt; ",IF(F2734&lt;=0,"Wert ist 0; ",""))&amp;IF(NOT(ISNUMBER(E2734)),"Bestand fehlt; ",IF(E2734&lt;0,"Bestand negativ; ",IF(E2734=0,"Nullbestand; ","")))&amp;IF(D2734="","Warengruppe fehlt; ","")&amp;IF(B2734="","Bezeichnung fehlt; ","")&amp;IF(COUNTIFS($A$2:$A$5001,$A2734,$C$2:$C$5001,C2734)&gt;1,"Artikel doppelt im selben Lager; ",""))</f>
        <v/>
      </c>
      <c r="P2734" s="47" t="n">
        <f aca="false">IF(OR($A2734="",D2734=""),0,IF(COUNTIF($D$2:D2734,D2734)=1,SUMIF($D$2:$D$5001,D2734,$H$2:$H$5001)+ROW()/10000000,0))</f>
        <v>0</v>
      </c>
      <c r="Q2734" s="47" t="n">
        <f aca="false">IF(OR($A2734="",C2734=""),0,IF(COUNTIF($C$2:C2734,C2734)=1,SUMIF($C$2:$C$5001,C2734,$H$2:$H$5001)+ROW()/10000000,0))</f>
        <v>0</v>
      </c>
    </row>
    <row r="2735" customFormat="false" ht="15" hidden="false" customHeight="false" outlineLevel="0" collapsed="false">
      <c r="A2735" s="43"/>
      <c r="B2735" s="44"/>
      <c r="C2735" s="44"/>
      <c r="D2735" s="44"/>
      <c r="E2735" s="44"/>
      <c r="F2735" s="44"/>
      <c r="G2735" s="44"/>
      <c r="H2735" s="46" t="str">
        <f aca="false">IF($A2735="","",IF(OR(NOT(ISNUMBER(E2735)),NOT(ISNUMBER(F2735))),"",MAX(0,E2735)*F2735))</f>
        <v/>
      </c>
      <c r="I2735" s="46" t="str">
        <f aca="false">IF($A2735="","",SUMIF($A$2:$A$5001,$A2735,$H$2:$H$5001))</f>
        <v/>
      </c>
      <c r="J2735" s="47" t="n">
        <f aca="false">IF($A2735="",0,IF(COUNTIF($A$2:A2735,$A2735)=1,1,0))</f>
        <v>0</v>
      </c>
      <c r="K2735" s="47" t="n">
        <f aca="false">IF(J2735=1,N(I2735)+ROW()/10000000,0)</f>
        <v>0</v>
      </c>
      <c r="L2735" s="47" t="str">
        <f aca="false">IF(AND(J2735=1,N(I2735)&gt;0),SUMIF($K$2:$K$5001,"&gt;="&amp;K2735,$I$2:$I$5001)/MAX(1,SUM($H$2:$H$5001)),"")</f>
        <v/>
      </c>
      <c r="M2735" s="47" t="str">
        <f aca="false">IF($A2735="","",INDEX($L$2:$L$5001,MATCH($A2735,$A$2:$A$5001,0)))</f>
        <v/>
      </c>
      <c r="N2735" s="48" t="str">
        <f aca="false">IF($A2735="","",IF(N(M2735)=0,"–",IF(M2735&lt;=Start!$D$20,"A",IF(M2735&lt;=Start!$D$21,"B","C"))))</f>
        <v/>
      </c>
      <c r="O2735" s="48" t="str">
        <f aca="false">IF($A2735="","",IF(NOT(ISNUMBER(F2735)),"Wert fehlt; ",IF(F2735&lt;=0,"Wert ist 0; ",""))&amp;IF(NOT(ISNUMBER(E2735)),"Bestand fehlt; ",IF(E2735&lt;0,"Bestand negativ; ",IF(E2735=0,"Nullbestand; ","")))&amp;IF(D2735="","Warengruppe fehlt; ","")&amp;IF(B2735="","Bezeichnung fehlt; ","")&amp;IF(COUNTIFS($A$2:$A$5001,$A2735,$C$2:$C$5001,C2735)&gt;1,"Artikel doppelt im selben Lager; ",""))</f>
        <v/>
      </c>
      <c r="P2735" s="47" t="n">
        <f aca="false">IF(OR($A2735="",D2735=""),0,IF(COUNTIF($D$2:D2735,D2735)=1,SUMIF($D$2:$D$5001,D2735,$H$2:$H$5001)+ROW()/10000000,0))</f>
        <v>0</v>
      </c>
      <c r="Q2735" s="47" t="n">
        <f aca="false">IF(OR($A2735="",C2735=""),0,IF(COUNTIF($C$2:C2735,C2735)=1,SUMIF($C$2:$C$5001,C2735,$H$2:$H$5001)+ROW()/10000000,0))</f>
        <v>0</v>
      </c>
    </row>
    <row r="2736" customFormat="false" ht="15" hidden="false" customHeight="false" outlineLevel="0" collapsed="false">
      <c r="A2736" s="43"/>
      <c r="B2736" s="44"/>
      <c r="C2736" s="44"/>
      <c r="D2736" s="44"/>
      <c r="E2736" s="44"/>
      <c r="F2736" s="44"/>
      <c r="G2736" s="44"/>
      <c r="H2736" s="46" t="str">
        <f aca="false">IF($A2736="","",IF(OR(NOT(ISNUMBER(E2736)),NOT(ISNUMBER(F2736))),"",MAX(0,E2736)*F2736))</f>
        <v/>
      </c>
      <c r="I2736" s="46" t="str">
        <f aca="false">IF($A2736="","",SUMIF($A$2:$A$5001,$A2736,$H$2:$H$5001))</f>
        <v/>
      </c>
      <c r="J2736" s="47" t="n">
        <f aca="false">IF($A2736="",0,IF(COUNTIF($A$2:A2736,$A2736)=1,1,0))</f>
        <v>0</v>
      </c>
      <c r="K2736" s="47" t="n">
        <f aca="false">IF(J2736=1,N(I2736)+ROW()/10000000,0)</f>
        <v>0</v>
      </c>
      <c r="L2736" s="47" t="str">
        <f aca="false">IF(AND(J2736=1,N(I2736)&gt;0),SUMIF($K$2:$K$5001,"&gt;="&amp;K2736,$I$2:$I$5001)/MAX(1,SUM($H$2:$H$5001)),"")</f>
        <v/>
      </c>
      <c r="M2736" s="47" t="str">
        <f aca="false">IF($A2736="","",INDEX($L$2:$L$5001,MATCH($A2736,$A$2:$A$5001,0)))</f>
        <v/>
      </c>
      <c r="N2736" s="48" t="str">
        <f aca="false">IF($A2736="","",IF(N(M2736)=0,"–",IF(M2736&lt;=Start!$D$20,"A",IF(M2736&lt;=Start!$D$21,"B","C"))))</f>
        <v/>
      </c>
      <c r="O2736" s="48" t="str">
        <f aca="false">IF($A2736="","",IF(NOT(ISNUMBER(F2736)),"Wert fehlt; ",IF(F2736&lt;=0,"Wert ist 0; ",""))&amp;IF(NOT(ISNUMBER(E2736)),"Bestand fehlt; ",IF(E2736&lt;0,"Bestand negativ; ",IF(E2736=0,"Nullbestand; ","")))&amp;IF(D2736="","Warengruppe fehlt; ","")&amp;IF(B2736="","Bezeichnung fehlt; ","")&amp;IF(COUNTIFS($A$2:$A$5001,$A2736,$C$2:$C$5001,C2736)&gt;1,"Artikel doppelt im selben Lager; ",""))</f>
        <v/>
      </c>
      <c r="P2736" s="47" t="n">
        <f aca="false">IF(OR($A2736="",D2736=""),0,IF(COUNTIF($D$2:D2736,D2736)=1,SUMIF($D$2:$D$5001,D2736,$H$2:$H$5001)+ROW()/10000000,0))</f>
        <v>0</v>
      </c>
      <c r="Q2736" s="47" t="n">
        <f aca="false">IF(OR($A2736="",C2736=""),0,IF(COUNTIF($C$2:C2736,C2736)=1,SUMIF($C$2:$C$5001,C2736,$H$2:$H$5001)+ROW()/10000000,0))</f>
        <v>0</v>
      </c>
    </row>
    <row r="2737" customFormat="false" ht="15" hidden="false" customHeight="false" outlineLevel="0" collapsed="false">
      <c r="A2737" s="43"/>
      <c r="B2737" s="44"/>
      <c r="C2737" s="44"/>
      <c r="D2737" s="44"/>
      <c r="E2737" s="44"/>
      <c r="F2737" s="44"/>
      <c r="G2737" s="44"/>
      <c r="H2737" s="46" t="str">
        <f aca="false">IF($A2737="","",IF(OR(NOT(ISNUMBER(E2737)),NOT(ISNUMBER(F2737))),"",MAX(0,E2737)*F2737))</f>
        <v/>
      </c>
      <c r="I2737" s="46" t="str">
        <f aca="false">IF($A2737="","",SUMIF($A$2:$A$5001,$A2737,$H$2:$H$5001))</f>
        <v/>
      </c>
      <c r="J2737" s="47" t="n">
        <f aca="false">IF($A2737="",0,IF(COUNTIF($A$2:A2737,$A2737)=1,1,0))</f>
        <v>0</v>
      </c>
      <c r="K2737" s="47" t="n">
        <f aca="false">IF(J2737=1,N(I2737)+ROW()/10000000,0)</f>
        <v>0</v>
      </c>
      <c r="L2737" s="47" t="str">
        <f aca="false">IF(AND(J2737=1,N(I2737)&gt;0),SUMIF($K$2:$K$5001,"&gt;="&amp;K2737,$I$2:$I$5001)/MAX(1,SUM($H$2:$H$5001)),"")</f>
        <v/>
      </c>
      <c r="M2737" s="47" t="str">
        <f aca="false">IF($A2737="","",INDEX($L$2:$L$5001,MATCH($A2737,$A$2:$A$5001,0)))</f>
        <v/>
      </c>
      <c r="N2737" s="48" t="str">
        <f aca="false">IF($A2737="","",IF(N(M2737)=0,"–",IF(M2737&lt;=Start!$D$20,"A",IF(M2737&lt;=Start!$D$21,"B","C"))))</f>
        <v/>
      </c>
      <c r="O2737" s="48" t="str">
        <f aca="false">IF($A2737="","",IF(NOT(ISNUMBER(F2737)),"Wert fehlt; ",IF(F2737&lt;=0,"Wert ist 0; ",""))&amp;IF(NOT(ISNUMBER(E2737)),"Bestand fehlt; ",IF(E2737&lt;0,"Bestand negativ; ",IF(E2737=0,"Nullbestand; ","")))&amp;IF(D2737="","Warengruppe fehlt; ","")&amp;IF(B2737="","Bezeichnung fehlt; ","")&amp;IF(COUNTIFS($A$2:$A$5001,$A2737,$C$2:$C$5001,C2737)&gt;1,"Artikel doppelt im selben Lager; ",""))</f>
        <v/>
      </c>
      <c r="P2737" s="47" t="n">
        <f aca="false">IF(OR($A2737="",D2737=""),0,IF(COUNTIF($D$2:D2737,D2737)=1,SUMIF($D$2:$D$5001,D2737,$H$2:$H$5001)+ROW()/10000000,0))</f>
        <v>0</v>
      </c>
      <c r="Q2737" s="47" t="n">
        <f aca="false">IF(OR($A2737="",C2737=""),0,IF(COUNTIF($C$2:C2737,C2737)=1,SUMIF($C$2:$C$5001,C2737,$H$2:$H$5001)+ROW()/10000000,0))</f>
        <v>0</v>
      </c>
    </row>
    <row r="2738" customFormat="false" ht="15" hidden="false" customHeight="false" outlineLevel="0" collapsed="false">
      <c r="A2738" s="43"/>
      <c r="B2738" s="44"/>
      <c r="C2738" s="44"/>
      <c r="D2738" s="44"/>
      <c r="E2738" s="44"/>
      <c r="F2738" s="44"/>
      <c r="G2738" s="44"/>
      <c r="H2738" s="46" t="str">
        <f aca="false">IF($A2738="","",IF(OR(NOT(ISNUMBER(E2738)),NOT(ISNUMBER(F2738))),"",MAX(0,E2738)*F2738))</f>
        <v/>
      </c>
      <c r="I2738" s="46" t="str">
        <f aca="false">IF($A2738="","",SUMIF($A$2:$A$5001,$A2738,$H$2:$H$5001))</f>
        <v/>
      </c>
      <c r="J2738" s="47" t="n">
        <f aca="false">IF($A2738="",0,IF(COUNTIF($A$2:A2738,$A2738)=1,1,0))</f>
        <v>0</v>
      </c>
      <c r="K2738" s="47" t="n">
        <f aca="false">IF(J2738=1,N(I2738)+ROW()/10000000,0)</f>
        <v>0</v>
      </c>
      <c r="L2738" s="47" t="str">
        <f aca="false">IF(AND(J2738=1,N(I2738)&gt;0),SUMIF($K$2:$K$5001,"&gt;="&amp;K2738,$I$2:$I$5001)/MAX(1,SUM($H$2:$H$5001)),"")</f>
        <v/>
      </c>
      <c r="M2738" s="47" t="str">
        <f aca="false">IF($A2738="","",INDEX($L$2:$L$5001,MATCH($A2738,$A$2:$A$5001,0)))</f>
        <v/>
      </c>
      <c r="N2738" s="48" t="str">
        <f aca="false">IF($A2738="","",IF(N(M2738)=0,"–",IF(M2738&lt;=Start!$D$20,"A",IF(M2738&lt;=Start!$D$21,"B","C"))))</f>
        <v/>
      </c>
      <c r="O2738" s="48" t="str">
        <f aca="false">IF($A2738="","",IF(NOT(ISNUMBER(F2738)),"Wert fehlt; ",IF(F2738&lt;=0,"Wert ist 0; ",""))&amp;IF(NOT(ISNUMBER(E2738)),"Bestand fehlt; ",IF(E2738&lt;0,"Bestand negativ; ",IF(E2738=0,"Nullbestand; ","")))&amp;IF(D2738="","Warengruppe fehlt; ","")&amp;IF(B2738="","Bezeichnung fehlt; ","")&amp;IF(COUNTIFS($A$2:$A$5001,$A2738,$C$2:$C$5001,C2738)&gt;1,"Artikel doppelt im selben Lager; ",""))</f>
        <v/>
      </c>
      <c r="P2738" s="47" t="n">
        <f aca="false">IF(OR($A2738="",D2738=""),0,IF(COUNTIF($D$2:D2738,D2738)=1,SUMIF($D$2:$D$5001,D2738,$H$2:$H$5001)+ROW()/10000000,0))</f>
        <v>0</v>
      </c>
      <c r="Q2738" s="47" t="n">
        <f aca="false">IF(OR($A2738="",C2738=""),0,IF(COUNTIF($C$2:C2738,C2738)=1,SUMIF($C$2:$C$5001,C2738,$H$2:$H$5001)+ROW()/10000000,0))</f>
        <v>0</v>
      </c>
    </row>
    <row r="2739" customFormat="false" ht="15" hidden="false" customHeight="false" outlineLevel="0" collapsed="false">
      <c r="A2739" s="43"/>
      <c r="B2739" s="44"/>
      <c r="C2739" s="44"/>
      <c r="D2739" s="44"/>
      <c r="E2739" s="44"/>
      <c r="F2739" s="44"/>
      <c r="G2739" s="44"/>
      <c r="H2739" s="46" t="str">
        <f aca="false">IF($A2739="","",IF(OR(NOT(ISNUMBER(E2739)),NOT(ISNUMBER(F2739))),"",MAX(0,E2739)*F2739))</f>
        <v/>
      </c>
      <c r="I2739" s="46" t="str">
        <f aca="false">IF($A2739="","",SUMIF($A$2:$A$5001,$A2739,$H$2:$H$5001))</f>
        <v/>
      </c>
      <c r="J2739" s="47" t="n">
        <f aca="false">IF($A2739="",0,IF(COUNTIF($A$2:A2739,$A2739)=1,1,0))</f>
        <v>0</v>
      </c>
      <c r="K2739" s="47" t="n">
        <f aca="false">IF(J2739=1,N(I2739)+ROW()/10000000,0)</f>
        <v>0</v>
      </c>
      <c r="L2739" s="47" t="str">
        <f aca="false">IF(AND(J2739=1,N(I2739)&gt;0),SUMIF($K$2:$K$5001,"&gt;="&amp;K2739,$I$2:$I$5001)/MAX(1,SUM($H$2:$H$5001)),"")</f>
        <v/>
      </c>
      <c r="M2739" s="47" t="str">
        <f aca="false">IF($A2739="","",INDEX($L$2:$L$5001,MATCH($A2739,$A$2:$A$5001,0)))</f>
        <v/>
      </c>
      <c r="N2739" s="48" t="str">
        <f aca="false">IF($A2739="","",IF(N(M2739)=0,"–",IF(M2739&lt;=Start!$D$20,"A",IF(M2739&lt;=Start!$D$21,"B","C"))))</f>
        <v/>
      </c>
      <c r="O2739" s="48" t="str">
        <f aca="false">IF($A2739="","",IF(NOT(ISNUMBER(F2739)),"Wert fehlt; ",IF(F2739&lt;=0,"Wert ist 0; ",""))&amp;IF(NOT(ISNUMBER(E2739)),"Bestand fehlt; ",IF(E2739&lt;0,"Bestand negativ; ",IF(E2739=0,"Nullbestand; ","")))&amp;IF(D2739="","Warengruppe fehlt; ","")&amp;IF(B2739="","Bezeichnung fehlt; ","")&amp;IF(COUNTIFS($A$2:$A$5001,$A2739,$C$2:$C$5001,C2739)&gt;1,"Artikel doppelt im selben Lager; ",""))</f>
        <v/>
      </c>
      <c r="P2739" s="47" t="n">
        <f aca="false">IF(OR($A2739="",D2739=""),0,IF(COUNTIF($D$2:D2739,D2739)=1,SUMIF($D$2:$D$5001,D2739,$H$2:$H$5001)+ROW()/10000000,0))</f>
        <v>0</v>
      </c>
      <c r="Q2739" s="47" t="n">
        <f aca="false">IF(OR($A2739="",C2739=""),0,IF(COUNTIF($C$2:C2739,C2739)=1,SUMIF($C$2:$C$5001,C2739,$H$2:$H$5001)+ROW()/10000000,0))</f>
        <v>0</v>
      </c>
    </row>
    <row r="2740" customFormat="false" ht="15" hidden="false" customHeight="false" outlineLevel="0" collapsed="false">
      <c r="A2740" s="43"/>
      <c r="B2740" s="44"/>
      <c r="C2740" s="44"/>
      <c r="D2740" s="44"/>
      <c r="E2740" s="44"/>
      <c r="F2740" s="44"/>
      <c r="G2740" s="44"/>
      <c r="H2740" s="46" t="str">
        <f aca="false">IF($A2740="","",IF(OR(NOT(ISNUMBER(E2740)),NOT(ISNUMBER(F2740))),"",MAX(0,E2740)*F2740))</f>
        <v/>
      </c>
      <c r="I2740" s="46" t="str">
        <f aca="false">IF($A2740="","",SUMIF($A$2:$A$5001,$A2740,$H$2:$H$5001))</f>
        <v/>
      </c>
      <c r="J2740" s="47" t="n">
        <f aca="false">IF($A2740="",0,IF(COUNTIF($A$2:A2740,$A2740)=1,1,0))</f>
        <v>0</v>
      </c>
      <c r="K2740" s="47" t="n">
        <f aca="false">IF(J2740=1,N(I2740)+ROW()/10000000,0)</f>
        <v>0</v>
      </c>
      <c r="L2740" s="47" t="str">
        <f aca="false">IF(AND(J2740=1,N(I2740)&gt;0),SUMIF($K$2:$K$5001,"&gt;="&amp;K2740,$I$2:$I$5001)/MAX(1,SUM($H$2:$H$5001)),"")</f>
        <v/>
      </c>
      <c r="M2740" s="47" t="str">
        <f aca="false">IF($A2740="","",INDEX($L$2:$L$5001,MATCH($A2740,$A$2:$A$5001,0)))</f>
        <v/>
      </c>
      <c r="N2740" s="48" t="str">
        <f aca="false">IF($A2740="","",IF(N(M2740)=0,"–",IF(M2740&lt;=Start!$D$20,"A",IF(M2740&lt;=Start!$D$21,"B","C"))))</f>
        <v/>
      </c>
      <c r="O2740" s="48" t="str">
        <f aca="false">IF($A2740="","",IF(NOT(ISNUMBER(F2740)),"Wert fehlt; ",IF(F2740&lt;=0,"Wert ist 0; ",""))&amp;IF(NOT(ISNUMBER(E2740)),"Bestand fehlt; ",IF(E2740&lt;0,"Bestand negativ; ",IF(E2740=0,"Nullbestand; ","")))&amp;IF(D2740="","Warengruppe fehlt; ","")&amp;IF(B2740="","Bezeichnung fehlt; ","")&amp;IF(COUNTIFS($A$2:$A$5001,$A2740,$C$2:$C$5001,C2740)&gt;1,"Artikel doppelt im selben Lager; ",""))</f>
        <v/>
      </c>
      <c r="P2740" s="47" t="n">
        <f aca="false">IF(OR($A2740="",D2740=""),0,IF(COUNTIF($D$2:D2740,D2740)=1,SUMIF($D$2:$D$5001,D2740,$H$2:$H$5001)+ROW()/10000000,0))</f>
        <v>0</v>
      </c>
      <c r="Q2740" s="47" t="n">
        <f aca="false">IF(OR($A2740="",C2740=""),0,IF(COUNTIF($C$2:C2740,C2740)=1,SUMIF($C$2:$C$5001,C2740,$H$2:$H$5001)+ROW()/10000000,0))</f>
        <v>0</v>
      </c>
    </row>
    <row r="2741" customFormat="false" ht="15" hidden="false" customHeight="false" outlineLevel="0" collapsed="false">
      <c r="A2741" s="43"/>
      <c r="B2741" s="44"/>
      <c r="C2741" s="44"/>
      <c r="D2741" s="44"/>
      <c r="E2741" s="44"/>
      <c r="F2741" s="44"/>
      <c r="G2741" s="44"/>
      <c r="H2741" s="46" t="str">
        <f aca="false">IF($A2741="","",IF(OR(NOT(ISNUMBER(E2741)),NOT(ISNUMBER(F2741))),"",MAX(0,E2741)*F2741))</f>
        <v/>
      </c>
      <c r="I2741" s="46" t="str">
        <f aca="false">IF($A2741="","",SUMIF($A$2:$A$5001,$A2741,$H$2:$H$5001))</f>
        <v/>
      </c>
      <c r="J2741" s="47" t="n">
        <f aca="false">IF($A2741="",0,IF(COUNTIF($A$2:A2741,$A2741)=1,1,0))</f>
        <v>0</v>
      </c>
      <c r="K2741" s="47" t="n">
        <f aca="false">IF(J2741=1,N(I2741)+ROW()/10000000,0)</f>
        <v>0</v>
      </c>
      <c r="L2741" s="47" t="str">
        <f aca="false">IF(AND(J2741=1,N(I2741)&gt;0),SUMIF($K$2:$K$5001,"&gt;="&amp;K2741,$I$2:$I$5001)/MAX(1,SUM($H$2:$H$5001)),"")</f>
        <v/>
      </c>
      <c r="M2741" s="47" t="str">
        <f aca="false">IF($A2741="","",INDEX($L$2:$L$5001,MATCH($A2741,$A$2:$A$5001,0)))</f>
        <v/>
      </c>
      <c r="N2741" s="48" t="str">
        <f aca="false">IF($A2741="","",IF(N(M2741)=0,"–",IF(M2741&lt;=Start!$D$20,"A",IF(M2741&lt;=Start!$D$21,"B","C"))))</f>
        <v/>
      </c>
      <c r="O2741" s="48" t="str">
        <f aca="false">IF($A2741="","",IF(NOT(ISNUMBER(F2741)),"Wert fehlt; ",IF(F2741&lt;=0,"Wert ist 0; ",""))&amp;IF(NOT(ISNUMBER(E2741)),"Bestand fehlt; ",IF(E2741&lt;0,"Bestand negativ; ",IF(E2741=0,"Nullbestand; ","")))&amp;IF(D2741="","Warengruppe fehlt; ","")&amp;IF(B2741="","Bezeichnung fehlt; ","")&amp;IF(COUNTIFS($A$2:$A$5001,$A2741,$C$2:$C$5001,C2741)&gt;1,"Artikel doppelt im selben Lager; ",""))</f>
        <v/>
      </c>
      <c r="P2741" s="47" t="n">
        <f aca="false">IF(OR($A2741="",D2741=""),0,IF(COUNTIF($D$2:D2741,D2741)=1,SUMIF($D$2:$D$5001,D2741,$H$2:$H$5001)+ROW()/10000000,0))</f>
        <v>0</v>
      </c>
      <c r="Q2741" s="47" t="n">
        <f aca="false">IF(OR($A2741="",C2741=""),0,IF(COUNTIF($C$2:C2741,C2741)=1,SUMIF($C$2:$C$5001,C2741,$H$2:$H$5001)+ROW()/10000000,0))</f>
        <v>0</v>
      </c>
    </row>
    <row r="2742" customFormat="false" ht="15" hidden="false" customHeight="false" outlineLevel="0" collapsed="false">
      <c r="A2742" s="43"/>
      <c r="B2742" s="44"/>
      <c r="C2742" s="44"/>
      <c r="D2742" s="44"/>
      <c r="E2742" s="44"/>
      <c r="F2742" s="44"/>
      <c r="G2742" s="44"/>
      <c r="H2742" s="46" t="str">
        <f aca="false">IF($A2742="","",IF(OR(NOT(ISNUMBER(E2742)),NOT(ISNUMBER(F2742))),"",MAX(0,E2742)*F2742))</f>
        <v/>
      </c>
      <c r="I2742" s="46" t="str">
        <f aca="false">IF($A2742="","",SUMIF($A$2:$A$5001,$A2742,$H$2:$H$5001))</f>
        <v/>
      </c>
      <c r="J2742" s="47" t="n">
        <f aca="false">IF($A2742="",0,IF(COUNTIF($A$2:A2742,$A2742)=1,1,0))</f>
        <v>0</v>
      </c>
      <c r="K2742" s="47" t="n">
        <f aca="false">IF(J2742=1,N(I2742)+ROW()/10000000,0)</f>
        <v>0</v>
      </c>
      <c r="L2742" s="47" t="str">
        <f aca="false">IF(AND(J2742=1,N(I2742)&gt;0),SUMIF($K$2:$K$5001,"&gt;="&amp;K2742,$I$2:$I$5001)/MAX(1,SUM($H$2:$H$5001)),"")</f>
        <v/>
      </c>
      <c r="M2742" s="47" t="str">
        <f aca="false">IF($A2742="","",INDEX($L$2:$L$5001,MATCH($A2742,$A$2:$A$5001,0)))</f>
        <v/>
      </c>
      <c r="N2742" s="48" t="str">
        <f aca="false">IF($A2742="","",IF(N(M2742)=0,"–",IF(M2742&lt;=Start!$D$20,"A",IF(M2742&lt;=Start!$D$21,"B","C"))))</f>
        <v/>
      </c>
      <c r="O2742" s="48" t="str">
        <f aca="false">IF($A2742="","",IF(NOT(ISNUMBER(F2742)),"Wert fehlt; ",IF(F2742&lt;=0,"Wert ist 0; ",""))&amp;IF(NOT(ISNUMBER(E2742)),"Bestand fehlt; ",IF(E2742&lt;0,"Bestand negativ; ",IF(E2742=0,"Nullbestand; ","")))&amp;IF(D2742="","Warengruppe fehlt; ","")&amp;IF(B2742="","Bezeichnung fehlt; ","")&amp;IF(COUNTIFS($A$2:$A$5001,$A2742,$C$2:$C$5001,C2742)&gt;1,"Artikel doppelt im selben Lager; ",""))</f>
        <v/>
      </c>
      <c r="P2742" s="47" t="n">
        <f aca="false">IF(OR($A2742="",D2742=""),0,IF(COUNTIF($D$2:D2742,D2742)=1,SUMIF($D$2:$D$5001,D2742,$H$2:$H$5001)+ROW()/10000000,0))</f>
        <v>0</v>
      </c>
      <c r="Q2742" s="47" t="n">
        <f aca="false">IF(OR($A2742="",C2742=""),0,IF(COUNTIF($C$2:C2742,C2742)=1,SUMIF($C$2:$C$5001,C2742,$H$2:$H$5001)+ROW()/10000000,0))</f>
        <v>0</v>
      </c>
    </row>
    <row r="2743" customFormat="false" ht="15" hidden="false" customHeight="false" outlineLevel="0" collapsed="false">
      <c r="A2743" s="43"/>
      <c r="B2743" s="44"/>
      <c r="C2743" s="44"/>
      <c r="D2743" s="44"/>
      <c r="E2743" s="44"/>
      <c r="F2743" s="44"/>
      <c r="G2743" s="44"/>
      <c r="H2743" s="46" t="str">
        <f aca="false">IF($A2743="","",IF(OR(NOT(ISNUMBER(E2743)),NOT(ISNUMBER(F2743))),"",MAX(0,E2743)*F2743))</f>
        <v/>
      </c>
      <c r="I2743" s="46" t="str">
        <f aca="false">IF($A2743="","",SUMIF($A$2:$A$5001,$A2743,$H$2:$H$5001))</f>
        <v/>
      </c>
      <c r="J2743" s="47" t="n">
        <f aca="false">IF($A2743="",0,IF(COUNTIF($A$2:A2743,$A2743)=1,1,0))</f>
        <v>0</v>
      </c>
      <c r="K2743" s="47" t="n">
        <f aca="false">IF(J2743=1,N(I2743)+ROW()/10000000,0)</f>
        <v>0</v>
      </c>
      <c r="L2743" s="47" t="str">
        <f aca="false">IF(AND(J2743=1,N(I2743)&gt;0),SUMIF($K$2:$K$5001,"&gt;="&amp;K2743,$I$2:$I$5001)/MAX(1,SUM($H$2:$H$5001)),"")</f>
        <v/>
      </c>
      <c r="M2743" s="47" t="str">
        <f aca="false">IF($A2743="","",INDEX($L$2:$L$5001,MATCH($A2743,$A$2:$A$5001,0)))</f>
        <v/>
      </c>
      <c r="N2743" s="48" t="str">
        <f aca="false">IF($A2743="","",IF(N(M2743)=0,"–",IF(M2743&lt;=Start!$D$20,"A",IF(M2743&lt;=Start!$D$21,"B","C"))))</f>
        <v/>
      </c>
      <c r="O2743" s="48" t="str">
        <f aca="false">IF($A2743="","",IF(NOT(ISNUMBER(F2743)),"Wert fehlt; ",IF(F2743&lt;=0,"Wert ist 0; ",""))&amp;IF(NOT(ISNUMBER(E2743)),"Bestand fehlt; ",IF(E2743&lt;0,"Bestand negativ; ",IF(E2743=0,"Nullbestand; ","")))&amp;IF(D2743="","Warengruppe fehlt; ","")&amp;IF(B2743="","Bezeichnung fehlt; ","")&amp;IF(COUNTIFS($A$2:$A$5001,$A2743,$C$2:$C$5001,C2743)&gt;1,"Artikel doppelt im selben Lager; ",""))</f>
        <v/>
      </c>
      <c r="P2743" s="47" t="n">
        <f aca="false">IF(OR($A2743="",D2743=""),0,IF(COUNTIF($D$2:D2743,D2743)=1,SUMIF($D$2:$D$5001,D2743,$H$2:$H$5001)+ROW()/10000000,0))</f>
        <v>0</v>
      </c>
      <c r="Q2743" s="47" t="n">
        <f aca="false">IF(OR($A2743="",C2743=""),0,IF(COUNTIF($C$2:C2743,C2743)=1,SUMIF($C$2:$C$5001,C2743,$H$2:$H$5001)+ROW()/10000000,0))</f>
        <v>0</v>
      </c>
    </row>
    <row r="2744" customFormat="false" ht="15" hidden="false" customHeight="false" outlineLevel="0" collapsed="false">
      <c r="A2744" s="43"/>
      <c r="B2744" s="44"/>
      <c r="C2744" s="44"/>
      <c r="D2744" s="44"/>
      <c r="E2744" s="44"/>
      <c r="F2744" s="44"/>
      <c r="G2744" s="44"/>
      <c r="H2744" s="46" t="str">
        <f aca="false">IF($A2744="","",IF(OR(NOT(ISNUMBER(E2744)),NOT(ISNUMBER(F2744))),"",MAX(0,E2744)*F2744))</f>
        <v/>
      </c>
      <c r="I2744" s="46" t="str">
        <f aca="false">IF($A2744="","",SUMIF($A$2:$A$5001,$A2744,$H$2:$H$5001))</f>
        <v/>
      </c>
      <c r="J2744" s="47" t="n">
        <f aca="false">IF($A2744="",0,IF(COUNTIF($A$2:A2744,$A2744)=1,1,0))</f>
        <v>0</v>
      </c>
      <c r="K2744" s="47" t="n">
        <f aca="false">IF(J2744=1,N(I2744)+ROW()/10000000,0)</f>
        <v>0</v>
      </c>
      <c r="L2744" s="47" t="str">
        <f aca="false">IF(AND(J2744=1,N(I2744)&gt;0),SUMIF($K$2:$K$5001,"&gt;="&amp;K2744,$I$2:$I$5001)/MAX(1,SUM($H$2:$H$5001)),"")</f>
        <v/>
      </c>
      <c r="M2744" s="47" t="str">
        <f aca="false">IF($A2744="","",INDEX($L$2:$L$5001,MATCH($A2744,$A$2:$A$5001,0)))</f>
        <v/>
      </c>
      <c r="N2744" s="48" t="str">
        <f aca="false">IF($A2744="","",IF(N(M2744)=0,"–",IF(M2744&lt;=Start!$D$20,"A",IF(M2744&lt;=Start!$D$21,"B","C"))))</f>
        <v/>
      </c>
      <c r="O2744" s="48" t="str">
        <f aca="false">IF($A2744="","",IF(NOT(ISNUMBER(F2744)),"Wert fehlt; ",IF(F2744&lt;=0,"Wert ist 0; ",""))&amp;IF(NOT(ISNUMBER(E2744)),"Bestand fehlt; ",IF(E2744&lt;0,"Bestand negativ; ",IF(E2744=0,"Nullbestand; ","")))&amp;IF(D2744="","Warengruppe fehlt; ","")&amp;IF(B2744="","Bezeichnung fehlt; ","")&amp;IF(COUNTIFS($A$2:$A$5001,$A2744,$C$2:$C$5001,C2744)&gt;1,"Artikel doppelt im selben Lager; ",""))</f>
        <v/>
      </c>
      <c r="P2744" s="47" t="n">
        <f aca="false">IF(OR($A2744="",D2744=""),0,IF(COUNTIF($D$2:D2744,D2744)=1,SUMIF($D$2:$D$5001,D2744,$H$2:$H$5001)+ROW()/10000000,0))</f>
        <v>0</v>
      </c>
      <c r="Q2744" s="47" t="n">
        <f aca="false">IF(OR($A2744="",C2744=""),0,IF(COUNTIF($C$2:C2744,C2744)=1,SUMIF($C$2:$C$5001,C2744,$H$2:$H$5001)+ROW()/10000000,0))</f>
        <v>0</v>
      </c>
    </row>
    <row r="2745" customFormat="false" ht="15" hidden="false" customHeight="false" outlineLevel="0" collapsed="false">
      <c r="A2745" s="43"/>
      <c r="B2745" s="44"/>
      <c r="C2745" s="44"/>
      <c r="D2745" s="44"/>
      <c r="E2745" s="44"/>
      <c r="F2745" s="44"/>
      <c r="G2745" s="44"/>
      <c r="H2745" s="46" t="str">
        <f aca="false">IF($A2745="","",IF(OR(NOT(ISNUMBER(E2745)),NOT(ISNUMBER(F2745))),"",MAX(0,E2745)*F2745))</f>
        <v/>
      </c>
      <c r="I2745" s="46" t="str">
        <f aca="false">IF($A2745="","",SUMIF($A$2:$A$5001,$A2745,$H$2:$H$5001))</f>
        <v/>
      </c>
      <c r="J2745" s="47" t="n">
        <f aca="false">IF($A2745="",0,IF(COUNTIF($A$2:A2745,$A2745)=1,1,0))</f>
        <v>0</v>
      </c>
      <c r="K2745" s="47" t="n">
        <f aca="false">IF(J2745=1,N(I2745)+ROW()/10000000,0)</f>
        <v>0</v>
      </c>
      <c r="L2745" s="47" t="str">
        <f aca="false">IF(AND(J2745=1,N(I2745)&gt;0),SUMIF($K$2:$K$5001,"&gt;="&amp;K2745,$I$2:$I$5001)/MAX(1,SUM($H$2:$H$5001)),"")</f>
        <v/>
      </c>
      <c r="M2745" s="47" t="str">
        <f aca="false">IF($A2745="","",INDEX($L$2:$L$5001,MATCH($A2745,$A$2:$A$5001,0)))</f>
        <v/>
      </c>
      <c r="N2745" s="48" t="str">
        <f aca="false">IF($A2745="","",IF(N(M2745)=0,"–",IF(M2745&lt;=Start!$D$20,"A",IF(M2745&lt;=Start!$D$21,"B","C"))))</f>
        <v/>
      </c>
      <c r="O2745" s="48" t="str">
        <f aca="false">IF($A2745="","",IF(NOT(ISNUMBER(F2745)),"Wert fehlt; ",IF(F2745&lt;=0,"Wert ist 0; ",""))&amp;IF(NOT(ISNUMBER(E2745)),"Bestand fehlt; ",IF(E2745&lt;0,"Bestand negativ; ",IF(E2745=0,"Nullbestand; ","")))&amp;IF(D2745="","Warengruppe fehlt; ","")&amp;IF(B2745="","Bezeichnung fehlt; ","")&amp;IF(COUNTIFS($A$2:$A$5001,$A2745,$C$2:$C$5001,C2745)&gt;1,"Artikel doppelt im selben Lager; ",""))</f>
        <v/>
      </c>
      <c r="P2745" s="47" t="n">
        <f aca="false">IF(OR($A2745="",D2745=""),0,IF(COUNTIF($D$2:D2745,D2745)=1,SUMIF($D$2:$D$5001,D2745,$H$2:$H$5001)+ROW()/10000000,0))</f>
        <v>0</v>
      </c>
      <c r="Q2745" s="47" t="n">
        <f aca="false">IF(OR($A2745="",C2745=""),0,IF(COUNTIF($C$2:C2745,C2745)=1,SUMIF($C$2:$C$5001,C2745,$H$2:$H$5001)+ROW()/10000000,0))</f>
        <v>0</v>
      </c>
    </row>
    <row r="2746" customFormat="false" ht="15" hidden="false" customHeight="false" outlineLevel="0" collapsed="false">
      <c r="A2746" s="43"/>
      <c r="B2746" s="44"/>
      <c r="C2746" s="44"/>
      <c r="D2746" s="44"/>
      <c r="E2746" s="44"/>
      <c r="F2746" s="44"/>
      <c r="G2746" s="44"/>
      <c r="H2746" s="46" t="str">
        <f aca="false">IF($A2746="","",IF(OR(NOT(ISNUMBER(E2746)),NOT(ISNUMBER(F2746))),"",MAX(0,E2746)*F2746))</f>
        <v/>
      </c>
      <c r="I2746" s="46" t="str">
        <f aca="false">IF($A2746="","",SUMIF($A$2:$A$5001,$A2746,$H$2:$H$5001))</f>
        <v/>
      </c>
      <c r="J2746" s="47" t="n">
        <f aca="false">IF($A2746="",0,IF(COUNTIF($A$2:A2746,$A2746)=1,1,0))</f>
        <v>0</v>
      </c>
      <c r="K2746" s="47" t="n">
        <f aca="false">IF(J2746=1,N(I2746)+ROW()/10000000,0)</f>
        <v>0</v>
      </c>
      <c r="L2746" s="47" t="str">
        <f aca="false">IF(AND(J2746=1,N(I2746)&gt;0),SUMIF($K$2:$K$5001,"&gt;="&amp;K2746,$I$2:$I$5001)/MAX(1,SUM($H$2:$H$5001)),"")</f>
        <v/>
      </c>
      <c r="M2746" s="47" t="str">
        <f aca="false">IF($A2746="","",INDEX($L$2:$L$5001,MATCH($A2746,$A$2:$A$5001,0)))</f>
        <v/>
      </c>
      <c r="N2746" s="48" t="str">
        <f aca="false">IF($A2746="","",IF(N(M2746)=0,"–",IF(M2746&lt;=Start!$D$20,"A",IF(M2746&lt;=Start!$D$21,"B","C"))))</f>
        <v/>
      </c>
      <c r="O2746" s="48" t="str">
        <f aca="false">IF($A2746="","",IF(NOT(ISNUMBER(F2746)),"Wert fehlt; ",IF(F2746&lt;=0,"Wert ist 0; ",""))&amp;IF(NOT(ISNUMBER(E2746)),"Bestand fehlt; ",IF(E2746&lt;0,"Bestand negativ; ",IF(E2746=0,"Nullbestand; ","")))&amp;IF(D2746="","Warengruppe fehlt; ","")&amp;IF(B2746="","Bezeichnung fehlt; ","")&amp;IF(COUNTIFS($A$2:$A$5001,$A2746,$C$2:$C$5001,C2746)&gt;1,"Artikel doppelt im selben Lager; ",""))</f>
        <v/>
      </c>
      <c r="P2746" s="47" t="n">
        <f aca="false">IF(OR($A2746="",D2746=""),0,IF(COUNTIF($D$2:D2746,D2746)=1,SUMIF($D$2:$D$5001,D2746,$H$2:$H$5001)+ROW()/10000000,0))</f>
        <v>0</v>
      </c>
      <c r="Q2746" s="47" t="n">
        <f aca="false">IF(OR($A2746="",C2746=""),0,IF(COUNTIF($C$2:C2746,C2746)=1,SUMIF($C$2:$C$5001,C2746,$H$2:$H$5001)+ROW()/10000000,0))</f>
        <v>0</v>
      </c>
    </row>
    <row r="2747" customFormat="false" ht="15" hidden="false" customHeight="false" outlineLevel="0" collapsed="false">
      <c r="A2747" s="43"/>
      <c r="B2747" s="44"/>
      <c r="C2747" s="44"/>
      <c r="D2747" s="44"/>
      <c r="E2747" s="44"/>
      <c r="F2747" s="44"/>
      <c r="G2747" s="44"/>
      <c r="H2747" s="46" t="str">
        <f aca="false">IF($A2747="","",IF(OR(NOT(ISNUMBER(E2747)),NOT(ISNUMBER(F2747))),"",MAX(0,E2747)*F2747))</f>
        <v/>
      </c>
      <c r="I2747" s="46" t="str">
        <f aca="false">IF($A2747="","",SUMIF($A$2:$A$5001,$A2747,$H$2:$H$5001))</f>
        <v/>
      </c>
      <c r="J2747" s="47" t="n">
        <f aca="false">IF($A2747="",0,IF(COUNTIF($A$2:A2747,$A2747)=1,1,0))</f>
        <v>0</v>
      </c>
      <c r="K2747" s="47" t="n">
        <f aca="false">IF(J2747=1,N(I2747)+ROW()/10000000,0)</f>
        <v>0</v>
      </c>
      <c r="L2747" s="47" t="str">
        <f aca="false">IF(AND(J2747=1,N(I2747)&gt;0),SUMIF($K$2:$K$5001,"&gt;="&amp;K2747,$I$2:$I$5001)/MAX(1,SUM($H$2:$H$5001)),"")</f>
        <v/>
      </c>
      <c r="M2747" s="47" t="str">
        <f aca="false">IF($A2747="","",INDEX($L$2:$L$5001,MATCH($A2747,$A$2:$A$5001,0)))</f>
        <v/>
      </c>
      <c r="N2747" s="48" t="str">
        <f aca="false">IF($A2747="","",IF(N(M2747)=0,"–",IF(M2747&lt;=Start!$D$20,"A",IF(M2747&lt;=Start!$D$21,"B","C"))))</f>
        <v/>
      </c>
      <c r="O2747" s="48" t="str">
        <f aca="false">IF($A2747="","",IF(NOT(ISNUMBER(F2747)),"Wert fehlt; ",IF(F2747&lt;=0,"Wert ist 0; ",""))&amp;IF(NOT(ISNUMBER(E2747)),"Bestand fehlt; ",IF(E2747&lt;0,"Bestand negativ; ",IF(E2747=0,"Nullbestand; ","")))&amp;IF(D2747="","Warengruppe fehlt; ","")&amp;IF(B2747="","Bezeichnung fehlt; ","")&amp;IF(COUNTIFS($A$2:$A$5001,$A2747,$C$2:$C$5001,C2747)&gt;1,"Artikel doppelt im selben Lager; ",""))</f>
        <v/>
      </c>
      <c r="P2747" s="47" t="n">
        <f aca="false">IF(OR($A2747="",D2747=""),0,IF(COUNTIF($D$2:D2747,D2747)=1,SUMIF($D$2:$D$5001,D2747,$H$2:$H$5001)+ROW()/10000000,0))</f>
        <v>0</v>
      </c>
      <c r="Q2747" s="47" t="n">
        <f aca="false">IF(OR($A2747="",C2747=""),0,IF(COUNTIF($C$2:C2747,C2747)=1,SUMIF($C$2:$C$5001,C2747,$H$2:$H$5001)+ROW()/10000000,0))</f>
        <v>0</v>
      </c>
    </row>
    <row r="2748" customFormat="false" ht="15" hidden="false" customHeight="false" outlineLevel="0" collapsed="false">
      <c r="A2748" s="43"/>
      <c r="B2748" s="44"/>
      <c r="C2748" s="44"/>
      <c r="D2748" s="44"/>
      <c r="E2748" s="44"/>
      <c r="F2748" s="44"/>
      <c r="G2748" s="44"/>
      <c r="H2748" s="46" t="str">
        <f aca="false">IF($A2748="","",IF(OR(NOT(ISNUMBER(E2748)),NOT(ISNUMBER(F2748))),"",MAX(0,E2748)*F2748))</f>
        <v/>
      </c>
      <c r="I2748" s="46" t="str">
        <f aca="false">IF($A2748="","",SUMIF($A$2:$A$5001,$A2748,$H$2:$H$5001))</f>
        <v/>
      </c>
      <c r="J2748" s="47" t="n">
        <f aca="false">IF($A2748="",0,IF(COUNTIF($A$2:A2748,$A2748)=1,1,0))</f>
        <v>0</v>
      </c>
      <c r="K2748" s="47" t="n">
        <f aca="false">IF(J2748=1,N(I2748)+ROW()/10000000,0)</f>
        <v>0</v>
      </c>
      <c r="L2748" s="47" t="str">
        <f aca="false">IF(AND(J2748=1,N(I2748)&gt;0),SUMIF($K$2:$K$5001,"&gt;="&amp;K2748,$I$2:$I$5001)/MAX(1,SUM($H$2:$H$5001)),"")</f>
        <v/>
      </c>
      <c r="M2748" s="47" t="str">
        <f aca="false">IF($A2748="","",INDEX($L$2:$L$5001,MATCH($A2748,$A$2:$A$5001,0)))</f>
        <v/>
      </c>
      <c r="N2748" s="48" t="str">
        <f aca="false">IF($A2748="","",IF(N(M2748)=0,"–",IF(M2748&lt;=Start!$D$20,"A",IF(M2748&lt;=Start!$D$21,"B","C"))))</f>
        <v/>
      </c>
      <c r="O2748" s="48" t="str">
        <f aca="false">IF($A2748="","",IF(NOT(ISNUMBER(F2748)),"Wert fehlt; ",IF(F2748&lt;=0,"Wert ist 0; ",""))&amp;IF(NOT(ISNUMBER(E2748)),"Bestand fehlt; ",IF(E2748&lt;0,"Bestand negativ; ",IF(E2748=0,"Nullbestand; ","")))&amp;IF(D2748="","Warengruppe fehlt; ","")&amp;IF(B2748="","Bezeichnung fehlt; ","")&amp;IF(COUNTIFS($A$2:$A$5001,$A2748,$C$2:$C$5001,C2748)&gt;1,"Artikel doppelt im selben Lager; ",""))</f>
        <v/>
      </c>
      <c r="P2748" s="47" t="n">
        <f aca="false">IF(OR($A2748="",D2748=""),0,IF(COUNTIF($D$2:D2748,D2748)=1,SUMIF($D$2:$D$5001,D2748,$H$2:$H$5001)+ROW()/10000000,0))</f>
        <v>0</v>
      </c>
      <c r="Q2748" s="47" t="n">
        <f aca="false">IF(OR($A2748="",C2748=""),0,IF(COUNTIF($C$2:C2748,C2748)=1,SUMIF($C$2:$C$5001,C2748,$H$2:$H$5001)+ROW()/10000000,0))</f>
        <v>0</v>
      </c>
    </row>
    <row r="2749" customFormat="false" ht="15" hidden="false" customHeight="false" outlineLevel="0" collapsed="false">
      <c r="A2749" s="43"/>
      <c r="B2749" s="44"/>
      <c r="C2749" s="44"/>
      <c r="D2749" s="44"/>
      <c r="E2749" s="44"/>
      <c r="F2749" s="44"/>
      <c r="G2749" s="44"/>
      <c r="H2749" s="46" t="str">
        <f aca="false">IF($A2749="","",IF(OR(NOT(ISNUMBER(E2749)),NOT(ISNUMBER(F2749))),"",MAX(0,E2749)*F2749))</f>
        <v/>
      </c>
      <c r="I2749" s="46" t="str">
        <f aca="false">IF($A2749="","",SUMIF($A$2:$A$5001,$A2749,$H$2:$H$5001))</f>
        <v/>
      </c>
      <c r="J2749" s="47" t="n">
        <f aca="false">IF($A2749="",0,IF(COUNTIF($A$2:A2749,$A2749)=1,1,0))</f>
        <v>0</v>
      </c>
      <c r="K2749" s="47" t="n">
        <f aca="false">IF(J2749=1,N(I2749)+ROW()/10000000,0)</f>
        <v>0</v>
      </c>
      <c r="L2749" s="47" t="str">
        <f aca="false">IF(AND(J2749=1,N(I2749)&gt;0),SUMIF($K$2:$K$5001,"&gt;="&amp;K2749,$I$2:$I$5001)/MAX(1,SUM($H$2:$H$5001)),"")</f>
        <v/>
      </c>
      <c r="M2749" s="47" t="str">
        <f aca="false">IF($A2749="","",INDEX($L$2:$L$5001,MATCH($A2749,$A$2:$A$5001,0)))</f>
        <v/>
      </c>
      <c r="N2749" s="48" t="str">
        <f aca="false">IF($A2749="","",IF(N(M2749)=0,"–",IF(M2749&lt;=Start!$D$20,"A",IF(M2749&lt;=Start!$D$21,"B","C"))))</f>
        <v/>
      </c>
      <c r="O2749" s="48" t="str">
        <f aca="false">IF($A2749="","",IF(NOT(ISNUMBER(F2749)),"Wert fehlt; ",IF(F2749&lt;=0,"Wert ist 0; ",""))&amp;IF(NOT(ISNUMBER(E2749)),"Bestand fehlt; ",IF(E2749&lt;0,"Bestand negativ; ",IF(E2749=0,"Nullbestand; ","")))&amp;IF(D2749="","Warengruppe fehlt; ","")&amp;IF(B2749="","Bezeichnung fehlt; ","")&amp;IF(COUNTIFS($A$2:$A$5001,$A2749,$C$2:$C$5001,C2749)&gt;1,"Artikel doppelt im selben Lager; ",""))</f>
        <v/>
      </c>
      <c r="P2749" s="47" t="n">
        <f aca="false">IF(OR($A2749="",D2749=""),0,IF(COUNTIF($D$2:D2749,D2749)=1,SUMIF($D$2:$D$5001,D2749,$H$2:$H$5001)+ROW()/10000000,0))</f>
        <v>0</v>
      </c>
      <c r="Q2749" s="47" t="n">
        <f aca="false">IF(OR($A2749="",C2749=""),0,IF(COUNTIF($C$2:C2749,C2749)=1,SUMIF($C$2:$C$5001,C2749,$H$2:$H$5001)+ROW()/10000000,0))</f>
        <v>0</v>
      </c>
    </row>
    <row r="2750" customFormat="false" ht="15" hidden="false" customHeight="false" outlineLevel="0" collapsed="false">
      <c r="A2750" s="43"/>
      <c r="B2750" s="44"/>
      <c r="C2750" s="44"/>
      <c r="D2750" s="44"/>
      <c r="E2750" s="44"/>
      <c r="F2750" s="44"/>
      <c r="G2750" s="44"/>
      <c r="H2750" s="46" t="str">
        <f aca="false">IF($A2750="","",IF(OR(NOT(ISNUMBER(E2750)),NOT(ISNUMBER(F2750))),"",MAX(0,E2750)*F2750))</f>
        <v/>
      </c>
      <c r="I2750" s="46" t="str">
        <f aca="false">IF($A2750="","",SUMIF($A$2:$A$5001,$A2750,$H$2:$H$5001))</f>
        <v/>
      </c>
      <c r="J2750" s="47" t="n">
        <f aca="false">IF($A2750="",0,IF(COUNTIF($A$2:A2750,$A2750)=1,1,0))</f>
        <v>0</v>
      </c>
      <c r="K2750" s="47" t="n">
        <f aca="false">IF(J2750=1,N(I2750)+ROW()/10000000,0)</f>
        <v>0</v>
      </c>
      <c r="L2750" s="47" t="str">
        <f aca="false">IF(AND(J2750=1,N(I2750)&gt;0),SUMIF($K$2:$K$5001,"&gt;="&amp;K2750,$I$2:$I$5001)/MAX(1,SUM($H$2:$H$5001)),"")</f>
        <v/>
      </c>
      <c r="M2750" s="47" t="str">
        <f aca="false">IF($A2750="","",INDEX($L$2:$L$5001,MATCH($A2750,$A$2:$A$5001,0)))</f>
        <v/>
      </c>
      <c r="N2750" s="48" t="str">
        <f aca="false">IF($A2750="","",IF(N(M2750)=0,"–",IF(M2750&lt;=Start!$D$20,"A",IF(M2750&lt;=Start!$D$21,"B","C"))))</f>
        <v/>
      </c>
      <c r="O2750" s="48" t="str">
        <f aca="false">IF($A2750="","",IF(NOT(ISNUMBER(F2750)),"Wert fehlt; ",IF(F2750&lt;=0,"Wert ist 0; ",""))&amp;IF(NOT(ISNUMBER(E2750)),"Bestand fehlt; ",IF(E2750&lt;0,"Bestand negativ; ",IF(E2750=0,"Nullbestand; ","")))&amp;IF(D2750="","Warengruppe fehlt; ","")&amp;IF(B2750="","Bezeichnung fehlt; ","")&amp;IF(COUNTIFS($A$2:$A$5001,$A2750,$C$2:$C$5001,C2750)&gt;1,"Artikel doppelt im selben Lager; ",""))</f>
        <v/>
      </c>
      <c r="P2750" s="47" t="n">
        <f aca="false">IF(OR($A2750="",D2750=""),0,IF(COUNTIF($D$2:D2750,D2750)=1,SUMIF($D$2:$D$5001,D2750,$H$2:$H$5001)+ROW()/10000000,0))</f>
        <v>0</v>
      </c>
      <c r="Q2750" s="47" t="n">
        <f aca="false">IF(OR($A2750="",C2750=""),0,IF(COUNTIF($C$2:C2750,C2750)=1,SUMIF($C$2:$C$5001,C2750,$H$2:$H$5001)+ROW()/10000000,0))</f>
        <v>0</v>
      </c>
    </row>
    <row r="2751" customFormat="false" ht="15" hidden="false" customHeight="false" outlineLevel="0" collapsed="false">
      <c r="A2751" s="43"/>
      <c r="B2751" s="44"/>
      <c r="C2751" s="44"/>
      <c r="D2751" s="44"/>
      <c r="E2751" s="44"/>
      <c r="F2751" s="44"/>
      <c r="G2751" s="44"/>
      <c r="H2751" s="46" t="str">
        <f aca="false">IF($A2751="","",IF(OR(NOT(ISNUMBER(E2751)),NOT(ISNUMBER(F2751))),"",MAX(0,E2751)*F2751))</f>
        <v/>
      </c>
      <c r="I2751" s="46" t="str">
        <f aca="false">IF($A2751="","",SUMIF($A$2:$A$5001,$A2751,$H$2:$H$5001))</f>
        <v/>
      </c>
      <c r="J2751" s="47" t="n">
        <f aca="false">IF($A2751="",0,IF(COUNTIF($A$2:A2751,$A2751)=1,1,0))</f>
        <v>0</v>
      </c>
      <c r="K2751" s="47" t="n">
        <f aca="false">IF(J2751=1,N(I2751)+ROW()/10000000,0)</f>
        <v>0</v>
      </c>
      <c r="L2751" s="47" t="str">
        <f aca="false">IF(AND(J2751=1,N(I2751)&gt;0),SUMIF($K$2:$K$5001,"&gt;="&amp;K2751,$I$2:$I$5001)/MAX(1,SUM($H$2:$H$5001)),"")</f>
        <v/>
      </c>
      <c r="M2751" s="47" t="str">
        <f aca="false">IF($A2751="","",INDEX($L$2:$L$5001,MATCH($A2751,$A$2:$A$5001,0)))</f>
        <v/>
      </c>
      <c r="N2751" s="48" t="str">
        <f aca="false">IF($A2751="","",IF(N(M2751)=0,"–",IF(M2751&lt;=Start!$D$20,"A",IF(M2751&lt;=Start!$D$21,"B","C"))))</f>
        <v/>
      </c>
      <c r="O2751" s="48" t="str">
        <f aca="false">IF($A2751="","",IF(NOT(ISNUMBER(F2751)),"Wert fehlt; ",IF(F2751&lt;=0,"Wert ist 0; ",""))&amp;IF(NOT(ISNUMBER(E2751)),"Bestand fehlt; ",IF(E2751&lt;0,"Bestand negativ; ",IF(E2751=0,"Nullbestand; ","")))&amp;IF(D2751="","Warengruppe fehlt; ","")&amp;IF(B2751="","Bezeichnung fehlt; ","")&amp;IF(COUNTIFS($A$2:$A$5001,$A2751,$C$2:$C$5001,C2751)&gt;1,"Artikel doppelt im selben Lager; ",""))</f>
        <v/>
      </c>
      <c r="P2751" s="47" t="n">
        <f aca="false">IF(OR($A2751="",D2751=""),0,IF(COUNTIF($D$2:D2751,D2751)=1,SUMIF($D$2:$D$5001,D2751,$H$2:$H$5001)+ROW()/10000000,0))</f>
        <v>0</v>
      </c>
      <c r="Q2751" s="47" t="n">
        <f aca="false">IF(OR($A2751="",C2751=""),0,IF(COUNTIF($C$2:C2751,C2751)=1,SUMIF($C$2:$C$5001,C2751,$H$2:$H$5001)+ROW()/10000000,0))</f>
        <v>0</v>
      </c>
    </row>
    <row r="2752" customFormat="false" ht="15" hidden="false" customHeight="false" outlineLevel="0" collapsed="false">
      <c r="A2752" s="43"/>
      <c r="B2752" s="44"/>
      <c r="C2752" s="44"/>
      <c r="D2752" s="44"/>
      <c r="E2752" s="44"/>
      <c r="F2752" s="44"/>
      <c r="G2752" s="44"/>
      <c r="H2752" s="46" t="str">
        <f aca="false">IF($A2752="","",IF(OR(NOT(ISNUMBER(E2752)),NOT(ISNUMBER(F2752))),"",MAX(0,E2752)*F2752))</f>
        <v/>
      </c>
      <c r="I2752" s="46" t="str">
        <f aca="false">IF($A2752="","",SUMIF($A$2:$A$5001,$A2752,$H$2:$H$5001))</f>
        <v/>
      </c>
      <c r="J2752" s="47" t="n">
        <f aca="false">IF($A2752="",0,IF(COUNTIF($A$2:A2752,$A2752)=1,1,0))</f>
        <v>0</v>
      </c>
      <c r="K2752" s="47" t="n">
        <f aca="false">IF(J2752=1,N(I2752)+ROW()/10000000,0)</f>
        <v>0</v>
      </c>
      <c r="L2752" s="47" t="str">
        <f aca="false">IF(AND(J2752=1,N(I2752)&gt;0),SUMIF($K$2:$K$5001,"&gt;="&amp;K2752,$I$2:$I$5001)/MAX(1,SUM($H$2:$H$5001)),"")</f>
        <v/>
      </c>
      <c r="M2752" s="47" t="str">
        <f aca="false">IF($A2752="","",INDEX($L$2:$L$5001,MATCH($A2752,$A$2:$A$5001,0)))</f>
        <v/>
      </c>
      <c r="N2752" s="48" t="str">
        <f aca="false">IF($A2752="","",IF(N(M2752)=0,"–",IF(M2752&lt;=Start!$D$20,"A",IF(M2752&lt;=Start!$D$21,"B","C"))))</f>
        <v/>
      </c>
      <c r="O2752" s="48" t="str">
        <f aca="false">IF($A2752="","",IF(NOT(ISNUMBER(F2752)),"Wert fehlt; ",IF(F2752&lt;=0,"Wert ist 0; ",""))&amp;IF(NOT(ISNUMBER(E2752)),"Bestand fehlt; ",IF(E2752&lt;0,"Bestand negativ; ",IF(E2752=0,"Nullbestand; ","")))&amp;IF(D2752="","Warengruppe fehlt; ","")&amp;IF(B2752="","Bezeichnung fehlt; ","")&amp;IF(COUNTIFS($A$2:$A$5001,$A2752,$C$2:$C$5001,C2752)&gt;1,"Artikel doppelt im selben Lager; ",""))</f>
        <v/>
      </c>
      <c r="P2752" s="47" t="n">
        <f aca="false">IF(OR($A2752="",D2752=""),0,IF(COUNTIF($D$2:D2752,D2752)=1,SUMIF($D$2:$D$5001,D2752,$H$2:$H$5001)+ROW()/10000000,0))</f>
        <v>0</v>
      </c>
      <c r="Q2752" s="47" t="n">
        <f aca="false">IF(OR($A2752="",C2752=""),0,IF(COUNTIF($C$2:C2752,C2752)=1,SUMIF($C$2:$C$5001,C2752,$H$2:$H$5001)+ROW()/10000000,0))</f>
        <v>0</v>
      </c>
    </row>
    <row r="2753" customFormat="false" ht="15" hidden="false" customHeight="false" outlineLevel="0" collapsed="false">
      <c r="A2753" s="43"/>
      <c r="B2753" s="44"/>
      <c r="C2753" s="44"/>
      <c r="D2753" s="44"/>
      <c r="E2753" s="44"/>
      <c r="F2753" s="44"/>
      <c r="G2753" s="44"/>
      <c r="H2753" s="46" t="str">
        <f aca="false">IF($A2753="","",IF(OR(NOT(ISNUMBER(E2753)),NOT(ISNUMBER(F2753))),"",MAX(0,E2753)*F2753))</f>
        <v/>
      </c>
      <c r="I2753" s="46" t="str">
        <f aca="false">IF($A2753="","",SUMIF($A$2:$A$5001,$A2753,$H$2:$H$5001))</f>
        <v/>
      </c>
      <c r="J2753" s="47" t="n">
        <f aca="false">IF($A2753="",0,IF(COUNTIF($A$2:A2753,$A2753)=1,1,0))</f>
        <v>0</v>
      </c>
      <c r="K2753" s="47" t="n">
        <f aca="false">IF(J2753=1,N(I2753)+ROW()/10000000,0)</f>
        <v>0</v>
      </c>
      <c r="L2753" s="47" t="str">
        <f aca="false">IF(AND(J2753=1,N(I2753)&gt;0),SUMIF($K$2:$K$5001,"&gt;="&amp;K2753,$I$2:$I$5001)/MAX(1,SUM($H$2:$H$5001)),"")</f>
        <v/>
      </c>
      <c r="M2753" s="47" t="str">
        <f aca="false">IF($A2753="","",INDEX($L$2:$L$5001,MATCH($A2753,$A$2:$A$5001,0)))</f>
        <v/>
      </c>
      <c r="N2753" s="48" t="str">
        <f aca="false">IF($A2753="","",IF(N(M2753)=0,"–",IF(M2753&lt;=Start!$D$20,"A",IF(M2753&lt;=Start!$D$21,"B","C"))))</f>
        <v/>
      </c>
      <c r="O2753" s="48" t="str">
        <f aca="false">IF($A2753="","",IF(NOT(ISNUMBER(F2753)),"Wert fehlt; ",IF(F2753&lt;=0,"Wert ist 0; ",""))&amp;IF(NOT(ISNUMBER(E2753)),"Bestand fehlt; ",IF(E2753&lt;0,"Bestand negativ; ",IF(E2753=0,"Nullbestand; ","")))&amp;IF(D2753="","Warengruppe fehlt; ","")&amp;IF(B2753="","Bezeichnung fehlt; ","")&amp;IF(COUNTIFS($A$2:$A$5001,$A2753,$C$2:$C$5001,C2753)&gt;1,"Artikel doppelt im selben Lager; ",""))</f>
        <v/>
      </c>
      <c r="P2753" s="47" t="n">
        <f aca="false">IF(OR($A2753="",D2753=""),0,IF(COUNTIF($D$2:D2753,D2753)=1,SUMIF($D$2:$D$5001,D2753,$H$2:$H$5001)+ROW()/10000000,0))</f>
        <v>0</v>
      </c>
      <c r="Q2753" s="47" t="n">
        <f aca="false">IF(OR($A2753="",C2753=""),0,IF(COUNTIF($C$2:C2753,C2753)=1,SUMIF($C$2:$C$5001,C2753,$H$2:$H$5001)+ROW()/10000000,0))</f>
        <v>0</v>
      </c>
    </row>
    <row r="2754" customFormat="false" ht="15" hidden="false" customHeight="false" outlineLevel="0" collapsed="false">
      <c r="A2754" s="43"/>
      <c r="B2754" s="44"/>
      <c r="C2754" s="44"/>
      <c r="D2754" s="44"/>
      <c r="E2754" s="44"/>
      <c r="F2754" s="44"/>
      <c r="G2754" s="44"/>
      <c r="H2754" s="46" t="str">
        <f aca="false">IF($A2754="","",IF(OR(NOT(ISNUMBER(E2754)),NOT(ISNUMBER(F2754))),"",MAX(0,E2754)*F2754))</f>
        <v/>
      </c>
      <c r="I2754" s="46" t="str">
        <f aca="false">IF($A2754="","",SUMIF($A$2:$A$5001,$A2754,$H$2:$H$5001))</f>
        <v/>
      </c>
      <c r="J2754" s="47" t="n">
        <f aca="false">IF($A2754="",0,IF(COUNTIF($A$2:A2754,$A2754)=1,1,0))</f>
        <v>0</v>
      </c>
      <c r="K2754" s="47" t="n">
        <f aca="false">IF(J2754=1,N(I2754)+ROW()/10000000,0)</f>
        <v>0</v>
      </c>
      <c r="L2754" s="47" t="str">
        <f aca="false">IF(AND(J2754=1,N(I2754)&gt;0),SUMIF($K$2:$K$5001,"&gt;="&amp;K2754,$I$2:$I$5001)/MAX(1,SUM($H$2:$H$5001)),"")</f>
        <v/>
      </c>
      <c r="M2754" s="47" t="str">
        <f aca="false">IF($A2754="","",INDEX($L$2:$L$5001,MATCH($A2754,$A$2:$A$5001,0)))</f>
        <v/>
      </c>
      <c r="N2754" s="48" t="str">
        <f aca="false">IF($A2754="","",IF(N(M2754)=0,"–",IF(M2754&lt;=Start!$D$20,"A",IF(M2754&lt;=Start!$D$21,"B","C"))))</f>
        <v/>
      </c>
      <c r="O2754" s="48" t="str">
        <f aca="false">IF($A2754="","",IF(NOT(ISNUMBER(F2754)),"Wert fehlt; ",IF(F2754&lt;=0,"Wert ist 0; ",""))&amp;IF(NOT(ISNUMBER(E2754)),"Bestand fehlt; ",IF(E2754&lt;0,"Bestand negativ; ",IF(E2754=0,"Nullbestand; ","")))&amp;IF(D2754="","Warengruppe fehlt; ","")&amp;IF(B2754="","Bezeichnung fehlt; ","")&amp;IF(COUNTIFS($A$2:$A$5001,$A2754,$C$2:$C$5001,C2754)&gt;1,"Artikel doppelt im selben Lager; ",""))</f>
        <v/>
      </c>
      <c r="P2754" s="47" t="n">
        <f aca="false">IF(OR($A2754="",D2754=""),0,IF(COUNTIF($D$2:D2754,D2754)=1,SUMIF($D$2:$D$5001,D2754,$H$2:$H$5001)+ROW()/10000000,0))</f>
        <v>0</v>
      </c>
      <c r="Q2754" s="47" t="n">
        <f aca="false">IF(OR($A2754="",C2754=""),0,IF(COUNTIF($C$2:C2754,C2754)=1,SUMIF($C$2:$C$5001,C2754,$H$2:$H$5001)+ROW()/10000000,0))</f>
        <v>0</v>
      </c>
    </row>
    <row r="2755" customFormat="false" ht="15" hidden="false" customHeight="false" outlineLevel="0" collapsed="false">
      <c r="A2755" s="43"/>
      <c r="B2755" s="44"/>
      <c r="C2755" s="44"/>
      <c r="D2755" s="44"/>
      <c r="E2755" s="44"/>
      <c r="F2755" s="44"/>
      <c r="G2755" s="44"/>
      <c r="H2755" s="46" t="str">
        <f aca="false">IF($A2755="","",IF(OR(NOT(ISNUMBER(E2755)),NOT(ISNUMBER(F2755))),"",MAX(0,E2755)*F2755))</f>
        <v/>
      </c>
      <c r="I2755" s="46" t="str">
        <f aca="false">IF($A2755="","",SUMIF($A$2:$A$5001,$A2755,$H$2:$H$5001))</f>
        <v/>
      </c>
      <c r="J2755" s="47" t="n">
        <f aca="false">IF($A2755="",0,IF(COUNTIF($A$2:A2755,$A2755)=1,1,0))</f>
        <v>0</v>
      </c>
      <c r="K2755" s="47" t="n">
        <f aca="false">IF(J2755=1,N(I2755)+ROW()/10000000,0)</f>
        <v>0</v>
      </c>
      <c r="L2755" s="47" t="str">
        <f aca="false">IF(AND(J2755=1,N(I2755)&gt;0),SUMIF($K$2:$K$5001,"&gt;="&amp;K2755,$I$2:$I$5001)/MAX(1,SUM($H$2:$H$5001)),"")</f>
        <v/>
      </c>
      <c r="M2755" s="47" t="str">
        <f aca="false">IF($A2755="","",INDEX($L$2:$L$5001,MATCH($A2755,$A$2:$A$5001,0)))</f>
        <v/>
      </c>
      <c r="N2755" s="48" t="str">
        <f aca="false">IF($A2755="","",IF(N(M2755)=0,"–",IF(M2755&lt;=Start!$D$20,"A",IF(M2755&lt;=Start!$D$21,"B","C"))))</f>
        <v/>
      </c>
      <c r="O2755" s="48" t="str">
        <f aca="false">IF($A2755="","",IF(NOT(ISNUMBER(F2755)),"Wert fehlt; ",IF(F2755&lt;=0,"Wert ist 0; ",""))&amp;IF(NOT(ISNUMBER(E2755)),"Bestand fehlt; ",IF(E2755&lt;0,"Bestand negativ; ",IF(E2755=0,"Nullbestand; ","")))&amp;IF(D2755="","Warengruppe fehlt; ","")&amp;IF(B2755="","Bezeichnung fehlt; ","")&amp;IF(COUNTIFS($A$2:$A$5001,$A2755,$C$2:$C$5001,C2755)&gt;1,"Artikel doppelt im selben Lager; ",""))</f>
        <v/>
      </c>
      <c r="P2755" s="47" t="n">
        <f aca="false">IF(OR($A2755="",D2755=""),0,IF(COUNTIF($D$2:D2755,D2755)=1,SUMIF($D$2:$D$5001,D2755,$H$2:$H$5001)+ROW()/10000000,0))</f>
        <v>0</v>
      </c>
      <c r="Q2755" s="47" t="n">
        <f aca="false">IF(OR($A2755="",C2755=""),0,IF(COUNTIF($C$2:C2755,C2755)=1,SUMIF($C$2:$C$5001,C2755,$H$2:$H$5001)+ROW()/10000000,0))</f>
        <v>0</v>
      </c>
    </row>
    <row r="2756" customFormat="false" ht="15" hidden="false" customHeight="false" outlineLevel="0" collapsed="false">
      <c r="A2756" s="43"/>
      <c r="B2756" s="44"/>
      <c r="C2756" s="44"/>
      <c r="D2756" s="44"/>
      <c r="E2756" s="44"/>
      <c r="F2756" s="44"/>
      <c r="G2756" s="44"/>
      <c r="H2756" s="46" t="str">
        <f aca="false">IF($A2756="","",IF(OR(NOT(ISNUMBER(E2756)),NOT(ISNUMBER(F2756))),"",MAX(0,E2756)*F2756))</f>
        <v/>
      </c>
      <c r="I2756" s="46" t="str">
        <f aca="false">IF($A2756="","",SUMIF($A$2:$A$5001,$A2756,$H$2:$H$5001))</f>
        <v/>
      </c>
      <c r="J2756" s="47" t="n">
        <f aca="false">IF($A2756="",0,IF(COUNTIF($A$2:A2756,$A2756)=1,1,0))</f>
        <v>0</v>
      </c>
      <c r="K2756" s="47" t="n">
        <f aca="false">IF(J2756=1,N(I2756)+ROW()/10000000,0)</f>
        <v>0</v>
      </c>
      <c r="L2756" s="47" t="str">
        <f aca="false">IF(AND(J2756=1,N(I2756)&gt;0),SUMIF($K$2:$K$5001,"&gt;="&amp;K2756,$I$2:$I$5001)/MAX(1,SUM($H$2:$H$5001)),"")</f>
        <v/>
      </c>
      <c r="M2756" s="47" t="str">
        <f aca="false">IF($A2756="","",INDEX($L$2:$L$5001,MATCH($A2756,$A$2:$A$5001,0)))</f>
        <v/>
      </c>
      <c r="N2756" s="48" t="str">
        <f aca="false">IF($A2756="","",IF(N(M2756)=0,"–",IF(M2756&lt;=Start!$D$20,"A",IF(M2756&lt;=Start!$D$21,"B","C"))))</f>
        <v/>
      </c>
      <c r="O2756" s="48" t="str">
        <f aca="false">IF($A2756="","",IF(NOT(ISNUMBER(F2756)),"Wert fehlt; ",IF(F2756&lt;=0,"Wert ist 0; ",""))&amp;IF(NOT(ISNUMBER(E2756)),"Bestand fehlt; ",IF(E2756&lt;0,"Bestand negativ; ",IF(E2756=0,"Nullbestand; ","")))&amp;IF(D2756="","Warengruppe fehlt; ","")&amp;IF(B2756="","Bezeichnung fehlt; ","")&amp;IF(COUNTIFS($A$2:$A$5001,$A2756,$C$2:$C$5001,C2756)&gt;1,"Artikel doppelt im selben Lager; ",""))</f>
        <v/>
      </c>
      <c r="P2756" s="47" t="n">
        <f aca="false">IF(OR($A2756="",D2756=""),0,IF(COUNTIF($D$2:D2756,D2756)=1,SUMIF($D$2:$D$5001,D2756,$H$2:$H$5001)+ROW()/10000000,0))</f>
        <v>0</v>
      </c>
      <c r="Q2756" s="47" t="n">
        <f aca="false">IF(OR($A2756="",C2756=""),0,IF(COUNTIF($C$2:C2756,C2756)=1,SUMIF($C$2:$C$5001,C2756,$H$2:$H$5001)+ROW()/10000000,0))</f>
        <v>0</v>
      </c>
    </row>
    <row r="2757" customFormat="false" ht="15" hidden="false" customHeight="false" outlineLevel="0" collapsed="false">
      <c r="A2757" s="43"/>
      <c r="B2757" s="44"/>
      <c r="C2757" s="44"/>
      <c r="D2757" s="44"/>
      <c r="E2757" s="44"/>
      <c r="F2757" s="44"/>
      <c r="G2757" s="44"/>
      <c r="H2757" s="46" t="str">
        <f aca="false">IF($A2757="","",IF(OR(NOT(ISNUMBER(E2757)),NOT(ISNUMBER(F2757))),"",MAX(0,E2757)*F2757))</f>
        <v/>
      </c>
      <c r="I2757" s="46" t="str">
        <f aca="false">IF($A2757="","",SUMIF($A$2:$A$5001,$A2757,$H$2:$H$5001))</f>
        <v/>
      </c>
      <c r="J2757" s="47" t="n">
        <f aca="false">IF($A2757="",0,IF(COUNTIF($A$2:A2757,$A2757)=1,1,0))</f>
        <v>0</v>
      </c>
      <c r="K2757" s="47" t="n">
        <f aca="false">IF(J2757=1,N(I2757)+ROW()/10000000,0)</f>
        <v>0</v>
      </c>
      <c r="L2757" s="47" t="str">
        <f aca="false">IF(AND(J2757=1,N(I2757)&gt;0),SUMIF($K$2:$K$5001,"&gt;="&amp;K2757,$I$2:$I$5001)/MAX(1,SUM($H$2:$H$5001)),"")</f>
        <v/>
      </c>
      <c r="M2757" s="47" t="str">
        <f aca="false">IF($A2757="","",INDEX($L$2:$L$5001,MATCH($A2757,$A$2:$A$5001,0)))</f>
        <v/>
      </c>
      <c r="N2757" s="48" t="str">
        <f aca="false">IF($A2757="","",IF(N(M2757)=0,"–",IF(M2757&lt;=Start!$D$20,"A",IF(M2757&lt;=Start!$D$21,"B","C"))))</f>
        <v/>
      </c>
      <c r="O2757" s="48" t="str">
        <f aca="false">IF($A2757="","",IF(NOT(ISNUMBER(F2757)),"Wert fehlt; ",IF(F2757&lt;=0,"Wert ist 0; ",""))&amp;IF(NOT(ISNUMBER(E2757)),"Bestand fehlt; ",IF(E2757&lt;0,"Bestand negativ; ",IF(E2757=0,"Nullbestand; ","")))&amp;IF(D2757="","Warengruppe fehlt; ","")&amp;IF(B2757="","Bezeichnung fehlt; ","")&amp;IF(COUNTIFS($A$2:$A$5001,$A2757,$C$2:$C$5001,C2757)&gt;1,"Artikel doppelt im selben Lager; ",""))</f>
        <v/>
      </c>
      <c r="P2757" s="47" t="n">
        <f aca="false">IF(OR($A2757="",D2757=""),0,IF(COUNTIF($D$2:D2757,D2757)=1,SUMIF($D$2:$D$5001,D2757,$H$2:$H$5001)+ROW()/10000000,0))</f>
        <v>0</v>
      </c>
      <c r="Q2757" s="47" t="n">
        <f aca="false">IF(OR($A2757="",C2757=""),0,IF(COUNTIF($C$2:C2757,C2757)=1,SUMIF($C$2:$C$5001,C2757,$H$2:$H$5001)+ROW()/10000000,0))</f>
        <v>0</v>
      </c>
    </row>
    <row r="2758" customFormat="false" ht="15" hidden="false" customHeight="false" outlineLevel="0" collapsed="false">
      <c r="A2758" s="43"/>
      <c r="B2758" s="44"/>
      <c r="C2758" s="44"/>
      <c r="D2758" s="44"/>
      <c r="E2758" s="44"/>
      <c r="F2758" s="44"/>
      <c r="G2758" s="44"/>
      <c r="H2758" s="46" t="str">
        <f aca="false">IF($A2758="","",IF(OR(NOT(ISNUMBER(E2758)),NOT(ISNUMBER(F2758))),"",MAX(0,E2758)*F2758))</f>
        <v/>
      </c>
      <c r="I2758" s="46" t="str">
        <f aca="false">IF($A2758="","",SUMIF($A$2:$A$5001,$A2758,$H$2:$H$5001))</f>
        <v/>
      </c>
      <c r="J2758" s="47" t="n">
        <f aca="false">IF($A2758="",0,IF(COUNTIF($A$2:A2758,$A2758)=1,1,0))</f>
        <v>0</v>
      </c>
      <c r="K2758" s="47" t="n">
        <f aca="false">IF(J2758=1,N(I2758)+ROW()/10000000,0)</f>
        <v>0</v>
      </c>
      <c r="L2758" s="47" t="str">
        <f aca="false">IF(AND(J2758=1,N(I2758)&gt;0),SUMIF($K$2:$K$5001,"&gt;="&amp;K2758,$I$2:$I$5001)/MAX(1,SUM($H$2:$H$5001)),"")</f>
        <v/>
      </c>
      <c r="M2758" s="47" t="str">
        <f aca="false">IF($A2758="","",INDEX($L$2:$L$5001,MATCH($A2758,$A$2:$A$5001,0)))</f>
        <v/>
      </c>
      <c r="N2758" s="48" t="str">
        <f aca="false">IF($A2758="","",IF(N(M2758)=0,"–",IF(M2758&lt;=Start!$D$20,"A",IF(M2758&lt;=Start!$D$21,"B","C"))))</f>
        <v/>
      </c>
      <c r="O2758" s="48" t="str">
        <f aca="false">IF($A2758="","",IF(NOT(ISNUMBER(F2758)),"Wert fehlt; ",IF(F2758&lt;=0,"Wert ist 0; ",""))&amp;IF(NOT(ISNUMBER(E2758)),"Bestand fehlt; ",IF(E2758&lt;0,"Bestand negativ; ",IF(E2758=0,"Nullbestand; ","")))&amp;IF(D2758="","Warengruppe fehlt; ","")&amp;IF(B2758="","Bezeichnung fehlt; ","")&amp;IF(COUNTIFS($A$2:$A$5001,$A2758,$C$2:$C$5001,C2758)&gt;1,"Artikel doppelt im selben Lager; ",""))</f>
        <v/>
      </c>
      <c r="P2758" s="47" t="n">
        <f aca="false">IF(OR($A2758="",D2758=""),0,IF(COUNTIF($D$2:D2758,D2758)=1,SUMIF($D$2:$D$5001,D2758,$H$2:$H$5001)+ROW()/10000000,0))</f>
        <v>0</v>
      </c>
      <c r="Q2758" s="47" t="n">
        <f aca="false">IF(OR($A2758="",C2758=""),0,IF(COUNTIF($C$2:C2758,C2758)=1,SUMIF($C$2:$C$5001,C2758,$H$2:$H$5001)+ROW()/10000000,0))</f>
        <v>0</v>
      </c>
    </row>
    <row r="2759" customFormat="false" ht="15" hidden="false" customHeight="false" outlineLevel="0" collapsed="false">
      <c r="A2759" s="43"/>
      <c r="B2759" s="44"/>
      <c r="C2759" s="44"/>
      <c r="D2759" s="44"/>
      <c r="E2759" s="44"/>
      <c r="F2759" s="44"/>
      <c r="G2759" s="44"/>
      <c r="H2759" s="46" t="str">
        <f aca="false">IF($A2759="","",IF(OR(NOT(ISNUMBER(E2759)),NOT(ISNUMBER(F2759))),"",MAX(0,E2759)*F2759))</f>
        <v/>
      </c>
      <c r="I2759" s="46" t="str">
        <f aca="false">IF($A2759="","",SUMIF($A$2:$A$5001,$A2759,$H$2:$H$5001))</f>
        <v/>
      </c>
      <c r="J2759" s="47" t="n">
        <f aca="false">IF($A2759="",0,IF(COUNTIF($A$2:A2759,$A2759)=1,1,0))</f>
        <v>0</v>
      </c>
      <c r="K2759" s="47" t="n">
        <f aca="false">IF(J2759=1,N(I2759)+ROW()/10000000,0)</f>
        <v>0</v>
      </c>
      <c r="L2759" s="47" t="str">
        <f aca="false">IF(AND(J2759=1,N(I2759)&gt;0),SUMIF($K$2:$K$5001,"&gt;="&amp;K2759,$I$2:$I$5001)/MAX(1,SUM($H$2:$H$5001)),"")</f>
        <v/>
      </c>
      <c r="M2759" s="47" t="str">
        <f aca="false">IF($A2759="","",INDEX($L$2:$L$5001,MATCH($A2759,$A$2:$A$5001,0)))</f>
        <v/>
      </c>
      <c r="N2759" s="48" t="str">
        <f aca="false">IF($A2759="","",IF(N(M2759)=0,"–",IF(M2759&lt;=Start!$D$20,"A",IF(M2759&lt;=Start!$D$21,"B","C"))))</f>
        <v/>
      </c>
      <c r="O2759" s="48" t="str">
        <f aca="false">IF($A2759="","",IF(NOT(ISNUMBER(F2759)),"Wert fehlt; ",IF(F2759&lt;=0,"Wert ist 0; ",""))&amp;IF(NOT(ISNUMBER(E2759)),"Bestand fehlt; ",IF(E2759&lt;0,"Bestand negativ; ",IF(E2759=0,"Nullbestand; ","")))&amp;IF(D2759="","Warengruppe fehlt; ","")&amp;IF(B2759="","Bezeichnung fehlt; ","")&amp;IF(COUNTIFS($A$2:$A$5001,$A2759,$C$2:$C$5001,C2759)&gt;1,"Artikel doppelt im selben Lager; ",""))</f>
        <v/>
      </c>
      <c r="P2759" s="47" t="n">
        <f aca="false">IF(OR($A2759="",D2759=""),0,IF(COUNTIF($D$2:D2759,D2759)=1,SUMIF($D$2:$D$5001,D2759,$H$2:$H$5001)+ROW()/10000000,0))</f>
        <v>0</v>
      </c>
      <c r="Q2759" s="47" t="n">
        <f aca="false">IF(OR($A2759="",C2759=""),0,IF(COUNTIF($C$2:C2759,C2759)=1,SUMIF($C$2:$C$5001,C2759,$H$2:$H$5001)+ROW()/10000000,0))</f>
        <v>0</v>
      </c>
    </row>
    <row r="2760" customFormat="false" ht="15" hidden="false" customHeight="false" outlineLevel="0" collapsed="false">
      <c r="A2760" s="43"/>
      <c r="B2760" s="44"/>
      <c r="C2760" s="44"/>
      <c r="D2760" s="44"/>
      <c r="E2760" s="44"/>
      <c r="F2760" s="44"/>
      <c r="G2760" s="44"/>
      <c r="H2760" s="46" t="str">
        <f aca="false">IF($A2760="","",IF(OR(NOT(ISNUMBER(E2760)),NOT(ISNUMBER(F2760))),"",MAX(0,E2760)*F2760))</f>
        <v/>
      </c>
      <c r="I2760" s="46" t="str">
        <f aca="false">IF($A2760="","",SUMIF($A$2:$A$5001,$A2760,$H$2:$H$5001))</f>
        <v/>
      </c>
      <c r="J2760" s="47" t="n">
        <f aca="false">IF($A2760="",0,IF(COUNTIF($A$2:A2760,$A2760)=1,1,0))</f>
        <v>0</v>
      </c>
      <c r="K2760" s="47" t="n">
        <f aca="false">IF(J2760=1,N(I2760)+ROW()/10000000,0)</f>
        <v>0</v>
      </c>
      <c r="L2760" s="47" t="str">
        <f aca="false">IF(AND(J2760=1,N(I2760)&gt;0),SUMIF($K$2:$K$5001,"&gt;="&amp;K2760,$I$2:$I$5001)/MAX(1,SUM($H$2:$H$5001)),"")</f>
        <v/>
      </c>
      <c r="M2760" s="47" t="str">
        <f aca="false">IF($A2760="","",INDEX($L$2:$L$5001,MATCH($A2760,$A$2:$A$5001,0)))</f>
        <v/>
      </c>
      <c r="N2760" s="48" t="str">
        <f aca="false">IF($A2760="","",IF(N(M2760)=0,"–",IF(M2760&lt;=Start!$D$20,"A",IF(M2760&lt;=Start!$D$21,"B","C"))))</f>
        <v/>
      </c>
      <c r="O2760" s="48" t="str">
        <f aca="false">IF($A2760="","",IF(NOT(ISNUMBER(F2760)),"Wert fehlt; ",IF(F2760&lt;=0,"Wert ist 0; ",""))&amp;IF(NOT(ISNUMBER(E2760)),"Bestand fehlt; ",IF(E2760&lt;0,"Bestand negativ; ",IF(E2760=0,"Nullbestand; ","")))&amp;IF(D2760="","Warengruppe fehlt; ","")&amp;IF(B2760="","Bezeichnung fehlt; ","")&amp;IF(COUNTIFS($A$2:$A$5001,$A2760,$C$2:$C$5001,C2760)&gt;1,"Artikel doppelt im selben Lager; ",""))</f>
        <v/>
      </c>
      <c r="P2760" s="47" t="n">
        <f aca="false">IF(OR($A2760="",D2760=""),0,IF(COUNTIF($D$2:D2760,D2760)=1,SUMIF($D$2:$D$5001,D2760,$H$2:$H$5001)+ROW()/10000000,0))</f>
        <v>0</v>
      </c>
      <c r="Q2760" s="47" t="n">
        <f aca="false">IF(OR($A2760="",C2760=""),0,IF(COUNTIF($C$2:C2760,C2760)=1,SUMIF($C$2:$C$5001,C2760,$H$2:$H$5001)+ROW()/10000000,0))</f>
        <v>0</v>
      </c>
    </row>
    <row r="2761" customFormat="false" ht="15" hidden="false" customHeight="false" outlineLevel="0" collapsed="false">
      <c r="A2761" s="43"/>
      <c r="B2761" s="44"/>
      <c r="C2761" s="44"/>
      <c r="D2761" s="44"/>
      <c r="E2761" s="44"/>
      <c r="F2761" s="44"/>
      <c r="G2761" s="44"/>
      <c r="H2761" s="46" t="str">
        <f aca="false">IF($A2761="","",IF(OR(NOT(ISNUMBER(E2761)),NOT(ISNUMBER(F2761))),"",MAX(0,E2761)*F2761))</f>
        <v/>
      </c>
      <c r="I2761" s="46" t="str">
        <f aca="false">IF($A2761="","",SUMIF($A$2:$A$5001,$A2761,$H$2:$H$5001))</f>
        <v/>
      </c>
      <c r="J2761" s="47" t="n">
        <f aca="false">IF($A2761="",0,IF(COUNTIF($A$2:A2761,$A2761)=1,1,0))</f>
        <v>0</v>
      </c>
      <c r="K2761" s="47" t="n">
        <f aca="false">IF(J2761=1,N(I2761)+ROW()/10000000,0)</f>
        <v>0</v>
      </c>
      <c r="L2761" s="47" t="str">
        <f aca="false">IF(AND(J2761=1,N(I2761)&gt;0),SUMIF($K$2:$K$5001,"&gt;="&amp;K2761,$I$2:$I$5001)/MAX(1,SUM($H$2:$H$5001)),"")</f>
        <v/>
      </c>
      <c r="M2761" s="47" t="str">
        <f aca="false">IF($A2761="","",INDEX($L$2:$L$5001,MATCH($A2761,$A$2:$A$5001,0)))</f>
        <v/>
      </c>
      <c r="N2761" s="48" t="str">
        <f aca="false">IF($A2761="","",IF(N(M2761)=0,"–",IF(M2761&lt;=Start!$D$20,"A",IF(M2761&lt;=Start!$D$21,"B","C"))))</f>
        <v/>
      </c>
      <c r="O2761" s="48" t="str">
        <f aca="false">IF($A2761="","",IF(NOT(ISNUMBER(F2761)),"Wert fehlt; ",IF(F2761&lt;=0,"Wert ist 0; ",""))&amp;IF(NOT(ISNUMBER(E2761)),"Bestand fehlt; ",IF(E2761&lt;0,"Bestand negativ; ",IF(E2761=0,"Nullbestand; ","")))&amp;IF(D2761="","Warengruppe fehlt; ","")&amp;IF(B2761="","Bezeichnung fehlt; ","")&amp;IF(COUNTIFS($A$2:$A$5001,$A2761,$C$2:$C$5001,C2761)&gt;1,"Artikel doppelt im selben Lager; ",""))</f>
        <v/>
      </c>
      <c r="P2761" s="47" t="n">
        <f aca="false">IF(OR($A2761="",D2761=""),0,IF(COUNTIF($D$2:D2761,D2761)=1,SUMIF($D$2:$D$5001,D2761,$H$2:$H$5001)+ROW()/10000000,0))</f>
        <v>0</v>
      </c>
      <c r="Q2761" s="47" t="n">
        <f aca="false">IF(OR($A2761="",C2761=""),0,IF(COUNTIF($C$2:C2761,C2761)=1,SUMIF($C$2:$C$5001,C2761,$H$2:$H$5001)+ROW()/10000000,0))</f>
        <v>0</v>
      </c>
    </row>
    <row r="2762" customFormat="false" ht="15" hidden="false" customHeight="false" outlineLevel="0" collapsed="false">
      <c r="A2762" s="43"/>
      <c r="B2762" s="44"/>
      <c r="C2762" s="44"/>
      <c r="D2762" s="44"/>
      <c r="E2762" s="44"/>
      <c r="F2762" s="44"/>
      <c r="G2762" s="44"/>
      <c r="H2762" s="46" t="str">
        <f aca="false">IF($A2762="","",IF(OR(NOT(ISNUMBER(E2762)),NOT(ISNUMBER(F2762))),"",MAX(0,E2762)*F2762))</f>
        <v/>
      </c>
      <c r="I2762" s="46" t="str">
        <f aca="false">IF($A2762="","",SUMIF($A$2:$A$5001,$A2762,$H$2:$H$5001))</f>
        <v/>
      </c>
      <c r="J2762" s="47" t="n">
        <f aca="false">IF($A2762="",0,IF(COUNTIF($A$2:A2762,$A2762)=1,1,0))</f>
        <v>0</v>
      </c>
      <c r="K2762" s="47" t="n">
        <f aca="false">IF(J2762=1,N(I2762)+ROW()/10000000,0)</f>
        <v>0</v>
      </c>
      <c r="L2762" s="47" t="str">
        <f aca="false">IF(AND(J2762=1,N(I2762)&gt;0),SUMIF($K$2:$K$5001,"&gt;="&amp;K2762,$I$2:$I$5001)/MAX(1,SUM($H$2:$H$5001)),"")</f>
        <v/>
      </c>
      <c r="M2762" s="47" t="str">
        <f aca="false">IF($A2762="","",INDEX($L$2:$L$5001,MATCH($A2762,$A$2:$A$5001,0)))</f>
        <v/>
      </c>
      <c r="N2762" s="48" t="str">
        <f aca="false">IF($A2762="","",IF(N(M2762)=0,"–",IF(M2762&lt;=Start!$D$20,"A",IF(M2762&lt;=Start!$D$21,"B","C"))))</f>
        <v/>
      </c>
      <c r="O2762" s="48" t="str">
        <f aca="false">IF($A2762="","",IF(NOT(ISNUMBER(F2762)),"Wert fehlt; ",IF(F2762&lt;=0,"Wert ist 0; ",""))&amp;IF(NOT(ISNUMBER(E2762)),"Bestand fehlt; ",IF(E2762&lt;0,"Bestand negativ; ",IF(E2762=0,"Nullbestand; ","")))&amp;IF(D2762="","Warengruppe fehlt; ","")&amp;IF(B2762="","Bezeichnung fehlt; ","")&amp;IF(COUNTIFS($A$2:$A$5001,$A2762,$C$2:$C$5001,C2762)&gt;1,"Artikel doppelt im selben Lager; ",""))</f>
        <v/>
      </c>
      <c r="P2762" s="47" t="n">
        <f aca="false">IF(OR($A2762="",D2762=""),0,IF(COUNTIF($D$2:D2762,D2762)=1,SUMIF($D$2:$D$5001,D2762,$H$2:$H$5001)+ROW()/10000000,0))</f>
        <v>0</v>
      </c>
      <c r="Q2762" s="47" t="n">
        <f aca="false">IF(OR($A2762="",C2762=""),0,IF(COUNTIF($C$2:C2762,C2762)=1,SUMIF($C$2:$C$5001,C2762,$H$2:$H$5001)+ROW()/10000000,0))</f>
        <v>0</v>
      </c>
    </row>
    <row r="2763" customFormat="false" ht="15" hidden="false" customHeight="false" outlineLevel="0" collapsed="false">
      <c r="A2763" s="43"/>
      <c r="B2763" s="44"/>
      <c r="C2763" s="44"/>
      <c r="D2763" s="44"/>
      <c r="E2763" s="44"/>
      <c r="F2763" s="44"/>
      <c r="G2763" s="44"/>
      <c r="H2763" s="46" t="str">
        <f aca="false">IF($A2763="","",IF(OR(NOT(ISNUMBER(E2763)),NOT(ISNUMBER(F2763))),"",MAX(0,E2763)*F2763))</f>
        <v/>
      </c>
      <c r="I2763" s="46" t="str">
        <f aca="false">IF($A2763="","",SUMIF($A$2:$A$5001,$A2763,$H$2:$H$5001))</f>
        <v/>
      </c>
      <c r="J2763" s="47" t="n">
        <f aca="false">IF($A2763="",0,IF(COUNTIF($A$2:A2763,$A2763)=1,1,0))</f>
        <v>0</v>
      </c>
      <c r="K2763" s="47" t="n">
        <f aca="false">IF(J2763=1,N(I2763)+ROW()/10000000,0)</f>
        <v>0</v>
      </c>
      <c r="L2763" s="47" t="str">
        <f aca="false">IF(AND(J2763=1,N(I2763)&gt;0),SUMIF($K$2:$K$5001,"&gt;="&amp;K2763,$I$2:$I$5001)/MAX(1,SUM($H$2:$H$5001)),"")</f>
        <v/>
      </c>
      <c r="M2763" s="47" t="str">
        <f aca="false">IF($A2763="","",INDEX($L$2:$L$5001,MATCH($A2763,$A$2:$A$5001,0)))</f>
        <v/>
      </c>
      <c r="N2763" s="48" t="str">
        <f aca="false">IF($A2763="","",IF(N(M2763)=0,"–",IF(M2763&lt;=Start!$D$20,"A",IF(M2763&lt;=Start!$D$21,"B","C"))))</f>
        <v/>
      </c>
      <c r="O2763" s="48" t="str">
        <f aca="false">IF($A2763="","",IF(NOT(ISNUMBER(F2763)),"Wert fehlt; ",IF(F2763&lt;=0,"Wert ist 0; ",""))&amp;IF(NOT(ISNUMBER(E2763)),"Bestand fehlt; ",IF(E2763&lt;0,"Bestand negativ; ",IF(E2763=0,"Nullbestand; ","")))&amp;IF(D2763="","Warengruppe fehlt; ","")&amp;IF(B2763="","Bezeichnung fehlt; ","")&amp;IF(COUNTIFS($A$2:$A$5001,$A2763,$C$2:$C$5001,C2763)&gt;1,"Artikel doppelt im selben Lager; ",""))</f>
        <v/>
      </c>
      <c r="P2763" s="47" t="n">
        <f aca="false">IF(OR($A2763="",D2763=""),0,IF(COUNTIF($D$2:D2763,D2763)=1,SUMIF($D$2:$D$5001,D2763,$H$2:$H$5001)+ROW()/10000000,0))</f>
        <v>0</v>
      </c>
      <c r="Q2763" s="47" t="n">
        <f aca="false">IF(OR($A2763="",C2763=""),0,IF(COUNTIF($C$2:C2763,C2763)=1,SUMIF($C$2:$C$5001,C2763,$H$2:$H$5001)+ROW()/10000000,0))</f>
        <v>0</v>
      </c>
    </row>
    <row r="2764" customFormat="false" ht="15" hidden="false" customHeight="false" outlineLevel="0" collapsed="false">
      <c r="A2764" s="43"/>
      <c r="B2764" s="44"/>
      <c r="C2764" s="44"/>
      <c r="D2764" s="44"/>
      <c r="E2764" s="44"/>
      <c r="F2764" s="44"/>
      <c r="G2764" s="44"/>
      <c r="H2764" s="46" t="str">
        <f aca="false">IF($A2764="","",IF(OR(NOT(ISNUMBER(E2764)),NOT(ISNUMBER(F2764))),"",MAX(0,E2764)*F2764))</f>
        <v/>
      </c>
      <c r="I2764" s="46" t="str">
        <f aca="false">IF($A2764="","",SUMIF($A$2:$A$5001,$A2764,$H$2:$H$5001))</f>
        <v/>
      </c>
      <c r="J2764" s="47" t="n">
        <f aca="false">IF($A2764="",0,IF(COUNTIF($A$2:A2764,$A2764)=1,1,0))</f>
        <v>0</v>
      </c>
      <c r="K2764" s="47" t="n">
        <f aca="false">IF(J2764=1,N(I2764)+ROW()/10000000,0)</f>
        <v>0</v>
      </c>
      <c r="L2764" s="47" t="str">
        <f aca="false">IF(AND(J2764=1,N(I2764)&gt;0),SUMIF($K$2:$K$5001,"&gt;="&amp;K2764,$I$2:$I$5001)/MAX(1,SUM($H$2:$H$5001)),"")</f>
        <v/>
      </c>
      <c r="M2764" s="47" t="str">
        <f aca="false">IF($A2764="","",INDEX($L$2:$L$5001,MATCH($A2764,$A$2:$A$5001,0)))</f>
        <v/>
      </c>
      <c r="N2764" s="48" t="str">
        <f aca="false">IF($A2764="","",IF(N(M2764)=0,"–",IF(M2764&lt;=Start!$D$20,"A",IF(M2764&lt;=Start!$D$21,"B","C"))))</f>
        <v/>
      </c>
      <c r="O2764" s="48" t="str">
        <f aca="false">IF($A2764="","",IF(NOT(ISNUMBER(F2764)),"Wert fehlt; ",IF(F2764&lt;=0,"Wert ist 0; ",""))&amp;IF(NOT(ISNUMBER(E2764)),"Bestand fehlt; ",IF(E2764&lt;0,"Bestand negativ; ",IF(E2764=0,"Nullbestand; ","")))&amp;IF(D2764="","Warengruppe fehlt; ","")&amp;IF(B2764="","Bezeichnung fehlt; ","")&amp;IF(COUNTIFS($A$2:$A$5001,$A2764,$C$2:$C$5001,C2764)&gt;1,"Artikel doppelt im selben Lager; ",""))</f>
        <v/>
      </c>
      <c r="P2764" s="47" t="n">
        <f aca="false">IF(OR($A2764="",D2764=""),0,IF(COUNTIF($D$2:D2764,D2764)=1,SUMIF($D$2:$D$5001,D2764,$H$2:$H$5001)+ROW()/10000000,0))</f>
        <v>0</v>
      </c>
      <c r="Q2764" s="47" t="n">
        <f aca="false">IF(OR($A2764="",C2764=""),0,IF(COUNTIF($C$2:C2764,C2764)=1,SUMIF($C$2:$C$5001,C2764,$H$2:$H$5001)+ROW()/10000000,0))</f>
        <v>0</v>
      </c>
    </row>
    <row r="2765" customFormat="false" ht="15" hidden="false" customHeight="false" outlineLevel="0" collapsed="false">
      <c r="A2765" s="43"/>
      <c r="B2765" s="44"/>
      <c r="C2765" s="44"/>
      <c r="D2765" s="44"/>
      <c r="E2765" s="44"/>
      <c r="F2765" s="44"/>
      <c r="G2765" s="44"/>
      <c r="H2765" s="46" t="str">
        <f aca="false">IF($A2765="","",IF(OR(NOT(ISNUMBER(E2765)),NOT(ISNUMBER(F2765))),"",MAX(0,E2765)*F2765))</f>
        <v/>
      </c>
      <c r="I2765" s="46" t="str">
        <f aca="false">IF($A2765="","",SUMIF($A$2:$A$5001,$A2765,$H$2:$H$5001))</f>
        <v/>
      </c>
      <c r="J2765" s="47" t="n">
        <f aca="false">IF($A2765="",0,IF(COUNTIF($A$2:A2765,$A2765)=1,1,0))</f>
        <v>0</v>
      </c>
      <c r="K2765" s="47" t="n">
        <f aca="false">IF(J2765=1,N(I2765)+ROW()/10000000,0)</f>
        <v>0</v>
      </c>
      <c r="L2765" s="47" t="str">
        <f aca="false">IF(AND(J2765=1,N(I2765)&gt;0),SUMIF($K$2:$K$5001,"&gt;="&amp;K2765,$I$2:$I$5001)/MAX(1,SUM($H$2:$H$5001)),"")</f>
        <v/>
      </c>
      <c r="M2765" s="47" t="str">
        <f aca="false">IF($A2765="","",INDEX($L$2:$L$5001,MATCH($A2765,$A$2:$A$5001,0)))</f>
        <v/>
      </c>
      <c r="N2765" s="48" t="str">
        <f aca="false">IF($A2765="","",IF(N(M2765)=0,"–",IF(M2765&lt;=Start!$D$20,"A",IF(M2765&lt;=Start!$D$21,"B","C"))))</f>
        <v/>
      </c>
      <c r="O2765" s="48" t="str">
        <f aca="false">IF($A2765="","",IF(NOT(ISNUMBER(F2765)),"Wert fehlt; ",IF(F2765&lt;=0,"Wert ist 0; ",""))&amp;IF(NOT(ISNUMBER(E2765)),"Bestand fehlt; ",IF(E2765&lt;0,"Bestand negativ; ",IF(E2765=0,"Nullbestand; ","")))&amp;IF(D2765="","Warengruppe fehlt; ","")&amp;IF(B2765="","Bezeichnung fehlt; ","")&amp;IF(COUNTIFS($A$2:$A$5001,$A2765,$C$2:$C$5001,C2765)&gt;1,"Artikel doppelt im selben Lager; ",""))</f>
        <v/>
      </c>
      <c r="P2765" s="47" t="n">
        <f aca="false">IF(OR($A2765="",D2765=""),0,IF(COUNTIF($D$2:D2765,D2765)=1,SUMIF($D$2:$D$5001,D2765,$H$2:$H$5001)+ROW()/10000000,0))</f>
        <v>0</v>
      </c>
      <c r="Q2765" s="47" t="n">
        <f aca="false">IF(OR($A2765="",C2765=""),0,IF(COUNTIF($C$2:C2765,C2765)=1,SUMIF($C$2:$C$5001,C2765,$H$2:$H$5001)+ROW()/10000000,0))</f>
        <v>0</v>
      </c>
    </row>
    <row r="2766" customFormat="false" ht="15" hidden="false" customHeight="false" outlineLevel="0" collapsed="false">
      <c r="A2766" s="43"/>
      <c r="B2766" s="44"/>
      <c r="C2766" s="44"/>
      <c r="D2766" s="44"/>
      <c r="E2766" s="44"/>
      <c r="F2766" s="44"/>
      <c r="G2766" s="44"/>
      <c r="H2766" s="46" t="str">
        <f aca="false">IF($A2766="","",IF(OR(NOT(ISNUMBER(E2766)),NOT(ISNUMBER(F2766))),"",MAX(0,E2766)*F2766))</f>
        <v/>
      </c>
      <c r="I2766" s="46" t="str">
        <f aca="false">IF($A2766="","",SUMIF($A$2:$A$5001,$A2766,$H$2:$H$5001))</f>
        <v/>
      </c>
      <c r="J2766" s="47" t="n">
        <f aca="false">IF($A2766="",0,IF(COUNTIF($A$2:A2766,$A2766)=1,1,0))</f>
        <v>0</v>
      </c>
      <c r="K2766" s="47" t="n">
        <f aca="false">IF(J2766=1,N(I2766)+ROW()/10000000,0)</f>
        <v>0</v>
      </c>
      <c r="L2766" s="47" t="str">
        <f aca="false">IF(AND(J2766=1,N(I2766)&gt;0),SUMIF($K$2:$K$5001,"&gt;="&amp;K2766,$I$2:$I$5001)/MAX(1,SUM($H$2:$H$5001)),"")</f>
        <v/>
      </c>
      <c r="M2766" s="47" t="str">
        <f aca="false">IF($A2766="","",INDEX($L$2:$L$5001,MATCH($A2766,$A$2:$A$5001,0)))</f>
        <v/>
      </c>
      <c r="N2766" s="48" t="str">
        <f aca="false">IF($A2766="","",IF(N(M2766)=0,"–",IF(M2766&lt;=Start!$D$20,"A",IF(M2766&lt;=Start!$D$21,"B","C"))))</f>
        <v/>
      </c>
      <c r="O2766" s="48" t="str">
        <f aca="false">IF($A2766="","",IF(NOT(ISNUMBER(F2766)),"Wert fehlt; ",IF(F2766&lt;=0,"Wert ist 0; ",""))&amp;IF(NOT(ISNUMBER(E2766)),"Bestand fehlt; ",IF(E2766&lt;0,"Bestand negativ; ",IF(E2766=0,"Nullbestand; ","")))&amp;IF(D2766="","Warengruppe fehlt; ","")&amp;IF(B2766="","Bezeichnung fehlt; ","")&amp;IF(COUNTIFS($A$2:$A$5001,$A2766,$C$2:$C$5001,C2766)&gt;1,"Artikel doppelt im selben Lager; ",""))</f>
        <v/>
      </c>
      <c r="P2766" s="47" t="n">
        <f aca="false">IF(OR($A2766="",D2766=""),0,IF(COUNTIF($D$2:D2766,D2766)=1,SUMIF($D$2:$D$5001,D2766,$H$2:$H$5001)+ROW()/10000000,0))</f>
        <v>0</v>
      </c>
      <c r="Q2766" s="47" t="n">
        <f aca="false">IF(OR($A2766="",C2766=""),0,IF(COUNTIF($C$2:C2766,C2766)=1,SUMIF($C$2:$C$5001,C2766,$H$2:$H$5001)+ROW()/10000000,0))</f>
        <v>0</v>
      </c>
    </row>
    <row r="2767" customFormat="false" ht="15" hidden="false" customHeight="false" outlineLevel="0" collapsed="false">
      <c r="A2767" s="43"/>
      <c r="B2767" s="44"/>
      <c r="C2767" s="44"/>
      <c r="D2767" s="44"/>
      <c r="E2767" s="44"/>
      <c r="F2767" s="44"/>
      <c r="G2767" s="44"/>
      <c r="H2767" s="46" t="str">
        <f aca="false">IF($A2767="","",IF(OR(NOT(ISNUMBER(E2767)),NOT(ISNUMBER(F2767))),"",MAX(0,E2767)*F2767))</f>
        <v/>
      </c>
      <c r="I2767" s="46" t="str">
        <f aca="false">IF($A2767="","",SUMIF($A$2:$A$5001,$A2767,$H$2:$H$5001))</f>
        <v/>
      </c>
      <c r="J2767" s="47" t="n">
        <f aca="false">IF($A2767="",0,IF(COUNTIF($A$2:A2767,$A2767)=1,1,0))</f>
        <v>0</v>
      </c>
      <c r="K2767" s="47" t="n">
        <f aca="false">IF(J2767=1,N(I2767)+ROW()/10000000,0)</f>
        <v>0</v>
      </c>
      <c r="L2767" s="47" t="str">
        <f aca="false">IF(AND(J2767=1,N(I2767)&gt;0),SUMIF($K$2:$K$5001,"&gt;="&amp;K2767,$I$2:$I$5001)/MAX(1,SUM($H$2:$H$5001)),"")</f>
        <v/>
      </c>
      <c r="M2767" s="47" t="str">
        <f aca="false">IF($A2767="","",INDEX($L$2:$L$5001,MATCH($A2767,$A$2:$A$5001,0)))</f>
        <v/>
      </c>
      <c r="N2767" s="48" t="str">
        <f aca="false">IF($A2767="","",IF(N(M2767)=0,"–",IF(M2767&lt;=Start!$D$20,"A",IF(M2767&lt;=Start!$D$21,"B","C"))))</f>
        <v/>
      </c>
      <c r="O2767" s="48" t="str">
        <f aca="false">IF($A2767="","",IF(NOT(ISNUMBER(F2767)),"Wert fehlt; ",IF(F2767&lt;=0,"Wert ist 0; ",""))&amp;IF(NOT(ISNUMBER(E2767)),"Bestand fehlt; ",IF(E2767&lt;0,"Bestand negativ; ",IF(E2767=0,"Nullbestand; ","")))&amp;IF(D2767="","Warengruppe fehlt; ","")&amp;IF(B2767="","Bezeichnung fehlt; ","")&amp;IF(COUNTIFS($A$2:$A$5001,$A2767,$C$2:$C$5001,C2767)&gt;1,"Artikel doppelt im selben Lager; ",""))</f>
        <v/>
      </c>
      <c r="P2767" s="47" t="n">
        <f aca="false">IF(OR($A2767="",D2767=""),0,IF(COUNTIF($D$2:D2767,D2767)=1,SUMIF($D$2:$D$5001,D2767,$H$2:$H$5001)+ROW()/10000000,0))</f>
        <v>0</v>
      </c>
      <c r="Q2767" s="47" t="n">
        <f aca="false">IF(OR($A2767="",C2767=""),0,IF(COUNTIF($C$2:C2767,C2767)=1,SUMIF($C$2:$C$5001,C2767,$H$2:$H$5001)+ROW()/10000000,0))</f>
        <v>0</v>
      </c>
    </row>
    <row r="2768" customFormat="false" ht="15" hidden="false" customHeight="false" outlineLevel="0" collapsed="false">
      <c r="A2768" s="43"/>
      <c r="B2768" s="44"/>
      <c r="C2768" s="44"/>
      <c r="D2768" s="44"/>
      <c r="E2768" s="44"/>
      <c r="F2768" s="44"/>
      <c r="G2768" s="44"/>
      <c r="H2768" s="46" t="str">
        <f aca="false">IF($A2768="","",IF(OR(NOT(ISNUMBER(E2768)),NOT(ISNUMBER(F2768))),"",MAX(0,E2768)*F2768))</f>
        <v/>
      </c>
      <c r="I2768" s="46" t="str">
        <f aca="false">IF($A2768="","",SUMIF($A$2:$A$5001,$A2768,$H$2:$H$5001))</f>
        <v/>
      </c>
      <c r="J2768" s="47" t="n">
        <f aca="false">IF($A2768="",0,IF(COUNTIF($A$2:A2768,$A2768)=1,1,0))</f>
        <v>0</v>
      </c>
      <c r="K2768" s="47" t="n">
        <f aca="false">IF(J2768=1,N(I2768)+ROW()/10000000,0)</f>
        <v>0</v>
      </c>
      <c r="L2768" s="47" t="str">
        <f aca="false">IF(AND(J2768=1,N(I2768)&gt;0),SUMIF($K$2:$K$5001,"&gt;="&amp;K2768,$I$2:$I$5001)/MAX(1,SUM($H$2:$H$5001)),"")</f>
        <v/>
      </c>
      <c r="M2768" s="47" t="str">
        <f aca="false">IF($A2768="","",INDEX($L$2:$L$5001,MATCH($A2768,$A$2:$A$5001,0)))</f>
        <v/>
      </c>
      <c r="N2768" s="48" t="str">
        <f aca="false">IF($A2768="","",IF(N(M2768)=0,"–",IF(M2768&lt;=Start!$D$20,"A",IF(M2768&lt;=Start!$D$21,"B","C"))))</f>
        <v/>
      </c>
      <c r="O2768" s="48" t="str">
        <f aca="false">IF($A2768="","",IF(NOT(ISNUMBER(F2768)),"Wert fehlt; ",IF(F2768&lt;=0,"Wert ist 0; ",""))&amp;IF(NOT(ISNUMBER(E2768)),"Bestand fehlt; ",IF(E2768&lt;0,"Bestand negativ; ",IF(E2768=0,"Nullbestand; ","")))&amp;IF(D2768="","Warengruppe fehlt; ","")&amp;IF(B2768="","Bezeichnung fehlt; ","")&amp;IF(COUNTIFS($A$2:$A$5001,$A2768,$C$2:$C$5001,C2768)&gt;1,"Artikel doppelt im selben Lager; ",""))</f>
        <v/>
      </c>
      <c r="P2768" s="47" t="n">
        <f aca="false">IF(OR($A2768="",D2768=""),0,IF(COUNTIF($D$2:D2768,D2768)=1,SUMIF($D$2:$D$5001,D2768,$H$2:$H$5001)+ROW()/10000000,0))</f>
        <v>0</v>
      </c>
      <c r="Q2768" s="47" t="n">
        <f aca="false">IF(OR($A2768="",C2768=""),0,IF(COUNTIF($C$2:C2768,C2768)=1,SUMIF($C$2:$C$5001,C2768,$H$2:$H$5001)+ROW()/10000000,0))</f>
        <v>0</v>
      </c>
    </row>
    <row r="2769" customFormat="false" ht="15" hidden="false" customHeight="false" outlineLevel="0" collapsed="false">
      <c r="A2769" s="43"/>
      <c r="B2769" s="44"/>
      <c r="C2769" s="44"/>
      <c r="D2769" s="44"/>
      <c r="E2769" s="44"/>
      <c r="F2769" s="44"/>
      <c r="G2769" s="44"/>
      <c r="H2769" s="46" t="str">
        <f aca="false">IF($A2769="","",IF(OR(NOT(ISNUMBER(E2769)),NOT(ISNUMBER(F2769))),"",MAX(0,E2769)*F2769))</f>
        <v/>
      </c>
      <c r="I2769" s="46" t="str">
        <f aca="false">IF($A2769="","",SUMIF($A$2:$A$5001,$A2769,$H$2:$H$5001))</f>
        <v/>
      </c>
      <c r="J2769" s="47" t="n">
        <f aca="false">IF($A2769="",0,IF(COUNTIF($A$2:A2769,$A2769)=1,1,0))</f>
        <v>0</v>
      </c>
      <c r="K2769" s="47" t="n">
        <f aca="false">IF(J2769=1,N(I2769)+ROW()/10000000,0)</f>
        <v>0</v>
      </c>
      <c r="L2769" s="47" t="str">
        <f aca="false">IF(AND(J2769=1,N(I2769)&gt;0),SUMIF($K$2:$K$5001,"&gt;="&amp;K2769,$I$2:$I$5001)/MAX(1,SUM($H$2:$H$5001)),"")</f>
        <v/>
      </c>
      <c r="M2769" s="47" t="str">
        <f aca="false">IF($A2769="","",INDEX($L$2:$L$5001,MATCH($A2769,$A$2:$A$5001,0)))</f>
        <v/>
      </c>
      <c r="N2769" s="48" t="str">
        <f aca="false">IF($A2769="","",IF(N(M2769)=0,"–",IF(M2769&lt;=Start!$D$20,"A",IF(M2769&lt;=Start!$D$21,"B","C"))))</f>
        <v/>
      </c>
      <c r="O2769" s="48" t="str">
        <f aca="false">IF($A2769="","",IF(NOT(ISNUMBER(F2769)),"Wert fehlt; ",IF(F2769&lt;=0,"Wert ist 0; ",""))&amp;IF(NOT(ISNUMBER(E2769)),"Bestand fehlt; ",IF(E2769&lt;0,"Bestand negativ; ",IF(E2769=0,"Nullbestand; ","")))&amp;IF(D2769="","Warengruppe fehlt; ","")&amp;IF(B2769="","Bezeichnung fehlt; ","")&amp;IF(COUNTIFS($A$2:$A$5001,$A2769,$C$2:$C$5001,C2769)&gt;1,"Artikel doppelt im selben Lager; ",""))</f>
        <v/>
      </c>
      <c r="P2769" s="47" t="n">
        <f aca="false">IF(OR($A2769="",D2769=""),0,IF(COUNTIF($D$2:D2769,D2769)=1,SUMIF($D$2:$D$5001,D2769,$H$2:$H$5001)+ROW()/10000000,0))</f>
        <v>0</v>
      </c>
      <c r="Q2769" s="47" t="n">
        <f aca="false">IF(OR($A2769="",C2769=""),0,IF(COUNTIF($C$2:C2769,C2769)=1,SUMIF($C$2:$C$5001,C2769,$H$2:$H$5001)+ROW()/10000000,0))</f>
        <v>0</v>
      </c>
    </row>
    <row r="2770" customFormat="false" ht="15" hidden="false" customHeight="false" outlineLevel="0" collapsed="false">
      <c r="A2770" s="43"/>
      <c r="B2770" s="44"/>
      <c r="C2770" s="44"/>
      <c r="D2770" s="44"/>
      <c r="E2770" s="44"/>
      <c r="F2770" s="44"/>
      <c r="G2770" s="44"/>
      <c r="H2770" s="46" t="str">
        <f aca="false">IF($A2770="","",IF(OR(NOT(ISNUMBER(E2770)),NOT(ISNUMBER(F2770))),"",MAX(0,E2770)*F2770))</f>
        <v/>
      </c>
      <c r="I2770" s="46" t="str">
        <f aca="false">IF($A2770="","",SUMIF($A$2:$A$5001,$A2770,$H$2:$H$5001))</f>
        <v/>
      </c>
      <c r="J2770" s="47" t="n">
        <f aca="false">IF($A2770="",0,IF(COUNTIF($A$2:A2770,$A2770)=1,1,0))</f>
        <v>0</v>
      </c>
      <c r="K2770" s="47" t="n">
        <f aca="false">IF(J2770=1,N(I2770)+ROW()/10000000,0)</f>
        <v>0</v>
      </c>
      <c r="L2770" s="47" t="str">
        <f aca="false">IF(AND(J2770=1,N(I2770)&gt;0),SUMIF($K$2:$K$5001,"&gt;="&amp;K2770,$I$2:$I$5001)/MAX(1,SUM($H$2:$H$5001)),"")</f>
        <v/>
      </c>
      <c r="M2770" s="47" t="str">
        <f aca="false">IF($A2770="","",INDEX($L$2:$L$5001,MATCH($A2770,$A$2:$A$5001,0)))</f>
        <v/>
      </c>
      <c r="N2770" s="48" t="str">
        <f aca="false">IF($A2770="","",IF(N(M2770)=0,"–",IF(M2770&lt;=Start!$D$20,"A",IF(M2770&lt;=Start!$D$21,"B","C"))))</f>
        <v/>
      </c>
      <c r="O2770" s="48" t="str">
        <f aca="false">IF($A2770="","",IF(NOT(ISNUMBER(F2770)),"Wert fehlt; ",IF(F2770&lt;=0,"Wert ist 0; ",""))&amp;IF(NOT(ISNUMBER(E2770)),"Bestand fehlt; ",IF(E2770&lt;0,"Bestand negativ; ",IF(E2770=0,"Nullbestand; ","")))&amp;IF(D2770="","Warengruppe fehlt; ","")&amp;IF(B2770="","Bezeichnung fehlt; ","")&amp;IF(COUNTIFS($A$2:$A$5001,$A2770,$C$2:$C$5001,C2770)&gt;1,"Artikel doppelt im selben Lager; ",""))</f>
        <v/>
      </c>
      <c r="P2770" s="47" t="n">
        <f aca="false">IF(OR($A2770="",D2770=""),0,IF(COUNTIF($D$2:D2770,D2770)=1,SUMIF($D$2:$D$5001,D2770,$H$2:$H$5001)+ROW()/10000000,0))</f>
        <v>0</v>
      </c>
      <c r="Q2770" s="47" t="n">
        <f aca="false">IF(OR($A2770="",C2770=""),0,IF(COUNTIF($C$2:C2770,C2770)=1,SUMIF($C$2:$C$5001,C2770,$H$2:$H$5001)+ROW()/10000000,0))</f>
        <v>0</v>
      </c>
    </row>
    <row r="2771" customFormat="false" ht="15" hidden="false" customHeight="false" outlineLevel="0" collapsed="false">
      <c r="A2771" s="43"/>
      <c r="B2771" s="44"/>
      <c r="C2771" s="44"/>
      <c r="D2771" s="44"/>
      <c r="E2771" s="44"/>
      <c r="F2771" s="44"/>
      <c r="G2771" s="44"/>
      <c r="H2771" s="46" t="str">
        <f aca="false">IF($A2771="","",IF(OR(NOT(ISNUMBER(E2771)),NOT(ISNUMBER(F2771))),"",MAX(0,E2771)*F2771))</f>
        <v/>
      </c>
      <c r="I2771" s="46" t="str">
        <f aca="false">IF($A2771="","",SUMIF($A$2:$A$5001,$A2771,$H$2:$H$5001))</f>
        <v/>
      </c>
      <c r="J2771" s="47" t="n">
        <f aca="false">IF($A2771="",0,IF(COUNTIF($A$2:A2771,$A2771)=1,1,0))</f>
        <v>0</v>
      </c>
      <c r="K2771" s="47" t="n">
        <f aca="false">IF(J2771=1,N(I2771)+ROW()/10000000,0)</f>
        <v>0</v>
      </c>
      <c r="L2771" s="47" t="str">
        <f aca="false">IF(AND(J2771=1,N(I2771)&gt;0),SUMIF($K$2:$K$5001,"&gt;="&amp;K2771,$I$2:$I$5001)/MAX(1,SUM($H$2:$H$5001)),"")</f>
        <v/>
      </c>
      <c r="M2771" s="47" t="str">
        <f aca="false">IF($A2771="","",INDEX($L$2:$L$5001,MATCH($A2771,$A$2:$A$5001,0)))</f>
        <v/>
      </c>
      <c r="N2771" s="48" t="str">
        <f aca="false">IF($A2771="","",IF(N(M2771)=0,"–",IF(M2771&lt;=Start!$D$20,"A",IF(M2771&lt;=Start!$D$21,"B","C"))))</f>
        <v/>
      </c>
      <c r="O2771" s="48" t="str">
        <f aca="false">IF($A2771="","",IF(NOT(ISNUMBER(F2771)),"Wert fehlt; ",IF(F2771&lt;=0,"Wert ist 0; ",""))&amp;IF(NOT(ISNUMBER(E2771)),"Bestand fehlt; ",IF(E2771&lt;0,"Bestand negativ; ",IF(E2771=0,"Nullbestand; ","")))&amp;IF(D2771="","Warengruppe fehlt; ","")&amp;IF(B2771="","Bezeichnung fehlt; ","")&amp;IF(COUNTIFS($A$2:$A$5001,$A2771,$C$2:$C$5001,C2771)&gt;1,"Artikel doppelt im selben Lager; ",""))</f>
        <v/>
      </c>
      <c r="P2771" s="47" t="n">
        <f aca="false">IF(OR($A2771="",D2771=""),0,IF(COUNTIF($D$2:D2771,D2771)=1,SUMIF($D$2:$D$5001,D2771,$H$2:$H$5001)+ROW()/10000000,0))</f>
        <v>0</v>
      </c>
      <c r="Q2771" s="47" t="n">
        <f aca="false">IF(OR($A2771="",C2771=""),0,IF(COUNTIF($C$2:C2771,C2771)=1,SUMIF($C$2:$C$5001,C2771,$H$2:$H$5001)+ROW()/10000000,0))</f>
        <v>0</v>
      </c>
    </row>
    <row r="2772" customFormat="false" ht="15" hidden="false" customHeight="false" outlineLevel="0" collapsed="false">
      <c r="A2772" s="43"/>
      <c r="B2772" s="44"/>
      <c r="C2772" s="44"/>
      <c r="D2772" s="44"/>
      <c r="E2772" s="44"/>
      <c r="F2772" s="44"/>
      <c r="G2772" s="44"/>
      <c r="H2772" s="46" t="str">
        <f aca="false">IF($A2772="","",IF(OR(NOT(ISNUMBER(E2772)),NOT(ISNUMBER(F2772))),"",MAX(0,E2772)*F2772))</f>
        <v/>
      </c>
      <c r="I2772" s="46" t="str">
        <f aca="false">IF($A2772="","",SUMIF($A$2:$A$5001,$A2772,$H$2:$H$5001))</f>
        <v/>
      </c>
      <c r="J2772" s="47" t="n">
        <f aca="false">IF($A2772="",0,IF(COUNTIF($A$2:A2772,$A2772)=1,1,0))</f>
        <v>0</v>
      </c>
      <c r="K2772" s="47" t="n">
        <f aca="false">IF(J2772=1,N(I2772)+ROW()/10000000,0)</f>
        <v>0</v>
      </c>
      <c r="L2772" s="47" t="str">
        <f aca="false">IF(AND(J2772=1,N(I2772)&gt;0),SUMIF($K$2:$K$5001,"&gt;="&amp;K2772,$I$2:$I$5001)/MAX(1,SUM($H$2:$H$5001)),"")</f>
        <v/>
      </c>
      <c r="M2772" s="47" t="str">
        <f aca="false">IF($A2772="","",INDEX($L$2:$L$5001,MATCH($A2772,$A$2:$A$5001,0)))</f>
        <v/>
      </c>
      <c r="N2772" s="48" t="str">
        <f aca="false">IF($A2772="","",IF(N(M2772)=0,"–",IF(M2772&lt;=Start!$D$20,"A",IF(M2772&lt;=Start!$D$21,"B","C"))))</f>
        <v/>
      </c>
      <c r="O2772" s="48" t="str">
        <f aca="false">IF($A2772="","",IF(NOT(ISNUMBER(F2772)),"Wert fehlt; ",IF(F2772&lt;=0,"Wert ist 0; ",""))&amp;IF(NOT(ISNUMBER(E2772)),"Bestand fehlt; ",IF(E2772&lt;0,"Bestand negativ; ",IF(E2772=0,"Nullbestand; ","")))&amp;IF(D2772="","Warengruppe fehlt; ","")&amp;IF(B2772="","Bezeichnung fehlt; ","")&amp;IF(COUNTIFS($A$2:$A$5001,$A2772,$C$2:$C$5001,C2772)&gt;1,"Artikel doppelt im selben Lager; ",""))</f>
        <v/>
      </c>
      <c r="P2772" s="47" t="n">
        <f aca="false">IF(OR($A2772="",D2772=""),0,IF(COUNTIF($D$2:D2772,D2772)=1,SUMIF($D$2:$D$5001,D2772,$H$2:$H$5001)+ROW()/10000000,0))</f>
        <v>0</v>
      </c>
      <c r="Q2772" s="47" t="n">
        <f aca="false">IF(OR($A2772="",C2772=""),0,IF(COUNTIF($C$2:C2772,C2772)=1,SUMIF($C$2:$C$5001,C2772,$H$2:$H$5001)+ROW()/10000000,0))</f>
        <v>0</v>
      </c>
    </row>
    <row r="2773" customFormat="false" ht="15" hidden="false" customHeight="false" outlineLevel="0" collapsed="false">
      <c r="A2773" s="43"/>
      <c r="B2773" s="44"/>
      <c r="C2773" s="44"/>
      <c r="D2773" s="44"/>
      <c r="E2773" s="44"/>
      <c r="F2773" s="44"/>
      <c r="G2773" s="44"/>
      <c r="H2773" s="46" t="str">
        <f aca="false">IF($A2773="","",IF(OR(NOT(ISNUMBER(E2773)),NOT(ISNUMBER(F2773))),"",MAX(0,E2773)*F2773))</f>
        <v/>
      </c>
      <c r="I2773" s="46" t="str">
        <f aca="false">IF($A2773="","",SUMIF($A$2:$A$5001,$A2773,$H$2:$H$5001))</f>
        <v/>
      </c>
      <c r="J2773" s="47" t="n">
        <f aca="false">IF($A2773="",0,IF(COUNTIF($A$2:A2773,$A2773)=1,1,0))</f>
        <v>0</v>
      </c>
      <c r="K2773" s="47" t="n">
        <f aca="false">IF(J2773=1,N(I2773)+ROW()/10000000,0)</f>
        <v>0</v>
      </c>
      <c r="L2773" s="47" t="str">
        <f aca="false">IF(AND(J2773=1,N(I2773)&gt;0),SUMIF($K$2:$K$5001,"&gt;="&amp;K2773,$I$2:$I$5001)/MAX(1,SUM($H$2:$H$5001)),"")</f>
        <v/>
      </c>
      <c r="M2773" s="47" t="str">
        <f aca="false">IF($A2773="","",INDEX($L$2:$L$5001,MATCH($A2773,$A$2:$A$5001,0)))</f>
        <v/>
      </c>
      <c r="N2773" s="48" t="str">
        <f aca="false">IF($A2773="","",IF(N(M2773)=0,"–",IF(M2773&lt;=Start!$D$20,"A",IF(M2773&lt;=Start!$D$21,"B","C"))))</f>
        <v/>
      </c>
      <c r="O2773" s="48" t="str">
        <f aca="false">IF($A2773="","",IF(NOT(ISNUMBER(F2773)),"Wert fehlt; ",IF(F2773&lt;=0,"Wert ist 0; ",""))&amp;IF(NOT(ISNUMBER(E2773)),"Bestand fehlt; ",IF(E2773&lt;0,"Bestand negativ; ",IF(E2773=0,"Nullbestand; ","")))&amp;IF(D2773="","Warengruppe fehlt; ","")&amp;IF(B2773="","Bezeichnung fehlt; ","")&amp;IF(COUNTIFS($A$2:$A$5001,$A2773,$C$2:$C$5001,C2773)&gt;1,"Artikel doppelt im selben Lager; ",""))</f>
        <v/>
      </c>
      <c r="P2773" s="47" t="n">
        <f aca="false">IF(OR($A2773="",D2773=""),0,IF(COUNTIF($D$2:D2773,D2773)=1,SUMIF($D$2:$D$5001,D2773,$H$2:$H$5001)+ROW()/10000000,0))</f>
        <v>0</v>
      </c>
      <c r="Q2773" s="47" t="n">
        <f aca="false">IF(OR($A2773="",C2773=""),0,IF(COUNTIF($C$2:C2773,C2773)=1,SUMIF($C$2:$C$5001,C2773,$H$2:$H$5001)+ROW()/10000000,0))</f>
        <v>0</v>
      </c>
    </row>
    <row r="2774" customFormat="false" ht="15" hidden="false" customHeight="false" outlineLevel="0" collapsed="false">
      <c r="A2774" s="43"/>
      <c r="B2774" s="44"/>
      <c r="C2774" s="44"/>
      <c r="D2774" s="44"/>
      <c r="E2774" s="44"/>
      <c r="F2774" s="44"/>
      <c r="G2774" s="44"/>
      <c r="H2774" s="46" t="str">
        <f aca="false">IF($A2774="","",IF(OR(NOT(ISNUMBER(E2774)),NOT(ISNUMBER(F2774))),"",MAX(0,E2774)*F2774))</f>
        <v/>
      </c>
      <c r="I2774" s="46" t="str">
        <f aca="false">IF($A2774="","",SUMIF($A$2:$A$5001,$A2774,$H$2:$H$5001))</f>
        <v/>
      </c>
      <c r="J2774" s="47" t="n">
        <f aca="false">IF($A2774="",0,IF(COUNTIF($A$2:A2774,$A2774)=1,1,0))</f>
        <v>0</v>
      </c>
      <c r="K2774" s="47" t="n">
        <f aca="false">IF(J2774=1,N(I2774)+ROW()/10000000,0)</f>
        <v>0</v>
      </c>
      <c r="L2774" s="47" t="str">
        <f aca="false">IF(AND(J2774=1,N(I2774)&gt;0),SUMIF($K$2:$K$5001,"&gt;="&amp;K2774,$I$2:$I$5001)/MAX(1,SUM($H$2:$H$5001)),"")</f>
        <v/>
      </c>
      <c r="M2774" s="47" t="str">
        <f aca="false">IF($A2774="","",INDEX($L$2:$L$5001,MATCH($A2774,$A$2:$A$5001,0)))</f>
        <v/>
      </c>
      <c r="N2774" s="48" t="str">
        <f aca="false">IF($A2774="","",IF(N(M2774)=0,"–",IF(M2774&lt;=Start!$D$20,"A",IF(M2774&lt;=Start!$D$21,"B","C"))))</f>
        <v/>
      </c>
      <c r="O2774" s="48" t="str">
        <f aca="false">IF($A2774="","",IF(NOT(ISNUMBER(F2774)),"Wert fehlt; ",IF(F2774&lt;=0,"Wert ist 0; ",""))&amp;IF(NOT(ISNUMBER(E2774)),"Bestand fehlt; ",IF(E2774&lt;0,"Bestand negativ; ",IF(E2774=0,"Nullbestand; ","")))&amp;IF(D2774="","Warengruppe fehlt; ","")&amp;IF(B2774="","Bezeichnung fehlt; ","")&amp;IF(COUNTIFS($A$2:$A$5001,$A2774,$C$2:$C$5001,C2774)&gt;1,"Artikel doppelt im selben Lager; ",""))</f>
        <v/>
      </c>
      <c r="P2774" s="47" t="n">
        <f aca="false">IF(OR($A2774="",D2774=""),0,IF(COUNTIF($D$2:D2774,D2774)=1,SUMIF($D$2:$D$5001,D2774,$H$2:$H$5001)+ROW()/10000000,0))</f>
        <v>0</v>
      </c>
      <c r="Q2774" s="47" t="n">
        <f aca="false">IF(OR($A2774="",C2774=""),0,IF(COUNTIF($C$2:C2774,C2774)=1,SUMIF($C$2:$C$5001,C2774,$H$2:$H$5001)+ROW()/10000000,0))</f>
        <v>0</v>
      </c>
    </row>
    <row r="2775" customFormat="false" ht="15" hidden="false" customHeight="false" outlineLevel="0" collapsed="false">
      <c r="A2775" s="43"/>
      <c r="B2775" s="44"/>
      <c r="C2775" s="44"/>
      <c r="D2775" s="44"/>
      <c r="E2775" s="44"/>
      <c r="F2775" s="44"/>
      <c r="G2775" s="44"/>
      <c r="H2775" s="46" t="str">
        <f aca="false">IF($A2775="","",IF(OR(NOT(ISNUMBER(E2775)),NOT(ISNUMBER(F2775))),"",MAX(0,E2775)*F2775))</f>
        <v/>
      </c>
      <c r="I2775" s="46" t="str">
        <f aca="false">IF($A2775="","",SUMIF($A$2:$A$5001,$A2775,$H$2:$H$5001))</f>
        <v/>
      </c>
      <c r="J2775" s="47" t="n">
        <f aca="false">IF($A2775="",0,IF(COUNTIF($A$2:A2775,$A2775)=1,1,0))</f>
        <v>0</v>
      </c>
      <c r="K2775" s="47" t="n">
        <f aca="false">IF(J2775=1,N(I2775)+ROW()/10000000,0)</f>
        <v>0</v>
      </c>
      <c r="L2775" s="47" t="str">
        <f aca="false">IF(AND(J2775=1,N(I2775)&gt;0),SUMIF($K$2:$K$5001,"&gt;="&amp;K2775,$I$2:$I$5001)/MAX(1,SUM($H$2:$H$5001)),"")</f>
        <v/>
      </c>
      <c r="M2775" s="47" t="str">
        <f aca="false">IF($A2775="","",INDEX($L$2:$L$5001,MATCH($A2775,$A$2:$A$5001,0)))</f>
        <v/>
      </c>
      <c r="N2775" s="48" t="str">
        <f aca="false">IF($A2775="","",IF(N(M2775)=0,"–",IF(M2775&lt;=Start!$D$20,"A",IF(M2775&lt;=Start!$D$21,"B","C"))))</f>
        <v/>
      </c>
      <c r="O2775" s="48" t="str">
        <f aca="false">IF($A2775="","",IF(NOT(ISNUMBER(F2775)),"Wert fehlt; ",IF(F2775&lt;=0,"Wert ist 0; ",""))&amp;IF(NOT(ISNUMBER(E2775)),"Bestand fehlt; ",IF(E2775&lt;0,"Bestand negativ; ",IF(E2775=0,"Nullbestand; ","")))&amp;IF(D2775="","Warengruppe fehlt; ","")&amp;IF(B2775="","Bezeichnung fehlt; ","")&amp;IF(COUNTIFS($A$2:$A$5001,$A2775,$C$2:$C$5001,C2775)&gt;1,"Artikel doppelt im selben Lager; ",""))</f>
        <v/>
      </c>
      <c r="P2775" s="47" t="n">
        <f aca="false">IF(OR($A2775="",D2775=""),0,IF(COUNTIF($D$2:D2775,D2775)=1,SUMIF($D$2:$D$5001,D2775,$H$2:$H$5001)+ROW()/10000000,0))</f>
        <v>0</v>
      </c>
      <c r="Q2775" s="47" t="n">
        <f aca="false">IF(OR($A2775="",C2775=""),0,IF(COUNTIF($C$2:C2775,C2775)=1,SUMIF($C$2:$C$5001,C2775,$H$2:$H$5001)+ROW()/10000000,0))</f>
        <v>0</v>
      </c>
    </row>
    <row r="2776" customFormat="false" ht="15" hidden="false" customHeight="false" outlineLevel="0" collapsed="false">
      <c r="A2776" s="43"/>
      <c r="B2776" s="44"/>
      <c r="C2776" s="44"/>
      <c r="D2776" s="44"/>
      <c r="E2776" s="44"/>
      <c r="F2776" s="44"/>
      <c r="G2776" s="44"/>
      <c r="H2776" s="46" t="str">
        <f aca="false">IF($A2776="","",IF(OR(NOT(ISNUMBER(E2776)),NOT(ISNUMBER(F2776))),"",MAX(0,E2776)*F2776))</f>
        <v/>
      </c>
      <c r="I2776" s="46" t="str">
        <f aca="false">IF($A2776="","",SUMIF($A$2:$A$5001,$A2776,$H$2:$H$5001))</f>
        <v/>
      </c>
      <c r="J2776" s="47" t="n">
        <f aca="false">IF($A2776="",0,IF(COUNTIF($A$2:A2776,$A2776)=1,1,0))</f>
        <v>0</v>
      </c>
      <c r="K2776" s="47" t="n">
        <f aca="false">IF(J2776=1,N(I2776)+ROW()/10000000,0)</f>
        <v>0</v>
      </c>
      <c r="L2776" s="47" t="str">
        <f aca="false">IF(AND(J2776=1,N(I2776)&gt;0),SUMIF($K$2:$K$5001,"&gt;="&amp;K2776,$I$2:$I$5001)/MAX(1,SUM($H$2:$H$5001)),"")</f>
        <v/>
      </c>
      <c r="M2776" s="47" t="str">
        <f aca="false">IF($A2776="","",INDEX($L$2:$L$5001,MATCH($A2776,$A$2:$A$5001,0)))</f>
        <v/>
      </c>
      <c r="N2776" s="48" t="str">
        <f aca="false">IF($A2776="","",IF(N(M2776)=0,"–",IF(M2776&lt;=Start!$D$20,"A",IF(M2776&lt;=Start!$D$21,"B","C"))))</f>
        <v/>
      </c>
      <c r="O2776" s="48" t="str">
        <f aca="false">IF($A2776="","",IF(NOT(ISNUMBER(F2776)),"Wert fehlt; ",IF(F2776&lt;=0,"Wert ist 0; ",""))&amp;IF(NOT(ISNUMBER(E2776)),"Bestand fehlt; ",IF(E2776&lt;0,"Bestand negativ; ",IF(E2776=0,"Nullbestand; ","")))&amp;IF(D2776="","Warengruppe fehlt; ","")&amp;IF(B2776="","Bezeichnung fehlt; ","")&amp;IF(COUNTIFS($A$2:$A$5001,$A2776,$C$2:$C$5001,C2776)&gt;1,"Artikel doppelt im selben Lager; ",""))</f>
        <v/>
      </c>
      <c r="P2776" s="47" t="n">
        <f aca="false">IF(OR($A2776="",D2776=""),0,IF(COUNTIF($D$2:D2776,D2776)=1,SUMIF($D$2:$D$5001,D2776,$H$2:$H$5001)+ROW()/10000000,0))</f>
        <v>0</v>
      </c>
      <c r="Q2776" s="47" t="n">
        <f aca="false">IF(OR($A2776="",C2776=""),0,IF(COUNTIF($C$2:C2776,C2776)=1,SUMIF($C$2:$C$5001,C2776,$H$2:$H$5001)+ROW()/10000000,0))</f>
        <v>0</v>
      </c>
    </row>
    <row r="2777" customFormat="false" ht="15" hidden="false" customHeight="false" outlineLevel="0" collapsed="false">
      <c r="A2777" s="43"/>
      <c r="B2777" s="44"/>
      <c r="C2777" s="44"/>
      <c r="D2777" s="44"/>
      <c r="E2777" s="44"/>
      <c r="F2777" s="44"/>
      <c r="G2777" s="44"/>
      <c r="H2777" s="46" t="str">
        <f aca="false">IF($A2777="","",IF(OR(NOT(ISNUMBER(E2777)),NOT(ISNUMBER(F2777))),"",MAX(0,E2777)*F2777))</f>
        <v/>
      </c>
      <c r="I2777" s="46" t="str">
        <f aca="false">IF($A2777="","",SUMIF($A$2:$A$5001,$A2777,$H$2:$H$5001))</f>
        <v/>
      </c>
      <c r="J2777" s="47" t="n">
        <f aca="false">IF($A2777="",0,IF(COUNTIF($A$2:A2777,$A2777)=1,1,0))</f>
        <v>0</v>
      </c>
      <c r="K2777" s="47" t="n">
        <f aca="false">IF(J2777=1,N(I2777)+ROW()/10000000,0)</f>
        <v>0</v>
      </c>
      <c r="L2777" s="47" t="str">
        <f aca="false">IF(AND(J2777=1,N(I2777)&gt;0),SUMIF($K$2:$K$5001,"&gt;="&amp;K2777,$I$2:$I$5001)/MAX(1,SUM($H$2:$H$5001)),"")</f>
        <v/>
      </c>
      <c r="M2777" s="47" t="str">
        <f aca="false">IF($A2777="","",INDEX($L$2:$L$5001,MATCH($A2777,$A$2:$A$5001,0)))</f>
        <v/>
      </c>
      <c r="N2777" s="48" t="str">
        <f aca="false">IF($A2777="","",IF(N(M2777)=0,"–",IF(M2777&lt;=Start!$D$20,"A",IF(M2777&lt;=Start!$D$21,"B","C"))))</f>
        <v/>
      </c>
      <c r="O2777" s="48" t="str">
        <f aca="false">IF($A2777="","",IF(NOT(ISNUMBER(F2777)),"Wert fehlt; ",IF(F2777&lt;=0,"Wert ist 0; ",""))&amp;IF(NOT(ISNUMBER(E2777)),"Bestand fehlt; ",IF(E2777&lt;0,"Bestand negativ; ",IF(E2777=0,"Nullbestand; ","")))&amp;IF(D2777="","Warengruppe fehlt; ","")&amp;IF(B2777="","Bezeichnung fehlt; ","")&amp;IF(COUNTIFS($A$2:$A$5001,$A2777,$C$2:$C$5001,C2777)&gt;1,"Artikel doppelt im selben Lager; ",""))</f>
        <v/>
      </c>
      <c r="P2777" s="47" t="n">
        <f aca="false">IF(OR($A2777="",D2777=""),0,IF(COUNTIF($D$2:D2777,D2777)=1,SUMIF($D$2:$D$5001,D2777,$H$2:$H$5001)+ROW()/10000000,0))</f>
        <v>0</v>
      </c>
      <c r="Q2777" s="47" t="n">
        <f aca="false">IF(OR($A2777="",C2777=""),0,IF(COUNTIF($C$2:C2777,C2777)=1,SUMIF($C$2:$C$5001,C2777,$H$2:$H$5001)+ROW()/10000000,0))</f>
        <v>0</v>
      </c>
    </row>
    <row r="2778" customFormat="false" ht="15" hidden="false" customHeight="false" outlineLevel="0" collapsed="false">
      <c r="A2778" s="43"/>
      <c r="B2778" s="44"/>
      <c r="C2778" s="44"/>
      <c r="D2778" s="44"/>
      <c r="E2778" s="44"/>
      <c r="F2778" s="44"/>
      <c r="G2778" s="44"/>
      <c r="H2778" s="46" t="str">
        <f aca="false">IF($A2778="","",IF(OR(NOT(ISNUMBER(E2778)),NOT(ISNUMBER(F2778))),"",MAX(0,E2778)*F2778))</f>
        <v/>
      </c>
      <c r="I2778" s="46" t="str">
        <f aca="false">IF($A2778="","",SUMIF($A$2:$A$5001,$A2778,$H$2:$H$5001))</f>
        <v/>
      </c>
      <c r="J2778" s="47" t="n">
        <f aca="false">IF($A2778="",0,IF(COUNTIF($A$2:A2778,$A2778)=1,1,0))</f>
        <v>0</v>
      </c>
      <c r="K2778" s="47" t="n">
        <f aca="false">IF(J2778=1,N(I2778)+ROW()/10000000,0)</f>
        <v>0</v>
      </c>
      <c r="L2778" s="47" t="str">
        <f aca="false">IF(AND(J2778=1,N(I2778)&gt;0),SUMIF($K$2:$K$5001,"&gt;="&amp;K2778,$I$2:$I$5001)/MAX(1,SUM($H$2:$H$5001)),"")</f>
        <v/>
      </c>
      <c r="M2778" s="47" t="str">
        <f aca="false">IF($A2778="","",INDEX($L$2:$L$5001,MATCH($A2778,$A$2:$A$5001,0)))</f>
        <v/>
      </c>
      <c r="N2778" s="48" t="str">
        <f aca="false">IF($A2778="","",IF(N(M2778)=0,"–",IF(M2778&lt;=Start!$D$20,"A",IF(M2778&lt;=Start!$D$21,"B","C"))))</f>
        <v/>
      </c>
      <c r="O2778" s="48" t="str">
        <f aca="false">IF($A2778="","",IF(NOT(ISNUMBER(F2778)),"Wert fehlt; ",IF(F2778&lt;=0,"Wert ist 0; ",""))&amp;IF(NOT(ISNUMBER(E2778)),"Bestand fehlt; ",IF(E2778&lt;0,"Bestand negativ; ",IF(E2778=0,"Nullbestand; ","")))&amp;IF(D2778="","Warengruppe fehlt; ","")&amp;IF(B2778="","Bezeichnung fehlt; ","")&amp;IF(COUNTIFS($A$2:$A$5001,$A2778,$C$2:$C$5001,C2778)&gt;1,"Artikel doppelt im selben Lager; ",""))</f>
        <v/>
      </c>
      <c r="P2778" s="47" t="n">
        <f aca="false">IF(OR($A2778="",D2778=""),0,IF(COUNTIF($D$2:D2778,D2778)=1,SUMIF($D$2:$D$5001,D2778,$H$2:$H$5001)+ROW()/10000000,0))</f>
        <v>0</v>
      </c>
      <c r="Q2778" s="47" t="n">
        <f aca="false">IF(OR($A2778="",C2778=""),0,IF(COUNTIF($C$2:C2778,C2778)=1,SUMIF($C$2:$C$5001,C2778,$H$2:$H$5001)+ROW()/10000000,0))</f>
        <v>0</v>
      </c>
    </row>
    <row r="2779" customFormat="false" ht="15" hidden="false" customHeight="false" outlineLevel="0" collapsed="false">
      <c r="A2779" s="43"/>
      <c r="B2779" s="44"/>
      <c r="C2779" s="44"/>
      <c r="D2779" s="44"/>
      <c r="E2779" s="44"/>
      <c r="F2779" s="44"/>
      <c r="G2779" s="44"/>
      <c r="H2779" s="46" t="str">
        <f aca="false">IF($A2779="","",IF(OR(NOT(ISNUMBER(E2779)),NOT(ISNUMBER(F2779))),"",MAX(0,E2779)*F2779))</f>
        <v/>
      </c>
      <c r="I2779" s="46" t="str">
        <f aca="false">IF($A2779="","",SUMIF($A$2:$A$5001,$A2779,$H$2:$H$5001))</f>
        <v/>
      </c>
      <c r="J2779" s="47" t="n">
        <f aca="false">IF($A2779="",0,IF(COUNTIF($A$2:A2779,$A2779)=1,1,0))</f>
        <v>0</v>
      </c>
      <c r="K2779" s="47" t="n">
        <f aca="false">IF(J2779=1,N(I2779)+ROW()/10000000,0)</f>
        <v>0</v>
      </c>
      <c r="L2779" s="47" t="str">
        <f aca="false">IF(AND(J2779=1,N(I2779)&gt;0),SUMIF($K$2:$K$5001,"&gt;="&amp;K2779,$I$2:$I$5001)/MAX(1,SUM($H$2:$H$5001)),"")</f>
        <v/>
      </c>
      <c r="M2779" s="47" t="str">
        <f aca="false">IF($A2779="","",INDEX($L$2:$L$5001,MATCH($A2779,$A$2:$A$5001,0)))</f>
        <v/>
      </c>
      <c r="N2779" s="48" t="str">
        <f aca="false">IF($A2779="","",IF(N(M2779)=0,"–",IF(M2779&lt;=Start!$D$20,"A",IF(M2779&lt;=Start!$D$21,"B","C"))))</f>
        <v/>
      </c>
      <c r="O2779" s="48" t="str">
        <f aca="false">IF($A2779="","",IF(NOT(ISNUMBER(F2779)),"Wert fehlt; ",IF(F2779&lt;=0,"Wert ist 0; ",""))&amp;IF(NOT(ISNUMBER(E2779)),"Bestand fehlt; ",IF(E2779&lt;0,"Bestand negativ; ",IF(E2779=0,"Nullbestand; ","")))&amp;IF(D2779="","Warengruppe fehlt; ","")&amp;IF(B2779="","Bezeichnung fehlt; ","")&amp;IF(COUNTIFS($A$2:$A$5001,$A2779,$C$2:$C$5001,C2779)&gt;1,"Artikel doppelt im selben Lager; ",""))</f>
        <v/>
      </c>
      <c r="P2779" s="47" t="n">
        <f aca="false">IF(OR($A2779="",D2779=""),0,IF(COUNTIF($D$2:D2779,D2779)=1,SUMIF($D$2:$D$5001,D2779,$H$2:$H$5001)+ROW()/10000000,0))</f>
        <v>0</v>
      </c>
      <c r="Q2779" s="47" t="n">
        <f aca="false">IF(OR($A2779="",C2779=""),0,IF(COUNTIF($C$2:C2779,C2779)=1,SUMIF($C$2:$C$5001,C2779,$H$2:$H$5001)+ROW()/10000000,0))</f>
        <v>0</v>
      </c>
    </row>
    <row r="2780" customFormat="false" ht="15" hidden="false" customHeight="false" outlineLevel="0" collapsed="false">
      <c r="A2780" s="43"/>
      <c r="B2780" s="44"/>
      <c r="C2780" s="44"/>
      <c r="D2780" s="44"/>
      <c r="E2780" s="44"/>
      <c r="F2780" s="44"/>
      <c r="G2780" s="44"/>
      <c r="H2780" s="46" t="str">
        <f aca="false">IF($A2780="","",IF(OR(NOT(ISNUMBER(E2780)),NOT(ISNUMBER(F2780))),"",MAX(0,E2780)*F2780))</f>
        <v/>
      </c>
      <c r="I2780" s="46" t="str">
        <f aca="false">IF($A2780="","",SUMIF($A$2:$A$5001,$A2780,$H$2:$H$5001))</f>
        <v/>
      </c>
      <c r="J2780" s="47" t="n">
        <f aca="false">IF($A2780="",0,IF(COUNTIF($A$2:A2780,$A2780)=1,1,0))</f>
        <v>0</v>
      </c>
      <c r="K2780" s="47" t="n">
        <f aca="false">IF(J2780=1,N(I2780)+ROW()/10000000,0)</f>
        <v>0</v>
      </c>
      <c r="L2780" s="47" t="str">
        <f aca="false">IF(AND(J2780=1,N(I2780)&gt;0),SUMIF($K$2:$K$5001,"&gt;="&amp;K2780,$I$2:$I$5001)/MAX(1,SUM($H$2:$H$5001)),"")</f>
        <v/>
      </c>
      <c r="M2780" s="47" t="str">
        <f aca="false">IF($A2780="","",INDEX($L$2:$L$5001,MATCH($A2780,$A$2:$A$5001,0)))</f>
        <v/>
      </c>
      <c r="N2780" s="48" t="str">
        <f aca="false">IF($A2780="","",IF(N(M2780)=0,"–",IF(M2780&lt;=Start!$D$20,"A",IF(M2780&lt;=Start!$D$21,"B","C"))))</f>
        <v/>
      </c>
      <c r="O2780" s="48" t="str">
        <f aca="false">IF($A2780="","",IF(NOT(ISNUMBER(F2780)),"Wert fehlt; ",IF(F2780&lt;=0,"Wert ist 0; ",""))&amp;IF(NOT(ISNUMBER(E2780)),"Bestand fehlt; ",IF(E2780&lt;0,"Bestand negativ; ",IF(E2780=0,"Nullbestand; ","")))&amp;IF(D2780="","Warengruppe fehlt; ","")&amp;IF(B2780="","Bezeichnung fehlt; ","")&amp;IF(COUNTIFS($A$2:$A$5001,$A2780,$C$2:$C$5001,C2780)&gt;1,"Artikel doppelt im selben Lager; ",""))</f>
        <v/>
      </c>
      <c r="P2780" s="47" t="n">
        <f aca="false">IF(OR($A2780="",D2780=""),0,IF(COUNTIF($D$2:D2780,D2780)=1,SUMIF($D$2:$D$5001,D2780,$H$2:$H$5001)+ROW()/10000000,0))</f>
        <v>0</v>
      </c>
      <c r="Q2780" s="47" t="n">
        <f aca="false">IF(OR($A2780="",C2780=""),0,IF(COUNTIF($C$2:C2780,C2780)=1,SUMIF($C$2:$C$5001,C2780,$H$2:$H$5001)+ROW()/10000000,0))</f>
        <v>0</v>
      </c>
    </row>
    <row r="2781" customFormat="false" ht="15" hidden="false" customHeight="false" outlineLevel="0" collapsed="false">
      <c r="A2781" s="43"/>
      <c r="B2781" s="44"/>
      <c r="C2781" s="44"/>
      <c r="D2781" s="44"/>
      <c r="E2781" s="44"/>
      <c r="F2781" s="44"/>
      <c r="G2781" s="44"/>
      <c r="H2781" s="46" t="str">
        <f aca="false">IF($A2781="","",IF(OR(NOT(ISNUMBER(E2781)),NOT(ISNUMBER(F2781))),"",MAX(0,E2781)*F2781))</f>
        <v/>
      </c>
      <c r="I2781" s="46" t="str">
        <f aca="false">IF($A2781="","",SUMIF($A$2:$A$5001,$A2781,$H$2:$H$5001))</f>
        <v/>
      </c>
      <c r="J2781" s="47" t="n">
        <f aca="false">IF($A2781="",0,IF(COUNTIF($A$2:A2781,$A2781)=1,1,0))</f>
        <v>0</v>
      </c>
      <c r="K2781" s="47" t="n">
        <f aca="false">IF(J2781=1,N(I2781)+ROW()/10000000,0)</f>
        <v>0</v>
      </c>
      <c r="L2781" s="47" t="str">
        <f aca="false">IF(AND(J2781=1,N(I2781)&gt;0),SUMIF($K$2:$K$5001,"&gt;="&amp;K2781,$I$2:$I$5001)/MAX(1,SUM($H$2:$H$5001)),"")</f>
        <v/>
      </c>
      <c r="M2781" s="47" t="str">
        <f aca="false">IF($A2781="","",INDEX($L$2:$L$5001,MATCH($A2781,$A$2:$A$5001,0)))</f>
        <v/>
      </c>
      <c r="N2781" s="48" t="str">
        <f aca="false">IF($A2781="","",IF(N(M2781)=0,"–",IF(M2781&lt;=Start!$D$20,"A",IF(M2781&lt;=Start!$D$21,"B","C"))))</f>
        <v/>
      </c>
      <c r="O2781" s="48" t="str">
        <f aca="false">IF($A2781="","",IF(NOT(ISNUMBER(F2781)),"Wert fehlt; ",IF(F2781&lt;=0,"Wert ist 0; ",""))&amp;IF(NOT(ISNUMBER(E2781)),"Bestand fehlt; ",IF(E2781&lt;0,"Bestand negativ; ",IF(E2781=0,"Nullbestand; ","")))&amp;IF(D2781="","Warengruppe fehlt; ","")&amp;IF(B2781="","Bezeichnung fehlt; ","")&amp;IF(COUNTIFS($A$2:$A$5001,$A2781,$C$2:$C$5001,C2781)&gt;1,"Artikel doppelt im selben Lager; ",""))</f>
        <v/>
      </c>
      <c r="P2781" s="47" t="n">
        <f aca="false">IF(OR($A2781="",D2781=""),0,IF(COUNTIF($D$2:D2781,D2781)=1,SUMIF($D$2:$D$5001,D2781,$H$2:$H$5001)+ROW()/10000000,0))</f>
        <v>0</v>
      </c>
      <c r="Q2781" s="47" t="n">
        <f aca="false">IF(OR($A2781="",C2781=""),0,IF(COUNTIF($C$2:C2781,C2781)=1,SUMIF($C$2:$C$5001,C2781,$H$2:$H$5001)+ROW()/10000000,0))</f>
        <v>0</v>
      </c>
    </row>
    <row r="2782" customFormat="false" ht="15" hidden="false" customHeight="false" outlineLevel="0" collapsed="false">
      <c r="A2782" s="43"/>
      <c r="B2782" s="44"/>
      <c r="C2782" s="44"/>
      <c r="D2782" s="44"/>
      <c r="E2782" s="44"/>
      <c r="F2782" s="44"/>
      <c r="G2782" s="44"/>
      <c r="H2782" s="46" t="str">
        <f aca="false">IF($A2782="","",IF(OR(NOT(ISNUMBER(E2782)),NOT(ISNUMBER(F2782))),"",MAX(0,E2782)*F2782))</f>
        <v/>
      </c>
      <c r="I2782" s="46" t="str">
        <f aca="false">IF($A2782="","",SUMIF($A$2:$A$5001,$A2782,$H$2:$H$5001))</f>
        <v/>
      </c>
      <c r="J2782" s="47" t="n">
        <f aca="false">IF($A2782="",0,IF(COUNTIF($A$2:A2782,$A2782)=1,1,0))</f>
        <v>0</v>
      </c>
      <c r="K2782" s="47" t="n">
        <f aca="false">IF(J2782=1,N(I2782)+ROW()/10000000,0)</f>
        <v>0</v>
      </c>
      <c r="L2782" s="47" t="str">
        <f aca="false">IF(AND(J2782=1,N(I2782)&gt;0),SUMIF($K$2:$K$5001,"&gt;="&amp;K2782,$I$2:$I$5001)/MAX(1,SUM($H$2:$H$5001)),"")</f>
        <v/>
      </c>
      <c r="M2782" s="47" t="str">
        <f aca="false">IF($A2782="","",INDEX($L$2:$L$5001,MATCH($A2782,$A$2:$A$5001,0)))</f>
        <v/>
      </c>
      <c r="N2782" s="48" t="str">
        <f aca="false">IF($A2782="","",IF(N(M2782)=0,"–",IF(M2782&lt;=Start!$D$20,"A",IF(M2782&lt;=Start!$D$21,"B","C"))))</f>
        <v/>
      </c>
      <c r="O2782" s="48" t="str">
        <f aca="false">IF($A2782="","",IF(NOT(ISNUMBER(F2782)),"Wert fehlt; ",IF(F2782&lt;=0,"Wert ist 0; ",""))&amp;IF(NOT(ISNUMBER(E2782)),"Bestand fehlt; ",IF(E2782&lt;0,"Bestand negativ; ",IF(E2782=0,"Nullbestand; ","")))&amp;IF(D2782="","Warengruppe fehlt; ","")&amp;IF(B2782="","Bezeichnung fehlt; ","")&amp;IF(COUNTIFS($A$2:$A$5001,$A2782,$C$2:$C$5001,C2782)&gt;1,"Artikel doppelt im selben Lager; ",""))</f>
        <v/>
      </c>
      <c r="P2782" s="47" t="n">
        <f aca="false">IF(OR($A2782="",D2782=""),0,IF(COUNTIF($D$2:D2782,D2782)=1,SUMIF($D$2:$D$5001,D2782,$H$2:$H$5001)+ROW()/10000000,0))</f>
        <v>0</v>
      </c>
      <c r="Q2782" s="47" t="n">
        <f aca="false">IF(OR($A2782="",C2782=""),0,IF(COUNTIF($C$2:C2782,C2782)=1,SUMIF($C$2:$C$5001,C2782,$H$2:$H$5001)+ROW()/10000000,0))</f>
        <v>0</v>
      </c>
    </row>
    <row r="2783" customFormat="false" ht="15" hidden="false" customHeight="false" outlineLevel="0" collapsed="false">
      <c r="A2783" s="43"/>
      <c r="B2783" s="44"/>
      <c r="C2783" s="44"/>
      <c r="D2783" s="44"/>
      <c r="E2783" s="44"/>
      <c r="F2783" s="44"/>
      <c r="G2783" s="44"/>
      <c r="H2783" s="46" t="str">
        <f aca="false">IF($A2783="","",IF(OR(NOT(ISNUMBER(E2783)),NOT(ISNUMBER(F2783))),"",MAX(0,E2783)*F2783))</f>
        <v/>
      </c>
      <c r="I2783" s="46" t="str">
        <f aca="false">IF($A2783="","",SUMIF($A$2:$A$5001,$A2783,$H$2:$H$5001))</f>
        <v/>
      </c>
      <c r="J2783" s="47" t="n">
        <f aca="false">IF($A2783="",0,IF(COUNTIF($A$2:A2783,$A2783)=1,1,0))</f>
        <v>0</v>
      </c>
      <c r="K2783" s="47" t="n">
        <f aca="false">IF(J2783=1,N(I2783)+ROW()/10000000,0)</f>
        <v>0</v>
      </c>
      <c r="L2783" s="47" t="str">
        <f aca="false">IF(AND(J2783=1,N(I2783)&gt;0),SUMIF($K$2:$K$5001,"&gt;="&amp;K2783,$I$2:$I$5001)/MAX(1,SUM($H$2:$H$5001)),"")</f>
        <v/>
      </c>
      <c r="M2783" s="47" t="str">
        <f aca="false">IF($A2783="","",INDEX($L$2:$L$5001,MATCH($A2783,$A$2:$A$5001,0)))</f>
        <v/>
      </c>
      <c r="N2783" s="48" t="str">
        <f aca="false">IF($A2783="","",IF(N(M2783)=0,"–",IF(M2783&lt;=Start!$D$20,"A",IF(M2783&lt;=Start!$D$21,"B","C"))))</f>
        <v/>
      </c>
      <c r="O2783" s="48" t="str">
        <f aca="false">IF($A2783="","",IF(NOT(ISNUMBER(F2783)),"Wert fehlt; ",IF(F2783&lt;=0,"Wert ist 0; ",""))&amp;IF(NOT(ISNUMBER(E2783)),"Bestand fehlt; ",IF(E2783&lt;0,"Bestand negativ; ",IF(E2783=0,"Nullbestand; ","")))&amp;IF(D2783="","Warengruppe fehlt; ","")&amp;IF(B2783="","Bezeichnung fehlt; ","")&amp;IF(COUNTIFS($A$2:$A$5001,$A2783,$C$2:$C$5001,C2783)&gt;1,"Artikel doppelt im selben Lager; ",""))</f>
        <v/>
      </c>
      <c r="P2783" s="47" t="n">
        <f aca="false">IF(OR($A2783="",D2783=""),0,IF(COUNTIF($D$2:D2783,D2783)=1,SUMIF($D$2:$D$5001,D2783,$H$2:$H$5001)+ROW()/10000000,0))</f>
        <v>0</v>
      </c>
      <c r="Q2783" s="47" t="n">
        <f aca="false">IF(OR($A2783="",C2783=""),0,IF(COUNTIF($C$2:C2783,C2783)=1,SUMIF($C$2:$C$5001,C2783,$H$2:$H$5001)+ROW()/10000000,0))</f>
        <v>0</v>
      </c>
    </row>
    <row r="2784" customFormat="false" ht="15" hidden="false" customHeight="false" outlineLevel="0" collapsed="false">
      <c r="A2784" s="43"/>
      <c r="B2784" s="44"/>
      <c r="C2784" s="44"/>
      <c r="D2784" s="44"/>
      <c r="E2784" s="44"/>
      <c r="F2784" s="44"/>
      <c r="G2784" s="44"/>
      <c r="H2784" s="46" t="str">
        <f aca="false">IF($A2784="","",IF(OR(NOT(ISNUMBER(E2784)),NOT(ISNUMBER(F2784))),"",MAX(0,E2784)*F2784))</f>
        <v/>
      </c>
      <c r="I2784" s="46" t="str">
        <f aca="false">IF($A2784="","",SUMIF($A$2:$A$5001,$A2784,$H$2:$H$5001))</f>
        <v/>
      </c>
      <c r="J2784" s="47" t="n">
        <f aca="false">IF($A2784="",0,IF(COUNTIF($A$2:A2784,$A2784)=1,1,0))</f>
        <v>0</v>
      </c>
      <c r="K2784" s="47" t="n">
        <f aca="false">IF(J2784=1,N(I2784)+ROW()/10000000,0)</f>
        <v>0</v>
      </c>
      <c r="L2784" s="47" t="str">
        <f aca="false">IF(AND(J2784=1,N(I2784)&gt;0),SUMIF($K$2:$K$5001,"&gt;="&amp;K2784,$I$2:$I$5001)/MAX(1,SUM($H$2:$H$5001)),"")</f>
        <v/>
      </c>
      <c r="M2784" s="47" t="str">
        <f aca="false">IF($A2784="","",INDEX($L$2:$L$5001,MATCH($A2784,$A$2:$A$5001,0)))</f>
        <v/>
      </c>
      <c r="N2784" s="48" t="str">
        <f aca="false">IF($A2784="","",IF(N(M2784)=0,"–",IF(M2784&lt;=Start!$D$20,"A",IF(M2784&lt;=Start!$D$21,"B","C"))))</f>
        <v/>
      </c>
      <c r="O2784" s="48" t="str">
        <f aca="false">IF($A2784="","",IF(NOT(ISNUMBER(F2784)),"Wert fehlt; ",IF(F2784&lt;=0,"Wert ist 0; ",""))&amp;IF(NOT(ISNUMBER(E2784)),"Bestand fehlt; ",IF(E2784&lt;0,"Bestand negativ; ",IF(E2784=0,"Nullbestand; ","")))&amp;IF(D2784="","Warengruppe fehlt; ","")&amp;IF(B2784="","Bezeichnung fehlt; ","")&amp;IF(COUNTIFS($A$2:$A$5001,$A2784,$C$2:$C$5001,C2784)&gt;1,"Artikel doppelt im selben Lager; ",""))</f>
        <v/>
      </c>
      <c r="P2784" s="47" t="n">
        <f aca="false">IF(OR($A2784="",D2784=""),0,IF(COUNTIF($D$2:D2784,D2784)=1,SUMIF($D$2:$D$5001,D2784,$H$2:$H$5001)+ROW()/10000000,0))</f>
        <v>0</v>
      </c>
      <c r="Q2784" s="47" t="n">
        <f aca="false">IF(OR($A2784="",C2784=""),0,IF(COUNTIF($C$2:C2784,C2784)=1,SUMIF($C$2:$C$5001,C2784,$H$2:$H$5001)+ROW()/10000000,0))</f>
        <v>0</v>
      </c>
    </row>
    <row r="2785" customFormat="false" ht="15" hidden="false" customHeight="false" outlineLevel="0" collapsed="false">
      <c r="A2785" s="43"/>
      <c r="B2785" s="44"/>
      <c r="C2785" s="44"/>
      <c r="D2785" s="44"/>
      <c r="E2785" s="44"/>
      <c r="F2785" s="44"/>
      <c r="G2785" s="44"/>
      <c r="H2785" s="46" t="str">
        <f aca="false">IF($A2785="","",IF(OR(NOT(ISNUMBER(E2785)),NOT(ISNUMBER(F2785))),"",MAX(0,E2785)*F2785))</f>
        <v/>
      </c>
      <c r="I2785" s="46" t="str">
        <f aca="false">IF($A2785="","",SUMIF($A$2:$A$5001,$A2785,$H$2:$H$5001))</f>
        <v/>
      </c>
      <c r="J2785" s="47" t="n">
        <f aca="false">IF($A2785="",0,IF(COUNTIF($A$2:A2785,$A2785)=1,1,0))</f>
        <v>0</v>
      </c>
      <c r="K2785" s="47" t="n">
        <f aca="false">IF(J2785=1,N(I2785)+ROW()/10000000,0)</f>
        <v>0</v>
      </c>
      <c r="L2785" s="47" t="str">
        <f aca="false">IF(AND(J2785=1,N(I2785)&gt;0),SUMIF($K$2:$K$5001,"&gt;="&amp;K2785,$I$2:$I$5001)/MAX(1,SUM($H$2:$H$5001)),"")</f>
        <v/>
      </c>
      <c r="M2785" s="47" t="str">
        <f aca="false">IF($A2785="","",INDEX($L$2:$L$5001,MATCH($A2785,$A$2:$A$5001,0)))</f>
        <v/>
      </c>
      <c r="N2785" s="48" t="str">
        <f aca="false">IF($A2785="","",IF(N(M2785)=0,"–",IF(M2785&lt;=Start!$D$20,"A",IF(M2785&lt;=Start!$D$21,"B","C"))))</f>
        <v/>
      </c>
      <c r="O2785" s="48" t="str">
        <f aca="false">IF($A2785="","",IF(NOT(ISNUMBER(F2785)),"Wert fehlt; ",IF(F2785&lt;=0,"Wert ist 0; ",""))&amp;IF(NOT(ISNUMBER(E2785)),"Bestand fehlt; ",IF(E2785&lt;0,"Bestand negativ; ",IF(E2785=0,"Nullbestand; ","")))&amp;IF(D2785="","Warengruppe fehlt; ","")&amp;IF(B2785="","Bezeichnung fehlt; ","")&amp;IF(COUNTIFS($A$2:$A$5001,$A2785,$C$2:$C$5001,C2785)&gt;1,"Artikel doppelt im selben Lager; ",""))</f>
        <v/>
      </c>
      <c r="P2785" s="47" t="n">
        <f aca="false">IF(OR($A2785="",D2785=""),0,IF(COUNTIF($D$2:D2785,D2785)=1,SUMIF($D$2:$D$5001,D2785,$H$2:$H$5001)+ROW()/10000000,0))</f>
        <v>0</v>
      </c>
      <c r="Q2785" s="47" t="n">
        <f aca="false">IF(OR($A2785="",C2785=""),0,IF(COUNTIF($C$2:C2785,C2785)=1,SUMIF($C$2:$C$5001,C2785,$H$2:$H$5001)+ROW()/10000000,0))</f>
        <v>0</v>
      </c>
    </row>
    <row r="2786" customFormat="false" ht="15" hidden="false" customHeight="false" outlineLevel="0" collapsed="false">
      <c r="A2786" s="43"/>
      <c r="B2786" s="44"/>
      <c r="C2786" s="44"/>
      <c r="D2786" s="44"/>
      <c r="E2786" s="44"/>
      <c r="F2786" s="44"/>
      <c r="G2786" s="44"/>
      <c r="H2786" s="46" t="str">
        <f aca="false">IF($A2786="","",IF(OR(NOT(ISNUMBER(E2786)),NOT(ISNUMBER(F2786))),"",MAX(0,E2786)*F2786))</f>
        <v/>
      </c>
      <c r="I2786" s="46" t="str">
        <f aca="false">IF($A2786="","",SUMIF($A$2:$A$5001,$A2786,$H$2:$H$5001))</f>
        <v/>
      </c>
      <c r="J2786" s="47" t="n">
        <f aca="false">IF($A2786="",0,IF(COUNTIF($A$2:A2786,$A2786)=1,1,0))</f>
        <v>0</v>
      </c>
      <c r="K2786" s="47" t="n">
        <f aca="false">IF(J2786=1,N(I2786)+ROW()/10000000,0)</f>
        <v>0</v>
      </c>
      <c r="L2786" s="47" t="str">
        <f aca="false">IF(AND(J2786=1,N(I2786)&gt;0),SUMIF($K$2:$K$5001,"&gt;="&amp;K2786,$I$2:$I$5001)/MAX(1,SUM($H$2:$H$5001)),"")</f>
        <v/>
      </c>
      <c r="M2786" s="47" t="str">
        <f aca="false">IF($A2786="","",INDEX($L$2:$L$5001,MATCH($A2786,$A$2:$A$5001,0)))</f>
        <v/>
      </c>
      <c r="N2786" s="48" t="str">
        <f aca="false">IF($A2786="","",IF(N(M2786)=0,"–",IF(M2786&lt;=Start!$D$20,"A",IF(M2786&lt;=Start!$D$21,"B","C"))))</f>
        <v/>
      </c>
      <c r="O2786" s="48" t="str">
        <f aca="false">IF($A2786="","",IF(NOT(ISNUMBER(F2786)),"Wert fehlt; ",IF(F2786&lt;=0,"Wert ist 0; ",""))&amp;IF(NOT(ISNUMBER(E2786)),"Bestand fehlt; ",IF(E2786&lt;0,"Bestand negativ; ",IF(E2786=0,"Nullbestand; ","")))&amp;IF(D2786="","Warengruppe fehlt; ","")&amp;IF(B2786="","Bezeichnung fehlt; ","")&amp;IF(COUNTIFS($A$2:$A$5001,$A2786,$C$2:$C$5001,C2786)&gt;1,"Artikel doppelt im selben Lager; ",""))</f>
        <v/>
      </c>
      <c r="P2786" s="47" t="n">
        <f aca="false">IF(OR($A2786="",D2786=""),0,IF(COUNTIF($D$2:D2786,D2786)=1,SUMIF($D$2:$D$5001,D2786,$H$2:$H$5001)+ROW()/10000000,0))</f>
        <v>0</v>
      </c>
      <c r="Q2786" s="47" t="n">
        <f aca="false">IF(OR($A2786="",C2786=""),0,IF(COUNTIF($C$2:C2786,C2786)=1,SUMIF($C$2:$C$5001,C2786,$H$2:$H$5001)+ROW()/10000000,0))</f>
        <v>0</v>
      </c>
    </row>
    <row r="2787" customFormat="false" ht="15" hidden="false" customHeight="false" outlineLevel="0" collapsed="false">
      <c r="A2787" s="43"/>
      <c r="B2787" s="44"/>
      <c r="C2787" s="44"/>
      <c r="D2787" s="44"/>
      <c r="E2787" s="44"/>
      <c r="F2787" s="44"/>
      <c r="G2787" s="44"/>
      <c r="H2787" s="46" t="str">
        <f aca="false">IF($A2787="","",IF(OR(NOT(ISNUMBER(E2787)),NOT(ISNUMBER(F2787))),"",MAX(0,E2787)*F2787))</f>
        <v/>
      </c>
      <c r="I2787" s="46" t="str">
        <f aca="false">IF($A2787="","",SUMIF($A$2:$A$5001,$A2787,$H$2:$H$5001))</f>
        <v/>
      </c>
      <c r="J2787" s="47" t="n">
        <f aca="false">IF($A2787="",0,IF(COUNTIF($A$2:A2787,$A2787)=1,1,0))</f>
        <v>0</v>
      </c>
      <c r="K2787" s="47" t="n">
        <f aca="false">IF(J2787=1,N(I2787)+ROW()/10000000,0)</f>
        <v>0</v>
      </c>
      <c r="L2787" s="47" t="str">
        <f aca="false">IF(AND(J2787=1,N(I2787)&gt;0),SUMIF($K$2:$K$5001,"&gt;="&amp;K2787,$I$2:$I$5001)/MAX(1,SUM($H$2:$H$5001)),"")</f>
        <v/>
      </c>
      <c r="M2787" s="47" t="str">
        <f aca="false">IF($A2787="","",INDEX($L$2:$L$5001,MATCH($A2787,$A$2:$A$5001,0)))</f>
        <v/>
      </c>
      <c r="N2787" s="48" t="str">
        <f aca="false">IF($A2787="","",IF(N(M2787)=0,"–",IF(M2787&lt;=Start!$D$20,"A",IF(M2787&lt;=Start!$D$21,"B","C"))))</f>
        <v/>
      </c>
      <c r="O2787" s="48" t="str">
        <f aca="false">IF($A2787="","",IF(NOT(ISNUMBER(F2787)),"Wert fehlt; ",IF(F2787&lt;=0,"Wert ist 0; ",""))&amp;IF(NOT(ISNUMBER(E2787)),"Bestand fehlt; ",IF(E2787&lt;0,"Bestand negativ; ",IF(E2787=0,"Nullbestand; ","")))&amp;IF(D2787="","Warengruppe fehlt; ","")&amp;IF(B2787="","Bezeichnung fehlt; ","")&amp;IF(COUNTIFS($A$2:$A$5001,$A2787,$C$2:$C$5001,C2787)&gt;1,"Artikel doppelt im selben Lager; ",""))</f>
        <v/>
      </c>
      <c r="P2787" s="47" t="n">
        <f aca="false">IF(OR($A2787="",D2787=""),0,IF(COUNTIF($D$2:D2787,D2787)=1,SUMIF($D$2:$D$5001,D2787,$H$2:$H$5001)+ROW()/10000000,0))</f>
        <v>0</v>
      </c>
      <c r="Q2787" s="47" t="n">
        <f aca="false">IF(OR($A2787="",C2787=""),0,IF(COUNTIF($C$2:C2787,C2787)=1,SUMIF($C$2:$C$5001,C2787,$H$2:$H$5001)+ROW()/10000000,0))</f>
        <v>0</v>
      </c>
    </row>
    <row r="2788" customFormat="false" ht="15" hidden="false" customHeight="false" outlineLevel="0" collapsed="false">
      <c r="A2788" s="43"/>
      <c r="B2788" s="44"/>
      <c r="C2788" s="44"/>
      <c r="D2788" s="44"/>
      <c r="E2788" s="44"/>
      <c r="F2788" s="44"/>
      <c r="G2788" s="44"/>
      <c r="H2788" s="46" t="str">
        <f aca="false">IF($A2788="","",IF(OR(NOT(ISNUMBER(E2788)),NOT(ISNUMBER(F2788))),"",MAX(0,E2788)*F2788))</f>
        <v/>
      </c>
      <c r="I2788" s="46" t="str">
        <f aca="false">IF($A2788="","",SUMIF($A$2:$A$5001,$A2788,$H$2:$H$5001))</f>
        <v/>
      </c>
      <c r="J2788" s="47" t="n">
        <f aca="false">IF($A2788="",0,IF(COUNTIF($A$2:A2788,$A2788)=1,1,0))</f>
        <v>0</v>
      </c>
      <c r="K2788" s="47" t="n">
        <f aca="false">IF(J2788=1,N(I2788)+ROW()/10000000,0)</f>
        <v>0</v>
      </c>
      <c r="L2788" s="47" t="str">
        <f aca="false">IF(AND(J2788=1,N(I2788)&gt;0),SUMIF($K$2:$K$5001,"&gt;="&amp;K2788,$I$2:$I$5001)/MAX(1,SUM($H$2:$H$5001)),"")</f>
        <v/>
      </c>
      <c r="M2788" s="47" t="str">
        <f aca="false">IF($A2788="","",INDEX($L$2:$L$5001,MATCH($A2788,$A$2:$A$5001,0)))</f>
        <v/>
      </c>
      <c r="N2788" s="48" t="str">
        <f aca="false">IF($A2788="","",IF(N(M2788)=0,"–",IF(M2788&lt;=Start!$D$20,"A",IF(M2788&lt;=Start!$D$21,"B","C"))))</f>
        <v/>
      </c>
      <c r="O2788" s="48" t="str">
        <f aca="false">IF($A2788="","",IF(NOT(ISNUMBER(F2788)),"Wert fehlt; ",IF(F2788&lt;=0,"Wert ist 0; ",""))&amp;IF(NOT(ISNUMBER(E2788)),"Bestand fehlt; ",IF(E2788&lt;0,"Bestand negativ; ",IF(E2788=0,"Nullbestand; ","")))&amp;IF(D2788="","Warengruppe fehlt; ","")&amp;IF(B2788="","Bezeichnung fehlt; ","")&amp;IF(COUNTIFS($A$2:$A$5001,$A2788,$C$2:$C$5001,C2788)&gt;1,"Artikel doppelt im selben Lager; ",""))</f>
        <v/>
      </c>
      <c r="P2788" s="47" t="n">
        <f aca="false">IF(OR($A2788="",D2788=""),0,IF(COUNTIF($D$2:D2788,D2788)=1,SUMIF($D$2:$D$5001,D2788,$H$2:$H$5001)+ROW()/10000000,0))</f>
        <v>0</v>
      </c>
      <c r="Q2788" s="47" t="n">
        <f aca="false">IF(OR($A2788="",C2788=""),0,IF(COUNTIF($C$2:C2788,C2788)=1,SUMIF($C$2:$C$5001,C2788,$H$2:$H$5001)+ROW()/10000000,0))</f>
        <v>0</v>
      </c>
    </row>
    <row r="2789" customFormat="false" ht="15" hidden="false" customHeight="false" outlineLevel="0" collapsed="false">
      <c r="A2789" s="43"/>
      <c r="B2789" s="44"/>
      <c r="C2789" s="44"/>
      <c r="D2789" s="44"/>
      <c r="E2789" s="44"/>
      <c r="F2789" s="44"/>
      <c r="G2789" s="44"/>
      <c r="H2789" s="46" t="str">
        <f aca="false">IF($A2789="","",IF(OR(NOT(ISNUMBER(E2789)),NOT(ISNUMBER(F2789))),"",MAX(0,E2789)*F2789))</f>
        <v/>
      </c>
      <c r="I2789" s="46" t="str">
        <f aca="false">IF($A2789="","",SUMIF($A$2:$A$5001,$A2789,$H$2:$H$5001))</f>
        <v/>
      </c>
      <c r="J2789" s="47" t="n">
        <f aca="false">IF($A2789="",0,IF(COUNTIF($A$2:A2789,$A2789)=1,1,0))</f>
        <v>0</v>
      </c>
      <c r="K2789" s="47" t="n">
        <f aca="false">IF(J2789=1,N(I2789)+ROW()/10000000,0)</f>
        <v>0</v>
      </c>
      <c r="L2789" s="47" t="str">
        <f aca="false">IF(AND(J2789=1,N(I2789)&gt;0),SUMIF($K$2:$K$5001,"&gt;="&amp;K2789,$I$2:$I$5001)/MAX(1,SUM($H$2:$H$5001)),"")</f>
        <v/>
      </c>
      <c r="M2789" s="47" t="str">
        <f aca="false">IF($A2789="","",INDEX($L$2:$L$5001,MATCH($A2789,$A$2:$A$5001,0)))</f>
        <v/>
      </c>
      <c r="N2789" s="48" t="str">
        <f aca="false">IF($A2789="","",IF(N(M2789)=0,"–",IF(M2789&lt;=Start!$D$20,"A",IF(M2789&lt;=Start!$D$21,"B","C"))))</f>
        <v/>
      </c>
      <c r="O2789" s="48" t="str">
        <f aca="false">IF($A2789="","",IF(NOT(ISNUMBER(F2789)),"Wert fehlt; ",IF(F2789&lt;=0,"Wert ist 0; ",""))&amp;IF(NOT(ISNUMBER(E2789)),"Bestand fehlt; ",IF(E2789&lt;0,"Bestand negativ; ",IF(E2789=0,"Nullbestand; ","")))&amp;IF(D2789="","Warengruppe fehlt; ","")&amp;IF(B2789="","Bezeichnung fehlt; ","")&amp;IF(COUNTIFS($A$2:$A$5001,$A2789,$C$2:$C$5001,C2789)&gt;1,"Artikel doppelt im selben Lager; ",""))</f>
        <v/>
      </c>
      <c r="P2789" s="47" t="n">
        <f aca="false">IF(OR($A2789="",D2789=""),0,IF(COUNTIF($D$2:D2789,D2789)=1,SUMIF($D$2:$D$5001,D2789,$H$2:$H$5001)+ROW()/10000000,0))</f>
        <v>0</v>
      </c>
      <c r="Q2789" s="47" t="n">
        <f aca="false">IF(OR($A2789="",C2789=""),0,IF(COUNTIF($C$2:C2789,C2789)=1,SUMIF($C$2:$C$5001,C2789,$H$2:$H$5001)+ROW()/10000000,0))</f>
        <v>0</v>
      </c>
    </row>
    <row r="2790" customFormat="false" ht="15" hidden="false" customHeight="false" outlineLevel="0" collapsed="false">
      <c r="A2790" s="43"/>
      <c r="B2790" s="44"/>
      <c r="C2790" s="44"/>
      <c r="D2790" s="44"/>
      <c r="E2790" s="44"/>
      <c r="F2790" s="44"/>
      <c r="G2790" s="44"/>
      <c r="H2790" s="46" t="str">
        <f aca="false">IF($A2790="","",IF(OR(NOT(ISNUMBER(E2790)),NOT(ISNUMBER(F2790))),"",MAX(0,E2790)*F2790))</f>
        <v/>
      </c>
      <c r="I2790" s="46" t="str">
        <f aca="false">IF($A2790="","",SUMIF($A$2:$A$5001,$A2790,$H$2:$H$5001))</f>
        <v/>
      </c>
      <c r="J2790" s="47" t="n">
        <f aca="false">IF($A2790="",0,IF(COUNTIF($A$2:A2790,$A2790)=1,1,0))</f>
        <v>0</v>
      </c>
      <c r="K2790" s="47" t="n">
        <f aca="false">IF(J2790=1,N(I2790)+ROW()/10000000,0)</f>
        <v>0</v>
      </c>
      <c r="L2790" s="47" t="str">
        <f aca="false">IF(AND(J2790=1,N(I2790)&gt;0),SUMIF($K$2:$K$5001,"&gt;="&amp;K2790,$I$2:$I$5001)/MAX(1,SUM($H$2:$H$5001)),"")</f>
        <v/>
      </c>
      <c r="M2790" s="47" t="str">
        <f aca="false">IF($A2790="","",INDEX($L$2:$L$5001,MATCH($A2790,$A$2:$A$5001,0)))</f>
        <v/>
      </c>
      <c r="N2790" s="48" t="str">
        <f aca="false">IF($A2790="","",IF(N(M2790)=0,"–",IF(M2790&lt;=Start!$D$20,"A",IF(M2790&lt;=Start!$D$21,"B","C"))))</f>
        <v/>
      </c>
      <c r="O2790" s="48" t="str">
        <f aca="false">IF($A2790="","",IF(NOT(ISNUMBER(F2790)),"Wert fehlt; ",IF(F2790&lt;=0,"Wert ist 0; ",""))&amp;IF(NOT(ISNUMBER(E2790)),"Bestand fehlt; ",IF(E2790&lt;0,"Bestand negativ; ",IF(E2790=0,"Nullbestand; ","")))&amp;IF(D2790="","Warengruppe fehlt; ","")&amp;IF(B2790="","Bezeichnung fehlt; ","")&amp;IF(COUNTIFS($A$2:$A$5001,$A2790,$C$2:$C$5001,C2790)&gt;1,"Artikel doppelt im selben Lager; ",""))</f>
        <v/>
      </c>
      <c r="P2790" s="47" t="n">
        <f aca="false">IF(OR($A2790="",D2790=""),0,IF(COUNTIF($D$2:D2790,D2790)=1,SUMIF($D$2:$D$5001,D2790,$H$2:$H$5001)+ROW()/10000000,0))</f>
        <v>0</v>
      </c>
      <c r="Q2790" s="47" t="n">
        <f aca="false">IF(OR($A2790="",C2790=""),0,IF(COUNTIF($C$2:C2790,C2790)=1,SUMIF($C$2:$C$5001,C2790,$H$2:$H$5001)+ROW()/10000000,0))</f>
        <v>0</v>
      </c>
    </row>
    <row r="2791" customFormat="false" ht="15" hidden="false" customHeight="false" outlineLevel="0" collapsed="false">
      <c r="A2791" s="43"/>
      <c r="B2791" s="44"/>
      <c r="C2791" s="44"/>
      <c r="D2791" s="44"/>
      <c r="E2791" s="44"/>
      <c r="F2791" s="44"/>
      <c r="G2791" s="44"/>
      <c r="H2791" s="46" t="str">
        <f aca="false">IF($A2791="","",IF(OR(NOT(ISNUMBER(E2791)),NOT(ISNUMBER(F2791))),"",MAX(0,E2791)*F2791))</f>
        <v/>
      </c>
      <c r="I2791" s="46" t="str">
        <f aca="false">IF($A2791="","",SUMIF($A$2:$A$5001,$A2791,$H$2:$H$5001))</f>
        <v/>
      </c>
      <c r="J2791" s="47" t="n">
        <f aca="false">IF($A2791="",0,IF(COUNTIF($A$2:A2791,$A2791)=1,1,0))</f>
        <v>0</v>
      </c>
      <c r="K2791" s="47" t="n">
        <f aca="false">IF(J2791=1,N(I2791)+ROW()/10000000,0)</f>
        <v>0</v>
      </c>
      <c r="L2791" s="47" t="str">
        <f aca="false">IF(AND(J2791=1,N(I2791)&gt;0),SUMIF($K$2:$K$5001,"&gt;="&amp;K2791,$I$2:$I$5001)/MAX(1,SUM($H$2:$H$5001)),"")</f>
        <v/>
      </c>
      <c r="M2791" s="47" t="str">
        <f aca="false">IF($A2791="","",INDEX($L$2:$L$5001,MATCH($A2791,$A$2:$A$5001,0)))</f>
        <v/>
      </c>
      <c r="N2791" s="48" t="str">
        <f aca="false">IF($A2791="","",IF(N(M2791)=0,"–",IF(M2791&lt;=Start!$D$20,"A",IF(M2791&lt;=Start!$D$21,"B","C"))))</f>
        <v/>
      </c>
      <c r="O2791" s="48" t="str">
        <f aca="false">IF($A2791="","",IF(NOT(ISNUMBER(F2791)),"Wert fehlt; ",IF(F2791&lt;=0,"Wert ist 0; ",""))&amp;IF(NOT(ISNUMBER(E2791)),"Bestand fehlt; ",IF(E2791&lt;0,"Bestand negativ; ",IF(E2791=0,"Nullbestand; ","")))&amp;IF(D2791="","Warengruppe fehlt; ","")&amp;IF(B2791="","Bezeichnung fehlt; ","")&amp;IF(COUNTIFS($A$2:$A$5001,$A2791,$C$2:$C$5001,C2791)&gt;1,"Artikel doppelt im selben Lager; ",""))</f>
        <v/>
      </c>
      <c r="P2791" s="47" t="n">
        <f aca="false">IF(OR($A2791="",D2791=""),0,IF(COUNTIF($D$2:D2791,D2791)=1,SUMIF($D$2:$D$5001,D2791,$H$2:$H$5001)+ROW()/10000000,0))</f>
        <v>0</v>
      </c>
      <c r="Q2791" s="47" t="n">
        <f aca="false">IF(OR($A2791="",C2791=""),0,IF(COUNTIF($C$2:C2791,C2791)=1,SUMIF($C$2:$C$5001,C2791,$H$2:$H$5001)+ROW()/10000000,0))</f>
        <v>0</v>
      </c>
    </row>
    <row r="2792" customFormat="false" ht="15" hidden="false" customHeight="false" outlineLevel="0" collapsed="false">
      <c r="A2792" s="43"/>
      <c r="B2792" s="44"/>
      <c r="C2792" s="44"/>
      <c r="D2792" s="44"/>
      <c r="E2792" s="44"/>
      <c r="F2792" s="44"/>
      <c r="G2792" s="44"/>
      <c r="H2792" s="46" t="str">
        <f aca="false">IF($A2792="","",IF(OR(NOT(ISNUMBER(E2792)),NOT(ISNUMBER(F2792))),"",MAX(0,E2792)*F2792))</f>
        <v/>
      </c>
      <c r="I2792" s="46" t="str">
        <f aca="false">IF($A2792="","",SUMIF($A$2:$A$5001,$A2792,$H$2:$H$5001))</f>
        <v/>
      </c>
      <c r="J2792" s="47" t="n">
        <f aca="false">IF($A2792="",0,IF(COUNTIF($A$2:A2792,$A2792)=1,1,0))</f>
        <v>0</v>
      </c>
      <c r="K2792" s="47" t="n">
        <f aca="false">IF(J2792=1,N(I2792)+ROW()/10000000,0)</f>
        <v>0</v>
      </c>
      <c r="L2792" s="47" t="str">
        <f aca="false">IF(AND(J2792=1,N(I2792)&gt;0),SUMIF($K$2:$K$5001,"&gt;="&amp;K2792,$I$2:$I$5001)/MAX(1,SUM($H$2:$H$5001)),"")</f>
        <v/>
      </c>
      <c r="M2792" s="47" t="str">
        <f aca="false">IF($A2792="","",INDEX($L$2:$L$5001,MATCH($A2792,$A$2:$A$5001,0)))</f>
        <v/>
      </c>
      <c r="N2792" s="48" t="str">
        <f aca="false">IF($A2792="","",IF(N(M2792)=0,"–",IF(M2792&lt;=Start!$D$20,"A",IF(M2792&lt;=Start!$D$21,"B","C"))))</f>
        <v/>
      </c>
      <c r="O2792" s="48" t="str">
        <f aca="false">IF($A2792="","",IF(NOT(ISNUMBER(F2792)),"Wert fehlt; ",IF(F2792&lt;=0,"Wert ist 0; ",""))&amp;IF(NOT(ISNUMBER(E2792)),"Bestand fehlt; ",IF(E2792&lt;0,"Bestand negativ; ",IF(E2792=0,"Nullbestand; ","")))&amp;IF(D2792="","Warengruppe fehlt; ","")&amp;IF(B2792="","Bezeichnung fehlt; ","")&amp;IF(COUNTIFS($A$2:$A$5001,$A2792,$C$2:$C$5001,C2792)&gt;1,"Artikel doppelt im selben Lager; ",""))</f>
        <v/>
      </c>
      <c r="P2792" s="47" t="n">
        <f aca="false">IF(OR($A2792="",D2792=""),0,IF(COUNTIF($D$2:D2792,D2792)=1,SUMIF($D$2:$D$5001,D2792,$H$2:$H$5001)+ROW()/10000000,0))</f>
        <v>0</v>
      </c>
      <c r="Q2792" s="47" t="n">
        <f aca="false">IF(OR($A2792="",C2792=""),0,IF(COUNTIF($C$2:C2792,C2792)=1,SUMIF($C$2:$C$5001,C2792,$H$2:$H$5001)+ROW()/10000000,0))</f>
        <v>0</v>
      </c>
    </row>
    <row r="2793" customFormat="false" ht="15" hidden="false" customHeight="false" outlineLevel="0" collapsed="false">
      <c r="A2793" s="43"/>
      <c r="B2793" s="44"/>
      <c r="C2793" s="44"/>
      <c r="D2793" s="44"/>
      <c r="E2793" s="44"/>
      <c r="F2793" s="44"/>
      <c r="G2793" s="44"/>
      <c r="H2793" s="46" t="str">
        <f aca="false">IF($A2793="","",IF(OR(NOT(ISNUMBER(E2793)),NOT(ISNUMBER(F2793))),"",MAX(0,E2793)*F2793))</f>
        <v/>
      </c>
      <c r="I2793" s="46" t="str">
        <f aca="false">IF($A2793="","",SUMIF($A$2:$A$5001,$A2793,$H$2:$H$5001))</f>
        <v/>
      </c>
      <c r="J2793" s="47" t="n">
        <f aca="false">IF($A2793="",0,IF(COUNTIF($A$2:A2793,$A2793)=1,1,0))</f>
        <v>0</v>
      </c>
      <c r="K2793" s="47" t="n">
        <f aca="false">IF(J2793=1,N(I2793)+ROW()/10000000,0)</f>
        <v>0</v>
      </c>
      <c r="L2793" s="47" t="str">
        <f aca="false">IF(AND(J2793=1,N(I2793)&gt;0),SUMIF($K$2:$K$5001,"&gt;="&amp;K2793,$I$2:$I$5001)/MAX(1,SUM($H$2:$H$5001)),"")</f>
        <v/>
      </c>
      <c r="M2793" s="47" t="str">
        <f aca="false">IF($A2793="","",INDEX($L$2:$L$5001,MATCH($A2793,$A$2:$A$5001,0)))</f>
        <v/>
      </c>
      <c r="N2793" s="48" t="str">
        <f aca="false">IF($A2793="","",IF(N(M2793)=0,"–",IF(M2793&lt;=Start!$D$20,"A",IF(M2793&lt;=Start!$D$21,"B","C"))))</f>
        <v/>
      </c>
      <c r="O2793" s="48" t="str">
        <f aca="false">IF($A2793="","",IF(NOT(ISNUMBER(F2793)),"Wert fehlt; ",IF(F2793&lt;=0,"Wert ist 0; ",""))&amp;IF(NOT(ISNUMBER(E2793)),"Bestand fehlt; ",IF(E2793&lt;0,"Bestand negativ; ",IF(E2793=0,"Nullbestand; ","")))&amp;IF(D2793="","Warengruppe fehlt; ","")&amp;IF(B2793="","Bezeichnung fehlt; ","")&amp;IF(COUNTIFS($A$2:$A$5001,$A2793,$C$2:$C$5001,C2793)&gt;1,"Artikel doppelt im selben Lager; ",""))</f>
        <v/>
      </c>
      <c r="P2793" s="47" t="n">
        <f aca="false">IF(OR($A2793="",D2793=""),0,IF(COUNTIF($D$2:D2793,D2793)=1,SUMIF($D$2:$D$5001,D2793,$H$2:$H$5001)+ROW()/10000000,0))</f>
        <v>0</v>
      </c>
      <c r="Q2793" s="47" t="n">
        <f aca="false">IF(OR($A2793="",C2793=""),0,IF(COUNTIF($C$2:C2793,C2793)=1,SUMIF($C$2:$C$5001,C2793,$H$2:$H$5001)+ROW()/10000000,0))</f>
        <v>0</v>
      </c>
    </row>
    <row r="2794" customFormat="false" ht="15" hidden="false" customHeight="false" outlineLevel="0" collapsed="false">
      <c r="A2794" s="43"/>
      <c r="B2794" s="44"/>
      <c r="C2794" s="44"/>
      <c r="D2794" s="44"/>
      <c r="E2794" s="44"/>
      <c r="F2794" s="44"/>
      <c r="G2794" s="44"/>
      <c r="H2794" s="46" t="str">
        <f aca="false">IF($A2794="","",IF(OR(NOT(ISNUMBER(E2794)),NOT(ISNUMBER(F2794))),"",MAX(0,E2794)*F2794))</f>
        <v/>
      </c>
      <c r="I2794" s="46" t="str">
        <f aca="false">IF($A2794="","",SUMIF($A$2:$A$5001,$A2794,$H$2:$H$5001))</f>
        <v/>
      </c>
      <c r="J2794" s="47" t="n">
        <f aca="false">IF($A2794="",0,IF(COUNTIF($A$2:A2794,$A2794)=1,1,0))</f>
        <v>0</v>
      </c>
      <c r="K2794" s="47" t="n">
        <f aca="false">IF(J2794=1,N(I2794)+ROW()/10000000,0)</f>
        <v>0</v>
      </c>
      <c r="L2794" s="47" t="str">
        <f aca="false">IF(AND(J2794=1,N(I2794)&gt;0),SUMIF($K$2:$K$5001,"&gt;="&amp;K2794,$I$2:$I$5001)/MAX(1,SUM($H$2:$H$5001)),"")</f>
        <v/>
      </c>
      <c r="M2794" s="47" t="str">
        <f aca="false">IF($A2794="","",INDEX($L$2:$L$5001,MATCH($A2794,$A$2:$A$5001,0)))</f>
        <v/>
      </c>
      <c r="N2794" s="48" t="str">
        <f aca="false">IF($A2794="","",IF(N(M2794)=0,"–",IF(M2794&lt;=Start!$D$20,"A",IF(M2794&lt;=Start!$D$21,"B","C"))))</f>
        <v/>
      </c>
      <c r="O2794" s="48" t="str">
        <f aca="false">IF($A2794="","",IF(NOT(ISNUMBER(F2794)),"Wert fehlt; ",IF(F2794&lt;=0,"Wert ist 0; ",""))&amp;IF(NOT(ISNUMBER(E2794)),"Bestand fehlt; ",IF(E2794&lt;0,"Bestand negativ; ",IF(E2794=0,"Nullbestand; ","")))&amp;IF(D2794="","Warengruppe fehlt; ","")&amp;IF(B2794="","Bezeichnung fehlt; ","")&amp;IF(COUNTIFS($A$2:$A$5001,$A2794,$C$2:$C$5001,C2794)&gt;1,"Artikel doppelt im selben Lager; ",""))</f>
        <v/>
      </c>
      <c r="P2794" s="47" t="n">
        <f aca="false">IF(OR($A2794="",D2794=""),0,IF(COUNTIF($D$2:D2794,D2794)=1,SUMIF($D$2:$D$5001,D2794,$H$2:$H$5001)+ROW()/10000000,0))</f>
        <v>0</v>
      </c>
      <c r="Q2794" s="47" t="n">
        <f aca="false">IF(OR($A2794="",C2794=""),0,IF(COUNTIF($C$2:C2794,C2794)=1,SUMIF($C$2:$C$5001,C2794,$H$2:$H$5001)+ROW()/10000000,0))</f>
        <v>0</v>
      </c>
    </row>
    <row r="2795" customFormat="false" ht="15" hidden="false" customHeight="false" outlineLevel="0" collapsed="false">
      <c r="A2795" s="43"/>
      <c r="B2795" s="44"/>
      <c r="C2795" s="44"/>
      <c r="D2795" s="44"/>
      <c r="E2795" s="44"/>
      <c r="F2795" s="44"/>
      <c r="G2795" s="44"/>
      <c r="H2795" s="46" t="str">
        <f aca="false">IF($A2795="","",IF(OR(NOT(ISNUMBER(E2795)),NOT(ISNUMBER(F2795))),"",MAX(0,E2795)*F2795))</f>
        <v/>
      </c>
      <c r="I2795" s="46" t="str">
        <f aca="false">IF($A2795="","",SUMIF($A$2:$A$5001,$A2795,$H$2:$H$5001))</f>
        <v/>
      </c>
      <c r="J2795" s="47" t="n">
        <f aca="false">IF($A2795="",0,IF(COUNTIF($A$2:A2795,$A2795)=1,1,0))</f>
        <v>0</v>
      </c>
      <c r="K2795" s="47" t="n">
        <f aca="false">IF(J2795=1,N(I2795)+ROW()/10000000,0)</f>
        <v>0</v>
      </c>
      <c r="L2795" s="47" t="str">
        <f aca="false">IF(AND(J2795=1,N(I2795)&gt;0),SUMIF($K$2:$K$5001,"&gt;="&amp;K2795,$I$2:$I$5001)/MAX(1,SUM($H$2:$H$5001)),"")</f>
        <v/>
      </c>
      <c r="M2795" s="47" t="str">
        <f aca="false">IF($A2795="","",INDEX($L$2:$L$5001,MATCH($A2795,$A$2:$A$5001,0)))</f>
        <v/>
      </c>
      <c r="N2795" s="48" t="str">
        <f aca="false">IF($A2795="","",IF(N(M2795)=0,"–",IF(M2795&lt;=Start!$D$20,"A",IF(M2795&lt;=Start!$D$21,"B","C"))))</f>
        <v/>
      </c>
      <c r="O2795" s="48" t="str">
        <f aca="false">IF($A2795="","",IF(NOT(ISNUMBER(F2795)),"Wert fehlt; ",IF(F2795&lt;=0,"Wert ist 0; ",""))&amp;IF(NOT(ISNUMBER(E2795)),"Bestand fehlt; ",IF(E2795&lt;0,"Bestand negativ; ",IF(E2795=0,"Nullbestand; ","")))&amp;IF(D2795="","Warengruppe fehlt; ","")&amp;IF(B2795="","Bezeichnung fehlt; ","")&amp;IF(COUNTIFS($A$2:$A$5001,$A2795,$C$2:$C$5001,C2795)&gt;1,"Artikel doppelt im selben Lager; ",""))</f>
        <v/>
      </c>
      <c r="P2795" s="47" t="n">
        <f aca="false">IF(OR($A2795="",D2795=""),0,IF(COUNTIF($D$2:D2795,D2795)=1,SUMIF($D$2:$D$5001,D2795,$H$2:$H$5001)+ROW()/10000000,0))</f>
        <v>0</v>
      </c>
      <c r="Q2795" s="47" t="n">
        <f aca="false">IF(OR($A2795="",C2795=""),0,IF(COUNTIF($C$2:C2795,C2795)=1,SUMIF($C$2:$C$5001,C2795,$H$2:$H$5001)+ROW()/10000000,0))</f>
        <v>0</v>
      </c>
    </row>
    <row r="2796" customFormat="false" ht="15" hidden="false" customHeight="false" outlineLevel="0" collapsed="false">
      <c r="A2796" s="43"/>
      <c r="B2796" s="44"/>
      <c r="C2796" s="44"/>
      <c r="D2796" s="44"/>
      <c r="E2796" s="44"/>
      <c r="F2796" s="44"/>
      <c r="G2796" s="44"/>
      <c r="H2796" s="46" t="str">
        <f aca="false">IF($A2796="","",IF(OR(NOT(ISNUMBER(E2796)),NOT(ISNUMBER(F2796))),"",MAX(0,E2796)*F2796))</f>
        <v/>
      </c>
      <c r="I2796" s="46" t="str">
        <f aca="false">IF($A2796="","",SUMIF($A$2:$A$5001,$A2796,$H$2:$H$5001))</f>
        <v/>
      </c>
      <c r="J2796" s="47" t="n">
        <f aca="false">IF($A2796="",0,IF(COUNTIF($A$2:A2796,$A2796)=1,1,0))</f>
        <v>0</v>
      </c>
      <c r="K2796" s="47" t="n">
        <f aca="false">IF(J2796=1,N(I2796)+ROW()/10000000,0)</f>
        <v>0</v>
      </c>
      <c r="L2796" s="47" t="str">
        <f aca="false">IF(AND(J2796=1,N(I2796)&gt;0),SUMIF($K$2:$K$5001,"&gt;="&amp;K2796,$I$2:$I$5001)/MAX(1,SUM($H$2:$H$5001)),"")</f>
        <v/>
      </c>
      <c r="M2796" s="47" t="str">
        <f aca="false">IF($A2796="","",INDEX($L$2:$L$5001,MATCH($A2796,$A$2:$A$5001,0)))</f>
        <v/>
      </c>
      <c r="N2796" s="48" t="str">
        <f aca="false">IF($A2796="","",IF(N(M2796)=0,"–",IF(M2796&lt;=Start!$D$20,"A",IF(M2796&lt;=Start!$D$21,"B","C"))))</f>
        <v/>
      </c>
      <c r="O2796" s="48" t="str">
        <f aca="false">IF($A2796="","",IF(NOT(ISNUMBER(F2796)),"Wert fehlt; ",IF(F2796&lt;=0,"Wert ist 0; ",""))&amp;IF(NOT(ISNUMBER(E2796)),"Bestand fehlt; ",IF(E2796&lt;0,"Bestand negativ; ",IF(E2796=0,"Nullbestand; ","")))&amp;IF(D2796="","Warengruppe fehlt; ","")&amp;IF(B2796="","Bezeichnung fehlt; ","")&amp;IF(COUNTIFS($A$2:$A$5001,$A2796,$C$2:$C$5001,C2796)&gt;1,"Artikel doppelt im selben Lager; ",""))</f>
        <v/>
      </c>
      <c r="P2796" s="47" t="n">
        <f aca="false">IF(OR($A2796="",D2796=""),0,IF(COUNTIF($D$2:D2796,D2796)=1,SUMIF($D$2:$D$5001,D2796,$H$2:$H$5001)+ROW()/10000000,0))</f>
        <v>0</v>
      </c>
      <c r="Q2796" s="47" t="n">
        <f aca="false">IF(OR($A2796="",C2796=""),0,IF(COUNTIF($C$2:C2796,C2796)=1,SUMIF($C$2:$C$5001,C2796,$H$2:$H$5001)+ROW()/10000000,0))</f>
        <v>0</v>
      </c>
    </row>
    <row r="2797" customFormat="false" ht="15" hidden="false" customHeight="false" outlineLevel="0" collapsed="false">
      <c r="A2797" s="43"/>
      <c r="B2797" s="44"/>
      <c r="C2797" s="44"/>
      <c r="D2797" s="44"/>
      <c r="E2797" s="44"/>
      <c r="F2797" s="44"/>
      <c r="G2797" s="44"/>
      <c r="H2797" s="46" t="str">
        <f aca="false">IF($A2797="","",IF(OR(NOT(ISNUMBER(E2797)),NOT(ISNUMBER(F2797))),"",MAX(0,E2797)*F2797))</f>
        <v/>
      </c>
      <c r="I2797" s="46" t="str">
        <f aca="false">IF($A2797="","",SUMIF($A$2:$A$5001,$A2797,$H$2:$H$5001))</f>
        <v/>
      </c>
      <c r="J2797" s="47" t="n">
        <f aca="false">IF($A2797="",0,IF(COUNTIF($A$2:A2797,$A2797)=1,1,0))</f>
        <v>0</v>
      </c>
      <c r="K2797" s="47" t="n">
        <f aca="false">IF(J2797=1,N(I2797)+ROW()/10000000,0)</f>
        <v>0</v>
      </c>
      <c r="L2797" s="47" t="str">
        <f aca="false">IF(AND(J2797=1,N(I2797)&gt;0),SUMIF($K$2:$K$5001,"&gt;="&amp;K2797,$I$2:$I$5001)/MAX(1,SUM($H$2:$H$5001)),"")</f>
        <v/>
      </c>
      <c r="M2797" s="47" t="str">
        <f aca="false">IF($A2797="","",INDEX($L$2:$L$5001,MATCH($A2797,$A$2:$A$5001,0)))</f>
        <v/>
      </c>
      <c r="N2797" s="48" t="str">
        <f aca="false">IF($A2797="","",IF(N(M2797)=0,"–",IF(M2797&lt;=Start!$D$20,"A",IF(M2797&lt;=Start!$D$21,"B","C"))))</f>
        <v/>
      </c>
      <c r="O2797" s="48" t="str">
        <f aca="false">IF($A2797="","",IF(NOT(ISNUMBER(F2797)),"Wert fehlt; ",IF(F2797&lt;=0,"Wert ist 0; ",""))&amp;IF(NOT(ISNUMBER(E2797)),"Bestand fehlt; ",IF(E2797&lt;0,"Bestand negativ; ",IF(E2797=0,"Nullbestand; ","")))&amp;IF(D2797="","Warengruppe fehlt; ","")&amp;IF(B2797="","Bezeichnung fehlt; ","")&amp;IF(COUNTIFS($A$2:$A$5001,$A2797,$C$2:$C$5001,C2797)&gt;1,"Artikel doppelt im selben Lager; ",""))</f>
        <v/>
      </c>
      <c r="P2797" s="47" t="n">
        <f aca="false">IF(OR($A2797="",D2797=""),0,IF(COUNTIF($D$2:D2797,D2797)=1,SUMIF($D$2:$D$5001,D2797,$H$2:$H$5001)+ROW()/10000000,0))</f>
        <v>0</v>
      </c>
      <c r="Q2797" s="47" t="n">
        <f aca="false">IF(OR($A2797="",C2797=""),0,IF(COUNTIF($C$2:C2797,C2797)=1,SUMIF($C$2:$C$5001,C2797,$H$2:$H$5001)+ROW()/10000000,0))</f>
        <v>0</v>
      </c>
    </row>
    <row r="2798" customFormat="false" ht="15" hidden="false" customHeight="false" outlineLevel="0" collapsed="false">
      <c r="A2798" s="43"/>
      <c r="B2798" s="44"/>
      <c r="C2798" s="44"/>
      <c r="D2798" s="44"/>
      <c r="E2798" s="44"/>
      <c r="F2798" s="44"/>
      <c r="G2798" s="44"/>
      <c r="H2798" s="46" t="str">
        <f aca="false">IF($A2798="","",IF(OR(NOT(ISNUMBER(E2798)),NOT(ISNUMBER(F2798))),"",MAX(0,E2798)*F2798))</f>
        <v/>
      </c>
      <c r="I2798" s="46" t="str">
        <f aca="false">IF($A2798="","",SUMIF($A$2:$A$5001,$A2798,$H$2:$H$5001))</f>
        <v/>
      </c>
      <c r="J2798" s="47" t="n">
        <f aca="false">IF($A2798="",0,IF(COUNTIF($A$2:A2798,$A2798)=1,1,0))</f>
        <v>0</v>
      </c>
      <c r="K2798" s="47" t="n">
        <f aca="false">IF(J2798=1,N(I2798)+ROW()/10000000,0)</f>
        <v>0</v>
      </c>
      <c r="L2798" s="47" t="str">
        <f aca="false">IF(AND(J2798=1,N(I2798)&gt;0),SUMIF($K$2:$K$5001,"&gt;="&amp;K2798,$I$2:$I$5001)/MAX(1,SUM($H$2:$H$5001)),"")</f>
        <v/>
      </c>
      <c r="M2798" s="47" t="str">
        <f aca="false">IF($A2798="","",INDEX($L$2:$L$5001,MATCH($A2798,$A$2:$A$5001,0)))</f>
        <v/>
      </c>
      <c r="N2798" s="48" t="str">
        <f aca="false">IF($A2798="","",IF(N(M2798)=0,"–",IF(M2798&lt;=Start!$D$20,"A",IF(M2798&lt;=Start!$D$21,"B","C"))))</f>
        <v/>
      </c>
      <c r="O2798" s="48" t="str">
        <f aca="false">IF($A2798="","",IF(NOT(ISNUMBER(F2798)),"Wert fehlt; ",IF(F2798&lt;=0,"Wert ist 0; ",""))&amp;IF(NOT(ISNUMBER(E2798)),"Bestand fehlt; ",IF(E2798&lt;0,"Bestand negativ; ",IF(E2798=0,"Nullbestand; ","")))&amp;IF(D2798="","Warengruppe fehlt; ","")&amp;IF(B2798="","Bezeichnung fehlt; ","")&amp;IF(COUNTIFS($A$2:$A$5001,$A2798,$C$2:$C$5001,C2798)&gt;1,"Artikel doppelt im selben Lager; ",""))</f>
        <v/>
      </c>
      <c r="P2798" s="47" t="n">
        <f aca="false">IF(OR($A2798="",D2798=""),0,IF(COUNTIF($D$2:D2798,D2798)=1,SUMIF($D$2:$D$5001,D2798,$H$2:$H$5001)+ROW()/10000000,0))</f>
        <v>0</v>
      </c>
      <c r="Q2798" s="47" t="n">
        <f aca="false">IF(OR($A2798="",C2798=""),0,IF(COUNTIF($C$2:C2798,C2798)=1,SUMIF($C$2:$C$5001,C2798,$H$2:$H$5001)+ROW()/10000000,0))</f>
        <v>0</v>
      </c>
    </row>
    <row r="2799" customFormat="false" ht="15" hidden="false" customHeight="false" outlineLevel="0" collapsed="false">
      <c r="A2799" s="43"/>
      <c r="B2799" s="44"/>
      <c r="C2799" s="44"/>
      <c r="D2799" s="44"/>
      <c r="E2799" s="44"/>
      <c r="F2799" s="44"/>
      <c r="G2799" s="44"/>
      <c r="H2799" s="46" t="str">
        <f aca="false">IF($A2799="","",IF(OR(NOT(ISNUMBER(E2799)),NOT(ISNUMBER(F2799))),"",MAX(0,E2799)*F2799))</f>
        <v/>
      </c>
      <c r="I2799" s="46" t="str">
        <f aca="false">IF($A2799="","",SUMIF($A$2:$A$5001,$A2799,$H$2:$H$5001))</f>
        <v/>
      </c>
      <c r="J2799" s="47" t="n">
        <f aca="false">IF($A2799="",0,IF(COUNTIF($A$2:A2799,$A2799)=1,1,0))</f>
        <v>0</v>
      </c>
      <c r="K2799" s="47" t="n">
        <f aca="false">IF(J2799=1,N(I2799)+ROW()/10000000,0)</f>
        <v>0</v>
      </c>
      <c r="L2799" s="47" t="str">
        <f aca="false">IF(AND(J2799=1,N(I2799)&gt;0),SUMIF($K$2:$K$5001,"&gt;="&amp;K2799,$I$2:$I$5001)/MAX(1,SUM($H$2:$H$5001)),"")</f>
        <v/>
      </c>
      <c r="M2799" s="47" t="str">
        <f aca="false">IF($A2799="","",INDEX($L$2:$L$5001,MATCH($A2799,$A$2:$A$5001,0)))</f>
        <v/>
      </c>
      <c r="N2799" s="48" t="str">
        <f aca="false">IF($A2799="","",IF(N(M2799)=0,"–",IF(M2799&lt;=Start!$D$20,"A",IF(M2799&lt;=Start!$D$21,"B","C"))))</f>
        <v/>
      </c>
      <c r="O2799" s="48" t="str">
        <f aca="false">IF($A2799="","",IF(NOT(ISNUMBER(F2799)),"Wert fehlt; ",IF(F2799&lt;=0,"Wert ist 0; ",""))&amp;IF(NOT(ISNUMBER(E2799)),"Bestand fehlt; ",IF(E2799&lt;0,"Bestand negativ; ",IF(E2799=0,"Nullbestand; ","")))&amp;IF(D2799="","Warengruppe fehlt; ","")&amp;IF(B2799="","Bezeichnung fehlt; ","")&amp;IF(COUNTIFS($A$2:$A$5001,$A2799,$C$2:$C$5001,C2799)&gt;1,"Artikel doppelt im selben Lager; ",""))</f>
        <v/>
      </c>
      <c r="P2799" s="47" t="n">
        <f aca="false">IF(OR($A2799="",D2799=""),0,IF(COUNTIF($D$2:D2799,D2799)=1,SUMIF($D$2:$D$5001,D2799,$H$2:$H$5001)+ROW()/10000000,0))</f>
        <v>0</v>
      </c>
      <c r="Q2799" s="47" t="n">
        <f aca="false">IF(OR($A2799="",C2799=""),0,IF(COUNTIF($C$2:C2799,C2799)=1,SUMIF($C$2:$C$5001,C2799,$H$2:$H$5001)+ROW()/10000000,0))</f>
        <v>0</v>
      </c>
    </row>
    <row r="2800" customFormat="false" ht="15" hidden="false" customHeight="false" outlineLevel="0" collapsed="false">
      <c r="A2800" s="43"/>
      <c r="B2800" s="44"/>
      <c r="C2800" s="44"/>
      <c r="D2800" s="44"/>
      <c r="E2800" s="44"/>
      <c r="F2800" s="44"/>
      <c r="G2800" s="44"/>
      <c r="H2800" s="46" t="str">
        <f aca="false">IF($A2800="","",IF(OR(NOT(ISNUMBER(E2800)),NOT(ISNUMBER(F2800))),"",MAX(0,E2800)*F2800))</f>
        <v/>
      </c>
      <c r="I2800" s="46" t="str">
        <f aca="false">IF($A2800="","",SUMIF($A$2:$A$5001,$A2800,$H$2:$H$5001))</f>
        <v/>
      </c>
      <c r="J2800" s="47" t="n">
        <f aca="false">IF($A2800="",0,IF(COUNTIF($A$2:A2800,$A2800)=1,1,0))</f>
        <v>0</v>
      </c>
      <c r="K2800" s="47" t="n">
        <f aca="false">IF(J2800=1,N(I2800)+ROW()/10000000,0)</f>
        <v>0</v>
      </c>
      <c r="L2800" s="47" t="str">
        <f aca="false">IF(AND(J2800=1,N(I2800)&gt;0),SUMIF($K$2:$K$5001,"&gt;="&amp;K2800,$I$2:$I$5001)/MAX(1,SUM($H$2:$H$5001)),"")</f>
        <v/>
      </c>
      <c r="M2800" s="47" t="str">
        <f aca="false">IF($A2800="","",INDEX($L$2:$L$5001,MATCH($A2800,$A$2:$A$5001,0)))</f>
        <v/>
      </c>
      <c r="N2800" s="48" t="str">
        <f aca="false">IF($A2800="","",IF(N(M2800)=0,"–",IF(M2800&lt;=Start!$D$20,"A",IF(M2800&lt;=Start!$D$21,"B","C"))))</f>
        <v/>
      </c>
      <c r="O2800" s="48" t="str">
        <f aca="false">IF($A2800="","",IF(NOT(ISNUMBER(F2800)),"Wert fehlt; ",IF(F2800&lt;=0,"Wert ist 0; ",""))&amp;IF(NOT(ISNUMBER(E2800)),"Bestand fehlt; ",IF(E2800&lt;0,"Bestand negativ; ",IF(E2800=0,"Nullbestand; ","")))&amp;IF(D2800="","Warengruppe fehlt; ","")&amp;IF(B2800="","Bezeichnung fehlt; ","")&amp;IF(COUNTIFS($A$2:$A$5001,$A2800,$C$2:$C$5001,C2800)&gt;1,"Artikel doppelt im selben Lager; ",""))</f>
        <v/>
      </c>
      <c r="P2800" s="47" t="n">
        <f aca="false">IF(OR($A2800="",D2800=""),0,IF(COUNTIF($D$2:D2800,D2800)=1,SUMIF($D$2:$D$5001,D2800,$H$2:$H$5001)+ROW()/10000000,0))</f>
        <v>0</v>
      </c>
      <c r="Q2800" s="47" t="n">
        <f aca="false">IF(OR($A2800="",C2800=""),0,IF(COUNTIF($C$2:C2800,C2800)=1,SUMIF($C$2:$C$5001,C2800,$H$2:$H$5001)+ROW()/10000000,0))</f>
        <v>0</v>
      </c>
    </row>
    <row r="2801" customFormat="false" ht="15" hidden="false" customHeight="false" outlineLevel="0" collapsed="false">
      <c r="A2801" s="43"/>
      <c r="B2801" s="44"/>
      <c r="C2801" s="44"/>
      <c r="D2801" s="44"/>
      <c r="E2801" s="44"/>
      <c r="F2801" s="44"/>
      <c r="G2801" s="44"/>
      <c r="H2801" s="46" t="str">
        <f aca="false">IF($A2801="","",IF(OR(NOT(ISNUMBER(E2801)),NOT(ISNUMBER(F2801))),"",MAX(0,E2801)*F2801))</f>
        <v/>
      </c>
      <c r="I2801" s="46" t="str">
        <f aca="false">IF($A2801="","",SUMIF($A$2:$A$5001,$A2801,$H$2:$H$5001))</f>
        <v/>
      </c>
      <c r="J2801" s="47" t="n">
        <f aca="false">IF($A2801="",0,IF(COUNTIF($A$2:A2801,$A2801)=1,1,0))</f>
        <v>0</v>
      </c>
      <c r="K2801" s="47" t="n">
        <f aca="false">IF(J2801=1,N(I2801)+ROW()/10000000,0)</f>
        <v>0</v>
      </c>
      <c r="L2801" s="47" t="str">
        <f aca="false">IF(AND(J2801=1,N(I2801)&gt;0),SUMIF($K$2:$K$5001,"&gt;="&amp;K2801,$I$2:$I$5001)/MAX(1,SUM($H$2:$H$5001)),"")</f>
        <v/>
      </c>
      <c r="M2801" s="47" t="str">
        <f aca="false">IF($A2801="","",INDEX($L$2:$L$5001,MATCH($A2801,$A$2:$A$5001,0)))</f>
        <v/>
      </c>
      <c r="N2801" s="48" t="str">
        <f aca="false">IF($A2801="","",IF(N(M2801)=0,"–",IF(M2801&lt;=Start!$D$20,"A",IF(M2801&lt;=Start!$D$21,"B","C"))))</f>
        <v/>
      </c>
      <c r="O2801" s="48" t="str">
        <f aca="false">IF($A2801="","",IF(NOT(ISNUMBER(F2801)),"Wert fehlt; ",IF(F2801&lt;=0,"Wert ist 0; ",""))&amp;IF(NOT(ISNUMBER(E2801)),"Bestand fehlt; ",IF(E2801&lt;0,"Bestand negativ; ",IF(E2801=0,"Nullbestand; ","")))&amp;IF(D2801="","Warengruppe fehlt; ","")&amp;IF(B2801="","Bezeichnung fehlt; ","")&amp;IF(COUNTIFS($A$2:$A$5001,$A2801,$C$2:$C$5001,C2801)&gt;1,"Artikel doppelt im selben Lager; ",""))</f>
        <v/>
      </c>
      <c r="P2801" s="47" t="n">
        <f aca="false">IF(OR($A2801="",D2801=""),0,IF(COUNTIF($D$2:D2801,D2801)=1,SUMIF($D$2:$D$5001,D2801,$H$2:$H$5001)+ROW()/10000000,0))</f>
        <v>0</v>
      </c>
      <c r="Q2801" s="47" t="n">
        <f aca="false">IF(OR($A2801="",C2801=""),0,IF(COUNTIF($C$2:C2801,C2801)=1,SUMIF($C$2:$C$5001,C2801,$H$2:$H$5001)+ROW()/10000000,0))</f>
        <v>0</v>
      </c>
    </row>
    <row r="2802" customFormat="false" ht="15" hidden="false" customHeight="false" outlineLevel="0" collapsed="false">
      <c r="A2802" s="43"/>
      <c r="B2802" s="44"/>
      <c r="C2802" s="44"/>
      <c r="D2802" s="44"/>
      <c r="E2802" s="44"/>
      <c r="F2802" s="44"/>
      <c r="G2802" s="44"/>
      <c r="H2802" s="46" t="str">
        <f aca="false">IF($A2802="","",IF(OR(NOT(ISNUMBER(E2802)),NOT(ISNUMBER(F2802))),"",MAX(0,E2802)*F2802))</f>
        <v/>
      </c>
      <c r="I2802" s="46" t="str">
        <f aca="false">IF($A2802="","",SUMIF($A$2:$A$5001,$A2802,$H$2:$H$5001))</f>
        <v/>
      </c>
      <c r="J2802" s="47" t="n">
        <f aca="false">IF($A2802="",0,IF(COUNTIF($A$2:A2802,$A2802)=1,1,0))</f>
        <v>0</v>
      </c>
      <c r="K2802" s="47" t="n">
        <f aca="false">IF(J2802=1,N(I2802)+ROW()/10000000,0)</f>
        <v>0</v>
      </c>
      <c r="L2802" s="47" t="str">
        <f aca="false">IF(AND(J2802=1,N(I2802)&gt;0),SUMIF($K$2:$K$5001,"&gt;="&amp;K2802,$I$2:$I$5001)/MAX(1,SUM($H$2:$H$5001)),"")</f>
        <v/>
      </c>
      <c r="M2802" s="47" t="str">
        <f aca="false">IF($A2802="","",INDEX($L$2:$L$5001,MATCH($A2802,$A$2:$A$5001,0)))</f>
        <v/>
      </c>
      <c r="N2802" s="48" t="str">
        <f aca="false">IF($A2802="","",IF(N(M2802)=0,"–",IF(M2802&lt;=Start!$D$20,"A",IF(M2802&lt;=Start!$D$21,"B","C"))))</f>
        <v/>
      </c>
      <c r="O2802" s="48" t="str">
        <f aca="false">IF($A2802="","",IF(NOT(ISNUMBER(F2802)),"Wert fehlt; ",IF(F2802&lt;=0,"Wert ist 0; ",""))&amp;IF(NOT(ISNUMBER(E2802)),"Bestand fehlt; ",IF(E2802&lt;0,"Bestand negativ; ",IF(E2802=0,"Nullbestand; ","")))&amp;IF(D2802="","Warengruppe fehlt; ","")&amp;IF(B2802="","Bezeichnung fehlt; ","")&amp;IF(COUNTIFS($A$2:$A$5001,$A2802,$C$2:$C$5001,C2802)&gt;1,"Artikel doppelt im selben Lager; ",""))</f>
        <v/>
      </c>
      <c r="P2802" s="47" t="n">
        <f aca="false">IF(OR($A2802="",D2802=""),0,IF(COUNTIF($D$2:D2802,D2802)=1,SUMIF($D$2:$D$5001,D2802,$H$2:$H$5001)+ROW()/10000000,0))</f>
        <v>0</v>
      </c>
      <c r="Q2802" s="47" t="n">
        <f aca="false">IF(OR($A2802="",C2802=""),0,IF(COUNTIF($C$2:C2802,C2802)=1,SUMIF($C$2:$C$5001,C2802,$H$2:$H$5001)+ROW()/10000000,0))</f>
        <v>0</v>
      </c>
    </row>
    <row r="2803" customFormat="false" ht="15" hidden="false" customHeight="false" outlineLevel="0" collapsed="false">
      <c r="A2803" s="43"/>
      <c r="B2803" s="44"/>
      <c r="C2803" s="44"/>
      <c r="D2803" s="44"/>
      <c r="E2803" s="44"/>
      <c r="F2803" s="44"/>
      <c r="G2803" s="44"/>
      <c r="H2803" s="46" t="str">
        <f aca="false">IF($A2803="","",IF(OR(NOT(ISNUMBER(E2803)),NOT(ISNUMBER(F2803))),"",MAX(0,E2803)*F2803))</f>
        <v/>
      </c>
      <c r="I2803" s="46" t="str">
        <f aca="false">IF($A2803="","",SUMIF($A$2:$A$5001,$A2803,$H$2:$H$5001))</f>
        <v/>
      </c>
      <c r="J2803" s="47" t="n">
        <f aca="false">IF($A2803="",0,IF(COUNTIF($A$2:A2803,$A2803)=1,1,0))</f>
        <v>0</v>
      </c>
      <c r="K2803" s="47" t="n">
        <f aca="false">IF(J2803=1,N(I2803)+ROW()/10000000,0)</f>
        <v>0</v>
      </c>
      <c r="L2803" s="47" t="str">
        <f aca="false">IF(AND(J2803=1,N(I2803)&gt;0),SUMIF($K$2:$K$5001,"&gt;="&amp;K2803,$I$2:$I$5001)/MAX(1,SUM($H$2:$H$5001)),"")</f>
        <v/>
      </c>
      <c r="M2803" s="47" t="str">
        <f aca="false">IF($A2803="","",INDEX($L$2:$L$5001,MATCH($A2803,$A$2:$A$5001,0)))</f>
        <v/>
      </c>
      <c r="N2803" s="48" t="str">
        <f aca="false">IF($A2803="","",IF(N(M2803)=0,"–",IF(M2803&lt;=Start!$D$20,"A",IF(M2803&lt;=Start!$D$21,"B","C"))))</f>
        <v/>
      </c>
      <c r="O2803" s="48" t="str">
        <f aca="false">IF($A2803="","",IF(NOT(ISNUMBER(F2803)),"Wert fehlt; ",IF(F2803&lt;=0,"Wert ist 0; ",""))&amp;IF(NOT(ISNUMBER(E2803)),"Bestand fehlt; ",IF(E2803&lt;0,"Bestand negativ; ",IF(E2803=0,"Nullbestand; ","")))&amp;IF(D2803="","Warengruppe fehlt; ","")&amp;IF(B2803="","Bezeichnung fehlt; ","")&amp;IF(COUNTIFS($A$2:$A$5001,$A2803,$C$2:$C$5001,C2803)&gt;1,"Artikel doppelt im selben Lager; ",""))</f>
        <v/>
      </c>
      <c r="P2803" s="47" t="n">
        <f aca="false">IF(OR($A2803="",D2803=""),0,IF(COUNTIF($D$2:D2803,D2803)=1,SUMIF($D$2:$D$5001,D2803,$H$2:$H$5001)+ROW()/10000000,0))</f>
        <v>0</v>
      </c>
      <c r="Q2803" s="47" t="n">
        <f aca="false">IF(OR($A2803="",C2803=""),0,IF(COUNTIF($C$2:C2803,C2803)=1,SUMIF($C$2:$C$5001,C2803,$H$2:$H$5001)+ROW()/10000000,0))</f>
        <v>0</v>
      </c>
    </row>
    <row r="2804" customFormat="false" ht="15" hidden="false" customHeight="false" outlineLevel="0" collapsed="false">
      <c r="A2804" s="43"/>
      <c r="B2804" s="44"/>
      <c r="C2804" s="44"/>
      <c r="D2804" s="44"/>
      <c r="E2804" s="44"/>
      <c r="F2804" s="44"/>
      <c r="G2804" s="44"/>
      <c r="H2804" s="46" t="str">
        <f aca="false">IF($A2804="","",IF(OR(NOT(ISNUMBER(E2804)),NOT(ISNUMBER(F2804))),"",MAX(0,E2804)*F2804))</f>
        <v/>
      </c>
      <c r="I2804" s="46" t="str">
        <f aca="false">IF($A2804="","",SUMIF($A$2:$A$5001,$A2804,$H$2:$H$5001))</f>
        <v/>
      </c>
      <c r="J2804" s="47" t="n">
        <f aca="false">IF($A2804="",0,IF(COUNTIF($A$2:A2804,$A2804)=1,1,0))</f>
        <v>0</v>
      </c>
      <c r="K2804" s="47" t="n">
        <f aca="false">IF(J2804=1,N(I2804)+ROW()/10000000,0)</f>
        <v>0</v>
      </c>
      <c r="L2804" s="47" t="str">
        <f aca="false">IF(AND(J2804=1,N(I2804)&gt;0),SUMIF($K$2:$K$5001,"&gt;="&amp;K2804,$I$2:$I$5001)/MAX(1,SUM($H$2:$H$5001)),"")</f>
        <v/>
      </c>
      <c r="M2804" s="47" t="str">
        <f aca="false">IF($A2804="","",INDEX($L$2:$L$5001,MATCH($A2804,$A$2:$A$5001,0)))</f>
        <v/>
      </c>
      <c r="N2804" s="48" t="str">
        <f aca="false">IF($A2804="","",IF(N(M2804)=0,"–",IF(M2804&lt;=Start!$D$20,"A",IF(M2804&lt;=Start!$D$21,"B","C"))))</f>
        <v/>
      </c>
      <c r="O2804" s="48" t="str">
        <f aca="false">IF($A2804="","",IF(NOT(ISNUMBER(F2804)),"Wert fehlt; ",IF(F2804&lt;=0,"Wert ist 0; ",""))&amp;IF(NOT(ISNUMBER(E2804)),"Bestand fehlt; ",IF(E2804&lt;0,"Bestand negativ; ",IF(E2804=0,"Nullbestand; ","")))&amp;IF(D2804="","Warengruppe fehlt; ","")&amp;IF(B2804="","Bezeichnung fehlt; ","")&amp;IF(COUNTIFS($A$2:$A$5001,$A2804,$C$2:$C$5001,C2804)&gt;1,"Artikel doppelt im selben Lager; ",""))</f>
        <v/>
      </c>
      <c r="P2804" s="47" t="n">
        <f aca="false">IF(OR($A2804="",D2804=""),0,IF(COUNTIF($D$2:D2804,D2804)=1,SUMIF($D$2:$D$5001,D2804,$H$2:$H$5001)+ROW()/10000000,0))</f>
        <v>0</v>
      </c>
      <c r="Q2804" s="47" t="n">
        <f aca="false">IF(OR($A2804="",C2804=""),0,IF(COUNTIF($C$2:C2804,C2804)=1,SUMIF($C$2:$C$5001,C2804,$H$2:$H$5001)+ROW()/10000000,0))</f>
        <v>0</v>
      </c>
    </row>
    <row r="2805" customFormat="false" ht="15" hidden="false" customHeight="false" outlineLevel="0" collapsed="false">
      <c r="A2805" s="43"/>
      <c r="B2805" s="44"/>
      <c r="C2805" s="44"/>
      <c r="D2805" s="44"/>
      <c r="E2805" s="44"/>
      <c r="F2805" s="44"/>
      <c r="G2805" s="44"/>
      <c r="H2805" s="46" t="str">
        <f aca="false">IF($A2805="","",IF(OR(NOT(ISNUMBER(E2805)),NOT(ISNUMBER(F2805))),"",MAX(0,E2805)*F2805))</f>
        <v/>
      </c>
      <c r="I2805" s="46" t="str">
        <f aca="false">IF($A2805="","",SUMIF($A$2:$A$5001,$A2805,$H$2:$H$5001))</f>
        <v/>
      </c>
      <c r="J2805" s="47" t="n">
        <f aca="false">IF($A2805="",0,IF(COUNTIF($A$2:A2805,$A2805)=1,1,0))</f>
        <v>0</v>
      </c>
      <c r="K2805" s="47" t="n">
        <f aca="false">IF(J2805=1,N(I2805)+ROW()/10000000,0)</f>
        <v>0</v>
      </c>
      <c r="L2805" s="47" t="str">
        <f aca="false">IF(AND(J2805=1,N(I2805)&gt;0),SUMIF($K$2:$K$5001,"&gt;="&amp;K2805,$I$2:$I$5001)/MAX(1,SUM($H$2:$H$5001)),"")</f>
        <v/>
      </c>
      <c r="M2805" s="47" t="str">
        <f aca="false">IF($A2805="","",INDEX($L$2:$L$5001,MATCH($A2805,$A$2:$A$5001,0)))</f>
        <v/>
      </c>
      <c r="N2805" s="48" t="str">
        <f aca="false">IF($A2805="","",IF(N(M2805)=0,"–",IF(M2805&lt;=Start!$D$20,"A",IF(M2805&lt;=Start!$D$21,"B","C"))))</f>
        <v/>
      </c>
      <c r="O2805" s="48" t="str">
        <f aca="false">IF($A2805="","",IF(NOT(ISNUMBER(F2805)),"Wert fehlt; ",IF(F2805&lt;=0,"Wert ist 0; ",""))&amp;IF(NOT(ISNUMBER(E2805)),"Bestand fehlt; ",IF(E2805&lt;0,"Bestand negativ; ",IF(E2805=0,"Nullbestand; ","")))&amp;IF(D2805="","Warengruppe fehlt; ","")&amp;IF(B2805="","Bezeichnung fehlt; ","")&amp;IF(COUNTIFS($A$2:$A$5001,$A2805,$C$2:$C$5001,C2805)&gt;1,"Artikel doppelt im selben Lager; ",""))</f>
        <v/>
      </c>
      <c r="P2805" s="47" t="n">
        <f aca="false">IF(OR($A2805="",D2805=""),0,IF(COUNTIF($D$2:D2805,D2805)=1,SUMIF($D$2:$D$5001,D2805,$H$2:$H$5001)+ROW()/10000000,0))</f>
        <v>0</v>
      </c>
      <c r="Q2805" s="47" t="n">
        <f aca="false">IF(OR($A2805="",C2805=""),0,IF(COUNTIF($C$2:C2805,C2805)=1,SUMIF($C$2:$C$5001,C2805,$H$2:$H$5001)+ROW()/10000000,0))</f>
        <v>0</v>
      </c>
    </row>
    <row r="2806" customFormat="false" ht="15" hidden="false" customHeight="false" outlineLevel="0" collapsed="false">
      <c r="A2806" s="43"/>
      <c r="B2806" s="44"/>
      <c r="C2806" s="44"/>
      <c r="D2806" s="44"/>
      <c r="E2806" s="44"/>
      <c r="F2806" s="44"/>
      <c r="G2806" s="44"/>
      <c r="H2806" s="46" t="str">
        <f aca="false">IF($A2806="","",IF(OR(NOT(ISNUMBER(E2806)),NOT(ISNUMBER(F2806))),"",MAX(0,E2806)*F2806))</f>
        <v/>
      </c>
      <c r="I2806" s="46" t="str">
        <f aca="false">IF($A2806="","",SUMIF($A$2:$A$5001,$A2806,$H$2:$H$5001))</f>
        <v/>
      </c>
      <c r="J2806" s="47" t="n">
        <f aca="false">IF($A2806="",0,IF(COUNTIF($A$2:A2806,$A2806)=1,1,0))</f>
        <v>0</v>
      </c>
      <c r="K2806" s="47" t="n">
        <f aca="false">IF(J2806=1,N(I2806)+ROW()/10000000,0)</f>
        <v>0</v>
      </c>
      <c r="L2806" s="47" t="str">
        <f aca="false">IF(AND(J2806=1,N(I2806)&gt;0),SUMIF($K$2:$K$5001,"&gt;="&amp;K2806,$I$2:$I$5001)/MAX(1,SUM($H$2:$H$5001)),"")</f>
        <v/>
      </c>
      <c r="M2806" s="47" t="str">
        <f aca="false">IF($A2806="","",INDEX($L$2:$L$5001,MATCH($A2806,$A$2:$A$5001,0)))</f>
        <v/>
      </c>
      <c r="N2806" s="48" t="str">
        <f aca="false">IF($A2806="","",IF(N(M2806)=0,"–",IF(M2806&lt;=Start!$D$20,"A",IF(M2806&lt;=Start!$D$21,"B","C"))))</f>
        <v/>
      </c>
      <c r="O2806" s="48" t="str">
        <f aca="false">IF($A2806="","",IF(NOT(ISNUMBER(F2806)),"Wert fehlt; ",IF(F2806&lt;=0,"Wert ist 0; ",""))&amp;IF(NOT(ISNUMBER(E2806)),"Bestand fehlt; ",IF(E2806&lt;0,"Bestand negativ; ",IF(E2806=0,"Nullbestand; ","")))&amp;IF(D2806="","Warengruppe fehlt; ","")&amp;IF(B2806="","Bezeichnung fehlt; ","")&amp;IF(COUNTIFS($A$2:$A$5001,$A2806,$C$2:$C$5001,C2806)&gt;1,"Artikel doppelt im selben Lager; ",""))</f>
        <v/>
      </c>
      <c r="P2806" s="47" t="n">
        <f aca="false">IF(OR($A2806="",D2806=""),0,IF(COUNTIF($D$2:D2806,D2806)=1,SUMIF($D$2:$D$5001,D2806,$H$2:$H$5001)+ROW()/10000000,0))</f>
        <v>0</v>
      </c>
      <c r="Q2806" s="47" t="n">
        <f aca="false">IF(OR($A2806="",C2806=""),0,IF(COUNTIF($C$2:C2806,C2806)=1,SUMIF($C$2:$C$5001,C2806,$H$2:$H$5001)+ROW()/10000000,0))</f>
        <v>0</v>
      </c>
    </row>
    <row r="2807" customFormat="false" ht="15" hidden="false" customHeight="false" outlineLevel="0" collapsed="false">
      <c r="A2807" s="43"/>
      <c r="B2807" s="44"/>
      <c r="C2807" s="44"/>
      <c r="D2807" s="44"/>
      <c r="E2807" s="44"/>
      <c r="F2807" s="44"/>
      <c r="G2807" s="44"/>
      <c r="H2807" s="46" t="str">
        <f aca="false">IF($A2807="","",IF(OR(NOT(ISNUMBER(E2807)),NOT(ISNUMBER(F2807))),"",MAX(0,E2807)*F2807))</f>
        <v/>
      </c>
      <c r="I2807" s="46" t="str">
        <f aca="false">IF($A2807="","",SUMIF($A$2:$A$5001,$A2807,$H$2:$H$5001))</f>
        <v/>
      </c>
      <c r="J2807" s="47" t="n">
        <f aca="false">IF($A2807="",0,IF(COUNTIF($A$2:A2807,$A2807)=1,1,0))</f>
        <v>0</v>
      </c>
      <c r="K2807" s="47" t="n">
        <f aca="false">IF(J2807=1,N(I2807)+ROW()/10000000,0)</f>
        <v>0</v>
      </c>
      <c r="L2807" s="47" t="str">
        <f aca="false">IF(AND(J2807=1,N(I2807)&gt;0),SUMIF($K$2:$K$5001,"&gt;="&amp;K2807,$I$2:$I$5001)/MAX(1,SUM($H$2:$H$5001)),"")</f>
        <v/>
      </c>
      <c r="M2807" s="47" t="str">
        <f aca="false">IF($A2807="","",INDEX($L$2:$L$5001,MATCH($A2807,$A$2:$A$5001,0)))</f>
        <v/>
      </c>
      <c r="N2807" s="48" t="str">
        <f aca="false">IF($A2807="","",IF(N(M2807)=0,"–",IF(M2807&lt;=Start!$D$20,"A",IF(M2807&lt;=Start!$D$21,"B","C"))))</f>
        <v/>
      </c>
      <c r="O2807" s="48" t="str">
        <f aca="false">IF($A2807="","",IF(NOT(ISNUMBER(F2807)),"Wert fehlt; ",IF(F2807&lt;=0,"Wert ist 0; ",""))&amp;IF(NOT(ISNUMBER(E2807)),"Bestand fehlt; ",IF(E2807&lt;0,"Bestand negativ; ",IF(E2807=0,"Nullbestand; ","")))&amp;IF(D2807="","Warengruppe fehlt; ","")&amp;IF(B2807="","Bezeichnung fehlt; ","")&amp;IF(COUNTIFS($A$2:$A$5001,$A2807,$C$2:$C$5001,C2807)&gt;1,"Artikel doppelt im selben Lager; ",""))</f>
        <v/>
      </c>
      <c r="P2807" s="47" t="n">
        <f aca="false">IF(OR($A2807="",D2807=""),0,IF(COUNTIF($D$2:D2807,D2807)=1,SUMIF($D$2:$D$5001,D2807,$H$2:$H$5001)+ROW()/10000000,0))</f>
        <v>0</v>
      </c>
      <c r="Q2807" s="47" t="n">
        <f aca="false">IF(OR($A2807="",C2807=""),0,IF(COUNTIF($C$2:C2807,C2807)=1,SUMIF($C$2:$C$5001,C2807,$H$2:$H$5001)+ROW()/10000000,0))</f>
        <v>0</v>
      </c>
    </row>
    <row r="2808" customFormat="false" ht="15" hidden="false" customHeight="false" outlineLevel="0" collapsed="false">
      <c r="A2808" s="43"/>
      <c r="B2808" s="44"/>
      <c r="C2808" s="44"/>
      <c r="D2808" s="44"/>
      <c r="E2808" s="44"/>
      <c r="F2808" s="44"/>
      <c r="G2808" s="44"/>
      <c r="H2808" s="46" t="str">
        <f aca="false">IF($A2808="","",IF(OR(NOT(ISNUMBER(E2808)),NOT(ISNUMBER(F2808))),"",MAX(0,E2808)*F2808))</f>
        <v/>
      </c>
      <c r="I2808" s="46" t="str">
        <f aca="false">IF($A2808="","",SUMIF($A$2:$A$5001,$A2808,$H$2:$H$5001))</f>
        <v/>
      </c>
      <c r="J2808" s="47" t="n">
        <f aca="false">IF($A2808="",0,IF(COUNTIF($A$2:A2808,$A2808)=1,1,0))</f>
        <v>0</v>
      </c>
      <c r="K2808" s="47" t="n">
        <f aca="false">IF(J2808=1,N(I2808)+ROW()/10000000,0)</f>
        <v>0</v>
      </c>
      <c r="L2808" s="47" t="str">
        <f aca="false">IF(AND(J2808=1,N(I2808)&gt;0),SUMIF($K$2:$K$5001,"&gt;="&amp;K2808,$I$2:$I$5001)/MAX(1,SUM($H$2:$H$5001)),"")</f>
        <v/>
      </c>
      <c r="M2808" s="47" t="str">
        <f aca="false">IF($A2808="","",INDEX($L$2:$L$5001,MATCH($A2808,$A$2:$A$5001,0)))</f>
        <v/>
      </c>
      <c r="N2808" s="48" t="str">
        <f aca="false">IF($A2808="","",IF(N(M2808)=0,"–",IF(M2808&lt;=Start!$D$20,"A",IF(M2808&lt;=Start!$D$21,"B","C"))))</f>
        <v/>
      </c>
      <c r="O2808" s="48" t="str">
        <f aca="false">IF($A2808="","",IF(NOT(ISNUMBER(F2808)),"Wert fehlt; ",IF(F2808&lt;=0,"Wert ist 0; ",""))&amp;IF(NOT(ISNUMBER(E2808)),"Bestand fehlt; ",IF(E2808&lt;0,"Bestand negativ; ",IF(E2808=0,"Nullbestand; ","")))&amp;IF(D2808="","Warengruppe fehlt; ","")&amp;IF(B2808="","Bezeichnung fehlt; ","")&amp;IF(COUNTIFS($A$2:$A$5001,$A2808,$C$2:$C$5001,C2808)&gt;1,"Artikel doppelt im selben Lager; ",""))</f>
        <v/>
      </c>
      <c r="P2808" s="47" t="n">
        <f aca="false">IF(OR($A2808="",D2808=""),0,IF(COUNTIF($D$2:D2808,D2808)=1,SUMIF($D$2:$D$5001,D2808,$H$2:$H$5001)+ROW()/10000000,0))</f>
        <v>0</v>
      </c>
      <c r="Q2808" s="47" t="n">
        <f aca="false">IF(OR($A2808="",C2808=""),0,IF(COUNTIF($C$2:C2808,C2808)=1,SUMIF($C$2:$C$5001,C2808,$H$2:$H$5001)+ROW()/10000000,0))</f>
        <v>0</v>
      </c>
    </row>
    <row r="2809" customFormat="false" ht="15" hidden="false" customHeight="false" outlineLevel="0" collapsed="false">
      <c r="A2809" s="43"/>
      <c r="B2809" s="44"/>
      <c r="C2809" s="44"/>
      <c r="D2809" s="44"/>
      <c r="E2809" s="44"/>
      <c r="F2809" s="44"/>
      <c r="G2809" s="44"/>
      <c r="H2809" s="46" t="str">
        <f aca="false">IF($A2809="","",IF(OR(NOT(ISNUMBER(E2809)),NOT(ISNUMBER(F2809))),"",MAX(0,E2809)*F2809))</f>
        <v/>
      </c>
      <c r="I2809" s="46" t="str">
        <f aca="false">IF($A2809="","",SUMIF($A$2:$A$5001,$A2809,$H$2:$H$5001))</f>
        <v/>
      </c>
      <c r="J2809" s="47" t="n">
        <f aca="false">IF($A2809="",0,IF(COUNTIF($A$2:A2809,$A2809)=1,1,0))</f>
        <v>0</v>
      </c>
      <c r="K2809" s="47" t="n">
        <f aca="false">IF(J2809=1,N(I2809)+ROW()/10000000,0)</f>
        <v>0</v>
      </c>
      <c r="L2809" s="47" t="str">
        <f aca="false">IF(AND(J2809=1,N(I2809)&gt;0),SUMIF($K$2:$K$5001,"&gt;="&amp;K2809,$I$2:$I$5001)/MAX(1,SUM($H$2:$H$5001)),"")</f>
        <v/>
      </c>
      <c r="M2809" s="47" t="str">
        <f aca="false">IF($A2809="","",INDEX($L$2:$L$5001,MATCH($A2809,$A$2:$A$5001,0)))</f>
        <v/>
      </c>
      <c r="N2809" s="48" t="str">
        <f aca="false">IF($A2809="","",IF(N(M2809)=0,"–",IF(M2809&lt;=Start!$D$20,"A",IF(M2809&lt;=Start!$D$21,"B","C"))))</f>
        <v/>
      </c>
      <c r="O2809" s="48" t="str">
        <f aca="false">IF($A2809="","",IF(NOT(ISNUMBER(F2809)),"Wert fehlt; ",IF(F2809&lt;=0,"Wert ist 0; ",""))&amp;IF(NOT(ISNUMBER(E2809)),"Bestand fehlt; ",IF(E2809&lt;0,"Bestand negativ; ",IF(E2809=0,"Nullbestand; ","")))&amp;IF(D2809="","Warengruppe fehlt; ","")&amp;IF(B2809="","Bezeichnung fehlt; ","")&amp;IF(COUNTIFS($A$2:$A$5001,$A2809,$C$2:$C$5001,C2809)&gt;1,"Artikel doppelt im selben Lager; ",""))</f>
        <v/>
      </c>
      <c r="P2809" s="47" t="n">
        <f aca="false">IF(OR($A2809="",D2809=""),0,IF(COUNTIF($D$2:D2809,D2809)=1,SUMIF($D$2:$D$5001,D2809,$H$2:$H$5001)+ROW()/10000000,0))</f>
        <v>0</v>
      </c>
      <c r="Q2809" s="47" t="n">
        <f aca="false">IF(OR($A2809="",C2809=""),0,IF(COUNTIF($C$2:C2809,C2809)=1,SUMIF($C$2:$C$5001,C2809,$H$2:$H$5001)+ROW()/10000000,0))</f>
        <v>0</v>
      </c>
    </row>
    <row r="2810" customFormat="false" ht="15" hidden="false" customHeight="false" outlineLevel="0" collapsed="false">
      <c r="A2810" s="43"/>
      <c r="B2810" s="44"/>
      <c r="C2810" s="44"/>
      <c r="D2810" s="44"/>
      <c r="E2810" s="44"/>
      <c r="F2810" s="44"/>
      <c r="G2810" s="44"/>
      <c r="H2810" s="46" t="str">
        <f aca="false">IF($A2810="","",IF(OR(NOT(ISNUMBER(E2810)),NOT(ISNUMBER(F2810))),"",MAX(0,E2810)*F2810))</f>
        <v/>
      </c>
      <c r="I2810" s="46" t="str">
        <f aca="false">IF($A2810="","",SUMIF($A$2:$A$5001,$A2810,$H$2:$H$5001))</f>
        <v/>
      </c>
      <c r="J2810" s="47" t="n">
        <f aca="false">IF($A2810="",0,IF(COUNTIF($A$2:A2810,$A2810)=1,1,0))</f>
        <v>0</v>
      </c>
      <c r="K2810" s="47" t="n">
        <f aca="false">IF(J2810=1,N(I2810)+ROW()/10000000,0)</f>
        <v>0</v>
      </c>
      <c r="L2810" s="47" t="str">
        <f aca="false">IF(AND(J2810=1,N(I2810)&gt;0),SUMIF($K$2:$K$5001,"&gt;="&amp;K2810,$I$2:$I$5001)/MAX(1,SUM($H$2:$H$5001)),"")</f>
        <v/>
      </c>
      <c r="M2810" s="47" t="str">
        <f aca="false">IF($A2810="","",INDEX($L$2:$L$5001,MATCH($A2810,$A$2:$A$5001,0)))</f>
        <v/>
      </c>
      <c r="N2810" s="48" t="str">
        <f aca="false">IF($A2810="","",IF(N(M2810)=0,"–",IF(M2810&lt;=Start!$D$20,"A",IF(M2810&lt;=Start!$D$21,"B","C"))))</f>
        <v/>
      </c>
      <c r="O2810" s="48" t="str">
        <f aca="false">IF($A2810="","",IF(NOT(ISNUMBER(F2810)),"Wert fehlt; ",IF(F2810&lt;=0,"Wert ist 0; ",""))&amp;IF(NOT(ISNUMBER(E2810)),"Bestand fehlt; ",IF(E2810&lt;0,"Bestand negativ; ",IF(E2810=0,"Nullbestand; ","")))&amp;IF(D2810="","Warengruppe fehlt; ","")&amp;IF(B2810="","Bezeichnung fehlt; ","")&amp;IF(COUNTIFS($A$2:$A$5001,$A2810,$C$2:$C$5001,C2810)&gt;1,"Artikel doppelt im selben Lager; ",""))</f>
        <v/>
      </c>
      <c r="P2810" s="47" t="n">
        <f aca="false">IF(OR($A2810="",D2810=""),0,IF(COUNTIF($D$2:D2810,D2810)=1,SUMIF($D$2:$D$5001,D2810,$H$2:$H$5001)+ROW()/10000000,0))</f>
        <v>0</v>
      </c>
      <c r="Q2810" s="47" t="n">
        <f aca="false">IF(OR($A2810="",C2810=""),0,IF(COUNTIF($C$2:C2810,C2810)=1,SUMIF($C$2:$C$5001,C2810,$H$2:$H$5001)+ROW()/10000000,0))</f>
        <v>0</v>
      </c>
    </row>
    <row r="2811" customFormat="false" ht="15" hidden="false" customHeight="false" outlineLevel="0" collapsed="false">
      <c r="A2811" s="43"/>
      <c r="B2811" s="44"/>
      <c r="C2811" s="44"/>
      <c r="D2811" s="44"/>
      <c r="E2811" s="44"/>
      <c r="F2811" s="44"/>
      <c r="G2811" s="44"/>
      <c r="H2811" s="46" t="str">
        <f aca="false">IF($A2811="","",IF(OR(NOT(ISNUMBER(E2811)),NOT(ISNUMBER(F2811))),"",MAX(0,E2811)*F2811))</f>
        <v/>
      </c>
      <c r="I2811" s="46" t="str">
        <f aca="false">IF($A2811="","",SUMIF($A$2:$A$5001,$A2811,$H$2:$H$5001))</f>
        <v/>
      </c>
      <c r="J2811" s="47" t="n">
        <f aca="false">IF($A2811="",0,IF(COUNTIF($A$2:A2811,$A2811)=1,1,0))</f>
        <v>0</v>
      </c>
      <c r="K2811" s="47" t="n">
        <f aca="false">IF(J2811=1,N(I2811)+ROW()/10000000,0)</f>
        <v>0</v>
      </c>
      <c r="L2811" s="47" t="str">
        <f aca="false">IF(AND(J2811=1,N(I2811)&gt;0),SUMIF($K$2:$K$5001,"&gt;="&amp;K2811,$I$2:$I$5001)/MAX(1,SUM($H$2:$H$5001)),"")</f>
        <v/>
      </c>
      <c r="M2811" s="47" t="str">
        <f aca="false">IF($A2811="","",INDEX($L$2:$L$5001,MATCH($A2811,$A$2:$A$5001,0)))</f>
        <v/>
      </c>
      <c r="N2811" s="48" t="str">
        <f aca="false">IF($A2811="","",IF(N(M2811)=0,"–",IF(M2811&lt;=Start!$D$20,"A",IF(M2811&lt;=Start!$D$21,"B","C"))))</f>
        <v/>
      </c>
      <c r="O2811" s="48" t="str">
        <f aca="false">IF($A2811="","",IF(NOT(ISNUMBER(F2811)),"Wert fehlt; ",IF(F2811&lt;=0,"Wert ist 0; ",""))&amp;IF(NOT(ISNUMBER(E2811)),"Bestand fehlt; ",IF(E2811&lt;0,"Bestand negativ; ",IF(E2811=0,"Nullbestand; ","")))&amp;IF(D2811="","Warengruppe fehlt; ","")&amp;IF(B2811="","Bezeichnung fehlt; ","")&amp;IF(COUNTIFS($A$2:$A$5001,$A2811,$C$2:$C$5001,C2811)&gt;1,"Artikel doppelt im selben Lager; ",""))</f>
        <v/>
      </c>
      <c r="P2811" s="47" t="n">
        <f aca="false">IF(OR($A2811="",D2811=""),0,IF(COUNTIF($D$2:D2811,D2811)=1,SUMIF($D$2:$D$5001,D2811,$H$2:$H$5001)+ROW()/10000000,0))</f>
        <v>0</v>
      </c>
      <c r="Q2811" s="47" t="n">
        <f aca="false">IF(OR($A2811="",C2811=""),0,IF(COUNTIF($C$2:C2811,C2811)=1,SUMIF($C$2:$C$5001,C2811,$H$2:$H$5001)+ROW()/10000000,0))</f>
        <v>0</v>
      </c>
    </row>
    <row r="2812" customFormat="false" ht="15" hidden="false" customHeight="false" outlineLevel="0" collapsed="false">
      <c r="A2812" s="43"/>
      <c r="B2812" s="44"/>
      <c r="C2812" s="44"/>
      <c r="D2812" s="44"/>
      <c r="E2812" s="44"/>
      <c r="F2812" s="44"/>
      <c r="G2812" s="44"/>
      <c r="H2812" s="46" t="str">
        <f aca="false">IF($A2812="","",IF(OR(NOT(ISNUMBER(E2812)),NOT(ISNUMBER(F2812))),"",MAX(0,E2812)*F2812))</f>
        <v/>
      </c>
      <c r="I2812" s="46" t="str">
        <f aca="false">IF($A2812="","",SUMIF($A$2:$A$5001,$A2812,$H$2:$H$5001))</f>
        <v/>
      </c>
      <c r="J2812" s="47" t="n">
        <f aca="false">IF($A2812="",0,IF(COUNTIF($A$2:A2812,$A2812)=1,1,0))</f>
        <v>0</v>
      </c>
      <c r="K2812" s="47" t="n">
        <f aca="false">IF(J2812=1,N(I2812)+ROW()/10000000,0)</f>
        <v>0</v>
      </c>
      <c r="L2812" s="47" t="str">
        <f aca="false">IF(AND(J2812=1,N(I2812)&gt;0),SUMIF($K$2:$K$5001,"&gt;="&amp;K2812,$I$2:$I$5001)/MAX(1,SUM($H$2:$H$5001)),"")</f>
        <v/>
      </c>
      <c r="M2812" s="47" t="str">
        <f aca="false">IF($A2812="","",INDEX($L$2:$L$5001,MATCH($A2812,$A$2:$A$5001,0)))</f>
        <v/>
      </c>
      <c r="N2812" s="48" t="str">
        <f aca="false">IF($A2812="","",IF(N(M2812)=0,"–",IF(M2812&lt;=Start!$D$20,"A",IF(M2812&lt;=Start!$D$21,"B","C"))))</f>
        <v/>
      </c>
      <c r="O2812" s="48" t="str">
        <f aca="false">IF($A2812="","",IF(NOT(ISNUMBER(F2812)),"Wert fehlt; ",IF(F2812&lt;=0,"Wert ist 0; ",""))&amp;IF(NOT(ISNUMBER(E2812)),"Bestand fehlt; ",IF(E2812&lt;0,"Bestand negativ; ",IF(E2812=0,"Nullbestand; ","")))&amp;IF(D2812="","Warengruppe fehlt; ","")&amp;IF(B2812="","Bezeichnung fehlt; ","")&amp;IF(COUNTIFS($A$2:$A$5001,$A2812,$C$2:$C$5001,C2812)&gt;1,"Artikel doppelt im selben Lager; ",""))</f>
        <v/>
      </c>
      <c r="P2812" s="47" t="n">
        <f aca="false">IF(OR($A2812="",D2812=""),0,IF(COUNTIF($D$2:D2812,D2812)=1,SUMIF($D$2:$D$5001,D2812,$H$2:$H$5001)+ROW()/10000000,0))</f>
        <v>0</v>
      </c>
      <c r="Q2812" s="47" t="n">
        <f aca="false">IF(OR($A2812="",C2812=""),0,IF(COUNTIF($C$2:C2812,C2812)=1,SUMIF($C$2:$C$5001,C2812,$H$2:$H$5001)+ROW()/10000000,0))</f>
        <v>0</v>
      </c>
    </row>
    <row r="2813" customFormat="false" ht="15" hidden="false" customHeight="false" outlineLevel="0" collapsed="false">
      <c r="A2813" s="43"/>
      <c r="B2813" s="44"/>
      <c r="C2813" s="44"/>
      <c r="D2813" s="44"/>
      <c r="E2813" s="44"/>
      <c r="F2813" s="44"/>
      <c r="G2813" s="44"/>
      <c r="H2813" s="46" t="str">
        <f aca="false">IF($A2813="","",IF(OR(NOT(ISNUMBER(E2813)),NOT(ISNUMBER(F2813))),"",MAX(0,E2813)*F2813))</f>
        <v/>
      </c>
      <c r="I2813" s="46" t="str">
        <f aca="false">IF($A2813="","",SUMIF($A$2:$A$5001,$A2813,$H$2:$H$5001))</f>
        <v/>
      </c>
      <c r="J2813" s="47" t="n">
        <f aca="false">IF($A2813="",0,IF(COUNTIF($A$2:A2813,$A2813)=1,1,0))</f>
        <v>0</v>
      </c>
      <c r="K2813" s="47" t="n">
        <f aca="false">IF(J2813=1,N(I2813)+ROW()/10000000,0)</f>
        <v>0</v>
      </c>
      <c r="L2813" s="47" t="str">
        <f aca="false">IF(AND(J2813=1,N(I2813)&gt;0),SUMIF($K$2:$K$5001,"&gt;="&amp;K2813,$I$2:$I$5001)/MAX(1,SUM($H$2:$H$5001)),"")</f>
        <v/>
      </c>
      <c r="M2813" s="47" t="str">
        <f aca="false">IF($A2813="","",INDEX($L$2:$L$5001,MATCH($A2813,$A$2:$A$5001,0)))</f>
        <v/>
      </c>
      <c r="N2813" s="48" t="str">
        <f aca="false">IF($A2813="","",IF(N(M2813)=0,"–",IF(M2813&lt;=Start!$D$20,"A",IF(M2813&lt;=Start!$D$21,"B","C"))))</f>
        <v/>
      </c>
      <c r="O2813" s="48" t="str">
        <f aca="false">IF($A2813="","",IF(NOT(ISNUMBER(F2813)),"Wert fehlt; ",IF(F2813&lt;=0,"Wert ist 0; ",""))&amp;IF(NOT(ISNUMBER(E2813)),"Bestand fehlt; ",IF(E2813&lt;0,"Bestand negativ; ",IF(E2813=0,"Nullbestand; ","")))&amp;IF(D2813="","Warengruppe fehlt; ","")&amp;IF(B2813="","Bezeichnung fehlt; ","")&amp;IF(COUNTIFS($A$2:$A$5001,$A2813,$C$2:$C$5001,C2813)&gt;1,"Artikel doppelt im selben Lager; ",""))</f>
        <v/>
      </c>
      <c r="P2813" s="47" t="n">
        <f aca="false">IF(OR($A2813="",D2813=""),0,IF(COUNTIF($D$2:D2813,D2813)=1,SUMIF($D$2:$D$5001,D2813,$H$2:$H$5001)+ROW()/10000000,0))</f>
        <v>0</v>
      </c>
      <c r="Q2813" s="47" t="n">
        <f aca="false">IF(OR($A2813="",C2813=""),0,IF(COUNTIF($C$2:C2813,C2813)=1,SUMIF($C$2:$C$5001,C2813,$H$2:$H$5001)+ROW()/10000000,0))</f>
        <v>0</v>
      </c>
    </row>
    <row r="2814" customFormat="false" ht="15" hidden="false" customHeight="false" outlineLevel="0" collapsed="false">
      <c r="A2814" s="43"/>
      <c r="B2814" s="44"/>
      <c r="C2814" s="44"/>
      <c r="D2814" s="44"/>
      <c r="E2814" s="44"/>
      <c r="F2814" s="44"/>
      <c r="G2814" s="44"/>
      <c r="H2814" s="46" t="str">
        <f aca="false">IF($A2814="","",IF(OR(NOT(ISNUMBER(E2814)),NOT(ISNUMBER(F2814))),"",MAX(0,E2814)*F2814))</f>
        <v/>
      </c>
      <c r="I2814" s="46" t="str">
        <f aca="false">IF($A2814="","",SUMIF($A$2:$A$5001,$A2814,$H$2:$H$5001))</f>
        <v/>
      </c>
      <c r="J2814" s="47" t="n">
        <f aca="false">IF($A2814="",0,IF(COUNTIF($A$2:A2814,$A2814)=1,1,0))</f>
        <v>0</v>
      </c>
      <c r="K2814" s="47" t="n">
        <f aca="false">IF(J2814=1,N(I2814)+ROW()/10000000,0)</f>
        <v>0</v>
      </c>
      <c r="L2814" s="47" t="str">
        <f aca="false">IF(AND(J2814=1,N(I2814)&gt;0),SUMIF($K$2:$K$5001,"&gt;="&amp;K2814,$I$2:$I$5001)/MAX(1,SUM($H$2:$H$5001)),"")</f>
        <v/>
      </c>
      <c r="M2814" s="47" t="str">
        <f aca="false">IF($A2814="","",INDEX($L$2:$L$5001,MATCH($A2814,$A$2:$A$5001,0)))</f>
        <v/>
      </c>
      <c r="N2814" s="48" t="str">
        <f aca="false">IF($A2814="","",IF(N(M2814)=0,"–",IF(M2814&lt;=Start!$D$20,"A",IF(M2814&lt;=Start!$D$21,"B","C"))))</f>
        <v/>
      </c>
      <c r="O2814" s="48" t="str">
        <f aca="false">IF($A2814="","",IF(NOT(ISNUMBER(F2814)),"Wert fehlt; ",IF(F2814&lt;=0,"Wert ist 0; ",""))&amp;IF(NOT(ISNUMBER(E2814)),"Bestand fehlt; ",IF(E2814&lt;0,"Bestand negativ; ",IF(E2814=0,"Nullbestand; ","")))&amp;IF(D2814="","Warengruppe fehlt; ","")&amp;IF(B2814="","Bezeichnung fehlt; ","")&amp;IF(COUNTIFS($A$2:$A$5001,$A2814,$C$2:$C$5001,C2814)&gt;1,"Artikel doppelt im selben Lager; ",""))</f>
        <v/>
      </c>
      <c r="P2814" s="47" t="n">
        <f aca="false">IF(OR($A2814="",D2814=""),0,IF(COUNTIF($D$2:D2814,D2814)=1,SUMIF($D$2:$D$5001,D2814,$H$2:$H$5001)+ROW()/10000000,0))</f>
        <v>0</v>
      </c>
      <c r="Q2814" s="47" t="n">
        <f aca="false">IF(OR($A2814="",C2814=""),0,IF(COUNTIF($C$2:C2814,C2814)=1,SUMIF($C$2:$C$5001,C2814,$H$2:$H$5001)+ROW()/10000000,0))</f>
        <v>0</v>
      </c>
    </row>
    <row r="2815" customFormat="false" ht="15" hidden="false" customHeight="false" outlineLevel="0" collapsed="false">
      <c r="A2815" s="43"/>
      <c r="B2815" s="44"/>
      <c r="C2815" s="44"/>
      <c r="D2815" s="44"/>
      <c r="E2815" s="44"/>
      <c r="F2815" s="44"/>
      <c r="G2815" s="44"/>
      <c r="H2815" s="46" t="str">
        <f aca="false">IF($A2815="","",IF(OR(NOT(ISNUMBER(E2815)),NOT(ISNUMBER(F2815))),"",MAX(0,E2815)*F2815))</f>
        <v/>
      </c>
      <c r="I2815" s="46" t="str">
        <f aca="false">IF($A2815="","",SUMIF($A$2:$A$5001,$A2815,$H$2:$H$5001))</f>
        <v/>
      </c>
      <c r="J2815" s="47" t="n">
        <f aca="false">IF($A2815="",0,IF(COUNTIF($A$2:A2815,$A2815)=1,1,0))</f>
        <v>0</v>
      </c>
      <c r="K2815" s="47" t="n">
        <f aca="false">IF(J2815=1,N(I2815)+ROW()/10000000,0)</f>
        <v>0</v>
      </c>
      <c r="L2815" s="47" t="str">
        <f aca="false">IF(AND(J2815=1,N(I2815)&gt;0),SUMIF($K$2:$K$5001,"&gt;="&amp;K2815,$I$2:$I$5001)/MAX(1,SUM($H$2:$H$5001)),"")</f>
        <v/>
      </c>
      <c r="M2815" s="47" t="str">
        <f aca="false">IF($A2815="","",INDEX($L$2:$L$5001,MATCH($A2815,$A$2:$A$5001,0)))</f>
        <v/>
      </c>
      <c r="N2815" s="48" t="str">
        <f aca="false">IF($A2815="","",IF(N(M2815)=0,"–",IF(M2815&lt;=Start!$D$20,"A",IF(M2815&lt;=Start!$D$21,"B","C"))))</f>
        <v/>
      </c>
      <c r="O2815" s="48" t="str">
        <f aca="false">IF($A2815="","",IF(NOT(ISNUMBER(F2815)),"Wert fehlt; ",IF(F2815&lt;=0,"Wert ist 0; ",""))&amp;IF(NOT(ISNUMBER(E2815)),"Bestand fehlt; ",IF(E2815&lt;0,"Bestand negativ; ",IF(E2815=0,"Nullbestand; ","")))&amp;IF(D2815="","Warengruppe fehlt; ","")&amp;IF(B2815="","Bezeichnung fehlt; ","")&amp;IF(COUNTIFS($A$2:$A$5001,$A2815,$C$2:$C$5001,C2815)&gt;1,"Artikel doppelt im selben Lager; ",""))</f>
        <v/>
      </c>
      <c r="P2815" s="47" t="n">
        <f aca="false">IF(OR($A2815="",D2815=""),0,IF(COUNTIF($D$2:D2815,D2815)=1,SUMIF($D$2:$D$5001,D2815,$H$2:$H$5001)+ROW()/10000000,0))</f>
        <v>0</v>
      </c>
      <c r="Q2815" s="47" t="n">
        <f aca="false">IF(OR($A2815="",C2815=""),0,IF(COUNTIF($C$2:C2815,C2815)=1,SUMIF($C$2:$C$5001,C2815,$H$2:$H$5001)+ROW()/10000000,0))</f>
        <v>0</v>
      </c>
    </row>
    <row r="2816" customFormat="false" ht="15" hidden="false" customHeight="false" outlineLevel="0" collapsed="false">
      <c r="A2816" s="43"/>
      <c r="B2816" s="44"/>
      <c r="C2816" s="44"/>
      <c r="D2816" s="44"/>
      <c r="E2816" s="44"/>
      <c r="F2816" s="44"/>
      <c r="G2816" s="44"/>
      <c r="H2816" s="46" t="str">
        <f aca="false">IF($A2816="","",IF(OR(NOT(ISNUMBER(E2816)),NOT(ISNUMBER(F2816))),"",MAX(0,E2816)*F2816))</f>
        <v/>
      </c>
      <c r="I2816" s="46" t="str">
        <f aca="false">IF($A2816="","",SUMIF($A$2:$A$5001,$A2816,$H$2:$H$5001))</f>
        <v/>
      </c>
      <c r="J2816" s="47" t="n">
        <f aca="false">IF($A2816="",0,IF(COUNTIF($A$2:A2816,$A2816)=1,1,0))</f>
        <v>0</v>
      </c>
      <c r="K2816" s="47" t="n">
        <f aca="false">IF(J2816=1,N(I2816)+ROW()/10000000,0)</f>
        <v>0</v>
      </c>
      <c r="L2816" s="47" t="str">
        <f aca="false">IF(AND(J2816=1,N(I2816)&gt;0),SUMIF($K$2:$K$5001,"&gt;="&amp;K2816,$I$2:$I$5001)/MAX(1,SUM($H$2:$H$5001)),"")</f>
        <v/>
      </c>
      <c r="M2816" s="47" t="str">
        <f aca="false">IF($A2816="","",INDEX($L$2:$L$5001,MATCH($A2816,$A$2:$A$5001,0)))</f>
        <v/>
      </c>
      <c r="N2816" s="48" t="str">
        <f aca="false">IF($A2816="","",IF(N(M2816)=0,"–",IF(M2816&lt;=Start!$D$20,"A",IF(M2816&lt;=Start!$D$21,"B","C"))))</f>
        <v/>
      </c>
      <c r="O2816" s="48" t="str">
        <f aca="false">IF($A2816="","",IF(NOT(ISNUMBER(F2816)),"Wert fehlt; ",IF(F2816&lt;=0,"Wert ist 0; ",""))&amp;IF(NOT(ISNUMBER(E2816)),"Bestand fehlt; ",IF(E2816&lt;0,"Bestand negativ; ",IF(E2816=0,"Nullbestand; ","")))&amp;IF(D2816="","Warengruppe fehlt; ","")&amp;IF(B2816="","Bezeichnung fehlt; ","")&amp;IF(COUNTIFS($A$2:$A$5001,$A2816,$C$2:$C$5001,C2816)&gt;1,"Artikel doppelt im selben Lager; ",""))</f>
        <v/>
      </c>
      <c r="P2816" s="47" t="n">
        <f aca="false">IF(OR($A2816="",D2816=""),0,IF(COUNTIF($D$2:D2816,D2816)=1,SUMIF($D$2:$D$5001,D2816,$H$2:$H$5001)+ROW()/10000000,0))</f>
        <v>0</v>
      </c>
      <c r="Q2816" s="47" t="n">
        <f aca="false">IF(OR($A2816="",C2816=""),0,IF(COUNTIF($C$2:C2816,C2816)=1,SUMIF($C$2:$C$5001,C2816,$H$2:$H$5001)+ROW()/10000000,0))</f>
        <v>0</v>
      </c>
    </row>
    <row r="2817" customFormat="false" ht="15" hidden="false" customHeight="false" outlineLevel="0" collapsed="false">
      <c r="A2817" s="43"/>
      <c r="B2817" s="44"/>
      <c r="C2817" s="44"/>
      <c r="D2817" s="44"/>
      <c r="E2817" s="44"/>
      <c r="F2817" s="44"/>
      <c r="G2817" s="44"/>
      <c r="H2817" s="46" t="str">
        <f aca="false">IF($A2817="","",IF(OR(NOT(ISNUMBER(E2817)),NOT(ISNUMBER(F2817))),"",MAX(0,E2817)*F2817))</f>
        <v/>
      </c>
      <c r="I2817" s="46" t="str">
        <f aca="false">IF($A2817="","",SUMIF($A$2:$A$5001,$A2817,$H$2:$H$5001))</f>
        <v/>
      </c>
      <c r="J2817" s="47" t="n">
        <f aca="false">IF($A2817="",0,IF(COUNTIF($A$2:A2817,$A2817)=1,1,0))</f>
        <v>0</v>
      </c>
      <c r="K2817" s="47" t="n">
        <f aca="false">IF(J2817=1,N(I2817)+ROW()/10000000,0)</f>
        <v>0</v>
      </c>
      <c r="L2817" s="47" t="str">
        <f aca="false">IF(AND(J2817=1,N(I2817)&gt;0),SUMIF($K$2:$K$5001,"&gt;="&amp;K2817,$I$2:$I$5001)/MAX(1,SUM($H$2:$H$5001)),"")</f>
        <v/>
      </c>
      <c r="M2817" s="47" t="str">
        <f aca="false">IF($A2817="","",INDEX($L$2:$L$5001,MATCH($A2817,$A$2:$A$5001,0)))</f>
        <v/>
      </c>
      <c r="N2817" s="48" t="str">
        <f aca="false">IF($A2817="","",IF(N(M2817)=0,"–",IF(M2817&lt;=Start!$D$20,"A",IF(M2817&lt;=Start!$D$21,"B","C"))))</f>
        <v/>
      </c>
      <c r="O2817" s="48" t="str">
        <f aca="false">IF($A2817="","",IF(NOT(ISNUMBER(F2817)),"Wert fehlt; ",IF(F2817&lt;=0,"Wert ist 0; ",""))&amp;IF(NOT(ISNUMBER(E2817)),"Bestand fehlt; ",IF(E2817&lt;0,"Bestand negativ; ",IF(E2817=0,"Nullbestand; ","")))&amp;IF(D2817="","Warengruppe fehlt; ","")&amp;IF(B2817="","Bezeichnung fehlt; ","")&amp;IF(COUNTIFS($A$2:$A$5001,$A2817,$C$2:$C$5001,C2817)&gt;1,"Artikel doppelt im selben Lager; ",""))</f>
        <v/>
      </c>
      <c r="P2817" s="47" t="n">
        <f aca="false">IF(OR($A2817="",D2817=""),0,IF(COUNTIF($D$2:D2817,D2817)=1,SUMIF($D$2:$D$5001,D2817,$H$2:$H$5001)+ROW()/10000000,0))</f>
        <v>0</v>
      </c>
      <c r="Q2817" s="47" t="n">
        <f aca="false">IF(OR($A2817="",C2817=""),0,IF(COUNTIF($C$2:C2817,C2817)=1,SUMIF($C$2:$C$5001,C2817,$H$2:$H$5001)+ROW()/10000000,0))</f>
        <v>0</v>
      </c>
    </row>
    <row r="2818" customFormat="false" ht="15" hidden="false" customHeight="false" outlineLevel="0" collapsed="false">
      <c r="A2818" s="43"/>
      <c r="B2818" s="44"/>
      <c r="C2818" s="44"/>
      <c r="D2818" s="44"/>
      <c r="E2818" s="44"/>
      <c r="F2818" s="44"/>
      <c r="G2818" s="44"/>
      <c r="H2818" s="46" t="str">
        <f aca="false">IF($A2818="","",IF(OR(NOT(ISNUMBER(E2818)),NOT(ISNUMBER(F2818))),"",MAX(0,E2818)*F2818))</f>
        <v/>
      </c>
      <c r="I2818" s="46" t="str">
        <f aca="false">IF($A2818="","",SUMIF($A$2:$A$5001,$A2818,$H$2:$H$5001))</f>
        <v/>
      </c>
      <c r="J2818" s="47" t="n">
        <f aca="false">IF($A2818="",0,IF(COUNTIF($A$2:A2818,$A2818)=1,1,0))</f>
        <v>0</v>
      </c>
      <c r="K2818" s="47" t="n">
        <f aca="false">IF(J2818=1,N(I2818)+ROW()/10000000,0)</f>
        <v>0</v>
      </c>
      <c r="L2818" s="47" t="str">
        <f aca="false">IF(AND(J2818=1,N(I2818)&gt;0),SUMIF($K$2:$K$5001,"&gt;="&amp;K2818,$I$2:$I$5001)/MAX(1,SUM($H$2:$H$5001)),"")</f>
        <v/>
      </c>
      <c r="M2818" s="47" t="str">
        <f aca="false">IF($A2818="","",INDEX($L$2:$L$5001,MATCH($A2818,$A$2:$A$5001,0)))</f>
        <v/>
      </c>
      <c r="N2818" s="48" t="str">
        <f aca="false">IF($A2818="","",IF(N(M2818)=0,"–",IF(M2818&lt;=Start!$D$20,"A",IF(M2818&lt;=Start!$D$21,"B","C"))))</f>
        <v/>
      </c>
      <c r="O2818" s="48" t="str">
        <f aca="false">IF($A2818="","",IF(NOT(ISNUMBER(F2818)),"Wert fehlt; ",IF(F2818&lt;=0,"Wert ist 0; ",""))&amp;IF(NOT(ISNUMBER(E2818)),"Bestand fehlt; ",IF(E2818&lt;0,"Bestand negativ; ",IF(E2818=0,"Nullbestand; ","")))&amp;IF(D2818="","Warengruppe fehlt; ","")&amp;IF(B2818="","Bezeichnung fehlt; ","")&amp;IF(COUNTIFS($A$2:$A$5001,$A2818,$C$2:$C$5001,C2818)&gt;1,"Artikel doppelt im selben Lager; ",""))</f>
        <v/>
      </c>
      <c r="P2818" s="47" t="n">
        <f aca="false">IF(OR($A2818="",D2818=""),0,IF(COUNTIF($D$2:D2818,D2818)=1,SUMIF($D$2:$D$5001,D2818,$H$2:$H$5001)+ROW()/10000000,0))</f>
        <v>0</v>
      </c>
      <c r="Q2818" s="47" t="n">
        <f aca="false">IF(OR($A2818="",C2818=""),0,IF(COUNTIF($C$2:C2818,C2818)=1,SUMIF($C$2:$C$5001,C2818,$H$2:$H$5001)+ROW()/10000000,0))</f>
        <v>0</v>
      </c>
    </row>
    <row r="2819" customFormat="false" ht="15" hidden="false" customHeight="false" outlineLevel="0" collapsed="false">
      <c r="A2819" s="43"/>
      <c r="B2819" s="44"/>
      <c r="C2819" s="44"/>
      <c r="D2819" s="44"/>
      <c r="E2819" s="44"/>
      <c r="F2819" s="44"/>
      <c r="G2819" s="44"/>
      <c r="H2819" s="46" t="str">
        <f aca="false">IF($A2819="","",IF(OR(NOT(ISNUMBER(E2819)),NOT(ISNUMBER(F2819))),"",MAX(0,E2819)*F2819))</f>
        <v/>
      </c>
      <c r="I2819" s="46" t="str">
        <f aca="false">IF($A2819="","",SUMIF($A$2:$A$5001,$A2819,$H$2:$H$5001))</f>
        <v/>
      </c>
      <c r="J2819" s="47" t="n">
        <f aca="false">IF($A2819="",0,IF(COUNTIF($A$2:A2819,$A2819)=1,1,0))</f>
        <v>0</v>
      </c>
      <c r="K2819" s="47" t="n">
        <f aca="false">IF(J2819=1,N(I2819)+ROW()/10000000,0)</f>
        <v>0</v>
      </c>
      <c r="L2819" s="47" t="str">
        <f aca="false">IF(AND(J2819=1,N(I2819)&gt;0),SUMIF($K$2:$K$5001,"&gt;="&amp;K2819,$I$2:$I$5001)/MAX(1,SUM($H$2:$H$5001)),"")</f>
        <v/>
      </c>
      <c r="M2819" s="47" t="str">
        <f aca="false">IF($A2819="","",INDEX($L$2:$L$5001,MATCH($A2819,$A$2:$A$5001,0)))</f>
        <v/>
      </c>
      <c r="N2819" s="48" t="str">
        <f aca="false">IF($A2819="","",IF(N(M2819)=0,"–",IF(M2819&lt;=Start!$D$20,"A",IF(M2819&lt;=Start!$D$21,"B","C"))))</f>
        <v/>
      </c>
      <c r="O2819" s="48" t="str">
        <f aca="false">IF($A2819="","",IF(NOT(ISNUMBER(F2819)),"Wert fehlt; ",IF(F2819&lt;=0,"Wert ist 0; ",""))&amp;IF(NOT(ISNUMBER(E2819)),"Bestand fehlt; ",IF(E2819&lt;0,"Bestand negativ; ",IF(E2819=0,"Nullbestand; ","")))&amp;IF(D2819="","Warengruppe fehlt; ","")&amp;IF(B2819="","Bezeichnung fehlt; ","")&amp;IF(COUNTIFS($A$2:$A$5001,$A2819,$C$2:$C$5001,C2819)&gt;1,"Artikel doppelt im selben Lager; ",""))</f>
        <v/>
      </c>
      <c r="P2819" s="47" t="n">
        <f aca="false">IF(OR($A2819="",D2819=""),0,IF(COUNTIF($D$2:D2819,D2819)=1,SUMIF($D$2:$D$5001,D2819,$H$2:$H$5001)+ROW()/10000000,0))</f>
        <v>0</v>
      </c>
      <c r="Q2819" s="47" t="n">
        <f aca="false">IF(OR($A2819="",C2819=""),0,IF(COUNTIF($C$2:C2819,C2819)=1,SUMIF($C$2:$C$5001,C2819,$H$2:$H$5001)+ROW()/10000000,0))</f>
        <v>0</v>
      </c>
    </row>
    <row r="2820" customFormat="false" ht="15" hidden="false" customHeight="false" outlineLevel="0" collapsed="false">
      <c r="A2820" s="43"/>
      <c r="B2820" s="44"/>
      <c r="C2820" s="44"/>
      <c r="D2820" s="44"/>
      <c r="E2820" s="44"/>
      <c r="F2820" s="44"/>
      <c r="G2820" s="44"/>
      <c r="H2820" s="46" t="str">
        <f aca="false">IF($A2820="","",IF(OR(NOT(ISNUMBER(E2820)),NOT(ISNUMBER(F2820))),"",MAX(0,E2820)*F2820))</f>
        <v/>
      </c>
      <c r="I2820" s="46" t="str">
        <f aca="false">IF($A2820="","",SUMIF($A$2:$A$5001,$A2820,$H$2:$H$5001))</f>
        <v/>
      </c>
      <c r="J2820" s="47" t="n">
        <f aca="false">IF($A2820="",0,IF(COUNTIF($A$2:A2820,$A2820)=1,1,0))</f>
        <v>0</v>
      </c>
      <c r="K2820" s="47" t="n">
        <f aca="false">IF(J2820=1,N(I2820)+ROW()/10000000,0)</f>
        <v>0</v>
      </c>
      <c r="L2820" s="47" t="str">
        <f aca="false">IF(AND(J2820=1,N(I2820)&gt;0),SUMIF($K$2:$K$5001,"&gt;="&amp;K2820,$I$2:$I$5001)/MAX(1,SUM($H$2:$H$5001)),"")</f>
        <v/>
      </c>
      <c r="M2820" s="47" t="str">
        <f aca="false">IF($A2820="","",INDEX($L$2:$L$5001,MATCH($A2820,$A$2:$A$5001,0)))</f>
        <v/>
      </c>
      <c r="N2820" s="48" t="str">
        <f aca="false">IF($A2820="","",IF(N(M2820)=0,"–",IF(M2820&lt;=Start!$D$20,"A",IF(M2820&lt;=Start!$D$21,"B","C"))))</f>
        <v/>
      </c>
      <c r="O2820" s="48" t="str">
        <f aca="false">IF($A2820="","",IF(NOT(ISNUMBER(F2820)),"Wert fehlt; ",IF(F2820&lt;=0,"Wert ist 0; ",""))&amp;IF(NOT(ISNUMBER(E2820)),"Bestand fehlt; ",IF(E2820&lt;0,"Bestand negativ; ",IF(E2820=0,"Nullbestand; ","")))&amp;IF(D2820="","Warengruppe fehlt; ","")&amp;IF(B2820="","Bezeichnung fehlt; ","")&amp;IF(COUNTIFS($A$2:$A$5001,$A2820,$C$2:$C$5001,C2820)&gt;1,"Artikel doppelt im selben Lager; ",""))</f>
        <v/>
      </c>
      <c r="P2820" s="47" t="n">
        <f aca="false">IF(OR($A2820="",D2820=""),0,IF(COUNTIF($D$2:D2820,D2820)=1,SUMIF($D$2:$D$5001,D2820,$H$2:$H$5001)+ROW()/10000000,0))</f>
        <v>0</v>
      </c>
      <c r="Q2820" s="47" t="n">
        <f aca="false">IF(OR($A2820="",C2820=""),0,IF(COUNTIF($C$2:C2820,C2820)=1,SUMIF($C$2:$C$5001,C2820,$H$2:$H$5001)+ROW()/10000000,0))</f>
        <v>0</v>
      </c>
    </row>
    <row r="2821" customFormat="false" ht="15" hidden="false" customHeight="false" outlineLevel="0" collapsed="false">
      <c r="A2821" s="43"/>
      <c r="B2821" s="44"/>
      <c r="C2821" s="44"/>
      <c r="D2821" s="44"/>
      <c r="E2821" s="44"/>
      <c r="F2821" s="44"/>
      <c r="G2821" s="44"/>
      <c r="H2821" s="46" t="str">
        <f aca="false">IF($A2821="","",IF(OR(NOT(ISNUMBER(E2821)),NOT(ISNUMBER(F2821))),"",MAX(0,E2821)*F2821))</f>
        <v/>
      </c>
      <c r="I2821" s="46" t="str">
        <f aca="false">IF($A2821="","",SUMIF($A$2:$A$5001,$A2821,$H$2:$H$5001))</f>
        <v/>
      </c>
      <c r="J2821" s="47" t="n">
        <f aca="false">IF($A2821="",0,IF(COUNTIF($A$2:A2821,$A2821)=1,1,0))</f>
        <v>0</v>
      </c>
      <c r="K2821" s="47" t="n">
        <f aca="false">IF(J2821=1,N(I2821)+ROW()/10000000,0)</f>
        <v>0</v>
      </c>
      <c r="L2821" s="47" t="str">
        <f aca="false">IF(AND(J2821=1,N(I2821)&gt;0),SUMIF($K$2:$K$5001,"&gt;="&amp;K2821,$I$2:$I$5001)/MAX(1,SUM($H$2:$H$5001)),"")</f>
        <v/>
      </c>
      <c r="M2821" s="47" t="str">
        <f aca="false">IF($A2821="","",INDEX($L$2:$L$5001,MATCH($A2821,$A$2:$A$5001,0)))</f>
        <v/>
      </c>
      <c r="N2821" s="48" t="str">
        <f aca="false">IF($A2821="","",IF(N(M2821)=0,"–",IF(M2821&lt;=Start!$D$20,"A",IF(M2821&lt;=Start!$D$21,"B","C"))))</f>
        <v/>
      </c>
      <c r="O2821" s="48" t="str">
        <f aca="false">IF($A2821="","",IF(NOT(ISNUMBER(F2821)),"Wert fehlt; ",IF(F2821&lt;=0,"Wert ist 0; ",""))&amp;IF(NOT(ISNUMBER(E2821)),"Bestand fehlt; ",IF(E2821&lt;0,"Bestand negativ; ",IF(E2821=0,"Nullbestand; ","")))&amp;IF(D2821="","Warengruppe fehlt; ","")&amp;IF(B2821="","Bezeichnung fehlt; ","")&amp;IF(COUNTIFS($A$2:$A$5001,$A2821,$C$2:$C$5001,C2821)&gt;1,"Artikel doppelt im selben Lager; ",""))</f>
        <v/>
      </c>
      <c r="P2821" s="47" t="n">
        <f aca="false">IF(OR($A2821="",D2821=""),0,IF(COUNTIF($D$2:D2821,D2821)=1,SUMIF($D$2:$D$5001,D2821,$H$2:$H$5001)+ROW()/10000000,0))</f>
        <v>0</v>
      </c>
      <c r="Q2821" s="47" t="n">
        <f aca="false">IF(OR($A2821="",C2821=""),0,IF(COUNTIF($C$2:C2821,C2821)=1,SUMIF($C$2:$C$5001,C2821,$H$2:$H$5001)+ROW()/10000000,0))</f>
        <v>0</v>
      </c>
    </row>
    <row r="2822" customFormat="false" ht="15" hidden="false" customHeight="false" outlineLevel="0" collapsed="false">
      <c r="A2822" s="43"/>
      <c r="B2822" s="44"/>
      <c r="C2822" s="44"/>
      <c r="D2822" s="44"/>
      <c r="E2822" s="44"/>
      <c r="F2822" s="44"/>
      <c r="G2822" s="44"/>
      <c r="H2822" s="46" t="str">
        <f aca="false">IF($A2822="","",IF(OR(NOT(ISNUMBER(E2822)),NOT(ISNUMBER(F2822))),"",MAX(0,E2822)*F2822))</f>
        <v/>
      </c>
      <c r="I2822" s="46" t="str">
        <f aca="false">IF($A2822="","",SUMIF($A$2:$A$5001,$A2822,$H$2:$H$5001))</f>
        <v/>
      </c>
      <c r="J2822" s="47" t="n">
        <f aca="false">IF($A2822="",0,IF(COUNTIF($A$2:A2822,$A2822)=1,1,0))</f>
        <v>0</v>
      </c>
      <c r="K2822" s="47" t="n">
        <f aca="false">IF(J2822=1,N(I2822)+ROW()/10000000,0)</f>
        <v>0</v>
      </c>
      <c r="L2822" s="47" t="str">
        <f aca="false">IF(AND(J2822=1,N(I2822)&gt;0),SUMIF($K$2:$K$5001,"&gt;="&amp;K2822,$I$2:$I$5001)/MAX(1,SUM($H$2:$H$5001)),"")</f>
        <v/>
      </c>
      <c r="M2822" s="47" t="str">
        <f aca="false">IF($A2822="","",INDEX($L$2:$L$5001,MATCH($A2822,$A$2:$A$5001,0)))</f>
        <v/>
      </c>
      <c r="N2822" s="48" t="str">
        <f aca="false">IF($A2822="","",IF(N(M2822)=0,"–",IF(M2822&lt;=Start!$D$20,"A",IF(M2822&lt;=Start!$D$21,"B","C"))))</f>
        <v/>
      </c>
      <c r="O2822" s="48" t="str">
        <f aca="false">IF($A2822="","",IF(NOT(ISNUMBER(F2822)),"Wert fehlt; ",IF(F2822&lt;=0,"Wert ist 0; ",""))&amp;IF(NOT(ISNUMBER(E2822)),"Bestand fehlt; ",IF(E2822&lt;0,"Bestand negativ; ",IF(E2822=0,"Nullbestand; ","")))&amp;IF(D2822="","Warengruppe fehlt; ","")&amp;IF(B2822="","Bezeichnung fehlt; ","")&amp;IF(COUNTIFS($A$2:$A$5001,$A2822,$C$2:$C$5001,C2822)&gt;1,"Artikel doppelt im selben Lager; ",""))</f>
        <v/>
      </c>
      <c r="P2822" s="47" t="n">
        <f aca="false">IF(OR($A2822="",D2822=""),0,IF(COUNTIF($D$2:D2822,D2822)=1,SUMIF($D$2:$D$5001,D2822,$H$2:$H$5001)+ROW()/10000000,0))</f>
        <v>0</v>
      </c>
      <c r="Q2822" s="47" t="n">
        <f aca="false">IF(OR($A2822="",C2822=""),0,IF(COUNTIF($C$2:C2822,C2822)=1,SUMIF($C$2:$C$5001,C2822,$H$2:$H$5001)+ROW()/10000000,0))</f>
        <v>0</v>
      </c>
    </row>
    <row r="2823" customFormat="false" ht="15" hidden="false" customHeight="false" outlineLevel="0" collapsed="false">
      <c r="A2823" s="43"/>
      <c r="B2823" s="44"/>
      <c r="C2823" s="44"/>
      <c r="D2823" s="44"/>
      <c r="E2823" s="44"/>
      <c r="F2823" s="44"/>
      <c r="G2823" s="44"/>
      <c r="H2823" s="46" t="str">
        <f aca="false">IF($A2823="","",IF(OR(NOT(ISNUMBER(E2823)),NOT(ISNUMBER(F2823))),"",MAX(0,E2823)*F2823))</f>
        <v/>
      </c>
      <c r="I2823" s="46" t="str">
        <f aca="false">IF($A2823="","",SUMIF($A$2:$A$5001,$A2823,$H$2:$H$5001))</f>
        <v/>
      </c>
      <c r="J2823" s="47" t="n">
        <f aca="false">IF($A2823="",0,IF(COUNTIF($A$2:A2823,$A2823)=1,1,0))</f>
        <v>0</v>
      </c>
      <c r="K2823" s="47" t="n">
        <f aca="false">IF(J2823=1,N(I2823)+ROW()/10000000,0)</f>
        <v>0</v>
      </c>
      <c r="L2823" s="47" t="str">
        <f aca="false">IF(AND(J2823=1,N(I2823)&gt;0),SUMIF($K$2:$K$5001,"&gt;="&amp;K2823,$I$2:$I$5001)/MAX(1,SUM($H$2:$H$5001)),"")</f>
        <v/>
      </c>
      <c r="M2823" s="47" t="str">
        <f aca="false">IF($A2823="","",INDEX($L$2:$L$5001,MATCH($A2823,$A$2:$A$5001,0)))</f>
        <v/>
      </c>
      <c r="N2823" s="48" t="str">
        <f aca="false">IF($A2823="","",IF(N(M2823)=0,"–",IF(M2823&lt;=Start!$D$20,"A",IF(M2823&lt;=Start!$D$21,"B","C"))))</f>
        <v/>
      </c>
      <c r="O2823" s="48" t="str">
        <f aca="false">IF($A2823="","",IF(NOT(ISNUMBER(F2823)),"Wert fehlt; ",IF(F2823&lt;=0,"Wert ist 0; ",""))&amp;IF(NOT(ISNUMBER(E2823)),"Bestand fehlt; ",IF(E2823&lt;0,"Bestand negativ; ",IF(E2823=0,"Nullbestand; ","")))&amp;IF(D2823="","Warengruppe fehlt; ","")&amp;IF(B2823="","Bezeichnung fehlt; ","")&amp;IF(COUNTIFS($A$2:$A$5001,$A2823,$C$2:$C$5001,C2823)&gt;1,"Artikel doppelt im selben Lager; ",""))</f>
        <v/>
      </c>
      <c r="P2823" s="47" t="n">
        <f aca="false">IF(OR($A2823="",D2823=""),0,IF(COUNTIF($D$2:D2823,D2823)=1,SUMIF($D$2:$D$5001,D2823,$H$2:$H$5001)+ROW()/10000000,0))</f>
        <v>0</v>
      </c>
      <c r="Q2823" s="47" t="n">
        <f aca="false">IF(OR($A2823="",C2823=""),0,IF(COUNTIF($C$2:C2823,C2823)=1,SUMIF($C$2:$C$5001,C2823,$H$2:$H$5001)+ROW()/10000000,0))</f>
        <v>0</v>
      </c>
    </row>
    <row r="2824" customFormat="false" ht="15" hidden="false" customHeight="false" outlineLevel="0" collapsed="false">
      <c r="A2824" s="43"/>
      <c r="B2824" s="44"/>
      <c r="C2824" s="44"/>
      <c r="D2824" s="44"/>
      <c r="E2824" s="44"/>
      <c r="F2824" s="44"/>
      <c r="G2824" s="44"/>
      <c r="H2824" s="46" t="str">
        <f aca="false">IF($A2824="","",IF(OR(NOT(ISNUMBER(E2824)),NOT(ISNUMBER(F2824))),"",MAX(0,E2824)*F2824))</f>
        <v/>
      </c>
      <c r="I2824" s="46" t="str">
        <f aca="false">IF($A2824="","",SUMIF($A$2:$A$5001,$A2824,$H$2:$H$5001))</f>
        <v/>
      </c>
      <c r="J2824" s="47" t="n">
        <f aca="false">IF($A2824="",0,IF(COUNTIF($A$2:A2824,$A2824)=1,1,0))</f>
        <v>0</v>
      </c>
      <c r="K2824" s="47" t="n">
        <f aca="false">IF(J2824=1,N(I2824)+ROW()/10000000,0)</f>
        <v>0</v>
      </c>
      <c r="L2824" s="47" t="str">
        <f aca="false">IF(AND(J2824=1,N(I2824)&gt;0),SUMIF($K$2:$K$5001,"&gt;="&amp;K2824,$I$2:$I$5001)/MAX(1,SUM($H$2:$H$5001)),"")</f>
        <v/>
      </c>
      <c r="M2824" s="47" t="str">
        <f aca="false">IF($A2824="","",INDEX($L$2:$L$5001,MATCH($A2824,$A$2:$A$5001,0)))</f>
        <v/>
      </c>
      <c r="N2824" s="48" t="str">
        <f aca="false">IF($A2824="","",IF(N(M2824)=0,"–",IF(M2824&lt;=Start!$D$20,"A",IF(M2824&lt;=Start!$D$21,"B","C"))))</f>
        <v/>
      </c>
      <c r="O2824" s="48" t="str">
        <f aca="false">IF($A2824="","",IF(NOT(ISNUMBER(F2824)),"Wert fehlt; ",IF(F2824&lt;=0,"Wert ist 0; ",""))&amp;IF(NOT(ISNUMBER(E2824)),"Bestand fehlt; ",IF(E2824&lt;0,"Bestand negativ; ",IF(E2824=0,"Nullbestand; ","")))&amp;IF(D2824="","Warengruppe fehlt; ","")&amp;IF(B2824="","Bezeichnung fehlt; ","")&amp;IF(COUNTIFS($A$2:$A$5001,$A2824,$C$2:$C$5001,C2824)&gt;1,"Artikel doppelt im selben Lager; ",""))</f>
        <v/>
      </c>
      <c r="P2824" s="47" t="n">
        <f aca="false">IF(OR($A2824="",D2824=""),0,IF(COUNTIF($D$2:D2824,D2824)=1,SUMIF($D$2:$D$5001,D2824,$H$2:$H$5001)+ROW()/10000000,0))</f>
        <v>0</v>
      </c>
      <c r="Q2824" s="47" t="n">
        <f aca="false">IF(OR($A2824="",C2824=""),0,IF(COUNTIF($C$2:C2824,C2824)=1,SUMIF($C$2:$C$5001,C2824,$H$2:$H$5001)+ROW()/10000000,0))</f>
        <v>0</v>
      </c>
    </row>
    <row r="2825" customFormat="false" ht="15" hidden="false" customHeight="false" outlineLevel="0" collapsed="false">
      <c r="A2825" s="43"/>
      <c r="B2825" s="44"/>
      <c r="C2825" s="44"/>
      <c r="D2825" s="44"/>
      <c r="E2825" s="44"/>
      <c r="F2825" s="44"/>
      <c r="G2825" s="44"/>
      <c r="H2825" s="46" t="str">
        <f aca="false">IF($A2825="","",IF(OR(NOT(ISNUMBER(E2825)),NOT(ISNUMBER(F2825))),"",MAX(0,E2825)*F2825))</f>
        <v/>
      </c>
      <c r="I2825" s="46" t="str">
        <f aca="false">IF($A2825="","",SUMIF($A$2:$A$5001,$A2825,$H$2:$H$5001))</f>
        <v/>
      </c>
      <c r="J2825" s="47" t="n">
        <f aca="false">IF($A2825="",0,IF(COUNTIF($A$2:A2825,$A2825)=1,1,0))</f>
        <v>0</v>
      </c>
      <c r="K2825" s="47" t="n">
        <f aca="false">IF(J2825=1,N(I2825)+ROW()/10000000,0)</f>
        <v>0</v>
      </c>
      <c r="L2825" s="47" t="str">
        <f aca="false">IF(AND(J2825=1,N(I2825)&gt;0),SUMIF($K$2:$K$5001,"&gt;="&amp;K2825,$I$2:$I$5001)/MAX(1,SUM($H$2:$H$5001)),"")</f>
        <v/>
      </c>
      <c r="M2825" s="47" t="str">
        <f aca="false">IF($A2825="","",INDEX($L$2:$L$5001,MATCH($A2825,$A$2:$A$5001,0)))</f>
        <v/>
      </c>
      <c r="N2825" s="48" t="str">
        <f aca="false">IF($A2825="","",IF(N(M2825)=0,"–",IF(M2825&lt;=Start!$D$20,"A",IF(M2825&lt;=Start!$D$21,"B","C"))))</f>
        <v/>
      </c>
      <c r="O2825" s="48" t="str">
        <f aca="false">IF($A2825="","",IF(NOT(ISNUMBER(F2825)),"Wert fehlt; ",IF(F2825&lt;=0,"Wert ist 0; ",""))&amp;IF(NOT(ISNUMBER(E2825)),"Bestand fehlt; ",IF(E2825&lt;0,"Bestand negativ; ",IF(E2825=0,"Nullbestand; ","")))&amp;IF(D2825="","Warengruppe fehlt; ","")&amp;IF(B2825="","Bezeichnung fehlt; ","")&amp;IF(COUNTIFS($A$2:$A$5001,$A2825,$C$2:$C$5001,C2825)&gt;1,"Artikel doppelt im selben Lager; ",""))</f>
        <v/>
      </c>
      <c r="P2825" s="47" t="n">
        <f aca="false">IF(OR($A2825="",D2825=""),0,IF(COUNTIF($D$2:D2825,D2825)=1,SUMIF($D$2:$D$5001,D2825,$H$2:$H$5001)+ROW()/10000000,0))</f>
        <v>0</v>
      </c>
      <c r="Q2825" s="47" t="n">
        <f aca="false">IF(OR($A2825="",C2825=""),0,IF(COUNTIF($C$2:C2825,C2825)=1,SUMIF($C$2:$C$5001,C2825,$H$2:$H$5001)+ROW()/10000000,0))</f>
        <v>0</v>
      </c>
    </row>
    <row r="2826" customFormat="false" ht="15" hidden="false" customHeight="false" outlineLevel="0" collapsed="false">
      <c r="A2826" s="43"/>
      <c r="B2826" s="44"/>
      <c r="C2826" s="44"/>
      <c r="D2826" s="44"/>
      <c r="E2826" s="44"/>
      <c r="F2826" s="44"/>
      <c r="G2826" s="44"/>
      <c r="H2826" s="46" t="str">
        <f aca="false">IF($A2826="","",IF(OR(NOT(ISNUMBER(E2826)),NOT(ISNUMBER(F2826))),"",MAX(0,E2826)*F2826))</f>
        <v/>
      </c>
      <c r="I2826" s="46" t="str">
        <f aca="false">IF($A2826="","",SUMIF($A$2:$A$5001,$A2826,$H$2:$H$5001))</f>
        <v/>
      </c>
      <c r="J2826" s="47" t="n">
        <f aca="false">IF($A2826="",0,IF(COUNTIF($A$2:A2826,$A2826)=1,1,0))</f>
        <v>0</v>
      </c>
      <c r="K2826" s="47" t="n">
        <f aca="false">IF(J2826=1,N(I2826)+ROW()/10000000,0)</f>
        <v>0</v>
      </c>
      <c r="L2826" s="47" t="str">
        <f aca="false">IF(AND(J2826=1,N(I2826)&gt;0),SUMIF($K$2:$K$5001,"&gt;="&amp;K2826,$I$2:$I$5001)/MAX(1,SUM($H$2:$H$5001)),"")</f>
        <v/>
      </c>
      <c r="M2826" s="47" t="str">
        <f aca="false">IF($A2826="","",INDEX($L$2:$L$5001,MATCH($A2826,$A$2:$A$5001,0)))</f>
        <v/>
      </c>
      <c r="N2826" s="48" t="str">
        <f aca="false">IF($A2826="","",IF(N(M2826)=0,"–",IF(M2826&lt;=Start!$D$20,"A",IF(M2826&lt;=Start!$D$21,"B","C"))))</f>
        <v/>
      </c>
      <c r="O2826" s="48" t="str">
        <f aca="false">IF($A2826="","",IF(NOT(ISNUMBER(F2826)),"Wert fehlt; ",IF(F2826&lt;=0,"Wert ist 0; ",""))&amp;IF(NOT(ISNUMBER(E2826)),"Bestand fehlt; ",IF(E2826&lt;0,"Bestand negativ; ",IF(E2826=0,"Nullbestand; ","")))&amp;IF(D2826="","Warengruppe fehlt; ","")&amp;IF(B2826="","Bezeichnung fehlt; ","")&amp;IF(COUNTIFS($A$2:$A$5001,$A2826,$C$2:$C$5001,C2826)&gt;1,"Artikel doppelt im selben Lager; ",""))</f>
        <v/>
      </c>
      <c r="P2826" s="47" t="n">
        <f aca="false">IF(OR($A2826="",D2826=""),0,IF(COUNTIF($D$2:D2826,D2826)=1,SUMIF($D$2:$D$5001,D2826,$H$2:$H$5001)+ROW()/10000000,0))</f>
        <v>0</v>
      </c>
      <c r="Q2826" s="47" t="n">
        <f aca="false">IF(OR($A2826="",C2826=""),0,IF(COUNTIF($C$2:C2826,C2826)=1,SUMIF($C$2:$C$5001,C2826,$H$2:$H$5001)+ROW()/10000000,0))</f>
        <v>0</v>
      </c>
    </row>
    <row r="2827" customFormat="false" ht="15" hidden="false" customHeight="false" outlineLevel="0" collapsed="false">
      <c r="A2827" s="43"/>
      <c r="B2827" s="44"/>
      <c r="C2827" s="44"/>
      <c r="D2827" s="44"/>
      <c r="E2827" s="44"/>
      <c r="F2827" s="44"/>
      <c r="G2827" s="44"/>
      <c r="H2827" s="46" t="str">
        <f aca="false">IF($A2827="","",IF(OR(NOT(ISNUMBER(E2827)),NOT(ISNUMBER(F2827))),"",MAX(0,E2827)*F2827))</f>
        <v/>
      </c>
      <c r="I2827" s="46" t="str">
        <f aca="false">IF($A2827="","",SUMIF($A$2:$A$5001,$A2827,$H$2:$H$5001))</f>
        <v/>
      </c>
      <c r="J2827" s="47" t="n">
        <f aca="false">IF($A2827="",0,IF(COUNTIF($A$2:A2827,$A2827)=1,1,0))</f>
        <v>0</v>
      </c>
      <c r="K2827" s="47" t="n">
        <f aca="false">IF(J2827=1,N(I2827)+ROW()/10000000,0)</f>
        <v>0</v>
      </c>
      <c r="L2827" s="47" t="str">
        <f aca="false">IF(AND(J2827=1,N(I2827)&gt;0),SUMIF($K$2:$K$5001,"&gt;="&amp;K2827,$I$2:$I$5001)/MAX(1,SUM($H$2:$H$5001)),"")</f>
        <v/>
      </c>
      <c r="M2827" s="47" t="str">
        <f aca="false">IF($A2827="","",INDEX($L$2:$L$5001,MATCH($A2827,$A$2:$A$5001,0)))</f>
        <v/>
      </c>
      <c r="N2827" s="48" t="str">
        <f aca="false">IF($A2827="","",IF(N(M2827)=0,"–",IF(M2827&lt;=Start!$D$20,"A",IF(M2827&lt;=Start!$D$21,"B","C"))))</f>
        <v/>
      </c>
      <c r="O2827" s="48" t="str">
        <f aca="false">IF($A2827="","",IF(NOT(ISNUMBER(F2827)),"Wert fehlt; ",IF(F2827&lt;=0,"Wert ist 0; ",""))&amp;IF(NOT(ISNUMBER(E2827)),"Bestand fehlt; ",IF(E2827&lt;0,"Bestand negativ; ",IF(E2827=0,"Nullbestand; ","")))&amp;IF(D2827="","Warengruppe fehlt; ","")&amp;IF(B2827="","Bezeichnung fehlt; ","")&amp;IF(COUNTIFS($A$2:$A$5001,$A2827,$C$2:$C$5001,C2827)&gt;1,"Artikel doppelt im selben Lager; ",""))</f>
        <v/>
      </c>
      <c r="P2827" s="47" t="n">
        <f aca="false">IF(OR($A2827="",D2827=""),0,IF(COUNTIF($D$2:D2827,D2827)=1,SUMIF($D$2:$D$5001,D2827,$H$2:$H$5001)+ROW()/10000000,0))</f>
        <v>0</v>
      </c>
      <c r="Q2827" s="47" t="n">
        <f aca="false">IF(OR($A2827="",C2827=""),0,IF(COUNTIF($C$2:C2827,C2827)=1,SUMIF($C$2:$C$5001,C2827,$H$2:$H$5001)+ROW()/10000000,0))</f>
        <v>0</v>
      </c>
    </row>
    <row r="2828" customFormat="false" ht="15" hidden="false" customHeight="false" outlineLevel="0" collapsed="false">
      <c r="A2828" s="43"/>
      <c r="B2828" s="44"/>
      <c r="C2828" s="44"/>
      <c r="D2828" s="44"/>
      <c r="E2828" s="44"/>
      <c r="F2828" s="44"/>
      <c r="G2828" s="44"/>
      <c r="H2828" s="46" t="str">
        <f aca="false">IF($A2828="","",IF(OR(NOT(ISNUMBER(E2828)),NOT(ISNUMBER(F2828))),"",MAX(0,E2828)*F2828))</f>
        <v/>
      </c>
      <c r="I2828" s="46" t="str">
        <f aca="false">IF($A2828="","",SUMIF($A$2:$A$5001,$A2828,$H$2:$H$5001))</f>
        <v/>
      </c>
      <c r="J2828" s="47" t="n">
        <f aca="false">IF($A2828="",0,IF(COUNTIF($A$2:A2828,$A2828)=1,1,0))</f>
        <v>0</v>
      </c>
      <c r="K2828" s="47" t="n">
        <f aca="false">IF(J2828=1,N(I2828)+ROW()/10000000,0)</f>
        <v>0</v>
      </c>
      <c r="L2828" s="47" t="str">
        <f aca="false">IF(AND(J2828=1,N(I2828)&gt;0),SUMIF($K$2:$K$5001,"&gt;="&amp;K2828,$I$2:$I$5001)/MAX(1,SUM($H$2:$H$5001)),"")</f>
        <v/>
      </c>
      <c r="M2828" s="47" t="str">
        <f aca="false">IF($A2828="","",INDEX($L$2:$L$5001,MATCH($A2828,$A$2:$A$5001,0)))</f>
        <v/>
      </c>
      <c r="N2828" s="48" t="str">
        <f aca="false">IF($A2828="","",IF(N(M2828)=0,"–",IF(M2828&lt;=Start!$D$20,"A",IF(M2828&lt;=Start!$D$21,"B","C"))))</f>
        <v/>
      </c>
      <c r="O2828" s="48" t="str">
        <f aca="false">IF($A2828="","",IF(NOT(ISNUMBER(F2828)),"Wert fehlt; ",IF(F2828&lt;=0,"Wert ist 0; ",""))&amp;IF(NOT(ISNUMBER(E2828)),"Bestand fehlt; ",IF(E2828&lt;0,"Bestand negativ; ",IF(E2828=0,"Nullbestand; ","")))&amp;IF(D2828="","Warengruppe fehlt; ","")&amp;IF(B2828="","Bezeichnung fehlt; ","")&amp;IF(COUNTIFS($A$2:$A$5001,$A2828,$C$2:$C$5001,C2828)&gt;1,"Artikel doppelt im selben Lager; ",""))</f>
        <v/>
      </c>
      <c r="P2828" s="47" t="n">
        <f aca="false">IF(OR($A2828="",D2828=""),0,IF(COUNTIF($D$2:D2828,D2828)=1,SUMIF($D$2:$D$5001,D2828,$H$2:$H$5001)+ROW()/10000000,0))</f>
        <v>0</v>
      </c>
      <c r="Q2828" s="47" t="n">
        <f aca="false">IF(OR($A2828="",C2828=""),0,IF(COUNTIF($C$2:C2828,C2828)=1,SUMIF($C$2:$C$5001,C2828,$H$2:$H$5001)+ROW()/10000000,0))</f>
        <v>0</v>
      </c>
    </row>
    <row r="2829" customFormat="false" ht="15" hidden="false" customHeight="false" outlineLevel="0" collapsed="false">
      <c r="A2829" s="43"/>
      <c r="B2829" s="44"/>
      <c r="C2829" s="44"/>
      <c r="D2829" s="44"/>
      <c r="E2829" s="44"/>
      <c r="F2829" s="44"/>
      <c r="G2829" s="44"/>
      <c r="H2829" s="46" t="str">
        <f aca="false">IF($A2829="","",IF(OR(NOT(ISNUMBER(E2829)),NOT(ISNUMBER(F2829))),"",MAX(0,E2829)*F2829))</f>
        <v/>
      </c>
      <c r="I2829" s="46" t="str">
        <f aca="false">IF($A2829="","",SUMIF($A$2:$A$5001,$A2829,$H$2:$H$5001))</f>
        <v/>
      </c>
      <c r="J2829" s="47" t="n">
        <f aca="false">IF($A2829="",0,IF(COUNTIF($A$2:A2829,$A2829)=1,1,0))</f>
        <v>0</v>
      </c>
      <c r="K2829" s="47" t="n">
        <f aca="false">IF(J2829=1,N(I2829)+ROW()/10000000,0)</f>
        <v>0</v>
      </c>
      <c r="L2829" s="47" t="str">
        <f aca="false">IF(AND(J2829=1,N(I2829)&gt;0),SUMIF($K$2:$K$5001,"&gt;="&amp;K2829,$I$2:$I$5001)/MAX(1,SUM($H$2:$H$5001)),"")</f>
        <v/>
      </c>
      <c r="M2829" s="47" t="str">
        <f aca="false">IF($A2829="","",INDEX($L$2:$L$5001,MATCH($A2829,$A$2:$A$5001,0)))</f>
        <v/>
      </c>
      <c r="N2829" s="48" t="str">
        <f aca="false">IF($A2829="","",IF(N(M2829)=0,"–",IF(M2829&lt;=Start!$D$20,"A",IF(M2829&lt;=Start!$D$21,"B","C"))))</f>
        <v/>
      </c>
      <c r="O2829" s="48" t="str">
        <f aca="false">IF($A2829="","",IF(NOT(ISNUMBER(F2829)),"Wert fehlt; ",IF(F2829&lt;=0,"Wert ist 0; ",""))&amp;IF(NOT(ISNUMBER(E2829)),"Bestand fehlt; ",IF(E2829&lt;0,"Bestand negativ; ",IF(E2829=0,"Nullbestand; ","")))&amp;IF(D2829="","Warengruppe fehlt; ","")&amp;IF(B2829="","Bezeichnung fehlt; ","")&amp;IF(COUNTIFS($A$2:$A$5001,$A2829,$C$2:$C$5001,C2829)&gt;1,"Artikel doppelt im selben Lager; ",""))</f>
        <v/>
      </c>
      <c r="P2829" s="47" t="n">
        <f aca="false">IF(OR($A2829="",D2829=""),0,IF(COUNTIF($D$2:D2829,D2829)=1,SUMIF($D$2:$D$5001,D2829,$H$2:$H$5001)+ROW()/10000000,0))</f>
        <v>0</v>
      </c>
      <c r="Q2829" s="47" t="n">
        <f aca="false">IF(OR($A2829="",C2829=""),0,IF(COUNTIF($C$2:C2829,C2829)=1,SUMIF($C$2:$C$5001,C2829,$H$2:$H$5001)+ROW()/10000000,0))</f>
        <v>0</v>
      </c>
    </row>
    <row r="2830" customFormat="false" ht="15" hidden="false" customHeight="false" outlineLevel="0" collapsed="false">
      <c r="A2830" s="43"/>
      <c r="B2830" s="44"/>
      <c r="C2830" s="44"/>
      <c r="D2830" s="44"/>
      <c r="E2830" s="44"/>
      <c r="F2830" s="44"/>
      <c r="G2830" s="44"/>
      <c r="H2830" s="46" t="str">
        <f aca="false">IF($A2830="","",IF(OR(NOT(ISNUMBER(E2830)),NOT(ISNUMBER(F2830))),"",MAX(0,E2830)*F2830))</f>
        <v/>
      </c>
      <c r="I2830" s="46" t="str">
        <f aca="false">IF($A2830="","",SUMIF($A$2:$A$5001,$A2830,$H$2:$H$5001))</f>
        <v/>
      </c>
      <c r="J2830" s="47" t="n">
        <f aca="false">IF($A2830="",0,IF(COUNTIF($A$2:A2830,$A2830)=1,1,0))</f>
        <v>0</v>
      </c>
      <c r="K2830" s="47" t="n">
        <f aca="false">IF(J2830=1,N(I2830)+ROW()/10000000,0)</f>
        <v>0</v>
      </c>
      <c r="L2830" s="47" t="str">
        <f aca="false">IF(AND(J2830=1,N(I2830)&gt;0),SUMIF($K$2:$K$5001,"&gt;="&amp;K2830,$I$2:$I$5001)/MAX(1,SUM($H$2:$H$5001)),"")</f>
        <v/>
      </c>
      <c r="M2830" s="47" t="str">
        <f aca="false">IF($A2830="","",INDEX($L$2:$L$5001,MATCH($A2830,$A$2:$A$5001,0)))</f>
        <v/>
      </c>
      <c r="N2830" s="48" t="str">
        <f aca="false">IF($A2830="","",IF(N(M2830)=0,"–",IF(M2830&lt;=Start!$D$20,"A",IF(M2830&lt;=Start!$D$21,"B","C"))))</f>
        <v/>
      </c>
      <c r="O2830" s="48" t="str">
        <f aca="false">IF($A2830="","",IF(NOT(ISNUMBER(F2830)),"Wert fehlt; ",IF(F2830&lt;=0,"Wert ist 0; ",""))&amp;IF(NOT(ISNUMBER(E2830)),"Bestand fehlt; ",IF(E2830&lt;0,"Bestand negativ; ",IF(E2830=0,"Nullbestand; ","")))&amp;IF(D2830="","Warengruppe fehlt; ","")&amp;IF(B2830="","Bezeichnung fehlt; ","")&amp;IF(COUNTIFS($A$2:$A$5001,$A2830,$C$2:$C$5001,C2830)&gt;1,"Artikel doppelt im selben Lager; ",""))</f>
        <v/>
      </c>
      <c r="P2830" s="47" t="n">
        <f aca="false">IF(OR($A2830="",D2830=""),0,IF(COUNTIF($D$2:D2830,D2830)=1,SUMIF($D$2:$D$5001,D2830,$H$2:$H$5001)+ROW()/10000000,0))</f>
        <v>0</v>
      </c>
      <c r="Q2830" s="47" t="n">
        <f aca="false">IF(OR($A2830="",C2830=""),0,IF(COUNTIF($C$2:C2830,C2830)=1,SUMIF($C$2:$C$5001,C2830,$H$2:$H$5001)+ROW()/10000000,0))</f>
        <v>0</v>
      </c>
    </row>
    <row r="2831" customFormat="false" ht="15" hidden="false" customHeight="false" outlineLevel="0" collapsed="false">
      <c r="A2831" s="43"/>
      <c r="B2831" s="44"/>
      <c r="C2831" s="44"/>
      <c r="D2831" s="44"/>
      <c r="E2831" s="44"/>
      <c r="F2831" s="44"/>
      <c r="G2831" s="44"/>
      <c r="H2831" s="46" t="str">
        <f aca="false">IF($A2831="","",IF(OR(NOT(ISNUMBER(E2831)),NOT(ISNUMBER(F2831))),"",MAX(0,E2831)*F2831))</f>
        <v/>
      </c>
      <c r="I2831" s="46" t="str">
        <f aca="false">IF($A2831="","",SUMIF($A$2:$A$5001,$A2831,$H$2:$H$5001))</f>
        <v/>
      </c>
      <c r="J2831" s="47" t="n">
        <f aca="false">IF($A2831="",0,IF(COUNTIF($A$2:A2831,$A2831)=1,1,0))</f>
        <v>0</v>
      </c>
      <c r="K2831" s="47" t="n">
        <f aca="false">IF(J2831=1,N(I2831)+ROW()/10000000,0)</f>
        <v>0</v>
      </c>
      <c r="L2831" s="47" t="str">
        <f aca="false">IF(AND(J2831=1,N(I2831)&gt;0),SUMIF($K$2:$K$5001,"&gt;="&amp;K2831,$I$2:$I$5001)/MAX(1,SUM($H$2:$H$5001)),"")</f>
        <v/>
      </c>
      <c r="M2831" s="47" t="str">
        <f aca="false">IF($A2831="","",INDEX($L$2:$L$5001,MATCH($A2831,$A$2:$A$5001,0)))</f>
        <v/>
      </c>
      <c r="N2831" s="48" t="str">
        <f aca="false">IF($A2831="","",IF(N(M2831)=0,"–",IF(M2831&lt;=Start!$D$20,"A",IF(M2831&lt;=Start!$D$21,"B","C"))))</f>
        <v/>
      </c>
      <c r="O2831" s="48" t="str">
        <f aca="false">IF($A2831="","",IF(NOT(ISNUMBER(F2831)),"Wert fehlt; ",IF(F2831&lt;=0,"Wert ist 0; ",""))&amp;IF(NOT(ISNUMBER(E2831)),"Bestand fehlt; ",IF(E2831&lt;0,"Bestand negativ; ",IF(E2831=0,"Nullbestand; ","")))&amp;IF(D2831="","Warengruppe fehlt; ","")&amp;IF(B2831="","Bezeichnung fehlt; ","")&amp;IF(COUNTIFS($A$2:$A$5001,$A2831,$C$2:$C$5001,C2831)&gt;1,"Artikel doppelt im selben Lager; ",""))</f>
        <v/>
      </c>
      <c r="P2831" s="47" t="n">
        <f aca="false">IF(OR($A2831="",D2831=""),0,IF(COUNTIF($D$2:D2831,D2831)=1,SUMIF($D$2:$D$5001,D2831,$H$2:$H$5001)+ROW()/10000000,0))</f>
        <v>0</v>
      </c>
      <c r="Q2831" s="47" t="n">
        <f aca="false">IF(OR($A2831="",C2831=""),0,IF(COUNTIF($C$2:C2831,C2831)=1,SUMIF($C$2:$C$5001,C2831,$H$2:$H$5001)+ROW()/10000000,0))</f>
        <v>0</v>
      </c>
    </row>
    <row r="2832" customFormat="false" ht="15" hidden="false" customHeight="false" outlineLevel="0" collapsed="false">
      <c r="A2832" s="43"/>
      <c r="B2832" s="44"/>
      <c r="C2832" s="44"/>
      <c r="D2832" s="44"/>
      <c r="E2832" s="44"/>
      <c r="F2832" s="44"/>
      <c r="G2832" s="44"/>
      <c r="H2832" s="46" t="str">
        <f aca="false">IF($A2832="","",IF(OR(NOT(ISNUMBER(E2832)),NOT(ISNUMBER(F2832))),"",MAX(0,E2832)*F2832))</f>
        <v/>
      </c>
      <c r="I2832" s="46" t="str">
        <f aca="false">IF($A2832="","",SUMIF($A$2:$A$5001,$A2832,$H$2:$H$5001))</f>
        <v/>
      </c>
      <c r="J2832" s="47" t="n">
        <f aca="false">IF($A2832="",0,IF(COUNTIF($A$2:A2832,$A2832)=1,1,0))</f>
        <v>0</v>
      </c>
      <c r="K2832" s="47" t="n">
        <f aca="false">IF(J2832=1,N(I2832)+ROW()/10000000,0)</f>
        <v>0</v>
      </c>
      <c r="L2832" s="47" t="str">
        <f aca="false">IF(AND(J2832=1,N(I2832)&gt;0),SUMIF($K$2:$K$5001,"&gt;="&amp;K2832,$I$2:$I$5001)/MAX(1,SUM($H$2:$H$5001)),"")</f>
        <v/>
      </c>
      <c r="M2832" s="47" t="str">
        <f aca="false">IF($A2832="","",INDEX($L$2:$L$5001,MATCH($A2832,$A$2:$A$5001,0)))</f>
        <v/>
      </c>
      <c r="N2832" s="48" t="str">
        <f aca="false">IF($A2832="","",IF(N(M2832)=0,"–",IF(M2832&lt;=Start!$D$20,"A",IF(M2832&lt;=Start!$D$21,"B","C"))))</f>
        <v/>
      </c>
      <c r="O2832" s="48" t="str">
        <f aca="false">IF($A2832="","",IF(NOT(ISNUMBER(F2832)),"Wert fehlt; ",IF(F2832&lt;=0,"Wert ist 0; ",""))&amp;IF(NOT(ISNUMBER(E2832)),"Bestand fehlt; ",IF(E2832&lt;0,"Bestand negativ; ",IF(E2832=0,"Nullbestand; ","")))&amp;IF(D2832="","Warengruppe fehlt; ","")&amp;IF(B2832="","Bezeichnung fehlt; ","")&amp;IF(COUNTIFS($A$2:$A$5001,$A2832,$C$2:$C$5001,C2832)&gt;1,"Artikel doppelt im selben Lager; ",""))</f>
        <v/>
      </c>
      <c r="P2832" s="47" t="n">
        <f aca="false">IF(OR($A2832="",D2832=""),0,IF(COUNTIF($D$2:D2832,D2832)=1,SUMIF($D$2:$D$5001,D2832,$H$2:$H$5001)+ROW()/10000000,0))</f>
        <v>0</v>
      </c>
      <c r="Q2832" s="47" t="n">
        <f aca="false">IF(OR($A2832="",C2832=""),0,IF(COUNTIF($C$2:C2832,C2832)=1,SUMIF($C$2:$C$5001,C2832,$H$2:$H$5001)+ROW()/10000000,0))</f>
        <v>0</v>
      </c>
    </row>
    <row r="2833" customFormat="false" ht="15" hidden="false" customHeight="false" outlineLevel="0" collapsed="false">
      <c r="A2833" s="43"/>
      <c r="B2833" s="44"/>
      <c r="C2833" s="44"/>
      <c r="D2833" s="44"/>
      <c r="E2833" s="44"/>
      <c r="F2833" s="44"/>
      <c r="G2833" s="44"/>
      <c r="H2833" s="46" t="str">
        <f aca="false">IF($A2833="","",IF(OR(NOT(ISNUMBER(E2833)),NOT(ISNUMBER(F2833))),"",MAX(0,E2833)*F2833))</f>
        <v/>
      </c>
      <c r="I2833" s="46" t="str">
        <f aca="false">IF($A2833="","",SUMIF($A$2:$A$5001,$A2833,$H$2:$H$5001))</f>
        <v/>
      </c>
      <c r="J2833" s="47" t="n">
        <f aca="false">IF($A2833="",0,IF(COUNTIF($A$2:A2833,$A2833)=1,1,0))</f>
        <v>0</v>
      </c>
      <c r="K2833" s="47" t="n">
        <f aca="false">IF(J2833=1,N(I2833)+ROW()/10000000,0)</f>
        <v>0</v>
      </c>
      <c r="L2833" s="47" t="str">
        <f aca="false">IF(AND(J2833=1,N(I2833)&gt;0),SUMIF($K$2:$K$5001,"&gt;="&amp;K2833,$I$2:$I$5001)/MAX(1,SUM($H$2:$H$5001)),"")</f>
        <v/>
      </c>
      <c r="M2833" s="47" t="str">
        <f aca="false">IF($A2833="","",INDEX($L$2:$L$5001,MATCH($A2833,$A$2:$A$5001,0)))</f>
        <v/>
      </c>
      <c r="N2833" s="48" t="str">
        <f aca="false">IF($A2833="","",IF(N(M2833)=0,"–",IF(M2833&lt;=Start!$D$20,"A",IF(M2833&lt;=Start!$D$21,"B","C"))))</f>
        <v/>
      </c>
      <c r="O2833" s="48" t="str">
        <f aca="false">IF($A2833="","",IF(NOT(ISNUMBER(F2833)),"Wert fehlt; ",IF(F2833&lt;=0,"Wert ist 0; ",""))&amp;IF(NOT(ISNUMBER(E2833)),"Bestand fehlt; ",IF(E2833&lt;0,"Bestand negativ; ",IF(E2833=0,"Nullbestand; ","")))&amp;IF(D2833="","Warengruppe fehlt; ","")&amp;IF(B2833="","Bezeichnung fehlt; ","")&amp;IF(COUNTIFS($A$2:$A$5001,$A2833,$C$2:$C$5001,C2833)&gt;1,"Artikel doppelt im selben Lager; ",""))</f>
        <v/>
      </c>
      <c r="P2833" s="47" t="n">
        <f aca="false">IF(OR($A2833="",D2833=""),0,IF(COUNTIF($D$2:D2833,D2833)=1,SUMIF($D$2:$D$5001,D2833,$H$2:$H$5001)+ROW()/10000000,0))</f>
        <v>0</v>
      </c>
      <c r="Q2833" s="47" t="n">
        <f aca="false">IF(OR($A2833="",C2833=""),0,IF(COUNTIF($C$2:C2833,C2833)=1,SUMIF($C$2:$C$5001,C2833,$H$2:$H$5001)+ROW()/10000000,0))</f>
        <v>0</v>
      </c>
    </row>
    <row r="2834" customFormat="false" ht="15" hidden="false" customHeight="false" outlineLevel="0" collapsed="false">
      <c r="A2834" s="43"/>
      <c r="B2834" s="44"/>
      <c r="C2834" s="44"/>
      <c r="D2834" s="44"/>
      <c r="E2834" s="44"/>
      <c r="F2834" s="44"/>
      <c r="G2834" s="44"/>
      <c r="H2834" s="46" t="str">
        <f aca="false">IF($A2834="","",IF(OR(NOT(ISNUMBER(E2834)),NOT(ISNUMBER(F2834))),"",MAX(0,E2834)*F2834))</f>
        <v/>
      </c>
      <c r="I2834" s="46" t="str">
        <f aca="false">IF($A2834="","",SUMIF($A$2:$A$5001,$A2834,$H$2:$H$5001))</f>
        <v/>
      </c>
      <c r="J2834" s="47" t="n">
        <f aca="false">IF($A2834="",0,IF(COUNTIF($A$2:A2834,$A2834)=1,1,0))</f>
        <v>0</v>
      </c>
      <c r="K2834" s="47" t="n">
        <f aca="false">IF(J2834=1,N(I2834)+ROW()/10000000,0)</f>
        <v>0</v>
      </c>
      <c r="L2834" s="47" t="str">
        <f aca="false">IF(AND(J2834=1,N(I2834)&gt;0),SUMIF($K$2:$K$5001,"&gt;="&amp;K2834,$I$2:$I$5001)/MAX(1,SUM($H$2:$H$5001)),"")</f>
        <v/>
      </c>
      <c r="M2834" s="47" t="str">
        <f aca="false">IF($A2834="","",INDEX($L$2:$L$5001,MATCH($A2834,$A$2:$A$5001,0)))</f>
        <v/>
      </c>
      <c r="N2834" s="48" t="str">
        <f aca="false">IF($A2834="","",IF(N(M2834)=0,"–",IF(M2834&lt;=Start!$D$20,"A",IF(M2834&lt;=Start!$D$21,"B","C"))))</f>
        <v/>
      </c>
      <c r="O2834" s="48" t="str">
        <f aca="false">IF($A2834="","",IF(NOT(ISNUMBER(F2834)),"Wert fehlt; ",IF(F2834&lt;=0,"Wert ist 0; ",""))&amp;IF(NOT(ISNUMBER(E2834)),"Bestand fehlt; ",IF(E2834&lt;0,"Bestand negativ; ",IF(E2834=0,"Nullbestand; ","")))&amp;IF(D2834="","Warengruppe fehlt; ","")&amp;IF(B2834="","Bezeichnung fehlt; ","")&amp;IF(COUNTIFS($A$2:$A$5001,$A2834,$C$2:$C$5001,C2834)&gt;1,"Artikel doppelt im selben Lager; ",""))</f>
        <v/>
      </c>
      <c r="P2834" s="47" t="n">
        <f aca="false">IF(OR($A2834="",D2834=""),0,IF(COUNTIF($D$2:D2834,D2834)=1,SUMIF($D$2:$D$5001,D2834,$H$2:$H$5001)+ROW()/10000000,0))</f>
        <v>0</v>
      </c>
      <c r="Q2834" s="47" t="n">
        <f aca="false">IF(OR($A2834="",C2834=""),0,IF(COUNTIF($C$2:C2834,C2834)=1,SUMIF($C$2:$C$5001,C2834,$H$2:$H$5001)+ROW()/10000000,0))</f>
        <v>0</v>
      </c>
    </row>
    <row r="2835" customFormat="false" ht="15" hidden="false" customHeight="false" outlineLevel="0" collapsed="false">
      <c r="A2835" s="43"/>
      <c r="B2835" s="44"/>
      <c r="C2835" s="44"/>
      <c r="D2835" s="44"/>
      <c r="E2835" s="44"/>
      <c r="F2835" s="44"/>
      <c r="G2835" s="44"/>
      <c r="H2835" s="46" t="str">
        <f aca="false">IF($A2835="","",IF(OR(NOT(ISNUMBER(E2835)),NOT(ISNUMBER(F2835))),"",MAX(0,E2835)*F2835))</f>
        <v/>
      </c>
      <c r="I2835" s="46" t="str">
        <f aca="false">IF($A2835="","",SUMIF($A$2:$A$5001,$A2835,$H$2:$H$5001))</f>
        <v/>
      </c>
      <c r="J2835" s="47" t="n">
        <f aca="false">IF($A2835="",0,IF(COUNTIF($A$2:A2835,$A2835)=1,1,0))</f>
        <v>0</v>
      </c>
      <c r="K2835" s="47" t="n">
        <f aca="false">IF(J2835=1,N(I2835)+ROW()/10000000,0)</f>
        <v>0</v>
      </c>
      <c r="L2835" s="47" t="str">
        <f aca="false">IF(AND(J2835=1,N(I2835)&gt;0),SUMIF($K$2:$K$5001,"&gt;="&amp;K2835,$I$2:$I$5001)/MAX(1,SUM($H$2:$H$5001)),"")</f>
        <v/>
      </c>
      <c r="M2835" s="47" t="str">
        <f aca="false">IF($A2835="","",INDEX($L$2:$L$5001,MATCH($A2835,$A$2:$A$5001,0)))</f>
        <v/>
      </c>
      <c r="N2835" s="48" t="str">
        <f aca="false">IF($A2835="","",IF(N(M2835)=0,"–",IF(M2835&lt;=Start!$D$20,"A",IF(M2835&lt;=Start!$D$21,"B","C"))))</f>
        <v/>
      </c>
      <c r="O2835" s="48" t="str">
        <f aca="false">IF($A2835="","",IF(NOT(ISNUMBER(F2835)),"Wert fehlt; ",IF(F2835&lt;=0,"Wert ist 0; ",""))&amp;IF(NOT(ISNUMBER(E2835)),"Bestand fehlt; ",IF(E2835&lt;0,"Bestand negativ; ",IF(E2835=0,"Nullbestand; ","")))&amp;IF(D2835="","Warengruppe fehlt; ","")&amp;IF(B2835="","Bezeichnung fehlt; ","")&amp;IF(COUNTIFS($A$2:$A$5001,$A2835,$C$2:$C$5001,C2835)&gt;1,"Artikel doppelt im selben Lager; ",""))</f>
        <v/>
      </c>
      <c r="P2835" s="47" t="n">
        <f aca="false">IF(OR($A2835="",D2835=""),0,IF(COUNTIF($D$2:D2835,D2835)=1,SUMIF($D$2:$D$5001,D2835,$H$2:$H$5001)+ROW()/10000000,0))</f>
        <v>0</v>
      </c>
      <c r="Q2835" s="47" t="n">
        <f aca="false">IF(OR($A2835="",C2835=""),0,IF(COUNTIF($C$2:C2835,C2835)=1,SUMIF($C$2:$C$5001,C2835,$H$2:$H$5001)+ROW()/10000000,0))</f>
        <v>0</v>
      </c>
    </row>
    <row r="2836" customFormat="false" ht="15" hidden="false" customHeight="false" outlineLevel="0" collapsed="false">
      <c r="A2836" s="43"/>
      <c r="B2836" s="44"/>
      <c r="C2836" s="44"/>
      <c r="D2836" s="44"/>
      <c r="E2836" s="44"/>
      <c r="F2836" s="44"/>
      <c r="G2836" s="44"/>
      <c r="H2836" s="46" t="str">
        <f aca="false">IF($A2836="","",IF(OR(NOT(ISNUMBER(E2836)),NOT(ISNUMBER(F2836))),"",MAX(0,E2836)*F2836))</f>
        <v/>
      </c>
      <c r="I2836" s="46" t="str">
        <f aca="false">IF($A2836="","",SUMIF($A$2:$A$5001,$A2836,$H$2:$H$5001))</f>
        <v/>
      </c>
      <c r="J2836" s="47" t="n">
        <f aca="false">IF($A2836="",0,IF(COUNTIF($A$2:A2836,$A2836)=1,1,0))</f>
        <v>0</v>
      </c>
      <c r="K2836" s="47" t="n">
        <f aca="false">IF(J2836=1,N(I2836)+ROW()/10000000,0)</f>
        <v>0</v>
      </c>
      <c r="L2836" s="47" t="str">
        <f aca="false">IF(AND(J2836=1,N(I2836)&gt;0),SUMIF($K$2:$K$5001,"&gt;="&amp;K2836,$I$2:$I$5001)/MAX(1,SUM($H$2:$H$5001)),"")</f>
        <v/>
      </c>
      <c r="M2836" s="47" t="str">
        <f aca="false">IF($A2836="","",INDEX($L$2:$L$5001,MATCH($A2836,$A$2:$A$5001,0)))</f>
        <v/>
      </c>
      <c r="N2836" s="48" t="str">
        <f aca="false">IF($A2836="","",IF(N(M2836)=0,"–",IF(M2836&lt;=Start!$D$20,"A",IF(M2836&lt;=Start!$D$21,"B","C"))))</f>
        <v/>
      </c>
      <c r="O2836" s="48" t="str">
        <f aca="false">IF($A2836="","",IF(NOT(ISNUMBER(F2836)),"Wert fehlt; ",IF(F2836&lt;=0,"Wert ist 0; ",""))&amp;IF(NOT(ISNUMBER(E2836)),"Bestand fehlt; ",IF(E2836&lt;0,"Bestand negativ; ",IF(E2836=0,"Nullbestand; ","")))&amp;IF(D2836="","Warengruppe fehlt; ","")&amp;IF(B2836="","Bezeichnung fehlt; ","")&amp;IF(COUNTIFS($A$2:$A$5001,$A2836,$C$2:$C$5001,C2836)&gt;1,"Artikel doppelt im selben Lager; ",""))</f>
        <v/>
      </c>
      <c r="P2836" s="47" t="n">
        <f aca="false">IF(OR($A2836="",D2836=""),0,IF(COUNTIF($D$2:D2836,D2836)=1,SUMIF($D$2:$D$5001,D2836,$H$2:$H$5001)+ROW()/10000000,0))</f>
        <v>0</v>
      </c>
      <c r="Q2836" s="47" t="n">
        <f aca="false">IF(OR($A2836="",C2836=""),0,IF(COUNTIF($C$2:C2836,C2836)=1,SUMIF($C$2:$C$5001,C2836,$H$2:$H$5001)+ROW()/10000000,0))</f>
        <v>0</v>
      </c>
    </row>
    <row r="2837" customFormat="false" ht="15" hidden="false" customHeight="false" outlineLevel="0" collapsed="false">
      <c r="A2837" s="43"/>
      <c r="B2837" s="44"/>
      <c r="C2837" s="44"/>
      <c r="D2837" s="44"/>
      <c r="E2837" s="44"/>
      <c r="F2837" s="44"/>
      <c r="G2837" s="44"/>
      <c r="H2837" s="46" t="str">
        <f aca="false">IF($A2837="","",IF(OR(NOT(ISNUMBER(E2837)),NOT(ISNUMBER(F2837))),"",MAX(0,E2837)*F2837))</f>
        <v/>
      </c>
      <c r="I2837" s="46" t="str">
        <f aca="false">IF($A2837="","",SUMIF($A$2:$A$5001,$A2837,$H$2:$H$5001))</f>
        <v/>
      </c>
      <c r="J2837" s="47" t="n">
        <f aca="false">IF($A2837="",0,IF(COUNTIF($A$2:A2837,$A2837)=1,1,0))</f>
        <v>0</v>
      </c>
      <c r="K2837" s="47" t="n">
        <f aca="false">IF(J2837=1,N(I2837)+ROW()/10000000,0)</f>
        <v>0</v>
      </c>
      <c r="L2837" s="47" t="str">
        <f aca="false">IF(AND(J2837=1,N(I2837)&gt;0),SUMIF($K$2:$K$5001,"&gt;="&amp;K2837,$I$2:$I$5001)/MAX(1,SUM($H$2:$H$5001)),"")</f>
        <v/>
      </c>
      <c r="M2837" s="47" t="str">
        <f aca="false">IF($A2837="","",INDEX($L$2:$L$5001,MATCH($A2837,$A$2:$A$5001,0)))</f>
        <v/>
      </c>
      <c r="N2837" s="48" t="str">
        <f aca="false">IF($A2837="","",IF(N(M2837)=0,"–",IF(M2837&lt;=Start!$D$20,"A",IF(M2837&lt;=Start!$D$21,"B","C"))))</f>
        <v/>
      </c>
      <c r="O2837" s="48" t="str">
        <f aca="false">IF($A2837="","",IF(NOT(ISNUMBER(F2837)),"Wert fehlt; ",IF(F2837&lt;=0,"Wert ist 0; ",""))&amp;IF(NOT(ISNUMBER(E2837)),"Bestand fehlt; ",IF(E2837&lt;0,"Bestand negativ; ",IF(E2837=0,"Nullbestand; ","")))&amp;IF(D2837="","Warengruppe fehlt; ","")&amp;IF(B2837="","Bezeichnung fehlt; ","")&amp;IF(COUNTIFS($A$2:$A$5001,$A2837,$C$2:$C$5001,C2837)&gt;1,"Artikel doppelt im selben Lager; ",""))</f>
        <v/>
      </c>
      <c r="P2837" s="47" t="n">
        <f aca="false">IF(OR($A2837="",D2837=""),0,IF(COUNTIF($D$2:D2837,D2837)=1,SUMIF($D$2:$D$5001,D2837,$H$2:$H$5001)+ROW()/10000000,0))</f>
        <v>0</v>
      </c>
      <c r="Q2837" s="47" t="n">
        <f aca="false">IF(OR($A2837="",C2837=""),0,IF(COUNTIF($C$2:C2837,C2837)=1,SUMIF($C$2:$C$5001,C2837,$H$2:$H$5001)+ROW()/10000000,0))</f>
        <v>0</v>
      </c>
    </row>
    <row r="2838" customFormat="false" ht="15" hidden="false" customHeight="false" outlineLevel="0" collapsed="false">
      <c r="A2838" s="43"/>
      <c r="B2838" s="44"/>
      <c r="C2838" s="44"/>
      <c r="D2838" s="44"/>
      <c r="E2838" s="44"/>
      <c r="F2838" s="44"/>
      <c r="G2838" s="44"/>
      <c r="H2838" s="46" t="str">
        <f aca="false">IF($A2838="","",IF(OR(NOT(ISNUMBER(E2838)),NOT(ISNUMBER(F2838))),"",MAX(0,E2838)*F2838))</f>
        <v/>
      </c>
      <c r="I2838" s="46" t="str">
        <f aca="false">IF($A2838="","",SUMIF($A$2:$A$5001,$A2838,$H$2:$H$5001))</f>
        <v/>
      </c>
      <c r="J2838" s="47" t="n">
        <f aca="false">IF($A2838="",0,IF(COUNTIF($A$2:A2838,$A2838)=1,1,0))</f>
        <v>0</v>
      </c>
      <c r="K2838" s="47" t="n">
        <f aca="false">IF(J2838=1,N(I2838)+ROW()/10000000,0)</f>
        <v>0</v>
      </c>
      <c r="L2838" s="47" t="str">
        <f aca="false">IF(AND(J2838=1,N(I2838)&gt;0),SUMIF($K$2:$K$5001,"&gt;="&amp;K2838,$I$2:$I$5001)/MAX(1,SUM($H$2:$H$5001)),"")</f>
        <v/>
      </c>
      <c r="M2838" s="47" t="str">
        <f aca="false">IF($A2838="","",INDEX($L$2:$L$5001,MATCH($A2838,$A$2:$A$5001,0)))</f>
        <v/>
      </c>
      <c r="N2838" s="48" t="str">
        <f aca="false">IF($A2838="","",IF(N(M2838)=0,"–",IF(M2838&lt;=Start!$D$20,"A",IF(M2838&lt;=Start!$D$21,"B","C"))))</f>
        <v/>
      </c>
      <c r="O2838" s="48" t="str">
        <f aca="false">IF($A2838="","",IF(NOT(ISNUMBER(F2838)),"Wert fehlt; ",IF(F2838&lt;=0,"Wert ist 0; ",""))&amp;IF(NOT(ISNUMBER(E2838)),"Bestand fehlt; ",IF(E2838&lt;0,"Bestand negativ; ",IF(E2838=0,"Nullbestand; ","")))&amp;IF(D2838="","Warengruppe fehlt; ","")&amp;IF(B2838="","Bezeichnung fehlt; ","")&amp;IF(COUNTIFS($A$2:$A$5001,$A2838,$C$2:$C$5001,C2838)&gt;1,"Artikel doppelt im selben Lager; ",""))</f>
        <v/>
      </c>
      <c r="P2838" s="47" t="n">
        <f aca="false">IF(OR($A2838="",D2838=""),0,IF(COUNTIF($D$2:D2838,D2838)=1,SUMIF($D$2:$D$5001,D2838,$H$2:$H$5001)+ROW()/10000000,0))</f>
        <v>0</v>
      </c>
      <c r="Q2838" s="47" t="n">
        <f aca="false">IF(OR($A2838="",C2838=""),0,IF(COUNTIF($C$2:C2838,C2838)=1,SUMIF($C$2:$C$5001,C2838,$H$2:$H$5001)+ROW()/10000000,0))</f>
        <v>0</v>
      </c>
    </row>
    <row r="2839" customFormat="false" ht="15" hidden="false" customHeight="false" outlineLevel="0" collapsed="false">
      <c r="A2839" s="43"/>
      <c r="B2839" s="44"/>
      <c r="C2839" s="44"/>
      <c r="D2839" s="44"/>
      <c r="E2839" s="44"/>
      <c r="F2839" s="44"/>
      <c r="G2839" s="44"/>
      <c r="H2839" s="46" t="str">
        <f aca="false">IF($A2839="","",IF(OR(NOT(ISNUMBER(E2839)),NOT(ISNUMBER(F2839))),"",MAX(0,E2839)*F2839))</f>
        <v/>
      </c>
      <c r="I2839" s="46" t="str">
        <f aca="false">IF($A2839="","",SUMIF($A$2:$A$5001,$A2839,$H$2:$H$5001))</f>
        <v/>
      </c>
      <c r="J2839" s="47" t="n">
        <f aca="false">IF($A2839="",0,IF(COUNTIF($A$2:A2839,$A2839)=1,1,0))</f>
        <v>0</v>
      </c>
      <c r="K2839" s="47" t="n">
        <f aca="false">IF(J2839=1,N(I2839)+ROW()/10000000,0)</f>
        <v>0</v>
      </c>
      <c r="L2839" s="47" t="str">
        <f aca="false">IF(AND(J2839=1,N(I2839)&gt;0),SUMIF($K$2:$K$5001,"&gt;="&amp;K2839,$I$2:$I$5001)/MAX(1,SUM($H$2:$H$5001)),"")</f>
        <v/>
      </c>
      <c r="M2839" s="47" t="str">
        <f aca="false">IF($A2839="","",INDEX($L$2:$L$5001,MATCH($A2839,$A$2:$A$5001,0)))</f>
        <v/>
      </c>
      <c r="N2839" s="48" t="str">
        <f aca="false">IF($A2839="","",IF(N(M2839)=0,"–",IF(M2839&lt;=Start!$D$20,"A",IF(M2839&lt;=Start!$D$21,"B","C"))))</f>
        <v/>
      </c>
      <c r="O2839" s="48" t="str">
        <f aca="false">IF($A2839="","",IF(NOT(ISNUMBER(F2839)),"Wert fehlt; ",IF(F2839&lt;=0,"Wert ist 0; ",""))&amp;IF(NOT(ISNUMBER(E2839)),"Bestand fehlt; ",IF(E2839&lt;0,"Bestand negativ; ",IF(E2839=0,"Nullbestand; ","")))&amp;IF(D2839="","Warengruppe fehlt; ","")&amp;IF(B2839="","Bezeichnung fehlt; ","")&amp;IF(COUNTIFS($A$2:$A$5001,$A2839,$C$2:$C$5001,C2839)&gt;1,"Artikel doppelt im selben Lager; ",""))</f>
        <v/>
      </c>
      <c r="P2839" s="47" t="n">
        <f aca="false">IF(OR($A2839="",D2839=""),0,IF(COUNTIF($D$2:D2839,D2839)=1,SUMIF($D$2:$D$5001,D2839,$H$2:$H$5001)+ROW()/10000000,0))</f>
        <v>0</v>
      </c>
      <c r="Q2839" s="47" t="n">
        <f aca="false">IF(OR($A2839="",C2839=""),0,IF(COUNTIF($C$2:C2839,C2839)=1,SUMIF($C$2:$C$5001,C2839,$H$2:$H$5001)+ROW()/10000000,0))</f>
        <v>0</v>
      </c>
    </row>
    <row r="2840" customFormat="false" ht="15" hidden="false" customHeight="false" outlineLevel="0" collapsed="false">
      <c r="A2840" s="43"/>
      <c r="B2840" s="44"/>
      <c r="C2840" s="44"/>
      <c r="D2840" s="44"/>
      <c r="E2840" s="44"/>
      <c r="F2840" s="44"/>
      <c r="G2840" s="44"/>
      <c r="H2840" s="46" t="str">
        <f aca="false">IF($A2840="","",IF(OR(NOT(ISNUMBER(E2840)),NOT(ISNUMBER(F2840))),"",MAX(0,E2840)*F2840))</f>
        <v/>
      </c>
      <c r="I2840" s="46" t="str">
        <f aca="false">IF($A2840="","",SUMIF($A$2:$A$5001,$A2840,$H$2:$H$5001))</f>
        <v/>
      </c>
      <c r="J2840" s="47" t="n">
        <f aca="false">IF($A2840="",0,IF(COUNTIF($A$2:A2840,$A2840)=1,1,0))</f>
        <v>0</v>
      </c>
      <c r="K2840" s="47" t="n">
        <f aca="false">IF(J2840=1,N(I2840)+ROW()/10000000,0)</f>
        <v>0</v>
      </c>
      <c r="L2840" s="47" t="str">
        <f aca="false">IF(AND(J2840=1,N(I2840)&gt;0),SUMIF($K$2:$K$5001,"&gt;="&amp;K2840,$I$2:$I$5001)/MAX(1,SUM($H$2:$H$5001)),"")</f>
        <v/>
      </c>
      <c r="M2840" s="47" t="str">
        <f aca="false">IF($A2840="","",INDEX($L$2:$L$5001,MATCH($A2840,$A$2:$A$5001,0)))</f>
        <v/>
      </c>
      <c r="N2840" s="48" t="str">
        <f aca="false">IF($A2840="","",IF(N(M2840)=0,"–",IF(M2840&lt;=Start!$D$20,"A",IF(M2840&lt;=Start!$D$21,"B","C"))))</f>
        <v/>
      </c>
      <c r="O2840" s="48" t="str">
        <f aca="false">IF($A2840="","",IF(NOT(ISNUMBER(F2840)),"Wert fehlt; ",IF(F2840&lt;=0,"Wert ist 0; ",""))&amp;IF(NOT(ISNUMBER(E2840)),"Bestand fehlt; ",IF(E2840&lt;0,"Bestand negativ; ",IF(E2840=0,"Nullbestand; ","")))&amp;IF(D2840="","Warengruppe fehlt; ","")&amp;IF(B2840="","Bezeichnung fehlt; ","")&amp;IF(COUNTIFS($A$2:$A$5001,$A2840,$C$2:$C$5001,C2840)&gt;1,"Artikel doppelt im selben Lager; ",""))</f>
        <v/>
      </c>
      <c r="P2840" s="47" t="n">
        <f aca="false">IF(OR($A2840="",D2840=""),0,IF(COUNTIF($D$2:D2840,D2840)=1,SUMIF($D$2:$D$5001,D2840,$H$2:$H$5001)+ROW()/10000000,0))</f>
        <v>0</v>
      </c>
      <c r="Q2840" s="47" t="n">
        <f aca="false">IF(OR($A2840="",C2840=""),0,IF(COUNTIF($C$2:C2840,C2840)=1,SUMIF($C$2:$C$5001,C2840,$H$2:$H$5001)+ROW()/10000000,0))</f>
        <v>0</v>
      </c>
    </row>
    <row r="2841" customFormat="false" ht="15" hidden="false" customHeight="false" outlineLevel="0" collapsed="false">
      <c r="A2841" s="43"/>
      <c r="B2841" s="44"/>
      <c r="C2841" s="44"/>
      <c r="D2841" s="44"/>
      <c r="E2841" s="44"/>
      <c r="F2841" s="44"/>
      <c r="G2841" s="44"/>
      <c r="H2841" s="46" t="str">
        <f aca="false">IF($A2841="","",IF(OR(NOT(ISNUMBER(E2841)),NOT(ISNUMBER(F2841))),"",MAX(0,E2841)*F2841))</f>
        <v/>
      </c>
      <c r="I2841" s="46" t="str">
        <f aca="false">IF($A2841="","",SUMIF($A$2:$A$5001,$A2841,$H$2:$H$5001))</f>
        <v/>
      </c>
      <c r="J2841" s="47" t="n">
        <f aca="false">IF($A2841="",0,IF(COUNTIF($A$2:A2841,$A2841)=1,1,0))</f>
        <v>0</v>
      </c>
      <c r="K2841" s="47" t="n">
        <f aca="false">IF(J2841=1,N(I2841)+ROW()/10000000,0)</f>
        <v>0</v>
      </c>
      <c r="L2841" s="47" t="str">
        <f aca="false">IF(AND(J2841=1,N(I2841)&gt;0),SUMIF($K$2:$K$5001,"&gt;="&amp;K2841,$I$2:$I$5001)/MAX(1,SUM($H$2:$H$5001)),"")</f>
        <v/>
      </c>
      <c r="M2841" s="47" t="str">
        <f aca="false">IF($A2841="","",INDEX($L$2:$L$5001,MATCH($A2841,$A$2:$A$5001,0)))</f>
        <v/>
      </c>
      <c r="N2841" s="48" t="str">
        <f aca="false">IF($A2841="","",IF(N(M2841)=0,"–",IF(M2841&lt;=Start!$D$20,"A",IF(M2841&lt;=Start!$D$21,"B","C"))))</f>
        <v/>
      </c>
      <c r="O2841" s="48" t="str">
        <f aca="false">IF($A2841="","",IF(NOT(ISNUMBER(F2841)),"Wert fehlt; ",IF(F2841&lt;=0,"Wert ist 0; ",""))&amp;IF(NOT(ISNUMBER(E2841)),"Bestand fehlt; ",IF(E2841&lt;0,"Bestand negativ; ",IF(E2841=0,"Nullbestand; ","")))&amp;IF(D2841="","Warengruppe fehlt; ","")&amp;IF(B2841="","Bezeichnung fehlt; ","")&amp;IF(COUNTIFS($A$2:$A$5001,$A2841,$C$2:$C$5001,C2841)&gt;1,"Artikel doppelt im selben Lager; ",""))</f>
        <v/>
      </c>
      <c r="P2841" s="47" t="n">
        <f aca="false">IF(OR($A2841="",D2841=""),0,IF(COUNTIF($D$2:D2841,D2841)=1,SUMIF($D$2:$D$5001,D2841,$H$2:$H$5001)+ROW()/10000000,0))</f>
        <v>0</v>
      </c>
      <c r="Q2841" s="47" t="n">
        <f aca="false">IF(OR($A2841="",C2841=""),0,IF(COUNTIF($C$2:C2841,C2841)=1,SUMIF($C$2:$C$5001,C2841,$H$2:$H$5001)+ROW()/10000000,0))</f>
        <v>0</v>
      </c>
    </row>
    <row r="2842" customFormat="false" ht="15" hidden="false" customHeight="false" outlineLevel="0" collapsed="false">
      <c r="A2842" s="43"/>
      <c r="B2842" s="44"/>
      <c r="C2842" s="44"/>
      <c r="D2842" s="44"/>
      <c r="E2842" s="44"/>
      <c r="F2842" s="44"/>
      <c r="G2842" s="44"/>
      <c r="H2842" s="46" t="str">
        <f aca="false">IF($A2842="","",IF(OR(NOT(ISNUMBER(E2842)),NOT(ISNUMBER(F2842))),"",MAX(0,E2842)*F2842))</f>
        <v/>
      </c>
      <c r="I2842" s="46" t="str">
        <f aca="false">IF($A2842="","",SUMIF($A$2:$A$5001,$A2842,$H$2:$H$5001))</f>
        <v/>
      </c>
      <c r="J2842" s="47" t="n">
        <f aca="false">IF($A2842="",0,IF(COUNTIF($A$2:A2842,$A2842)=1,1,0))</f>
        <v>0</v>
      </c>
      <c r="K2842" s="47" t="n">
        <f aca="false">IF(J2842=1,N(I2842)+ROW()/10000000,0)</f>
        <v>0</v>
      </c>
      <c r="L2842" s="47" t="str">
        <f aca="false">IF(AND(J2842=1,N(I2842)&gt;0),SUMIF($K$2:$K$5001,"&gt;="&amp;K2842,$I$2:$I$5001)/MAX(1,SUM($H$2:$H$5001)),"")</f>
        <v/>
      </c>
      <c r="M2842" s="47" t="str">
        <f aca="false">IF($A2842="","",INDEX($L$2:$L$5001,MATCH($A2842,$A$2:$A$5001,0)))</f>
        <v/>
      </c>
      <c r="N2842" s="48" t="str">
        <f aca="false">IF($A2842="","",IF(N(M2842)=0,"–",IF(M2842&lt;=Start!$D$20,"A",IF(M2842&lt;=Start!$D$21,"B","C"))))</f>
        <v/>
      </c>
      <c r="O2842" s="48" t="str">
        <f aca="false">IF($A2842="","",IF(NOT(ISNUMBER(F2842)),"Wert fehlt; ",IF(F2842&lt;=0,"Wert ist 0; ",""))&amp;IF(NOT(ISNUMBER(E2842)),"Bestand fehlt; ",IF(E2842&lt;0,"Bestand negativ; ",IF(E2842=0,"Nullbestand; ","")))&amp;IF(D2842="","Warengruppe fehlt; ","")&amp;IF(B2842="","Bezeichnung fehlt; ","")&amp;IF(COUNTIFS($A$2:$A$5001,$A2842,$C$2:$C$5001,C2842)&gt;1,"Artikel doppelt im selben Lager; ",""))</f>
        <v/>
      </c>
      <c r="P2842" s="47" t="n">
        <f aca="false">IF(OR($A2842="",D2842=""),0,IF(COUNTIF($D$2:D2842,D2842)=1,SUMIF($D$2:$D$5001,D2842,$H$2:$H$5001)+ROW()/10000000,0))</f>
        <v>0</v>
      </c>
      <c r="Q2842" s="47" t="n">
        <f aca="false">IF(OR($A2842="",C2842=""),0,IF(COUNTIF($C$2:C2842,C2842)=1,SUMIF($C$2:$C$5001,C2842,$H$2:$H$5001)+ROW()/10000000,0))</f>
        <v>0</v>
      </c>
    </row>
    <row r="2843" customFormat="false" ht="15" hidden="false" customHeight="false" outlineLevel="0" collapsed="false">
      <c r="A2843" s="43"/>
      <c r="B2843" s="44"/>
      <c r="C2843" s="44"/>
      <c r="D2843" s="44"/>
      <c r="E2843" s="44"/>
      <c r="F2843" s="44"/>
      <c r="G2843" s="44"/>
      <c r="H2843" s="46" t="str">
        <f aca="false">IF($A2843="","",IF(OR(NOT(ISNUMBER(E2843)),NOT(ISNUMBER(F2843))),"",MAX(0,E2843)*F2843))</f>
        <v/>
      </c>
      <c r="I2843" s="46" t="str">
        <f aca="false">IF($A2843="","",SUMIF($A$2:$A$5001,$A2843,$H$2:$H$5001))</f>
        <v/>
      </c>
      <c r="J2843" s="47" t="n">
        <f aca="false">IF($A2843="",0,IF(COUNTIF($A$2:A2843,$A2843)=1,1,0))</f>
        <v>0</v>
      </c>
      <c r="K2843" s="47" t="n">
        <f aca="false">IF(J2843=1,N(I2843)+ROW()/10000000,0)</f>
        <v>0</v>
      </c>
      <c r="L2843" s="47" t="str">
        <f aca="false">IF(AND(J2843=1,N(I2843)&gt;0),SUMIF($K$2:$K$5001,"&gt;="&amp;K2843,$I$2:$I$5001)/MAX(1,SUM($H$2:$H$5001)),"")</f>
        <v/>
      </c>
      <c r="M2843" s="47" t="str">
        <f aca="false">IF($A2843="","",INDEX($L$2:$L$5001,MATCH($A2843,$A$2:$A$5001,0)))</f>
        <v/>
      </c>
      <c r="N2843" s="48" t="str">
        <f aca="false">IF($A2843="","",IF(N(M2843)=0,"–",IF(M2843&lt;=Start!$D$20,"A",IF(M2843&lt;=Start!$D$21,"B","C"))))</f>
        <v/>
      </c>
      <c r="O2843" s="48" t="str">
        <f aca="false">IF($A2843="","",IF(NOT(ISNUMBER(F2843)),"Wert fehlt; ",IF(F2843&lt;=0,"Wert ist 0; ",""))&amp;IF(NOT(ISNUMBER(E2843)),"Bestand fehlt; ",IF(E2843&lt;0,"Bestand negativ; ",IF(E2843=0,"Nullbestand; ","")))&amp;IF(D2843="","Warengruppe fehlt; ","")&amp;IF(B2843="","Bezeichnung fehlt; ","")&amp;IF(COUNTIFS($A$2:$A$5001,$A2843,$C$2:$C$5001,C2843)&gt;1,"Artikel doppelt im selben Lager; ",""))</f>
        <v/>
      </c>
      <c r="P2843" s="47" t="n">
        <f aca="false">IF(OR($A2843="",D2843=""),0,IF(COUNTIF($D$2:D2843,D2843)=1,SUMIF($D$2:$D$5001,D2843,$H$2:$H$5001)+ROW()/10000000,0))</f>
        <v>0</v>
      </c>
      <c r="Q2843" s="47" t="n">
        <f aca="false">IF(OR($A2843="",C2843=""),0,IF(COUNTIF($C$2:C2843,C2843)=1,SUMIF($C$2:$C$5001,C2843,$H$2:$H$5001)+ROW()/10000000,0))</f>
        <v>0</v>
      </c>
    </row>
    <row r="2844" customFormat="false" ht="15" hidden="false" customHeight="false" outlineLevel="0" collapsed="false">
      <c r="A2844" s="43"/>
      <c r="B2844" s="44"/>
      <c r="C2844" s="44"/>
      <c r="D2844" s="44"/>
      <c r="E2844" s="44"/>
      <c r="F2844" s="44"/>
      <c r="G2844" s="44"/>
      <c r="H2844" s="46" t="str">
        <f aca="false">IF($A2844="","",IF(OR(NOT(ISNUMBER(E2844)),NOT(ISNUMBER(F2844))),"",MAX(0,E2844)*F2844))</f>
        <v/>
      </c>
      <c r="I2844" s="46" t="str">
        <f aca="false">IF($A2844="","",SUMIF($A$2:$A$5001,$A2844,$H$2:$H$5001))</f>
        <v/>
      </c>
      <c r="J2844" s="47" t="n">
        <f aca="false">IF($A2844="",0,IF(COUNTIF($A$2:A2844,$A2844)=1,1,0))</f>
        <v>0</v>
      </c>
      <c r="K2844" s="47" t="n">
        <f aca="false">IF(J2844=1,N(I2844)+ROW()/10000000,0)</f>
        <v>0</v>
      </c>
      <c r="L2844" s="47" t="str">
        <f aca="false">IF(AND(J2844=1,N(I2844)&gt;0),SUMIF($K$2:$K$5001,"&gt;="&amp;K2844,$I$2:$I$5001)/MAX(1,SUM($H$2:$H$5001)),"")</f>
        <v/>
      </c>
      <c r="M2844" s="47" t="str">
        <f aca="false">IF($A2844="","",INDEX($L$2:$L$5001,MATCH($A2844,$A$2:$A$5001,0)))</f>
        <v/>
      </c>
      <c r="N2844" s="48" t="str">
        <f aca="false">IF($A2844="","",IF(N(M2844)=0,"–",IF(M2844&lt;=Start!$D$20,"A",IF(M2844&lt;=Start!$D$21,"B","C"))))</f>
        <v/>
      </c>
      <c r="O2844" s="48" t="str">
        <f aca="false">IF($A2844="","",IF(NOT(ISNUMBER(F2844)),"Wert fehlt; ",IF(F2844&lt;=0,"Wert ist 0; ",""))&amp;IF(NOT(ISNUMBER(E2844)),"Bestand fehlt; ",IF(E2844&lt;0,"Bestand negativ; ",IF(E2844=0,"Nullbestand; ","")))&amp;IF(D2844="","Warengruppe fehlt; ","")&amp;IF(B2844="","Bezeichnung fehlt; ","")&amp;IF(COUNTIFS($A$2:$A$5001,$A2844,$C$2:$C$5001,C2844)&gt;1,"Artikel doppelt im selben Lager; ",""))</f>
        <v/>
      </c>
      <c r="P2844" s="47" t="n">
        <f aca="false">IF(OR($A2844="",D2844=""),0,IF(COUNTIF($D$2:D2844,D2844)=1,SUMIF($D$2:$D$5001,D2844,$H$2:$H$5001)+ROW()/10000000,0))</f>
        <v>0</v>
      </c>
      <c r="Q2844" s="47" t="n">
        <f aca="false">IF(OR($A2844="",C2844=""),0,IF(COUNTIF($C$2:C2844,C2844)=1,SUMIF($C$2:$C$5001,C2844,$H$2:$H$5001)+ROW()/10000000,0))</f>
        <v>0</v>
      </c>
    </row>
    <row r="2845" customFormat="false" ht="15" hidden="false" customHeight="false" outlineLevel="0" collapsed="false">
      <c r="A2845" s="43"/>
      <c r="B2845" s="44"/>
      <c r="C2845" s="44"/>
      <c r="D2845" s="44"/>
      <c r="E2845" s="44"/>
      <c r="F2845" s="44"/>
      <c r="G2845" s="44"/>
      <c r="H2845" s="46" t="str">
        <f aca="false">IF($A2845="","",IF(OR(NOT(ISNUMBER(E2845)),NOT(ISNUMBER(F2845))),"",MAX(0,E2845)*F2845))</f>
        <v/>
      </c>
      <c r="I2845" s="46" t="str">
        <f aca="false">IF($A2845="","",SUMIF($A$2:$A$5001,$A2845,$H$2:$H$5001))</f>
        <v/>
      </c>
      <c r="J2845" s="47" t="n">
        <f aca="false">IF($A2845="",0,IF(COUNTIF($A$2:A2845,$A2845)=1,1,0))</f>
        <v>0</v>
      </c>
      <c r="K2845" s="47" t="n">
        <f aca="false">IF(J2845=1,N(I2845)+ROW()/10000000,0)</f>
        <v>0</v>
      </c>
      <c r="L2845" s="47" t="str">
        <f aca="false">IF(AND(J2845=1,N(I2845)&gt;0),SUMIF($K$2:$K$5001,"&gt;="&amp;K2845,$I$2:$I$5001)/MAX(1,SUM($H$2:$H$5001)),"")</f>
        <v/>
      </c>
      <c r="M2845" s="47" t="str">
        <f aca="false">IF($A2845="","",INDEX($L$2:$L$5001,MATCH($A2845,$A$2:$A$5001,0)))</f>
        <v/>
      </c>
      <c r="N2845" s="48" t="str">
        <f aca="false">IF($A2845="","",IF(N(M2845)=0,"–",IF(M2845&lt;=Start!$D$20,"A",IF(M2845&lt;=Start!$D$21,"B","C"))))</f>
        <v/>
      </c>
      <c r="O2845" s="48" t="str">
        <f aca="false">IF($A2845="","",IF(NOT(ISNUMBER(F2845)),"Wert fehlt; ",IF(F2845&lt;=0,"Wert ist 0; ",""))&amp;IF(NOT(ISNUMBER(E2845)),"Bestand fehlt; ",IF(E2845&lt;0,"Bestand negativ; ",IF(E2845=0,"Nullbestand; ","")))&amp;IF(D2845="","Warengruppe fehlt; ","")&amp;IF(B2845="","Bezeichnung fehlt; ","")&amp;IF(COUNTIFS($A$2:$A$5001,$A2845,$C$2:$C$5001,C2845)&gt;1,"Artikel doppelt im selben Lager; ",""))</f>
        <v/>
      </c>
      <c r="P2845" s="47" t="n">
        <f aca="false">IF(OR($A2845="",D2845=""),0,IF(COUNTIF($D$2:D2845,D2845)=1,SUMIF($D$2:$D$5001,D2845,$H$2:$H$5001)+ROW()/10000000,0))</f>
        <v>0</v>
      </c>
      <c r="Q2845" s="47" t="n">
        <f aca="false">IF(OR($A2845="",C2845=""),0,IF(COUNTIF($C$2:C2845,C2845)=1,SUMIF($C$2:$C$5001,C2845,$H$2:$H$5001)+ROW()/10000000,0))</f>
        <v>0</v>
      </c>
    </row>
    <row r="2846" customFormat="false" ht="15" hidden="false" customHeight="false" outlineLevel="0" collapsed="false">
      <c r="A2846" s="43"/>
      <c r="B2846" s="44"/>
      <c r="C2846" s="44"/>
      <c r="D2846" s="44"/>
      <c r="E2846" s="44"/>
      <c r="F2846" s="44"/>
      <c r="G2846" s="44"/>
      <c r="H2846" s="46" t="str">
        <f aca="false">IF($A2846="","",IF(OR(NOT(ISNUMBER(E2846)),NOT(ISNUMBER(F2846))),"",MAX(0,E2846)*F2846))</f>
        <v/>
      </c>
      <c r="I2846" s="46" t="str">
        <f aca="false">IF($A2846="","",SUMIF($A$2:$A$5001,$A2846,$H$2:$H$5001))</f>
        <v/>
      </c>
      <c r="J2846" s="47" t="n">
        <f aca="false">IF($A2846="",0,IF(COUNTIF($A$2:A2846,$A2846)=1,1,0))</f>
        <v>0</v>
      </c>
      <c r="K2846" s="47" t="n">
        <f aca="false">IF(J2846=1,N(I2846)+ROW()/10000000,0)</f>
        <v>0</v>
      </c>
      <c r="L2846" s="47" t="str">
        <f aca="false">IF(AND(J2846=1,N(I2846)&gt;0),SUMIF($K$2:$K$5001,"&gt;="&amp;K2846,$I$2:$I$5001)/MAX(1,SUM($H$2:$H$5001)),"")</f>
        <v/>
      </c>
      <c r="M2846" s="47" t="str">
        <f aca="false">IF($A2846="","",INDEX($L$2:$L$5001,MATCH($A2846,$A$2:$A$5001,0)))</f>
        <v/>
      </c>
      <c r="N2846" s="48" t="str">
        <f aca="false">IF($A2846="","",IF(N(M2846)=0,"–",IF(M2846&lt;=Start!$D$20,"A",IF(M2846&lt;=Start!$D$21,"B","C"))))</f>
        <v/>
      </c>
      <c r="O2846" s="48" t="str">
        <f aca="false">IF($A2846="","",IF(NOT(ISNUMBER(F2846)),"Wert fehlt; ",IF(F2846&lt;=0,"Wert ist 0; ",""))&amp;IF(NOT(ISNUMBER(E2846)),"Bestand fehlt; ",IF(E2846&lt;0,"Bestand negativ; ",IF(E2846=0,"Nullbestand; ","")))&amp;IF(D2846="","Warengruppe fehlt; ","")&amp;IF(B2846="","Bezeichnung fehlt; ","")&amp;IF(COUNTIFS($A$2:$A$5001,$A2846,$C$2:$C$5001,C2846)&gt;1,"Artikel doppelt im selben Lager; ",""))</f>
        <v/>
      </c>
      <c r="P2846" s="47" t="n">
        <f aca="false">IF(OR($A2846="",D2846=""),0,IF(COUNTIF($D$2:D2846,D2846)=1,SUMIF($D$2:$D$5001,D2846,$H$2:$H$5001)+ROW()/10000000,0))</f>
        <v>0</v>
      </c>
      <c r="Q2846" s="47" t="n">
        <f aca="false">IF(OR($A2846="",C2846=""),0,IF(COUNTIF($C$2:C2846,C2846)=1,SUMIF($C$2:$C$5001,C2846,$H$2:$H$5001)+ROW()/10000000,0))</f>
        <v>0</v>
      </c>
    </row>
    <row r="2847" customFormat="false" ht="15" hidden="false" customHeight="false" outlineLevel="0" collapsed="false">
      <c r="A2847" s="43"/>
      <c r="B2847" s="44"/>
      <c r="C2847" s="44"/>
      <c r="D2847" s="44"/>
      <c r="E2847" s="44"/>
      <c r="F2847" s="44"/>
      <c r="G2847" s="44"/>
      <c r="H2847" s="46" t="str">
        <f aca="false">IF($A2847="","",IF(OR(NOT(ISNUMBER(E2847)),NOT(ISNUMBER(F2847))),"",MAX(0,E2847)*F2847))</f>
        <v/>
      </c>
      <c r="I2847" s="46" t="str">
        <f aca="false">IF($A2847="","",SUMIF($A$2:$A$5001,$A2847,$H$2:$H$5001))</f>
        <v/>
      </c>
      <c r="J2847" s="47" t="n">
        <f aca="false">IF($A2847="",0,IF(COUNTIF($A$2:A2847,$A2847)=1,1,0))</f>
        <v>0</v>
      </c>
      <c r="K2847" s="47" t="n">
        <f aca="false">IF(J2847=1,N(I2847)+ROW()/10000000,0)</f>
        <v>0</v>
      </c>
      <c r="L2847" s="47" t="str">
        <f aca="false">IF(AND(J2847=1,N(I2847)&gt;0),SUMIF($K$2:$K$5001,"&gt;="&amp;K2847,$I$2:$I$5001)/MAX(1,SUM($H$2:$H$5001)),"")</f>
        <v/>
      </c>
      <c r="M2847" s="47" t="str">
        <f aca="false">IF($A2847="","",INDEX($L$2:$L$5001,MATCH($A2847,$A$2:$A$5001,0)))</f>
        <v/>
      </c>
      <c r="N2847" s="48" t="str">
        <f aca="false">IF($A2847="","",IF(N(M2847)=0,"–",IF(M2847&lt;=Start!$D$20,"A",IF(M2847&lt;=Start!$D$21,"B","C"))))</f>
        <v/>
      </c>
      <c r="O2847" s="48" t="str">
        <f aca="false">IF($A2847="","",IF(NOT(ISNUMBER(F2847)),"Wert fehlt; ",IF(F2847&lt;=0,"Wert ist 0; ",""))&amp;IF(NOT(ISNUMBER(E2847)),"Bestand fehlt; ",IF(E2847&lt;0,"Bestand negativ; ",IF(E2847=0,"Nullbestand; ","")))&amp;IF(D2847="","Warengruppe fehlt; ","")&amp;IF(B2847="","Bezeichnung fehlt; ","")&amp;IF(COUNTIFS($A$2:$A$5001,$A2847,$C$2:$C$5001,C2847)&gt;1,"Artikel doppelt im selben Lager; ",""))</f>
        <v/>
      </c>
      <c r="P2847" s="47" t="n">
        <f aca="false">IF(OR($A2847="",D2847=""),0,IF(COUNTIF($D$2:D2847,D2847)=1,SUMIF($D$2:$D$5001,D2847,$H$2:$H$5001)+ROW()/10000000,0))</f>
        <v>0</v>
      </c>
      <c r="Q2847" s="47" t="n">
        <f aca="false">IF(OR($A2847="",C2847=""),0,IF(COUNTIF($C$2:C2847,C2847)=1,SUMIF($C$2:$C$5001,C2847,$H$2:$H$5001)+ROW()/10000000,0))</f>
        <v>0</v>
      </c>
    </row>
    <row r="2848" customFormat="false" ht="15" hidden="false" customHeight="false" outlineLevel="0" collapsed="false">
      <c r="A2848" s="43"/>
      <c r="B2848" s="44"/>
      <c r="C2848" s="44"/>
      <c r="D2848" s="44"/>
      <c r="E2848" s="44"/>
      <c r="F2848" s="44"/>
      <c r="G2848" s="44"/>
      <c r="H2848" s="46" t="str">
        <f aca="false">IF($A2848="","",IF(OR(NOT(ISNUMBER(E2848)),NOT(ISNUMBER(F2848))),"",MAX(0,E2848)*F2848))</f>
        <v/>
      </c>
      <c r="I2848" s="46" t="str">
        <f aca="false">IF($A2848="","",SUMIF($A$2:$A$5001,$A2848,$H$2:$H$5001))</f>
        <v/>
      </c>
      <c r="J2848" s="47" t="n">
        <f aca="false">IF($A2848="",0,IF(COUNTIF($A$2:A2848,$A2848)=1,1,0))</f>
        <v>0</v>
      </c>
      <c r="K2848" s="47" t="n">
        <f aca="false">IF(J2848=1,N(I2848)+ROW()/10000000,0)</f>
        <v>0</v>
      </c>
      <c r="L2848" s="47" t="str">
        <f aca="false">IF(AND(J2848=1,N(I2848)&gt;0),SUMIF($K$2:$K$5001,"&gt;="&amp;K2848,$I$2:$I$5001)/MAX(1,SUM($H$2:$H$5001)),"")</f>
        <v/>
      </c>
      <c r="M2848" s="47" t="str">
        <f aca="false">IF($A2848="","",INDEX($L$2:$L$5001,MATCH($A2848,$A$2:$A$5001,0)))</f>
        <v/>
      </c>
      <c r="N2848" s="48" t="str">
        <f aca="false">IF($A2848="","",IF(N(M2848)=0,"–",IF(M2848&lt;=Start!$D$20,"A",IF(M2848&lt;=Start!$D$21,"B","C"))))</f>
        <v/>
      </c>
      <c r="O2848" s="48" t="str">
        <f aca="false">IF($A2848="","",IF(NOT(ISNUMBER(F2848)),"Wert fehlt; ",IF(F2848&lt;=0,"Wert ist 0; ",""))&amp;IF(NOT(ISNUMBER(E2848)),"Bestand fehlt; ",IF(E2848&lt;0,"Bestand negativ; ",IF(E2848=0,"Nullbestand; ","")))&amp;IF(D2848="","Warengruppe fehlt; ","")&amp;IF(B2848="","Bezeichnung fehlt; ","")&amp;IF(COUNTIFS($A$2:$A$5001,$A2848,$C$2:$C$5001,C2848)&gt;1,"Artikel doppelt im selben Lager; ",""))</f>
        <v/>
      </c>
      <c r="P2848" s="47" t="n">
        <f aca="false">IF(OR($A2848="",D2848=""),0,IF(COUNTIF($D$2:D2848,D2848)=1,SUMIF($D$2:$D$5001,D2848,$H$2:$H$5001)+ROW()/10000000,0))</f>
        <v>0</v>
      </c>
      <c r="Q2848" s="47" t="n">
        <f aca="false">IF(OR($A2848="",C2848=""),0,IF(COUNTIF($C$2:C2848,C2848)=1,SUMIF($C$2:$C$5001,C2848,$H$2:$H$5001)+ROW()/10000000,0))</f>
        <v>0</v>
      </c>
    </row>
    <row r="2849" customFormat="false" ht="15" hidden="false" customHeight="false" outlineLevel="0" collapsed="false">
      <c r="A2849" s="43"/>
      <c r="B2849" s="44"/>
      <c r="C2849" s="44"/>
      <c r="D2849" s="44"/>
      <c r="E2849" s="44"/>
      <c r="F2849" s="44"/>
      <c r="G2849" s="44"/>
      <c r="H2849" s="46" t="str">
        <f aca="false">IF($A2849="","",IF(OR(NOT(ISNUMBER(E2849)),NOT(ISNUMBER(F2849))),"",MAX(0,E2849)*F2849))</f>
        <v/>
      </c>
      <c r="I2849" s="46" t="str">
        <f aca="false">IF($A2849="","",SUMIF($A$2:$A$5001,$A2849,$H$2:$H$5001))</f>
        <v/>
      </c>
      <c r="J2849" s="47" t="n">
        <f aca="false">IF($A2849="",0,IF(COUNTIF($A$2:A2849,$A2849)=1,1,0))</f>
        <v>0</v>
      </c>
      <c r="K2849" s="47" t="n">
        <f aca="false">IF(J2849=1,N(I2849)+ROW()/10000000,0)</f>
        <v>0</v>
      </c>
      <c r="L2849" s="47" t="str">
        <f aca="false">IF(AND(J2849=1,N(I2849)&gt;0),SUMIF($K$2:$K$5001,"&gt;="&amp;K2849,$I$2:$I$5001)/MAX(1,SUM($H$2:$H$5001)),"")</f>
        <v/>
      </c>
      <c r="M2849" s="47" t="str">
        <f aca="false">IF($A2849="","",INDEX($L$2:$L$5001,MATCH($A2849,$A$2:$A$5001,0)))</f>
        <v/>
      </c>
      <c r="N2849" s="48" t="str">
        <f aca="false">IF($A2849="","",IF(N(M2849)=0,"–",IF(M2849&lt;=Start!$D$20,"A",IF(M2849&lt;=Start!$D$21,"B","C"))))</f>
        <v/>
      </c>
      <c r="O2849" s="48" t="str">
        <f aca="false">IF($A2849="","",IF(NOT(ISNUMBER(F2849)),"Wert fehlt; ",IF(F2849&lt;=0,"Wert ist 0; ",""))&amp;IF(NOT(ISNUMBER(E2849)),"Bestand fehlt; ",IF(E2849&lt;0,"Bestand negativ; ",IF(E2849=0,"Nullbestand; ","")))&amp;IF(D2849="","Warengruppe fehlt; ","")&amp;IF(B2849="","Bezeichnung fehlt; ","")&amp;IF(COUNTIFS($A$2:$A$5001,$A2849,$C$2:$C$5001,C2849)&gt;1,"Artikel doppelt im selben Lager; ",""))</f>
        <v/>
      </c>
      <c r="P2849" s="47" t="n">
        <f aca="false">IF(OR($A2849="",D2849=""),0,IF(COUNTIF($D$2:D2849,D2849)=1,SUMIF($D$2:$D$5001,D2849,$H$2:$H$5001)+ROW()/10000000,0))</f>
        <v>0</v>
      </c>
      <c r="Q2849" s="47" t="n">
        <f aca="false">IF(OR($A2849="",C2849=""),0,IF(COUNTIF($C$2:C2849,C2849)=1,SUMIF($C$2:$C$5001,C2849,$H$2:$H$5001)+ROW()/10000000,0))</f>
        <v>0</v>
      </c>
    </row>
    <row r="2850" customFormat="false" ht="15" hidden="false" customHeight="false" outlineLevel="0" collapsed="false">
      <c r="A2850" s="43"/>
      <c r="B2850" s="44"/>
      <c r="C2850" s="44"/>
      <c r="D2850" s="44"/>
      <c r="E2850" s="44"/>
      <c r="F2850" s="44"/>
      <c r="G2850" s="44"/>
      <c r="H2850" s="46" t="str">
        <f aca="false">IF($A2850="","",IF(OR(NOT(ISNUMBER(E2850)),NOT(ISNUMBER(F2850))),"",MAX(0,E2850)*F2850))</f>
        <v/>
      </c>
      <c r="I2850" s="46" t="str">
        <f aca="false">IF($A2850="","",SUMIF($A$2:$A$5001,$A2850,$H$2:$H$5001))</f>
        <v/>
      </c>
      <c r="J2850" s="47" t="n">
        <f aca="false">IF($A2850="",0,IF(COUNTIF($A$2:A2850,$A2850)=1,1,0))</f>
        <v>0</v>
      </c>
      <c r="K2850" s="47" t="n">
        <f aca="false">IF(J2850=1,N(I2850)+ROW()/10000000,0)</f>
        <v>0</v>
      </c>
      <c r="L2850" s="47" t="str">
        <f aca="false">IF(AND(J2850=1,N(I2850)&gt;0),SUMIF($K$2:$K$5001,"&gt;="&amp;K2850,$I$2:$I$5001)/MAX(1,SUM($H$2:$H$5001)),"")</f>
        <v/>
      </c>
      <c r="M2850" s="47" t="str">
        <f aca="false">IF($A2850="","",INDEX($L$2:$L$5001,MATCH($A2850,$A$2:$A$5001,0)))</f>
        <v/>
      </c>
      <c r="N2850" s="48" t="str">
        <f aca="false">IF($A2850="","",IF(N(M2850)=0,"–",IF(M2850&lt;=Start!$D$20,"A",IF(M2850&lt;=Start!$D$21,"B","C"))))</f>
        <v/>
      </c>
      <c r="O2850" s="48" t="str">
        <f aca="false">IF($A2850="","",IF(NOT(ISNUMBER(F2850)),"Wert fehlt; ",IF(F2850&lt;=0,"Wert ist 0; ",""))&amp;IF(NOT(ISNUMBER(E2850)),"Bestand fehlt; ",IF(E2850&lt;0,"Bestand negativ; ",IF(E2850=0,"Nullbestand; ","")))&amp;IF(D2850="","Warengruppe fehlt; ","")&amp;IF(B2850="","Bezeichnung fehlt; ","")&amp;IF(COUNTIFS($A$2:$A$5001,$A2850,$C$2:$C$5001,C2850)&gt;1,"Artikel doppelt im selben Lager; ",""))</f>
        <v/>
      </c>
      <c r="P2850" s="47" t="n">
        <f aca="false">IF(OR($A2850="",D2850=""),0,IF(COUNTIF($D$2:D2850,D2850)=1,SUMIF($D$2:$D$5001,D2850,$H$2:$H$5001)+ROW()/10000000,0))</f>
        <v>0</v>
      </c>
      <c r="Q2850" s="47" t="n">
        <f aca="false">IF(OR($A2850="",C2850=""),0,IF(COUNTIF($C$2:C2850,C2850)=1,SUMIF($C$2:$C$5001,C2850,$H$2:$H$5001)+ROW()/10000000,0))</f>
        <v>0</v>
      </c>
    </row>
    <row r="2851" customFormat="false" ht="15" hidden="false" customHeight="false" outlineLevel="0" collapsed="false">
      <c r="A2851" s="43"/>
      <c r="B2851" s="44"/>
      <c r="C2851" s="44"/>
      <c r="D2851" s="44"/>
      <c r="E2851" s="44"/>
      <c r="F2851" s="44"/>
      <c r="G2851" s="44"/>
      <c r="H2851" s="46" t="str">
        <f aca="false">IF($A2851="","",IF(OR(NOT(ISNUMBER(E2851)),NOT(ISNUMBER(F2851))),"",MAX(0,E2851)*F2851))</f>
        <v/>
      </c>
      <c r="I2851" s="46" t="str">
        <f aca="false">IF($A2851="","",SUMIF($A$2:$A$5001,$A2851,$H$2:$H$5001))</f>
        <v/>
      </c>
      <c r="J2851" s="47" t="n">
        <f aca="false">IF($A2851="",0,IF(COUNTIF($A$2:A2851,$A2851)=1,1,0))</f>
        <v>0</v>
      </c>
      <c r="K2851" s="47" t="n">
        <f aca="false">IF(J2851=1,N(I2851)+ROW()/10000000,0)</f>
        <v>0</v>
      </c>
      <c r="L2851" s="47" t="str">
        <f aca="false">IF(AND(J2851=1,N(I2851)&gt;0),SUMIF($K$2:$K$5001,"&gt;="&amp;K2851,$I$2:$I$5001)/MAX(1,SUM($H$2:$H$5001)),"")</f>
        <v/>
      </c>
      <c r="M2851" s="47" t="str">
        <f aca="false">IF($A2851="","",INDEX($L$2:$L$5001,MATCH($A2851,$A$2:$A$5001,0)))</f>
        <v/>
      </c>
      <c r="N2851" s="48" t="str">
        <f aca="false">IF($A2851="","",IF(N(M2851)=0,"–",IF(M2851&lt;=Start!$D$20,"A",IF(M2851&lt;=Start!$D$21,"B","C"))))</f>
        <v/>
      </c>
      <c r="O2851" s="48" t="str">
        <f aca="false">IF($A2851="","",IF(NOT(ISNUMBER(F2851)),"Wert fehlt; ",IF(F2851&lt;=0,"Wert ist 0; ",""))&amp;IF(NOT(ISNUMBER(E2851)),"Bestand fehlt; ",IF(E2851&lt;0,"Bestand negativ; ",IF(E2851=0,"Nullbestand; ","")))&amp;IF(D2851="","Warengruppe fehlt; ","")&amp;IF(B2851="","Bezeichnung fehlt; ","")&amp;IF(COUNTIFS($A$2:$A$5001,$A2851,$C$2:$C$5001,C2851)&gt;1,"Artikel doppelt im selben Lager; ",""))</f>
        <v/>
      </c>
      <c r="P2851" s="47" t="n">
        <f aca="false">IF(OR($A2851="",D2851=""),0,IF(COUNTIF($D$2:D2851,D2851)=1,SUMIF($D$2:$D$5001,D2851,$H$2:$H$5001)+ROW()/10000000,0))</f>
        <v>0</v>
      </c>
      <c r="Q2851" s="47" t="n">
        <f aca="false">IF(OR($A2851="",C2851=""),0,IF(COUNTIF($C$2:C2851,C2851)=1,SUMIF($C$2:$C$5001,C2851,$H$2:$H$5001)+ROW()/10000000,0))</f>
        <v>0</v>
      </c>
    </row>
    <row r="2852" customFormat="false" ht="15" hidden="false" customHeight="false" outlineLevel="0" collapsed="false">
      <c r="A2852" s="43"/>
      <c r="B2852" s="44"/>
      <c r="C2852" s="44"/>
      <c r="D2852" s="44"/>
      <c r="E2852" s="44"/>
      <c r="F2852" s="44"/>
      <c r="G2852" s="44"/>
      <c r="H2852" s="46" t="str">
        <f aca="false">IF($A2852="","",IF(OR(NOT(ISNUMBER(E2852)),NOT(ISNUMBER(F2852))),"",MAX(0,E2852)*F2852))</f>
        <v/>
      </c>
      <c r="I2852" s="46" t="str">
        <f aca="false">IF($A2852="","",SUMIF($A$2:$A$5001,$A2852,$H$2:$H$5001))</f>
        <v/>
      </c>
      <c r="J2852" s="47" t="n">
        <f aca="false">IF($A2852="",0,IF(COUNTIF($A$2:A2852,$A2852)=1,1,0))</f>
        <v>0</v>
      </c>
      <c r="K2852" s="47" t="n">
        <f aca="false">IF(J2852=1,N(I2852)+ROW()/10000000,0)</f>
        <v>0</v>
      </c>
      <c r="L2852" s="47" t="str">
        <f aca="false">IF(AND(J2852=1,N(I2852)&gt;0),SUMIF($K$2:$K$5001,"&gt;="&amp;K2852,$I$2:$I$5001)/MAX(1,SUM($H$2:$H$5001)),"")</f>
        <v/>
      </c>
      <c r="M2852" s="47" t="str">
        <f aca="false">IF($A2852="","",INDEX($L$2:$L$5001,MATCH($A2852,$A$2:$A$5001,0)))</f>
        <v/>
      </c>
      <c r="N2852" s="48" t="str">
        <f aca="false">IF($A2852="","",IF(N(M2852)=0,"–",IF(M2852&lt;=Start!$D$20,"A",IF(M2852&lt;=Start!$D$21,"B","C"))))</f>
        <v/>
      </c>
      <c r="O2852" s="48" t="str">
        <f aca="false">IF($A2852="","",IF(NOT(ISNUMBER(F2852)),"Wert fehlt; ",IF(F2852&lt;=0,"Wert ist 0; ",""))&amp;IF(NOT(ISNUMBER(E2852)),"Bestand fehlt; ",IF(E2852&lt;0,"Bestand negativ; ",IF(E2852=0,"Nullbestand; ","")))&amp;IF(D2852="","Warengruppe fehlt; ","")&amp;IF(B2852="","Bezeichnung fehlt; ","")&amp;IF(COUNTIFS($A$2:$A$5001,$A2852,$C$2:$C$5001,C2852)&gt;1,"Artikel doppelt im selben Lager; ",""))</f>
        <v/>
      </c>
      <c r="P2852" s="47" t="n">
        <f aca="false">IF(OR($A2852="",D2852=""),0,IF(COUNTIF($D$2:D2852,D2852)=1,SUMIF($D$2:$D$5001,D2852,$H$2:$H$5001)+ROW()/10000000,0))</f>
        <v>0</v>
      </c>
      <c r="Q2852" s="47" t="n">
        <f aca="false">IF(OR($A2852="",C2852=""),0,IF(COUNTIF($C$2:C2852,C2852)=1,SUMIF($C$2:$C$5001,C2852,$H$2:$H$5001)+ROW()/10000000,0))</f>
        <v>0</v>
      </c>
    </row>
    <row r="2853" customFormat="false" ht="15" hidden="false" customHeight="false" outlineLevel="0" collapsed="false">
      <c r="A2853" s="43"/>
      <c r="B2853" s="44"/>
      <c r="C2853" s="44"/>
      <c r="D2853" s="44"/>
      <c r="E2853" s="44"/>
      <c r="F2853" s="44"/>
      <c r="G2853" s="44"/>
      <c r="H2853" s="46" t="str">
        <f aca="false">IF($A2853="","",IF(OR(NOT(ISNUMBER(E2853)),NOT(ISNUMBER(F2853))),"",MAX(0,E2853)*F2853))</f>
        <v/>
      </c>
      <c r="I2853" s="46" t="str">
        <f aca="false">IF($A2853="","",SUMIF($A$2:$A$5001,$A2853,$H$2:$H$5001))</f>
        <v/>
      </c>
      <c r="J2853" s="47" t="n">
        <f aca="false">IF($A2853="",0,IF(COUNTIF($A$2:A2853,$A2853)=1,1,0))</f>
        <v>0</v>
      </c>
      <c r="K2853" s="47" t="n">
        <f aca="false">IF(J2853=1,N(I2853)+ROW()/10000000,0)</f>
        <v>0</v>
      </c>
      <c r="L2853" s="47" t="str">
        <f aca="false">IF(AND(J2853=1,N(I2853)&gt;0),SUMIF($K$2:$K$5001,"&gt;="&amp;K2853,$I$2:$I$5001)/MAX(1,SUM($H$2:$H$5001)),"")</f>
        <v/>
      </c>
      <c r="M2853" s="47" t="str">
        <f aca="false">IF($A2853="","",INDEX($L$2:$L$5001,MATCH($A2853,$A$2:$A$5001,0)))</f>
        <v/>
      </c>
      <c r="N2853" s="48" t="str">
        <f aca="false">IF($A2853="","",IF(N(M2853)=0,"–",IF(M2853&lt;=Start!$D$20,"A",IF(M2853&lt;=Start!$D$21,"B","C"))))</f>
        <v/>
      </c>
      <c r="O2853" s="48" t="str">
        <f aca="false">IF($A2853="","",IF(NOT(ISNUMBER(F2853)),"Wert fehlt; ",IF(F2853&lt;=0,"Wert ist 0; ",""))&amp;IF(NOT(ISNUMBER(E2853)),"Bestand fehlt; ",IF(E2853&lt;0,"Bestand negativ; ",IF(E2853=0,"Nullbestand; ","")))&amp;IF(D2853="","Warengruppe fehlt; ","")&amp;IF(B2853="","Bezeichnung fehlt; ","")&amp;IF(COUNTIFS($A$2:$A$5001,$A2853,$C$2:$C$5001,C2853)&gt;1,"Artikel doppelt im selben Lager; ",""))</f>
        <v/>
      </c>
      <c r="P2853" s="47" t="n">
        <f aca="false">IF(OR($A2853="",D2853=""),0,IF(COUNTIF($D$2:D2853,D2853)=1,SUMIF($D$2:$D$5001,D2853,$H$2:$H$5001)+ROW()/10000000,0))</f>
        <v>0</v>
      </c>
      <c r="Q2853" s="47" t="n">
        <f aca="false">IF(OR($A2853="",C2853=""),0,IF(COUNTIF($C$2:C2853,C2853)=1,SUMIF($C$2:$C$5001,C2853,$H$2:$H$5001)+ROW()/10000000,0))</f>
        <v>0</v>
      </c>
    </row>
    <row r="2854" customFormat="false" ht="15" hidden="false" customHeight="false" outlineLevel="0" collapsed="false">
      <c r="A2854" s="43"/>
      <c r="B2854" s="44"/>
      <c r="C2854" s="44"/>
      <c r="D2854" s="44"/>
      <c r="E2854" s="44"/>
      <c r="F2854" s="44"/>
      <c r="G2854" s="44"/>
      <c r="H2854" s="46" t="str">
        <f aca="false">IF($A2854="","",IF(OR(NOT(ISNUMBER(E2854)),NOT(ISNUMBER(F2854))),"",MAX(0,E2854)*F2854))</f>
        <v/>
      </c>
      <c r="I2854" s="46" t="str">
        <f aca="false">IF($A2854="","",SUMIF($A$2:$A$5001,$A2854,$H$2:$H$5001))</f>
        <v/>
      </c>
      <c r="J2854" s="47" t="n">
        <f aca="false">IF($A2854="",0,IF(COUNTIF($A$2:A2854,$A2854)=1,1,0))</f>
        <v>0</v>
      </c>
      <c r="K2854" s="47" t="n">
        <f aca="false">IF(J2854=1,N(I2854)+ROW()/10000000,0)</f>
        <v>0</v>
      </c>
      <c r="L2854" s="47" t="str">
        <f aca="false">IF(AND(J2854=1,N(I2854)&gt;0),SUMIF($K$2:$K$5001,"&gt;="&amp;K2854,$I$2:$I$5001)/MAX(1,SUM($H$2:$H$5001)),"")</f>
        <v/>
      </c>
      <c r="M2854" s="47" t="str">
        <f aca="false">IF($A2854="","",INDEX($L$2:$L$5001,MATCH($A2854,$A$2:$A$5001,0)))</f>
        <v/>
      </c>
      <c r="N2854" s="48" t="str">
        <f aca="false">IF($A2854="","",IF(N(M2854)=0,"–",IF(M2854&lt;=Start!$D$20,"A",IF(M2854&lt;=Start!$D$21,"B","C"))))</f>
        <v/>
      </c>
      <c r="O2854" s="48" t="str">
        <f aca="false">IF($A2854="","",IF(NOT(ISNUMBER(F2854)),"Wert fehlt; ",IF(F2854&lt;=0,"Wert ist 0; ",""))&amp;IF(NOT(ISNUMBER(E2854)),"Bestand fehlt; ",IF(E2854&lt;0,"Bestand negativ; ",IF(E2854=0,"Nullbestand; ","")))&amp;IF(D2854="","Warengruppe fehlt; ","")&amp;IF(B2854="","Bezeichnung fehlt; ","")&amp;IF(COUNTIFS($A$2:$A$5001,$A2854,$C$2:$C$5001,C2854)&gt;1,"Artikel doppelt im selben Lager; ",""))</f>
        <v/>
      </c>
      <c r="P2854" s="47" t="n">
        <f aca="false">IF(OR($A2854="",D2854=""),0,IF(COUNTIF($D$2:D2854,D2854)=1,SUMIF($D$2:$D$5001,D2854,$H$2:$H$5001)+ROW()/10000000,0))</f>
        <v>0</v>
      </c>
      <c r="Q2854" s="47" t="n">
        <f aca="false">IF(OR($A2854="",C2854=""),0,IF(COUNTIF($C$2:C2854,C2854)=1,SUMIF($C$2:$C$5001,C2854,$H$2:$H$5001)+ROW()/10000000,0))</f>
        <v>0</v>
      </c>
    </row>
    <row r="2855" customFormat="false" ht="15" hidden="false" customHeight="false" outlineLevel="0" collapsed="false">
      <c r="A2855" s="43"/>
      <c r="B2855" s="44"/>
      <c r="C2855" s="44"/>
      <c r="D2855" s="44"/>
      <c r="E2855" s="44"/>
      <c r="F2855" s="44"/>
      <c r="G2855" s="44"/>
      <c r="H2855" s="46" t="str">
        <f aca="false">IF($A2855="","",IF(OR(NOT(ISNUMBER(E2855)),NOT(ISNUMBER(F2855))),"",MAX(0,E2855)*F2855))</f>
        <v/>
      </c>
      <c r="I2855" s="46" t="str">
        <f aca="false">IF($A2855="","",SUMIF($A$2:$A$5001,$A2855,$H$2:$H$5001))</f>
        <v/>
      </c>
      <c r="J2855" s="47" t="n">
        <f aca="false">IF($A2855="",0,IF(COUNTIF($A$2:A2855,$A2855)=1,1,0))</f>
        <v>0</v>
      </c>
      <c r="K2855" s="47" t="n">
        <f aca="false">IF(J2855=1,N(I2855)+ROW()/10000000,0)</f>
        <v>0</v>
      </c>
      <c r="L2855" s="47" t="str">
        <f aca="false">IF(AND(J2855=1,N(I2855)&gt;0),SUMIF($K$2:$K$5001,"&gt;="&amp;K2855,$I$2:$I$5001)/MAX(1,SUM($H$2:$H$5001)),"")</f>
        <v/>
      </c>
      <c r="M2855" s="47" t="str">
        <f aca="false">IF($A2855="","",INDEX($L$2:$L$5001,MATCH($A2855,$A$2:$A$5001,0)))</f>
        <v/>
      </c>
      <c r="N2855" s="48" t="str">
        <f aca="false">IF($A2855="","",IF(N(M2855)=0,"–",IF(M2855&lt;=Start!$D$20,"A",IF(M2855&lt;=Start!$D$21,"B","C"))))</f>
        <v/>
      </c>
      <c r="O2855" s="48" t="str">
        <f aca="false">IF($A2855="","",IF(NOT(ISNUMBER(F2855)),"Wert fehlt; ",IF(F2855&lt;=0,"Wert ist 0; ",""))&amp;IF(NOT(ISNUMBER(E2855)),"Bestand fehlt; ",IF(E2855&lt;0,"Bestand negativ; ",IF(E2855=0,"Nullbestand; ","")))&amp;IF(D2855="","Warengruppe fehlt; ","")&amp;IF(B2855="","Bezeichnung fehlt; ","")&amp;IF(COUNTIFS($A$2:$A$5001,$A2855,$C$2:$C$5001,C2855)&gt;1,"Artikel doppelt im selben Lager; ",""))</f>
        <v/>
      </c>
      <c r="P2855" s="47" t="n">
        <f aca="false">IF(OR($A2855="",D2855=""),0,IF(COUNTIF($D$2:D2855,D2855)=1,SUMIF($D$2:$D$5001,D2855,$H$2:$H$5001)+ROW()/10000000,0))</f>
        <v>0</v>
      </c>
      <c r="Q2855" s="47" t="n">
        <f aca="false">IF(OR($A2855="",C2855=""),0,IF(COUNTIF($C$2:C2855,C2855)=1,SUMIF($C$2:$C$5001,C2855,$H$2:$H$5001)+ROW()/10000000,0))</f>
        <v>0</v>
      </c>
    </row>
    <row r="2856" customFormat="false" ht="15" hidden="false" customHeight="false" outlineLevel="0" collapsed="false">
      <c r="A2856" s="43"/>
      <c r="B2856" s="44"/>
      <c r="C2856" s="44"/>
      <c r="D2856" s="44"/>
      <c r="E2856" s="44"/>
      <c r="F2856" s="44"/>
      <c r="G2856" s="44"/>
      <c r="H2856" s="46" t="str">
        <f aca="false">IF($A2856="","",IF(OR(NOT(ISNUMBER(E2856)),NOT(ISNUMBER(F2856))),"",MAX(0,E2856)*F2856))</f>
        <v/>
      </c>
      <c r="I2856" s="46" t="str">
        <f aca="false">IF($A2856="","",SUMIF($A$2:$A$5001,$A2856,$H$2:$H$5001))</f>
        <v/>
      </c>
      <c r="J2856" s="47" t="n">
        <f aca="false">IF($A2856="",0,IF(COUNTIF($A$2:A2856,$A2856)=1,1,0))</f>
        <v>0</v>
      </c>
      <c r="K2856" s="47" t="n">
        <f aca="false">IF(J2856=1,N(I2856)+ROW()/10000000,0)</f>
        <v>0</v>
      </c>
      <c r="L2856" s="47" t="str">
        <f aca="false">IF(AND(J2856=1,N(I2856)&gt;0),SUMIF($K$2:$K$5001,"&gt;="&amp;K2856,$I$2:$I$5001)/MAX(1,SUM($H$2:$H$5001)),"")</f>
        <v/>
      </c>
      <c r="M2856" s="47" t="str">
        <f aca="false">IF($A2856="","",INDEX($L$2:$L$5001,MATCH($A2856,$A$2:$A$5001,0)))</f>
        <v/>
      </c>
      <c r="N2856" s="48" t="str">
        <f aca="false">IF($A2856="","",IF(N(M2856)=0,"–",IF(M2856&lt;=Start!$D$20,"A",IF(M2856&lt;=Start!$D$21,"B","C"))))</f>
        <v/>
      </c>
      <c r="O2856" s="48" t="str">
        <f aca="false">IF($A2856="","",IF(NOT(ISNUMBER(F2856)),"Wert fehlt; ",IF(F2856&lt;=0,"Wert ist 0; ",""))&amp;IF(NOT(ISNUMBER(E2856)),"Bestand fehlt; ",IF(E2856&lt;0,"Bestand negativ; ",IF(E2856=0,"Nullbestand; ","")))&amp;IF(D2856="","Warengruppe fehlt; ","")&amp;IF(B2856="","Bezeichnung fehlt; ","")&amp;IF(COUNTIFS($A$2:$A$5001,$A2856,$C$2:$C$5001,C2856)&gt;1,"Artikel doppelt im selben Lager; ",""))</f>
        <v/>
      </c>
      <c r="P2856" s="47" t="n">
        <f aca="false">IF(OR($A2856="",D2856=""),0,IF(COUNTIF($D$2:D2856,D2856)=1,SUMIF($D$2:$D$5001,D2856,$H$2:$H$5001)+ROW()/10000000,0))</f>
        <v>0</v>
      </c>
      <c r="Q2856" s="47" t="n">
        <f aca="false">IF(OR($A2856="",C2856=""),0,IF(COUNTIF($C$2:C2856,C2856)=1,SUMIF($C$2:$C$5001,C2856,$H$2:$H$5001)+ROW()/10000000,0))</f>
        <v>0</v>
      </c>
    </row>
    <row r="2857" customFormat="false" ht="15" hidden="false" customHeight="false" outlineLevel="0" collapsed="false">
      <c r="A2857" s="43"/>
      <c r="B2857" s="44"/>
      <c r="C2857" s="44"/>
      <c r="D2857" s="44"/>
      <c r="E2857" s="44"/>
      <c r="F2857" s="44"/>
      <c r="G2857" s="44"/>
      <c r="H2857" s="46" t="str">
        <f aca="false">IF($A2857="","",IF(OR(NOT(ISNUMBER(E2857)),NOT(ISNUMBER(F2857))),"",MAX(0,E2857)*F2857))</f>
        <v/>
      </c>
      <c r="I2857" s="46" t="str">
        <f aca="false">IF($A2857="","",SUMIF($A$2:$A$5001,$A2857,$H$2:$H$5001))</f>
        <v/>
      </c>
      <c r="J2857" s="47" t="n">
        <f aca="false">IF($A2857="",0,IF(COUNTIF($A$2:A2857,$A2857)=1,1,0))</f>
        <v>0</v>
      </c>
      <c r="K2857" s="47" t="n">
        <f aca="false">IF(J2857=1,N(I2857)+ROW()/10000000,0)</f>
        <v>0</v>
      </c>
      <c r="L2857" s="47" t="str">
        <f aca="false">IF(AND(J2857=1,N(I2857)&gt;0),SUMIF($K$2:$K$5001,"&gt;="&amp;K2857,$I$2:$I$5001)/MAX(1,SUM($H$2:$H$5001)),"")</f>
        <v/>
      </c>
      <c r="M2857" s="47" t="str">
        <f aca="false">IF($A2857="","",INDEX($L$2:$L$5001,MATCH($A2857,$A$2:$A$5001,0)))</f>
        <v/>
      </c>
      <c r="N2857" s="48" t="str">
        <f aca="false">IF($A2857="","",IF(N(M2857)=0,"–",IF(M2857&lt;=Start!$D$20,"A",IF(M2857&lt;=Start!$D$21,"B","C"))))</f>
        <v/>
      </c>
      <c r="O2857" s="48" t="str">
        <f aca="false">IF($A2857="","",IF(NOT(ISNUMBER(F2857)),"Wert fehlt; ",IF(F2857&lt;=0,"Wert ist 0; ",""))&amp;IF(NOT(ISNUMBER(E2857)),"Bestand fehlt; ",IF(E2857&lt;0,"Bestand negativ; ",IF(E2857=0,"Nullbestand; ","")))&amp;IF(D2857="","Warengruppe fehlt; ","")&amp;IF(B2857="","Bezeichnung fehlt; ","")&amp;IF(COUNTIFS($A$2:$A$5001,$A2857,$C$2:$C$5001,C2857)&gt;1,"Artikel doppelt im selben Lager; ",""))</f>
        <v/>
      </c>
      <c r="P2857" s="47" t="n">
        <f aca="false">IF(OR($A2857="",D2857=""),0,IF(COUNTIF($D$2:D2857,D2857)=1,SUMIF($D$2:$D$5001,D2857,$H$2:$H$5001)+ROW()/10000000,0))</f>
        <v>0</v>
      </c>
      <c r="Q2857" s="47" t="n">
        <f aca="false">IF(OR($A2857="",C2857=""),0,IF(COUNTIF($C$2:C2857,C2857)=1,SUMIF($C$2:$C$5001,C2857,$H$2:$H$5001)+ROW()/10000000,0))</f>
        <v>0</v>
      </c>
    </row>
    <row r="2858" customFormat="false" ht="15" hidden="false" customHeight="false" outlineLevel="0" collapsed="false">
      <c r="A2858" s="43"/>
      <c r="B2858" s="44"/>
      <c r="C2858" s="44"/>
      <c r="D2858" s="44"/>
      <c r="E2858" s="44"/>
      <c r="F2858" s="44"/>
      <c r="G2858" s="44"/>
      <c r="H2858" s="46" t="str">
        <f aca="false">IF($A2858="","",IF(OR(NOT(ISNUMBER(E2858)),NOT(ISNUMBER(F2858))),"",MAX(0,E2858)*F2858))</f>
        <v/>
      </c>
      <c r="I2858" s="46" t="str">
        <f aca="false">IF($A2858="","",SUMIF($A$2:$A$5001,$A2858,$H$2:$H$5001))</f>
        <v/>
      </c>
      <c r="J2858" s="47" t="n">
        <f aca="false">IF($A2858="",0,IF(COUNTIF($A$2:A2858,$A2858)=1,1,0))</f>
        <v>0</v>
      </c>
      <c r="K2858" s="47" t="n">
        <f aca="false">IF(J2858=1,N(I2858)+ROW()/10000000,0)</f>
        <v>0</v>
      </c>
      <c r="L2858" s="47" t="str">
        <f aca="false">IF(AND(J2858=1,N(I2858)&gt;0),SUMIF($K$2:$K$5001,"&gt;="&amp;K2858,$I$2:$I$5001)/MAX(1,SUM($H$2:$H$5001)),"")</f>
        <v/>
      </c>
      <c r="M2858" s="47" t="str">
        <f aca="false">IF($A2858="","",INDEX($L$2:$L$5001,MATCH($A2858,$A$2:$A$5001,0)))</f>
        <v/>
      </c>
      <c r="N2858" s="48" t="str">
        <f aca="false">IF($A2858="","",IF(N(M2858)=0,"–",IF(M2858&lt;=Start!$D$20,"A",IF(M2858&lt;=Start!$D$21,"B","C"))))</f>
        <v/>
      </c>
      <c r="O2858" s="48" t="str">
        <f aca="false">IF($A2858="","",IF(NOT(ISNUMBER(F2858)),"Wert fehlt; ",IF(F2858&lt;=0,"Wert ist 0; ",""))&amp;IF(NOT(ISNUMBER(E2858)),"Bestand fehlt; ",IF(E2858&lt;0,"Bestand negativ; ",IF(E2858=0,"Nullbestand; ","")))&amp;IF(D2858="","Warengruppe fehlt; ","")&amp;IF(B2858="","Bezeichnung fehlt; ","")&amp;IF(COUNTIFS($A$2:$A$5001,$A2858,$C$2:$C$5001,C2858)&gt;1,"Artikel doppelt im selben Lager; ",""))</f>
        <v/>
      </c>
      <c r="P2858" s="47" t="n">
        <f aca="false">IF(OR($A2858="",D2858=""),0,IF(COUNTIF($D$2:D2858,D2858)=1,SUMIF($D$2:$D$5001,D2858,$H$2:$H$5001)+ROW()/10000000,0))</f>
        <v>0</v>
      </c>
      <c r="Q2858" s="47" t="n">
        <f aca="false">IF(OR($A2858="",C2858=""),0,IF(COUNTIF($C$2:C2858,C2858)=1,SUMIF($C$2:$C$5001,C2858,$H$2:$H$5001)+ROW()/10000000,0))</f>
        <v>0</v>
      </c>
    </row>
    <row r="2859" customFormat="false" ht="15" hidden="false" customHeight="false" outlineLevel="0" collapsed="false">
      <c r="A2859" s="43"/>
      <c r="B2859" s="44"/>
      <c r="C2859" s="44"/>
      <c r="D2859" s="44"/>
      <c r="E2859" s="44"/>
      <c r="F2859" s="44"/>
      <c r="G2859" s="44"/>
      <c r="H2859" s="46" t="str">
        <f aca="false">IF($A2859="","",IF(OR(NOT(ISNUMBER(E2859)),NOT(ISNUMBER(F2859))),"",MAX(0,E2859)*F2859))</f>
        <v/>
      </c>
      <c r="I2859" s="46" t="str">
        <f aca="false">IF($A2859="","",SUMIF($A$2:$A$5001,$A2859,$H$2:$H$5001))</f>
        <v/>
      </c>
      <c r="J2859" s="47" t="n">
        <f aca="false">IF($A2859="",0,IF(COUNTIF($A$2:A2859,$A2859)=1,1,0))</f>
        <v>0</v>
      </c>
      <c r="K2859" s="47" t="n">
        <f aca="false">IF(J2859=1,N(I2859)+ROW()/10000000,0)</f>
        <v>0</v>
      </c>
      <c r="L2859" s="47" t="str">
        <f aca="false">IF(AND(J2859=1,N(I2859)&gt;0),SUMIF($K$2:$K$5001,"&gt;="&amp;K2859,$I$2:$I$5001)/MAX(1,SUM($H$2:$H$5001)),"")</f>
        <v/>
      </c>
      <c r="M2859" s="47" t="str">
        <f aca="false">IF($A2859="","",INDEX($L$2:$L$5001,MATCH($A2859,$A$2:$A$5001,0)))</f>
        <v/>
      </c>
      <c r="N2859" s="48" t="str">
        <f aca="false">IF($A2859="","",IF(N(M2859)=0,"–",IF(M2859&lt;=Start!$D$20,"A",IF(M2859&lt;=Start!$D$21,"B","C"))))</f>
        <v/>
      </c>
      <c r="O2859" s="48" t="str">
        <f aca="false">IF($A2859="","",IF(NOT(ISNUMBER(F2859)),"Wert fehlt; ",IF(F2859&lt;=0,"Wert ist 0; ",""))&amp;IF(NOT(ISNUMBER(E2859)),"Bestand fehlt; ",IF(E2859&lt;0,"Bestand negativ; ",IF(E2859=0,"Nullbestand; ","")))&amp;IF(D2859="","Warengruppe fehlt; ","")&amp;IF(B2859="","Bezeichnung fehlt; ","")&amp;IF(COUNTIFS($A$2:$A$5001,$A2859,$C$2:$C$5001,C2859)&gt;1,"Artikel doppelt im selben Lager; ",""))</f>
        <v/>
      </c>
      <c r="P2859" s="47" t="n">
        <f aca="false">IF(OR($A2859="",D2859=""),0,IF(COUNTIF($D$2:D2859,D2859)=1,SUMIF($D$2:$D$5001,D2859,$H$2:$H$5001)+ROW()/10000000,0))</f>
        <v>0</v>
      </c>
      <c r="Q2859" s="47" t="n">
        <f aca="false">IF(OR($A2859="",C2859=""),0,IF(COUNTIF($C$2:C2859,C2859)=1,SUMIF($C$2:$C$5001,C2859,$H$2:$H$5001)+ROW()/10000000,0))</f>
        <v>0</v>
      </c>
    </row>
    <row r="2860" customFormat="false" ht="15" hidden="false" customHeight="false" outlineLevel="0" collapsed="false">
      <c r="A2860" s="43"/>
      <c r="B2860" s="44"/>
      <c r="C2860" s="44"/>
      <c r="D2860" s="44"/>
      <c r="E2860" s="44"/>
      <c r="F2860" s="44"/>
      <c r="G2860" s="44"/>
      <c r="H2860" s="46" t="str">
        <f aca="false">IF($A2860="","",IF(OR(NOT(ISNUMBER(E2860)),NOT(ISNUMBER(F2860))),"",MAX(0,E2860)*F2860))</f>
        <v/>
      </c>
      <c r="I2860" s="46" t="str">
        <f aca="false">IF($A2860="","",SUMIF($A$2:$A$5001,$A2860,$H$2:$H$5001))</f>
        <v/>
      </c>
      <c r="J2860" s="47" t="n">
        <f aca="false">IF($A2860="",0,IF(COUNTIF($A$2:A2860,$A2860)=1,1,0))</f>
        <v>0</v>
      </c>
      <c r="K2860" s="47" t="n">
        <f aca="false">IF(J2860=1,N(I2860)+ROW()/10000000,0)</f>
        <v>0</v>
      </c>
      <c r="L2860" s="47" t="str">
        <f aca="false">IF(AND(J2860=1,N(I2860)&gt;0),SUMIF($K$2:$K$5001,"&gt;="&amp;K2860,$I$2:$I$5001)/MAX(1,SUM($H$2:$H$5001)),"")</f>
        <v/>
      </c>
      <c r="M2860" s="47" t="str">
        <f aca="false">IF($A2860="","",INDEX($L$2:$L$5001,MATCH($A2860,$A$2:$A$5001,0)))</f>
        <v/>
      </c>
      <c r="N2860" s="48" t="str">
        <f aca="false">IF($A2860="","",IF(N(M2860)=0,"–",IF(M2860&lt;=Start!$D$20,"A",IF(M2860&lt;=Start!$D$21,"B","C"))))</f>
        <v/>
      </c>
      <c r="O2860" s="48" t="str">
        <f aca="false">IF($A2860="","",IF(NOT(ISNUMBER(F2860)),"Wert fehlt; ",IF(F2860&lt;=0,"Wert ist 0; ",""))&amp;IF(NOT(ISNUMBER(E2860)),"Bestand fehlt; ",IF(E2860&lt;0,"Bestand negativ; ",IF(E2860=0,"Nullbestand; ","")))&amp;IF(D2860="","Warengruppe fehlt; ","")&amp;IF(B2860="","Bezeichnung fehlt; ","")&amp;IF(COUNTIFS($A$2:$A$5001,$A2860,$C$2:$C$5001,C2860)&gt;1,"Artikel doppelt im selben Lager; ",""))</f>
        <v/>
      </c>
      <c r="P2860" s="47" t="n">
        <f aca="false">IF(OR($A2860="",D2860=""),0,IF(COUNTIF($D$2:D2860,D2860)=1,SUMIF($D$2:$D$5001,D2860,$H$2:$H$5001)+ROW()/10000000,0))</f>
        <v>0</v>
      </c>
      <c r="Q2860" s="47" t="n">
        <f aca="false">IF(OR($A2860="",C2860=""),0,IF(COUNTIF($C$2:C2860,C2860)=1,SUMIF($C$2:$C$5001,C2860,$H$2:$H$5001)+ROW()/10000000,0))</f>
        <v>0</v>
      </c>
    </row>
    <row r="2861" customFormat="false" ht="15" hidden="false" customHeight="false" outlineLevel="0" collapsed="false">
      <c r="A2861" s="43"/>
      <c r="B2861" s="44"/>
      <c r="C2861" s="44"/>
      <c r="D2861" s="44"/>
      <c r="E2861" s="44"/>
      <c r="F2861" s="44"/>
      <c r="G2861" s="44"/>
      <c r="H2861" s="46" t="str">
        <f aca="false">IF($A2861="","",IF(OR(NOT(ISNUMBER(E2861)),NOT(ISNUMBER(F2861))),"",MAX(0,E2861)*F2861))</f>
        <v/>
      </c>
      <c r="I2861" s="46" t="str">
        <f aca="false">IF($A2861="","",SUMIF($A$2:$A$5001,$A2861,$H$2:$H$5001))</f>
        <v/>
      </c>
      <c r="J2861" s="47" t="n">
        <f aca="false">IF($A2861="",0,IF(COUNTIF($A$2:A2861,$A2861)=1,1,0))</f>
        <v>0</v>
      </c>
      <c r="K2861" s="47" t="n">
        <f aca="false">IF(J2861=1,N(I2861)+ROW()/10000000,0)</f>
        <v>0</v>
      </c>
      <c r="L2861" s="47" t="str">
        <f aca="false">IF(AND(J2861=1,N(I2861)&gt;0),SUMIF($K$2:$K$5001,"&gt;="&amp;K2861,$I$2:$I$5001)/MAX(1,SUM($H$2:$H$5001)),"")</f>
        <v/>
      </c>
      <c r="M2861" s="47" t="str">
        <f aca="false">IF($A2861="","",INDEX($L$2:$L$5001,MATCH($A2861,$A$2:$A$5001,0)))</f>
        <v/>
      </c>
      <c r="N2861" s="48" t="str">
        <f aca="false">IF($A2861="","",IF(N(M2861)=0,"–",IF(M2861&lt;=Start!$D$20,"A",IF(M2861&lt;=Start!$D$21,"B","C"))))</f>
        <v/>
      </c>
      <c r="O2861" s="48" t="str">
        <f aca="false">IF($A2861="","",IF(NOT(ISNUMBER(F2861)),"Wert fehlt; ",IF(F2861&lt;=0,"Wert ist 0; ",""))&amp;IF(NOT(ISNUMBER(E2861)),"Bestand fehlt; ",IF(E2861&lt;0,"Bestand negativ; ",IF(E2861=0,"Nullbestand; ","")))&amp;IF(D2861="","Warengruppe fehlt; ","")&amp;IF(B2861="","Bezeichnung fehlt; ","")&amp;IF(COUNTIFS($A$2:$A$5001,$A2861,$C$2:$C$5001,C2861)&gt;1,"Artikel doppelt im selben Lager; ",""))</f>
        <v/>
      </c>
      <c r="P2861" s="47" t="n">
        <f aca="false">IF(OR($A2861="",D2861=""),0,IF(COUNTIF($D$2:D2861,D2861)=1,SUMIF($D$2:$D$5001,D2861,$H$2:$H$5001)+ROW()/10000000,0))</f>
        <v>0</v>
      </c>
      <c r="Q2861" s="47" t="n">
        <f aca="false">IF(OR($A2861="",C2861=""),0,IF(COUNTIF($C$2:C2861,C2861)=1,SUMIF($C$2:$C$5001,C2861,$H$2:$H$5001)+ROW()/10000000,0))</f>
        <v>0</v>
      </c>
    </row>
    <row r="2862" customFormat="false" ht="15" hidden="false" customHeight="false" outlineLevel="0" collapsed="false">
      <c r="A2862" s="43"/>
      <c r="B2862" s="44"/>
      <c r="C2862" s="44"/>
      <c r="D2862" s="44"/>
      <c r="E2862" s="44"/>
      <c r="F2862" s="44"/>
      <c r="G2862" s="44"/>
      <c r="H2862" s="46" t="str">
        <f aca="false">IF($A2862="","",IF(OR(NOT(ISNUMBER(E2862)),NOT(ISNUMBER(F2862))),"",MAX(0,E2862)*F2862))</f>
        <v/>
      </c>
      <c r="I2862" s="46" t="str">
        <f aca="false">IF($A2862="","",SUMIF($A$2:$A$5001,$A2862,$H$2:$H$5001))</f>
        <v/>
      </c>
      <c r="J2862" s="47" t="n">
        <f aca="false">IF($A2862="",0,IF(COUNTIF($A$2:A2862,$A2862)=1,1,0))</f>
        <v>0</v>
      </c>
      <c r="K2862" s="47" t="n">
        <f aca="false">IF(J2862=1,N(I2862)+ROW()/10000000,0)</f>
        <v>0</v>
      </c>
      <c r="L2862" s="47" t="str">
        <f aca="false">IF(AND(J2862=1,N(I2862)&gt;0),SUMIF($K$2:$K$5001,"&gt;="&amp;K2862,$I$2:$I$5001)/MAX(1,SUM($H$2:$H$5001)),"")</f>
        <v/>
      </c>
      <c r="M2862" s="47" t="str">
        <f aca="false">IF($A2862="","",INDEX($L$2:$L$5001,MATCH($A2862,$A$2:$A$5001,0)))</f>
        <v/>
      </c>
      <c r="N2862" s="48" t="str">
        <f aca="false">IF($A2862="","",IF(N(M2862)=0,"–",IF(M2862&lt;=Start!$D$20,"A",IF(M2862&lt;=Start!$D$21,"B","C"))))</f>
        <v/>
      </c>
      <c r="O2862" s="48" t="str">
        <f aca="false">IF($A2862="","",IF(NOT(ISNUMBER(F2862)),"Wert fehlt; ",IF(F2862&lt;=0,"Wert ist 0; ",""))&amp;IF(NOT(ISNUMBER(E2862)),"Bestand fehlt; ",IF(E2862&lt;0,"Bestand negativ; ",IF(E2862=0,"Nullbestand; ","")))&amp;IF(D2862="","Warengruppe fehlt; ","")&amp;IF(B2862="","Bezeichnung fehlt; ","")&amp;IF(COUNTIFS($A$2:$A$5001,$A2862,$C$2:$C$5001,C2862)&gt;1,"Artikel doppelt im selben Lager; ",""))</f>
        <v/>
      </c>
      <c r="P2862" s="47" t="n">
        <f aca="false">IF(OR($A2862="",D2862=""),0,IF(COUNTIF($D$2:D2862,D2862)=1,SUMIF($D$2:$D$5001,D2862,$H$2:$H$5001)+ROW()/10000000,0))</f>
        <v>0</v>
      </c>
      <c r="Q2862" s="47" t="n">
        <f aca="false">IF(OR($A2862="",C2862=""),0,IF(COUNTIF($C$2:C2862,C2862)=1,SUMIF($C$2:$C$5001,C2862,$H$2:$H$5001)+ROW()/10000000,0))</f>
        <v>0</v>
      </c>
    </row>
    <row r="2863" customFormat="false" ht="15" hidden="false" customHeight="false" outlineLevel="0" collapsed="false">
      <c r="A2863" s="43"/>
      <c r="B2863" s="44"/>
      <c r="C2863" s="44"/>
      <c r="D2863" s="44"/>
      <c r="E2863" s="44"/>
      <c r="F2863" s="44"/>
      <c r="G2863" s="44"/>
      <c r="H2863" s="46" t="str">
        <f aca="false">IF($A2863="","",IF(OR(NOT(ISNUMBER(E2863)),NOT(ISNUMBER(F2863))),"",MAX(0,E2863)*F2863))</f>
        <v/>
      </c>
      <c r="I2863" s="46" t="str">
        <f aca="false">IF($A2863="","",SUMIF($A$2:$A$5001,$A2863,$H$2:$H$5001))</f>
        <v/>
      </c>
      <c r="J2863" s="47" t="n">
        <f aca="false">IF($A2863="",0,IF(COUNTIF($A$2:A2863,$A2863)=1,1,0))</f>
        <v>0</v>
      </c>
      <c r="K2863" s="47" t="n">
        <f aca="false">IF(J2863=1,N(I2863)+ROW()/10000000,0)</f>
        <v>0</v>
      </c>
      <c r="L2863" s="47" t="str">
        <f aca="false">IF(AND(J2863=1,N(I2863)&gt;0),SUMIF($K$2:$K$5001,"&gt;="&amp;K2863,$I$2:$I$5001)/MAX(1,SUM($H$2:$H$5001)),"")</f>
        <v/>
      </c>
      <c r="M2863" s="47" t="str">
        <f aca="false">IF($A2863="","",INDEX($L$2:$L$5001,MATCH($A2863,$A$2:$A$5001,0)))</f>
        <v/>
      </c>
      <c r="N2863" s="48" t="str">
        <f aca="false">IF($A2863="","",IF(N(M2863)=0,"–",IF(M2863&lt;=Start!$D$20,"A",IF(M2863&lt;=Start!$D$21,"B","C"))))</f>
        <v/>
      </c>
      <c r="O2863" s="48" t="str">
        <f aca="false">IF($A2863="","",IF(NOT(ISNUMBER(F2863)),"Wert fehlt; ",IF(F2863&lt;=0,"Wert ist 0; ",""))&amp;IF(NOT(ISNUMBER(E2863)),"Bestand fehlt; ",IF(E2863&lt;0,"Bestand negativ; ",IF(E2863=0,"Nullbestand; ","")))&amp;IF(D2863="","Warengruppe fehlt; ","")&amp;IF(B2863="","Bezeichnung fehlt; ","")&amp;IF(COUNTIFS($A$2:$A$5001,$A2863,$C$2:$C$5001,C2863)&gt;1,"Artikel doppelt im selben Lager; ",""))</f>
        <v/>
      </c>
      <c r="P2863" s="47" t="n">
        <f aca="false">IF(OR($A2863="",D2863=""),0,IF(COUNTIF($D$2:D2863,D2863)=1,SUMIF($D$2:$D$5001,D2863,$H$2:$H$5001)+ROW()/10000000,0))</f>
        <v>0</v>
      </c>
      <c r="Q2863" s="47" t="n">
        <f aca="false">IF(OR($A2863="",C2863=""),0,IF(COUNTIF($C$2:C2863,C2863)=1,SUMIF($C$2:$C$5001,C2863,$H$2:$H$5001)+ROW()/10000000,0))</f>
        <v>0</v>
      </c>
    </row>
    <row r="2864" customFormat="false" ht="15" hidden="false" customHeight="false" outlineLevel="0" collapsed="false">
      <c r="A2864" s="43"/>
      <c r="B2864" s="44"/>
      <c r="C2864" s="44"/>
      <c r="D2864" s="44"/>
      <c r="E2864" s="44"/>
      <c r="F2864" s="44"/>
      <c r="G2864" s="44"/>
      <c r="H2864" s="46" t="str">
        <f aca="false">IF($A2864="","",IF(OR(NOT(ISNUMBER(E2864)),NOT(ISNUMBER(F2864))),"",MAX(0,E2864)*F2864))</f>
        <v/>
      </c>
      <c r="I2864" s="46" t="str">
        <f aca="false">IF($A2864="","",SUMIF($A$2:$A$5001,$A2864,$H$2:$H$5001))</f>
        <v/>
      </c>
      <c r="J2864" s="47" t="n">
        <f aca="false">IF($A2864="",0,IF(COUNTIF($A$2:A2864,$A2864)=1,1,0))</f>
        <v>0</v>
      </c>
      <c r="K2864" s="47" t="n">
        <f aca="false">IF(J2864=1,N(I2864)+ROW()/10000000,0)</f>
        <v>0</v>
      </c>
      <c r="L2864" s="47" t="str">
        <f aca="false">IF(AND(J2864=1,N(I2864)&gt;0),SUMIF($K$2:$K$5001,"&gt;="&amp;K2864,$I$2:$I$5001)/MAX(1,SUM($H$2:$H$5001)),"")</f>
        <v/>
      </c>
      <c r="M2864" s="47" t="str">
        <f aca="false">IF($A2864="","",INDEX($L$2:$L$5001,MATCH($A2864,$A$2:$A$5001,0)))</f>
        <v/>
      </c>
      <c r="N2864" s="48" t="str">
        <f aca="false">IF($A2864="","",IF(N(M2864)=0,"–",IF(M2864&lt;=Start!$D$20,"A",IF(M2864&lt;=Start!$D$21,"B","C"))))</f>
        <v/>
      </c>
      <c r="O2864" s="48" t="str">
        <f aca="false">IF($A2864="","",IF(NOT(ISNUMBER(F2864)),"Wert fehlt; ",IF(F2864&lt;=0,"Wert ist 0; ",""))&amp;IF(NOT(ISNUMBER(E2864)),"Bestand fehlt; ",IF(E2864&lt;0,"Bestand negativ; ",IF(E2864=0,"Nullbestand; ","")))&amp;IF(D2864="","Warengruppe fehlt; ","")&amp;IF(B2864="","Bezeichnung fehlt; ","")&amp;IF(COUNTIFS($A$2:$A$5001,$A2864,$C$2:$C$5001,C2864)&gt;1,"Artikel doppelt im selben Lager; ",""))</f>
        <v/>
      </c>
      <c r="P2864" s="47" t="n">
        <f aca="false">IF(OR($A2864="",D2864=""),0,IF(COUNTIF($D$2:D2864,D2864)=1,SUMIF($D$2:$D$5001,D2864,$H$2:$H$5001)+ROW()/10000000,0))</f>
        <v>0</v>
      </c>
      <c r="Q2864" s="47" t="n">
        <f aca="false">IF(OR($A2864="",C2864=""),0,IF(COUNTIF($C$2:C2864,C2864)=1,SUMIF($C$2:$C$5001,C2864,$H$2:$H$5001)+ROW()/10000000,0))</f>
        <v>0</v>
      </c>
    </row>
    <row r="2865" customFormat="false" ht="15" hidden="false" customHeight="false" outlineLevel="0" collapsed="false">
      <c r="A2865" s="43"/>
      <c r="B2865" s="44"/>
      <c r="C2865" s="44"/>
      <c r="D2865" s="44"/>
      <c r="E2865" s="44"/>
      <c r="F2865" s="44"/>
      <c r="G2865" s="44"/>
      <c r="H2865" s="46" t="str">
        <f aca="false">IF($A2865="","",IF(OR(NOT(ISNUMBER(E2865)),NOT(ISNUMBER(F2865))),"",MAX(0,E2865)*F2865))</f>
        <v/>
      </c>
      <c r="I2865" s="46" t="str">
        <f aca="false">IF($A2865="","",SUMIF($A$2:$A$5001,$A2865,$H$2:$H$5001))</f>
        <v/>
      </c>
      <c r="J2865" s="47" t="n">
        <f aca="false">IF($A2865="",0,IF(COUNTIF($A$2:A2865,$A2865)=1,1,0))</f>
        <v>0</v>
      </c>
      <c r="K2865" s="47" t="n">
        <f aca="false">IF(J2865=1,N(I2865)+ROW()/10000000,0)</f>
        <v>0</v>
      </c>
      <c r="L2865" s="47" t="str">
        <f aca="false">IF(AND(J2865=1,N(I2865)&gt;0),SUMIF($K$2:$K$5001,"&gt;="&amp;K2865,$I$2:$I$5001)/MAX(1,SUM($H$2:$H$5001)),"")</f>
        <v/>
      </c>
      <c r="M2865" s="47" t="str">
        <f aca="false">IF($A2865="","",INDEX($L$2:$L$5001,MATCH($A2865,$A$2:$A$5001,0)))</f>
        <v/>
      </c>
      <c r="N2865" s="48" t="str">
        <f aca="false">IF($A2865="","",IF(N(M2865)=0,"–",IF(M2865&lt;=Start!$D$20,"A",IF(M2865&lt;=Start!$D$21,"B","C"))))</f>
        <v/>
      </c>
      <c r="O2865" s="48" t="str">
        <f aca="false">IF($A2865="","",IF(NOT(ISNUMBER(F2865)),"Wert fehlt; ",IF(F2865&lt;=0,"Wert ist 0; ",""))&amp;IF(NOT(ISNUMBER(E2865)),"Bestand fehlt; ",IF(E2865&lt;0,"Bestand negativ; ",IF(E2865=0,"Nullbestand; ","")))&amp;IF(D2865="","Warengruppe fehlt; ","")&amp;IF(B2865="","Bezeichnung fehlt; ","")&amp;IF(COUNTIFS($A$2:$A$5001,$A2865,$C$2:$C$5001,C2865)&gt;1,"Artikel doppelt im selben Lager; ",""))</f>
        <v/>
      </c>
      <c r="P2865" s="47" t="n">
        <f aca="false">IF(OR($A2865="",D2865=""),0,IF(COUNTIF($D$2:D2865,D2865)=1,SUMIF($D$2:$D$5001,D2865,$H$2:$H$5001)+ROW()/10000000,0))</f>
        <v>0</v>
      </c>
      <c r="Q2865" s="47" t="n">
        <f aca="false">IF(OR($A2865="",C2865=""),0,IF(COUNTIF($C$2:C2865,C2865)=1,SUMIF($C$2:$C$5001,C2865,$H$2:$H$5001)+ROW()/10000000,0))</f>
        <v>0</v>
      </c>
    </row>
    <row r="2866" customFormat="false" ht="15" hidden="false" customHeight="false" outlineLevel="0" collapsed="false">
      <c r="A2866" s="43"/>
      <c r="B2866" s="44"/>
      <c r="C2866" s="44"/>
      <c r="D2866" s="44"/>
      <c r="E2866" s="44"/>
      <c r="F2866" s="44"/>
      <c r="G2866" s="44"/>
      <c r="H2866" s="46" t="str">
        <f aca="false">IF($A2866="","",IF(OR(NOT(ISNUMBER(E2866)),NOT(ISNUMBER(F2866))),"",MAX(0,E2866)*F2866))</f>
        <v/>
      </c>
      <c r="I2866" s="46" t="str">
        <f aca="false">IF($A2866="","",SUMIF($A$2:$A$5001,$A2866,$H$2:$H$5001))</f>
        <v/>
      </c>
      <c r="J2866" s="47" t="n">
        <f aca="false">IF($A2866="",0,IF(COUNTIF($A$2:A2866,$A2866)=1,1,0))</f>
        <v>0</v>
      </c>
      <c r="K2866" s="47" t="n">
        <f aca="false">IF(J2866=1,N(I2866)+ROW()/10000000,0)</f>
        <v>0</v>
      </c>
      <c r="L2866" s="47" t="str">
        <f aca="false">IF(AND(J2866=1,N(I2866)&gt;0),SUMIF($K$2:$K$5001,"&gt;="&amp;K2866,$I$2:$I$5001)/MAX(1,SUM($H$2:$H$5001)),"")</f>
        <v/>
      </c>
      <c r="M2866" s="47" t="str">
        <f aca="false">IF($A2866="","",INDEX($L$2:$L$5001,MATCH($A2866,$A$2:$A$5001,0)))</f>
        <v/>
      </c>
      <c r="N2866" s="48" t="str">
        <f aca="false">IF($A2866="","",IF(N(M2866)=0,"–",IF(M2866&lt;=Start!$D$20,"A",IF(M2866&lt;=Start!$D$21,"B","C"))))</f>
        <v/>
      </c>
      <c r="O2866" s="48" t="str">
        <f aca="false">IF($A2866="","",IF(NOT(ISNUMBER(F2866)),"Wert fehlt; ",IF(F2866&lt;=0,"Wert ist 0; ",""))&amp;IF(NOT(ISNUMBER(E2866)),"Bestand fehlt; ",IF(E2866&lt;0,"Bestand negativ; ",IF(E2866=0,"Nullbestand; ","")))&amp;IF(D2866="","Warengruppe fehlt; ","")&amp;IF(B2866="","Bezeichnung fehlt; ","")&amp;IF(COUNTIFS($A$2:$A$5001,$A2866,$C$2:$C$5001,C2866)&gt;1,"Artikel doppelt im selben Lager; ",""))</f>
        <v/>
      </c>
      <c r="P2866" s="47" t="n">
        <f aca="false">IF(OR($A2866="",D2866=""),0,IF(COUNTIF($D$2:D2866,D2866)=1,SUMIF($D$2:$D$5001,D2866,$H$2:$H$5001)+ROW()/10000000,0))</f>
        <v>0</v>
      </c>
      <c r="Q2866" s="47" t="n">
        <f aca="false">IF(OR($A2866="",C2866=""),0,IF(COUNTIF($C$2:C2866,C2866)=1,SUMIF($C$2:$C$5001,C2866,$H$2:$H$5001)+ROW()/10000000,0))</f>
        <v>0</v>
      </c>
    </row>
    <row r="2867" customFormat="false" ht="15" hidden="false" customHeight="false" outlineLevel="0" collapsed="false">
      <c r="A2867" s="43"/>
      <c r="B2867" s="44"/>
      <c r="C2867" s="44"/>
      <c r="D2867" s="44"/>
      <c r="E2867" s="44"/>
      <c r="F2867" s="44"/>
      <c r="G2867" s="44"/>
      <c r="H2867" s="46" t="str">
        <f aca="false">IF($A2867="","",IF(OR(NOT(ISNUMBER(E2867)),NOT(ISNUMBER(F2867))),"",MAX(0,E2867)*F2867))</f>
        <v/>
      </c>
      <c r="I2867" s="46" t="str">
        <f aca="false">IF($A2867="","",SUMIF($A$2:$A$5001,$A2867,$H$2:$H$5001))</f>
        <v/>
      </c>
      <c r="J2867" s="47" t="n">
        <f aca="false">IF($A2867="",0,IF(COUNTIF($A$2:A2867,$A2867)=1,1,0))</f>
        <v>0</v>
      </c>
      <c r="K2867" s="47" t="n">
        <f aca="false">IF(J2867=1,N(I2867)+ROW()/10000000,0)</f>
        <v>0</v>
      </c>
      <c r="L2867" s="47" t="str">
        <f aca="false">IF(AND(J2867=1,N(I2867)&gt;0),SUMIF($K$2:$K$5001,"&gt;="&amp;K2867,$I$2:$I$5001)/MAX(1,SUM($H$2:$H$5001)),"")</f>
        <v/>
      </c>
      <c r="M2867" s="47" t="str">
        <f aca="false">IF($A2867="","",INDEX($L$2:$L$5001,MATCH($A2867,$A$2:$A$5001,0)))</f>
        <v/>
      </c>
      <c r="N2867" s="48" t="str">
        <f aca="false">IF($A2867="","",IF(N(M2867)=0,"–",IF(M2867&lt;=Start!$D$20,"A",IF(M2867&lt;=Start!$D$21,"B","C"))))</f>
        <v/>
      </c>
      <c r="O2867" s="48" t="str">
        <f aca="false">IF($A2867="","",IF(NOT(ISNUMBER(F2867)),"Wert fehlt; ",IF(F2867&lt;=0,"Wert ist 0; ",""))&amp;IF(NOT(ISNUMBER(E2867)),"Bestand fehlt; ",IF(E2867&lt;0,"Bestand negativ; ",IF(E2867=0,"Nullbestand; ","")))&amp;IF(D2867="","Warengruppe fehlt; ","")&amp;IF(B2867="","Bezeichnung fehlt; ","")&amp;IF(COUNTIFS($A$2:$A$5001,$A2867,$C$2:$C$5001,C2867)&gt;1,"Artikel doppelt im selben Lager; ",""))</f>
        <v/>
      </c>
      <c r="P2867" s="47" t="n">
        <f aca="false">IF(OR($A2867="",D2867=""),0,IF(COUNTIF($D$2:D2867,D2867)=1,SUMIF($D$2:$D$5001,D2867,$H$2:$H$5001)+ROW()/10000000,0))</f>
        <v>0</v>
      </c>
      <c r="Q2867" s="47" t="n">
        <f aca="false">IF(OR($A2867="",C2867=""),0,IF(COUNTIF($C$2:C2867,C2867)=1,SUMIF($C$2:$C$5001,C2867,$H$2:$H$5001)+ROW()/10000000,0))</f>
        <v>0</v>
      </c>
    </row>
    <row r="2868" customFormat="false" ht="15" hidden="false" customHeight="false" outlineLevel="0" collapsed="false">
      <c r="A2868" s="43"/>
      <c r="B2868" s="44"/>
      <c r="C2868" s="44"/>
      <c r="D2868" s="44"/>
      <c r="E2868" s="44"/>
      <c r="F2868" s="44"/>
      <c r="G2868" s="44"/>
      <c r="H2868" s="46" t="str">
        <f aca="false">IF($A2868="","",IF(OR(NOT(ISNUMBER(E2868)),NOT(ISNUMBER(F2868))),"",MAX(0,E2868)*F2868))</f>
        <v/>
      </c>
      <c r="I2868" s="46" t="str">
        <f aca="false">IF($A2868="","",SUMIF($A$2:$A$5001,$A2868,$H$2:$H$5001))</f>
        <v/>
      </c>
      <c r="J2868" s="47" t="n">
        <f aca="false">IF($A2868="",0,IF(COUNTIF($A$2:A2868,$A2868)=1,1,0))</f>
        <v>0</v>
      </c>
      <c r="K2868" s="47" t="n">
        <f aca="false">IF(J2868=1,N(I2868)+ROW()/10000000,0)</f>
        <v>0</v>
      </c>
      <c r="L2868" s="47" t="str">
        <f aca="false">IF(AND(J2868=1,N(I2868)&gt;0),SUMIF($K$2:$K$5001,"&gt;="&amp;K2868,$I$2:$I$5001)/MAX(1,SUM($H$2:$H$5001)),"")</f>
        <v/>
      </c>
      <c r="M2868" s="47" t="str">
        <f aca="false">IF($A2868="","",INDEX($L$2:$L$5001,MATCH($A2868,$A$2:$A$5001,0)))</f>
        <v/>
      </c>
      <c r="N2868" s="48" t="str">
        <f aca="false">IF($A2868="","",IF(N(M2868)=0,"–",IF(M2868&lt;=Start!$D$20,"A",IF(M2868&lt;=Start!$D$21,"B","C"))))</f>
        <v/>
      </c>
      <c r="O2868" s="48" t="str">
        <f aca="false">IF($A2868="","",IF(NOT(ISNUMBER(F2868)),"Wert fehlt; ",IF(F2868&lt;=0,"Wert ist 0; ",""))&amp;IF(NOT(ISNUMBER(E2868)),"Bestand fehlt; ",IF(E2868&lt;0,"Bestand negativ; ",IF(E2868=0,"Nullbestand; ","")))&amp;IF(D2868="","Warengruppe fehlt; ","")&amp;IF(B2868="","Bezeichnung fehlt; ","")&amp;IF(COUNTIFS($A$2:$A$5001,$A2868,$C$2:$C$5001,C2868)&gt;1,"Artikel doppelt im selben Lager; ",""))</f>
        <v/>
      </c>
      <c r="P2868" s="47" t="n">
        <f aca="false">IF(OR($A2868="",D2868=""),0,IF(COUNTIF($D$2:D2868,D2868)=1,SUMIF($D$2:$D$5001,D2868,$H$2:$H$5001)+ROW()/10000000,0))</f>
        <v>0</v>
      </c>
      <c r="Q2868" s="47" t="n">
        <f aca="false">IF(OR($A2868="",C2868=""),0,IF(COUNTIF($C$2:C2868,C2868)=1,SUMIF($C$2:$C$5001,C2868,$H$2:$H$5001)+ROW()/10000000,0))</f>
        <v>0</v>
      </c>
    </row>
    <row r="2869" customFormat="false" ht="15" hidden="false" customHeight="false" outlineLevel="0" collapsed="false">
      <c r="A2869" s="43"/>
      <c r="B2869" s="44"/>
      <c r="C2869" s="44"/>
      <c r="D2869" s="44"/>
      <c r="E2869" s="44"/>
      <c r="F2869" s="44"/>
      <c r="G2869" s="44"/>
      <c r="H2869" s="46" t="str">
        <f aca="false">IF($A2869="","",IF(OR(NOT(ISNUMBER(E2869)),NOT(ISNUMBER(F2869))),"",MAX(0,E2869)*F2869))</f>
        <v/>
      </c>
      <c r="I2869" s="46" t="str">
        <f aca="false">IF($A2869="","",SUMIF($A$2:$A$5001,$A2869,$H$2:$H$5001))</f>
        <v/>
      </c>
      <c r="J2869" s="47" t="n">
        <f aca="false">IF($A2869="",0,IF(COUNTIF($A$2:A2869,$A2869)=1,1,0))</f>
        <v>0</v>
      </c>
      <c r="K2869" s="47" t="n">
        <f aca="false">IF(J2869=1,N(I2869)+ROW()/10000000,0)</f>
        <v>0</v>
      </c>
      <c r="L2869" s="47" t="str">
        <f aca="false">IF(AND(J2869=1,N(I2869)&gt;0),SUMIF($K$2:$K$5001,"&gt;="&amp;K2869,$I$2:$I$5001)/MAX(1,SUM($H$2:$H$5001)),"")</f>
        <v/>
      </c>
      <c r="M2869" s="47" t="str">
        <f aca="false">IF($A2869="","",INDEX($L$2:$L$5001,MATCH($A2869,$A$2:$A$5001,0)))</f>
        <v/>
      </c>
      <c r="N2869" s="48" t="str">
        <f aca="false">IF($A2869="","",IF(N(M2869)=0,"–",IF(M2869&lt;=Start!$D$20,"A",IF(M2869&lt;=Start!$D$21,"B","C"))))</f>
        <v/>
      </c>
      <c r="O2869" s="48" t="str">
        <f aca="false">IF($A2869="","",IF(NOT(ISNUMBER(F2869)),"Wert fehlt; ",IF(F2869&lt;=0,"Wert ist 0; ",""))&amp;IF(NOT(ISNUMBER(E2869)),"Bestand fehlt; ",IF(E2869&lt;0,"Bestand negativ; ",IF(E2869=0,"Nullbestand; ","")))&amp;IF(D2869="","Warengruppe fehlt; ","")&amp;IF(B2869="","Bezeichnung fehlt; ","")&amp;IF(COUNTIFS($A$2:$A$5001,$A2869,$C$2:$C$5001,C2869)&gt;1,"Artikel doppelt im selben Lager; ",""))</f>
        <v/>
      </c>
      <c r="P2869" s="47" t="n">
        <f aca="false">IF(OR($A2869="",D2869=""),0,IF(COUNTIF($D$2:D2869,D2869)=1,SUMIF($D$2:$D$5001,D2869,$H$2:$H$5001)+ROW()/10000000,0))</f>
        <v>0</v>
      </c>
      <c r="Q2869" s="47" t="n">
        <f aca="false">IF(OR($A2869="",C2869=""),0,IF(COUNTIF($C$2:C2869,C2869)=1,SUMIF($C$2:$C$5001,C2869,$H$2:$H$5001)+ROW()/10000000,0))</f>
        <v>0</v>
      </c>
    </row>
    <row r="2870" customFormat="false" ht="15" hidden="false" customHeight="false" outlineLevel="0" collapsed="false">
      <c r="A2870" s="43"/>
      <c r="B2870" s="44"/>
      <c r="C2870" s="44"/>
      <c r="D2870" s="44"/>
      <c r="E2870" s="44"/>
      <c r="F2870" s="44"/>
      <c r="G2870" s="44"/>
      <c r="H2870" s="46" t="str">
        <f aca="false">IF($A2870="","",IF(OR(NOT(ISNUMBER(E2870)),NOT(ISNUMBER(F2870))),"",MAX(0,E2870)*F2870))</f>
        <v/>
      </c>
      <c r="I2870" s="46" t="str">
        <f aca="false">IF($A2870="","",SUMIF($A$2:$A$5001,$A2870,$H$2:$H$5001))</f>
        <v/>
      </c>
      <c r="J2870" s="47" t="n">
        <f aca="false">IF($A2870="",0,IF(COUNTIF($A$2:A2870,$A2870)=1,1,0))</f>
        <v>0</v>
      </c>
      <c r="K2870" s="47" t="n">
        <f aca="false">IF(J2870=1,N(I2870)+ROW()/10000000,0)</f>
        <v>0</v>
      </c>
      <c r="L2870" s="47" t="str">
        <f aca="false">IF(AND(J2870=1,N(I2870)&gt;0),SUMIF($K$2:$K$5001,"&gt;="&amp;K2870,$I$2:$I$5001)/MAX(1,SUM($H$2:$H$5001)),"")</f>
        <v/>
      </c>
      <c r="M2870" s="47" t="str">
        <f aca="false">IF($A2870="","",INDEX($L$2:$L$5001,MATCH($A2870,$A$2:$A$5001,0)))</f>
        <v/>
      </c>
      <c r="N2870" s="48" t="str">
        <f aca="false">IF($A2870="","",IF(N(M2870)=0,"–",IF(M2870&lt;=Start!$D$20,"A",IF(M2870&lt;=Start!$D$21,"B","C"))))</f>
        <v/>
      </c>
      <c r="O2870" s="48" t="str">
        <f aca="false">IF($A2870="","",IF(NOT(ISNUMBER(F2870)),"Wert fehlt; ",IF(F2870&lt;=0,"Wert ist 0; ",""))&amp;IF(NOT(ISNUMBER(E2870)),"Bestand fehlt; ",IF(E2870&lt;0,"Bestand negativ; ",IF(E2870=0,"Nullbestand; ","")))&amp;IF(D2870="","Warengruppe fehlt; ","")&amp;IF(B2870="","Bezeichnung fehlt; ","")&amp;IF(COUNTIFS($A$2:$A$5001,$A2870,$C$2:$C$5001,C2870)&gt;1,"Artikel doppelt im selben Lager; ",""))</f>
        <v/>
      </c>
      <c r="P2870" s="47" t="n">
        <f aca="false">IF(OR($A2870="",D2870=""),0,IF(COUNTIF($D$2:D2870,D2870)=1,SUMIF($D$2:$D$5001,D2870,$H$2:$H$5001)+ROW()/10000000,0))</f>
        <v>0</v>
      </c>
      <c r="Q2870" s="47" t="n">
        <f aca="false">IF(OR($A2870="",C2870=""),0,IF(COUNTIF($C$2:C2870,C2870)=1,SUMIF($C$2:$C$5001,C2870,$H$2:$H$5001)+ROW()/10000000,0))</f>
        <v>0</v>
      </c>
    </row>
    <row r="2871" customFormat="false" ht="15" hidden="false" customHeight="false" outlineLevel="0" collapsed="false">
      <c r="A2871" s="43"/>
      <c r="B2871" s="44"/>
      <c r="C2871" s="44"/>
      <c r="D2871" s="44"/>
      <c r="E2871" s="44"/>
      <c r="F2871" s="44"/>
      <c r="G2871" s="44"/>
      <c r="H2871" s="46" t="str">
        <f aca="false">IF($A2871="","",IF(OR(NOT(ISNUMBER(E2871)),NOT(ISNUMBER(F2871))),"",MAX(0,E2871)*F2871))</f>
        <v/>
      </c>
      <c r="I2871" s="46" t="str">
        <f aca="false">IF($A2871="","",SUMIF($A$2:$A$5001,$A2871,$H$2:$H$5001))</f>
        <v/>
      </c>
      <c r="J2871" s="47" t="n">
        <f aca="false">IF($A2871="",0,IF(COUNTIF($A$2:A2871,$A2871)=1,1,0))</f>
        <v>0</v>
      </c>
      <c r="K2871" s="47" t="n">
        <f aca="false">IF(J2871=1,N(I2871)+ROW()/10000000,0)</f>
        <v>0</v>
      </c>
      <c r="L2871" s="47" t="str">
        <f aca="false">IF(AND(J2871=1,N(I2871)&gt;0),SUMIF($K$2:$K$5001,"&gt;="&amp;K2871,$I$2:$I$5001)/MAX(1,SUM($H$2:$H$5001)),"")</f>
        <v/>
      </c>
      <c r="M2871" s="47" t="str">
        <f aca="false">IF($A2871="","",INDEX($L$2:$L$5001,MATCH($A2871,$A$2:$A$5001,0)))</f>
        <v/>
      </c>
      <c r="N2871" s="48" t="str">
        <f aca="false">IF($A2871="","",IF(N(M2871)=0,"–",IF(M2871&lt;=Start!$D$20,"A",IF(M2871&lt;=Start!$D$21,"B","C"))))</f>
        <v/>
      </c>
      <c r="O2871" s="48" t="str">
        <f aca="false">IF($A2871="","",IF(NOT(ISNUMBER(F2871)),"Wert fehlt; ",IF(F2871&lt;=0,"Wert ist 0; ",""))&amp;IF(NOT(ISNUMBER(E2871)),"Bestand fehlt; ",IF(E2871&lt;0,"Bestand negativ; ",IF(E2871=0,"Nullbestand; ","")))&amp;IF(D2871="","Warengruppe fehlt; ","")&amp;IF(B2871="","Bezeichnung fehlt; ","")&amp;IF(COUNTIFS($A$2:$A$5001,$A2871,$C$2:$C$5001,C2871)&gt;1,"Artikel doppelt im selben Lager; ",""))</f>
        <v/>
      </c>
      <c r="P2871" s="47" t="n">
        <f aca="false">IF(OR($A2871="",D2871=""),0,IF(COUNTIF($D$2:D2871,D2871)=1,SUMIF($D$2:$D$5001,D2871,$H$2:$H$5001)+ROW()/10000000,0))</f>
        <v>0</v>
      </c>
      <c r="Q2871" s="47" t="n">
        <f aca="false">IF(OR($A2871="",C2871=""),0,IF(COUNTIF($C$2:C2871,C2871)=1,SUMIF($C$2:$C$5001,C2871,$H$2:$H$5001)+ROW()/10000000,0))</f>
        <v>0</v>
      </c>
    </row>
    <row r="2872" customFormat="false" ht="15" hidden="false" customHeight="false" outlineLevel="0" collapsed="false">
      <c r="A2872" s="43"/>
      <c r="B2872" s="44"/>
      <c r="C2872" s="44"/>
      <c r="D2872" s="44"/>
      <c r="E2872" s="44"/>
      <c r="F2872" s="44"/>
      <c r="G2872" s="44"/>
      <c r="H2872" s="46" t="str">
        <f aca="false">IF($A2872="","",IF(OR(NOT(ISNUMBER(E2872)),NOT(ISNUMBER(F2872))),"",MAX(0,E2872)*F2872))</f>
        <v/>
      </c>
      <c r="I2872" s="46" t="str">
        <f aca="false">IF($A2872="","",SUMIF($A$2:$A$5001,$A2872,$H$2:$H$5001))</f>
        <v/>
      </c>
      <c r="J2872" s="47" t="n">
        <f aca="false">IF($A2872="",0,IF(COUNTIF($A$2:A2872,$A2872)=1,1,0))</f>
        <v>0</v>
      </c>
      <c r="K2872" s="47" t="n">
        <f aca="false">IF(J2872=1,N(I2872)+ROW()/10000000,0)</f>
        <v>0</v>
      </c>
      <c r="L2872" s="47" t="str">
        <f aca="false">IF(AND(J2872=1,N(I2872)&gt;0),SUMIF($K$2:$K$5001,"&gt;="&amp;K2872,$I$2:$I$5001)/MAX(1,SUM($H$2:$H$5001)),"")</f>
        <v/>
      </c>
      <c r="M2872" s="47" t="str">
        <f aca="false">IF($A2872="","",INDEX($L$2:$L$5001,MATCH($A2872,$A$2:$A$5001,0)))</f>
        <v/>
      </c>
      <c r="N2872" s="48" t="str">
        <f aca="false">IF($A2872="","",IF(N(M2872)=0,"–",IF(M2872&lt;=Start!$D$20,"A",IF(M2872&lt;=Start!$D$21,"B","C"))))</f>
        <v/>
      </c>
      <c r="O2872" s="48" t="str">
        <f aca="false">IF($A2872="","",IF(NOT(ISNUMBER(F2872)),"Wert fehlt; ",IF(F2872&lt;=0,"Wert ist 0; ",""))&amp;IF(NOT(ISNUMBER(E2872)),"Bestand fehlt; ",IF(E2872&lt;0,"Bestand negativ; ",IF(E2872=0,"Nullbestand; ","")))&amp;IF(D2872="","Warengruppe fehlt; ","")&amp;IF(B2872="","Bezeichnung fehlt; ","")&amp;IF(COUNTIFS($A$2:$A$5001,$A2872,$C$2:$C$5001,C2872)&gt;1,"Artikel doppelt im selben Lager; ",""))</f>
        <v/>
      </c>
      <c r="P2872" s="47" t="n">
        <f aca="false">IF(OR($A2872="",D2872=""),0,IF(COUNTIF($D$2:D2872,D2872)=1,SUMIF($D$2:$D$5001,D2872,$H$2:$H$5001)+ROW()/10000000,0))</f>
        <v>0</v>
      </c>
      <c r="Q2872" s="47" t="n">
        <f aca="false">IF(OR($A2872="",C2872=""),0,IF(COUNTIF($C$2:C2872,C2872)=1,SUMIF($C$2:$C$5001,C2872,$H$2:$H$5001)+ROW()/10000000,0))</f>
        <v>0</v>
      </c>
    </row>
    <row r="2873" customFormat="false" ht="15" hidden="false" customHeight="false" outlineLevel="0" collapsed="false">
      <c r="A2873" s="43"/>
      <c r="B2873" s="44"/>
      <c r="C2873" s="44"/>
      <c r="D2873" s="44"/>
      <c r="E2873" s="44"/>
      <c r="F2873" s="44"/>
      <c r="G2873" s="44"/>
      <c r="H2873" s="46" t="str">
        <f aca="false">IF($A2873="","",IF(OR(NOT(ISNUMBER(E2873)),NOT(ISNUMBER(F2873))),"",MAX(0,E2873)*F2873))</f>
        <v/>
      </c>
      <c r="I2873" s="46" t="str">
        <f aca="false">IF($A2873="","",SUMIF($A$2:$A$5001,$A2873,$H$2:$H$5001))</f>
        <v/>
      </c>
      <c r="J2873" s="47" t="n">
        <f aca="false">IF($A2873="",0,IF(COUNTIF($A$2:A2873,$A2873)=1,1,0))</f>
        <v>0</v>
      </c>
      <c r="K2873" s="47" t="n">
        <f aca="false">IF(J2873=1,N(I2873)+ROW()/10000000,0)</f>
        <v>0</v>
      </c>
      <c r="L2873" s="47" t="str">
        <f aca="false">IF(AND(J2873=1,N(I2873)&gt;0),SUMIF($K$2:$K$5001,"&gt;="&amp;K2873,$I$2:$I$5001)/MAX(1,SUM($H$2:$H$5001)),"")</f>
        <v/>
      </c>
      <c r="M2873" s="47" t="str">
        <f aca="false">IF($A2873="","",INDEX($L$2:$L$5001,MATCH($A2873,$A$2:$A$5001,0)))</f>
        <v/>
      </c>
      <c r="N2873" s="48" t="str">
        <f aca="false">IF($A2873="","",IF(N(M2873)=0,"–",IF(M2873&lt;=Start!$D$20,"A",IF(M2873&lt;=Start!$D$21,"B","C"))))</f>
        <v/>
      </c>
      <c r="O2873" s="48" t="str">
        <f aca="false">IF($A2873="","",IF(NOT(ISNUMBER(F2873)),"Wert fehlt; ",IF(F2873&lt;=0,"Wert ist 0; ",""))&amp;IF(NOT(ISNUMBER(E2873)),"Bestand fehlt; ",IF(E2873&lt;0,"Bestand negativ; ",IF(E2873=0,"Nullbestand; ","")))&amp;IF(D2873="","Warengruppe fehlt; ","")&amp;IF(B2873="","Bezeichnung fehlt; ","")&amp;IF(COUNTIFS($A$2:$A$5001,$A2873,$C$2:$C$5001,C2873)&gt;1,"Artikel doppelt im selben Lager; ",""))</f>
        <v/>
      </c>
      <c r="P2873" s="47" t="n">
        <f aca="false">IF(OR($A2873="",D2873=""),0,IF(COUNTIF($D$2:D2873,D2873)=1,SUMIF($D$2:$D$5001,D2873,$H$2:$H$5001)+ROW()/10000000,0))</f>
        <v>0</v>
      </c>
      <c r="Q2873" s="47" t="n">
        <f aca="false">IF(OR($A2873="",C2873=""),0,IF(COUNTIF($C$2:C2873,C2873)=1,SUMIF($C$2:$C$5001,C2873,$H$2:$H$5001)+ROW()/10000000,0))</f>
        <v>0</v>
      </c>
    </row>
    <row r="2874" customFormat="false" ht="15" hidden="false" customHeight="false" outlineLevel="0" collapsed="false">
      <c r="A2874" s="43"/>
      <c r="B2874" s="44"/>
      <c r="C2874" s="44"/>
      <c r="D2874" s="44"/>
      <c r="E2874" s="44"/>
      <c r="F2874" s="44"/>
      <c r="G2874" s="44"/>
      <c r="H2874" s="46" t="str">
        <f aca="false">IF($A2874="","",IF(OR(NOT(ISNUMBER(E2874)),NOT(ISNUMBER(F2874))),"",MAX(0,E2874)*F2874))</f>
        <v/>
      </c>
      <c r="I2874" s="46" t="str">
        <f aca="false">IF($A2874="","",SUMIF($A$2:$A$5001,$A2874,$H$2:$H$5001))</f>
        <v/>
      </c>
      <c r="J2874" s="47" t="n">
        <f aca="false">IF($A2874="",0,IF(COUNTIF($A$2:A2874,$A2874)=1,1,0))</f>
        <v>0</v>
      </c>
      <c r="K2874" s="47" t="n">
        <f aca="false">IF(J2874=1,N(I2874)+ROW()/10000000,0)</f>
        <v>0</v>
      </c>
      <c r="L2874" s="47" t="str">
        <f aca="false">IF(AND(J2874=1,N(I2874)&gt;0),SUMIF($K$2:$K$5001,"&gt;="&amp;K2874,$I$2:$I$5001)/MAX(1,SUM($H$2:$H$5001)),"")</f>
        <v/>
      </c>
      <c r="M2874" s="47" t="str">
        <f aca="false">IF($A2874="","",INDEX($L$2:$L$5001,MATCH($A2874,$A$2:$A$5001,0)))</f>
        <v/>
      </c>
      <c r="N2874" s="48" t="str">
        <f aca="false">IF($A2874="","",IF(N(M2874)=0,"–",IF(M2874&lt;=Start!$D$20,"A",IF(M2874&lt;=Start!$D$21,"B","C"))))</f>
        <v/>
      </c>
      <c r="O2874" s="48" t="str">
        <f aca="false">IF($A2874="","",IF(NOT(ISNUMBER(F2874)),"Wert fehlt; ",IF(F2874&lt;=0,"Wert ist 0; ",""))&amp;IF(NOT(ISNUMBER(E2874)),"Bestand fehlt; ",IF(E2874&lt;0,"Bestand negativ; ",IF(E2874=0,"Nullbestand; ","")))&amp;IF(D2874="","Warengruppe fehlt; ","")&amp;IF(B2874="","Bezeichnung fehlt; ","")&amp;IF(COUNTIFS($A$2:$A$5001,$A2874,$C$2:$C$5001,C2874)&gt;1,"Artikel doppelt im selben Lager; ",""))</f>
        <v/>
      </c>
      <c r="P2874" s="47" t="n">
        <f aca="false">IF(OR($A2874="",D2874=""),0,IF(COUNTIF($D$2:D2874,D2874)=1,SUMIF($D$2:$D$5001,D2874,$H$2:$H$5001)+ROW()/10000000,0))</f>
        <v>0</v>
      </c>
      <c r="Q2874" s="47" t="n">
        <f aca="false">IF(OR($A2874="",C2874=""),0,IF(COUNTIF($C$2:C2874,C2874)=1,SUMIF($C$2:$C$5001,C2874,$H$2:$H$5001)+ROW()/10000000,0))</f>
        <v>0</v>
      </c>
    </row>
    <row r="2875" customFormat="false" ht="15" hidden="false" customHeight="false" outlineLevel="0" collapsed="false">
      <c r="A2875" s="43"/>
      <c r="B2875" s="44"/>
      <c r="C2875" s="44"/>
      <c r="D2875" s="44"/>
      <c r="E2875" s="44"/>
      <c r="F2875" s="44"/>
      <c r="G2875" s="44"/>
      <c r="H2875" s="46" t="str">
        <f aca="false">IF($A2875="","",IF(OR(NOT(ISNUMBER(E2875)),NOT(ISNUMBER(F2875))),"",MAX(0,E2875)*F2875))</f>
        <v/>
      </c>
      <c r="I2875" s="46" t="str">
        <f aca="false">IF($A2875="","",SUMIF($A$2:$A$5001,$A2875,$H$2:$H$5001))</f>
        <v/>
      </c>
      <c r="J2875" s="47" t="n">
        <f aca="false">IF($A2875="",0,IF(COUNTIF($A$2:A2875,$A2875)=1,1,0))</f>
        <v>0</v>
      </c>
      <c r="K2875" s="47" t="n">
        <f aca="false">IF(J2875=1,N(I2875)+ROW()/10000000,0)</f>
        <v>0</v>
      </c>
      <c r="L2875" s="47" t="str">
        <f aca="false">IF(AND(J2875=1,N(I2875)&gt;0),SUMIF($K$2:$K$5001,"&gt;="&amp;K2875,$I$2:$I$5001)/MAX(1,SUM($H$2:$H$5001)),"")</f>
        <v/>
      </c>
      <c r="M2875" s="47" t="str">
        <f aca="false">IF($A2875="","",INDEX($L$2:$L$5001,MATCH($A2875,$A$2:$A$5001,0)))</f>
        <v/>
      </c>
      <c r="N2875" s="48" t="str">
        <f aca="false">IF($A2875="","",IF(N(M2875)=0,"–",IF(M2875&lt;=Start!$D$20,"A",IF(M2875&lt;=Start!$D$21,"B","C"))))</f>
        <v/>
      </c>
      <c r="O2875" s="48" t="str">
        <f aca="false">IF($A2875="","",IF(NOT(ISNUMBER(F2875)),"Wert fehlt; ",IF(F2875&lt;=0,"Wert ist 0; ",""))&amp;IF(NOT(ISNUMBER(E2875)),"Bestand fehlt; ",IF(E2875&lt;0,"Bestand negativ; ",IF(E2875=0,"Nullbestand; ","")))&amp;IF(D2875="","Warengruppe fehlt; ","")&amp;IF(B2875="","Bezeichnung fehlt; ","")&amp;IF(COUNTIFS($A$2:$A$5001,$A2875,$C$2:$C$5001,C2875)&gt;1,"Artikel doppelt im selben Lager; ",""))</f>
        <v/>
      </c>
      <c r="P2875" s="47" t="n">
        <f aca="false">IF(OR($A2875="",D2875=""),0,IF(COUNTIF($D$2:D2875,D2875)=1,SUMIF($D$2:$D$5001,D2875,$H$2:$H$5001)+ROW()/10000000,0))</f>
        <v>0</v>
      </c>
      <c r="Q2875" s="47" t="n">
        <f aca="false">IF(OR($A2875="",C2875=""),0,IF(COUNTIF($C$2:C2875,C2875)=1,SUMIF($C$2:$C$5001,C2875,$H$2:$H$5001)+ROW()/10000000,0))</f>
        <v>0</v>
      </c>
    </row>
    <row r="2876" customFormat="false" ht="15" hidden="false" customHeight="false" outlineLevel="0" collapsed="false">
      <c r="A2876" s="43"/>
      <c r="B2876" s="44"/>
      <c r="C2876" s="44"/>
      <c r="D2876" s="44"/>
      <c r="E2876" s="44"/>
      <c r="F2876" s="44"/>
      <c r="G2876" s="44"/>
      <c r="H2876" s="46" t="str">
        <f aca="false">IF($A2876="","",IF(OR(NOT(ISNUMBER(E2876)),NOT(ISNUMBER(F2876))),"",MAX(0,E2876)*F2876))</f>
        <v/>
      </c>
      <c r="I2876" s="46" t="str">
        <f aca="false">IF($A2876="","",SUMIF($A$2:$A$5001,$A2876,$H$2:$H$5001))</f>
        <v/>
      </c>
      <c r="J2876" s="47" t="n">
        <f aca="false">IF($A2876="",0,IF(COUNTIF($A$2:A2876,$A2876)=1,1,0))</f>
        <v>0</v>
      </c>
      <c r="K2876" s="47" t="n">
        <f aca="false">IF(J2876=1,N(I2876)+ROW()/10000000,0)</f>
        <v>0</v>
      </c>
      <c r="L2876" s="47" t="str">
        <f aca="false">IF(AND(J2876=1,N(I2876)&gt;0),SUMIF($K$2:$K$5001,"&gt;="&amp;K2876,$I$2:$I$5001)/MAX(1,SUM($H$2:$H$5001)),"")</f>
        <v/>
      </c>
      <c r="M2876" s="47" t="str">
        <f aca="false">IF($A2876="","",INDEX($L$2:$L$5001,MATCH($A2876,$A$2:$A$5001,0)))</f>
        <v/>
      </c>
      <c r="N2876" s="48" t="str">
        <f aca="false">IF($A2876="","",IF(N(M2876)=0,"–",IF(M2876&lt;=Start!$D$20,"A",IF(M2876&lt;=Start!$D$21,"B","C"))))</f>
        <v/>
      </c>
      <c r="O2876" s="48" t="str">
        <f aca="false">IF($A2876="","",IF(NOT(ISNUMBER(F2876)),"Wert fehlt; ",IF(F2876&lt;=0,"Wert ist 0; ",""))&amp;IF(NOT(ISNUMBER(E2876)),"Bestand fehlt; ",IF(E2876&lt;0,"Bestand negativ; ",IF(E2876=0,"Nullbestand; ","")))&amp;IF(D2876="","Warengruppe fehlt; ","")&amp;IF(B2876="","Bezeichnung fehlt; ","")&amp;IF(COUNTIFS($A$2:$A$5001,$A2876,$C$2:$C$5001,C2876)&gt;1,"Artikel doppelt im selben Lager; ",""))</f>
        <v/>
      </c>
      <c r="P2876" s="47" t="n">
        <f aca="false">IF(OR($A2876="",D2876=""),0,IF(COUNTIF($D$2:D2876,D2876)=1,SUMIF($D$2:$D$5001,D2876,$H$2:$H$5001)+ROW()/10000000,0))</f>
        <v>0</v>
      </c>
      <c r="Q2876" s="47" t="n">
        <f aca="false">IF(OR($A2876="",C2876=""),0,IF(COUNTIF($C$2:C2876,C2876)=1,SUMIF($C$2:$C$5001,C2876,$H$2:$H$5001)+ROW()/10000000,0))</f>
        <v>0</v>
      </c>
    </row>
    <row r="2877" customFormat="false" ht="15" hidden="false" customHeight="false" outlineLevel="0" collapsed="false">
      <c r="A2877" s="43"/>
      <c r="B2877" s="44"/>
      <c r="C2877" s="44"/>
      <c r="D2877" s="44"/>
      <c r="E2877" s="44"/>
      <c r="F2877" s="44"/>
      <c r="G2877" s="44"/>
      <c r="H2877" s="46" t="str">
        <f aca="false">IF($A2877="","",IF(OR(NOT(ISNUMBER(E2877)),NOT(ISNUMBER(F2877))),"",MAX(0,E2877)*F2877))</f>
        <v/>
      </c>
      <c r="I2877" s="46" t="str">
        <f aca="false">IF($A2877="","",SUMIF($A$2:$A$5001,$A2877,$H$2:$H$5001))</f>
        <v/>
      </c>
      <c r="J2877" s="47" t="n">
        <f aca="false">IF($A2877="",0,IF(COUNTIF($A$2:A2877,$A2877)=1,1,0))</f>
        <v>0</v>
      </c>
      <c r="K2877" s="47" t="n">
        <f aca="false">IF(J2877=1,N(I2877)+ROW()/10000000,0)</f>
        <v>0</v>
      </c>
      <c r="L2877" s="47" t="str">
        <f aca="false">IF(AND(J2877=1,N(I2877)&gt;0),SUMIF($K$2:$K$5001,"&gt;="&amp;K2877,$I$2:$I$5001)/MAX(1,SUM($H$2:$H$5001)),"")</f>
        <v/>
      </c>
      <c r="M2877" s="47" t="str">
        <f aca="false">IF($A2877="","",INDEX($L$2:$L$5001,MATCH($A2877,$A$2:$A$5001,0)))</f>
        <v/>
      </c>
      <c r="N2877" s="48" t="str">
        <f aca="false">IF($A2877="","",IF(N(M2877)=0,"–",IF(M2877&lt;=Start!$D$20,"A",IF(M2877&lt;=Start!$D$21,"B","C"))))</f>
        <v/>
      </c>
      <c r="O2877" s="48" t="str">
        <f aca="false">IF($A2877="","",IF(NOT(ISNUMBER(F2877)),"Wert fehlt; ",IF(F2877&lt;=0,"Wert ist 0; ",""))&amp;IF(NOT(ISNUMBER(E2877)),"Bestand fehlt; ",IF(E2877&lt;0,"Bestand negativ; ",IF(E2877=0,"Nullbestand; ","")))&amp;IF(D2877="","Warengruppe fehlt; ","")&amp;IF(B2877="","Bezeichnung fehlt; ","")&amp;IF(COUNTIFS($A$2:$A$5001,$A2877,$C$2:$C$5001,C2877)&gt;1,"Artikel doppelt im selben Lager; ",""))</f>
        <v/>
      </c>
      <c r="P2877" s="47" t="n">
        <f aca="false">IF(OR($A2877="",D2877=""),0,IF(COUNTIF($D$2:D2877,D2877)=1,SUMIF($D$2:$D$5001,D2877,$H$2:$H$5001)+ROW()/10000000,0))</f>
        <v>0</v>
      </c>
      <c r="Q2877" s="47" t="n">
        <f aca="false">IF(OR($A2877="",C2877=""),0,IF(COUNTIF($C$2:C2877,C2877)=1,SUMIF($C$2:$C$5001,C2877,$H$2:$H$5001)+ROW()/10000000,0))</f>
        <v>0</v>
      </c>
    </row>
    <row r="2878" customFormat="false" ht="15" hidden="false" customHeight="false" outlineLevel="0" collapsed="false">
      <c r="A2878" s="43"/>
      <c r="B2878" s="44"/>
      <c r="C2878" s="44"/>
      <c r="D2878" s="44"/>
      <c r="E2878" s="44"/>
      <c r="F2878" s="44"/>
      <c r="G2878" s="44"/>
      <c r="H2878" s="46" t="str">
        <f aca="false">IF($A2878="","",IF(OR(NOT(ISNUMBER(E2878)),NOT(ISNUMBER(F2878))),"",MAX(0,E2878)*F2878))</f>
        <v/>
      </c>
      <c r="I2878" s="46" t="str">
        <f aca="false">IF($A2878="","",SUMIF($A$2:$A$5001,$A2878,$H$2:$H$5001))</f>
        <v/>
      </c>
      <c r="J2878" s="47" t="n">
        <f aca="false">IF($A2878="",0,IF(COUNTIF($A$2:A2878,$A2878)=1,1,0))</f>
        <v>0</v>
      </c>
      <c r="K2878" s="47" t="n">
        <f aca="false">IF(J2878=1,N(I2878)+ROW()/10000000,0)</f>
        <v>0</v>
      </c>
      <c r="L2878" s="47" t="str">
        <f aca="false">IF(AND(J2878=1,N(I2878)&gt;0),SUMIF($K$2:$K$5001,"&gt;="&amp;K2878,$I$2:$I$5001)/MAX(1,SUM($H$2:$H$5001)),"")</f>
        <v/>
      </c>
      <c r="M2878" s="47" t="str">
        <f aca="false">IF($A2878="","",INDEX($L$2:$L$5001,MATCH($A2878,$A$2:$A$5001,0)))</f>
        <v/>
      </c>
      <c r="N2878" s="48" t="str">
        <f aca="false">IF($A2878="","",IF(N(M2878)=0,"–",IF(M2878&lt;=Start!$D$20,"A",IF(M2878&lt;=Start!$D$21,"B","C"))))</f>
        <v/>
      </c>
      <c r="O2878" s="48" t="str">
        <f aca="false">IF($A2878="","",IF(NOT(ISNUMBER(F2878)),"Wert fehlt; ",IF(F2878&lt;=0,"Wert ist 0; ",""))&amp;IF(NOT(ISNUMBER(E2878)),"Bestand fehlt; ",IF(E2878&lt;0,"Bestand negativ; ",IF(E2878=0,"Nullbestand; ","")))&amp;IF(D2878="","Warengruppe fehlt; ","")&amp;IF(B2878="","Bezeichnung fehlt; ","")&amp;IF(COUNTIFS($A$2:$A$5001,$A2878,$C$2:$C$5001,C2878)&gt;1,"Artikel doppelt im selben Lager; ",""))</f>
        <v/>
      </c>
      <c r="P2878" s="47" t="n">
        <f aca="false">IF(OR($A2878="",D2878=""),0,IF(COUNTIF($D$2:D2878,D2878)=1,SUMIF($D$2:$D$5001,D2878,$H$2:$H$5001)+ROW()/10000000,0))</f>
        <v>0</v>
      </c>
      <c r="Q2878" s="47" t="n">
        <f aca="false">IF(OR($A2878="",C2878=""),0,IF(COUNTIF($C$2:C2878,C2878)=1,SUMIF($C$2:$C$5001,C2878,$H$2:$H$5001)+ROW()/10000000,0))</f>
        <v>0</v>
      </c>
    </row>
    <row r="2879" customFormat="false" ht="15" hidden="false" customHeight="false" outlineLevel="0" collapsed="false">
      <c r="A2879" s="43"/>
      <c r="B2879" s="44"/>
      <c r="C2879" s="44"/>
      <c r="D2879" s="44"/>
      <c r="E2879" s="44"/>
      <c r="F2879" s="44"/>
      <c r="G2879" s="44"/>
      <c r="H2879" s="46" t="str">
        <f aca="false">IF($A2879="","",IF(OR(NOT(ISNUMBER(E2879)),NOT(ISNUMBER(F2879))),"",MAX(0,E2879)*F2879))</f>
        <v/>
      </c>
      <c r="I2879" s="46" t="str">
        <f aca="false">IF($A2879="","",SUMIF($A$2:$A$5001,$A2879,$H$2:$H$5001))</f>
        <v/>
      </c>
      <c r="J2879" s="47" t="n">
        <f aca="false">IF($A2879="",0,IF(COUNTIF($A$2:A2879,$A2879)=1,1,0))</f>
        <v>0</v>
      </c>
      <c r="K2879" s="47" t="n">
        <f aca="false">IF(J2879=1,N(I2879)+ROW()/10000000,0)</f>
        <v>0</v>
      </c>
      <c r="L2879" s="47" t="str">
        <f aca="false">IF(AND(J2879=1,N(I2879)&gt;0),SUMIF($K$2:$K$5001,"&gt;="&amp;K2879,$I$2:$I$5001)/MAX(1,SUM($H$2:$H$5001)),"")</f>
        <v/>
      </c>
      <c r="M2879" s="47" t="str">
        <f aca="false">IF($A2879="","",INDEX($L$2:$L$5001,MATCH($A2879,$A$2:$A$5001,0)))</f>
        <v/>
      </c>
      <c r="N2879" s="48" t="str">
        <f aca="false">IF($A2879="","",IF(N(M2879)=0,"–",IF(M2879&lt;=Start!$D$20,"A",IF(M2879&lt;=Start!$D$21,"B","C"))))</f>
        <v/>
      </c>
      <c r="O2879" s="48" t="str">
        <f aca="false">IF($A2879="","",IF(NOT(ISNUMBER(F2879)),"Wert fehlt; ",IF(F2879&lt;=0,"Wert ist 0; ",""))&amp;IF(NOT(ISNUMBER(E2879)),"Bestand fehlt; ",IF(E2879&lt;0,"Bestand negativ; ",IF(E2879=0,"Nullbestand; ","")))&amp;IF(D2879="","Warengruppe fehlt; ","")&amp;IF(B2879="","Bezeichnung fehlt; ","")&amp;IF(COUNTIFS($A$2:$A$5001,$A2879,$C$2:$C$5001,C2879)&gt;1,"Artikel doppelt im selben Lager; ",""))</f>
        <v/>
      </c>
      <c r="P2879" s="47" t="n">
        <f aca="false">IF(OR($A2879="",D2879=""),0,IF(COUNTIF($D$2:D2879,D2879)=1,SUMIF($D$2:$D$5001,D2879,$H$2:$H$5001)+ROW()/10000000,0))</f>
        <v>0</v>
      </c>
      <c r="Q2879" s="47" t="n">
        <f aca="false">IF(OR($A2879="",C2879=""),0,IF(COUNTIF($C$2:C2879,C2879)=1,SUMIF($C$2:$C$5001,C2879,$H$2:$H$5001)+ROW()/10000000,0))</f>
        <v>0</v>
      </c>
    </row>
    <row r="2880" customFormat="false" ht="15" hidden="false" customHeight="false" outlineLevel="0" collapsed="false">
      <c r="A2880" s="43"/>
      <c r="B2880" s="44"/>
      <c r="C2880" s="44"/>
      <c r="D2880" s="44"/>
      <c r="E2880" s="44"/>
      <c r="F2880" s="44"/>
      <c r="G2880" s="44"/>
      <c r="H2880" s="46" t="str">
        <f aca="false">IF($A2880="","",IF(OR(NOT(ISNUMBER(E2880)),NOT(ISNUMBER(F2880))),"",MAX(0,E2880)*F2880))</f>
        <v/>
      </c>
      <c r="I2880" s="46" t="str">
        <f aca="false">IF($A2880="","",SUMIF($A$2:$A$5001,$A2880,$H$2:$H$5001))</f>
        <v/>
      </c>
      <c r="J2880" s="47" t="n">
        <f aca="false">IF($A2880="",0,IF(COUNTIF($A$2:A2880,$A2880)=1,1,0))</f>
        <v>0</v>
      </c>
      <c r="K2880" s="47" t="n">
        <f aca="false">IF(J2880=1,N(I2880)+ROW()/10000000,0)</f>
        <v>0</v>
      </c>
      <c r="L2880" s="47" t="str">
        <f aca="false">IF(AND(J2880=1,N(I2880)&gt;0),SUMIF($K$2:$K$5001,"&gt;="&amp;K2880,$I$2:$I$5001)/MAX(1,SUM($H$2:$H$5001)),"")</f>
        <v/>
      </c>
      <c r="M2880" s="47" t="str">
        <f aca="false">IF($A2880="","",INDEX($L$2:$L$5001,MATCH($A2880,$A$2:$A$5001,0)))</f>
        <v/>
      </c>
      <c r="N2880" s="48" t="str">
        <f aca="false">IF($A2880="","",IF(N(M2880)=0,"–",IF(M2880&lt;=Start!$D$20,"A",IF(M2880&lt;=Start!$D$21,"B","C"))))</f>
        <v/>
      </c>
      <c r="O2880" s="48" t="str">
        <f aca="false">IF($A2880="","",IF(NOT(ISNUMBER(F2880)),"Wert fehlt; ",IF(F2880&lt;=0,"Wert ist 0; ",""))&amp;IF(NOT(ISNUMBER(E2880)),"Bestand fehlt; ",IF(E2880&lt;0,"Bestand negativ; ",IF(E2880=0,"Nullbestand; ","")))&amp;IF(D2880="","Warengruppe fehlt; ","")&amp;IF(B2880="","Bezeichnung fehlt; ","")&amp;IF(COUNTIFS($A$2:$A$5001,$A2880,$C$2:$C$5001,C2880)&gt;1,"Artikel doppelt im selben Lager; ",""))</f>
        <v/>
      </c>
      <c r="P2880" s="47" t="n">
        <f aca="false">IF(OR($A2880="",D2880=""),0,IF(COUNTIF($D$2:D2880,D2880)=1,SUMIF($D$2:$D$5001,D2880,$H$2:$H$5001)+ROW()/10000000,0))</f>
        <v>0</v>
      </c>
      <c r="Q2880" s="47" t="n">
        <f aca="false">IF(OR($A2880="",C2880=""),0,IF(COUNTIF($C$2:C2880,C2880)=1,SUMIF($C$2:$C$5001,C2880,$H$2:$H$5001)+ROW()/10000000,0))</f>
        <v>0</v>
      </c>
    </row>
    <row r="2881" customFormat="false" ht="15" hidden="false" customHeight="false" outlineLevel="0" collapsed="false">
      <c r="A2881" s="43"/>
      <c r="B2881" s="44"/>
      <c r="C2881" s="44"/>
      <c r="D2881" s="44"/>
      <c r="E2881" s="44"/>
      <c r="F2881" s="44"/>
      <c r="G2881" s="44"/>
      <c r="H2881" s="46" t="str">
        <f aca="false">IF($A2881="","",IF(OR(NOT(ISNUMBER(E2881)),NOT(ISNUMBER(F2881))),"",MAX(0,E2881)*F2881))</f>
        <v/>
      </c>
      <c r="I2881" s="46" t="str">
        <f aca="false">IF($A2881="","",SUMIF($A$2:$A$5001,$A2881,$H$2:$H$5001))</f>
        <v/>
      </c>
      <c r="J2881" s="47" t="n">
        <f aca="false">IF($A2881="",0,IF(COUNTIF($A$2:A2881,$A2881)=1,1,0))</f>
        <v>0</v>
      </c>
      <c r="K2881" s="47" t="n">
        <f aca="false">IF(J2881=1,N(I2881)+ROW()/10000000,0)</f>
        <v>0</v>
      </c>
      <c r="L2881" s="47" t="str">
        <f aca="false">IF(AND(J2881=1,N(I2881)&gt;0),SUMIF($K$2:$K$5001,"&gt;="&amp;K2881,$I$2:$I$5001)/MAX(1,SUM($H$2:$H$5001)),"")</f>
        <v/>
      </c>
      <c r="M2881" s="47" t="str">
        <f aca="false">IF($A2881="","",INDEX($L$2:$L$5001,MATCH($A2881,$A$2:$A$5001,0)))</f>
        <v/>
      </c>
      <c r="N2881" s="48" t="str">
        <f aca="false">IF($A2881="","",IF(N(M2881)=0,"–",IF(M2881&lt;=Start!$D$20,"A",IF(M2881&lt;=Start!$D$21,"B","C"))))</f>
        <v/>
      </c>
      <c r="O2881" s="48" t="str">
        <f aca="false">IF($A2881="","",IF(NOT(ISNUMBER(F2881)),"Wert fehlt; ",IF(F2881&lt;=0,"Wert ist 0; ",""))&amp;IF(NOT(ISNUMBER(E2881)),"Bestand fehlt; ",IF(E2881&lt;0,"Bestand negativ; ",IF(E2881=0,"Nullbestand; ","")))&amp;IF(D2881="","Warengruppe fehlt; ","")&amp;IF(B2881="","Bezeichnung fehlt; ","")&amp;IF(COUNTIFS($A$2:$A$5001,$A2881,$C$2:$C$5001,C2881)&gt;1,"Artikel doppelt im selben Lager; ",""))</f>
        <v/>
      </c>
      <c r="P2881" s="47" t="n">
        <f aca="false">IF(OR($A2881="",D2881=""),0,IF(COUNTIF($D$2:D2881,D2881)=1,SUMIF($D$2:$D$5001,D2881,$H$2:$H$5001)+ROW()/10000000,0))</f>
        <v>0</v>
      </c>
      <c r="Q2881" s="47" t="n">
        <f aca="false">IF(OR($A2881="",C2881=""),0,IF(COUNTIF($C$2:C2881,C2881)=1,SUMIF($C$2:$C$5001,C2881,$H$2:$H$5001)+ROW()/10000000,0))</f>
        <v>0</v>
      </c>
    </row>
    <row r="2882" customFormat="false" ht="15" hidden="false" customHeight="false" outlineLevel="0" collapsed="false">
      <c r="A2882" s="43"/>
      <c r="B2882" s="44"/>
      <c r="C2882" s="44"/>
      <c r="D2882" s="44"/>
      <c r="E2882" s="44"/>
      <c r="F2882" s="44"/>
      <c r="G2882" s="44"/>
      <c r="H2882" s="46" t="str">
        <f aca="false">IF($A2882="","",IF(OR(NOT(ISNUMBER(E2882)),NOT(ISNUMBER(F2882))),"",MAX(0,E2882)*F2882))</f>
        <v/>
      </c>
      <c r="I2882" s="46" t="str">
        <f aca="false">IF($A2882="","",SUMIF($A$2:$A$5001,$A2882,$H$2:$H$5001))</f>
        <v/>
      </c>
      <c r="J2882" s="47" t="n">
        <f aca="false">IF($A2882="",0,IF(COUNTIF($A$2:A2882,$A2882)=1,1,0))</f>
        <v>0</v>
      </c>
      <c r="K2882" s="47" t="n">
        <f aca="false">IF(J2882=1,N(I2882)+ROW()/10000000,0)</f>
        <v>0</v>
      </c>
      <c r="L2882" s="47" t="str">
        <f aca="false">IF(AND(J2882=1,N(I2882)&gt;0),SUMIF($K$2:$K$5001,"&gt;="&amp;K2882,$I$2:$I$5001)/MAX(1,SUM($H$2:$H$5001)),"")</f>
        <v/>
      </c>
      <c r="M2882" s="47" t="str">
        <f aca="false">IF($A2882="","",INDEX($L$2:$L$5001,MATCH($A2882,$A$2:$A$5001,0)))</f>
        <v/>
      </c>
      <c r="N2882" s="48" t="str">
        <f aca="false">IF($A2882="","",IF(N(M2882)=0,"–",IF(M2882&lt;=Start!$D$20,"A",IF(M2882&lt;=Start!$D$21,"B","C"))))</f>
        <v/>
      </c>
      <c r="O2882" s="48" t="str">
        <f aca="false">IF($A2882="","",IF(NOT(ISNUMBER(F2882)),"Wert fehlt; ",IF(F2882&lt;=0,"Wert ist 0; ",""))&amp;IF(NOT(ISNUMBER(E2882)),"Bestand fehlt; ",IF(E2882&lt;0,"Bestand negativ; ",IF(E2882=0,"Nullbestand; ","")))&amp;IF(D2882="","Warengruppe fehlt; ","")&amp;IF(B2882="","Bezeichnung fehlt; ","")&amp;IF(COUNTIFS($A$2:$A$5001,$A2882,$C$2:$C$5001,C2882)&gt;1,"Artikel doppelt im selben Lager; ",""))</f>
        <v/>
      </c>
      <c r="P2882" s="47" t="n">
        <f aca="false">IF(OR($A2882="",D2882=""),0,IF(COUNTIF($D$2:D2882,D2882)=1,SUMIF($D$2:$D$5001,D2882,$H$2:$H$5001)+ROW()/10000000,0))</f>
        <v>0</v>
      </c>
      <c r="Q2882" s="47" t="n">
        <f aca="false">IF(OR($A2882="",C2882=""),0,IF(COUNTIF($C$2:C2882,C2882)=1,SUMIF($C$2:$C$5001,C2882,$H$2:$H$5001)+ROW()/10000000,0))</f>
        <v>0</v>
      </c>
    </row>
    <row r="2883" customFormat="false" ht="15" hidden="false" customHeight="false" outlineLevel="0" collapsed="false">
      <c r="A2883" s="43"/>
      <c r="B2883" s="44"/>
      <c r="C2883" s="44"/>
      <c r="D2883" s="44"/>
      <c r="E2883" s="44"/>
      <c r="F2883" s="44"/>
      <c r="G2883" s="44"/>
      <c r="H2883" s="46" t="str">
        <f aca="false">IF($A2883="","",IF(OR(NOT(ISNUMBER(E2883)),NOT(ISNUMBER(F2883))),"",MAX(0,E2883)*F2883))</f>
        <v/>
      </c>
      <c r="I2883" s="46" t="str">
        <f aca="false">IF($A2883="","",SUMIF($A$2:$A$5001,$A2883,$H$2:$H$5001))</f>
        <v/>
      </c>
      <c r="J2883" s="47" t="n">
        <f aca="false">IF($A2883="",0,IF(COUNTIF($A$2:A2883,$A2883)=1,1,0))</f>
        <v>0</v>
      </c>
      <c r="K2883" s="47" t="n">
        <f aca="false">IF(J2883=1,N(I2883)+ROW()/10000000,0)</f>
        <v>0</v>
      </c>
      <c r="L2883" s="47" t="str">
        <f aca="false">IF(AND(J2883=1,N(I2883)&gt;0),SUMIF($K$2:$K$5001,"&gt;="&amp;K2883,$I$2:$I$5001)/MAX(1,SUM($H$2:$H$5001)),"")</f>
        <v/>
      </c>
      <c r="M2883" s="47" t="str">
        <f aca="false">IF($A2883="","",INDEX($L$2:$L$5001,MATCH($A2883,$A$2:$A$5001,0)))</f>
        <v/>
      </c>
      <c r="N2883" s="48" t="str">
        <f aca="false">IF($A2883="","",IF(N(M2883)=0,"–",IF(M2883&lt;=Start!$D$20,"A",IF(M2883&lt;=Start!$D$21,"B","C"))))</f>
        <v/>
      </c>
      <c r="O2883" s="48" t="str">
        <f aca="false">IF($A2883="","",IF(NOT(ISNUMBER(F2883)),"Wert fehlt; ",IF(F2883&lt;=0,"Wert ist 0; ",""))&amp;IF(NOT(ISNUMBER(E2883)),"Bestand fehlt; ",IF(E2883&lt;0,"Bestand negativ; ",IF(E2883=0,"Nullbestand; ","")))&amp;IF(D2883="","Warengruppe fehlt; ","")&amp;IF(B2883="","Bezeichnung fehlt; ","")&amp;IF(COUNTIFS($A$2:$A$5001,$A2883,$C$2:$C$5001,C2883)&gt;1,"Artikel doppelt im selben Lager; ",""))</f>
        <v/>
      </c>
      <c r="P2883" s="47" t="n">
        <f aca="false">IF(OR($A2883="",D2883=""),0,IF(COUNTIF($D$2:D2883,D2883)=1,SUMIF($D$2:$D$5001,D2883,$H$2:$H$5001)+ROW()/10000000,0))</f>
        <v>0</v>
      </c>
      <c r="Q2883" s="47" t="n">
        <f aca="false">IF(OR($A2883="",C2883=""),0,IF(COUNTIF($C$2:C2883,C2883)=1,SUMIF($C$2:$C$5001,C2883,$H$2:$H$5001)+ROW()/10000000,0))</f>
        <v>0</v>
      </c>
    </row>
    <row r="2884" customFormat="false" ht="15" hidden="false" customHeight="false" outlineLevel="0" collapsed="false">
      <c r="A2884" s="43"/>
      <c r="B2884" s="44"/>
      <c r="C2884" s="44"/>
      <c r="D2884" s="44"/>
      <c r="E2884" s="44"/>
      <c r="F2884" s="44"/>
      <c r="G2884" s="44"/>
      <c r="H2884" s="46" t="str">
        <f aca="false">IF($A2884="","",IF(OR(NOT(ISNUMBER(E2884)),NOT(ISNUMBER(F2884))),"",MAX(0,E2884)*F2884))</f>
        <v/>
      </c>
      <c r="I2884" s="46" t="str">
        <f aca="false">IF($A2884="","",SUMIF($A$2:$A$5001,$A2884,$H$2:$H$5001))</f>
        <v/>
      </c>
      <c r="J2884" s="47" t="n">
        <f aca="false">IF($A2884="",0,IF(COUNTIF($A$2:A2884,$A2884)=1,1,0))</f>
        <v>0</v>
      </c>
      <c r="K2884" s="47" t="n">
        <f aca="false">IF(J2884=1,N(I2884)+ROW()/10000000,0)</f>
        <v>0</v>
      </c>
      <c r="L2884" s="47" t="str">
        <f aca="false">IF(AND(J2884=1,N(I2884)&gt;0),SUMIF($K$2:$K$5001,"&gt;="&amp;K2884,$I$2:$I$5001)/MAX(1,SUM($H$2:$H$5001)),"")</f>
        <v/>
      </c>
      <c r="M2884" s="47" t="str">
        <f aca="false">IF($A2884="","",INDEX($L$2:$L$5001,MATCH($A2884,$A$2:$A$5001,0)))</f>
        <v/>
      </c>
      <c r="N2884" s="48" t="str">
        <f aca="false">IF($A2884="","",IF(N(M2884)=0,"–",IF(M2884&lt;=Start!$D$20,"A",IF(M2884&lt;=Start!$D$21,"B","C"))))</f>
        <v/>
      </c>
      <c r="O2884" s="48" t="str">
        <f aca="false">IF($A2884="","",IF(NOT(ISNUMBER(F2884)),"Wert fehlt; ",IF(F2884&lt;=0,"Wert ist 0; ",""))&amp;IF(NOT(ISNUMBER(E2884)),"Bestand fehlt; ",IF(E2884&lt;0,"Bestand negativ; ",IF(E2884=0,"Nullbestand; ","")))&amp;IF(D2884="","Warengruppe fehlt; ","")&amp;IF(B2884="","Bezeichnung fehlt; ","")&amp;IF(COUNTIFS($A$2:$A$5001,$A2884,$C$2:$C$5001,C2884)&gt;1,"Artikel doppelt im selben Lager; ",""))</f>
        <v/>
      </c>
      <c r="P2884" s="47" t="n">
        <f aca="false">IF(OR($A2884="",D2884=""),0,IF(COUNTIF($D$2:D2884,D2884)=1,SUMIF($D$2:$D$5001,D2884,$H$2:$H$5001)+ROW()/10000000,0))</f>
        <v>0</v>
      </c>
      <c r="Q2884" s="47" t="n">
        <f aca="false">IF(OR($A2884="",C2884=""),0,IF(COUNTIF($C$2:C2884,C2884)=1,SUMIF($C$2:$C$5001,C2884,$H$2:$H$5001)+ROW()/10000000,0))</f>
        <v>0</v>
      </c>
    </row>
    <row r="2885" customFormat="false" ht="15" hidden="false" customHeight="false" outlineLevel="0" collapsed="false">
      <c r="A2885" s="43"/>
      <c r="B2885" s="44"/>
      <c r="C2885" s="44"/>
      <c r="D2885" s="44"/>
      <c r="E2885" s="44"/>
      <c r="F2885" s="44"/>
      <c r="G2885" s="44"/>
      <c r="H2885" s="46" t="str">
        <f aca="false">IF($A2885="","",IF(OR(NOT(ISNUMBER(E2885)),NOT(ISNUMBER(F2885))),"",MAX(0,E2885)*F2885))</f>
        <v/>
      </c>
      <c r="I2885" s="46" t="str">
        <f aca="false">IF($A2885="","",SUMIF($A$2:$A$5001,$A2885,$H$2:$H$5001))</f>
        <v/>
      </c>
      <c r="J2885" s="47" t="n">
        <f aca="false">IF($A2885="",0,IF(COUNTIF($A$2:A2885,$A2885)=1,1,0))</f>
        <v>0</v>
      </c>
      <c r="K2885" s="47" t="n">
        <f aca="false">IF(J2885=1,N(I2885)+ROW()/10000000,0)</f>
        <v>0</v>
      </c>
      <c r="L2885" s="47" t="str">
        <f aca="false">IF(AND(J2885=1,N(I2885)&gt;0),SUMIF($K$2:$K$5001,"&gt;="&amp;K2885,$I$2:$I$5001)/MAX(1,SUM($H$2:$H$5001)),"")</f>
        <v/>
      </c>
      <c r="M2885" s="47" t="str">
        <f aca="false">IF($A2885="","",INDEX($L$2:$L$5001,MATCH($A2885,$A$2:$A$5001,0)))</f>
        <v/>
      </c>
      <c r="N2885" s="48" t="str">
        <f aca="false">IF($A2885="","",IF(N(M2885)=0,"–",IF(M2885&lt;=Start!$D$20,"A",IF(M2885&lt;=Start!$D$21,"B","C"))))</f>
        <v/>
      </c>
      <c r="O2885" s="48" t="str">
        <f aca="false">IF($A2885="","",IF(NOT(ISNUMBER(F2885)),"Wert fehlt; ",IF(F2885&lt;=0,"Wert ist 0; ",""))&amp;IF(NOT(ISNUMBER(E2885)),"Bestand fehlt; ",IF(E2885&lt;0,"Bestand negativ; ",IF(E2885=0,"Nullbestand; ","")))&amp;IF(D2885="","Warengruppe fehlt; ","")&amp;IF(B2885="","Bezeichnung fehlt; ","")&amp;IF(COUNTIFS($A$2:$A$5001,$A2885,$C$2:$C$5001,C2885)&gt;1,"Artikel doppelt im selben Lager; ",""))</f>
        <v/>
      </c>
      <c r="P2885" s="47" t="n">
        <f aca="false">IF(OR($A2885="",D2885=""),0,IF(COUNTIF($D$2:D2885,D2885)=1,SUMIF($D$2:$D$5001,D2885,$H$2:$H$5001)+ROW()/10000000,0))</f>
        <v>0</v>
      </c>
      <c r="Q2885" s="47" t="n">
        <f aca="false">IF(OR($A2885="",C2885=""),0,IF(COUNTIF($C$2:C2885,C2885)=1,SUMIF($C$2:$C$5001,C2885,$H$2:$H$5001)+ROW()/10000000,0))</f>
        <v>0</v>
      </c>
    </row>
    <row r="2886" customFormat="false" ht="15" hidden="false" customHeight="false" outlineLevel="0" collapsed="false">
      <c r="A2886" s="43"/>
      <c r="B2886" s="44"/>
      <c r="C2886" s="44"/>
      <c r="D2886" s="44"/>
      <c r="E2886" s="44"/>
      <c r="F2886" s="44"/>
      <c r="G2886" s="44"/>
      <c r="H2886" s="46" t="str">
        <f aca="false">IF($A2886="","",IF(OR(NOT(ISNUMBER(E2886)),NOT(ISNUMBER(F2886))),"",MAX(0,E2886)*F2886))</f>
        <v/>
      </c>
      <c r="I2886" s="46" t="str">
        <f aca="false">IF($A2886="","",SUMIF($A$2:$A$5001,$A2886,$H$2:$H$5001))</f>
        <v/>
      </c>
      <c r="J2886" s="47" t="n">
        <f aca="false">IF($A2886="",0,IF(COUNTIF($A$2:A2886,$A2886)=1,1,0))</f>
        <v>0</v>
      </c>
      <c r="K2886" s="47" t="n">
        <f aca="false">IF(J2886=1,N(I2886)+ROW()/10000000,0)</f>
        <v>0</v>
      </c>
      <c r="L2886" s="47" t="str">
        <f aca="false">IF(AND(J2886=1,N(I2886)&gt;0),SUMIF($K$2:$K$5001,"&gt;="&amp;K2886,$I$2:$I$5001)/MAX(1,SUM($H$2:$H$5001)),"")</f>
        <v/>
      </c>
      <c r="M2886" s="47" t="str">
        <f aca="false">IF($A2886="","",INDEX($L$2:$L$5001,MATCH($A2886,$A$2:$A$5001,0)))</f>
        <v/>
      </c>
      <c r="N2886" s="48" t="str">
        <f aca="false">IF($A2886="","",IF(N(M2886)=0,"–",IF(M2886&lt;=Start!$D$20,"A",IF(M2886&lt;=Start!$D$21,"B","C"))))</f>
        <v/>
      </c>
      <c r="O2886" s="48" t="str">
        <f aca="false">IF($A2886="","",IF(NOT(ISNUMBER(F2886)),"Wert fehlt; ",IF(F2886&lt;=0,"Wert ist 0; ",""))&amp;IF(NOT(ISNUMBER(E2886)),"Bestand fehlt; ",IF(E2886&lt;0,"Bestand negativ; ",IF(E2886=0,"Nullbestand; ","")))&amp;IF(D2886="","Warengruppe fehlt; ","")&amp;IF(B2886="","Bezeichnung fehlt; ","")&amp;IF(COUNTIFS($A$2:$A$5001,$A2886,$C$2:$C$5001,C2886)&gt;1,"Artikel doppelt im selben Lager; ",""))</f>
        <v/>
      </c>
      <c r="P2886" s="47" t="n">
        <f aca="false">IF(OR($A2886="",D2886=""),0,IF(COUNTIF($D$2:D2886,D2886)=1,SUMIF($D$2:$D$5001,D2886,$H$2:$H$5001)+ROW()/10000000,0))</f>
        <v>0</v>
      </c>
      <c r="Q2886" s="47" t="n">
        <f aca="false">IF(OR($A2886="",C2886=""),0,IF(COUNTIF($C$2:C2886,C2886)=1,SUMIF($C$2:$C$5001,C2886,$H$2:$H$5001)+ROW()/10000000,0))</f>
        <v>0</v>
      </c>
    </row>
    <row r="2887" customFormat="false" ht="15" hidden="false" customHeight="false" outlineLevel="0" collapsed="false">
      <c r="A2887" s="43"/>
      <c r="B2887" s="44"/>
      <c r="C2887" s="44"/>
      <c r="D2887" s="44"/>
      <c r="E2887" s="44"/>
      <c r="F2887" s="44"/>
      <c r="G2887" s="44"/>
      <c r="H2887" s="46" t="str">
        <f aca="false">IF($A2887="","",IF(OR(NOT(ISNUMBER(E2887)),NOT(ISNUMBER(F2887))),"",MAX(0,E2887)*F2887))</f>
        <v/>
      </c>
      <c r="I2887" s="46" t="str">
        <f aca="false">IF($A2887="","",SUMIF($A$2:$A$5001,$A2887,$H$2:$H$5001))</f>
        <v/>
      </c>
      <c r="J2887" s="47" t="n">
        <f aca="false">IF($A2887="",0,IF(COUNTIF($A$2:A2887,$A2887)=1,1,0))</f>
        <v>0</v>
      </c>
      <c r="K2887" s="47" t="n">
        <f aca="false">IF(J2887=1,N(I2887)+ROW()/10000000,0)</f>
        <v>0</v>
      </c>
      <c r="L2887" s="47" t="str">
        <f aca="false">IF(AND(J2887=1,N(I2887)&gt;0),SUMIF($K$2:$K$5001,"&gt;="&amp;K2887,$I$2:$I$5001)/MAX(1,SUM($H$2:$H$5001)),"")</f>
        <v/>
      </c>
      <c r="M2887" s="47" t="str">
        <f aca="false">IF($A2887="","",INDEX($L$2:$L$5001,MATCH($A2887,$A$2:$A$5001,0)))</f>
        <v/>
      </c>
      <c r="N2887" s="48" t="str">
        <f aca="false">IF($A2887="","",IF(N(M2887)=0,"–",IF(M2887&lt;=Start!$D$20,"A",IF(M2887&lt;=Start!$D$21,"B","C"))))</f>
        <v/>
      </c>
      <c r="O2887" s="48" t="str">
        <f aca="false">IF($A2887="","",IF(NOT(ISNUMBER(F2887)),"Wert fehlt; ",IF(F2887&lt;=0,"Wert ist 0; ",""))&amp;IF(NOT(ISNUMBER(E2887)),"Bestand fehlt; ",IF(E2887&lt;0,"Bestand negativ; ",IF(E2887=0,"Nullbestand; ","")))&amp;IF(D2887="","Warengruppe fehlt; ","")&amp;IF(B2887="","Bezeichnung fehlt; ","")&amp;IF(COUNTIFS($A$2:$A$5001,$A2887,$C$2:$C$5001,C2887)&gt;1,"Artikel doppelt im selben Lager; ",""))</f>
        <v/>
      </c>
      <c r="P2887" s="47" t="n">
        <f aca="false">IF(OR($A2887="",D2887=""),0,IF(COUNTIF($D$2:D2887,D2887)=1,SUMIF($D$2:$D$5001,D2887,$H$2:$H$5001)+ROW()/10000000,0))</f>
        <v>0</v>
      </c>
      <c r="Q2887" s="47" t="n">
        <f aca="false">IF(OR($A2887="",C2887=""),0,IF(COUNTIF($C$2:C2887,C2887)=1,SUMIF($C$2:$C$5001,C2887,$H$2:$H$5001)+ROW()/10000000,0))</f>
        <v>0</v>
      </c>
    </row>
    <row r="2888" customFormat="false" ht="15" hidden="false" customHeight="false" outlineLevel="0" collapsed="false">
      <c r="A2888" s="43"/>
      <c r="B2888" s="44"/>
      <c r="C2888" s="44"/>
      <c r="D2888" s="44"/>
      <c r="E2888" s="44"/>
      <c r="F2888" s="44"/>
      <c r="G2888" s="44"/>
      <c r="H2888" s="46" t="str">
        <f aca="false">IF($A2888="","",IF(OR(NOT(ISNUMBER(E2888)),NOT(ISNUMBER(F2888))),"",MAX(0,E2888)*F2888))</f>
        <v/>
      </c>
      <c r="I2888" s="46" t="str">
        <f aca="false">IF($A2888="","",SUMIF($A$2:$A$5001,$A2888,$H$2:$H$5001))</f>
        <v/>
      </c>
      <c r="J2888" s="47" t="n">
        <f aca="false">IF($A2888="",0,IF(COUNTIF($A$2:A2888,$A2888)=1,1,0))</f>
        <v>0</v>
      </c>
      <c r="K2888" s="47" t="n">
        <f aca="false">IF(J2888=1,N(I2888)+ROW()/10000000,0)</f>
        <v>0</v>
      </c>
      <c r="L2888" s="47" t="str">
        <f aca="false">IF(AND(J2888=1,N(I2888)&gt;0),SUMIF($K$2:$K$5001,"&gt;="&amp;K2888,$I$2:$I$5001)/MAX(1,SUM($H$2:$H$5001)),"")</f>
        <v/>
      </c>
      <c r="M2888" s="47" t="str">
        <f aca="false">IF($A2888="","",INDEX($L$2:$L$5001,MATCH($A2888,$A$2:$A$5001,0)))</f>
        <v/>
      </c>
      <c r="N2888" s="48" t="str">
        <f aca="false">IF($A2888="","",IF(N(M2888)=0,"–",IF(M2888&lt;=Start!$D$20,"A",IF(M2888&lt;=Start!$D$21,"B","C"))))</f>
        <v/>
      </c>
      <c r="O2888" s="48" t="str">
        <f aca="false">IF($A2888="","",IF(NOT(ISNUMBER(F2888)),"Wert fehlt; ",IF(F2888&lt;=0,"Wert ist 0; ",""))&amp;IF(NOT(ISNUMBER(E2888)),"Bestand fehlt; ",IF(E2888&lt;0,"Bestand negativ; ",IF(E2888=0,"Nullbestand; ","")))&amp;IF(D2888="","Warengruppe fehlt; ","")&amp;IF(B2888="","Bezeichnung fehlt; ","")&amp;IF(COUNTIFS($A$2:$A$5001,$A2888,$C$2:$C$5001,C2888)&gt;1,"Artikel doppelt im selben Lager; ",""))</f>
        <v/>
      </c>
      <c r="P2888" s="47" t="n">
        <f aca="false">IF(OR($A2888="",D2888=""),0,IF(COUNTIF($D$2:D2888,D2888)=1,SUMIF($D$2:$D$5001,D2888,$H$2:$H$5001)+ROW()/10000000,0))</f>
        <v>0</v>
      </c>
      <c r="Q2888" s="47" t="n">
        <f aca="false">IF(OR($A2888="",C2888=""),0,IF(COUNTIF($C$2:C2888,C2888)=1,SUMIF($C$2:$C$5001,C2888,$H$2:$H$5001)+ROW()/10000000,0))</f>
        <v>0</v>
      </c>
    </row>
    <row r="2889" customFormat="false" ht="15" hidden="false" customHeight="false" outlineLevel="0" collapsed="false">
      <c r="A2889" s="43"/>
      <c r="B2889" s="44"/>
      <c r="C2889" s="44"/>
      <c r="D2889" s="44"/>
      <c r="E2889" s="44"/>
      <c r="F2889" s="44"/>
      <c r="G2889" s="44"/>
      <c r="H2889" s="46" t="str">
        <f aca="false">IF($A2889="","",IF(OR(NOT(ISNUMBER(E2889)),NOT(ISNUMBER(F2889))),"",MAX(0,E2889)*F2889))</f>
        <v/>
      </c>
      <c r="I2889" s="46" t="str">
        <f aca="false">IF($A2889="","",SUMIF($A$2:$A$5001,$A2889,$H$2:$H$5001))</f>
        <v/>
      </c>
      <c r="J2889" s="47" t="n">
        <f aca="false">IF($A2889="",0,IF(COUNTIF($A$2:A2889,$A2889)=1,1,0))</f>
        <v>0</v>
      </c>
      <c r="K2889" s="47" t="n">
        <f aca="false">IF(J2889=1,N(I2889)+ROW()/10000000,0)</f>
        <v>0</v>
      </c>
      <c r="L2889" s="47" t="str">
        <f aca="false">IF(AND(J2889=1,N(I2889)&gt;0),SUMIF($K$2:$K$5001,"&gt;="&amp;K2889,$I$2:$I$5001)/MAX(1,SUM($H$2:$H$5001)),"")</f>
        <v/>
      </c>
      <c r="M2889" s="47" t="str">
        <f aca="false">IF($A2889="","",INDEX($L$2:$L$5001,MATCH($A2889,$A$2:$A$5001,0)))</f>
        <v/>
      </c>
      <c r="N2889" s="48" t="str">
        <f aca="false">IF($A2889="","",IF(N(M2889)=0,"–",IF(M2889&lt;=Start!$D$20,"A",IF(M2889&lt;=Start!$D$21,"B","C"))))</f>
        <v/>
      </c>
      <c r="O2889" s="48" t="str">
        <f aca="false">IF($A2889="","",IF(NOT(ISNUMBER(F2889)),"Wert fehlt; ",IF(F2889&lt;=0,"Wert ist 0; ",""))&amp;IF(NOT(ISNUMBER(E2889)),"Bestand fehlt; ",IF(E2889&lt;0,"Bestand negativ; ",IF(E2889=0,"Nullbestand; ","")))&amp;IF(D2889="","Warengruppe fehlt; ","")&amp;IF(B2889="","Bezeichnung fehlt; ","")&amp;IF(COUNTIFS($A$2:$A$5001,$A2889,$C$2:$C$5001,C2889)&gt;1,"Artikel doppelt im selben Lager; ",""))</f>
        <v/>
      </c>
      <c r="P2889" s="47" t="n">
        <f aca="false">IF(OR($A2889="",D2889=""),0,IF(COUNTIF($D$2:D2889,D2889)=1,SUMIF($D$2:$D$5001,D2889,$H$2:$H$5001)+ROW()/10000000,0))</f>
        <v>0</v>
      </c>
      <c r="Q2889" s="47" t="n">
        <f aca="false">IF(OR($A2889="",C2889=""),0,IF(COUNTIF($C$2:C2889,C2889)=1,SUMIF($C$2:$C$5001,C2889,$H$2:$H$5001)+ROW()/10000000,0))</f>
        <v>0</v>
      </c>
    </row>
    <row r="2890" customFormat="false" ht="15" hidden="false" customHeight="false" outlineLevel="0" collapsed="false">
      <c r="A2890" s="43"/>
      <c r="B2890" s="44"/>
      <c r="C2890" s="44"/>
      <c r="D2890" s="44"/>
      <c r="E2890" s="44"/>
      <c r="F2890" s="44"/>
      <c r="G2890" s="44"/>
      <c r="H2890" s="46" t="str">
        <f aca="false">IF($A2890="","",IF(OR(NOT(ISNUMBER(E2890)),NOT(ISNUMBER(F2890))),"",MAX(0,E2890)*F2890))</f>
        <v/>
      </c>
      <c r="I2890" s="46" t="str">
        <f aca="false">IF($A2890="","",SUMIF($A$2:$A$5001,$A2890,$H$2:$H$5001))</f>
        <v/>
      </c>
      <c r="J2890" s="47" t="n">
        <f aca="false">IF($A2890="",0,IF(COUNTIF($A$2:A2890,$A2890)=1,1,0))</f>
        <v>0</v>
      </c>
      <c r="K2890" s="47" t="n">
        <f aca="false">IF(J2890=1,N(I2890)+ROW()/10000000,0)</f>
        <v>0</v>
      </c>
      <c r="L2890" s="47" t="str">
        <f aca="false">IF(AND(J2890=1,N(I2890)&gt;0),SUMIF($K$2:$K$5001,"&gt;="&amp;K2890,$I$2:$I$5001)/MAX(1,SUM($H$2:$H$5001)),"")</f>
        <v/>
      </c>
      <c r="M2890" s="47" t="str">
        <f aca="false">IF($A2890="","",INDEX($L$2:$L$5001,MATCH($A2890,$A$2:$A$5001,0)))</f>
        <v/>
      </c>
      <c r="N2890" s="48" t="str">
        <f aca="false">IF($A2890="","",IF(N(M2890)=0,"–",IF(M2890&lt;=Start!$D$20,"A",IF(M2890&lt;=Start!$D$21,"B","C"))))</f>
        <v/>
      </c>
      <c r="O2890" s="48" t="str">
        <f aca="false">IF($A2890="","",IF(NOT(ISNUMBER(F2890)),"Wert fehlt; ",IF(F2890&lt;=0,"Wert ist 0; ",""))&amp;IF(NOT(ISNUMBER(E2890)),"Bestand fehlt; ",IF(E2890&lt;0,"Bestand negativ; ",IF(E2890=0,"Nullbestand; ","")))&amp;IF(D2890="","Warengruppe fehlt; ","")&amp;IF(B2890="","Bezeichnung fehlt; ","")&amp;IF(COUNTIFS($A$2:$A$5001,$A2890,$C$2:$C$5001,C2890)&gt;1,"Artikel doppelt im selben Lager; ",""))</f>
        <v/>
      </c>
      <c r="P2890" s="47" t="n">
        <f aca="false">IF(OR($A2890="",D2890=""),0,IF(COUNTIF($D$2:D2890,D2890)=1,SUMIF($D$2:$D$5001,D2890,$H$2:$H$5001)+ROW()/10000000,0))</f>
        <v>0</v>
      </c>
      <c r="Q2890" s="47" t="n">
        <f aca="false">IF(OR($A2890="",C2890=""),0,IF(COUNTIF($C$2:C2890,C2890)=1,SUMIF($C$2:$C$5001,C2890,$H$2:$H$5001)+ROW()/10000000,0))</f>
        <v>0</v>
      </c>
    </row>
    <row r="2891" customFormat="false" ht="15" hidden="false" customHeight="false" outlineLevel="0" collapsed="false">
      <c r="A2891" s="43"/>
      <c r="B2891" s="44"/>
      <c r="C2891" s="44"/>
      <c r="D2891" s="44"/>
      <c r="E2891" s="44"/>
      <c r="F2891" s="44"/>
      <c r="G2891" s="44"/>
      <c r="H2891" s="46" t="str">
        <f aca="false">IF($A2891="","",IF(OR(NOT(ISNUMBER(E2891)),NOT(ISNUMBER(F2891))),"",MAX(0,E2891)*F2891))</f>
        <v/>
      </c>
      <c r="I2891" s="46" t="str">
        <f aca="false">IF($A2891="","",SUMIF($A$2:$A$5001,$A2891,$H$2:$H$5001))</f>
        <v/>
      </c>
      <c r="J2891" s="47" t="n">
        <f aca="false">IF($A2891="",0,IF(COUNTIF($A$2:A2891,$A2891)=1,1,0))</f>
        <v>0</v>
      </c>
      <c r="K2891" s="47" t="n">
        <f aca="false">IF(J2891=1,N(I2891)+ROW()/10000000,0)</f>
        <v>0</v>
      </c>
      <c r="L2891" s="47" t="str">
        <f aca="false">IF(AND(J2891=1,N(I2891)&gt;0),SUMIF($K$2:$K$5001,"&gt;="&amp;K2891,$I$2:$I$5001)/MAX(1,SUM($H$2:$H$5001)),"")</f>
        <v/>
      </c>
      <c r="M2891" s="47" t="str">
        <f aca="false">IF($A2891="","",INDEX($L$2:$L$5001,MATCH($A2891,$A$2:$A$5001,0)))</f>
        <v/>
      </c>
      <c r="N2891" s="48" t="str">
        <f aca="false">IF($A2891="","",IF(N(M2891)=0,"–",IF(M2891&lt;=Start!$D$20,"A",IF(M2891&lt;=Start!$D$21,"B","C"))))</f>
        <v/>
      </c>
      <c r="O2891" s="48" t="str">
        <f aca="false">IF($A2891="","",IF(NOT(ISNUMBER(F2891)),"Wert fehlt; ",IF(F2891&lt;=0,"Wert ist 0; ",""))&amp;IF(NOT(ISNUMBER(E2891)),"Bestand fehlt; ",IF(E2891&lt;0,"Bestand negativ; ",IF(E2891=0,"Nullbestand; ","")))&amp;IF(D2891="","Warengruppe fehlt; ","")&amp;IF(B2891="","Bezeichnung fehlt; ","")&amp;IF(COUNTIFS($A$2:$A$5001,$A2891,$C$2:$C$5001,C2891)&gt;1,"Artikel doppelt im selben Lager; ",""))</f>
        <v/>
      </c>
      <c r="P2891" s="47" t="n">
        <f aca="false">IF(OR($A2891="",D2891=""),0,IF(COUNTIF($D$2:D2891,D2891)=1,SUMIF($D$2:$D$5001,D2891,$H$2:$H$5001)+ROW()/10000000,0))</f>
        <v>0</v>
      </c>
      <c r="Q2891" s="47" t="n">
        <f aca="false">IF(OR($A2891="",C2891=""),0,IF(COUNTIF($C$2:C2891,C2891)=1,SUMIF($C$2:$C$5001,C2891,$H$2:$H$5001)+ROW()/10000000,0))</f>
        <v>0</v>
      </c>
    </row>
    <row r="2892" customFormat="false" ht="15" hidden="false" customHeight="false" outlineLevel="0" collapsed="false">
      <c r="A2892" s="43"/>
      <c r="B2892" s="44"/>
      <c r="C2892" s="44"/>
      <c r="D2892" s="44"/>
      <c r="E2892" s="44"/>
      <c r="F2892" s="44"/>
      <c r="G2892" s="44"/>
      <c r="H2892" s="46" t="str">
        <f aca="false">IF($A2892="","",IF(OR(NOT(ISNUMBER(E2892)),NOT(ISNUMBER(F2892))),"",MAX(0,E2892)*F2892))</f>
        <v/>
      </c>
      <c r="I2892" s="46" t="str">
        <f aca="false">IF($A2892="","",SUMIF($A$2:$A$5001,$A2892,$H$2:$H$5001))</f>
        <v/>
      </c>
      <c r="J2892" s="47" t="n">
        <f aca="false">IF($A2892="",0,IF(COUNTIF($A$2:A2892,$A2892)=1,1,0))</f>
        <v>0</v>
      </c>
      <c r="K2892" s="47" t="n">
        <f aca="false">IF(J2892=1,N(I2892)+ROW()/10000000,0)</f>
        <v>0</v>
      </c>
      <c r="L2892" s="47" t="str">
        <f aca="false">IF(AND(J2892=1,N(I2892)&gt;0),SUMIF($K$2:$K$5001,"&gt;="&amp;K2892,$I$2:$I$5001)/MAX(1,SUM($H$2:$H$5001)),"")</f>
        <v/>
      </c>
      <c r="M2892" s="47" t="str">
        <f aca="false">IF($A2892="","",INDEX($L$2:$L$5001,MATCH($A2892,$A$2:$A$5001,0)))</f>
        <v/>
      </c>
      <c r="N2892" s="48" t="str">
        <f aca="false">IF($A2892="","",IF(N(M2892)=0,"–",IF(M2892&lt;=Start!$D$20,"A",IF(M2892&lt;=Start!$D$21,"B","C"))))</f>
        <v/>
      </c>
      <c r="O2892" s="48" t="str">
        <f aca="false">IF($A2892="","",IF(NOT(ISNUMBER(F2892)),"Wert fehlt; ",IF(F2892&lt;=0,"Wert ist 0; ",""))&amp;IF(NOT(ISNUMBER(E2892)),"Bestand fehlt; ",IF(E2892&lt;0,"Bestand negativ; ",IF(E2892=0,"Nullbestand; ","")))&amp;IF(D2892="","Warengruppe fehlt; ","")&amp;IF(B2892="","Bezeichnung fehlt; ","")&amp;IF(COUNTIFS($A$2:$A$5001,$A2892,$C$2:$C$5001,C2892)&gt;1,"Artikel doppelt im selben Lager; ",""))</f>
        <v/>
      </c>
      <c r="P2892" s="47" t="n">
        <f aca="false">IF(OR($A2892="",D2892=""),0,IF(COUNTIF($D$2:D2892,D2892)=1,SUMIF($D$2:$D$5001,D2892,$H$2:$H$5001)+ROW()/10000000,0))</f>
        <v>0</v>
      </c>
      <c r="Q2892" s="47" t="n">
        <f aca="false">IF(OR($A2892="",C2892=""),0,IF(COUNTIF($C$2:C2892,C2892)=1,SUMIF($C$2:$C$5001,C2892,$H$2:$H$5001)+ROW()/10000000,0))</f>
        <v>0</v>
      </c>
    </row>
    <row r="2893" customFormat="false" ht="15" hidden="false" customHeight="false" outlineLevel="0" collapsed="false">
      <c r="A2893" s="43"/>
      <c r="B2893" s="44"/>
      <c r="C2893" s="44"/>
      <c r="D2893" s="44"/>
      <c r="E2893" s="44"/>
      <c r="F2893" s="44"/>
      <c r="G2893" s="44"/>
      <c r="H2893" s="46" t="str">
        <f aca="false">IF($A2893="","",IF(OR(NOT(ISNUMBER(E2893)),NOT(ISNUMBER(F2893))),"",MAX(0,E2893)*F2893))</f>
        <v/>
      </c>
      <c r="I2893" s="46" t="str">
        <f aca="false">IF($A2893="","",SUMIF($A$2:$A$5001,$A2893,$H$2:$H$5001))</f>
        <v/>
      </c>
      <c r="J2893" s="47" t="n">
        <f aca="false">IF($A2893="",0,IF(COUNTIF($A$2:A2893,$A2893)=1,1,0))</f>
        <v>0</v>
      </c>
      <c r="K2893" s="47" t="n">
        <f aca="false">IF(J2893=1,N(I2893)+ROW()/10000000,0)</f>
        <v>0</v>
      </c>
      <c r="L2893" s="47" t="str">
        <f aca="false">IF(AND(J2893=1,N(I2893)&gt;0),SUMIF($K$2:$K$5001,"&gt;="&amp;K2893,$I$2:$I$5001)/MAX(1,SUM($H$2:$H$5001)),"")</f>
        <v/>
      </c>
      <c r="M2893" s="47" t="str">
        <f aca="false">IF($A2893="","",INDEX($L$2:$L$5001,MATCH($A2893,$A$2:$A$5001,0)))</f>
        <v/>
      </c>
      <c r="N2893" s="48" t="str">
        <f aca="false">IF($A2893="","",IF(N(M2893)=0,"–",IF(M2893&lt;=Start!$D$20,"A",IF(M2893&lt;=Start!$D$21,"B","C"))))</f>
        <v/>
      </c>
      <c r="O2893" s="48" t="str">
        <f aca="false">IF($A2893="","",IF(NOT(ISNUMBER(F2893)),"Wert fehlt; ",IF(F2893&lt;=0,"Wert ist 0; ",""))&amp;IF(NOT(ISNUMBER(E2893)),"Bestand fehlt; ",IF(E2893&lt;0,"Bestand negativ; ",IF(E2893=0,"Nullbestand; ","")))&amp;IF(D2893="","Warengruppe fehlt; ","")&amp;IF(B2893="","Bezeichnung fehlt; ","")&amp;IF(COUNTIFS($A$2:$A$5001,$A2893,$C$2:$C$5001,C2893)&gt;1,"Artikel doppelt im selben Lager; ",""))</f>
        <v/>
      </c>
      <c r="P2893" s="47" t="n">
        <f aca="false">IF(OR($A2893="",D2893=""),0,IF(COUNTIF($D$2:D2893,D2893)=1,SUMIF($D$2:$D$5001,D2893,$H$2:$H$5001)+ROW()/10000000,0))</f>
        <v>0</v>
      </c>
      <c r="Q2893" s="47" t="n">
        <f aca="false">IF(OR($A2893="",C2893=""),0,IF(COUNTIF($C$2:C2893,C2893)=1,SUMIF($C$2:$C$5001,C2893,$H$2:$H$5001)+ROW()/10000000,0))</f>
        <v>0</v>
      </c>
    </row>
    <row r="2894" customFormat="false" ht="15" hidden="false" customHeight="false" outlineLevel="0" collapsed="false">
      <c r="A2894" s="43"/>
      <c r="B2894" s="44"/>
      <c r="C2894" s="44"/>
      <c r="D2894" s="44"/>
      <c r="E2894" s="44"/>
      <c r="F2894" s="44"/>
      <c r="G2894" s="44"/>
      <c r="H2894" s="46" t="str">
        <f aca="false">IF($A2894="","",IF(OR(NOT(ISNUMBER(E2894)),NOT(ISNUMBER(F2894))),"",MAX(0,E2894)*F2894))</f>
        <v/>
      </c>
      <c r="I2894" s="46" t="str">
        <f aca="false">IF($A2894="","",SUMIF($A$2:$A$5001,$A2894,$H$2:$H$5001))</f>
        <v/>
      </c>
      <c r="J2894" s="47" t="n">
        <f aca="false">IF($A2894="",0,IF(COUNTIF($A$2:A2894,$A2894)=1,1,0))</f>
        <v>0</v>
      </c>
      <c r="K2894" s="47" t="n">
        <f aca="false">IF(J2894=1,N(I2894)+ROW()/10000000,0)</f>
        <v>0</v>
      </c>
      <c r="L2894" s="47" t="str">
        <f aca="false">IF(AND(J2894=1,N(I2894)&gt;0),SUMIF($K$2:$K$5001,"&gt;="&amp;K2894,$I$2:$I$5001)/MAX(1,SUM($H$2:$H$5001)),"")</f>
        <v/>
      </c>
      <c r="M2894" s="47" t="str">
        <f aca="false">IF($A2894="","",INDEX($L$2:$L$5001,MATCH($A2894,$A$2:$A$5001,0)))</f>
        <v/>
      </c>
      <c r="N2894" s="48" t="str">
        <f aca="false">IF($A2894="","",IF(N(M2894)=0,"–",IF(M2894&lt;=Start!$D$20,"A",IF(M2894&lt;=Start!$D$21,"B","C"))))</f>
        <v/>
      </c>
      <c r="O2894" s="48" t="str">
        <f aca="false">IF($A2894="","",IF(NOT(ISNUMBER(F2894)),"Wert fehlt; ",IF(F2894&lt;=0,"Wert ist 0; ",""))&amp;IF(NOT(ISNUMBER(E2894)),"Bestand fehlt; ",IF(E2894&lt;0,"Bestand negativ; ",IF(E2894=0,"Nullbestand; ","")))&amp;IF(D2894="","Warengruppe fehlt; ","")&amp;IF(B2894="","Bezeichnung fehlt; ","")&amp;IF(COUNTIFS($A$2:$A$5001,$A2894,$C$2:$C$5001,C2894)&gt;1,"Artikel doppelt im selben Lager; ",""))</f>
        <v/>
      </c>
      <c r="P2894" s="47" t="n">
        <f aca="false">IF(OR($A2894="",D2894=""),0,IF(COUNTIF($D$2:D2894,D2894)=1,SUMIF($D$2:$D$5001,D2894,$H$2:$H$5001)+ROW()/10000000,0))</f>
        <v>0</v>
      </c>
      <c r="Q2894" s="47" t="n">
        <f aca="false">IF(OR($A2894="",C2894=""),0,IF(COUNTIF($C$2:C2894,C2894)=1,SUMIF($C$2:$C$5001,C2894,$H$2:$H$5001)+ROW()/10000000,0))</f>
        <v>0</v>
      </c>
    </row>
    <row r="2895" customFormat="false" ht="15" hidden="false" customHeight="false" outlineLevel="0" collapsed="false">
      <c r="A2895" s="43"/>
      <c r="B2895" s="44"/>
      <c r="C2895" s="44"/>
      <c r="D2895" s="44"/>
      <c r="E2895" s="44"/>
      <c r="F2895" s="44"/>
      <c r="G2895" s="44"/>
      <c r="H2895" s="46" t="str">
        <f aca="false">IF($A2895="","",IF(OR(NOT(ISNUMBER(E2895)),NOT(ISNUMBER(F2895))),"",MAX(0,E2895)*F2895))</f>
        <v/>
      </c>
      <c r="I2895" s="46" t="str">
        <f aca="false">IF($A2895="","",SUMIF($A$2:$A$5001,$A2895,$H$2:$H$5001))</f>
        <v/>
      </c>
      <c r="J2895" s="47" t="n">
        <f aca="false">IF($A2895="",0,IF(COUNTIF($A$2:A2895,$A2895)=1,1,0))</f>
        <v>0</v>
      </c>
      <c r="K2895" s="47" t="n">
        <f aca="false">IF(J2895=1,N(I2895)+ROW()/10000000,0)</f>
        <v>0</v>
      </c>
      <c r="L2895" s="47" t="str">
        <f aca="false">IF(AND(J2895=1,N(I2895)&gt;0),SUMIF($K$2:$K$5001,"&gt;="&amp;K2895,$I$2:$I$5001)/MAX(1,SUM($H$2:$H$5001)),"")</f>
        <v/>
      </c>
      <c r="M2895" s="47" t="str">
        <f aca="false">IF($A2895="","",INDEX($L$2:$L$5001,MATCH($A2895,$A$2:$A$5001,0)))</f>
        <v/>
      </c>
      <c r="N2895" s="48" t="str">
        <f aca="false">IF($A2895="","",IF(N(M2895)=0,"–",IF(M2895&lt;=Start!$D$20,"A",IF(M2895&lt;=Start!$D$21,"B","C"))))</f>
        <v/>
      </c>
      <c r="O2895" s="48" t="str">
        <f aca="false">IF($A2895="","",IF(NOT(ISNUMBER(F2895)),"Wert fehlt; ",IF(F2895&lt;=0,"Wert ist 0; ",""))&amp;IF(NOT(ISNUMBER(E2895)),"Bestand fehlt; ",IF(E2895&lt;0,"Bestand negativ; ",IF(E2895=0,"Nullbestand; ","")))&amp;IF(D2895="","Warengruppe fehlt; ","")&amp;IF(B2895="","Bezeichnung fehlt; ","")&amp;IF(COUNTIFS($A$2:$A$5001,$A2895,$C$2:$C$5001,C2895)&gt;1,"Artikel doppelt im selben Lager; ",""))</f>
        <v/>
      </c>
      <c r="P2895" s="47" t="n">
        <f aca="false">IF(OR($A2895="",D2895=""),0,IF(COUNTIF($D$2:D2895,D2895)=1,SUMIF($D$2:$D$5001,D2895,$H$2:$H$5001)+ROW()/10000000,0))</f>
        <v>0</v>
      </c>
      <c r="Q2895" s="47" t="n">
        <f aca="false">IF(OR($A2895="",C2895=""),0,IF(COUNTIF($C$2:C2895,C2895)=1,SUMIF($C$2:$C$5001,C2895,$H$2:$H$5001)+ROW()/10000000,0))</f>
        <v>0</v>
      </c>
    </row>
    <row r="2896" customFormat="false" ht="15" hidden="false" customHeight="false" outlineLevel="0" collapsed="false">
      <c r="A2896" s="43"/>
      <c r="B2896" s="44"/>
      <c r="C2896" s="44"/>
      <c r="D2896" s="44"/>
      <c r="E2896" s="44"/>
      <c r="F2896" s="44"/>
      <c r="G2896" s="44"/>
      <c r="H2896" s="46" t="str">
        <f aca="false">IF($A2896="","",IF(OR(NOT(ISNUMBER(E2896)),NOT(ISNUMBER(F2896))),"",MAX(0,E2896)*F2896))</f>
        <v/>
      </c>
      <c r="I2896" s="46" t="str">
        <f aca="false">IF($A2896="","",SUMIF($A$2:$A$5001,$A2896,$H$2:$H$5001))</f>
        <v/>
      </c>
      <c r="J2896" s="47" t="n">
        <f aca="false">IF($A2896="",0,IF(COUNTIF($A$2:A2896,$A2896)=1,1,0))</f>
        <v>0</v>
      </c>
      <c r="K2896" s="47" t="n">
        <f aca="false">IF(J2896=1,N(I2896)+ROW()/10000000,0)</f>
        <v>0</v>
      </c>
      <c r="L2896" s="47" t="str">
        <f aca="false">IF(AND(J2896=1,N(I2896)&gt;0),SUMIF($K$2:$K$5001,"&gt;="&amp;K2896,$I$2:$I$5001)/MAX(1,SUM($H$2:$H$5001)),"")</f>
        <v/>
      </c>
      <c r="M2896" s="47" t="str">
        <f aca="false">IF($A2896="","",INDEX($L$2:$L$5001,MATCH($A2896,$A$2:$A$5001,0)))</f>
        <v/>
      </c>
      <c r="N2896" s="48" t="str">
        <f aca="false">IF($A2896="","",IF(N(M2896)=0,"–",IF(M2896&lt;=Start!$D$20,"A",IF(M2896&lt;=Start!$D$21,"B","C"))))</f>
        <v/>
      </c>
      <c r="O2896" s="48" t="str">
        <f aca="false">IF($A2896="","",IF(NOT(ISNUMBER(F2896)),"Wert fehlt; ",IF(F2896&lt;=0,"Wert ist 0; ",""))&amp;IF(NOT(ISNUMBER(E2896)),"Bestand fehlt; ",IF(E2896&lt;0,"Bestand negativ; ",IF(E2896=0,"Nullbestand; ","")))&amp;IF(D2896="","Warengruppe fehlt; ","")&amp;IF(B2896="","Bezeichnung fehlt; ","")&amp;IF(COUNTIFS($A$2:$A$5001,$A2896,$C$2:$C$5001,C2896)&gt;1,"Artikel doppelt im selben Lager; ",""))</f>
        <v/>
      </c>
      <c r="P2896" s="47" t="n">
        <f aca="false">IF(OR($A2896="",D2896=""),0,IF(COUNTIF($D$2:D2896,D2896)=1,SUMIF($D$2:$D$5001,D2896,$H$2:$H$5001)+ROW()/10000000,0))</f>
        <v>0</v>
      </c>
      <c r="Q2896" s="47" t="n">
        <f aca="false">IF(OR($A2896="",C2896=""),0,IF(COUNTIF($C$2:C2896,C2896)=1,SUMIF($C$2:$C$5001,C2896,$H$2:$H$5001)+ROW()/10000000,0))</f>
        <v>0</v>
      </c>
    </row>
    <row r="2897" customFormat="false" ht="15" hidden="false" customHeight="false" outlineLevel="0" collapsed="false">
      <c r="A2897" s="43"/>
      <c r="B2897" s="44"/>
      <c r="C2897" s="44"/>
      <c r="D2897" s="44"/>
      <c r="E2897" s="44"/>
      <c r="F2897" s="44"/>
      <c r="G2897" s="44"/>
      <c r="H2897" s="46" t="str">
        <f aca="false">IF($A2897="","",IF(OR(NOT(ISNUMBER(E2897)),NOT(ISNUMBER(F2897))),"",MAX(0,E2897)*F2897))</f>
        <v/>
      </c>
      <c r="I2897" s="46" t="str">
        <f aca="false">IF($A2897="","",SUMIF($A$2:$A$5001,$A2897,$H$2:$H$5001))</f>
        <v/>
      </c>
      <c r="J2897" s="47" t="n">
        <f aca="false">IF($A2897="",0,IF(COUNTIF($A$2:A2897,$A2897)=1,1,0))</f>
        <v>0</v>
      </c>
      <c r="K2897" s="47" t="n">
        <f aca="false">IF(J2897=1,N(I2897)+ROW()/10000000,0)</f>
        <v>0</v>
      </c>
      <c r="L2897" s="47" t="str">
        <f aca="false">IF(AND(J2897=1,N(I2897)&gt;0),SUMIF($K$2:$K$5001,"&gt;="&amp;K2897,$I$2:$I$5001)/MAX(1,SUM($H$2:$H$5001)),"")</f>
        <v/>
      </c>
      <c r="M2897" s="47" t="str">
        <f aca="false">IF($A2897="","",INDEX($L$2:$L$5001,MATCH($A2897,$A$2:$A$5001,0)))</f>
        <v/>
      </c>
      <c r="N2897" s="48" t="str">
        <f aca="false">IF($A2897="","",IF(N(M2897)=0,"–",IF(M2897&lt;=Start!$D$20,"A",IF(M2897&lt;=Start!$D$21,"B","C"))))</f>
        <v/>
      </c>
      <c r="O2897" s="48" t="str">
        <f aca="false">IF($A2897="","",IF(NOT(ISNUMBER(F2897)),"Wert fehlt; ",IF(F2897&lt;=0,"Wert ist 0; ",""))&amp;IF(NOT(ISNUMBER(E2897)),"Bestand fehlt; ",IF(E2897&lt;0,"Bestand negativ; ",IF(E2897=0,"Nullbestand; ","")))&amp;IF(D2897="","Warengruppe fehlt; ","")&amp;IF(B2897="","Bezeichnung fehlt; ","")&amp;IF(COUNTIFS($A$2:$A$5001,$A2897,$C$2:$C$5001,C2897)&gt;1,"Artikel doppelt im selben Lager; ",""))</f>
        <v/>
      </c>
      <c r="P2897" s="47" t="n">
        <f aca="false">IF(OR($A2897="",D2897=""),0,IF(COUNTIF($D$2:D2897,D2897)=1,SUMIF($D$2:$D$5001,D2897,$H$2:$H$5001)+ROW()/10000000,0))</f>
        <v>0</v>
      </c>
      <c r="Q2897" s="47" t="n">
        <f aca="false">IF(OR($A2897="",C2897=""),0,IF(COUNTIF($C$2:C2897,C2897)=1,SUMIF($C$2:$C$5001,C2897,$H$2:$H$5001)+ROW()/10000000,0))</f>
        <v>0</v>
      </c>
    </row>
    <row r="2898" customFormat="false" ht="15" hidden="false" customHeight="false" outlineLevel="0" collapsed="false">
      <c r="A2898" s="43"/>
      <c r="B2898" s="44"/>
      <c r="C2898" s="44"/>
      <c r="D2898" s="44"/>
      <c r="E2898" s="44"/>
      <c r="F2898" s="44"/>
      <c r="G2898" s="44"/>
      <c r="H2898" s="46" t="str">
        <f aca="false">IF($A2898="","",IF(OR(NOT(ISNUMBER(E2898)),NOT(ISNUMBER(F2898))),"",MAX(0,E2898)*F2898))</f>
        <v/>
      </c>
      <c r="I2898" s="46" t="str">
        <f aca="false">IF($A2898="","",SUMIF($A$2:$A$5001,$A2898,$H$2:$H$5001))</f>
        <v/>
      </c>
      <c r="J2898" s="47" t="n">
        <f aca="false">IF($A2898="",0,IF(COUNTIF($A$2:A2898,$A2898)=1,1,0))</f>
        <v>0</v>
      </c>
      <c r="K2898" s="47" t="n">
        <f aca="false">IF(J2898=1,N(I2898)+ROW()/10000000,0)</f>
        <v>0</v>
      </c>
      <c r="L2898" s="47" t="str">
        <f aca="false">IF(AND(J2898=1,N(I2898)&gt;0),SUMIF($K$2:$K$5001,"&gt;="&amp;K2898,$I$2:$I$5001)/MAX(1,SUM($H$2:$H$5001)),"")</f>
        <v/>
      </c>
      <c r="M2898" s="47" t="str">
        <f aca="false">IF($A2898="","",INDEX($L$2:$L$5001,MATCH($A2898,$A$2:$A$5001,0)))</f>
        <v/>
      </c>
      <c r="N2898" s="48" t="str">
        <f aca="false">IF($A2898="","",IF(N(M2898)=0,"–",IF(M2898&lt;=Start!$D$20,"A",IF(M2898&lt;=Start!$D$21,"B","C"))))</f>
        <v/>
      </c>
      <c r="O2898" s="48" t="str">
        <f aca="false">IF($A2898="","",IF(NOT(ISNUMBER(F2898)),"Wert fehlt; ",IF(F2898&lt;=0,"Wert ist 0; ",""))&amp;IF(NOT(ISNUMBER(E2898)),"Bestand fehlt; ",IF(E2898&lt;0,"Bestand negativ; ",IF(E2898=0,"Nullbestand; ","")))&amp;IF(D2898="","Warengruppe fehlt; ","")&amp;IF(B2898="","Bezeichnung fehlt; ","")&amp;IF(COUNTIFS($A$2:$A$5001,$A2898,$C$2:$C$5001,C2898)&gt;1,"Artikel doppelt im selben Lager; ",""))</f>
        <v/>
      </c>
      <c r="P2898" s="47" t="n">
        <f aca="false">IF(OR($A2898="",D2898=""),0,IF(COUNTIF($D$2:D2898,D2898)=1,SUMIF($D$2:$D$5001,D2898,$H$2:$H$5001)+ROW()/10000000,0))</f>
        <v>0</v>
      </c>
      <c r="Q2898" s="47" t="n">
        <f aca="false">IF(OR($A2898="",C2898=""),0,IF(COUNTIF($C$2:C2898,C2898)=1,SUMIF($C$2:$C$5001,C2898,$H$2:$H$5001)+ROW()/10000000,0))</f>
        <v>0</v>
      </c>
    </row>
    <row r="2899" customFormat="false" ht="15" hidden="false" customHeight="false" outlineLevel="0" collapsed="false">
      <c r="A2899" s="43"/>
      <c r="B2899" s="44"/>
      <c r="C2899" s="44"/>
      <c r="D2899" s="44"/>
      <c r="E2899" s="44"/>
      <c r="F2899" s="44"/>
      <c r="G2899" s="44"/>
      <c r="H2899" s="46" t="str">
        <f aca="false">IF($A2899="","",IF(OR(NOT(ISNUMBER(E2899)),NOT(ISNUMBER(F2899))),"",MAX(0,E2899)*F2899))</f>
        <v/>
      </c>
      <c r="I2899" s="46" t="str">
        <f aca="false">IF($A2899="","",SUMIF($A$2:$A$5001,$A2899,$H$2:$H$5001))</f>
        <v/>
      </c>
      <c r="J2899" s="47" t="n">
        <f aca="false">IF($A2899="",0,IF(COUNTIF($A$2:A2899,$A2899)=1,1,0))</f>
        <v>0</v>
      </c>
      <c r="K2899" s="47" t="n">
        <f aca="false">IF(J2899=1,N(I2899)+ROW()/10000000,0)</f>
        <v>0</v>
      </c>
      <c r="L2899" s="47" t="str">
        <f aca="false">IF(AND(J2899=1,N(I2899)&gt;0),SUMIF($K$2:$K$5001,"&gt;="&amp;K2899,$I$2:$I$5001)/MAX(1,SUM($H$2:$H$5001)),"")</f>
        <v/>
      </c>
      <c r="M2899" s="47" t="str">
        <f aca="false">IF($A2899="","",INDEX($L$2:$L$5001,MATCH($A2899,$A$2:$A$5001,0)))</f>
        <v/>
      </c>
      <c r="N2899" s="48" t="str">
        <f aca="false">IF($A2899="","",IF(N(M2899)=0,"–",IF(M2899&lt;=Start!$D$20,"A",IF(M2899&lt;=Start!$D$21,"B","C"))))</f>
        <v/>
      </c>
      <c r="O2899" s="48" t="str">
        <f aca="false">IF($A2899="","",IF(NOT(ISNUMBER(F2899)),"Wert fehlt; ",IF(F2899&lt;=0,"Wert ist 0; ",""))&amp;IF(NOT(ISNUMBER(E2899)),"Bestand fehlt; ",IF(E2899&lt;0,"Bestand negativ; ",IF(E2899=0,"Nullbestand; ","")))&amp;IF(D2899="","Warengruppe fehlt; ","")&amp;IF(B2899="","Bezeichnung fehlt; ","")&amp;IF(COUNTIFS($A$2:$A$5001,$A2899,$C$2:$C$5001,C2899)&gt;1,"Artikel doppelt im selben Lager; ",""))</f>
        <v/>
      </c>
      <c r="P2899" s="47" t="n">
        <f aca="false">IF(OR($A2899="",D2899=""),0,IF(COUNTIF($D$2:D2899,D2899)=1,SUMIF($D$2:$D$5001,D2899,$H$2:$H$5001)+ROW()/10000000,0))</f>
        <v>0</v>
      </c>
      <c r="Q2899" s="47" t="n">
        <f aca="false">IF(OR($A2899="",C2899=""),0,IF(COUNTIF($C$2:C2899,C2899)=1,SUMIF($C$2:$C$5001,C2899,$H$2:$H$5001)+ROW()/10000000,0))</f>
        <v>0</v>
      </c>
    </row>
    <row r="2900" customFormat="false" ht="15" hidden="false" customHeight="false" outlineLevel="0" collapsed="false">
      <c r="A2900" s="43"/>
      <c r="B2900" s="44"/>
      <c r="C2900" s="44"/>
      <c r="D2900" s="44"/>
      <c r="E2900" s="44"/>
      <c r="F2900" s="44"/>
      <c r="G2900" s="44"/>
      <c r="H2900" s="46" t="str">
        <f aca="false">IF($A2900="","",IF(OR(NOT(ISNUMBER(E2900)),NOT(ISNUMBER(F2900))),"",MAX(0,E2900)*F2900))</f>
        <v/>
      </c>
      <c r="I2900" s="46" t="str">
        <f aca="false">IF($A2900="","",SUMIF($A$2:$A$5001,$A2900,$H$2:$H$5001))</f>
        <v/>
      </c>
      <c r="J2900" s="47" t="n">
        <f aca="false">IF($A2900="",0,IF(COUNTIF($A$2:A2900,$A2900)=1,1,0))</f>
        <v>0</v>
      </c>
      <c r="K2900" s="47" t="n">
        <f aca="false">IF(J2900=1,N(I2900)+ROW()/10000000,0)</f>
        <v>0</v>
      </c>
      <c r="L2900" s="47" t="str">
        <f aca="false">IF(AND(J2900=1,N(I2900)&gt;0),SUMIF($K$2:$K$5001,"&gt;="&amp;K2900,$I$2:$I$5001)/MAX(1,SUM($H$2:$H$5001)),"")</f>
        <v/>
      </c>
      <c r="M2900" s="47" t="str">
        <f aca="false">IF($A2900="","",INDEX($L$2:$L$5001,MATCH($A2900,$A$2:$A$5001,0)))</f>
        <v/>
      </c>
      <c r="N2900" s="48" t="str">
        <f aca="false">IF($A2900="","",IF(N(M2900)=0,"–",IF(M2900&lt;=Start!$D$20,"A",IF(M2900&lt;=Start!$D$21,"B","C"))))</f>
        <v/>
      </c>
      <c r="O2900" s="48" t="str">
        <f aca="false">IF($A2900="","",IF(NOT(ISNUMBER(F2900)),"Wert fehlt; ",IF(F2900&lt;=0,"Wert ist 0; ",""))&amp;IF(NOT(ISNUMBER(E2900)),"Bestand fehlt; ",IF(E2900&lt;0,"Bestand negativ; ",IF(E2900=0,"Nullbestand; ","")))&amp;IF(D2900="","Warengruppe fehlt; ","")&amp;IF(B2900="","Bezeichnung fehlt; ","")&amp;IF(COUNTIFS($A$2:$A$5001,$A2900,$C$2:$C$5001,C2900)&gt;1,"Artikel doppelt im selben Lager; ",""))</f>
        <v/>
      </c>
      <c r="P2900" s="47" t="n">
        <f aca="false">IF(OR($A2900="",D2900=""),0,IF(COUNTIF($D$2:D2900,D2900)=1,SUMIF($D$2:$D$5001,D2900,$H$2:$H$5001)+ROW()/10000000,0))</f>
        <v>0</v>
      </c>
      <c r="Q2900" s="47" t="n">
        <f aca="false">IF(OR($A2900="",C2900=""),0,IF(COUNTIF($C$2:C2900,C2900)=1,SUMIF($C$2:$C$5001,C2900,$H$2:$H$5001)+ROW()/10000000,0))</f>
        <v>0</v>
      </c>
    </row>
    <row r="2901" customFormat="false" ht="15" hidden="false" customHeight="false" outlineLevel="0" collapsed="false">
      <c r="A2901" s="43"/>
      <c r="B2901" s="44"/>
      <c r="C2901" s="44"/>
      <c r="D2901" s="44"/>
      <c r="E2901" s="44"/>
      <c r="F2901" s="44"/>
      <c r="G2901" s="44"/>
      <c r="H2901" s="46" t="str">
        <f aca="false">IF($A2901="","",IF(OR(NOT(ISNUMBER(E2901)),NOT(ISNUMBER(F2901))),"",MAX(0,E2901)*F2901))</f>
        <v/>
      </c>
      <c r="I2901" s="46" t="str">
        <f aca="false">IF($A2901="","",SUMIF($A$2:$A$5001,$A2901,$H$2:$H$5001))</f>
        <v/>
      </c>
      <c r="J2901" s="47" t="n">
        <f aca="false">IF($A2901="",0,IF(COUNTIF($A$2:A2901,$A2901)=1,1,0))</f>
        <v>0</v>
      </c>
      <c r="K2901" s="47" t="n">
        <f aca="false">IF(J2901=1,N(I2901)+ROW()/10000000,0)</f>
        <v>0</v>
      </c>
      <c r="L2901" s="47" t="str">
        <f aca="false">IF(AND(J2901=1,N(I2901)&gt;0),SUMIF($K$2:$K$5001,"&gt;="&amp;K2901,$I$2:$I$5001)/MAX(1,SUM($H$2:$H$5001)),"")</f>
        <v/>
      </c>
      <c r="M2901" s="47" t="str">
        <f aca="false">IF($A2901="","",INDEX($L$2:$L$5001,MATCH($A2901,$A$2:$A$5001,0)))</f>
        <v/>
      </c>
      <c r="N2901" s="48" t="str">
        <f aca="false">IF($A2901="","",IF(N(M2901)=0,"–",IF(M2901&lt;=Start!$D$20,"A",IF(M2901&lt;=Start!$D$21,"B","C"))))</f>
        <v/>
      </c>
      <c r="O2901" s="48" t="str">
        <f aca="false">IF($A2901="","",IF(NOT(ISNUMBER(F2901)),"Wert fehlt; ",IF(F2901&lt;=0,"Wert ist 0; ",""))&amp;IF(NOT(ISNUMBER(E2901)),"Bestand fehlt; ",IF(E2901&lt;0,"Bestand negativ; ",IF(E2901=0,"Nullbestand; ","")))&amp;IF(D2901="","Warengruppe fehlt; ","")&amp;IF(B2901="","Bezeichnung fehlt; ","")&amp;IF(COUNTIFS($A$2:$A$5001,$A2901,$C$2:$C$5001,C2901)&gt;1,"Artikel doppelt im selben Lager; ",""))</f>
        <v/>
      </c>
      <c r="P2901" s="47" t="n">
        <f aca="false">IF(OR($A2901="",D2901=""),0,IF(COUNTIF($D$2:D2901,D2901)=1,SUMIF($D$2:$D$5001,D2901,$H$2:$H$5001)+ROW()/10000000,0))</f>
        <v>0</v>
      </c>
      <c r="Q2901" s="47" t="n">
        <f aca="false">IF(OR($A2901="",C2901=""),0,IF(COUNTIF($C$2:C2901,C2901)=1,SUMIF($C$2:$C$5001,C2901,$H$2:$H$5001)+ROW()/10000000,0))</f>
        <v>0</v>
      </c>
    </row>
    <row r="2902" customFormat="false" ht="15" hidden="false" customHeight="false" outlineLevel="0" collapsed="false">
      <c r="A2902" s="43"/>
      <c r="B2902" s="44"/>
      <c r="C2902" s="44"/>
      <c r="D2902" s="44"/>
      <c r="E2902" s="44"/>
      <c r="F2902" s="44"/>
      <c r="G2902" s="44"/>
      <c r="H2902" s="46" t="str">
        <f aca="false">IF($A2902="","",IF(OR(NOT(ISNUMBER(E2902)),NOT(ISNUMBER(F2902))),"",MAX(0,E2902)*F2902))</f>
        <v/>
      </c>
      <c r="I2902" s="46" t="str">
        <f aca="false">IF($A2902="","",SUMIF($A$2:$A$5001,$A2902,$H$2:$H$5001))</f>
        <v/>
      </c>
      <c r="J2902" s="47" t="n">
        <f aca="false">IF($A2902="",0,IF(COUNTIF($A$2:A2902,$A2902)=1,1,0))</f>
        <v>0</v>
      </c>
      <c r="K2902" s="47" t="n">
        <f aca="false">IF(J2902=1,N(I2902)+ROW()/10000000,0)</f>
        <v>0</v>
      </c>
      <c r="L2902" s="47" t="str">
        <f aca="false">IF(AND(J2902=1,N(I2902)&gt;0),SUMIF($K$2:$K$5001,"&gt;="&amp;K2902,$I$2:$I$5001)/MAX(1,SUM($H$2:$H$5001)),"")</f>
        <v/>
      </c>
      <c r="M2902" s="47" t="str">
        <f aca="false">IF($A2902="","",INDEX($L$2:$L$5001,MATCH($A2902,$A$2:$A$5001,0)))</f>
        <v/>
      </c>
      <c r="N2902" s="48" t="str">
        <f aca="false">IF($A2902="","",IF(N(M2902)=0,"–",IF(M2902&lt;=Start!$D$20,"A",IF(M2902&lt;=Start!$D$21,"B","C"))))</f>
        <v/>
      </c>
      <c r="O2902" s="48" t="str">
        <f aca="false">IF($A2902="","",IF(NOT(ISNUMBER(F2902)),"Wert fehlt; ",IF(F2902&lt;=0,"Wert ist 0; ",""))&amp;IF(NOT(ISNUMBER(E2902)),"Bestand fehlt; ",IF(E2902&lt;0,"Bestand negativ; ",IF(E2902=0,"Nullbestand; ","")))&amp;IF(D2902="","Warengruppe fehlt; ","")&amp;IF(B2902="","Bezeichnung fehlt; ","")&amp;IF(COUNTIFS($A$2:$A$5001,$A2902,$C$2:$C$5001,C2902)&gt;1,"Artikel doppelt im selben Lager; ",""))</f>
        <v/>
      </c>
      <c r="P2902" s="47" t="n">
        <f aca="false">IF(OR($A2902="",D2902=""),0,IF(COUNTIF($D$2:D2902,D2902)=1,SUMIF($D$2:$D$5001,D2902,$H$2:$H$5001)+ROW()/10000000,0))</f>
        <v>0</v>
      </c>
      <c r="Q2902" s="47" t="n">
        <f aca="false">IF(OR($A2902="",C2902=""),0,IF(COUNTIF($C$2:C2902,C2902)=1,SUMIF($C$2:$C$5001,C2902,$H$2:$H$5001)+ROW()/10000000,0))</f>
        <v>0</v>
      </c>
    </row>
    <row r="2903" customFormat="false" ht="15" hidden="false" customHeight="false" outlineLevel="0" collapsed="false">
      <c r="A2903" s="43"/>
      <c r="B2903" s="44"/>
      <c r="C2903" s="44"/>
      <c r="D2903" s="44"/>
      <c r="E2903" s="44"/>
      <c r="F2903" s="44"/>
      <c r="G2903" s="44"/>
      <c r="H2903" s="46" t="str">
        <f aca="false">IF($A2903="","",IF(OR(NOT(ISNUMBER(E2903)),NOT(ISNUMBER(F2903))),"",MAX(0,E2903)*F2903))</f>
        <v/>
      </c>
      <c r="I2903" s="46" t="str">
        <f aca="false">IF($A2903="","",SUMIF($A$2:$A$5001,$A2903,$H$2:$H$5001))</f>
        <v/>
      </c>
      <c r="J2903" s="47" t="n">
        <f aca="false">IF($A2903="",0,IF(COUNTIF($A$2:A2903,$A2903)=1,1,0))</f>
        <v>0</v>
      </c>
      <c r="K2903" s="47" t="n">
        <f aca="false">IF(J2903=1,N(I2903)+ROW()/10000000,0)</f>
        <v>0</v>
      </c>
      <c r="L2903" s="47" t="str">
        <f aca="false">IF(AND(J2903=1,N(I2903)&gt;0),SUMIF($K$2:$K$5001,"&gt;="&amp;K2903,$I$2:$I$5001)/MAX(1,SUM($H$2:$H$5001)),"")</f>
        <v/>
      </c>
      <c r="M2903" s="47" t="str">
        <f aca="false">IF($A2903="","",INDEX($L$2:$L$5001,MATCH($A2903,$A$2:$A$5001,0)))</f>
        <v/>
      </c>
      <c r="N2903" s="48" t="str">
        <f aca="false">IF($A2903="","",IF(N(M2903)=0,"–",IF(M2903&lt;=Start!$D$20,"A",IF(M2903&lt;=Start!$D$21,"B","C"))))</f>
        <v/>
      </c>
      <c r="O2903" s="48" t="str">
        <f aca="false">IF($A2903="","",IF(NOT(ISNUMBER(F2903)),"Wert fehlt; ",IF(F2903&lt;=0,"Wert ist 0; ",""))&amp;IF(NOT(ISNUMBER(E2903)),"Bestand fehlt; ",IF(E2903&lt;0,"Bestand negativ; ",IF(E2903=0,"Nullbestand; ","")))&amp;IF(D2903="","Warengruppe fehlt; ","")&amp;IF(B2903="","Bezeichnung fehlt; ","")&amp;IF(COUNTIFS($A$2:$A$5001,$A2903,$C$2:$C$5001,C2903)&gt;1,"Artikel doppelt im selben Lager; ",""))</f>
        <v/>
      </c>
      <c r="P2903" s="47" t="n">
        <f aca="false">IF(OR($A2903="",D2903=""),0,IF(COUNTIF($D$2:D2903,D2903)=1,SUMIF($D$2:$D$5001,D2903,$H$2:$H$5001)+ROW()/10000000,0))</f>
        <v>0</v>
      </c>
      <c r="Q2903" s="47" t="n">
        <f aca="false">IF(OR($A2903="",C2903=""),0,IF(COUNTIF($C$2:C2903,C2903)=1,SUMIF($C$2:$C$5001,C2903,$H$2:$H$5001)+ROW()/10000000,0))</f>
        <v>0</v>
      </c>
    </row>
    <row r="2904" customFormat="false" ht="15" hidden="false" customHeight="false" outlineLevel="0" collapsed="false">
      <c r="A2904" s="43"/>
      <c r="B2904" s="44"/>
      <c r="C2904" s="44"/>
      <c r="D2904" s="44"/>
      <c r="E2904" s="44"/>
      <c r="F2904" s="44"/>
      <c r="G2904" s="44"/>
      <c r="H2904" s="46" t="str">
        <f aca="false">IF($A2904="","",IF(OR(NOT(ISNUMBER(E2904)),NOT(ISNUMBER(F2904))),"",MAX(0,E2904)*F2904))</f>
        <v/>
      </c>
      <c r="I2904" s="46" t="str">
        <f aca="false">IF($A2904="","",SUMIF($A$2:$A$5001,$A2904,$H$2:$H$5001))</f>
        <v/>
      </c>
      <c r="J2904" s="47" t="n">
        <f aca="false">IF($A2904="",0,IF(COUNTIF($A$2:A2904,$A2904)=1,1,0))</f>
        <v>0</v>
      </c>
      <c r="K2904" s="47" t="n">
        <f aca="false">IF(J2904=1,N(I2904)+ROW()/10000000,0)</f>
        <v>0</v>
      </c>
      <c r="L2904" s="47" t="str">
        <f aca="false">IF(AND(J2904=1,N(I2904)&gt;0),SUMIF($K$2:$K$5001,"&gt;="&amp;K2904,$I$2:$I$5001)/MAX(1,SUM($H$2:$H$5001)),"")</f>
        <v/>
      </c>
      <c r="M2904" s="47" t="str">
        <f aca="false">IF($A2904="","",INDEX($L$2:$L$5001,MATCH($A2904,$A$2:$A$5001,0)))</f>
        <v/>
      </c>
      <c r="N2904" s="48" t="str">
        <f aca="false">IF($A2904="","",IF(N(M2904)=0,"–",IF(M2904&lt;=Start!$D$20,"A",IF(M2904&lt;=Start!$D$21,"B","C"))))</f>
        <v/>
      </c>
      <c r="O2904" s="48" t="str">
        <f aca="false">IF($A2904="","",IF(NOT(ISNUMBER(F2904)),"Wert fehlt; ",IF(F2904&lt;=0,"Wert ist 0; ",""))&amp;IF(NOT(ISNUMBER(E2904)),"Bestand fehlt; ",IF(E2904&lt;0,"Bestand negativ; ",IF(E2904=0,"Nullbestand; ","")))&amp;IF(D2904="","Warengruppe fehlt; ","")&amp;IF(B2904="","Bezeichnung fehlt; ","")&amp;IF(COUNTIFS($A$2:$A$5001,$A2904,$C$2:$C$5001,C2904)&gt;1,"Artikel doppelt im selben Lager; ",""))</f>
        <v/>
      </c>
      <c r="P2904" s="47" t="n">
        <f aca="false">IF(OR($A2904="",D2904=""),0,IF(COUNTIF($D$2:D2904,D2904)=1,SUMIF($D$2:$D$5001,D2904,$H$2:$H$5001)+ROW()/10000000,0))</f>
        <v>0</v>
      </c>
      <c r="Q2904" s="47" t="n">
        <f aca="false">IF(OR($A2904="",C2904=""),0,IF(COUNTIF($C$2:C2904,C2904)=1,SUMIF($C$2:$C$5001,C2904,$H$2:$H$5001)+ROW()/10000000,0))</f>
        <v>0</v>
      </c>
    </row>
    <row r="2905" customFormat="false" ht="15" hidden="false" customHeight="false" outlineLevel="0" collapsed="false">
      <c r="A2905" s="43"/>
      <c r="B2905" s="44"/>
      <c r="C2905" s="44"/>
      <c r="D2905" s="44"/>
      <c r="E2905" s="44"/>
      <c r="F2905" s="44"/>
      <c r="G2905" s="44"/>
      <c r="H2905" s="46" t="str">
        <f aca="false">IF($A2905="","",IF(OR(NOT(ISNUMBER(E2905)),NOT(ISNUMBER(F2905))),"",MAX(0,E2905)*F2905))</f>
        <v/>
      </c>
      <c r="I2905" s="46" t="str">
        <f aca="false">IF($A2905="","",SUMIF($A$2:$A$5001,$A2905,$H$2:$H$5001))</f>
        <v/>
      </c>
      <c r="J2905" s="47" t="n">
        <f aca="false">IF($A2905="",0,IF(COUNTIF($A$2:A2905,$A2905)=1,1,0))</f>
        <v>0</v>
      </c>
      <c r="K2905" s="47" t="n">
        <f aca="false">IF(J2905=1,N(I2905)+ROW()/10000000,0)</f>
        <v>0</v>
      </c>
      <c r="L2905" s="47" t="str">
        <f aca="false">IF(AND(J2905=1,N(I2905)&gt;0),SUMIF($K$2:$K$5001,"&gt;="&amp;K2905,$I$2:$I$5001)/MAX(1,SUM($H$2:$H$5001)),"")</f>
        <v/>
      </c>
      <c r="M2905" s="47" t="str">
        <f aca="false">IF($A2905="","",INDEX($L$2:$L$5001,MATCH($A2905,$A$2:$A$5001,0)))</f>
        <v/>
      </c>
      <c r="N2905" s="48" t="str">
        <f aca="false">IF($A2905="","",IF(N(M2905)=0,"–",IF(M2905&lt;=Start!$D$20,"A",IF(M2905&lt;=Start!$D$21,"B","C"))))</f>
        <v/>
      </c>
      <c r="O2905" s="48" t="str">
        <f aca="false">IF($A2905="","",IF(NOT(ISNUMBER(F2905)),"Wert fehlt; ",IF(F2905&lt;=0,"Wert ist 0; ",""))&amp;IF(NOT(ISNUMBER(E2905)),"Bestand fehlt; ",IF(E2905&lt;0,"Bestand negativ; ",IF(E2905=0,"Nullbestand; ","")))&amp;IF(D2905="","Warengruppe fehlt; ","")&amp;IF(B2905="","Bezeichnung fehlt; ","")&amp;IF(COUNTIFS($A$2:$A$5001,$A2905,$C$2:$C$5001,C2905)&gt;1,"Artikel doppelt im selben Lager; ",""))</f>
        <v/>
      </c>
      <c r="P2905" s="47" t="n">
        <f aca="false">IF(OR($A2905="",D2905=""),0,IF(COUNTIF($D$2:D2905,D2905)=1,SUMIF($D$2:$D$5001,D2905,$H$2:$H$5001)+ROW()/10000000,0))</f>
        <v>0</v>
      </c>
      <c r="Q2905" s="47" t="n">
        <f aca="false">IF(OR($A2905="",C2905=""),0,IF(COUNTIF($C$2:C2905,C2905)=1,SUMIF($C$2:$C$5001,C2905,$H$2:$H$5001)+ROW()/10000000,0))</f>
        <v>0</v>
      </c>
    </row>
    <row r="2906" customFormat="false" ht="15" hidden="false" customHeight="false" outlineLevel="0" collapsed="false">
      <c r="A2906" s="43"/>
      <c r="B2906" s="44"/>
      <c r="C2906" s="44"/>
      <c r="D2906" s="44"/>
      <c r="E2906" s="44"/>
      <c r="F2906" s="44"/>
      <c r="G2906" s="44"/>
      <c r="H2906" s="46" t="str">
        <f aca="false">IF($A2906="","",IF(OR(NOT(ISNUMBER(E2906)),NOT(ISNUMBER(F2906))),"",MAX(0,E2906)*F2906))</f>
        <v/>
      </c>
      <c r="I2906" s="46" t="str">
        <f aca="false">IF($A2906="","",SUMIF($A$2:$A$5001,$A2906,$H$2:$H$5001))</f>
        <v/>
      </c>
      <c r="J2906" s="47" t="n">
        <f aca="false">IF($A2906="",0,IF(COUNTIF($A$2:A2906,$A2906)=1,1,0))</f>
        <v>0</v>
      </c>
      <c r="K2906" s="47" t="n">
        <f aca="false">IF(J2906=1,N(I2906)+ROW()/10000000,0)</f>
        <v>0</v>
      </c>
      <c r="L2906" s="47" t="str">
        <f aca="false">IF(AND(J2906=1,N(I2906)&gt;0),SUMIF($K$2:$K$5001,"&gt;="&amp;K2906,$I$2:$I$5001)/MAX(1,SUM($H$2:$H$5001)),"")</f>
        <v/>
      </c>
      <c r="M2906" s="47" t="str">
        <f aca="false">IF($A2906="","",INDEX($L$2:$L$5001,MATCH($A2906,$A$2:$A$5001,0)))</f>
        <v/>
      </c>
      <c r="N2906" s="48" t="str">
        <f aca="false">IF($A2906="","",IF(N(M2906)=0,"–",IF(M2906&lt;=Start!$D$20,"A",IF(M2906&lt;=Start!$D$21,"B","C"))))</f>
        <v/>
      </c>
      <c r="O2906" s="48" t="str">
        <f aca="false">IF($A2906="","",IF(NOT(ISNUMBER(F2906)),"Wert fehlt; ",IF(F2906&lt;=0,"Wert ist 0; ",""))&amp;IF(NOT(ISNUMBER(E2906)),"Bestand fehlt; ",IF(E2906&lt;0,"Bestand negativ; ",IF(E2906=0,"Nullbestand; ","")))&amp;IF(D2906="","Warengruppe fehlt; ","")&amp;IF(B2906="","Bezeichnung fehlt; ","")&amp;IF(COUNTIFS($A$2:$A$5001,$A2906,$C$2:$C$5001,C2906)&gt;1,"Artikel doppelt im selben Lager; ",""))</f>
        <v/>
      </c>
      <c r="P2906" s="47" t="n">
        <f aca="false">IF(OR($A2906="",D2906=""),0,IF(COUNTIF($D$2:D2906,D2906)=1,SUMIF($D$2:$D$5001,D2906,$H$2:$H$5001)+ROW()/10000000,0))</f>
        <v>0</v>
      </c>
      <c r="Q2906" s="47" t="n">
        <f aca="false">IF(OR($A2906="",C2906=""),0,IF(COUNTIF($C$2:C2906,C2906)=1,SUMIF($C$2:$C$5001,C2906,$H$2:$H$5001)+ROW()/10000000,0))</f>
        <v>0</v>
      </c>
    </row>
    <row r="2907" customFormat="false" ht="15" hidden="false" customHeight="false" outlineLevel="0" collapsed="false">
      <c r="A2907" s="43"/>
      <c r="B2907" s="44"/>
      <c r="C2907" s="44"/>
      <c r="D2907" s="44"/>
      <c r="E2907" s="44"/>
      <c r="F2907" s="44"/>
      <c r="G2907" s="44"/>
      <c r="H2907" s="46" t="str">
        <f aca="false">IF($A2907="","",IF(OR(NOT(ISNUMBER(E2907)),NOT(ISNUMBER(F2907))),"",MAX(0,E2907)*F2907))</f>
        <v/>
      </c>
      <c r="I2907" s="46" t="str">
        <f aca="false">IF($A2907="","",SUMIF($A$2:$A$5001,$A2907,$H$2:$H$5001))</f>
        <v/>
      </c>
      <c r="J2907" s="47" t="n">
        <f aca="false">IF($A2907="",0,IF(COUNTIF($A$2:A2907,$A2907)=1,1,0))</f>
        <v>0</v>
      </c>
      <c r="K2907" s="47" t="n">
        <f aca="false">IF(J2907=1,N(I2907)+ROW()/10000000,0)</f>
        <v>0</v>
      </c>
      <c r="L2907" s="47" t="str">
        <f aca="false">IF(AND(J2907=1,N(I2907)&gt;0),SUMIF($K$2:$K$5001,"&gt;="&amp;K2907,$I$2:$I$5001)/MAX(1,SUM($H$2:$H$5001)),"")</f>
        <v/>
      </c>
      <c r="M2907" s="47" t="str">
        <f aca="false">IF($A2907="","",INDEX($L$2:$L$5001,MATCH($A2907,$A$2:$A$5001,0)))</f>
        <v/>
      </c>
      <c r="N2907" s="48" t="str">
        <f aca="false">IF($A2907="","",IF(N(M2907)=0,"–",IF(M2907&lt;=Start!$D$20,"A",IF(M2907&lt;=Start!$D$21,"B","C"))))</f>
        <v/>
      </c>
      <c r="O2907" s="48" t="str">
        <f aca="false">IF($A2907="","",IF(NOT(ISNUMBER(F2907)),"Wert fehlt; ",IF(F2907&lt;=0,"Wert ist 0; ",""))&amp;IF(NOT(ISNUMBER(E2907)),"Bestand fehlt; ",IF(E2907&lt;0,"Bestand negativ; ",IF(E2907=0,"Nullbestand; ","")))&amp;IF(D2907="","Warengruppe fehlt; ","")&amp;IF(B2907="","Bezeichnung fehlt; ","")&amp;IF(COUNTIFS($A$2:$A$5001,$A2907,$C$2:$C$5001,C2907)&gt;1,"Artikel doppelt im selben Lager; ",""))</f>
        <v/>
      </c>
      <c r="P2907" s="47" t="n">
        <f aca="false">IF(OR($A2907="",D2907=""),0,IF(COUNTIF($D$2:D2907,D2907)=1,SUMIF($D$2:$D$5001,D2907,$H$2:$H$5001)+ROW()/10000000,0))</f>
        <v>0</v>
      </c>
      <c r="Q2907" s="47" t="n">
        <f aca="false">IF(OR($A2907="",C2907=""),0,IF(COUNTIF($C$2:C2907,C2907)=1,SUMIF($C$2:$C$5001,C2907,$H$2:$H$5001)+ROW()/10000000,0))</f>
        <v>0</v>
      </c>
    </row>
    <row r="2908" customFormat="false" ht="15" hidden="false" customHeight="false" outlineLevel="0" collapsed="false">
      <c r="A2908" s="43"/>
      <c r="B2908" s="44"/>
      <c r="C2908" s="44"/>
      <c r="D2908" s="44"/>
      <c r="E2908" s="44"/>
      <c r="F2908" s="44"/>
      <c r="G2908" s="44"/>
      <c r="H2908" s="46" t="str">
        <f aca="false">IF($A2908="","",IF(OR(NOT(ISNUMBER(E2908)),NOT(ISNUMBER(F2908))),"",MAX(0,E2908)*F2908))</f>
        <v/>
      </c>
      <c r="I2908" s="46" t="str">
        <f aca="false">IF($A2908="","",SUMIF($A$2:$A$5001,$A2908,$H$2:$H$5001))</f>
        <v/>
      </c>
      <c r="J2908" s="47" t="n">
        <f aca="false">IF($A2908="",0,IF(COUNTIF($A$2:A2908,$A2908)=1,1,0))</f>
        <v>0</v>
      </c>
      <c r="K2908" s="47" t="n">
        <f aca="false">IF(J2908=1,N(I2908)+ROW()/10000000,0)</f>
        <v>0</v>
      </c>
      <c r="L2908" s="47" t="str">
        <f aca="false">IF(AND(J2908=1,N(I2908)&gt;0),SUMIF($K$2:$K$5001,"&gt;="&amp;K2908,$I$2:$I$5001)/MAX(1,SUM($H$2:$H$5001)),"")</f>
        <v/>
      </c>
      <c r="M2908" s="47" t="str">
        <f aca="false">IF($A2908="","",INDEX($L$2:$L$5001,MATCH($A2908,$A$2:$A$5001,0)))</f>
        <v/>
      </c>
      <c r="N2908" s="48" t="str">
        <f aca="false">IF($A2908="","",IF(N(M2908)=0,"–",IF(M2908&lt;=Start!$D$20,"A",IF(M2908&lt;=Start!$D$21,"B","C"))))</f>
        <v/>
      </c>
      <c r="O2908" s="48" t="str">
        <f aca="false">IF($A2908="","",IF(NOT(ISNUMBER(F2908)),"Wert fehlt; ",IF(F2908&lt;=0,"Wert ist 0; ",""))&amp;IF(NOT(ISNUMBER(E2908)),"Bestand fehlt; ",IF(E2908&lt;0,"Bestand negativ; ",IF(E2908=0,"Nullbestand; ","")))&amp;IF(D2908="","Warengruppe fehlt; ","")&amp;IF(B2908="","Bezeichnung fehlt; ","")&amp;IF(COUNTIFS($A$2:$A$5001,$A2908,$C$2:$C$5001,C2908)&gt;1,"Artikel doppelt im selben Lager; ",""))</f>
        <v/>
      </c>
      <c r="P2908" s="47" t="n">
        <f aca="false">IF(OR($A2908="",D2908=""),0,IF(COUNTIF($D$2:D2908,D2908)=1,SUMIF($D$2:$D$5001,D2908,$H$2:$H$5001)+ROW()/10000000,0))</f>
        <v>0</v>
      </c>
      <c r="Q2908" s="47" t="n">
        <f aca="false">IF(OR($A2908="",C2908=""),0,IF(COUNTIF($C$2:C2908,C2908)=1,SUMIF($C$2:$C$5001,C2908,$H$2:$H$5001)+ROW()/10000000,0))</f>
        <v>0</v>
      </c>
    </row>
    <row r="2909" customFormat="false" ht="15" hidden="false" customHeight="false" outlineLevel="0" collapsed="false">
      <c r="A2909" s="43"/>
      <c r="B2909" s="44"/>
      <c r="C2909" s="44"/>
      <c r="D2909" s="44"/>
      <c r="E2909" s="44"/>
      <c r="F2909" s="44"/>
      <c r="G2909" s="44"/>
      <c r="H2909" s="46" t="str">
        <f aca="false">IF($A2909="","",IF(OR(NOT(ISNUMBER(E2909)),NOT(ISNUMBER(F2909))),"",MAX(0,E2909)*F2909))</f>
        <v/>
      </c>
      <c r="I2909" s="46" t="str">
        <f aca="false">IF($A2909="","",SUMIF($A$2:$A$5001,$A2909,$H$2:$H$5001))</f>
        <v/>
      </c>
      <c r="J2909" s="47" t="n">
        <f aca="false">IF($A2909="",0,IF(COUNTIF($A$2:A2909,$A2909)=1,1,0))</f>
        <v>0</v>
      </c>
      <c r="K2909" s="47" t="n">
        <f aca="false">IF(J2909=1,N(I2909)+ROW()/10000000,0)</f>
        <v>0</v>
      </c>
      <c r="L2909" s="47" t="str">
        <f aca="false">IF(AND(J2909=1,N(I2909)&gt;0),SUMIF($K$2:$K$5001,"&gt;="&amp;K2909,$I$2:$I$5001)/MAX(1,SUM($H$2:$H$5001)),"")</f>
        <v/>
      </c>
      <c r="M2909" s="47" t="str">
        <f aca="false">IF($A2909="","",INDEX($L$2:$L$5001,MATCH($A2909,$A$2:$A$5001,0)))</f>
        <v/>
      </c>
      <c r="N2909" s="48" t="str">
        <f aca="false">IF($A2909="","",IF(N(M2909)=0,"–",IF(M2909&lt;=Start!$D$20,"A",IF(M2909&lt;=Start!$D$21,"B","C"))))</f>
        <v/>
      </c>
      <c r="O2909" s="48" t="str">
        <f aca="false">IF($A2909="","",IF(NOT(ISNUMBER(F2909)),"Wert fehlt; ",IF(F2909&lt;=0,"Wert ist 0; ",""))&amp;IF(NOT(ISNUMBER(E2909)),"Bestand fehlt; ",IF(E2909&lt;0,"Bestand negativ; ",IF(E2909=0,"Nullbestand; ","")))&amp;IF(D2909="","Warengruppe fehlt; ","")&amp;IF(B2909="","Bezeichnung fehlt; ","")&amp;IF(COUNTIFS($A$2:$A$5001,$A2909,$C$2:$C$5001,C2909)&gt;1,"Artikel doppelt im selben Lager; ",""))</f>
        <v/>
      </c>
      <c r="P2909" s="47" t="n">
        <f aca="false">IF(OR($A2909="",D2909=""),0,IF(COUNTIF($D$2:D2909,D2909)=1,SUMIF($D$2:$D$5001,D2909,$H$2:$H$5001)+ROW()/10000000,0))</f>
        <v>0</v>
      </c>
      <c r="Q2909" s="47" t="n">
        <f aca="false">IF(OR($A2909="",C2909=""),0,IF(COUNTIF($C$2:C2909,C2909)=1,SUMIF($C$2:$C$5001,C2909,$H$2:$H$5001)+ROW()/10000000,0))</f>
        <v>0</v>
      </c>
    </row>
    <row r="2910" customFormat="false" ht="15" hidden="false" customHeight="false" outlineLevel="0" collapsed="false">
      <c r="A2910" s="43"/>
      <c r="B2910" s="44"/>
      <c r="C2910" s="44"/>
      <c r="D2910" s="44"/>
      <c r="E2910" s="44"/>
      <c r="F2910" s="44"/>
      <c r="G2910" s="44"/>
      <c r="H2910" s="46" t="str">
        <f aca="false">IF($A2910="","",IF(OR(NOT(ISNUMBER(E2910)),NOT(ISNUMBER(F2910))),"",MAX(0,E2910)*F2910))</f>
        <v/>
      </c>
      <c r="I2910" s="46" t="str">
        <f aca="false">IF($A2910="","",SUMIF($A$2:$A$5001,$A2910,$H$2:$H$5001))</f>
        <v/>
      </c>
      <c r="J2910" s="47" t="n">
        <f aca="false">IF($A2910="",0,IF(COUNTIF($A$2:A2910,$A2910)=1,1,0))</f>
        <v>0</v>
      </c>
      <c r="K2910" s="47" t="n">
        <f aca="false">IF(J2910=1,N(I2910)+ROW()/10000000,0)</f>
        <v>0</v>
      </c>
      <c r="L2910" s="47" t="str">
        <f aca="false">IF(AND(J2910=1,N(I2910)&gt;0),SUMIF($K$2:$K$5001,"&gt;="&amp;K2910,$I$2:$I$5001)/MAX(1,SUM($H$2:$H$5001)),"")</f>
        <v/>
      </c>
      <c r="M2910" s="47" t="str">
        <f aca="false">IF($A2910="","",INDEX($L$2:$L$5001,MATCH($A2910,$A$2:$A$5001,0)))</f>
        <v/>
      </c>
      <c r="N2910" s="48" t="str">
        <f aca="false">IF($A2910="","",IF(N(M2910)=0,"–",IF(M2910&lt;=Start!$D$20,"A",IF(M2910&lt;=Start!$D$21,"B","C"))))</f>
        <v/>
      </c>
      <c r="O2910" s="48" t="str">
        <f aca="false">IF($A2910="","",IF(NOT(ISNUMBER(F2910)),"Wert fehlt; ",IF(F2910&lt;=0,"Wert ist 0; ",""))&amp;IF(NOT(ISNUMBER(E2910)),"Bestand fehlt; ",IF(E2910&lt;0,"Bestand negativ; ",IF(E2910=0,"Nullbestand; ","")))&amp;IF(D2910="","Warengruppe fehlt; ","")&amp;IF(B2910="","Bezeichnung fehlt; ","")&amp;IF(COUNTIFS($A$2:$A$5001,$A2910,$C$2:$C$5001,C2910)&gt;1,"Artikel doppelt im selben Lager; ",""))</f>
        <v/>
      </c>
      <c r="P2910" s="47" t="n">
        <f aca="false">IF(OR($A2910="",D2910=""),0,IF(COUNTIF($D$2:D2910,D2910)=1,SUMIF($D$2:$D$5001,D2910,$H$2:$H$5001)+ROW()/10000000,0))</f>
        <v>0</v>
      </c>
      <c r="Q2910" s="47" t="n">
        <f aca="false">IF(OR($A2910="",C2910=""),0,IF(COUNTIF($C$2:C2910,C2910)=1,SUMIF($C$2:$C$5001,C2910,$H$2:$H$5001)+ROW()/10000000,0))</f>
        <v>0</v>
      </c>
    </row>
    <row r="2911" customFormat="false" ht="15" hidden="false" customHeight="false" outlineLevel="0" collapsed="false">
      <c r="A2911" s="43"/>
      <c r="B2911" s="44"/>
      <c r="C2911" s="44"/>
      <c r="D2911" s="44"/>
      <c r="E2911" s="44"/>
      <c r="F2911" s="44"/>
      <c r="G2911" s="44"/>
      <c r="H2911" s="46" t="str">
        <f aca="false">IF($A2911="","",IF(OR(NOT(ISNUMBER(E2911)),NOT(ISNUMBER(F2911))),"",MAX(0,E2911)*F2911))</f>
        <v/>
      </c>
      <c r="I2911" s="46" t="str">
        <f aca="false">IF($A2911="","",SUMIF($A$2:$A$5001,$A2911,$H$2:$H$5001))</f>
        <v/>
      </c>
      <c r="J2911" s="47" t="n">
        <f aca="false">IF($A2911="",0,IF(COUNTIF($A$2:A2911,$A2911)=1,1,0))</f>
        <v>0</v>
      </c>
      <c r="K2911" s="47" t="n">
        <f aca="false">IF(J2911=1,N(I2911)+ROW()/10000000,0)</f>
        <v>0</v>
      </c>
      <c r="L2911" s="47" t="str">
        <f aca="false">IF(AND(J2911=1,N(I2911)&gt;0),SUMIF($K$2:$K$5001,"&gt;="&amp;K2911,$I$2:$I$5001)/MAX(1,SUM($H$2:$H$5001)),"")</f>
        <v/>
      </c>
      <c r="M2911" s="47" t="str">
        <f aca="false">IF($A2911="","",INDEX($L$2:$L$5001,MATCH($A2911,$A$2:$A$5001,0)))</f>
        <v/>
      </c>
      <c r="N2911" s="48" t="str">
        <f aca="false">IF($A2911="","",IF(N(M2911)=0,"–",IF(M2911&lt;=Start!$D$20,"A",IF(M2911&lt;=Start!$D$21,"B","C"))))</f>
        <v/>
      </c>
      <c r="O2911" s="48" t="str">
        <f aca="false">IF($A2911="","",IF(NOT(ISNUMBER(F2911)),"Wert fehlt; ",IF(F2911&lt;=0,"Wert ist 0; ",""))&amp;IF(NOT(ISNUMBER(E2911)),"Bestand fehlt; ",IF(E2911&lt;0,"Bestand negativ; ",IF(E2911=0,"Nullbestand; ","")))&amp;IF(D2911="","Warengruppe fehlt; ","")&amp;IF(B2911="","Bezeichnung fehlt; ","")&amp;IF(COUNTIFS($A$2:$A$5001,$A2911,$C$2:$C$5001,C2911)&gt;1,"Artikel doppelt im selben Lager; ",""))</f>
        <v/>
      </c>
      <c r="P2911" s="47" t="n">
        <f aca="false">IF(OR($A2911="",D2911=""),0,IF(COUNTIF($D$2:D2911,D2911)=1,SUMIF($D$2:$D$5001,D2911,$H$2:$H$5001)+ROW()/10000000,0))</f>
        <v>0</v>
      </c>
      <c r="Q2911" s="47" t="n">
        <f aca="false">IF(OR($A2911="",C2911=""),0,IF(COUNTIF($C$2:C2911,C2911)=1,SUMIF($C$2:$C$5001,C2911,$H$2:$H$5001)+ROW()/10000000,0))</f>
        <v>0</v>
      </c>
    </row>
    <row r="2912" customFormat="false" ht="15" hidden="false" customHeight="false" outlineLevel="0" collapsed="false">
      <c r="A2912" s="43"/>
      <c r="B2912" s="44"/>
      <c r="C2912" s="44"/>
      <c r="D2912" s="44"/>
      <c r="E2912" s="44"/>
      <c r="F2912" s="44"/>
      <c r="G2912" s="44"/>
      <c r="H2912" s="46" t="str">
        <f aca="false">IF($A2912="","",IF(OR(NOT(ISNUMBER(E2912)),NOT(ISNUMBER(F2912))),"",MAX(0,E2912)*F2912))</f>
        <v/>
      </c>
      <c r="I2912" s="46" t="str">
        <f aca="false">IF($A2912="","",SUMIF($A$2:$A$5001,$A2912,$H$2:$H$5001))</f>
        <v/>
      </c>
      <c r="J2912" s="47" t="n">
        <f aca="false">IF($A2912="",0,IF(COUNTIF($A$2:A2912,$A2912)=1,1,0))</f>
        <v>0</v>
      </c>
      <c r="K2912" s="47" t="n">
        <f aca="false">IF(J2912=1,N(I2912)+ROW()/10000000,0)</f>
        <v>0</v>
      </c>
      <c r="L2912" s="47" t="str">
        <f aca="false">IF(AND(J2912=1,N(I2912)&gt;0),SUMIF($K$2:$K$5001,"&gt;="&amp;K2912,$I$2:$I$5001)/MAX(1,SUM($H$2:$H$5001)),"")</f>
        <v/>
      </c>
      <c r="M2912" s="47" t="str">
        <f aca="false">IF($A2912="","",INDEX($L$2:$L$5001,MATCH($A2912,$A$2:$A$5001,0)))</f>
        <v/>
      </c>
      <c r="N2912" s="48" t="str">
        <f aca="false">IF($A2912="","",IF(N(M2912)=0,"–",IF(M2912&lt;=Start!$D$20,"A",IF(M2912&lt;=Start!$D$21,"B","C"))))</f>
        <v/>
      </c>
      <c r="O2912" s="48" t="str">
        <f aca="false">IF($A2912="","",IF(NOT(ISNUMBER(F2912)),"Wert fehlt; ",IF(F2912&lt;=0,"Wert ist 0; ",""))&amp;IF(NOT(ISNUMBER(E2912)),"Bestand fehlt; ",IF(E2912&lt;0,"Bestand negativ; ",IF(E2912=0,"Nullbestand; ","")))&amp;IF(D2912="","Warengruppe fehlt; ","")&amp;IF(B2912="","Bezeichnung fehlt; ","")&amp;IF(COUNTIFS($A$2:$A$5001,$A2912,$C$2:$C$5001,C2912)&gt;1,"Artikel doppelt im selben Lager; ",""))</f>
        <v/>
      </c>
      <c r="P2912" s="47" t="n">
        <f aca="false">IF(OR($A2912="",D2912=""),0,IF(COUNTIF($D$2:D2912,D2912)=1,SUMIF($D$2:$D$5001,D2912,$H$2:$H$5001)+ROW()/10000000,0))</f>
        <v>0</v>
      </c>
      <c r="Q2912" s="47" t="n">
        <f aca="false">IF(OR($A2912="",C2912=""),0,IF(COUNTIF($C$2:C2912,C2912)=1,SUMIF($C$2:$C$5001,C2912,$H$2:$H$5001)+ROW()/10000000,0))</f>
        <v>0</v>
      </c>
    </row>
    <row r="2913" customFormat="false" ht="15" hidden="false" customHeight="false" outlineLevel="0" collapsed="false">
      <c r="A2913" s="43"/>
      <c r="B2913" s="44"/>
      <c r="C2913" s="44"/>
      <c r="D2913" s="44"/>
      <c r="E2913" s="44"/>
      <c r="F2913" s="44"/>
      <c r="G2913" s="44"/>
      <c r="H2913" s="46" t="str">
        <f aca="false">IF($A2913="","",IF(OR(NOT(ISNUMBER(E2913)),NOT(ISNUMBER(F2913))),"",MAX(0,E2913)*F2913))</f>
        <v/>
      </c>
      <c r="I2913" s="46" t="str">
        <f aca="false">IF($A2913="","",SUMIF($A$2:$A$5001,$A2913,$H$2:$H$5001))</f>
        <v/>
      </c>
      <c r="J2913" s="47" t="n">
        <f aca="false">IF($A2913="",0,IF(COUNTIF($A$2:A2913,$A2913)=1,1,0))</f>
        <v>0</v>
      </c>
      <c r="K2913" s="47" t="n">
        <f aca="false">IF(J2913=1,N(I2913)+ROW()/10000000,0)</f>
        <v>0</v>
      </c>
      <c r="L2913" s="47" t="str">
        <f aca="false">IF(AND(J2913=1,N(I2913)&gt;0),SUMIF($K$2:$K$5001,"&gt;="&amp;K2913,$I$2:$I$5001)/MAX(1,SUM($H$2:$H$5001)),"")</f>
        <v/>
      </c>
      <c r="M2913" s="47" t="str">
        <f aca="false">IF($A2913="","",INDEX($L$2:$L$5001,MATCH($A2913,$A$2:$A$5001,0)))</f>
        <v/>
      </c>
      <c r="N2913" s="48" t="str">
        <f aca="false">IF($A2913="","",IF(N(M2913)=0,"–",IF(M2913&lt;=Start!$D$20,"A",IF(M2913&lt;=Start!$D$21,"B","C"))))</f>
        <v/>
      </c>
      <c r="O2913" s="48" t="str">
        <f aca="false">IF($A2913="","",IF(NOT(ISNUMBER(F2913)),"Wert fehlt; ",IF(F2913&lt;=0,"Wert ist 0; ",""))&amp;IF(NOT(ISNUMBER(E2913)),"Bestand fehlt; ",IF(E2913&lt;0,"Bestand negativ; ",IF(E2913=0,"Nullbestand; ","")))&amp;IF(D2913="","Warengruppe fehlt; ","")&amp;IF(B2913="","Bezeichnung fehlt; ","")&amp;IF(COUNTIFS($A$2:$A$5001,$A2913,$C$2:$C$5001,C2913)&gt;1,"Artikel doppelt im selben Lager; ",""))</f>
        <v/>
      </c>
      <c r="P2913" s="47" t="n">
        <f aca="false">IF(OR($A2913="",D2913=""),0,IF(COUNTIF($D$2:D2913,D2913)=1,SUMIF($D$2:$D$5001,D2913,$H$2:$H$5001)+ROW()/10000000,0))</f>
        <v>0</v>
      </c>
      <c r="Q2913" s="47" t="n">
        <f aca="false">IF(OR($A2913="",C2913=""),0,IF(COUNTIF($C$2:C2913,C2913)=1,SUMIF($C$2:$C$5001,C2913,$H$2:$H$5001)+ROW()/10000000,0))</f>
        <v>0</v>
      </c>
    </row>
    <row r="2914" customFormat="false" ht="15" hidden="false" customHeight="false" outlineLevel="0" collapsed="false">
      <c r="A2914" s="43"/>
      <c r="B2914" s="44"/>
      <c r="C2914" s="44"/>
      <c r="D2914" s="44"/>
      <c r="E2914" s="44"/>
      <c r="F2914" s="44"/>
      <c r="G2914" s="44"/>
      <c r="H2914" s="46" t="str">
        <f aca="false">IF($A2914="","",IF(OR(NOT(ISNUMBER(E2914)),NOT(ISNUMBER(F2914))),"",MAX(0,E2914)*F2914))</f>
        <v/>
      </c>
      <c r="I2914" s="46" t="str">
        <f aca="false">IF($A2914="","",SUMIF($A$2:$A$5001,$A2914,$H$2:$H$5001))</f>
        <v/>
      </c>
      <c r="J2914" s="47" t="n">
        <f aca="false">IF($A2914="",0,IF(COUNTIF($A$2:A2914,$A2914)=1,1,0))</f>
        <v>0</v>
      </c>
      <c r="K2914" s="47" t="n">
        <f aca="false">IF(J2914=1,N(I2914)+ROW()/10000000,0)</f>
        <v>0</v>
      </c>
      <c r="L2914" s="47" t="str">
        <f aca="false">IF(AND(J2914=1,N(I2914)&gt;0),SUMIF($K$2:$K$5001,"&gt;="&amp;K2914,$I$2:$I$5001)/MAX(1,SUM($H$2:$H$5001)),"")</f>
        <v/>
      </c>
      <c r="M2914" s="47" t="str">
        <f aca="false">IF($A2914="","",INDEX($L$2:$L$5001,MATCH($A2914,$A$2:$A$5001,0)))</f>
        <v/>
      </c>
      <c r="N2914" s="48" t="str">
        <f aca="false">IF($A2914="","",IF(N(M2914)=0,"–",IF(M2914&lt;=Start!$D$20,"A",IF(M2914&lt;=Start!$D$21,"B","C"))))</f>
        <v/>
      </c>
      <c r="O2914" s="48" t="str">
        <f aca="false">IF($A2914="","",IF(NOT(ISNUMBER(F2914)),"Wert fehlt; ",IF(F2914&lt;=0,"Wert ist 0; ",""))&amp;IF(NOT(ISNUMBER(E2914)),"Bestand fehlt; ",IF(E2914&lt;0,"Bestand negativ; ",IF(E2914=0,"Nullbestand; ","")))&amp;IF(D2914="","Warengruppe fehlt; ","")&amp;IF(B2914="","Bezeichnung fehlt; ","")&amp;IF(COUNTIFS($A$2:$A$5001,$A2914,$C$2:$C$5001,C2914)&gt;1,"Artikel doppelt im selben Lager; ",""))</f>
        <v/>
      </c>
      <c r="P2914" s="47" t="n">
        <f aca="false">IF(OR($A2914="",D2914=""),0,IF(COUNTIF($D$2:D2914,D2914)=1,SUMIF($D$2:$D$5001,D2914,$H$2:$H$5001)+ROW()/10000000,0))</f>
        <v>0</v>
      </c>
      <c r="Q2914" s="47" t="n">
        <f aca="false">IF(OR($A2914="",C2914=""),0,IF(COUNTIF($C$2:C2914,C2914)=1,SUMIF($C$2:$C$5001,C2914,$H$2:$H$5001)+ROW()/10000000,0))</f>
        <v>0</v>
      </c>
    </row>
    <row r="2915" customFormat="false" ht="15" hidden="false" customHeight="false" outlineLevel="0" collapsed="false">
      <c r="A2915" s="43"/>
      <c r="B2915" s="44"/>
      <c r="C2915" s="44"/>
      <c r="D2915" s="44"/>
      <c r="E2915" s="44"/>
      <c r="F2915" s="44"/>
      <c r="G2915" s="44"/>
      <c r="H2915" s="46" t="str">
        <f aca="false">IF($A2915="","",IF(OR(NOT(ISNUMBER(E2915)),NOT(ISNUMBER(F2915))),"",MAX(0,E2915)*F2915))</f>
        <v/>
      </c>
      <c r="I2915" s="46" t="str">
        <f aca="false">IF($A2915="","",SUMIF($A$2:$A$5001,$A2915,$H$2:$H$5001))</f>
        <v/>
      </c>
      <c r="J2915" s="47" t="n">
        <f aca="false">IF($A2915="",0,IF(COUNTIF($A$2:A2915,$A2915)=1,1,0))</f>
        <v>0</v>
      </c>
      <c r="K2915" s="47" t="n">
        <f aca="false">IF(J2915=1,N(I2915)+ROW()/10000000,0)</f>
        <v>0</v>
      </c>
      <c r="L2915" s="47" t="str">
        <f aca="false">IF(AND(J2915=1,N(I2915)&gt;0),SUMIF($K$2:$K$5001,"&gt;="&amp;K2915,$I$2:$I$5001)/MAX(1,SUM($H$2:$H$5001)),"")</f>
        <v/>
      </c>
      <c r="M2915" s="47" t="str">
        <f aca="false">IF($A2915="","",INDEX($L$2:$L$5001,MATCH($A2915,$A$2:$A$5001,0)))</f>
        <v/>
      </c>
      <c r="N2915" s="48" t="str">
        <f aca="false">IF($A2915="","",IF(N(M2915)=0,"–",IF(M2915&lt;=Start!$D$20,"A",IF(M2915&lt;=Start!$D$21,"B","C"))))</f>
        <v/>
      </c>
      <c r="O2915" s="48" t="str">
        <f aca="false">IF($A2915="","",IF(NOT(ISNUMBER(F2915)),"Wert fehlt; ",IF(F2915&lt;=0,"Wert ist 0; ",""))&amp;IF(NOT(ISNUMBER(E2915)),"Bestand fehlt; ",IF(E2915&lt;0,"Bestand negativ; ",IF(E2915=0,"Nullbestand; ","")))&amp;IF(D2915="","Warengruppe fehlt; ","")&amp;IF(B2915="","Bezeichnung fehlt; ","")&amp;IF(COUNTIFS($A$2:$A$5001,$A2915,$C$2:$C$5001,C2915)&gt;1,"Artikel doppelt im selben Lager; ",""))</f>
        <v/>
      </c>
      <c r="P2915" s="47" t="n">
        <f aca="false">IF(OR($A2915="",D2915=""),0,IF(COUNTIF($D$2:D2915,D2915)=1,SUMIF($D$2:$D$5001,D2915,$H$2:$H$5001)+ROW()/10000000,0))</f>
        <v>0</v>
      </c>
      <c r="Q2915" s="47" t="n">
        <f aca="false">IF(OR($A2915="",C2915=""),0,IF(COUNTIF($C$2:C2915,C2915)=1,SUMIF($C$2:$C$5001,C2915,$H$2:$H$5001)+ROW()/10000000,0))</f>
        <v>0</v>
      </c>
    </row>
    <row r="2916" customFormat="false" ht="15" hidden="false" customHeight="false" outlineLevel="0" collapsed="false">
      <c r="A2916" s="43"/>
      <c r="B2916" s="44"/>
      <c r="C2916" s="44"/>
      <c r="D2916" s="44"/>
      <c r="E2916" s="44"/>
      <c r="F2916" s="44"/>
      <c r="G2916" s="44"/>
      <c r="H2916" s="46" t="str">
        <f aca="false">IF($A2916="","",IF(OR(NOT(ISNUMBER(E2916)),NOT(ISNUMBER(F2916))),"",MAX(0,E2916)*F2916))</f>
        <v/>
      </c>
      <c r="I2916" s="46" t="str">
        <f aca="false">IF($A2916="","",SUMIF($A$2:$A$5001,$A2916,$H$2:$H$5001))</f>
        <v/>
      </c>
      <c r="J2916" s="47" t="n">
        <f aca="false">IF($A2916="",0,IF(COUNTIF($A$2:A2916,$A2916)=1,1,0))</f>
        <v>0</v>
      </c>
      <c r="K2916" s="47" t="n">
        <f aca="false">IF(J2916=1,N(I2916)+ROW()/10000000,0)</f>
        <v>0</v>
      </c>
      <c r="L2916" s="47" t="str">
        <f aca="false">IF(AND(J2916=1,N(I2916)&gt;0),SUMIF($K$2:$K$5001,"&gt;="&amp;K2916,$I$2:$I$5001)/MAX(1,SUM($H$2:$H$5001)),"")</f>
        <v/>
      </c>
      <c r="M2916" s="47" t="str">
        <f aca="false">IF($A2916="","",INDEX($L$2:$L$5001,MATCH($A2916,$A$2:$A$5001,0)))</f>
        <v/>
      </c>
      <c r="N2916" s="48" t="str">
        <f aca="false">IF($A2916="","",IF(N(M2916)=0,"–",IF(M2916&lt;=Start!$D$20,"A",IF(M2916&lt;=Start!$D$21,"B","C"))))</f>
        <v/>
      </c>
      <c r="O2916" s="48" t="str">
        <f aca="false">IF($A2916="","",IF(NOT(ISNUMBER(F2916)),"Wert fehlt; ",IF(F2916&lt;=0,"Wert ist 0; ",""))&amp;IF(NOT(ISNUMBER(E2916)),"Bestand fehlt; ",IF(E2916&lt;0,"Bestand negativ; ",IF(E2916=0,"Nullbestand; ","")))&amp;IF(D2916="","Warengruppe fehlt; ","")&amp;IF(B2916="","Bezeichnung fehlt; ","")&amp;IF(COUNTIFS($A$2:$A$5001,$A2916,$C$2:$C$5001,C2916)&gt;1,"Artikel doppelt im selben Lager; ",""))</f>
        <v/>
      </c>
      <c r="P2916" s="47" t="n">
        <f aca="false">IF(OR($A2916="",D2916=""),0,IF(COUNTIF($D$2:D2916,D2916)=1,SUMIF($D$2:$D$5001,D2916,$H$2:$H$5001)+ROW()/10000000,0))</f>
        <v>0</v>
      </c>
      <c r="Q2916" s="47" t="n">
        <f aca="false">IF(OR($A2916="",C2916=""),0,IF(COUNTIF($C$2:C2916,C2916)=1,SUMIF($C$2:$C$5001,C2916,$H$2:$H$5001)+ROW()/10000000,0))</f>
        <v>0</v>
      </c>
    </row>
    <row r="2917" customFormat="false" ht="15" hidden="false" customHeight="false" outlineLevel="0" collapsed="false">
      <c r="A2917" s="43"/>
      <c r="B2917" s="44"/>
      <c r="C2917" s="44"/>
      <c r="D2917" s="44"/>
      <c r="E2917" s="44"/>
      <c r="F2917" s="44"/>
      <c r="G2917" s="44"/>
      <c r="H2917" s="46" t="str">
        <f aca="false">IF($A2917="","",IF(OR(NOT(ISNUMBER(E2917)),NOT(ISNUMBER(F2917))),"",MAX(0,E2917)*F2917))</f>
        <v/>
      </c>
      <c r="I2917" s="46" t="str">
        <f aca="false">IF($A2917="","",SUMIF($A$2:$A$5001,$A2917,$H$2:$H$5001))</f>
        <v/>
      </c>
      <c r="J2917" s="47" t="n">
        <f aca="false">IF($A2917="",0,IF(COUNTIF($A$2:A2917,$A2917)=1,1,0))</f>
        <v>0</v>
      </c>
      <c r="K2917" s="47" t="n">
        <f aca="false">IF(J2917=1,N(I2917)+ROW()/10000000,0)</f>
        <v>0</v>
      </c>
      <c r="L2917" s="47" t="str">
        <f aca="false">IF(AND(J2917=1,N(I2917)&gt;0),SUMIF($K$2:$K$5001,"&gt;="&amp;K2917,$I$2:$I$5001)/MAX(1,SUM($H$2:$H$5001)),"")</f>
        <v/>
      </c>
      <c r="M2917" s="47" t="str">
        <f aca="false">IF($A2917="","",INDEX($L$2:$L$5001,MATCH($A2917,$A$2:$A$5001,0)))</f>
        <v/>
      </c>
      <c r="N2917" s="48" t="str">
        <f aca="false">IF($A2917="","",IF(N(M2917)=0,"–",IF(M2917&lt;=Start!$D$20,"A",IF(M2917&lt;=Start!$D$21,"B","C"))))</f>
        <v/>
      </c>
      <c r="O2917" s="48" t="str">
        <f aca="false">IF($A2917="","",IF(NOT(ISNUMBER(F2917)),"Wert fehlt; ",IF(F2917&lt;=0,"Wert ist 0; ",""))&amp;IF(NOT(ISNUMBER(E2917)),"Bestand fehlt; ",IF(E2917&lt;0,"Bestand negativ; ",IF(E2917=0,"Nullbestand; ","")))&amp;IF(D2917="","Warengruppe fehlt; ","")&amp;IF(B2917="","Bezeichnung fehlt; ","")&amp;IF(COUNTIFS($A$2:$A$5001,$A2917,$C$2:$C$5001,C2917)&gt;1,"Artikel doppelt im selben Lager; ",""))</f>
        <v/>
      </c>
      <c r="P2917" s="47" t="n">
        <f aca="false">IF(OR($A2917="",D2917=""),0,IF(COUNTIF($D$2:D2917,D2917)=1,SUMIF($D$2:$D$5001,D2917,$H$2:$H$5001)+ROW()/10000000,0))</f>
        <v>0</v>
      </c>
      <c r="Q2917" s="47" t="n">
        <f aca="false">IF(OR($A2917="",C2917=""),0,IF(COUNTIF($C$2:C2917,C2917)=1,SUMIF($C$2:$C$5001,C2917,$H$2:$H$5001)+ROW()/10000000,0))</f>
        <v>0</v>
      </c>
    </row>
    <row r="2918" customFormat="false" ht="15" hidden="false" customHeight="false" outlineLevel="0" collapsed="false">
      <c r="A2918" s="43"/>
      <c r="B2918" s="44"/>
      <c r="C2918" s="44"/>
      <c r="D2918" s="44"/>
      <c r="E2918" s="44"/>
      <c r="F2918" s="44"/>
      <c r="G2918" s="44"/>
      <c r="H2918" s="46" t="str">
        <f aca="false">IF($A2918="","",IF(OR(NOT(ISNUMBER(E2918)),NOT(ISNUMBER(F2918))),"",MAX(0,E2918)*F2918))</f>
        <v/>
      </c>
      <c r="I2918" s="46" t="str">
        <f aca="false">IF($A2918="","",SUMIF($A$2:$A$5001,$A2918,$H$2:$H$5001))</f>
        <v/>
      </c>
      <c r="J2918" s="47" t="n">
        <f aca="false">IF($A2918="",0,IF(COUNTIF($A$2:A2918,$A2918)=1,1,0))</f>
        <v>0</v>
      </c>
      <c r="K2918" s="47" t="n">
        <f aca="false">IF(J2918=1,N(I2918)+ROW()/10000000,0)</f>
        <v>0</v>
      </c>
      <c r="L2918" s="47" t="str">
        <f aca="false">IF(AND(J2918=1,N(I2918)&gt;0),SUMIF($K$2:$K$5001,"&gt;="&amp;K2918,$I$2:$I$5001)/MAX(1,SUM($H$2:$H$5001)),"")</f>
        <v/>
      </c>
      <c r="M2918" s="47" t="str">
        <f aca="false">IF($A2918="","",INDEX($L$2:$L$5001,MATCH($A2918,$A$2:$A$5001,0)))</f>
        <v/>
      </c>
      <c r="N2918" s="48" t="str">
        <f aca="false">IF($A2918="","",IF(N(M2918)=0,"–",IF(M2918&lt;=Start!$D$20,"A",IF(M2918&lt;=Start!$D$21,"B","C"))))</f>
        <v/>
      </c>
      <c r="O2918" s="48" t="str">
        <f aca="false">IF($A2918="","",IF(NOT(ISNUMBER(F2918)),"Wert fehlt; ",IF(F2918&lt;=0,"Wert ist 0; ",""))&amp;IF(NOT(ISNUMBER(E2918)),"Bestand fehlt; ",IF(E2918&lt;0,"Bestand negativ; ",IF(E2918=0,"Nullbestand; ","")))&amp;IF(D2918="","Warengruppe fehlt; ","")&amp;IF(B2918="","Bezeichnung fehlt; ","")&amp;IF(COUNTIFS($A$2:$A$5001,$A2918,$C$2:$C$5001,C2918)&gt;1,"Artikel doppelt im selben Lager; ",""))</f>
        <v/>
      </c>
      <c r="P2918" s="47" t="n">
        <f aca="false">IF(OR($A2918="",D2918=""),0,IF(COUNTIF($D$2:D2918,D2918)=1,SUMIF($D$2:$D$5001,D2918,$H$2:$H$5001)+ROW()/10000000,0))</f>
        <v>0</v>
      </c>
      <c r="Q2918" s="47" t="n">
        <f aca="false">IF(OR($A2918="",C2918=""),0,IF(COUNTIF($C$2:C2918,C2918)=1,SUMIF($C$2:$C$5001,C2918,$H$2:$H$5001)+ROW()/10000000,0))</f>
        <v>0</v>
      </c>
    </row>
    <row r="2919" customFormat="false" ht="15" hidden="false" customHeight="false" outlineLevel="0" collapsed="false">
      <c r="A2919" s="43"/>
      <c r="B2919" s="44"/>
      <c r="C2919" s="44"/>
      <c r="D2919" s="44"/>
      <c r="E2919" s="44"/>
      <c r="F2919" s="44"/>
      <c r="G2919" s="44"/>
      <c r="H2919" s="46" t="str">
        <f aca="false">IF($A2919="","",IF(OR(NOT(ISNUMBER(E2919)),NOT(ISNUMBER(F2919))),"",MAX(0,E2919)*F2919))</f>
        <v/>
      </c>
      <c r="I2919" s="46" t="str">
        <f aca="false">IF($A2919="","",SUMIF($A$2:$A$5001,$A2919,$H$2:$H$5001))</f>
        <v/>
      </c>
      <c r="J2919" s="47" t="n">
        <f aca="false">IF($A2919="",0,IF(COUNTIF($A$2:A2919,$A2919)=1,1,0))</f>
        <v>0</v>
      </c>
      <c r="K2919" s="47" t="n">
        <f aca="false">IF(J2919=1,N(I2919)+ROW()/10000000,0)</f>
        <v>0</v>
      </c>
      <c r="L2919" s="47" t="str">
        <f aca="false">IF(AND(J2919=1,N(I2919)&gt;0),SUMIF($K$2:$K$5001,"&gt;="&amp;K2919,$I$2:$I$5001)/MAX(1,SUM($H$2:$H$5001)),"")</f>
        <v/>
      </c>
      <c r="M2919" s="47" t="str">
        <f aca="false">IF($A2919="","",INDEX($L$2:$L$5001,MATCH($A2919,$A$2:$A$5001,0)))</f>
        <v/>
      </c>
      <c r="N2919" s="48" t="str">
        <f aca="false">IF($A2919="","",IF(N(M2919)=0,"–",IF(M2919&lt;=Start!$D$20,"A",IF(M2919&lt;=Start!$D$21,"B","C"))))</f>
        <v/>
      </c>
      <c r="O2919" s="48" t="str">
        <f aca="false">IF($A2919="","",IF(NOT(ISNUMBER(F2919)),"Wert fehlt; ",IF(F2919&lt;=0,"Wert ist 0; ",""))&amp;IF(NOT(ISNUMBER(E2919)),"Bestand fehlt; ",IF(E2919&lt;0,"Bestand negativ; ",IF(E2919=0,"Nullbestand; ","")))&amp;IF(D2919="","Warengruppe fehlt; ","")&amp;IF(B2919="","Bezeichnung fehlt; ","")&amp;IF(COUNTIFS($A$2:$A$5001,$A2919,$C$2:$C$5001,C2919)&gt;1,"Artikel doppelt im selben Lager; ",""))</f>
        <v/>
      </c>
      <c r="P2919" s="47" t="n">
        <f aca="false">IF(OR($A2919="",D2919=""),0,IF(COUNTIF($D$2:D2919,D2919)=1,SUMIF($D$2:$D$5001,D2919,$H$2:$H$5001)+ROW()/10000000,0))</f>
        <v>0</v>
      </c>
      <c r="Q2919" s="47" t="n">
        <f aca="false">IF(OR($A2919="",C2919=""),0,IF(COUNTIF($C$2:C2919,C2919)=1,SUMIF($C$2:$C$5001,C2919,$H$2:$H$5001)+ROW()/10000000,0))</f>
        <v>0</v>
      </c>
    </row>
    <row r="2920" customFormat="false" ht="15" hidden="false" customHeight="false" outlineLevel="0" collapsed="false">
      <c r="A2920" s="43"/>
      <c r="B2920" s="44"/>
      <c r="C2920" s="44"/>
      <c r="D2920" s="44"/>
      <c r="E2920" s="44"/>
      <c r="F2920" s="44"/>
      <c r="G2920" s="44"/>
      <c r="H2920" s="46" t="str">
        <f aca="false">IF($A2920="","",IF(OR(NOT(ISNUMBER(E2920)),NOT(ISNUMBER(F2920))),"",MAX(0,E2920)*F2920))</f>
        <v/>
      </c>
      <c r="I2920" s="46" t="str">
        <f aca="false">IF($A2920="","",SUMIF($A$2:$A$5001,$A2920,$H$2:$H$5001))</f>
        <v/>
      </c>
      <c r="J2920" s="47" t="n">
        <f aca="false">IF($A2920="",0,IF(COUNTIF($A$2:A2920,$A2920)=1,1,0))</f>
        <v>0</v>
      </c>
      <c r="K2920" s="47" t="n">
        <f aca="false">IF(J2920=1,N(I2920)+ROW()/10000000,0)</f>
        <v>0</v>
      </c>
      <c r="L2920" s="47" t="str">
        <f aca="false">IF(AND(J2920=1,N(I2920)&gt;0),SUMIF($K$2:$K$5001,"&gt;="&amp;K2920,$I$2:$I$5001)/MAX(1,SUM($H$2:$H$5001)),"")</f>
        <v/>
      </c>
      <c r="M2920" s="47" t="str">
        <f aca="false">IF($A2920="","",INDEX($L$2:$L$5001,MATCH($A2920,$A$2:$A$5001,0)))</f>
        <v/>
      </c>
      <c r="N2920" s="48" t="str">
        <f aca="false">IF($A2920="","",IF(N(M2920)=0,"–",IF(M2920&lt;=Start!$D$20,"A",IF(M2920&lt;=Start!$D$21,"B","C"))))</f>
        <v/>
      </c>
      <c r="O2920" s="48" t="str">
        <f aca="false">IF($A2920="","",IF(NOT(ISNUMBER(F2920)),"Wert fehlt; ",IF(F2920&lt;=0,"Wert ist 0; ",""))&amp;IF(NOT(ISNUMBER(E2920)),"Bestand fehlt; ",IF(E2920&lt;0,"Bestand negativ; ",IF(E2920=0,"Nullbestand; ","")))&amp;IF(D2920="","Warengruppe fehlt; ","")&amp;IF(B2920="","Bezeichnung fehlt; ","")&amp;IF(COUNTIFS($A$2:$A$5001,$A2920,$C$2:$C$5001,C2920)&gt;1,"Artikel doppelt im selben Lager; ",""))</f>
        <v/>
      </c>
      <c r="P2920" s="47" t="n">
        <f aca="false">IF(OR($A2920="",D2920=""),0,IF(COUNTIF($D$2:D2920,D2920)=1,SUMIF($D$2:$D$5001,D2920,$H$2:$H$5001)+ROW()/10000000,0))</f>
        <v>0</v>
      </c>
      <c r="Q2920" s="47" t="n">
        <f aca="false">IF(OR($A2920="",C2920=""),0,IF(COUNTIF($C$2:C2920,C2920)=1,SUMIF($C$2:$C$5001,C2920,$H$2:$H$5001)+ROW()/10000000,0))</f>
        <v>0</v>
      </c>
    </row>
    <row r="2921" customFormat="false" ht="15" hidden="false" customHeight="false" outlineLevel="0" collapsed="false">
      <c r="A2921" s="43"/>
      <c r="B2921" s="44"/>
      <c r="C2921" s="44"/>
      <c r="D2921" s="44"/>
      <c r="E2921" s="44"/>
      <c r="F2921" s="44"/>
      <c r="G2921" s="44"/>
      <c r="H2921" s="46" t="str">
        <f aca="false">IF($A2921="","",IF(OR(NOT(ISNUMBER(E2921)),NOT(ISNUMBER(F2921))),"",MAX(0,E2921)*F2921))</f>
        <v/>
      </c>
      <c r="I2921" s="46" t="str">
        <f aca="false">IF($A2921="","",SUMIF($A$2:$A$5001,$A2921,$H$2:$H$5001))</f>
        <v/>
      </c>
      <c r="J2921" s="47" t="n">
        <f aca="false">IF($A2921="",0,IF(COUNTIF($A$2:A2921,$A2921)=1,1,0))</f>
        <v>0</v>
      </c>
      <c r="K2921" s="47" t="n">
        <f aca="false">IF(J2921=1,N(I2921)+ROW()/10000000,0)</f>
        <v>0</v>
      </c>
      <c r="L2921" s="47" t="str">
        <f aca="false">IF(AND(J2921=1,N(I2921)&gt;0),SUMIF($K$2:$K$5001,"&gt;="&amp;K2921,$I$2:$I$5001)/MAX(1,SUM($H$2:$H$5001)),"")</f>
        <v/>
      </c>
      <c r="M2921" s="47" t="str">
        <f aca="false">IF($A2921="","",INDEX($L$2:$L$5001,MATCH($A2921,$A$2:$A$5001,0)))</f>
        <v/>
      </c>
      <c r="N2921" s="48" t="str">
        <f aca="false">IF($A2921="","",IF(N(M2921)=0,"–",IF(M2921&lt;=Start!$D$20,"A",IF(M2921&lt;=Start!$D$21,"B","C"))))</f>
        <v/>
      </c>
      <c r="O2921" s="48" t="str">
        <f aca="false">IF($A2921="","",IF(NOT(ISNUMBER(F2921)),"Wert fehlt; ",IF(F2921&lt;=0,"Wert ist 0; ",""))&amp;IF(NOT(ISNUMBER(E2921)),"Bestand fehlt; ",IF(E2921&lt;0,"Bestand negativ; ",IF(E2921=0,"Nullbestand; ","")))&amp;IF(D2921="","Warengruppe fehlt; ","")&amp;IF(B2921="","Bezeichnung fehlt; ","")&amp;IF(COUNTIFS($A$2:$A$5001,$A2921,$C$2:$C$5001,C2921)&gt;1,"Artikel doppelt im selben Lager; ",""))</f>
        <v/>
      </c>
      <c r="P2921" s="47" t="n">
        <f aca="false">IF(OR($A2921="",D2921=""),0,IF(COUNTIF($D$2:D2921,D2921)=1,SUMIF($D$2:$D$5001,D2921,$H$2:$H$5001)+ROW()/10000000,0))</f>
        <v>0</v>
      </c>
      <c r="Q2921" s="47" t="n">
        <f aca="false">IF(OR($A2921="",C2921=""),0,IF(COUNTIF($C$2:C2921,C2921)=1,SUMIF($C$2:$C$5001,C2921,$H$2:$H$5001)+ROW()/10000000,0))</f>
        <v>0</v>
      </c>
    </row>
    <row r="2922" customFormat="false" ht="15" hidden="false" customHeight="false" outlineLevel="0" collapsed="false">
      <c r="A2922" s="43"/>
      <c r="B2922" s="44"/>
      <c r="C2922" s="44"/>
      <c r="D2922" s="44"/>
      <c r="E2922" s="44"/>
      <c r="F2922" s="44"/>
      <c r="G2922" s="44"/>
      <c r="H2922" s="46" t="str">
        <f aca="false">IF($A2922="","",IF(OR(NOT(ISNUMBER(E2922)),NOT(ISNUMBER(F2922))),"",MAX(0,E2922)*F2922))</f>
        <v/>
      </c>
      <c r="I2922" s="46" t="str">
        <f aca="false">IF($A2922="","",SUMIF($A$2:$A$5001,$A2922,$H$2:$H$5001))</f>
        <v/>
      </c>
      <c r="J2922" s="47" t="n">
        <f aca="false">IF($A2922="",0,IF(COUNTIF($A$2:A2922,$A2922)=1,1,0))</f>
        <v>0</v>
      </c>
      <c r="K2922" s="47" t="n">
        <f aca="false">IF(J2922=1,N(I2922)+ROW()/10000000,0)</f>
        <v>0</v>
      </c>
      <c r="L2922" s="47" t="str">
        <f aca="false">IF(AND(J2922=1,N(I2922)&gt;0),SUMIF($K$2:$K$5001,"&gt;="&amp;K2922,$I$2:$I$5001)/MAX(1,SUM($H$2:$H$5001)),"")</f>
        <v/>
      </c>
      <c r="M2922" s="47" t="str">
        <f aca="false">IF($A2922="","",INDEX($L$2:$L$5001,MATCH($A2922,$A$2:$A$5001,0)))</f>
        <v/>
      </c>
      <c r="N2922" s="48" t="str">
        <f aca="false">IF($A2922="","",IF(N(M2922)=0,"–",IF(M2922&lt;=Start!$D$20,"A",IF(M2922&lt;=Start!$D$21,"B","C"))))</f>
        <v/>
      </c>
      <c r="O2922" s="48" t="str">
        <f aca="false">IF($A2922="","",IF(NOT(ISNUMBER(F2922)),"Wert fehlt; ",IF(F2922&lt;=0,"Wert ist 0; ",""))&amp;IF(NOT(ISNUMBER(E2922)),"Bestand fehlt; ",IF(E2922&lt;0,"Bestand negativ; ",IF(E2922=0,"Nullbestand; ","")))&amp;IF(D2922="","Warengruppe fehlt; ","")&amp;IF(B2922="","Bezeichnung fehlt; ","")&amp;IF(COUNTIFS($A$2:$A$5001,$A2922,$C$2:$C$5001,C2922)&gt;1,"Artikel doppelt im selben Lager; ",""))</f>
        <v/>
      </c>
      <c r="P2922" s="47" t="n">
        <f aca="false">IF(OR($A2922="",D2922=""),0,IF(COUNTIF($D$2:D2922,D2922)=1,SUMIF($D$2:$D$5001,D2922,$H$2:$H$5001)+ROW()/10000000,0))</f>
        <v>0</v>
      </c>
      <c r="Q2922" s="47" t="n">
        <f aca="false">IF(OR($A2922="",C2922=""),0,IF(COUNTIF($C$2:C2922,C2922)=1,SUMIF($C$2:$C$5001,C2922,$H$2:$H$5001)+ROW()/10000000,0))</f>
        <v>0</v>
      </c>
    </row>
    <row r="2923" customFormat="false" ht="15" hidden="false" customHeight="false" outlineLevel="0" collapsed="false">
      <c r="A2923" s="43"/>
      <c r="B2923" s="44"/>
      <c r="C2923" s="44"/>
      <c r="D2923" s="44"/>
      <c r="E2923" s="44"/>
      <c r="F2923" s="44"/>
      <c r="G2923" s="44"/>
      <c r="H2923" s="46" t="str">
        <f aca="false">IF($A2923="","",IF(OR(NOT(ISNUMBER(E2923)),NOT(ISNUMBER(F2923))),"",MAX(0,E2923)*F2923))</f>
        <v/>
      </c>
      <c r="I2923" s="46" t="str">
        <f aca="false">IF($A2923="","",SUMIF($A$2:$A$5001,$A2923,$H$2:$H$5001))</f>
        <v/>
      </c>
      <c r="J2923" s="47" t="n">
        <f aca="false">IF($A2923="",0,IF(COUNTIF($A$2:A2923,$A2923)=1,1,0))</f>
        <v>0</v>
      </c>
      <c r="K2923" s="47" t="n">
        <f aca="false">IF(J2923=1,N(I2923)+ROW()/10000000,0)</f>
        <v>0</v>
      </c>
      <c r="L2923" s="47" t="str">
        <f aca="false">IF(AND(J2923=1,N(I2923)&gt;0),SUMIF($K$2:$K$5001,"&gt;="&amp;K2923,$I$2:$I$5001)/MAX(1,SUM($H$2:$H$5001)),"")</f>
        <v/>
      </c>
      <c r="M2923" s="47" t="str">
        <f aca="false">IF($A2923="","",INDEX($L$2:$L$5001,MATCH($A2923,$A$2:$A$5001,0)))</f>
        <v/>
      </c>
      <c r="N2923" s="48" t="str">
        <f aca="false">IF($A2923="","",IF(N(M2923)=0,"–",IF(M2923&lt;=Start!$D$20,"A",IF(M2923&lt;=Start!$D$21,"B","C"))))</f>
        <v/>
      </c>
      <c r="O2923" s="48" t="str">
        <f aca="false">IF($A2923="","",IF(NOT(ISNUMBER(F2923)),"Wert fehlt; ",IF(F2923&lt;=0,"Wert ist 0; ",""))&amp;IF(NOT(ISNUMBER(E2923)),"Bestand fehlt; ",IF(E2923&lt;0,"Bestand negativ; ",IF(E2923=0,"Nullbestand; ","")))&amp;IF(D2923="","Warengruppe fehlt; ","")&amp;IF(B2923="","Bezeichnung fehlt; ","")&amp;IF(COUNTIFS($A$2:$A$5001,$A2923,$C$2:$C$5001,C2923)&gt;1,"Artikel doppelt im selben Lager; ",""))</f>
        <v/>
      </c>
      <c r="P2923" s="47" t="n">
        <f aca="false">IF(OR($A2923="",D2923=""),0,IF(COUNTIF($D$2:D2923,D2923)=1,SUMIF($D$2:$D$5001,D2923,$H$2:$H$5001)+ROW()/10000000,0))</f>
        <v>0</v>
      </c>
      <c r="Q2923" s="47" t="n">
        <f aca="false">IF(OR($A2923="",C2923=""),0,IF(COUNTIF($C$2:C2923,C2923)=1,SUMIF($C$2:$C$5001,C2923,$H$2:$H$5001)+ROW()/10000000,0))</f>
        <v>0</v>
      </c>
    </row>
    <row r="2924" customFormat="false" ht="15" hidden="false" customHeight="false" outlineLevel="0" collapsed="false">
      <c r="A2924" s="43"/>
      <c r="B2924" s="44"/>
      <c r="C2924" s="44"/>
      <c r="D2924" s="44"/>
      <c r="E2924" s="44"/>
      <c r="F2924" s="44"/>
      <c r="G2924" s="44"/>
      <c r="H2924" s="46" t="str">
        <f aca="false">IF($A2924="","",IF(OR(NOT(ISNUMBER(E2924)),NOT(ISNUMBER(F2924))),"",MAX(0,E2924)*F2924))</f>
        <v/>
      </c>
      <c r="I2924" s="46" t="str">
        <f aca="false">IF($A2924="","",SUMIF($A$2:$A$5001,$A2924,$H$2:$H$5001))</f>
        <v/>
      </c>
      <c r="J2924" s="47" t="n">
        <f aca="false">IF($A2924="",0,IF(COUNTIF($A$2:A2924,$A2924)=1,1,0))</f>
        <v>0</v>
      </c>
      <c r="K2924" s="47" t="n">
        <f aca="false">IF(J2924=1,N(I2924)+ROW()/10000000,0)</f>
        <v>0</v>
      </c>
      <c r="L2924" s="47" t="str">
        <f aca="false">IF(AND(J2924=1,N(I2924)&gt;0),SUMIF($K$2:$K$5001,"&gt;="&amp;K2924,$I$2:$I$5001)/MAX(1,SUM($H$2:$H$5001)),"")</f>
        <v/>
      </c>
      <c r="M2924" s="47" t="str">
        <f aca="false">IF($A2924="","",INDEX($L$2:$L$5001,MATCH($A2924,$A$2:$A$5001,0)))</f>
        <v/>
      </c>
      <c r="N2924" s="48" t="str">
        <f aca="false">IF($A2924="","",IF(N(M2924)=0,"–",IF(M2924&lt;=Start!$D$20,"A",IF(M2924&lt;=Start!$D$21,"B","C"))))</f>
        <v/>
      </c>
      <c r="O2924" s="48" t="str">
        <f aca="false">IF($A2924="","",IF(NOT(ISNUMBER(F2924)),"Wert fehlt; ",IF(F2924&lt;=0,"Wert ist 0; ",""))&amp;IF(NOT(ISNUMBER(E2924)),"Bestand fehlt; ",IF(E2924&lt;0,"Bestand negativ; ",IF(E2924=0,"Nullbestand; ","")))&amp;IF(D2924="","Warengruppe fehlt; ","")&amp;IF(B2924="","Bezeichnung fehlt; ","")&amp;IF(COUNTIFS($A$2:$A$5001,$A2924,$C$2:$C$5001,C2924)&gt;1,"Artikel doppelt im selben Lager; ",""))</f>
        <v/>
      </c>
      <c r="P2924" s="47" t="n">
        <f aca="false">IF(OR($A2924="",D2924=""),0,IF(COUNTIF($D$2:D2924,D2924)=1,SUMIF($D$2:$D$5001,D2924,$H$2:$H$5001)+ROW()/10000000,0))</f>
        <v>0</v>
      </c>
      <c r="Q2924" s="47" t="n">
        <f aca="false">IF(OR($A2924="",C2924=""),0,IF(COUNTIF($C$2:C2924,C2924)=1,SUMIF($C$2:$C$5001,C2924,$H$2:$H$5001)+ROW()/10000000,0))</f>
        <v>0</v>
      </c>
    </row>
    <row r="2925" customFormat="false" ht="15" hidden="false" customHeight="false" outlineLevel="0" collapsed="false">
      <c r="A2925" s="43"/>
      <c r="B2925" s="44"/>
      <c r="C2925" s="44"/>
      <c r="D2925" s="44"/>
      <c r="E2925" s="44"/>
      <c r="F2925" s="44"/>
      <c r="G2925" s="44"/>
      <c r="H2925" s="46" t="str">
        <f aca="false">IF($A2925="","",IF(OR(NOT(ISNUMBER(E2925)),NOT(ISNUMBER(F2925))),"",MAX(0,E2925)*F2925))</f>
        <v/>
      </c>
      <c r="I2925" s="46" t="str">
        <f aca="false">IF($A2925="","",SUMIF($A$2:$A$5001,$A2925,$H$2:$H$5001))</f>
        <v/>
      </c>
      <c r="J2925" s="47" t="n">
        <f aca="false">IF($A2925="",0,IF(COUNTIF($A$2:A2925,$A2925)=1,1,0))</f>
        <v>0</v>
      </c>
      <c r="K2925" s="47" t="n">
        <f aca="false">IF(J2925=1,N(I2925)+ROW()/10000000,0)</f>
        <v>0</v>
      </c>
      <c r="L2925" s="47" t="str">
        <f aca="false">IF(AND(J2925=1,N(I2925)&gt;0),SUMIF($K$2:$K$5001,"&gt;="&amp;K2925,$I$2:$I$5001)/MAX(1,SUM($H$2:$H$5001)),"")</f>
        <v/>
      </c>
      <c r="M2925" s="47" t="str">
        <f aca="false">IF($A2925="","",INDEX($L$2:$L$5001,MATCH($A2925,$A$2:$A$5001,0)))</f>
        <v/>
      </c>
      <c r="N2925" s="48" t="str">
        <f aca="false">IF($A2925="","",IF(N(M2925)=0,"–",IF(M2925&lt;=Start!$D$20,"A",IF(M2925&lt;=Start!$D$21,"B","C"))))</f>
        <v/>
      </c>
      <c r="O2925" s="48" t="str">
        <f aca="false">IF($A2925="","",IF(NOT(ISNUMBER(F2925)),"Wert fehlt; ",IF(F2925&lt;=0,"Wert ist 0; ",""))&amp;IF(NOT(ISNUMBER(E2925)),"Bestand fehlt; ",IF(E2925&lt;0,"Bestand negativ; ",IF(E2925=0,"Nullbestand; ","")))&amp;IF(D2925="","Warengruppe fehlt; ","")&amp;IF(B2925="","Bezeichnung fehlt; ","")&amp;IF(COUNTIFS($A$2:$A$5001,$A2925,$C$2:$C$5001,C2925)&gt;1,"Artikel doppelt im selben Lager; ",""))</f>
        <v/>
      </c>
      <c r="P2925" s="47" t="n">
        <f aca="false">IF(OR($A2925="",D2925=""),0,IF(COUNTIF($D$2:D2925,D2925)=1,SUMIF($D$2:$D$5001,D2925,$H$2:$H$5001)+ROW()/10000000,0))</f>
        <v>0</v>
      </c>
      <c r="Q2925" s="47" t="n">
        <f aca="false">IF(OR($A2925="",C2925=""),0,IF(COUNTIF($C$2:C2925,C2925)=1,SUMIF($C$2:$C$5001,C2925,$H$2:$H$5001)+ROW()/10000000,0))</f>
        <v>0</v>
      </c>
    </row>
    <row r="2926" customFormat="false" ht="15" hidden="false" customHeight="false" outlineLevel="0" collapsed="false">
      <c r="A2926" s="43"/>
      <c r="B2926" s="44"/>
      <c r="C2926" s="44"/>
      <c r="D2926" s="44"/>
      <c r="E2926" s="44"/>
      <c r="F2926" s="44"/>
      <c r="G2926" s="44"/>
      <c r="H2926" s="46" t="str">
        <f aca="false">IF($A2926="","",IF(OR(NOT(ISNUMBER(E2926)),NOT(ISNUMBER(F2926))),"",MAX(0,E2926)*F2926))</f>
        <v/>
      </c>
      <c r="I2926" s="46" t="str">
        <f aca="false">IF($A2926="","",SUMIF($A$2:$A$5001,$A2926,$H$2:$H$5001))</f>
        <v/>
      </c>
      <c r="J2926" s="47" t="n">
        <f aca="false">IF($A2926="",0,IF(COUNTIF($A$2:A2926,$A2926)=1,1,0))</f>
        <v>0</v>
      </c>
      <c r="K2926" s="47" t="n">
        <f aca="false">IF(J2926=1,N(I2926)+ROW()/10000000,0)</f>
        <v>0</v>
      </c>
      <c r="L2926" s="47" t="str">
        <f aca="false">IF(AND(J2926=1,N(I2926)&gt;0),SUMIF($K$2:$K$5001,"&gt;="&amp;K2926,$I$2:$I$5001)/MAX(1,SUM($H$2:$H$5001)),"")</f>
        <v/>
      </c>
      <c r="M2926" s="47" t="str">
        <f aca="false">IF($A2926="","",INDEX($L$2:$L$5001,MATCH($A2926,$A$2:$A$5001,0)))</f>
        <v/>
      </c>
      <c r="N2926" s="48" t="str">
        <f aca="false">IF($A2926="","",IF(N(M2926)=0,"–",IF(M2926&lt;=Start!$D$20,"A",IF(M2926&lt;=Start!$D$21,"B","C"))))</f>
        <v/>
      </c>
      <c r="O2926" s="48" t="str">
        <f aca="false">IF($A2926="","",IF(NOT(ISNUMBER(F2926)),"Wert fehlt; ",IF(F2926&lt;=0,"Wert ist 0; ",""))&amp;IF(NOT(ISNUMBER(E2926)),"Bestand fehlt; ",IF(E2926&lt;0,"Bestand negativ; ",IF(E2926=0,"Nullbestand; ","")))&amp;IF(D2926="","Warengruppe fehlt; ","")&amp;IF(B2926="","Bezeichnung fehlt; ","")&amp;IF(COUNTIFS($A$2:$A$5001,$A2926,$C$2:$C$5001,C2926)&gt;1,"Artikel doppelt im selben Lager; ",""))</f>
        <v/>
      </c>
      <c r="P2926" s="47" t="n">
        <f aca="false">IF(OR($A2926="",D2926=""),0,IF(COUNTIF($D$2:D2926,D2926)=1,SUMIF($D$2:$D$5001,D2926,$H$2:$H$5001)+ROW()/10000000,0))</f>
        <v>0</v>
      </c>
      <c r="Q2926" s="47" t="n">
        <f aca="false">IF(OR($A2926="",C2926=""),0,IF(COUNTIF($C$2:C2926,C2926)=1,SUMIF($C$2:$C$5001,C2926,$H$2:$H$5001)+ROW()/10000000,0))</f>
        <v>0</v>
      </c>
    </row>
    <row r="2927" customFormat="false" ht="15" hidden="false" customHeight="false" outlineLevel="0" collapsed="false">
      <c r="A2927" s="43"/>
      <c r="B2927" s="44"/>
      <c r="C2927" s="44"/>
      <c r="D2927" s="44"/>
      <c r="E2927" s="44"/>
      <c r="F2927" s="44"/>
      <c r="G2927" s="44"/>
      <c r="H2927" s="46" t="str">
        <f aca="false">IF($A2927="","",IF(OR(NOT(ISNUMBER(E2927)),NOT(ISNUMBER(F2927))),"",MAX(0,E2927)*F2927))</f>
        <v/>
      </c>
      <c r="I2927" s="46" t="str">
        <f aca="false">IF($A2927="","",SUMIF($A$2:$A$5001,$A2927,$H$2:$H$5001))</f>
        <v/>
      </c>
      <c r="J2927" s="47" t="n">
        <f aca="false">IF($A2927="",0,IF(COUNTIF($A$2:A2927,$A2927)=1,1,0))</f>
        <v>0</v>
      </c>
      <c r="K2927" s="47" t="n">
        <f aca="false">IF(J2927=1,N(I2927)+ROW()/10000000,0)</f>
        <v>0</v>
      </c>
      <c r="L2927" s="47" t="str">
        <f aca="false">IF(AND(J2927=1,N(I2927)&gt;0),SUMIF($K$2:$K$5001,"&gt;="&amp;K2927,$I$2:$I$5001)/MAX(1,SUM($H$2:$H$5001)),"")</f>
        <v/>
      </c>
      <c r="M2927" s="47" t="str">
        <f aca="false">IF($A2927="","",INDEX($L$2:$L$5001,MATCH($A2927,$A$2:$A$5001,0)))</f>
        <v/>
      </c>
      <c r="N2927" s="48" t="str">
        <f aca="false">IF($A2927="","",IF(N(M2927)=0,"–",IF(M2927&lt;=Start!$D$20,"A",IF(M2927&lt;=Start!$D$21,"B","C"))))</f>
        <v/>
      </c>
      <c r="O2927" s="48" t="str">
        <f aca="false">IF($A2927="","",IF(NOT(ISNUMBER(F2927)),"Wert fehlt; ",IF(F2927&lt;=0,"Wert ist 0; ",""))&amp;IF(NOT(ISNUMBER(E2927)),"Bestand fehlt; ",IF(E2927&lt;0,"Bestand negativ; ",IF(E2927=0,"Nullbestand; ","")))&amp;IF(D2927="","Warengruppe fehlt; ","")&amp;IF(B2927="","Bezeichnung fehlt; ","")&amp;IF(COUNTIFS($A$2:$A$5001,$A2927,$C$2:$C$5001,C2927)&gt;1,"Artikel doppelt im selben Lager; ",""))</f>
        <v/>
      </c>
      <c r="P2927" s="47" t="n">
        <f aca="false">IF(OR($A2927="",D2927=""),0,IF(COUNTIF($D$2:D2927,D2927)=1,SUMIF($D$2:$D$5001,D2927,$H$2:$H$5001)+ROW()/10000000,0))</f>
        <v>0</v>
      </c>
      <c r="Q2927" s="47" t="n">
        <f aca="false">IF(OR($A2927="",C2927=""),0,IF(COUNTIF($C$2:C2927,C2927)=1,SUMIF($C$2:$C$5001,C2927,$H$2:$H$5001)+ROW()/10000000,0))</f>
        <v>0</v>
      </c>
    </row>
    <row r="2928" customFormat="false" ht="15" hidden="false" customHeight="false" outlineLevel="0" collapsed="false">
      <c r="A2928" s="43"/>
      <c r="B2928" s="44"/>
      <c r="C2928" s="44"/>
      <c r="D2928" s="44"/>
      <c r="E2928" s="44"/>
      <c r="F2928" s="44"/>
      <c r="G2928" s="44"/>
      <c r="H2928" s="46" t="str">
        <f aca="false">IF($A2928="","",IF(OR(NOT(ISNUMBER(E2928)),NOT(ISNUMBER(F2928))),"",MAX(0,E2928)*F2928))</f>
        <v/>
      </c>
      <c r="I2928" s="46" t="str">
        <f aca="false">IF($A2928="","",SUMIF($A$2:$A$5001,$A2928,$H$2:$H$5001))</f>
        <v/>
      </c>
      <c r="J2928" s="47" t="n">
        <f aca="false">IF($A2928="",0,IF(COUNTIF($A$2:A2928,$A2928)=1,1,0))</f>
        <v>0</v>
      </c>
      <c r="K2928" s="47" t="n">
        <f aca="false">IF(J2928=1,N(I2928)+ROW()/10000000,0)</f>
        <v>0</v>
      </c>
      <c r="L2928" s="47" t="str">
        <f aca="false">IF(AND(J2928=1,N(I2928)&gt;0),SUMIF($K$2:$K$5001,"&gt;="&amp;K2928,$I$2:$I$5001)/MAX(1,SUM($H$2:$H$5001)),"")</f>
        <v/>
      </c>
      <c r="M2928" s="47" t="str">
        <f aca="false">IF($A2928="","",INDEX($L$2:$L$5001,MATCH($A2928,$A$2:$A$5001,0)))</f>
        <v/>
      </c>
      <c r="N2928" s="48" t="str">
        <f aca="false">IF($A2928="","",IF(N(M2928)=0,"–",IF(M2928&lt;=Start!$D$20,"A",IF(M2928&lt;=Start!$D$21,"B","C"))))</f>
        <v/>
      </c>
      <c r="O2928" s="48" t="str">
        <f aca="false">IF($A2928="","",IF(NOT(ISNUMBER(F2928)),"Wert fehlt; ",IF(F2928&lt;=0,"Wert ist 0; ",""))&amp;IF(NOT(ISNUMBER(E2928)),"Bestand fehlt; ",IF(E2928&lt;0,"Bestand negativ; ",IF(E2928=0,"Nullbestand; ","")))&amp;IF(D2928="","Warengruppe fehlt; ","")&amp;IF(B2928="","Bezeichnung fehlt; ","")&amp;IF(COUNTIFS($A$2:$A$5001,$A2928,$C$2:$C$5001,C2928)&gt;1,"Artikel doppelt im selben Lager; ",""))</f>
        <v/>
      </c>
      <c r="P2928" s="47" t="n">
        <f aca="false">IF(OR($A2928="",D2928=""),0,IF(COUNTIF($D$2:D2928,D2928)=1,SUMIF($D$2:$D$5001,D2928,$H$2:$H$5001)+ROW()/10000000,0))</f>
        <v>0</v>
      </c>
      <c r="Q2928" s="47" t="n">
        <f aca="false">IF(OR($A2928="",C2928=""),0,IF(COUNTIF($C$2:C2928,C2928)=1,SUMIF($C$2:$C$5001,C2928,$H$2:$H$5001)+ROW()/10000000,0))</f>
        <v>0</v>
      </c>
    </row>
    <row r="2929" customFormat="false" ht="15" hidden="false" customHeight="false" outlineLevel="0" collapsed="false">
      <c r="A2929" s="43"/>
      <c r="B2929" s="44"/>
      <c r="C2929" s="44"/>
      <c r="D2929" s="44"/>
      <c r="E2929" s="44"/>
      <c r="F2929" s="44"/>
      <c r="G2929" s="44"/>
      <c r="H2929" s="46" t="str">
        <f aca="false">IF($A2929="","",IF(OR(NOT(ISNUMBER(E2929)),NOT(ISNUMBER(F2929))),"",MAX(0,E2929)*F2929))</f>
        <v/>
      </c>
      <c r="I2929" s="46" t="str">
        <f aca="false">IF($A2929="","",SUMIF($A$2:$A$5001,$A2929,$H$2:$H$5001))</f>
        <v/>
      </c>
      <c r="J2929" s="47" t="n">
        <f aca="false">IF($A2929="",0,IF(COUNTIF($A$2:A2929,$A2929)=1,1,0))</f>
        <v>0</v>
      </c>
      <c r="K2929" s="47" t="n">
        <f aca="false">IF(J2929=1,N(I2929)+ROW()/10000000,0)</f>
        <v>0</v>
      </c>
      <c r="L2929" s="47" t="str">
        <f aca="false">IF(AND(J2929=1,N(I2929)&gt;0),SUMIF($K$2:$K$5001,"&gt;="&amp;K2929,$I$2:$I$5001)/MAX(1,SUM($H$2:$H$5001)),"")</f>
        <v/>
      </c>
      <c r="M2929" s="47" t="str">
        <f aca="false">IF($A2929="","",INDEX($L$2:$L$5001,MATCH($A2929,$A$2:$A$5001,0)))</f>
        <v/>
      </c>
      <c r="N2929" s="48" t="str">
        <f aca="false">IF($A2929="","",IF(N(M2929)=0,"–",IF(M2929&lt;=Start!$D$20,"A",IF(M2929&lt;=Start!$D$21,"B","C"))))</f>
        <v/>
      </c>
      <c r="O2929" s="48" t="str">
        <f aca="false">IF($A2929="","",IF(NOT(ISNUMBER(F2929)),"Wert fehlt; ",IF(F2929&lt;=0,"Wert ist 0; ",""))&amp;IF(NOT(ISNUMBER(E2929)),"Bestand fehlt; ",IF(E2929&lt;0,"Bestand negativ; ",IF(E2929=0,"Nullbestand; ","")))&amp;IF(D2929="","Warengruppe fehlt; ","")&amp;IF(B2929="","Bezeichnung fehlt; ","")&amp;IF(COUNTIFS($A$2:$A$5001,$A2929,$C$2:$C$5001,C2929)&gt;1,"Artikel doppelt im selben Lager; ",""))</f>
        <v/>
      </c>
      <c r="P2929" s="47" t="n">
        <f aca="false">IF(OR($A2929="",D2929=""),0,IF(COUNTIF($D$2:D2929,D2929)=1,SUMIF($D$2:$D$5001,D2929,$H$2:$H$5001)+ROW()/10000000,0))</f>
        <v>0</v>
      </c>
      <c r="Q2929" s="47" t="n">
        <f aca="false">IF(OR($A2929="",C2929=""),0,IF(COUNTIF($C$2:C2929,C2929)=1,SUMIF($C$2:$C$5001,C2929,$H$2:$H$5001)+ROW()/10000000,0))</f>
        <v>0</v>
      </c>
    </row>
    <row r="2930" customFormat="false" ht="15" hidden="false" customHeight="false" outlineLevel="0" collapsed="false">
      <c r="A2930" s="43"/>
      <c r="B2930" s="44"/>
      <c r="C2930" s="44"/>
      <c r="D2930" s="44"/>
      <c r="E2930" s="44"/>
      <c r="F2930" s="44"/>
      <c r="G2930" s="44"/>
      <c r="H2930" s="46" t="str">
        <f aca="false">IF($A2930="","",IF(OR(NOT(ISNUMBER(E2930)),NOT(ISNUMBER(F2930))),"",MAX(0,E2930)*F2930))</f>
        <v/>
      </c>
      <c r="I2930" s="46" t="str">
        <f aca="false">IF($A2930="","",SUMIF($A$2:$A$5001,$A2930,$H$2:$H$5001))</f>
        <v/>
      </c>
      <c r="J2930" s="47" t="n">
        <f aca="false">IF($A2930="",0,IF(COUNTIF($A$2:A2930,$A2930)=1,1,0))</f>
        <v>0</v>
      </c>
      <c r="K2930" s="47" t="n">
        <f aca="false">IF(J2930=1,N(I2930)+ROW()/10000000,0)</f>
        <v>0</v>
      </c>
      <c r="L2930" s="47" t="str">
        <f aca="false">IF(AND(J2930=1,N(I2930)&gt;0),SUMIF($K$2:$K$5001,"&gt;="&amp;K2930,$I$2:$I$5001)/MAX(1,SUM($H$2:$H$5001)),"")</f>
        <v/>
      </c>
      <c r="M2930" s="47" t="str">
        <f aca="false">IF($A2930="","",INDEX($L$2:$L$5001,MATCH($A2930,$A$2:$A$5001,0)))</f>
        <v/>
      </c>
      <c r="N2930" s="48" t="str">
        <f aca="false">IF($A2930="","",IF(N(M2930)=0,"–",IF(M2930&lt;=Start!$D$20,"A",IF(M2930&lt;=Start!$D$21,"B","C"))))</f>
        <v/>
      </c>
      <c r="O2930" s="48" t="str">
        <f aca="false">IF($A2930="","",IF(NOT(ISNUMBER(F2930)),"Wert fehlt; ",IF(F2930&lt;=0,"Wert ist 0; ",""))&amp;IF(NOT(ISNUMBER(E2930)),"Bestand fehlt; ",IF(E2930&lt;0,"Bestand negativ; ",IF(E2930=0,"Nullbestand; ","")))&amp;IF(D2930="","Warengruppe fehlt; ","")&amp;IF(B2930="","Bezeichnung fehlt; ","")&amp;IF(COUNTIFS($A$2:$A$5001,$A2930,$C$2:$C$5001,C2930)&gt;1,"Artikel doppelt im selben Lager; ",""))</f>
        <v/>
      </c>
      <c r="P2930" s="47" t="n">
        <f aca="false">IF(OR($A2930="",D2930=""),0,IF(COUNTIF($D$2:D2930,D2930)=1,SUMIF($D$2:$D$5001,D2930,$H$2:$H$5001)+ROW()/10000000,0))</f>
        <v>0</v>
      </c>
      <c r="Q2930" s="47" t="n">
        <f aca="false">IF(OR($A2930="",C2930=""),0,IF(COUNTIF($C$2:C2930,C2930)=1,SUMIF($C$2:$C$5001,C2930,$H$2:$H$5001)+ROW()/10000000,0))</f>
        <v>0</v>
      </c>
    </row>
    <row r="2931" customFormat="false" ht="15" hidden="false" customHeight="false" outlineLevel="0" collapsed="false">
      <c r="A2931" s="43"/>
      <c r="B2931" s="44"/>
      <c r="C2931" s="44"/>
      <c r="D2931" s="44"/>
      <c r="E2931" s="44"/>
      <c r="F2931" s="44"/>
      <c r="G2931" s="44"/>
      <c r="H2931" s="46" t="str">
        <f aca="false">IF($A2931="","",IF(OR(NOT(ISNUMBER(E2931)),NOT(ISNUMBER(F2931))),"",MAX(0,E2931)*F2931))</f>
        <v/>
      </c>
      <c r="I2931" s="46" t="str">
        <f aca="false">IF($A2931="","",SUMIF($A$2:$A$5001,$A2931,$H$2:$H$5001))</f>
        <v/>
      </c>
      <c r="J2931" s="47" t="n">
        <f aca="false">IF($A2931="",0,IF(COUNTIF($A$2:A2931,$A2931)=1,1,0))</f>
        <v>0</v>
      </c>
      <c r="K2931" s="47" t="n">
        <f aca="false">IF(J2931=1,N(I2931)+ROW()/10000000,0)</f>
        <v>0</v>
      </c>
      <c r="L2931" s="47" t="str">
        <f aca="false">IF(AND(J2931=1,N(I2931)&gt;0),SUMIF($K$2:$K$5001,"&gt;="&amp;K2931,$I$2:$I$5001)/MAX(1,SUM($H$2:$H$5001)),"")</f>
        <v/>
      </c>
      <c r="M2931" s="47" t="str">
        <f aca="false">IF($A2931="","",INDEX($L$2:$L$5001,MATCH($A2931,$A$2:$A$5001,0)))</f>
        <v/>
      </c>
      <c r="N2931" s="48" t="str">
        <f aca="false">IF($A2931="","",IF(N(M2931)=0,"–",IF(M2931&lt;=Start!$D$20,"A",IF(M2931&lt;=Start!$D$21,"B","C"))))</f>
        <v/>
      </c>
      <c r="O2931" s="48" t="str">
        <f aca="false">IF($A2931="","",IF(NOT(ISNUMBER(F2931)),"Wert fehlt; ",IF(F2931&lt;=0,"Wert ist 0; ",""))&amp;IF(NOT(ISNUMBER(E2931)),"Bestand fehlt; ",IF(E2931&lt;0,"Bestand negativ; ",IF(E2931=0,"Nullbestand; ","")))&amp;IF(D2931="","Warengruppe fehlt; ","")&amp;IF(B2931="","Bezeichnung fehlt; ","")&amp;IF(COUNTIFS($A$2:$A$5001,$A2931,$C$2:$C$5001,C2931)&gt;1,"Artikel doppelt im selben Lager; ",""))</f>
        <v/>
      </c>
      <c r="P2931" s="47" t="n">
        <f aca="false">IF(OR($A2931="",D2931=""),0,IF(COUNTIF($D$2:D2931,D2931)=1,SUMIF($D$2:$D$5001,D2931,$H$2:$H$5001)+ROW()/10000000,0))</f>
        <v>0</v>
      </c>
      <c r="Q2931" s="47" t="n">
        <f aca="false">IF(OR($A2931="",C2931=""),0,IF(COUNTIF($C$2:C2931,C2931)=1,SUMIF($C$2:$C$5001,C2931,$H$2:$H$5001)+ROW()/10000000,0))</f>
        <v>0</v>
      </c>
    </row>
    <row r="2932" customFormat="false" ht="15" hidden="false" customHeight="false" outlineLevel="0" collapsed="false">
      <c r="A2932" s="43"/>
      <c r="B2932" s="44"/>
      <c r="C2932" s="44"/>
      <c r="D2932" s="44"/>
      <c r="E2932" s="44"/>
      <c r="F2932" s="44"/>
      <c r="G2932" s="44"/>
      <c r="H2932" s="46" t="str">
        <f aca="false">IF($A2932="","",IF(OR(NOT(ISNUMBER(E2932)),NOT(ISNUMBER(F2932))),"",MAX(0,E2932)*F2932))</f>
        <v/>
      </c>
      <c r="I2932" s="46" t="str">
        <f aca="false">IF($A2932="","",SUMIF($A$2:$A$5001,$A2932,$H$2:$H$5001))</f>
        <v/>
      </c>
      <c r="J2932" s="47" t="n">
        <f aca="false">IF($A2932="",0,IF(COUNTIF($A$2:A2932,$A2932)=1,1,0))</f>
        <v>0</v>
      </c>
      <c r="K2932" s="47" t="n">
        <f aca="false">IF(J2932=1,N(I2932)+ROW()/10000000,0)</f>
        <v>0</v>
      </c>
      <c r="L2932" s="47" t="str">
        <f aca="false">IF(AND(J2932=1,N(I2932)&gt;0),SUMIF($K$2:$K$5001,"&gt;="&amp;K2932,$I$2:$I$5001)/MAX(1,SUM($H$2:$H$5001)),"")</f>
        <v/>
      </c>
      <c r="M2932" s="47" t="str">
        <f aca="false">IF($A2932="","",INDEX($L$2:$L$5001,MATCH($A2932,$A$2:$A$5001,0)))</f>
        <v/>
      </c>
      <c r="N2932" s="48" t="str">
        <f aca="false">IF($A2932="","",IF(N(M2932)=0,"–",IF(M2932&lt;=Start!$D$20,"A",IF(M2932&lt;=Start!$D$21,"B","C"))))</f>
        <v/>
      </c>
      <c r="O2932" s="48" t="str">
        <f aca="false">IF($A2932="","",IF(NOT(ISNUMBER(F2932)),"Wert fehlt; ",IF(F2932&lt;=0,"Wert ist 0; ",""))&amp;IF(NOT(ISNUMBER(E2932)),"Bestand fehlt; ",IF(E2932&lt;0,"Bestand negativ; ",IF(E2932=0,"Nullbestand; ","")))&amp;IF(D2932="","Warengruppe fehlt; ","")&amp;IF(B2932="","Bezeichnung fehlt; ","")&amp;IF(COUNTIFS($A$2:$A$5001,$A2932,$C$2:$C$5001,C2932)&gt;1,"Artikel doppelt im selben Lager; ",""))</f>
        <v/>
      </c>
      <c r="P2932" s="47" t="n">
        <f aca="false">IF(OR($A2932="",D2932=""),0,IF(COUNTIF($D$2:D2932,D2932)=1,SUMIF($D$2:$D$5001,D2932,$H$2:$H$5001)+ROW()/10000000,0))</f>
        <v>0</v>
      </c>
      <c r="Q2932" s="47" t="n">
        <f aca="false">IF(OR($A2932="",C2932=""),0,IF(COUNTIF($C$2:C2932,C2932)=1,SUMIF($C$2:$C$5001,C2932,$H$2:$H$5001)+ROW()/10000000,0))</f>
        <v>0</v>
      </c>
    </row>
    <row r="2933" customFormat="false" ht="15" hidden="false" customHeight="false" outlineLevel="0" collapsed="false">
      <c r="A2933" s="43"/>
      <c r="B2933" s="44"/>
      <c r="C2933" s="44"/>
      <c r="D2933" s="44"/>
      <c r="E2933" s="44"/>
      <c r="F2933" s="44"/>
      <c r="G2933" s="44"/>
      <c r="H2933" s="46" t="str">
        <f aca="false">IF($A2933="","",IF(OR(NOT(ISNUMBER(E2933)),NOT(ISNUMBER(F2933))),"",MAX(0,E2933)*F2933))</f>
        <v/>
      </c>
      <c r="I2933" s="46" t="str">
        <f aca="false">IF($A2933="","",SUMIF($A$2:$A$5001,$A2933,$H$2:$H$5001))</f>
        <v/>
      </c>
      <c r="J2933" s="47" t="n">
        <f aca="false">IF($A2933="",0,IF(COUNTIF($A$2:A2933,$A2933)=1,1,0))</f>
        <v>0</v>
      </c>
      <c r="K2933" s="47" t="n">
        <f aca="false">IF(J2933=1,N(I2933)+ROW()/10000000,0)</f>
        <v>0</v>
      </c>
      <c r="L2933" s="47" t="str">
        <f aca="false">IF(AND(J2933=1,N(I2933)&gt;0),SUMIF($K$2:$K$5001,"&gt;="&amp;K2933,$I$2:$I$5001)/MAX(1,SUM($H$2:$H$5001)),"")</f>
        <v/>
      </c>
      <c r="M2933" s="47" t="str">
        <f aca="false">IF($A2933="","",INDEX($L$2:$L$5001,MATCH($A2933,$A$2:$A$5001,0)))</f>
        <v/>
      </c>
      <c r="N2933" s="48" t="str">
        <f aca="false">IF($A2933="","",IF(N(M2933)=0,"–",IF(M2933&lt;=Start!$D$20,"A",IF(M2933&lt;=Start!$D$21,"B","C"))))</f>
        <v/>
      </c>
      <c r="O2933" s="48" t="str">
        <f aca="false">IF($A2933="","",IF(NOT(ISNUMBER(F2933)),"Wert fehlt; ",IF(F2933&lt;=0,"Wert ist 0; ",""))&amp;IF(NOT(ISNUMBER(E2933)),"Bestand fehlt; ",IF(E2933&lt;0,"Bestand negativ; ",IF(E2933=0,"Nullbestand; ","")))&amp;IF(D2933="","Warengruppe fehlt; ","")&amp;IF(B2933="","Bezeichnung fehlt; ","")&amp;IF(COUNTIFS($A$2:$A$5001,$A2933,$C$2:$C$5001,C2933)&gt;1,"Artikel doppelt im selben Lager; ",""))</f>
        <v/>
      </c>
      <c r="P2933" s="47" t="n">
        <f aca="false">IF(OR($A2933="",D2933=""),0,IF(COUNTIF($D$2:D2933,D2933)=1,SUMIF($D$2:$D$5001,D2933,$H$2:$H$5001)+ROW()/10000000,0))</f>
        <v>0</v>
      </c>
      <c r="Q2933" s="47" t="n">
        <f aca="false">IF(OR($A2933="",C2933=""),0,IF(COUNTIF($C$2:C2933,C2933)=1,SUMIF($C$2:$C$5001,C2933,$H$2:$H$5001)+ROW()/10000000,0))</f>
        <v>0</v>
      </c>
    </row>
    <row r="2934" customFormat="false" ht="15" hidden="false" customHeight="false" outlineLevel="0" collapsed="false">
      <c r="A2934" s="43"/>
      <c r="B2934" s="44"/>
      <c r="C2934" s="44"/>
      <c r="D2934" s="44"/>
      <c r="E2934" s="44"/>
      <c r="F2934" s="44"/>
      <c r="G2934" s="44"/>
      <c r="H2934" s="46" t="str">
        <f aca="false">IF($A2934="","",IF(OR(NOT(ISNUMBER(E2934)),NOT(ISNUMBER(F2934))),"",MAX(0,E2934)*F2934))</f>
        <v/>
      </c>
      <c r="I2934" s="46" t="str">
        <f aca="false">IF($A2934="","",SUMIF($A$2:$A$5001,$A2934,$H$2:$H$5001))</f>
        <v/>
      </c>
      <c r="J2934" s="47" t="n">
        <f aca="false">IF($A2934="",0,IF(COUNTIF($A$2:A2934,$A2934)=1,1,0))</f>
        <v>0</v>
      </c>
      <c r="K2934" s="47" t="n">
        <f aca="false">IF(J2934=1,N(I2934)+ROW()/10000000,0)</f>
        <v>0</v>
      </c>
      <c r="L2934" s="47" t="str">
        <f aca="false">IF(AND(J2934=1,N(I2934)&gt;0),SUMIF($K$2:$K$5001,"&gt;="&amp;K2934,$I$2:$I$5001)/MAX(1,SUM($H$2:$H$5001)),"")</f>
        <v/>
      </c>
      <c r="M2934" s="47" t="str">
        <f aca="false">IF($A2934="","",INDEX($L$2:$L$5001,MATCH($A2934,$A$2:$A$5001,0)))</f>
        <v/>
      </c>
      <c r="N2934" s="48" t="str">
        <f aca="false">IF($A2934="","",IF(N(M2934)=0,"–",IF(M2934&lt;=Start!$D$20,"A",IF(M2934&lt;=Start!$D$21,"B","C"))))</f>
        <v/>
      </c>
      <c r="O2934" s="48" t="str">
        <f aca="false">IF($A2934="","",IF(NOT(ISNUMBER(F2934)),"Wert fehlt; ",IF(F2934&lt;=0,"Wert ist 0; ",""))&amp;IF(NOT(ISNUMBER(E2934)),"Bestand fehlt; ",IF(E2934&lt;0,"Bestand negativ; ",IF(E2934=0,"Nullbestand; ","")))&amp;IF(D2934="","Warengruppe fehlt; ","")&amp;IF(B2934="","Bezeichnung fehlt; ","")&amp;IF(COUNTIFS($A$2:$A$5001,$A2934,$C$2:$C$5001,C2934)&gt;1,"Artikel doppelt im selben Lager; ",""))</f>
        <v/>
      </c>
      <c r="P2934" s="47" t="n">
        <f aca="false">IF(OR($A2934="",D2934=""),0,IF(COUNTIF($D$2:D2934,D2934)=1,SUMIF($D$2:$D$5001,D2934,$H$2:$H$5001)+ROW()/10000000,0))</f>
        <v>0</v>
      </c>
      <c r="Q2934" s="47" t="n">
        <f aca="false">IF(OR($A2934="",C2934=""),0,IF(COUNTIF($C$2:C2934,C2934)=1,SUMIF($C$2:$C$5001,C2934,$H$2:$H$5001)+ROW()/10000000,0))</f>
        <v>0</v>
      </c>
    </row>
    <row r="2935" customFormat="false" ht="15" hidden="false" customHeight="false" outlineLevel="0" collapsed="false">
      <c r="A2935" s="43"/>
      <c r="B2935" s="44"/>
      <c r="C2935" s="44"/>
      <c r="D2935" s="44"/>
      <c r="E2935" s="44"/>
      <c r="F2935" s="44"/>
      <c r="G2935" s="44"/>
      <c r="H2935" s="46" t="str">
        <f aca="false">IF($A2935="","",IF(OR(NOT(ISNUMBER(E2935)),NOT(ISNUMBER(F2935))),"",MAX(0,E2935)*F2935))</f>
        <v/>
      </c>
      <c r="I2935" s="46" t="str">
        <f aca="false">IF($A2935="","",SUMIF($A$2:$A$5001,$A2935,$H$2:$H$5001))</f>
        <v/>
      </c>
      <c r="J2935" s="47" t="n">
        <f aca="false">IF($A2935="",0,IF(COUNTIF($A$2:A2935,$A2935)=1,1,0))</f>
        <v>0</v>
      </c>
      <c r="K2935" s="47" t="n">
        <f aca="false">IF(J2935=1,N(I2935)+ROW()/10000000,0)</f>
        <v>0</v>
      </c>
      <c r="L2935" s="47" t="str">
        <f aca="false">IF(AND(J2935=1,N(I2935)&gt;0),SUMIF($K$2:$K$5001,"&gt;="&amp;K2935,$I$2:$I$5001)/MAX(1,SUM($H$2:$H$5001)),"")</f>
        <v/>
      </c>
      <c r="M2935" s="47" t="str">
        <f aca="false">IF($A2935="","",INDEX($L$2:$L$5001,MATCH($A2935,$A$2:$A$5001,0)))</f>
        <v/>
      </c>
      <c r="N2935" s="48" t="str">
        <f aca="false">IF($A2935="","",IF(N(M2935)=0,"–",IF(M2935&lt;=Start!$D$20,"A",IF(M2935&lt;=Start!$D$21,"B","C"))))</f>
        <v/>
      </c>
      <c r="O2935" s="48" t="str">
        <f aca="false">IF($A2935="","",IF(NOT(ISNUMBER(F2935)),"Wert fehlt; ",IF(F2935&lt;=0,"Wert ist 0; ",""))&amp;IF(NOT(ISNUMBER(E2935)),"Bestand fehlt; ",IF(E2935&lt;0,"Bestand negativ; ",IF(E2935=0,"Nullbestand; ","")))&amp;IF(D2935="","Warengruppe fehlt; ","")&amp;IF(B2935="","Bezeichnung fehlt; ","")&amp;IF(COUNTIFS($A$2:$A$5001,$A2935,$C$2:$C$5001,C2935)&gt;1,"Artikel doppelt im selben Lager; ",""))</f>
        <v/>
      </c>
      <c r="P2935" s="47" t="n">
        <f aca="false">IF(OR($A2935="",D2935=""),0,IF(COUNTIF($D$2:D2935,D2935)=1,SUMIF($D$2:$D$5001,D2935,$H$2:$H$5001)+ROW()/10000000,0))</f>
        <v>0</v>
      </c>
      <c r="Q2935" s="47" t="n">
        <f aca="false">IF(OR($A2935="",C2935=""),0,IF(COUNTIF($C$2:C2935,C2935)=1,SUMIF($C$2:$C$5001,C2935,$H$2:$H$5001)+ROW()/10000000,0))</f>
        <v>0</v>
      </c>
    </row>
    <row r="2936" customFormat="false" ht="15" hidden="false" customHeight="false" outlineLevel="0" collapsed="false">
      <c r="A2936" s="43"/>
      <c r="B2936" s="44"/>
      <c r="C2936" s="44"/>
      <c r="D2936" s="44"/>
      <c r="E2936" s="44"/>
      <c r="F2936" s="44"/>
      <c r="G2936" s="44"/>
      <c r="H2936" s="46" t="str">
        <f aca="false">IF($A2936="","",IF(OR(NOT(ISNUMBER(E2936)),NOT(ISNUMBER(F2936))),"",MAX(0,E2936)*F2936))</f>
        <v/>
      </c>
      <c r="I2936" s="46" t="str">
        <f aca="false">IF($A2936="","",SUMIF($A$2:$A$5001,$A2936,$H$2:$H$5001))</f>
        <v/>
      </c>
      <c r="J2936" s="47" t="n">
        <f aca="false">IF($A2936="",0,IF(COUNTIF($A$2:A2936,$A2936)=1,1,0))</f>
        <v>0</v>
      </c>
      <c r="K2936" s="47" t="n">
        <f aca="false">IF(J2936=1,N(I2936)+ROW()/10000000,0)</f>
        <v>0</v>
      </c>
      <c r="L2936" s="47" t="str">
        <f aca="false">IF(AND(J2936=1,N(I2936)&gt;0),SUMIF($K$2:$K$5001,"&gt;="&amp;K2936,$I$2:$I$5001)/MAX(1,SUM($H$2:$H$5001)),"")</f>
        <v/>
      </c>
      <c r="M2936" s="47" t="str">
        <f aca="false">IF($A2936="","",INDEX($L$2:$L$5001,MATCH($A2936,$A$2:$A$5001,0)))</f>
        <v/>
      </c>
      <c r="N2936" s="48" t="str">
        <f aca="false">IF($A2936="","",IF(N(M2936)=0,"–",IF(M2936&lt;=Start!$D$20,"A",IF(M2936&lt;=Start!$D$21,"B","C"))))</f>
        <v/>
      </c>
      <c r="O2936" s="48" t="str">
        <f aca="false">IF($A2936="","",IF(NOT(ISNUMBER(F2936)),"Wert fehlt; ",IF(F2936&lt;=0,"Wert ist 0; ",""))&amp;IF(NOT(ISNUMBER(E2936)),"Bestand fehlt; ",IF(E2936&lt;0,"Bestand negativ; ",IF(E2936=0,"Nullbestand; ","")))&amp;IF(D2936="","Warengruppe fehlt; ","")&amp;IF(B2936="","Bezeichnung fehlt; ","")&amp;IF(COUNTIFS($A$2:$A$5001,$A2936,$C$2:$C$5001,C2936)&gt;1,"Artikel doppelt im selben Lager; ",""))</f>
        <v/>
      </c>
      <c r="P2936" s="47" t="n">
        <f aca="false">IF(OR($A2936="",D2936=""),0,IF(COUNTIF($D$2:D2936,D2936)=1,SUMIF($D$2:$D$5001,D2936,$H$2:$H$5001)+ROW()/10000000,0))</f>
        <v>0</v>
      </c>
      <c r="Q2936" s="47" t="n">
        <f aca="false">IF(OR($A2936="",C2936=""),0,IF(COUNTIF($C$2:C2936,C2936)=1,SUMIF($C$2:$C$5001,C2936,$H$2:$H$5001)+ROW()/10000000,0))</f>
        <v>0</v>
      </c>
    </row>
    <row r="2937" customFormat="false" ht="15" hidden="false" customHeight="false" outlineLevel="0" collapsed="false">
      <c r="A2937" s="43"/>
      <c r="B2937" s="44"/>
      <c r="C2937" s="44"/>
      <c r="D2937" s="44"/>
      <c r="E2937" s="44"/>
      <c r="F2937" s="44"/>
      <c r="G2937" s="44"/>
      <c r="H2937" s="46" t="str">
        <f aca="false">IF($A2937="","",IF(OR(NOT(ISNUMBER(E2937)),NOT(ISNUMBER(F2937))),"",MAX(0,E2937)*F2937))</f>
        <v/>
      </c>
      <c r="I2937" s="46" t="str">
        <f aca="false">IF($A2937="","",SUMIF($A$2:$A$5001,$A2937,$H$2:$H$5001))</f>
        <v/>
      </c>
      <c r="J2937" s="47" t="n">
        <f aca="false">IF($A2937="",0,IF(COUNTIF($A$2:A2937,$A2937)=1,1,0))</f>
        <v>0</v>
      </c>
      <c r="K2937" s="47" t="n">
        <f aca="false">IF(J2937=1,N(I2937)+ROW()/10000000,0)</f>
        <v>0</v>
      </c>
      <c r="L2937" s="47" t="str">
        <f aca="false">IF(AND(J2937=1,N(I2937)&gt;0),SUMIF($K$2:$K$5001,"&gt;="&amp;K2937,$I$2:$I$5001)/MAX(1,SUM($H$2:$H$5001)),"")</f>
        <v/>
      </c>
      <c r="M2937" s="47" t="str">
        <f aca="false">IF($A2937="","",INDEX($L$2:$L$5001,MATCH($A2937,$A$2:$A$5001,0)))</f>
        <v/>
      </c>
      <c r="N2937" s="48" t="str">
        <f aca="false">IF($A2937="","",IF(N(M2937)=0,"–",IF(M2937&lt;=Start!$D$20,"A",IF(M2937&lt;=Start!$D$21,"B","C"))))</f>
        <v/>
      </c>
      <c r="O2937" s="48" t="str">
        <f aca="false">IF($A2937="","",IF(NOT(ISNUMBER(F2937)),"Wert fehlt; ",IF(F2937&lt;=0,"Wert ist 0; ",""))&amp;IF(NOT(ISNUMBER(E2937)),"Bestand fehlt; ",IF(E2937&lt;0,"Bestand negativ; ",IF(E2937=0,"Nullbestand; ","")))&amp;IF(D2937="","Warengruppe fehlt; ","")&amp;IF(B2937="","Bezeichnung fehlt; ","")&amp;IF(COUNTIFS($A$2:$A$5001,$A2937,$C$2:$C$5001,C2937)&gt;1,"Artikel doppelt im selben Lager; ",""))</f>
        <v/>
      </c>
      <c r="P2937" s="47" t="n">
        <f aca="false">IF(OR($A2937="",D2937=""),0,IF(COUNTIF($D$2:D2937,D2937)=1,SUMIF($D$2:$D$5001,D2937,$H$2:$H$5001)+ROW()/10000000,0))</f>
        <v>0</v>
      </c>
      <c r="Q2937" s="47" t="n">
        <f aca="false">IF(OR($A2937="",C2937=""),0,IF(COUNTIF($C$2:C2937,C2937)=1,SUMIF($C$2:$C$5001,C2937,$H$2:$H$5001)+ROW()/10000000,0))</f>
        <v>0</v>
      </c>
    </row>
    <row r="2938" customFormat="false" ht="15" hidden="false" customHeight="false" outlineLevel="0" collapsed="false">
      <c r="A2938" s="43"/>
      <c r="B2938" s="44"/>
      <c r="C2938" s="44"/>
      <c r="D2938" s="44"/>
      <c r="E2938" s="44"/>
      <c r="F2938" s="44"/>
      <c r="G2938" s="44"/>
      <c r="H2938" s="46" t="str">
        <f aca="false">IF($A2938="","",IF(OR(NOT(ISNUMBER(E2938)),NOT(ISNUMBER(F2938))),"",MAX(0,E2938)*F2938))</f>
        <v/>
      </c>
      <c r="I2938" s="46" t="str">
        <f aca="false">IF($A2938="","",SUMIF($A$2:$A$5001,$A2938,$H$2:$H$5001))</f>
        <v/>
      </c>
      <c r="J2938" s="47" t="n">
        <f aca="false">IF($A2938="",0,IF(COUNTIF($A$2:A2938,$A2938)=1,1,0))</f>
        <v>0</v>
      </c>
      <c r="K2938" s="47" t="n">
        <f aca="false">IF(J2938=1,N(I2938)+ROW()/10000000,0)</f>
        <v>0</v>
      </c>
      <c r="L2938" s="47" t="str">
        <f aca="false">IF(AND(J2938=1,N(I2938)&gt;0),SUMIF($K$2:$K$5001,"&gt;="&amp;K2938,$I$2:$I$5001)/MAX(1,SUM($H$2:$H$5001)),"")</f>
        <v/>
      </c>
      <c r="M2938" s="47" t="str">
        <f aca="false">IF($A2938="","",INDEX($L$2:$L$5001,MATCH($A2938,$A$2:$A$5001,0)))</f>
        <v/>
      </c>
      <c r="N2938" s="48" t="str">
        <f aca="false">IF($A2938="","",IF(N(M2938)=0,"–",IF(M2938&lt;=Start!$D$20,"A",IF(M2938&lt;=Start!$D$21,"B","C"))))</f>
        <v/>
      </c>
      <c r="O2938" s="48" t="str">
        <f aca="false">IF($A2938="","",IF(NOT(ISNUMBER(F2938)),"Wert fehlt; ",IF(F2938&lt;=0,"Wert ist 0; ",""))&amp;IF(NOT(ISNUMBER(E2938)),"Bestand fehlt; ",IF(E2938&lt;0,"Bestand negativ; ",IF(E2938=0,"Nullbestand; ","")))&amp;IF(D2938="","Warengruppe fehlt; ","")&amp;IF(B2938="","Bezeichnung fehlt; ","")&amp;IF(COUNTIFS($A$2:$A$5001,$A2938,$C$2:$C$5001,C2938)&gt;1,"Artikel doppelt im selben Lager; ",""))</f>
        <v/>
      </c>
      <c r="P2938" s="47" t="n">
        <f aca="false">IF(OR($A2938="",D2938=""),0,IF(COUNTIF($D$2:D2938,D2938)=1,SUMIF($D$2:$D$5001,D2938,$H$2:$H$5001)+ROW()/10000000,0))</f>
        <v>0</v>
      </c>
      <c r="Q2938" s="47" t="n">
        <f aca="false">IF(OR($A2938="",C2938=""),0,IF(COUNTIF($C$2:C2938,C2938)=1,SUMIF($C$2:$C$5001,C2938,$H$2:$H$5001)+ROW()/10000000,0))</f>
        <v>0</v>
      </c>
    </row>
    <row r="2939" customFormat="false" ht="15" hidden="false" customHeight="false" outlineLevel="0" collapsed="false">
      <c r="A2939" s="43"/>
      <c r="B2939" s="44"/>
      <c r="C2939" s="44"/>
      <c r="D2939" s="44"/>
      <c r="E2939" s="44"/>
      <c r="F2939" s="44"/>
      <c r="G2939" s="44"/>
      <c r="H2939" s="46" t="str">
        <f aca="false">IF($A2939="","",IF(OR(NOT(ISNUMBER(E2939)),NOT(ISNUMBER(F2939))),"",MAX(0,E2939)*F2939))</f>
        <v/>
      </c>
      <c r="I2939" s="46" t="str">
        <f aca="false">IF($A2939="","",SUMIF($A$2:$A$5001,$A2939,$H$2:$H$5001))</f>
        <v/>
      </c>
      <c r="J2939" s="47" t="n">
        <f aca="false">IF($A2939="",0,IF(COUNTIF($A$2:A2939,$A2939)=1,1,0))</f>
        <v>0</v>
      </c>
      <c r="K2939" s="47" t="n">
        <f aca="false">IF(J2939=1,N(I2939)+ROW()/10000000,0)</f>
        <v>0</v>
      </c>
      <c r="L2939" s="47" t="str">
        <f aca="false">IF(AND(J2939=1,N(I2939)&gt;0),SUMIF($K$2:$K$5001,"&gt;="&amp;K2939,$I$2:$I$5001)/MAX(1,SUM($H$2:$H$5001)),"")</f>
        <v/>
      </c>
      <c r="M2939" s="47" t="str">
        <f aca="false">IF($A2939="","",INDEX($L$2:$L$5001,MATCH($A2939,$A$2:$A$5001,0)))</f>
        <v/>
      </c>
      <c r="N2939" s="48" t="str">
        <f aca="false">IF($A2939="","",IF(N(M2939)=0,"–",IF(M2939&lt;=Start!$D$20,"A",IF(M2939&lt;=Start!$D$21,"B","C"))))</f>
        <v/>
      </c>
      <c r="O2939" s="48" t="str">
        <f aca="false">IF($A2939="","",IF(NOT(ISNUMBER(F2939)),"Wert fehlt; ",IF(F2939&lt;=0,"Wert ist 0; ",""))&amp;IF(NOT(ISNUMBER(E2939)),"Bestand fehlt; ",IF(E2939&lt;0,"Bestand negativ; ",IF(E2939=0,"Nullbestand; ","")))&amp;IF(D2939="","Warengruppe fehlt; ","")&amp;IF(B2939="","Bezeichnung fehlt; ","")&amp;IF(COUNTIFS($A$2:$A$5001,$A2939,$C$2:$C$5001,C2939)&gt;1,"Artikel doppelt im selben Lager; ",""))</f>
        <v/>
      </c>
      <c r="P2939" s="47" t="n">
        <f aca="false">IF(OR($A2939="",D2939=""),0,IF(COUNTIF($D$2:D2939,D2939)=1,SUMIF($D$2:$D$5001,D2939,$H$2:$H$5001)+ROW()/10000000,0))</f>
        <v>0</v>
      </c>
      <c r="Q2939" s="47" t="n">
        <f aca="false">IF(OR($A2939="",C2939=""),0,IF(COUNTIF($C$2:C2939,C2939)=1,SUMIF($C$2:$C$5001,C2939,$H$2:$H$5001)+ROW()/10000000,0))</f>
        <v>0</v>
      </c>
    </row>
    <row r="2940" customFormat="false" ht="15" hidden="false" customHeight="false" outlineLevel="0" collapsed="false">
      <c r="A2940" s="43"/>
      <c r="B2940" s="44"/>
      <c r="C2940" s="44"/>
      <c r="D2940" s="44"/>
      <c r="E2940" s="44"/>
      <c r="F2940" s="44"/>
      <c r="G2940" s="44"/>
      <c r="H2940" s="46" t="str">
        <f aca="false">IF($A2940="","",IF(OR(NOT(ISNUMBER(E2940)),NOT(ISNUMBER(F2940))),"",MAX(0,E2940)*F2940))</f>
        <v/>
      </c>
      <c r="I2940" s="46" t="str">
        <f aca="false">IF($A2940="","",SUMIF($A$2:$A$5001,$A2940,$H$2:$H$5001))</f>
        <v/>
      </c>
      <c r="J2940" s="47" t="n">
        <f aca="false">IF($A2940="",0,IF(COUNTIF($A$2:A2940,$A2940)=1,1,0))</f>
        <v>0</v>
      </c>
      <c r="K2940" s="47" t="n">
        <f aca="false">IF(J2940=1,N(I2940)+ROW()/10000000,0)</f>
        <v>0</v>
      </c>
      <c r="L2940" s="47" t="str">
        <f aca="false">IF(AND(J2940=1,N(I2940)&gt;0),SUMIF($K$2:$K$5001,"&gt;="&amp;K2940,$I$2:$I$5001)/MAX(1,SUM($H$2:$H$5001)),"")</f>
        <v/>
      </c>
      <c r="M2940" s="47" t="str">
        <f aca="false">IF($A2940="","",INDEX($L$2:$L$5001,MATCH($A2940,$A$2:$A$5001,0)))</f>
        <v/>
      </c>
      <c r="N2940" s="48" t="str">
        <f aca="false">IF($A2940="","",IF(N(M2940)=0,"–",IF(M2940&lt;=Start!$D$20,"A",IF(M2940&lt;=Start!$D$21,"B","C"))))</f>
        <v/>
      </c>
      <c r="O2940" s="48" t="str">
        <f aca="false">IF($A2940="","",IF(NOT(ISNUMBER(F2940)),"Wert fehlt; ",IF(F2940&lt;=0,"Wert ist 0; ",""))&amp;IF(NOT(ISNUMBER(E2940)),"Bestand fehlt; ",IF(E2940&lt;0,"Bestand negativ; ",IF(E2940=0,"Nullbestand; ","")))&amp;IF(D2940="","Warengruppe fehlt; ","")&amp;IF(B2940="","Bezeichnung fehlt; ","")&amp;IF(COUNTIFS($A$2:$A$5001,$A2940,$C$2:$C$5001,C2940)&gt;1,"Artikel doppelt im selben Lager; ",""))</f>
        <v/>
      </c>
      <c r="P2940" s="47" t="n">
        <f aca="false">IF(OR($A2940="",D2940=""),0,IF(COUNTIF($D$2:D2940,D2940)=1,SUMIF($D$2:$D$5001,D2940,$H$2:$H$5001)+ROW()/10000000,0))</f>
        <v>0</v>
      </c>
      <c r="Q2940" s="47" t="n">
        <f aca="false">IF(OR($A2940="",C2940=""),0,IF(COUNTIF($C$2:C2940,C2940)=1,SUMIF($C$2:$C$5001,C2940,$H$2:$H$5001)+ROW()/10000000,0))</f>
        <v>0</v>
      </c>
    </row>
    <row r="2941" customFormat="false" ht="15" hidden="false" customHeight="false" outlineLevel="0" collapsed="false">
      <c r="A2941" s="43"/>
      <c r="B2941" s="44"/>
      <c r="C2941" s="44"/>
      <c r="D2941" s="44"/>
      <c r="E2941" s="44"/>
      <c r="F2941" s="44"/>
      <c r="G2941" s="44"/>
      <c r="H2941" s="46" t="str">
        <f aca="false">IF($A2941="","",IF(OR(NOT(ISNUMBER(E2941)),NOT(ISNUMBER(F2941))),"",MAX(0,E2941)*F2941))</f>
        <v/>
      </c>
      <c r="I2941" s="46" t="str">
        <f aca="false">IF($A2941="","",SUMIF($A$2:$A$5001,$A2941,$H$2:$H$5001))</f>
        <v/>
      </c>
      <c r="J2941" s="47" t="n">
        <f aca="false">IF($A2941="",0,IF(COUNTIF($A$2:A2941,$A2941)=1,1,0))</f>
        <v>0</v>
      </c>
      <c r="K2941" s="47" t="n">
        <f aca="false">IF(J2941=1,N(I2941)+ROW()/10000000,0)</f>
        <v>0</v>
      </c>
      <c r="L2941" s="47" t="str">
        <f aca="false">IF(AND(J2941=1,N(I2941)&gt;0),SUMIF($K$2:$K$5001,"&gt;="&amp;K2941,$I$2:$I$5001)/MAX(1,SUM($H$2:$H$5001)),"")</f>
        <v/>
      </c>
      <c r="M2941" s="47" t="str">
        <f aca="false">IF($A2941="","",INDEX($L$2:$L$5001,MATCH($A2941,$A$2:$A$5001,0)))</f>
        <v/>
      </c>
      <c r="N2941" s="48" t="str">
        <f aca="false">IF($A2941="","",IF(N(M2941)=0,"–",IF(M2941&lt;=Start!$D$20,"A",IF(M2941&lt;=Start!$D$21,"B","C"))))</f>
        <v/>
      </c>
      <c r="O2941" s="48" t="str">
        <f aca="false">IF($A2941="","",IF(NOT(ISNUMBER(F2941)),"Wert fehlt; ",IF(F2941&lt;=0,"Wert ist 0; ",""))&amp;IF(NOT(ISNUMBER(E2941)),"Bestand fehlt; ",IF(E2941&lt;0,"Bestand negativ; ",IF(E2941=0,"Nullbestand; ","")))&amp;IF(D2941="","Warengruppe fehlt; ","")&amp;IF(B2941="","Bezeichnung fehlt; ","")&amp;IF(COUNTIFS($A$2:$A$5001,$A2941,$C$2:$C$5001,C2941)&gt;1,"Artikel doppelt im selben Lager; ",""))</f>
        <v/>
      </c>
      <c r="P2941" s="47" t="n">
        <f aca="false">IF(OR($A2941="",D2941=""),0,IF(COUNTIF($D$2:D2941,D2941)=1,SUMIF($D$2:$D$5001,D2941,$H$2:$H$5001)+ROW()/10000000,0))</f>
        <v>0</v>
      </c>
      <c r="Q2941" s="47" t="n">
        <f aca="false">IF(OR($A2941="",C2941=""),0,IF(COUNTIF($C$2:C2941,C2941)=1,SUMIF($C$2:$C$5001,C2941,$H$2:$H$5001)+ROW()/10000000,0))</f>
        <v>0</v>
      </c>
    </row>
    <row r="2942" customFormat="false" ht="15" hidden="false" customHeight="false" outlineLevel="0" collapsed="false">
      <c r="A2942" s="43"/>
      <c r="B2942" s="44"/>
      <c r="C2942" s="44"/>
      <c r="D2942" s="44"/>
      <c r="E2942" s="44"/>
      <c r="F2942" s="44"/>
      <c r="G2942" s="44"/>
      <c r="H2942" s="46" t="str">
        <f aca="false">IF($A2942="","",IF(OR(NOT(ISNUMBER(E2942)),NOT(ISNUMBER(F2942))),"",MAX(0,E2942)*F2942))</f>
        <v/>
      </c>
      <c r="I2942" s="46" t="str">
        <f aca="false">IF($A2942="","",SUMIF($A$2:$A$5001,$A2942,$H$2:$H$5001))</f>
        <v/>
      </c>
      <c r="J2942" s="47" t="n">
        <f aca="false">IF($A2942="",0,IF(COUNTIF($A$2:A2942,$A2942)=1,1,0))</f>
        <v>0</v>
      </c>
      <c r="K2942" s="47" t="n">
        <f aca="false">IF(J2942=1,N(I2942)+ROW()/10000000,0)</f>
        <v>0</v>
      </c>
      <c r="L2942" s="47" t="str">
        <f aca="false">IF(AND(J2942=1,N(I2942)&gt;0),SUMIF($K$2:$K$5001,"&gt;="&amp;K2942,$I$2:$I$5001)/MAX(1,SUM($H$2:$H$5001)),"")</f>
        <v/>
      </c>
      <c r="M2942" s="47" t="str">
        <f aca="false">IF($A2942="","",INDEX($L$2:$L$5001,MATCH($A2942,$A$2:$A$5001,0)))</f>
        <v/>
      </c>
      <c r="N2942" s="48" t="str">
        <f aca="false">IF($A2942="","",IF(N(M2942)=0,"–",IF(M2942&lt;=Start!$D$20,"A",IF(M2942&lt;=Start!$D$21,"B","C"))))</f>
        <v/>
      </c>
      <c r="O2942" s="48" t="str">
        <f aca="false">IF($A2942="","",IF(NOT(ISNUMBER(F2942)),"Wert fehlt; ",IF(F2942&lt;=0,"Wert ist 0; ",""))&amp;IF(NOT(ISNUMBER(E2942)),"Bestand fehlt; ",IF(E2942&lt;0,"Bestand negativ; ",IF(E2942=0,"Nullbestand; ","")))&amp;IF(D2942="","Warengruppe fehlt; ","")&amp;IF(B2942="","Bezeichnung fehlt; ","")&amp;IF(COUNTIFS($A$2:$A$5001,$A2942,$C$2:$C$5001,C2942)&gt;1,"Artikel doppelt im selben Lager; ",""))</f>
        <v/>
      </c>
      <c r="P2942" s="47" t="n">
        <f aca="false">IF(OR($A2942="",D2942=""),0,IF(COUNTIF($D$2:D2942,D2942)=1,SUMIF($D$2:$D$5001,D2942,$H$2:$H$5001)+ROW()/10000000,0))</f>
        <v>0</v>
      </c>
      <c r="Q2942" s="47" t="n">
        <f aca="false">IF(OR($A2942="",C2942=""),0,IF(COUNTIF($C$2:C2942,C2942)=1,SUMIF($C$2:$C$5001,C2942,$H$2:$H$5001)+ROW()/10000000,0))</f>
        <v>0</v>
      </c>
    </row>
    <row r="2943" customFormat="false" ht="15" hidden="false" customHeight="false" outlineLevel="0" collapsed="false">
      <c r="A2943" s="43"/>
      <c r="B2943" s="44"/>
      <c r="C2943" s="44"/>
      <c r="D2943" s="44"/>
      <c r="E2943" s="44"/>
      <c r="F2943" s="44"/>
      <c r="G2943" s="44"/>
      <c r="H2943" s="46" t="str">
        <f aca="false">IF($A2943="","",IF(OR(NOT(ISNUMBER(E2943)),NOT(ISNUMBER(F2943))),"",MAX(0,E2943)*F2943))</f>
        <v/>
      </c>
      <c r="I2943" s="46" t="str">
        <f aca="false">IF($A2943="","",SUMIF($A$2:$A$5001,$A2943,$H$2:$H$5001))</f>
        <v/>
      </c>
      <c r="J2943" s="47" t="n">
        <f aca="false">IF($A2943="",0,IF(COUNTIF($A$2:A2943,$A2943)=1,1,0))</f>
        <v>0</v>
      </c>
      <c r="K2943" s="47" t="n">
        <f aca="false">IF(J2943=1,N(I2943)+ROW()/10000000,0)</f>
        <v>0</v>
      </c>
      <c r="L2943" s="47" t="str">
        <f aca="false">IF(AND(J2943=1,N(I2943)&gt;0),SUMIF($K$2:$K$5001,"&gt;="&amp;K2943,$I$2:$I$5001)/MAX(1,SUM($H$2:$H$5001)),"")</f>
        <v/>
      </c>
      <c r="M2943" s="47" t="str">
        <f aca="false">IF($A2943="","",INDEX($L$2:$L$5001,MATCH($A2943,$A$2:$A$5001,0)))</f>
        <v/>
      </c>
      <c r="N2943" s="48" t="str">
        <f aca="false">IF($A2943="","",IF(N(M2943)=0,"–",IF(M2943&lt;=Start!$D$20,"A",IF(M2943&lt;=Start!$D$21,"B","C"))))</f>
        <v/>
      </c>
      <c r="O2943" s="48" t="str">
        <f aca="false">IF($A2943="","",IF(NOT(ISNUMBER(F2943)),"Wert fehlt; ",IF(F2943&lt;=0,"Wert ist 0; ",""))&amp;IF(NOT(ISNUMBER(E2943)),"Bestand fehlt; ",IF(E2943&lt;0,"Bestand negativ; ",IF(E2943=0,"Nullbestand; ","")))&amp;IF(D2943="","Warengruppe fehlt; ","")&amp;IF(B2943="","Bezeichnung fehlt; ","")&amp;IF(COUNTIFS($A$2:$A$5001,$A2943,$C$2:$C$5001,C2943)&gt;1,"Artikel doppelt im selben Lager; ",""))</f>
        <v/>
      </c>
      <c r="P2943" s="47" t="n">
        <f aca="false">IF(OR($A2943="",D2943=""),0,IF(COUNTIF($D$2:D2943,D2943)=1,SUMIF($D$2:$D$5001,D2943,$H$2:$H$5001)+ROW()/10000000,0))</f>
        <v>0</v>
      </c>
      <c r="Q2943" s="47" t="n">
        <f aca="false">IF(OR($A2943="",C2943=""),0,IF(COUNTIF($C$2:C2943,C2943)=1,SUMIF($C$2:$C$5001,C2943,$H$2:$H$5001)+ROW()/10000000,0))</f>
        <v>0</v>
      </c>
    </row>
    <row r="2944" customFormat="false" ht="15" hidden="false" customHeight="false" outlineLevel="0" collapsed="false">
      <c r="A2944" s="43"/>
      <c r="B2944" s="44"/>
      <c r="C2944" s="44"/>
      <c r="D2944" s="44"/>
      <c r="E2944" s="44"/>
      <c r="F2944" s="44"/>
      <c r="G2944" s="44"/>
      <c r="H2944" s="46" t="str">
        <f aca="false">IF($A2944="","",IF(OR(NOT(ISNUMBER(E2944)),NOT(ISNUMBER(F2944))),"",MAX(0,E2944)*F2944))</f>
        <v/>
      </c>
      <c r="I2944" s="46" t="str">
        <f aca="false">IF($A2944="","",SUMIF($A$2:$A$5001,$A2944,$H$2:$H$5001))</f>
        <v/>
      </c>
      <c r="J2944" s="47" t="n">
        <f aca="false">IF($A2944="",0,IF(COUNTIF($A$2:A2944,$A2944)=1,1,0))</f>
        <v>0</v>
      </c>
      <c r="K2944" s="47" t="n">
        <f aca="false">IF(J2944=1,N(I2944)+ROW()/10000000,0)</f>
        <v>0</v>
      </c>
      <c r="L2944" s="47" t="str">
        <f aca="false">IF(AND(J2944=1,N(I2944)&gt;0),SUMIF($K$2:$K$5001,"&gt;="&amp;K2944,$I$2:$I$5001)/MAX(1,SUM($H$2:$H$5001)),"")</f>
        <v/>
      </c>
      <c r="M2944" s="47" t="str">
        <f aca="false">IF($A2944="","",INDEX($L$2:$L$5001,MATCH($A2944,$A$2:$A$5001,0)))</f>
        <v/>
      </c>
      <c r="N2944" s="48" t="str">
        <f aca="false">IF($A2944="","",IF(N(M2944)=0,"–",IF(M2944&lt;=Start!$D$20,"A",IF(M2944&lt;=Start!$D$21,"B","C"))))</f>
        <v/>
      </c>
      <c r="O2944" s="48" t="str">
        <f aca="false">IF($A2944="","",IF(NOT(ISNUMBER(F2944)),"Wert fehlt; ",IF(F2944&lt;=0,"Wert ist 0; ",""))&amp;IF(NOT(ISNUMBER(E2944)),"Bestand fehlt; ",IF(E2944&lt;0,"Bestand negativ; ",IF(E2944=0,"Nullbestand; ","")))&amp;IF(D2944="","Warengruppe fehlt; ","")&amp;IF(B2944="","Bezeichnung fehlt; ","")&amp;IF(COUNTIFS($A$2:$A$5001,$A2944,$C$2:$C$5001,C2944)&gt;1,"Artikel doppelt im selben Lager; ",""))</f>
        <v/>
      </c>
      <c r="P2944" s="47" t="n">
        <f aca="false">IF(OR($A2944="",D2944=""),0,IF(COUNTIF($D$2:D2944,D2944)=1,SUMIF($D$2:$D$5001,D2944,$H$2:$H$5001)+ROW()/10000000,0))</f>
        <v>0</v>
      </c>
      <c r="Q2944" s="47" t="n">
        <f aca="false">IF(OR($A2944="",C2944=""),0,IF(COUNTIF($C$2:C2944,C2944)=1,SUMIF($C$2:$C$5001,C2944,$H$2:$H$5001)+ROW()/10000000,0))</f>
        <v>0</v>
      </c>
    </row>
    <row r="2945" customFormat="false" ht="15" hidden="false" customHeight="false" outlineLevel="0" collapsed="false">
      <c r="A2945" s="43"/>
      <c r="B2945" s="44"/>
      <c r="C2945" s="44"/>
      <c r="D2945" s="44"/>
      <c r="E2945" s="44"/>
      <c r="F2945" s="44"/>
      <c r="G2945" s="44"/>
      <c r="H2945" s="46" t="str">
        <f aca="false">IF($A2945="","",IF(OR(NOT(ISNUMBER(E2945)),NOT(ISNUMBER(F2945))),"",MAX(0,E2945)*F2945))</f>
        <v/>
      </c>
      <c r="I2945" s="46" t="str">
        <f aca="false">IF($A2945="","",SUMIF($A$2:$A$5001,$A2945,$H$2:$H$5001))</f>
        <v/>
      </c>
      <c r="J2945" s="47" t="n">
        <f aca="false">IF($A2945="",0,IF(COUNTIF($A$2:A2945,$A2945)=1,1,0))</f>
        <v>0</v>
      </c>
      <c r="K2945" s="47" t="n">
        <f aca="false">IF(J2945=1,N(I2945)+ROW()/10000000,0)</f>
        <v>0</v>
      </c>
      <c r="L2945" s="47" t="str">
        <f aca="false">IF(AND(J2945=1,N(I2945)&gt;0),SUMIF($K$2:$K$5001,"&gt;="&amp;K2945,$I$2:$I$5001)/MAX(1,SUM($H$2:$H$5001)),"")</f>
        <v/>
      </c>
      <c r="M2945" s="47" t="str">
        <f aca="false">IF($A2945="","",INDEX($L$2:$L$5001,MATCH($A2945,$A$2:$A$5001,0)))</f>
        <v/>
      </c>
      <c r="N2945" s="48" t="str">
        <f aca="false">IF($A2945="","",IF(N(M2945)=0,"–",IF(M2945&lt;=Start!$D$20,"A",IF(M2945&lt;=Start!$D$21,"B","C"))))</f>
        <v/>
      </c>
      <c r="O2945" s="48" t="str">
        <f aca="false">IF($A2945="","",IF(NOT(ISNUMBER(F2945)),"Wert fehlt; ",IF(F2945&lt;=0,"Wert ist 0; ",""))&amp;IF(NOT(ISNUMBER(E2945)),"Bestand fehlt; ",IF(E2945&lt;0,"Bestand negativ; ",IF(E2945=0,"Nullbestand; ","")))&amp;IF(D2945="","Warengruppe fehlt; ","")&amp;IF(B2945="","Bezeichnung fehlt; ","")&amp;IF(COUNTIFS($A$2:$A$5001,$A2945,$C$2:$C$5001,C2945)&gt;1,"Artikel doppelt im selben Lager; ",""))</f>
        <v/>
      </c>
      <c r="P2945" s="47" t="n">
        <f aca="false">IF(OR($A2945="",D2945=""),0,IF(COUNTIF($D$2:D2945,D2945)=1,SUMIF($D$2:$D$5001,D2945,$H$2:$H$5001)+ROW()/10000000,0))</f>
        <v>0</v>
      </c>
      <c r="Q2945" s="47" t="n">
        <f aca="false">IF(OR($A2945="",C2945=""),0,IF(COUNTIF($C$2:C2945,C2945)=1,SUMIF($C$2:$C$5001,C2945,$H$2:$H$5001)+ROW()/10000000,0))</f>
        <v>0</v>
      </c>
    </row>
    <row r="2946" customFormat="false" ht="15" hidden="false" customHeight="false" outlineLevel="0" collapsed="false">
      <c r="A2946" s="43"/>
      <c r="B2946" s="44"/>
      <c r="C2946" s="44"/>
      <c r="D2946" s="44"/>
      <c r="E2946" s="44"/>
      <c r="F2946" s="44"/>
      <c r="G2946" s="44"/>
      <c r="H2946" s="46" t="str">
        <f aca="false">IF($A2946="","",IF(OR(NOT(ISNUMBER(E2946)),NOT(ISNUMBER(F2946))),"",MAX(0,E2946)*F2946))</f>
        <v/>
      </c>
      <c r="I2946" s="46" t="str">
        <f aca="false">IF($A2946="","",SUMIF($A$2:$A$5001,$A2946,$H$2:$H$5001))</f>
        <v/>
      </c>
      <c r="J2946" s="47" t="n">
        <f aca="false">IF($A2946="",0,IF(COUNTIF($A$2:A2946,$A2946)=1,1,0))</f>
        <v>0</v>
      </c>
      <c r="K2946" s="47" t="n">
        <f aca="false">IF(J2946=1,N(I2946)+ROW()/10000000,0)</f>
        <v>0</v>
      </c>
      <c r="L2946" s="47" t="str">
        <f aca="false">IF(AND(J2946=1,N(I2946)&gt;0),SUMIF($K$2:$K$5001,"&gt;="&amp;K2946,$I$2:$I$5001)/MAX(1,SUM($H$2:$H$5001)),"")</f>
        <v/>
      </c>
      <c r="M2946" s="47" t="str">
        <f aca="false">IF($A2946="","",INDEX($L$2:$L$5001,MATCH($A2946,$A$2:$A$5001,0)))</f>
        <v/>
      </c>
      <c r="N2946" s="48" t="str">
        <f aca="false">IF($A2946="","",IF(N(M2946)=0,"–",IF(M2946&lt;=Start!$D$20,"A",IF(M2946&lt;=Start!$D$21,"B","C"))))</f>
        <v/>
      </c>
      <c r="O2946" s="48" t="str">
        <f aca="false">IF($A2946="","",IF(NOT(ISNUMBER(F2946)),"Wert fehlt; ",IF(F2946&lt;=0,"Wert ist 0; ",""))&amp;IF(NOT(ISNUMBER(E2946)),"Bestand fehlt; ",IF(E2946&lt;0,"Bestand negativ; ",IF(E2946=0,"Nullbestand; ","")))&amp;IF(D2946="","Warengruppe fehlt; ","")&amp;IF(B2946="","Bezeichnung fehlt; ","")&amp;IF(COUNTIFS($A$2:$A$5001,$A2946,$C$2:$C$5001,C2946)&gt;1,"Artikel doppelt im selben Lager; ",""))</f>
        <v/>
      </c>
      <c r="P2946" s="47" t="n">
        <f aca="false">IF(OR($A2946="",D2946=""),0,IF(COUNTIF($D$2:D2946,D2946)=1,SUMIF($D$2:$D$5001,D2946,$H$2:$H$5001)+ROW()/10000000,0))</f>
        <v>0</v>
      </c>
      <c r="Q2946" s="47" t="n">
        <f aca="false">IF(OR($A2946="",C2946=""),0,IF(COUNTIF($C$2:C2946,C2946)=1,SUMIF($C$2:$C$5001,C2946,$H$2:$H$5001)+ROW()/10000000,0))</f>
        <v>0</v>
      </c>
    </row>
    <row r="2947" customFormat="false" ht="15" hidden="false" customHeight="false" outlineLevel="0" collapsed="false">
      <c r="A2947" s="43"/>
      <c r="B2947" s="44"/>
      <c r="C2947" s="44"/>
      <c r="D2947" s="44"/>
      <c r="E2947" s="44"/>
      <c r="F2947" s="44"/>
      <c r="G2947" s="44"/>
      <c r="H2947" s="46" t="str">
        <f aca="false">IF($A2947="","",IF(OR(NOT(ISNUMBER(E2947)),NOT(ISNUMBER(F2947))),"",MAX(0,E2947)*F2947))</f>
        <v/>
      </c>
      <c r="I2947" s="46" t="str">
        <f aca="false">IF($A2947="","",SUMIF($A$2:$A$5001,$A2947,$H$2:$H$5001))</f>
        <v/>
      </c>
      <c r="J2947" s="47" t="n">
        <f aca="false">IF($A2947="",0,IF(COUNTIF($A$2:A2947,$A2947)=1,1,0))</f>
        <v>0</v>
      </c>
      <c r="K2947" s="47" t="n">
        <f aca="false">IF(J2947=1,N(I2947)+ROW()/10000000,0)</f>
        <v>0</v>
      </c>
      <c r="L2947" s="47" t="str">
        <f aca="false">IF(AND(J2947=1,N(I2947)&gt;0),SUMIF($K$2:$K$5001,"&gt;="&amp;K2947,$I$2:$I$5001)/MAX(1,SUM($H$2:$H$5001)),"")</f>
        <v/>
      </c>
      <c r="M2947" s="47" t="str">
        <f aca="false">IF($A2947="","",INDEX($L$2:$L$5001,MATCH($A2947,$A$2:$A$5001,0)))</f>
        <v/>
      </c>
      <c r="N2947" s="48" t="str">
        <f aca="false">IF($A2947="","",IF(N(M2947)=0,"–",IF(M2947&lt;=Start!$D$20,"A",IF(M2947&lt;=Start!$D$21,"B","C"))))</f>
        <v/>
      </c>
      <c r="O2947" s="48" t="str">
        <f aca="false">IF($A2947="","",IF(NOT(ISNUMBER(F2947)),"Wert fehlt; ",IF(F2947&lt;=0,"Wert ist 0; ",""))&amp;IF(NOT(ISNUMBER(E2947)),"Bestand fehlt; ",IF(E2947&lt;0,"Bestand negativ; ",IF(E2947=0,"Nullbestand; ","")))&amp;IF(D2947="","Warengruppe fehlt; ","")&amp;IF(B2947="","Bezeichnung fehlt; ","")&amp;IF(COUNTIFS($A$2:$A$5001,$A2947,$C$2:$C$5001,C2947)&gt;1,"Artikel doppelt im selben Lager; ",""))</f>
        <v/>
      </c>
      <c r="P2947" s="47" t="n">
        <f aca="false">IF(OR($A2947="",D2947=""),0,IF(COUNTIF($D$2:D2947,D2947)=1,SUMIF($D$2:$D$5001,D2947,$H$2:$H$5001)+ROW()/10000000,0))</f>
        <v>0</v>
      </c>
      <c r="Q2947" s="47" t="n">
        <f aca="false">IF(OR($A2947="",C2947=""),0,IF(COUNTIF($C$2:C2947,C2947)=1,SUMIF($C$2:$C$5001,C2947,$H$2:$H$5001)+ROW()/10000000,0))</f>
        <v>0</v>
      </c>
    </row>
    <row r="2948" customFormat="false" ht="15" hidden="false" customHeight="false" outlineLevel="0" collapsed="false">
      <c r="A2948" s="43"/>
      <c r="B2948" s="44"/>
      <c r="C2948" s="44"/>
      <c r="D2948" s="44"/>
      <c r="E2948" s="44"/>
      <c r="F2948" s="44"/>
      <c r="G2948" s="44"/>
      <c r="H2948" s="46" t="str">
        <f aca="false">IF($A2948="","",IF(OR(NOT(ISNUMBER(E2948)),NOT(ISNUMBER(F2948))),"",MAX(0,E2948)*F2948))</f>
        <v/>
      </c>
      <c r="I2948" s="46" t="str">
        <f aca="false">IF($A2948="","",SUMIF($A$2:$A$5001,$A2948,$H$2:$H$5001))</f>
        <v/>
      </c>
      <c r="J2948" s="47" t="n">
        <f aca="false">IF($A2948="",0,IF(COUNTIF($A$2:A2948,$A2948)=1,1,0))</f>
        <v>0</v>
      </c>
      <c r="K2948" s="47" t="n">
        <f aca="false">IF(J2948=1,N(I2948)+ROW()/10000000,0)</f>
        <v>0</v>
      </c>
      <c r="L2948" s="47" t="str">
        <f aca="false">IF(AND(J2948=1,N(I2948)&gt;0),SUMIF($K$2:$K$5001,"&gt;="&amp;K2948,$I$2:$I$5001)/MAX(1,SUM($H$2:$H$5001)),"")</f>
        <v/>
      </c>
      <c r="M2948" s="47" t="str">
        <f aca="false">IF($A2948="","",INDEX($L$2:$L$5001,MATCH($A2948,$A$2:$A$5001,0)))</f>
        <v/>
      </c>
      <c r="N2948" s="48" t="str">
        <f aca="false">IF($A2948="","",IF(N(M2948)=0,"–",IF(M2948&lt;=Start!$D$20,"A",IF(M2948&lt;=Start!$D$21,"B","C"))))</f>
        <v/>
      </c>
      <c r="O2948" s="48" t="str">
        <f aca="false">IF($A2948="","",IF(NOT(ISNUMBER(F2948)),"Wert fehlt; ",IF(F2948&lt;=0,"Wert ist 0; ",""))&amp;IF(NOT(ISNUMBER(E2948)),"Bestand fehlt; ",IF(E2948&lt;0,"Bestand negativ; ",IF(E2948=0,"Nullbestand; ","")))&amp;IF(D2948="","Warengruppe fehlt; ","")&amp;IF(B2948="","Bezeichnung fehlt; ","")&amp;IF(COUNTIFS($A$2:$A$5001,$A2948,$C$2:$C$5001,C2948)&gt;1,"Artikel doppelt im selben Lager; ",""))</f>
        <v/>
      </c>
      <c r="P2948" s="47" t="n">
        <f aca="false">IF(OR($A2948="",D2948=""),0,IF(COUNTIF($D$2:D2948,D2948)=1,SUMIF($D$2:$D$5001,D2948,$H$2:$H$5001)+ROW()/10000000,0))</f>
        <v>0</v>
      </c>
      <c r="Q2948" s="47" t="n">
        <f aca="false">IF(OR($A2948="",C2948=""),0,IF(COUNTIF($C$2:C2948,C2948)=1,SUMIF($C$2:$C$5001,C2948,$H$2:$H$5001)+ROW()/10000000,0))</f>
        <v>0</v>
      </c>
    </row>
    <row r="2949" customFormat="false" ht="15" hidden="false" customHeight="false" outlineLevel="0" collapsed="false">
      <c r="A2949" s="43"/>
      <c r="B2949" s="44"/>
      <c r="C2949" s="44"/>
      <c r="D2949" s="44"/>
      <c r="E2949" s="44"/>
      <c r="F2949" s="44"/>
      <c r="G2949" s="44"/>
      <c r="H2949" s="46" t="str">
        <f aca="false">IF($A2949="","",IF(OR(NOT(ISNUMBER(E2949)),NOT(ISNUMBER(F2949))),"",MAX(0,E2949)*F2949))</f>
        <v/>
      </c>
      <c r="I2949" s="46" t="str">
        <f aca="false">IF($A2949="","",SUMIF($A$2:$A$5001,$A2949,$H$2:$H$5001))</f>
        <v/>
      </c>
      <c r="J2949" s="47" t="n">
        <f aca="false">IF($A2949="",0,IF(COUNTIF($A$2:A2949,$A2949)=1,1,0))</f>
        <v>0</v>
      </c>
      <c r="K2949" s="47" t="n">
        <f aca="false">IF(J2949=1,N(I2949)+ROW()/10000000,0)</f>
        <v>0</v>
      </c>
      <c r="L2949" s="47" t="str">
        <f aca="false">IF(AND(J2949=1,N(I2949)&gt;0),SUMIF($K$2:$K$5001,"&gt;="&amp;K2949,$I$2:$I$5001)/MAX(1,SUM($H$2:$H$5001)),"")</f>
        <v/>
      </c>
      <c r="M2949" s="47" t="str">
        <f aca="false">IF($A2949="","",INDEX($L$2:$L$5001,MATCH($A2949,$A$2:$A$5001,0)))</f>
        <v/>
      </c>
      <c r="N2949" s="48" t="str">
        <f aca="false">IF($A2949="","",IF(N(M2949)=0,"–",IF(M2949&lt;=Start!$D$20,"A",IF(M2949&lt;=Start!$D$21,"B","C"))))</f>
        <v/>
      </c>
      <c r="O2949" s="48" t="str">
        <f aca="false">IF($A2949="","",IF(NOT(ISNUMBER(F2949)),"Wert fehlt; ",IF(F2949&lt;=0,"Wert ist 0; ",""))&amp;IF(NOT(ISNUMBER(E2949)),"Bestand fehlt; ",IF(E2949&lt;0,"Bestand negativ; ",IF(E2949=0,"Nullbestand; ","")))&amp;IF(D2949="","Warengruppe fehlt; ","")&amp;IF(B2949="","Bezeichnung fehlt; ","")&amp;IF(COUNTIFS($A$2:$A$5001,$A2949,$C$2:$C$5001,C2949)&gt;1,"Artikel doppelt im selben Lager; ",""))</f>
        <v/>
      </c>
      <c r="P2949" s="47" t="n">
        <f aca="false">IF(OR($A2949="",D2949=""),0,IF(COUNTIF($D$2:D2949,D2949)=1,SUMIF($D$2:$D$5001,D2949,$H$2:$H$5001)+ROW()/10000000,0))</f>
        <v>0</v>
      </c>
      <c r="Q2949" s="47" t="n">
        <f aca="false">IF(OR($A2949="",C2949=""),0,IF(COUNTIF($C$2:C2949,C2949)=1,SUMIF($C$2:$C$5001,C2949,$H$2:$H$5001)+ROW()/10000000,0))</f>
        <v>0</v>
      </c>
    </row>
    <row r="2950" customFormat="false" ht="15" hidden="false" customHeight="false" outlineLevel="0" collapsed="false">
      <c r="A2950" s="43"/>
      <c r="B2950" s="44"/>
      <c r="C2950" s="44"/>
      <c r="D2950" s="44"/>
      <c r="E2950" s="44"/>
      <c r="F2950" s="44"/>
      <c r="G2950" s="44"/>
      <c r="H2950" s="46" t="str">
        <f aca="false">IF($A2950="","",IF(OR(NOT(ISNUMBER(E2950)),NOT(ISNUMBER(F2950))),"",MAX(0,E2950)*F2950))</f>
        <v/>
      </c>
      <c r="I2950" s="46" t="str">
        <f aca="false">IF($A2950="","",SUMIF($A$2:$A$5001,$A2950,$H$2:$H$5001))</f>
        <v/>
      </c>
      <c r="J2950" s="47" t="n">
        <f aca="false">IF($A2950="",0,IF(COUNTIF($A$2:A2950,$A2950)=1,1,0))</f>
        <v>0</v>
      </c>
      <c r="K2950" s="47" t="n">
        <f aca="false">IF(J2950=1,N(I2950)+ROW()/10000000,0)</f>
        <v>0</v>
      </c>
      <c r="L2950" s="47" t="str">
        <f aca="false">IF(AND(J2950=1,N(I2950)&gt;0),SUMIF($K$2:$K$5001,"&gt;="&amp;K2950,$I$2:$I$5001)/MAX(1,SUM($H$2:$H$5001)),"")</f>
        <v/>
      </c>
      <c r="M2950" s="47" t="str">
        <f aca="false">IF($A2950="","",INDEX($L$2:$L$5001,MATCH($A2950,$A$2:$A$5001,0)))</f>
        <v/>
      </c>
      <c r="N2950" s="48" t="str">
        <f aca="false">IF($A2950="","",IF(N(M2950)=0,"–",IF(M2950&lt;=Start!$D$20,"A",IF(M2950&lt;=Start!$D$21,"B","C"))))</f>
        <v/>
      </c>
      <c r="O2950" s="48" t="str">
        <f aca="false">IF($A2950="","",IF(NOT(ISNUMBER(F2950)),"Wert fehlt; ",IF(F2950&lt;=0,"Wert ist 0; ",""))&amp;IF(NOT(ISNUMBER(E2950)),"Bestand fehlt; ",IF(E2950&lt;0,"Bestand negativ; ",IF(E2950=0,"Nullbestand; ","")))&amp;IF(D2950="","Warengruppe fehlt; ","")&amp;IF(B2950="","Bezeichnung fehlt; ","")&amp;IF(COUNTIFS($A$2:$A$5001,$A2950,$C$2:$C$5001,C2950)&gt;1,"Artikel doppelt im selben Lager; ",""))</f>
        <v/>
      </c>
      <c r="P2950" s="47" t="n">
        <f aca="false">IF(OR($A2950="",D2950=""),0,IF(COUNTIF($D$2:D2950,D2950)=1,SUMIF($D$2:$D$5001,D2950,$H$2:$H$5001)+ROW()/10000000,0))</f>
        <v>0</v>
      </c>
      <c r="Q2950" s="47" t="n">
        <f aca="false">IF(OR($A2950="",C2950=""),0,IF(COUNTIF($C$2:C2950,C2950)=1,SUMIF($C$2:$C$5001,C2950,$H$2:$H$5001)+ROW()/10000000,0))</f>
        <v>0</v>
      </c>
    </row>
    <row r="2951" customFormat="false" ht="15" hidden="false" customHeight="false" outlineLevel="0" collapsed="false">
      <c r="A2951" s="43"/>
      <c r="B2951" s="44"/>
      <c r="C2951" s="44"/>
      <c r="D2951" s="44"/>
      <c r="E2951" s="44"/>
      <c r="F2951" s="44"/>
      <c r="G2951" s="44"/>
      <c r="H2951" s="46" t="str">
        <f aca="false">IF($A2951="","",IF(OR(NOT(ISNUMBER(E2951)),NOT(ISNUMBER(F2951))),"",MAX(0,E2951)*F2951))</f>
        <v/>
      </c>
      <c r="I2951" s="46" t="str">
        <f aca="false">IF($A2951="","",SUMIF($A$2:$A$5001,$A2951,$H$2:$H$5001))</f>
        <v/>
      </c>
      <c r="J2951" s="47" t="n">
        <f aca="false">IF($A2951="",0,IF(COUNTIF($A$2:A2951,$A2951)=1,1,0))</f>
        <v>0</v>
      </c>
      <c r="K2951" s="47" t="n">
        <f aca="false">IF(J2951=1,N(I2951)+ROW()/10000000,0)</f>
        <v>0</v>
      </c>
      <c r="L2951" s="47" t="str">
        <f aca="false">IF(AND(J2951=1,N(I2951)&gt;0),SUMIF($K$2:$K$5001,"&gt;="&amp;K2951,$I$2:$I$5001)/MAX(1,SUM($H$2:$H$5001)),"")</f>
        <v/>
      </c>
      <c r="M2951" s="47" t="str">
        <f aca="false">IF($A2951="","",INDEX($L$2:$L$5001,MATCH($A2951,$A$2:$A$5001,0)))</f>
        <v/>
      </c>
      <c r="N2951" s="48" t="str">
        <f aca="false">IF($A2951="","",IF(N(M2951)=0,"–",IF(M2951&lt;=Start!$D$20,"A",IF(M2951&lt;=Start!$D$21,"B","C"))))</f>
        <v/>
      </c>
      <c r="O2951" s="48" t="str">
        <f aca="false">IF($A2951="","",IF(NOT(ISNUMBER(F2951)),"Wert fehlt; ",IF(F2951&lt;=0,"Wert ist 0; ",""))&amp;IF(NOT(ISNUMBER(E2951)),"Bestand fehlt; ",IF(E2951&lt;0,"Bestand negativ; ",IF(E2951=0,"Nullbestand; ","")))&amp;IF(D2951="","Warengruppe fehlt; ","")&amp;IF(B2951="","Bezeichnung fehlt; ","")&amp;IF(COUNTIFS($A$2:$A$5001,$A2951,$C$2:$C$5001,C2951)&gt;1,"Artikel doppelt im selben Lager; ",""))</f>
        <v/>
      </c>
      <c r="P2951" s="47" t="n">
        <f aca="false">IF(OR($A2951="",D2951=""),0,IF(COUNTIF($D$2:D2951,D2951)=1,SUMIF($D$2:$D$5001,D2951,$H$2:$H$5001)+ROW()/10000000,0))</f>
        <v>0</v>
      </c>
      <c r="Q2951" s="47" t="n">
        <f aca="false">IF(OR($A2951="",C2951=""),0,IF(COUNTIF($C$2:C2951,C2951)=1,SUMIF($C$2:$C$5001,C2951,$H$2:$H$5001)+ROW()/10000000,0))</f>
        <v>0</v>
      </c>
    </row>
    <row r="2952" customFormat="false" ht="15" hidden="false" customHeight="false" outlineLevel="0" collapsed="false">
      <c r="A2952" s="43"/>
      <c r="B2952" s="44"/>
      <c r="C2952" s="44"/>
      <c r="D2952" s="44"/>
      <c r="E2952" s="44"/>
      <c r="F2952" s="44"/>
      <c r="G2952" s="44"/>
      <c r="H2952" s="46" t="str">
        <f aca="false">IF($A2952="","",IF(OR(NOT(ISNUMBER(E2952)),NOT(ISNUMBER(F2952))),"",MAX(0,E2952)*F2952))</f>
        <v/>
      </c>
      <c r="I2952" s="46" t="str">
        <f aca="false">IF($A2952="","",SUMIF($A$2:$A$5001,$A2952,$H$2:$H$5001))</f>
        <v/>
      </c>
      <c r="J2952" s="47" t="n">
        <f aca="false">IF($A2952="",0,IF(COUNTIF($A$2:A2952,$A2952)=1,1,0))</f>
        <v>0</v>
      </c>
      <c r="K2952" s="47" t="n">
        <f aca="false">IF(J2952=1,N(I2952)+ROW()/10000000,0)</f>
        <v>0</v>
      </c>
      <c r="L2952" s="47" t="str">
        <f aca="false">IF(AND(J2952=1,N(I2952)&gt;0),SUMIF($K$2:$K$5001,"&gt;="&amp;K2952,$I$2:$I$5001)/MAX(1,SUM($H$2:$H$5001)),"")</f>
        <v/>
      </c>
      <c r="M2952" s="47" t="str">
        <f aca="false">IF($A2952="","",INDEX($L$2:$L$5001,MATCH($A2952,$A$2:$A$5001,0)))</f>
        <v/>
      </c>
      <c r="N2952" s="48" t="str">
        <f aca="false">IF($A2952="","",IF(N(M2952)=0,"–",IF(M2952&lt;=Start!$D$20,"A",IF(M2952&lt;=Start!$D$21,"B","C"))))</f>
        <v/>
      </c>
      <c r="O2952" s="48" t="str">
        <f aca="false">IF($A2952="","",IF(NOT(ISNUMBER(F2952)),"Wert fehlt; ",IF(F2952&lt;=0,"Wert ist 0; ",""))&amp;IF(NOT(ISNUMBER(E2952)),"Bestand fehlt; ",IF(E2952&lt;0,"Bestand negativ; ",IF(E2952=0,"Nullbestand; ","")))&amp;IF(D2952="","Warengruppe fehlt; ","")&amp;IF(B2952="","Bezeichnung fehlt; ","")&amp;IF(COUNTIFS($A$2:$A$5001,$A2952,$C$2:$C$5001,C2952)&gt;1,"Artikel doppelt im selben Lager; ",""))</f>
        <v/>
      </c>
      <c r="P2952" s="47" t="n">
        <f aca="false">IF(OR($A2952="",D2952=""),0,IF(COUNTIF($D$2:D2952,D2952)=1,SUMIF($D$2:$D$5001,D2952,$H$2:$H$5001)+ROW()/10000000,0))</f>
        <v>0</v>
      </c>
      <c r="Q2952" s="47" t="n">
        <f aca="false">IF(OR($A2952="",C2952=""),0,IF(COUNTIF($C$2:C2952,C2952)=1,SUMIF($C$2:$C$5001,C2952,$H$2:$H$5001)+ROW()/10000000,0))</f>
        <v>0</v>
      </c>
    </row>
    <row r="2953" customFormat="false" ht="15" hidden="false" customHeight="false" outlineLevel="0" collapsed="false">
      <c r="A2953" s="43"/>
      <c r="B2953" s="44"/>
      <c r="C2953" s="44"/>
      <c r="D2953" s="44"/>
      <c r="E2953" s="44"/>
      <c r="F2953" s="44"/>
      <c r="G2953" s="44"/>
      <c r="H2953" s="46" t="str">
        <f aca="false">IF($A2953="","",IF(OR(NOT(ISNUMBER(E2953)),NOT(ISNUMBER(F2953))),"",MAX(0,E2953)*F2953))</f>
        <v/>
      </c>
      <c r="I2953" s="46" t="str">
        <f aca="false">IF($A2953="","",SUMIF($A$2:$A$5001,$A2953,$H$2:$H$5001))</f>
        <v/>
      </c>
      <c r="J2953" s="47" t="n">
        <f aca="false">IF($A2953="",0,IF(COUNTIF($A$2:A2953,$A2953)=1,1,0))</f>
        <v>0</v>
      </c>
      <c r="K2953" s="47" t="n">
        <f aca="false">IF(J2953=1,N(I2953)+ROW()/10000000,0)</f>
        <v>0</v>
      </c>
      <c r="L2953" s="47" t="str">
        <f aca="false">IF(AND(J2953=1,N(I2953)&gt;0),SUMIF($K$2:$K$5001,"&gt;="&amp;K2953,$I$2:$I$5001)/MAX(1,SUM($H$2:$H$5001)),"")</f>
        <v/>
      </c>
      <c r="M2953" s="47" t="str">
        <f aca="false">IF($A2953="","",INDEX($L$2:$L$5001,MATCH($A2953,$A$2:$A$5001,0)))</f>
        <v/>
      </c>
      <c r="N2953" s="48" t="str">
        <f aca="false">IF($A2953="","",IF(N(M2953)=0,"–",IF(M2953&lt;=Start!$D$20,"A",IF(M2953&lt;=Start!$D$21,"B","C"))))</f>
        <v/>
      </c>
      <c r="O2953" s="48" t="str">
        <f aca="false">IF($A2953="","",IF(NOT(ISNUMBER(F2953)),"Wert fehlt; ",IF(F2953&lt;=0,"Wert ist 0; ",""))&amp;IF(NOT(ISNUMBER(E2953)),"Bestand fehlt; ",IF(E2953&lt;0,"Bestand negativ; ",IF(E2953=0,"Nullbestand; ","")))&amp;IF(D2953="","Warengruppe fehlt; ","")&amp;IF(B2953="","Bezeichnung fehlt; ","")&amp;IF(COUNTIFS($A$2:$A$5001,$A2953,$C$2:$C$5001,C2953)&gt;1,"Artikel doppelt im selben Lager; ",""))</f>
        <v/>
      </c>
      <c r="P2953" s="47" t="n">
        <f aca="false">IF(OR($A2953="",D2953=""),0,IF(COUNTIF($D$2:D2953,D2953)=1,SUMIF($D$2:$D$5001,D2953,$H$2:$H$5001)+ROW()/10000000,0))</f>
        <v>0</v>
      </c>
      <c r="Q2953" s="47" t="n">
        <f aca="false">IF(OR($A2953="",C2953=""),0,IF(COUNTIF($C$2:C2953,C2953)=1,SUMIF($C$2:$C$5001,C2953,$H$2:$H$5001)+ROW()/10000000,0))</f>
        <v>0</v>
      </c>
    </row>
    <row r="2954" customFormat="false" ht="15" hidden="false" customHeight="false" outlineLevel="0" collapsed="false">
      <c r="A2954" s="43"/>
      <c r="B2954" s="44"/>
      <c r="C2954" s="44"/>
      <c r="D2954" s="44"/>
      <c r="E2954" s="44"/>
      <c r="F2954" s="44"/>
      <c r="G2954" s="44"/>
      <c r="H2954" s="46" t="str">
        <f aca="false">IF($A2954="","",IF(OR(NOT(ISNUMBER(E2954)),NOT(ISNUMBER(F2954))),"",MAX(0,E2954)*F2954))</f>
        <v/>
      </c>
      <c r="I2954" s="46" t="str">
        <f aca="false">IF($A2954="","",SUMIF($A$2:$A$5001,$A2954,$H$2:$H$5001))</f>
        <v/>
      </c>
      <c r="J2954" s="47" t="n">
        <f aca="false">IF($A2954="",0,IF(COUNTIF($A$2:A2954,$A2954)=1,1,0))</f>
        <v>0</v>
      </c>
      <c r="K2954" s="47" t="n">
        <f aca="false">IF(J2954=1,N(I2954)+ROW()/10000000,0)</f>
        <v>0</v>
      </c>
      <c r="L2954" s="47" t="str">
        <f aca="false">IF(AND(J2954=1,N(I2954)&gt;0),SUMIF($K$2:$K$5001,"&gt;="&amp;K2954,$I$2:$I$5001)/MAX(1,SUM($H$2:$H$5001)),"")</f>
        <v/>
      </c>
      <c r="M2954" s="47" t="str">
        <f aca="false">IF($A2954="","",INDEX($L$2:$L$5001,MATCH($A2954,$A$2:$A$5001,0)))</f>
        <v/>
      </c>
      <c r="N2954" s="48" t="str">
        <f aca="false">IF($A2954="","",IF(N(M2954)=0,"–",IF(M2954&lt;=Start!$D$20,"A",IF(M2954&lt;=Start!$D$21,"B","C"))))</f>
        <v/>
      </c>
      <c r="O2954" s="48" t="str">
        <f aca="false">IF($A2954="","",IF(NOT(ISNUMBER(F2954)),"Wert fehlt; ",IF(F2954&lt;=0,"Wert ist 0; ",""))&amp;IF(NOT(ISNUMBER(E2954)),"Bestand fehlt; ",IF(E2954&lt;0,"Bestand negativ; ",IF(E2954=0,"Nullbestand; ","")))&amp;IF(D2954="","Warengruppe fehlt; ","")&amp;IF(B2954="","Bezeichnung fehlt; ","")&amp;IF(COUNTIFS($A$2:$A$5001,$A2954,$C$2:$C$5001,C2954)&gt;1,"Artikel doppelt im selben Lager; ",""))</f>
        <v/>
      </c>
      <c r="P2954" s="47" t="n">
        <f aca="false">IF(OR($A2954="",D2954=""),0,IF(COUNTIF($D$2:D2954,D2954)=1,SUMIF($D$2:$D$5001,D2954,$H$2:$H$5001)+ROW()/10000000,0))</f>
        <v>0</v>
      </c>
      <c r="Q2954" s="47" t="n">
        <f aca="false">IF(OR($A2954="",C2954=""),0,IF(COUNTIF($C$2:C2954,C2954)=1,SUMIF($C$2:$C$5001,C2954,$H$2:$H$5001)+ROW()/10000000,0))</f>
        <v>0</v>
      </c>
    </row>
    <row r="2955" customFormat="false" ht="15" hidden="false" customHeight="false" outlineLevel="0" collapsed="false">
      <c r="A2955" s="43"/>
      <c r="B2955" s="44"/>
      <c r="C2955" s="44"/>
      <c r="D2955" s="44"/>
      <c r="E2955" s="44"/>
      <c r="F2955" s="44"/>
      <c r="G2955" s="44"/>
      <c r="H2955" s="46" t="str">
        <f aca="false">IF($A2955="","",IF(OR(NOT(ISNUMBER(E2955)),NOT(ISNUMBER(F2955))),"",MAX(0,E2955)*F2955))</f>
        <v/>
      </c>
      <c r="I2955" s="46" t="str">
        <f aca="false">IF($A2955="","",SUMIF($A$2:$A$5001,$A2955,$H$2:$H$5001))</f>
        <v/>
      </c>
      <c r="J2955" s="47" t="n">
        <f aca="false">IF($A2955="",0,IF(COUNTIF($A$2:A2955,$A2955)=1,1,0))</f>
        <v>0</v>
      </c>
      <c r="K2955" s="47" t="n">
        <f aca="false">IF(J2955=1,N(I2955)+ROW()/10000000,0)</f>
        <v>0</v>
      </c>
      <c r="L2955" s="47" t="str">
        <f aca="false">IF(AND(J2955=1,N(I2955)&gt;0),SUMIF($K$2:$K$5001,"&gt;="&amp;K2955,$I$2:$I$5001)/MAX(1,SUM($H$2:$H$5001)),"")</f>
        <v/>
      </c>
      <c r="M2955" s="47" t="str">
        <f aca="false">IF($A2955="","",INDEX($L$2:$L$5001,MATCH($A2955,$A$2:$A$5001,0)))</f>
        <v/>
      </c>
      <c r="N2955" s="48" t="str">
        <f aca="false">IF($A2955="","",IF(N(M2955)=0,"–",IF(M2955&lt;=Start!$D$20,"A",IF(M2955&lt;=Start!$D$21,"B","C"))))</f>
        <v/>
      </c>
      <c r="O2955" s="48" t="str">
        <f aca="false">IF($A2955="","",IF(NOT(ISNUMBER(F2955)),"Wert fehlt; ",IF(F2955&lt;=0,"Wert ist 0; ",""))&amp;IF(NOT(ISNUMBER(E2955)),"Bestand fehlt; ",IF(E2955&lt;0,"Bestand negativ; ",IF(E2955=0,"Nullbestand; ","")))&amp;IF(D2955="","Warengruppe fehlt; ","")&amp;IF(B2955="","Bezeichnung fehlt; ","")&amp;IF(COUNTIFS($A$2:$A$5001,$A2955,$C$2:$C$5001,C2955)&gt;1,"Artikel doppelt im selben Lager; ",""))</f>
        <v/>
      </c>
      <c r="P2955" s="47" t="n">
        <f aca="false">IF(OR($A2955="",D2955=""),0,IF(COUNTIF($D$2:D2955,D2955)=1,SUMIF($D$2:$D$5001,D2955,$H$2:$H$5001)+ROW()/10000000,0))</f>
        <v>0</v>
      </c>
      <c r="Q2955" s="47" t="n">
        <f aca="false">IF(OR($A2955="",C2955=""),0,IF(COUNTIF($C$2:C2955,C2955)=1,SUMIF($C$2:$C$5001,C2955,$H$2:$H$5001)+ROW()/10000000,0))</f>
        <v>0</v>
      </c>
    </row>
    <row r="2956" customFormat="false" ht="15" hidden="false" customHeight="false" outlineLevel="0" collapsed="false">
      <c r="A2956" s="43"/>
      <c r="B2956" s="44"/>
      <c r="C2956" s="44"/>
      <c r="D2956" s="44"/>
      <c r="E2956" s="44"/>
      <c r="F2956" s="44"/>
      <c r="G2956" s="44"/>
      <c r="H2956" s="46" t="str">
        <f aca="false">IF($A2956="","",IF(OR(NOT(ISNUMBER(E2956)),NOT(ISNUMBER(F2956))),"",MAX(0,E2956)*F2956))</f>
        <v/>
      </c>
      <c r="I2956" s="46" t="str">
        <f aca="false">IF($A2956="","",SUMIF($A$2:$A$5001,$A2956,$H$2:$H$5001))</f>
        <v/>
      </c>
      <c r="J2956" s="47" t="n">
        <f aca="false">IF($A2956="",0,IF(COUNTIF($A$2:A2956,$A2956)=1,1,0))</f>
        <v>0</v>
      </c>
      <c r="K2956" s="47" t="n">
        <f aca="false">IF(J2956=1,N(I2956)+ROW()/10000000,0)</f>
        <v>0</v>
      </c>
      <c r="L2956" s="47" t="str">
        <f aca="false">IF(AND(J2956=1,N(I2956)&gt;0),SUMIF($K$2:$K$5001,"&gt;="&amp;K2956,$I$2:$I$5001)/MAX(1,SUM($H$2:$H$5001)),"")</f>
        <v/>
      </c>
      <c r="M2956" s="47" t="str">
        <f aca="false">IF($A2956="","",INDEX($L$2:$L$5001,MATCH($A2956,$A$2:$A$5001,0)))</f>
        <v/>
      </c>
      <c r="N2956" s="48" t="str">
        <f aca="false">IF($A2956="","",IF(N(M2956)=0,"–",IF(M2956&lt;=Start!$D$20,"A",IF(M2956&lt;=Start!$D$21,"B","C"))))</f>
        <v/>
      </c>
      <c r="O2956" s="48" t="str">
        <f aca="false">IF($A2956="","",IF(NOT(ISNUMBER(F2956)),"Wert fehlt; ",IF(F2956&lt;=0,"Wert ist 0; ",""))&amp;IF(NOT(ISNUMBER(E2956)),"Bestand fehlt; ",IF(E2956&lt;0,"Bestand negativ; ",IF(E2956=0,"Nullbestand; ","")))&amp;IF(D2956="","Warengruppe fehlt; ","")&amp;IF(B2956="","Bezeichnung fehlt; ","")&amp;IF(COUNTIFS($A$2:$A$5001,$A2956,$C$2:$C$5001,C2956)&gt;1,"Artikel doppelt im selben Lager; ",""))</f>
        <v/>
      </c>
      <c r="P2956" s="47" t="n">
        <f aca="false">IF(OR($A2956="",D2956=""),0,IF(COUNTIF($D$2:D2956,D2956)=1,SUMIF($D$2:$D$5001,D2956,$H$2:$H$5001)+ROW()/10000000,0))</f>
        <v>0</v>
      </c>
      <c r="Q2956" s="47" t="n">
        <f aca="false">IF(OR($A2956="",C2956=""),0,IF(COUNTIF($C$2:C2956,C2956)=1,SUMIF($C$2:$C$5001,C2956,$H$2:$H$5001)+ROW()/10000000,0))</f>
        <v>0</v>
      </c>
    </row>
    <row r="2957" customFormat="false" ht="15" hidden="false" customHeight="false" outlineLevel="0" collapsed="false">
      <c r="A2957" s="43"/>
      <c r="B2957" s="44"/>
      <c r="C2957" s="44"/>
      <c r="D2957" s="44"/>
      <c r="E2957" s="44"/>
      <c r="F2957" s="44"/>
      <c r="G2957" s="44"/>
      <c r="H2957" s="46" t="str">
        <f aca="false">IF($A2957="","",IF(OR(NOT(ISNUMBER(E2957)),NOT(ISNUMBER(F2957))),"",MAX(0,E2957)*F2957))</f>
        <v/>
      </c>
      <c r="I2957" s="46" t="str">
        <f aca="false">IF($A2957="","",SUMIF($A$2:$A$5001,$A2957,$H$2:$H$5001))</f>
        <v/>
      </c>
      <c r="J2957" s="47" t="n">
        <f aca="false">IF($A2957="",0,IF(COUNTIF($A$2:A2957,$A2957)=1,1,0))</f>
        <v>0</v>
      </c>
      <c r="K2957" s="47" t="n">
        <f aca="false">IF(J2957=1,N(I2957)+ROW()/10000000,0)</f>
        <v>0</v>
      </c>
      <c r="L2957" s="47" t="str">
        <f aca="false">IF(AND(J2957=1,N(I2957)&gt;0),SUMIF($K$2:$K$5001,"&gt;="&amp;K2957,$I$2:$I$5001)/MAX(1,SUM($H$2:$H$5001)),"")</f>
        <v/>
      </c>
      <c r="M2957" s="47" t="str">
        <f aca="false">IF($A2957="","",INDEX($L$2:$L$5001,MATCH($A2957,$A$2:$A$5001,0)))</f>
        <v/>
      </c>
      <c r="N2957" s="48" t="str">
        <f aca="false">IF($A2957="","",IF(N(M2957)=0,"–",IF(M2957&lt;=Start!$D$20,"A",IF(M2957&lt;=Start!$D$21,"B","C"))))</f>
        <v/>
      </c>
      <c r="O2957" s="48" t="str">
        <f aca="false">IF($A2957="","",IF(NOT(ISNUMBER(F2957)),"Wert fehlt; ",IF(F2957&lt;=0,"Wert ist 0; ",""))&amp;IF(NOT(ISNUMBER(E2957)),"Bestand fehlt; ",IF(E2957&lt;0,"Bestand negativ; ",IF(E2957=0,"Nullbestand; ","")))&amp;IF(D2957="","Warengruppe fehlt; ","")&amp;IF(B2957="","Bezeichnung fehlt; ","")&amp;IF(COUNTIFS($A$2:$A$5001,$A2957,$C$2:$C$5001,C2957)&gt;1,"Artikel doppelt im selben Lager; ",""))</f>
        <v/>
      </c>
      <c r="P2957" s="47" t="n">
        <f aca="false">IF(OR($A2957="",D2957=""),0,IF(COUNTIF($D$2:D2957,D2957)=1,SUMIF($D$2:$D$5001,D2957,$H$2:$H$5001)+ROW()/10000000,0))</f>
        <v>0</v>
      </c>
      <c r="Q2957" s="47" t="n">
        <f aca="false">IF(OR($A2957="",C2957=""),0,IF(COUNTIF($C$2:C2957,C2957)=1,SUMIF($C$2:$C$5001,C2957,$H$2:$H$5001)+ROW()/10000000,0))</f>
        <v>0</v>
      </c>
    </row>
    <row r="2958" customFormat="false" ht="15" hidden="false" customHeight="false" outlineLevel="0" collapsed="false">
      <c r="A2958" s="43"/>
      <c r="B2958" s="44"/>
      <c r="C2958" s="44"/>
      <c r="D2958" s="44"/>
      <c r="E2958" s="44"/>
      <c r="F2958" s="44"/>
      <c r="G2958" s="44"/>
      <c r="H2958" s="46" t="str">
        <f aca="false">IF($A2958="","",IF(OR(NOT(ISNUMBER(E2958)),NOT(ISNUMBER(F2958))),"",MAX(0,E2958)*F2958))</f>
        <v/>
      </c>
      <c r="I2958" s="46" t="str">
        <f aca="false">IF($A2958="","",SUMIF($A$2:$A$5001,$A2958,$H$2:$H$5001))</f>
        <v/>
      </c>
      <c r="J2958" s="47" t="n">
        <f aca="false">IF($A2958="",0,IF(COUNTIF($A$2:A2958,$A2958)=1,1,0))</f>
        <v>0</v>
      </c>
      <c r="K2958" s="47" t="n">
        <f aca="false">IF(J2958=1,N(I2958)+ROW()/10000000,0)</f>
        <v>0</v>
      </c>
      <c r="L2958" s="47" t="str">
        <f aca="false">IF(AND(J2958=1,N(I2958)&gt;0),SUMIF($K$2:$K$5001,"&gt;="&amp;K2958,$I$2:$I$5001)/MAX(1,SUM($H$2:$H$5001)),"")</f>
        <v/>
      </c>
      <c r="M2958" s="47" t="str">
        <f aca="false">IF($A2958="","",INDEX($L$2:$L$5001,MATCH($A2958,$A$2:$A$5001,0)))</f>
        <v/>
      </c>
      <c r="N2958" s="48" t="str">
        <f aca="false">IF($A2958="","",IF(N(M2958)=0,"–",IF(M2958&lt;=Start!$D$20,"A",IF(M2958&lt;=Start!$D$21,"B","C"))))</f>
        <v/>
      </c>
      <c r="O2958" s="48" t="str">
        <f aca="false">IF($A2958="","",IF(NOT(ISNUMBER(F2958)),"Wert fehlt; ",IF(F2958&lt;=0,"Wert ist 0; ",""))&amp;IF(NOT(ISNUMBER(E2958)),"Bestand fehlt; ",IF(E2958&lt;0,"Bestand negativ; ",IF(E2958=0,"Nullbestand; ","")))&amp;IF(D2958="","Warengruppe fehlt; ","")&amp;IF(B2958="","Bezeichnung fehlt; ","")&amp;IF(COUNTIFS($A$2:$A$5001,$A2958,$C$2:$C$5001,C2958)&gt;1,"Artikel doppelt im selben Lager; ",""))</f>
        <v/>
      </c>
      <c r="P2958" s="47" t="n">
        <f aca="false">IF(OR($A2958="",D2958=""),0,IF(COUNTIF($D$2:D2958,D2958)=1,SUMIF($D$2:$D$5001,D2958,$H$2:$H$5001)+ROW()/10000000,0))</f>
        <v>0</v>
      </c>
      <c r="Q2958" s="47" t="n">
        <f aca="false">IF(OR($A2958="",C2958=""),0,IF(COUNTIF($C$2:C2958,C2958)=1,SUMIF($C$2:$C$5001,C2958,$H$2:$H$5001)+ROW()/10000000,0))</f>
        <v>0</v>
      </c>
    </row>
    <row r="2959" customFormat="false" ht="15" hidden="false" customHeight="false" outlineLevel="0" collapsed="false">
      <c r="A2959" s="43"/>
      <c r="B2959" s="44"/>
      <c r="C2959" s="44"/>
      <c r="D2959" s="44"/>
      <c r="E2959" s="44"/>
      <c r="F2959" s="44"/>
      <c r="G2959" s="44"/>
      <c r="H2959" s="46" t="str">
        <f aca="false">IF($A2959="","",IF(OR(NOT(ISNUMBER(E2959)),NOT(ISNUMBER(F2959))),"",MAX(0,E2959)*F2959))</f>
        <v/>
      </c>
      <c r="I2959" s="46" t="str">
        <f aca="false">IF($A2959="","",SUMIF($A$2:$A$5001,$A2959,$H$2:$H$5001))</f>
        <v/>
      </c>
      <c r="J2959" s="47" t="n">
        <f aca="false">IF($A2959="",0,IF(COUNTIF($A$2:A2959,$A2959)=1,1,0))</f>
        <v>0</v>
      </c>
      <c r="K2959" s="47" t="n">
        <f aca="false">IF(J2959=1,N(I2959)+ROW()/10000000,0)</f>
        <v>0</v>
      </c>
      <c r="L2959" s="47" t="str">
        <f aca="false">IF(AND(J2959=1,N(I2959)&gt;0),SUMIF($K$2:$K$5001,"&gt;="&amp;K2959,$I$2:$I$5001)/MAX(1,SUM($H$2:$H$5001)),"")</f>
        <v/>
      </c>
      <c r="M2959" s="47" t="str">
        <f aca="false">IF($A2959="","",INDEX($L$2:$L$5001,MATCH($A2959,$A$2:$A$5001,0)))</f>
        <v/>
      </c>
      <c r="N2959" s="48" t="str">
        <f aca="false">IF($A2959="","",IF(N(M2959)=0,"–",IF(M2959&lt;=Start!$D$20,"A",IF(M2959&lt;=Start!$D$21,"B","C"))))</f>
        <v/>
      </c>
      <c r="O2959" s="48" t="str">
        <f aca="false">IF($A2959="","",IF(NOT(ISNUMBER(F2959)),"Wert fehlt; ",IF(F2959&lt;=0,"Wert ist 0; ",""))&amp;IF(NOT(ISNUMBER(E2959)),"Bestand fehlt; ",IF(E2959&lt;0,"Bestand negativ; ",IF(E2959=0,"Nullbestand; ","")))&amp;IF(D2959="","Warengruppe fehlt; ","")&amp;IF(B2959="","Bezeichnung fehlt; ","")&amp;IF(COUNTIFS($A$2:$A$5001,$A2959,$C$2:$C$5001,C2959)&gt;1,"Artikel doppelt im selben Lager; ",""))</f>
        <v/>
      </c>
      <c r="P2959" s="47" t="n">
        <f aca="false">IF(OR($A2959="",D2959=""),0,IF(COUNTIF($D$2:D2959,D2959)=1,SUMIF($D$2:$D$5001,D2959,$H$2:$H$5001)+ROW()/10000000,0))</f>
        <v>0</v>
      </c>
      <c r="Q2959" s="47" t="n">
        <f aca="false">IF(OR($A2959="",C2959=""),0,IF(COUNTIF($C$2:C2959,C2959)=1,SUMIF($C$2:$C$5001,C2959,$H$2:$H$5001)+ROW()/10000000,0))</f>
        <v>0</v>
      </c>
    </row>
    <row r="2960" customFormat="false" ht="15" hidden="false" customHeight="false" outlineLevel="0" collapsed="false">
      <c r="A2960" s="43"/>
      <c r="B2960" s="44"/>
      <c r="C2960" s="44"/>
      <c r="D2960" s="44"/>
      <c r="E2960" s="44"/>
      <c r="F2960" s="44"/>
      <c r="G2960" s="44"/>
      <c r="H2960" s="46" t="str">
        <f aca="false">IF($A2960="","",IF(OR(NOT(ISNUMBER(E2960)),NOT(ISNUMBER(F2960))),"",MAX(0,E2960)*F2960))</f>
        <v/>
      </c>
      <c r="I2960" s="46" t="str">
        <f aca="false">IF($A2960="","",SUMIF($A$2:$A$5001,$A2960,$H$2:$H$5001))</f>
        <v/>
      </c>
      <c r="J2960" s="47" t="n">
        <f aca="false">IF($A2960="",0,IF(COUNTIF($A$2:A2960,$A2960)=1,1,0))</f>
        <v>0</v>
      </c>
      <c r="K2960" s="47" t="n">
        <f aca="false">IF(J2960=1,N(I2960)+ROW()/10000000,0)</f>
        <v>0</v>
      </c>
      <c r="L2960" s="47" t="str">
        <f aca="false">IF(AND(J2960=1,N(I2960)&gt;0),SUMIF($K$2:$K$5001,"&gt;="&amp;K2960,$I$2:$I$5001)/MAX(1,SUM($H$2:$H$5001)),"")</f>
        <v/>
      </c>
      <c r="M2960" s="47" t="str">
        <f aca="false">IF($A2960="","",INDEX($L$2:$L$5001,MATCH($A2960,$A$2:$A$5001,0)))</f>
        <v/>
      </c>
      <c r="N2960" s="48" t="str">
        <f aca="false">IF($A2960="","",IF(N(M2960)=0,"–",IF(M2960&lt;=Start!$D$20,"A",IF(M2960&lt;=Start!$D$21,"B","C"))))</f>
        <v/>
      </c>
      <c r="O2960" s="48" t="str">
        <f aca="false">IF($A2960="","",IF(NOT(ISNUMBER(F2960)),"Wert fehlt; ",IF(F2960&lt;=0,"Wert ist 0; ",""))&amp;IF(NOT(ISNUMBER(E2960)),"Bestand fehlt; ",IF(E2960&lt;0,"Bestand negativ; ",IF(E2960=0,"Nullbestand; ","")))&amp;IF(D2960="","Warengruppe fehlt; ","")&amp;IF(B2960="","Bezeichnung fehlt; ","")&amp;IF(COUNTIFS($A$2:$A$5001,$A2960,$C$2:$C$5001,C2960)&gt;1,"Artikel doppelt im selben Lager; ",""))</f>
        <v/>
      </c>
      <c r="P2960" s="47" t="n">
        <f aca="false">IF(OR($A2960="",D2960=""),0,IF(COUNTIF($D$2:D2960,D2960)=1,SUMIF($D$2:$D$5001,D2960,$H$2:$H$5001)+ROW()/10000000,0))</f>
        <v>0</v>
      </c>
      <c r="Q2960" s="47" t="n">
        <f aca="false">IF(OR($A2960="",C2960=""),0,IF(COUNTIF($C$2:C2960,C2960)=1,SUMIF($C$2:$C$5001,C2960,$H$2:$H$5001)+ROW()/10000000,0))</f>
        <v>0</v>
      </c>
    </row>
    <row r="2961" customFormat="false" ht="15" hidden="false" customHeight="false" outlineLevel="0" collapsed="false">
      <c r="A2961" s="43"/>
      <c r="B2961" s="44"/>
      <c r="C2961" s="44"/>
      <c r="D2961" s="44"/>
      <c r="E2961" s="44"/>
      <c r="F2961" s="44"/>
      <c r="G2961" s="44"/>
      <c r="H2961" s="46" t="str">
        <f aca="false">IF($A2961="","",IF(OR(NOT(ISNUMBER(E2961)),NOT(ISNUMBER(F2961))),"",MAX(0,E2961)*F2961))</f>
        <v/>
      </c>
      <c r="I2961" s="46" t="str">
        <f aca="false">IF($A2961="","",SUMIF($A$2:$A$5001,$A2961,$H$2:$H$5001))</f>
        <v/>
      </c>
      <c r="J2961" s="47" t="n">
        <f aca="false">IF($A2961="",0,IF(COUNTIF($A$2:A2961,$A2961)=1,1,0))</f>
        <v>0</v>
      </c>
      <c r="K2961" s="47" t="n">
        <f aca="false">IF(J2961=1,N(I2961)+ROW()/10000000,0)</f>
        <v>0</v>
      </c>
      <c r="L2961" s="47" t="str">
        <f aca="false">IF(AND(J2961=1,N(I2961)&gt;0),SUMIF($K$2:$K$5001,"&gt;="&amp;K2961,$I$2:$I$5001)/MAX(1,SUM($H$2:$H$5001)),"")</f>
        <v/>
      </c>
      <c r="M2961" s="47" t="str">
        <f aca="false">IF($A2961="","",INDEX($L$2:$L$5001,MATCH($A2961,$A$2:$A$5001,0)))</f>
        <v/>
      </c>
      <c r="N2961" s="48" t="str">
        <f aca="false">IF($A2961="","",IF(N(M2961)=0,"–",IF(M2961&lt;=Start!$D$20,"A",IF(M2961&lt;=Start!$D$21,"B","C"))))</f>
        <v/>
      </c>
      <c r="O2961" s="48" t="str">
        <f aca="false">IF($A2961="","",IF(NOT(ISNUMBER(F2961)),"Wert fehlt; ",IF(F2961&lt;=0,"Wert ist 0; ",""))&amp;IF(NOT(ISNUMBER(E2961)),"Bestand fehlt; ",IF(E2961&lt;0,"Bestand negativ; ",IF(E2961=0,"Nullbestand; ","")))&amp;IF(D2961="","Warengruppe fehlt; ","")&amp;IF(B2961="","Bezeichnung fehlt; ","")&amp;IF(COUNTIFS($A$2:$A$5001,$A2961,$C$2:$C$5001,C2961)&gt;1,"Artikel doppelt im selben Lager; ",""))</f>
        <v/>
      </c>
      <c r="P2961" s="47" t="n">
        <f aca="false">IF(OR($A2961="",D2961=""),0,IF(COUNTIF($D$2:D2961,D2961)=1,SUMIF($D$2:$D$5001,D2961,$H$2:$H$5001)+ROW()/10000000,0))</f>
        <v>0</v>
      </c>
      <c r="Q2961" s="47" t="n">
        <f aca="false">IF(OR($A2961="",C2961=""),0,IF(COUNTIF($C$2:C2961,C2961)=1,SUMIF($C$2:$C$5001,C2961,$H$2:$H$5001)+ROW()/10000000,0))</f>
        <v>0</v>
      </c>
    </row>
    <row r="2962" customFormat="false" ht="15" hidden="false" customHeight="false" outlineLevel="0" collapsed="false">
      <c r="A2962" s="43"/>
      <c r="B2962" s="44"/>
      <c r="C2962" s="44"/>
      <c r="D2962" s="44"/>
      <c r="E2962" s="44"/>
      <c r="F2962" s="44"/>
      <c r="G2962" s="44"/>
      <c r="H2962" s="46" t="str">
        <f aca="false">IF($A2962="","",IF(OR(NOT(ISNUMBER(E2962)),NOT(ISNUMBER(F2962))),"",MAX(0,E2962)*F2962))</f>
        <v/>
      </c>
      <c r="I2962" s="46" t="str">
        <f aca="false">IF($A2962="","",SUMIF($A$2:$A$5001,$A2962,$H$2:$H$5001))</f>
        <v/>
      </c>
      <c r="J2962" s="47" t="n">
        <f aca="false">IF($A2962="",0,IF(COUNTIF($A$2:A2962,$A2962)=1,1,0))</f>
        <v>0</v>
      </c>
      <c r="K2962" s="47" t="n">
        <f aca="false">IF(J2962=1,N(I2962)+ROW()/10000000,0)</f>
        <v>0</v>
      </c>
      <c r="L2962" s="47" t="str">
        <f aca="false">IF(AND(J2962=1,N(I2962)&gt;0),SUMIF($K$2:$K$5001,"&gt;="&amp;K2962,$I$2:$I$5001)/MAX(1,SUM($H$2:$H$5001)),"")</f>
        <v/>
      </c>
      <c r="M2962" s="47" t="str">
        <f aca="false">IF($A2962="","",INDEX($L$2:$L$5001,MATCH($A2962,$A$2:$A$5001,0)))</f>
        <v/>
      </c>
      <c r="N2962" s="48" t="str">
        <f aca="false">IF($A2962="","",IF(N(M2962)=0,"–",IF(M2962&lt;=Start!$D$20,"A",IF(M2962&lt;=Start!$D$21,"B","C"))))</f>
        <v/>
      </c>
      <c r="O2962" s="48" t="str">
        <f aca="false">IF($A2962="","",IF(NOT(ISNUMBER(F2962)),"Wert fehlt; ",IF(F2962&lt;=0,"Wert ist 0; ",""))&amp;IF(NOT(ISNUMBER(E2962)),"Bestand fehlt; ",IF(E2962&lt;0,"Bestand negativ; ",IF(E2962=0,"Nullbestand; ","")))&amp;IF(D2962="","Warengruppe fehlt; ","")&amp;IF(B2962="","Bezeichnung fehlt; ","")&amp;IF(COUNTIFS($A$2:$A$5001,$A2962,$C$2:$C$5001,C2962)&gt;1,"Artikel doppelt im selben Lager; ",""))</f>
        <v/>
      </c>
      <c r="P2962" s="47" t="n">
        <f aca="false">IF(OR($A2962="",D2962=""),0,IF(COUNTIF($D$2:D2962,D2962)=1,SUMIF($D$2:$D$5001,D2962,$H$2:$H$5001)+ROW()/10000000,0))</f>
        <v>0</v>
      </c>
      <c r="Q2962" s="47" t="n">
        <f aca="false">IF(OR($A2962="",C2962=""),0,IF(COUNTIF($C$2:C2962,C2962)=1,SUMIF($C$2:$C$5001,C2962,$H$2:$H$5001)+ROW()/10000000,0))</f>
        <v>0</v>
      </c>
    </row>
    <row r="2963" customFormat="false" ht="15" hidden="false" customHeight="false" outlineLevel="0" collapsed="false">
      <c r="A2963" s="43"/>
      <c r="B2963" s="44"/>
      <c r="C2963" s="44"/>
      <c r="D2963" s="44"/>
      <c r="E2963" s="44"/>
      <c r="F2963" s="44"/>
      <c r="G2963" s="44"/>
      <c r="H2963" s="46" t="str">
        <f aca="false">IF($A2963="","",IF(OR(NOT(ISNUMBER(E2963)),NOT(ISNUMBER(F2963))),"",MAX(0,E2963)*F2963))</f>
        <v/>
      </c>
      <c r="I2963" s="46" t="str">
        <f aca="false">IF($A2963="","",SUMIF($A$2:$A$5001,$A2963,$H$2:$H$5001))</f>
        <v/>
      </c>
      <c r="J2963" s="47" t="n">
        <f aca="false">IF($A2963="",0,IF(COUNTIF($A$2:A2963,$A2963)=1,1,0))</f>
        <v>0</v>
      </c>
      <c r="K2963" s="47" t="n">
        <f aca="false">IF(J2963=1,N(I2963)+ROW()/10000000,0)</f>
        <v>0</v>
      </c>
      <c r="L2963" s="47" t="str">
        <f aca="false">IF(AND(J2963=1,N(I2963)&gt;0),SUMIF($K$2:$K$5001,"&gt;="&amp;K2963,$I$2:$I$5001)/MAX(1,SUM($H$2:$H$5001)),"")</f>
        <v/>
      </c>
      <c r="M2963" s="47" t="str">
        <f aca="false">IF($A2963="","",INDEX($L$2:$L$5001,MATCH($A2963,$A$2:$A$5001,0)))</f>
        <v/>
      </c>
      <c r="N2963" s="48" t="str">
        <f aca="false">IF($A2963="","",IF(N(M2963)=0,"–",IF(M2963&lt;=Start!$D$20,"A",IF(M2963&lt;=Start!$D$21,"B","C"))))</f>
        <v/>
      </c>
      <c r="O2963" s="48" t="str">
        <f aca="false">IF($A2963="","",IF(NOT(ISNUMBER(F2963)),"Wert fehlt; ",IF(F2963&lt;=0,"Wert ist 0; ",""))&amp;IF(NOT(ISNUMBER(E2963)),"Bestand fehlt; ",IF(E2963&lt;0,"Bestand negativ; ",IF(E2963=0,"Nullbestand; ","")))&amp;IF(D2963="","Warengruppe fehlt; ","")&amp;IF(B2963="","Bezeichnung fehlt; ","")&amp;IF(COUNTIFS($A$2:$A$5001,$A2963,$C$2:$C$5001,C2963)&gt;1,"Artikel doppelt im selben Lager; ",""))</f>
        <v/>
      </c>
      <c r="P2963" s="47" t="n">
        <f aca="false">IF(OR($A2963="",D2963=""),0,IF(COUNTIF($D$2:D2963,D2963)=1,SUMIF($D$2:$D$5001,D2963,$H$2:$H$5001)+ROW()/10000000,0))</f>
        <v>0</v>
      </c>
      <c r="Q2963" s="47" t="n">
        <f aca="false">IF(OR($A2963="",C2963=""),0,IF(COUNTIF($C$2:C2963,C2963)=1,SUMIF($C$2:$C$5001,C2963,$H$2:$H$5001)+ROW()/10000000,0))</f>
        <v>0</v>
      </c>
    </row>
    <row r="2964" customFormat="false" ht="15" hidden="false" customHeight="false" outlineLevel="0" collapsed="false">
      <c r="A2964" s="43"/>
      <c r="B2964" s="44"/>
      <c r="C2964" s="44"/>
      <c r="D2964" s="44"/>
      <c r="E2964" s="44"/>
      <c r="F2964" s="44"/>
      <c r="G2964" s="44"/>
      <c r="H2964" s="46" t="str">
        <f aca="false">IF($A2964="","",IF(OR(NOT(ISNUMBER(E2964)),NOT(ISNUMBER(F2964))),"",MAX(0,E2964)*F2964))</f>
        <v/>
      </c>
      <c r="I2964" s="46" t="str">
        <f aca="false">IF($A2964="","",SUMIF($A$2:$A$5001,$A2964,$H$2:$H$5001))</f>
        <v/>
      </c>
      <c r="J2964" s="47" t="n">
        <f aca="false">IF($A2964="",0,IF(COUNTIF($A$2:A2964,$A2964)=1,1,0))</f>
        <v>0</v>
      </c>
      <c r="K2964" s="47" t="n">
        <f aca="false">IF(J2964=1,N(I2964)+ROW()/10000000,0)</f>
        <v>0</v>
      </c>
      <c r="L2964" s="47" t="str">
        <f aca="false">IF(AND(J2964=1,N(I2964)&gt;0),SUMIF($K$2:$K$5001,"&gt;="&amp;K2964,$I$2:$I$5001)/MAX(1,SUM($H$2:$H$5001)),"")</f>
        <v/>
      </c>
      <c r="M2964" s="47" t="str">
        <f aca="false">IF($A2964="","",INDEX($L$2:$L$5001,MATCH($A2964,$A$2:$A$5001,0)))</f>
        <v/>
      </c>
      <c r="N2964" s="48" t="str">
        <f aca="false">IF($A2964="","",IF(N(M2964)=0,"–",IF(M2964&lt;=Start!$D$20,"A",IF(M2964&lt;=Start!$D$21,"B","C"))))</f>
        <v/>
      </c>
      <c r="O2964" s="48" t="str">
        <f aca="false">IF($A2964="","",IF(NOT(ISNUMBER(F2964)),"Wert fehlt; ",IF(F2964&lt;=0,"Wert ist 0; ",""))&amp;IF(NOT(ISNUMBER(E2964)),"Bestand fehlt; ",IF(E2964&lt;0,"Bestand negativ; ",IF(E2964=0,"Nullbestand; ","")))&amp;IF(D2964="","Warengruppe fehlt; ","")&amp;IF(B2964="","Bezeichnung fehlt; ","")&amp;IF(COUNTIFS($A$2:$A$5001,$A2964,$C$2:$C$5001,C2964)&gt;1,"Artikel doppelt im selben Lager; ",""))</f>
        <v/>
      </c>
      <c r="P2964" s="47" t="n">
        <f aca="false">IF(OR($A2964="",D2964=""),0,IF(COUNTIF($D$2:D2964,D2964)=1,SUMIF($D$2:$D$5001,D2964,$H$2:$H$5001)+ROW()/10000000,0))</f>
        <v>0</v>
      </c>
      <c r="Q2964" s="47" t="n">
        <f aca="false">IF(OR($A2964="",C2964=""),0,IF(COUNTIF($C$2:C2964,C2964)=1,SUMIF($C$2:$C$5001,C2964,$H$2:$H$5001)+ROW()/10000000,0))</f>
        <v>0</v>
      </c>
    </row>
    <row r="2965" customFormat="false" ht="15" hidden="false" customHeight="false" outlineLevel="0" collapsed="false">
      <c r="A2965" s="43"/>
      <c r="B2965" s="44"/>
      <c r="C2965" s="44"/>
      <c r="D2965" s="44"/>
      <c r="E2965" s="44"/>
      <c r="F2965" s="44"/>
      <c r="G2965" s="44"/>
      <c r="H2965" s="46" t="str">
        <f aca="false">IF($A2965="","",IF(OR(NOT(ISNUMBER(E2965)),NOT(ISNUMBER(F2965))),"",MAX(0,E2965)*F2965))</f>
        <v/>
      </c>
      <c r="I2965" s="46" t="str">
        <f aca="false">IF($A2965="","",SUMIF($A$2:$A$5001,$A2965,$H$2:$H$5001))</f>
        <v/>
      </c>
      <c r="J2965" s="47" t="n">
        <f aca="false">IF($A2965="",0,IF(COUNTIF($A$2:A2965,$A2965)=1,1,0))</f>
        <v>0</v>
      </c>
      <c r="K2965" s="47" t="n">
        <f aca="false">IF(J2965=1,N(I2965)+ROW()/10000000,0)</f>
        <v>0</v>
      </c>
      <c r="L2965" s="47" t="str">
        <f aca="false">IF(AND(J2965=1,N(I2965)&gt;0),SUMIF($K$2:$K$5001,"&gt;="&amp;K2965,$I$2:$I$5001)/MAX(1,SUM($H$2:$H$5001)),"")</f>
        <v/>
      </c>
      <c r="M2965" s="47" t="str">
        <f aca="false">IF($A2965="","",INDEX($L$2:$L$5001,MATCH($A2965,$A$2:$A$5001,0)))</f>
        <v/>
      </c>
      <c r="N2965" s="48" t="str">
        <f aca="false">IF($A2965="","",IF(N(M2965)=0,"–",IF(M2965&lt;=Start!$D$20,"A",IF(M2965&lt;=Start!$D$21,"B","C"))))</f>
        <v/>
      </c>
      <c r="O2965" s="48" t="str">
        <f aca="false">IF($A2965="","",IF(NOT(ISNUMBER(F2965)),"Wert fehlt; ",IF(F2965&lt;=0,"Wert ist 0; ",""))&amp;IF(NOT(ISNUMBER(E2965)),"Bestand fehlt; ",IF(E2965&lt;0,"Bestand negativ; ",IF(E2965=0,"Nullbestand; ","")))&amp;IF(D2965="","Warengruppe fehlt; ","")&amp;IF(B2965="","Bezeichnung fehlt; ","")&amp;IF(COUNTIFS($A$2:$A$5001,$A2965,$C$2:$C$5001,C2965)&gt;1,"Artikel doppelt im selben Lager; ",""))</f>
        <v/>
      </c>
      <c r="P2965" s="47" t="n">
        <f aca="false">IF(OR($A2965="",D2965=""),0,IF(COUNTIF($D$2:D2965,D2965)=1,SUMIF($D$2:$D$5001,D2965,$H$2:$H$5001)+ROW()/10000000,0))</f>
        <v>0</v>
      </c>
      <c r="Q2965" s="47" t="n">
        <f aca="false">IF(OR($A2965="",C2965=""),0,IF(COUNTIF($C$2:C2965,C2965)=1,SUMIF($C$2:$C$5001,C2965,$H$2:$H$5001)+ROW()/10000000,0))</f>
        <v>0</v>
      </c>
    </row>
    <row r="2966" customFormat="false" ht="15" hidden="false" customHeight="false" outlineLevel="0" collapsed="false">
      <c r="A2966" s="43"/>
      <c r="B2966" s="44"/>
      <c r="C2966" s="44"/>
      <c r="D2966" s="44"/>
      <c r="E2966" s="44"/>
      <c r="F2966" s="44"/>
      <c r="G2966" s="44"/>
      <c r="H2966" s="46" t="str">
        <f aca="false">IF($A2966="","",IF(OR(NOT(ISNUMBER(E2966)),NOT(ISNUMBER(F2966))),"",MAX(0,E2966)*F2966))</f>
        <v/>
      </c>
      <c r="I2966" s="46" t="str">
        <f aca="false">IF($A2966="","",SUMIF($A$2:$A$5001,$A2966,$H$2:$H$5001))</f>
        <v/>
      </c>
      <c r="J2966" s="47" t="n">
        <f aca="false">IF($A2966="",0,IF(COUNTIF($A$2:A2966,$A2966)=1,1,0))</f>
        <v>0</v>
      </c>
      <c r="K2966" s="47" t="n">
        <f aca="false">IF(J2966=1,N(I2966)+ROW()/10000000,0)</f>
        <v>0</v>
      </c>
      <c r="L2966" s="47" t="str">
        <f aca="false">IF(AND(J2966=1,N(I2966)&gt;0),SUMIF($K$2:$K$5001,"&gt;="&amp;K2966,$I$2:$I$5001)/MAX(1,SUM($H$2:$H$5001)),"")</f>
        <v/>
      </c>
      <c r="M2966" s="47" t="str">
        <f aca="false">IF($A2966="","",INDEX($L$2:$L$5001,MATCH($A2966,$A$2:$A$5001,0)))</f>
        <v/>
      </c>
      <c r="N2966" s="48" t="str">
        <f aca="false">IF($A2966="","",IF(N(M2966)=0,"–",IF(M2966&lt;=Start!$D$20,"A",IF(M2966&lt;=Start!$D$21,"B","C"))))</f>
        <v/>
      </c>
      <c r="O2966" s="48" t="str">
        <f aca="false">IF($A2966="","",IF(NOT(ISNUMBER(F2966)),"Wert fehlt; ",IF(F2966&lt;=0,"Wert ist 0; ",""))&amp;IF(NOT(ISNUMBER(E2966)),"Bestand fehlt; ",IF(E2966&lt;0,"Bestand negativ; ",IF(E2966=0,"Nullbestand; ","")))&amp;IF(D2966="","Warengruppe fehlt; ","")&amp;IF(B2966="","Bezeichnung fehlt; ","")&amp;IF(COUNTIFS($A$2:$A$5001,$A2966,$C$2:$C$5001,C2966)&gt;1,"Artikel doppelt im selben Lager; ",""))</f>
        <v/>
      </c>
      <c r="P2966" s="47" t="n">
        <f aca="false">IF(OR($A2966="",D2966=""),0,IF(COUNTIF($D$2:D2966,D2966)=1,SUMIF($D$2:$D$5001,D2966,$H$2:$H$5001)+ROW()/10000000,0))</f>
        <v>0</v>
      </c>
      <c r="Q2966" s="47" t="n">
        <f aca="false">IF(OR($A2966="",C2966=""),0,IF(COUNTIF($C$2:C2966,C2966)=1,SUMIF($C$2:$C$5001,C2966,$H$2:$H$5001)+ROW()/10000000,0))</f>
        <v>0</v>
      </c>
    </row>
    <row r="2967" customFormat="false" ht="15" hidden="false" customHeight="false" outlineLevel="0" collapsed="false">
      <c r="A2967" s="43"/>
      <c r="B2967" s="44"/>
      <c r="C2967" s="44"/>
      <c r="D2967" s="44"/>
      <c r="E2967" s="44"/>
      <c r="F2967" s="44"/>
      <c r="G2967" s="44"/>
      <c r="H2967" s="46" t="str">
        <f aca="false">IF($A2967="","",IF(OR(NOT(ISNUMBER(E2967)),NOT(ISNUMBER(F2967))),"",MAX(0,E2967)*F2967))</f>
        <v/>
      </c>
      <c r="I2967" s="46" t="str">
        <f aca="false">IF($A2967="","",SUMIF($A$2:$A$5001,$A2967,$H$2:$H$5001))</f>
        <v/>
      </c>
      <c r="J2967" s="47" t="n">
        <f aca="false">IF($A2967="",0,IF(COUNTIF($A$2:A2967,$A2967)=1,1,0))</f>
        <v>0</v>
      </c>
      <c r="K2967" s="47" t="n">
        <f aca="false">IF(J2967=1,N(I2967)+ROW()/10000000,0)</f>
        <v>0</v>
      </c>
      <c r="L2967" s="47" t="str">
        <f aca="false">IF(AND(J2967=1,N(I2967)&gt;0),SUMIF($K$2:$K$5001,"&gt;="&amp;K2967,$I$2:$I$5001)/MAX(1,SUM($H$2:$H$5001)),"")</f>
        <v/>
      </c>
      <c r="M2967" s="47" t="str">
        <f aca="false">IF($A2967="","",INDEX($L$2:$L$5001,MATCH($A2967,$A$2:$A$5001,0)))</f>
        <v/>
      </c>
      <c r="N2967" s="48" t="str">
        <f aca="false">IF($A2967="","",IF(N(M2967)=0,"–",IF(M2967&lt;=Start!$D$20,"A",IF(M2967&lt;=Start!$D$21,"B","C"))))</f>
        <v/>
      </c>
      <c r="O2967" s="48" t="str">
        <f aca="false">IF($A2967="","",IF(NOT(ISNUMBER(F2967)),"Wert fehlt; ",IF(F2967&lt;=0,"Wert ist 0; ",""))&amp;IF(NOT(ISNUMBER(E2967)),"Bestand fehlt; ",IF(E2967&lt;0,"Bestand negativ; ",IF(E2967=0,"Nullbestand; ","")))&amp;IF(D2967="","Warengruppe fehlt; ","")&amp;IF(B2967="","Bezeichnung fehlt; ","")&amp;IF(COUNTIFS($A$2:$A$5001,$A2967,$C$2:$C$5001,C2967)&gt;1,"Artikel doppelt im selben Lager; ",""))</f>
        <v/>
      </c>
      <c r="P2967" s="47" t="n">
        <f aca="false">IF(OR($A2967="",D2967=""),0,IF(COUNTIF($D$2:D2967,D2967)=1,SUMIF($D$2:$D$5001,D2967,$H$2:$H$5001)+ROW()/10000000,0))</f>
        <v>0</v>
      </c>
      <c r="Q2967" s="47" t="n">
        <f aca="false">IF(OR($A2967="",C2967=""),0,IF(COUNTIF($C$2:C2967,C2967)=1,SUMIF($C$2:$C$5001,C2967,$H$2:$H$5001)+ROW()/10000000,0))</f>
        <v>0</v>
      </c>
    </row>
    <row r="2968" customFormat="false" ht="15" hidden="false" customHeight="false" outlineLevel="0" collapsed="false">
      <c r="A2968" s="43"/>
      <c r="B2968" s="44"/>
      <c r="C2968" s="44"/>
      <c r="D2968" s="44"/>
      <c r="E2968" s="44"/>
      <c r="F2968" s="44"/>
      <c r="G2968" s="44"/>
      <c r="H2968" s="46" t="str">
        <f aca="false">IF($A2968="","",IF(OR(NOT(ISNUMBER(E2968)),NOT(ISNUMBER(F2968))),"",MAX(0,E2968)*F2968))</f>
        <v/>
      </c>
      <c r="I2968" s="46" t="str">
        <f aca="false">IF($A2968="","",SUMIF($A$2:$A$5001,$A2968,$H$2:$H$5001))</f>
        <v/>
      </c>
      <c r="J2968" s="47" t="n">
        <f aca="false">IF($A2968="",0,IF(COUNTIF($A$2:A2968,$A2968)=1,1,0))</f>
        <v>0</v>
      </c>
      <c r="K2968" s="47" t="n">
        <f aca="false">IF(J2968=1,N(I2968)+ROW()/10000000,0)</f>
        <v>0</v>
      </c>
      <c r="L2968" s="47" t="str">
        <f aca="false">IF(AND(J2968=1,N(I2968)&gt;0),SUMIF($K$2:$K$5001,"&gt;="&amp;K2968,$I$2:$I$5001)/MAX(1,SUM($H$2:$H$5001)),"")</f>
        <v/>
      </c>
      <c r="M2968" s="47" t="str">
        <f aca="false">IF($A2968="","",INDEX($L$2:$L$5001,MATCH($A2968,$A$2:$A$5001,0)))</f>
        <v/>
      </c>
      <c r="N2968" s="48" t="str">
        <f aca="false">IF($A2968="","",IF(N(M2968)=0,"–",IF(M2968&lt;=Start!$D$20,"A",IF(M2968&lt;=Start!$D$21,"B","C"))))</f>
        <v/>
      </c>
      <c r="O2968" s="48" t="str">
        <f aca="false">IF($A2968="","",IF(NOT(ISNUMBER(F2968)),"Wert fehlt; ",IF(F2968&lt;=0,"Wert ist 0; ",""))&amp;IF(NOT(ISNUMBER(E2968)),"Bestand fehlt; ",IF(E2968&lt;0,"Bestand negativ; ",IF(E2968=0,"Nullbestand; ","")))&amp;IF(D2968="","Warengruppe fehlt; ","")&amp;IF(B2968="","Bezeichnung fehlt; ","")&amp;IF(COUNTIFS($A$2:$A$5001,$A2968,$C$2:$C$5001,C2968)&gt;1,"Artikel doppelt im selben Lager; ",""))</f>
        <v/>
      </c>
      <c r="P2968" s="47" t="n">
        <f aca="false">IF(OR($A2968="",D2968=""),0,IF(COUNTIF($D$2:D2968,D2968)=1,SUMIF($D$2:$D$5001,D2968,$H$2:$H$5001)+ROW()/10000000,0))</f>
        <v>0</v>
      </c>
      <c r="Q2968" s="47" t="n">
        <f aca="false">IF(OR($A2968="",C2968=""),0,IF(COUNTIF($C$2:C2968,C2968)=1,SUMIF($C$2:$C$5001,C2968,$H$2:$H$5001)+ROW()/10000000,0))</f>
        <v>0</v>
      </c>
    </row>
    <row r="2969" customFormat="false" ht="15" hidden="false" customHeight="false" outlineLevel="0" collapsed="false">
      <c r="A2969" s="43"/>
      <c r="B2969" s="44"/>
      <c r="C2969" s="44"/>
      <c r="D2969" s="44"/>
      <c r="E2969" s="44"/>
      <c r="F2969" s="44"/>
      <c r="G2969" s="44"/>
      <c r="H2969" s="46" t="str">
        <f aca="false">IF($A2969="","",IF(OR(NOT(ISNUMBER(E2969)),NOT(ISNUMBER(F2969))),"",MAX(0,E2969)*F2969))</f>
        <v/>
      </c>
      <c r="I2969" s="46" t="str">
        <f aca="false">IF($A2969="","",SUMIF($A$2:$A$5001,$A2969,$H$2:$H$5001))</f>
        <v/>
      </c>
      <c r="J2969" s="47" t="n">
        <f aca="false">IF($A2969="",0,IF(COUNTIF($A$2:A2969,$A2969)=1,1,0))</f>
        <v>0</v>
      </c>
      <c r="K2969" s="47" t="n">
        <f aca="false">IF(J2969=1,N(I2969)+ROW()/10000000,0)</f>
        <v>0</v>
      </c>
      <c r="L2969" s="47" t="str">
        <f aca="false">IF(AND(J2969=1,N(I2969)&gt;0),SUMIF($K$2:$K$5001,"&gt;="&amp;K2969,$I$2:$I$5001)/MAX(1,SUM($H$2:$H$5001)),"")</f>
        <v/>
      </c>
      <c r="M2969" s="47" t="str">
        <f aca="false">IF($A2969="","",INDEX($L$2:$L$5001,MATCH($A2969,$A$2:$A$5001,0)))</f>
        <v/>
      </c>
      <c r="N2969" s="48" t="str">
        <f aca="false">IF($A2969="","",IF(N(M2969)=0,"–",IF(M2969&lt;=Start!$D$20,"A",IF(M2969&lt;=Start!$D$21,"B","C"))))</f>
        <v/>
      </c>
      <c r="O2969" s="48" t="str">
        <f aca="false">IF($A2969="","",IF(NOT(ISNUMBER(F2969)),"Wert fehlt; ",IF(F2969&lt;=0,"Wert ist 0; ",""))&amp;IF(NOT(ISNUMBER(E2969)),"Bestand fehlt; ",IF(E2969&lt;0,"Bestand negativ; ",IF(E2969=0,"Nullbestand; ","")))&amp;IF(D2969="","Warengruppe fehlt; ","")&amp;IF(B2969="","Bezeichnung fehlt; ","")&amp;IF(COUNTIFS($A$2:$A$5001,$A2969,$C$2:$C$5001,C2969)&gt;1,"Artikel doppelt im selben Lager; ",""))</f>
        <v/>
      </c>
      <c r="P2969" s="47" t="n">
        <f aca="false">IF(OR($A2969="",D2969=""),0,IF(COUNTIF($D$2:D2969,D2969)=1,SUMIF($D$2:$D$5001,D2969,$H$2:$H$5001)+ROW()/10000000,0))</f>
        <v>0</v>
      </c>
      <c r="Q2969" s="47" t="n">
        <f aca="false">IF(OR($A2969="",C2969=""),0,IF(COUNTIF($C$2:C2969,C2969)=1,SUMIF($C$2:$C$5001,C2969,$H$2:$H$5001)+ROW()/10000000,0))</f>
        <v>0</v>
      </c>
    </row>
    <row r="2970" customFormat="false" ht="15" hidden="false" customHeight="false" outlineLevel="0" collapsed="false">
      <c r="A2970" s="43"/>
      <c r="B2970" s="44"/>
      <c r="C2970" s="44"/>
      <c r="D2970" s="44"/>
      <c r="E2970" s="44"/>
      <c r="F2970" s="44"/>
      <c r="G2970" s="44"/>
      <c r="H2970" s="46" t="str">
        <f aca="false">IF($A2970="","",IF(OR(NOT(ISNUMBER(E2970)),NOT(ISNUMBER(F2970))),"",MAX(0,E2970)*F2970))</f>
        <v/>
      </c>
      <c r="I2970" s="46" t="str">
        <f aca="false">IF($A2970="","",SUMIF($A$2:$A$5001,$A2970,$H$2:$H$5001))</f>
        <v/>
      </c>
      <c r="J2970" s="47" t="n">
        <f aca="false">IF($A2970="",0,IF(COUNTIF($A$2:A2970,$A2970)=1,1,0))</f>
        <v>0</v>
      </c>
      <c r="K2970" s="47" t="n">
        <f aca="false">IF(J2970=1,N(I2970)+ROW()/10000000,0)</f>
        <v>0</v>
      </c>
      <c r="L2970" s="47" t="str">
        <f aca="false">IF(AND(J2970=1,N(I2970)&gt;0),SUMIF($K$2:$K$5001,"&gt;="&amp;K2970,$I$2:$I$5001)/MAX(1,SUM($H$2:$H$5001)),"")</f>
        <v/>
      </c>
      <c r="M2970" s="47" t="str">
        <f aca="false">IF($A2970="","",INDEX($L$2:$L$5001,MATCH($A2970,$A$2:$A$5001,0)))</f>
        <v/>
      </c>
      <c r="N2970" s="48" t="str">
        <f aca="false">IF($A2970="","",IF(N(M2970)=0,"–",IF(M2970&lt;=Start!$D$20,"A",IF(M2970&lt;=Start!$D$21,"B","C"))))</f>
        <v/>
      </c>
      <c r="O2970" s="48" t="str">
        <f aca="false">IF($A2970="","",IF(NOT(ISNUMBER(F2970)),"Wert fehlt; ",IF(F2970&lt;=0,"Wert ist 0; ",""))&amp;IF(NOT(ISNUMBER(E2970)),"Bestand fehlt; ",IF(E2970&lt;0,"Bestand negativ; ",IF(E2970=0,"Nullbestand; ","")))&amp;IF(D2970="","Warengruppe fehlt; ","")&amp;IF(B2970="","Bezeichnung fehlt; ","")&amp;IF(COUNTIFS($A$2:$A$5001,$A2970,$C$2:$C$5001,C2970)&gt;1,"Artikel doppelt im selben Lager; ",""))</f>
        <v/>
      </c>
      <c r="P2970" s="47" t="n">
        <f aca="false">IF(OR($A2970="",D2970=""),0,IF(COUNTIF($D$2:D2970,D2970)=1,SUMIF($D$2:$D$5001,D2970,$H$2:$H$5001)+ROW()/10000000,0))</f>
        <v>0</v>
      </c>
      <c r="Q2970" s="47" t="n">
        <f aca="false">IF(OR($A2970="",C2970=""),0,IF(COUNTIF($C$2:C2970,C2970)=1,SUMIF($C$2:$C$5001,C2970,$H$2:$H$5001)+ROW()/10000000,0))</f>
        <v>0</v>
      </c>
    </row>
    <row r="2971" customFormat="false" ht="15" hidden="false" customHeight="false" outlineLevel="0" collapsed="false">
      <c r="A2971" s="43"/>
      <c r="B2971" s="44"/>
      <c r="C2971" s="44"/>
      <c r="D2971" s="44"/>
      <c r="E2971" s="44"/>
      <c r="F2971" s="44"/>
      <c r="G2971" s="44"/>
      <c r="H2971" s="46" t="str">
        <f aca="false">IF($A2971="","",IF(OR(NOT(ISNUMBER(E2971)),NOT(ISNUMBER(F2971))),"",MAX(0,E2971)*F2971))</f>
        <v/>
      </c>
      <c r="I2971" s="46" t="str">
        <f aca="false">IF($A2971="","",SUMIF($A$2:$A$5001,$A2971,$H$2:$H$5001))</f>
        <v/>
      </c>
      <c r="J2971" s="47" t="n">
        <f aca="false">IF($A2971="",0,IF(COUNTIF($A$2:A2971,$A2971)=1,1,0))</f>
        <v>0</v>
      </c>
      <c r="K2971" s="47" t="n">
        <f aca="false">IF(J2971=1,N(I2971)+ROW()/10000000,0)</f>
        <v>0</v>
      </c>
      <c r="L2971" s="47" t="str">
        <f aca="false">IF(AND(J2971=1,N(I2971)&gt;0),SUMIF($K$2:$K$5001,"&gt;="&amp;K2971,$I$2:$I$5001)/MAX(1,SUM($H$2:$H$5001)),"")</f>
        <v/>
      </c>
      <c r="M2971" s="47" t="str">
        <f aca="false">IF($A2971="","",INDEX($L$2:$L$5001,MATCH($A2971,$A$2:$A$5001,0)))</f>
        <v/>
      </c>
      <c r="N2971" s="48" t="str">
        <f aca="false">IF($A2971="","",IF(N(M2971)=0,"–",IF(M2971&lt;=Start!$D$20,"A",IF(M2971&lt;=Start!$D$21,"B","C"))))</f>
        <v/>
      </c>
      <c r="O2971" s="48" t="str">
        <f aca="false">IF($A2971="","",IF(NOT(ISNUMBER(F2971)),"Wert fehlt; ",IF(F2971&lt;=0,"Wert ist 0; ",""))&amp;IF(NOT(ISNUMBER(E2971)),"Bestand fehlt; ",IF(E2971&lt;0,"Bestand negativ; ",IF(E2971=0,"Nullbestand; ","")))&amp;IF(D2971="","Warengruppe fehlt; ","")&amp;IF(B2971="","Bezeichnung fehlt; ","")&amp;IF(COUNTIFS($A$2:$A$5001,$A2971,$C$2:$C$5001,C2971)&gt;1,"Artikel doppelt im selben Lager; ",""))</f>
        <v/>
      </c>
      <c r="P2971" s="47" t="n">
        <f aca="false">IF(OR($A2971="",D2971=""),0,IF(COUNTIF($D$2:D2971,D2971)=1,SUMIF($D$2:$D$5001,D2971,$H$2:$H$5001)+ROW()/10000000,0))</f>
        <v>0</v>
      </c>
      <c r="Q2971" s="47" t="n">
        <f aca="false">IF(OR($A2971="",C2971=""),0,IF(COUNTIF($C$2:C2971,C2971)=1,SUMIF($C$2:$C$5001,C2971,$H$2:$H$5001)+ROW()/10000000,0))</f>
        <v>0</v>
      </c>
    </row>
    <row r="2972" customFormat="false" ht="15" hidden="false" customHeight="false" outlineLevel="0" collapsed="false">
      <c r="A2972" s="43"/>
      <c r="B2972" s="44"/>
      <c r="C2972" s="44"/>
      <c r="D2972" s="44"/>
      <c r="E2972" s="44"/>
      <c r="F2972" s="44"/>
      <c r="G2972" s="44"/>
      <c r="H2972" s="46" t="str">
        <f aca="false">IF($A2972="","",IF(OR(NOT(ISNUMBER(E2972)),NOT(ISNUMBER(F2972))),"",MAX(0,E2972)*F2972))</f>
        <v/>
      </c>
      <c r="I2972" s="46" t="str">
        <f aca="false">IF($A2972="","",SUMIF($A$2:$A$5001,$A2972,$H$2:$H$5001))</f>
        <v/>
      </c>
      <c r="J2972" s="47" t="n">
        <f aca="false">IF($A2972="",0,IF(COUNTIF($A$2:A2972,$A2972)=1,1,0))</f>
        <v>0</v>
      </c>
      <c r="K2972" s="47" t="n">
        <f aca="false">IF(J2972=1,N(I2972)+ROW()/10000000,0)</f>
        <v>0</v>
      </c>
      <c r="L2972" s="47" t="str">
        <f aca="false">IF(AND(J2972=1,N(I2972)&gt;0),SUMIF($K$2:$K$5001,"&gt;="&amp;K2972,$I$2:$I$5001)/MAX(1,SUM($H$2:$H$5001)),"")</f>
        <v/>
      </c>
      <c r="M2972" s="47" t="str">
        <f aca="false">IF($A2972="","",INDEX($L$2:$L$5001,MATCH($A2972,$A$2:$A$5001,0)))</f>
        <v/>
      </c>
      <c r="N2972" s="48" t="str">
        <f aca="false">IF($A2972="","",IF(N(M2972)=0,"–",IF(M2972&lt;=Start!$D$20,"A",IF(M2972&lt;=Start!$D$21,"B","C"))))</f>
        <v/>
      </c>
      <c r="O2972" s="48" t="str">
        <f aca="false">IF($A2972="","",IF(NOT(ISNUMBER(F2972)),"Wert fehlt; ",IF(F2972&lt;=0,"Wert ist 0; ",""))&amp;IF(NOT(ISNUMBER(E2972)),"Bestand fehlt; ",IF(E2972&lt;0,"Bestand negativ; ",IF(E2972=0,"Nullbestand; ","")))&amp;IF(D2972="","Warengruppe fehlt; ","")&amp;IF(B2972="","Bezeichnung fehlt; ","")&amp;IF(COUNTIFS($A$2:$A$5001,$A2972,$C$2:$C$5001,C2972)&gt;1,"Artikel doppelt im selben Lager; ",""))</f>
        <v/>
      </c>
      <c r="P2972" s="47" t="n">
        <f aca="false">IF(OR($A2972="",D2972=""),0,IF(COUNTIF($D$2:D2972,D2972)=1,SUMIF($D$2:$D$5001,D2972,$H$2:$H$5001)+ROW()/10000000,0))</f>
        <v>0</v>
      </c>
      <c r="Q2972" s="47" t="n">
        <f aca="false">IF(OR($A2972="",C2972=""),0,IF(COUNTIF($C$2:C2972,C2972)=1,SUMIF($C$2:$C$5001,C2972,$H$2:$H$5001)+ROW()/10000000,0))</f>
        <v>0</v>
      </c>
    </row>
    <row r="2973" customFormat="false" ht="15" hidden="false" customHeight="false" outlineLevel="0" collapsed="false">
      <c r="A2973" s="43"/>
      <c r="B2973" s="44"/>
      <c r="C2973" s="44"/>
      <c r="D2973" s="44"/>
      <c r="E2973" s="44"/>
      <c r="F2973" s="44"/>
      <c r="G2973" s="44"/>
      <c r="H2973" s="46" t="str">
        <f aca="false">IF($A2973="","",IF(OR(NOT(ISNUMBER(E2973)),NOT(ISNUMBER(F2973))),"",MAX(0,E2973)*F2973))</f>
        <v/>
      </c>
      <c r="I2973" s="46" t="str">
        <f aca="false">IF($A2973="","",SUMIF($A$2:$A$5001,$A2973,$H$2:$H$5001))</f>
        <v/>
      </c>
      <c r="J2973" s="47" t="n">
        <f aca="false">IF($A2973="",0,IF(COUNTIF($A$2:A2973,$A2973)=1,1,0))</f>
        <v>0</v>
      </c>
      <c r="K2973" s="47" t="n">
        <f aca="false">IF(J2973=1,N(I2973)+ROW()/10000000,0)</f>
        <v>0</v>
      </c>
      <c r="L2973" s="47" t="str">
        <f aca="false">IF(AND(J2973=1,N(I2973)&gt;0),SUMIF($K$2:$K$5001,"&gt;="&amp;K2973,$I$2:$I$5001)/MAX(1,SUM($H$2:$H$5001)),"")</f>
        <v/>
      </c>
      <c r="M2973" s="47" t="str">
        <f aca="false">IF($A2973="","",INDEX($L$2:$L$5001,MATCH($A2973,$A$2:$A$5001,0)))</f>
        <v/>
      </c>
      <c r="N2973" s="48" t="str">
        <f aca="false">IF($A2973="","",IF(N(M2973)=0,"–",IF(M2973&lt;=Start!$D$20,"A",IF(M2973&lt;=Start!$D$21,"B","C"))))</f>
        <v/>
      </c>
      <c r="O2973" s="48" t="str">
        <f aca="false">IF($A2973="","",IF(NOT(ISNUMBER(F2973)),"Wert fehlt; ",IF(F2973&lt;=0,"Wert ist 0; ",""))&amp;IF(NOT(ISNUMBER(E2973)),"Bestand fehlt; ",IF(E2973&lt;0,"Bestand negativ; ",IF(E2973=0,"Nullbestand; ","")))&amp;IF(D2973="","Warengruppe fehlt; ","")&amp;IF(B2973="","Bezeichnung fehlt; ","")&amp;IF(COUNTIFS($A$2:$A$5001,$A2973,$C$2:$C$5001,C2973)&gt;1,"Artikel doppelt im selben Lager; ",""))</f>
        <v/>
      </c>
      <c r="P2973" s="47" t="n">
        <f aca="false">IF(OR($A2973="",D2973=""),0,IF(COUNTIF($D$2:D2973,D2973)=1,SUMIF($D$2:$D$5001,D2973,$H$2:$H$5001)+ROW()/10000000,0))</f>
        <v>0</v>
      </c>
      <c r="Q2973" s="47" t="n">
        <f aca="false">IF(OR($A2973="",C2973=""),0,IF(COUNTIF($C$2:C2973,C2973)=1,SUMIF($C$2:$C$5001,C2973,$H$2:$H$5001)+ROW()/10000000,0))</f>
        <v>0</v>
      </c>
    </row>
    <row r="2974" customFormat="false" ht="15" hidden="false" customHeight="false" outlineLevel="0" collapsed="false">
      <c r="A2974" s="43"/>
      <c r="B2974" s="44"/>
      <c r="C2974" s="44"/>
      <c r="D2974" s="44"/>
      <c r="E2974" s="44"/>
      <c r="F2974" s="44"/>
      <c r="G2974" s="44"/>
      <c r="H2974" s="46" t="str">
        <f aca="false">IF($A2974="","",IF(OR(NOT(ISNUMBER(E2974)),NOT(ISNUMBER(F2974))),"",MAX(0,E2974)*F2974))</f>
        <v/>
      </c>
      <c r="I2974" s="46" t="str">
        <f aca="false">IF($A2974="","",SUMIF($A$2:$A$5001,$A2974,$H$2:$H$5001))</f>
        <v/>
      </c>
      <c r="J2974" s="47" t="n">
        <f aca="false">IF($A2974="",0,IF(COUNTIF($A$2:A2974,$A2974)=1,1,0))</f>
        <v>0</v>
      </c>
      <c r="K2974" s="47" t="n">
        <f aca="false">IF(J2974=1,N(I2974)+ROW()/10000000,0)</f>
        <v>0</v>
      </c>
      <c r="L2974" s="47" t="str">
        <f aca="false">IF(AND(J2974=1,N(I2974)&gt;0),SUMIF($K$2:$K$5001,"&gt;="&amp;K2974,$I$2:$I$5001)/MAX(1,SUM($H$2:$H$5001)),"")</f>
        <v/>
      </c>
      <c r="M2974" s="47" t="str">
        <f aca="false">IF($A2974="","",INDEX($L$2:$L$5001,MATCH($A2974,$A$2:$A$5001,0)))</f>
        <v/>
      </c>
      <c r="N2974" s="48" t="str">
        <f aca="false">IF($A2974="","",IF(N(M2974)=0,"–",IF(M2974&lt;=Start!$D$20,"A",IF(M2974&lt;=Start!$D$21,"B","C"))))</f>
        <v/>
      </c>
      <c r="O2974" s="48" t="str">
        <f aca="false">IF($A2974="","",IF(NOT(ISNUMBER(F2974)),"Wert fehlt; ",IF(F2974&lt;=0,"Wert ist 0; ",""))&amp;IF(NOT(ISNUMBER(E2974)),"Bestand fehlt; ",IF(E2974&lt;0,"Bestand negativ; ",IF(E2974=0,"Nullbestand; ","")))&amp;IF(D2974="","Warengruppe fehlt; ","")&amp;IF(B2974="","Bezeichnung fehlt; ","")&amp;IF(COUNTIFS($A$2:$A$5001,$A2974,$C$2:$C$5001,C2974)&gt;1,"Artikel doppelt im selben Lager; ",""))</f>
        <v/>
      </c>
      <c r="P2974" s="47" t="n">
        <f aca="false">IF(OR($A2974="",D2974=""),0,IF(COUNTIF($D$2:D2974,D2974)=1,SUMIF($D$2:$D$5001,D2974,$H$2:$H$5001)+ROW()/10000000,0))</f>
        <v>0</v>
      </c>
      <c r="Q2974" s="47" t="n">
        <f aca="false">IF(OR($A2974="",C2974=""),0,IF(COUNTIF($C$2:C2974,C2974)=1,SUMIF($C$2:$C$5001,C2974,$H$2:$H$5001)+ROW()/10000000,0))</f>
        <v>0</v>
      </c>
    </row>
    <row r="2975" customFormat="false" ht="15" hidden="false" customHeight="false" outlineLevel="0" collapsed="false">
      <c r="A2975" s="43"/>
      <c r="B2975" s="44"/>
      <c r="C2975" s="44"/>
      <c r="D2975" s="44"/>
      <c r="E2975" s="44"/>
      <c r="F2975" s="44"/>
      <c r="G2975" s="44"/>
      <c r="H2975" s="46" t="str">
        <f aca="false">IF($A2975="","",IF(OR(NOT(ISNUMBER(E2975)),NOT(ISNUMBER(F2975))),"",MAX(0,E2975)*F2975))</f>
        <v/>
      </c>
      <c r="I2975" s="46" t="str">
        <f aca="false">IF($A2975="","",SUMIF($A$2:$A$5001,$A2975,$H$2:$H$5001))</f>
        <v/>
      </c>
      <c r="J2975" s="47" t="n">
        <f aca="false">IF($A2975="",0,IF(COUNTIF($A$2:A2975,$A2975)=1,1,0))</f>
        <v>0</v>
      </c>
      <c r="K2975" s="47" t="n">
        <f aca="false">IF(J2975=1,N(I2975)+ROW()/10000000,0)</f>
        <v>0</v>
      </c>
      <c r="L2975" s="47" t="str">
        <f aca="false">IF(AND(J2975=1,N(I2975)&gt;0),SUMIF($K$2:$K$5001,"&gt;="&amp;K2975,$I$2:$I$5001)/MAX(1,SUM($H$2:$H$5001)),"")</f>
        <v/>
      </c>
      <c r="M2975" s="47" t="str">
        <f aca="false">IF($A2975="","",INDEX($L$2:$L$5001,MATCH($A2975,$A$2:$A$5001,0)))</f>
        <v/>
      </c>
      <c r="N2975" s="48" t="str">
        <f aca="false">IF($A2975="","",IF(N(M2975)=0,"–",IF(M2975&lt;=Start!$D$20,"A",IF(M2975&lt;=Start!$D$21,"B","C"))))</f>
        <v/>
      </c>
      <c r="O2975" s="48" t="str">
        <f aca="false">IF($A2975="","",IF(NOT(ISNUMBER(F2975)),"Wert fehlt; ",IF(F2975&lt;=0,"Wert ist 0; ",""))&amp;IF(NOT(ISNUMBER(E2975)),"Bestand fehlt; ",IF(E2975&lt;0,"Bestand negativ; ",IF(E2975=0,"Nullbestand; ","")))&amp;IF(D2975="","Warengruppe fehlt; ","")&amp;IF(B2975="","Bezeichnung fehlt; ","")&amp;IF(COUNTIFS($A$2:$A$5001,$A2975,$C$2:$C$5001,C2975)&gt;1,"Artikel doppelt im selben Lager; ",""))</f>
        <v/>
      </c>
      <c r="P2975" s="47" t="n">
        <f aca="false">IF(OR($A2975="",D2975=""),0,IF(COUNTIF($D$2:D2975,D2975)=1,SUMIF($D$2:$D$5001,D2975,$H$2:$H$5001)+ROW()/10000000,0))</f>
        <v>0</v>
      </c>
      <c r="Q2975" s="47" t="n">
        <f aca="false">IF(OR($A2975="",C2975=""),0,IF(COUNTIF($C$2:C2975,C2975)=1,SUMIF($C$2:$C$5001,C2975,$H$2:$H$5001)+ROW()/10000000,0))</f>
        <v>0</v>
      </c>
    </row>
    <row r="2976" customFormat="false" ht="15" hidden="false" customHeight="false" outlineLevel="0" collapsed="false">
      <c r="A2976" s="43"/>
      <c r="B2976" s="44"/>
      <c r="C2976" s="44"/>
      <c r="D2976" s="44"/>
      <c r="E2976" s="44"/>
      <c r="F2976" s="44"/>
      <c r="G2976" s="44"/>
      <c r="H2976" s="46" t="str">
        <f aca="false">IF($A2976="","",IF(OR(NOT(ISNUMBER(E2976)),NOT(ISNUMBER(F2976))),"",MAX(0,E2976)*F2976))</f>
        <v/>
      </c>
      <c r="I2976" s="46" t="str">
        <f aca="false">IF($A2976="","",SUMIF($A$2:$A$5001,$A2976,$H$2:$H$5001))</f>
        <v/>
      </c>
      <c r="J2976" s="47" t="n">
        <f aca="false">IF($A2976="",0,IF(COUNTIF($A$2:A2976,$A2976)=1,1,0))</f>
        <v>0</v>
      </c>
      <c r="K2976" s="47" t="n">
        <f aca="false">IF(J2976=1,N(I2976)+ROW()/10000000,0)</f>
        <v>0</v>
      </c>
      <c r="L2976" s="47" t="str">
        <f aca="false">IF(AND(J2976=1,N(I2976)&gt;0),SUMIF($K$2:$K$5001,"&gt;="&amp;K2976,$I$2:$I$5001)/MAX(1,SUM($H$2:$H$5001)),"")</f>
        <v/>
      </c>
      <c r="M2976" s="47" t="str">
        <f aca="false">IF($A2976="","",INDEX($L$2:$L$5001,MATCH($A2976,$A$2:$A$5001,0)))</f>
        <v/>
      </c>
      <c r="N2976" s="48" t="str">
        <f aca="false">IF($A2976="","",IF(N(M2976)=0,"–",IF(M2976&lt;=Start!$D$20,"A",IF(M2976&lt;=Start!$D$21,"B","C"))))</f>
        <v/>
      </c>
      <c r="O2976" s="48" t="str">
        <f aca="false">IF($A2976="","",IF(NOT(ISNUMBER(F2976)),"Wert fehlt; ",IF(F2976&lt;=0,"Wert ist 0; ",""))&amp;IF(NOT(ISNUMBER(E2976)),"Bestand fehlt; ",IF(E2976&lt;0,"Bestand negativ; ",IF(E2976=0,"Nullbestand; ","")))&amp;IF(D2976="","Warengruppe fehlt; ","")&amp;IF(B2976="","Bezeichnung fehlt; ","")&amp;IF(COUNTIFS($A$2:$A$5001,$A2976,$C$2:$C$5001,C2976)&gt;1,"Artikel doppelt im selben Lager; ",""))</f>
        <v/>
      </c>
      <c r="P2976" s="47" t="n">
        <f aca="false">IF(OR($A2976="",D2976=""),0,IF(COUNTIF($D$2:D2976,D2976)=1,SUMIF($D$2:$D$5001,D2976,$H$2:$H$5001)+ROW()/10000000,0))</f>
        <v>0</v>
      </c>
      <c r="Q2976" s="47" t="n">
        <f aca="false">IF(OR($A2976="",C2976=""),0,IF(COUNTIF($C$2:C2976,C2976)=1,SUMIF($C$2:$C$5001,C2976,$H$2:$H$5001)+ROW()/10000000,0))</f>
        <v>0</v>
      </c>
    </row>
    <row r="2977" customFormat="false" ht="15" hidden="false" customHeight="false" outlineLevel="0" collapsed="false">
      <c r="A2977" s="43"/>
      <c r="B2977" s="44"/>
      <c r="C2977" s="44"/>
      <c r="D2977" s="44"/>
      <c r="E2977" s="44"/>
      <c r="F2977" s="44"/>
      <c r="G2977" s="44"/>
      <c r="H2977" s="46" t="str">
        <f aca="false">IF($A2977="","",IF(OR(NOT(ISNUMBER(E2977)),NOT(ISNUMBER(F2977))),"",MAX(0,E2977)*F2977))</f>
        <v/>
      </c>
      <c r="I2977" s="46" t="str">
        <f aca="false">IF($A2977="","",SUMIF($A$2:$A$5001,$A2977,$H$2:$H$5001))</f>
        <v/>
      </c>
      <c r="J2977" s="47" t="n">
        <f aca="false">IF($A2977="",0,IF(COUNTIF($A$2:A2977,$A2977)=1,1,0))</f>
        <v>0</v>
      </c>
      <c r="K2977" s="47" t="n">
        <f aca="false">IF(J2977=1,N(I2977)+ROW()/10000000,0)</f>
        <v>0</v>
      </c>
      <c r="L2977" s="47" t="str">
        <f aca="false">IF(AND(J2977=1,N(I2977)&gt;0),SUMIF($K$2:$K$5001,"&gt;="&amp;K2977,$I$2:$I$5001)/MAX(1,SUM($H$2:$H$5001)),"")</f>
        <v/>
      </c>
      <c r="M2977" s="47" t="str">
        <f aca="false">IF($A2977="","",INDEX($L$2:$L$5001,MATCH($A2977,$A$2:$A$5001,0)))</f>
        <v/>
      </c>
      <c r="N2977" s="48" t="str">
        <f aca="false">IF($A2977="","",IF(N(M2977)=0,"–",IF(M2977&lt;=Start!$D$20,"A",IF(M2977&lt;=Start!$D$21,"B","C"))))</f>
        <v/>
      </c>
      <c r="O2977" s="48" t="str">
        <f aca="false">IF($A2977="","",IF(NOT(ISNUMBER(F2977)),"Wert fehlt; ",IF(F2977&lt;=0,"Wert ist 0; ",""))&amp;IF(NOT(ISNUMBER(E2977)),"Bestand fehlt; ",IF(E2977&lt;0,"Bestand negativ; ",IF(E2977=0,"Nullbestand; ","")))&amp;IF(D2977="","Warengruppe fehlt; ","")&amp;IF(B2977="","Bezeichnung fehlt; ","")&amp;IF(COUNTIFS($A$2:$A$5001,$A2977,$C$2:$C$5001,C2977)&gt;1,"Artikel doppelt im selben Lager; ",""))</f>
        <v/>
      </c>
      <c r="P2977" s="47" t="n">
        <f aca="false">IF(OR($A2977="",D2977=""),0,IF(COUNTIF($D$2:D2977,D2977)=1,SUMIF($D$2:$D$5001,D2977,$H$2:$H$5001)+ROW()/10000000,0))</f>
        <v>0</v>
      </c>
      <c r="Q2977" s="47" t="n">
        <f aca="false">IF(OR($A2977="",C2977=""),0,IF(COUNTIF($C$2:C2977,C2977)=1,SUMIF($C$2:$C$5001,C2977,$H$2:$H$5001)+ROW()/10000000,0))</f>
        <v>0</v>
      </c>
    </row>
    <row r="2978" customFormat="false" ht="15" hidden="false" customHeight="false" outlineLevel="0" collapsed="false">
      <c r="A2978" s="43"/>
      <c r="B2978" s="44"/>
      <c r="C2978" s="44"/>
      <c r="D2978" s="44"/>
      <c r="E2978" s="44"/>
      <c r="F2978" s="44"/>
      <c r="G2978" s="44"/>
      <c r="H2978" s="46" t="str">
        <f aca="false">IF($A2978="","",IF(OR(NOT(ISNUMBER(E2978)),NOT(ISNUMBER(F2978))),"",MAX(0,E2978)*F2978))</f>
        <v/>
      </c>
      <c r="I2978" s="46" t="str">
        <f aca="false">IF($A2978="","",SUMIF($A$2:$A$5001,$A2978,$H$2:$H$5001))</f>
        <v/>
      </c>
      <c r="J2978" s="47" t="n">
        <f aca="false">IF($A2978="",0,IF(COUNTIF($A$2:A2978,$A2978)=1,1,0))</f>
        <v>0</v>
      </c>
      <c r="K2978" s="47" t="n">
        <f aca="false">IF(J2978=1,N(I2978)+ROW()/10000000,0)</f>
        <v>0</v>
      </c>
      <c r="L2978" s="47" t="str">
        <f aca="false">IF(AND(J2978=1,N(I2978)&gt;0),SUMIF($K$2:$K$5001,"&gt;="&amp;K2978,$I$2:$I$5001)/MAX(1,SUM($H$2:$H$5001)),"")</f>
        <v/>
      </c>
      <c r="M2978" s="47" t="str">
        <f aca="false">IF($A2978="","",INDEX($L$2:$L$5001,MATCH($A2978,$A$2:$A$5001,0)))</f>
        <v/>
      </c>
      <c r="N2978" s="48" t="str">
        <f aca="false">IF($A2978="","",IF(N(M2978)=0,"–",IF(M2978&lt;=Start!$D$20,"A",IF(M2978&lt;=Start!$D$21,"B","C"))))</f>
        <v/>
      </c>
      <c r="O2978" s="48" t="str">
        <f aca="false">IF($A2978="","",IF(NOT(ISNUMBER(F2978)),"Wert fehlt; ",IF(F2978&lt;=0,"Wert ist 0; ",""))&amp;IF(NOT(ISNUMBER(E2978)),"Bestand fehlt; ",IF(E2978&lt;0,"Bestand negativ; ",IF(E2978=0,"Nullbestand; ","")))&amp;IF(D2978="","Warengruppe fehlt; ","")&amp;IF(B2978="","Bezeichnung fehlt; ","")&amp;IF(COUNTIFS($A$2:$A$5001,$A2978,$C$2:$C$5001,C2978)&gt;1,"Artikel doppelt im selben Lager; ",""))</f>
        <v/>
      </c>
      <c r="P2978" s="47" t="n">
        <f aca="false">IF(OR($A2978="",D2978=""),0,IF(COUNTIF($D$2:D2978,D2978)=1,SUMIF($D$2:$D$5001,D2978,$H$2:$H$5001)+ROW()/10000000,0))</f>
        <v>0</v>
      </c>
      <c r="Q2978" s="47" t="n">
        <f aca="false">IF(OR($A2978="",C2978=""),0,IF(COUNTIF($C$2:C2978,C2978)=1,SUMIF($C$2:$C$5001,C2978,$H$2:$H$5001)+ROW()/10000000,0))</f>
        <v>0</v>
      </c>
    </row>
    <row r="2979" customFormat="false" ht="15" hidden="false" customHeight="false" outlineLevel="0" collapsed="false">
      <c r="A2979" s="43"/>
      <c r="B2979" s="44"/>
      <c r="C2979" s="44"/>
      <c r="D2979" s="44"/>
      <c r="E2979" s="44"/>
      <c r="F2979" s="44"/>
      <c r="G2979" s="44"/>
      <c r="H2979" s="46" t="str">
        <f aca="false">IF($A2979="","",IF(OR(NOT(ISNUMBER(E2979)),NOT(ISNUMBER(F2979))),"",MAX(0,E2979)*F2979))</f>
        <v/>
      </c>
      <c r="I2979" s="46" t="str">
        <f aca="false">IF($A2979="","",SUMIF($A$2:$A$5001,$A2979,$H$2:$H$5001))</f>
        <v/>
      </c>
      <c r="J2979" s="47" t="n">
        <f aca="false">IF($A2979="",0,IF(COUNTIF($A$2:A2979,$A2979)=1,1,0))</f>
        <v>0</v>
      </c>
      <c r="K2979" s="47" t="n">
        <f aca="false">IF(J2979=1,N(I2979)+ROW()/10000000,0)</f>
        <v>0</v>
      </c>
      <c r="L2979" s="47" t="str">
        <f aca="false">IF(AND(J2979=1,N(I2979)&gt;0),SUMIF($K$2:$K$5001,"&gt;="&amp;K2979,$I$2:$I$5001)/MAX(1,SUM($H$2:$H$5001)),"")</f>
        <v/>
      </c>
      <c r="M2979" s="47" t="str">
        <f aca="false">IF($A2979="","",INDEX($L$2:$L$5001,MATCH($A2979,$A$2:$A$5001,0)))</f>
        <v/>
      </c>
      <c r="N2979" s="48" t="str">
        <f aca="false">IF($A2979="","",IF(N(M2979)=0,"–",IF(M2979&lt;=Start!$D$20,"A",IF(M2979&lt;=Start!$D$21,"B","C"))))</f>
        <v/>
      </c>
      <c r="O2979" s="48" t="str">
        <f aca="false">IF($A2979="","",IF(NOT(ISNUMBER(F2979)),"Wert fehlt; ",IF(F2979&lt;=0,"Wert ist 0; ",""))&amp;IF(NOT(ISNUMBER(E2979)),"Bestand fehlt; ",IF(E2979&lt;0,"Bestand negativ; ",IF(E2979=0,"Nullbestand; ","")))&amp;IF(D2979="","Warengruppe fehlt; ","")&amp;IF(B2979="","Bezeichnung fehlt; ","")&amp;IF(COUNTIFS($A$2:$A$5001,$A2979,$C$2:$C$5001,C2979)&gt;1,"Artikel doppelt im selben Lager; ",""))</f>
        <v/>
      </c>
      <c r="P2979" s="47" t="n">
        <f aca="false">IF(OR($A2979="",D2979=""),0,IF(COUNTIF($D$2:D2979,D2979)=1,SUMIF($D$2:$D$5001,D2979,$H$2:$H$5001)+ROW()/10000000,0))</f>
        <v>0</v>
      </c>
      <c r="Q2979" s="47" t="n">
        <f aca="false">IF(OR($A2979="",C2979=""),0,IF(COUNTIF($C$2:C2979,C2979)=1,SUMIF($C$2:$C$5001,C2979,$H$2:$H$5001)+ROW()/10000000,0))</f>
        <v>0</v>
      </c>
    </row>
    <row r="2980" customFormat="false" ht="15" hidden="false" customHeight="false" outlineLevel="0" collapsed="false">
      <c r="A2980" s="43"/>
      <c r="B2980" s="44"/>
      <c r="C2980" s="44"/>
      <c r="D2980" s="44"/>
      <c r="E2980" s="44"/>
      <c r="F2980" s="44"/>
      <c r="G2980" s="44"/>
      <c r="H2980" s="46" t="str">
        <f aca="false">IF($A2980="","",IF(OR(NOT(ISNUMBER(E2980)),NOT(ISNUMBER(F2980))),"",MAX(0,E2980)*F2980))</f>
        <v/>
      </c>
      <c r="I2980" s="46" t="str">
        <f aca="false">IF($A2980="","",SUMIF($A$2:$A$5001,$A2980,$H$2:$H$5001))</f>
        <v/>
      </c>
      <c r="J2980" s="47" t="n">
        <f aca="false">IF($A2980="",0,IF(COUNTIF($A$2:A2980,$A2980)=1,1,0))</f>
        <v>0</v>
      </c>
      <c r="K2980" s="47" t="n">
        <f aca="false">IF(J2980=1,N(I2980)+ROW()/10000000,0)</f>
        <v>0</v>
      </c>
      <c r="L2980" s="47" t="str">
        <f aca="false">IF(AND(J2980=1,N(I2980)&gt;0),SUMIF($K$2:$K$5001,"&gt;="&amp;K2980,$I$2:$I$5001)/MAX(1,SUM($H$2:$H$5001)),"")</f>
        <v/>
      </c>
      <c r="M2980" s="47" t="str">
        <f aca="false">IF($A2980="","",INDEX($L$2:$L$5001,MATCH($A2980,$A$2:$A$5001,0)))</f>
        <v/>
      </c>
      <c r="N2980" s="48" t="str">
        <f aca="false">IF($A2980="","",IF(N(M2980)=0,"–",IF(M2980&lt;=Start!$D$20,"A",IF(M2980&lt;=Start!$D$21,"B","C"))))</f>
        <v/>
      </c>
      <c r="O2980" s="48" t="str">
        <f aca="false">IF($A2980="","",IF(NOT(ISNUMBER(F2980)),"Wert fehlt; ",IF(F2980&lt;=0,"Wert ist 0; ",""))&amp;IF(NOT(ISNUMBER(E2980)),"Bestand fehlt; ",IF(E2980&lt;0,"Bestand negativ; ",IF(E2980=0,"Nullbestand; ","")))&amp;IF(D2980="","Warengruppe fehlt; ","")&amp;IF(B2980="","Bezeichnung fehlt; ","")&amp;IF(COUNTIFS($A$2:$A$5001,$A2980,$C$2:$C$5001,C2980)&gt;1,"Artikel doppelt im selben Lager; ",""))</f>
        <v/>
      </c>
      <c r="P2980" s="47" t="n">
        <f aca="false">IF(OR($A2980="",D2980=""),0,IF(COUNTIF($D$2:D2980,D2980)=1,SUMIF($D$2:$D$5001,D2980,$H$2:$H$5001)+ROW()/10000000,0))</f>
        <v>0</v>
      </c>
      <c r="Q2980" s="47" t="n">
        <f aca="false">IF(OR($A2980="",C2980=""),0,IF(COUNTIF($C$2:C2980,C2980)=1,SUMIF($C$2:$C$5001,C2980,$H$2:$H$5001)+ROW()/10000000,0))</f>
        <v>0</v>
      </c>
    </row>
    <row r="2981" customFormat="false" ht="15" hidden="false" customHeight="false" outlineLevel="0" collapsed="false">
      <c r="A2981" s="43"/>
      <c r="B2981" s="44"/>
      <c r="C2981" s="44"/>
      <c r="D2981" s="44"/>
      <c r="E2981" s="44"/>
      <c r="F2981" s="44"/>
      <c r="G2981" s="44"/>
      <c r="H2981" s="46" t="str">
        <f aca="false">IF($A2981="","",IF(OR(NOT(ISNUMBER(E2981)),NOT(ISNUMBER(F2981))),"",MAX(0,E2981)*F2981))</f>
        <v/>
      </c>
      <c r="I2981" s="46" t="str">
        <f aca="false">IF($A2981="","",SUMIF($A$2:$A$5001,$A2981,$H$2:$H$5001))</f>
        <v/>
      </c>
      <c r="J2981" s="47" t="n">
        <f aca="false">IF($A2981="",0,IF(COUNTIF($A$2:A2981,$A2981)=1,1,0))</f>
        <v>0</v>
      </c>
      <c r="K2981" s="47" t="n">
        <f aca="false">IF(J2981=1,N(I2981)+ROW()/10000000,0)</f>
        <v>0</v>
      </c>
      <c r="L2981" s="47" t="str">
        <f aca="false">IF(AND(J2981=1,N(I2981)&gt;0),SUMIF($K$2:$K$5001,"&gt;="&amp;K2981,$I$2:$I$5001)/MAX(1,SUM($H$2:$H$5001)),"")</f>
        <v/>
      </c>
      <c r="M2981" s="47" t="str">
        <f aca="false">IF($A2981="","",INDEX($L$2:$L$5001,MATCH($A2981,$A$2:$A$5001,0)))</f>
        <v/>
      </c>
      <c r="N2981" s="48" t="str">
        <f aca="false">IF($A2981="","",IF(N(M2981)=0,"–",IF(M2981&lt;=Start!$D$20,"A",IF(M2981&lt;=Start!$D$21,"B","C"))))</f>
        <v/>
      </c>
      <c r="O2981" s="48" t="str">
        <f aca="false">IF($A2981="","",IF(NOT(ISNUMBER(F2981)),"Wert fehlt; ",IF(F2981&lt;=0,"Wert ist 0; ",""))&amp;IF(NOT(ISNUMBER(E2981)),"Bestand fehlt; ",IF(E2981&lt;0,"Bestand negativ; ",IF(E2981=0,"Nullbestand; ","")))&amp;IF(D2981="","Warengruppe fehlt; ","")&amp;IF(B2981="","Bezeichnung fehlt; ","")&amp;IF(COUNTIFS($A$2:$A$5001,$A2981,$C$2:$C$5001,C2981)&gt;1,"Artikel doppelt im selben Lager; ",""))</f>
        <v/>
      </c>
      <c r="P2981" s="47" t="n">
        <f aca="false">IF(OR($A2981="",D2981=""),0,IF(COUNTIF($D$2:D2981,D2981)=1,SUMIF($D$2:$D$5001,D2981,$H$2:$H$5001)+ROW()/10000000,0))</f>
        <v>0</v>
      </c>
      <c r="Q2981" s="47" t="n">
        <f aca="false">IF(OR($A2981="",C2981=""),0,IF(COUNTIF($C$2:C2981,C2981)=1,SUMIF($C$2:$C$5001,C2981,$H$2:$H$5001)+ROW()/10000000,0))</f>
        <v>0</v>
      </c>
    </row>
    <row r="2982" customFormat="false" ht="15" hidden="false" customHeight="false" outlineLevel="0" collapsed="false">
      <c r="A2982" s="43"/>
      <c r="B2982" s="44"/>
      <c r="C2982" s="44"/>
      <c r="D2982" s="44"/>
      <c r="E2982" s="44"/>
      <c r="F2982" s="44"/>
      <c r="G2982" s="44"/>
      <c r="H2982" s="46" t="str">
        <f aca="false">IF($A2982="","",IF(OR(NOT(ISNUMBER(E2982)),NOT(ISNUMBER(F2982))),"",MAX(0,E2982)*F2982))</f>
        <v/>
      </c>
      <c r="I2982" s="46" t="str">
        <f aca="false">IF($A2982="","",SUMIF($A$2:$A$5001,$A2982,$H$2:$H$5001))</f>
        <v/>
      </c>
      <c r="J2982" s="47" t="n">
        <f aca="false">IF($A2982="",0,IF(COUNTIF($A$2:A2982,$A2982)=1,1,0))</f>
        <v>0</v>
      </c>
      <c r="K2982" s="47" t="n">
        <f aca="false">IF(J2982=1,N(I2982)+ROW()/10000000,0)</f>
        <v>0</v>
      </c>
      <c r="L2982" s="47" t="str">
        <f aca="false">IF(AND(J2982=1,N(I2982)&gt;0),SUMIF($K$2:$K$5001,"&gt;="&amp;K2982,$I$2:$I$5001)/MAX(1,SUM($H$2:$H$5001)),"")</f>
        <v/>
      </c>
      <c r="M2982" s="47" t="str">
        <f aca="false">IF($A2982="","",INDEX($L$2:$L$5001,MATCH($A2982,$A$2:$A$5001,0)))</f>
        <v/>
      </c>
      <c r="N2982" s="48" t="str">
        <f aca="false">IF($A2982="","",IF(N(M2982)=0,"–",IF(M2982&lt;=Start!$D$20,"A",IF(M2982&lt;=Start!$D$21,"B","C"))))</f>
        <v/>
      </c>
      <c r="O2982" s="48" t="str">
        <f aca="false">IF($A2982="","",IF(NOT(ISNUMBER(F2982)),"Wert fehlt; ",IF(F2982&lt;=0,"Wert ist 0; ",""))&amp;IF(NOT(ISNUMBER(E2982)),"Bestand fehlt; ",IF(E2982&lt;0,"Bestand negativ; ",IF(E2982=0,"Nullbestand; ","")))&amp;IF(D2982="","Warengruppe fehlt; ","")&amp;IF(B2982="","Bezeichnung fehlt; ","")&amp;IF(COUNTIFS($A$2:$A$5001,$A2982,$C$2:$C$5001,C2982)&gt;1,"Artikel doppelt im selben Lager; ",""))</f>
        <v/>
      </c>
      <c r="P2982" s="47" t="n">
        <f aca="false">IF(OR($A2982="",D2982=""),0,IF(COUNTIF($D$2:D2982,D2982)=1,SUMIF($D$2:$D$5001,D2982,$H$2:$H$5001)+ROW()/10000000,0))</f>
        <v>0</v>
      </c>
      <c r="Q2982" s="47" t="n">
        <f aca="false">IF(OR($A2982="",C2982=""),0,IF(COUNTIF($C$2:C2982,C2982)=1,SUMIF($C$2:$C$5001,C2982,$H$2:$H$5001)+ROW()/10000000,0))</f>
        <v>0</v>
      </c>
    </row>
    <row r="2983" customFormat="false" ht="15" hidden="false" customHeight="false" outlineLevel="0" collapsed="false">
      <c r="A2983" s="43"/>
      <c r="B2983" s="44"/>
      <c r="C2983" s="44"/>
      <c r="D2983" s="44"/>
      <c r="E2983" s="44"/>
      <c r="F2983" s="44"/>
      <c r="G2983" s="44"/>
      <c r="H2983" s="46" t="str">
        <f aca="false">IF($A2983="","",IF(OR(NOT(ISNUMBER(E2983)),NOT(ISNUMBER(F2983))),"",MAX(0,E2983)*F2983))</f>
        <v/>
      </c>
      <c r="I2983" s="46" t="str">
        <f aca="false">IF($A2983="","",SUMIF($A$2:$A$5001,$A2983,$H$2:$H$5001))</f>
        <v/>
      </c>
      <c r="J2983" s="47" t="n">
        <f aca="false">IF($A2983="",0,IF(COUNTIF($A$2:A2983,$A2983)=1,1,0))</f>
        <v>0</v>
      </c>
      <c r="K2983" s="47" t="n">
        <f aca="false">IF(J2983=1,N(I2983)+ROW()/10000000,0)</f>
        <v>0</v>
      </c>
      <c r="L2983" s="47" t="str">
        <f aca="false">IF(AND(J2983=1,N(I2983)&gt;0),SUMIF($K$2:$K$5001,"&gt;="&amp;K2983,$I$2:$I$5001)/MAX(1,SUM($H$2:$H$5001)),"")</f>
        <v/>
      </c>
      <c r="M2983" s="47" t="str">
        <f aca="false">IF($A2983="","",INDEX($L$2:$L$5001,MATCH($A2983,$A$2:$A$5001,0)))</f>
        <v/>
      </c>
      <c r="N2983" s="48" t="str">
        <f aca="false">IF($A2983="","",IF(N(M2983)=0,"–",IF(M2983&lt;=Start!$D$20,"A",IF(M2983&lt;=Start!$D$21,"B","C"))))</f>
        <v/>
      </c>
      <c r="O2983" s="48" t="str">
        <f aca="false">IF($A2983="","",IF(NOT(ISNUMBER(F2983)),"Wert fehlt; ",IF(F2983&lt;=0,"Wert ist 0; ",""))&amp;IF(NOT(ISNUMBER(E2983)),"Bestand fehlt; ",IF(E2983&lt;0,"Bestand negativ; ",IF(E2983=0,"Nullbestand; ","")))&amp;IF(D2983="","Warengruppe fehlt; ","")&amp;IF(B2983="","Bezeichnung fehlt; ","")&amp;IF(COUNTIFS($A$2:$A$5001,$A2983,$C$2:$C$5001,C2983)&gt;1,"Artikel doppelt im selben Lager; ",""))</f>
        <v/>
      </c>
      <c r="P2983" s="47" t="n">
        <f aca="false">IF(OR($A2983="",D2983=""),0,IF(COUNTIF($D$2:D2983,D2983)=1,SUMIF($D$2:$D$5001,D2983,$H$2:$H$5001)+ROW()/10000000,0))</f>
        <v>0</v>
      </c>
      <c r="Q2983" s="47" t="n">
        <f aca="false">IF(OR($A2983="",C2983=""),0,IF(COUNTIF($C$2:C2983,C2983)=1,SUMIF($C$2:$C$5001,C2983,$H$2:$H$5001)+ROW()/10000000,0))</f>
        <v>0</v>
      </c>
    </row>
    <row r="2984" customFormat="false" ht="15" hidden="false" customHeight="false" outlineLevel="0" collapsed="false">
      <c r="A2984" s="43"/>
      <c r="B2984" s="44"/>
      <c r="C2984" s="44"/>
      <c r="D2984" s="44"/>
      <c r="E2984" s="44"/>
      <c r="F2984" s="44"/>
      <c r="G2984" s="44"/>
      <c r="H2984" s="46" t="str">
        <f aca="false">IF($A2984="","",IF(OR(NOT(ISNUMBER(E2984)),NOT(ISNUMBER(F2984))),"",MAX(0,E2984)*F2984))</f>
        <v/>
      </c>
      <c r="I2984" s="46" t="str">
        <f aca="false">IF($A2984="","",SUMIF($A$2:$A$5001,$A2984,$H$2:$H$5001))</f>
        <v/>
      </c>
      <c r="J2984" s="47" t="n">
        <f aca="false">IF($A2984="",0,IF(COUNTIF($A$2:A2984,$A2984)=1,1,0))</f>
        <v>0</v>
      </c>
      <c r="K2984" s="47" t="n">
        <f aca="false">IF(J2984=1,N(I2984)+ROW()/10000000,0)</f>
        <v>0</v>
      </c>
      <c r="L2984" s="47" t="str">
        <f aca="false">IF(AND(J2984=1,N(I2984)&gt;0),SUMIF($K$2:$K$5001,"&gt;="&amp;K2984,$I$2:$I$5001)/MAX(1,SUM($H$2:$H$5001)),"")</f>
        <v/>
      </c>
      <c r="M2984" s="47" t="str">
        <f aca="false">IF($A2984="","",INDEX($L$2:$L$5001,MATCH($A2984,$A$2:$A$5001,0)))</f>
        <v/>
      </c>
      <c r="N2984" s="48" t="str">
        <f aca="false">IF($A2984="","",IF(N(M2984)=0,"–",IF(M2984&lt;=Start!$D$20,"A",IF(M2984&lt;=Start!$D$21,"B","C"))))</f>
        <v/>
      </c>
      <c r="O2984" s="48" t="str">
        <f aca="false">IF($A2984="","",IF(NOT(ISNUMBER(F2984)),"Wert fehlt; ",IF(F2984&lt;=0,"Wert ist 0; ",""))&amp;IF(NOT(ISNUMBER(E2984)),"Bestand fehlt; ",IF(E2984&lt;0,"Bestand negativ; ",IF(E2984=0,"Nullbestand; ","")))&amp;IF(D2984="","Warengruppe fehlt; ","")&amp;IF(B2984="","Bezeichnung fehlt; ","")&amp;IF(COUNTIFS($A$2:$A$5001,$A2984,$C$2:$C$5001,C2984)&gt;1,"Artikel doppelt im selben Lager; ",""))</f>
        <v/>
      </c>
      <c r="P2984" s="47" t="n">
        <f aca="false">IF(OR($A2984="",D2984=""),0,IF(COUNTIF($D$2:D2984,D2984)=1,SUMIF($D$2:$D$5001,D2984,$H$2:$H$5001)+ROW()/10000000,0))</f>
        <v>0</v>
      </c>
      <c r="Q2984" s="47" t="n">
        <f aca="false">IF(OR($A2984="",C2984=""),0,IF(COUNTIF($C$2:C2984,C2984)=1,SUMIF($C$2:$C$5001,C2984,$H$2:$H$5001)+ROW()/10000000,0))</f>
        <v>0</v>
      </c>
    </row>
    <row r="2985" customFormat="false" ht="15" hidden="false" customHeight="false" outlineLevel="0" collapsed="false">
      <c r="A2985" s="43"/>
      <c r="B2985" s="44"/>
      <c r="C2985" s="44"/>
      <c r="D2985" s="44"/>
      <c r="E2985" s="44"/>
      <c r="F2985" s="44"/>
      <c r="G2985" s="44"/>
      <c r="H2985" s="46" t="str">
        <f aca="false">IF($A2985="","",IF(OR(NOT(ISNUMBER(E2985)),NOT(ISNUMBER(F2985))),"",MAX(0,E2985)*F2985))</f>
        <v/>
      </c>
      <c r="I2985" s="46" t="str">
        <f aca="false">IF($A2985="","",SUMIF($A$2:$A$5001,$A2985,$H$2:$H$5001))</f>
        <v/>
      </c>
      <c r="J2985" s="47" t="n">
        <f aca="false">IF($A2985="",0,IF(COUNTIF($A$2:A2985,$A2985)=1,1,0))</f>
        <v>0</v>
      </c>
      <c r="K2985" s="47" t="n">
        <f aca="false">IF(J2985=1,N(I2985)+ROW()/10000000,0)</f>
        <v>0</v>
      </c>
      <c r="L2985" s="47" t="str">
        <f aca="false">IF(AND(J2985=1,N(I2985)&gt;0),SUMIF($K$2:$K$5001,"&gt;="&amp;K2985,$I$2:$I$5001)/MAX(1,SUM($H$2:$H$5001)),"")</f>
        <v/>
      </c>
      <c r="M2985" s="47" t="str">
        <f aca="false">IF($A2985="","",INDEX($L$2:$L$5001,MATCH($A2985,$A$2:$A$5001,0)))</f>
        <v/>
      </c>
      <c r="N2985" s="48" t="str">
        <f aca="false">IF($A2985="","",IF(N(M2985)=0,"–",IF(M2985&lt;=Start!$D$20,"A",IF(M2985&lt;=Start!$D$21,"B","C"))))</f>
        <v/>
      </c>
      <c r="O2985" s="48" t="str">
        <f aca="false">IF($A2985="","",IF(NOT(ISNUMBER(F2985)),"Wert fehlt; ",IF(F2985&lt;=0,"Wert ist 0; ",""))&amp;IF(NOT(ISNUMBER(E2985)),"Bestand fehlt; ",IF(E2985&lt;0,"Bestand negativ; ",IF(E2985=0,"Nullbestand; ","")))&amp;IF(D2985="","Warengruppe fehlt; ","")&amp;IF(B2985="","Bezeichnung fehlt; ","")&amp;IF(COUNTIFS($A$2:$A$5001,$A2985,$C$2:$C$5001,C2985)&gt;1,"Artikel doppelt im selben Lager; ",""))</f>
        <v/>
      </c>
      <c r="P2985" s="47" t="n">
        <f aca="false">IF(OR($A2985="",D2985=""),0,IF(COUNTIF($D$2:D2985,D2985)=1,SUMIF($D$2:$D$5001,D2985,$H$2:$H$5001)+ROW()/10000000,0))</f>
        <v>0</v>
      </c>
      <c r="Q2985" s="47" t="n">
        <f aca="false">IF(OR($A2985="",C2985=""),0,IF(COUNTIF($C$2:C2985,C2985)=1,SUMIF($C$2:$C$5001,C2985,$H$2:$H$5001)+ROW()/10000000,0))</f>
        <v>0</v>
      </c>
    </row>
    <row r="2986" customFormat="false" ht="15" hidden="false" customHeight="false" outlineLevel="0" collapsed="false">
      <c r="A2986" s="43"/>
      <c r="B2986" s="44"/>
      <c r="C2986" s="44"/>
      <c r="D2986" s="44"/>
      <c r="E2986" s="44"/>
      <c r="F2986" s="44"/>
      <c r="G2986" s="44"/>
      <c r="H2986" s="46" t="str">
        <f aca="false">IF($A2986="","",IF(OR(NOT(ISNUMBER(E2986)),NOT(ISNUMBER(F2986))),"",MAX(0,E2986)*F2986))</f>
        <v/>
      </c>
      <c r="I2986" s="46" t="str">
        <f aca="false">IF($A2986="","",SUMIF($A$2:$A$5001,$A2986,$H$2:$H$5001))</f>
        <v/>
      </c>
      <c r="J2986" s="47" t="n">
        <f aca="false">IF($A2986="",0,IF(COUNTIF($A$2:A2986,$A2986)=1,1,0))</f>
        <v>0</v>
      </c>
      <c r="K2986" s="47" t="n">
        <f aca="false">IF(J2986=1,N(I2986)+ROW()/10000000,0)</f>
        <v>0</v>
      </c>
      <c r="L2986" s="47" t="str">
        <f aca="false">IF(AND(J2986=1,N(I2986)&gt;0),SUMIF($K$2:$K$5001,"&gt;="&amp;K2986,$I$2:$I$5001)/MAX(1,SUM($H$2:$H$5001)),"")</f>
        <v/>
      </c>
      <c r="M2986" s="47" t="str">
        <f aca="false">IF($A2986="","",INDEX($L$2:$L$5001,MATCH($A2986,$A$2:$A$5001,0)))</f>
        <v/>
      </c>
      <c r="N2986" s="48" t="str">
        <f aca="false">IF($A2986="","",IF(N(M2986)=0,"–",IF(M2986&lt;=Start!$D$20,"A",IF(M2986&lt;=Start!$D$21,"B","C"))))</f>
        <v/>
      </c>
      <c r="O2986" s="48" t="str">
        <f aca="false">IF($A2986="","",IF(NOT(ISNUMBER(F2986)),"Wert fehlt; ",IF(F2986&lt;=0,"Wert ist 0; ",""))&amp;IF(NOT(ISNUMBER(E2986)),"Bestand fehlt; ",IF(E2986&lt;0,"Bestand negativ; ",IF(E2986=0,"Nullbestand; ","")))&amp;IF(D2986="","Warengruppe fehlt; ","")&amp;IF(B2986="","Bezeichnung fehlt; ","")&amp;IF(COUNTIFS($A$2:$A$5001,$A2986,$C$2:$C$5001,C2986)&gt;1,"Artikel doppelt im selben Lager; ",""))</f>
        <v/>
      </c>
      <c r="P2986" s="47" t="n">
        <f aca="false">IF(OR($A2986="",D2986=""),0,IF(COUNTIF($D$2:D2986,D2986)=1,SUMIF($D$2:$D$5001,D2986,$H$2:$H$5001)+ROW()/10000000,0))</f>
        <v>0</v>
      </c>
      <c r="Q2986" s="47" t="n">
        <f aca="false">IF(OR($A2986="",C2986=""),0,IF(COUNTIF($C$2:C2986,C2986)=1,SUMIF($C$2:$C$5001,C2986,$H$2:$H$5001)+ROW()/10000000,0))</f>
        <v>0</v>
      </c>
    </row>
    <row r="2987" customFormat="false" ht="15" hidden="false" customHeight="false" outlineLevel="0" collapsed="false">
      <c r="A2987" s="43"/>
      <c r="B2987" s="44"/>
      <c r="C2987" s="44"/>
      <c r="D2987" s="44"/>
      <c r="E2987" s="44"/>
      <c r="F2987" s="44"/>
      <c r="G2987" s="44"/>
      <c r="H2987" s="46" t="str">
        <f aca="false">IF($A2987="","",IF(OR(NOT(ISNUMBER(E2987)),NOT(ISNUMBER(F2987))),"",MAX(0,E2987)*F2987))</f>
        <v/>
      </c>
      <c r="I2987" s="46" t="str">
        <f aca="false">IF($A2987="","",SUMIF($A$2:$A$5001,$A2987,$H$2:$H$5001))</f>
        <v/>
      </c>
      <c r="J2987" s="47" t="n">
        <f aca="false">IF($A2987="",0,IF(COUNTIF($A$2:A2987,$A2987)=1,1,0))</f>
        <v>0</v>
      </c>
      <c r="K2987" s="47" t="n">
        <f aca="false">IF(J2987=1,N(I2987)+ROW()/10000000,0)</f>
        <v>0</v>
      </c>
      <c r="L2987" s="47" t="str">
        <f aca="false">IF(AND(J2987=1,N(I2987)&gt;0),SUMIF($K$2:$K$5001,"&gt;="&amp;K2987,$I$2:$I$5001)/MAX(1,SUM($H$2:$H$5001)),"")</f>
        <v/>
      </c>
      <c r="M2987" s="47" t="str">
        <f aca="false">IF($A2987="","",INDEX($L$2:$L$5001,MATCH($A2987,$A$2:$A$5001,0)))</f>
        <v/>
      </c>
      <c r="N2987" s="48" t="str">
        <f aca="false">IF($A2987="","",IF(N(M2987)=0,"–",IF(M2987&lt;=Start!$D$20,"A",IF(M2987&lt;=Start!$D$21,"B","C"))))</f>
        <v/>
      </c>
      <c r="O2987" s="48" t="str">
        <f aca="false">IF($A2987="","",IF(NOT(ISNUMBER(F2987)),"Wert fehlt; ",IF(F2987&lt;=0,"Wert ist 0; ",""))&amp;IF(NOT(ISNUMBER(E2987)),"Bestand fehlt; ",IF(E2987&lt;0,"Bestand negativ; ",IF(E2987=0,"Nullbestand; ","")))&amp;IF(D2987="","Warengruppe fehlt; ","")&amp;IF(B2987="","Bezeichnung fehlt; ","")&amp;IF(COUNTIFS($A$2:$A$5001,$A2987,$C$2:$C$5001,C2987)&gt;1,"Artikel doppelt im selben Lager; ",""))</f>
        <v/>
      </c>
      <c r="P2987" s="47" t="n">
        <f aca="false">IF(OR($A2987="",D2987=""),0,IF(COUNTIF($D$2:D2987,D2987)=1,SUMIF($D$2:$D$5001,D2987,$H$2:$H$5001)+ROW()/10000000,0))</f>
        <v>0</v>
      </c>
      <c r="Q2987" s="47" t="n">
        <f aca="false">IF(OR($A2987="",C2987=""),0,IF(COUNTIF($C$2:C2987,C2987)=1,SUMIF($C$2:$C$5001,C2987,$H$2:$H$5001)+ROW()/10000000,0))</f>
        <v>0</v>
      </c>
    </row>
    <row r="2988" customFormat="false" ht="15" hidden="false" customHeight="false" outlineLevel="0" collapsed="false">
      <c r="A2988" s="43"/>
      <c r="B2988" s="44"/>
      <c r="C2988" s="44"/>
      <c r="D2988" s="44"/>
      <c r="E2988" s="44"/>
      <c r="F2988" s="44"/>
      <c r="G2988" s="44"/>
      <c r="H2988" s="46" t="str">
        <f aca="false">IF($A2988="","",IF(OR(NOT(ISNUMBER(E2988)),NOT(ISNUMBER(F2988))),"",MAX(0,E2988)*F2988))</f>
        <v/>
      </c>
      <c r="I2988" s="46" t="str">
        <f aca="false">IF($A2988="","",SUMIF($A$2:$A$5001,$A2988,$H$2:$H$5001))</f>
        <v/>
      </c>
      <c r="J2988" s="47" t="n">
        <f aca="false">IF($A2988="",0,IF(COUNTIF($A$2:A2988,$A2988)=1,1,0))</f>
        <v>0</v>
      </c>
      <c r="K2988" s="47" t="n">
        <f aca="false">IF(J2988=1,N(I2988)+ROW()/10000000,0)</f>
        <v>0</v>
      </c>
      <c r="L2988" s="47" t="str">
        <f aca="false">IF(AND(J2988=1,N(I2988)&gt;0),SUMIF($K$2:$K$5001,"&gt;="&amp;K2988,$I$2:$I$5001)/MAX(1,SUM($H$2:$H$5001)),"")</f>
        <v/>
      </c>
      <c r="M2988" s="47" t="str">
        <f aca="false">IF($A2988="","",INDEX($L$2:$L$5001,MATCH($A2988,$A$2:$A$5001,0)))</f>
        <v/>
      </c>
      <c r="N2988" s="48" t="str">
        <f aca="false">IF($A2988="","",IF(N(M2988)=0,"–",IF(M2988&lt;=Start!$D$20,"A",IF(M2988&lt;=Start!$D$21,"B","C"))))</f>
        <v/>
      </c>
      <c r="O2988" s="48" t="str">
        <f aca="false">IF($A2988="","",IF(NOT(ISNUMBER(F2988)),"Wert fehlt; ",IF(F2988&lt;=0,"Wert ist 0; ",""))&amp;IF(NOT(ISNUMBER(E2988)),"Bestand fehlt; ",IF(E2988&lt;0,"Bestand negativ; ",IF(E2988=0,"Nullbestand; ","")))&amp;IF(D2988="","Warengruppe fehlt; ","")&amp;IF(B2988="","Bezeichnung fehlt; ","")&amp;IF(COUNTIFS($A$2:$A$5001,$A2988,$C$2:$C$5001,C2988)&gt;1,"Artikel doppelt im selben Lager; ",""))</f>
        <v/>
      </c>
      <c r="P2988" s="47" t="n">
        <f aca="false">IF(OR($A2988="",D2988=""),0,IF(COUNTIF($D$2:D2988,D2988)=1,SUMIF($D$2:$D$5001,D2988,$H$2:$H$5001)+ROW()/10000000,0))</f>
        <v>0</v>
      </c>
      <c r="Q2988" s="47" t="n">
        <f aca="false">IF(OR($A2988="",C2988=""),0,IF(COUNTIF($C$2:C2988,C2988)=1,SUMIF($C$2:$C$5001,C2988,$H$2:$H$5001)+ROW()/10000000,0))</f>
        <v>0</v>
      </c>
    </row>
    <row r="2989" customFormat="false" ht="15" hidden="false" customHeight="false" outlineLevel="0" collapsed="false">
      <c r="A2989" s="43"/>
      <c r="B2989" s="44"/>
      <c r="C2989" s="44"/>
      <c r="D2989" s="44"/>
      <c r="E2989" s="44"/>
      <c r="F2989" s="44"/>
      <c r="G2989" s="44"/>
      <c r="H2989" s="46" t="str">
        <f aca="false">IF($A2989="","",IF(OR(NOT(ISNUMBER(E2989)),NOT(ISNUMBER(F2989))),"",MAX(0,E2989)*F2989))</f>
        <v/>
      </c>
      <c r="I2989" s="46" t="str">
        <f aca="false">IF($A2989="","",SUMIF($A$2:$A$5001,$A2989,$H$2:$H$5001))</f>
        <v/>
      </c>
      <c r="J2989" s="47" t="n">
        <f aca="false">IF($A2989="",0,IF(COUNTIF($A$2:A2989,$A2989)=1,1,0))</f>
        <v>0</v>
      </c>
      <c r="K2989" s="47" t="n">
        <f aca="false">IF(J2989=1,N(I2989)+ROW()/10000000,0)</f>
        <v>0</v>
      </c>
      <c r="L2989" s="47" t="str">
        <f aca="false">IF(AND(J2989=1,N(I2989)&gt;0),SUMIF($K$2:$K$5001,"&gt;="&amp;K2989,$I$2:$I$5001)/MAX(1,SUM($H$2:$H$5001)),"")</f>
        <v/>
      </c>
      <c r="M2989" s="47" t="str">
        <f aca="false">IF($A2989="","",INDEX($L$2:$L$5001,MATCH($A2989,$A$2:$A$5001,0)))</f>
        <v/>
      </c>
      <c r="N2989" s="48" t="str">
        <f aca="false">IF($A2989="","",IF(N(M2989)=0,"–",IF(M2989&lt;=Start!$D$20,"A",IF(M2989&lt;=Start!$D$21,"B","C"))))</f>
        <v/>
      </c>
      <c r="O2989" s="48" t="str">
        <f aca="false">IF($A2989="","",IF(NOT(ISNUMBER(F2989)),"Wert fehlt; ",IF(F2989&lt;=0,"Wert ist 0; ",""))&amp;IF(NOT(ISNUMBER(E2989)),"Bestand fehlt; ",IF(E2989&lt;0,"Bestand negativ; ",IF(E2989=0,"Nullbestand; ","")))&amp;IF(D2989="","Warengruppe fehlt; ","")&amp;IF(B2989="","Bezeichnung fehlt; ","")&amp;IF(COUNTIFS($A$2:$A$5001,$A2989,$C$2:$C$5001,C2989)&gt;1,"Artikel doppelt im selben Lager; ",""))</f>
        <v/>
      </c>
      <c r="P2989" s="47" t="n">
        <f aca="false">IF(OR($A2989="",D2989=""),0,IF(COUNTIF($D$2:D2989,D2989)=1,SUMIF($D$2:$D$5001,D2989,$H$2:$H$5001)+ROW()/10000000,0))</f>
        <v>0</v>
      </c>
      <c r="Q2989" s="47" t="n">
        <f aca="false">IF(OR($A2989="",C2989=""),0,IF(COUNTIF($C$2:C2989,C2989)=1,SUMIF($C$2:$C$5001,C2989,$H$2:$H$5001)+ROW()/10000000,0))</f>
        <v>0</v>
      </c>
    </row>
    <row r="2990" customFormat="false" ht="15" hidden="false" customHeight="false" outlineLevel="0" collapsed="false">
      <c r="A2990" s="43"/>
      <c r="B2990" s="44"/>
      <c r="C2990" s="44"/>
      <c r="D2990" s="44"/>
      <c r="E2990" s="44"/>
      <c r="F2990" s="44"/>
      <c r="G2990" s="44"/>
      <c r="H2990" s="46" t="str">
        <f aca="false">IF($A2990="","",IF(OR(NOT(ISNUMBER(E2990)),NOT(ISNUMBER(F2990))),"",MAX(0,E2990)*F2990))</f>
        <v/>
      </c>
      <c r="I2990" s="46" t="str">
        <f aca="false">IF($A2990="","",SUMIF($A$2:$A$5001,$A2990,$H$2:$H$5001))</f>
        <v/>
      </c>
      <c r="J2990" s="47" t="n">
        <f aca="false">IF($A2990="",0,IF(COUNTIF($A$2:A2990,$A2990)=1,1,0))</f>
        <v>0</v>
      </c>
      <c r="K2990" s="47" t="n">
        <f aca="false">IF(J2990=1,N(I2990)+ROW()/10000000,0)</f>
        <v>0</v>
      </c>
      <c r="L2990" s="47" t="str">
        <f aca="false">IF(AND(J2990=1,N(I2990)&gt;0),SUMIF($K$2:$K$5001,"&gt;="&amp;K2990,$I$2:$I$5001)/MAX(1,SUM($H$2:$H$5001)),"")</f>
        <v/>
      </c>
      <c r="M2990" s="47" t="str">
        <f aca="false">IF($A2990="","",INDEX($L$2:$L$5001,MATCH($A2990,$A$2:$A$5001,0)))</f>
        <v/>
      </c>
      <c r="N2990" s="48" t="str">
        <f aca="false">IF($A2990="","",IF(N(M2990)=0,"–",IF(M2990&lt;=Start!$D$20,"A",IF(M2990&lt;=Start!$D$21,"B","C"))))</f>
        <v/>
      </c>
      <c r="O2990" s="48" t="str">
        <f aca="false">IF($A2990="","",IF(NOT(ISNUMBER(F2990)),"Wert fehlt; ",IF(F2990&lt;=0,"Wert ist 0; ",""))&amp;IF(NOT(ISNUMBER(E2990)),"Bestand fehlt; ",IF(E2990&lt;0,"Bestand negativ; ",IF(E2990=0,"Nullbestand; ","")))&amp;IF(D2990="","Warengruppe fehlt; ","")&amp;IF(B2990="","Bezeichnung fehlt; ","")&amp;IF(COUNTIFS($A$2:$A$5001,$A2990,$C$2:$C$5001,C2990)&gt;1,"Artikel doppelt im selben Lager; ",""))</f>
        <v/>
      </c>
      <c r="P2990" s="47" t="n">
        <f aca="false">IF(OR($A2990="",D2990=""),0,IF(COUNTIF($D$2:D2990,D2990)=1,SUMIF($D$2:$D$5001,D2990,$H$2:$H$5001)+ROW()/10000000,0))</f>
        <v>0</v>
      </c>
      <c r="Q2990" s="47" t="n">
        <f aca="false">IF(OR($A2990="",C2990=""),0,IF(COUNTIF($C$2:C2990,C2990)=1,SUMIF($C$2:$C$5001,C2990,$H$2:$H$5001)+ROW()/10000000,0))</f>
        <v>0</v>
      </c>
    </row>
    <row r="2991" customFormat="false" ht="15" hidden="false" customHeight="false" outlineLevel="0" collapsed="false">
      <c r="A2991" s="43"/>
      <c r="B2991" s="44"/>
      <c r="C2991" s="44"/>
      <c r="D2991" s="44"/>
      <c r="E2991" s="44"/>
      <c r="F2991" s="44"/>
      <c r="G2991" s="44"/>
      <c r="H2991" s="46" t="str">
        <f aca="false">IF($A2991="","",IF(OR(NOT(ISNUMBER(E2991)),NOT(ISNUMBER(F2991))),"",MAX(0,E2991)*F2991))</f>
        <v/>
      </c>
      <c r="I2991" s="46" t="str">
        <f aca="false">IF($A2991="","",SUMIF($A$2:$A$5001,$A2991,$H$2:$H$5001))</f>
        <v/>
      </c>
      <c r="J2991" s="47" t="n">
        <f aca="false">IF($A2991="",0,IF(COUNTIF($A$2:A2991,$A2991)=1,1,0))</f>
        <v>0</v>
      </c>
      <c r="K2991" s="47" t="n">
        <f aca="false">IF(J2991=1,N(I2991)+ROW()/10000000,0)</f>
        <v>0</v>
      </c>
      <c r="L2991" s="47" t="str">
        <f aca="false">IF(AND(J2991=1,N(I2991)&gt;0),SUMIF($K$2:$K$5001,"&gt;="&amp;K2991,$I$2:$I$5001)/MAX(1,SUM($H$2:$H$5001)),"")</f>
        <v/>
      </c>
      <c r="M2991" s="47" t="str">
        <f aca="false">IF($A2991="","",INDEX($L$2:$L$5001,MATCH($A2991,$A$2:$A$5001,0)))</f>
        <v/>
      </c>
      <c r="N2991" s="48" t="str">
        <f aca="false">IF($A2991="","",IF(N(M2991)=0,"–",IF(M2991&lt;=Start!$D$20,"A",IF(M2991&lt;=Start!$D$21,"B","C"))))</f>
        <v/>
      </c>
      <c r="O2991" s="48" t="str">
        <f aca="false">IF($A2991="","",IF(NOT(ISNUMBER(F2991)),"Wert fehlt; ",IF(F2991&lt;=0,"Wert ist 0; ",""))&amp;IF(NOT(ISNUMBER(E2991)),"Bestand fehlt; ",IF(E2991&lt;0,"Bestand negativ; ",IF(E2991=0,"Nullbestand; ","")))&amp;IF(D2991="","Warengruppe fehlt; ","")&amp;IF(B2991="","Bezeichnung fehlt; ","")&amp;IF(COUNTIFS($A$2:$A$5001,$A2991,$C$2:$C$5001,C2991)&gt;1,"Artikel doppelt im selben Lager; ",""))</f>
        <v/>
      </c>
      <c r="P2991" s="47" t="n">
        <f aca="false">IF(OR($A2991="",D2991=""),0,IF(COUNTIF($D$2:D2991,D2991)=1,SUMIF($D$2:$D$5001,D2991,$H$2:$H$5001)+ROW()/10000000,0))</f>
        <v>0</v>
      </c>
      <c r="Q2991" s="47" t="n">
        <f aca="false">IF(OR($A2991="",C2991=""),0,IF(COUNTIF($C$2:C2991,C2991)=1,SUMIF($C$2:$C$5001,C2991,$H$2:$H$5001)+ROW()/10000000,0))</f>
        <v>0</v>
      </c>
    </row>
    <row r="2992" customFormat="false" ht="15" hidden="false" customHeight="false" outlineLevel="0" collapsed="false">
      <c r="A2992" s="43"/>
      <c r="B2992" s="44"/>
      <c r="C2992" s="44"/>
      <c r="D2992" s="44"/>
      <c r="E2992" s="44"/>
      <c r="F2992" s="44"/>
      <c r="G2992" s="44"/>
      <c r="H2992" s="46" t="str">
        <f aca="false">IF($A2992="","",IF(OR(NOT(ISNUMBER(E2992)),NOT(ISNUMBER(F2992))),"",MAX(0,E2992)*F2992))</f>
        <v/>
      </c>
      <c r="I2992" s="46" t="str">
        <f aca="false">IF($A2992="","",SUMIF($A$2:$A$5001,$A2992,$H$2:$H$5001))</f>
        <v/>
      </c>
      <c r="J2992" s="47" t="n">
        <f aca="false">IF($A2992="",0,IF(COUNTIF($A$2:A2992,$A2992)=1,1,0))</f>
        <v>0</v>
      </c>
      <c r="K2992" s="47" t="n">
        <f aca="false">IF(J2992=1,N(I2992)+ROW()/10000000,0)</f>
        <v>0</v>
      </c>
      <c r="L2992" s="47" t="str">
        <f aca="false">IF(AND(J2992=1,N(I2992)&gt;0),SUMIF($K$2:$K$5001,"&gt;="&amp;K2992,$I$2:$I$5001)/MAX(1,SUM($H$2:$H$5001)),"")</f>
        <v/>
      </c>
      <c r="M2992" s="47" t="str">
        <f aca="false">IF($A2992="","",INDEX($L$2:$L$5001,MATCH($A2992,$A$2:$A$5001,0)))</f>
        <v/>
      </c>
      <c r="N2992" s="48" t="str">
        <f aca="false">IF($A2992="","",IF(N(M2992)=0,"–",IF(M2992&lt;=Start!$D$20,"A",IF(M2992&lt;=Start!$D$21,"B","C"))))</f>
        <v/>
      </c>
      <c r="O2992" s="48" t="str">
        <f aca="false">IF($A2992="","",IF(NOT(ISNUMBER(F2992)),"Wert fehlt; ",IF(F2992&lt;=0,"Wert ist 0; ",""))&amp;IF(NOT(ISNUMBER(E2992)),"Bestand fehlt; ",IF(E2992&lt;0,"Bestand negativ; ",IF(E2992=0,"Nullbestand; ","")))&amp;IF(D2992="","Warengruppe fehlt; ","")&amp;IF(B2992="","Bezeichnung fehlt; ","")&amp;IF(COUNTIFS($A$2:$A$5001,$A2992,$C$2:$C$5001,C2992)&gt;1,"Artikel doppelt im selben Lager; ",""))</f>
        <v/>
      </c>
      <c r="P2992" s="47" t="n">
        <f aca="false">IF(OR($A2992="",D2992=""),0,IF(COUNTIF($D$2:D2992,D2992)=1,SUMIF($D$2:$D$5001,D2992,$H$2:$H$5001)+ROW()/10000000,0))</f>
        <v>0</v>
      </c>
      <c r="Q2992" s="47" t="n">
        <f aca="false">IF(OR($A2992="",C2992=""),0,IF(COUNTIF($C$2:C2992,C2992)=1,SUMIF($C$2:$C$5001,C2992,$H$2:$H$5001)+ROW()/10000000,0))</f>
        <v>0</v>
      </c>
    </row>
    <row r="2993" customFormat="false" ht="15" hidden="false" customHeight="false" outlineLevel="0" collapsed="false">
      <c r="A2993" s="43"/>
      <c r="B2993" s="44"/>
      <c r="C2993" s="44"/>
      <c r="D2993" s="44"/>
      <c r="E2993" s="44"/>
      <c r="F2993" s="44"/>
      <c r="G2993" s="44"/>
      <c r="H2993" s="46" t="str">
        <f aca="false">IF($A2993="","",IF(OR(NOT(ISNUMBER(E2993)),NOT(ISNUMBER(F2993))),"",MAX(0,E2993)*F2993))</f>
        <v/>
      </c>
      <c r="I2993" s="46" t="str">
        <f aca="false">IF($A2993="","",SUMIF($A$2:$A$5001,$A2993,$H$2:$H$5001))</f>
        <v/>
      </c>
      <c r="J2993" s="47" t="n">
        <f aca="false">IF($A2993="",0,IF(COUNTIF($A$2:A2993,$A2993)=1,1,0))</f>
        <v>0</v>
      </c>
      <c r="K2993" s="47" t="n">
        <f aca="false">IF(J2993=1,N(I2993)+ROW()/10000000,0)</f>
        <v>0</v>
      </c>
      <c r="L2993" s="47" t="str">
        <f aca="false">IF(AND(J2993=1,N(I2993)&gt;0),SUMIF($K$2:$K$5001,"&gt;="&amp;K2993,$I$2:$I$5001)/MAX(1,SUM($H$2:$H$5001)),"")</f>
        <v/>
      </c>
      <c r="M2993" s="47" t="str">
        <f aca="false">IF($A2993="","",INDEX($L$2:$L$5001,MATCH($A2993,$A$2:$A$5001,0)))</f>
        <v/>
      </c>
      <c r="N2993" s="48" t="str">
        <f aca="false">IF($A2993="","",IF(N(M2993)=0,"–",IF(M2993&lt;=Start!$D$20,"A",IF(M2993&lt;=Start!$D$21,"B","C"))))</f>
        <v/>
      </c>
      <c r="O2993" s="48" t="str">
        <f aca="false">IF($A2993="","",IF(NOT(ISNUMBER(F2993)),"Wert fehlt; ",IF(F2993&lt;=0,"Wert ist 0; ",""))&amp;IF(NOT(ISNUMBER(E2993)),"Bestand fehlt; ",IF(E2993&lt;0,"Bestand negativ; ",IF(E2993=0,"Nullbestand; ","")))&amp;IF(D2993="","Warengruppe fehlt; ","")&amp;IF(B2993="","Bezeichnung fehlt; ","")&amp;IF(COUNTIFS($A$2:$A$5001,$A2993,$C$2:$C$5001,C2993)&gt;1,"Artikel doppelt im selben Lager; ",""))</f>
        <v/>
      </c>
      <c r="P2993" s="47" t="n">
        <f aca="false">IF(OR($A2993="",D2993=""),0,IF(COUNTIF($D$2:D2993,D2993)=1,SUMIF($D$2:$D$5001,D2993,$H$2:$H$5001)+ROW()/10000000,0))</f>
        <v>0</v>
      </c>
      <c r="Q2993" s="47" t="n">
        <f aca="false">IF(OR($A2993="",C2993=""),0,IF(COUNTIF($C$2:C2993,C2993)=1,SUMIF($C$2:$C$5001,C2993,$H$2:$H$5001)+ROW()/10000000,0))</f>
        <v>0</v>
      </c>
    </row>
    <row r="2994" customFormat="false" ht="15" hidden="false" customHeight="false" outlineLevel="0" collapsed="false">
      <c r="A2994" s="43"/>
      <c r="B2994" s="44"/>
      <c r="C2994" s="44"/>
      <c r="D2994" s="44"/>
      <c r="E2994" s="44"/>
      <c r="F2994" s="44"/>
      <c r="G2994" s="44"/>
      <c r="H2994" s="46" t="str">
        <f aca="false">IF($A2994="","",IF(OR(NOT(ISNUMBER(E2994)),NOT(ISNUMBER(F2994))),"",MAX(0,E2994)*F2994))</f>
        <v/>
      </c>
      <c r="I2994" s="46" t="str">
        <f aca="false">IF($A2994="","",SUMIF($A$2:$A$5001,$A2994,$H$2:$H$5001))</f>
        <v/>
      </c>
      <c r="J2994" s="47" t="n">
        <f aca="false">IF($A2994="",0,IF(COUNTIF($A$2:A2994,$A2994)=1,1,0))</f>
        <v>0</v>
      </c>
      <c r="K2994" s="47" t="n">
        <f aca="false">IF(J2994=1,N(I2994)+ROW()/10000000,0)</f>
        <v>0</v>
      </c>
      <c r="L2994" s="47" t="str">
        <f aca="false">IF(AND(J2994=1,N(I2994)&gt;0),SUMIF($K$2:$K$5001,"&gt;="&amp;K2994,$I$2:$I$5001)/MAX(1,SUM($H$2:$H$5001)),"")</f>
        <v/>
      </c>
      <c r="M2994" s="47" t="str">
        <f aca="false">IF($A2994="","",INDEX($L$2:$L$5001,MATCH($A2994,$A$2:$A$5001,0)))</f>
        <v/>
      </c>
      <c r="N2994" s="48" t="str">
        <f aca="false">IF($A2994="","",IF(N(M2994)=0,"–",IF(M2994&lt;=Start!$D$20,"A",IF(M2994&lt;=Start!$D$21,"B","C"))))</f>
        <v/>
      </c>
      <c r="O2994" s="48" t="str">
        <f aca="false">IF($A2994="","",IF(NOT(ISNUMBER(F2994)),"Wert fehlt; ",IF(F2994&lt;=0,"Wert ist 0; ",""))&amp;IF(NOT(ISNUMBER(E2994)),"Bestand fehlt; ",IF(E2994&lt;0,"Bestand negativ; ",IF(E2994=0,"Nullbestand; ","")))&amp;IF(D2994="","Warengruppe fehlt; ","")&amp;IF(B2994="","Bezeichnung fehlt; ","")&amp;IF(COUNTIFS($A$2:$A$5001,$A2994,$C$2:$C$5001,C2994)&gt;1,"Artikel doppelt im selben Lager; ",""))</f>
        <v/>
      </c>
      <c r="P2994" s="47" t="n">
        <f aca="false">IF(OR($A2994="",D2994=""),0,IF(COUNTIF($D$2:D2994,D2994)=1,SUMIF($D$2:$D$5001,D2994,$H$2:$H$5001)+ROW()/10000000,0))</f>
        <v>0</v>
      </c>
      <c r="Q2994" s="47" t="n">
        <f aca="false">IF(OR($A2994="",C2994=""),0,IF(COUNTIF($C$2:C2994,C2994)=1,SUMIF($C$2:$C$5001,C2994,$H$2:$H$5001)+ROW()/10000000,0))</f>
        <v>0</v>
      </c>
    </row>
    <row r="2995" customFormat="false" ht="15" hidden="false" customHeight="false" outlineLevel="0" collapsed="false">
      <c r="A2995" s="43"/>
      <c r="B2995" s="44"/>
      <c r="C2995" s="44"/>
      <c r="D2995" s="44"/>
      <c r="E2995" s="44"/>
      <c r="F2995" s="44"/>
      <c r="G2995" s="44"/>
      <c r="H2995" s="46" t="str">
        <f aca="false">IF($A2995="","",IF(OR(NOT(ISNUMBER(E2995)),NOT(ISNUMBER(F2995))),"",MAX(0,E2995)*F2995))</f>
        <v/>
      </c>
      <c r="I2995" s="46" t="str">
        <f aca="false">IF($A2995="","",SUMIF($A$2:$A$5001,$A2995,$H$2:$H$5001))</f>
        <v/>
      </c>
      <c r="J2995" s="47" t="n">
        <f aca="false">IF($A2995="",0,IF(COUNTIF($A$2:A2995,$A2995)=1,1,0))</f>
        <v>0</v>
      </c>
      <c r="K2995" s="47" t="n">
        <f aca="false">IF(J2995=1,N(I2995)+ROW()/10000000,0)</f>
        <v>0</v>
      </c>
      <c r="L2995" s="47" t="str">
        <f aca="false">IF(AND(J2995=1,N(I2995)&gt;0),SUMIF($K$2:$K$5001,"&gt;="&amp;K2995,$I$2:$I$5001)/MAX(1,SUM($H$2:$H$5001)),"")</f>
        <v/>
      </c>
      <c r="M2995" s="47" t="str">
        <f aca="false">IF($A2995="","",INDEX($L$2:$L$5001,MATCH($A2995,$A$2:$A$5001,0)))</f>
        <v/>
      </c>
      <c r="N2995" s="48" t="str">
        <f aca="false">IF($A2995="","",IF(N(M2995)=0,"–",IF(M2995&lt;=Start!$D$20,"A",IF(M2995&lt;=Start!$D$21,"B","C"))))</f>
        <v/>
      </c>
      <c r="O2995" s="48" t="str">
        <f aca="false">IF($A2995="","",IF(NOT(ISNUMBER(F2995)),"Wert fehlt; ",IF(F2995&lt;=0,"Wert ist 0; ",""))&amp;IF(NOT(ISNUMBER(E2995)),"Bestand fehlt; ",IF(E2995&lt;0,"Bestand negativ; ",IF(E2995=0,"Nullbestand; ","")))&amp;IF(D2995="","Warengruppe fehlt; ","")&amp;IF(B2995="","Bezeichnung fehlt; ","")&amp;IF(COUNTIFS($A$2:$A$5001,$A2995,$C$2:$C$5001,C2995)&gt;1,"Artikel doppelt im selben Lager; ",""))</f>
        <v/>
      </c>
      <c r="P2995" s="47" t="n">
        <f aca="false">IF(OR($A2995="",D2995=""),0,IF(COUNTIF($D$2:D2995,D2995)=1,SUMIF($D$2:$D$5001,D2995,$H$2:$H$5001)+ROW()/10000000,0))</f>
        <v>0</v>
      </c>
      <c r="Q2995" s="47" t="n">
        <f aca="false">IF(OR($A2995="",C2995=""),0,IF(COUNTIF($C$2:C2995,C2995)=1,SUMIF($C$2:$C$5001,C2995,$H$2:$H$5001)+ROW()/10000000,0))</f>
        <v>0</v>
      </c>
    </row>
    <row r="2996" customFormat="false" ht="15" hidden="false" customHeight="false" outlineLevel="0" collapsed="false">
      <c r="A2996" s="43"/>
      <c r="B2996" s="44"/>
      <c r="C2996" s="44"/>
      <c r="D2996" s="44"/>
      <c r="E2996" s="44"/>
      <c r="F2996" s="44"/>
      <c r="G2996" s="44"/>
      <c r="H2996" s="46" t="str">
        <f aca="false">IF($A2996="","",IF(OR(NOT(ISNUMBER(E2996)),NOT(ISNUMBER(F2996))),"",MAX(0,E2996)*F2996))</f>
        <v/>
      </c>
      <c r="I2996" s="46" t="str">
        <f aca="false">IF($A2996="","",SUMIF($A$2:$A$5001,$A2996,$H$2:$H$5001))</f>
        <v/>
      </c>
      <c r="J2996" s="47" t="n">
        <f aca="false">IF($A2996="",0,IF(COUNTIF($A$2:A2996,$A2996)=1,1,0))</f>
        <v>0</v>
      </c>
      <c r="K2996" s="47" t="n">
        <f aca="false">IF(J2996=1,N(I2996)+ROW()/10000000,0)</f>
        <v>0</v>
      </c>
      <c r="L2996" s="47" t="str">
        <f aca="false">IF(AND(J2996=1,N(I2996)&gt;0),SUMIF($K$2:$K$5001,"&gt;="&amp;K2996,$I$2:$I$5001)/MAX(1,SUM($H$2:$H$5001)),"")</f>
        <v/>
      </c>
      <c r="M2996" s="47" t="str">
        <f aca="false">IF($A2996="","",INDEX($L$2:$L$5001,MATCH($A2996,$A$2:$A$5001,0)))</f>
        <v/>
      </c>
      <c r="N2996" s="48" t="str">
        <f aca="false">IF($A2996="","",IF(N(M2996)=0,"–",IF(M2996&lt;=Start!$D$20,"A",IF(M2996&lt;=Start!$D$21,"B","C"))))</f>
        <v/>
      </c>
      <c r="O2996" s="48" t="str">
        <f aca="false">IF($A2996="","",IF(NOT(ISNUMBER(F2996)),"Wert fehlt; ",IF(F2996&lt;=0,"Wert ist 0; ",""))&amp;IF(NOT(ISNUMBER(E2996)),"Bestand fehlt; ",IF(E2996&lt;0,"Bestand negativ; ",IF(E2996=0,"Nullbestand; ","")))&amp;IF(D2996="","Warengruppe fehlt; ","")&amp;IF(B2996="","Bezeichnung fehlt; ","")&amp;IF(COUNTIFS($A$2:$A$5001,$A2996,$C$2:$C$5001,C2996)&gt;1,"Artikel doppelt im selben Lager; ",""))</f>
        <v/>
      </c>
      <c r="P2996" s="47" t="n">
        <f aca="false">IF(OR($A2996="",D2996=""),0,IF(COUNTIF($D$2:D2996,D2996)=1,SUMIF($D$2:$D$5001,D2996,$H$2:$H$5001)+ROW()/10000000,0))</f>
        <v>0</v>
      </c>
      <c r="Q2996" s="47" t="n">
        <f aca="false">IF(OR($A2996="",C2996=""),0,IF(COUNTIF($C$2:C2996,C2996)=1,SUMIF($C$2:$C$5001,C2996,$H$2:$H$5001)+ROW()/10000000,0))</f>
        <v>0</v>
      </c>
    </row>
    <row r="2997" customFormat="false" ht="15" hidden="false" customHeight="false" outlineLevel="0" collapsed="false">
      <c r="A2997" s="43"/>
      <c r="B2997" s="44"/>
      <c r="C2997" s="44"/>
      <c r="D2997" s="44"/>
      <c r="E2997" s="44"/>
      <c r="F2997" s="44"/>
      <c r="G2997" s="44"/>
      <c r="H2997" s="46" t="str">
        <f aca="false">IF($A2997="","",IF(OR(NOT(ISNUMBER(E2997)),NOT(ISNUMBER(F2997))),"",MAX(0,E2997)*F2997))</f>
        <v/>
      </c>
      <c r="I2997" s="46" t="str">
        <f aca="false">IF($A2997="","",SUMIF($A$2:$A$5001,$A2997,$H$2:$H$5001))</f>
        <v/>
      </c>
      <c r="J2997" s="47" t="n">
        <f aca="false">IF($A2997="",0,IF(COUNTIF($A$2:A2997,$A2997)=1,1,0))</f>
        <v>0</v>
      </c>
      <c r="K2997" s="47" t="n">
        <f aca="false">IF(J2997=1,N(I2997)+ROW()/10000000,0)</f>
        <v>0</v>
      </c>
      <c r="L2997" s="47" t="str">
        <f aca="false">IF(AND(J2997=1,N(I2997)&gt;0),SUMIF($K$2:$K$5001,"&gt;="&amp;K2997,$I$2:$I$5001)/MAX(1,SUM($H$2:$H$5001)),"")</f>
        <v/>
      </c>
      <c r="M2997" s="47" t="str">
        <f aca="false">IF($A2997="","",INDEX($L$2:$L$5001,MATCH($A2997,$A$2:$A$5001,0)))</f>
        <v/>
      </c>
      <c r="N2997" s="48" t="str">
        <f aca="false">IF($A2997="","",IF(N(M2997)=0,"–",IF(M2997&lt;=Start!$D$20,"A",IF(M2997&lt;=Start!$D$21,"B","C"))))</f>
        <v/>
      </c>
      <c r="O2997" s="48" t="str">
        <f aca="false">IF($A2997="","",IF(NOT(ISNUMBER(F2997)),"Wert fehlt; ",IF(F2997&lt;=0,"Wert ist 0; ",""))&amp;IF(NOT(ISNUMBER(E2997)),"Bestand fehlt; ",IF(E2997&lt;0,"Bestand negativ; ",IF(E2997=0,"Nullbestand; ","")))&amp;IF(D2997="","Warengruppe fehlt; ","")&amp;IF(B2997="","Bezeichnung fehlt; ","")&amp;IF(COUNTIFS($A$2:$A$5001,$A2997,$C$2:$C$5001,C2997)&gt;1,"Artikel doppelt im selben Lager; ",""))</f>
        <v/>
      </c>
      <c r="P2997" s="47" t="n">
        <f aca="false">IF(OR($A2997="",D2997=""),0,IF(COUNTIF($D$2:D2997,D2997)=1,SUMIF($D$2:$D$5001,D2997,$H$2:$H$5001)+ROW()/10000000,0))</f>
        <v>0</v>
      </c>
      <c r="Q2997" s="47" t="n">
        <f aca="false">IF(OR($A2997="",C2997=""),0,IF(COUNTIF($C$2:C2997,C2997)=1,SUMIF($C$2:$C$5001,C2997,$H$2:$H$5001)+ROW()/10000000,0))</f>
        <v>0</v>
      </c>
    </row>
    <row r="2998" customFormat="false" ht="15" hidden="false" customHeight="false" outlineLevel="0" collapsed="false">
      <c r="A2998" s="43"/>
      <c r="B2998" s="44"/>
      <c r="C2998" s="44"/>
      <c r="D2998" s="44"/>
      <c r="E2998" s="44"/>
      <c r="F2998" s="44"/>
      <c r="G2998" s="44"/>
      <c r="H2998" s="46" t="str">
        <f aca="false">IF($A2998="","",IF(OR(NOT(ISNUMBER(E2998)),NOT(ISNUMBER(F2998))),"",MAX(0,E2998)*F2998))</f>
        <v/>
      </c>
      <c r="I2998" s="46" t="str">
        <f aca="false">IF($A2998="","",SUMIF($A$2:$A$5001,$A2998,$H$2:$H$5001))</f>
        <v/>
      </c>
      <c r="J2998" s="47" t="n">
        <f aca="false">IF($A2998="",0,IF(COUNTIF($A$2:A2998,$A2998)=1,1,0))</f>
        <v>0</v>
      </c>
      <c r="K2998" s="47" t="n">
        <f aca="false">IF(J2998=1,N(I2998)+ROW()/10000000,0)</f>
        <v>0</v>
      </c>
      <c r="L2998" s="47" t="str">
        <f aca="false">IF(AND(J2998=1,N(I2998)&gt;0),SUMIF($K$2:$K$5001,"&gt;="&amp;K2998,$I$2:$I$5001)/MAX(1,SUM($H$2:$H$5001)),"")</f>
        <v/>
      </c>
      <c r="M2998" s="47" t="str">
        <f aca="false">IF($A2998="","",INDEX($L$2:$L$5001,MATCH($A2998,$A$2:$A$5001,0)))</f>
        <v/>
      </c>
      <c r="N2998" s="48" t="str">
        <f aca="false">IF($A2998="","",IF(N(M2998)=0,"–",IF(M2998&lt;=Start!$D$20,"A",IF(M2998&lt;=Start!$D$21,"B","C"))))</f>
        <v/>
      </c>
      <c r="O2998" s="48" t="str">
        <f aca="false">IF($A2998="","",IF(NOT(ISNUMBER(F2998)),"Wert fehlt; ",IF(F2998&lt;=0,"Wert ist 0; ",""))&amp;IF(NOT(ISNUMBER(E2998)),"Bestand fehlt; ",IF(E2998&lt;0,"Bestand negativ; ",IF(E2998=0,"Nullbestand; ","")))&amp;IF(D2998="","Warengruppe fehlt; ","")&amp;IF(B2998="","Bezeichnung fehlt; ","")&amp;IF(COUNTIFS($A$2:$A$5001,$A2998,$C$2:$C$5001,C2998)&gt;1,"Artikel doppelt im selben Lager; ",""))</f>
        <v/>
      </c>
      <c r="P2998" s="47" t="n">
        <f aca="false">IF(OR($A2998="",D2998=""),0,IF(COUNTIF($D$2:D2998,D2998)=1,SUMIF($D$2:$D$5001,D2998,$H$2:$H$5001)+ROW()/10000000,0))</f>
        <v>0</v>
      </c>
      <c r="Q2998" s="47" t="n">
        <f aca="false">IF(OR($A2998="",C2998=""),0,IF(COUNTIF($C$2:C2998,C2998)=1,SUMIF($C$2:$C$5001,C2998,$H$2:$H$5001)+ROW()/10000000,0))</f>
        <v>0</v>
      </c>
    </row>
    <row r="2999" customFormat="false" ht="15" hidden="false" customHeight="false" outlineLevel="0" collapsed="false">
      <c r="A2999" s="43"/>
      <c r="B2999" s="44"/>
      <c r="C2999" s="44"/>
      <c r="D2999" s="44"/>
      <c r="E2999" s="44"/>
      <c r="F2999" s="44"/>
      <c r="G2999" s="44"/>
      <c r="H2999" s="46" t="str">
        <f aca="false">IF($A2999="","",IF(OR(NOT(ISNUMBER(E2999)),NOT(ISNUMBER(F2999))),"",MAX(0,E2999)*F2999))</f>
        <v/>
      </c>
      <c r="I2999" s="46" t="str">
        <f aca="false">IF($A2999="","",SUMIF($A$2:$A$5001,$A2999,$H$2:$H$5001))</f>
        <v/>
      </c>
      <c r="J2999" s="47" t="n">
        <f aca="false">IF($A2999="",0,IF(COUNTIF($A$2:A2999,$A2999)=1,1,0))</f>
        <v>0</v>
      </c>
      <c r="K2999" s="47" t="n">
        <f aca="false">IF(J2999=1,N(I2999)+ROW()/10000000,0)</f>
        <v>0</v>
      </c>
      <c r="L2999" s="47" t="str">
        <f aca="false">IF(AND(J2999=1,N(I2999)&gt;0),SUMIF($K$2:$K$5001,"&gt;="&amp;K2999,$I$2:$I$5001)/MAX(1,SUM($H$2:$H$5001)),"")</f>
        <v/>
      </c>
      <c r="M2999" s="47" t="str">
        <f aca="false">IF($A2999="","",INDEX($L$2:$L$5001,MATCH($A2999,$A$2:$A$5001,0)))</f>
        <v/>
      </c>
      <c r="N2999" s="48" t="str">
        <f aca="false">IF($A2999="","",IF(N(M2999)=0,"–",IF(M2999&lt;=Start!$D$20,"A",IF(M2999&lt;=Start!$D$21,"B","C"))))</f>
        <v/>
      </c>
      <c r="O2999" s="48" t="str">
        <f aca="false">IF($A2999="","",IF(NOT(ISNUMBER(F2999)),"Wert fehlt; ",IF(F2999&lt;=0,"Wert ist 0; ",""))&amp;IF(NOT(ISNUMBER(E2999)),"Bestand fehlt; ",IF(E2999&lt;0,"Bestand negativ; ",IF(E2999=0,"Nullbestand; ","")))&amp;IF(D2999="","Warengruppe fehlt; ","")&amp;IF(B2999="","Bezeichnung fehlt; ","")&amp;IF(COUNTIFS($A$2:$A$5001,$A2999,$C$2:$C$5001,C2999)&gt;1,"Artikel doppelt im selben Lager; ",""))</f>
        <v/>
      </c>
      <c r="P2999" s="47" t="n">
        <f aca="false">IF(OR($A2999="",D2999=""),0,IF(COUNTIF($D$2:D2999,D2999)=1,SUMIF($D$2:$D$5001,D2999,$H$2:$H$5001)+ROW()/10000000,0))</f>
        <v>0</v>
      </c>
      <c r="Q2999" s="47" t="n">
        <f aca="false">IF(OR($A2999="",C2999=""),0,IF(COUNTIF($C$2:C2999,C2999)=1,SUMIF($C$2:$C$5001,C2999,$H$2:$H$5001)+ROW()/10000000,0))</f>
        <v>0</v>
      </c>
    </row>
    <row r="3000" customFormat="false" ht="15" hidden="false" customHeight="false" outlineLevel="0" collapsed="false">
      <c r="A3000" s="43"/>
      <c r="B3000" s="44"/>
      <c r="C3000" s="44"/>
      <c r="D3000" s="44"/>
      <c r="E3000" s="44"/>
      <c r="F3000" s="44"/>
      <c r="G3000" s="44"/>
      <c r="H3000" s="46" t="str">
        <f aca="false">IF($A3000="","",IF(OR(NOT(ISNUMBER(E3000)),NOT(ISNUMBER(F3000))),"",MAX(0,E3000)*F3000))</f>
        <v/>
      </c>
      <c r="I3000" s="46" t="str">
        <f aca="false">IF($A3000="","",SUMIF($A$2:$A$5001,$A3000,$H$2:$H$5001))</f>
        <v/>
      </c>
      <c r="J3000" s="47" t="n">
        <f aca="false">IF($A3000="",0,IF(COUNTIF($A$2:A3000,$A3000)=1,1,0))</f>
        <v>0</v>
      </c>
      <c r="K3000" s="47" t="n">
        <f aca="false">IF(J3000=1,N(I3000)+ROW()/10000000,0)</f>
        <v>0</v>
      </c>
      <c r="L3000" s="47" t="str">
        <f aca="false">IF(AND(J3000=1,N(I3000)&gt;0),SUMIF($K$2:$K$5001,"&gt;="&amp;K3000,$I$2:$I$5001)/MAX(1,SUM($H$2:$H$5001)),"")</f>
        <v/>
      </c>
      <c r="M3000" s="47" t="str">
        <f aca="false">IF($A3000="","",INDEX($L$2:$L$5001,MATCH($A3000,$A$2:$A$5001,0)))</f>
        <v/>
      </c>
      <c r="N3000" s="48" t="str">
        <f aca="false">IF($A3000="","",IF(N(M3000)=0,"–",IF(M3000&lt;=Start!$D$20,"A",IF(M3000&lt;=Start!$D$21,"B","C"))))</f>
        <v/>
      </c>
      <c r="O3000" s="48" t="str">
        <f aca="false">IF($A3000="","",IF(NOT(ISNUMBER(F3000)),"Wert fehlt; ",IF(F3000&lt;=0,"Wert ist 0; ",""))&amp;IF(NOT(ISNUMBER(E3000)),"Bestand fehlt; ",IF(E3000&lt;0,"Bestand negativ; ",IF(E3000=0,"Nullbestand; ","")))&amp;IF(D3000="","Warengruppe fehlt; ","")&amp;IF(B3000="","Bezeichnung fehlt; ","")&amp;IF(COUNTIFS($A$2:$A$5001,$A3000,$C$2:$C$5001,C3000)&gt;1,"Artikel doppelt im selben Lager; ",""))</f>
        <v/>
      </c>
      <c r="P3000" s="47" t="n">
        <f aca="false">IF(OR($A3000="",D3000=""),0,IF(COUNTIF($D$2:D3000,D3000)=1,SUMIF($D$2:$D$5001,D3000,$H$2:$H$5001)+ROW()/10000000,0))</f>
        <v>0</v>
      </c>
      <c r="Q3000" s="47" t="n">
        <f aca="false">IF(OR($A3000="",C3000=""),0,IF(COUNTIF($C$2:C3000,C3000)=1,SUMIF($C$2:$C$5001,C3000,$H$2:$H$5001)+ROW()/10000000,0))</f>
        <v>0</v>
      </c>
    </row>
    <row r="3001" customFormat="false" ht="15" hidden="false" customHeight="false" outlineLevel="0" collapsed="false">
      <c r="A3001" s="43"/>
      <c r="B3001" s="44"/>
      <c r="C3001" s="44"/>
      <c r="D3001" s="44"/>
      <c r="E3001" s="44"/>
      <c r="F3001" s="44"/>
      <c r="G3001" s="44"/>
      <c r="H3001" s="46" t="str">
        <f aca="false">IF($A3001="","",IF(OR(NOT(ISNUMBER(E3001)),NOT(ISNUMBER(F3001))),"",MAX(0,E3001)*F3001))</f>
        <v/>
      </c>
      <c r="I3001" s="46" t="str">
        <f aca="false">IF($A3001="","",SUMIF($A$2:$A$5001,$A3001,$H$2:$H$5001))</f>
        <v/>
      </c>
      <c r="J3001" s="47" t="n">
        <f aca="false">IF($A3001="",0,IF(COUNTIF($A$2:A3001,$A3001)=1,1,0))</f>
        <v>0</v>
      </c>
      <c r="K3001" s="47" t="n">
        <f aca="false">IF(J3001=1,N(I3001)+ROW()/10000000,0)</f>
        <v>0</v>
      </c>
      <c r="L3001" s="47" t="str">
        <f aca="false">IF(AND(J3001=1,N(I3001)&gt;0),SUMIF($K$2:$K$5001,"&gt;="&amp;K3001,$I$2:$I$5001)/MAX(1,SUM($H$2:$H$5001)),"")</f>
        <v/>
      </c>
      <c r="M3001" s="47" t="str">
        <f aca="false">IF($A3001="","",INDEX($L$2:$L$5001,MATCH($A3001,$A$2:$A$5001,0)))</f>
        <v/>
      </c>
      <c r="N3001" s="48" t="str">
        <f aca="false">IF($A3001="","",IF(N(M3001)=0,"–",IF(M3001&lt;=Start!$D$20,"A",IF(M3001&lt;=Start!$D$21,"B","C"))))</f>
        <v/>
      </c>
      <c r="O3001" s="48" t="str">
        <f aca="false">IF($A3001="","",IF(NOT(ISNUMBER(F3001)),"Wert fehlt; ",IF(F3001&lt;=0,"Wert ist 0; ",""))&amp;IF(NOT(ISNUMBER(E3001)),"Bestand fehlt; ",IF(E3001&lt;0,"Bestand negativ; ",IF(E3001=0,"Nullbestand; ","")))&amp;IF(D3001="","Warengruppe fehlt; ","")&amp;IF(B3001="","Bezeichnung fehlt; ","")&amp;IF(COUNTIFS($A$2:$A$5001,$A3001,$C$2:$C$5001,C3001)&gt;1,"Artikel doppelt im selben Lager; ",""))</f>
        <v/>
      </c>
      <c r="P3001" s="47" t="n">
        <f aca="false">IF(OR($A3001="",D3001=""),0,IF(COUNTIF($D$2:D3001,D3001)=1,SUMIF($D$2:$D$5001,D3001,$H$2:$H$5001)+ROW()/10000000,0))</f>
        <v>0</v>
      </c>
      <c r="Q3001" s="47" t="n">
        <f aca="false">IF(OR($A3001="",C3001=""),0,IF(COUNTIF($C$2:C3001,C3001)=1,SUMIF($C$2:$C$5001,C3001,$H$2:$H$5001)+ROW()/10000000,0))</f>
        <v>0</v>
      </c>
    </row>
    <row r="3002" customFormat="false" ht="15" hidden="false" customHeight="false" outlineLevel="0" collapsed="false">
      <c r="A3002" s="43"/>
      <c r="B3002" s="44"/>
      <c r="C3002" s="44"/>
      <c r="D3002" s="44"/>
      <c r="E3002" s="44"/>
      <c r="F3002" s="44"/>
      <c r="G3002" s="44"/>
      <c r="H3002" s="46" t="str">
        <f aca="false">IF($A3002="","",IF(OR(NOT(ISNUMBER(E3002)),NOT(ISNUMBER(F3002))),"",MAX(0,E3002)*F3002))</f>
        <v/>
      </c>
      <c r="I3002" s="46" t="str">
        <f aca="false">IF($A3002="","",SUMIF($A$2:$A$5001,$A3002,$H$2:$H$5001))</f>
        <v/>
      </c>
      <c r="J3002" s="47" t="n">
        <f aca="false">IF($A3002="",0,IF(COUNTIF($A$2:A3002,$A3002)=1,1,0))</f>
        <v>0</v>
      </c>
      <c r="K3002" s="47" t="n">
        <f aca="false">IF(J3002=1,N(I3002)+ROW()/10000000,0)</f>
        <v>0</v>
      </c>
      <c r="L3002" s="47" t="str">
        <f aca="false">IF(AND(J3002=1,N(I3002)&gt;0),SUMIF($K$2:$K$5001,"&gt;="&amp;K3002,$I$2:$I$5001)/MAX(1,SUM($H$2:$H$5001)),"")</f>
        <v/>
      </c>
      <c r="M3002" s="47" t="str">
        <f aca="false">IF($A3002="","",INDEX($L$2:$L$5001,MATCH($A3002,$A$2:$A$5001,0)))</f>
        <v/>
      </c>
      <c r="N3002" s="48" t="str">
        <f aca="false">IF($A3002="","",IF(N(M3002)=0,"–",IF(M3002&lt;=Start!$D$20,"A",IF(M3002&lt;=Start!$D$21,"B","C"))))</f>
        <v/>
      </c>
      <c r="O3002" s="48" t="str">
        <f aca="false">IF($A3002="","",IF(NOT(ISNUMBER(F3002)),"Wert fehlt; ",IF(F3002&lt;=0,"Wert ist 0; ",""))&amp;IF(NOT(ISNUMBER(E3002)),"Bestand fehlt; ",IF(E3002&lt;0,"Bestand negativ; ",IF(E3002=0,"Nullbestand; ","")))&amp;IF(D3002="","Warengruppe fehlt; ","")&amp;IF(B3002="","Bezeichnung fehlt; ","")&amp;IF(COUNTIFS($A$2:$A$5001,$A3002,$C$2:$C$5001,C3002)&gt;1,"Artikel doppelt im selben Lager; ",""))</f>
        <v/>
      </c>
      <c r="P3002" s="47" t="n">
        <f aca="false">IF(OR($A3002="",D3002=""),0,IF(COUNTIF($D$2:D3002,D3002)=1,SUMIF($D$2:$D$5001,D3002,$H$2:$H$5001)+ROW()/10000000,0))</f>
        <v>0</v>
      </c>
      <c r="Q3002" s="47" t="n">
        <f aca="false">IF(OR($A3002="",C3002=""),0,IF(COUNTIF($C$2:C3002,C3002)=1,SUMIF($C$2:$C$5001,C3002,$H$2:$H$5001)+ROW()/10000000,0))</f>
        <v>0</v>
      </c>
    </row>
    <row r="3003" customFormat="false" ht="15" hidden="false" customHeight="false" outlineLevel="0" collapsed="false">
      <c r="A3003" s="43"/>
      <c r="B3003" s="44"/>
      <c r="C3003" s="44"/>
      <c r="D3003" s="44"/>
      <c r="E3003" s="44"/>
      <c r="F3003" s="44"/>
      <c r="G3003" s="44"/>
      <c r="H3003" s="46" t="str">
        <f aca="false">IF($A3003="","",IF(OR(NOT(ISNUMBER(E3003)),NOT(ISNUMBER(F3003))),"",MAX(0,E3003)*F3003))</f>
        <v/>
      </c>
      <c r="I3003" s="46" t="str">
        <f aca="false">IF($A3003="","",SUMIF($A$2:$A$5001,$A3003,$H$2:$H$5001))</f>
        <v/>
      </c>
      <c r="J3003" s="47" t="n">
        <f aca="false">IF($A3003="",0,IF(COUNTIF($A$2:A3003,$A3003)=1,1,0))</f>
        <v>0</v>
      </c>
      <c r="K3003" s="47" t="n">
        <f aca="false">IF(J3003=1,N(I3003)+ROW()/10000000,0)</f>
        <v>0</v>
      </c>
      <c r="L3003" s="47" t="str">
        <f aca="false">IF(AND(J3003=1,N(I3003)&gt;0),SUMIF($K$2:$K$5001,"&gt;="&amp;K3003,$I$2:$I$5001)/MAX(1,SUM($H$2:$H$5001)),"")</f>
        <v/>
      </c>
      <c r="M3003" s="47" t="str">
        <f aca="false">IF($A3003="","",INDEX($L$2:$L$5001,MATCH($A3003,$A$2:$A$5001,0)))</f>
        <v/>
      </c>
      <c r="N3003" s="48" t="str">
        <f aca="false">IF($A3003="","",IF(N(M3003)=0,"–",IF(M3003&lt;=Start!$D$20,"A",IF(M3003&lt;=Start!$D$21,"B","C"))))</f>
        <v/>
      </c>
      <c r="O3003" s="48" t="str">
        <f aca="false">IF($A3003="","",IF(NOT(ISNUMBER(F3003)),"Wert fehlt; ",IF(F3003&lt;=0,"Wert ist 0; ",""))&amp;IF(NOT(ISNUMBER(E3003)),"Bestand fehlt; ",IF(E3003&lt;0,"Bestand negativ; ",IF(E3003=0,"Nullbestand; ","")))&amp;IF(D3003="","Warengruppe fehlt; ","")&amp;IF(B3003="","Bezeichnung fehlt; ","")&amp;IF(COUNTIFS($A$2:$A$5001,$A3003,$C$2:$C$5001,C3003)&gt;1,"Artikel doppelt im selben Lager; ",""))</f>
        <v/>
      </c>
      <c r="P3003" s="47" t="n">
        <f aca="false">IF(OR($A3003="",D3003=""),0,IF(COUNTIF($D$2:D3003,D3003)=1,SUMIF($D$2:$D$5001,D3003,$H$2:$H$5001)+ROW()/10000000,0))</f>
        <v>0</v>
      </c>
      <c r="Q3003" s="47" t="n">
        <f aca="false">IF(OR($A3003="",C3003=""),0,IF(COUNTIF($C$2:C3003,C3003)=1,SUMIF($C$2:$C$5001,C3003,$H$2:$H$5001)+ROW()/10000000,0))</f>
        <v>0</v>
      </c>
    </row>
    <row r="3004" customFormat="false" ht="15" hidden="false" customHeight="false" outlineLevel="0" collapsed="false">
      <c r="A3004" s="43"/>
      <c r="B3004" s="44"/>
      <c r="C3004" s="44"/>
      <c r="D3004" s="44"/>
      <c r="E3004" s="44"/>
      <c r="F3004" s="44"/>
      <c r="G3004" s="44"/>
      <c r="H3004" s="46" t="str">
        <f aca="false">IF($A3004="","",IF(OR(NOT(ISNUMBER(E3004)),NOT(ISNUMBER(F3004))),"",MAX(0,E3004)*F3004))</f>
        <v/>
      </c>
      <c r="I3004" s="46" t="str">
        <f aca="false">IF($A3004="","",SUMIF($A$2:$A$5001,$A3004,$H$2:$H$5001))</f>
        <v/>
      </c>
      <c r="J3004" s="47" t="n">
        <f aca="false">IF($A3004="",0,IF(COUNTIF($A$2:A3004,$A3004)=1,1,0))</f>
        <v>0</v>
      </c>
      <c r="K3004" s="47" t="n">
        <f aca="false">IF(J3004=1,N(I3004)+ROW()/10000000,0)</f>
        <v>0</v>
      </c>
      <c r="L3004" s="47" t="str">
        <f aca="false">IF(AND(J3004=1,N(I3004)&gt;0),SUMIF($K$2:$K$5001,"&gt;="&amp;K3004,$I$2:$I$5001)/MAX(1,SUM($H$2:$H$5001)),"")</f>
        <v/>
      </c>
      <c r="M3004" s="47" t="str">
        <f aca="false">IF($A3004="","",INDEX($L$2:$L$5001,MATCH($A3004,$A$2:$A$5001,0)))</f>
        <v/>
      </c>
      <c r="N3004" s="48" t="str">
        <f aca="false">IF($A3004="","",IF(N(M3004)=0,"–",IF(M3004&lt;=Start!$D$20,"A",IF(M3004&lt;=Start!$D$21,"B","C"))))</f>
        <v/>
      </c>
      <c r="O3004" s="48" t="str">
        <f aca="false">IF($A3004="","",IF(NOT(ISNUMBER(F3004)),"Wert fehlt; ",IF(F3004&lt;=0,"Wert ist 0; ",""))&amp;IF(NOT(ISNUMBER(E3004)),"Bestand fehlt; ",IF(E3004&lt;0,"Bestand negativ; ",IF(E3004=0,"Nullbestand; ","")))&amp;IF(D3004="","Warengruppe fehlt; ","")&amp;IF(B3004="","Bezeichnung fehlt; ","")&amp;IF(COUNTIFS($A$2:$A$5001,$A3004,$C$2:$C$5001,C3004)&gt;1,"Artikel doppelt im selben Lager; ",""))</f>
        <v/>
      </c>
      <c r="P3004" s="47" t="n">
        <f aca="false">IF(OR($A3004="",D3004=""),0,IF(COUNTIF($D$2:D3004,D3004)=1,SUMIF($D$2:$D$5001,D3004,$H$2:$H$5001)+ROW()/10000000,0))</f>
        <v>0</v>
      </c>
      <c r="Q3004" s="47" t="n">
        <f aca="false">IF(OR($A3004="",C3004=""),0,IF(COUNTIF($C$2:C3004,C3004)=1,SUMIF($C$2:$C$5001,C3004,$H$2:$H$5001)+ROW()/10000000,0))</f>
        <v>0</v>
      </c>
    </row>
    <row r="3005" customFormat="false" ht="15" hidden="false" customHeight="false" outlineLevel="0" collapsed="false">
      <c r="A3005" s="43"/>
      <c r="B3005" s="44"/>
      <c r="C3005" s="44"/>
      <c r="D3005" s="44"/>
      <c r="E3005" s="44"/>
      <c r="F3005" s="44"/>
      <c r="G3005" s="44"/>
      <c r="H3005" s="46" t="str">
        <f aca="false">IF($A3005="","",IF(OR(NOT(ISNUMBER(E3005)),NOT(ISNUMBER(F3005))),"",MAX(0,E3005)*F3005))</f>
        <v/>
      </c>
      <c r="I3005" s="46" t="str">
        <f aca="false">IF($A3005="","",SUMIF($A$2:$A$5001,$A3005,$H$2:$H$5001))</f>
        <v/>
      </c>
      <c r="J3005" s="47" t="n">
        <f aca="false">IF($A3005="",0,IF(COUNTIF($A$2:A3005,$A3005)=1,1,0))</f>
        <v>0</v>
      </c>
      <c r="K3005" s="47" t="n">
        <f aca="false">IF(J3005=1,N(I3005)+ROW()/10000000,0)</f>
        <v>0</v>
      </c>
      <c r="L3005" s="47" t="str">
        <f aca="false">IF(AND(J3005=1,N(I3005)&gt;0),SUMIF($K$2:$K$5001,"&gt;="&amp;K3005,$I$2:$I$5001)/MAX(1,SUM($H$2:$H$5001)),"")</f>
        <v/>
      </c>
      <c r="M3005" s="47" t="str">
        <f aca="false">IF($A3005="","",INDEX($L$2:$L$5001,MATCH($A3005,$A$2:$A$5001,0)))</f>
        <v/>
      </c>
      <c r="N3005" s="48" t="str">
        <f aca="false">IF($A3005="","",IF(N(M3005)=0,"–",IF(M3005&lt;=Start!$D$20,"A",IF(M3005&lt;=Start!$D$21,"B","C"))))</f>
        <v/>
      </c>
      <c r="O3005" s="48" t="str">
        <f aca="false">IF($A3005="","",IF(NOT(ISNUMBER(F3005)),"Wert fehlt; ",IF(F3005&lt;=0,"Wert ist 0; ",""))&amp;IF(NOT(ISNUMBER(E3005)),"Bestand fehlt; ",IF(E3005&lt;0,"Bestand negativ; ",IF(E3005=0,"Nullbestand; ","")))&amp;IF(D3005="","Warengruppe fehlt; ","")&amp;IF(B3005="","Bezeichnung fehlt; ","")&amp;IF(COUNTIFS($A$2:$A$5001,$A3005,$C$2:$C$5001,C3005)&gt;1,"Artikel doppelt im selben Lager; ",""))</f>
        <v/>
      </c>
      <c r="P3005" s="47" t="n">
        <f aca="false">IF(OR($A3005="",D3005=""),0,IF(COUNTIF($D$2:D3005,D3005)=1,SUMIF($D$2:$D$5001,D3005,$H$2:$H$5001)+ROW()/10000000,0))</f>
        <v>0</v>
      </c>
      <c r="Q3005" s="47" t="n">
        <f aca="false">IF(OR($A3005="",C3005=""),0,IF(COUNTIF($C$2:C3005,C3005)=1,SUMIF($C$2:$C$5001,C3005,$H$2:$H$5001)+ROW()/10000000,0))</f>
        <v>0</v>
      </c>
    </row>
    <row r="3006" customFormat="false" ht="15" hidden="false" customHeight="false" outlineLevel="0" collapsed="false">
      <c r="A3006" s="43"/>
      <c r="B3006" s="44"/>
      <c r="C3006" s="44"/>
      <c r="D3006" s="44"/>
      <c r="E3006" s="44"/>
      <c r="F3006" s="44"/>
      <c r="G3006" s="44"/>
      <c r="H3006" s="46" t="str">
        <f aca="false">IF($A3006="","",IF(OR(NOT(ISNUMBER(E3006)),NOT(ISNUMBER(F3006))),"",MAX(0,E3006)*F3006))</f>
        <v/>
      </c>
      <c r="I3006" s="46" t="str">
        <f aca="false">IF($A3006="","",SUMIF($A$2:$A$5001,$A3006,$H$2:$H$5001))</f>
        <v/>
      </c>
      <c r="J3006" s="47" t="n">
        <f aca="false">IF($A3006="",0,IF(COUNTIF($A$2:A3006,$A3006)=1,1,0))</f>
        <v>0</v>
      </c>
      <c r="K3006" s="47" t="n">
        <f aca="false">IF(J3006=1,N(I3006)+ROW()/10000000,0)</f>
        <v>0</v>
      </c>
      <c r="L3006" s="47" t="str">
        <f aca="false">IF(AND(J3006=1,N(I3006)&gt;0),SUMIF($K$2:$K$5001,"&gt;="&amp;K3006,$I$2:$I$5001)/MAX(1,SUM($H$2:$H$5001)),"")</f>
        <v/>
      </c>
      <c r="M3006" s="47" t="str">
        <f aca="false">IF($A3006="","",INDEX($L$2:$L$5001,MATCH($A3006,$A$2:$A$5001,0)))</f>
        <v/>
      </c>
      <c r="N3006" s="48" t="str">
        <f aca="false">IF($A3006="","",IF(N(M3006)=0,"–",IF(M3006&lt;=Start!$D$20,"A",IF(M3006&lt;=Start!$D$21,"B","C"))))</f>
        <v/>
      </c>
      <c r="O3006" s="48" t="str">
        <f aca="false">IF($A3006="","",IF(NOT(ISNUMBER(F3006)),"Wert fehlt; ",IF(F3006&lt;=0,"Wert ist 0; ",""))&amp;IF(NOT(ISNUMBER(E3006)),"Bestand fehlt; ",IF(E3006&lt;0,"Bestand negativ; ",IF(E3006=0,"Nullbestand; ","")))&amp;IF(D3006="","Warengruppe fehlt; ","")&amp;IF(B3006="","Bezeichnung fehlt; ","")&amp;IF(COUNTIFS($A$2:$A$5001,$A3006,$C$2:$C$5001,C3006)&gt;1,"Artikel doppelt im selben Lager; ",""))</f>
        <v/>
      </c>
      <c r="P3006" s="47" t="n">
        <f aca="false">IF(OR($A3006="",D3006=""),0,IF(COUNTIF($D$2:D3006,D3006)=1,SUMIF($D$2:$D$5001,D3006,$H$2:$H$5001)+ROW()/10000000,0))</f>
        <v>0</v>
      </c>
      <c r="Q3006" s="47" t="n">
        <f aca="false">IF(OR($A3006="",C3006=""),0,IF(COUNTIF($C$2:C3006,C3006)=1,SUMIF($C$2:$C$5001,C3006,$H$2:$H$5001)+ROW()/10000000,0))</f>
        <v>0</v>
      </c>
    </row>
    <row r="3007" customFormat="false" ht="15" hidden="false" customHeight="false" outlineLevel="0" collapsed="false">
      <c r="A3007" s="43"/>
      <c r="B3007" s="44"/>
      <c r="C3007" s="44"/>
      <c r="D3007" s="44"/>
      <c r="E3007" s="44"/>
      <c r="F3007" s="44"/>
      <c r="G3007" s="44"/>
      <c r="H3007" s="46" t="str">
        <f aca="false">IF($A3007="","",IF(OR(NOT(ISNUMBER(E3007)),NOT(ISNUMBER(F3007))),"",MAX(0,E3007)*F3007))</f>
        <v/>
      </c>
      <c r="I3007" s="46" t="str">
        <f aca="false">IF($A3007="","",SUMIF($A$2:$A$5001,$A3007,$H$2:$H$5001))</f>
        <v/>
      </c>
      <c r="J3007" s="47" t="n">
        <f aca="false">IF($A3007="",0,IF(COUNTIF($A$2:A3007,$A3007)=1,1,0))</f>
        <v>0</v>
      </c>
      <c r="K3007" s="47" t="n">
        <f aca="false">IF(J3007=1,N(I3007)+ROW()/10000000,0)</f>
        <v>0</v>
      </c>
      <c r="L3007" s="47" t="str">
        <f aca="false">IF(AND(J3007=1,N(I3007)&gt;0),SUMIF($K$2:$K$5001,"&gt;="&amp;K3007,$I$2:$I$5001)/MAX(1,SUM($H$2:$H$5001)),"")</f>
        <v/>
      </c>
      <c r="M3007" s="47" t="str">
        <f aca="false">IF($A3007="","",INDEX($L$2:$L$5001,MATCH($A3007,$A$2:$A$5001,0)))</f>
        <v/>
      </c>
      <c r="N3007" s="48" t="str">
        <f aca="false">IF($A3007="","",IF(N(M3007)=0,"–",IF(M3007&lt;=Start!$D$20,"A",IF(M3007&lt;=Start!$D$21,"B","C"))))</f>
        <v/>
      </c>
      <c r="O3007" s="48" t="str">
        <f aca="false">IF($A3007="","",IF(NOT(ISNUMBER(F3007)),"Wert fehlt; ",IF(F3007&lt;=0,"Wert ist 0; ",""))&amp;IF(NOT(ISNUMBER(E3007)),"Bestand fehlt; ",IF(E3007&lt;0,"Bestand negativ; ",IF(E3007=0,"Nullbestand; ","")))&amp;IF(D3007="","Warengruppe fehlt; ","")&amp;IF(B3007="","Bezeichnung fehlt; ","")&amp;IF(COUNTIFS($A$2:$A$5001,$A3007,$C$2:$C$5001,C3007)&gt;1,"Artikel doppelt im selben Lager; ",""))</f>
        <v/>
      </c>
      <c r="P3007" s="47" t="n">
        <f aca="false">IF(OR($A3007="",D3007=""),0,IF(COUNTIF($D$2:D3007,D3007)=1,SUMIF($D$2:$D$5001,D3007,$H$2:$H$5001)+ROW()/10000000,0))</f>
        <v>0</v>
      </c>
      <c r="Q3007" s="47" t="n">
        <f aca="false">IF(OR($A3007="",C3007=""),0,IF(COUNTIF($C$2:C3007,C3007)=1,SUMIF($C$2:$C$5001,C3007,$H$2:$H$5001)+ROW()/10000000,0))</f>
        <v>0</v>
      </c>
    </row>
    <row r="3008" customFormat="false" ht="15" hidden="false" customHeight="false" outlineLevel="0" collapsed="false">
      <c r="A3008" s="43"/>
      <c r="B3008" s="44"/>
      <c r="C3008" s="44"/>
      <c r="D3008" s="44"/>
      <c r="E3008" s="44"/>
      <c r="F3008" s="44"/>
      <c r="G3008" s="44"/>
      <c r="H3008" s="46" t="str">
        <f aca="false">IF($A3008="","",IF(OR(NOT(ISNUMBER(E3008)),NOT(ISNUMBER(F3008))),"",MAX(0,E3008)*F3008))</f>
        <v/>
      </c>
      <c r="I3008" s="46" t="str">
        <f aca="false">IF($A3008="","",SUMIF($A$2:$A$5001,$A3008,$H$2:$H$5001))</f>
        <v/>
      </c>
      <c r="J3008" s="47" t="n">
        <f aca="false">IF($A3008="",0,IF(COUNTIF($A$2:A3008,$A3008)=1,1,0))</f>
        <v>0</v>
      </c>
      <c r="K3008" s="47" t="n">
        <f aca="false">IF(J3008=1,N(I3008)+ROW()/10000000,0)</f>
        <v>0</v>
      </c>
      <c r="L3008" s="47" t="str">
        <f aca="false">IF(AND(J3008=1,N(I3008)&gt;0),SUMIF($K$2:$K$5001,"&gt;="&amp;K3008,$I$2:$I$5001)/MAX(1,SUM($H$2:$H$5001)),"")</f>
        <v/>
      </c>
      <c r="M3008" s="47" t="str">
        <f aca="false">IF($A3008="","",INDEX($L$2:$L$5001,MATCH($A3008,$A$2:$A$5001,0)))</f>
        <v/>
      </c>
      <c r="N3008" s="48" t="str">
        <f aca="false">IF($A3008="","",IF(N(M3008)=0,"–",IF(M3008&lt;=Start!$D$20,"A",IF(M3008&lt;=Start!$D$21,"B","C"))))</f>
        <v/>
      </c>
      <c r="O3008" s="48" t="str">
        <f aca="false">IF($A3008="","",IF(NOT(ISNUMBER(F3008)),"Wert fehlt; ",IF(F3008&lt;=0,"Wert ist 0; ",""))&amp;IF(NOT(ISNUMBER(E3008)),"Bestand fehlt; ",IF(E3008&lt;0,"Bestand negativ; ",IF(E3008=0,"Nullbestand; ","")))&amp;IF(D3008="","Warengruppe fehlt; ","")&amp;IF(B3008="","Bezeichnung fehlt; ","")&amp;IF(COUNTIFS($A$2:$A$5001,$A3008,$C$2:$C$5001,C3008)&gt;1,"Artikel doppelt im selben Lager; ",""))</f>
        <v/>
      </c>
      <c r="P3008" s="47" t="n">
        <f aca="false">IF(OR($A3008="",D3008=""),0,IF(COUNTIF($D$2:D3008,D3008)=1,SUMIF($D$2:$D$5001,D3008,$H$2:$H$5001)+ROW()/10000000,0))</f>
        <v>0</v>
      </c>
      <c r="Q3008" s="47" t="n">
        <f aca="false">IF(OR($A3008="",C3008=""),0,IF(COUNTIF($C$2:C3008,C3008)=1,SUMIF($C$2:$C$5001,C3008,$H$2:$H$5001)+ROW()/10000000,0))</f>
        <v>0</v>
      </c>
    </row>
    <row r="3009" customFormat="false" ht="15" hidden="false" customHeight="false" outlineLevel="0" collapsed="false">
      <c r="A3009" s="43"/>
      <c r="B3009" s="44"/>
      <c r="C3009" s="44"/>
      <c r="D3009" s="44"/>
      <c r="E3009" s="44"/>
      <c r="F3009" s="44"/>
      <c r="G3009" s="44"/>
      <c r="H3009" s="46" t="str">
        <f aca="false">IF($A3009="","",IF(OR(NOT(ISNUMBER(E3009)),NOT(ISNUMBER(F3009))),"",MAX(0,E3009)*F3009))</f>
        <v/>
      </c>
      <c r="I3009" s="46" t="str">
        <f aca="false">IF($A3009="","",SUMIF($A$2:$A$5001,$A3009,$H$2:$H$5001))</f>
        <v/>
      </c>
      <c r="J3009" s="47" t="n">
        <f aca="false">IF($A3009="",0,IF(COUNTIF($A$2:A3009,$A3009)=1,1,0))</f>
        <v>0</v>
      </c>
      <c r="K3009" s="47" t="n">
        <f aca="false">IF(J3009=1,N(I3009)+ROW()/10000000,0)</f>
        <v>0</v>
      </c>
      <c r="L3009" s="47" t="str">
        <f aca="false">IF(AND(J3009=1,N(I3009)&gt;0),SUMIF($K$2:$K$5001,"&gt;="&amp;K3009,$I$2:$I$5001)/MAX(1,SUM($H$2:$H$5001)),"")</f>
        <v/>
      </c>
      <c r="M3009" s="47" t="str">
        <f aca="false">IF($A3009="","",INDEX($L$2:$L$5001,MATCH($A3009,$A$2:$A$5001,0)))</f>
        <v/>
      </c>
      <c r="N3009" s="48" t="str">
        <f aca="false">IF($A3009="","",IF(N(M3009)=0,"–",IF(M3009&lt;=Start!$D$20,"A",IF(M3009&lt;=Start!$D$21,"B","C"))))</f>
        <v/>
      </c>
      <c r="O3009" s="48" t="str">
        <f aca="false">IF($A3009="","",IF(NOT(ISNUMBER(F3009)),"Wert fehlt; ",IF(F3009&lt;=0,"Wert ist 0; ",""))&amp;IF(NOT(ISNUMBER(E3009)),"Bestand fehlt; ",IF(E3009&lt;0,"Bestand negativ; ",IF(E3009=0,"Nullbestand; ","")))&amp;IF(D3009="","Warengruppe fehlt; ","")&amp;IF(B3009="","Bezeichnung fehlt; ","")&amp;IF(COUNTIFS($A$2:$A$5001,$A3009,$C$2:$C$5001,C3009)&gt;1,"Artikel doppelt im selben Lager; ",""))</f>
        <v/>
      </c>
      <c r="P3009" s="47" t="n">
        <f aca="false">IF(OR($A3009="",D3009=""),0,IF(COUNTIF($D$2:D3009,D3009)=1,SUMIF($D$2:$D$5001,D3009,$H$2:$H$5001)+ROW()/10000000,0))</f>
        <v>0</v>
      </c>
      <c r="Q3009" s="47" t="n">
        <f aca="false">IF(OR($A3009="",C3009=""),0,IF(COUNTIF($C$2:C3009,C3009)=1,SUMIF($C$2:$C$5001,C3009,$H$2:$H$5001)+ROW()/10000000,0))</f>
        <v>0</v>
      </c>
    </row>
    <row r="3010" customFormat="false" ht="15" hidden="false" customHeight="false" outlineLevel="0" collapsed="false">
      <c r="A3010" s="43"/>
      <c r="B3010" s="44"/>
      <c r="C3010" s="44"/>
      <c r="D3010" s="44"/>
      <c r="E3010" s="44"/>
      <c r="F3010" s="44"/>
      <c r="G3010" s="44"/>
      <c r="H3010" s="46" t="str">
        <f aca="false">IF($A3010="","",IF(OR(NOT(ISNUMBER(E3010)),NOT(ISNUMBER(F3010))),"",MAX(0,E3010)*F3010))</f>
        <v/>
      </c>
      <c r="I3010" s="46" t="str">
        <f aca="false">IF($A3010="","",SUMIF($A$2:$A$5001,$A3010,$H$2:$H$5001))</f>
        <v/>
      </c>
      <c r="J3010" s="47" t="n">
        <f aca="false">IF($A3010="",0,IF(COUNTIF($A$2:A3010,$A3010)=1,1,0))</f>
        <v>0</v>
      </c>
      <c r="K3010" s="47" t="n">
        <f aca="false">IF(J3010=1,N(I3010)+ROW()/10000000,0)</f>
        <v>0</v>
      </c>
      <c r="L3010" s="47" t="str">
        <f aca="false">IF(AND(J3010=1,N(I3010)&gt;0),SUMIF($K$2:$K$5001,"&gt;="&amp;K3010,$I$2:$I$5001)/MAX(1,SUM($H$2:$H$5001)),"")</f>
        <v/>
      </c>
      <c r="M3010" s="47" t="str">
        <f aca="false">IF($A3010="","",INDEX($L$2:$L$5001,MATCH($A3010,$A$2:$A$5001,0)))</f>
        <v/>
      </c>
      <c r="N3010" s="48" t="str">
        <f aca="false">IF($A3010="","",IF(N(M3010)=0,"–",IF(M3010&lt;=Start!$D$20,"A",IF(M3010&lt;=Start!$D$21,"B","C"))))</f>
        <v/>
      </c>
      <c r="O3010" s="48" t="str">
        <f aca="false">IF($A3010="","",IF(NOT(ISNUMBER(F3010)),"Wert fehlt; ",IF(F3010&lt;=0,"Wert ist 0; ",""))&amp;IF(NOT(ISNUMBER(E3010)),"Bestand fehlt; ",IF(E3010&lt;0,"Bestand negativ; ",IF(E3010=0,"Nullbestand; ","")))&amp;IF(D3010="","Warengruppe fehlt; ","")&amp;IF(B3010="","Bezeichnung fehlt; ","")&amp;IF(COUNTIFS($A$2:$A$5001,$A3010,$C$2:$C$5001,C3010)&gt;1,"Artikel doppelt im selben Lager; ",""))</f>
        <v/>
      </c>
      <c r="P3010" s="47" t="n">
        <f aca="false">IF(OR($A3010="",D3010=""),0,IF(COUNTIF($D$2:D3010,D3010)=1,SUMIF($D$2:$D$5001,D3010,$H$2:$H$5001)+ROW()/10000000,0))</f>
        <v>0</v>
      </c>
      <c r="Q3010" s="47" t="n">
        <f aca="false">IF(OR($A3010="",C3010=""),0,IF(COUNTIF($C$2:C3010,C3010)=1,SUMIF($C$2:$C$5001,C3010,$H$2:$H$5001)+ROW()/10000000,0))</f>
        <v>0</v>
      </c>
    </row>
    <row r="3011" customFormat="false" ht="15" hidden="false" customHeight="false" outlineLevel="0" collapsed="false">
      <c r="A3011" s="43"/>
      <c r="B3011" s="44"/>
      <c r="C3011" s="44"/>
      <c r="D3011" s="44"/>
      <c r="E3011" s="44"/>
      <c r="F3011" s="44"/>
      <c r="G3011" s="44"/>
      <c r="H3011" s="46" t="str">
        <f aca="false">IF($A3011="","",IF(OR(NOT(ISNUMBER(E3011)),NOT(ISNUMBER(F3011))),"",MAX(0,E3011)*F3011))</f>
        <v/>
      </c>
      <c r="I3011" s="46" t="str">
        <f aca="false">IF($A3011="","",SUMIF($A$2:$A$5001,$A3011,$H$2:$H$5001))</f>
        <v/>
      </c>
      <c r="J3011" s="47" t="n">
        <f aca="false">IF($A3011="",0,IF(COUNTIF($A$2:A3011,$A3011)=1,1,0))</f>
        <v>0</v>
      </c>
      <c r="K3011" s="47" t="n">
        <f aca="false">IF(J3011=1,N(I3011)+ROW()/10000000,0)</f>
        <v>0</v>
      </c>
      <c r="L3011" s="47" t="str">
        <f aca="false">IF(AND(J3011=1,N(I3011)&gt;0),SUMIF($K$2:$K$5001,"&gt;="&amp;K3011,$I$2:$I$5001)/MAX(1,SUM($H$2:$H$5001)),"")</f>
        <v/>
      </c>
      <c r="M3011" s="47" t="str">
        <f aca="false">IF($A3011="","",INDEX($L$2:$L$5001,MATCH($A3011,$A$2:$A$5001,0)))</f>
        <v/>
      </c>
      <c r="N3011" s="48" t="str">
        <f aca="false">IF($A3011="","",IF(N(M3011)=0,"–",IF(M3011&lt;=Start!$D$20,"A",IF(M3011&lt;=Start!$D$21,"B","C"))))</f>
        <v/>
      </c>
      <c r="O3011" s="48" t="str">
        <f aca="false">IF($A3011="","",IF(NOT(ISNUMBER(F3011)),"Wert fehlt; ",IF(F3011&lt;=0,"Wert ist 0; ",""))&amp;IF(NOT(ISNUMBER(E3011)),"Bestand fehlt; ",IF(E3011&lt;0,"Bestand negativ; ",IF(E3011=0,"Nullbestand; ","")))&amp;IF(D3011="","Warengruppe fehlt; ","")&amp;IF(B3011="","Bezeichnung fehlt; ","")&amp;IF(COUNTIFS($A$2:$A$5001,$A3011,$C$2:$C$5001,C3011)&gt;1,"Artikel doppelt im selben Lager; ",""))</f>
        <v/>
      </c>
      <c r="P3011" s="47" t="n">
        <f aca="false">IF(OR($A3011="",D3011=""),0,IF(COUNTIF($D$2:D3011,D3011)=1,SUMIF($D$2:$D$5001,D3011,$H$2:$H$5001)+ROW()/10000000,0))</f>
        <v>0</v>
      </c>
      <c r="Q3011" s="47" t="n">
        <f aca="false">IF(OR($A3011="",C3011=""),0,IF(COUNTIF($C$2:C3011,C3011)=1,SUMIF($C$2:$C$5001,C3011,$H$2:$H$5001)+ROW()/10000000,0))</f>
        <v>0</v>
      </c>
    </row>
    <row r="3012" customFormat="false" ht="15" hidden="false" customHeight="false" outlineLevel="0" collapsed="false">
      <c r="A3012" s="43"/>
      <c r="B3012" s="44"/>
      <c r="C3012" s="44"/>
      <c r="D3012" s="44"/>
      <c r="E3012" s="44"/>
      <c r="F3012" s="44"/>
      <c r="G3012" s="44"/>
      <c r="H3012" s="46" t="str">
        <f aca="false">IF($A3012="","",IF(OR(NOT(ISNUMBER(E3012)),NOT(ISNUMBER(F3012))),"",MAX(0,E3012)*F3012))</f>
        <v/>
      </c>
      <c r="I3012" s="46" t="str">
        <f aca="false">IF($A3012="","",SUMIF($A$2:$A$5001,$A3012,$H$2:$H$5001))</f>
        <v/>
      </c>
      <c r="J3012" s="47" t="n">
        <f aca="false">IF($A3012="",0,IF(COUNTIF($A$2:A3012,$A3012)=1,1,0))</f>
        <v>0</v>
      </c>
      <c r="K3012" s="47" t="n">
        <f aca="false">IF(J3012=1,N(I3012)+ROW()/10000000,0)</f>
        <v>0</v>
      </c>
      <c r="L3012" s="47" t="str">
        <f aca="false">IF(AND(J3012=1,N(I3012)&gt;0),SUMIF($K$2:$K$5001,"&gt;="&amp;K3012,$I$2:$I$5001)/MAX(1,SUM($H$2:$H$5001)),"")</f>
        <v/>
      </c>
      <c r="M3012" s="47" t="str">
        <f aca="false">IF($A3012="","",INDEX($L$2:$L$5001,MATCH($A3012,$A$2:$A$5001,0)))</f>
        <v/>
      </c>
      <c r="N3012" s="48" t="str">
        <f aca="false">IF($A3012="","",IF(N(M3012)=0,"–",IF(M3012&lt;=Start!$D$20,"A",IF(M3012&lt;=Start!$D$21,"B","C"))))</f>
        <v/>
      </c>
      <c r="O3012" s="48" t="str">
        <f aca="false">IF($A3012="","",IF(NOT(ISNUMBER(F3012)),"Wert fehlt; ",IF(F3012&lt;=0,"Wert ist 0; ",""))&amp;IF(NOT(ISNUMBER(E3012)),"Bestand fehlt; ",IF(E3012&lt;0,"Bestand negativ; ",IF(E3012=0,"Nullbestand; ","")))&amp;IF(D3012="","Warengruppe fehlt; ","")&amp;IF(B3012="","Bezeichnung fehlt; ","")&amp;IF(COUNTIFS($A$2:$A$5001,$A3012,$C$2:$C$5001,C3012)&gt;1,"Artikel doppelt im selben Lager; ",""))</f>
        <v/>
      </c>
      <c r="P3012" s="47" t="n">
        <f aca="false">IF(OR($A3012="",D3012=""),0,IF(COUNTIF($D$2:D3012,D3012)=1,SUMIF($D$2:$D$5001,D3012,$H$2:$H$5001)+ROW()/10000000,0))</f>
        <v>0</v>
      </c>
      <c r="Q3012" s="47" t="n">
        <f aca="false">IF(OR($A3012="",C3012=""),0,IF(COUNTIF($C$2:C3012,C3012)=1,SUMIF($C$2:$C$5001,C3012,$H$2:$H$5001)+ROW()/10000000,0))</f>
        <v>0</v>
      </c>
    </row>
    <row r="3013" customFormat="false" ht="15" hidden="false" customHeight="false" outlineLevel="0" collapsed="false">
      <c r="A3013" s="43"/>
      <c r="B3013" s="44"/>
      <c r="C3013" s="44"/>
      <c r="D3013" s="44"/>
      <c r="E3013" s="44"/>
      <c r="F3013" s="44"/>
      <c r="G3013" s="44"/>
      <c r="H3013" s="46" t="str">
        <f aca="false">IF($A3013="","",IF(OR(NOT(ISNUMBER(E3013)),NOT(ISNUMBER(F3013))),"",MAX(0,E3013)*F3013))</f>
        <v/>
      </c>
      <c r="I3013" s="46" t="str">
        <f aca="false">IF($A3013="","",SUMIF($A$2:$A$5001,$A3013,$H$2:$H$5001))</f>
        <v/>
      </c>
      <c r="J3013" s="47" t="n">
        <f aca="false">IF($A3013="",0,IF(COUNTIF($A$2:A3013,$A3013)=1,1,0))</f>
        <v>0</v>
      </c>
      <c r="K3013" s="47" t="n">
        <f aca="false">IF(J3013=1,N(I3013)+ROW()/10000000,0)</f>
        <v>0</v>
      </c>
      <c r="L3013" s="47" t="str">
        <f aca="false">IF(AND(J3013=1,N(I3013)&gt;0),SUMIF($K$2:$K$5001,"&gt;="&amp;K3013,$I$2:$I$5001)/MAX(1,SUM($H$2:$H$5001)),"")</f>
        <v/>
      </c>
      <c r="M3013" s="47" t="str">
        <f aca="false">IF($A3013="","",INDEX($L$2:$L$5001,MATCH($A3013,$A$2:$A$5001,0)))</f>
        <v/>
      </c>
      <c r="N3013" s="48" t="str">
        <f aca="false">IF($A3013="","",IF(N(M3013)=0,"–",IF(M3013&lt;=Start!$D$20,"A",IF(M3013&lt;=Start!$D$21,"B","C"))))</f>
        <v/>
      </c>
      <c r="O3013" s="48" t="str">
        <f aca="false">IF($A3013="","",IF(NOT(ISNUMBER(F3013)),"Wert fehlt; ",IF(F3013&lt;=0,"Wert ist 0; ",""))&amp;IF(NOT(ISNUMBER(E3013)),"Bestand fehlt; ",IF(E3013&lt;0,"Bestand negativ; ",IF(E3013=0,"Nullbestand; ","")))&amp;IF(D3013="","Warengruppe fehlt; ","")&amp;IF(B3013="","Bezeichnung fehlt; ","")&amp;IF(COUNTIFS($A$2:$A$5001,$A3013,$C$2:$C$5001,C3013)&gt;1,"Artikel doppelt im selben Lager; ",""))</f>
        <v/>
      </c>
      <c r="P3013" s="47" t="n">
        <f aca="false">IF(OR($A3013="",D3013=""),0,IF(COUNTIF($D$2:D3013,D3013)=1,SUMIF($D$2:$D$5001,D3013,$H$2:$H$5001)+ROW()/10000000,0))</f>
        <v>0</v>
      </c>
      <c r="Q3013" s="47" t="n">
        <f aca="false">IF(OR($A3013="",C3013=""),0,IF(COUNTIF($C$2:C3013,C3013)=1,SUMIF($C$2:$C$5001,C3013,$H$2:$H$5001)+ROW()/10000000,0))</f>
        <v>0</v>
      </c>
    </row>
    <row r="3014" customFormat="false" ht="15" hidden="false" customHeight="false" outlineLevel="0" collapsed="false">
      <c r="A3014" s="43"/>
      <c r="B3014" s="44"/>
      <c r="C3014" s="44"/>
      <c r="D3014" s="44"/>
      <c r="E3014" s="44"/>
      <c r="F3014" s="44"/>
      <c r="G3014" s="44"/>
      <c r="H3014" s="46" t="str">
        <f aca="false">IF($A3014="","",IF(OR(NOT(ISNUMBER(E3014)),NOT(ISNUMBER(F3014))),"",MAX(0,E3014)*F3014))</f>
        <v/>
      </c>
      <c r="I3014" s="46" t="str">
        <f aca="false">IF($A3014="","",SUMIF($A$2:$A$5001,$A3014,$H$2:$H$5001))</f>
        <v/>
      </c>
      <c r="J3014" s="47" t="n">
        <f aca="false">IF($A3014="",0,IF(COUNTIF($A$2:A3014,$A3014)=1,1,0))</f>
        <v>0</v>
      </c>
      <c r="K3014" s="47" t="n">
        <f aca="false">IF(J3014=1,N(I3014)+ROW()/10000000,0)</f>
        <v>0</v>
      </c>
      <c r="L3014" s="47" t="str">
        <f aca="false">IF(AND(J3014=1,N(I3014)&gt;0),SUMIF($K$2:$K$5001,"&gt;="&amp;K3014,$I$2:$I$5001)/MAX(1,SUM($H$2:$H$5001)),"")</f>
        <v/>
      </c>
      <c r="M3014" s="47" t="str">
        <f aca="false">IF($A3014="","",INDEX($L$2:$L$5001,MATCH($A3014,$A$2:$A$5001,0)))</f>
        <v/>
      </c>
      <c r="N3014" s="48" t="str">
        <f aca="false">IF($A3014="","",IF(N(M3014)=0,"–",IF(M3014&lt;=Start!$D$20,"A",IF(M3014&lt;=Start!$D$21,"B","C"))))</f>
        <v/>
      </c>
      <c r="O3014" s="48" t="str">
        <f aca="false">IF($A3014="","",IF(NOT(ISNUMBER(F3014)),"Wert fehlt; ",IF(F3014&lt;=0,"Wert ist 0; ",""))&amp;IF(NOT(ISNUMBER(E3014)),"Bestand fehlt; ",IF(E3014&lt;0,"Bestand negativ; ",IF(E3014=0,"Nullbestand; ","")))&amp;IF(D3014="","Warengruppe fehlt; ","")&amp;IF(B3014="","Bezeichnung fehlt; ","")&amp;IF(COUNTIFS($A$2:$A$5001,$A3014,$C$2:$C$5001,C3014)&gt;1,"Artikel doppelt im selben Lager; ",""))</f>
        <v/>
      </c>
      <c r="P3014" s="47" t="n">
        <f aca="false">IF(OR($A3014="",D3014=""),0,IF(COUNTIF($D$2:D3014,D3014)=1,SUMIF($D$2:$D$5001,D3014,$H$2:$H$5001)+ROW()/10000000,0))</f>
        <v>0</v>
      </c>
      <c r="Q3014" s="47" t="n">
        <f aca="false">IF(OR($A3014="",C3014=""),0,IF(COUNTIF($C$2:C3014,C3014)=1,SUMIF($C$2:$C$5001,C3014,$H$2:$H$5001)+ROW()/10000000,0))</f>
        <v>0</v>
      </c>
    </row>
    <row r="3015" customFormat="false" ht="15" hidden="false" customHeight="false" outlineLevel="0" collapsed="false">
      <c r="A3015" s="43"/>
      <c r="B3015" s="44"/>
      <c r="C3015" s="44"/>
      <c r="D3015" s="44"/>
      <c r="E3015" s="44"/>
      <c r="F3015" s="44"/>
      <c r="G3015" s="44"/>
      <c r="H3015" s="46" t="str">
        <f aca="false">IF($A3015="","",IF(OR(NOT(ISNUMBER(E3015)),NOT(ISNUMBER(F3015))),"",MAX(0,E3015)*F3015))</f>
        <v/>
      </c>
      <c r="I3015" s="46" t="str">
        <f aca="false">IF($A3015="","",SUMIF($A$2:$A$5001,$A3015,$H$2:$H$5001))</f>
        <v/>
      </c>
      <c r="J3015" s="47" t="n">
        <f aca="false">IF($A3015="",0,IF(COUNTIF($A$2:A3015,$A3015)=1,1,0))</f>
        <v>0</v>
      </c>
      <c r="K3015" s="47" t="n">
        <f aca="false">IF(J3015=1,N(I3015)+ROW()/10000000,0)</f>
        <v>0</v>
      </c>
      <c r="L3015" s="47" t="str">
        <f aca="false">IF(AND(J3015=1,N(I3015)&gt;0),SUMIF($K$2:$K$5001,"&gt;="&amp;K3015,$I$2:$I$5001)/MAX(1,SUM($H$2:$H$5001)),"")</f>
        <v/>
      </c>
      <c r="M3015" s="47" t="str">
        <f aca="false">IF($A3015="","",INDEX($L$2:$L$5001,MATCH($A3015,$A$2:$A$5001,0)))</f>
        <v/>
      </c>
      <c r="N3015" s="48" t="str">
        <f aca="false">IF($A3015="","",IF(N(M3015)=0,"–",IF(M3015&lt;=Start!$D$20,"A",IF(M3015&lt;=Start!$D$21,"B","C"))))</f>
        <v/>
      </c>
      <c r="O3015" s="48" t="str">
        <f aca="false">IF($A3015="","",IF(NOT(ISNUMBER(F3015)),"Wert fehlt; ",IF(F3015&lt;=0,"Wert ist 0; ",""))&amp;IF(NOT(ISNUMBER(E3015)),"Bestand fehlt; ",IF(E3015&lt;0,"Bestand negativ; ",IF(E3015=0,"Nullbestand; ","")))&amp;IF(D3015="","Warengruppe fehlt; ","")&amp;IF(B3015="","Bezeichnung fehlt; ","")&amp;IF(COUNTIFS($A$2:$A$5001,$A3015,$C$2:$C$5001,C3015)&gt;1,"Artikel doppelt im selben Lager; ",""))</f>
        <v/>
      </c>
      <c r="P3015" s="47" t="n">
        <f aca="false">IF(OR($A3015="",D3015=""),0,IF(COUNTIF($D$2:D3015,D3015)=1,SUMIF($D$2:$D$5001,D3015,$H$2:$H$5001)+ROW()/10000000,0))</f>
        <v>0</v>
      </c>
      <c r="Q3015" s="47" t="n">
        <f aca="false">IF(OR($A3015="",C3015=""),0,IF(COUNTIF($C$2:C3015,C3015)=1,SUMIF($C$2:$C$5001,C3015,$H$2:$H$5001)+ROW()/10000000,0))</f>
        <v>0</v>
      </c>
    </row>
    <row r="3016" customFormat="false" ht="15" hidden="false" customHeight="false" outlineLevel="0" collapsed="false">
      <c r="A3016" s="43"/>
      <c r="B3016" s="44"/>
      <c r="C3016" s="44"/>
      <c r="D3016" s="44"/>
      <c r="E3016" s="44"/>
      <c r="F3016" s="44"/>
      <c r="G3016" s="44"/>
      <c r="H3016" s="46" t="str">
        <f aca="false">IF($A3016="","",IF(OR(NOT(ISNUMBER(E3016)),NOT(ISNUMBER(F3016))),"",MAX(0,E3016)*F3016))</f>
        <v/>
      </c>
      <c r="I3016" s="46" t="str">
        <f aca="false">IF($A3016="","",SUMIF($A$2:$A$5001,$A3016,$H$2:$H$5001))</f>
        <v/>
      </c>
      <c r="J3016" s="47" t="n">
        <f aca="false">IF($A3016="",0,IF(COUNTIF($A$2:A3016,$A3016)=1,1,0))</f>
        <v>0</v>
      </c>
      <c r="K3016" s="47" t="n">
        <f aca="false">IF(J3016=1,N(I3016)+ROW()/10000000,0)</f>
        <v>0</v>
      </c>
      <c r="L3016" s="47" t="str">
        <f aca="false">IF(AND(J3016=1,N(I3016)&gt;0),SUMIF($K$2:$K$5001,"&gt;="&amp;K3016,$I$2:$I$5001)/MAX(1,SUM($H$2:$H$5001)),"")</f>
        <v/>
      </c>
      <c r="M3016" s="47" t="str">
        <f aca="false">IF($A3016="","",INDEX($L$2:$L$5001,MATCH($A3016,$A$2:$A$5001,0)))</f>
        <v/>
      </c>
      <c r="N3016" s="48" t="str">
        <f aca="false">IF($A3016="","",IF(N(M3016)=0,"–",IF(M3016&lt;=Start!$D$20,"A",IF(M3016&lt;=Start!$D$21,"B","C"))))</f>
        <v/>
      </c>
      <c r="O3016" s="48" t="str">
        <f aca="false">IF($A3016="","",IF(NOT(ISNUMBER(F3016)),"Wert fehlt; ",IF(F3016&lt;=0,"Wert ist 0; ",""))&amp;IF(NOT(ISNUMBER(E3016)),"Bestand fehlt; ",IF(E3016&lt;0,"Bestand negativ; ",IF(E3016=0,"Nullbestand; ","")))&amp;IF(D3016="","Warengruppe fehlt; ","")&amp;IF(B3016="","Bezeichnung fehlt; ","")&amp;IF(COUNTIFS($A$2:$A$5001,$A3016,$C$2:$C$5001,C3016)&gt;1,"Artikel doppelt im selben Lager; ",""))</f>
        <v/>
      </c>
      <c r="P3016" s="47" t="n">
        <f aca="false">IF(OR($A3016="",D3016=""),0,IF(COUNTIF($D$2:D3016,D3016)=1,SUMIF($D$2:$D$5001,D3016,$H$2:$H$5001)+ROW()/10000000,0))</f>
        <v>0</v>
      </c>
      <c r="Q3016" s="47" t="n">
        <f aca="false">IF(OR($A3016="",C3016=""),0,IF(COUNTIF($C$2:C3016,C3016)=1,SUMIF($C$2:$C$5001,C3016,$H$2:$H$5001)+ROW()/10000000,0))</f>
        <v>0</v>
      </c>
    </row>
    <row r="3017" customFormat="false" ht="15" hidden="false" customHeight="false" outlineLevel="0" collapsed="false">
      <c r="A3017" s="43"/>
      <c r="B3017" s="44"/>
      <c r="C3017" s="44"/>
      <c r="D3017" s="44"/>
      <c r="E3017" s="44"/>
      <c r="F3017" s="44"/>
      <c r="G3017" s="44"/>
      <c r="H3017" s="46" t="str">
        <f aca="false">IF($A3017="","",IF(OR(NOT(ISNUMBER(E3017)),NOT(ISNUMBER(F3017))),"",MAX(0,E3017)*F3017))</f>
        <v/>
      </c>
      <c r="I3017" s="46" t="str">
        <f aca="false">IF($A3017="","",SUMIF($A$2:$A$5001,$A3017,$H$2:$H$5001))</f>
        <v/>
      </c>
      <c r="J3017" s="47" t="n">
        <f aca="false">IF($A3017="",0,IF(COUNTIF($A$2:A3017,$A3017)=1,1,0))</f>
        <v>0</v>
      </c>
      <c r="K3017" s="47" t="n">
        <f aca="false">IF(J3017=1,N(I3017)+ROW()/10000000,0)</f>
        <v>0</v>
      </c>
      <c r="L3017" s="47" t="str">
        <f aca="false">IF(AND(J3017=1,N(I3017)&gt;0),SUMIF($K$2:$K$5001,"&gt;="&amp;K3017,$I$2:$I$5001)/MAX(1,SUM($H$2:$H$5001)),"")</f>
        <v/>
      </c>
      <c r="M3017" s="47" t="str">
        <f aca="false">IF($A3017="","",INDEX($L$2:$L$5001,MATCH($A3017,$A$2:$A$5001,0)))</f>
        <v/>
      </c>
      <c r="N3017" s="48" t="str">
        <f aca="false">IF($A3017="","",IF(N(M3017)=0,"–",IF(M3017&lt;=Start!$D$20,"A",IF(M3017&lt;=Start!$D$21,"B","C"))))</f>
        <v/>
      </c>
      <c r="O3017" s="48" t="str">
        <f aca="false">IF($A3017="","",IF(NOT(ISNUMBER(F3017)),"Wert fehlt; ",IF(F3017&lt;=0,"Wert ist 0; ",""))&amp;IF(NOT(ISNUMBER(E3017)),"Bestand fehlt; ",IF(E3017&lt;0,"Bestand negativ; ",IF(E3017=0,"Nullbestand; ","")))&amp;IF(D3017="","Warengruppe fehlt; ","")&amp;IF(B3017="","Bezeichnung fehlt; ","")&amp;IF(COUNTIFS($A$2:$A$5001,$A3017,$C$2:$C$5001,C3017)&gt;1,"Artikel doppelt im selben Lager; ",""))</f>
        <v/>
      </c>
      <c r="P3017" s="47" t="n">
        <f aca="false">IF(OR($A3017="",D3017=""),0,IF(COUNTIF($D$2:D3017,D3017)=1,SUMIF($D$2:$D$5001,D3017,$H$2:$H$5001)+ROW()/10000000,0))</f>
        <v>0</v>
      </c>
      <c r="Q3017" s="47" t="n">
        <f aca="false">IF(OR($A3017="",C3017=""),0,IF(COUNTIF($C$2:C3017,C3017)=1,SUMIF($C$2:$C$5001,C3017,$H$2:$H$5001)+ROW()/10000000,0))</f>
        <v>0</v>
      </c>
    </row>
    <row r="3018" customFormat="false" ht="15" hidden="false" customHeight="false" outlineLevel="0" collapsed="false">
      <c r="A3018" s="43"/>
      <c r="B3018" s="44"/>
      <c r="C3018" s="44"/>
      <c r="D3018" s="44"/>
      <c r="E3018" s="44"/>
      <c r="F3018" s="44"/>
      <c r="G3018" s="44"/>
      <c r="H3018" s="46" t="str">
        <f aca="false">IF($A3018="","",IF(OR(NOT(ISNUMBER(E3018)),NOT(ISNUMBER(F3018))),"",MAX(0,E3018)*F3018))</f>
        <v/>
      </c>
      <c r="I3018" s="46" t="str">
        <f aca="false">IF($A3018="","",SUMIF($A$2:$A$5001,$A3018,$H$2:$H$5001))</f>
        <v/>
      </c>
      <c r="J3018" s="47" t="n">
        <f aca="false">IF($A3018="",0,IF(COUNTIF($A$2:A3018,$A3018)=1,1,0))</f>
        <v>0</v>
      </c>
      <c r="K3018" s="47" t="n">
        <f aca="false">IF(J3018=1,N(I3018)+ROW()/10000000,0)</f>
        <v>0</v>
      </c>
      <c r="L3018" s="47" t="str">
        <f aca="false">IF(AND(J3018=1,N(I3018)&gt;0),SUMIF($K$2:$K$5001,"&gt;="&amp;K3018,$I$2:$I$5001)/MAX(1,SUM($H$2:$H$5001)),"")</f>
        <v/>
      </c>
      <c r="M3018" s="47" t="str">
        <f aca="false">IF($A3018="","",INDEX($L$2:$L$5001,MATCH($A3018,$A$2:$A$5001,0)))</f>
        <v/>
      </c>
      <c r="N3018" s="48" t="str">
        <f aca="false">IF($A3018="","",IF(N(M3018)=0,"–",IF(M3018&lt;=Start!$D$20,"A",IF(M3018&lt;=Start!$D$21,"B","C"))))</f>
        <v/>
      </c>
      <c r="O3018" s="48" t="str">
        <f aca="false">IF($A3018="","",IF(NOT(ISNUMBER(F3018)),"Wert fehlt; ",IF(F3018&lt;=0,"Wert ist 0; ",""))&amp;IF(NOT(ISNUMBER(E3018)),"Bestand fehlt; ",IF(E3018&lt;0,"Bestand negativ; ",IF(E3018=0,"Nullbestand; ","")))&amp;IF(D3018="","Warengruppe fehlt; ","")&amp;IF(B3018="","Bezeichnung fehlt; ","")&amp;IF(COUNTIFS($A$2:$A$5001,$A3018,$C$2:$C$5001,C3018)&gt;1,"Artikel doppelt im selben Lager; ",""))</f>
        <v/>
      </c>
      <c r="P3018" s="47" t="n">
        <f aca="false">IF(OR($A3018="",D3018=""),0,IF(COUNTIF($D$2:D3018,D3018)=1,SUMIF($D$2:$D$5001,D3018,$H$2:$H$5001)+ROW()/10000000,0))</f>
        <v>0</v>
      </c>
      <c r="Q3018" s="47" t="n">
        <f aca="false">IF(OR($A3018="",C3018=""),0,IF(COUNTIF($C$2:C3018,C3018)=1,SUMIF($C$2:$C$5001,C3018,$H$2:$H$5001)+ROW()/10000000,0))</f>
        <v>0</v>
      </c>
    </row>
    <row r="3019" customFormat="false" ht="15" hidden="false" customHeight="false" outlineLevel="0" collapsed="false">
      <c r="A3019" s="43"/>
      <c r="B3019" s="44"/>
      <c r="C3019" s="44"/>
      <c r="D3019" s="44"/>
      <c r="E3019" s="44"/>
      <c r="F3019" s="44"/>
      <c r="G3019" s="44"/>
      <c r="H3019" s="46" t="str">
        <f aca="false">IF($A3019="","",IF(OR(NOT(ISNUMBER(E3019)),NOT(ISNUMBER(F3019))),"",MAX(0,E3019)*F3019))</f>
        <v/>
      </c>
      <c r="I3019" s="46" t="str">
        <f aca="false">IF($A3019="","",SUMIF($A$2:$A$5001,$A3019,$H$2:$H$5001))</f>
        <v/>
      </c>
      <c r="J3019" s="47" t="n">
        <f aca="false">IF($A3019="",0,IF(COUNTIF($A$2:A3019,$A3019)=1,1,0))</f>
        <v>0</v>
      </c>
      <c r="K3019" s="47" t="n">
        <f aca="false">IF(J3019=1,N(I3019)+ROW()/10000000,0)</f>
        <v>0</v>
      </c>
      <c r="L3019" s="47" t="str">
        <f aca="false">IF(AND(J3019=1,N(I3019)&gt;0),SUMIF($K$2:$K$5001,"&gt;="&amp;K3019,$I$2:$I$5001)/MAX(1,SUM($H$2:$H$5001)),"")</f>
        <v/>
      </c>
      <c r="M3019" s="47" t="str">
        <f aca="false">IF($A3019="","",INDEX($L$2:$L$5001,MATCH($A3019,$A$2:$A$5001,0)))</f>
        <v/>
      </c>
      <c r="N3019" s="48" t="str">
        <f aca="false">IF($A3019="","",IF(N(M3019)=0,"–",IF(M3019&lt;=Start!$D$20,"A",IF(M3019&lt;=Start!$D$21,"B","C"))))</f>
        <v/>
      </c>
      <c r="O3019" s="48" t="str">
        <f aca="false">IF($A3019="","",IF(NOT(ISNUMBER(F3019)),"Wert fehlt; ",IF(F3019&lt;=0,"Wert ist 0; ",""))&amp;IF(NOT(ISNUMBER(E3019)),"Bestand fehlt; ",IF(E3019&lt;0,"Bestand negativ; ",IF(E3019=0,"Nullbestand; ","")))&amp;IF(D3019="","Warengruppe fehlt; ","")&amp;IF(B3019="","Bezeichnung fehlt; ","")&amp;IF(COUNTIFS($A$2:$A$5001,$A3019,$C$2:$C$5001,C3019)&gt;1,"Artikel doppelt im selben Lager; ",""))</f>
        <v/>
      </c>
      <c r="P3019" s="47" t="n">
        <f aca="false">IF(OR($A3019="",D3019=""),0,IF(COUNTIF($D$2:D3019,D3019)=1,SUMIF($D$2:$D$5001,D3019,$H$2:$H$5001)+ROW()/10000000,0))</f>
        <v>0</v>
      </c>
      <c r="Q3019" s="47" t="n">
        <f aca="false">IF(OR($A3019="",C3019=""),0,IF(COUNTIF($C$2:C3019,C3019)=1,SUMIF($C$2:$C$5001,C3019,$H$2:$H$5001)+ROW()/10000000,0))</f>
        <v>0</v>
      </c>
    </row>
    <row r="3020" customFormat="false" ht="15" hidden="false" customHeight="false" outlineLevel="0" collapsed="false">
      <c r="A3020" s="43"/>
      <c r="B3020" s="44"/>
      <c r="C3020" s="44"/>
      <c r="D3020" s="44"/>
      <c r="E3020" s="44"/>
      <c r="F3020" s="44"/>
      <c r="G3020" s="44"/>
      <c r="H3020" s="46" t="str">
        <f aca="false">IF($A3020="","",IF(OR(NOT(ISNUMBER(E3020)),NOT(ISNUMBER(F3020))),"",MAX(0,E3020)*F3020))</f>
        <v/>
      </c>
      <c r="I3020" s="46" t="str">
        <f aca="false">IF($A3020="","",SUMIF($A$2:$A$5001,$A3020,$H$2:$H$5001))</f>
        <v/>
      </c>
      <c r="J3020" s="47" t="n">
        <f aca="false">IF($A3020="",0,IF(COUNTIF($A$2:A3020,$A3020)=1,1,0))</f>
        <v>0</v>
      </c>
      <c r="K3020" s="47" t="n">
        <f aca="false">IF(J3020=1,N(I3020)+ROW()/10000000,0)</f>
        <v>0</v>
      </c>
      <c r="L3020" s="47" t="str">
        <f aca="false">IF(AND(J3020=1,N(I3020)&gt;0),SUMIF($K$2:$K$5001,"&gt;="&amp;K3020,$I$2:$I$5001)/MAX(1,SUM($H$2:$H$5001)),"")</f>
        <v/>
      </c>
      <c r="M3020" s="47" t="str">
        <f aca="false">IF($A3020="","",INDEX($L$2:$L$5001,MATCH($A3020,$A$2:$A$5001,0)))</f>
        <v/>
      </c>
      <c r="N3020" s="48" t="str">
        <f aca="false">IF($A3020="","",IF(N(M3020)=0,"–",IF(M3020&lt;=Start!$D$20,"A",IF(M3020&lt;=Start!$D$21,"B","C"))))</f>
        <v/>
      </c>
      <c r="O3020" s="48" t="str">
        <f aca="false">IF($A3020="","",IF(NOT(ISNUMBER(F3020)),"Wert fehlt; ",IF(F3020&lt;=0,"Wert ist 0; ",""))&amp;IF(NOT(ISNUMBER(E3020)),"Bestand fehlt; ",IF(E3020&lt;0,"Bestand negativ; ",IF(E3020=0,"Nullbestand; ","")))&amp;IF(D3020="","Warengruppe fehlt; ","")&amp;IF(B3020="","Bezeichnung fehlt; ","")&amp;IF(COUNTIFS($A$2:$A$5001,$A3020,$C$2:$C$5001,C3020)&gt;1,"Artikel doppelt im selben Lager; ",""))</f>
        <v/>
      </c>
      <c r="P3020" s="47" t="n">
        <f aca="false">IF(OR($A3020="",D3020=""),0,IF(COUNTIF($D$2:D3020,D3020)=1,SUMIF($D$2:$D$5001,D3020,$H$2:$H$5001)+ROW()/10000000,0))</f>
        <v>0</v>
      </c>
      <c r="Q3020" s="47" t="n">
        <f aca="false">IF(OR($A3020="",C3020=""),0,IF(COUNTIF($C$2:C3020,C3020)=1,SUMIF($C$2:$C$5001,C3020,$H$2:$H$5001)+ROW()/10000000,0))</f>
        <v>0</v>
      </c>
    </row>
    <row r="3021" customFormat="false" ht="15" hidden="false" customHeight="false" outlineLevel="0" collapsed="false">
      <c r="A3021" s="43"/>
      <c r="B3021" s="44"/>
      <c r="C3021" s="44"/>
      <c r="D3021" s="44"/>
      <c r="E3021" s="44"/>
      <c r="F3021" s="44"/>
      <c r="G3021" s="44"/>
      <c r="H3021" s="46" t="str">
        <f aca="false">IF($A3021="","",IF(OR(NOT(ISNUMBER(E3021)),NOT(ISNUMBER(F3021))),"",MAX(0,E3021)*F3021))</f>
        <v/>
      </c>
      <c r="I3021" s="46" t="str">
        <f aca="false">IF($A3021="","",SUMIF($A$2:$A$5001,$A3021,$H$2:$H$5001))</f>
        <v/>
      </c>
      <c r="J3021" s="47" t="n">
        <f aca="false">IF($A3021="",0,IF(COUNTIF($A$2:A3021,$A3021)=1,1,0))</f>
        <v>0</v>
      </c>
      <c r="K3021" s="47" t="n">
        <f aca="false">IF(J3021=1,N(I3021)+ROW()/10000000,0)</f>
        <v>0</v>
      </c>
      <c r="L3021" s="47" t="str">
        <f aca="false">IF(AND(J3021=1,N(I3021)&gt;0),SUMIF($K$2:$K$5001,"&gt;="&amp;K3021,$I$2:$I$5001)/MAX(1,SUM($H$2:$H$5001)),"")</f>
        <v/>
      </c>
      <c r="M3021" s="47" t="str">
        <f aca="false">IF($A3021="","",INDEX($L$2:$L$5001,MATCH($A3021,$A$2:$A$5001,0)))</f>
        <v/>
      </c>
      <c r="N3021" s="48" t="str">
        <f aca="false">IF($A3021="","",IF(N(M3021)=0,"–",IF(M3021&lt;=Start!$D$20,"A",IF(M3021&lt;=Start!$D$21,"B","C"))))</f>
        <v/>
      </c>
      <c r="O3021" s="48" t="str">
        <f aca="false">IF($A3021="","",IF(NOT(ISNUMBER(F3021)),"Wert fehlt; ",IF(F3021&lt;=0,"Wert ist 0; ",""))&amp;IF(NOT(ISNUMBER(E3021)),"Bestand fehlt; ",IF(E3021&lt;0,"Bestand negativ; ",IF(E3021=0,"Nullbestand; ","")))&amp;IF(D3021="","Warengruppe fehlt; ","")&amp;IF(B3021="","Bezeichnung fehlt; ","")&amp;IF(COUNTIFS($A$2:$A$5001,$A3021,$C$2:$C$5001,C3021)&gt;1,"Artikel doppelt im selben Lager; ",""))</f>
        <v/>
      </c>
      <c r="P3021" s="47" t="n">
        <f aca="false">IF(OR($A3021="",D3021=""),0,IF(COUNTIF($D$2:D3021,D3021)=1,SUMIF($D$2:$D$5001,D3021,$H$2:$H$5001)+ROW()/10000000,0))</f>
        <v>0</v>
      </c>
      <c r="Q3021" s="47" t="n">
        <f aca="false">IF(OR($A3021="",C3021=""),0,IF(COUNTIF($C$2:C3021,C3021)=1,SUMIF($C$2:$C$5001,C3021,$H$2:$H$5001)+ROW()/10000000,0))</f>
        <v>0</v>
      </c>
    </row>
    <row r="3022" customFormat="false" ht="15" hidden="false" customHeight="false" outlineLevel="0" collapsed="false">
      <c r="A3022" s="43"/>
      <c r="B3022" s="44"/>
      <c r="C3022" s="44"/>
      <c r="D3022" s="44"/>
      <c r="E3022" s="44"/>
      <c r="F3022" s="44"/>
      <c r="G3022" s="44"/>
      <c r="H3022" s="46" t="str">
        <f aca="false">IF($A3022="","",IF(OR(NOT(ISNUMBER(E3022)),NOT(ISNUMBER(F3022))),"",MAX(0,E3022)*F3022))</f>
        <v/>
      </c>
      <c r="I3022" s="46" t="str">
        <f aca="false">IF($A3022="","",SUMIF($A$2:$A$5001,$A3022,$H$2:$H$5001))</f>
        <v/>
      </c>
      <c r="J3022" s="47" t="n">
        <f aca="false">IF($A3022="",0,IF(COUNTIF($A$2:A3022,$A3022)=1,1,0))</f>
        <v>0</v>
      </c>
      <c r="K3022" s="47" t="n">
        <f aca="false">IF(J3022=1,N(I3022)+ROW()/10000000,0)</f>
        <v>0</v>
      </c>
      <c r="L3022" s="47" t="str">
        <f aca="false">IF(AND(J3022=1,N(I3022)&gt;0),SUMIF($K$2:$K$5001,"&gt;="&amp;K3022,$I$2:$I$5001)/MAX(1,SUM($H$2:$H$5001)),"")</f>
        <v/>
      </c>
      <c r="M3022" s="47" t="str">
        <f aca="false">IF($A3022="","",INDEX($L$2:$L$5001,MATCH($A3022,$A$2:$A$5001,0)))</f>
        <v/>
      </c>
      <c r="N3022" s="48" t="str">
        <f aca="false">IF($A3022="","",IF(N(M3022)=0,"–",IF(M3022&lt;=Start!$D$20,"A",IF(M3022&lt;=Start!$D$21,"B","C"))))</f>
        <v/>
      </c>
      <c r="O3022" s="48" t="str">
        <f aca="false">IF($A3022="","",IF(NOT(ISNUMBER(F3022)),"Wert fehlt; ",IF(F3022&lt;=0,"Wert ist 0; ",""))&amp;IF(NOT(ISNUMBER(E3022)),"Bestand fehlt; ",IF(E3022&lt;0,"Bestand negativ; ",IF(E3022=0,"Nullbestand; ","")))&amp;IF(D3022="","Warengruppe fehlt; ","")&amp;IF(B3022="","Bezeichnung fehlt; ","")&amp;IF(COUNTIFS($A$2:$A$5001,$A3022,$C$2:$C$5001,C3022)&gt;1,"Artikel doppelt im selben Lager; ",""))</f>
        <v/>
      </c>
      <c r="P3022" s="47" t="n">
        <f aca="false">IF(OR($A3022="",D3022=""),0,IF(COUNTIF($D$2:D3022,D3022)=1,SUMIF($D$2:$D$5001,D3022,$H$2:$H$5001)+ROW()/10000000,0))</f>
        <v>0</v>
      </c>
      <c r="Q3022" s="47" t="n">
        <f aca="false">IF(OR($A3022="",C3022=""),0,IF(COUNTIF($C$2:C3022,C3022)=1,SUMIF($C$2:$C$5001,C3022,$H$2:$H$5001)+ROW()/10000000,0))</f>
        <v>0</v>
      </c>
    </row>
    <row r="3023" customFormat="false" ht="15" hidden="false" customHeight="false" outlineLevel="0" collapsed="false">
      <c r="A3023" s="43"/>
      <c r="B3023" s="44"/>
      <c r="C3023" s="44"/>
      <c r="D3023" s="44"/>
      <c r="E3023" s="44"/>
      <c r="F3023" s="44"/>
      <c r="G3023" s="44"/>
      <c r="H3023" s="46" t="str">
        <f aca="false">IF($A3023="","",IF(OR(NOT(ISNUMBER(E3023)),NOT(ISNUMBER(F3023))),"",MAX(0,E3023)*F3023))</f>
        <v/>
      </c>
      <c r="I3023" s="46" t="str">
        <f aca="false">IF($A3023="","",SUMIF($A$2:$A$5001,$A3023,$H$2:$H$5001))</f>
        <v/>
      </c>
      <c r="J3023" s="47" t="n">
        <f aca="false">IF($A3023="",0,IF(COUNTIF($A$2:A3023,$A3023)=1,1,0))</f>
        <v>0</v>
      </c>
      <c r="K3023" s="47" t="n">
        <f aca="false">IF(J3023=1,N(I3023)+ROW()/10000000,0)</f>
        <v>0</v>
      </c>
      <c r="L3023" s="47" t="str">
        <f aca="false">IF(AND(J3023=1,N(I3023)&gt;0),SUMIF($K$2:$K$5001,"&gt;="&amp;K3023,$I$2:$I$5001)/MAX(1,SUM($H$2:$H$5001)),"")</f>
        <v/>
      </c>
      <c r="M3023" s="47" t="str">
        <f aca="false">IF($A3023="","",INDEX($L$2:$L$5001,MATCH($A3023,$A$2:$A$5001,0)))</f>
        <v/>
      </c>
      <c r="N3023" s="48" t="str">
        <f aca="false">IF($A3023="","",IF(N(M3023)=0,"–",IF(M3023&lt;=Start!$D$20,"A",IF(M3023&lt;=Start!$D$21,"B","C"))))</f>
        <v/>
      </c>
      <c r="O3023" s="48" t="str">
        <f aca="false">IF($A3023="","",IF(NOT(ISNUMBER(F3023)),"Wert fehlt; ",IF(F3023&lt;=0,"Wert ist 0; ",""))&amp;IF(NOT(ISNUMBER(E3023)),"Bestand fehlt; ",IF(E3023&lt;0,"Bestand negativ; ",IF(E3023=0,"Nullbestand; ","")))&amp;IF(D3023="","Warengruppe fehlt; ","")&amp;IF(B3023="","Bezeichnung fehlt; ","")&amp;IF(COUNTIFS($A$2:$A$5001,$A3023,$C$2:$C$5001,C3023)&gt;1,"Artikel doppelt im selben Lager; ",""))</f>
        <v/>
      </c>
      <c r="P3023" s="47" t="n">
        <f aca="false">IF(OR($A3023="",D3023=""),0,IF(COUNTIF($D$2:D3023,D3023)=1,SUMIF($D$2:$D$5001,D3023,$H$2:$H$5001)+ROW()/10000000,0))</f>
        <v>0</v>
      </c>
      <c r="Q3023" s="47" t="n">
        <f aca="false">IF(OR($A3023="",C3023=""),0,IF(COUNTIF($C$2:C3023,C3023)=1,SUMIF($C$2:$C$5001,C3023,$H$2:$H$5001)+ROW()/10000000,0))</f>
        <v>0</v>
      </c>
    </row>
    <row r="3024" customFormat="false" ht="15" hidden="false" customHeight="false" outlineLevel="0" collapsed="false">
      <c r="A3024" s="43"/>
      <c r="B3024" s="44"/>
      <c r="C3024" s="44"/>
      <c r="D3024" s="44"/>
      <c r="E3024" s="44"/>
      <c r="F3024" s="44"/>
      <c r="G3024" s="44"/>
      <c r="H3024" s="46" t="str">
        <f aca="false">IF($A3024="","",IF(OR(NOT(ISNUMBER(E3024)),NOT(ISNUMBER(F3024))),"",MAX(0,E3024)*F3024))</f>
        <v/>
      </c>
      <c r="I3024" s="46" t="str">
        <f aca="false">IF($A3024="","",SUMIF($A$2:$A$5001,$A3024,$H$2:$H$5001))</f>
        <v/>
      </c>
      <c r="J3024" s="47" t="n">
        <f aca="false">IF($A3024="",0,IF(COUNTIF($A$2:A3024,$A3024)=1,1,0))</f>
        <v>0</v>
      </c>
      <c r="K3024" s="47" t="n">
        <f aca="false">IF(J3024=1,N(I3024)+ROW()/10000000,0)</f>
        <v>0</v>
      </c>
      <c r="L3024" s="47" t="str">
        <f aca="false">IF(AND(J3024=1,N(I3024)&gt;0),SUMIF($K$2:$K$5001,"&gt;="&amp;K3024,$I$2:$I$5001)/MAX(1,SUM($H$2:$H$5001)),"")</f>
        <v/>
      </c>
      <c r="M3024" s="47" t="str">
        <f aca="false">IF($A3024="","",INDEX($L$2:$L$5001,MATCH($A3024,$A$2:$A$5001,0)))</f>
        <v/>
      </c>
      <c r="N3024" s="48" t="str">
        <f aca="false">IF($A3024="","",IF(N(M3024)=0,"–",IF(M3024&lt;=Start!$D$20,"A",IF(M3024&lt;=Start!$D$21,"B","C"))))</f>
        <v/>
      </c>
      <c r="O3024" s="48" t="str">
        <f aca="false">IF($A3024="","",IF(NOT(ISNUMBER(F3024)),"Wert fehlt; ",IF(F3024&lt;=0,"Wert ist 0; ",""))&amp;IF(NOT(ISNUMBER(E3024)),"Bestand fehlt; ",IF(E3024&lt;0,"Bestand negativ; ",IF(E3024=0,"Nullbestand; ","")))&amp;IF(D3024="","Warengruppe fehlt; ","")&amp;IF(B3024="","Bezeichnung fehlt; ","")&amp;IF(COUNTIFS($A$2:$A$5001,$A3024,$C$2:$C$5001,C3024)&gt;1,"Artikel doppelt im selben Lager; ",""))</f>
        <v/>
      </c>
      <c r="P3024" s="47" t="n">
        <f aca="false">IF(OR($A3024="",D3024=""),0,IF(COUNTIF($D$2:D3024,D3024)=1,SUMIF($D$2:$D$5001,D3024,$H$2:$H$5001)+ROW()/10000000,0))</f>
        <v>0</v>
      </c>
      <c r="Q3024" s="47" t="n">
        <f aca="false">IF(OR($A3024="",C3024=""),0,IF(COUNTIF($C$2:C3024,C3024)=1,SUMIF($C$2:$C$5001,C3024,$H$2:$H$5001)+ROW()/10000000,0))</f>
        <v>0</v>
      </c>
    </row>
    <row r="3025" customFormat="false" ht="15" hidden="false" customHeight="false" outlineLevel="0" collapsed="false">
      <c r="A3025" s="43"/>
      <c r="B3025" s="44"/>
      <c r="C3025" s="44"/>
      <c r="D3025" s="44"/>
      <c r="E3025" s="44"/>
      <c r="F3025" s="44"/>
      <c r="G3025" s="44"/>
      <c r="H3025" s="46" t="str">
        <f aca="false">IF($A3025="","",IF(OR(NOT(ISNUMBER(E3025)),NOT(ISNUMBER(F3025))),"",MAX(0,E3025)*F3025))</f>
        <v/>
      </c>
      <c r="I3025" s="46" t="str">
        <f aca="false">IF($A3025="","",SUMIF($A$2:$A$5001,$A3025,$H$2:$H$5001))</f>
        <v/>
      </c>
      <c r="J3025" s="47" t="n">
        <f aca="false">IF($A3025="",0,IF(COUNTIF($A$2:A3025,$A3025)=1,1,0))</f>
        <v>0</v>
      </c>
      <c r="K3025" s="47" t="n">
        <f aca="false">IF(J3025=1,N(I3025)+ROW()/10000000,0)</f>
        <v>0</v>
      </c>
      <c r="L3025" s="47" t="str">
        <f aca="false">IF(AND(J3025=1,N(I3025)&gt;0),SUMIF($K$2:$K$5001,"&gt;="&amp;K3025,$I$2:$I$5001)/MAX(1,SUM($H$2:$H$5001)),"")</f>
        <v/>
      </c>
      <c r="M3025" s="47" t="str">
        <f aca="false">IF($A3025="","",INDEX($L$2:$L$5001,MATCH($A3025,$A$2:$A$5001,0)))</f>
        <v/>
      </c>
      <c r="N3025" s="48" t="str">
        <f aca="false">IF($A3025="","",IF(N(M3025)=0,"–",IF(M3025&lt;=Start!$D$20,"A",IF(M3025&lt;=Start!$D$21,"B","C"))))</f>
        <v/>
      </c>
      <c r="O3025" s="48" t="str">
        <f aca="false">IF($A3025="","",IF(NOT(ISNUMBER(F3025)),"Wert fehlt; ",IF(F3025&lt;=0,"Wert ist 0; ",""))&amp;IF(NOT(ISNUMBER(E3025)),"Bestand fehlt; ",IF(E3025&lt;0,"Bestand negativ; ",IF(E3025=0,"Nullbestand; ","")))&amp;IF(D3025="","Warengruppe fehlt; ","")&amp;IF(B3025="","Bezeichnung fehlt; ","")&amp;IF(COUNTIFS($A$2:$A$5001,$A3025,$C$2:$C$5001,C3025)&gt;1,"Artikel doppelt im selben Lager; ",""))</f>
        <v/>
      </c>
      <c r="P3025" s="47" t="n">
        <f aca="false">IF(OR($A3025="",D3025=""),0,IF(COUNTIF($D$2:D3025,D3025)=1,SUMIF($D$2:$D$5001,D3025,$H$2:$H$5001)+ROW()/10000000,0))</f>
        <v>0</v>
      </c>
      <c r="Q3025" s="47" t="n">
        <f aca="false">IF(OR($A3025="",C3025=""),0,IF(COUNTIF($C$2:C3025,C3025)=1,SUMIF($C$2:$C$5001,C3025,$H$2:$H$5001)+ROW()/10000000,0))</f>
        <v>0</v>
      </c>
    </row>
    <row r="3026" customFormat="false" ht="15" hidden="false" customHeight="false" outlineLevel="0" collapsed="false">
      <c r="A3026" s="43"/>
      <c r="B3026" s="44"/>
      <c r="C3026" s="44"/>
      <c r="D3026" s="44"/>
      <c r="E3026" s="44"/>
      <c r="F3026" s="44"/>
      <c r="G3026" s="44"/>
      <c r="H3026" s="46" t="str">
        <f aca="false">IF($A3026="","",IF(OR(NOT(ISNUMBER(E3026)),NOT(ISNUMBER(F3026))),"",MAX(0,E3026)*F3026))</f>
        <v/>
      </c>
      <c r="I3026" s="46" t="str">
        <f aca="false">IF($A3026="","",SUMIF($A$2:$A$5001,$A3026,$H$2:$H$5001))</f>
        <v/>
      </c>
      <c r="J3026" s="47" t="n">
        <f aca="false">IF($A3026="",0,IF(COUNTIF($A$2:A3026,$A3026)=1,1,0))</f>
        <v>0</v>
      </c>
      <c r="K3026" s="47" t="n">
        <f aca="false">IF(J3026=1,N(I3026)+ROW()/10000000,0)</f>
        <v>0</v>
      </c>
      <c r="L3026" s="47" t="str">
        <f aca="false">IF(AND(J3026=1,N(I3026)&gt;0),SUMIF($K$2:$K$5001,"&gt;="&amp;K3026,$I$2:$I$5001)/MAX(1,SUM($H$2:$H$5001)),"")</f>
        <v/>
      </c>
      <c r="M3026" s="47" t="str">
        <f aca="false">IF($A3026="","",INDEX($L$2:$L$5001,MATCH($A3026,$A$2:$A$5001,0)))</f>
        <v/>
      </c>
      <c r="N3026" s="48" t="str">
        <f aca="false">IF($A3026="","",IF(N(M3026)=0,"–",IF(M3026&lt;=Start!$D$20,"A",IF(M3026&lt;=Start!$D$21,"B","C"))))</f>
        <v/>
      </c>
      <c r="O3026" s="48" t="str">
        <f aca="false">IF($A3026="","",IF(NOT(ISNUMBER(F3026)),"Wert fehlt; ",IF(F3026&lt;=0,"Wert ist 0; ",""))&amp;IF(NOT(ISNUMBER(E3026)),"Bestand fehlt; ",IF(E3026&lt;0,"Bestand negativ; ",IF(E3026=0,"Nullbestand; ","")))&amp;IF(D3026="","Warengruppe fehlt; ","")&amp;IF(B3026="","Bezeichnung fehlt; ","")&amp;IF(COUNTIFS($A$2:$A$5001,$A3026,$C$2:$C$5001,C3026)&gt;1,"Artikel doppelt im selben Lager; ",""))</f>
        <v/>
      </c>
      <c r="P3026" s="47" t="n">
        <f aca="false">IF(OR($A3026="",D3026=""),0,IF(COUNTIF($D$2:D3026,D3026)=1,SUMIF($D$2:$D$5001,D3026,$H$2:$H$5001)+ROW()/10000000,0))</f>
        <v>0</v>
      </c>
      <c r="Q3026" s="47" t="n">
        <f aca="false">IF(OR($A3026="",C3026=""),0,IF(COUNTIF($C$2:C3026,C3026)=1,SUMIF($C$2:$C$5001,C3026,$H$2:$H$5001)+ROW()/10000000,0))</f>
        <v>0</v>
      </c>
    </row>
    <row r="3027" customFormat="false" ht="15" hidden="false" customHeight="false" outlineLevel="0" collapsed="false">
      <c r="A3027" s="43"/>
      <c r="B3027" s="44"/>
      <c r="C3027" s="44"/>
      <c r="D3027" s="44"/>
      <c r="E3027" s="44"/>
      <c r="F3027" s="44"/>
      <c r="G3027" s="44"/>
      <c r="H3027" s="46" t="str">
        <f aca="false">IF($A3027="","",IF(OR(NOT(ISNUMBER(E3027)),NOT(ISNUMBER(F3027))),"",MAX(0,E3027)*F3027))</f>
        <v/>
      </c>
      <c r="I3027" s="46" t="str">
        <f aca="false">IF($A3027="","",SUMIF($A$2:$A$5001,$A3027,$H$2:$H$5001))</f>
        <v/>
      </c>
      <c r="J3027" s="47" t="n">
        <f aca="false">IF($A3027="",0,IF(COUNTIF($A$2:A3027,$A3027)=1,1,0))</f>
        <v>0</v>
      </c>
      <c r="K3027" s="47" t="n">
        <f aca="false">IF(J3027=1,N(I3027)+ROW()/10000000,0)</f>
        <v>0</v>
      </c>
      <c r="L3027" s="47" t="str">
        <f aca="false">IF(AND(J3027=1,N(I3027)&gt;0),SUMIF($K$2:$K$5001,"&gt;="&amp;K3027,$I$2:$I$5001)/MAX(1,SUM($H$2:$H$5001)),"")</f>
        <v/>
      </c>
      <c r="M3027" s="47" t="str">
        <f aca="false">IF($A3027="","",INDEX($L$2:$L$5001,MATCH($A3027,$A$2:$A$5001,0)))</f>
        <v/>
      </c>
      <c r="N3027" s="48" t="str">
        <f aca="false">IF($A3027="","",IF(N(M3027)=0,"–",IF(M3027&lt;=Start!$D$20,"A",IF(M3027&lt;=Start!$D$21,"B","C"))))</f>
        <v/>
      </c>
      <c r="O3027" s="48" t="str">
        <f aca="false">IF($A3027="","",IF(NOT(ISNUMBER(F3027)),"Wert fehlt; ",IF(F3027&lt;=0,"Wert ist 0; ",""))&amp;IF(NOT(ISNUMBER(E3027)),"Bestand fehlt; ",IF(E3027&lt;0,"Bestand negativ; ",IF(E3027=0,"Nullbestand; ","")))&amp;IF(D3027="","Warengruppe fehlt; ","")&amp;IF(B3027="","Bezeichnung fehlt; ","")&amp;IF(COUNTIFS($A$2:$A$5001,$A3027,$C$2:$C$5001,C3027)&gt;1,"Artikel doppelt im selben Lager; ",""))</f>
        <v/>
      </c>
      <c r="P3027" s="47" t="n">
        <f aca="false">IF(OR($A3027="",D3027=""),0,IF(COUNTIF($D$2:D3027,D3027)=1,SUMIF($D$2:$D$5001,D3027,$H$2:$H$5001)+ROW()/10000000,0))</f>
        <v>0</v>
      </c>
      <c r="Q3027" s="47" t="n">
        <f aca="false">IF(OR($A3027="",C3027=""),0,IF(COUNTIF($C$2:C3027,C3027)=1,SUMIF($C$2:$C$5001,C3027,$H$2:$H$5001)+ROW()/10000000,0))</f>
        <v>0</v>
      </c>
    </row>
    <row r="3028" customFormat="false" ht="15" hidden="false" customHeight="false" outlineLevel="0" collapsed="false">
      <c r="A3028" s="43"/>
      <c r="B3028" s="44"/>
      <c r="C3028" s="44"/>
      <c r="D3028" s="44"/>
      <c r="E3028" s="44"/>
      <c r="F3028" s="44"/>
      <c r="G3028" s="44"/>
      <c r="H3028" s="46" t="str">
        <f aca="false">IF($A3028="","",IF(OR(NOT(ISNUMBER(E3028)),NOT(ISNUMBER(F3028))),"",MAX(0,E3028)*F3028))</f>
        <v/>
      </c>
      <c r="I3028" s="46" t="str">
        <f aca="false">IF($A3028="","",SUMIF($A$2:$A$5001,$A3028,$H$2:$H$5001))</f>
        <v/>
      </c>
      <c r="J3028" s="47" t="n">
        <f aca="false">IF($A3028="",0,IF(COUNTIF($A$2:A3028,$A3028)=1,1,0))</f>
        <v>0</v>
      </c>
      <c r="K3028" s="47" t="n">
        <f aca="false">IF(J3028=1,N(I3028)+ROW()/10000000,0)</f>
        <v>0</v>
      </c>
      <c r="L3028" s="47" t="str">
        <f aca="false">IF(AND(J3028=1,N(I3028)&gt;0),SUMIF($K$2:$K$5001,"&gt;="&amp;K3028,$I$2:$I$5001)/MAX(1,SUM($H$2:$H$5001)),"")</f>
        <v/>
      </c>
      <c r="M3028" s="47" t="str">
        <f aca="false">IF($A3028="","",INDEX($L$2:$L$5001,MATCH($A3028,$A$2:$A$5001,0)))</f>
        <v/>
      </c>
      <c r="N3028" s="48" t="str">
        <f aca="false">IF($A3028="","",IF(N(M3028)=0,"–",IF(M3028&lt;=Start!$D$20,"A",IF(M3028&lt;=Start!$D$21,"B","C"))))</f>
        <v/>
      </c>
      <c r="O3028" s="48" t="str">
        <f aca="false">IF($A3028="","",IF(NOT(ISNUMBER(F3028)),"Wert fehlt; ",IF(F3028&lt;=0,"Wert ist 0; ",""))&amp;IF(NOT(ISNUMBER(E3028)),"Bestand fehlt; ",IF(E3028&lt;0,"Bestand negativ; ",IF(E3028=0,"Nullbestand; ","")))&amp;IF(D3028="","Warengruppe fehlt; ","")&amp;IF(B3028="","Bezeichnung fehlt; ","")&amp;IF(COUNTIFS($A$2:$A$5001,$A3028,$C$2:$C$5001,C3028)&gt;1,"Artikel doppelt im selben Lager; ",""))</f>
        <v/>
      </c>
      <c r="P3028" s="47" t="n">
        <f aca="false">IF(OR($A3028="",D3028=""),0,IF(COUNTIF($D$2:D3028,D3028)=1,SUMIF($D$2:$D$5001,D3028,$H$2:$H$5001)+ROW()/10000000,0))</f>
        <v>0</v>
      </c>
      <c r="Q3028" s="47" t="n">
        <f aca="false">IF(OR($A3028="",C3028=""),0,IF(COUNTIF($C$2:C3028,C3028)=1,SUMIF($C$2:$C$5001,C3028,$H$2:$H$5001)+ROW()/10000000,0))</f>
        <v>0</v>
      </c>
    </row>
    <row r="3029" customFormat="false" ht="15" hidden="false" customHeight="false" outlineLevel="0" collapsed="false">
      <c r="A3029" s="43"/>
      <c r="B3029" s="44"/>
      <c r="C3029" s="44"/>
      <c r="D3029" s="44"/>
      <c r="E3029" s="44"/>
      <c r="F3029" s="44"/>
      <c r="G3029" s="44"/>
      <c r="H3029" s="46" t="str">
        <f aca="false">IF($A3029="","",IF(OR(NOT(ISNUMBER(E3029)),NOT(ISNUMBER(F3029))),"",MAX(0,E3029)*F3029))</f>
        <v/>
      </c>
      <c r="I3029" s="46" t="str">
        <f aca="false">IF($A3029="","",SUMIF($A$2:$A$5001,$A3029,$H$2:$H$5001))</f>
        <v/>
      </c>
      <c r="J3029" s="47" t="n">
        <f aca="false">IF($A3029="",0,IF(COUNTIF($A$2:A3029,$A3029)=1,1,0))</f>
        <v>0</v>
      </c>
      <c r="K3029" s="47" t="n">
        <f aca="false">IF(J3029=1,N(I3029)+ROW()/10000000,0)</f>
        <v>0</v>
      </c>
      <c r="L3029" s="47" t="str">
        <f aca="false">IF(AND(J3029=1,N(I3029)&gt;0),SUMIF($K$2:$K$5001,"&gt;="&amp;K3029,$I$2:$I$5001)/MAX(1,SUM($H$2:$H$5001)),"")</f>
        <v/>
      </c>
      <c r="M3029" s="47" t="str">
        <f aca="false">IF($A3029="","",INDEX($L$2:$L$5001,MATCH($A3029,$A$2:$A$5001,0)))</f>
        <v/>
      </c>
      <c r="N3029" s="48" t="str">
        <f aca="false">IF($A3029="","",IF(N(M3029)=0,"–",IF(M3029&lt;=Start!$D$20,"A",IF(M3029&lt;=Start!$D$21,"B","C"))))</f>
        <v/>
      </c>
      <c r="O3029" s="48" t="str">
        <f aca="false">IF($A3029="","",IF(NOT(ISNUMBER(F3029)),"Wert fehlt; ",IF(F3029&lt;=0,"Wert ist 0; ",""))&amp;IF(NOT(ISNUMBER(E3029)),"Bestand fehlt; ",IF(E3029&lt;0,"Bestand negativ; ",IF(E3029=0,"Nullbestand; ","")))&amp;IF(D3029="","Warengruppe fehlt; ","")&amp;IF(B3029="","Bezeichnung fehlt; ","")&amp;IF(COUNTIFS($A$2:$A$5001,$A3029,$C$2:$C$5001,C3029)&gt;1,"Artikel doppelt im selben Lager; ",""))</f>
        <v/>
      </c>
      <c r="P3029" s="47" t="n">
        <f aca="false">IF(OR($A3029="",D3029=""),0,IF(COUNTIF($D$2:D3029,D3029)=1,SUMIF($D$2:$D$5001,D3029,$H$2:$H$5001)+ROW()/10000000,0))</f>
        <v>0</v>
      </c>
      <c r="Q3029" s="47" t="n">
        <f aca="false">IF(OR($A3029="",C3029=""),0,IF(COUNTIF($C$2:C3029,C3029)=1,SUMIF($C$2:$C$5001,C3029,$H$2:$H$5001)+ROW()/10000000,0))</f>
        <v>0</v>
      </c>
    </row>
    <row r="3030" customFormat="false" ht="15" hidden="false" customHeight="false" outlineLevel="0" collapsed="false">
      <c r="A3030" s="43"/>
      <c r="B3030" s="44"/>
      <c r="C3030" s="44"/>
      <c r="D3030" s="44"/>
      <c r="E3030" s="44"/>
      <c r="F3030" s="44"/>
      <c r="G3030" s="44"/>
      <c r="H3030" s="46" t="str">
        <f aca="false">IF($A3030="","",IF(OR(NOT(ISNUMBER(E3030)),NOT(ISNUMBER(F3030))),"",MAX(0,E3030)*F3030))</f>
        <v/>
      </c>
      <c r="I3030" s="46" t="str">
        <f aca="false">IF($A3030="","",SUMIF($A$2:$A$5001,$A3030,$H$2:$H$5001))</f>
        <v/>
      </c>
      <c r="J3030" s="47" t="n">
        <f aca="false">IF($A3030="",0,IF(COUNTIF($A$2:A3030,$A3030)=1,1,0))</f>
        <v>0</v>
      </c>
      <c r="K3030" s="47" t="n">
        <f aca="false">IF(J3030=1,N(I3030)+ROW()/10000000,0)</f>
        <v>0</v>
      </c>
      <c r="L3030" s="47" t="str">
        <f aca="false">IF(AND(J3030=1,N(I3030)&gt;0),SUMIF($K$2:$K$5001,"&gt;="&amp;K3030,$I$2:$I$5001)/MAX(1,SUM($H$2:$H$5001)),"")</f>
        <v/>
      </c>
      <c r="M3030" s="47" t="str">
        <f aca="false">IF($A3030="","",INDEX($L$2:$L$5001,MATCH($A3030,$A$2:$A$5001,0)))</f>
        <v/>
      </c>
      <c r="N3030" s="48" t="str">
        <f aca="false">IF($A3030="","",IF(N(M3030)=0,"–",IF(M3030&lt;=Start!$D$20,"A",IF(M3030&lt;=Start!$D$21,"B","C"))))</f>
        <v/>
      </c>
      <c r="O3030" s="48" t="str">
        <f aca="false">IF($A3030="","",IF(NOT(ISNUMBER(F3030)),"Wert fehlt; ",IF(F3030&lt;=0,"Wert ist 0; ",""))&amp;IF(NOT(ISNUMBER(E3030)),"Bestand fehlt; ",IF(E3030&lt;0,"Bestand negativ; ",IF(E3030=0,"Nullbestand; ","")))&amp;IF(D3030="","Warengruppe fehlt; ","")&amp;IF(B3030="","Bezeichnung fehlt; ","")&amp;IF(COUNTIFS($A$2:$A$5001,$A3030,$C$2:$C$5001,C3030)&gt;1,"Artikel doppelt im selben Lager; ",""))</f>
        <v/>
      </c>
      <c r="P3030" s="47" t="n">
        <f aca="false">IF(OR($A3030="",D3030=""),0,IF(COUNTIF($D$2:D3030,D3030)=1,SUMIF($D$2:$D$5001,D3030,$H$2:$H$5001)+ROW()/10000000,0))</f>
        <v>0</v>
      </c>
      <c r="Q3030" s="47" t="n">
        <f aca="false">IF(OR($A3030="",C3030=""),0,IF(COUNTIF($C$2:C3030,C3030)=1,SUMIF($C$2:$C$5001,C3030,$H$2:$H$5001)+ROW()/10000000,0))</f>
        <v>0</v>
      </c>
    </row>
    <row r="3031" customFormat="false" ht="15" hidden="false" customHeight="false" outlineLevel="0" collapsed="false">
      <c r="A3031" s="43"/>
      <c r="B3031" s="44"/>
      <c r="C3031" s="44"/>
      <c r="D3031" s="44"/>
      <c r="E3031" s="44"/>
      <c r="F3031" s="44"/>
      <c r="G3031" s="44"/>
      <c r="H3031" s="46" t="str">
        <f aca="false">IF($A3031="","",IF(OR(NOT(ISNUMBER(E3031)),NOT(ISNUMBER(F3031))),"",MAX(0,E3031)*F3031))</f>
        <v/>
      </c>
      <c r="I3031" s="46" t="str">
        <f aca="false">IF($A3031="","",SUMIF($A$2:$A$5001,$A3031,$H$2:$H$5001))</f>
        <v/>
      </c>
      <c r="J3031" s="47" t="n">
        <f aca="false">IF($A3031="",0,IF(COUNTIF($A$2:A3031,$A3031)=1,1,0))</f>
        <v>0</v>
      </c>
      <c r="K3031" s="47" t="n">
        <f aca="false">IF(J3031=1,N(I3031)+ROW()/10000000,0)</f>
        <v>0</v>
      </c>
      <c r="L3031" s="47" t="str">
        <f aca="false">IF(AND(J3031=1,N(I3031)&gt;0),SUMIF($K$2:$K$5001,"&gt;="&amp;K3031,$I$2:$I$5001)/MAX(1,SUM($H$2:$H$5001)),"")</f>
        <v/>
      </c>
      <c r="M3031" s="47" t="str">
        <f aca="false">IF($A3031="","",INDEX($L$2:$L$5001,MATCH($A3031,$A$2:$A$5001,0)))</f>
        <v/>
      </c>
      <c r="N3031" s="48" t="str">
        <f aca="false">IF($A3031="","",IF(N(M3031)=0,"–",IF(M3031&lt;=Start!$D$20,"A",IF(M3031&lt;=Start!$D$21,"B","C"))))</f>
        <v/>
      </c>
      <c r="O3031" s="48" t="str">
        <f aca="false">IF($A3031="","",IF(NOT(ISNUMBER(F3031)),"Wert fehlt; ",IF(F3031&lt;=0,"Wert ist 0; ",""))&amp;IF(NOT(ISNUMBER(E3031)),"Bestand fehlt; ",IF(E3031&lt;0,"Bestand negativ; ",IF(E3031=0,"Nullbestand; ","")))&amp;IF(D3031="","Warengruppe fehlt; ","")&amp;IF(B3031="","Bezeichnung fehlt; ","")&amp;IF(COUNTIFS($A$2:$A$5001,$A3031,$C$2:$C$5001,C3031)&gt;1,"Artikel doppelt im selben Lager; ",""))</f>
        <v/>
      </c>
      <c r="P3031" s="47" t="n">
        <f aca="false">IF(OR($A3031="",D3031=""),0,IF(COUNTIF($D$2:D3031,D3031)=1,SUMIF($D$2:$D$5001,D3031,$H$2:$H$5001)+ROW()/10000000,0))</f>
        <v>0</v>
      </c>
      <c r="Q3031" s="47" t="n">
        <f aca="false">IF(OR($A3031="",C3031=""),0,IF(COUNTIF($C$2:C3031,C3031)=1,SUMIF($C$2:$C$5001,C3031,$H$2:$H$5001)+ROW()/10000000,0))</f>
        <v>0</v>
      </c>
    </row>
    <row r="3032" customFormat="false" ht="15" hidden="false" customHeight="false" outlineLevel="0" collapsed="false">
      <c r="A3032" s="43"/>
      <c r="B3032" s="44"/>
      <c r="C3032" s="44"/>
      <c r="D3032" s="44"/>
      <c r="E3032" s="44"/>
      <c r="F3032" s="44"/>
      <c r="G3032" s="44"/>
      <c r="H3032" s="46" t="str">
        <f aca="false">IF($A3032="","",IF(OR(NOT(ISNUMBER(E3032)),NOT(ISNUMBER(F3032))),"",MAX(0,E3032)*F3032))</f>
        <v/>
      </c>
      <c r="I3032" s="46" t="str">
        <f aca="false">IF($A3032="","",SUMIF($A$2:$A$5001,$A3032,$H$2:$H$5001))</f>
        <v/>
      </c>
      <c r="J3032" s="47" t="n">
        <f aca="false">IF($A3032="",0,IF(COUNTIF($A$2:A3032,$A3032)=1,1,0))</f>
        <v>0</v>
      </c>
      <c r="K3032" s="47" t="n">
        <f aca="false">IF(J3032=1,N(I3032)+ROW()/10000000,0)</f>
        <v>0</v>
      </c>
      <c r="L3032" s="47" t="str">
        <f aca="false">IF(AND(J3032=1,N(I3032)&gt;0),SUMIF($K$2:$K$5001,"&gt;="&amp;K3032,$I$2:$I$5001)/MAX(1,SUM($H$2:$H$5001)),"")</f>
        <v/>
      </c>
      <c r="M3032" s="47" t="str">
        <f aca="false">IF($A3032="","",INDEX($L$2:$L$5001,MATCH($A3032,$A$2:$A$5001,0)))</f>
        <v/>
      </c>
      <c r="N3032" s="48" t="str">
        <f aca="false">IF($A3032="","",IF(N(M3032)=0,"–",IF(M3032&lt;=Start!$D$20,"A",IF(M3032&lt;=Start!$D$21,"B","C"))))</f>
        <v/>
      </c>
      <c r="O3032" s="48" t="str">
        <f aca="false">IF($A3032="","",IF(NOT(ISNUMBER(F3032)),"Wert fehlt; ",IF(F3032&lt;=0,"Wert ist 0; ",""))&amp;IF(NOT(ISNUMBER(E3032)),"Bestand fehlt; ",IF(E3032&lt;0,"Bestand negativ; ",IF(E3032=0,"Nullbestand; ","")))&amp;IF(D3032="","Warengruppe fehlt; ","")&amp;IF(B3032="","Bezeichnung fehlt; ","")&amp;IF(COUNTIFS($A$2:$A$5001,$A3032,$C$2:$C$5001,C3032)&gt;1,"Artikel doppelt im selben Lager; ",""))</f>
        <v/>
      </c>
      <c r="P3032" s="47" t="n">
        <f aca="false">IF(OR($A3032="",D3032=""),0,IF(COUNTIF($D$2:D3032,D3032)=1,SUMIF($D$2:$D$5001,D3032,$H$2:$H$5001)+ROW()/10000000,0))</f>
        <v>0</v>
      </c>
      <c r="Q3032" s="47" t="n">
        <f aca="false">IF(OR($A3032="",C3032=""),0,IF(COUNTIF($C$2:C3032,C3032)=1,SUMIF($C$2:$C$5001,C3032,$H$2:$H$5001)+ROW()/10000000,0))</f>
        <v>0</v>
      </c>
    </row>
    <row r="3033" customFormat="false" ht="15" hidden="false" customHeight="false" outlineLevel="0" collapsed="false">
      <c r="A3033" s="43"/>
      <c r="B3033" s="44"/>
      <c r="C3033" s="44"/>
      <c r="D3033" s="44"/>
      <c r="E3033" s="44"/>
      <c r="F3033" s="44"/>
      <c r="G3033" s="44"/>
      <c r="H3033" s="46" t="str">
        <f aca="false">IF($A3033="","",IF(OR(NOT(ISNUMBER(E3033)),NOT(ISNUMBER(F3033))),"",MAX(0,E3033)*F3033))</f>
        <v/>
      </c>
      <c r="I3033" s="46" t="str">
        <f aca="false">IF($A3033="","",SUMIF($A$2:$A$5001,$A3033,$H$2:$H$5001))</f>
        <v/>
      </c>
      <c r="J3033" s="47" t="n">
        <f aca="false">IF($A3033="",0,IF(COUNTIF($A$2:A3033,$A3033)=1,1,0))</f>
        <v>0</v>
      </c>
      <c r="K3033" s="47" t="n">
        <f aca="false">IF(J3033=1,N(I3033)+ROW()/10000000,0)</f>
        <v>0</v>
      </c>
      <c r="L3033" s="47" t="str">
        <f aca="false">IF(AND(J3033=1,N(I3033)&gt;0),SUMIF($K$2:$K$5001,"&gt;="&amp;K3033,$I$2:$I$5001)/MAX(1,SUM($H$2:$H$5001)),"")</f>
        <v/>
      </c>
      <c r="M3033" s="47" t="str">
        <f aca="false">IF($A3033="","",INDEX($L$2:$L$5001,MATCH($A3033,$A$2:$A$5001,0)))</f>
        <v/>
      </c>
      <c r="N3033" s="48" t="str">
        <f aca="false">IF($A3033="","",IF(N(M3033)=0,"–",IF(M3033&lt;=Start!$D$20,"A",IF(M3033&lt;=Start!$D$21,"B","C"))))</f>
        <v/>
      </c>
      <c r="O3033" s="48" t="str">
        <f aca="false">IF($A3033="","",IF(NOT(ISNUMBER(F3033)),"Wert fehlt; ",IF(F3033&lt;=0,"Wert ist 0; ",""))&amp;IF(NOT(ISNUMBER(E3033)),"Bestand fehlt; ",IF(E3033&lt;0,"Bestand negativ; ",IF(E3033=0,"Nullbestand; ","")))&amp;IF(D3033="","Warengruppe fehlt; ","")&amp;IF(B3033="","Bezeichnung fehlt; ","")&amp;IF(COUNTIFS($A$2:$A$5001,$A3033,$C$2:$C$5001,C3033)&gt;1,"Artikel doppelt im selben Lager; ",""))</f>
        <v/>
      </c>
      <c r="P3033" s="47" t="n">
        <f aca="false">IF(OR($A3033="",D3033=""),0,IF(COUNTIF($D$2:D3033,D3033)=1,SUMIF($D$2:$D$5001,D3033,$H$2:$H$5001)+ROW()/10000000,0))</f>
        <v>0</v>
      </c>
      <c r="Q3033" s="47" t="n">
        <f aca="false">IF(OR($A3033="",C3033=""),0,IF(COUNTIF($C$2:C3033,C3033)=1,SUMIF($C$2:$C$5001,C3033,$H$2:$H$5001)+ROW()/10000000,0))</f>
        <v>0</v>
      </c>
    </row>
    <row r="3034" customFormat="false" ht="15" hidden="false" customHeight="false" outlineLevel="0" collapsed="false">
      <c r="A3034" s="43"/>
      <c r="B3034" s="44"/>
      <c r="C3034" s="44"/>
      <c r="D3034" s="44"/>
      <c r="E3034" s="44"/>
      <c r="F3034" s="44"/>
      <c r="G3034" s="44"/>
      <c r="H3034" s="46" t="str">
        <f aca="false">IF($A3034="","",IF(OR(NOT(ISNUMBER(E3034)),NOT(ISNUMBER(F3034))),"",MAX(0,E3034)*F3034))</f>
        <v/>
      </c>
      <c r="I3034" s="46" t="str">
        <f aca="false">IF($A3034="","",SUMIF($A$2:$A$5001,$A3034,$H$2:$H$5001))</f>
        <v/>
      </c>
      <c r="J3034" s="47" t="n">
        <f aca="false">IF($A3034="",0,IF(COUNTIF($A$2:A3034,$A3034)=1,1,0))</f>
        <v>0</v>
      </c>
      <c r="K3034" s="47" t="n">
        <f aca="false">IF(J3034=1,N(I3034)+ROW()/10000000,0)</f>
        <v>0</v>
      </c>
      <c r="L3034" s="47" t="str">
        <f aca="false">IF(AND(J3034=1,N(I3034)&gt;0),SUMIF($K$2:$K$5001,"&gt;="&amp;K3034,$I$2:$I$5001)/MAX(1,SUM($H$2:$H$5001)),"")</f>
        <v/>
      </c>
      <c r="M3034" s="47" t="str">
        <f aca="false">IF($A3034="","",INDEX($L$2:$L$5001,MATCH($A3034,$A$2:$A$5001,0)))</f>
        <v/>
      </c>
      <c r="N3034" s="48" t="str">
        <f aca="false">IF($A3034="","",IF(N(M3034)=0,"–",IF(M3034&lt;=Start!$D$20,"A",IF(M3034&lt;=Start!$D$21,"B","C"))))</f>
        <v/>
      </c>
      <c r="O3034" s="48" t="str">
        <f aca="false">IF($A3034="","",IF(NOT(ISNUMBER(F3034)),"Wert fehlt; ",IF(F3034&lt;=0,"Wert ist 0; ",""))&amp;IF(NOT(ISNUMBER(E3034)),"Bestand fehlt; ",IF(E3034&lt;0,"Bestand negativ; ",IF(E3034=0,"Nullbestand; ","")))&amp;IF(D3034="","Warengruppe fehlt; ","")&amp;IF(B3034="","Bezeichnung fehlt; ","")&amp;IF(COUNTIFS($A$2:$A$5001,$A3034,$C$2:$C$5001,C3034)&gt;1,"Artikel doppelt im selben Lager; ",""))</f>
        <v/>
      </c>
      <c r="P3034" s="47" t="n">
        <f aca="false">IF(OR($A3034="",D3034=""),0,IF(COUNTIF($D$2:D3034,D3034)=1,SUMIF($D$2:$D$5001,D3034,$H$2:$H$5001)+ROW()/10000000,0))</f>
        <v>0</v>
      </c>
      <c r="Q3034" s="47" t="n">
        <f aca="false">IF(OR($A3034="",C3034=""),0,IF(COUNTIF($C$2:C3034,C3034)=1,SUMIF($C$2:$C$5001,C3034,$H$2:$H$5001)+ROW()/10000000,0))</f>
        <v>0</v>
      </c>
    </row>
    <row r="3035" customFormat="false" ht="15" hidden="false" customHeight="false" outlineLevel="0" collapsed="false">
      <c r="A3035" s="43"/>
      <c r="B3035" s="44"/>
      <c r="C3035" s="44"/>
      <c r="D3035" s="44"/>
      <c r="E3035" s="44"/>
      <c r="F3035" s="44"/>
      <c r="G3035" s="44"/>
      <c r="H3035" s="46" t="str">
        <f aca="false">IF($A3035="","",IF(OR(NOT(ISNUMBER(E3035)),NOT(ISNUMBER(F3035))),"",MAX(0,E3035)*F3035))</f>
        <v/>
      </c>
      <c r="I3035" s="46" t="str">
        <f aca="false">IF($A3035="","",SUMIF($A$2:$A$5001,$A3035,$H$2:$H$5001))</f>
        <v/>
      </c>
      <c r="J3035" s="47" t="n">
        <f aca="false">IF($A3035="",0,IF(COUNTIF($A$2:A3035,$A3035)=1,1,0))</f>
        <v>0</v>
      </c>
      <c r="K3035" s="47" t="n">
        <f aca="false">IF(J3035=1,N(I3035)+ROW()/10000000,0)</f>
        <v>0</v>
      </c>
      <c r="L3035" s="47" t="str">
        <f aca="false">IF(AND(J3035=1,N(I3035)&gt;0),SUMIF($K$2:$K$5001,"&gt;="&amp;K3035,$I$2:$I$5001)/MAX(1,SUM($H$2:$H$5001)),"")</f>
        <v/>
      </c>
      <c r="M3035" s="47" t="str">
        <f aca="false">IF($A3035="","",INDEX($L$2:$L$5001,MATCH($A3035,$A$2:$A$5001,0)))</f>
        <v/>
      </c>
      <c r="N3035" s="48" t="str">
        <f aca="false">IF($A3035="","",IF(N(M3035)=0,"–",IF(M3035&lt;=Start!$D$20,"A",IF(M3035&lt;=Start!$D$21,"B","C"))))</f>
        <v/>
      </c>
      <c r="O3035" s="48" t="str">
        <f aca="false">IF($A3035="","",IF(NOT(ISNUMBER(F3035)),"Wert fehlt; ",IF(F3035&lt;=0,"Wert ist 0; ",""))&amp;IF(NOT(ISNUMBER(E3035)),"Bestand fehlt; ",IF(E3035&lt;0,"Bestand negativ; ",IF(E3035=0,"Nullbestand; ","")))&amp;IF(D3035="","Warengruppe fehlt; ","")&amp;IF(B3035="","Bezeichnung fehlt; ","")&amp;IF(COUNTIFS($A$2:$A$5001,$A3035,$C$2:$C$5001,C3035)&gt;1,"Artikel doppelt im selben Lager; ",""))</f>
        <v/>
      </c>
      <c r="P3035" s="47" t="n">
        <f aca="false">IF(OR($A3035="",D3035=""),0,IF(COUNTIF($D$2:D3035,D3035)=1,SUMIF($D$2:$D$5001,D3035,$H$2:$H$5001)+ROW()/10000000,0))</f>
        <v>0</v>
      </c>
      <c r="Q3035" s="47" t="n">
        <f aca="false">IF(OR($A3035="",C3035=""),0,IF(COUNTIF($C$2:C3035,C3035)=1,SUMIF($C$2:$C$5001,C3035,$H$2:$H$5001)+ROW()/10000000,0))</f>
        <v>0</v>
      </c>
    </row>
    <row r="3036" customFormat="false" ht="15" hidden="false" customHeight="false" outlineLevel="0" collapsed="false">
      <c r="A3036" s="43"/>
      <c r="B3036" s="44"/>
      <c r="C3036" s="44"/>
      <c r="D3036" s="44"/>
      <c r="E3036" s="44"/>
      <c r="F3036" s="44"/>
      <c r="G3036" s="44"/>
      <c r="H3036" s="46" t="str">
        <f aca="false">IF($A3036="","",IF(OR(NOT(ISNUMBER(E3036)),NOT(ISNUMBER(F3036))),"",MAX(0,E3036)*F3036))</f>
        <v/>
      </c>
      <c r="I3036" s="46" t="str">
        <f aca="false">IF($A3036="","",SUMIF($A$2:$A$5001,$A3036,$H$2:$H$5001))</f>
        <v/>
      </c>
      <c r="J3036" s="47" t="n">
        <f aca="false">IF($A3036="",0,IF(COUNTIF($A$2:A3036,$A3036)=1,1,0))</f>
        <v>0</v>
      </c>
      <c r="K3036" s="47" t="n">
        <f aca="false">IF(J3036=1,N(I3036)+ROW()/10000000,0)</f>
        <v>0</v>
      </c>
      <c r="L3036" s="47" t="str">
        <f aca="false">IF(AND(J3036=1,N(I3036)&gt;0),SUMIF($K$2:$K$5001,"&gt;="&amp;K3036,$I$2:$I$5001)/MAX(1,SUM($H$2:$H$5001)),"")</f>
        <v/>
      </c>
      <c r="M3036" s="47" t="str">
        <f aca="false">IF($A3036="","",INDEX($L$2:$L$5001,MATCH($A3036,$A$2:$A$5001,0)))</f>
        <v/>
      </c>
      <c r="N3036" s="48" t="str">
        <f aca="false">IF($A3036="","",IF(N(M3036)=0,"–",IF(M3036&lt;=Start!$D$20,"A",IF(M3036&lt;=Start!$D$21,"B","C"))))</f>
        <v/>
      </c>
      <c r="O3036" s="48" t="str">
        <f aca="false">IF($A3036="","",IF(NOT(ISNUMBER(F3036)),"Wert fehlt; ",IF(F3036&lt;=0,"Wert ist 0; ",""))&amp;IF(NOT(ISNUMBER(E3036)),"Bestand fehlt; ",IF(E3036&lt;0,"Bestand negativ; ",IF(E3036=0,"Nullbestand; ","")))&amp;IF(D3036="","Warengruppe fehlt; ","")&amp;IF(B3036="","Bezeichnung fehlt; ","")&amp;IF(COUNTIFS($A$2:$A$5001,$A3036,$C$2:$C$5001,C3036)&gt;1,"Artikel doppelt im selben Lager; ",""))</f>
        <v/>
      </c>
      <c r="P3036" s="47" t="n">
        <f aca="false">IF(OR($A3036="",D3036=""),0,IF(COUNTIF($D$2:D3036,D3036)=1,SUMIF($D$2:$D$5001,D3036,$H$2:$H$5001)+ROW()/10000000,0))</f>
        <v>0</v>
      </c>
      <c r="Q3036" s="47" t="n">
        <f aca="false">IF(OR($A3036="",C3036=""),0,IF(COUNTIF($C$2:C3036,C3036)=1,SUMIF($C$2:$C$5001,C3036,$H$2:$H$5001)+ROW()/10000000,0))</f>
        <v>0</v>
      </c>
    </row>
    <row r="3037" customFormat="false" ht="15" hidden="false" customHeight="false" outlineLevel="0" collapsed="false">
      <c r="A3037" s="43"/>
      <c r="B3037" s="44"/>
      <c r="C3037" s="44"/>
      <c r="D3037" s="44"/>
      <c r="E3037" s="44"/>
      <c r="F3037" s="44"/>
      <c r="G3037" s="44"/>
      <c r="H3037" s="46" t="str">
        <f aca="false">IF($A3037="","",IF(OR(NOT(ISNUMBER(E3037)),NOT(ISNUMBER(F3037))),"",MAX(0,E3037)*F3037))</f>
        <v/>
      </c>
      <c r="I3037" s="46" t="str">
        <f aca="false">IF($A3037="","",SUMIF($A$2:$A$5001,$A3037,$H$2:$H$5001))</f>
        <v/>
      </c>
      <c r="J3037" s="47" t="n">
        <f aca="false">IF($A3037="",0,IF(COUNTIF($A$2:A3037,$A3037)=1,1,0))</f>
        <v>0</v>
      </c>
      <c r="K3037" s="47" t="n">
        <f aca="false">IF(J3037=1,N(I3037)+ROW()/10000000,0)</f>
        <v>0</v>
      </c>
      <c r="L3037" s="47" t="str">
        <f aca="false">IF(AND(J3037=1,N(I3037)&gt;0),SUMIF($K$2:$K$5001,"&gt;="&amp;K3037,$I$2:$I$5001)/MAX(1,SUM($H$2:$H$5001)),"")</f>
        <v/>
      </c>
      <c r="M3037" s="47" t="str">
        <f aca="false">IF($A3037="","",INDEX($L$2:$L$5001,MATCH($A3037,$A$2:$A$5001,0)))</f>
        <v/>
      </c>
      <c r="N3037" s="48" t="str">
        <f aca="false">IF($A3037="","",IF(N(M3037)=0,"–",IF(M3037&lt;=Start!$D$20,"A",IF(M3037&lt;=Start!$D$21,"B","C"))))</f>
        <v/>
      </c>
      <c r="O3037" s="48" t="str">
        <f aca="false">IF($A3037="","",IF(NOT(ISNUMBER(F3037)),"Wert fehlt; ",IF(F3037&lt;=0,"Wert ist 0; ",""))&amp;IF(NOT(ISNUMBER(E3037)),"Bestand fehlt; ",IF(E3037&lt;0,"Bestand negativ; ",IF(E3037=0,"Nullbestand; ","")))&amp;IF(D3037="","Warengruppe fehlt; ","")&amp;IF(B3037="","Bezeichnung fehlt; ","")&amp;IF(COUNTIFS($A$2:$A$5001,$A3037,$C$2:$C$5001,C3037)&gt;1,"Artikel doppelt im selben Lager; ",""))</f>
        <v/>
      </c>
      <c r="P3037" s="47" t="n">
        <f aca="false">IF(OR($A3037="",D3037=""),0,IF(COUNTIF($D$2:D3037,D3037)=1,SUMIF($D$2:$D$5001,D3037,$H$2:$H$5001)+ROW()/10000000,0))</f>
        <v>0</v>
      </c>
      <c r="Q3037" s="47" t="n">
        <f aca="false">IF(OR($A3037="",C3037=""),0,IF(COUNTIF($C$2:C3037,C3037)=1,SUMIF($C$2:$C$5001,C3037,$H$2:$H$5001)+ROW()/10000000,0))</f>
        <v>0</v>
      </c>
    </row>
    <row r="3038" customFormat="false" ht="15" hidden="false" customHeight="false" outlineLevel="0" collapsed="false">
      <c r="A3038" s="43"/>
      <c r="B3038" s="44"/>
      <c r="C3038" s="44"/>
      <c r="D3038" s="44"/>
      <c r="E3038" s="44"/>
      <c r="F3038" s="44"/>
      <c r="G3038" s="44"/>
      <c r="H3038" s="46" t="str">
        <f aca="false">IF($A3038="","",IF(OR(NOT(ISNUMBER(E3038)),NOT(ISNUMBER(F3038))),"",MAX(0,E3038)*F3038))</f>
        <v/>
      </c>
      <c r="I3038" s="46" t="str">
        <f aca="false">IF($A3038="","",SUMIF($A$2:$A$5001,$A3038,$H$2:$H$5001))</f>
        <v/>
      </c>
      <c r="J3038" s="47" t="n">
        <f aca="false">IF($A3038="",0,IF(COUNTIF($A$2:A3038,$A3038)=1,1,0))</f>
        <v>0</v>
      </c>
      <c r="K3038" s="47" t="n">
        <f aca="false">IF(J3038=1,N(I3038)+ROW()/10000000,0)</f>
        <v>0</v>
      </c>
      <c r="L3038" s="47" t="str">
        <f aca="false">IF(AND(J3038=1,N(I3038)&gt;0),SUMIF($K$2:$K$5001,"&gt;="&amp;K3038,$I$2:$I$5001)/MAX(1,SUM($H$2:$H$5001)),"")</f>
        <v/>
      </c>
      <c r="M3038" s="47" t="str">
        <f aca="false">IF($A3038="","",INDEX($L$2:$L$5001,MATCH($A3038,$A$2:$A$5001,0)))</f>
        <v/>
      </c>
      <c r="N3038" s="48" t="str">
        <f aca="false">IF($A3038="","",IF(N(M3038)=0,"–",IF(M3038&lt;=Start!$D$20,"A",IF(M3038&lt;=Start!$D$21,"B","C"))))</f>
        <v/>
      </c>
      <c r="O3038" s="48" t="str">
        <f aca="false">IF($A3038="","",IF(NOT(ISNUMBER(F3038)),"Wert fehlt; ",IF(F3038&lt;=0,"Wert ist 0; ",""))&amp;IF(NOT(ISNUMBER(E3038)),"Bestand fehlt; ",IF(E3038&lt;0,"Bestand negativ; ",IF(E3038=0,"Nullbestand; ","")))&amp;IF(D3038="","Warengruppe fehlt; ","")&amp;IF(B3038="","Bezeichnung fehlt; ","")&amp;IF(COUNTIFS($A$2:$A$5001,$A3038,$C$2:$C$5001,C3038)&gt;1,"Artikel doppelt im selben Lager; ",""))</f>
        <v/>
      </c>
      <c r="P3038" s="47" t="n">
        <f aca="false">IF(OR($A3038="",D3038=""),0,IF(COUNTIF($D$2:D3038,D3038)=1,SUMIF($D$2:$D$5001,D3038,$H$2:$H$5001)+ROW()/10000000,0))</f>
        <v>0</v>
      </c>
      <c r="Q3038" s="47" t="n">
        <f aca="false">IF(OR($A3038="",C3038=""),0,IF(COUNTIF($C$2:C3038,C3038)=1,SUMIF($C$2:$C$5001,C3038,$H$2:$H$5001)+ROW()/10000000,0))</f>
        <v>0</v>
      </c>
    </row>
    <row r="3039" customFormat="false" ht="15" hidden="false" customHeight="false" outlineLevel="0" collapsed="false">
      <c r="A3039" s="43"/>
      <c r="B3039" s="44"/>
      <c r="C3039" s="44"/>
      <c r="D3039" s="44"/>
      <c r="E3039" s="44"/>
      <c r="F3039" s="44"/>
      <c r="G3039" s="44"/>
      <c r="H3039" s="46" t="str">
        <f aca="false">IF($A3039="","",IF(OR(NOT(ISNUMBER(E3039)),NOT(ISNUMBER(F3039))),"",MAX(0,E3039)*F3039))</f>
        <v/>
      </c>
      <c r="I3039" s="46" t="str">
        <f aca="false">IF($A3039="","",SUMIF($A$2:$A$5001,$A3039,$H$2:$H$5001))</f>
        <v/>
      </c>
      <c r="J3039" s="47" t="n">
        <f aca="false">IF($A3039="",0,IF(COUNTIF($A$2:A3039,$A3039)=1,1,0))</f>
        <v>0</v>
      </c>
      <c r="K3039" s="47" t="n">
        <f aca="false">IF(J3039=1,N(I3039)+ROW()/10000000,0)</f>
        <v>0</v>
      </c>
      <c r="L3039" s="47" t="str">
        <f aca="false">IF(AND(J3039=1,N(I3039)&gt;0),SUMIF($K$2:$K$5001,"&gt;="&amp;K3039,$I$2:$I$5001)/MAX(1,SUM($H$2:$H$5001)),"")</f>
        <v/>
      </c>
      <c r="M3039" s="47" t="str">
        <f aca="false">IF($A3039="","",INDEX($L$2:$L$5001,MATCH($A3039,$A$2:$A$5001,0)))</f>
        <v/>
      </c>
      <c r="N3039" s="48" t="str">
        <f aca="false">IF($A3039="","",IF(N(M3039)=0,"–",IF(M3039&lt;=Start!$D$20,"A",IF(M3039&lt;=Start!$D$21,"B","C"))))</f>
        <v/>
      </c>
      <c r="O3039" s="48" t="str">
        <f aca="false">IF($A3039="","",IF(NOT(ISNUMBER(F3039)),"Wert fehlt; ",IF(F3039&lt;=0,"Wert ist 0; ",""))&amp;IF(NOT(ISNUMBER(E3039)),"Bestand fehlt; ",IF(E3039&lt;0,"Bestand negativ; ",IF(E3039=0,"Nullbestand; ","")))&amp;IF(D3039="","Warengruppe fehlt; ","")&amp;IF(B3039="","Bezeichnung fehlt; ","")&amp;IF(COUNTIFS($A$2:$A$5001,$A3039,$C$2:$C$5001,C3039)&gt;1,"Artikel doppelt im selben Lager; ",""))</f>
        <v/>
      </c>
      <c r="P3039" s="47" t="n">
        <f aca="false">IF(OR($A3039="",D3039=""),0,IF(COUNTIF($D$2:D3039,D3039)=1,SUMIF($D$2:$D$5001,D3039,$H$2:$H$5001)+ROW()/10000000,0))</f>
        <v>0</v>
      </c>
      <c r="Q3039" s="47" t="n">
        <f aca="false">IF(OR($A3039="",C3039=""),0,IF(COUNTIF($C$2:C3039,C3039)=1,SUMIF($C$2:$C$5001,C3039,$H$2:$H$5001)+ROW()/10000000,0))</f>
        <v>0</v>
      </c>
    </row>
    <row r="3040" customFormat="false" ht="15" hidden="false" customHeight="false" outlineLevel="0" collapsed="false">
      <c r="A3040" s="43"/>
      <c r="B3040" s="44"/>
      <c r="C3040" s="44"/>
      <c r="D3040" s="44"/>
      <c r="E3040" s="44"/>
      <c r="F3040" s="44"/>
      <c r="G3040" s="44"/>
      <c r="H3040" s="46" t="str">
        <f aca="false">IF($A3040="","",IF(OR(NOT(ISNUMBER(E3040)),NOT(ISNUMBER(F3040))),"",MAX(0,E3040)*F3040))</f>
        <v/>
      </c>
      <c r="I3040" s="46" t="str">
        <f aca="false">IF($A3040="","",SUMIF($A$2:$A$5001,$A3040,$H$2:$H$5001))</f>
        <v/>
      </c>
      <c r="J3040" s="47" t="n">
        <f aca="false">IF($A3040="",0,IF(COUNTIF($A$2:A3040,$A3040)=1,1,0))</f>
        <v>0</v>
      </c>
      <c r="K3040" s="47" t="n">
        <f aca="false">IF(J3040=1,N(I3040)+ROW()/10000000,0)</f>
        <v>0</v>
      </c>
      <c r="L3040" s="47" t="str">
        <f aca="false">IF(AND(J3040=1,N(I3040)&gt;0),SUMIF($K$2:$K$5001,"&gt;="&amp;K3040,$I$2:$I$5001)/MAX(1,SUM($H$2:$H$5001)),"")</f>
        <v/>
      </c>
      <c r="M3040" s="47" t="str">
        <f aca="false">IF($A3040="","",INDEX($L$2:$L$5001,MATCH($A3040,$A$2:$A$5001,0)))</f>
        <v/>
      </c>
      <c r="N3040" s="48" t="str">
        <f aca="false">IF($A3040="","",IF(N(M3040)=0,"–",IF(M3040&lt;=Start!$D$20,"A",IF(M3040&lt;=Start!$D$21,"B","C"))))</f>
        <v/>
      </c>
      <c r="O3040" s="48" t="str">
        <f aca="false">IF($A3040="","",IF(NOT(ISNUMBER(F3040)),"Wert fehlt; ",IF(F3040&lt;=0,"Wert ist 0; ",""))&amp;IF(NOT(ISNUMBER(E3040)),"Bestand fehlt; ",IF(E3040&lt;0,"Bestand negativ; ",IF(E3040=0,"Nullbestand; ","")))&amp;IF(D3040="","Warengruppe fehlt; ","")&amp;IF(B3040="","Bezeichnung fehlt; ","")&amp;IF(COUNTIFS($A$2:$A$5001,$A3040,$C$2:$C$5001,C3040)&gt;1,"Artikel doppelt im selben Lager; ",""))</f>
        <v/>
      </c>
      <c r="P3040" s="47" t="n">
        <f aca="false">IF(OR($A3040="",D3040=""),0,IF(COUNTIF($D$2:D3040,D3040)=1,SUMIF($D$2:$D$5001,D3040,$H$2:$H$5001)+ROW()/10000000,0))</f>
        <v>0</v>
      </c>
      <c r="Q3040" s="47" t="n">
        <f aca="false">IF(OR($A3040="",C3040=""),0,IF(COUNTIF($C$2:C3040,C3040)=1,SUMIF($C$2:$C$5001,C3040,$H$2:$H$5001)+ROW()/10000000,0))</f>
        <v>0</v>
      </c>
    </row>
    <row r="3041" customFormat="false" ht="15" hidden="false" customHeight="false" outlineLevel="0" collapsed="false">
      <c r="A3041" s="43"/>
      <c r="B3041" s="44"/>
      <c r="C3041" s="44"/>
      <c r="D3041" s="44"/>
      <c r="E3041" s="44"/>
      <c r="F3041" s="44"/>
      <c r="G3041" s="44"/>
      <c r="H3041" s="46" t="str">
        <f aca="false">IF($A3041="","",IF(OR(NOT(ISNUMBER(E3041)),NOT(ISNUMBER(F3041))),"",MAX(0,E3041)*F3041))</f>
        <v/>
      </c>
      <c r="I3041" s="46" t="str">
        <f aca="false">IF($A3041="","",SUMIF($A$2:$A$5001,$A3041,$H$2:$H$5001))</f>
        <v/>
      </c>
      <c r="J3041" s="47" t="n">
        <f aca="false">IF($A3041="",0,IF(COUNTIF($A$2:A3041,$A3041)=1,1,0))</f>
        <v>0</v>
      </c>
      <c r="K3041" s="47" t="n">
        <f aca="false">IF(J3041=1,N(I3041)+ROW()/10000000,0)</f>
        <v>0</v>
      </c>
      <c r="L3041" s="47" t="str">
        <f aca="false">IF(AND(J3041=1,N(I3041)&gt;0),SUMIF($K$2:$K$5001,"&gt;="&amp;K3041,$I$2:$I$5001)/MAX(1,SUM($H$2:$H$5001)),"")</f>
        <v/>
      </c>
      <c r="M3041" s="47" t="str">
        <f aca="false">IF($A3041="","",INDEX($L$2:$L$5001,MATCH($A3041,$A$2:$A$5001,0)))</f>
        <v/>
      </c>
      <c r="N3041" s="48" t="str">
        <f aca="false">IF($A3041="","",IF(N(M3041)=0,"–",IF(M3041&lt;=Start!$D$20,"A",IF(M3041&lt;=Start!$D$21,"B","C"))))</f>
        <v/>
      </c>
      <c r="O3041" s="48" t="str">
        <f aca="false">IF($A3041="","",IF(NOT(ISNUMBER(F3041)),"Wert fehlt; ",IF(F3041&lt;=0,"Wert ist 0; ",""))&amp;IF(NOT(ISNUMBER(E3041)),"Bestand fehlt; ",IF(E3041&lt;0,"Bestand negativ; ",IF(E3041=0,"Nullbestand; ","")))&amp;IF(D3041="","Warengruppe fehlt; ","")&amp;IF(B3041="","Bezeichnung fehlt; ","")&amp;IF(COUNTIFS($A$2:$A$5001,$A3041,$C$2:$C$5001,C3041)&gt;1,"Artikel doppelt im selben Lager; ",""))</f>
        <v/>
      </c>
      <c r="P3041" s="47" t="n">
        <f aca="false">IF(OR($A3041="",D3041=""),0,IF(COUNTIF($D$2:D3041,D3041)=1,SUMIF($D$2:$D$5001,D3041,$H$2:$H$5001)+ROW()/10000000,0))</f>
        <v>0</v>
      </c>
      <c r="Q3041" s="47" t="n">
        <f aca="false">IF(OR($A3041="",C3041=""),0,IF(COUNTIF($C$2:C3041,C3041)=1,SUMIF($C$2:$C$5001,C3041,$H$2:$H$5001)+ROW()/10000000,0))</f>
        <v>0</v>
      </c>
    </row>
    <row r="3042" customFormat="false" ht="15" hidden="false" customHeight="false" outlineLevel="0" collapsed="false">
      <c r="A3042" s="43"/>
      <c r="B3042" s="44"/>
      <c r="C3042" s="44"/>
      <c r="D3042" s="44"/>
      <c r="E3042" s="44"/>
      <c r="F3042" s="44"/>
      <c r="G3042" s="44"/>
      <c r="H3042" s="46" t="str">
        <f aca="false">IF($A3042="","",IF(OR(NOT(ISNUMBER(E3042)),NOT(ISNUMBER(F3042))),"",MAX(0,E3042)*F3042))</f>
        <v/>
      </c>
      <c r="I3042" s="46" t="str">
        <f aca="false">IF($A3042="","",SUMIF($A$2:$A$5001,$A3042,$H$2:$H$5001))</f>
        <v/>
      </c>
      <c r="J3042" s="47" t="n">
        <f aca="false">IF($A3042="",0,IF(COUNTIF($A$2:A3042,$A3042)=1,1,0))</f>
        <v>0</v>
      </c>
      <c r="K3042" s="47" t="n">
        <f aca="false">IF(J3042=1,N(I3042)+ROW()/10000000,0)</f>
        <v>0</v>
      </c>
      <c r="L3042" s="47" t="str">
        <f aca="false">IF(AND(J3042=1,N(I3042)&gt;0),SUMIF($K$2:$K$5001,"&gt;="&amp;K3042,$I$2:$I$5001)/MAX(1,SUM($H$2:$H$5001)),"")</f>
        <v/>
      </c>
      <c r="M3042" s="47" t="str">
        <f aca="false">IF($A3042="","",INDEX($L$2:$L$5001,MATCH($A3042,$A$2:$A$5001,0)))</f>
        <v/>
      </c>
      <c r="N3042" s="48" t="str">
        <f aca="false">IF($A3042="","",IF(N(M3042)=0,"–",IF(M3042&lt;=Start!$D$20,"A",IF(M3042&lt;=Start!$D$21,"B","C"))))</f>
        <v/>
      </c>
      <c r="O3042" s="48" t="str">
        <f aca="false">IF($A3042="","",IF(NOT(ISNUMBER(F3042)),"Wert fehlt; ",IF(F3042&lt;=0,"Wert ist 0; ",""))&amp;IF(NOT(ISNUMBER(E3042)),"Bestand fehlt; ",IF(E3042&lt;0,"Bestand negativ; ",IF(E3042=0,"Nullbestand; ","")))&amp;IF(D3042="","Warengruppe fehlt; ","")&amp;IF(B3042="","Bezeichnung fehlt; ","")&amp;IF(COUNTIFS($A$2:$A$5001,$A3042,$C$2:$C$5001,C3042)&gt;1,"Artikel doppelt im selben Lager; ",""))</f>
        <v/>
      </c>
      <c r="P3042" s="47" t="n">
        <f aca="false">IF(OR($A3042="",D3042=""),0,IF(COUNTIF($D$2:D3042,D3042)=1,SUMIF($D$2:$D$5001,D3042,$H$2:$H$5001)+ROW()/10000000,0))</f>
        <v>0</v>
      </c>
      <c r="Q3042" s="47" t="n">
        <f aca="false">IF(OR($A3042="",C3042=""),0,IF(COUNTIF($C$2:C3042,C3042)=1,SUMIF($C$2:$C$5001,C3042,$H$2:$H$5001)+ROW()/10000000,0))</f>
        <v>0</v>
      </c>
    </row>
    <row r="3043" customFormat="false" ht="15" hidden="false" customHeight="false" outlineLevel="0" collapsed="false">
      <c r="A3043" s="43"/>
      <c r="B3043" s="44"/>
      <c r="C3043" s="44"/>
      <c r="D3043" s="44"/>
      <c r="E3043" s="44"/>
      <c r="F3043" s="44"/>
      <c r="G3043" s="44"/>
      <c r="H3043" s="46" t="str">
        <f aca="false">IF($A3043="","",IF(OR(NOT(ISNUMBER(E3043)),NOT(ISNUMBER(F3043))),"",MAX(0,E3043)*F3043))</f>
        <v/>
      </c>
      <c r="I3043" s="46" t="str">
        <f aca="false">IF($A3043="","",SUMIF($A$2:$A$5001,$A3043,$H$2:$H$5001))</f>
        <v/>
      </c>
      <c r="J3043" s="47" t="n">
        <f aca="false">IF($A3043="",0,IF(COUNTIF($A$2:A3043,$A3043)=1,1,0))</f>
        <v>0</v>
      </c>
      <c r="K3043" s="47" t="n">
        <f aca="false">IF(J3043=1,N(I3043)+ROW()/10000000,0)</f>
        <v>0</v>
      </c>
      <c r="L3043" s="47" t="str">
        <f aca="false">IF(AND(J3043=1,N(I3043)&gt;0),SUMIF($K$2:$K$5001,"&gt;="&amp;K3043,$I$2:$I$5001)/MAX(1,SUM($H$2:$H$5001)),"")</f>
        <v/>
      </c>
      <c r="M3043" s="47" t="str">
        <f aca="false">IF($A3043="","",INDEX($L$2:$L$5001,MATCH($A3043,$A$2:$A$5001,0)))</f>
        <v/>
      </c>
      <c r="N3043" s="48" t="str">
        <f aca="false">IF($A3043="","",IF(N(M3043)=0,"–",IF(M3043&lt;=Start!$D$20,"A",IF(M3043&lt;=Start!$D$21,"B","C"))))</f>
        <v/>
      </c>
      <c r="O3043" s="48" t="str">
        <f aca="false">IF($A3043="","",IF(NOT(ISNUMBER(F3043)),"Wert fehlt; ",IF(F3043&lt;=0,"Wert ist 0; ",""))&amp;IF(NOT(ISNUMBER(E3043)),"Bestand fehlt; ",IF(E3043&lt;0,"Bestand negativ; ",IF(E3043=0,"Nullbestand; ","")))&amp;IF(D3043="","Warengruppe fehlt; ","")&amp;IF(B3043="","Bezeichnung fehlt; ","")&amp;IF(COUNTIFS($A$2:$A$5001,$A3043,$C$2:$C$5001,C3043)&gt;1,"Artikel doppelt im selben Lager; ",""))</f>
        <v/>
      </c>
      <c r="P3043" s="47" t="n">
        <f aca="false">IF(OR($A3043="",D3043=""),0,IF(COUNTIF($D$2:D3043,D3043)=1,SUMIF($D$2:$D$5001,D3043,$H$2:$H$5001)+ROW()/10000000,0))</f>
        <v>0</v>
      </c>
      <c r="Q3043" s="47" t="n">
        <f aca="false">IF(OR($A3043="",C3043=""),0,IF(COUNTIF($C$2:C3043,C3043)=1,SUMIF($C$2:$C$5001,C3043,$H$2:$H$5001)+ROW()/10000000,0))</f>
        <v>0</v>
      </c>
    </row>
    <row r="3044" customFormat="false" ht="15" hidden="false" customHeight="false" outlineLevel="0" collapsed="false">
      <c r="A3044" s="43"/>
      <c r="B3044" s="44"/>
      <c r="C3044" s="44"/>
      <c r="D3044" s="44"/>
      <c r="E3044" s="44"/>
      <c r="F3044" s="44"/>
      <c r="G3044" s="44"/>
      <c r="H3044" s="46" t="str">
        <f aca="false">IF($A3044="","",IF(OR(NOT(ISNUMBER(E3044)),NOT(ISNUMBER(F3044))),"",MAX(0,E3044)*F3044))</f>
        <v/>
      </c>
      <c r="I3044" s="46" t="str">
        <f aca="false">IF($A3044="","",SUMIF($A$2:$A$5001,$A3044,$H$2:$H$5001))</f>
        <v/>
      </c>
      <c r="J3044" s="47" t="n">
        <f aca="false">IF($A3044="",0,IF(COUNTIF($A$2:A3044,$A3044)=1,1,0))</f>
        <v>0</v>
      </c>
      <c r="K3044" s="47" t="n">
        <f aca="false">IF(J3044=1,N(I3044)+ROW()/10000000,0)</f>
        <v>0</v>
      </c>
      <c r="L3044" s="47" t="str">
        <f aca="false">IF(AND(J3044=1,N(I3044)&gt;0),SUMIF($K$2:$K$5001,"&gt;="&amp;K3044,$I$2:$I$5001)/MAX(1,SUM($H$2:$H$5001)),"")</f>
        <v/>
      </c>
      <c r="M3044" s="47" t="str">
        <f aca="false">IF($A3044="","",INDEX($L$2:$L$5001,MATCH($A3044,$A$2:$A$5001,0)))</f>
        <v/>
      </c>
      <c r="N3044" s="48" t="str">
        <f aca="false">IF($A3044="","",IF(N(M3044)=0,"–",IF(M3044&lt;=Start!$D$20,"A",IF(M3044&lt;=Start!$D$21,"B","C"))))</f>
        <v/>
      </c>
      <c r="O3044" s="48" t="str">
        <f aca="false">IF($A3044="","",IF(NOT(ISNUMBER(F3044)),"Wert fehlt; ",IF(F3044&lt;=0,"Wert ist 0; ",""))&amp;IF(NOT(ISNUMBER(E3044)),"Bestand fehlt; ",IF(E3044&lt;0,"Bestand negativ; ",IF(E3044=0,"Nullbestand; ","")))&amp;IF(D3044="","Warengruppe fehlt; ","")&amp;IF(B3044="","Bezeichnung fehlt; ","")&amp;IF(COUNTIFS($A$2:$A$5001,$A3044,$C$2:$C$5001,C3044)&gt;1,"Artikel doppelt im selben Lager; ",""))</f>
        <v/>
      </c>
      <c r="P3044" s="47" t="n">
        <f aca="false">IF(OR($A3044="",D3044=""),0,IF(COUNTIF($D$2:D3044,D3044)=1,SUMIF($D$2:$D$5001,D3044,$H$2:$H$5001)+ROW()/10000000,0))</f>
        <v>0</v>
      </c>
      <c r="Q3044" s="47" t="n">
        <f aca="false">IF(OR($A3044="",C3044=""),0,IF(COUNTIF($C$2:C3044,C3044)=1,SUMIF($C$2:$C$5001,C3044,$H$2:$H$5001)+ROW()/10000000,0))</f>
        <v>0</v>
      </c>
    </row>
    <row r="3045" customFormat="false" ht="15" hidden="false" customHeight="false" outlineLevel="0" collapsed="false">
      <c r="A3045" s="43"/>
      <c r="B3045" s="44"/>
      <c r="C3045" s="44"/>
      <c r="D3045" s="44"/>
      <c r="E3045" s="44"/>
      <c r="F3045" s="44"/>
      <c r="G3045" s="44"/>
      <c r="H3045" s="46" t="str">
        <f aca="false">IF($A3045="","",IF(OR(NOT(ISNUMBER(E3045)),NOT(ISNUMBER(F3045))),"",MAX(0,E3045)*F3045))</f>
        <v/>
      </c>
      <c r="I3045" s="46" t="str">
        <f aca="false">IF($A3045="","",SUMIF($A$2:$A$5001,$A3045,$H$2:$H$5001))</f>
        <v/>
      </c>
      <c r="J3045" s="47" t="n">
        <f aca="false">IF($A3045="",0,IF(COUNTIF($A$2:A3045,$A3045)=1,1,0))</f>
        <v>0</v>
      </c>
      <c r="K3045" s="47" t="n">
        <f aca="false">IF(J3045=1,N(I3045)+ROW()/10000000,0)</f>
        <v>0</v>
      </c>
      <c r="L3045" s="47" t="str">
        <f aca="false">IF(AND(J3045=1,N(I3045)&gt;0),SUMIF($K$2:$K$5001,"&gt;="&amp;K3045,$I$2:$I$5001)/MAX(1,SUM($H$2:$H$5001)),"")</f>
        <v/>
      </c>
      <c r="M3045" s="47" t="str">
        <f aca="false">IF($A3045="","",INDEX($L$2:$L$5001,MATCH($A3045,$A$2:$A$5001,0)))</f>
        <v/>
      </c>
      <c r="N3045" s="48" t="str">
        <f aca="false">IF($A3045="","",IF(N(M3045)=0,"–",IF(M3045&lt;=Start!$D$20,"A",IF(M3045&lt;=Start!$D$21,"B","C"))))</f>
        <v/>
      </c>
      <c r="O3045" s="48" t="str">
        <f aca="false">IF($A3045="","",IF(NOT(ISNUMBER(F3045)),"Wert fehlt; ",IF(F3045&lt;=0,"Wert ist 0; ",""))&amp;IF(NOT(ISNUMBER(E3045)),"Bestand fehlt; ",IF(E3045&lt;0,"Bestand negativ; ",IF(E3045=0,"Nullbestand; ","")))&amp;IF(D3045="","Warengruppe fehlt; ","")&amp;IF(B3045="","Bezeichnung fehlt; ","")&amp;IF(COUNTIFS($A$2:$A$5001,$A3045,$C$2:$C$5001,C3045)&gt;1,"Artikel doppelt im selben Lager; ",""))</f>
        <v/>
      </c>
      <c r="P3045" s="47" t="n">
        <f aca="false">IF(OR($A3045="",D3045=""),0,IF(COUNTIF($D$2:D3045,D3045)=1,SUMIF($D$2:$D$5001,D3045,$H$2:$H$5001)+ROW()/10000000,0))</f>
        <v>0</v>
      </c>
      <c r="Q3045" s="47" t="n">
        <f aca="false">IF(OR($A3045="",C3045=""),0,IF(COUNTIF($C$2:C3045,C3045)=1,SUMIF($C$2:$C$5001,C3045,$H$2:$H$5001)+ROW()/10000000,0))</f>
        <v>0</v>
      </c>
    </row>
    <row r="3046" customFormat="false" ht="15" hidden="false" customHeight="false" outlineLevel="0" collapsed="false">
      <c r="A3046" s="43"/>
      <c r="B3046" s="44"/>
      <c r="C3046" s="44"/>
      <c r="D3046" s="44"/>
      <c r="E3046" s="44"/>
      <c r="F3046" s="44"/>
      <c r="G3046" s="44"/>
      <c r="H3046" s="46" t="str">
        <f aca="false">IF($A3046="","",IF(OR(NOT(ISNUMBER(E3046)),NOT(ISNUMBER(F3046))),"",MAX(0,E3046)*F3046))</f>
        <v/>
      </c>
      <c r="I3046" s="46" t="str">
        <f aca="false">IF($A3046="","",SUMIF($A$2:$A$5001,$A3046,$H$2:$H$5001))</f>
        <v/>
      </c>
      <c r="J3046" s="47" t="n">
        <f aca="false">IF($A3046="",0,IF(COUNTIF($A$2:A3046,$A3046)=1,1,0))</f>
        <v>0</v>
      </c>
      <c r="K3046" s="47" t="n">
        <f aca="false">IF(J3046=1,N(I3046)+ROW()/10000000,0)</f>
        <v>0</v>
      </c>
      <c r="L3046" s="47" t="str">
        <f aca="false">IF(AND(J3046=1,N(I3046)&gt;0),SUMIF($K$2:$K$5001,"&gt;="&amp;K3046,$I$2:$I$5001)/MAX(1,SUM($H$2:$H$5001)),"")</f>
        <v/>
      </c>
      <c r="M3046" s="47" t="str">
        <f aca="false">IF($A3046="","",INDEX($L$2:$L$5001,MATCH($A3046,$A$2:$A$5001,0)))</f>
        <v/>
      </c>
      <c r="N3046" s="48" t="str">
        <f aca="false">IF($A3046="","",IF(N(M3046)=0,"–",IF(M3046&lt;=Start!$D$20,"A",IF(M3046&lt;=Start!$D$21,"B","C"))))</f>
        <v/>
      </c>
      <c r="O3046" s="48" t="str">
        <f aca="false">IF($A3046="","",IF(NOT(ISNUMBER(F3046)),"Wert fehlt; ",IF(F3046&lt;=0,"Wert ist 0; ",""))&amp;IF(NOT(ISNUMBER(E3046)),"Bestand fehlt; ",IF(E3046&lt;0,"Bestand negativ; ",IF(E3046=0,"Nullbestand; ","")))&amp;IF(D3046="","Warengruppe fehlt; ","")&amp;IF(B3046="","Bezeichnung fehlt; ","")&amp;IF(COUNTIFS($A$2:$A$5001,$A3046,$C$2:$C$5001,C3046)&gt;1,"Artikel doppelt im selben Lager; ",""))</f>
        <v/>
      </c>
      <c r="P3046" s="47" t="n">
        <f aca="false">IF(OR($A3046="",D3046=""),0,IF(COUNTIF($D$2:D3046,D3046)=1,SUMIF($D$2:$D$5001,D3046,$H$2:$H$5001)+ROW()/10000000,0))</f>
        <v>0</v>
      </c>
      <c r="Q3046" s="47" t="n">
        <f aca="false">IF(OR($A3046="",C3046=""),0,IF(COUNTIF($C$2:C3046,C3046)=1,SUMIF($C$2:$C$5001,C3046,$H$2:$H$5001)+ROW()/10000000,0))</f>
        <v>0</v>
      </c>
    </row>
    <row r="3047" customFormat="false" ht="15" hidden="false" customHeight="false" outlineLevel="0" collapsed="false">
      <c r="A3047" s="43"/>
      <c r="B3047" s="44"/>
      <c r="C3047" s="44"/>
      <c r="D3047" s="44"/>
      <c r="E3047" s="44"/>
      <c r="F3047" s="44"/>
      <c r="G3047" s="44"/>
      <c r="H3047" s="46" t="str">
        <f aca="false">IF($A3047="","",IF(OR(NOT(ISNUMBER(E3047)),NOT(ISNUMBER(F3047))),"",MAX(0,E3047)*F3047))</f>
        <v/>
      </c>
      <c r="I3047" s="46" t="str">
        <f aca="false">IF($A3047="","",SUMIF($A$2:$A$5001,$A3047,$H$2:$H$5001))</f>
        <v/>
      </c>
      <c r="J3047" s="47" t="n">
        <f aca="false">IF($A3047="",0,IF(COUNTIF($A$2:A3047,$A3047)=1,1,0))</f>
        <v>0</v>
      </c>
      <c r="K3047" s="47" t="n">
        <f aca="false">IF(J3047=1,N(I3047)+ROW()/10000000,0)</f>
        <v>0</v>
      </c>
      <c r="L3047" s="47" t="str">
        <f aca="false">IF(AND(J3047=1,N(I3047)&gt;0),SUMIF($K$2:$K$5001,"&gt;="&amp;K3047,$I$2:$I$5001)/MAX(1,SUM($H$2:$H$5001)),"")</f>
        <v/>
      </c>
      <c r="M3047" s="47" t="str">
        <f aca="false">IF($A3047="","",INDEX($L$2:$L$5001,MATCH($A3047,$A$2:$A$5001,0)))</f>
        <v/>
      </c>
      <c r="N3047" s="48" t="str">
        <f aca="false">IF($A3047="","",IF(N(M3047)=0,"–",IF(M3047&lt;=Start!$D$20,"A",IF(M3047&lt;=Start!$D$21,"B","C"))))</f>
        <v/>
      </c>
      <c r="O3047" s="48" t="str">
        <f aca="false">IF($A3047="","",IF(NOT(ISNUMBER(F3047)),"Wert fehlt; ",IF(F3047&lt;=0,"Wert ist 0; ",""))&amp;IF(NOT(ISNUMBER(E3047)),"Bestand fehlt; ",IF(E3047&lt;0,"Bestand negativ; ",IF(E3047=0,"Nullbestand; ","")))&amp;IF(D3047="","Warengruppe fehlt; ","")&amp;IF(B3047="","Bezeichnung fehlt; ","")&amp;IF(COUNTIFS($A$2:$A$5001,$A3047,$C$2:$C$5001,C3047)&gt;1,"Artikel doppelt im selben Lager; ",""))</f>
        <v/>
      </c>
      <c r="P3047" s="47" t="n">
        <f aca="false">IF(OR($A3047="",D3047=""),0,IF(COUNTIF($D$2:D3047,D3047)=1,SUMIF($D$2:$D$5001,D3047,$H$2:$H$5001)+ROW()/10000000,0))</f>
        <v>0</v>
      </c>
      <c r="Q3047" s="47" t="n">
        <f aca="false">IF(OR($A3047="",C3047=""),0,IF(COUNTIF($C$2:C3047,C3047)=1,SUMIF($C$2:$C$5001,C3047,$H$2:$H$5001)+ROW()/10000000,0))</f>
        <v>0</v>
      </c>
    </row>
    <row r="3048" customFormat="false" ht="15" hidden="false" customHeight="false" outlineLevel="0" collapsed="false">
      <c r="A3048" s="43"/>
      <c r="B3048" s="44"/>
      <c r="C3048" s="44"/>
      <c r="D3048" s="44"/>
      <c r="E3048" s="44"/>
      <c r="F3048" s="44"/>
      <c r="G3048" s="44"/>
      <c r="H3048" s="46" t="str">
        <f aca="false">IF($A3048="","",IF(OR(NOT(ISNUMBER(E3048)),NOT(ISNUMBER(F3048))),"",MAX(0,E3048)*F3048))</f>
        <v/>
      </c>
      <c r="I3048" s="46" t="str">
        <f aca="false">IF($A3048="","",SUMIF($A$2:$A$5001,$A3048,$H$2:$H$5001))</f>
        <v/>
      </c>
      <c r="J3048" s="47" t="n">
        <f aca="false">IF($A3048="",0,IF(COUNTIF($A$2:A3048,$A3048)=1,1,0))</f>
        <v>0</v>
      </c>
      <c r="K3048" s="47" t="n">
        <f aca="false">IF(J3048=1,N(I3048)+ROW()/10000000,0)</f>
        <v>0</v>
      </c>
      <c r="L3048" s="47" t="str">
        <f aca="false">IF(AND(J3048=1,N(I3048)&gt;0),SUMIF($K$2:$K$5001,"&gt;="&amp;K3048,$I$2:$I$5001)/MAX(1,SUM($H$2:$H$5001)),"")</f>
        <v/>
      </c>
      <c r="M3048" s="47" t="str">
        <f aca="false">IF($A3048="","",INDEX($L$2:$L$5001,MATCH($A3048,$A$2:$A$5001,0)))</f>
        <v/>
      </c>
      <c r="N3048" s="48" t="str">
        <f aca="false">IF($A3048="","",IF(N(M3048)=0,"–",IF(M3048&lt;=Start!$D$20,"A",IF(M3048&lt;=Start!$D$21,"B","C"))))</f>
        <v/>
      </c>
      <c r="O3048" s="48" t="str">
        <f aca="false">IF($A3048="","",IF(NOT(ISNUMBER(F3048)),"Wert fehlt; ",IF(F3048&lt;=0,"Wert ist 0; ",""))&amp;IF(NOT(ISNUMBER(E3048)),"Bestand fehlt; ",IF(E3048&lt;0,"Bestand negativ; ",IF(E3048=0,"Nullbestand; ","")))&amp;IF(D3048="","Warengruppe fehlt; ","")&amp;IF(B3048="","Bezeichnung fehlt; ","")&amp;IF(COUNTIFS($A$2:$A$5001,$A3048,$C$2:$C$5001,C3048)&gt;1,"Artikel doppelt im selben Lager; ",""))</f>
        <v/>
      </c>
      <c r="P3048" s="47" t="n">
        <f aca="false">IF(OR($A3048="",D3048=""),0,IF(COUNTIF($D$2:D3048,D3048)=1,SUMIF($D$2:$D$5001,D3048,$H$2:$H$5001)+ROW()/10000000,0))</f>
        <v>0</v>
      </c>
      <c r="Q3048" s="47" t="n">
        <f aca="false">IF(OR($A3048="",C3048=""),0,IF(COUNTIF($C$2:C3048,C3048)=1,SUMIF($C$2:$C$5001,C3048,$H$2:$H$5001)+ROW()/10000000,0))</f>
        <v>0</v>
      </c>
    </row>
    <row r="3049" customFormat="false" ht="15" hidden="false" customHeight="false" outlineLevel="0" collapsed="false">
      <c r="A3049" s="43"/>
      <c r="B3049" s="44"/>
      <c r="C3049" s="44"/>
      <c r="D3049" s="44"/>
      <c r="E3049" s="44"/>
      <c r="F3049" s="44"/>
      <c r="G3049" s="44"/>
      <c r="H3049" s="46" t="str">
        <f aca="false">IF($A3049="","",IF(OR(NOT(ISNUMBER(E3049)),NOT(ISNUMBER(F3049))),"",MAX(0,E3049)*F3049))</f>
        <v/>
      </c>
      <c r="I3049" s="46" t="str">
        <f aca="false">IF($A3049="","",SUMIF($A$2:$A$5001,$A3049,$H$2:$H$5001))</f>
        <v/>
      </c>
      <c r="J3049" s="47" t="n">
        <f aca="false">IF($A3049="",0,IF(COUNTIF($A$2:A3049,$A3049)=1,1,0))</f>
        <v>0</v>
      </c>
      <c r="K3049" s="47" t="n">
        <f aca="false">IF(J3049=1,N(I3049)+ROW()/10000000,0)</f>
        <v>0</v>
      </c>
      <c r="L3049" s="47" t="str">
        <f aca="false">IF(AND(J3049=1,N(I3049)&gt;0),SUMIF($K$2:$K$5001,"&gt;="&amp;K3049,$I$2:$I$5001)/MAX(1,SUM($H$2:$H$5001)),"")</f>
        <v/>
      </c>
      <c r="M3049" s="47" t="str">
        <f aca="false">IF($A3049="","",INDEX($L$2:$L$5001,MATCH($A3049,$A$2:$A$5001,0)))</f>
        <v/>
      </c>
      <c r="N3049" s="48" t="str">
        <f aca="false">IF($A3049="","",IF(N(M3049)=0,"–",IF(M3049&lt;=Start!$D$20,"A",IF(M3049&lt;=Start!$D$21,"B","C"))))</f>
        <v/>
      </c>
      <c r="O3049" s="48" t="str">
        <f aca="false">IF($A3049="","",IF(NOT(ISNUMBER(F3049)),"Wert fehlt; ",IF(F3049&lt;=0,"Wert ist 0; ",""))&amp;IF(NOT(ISNUMBER(E3049)),"Bestand fehlt; ",IF(E3049&lt;0,"Bestand negativ; ",IF(E3049=0,"Nullbestand; ","")))&amp;IF(D3049="","Warengruppe fehlt; ","")&amp;IF(B3049="","Bezeichnung fehlt; ","")&amp;IF(COUNTIFS($A$2:$A$5001,$A3049,$C$2:$C$5001,C3049)&gt;1,"Artikel doppelt im selben Lager; ",""))</f>
        <v/>
      </c>
      <c r="P3049" s="47" t="n">
        <f aca="false">IF(OR($A3049="",D3049=""),0,IF(COUNTIF($D$2:D3049,D3049)=1,SUMIF($D$2:$D$5001,D3049,$H$2:$H$5001)+ROW()/10000000,0))</f>
        <v>0</v>
      </c>
      <c r="Q3049" s="47" t="n">
        <f aca="false">IF(OR($A3049="",C3049=""),0,IF(COUNTIF($C$2:C3049,C3049)=1,SUMIF($C$2:$C$5001,C3049,$H$2:$H$5001)+ROW()/10000000,0))</f>
        <v>0</v>
      </c>
    </row>
    <row r="3050" customFormat="false" ht="15" hidden="false" customHeight="false" outlineLevel="0" collapsed="false">
      <c r="A3050" s="43"/>
      <c r="B3050" s="44"/>
      <c r="C3050" s="44"/>
      <c r="D3050" s="44"/>
      <c r="E3050" s="44"/>
      <c r="F3050" s="44"/>
      <c r="G3050" s="44"/>
      <c r="H3050" s="46" t="str">
        <f aca="false">IF($A3050="","",IF(OR(NOT(ISNUMBER(E3050)),NOT(ISNUMBER(F3050))),"",MAX(0,E3050)*F3050))</f>
        <v/>
      </c>
      <c r="I3050" s="46" t="str">
        <f aca="false">IF($A3050="","",SUMIF($A$2:$A$5001,$A3050,$H$2:$H$5001))</f>
        <v/>
      </c>
      <c r="J3050" s="47" t="n">
        <f aca="false">IF($A3050="",0,IF(COUNTIF($A$2:A3050,$A3050)=1,1,0))</f>
        <v>0</v>
      </c>
      <c r="K3050" s="47" t="n">
        <f aca="false">IF(J3050=1,N(I3050)+ROW()/10000000,0)</f>
        <v>0</v>
      </c>
      <c r="L3050" s="47" t="str">
        <f aca="false">IF(AND(J3050=1,N(I3050)&gt;0),SUMIF($K$2:$K$5001,"&gt;="&amp;K3050,$I$2:$I$5001)/MAX(1,SUM($H$2:$H$5001)),"")</f>
        <v/>
      </c>
      <c r="M3050" s="47" t="str">
        <f aca="false">IF($A3050="","",INDEX($L$2:$L$5001,MATCH($A3050,$A$2:$A$5001,0)))</f>
        <v/>
      </c>
      <c r="N3050" s="48" t="str">
        <f aca="false">IF($A3050="","",IF(N(M3050)=0,"–",IF(M3050&lt;=Start!$D$20,"A",IF(M3050&lt;=Start!$D$21,"B","C"))))</f>
        <v/>
      </c>
      <c r="O3050" s="48" t="str">
        <f aca="false">IF($A3050="","",IF(NOT(ISNUMBER(F3050)),"Wert fehlt; ",IF(F3050&lt;=0,"Wert ist 0; ",""))&amp;IF(NOT(ISNUMBER(E3050)),"Bestand fehlt; ",IF(E3050&lt;0,"Bestand negativ; ",IF(E3050=0,"Nullbestand; ","")))&amp;IF(D3050="","Warengruppe fehlt; ","")&amp;IF(B3050="","Bezeichnung fehlt; ","")&amp;IF(COUNTIFS($A$2:$A$5001,$A3050,$C$2:$C$5001,C3050)&gt;1,"Artikel doppelt im selben Lager; ",""))</f>
        <v/>
      </c>
      <c r="P3050" s="47" t="n">
        <f aca="false">IF(OR($A3050="",D3050=""),0,IF(COUNTIF($D$2:D3050,D3050)=1,SUMIF($D$2:$D$5001,D3050,$H$2:$H$5001)+ROW()/10000000,0))</f>
        <v>0</v>
      </c>
      <c r="Q3050" s="47" t="n">
        <f aca="false">IF(OR($A3050="",C3050=""),0,IF(COUNTIF($C$2:C3050,C3050)=1,SUMIF($C$2:$C$5001,C3050,$H$2:$H$5001)+ROW()/10000000,0))</f>
        <v>0</v>
      </c>
    </row>
    <row r="3051" customFormat="false" ht="15" hidden="false" customHeight="false" outlineLevel="0" collapsed="false">
      <c r="A3051" s="43"/>
      <c r="B3051" s="44"/>
      <c r="C3051" s="44"/>
      <c r="D3051" s="44"/>
      <c r="E3051" s="44"/>
      <c r="F3051" s="44"/>
      <c r="G3051" s="44"/>
      <c r="H3051" s="46" t="str">
        <f aca="false">IF($A3051="","",IF(OR(NOT(ISNUMBER(E3051)),NOT(ISNUMBER(F3051))),"",MAX(0,E3051)*F3051))</f>
        <v/>
      </c>
      <c r="I3051" s="46" t="str">
        <f aca="false">IF($A3051="","",SUMIF($A$2:$A$5001,$A3051,$H$2:$H$5001))</f>
        <v/>
      </c>
      <c r="J3051" s="47" t="n">
        <f aca="false">IF($A3051="",0,IF(COUNTIF($A$2:A3051,$A3051)=1,1,0))</f>
        <v>0</v>
      </c>
      <c r="K3051" s="47" t="n">
        <f aca="false">IF(J3051=1,N(I3051)+ROW()/10000000,0)</f>
        <v>0</v>
      </c>
      <c r="L3051" s="47" t="str">
        <f aca="false">IF(AND(J3051=1,N(I3051)&gt;0),SUMIF($K$2:$K$5001,"&gt;="&amp;K3051,$I$2:$I$5001)/MAX(1,SUM($H$2:$H$5001)),"")</f>
        <v/>
      </c>
      <c r="M3051" s="47" t="str">
        <f aca="false">IF($A3051="","",INDEX($L$2:$L$5001,MATCH($A3051,$A$2:$A$5001,0)))</f>
        <v/>
      </c>
      <c r="N3051" s="48" t="str">
        <f aca="false">IF($A3051="","",IF(N(M3051)=0,"–",IF(M3051&lt;=Start!$D$20,"A",IF(M3051&lt;=Start!$D$21,"B","C"))))</f>
        <v/>
      </c>
      <c r="O3051" s="48" t="str">
        <f aca="false">IF($A3051="","",IF(NOT(ISNUMBER(F3051)),"Wert fehlt; ",IF(F3051&lt;=0,"Wert ist 0; ",""))&amp;IF(NOT(ISNUMBER(E3051)),"Bestand fehlt; ",IF(E3051&lt;0,"Bestand negativ; ",IF(E3051=0,"Nullbestand; ","")))&amp;IF(D3051="","Warengruppe fehlt; ","")&amp;IF(B3051="","Bezeichnung fehlt; ","")&amp;IF(COUNTIFS($A$2:$A$5001,$A3051,$C$2:$C$5001,C3051)&gt;1,"Artikel doppelt im selben Lager; ",""))</f>
        <v/>
      </c>
      <c r="P3051" s="47" t="n">
        <f aca="false">IF(OR($A3051="",D3051=""),0,IF(COUNTIF($D$2:D3051,D3051)=1,SUMIF($D$2:$D$5001,D3051,$H$2:$H$5001)+ROW()/10000000,0))</f>
        <v>0</v>
      </c>
      <c r="Q3051" s="47" t="n">
        <f aca="false">IF(OR($A3051="",C3051=""),0,IF(COUNTIF($C$2:C3051,C3051)=1,SUMIF($C$2:$C$5001,C3051,$H$2:$H$5001)+ROW()/10000000,0))</f>
        <v>0</v>
      </c>
    </row>
    <row r="3052" customFormat="false" ht="15" hidden="false" customHeight="false" outlineLevel="0" collapsed="false">
      <c r="A3052" s="43"/>
      <c r="B3052" s="44"/>
      <c r="C3052" s="44"/>
      <c r="D3052" s="44"/>
      <c r="E3052" s="44"/>
      <c r="F3052" s="44"/>
      <c r="G3052" s="44"/>
      <c r="H3052" s="46" t="str">
        <f aca="false">IF($A3052="","",IF(OR(NOT(ISNUMBER(E3052)),NOT(ISNUMBER(F3052))),"",MAX(0,E3052)*F3052))</f>
        <v/>
      </c>
      <c r="I3052" s="46" t="str">
        <f aca="false">IF($A3052="","",SUMIF($A$2:$A$5001,$A3052,$H$2:$H$5001))</f>
        <v/>
      </c>
      <c r="J3052" s="47" t="n">
        <f aca="false">IF($A3052="",0,IF(COUNTIF($A$2:A3052,$A3052)=1,1,0))</f>
        <v>0</v>
      </c>
      <c r="K3052" s="47" t="n">
        <f aca="false">IF(J3052=1,N(I3052)+ROW()/10000000,0)</f>
        <v>0</v>
      </c>
      <c r="L3052" s="47" t="str">
        <f aca="false">IF(AND(J3052=1,N(I3052)&gt;0),SUMIF($K$2:$K$5001,"&gt;="&amp;K3052,$I$2:$I$5001)/MAX(1,SUM($H$2:$H$5001)),"")</f>
        <v/>
      </c>
      <c r="M3052" s="47" t="str">
        <f aca="false">IF($A3052="","",INDEX($L$2:$L$5001,MATCH($A3052,$A$2:$A$5001,0)))</f>
        <v/>
      </c>
      <c r="N3052" s="48" t="str">
        <f aca="false">IF($A3052="","",IF(N(M3052)=0,"–",IF(M3052&lt;=Start!$D$20,"A",IF(M3052&lt;=Start!$D$21,"B","C"))))</f>
        <v/>
      </c>
      <c r="O3052" s="48" t="str">
        <f aca="false">IF($A3052="","",IF(NOT(ISNUMBER(F3052)),"Wert fehlt; ",IF(F3052&lt;=0,"Wert ist 0; ",""))&amp;IF(NOT(ISNUMBER(E3052)),"Bestand fehlt; ",IF(E3052&lt;0,"Bestand negativ; ",IF(E3052=0,"Nullbestand; ","")))&amp;IF(D3052="","Warengruppe fehlt; ","")&amp;IF(B3052="","Bezeichnung fehlt; ","")&amp;IF(COUNTIFS($A$2:$A$5001,$A3052,$C$2:$C$5001,C3052)&gt;1,"Artikel doppelt im selben Lager; ",""))</f>
        <v/>
      </c>
      <c r="P3052" s="47" t="n">
        <f aca="false">IF(OR($A3052="",D3052=""),0,IF(COUNTIF($D$2:D3052,D3052)=1,SUMIF($D$2:$D$5001,D3052,$H$2:$H$5001)+ROW()/10000000,0))</f>
        <v>0</v>
      </c>
      <c r="Q3052" s="47" t="n">
        <f aca="false">IF(OR($A3052="",C3052=""),0,IF(COUNTIF($C$2:C3052,C3052)=1,SUMIF($C$2:$C$5001,C3052,$H$2:$H$5001)+ROW()/10000000,0))</f>
        <v>0</v>
      </c>
    </row>
    <row r="3053" customFormat="false" ht="15" hidden="false" customHeight="false" outlineLevel="0" collapsed="false">
      <c r="A3053" s="43"/>
      <c r="B3053" s="44"/>
      <c r="C3053" s="44"/>
      <c r="D3053" s="44"/>
      <c r="E3053" s="44"/>
      <c r="F3053" s="44"/>
      <c r="G3053" s="44"/>
      <c r="H3053" s="46" t="str">
        <f aca="false">IF($A3053="","",IF(OR(NOT(ISNUMBER(E3053)),NOT(ISNUMBER(F3053))),"",MAX(0,E3053)*F3053))</f>
        <v/>
      </c>
      <c r="I3053" s="46" t="str">
        <f aca="false">IF($A3053="","",SUMIF($A$2:$A$5001,$A3053,$H$2:$H$5001))</f>
        <v/>
      </c>
      <c r="J3053" s="47" t="n">
        <f aca="false">IF($A3053="",0,IF(COUNTIF($A$2:A3053,$A3053)=1,1,0))</f>
        <v>0</v>
      </c>
      <c r="K3053" s="47" t="n">
        <f aca="false">IF(J3053=1,N(I3053)+ROW()/10000000,0)</f>
        <v>0</v>
      </c>
      <c r="L3053" s="47" t="str">
        <f aca="false">IF(AND(J3053=1,N(I3053)&gt;0),SUMIF($K$2:$K$5001,"&gt;="&amp;K3053,$I$2:$I$5001)/MAX(1,SUM($H$2:$H$5001)),"")</f>
        <v/>
      </c>
      <c r="M3053" s="47" t="str">
        <f aca="false">IF($A3053="","",INDEX($L$2:$L$5001,MATCH($A3053,$A$2:$A$5001,0)))</f>
        <v/>
      </c>
      <c r="N3053" s="48" t="str">
        <f aca="false">IF($A3053="","",IF(N(M3053)=0,"–",IF(M3053&lt;=Start!$D$20,"A",IF(M3053&lt;=Start!$D$21,"B","C"))))</f>
        <v/>
      </c>
      <c r="O3053" s="48" t="str">
        <f aca="false">IF($A3053="","",IF(NOT(ISNUMBER(F3053)),"Wert fehlt; ",IF(F3053&lt;=0,"Wert ist 0; ",""))&amp;IF(NOT(ISNUMBER(E3053)),"Bestand fehlt; ",IF(E3053&lt;0,"Bestand negativ; ",IF(E3053=0,"Nullbestand; ","")))&amp;IF(D3053="","Warengruppe fehlt; ","")&amp;IF(B3053="","Bezeichnung fehlt; ","")&amp;IF(COUNTIFS($A$2:$A$5001,$A3053,$C$2:$C$5001,C3053)&gt;1,"Artikel doppelt im selben Lager; ",""))</f>
        <v/>
      </c>
      <c r="P3053" s="47" t="n">
        <f aca="false">IF(OR($A3053="",D3053=""),0,IF(COUNTIF($D$2:D3053,D3053)=1,SUMIF($D$2:$D$5001,D3053,$H$2:$H$5001)+ROW()/10000000,0))</f>
        <v>0</v>
      </c>
      <c r="Q3053" s="47" t="n">
        <f aca="false">IF(OR($A3053="",C3053=""),0,IF(COUNTIF($C$2:C3053,C3053)=1,SUMIF($C$2:$C$5001,C3053,$H$2:$H$5001)+ROW()/10000000,0))</f>
        <v>0</v>
      </c>
    </row>
    <row r="3054" customFormat="false" ht="15" hidden="false" customHeight="false" outlineLevel="0" collapsed="false">
      <c r="A3054" s="43"/>
      <c r="B3054" s="44"/>
      <c r="C3054" s="44"/>
      <c r="D3054" s="44"/>
      <c r="E3054" s="44"/>
      <c r="F3054" s="44"/>
      <c r="G3054" s="44"/>
      <c r="H3054" s="46" t="str">
        <f aca="false">IF($A3054="","",IF(OR(NOT(ISNUMBER(E3054)),NOT(ISNUMBER(F3054))),"",MAX(0,E3054)*F3054))</f>
        <v/>
      </c>
      <c r="I3054" s="46" t="str">
        <f aca="false">IF($A3054="","",SUMIF($A$2:$A$5001,$A3054,$H$2:$H$5001))</f>
        <v/>
      </c>
      <c r="J3054" s="47" t="n">
        <f aca="false">IF($A3054="",0,IF(COUNTIF($A$2:A3054,$A3054)=1,1,0))</f>
        <v>0</v>
      </c>
      <c r="K3054" s="47" t="n">
        <f aca="false">IF(J3054=1,N(I3054)+ROW()/10000000,0)</f>
        <v>0</v>
      </c>
      <c r="L3054" s="47" t="str">
        <f aca="false">IF(AND(J3054=1,N(I3054)&gt;0),SUMIF($K$2:$K$5001,"&gt;="&amp;K3054,$I$2:$I$5001)/MAX(1,SUM($H$2:$H$5001)),"")</f>
        <v/>
      </c>
      <c r="M3054" s="47" t="str">
        <f aca="false">IF($A3054="","",INDEX($L$2:$L$5001,MATCH($A3054,$A$2:$A$5001,0)))</f>
        <v/>
      </c>
      <c r="N3054" s="48" t="str">
        <f aca="false">IF($A3054="","",IF(N(M3054)=0,"–",IF(M3054&lt;=Start!$D$20,"A",IF(M3054&lt;=Start!$D$21,"B","C"))))</f>
        <v/>
      </c>
      <c r="O3054" s="48" t="str">
        <f aca="false">IF($A3054="","",IF(NOT(ISNUMBER(F3054)),"Wert fehlt; ",IF(F3054&lt;=0,"Wert ist 0; ",""))&amp;IF(NOT(ISNUMBER(E3054)),"Bestand fehlt; ",IF(E3054&lt;0,"Bestand negativ; ",IF(E3054=0,"Nullbestand; ","")))&amp;IF(D3054="","Warengruppe fehlt; ","")&amp;IF(B3054="","Bezeichnung fehlt; ","")&amp;IF(COUNTIFS($A$2:$A$5001,$A3054,$C$2:$C$5001,C3054)&gt;1,"Artikel doppelt im selben Lager; ",""))</f>
        <v/>
      </c>
      <c r="P3054" s="47" t="n">
        <f aca="false">IF(OR($A3054="",D3054=""),0,IF(COUNTIF($D$2:D3054,D3054)=1,SUMIF($D$2:$D$5001,D3054,$H$2:$H$5001)+ROW()/10000000,0))</f>
        <v>0</v>
      </c>
      <c r="Q3054" s="47" t="n">
        <f aca="false">IF(OR($A3054="",C3054=""),0,IF(COUNTIF($C$2:C3054,C3054)=1,SUMIF($C$2:$C$5001,C3054,$H$2:$H$5001)+ROW()/10000000,0))</f>
        <v>0</v>
      </c>
    </row>
    <row r="3055" customFormat="false" ht="15" hidden="false" customHeight="false" outlineLevel="0" collapsed="false">
      <c r="A3055" s="43"/>
      <c r="B3055" s="44"/>
      <c r="C3055" s="44"/>
      <c r="D3055" s="44"/>
      <c r="E3055" s="44"/>
      <c r="F3055" s="44"/>
      <c r="G3055" s="44"/>
      <c r="H3055" s="46" t="str">
        <f aca="false">IF($A3055="","",IF(OR(NOT(ISNUMBER(E3055)),NOT(ISNUMBER(F3055))),"",MAX(0,E3055)*F3055))</f>
        <v/>
      </c>
      <c r="I3055" s="46" t="str">
        <f aca="false">IF($A3055="","",SUMIF($A$2:$A$5001,$A3055,$H$2:$H$5001))</f>
        <v/>
      </c>
      <c r="J3055" s="47" t="n">
        <f aca="false">IF($A3055="",0,IF(COUNTIF($A$2:A3055,$A3055)=1,1,0))</f>
        <v>0</v>
      </c>
      <c r="K3055" s="47" t="n">
        <f aca="false">IF(J3055=1,N(I3055)+ROW()/10000000,0)</f>
        <v>0</v>
      </c>
      <c r="L3055" s="47" t="str">
        <f aca="false">IF(AND(J3055=1,N(I3055)&gt;0),SUMIF($K$2:$K$5001,"&gt;="&amp;K3055,$I$2:$I$5001)/MAX(1,SUM($H$2:$H$5001)),"")</f>
        <v/>
      </c>
      <c r="M3055" s="47" t="str">
        <f aca="false">IF($A3055="","",INDEX($L$2:$L$5001,MATCH($A3055,$A$2:$A$5001,0)))</f>
        <v/>
      </c>
      <c r="N3055" s="48" t="str">
        <f aca="false">IF($A3055="","",IF(N(M3055)=0,"–",IF(M3055&lt;=Start!$D$20,"A",IF(M3055&lt;=Start!$D$21,"B","C"))))</f>
        <v/>
      </c>
      <c r="O3055" s="48" t="str">
        <f aca="false">IF($A3055="","",IF(NOT(ISNUMBER(F3055)),"Wert fehlt; ",IF(F3055&lt;=0,"Wert ist 0; ",""))&amp;IF(NOT(ISNUMBER(E3055)),"Bestand fehlt; ",IF(E3055&lt;0,"Bestand negativ; ",IF(E3055=0,"Nullbestand; ","")))&amp;IF(D3055="","Warengruppe fehlt; ","")&amp;IF(B3055="","Bezeichnung fehlt; ","")&amp;IF(COUNTIFS($A$2:$A$5001,$A3055,$C$2:$C$5001,C3055)&gt;1,"Artikel doppelt im selben Lager; ",""))</f>
        <v/>
      </c>
      <c r="P3055" s="47" t="n">
        <f aca="false">IF(OR($A3055="",D3055=""),0,IF(COUNTIF($D$2:D3055,D3055)=1,SUMIF($D$2:$D$5001,D3055,$H$2:$H$5001)+ROW()/10000000,0))</f>
        <v>0</v>
      </c>
      <c r="Q3055" s="47" t="n">
        <f aca="false">IF(OR($A3055="",C3055=""),0,IF(COUNTIF($C$2:C3055,C3055)=1,SUMIF($C$2:$C$5001,C3055,$H$2:$H$5001)+ROW()/10000000,0))</f>
        <v>0</v>
      </c>
    </row>
    <row r="3056" customFormat="false" ht="15" hidden="false" customHeight="false" outlineLevel="0" collapsed="false">
      <c r="A3056" s="43"/>
      <c r="B3056" s="44"/>
      <c r="C3056" s="44"/>
      <c r="D3056" s="44"/>
      <c r="E3056" s="44"/>
      <c r="F3056" s="44"/>
      <c r="G3056" s="44"/>
      <c r="H3056" s="46" t="str">
        <f aca="false">IF($A3056="","",IF(OR(NOT(ISNUMBER(E3056)),NOT(ISNUMBER(F3056))),"",MAX(0,E3056)*F3056))</f>
        <v/>
      </c>
      <c r="I3056" s="46" t="str">
        <f aca="false">IF($A3056="","",SUMIF($A$2:$A$5001,$A3056,$H$2:$H$5001))</f>
        <v/>
      </c>
      <c r="J3056" s="47" t="n">
        <f aca="false">IF($A3056="",0,IF(COUNTIF($A$2:A3056,$A3056)=1,1,0))</f>
        <v>0</v>
      </c>
      <c r="K3056" s="47" t="n">
        <f aca="false">IF(J3056=1,N(I3056)+ROW()/10000000,0)</f>
        <v>0</v>
      </c>
      <c r="L3056" s="47" t="str">
        <f aca="false">IF(AND(J3056=1,N(I3056)&gt;0),SUMIF($K$2:$K$5001,"&gt;="&amp;K3056,$I$2:$I$5001)/MAX(1,SUM($H$2:$H$5001)),"")</f>
        <v/>
      </c>
      <c r="M3056" s="47" t="str">
        <f aca="false">IF($A3056="","",INDEX($L$2:$L$5001,MATCH($A3056,$A$2:$A$5001,0)))</f>
        <v/>
      </c>
      <c r="N3056" s="48" t="str">
        <f aca="false">IF($A3056="","",IF(N(M3056)=0,"–",IF(M3056&lt;=Start!$D$20,"A",IF(M3056&lt;=Start!$D$21,"B","C"))))</f>
        <v/>
      </c>
      <c r="O3056" s="48" t="str">
        <f aca="false">IF($A3056="","",IF(NOT(ISNUMBER(F3056)),"Wert fehlt; ",IF(F3056&lt;=0,"Wert ist 0; ",""))&amp;IF(NOT(ISNUMBER(E3056)),"Bestand fehlt; ",IF(E3056&lt;0,"Bestand negativ; ",IF(E3056=0,"Nullbestand; ","")))&amp;IF(D3056="","Warengruppe fehlt; ","")&amp;IF(B3056="","Bezeichnung fehlt; ","")&amp;IF(COUNTIFS($A$2:$A$5001,$A3056,$C$2:$C$5001,C3056)&gt;1,"Artikel doppelt im selben Lager; ",""))</f>
        <v/>
      </c>
      <c r="P3056" s="47" t="n">
        <f aca="false">IF(OR($A3056="",D3056=""),0,IF(COUNTIF($D$2:D3056,D3056)=1,SUMIF($D$2:$D$5001,D3056,$H$2:$H$5001)+ROW()/10000000,0))</f>
        <v>0</v>
      </c>
      <c r="Q3056" s="47" t="n">
        <f aca="false">IF(OR($A3056="",C3056=""),0,IF(COUNTIF($C$2:C3056,C3056)=1,SUMIF($C$2:$C$5001,C3056,$H$2:$H$5001)+ROW()/10000000,0))</f>
        <v>0</v>
      </c>
    </row>
    <row r="3057" customFormat="false" ht="15" hidden="false" customHeight="false" outlineLevel="0" collapsed="false">
      <c r="A3057" s="43"/>
      <c r="B3057" s="44"/>
      <c r="C3057" s="44"/>
      <c r="D3057" s="44"/>
      <c r="E3057" s="44"/>
      <c r="F3057" s="44"/>
      <c r="G3057" s="44"/>
      <c r="H3057" s="46" t="str">
        <f aca="false">IF($A3057="","",IF(OR(NOT(ISNUMBER(E3057)),NOT(ISNUMBER(F3057))),"",MAX(0,E3057)*F3057))</f>
        <v/>
      </c>
      <c r="I3057" s="46" t="str">
        <f aca="false">IF($A3057="","",SUMIF($A$2:$A$5001,$A3057,$H$2:$H$5001))</f>
        <v/>
      </c>
      <c r="J3057" s="47" t="n">
        <f aca="false">IF($A3057="",0,IF(COUNTIF($A$2:A3057,$A3057)=1,1,0))</f>
        <v>0</v>
      </c>
      <c r="K3057" s="47" t="n">
        <f aca="false">IF(J3057=1,N(I3057)+ROW()/10000000,0)</f>
        <v>0</v>
      </c>
      <c r="L3057" s="47" t="str">
        <f aca="false">IF(AND(J3057=1,N(I3057)&gt;0),SUMIF($K$2:$K$5001,"&gt;="&amp;K3057,$I$2:$I$5001)/MAX(1,SUM($H$2:$H$5001)),"")</f>
        <v/>
      </c>
      <c r="M3057" s="47" t="str">
        <f aca="false">IF($A3057="","",INDEX($L$2:$L$5001,MATCH($A3057,$A$2:$A$5001,0)))</f>
        <v/>
      </c>
      <c r="N3057" s="48" t="str">
        <f aca="false">IF($A3057="","",IF(N(M3057)=0,"–",IF(M3057&lt;=Start!$D$20,"A",IF(M3057&lt;=Start!$D$21,"B","C"))))</f>
        <v/>
      </c>
      <c r="O3057" s="48" t="str">
        <f aca="false">IF($A3057="","",IF(NOT(ISNUMBER(F3057)),"Wert fehlt; ",IF(F3057&lt;=0,"Wert ist 0; ",""))&amp;IF(NOT(ISNUMBER(E3057)),"Bestand fehlt; ",IF(E3057&lt;0,"Bestand negativ; ",IF(E3057=0,"Nullbestand; ","")))&amp;IF(D3057="","Warengruppe fehlt; ","")&amp;IF(B3057="","Bezeichnung fehlt; ","")&amp;IF(COUNTIFS($A$2:$A$5001,$A3057,$C$2:$C$5001,C3057)&gt;1,"Artikel doppelt im selben Lager; ",""))</f>
        <v/>
      </c>
      <c r="P3057" s="47" t="n">
        <f aca="false">IF(OR($A3057="",D3057=""),0,IF(COUNTIF($D$2:D3057,D3057)=1,SUMIF($D$2:$D$5001,D3057,$H$2:$H$5001)+ROW()/10000000,0))</f>
        <v>0</v>
      </c>
      <c r="Q3057" s="47" t="n">
        <f aca="false">IF(OR($A3057="",C3057=""),0,IF(COUNTIF($C$2:C3057,C3057)=1,SUMIF($C$2:$C$5001,C3057,$H$2:$H$5001)+ROW()/10000000,0))</f>
        <v>0</v>
      </c>
    </row>
    <row r="3058" customFormat="false" ht="15" hidden="false" customHeight="false" outlineLevel="0" collapsed="false">
      <c r="A3058" s="43"/>
      <c r="B3058" s="44"/>
      <c r="C3058" s="44"/>
      <c r="D3058" s="44"/>
      <c r="E3058" s="44"/>
      <c r="F3058" s="44"/>
      <c r="G3058" s="44"/>
      <c r="H3058" s="46" t="str">
        <f aca="false">IF($A3058="","",IF(OR(NOT(ISNUMBER(E3058)),NOT(ISNUMBER(F3058))),"",MAX(0,E3058)*F3058))</f>
        <v/>
      </c>
      <c r="I3058" s="46" t="str">
        <f aca="false">IF($A3058="","",SUMIF($A$2:$A$5001,$A3058,$H$2:$H$5001))</f>
        <v/>
      </c>
      <c r="J3058" s="47" t="n">
        <f aca="false">IF($A3058="",0,IF(COUNTIF($A$2:A3058,$A3058)=1,1,0))</f>
        <v>0</v>
      </c>
      <c r="K3058" s="47" t="n">
        <f aca="false">IF(J3058=1,N(I3058)+ROW()/10000000,0)</f>
        <v>0</v>
      </c>
      <c r="L3058" s="47" t="str">
        <f aca="false">IF(AND(J3058=1,N(I3058)&gt;0),SUMIF($K$2:$K$5001,"&gt;="&amp;K3058,$I$2:$I$5001)/MAX(1,SUM($H$2:$H$5001)),"")</f>
        <v/>
      </c>
      <c r="M3058" s="47" t="str">
        <f aca="false">IF($A3058="","",INDEX($L$2:$L$5001,MATCH($A3058,$A$2:$A$5001,0)))</f>
        <v/>
      </c>
      <c r="N3058" s="48" t="str">
        <f aca="false">IF($A3058="","",IF(N(M3058)=0,"–",IF(M3058&lt;=Start!$D$20,"A",IF(M3058&lt;=Start!$D$21,"B","C"))))</f>
        <v/>
      </c>
      <c r="O3058" s="48" t="str">
        <f aca="false">IF($A3058="","",IF(NOT(ISNUMBER(F3058)),"Wert fehlt; ",IF(F3058&lt;=0,"Wert ist 0; ",""))&amp;IF(NOT(ISNUMBER(E3058)),"Bestand fehlt; ",IF(E3058&lt;0,"Bestand negativ; ",IF(E3058=0,"Nullbestand; ","")))&amp;IF(D3058="","Warengruppe fehlt; ","")&amp;IF(B3058="","Bezeichnung fehlt; ","")&amp;IF(COUNTIFS($A$2:$A$5001,$A3058,$C$2:$C$5001,C3058)&gt;1,"Artikel doppelt im selben Lager; ",""))</f>
        <v/>
      </c>
      <c r="P3058" s="47" t="n">
        <f aca="false">IF(OR($A3058="",D3058=""),0,IF(COUNTIF($D$2:D3058,D3058)=1,SUMIF($D$2:$D$5001,D3058,$H$2:$H$5001)+ROW()/10000000,0))</f>
        <v>0</v>
      </c>
      <c r="Q3058" s="47" t="n">
        <f aca="false">IF(OR($A3058="",C3058=""),0,IF(COUNTIF($C$2:C3058,C3058)=1,SUMIF($C$2:$C$5001,C3058,$H$2:$H$5001)+ROW()/10000000,0))</f>
        <v>0</v>
      </c>
    </row>
    <row r="3059" customFormat="false" ht="15" hidden="false" customHeight="false" outlineLevel="0" collapsed="false">
      <c r="A3059" s="43"/>
      <c r="B3059" s="44"/>
      <c r="C3059" s="44"/>
      <c r="D3059" s="44"/>
      <c r="E3059" s="44"/>
      <c r="F3059" s="44"/>
      <c r="G3059" s="44"/>
      <c r="H3059" s="46" t="str">
        <f aca="false">IF($A3059="","",IF(OR(NOT(ISNUMBER(E3059)),NOT(ISNUMBER(F3059))),"",MAX(0,E3059)*F3059))</f>
        <v/>
      </c>
      <c r="I3059" s="46" t="str">
        <f aca="false">IF($A3059="","",SUMIF($A$2:$A$5001,$A3059,$H$2:$H$5001))</f>
        <v/>
      </c>
      <c r="J3059" s="47" t="n">
        <f aca="false">IF($A3059="",0,IF(COUNTIF($A$2:A3059,$A3059)=1,1,0))</f>
        <v>0</v>
      </c>
      <c r="K3059" s="47" t="n">
        <f aca="false">IF(J3059=1,N(I3059)+ROW()/10000000,0)</f>
        <v>0</v>
      </c>
      <c r="L3059" s="47" t="str">
        <f aca="false">IF(AND(J3059=1,N(I3059)&gt;0),SUMIF($K$2:$K$5001,"&gt;="&amp;K3059,$I$2:$I$5001)/MAX(1,SUM($H$2:$H$5001)),"")</f>
        <v/>
      </c>
      <c r="M3059" s="47" t="str">
        <f aca="false">IF($A3059="","",INDEX($L$2:$L$5001,MATCH($A3059,$A$2:$A$5001,0)))</f>
        <v/>
      </c>
      <c r="N3059" s="48" t="str">
        <f aca="false">IF($A3059="","",IF(N(M3059)=0,"–",IF(M3059&lt;=Start!$D$20,"A",IF(M3059&lt;=Start!$D$21,"B","C"))))</f>
        <v/>
      </c>
      <c r="O3059" s="48" t="str">
        <f aca="false">IF($A3059="","",IF(NOT(ISNUMBER(F3059)),"Wert fehlt; ",IF(F3059&lt;=0,"Wert ist 0; ",""))&amp;IF(NOT(ISNUMBER(E3059)),"Bestand fehlt; ",IF(E3059&lt;0,"Bestand negativ; ",IF(E3059=0,"Nullbestand; ","")))&amp;IF(D3059="","Warengruppe fehlt; ","")&amp;IF(B3059="","Bezeichnung fehlt; ","")&amp;IF(COUNTIFS($A$2:$A$5001,$A3059,$C$2:$C$5001,C3059)&gt;1,"Artikel doppelt im selben Lager; ",""))</f>
        <v/>
      </c>
      <c r="P3059" s="47" t="n">
        <f aca="false">IF(OR($A3059="",D3059=""),0,IF(COUNTIF($D$2:D3059,D3059)=1,SUMIF($D$2:$D$5001,D3059,$H$2:$H$5001)+ROW()/10000000,0))</f>
        <v>0</v>
      </c>
      <c r="Q3059" s="47" t="n">
        <f aca="false">IF(OR($A3059="",C3059=""),0,IF(COUNTIF($C$2:C3059,C3059)=1,SUMIF($C$2:$C$5001,C3059,$H$2:$H$5001)+ROW()/10000000,0))</f>
        <v>0</v>
      </c>
    </row>
    <row r="3060" customFormat="false" ht="15" hidden="false" customHeight="false" outlineLevel="0" collapsed="false">
      <c r="A3060" s="43"/>
      <c r="B3060" s="44"/>
      <c r="C3060" s="44"/>
      <c r="D3060" s="44"/>
      <c r="E3060" s="44"/>
      <c r="F3060" s="44"/>
      <c r="G3060" s="44"/>
      <c r="H3060" s="46" t="str">
        <f aca="false">IF($A3060="","",IF(OR(NOT(ISNUMBER(E3060)),NOT(ISNUMBER(F3060))),"",MAX(0,E3060)*F3060))</f>
        <v/>
      </c>
      <c r="I3060" s="46" t="str">
        <f aca="false">IF($A3060="","",SUMIF($A$2:$A$5001,$A3060,$H$2:$H$5001))</f>
        <v/>
      </c>
      <c r="J3060" s="47" t="n">
        <f aca="false">IF($A3060="",0,IF(COUNTIF($A$2:A3060,$A3060)=1,1,0))</f>
        <v>0</v>
      </c>
      <c r="K3060" s="47" t="n">
        <f aca="false">IF(J3060=1,N(I3060)+ROW()/10000000,0)</f>
        <v>0</v>
      </c>
      <c r="L3060" s="47" t="str">
        <f aca="false">IF(AND(J3060=1,N(I3060)&gt;0),SUMIF($K$2:$K$5001,"&gt;="&amp;K3060,$I$2:$I$5001)/MAX(1,SUM($H$2:$H$5001)),"")</f>
        <v/>
      </c>
      <c r="M3060" s="47" t="str">
        <f aca="false">IF($A3060="","",INDEX($L$2:$L$5001,MATCH($A3060,$A$2:$A$5001,0)))</f>
        <v/>
      </c>
      <c r="N3060" s="48" t="str">
        <f aca="false">IF($A3060="","",IF(N(M3060)=0,"–",IF(M3060&lt;=Start!$D$20,"A",IF(M3060&lt;=Start!$D$21,"B","C"))))</f>
        <v/>
      </c>
      <c r="O3060" s="48" t="str">
        <f aca="false">IF($A3060="","",IF(NOT(ISNUMBER(F3060)),"Wert fehlt; ",IF(F3060&lt;=0,"Wert ist 0; ",""))&amp;IF(NOT(ISNUMBER(E3060)),"Bestand fehlt; ",IF(E3060&lt;0,"Bestand negativ; ",IF(E3060=0,"Nullbestand; ","")))&amp;IF(D3060="","Warengruppe fehlt; ","")&amp;IF(B3060="","Bezeichnung fehlt; ","")&amp;IF(COUNTIFS($A$2:$A$5001,$A3060,$C$2:$C$5001,C3060)&gt;1,"Artikel doppelt im selben Lager; ",""))</f>
        <v/>
      </c>
      <c r="P3060" s="47" t="n">
        <f aca="false">IF(OR($A3060="",D3060=""),0,IF(COUNTIF($D$2:D3060,D3060)=1,SUMIF($D$2:$D$5001,D3060,$H$2:$H$5001)+ROW()/10000000,0))</f>
        <v>0</v>
      </c>
      <c r="Q3060" s="47" t="n">
        <f aca="false">IF(OR($A3060="",C3060=""),0,IF(COUNTIF($C$2:C3060,C3060)=1,SUMIF($C$2:$C$5001,C3060,$H$2:$H$5001)+ROW()/10000000,0))</f>
        <v>0</v>
      </c>
    </row>
    <row r="3061" customFormat="false" ht="15" hidden="false" customHeight="false" outlineLevel="0" collapsed="false">
      <c r="A3061" s="43"/>
      <c r="B3061" s="44"/>
      <c r="C3061" s="44"/>
      <c r="D3061" s="44"/>
      <c r="E3061" s="44"/>
      <c r="F3061" s="44"/>
      <c r="G3061" s="44"/>
      <c r="H3061" s="46" t="str">
        <f aca="false">IF($A3061="","",IF(OR(NOT(ISNUMBER(E3061)),NOT(ISNUMBER(F3061))),"",MAX(0,E3061)*F3061))</f>
        <v/>
      </c>
      <c r="I3061" s="46" t="str">
        <f aca="false">IF($A3061="","",SUMIF($A$2:$A$5001,$A3061,$H$2:$H$5001))</f>
        <v/>
      </c>
      <c r="J3061" s="47" t="n">
        <f aca="false">IF($A3061="",0,IF(COUNTIF($A$2:A3061,$A3061)=1,1,0))</f>
        <v>0</v>
      </c>
      <c r="K3061" s="47" t="n">
        <f aca="false">IF(J3061=1,N(I3061)+ROW()/10000000,0)</f>
        <v>0</v>
      </c>
      <c r="L3061" s="47" t="str">
        <f aca="false">IF(AND(J3061=1,N(I3061)&gt;0),SUMIF($K$2:$K$5001,"&gt;="&amp;K3061,$I$2:$I$5001)/MAX(1,SUM($H$2:$H$5001)),"")</f>
        <v/>
      </c>
      <c r="M3061" s="47" t="str">
        <f aca="false">IF($A3061="","",INDEX($L$2:$L$5001,MATCH($A3061,$A$2:$A$5001,0)))</f>
        <v/>
      </c>
      <c r="N3061" s="48" t="str">
        <f aca="false">IF($A3061="","",IF(N(M3061)=0,"–",IF(M3061&lt;=Start!$D$20,"A",IF(M3061&lt;=Start!$D$21,"B","C"))))</f>
        <v/>
      </c>
      <c r="O3061" s="48" t="str">
        <f aca="false">IF($A3061="","",IF(NOT(ISNUMBER(F3061)),"Wert fehlt; ",IF(F3061&lt;=0,"Wert ist 0; ",""))&amp;IF(NOT(ISNUMBER(E3061)),"Bestand fehlt; ",IF(E3061&lt;0,"Bestand negativ; ",IF(E3061=0,"Nullbestand; ","")))&amp;IF(D3061="","Warengruppe fehlt; ","")&amp;IF(B3061="","Bezeichnung fehlt; ","")&amp;IF(COUNTIFS($A$2:$A$5001,$A3061,$C$2:$C$5001,C3061)&gt;1,"Artikel doppelt im selben Lager; ",""))</f>
        <v/>
      </c>
      <c r="P3061" s="47" t="n">
        <f aca="false">IF(OR($A3061="",D3061=""),0,IF(COUNTIF($D$2:D3061,D3061)=1,SUMIF($D$2:$D$5001,D3061,$H$2:$H$5001)+ROW()/10000000,0))</f>
        <v>0</v>
      </c>
      <c r="Q3061" s="47" t="n">
        <f aca="false">IF(OR($A3061="",C3061=""),0,IF(COUNTIF($C$2:C3061,C3061)=1,SUMIF($C$2:$C$5001,C3061,$H$2:$H$5001)+ROW()/10000000,0))</f>
        <v>0</v>
      </c>
    </row>
    <row r="3062" customFormat="false" ht="15" hidden="false" customHeight="false" outlineLevel="0" collapsed="false">
      <c r="A3062" s="43"/>
      <c r="B3062" s="44"/>
      <c r="C3062" s="44"/>
      <c r="D3062" s="44"/>
      <c r="E3062" s="44"/>
      <c r="F3062" s="44"/>
      <c r="G3062" s="44"/>
      <c r="H3062" s="46" t="str">
        <f aca="false">IF($A3062="","",IF(OR(NOT(ISNUMBER(E3062)),NOT(ISNUMBER(F3062))),"",MAX(0,E3062)*F3062))</f>
        <v/>
      </c>
      <c r="I3062" s="46" t="str">
        <f aca="false">IF($A3062="","",SUMIF($A$2:$A$5001,$A3062,$H$2:$H$5001))</f>
        <v/>
      </c>
      <c r="J3062" s="47" t="n">
        <f aca="false">IF($A3062="",0,IF(COUNTIF($A$2:A3062,$A3062)=1,1,0))</f>
        <v>0</v>
      </c>
      <c r="K3062" s="47" t="n">
        <f aca="false">IF(J3062=1,N(I3062)+ROW()/10000000,0)</f>
        <v>0</v>
      </c>
      <c r="L3062" s="47" t="str">
        <f aca="false">IF(AND(J3062=1,N(I3062)&gt;0),SUMIF($K$2:$K$5001,"&gt;="&amp;K3062,$I$2:$I$5001)/MAX(1,SUM($H$2:$H$5001)),"")</f>
        <v/>
      </c>
      <c r="M3062" s="47" t="str">
        <f aca="false">IF($A3062="","",INDEX($L$2:$L$5001,MATCH($A3062,$A$2:$A$5001,0)))</f>
        <v/>
      </c>
      <c r="N3062" s="48" t="str">
        <f aca="false">IF($A3062="","",IF(N(M3062)=0,"–",IF(M3062&lt;=Start!$D$20,"A",IF(M3062&lt;=Start!$D$21,"B","C"))))</f>
        <v/>
      </c>
      <c r="O3062" s="48" t="str">
        <f aca="false">IF($A3062="","",IF(NOT(ISNUMBER(F3062)),"Wert fehlt; ",IF(F3062&lt;=0,"Wert ist 0; ",""))&amp;IF(NOT(ISNUMBER(E3062)),"Bestand fehlt; ",IF(E3062&lt;0,"Bestand negativ; ",IF(E3062=0,"Nullbestand; ","")))&amp;IF(D3062="","Warengruppe fehlt; ","")&amp;IF(B3062="","Bezeichnung fehlt; ","")&amp;IF(COUNTIFS($A$2:$A$5001,$A3062,$C$2:$C$5001,C3062)&gt;1,"Artikel doppelt im selben Lager; ",""))</f>
        <v/>
      </c>
      <c r="P3062" s="47" t="n">
        <f aca="false">IF(OR($A3062="",D3062=""),0,IF(COUNTIF($D$2:D3062,D3062)=1,SUMIF($D$2:$D$5001,D3062,$H$2:$H$5001)+ROW()/10000000,0))</f>
        <v>0</v>
      </c>
      <c r="Q3062" s="47" t="n">
        <f aca="false">IF(OR($A3062="",C3062=""),0,IF(COUNTIF($C$2:C3062,C3062)=1,SUMIF($C$2:$C$5001,C3062,$H$2:$H$5001)+ROW()/10000000,0))</f>
        <v>0</v>
      </c>
    </row>
    <row r="3063" customFormat="false" ht="15" hidden="false" customHeight="false" outlineLevel="0" collapsed="false">
      <c r="A3063" s="43"/>
      <c r="B3063" s="44"/>
      <c r="C3063" s="44"/>
      <c r="D3063" s="44"/>
      <c r="E3063" s="44"/>
      <c r="F3063" s="44"/>
      <c r="G3063" s="44"/>
      <c r="H3063" s="46" t="str">
        <f aca="false">IF($A3063="","",IF(OR(NOT(ISNUMBER(E3063)),NOT(ISNUMBER(F3063))),"",MAX(0,E3063)*F3063))</f>
        <v/>
      </c>
      <c r="I3063" s="46" t="str">
        <f aca="false">IF($A3063="","",SUMIF($A$2:$A$5001,$A3063,$H$2:$H$5001))</f>
        <v/>
      </c>
      <c r="J3063" s="47" t="n">
        <f aca="false">IF($A3063="",0,IF(COUNTIF($A$2:A3063,$A3063)=1,1,0))</f>
        <v>0</v>
      </c>
      <c r="K3063" s="47" t="n">
        <f aca="false">IF(J3063=1,N(I3063)+ROW()/10000000,0)</f>
        <v>0</v>
      </c>
      <c r="L3063" s="47" t="str">
        <f aca="false">IF(AND(J3063=1,N(I3063)&gt;0),SUMIF($K$2:$K$5001,"&gt;="&amp;K3063,$I$2:$I$5001)/MAX(1,SUM($H$2:$H$5001)),"")</f>
        <v/>
      </c>
      <c r="M3063" s="47" t="str">
        <f aca="false">IF($A3063="","",INDEX($L$2:$L$5001,MATCH($A3063,$A$2:$A$5001,0)))</f>
        <v/>
      </c>
      <c r="N3063" s="48" t="str">
        <f aca="false">IF($A3063="","",IF(N(M3063)=0,"–",IF(M3063&lt;=Start!$D$20,"A",IF(M3063&lt;=Start!$D$21,"B","C"))))</f>
        <v/>
      </c>
      <c r="O3063" s="48" t="str">
        <f aca="false">IF($A3063="","",IF(NOT(ISNUMBER(F3063)),"Wert fehlt; ",IF(F3063&lt;=0,"Wert ist 0; ",""))&amp;IF(NOT(ISNUMBER(E3063)),"Bestand fehlt; ",IF(E3063&lt;0,"Bestand negativ; ",IF(E3063=0,"Nullbestand; ","")))&amp;IF(D3063="","Warengruppe fehlt; ","")&amp;IF(B3063="","Bezeichnung fehlt; ","")&amp;IF(COUNTIFS($A$2:$A$5001,$A3063,$C$2:$C$5001,C3063)&gt;1,"Artikel doppelt im selben Lager; ",""))</f>
        <v/>
      </c>
      <c r="P3063" s="47" t="n">
        <f aca="false">IF(OR($A3063="",D3063=""),0,IF(COUNTIF($D$2:D3063,D3063)=1,SUMIF($D$2:$D$5001,D3063,$H$2:$H$5001)+ROW()/10000000,0))</f>
        <v>0</v>
      </c>
      <c r="Q3063" s="47" t="n">
        <f aca="false">IF(OR($A3063="",C3063=""),0,IF(COUNTIF($C$2:C3063,C3063)=1,SUMIF($C$2:$C$5001,C3063,$H$2:$H$5001)+ROW()/10000000,0))</f>
        <v>0</v>
      </c>
    </row>
    <row r="3064" customFormat="false" ht="15" hidden="false" customHeight="false" outlineLevel="0" collapsed="false">
      <c r="A3064" s="43"/>
      <c r="B3064" s="44"/>
      <c r="C3064" s="44"/>
      <c r="D3064" s="44"/>
      <c r="E3064" s="44"/>
      <c r="F3064" s="44"/>
      <c r="G3064" s="44"/>
      <c r="H3064" s="46" t="str">
        <f aca="false">IF($A3064="","",IF(OR(NOT(ISNUMBER(E3064)),NOT(ISNUMBER(F3064))),"",MAX(0,E3064)*F3064))</f>
        <v/>
      </c>
      <c r="I3064" s="46" t="str">
        <f aca="false">IF($A3064="","",SUMIF($A$2:$A$5001,$A3064,$H$2:$H$5001))</f>
        <v/>
      </c>
      <c r="J3064" s="47" t="n">
        <f aca="false">IF($A3064="",0,IF(COUNTIF($A$2:A3064,$A3064)=1,1,0))</f>
        <v>0</v>
      </c>
      <c r="K3064" s="47" t="n">
        <f aca="false">IF(J3064=1,N(I3064)+ROW()/10000000,0)</f>
        <v>0</v>
      </c>
      <c r="L3064" s="47" t="str">
        <f aca="false">IF(AND(J3064=1,N(I3064)&gt;0),SUMIF($K$2:$K$5001,"&gt;="&amp;K3064,$I$2:$I$5001)/MAX(1,SUM($H$2:$H$5001)),"")</f>
        <v/>
      </c>
      <c r="M3064" s="47" t="str">
        <f aca="false">IF($A3064="","",INDEX($L$2:$L$5001,MATCH($A3064,$A$2:$A$5001,0)))</f>
        <v/>
      </c>
      <c r="N3064" s="48" t="str">
        <f aca="false">IF($A3064="","",IF(N(M3064)=0,"–",IF(M3064&lt;=Start!$D$20,"A",IF(M3064&lt;=Start!$D$21,"B","C"))))</f>
        <v/>
      </c>
      <c r="O3064" s="48" t="str">
        <f aca="false">IF($A3064="","",IF(NOT(ISNUMBER(F3064)),"Wert fehlt; ",IF(F3064&lt;=0,"Wert ist 0; ",""))&amp;IF(NOT(ISNUMBER(E3064)),"Bestand fehlt; ",IF(E3064&lt;0,"Bestand negativ; ",IF(E3064=0,"Nullbestand; ","")))&amp;IF(D3064="","Warengruppe fehlt; ","")&amp;IF(B3064="","Bezeichnung fehlt; ","")&amp;IF(COUNTIFS($A$2:$A$5001,$A3064,$C$2:$C$5001,C3064)&gt;1,"Artikel doppelt im selben Lager; ",""))</f>
        <v/>
      </c>
      <c r="P3064" s="47" t="n">
        <f aca="false">IF(OR($A3064="",D3064=""),0,IF(COUNTIF($D$2:D3064,D3064)=1,SUMIF($D$2:$D$5001,D3064,$H$2:$H$5001)+ROW()/10000000,0))</f>
        <v>0</v>
      </c>
      <c r="Q3064" s="47" t="n">
        <f aca="false">IF(OR($A3064="",C3064=""),0,IF(COUNTIF($C$2:C3064,C3064)=1,SUMIF($C$2:$C$5001,C3064,$H$2:$H$5001)+ROW()/10000000,0))</f>
        <v>0</v>
      </c>
    </row>
    <row r="3065" customFormat="false" ht="15" hidden="false" customHeight="false" outlineLevel="0" collapsed="false">
      <c r="A3065" s="43"/>
      <c r="B3065" s="44"/>
      <c r="C3065" s="44"/>
      <c r="D3065" s="44"/>
      <c r="E3065" s="44"/>
      <c r="F3065" s="44"/>
      <c r="G3065" s="44"/>
      <c r="H3065" s="46" t="str">
        <f aca="false">IF($A3065="","",IF(OR(NOT(ISNUMBER(E3065)),NOT(ISNUMBER(F3065))),"",MAX(0,E3065)*F3065))</f>
        <v/>
      </c>
      <c r="I3065" s="46" t="str">
        <f aca="false">IF($A3065="","",SUMIF($A$2:$A$5001,$A3065,$H$2:$H$5001))</f>
        <v/>
      </c>
      <c r="J3065" s="47" t="n">
        <f aca="false">IF($A3065="",0,IF(COUNTIF($A$2:A3065,$A3065)=1,1,0))</f>
        <v>0</v>
      </c>
      <c r="K3065" s="47" t="n">
        <f aca="false">IF(J3065=1,N(I3065)+ROW()/10000000,0)</f>
        <v>0</v>
      </c>
      <c r="L3065" s="47" t="str">
        <f aca="false">IF(AND(J3065=1,N(I3065)&gt;0),SUMIF($K$2:$K$5001,"&gt;="&amp;K3065,$I$2:$I$5001)/MAX(1,SUM($H$2:$H$5001)),"")</f>
        <v/>
      </c>
      <c r="M3065" s="47" t="str">
        <f aca="false">IF($A3065="","",INDEX($L$2:$L$5001,MATCH($A3065,$A$2:$A$5001,0)))</f>
        <v/>
      </c>
      <c r="N3065" s="48" t="str">
        <f aca="false">IF($A3065="","",IF(N(M3065)=0,"–",IF(M3065&lt;=Start!$D$20,"A",IF(M3065&lt;=Start!$D$21,"B","C"))))</f>
        <v/>
      </c>
      <c r="O3065" s="48" t="str">
        <f aca="false">IF($A3065="","",IF(NOT(ISNUMBER(F3065)),"Wert fehlt; ",IF(F3065&lt;=0,"Wert ist 0; ",""))&amp;IF(NOT(ISNUMBER(E3065)),"Bestand fehlt; ",IF(E3065&lt;0,"Bestand negativ; ",IF(E3065=0,"Nullbestand; ","")))&amp;IF(D3065="","Warengruppe fehlt; ","")&amp;IF(B3065="","Bezeichnung fehlt; ","")&amp;IF(COUNTIFS($A$2:$A$5001,$A3065,$C$2:$C$5001,C3065)&gt;1,"Artikel doppelt im selben Lager; ",""))</f>
        <v/>
      </c>
      <c r="P3065" s="47" t="n">
        <f aca="false">IF(OR($A3065="",D3065=""),0,IF(COUNTIF($D$2:D3065,D3065)=1,SUMIF($D$2:$D$5001,D3065,$H$2:$H$5001)+ROW()/10000000,0))</f>
        <v>0</v>
      </c>
      <c r="Q3065" s="47" t="n">
        <f aca="false">IF(OR($A3065="",C3065=""),0,IF(COUNTIF($C$2:C3065,C3065)=1,SUMIF($C$2:$C$5001,C3065,$H$2:$H$5001)+ROW()/10000000,0))</f>
        <v>0</v>
      </c>
    </row>
    <row r="3066" customFormat="false" ht="15" hidden="false" customHeight="false" outlineLevel="0" collapsed="false">
      <c r="A3066" s="43"/>
      <c r="B3066" s="44"/>
      <c r="C3066" s="44"/>
      <c r="D3066" s="44"/>
      <c r="E3066" s="44"/>
      <c r="F3066" s="44"/>
      <c r="G3066" s="44"/>
      <c r="H3066" s="46" t="str">
        <f aca="false">IF($A3066="","",IF(OR(NOT(ISNUMBER(E3066)),NOT(ISNUMBER(F3066))),"",MAX(0,E3066)*F3066))</f>
        <v/>
      </c>
      <c r="I3066" s="46" t="str">
        <f aca="false">IF($A3066="","",SUMIF($A$2:$A$5001,$A3066,$H$2:$H$5001))</f>
        <v/>
      </c>
      <c r="J3066" s="47" t="n">
        <f aca="false">IF($A3066="",0,IF(COUNTIF($A$2:A3066,$A3066)=1,1,0))</f>
        <v>0</v>
      </c>
      <c r="K3066" s="47" t="n">
        <f aca="false">IF(J3066=1,N(I3066)+ROW()/10000000,0)</f>
        <v>0</v>
      </c>
      <c r="L3066" s="47" t="str">
        <f aca="false">IF(AND(J3066=1,N(I3066)&gt;0),SUMIF($K$2:$K$5001,"&gt;="&amp;K3066,$I$2:$I$5001)/MAX(1,SUM($H$2:$H$5001)),"")</f>
        <v/>
      </c>
      <c r="M3066" s="47" t="str">
        <f aca="false">IF($A3066="","",INDEX($L$2:$L$5001,MATCH($A3066,$A$2:$A$5001,0)))</f>
        <v/>
      </c>
      <c r="N3066" s="48" t="str">
        <f aca="false">IF($A3066="","",IF(N(M3066)=0,"–",IF(M3066&lt;=Start!$D$20,"A",IF(M3066&lt;=Start!$D$21,"B","C"))))</f>
        <v/>
      </c>
      <c r="O3066" s="48" t="str">
        <f aca="false">IF($A3066="","",IF(NOT(ISNUMBER(F3066)),"Wert fehlt; ",IF(F3066&lt;=0,"Wert ist 0; ",""))&amp;IF(NOT(ISNUMBER(E3066)),"Bestand fehlt; ",IF(E3066&lt;0,"Bestand negativ; ",IF(E3066=0,"Nullbestand; ","")))&amp;IF(D3066="","Warengruppe fehlt; ","")&amp;IF(B3066="","Bezeichnung fehlt; ","")&amp;IF(COUNTIFS($A$2:$A$5001,$A3066,$C$2:$C$5001,C3066)&gt;1,"Artikel doppelt im selben Lager; ",""))</f>
        <v/>
      </c>
      <c r="P3066" s="47" t="n">
        <f aca="false">IF(OR($A3066="",D3066=""),0,IF(COUNTIF($D$2:D3066,D3066)=1,SUMIF($D$2:$D$5001,D3066,$H$2:$H$5001)+ROW()/10000000,0))</f>
        <v>0</v>
      </c>
      <c r="Q3066" s="47" t="n">
        <f aca="false">IF(OR($A3066="",C3066=""),0,IF(COUNTIF($C$2:C3066,C3066)=1,SUMIF($C$2:$C$5001,C3066,$H$2:$H$5001)+ROW()/10000000,0))</f>
        <v>0</v>
      </c>
    </row>
    <row r="3067" customFormat="false" ht="15" hidden="false" customHeight="false" outlineLevel="0" collapsed="false">
      <c r="A3067" s="43"/>
      <c r="B3067" s="44"/>
      <c r="C3067" s="44"/>
      <c r="D3067" s="44"/>
      <c r="E3067" s="44"/>
      <c r="F3067" s="44"/>
      <c r="G3067" s="44"/>
      <c r="H3067" s="46" t="str">
        <f aca="false">IF($A3067="","",IF(OR(NOT(ISNUMBER(E3067)),NOT(ISNUMBER(F3067))),"",MAX(0,E3067)*F3067))</f>
        <v/>
      </c>
      <c r="I3067" s="46" t="str">
        <f aca="false">IF($A3067="","",SUMIF($A$2:$A$5001,$A3067,$H$2:$H$5001))</f>
        <v/>
      </c>
      <c r="J3067" s="47" t="n">
        <f aca="false">IF($A3067="",0,IF(COUNTIF($A$2:A3067,$A3067)=1,1,0))</f>
        <v>0</v>
      </c>
      <c r="K3067" s="47" t="n">
        <f aca="false">IF(J3067=1,N(I3067)+ROW()/10000000,0)</f>
        <v>0</v>
      </c>
      <c r="L3067" s="47" t="str">
        <f aca="false">IF(AND(J3067=1,N(I3067)&gt;0),SUMIF($K$2:$K$5001,"&gt;="&amp;K3067,$I$2:$I$5001)/MAX(1,SUM($H$2:$H$5001)),"")</f>
        <v/>
      </c>
      <c r="M3067" s="47" t="str">
        <f aca="false">IF($A3067="","",INDEX($L$2:$L$5001,MATCH($A3067,$A$2:$A$5001,0)))</f>
        <v/>
      </c>
      <c r="N3067" s="48" t="str">
        <f aca="false">IF($A3067="","",IF(N(M3067)=0,"–",IF(M3067&lt;=Start!$D$20,"A",IF(M3067&lt;=Start!$D$21,"B","C"))))</f>
        <v/>
      </c>
      <c r="O3067" s="48" t="str">
        <f aca="false">IF($A3067="","",IF(NOT(ISNUMBER(F3067)),"Wert fehlt; ",IF(F3067&lt;=0,"Wert ist 0; ",""))&amp;IF(NOT(ISNUMBER(E3067)),"Bestand fehlt; ",IF(E3067&lt;0,"Bestand negativ; ",IF(E3067=0,"Nullbestand; ","")))&amp;IF(D3067="","Warengruppe fehlt; ","")&amp;IF(B3067="","Bezeichnung fehlt; ","")&amp;IF(COUNTIFS($A$2:$A$5001,$A3067,$C$2:$C$5001,C3067)&gt;1,"Artikel doppelt im selben Lager; ",""))</f>
        <v/>
      </c>
      <c r="P3067" s="47" t="n">
        <f aca="false">IF(OR($A3067="",D3067=""),0,IF(COUNTIF($D$2:D3067,D3067)=1,SUMIF($D$2:$D$5001,D3067,$H$2:$H$5001)+ROW()/10000000,0))</f>
        <v>0</v>
      </c>
      <c r="Q3067" s="47" t="n">
        <f aca="false">IF(OR($A3067="",C3067=""),0,IF(COUNTIF($C$2:C3067,C3067)=1,SUMIF($C$2:$C$5001,C3067,$H$2:$H$5001)+ROW()/10000000,0))</f>
        <v>0</v>
      </c>
    </row>
    <row r="3068" customFormat="false" ht="15" hidden="false" customHeight="false" outlineLevel="0" collapsed="false">
      <c r="A3068" s="43"/>
      <c r="B3068" s="44"/>
      <c r="C3068" s="44"/>
      <c r="D3068" s="44"/>
      <c r="E3068" s="44"/>
      <c r="F3068" s="44"/>
      <c r="G3068" s="44"/>
      <c r="H3068" s="46" t="str">
        <f aca="false">IF($A3068="","",IF(OR(NOT(ISNUMBER(E3068)),NOT(ISNUMBER(F3068))),"",MAX(0,E3068)*F3068))</f>
        <v/>
      </c>
      <c r="I3068" s="46" t="str">
        <f aca="false">IF($A3068="","",SUMIF($A$2:$A$5001,$A3068,$H$2:$H$5001))</f>
        <v/>
      </c>
      <c r="J3068" s="47" t="n">
        <f aca="false">IF($A3068="",0,IF(COUNTIF($A$2:A3068,$A3068)=1,1,0))</f>
        <v>0</v>
      </c>
      <c r="K3068" s="47" t="n">
        <f aca="false">IF(J3068=1,N(I3068)+ROW()/10000000,0)</f>
        <v>0</v>
      </c>
      <c r="L3068" s="47" t="str">
        <f aca="false">IF(AND(J3068=1,N(I3068)&gt;0),SUMIF($K$2:$K$5001,"&gt;="&amp;K3068,$I$2:$I$5001)/MAX(1,SUM($H$2:$H$5001)),"")</f>
        <v/>
      </c>
      <c r="M3068" s="47" t="str">
        <f aca="false">IF($A3068="","",INDEX($L$2:$L$5001,MATCH($A3068,$A$2:$A$5001,0)))</f>
        <v/>
      </c>
      <c r="N3068" s="48" t="str">
        <f aca="false">IF($A3068="","",IF(N(M3068)=0,"–",IF(M3068&lt;=Start!$D$20,"A",IF(M3068&lt;=Start!$D$21,"B","C"))))</f>
        <v/>
      </c>
      <c r="O3068" s="48" t="str">
        <f aca="false">IF($A3068="","",IF(NOT(ISNUMBER(F3068)),"Wert fehlt; ",IF(F3068&lt;=0,"Wert ist 0; ",""))&amp;IF(NOT(ISNUMBER(E3068)),"Bestand fehlt; ",IF(E3068&lt;0,"Bestand negativ; ",IF(E3068=0,"Nullbestand; ","")))&amp;IF(D3068="","Warengruppe fehlt; ","")&amp;IF(B3068="","Bezeichnung fehlt; ","")&amp;IF(COUNTIFS($A$2:$A$5001,$A3068,$C$2:$C$5001,C3068)&gt;1,"Artikel doppelt im selben Lager; ",""))</f>
        <v/>
      </c>
      <c r="P3068" s="47" t="n">
        <f aca="false">IF(OR($A3068="",D3068=""),0,IF(COUNTIF($D$2:D3068,D3068)=1,SUMIF($D$2:$D$5001,D3068,$H$2:$H$5001)+ROW()/10000000,0))</f>
        <v>0</v>
      </c>
      <c r="Q3068" s="47" t="n">
        <f aca="false">IF(OR($A3068="",C3068=""),0,IF(COUNTIF($C$2:C3068,C3068)=1,SUMIF($C$2:$C$5001,C3068,$H$2:$H$5001)+ROW()/10000000,0))</f>
        <v>0</v>
      </c>
    </row>
    <row r="3069" customFormat="false" ht="15" hidden="false" customHeight="false" outlineLevel="0" collapsed="false">
      <c r="A3069" s="43"/>
      <c r="B3069" s="44"/>
      <c r="C3069" s="44"/>
      <c r="D3069" s="44"/>
      <c r="E3069" s="44"/>
      <c r="F3069" s="44"/>
      <c r="G3069" s="44"/>
      <c r="H3069" s="46" t="str">
        <f aca="false">IF($A3069="","",IF(OR(NOT(ISNUMBER(E3069)),NOT(ISNUMBER(F3069))),"",MAX(0,E3069)*F3069))</f>
        <v/>
      </c>
      <c r="I3069" s="46" t="str">
        <f aca="false">IF($A3069="","",SUMIF($A$2:$A$5001,$A3069,$H$2:$H$5001))</f>
        <v/>
      </c>
      <c r="J3069" s="47" t="n">
        <f aca="false">IF($A3069="",0,IF(COUNTIF($A$2:A3069,$A3069)=1,1,0))</f>
        <v>0</v>
      </c>
      <c r="K3069" s="47" t="n">
        <f aca="false">IF(J3069=1,N(I3069)+ROW()/10000000,0)</f>
        <v>0</v>
      </c>
      <c r="L3069" s="47" t="str">
        <f aca="false">IF(AND(J3069=1,N(I3069)&gt;0),SUMIF($K$2:$K$5001,"&gt;="&amp;K3069,$I$2:$I$5001)/MAX(1,SUM($H$2:$H$5001)),"")</f>
        <v/>
      </c>
      <c r="M3069" s="47" t="str">
        <f aca="false">IF($A3069="","",INDEX($L$2:$L$5001,MATCH($A3069,$A$2:$A$5001,0)))</f>
        <v/>
      </c>
      <c r="N3069" s="48" t="str">
        <f aca="false">IF($A3069="","",IF(N(M3069)=0,"–",IF(M3069&lt;=Start!$D$20,"A",IF(M3069&lt;=Start!$D$21,"B","C"))))</f>
        <v/>
      </c>
      <c r="O3069" s="48" t="str">
        <f aca="false">IF($A3069="","",IF(NOT(ISNUMBER(F3069)),"Wert fehlt; ",IF(F3069&lt;=0,"Wert ist 0; ",""))&amp;IF(NOT(ISNUMBER(E3069)),"Bestand fehlt; ",IF(E3069&lt;0,"Bestand negativ; ",IF(E3069=0,"Nullbestand; ","")))&amp;IF(D3069="","Warengruppe fehlt; ","")&amp;IF(B3069="","Bezeichnung fehlt; ","")&amp;IF(COUNTIFS($A$2:$A$5001,$A3069,$C$2:$C$5001,C3069)&gt;1,"Artikel doppelt im selben Lager; ",""))</f>
        <v/>
      </c>
      <c r="P3069" s="47" t="n">
        <f aca="false">IF(OR($A3069="",D3069=""),0,IF(COUNTIF($D$2:D3069,D3069)=1,SUMIF($D$2:$D$5001,D3069,$H$2:$H$5001)+ROW()/10000000,0))</f>
        <v>0</v>
      </c>
      <c r="Q3069" s="47" t="n">
        <f aca="false">IF(OR($A3069="",C3069=""),0,IF(COUNTIF($C$2:C3069,C3069)=1,SUMIF($C$2:$C$5001,C3069,$H$2:$H$5001)+ROW()/10000000,0))</f>
        <v>0</v>
      </c>
    </row>
    <row r="3070" customFormat="false" ht="15" hidden="false" customHeight="false" outlineLevel="0" collapsed="false">
      <c r="A3070" s="43"/>
      <c r="B3070" s="44"/>
      <c r="C3070" s="44"/>
      <c r="D3070" s="44"/>
      <c r="E3070" s="44"/>
      <c r="F3070" s="44"/>
      <c r="G3070" s="44"/>
      <c r="H3070" s="46" t="str">
        <f aca="false">IF($A3070="","",IF(OR(NOT(ISNUMBER(E3070)),NOT(ISNUMBER(F3070))),"",MAX(0,E3070)*F3070))</f>
        <v/>
      </c>
      <c r="I3070" s="46" t="str">
        <f aca="false">IF($A3070="","",SUMIF($A$2:$A$5001,$A3070,$H$2:$H$5001))</f>
        <v/>
      </c>
      <c r="J3070" s="47" t="n">
        <f aca="false">IF($A3070="",0,IF(COUNTIF($A$2:A3070,$A3070)=1,1,0))</f>
        <v>0</v>
      </c>
      <c r="K3070" s="47" t="n">
        <f aca="false">IF(J3070=1,N(I3070)+ROW()/10000000,0)</f>
        <v>0</v>
      </c>
      <c r="L3070" s="47" t="str">
        <f aca="false">IF(AND(J3070=1,N(I3070)&gt;0),SUMIF($K$2:$K$5001,"&gt;="&amp;K3070,$I$2:$I$5001)/MAX(1,SUM($H$2:$H$5001)),"")</f>
        <v/>
      </c>
      <c r="M3070" s="47" t="str">
        <f aca="false">IF($A3070="","",INDEX($L$2:$L$5001,MATCH($A3070,$A$2:$A$5001,0)))</f>
        <v/>
      </c>
      <c r="N3070" s="48" t="str">
        <f aca="false">IF($A3070="","",IF(N(M3070)=0,"–",IF(M3070&lt;=Start!$D$20,"A",IF(M3070&lt;=Start!$D$21,"B","C"))))</f>
        <v/>
      </c>
      <c r="O3070" s="48" t="str">
        <f aca="false">IF($A3070="","",IF(NOT(ISNUMBER(F3070)),"Wert fehlt; ",IF(F3070&lt;=0,"Wert ist 0; ",""))&amp;IF(NOT(ISNUMBER(E3070)),"Bestand fehlt; ",IF(E3070&lt;0,"Bestand negativ; ",IF(E3070=0,"Nullbestand; ","")))&amp;IF(D3070="","Warengruppe fehlt; ","")&amp;IF(B3070="","Bezeichnung fehlt; ","")&amp;IF(COUNTIFS($A$2:$A$5001,$A3070,$C$2:$C$5001,C3070)&gt;1,"Artikel doppelt im selben Lager; ",""))</f>
        <v/>
      </c>
      <c r="P3070" s="47" t="n">
        <f aca="false">IF(OR($A3070="",D3070=""),0,IF(COUNTIF($D$2:D3070,D3070)=1,SUMIF($D$2:$D$5001,D3070,$H$2:$H$5001)+ROW()/10000000,0))</f>
        <v>0</v>
      </c>
      <c r="Q3070" s="47" t="n">
        <f aca="false">IF(OR($A3070="",C3070=""),0,IF(COUNTIF($C$2:C3070,C3070)=1,SUMIF($C$2:$C$5001,C3070,$H$2:$H$5001)+ROW()/10000000,0))</f>
        <v>0</v>
      </c>
    </row>
    <row r="3071" customFormat="false" ht="15" hidden="false" customHeight="false" outlineLevel="0" collapsed="false">
      <c r="A3071" s="43"/>
      <c r="B3071" s="44"/>
      <c r="C3071" s="44"/>
      <c r="D3071" s="44"/>
      <c r="E3071" s="44"/>
      <c r="F3071" s="44"/>
      <c r="G3071" s="44"/>
      <c r="H3071" s="46" t="str">
        <f aca="false">IF($A3071="","",IF(OR(NOT(ISNUMBER(E3071)),NOT(ISNUMBER(F3071))),"",MAX(0,E3071)*F3071))</f>
        <v/>
      </c>
      <c r="I3071" s="46" t="str">
        <f aca="false">IF($A3071="","",SUMIF($A$2:$A$5001,$A3071,$H$2:$H$5001))</f>
        <v/>
      </c>
      <c r="J3071" s="47" t="n">
        <f aca="false">IF($A3071="",0,IF(COUNTIF($A$2:A3071,$A3071)=1,1,0))</f>
        <v>0</v>
      </c>
      <c r="K3071" s="47" t="n">
        <f aca="false">IF(J3071=1,N(I3071)+ROW()/10000000,0)</f>
        <v>0</v>
      </c>
      <c r="L3071" s="47" t="str">
        <f aca="false">IF(AND(J3071=1,N(I3071)&gt;0),SUMIF($K$2:$K$5001,"&gt;="&amp;K3071,$I$2:$I$5001)/MAX(1,SUM($H$2:$H$5001)),"")</f>
        <v/>
      </c>
      <c r="M3071" s="47" t="str">
        <f aca="false">IF($A3071="","",INDEX($L$2:$L$5001,MATCH($A3071,$A$2:$A$5001,0)))</f>
        <v/>
      </c>
      <c r="N3071" s="48" t="str">
        <f aca="false">IF($A3071="","",IF(N(M3071)=0,"–",IF(M3071&lt;=Start!$D$20,"A",IF(M3071&lt;=Start!$D$21,"B","C"))))</f>
        <v/>
      </c>
      <c r="O3071" s="48" t="str">
        <f aca="false">IF($A3071="","",IF(NOT(ISNUMBER(F3071)),"Wert fehlt; ",IF(F3071&lt;=0,"Wert ist 0; ",""))&amp;IF(NOT(ISNUMBER(E3071)),"Bestand fehlt; ",IF(E3071&lt;0,"Bestand negativ; ",IF(E3071=0,"Nullbestand; ","")))&amp;IF(D3071="","Warengruppe fehlt; ","")&amp;IF(B3071="","Bezeichnung fehlt; ","")&amp;IF(COUNTIFS($A$2:$A$5001,$A3071,$C$2:$C$5001,C3071)&gt;1,"Artikel doppelt im selben Lager; ",""))</f>
        <v/>
      </c>
      <c r="P3071" s="47" t="n">
        <f aca="false">IF(OR($A3071="",D3071=""),0,IF(COUNTIF($D$2:D3071,D3071)=1,SUMIF($D$2:$D$5001,D3071,$H$2:$H$5001)+ROW()/10000000,0))</f>
        <v>0</v>
      </c>
      <c r="Q3071" s="47" t="n">
        <f aca="false">IF(OR($A3071="",C3071=""),0,IF(COUNTIF($C$2:C3071,C3071)=1,SUMIF($C$2:$C$5001,C3071,$H$2:$H$5001)+ROW()/10000000,0))</f>
        <v>0</v>
      </c>
    </row>
    <row r="3072" customFormat="false" ht="15" hidden="false" customHeight="false" outlineLevel="0" collapsed="false">
      <c r="A3072" s="43"/>
      <c r="B3072" s="44"/>
      <c r="C3072" s="44"/>
      <c r="D3072" s="44"/>
      <c r="E3072" s="44"/>
      <c r="F3072" s="44"/>
      <c r="G3072" s="44"/>
      <c r="H3072" s="46" t="str">
        <f aca="false">IF($A3072="","",IF(OR(NOT(ISNUMBER(E3072)),NOT(ISNUMBER(F3072))),"",MAX(0,E3072)*F3072))</f>
        <v/>
      </c>
      <c r="I3072" s="46" t="str">
        <f aca="false">IF($A3072="","",SUMIF($A$2:$A$5001,$A3072,$H$2:$H$5001))</f>
        <v/>
      </c>
      <c r="J3072" s="47" t="n">
        <f aca="false">IF($A3072="",0,IF(COUNTIF($A$2:A3072,$A3072)=1,1,0))</f>
        <v>0</v>
      </c>
      <c r="K3072" s="47" t="n">
        <f aca="false">IF(J3072=1,N(I3072)+ROW()/10000000,0)</f>
        <v>0</v>
      </c>
      <c r="L3072" s="47" t="str">
        <f aca="false">IF(AND(J3072=1,N(I3072)&gt;0),SUMIF($K$2:$K$5001,"&gt;="&amp;K3072,$I$2:$I$5001)/MAX(1,SUM($H$2:$H$5001)),"")</f>
        <v/>
      </c>
      <c r="M3072" s="47" t="str">
        <f aca="false">IF($A3072="","",INDEX($L$2:$L$5001,MATCH($A3072,$A$2:$A$5001,0)))</f>
        <v/>
      </c>
      <c r="N3072" s="48" t="str">
        <f aca="false">IF($A3072="","",IF(N(M3072)=0,"–",IF(M3072&lt;=Start!$D$20,"A",IF(M3072&lt;=Start!$D$21,"B","C"))))</f>
        <v/>
      </c>
      <c r="O3072" s="48" t="str">
        <f aca="false">IF($A3072="","",IF(NOT(ISNUMBER(F3072)),"Wert fehlt; ",IF(F3072&lt;=0,"Wert ist 0; ",""))&amp;IF(NOT(ISNUMBER(E3072)),"Bestand fehlt; ",IF(E3072&lt;0,"Bestand negativ; ",IF(E3072=0,"Nullbestand; ","")))&amp;IF(D3072="","Warengruppe fehlt; ","")&amp;IF(B3072="","Bezeichnung fehlt; ","")&amp;IF(COUNTIFS($A$2:$A$5001,$A3072,$C$2:$C$5001,C3072)&gt;1,"Artikel doppelt im selben Lager; ",""))</f>
        <v/>
      </c>
      <c r="P3072" s="47" t="n">
        <f aca="false">IF(OR($A3072="",D3072=""),0,IF(COUNTIF($D$2:D3072,D3072)=1,SUMIF($D$2:$D$5001,D3072,$H$2:$H$5001)+ROW()/10000000,0))</f>
        <v>0</v>
      </c>
      <c r="Q3072" s="47" t="n">
        <f aca="false">IF(OR($A3072="",C3072=""),0,IF(COUNTIF($C$2:C3072,C3072)=1,SUMIF($C$2:$C$5001,C3072,$H$2:$H$5001)+ROW()/10000000,0))</f>
        <v>0</v>
      </c>
    </row>
    <row r="3073" customFormat="false" ht="15" hidden="false" customHeight="false" outlineLevel="0" collapsed="false">
      <c r="A3073" s="43"/>
      <c r="B3073" s="44"/>
      <c r="C3073" s="44"/>
      <c r="D3073" s="44"/>
      <c r="E3073" s="44"/>
      <c r="F3073" s="44"/>
      <c r="G3073" s="44"/>
      <c r="H3073" s="46" t="str">
        <f aca="false">IF($A3073="","",IF(OR(NOT(ISNUMBER(E3073)),NOT(ISNUMBER(F3073))),"",MAX(0,E3073)*F3073))</f>
        <v/>
      </c>
      <c r="I3073" s="46" t="str">
        <f aca="false">IF($A3073="","",SUMIF($A$2:$A$5001,$A3073,$H$2:$H$5001))</f>
        <v/>
      </c>
      <c r="J3073" s="47" t="n">
        <f aca="false">IF($A3073="",0,IF(COUNTIF($A$2:A3073,$A3073)=1,1,0))</f>
        <v>0</v>
      </c>
      <c r="K3073" s="47" t="n">
        <f aca="false">IF(J3073=1,N(I3073)+ROW()/10000000,0)</f>
        <v>0</v>
      </c>
      <c r="L3073" s="47" t="str">
        <f aca="false">IF(AND(J3073=1,N(I3073)&gt;0),SUMIF($K$2:$K$5001,"&gt;="&amp;K3073,$I$2:$I$5001)/MAX(1,SUM($H$2:$H$5001)),"")</f>
        <v/>
      </c>
      <c r="M3073" s="47" t="str">
        <f aca="false">IF($A3073="","",INDEX($L$2:$L$5001,MATCH($A3073,$A$2:$A$5001,0)))</f>
        <v/>
      </c>
      <c r="N3073" s="48" t="str">
        <f aca="false">IF($A3073="","",IF(N(M3073)=0,"–",IF(M3073&lt;=Start!$D$20,"A",IF(M3073&lt;=Start!$D$21,"B","C"))))</f>
        <v/>
      </c>
      <c r="O3073" s="48" t="str">
        <f aca="false">IF($A3073="","",IF(NOT(ISNUMBER(F3073)),"Wert fehlt; ",IF(F3073&lt;=0,"Wert ist 0; ",""))&amp;IF(NOT(ISNUMBER(E3073)),"Bestand fehlt; ",IF(E3073&lt;0,"Bestand negativ; ",IF(E3073=0,"Nullbestand; ","")))&amp;IF(D3073="","Warengruppe fehlt; ","")&amp;IF(B3073="","Bezeichnung fehlt; ","")&amp;IF(COUNTIFS($A$2:$A$5001,$A3073,$C$2:$C$5001,C3073)&gt;1,"Artikel doppelt im selben Lager; ",""))</f>
        <v/>
      </c>
      <c r="P3073" s="47" t="n">
        <f aca="false">IF(OR($A3073="",D3073=""),0,IF(COUNTIF($D$2:D3073,D3073)=1,SUMIF($D$2:$D$5001,D3073,$H$2:$H$5001)+ROW()/10000000,0))</f>
        <v>0</v>
      </c>
      <c r="Q3073" s="47" t="n">
        <f aca="false">IF(OR($A3073="",C3073=""),0,IF(COUNTIF($C$2:C3073,C3073)=1,SUMIF($C$2:$C$5001,C3073,$H$2:$H$5001)+ROW()/10000000,0))</f>
        <v>0</v>
      </c>
    </row>
    <row r="3074" customFormat="false" ht="15" hidden="false" customHeight="false" outlineLevel="0" collapsed="false">
      <c r="A3074" s="43"/>
      <c r="B3074" s="44"/>
      <c r="C3074" s="44"/>
      <c r="D3074" s="44"/>
      <c r="E3074" s="44"/>
      <c r="F3074" s="44"/>
      <c r="G3074" s="44"/>
      <c r="H3074" s="46" t="str">
        <f aca="false">IF($A3074="","",IF(OR(NOT(ISNUMBER(E3074)),NOT(ISNUMBER(F3074))),"",MAX(0,E3074)*F3074))</f>
        <v/>
      </c>
      <c r="I3074" s="46" t="str">
        <f aca="false">IF($A3074="","",SUMIF($A$2:$A$5001,$A3074,$H$2:$H$5001))</f>
        <v/>
      </c>
      <c r="J3074" s="47" t="n">
        <f aca="false">IF($A3074="",0,IF(COUNTIF($A$2:A3074,$A3074)=1,1,0))</f>
        <v>0</v>
      </c>
      <c r="K3074" s="47" t="n">
        <f aca="false">IF(J3074=1,N(I3074)+ROW()/10000000,0)</f>
        <v>0</v>
      </c>
      <c r="L3074" s="47" t="str">
        <f aca="false">IF(AND(J3074=1,N(I3074)&gt;0),SUMIF($K$2:$K$5001,"&gt;="&amp;K3074,$I$2:$I$5001)/MAX(1,SUM($H$2:$H$5001)),"")</f>
        <v/>
      </c>
      <c r="M3074" s="47" t="str">
        <f aca="false">IF($A3074="","",INDEX($L$2:$L$5001,MATCH($A3074,$A$2:$A$5001,0)))</f>
        <v/>
      </c>
      <c r="N3074" s="48" t="str">
        <f aca="false">IF($A3074="","",IF(N(M3074)=0,"–",IF(M3074&lt;=Start!$D$20,"A",IF(M3074&lt;=Start!$D$21,"B","C"))))</f>
        <v/>
      </c>
      <c r="O3074" s="48" t="str">
        <f aca="false">IF($A3074="","",IF(NOT(ISNUMBER(F3074)),"Wert fehlt; ",IF(F3074&lt;=0,"Wert ist 0; ",""))&amp;IF(NOT(ISNUMBER(E3074)),"Bestand fehlt; ",IF(E3074&lt;0,"Bestand negativ; ",IF(E3074=0,"Nullbestand; ","")))&amp;IF(D3074="","Warengruppe fehlt; ","")&amp;IF(B3074="","Bezeichnung fehlt; ","")&amp;IF(COUNTIFS($A$2:$A$5001,$A3074,$C$2:$C$5001,C3074)&gt;1,"Artikel doppelt im selben Lager; ",""))</f>
        <v/>
      </c>
      <c r="P3074" s="47" t="n">
        <f aca="false">IF(OR($A3074="",D3074=""),0,IF(COUNTIF($D$2:D3074,D3074)=1,SUMIF($D$2:$D$5001,D3074,$H$2:$H$5001)+ROW()/10000000,0))</f>
        <v>0</v>
      </c>
      <c r="Q3074" s="47" t="n">
        <f aca="false">IF(OR($A3074="",C3074=""),0,IF(COUNTIF($C$2:C3074,C3074)=1,SUMIF($C$2:$C$5001,C3074,$H$2:$H$5001)+ROW()/10000000,0))</f>
        <v>0</v>
      </c>
    </row>
    <row r="3075" customFormat="false" ht="15" hidden="false" customHeight="false" outlineLevel="0" collapsed="false">
      <c r="A3075" s="43"/>
      <c r="B3075" s="44"/>
      <c r="C3075" s="44"/>
      <c r="D3075" s="44"/>
      <c r="E3075" s="44"/>
      <c r="F3075" s="44"/>
      <c r="G3075" s="44"/>
      <c r="H3075" s="46" t="str">
        <f aca="false">IF($A3075="","",IF(OR(NOT(ISNUMBER(E3075)),NOT(ISNUMBER(F3075))),"",MAX(0,E3075)*F3075))</f>
        <v/>
      </c>
      <c r="I3075" s="46" t="str">
        <f aca="false">IF($A3075="","",SUMIF($A$2:$A$5001,$A3075,$H$2:$H$5001))</f>
        <v/>
      </c>
      <c r="J3075" s="47" t="n">
        <f aca="false">IF($A3075="",0,IF(COUNTIF($A$2:A3075,$A3075)=1,1,0))</f>
        <v>0</v>
      </c>
      <c r="K3075" s="47" t="n">
        <f aca="false">IF(J3075=1,N(I3075)+ROW()/10000000,0)</f>
        <v>0</v>
      </c>
      <c r="L3075" s="47" t="str">
        <f aca="false">IF(AND(J3075=1,N(I3075)&gt;0),SUMIF($K$2:$K$5001,"&gt;="&amp;K3075,$I$2:$I$5001)/MAX(1,SUM($H$2:$H$5001)),"")</f>
        <v/>
      </c>
      <c r="M3075" s="47" t="str">
        <f aca="false">IF($A3075="","",INDEX($L$2:$L$5001,MATCH($A3075,$A$2:$A$5001,0)))</f>
        <v/>
      </c>
      <c r="N3075" s="48" t="str">
        <f aca="false">IF($A3075="","",IF(N(M3075)=0,"–",IF(M3075&lt;=Start!$D$20,"A",IF(M3075&lt;=Start!$D$21,"B","C"))))</f>
        <v/>
      </c>
      <c r="O3075" s="48" t="str">
        <f aca="false">IF($A3075="","",IF(NOT(ISNUMBER(F3075)),"Wert fehlt; ",IF(F3075&lt;=0,"Wert ist 0; ",""))&amp;IF(NOT(ISNUMBER(E3075)),"Bestand fehlt; ",IF(E3075&lt;0,"Bestand negativ; ",IF(E3075=0,"Nullbestand; ","")))&amp;IF(D3075="","Warengruppe fehlt; ","")&amp;IF(B3075="","Bezeichnung fehlt; ","")&amp;IF(COUNTIFS($A$2:$A$5001,$A3075,$C$2:$C$5001,C3075)&gt;1,"Artikel doppelt im selben Lager; ",""))</f>
        <v/>
      </c>
      <c r="P3075" s="47" t="n">
        <f aca="false">IF(OR($A3075="",D3075=""),0,IF(COUNTIF($D$2:D3075,D3075)=1,SUMIF($D$2:$D$5001,D3075,$H$2:$H$5001)+ROW()/10000000,0))</f>
        <v>0</v>
      </c>
      <c r="Q3075" s="47" t="n">
        <f aca="false">IF(OR($A3075="",C3075=""),0,IF(COUNTIF($C$2:C3075,C3075)=1,SUMIF($C$2:$C$5001,C3075,$H$2:$H$5001)+ROW()/10000000,0))</f>
        <v>0</v>
      </c>
    </row>
    <row r="3076" customFormat="false" ht="15" hidden="false" customHeight="false" outlineLevel="0" collapsed="false">
      <c r="A3076" s="43"/>
      <c r="B3076" s="44"/>
      <c r="C3076" s="44"/>
      <c r="D3076" s="44"/>
      <c r="E3076" s="44"/>
      <c r="F3076" s="44"/>
      <c r="G3076" s="44"/>
      <c r="H3076" s="46" t="str">
        <f aca="false">IF($A3076="","",IF(OR(NOT(ISNUMBER(E3076)),NOT(ISNUMBER(F3076))),"",MAX(0,E3076)*F3076))</f>
        <v/>
      </c>
      <c r="I3076" s="46" t="str">
        <f aca="false">IF($A3076="","",SUMIF($A$2:$A$5001,$A3076,$H$2:$H$5001))</f>
        <v/>
      </c>
      <c r="J3076" s="47" t="n">
        <f aca="false">IF($A3076="",0,IF(COUNTIF($A$2:A3076,$A3076)=1,1,0))</f>
        <v>0</v>
      </c>
      <c r="K3076" s="47" t="n">
        <f aca="false">IF(J3076=1,N(I3076)+ROW()/10000000,0)</f>
        <v>0</v>
      </c>
      <c r="L3076" s="47" t="str">
        <f aca="false">IF(AND(J3076=1,N(I3076)&gt;0),SUMIF($K$2:$K$5001,"&gt;="&amp;K3076,$I$2:$I$5001)/MAX(1,SUM($H$2:$H$5001)),"")</f>
        <v/>
      </c>
      <c r="M3076" s="47" t="str">
        <f aca="false">IF($A3076="","",INDEX($L$2:$L$5001,MATCH($A3076,$A$2:$A$5001,0)))</f>
        <v/>
      </c>
      <c r="N3076" s="48" t="str">
        <f aca="false">IF($A3076="","",IF(N(M3076)=0,"–",IF(M3076&lt;=Start!$D$20,"A",IF(M3076&lt;=Start!$D$21,"B","C"))))</f>
        <v/>
      </c>
      <c r="O3076" s="48" t="str">
        <f aca="false">IF($A3076="","",IF(NOT(ISNUMBER(F3076)),"Wert fehlt; ",IF(F3076&lt;=0,"Wert ist 0; ",""))&amp;IF(NOT(ISNUMBER(E3076)),"Bestand fehlt; ",IF(E3076&lt;0,"Bestand negativ; ",IF(E3076=0,"Nullbestand; ","")))&amp;IF(D3076="","Warengruppe fehlt; ","")&amp;IF(B3076="","Bezeichnung fehlt; ","")&amp;IF(COUNTIFS($A$2:$A$5001,$A3076,$C$2:$C$5001,C3076)&gt;1,"Artikel doppelt im selben Lager; ",""))</f>
        <v/>
      </c>
      <c r="P3076" s="47" t="n">
        <f aca="false">IF(OR($A3076="",D3076=""),0,IF(COUNTIF($D$2:D3076,D3076)=1,SUMIF($D$2:$D$5001,D3076,$H$2:$H$5001)+ROW()/10000000,0))</f>
        <v>0</v>
      </c>
      <c r="Q3076" s="47" t="n">
        <f aca="false">IF(OR($A3076="",C3076=""),0,IF(COUNTIF($C$2:C3076,C3076)=1,SUMIF($C$2:$C$5001,C3076,$H$2:$H$5001)+ROW()/10000000,0))</f>
        <v>0</v>
      </c>
    </row>
    <row r="3077" customFormat="false" ht="15" hidden="false" customHeight="false" outlineLevel="0" collapsed="false">
      <c r="A3077" s="43"/>
      <c r="B3077" s="44"/>
      <c r="C3077" s="44"/>
      <c r="D3077" s="44"/>
      <c r="E3077" s="44"/>
      <c r="F3077" s="44"/>
      <c r="G3077" s="44"/>
      <c r="H3077" s="46" t="str">
        <f aca="false">IF($A3077="","",IF(OR(NOT(ISNUMBER(E3077)),NOT(ISNUMBER(F3077))),"",MAX(0,E3077)*F3077))</f>
        <v/>
      </c>
      <c r="I3077" s="46" t="str">
        <f aca="false">IF($A3077="","",SUMIF($A$2:$A$5001,$A3077,$H$2:$H$5001))</f>
        <v/>
      </c>
      <c r="J3077" s="47" t="n">
        <f aca="false">IF($A3077="",0,IF(COUNTIF($A$2:A3077,$A3077)=1,1,0))</f>
        <v>0</v>
      </c>
      <c r="K3077" s="47" t="n">
        <f aca="false">IF(J3077=1,N(I3077)+ROW()/10000000,0)</f>
        <v>0</v>
      </c>
      <c r="L3077" s="47" t="str">
        <f aca="false">IF(AND(J3077=1,N(I3077)&gt;0),SUMIF($K$2:$K$5001,"&gt;="&amp;K3077,$I$2:$I$5001)/MAX(1,SUM($H$2:$H$5001)),"")</f>
        <v/>
      </c>
      <c r="M3077" s="47" t="str">
        <f aca="false">IF($A3077="","",INDEX($L$2:$L$5001,MATCH($A3077,$A$2:$A$5001,0)))</f>
        <v/>
      </c>
      <c r="N3077" s="48" t="str">
        <f aca="false">IF($A3077="","",IF(N(M3077)=0,"–",IF(M3077&lt;=Start!$D$20,"A",IF(M3077&lt;=Start!$D$21,"B","C"))))</f>
        <v/>
      </c>
      <c r="O3077" s="48" t="str">
        <f aca="false">IF($A3077="","",IF(NOT(ISNUMBER(F3077)),"Wert fehlt; ",IF(F3077&lt;=0,"Wert ist 0; ",""))&amp;IF(NOT(ISNUMBER(E3077)),"Bestand fehlt; ",IF(E3077&lt;0,"Bestand negativ; ",IF(E3077=0,"Nullbestand; ","")))&amp;IF(D3077="","Warengruppe fehlt; ","")&amp;IF(B3077="","Bezeichnung fehlt; ","")&amp;IF(COUNTIFS($A$2:$A$5001,$A3077,$C$2:$C$5001,C3077)&gt;1,"Artikel doppelt im selben Lager; ",""))</f>
        <v/>
      </c>
      <c r="P3077" s="47" t="n">
        <f aca="false">IF(OR($A3077="",D3077=""),0,IF(COUNTIF($D$2:D3077,D3077)=1,SUMIF($D$2:$D$5001,D3077,$H$2:$H$5001)+ROW()/10000000,0))</f>
        <v>0</v>
      </c>
      <c r="Q3077" s="47" t="n">
        <f aca="false">IF(OR($A3077="",C3077=""),0,IF(COUNTIF($C$2:C3077,C3077)=1,SUMIF($C$2:$C$5001,C3077,$H$2:$H$5001)+ROW()/10000000,0))</f>
        <v>0</v>
      </c>
    </row>
    <row r="3078" customFormat="false" ht="15" hidden="false" customHeight="false" outlineLevel="0" collapsed="false">
      <c r="A3078" s="43"/>
      <c r="B3078" s="44"/>
      <c r="C3078" s="44"/>
      <c r="D3078" s="44"/>
      <c r="E3078" s="44"/>
      <c r="F3078" s="44"/>
      <c r="G3078" s="44"/>
      <c r="H3078" s="46" t="str">
        <f aca="false">IF($A3078="","",IF(OR(NOT(ISNUMBER(E3078)),NOT(ISNUMBER(F3078))),"",MAX(0,E3078)*F3078))</f>
        <v/>
      </c>
      <c r="I3078" s="46" t="str">
        <f aca="false">IF($A3078="","",SUMIF($A$2:$A$5001,$A3078,$H$2:$H$5001))</f>
        <v/>
      </c>
      <c r="J3078" s="47" t="n">
        <f aca="false">IF($A3078="",0,IF(COUNTIF($A$2:A3078,$A3078)=1,1,0))</f>
        <v>0</v>
      </c>
      <c r="K3078" s="47" t="n">
        <f aca="false">IF(J3078=1,N(I3078)+ROW()/10000000,0)</f>
        <v>0</v>
      </c>
      <c r="L3078" s="47" t="str">
        <f aca="false">IF(AND(J3078=1,N(I3078)&gt;0),SUMIF($K$2:$K$5001,"&gt;="&amp;K3078,$I$2:$I$5001)/MAX(1,SUM($H$2:$H$5001)),"")</f>
        <v/>
      </c>
      <c r="M3078" s="47" t="str">
        <f aca="false">IF($A3078="","",INDEX($L$2:$L$5001,MATCH($A3078,$A$2:$A$5001,0)))</f>
        <v/>
      </c>
      <c r="N3078" s="48" t="str">
        <f aca="false">IF($A3078="","",IF(N(M3078)=0,"–",IF(M3078&lt;=Start!$D$20,"A",IF(M3078&lt;=Start!$D$21,"B","C"))))</f>
        <v/>
      </c>
      <c r="O3078" s="48" t="str">
        <f aca="false">IF($A3078="","",IF(NOT(ISNUMBER(F3078)),"Wert fehlt; ",IF(F3078&lt;=0,"Wert ist 0; ",""))&amp;IF(NOT(ISNUMBER(E3078)),"Bestand fehlt; ",IF(E3078&lt;0,"Bestand negativ; ",IF(E3078=0,"Nullbestand; ","")))&amp;IF(D3078="","Warengruppe fehlt; ","")&amp;IF(B3078="","Bezeichnung fehlt; ","")&amp;IF(COUNTIFS($A$2:$A$5001,$A3078,$C$2:$C$5001,C3078)&gt;1,"Artikel doppelt im selben Lager; ",""))</f>
        <v/>
      </c>
      <c r="P3078" s="47" t="n">
        <f aca="false">IF(OR($A3078="",D3078=""),0,IF(COUNTIF($D$2:D3078,D3078)=1,SUMIF($D$2:$D$5001,D3078,$H$2:$H$5001)+ROW()/10000000,0))</f>
        <v>0</v>
      </c>
      <c r="Q3078" s="47" t="n">
        <f aca="false">IF(OR($A3078="",C3078=""),0,IF(COUNTIF($C$2:C3078,C3078)=1,SUMIF($C$2:$C$5001,C3078,$H$2:$H$5001)+ROW()/10000000,0))</f>
        <v>0</v>
      </c>
    </row>
    <row r="3079" customFormat="false" ht="15" hidden="false" customHeight="false" outlineLevel="0" collapsed="false">
      <c r="A3079" s="43"/>
      <c r="B3079" s="44"/>
      <c r="C3079" s="44"/>
      <c r="D3079" s="44"/>
      <c r="E3079" s="44"/>
      <c r="F3079" s="44"/>
      <c r="G3079" s="44"/>
      <c r="H3079" s="46" t="str">
        <f aca="false">IF($A3079="","",IF(OR(NOT(ISNUMBER(E3079)),NOT(ISNUMBER(F3079))),"",MAX(0,E3079)*F3079))</f>
        <v/>
      </c>
      <c r="I3079" s="46" t="str">
        <f aca="false">IF($A3079="","",SUMIF($A$2:$A$5001,$A3079,$H$2:$H$5001))</f>
        <v/>
      </c>
      <c r="J3079" s="47" t="n">
        <f aca="false">IF($A3079="",0,IF(COUNTIF($A$2:A3079,$A3079)=1,1,0))</f>
        <v>0</v>
      </c>
      <c r="K3079" s="47" t="n">
        <f aca="false">IF(J3079=1,N(I3079)+ROW()/10000000,0)</f>
        <v>0</v>
      </c>
      <c r="L3079" s="47" t="str">
        <f aca="false">IF(AND(J3079=1,N(I3079)&gt;0),SUMIF($K$2:$K$5001,"&gt;="&amp;K3079,$I$2:$I$5001)/MAX(1,SUM($H$2:$H$5001)),"")</f>
        <v/>
      </c>
      <c r="M3079" s="47" t="str">
        <f aca="false">IF($A3079="","",INDEX($L$2:$L$5001,MATCH($A3079,$A$2:$A$5001,0)))</f>
        <v/>
      </c>
      <c r="N3079" s="48" t="str">
        <f aca="false">IF($A3079="","",IF(N(M3079)=0,"–",IF(M3079&lt;=Start!$D$20,"A",IF(M3079&lt;=Start!$D$21,"B","C"))))</f>
        <v/>
      </c>
      <c r="O3079" s="48" t="str">
        <f aca="false">IF($A3079="","",IF(NOT(ISNUMBER(F3079)),"Wert fehlt; ",IF(F3079&lt;=0,"Wert ist 0; ",""))&amp;IF(NOT(ISNUMBER(E3079)),"Bestand fehlt; ",IF(E3079&lt;0,"Bestand negativ; ",IF(E3079=0,"Nullbestand; ","")))&amp;IF(D3079="","Warengruppe fehlt; ","")&amp;IF(B3079="","Bezeichnung fehlt; ","")&amp;IF(COUNTIFS($A$2:$A$5001,$A3079,$C$2:$C$5001,C3079)&gt;1,"Artikel doppelt im selben Lager; ",""))</f>
        <v/>
      </c>
      <c r="P3079" s="47" t="n">
        <f aca="false">IF(OR($A3079="",D3079=""),0,IF(COUNTIF($D$2:D3079,D3079)=1,SUMIF($D$2:$D$5001,D3079,$H$2:$H$5001)+ROW()/10000000,0))</f>
        <v>0</v>
      </c>
      <c r="Q3079" s="47" t="n">
        <f aca="false">IF(OR($A3079="",C3079=""),0,IF(COUNTIF($C$2:C3079,C3079)=1,SUMIF($C$2:$C$5001,C3079,$H$2:$H$5001)+ROW()/10000000,0))</f>
        <v>0</v>
      </c>
    </row>
    <row r="3080" customFormat="false" ht="15" hidden="false" customHeight="false" outlineLevel="0" collapsed="false">
      <c r="A3080" s="43"/>
      <c r="B3080" s="44"/>
      <c r="C3080" s="44"/>
      <c r="D3080" s="44"/>
      <c r="E3080" s="44"/>
      <c r="F3080" s="44"/>
      <c r="G3080" s="44"/>
      <c r="H3080" s="46" t="str">
        <f aca="false">IF($A3080="","",IF(OR(NOT(ISNUMBER(E3080)),NOT(ISNUMBER(F3080))),"",MAX(0,E3080)*F3080))</f>
        <v/>
      </c>
      <c r="I3080" s="46" t="str">
        <f aca="false">IF($A3080="","",SUMIF($A$2:$A$5001,$A3080,$H$2:$H$5001))</f>
        <v/>
      </c>
      <c r="J3080" s="47" t="n">
        <f aca="false">IF($A3080="",0,IF(COUNTIF($A$2:A3080,$A3080)=1,1,0))</f>
        <v>0</v>
      </c>
      <c r="K3080" s="47" t="n">
        <f aca="false">IF(J3080=1,N(I3080)+ROW()/10000000,0)</f>
        <v>0</v>
      </c>
      <c r="L3080" s="47" t="str">
        <f aca="false">IF(AND(J3080=1,N(I3080)&gt;0),SUMIF($K$2:$K$5001,"&gt;="&amp;K3080,$I$2:$I$5001)/MAX(1,SUM($H$2:$H$5001)),"")</f>
        <v/>
      </c>
      <c r="M3080" s="47" t="str">
        <f aca="false">IF($A3080="","",INDEX($L$2:$L$5001,MATCH($A3080,$A$2:$A$5001,0)))</f>
        <v/>
      </c>
      <c r="N3080" s="48" t="str">
        <f aca="false">IF($A3080="","",IF(N(M3080)=0,"–",IF(M3080&lt;=Start!$D$20,"A",IF(M3080&lt;=Start!$D$21,"B","C"))))</f>
        <v/>
      </c>
      <c r="O3080" s="48" t="str">
        <f aca="false">IF($A3080="","",IF(NOT(ISNUMBER(F3080)),"Wert fehlt; ",IF(F3080&lt;=0,"Wert ist 0; ",""))&amp;IF(NOT(ISNUMBER(E3080)),"Bestand fehlt; ",IF(E3080&lt;0,"Bestand negativ; ",IF(E3080=0,"Nullbestand; ","")))&amp;IF(D3080="","Warengruppe fehlt; ","")&amp;IF(B3080="","Bezeichnung fehlt; ","")&amp;IF(COUNTIFS($A$2:$A$5001,$A3080,$C$2:$C$5001,C3080)&gt;1,"Artikel doppelt im selben Lager; ",""))</f>
        <v/>
      </c>
      <c r="P3080" s="47" t="n">
        <f aca="false">IF(OR($A3080="",D3080=""),0,IF(COUNTIF($D$2:D3080,D3080)=1,SUMIF($D$2:$D$5001,D3080,$H$2:$H$5001)+ROW()/10000000,0))</f>
        <v>0</v>
      </c>
      <c r="Q3080" s="47" t="n">
        <f aca="false">IF(OR($A3080="",C3080=""),0,IF(COUNTIF($C$2:C3080,C3080)=1,SUMIF($C$2:$C$5001,C3080,$H$2:$H$5001)+ROW()/10000000,0))</f>
        <v>0</v>
      </c>
    </row>
    <row r="3081" customFormat="false" ht="15" hidden="false" customHeight="false" outlineLevel="0" collapsed="false">
      <c r="A3081" s="43"/>
      <c r="B3081" s="44"/>
      <c r="C3081" s="44"/>
      <c r="D3081" s="44"/>
      <c r="E3081" s="44"/>
      <c r="F3081" s="44"/>
      <c r="G3081" s="44"/>
      <c r="H3081" s="46" t="str">
        <f aca="false">IF($A3081="","",IF(OR(NOT(ISNUMBER(E3081)),NOT(ISNUMBER(F3081))),"",MAX(0,E3081)*F3081))</f>
        <v/>
      </c>
      <c r="I3081" s="46" t="str">
        <f aca="false">IF($A3081="","",SUMIF($A$2:$A$5001,$A3081,$H$2:$H$5001))</f>
        <v/>
      </c>
      <c r="J3081" s="47" t="n">
        <f aca="false">IF($A3081="",0,IF(COUNTIF($A$2:A3081,$A3081)=1,1,0))</f>
        <v>0</v>
      </c>
      <c r="K3081" s="47" t="n">
        <f aca="false">IF(J3081=1,N(I3081)+ROW()/10000000,0)</f>
        <v>0</v>
      </c>
      <c r="L3081" s="47" t="str">
        <f aca="false">IF(AND(J3081=1,N(I3081)&gt;0),SUMIF($K$2:$K$5001,"&gt;="&amp;K3081,$I$2:$I$5001)/MAX(1,SUM($H$2:$H$5001)),"")</f>
        <v/>
      </c>
      <c r="M3081" s="47" t="str">
        <f aca="false">IF($A3081="","",INDEX($L$2:$L$5001,MATCH($A3081,$A$2:$A$5001,0)))</f>
        <v/>
      </c>
      <c r="N3081" s="48" t="str">
        <f aca="false">IF($A3081="","",IF(N(M3081)=0,"–",IF(M3081&lt;=Start!$D$20,"A",IF(M3081&lt;=Start!$D$21,"B","C"))))</f>
        <v/>
      </c>
      <c r="O3081" s="48" t="str">
        <f aca="false">IF($A3081="","",IF(NOT(ISNUMBER(F3081)),"Wert fehlt; ",IF(F3081&lt;=0,"Wert ist 0; ",""))&amp;IF(NOT(ISNUMBER(E3081)),"Bestand fehlt; ",IF(E3081&lt;0,"Bestand negativ; ",IF(E3081=0,"Nullbestand; ","")))&amp;IF(D3081="","Warengruppe fehlt; ","")&amp;IF(B3081="","Bezeichnung fehlt; ","")&amp;IF(COUNTIFS($A$2:$A$5001,$A3081,$C$2:$C$5001,C3081)&gt;1,"Artikel doppelt im selben Lager; ",""))</f>
        <v/>
      </c>
      <c r="P3081" s="47" t="n">
        <f aca="false">IF(OR($A3081="",D3081=""),0,IF(COUNTIF($D$2:D3081,D3081)=1,SUMIF($D$2:$D$5001,D3081,$H$2:$H$5001)+ROW()/10000000,0))</f>
        <v>0</v>
      </c>
      <c r="Q3081" s="47" t="n">
        <f aca="false">IF(OR($A3081="",C3081=""),0,IF(COUNTIF($C$2:C3081,C3081)=1,SUMIF($C$2:$C$5001,C3081,$H$2:$H$5001)+ROW()/10000000,0))</f>
        <v>0</v>
      </c>
    </row>
    <row r="3082" customFormat="false" ht="15" hidden="false" customHeight="false" outlineLevel="0" collapsed="false">
      <c r="A3082" s="43"/>
      <c r="B3082" s="44"/>
      <c r="C3082" s="44"/>
      <c r="D3082" s="44"/>
      <c r="E3082" s="44"/>
      <c r="F3082" s="44"/>
      <c r="G3082" s="44"/>
      <c r="H3082" s="46" t="str">
        <f aca="false">IF($A3082="","",IF(OR(NOT(ISNUMBER(E3082)),NOT(ISNUMBER(F3082))),"",MAX(0,E3082)*F3082))</f>
        <v/>
      </c>
      <c r="I3082" s="46" t="str">
        <f aca="false">IF($A3082="","",SUMIF($A$2:$A$5001,$A3082,$H$2:$H$5001))</f>
        <v/>
      </c>
      <c r="J3082" s="47" t="n">
        <f aca="false">IF($A3082="",0,IF(COUNTIF($A$2:A3082,$A3082)=1,1,0))</f>
        <v>0</v>
      </c>
      <c r="K3082" s="47" t="n">
        <f aca="false">IF(J3082=1,N(I3082)+ROW()/10000000,0)</f>
        <v>0</v>
      </c>
      <c r="L3082" s="47" t="str">
        <f aca="false">IF(AND(J3082=1,N(I3082)&gt;0),SUMIF($K$2:$K$5001,"&gt;="&amp;K3082,$I$2:$I$5001)/MAX(1,SUM($H$2:$H$5001)),"")</f>
        <v/>
      </c>
      <c r="M3082" s="47" t="str">
        <f aca="false">IF($A3082="","",INDEX($L$2:$L$5001,MATCH($A3082,$A$2:$A$5001,0)))</f>
        <v/>
      </c>
      <c r="N3082" s="48" t="str">
        <f aca="false">IF($A3082="","",IF(N(M3082)=0,"–",IF(M3082&lt;=Start!$D$20,"A",IF(M3082&lt;=Start!$D$21,"B","C"))))</f>
        <v/>
      </c>
      <c r="O3082" s="48" t="str">
        <f aca="false">IF($A3082="","",IF(NOT(ISNUMBER(F3082)),"Wert fehlt; ",IF(F3082&lt;=0,"Wert ist 0; ",""))&amp;IF(NOT(ISNUMBER(E3082)),"Bestand fehlt; ",IF(E3082&lt;0,"Bestand negativ; ",IF(E3082=0,"Nullbestand; ","")))&amp;IF(D3082="","Warengruppe fehlt; ","")&amp;IF(B3082="","Bezeichnung fehlt; ","")&amp;IF(COUNTIFS($A$2:$A$5001,$A3082,$C$2:$C$5001,C3082)&gt;1,"Artikel doppelt im selben Lager; ",""))</f>
        <v/>
      </c>
      <c r="P3082" s="47" t="n">
        <f aca="false">IF(OR($A3082="",D3082=""),0,IF(COUNTIF($D$2:D3082,D3082)=1,SUMIF($D$2:$D$5001,D3082,$H$2:$H$5001)+ROW()/10000000,0))</f>
        <v>0</v>
      </c>
      <c r="Q3082" s="47" t="n">
        <f aca="false">IF(OR($A3082="",C3082=""),0,IF(COUNTIF($C$2:C3082,C3082)=1,SUMIF($C$2:$C$5001,C3082,$H$2:$H$5001)+ROW()/10000000,0))</f>
        <v>0</v>
      </c>
    </row>
    <row r="3083" customFormat="false" ht="15" hidden="false" customHeight="false" outlineLevel="0" collapsed="false">
      <c r="A3083" s="43"/>
      <c r="B3083" s="44"/>
      <c r="C3083" s="44"/>
      <c r="D3083" s="44"/>
      <c r="E3083" s="44"/>
      <c r="F3083" s="44"/>
      <c r="G3083" s="44"/>
      <c r="H3083" s="46" t="str">
        <f aca="false">IF($A3083="","",IF(OR(NOT(ISNUMBER(E3083)),NOT(ISNUMBER(F3083))),"",MAX(0,E3083)*F3083))</f>
        <v/>
      </c>
      <c r="I3083" s="46" t="str">
        <f aca="false">IF($A3083="","",SUMIF($A$2:$A$5001,$A3083,$H$2:$H$5001))</f>
        <v/>
      </c>
      <c r="J3083" s="47" t="n">
        <f aca="false">IF($A3083="",0,IF(COUNTIF($A$2:A3083,$A3083)=1,1,0))</f>
        <v>0</v>
      </c>
      <c r="K3083" s="47" t="n">
        <f aca="false">IF(J3083=1,N(I3083)+ROW()/10000000,0)</f>
        <v>0</v>
      </c>
      <c r="L3083" s="47" t="str">
        <f aca="false">IF(AND(J3083=1,N(I3083)&gt;0),SUMIF($K$2:$K$5001,"&gt;="&amp;K3083,$I$2:$I$5001)/MAX(1,SUM($H$2:$H$5001)),"")</f>
        <v/>
      </c>
      <c r="M3083" s="47" t="str">
        <f aca="false">IF($A3083="","",INDEX($L$2:$L$5001,MATCH($A3083,$A$2:$A$5001,0)))</f>
        <v/>
      </c>
      <c r="N3083" s="48" t="str">
        <f aca="false">IF($A3083="","",IF(N(M3083)=0,"–",IF(M3083&lt;=Start!$D$20,"A",IF(M3083&lt;=Start!$D$21,"B","C"))))</f>
        <v/>
      </c>
      <c r="O3083" s="48" t="str">
        <f aca="false">IF($A3083="","",IF(NOT(ISNUMBER(F3083)),"Wert fehlt; ",IF(F3083&lt;=0,"Wert ist 0; ",""))&amp;IF(NOT(ISNUMBER(E3083)),"Bestand fehlt; ",IF(E3083&lt;0,"Bestand negativ; ",IF(E3083=0,"Nullbestand; ","")))&amp;IF(D3083="","Warengruppe fehlt; ","")&amp;IF(B3083="","Bezeichnung fehlt; ","")&amp;IF(COUNTIFS($A$2:$A$5001,$A3083,$C$2:$C$5001,C3083)&gt;1,"Artikel doppelt im selben Lager; ",""))</f>
        <v/>
      </c>
      <c r="P3083" s="47" t="n">
        <f aca="false">IF(OR($A3083="",D3083=""),0,IF(COUNTIF($D$2:D3083,D3083)=1,SUMIF($D$2:$D$5001,D3083,$H$2:$H$5001)+ROW()/10000000,0))</f>
        <v>0</v>
      </c>
      <c r="Q3083" s="47" t="n">
        <f aca="false">IF(OR($A3083="",C3083=""),0,IF(COUNTIF($C$2:C3083,C3083)=1,SUMIF($C$2:$C$5001,C3083,$H$2:$H$5001)+ROW()/10000000,0))</f>
        <v>0</v>
      </c>
    </row>
    <row r="3084" customFormat="false" ht="15" hidden="false" customHeight="false" outlineLevel="0" collapsed="false">
      <c r="A3084" s="43"/>
      <c r="B3084" s="44"/>
      <c r="C3084" s="44"/>
      <c r="D3084" s="44"/>
      <c r="E3084" s="44"/>
      <c r="F3084" s="44"/>
      <c r="G3084" s="44"/>
      <c r="H3084" s="46" t="str">
        <f aca="false">IF($A3084="","",IF(OR(NOT(ISNUMBER(E3084)),NOT(ISNUMBER(F3084))),"",MAX(0,E3084)*F3084))</f>
        <v/>
      </c>
      <c r="I3084" s="46" t="str">
        <f aca="false">IF($A3084="","",SUMIF($A$2:$A$5001,$A3084,$H$2:$H$5001))</f>
        <v/>
      </c>
      <c r="J3084" s="47" t="n">
        <f aca="false">IF($A3084="",0,IF(COUNTIF($A$2:A3084,$A3084)=1,1,0))</f>
        <v>0</v>
      </c>
      <c r="K3084" s="47" t="n">
        <f aca="false">IF(J3084=1,N(I3084)+ROW()/10000000,0)</f>
        <v>0</v>
      </c>
      <c r="L3084" s="47" t="str">
        <f aca="false">IF(AND(J3084=1,N(I3084)&gt;0),SUMIF($K$2:$K$5001,"&gt;="&amp;K3084,$I$2:$I$5001)/MAX(1,SUM($H$2:$H$5001)),"")</f>
        <v/>
      </c>
      <c r="M3084" s="47" t="str">
        <f aca="false">IF($A3084="","",INDEX($L$2:$L$5001,MATCH($A3084,$A$2:$A$5001,0)))</f>
        <v/>
      </c>
      <c r="N3084" s="48" t="str">
        <f aca="false">IF($A3084="","",IF(N(M3084)=0,"–",IF(M3084&lt;=Start!$D$20,"A",IF(M3084&lt;=Start!$D$21,"B","C"))))</f>
        <v/>
      </c>
      <c r="O3084" s="48" t="str">
        <f aca="false">IF($A3084="","",IF(NOT(ISNUMBER(F3084)),"Wert fehlt; ",IF(F3084&lt;=0,"Wert ist 0; ",""))&amp;IF(NOT(ISNUMBER(E3084)),"Bestand fehlt; ",IF(E3084&lt;0,"Bestand negativ; ",IF(E3084=0,"Nullbestand; ","")))&amp;IF(D3084="","Warengruppe fehlt; ","")&amp;IF(B3084="","Bezeichnung fehlt; ","")&amp;IF(COUNTIFS($A$2:$A$5001,$A3084,$C$2:$C$5001,C3084)&gt;1,"Artikel doppelt im selben Lager; ",""))</f>
        <v/>
      </c>
      <c r="P3084" s="47" t="n">
        <f aca="false">IF(OR($A3084="",D3084=""),0,IF(COUNTIF($D$2:D3084,D3084)=1,SUMIF($D$2:$D$5001,D3084,$H$2:$H$5001)+ROW()/10000000,0))</f>
        <v>0</v>
      </c>
      <c r="Q3084" s="47" t="n">
        <f aca="false">IF(OR($A3084="",C3084=""),0,IF(COUNTIF($C$2:C3084,C3084)=1,SUMIF($C$2:$C$5001,C3084,$H$2:$H$5001)+ROW()/10000000,0))</f>
        <v>0</v>
      </c>
    </row>
    <row r="3085" customFormat="false" ht="15" hidden="false" customHeight="false" outlineLevel="0" collapsed="false">
      <c r="A3085" s="43"/>
      <c r="B3085" s="44"/>
      <c r="C3085" s="44"/>
      <c r="D3085" s="44"/>
      <c r="E3085" s="44"/>
      <c r="F3085" s="44"/>
      <c r="G3085" s="44"/>
      <c r="H3085" s="46" t="str">
        <f aca="false">IF($A3085="","",IF(OR(NOT(ISNUMBER(E3085)),NOT(ISNUMBER(F3085))),"",MAX(0,E3085)*F3085))</f>
        <v/>
      </c>
      <c r="I3085" s="46" t="str">
        <f aca="false">IF($A3085="","",SUMIF($A$2:$A$5001,$A3085,$H$2:$H$5001))</f>
        <v/>
      </c>
      <c r="J3085" s="47" t="n">
        <f aca="false">IF($A3085="",0,IF(COUNTIF($A$2:A3085,$A3085)=1,1,0))</f>
        <v>0</v>
      </c>
      <c r="K3085" s="47" t="n">
        <f aca="false">IF(J3085=1,N(I3085)+ROW()/10000000,0)</f>
        <v>0</v>
      </c>
      <c r="L3085" s="47" t="str">
        <f aca="false">IF(AND(J3085=1,N(I3085)&gt;0),SUMIF($K$2:$K$5001,"&gt;="&amp;K3085,$I$2:$I$5001)/MAX(1,SUM($H$2:$H$5001)),"")</f>
        <v/>
      </c>
      <c r="M3085" s="47" t="str">
        <f aca="false">IF($A3085="","",INDEX($L$2:$L$5001,MATCH($A3085,$A$2:$A$5001,0)))</f>
        <v/>
      </c>
      <c r="N3085" s="48" t="str">
        <f aca="false">IF($A3085="","",IF(N(M3085)=0,"–",IF(M3085&lt;=Start!$D$20,"A",IF(M3085&lt;=Start!$D$21,"B","C"))))</f>
        <v/>
      </c>
      <c r="O3085" s="48" t="str">
        <f aca="false">IF($A3085="","",IF(NOT(ISNUMBER(F3085)),"Wert fehlt; ",IF(F3085&lt;=0,"Wert ist 0; ",""))&amp;IF(NOT(ISNUMBER(E3085)),"Bestand fehlt; ",IF(E3085&lt;0,"Bestand negativ; ",IF(E3085=0,"Nullbestand; ","")))&amp;IF(D3085="","Warengruppe fehlt; ","")&amp;IF(B3085="","Bezeichnung fehlt; ","")&amp;IF(COUNTIFS($A$2:$A$5001,$A3085,$C$2:$C$5001,C3085)&gt;1,"Artikel doppelt im selben Lager; ",""))</f>
        <v/>
      </c>
      <c r="P3085" s="47" t="n">
        <f aca="false">IF(OR($A3085="",D3085=""),0,IF(COUNTIF($D$2:D3085,D3085)=1,SUMIF($D$2:$D$5001,D3085,$H$2:$H$5001)+ROW()/10000000,0))</f>
        <v>0</v>
      </c>
      <c r="Q3085" s="47" t="n">
        <f aca="false">IF(OR($A3085="",C3085=""),0,IF(COUNTIF($C$2:C3085,C3085)=1,SUMIF($C$2:$C$5001,C3085,$H$2:$H$5001)+ROW()/10000000,0))</f>
        <v>0</v>
      </c>
    </row>
    <row r="3086" customFormat="false" ht="15" hidden="false" customHeight="false" outlineLevel="0" collapsed="false">
      <c r="A3086" s="43"/>
      <c r="B3086" s="44"/>
      <c r="C3086" s="44"/>
      <c r="D3086" s="44"/>
      <c r="E3086" s="44"/>
      <c r="F3086" s="44"/>
      <c r="G3086" s="44"/>
      <c r="H3086" s="46" t="str">
        <f aca="false">IF($A3086="","",IF(OR(NOT(ISNUMBER(E3086)),NOT(ISNUMBER(F3086))),"",MAX(0,E3086)*F3086))</f>
        <v/>
      </c>
      <c r="I3086" s="46" t="str">
        <f aca="false">IF($A3086="","",SUMIF($A$2:$A$5001,$A3086,$H$2:$H$5001))</f>
        <v/>
      </c>
      <c r="J3086" s="47" t="n">
        <f aca="false">IF($A3086="",0,IF(COUNTIF($A$2:A3086,$A3086)=1,1,0))</f>
        <v>0</v>
      </c>
      <c r="K3086" s="47" t="n">
        <f aca="false">IF(J3086=1,N(I3086)+ROW()/10000000,0)</f>
        <v>0</v>
      </c>
      <c r="L3086" s="47" t="str">
        <f aca="false">IF(AND(J3086=1,N(I3086)&gt;0),SUMIF($K$2:$K$5001,"&gt;="&amp;K3086,$I$2:$I$5001)/MAX(1,SUM($H$2:$H$5001)),"")</f>
        <v/>
      </c>
      <c r="M3086" s="47" t="str">
        <f aca="false">IF($A3086="","",INDEX($L$2:$L$5001,MATCH($A3086,$A$2:$A$5001,0)))</f>
        <v/>
      </c>
      <c r="N3086" s="48" t="str">
        <f aca="false">IF($A3086="","",IF(N(M3086)=0,"–",IF(M3086&lt;=Start!$D$20,"A",IF(M3086&lt;=Start!$D$21,"B","C"))))</f>
        <v/>
      </c>
      <c r="O3086" s="48" t="str">
        <f aca="false">IF($A3086="","",IF(NOT(ISNUMBER(F3086)),"Wert fehlt; ",IF(F3086&lt;=0,"Wert ist 0; ",""))&amp;IF(NOT(ISNUMBER(E3086)),"Bestand fehlt; ",IF(E3086&lt;0,"Bestand negativ; ",IF(E3086=0,"Nullbestand; ","")))&amp;IF(D3086="","Warengruppe fehlt; ","")&amp;IF(B3086="","Bezeichnung fehlt; ","")&amp;IF(COUNTIFS($A$2:$A$5001,$A3086,$C$2:$C$5001,C3086)&gt;1,"Artikel doppelt im selben Lager; ",""))</f>
        <v/>
      </c>
      <c r="P3086" s="47" t="n">
        <f aca="false">IF(OR($A3086="",D3086=""),0,IF(COUNTIF($D$2:D3086,D3086)=1,SUMIF($D$2:$D$5001,D3086,$H$2:$H$5001)+ROW()/10000000,0))</f>
        <v>0</v>
      </c>
      <c r="Q3086" s="47" t="n">
        <f aca="false">IF(OR($A3086="",C3086=""),0,IF(COUNTIF($C$2:C3086,C3086)=1,SUMIF($C$2:$C$5001,C3086,$H$2:$H$5001)+ROW()/10000000,0))</f>
        <v>0</v>
      </c>
    </row>
    <row r="3087" customFormat="false" ht="15" hidden="false" customHeight="false" outlineLevel="0" collapsed="false">
      <c r="A3087" s="43"/>
      <c r="B3087" s="44"/>
      <c r="C3087" s="44"/>
      <c r="D3087" s="44"/>
      <c r="E3087" s="44"/>
      <c r="F3087" s="44"/>
      <c r="G3087" s="44"/>
      <c r="H3087" s="46" t="str">
        <f aca="false">IF($A3087="","",IF(OR(NOT(ISNUMBER(E3087)),NOT(ISNUMBER(F3087))),"",MAX(0,E3087)*F3087))</f>
        <v/>
      </c>
      <c r="I3087" s="46" t="str">
        <f aca="false">IF($A3087="","",SUMIF($A$2:$A$5001,$A3087,$H$2:$H$5001))</f>
        <v/>
      </c>
      <c r="J3087" s="47" t="n">
        <f aca="false">IF($A3087="",0,IF(COUNTIF($A$2:A3087,$A3087)=1,1,0))</f>
        <v>0</v>
      </c>
      <c r="K3087" s="47" t="n">
        <f aca="false">IF(J3087=1,N(I3087)+ROW()/10000000,0)</f>
        <v>0</v>
      </c>
      <c r="L3087" s="47" t="str">
        <f aca="false">IF(AND(J3087=1,N(I3087)&gt;0),SUMIF($K$2:$K$5001,"&gt;="&amp;K3087,$I$2:$I$5001)/MAX(1,SUM($H$2:$H$5001)),"")</f>
        <v/>
      </c>
      <c r="M3087" s="47" t="str">
        <f aca="false">IF($A3087="","",INDEX($L$2:$L$5001,MATCH($A3087,$A$2:$A$5001,0)))</f>
        <v/>
      </c>
      <c r="N3087" s="48" t="str">
        <f aca="false">IF($A3087="","",IF(N(M3087)=0,"–",IF(M3087&lt;=Start!$D$20,"A",IF(M3087&lt;=Start!$D$21,"B","C"))))</f>
        <v/>
      </c>
      <c r="O3087" s="48" t="str">
        <f aca="false">IF($A3087="","",IF(NOT(ISNUMBER(F3087)),"Wert fehlt; ",IF(F3087&lt;=0,"Wert ist 0; ",""))&amp;IF(NOT(ISNUMBER(E3087)),"Bestand fehlt; ",IF(E3087&lt;0,"Bestand negativ; ",IF(E3087=0,"Nullbestand; ","")))&amp;IF(D3087="","Warengruppe fehlt; ","")&amp;IF(B3087="","Bezeichnung fehlt; ","")&amp;IF(COUNTIFS($A$2:$A$5001,$A3087,$C$2:$C$5001,C3087)&gt;1,"Artikel doppelt im selben Lager; ",""))</f>
        <v/>
      </c>
      <c r="P3087" s="47" t="n">
        <f aca="false">IF(OR($A3087="",D3087=""),0,IF(COUNTIF($D$2:D3087,D3087)=1,SUMIF($D$2:$D$5001,D3087,$H$2:$H$5001)+ROW()/10000000,0))</f>
        <v>0</v>
      </c>
      <c r="Q3087" s="47" t="n">
        <f aca="false">IF(OR($A3087="",C3087=""),0,IF(COUNTIF($C$2:C3087,C3087)=1,SUMIF($C$2:$C$5001,C3087,$H$2:$H$5001)+ROW()/10000000,0))</f>
        <v>0</v>
      </c>
    </row>
    <row r="3088" customFormat="false" ht="15" hidden="false" customHeight="false" outlineLevel="0" collapsed="false">
      <c r="A3088" s="43"/>
      <c r="B3088" s="44"/>
      <c r="C3088" s="44"/>
      <c r="D3088" s="44"/>
      <c r="E3088" s="44"/>
      <c r="F3088" s="44"/>
      <c r="G3088" s="44"/>
      <c r="H3088" s="46" t="str">
        <f aca="false">IF($A3088="","",IF(OR(NOT(ISNUMBER(E3088)),NOT(ISNUMBER(F3088))),"",MAX(0,E3088)*F3088))</f>
        <v/>
      </c>
      <c r="I3088" s="46" t="str">
        <f aca="false">IF($A3088="","",SUMIF($A$2:$A$5001,$A3088,$H$2:$H$5001))</f>
        <v/>
      </c>
      <c r="J3088" s="47" t="n">
        <f aca="false">IF($A3088="",0,IF(COUNTIF($A$2:A3088,$A3088)=1,1,0))</f>
        <v>0</v>
      </c>
      <c r="K3088" s="47" t="n">
        <f aca="false">IF(J3088=1,N(I3088)+ROW()/10000000,0)</f>
        <v>0</v>
      </c>
      <c r="L3088" s="47" t="str">
        <f aca="false">IF(AND(J3088=1,N(I3088)&gt;0),SUMIF($K$2:$K$5001,"&gt;="&amp;K3088,$I$2:$I$5001)/MAX(1,SUM($H$2:$H$5001)),"")</f>
        <v/>
      </c>
      <c r="M3088" s="47" t="str">
        <f aca="false">IF($A3088="","",INDEX($L$2:$L$5001,MATCH($A3088,$A$2:$A$5001,0)))</f>
        <v/>
      </c>
      <c r="N3088" s="48" t="str">
        <f aca="false">IF($A3088="","",IF(N(M3088)=0,"–",IF(M3088&lt;=Start!$D$20,"A",IF(M3088&lt;=Start!$D$21,"B","C"))))</f>
        <v/>
      </c>
      <c r="O3088" s="48" t="str">
        <f aca="false">IF($A3088="","",IF(NOT(ISNUMBER(F3088)),"Wert fehlt; ",IF(F3088&lt;=0,"Wert ist 0; ",""))&amp;IF(NOT(ISNUMBER(E3088)),"Bestand fehlt; ",IF(E3088&lt;0,"Bestand negativ; ",IF(E3088=0,"Nullbestand; ","")))&amp;IF(D3088="","Warengruppe fehlt; ","")&amp;IF(B3088="","Bezeichnung fehlt; ","")&amp;IF(COUNTIFS($A$2:$A$5001,$A3088,$C$2:$C$5001,C3088)&gt;1,"Artikel doppelt im selben Lager; ",""))</f>
        <v/>
      </c>
      <c r="P3088" s="47" t="n">
        <f aca="false">IF(OR($A3088="",D3088=""),0,IF(COUNTIF($D$2:D3088,D3088)=1,SUMIF($D$2:$D$5001,D3088,$H$2:$H$5001)+ROW()/10000000,0))</f>
        <v>0</v>
      </c>
      <c r="Q3088" s="47" t="n">
        <f aca="false">IF(OR($A3088="",C3088=""),0,IF(COUNTIF($C$2:C3088,C3088)=1,SUMIF($C$2:$C$5001,C3088,$H$2:$H$5001)+ROW()/10000000,0))</f>
        <v>0</v>
      </c>
    </row>
    <row r="3089" customFormat="false" ht="15" hidden="false" customHeight="false" outlineLevel="0" collapsed="false">
      <c r="A3089" s="43"/>
      <c r="B3089" s="44"/>
      <c r="C3089" s="44"/>
      <c r="D3089" s="44"/>
      <c r="E3089" s="44"/>
      <c r="F3089" s="44"/>
      <c r="G3089" s="44"/>
      <c r="H3089" s="46" t="str">
        <f aca="false">IF($A3089="","",IF(OR(NOT(ISNUMBER(E3089)),NOT(ISNUMBER(F3089))),"",MAX(0,E3089)*F3089))</f>
        <v/>
      </c>
      <c r="I3089" s="46" t="str">
        <f aca="false">IF($A3089="","",SUMIF($A$2:$A$5001,$A3089,$H$2:$H$5001))</f>
        <v/>
      </c>
      <c r="J3089" s="47" t="n">
        <f aca="false">IF($A3089="",0,IF(COUNTIF($A$2:A3089,$A3089)=1,1,0))</f>
        <v>0</v>
      </c>
      <c r="K3089" s="47" t="n">
        <f aca="false">IF(J3089=1,N(I3089)+ROW()/10000000,0)</f>
        <v>0</v>
      </c>
      <c r="L3089" s="47" t="str">
        <f aca="false">IF(AND(J3089=1,N(I3089)&gt;0),SUMIF($K$2:$K$5001,"&gt;="&amp;K3089,$I$2:$I$5001)/MAX(1,SUM($H$2:$H$5001)),"")</f>
        <v/>
      </c>
      <c r="M3089" s="47" t="str">
        <f aca="false">IF($A3089="","",INDEX($L$2:$L$5001,MATCH($A3089,$A$2:$A$5001,0)))</f>
        <v/>
      </c>
      <c r="N3089" s="48" t="str">
        <f aca="false">IF($A3089="","",IF(N(M3089)=0,"–",IF(M3089&lt;=Start!$D$20,"A",IF(M3089&lt;=Start!$D$21,"B","C"))))</f>
        <v/>
      </c>
      <c r="O3089" s="48" t="str">
        <f aca="false">IF($A3089="","",IF(NOT(ISNUMBER(F3089)),"Wert fehlt; ",IF(F3089&lt;=0,"Wert ist 0; ",""))&amp;IF(NOT(ISNUMBER(E3089)),"Bestand fehlt; ",IF(E3089&lt;0,"Bestand negativ; ",IF(E3089=0,"Nullbestand; ","")))&amp;IF(D3089="","Warengruppe fehlt; ","")&amp;IF(B3089="","Bezeichnung fehlt; ","")&amp;IF(COUNTIFS($A$2:$A$5001,$A3089,$C$2:$C$5001,C3089)&gt;1,"Artikel doppelt im selben Lager; ",""))</f>
        <v/>
      </c>
      <c r="P3089" s="47" t="n">
        <f aca="false">IF(OR($A3089="",D3089=""),0,IF(COUNTIF($D$2:D3089,D3089)=1,SUMIF($D$2:$D$5001,D3089,$H$2:$H$5001)+ROW()/10000000,0))</f>
        <v>0</v>
      </c>
      <c r="Q3089" s="47" t="n">
        <f aca="false">IF(OR($A3089="",C3089=""),0,IF(COUNTIF($C$2:C3089,C3089)=1,SUMIF($C$2:$C$5001,C3089,$H$2:$H$5001)+ROW()/10000000,0))</f>
        <v>0</v>
      </c>
    </row>
    <row r="3090" customFormat="false" ht="15" hidden="false" customHeight="false" outlineLevel="0" collapsed="false">
      <c r="A3090" s="43"/>
      <c r="B3090" s="44"/>
      <c r="C3090" s="44"/>
      <c r="D3090" s="44"/>
      <c r="E3090" s="44"/>
      <c r="F3090" s="44"/>
      <c r="G3090" s="44"/>
      <c r="H3090" s="46" t="str">
        <f aca="false">IF($A3090="","",IF(OR(NOT(ISNUMBER(E3090)),NOT(ISNUMBER(F3090))),"",MAX(0,E3090)*F3090))</f>
        <v/>
      </c>
      <c r="I3090" s="46" t="str">
        <f aca="false">IF($A3090="","",SUMIF($A$2:$A$5001,$A3090,$H$2:$H$5001))</f>
        <v/>
      </c>
      <c r="J3090" s="47" t="n">
        <f aca="false">IF($A3090="",0,IF(COUNTIF($A$2:A3090,$A3090)=1,1,0))</f>
        <v>0</v>
      </c>
      <c r="K3090" s="47" t="n">
        <f aca="false">IF(J3090=1,N(I3090)+ROW()/10000000,0)</f>
        <v>0</v>
      </c>
      <c r="L3090" s="47" t="str">
        <f aca="false">IF(AND(J3090=1,N(I3090)&gt;0),SUMIF($K$2:$K$5001,"&gt;="&amp;K3090,$I$2:$I$5001)/MAX(1,SUM($H$2:$H$5001)),"")</f>
        <v/>
      </c>
      <c r="M3090" s="47" t="str">
        <f aca="false">IF($A3090="","",INDEX($L$2:$L$5001,MATCH($A3090,$A$2:$A$5001,0)))</f>
        <v/>
      </c>
      <c r="N3090" s="48" t="str">
        <f aca="false">IF($A3090="","",IF(N(M3090)=0,"–",IF(M3090&lt;=Start!$D$20,"A",IF(M3090&lt;=Start!$D$21,"B","C"))))</f>
        <v/>
      </c>
      <c r="O3090" s="48" t="str">
        <f aca="false">IF($A3090="","",IF(NOT(ISNUMBER(F3090)),"Wert fehlt; ",IF(F3090&lt;=0,"Wert ist 0; ",""))&amp;IF(NOT(ISNUMBER(E3090)),"Bestand fehlt; ",IF(E3090&lt;0,"Bestand negativ; ",IF(E3090=0,"Nullbestand; ","")))&amp;IF(D3090="","Warengruppe fehlt; ","")&amp;IF(B3090="","Bezeichnung fehlt; ","")&amp;IF(COUNTIFS($A$2:$A$5001,$A3090,$C$2:$C$5001,C3090)&gt;1,"Artikel doppelt im selben Lager; ",""))</f>
        <v/>
      </c>
      <c r="P3090" s="47" t="n">
        <f aca="false">IF(OR($A3090="",D3090=""),0,IF(COUNTIF($D$2:D3090,D3090)=1,SUMIF($D$2:$D$5001,D3090,$H$2:$H$5001)+ROW()/10000000,0))</f>
        <v>0</v>
      </c>
      <c r="Q3090" s="47" t="n">
        <f aca="false">IF(OR($A3090="",C3090=""),0,IF(COUNTIF($C$2:C3090,C3090)=1,SUMIF($C$2:$C$5001,C3090,$H$2:$H$5001)+ROW()/10000000,0))</f>
        <v>0</v>
      </c>
    </row>
    <row r="3091" customFormat="false" ht="15" hidden="false" customHeight="false" outlineLevel="0" collapsed="false">
      <c r="A3091" s="43"/>
      <c r="B3091" s="44"/>
      <c r="C3091" s="44"/>
      <c r="D3091" s="44"/>
      <c r="E3091" s="44"/>
      <c r="F3091" s="44"/>
      <c r="G3091" s="44"/>
      <c r="H3091" s="46" t="str">
        <f aca="false">IF($A3091="","",IF(OR(NOT(ISNUMBER(E3091)),NOT(ISNUMBER(F3091))),"",MAX(0,E3091)*F3091))</f>
        <v/>
      </c>
      <c r="I3091" s="46" t="str">
        <f aca="false">IF($A3091="","",SUMIF($A$2:$A$5001,$A3091,$H$2:$H$5001))</f>
        <v/>
      </c>
      <c r="J3091" s="47" t="n">
        <f aca="false">IF($A3091="",0,IF(COUNTIF($A$2:A3091,$A3091)=1,1,0))</f>
        <v>0</v>
      </c>
      <c r="K3091" s="47" t="n">
        <f aca="false">IF(J3091=1,N(I3091)+ROW()/10000000,0)</f>
        <v>0</v>
      </c>
      <c r="L3091" s="47" t="str">
        <f aca="false">IF(AND(J3091=1,N(I3091)&gt;0),SUMIF($K$2:$K$5001,"&gt;="&amp;K3091,$I$2:$I$5001)/MAX(1,SUM($H$2:$H$5001)),"")</f>
        <v/>
      </c>
      <c r="M3091" s="47" t="str">
        <f aca="false">IF($A3091="","",INDEX($L$2:$L$5001,MATCH($A3091,$A$2:$A$5001,0)))</f>
        <v/>
      </c>
      <c r="N3091" s="48" t="str">
        <f aca="false">IF($A3091="","",IF(N(M3091)=0,"–",IF(M3091&lt;=Start!$D$20,"A",IF(M3091&lt;=Start!$D$21,"B","C"))))</f>
        <v/>
      </c>
      <c r="O3091" s="48" t="str">
        <f aca="false">IF($A3091="","",IF(NOT(ISNUMBER(F3091)),"Wert fehlt; ",IF(F3091&lt;=0,"Wert ist 0; ",""))&amp;IF(NOT(ISNUMBER(E3091)),"Bestand fehlt; ",IF(E3091&lt;0,"Bestand negativ; ",IF(E3091=0,"Nullbestand; ","")))&amp;IF(D3091="","Warengruppe fehlt; ","")&amp;IF(B3091="","Bezeichnung fehlt; ","")&amp;IF(COUNTIFS($A$2:$A$5001,$A3091,$C$2:$C$5001,C3091)&gt;1,"Artikel doppelt im selben Lager; ",""))</f>
        <v/>
      </c>
      <c r="P3091" s="47" t="n">
        <f aca="false">IF(OR($A3091="",D3091=""),0,IF(COUNTIF($D$2:D3091,D3091)=1,SUMIF($D$2:$D$5001,D3091,$H$2:$H$5001)+ROW()/10000000,0))</f>
        <v>0</v>
      </c>
      <c r="Q3091" s="47" t="n">
        <f aca="false">IF(OR($A3091="",C3091=""),0,IF(COUNTIF($C$2:C3091,C3091)=1,SUMIF($C$2:$C$5001,C3091,$H$2:$H$5001)+ROW()/10000000,0))</f>
        <v>0</v>
      </c>
    </row>
    <row r="3092" customFormat="false" ht="15" hidden="false" customHeight="false" outlineLevel="0" collapsed="false">
      <c r="A3092" s="43"/>
      <c r="B3092" s="44"/>
      <c r="C3092" s="44"/>
      <c r="D3092" s="44"/>
      <c r="E3092" s="44"/>
      <c r="F3092" s="44"/>
      <c r="G3092" s="44"/>
      <c r="H3092" s="46" t="str">
        <f aca="false">IF($A3092="","",IF(OR(NOT(ISNUMBER(E3092)),NOT(ISNUMBER(F3092))),"",MAX(0,E3092)*F3092))</f>
        <v/>
      </c>
      <c r="I3092" s="46" t="str">
        <f aca="false">IF($A3092="","",SUMIF($A$2:$A$5001,$A3092,$H$2:$H$5001))</f>
        <v/>
      </c>
      <c r="J3092" s="47" t="n">
        <f aca="false">IF($A3092="",0,IF(COUNTIF($A$2:A3092,$A3092)=1,1,0))</f>
        <v>0</v>
      </c>
      <c r="K3092" s="47" t="n">
        <f aca="false">IF(J3092=1,N(I3092)+ROW()/10000000,0)</f>
        <v>0</v>
      </c>
      <c r="L3092" s="47" t="str">
        <f aca="false">IF(AND(J3092=1,N(I3092)&gt;0),SUMIF($K$2:$K$5001,"&gt;="&amp;K3092,$I$2:$I$5001)/MAX(1,SUM($H$2:$H$5001)),"")</f>
        <v/>
      </c>
      <c r="M3092" s="47" t="str">
        <f aca="false">IF($A3092="","",INDEX($L$2:$L$5001,MATCH($A3092,$A$2:$A$5001,0)))</f>
        <v/>
      </c>
      <c r="N3092" s="48" t="str">
        <f aca="false">IF($A3092="","",IF(N(M3092)=0,"–",IF(M3092&lt;=Start!$D$20,"A",IF(M3092&lt;=Start!$D$21,"B","C"))))</f>
        <v/>
      </c>
      <c r="O3092" s="48" t="str">
        <f aca="false">IF($A3092="","",IF(NOT(ISNUMBER(F3092)),"Wert fehlt; ",IF(F3092&lt;=0,"Wert ist 0; ",""))&amp;IF(NOT(ISNUMBER(E3092)),"Bestand fehlt; ",IF(E3092&lt;0,"Bestand negativ; ",IF(E3092=0,"Nullbestand; ","")))&amp;IF(D3092="","Warengruppe fehlt; ","")&amp;IF(B3092="","Bezeichnung fehlt; ","")&amp;IF(COUNTIFS($A$2:$A$5001,$A3092,$C$2:$C$5001,C3092)&gt;1,"Artikel doppelt im selben Lager; ",""))</f>
        <v/>
      </c>
      <c r="P3092" s="47" t="n">
        <f aca="false">IF(OR($A3092="",D3092=""),0,IF(COUNTIF($D$2:D3092,D3092)=1,SUMIF($D$2:$D$5001,D3092,$H$2:$H$5001)+ROW()/10000000,0))</f>
        <v>0</v>
      </c>
      <c r="Q3092" s="47" t="n">
        <f aca="false">IF(OR($A3092="",C3092=""),0,IF(COUNTIF($C$2:C3092,C3092)=1,SUMIF($C$2:$C$5001,C3092,$H$2:$H$5001)+ROW()/10000000,0))</f>
        <v>0</v>
      </c>
    </row>
    <row r="3093" customFormat="false" ht="15" hidden="false" customHeight="false" outlineLevel="0" collapsed="false">
      <c r="A3093" s="43"/>
      <c r="B3093" s="44"/>
      <c r="C3093" s="44"/>
      <c r="D3093" s="44"/>
      <c r="E3093" s="44"/>
      <c r="F3093" s="44"/>
      <c r="G3093" s="44"/>
      <c r="H3093" s="46" t="str">
        <f aca="false">IF($A3093="","",IF(OR(NOT(ISNUMBER(E3093)),NOT(ISNUMBER(F3093))),"",MAX(0,E3093)*F3093))</f>
        <v/>
      </c>
      <c r="I3093" s="46" t="str">
        <f aca="false">IF($A3093="","",SUMIF($A$2:$A$5001,$A3093,$H$2:$H$5001))</f>
        <v/>
      </c>
      <c r="J3093" s="47" t="n">
        <f aca="false">IF($A3093="",0,IF(COUNTIF($A$2:A3093,$A3093)=1,1,0))</f>
        <v>0</v>
      </c>
      <c r="K3093" s="47" t="n">
        <f aca="false">IF(J3093=1,N(I3093)+ROW()/10000000,0)</f>
        <v>0</v>
      </c>
      <c r="L3093" s="47" t="str">
        <f aca="false">IF(AND(J3093=1,N(I3093)&gt;0),SUMIF($K$2:$K$5001,"&gt;="&amp;K3093,$I$2:$I$5001)/MAX(1,SUM($H$2:$H$5001)),"")</f>
        <v/>
      </c>
      <c r="M3093" s="47" t="str">
        <f aca="false">IF($A3093="","",INDEX($L$2:$L$5001,MATCH($A3093,$A$2:$A$5001,0)))</f>
        <v/>
      </c>
      <c r="N3093" s="48" t="str">
        <f aca="false">IF($A3093="","",IF(N(M3093)=0,"–",IF(M3093&lt;=Start!$D$20,"A",IF(M3093&lt;=Start!$D$21,"B","C"))))</f>
        <v/>
      </c>
      <c r="O3093" s="48" t="str">
        <f aca="false">IF($A3093="","",IF(NOT(ISNUMBER(F3093)),"Wert fehlt; ",IF(F3093&lt;=0,"Wert ist 0; ",""))&amp;IF(NOT(ISNUMBER(E3093)),"Bestand fehlt; ",IF(E3093&lt;0,"Bestand negativ; ",IF(E3093=0,"Nullbestand; ","")))&amp;IF(D3093="","Warengruppe fehlt; ","")&amp;IF(B3093="","Bezeichnung fehlt; ","")&amp;IF(COUNTIFS($A$2:$A$5001,$A3093,$C$2:$C$5001,C3093)&gt;1,"Artikel doppelt im selben Lager; ",""))</f>
        <v/>
      </c>
      <c r="P3093" s="47" t="n">
        <f aca="false">IF(OR($A3093="",D3093=""),0,IF(COUNTIF($D$2:D3093,D3093)=1,SUMIF($D$2:$D$5001,D3093,$H$2:$H$5001)+ROW()/10000000,0))</f>
        <v>0</v>
      </c>
      <c r="Q3093" s="47" t="n">
        <f aca="false">IF(OR($A3093="",C3093=""),0,IF(COUNTIF($C$2:C3093,C3093)=1,SUMIF($C$2:$C$5001,C3093,$H$2:$H$5001)+ROW()/10000000,0))</f>
        <v>0</v>
      </c>
    </row>
    <row r="3094" customFormat="false" ht="15" hidden="false" customHeight="false" outlineLevel="0" collapsed="false">
      <c r="A3094" s="43"/>
      <c r="B3094" s="44"/>
      <c r="C3094" s="44"/>
      <c r="D3094" s="44"/>
      <c r="E3094" s="44"/>
      <c r="F3094" s="44"/>
      <c r="G3094" s="44"/>
      <c r="H3094" s="46" t="str">
        <f aca="false">IF($A3094="","",IF(OR(NOT(ISNUMBER(E3094)),NOT(ISNUMBER(F3094))),"",MAX(0,E3094)*F3094))</f>
        <v/>
      </c>
      <c r="I3094" s="46" t="str">
        <f aca="false">IF($A3094="","",SUMIF($A$2:$A$5001,$A3094,$H$2:$H$5001))</f>
        <v/>
      </c>
      <c r="J3094" s="47" t="n">
        <f aca="false">IF($A3094="",0,IF(COUNTIF($A$2:A3094,$A3094)=1,1,0))</f>
        <v>0</v>
      </c>
      <c r="K3094" s="47" t="n">
        <f aca="false">IF(J3094=1,N(I3094)+ROW()/10000000,0)</f>
        <v>0</v>
      </c>
      <c r="L3094" s="47" t="str">
        <f aca="false">IF(AND(J3094=1,N(I3094)&gt;0),SUMIF($K$2:$K$5001,"&gt;="&amp;K3094,$I$2:$I$5001)/MAX(1,SUM($H$2:$H$5001)),"")</f>
        <v/>
      </c>
      <c r="M3094" s="47" t="str">
        <f aca="false">IF($A3094="","",INDEX($L$2:$L$5001,MATCH($A3094,$A$2:$A$5001,0)))</f>
        <v/>
      </c>
      <c r="N3094" s="48" t="str">
        <f aca="false">IF($A3094="","",IF(N(M3094)=0,"–",IF(M3094&lt;=Start!$D$20,"A",IF(M3094&lt;=Start!$D$21,"B","C"))))</f>
        <v/>
      </c>
      <c r="O3094" s="48" t="str">
        <f aca="false">IF($A3094="","",IF(NOT(ISNUMBER(F3094)),"Wert fehlt; ",IF(F3094&lt;=0,"Wert ist 0; ",""))&amp;IF(NOT(ISNUMBER(E3094)),"Bestand fehlt; ",IF(E3094&lt;0,"Bestand negativ; ",IF(E3094=0,"Nullbestand; ","")))&amp;IF(D3094="","Warengruppe fehlt; ","")&amp;IF(B3094="","Bezeichnung fehlt; ","")&amp;IF(COUNTIFS($A$2:$A$5001,$A3094,$C$2:$C$5001,C3094)&gt;1,"Artikel doppelt im selben Lager; ",""))</f>
        <v/>
      </c>
      <c r="P3094" s="47" t="n">
        <f aca="false">IF(OR($A3094="",D3094=""),0,IF(COUNTIF($D$2:D3094,D3094)=1,SUMIF($D$2:$D$5001,D3094,$H$2:$H$5001)+ROW()/10000000,0))</f>
        <v>0</v>
      </c>
      <c r="Q3094" s="47" t="n">
        <f aca="false">IF(OR($A3094="",C3094=""),0,IF(COUNTIF($C$2:C3094,C3094)=1,SUMIF($C$2:$C$5001,C3094,$H$2:$H$5001)+ROW()/10000000,0))</f>
        <v>0</v>
      </c>
    </row>
    <row r="3095" customFormat="false" ht="15" hidden="false" customHeight="false" outlineLevel="0" collapsed="false">
      <c r="A3095" s="43"/>
      <c r="B3095" s="44"/>
      <c r="C3095" s="44"/>
      <c r="D3095" s="44"/>
      <c r="E3095" s="44"/>
      <c r="F3095" s="44"/>
      <c r="G3095" s="44"/>
      <c r="H3095" s="46" t="str">
        <f aca="false">IF($A3095="","",IF(OR(NOT(ISNUMBER(E3095)),NOT(ISNUMBER(F3095))),"",MAX(0,E3095)*F3095))</f>
        <v/>
      </c>
      <c r="I3095" s="46" t="str">
        <f aca="false">IF($A3095="","",SUMIF($A$2:$A$5001,$A3095,$H$2:$H$5001))</f>
        <v/>
      </c>
      <c r="J3095" s="47" t="n">
        <f aca="false">IF($A3095="",0,IF(COUNTIF($A$2:A3095,$A3095)=1,1,0))</f>
        <v>0</v>
      </c>
      <c r="K3095" s="47" t="n">
        <f aca="false">IF(J3095=1,N(I3095)+ROW()/10000000,0)</f>
        <v>0</v>
      </c>
      <c r="L3095" s="47" t="str">
        <f aca="false">IF(AND(J3095=1,N(I3095)&gt;0),SUMIF($K$2:$K$5001,"&gt;="&amp;K3095,$I$2:$I$5001)/MAX(1,SUM($H$2:$H$5001)),"")</f>
        <v/>
      </c>
      <c r="M3095" s="47" t="str">
        <f aca="false">IF($A3095="","",INDEX($L$2:$L$5001,MATCH($A3095,$A$2:$A$5001,0)))</f>
        <v/>
      </c>
      <c r="N3095" s="48" t="str">
        <f aca="false">IF($A3095="","",IF(N(M3095)=0,"–",IF(M3095&lt;=Start!$D$20,"A",IF(M3095&lt;=Start!$D$21,"B","C"))))</f>
        <v/>
      </c>
      <c r="O3095" s="48" t="str">
        <f aca="false">IF($A3095="","",IF(NOT(ISNUMBER(F3095)),"Wert fehlt; ",IF(F3095&lt;=0,"Wert ist 0; ",""))&amp;IF(NOT(ISNUMBER(E3095)),"Bestand fehlt; ",IF(E3095&lt;0,"Bestand negativ; ",IF(E3095=0,"Nullbestand; ","")))&amp;IF(D3095="","Warengruppe fehlt; ","")&amp;IF(B3095="","Bezeichnung fehlt; ","")&amp;IF(COUNTIFS($A$2:$A$5001,$A3095,$C$2:$C$5001,C3095)&gt;1,"Artikel doppelt im selben Lager; ",""))</f>
        <v/>
      </c>
      <c r="P3095" s="47" t="n">
        <f aca="false">IF(OR($A3095="",D3095=""),0,IF(COUNTIF($D$2:D3095,D3095)=1,SUMIF($D$2:$D$5001,D3095,$H$2:$H$5001)+ROW()/10000000,0))</f>
        <v>0</v>
      </c>
      <c r="Q3095" s="47" t="n">
        <f aca="false">IF(OR($A3095="",C3095=""),0,IF(COUNTIF($C$2:C3095,C3095)=1,SUMIF($C$2:$C$5001,C3095,$H$2:$H$5001)+ROW()/10000000,0))</f>
        <v>0</v>
      </c>
    </row>
    <row r="3096" customFormat="false" ht="15" hidden="false" customHeight="false" outlineLevel="0" collapsed="false">
      <c r="A3096" s="43"/>
      <c r="B3096" s="44"/>
      <c r="C3096" s="44"/>
      <c r="D3096" s="44"/>
      <c r="E3096" s="44"/>
      <c r="F3096" s="44"/>
      <c r="G3096" s="44"/>
      <c r="H3096" s="46" t="str">
        <f aca="false">IF($A3096="","",IF(OR(NOT(ISNUMBER(E3096)),NOT(ISNUMBER(F3096))),"",MAX(0,E3096)*F3096))</f>
        <v/>
      </c>
      <c r="I3096" s="46" t="str">
        <f aca="false">IF($A3096="","",SUMIF($A$2:$A$5001,$A3096,$H$2:$H$5001))</f>
        <v/>
      </c>
      <c r="J3096" s="47" t="n">
        <f aca="false">IF($A3096="",0,IF(COUNTIF($A$2:A3096,$A3096)=1,1,0))</f>
        <v>0</v>
      </c>
      <c r="K3096" s="47" t="n">
        <f aca="false">IF(J3096=1,N(I3096)+ROW()/10000000,0)</f>
        <v>0</v>
      </c>
      <c r="L3096" s="47" t="str">
        <f aca="false">IF(AND(J3096=1,N(I3096)&gt;0),SUMIF($K$2:$K$5001,"&gt;="&amp;K3096,$I$2:$I$5001)/MAX(1,SUM($H$2:$H$5001)),"")</f>
        <v/>
      </c>
      <c r="M3096" s="47" t="str">
        <f aca="false">IF($A3096="","",INDEX($L$2:$L$5001,MATCH($A3096,$A$2:$A$5001,0)))</f>
        <v/>
      </c>
      <c r="N3096" s="48" t="str">
        <f aca="false">IF($A3096="","",IF(N(M3096)=0,"–",IF(M3096&lt;=Start!$D$20,"A",IF(M3096&lt;=Start!$D$21,"B","C"))))</f>
        <v/>
      </c>
      <c r="O3096" s="48" t="str">
        <f aca="false">IF($A3096="","",IF(NOT(ISNUMBER(F3096)),"Wert fehlt; ",IF(F3096&lt;=0,"Wert ist 0; ",""))&amp;IF(NOT(ISNUMBER(E3096)),"Bestand fehlt; ",IF(E3096&lt;0,"Bestand negativ; ",IF(E3096=0,"Nullbestand; ","")))&amp;IF(D3096="","Warengruppe fehlt; ","")&amp;IF(B3096="","Bezeichnung fehlt; ","")&amp;IF(COUNTIFS($A$2:$A$5001,$A3096,$C$2:$C$5001,C3096)&gt;1,"Artikel doppelt im selben Lager; ",""))</f>
        <v/>
      </c>
      <c r="P3096" s="47" t="n">
        <f aca="false">IF(OR($A3096="",D3096=""),0,IF(COUNTIF($D$2:D3096,D3096)=1,SUMIF($D$2:$D$5001,D3096,$H$2:$H$5001)+ROW()/10000000,0))</f>
        <v>0</v>
      </c>
      <c r="Q3096" s="47" t="n">
        <f aca="false">IF(OR($A3096="",C3096=""),0,IF(COUNTIF($C$2:C3096,C3096)=1,SUMIF($C$2:$C$5001,C3096,$H$2:$H$5001)+ROW()/10000000,0))</f>
        <v>0</v>
      </c>
    </row>
    <row r="3097" customFormat="false" ht="15" hidden="false" customHeight="false" outlineLevel="0" collapsed="false">
      <c r="A3097" s="43"/>
      <c r="B3097" s="44"/>
      <c r="C3097" s="44"/>
      <c r="D3097" s="44"/>
      <c r="E3097" s="44"/>
      <c r="F3097" s="44"/>
      <c r="G3097" s="44"/>
      <c r="H3097" s="46" t="str">
        <f aca="false">IF($A3097="","",IF(OR(NOT(ISNUMBER(E3097)),NOT(ISNUMBER(F3097))),"",MAX(0,E3097)*F3097))</f>
        <v/>
      </c>
      <c r="I3097" s="46" t="str">
        <f aca="false">IF($A3097="","",SUMIF($A$2:$A$5001,$A3097,$H$2:$H$5001))</f>
        <v/>
      </c>
      <c r="J3097" s="47" t="n">
        <f aca="false">IF($A3097="",0,IF(COUNTIF($A$2:A3097,$A3097)=1,1,0))</f>
        <v>0</v>
      </c>
      <c r="K3097" s="47" t="n">
        <f aca="false">IF(J3097=1,N(I3097)+ROW()/10000000,0)</f>
        <v>0</v>
      </c>
      <c r="L3097" s="47" t="str">
        <f aca="false">IF(AND(J3097=1,N(I3097)&gt;0),SUMIF($K$2:$K$5001,"&gt;="&amp;K3097,$I$2:$I$5001)/MAX(1,SUM($H$2:$H$5001)),"")</f>
        <v/>
      </c>
      <c r="M3097" s="47" t="str">
        <f aca="false">IF($A3097="","",INDEX($L$2:$L$5001,MATCH($A3097,$A$2:$A$5001,0)))</f>
        <v/>
      </c>
      <c r="N3097" s="48" t="str">
        <f aca="false">IF($A3097="","",IF(N(M3097)=0,"–",IF(M3097&lt;=Start!$D$20,"A",IF(M3097&lt;=Start!$D$21,"B","C"))))</f>
        <v/>
      </c>
      <c r="O3097" s="48" t="str">
        <f aca="false">IF($A3097="","",IF(NOT(ISNUMBER(F3097)),"Wert fehlt; ",IF(F3097&lt;=0,"Wert ist 0; ",""))&amp;IF(NOT(ISNUMBER(E3097)),"Bestand fehlt; ",IF(E3097&lt;0,"Bestand negativ; ",IF(E3097=0,"Nullbestand; ","")))&amp;IF(D3097="","Warengruppe fehlt; ","")&amp;IF(B3097="","Bezeichnung fehlt; ","")&amp;IF(COUNTIFS($A$2:$A$5001,$A3097,$C$2:$C$5001,C3097)&gt;1,"Artikel doppelt im selben Lager; ",""))</f>
        <v/>
      </c>
      <c r="P3097" s="47" t="n">
        <f aca="false">IF(OR($A3097="",D3097=""),0,IF(COUNTIF($D$2:D3097,D3097)=1,SUMIF($D$2:$D$5001,D3097,$H$2:$H$5001)+ROW()/10000000,0))</f>
        <v>0</v>
      </c>
      <c r="Q3097" s="47" t="n">
        <f aca="false">IF(OR($A3097="",C3097=""),0,IF(COUNTIF($C$2:C3097,C3097)=1,SUMIF($C$2:$C$5001,C3097,$H$2:$H$5001)+ROW()/10000000,0))</f>
        <v>0</v>
      </c>
    </row>
    <row r="3098" customFormat="false" ht="15" hidden="false" customHeight="false" outlineLevel="0" collapsed="false">
      <c r="A3098" s="43"/>
      <c r="B3098" s="44"/>
      <c r="C3098" s="44"/>
      <c r="D3098" s="44"/>
      <c r="E3098" s="44"/>
      <c r="F3098" s="44"/>
      <c r="G3098" s="44"/>
      <c r="H3098" s="46" t="str">
        <f aca="false">IF($A3098="","",IF(OR(NOT(ISNUMBER(E3098)),NOT(ISNUMBER(F3098))),"",MAX(0,E3098)*F3098))</f>
        <v/>
      </c>
      <c r="I3098" s="46" t="str">
        <f aca="false">IF($A3098="","",SUMIF($A$2:$A$5001,$A3098,$H$2:$H$5001))</f>
        <v/>
      </c>
      <c r="J3098" s="47" t="n">
        <f aca="false">IF($A3098="",0,IF(COUNTIF($A$2:A3098,$A3098)=1,1,0))</f>
        <v>0</v>
      </c>
      <c r="K3098" s="47" t="n">
        <f aca="false">IF(J3098=1,N(I3098)+ROW()/10000000,0)</f>
        <v>0</v>
      </c>
      <c r="L3098" s="47" t="str">
        <f aca="false">IF(AND(J3098=1,N(I3098)&gt;0),SUMIF($K$2:$K$5001,"&gt;="&amp;K3098,$I$2:$I$5001)/MAX(1,SUM($H$2:$H$5001)),"")</f>
        <v/>
      </c>
      <c r="M3098" s="47" t="str">
        <f aca="false">IF($A3098="","",INDEX($L$2:$L$5001,MATCH($A3098,$A$2:$A$5001,0)))</f>
        <v/>
      </c>
      <c r="N3098" s="48" t="str">
        <f aca="false">IF($A3098="","",IF(N(M3098)=0,"–",IF(M3098&lt;=Start!$D$20,"A",IF(M3098&lt;=Start!$D$21,"B","C"))))</f>
        <v/>
      </c>
      <c r="O3098" s="48" t="str">
        <f aca="false">IF($A3098="","",IF(NOT(ISNUMBER(F3098)),"Wert fehlt; ",IF(F3098&lt;=0,"Wert ist 0; ",""))&amp;IF(NOT(ISNUMBER(E3098)),"Bestand fehlt; ",IF(E3098&lt;0,"Bestand negativ; ",IF(E3098=0,"Nullbestand; ","")))&amp;IF(D3098="","Warengruppe fehlt; ","")&amp;IF(B3098="","Bezeichnung fehlt; ","")&amp;IF(COUNTIFS($A$2:$A$5001,$A3098,$C$2:$C$5001,C3098)&gt;1,"Artikel doppelt im selben Lager; ",""))</f>
        <v/>
      </c>
      <c r="P3098" s="47" t="n">
        <f aca="false">IF(OR($A3098="",D3098=""),0,IF(COUNTIF($D$2:D3098,D3098)=1,SUMIF($D$2:$D$5001,D3098,$H$2:$H$5001)+ROW()/10000000,0))</f>
        <v>0</v>
      </c>
      <c r="Q3098" s="47" t="n">
        <f aca="false">IF(OR($A3098="",C3098=""),0,IF(COUNTIF($C$2:C3098,C3098)=1,SUMIF($C$2:$C$5001,C3098,$H$2:$H$5001)+ROW()/10000000,0))</f>
        <v>0</v>
      </c>
    </row>
    <row r="3099" customFormat="false" ht="15" hidden="false" customHeight="false" outlineLevel="0" collapsed="false">
      <c r="A3099" s="43"/>
      <c r="B3099" s="44"/>
      <c r="C3099" s="44"/>
      <c r="D3099" s="44"/>
      <c r="E3099" s="44"/>
      <c r="F3099" s="44"/>
      <c r="G3099" s="44"/>
      <c r="H3099" s="46" t="str">
        <f aca="false">IF($A3099="","",IF(OR(NOT(ISNUMBER(E3099)),NOT(ISNUMBER(F3099))),"",MAX(0,E3099)*F3099))</f>
        <v/>
      </c>
      <c r="I3099" s="46" t="str">
        <f aca="false">IF($A3099="","",SUMIF($A$2:$A$5001,$A3099,$H$2:$H$5001))</f>
        <v/>
      </c>
      <c r="J3099" s="47" t="n">
        <f aca="false">IF($A3099="",0,IF(COUNTIF($A$2:A3099,$A3099)=1,1,0))</f>
        <v>0</v>
      </c>
      <c r="K3099" s="47" t="n">
        <f aca="false">IF(J3099=1,N(I3099)+ROW()/10000000,0)</f>
        <v>0</v>
      </c>
      <c r="L3099" s="47" t="str">
        <f aca="false">IF(AND(J3099=1,N(I3099)&gt;0),SUMIF($K$2:$K$5001,"&gt;="&amp;K3099,$I$2:$I$5001)/MAX(1,SUM($H$2:$H$5001)),"")</f>
        <v/>
      </c>
      <c r="M3099" s="47" t="str">
        <f aca="false">IF($A3099="","",INDEX($L$2:$L$5001,MATCH($A3099,$A$2:$A$5001,0)))</f>
        <v/>
      </c>
      <c r="N3099" s="48" t="str">
        <f aca="false">IF($A3099="","",IF(N(M3099)=0,"–",IF(M3099&lt;=Start!$D$20,"A",IF(M3099&lt;=Start!$D$21,"B","C"))))</f>
        <v/>
      </c>
      <c r="O3099" s="48" t="str">
        <f aca="false">IF($A3099="","",IF(NOT(ISNUMBER(F3099)),"Wert fehlt; ",IF(F3099&lt;=0,"Wert ist 0; ",""))&amp;IF(NOT(ISNUMBER(E3099)),"Bestand fehlt; ",IF(E3099&lt;0,"Bestand negativ; ",IF(E3099=0,"Nullbestand; ","")))&amp;IF(D3099="","Warengruppe fehlt; ","")&amp;IF(B3099="","Bezeichnung fehlt; ","")&amp;IF(COUNTIFS($A$2:$A$5001,$A3099,$C$2:$C$5001,C3099)&gt;1,"Artikel doppelt im selben Lager; ",""))</f>
        <v/>
      </c>
      <c r="P3099" s="47" t="n">
        <f aca="false">IF(OR($A3099="",D3099=""),0,IF(COUNTIF($D$2:D3099,D3099)=1,SUMIF($D$2:$D$5001,D3099,$H$2:$H$5001)+ROW()/10000000,0))</f>
        <v>0</v>
      </c>
      <c r="Q3099" s="47" t="n">
        <f aca="false">IF(OR($A3099="",C3099=""),0,IF(COUNTIF($C$2:C3099,C3099)=1,SUMIF($C$2:$C$5001,C3099,$H$2:$H$5001)+ROW()/10000000,0))</f>
        <v>0</v>
      </c>
    </row>
    <row r="3100" customFormat="false" ht="15" hidden="false" customHeight="false" outlineLevel="0" collapsed="false">
      <c r="A3100" s="43"/>
      <c r="B3100" s="44"/>
      <c r="C3100" s="44"/>
      <c r="D3100" s="44"/>
      <c r="E3100" s="44"/>
      <c r="F3100" s="44"/>
      <c r="G3100" s="44"/>
      <c r="H3100" s="46" t="str">
        <f aca="false">IF($A3100="","",IF(OR(NOT(ISNUMBER(E3100)),NOT(ISNUMBER(F3100))),"",MAX(0,E3100)*F3100))</f>
        <v/>
      </c>
      <c r="I3100" s="46" t="str">
        <f aca="false">IF($A3100="","",SUMIF($A$2:$A$5001,$A3100,$H$2:$H$5001))</f>
        <v/>
      </c>
      <c r="J3100" s="47" t="n">
        <f aca="false">IF($A3100="",0,IF(COUNTIF($A$2:A3100,$A3100)=1,1,0))</f>
        <v>0</v>
      </c>
      <c r="K3100" s="47" t="n">
        <f aca="false">IF(J3100=1,N(I3100)+ROW()/10000000,0)</f>
        <v>0</v>
      </c>
      <c r="L3100" s="47" t="str">
        <f aca="false">IF(AND(J3100=1,N(I3100)&gt;0),SUMIF($K$2:$K$5001,"&gt;="&amp;K3100,$I$2:$I$5001)/MAX(1,SUM($H$2:$H$5001)),"")</f>
        <v/>
      </c>
      <c r="M3100" s="47" t="str">
        <f aca="false">IF($A3100="","",INDEX($L$2:$L$5001,MATCH($A3100,$A$2:$A$5001,0)))</f>
        <v/>
      </c>
      <c r="N3100" s="48" t="str">
        <f aca="false">IF($A3100="","",IF(N(M3100)=0,"–",IF(M3100&lt;=Start!$D$20,"A",IF(M3100&lt;=Start!$D$21,"B","C"))))</f>
        <v/>
      </c>
      <c r="O3100" s="48" t="str">
        <f aca="false">IF($A3100="","",IF(NOT(ISNUMBER(F3100)),"Wert fehlt; ",IF(F3100&lt;=0,"Wert ist 0; ",""))&amp;IF(NOT(ISNUMBER(E3100)),"Bestand fehlt; ",IF(E3100&lt;0,"Bestand negativ; ",IF(E3100=0,"Nullbestand; ","")))&amp;IF(D3100="","Warengruppe fehlt; ","")&amp;IF(B3100="","Bezeichnung fehlt; ","")&amp;IF(COUNTIFS($A$2:$A$5001,$A3100,$C$2:$C$5001,C3100)&gt;1,"Artikel doppelt im selben Lager; ",""))</f>
        <v/>
      </c>
      <c r="P3100" s="47" t="n">
        <f aca="false">IF(OR($A3100="",D3100=""),0,IF(COUNTIF($D$2:D3100,D3100)=1,SUMIF($D$2:$D$5001,D3100,$H$2:$H$5001)+ROW()/10000000,0))</f>
        <v>0</v>
      </c>
      <c r="Q3100" s="47" t="n">
        <f aca="false">IF(OR($A3100="",C3100=""),0,IF(COUNTIF($C$2:C3100,C3100)=1,SUMIF($C$2:$C$5001,C3100,$H$2:$H$5001)+ROW()/10000000,0))</f>
        <v>0</v>
      </c>
    </row>
    <row r="3101" customFormat="false" ht="15" hidden="false" customHeight="false" outlineLevel="0" collapsed="false">
      <c r="A3101" s="43"/>
      <c r="B3101" s="44"/>
      <c r="C3101" s="44"/>
      <c r="D3101" s="44"/>
      <c r="E3101" s="44"/>
      <c r="F3101" s="44"/>
      <c r="G3101" s="44"/>
      <c r="H3101" s="46" t="str">
        <f aca="false">IF($A3101="","",IF(OR(NOT(ISNUMBER(E3101)),NOT(ISNUMBER(F3101))),"",MAX(0,E3101)*F3101))</f>
        <v/>
      </c>
      <c r="I3101" s="46" t="str">
        <f aca="false">IF($A3101="","",SUMIF($A$2:$A$5001,$A3101,$H$2:$H$5001))</f>
        <v/>
      </c>
      <c r="J3101" s="47" t="n">
        <f aca="false">IF($A3101="",0,IF(COUNTIF($A$2:A3101,$A3101)=1,1,0))</f>
        <v>0</v>
      </c>
      <c r="K3101" s="47" t="n">
        <f aca="false">IF(J3101=1,N(I3101)+ROW()/10000000,0)</f>
        <v>0</v>
      </c>
      <c r="L3101" s="47" t="str">
        <f aca="false">IF(AND(J3101=1,N(I3101)&gt;0),SUMIF($K$2:$K$5001,"&gt;="&amp;K3101,$I$2:$I$5001)/MAX(1,SUM($H$2:$H$5001)),"")</f>
        <v/>
      </c>
      <c r="M3101" s="47" t="str">
        <f aca="false">IF($A3101="","",INDEX($L$2:$L$5001,MATCH($A3101,$A$2:$A$5001,0)))</f>
        <v/>
      </c>
      <c r="N3101" s="48" t="str">
        <f aca="false">IF($A3101="","",IF(N(M3101)=0,"–",IF(M3101&lt;=Start!$D$20,"A",IF(M3101&lt;=Start!$D$21,"B","C"))))</f>
        <v/>
      </c>
      <c r="O3101" s="48" t="str">
        <f aca="false">IF($A3101="","",IF(NOT(ISNUMBER(F3101)),"Wert fehlt; ",IF(F3101&lt;=0,"Wert ist 0; ",""))&amp;IF(NOT(ISNUMBER(E3101)),"Bestand fehlt; ",IF(E3101&lt;0,"Bestand negativ; ",IF(E3101=0,"Nullbestand; ","")))&amp;IF(D3101="","Warengruppe fehlt; ","")&amp;IF(B3101="","Bezeichnung fehlt; ","")&amp;IF(COUNTIFS($A$2:$A$5001,$A3101,$C$2:$C$5001,C3101)&gt;1,"Artikel doppelt im selben Lager; ",""))</f>
        <v/>
      </c>
      <c r="P3101" s="47" t="n">
        <f aca="false">IF(OR($A3101="",D3101=""),0,IF(COUNTIF($D$2:D3101,D3101)=1,SUMIF($D$2:$D$5001,D3101,$H$2:$H$5001)+ROW()/10000000,0))</f>
        <v>0</v>
      </c>
      <c r="Q3101" s="47" t="n">
        <f aca="false">IF(OR($A3101="",C3101=""),0,IF(COUNTIF($C$2:C3101,C3101)=1,SUMIF($C$2:$C$5001,C3101,$H$2:$H$5001)+ROW()/10000000,0))</f>
        <v>0</v>
      </c>
    </row>
    <row r="3102" customFormat="false" ht="15" hidden="false" customHeight="false" outlineLevel="0" collapsed="false">
      <c r="A3102" s="43"/>
      <c r="B3102" s="44"/>
      <c r="C3102" s="44"/>
      <c r="D3102" s="44"/>
      <c r="E3102" s="44"/>
      <c r="F3102" s="44"/>
      <c r="G3102" s="44"/>
      <c r="H3102" s="46" t="str">
        <f aca="false">IF($A3102="","",IF(OR(NOT(ISNUMBER(E3102)),NOT(ISNUMBER(F3102))),"",MAX(0,E3102)*F3102))</f>
        <v/>
      </c>
      <c r="I3102" s="46" t="str">
        <f aca="false">IF($A3102="","",SUMIF($A$2:$A$5001,$A3102,$H$2:$H$5001))</f>
        <v/>
      </c>
      <c r="J3102" s="47" t="n">
        <f aca="false">IF($A3102="",0,IF(COUNTIF($A$2:A3102,$A3102)=1,1,0))</f>
        <v>0</v>
      </c>
      <c r="K3102" s="47" t="n">
        <f aca="false">IF(J3102=1,N(I3102)+ROW()/10000000,0)</f>
        <v>0</v>
      </c>
      <c r="L3102" s="47" t="str">
        <f aca="false">IF(AND(J3102=1,N(I3102)&gt;0),SUMIF($K$2:$K$5001,"&gt;="&amp;K3102,$I$2:$I$5001)/MAX(1,SUM($H$2:$H$5001)),"")</f>
        <v/>
      </c>
      <c r="M3102" s="47" t="str">
        <f aca="false">IF($A3102="","",INDEX($L$2:$L$5001,MATCH($A3102,$A$2:$A$5001,0)))</f>
        <v/>
      </c>
      <c r="N3102" s="48" t="str">
        <f aca="false">IF($A3102="","",IF(N(M3102)=0,"–",IF(M3102&lt;=Start!$D$20,"A",IF(M3102&lt;=Start!$D$21,"B","C"))))</f>
        <v/>
      </c>
      <c r="O3102" s="48" t="str">
        <f aca="false">IF($A3102="","",IF(NOT(ISNUMBER(F3102)),"Wert fehlt; ",IF(F3102&lt;=0,"Wert ist 0; ",""))&amp;IF(NOT(ISNUMBER(E3102)),"Bestand fehlt; ",IF(E3102&lt;0,"Bestand negativ; ",IF(E3102=0,"Nullbestand; ","")))&amp;IF(D3102="","Warengruppe fehlt; ","")&amp;IF(B3102="","Bezeichnung fehlt; ","")&amp;IF(COUNTIFS($A$2:$A$5001,$A3102,$C$2:$C$5001,C3102)&gt;1,"Artikel doppelt im selben Lager; ",""))</f>
        <v/>
      </c>
      <c r="P3102" s="47" t="n">
        <f aca="false">IF(OR($A3102="",D3102=""),0,IF(COUNTIF($D$2:D3102,D3102)=1,SUMIF($D$2:$D$5001,D3102,$H$2:$H$5001)+ROW()/10000000,0))</f>
        <v>0</v>
      </c>
      <c r="Q3102" s="47" t="n">
        <f aca="false">IF(OR($A3102="",C3102=""),0,IF(COUNTIF($C$2:C3102,C3102)=1,SUMIF($C$2:$C$5001,C3102,$H$2:$H$5001)+ROW()/10000000,0))</f>
        <v>0</v>
      </c>
    </row>
    <row r="3103" customFormat="false" ht="15" hidden="false" customHeight="false" outlineLevel="0" collapsed="false">
      <c r="A3103" s="43"/>
      <c r="B3103" s="44"/>
      <c r="C3103" s="44"/>
      <c r="D3103" s="44"/>
      <c r="E3103" s="44"/>
      <c r="F3103" s="44"/>
      <c r="G3103" s="44"/>
      <c r="H3103" s="46" t="str">
        <f aca="false">IF($A3103="","",IF(OR(NOT(ISNUMBER(E3103)),NOT(ISNUMBER(F3103))),"",MAX(0,E3103)*F3103))</f>
        <v/>
      </c>
      <c r="I3103" s="46" t="str">
        <f aca="false">IF($A3103="","",SUMIF($A$2:$A$5001,$A3103,$H$2:$H$5001))</f>
        <v/>
      </c>
      <c r="J3103" s="47" t="n">
        <f aca="false">IF($A3103="",0,IF(COUNTIF($A$2:A3103,$A3103)=1,1,0))</f>
        <v>0</v>
      </c>
      <c r="K3103" s="47" t="n">
        <f aca="false">IF(J3103=1,N(I3103)+ROW()/10000000,0)</f>
        <v>0</v>
      </c>
      <c r="L3103" s="47" t="str">
        <f aca="false">IF(AND(J3103=1,N(I3103)&gt;0),SUMIF($K$2:$K$5001,"&gt;="&amp;K3103,$I$2:$I$5001)/MAX(1,SUM($H$2:$H$5001)),"")</f>
        <v/>
      </c>
      <c r="M3103" s="47" t="str">
        <f aca="false">IF($A3103="","",INDEX($L$2:$L$5001,MATCH($A3103,$A$2:$A$5001,0)))</f>
        <v/>
      </c>
      <c r="N3103" s="48" t="str">
        <f aca="false">IF($A3103="","",IF(N(M3103)=0,"–",IF(M3103&lt;=Start!$D$20,"A",IF(M3103&lt;=Start!$D$21,"B","C"))))</f>
        <v/>
      </c>
      <c r="O3103" s="48" t="str">
        <f aca="false">IF($A3103="","",IF(NOT(ISNUMBER(F3103)),"Wert fehlt; ",IF(F3103&lt;=0,"Wert ist 0; ",""))&amp;IF(NOT(ISNUMBER(E3103)),"Bestand fehlt; ",IF(E3103&lt;0,"Bestand negativ; ",IF(E3103=0,"Nullbestand; ","")))&amp;IF(D3103="","Warengruppe fehlt; ","")&amp;IF(B3103="","Bezeichnung fehlt; ","")&amp;IF(COUNTIFS($A$2:$A$5001,$A3103,$C$2:$C$5001,C3103)&gt;1,"Artikel doppelt im selben Lager; ",""))</f>
        <v/>
      </c>
      <c r="P3103" s="47" t="n">
        <f aca="false">IF(OR($A3103="",D3103=""),0,IF(COUNTIF($D$2:D3103,D3103)=1,SUMIF($D$2:$D$5001,D3103,$H$2:$H$5001)+ROW()/10000000,0))</f>
        <v>0</v>
      </c>
      <c r="Q3103" s="47" t="n">
        <f aca="false">IF(OR($A3103="",C3103=""),0,IF(COUNTIF($C$2:C3103,C3103)=1,SUMIF($C$2:$C$5001,C3103,$H$2:$H$5001)+ROW()/10000000,0))</f>
        <v>0</v>
      </c>
    </row>
    <row r="3104" customFormat="false" ht="15" hidden="false" customHeight="false" outlineLevel="0" collapsed="false">
      <c r="A3104" s="43"/>
      <c r="B3104" s="44"/>
      <c r="C3104" s="44"/>
      <c r="D3104" s="44"/>
      <c r="E3104" s="44"/>
      <c r="F3104" s="44"/>
      <c r="G3104" s="44"/>
      <c r="H3104" s="46" t="str">
        <f aca="false">IF($A3104="","",IF(OR(NOT(ISNUMBER(E3104)),NOT(ISNUMBER(F3104))),"",MAX(0,E3104)*F3104))</f>
        <v/>
      </c>
      <c r="I3104" s="46" t="str">
        <f aca="false">IF($A3104="","",SUMIF($A$2:$A$5001,$A3104,$H$2:$H$5001))</f>
        <v/>
      </c>
      <c r="J3104" s="47" t="n">
        <f aca="false">IF($A3104="",0,IF(COUNTIF($A$2:A3104,$A3104)=1,1,0))</f>
        <v>0</v>
      </c>
      <c r="K3104" s="47" t="n">
        <f aca="false">IF(J3104=1,N(I3104)+ROW()/10000000,0)</f>
        <v>0</v>
      </c>
      <c r="L3104" s="47" t="str">
        <f aca="false">IF(AND(J3104=1,N(I3104)&gt;0),SUMIF($K$2:$K$5001,"&gt;="&amp;K3104,$I$2:$I$5001)/MAX(1,SUM($H$2:$H$5001)),"")</f>
        <v/>
      </c>
      <c r="M3104" s="47" t="str">
        <f aca="false">IF($A3104="","",INDEX($L$2:$L$5001,MATCH($A3104,$A$2:$A$5001,0)))</f>
        <v/>
      </c>
      <c r="N3104" s="48" t="str">
        <f aca="false">IF($A3104="","",IF(N(M3104)=0,"–",IF(M3104&lt;=Start!$D$20,"A",IF(M3104&lt;=Start!$D$21,"B","C"))))</f>
        <v/>
      </c>
      <c r="O3104" s="48" t="str">
        <f aca="false">IF($A3104="","",IF(NOT(ISNUMBER(F3104)),"Wert fehlt; ",IF(F3104&lt;=0,"Wert ist 0; ",""))&amp;IF(NOT(ISNUMBER(E3104)),"Bestand fehlt; ",IF(E3104&lt;0,"Bestand negativ; ",IF(E3104=0,"Nullbestand; ","")))&amp;IF(D3104="","Warengruppe fehlt; ","")&amp;IF(B3104="","Bezeichnung fehlt; ","")&amp;IF(COUNTIFS($A$2:$A$5001,$A3104,$C$2:$C$5001,C3104)&gt;1,"Artikel doppelt im selben Lager; ",""))</f>
        <v/>
      </c>
      <c r="P3104" s="47" t="n">
        <f aca="false">IF(OR($A3104="",D3104=""),0,IF(COUNTIF($D$2:D3104,D3104)=1,SUMIF($D$2:$D$5001,D3104,$H$2:$H$5001)+ROW()/10000000,0))</f>
        <v>0</v>
      </c>
      <c r="Q3104" s="47" t="n">
        <f aca="false">IF(OR($A3104="",C3104=""),0,IF(COUNTIF($C$2:C3104,C3104)=1,SUMIF($C$2:$C$5001,C3104,$H$2:$H$5001)+ROW()/10000000,0))</f>
        <v>0</v>
      </c>
    </row>
    <row r="3105" customFormat="false" ht="15" hidden="false" customHeight="false" outlineLevel="0" collapsed="false">
      <c r="A3105" s="43"/>
      <c r="B3105" s="44"/>
      <c r="C3105" s="44"/>
      <c r="D3105" s="44"/>
      <c r="E3105" s="44"/>
      <c r="F3105" s="44"/>
      <c r="G3105" s="44"/>
      <c r="H3105" s="46" t="str">
        <f aca="false">IF($A3105="","",IF(OR(NOT(ISNUMBER(E3105)),NOT(ISNUMBER(F3105))),"",MAX(0,E3105)*F3105))</f>
        <v/>
      </c>
      <c r="I3105" s="46" t="str">
        <f aca="false">IF($A3105="","",SUMIF($A$2:$A$5001,$A3105,$H$2:$H$5001))</f>
        <v/>
      </c>
      <c r="J3105" s="47" t="n">
        <f aca="false">IF($A3105="",0,IF(COUNTIF($A$2:A3105,$A3105)=1,1,0))</f>
        <v>0</v>
      </c>
      <c r="K3105" s="47" t="n">
        <f aca="false">IF(J3105=1,N(I3105)+ROW()/10000000,0)</f>
        <v>0</v>
      </c>
      <c r="L3105" s="47" t="str">
        <f aca="false">IF(AND(J3105=1,N(I3105)&gt;0),SUMIF($K$2:$K$5001,"&gt;="&amp;K3105,$I$2:$I$5001)/MAX(1,SUM($H$2:$H$5001)),"")</f>
        <v/>
      </c>
      <c r="M3105" s="47" t="str">
        <f aca="false">IF($A3105="","",INDEX($L$2:$L$5001,MATCH($A3105,$A$2:$A$5001,0)))</f>
        <v/>
      </c>
      <c r="N3105" s="48" t="str">
        <f aca="false">IF($A3105="","",IF(N(M3105)=0,"–",IF(M3105&lt;=Start!$D$20,"A",IF(M3105&lt;=Start!$D$21,"B","C"))))</f>
        <v/>
      </c>
      <c r="O3105" s="48" t="str">
        <f aca="false">IF($A3105="","",IF(NOT(ISNUMBER(F3105)),"Wert fehlt; ",IF(F3105&lt;=0,"Wert ist 0; ",""))&amp;IF(NOT(ISNUMBER(E3105)),"Bestand fehlt; ",IF(E3105&lt;0,"Bestand negativ; ",IF(E3105=0,"Nullbestand; ","")))&amp;IF(D3105="","Warengruppe fehlt; ","")&amp;IF(B3105="","Bezeichnung fehlt; ","")&amp;IF(COUNTIFS($A$2:$A$5001,$A3105,$C$2:$C$5001,C3105)&gt;1,"Artikel doppelt im selben Lager; ",""))</f>
        <v/>
      </c>
      <c r="P3105" s="47" t="n">
        <f aca="false">IF(OR($A3105="",D3105=""),0,IF(COUNTIF($D$2:D3105,D3105)=1,SUMIF($D$2:$D$5001,D3105,$H$2:$H$5001)+ROW()/10000000,0))</f>
        <v>0</v>
      </c>
      <c r="Q3105" s="47" t="n">
        <f aca="false">IF(OR($A3105="",C3105=""),0,IF(COUNTIF($C$2:C3105,C3105)=1,SUMIF($C$2:$C$5001,C3105,$H$2:$H$5001)+ROW()/10000000,0))</f>
        <v>0</v>
      </c>
    </row>
    <row r="3106" customFormat="false" ht="15" hidden="false" customHeight="false" outlineLevel="0" collapsed="false">
      <c r="A3106" s="43"/>
      <c r="B3106" s="44"/>
      <c r="C3106" s="44"/>
      <c r="D3106" s="44"/>
      <c r="E3106" s="44"/>
      <c r="F3106" s="44"/>
      <c r="G3106" s="44"/>
      <c r="H3106" s="46" t="str">
        <f aca="false">IF($A3106="","",IF(OR(NOT(ISNUMBER(E3106)),NOT(ISNUMBER(F3106))),"",MAX(0,E3106)*F3106))</f>
        <v/>
      </c>
      <c r="I3106" s="46" t="str">
        <f aca="false">IF($A3106="","",SUMIF($A$2:$A$5001,$A3106,$H$2:$H$5001))</f>
        <v/>
      </c>
      <c r="J3106" s="47" t="n">
        <f aca="false">IF($A3106="",0,IF(COUNTIF($A$2:A3106,$A3106)=1,1,0))</f>
        <v>0</v>
      </c>
      <c r="K3106" s="47" t="n">
        <f aca="false">IF(J3106=1,N(I3106)+ROW()/10000000,0)</f>
        <v>0</v>
      </c>
      <c r="L3106" s="47" t="str">
        <f aca="false">IF(AND(J3106=1,N(I3106)&gt;0),SUMIF($K$2:$K$5001,"&gt;="&amp;K3106,$I$2:$I$5001)/MAX(1,SUM($H$2:$H$5001)),"")</f>
        <v/>
      </c>
      <c r="M3106" s="47" t="str">
        <f aca="false">IF($A3106="","",INDEX($L$2:$L$5001,MATCH($A3106,$A$2:$A$5001,0)))</f>
        <v/>
      </c>
      <c r="N3106" s="48" t="str">
        <f aca="false">IF($A3106="","",IF(N(M3106)=0,"–",IF(M3106&lt;=Start!$D$20,"A",IF(M3106&lt;=Start!$D$21,"B","C"))))</f>
        <v/>
      </c>
      <c r="O3106" s="48" t="str">
        <f aca="false">IF($A3106="","",IF(NOT(ISNUMBER(F3106)),"Wert fehlt; ",IF(F3106&lt;=0,"Wert ist 0; ",""))&amp;IF(NOT(ISNUMBER(E3106)),"Bestand fehlt; ",IF(E3106&lt;0,"Bestand negativ; ",IF(E3106=0,"Nullbestand; ","")))&amp;IF(D3106="","Warengruppe fehlt; ","")&amp;IF(B3106="","Bezeichnung fehlt; ","")&amp;IF(COUNTIFS($A$2:$A$5001,$A3106,$C$2:$C$5001,C3106)&gt;1,"Artikel doppelt im selben Lager; ",""))</f>
        <v/>
      </c>
      <c r="P3106" s="47" t="n">
        <f aca="false">IF(OR($A3106="",D3106=""),0,IF(COUNTIF($D$2:D3106,D3106)=1,SUMIF($D$2:$D$5001,D3106,$H$2:$H$5001)+ROW()/10000000,0))</f>
        <v>0</v>
      </c>
      <c r="Q3106" s="47" t="n">
        <f aca="false">IF(OR($A3106="",C3106=""),0,IF(COUNTIF($C$2:C3106,C3106)=1,SUMIF($C$2:$C$5001,C3106,$H$2:$H$5001)+ROW()/10000000,0))</f>
        <v>0</v>
      </c>
    </row>
    <row r="3107" customFormat="false" ht="15" hidden="false" customHeight="false" outlineLevel="0" collapsed="false">
      <c r="A3107" s="43"/>
      <c r="B3107" s="44"/>
      <c r="C3107" s="44"/>
      <c r="D3107" s="44"/>
      <c r="E3107" s="44"/>
      <c r="F3107" s="44"/>
      <c r="G3107" s="44"/>
      <c r="H3107" s="46" t="str">
        <f aca="false">IF($A3107="","",IF(OR(NOT(ISNUMBER(E3107)),NOT(ISNUMBER(F3107))),"",MAX(0,E3107)*F3107))</f>
        <v/>
      </c>
      <c r="I3107" s="46" t="str">
        <f aca="false">IF($A3107="","",SUMIF($A$2:$A$5001,$A3107,$H$2:$H$5001))</f>
        <v/>
      </c>
      <c r="J3107" s="47" t="n">
        <f aca="false">IF($A3107="",0,IF(COUNTIF($A$2:A3107,$A3107)=1,1,0))</f>
        <v>0</v>
      </c>
      <c r="K3107" s="47" t="n">
        <f aca="false">IF(J3107=1,N(I3107)+ROW()/10000000,0)</f>
        <v>0</v>
      </c>
      <c r="L3107" s="47" t="str">
        <f aca="false">IF(AND(J3107=1,N(I3107)&gt;0),SUMIF($K$2:$K$5001,"&gt;="&amp;K3107,$I$2:$I$5001)/MAX(1,SUM($H$2:$H$5001)),"")</f>
        <v/>
      </c>
      <c r="M3107" s="47" t="str">
        <f aca="false">IF($A3107="","",INDEX($L$2:$L$5001,MATCH($A3107,$A$2:$A$5001,0)))</f>
        <v/>
      </c>
      <c r="N3107" s="48" t="str">
        <f aca="false">IF($A3107="","",IF(N(M3107)=0,"–",IF(M3107&lt;=Start!$D$20,"A",IF(M3107&lt;=Start!$D$21,"B","C"))))</f>
        <v/>
      </c>
      <c r="O3107" s="48" t="str">
        <f aca="false">IF($A3107="","",IF(NOT(ISNUMBER(F3107)),"Wert fehlt; ",IF(F3107&lt;=0,"Wert ist 0; ",""))&amp;IF(NOT(ISNUMBER(E3107)),"Bestand fehlt; ",IF(E3107&lt;0,"Bestand negativ; ",IF(E3107=0,"Nullbestand; ","")))&amp;IF(D3107="","Warengruppe fehlt; ","")&amp;IF(B3107="","Bezeichnung fehlt; ","")&amp;IF(COUNTIFS($A$2:$A$5001,$A3107,$C$2:$C$5001,C3107)&gt;1,"Artikel doppelt im selben Lager; ",""))</f>
        <v/>
      </c>
      <c r="P3107" s="47" t="n">
        <f aca="false">IF(OR($A3107="",D3107=""),0,IF(COUNTIF($D$2:D3107,D3107)=1,SUMIF($D$2:$D$5001,D3107,$H$2:$H$5001)+ROW()/10000000,0))</f>
        <v>0</v>
      </c>
      <c r="Q3107" s="47" t="n">
        <f aca="false">IF(OR($A3107="",C3107=""),0,IF(COUNTIF($C$2:C3107,C3107)=1,SUMIF($C$2:$C$5001,C3107,$H$2:$H$5001)+ROW()/10000000,0))</f>
        <v>0</v>
      </c>
    </row>
    <row r="3108" customFormat="false" ht="15" hidden="false" customHeight="false" outlineLevel="0" collapsed="false">
      <c r="A3108" s="43"/>
      <c r="B3108" s="44"/>
      <c r="C3108" s="44"/>
      <c r="D3108" s="44"/>
      <c r="E3108" s="44"/>
      <c r="F3108" s="44"/>
      <c r="G3108" s="44"/>
      <c r="H3108" s="46" t="str">
        <f aca="false">IF($A3108="","",IF(OR(NOT(ISNUMBER(E3108)),NOT(ISNUMBER(F3108))),"",MAX(0,E3108)*F3108))</f>
        <v/>
      </c>
      <c r="I3108" s="46" t="str">
        <f aca="false">IF($A3108="","",SUMIF($A$2:$A$5001,$A3108,$H$2:$H$5001))</f>
        <v/>
      </c>
      <c r="J3108" s="47" t="n">
        <f aca="false">IF($A3108="",0,IF(COUNTIF($A$2:A3108,$A3108)=1,1,0))</f>
        <v>0</v>
      </c>
      <c r="K3108" s="47" t="n">
        <f aca="false">IF(J3108=1,N(I3108)+ROW()/10000000,0)</f>
        <v>0</v>
      </c>
      <c r="L3108" s="47" t="str">
        <f aca="false">IF(AND(J3108=1,N(I3108)&gt;0),SUMIF($K$2:$K$5001,"&gt;="&amp;K3108,$I$2:$I$5001)/MAX(1,SUM($H$2:$H$5001)),"")</f>
        <v/>
      </c>
      <c r="M3108" s="47" t="str">
        <f aca="false">IF($A3108="","",INDEX($L$2:$L$5001,MATCH($A3108,$A$2:$A$5001,0)))</f>
        <v/>
      </c>
      <c r="N3108" s="48" t="str">
        <f aca="false">IF($A3108="","",IF(N(M3108)=0,"–",IF(M3108&lt;=Start!$D$20,"A",IF(M3108&lt;=Start!$D$21,"B","C"))))</f>
        <v/>
      </c>
      <c r="O3108" s="48" t="str">
        <f aca="false">IF($A3108="","",IF(NOT(ISNUMBER(F3108)),"Wert fehlt; ",IF(F3108&lt;=0,"Wert ist 0; ",""))&amp;IF(NOT(ISNUMBER(E3108)),"Bestand fehlt; ",IF(E3108&lt;0,"Bestand negativ; ",IF(E3108=0,"Nullbestand; ","")))&amp;IF(D3108="","Warengruppe fehlt; ","")&amp;IF(B3108="","Bezeichnung fehlt; ","")&amp;IF(COUNTIFS($A$2:$A$5001,$A3108,$C$2:$C$5001,C3108)&gt;1,"Artikel doppelt im selben Lager; ",""))</f>
        <v/>
      </c>
      <c r="P3108" s="47" t="n">
        <f aca="false">IF(OR($A3108="",D3108=""),0,IF(COUNTIF($D$2:D3108,D3108)=1,SUMIF($D$2:$D$5001,D3108,$H$2:$H$5001)+ROW()/10000000,0))</f>
        <v>0</v>
      </c>
      <c r="Q3108" s="47" t="n">
        <f aca="false">IF(OR($A3108="",C3108=""),0,IF(COUNTIF($C$2:C3108,C3108)=1,SUMIF($C$2:$C$5001,C3108,$H$2:$H$5001)+ROW()/10000000,0))</f>
        <v>0</v>
      </c>
    </row>
    <row r="3109" customFormat="false" ht="15" hidden="false" customHeight="false" outlineLevel="0" collapsed="false">
      <c r="A3109" s="43"/>
      <c r="B3109" s="44"/>
      <c r="C3109" s="44"/>
      <c r="D3109" s="44"/>
      <c r="E3109" s="44"/>
      <c r="F3109" s="44"/>
      <c r="G3109" s="44"/>
      <c r="H3109" s="46" t="str">
        <f aca="false">IF($A3109="","",IF(OR(NOT(ISNUMBER(E3109)),NOT(ISNUMBER(F3109))),"",MAX(0,E3109)*F3109))</f>
        <v/>
      </c>
      <c r="I3109" s="46" t="str">
        <f aca="false">IF($A3109="","",SUMIF($A$2:$A$5001,$A3109,$H$2:$H$5001))</f>
        <v/>
      </c>
      <c r="J3109" s="47" t="n">
        <f aca="false">IF($A3109="",0,IF(COUNTIF($A$2:A3109,$A3109)=1,1,0))</f>
        <v>0</v>
      </c>
      <c r="K3109" s="47" t="n">
        <f aca="false">IF(J3109=1,N(I3109)+ROW()/10000000,0)</f>
        <v>0</v>
      </c>
      <c r="L3109" s="47" t="str">
        <f aca="false">IF(AND(J3109=1,N(I3109)&gt;0),SUMIF($K$2:$K$5001,"&gt;="&amp;K3109,$I$2:$I$5001)/MAX(1,SUM($H$2:$H$5001)),"")</f>
        <v/>
      </c>
      <c r="M3109" s="47" t="str">
        <f aca="false">IF($A3109="","",INDEX($L$2:$L$5001,MATCH($A3109,$A$2:$A$5001,0)))</f>
        <v/>
      </c>
      <c r="N3109" s="48" t="str">
        <f aca="false">IF($A3109="","",IF(N(M3109)=0,"–",IF(M3109&lt;=Start!$D$20,"A",IF(M3109&lt;=Start!$D$21,"B","C"))))</f>
        <v/>
      </c>
      <c r="O3109" s="48" t="str">
        <f aca="false">IF($A3109="","",IF(NOT(ISNUMBER(F3109)),"Wert fehlt; ",IF(F3109&lt;=0,"Wert ist 0; ",""))&amp;IF(NOT(ISNUMBER(E3109)),"Bestand fehlt; ",IF(E3109&lt;0,"Bestand negativ; ",IF(E3109=0,"Nullbestand; ","")))&amp;IF(D3109="","Warengruppe fehlt; ","")&amp;IF(B3109="","Bezeichnung fehlt; ","")&amp;IF(COUNTIFS($A$2:$A$5001,$A3109,$C$2:$C$5001,C3109)&gt;1,"Artikel doppelt im selben Lager; ",""))</f>
        <v/>
      </c>
      <c r="P3109" s="47" t="n">
        <f aca="false">IF(OR($A3109="",D3109=""),0,IF(COUNTIF($D$2:D3109,D3109)=1,SUMIF($D$2:$D$5001,D3109,$H$2:$H$5001)+ROW()/10000000,0))</f>
        <v>0</v>
      </c>
      <c r="Q3109" s="47" t="n">
        <f aca="false">IF(OR($A3109="",C3109=""),0,IF(COUNTIF($C$2:C3109,C3109)=1,SUMIF($C$2:$C$5001,C3109,$H$2:$H$5001)+ROW()/10000000,0))</f>
        <v>0</v>
      </c>
    </row>
    <row r="3110" customFormat="false" ht="15" hidden="false" customHeight="false" outlineLevel="0" collapsed="false">
      <c r="A3110" s="43"/>
      <c r="B3110" s="44"/>
      <c r="C3110" s="44"/>
      <c r="D3110" s="44"/>
      <c r="E3110" s="44"/>
      <c r="F3110" s="44"/>
      <c r="G3110" s="44"/>
      <c r="H3110" s="46" t="str">
        <f aca="false">IF($A3110="","",IF(OR(NOT(ISNUMBER(E3110)),NOT(ISNUMBER(F3110))),"",MAX(0,E3110)*F3110))</f>
        <v/>
      </c>
      <c r="I3110" s="46" t="str">
        <f aca="false">IF($A3110="","",SUMIF($A$2:$A$5001,$A3110,$H$2:$H$5001))</f>
        <v/>
      </c>
      <c r="J3110" s="47" t="n">
        <f aca="false">IF($A3110="",0,IF(COUNTIF($A$2:A3110,$A3110)=1,1,0))</f>
        <v>0</v>
      </c>
      <c r="K3110" s="47" t="n">
        <f aca="false">IF(J3110=1,N(I3110)+ROW()/10000000,0)</f>
        <v>0</v>
      </c>
      <c r="L3110" s="47" t="str">
        <f aca="false">IF(AND(J3110=1,N(I3110)&gt;0),SUMIF($K$2:$K$5001,"&gt;="&amp;K3110,$I$2:$I$5001)/MAX(1,SUM($H$2:$H$5001)),"")</f>
        <v/>
      </c>
      <c r="M3110" s="47" t="str">
        <f aca="false">IF($A3110="","",INDEX($L$2:$L$5001,MATCH($A3110,$A$2:$A$5001,0)))</f>
        <v/>
      </c>
      <c r="N3110" s="48" t="str">
        <f aca="false">IF($A3110="","",IF(N(M3110)=0,"–",IF(M3110&lt;=Start!$D$20,"A",IF(M3110&lt;=Start!$D$21,"B","C"))))</f>
        <v/>
      </c>
      <c r="O3110" s="48" t="str">
        <f aca="false">IF($A3110="","",IF(NOT(ISNUMBER(F3110)),"Wert fehlt; ",IF(F3110&lt;=0,"Wert ist 0; ",""))&amp;IF(NOT(ISNUMBER(E3110)),"Bestand fehlt; ",IF(E3110&lt;0,"Bestand negativ; ",IF(E3110=0,"Nullbestand; ","")))&amp;IF(D3110="","Warengruppe fehlt; ","")&amp;IF(B3110="","Bezeichnung fehlt; ","")&amp;IF(COUNTIFS($A$2:$A$5001,$A3110,$C$2:$C$5001,C3110)&gt;1,"Artikel doppelt im selben Lager; ",""))</f>
        <v/>
      </c>
      <c r="P3110" s="47" t="n">
        <f aca="false">IF(OR($A3110="",D3110=""),0,IF(COUNTIF($D$2:D3110,D3110)=1,SUMIF($D$2:$D$5001,D3110,$H$2:$H$5001)+ROW()/10000000,0))</f>
        <v>0</v>
      </c>
      <c r="Q3110" s="47" t="n">
        <f aca="false">IF(OR($A3110="",C3110=""),0,IF(COUNTIF($C$2:C3110,C3110)=1,SUMIF($C$2:$C$5001,C3110,$H$2:$H$5001)+ROW()/10000000,0))</f>
        <v>0</v>
      </c>
    </row>
    <row r="3111" customFormat="false" ht="15" hidden="false" customHeight="false" outlineLevel="0" collapsed="false">
      <c r="A3111" s="43"/>
      <c r="B3111" s="44"/>
      <c r="C3111" s="44"/>
      <c r="D3111" s="44"/>
      <c r="E3111" s="44"/>
      <c r="F3111" s="44"/>
      <c r="G3111" s="44"/>
      <c r="H3111" s="46" t="str">
        <f aca="false">IF($A3111="","",IF(OR(NOT(ISNUMBER(E3111)),NOT(ISNUMBER(F3111))),"",MAX(0,E3111)*F3111))</f>
        <v/>
      </c>
      <c r="I3111" s="46" t="str">
        <f aca="false">IF($A3111="","",SUMIF($A$2:$A$5001,$A3111,$H$2:$H$5001))</f>
        <v/>
      </c>
      <c r="J3111" s="47" t="n">
        <f aca="false">IF($A3111="",0,IF(COUNTIF($A$2:A3111,$A3111)=1,1,0))</f>
        <v>0</v>
      </c>
      <c r="K3111" s="47" t="n">
        <f aca="false">IF(J3111=1,N(I3111)+ROW()/10000000,0)</f>
        <v>0</v>
      </c>
      <c r="L3111" s="47" t="str">
        <f aca="false">IF(AND(J3111=1,N(I3111)&gt;0),SUMIF($K$2:$K$5001,"&gt;="&amp;K3111,$I$2:$I$5001)/MAX(1,SUM($H$2:$H$5001)),"")</f>
        <v/>
      </c>
      <c r="M3111" s="47" t="str">
        <f aca="false">IF($A3111="","",INDEX($L$2:$L$5001,MATCH($A3111,$A$2:$A$5001,0)))</f>
        <v/>
      </c>
      <c r="N3111" s="48" t="str">
        <f aca="false">IF($A3111="","",IF(N(M3111)=0,"–",IF(M3111&lt;=Start!$D$20,"A",IF(M3111&lt;=Start!$D$21,"B","C"))))</f>
        <v/>
      </c>
      <c r="O3111" s="48" t="str">
        <f aca="false">IF($A3111="","",IF(NOT(ISNUMBER(F3111)),"Wert fehlt; ",IF(F3111&lt;=0,"Wert ist 0; ",""))&amp;IF(NOT(ISNUMBER(E3111)),"Bestand fehlt; ",IF(E3111&lt;0,"Bestand negativ; ",IF(E3111=0,"Nullbestand; ","")))&amp;IF(D3111="","Warengruppe fehlt; ","")&amp;IF(B3111="","Bezeichnung fehlt; ","")&amp;IF(COUNTIFS($A$2:$A$5001,$A3111,$C$2:$C$5001,C3111)&gt;1,"Artikel doppelt im selben Lager; ",""))</f>
        <v/>
      </c>
      <c r="P3111" s="47" t="n">
        <f aca="false">IF(OR($A3111="",D3111=""),0,IF(COUNTIF($D$2:D3111,D3111)=1,SUMIF($D$2:$D$5001,D3111,$H$2:$H$5001)+ROW()/10000000,0))</f>
        <v>0</v>
      </c>
      <c r="Q3111" s="47" t="n">
        <f aca="false">IF(OR($A3111="",C3111=""),0,IF(COUNTIF($C$2:C3111,C3111)=1,SUMIF($C$2:$C$5001,C3111,$H$2:$H$5001)+ROW()/10000000,0))</f>
        <v>0</v>
      </c>
    </row>
    <row r="3112" customFormat="false" ht="15" hidden="false" customHeight="false" outlineLevel="0" collapsed="false">
      <c r="A3112" s="43"/>
      <c r="B3112" s="44"/>
      <c r="C3112" s="44"/>
      <c r="D3112" s="44"/>
      <c r="E3112" s="44"/>
      <c r="F3112" s="44"/>
      <c r="G3112" s="44"/>
      <c r="H3112" s="46" t="str">
        <f aca="false">IF($A3112="","",IF(OR(NOT(ISNUMBER(E3112)),NOT(ISNUMBER(F3112))),"",MAX(0,E3112)*F3112))</f>
        <v/>
      </c>
      <c r="I3112" s="46" t="str">
        <f aca="false">IF($A3112="","",SUMIF($A$2:$A$5001,$A3112,$H$2:$H$5001))</f>
        <v/>
      </c>
      <c r="J3112" s="47" t="n">
        <f aca="false">IF($A3112="",0,IF(COUNTIF($A$2:A3112,$A3112)=1,1,0))</f>
        <v>0</v>
      </c>
      <c r="K3112" s="47" t="n">
        <f aca="false">IF(J3112=1,N(I3112)+ROW()/10000000,0)</f>
        <v>0</v>
      </c>
      <c r="L3112" s="47" t="str">
        <f aca="false">IF(AND(J3112=1,N(I3112)&gt;0),SUMIF($K$2:$K$5001,"&gt;="&amp;K3112,$I$2:$I$5001)/MAX(1,SUM($H$2:$H$5001)),"")</f>
        <v/>
      </c>
      <c r="M3112" s="47" t="str">
        <f aca="false">IF($A3112="","",INDEX($L$2:$L$5001,MATCH($A3112,$A$2:$A$5001,0)))</f>
        <v/>
      </c>
      <c r="N3112" s="48" t="str">
        <f aca="false">IF($A3112="","",IF(N(M3112)=0,"–",IF(M3112&lt;=Start!$D$20,"A",IF(M3112&lt;=Start!$D$21,"B","C"))))</f>
        <v/>
      </c>
      <c r="O3112" s="48" t="str">
        <f aca="false">IF($A3112="","",IF(NOT(ISNUMBER(F3112)),"Wert fehlt; ",IF(F3112&lt;=0,"Wert ist 0; ",""))&amp;IF(NOT(ISNUMBER(E3112)),"Bestand fehlt; ",IF(E3112&lt;0,"Bestand negativ; ",IF(E3112=0,"Nullbestand; ","")))&amp;IF(D3112="","Warengruppe fehlt; ","")&amp;IF(B3112="","Bezeichnung fehlt; ","")&amp;IF(COUNTIFS($A$2:$A$5001,$A3112,$C$2:$C$5001,C3112)&gt;1,"Artikel doppelt im selben Lager; ",""))</f>
        <v/>
      </c>
      <c r="P3112" s="47" t="n">
        <f aca="false">IF(OR($A3112="",D3112=""),0,IF(COUNTIF($D$2:D3112,D3112)=1,SUMIF($D$2:$D$5001,D3112,$H$2:$H$5001)+ROW()/10000000,0))</f>
        <v>0</v>
      </c>
      <c r="Q3112" s="47" t="n">
        <f aca="false">IF(OR($A3112="",C3112=""),0,IF(COUNTIF($C$2:C3112,C3112)=1,SUMIF($C$2:$C$5001,C3112,$H$2:$H$5001)+ROW()/10000000,0))</f>
        <v>0</v>
      </c>
    </row>
    <row r="3113" customFormat="false" ht="15" hidden="false" customHeight="false" outlineLevel="0" collapsed="false">
      <c r="A3113" s="43"/>
      <c r="B3113" s="44"/>
      <c r="C3113" s="44"/>
      <c r="D3113" s="44"/>
      <c r="E3113" s="44"/>
      <c r="F3113" s="44"/>
      <c r="G3113" s="44"/>
      <c r="H3113" s="46" t="str">
        <f aca="false">IF($A3113="","",IF(OR(NOT(ISNUMBER(E3113)),NOT(ISNUMBER(F3113))),"",MAX(0,E3113)*F3113))</f>
        <v/>
      </c>
      <c r="I3113" s="46" t="str">
        <f aca="false">IF($A3113="","",SUMIF($A$2:$A$5001,$A3113,$H$2:$H$5001))</f>
        <v/>
      </c>
      <c r="J3113" s="47" t="n">
        <f aca="false">IF($A3113="",0,IF(COUNTIF($A$2:A3113,$A3113)=1,1,0))</f>
        <v>0</v>
      </c>
      <c r="K3113" s="47" t="n">
        <f aca="false">IF(J3113=1,N(I3113)+ROW()/10000000,0)</f>
        <v>0</v>
      </c>
      <c r="L3113" s="47" t="str">
        <f aca="false">IF(AND(J3113=1,N(I3113)&gt;0),SUMIF($K$2:$K$5001,"&gt;="&amp;K3113,$I$2:$I$5001)/MAX(1,SUM($H$2:$H$5001)),"")</f>
        <v/>
      </c>
      <c r="M3113" s="47" t="str">
        <f aca="false">IF($A3113="","",INDEX($L$2:$L$5001,MATCH($A3113,$A$2:$A$5001,0)))</f>
        <v/>
      </c>
      <c r="N3113" s="48" t="str">
        <f aca="false">IF($A3113="","",IF(N(M3113)=0,"–",IF(M3113&lt;=Start!$D$20,"A",IF(M3113&lt;=Start!$D$21,"B","C"))))</f>
        <v/>
      </c>
      <c r="O3113" s="48" t="str">
        <f aca="false">IF($A3113="","",IF(NOT(ISNUMBER(F3113)),"Wert fehlt; ",IF(F3113&lt;=0,"Wert ist 0; ",""))&amp;IF(NOT(ISNUMBER(E3113)),"Bestand fehlt; ",IF(E3113&lt;0,"Bestand negativ; ",IF(E3113=0,"Nullbestand; ","")))&amp;IF(D3113="","Warengruppe fehlt; ","")&amp;IF(B3113="","Bezeichnung fehlt; ","")&amp;IF(COUNTIFS($A$2:$A$5001,$A3113,$C$2:$C$5001,C3113)&gt;1,"Artikel doppelt im selben Lager; ",""))</f>
        <v/>
      </c>
      <c r="P3113" s="47" t="n">
        <f aca="false">IF(OR($A3113="",D3113=""),0,IF(COUNTIF($D$2:D3113,D3113)=1,SUMIF($D$2:$D$5001,D3113,$H$2:$H$5001)+ROW()/10000000,0))</f>
        <v>0</v>
      </c>
      <c r="Q3113" s="47" t="n">
        <f aca="false">IF(OR($A3113="",C3113=""),0,IF(COUNTIF($C$2:C3113,C3113)=1,SUMIF($C$2:$C$5001,C3113,$H$2:$H$5001)+ROW()/10000000,0))</f>
        <v>0</v>
      </c>
    </row>
    <row r="3114" customFormat="false" ht="15" hidden="false" customHeight="false" outlineLevel="0" collapsed="false">
      <c r="A3114" s="43"/>
      <c r="B3114" s="44"/>
      <c r="C3114" s="44"/>
      <c r="D3114" s="44"/>
      <c r="E3114" s="44"/>
      <c r="F3114" s="44"/>
      <c r="G3114" s="44"/>
      <c r="H3114" s="46" t="str">
        <f aca="false">IF($A3114="","",IF(OR(NOT(ISNUMBER(E3114)),NOT(ISNUMBER(F3114))),"",MAX(0,E3114)*F3114))</f>
        <v/>
      </c>
      <c r="I3114" s="46" t="str">
        <f aca="false">IF($A3114="","",SUMIF($A$2:$A$5001,$A3114,$H$2:$H$5001))</f>
        <v/>
      </c>
      <c r="J3114" s="47" t="n">
        <f aca="false">IF($A3114="",0,IF(COUNTIF($A$2:A3114,$A3114)=1,1,0))</f>
        <v>0</v>
      </c>
      <c r="K3114" s="47" t="n">
        <f aca="false">IF(J3114=1,N(I3114)+ROW()/10000000,0)</f>
        <v>0</v>
      </c>
      <c r="L3114" s="47" t="str">
        <f aca="false">IF(AND(J3114=1,N(I3114)&gt;0),SUMIF($K$2:$K$5001,"&gt;="&amp;K3114,$I$2:$I$5001)/MAX(1,SUM($H$2:$H$5001)),"")</f>
        <v/>
      </c>
      <c r="M3114" s="47" t="str">
        <f aca="false">IF($A3114="","",INDEX($L$2:$L$5001,MATCH($A3114,$A$2:$A$5001,0)))</f>
        <v/>
      </c>
      <c r="N3114" s="48" t="str">
        <f aca="false">IF($A3114="","",IF(N(M3114)=0,"–",IF(M3114&lt;=Start!$D$20,"A",IF(M3114&lt;=Start!$D$21,"B","C"))))</f>
        <v/>
      </c>
      <c r="O3114" s="48" t="str">
        <f aca="false">IF($A3114="","",IF(NOT(ISNUMBER(F3114)),"Wert fehlt; ",IF(F3114&lt;=0,"Wert ist 0; ",""))&amp;IF(NOT(ISNUMBER(E3114)),"Bestand fehlt; ",IF(E3114&lt;0,"Bestand negativ; ",IF(E3114=0,"Nullbestand; ","")))&amp;IF(D3114="","Warengruppe fehlt; ","")&amp;IF(B3114="","Bezeichnung fehlt; ","")&amp;IF(COUNTIFS($A$2:$A$5001,$A3114,$C$2:$C$5001,C3114)&gt;1,"Artikel doppelt im selben Lager; ",""))</f>
        <v/>
      </c>
      <c r="P3114" s="47" t="n">
        <f aca="false">IF(OR($A3114="",D3114=""),0,IF(COUNTIF($D$2:D3114,D3114)=1,SUMIF($D$2:$D$5001,D3114,$H$2:$H$5001)+ROW()/10000000,0))</f>
        <v>0</v>
      </c>
      <c r="Q3114" s="47" t="n">
        <f aca="false">IF(OR($A3114="",C3114=""),0,IF(COUNTIF($C$2:C3114,C3114)=1,SUMIF($C$2:$C$5001,C3114,$H$2:$H$5001)+ROW()/10000000,0))</f>
        <v>0</v>
      </c>
    </row>
    <row r="3115" customFormat="false" ht="15" hidden="false" customHeight="false" outlineLevel="0" collapsed="false">
      <c r="A3115" s="43"/>
      <c r="B3115" s="44"/>
      <c r="C3115" s="44"/>
      <c r="D3115" s="44"/>
      <c r="E3115" s="44"/>
      <c r="F3115" s="44"/>
      <c r="G3115" s="44"/>
      <c r="H3115" s="46" t="str">
        <f aca="false">IF($A3115="","",IF(OR(NOT(ISNUMBER(E3115)),NOT(ISNUMBER(F3115))),"",MAX(0,E3115)*F3115))</f>
        <v/>
      </c>
      <c r="I3115" s="46" t="str">
        <f aca="false">IF($A3115="","",SUMIF($A$2:$A$5001,$A3115,$H$2:$H$5001))</f>
        <v/>
      </c>
      <c r="J3115" s="47" t="n">
        <f aca="false">IF($A3115="",0,IF(COUNTIF($A$2:A3115,$A3115)=1,1,0))</f>
        <v>0</v>
      </c>
      <c r="K3115" s="47" t="n">
        <f aca="false">IF(J3115=1,N(I3115)+ROW()/10000000,0)</f>
        <v>0</v>
      </c>
      <c r="L3115" s="47" t="str">
        <f aca="false">IF(AND(J3115=1,N(I3115)&gt;0),SUMIF($K$2:$K$5001,"&gt;="&amp;K3115,$I$2:$I$5001)/MAX(1,SUM($H$2:$H$5001)),"")</f>
        <v/>
      </c>
      <c r="M3115" s="47" t="str">
        <f aca="false">IF($A3115="","",INDEX($L$2:$L$5001,MATCH($A3115,$A$2:$A$5001,0)))</f>
        <v/>
      </c>
      <c r="N3115" s="48" t="str">
        <f aca="false">IF($A3115="","",IF(N(M3115)=0,"–",IF(M3115&lt;=Start!$D$20,"A",IF(M3115&lt;=Start!$D$21,"B","C"))))</f>
        <v/>
      </c>
      <c r="O3115" s="48" t="str">
        <f aca="false">IF($A3115="","",IF(NOT(ISNUMBER(F3115)),"Wert fehlt; ",IF(F3115&lt;=0,"Wert ist 0; ",""))&amp;IF(NOT(ISNUMBER(E3115)),"Bestand fehlt; ",IF(E3115&lt;0,"Bestand negativ; ",IF(E3115=0,"Nullbestand; ","")))&amp;IF(D3115="","Warengruppe fehlt; ","")&amp;IF(B3115="","Bezeichnung fehlt; ","")&amp;IF(COUNTIFS($A$2:$A$5001,$A3115,$C$2:$C$5001,C3115)&gt;1,"Artikel doppelt im selben Lager; ",""))</f>
        <v/>
      </c>
      <c r="P3115" s="47" t="n">
        <f aca="false">IF(OR($A3115="",D3115=""),0,IF(COUNTIF($D$2:D3115,D3115)=1,SUMIF($D$2:$D$5001,D3115,$H$2:$H$5001)+ROW()/10000000,0))</f>
        <v>0</v>
      </c>
      <c r="Q3115" s="47" t="n">
        <f aca="false">IF(OR($A3115="",C3115=""),0,IF(COUNTIF($C$2:C3115,C3115)=1,SUMIF($C$2:$C$5001,C3115,$H$2:$H$5001)+ROW()/10000000,0))</f>
        <v>0</v>
      </c>
    </row>
    <row r="3116" customFormat="false" ht="15" hidden="false" customHeight="false" outlineLevel="0" collapsed="false">
      <c r="A3116" s="43"/>
      <c r="B3116" s="44"/>
      <c r="C3116" s="44"/>
      <c r="D3116" s="44"/>
      <c r="E3116" s="44"/>
      <c r="F3116" s="44"/>
      <c r="G3116" s="44"/>
      <c r="H3116" s="46" t="str">
        <f aca="false">IF($A3116="","",IF(OR(NOT(ISNUMBER(E3116)),NOT(ISNUMBER(F3116))),"",MAX(0,E3116)*F3116))</f>
        <v/>
      </c>
      <c r="I3116" s="46" t="str">
        <f aca="false">IF($A3116="","",SUMIF($A$2:$A$5001,$A3116,$H$2:$H$5001))</f>
        <v/>
      </c>
      <c r="J3116" s="47" t="n">
        <f aca="false">IF($A3116="",0,IF(COUNTIF($A$2:A3116,$A3116)=1,1,0))</f>
        <v>0</v>
      </c>
      <c r="K3116" s="47" t="n">
        <f aca="false">IF(J3116=1,N(I3116)+ROW()/10000000,0)</f>
        <v>0</v>
      </c>
      <c r="L3116" s="47" t="str">
        <f aca="false">IF(AND(J3116=1,N(I3116)&gt;0),SUMIF($K$2:$K$5001,"&gt;="&amp;K3116,$I$2:$I$5001)/MAX(1,SUM($H$2:$H$5001)),"")</f>
        <v/>
      </c>
      <c r="M3116" s="47" t="str">
        <f aca="false">IF($A3116="","",INDEX($L$2:$L$5001,MATCH($A3116,$A$2:$A$5001,0)))</f>
        <v/>
      </c>
      <c r="N3116" s="48" t="str">
        <f aca="false">IF($A3116="","",IF(N(M3116)=0,"–",IF(M3116&lt;=Start!$D$20,"A",IF(M3116&lt;=Start!$D$21,"B","C"))))</f>
        <v/>
      </c>
      <c r="O3116" s="48" t="str">
        <f aca="false">IF($A3116="","",IF(NOT(ISNUMBER(F3116)),"Wert fehlt; ",IF(F3116&lt;=0,"Wert ist 0; ",""))&amp;IF(NOT(ISNUMBER(E3116)),"Bestand fehlt; ",IF(E3116&lt;0,"Bestand negativ; ",IF(E3116=0,"Nullbestand; ","")))&amp;IF(D3116="","Warengruppe fehlt; ","")&amp;IF(B3116="","Bezeichnung fehlt; ","")&amp;IF(COUNTIFS($A$2:$A$5001,$A3116,$C$2:$C$5001,C3116)&gt;1,"Artikel doppelt im selben Lager; ",""))</f>
        <v/>
      </c>
      <c r="P3116" s="47" t="n">
        <f aca="false">IF(OR($A3116="",D3116=""),0,IF(COUNTIF($D$2:D3116,D3116)=1,SUMIF($D$2:$D$5001,D3116,$H$2:$H$5001)+ROW()/10000000,0))</f>
        <v>0</v>
      </c>
      <c r="Q3116" s="47" t="n">
        <f aca="false">IF(OR($A3116="",C3116=""),0,IF(COUNTIF($C$2:C3116,C3116)=1,SUMIF($C$2:$C$5001,C3116,$H$2:$H$5001)+ROW()/10000000,0))</f>
        <v>0</v>
      </c>
    </row>
    <row r="3117" customFormat="false" ht="15" hidden="false" customHeight="false" outlineLevel="0" collapsed="false">
      <c r="A3117" s="43"/>
      <c r="B3117" s="44"/>
      <c r="C3117" s="44"/>
      <c r="D3117" s="44"/>
      <c r="E3117" s="44"/>
      <c r="F3117" s="44"/>
      <c r="G3117" s="44"/>
      <c r="H3117" s="46" t="str">
        <f aca="false">IF($A3117="","",IF(OR(NOT(ISNUMBER(E3117)),NOT(ISNUMBER(F3117))),"",MAX(0,E3117)*F3117))</f>
        <v/>
      </c>
      <c r="I3117" s="46" t="str">
        <f aca="false">IF($A3117="","",SUMIF($A$2:$A$5001,$A3117,$H$2:$H$5001))</f>
        <v/>
      </c>
      <c r="J3117" s="47" t="n">
        <f aca="false">IF($A3117="",0,IF(COUNTIF($A$2:A3117,$A3117)=1,1,0))</f>
        <v>0</v>
      </c>
      <c r="K3117" s="47" t="n">
        <f aca="false">IF(J3117=1,N(I3117)+ROW()/10000000,0)</f>
        <v>0</v>
      </c>
      <c r="L3117" s="47" t="str">
        <f aca="false">IF(AND(J3117=1,N(I3117)&gt;0),SUMIF($K$2:$K$5001,"&gt;="&amp;K3117,$I$2:$I$5001)/MAX(1,SUM($H$2:$H$5001)),"")</f>
        <v/>
      </c>
      <c r="M3117" s="47" t="str">
        <f aca="false">IF($A3117="","",INDEX($L$2:$L$5001,MATCH($A3117,$A$2:$A$5001,0)))</f>
        <v/>
      </c>
      <c r="N3117" s="48" t="str">
        <f aca="false">IF($A3117="","",IF(N(M3117)=0,"–",IF(M3117&lt;=Start!$D$20,"A",IF(M3117&lt;=Start!$D$21,"B","C"))))</f>
        <v/>
      </c>
      <c r="O3117" s="48" t="str">
        <f aca="false">IF($A3117="","",IF(NOT(ISNUMBER(F3117)),"Wert fehlt; ",IF(F3117&lt;=0,"Wert ist 0; ",""))&amp;IF(NOT(ISNUMBER(E3117)),"Bestand fehlt; ",IF(E3117&lt;0,"Bestand negativ; ",IF(E3117=0,"Nullbestand; ","")))&amp;IF(D3117="","Warengruppe fehlt; ","")&amp;IF(B3117="","Bezeichnung fehlt; ","")&amp;IF(COUNTIFS($A$2:$A$5001,$A3117,$C$2:$C$5001,C3117)&gt;1,"Artikel doppelt im selben Lager; ",""))</f>
        <v/>
      </c>
      <c r="P3117" s="47" t="n">
        <f aca="false">IF(OR($A3117="",D3117=""),0,IF(COUNTIF($D$2:D3117,D3117)=1,SUMIF($D$2:$D$5001,D3117,$H$2:$H$5001)+ROW()/10000000,0))</f>
        <v>0</v>
      </c>
      <c r="Q3117" s="47" t="n">
        <f aca="false">IF(OR($A3117="",C3117=""),0,IF(COUNTIF($C$2:C3117,C3117)=1,SUMIF($C$2:$C$5001,C3117,$H$2:$H$5001)+ROW()/10000000,0))</f>
        <v>0</v>
      </c>
    </row>
    <row r="3118" customFormat="false" ht="15" hidden="false" customHeight="false" outlineLevel="0" collapsed="false">
      <c r="A3118" s="43"/>
      <c r="B3118" s="44"/>
      <c r="C3118" s="44"/>
      <c r="D3118" s="44"/>
      <c r="E3118" s="44"/>
      <c r="F3118" s="44"/>
      <c r="G3118" s="44"/>
      <c r="H3118" s="46" t="str">
        <f aca="false">IF($A3118="","",IF(OR(NOT(ISNUMBER(E3118)),NOT(ISNUMBER(F3118))),"",MAX(0,E3118)*F3118))</f>
        <v/>
      </c>
      <c r="I3118" s="46" t="str">
        <f aca="false">IF($A3118="","",SUMIF($A$2:$A$5001,$A3118,$H$2:$H$5001))</f>
        <v/>
      </c>
      <c r="J3118" s="47" t="n">
        <f aca="false">IF($A3118="",0,IF(COUNTIF($A$2:A3118,$A3118)=1,1,0))</f>
        <v>0</v>
      </c>
      <c r="K3118" s="47" t="n">
        <f aca="false">IF(J3118=1,N(I3118)+ROW()/10000000,0)</f>
        <v>0</v>
      </c>
      <c r="L3118" s="47" t="str">
        <f aca="false">IF(AND(J3118=1,N(I3118)&gt;0),SUMIF($K$2:$K$5001,"&gt;="&amp;K3118,$I$2:$I$5001)/MAX(1,SUM($H$2:$H$5001)),"")</f>
        <v/>
      </c>
      <c r="M3118" s="47" t="str">
        <f aca="false">IF($A3118="","",INDEX($L$2:$L$5001,MATCH($A3118,$A$2:$A$5001,0)))</f>
        <v/>
      </c>
      <c r="N3118" s="48" t="str">
        <f aca="false">IF($A3118="","",IF(N(M3118)=0,"–",IF(M3118&lt;=Start!$D$20,"A",IF(M3118&lt;=Start!$D$21,"B","C"))))</f>
        <v/>
      </c>
      <c r="O3118" s="48" t="str">
        <f aca="false">IF($A3118="","",IF(NOT(ISNUMBER(F3118)),"Wert fehlt; ",IF(F3118&lt;=0,"Wert ist 0; ",""))&amp;IF(NOT(ISNUMBER(E3118)),"Bestand fehlt; ",IF(E3118&lt;0,"Bestand negativ; ",IF(E3118=0,"Nullbestand; ","")))&amp;IF(D3118="","Warengruppe fehlt; ","")&amp;IF(B3118="","Bezeichnung fehlt; ","")&amp;IF(COUNTIFS($A$2:$A$5001,$A3118,$C$2:$C$5001,C3118)&gt;1,"Artikel doppelt im selben Lager; ",""))</f>
        <v/>
      </c>
      <c r="P3118" s="47" t="n">
        <f aca="false">IF(OR($A3118="",D3118=""),0,IF(COUNTIF($D$2:D3118,D3118)=1,SUMIF($D$2:$D$5001,D3118,$H$2:$H$5001)+ROW()/10000000,0))</f>
        <v>0</v>
      </c>
      <c r="Q3118" s="47" t="n">
        <f aca="false">IF(OR($A3118="",C3118=""),0,IF(COUNTIF($C$2:C3118,C3118)=1,SUMIF($C$2:$C$5001,C3118,$H$2:$H$5001)+ROW()/10000000,0))</f>
        <v>0</v>
      </c>
    </row>
    <row r="3119" customFormat="false" ht="15" hidden="false" customHeight="false" outlineLevel="0" collapsed="false">
      <c r="A3119" s="43"/>
      <c r="B3119" s="44"/>
      <c r="C3119" s="44"/>
      <c r="D3119" s="44"/>
      <c r="E3119" s="44"/>
      <c r="F3119" s="44"/>
      <c r="G3119" s="44"/>
      <c r="H3119" s="46" t="str">
        <f aca="false">IF($A3119="","",IF(OR(NOT(ISNUMBER(E3119)),NOT(ISNUMBER(F3119))),"",MAX(0,E3119)*F3119))</f>
        <v/>
      </c>
      <c r="I3119" s="46" t="str">
        <f aca="false">IF($A3119="","",SUMIF($A$2:$A$5001,$A3119,$H$2:$H$5001))</f>
        <v/>
      </c>
      <c r="J3119" s="47" t="n">
        <f aca="false">IF($A3119="",0,IF(COUNTIF($A$2:A3119,$A3119)=1,1,0))</f>
        <v>0</v>
      </c>
      <c r="K3119" s="47" t="n">
        <f aca="false">IF(J3119=1,N(I3119)+ROW()/10000000,0)</f>
        <v>0</v>
      </c>
      <c r="L3119" s="47" t="str">
        <f aca="false">IF(AND(J3119=1,N(I3119)&gt;0),SUMIF($K$2:$K$5001,"&gt;="&amp;K3119,$I$2:$I$5001)/MAX(1,SUM($H$2:$H$5001)),"")</f>
        <v/>
      </c>
      <c r="M3119" s="47" t="str">
        <f aca="false">IF($A3119="","",INDEX($L$2:$L$5001,MATCH($A3119,$A$2:$A$5001,0)))</f>
        <v/>
      </c>
      <c r="N3119" s="48" t="str">
        <f aca="false">IF($A3119="","",IF(N(M3119)=0,"–",IF(M3119&lt;=Start!$D$20,"A",IF(M3119&lt;=Start!$D$21,"B","C"))))</f>
        <v/>
      </c>
      <c r="O3119" s="48" t="str">
        <f aca="false">IF($A3119="","",IF(NOT(ISNUMBER(F3119)),"Wert fehlt; ",IF(F3119&lt;=0,"Wert ist 0; ",""))&amp;IF(NOT(ISNUMBER(E3119)),"Bestand fehlt; ",IF(E3119&lt;0,"Bestand negativ; ",IF(E3119=0,"Nullbestand; ","")))&amp;IF(D3119="","Warengruppe fehlt; ","")&amp;IF(B3119="","Bezeichnung fehlt; ","")&amp;IF(COUNTIFS($A$2:$A$5001,$A3119,$C$2:$C$5001,C3119)&gt;1,"Artikel doppelt im selben Lager; ",""))</f>
        <v/>
      </c>
      <c r="P3119" s="47" t="n">
        <f aca="false">IF(OR($A3119="",D3119=""),0,IF(COUNTIF($D$2:D3119,D3119)=1,SUMIF($D$2:$D$5001,D3119,$H$2:$H$5001)+ROW()/10000000,0))</f>
        <v>0</v>
      </c>
      <c r="Q3119" s="47" t="n">
        <f aca="false">IF(OR($A3119="",C3119=""),0,IF(COUNTIF($C$2:C3119,C3119)=1,SUMIF($C$2:$C$5001,C3119,$H$2:$H$5001)+ROW()/10000000,0))</f>
        <v>0</v>
      </c>
    </row>
    <row r="3120" customFormat="false" ht="15" hidden="false" customHeight="false" outlineLevel="0" collapsed="false">
      <c r="A3120" s="43"/>
      <c r="B3120" s="44"/>
      <c r="C3120" s="44"/>
      <c r="D3120" s="44"/>
      <c r="E3120" s="44"/>
      <c r="F3120" s="44"/>
      <c r="G3120" s="44"/>
      <c r="H3120" s="46" t="str">
        <f aca="false">IF($A3120="","",IF(OR(NOT(ISNUMBER(E3120)),NOT(ISNUMBER(F3120))),"",MAX(0,E3120)*F3120))</f>
        <v/>
      </c>
      <c r="I3120" s="46" t="str">
        <f aca="false">IF($A3120="","",SUMIF($A$2:$A$5001,$A3120,$H$2:$H$5001))</f>
        <v/>
      </c>
      <c r="J3120" s="47" t="n">
        <f aca="false">IF($A3120="",0,IF(COUNTIF($A$2:A3120,$A3120)=1,1,0))</f>
        <v>0</v>
      </c>
      <c r="K3120" s="47" t="n">
        <f aca="false">IF(J3120=1,N(I3120)+ROW()/10000000,0)</f>
        <v>0</v>
      </c>
      <c r="L3120" s="47" t="str">
        <f aca="false">IF(AND(J3120=1,N(I3120)&gt;0),SUMIF($K$2:$K$5001,"&gt;="&amp;K3120,$I$2:$I$5001)/MAX(1,SUM($H$2:$H$5001)),"")</f>
        <v/>
      </c>
      <c r="M3120" s="47" t="str">
        <f aca="false">IF($A3120="","",INDEX($L$2:$L$5001,MATCH($A3120,$A$2:$A$5001,0)))</f>
        <v/>
      </c>
      <c r="N3120" s="48" t="str">
        <f aca="false">IF($A3120="","",IF(N(M3120)=0,"–",IF(M3120&lt;=Start!$D$20,"A",IF(M3120&lt;=Start!$D$21,"B","C"))))</f>
        <v/>
      </c>
      <c r="O3120" s="48" t="str">
        <f aca="false">IF($A3120="","",IF(NOT(ISNUMBER(F3120)),"Wert fehlt; ",IF(F3120&lt;=0,"Wert ist 0; ",""))&amp;IF(NOT(ISNUMBER(E3120)),"Bestand fehlt; ",IF(E3120&lt;0,"Bestand negativ; ",IF(E3120=0,"Nullbestand; ","")))&amp;IF(D3120="","Warengruppe fehlt; ","")&amp;IF(B3120="","Bezeichnung fehlt; ","")&amp;IF(COUNTIFS($A$2:$A$5001,$A3120,$C$2:$C$5001,C3120)&gt;1,"Artikel doppelt im selben Lager; ",""))</f>
        <v/>
      </c>
      <c r="P3120" s="47" t="n">
        <f aca="false">IF(OR($A3120="",D3120=""),0,IF(COUNTIF($D$2:D3120,D3120)=1,SUMIF($D$2:$D$5001,D3120,$H$2:$H$5001)+ROW()/10000000,0))</f>
        <v>0</v>
      </c>
      <c r="Q3120" s="47" t="n">
        <f aca="false">IF(OR($A3120="",C3120=""),0,IF(COUNTIF($C$2:C3120,C3120)=1,SUMIF($C$2:$C$5001,C3120,$H$2:$H$5001)+ROW()/10000000,0))</f>
        <v>0</v>
      </c>
    </row>
    <row r="3121" customFormat="false" ht="15" hidden="false" customHeight="false" outlineLevel="0" collapsed="false">
      <c r="A3121" s="43"/>
      <c r="B3121" s="44"/>
      <c r="C3121" s="44"/>
      <c r="D3121" s="44"/>
      <c r="E3121" s="44"/>
      <c r="F3121" s="44"/>
      <c r="G3121" s="44"/>
      <c r="H3121" s="46" t="str">
        <f aca="false">IF($A3121="","",IF(OR(NOT(ISNUMBER(E3121)),NOT(ISNUMBER(F3121))),"",MAX(0,E3121)*F3121))</f>
        <v/>
      </c>
      <c r="I3121" s="46" t="str">
        <f aca="false">IF($A3121="","",SUMIF($A$2:$A$5001,$A3121,$H$2:$H$5001))</f>
        <v/>
      </c>
      <c r="J3121" s="47" t="n">
        <f aca="false">IF($A3121="",0,IF(COUNTIF($A$2:A3121,$A3121)=1,1,0))</f>
        <v>0</v>
      </c>
      <c r="K3121" s="47" t="n">
        <f aca="false">IF(J3121=1,N(I3121)+ROW()/10000000,0)</f>
        <v>0</v>
      </c>
      <c r="L3121" s="47" t="str">
        <f aca="false">IF(AND(J3121=1,N(I3121)&gt;0),SUMIF($K$2:$K$5001,"&gt;="&amp;K3121,$I$2:$I$5001)/MAX(1,SUM($H$2:$H$5001)),"")</f>
        <v/>
      </c>
      <c r="M3121" s="47" t="str">
        <f aca="false">IF($A3121="","",INDEX($L$2:$L$5001,MATCH($A3121,$A$2:$A$5001,0)))</f>
        <v/>
      </c>
      <c r="N3121" s="48" t="str">
        <f aca="false">IF($A3121="","",IF(N(M3121)=0,"–",IF(M3121&lt;=Start!$D$20,"A",IF(M3121&lt;=Start!$D$21,"B","C"))))</f>
        <v/>
      </c>
      <c r="O3121" s="48" t="str">
        <f aca="false">IF($A3121="","",IF(NOT(ISNUMBER(F3121)),"Wert fehlt; ",IF(F3121&lt;=0,"Wert ist 0; ",""))&amp;IF(NOT(ISNUMBER(E3121)),"Bestand fehlt; ",IF(E3121&lt;0,"Bestand negativ; ",IF(E3121=0,"Nullbestand; ","")))&amp;IF(D3121="","Warengruppe fehlt; ","")&amp;IF(B3121="","Bezeichnung fehlt; ","")&amp;IF(COUNTIFS($A$2:$A$5001,$A3121,$C$2:$C$5001,C3121)&gt;1,"Artikel doppelt im selben Lager; ",""))</f>
        <v/>
      </c>
      <c r="P3121" s="47" t="n">
        <f aca="false">IF(OR($A3121="",D3121=""),0,IF(COUNTIF($D$2:D3121,D3121)=1,SUMIF($D$2:$D$5001,D3121,$H$2:$H$5001)+ROW()/10000000,0))</f>
        <v>0</v>
      </c>
      <c r="Q3121" s="47" t="n">
        <f aca="false">IF(OR($A3121="",C3121=""),0,IF(COUNTIF($C$2:C3121,C3121)=1,SUMIF($C$2:$C$5001,C3121,$H$2:$H$5001)+ROW()/10000000,0))</f>
        <v>0</v>
      </c>
    </row>
    <row r="3122" customFormat="false" ht="15" hidden="false" customHeight="false" outlineLevel="0" collapsed="false">
      <c r="A3122" s="43"/>
      <c r="B3122" s="44"/>
      <c r="C3122" s="44"/>
      <c r="D3122" s="44"/>
      <c r="E3122" s="44"/>
      <c r="F3122" s="44"/>
      <c r="G3122" s="44"/>
      <c r="H3122" s="46" t="str">
        <f aca="false">IF($A3122="","",IF(OR(NOT(ISNUMBER(E3122)),NOT(ISNUMBER(F3122))),"",MAX(0,E3122)*F3122))</f>
        <v/>
      </c>
      <c r="I3122" s="46" t="str">
        <f aca="false">IF($A3122="","",SUMIF($A$2:$A$5001,$A3122,$H$2:$H$5001))</f>
        <v/>
      </c>
      <c r="J3122" s="47" t="n">
        <f aca="false">IF($A3122="",0,IF(COUNTIF($A$2:A3122,$A3122)=1,1,0))</f>
        <v>0</v>
      </c>
      <c r="K3122" s="47" t="n">
        <f aca="false">IF(J3122=1,N(I3122)+ROW()/10000000,0)</f>
        <v>0</v>
      </c>
      <c r="L3122" s="47" t="str">
        <f aca="false">IF(AND(J3122=1,N(I3122)&gt;0),SUMIF($K$2:$K$5001,"&gt;="&amp;K3122,$I$2:$I$5001)/MAX(1,SUM($H$2:$H$5001)),"")</f>
        <v/>
      </c>
      <c r="M3122" s="47" t="str">
        <f aca="false">IF($A3122="","",INDEX($L$2:$L$5001,MATCH($A3122,$A$2:$A$5001,0)))</f>
        <v/>
      </c>
      <c r="N3122" s="48" t="str">
        <f aca="false">IF($A3122="","",IF(N(M3122)=0,"–",IF(M3122&lt;=Start!$D$20,"A",IF(M3122&lt;=Start!$D$21,"B","C"))))</f>
        <v/>
      </c>
      <c r="O3122" s="48" t="str">
        <f aca="false">IF($A3122="","",IF(NOT(ISNUMBER(F3122)),"Wert fehlt; ",IF(F3122&lt;=0,"Wert ist 0; ",""))&amp;IF(NOT(ISNUMBER(E3122)),"Bestand fehlt; ",IF(E3122&lt;0,"Bestand negativ; ",IF(E3122=0,"Nullbestand; ","")))&amp;IF(D3122="","Warengruppe fehlt; ","")&amp;IF(B3122="","Bezeichnung fehlt; ","")&amp;IF(COUNTIFS($A$2:$A$5001,$A3122,$C$2:$C$5001,C3122)&gt;1,"Artikel doppelt im selben Lager; ",""))</f>
        <v/>
      </c>
      <c r="P3122" s="47" t="n">
        <f aca="false">IF(OR($A3122="",D3122=""),0,IF(COUNTIF($D$2:D3122,D3122)=1,SUMIF($D$2:$D$5001,D3122,$H$2:$H$5001)+ROW()/10000000,0))</f>
        <v>0</v>
      </c>
      <c r="Q3122" s="47" t="n">
        <f aca="false">IF(OR($A3122="",C3122=""),0,IF(COUNTIF($C$2:C3122,C3122)=1,SUMIF($C$2:$C$5001,C3122,$H$2:$H$5001)+ROW()/10000000,0))</f>
        <v>0</v>
      </c>
    </row>
    <row r="3123" customFormat="false" ht="15" hidden="false" customHeight="false" outlineLevel="0" collapsed="false">
      <c r="A3123" s="43"/>
      <c r="B3123" s="44"/>
      <c r="C3123" s="44"/>
      <c r="D3123" s="44"/>
      <c r="E3123" s="44"/>
      <c r="F3123" s="44"/>
      <c r="G3123" s="44"/>
      <c r="H3123" s="46" t="str">
        <f aca="false">IF($A3123="","",IF(OR(NOT(ISNUMBER(E3123)),NOT(ISNUMBER(F3123))),"",MAX(0,E3123)*F3123))</f>
        <v/>
      </c>
      <c r="I3123" s="46" t="str">
        <f aca="false">IF($A3123="","",SUMIF($A$2:$A$5001,$A3123,$H$2:$H$5001))</f>
        <v/>
      </c>
      <c r="J3123" s="47" t="n">
        <f aca="false">IF($A3123="",0,IF(COUNTIF($A$2:A3123,$A3123)=1,1,0))</f>
        <v>0</v>
      </c>
      <c r="K3123" s="47" t="n">
        <f aca="false">IF(J3123=1,N(I3123)+ROW()/10000000,0)</f>
        <v>0</v>
      </c>
      <c r="L3123" s="47" t="str">
        <f aca="false">IF(AND(J3123=1,N(I3123)&gt;0),SUMIF($K$2:$K$5001,"&gt;="&amp;K3123,$I$2:$I$5001)/MAX(1,SUM($H$2:$H$5001)),"")</f>
        <v/>
      </c>
      <c r="M3123" s="47" t="str">
        <f aca="false">IF($A3123="","",INDEX($L$2:$L$5001,MATCH($A3123,$A$2:$A$5001,0)))</f>
        <v/>
      </c>
      <c r="N3123" s="48" t="str">
        <f aca="false">IF($A3123="","",IF(N(M3123)=0,"–",IF(M3123&lt;=Start!$D$20,"A",IF(M3123&lt;=Start!$D$21,"B","C"))))</f>
        <v/>
      </c>
      <c r="O3123" s="48" t="str">
        <f aca="false">IF($A3123="","",IF(NOT(ISNUMBER(F3123)),"Wert fehlt; ",IF(F3123&lt;=0,"Wert ist 0; ",""))&amp;IF(NOT(ISNUMBER(E3123)),"Bestand fehlt; ",IF(E3123&lt;0,"Bestand negativ; ",IF(E3123=0,"Nullbestand; ","")))&amp;IF(D3123="","Warengruppe fehlt; ","")&amp;IF(B3123="","Bezeichnung fehlt; ","")&amp;IF(COUNTIFS($A$2:$A$5001,$A3123,$C$2:$C$5001,C3123)&gt;1,"Artikel doppelt im selben Lager; ",""))</f>
        <v/>
      </c>
      <c r="P3123" s="47" t="n">
        <f aca="false">IF(OR($A3123="",D3123=""),0,IF(COUNTIF($D$2:D3123,D3123)=1,SUMIF($D$2:$D$5001,D3123,$H$2:$H$5001)+ROW()/10000000,0))</f>
        <v>0</v>
      </c>
      <c r="Q3123" s="47" t="n">
        <f aca="false">IF(OR($A3123="",C3123=""),0,IF(COUNTIF($C$2:C3123,C3123)=1,SUMIF($C$2:$C$5001,C3123,$H$2:$H$5001)+ROW()/10000000,0))</f>
        <v>0</v>
      </c>
    </row>
    <row r="3124" customFormat="false" ht="15" hidden="false" customHeight="false" outlineLevel="0" collapsed="false">
      <c r="A3124" s="43"/>
      <c r="B3124" s="44"/>
      <c r="C3124" s="44"/>
      <c r="D3124" s="44"/>
      <c r="E3124" s="44"/>
      <c r="F3124" s="44"/>
      <c r="G3124" s="44"/>
      <c r="H3124" s="46" t="str">
        <f aca="false">IF($A3124="","",IF(OR(NOT(ISNUMBER(E3124)),NOT(ISNUMBER(F3124))),"",MAX(0,E3124)*F3124))</f>
        <v/>
      </c>
      <c r="I3124" s="46" t="str">
        <f aca="false">IF($A3124="","",SUMIF($A$2:$A$5001,$A3124,$H$2:$H$5001))</f>
        <v/>
      </c>
      <c r="J3124" s="47" t="n">
        <f aca="false">IF($A3124="",0,IF(COUNTIF($A$2:A3124,$A3124)=1,1,0))</f>
        <v>0</v>
      </c>
      <c r="K3124" s="47" t="n">
        <f aca="false">IF(J3124=1,N(I3124)+ROW()/10000000,0)</f>
        <v>0</v>
      </c>
      <c r="L3124" s="47" t="str">
        <f aca="false">IF(AND(J3124=1,N(I3124)&gt;0),SUMIF($K$2:$K$5001,"&gt;="&amp;K3124,$I$2:$I$5001)/MAX(1,SUM($H$2:$H$5001)),"")</f>
        <v/>
      </c>
      <c r="M3124" s="47" t="str">
        <f aca="false">IF($A3124="","",INDEX($L$2:$L$5001,MATCH($A3124,$A$2:$A$5001,0)))</f>
        <v/>
      </c>
      <c r="N3124" s="48" t="str">
        <f aca="false">IF($A3124="","",IF(N(M3124)=0,"–",IF(M3124&lt;=Start!$D$20,"A",IF(M3124&lt;=Start!$D$21,"B","C"))))</f>
        <v/>
      </c>
      <c r="O3124" s="48" t="str">
        <f aca="false">IF($A3124="","",IF(NOT(ISNUMBER(F3124)),"Wert fehlt; ",IF(F3124&lt;=0,"Wert ist 0; ",""))&amp;IF(NOT(ISNUMBER(E3124)),"Bestand fehlt; ",IF(E3124&lt;0,"Bestand negativ; ",IF(E3124=0,"Nullbestand; ","")))&amp;IF(D3124="","Warengruppe fehlt; ","")&amp;IF(B3124="","Bezeichnung fehlt; ","")&amp;IF(COUNTIFS($A$2:$A$5001,$A3124,$C$2:$C$5001,C3124)&gt;1,"Artikel doppelt im selben Lager; ",""))</f>
        <v/>
      </c>
      <c r="P3124" s="47" t="n">
        <f aca="false">IF(OR($A3124="",D3124=""),0,IF(COUNTIF($D$2:D3124,D3124)=1,SUMIF($D$2:$D$5001,D3124,$H$2:$H$5001)+ROW()/10000000,0))</f>
        <v>0</v>
      </c>
      <c r="Q3124" s="47" t="n">
        <f aca="false">IF(OR($A3124="",C3124=""),0,IF(COUNTIF($C$2:C3124,C3124)=1,SUMIF($C$2:$C$5001,C3124,$H$2:$H$5001)+ROW()/10000000,0))</f>
        <v>0</v>
      </c>
    </row>
    <row r="3125" customFormat="false" ht="15" hidden="false" customHeight="false" outlineLevel="0" collapsed="false">
      <c r="A3125" s="43"/>
      <c r="B3125" s="44"/>
      <c r="C3125" s="44"/>
      <c r="D3125" s="44"/>
      <c r="E3125" s="44"/>
      <c r="F3125" s="44"/>
      <c r="G3125" s="44"/>
      <c r="H3125" s="46" t="str">
        <f aca="false">IF($A3125="","",IF(OR(NOT(ISNUMBER(E3125)),NOT(ISNUMBER(F3125))),"",MAX(0,E3125)*F3125))</f>
        <v/>
      </c>
      <c r="I3125" s="46" t="str">
        <f aca="false">IF($A3125="","",SUMIF($A$2:$A$5001,$A3125,$H$2:$H$5001))</f>
        <v/>
      </c>
      <c r="J3125" s="47" t="n">
        <f aca="false">IF($A3125="",0,IF(COUNTIF($A$2:A3125,$A3125)=1,1,0))</f>
        <v>0</v>
      </c>
      <c r="K3125" s="47" t="n">
        <f aca="false">IF(J3125=1,N(I3125)+ROW()/10000000,0)</f>
        <v>0</v>
      </c>
      <c r="L3125" s="47" t="str">
        <f aca="false">IF(AND(J3125=1,N(I3125)&gt;0),SUMIF($K$2:$K$5001,"&gt;="&amp;K3125,$I$2:$I$5001)/MAX(1,SUM($H$2:$H$5001)),"")</f>
        <v/>
      </c>
      <c r="M3125" s="47" t="str">
        <f aca="false">IF($A3125="","",INDEX($L$2:$L$5001,MATCH($A3125,$A$2:$A$5001,0)))</f>
        <v/>
      </c>
      <c r="N3125" s="48" t="str">
        <f aca="false">IF($A3125="","",IF(N(M3125)=0,"–",IF(M3125&lt;=Start!$D$20,"A",IF(M3125&lt;=Start!$D$21,"B","C"))))</f>
        <v/>
      </c>
      <c r="O3125" s="48" t="str">
        <f aca="false">IF($A3125="","",IF(NOT(ISNUMBER(F3125)),"Wert fehlt; ",IF(F3125&lt;=0,"Wert ist 0; ",""))&amp;IF(NOT(ISNUMBER(E3125)),"Bestand fehlt; ",IF(E3125&lt;0,"Bestand negativ; ",IF(E3125=0,"Nullbestand; ","")))&amp;IF(D3125="","Warengruppe fehlt; ","")&amp;IF(B3125="","Bezeichnung fehlt; ","")&amp;IF(COUNTIFS($A$2:$A$5001,$A3125,$C$2:$C$5001,C3125)&gt;1,"Artikel doppelt im selben Lager; ",""))</f>
        <v/>
      </c>
      <c r="P3125" s="47" t="n">
        <f aca="false">IF(OR($A3125="",D3125=""),0,IF(COUNTIF($D$2:D3125,D3125)=1,SUMIF($D$2:$D$5001,D3125,$H$2:$H$5001)+ROW()/10000000,0))</f>
        <v>0</v>
      </c>
      <c r="Q3125" s="47" t="n">
        <f aca="false">IF(OR($A3125="",C3125=""),0,IF(COUNTIF($C$2:C3125,C3125)=1,SUMIF($C$2:$C$5001,C3125,$H$2:$H$5001)+ROW()/10000000,0))</f>
        <v>0</v>
      </c>
    </row>
    <row r="3126" customFormat="false" ht="15" hidden="false" customHeight="false" outlineLevel="0" collapsed="false">
      <c r="A3126" s="43"/>
      <c r="B3126" s="44"/>
      <c r="C3126" s="44"/>
      <c r="D3126" s="44"/>
      <c r="E3126" s="44"/>
      <c r="F3126" s="44"/>
      <c r="G3126" s="44"/>
      <c r="H3126" s="46" t="str">
        <f aca="false">IF($A3126="","",IF(OR(NOT(ISNUMBER(E3126)),NOT(ISNUMBER(F3126))),"",MAX(0,E3126)*F3126))</f>
        <v/>
      </c>
      <c r="I3126" s="46" t="str">
        <f aca="false">IF($A3126="","",SUMIF($A$2:$A$5001,$A3126,$H$2:$H$5001))</f>
        <v/>
      </c>
      <c r="J3126" s="47" t="n">
        <f aca="false">IF($A3126="",0,IF(COUNTIF($A$2:A3126,$A3126)=1,1,0))</f>
        <v>0</v>
      </c>
      <c r="K3126" s="47" t="n">
        <f aca="false">IF(J3126=1,N(I3126)+ROW()/10000000,0)</f>
        <v>0</v>
      </c>
      <c r="L3126" s="47" t="str">
        <f aca="false">IF(AND(J3126=1,N(I3126)&gt;0),SUMIF($K$2:$K$5001,"&gt;="&amp;K3126,$I$2:$I$5001)/MAX(1,SUM($H$2:$H$5001)),"")</f>
        <v/>
      </c>
      <c r="M3126" s="47" t="str">
        <f aca="false">IF($A3126="","",INDEX($L$2:$L$5001,MATCH($A3126,$A$2:$A$5001,0)))</f>
        <v/>
      </c>
      <c r="N3126" s="48" t="str">
        <f aca="false">IF($A3126="","",IF(N(M3126)=0,"–",IF(M3126&lt;=Start!$D$20,"A",IF(M3126&lt;=Start!$D$21,"B","C"))))</f>
        <v/>
      </c>
      <c r="O3126" s="48" t="str">
        <f aca="false">IF($A3126="","",IF(NOT(ISNUMBER(F3126)),"Wert fehlt; ",IF(F3126&lt;=0,"Wert ist 0; ",""))&amp;IF(NOT(ISNUMBER(E3126)),"Bestand fehlt; ",IF(E3126&lt;0,"Bestand negativ; ",IF(E3126=0,"Nullbestand; ","")))&amp;IF(D3126="","Warengruppe fehlt; ","")&amp;IF(B3126="","Bezeichnung fehlt; ","")&amp;IF(COUNTIFS($A$2:$A$5001,$A3126,$C$2:$C$5001,C3126)&gt;1,"Artikel doppelt im selben Lager; ",""))</f>
        <v/>
      </c>
      <c r="P3126" s="47" t="n">
        <f aca="false">IF(OR($A3126="",D3126=""),0,IF(COUNTIF($D$2:D3126,D3126)=1,SUMIF($D$2:$D$5001,D3126,$H$2:$H$5001)+ROW()/10000000,0))</f>
        <v>0</v>
      </c>
      <c r="Q3126" s="47" t="n">
        <f aca="false">IF(OR($A3126="",C3126=""),0,IF(COUNTIF($C$2:C3126,C3126)=1,SUMIF($C$2:$C$5001,C3126,$H$2:$H$5001)+ROW()/10000000,0))</f>
        <v>0</v>
      </c>
    </row>
    <row r="3127" customFormat="false" ht="15" hidden="false" customHeight="false" outlineLevel="0" collapsed="false">
      <c r="A3127" s="43"/>
      <c r="B3127" s="44"/>
      <c r="C3127" s="44"/>
      <c r="D3127" s="44"/>
      <c r="E3127" s="44"/>
      <c r="F3127" s="44"/>
      <c r="G3127" s="44"/>
      <c r="H3127" s="46" t="str">
        <f aca="false">IF($A3127="","",IF(OR(NOT(ISNUMBER(E3127)),NOT(ISNUMBER(F3127))),"",MAX(0,E3127)*F3127))</f>
        <v/>
      </c>
      <c r="I3127" s="46" t="str">
        <f aca="false">IF($A3127="","",SUMIF($A$2:$A$5001,$A3127,$H$2:$H$5001))</f>
        <v/>
      </c>
      <c r="J3127" s="47" t="n">
        <f aca="false">IF($A3127="",0,IF(COUNTIF($A$2:A3127,$A3127)=1,1,0))</f>
        <v>0</v>
      </c>
      <c r="K3127" s="47" t="n">
        <f aca="false">IF(J3127=1,N(I3127)+ROW()/10000000,0)</f>
        <v>0</v>
      </c>
      <c r="L3127" s="47" t="str">
        <f aca="false">IF(AND(J3127=1,N(I3127)&gt;0),SUMIF($K$2:$K$5001,"&gt;="&amp;K3127,$I$2:$I$5001)/MAX(1,SUM($H$2:$H$5001)),"")</f>
        <v/>
      </c>
      <c r="M3127" s="47" t="str">
        <f aca="false">IF($A3127="","",INDEX($L$2:$L$5001,MATCH($A3127,$A$2:$A$5001,0)))</f>
        <v/>
      </c>
      <c r="N3127" s="48" t="str">
        <f aca="false">IF($A3127="","",IF(N(M3127)=0,"–",IF(M3127&lt;=Start!$D$20,"A",IF(M3127&lt;=Start!$D$21,"B","C"))))</f>
        <v/>
      </c>
      <c r="O3127" s="48" t="str">
        <f aca="false">IF($A3127="","",IF(NOT(ISNUMBER(F3127)),"Wert fehlt; ",IF(F3127&lt;=0,"Wert ist 0; ",""))&amp;IF(NOT(ISNUMBER(E3127)),"Bestand fehlt; ",IF(E3127&lt;0,"Bestand negativ; ",IF(E3127=0,"Nullbestand; ","")))&amp;IF(D3127="","Warengruppe fehlt; ","")&amp;IF(B3127="","Bezeichnung fehlt; ","")&amp;IF(COUNTIFS($A$2:$A$5001,$A3127,$C$2:$C$5001,C3127)&gt;1,"Artikel doppelt im selben Lager; ",""))</f>
        <v/>
      </c>
      <c r="P3127" s="47" t="n">
        <f aca="false">IF(OR($A3127="",D3127=""),0,IF(COUNTIF($D$2:D3127,D3127)=1,SUMIF($D$2:$D$5001,D3127,$H$2:$H$5001)+ROW()/10000000,0))</f>
        <v>0</v>
      </c>
      <c r="Q3127" s="47" t="n">
        <f aca="false">IF(OR($A3127="",C3127=""),0,IF(COUNTIF($C$2:C3127,C3127)=1,SUMIF($C$2:$C$5001,C3127,$H$2:$H$5001)+ROW()/10000000,0))</f>
        <v>0</v>
      </c>
    </row>
    <row r="3128" customFormat="false" ht="15" hidden="false" customHeight="false" outlineLevel="0" collapsed="false">
      <c r="A3128" s="43"/>
      <c r="B3128" s="44"/>
      <c r="C3128" s="44"/>
      <c r="D3128" s="44"/>
      <c r="E3128" s="44"/>
      <c r="F3128" s="44"/>
      <c r="G3128" s="44"/>
      <c r="H3128" s="46" t="str">
        <f aca="false">IF($A3128="","",IF(OR(NOT(ISNUMBER(E3128)),NOT(ISNUMBER(F3128))),"",MAX(0,E3128)*F3128))</f>
        <v/>
      </c>
      <c r="I3128" s="46" t="str">
        <f aca="false">IF($A3128="","",SUMIF($A$2:$A$5001,$A3128,$H$2:$H$5001))</f>
        <v/>
      </c>
      <c r="J3128" s="47" t="n">
        <f aca="false">IF($A3128="",0,IF(COUNTIF($A$2:A3128,$A3128)=1,1,0))</f>
        <v>0</v>
      </c>
      <c r="K3128" s="47" t="n">
        <f aca="false">IF(J3128=1,N(I3128)+ROW()/10000000,0)</f>
        <v>0</v>
      </c>
      <c r="L3128" s="47" t="str">
        <f aca="false">IF(AND(J3128=1,N(I3128)&gt;0),SUMIF($K$2:$K$5001,"&gt;="&amp;K3128,$I$2:$I$5001)/MAX(1,SUM($H$2:$H$5001)),"")</f>
        <v/>
      </c>
      <c r="M3128" s="47" t="str">
        <f aca="false">IF($A3128="","",INDEX($L$2:$L$5001,MATCH($A3128,$A$2:$A$5001,0)))</f>
        <v/>
      </c>
      <c r="N3128" s="48" t="str">
        <f aca="false">IF($A3128="","",IF(N(M3128)=0,"–",IF(M3128&lt;=Start!$D$20,"A",IF(M3128&lt;=Start!$D$21,"B","C"))))</f>
        <v/>
      </c>
      <c r="O3128" s="48" t="str">
        <f aca="false">IF($A3128="","",IF(NOT(ISNUMBER(F3128)),"Wert fehlt; ",IF(F3128&lt;=0,"Wert ist 0; ",""))&amp;IF(NOT(ISNUMBER(E3128)),"Bestand fehlt; ",IF(E3128&lt;0,"Bestand negativ; ",IF(E3128=0,"Nullbestand; ","")))&amp;IF(D3128="","Warengruppe fehlt; ","")&amp;IF(B3128="","Bezeichnung fehlt; ","")&amp;IF(COUNTIFS($A$2:$A$5001,$A3128,$C$2:$C$5001,C3128)&gt;1,"Artikel doppelt im selben Lager; ",""))</f>
        <v/>
      </c>
      <c r="P3128" s="47" t="n">
        <f aca="false">IF(OR($A3128="",D3128=""),0,IF(COUNTIF($D$2:D3128,D3128)=1,SUMIF($D$2:$D$5001,D3128,$H$2:$H$5001)+ROW()/10000000,0))</f>
        <v>0</v>
      </c>
      <c r="Q3128" s="47" t="n">
        <f aca="false">IF(OR($A3128="",C3128=""),0,IF(COUNTIF($C$2:C3128,C3128)=1,SUMIF($C$2:$C$5001,C3128,$H$2:$H$5001)+ROW()/10000000,0))</f>
        <v>0</v>
      </c>
    </row>
    <row r="3129" customFormat="false" ht="15" hidden="false" customHeight="false" outlineLevel="0" collapsed="false">
      <c r="A3129" s="43"/>
      <c r="B3129" s="44"/>
      <c r="C3129" s="44"/>
      <c r="D3129" s="44"/>
      <c r="E3129" s="44"/>
      <c r="F3129" s="44"/>
      <c r="G3129" s="44"/>
      <c r="H3129" s="46" t="str">
        <f aca="false">IF($A3129="","",IF(OR(NOT(ISNUMBER(E3129)),NOT(ISNUMBER(F3129))),"",MAX(0,E3129)*F3129))</f>
        <v/>
      </c>
      <c r="I3129" s="46" t="str">
        <f aca="false">IF($A3129="","",SUMIF($A$2:$A$5001,$A3129,$H$2:$H$5001))</f>
        <v/>
      </c>
      <c r="J3129" s="47" t="n">
        <f aca="false">IF($A3129="",0,IF(COUNTIF($A$2:A3129,$A3129)=1,1,0))</f>
        <v>0</v>
      </c>
      <c r="K3129" s="47" t="n">
        <f aca="false">IF(J3129=1,N(I3129)+ROW()/10000000,0)</f>
        <v>0</v>
      </c>
      <c r="L3129" s="47" t="str">
        <f aca="false">IF(AND(J3129=1,N(I3129)&gt;0),SUMIF($K$2:$K$5001,"&gt;="&amp;K3129,$I$2:$I$5001)/MAX(1,SUM($H$2:$H$5001)),"")</f>
        <v/>
      </c>
      <c r="M3129" s="47" t="str">
        <f aca="false">IF($A3129="","",INDEX($L$2:$L$5001,MATCH($A3129,$A$2:$A$5001,0)))</f>
        <v/>
      </c>
      <c r="N3129" s="48" t="str">
        <f aca="false">IF($A3129="","",IF(N(M3129)=0,"–",IF(M3129&lt;=Start!$D$20,"A",IF(M3129&lt;=Start!$D$21,"B","C"))))</f>
        <v/>
      </c>
      <c r="O3129" s="48" t="str">
        <f aca="false">IF($A3129="","",IF(NOT(ISNUMBER(F3129)),"Wert fehlt; ",IF(F3129&lt;=0,"Wert ist 0; ",""))&amp;IF(NOT(ISNUMBER(E3129)),"Bestand fehlt; ",IF(E3129&lt;0,"Bestand negativ; ",IF(E3129=0,"Nullbestand; ","")))&amp;IF(D3129="","Warengruppe fehlt; ","")&amp;IF(B3129="","Bezeichnung fehlt; ","")&amp;IF(COUNTIFS($A$2:$A$5001,$A3129,$C$2:$C$5001,C3129)&gt;1,"Artikel doppelt im selben Lager; ",""))</f>
        <v/>
      </c>
      <c r="P3129" s="47" t="n">
        <f aca="false">IF(OR($A3129="",D3129=""),0,IF(COUNTIF($D$2:D3129,D3129)=1,SUMIF($D$2:$D$5001,D3129,$H$2:$H$5001)+ROW()/10000000,0))</f>
        <v>0</v>
      </c>
      <c r="Q3129" s="47" t="n">
        <f aca="false">IF(OR($A3129="",C3129=""),0,IF(COUNTIF($C$2:C3129,C3129)=1,SUMIF($C$2:$C$5001,C3129,$H$2:$H$5001)+ROW()/10000000,0))</f>
        <v>0</v>
      </c>
    </row>
    <row r="3130" customFormat="false" ht="15" hidden="false" customHeight="false" outlineLevel="0" collapsed="false">
      <c r="A3130" s="43"/>
      <c r="B3130" s="44"/>
      <c r="C3130" s="44"/>
      <c r="D3130" s="44"/>
      <c r="E3130" s="44"/>
      <c r="F3130" s="44"/>
      <c r="G3130" s="44"/>
      <c r="H3130" s="46" t="str">
        <f aca="false">IF($A3130="","",IF(OR(NOT(ISNUMBER(E3130)),NOT(ISNUMBER(F3130))),"",MAX(0,E3130)*F3130))</f>
        <v/>
      </c>
      <c r="I3130" s="46" t="str">
        <f aca="false">IF($A3130="","",SUMIF($A$2:$A$5001,$A3130,$H$2:$H$5001))</f>
        <v/>
      </c>
      <c r="J3130" s="47" t="n">
        <f aca="false">IF($A3130="",0,IF(COUNTIF($A$2:A3130,$A3130)=1,1,0))</f>
        <v>0</v>
      </c>
      <c r="K3130" s="47" t="n">
        <f aca="false">IF(J3130=1,N(I3130)+ROW()/10000000,0)</f>
        <v>0</v>
      </c>
      <c r="L3130" s="47" t="str">
        <f aca="false">IF(AND(J3130=1,N(I3130)&gt;0),SUMIF($K$2:$K$5001,"&gt;="&amp;K3130,$I$2:$I$5001)/MAX(1,SUM($H$2:$H$5001)),"")</f>
        <v/>
      </c>
      <c r="M3130" s="47" t="str">
        <f aca="false">IF($A3130="","",INDEX($L$2:$L$5001,MATCH($A3130,$A$2:$A$5001,0)))</f>
        <v/>
      </c>
      <c r="N3130" s="48" t="str">
        <f aca="false">IF($A3130="","",IF(N(M3130)=0,"–",IF(M3130&lt;=Start!$D$20,"A",IF(M3130&lt;=Start!$D$21,"B","C"))))</f>
        <v/>
      </c>
      <c r="O3130" s="48" t="str">
        <f aca="false">IF($A3130="","",IF(NOT(ISNUMBER(F3130)),"Wert fehlt; ",IF(F3130&lt;=0,"Wert ist 0; ",""))&amp;IF(NOT(ISNUMBER(E3130)),"Bestand fehlt; ",IF(E3130&lt;0,"Bestand negativ; ",IF(E3130=0,"Nullbestand; ","")))&amp;IF(D3130="","Warengruppe fehlt; ","")&amp;IF(B3130="","Bezeichnung fehlt; ","")&amp;IF(COUNTIFS($A$2:$A$5001,$A3130,$C$2:$C$5001,C3130)&gt;1,"Artikel doppelt im selben Lager; ",""))</f>
        <v/>
      </c>
      <c r="P3130" s="47" t="n">
        <f aca="false">IF(OR($A3130="",D3130=""),0,IF(COUNTIF($D$2:D3130,D3130)=1,SUMIF($D$2:$D$5001,D3130,$H$2:$H$5001)+ROW()/10000000,0))</f>
        <v>0</v>
      </c>
      <c r="Q3130" s="47" t="n">
        <f aca="false">IF(OR($A3130="",C3130=""),0,IF(COUNTIF($C$2:C3130,C3130)=1,SUMIF($C$2:$C$5001,C3130,$H$2:$H$5001)+ROW()/10000000,0))</f>
        <v>0</v>
      </c>
    </row>
    <row r="3131" customFormat="false" ht="15" hidden="false" customHeight="false" outlineLevel="0" collapsed="false">
      <c r="A3131" s="43"/>
      <c r="B3131" s="44"/>
      <c r="C3131" s="44"/>
      <c r="D3131" s="44"/>
      <c r="E3131" s="44"/>
      <c r="F3131" s="44"/>
      <c r="G3131" s="44"/>
      <c r="H3131" s="46" t="str">
        <f aca="false">IF($A3131="","",IF(OR(NOT(ISNUMBER(E3131)),NOT(ISNUMBER(F3131))),"",MAX(0,E3131)*F3131))</f>
        <v/>
      </c>
      <c r="I3131" s="46" t="str">
        <f aca="false">IF($A3131="","",SUMIF($A$2:$A$5001,$A3131,$H$2:$H$5001))</f>
        <v/>
      </c>
      <c r="J3131" s="47" t="n">
        <f aca="false">IF($A3131="",0,IF(COUNTIF($A$2:A3131,$A3131)=1,1,0))</f>
        <v>0</v>
      </c>
      <c r="K3131" s="47" t="n">
        <f aca="false">IF(J3131=1,N(I3131)+ROW()/10000000,0)</f>
        <v>0</v>
      </c>
      <c r="L3131" s="47" t="str">
        <f aca="false">IF(AND(J3131=1,N(I3131)&gt;0),SUMIF($K$2:$K$5001,"&gt;="&amp;K3131,$I$2:$I$5001)/MAX(1,SUM($H$2:$H$5001)),"")</f>
        <v/>
      </c>
      <c r="M3131" s="47" t="str">
        <f aca="false">IF($A3131="","",INDEX($L$2:$L$5001,MATCH($A3131,$A$2:$A$5001,0)))</f>
        <v/>
      </c>
      <c r="N3131" s="48" t="str">
        <f aca="false">IF($A3131="","",IF(N(M3131)=0,"–",IF(M3131&lt;=Start!$D$20,"A",IF(M3131&lt;=Start!$D$21,"B","C"))))</f>
        <v/>
      </c>
      <c r="O3131" s="48" t="str">
        <f aca="false">IF($A3131="","",IF(NOT(ISNUMBER(F3131)),"Wert fehlt; ",IF(F3131&lt;=0,"Wert ist 0; ",""))&amp;IF(NOT(ISNUMBER(E3131)),"Bestand fehlt; ",IF(E3131&lt;0,"Bestand negativ; ",IF(E3131=0,"Nullbestand; ","")))&amp;IF(D3131="","Warengruppe fehlt; ","")&amp;IF(B3131="","Bezeichnung fehlt; ","")&amp;IF(COUNTIFS($A$2:$A$5001,$A3131,$C$2:$C$5001,C3131)&gt;1,"Artikel doppelt im selben Lager; ",""))</f>
        <v/>
      </c>
      <c r="P3131" s="47" t="n">
        <f aca="false">IF(OR($A3131="",D3131=""),0,IF(COUNTIF($D$2:D3131,D3131)=1,SUMIF($D$2:$D$5001,D3131,$H$2:$H$5001)+ROW()/10000000,0))</f>
        <v>0</v>
      </c>
      <c r="Q3131" s="47" t="n">
        <f aca="false">IF(OR($A3131="",C3131=""),0,IF(COUNTIF($C$2:C3131,C3131)=1,SUMIF($C$2:$C$5001,C3131,$H$2:$H$5001)+ROW()/10000000,0))</f>
        <v>0</v>
      </c>
    </row>
    <row r="3132" customFormat="false" ht="15" hidden="false" customHeight="false" outlineLevel="0" collapsed="false">
      <c r="A3132" s="43"/>
      <c r="B3132" s="44"/>
      <c r="C3132" s="44"/>
      <c r="D3132" s="44"/>
      <c r="E3132" s="44"/>
      <c r="F3132" s="44"/>
      <c r="G3132" s="44"/>
      <c r="H3132" s="46" t="str">
        <f aca="false">IF($A3132="","",IF(OR(NOT(ISNUMBER(E3132)),NOT(ISNUMBER(F3132))),"",MAX(0,E3132)*F3132))</f>
        <v/>
      </c>
      <c r="I3132" s="46" t="str">
        <f aca="false">IF($A3132="","",SUMIF($A$2:$A$5001,$A3132,$H$2:$H$5001))</f>
        <v/>
      </c>
      <c r="J3132" s="47" t="n">
        <f aca="false">IF($A3132="",0,IF(COUNTIF($A$2:A3132,$A3132)=1,1,0))</f>
        <v>0</v>
      </c>
      <c r="K3132" s="47" t="n">
        <f aca="false">IF(J3132=1,N(I3132)+ROW()/10000000,0)</f>
        <v>0</v>
      </c>
      <c r="L3132" s="47" t="str">
        <f aca="false">IF(AND(J3132=1,N(I3132)&gt;0),SUMIF($K$2:$K$5001,"&gt;="&amp;K3132,$I$2:$I$5001)/MAX(1,SUM($H$2:$H$5001)),"")</f>
        <v/>
      </c>
      <c r="M3132" s="47" t="str">
        <f aca="false">IF($A3132="","",INDEX($L$2:$L$5001,MATCH($A3132,$A$2:$A$5001,0)))</f>
        <v/>
      </c>
      <c r="N3132" s="48" t="str">
        <f aca="false">IF($A3132="","",IF(N(M3132)=0,"–",IF(M3132&lt;=Start!$D$20,"A",IF(M3132&lt;=Start!$D$21,"B","C"))))</f>
        <v/>
      </c>
      <c r="O3132" s="48" t="str">
        <f aca="false">IF($A3132="","",IF(NOT(ISNUMBER(F3132)),"Wert fehlt; ",IF(F3132&lt;=0,"Wert ist 0; ",""))&amp;IF(NOT(ISNUMBER(E3132)),"Bestand fehlt; ",IF(E3132&lt;0,"Bestand negativ; ",IF(E3132=0,"Nullbestand; ","")))&amp;IF(D3132="","Warengruppe fehlt; ","")&amp;IF(B3132="","Bezeichnung fehlt; ","")&amp;IF(COUNTIFS($A$2:$A$5001,$A3132,$C$2:$C$5001,C3132)&gt;1,"Artikel doppelt im selben Lager; ",""))</f>
        <v/>
      </c>
      <c r="P3132" s="47" t="n">
        <f aca="false">IF(OR($A3132="",D3132=""),0,IF(COUNTIF($D$2:D3132,D3132)=1,SUMIF($D$2:$D$5001,D3132,$H$2:$H$5001)+ROW()/10000000,0))</f>
        <v>0</v>
      </c>
      <c r="Q3132" s="47" t="n">
        <f aca="false">IF(OR($A3132="",C3132=""),0,IF(COUNTIF($C$2:C3132,C3132)=1,SUMIF($C$2:$C$5001,C3132,$H$2:$H$5001)+ROW()/10000000,0))</f>
        <v>0</v>
      </c>
    </row>
    <row r="3133" customFormat="false" ht="15" hidden="false" customHeight="false" outlineLevel="0" collapsed="false">
      <c r="A3133" s="43"/>
      <c r="B3133" s="44"/>
      <c r="C3133" s="44"/>
      <c r="D3133" s="44"/>
      <c r="E3133" s="44"/>
      <c r="F3133" s="44"/>
      <c r="G3133" s="44"/>
      <c r="H3133" s="46" t="str">
        <f aca="false">IF($A3133="","",IF(OR(NOT(ISNUMBER(E3133)),NOT(ISNUMBER(F3133))),"",MAX(0,E3133)*F3133))</f>
        <v/>
      </c>
      <c r="I3133" s="46" t="str">
        <f aca="false">IF($A3133="","",SUMIF($A$2:$A$5001,$A3133,$H$2:$H$5001))</f>
        <v/>
      </c>
      <c r="J3133" s="47" t="n">
        <f aca="false">IF($A3133="",0,IF(COUNTIF($A$2:A3133,$A3133)=1,1,0))</f>
        <v>0</v>
      </c>
      <c r="K3133" s="47" t="n">
        <f aca="false">IF(J3133=1,N(I3133)+ROW()/10000000,0)</f>
        <v>0</v>
      </c>
      <c r="L3133" s="47" t="str">
        <f aca="false">IF(AND(J3133=1,N(I3133)&gt;0),SUMIF($K$2:$K$5001,"&gt;="&amp;K3133,$I$2:$I$5001)/MAX(1,SUM($H$2:$H$5001)),"")</f>
        <v/>
      </c>
      <c r="M3133" s="47" t="str">
        <f aca="false">IF($A3133="","",INDEX($L$2:$L$5001,MATCH($A3133,$A$2:$A$5001,0)))</f>
        <v/>
      </c>
      <c r="N3133" s="48" t="str">
        <f aca="false">IF($A3133="","",IF(N(M3133)=0,"–",IF(M3133&lt;=Start!$D$20,"A",IF(M3133&lt;=Start!$D$21,"B","C"))))</f>
        <v/>
      </c>
      <c r="O3133" s="48" t="str">
        <f aca="false">IF($A3133="","",IF(NOT(ISNUMBER(F3133)),"Wert fehlt; ",IF(F3133&lt;=0,"Wert ist 0; ",""))&amp;IF(NOT(ISNUMBER(E3133)),"Bestand fehlt; ",IF(E3133&lt;0,"Bestand negativ; ",IF(E3133=0,"Nullbestand; ","")))&amp;IF(D3133="","Warengruppe fehlt; ","")&amp;IF(B3133="","Bezeichnung fehlt; ","")&amp;IF(COUNTIFS($A$2:$A$5001,$A3133,$C$2:$C$5001,C3133)&gt;1,"Artikel doppelt im selben Lager; ",""))</f>
        <v/>
      </c>
      <c r="P3133" s="47" t="n">
        <f aca="false">IF(OR($A3133="",D3133=""),0,IF(COUNTIF($D$2:D3133,D3133)=1,SUMIF($D$2:$D$5001,D3133,$H$2:$H$5001)+ROW()/10000000,0))</f>
        <v>0</v>
      </c>
      <c r="Q3133" s="47" t="n">
        <f aca="false">IF(OR($A3133="",C3133=""),0,IF(COUNTIF($C$2:C3133,C3133)=1,SUMIF($C$2:$C$5001,C3133,$H$2:$H$5001)+ROW()/10000000,0))</f>
        <v>0</v>
      </c>
    </row>
    <row r="3134" customFormat="false" ht="15" hidden="false" customHeight="false" outlineLevel="0" collapsed="false">
      <c r="A3134" s="43"/>
      <c r="B3134" s="44"/>
      <c r="C3134" s="44"/>
      <c r="D3134" s="44"/>
      <c r="E3134" s="44"/>
      <c r="F3134" s="44"/>
      <c r="G3134" s="44"/>
      <c r="H3134" s="46" t="str">
        <f aca="false">IF($A3134="","",IF(OR(NOT(ISNUMBER(E3134)),NOT(ISNUMBER(F3134))),"",MAX(0,E3134)*F3134))</f>
        <v/>
      </c>
      <c r="I3134" s="46" t="str">
        <f aca="false">IF($A3134="","",SUMIF($A$2:$A$5001,$A3134,$H$2:$H$5001))</f>
        <v/>
      </c>
      <c r="J3134" s="47" t="n">
        <f aca="false">IF($A3134="",0,IF(COUNTIF($A$2:A3134,$A3134)=1,1,0))</f>
        <v>0</v>
      </c>
      <c r="K3134" s="47" t="n">
        <f aca="false">IF(J3134=1,N(I3134)+ROW()/10000000,0)</f>
        <v>0</v>
      </c>
      <c r="L3134" s="47" t="str">
        <f aca="false">IF(AND(J3134=1,N(I3134)&gt;0),SUMIF($K$2:$K$5001,"&gt;="&amp;K3134,$I$2:$I$5001)/MAX(1,SUM($H$2:$H$5001)),"")</f>
        <v/>
      </c>
      <c r="M3134" s="47" t="str">
        <f aca="false">IF($A3134="","",INDEX($L$2:$L$5001,MATCH($A3134,$A$2:$A$5001,0)))</f>
        <v/>
      </c>
      <c r="N3134" s="48" t="str">
        <f aca="false">IF($A3134="","",IF(N(M3134)=0,"–",IF(M3134&lt;=Start!$D$20,"A",IF(M3134&lt;=Start!$D$21,"B","C"))))</f>
        <v/>
      </c>
      <c r="O3134" s="48" t="str">
        <f aca="false">IF($A3134="","",IF(NOT(ISNUMBER(F3134)),"Wert fehlt; ",IF(F3134&lt;=0,"Wert ist 0; ",""))&amp;IF(NOT(ISNUMBER(E3134)),"Bestand fehlt; ",IF(E3134&lt;0,"Bestand negativ; ",IF(E3134=0,"Nullbestand; ","")))&amp;IF(D3134="","Warengruppe fehlt; ","")&amp;IF(B3134="","Bezeichnung fehlt; ","")&amp;IF(COUNTIFS($A$2:$A$5001,$A3134,$C$2:$C$5001,C3134)&gt;1,"Artikel doppelt im selben Lager; ",""))</f>
        <v/>
      </c>
      <c r="P3134" s="47" t="n">
        <f aca="false">IF(OR($A3134="",D3134=""),0,IF(COUNTIF($D$2:D3134,D3134)=1,SUMIF($D$2:$D$5001,D3134,$H$2:$H$5001)+ROW()/10000000,0))</f>
        <v>0</v>
      </c>
      <c r="Q3134" s="47" t="n">
        <f aca="false">IF(OR($A3134="",C3134=""),0,IF(COUNTIF($C$2:C3134,C3134)=1,SUMIF($C$2:$C$5001,C3134,$H$2:$H$5001)+ROW()/10000000,0))</f>
        <v>0</v>
      </c>
    </row>
    <row r="3135" customFormat="false" ht="15" hidden="false" customHeight="false" outlineLevel="0" collapsed="false">
      <c r="A3135" s="43"/>
      <c r="B3135" s="44"/>
      <c r="C3135" s="44"/>
      <c r="D3135" s="44"/>
      <c r="E3135" s="44"/>
      <c r="F3135" s="44"/>
      <c r="G3135" s="44"/>
      <c r="H3135" s="46" t="str">
        <f aca="false">IF($A3135="","",IF(OR(NOT(ISNUMBER(E3135)),NOT(ISNUMBER(F3135))),"",MAX(0,E3135)*F3135))</f>
        <v/>
      </c>
      <c r="I3135" s="46" t="str">
        <f aca="false">IF($A3135="","",SUMIF($A$2:$A$5001,$A3135,$H$2:$H$5001))</f>
        <v/>
      </c>
      <c r="J3135" s="47" t="n">
        <f aca="false">IF($A3135="",0,IF(COUNTIF($A$2:A3135,$A3135)=1,1,0))</f>
        <v>0</v>
      </c>
      <c r="K3135" s="47" t="n">
        <f aca="false">IF(J3135=1,N(I3135)+ROW()/10000000,0)</f>
        <v>0</v>
      </c>
      <c r="L3135" s="47" t="str">
        <f aca="false">IF(AND(J3135=1,N(I3135)&gt;0),SUMIF($K$2:$K$5001,"&gt;="&amp;K3135,$I$2:$I$5001)/MAX(1,SUM($H$2:$H$5001)),"")</f>
        <v/>
      </c>
      <c r="M3135" s="47" t="str">
        <f aca="false">IF($A3135="","",INDEX($L$2:$L$5001,MATCH($A3135,$A$2:$A$5001,0)))</f>
        <v/>
      </c>
      <c r="N3135" s="48" t="str">
        <f aca="false">IF($A3135="","",IF(N(M3135)=0,"–",IF(M3135&lt;=Start!$D$20,"A",IF(M3135&lt;=Start!$D$21,"B","C"))))</f>
        <v/>
      </c>
      <c r="O3135" s="48" t="str">
        <f aca="false">IF($A3135="","",IF(NOT(ISNUMBER(F3135)),"Wert fehlt; ",IF(F3135&lt;=0,"Wert ist 0; ",""))&amp;IF(NOT(ISNUMBER(E3135)),"Bestand fehlt; ",IF(E3135&lt;0,"Bestand negativ; ",IF(E3135=0,"Nullbestand; ","")))&amp;IF(D3135="","Warengruppe fehlt; ","")&amp;IF(B3135="","Bezeichnung fehlt; ","")&amp;IF(COUNTIFS($A$2:$A$5001,$A3135,$C$2:$C$5001,C3135)&gt;1,"Artikel doppelt im selben Lager; ",""))</f>
        <v/>
      </c>
      <c r="P3135" s="47" t="n">
        <f aca="false">IF(OR($A3135="",D3135=""),0,IF(COUNTIF($D$2:D3135,D3135)=1,SUMIF($D$2:$D$5001,D3135,$H$2:$H$5001)+ROW()/10000000,0))</f>
        <v>0</v>
      </c>
      <c r="Q3135" s="47" t="n">
        <f aca="false">IF(OR($A3135="",C3135=""),0,IF(COUNTIF($C$2:C3135,C3135)=1,SUMIF($C$2:$C$5001,C3135,$H$2:$H$5001)+ROW()/10000000,0))</f>
        <v>0</v>
      </c>
    </row>
    <row r="3136" customFormat="false" ht="15" hidden="false" customHeight="false" outlineLevel="0" collapsed="false">
      <c r="A3136" s="43"/>
      <c r="B3136" s="44"/>
      <c r="C3136" s="44"/>
      <c r="D3136" s="44"/>
      <c r="E3136" s="44"/>
      <c r="F3136" s="44"/>
      <c r="G3136" s="44"/>
      <c r="H3136" s="46" t="str">
        <f aca="false">IF($A3136="","",IF(OR(NOT(ISNUMBER(E3136)),NOT(ISNUMBER(F3136))),"",MAX(0,E3136)*F3136))</f>
        <v/>
      </c>
      <c r="I3136" s="46" t="str">
        <f aca="false">IF($A3136="","",SUMIF($A$2:$A$5001,$A3136,$H$2:$H$5001))</f>
        <v/>
      </c>
      <c r="J3136" s="47" t="n">
        <f aca="false">IF($A3136="",0,IF(COUNTIF($A$2:A3136,$A3136)=1,1,0))</f>
        <v>0</v>
      </c>
      <c r="K3136" s="47" t="n">
        <f aca="false">IF(J3136=1,N(I3136)+ROW()/10000000,0)</f>
        <v>0</v>
      </c>
      <c r="L3136" s="47" t="str">
        <f aca="false">IF(AND(J3136=1,N(I3136)&gt;0),SUMIF($K$2:$K$5001,"&gt;="&amp;K3136,$I$2:$I$5001)/MAX(1,SUM($H$2:$H$5001)),"")</f>
        <v/>
      </c>
      <c r="M3136" s="47" t="str">
        <f aca="false">IF($A3136="","",INDEX($L$2:$L$5001,MATCH($A3136,$A$2:$A$5001,0)))</f>
        <v/>
      </c>
      <c r="N3136" s="48" t="str">
        <f aca="false">IF($A3136="","",IF(N(M3136)=0,"–",IF(M3136&lt;=Start!$D$20,"A",IF(M3136&lt;=Start!$D$21,"B","C"))))</f>
        <v/>
      </c>
      <c r="O3136" s="48" t="str">
        <f aca="false">IF($A3136="","",IF(NOT(ISNUMBER(F3136)),"Wert fehlt; ",IF(F3136&lt;=0,"Wert ist 0; ",""))&amp;IF(NOT(ISNUMBER(E3136)),"Bestand fehlt; ",IF(E3136&lt;0,"Bestand negativ; ",IF(E3136=0,"Nullbestand; ","")))&amp;IF(D3136="","Warengruppe fehlt; ","")&amp;IF(B3136="","Bezeichnung fehlt; ","")&amp;IF(COUNTIFS($A$2:$A$5001,$A3136,$C$2:$C$5001,C3136)&gt;1,"Artikel doppelt im selben Lager; ",""))</f>
        <v/>
      </c>
      <c r="P3136" s="47" t="n">
        <f aca="false">IF(OR($A3136="",D3136=""),0,IF(COUNTIF($D$2:D3136,D3136)=1,SUMIF($D$2:$D$5001,D3136,$H$2:$H$5001)+ROW()/10000000,0))</f>
        <v>0</v>
      </c>
      <c r="Q3136" s="47" t="n">
        <f aca="false">IF(OR($A3136="",C3136=""),0,IF(COUNTIF($C$2:C3136,C3136)=1,SUMIF($C$2:$C$5001,C3136,$H$2:$H$5001)+ROW()/10000000,0))</f>
        <v>0</v>
      </c>
    </row>
    <row r="3137" customFormat="false" ht="15" hidden="false" customHeight="false" outlineLevel="0" collapsed="false">
      <c r="A3137" s="43"/>
      <c r="B3137" s="44"/>
      <c r="C3137" s="44"/>
      <c r="D3137" s="44"/>
      <c r="E3137" s="44"/>
      <c r="F3137" s="44"/>
      <c r="G3137" s="44"/>
      <c r="H3137" s="46" t="str">
        <f aca="false">IF($A3137="","",IF(OR(NOT(ISNUMBER(E3137)),NOT(ISNUMBER(F3137))),"",MAX(0,E3137)*F3137))</f>
        <v/>
      </c>
      <c r="I3137" s="46" t="str">
        <f aca="false">IF($A3137="","",SUMIF($A$2:$A$5001,$A3137,$H$2:$H$5001))</f>
        <v/>
      </c>
      <c r="J3137" s="47" t="n">
        <f aca="false">IF($A3137="",0,IF(COUNTIF($A$2:A3137,$A3137)=1,1,0))</f>
        <v>0</v>
      </c>
      <c r="K3137" s="47" t="n">
        <f aca="false">IF(J3137=1,N(I3137)+ROW()/10000000,0)</f>
        <v>0</v>
      </c>
      <c r="L3137" s="47" t="str">
        <f aca="false">IF(AND(J3137=1,N(I3137)&gt;0),SUMIF($K$2:$K$5001,"&gt;="&amp;K3137,$I$2:$I$5001)/MAX(1,SUM($H$2:$H$5001)),"")</f>
        <v/>
      </c>
      <c r="M3137" s="47" t="str">
        <f aca="false">IF($A3137="","",INDEX($L$2:$L$5001,MATCH($A3137,$A$2:$A$5001,0)))</f>
        <v/>
      </c>
      <c r="N3137" s="48" t="str">
        <f aca="false">IF($A3137="","",IF(N(M3137)=0,"–",IF(M3137&lt;=Start!$D$20,"A",IF(M3137&lt;=Start!$D$21,"B","C"))))</f>
        <v/>
      </c>
      <c r="O3137" s="48" t="str">
        <f aca="false">IF($A3137="","",IF(NOT(ISNUMBER(F3137)),"Wert fehlt; ",IF(F3137&lt;=0,"Wert ist 0; ",""))&amp;IF(NOT(ISNUMBER(E3137)),"Bestand fehlt; ",IF(E3137&lt;0,"Bestand negativ; ",IF(E3137=0,"Nullbestand; ","")))&amp;IF(D3137="","Warengruppe fehlt; ","")&amp;IF(B3137="","Bezeichnung fehlt; ","")&amp;IF(COUNTIFS($A$2:$A$5001,$A3137,$C$2:$C$5001,C3137)&gt;1,"Artikel doppelt im selben Lager; ",""))</f>
        <v/>
      </c>
      <c r="P3137" s="47" t="n">
        <f aca="false">IF(OR($A3137="",D3137=""),0,IF(COUNTIF($D$2:D3137,D3137)=1,SUMIF($D$2:$D$5001,D3137,$H$2:$H$5001)+ROW()/10000000,0))</f>
        <v>0</v>
      </c>
      <c r="Q3137" s="47" t="n">
        <f aca="false">IF(OR($A3137="",C3137=""),0,IF(COUNTIF($C$2:C3137,C3137)=1,SUMIF($C$2:$C$5001,C3137,$H$2:$H$5001)+ROW()/10000000,0))</f>
        <v>0</v>
      </c>
    </row>
    <row r="3138" customFormat="false" ht="15" hidden="false" customHeight="false" outlineLevel="0" collapsed="false">
      <c r="A3138" s="43"/>
      <c r="B3138" s="44"/>
      <c r="C3138" s="44"/>
      <c r="D3138" s="44"/>
      <c r="E3138" s="44"/>
      <c r="F3138" s="44"/>
      <c r="G3138" s="44"/>
      <c r="H3138" s="46" t="str">
        <f aca="false">IF($A3138="","",IF(OR(NOT(ISNUMBER(E3138)),NOT(ISNUMBER(F3138))),"",MAX(0,E3138)*F3138))</f>
        <v/>
      </c>
      <c r="I3138" s="46" t="str">
        <f aca="false">IF($A3138="","",SUMIF($A$2:$A$5001,$A3138,$H$2:$H$5001))</f>
        <v/>
      </c>
      <c r="J3138" s="47" t="n">
        <f aca="false">IF($A3138="",0,IF(COUNTIF($A$2:A3138,$A3138)=1,1,0))</f>
        <v>0</v>
      </c>
      <c r="K3138" s="47" t="n">
        <f aca="false">IF(J3138=1,N(I3138)+ROW()/10000000,0)</f>
        <v>0</v>
      </c>
      <c r="L3138" s="47" t="str">
        <f aca="false">IF(AND(J3138=1,N(I3138)&gt;0),SUMIF($K$2:$K$5001,"&gt;="&amp;K3138,$I$2:$I$5001)/MAX(1,SUM($H$2:$H$5001)),"")</f>
        <v/>
      </c>
      <c r="M3138" s="47" t="str">
        <f aca="false">IF($A3138="","",INDEX($L$2:$L$5001,MATCH($A3138,$A$2:$A$5001,0)))</f>
        <v/>
      </c>
      <c r="N3138" s="48" t="str">
        <f aca="false">IF($A3138="","",IF(N(M3138)=0,"–",IF(M3138&lt;=Start!$D$20,"A",IF(M3138&lt;=Start!$D$21,"B","C"))))</f>
        <v/>
      </c>
      <c r="O3138" s="48" t="str">
        <f aca="false">IF($A3138="","",IF(NOT(ISNUMBER(F3138)),"Wert fehlt; ",IF(F3138&lt;=0,"Wert ist 0; ",""))&amp;IF(NOT(ISNUMBER(E3138)),"Bestand fehlt; ",IF(E3138&lt;0,"Bestand negativ; ",IF(E3138=0,"Nullbestand; ","")))&amp;IF(D3138="","Warengruppe fehlt; ","")&amp;IF(B3138="","Bezeichnung fehlt; ","")&amp;IF(COUNTIFS($A$2:$A$5001,$A3138,$C$2:$C$5001,C3138)&gt;1,"Artikel doppelt im selben Lager; ",""))</f>
        <v/>
      </c>
      <c r="P3138" s="47" t="n">
        <f aca="false">IF(OR($A3138="",D3138=""),0,IF(COUNTIF($D$2:D3138,D3138)=1,SUMIF($D$2:$D$5001,D3138,$H$2:$H$5001)+ROW()/10000000,0))</f>
        <v>0</v>
      </c>
      <c r="Q3138" s="47" t="n">
        <f aca="false">IF(OR($A3138="",C3138=""),0,IF(COUNTIF($C$2:C3138,C3138)=1,SUMIF($C$2:$C$5001,C3138,$H$2:$H$5001)+ROW()/10000000,0))</f>
        <v>0</v>
      </c>
    </row>
    <row r="3139" customFormat="false" ht="15" hidden="false" customHeight="false" outlineLevel="0" collapsed="false">
      <c r="A3139" s="43"/>
      <c r="B3139" s="44"/>
      <c r="C3139" s="44"/>
      <c r="D3139" s="44"/>
      <c r="E3139" s="44"/>
      <c r="F3139" s="44"/>
      <c r="G3139" s="44"/>
      <c r="H3139" s="46" t="str">
        <f aca="false">IF($A3139="","",IF(OR(NOT(ISNUMBER(E3139)),NOT(ISNUMBER(F3139))),"",MAX(0,E3139)*F3139))</f>
        <v/>
      </c>
      <c r="I3139" s="46" t="str">
        <f aca="false">IF($A3139="","",SUMIF($A$2:$A$5001,$A3139,$H$2:$H$5001))</f>
        <v/>
      </c>
      <c r="J3139" s="47" t="n">
        <f aca="false">IF($A3139="",0,IF(COUNTIF($A$2:A3139,$A3139)=1,1,0))</f>
        <v>0</v>
      </c>
      <c r="K3139" s="47" t="n">
        <f aca="false">IF(J3139=1,N(I3139)+ROW()/10000000,0)</f>
        <v>0</v>
      </c>
      <c r="L3139" s="47" t="str">
        <f aca="false">IF(AND(J3139=1,N(I3139)&gt;0),SUMIF($K$2:$K$5001,"&gt;="&amp;K3139,$I$2:$I$5001)/MAX(1,SUM($H$2:$H$5001)),"")</f>
        <v/>
      </c>
      <c r="M3139" s="47" t="str">
        <f aca="false">IF($A3139="","",INDEX($L$2:$L$5001,MATCH($A3139,$A$2:$A$5001,0)))</f>
        <v/>
      </c>
      <c r="N3139" s="48" t="str">
        <f aca="false">IF($A3139="","",IF(N(M3139)=0,"–",IF(M3139&lt;=Start!$D$20,"A",IF(M3139&lt;=Start!$D$21,"B","C"))))</f>
        <v/>
      </c>
      <c r="O3139" s="48" t="str">
        <f aca="false">IF($A3139="","",IF(NOT(ISNUMBER(F3139)),"Wert fehlt; ",IF(F3139&lt;=0,"Wert ist 0; ",""))&amp;IF(NOT(ISNUMBER(E3139)),"Bestand fehlt; ",IF(E3139&lt;0,"Bestand negativ; ",IF(E3139=0,"Nullbestand; ","")))&amp;IF(D3139="","Warengruppe fehlt; ","")&amp;IF(B3139="","Bezeichnung fehlt; ","")&amp;IF(COUNTIFS($A$2:$A$5001,$A3139,$C$2:$C$5001,C3139)&gt;1,"Artikel doppelt im selben Lager; ",""))</f>
        <v/>
      </c>
      <c r="P3139" s="47" t="n">
        <f aca="false">IF(OR($A3139="",D3139=""),0,IF(COUNTIF($D$2:D3139,D3139)=1,SUMIF($D$2:$D$5001,D3139,$H$2:$H$5001)+ROW()/10000000,0))</f>
        <v>0</v>
      </c>
      <c r="Q3139" s="47" t="n">
        <f aca="false">IF(OR($A3139="",C3139=""),0,IF(COUNTIF($C$2:C3139,C3139)=1,SUMIF($C$2:$C$5001,C3139,$H$2:$H$5001)+ROW()/10000000,0))</f>
        <v>0</v>
      </c>
    </row>
    <row r="3140" customFormat="false" ht="15" hidden="false" customHeight="false" outlineLevel="0" collapsed="false">
      <c r="A3140" s="43"/>
      <c r="B3140" s="44"/>
      <c r="C3140" s="44"/>
      <c r="D3140" s="44"/>
      <c r="E3140" s="44"/>
      <c r="F3140" s="44"/>
      <c r="G3140" s="44"/>
      <c r="H3140" s="46" t="str">
        <f aca="false">IF($A3140="","",IF(OR(NOT(ISNUMBER(E3140)),NOT(ISNUMBER(F3140))),"",MAX(0,E3140)*F3140))</f>
        <v/>
      </c>
      <c r="I3140" s="46" t="str">
        <f aca="false">IF($A3140="","",SUMIF($A$2:$A$5001,$A3140,$H$2:$H$5001))</f>
        <v/>
      </c>
      <c r="J3140" s="47" t="n">
        <f aca="false">IF($A3140="",0,IF(COUNTIF($A$2:A3140,$A3140)=1,1,0))</f>
        <v>0</v>
      </c>
      <c r="K3140" s="47" t="n">
        <f aca="false">IF(J3140=1,N(I3140)+ROW()/10000000,0)</f>
        <v>0</v>
      </c>
      <c r="L3140" s="47" t="str">
        <f aca="false">IF(AND(J3140=1,N(I3140)&gt;0),SUMIF($K$2:$K$5001,"&gt;="&amp;K3140,$I$2:$I$5001)/MAX(1,SUM($H$2:$H$5001)),"")</f>
        <v/>
      </c>
      <c r="M3140" s="47" t="str">
        <f aca="false">IF($A3140="","",INDEX($L$2:$L$5001,MATCH($A3140,$A$2:$A$5001,0)))</f>
        <v/>
      </c>
      <c r="N3140" s="48" t="str">
        <f aca="false">IF($A3140="","",IF(N(M3140)=0,"–",IF(M3140&lt;=Start!$D$20,"A",IF(M3140&lt;=Start!$D$21,"B","C"))))</f>
        <v/>
      </c>
      <c r="O3140" s="48" t="str">
        <f aca="false">IF($A3140="","",IF(NOT(ISNUMBER(F3140)),"Wert fehlt; ",IF(F3140&lt;=0,"Wert ist 0; ",""))&amp;IF(NOT(ISNUMBER(E3140)),"Bestand fehlt; ",IF(E3140&lt;0,"Bestand negativ; ",IF(E3140=0,"Nullbestand; ","")))&amp;IF(D3140="","Warengruppe fehlt; ","")&amp;IF(B3140="","Bezeichnung fehlt; ","")&amp;IF(COUNTIFS($A$2:$A$5001,$A3140,$C$2:$C$5001,C3140)&gt;1,"Artikel doppelt im selben Lager; ",""))</f>
        <v/>
      </c>
      <c r="P3140" s="47" t="n">
        <f aca="false">IF(OR($A3140="",D3140=""),0,IF(COUNTIF($D$2:D3140,D3140)=1,SUMIF($D$2:$D$5001,D3140,$H$2:$H$5001)+ROW()/10000000,0))</f>
        <v>0</v>
      </c>
      <c r="Q3140" s="47" t="n">
        <f aca="false">IF(OR($A3140="",C3140=""),0,IF(COUNTIF($C$2:C3140,C3140)=1,SUMIF($C$2:$C$5001,C3140,$H$2:$H$5001)+ROW()/10000000,0))</f>
        <v>0</v>
      </c>
    </row>
    <row r="3141" customFormat="false" ht="15" hidden="false" customHeight="false" outlineLevel="0" collapsed="false">
      <c r="A3141" s="43"/>
      <c r="B3141" s="44"/>
      <c r="C3141" s="44"/>
      <c r="D3141" s="44"/>
      <c r="E3141" s="44"/>
      <c r="F3141" s="44"/>
      <c r="G3141" s="44"/>
      <c r="H3141" s="46" t="str">
        <f aca="false">IF($A3141="","",IF(OR(NOT(ISNUMBER(E3141)),NOT(ISNUMBER(F3141))),"",MAX(0,E3141)*F3141))</f>
        <v/>
      </c>
      <c r="I3141" s="46" t="str">
        <f aca="false">IF($A3141="","",SUMIF($A$2:$A$5001,$A3141,$H$2:$H$5001))</f>
        <v/>
      </c>
      <c r="J3141" s="47" t="n">
        <f aca="false">IF($A3141="",0,IF(COUNTIF($A$2:A3141,$A3141)=1,1,0))</f>
        <v>0</v>
      </c>
      <c r="K3141" s="47" t="n">
        <f aca="false">IF(J3141=1,N(I3141)+ROW()/10000000,0)</f>
        <v>0</v>
      </c>
      <c r="L3141" s="47" t="str">
        <f aca="false">IF(AND(J3141=1,N(I3141)&gt;0),SUMIF($K$2:$K$5001,"&gt;="&amp;K3141,$I$2:$I$5001)/MAX(1,SUM($H$2:$H$5001)),"")</f>
        <v/>
      </c>
      <c r="M3141" s="47" t="str">
        <f aca="false">IF($A3141="","",INDEX($L$2:$L$5001,MATCH($A3141,$A$2:$A$5001,0)))</f>
        <v/>
      </c>
      <c r="N3141" s="48" t="str">
        <f aca="false">IF($A3141="","",IF(N(M3141)=0,"–",IF(M3141&lt;=Start!$D$20,"A",IF(M3141&lt;=Start!$D$21,"B","C"))))</f>
        <v/>
      </c>
      <c r="O3141" s="48" t="str">
        <f aca="false">IF($A3141="","",IF(NOT(ISNUMBER(F3141)),"Wert fehlt; ",IF(F3141&lt;=0,"Wert ist 0; ",""))&amp;IF(NOT(ISNUMBER(E3141)),"Bestand fehlt; ",IF(E3141&lt;0,"Bestand negativ; ",IF(E3141=0,"Nullbestand; ","")))&amp;IF(D3141="","Warengruppe fehlt; ","")&amp;IF(B3141="","Bezeichnung fehlt; ","")&amp;IF(COUNTIFS($A$2:$A$5001,$A3141,$C$2:$C$5001,C3141)&gt;1,"Artikel doppelt im selben Lager; ",""))</f>
        <v/>
      </c>
      <c r="P3141" s="47" t="n">
        <f aca="false">IF(OR($A3141="",D3141=""),0,IF(COUNTIF($D$2:D3141,D3141)=1,SUMIF($D$2:$D$5001,D3141,$H$2:$H$5001)+ROW()/10000000,0))</f>
        <v>0</v>
      </c>
      <c r="Q3141" s="47" t="n">
        <f aca="false">IF(OR($A3141="",C3141=""),0,IF(COUNTIF($C$2:C3141,C3141)=1,SUMIF($C$2:$C$5001,C3141,$H$2:$H$5001)+ROW()/10000000,0))</f>
        <v>0</v>
      </c>
    </row>
    <row r="3142" customFormat="false" ht="15" hidden="false" customHeight="false" outlineLevel="0" collapsed="false">
      <c r="A3142" s="43"/>
      <c r="B3142" s="44"/>
      <c r="C3142" s="44"/>
      <c r="D3142" s="44"/>
      <c r="E3142" s="44"/>
      <c r="F3142" s="44"/>
      <c r="G3142" s="44"/>
      <c r="H3142" s="46" t="str">
        <f aca="false">IF($A3142="","",IF(OR(NOT(ISNUMBER(E3142)),NOT(ISNUMBER(F3142))),"",MAX(0,E3142)*F3142))</f>
        <v/>
      </c>
      <c r="I3142" s="46" t="str">
        <f aca="false">IF($A3142="","",SUMIF($A$2:$A$5001,$A3142,$H$2:$H$5001))</f>
        <v/>
      </c>
      <c r="J3142" s="47" t="n">
        <f aca="false">IF($A3142="",0,IF(COUNTIF($A$2:A3142,$A3142)=1,1,0))</f>
        <v>0</v>
      </c>
      <c r="K3142" s="47" t="n">
        <f aca="false">IF(J3142=1,N(I3142)+ROW()/10000000,0)</f>
        <v>0</v>
      </c>
      <c r="L3142" s="47" t="str">
        <f aca="false">IF(AND(J3142=1,N(I3142)&gt;0),SUMIF($K$2:$K$5001,"&gt;="&amp;K3142,$I$2:$I$5001)/MAX(1,SUM($H$2:$H$5001)),"")</f>
        <v/>
      </c>
      <c r="M3142" s="47" t="str">
        <f aca="false">IF($A3142="","",INDEX($L$2:$L$5001,MATCH($A3142,$A$2:$A$5001,0)))</f>
        <v/>
      </c>
      <c r="N3142" s="48" t="str">
        <f aca="false">IF($A3142="","",IF(N(M3142)=0,"–",IF(M3142&lt;=Start!$D$20,"A",IF(M3142&lt;=Start!$D$21,"B","C"))))</f>
        <v/>
      </c>
      <c r="O3142" s="48" t="str">
        <f aca="false">IF($A3142="","",IF(NOT(ISNUMBER(F3142)),"Wert fehlt; ",IF(F3142&lt;=0,"Wert ist 0; ",""))&amp;IF(NOT(ISNUMBER(E3142)),"Bestand fehlt; ",IF(E3142&lt;0,"Bestand negativ; ",IF(E3142=0,"Nullbestand; ","")))&amp;IF(D3142="","Warengruppe fehlt; ","")&amp;IF(B3142="","Bezeichnung fehlt; ","")&amp;IF(COUNTIFS($A$2:$A$5001,$A3142,$C$2:$C$5001,C3142)&gt;1,"Artikel doppelt im selben Lager; ",""))</f>
        <v/>
      </c>
      <c r="P3142" s="47" t="n">
        <f aca="false">IF(OR($A3142="",D3142=""),0,IF(COUNTIF($D$2:D3142,D3142)=1,SUMIF($D$2:$D$5001,D3142,$H$2:$H$5001)+ROW()/10000000,0))</f>
        <v>0</v>
      </c>
      <c r="Q3142" s="47" t="n">
        <f aca="false">IF(OR($A3142="",C3142=""),0,IF(COUNTIF($C$2:C3142,C3142)=1,SUMIF($C$2:$C$5001,C3142,$H$2:$H$5001)+ROW()/10000000,0))</f>
        <v>0</v>
      </c>
    </row>
    <row r="3143" customFormat="false" ht="15" hidden="false" customHeight="false" outlineLevel="0" collapsed="false">
      <c r="A3143" s="43"/>
      <c r="B3143" s="44"/>
      <c r="C3143" s="44"/>
      <c r="D3143" s="44"/>
      <c r="E3143" s="44"/>
      <c r="F3143" s="44"/>
      <c r="G3143" s="44"/>
      <c r="H3143" s="46" t="str">
        <f aca="false">IF($A3143="","",IF(OR(NOT(ISNUMBER(E3143)),NOT(ISNUMBER(F3143))),"",MAX(0,E3143)*F3143))</f>
        <v/>
      </c>
      <c r="I3143" s="46" t="str">
        <f aca="false">IF($A3143="","",SUMIF($A$2:$A$5001,$A3143,$H$2:$H$5001))</f>
        <v/>
      </c>
      <c r="J3143" s="47" t="n">
        <f aca="false">IF($A3143="",0,IF(COUNTIF($A$2:A3143,$A3143)=1,1,0))</f>
        <v>0</v>
      </c>
      <c r="K3143" s="47" t="n">
        <f aca="false">IF(J3143=1,N(I3143)+ROW()/10000000,0)</f>
        <v>0</v>
      </c>
      <c r="L3143" s="47" t="str">
        <f aca="false">IF(AND(J3143=1,N(I3143)&gt;0),SUMIF($K$2:$K$5001,"&gt;="&amp;K3143,$I$2:$I$5001)/MAX(1,SUM($H$2:$H$5001)),"")</f>
        <v/>
      </c>
      <c r="M3143" s="47" t="str">
        <f aca="false">IF($A3143="","",INDEX($L$2:$L$5001,MATCH($A3143,$A$2:$A$5001,0)))</f>
        <v/>
      </c>
      <c r="N3143" s="48" t="str">
        <f aca="false">IF($A3143="","",IF(N(M3143)=0,"–",IF(M3143&lt;=Start!$D$20,"A",IF(M3143&lt;=Start!$D$21,"B","C"))))</f>
        <v/>
      </c>
      <c r="O3143" s="48" t="str">
        <f aca="false">IF($A3143="","",IF(NOT(ISNUMBER(F3143)),"Wert fehlt; ",IF(F3143&lt;=0,"Wert ist 0; ",""))&amp;IF(NOT(ISNUMBER(E3143)),"Bestand fehlt; ",IF(E3143&lt;0,"Bestand negativ; ",IF(E3143=0,"Nullbestand; ","")))&amp;IF(D3143="","Warengruppe fehlt; ","")&amp;IF(B3143="","Bezeichnung fehlt; ","")&amp;IF(COUNTIFS($A$2:$A$5001,$A3143,$C$2:$C$5001,C3143)&gt;1,"Artikel doppelt im selben Lager; ",""))</f>
        <v/>
      </c>
      <c r="P3143" s="47" t="n">
        <f aca="false">IF(OR($A3143="",D3143=""),0,IF(COUNTIF($D$2:D3143,D3143)=1,SUMIF($D$2:$D$5001,D3143,$H$2:$H$5001)+ROW()/10000000,0))</f>
        <v>0</v>
      </c>
      <c r="Q3143" s="47" t="n">
        <f aca="false">IF(OR($A3143="",C3143=""),0,IF(COUNTIF($C$2:C3143,C3143)=1,SUMIF($C$2:$C$5001,C3143,$H$2:$H$5001)+ROW()/10000000,0))</f>
        <v>0</v>
      </c>
    </row>
    <row r="3144" customFormat="false" ht="15" hidden="false" customHeight="false" outlineLevel="0" collapsed="false">
      <c r="A3144" s="43"/>
      <c r="B3144" s="44"/>
      <c r="C3144" s="44"/>
      <c r="D3144" s="44"/>
      <c r="E3144" s="44"/>
      <c r="F3144" s="44"/>
      <c r="G3144" s="44"/>
      <c r="H3144" s="46" t="str">
        <f aca="false">IF($A3144="","",IF(OR(NOT(ISNUMBER(E3144)),NOT(ISNUMBER(F3144))),"",MAX(0,E3144)*F3144))</f>
        <v/>
      </c>
      <c r="I3144" s="46" t="str">
        <f aca="false">IF($A3144="","",SUMIF($A$2:$A$5001,$A3144,$H$2:$H$5001))</f>
        <v/>
      </c>
      <c r="J3144" s="47" t="n">
        <f aca="false">IF($A3144="",0,IF(COUNTIF($A$2:A3144,$A3144)=1,1,0))</f>
        <v>0</v>
      </c>
      <c r="K3144" s="47" t="n">
        <f aca="false">IF(J3144=1,N(I3144)+ROW()/10000000,0)</f>
        <v>0</v>
      </c>
      <c r="L3144" s="47" t="str">
        <f aca="false">IF(AND(J3144=1,N(I3144)&gt;0),SUMIF($K$2:$K$5001,"&gt;="&amp;K3144,$I$2:$I$5001)/MAX(1,SUM($H$2:$H$5001)),"")</f>
        <v/>
      </c>
      <c r="M3144" s="47" t="str">
        <f aca="false">IF($A3144="","",INDEX($L$2:$L$5001,MATCH($A3144,$A$2:$A$5001,0)))</f>
        <v/>
      </c>
      <c r="N3144" s="48" t="str">
        <f aca="false">IF($A3144="","",IF(N(M3144)=0,"–",IF(M3144&lt;=Start!$D$20,"A",IF(M3144&lt;=Start!$D$21,"B","C"))))</f>
        <v/>
      </c>
      <c r="O3144" s="48" t="str">
        <f aca="false">IF($A3144="","",IF(NOT(ISNUMBER(F3144)),"Wert fehlt; ",IF(F3144&lt;=0,"Wert ist 0; ",""))&amp;IF(NOT(ISNUMBER(E3144)),"Bestand fehlt; ",IF(E3144&lt;0,"Bestand negativ; ",IF(E3144=0,"Nullbestand; ","")))&amp;IF(D3144="","Warengruppe fehlt; ","")&amp;IF(B3144="","Bezeichnung fehlt; ","")&amp;IF(COUNTIFS($A$2:$A$5001,$A3144,$C$2:$C$5001,C3144)&gt;1,"Artikel doppelt im selben Lager; ",""))</f>
        <v/>
      </c>
      <c r="P3144" s="47" t="n">
        <f aca="false">IF(OR($A3144="",D3144=""),0,IF(COUNTIF($D$2:D3144,D3144)=1,SUMIF($D$2:$D$5001,D3144,$H$2:$H$5001)+ROW()/10000000,0))</f>
        <v>0</v>
      </c>
      <c r="Q3144" s="47" t="n">
        <f aca="false">IF(OR($A3144="",C3144=""),0,IF(COUNTIF($C$2:C3144,C3144)=1,SUMIF($C$2:$C$5001,C3144,$H$2:$H$5001)+ROW()/10000000,0))</f>
        <v>0</v>
      </c>
    </row>
    <row r="3145" customFormat="false" ht="15" hidden="false" customHeight="false" outlineLevel="0" collapsed="false">
      <c r="A3145" s="43"/>
      <c r="B3145" s="44"/>
      <c r="C3145" s="44"/>
      <c r="D3145" s="44"/>
      <c r="E3145" s="44"/>
      <c r="F3145" s="44"/>
      <c r="G3145" s="44"/>
      <c r="H3145" s="46" t="str">
        <f aca="false">IF($A3145="","",IF(OR(NOT(ISNUMBER(E3145)),NOT(ISNUMBER(F3145))),"",MAX(0,E3145)*F3145))</f>
        <v/>
      </c>
      <c r="I3145" s="46" t="str">
        <f aca="false">IF($A3145="","",SUMIF($A$2:$A$5001,$A3145,$H$2:$H$5001))</f>
        <v/>
      </c>
      <c r="J3145" s="47" t="n">
        <f aca="false">IF($A3145="",0,IF(COUNTIF($A$2:A3145,$A3145)=1,1,0))</f>
        <v>0</v>
      </c>
      <c r="K3145" s="47" t="n">
        <f aca="false">IF(J3145=1,N(I3145)+ROW()/10000000,0)</f>
        <v>0</v>
      </c>
      <c r="L3145" s="47" t="str">
        <f aca="false">IF(AND(J3145=1,N(I3145)&gt;0),SUMIF($K$2:$K$5001,"&gt;="&amp;K3145,$I$2:$I$5001)/MAX(1,SUM($H$2:$H$5001)),"")</f>
        <v/>
      </c>
      <c r="M3145" s="47" t="str">
        <f aca="false">IF($A3145="","",INDEX($L$2:$L$5001,MATCH($A3145,$A$2:$A$5001,0)))</f>
        <v/>
      </c>
      <c r="N3145" s="48" t="str">
        <f aca="false">IF($A3145="","",IF(N(M3145)=0,"–",IF(M3145&lt;=Start!$D$20,"A",IF(M3145&lt;=Start!$D$21,"B","C"))))</f>
        <v/>
      </c>
      <c r="O3145" s="48" t="str">
        <f aca="false">IF($A3145="","",IF(NOT(ISNUMBER(F3145)),"Wert fehlt; ",IF(F3145&lt;=0,"Wert ist 0; ",""))&amp;IF(NOT(ISNUMBER(E3145)),"Bestand fehlt; ",IF(E3145&lt;0,"Bestand negativ; ",IF(E3145=0,"Nullbestand; ","")))&amp;IF(D3145="","Warengruppe fehlt; ","")&amp;IF(B3145="","Bezeichnung fehlt; ","")&amp;IF(COUNTIFS($A$2:$A$5001,$A3145,$C$2:$C$5001,C3145)&gt;1,"Artikel doppelt im selben Lager; ",""))</f>
        <v/>
      </c>
      <c r="P3145" s="47" t="n">
        <f aca="false">IF(OR($A3145="",D3145=""),0,IF(COUNTIF($D$2:D3145,D3145)=1,SUMIF($D$2:$D$5001,D3145,$H$2:$H$5001)+ROW()/10000000,0))</f>
        <v>0</v>
      </c>
      <c r="Q3145" s="47" t="n">
        <f aca="false">IF(OR($A3145="",C3145=""),0,IF(COUNTIF($C$2:C3145,C3145)=1,SUMIF($C$2:$C$5001,C3145,$H$2:$H$5001)+ROW()/10000000,0))</f>
        <v>0</v>
      </c>
    </row>
    <row r="3146" customFormat="false" ht="15" hidden="false" customHeight="false" outlineLevel="0" collapsed="false">
      <c r="A3146" s="43"/>
      <c r="B3146" s="44"/>
      <c r="C3146" s="44"/>
      <c r="D3146" s="44"/>
      <c r="E3146" s="44"/>
      <c r="F3146" s="44"/>
      <c r="G3146" s="44"/>
      <c r="H3146" s="46" t="str">
        <f aca="false">IF($A3146="","",IF(OR(NOT(ISNUMBER(E3146)),NOT(ISNUMBER(F3146))),"",MAX(0,E3146)*F3146))</f>
        <v/>
      </c>
      <c r="I3146" s="46" t="str">
        <f aca="false">IF($A3146="","",SUMIF($A$2:$A$5001,$A3146,$H$2:$H$5001))</f>
        <v/>
      </c>
      <c r="J3146" s="47" t="n">
        <f aca="false">IF($A3146="",0,IF(COUNTIF($A$2:A3146,$A3146)=1,1,0))</f>
        <v>0</v>
      </c>
      <c r="K3146" s="47" t="n">
        <f aca="false">IF(J3146=1,N(I3146)+ROW()/10000000,0)</f>
        <v>0</v>
      </c>
      <c r="L3146" s="47" t="str">
        <f aca="false">IF(AND(J3146=1,N(I3146)&gt;0),SUMIF($K$2:$K$5001,"&gt;="&amp;K3146,$I$2:$I$5001)/MAX(1,SUM($H$2:$H$5001)),"")</f>
        <v/>
      </c>
      <c r="M3146" s="47" t="str">
        <f aca="false">IF($A3146="","",INDEX($L$2:$L$5001,MATCH($A3146,$A$2:$A$5001,0)))</f>
        <v/>
      </c>
      <c r="N3146" s="48" t="str">
        <f aca="false">IF($A3146="","",IF(N(M3146)=0,"–",IF(M3146&lt;=Start!$D$20,"A",IF(M3146&lt;=Start!$D$21,"B","C"))))</f>
        <v/>
      </c>
      <c r="O3146" s="48" t="str">
        <f aca="false">IF($A3146="","",IF(NOT(ISNUMBER(F3146)),"Wert fehlt; ",IF(F3146&lt;=0,"Wert ist 0; ",""))&amp;IF(NOT(ISNUMBER(E3146)),"Bestand fehlt; ",IF(E3146&lt;0,"Bestand negativ; ",IF(E3146=0,"Nullbestand; ","")))&amp;IF(D3146="","Warengruppe fehlt; ","")&amp;IF(B3146="","Bezeichnung fehlt; ","")&amp;IF(COUNTIFS($A$2:$A$5001,$A3146,$C$2:$C$5001,C3146)&gt;1,"Artikel doppelt im selben Lager; ",""))</f>
        <v/>
      </c>
      <c r="P3146" s="47" t="n">
        <f aca="false">IF(OR($A3146="",D3146=""),0,IF(COUNTIF($D$2:D3146,D3146)=1,SUMIF($D$2:$D$5001,D3146,$H$2:$H$5001)+ROW()/10000000,0))</f>
        <v>0</v>
      </c>
      <c r="Q3146" s="47" t="n">
        <f aca="false">IF(OR($A3146="",C3146=""),0,IF(COUNTIF($C$2:C3146,C3146)=1,SUMIF($C$2:$C$5001,C3146,$H$2:$H$5001)+ROW()/10000000,0))</f>
        <v>0</v>
      </c>
    </row>
    <row r="3147" customFormat="false" ht="15" hidden="false" customHeight="false" outlineLevel="0" collapsed="false">
      <c r="A3147" s="43"/>
      <c r="B3147" s="44"/>
      <c r="C3147" s="44"/>
      <c r="D3147" s="44"/>
      <c r="E3147" s="44"/>
      <c r="F3147" s="44"/>
      <c r="G3147" s="44"/>
      <c r="H3147" s="46" t="str">
        <f aca="false">IF($A3147="","",IF(OR(NOT(ISNUMBER(E3147)),NOT(ISNUMBER(F3147))),"",MAX(0,E3147)*F3147))</f>
        <v/>
      </c>
      <c r="I3147" s="46" t="str">
        <f aca="false">IF($A3147="","",SUMIF($A$2:$A$5001,$A3147,$H$2:$H$5001))</f>
        <v/>
      </c>
      <c r="J3147" s="47" t="n">
        <f aca="false">IF($A3147="",0,IF(COUNTIF($A$2:A3147,$A3147)=1,1,0))</f>
        <v>0</v>
      </c>
      <c r="K3147" s="47" t="n">
        <f aca="false">IF(J3147=1,N(I3147)+ROW()/10000000,0)</f>
        <v>0</v>
      </c>
      <c r="L3147" s="47" t="str">
        <f aca="false">IF(AND(J3147=1,N(I3147)&gt;0),SUMIF($K$2:$K$5001,"&gt;="&amp;K3147,$I$2:$I$5001)/MAX(1,SUM($H$2:$H$5001)),"")</f>
        <v/>
      </c>
      <c r="M3147" s="47" t="str">
        <f aca="false">IF($A3147="","",INDEX($L$2:$L$5001,MATCH($A3147,$A$2:$A$5001,0)))</f>
        <v/>
      </c>
      <c r="N3147" s="48" t="str">
        <f aca="false">IF($A3147="","",IF(N(M3147)=0,"–",IF(M3147&lt;=Start!$D$20,"A",IF(M3147&lt;=Start!$D$21,"B","C"))))</f>
        <v/>
      </c>
      <c r="O3147" s="48" t="str">
        <f aca="false">IF($A3147="","",IF(NOT(ISNUMBER(F3147)),"Wert fehlt; ",IF(F3147&lt;=0,"Wert ist 0; ",""))&amp;IF(NOT(ISNUMBER(E3147)),"Bestand fehlt; ",IF(E3147&lt;0,"Bestand negativ; ",IF(E3147=0,"Nullbestand; ","")))&amp;IF(D3147="","Warengruppe fehlt; ","")&amp;IF(B3147="","Bezeichnung fehlt; ","")&amp;IF(COUNTIFS($A$2:$A$5001,$A3147,$C$2:$C$5001,C3147)&gt;1,"Artikel doppelt im selben Lager; ",""))</f>
        <v/>
      </c>
      <c r="P3147" s="47" t="n">
        <f aca="false">IF(OR($A3147="",D3147=""),0,IF(COUNTIF($D$2:D3147,D3147)=1,SUMIF($D$2:$D$5001,D3147,$H$2:$H$5001)+ROW()/10000000,0))</f>
        <v>0</v>
      </c>
      <c r="Q3147" s="47" t="n">
        <f aca="false">IF(OR($A3147="",C3147=""),0,IF(COUNTIF($C$2:C3147,C3147)=1,SUMIF($C$2:$C$5001,C3147,$H$2:$H$5001)+ROW()/10000000,0))</f>
        <v>0</v>
      </c>
    </row>
    <row r="3148" customFormat="false" ht="15" hidden="false" customHeight="false" outlineLevel="0" collapsed="false">
      <c r="A3148" s="43"/>
      <c r="B3148" s="44"/>
      <c r="C3148" s="44"/>
      <c r="D3148" s="44"/>
      <c r="E3148" s="44"/>
      <c r="F3148" s="44"/>
      <c r="G3148" s="44"/>
      <c r="H3148" s="46" t="str">
        <f aca="false">IF($A3148="","",IF(OR(NOT(ISNUMBER(E3148)),NOT(ISNUMBER(F3148))),"",MAX(0,E3148)*F3148))</f>
        <v/>
      </c>
      <c r="I3148" s="46" t="str">
        <f aca="false">IF($A3148="","",SUMIF($A$2:$A$5001,$A3148,$H$2:$H$5001))</f>
        <v/>
      </c>
      <c r="J3148" s="47" t="n">
        <f aca="false">IF($A3148="",0,IF(COUNTIF($A$2:A3148,$A3148)=1,1,0))</f>
        <v>0</v>
      </c>
      <c r="K3148" s="47" t="n">
        <f aca="false">IF(J3148=1,N(I3148)+ROW()/10000000,0)</f>
        <v>0</v>
      </c>
      <c r="L3148" s="47" t="str">
        <f aca="false">IF(AND(J3148=1,N(I3148)&gt;0),SUMIF($K$2:$K$5001,"&gt;="&amp;K3148,$I$2:$I$5001)/MAX(1,SUM($H$2:$H$5001)),"")</f>
        <v/>
      </c>
      <c r="M3148" s="47" t="str">
        <f aca="false">IF($A3148="","",INDEX($L$2:$L$5001,MATCH($A3148,$A$2:$A$5001,0)))</f>
        <v/>
      </c>
      <c r="N3148" s="48" t="str">
        <f aca="false">IF($A3148="","",IF(N(M3148)=0,"–",IF(M3148&lt;=Start!$D$20,"A",IF(M3148&lt;=Start!$D$21,"B","C"))))</f>
        <v/>
      </c>
      <c r="O3148" s="48" t="str">
        <f aca="false">IF($A3148="","",IF(NOT(ISNUMBER(F3148)),"Wert fehlt; ",IF(F3148&lt;=0,"Wert ist 0; ",""))&amp;IF(NOT(ISNUMBER(E3148)),"Bestand fehlt; ",IF(E3148&lt;0,"Bestand negativ; ",IF(E3148=0,"Nullbestand; ","")))&amp;IF(D3148="","Warengruppe fehlt; ","")&amp;IF(B3148="","Bezeichnung fehlt; ","")&amp;IF(COUNTIFS($A$2:$A$5001,$A3148,$C$2:$C$5001,C3148)&gt;1,"Artikel doppelt im selben Lager; ",""))</f>
        <v/>
      </c>
      <c r="P3148" s="47" t="n">
        <f aca="false">IF(OR($A3148="",D3148=""),0,IF(COUNTIF($D$2:D3148,D3148)=1,SUMIF($D$2:$D$5001,D3148,$H$2:$H$5001)+ROW()/10000000,0))</f>
        <v>0</v>
      </c>
      <c r="Q3148" s="47" t="n">
        <f aca="false">IF(OR($A3148="",C3148=""),0,IF(COUNTIF($C$2:C3148,C3148)=1,SUMIF($C$2:$C$5001,C3148,$H$2:$H$5001)+ROW()/10000000,0))</f>
        <v>0</v>
      </c>
    </row>
    <row r="3149" customFormat="false" ht="15" hidden="false" customHeight="false" outlineLevel="0" collapsed="false">
      <c r="A3149" s="43"/>
      <c r="B3149" s="44"/>
      <c r="C3149" s="44"/>
      <c r="D3149" s="44"/>
      <c r="E3149" s="44"/>
      <c r="F3149" s="44"/>
      <c r="G3149" s="44"/>
      <c r="H3149" s="46" t="str">
        <f aca="false">IF($A3149="","",IF(OR(NOT(ISNUMBER(E3149)),NOT(ISNUMBER(F3149))),"",MAX(0,E3149)*F3149))</f>
        <v/>
      </c>
      <c r="I3149" s="46" t="str">
        <f aca="false">IF($A3149="","",SUMIF($A$2:$A$5001,$A3149,$H$2:$H$5001))</f>
        <v/>
      </c>
      <c r="J3149" s="47" t="n">
        <f aca="false">IF($A3149="",0,IF(COUNTIF($A$2:A3149,$A3149)=1,1,0))</f>
        <v>0</v>
      </c>
      <c r="K3149" s="47" t="n">
        <f aca="false">IF(J3149=1,N(I3149)+ROW()/10000000,0)</f>
        <v>0</v>
      </c>
      <c r="L3149" s="47" t="str">
        <f aca="false">IF(AND(J3149=1,N(I3149)&gt;0),SUMIF($K$2:$K$5001,"&gt;="&amp;K3149,$I$2:$I$5001)/MAX(1,SUM($H$2:$H$5001)),"")</f>
        <v/>
      </c>
      <c r="M3149" s="47" t="str">
        <f aca="false">IF($A3149="","",INDEX($L$2:$L$5001,MATCH($A3149,$A$2:$A$5001,0)))</f>
        <v/>
      </c>
      <c r="N3149" s="48" t="str">
        <f aca="false">IF($A3149="","",IF(N(M3149)=0,"–",IF(M3149&lt;=Start!$D$20,"A",IF(M3149&lt;=Start!$D$21,"B","C"))))</f>
        <v/>
      </c>
      <c r="O3149" s="48" t="str">
        <f aca="false">IF($A3149="","",IF(NOT(ISNUMBER(F3149)),"Wert fehlt; ",IF(F3149&lt;=0,"Wert ist 0; ",""))&amp;IF(NOT(ISNUMBER(E3149)),"Bestand fehlt; ",IF(E3149&lt;0,"Bestand negativ; ",IF(E3149=0,"Nullbestand; ","")))&amp;IF(D3149="","Warengruppe fehlt; ","")&amp;IF(B3149="","Bezeichnung fehlt; ","")&amp;IF(COUNTIFS($A$2:$A$5001,$A3149,$C$2:$C$5001,C3149)&gt;1,"Artikel doppelt im selben Lager; ",""))</f>
        <v/>
      </c>
      <c r="P3149" s="47" t="n">
        <f aca="false">IF(OR($A3149="",D3149=""),0,IF(COUNTIF($D$2:D3149,D3149)=1,SUMIF($D$2:$D$5001,D3149,$H$2:$H$5001)+ROW()/10000000,0))</f>
        <v>0</v>
      </c>
      <c r="Q3149" s="47" t="n">
        <f aca="false">IF(OR($A3149="",C3149=""),0,IF(COUNTIF($C$2:C3149,C3149)=1,SUMIF($C$2:$C$5001,C3149,$H$2:$H$5001)+ROW()/10000000,0))</f>
        <v>0</v>
      </c>
    </row>
    <row r="3150" customFormat="false" ht="15" hidden="false" customHeight="false" outlineLevel="0" collapsed="false">
      <c r="A3150" s="43"/>
      <c r="B3150" s="44"/>
      <c r="C3150" s="44"/>
      <c r="D3150" s="44"/>
      <c r="E3150" s="44"/>
      <c r="F3150" s="44"/>
      <c r="G3150" s="44"/>
      <c r="H3150" s="46" t="str">
        <f aca="false">IF($A3150="","",IF(OR(NOT(ISNUMBER(E3150)),NOT(ISNUMBER(F3150))),"",MAX(0,E3150)*F3150))</f>
        <v/>
      </c>
      <c r="I3150" s="46" t="str">
        <f aca="false">IF($A3150="","",SUMIF($A$2:$A$5001,$A3150,$H$2:$H$5001))</f>
        <v/>
      </c>
      <c r="J3150" s="47" t="n">
        <f aca="false">IF($A3150="",0,IF(COUNTIF($A$2:A3150,$A3150)=1,1,0))</f>
        <v>0</v>
      </c>
      <c r="K3150" s="47" t="n">
        <f aca="false">IF(J3150=1,N(I3150)+ROW()/10000000,0)</f>
        <v>0</v>
      </c>
      <c r="L3150" s="47" t="str">
        <f aca="false">IF(AND(J3150=1,N(I3150)&gt;0),SUMIF($K$2:$K$5001,"&gt;="&amp;K3150,$I$2:$I$5001)/MAX(1,SUM($H$2:$H$5001)),"")</f>
        <v/>
      </c>
      <c r="M3150" s="47" t="str">
        <f aca="false">IF($A3150="","",INDEX($L$2:$L$5001,MATCH($A3150,$A$2:$A$5001,0)))</f>
        <v/>
      </c>
      <c r="N3150" s="48" t="str">
        <f aca="false">IF($A3150="","",IF(N(M3150)=0,"–",IF(M3150&lt;=Start!$D$20,"A",IF(M3150&lt;=Start!$D$21,"B","C"))))</f>
        <v/>
      </c>
      <c r="O3150" s="48" t="str">
        <f aca="false">IF($A3150="","",IF(NOT(ISNUMBER(F3150)),"Wert fehlt; ",IF(F3150&lt;=0,"Wert ist 0; ",""))&amp;IF(NOT(ISNUMBER(E3150)),"Bestand fehlt; ",IF(E3150&lt;0,"Bestand negativ; ",IF(E3150=0,"Nullbestand; ","")))&amp;IF(D3150="","Warengruppe fehlt; ","")&amp;IF(B3150="","Bezeichnung fehlt; ","")&amp;IF(COUNTIFS($A$2:$A$5001,$A3150,$C$2:$C$5001,C3150)&gt;1,"Artikel doppelt im selben Lager; ",""))</f>
        <v/>
      </c>
      <c r="P3150" s="47" t="n">
        <f aca="false">IF(OR($A3150="",D3150=""),0,IF(COUNTIF($D$2:D3150,D3150)=1,SUMIF($D$2:$D$5001,D3150,$H$2:$H$5001)+ROW()/10000000,0))</f>
        <v>0</v>
      </c>
      <c r="Q3150" s="47" t="n">
        <f aca="false">IF(OR($A3150="",C3150=""),0,IF(COUNTIF($C$2:C3150,C3150)=1,SUMIF($C$2:$C$5001,C3150,$H$2:$H$5001)+ROW()/10000000,0))</f>
        <v>0</v>
      </c>
    </row>
    <row r="3151" customFormat="false" ht="15" hidden="false" customHeight="false" outlineLevel="0" collapsed="false">
      <c r="A3151" s="43"/>
      <c r="B3151" s="44"/>
      <c r="C3151" s="44"/>
      <c r="D3151" s="44"/>
      <c r="E3151" s="44"/>
      <c r="F3151" s="44"/>
      <c r="G3151" s="44"/>
      <c r="H3151" s="46" t="str">
        <f aca="false">IF($A3151="","",IF(OR(NOT(ISNUMBER(E3151)),NOT(ISNUMBER(F3151))),"",MAX(0,E3151)*F3151))</f>
        <v/>
      </c>
      <c r="I3151" s="46" t="str">
        <f aca="false">IF($A3151="","",SUMIF($A$2:$A$5001,$A3151,$H$2:$H$5001))</f>
        <v/>
      </c>
      <c r="J3151" s="47" t="n">
        <f aca="false">IF($A3151="",0,IF(COUNTIF($A$2:A3151,$A3151)=1,1,0))</f>
        <v>0</v>
      </c>
      <c r="K3151" s="47" t="n">
        <f aca="false">IF(J3151=1,N(I3151)+ROW()/10000000,0)</f>
        <v>0</v>
      </c>
      <c r="L3151" s="47" t="str">
        <f aca="false">IF(AND(J3151=1,N(I3151)&gt;0),SUMIF($K$2:$K$5001,"&gt;="&amp;K3151,$I$2:$I$5001)/MAX(1,SUM($H$2:$H$5001)),"")</f>
        <v/>
      </c>
      <c r="M3151" s="47" t="str">
        <f aca="false">IF($A3151="","",INDEX($L$2:$L$5001,MATCH($A3151,$A$2:$A$5001,0)))</f>
        <v/>
      </c>
      <c r="N3151" s="48" t="str">
        <f aca="false">IF($A3151="","",IF(N(M3151)=0,"–",IF(M3151&lt;=Start!$D$20,"A",IF(M3151&lt;=Start!$D$21,"B","C"))))</f>
        <v/>
      </c>
      <c r="O3151" s="48" t="str">
        <f aca="false">IF($A3151="","",IF(NOT(ISNUMBER(F3151)),"Wert fehlt; ",IF(F3151&lt;=0,"Wert ist 0; ",""))&amp;IF(NOT(ISNUMBER(E3151)),"Bestand fehlt; ",IF(E3151&lt;0,"Bestand negativ; ",IF(E3151=0,"Nullbestand; ","")))&amp;IF(D3151="","Warengruppe fehlt; ","")&amp;IF(B3151="","Bezeichnung fehlt; ","")&amp;IF(COUNTIFS($A$2:$A$5001,$A3151,$C$2:$C$5001,C3151)&gt;1,"Artikel doppelt im selben Lager; ",""))</f>
        <v/>
      </c>
      <c r="P3151" s="47" t="n">
        <f aca="false">IF(OR($A3151="",D3151=""),0,IF(COUNTIF($D$2:D3151,D3151)=1,SUMIF($D$2:$D$5001,D3151,$H$2:$H$5001)+ROW()/10000000,0))</f>
        <v>0</v>
      </c>
      <c r="Q3151" s="47" t="n">
        <f aca="false">IF(OR($A3151="",C3151=""),0,IF(COUNTIF($C$2:C3151,C3151)=1,SUMIF($C$2:$C$5001,C3151,$H$2:$H$5001)+ROW()/10000000,0))</f>
        <v>0</v>
      </c>
    </row>
    <row r="3152" customFormat="false" ht="15" hidden="false" customHeight="false" outlineLevel="0" collapsed="false">
      <c r="A3152" s="43"/>
      <c r="B3152" s="44"/>
      <c r="C3152" s="44"/>
      <c r="D3152" s="44"/>
      <c r="E3152" s="44"/>
      <c r="F3152" s="44"/>
      <c r="G3152" s="44"/>
      <c r="H3152" s="46" t="str">
        <f aca="false">IF($A3152="","",IF(OR(NOT(ISNUMBER(E3152)),NOT(ISNUMBER(F3152))),"",MAX(0,E3152)*F3152))</f>
        <v/>
      </c>
      <c r="I3152" s="46" t="str">
        <f aca="false">IF($A3152="","",SUMIF($A$2:$A$5001,$A3152,$H$2:$H$5001))</f>
        <v/>
      </c>
      <c r="J3152" s="47" t="n">
        <f aca="false">IF($A3152="",0,IF(COUNTIF($A$2:A3152,$A3152)=1,1,0))</f>
        <v>0</v>
      </c>
      <c r="K3152" s="47" t="n">
        <f aca="false">IF(J3152=1,N(I3152)+ROW()/10000000,0)</f>
        <v>0</v>
      </c>
      <c r="L3152" s="47" t="str">
        <f aca="false">IF(AND(J3152=1,N(I3152)&gt;0),SUMIF($K$2:$K$5001,"&gt;="&amp;K3152,$I$2:$I$5001)/MAX(1,SUM($H$2:$H$5001)),"")</f>
        <v/>
      </c>
      <c r="M3152" s="47" t="str">
        <f aca="false">IF($A3152="","",INDEX($L$2:$L$5001,MATCH($A3152,$A$2:$A$5001,0)))</f>
        <v/>
      </c>
      <c r="N3152" s="48" t="str">
        <f aca="false">IF($A3152="","",IF(N(M3152)=0,"–",IF(M3152&lt;=Start!$D$20,"A",IF(M3152&lt;=Start!$D$21,"B","C"))))</f>
        <v/>
      </c>
      <c r="O3152" s="48" t="str">
        <f aca="false">IF($A3152="","",IF(NOT(ISNUMBER(F3152)),"Wert fehlt; ",IF(F3152&lt;=0,"Wert ist 0; ",""))&amp;IF(NOT(ISNUMBER(E3152)),"Bestand fehlt; ",IF(E3152&lt;0,"Bestand negativ; ",IF(E3152=0,"Nullbestand; ","")))&amp;IF(D3152="","Warengruppe fehlt; ","")&amp;IF(B3152="","Bezeichnung fehlt; ","")&amp;IF(COUNTIFS($A$2:$A$5001,$A3152,$C$2:$C$5001,C3152)&gt;1,"Artikel doppelt im selben Lager; ",""))</f>
        <v/>
      </c>
      <c r="P3152" s="47" t="n">
        <f aca="false">IF(OR($A3152="",D3152=""),0,IF(COUNTIF($D$2:D3152,D3152)=1,SUMIF($D$2:$D$5001,D3152,$H$2:$H$5001)+ROW()/10000000,0))</f>
        <v>0</v>
      </c>
      <c r="Q3152" s="47" t="n">
        <f aca="false">IF(OR($A3152="",C3152=""),0,IF(COUNTIF($C$2:C3152,C3152)=1,SUMIF($C$2:$C$5001,C3152,$H$2:$H$5001)+ROW()/10000000,0))</f>
        <v>0</v>
      </c>
    </row>
    <row r="3153" customFormat="false" ht="15" hidden="false" customHeight="false" outlineLevel="0" collapsed="false">
      <c r="A3153" s="43"/>
      <c r="B3153" s="44"/>
      <c r="C3153" s="44"/>
      <c r="D3153" s="44"/>
      <c r="E3153" s="44"/>
      <c r="F3153" s="44"/>
      <c r="G3153" s="44"/>
      <c r="H3153" s="46" t="str">
        <f aca="false">IF($A3153="","",IF(OR(NOT(ISNUMBER(E3153)),NOT(ISNUMBER(F3153))),"",MAX(0,E3153)*F3153))</f>
        <v/>
      </c>
      <c r="I3153" s="46" t="str">
        <f aca="false">IF($A3153="","",SUMIF($A$2:$A$5001,$A3153,$H$2:$H$5001))</f>
        <v/>
      </c>
      <c r="J3153" s="47" t="n">
        <f aca="false">IF($A3153="",0,IF(COUNTIF($A$2:A3153,$A3153)=1,1,0))</f>
        <v>0</v>
      </c>
      <c r="K3153" s="47" t="n">
        <f aca="false">IF(J3153=1,N(I3153)+ROW()/10000000,0)</f>
        <v>0</v>
      </c>
      <c r="L3153" s="47" t="str">
        <f aca="false">IF(AND(J3153=1,N(I3153)&gt;0),SUMIF($K$2:$K$5001,"&gt;="&amp;K3153,$I$2:$I$5001)/MAX(1,SUM($H$2:$H$5001)),"")</f>
        <v/>
      </c>
      <c r="M3153" s="47" t="str">
        <f aca="false">IF($A3153="","",INDEX($L$2:$L$5001,MATCH($A3153,$A$2:$A$5001,0)))</f>
        <v/>
      </c>
      <c r="N3153" s="48" t="str">
        <f aca="false">IF($A3153="","",IF(N(M3153)=0,"–",IF(M3153&lt;=Start!$D$20,"A",IF(M3153&lt;=Start!$D$21,"B","C"))))</f>
        <v/>
      </c>
      <c r="O3153" s="48" t="str">
        <f aca="false">IF($A3153="","",IF(NOT(ISNUMBER(F3153)),"Wert fehlt; ",IF(F3153&lt;=0,"Wert ist 0; ",""))&amp;IF(NOT(ISNUMBER(E3153)),"Bestand fehlt; ",IF(E3153&lt;0,"Bestand negativ; ",IF(E3153=0,"Nullbestand; ","")))&amp;IF(D3153="","Warengruppe fehlt; ","")&amp;IF(B3153="","Bezeichnung fehlt; ","")&amp;IF(COUNTIFS($A$2:$A$5001,$A3153,$C$2:$C$5001,C3153)&gt;1,"Artikel doppelt im selben Lager; ",""))</f>
        <v/>
      </c>
      <c r="P3153" s="47" t="n">
        <f aca="false">IF(OR($A3153="",D3153=""),0,IF(COUNTIF($D$2:D3153,D3153)=1,SUMIF($D$2:$D$5001,D3153,$H$2:$H$5001)+ROW()/10000000,0))</f>
        <v>0</v>
      </c>
      <c r="Q3153" s="47" t="n">
        <f aca="false">IF(OR($A3153="",C3153=""),0,IF(COUNTIF($C$2:C3153,C3153)=1,SUMIF($C$2:$C$5001,C3153,$H$2:$H$5001)+ROW()/10000000,0))</f>
        <v>0</v>
      </c>
    </row>
    <row r="3154" customFormat="false" ht="15" hidden="false" customHeight="false" outlineLevel="0" collapsed="false">
      <c r="A3154" s="43"/>
      <c r="B3154" s="44"/>
      <c r="C3154" s="44"/>
      <c r="D3154" s="44"/>
      <c r="E3154" s="44"/>
      <c r="F3154" s="44"/>
      <c r="G3154" s="44"/>
      <c r="H3154" s="46" t="str">
        <f aca="false">IF($A3154="","",IF(OR(NOT(ISNUMBER(E3154)),NOT(ISNUMBER(F3154))),"",MAX(0,E3154)*F3154))</f>
        <v/>
      </c>
      <c r="I3154" s="46" t="str">
        <f aca="false">IF($A3154="","",SUMIF($A$2:$A$5001,$A3154,$H$2:$H$5001))</f>
        <v/>
      </c>
      <c r="J3154" s="47" t="n">
        <f aca="false">IF($A3154="",0,IF(COUNTIF($A$2:A3154,$A3154)=1,1,0))</f>
        <v>0</v>
      </c>
      <c r="K3154" s="47" t="n">
        <f aca="false">IF(J3154=1,N(I3154)+ROW()/10000000,0)</f>
        <v>0</v>
      </c>
      <c r="L3154" s="47" t="str">
        <f aca="false">IF(AND(J3154=1,N(I3154)&gt;0),SUMIF($K$2:$K$5001,"&gt;="&amp;K3154,$I$2:$I$5001)/MAX(1,SUM($H$2:$H$5001)),"")</f>
        <v/>
      </c>
      <c r="M3154" s="47" t="str">
        <f aca="false">IF($A3154="","",INDEX($L$2:$L$5001,MATCH($A3154,$A$2:$A$5001,0)))</f>
        <v/>
      </c>
      <c r="N3154" s="48" t="str">
        <f aca="false">IF($A3154="","",IF(N(M3154)=0,"–",IF(M3154&lt;=Start!$D$20,"A",IF(M3154&lt;=Start!$D$21,"B","C"))))</f>
        <v/>
      </c>
      <c r="O3154" s="48" t="str">
        <f aca="false">IF($A3154="","",IF(NOT(ISNUMBER(F3154)),"Wert fehlt; ",IF(F3154&lt;=0,"Wert ist 0; ",""))&amp;IF(NOT(ISNUMBER(E3154)),"Bestand fehlt; ",IF(E3154&lt;0,"Bestand negativ; ",IF(E3154=0,"Nullbestand; ","")))&amp;IF(D3154="","Warengruppe fehlt; ","")&amp;IF(B3154="","Bezeichnung fehlt; ","")&amp;IF(COUNTIFS($A$2:$A$5001,$A3154,$C$2:$C$5001,C3154)&gt;1,"Artikel doppelt im selben Lager; ",""))</f>
        <v/>
      </c>
      <c r="P3154" s="47" t="n">
        <f aca="false">IF(OR($A3154="",D3154=""),0,IF(COUNTIF($D$2:D3154,D3154)=1,SUMIF($D$2:$D$5001,D3154,$H$2:$H$5001)+ROW()/10000000,0))</f>
        <v>0</v>
      </c>
      <c r="Q3154" s="47" t="n">
        <f aca="false">IF(OR($A3154="",C3154=""),0,IF(COUNTIF($C$2:C3154,C3154)=1,SUMIF($C$2:$C$5001,C3154,$H$2:$H$5001)+ROW()/10000000,0))</f>
        <v>0</v>
      </c>
    </row>
    <row r="3155" customFormat="false" ht="15" hidden="false" customHeight="false" outlineLevel="0" collapsed="false">
      <c r="A3155" s="43"/>
      <c r="B3155" s="44"/>
      <c r="C3155" s="44"/>
      <c r="D3155" s="44"/>
      <c r="E3155" s="44"/>
      <c r="F3155" s="44"/>
      <c r="G3155" s="44"/>
      <c r="H3155" s="46" t="str">
        <f aca="false">IF($A3155="","",IF(OR(NOT(ISNUMBER(E3155)),NOT(ISNUMBER(F3155))),"",MAX(0,E3155)*F3155))</f>
        <v/>
      </c>
      <c r="I3155" s="46" t="str">
        <f aca="false">IF($A3155="","",SUMIF($A$2:$A$5001,$A3155,$H$2:$H$5001))</f>
        <v/>
      </c>
      <c r="J3155" s="47" t="n">
        <f aca="false">IF($A3155="",0,IF(COUNTIF($A$2:A3155,$A3155)=1,1,0))</f>
        <v>0</v>
      </c>
      <c r="K3155" s="47" t="n">
        <f aca="false">IF(J3155=1,N(I3155)+ROW()/10000000,0)</f>
        <v>0</v>
      </c>
      <c r="L3155" s="47" t="str">
        <f aca="false">IF(AND(J3155=1,N(I3155)&gt;0),SUMIF($K$2:$K$5001,"&gt;="&amp;K3155,$I$2:$I$5001)/MAX(1,SUM($H$2:$H$5001)),"")</f>
        <v/>
      </c>
      <c r="M3155" s="47" t="str">
        <f aca="false">IF($A3155="","",INDEX($L$2:$L$5001,MATCH($A3155,$A$2:$A$5001,0)))</f>
        <v/>
      </c>
      <c r="N3155" s="48" t="str">
        <f aca="false">IF($A3155="","",IF(N(M3155)=0,"–",IF(M3155&lt;=Start!$D$20,"A",IF(M3155&lt;=Start!$D$21,"B","C"))))</f>
        <v/>
      </c>
      <c r="O3155" s="48" t="str">
        <f aca="false">IF($A3155="","",IF(NOT(ISNUMBER(F3155)),"Wert fehlt; ",IF(F3155&lt;=0,"Wert ist 0; ",""))&amp;IF(NOT(ISNUMBER(E3155)),"Bestand fehlt; ",IF(E3155&lt;0,"Bestand negativ; ",IF(E3155=0,"Nullbestand; ","")))&amp;IF(D3155="","Warengruppe fehlt; ","")&amp;IF(B3155="","Bezeichnung fehlt; ","")&amp;IF(COUNTIFS($A$2:$A$5001,$A3155,$C$2:$C$5001,C3155)&gt;1,"Artikel doppelt im selben Lager; ",""))</f>
        <v/>
      </c>
      <c r="P3155" s="47" t="n">
        <f aca="false">IF(OR($A3155="",D3155=""),0,IF(COUNTIF($D$2:D3155,D3155)=1,SUMIF($D$2:$D$5001,D3155,$H$2:$H$5001)+ROW()/10000000,0))</f>
        <v>0</v>
      </c>
      <c r="Q3155" s="47" t="n">
        <f aca="false">IF(OR($A3155="",C3155=""),0,IF(COUNTIF($C$2:C3155,C3155)=1,SUMIF($C$2:$C$5001,C3155,$H$2:$H$5001)+ROW()/10000000,0))</f>
        <v>0</v>
      </c>
    </row>
    <row r="3156" customFormat="false" ht="15" hidden="false" customHeight="false" outlineLevel="0" collapsed="false">
      <c r="A3156" s="43"/>
      <c r="B3156" s="44"/>
      <c r="C3156" s="44"/>
      <c r="D3156" s="44"/>
      <c r="E3156" s="44"/>
      <c r="F3156" s="44"/>
      <c r="G3156" s="44"/>
      <c r="H3156" s="46" t="str">
        <f aca="false">IF($A3156="","",IF(OR(NOT(ISNUMBER(E3156)),NOT(ISNUMBER(F3156))),"",MAX(0,E3156)*F3156))</f>
        <v/>
      </c>
      <c r="I3156" s="46" t="str">
        <f aca="false">IF($A3156="","",SUMIF($A$2:$A$5001,$A3156,$H$2:$H$5001))</f>
        <v/>
      </c>
      <c r="J3156" s="47" t="n">
        <f aca="false">IF($A3156="",0,IF(COUNTIF($A$2:A3156,$A3156)=1,1,0))</f>
        <v>0</v>
      </c>
      <c r="K3156" s="47" t="n">
        <f aca="false">IF(J3156=1,N(I3156)+ROW()/10000000,0)</f>
        <v>0</v>
      </c>
      <c r="L3156" s="47" t="str">
        <f aca="false">IF(AND(J3156=1,N(I3156)&gt;0),SUMIF($K$2:$K$5001,"&gt;="&amp;K3156,$I$2:$I$5001)/MAX(1,SUM($H$2:$H$5001)),"")</f>
        <v/>
      </c>
      <c r="M3156" s="47" t="str">
        <f aca="false">IF($A3156="","",INDEX($L$2:$L$5001,MATCH($A3156,$A$2:$A$5001,0)))</f>
        <v/>
      </c>
      <c r="N3156" s="48" t="str">
        <f aca="false">IF($A3156="","",IF(N(M3156)=0,"–",IF(M3156&lt;=Start!$D$20,"A",IF(M3156&lt;=Start!$D$21,"B","C"))))</f>
        <v/>
      </c>
      <c r="O3156" s="48" t="str">
        <f aca="false">IF($A3156="","",IF(NOT(ISNUMBER(F3156)),"Wert fehlt; ",IF(F3156&lt;=0,"Wert ist 0; ",""))&amp;IF(NOT(ISNUMBER(E3156)),"Bestand fehlt; ",IF(E3156&lt;0,"Bestand negativ; ",IF(E3156=0,"Nullbestand; ","")))&amp;IF(D3156="","Warengruppe fehlt; ","")&amp;IF(B3156="","Bezeichnung fehlt; ","")&amp;IF(COUNTIFS($A$2:$A$5001,$A3156,$C$2:$C$5001,C3156)&gt;1,"Artikel doppelt im selben Lager; ",""))</f>
        <v/>
      </c>
      <c r="P3156" s="47" t="n">
        <f aca="false">IF(OR($A3156="",D3156=""),0,IF(COUNTIF($D$2:D3156,D3156)=1,SUMIF($D$2:$D$5001,D3156,$H$2:$H$5001)+ROW()/10000000,0))</f>
        <v>0</v>
      </c>
      <c r="Q3156" s="47" t="n">
        <f aca="false">IF(OR($A3156="",C3156=""),0,IF(COUNTIF($C$2:C3156,C3156)=1,SUMIF($C$2:$C$5001,C3156,$H$2:$H$5001)+ROW()/10000000,0))</f>
        <v>0</v>
      </c>
    </row>
    <row r="3157" customFormat="false" ht="15" hidden="false" customHeight="false" outlineLevel="0" collapsed="false">
      <c r="A3157" s="43"/>
      <c r="B3157" s="44"/>
      <c r="C3157" s="44"/>
      <c r="D3157" s="44"/>
      <c r="E3157" s="44"/>
      <c r="F3157" s="44"/>
      <c r="G3157" s="44"/>
      <c r="H3157" s="46" t="str">
        <f aca="false">IF($A3157="","",IF(OR(NOT(ISNUMBER(E3157)),NOT(ISNUMBER(F3157))),"",MAX(0,E3157)*F3157))</f>
        <v/>
      </c>
      <c r="I3157" s="46" t="str">
        <f aca="false">IF($A3157="","",SUMIF($A$2:$A$5001,$A3157,$H$2:$H$5001))</f>
        <v/>
      </c>
      <c r="J3157" s="47" t="n">
        <f aca="false">IF($A3157="",0,IF(COUNTIF($A$2:A3157,$A3157)=1,1,0))</f>
        <v>0</v>
      </c>
      <c r="K3157" s="47" t="n">
        <f aca="false">IF(J3157=1,N(I3157)+ROW()/10000000,0)</f>
        <v>0</v>
      </c>
      <c r="L3157" s="47" t="str">
        <f aca="false">IF(AND(J3157=1,N(I3157)&gt;0),SUMIF($K$2:$K$5001,"&gt;="&amp;K3157,$I$2:$I$5001)/MAX(1,SUM($H$2:$H$5001)),"")</f>
        <v/>
      </c>
      <c r="M3157" s="47" t="str">
        <f aca="false">IF($A3157="","",INDEX($L$2:$L$5001,MATCH($A3157,$A$2:$A$5001,0)))</f>
        <v/>
      </c>
      <c r="N3157" s="48" t="str">
        <f aca="false">IF($A3157="","",IF(N(M3157)=0,"–",IF(M3157&lt;=Start!$D$20,"A",IF(M3157&lt;=Start!$D$21,"B","C"))))</f>
        <v/>
      </c>
      <c r="O3157" s="48" t="str">
        <f aca="false">IF($A3157="","",IF(NOT(ISNUMBER(F3157)),"Wert fehlt; ",IF(F3157&lt;=0,"Wert ist 0; ",""))&amp;IF(NOT(ISNUMBER(E3157)),"Bestand fehlt; ",IF(E3157&lt;0,"Bestand negativ; ",IF(E3157=0,"Nullbestand; ","")))&amp;IF(D3157="","Warengruppe fehlt; ","")&amp;IF(B3157="","Bezeichnung fehlt; ","")&amp;IF(COUNTIFS($A$2:$A$5001,$A3157,$C$2:$C$5001,C3157)&gt;1,"Artikel doppelt im selben Lager; ",""))</f>
        <v/>
      </c>
      <c r="P3157" s="47" t="n">
        <f aca="false">IF(OR($A3157="",D3157=""),0,IF(COUNTIF($D$2:D3157,D3157)=1,SUMIF($D$2:$D$5001,D3157,$H$2:$H$5001)+ROW()/10000000,0))</f>
        <v>0</v>
      </c>
      <c r="Q3157" s="47" t="n">
        <f aca="false">IF(OR($A3157="",C3157=""),0,IF(COUNTIF($C$2:C3157,C3157)=1,SUMIF($C$2:$C$5001,C3157,$H$2:$H$5001)+ROW()/10000000,0))</f>
        <v>0</v>
      </c>
    </row>
    <row r="3158" customFormat="false" ht="15" hidden="false" customHeight="false" outlineLevel="0" collapsed="false">
      <c r="A3158" s="43"/>
      <c r="B3158" s="44"/>
      <c r="C3158" s="44"/>
      <c r="D3158" s="44"/>
      <c r="E3158" s="44"/>
      <c r="F3158" s="44"/>
      <c r="G3158" s="44"/>
      <c r="H3158" s="46" t="str">
        <f aca="false">IF($A3158="","",IF(OR(NOT(ISNUMBER(E3158)),NOT(ISNUMBER(F3158))),"",MAX(0,E3158)*F3158))</f>
        <v/>
      </c>
      <c r="I3158" s="46" t="str">
        <f aca="false">IF($A3158="","",SUMIF($A$2:$A$5001,$A3158,$H$2:$H$5001))</f>
        <v/>
      </c>
      <c r="J3158" s="47" t="n">
        <f aca="false">IF($A3158="",0,IF(COUNTIF($A$2:A3158,$A3158)=1,1,0))</f>
        <v>0</v>
      </c>
      <c r="K3158" s="47" t="n">
        <f aca="false">IF(J3158=1,N(I3158)+ROW()/10000000,0)</f>
        <v>0</v>
      </c>
      <c r="L3158" s="47" t="str">
        <f aca="false">IF(AND(J3158=1,N(I3158)&gt;0),SUMIF($K$2:$K$5001,"&gt;="&amp;K3158,$I$2:$I$5001)/MAX(1,SUM($H$2:$H$5001)),"")</f>
        <v/>
      </c>
      <c r="M3158" s="47" t="str">
        <f aca="false">IF($A3158="","",INDEX($L$2:$L$5001,MATCH($A3158,$A$2:$A$5001,0)))</f>
        <v/>
      </c>
      <c r="N3158" s="48" t="str">
        <f aca="false">IF($A3158="","",IF(N(M3158)=0,"–",IF(M3158&lt;=Start!$D$20,"A",IF(M3158&lt;=Start!$D$21,"B","C"))))</f>
        <v/>
      </c>
      <c r="O3158" s="48" t="str">
        <f aca="false">IF($A3158="","",IF(NOT(ISNUMBER(F3158)),"Wert fehlt; ",IF(F3158&lt;=0,"Wert ist 0; ",""))&amp;IF(NOT(ISNUMBER(E3158)),"Bestand fehlt; ",IF(E3158&lt;0,"Bestand negativ; ",IF(E3158=0,"Nullbestand; ","")))&amp;IF(D3158="","Warengruppe fehlt; ","")&amp;IF(B3158="","Bezeichnung fehlt; ","")&amp;IF(COUNTIFS($A$2:$A$5001,$A3158,$C$2:$C$5001,C3158)&gt;1,"Artikel doppelt im selben Lager; ",""))</f>
        <v/>
      </c>
      <c r="P3158" s="47" t="n">
        <f aca="false">IF(OR($A3158="",D3158=""),0,IF(COUNTIF($D$2:D3158,D3158)=1,SUMIF($D$2:$D$5001,D3158,$H$2:$H$5001)+ROW()/10000000,0))</f>
        <v>0</v>
      </c>
      <c r="Q3158" s="47" t="n">
        <f aca="false">IF(OR($A3158="",C3158=""),0,IF(COUNTIF($C$2:C3158,C3158)=1,SUMIF($C$2:$C$5001,C3158,$H$2:$H$5001)+ROW()/10000000,0))</f>
        <v>0</v>
      </c>
    </row>
    <row r="3159" customFormat="false" ht="15" hidden="false" customHeight="false" outlineLevel="0" collapsed="false">
      <c r="A3159" s="43"/>
      <c r="B3159" s="44"/>
      <c r="C3159" s="44"/>
      <c r="D3159" s="44"/>
      <c r="E3159" s="44"/>
      <c r="F3159" s="44"/>
      <c r="G3159" s="44"/>
      <c r="H3159" s="46" t="str">
        <f aca="false">IF($A3159="","",IF(OR(NOT(ISNUMBER(E3159)),NOT(ISNUMBER(F3159))),"",MAX(0,E3159)*F3159))</f>
        <v/>
      </c>
      <c r="I3159" s="46" t="str">
        <f aca="false">IF($A3159="","",SUMIF($A$2:$A$5001,$A3159,$H$2:$H$5001))</f>
        <v/>
      </c>
      <c r="J3159" s="47" t="n">
        <f aca="false">IF($A3159="",0,IF(COUNTIF($A$2:A3159,$A3159)=1,1,0))</f>
        <v>0</v>
      </c>
      <c r="K3159" s="47" t="n">
        <f aca="false">IF(J3159=1,N(I3159)+ROW()/10000000,0)</f>
        <v>0</v>
      </c>
      <c r="L3159" s="47" t="str">
        <f aca="false">IF(AND(J3159=1,N(I3159)&gt;0),SUMIF($K$2:$K$5001,"&gt;="&amp;K3159,$I$2:$I$5001)/MAX(1,SUM($H$2:$H$5001)),"")</f>
        <v/>
      </c>
      <c r="M3159" s="47" t="str">
        <f aca="false">IF($A3159="","",INDEX($L$2:$L$5001,MATCH($A3159,$A$2:$A$5001,0)))</f>
        <v/>
      </c>
      <c r="N3159" s="48" t="str">
        <f aca="false">IF($A3159="","",IF(N(M3159)=0,"–",IF(M3159&lt;=Start!$D$20,"A",IF(M3159&lt;=Start!$D$21,"B","C"))))</f>
        <v/>
      </c>
      <c r="O3159" s="48" t="str">
        <f aca="false">IF($A3159="","",IF(NOT(ISNUMBER(F3159)),"Wert fehlt; ",IF(F3159&lt;=0,"Wert ist 0; ",""))&amp;IF(NOT(ISNUMBER(E3159)),"Bestand fehlt; ",IF(E3159&lt;0,"Bestand negativ; ",IF(E3159=0,"Nullbestand; ","")))&amp;IF(D3159="","Warengruppe fehlt; ","")&amp;IF(B3159="","Bezeichnung fehlt; ","")&amp;IF(COUNTIFS($A$2:$A$5001,$A3159,$C$2:$C$5001,C3159)&gt;1,"Artikel doppelt im selben Lager; ",""))</f>
        <v/>
      </c>
      <c r="P3159" s="47" t="n">
        <f aca="false">IF(OR($A3159="",D3159=""),0,IF(COUNTIF($D$2:D3159,D3159)=1,SUMIF($D$2:$D$5001,D3159,$H$2:$H$5001)+ROW()/10000000,0))</f>
        <v>0</v>
      </c>
      <c r="Q3159" s="47" t="n">
        <f aca="false">IF(OR($A3159="",C3159=""),0,IF(COUNTIF($C$2:C3159,C3159)=1,SUMIF($C$2:$C$5001,C3159,$H$2:$H$5001)+ROW()/10000000,0))</f>
        <v>0</v>
      </c>
    </row>
    <row r="3160" customFormat="false" ht="15" hidden="false" customHeight="false" outlineLevel="0" collapsed="false">
      <c r="A3160" s="43"/>
      <c r="B3160" s="44"/>
      <c r="C3160" s="44"/>
      <c r="D3160" s="44"/>
      <c r="E3160" s="44"/>
      <c r="F3160" s="44"/>
      <c r="G3160" s="44"/>
      <c r="H3160" s="46" t="str">
        <f aca="false">IF($A3160="","",IF(OR(NOT(ISNUMBER(E3160)),NOT(ISNUMBER(F3160))),"",MAX(0,E3160)*F3160))</f>
        <v/>
      </c>
      <c r="I3160" s="46" t="str">
        <f aca="false">IF($A3160="","",SUMIF($A$2:$A$5001,$A3160,$H$2:$H$5001))</f>
        <v/>
      </c>
      <c r="J3160" s="47" t="n">
        <f aca="false">IF($A3160="",0,IF(COUNTIF($A$2:A3160,$A3160)=1,1,0))</f>
        <v>0</v>
      </c>
      <c r="K3160" s="47" t="n">
        <f aca="false">IF(J3160=1,N(I3160)+ROW()/10000000,0)</f>
        <v>0</v>
      </c>
      <c r="L3160" s="47" t="str">
        <f aca="false">IF(AND(J3160=1,N(I3160)&gt;0),SUMIF($K$2:$K$5001,"&gt;="&amp;K3160,$I$2:$I$5001)/MAX(1,SUM($H$2:$H$5001)),"")</f>
        <v/>
      </c>
      <c r="M3160" s="47" t="str">
        <f aca="false">IF($A3160="","",INDEX($L$2:$L$5001,MATCH($A3160,$A$2:$A$5001,0)))</f>
        <v/>
      </c>
      <c r="N3160" s="48" t="str">
        <f aca="false">IF($A3160="","",IF(N(M3160)=0,"–",IF(M3160&lt;=Start!$D$20,"A",IF(M3160&lt;=Start!$D$21,"B","C"))))</f>
        <v/>
      </c>
      <c r="O3160" s="48" t="str">
        <f aca="false">IF($A3160="","",IF(NOT(ISNUMBER(F3160)),"Wert fehlt; ",IF(F3160&lt;=0,"Wert ist 0; ",""))&amp;IF(NOT(ISNUMBER(E3160)),"Bestand fehlt; ",IF(E3160&lt;0,"Bestand negativ; ",IF(E3160=0,"Nullbestand; ","")))&amp;IF(D3160="","Warengruppe fehlt; ","")&amp;IF(B3160="","Bezeichnung fehlt; ","")&amp;IF(COUNTIFS($A$2:$A$5001,$A3160,$C$2:$C$5001,C3160)&gt;1,"Artikel doppelt im selben Lager; ",""))</f>
        <v/>
      </c>
      <c r="P3160" s="47" t="n">
        <f aca="false">IF(OR($A3160="",D3160=""),0,IF(COUNTIF($D$2:D3160,D3160)=1,SUMIF($D$2:$D$5001,D3160,$H$2:$H$5001)+ROW()/10000000,0))</f>
        <v>0</v>
      </c>
      <c r="Q3160" s="47" t="n">
        <f aca="false">IF(OR($A3160="",C3160=""),0,IF(COUNTIF($C$2:C3160,C3160)=1,SUMIF($C$2:$C$5001,C3160,$H$2:$H$5001)+ROW()/10000000,0))</f>
        <v>0</v>
      </c>
    </row>
    <row r="3161" customFormat="false" ht="15" hidden="false" customHeight="false" outlineLevel="0" collapsed="false">
      <c r="A3161" s="43"/>
      <c r="B3161" s="44"/>
      <c r="C3161" s="44"/>
      <c r="D3161" s="44"/>
      <c r="E3161" s="44"/>
      <c r="F3161" s="44"/>
      <c r="G3161" s="44"/>
      <c r="H3161" s="46" t="str">
        <f aca="false">IF($A3161="","",IF(OR(NOT(ISNUMBER(E3161)),NOT(ISNUMBER(F3161))),"",MAX(0,E3161)*F3161))</f>
        <v/>
      </c>
      <c r="I3161" s="46" t="str">
        <f aca="false">IF($A3161="","",SUMIF($A$2:$A$5001,$A3161,$H$2:$H$5001))</f>
        <v/>
      </c>
      <c r="J3161" s="47" t="n">
        <f aca="false">IF($A3161="",0,IF(COUNTIF($A$2:A3161,$A3161)=1,1,0))</f>
        <v>0</v>
      </c>
      <c r="K3161" s="47" t="n">
        <f aca="false">IF(J3161=1,N(I3161)+ROW()/10000000,0)</f>
        <v>0</v>
      </c>
      <c r="L3161" s="47" t="str">
        <f aca="false">IF(AND(J3161=1,N(I3161)&gt;0),SUMIF($K$2:$K$5001,"&gt;="&amp;K3161,$I$2:$I$5001)/MAX(1,SUM($H$2:$H$5001)),"")</f>
        <v/>
      </c>
      <c r="M3161" s="47" t="str">
        <f aca="false">IF($A3161="","",INDEX($L$2:$L$5001,MATCH($A3161,$A$2:$A$5001,0)))</f>
        <v/>
      </c>
      <c r="N3161" s="48" t="str">
        <f aca="false">IF($A3161="","",IF(N(M3161)=0,"–",IF(M3161&lt;=Start!$D$20,"A",IF(M3161&lt;=Start!$D$21,"B","C"))))</f>
        <v/>
      </c>
      <c r="O3161" s="48" t="str">
        <f aca="false">IF($A3161="","",IF(NOT(ISNUMBER(F3161)),"Wert fehlt; ",IF(F3161&lt;=0,"Wert ist 0; ",""))&amp;IF(NOT(ISNUMBER(E3161)),"Bestand fehlt; ",IF(E3161&lt;0,"Bestand negativ; ",IF(E3161=0,"Nullbestand; ","")))&amp;IF(D3161="","Warengruppe fehlt; ","")&amp;IF(B3161="","Bezeichnung fehlt; ","")&amp;IF(COUNTIFS($A$2:$A$5001,$A3161,$C$2:$C$5001,C3161)&gt;1,"Artikel doppelt im selben Lager; ",""))</f>
        <v/>
      </c>
      <c r="P3161" s="47" t="n">
        <f aca="false">IF(OR($A3161="",D3161=""),0,IF(COUNTIF($D$2:D3161,D3161)=1,SUMIF($D$2:$D$5001,D3161,$H$2:$H$5001)+ROW()/10000000,0))</f>
        <v>0</v>
      </c>
      <c r="Q3161" s="47" t="n">
        <f aca="false">IF(OR($A3161="",C3161=""),0,IF(COUNTIF($C$2:C3161,C3161)=1,SUMIF($C$2:$C$5001,C3161,$H$2:$H$5001)+ROW()/10000000,0))</f>
        <v>0</v>
      </c>
    </row>
    <row r="3162" customFormat="false" ht="15" hidden="false" customHeight="false" outlineLevel="0" collapsed="false">
      <c r="A3162" s="43"/>
      <c r="B3162" s="44"/>
      <c r="C3162" s="44"/>
      <c r="D3162" s="44"/>
      <c r="E3162" s="44"/>
      <c r="F3162" s="44"/>
      <c r="G3162" s="44"/>
      <c r="H3162" s="46" t="str">
        <f aca="false">IF($A3162="","",IF(OR(NOT(ISNUMBER(E3162)),NOT(ISNUMBER(F3162))),"",MAX(0,E3162)*F3162))</f>
        <v/>
      </c>
      <c r="I3162" s="46" t="str">
        <f aca="false">IF($A3162="","",SUMIF($A$2:$A$5001,$A3162,$H$2:$H$5001))</f>
        <v/>
      </c>
      <c r="J3162" s="47" t="n">
        <f aca="false">IF($A3162="",0,IF(COUNTIF($A$2:A3162,$A3162)=1,1,0))</f>
        <v>0</v>
      </c>
      <c r="K3162" s="47" t="n">
        <f aca="false">IF(J3162=1,N(I3162)+ROW()/10000000,0)</f>
        <v>0</v>
      </c>
      <c r="L3162" s="47" t="str">
        <f aca="false">IF(AND(J3162=1,N(I3162)&gt;0),SUMIF($K$2:$K$5001,"&gt;="&amp;K3162,$I$2:$I$5001)/MAX(1,SUM($H$2:$H$5001)),"")</f>
        <v/>
      </c>
      <c r="M3162" s="47" t="str">
        <f aca="false">IF($A3162="","",INDEX($L$2:$L$5001,MATCH($A3162,$A$2:$A$5001,0)))</f>
        <v/>
      </c>
      <c r="N3162" s="48" t="str">
        <f aca="false">IF($A3162="","",IF(N(M3162)=0,"–",IF(M3162&lt;=Start!$D$20,"A",IF(M3162&lt;=Start!$D$21,"B","C"))))</f>
        <v/>
      </c>
      <c r="O3162" s="48" t="str">
        <f aca="false">IF($A3162="","",IF(NOT(ISNUMBER(F3162)),"Wert fehlt; ",IF(F3162&lt;=0,"Wert ist 0; ",""))&amp;IF(NOT(ISNUMBER(E3162)),"Bestand fehlt; ",IF(E3162&lt;0,"Bestand negativ; ",IF(E3162=0,"Nullbestand; ","")))&amp;IF(D3162="","Warengruppe fehlt; ","")&amp;IF(B3162="","Bezeichnung fehlt; ","")&amp;IF(COUNTIFS($A$2:$A$5001,$A3162,$C$2:$C$5001,C3162)&gt;1,"Artikel doppelt im selben Lager; ",""))</f>
        <v/>
      </c>
      <c r="P3162" s="47" t="n">
        <f aca="false">IF(OR($A3162="",D3162=""),0,IF(COUNTIF($D$2:D3162,D3162)=1,SUMIF($D$2:$D$5001,D3162,$H$2:$H$5001)+ROW()/10000000,0))</f>
        <v>0</v>
      </c>
      <c r="Q3162" s="47" t="n">
        <f aca="false">IF(OR($A3162="",C3162=""),0,IF(COUNTIF($C$2:C3162,C3162)=1,SUMIF($C$2:$C$5001,C3162,$H$2:$H$5001)+ROW()/10000000,0))</f>
        <v>0</v>
      </c>
    </row>
    <row r="3163" customFormat="false" ht="15" hidden="false" customHeight="false" outlineLevel="0" collapsed="false">
      <c r="A3163" s="43"/>
      <c r="B3163" s="44"/>
      <c r="C3163" s="44"/>
      <c r="D3163" s="44"/>
      <c r="E3163" s="44"/>
      <c r="F3163" s="44"/>
      <c r="G3163" s="44"/>
      <c r="H3163" s="46" t="str">
        <f aca="false">IF($A3163="","",IF(OR(NOT(ISNUMBER(E3163)),NOT(ISNUMBER(F3163))),"",MAX(0,E3163)*F3163))</f>
        <v/>
      </c>
      <c r="I3163" s="46" t="str">
        <f aca="false">IF($A3163="","",SUMIF($A$2:$A$5001,$A3163,$H$2:$H$5001))</f>
        <v/>
      </c>
      <c r="J3163" s="47" t="n">
        <f aca="false">IF($A3163="",0,IF(COUNTIF($A$2:A3163,$A3163)=1,1,0))</f>
        <v>0</v>
      </c>
      <c r="K3163" s="47" t="n">
        <f aca="false">IF(J3163=1,N(I3163)+ROW()/10000000,0)</f>
        <v>0</v>
      </c>
      <c r="L3163" s="47" t="str">
        <f aca="false">IF(AND(J3163=1,N(I3163)&gt;0),SUMIF($K$2:$K$5001,"&gt;="&amp;K3163,$I$2:$I$5001)/MAX(1,SUM($H$2:$H$5001)),"")</f>
        <v/>
      </c>
      <c r="M3163" s="47" t="str">
        <f aca="false">IF($A3163="","",INDEX($L$2:$L$5001,MATCH($A3163,$A$2:$A$5001,0)))</f>
        <v/>
      </c>
      <c r="N3163" s="48" t="str">
        <f aca="false">IF($A3163="","",IF(N(M3163)=0,"–",IF(M3163&lt;=Start!$D$20,"A",IF(M3163&lt;=Start!$D$21,"B","C"))))</f>
        <v/>
      </c>
      <c r="O3163" s="48" t="str">
        <f aca="false">IF($A3163="","",IF(NOT(ISNUMBER(F3163)),"Wert fehlt; ",IF(F3163&lt;=0,"Wert ist 0; ",""))&amp;IF(NOT(ISNUMBER(E3163)),"Bestand fehlt; ",IF(E3163&lt;0,"Bestand negativ; ",IF(E3163=0,"Nullbestand; ","")))&amp;IF(D3163="","Warengruppe fehlt; ","")&amp;IF(B3163="","Bezeichnung fehlt; ","")&amp;IF(COUNTIFS($A$2:$A$5001,$A3163,$C$2:$C$5001,C3163)&gt;1,"Artikel doppelt im selben Lager; ",""))</f>
        <v/>
      </c>
      <c r="P3163" s="47" t="n">
        <f aca="false">IF(OR($A3163="",D3163=""),0,IF(COUNTIF($D$2:D3163,D3163)=1,SUMIF($D$2:$D$5001,D3163,$H$2:$H$5001)+ROW()/10000000,0))</f>
        <v>0</v>
      </c>
      <c r="Q3163" s="47" t="n">
        <f aca="false">IF(OR($A3163="",C3163=""),0,IF(COUNTIF($C$2:C3163,C3163)=1,SUMIF($C$2:$C$5001,C3163,$H$2:$H$5001)+ROW()/10000000,0))</f>
        <v>0</v>
      </c>
    </row>
    <row r="3164" customFormat="false" ht="15" hidden="false" customHeight="false" outlineLevel="0" collapsed="false">
      <c r="A3164" s="43"/>
      <c r="B3164" s="44"/>
      <c r="C3164" s="44"/>
      <c r="D3164" s="44"/>
      <c r="E3164" s="44"/>
      <c r="F3164" s="44"/>
      <c r="G3164" s="44"/>
      <c r="H3164" s="46" t="str">
        <f aca="false">IF($A3164="","",IF(OR(NOT(ISNUMBER(E3164)),NOT(ISNUMBER(F3164))),"",MAX(0,E3164)*F3164))</f>
        <v/>
      </c>
      <c r="I3164" s="46" t="str">
        <f aca="false">IF($A3164="","",SUMIF($A$2:$A$5001,$A3164,$H$2:$H$5001))</f>
        <v/>
      </c>
      <c r="J3164" s="47" t="n">
        <f aca="false">IF($A3164="",0,IF(COUNTIF($A$2:A3164,$A3164)=1,1,0))</f>
        <v>0</v>
      </c>
      <c r="K3164" s="47" t="n">
        <f aca="false">IF(J3164=1,N(I3164)+ROW()/10000000,0)</f>
        <v>0</v>
      </c>
      <c r="L3164" s="47" t="str">
        <f aca="false">IF(AND(J3164=1,N(I3164)&gt;0),SUMIF($K$2:$K$5001,"&gt;="&amp;K3164,$I$2:$I$5001)/MAX(1,SUM($H$2:$H$5001)),"")</f>
        <v/>
      </c>
      <c r="M3164" s="47" t="str">
        <f aca="false">IF($A3164="","",INDEX($L$2:$L$5001,MATCH($A3164,$A$2:$A$5001,0)))</f>
        <v/>
      </c>
      <c r="N3164" s="48" t="str">
        <f aca="false">IF($A3164="","",IF(N(M3164)=0,"–",IF(M3164&lt;=Start!$D$20,"A",IF(M3164&lt;=Start!$D$21,"B","C"))))</f>
        <v/>
      </c>
      <c r="O3164" s="48" t="str">
        <f aca="false">IF($A3164="","",IF(NOT(ISNUMBER(F3164)),"Wert fehlt; ",IF(F3164&lt;=0,"Wert ist 0; ",""))&amp;IF(NOT(ISNUMBER(E3164)),"Bestand fehlt; ",IF(E3164&lt;0,"Bestand negativ; ",IF(E3164=0,"Nullbestand; ","")))&amp;IF(D3164="","Warengruppe fehlt; ","")&amp;IF(B3164="","Bezeichnung fehlt; ","")&amp;IF(COUNTIFS($A$2:$A$5001,$A3164,$C$2:$C$5001,C3164)&gt;1,"Artikel doppelt im selben Lager; ",""))</f>
        <v/>
      </c>
      <c r="P3164" s="47" t="n">
        <f aca="false">IF(OR($A3164="",D3164=""),0,IF(COUNTIF($D$2:D3164,D3164)=1,SUMIF($D$2:$D$5001,D3164,$H$2:$H$5001)+ROW()/10000000,0))</f>
        <v>0</v>
      </c>
      <c r="Q3164" s="47" t="n">
        <f aca="false">IF(OR($A3164="",C3164=""),0,IF(COUNTIF($C$2:C3164,C3164)=1,SUMIF($C$2:$C$5001,C3164,$H$2:$H$5001)+ROW()/10000000,0))</f>
        <v>0</v>
      </c>
    </row>
    <row r="3165" customFormat="false" ht="15" hidden="false" customHeight="false" outlineLevel="0" collapsed="false">
      <c r="A3165" s="43"/>
      <c r="B3165" s="44"/>
      <c r="C3165" s="44"/>
      <c r="D3165" s="44"/>
      <c r="E3165" s="44"/>
      <c r="F3165" s="44"/>
      <c r="G3165" s="44"/>
      <c r="H3165" s="46" t="str">
        <f aca="false">IF($A3165="","",IF(OR(NOT(ISNUMBER(E3165)),NOT(ISNUMBER(F3165))),"",MAX(0,E3165)*F3165))</f>
        <v/>
      </c>
      <c r="I3165" s="46" t="str">
        <f aca="false">IF($A3165="","",SUMIF($A$2:$A$5001,$A3165,$H$2:$H$5001))</f>
        <v/>
      </c>
      <c r="J3165" s="47" t="n">
        <f aca="false">IF($A3165="",0,IF(COUNTIF($A$2:A3165,$A3165)=1,1,0))</f>
        <v>0</v>
      </c>
      <c r="K3165" s="47" t="n">
        <f aca="false">IF(J3165=1,N(I3165)+ROW()/10000000,0)</f>
        <v>0</v>
      </c>
      <c r="L3165" s="47" t="str">
        <f aca="false">IF(AND(J3165=1,N(I3165)&gt;0),SUMIF($K$2:$K$5001,"&gt;="&amp;K3165,$I$2:$I$5001)/MAX(1,SUM($H$2:$H$5001)),"")</f>
        <v/>
      </c>
      <c r="M3165" s="47" t="str">
        <f aca="false">IF($A3165="","",INDEX($L$2:$L$5001,MATCH($A3165,$A$2:$A$5001,0)))</f>
        <v/>
      </c>
      <c r="N3165" s="48" t="str">
        <f aca="false">IF($A3165="","",IF(N(M3165)=0,"–",IF(M3165&lt;=Start!$D$20,"A",IF(M3165&lt;=Start!$D$21,"B","C"))))</f>
        <v/>
      </c>
      <c r="O3165" s="48" t="str">
        <f aca="false">IF($A3165="","",IF(NOT(ISNUMBER(F3165)),"Wert fehlt; ",IF(F3165&lt;=0,"Wert ist 0; ",""))&amp;IF(NOT(ISNUMBER(E3165)),"Bestand fehlt; ",IF(E3165&lt;0,"Bestand negativ; ",IF(E3165=0,"Nullbestand; ","")))&amp;IF(D3165="","Warengruppe fehlt; ","")&amp;IF(B3165="","Bezeichnung fehlt; ","")&amp;IF(COUNTIFS($A$2:$A$5001,$A3165,$C$2:$C$5001,C3165)&gt;1,"Artikel doppelt im selben Lager; ",""))</f>
        <v/>
      </c>
      <c r="P3165" s="47" t="n">
        <f aca="false">IF(OR($A3165="",D3165=""),0,IF(COUNTIF($D$2:D3165,D3165)=1,SUMIF($D$2:$D$5001,D3165,$H$2:$H$5001)+ROW()/10000000,0))</f>
        <v>0</v>
      </c>
      <c r="Q3165" s="47" t="n">
        <f aca="false">IF(OR($A3165="",C3165=""),0,IF(COUNTIF($C$2:C3165,C3165)=1,SUMIF($C$2:$C$5001,C3165,$H$2:$H$5001)+ROW()/10000000,0))</f>
        <v>0</v>
      </c>
    </row>
    <row r="3166" customFormat="false" ht="15" hidden="false" customHeight="false" outlineLevel="0" collapsed="false">
      <c r="A3166" s="43"/>
      <c r="B3166" s="44"/>
      <c r="C3166" s="44"/>
      <c r="D3166" s="44"/>
      <c r="E3166" s="44"/>
      <c r="F3166" s="44"/>
      <c r="G3166" s="44"/>
      <c r="H3166" s="46" t="str">
        <f aca="false">IF($A3166="","",IF(OR(NOT(ISNUMBER(E3166)),NOT(ISNUMBER(F3166))),"",MAX(0,E3166)*F3166))</f>
        <v/>
      </c>
      <c r="I3166" s="46" t="str">
        <f aca="false">IF($A3166="","",SUMIF($A$2:$A$5001,$A3166,$H$2:$H$5001))</f>
        <v/>
      </c>
      <c r="J3166" s="47" t="n">
        <f aca="false">IF($A3166="",0,IF(COUNTIF($A$2:A3166,$A3166)=1,1,0))</f>
        <v>0</v>
      </c>
      <c r="K3166" s="47" t="n">
        <f aca="false">IF(J3166=1,N(I3166)+ROW()/10000000,0)</f>
        <v>0</v>
      </c>
      <c r="L3166" s="47" t="str">
        <f aca="false">IF(AND(J3166=1,N(I3166)&gt;0),SUMIF($K$2:$K$5001,"&gt;="&amp;K3166,$I$2:$I$5001)/MAX(1,SUM($H$2:$H$5001)),"")</f>
        <v/>
      </c>
      <c r="M3166" s="47" t="str">
        <f aca="false">IF($A3166="","",INDEX($L$2:$L$5001,MATCH($A3166,$A$2:$A$5001,0)))</f>
        <v/>
      </c>
      <c r="N3166" s="48" t="str">
        <f aca="false">IF($A3166="","",IF(N(M3166)=0,"–",IF(M3166&lt;=Start!$D$20,"A",IF(M3166&lt;=Start!$D$21,"B","C"))))</f>
        <v/>
      </c>
      <c r="O3166" s="48" t="str">
        <f aca="false">IF($A3166="","",IF(NOT(ISNUMBER(F3166)),"Wert fehlt; ",IF(F3166&lt;=0,"Wert ist 0; ",""))&amp;IF(NOT(ISNUMBER(E3166)),"Bestand fehlt; ",IF(E3166&lt;0,"Bestand negativ; ",IF(E3166=0,"Nullbestand; ","")))&amp;IF(D3166="","Warengruppe fehlt; ","")&amp;IF(B3166="","Bezeichnung fehlt; ","")&amp;IF(COUNTIFS($A$2:$A$5001,$A3166,$C$2:$C$5001,C3166)&gt;1,"Artikel doppelt im selben Lager; ",""))</f>
        <v/>
      </c>
      <c r="P3166" s="47" t="n">
        <f aca="false">IF(OR($A3166="",D3166=""),0,IF(COUNTIF($D$2:D3166,D3166)=1,SUMIF($D$2:$D$5001,D3166,$H$2:$H$5001)+ROW()/10000000,0))</f>
        <v>0</v>
      </c>
      <c r="Q3166" s="47" t="n">
        <f aca="false">IF(OR($A3166="",C3166=""),0,IF(COUNTIF($C$2:C3166,C3166)=1,SUMIF($C$2:$C$5001,C3166,$H$2:$H$5001)+ROW()/10000000,0))</f>
        <v>0</v>
      </c>
    </row>
    <row r="3167" customFormat="false" ht="15" hidden="false" customHeight="false" outlineLevel="0" collapsed="false">
      <c r="A3167" s="43"/>
      <c r="B3167" s="44"/>
      <c r="C3167" s="44"/>
      <c r="D3167" s="44"/>
      <c r="E3167" s="44"/>
      <c r="F3167" s="44"/>
      <c r="G3167" s="44"/>
      <c r="H3167" s="46" t="str">
        <f aca="false">IF($A3167="","",IF(OR(NOT(ISNUMBER(E3167)),NOT(ISNUMBER(F3167))),"",MAX(0,E3167)*F3167))</f>
        <v/>
      </c>
      <c r="I3167" s="46" t="str">
        <f aca="false">IF($A3167="","",SUMIF($A$2:$A$5001,$A3167,$H$2:$H$5001))</f>
        <v/>
      </c>
      <c r="J3167" s="47" t="n">
        <f aca="false">IF($A3167="",0,IF(COUNTIF($A$2:A3167,$A3167)=1,1,0))</f>
        <v>0</v>
      </c>
      <c r="K3167" s="47" t="n">
        <f aca="false">IF(J3167=1,N(I3167)+ROW()/10000000,0)</f>
        <v>0</v>
      </c>
      <c r="L3167" s="47" t="str">
        <f aca="false">IF(AND(J3167=1,N(I3167)&gt;0),SUMIF($K$2:$K$5001,"&gt;="&amp;K3167,$I$2:$I$5001)/MAX(1,SUM($H$2:$H$5001)),"")</f>
        <v/>
      </c>
      <c r="M3167" s="47" t="str">
        <f aca="false">IF($A3167="","",INDEX($L$2:$L$5001,MATCH($A3167,$A$2:$A$5001,0)))</f>
        <v/>
      </c>
      <c r="N3167" s="48" t="str">
        <f aca="false">IF($A3167="","",IF(N(M3167)=0,"–",IF(M3167&lt;=Start!$D$20,"A",IF(M3167&lt;=Start!$D$21,"B","C"))))</f>
        <v/>
      </c>
      <c r="O3167" s="48" t="str">
        <f aca="false">IF($A3167="","",IF(NOT(ISNUMBER(F3167)),"Wert fehlt; ",IF(F3167&lt;=0,"Wert ist 0; ",""))&amp;IF(NOT(ISNUMBER(E3167)),"Bestand fehlt; ",IF(E3167&lt;0,"Bestand negativ; ",IF(E3167=0,"Nullbestand; ","")))&amp;IF(D3167="","Warengruppe fehlt; ","")&amp;IF(B3167="","Bezeichnung fehlt; ","")&amp;IF(COUNTIFS($A$2:$A$5001,$A3167,$C$2:$C$5001,C3167)&gt;1,"Artikel doppelt im selben Lager; ",""))</f>
        <v/>
      </c>
      <c r="P3167" s="47" t="n">
        <f aca="false">IF(OR($A3167="",D3167=""),0,IF(COUNTIF($D$2:D3167,D3167)=1,SUMIF($D$2:$D$5001,D3167,$H$2:$H$5001)+ROW()/10000000,0))</f>
        <v>0</v>
      </c>
      <c r="Q3167" s="47" t="n">
        <f aca="false">IF(OR($A3167="",C3167=""),0,IF(COUNTIF($C$2:C3167,C3167)=1,SUMIF($C$2:$C$5001,C3167,$H$2:$H$5001)+ROW()/10000000,0))</f>
        <v>0</v>
      </c>
    </row>
    <row r="3168" customFormat="false" ht="15" hidden="false" customHeight="false" outlineLevel="0" collapsed="false">
      <c r="A3168" s="43"/>
      <c r="B3168" s="44"/>
      <c r="C3168" s="44"/>
      <c r="D3168" s="44"/>
      <c r="E3168" s="44"/>
      <c r="F3168" s="44"/>
      <c r="G3168" s="44"/>
      <c r="H3168" s="46" t="str">
        <f aca="false">IF($A3168="","",IF(OR(NOT(ISNUMBER(E3168)),NOT(ISNUMBER(F3168))),"",MAX(0,E3168)*F3168))</f>
        <v/>
      </c>
      <c r="I3168" s="46" t="str">
        <f aca="false">IF($A3168="","",SUMIF($A$2:$A$5001,$A3168,$H$2:$H$5001))</f>
        <v/>
      </c>
      <c r="J3168" s="47" t="n">
        <f aca="false">IF($A3168="",0,IF(COUNTIF($A$2:A3168,$A3168)=1,1,0))</f>
        <v>0</v>
      </c>
      <c r="K3168" s="47" t="n">
        <f aca="false">IF(J3168=1,N(I3168)+ROW()/10000000,0)</f>
        <v>0</v>
      </c>
      <c r="L3168" s="47" t="str">
        <f aca="false">IF(AND(J3168=1,N(I3168)&gt;0),SUMIF($K$2:$K$5001,"&gt;="&amp;K3168,$I$2:$I$5001)/MAX(1,SUM($H$2:$H$5001)),"")</f>
        <v/>
      </c>
      <c r="M3168" s="47" t="str">
        <f aca="false">IF($A3168="","",INDEX($L$2:$L$5001,MATCH($A3168,$A$2:$A$5001,0)))</f>
        <v/>
      </c>
      <c r="N3168" s="48" t="str">
        <f aca="false">IF($A3168="","",IF(N(M3168)=0,"–",IF(M3168&lt;=Start!$D$20,"A",IF(M3168&lt;=Start!$D$21,"B","C"))))</f>
        <v/>
      </c>
      <c r="O3168" s="48" t="str">
        <f aca="false">IF($A3168="","",IF(NOT(ISNUMBER(F3168)),"Wert fehlt; ",IF(F3168&lt;=0,"Wert ist 0; ",""))&amp;IF(NOT(ISNUMBER(E3168)),"Bestand fehlt; ",IF(E3168&lt;0,"Bestand negativ; ",IF(E3168=0,"Nullbestand; ","")))&amp;IF(D3168="","Warengruppe fehlt; ","")&amp;IF(B3168="","Bezeichnung fehlt; ","")&amp;IF(COUNTIFS($A$2:$A$5001,$A3168,$C$2:$C$5001,C3168)&gt;1,"Artikel doppelt im selben Lager; ",""))</f>
        <v/>
      </c>
      <c r="P3168" s="47" t="n">
        <f aca="false">IF(OR($A3168="",D3168=""),0,IF(COUNTIF($D$2:D3168,D3168)=1,SUMIF($D$2:$D$5001,D3168,$H$2:$H$5001)+ROW()/10000000,0))</f>
        <v>0</v>
      </c>
      <c r="Q3168" s="47" t="n">
        <f aca="false">IF(OR($A3168="",C3168=""),0,IF(COUNTIF($C$2:C3168,C3168)=1,SUMIF($C$2:$C$5001,C3168,$H$2:$H$5001)+ROW()/10000000,0))</f>
        <v>0</v>
      </c>
    </row>
    <row r="3169" customFormat="false" ht="15" hidden="false" customHeight="false" outlineLevel="0" collapsed="false">
      <c r="A3169" s="43"/>
      <c r="B3169" s="44"/>
      <c r="C3169" s="44"/>
      <c r="D3169" s="44"/>
      <c r="E3169" s="44"/>
      <c r="F3169" s="44"/>
      <c r="G3169" s="44"/>
      <c r="H3169" s="46" t="str">
        <f aca="false">IF($A3169="","",IF(OR(NOT(ISNUMBER(E3169)),NOT(ISNUMBER(F3169))),"",MAX(0,E3169)*F3169))</f>
        <v/>
      </c>
      <c r="I3169" s="46" t="str">
        <f aca="false">IF($A3169="","",SUMIF($A$2:$A$5001,$A3169,$H$2:$H$5001))</f>
        <v/>
      </c>
      <c r="J3169" s="47" t="n">
        <f aca="false">IF($A3169="",0,IF(COUNTIF($A$2:A3169,$A3169)=1,1,0))</f>
        <v>0</v>
      </c>
      <c r="K3169" s="47" t="n">
        <f aca="false">IF(J3169=1,N(I3169)+ROW()/10000000,0)</f>
        <v>0</v>
      </c>
      <c r="L3169" s="47" t="str">
        <f aca="false">IF(AND(J3169=1,N(I3169)&gt;0),SUMIF($K$2:$K$5001,"&gt;="&amp;K3169,$I$2:$I$5001)/MAX(1,SUM($H$2:$H$5001)),"")</f>
        <v/>
      </c>
      <c r="M3169" s="47" t="str">
        <f aca="false">IF($A3169="","",INDEX($L$2:$L$5001,MATCH($A3169,$A$2:$A$5001,0)))</f>
        <v/>
      </c>
      <c r="N3169" s="48" t="str">
        <f aca="false">IF($A3169="","",IF(N(M3169)=0,"–",IF(M3169&lt;=Start!$D$20,"A",IF(M3169&lt;=Start!$D$21,"B","C"))))</f>
        <v/>
      </c>
      <c r="O3169" s="48" t="str">
        <f aca="false">IF($A3169="","",IF(NOT(ISNUMBER(F3169)),"Wert fehlt; ",IF(F3169&lt;=0,"Wert ist 0; ",""))&amp;IF(NOT(ISNUMBER(E3169)),"Bestand fehlt; ",IF(E3169&lt;0,"Bestand negativ; ",IF(E3169=0,"Nullbestand; ","")))&amp;IF(D3169="","Warengruppe fehlt; ","")&amp;IF(B3169="","Bezeichnung fehlt; ","")&amp;IF(COUNTIFS($A$2:$A$5001,$A3169,$C$2:$C$5001,C3169)&gt;1,"Artikel doppelt im selben Lager; ",""))</f>
        <v/>
      </c>
      <c r="P3169" s="47" t="n">
        <f aca="false">IF(OR($A3169="",D3169=""),0,IF(COUNTIF($D$2:D3169,D3169)=1,SUMIF($D$2:$D$5001,D3169,$H$2:$H$5001)+ROW()/10000000,0))</f>
        <v>0</v>
      </c>
      <c r="Q3169" s="47" t="n">
        <f aca="false">IF(OR($A3169="",C3169=""),0,IF(COUNTIF($C$2:C3169,C3169)=1,SUMIF($C$2:$C$5001,C3169,$H$2:$H$5001)+ROW()/10000000,0))</f>
        <v>0</v>
      </c>
    </row>
    <row r="3170" customFormat="false" ht="15" hidden="false" customHeight="false" outlineLevel="0" collapsed="false">
      <c r="A3170" s="43"/>
      <c r="B3170" s="44"/>
      <c r="C3170" s="44"/>
      <c r="D3170" s="44"/>
      <c r="E3170" s="44"/>
      <c r="F3170" s="44"/>
      <c r="G3170" s="44"/>
      <c r="H3170" s="46" t="str">
        <f aca="false">IF($A3170="","",IF(OR(NOT(ISNUMBER(E3170)),NOT(ISNUMBER(F3170))),"",MAX(0,E3170)*F3170))</f>
        <v/>
      </c>
      <c r="I3170" s="46" t="str">
        <f aca="false">IF($A3170="","",SUMIF($A$2:$A$5001,$A3170,$H$2:$H$5001))</f>
        <v/>
      </c>
      <c r="J3170" s="47" t="n">
        <f aca="false">IF($A3170="",0,IF(COUNTIF($A$2:A3170,$A3170)=1,1,0))</f>
        <v>0</v>
      </c>
      <c r="K3170" s="47" t="n">
        <f aca="false">IF(J3170=1,N(I3170)+ROW()/10000000,0)</f>
        <v>0</v>
      </c>
      <c r="L3170" s="47" t="str">
        <f aca="false">IF(AND(J3170=1,N(I3170)&gt;0),SUMIF($K$2:$K$5001,"&gt;="&amp;K3170,$I$2:$I$5001)/MAX(1,SUM($H$2:$H$5001)),"")</f>
        <v/>
      </c>
      <c r="M3170" s="47" t="str">
        <f aca="false">IF($A3170="","",INDEX($L$2:$L$5001,MATCH($A3170,$A$2:$A$5001,0)))</f>
        <v/>
      </c>
      <c r="N3170" s="48" t="str">
        <f aca="false">IF($A3170="","",IF(N(M3170)=0,"–",IF(M3170&lt;=Start!$D$20,"A",IF(M3170&lt;=Start!$D$21,"B","C"))))</f>
        <v/>
      </c>
      <c r="O3170" s="48" t="str">
        <f aca="false">IF($A3170="","",IF(NOT(ISNUMBER(F3170)),"Wert fehlt; ",IF(F3170&lt;=0,"Wert ist 0; ",""))&amp;IF(NOT(ISNUMBER(E3170)),"Bestand fehlt; ",IF(E3170&lt;0,"Bestand negativ; ",IF(E3170=0,"Nullbestand; ","")))&amp;IF(D3170="","Warengruppe fehlt; ","")&amp;IF(B3170="","Bezeichnung fehlt; ","")&amp;IF(COUNTIFS($A$2:$A$5001,$A3170,$C$2:$C$5001,C3170)&gt;1,"Artikel doppelt im selben Lager; ",""))</f>
        <v/>
      </c>
      <c r="P3170" s="47" t="n">
        <f aca="false">IF(OR($A3170="",D3170=""),0,IF(COUNTIF($D$2:D3170,D3170)=1,SUMIF($D$2:$D$5001,D3170,$H$2:$H$5001)+ROW()/10000000,0))</f>
        <v>0</v>
      </c>
      <c r="Q3170" s="47" t="n">
        <f aca="false">IF(OR($A3170="",C3170=""),0,IF(COUNTIF($C$2:C3170,C3170)=1,SUMIF($C$2:$C$5001,C3170,$H$2:$H$5001)+ROW()/10000000,0))</f>
        <v>0</v>
      </c>
    </row>
    <row r="3171" customFormat="false" ht="15" hidden="false" customHeight="false" outlineLevel="0" collapsed="false">
      <c r="A3171" s="43"/>
      <c r="B3171" s="44"/>
      <c r="C3171" s="44"/>
      <c r="D3171" s="44"/>
      <c r="E3171" s="44"/>
      <c r="F3171" s="44"/>
      <c r="G3171" s="44"/>
      <c r="H3171" s="46" t="str">
        <f aca="false">IF($A3171="","",IF(OR(NOT(ISNUMBER(E3171)),NOT(ISNUMBER(F3171))),"",MAX(0,E3171)*F3171))</f>
        <v/>
      </c>
      <c r="I3171" s="46" t="str">
        <f aca="false">IF($A3171="","",SUMIF($A$2:$A$5001,$A3171,$H$2:$H$5001))</f>
        <v/>
      </c>
      <c r="J3171" s="47" t="n">
        <f aca="false">IF($A3171="",0,IF(COUNTIF($A$2:A3171,$A3171)=1,1,0))</f>
        <v>0</v>
      </c>
      <c r="K3171" s="47" t="n">
        <f aca="false">IF(J3171=1,N(I3171)+ROW()/10000000,0)</f>
        <v>0</v>
      </c>
      <c r="L3171" s="47" t="str">
        <f aca="false">IF(AND(J3171=1,N(I3171)&gt;0),SUMIF($K$2:$K$5001,"&gt;="&amp;K3171,$I$2:$I$5001)/MAX(1,SUM($H$2:$H$5001)),"")</f>
        <v/>
      </c>
      <c r="M3171" s="47" t="str">
        <f aca="false">IF($A3171="","",INDEX($L$2:$L$5001,MATCH($A3171,$A$2:$A$5001,0)))</f>
        <v/>
      </c>
      <c r="N3171" s="48" t="str">
        <f aca="false">IF($A3171="","",IF(N(M3171)=0,"–",IF(M3171&lt;=Start!$D$20,"A",IF(M3171&lt;=Start!$D$21,"B","C"))))</f>
        <v/>
      </c>
      <c r="O3171" s="48" t="str">
        <f aca="false">IF($A3171="","",IF(NOT(ISNUMBER(F3171)),"Wert fehlt; ",IF(F3171&lt;=0,"Wert ist 0; ",""))&amp;IF(NOT(ISNUMBER(E3171)),"Bestand fehlt; ",IF(E3171&lt;0,"Bestand negativ; ",IF(E3171=0,"Nullbestand; ","")))&amp;IF(D3171="","Warengruppe fehlt; ","")&amp;IF(B3171="","Bezeichnung fehlt; ","")&amp;IF(COUNTIFS($A$2:$A$5001,$A3171,$C$2:$C$5001,C3171)&gt;1,"Artikel doppelt im selben Lager; ",""))</f>
        <v/>
      </c>
      <c r="P3171" s="47" t="n">
        <f aca="false">IF(OR($A3171="",D3171=""),0,IF(COUNTIF($D$2:D3171,D3171)=1,SUMIF($D$2:$D$5001,D3171,$H$2:$H$5001)+ROW()/10000000,0))</f>
        <v>0</v>
      </c>
      <c r="Q3171" s="47" t="n">
        <f aca="false">IF(OR($A3171="",C3171=""),0,IF(COUNTIF($C$2:C3171,C3171)=1,SUMIF($C$2:$C$5001,C3171,$H$2:$H$5001)+ROW()/10000000,0))</f>
        <v>0</v>
      </c>
    </row>
    <row r="3172" customFormat="false" ht="15" hidden="false" customHeight="false" outlineLevel="0" collapsed="false">
      <c r="A3172" s="43"/>
      <c r="B3172" s="44"/>
      <c r="C3172" s="44"/>
      <c r="D3172" s="44"/>
      <c r="E3172" s="44"/>
      <c r="F3172" s="44"/>
      <c r="G3172" s="44"/>
      <c r="H3172" s="46" t="str">
        <f aca="false">IF($A3172="","",IF(OR(NOT(ISNUMBER(E3172)),NOT(ISNUMBER(F3172))),"",MAX(0,E3172)*F3172))</f>
        <v/>
      </c>
      <c r="I3172" s="46" t="str">
        <f aca="false">IF($A3172="","",SUMIF($A$2:$A$5001,$A3172,$H$2:$H$5001))</f>
        <v/>
      </c>
      <c r="J3172" s="47" t="n">
        <f aca="false">IF($A3172="",0,IF(COUNTIF($A$2:A3172,$A3172)=1,1,0))</f>
        <v>0</v>
      </c>
      <c r="K3172" s="47" t="n">
        <f aca="false">IF(J3172=1,N(I3172)+ROW()/10000000,0)</f>
        <v>0</v>
      </c>
      <c r="L3172" s="47" t="str">
        <f aca="false">IF(AND(J3172=1,N(I3172)&gt;0),SUMIF($K$2:$K$5001,"&gt;="&amp;K3172,$I$2:$I$5001)/MAX(1,SUM($H$2:$H$5001)),"")</f>
        <v/>
      </c>
      <c r="M3172" s="47" t="str">
        <f aca="false">IF($A3172="","",INDEX($L$2:$L$5001,MATCH($A3172,$A$2:$A$5001,0)))</f>
        <v/>
      </c>
      <c r="N3172" s="48" t="str">
        <f aca="false">IF($A3172="","",IF(N(M3172)=0,"–",IF(M3172&lt;=Start!$D$20,"A",IF(M3172&lt;=Start!$D$21,"B","C"))))</f>
        <v/>
      </c>
      <c r="O3172" s="48" t="str">
        <f aca="false">IF($A3172="","",IF(NOT(ISNUMBER(F3172)),"Wert fehlt; ",IF(F3172&lt;=0,"Wert ist 0; ",""))&amp;IF(NOT(ISNUMBER(E3172)),"Bestand fehlt; ",IF(E3172&lt;0,"Bestand negativ; ",IF(E3172=0,"Nullbestand; ","")))&amp;IF(D3172="","Warengruppe fehlt; ","")&amp;IF(B3172="","Bezeichnung fehlt; ","")&amp;IF(COUNTIFS($A$2:$A$5001,$A3172,$C$2:$C$5001,C3172)&gt;1,"Artikel doppelt im selben Lager; ",""))</f>
        <v/>
      </c>
      <c r="P3172" s="47" t="n">
        <f aca="false">IF(OR($A3172="",D3172=""),0,IF(COUNTIF($D$2:D3172,D3172)=1,SUMIF($D$2:$D$5001,D3172,$H$2:$H$5001)+ROW()/10000000,0))</f>
        <v>0</v>
      </c>
      <c r="Q3172" s="47" t="n">
        <f aca="false">IF(OR($A3172="",C3172=""),0,IF(COUNTIF($C$2:C3172,C3172)=1,SUMIF($C$2:$C$5001,C3172,$H$2:$H$5001)+ROW()/10000000,0))</f>
        <v>0</v>
      </c>
    </row>
    <row r="3173" customFormat="false" ht="15" hidden="false" customHeight="false" outlineLevel="0" collapsed="false">
      <c r="A3173" s="43"/>
      <c r="B3173" s="44"/>
      <c r="C3173" s="44"/>
      <c r="D3173" s="44"/>
      <c r="E3173" s="44"/>
      <c r="F3173" s="44"/>
      <c r="G3173" s="44"/>
      <c r="H3173" s="46" t="str">
        <f aca="false">IF($A3173="","",IF(OR(NOT(ISNUMBER(E3173)),NOT(ISNUMBER(F3173))),"",MAX(0,E3173)*F3173))</f>
        <v/>
      </c>
      <c r="I3173" s="46" t="str">
        <f aca="false">IF($A3173="","",SUMIF($A$2:$A$5001,$A3173,$H$2:$H$5001))</f>
        <v/>
      </c>
      <c r="J3173" s="47" t="n">
        <f aca="false">IF($A3173="",0,IF(COUNTIF($A$2:A3173,$A3173)=1,1,0))</f>
        <v>0</v>
      </c>
      <c r="K3173" s="47" t="n">
        <f aca="false">IF(J3173=1,N(I3173)+ROW()/10000000,0)</f>
        <v>0</v>
      </c>
      <c r="L3173" s="47" t="str">
        <f aca="false">IF(AND(J3173=1,N(I3173)&gt;0),SUMIF($K$2:$K$5001,"&gt;="&amp;K3173,$I$2:$I$5001)/MAX(1,SUM($H$2:$H$5001)),"")</f>
        <v/>
      </c>
      <c r="M3173" s="47" t="str">
        <f aca="false">IF($A3173="","",INDEX($L$2:$L$5001,MATCH($A3173,$A$2:$A$5001,0)))</f>
        <v/>
      </c>
      <c r="N3173" s="48" t="str">
        <f aca="false">IF($A3173="","",IF(N(M3173)=0,"–",IF(M3173&lt;=Start!$D$20,"A",IF(M3173&lt;=Start!$D$21,"B","C"))))</f>
        <v/>
      </c>
      <c r="O3173" s="48" t="str">
        <f aca="false">IF($A3173="","",IF(NOT(ISNUMBER(F3173)),"Wert fehlt; ",IF(F3173&lt;=0,"Wert ist 0; ",""))&amp;IF(NOT(ISNUMBER(E3173)),"Bestand fehlt; ",IF(E3173&lt;0,"Bestand negativ; ",IF(E3173=0,"Nullbestand; ","")))&amp;IF(D3173="","Warengruppe fehlt; ","")&amp;IF(B3173="","Bezeichnung fehlt; ","")&amp;IF(COUNTIFS($A$2:$A$5001,$A3173,$C$2:$C$5001,C3173)&gt;1,"Artikel doppelt im selben Lager; ",""))</f>
        <v/>
      </c>
      <c r="P3173" s="47" t="n">
        <f aca="false">IF(OR($A3173="",D3173=""),0,IF(COUNTIF($D$2:D3173,D3173)=1,SUMIF($D$2:$D$5001,D3173,$H$2:$H$5001)+ROW()/10000000,0))</f>
        <v>0</v>
      </c>
      <c r="Q3173" s="47" t="n">
        <f aca="false">IF(OR($A3173="",C3173=""),0,IF(COUNTIF($C$2:C3173,C3173)=1,SUMIF($C$2:$C$5001,C3173,$H$2:$H$5001)+ROW()/10000000,0))</f>
        <v>0</v>
      </c>
    </row>
    <row r="3174" customFormat="false" ht="15" hidden="false" customHeight="false" outlineLevel="0" collapsed="false">
      <c r="A3174" s="43"/>
      <c r="B3174" s="44"/>
      <c r="C3174" s="44"/>
      <c r="D3174" s="44"/>
      <c r="E3174" s="44"/>
      <c r="F3174" s="44"/>
      <c r="G3174" s="44"/>
      <c r="H3174" s="46" t="str">
        <f aca="false">IF($A3174="","",IF(OR(NOT(ISNUMBER(E3174)),NOT(ISNUMBER(F3174))),"",MAX(0,E3174)*F3174))</f>
        <v/>
      </c>
      <c r="I3174" s="46" t="str">
        <f aca="false">IF($A3174="","",SUMIF($A$2:$A$5001,$A3174,$H$2:$H$5001))</f>
        <v/>
      </c>
      <c r="J3174" s="47" t="n">
        <f aca="false">IF($A3174="",0,IF(COUNTIF($A$2:A3174,$A3174)=1,1,0))</f>
        <v>0</v>
      </c>
      <c r="K3174" s="47" t="n">
        <f aca="false">IF(J3174=1,N(I3174)+ROW()/10000000,0)</f>
        <v>0</v>
      </c>
      <c r="L3174" s="47" t="str">
        <f aca="false">IF(AND(J3174=1,N(I3174)&gt;0),SUMIF($K$2:$K$5001,"&gt;="&amp;K3174,$I$2:$I$5001)/MAX(1,SUM($H$2:$H$5001)),"")</f>
        <v/>
      </c>
      <c r="M3174" s="47" t="str">
        <f aca="false">IF($A3174="","",INDEX($L$2:$L$5001,MATCH($A3174,$A$2:$A$5001,0)))</f>
        <v/>
      </c>
      <c r="N3174" s="48" t="str">
        <f aca="false">IF($A3174="","",IF(N(M3174)=0,"–",IF(M3174&lt;=Start!$D$20,"A",IF(M3174&lt;=Start!$D$21,"B","C"))))</f>
        <v/>
      </c>
      <c r="O3174" s="48" t="str">
        <f aca="false">IF($A3174="","",IF(NOT(ISNUMBER(F3174)),"Wert fehlt; ",IF(F3174&lt;=0,"Wert ist 0; ",""))&amp;IF(NOT(ISNUMBER(E3174)),"Bestand fehlt; ",IF(E3174&lt;0,"Bestand negativ; ",IF(E3174=0,"Nullbestand; ","")))&amp;IF(D3174="","Warengruppe fehlt; ","")&amp;IF(B3174="","Bezeichnung fehlt; ","")&amp;IF(COUNTIFS($A$2:$A$5001,$A3174,$C$2:$C$5001,C3174)&gt;1,"Artikel doppelt im selben Lager; ",""))</f>
        <v/>
      </c>
      <c r="P3174" s="47" t="n">
        <f aca="false">IF(OR($A3174="",D3174=""),0,IF(COUNTIF($D$2:D3174,D3174)=1,SUMIF($D$2:$D$5001,D3174,$H$2:$H$5001)+ROW()/10000000,0))</f>
        <v>0</v>
      </c>
      <c r="Q3174" s="47" t="n">
        <f aca="false">IF(OR($A3174="",C3174=""),0,IF(COUNTIF($C$2:C3174,C3174)=1,SUMIF($C$2:$C$5001,C3174,$H$2:$H$5001)+ROW()/10000000,0))</f>
        <v>0</v>
      </c>
    </row>
    <row r="3175" customFormat="false" ht="15" hidden="false" customHeight="false" outlineLevel="0" collapsed="false">
      <c r="A3175" s="43"/>
      <c r="B3175" s="44"/>
      <c r="C3175" s="44"/>
      <c r="D3175" s="44"/>
      <c r="E3175" s="44"/>
      <c r="F3175" s="44"/>
      <c r="G3175" s="44"/>
      <c r="H3175" s="46" t="str">
        <f aca="false">IF($A3175="","",IF(OR(NOT(ISNUMBER(E3175)),NOT(ISNUMBER(F3175))),"",MAX(0,E3175)*F3175))</f>
        <v/>
      </c>
      <c r="I3175" s="46" t="str">
        <f aca="false">IF($A3175="","",SUMIF($A$2:$A$5001,$A3175,$H$2:$H$5001))</f>
        <v/>
      </c>
      <c r="J3175" s="47" t="n">
        <f aca="false">IF($A3175="",0,IF(COUNTIF($A$2:A3175,$A3175)=1,1,0))</f>
        <v>0</v>
      </c>
      <c r="K3175" s="47" t="n">
        <f aca="false">IF(J3175=1,N(I3175)+ROW()/10000000,0)</f>
        <v>0</v>
      </c>
      <c r="L3175" s="47" t="str">
        <f aca="false">IF(AND(J3175=1,N(I3175)&gt;0),SUMIF($K$2:$K$5001,"&gt;="&amp;K3175,$I$2:$I$5001)/MAX(1,SUM($H$2:$H$5001)),"")</f>
        <v/>
      </c>
      <c r="M3175" s="47" t="str">
        <f aca="false">IF($A3175="","",INDEX($L$2:$L$5001,MATCH($A3175,$A$2:$A$5001,0)))</f>
        <v/>
      </c>
      <c r="N3175" s="48" t="str">
        <f aca="false">IF($A3175="","",IF(N(M3175)=0,"–",IF(M3175&lt;=Start!$D$20,"A",IF(M3175&lt;=Start!$D$21,"B","C"))))</f>
        <v/>
      </c>
      <c r="O3175" s="48" t="str">
        <f aca="false">IF($A3175="","",IF(NOT(ISNUMBER(F3175)),"Wert fehlt; ",IF(F3175&lt;=0,"Wert ist 0; ",""))&amp;IF(NOT(ISNUMBER(E3175)),"Bestand fehlt; ",IF(E3175&lt;0,"Bestand negativ; ",IF(E3175=0,"Nullbestand; ","")))&amp;IF(D3175="","Warengruppe fehlt; ","")&amp;IF(B3175="","Bezeichnung fehlt; ","")&amp;IF(COUNTIFS($A$2:$A$5001,$A3175,$C$2:$C$5001,C3175)&gt;1,"Artikel doppelt im selben Lager; ",""))</f>
        <v/>
      </c>
      <c r="P3175" s="47" t="n">
        <f aca="false">IF(OR($A3175="",D3175=""),0,IF(COUNTIF($D$2:D3175,D3175)=1,SUMIF($D$2:$D$5001,D3175,$H$2:$H$5001)+ROW()/10000000,0))</f>
        <v>0</v>
      </c>
      <c r="Q3175" s="47" t="n">
        <f aca="false">IF(OR($A3175="",C3175=""),0,IF(COUNTIF($C$2:C3175,C3175)=1,SUMIF($C$2:$C$5001,C3175,$H$2:$H$5001)+ROW()/10000000,0))</f>
        <v>0</v>
      </c>
    </row>
    <row r="3176" customFormat="false" ht="15" hidden="false" customHeight="false" outlineLevel="0" collapsed="false">
      <c r="A3176" s="43"/>
      <c r="B3176" s="44"/>
      <c r="C3176" s="44"/>
      <c r="D3176" s="44"/>
      <c r="E3176" s="44"/>
      <c r="F3176" s="44"/>
      <c r="G3176" s="44"/>
      <c r="H3176" s="46" t="str">
        <f aca="false">IF($A3176="","",IF(OR(NOT(ISNUMBER(E3176)),NOT(ISNUMBER(F3176))),"",MAX(0,E3176)*F3176))</f>
        <v/>
      </c>
      <c r="I3176" s="46" t="str">
        <f aca="false">IF($A3176="","",SUMIF($A$2:$A$5001,$A3176,$H$2:$H$5001))</f>
        <v/>
      </c>
      <c r="J3176" s="47" t="n">
        <f aca="false">IF($A3176="",0,IF(COUNTIF($A$2:A3176,$A3176)=1,1,0))</f>
        <v>0</v>
      </c>
      <c r="K3176" s="47" t="n">
        <f aca="false">IF(J3176=1,N(I3176)+ROW()/10000000,0)</f>
        <v>0</v>
      </c>
      <c r="L3176" s="47" t="str">
        <f aca="false">IF(AND(J3176=1,N(I3176)&gt;0),SUMIF($K$2:$K$5001,"&gt;="&amp;K3176,$I$2:$I$5001)/MAX(1,SUM($H$2:$H$5001)),"")</f>
        <v/>
      </c>
      <c r="M3176" s="47" t="str">
        <f aca="false">IF($A3176="","",INDEX($L$2:$L$5001,MATCH($A3176,$A$2:$A$5001,0)))</f>
        <v/>
      </c>
      <c r="N3176" s="48" t="str">
        <f aca="false">IF($A3176="","",IF(N(M3176)=0,"–",IF(M3176&lt;=Start!$D$20,"A",IF(M3176&lt;=Start!$D$21,"B","C"))))</f>
        <v/>
      </c>
      <c r="O3176" s="48" t="str">
        <f aca="false">IF($A3176="","",IF(NOT(ISNUMBER(F3176)),"Wert fehlt; ",IF(F3176&lt;=0,"Wert ist 0; ",""))&amp;IF(NOT(ISNUMBER(E3176)),"Bestand fehlt; ",IF(E3176&lt;0,"Bestand negativ; ",IF(E3176=0,"Nullbestand; ","")))&amp;IF(D3176="","Warengruppe fehlt; ","")&amp;IF(B3176="","Bezeichnung fehlt; ","")&amp;IF(COUNTIFS($A$2:$A$5001,$A3176,$C$2:$C$5001,C3176)&gt;1,"Artikel doppelt im selben Lager; ",""))</f>
        <v/>
      </c>
      <c r="P3176" s="47" t="n">
        <f aca="false">IF(OR($A3176="",D3176=""),0,IF(COUNTIF($D$2:D3176,D3176)=1,SUMIF($D$2:$D$5001,D3176,$H$2:$H$5001)+ROW()/10000000,0))</f>
        <v>0</v>
      </c>
      <c r="Q3176" s="47" t="n">
        <f aca="false">IF(OR($A3176="",C3176=""),0,IF(COUNTIF($C$2:C3176,C3176)=1,SUMIF($C$2:$C$5001,C3176,$H$2:$H$5001)+ROW()/10000000,0))</f>
        <v>0</v>
      </c>
    </row>
    <row r="3177" customFormat="false" ht="15" hidden="false" customHeight="false" outlineLevel="0" collapsed="false">
      <c r="A3177" s="43"/>
      <c r="B3177" s="44"/>
      <c r="C3177" s="44"/>
      <c r="D3177" s="44"/>
      <c r="E3177" s="44"/>
      <c r="F3177" s="44"/>
      <c r="G3177" s="44"/>
      <c r="H3177" s="46" t="str">
        <f aca="false">IF($A3177="","",IF(OR(NOT(ISNUMBER(E3177)),NOT(ISNUMBER(F3177))),"",MAX(0,E3177)*F3177))</f>
        <v/>
      </c>
      <c r="I3177" s="46" t="str">
        <f aca="false">IF($A3177="","",SUMIF($A$2:$A$5001,$A3177,$H$2:$H$5001))</f>
        <v/>
      </c>
      <c r="J3177" s="47" t="n">
        <f aca="false">IF($A3177="",0,IF(COUNTIF($A$2:A3177,$A3177)=1,1,0))</f>
        <v>0</v>
      </c>
      <c r="K3177" s="47" t="n">
        <f aca="false">IF(J3177=1,N(I3177)+ROW()/10000000,0)</f>
        <v>0</v>
      </c>
      <c r="L3177" s="47" t="str">
        <f aca="false">IF(AND(J3177=1,N(I3177)&gt;0),SUMIF($K$2:$K$5001,"&gt;="&amp;K3177,$I$2:$I$5001)/MAX(1,SUM($H$2:$H$5001)),"")</f>
        <v/>
      </c>
      <c r="M3177" s="47" t="str">
        <f aca="false">IF($A3177="","",INDEX($L$2:$L$5001,MATCH($A3177,$A$2:$A$5001,0)))</f>
        <v/>
      </c>
      <c r="N3177" s="48" t="str">
        <f aca="false">IF($A3177="","",IF(N(M3177)=0,"–",IF(M3177&lt;=Start!$D$20,"A",IF(M3177&lt;=Start!$D$21,"B","C"))))</f>
        <v/>
      </c>
      <c r="O3177" s="48" t="str">
        <f aca="false">IF($A3177="","",IF(NOT(ISNUMBER(F3177)),"Wert fehlt; ",IF(F3177&lt;=0,"Wert ist 0; ",""))&amp;IF(NOT(ISNUMBER(E3177)),"Bestand fehlt; ",IF(E3177&lt;0,"Bestand negativ; ",IF(E3177=0,"Nullbestand; ","")))&amp;IF(D3177="","Warengruppe fehlt; ","")&amp;IF(B3177="","Bezeichnung fehlt; ","")&amp;IF(COUNTIFS($A$2:$A$5001,$A3177,$C$2:$C$5001,C3177)&gt;1,"Artikel doppelt im selben Lager; ",""))</f>
        <v/>
      </c>
      <c r="P3177" s="47" t="n">
        <f aca="false">IF(OR($A3177="",D3177=""),0,IF(COUNTIF($D$2:D3177,D3177)=1,SUMIF($D$2:$D$5001,D3177,$H$2:$H$5001)+ROW()/10000000,0))</f>
        <v>0</v>
      </c>
      <c r="Q3177" s="47" t="n">
        <f aca="false">IF(OR($A3177="",C3177=""),0,IF(COUNTIF($C$2:C3177,C3177)=1,SUMIF($C$2:$C$5001,C3177,$H$2:$H$5001)+ROW()/10000000,0))</f>
        <v>0</v>
      </c>
    </row>
    <row r="3178" customFormat="false" ht="15" hidden="false" customHeight="false" outlineLevel="0" collapsed="false">
      <c r="A3178" s="43"/>
      <c r="B3178" s="44"/>
      <c r="C3178" s="44"/>
      <c r="D3178" s="44"/>
      <c r="E3178" s="44"/>
      <c r="F3178" s="44"/>
      <c r="G3178" s="44"/>
      <c r="H3178" s="46" t="str">
        <f aca="false">IF($A3178="","",IF(OR(NOT(ISNUMBER(E3178)),NOT(ISNUMBER(F3178))),"",MAX(0,E3178)*F3178))</f>
        <v/>
      </c>
      <c r="I3178" s="46" t="str">
        <f aca="false">IF($A3178="","",SUMIF($A$2:$A$5001,$A3178,$H$2:$H$5001))</f>
        <v/>
      </c>
      <c r="J3178" s="47" t="n">
        <f aca="false">IF($A3178="",0,IF(COUNTIF($A$2:A3178,$A3178)=1,1,0))</f>
        <v>0</v>
      </c>
      <c r="K3178" s="47" t="n">
        <f aca="false">IF(J3178=1,N(I3178)+ROW()/10000000,0)</f>
        <v>0</v>
      </c>
      <c r="L3178" s="47" t="str">
        <f aca="false">IF(AND(J3178=1,N(I3178)&gt;0),SUMIF($K$2:$K$5001,"&gt;="&amp;K3178,$I$2:$I$5001)/MAX(1,SUM($H$2:$H$5001)),"")</f>
        <v/>
      </c>
      <c r="M3178" s="47" t="str">
        <f aca="false">IF($A3178="","",INDEX($L$2:$L$5001,MATCH($A3178,$A$2:$A$5001,0)))</f>
        <v/>
      </c>
      <c r="N3178" s="48" t="str">
        <f aca="false">IF($A3178="","",IF(N(M3178)=0,"–",IF(M3178&lt;=Start!$D$20,"A",IF(M3178&lt;=Start!$D$21,"B","C"))))</f>
        <v/>
      </c>
      <c r="O3178" s="48" t="str">
        <f aca="false">IF($A3178="","",IF(NOT(ISNUMBER(F3178)),"Wert fehlt; ",IF(F3178&lt;=0,"Wert ist 0; ",""))&amp;IF(NOT(ISNUMBER(E3178)),"Bestand fehlt; ",IF(E3178&lt;0,"Bestand negativ; ",IF(E3178=0,"Nullbestand; ","")))&amp;IF(D3178="","Warengruppe fehlt; ","")&amp;IF(B3178="","Bezeichnung fehlt; ","")&amp;IF(COUNTIFS($A$2:$A$5001,$A3178,$C$2:$C$5001,C3178)&gt;1,"Artikel doppelt im selben Lager; ",""))</f>
        <v/>
      </c>
      <c r="P3178" s="47" t="n">
        <f aca="false">IF(OR($A3178="",D3178=""),0,IF(COUNTIF($D$2:D3178,D3178)=1,SUMIF($D$2:$D$5001,D3178,$H$2:$H$5001)+ROW()/10000000,0))</f>
        <v>0</v>
      </c>
      <c r="Q3178" s="47" t="n">
        <f aca="false">IF(OR($A3178="",C3178=""),0,IF(COUNTIF($C$2:C3178,C3178)=1,SUMIF($C$2:$C$5001,C3178,$H$2:$H$5001)+ROW()/10000000,0))</f>
        <v>0</v>
      </c>
    </row>
    <row r="3179" customFormat="false" ht="15" hidden="false" customHeight="false" outlineLevel="0" collapsed="false">
      <c r="A3179" s="43"/>
      <c r="B3179" s="44"/>
      <c r="C3179" s="44"/>
      <c r="D3179" s="44"/>
      <c r="E3179" s="44"/>
      <c r="F3179" s="44"/>
      <c r="G3179" s="44"/>
      <c r="H3179" s="46" t="str">
        <f aca="false">IF($A3179="","",IF(OR(NOT(ISNUMBER(E3179)),NOT(ISNUMBER(F3179))),"",MAX(0,E3179)*F3179))</f>
        <v/>
      </c>
      <c r="I3179" s="46" t="str">
        <f aca="false">IF($A3179="","",SUMIF($A$2:$A$5001,$A3179,$H$2:$H$5001))</f>
        <v/>
      </c>
      <c r="J3179" s="47" t="n">
        <f aca="false">IF($A3179="",0,IF(COUNTIF($A$2:A3179,$A3179)=1,1,0))</f>
        <v>0</v>
      </c>
      <c r="K3179" s="47" t="n">
        <f aca="false">IF(J3179=1,N(I3179)+ROW()/10000000,0)</f>
        <v>0</v>
      </c>
      <c r="L3179" s="47" t="str">
        <f aca="false">IF(AND(J3179=1,N(I3179)&gt;0),SUMIF($K$2:$K$5001,"&gt;="&amp;K3179,$I$2:$I$5001)/MAX(1,SUM($H$2:$H$5001)),"")</f>
        <v/>
      </c>
      <c r="M3179" s="47" t="str">
        <f aca="false">IF($A3179="","",INDEX($L$2:$L$5001,MATCH($A3179,$A$2:$A$5001,0)))</f>
        <v/>
      </c>
      <c r="N3179" s="48" t="str">
        <f aca="false">IF($A3179="","",IF(N(M3179)=0,"–",IF(M3179&lt;=Start!$D$20,"A",IF(M3179&lt;=Start!$D$21,"B","C"))))</f>
        <v/>
      </c>
      <c r="O3179" s="48" t="str">
        <f aca="false">IF($A3179="","",IF(NOT(ISNUMBER(F3179)),"Wert fehlt; ",IF(F3179&lt;=0,"Wert ist 0; ",""))&amp;IF(NOT(ISNUMBER(E3179)),"Bestand fehlt; ",IF(E3179&lt;0,"Bestand negativ; ",IF(E3179=0,"Nullbestand; ","")))&amp;IF(D3179="","Warengruppe fehlt; ","")&amp;IF(B3179="","Bezeichnung fehlt; ","")&amp;IF(COUNTIFS($A$2:$A$5001,$A3179,$C$2:$C$5001,C3179)&gt;1,"Artikel doppelt im selben Lager; ",""))</f>
        <v/>
      </c>
      <c r="P3179" s="47" t="n">
        <f aca="false">IF(OR($A3179="",D3179=""),0,IF(COUNTIF($D$2:D3179,D3179)=1,SUMIF($D$2:$D$5001,D3179,$H$2:$H$5001)+ROW()/10000000,0))</f>
        <v>0</v>
      </c>
      <c r="Q3179" s="47" t="n">
        <f aca="false">IF(OR($A3179="",C3179=""),0,IF(COUNTIF($C$2:C3179,C3179)=1,SUMIF($C$2:$C$5001,C3179,$H$2:$H$5001)+ROW()/10000000,0))</f>
        <v>0</v>
      </c>
    </row>
    <row r="3180" customFormat="false" ht="15" hidden="false" customHeight="false" outlineLevel="0" collapsed="false">
      <c r="A3180" s="43"/>
      <c r="B3180" s="44"/>
      <c r="C3180" s="44"/>
      <c r="D3180" s="44"/>
      <c r="E3180" s="44"/>
      <c r="F3180" s="44"/>
      <c r="G3180" s="44"/>
      <c r="H3180" s="46" t="str">
        <f aca="false">IF($A3180="","",IF(OR(NOT(ISNUMBER(E3180)),NOT(ISNUMBER(F3180))),"",MAX(0,E3180)*F3180))</f>
        <v/>
      </c>
      <c r="I3180" s="46" t="str">
        <f aca="false">IF($A3180="","",SUMIF($A$2:$A$5001,$A3180,$H$2:$H$5001))</f>
        <v/>
      </c>
      <c r="J3180" s="47" t="n">
        <f aca="false">IF($A3180="",0,IF(COUNTIF($A$2:A3180,$A3180)=1,1,0))</f>
        <v>0</v>
      </c>
      <c r="K3180" s="47" t="n">
        <f aca="false">IF(J3180=1,N(I3180)+ROW()/10000000,0)</f>
        <v>0</v>
      </c>
      <c r="L3180" s="47" t="str">
        <f aca="false">IF(AND(J3180=1,N(I3180)&gt;0),SUMIF($K$2:$K$5001,"&gt;="&amp;K3180,$I$2:$I$5001)/MAX(1,SUM($H$2:$H$5001)),"")</f>
        <v/>
      </c>
      <c r="M3180" s="47" t="str">
        <f aca="false">IF($A3180="","",INDEX($L$2:$L$5001,MATCH($A3180,$A$2:$A$5001,0)))</f>
        <v/>
      </c>
      <c r="N3180" s="48" t="str">
        <f aca="false">IF($A3180="","",IF(N(M3180)=0,"–",IF(M3180&lt;=Start!$D$20,"A",IF(M3180&lt;=Start!$D$21,"B","C"))))</f>
        <v/>
      </c>
      <c r="O3180" s="48" t="str">
        <f aca="false">IF($A3180="","",IF(NOT(ISNUMBER(F3180)),"Wert fehlt; ",IF(F3180&lt;=0,"Wert ist 0; ",""))&amp;IF(NOT(ISNUMBER(E3180)),"Bestand fehlt; ",IF(E3180&lt;0,"Bestand negativ; ",IF(E3180=0,"Nullbestand; ","")))&amp;IF(D3180="","Warengruppe fehlt; ","")&amp;IF(B3180="","Bezeichnung fehlt; ","")&amp;IF(COUNTIFS($A$2:$A$5001,$A3180,$C$2:$C$5001,C3180)&gt;1,"Artikel doppelt im selben Lager; ",""))</f>
        <v/>
      </c>
      <c r="P3180" s="47" t="n">
        <f aca="false">IF(OR($A3180="",D3180=""),0,IF(COUNTIF($D$2:D3180,D3180)=1,SUMIF($D$2:$D$5001,D3180,$H$2:$H$5001)+ROW()/10000000,0))</f>
        <v>0</v>
      </c>
      <c r="Q3180" s="47" t="n">
        <f aca="false">IF(OR($A3180="",C3180=""),0,IF(COUNTIF($C$2:C3180,C3180)=1,SUMIF($C$2:$C$5001,C3180,$H$2:$H$5001)+ROW()/10000000,0))</f>
        <v>0</v>
      </c>
    </row>
    <row r="3181" customFormat="false" ht="15" hidden="false" customHeight="false" outlineLevel="0" collapsed="false">
      <c r="A3181" s="43"/>
      <c r="B3181" s="44"/>
      <c r="C3181" s="44"/>
      <c r="D3181" s="44"/>
      <c r="E3181" s="44"/>
      <c r="F3181" s="44"/>
      <c r="G3181" s="44"/>
      <c r="H3181" s="46" t="str">
        <f aca="false">IF($A3181="","",IF(OR(NOT(ISNUMBER(E3181)),NOT(ISNUMBER(F3181))),"",MAX(0,E3181)*F3181))</f>
        <v/>
      </c>
      <c r="I3181" s="46" t="str">
        <f aca="false">IF($A3181="","",SUMIF($A$2:$A$5001,$A3181,$H$2:$H$5001))</f>
        <v/>
      </c>
      <c r="J3181" s="47" t="n">
        <f aca="false">IF($A3181="",0,IF(COUNTIF($A$2:A3181,$A3181)=1,1,0))</f>
        <v>0</v>
      </c>
      <c r="K3181" s="47" t="n">
        <f aca="false">IF(J3181=1,N(I3181)+ROW()/10000000,0)</f>
        <v>0</v>
      </c>
      <c r="L3181" s="47" t="str">
        <f aca="false">IF(AND(J3181=1,N(I3181)&gt;0),SUMIF($K$2:$K$5001,"&gt;="&amp;K3181,$I$2:$I$5001)/MAX(1,SUM($H$2:$H$5001)),"")</f>
        <v/>
      </c>
      <c r="M3181" s="47" t="str">
        <f aca="false">IF($A3181="","",INDEX($L$2:$L$5001,MATCH($A3181,$A$2:$A$5001,0)))</f>
        <v/>
      </c>
      <c r="N3181" s="48" t="str">
        <f aca="false">IF($A3181="","",IF(N(M3181)=0,"–",IF(M3181&lt;=Start!$D$20,"A",IF(M3181&lt;=Start!$D$21,"B","C"))))</f>
        <v/>
      </c>
      <c r="O3181" s="48" t="str">
        <f aca="false">IF($A3181="","",IF(NOT(ISNUMBER(F3181)),"Wert fehlt; ",IF(F3181&lt;=0,"Wert ist 0; ",""))&amp;IF(NOT(ISNUMBER(E3181)),"Bestand fehlt; ",IF(E3181&lt;0,"Bestand negativ; ",IF(E3181=0,"Nullbestand; ","")))&amp;IF(D3181="","Warengruppe fehlt; ","")&amp;IF(B3181="","Bezeichnung fehlt; ","")&amp;IF(COUNTIFS($A$2:$A$5001,$A3181,$C$2:$C$5001,C3181)&gt;1,"Artikel doppelt im selben Lager; ",""))</f>
        <v/>
      </c>
      <c r="P3181" s="47" t="n">
        <f aca="false">IF(OR($A3181="",D3181=""),0,IF(COUNTIF($D$2:D3181,D3181)=1,SUMIF($D$2:$D$5001,D3181,$H$2:$H$5001)+ROW()/10000000,0))</f>
        <v>0</v>
      </c>
      <c r="Q3181" s="47" t="n">
        <f aca="false">IF(OR($A3181="",C3181=""),0,IF(COUNTIF($C$2:C3181,C3181)=1,SUMIF($C$2:$C$5001,C3181,$H$2:$H$5001)+ROW()/10000000,0))</f>
        <v>0</v>
      </c>
    </row>
    <row r="3182" customFormat="false" ht="15" hidden="false" customHeight="false" outlineLevel="0" collapsed="false">
      <c r="A3182" s="43"/>
      <c r="B3182" s="44"/>
      <c r="C3182" s="44"/>
      <c r="D3182" s="44"/>
      <c r="E3182" s="44"/>
      <c r="F3182" s="44"/>
      <c r="G3182" s="44"/>
      <c r="H3182" s="46" t="str">
        <f aca="false">IF($A3182="","",IF(OR(NOT(ISNUMBER(E3182)),NOT(ISNUMBER(F3182))),"",MAX(0,E3182)*F3182))</f>
        <v/>
      </c>
      <c r="I3182" s="46" t="str">
        <f aca="false">IF($A3182="","",SUMIF($A$2:$A$5001,$A3182,$H$2:$H$5001))</f>
        <v/>
      </c>
      <c r="J3182" s="47" t="n">
        <f aca="false">IF($A3182="",0,IF(COUNTIF($A$2:A3182,$A3182)=1,1,0))</f>
        <v>0</v>
      </c>
      <c r="K3182" s="47" t="n">
        <f aca="false">IF(J3182=1,N(I3182)+ROW()/10000000,0)</f>
        <v>0</v>
      </c>
      <c r="L3182" s="47" t="str">
        <f aca="false">IF(AND(J3182=1,N(I3182)&gt;0),SUMIF($K$2:$K$5001,"&gt;="&amp;K3182,$I$2:$I$5001)/MAX(1,SUM($H$2:$H$5001)),"")</f>
        <v/>
      </c>
      <c r="M3182" s="47" t="str">
        <f aca="false">IF($A3182="","",INDEX($L$2:$L$5001,MATCH($A3182,$A$2:$A$5001,0)))</f>
        <v/>
      </c>
      <c r="N3182" s="48" t="str">
        <f aca="false">IF($A3182="","",IF(N(M3182)=0,"–",IF(M3182&lt;=Start!$D$20,"A",IF(M3182&lt;=Start!$D$21,"B","C"))))</f>
        <v/>
      </c>
      <c r="O3182" s="48" t="str">
        <f aca="false">IF($A3182="","",IF(NOT(ISNUMBER(F3182)),"Wert fehlt; ",IF(F3182&lt;=0,"Wert ist 0; ",""))&amp;IF(NOT(ISNUMBER(E3182)),"Bestand fehlt; ",IF(E3182&lt;0,"Bestand negativ; ",IF(E3182=0,"Nullbestand; ","")))&amp;IF(D3182="","Warengruppe fehlt; ","")&amp;IF(B3182="","Bezeichnung fehlt; ","")&amp;IF(COUNTIFS($A$2:$A$5001,$A3182,$C$2:$C$5001,C3182)&gt;1,"Artikel doppelt im selben Lager; ",""))</f>
        <v/>
      </c>
      <c r="P3182" s="47" t="n">
        <f aca="false">IF(OR($A3182="",D3182=""),0,IF(COUNTIF($D$2:D3182,D3182)=1,SUMIF($D$2:$D$5001,D3182,$H$2:$H$5001)+ROW()/10000000,0))</f>
        <v>0</v>
      </c>
      <c r="Q3182" s="47" t="n">
        <f aca="false">IF(OR($A3182="",C3182=""),0,IF(COUNTIF($C$2:C3182,C3182)=1,SUMIF($C$2:$C$5001,C3182,$H$2:$H$5001)+ROW()/10000000,0))</f>
        <v>0</v>
      </c>
    </row>
    <row r="3183" customFormat="false" ht="15" hidden="false" customHeight="false" outlineLevel="0" collapsed="false">
      <c r="A3183" s="43"/>
      <c r="B3183" s="44"/>
      <c r="C3183" s="44"/>
      <c r="D3183" s="44"/>
      <c r="E3183" s="44"/>
      <c r="F3183" s="44"/>
      <c r="G3183" s="44"/>
      <c r="H3183" s="46" t="str">
        <f aca="false">IF($A3183="","",IF(OR(NOT(ISNUMBER(E3183)),NOT(ISNUMBER(F3183))),"",MAX(0,E3183)*F3183))</f>
        <v/>
      </c>
      <c r="I3183" s="46" t="str">
        <f aca="false">IF($A3183="","",SUMIF($A$2:$A$5001,$A3183,$H$2:$H$5001))</f>
        <v/>
      </c>
      <c r="J3183" s="47" t="n">
        <f aca="false">IF($A3183="",0,IF(COUNTIF($A$2:A3183,$A3183)=1,1,0))</f>
        <v>0</v>
      </c>
      <c r="K3183" s="47" t="n">
        <f aca="false">IF(J3183=1,N(I3183)+ROW()/10000000,0)</f>
        <v>0</v>
      </c>
      <c r="L3183" s="47" t="str">
        <f aca="false">IF(AND(J3183=1,N(I3183)&gt;0),SUMIF($K$2:$K$5001,"&gt;="&amp;K3183,$I$2:$I$5001)/MAX(1,SUM($H$2:$H$5001)),"")</f>
        <v/>
      </c>
      <c r="M3183" s="47" t="str">
        <f aca="false">IF($A3183="","",INDEX($L$2:$L$5001,MATCH($A3183,$A$2:$A$5001,0)))</f>
        <v/>
      </c>
      <c r="N3183" s="48" t="str">
        <f aca="false">IF($A3183="","",IF(N(M3183)=0,"–",IF(M3183&lt;=Start!$D$20,"A",IF(M3183&lt;=Start!$D$21,"B","C"))))</f>
        <v/>
      </c>
      <c r="O3183" s="48" t="str">
        <f aca="false">IF($A3183="","",IF(NOT(ISNUMBER(F3183)),"Wert fehlt; ",IF(F3183&lt;=0,"Wert ist 0; ",""))&amp;IF(NOT(ISNUMBER(E3183)),"Bestand fehlt; ",IF(E3183&lt;0,"Bestand negativ; ",IF(E3183=0,"Nullbestand; ","")))&amp;IF(D3183="","Warengruppe fehlt; ","")&amp;IF(B3183="","Bezeichnung fehlt; ","")&amp;IF(COUNTIFS($A$2:$A$5001,$A3183,$C$2:$C$5001,C3183)&gt;1,"Artikel doppelt im selben Lager; ",""))</f>
        <v/>
      </c>
      <c r="P3183" s="47" t="n">
        <f aca="false">IF(OR($A3183="",D3183=""),0,IF(COUNTIF($D$2:D3183,D3183)=1,SUMIF($D$2:$D$5001,D3183,$H$2:$H$5001)+ROW()/10000000,0))</f>
        <v>0</v>
      </c>
      <c r="Q3183" s="47" t="n">
        <f aca="false">IF(OR($A3183="",C3183=""),0,IF(COUNTIF($C$2:C3183,C3183)=1,SUMIF($C$2:$C$5001,C3183,$H$2:$H$5001)+ROW()/10000000,0))</f>
        <v>0</v>
      </c>
    </row>
    <row r="3184" customFormat="false" ht="15" hidden="false" customHeight="false" outlineLevel="0" collapsed="false">
      <c r="A3184" s="43"/>
      <c r="B3184" s="44"/>
      <c r="C3184" s="44"/>
      <c r="D3184" s="44"/>
      <c r="E3184" s="44"/>
      <c r="F3184" s="44"/>
      <c r="G3184" s="44"/>
      <c r="H3184" s="46" t="str">
        <f aca="false">IF($A3184="","",IF(OR(NOT(ISNUMBER(E3184)),NOT(ISNUMBER(F3184))),"",MAX(0,E3184)*F3184))</f>
        <v/>
      </c>
      <c r="I3184" s="46" t="str">
        <f aca="false">IF($A3184="","",SUMIF($A$2:$A$5001,$A3184,$H$2:$H$5001))</f>
        <v/>
      </c>
      <c r="J3184" s="47" t="n">
        <f aca="false">IF($A3184="",0,IF(COUNTIF($A$2:A3184,$A3184)=1,1,0))</f>
        <v>0</v>
      </c>
      <c r="K3184" s="47" t="n">
        <f aca="false">IF(J3184=1,N(I3184)+ROW()/10000000,0)</f>
        <v>0</v>
      </c>
      <c r="L3184" s="47" t="str">
        <f aca="false">IF(AND(J3184=1,N(I3184)&gt;0),SUMIF($K$2:$K$5001,"&gt;="&amp;K3184,$I$2:$I$5001)/MAX(1,SUM($H$2:$H$5001)),"")</f>
        <v/>
      </c>
      <c r="M3184" s="47" t="str">
        <f aca="false">IF($A3184="","",INDEX($L$2:$L$5001,MATCH($A3184,$A$2:$A$5001,0)))</f>
        <v/>
      </c>
      <c r="N3184" s="48" t="str">
        <f aca="false">IF($A3184="","",IF(N(M3184)=0,"–",IF(M3184&lt;=Start!$D$20,"A",IF(M3184&lt;=Start!$D$21,"B","C"))))</f>
        <v/>
      </c>
      <c r="O3184" s="48" t="str">
        <f aca="false">IF($A3184="","",IF(NOT(ISNUMBER(F3184)),"Wert fehlt; ",IF(F3184&lt;=0,"Wert ist 0; ",""))&amp;IF(NOT(ISNUMBER(E3184)),"Bestand fehlt; ",IF(E3184&lt;0,"Bestand negativ; ",IF(E3184=0,"Nullbestand; ","")))&amp;IF(D3184="","Warengruppe fehlt; ","")&amp;IF(B3184="","Bezeichnung fehlt; ","")&amp;IF(COUNTIFS($A$2:$A$5001,$A3184,$C$2:$C$5001,C3184)&gt;1,"Artikel doppelt im selben Lager; ",""))</f>
        <v/>
      </c>
      <c r="P3184" s="47" t="n">
        <f aca="false">IF(OR($A3184="",D3184=""),0,IF(COUNTIF($D$2:D3184,D3184)=1,SUMIF($D$2:$D$5001,D3184,$H$2:$H$5001)+ROW()/10000000,0))</f>
        <v>0</v>
      </c>
      <c r="Q3184" s="47" t="n">
        <f aca="false">IF(OR($A3184="",C3184=""),0,IF(COUNTIF($C$2:C3184,C3184)=1,SUMIF($C$2:$C$5001,C3184,$H$2:$H$5001)+ROW()/10000000,0))</f>
        <v>0</v>
      </c>
    </row>
    <row r="3185" customFormat="false" ht="15" hidden="false" customHeight="false" outlineLevel="0" collapsed="false">
      <c r="A3185" s="43"/>
      <c r="B3185" s="44"/>
      <c r="C3185" s="44"/>
      <c r="D3185" s="44"/>
      <c r="E3185" s="44"/>
      <c r="F3185" s="44"/>
      <c r="G3185" s="44"/>
      <c r="H3185" s="46" t="str">
        <f aca="false">IF($A3185="","",IF(OR(NOT(ISNUMBER(E3185)),NOT(ISNUMBER(F3185))),"",MAX(0,E3185)*F3185))</f>
        <v/>
      </c>
      <c r="I3185" s="46" t="str">
        <f aca="false">IF($A3185="","",SUMIF($A$2:$A$5001,$A3185,$H$2:$H$5001))</f>
        <v/>
      </c>
      <c r="J3185" s="47" t="n">
        <f aca="false">IF($A3185="",0,IF(COUNTIF($A$2:A3185,$A3185)=1,1,0))</f>
        <v>0</v>
      </c>
      <c r="K3185" s="47" t="n">
        <f aca="false">IF(J3185=1,N(I3185)+ROW()/10000000,0)</f>
        <v>0</v>
      </c>
      <c r="L3185" s="47" t="str">
        <f aca="false">IF(AND(J3185=1,N(I3185)&gt;0),SUMIF($K$2:$K$5001,"&gt;="&amp;K3185,$I$2:$I$5001)/MAX(1,SUM($H$2:$H$5001)),"")</f>
        <v/>
      </c>
      <c r="M3185" s="47" t="str">
        <f aca="false">IF($A3185="","",INDEX($L$2:$L$5001,MATCH($A3185,$A$2:$A$5001,0)))</f>
        <v/>
      </c>
      <c r="N3185" s="48" t="str">
        <f aca="false">IF($A3185="","",IF(N(M3185)=0,"–",IF(M3185&lt;=Start!$D$20,"A",IF(M3185&lt;=Start!$D$21,"B","C"))))</f>
        <v/>
      </c>
      <c r="O3185" s="48" t="str">
        <f aca="false">IF($A3185="","",IF(NOT(ISNUMBER(F3185)),"Wert fehlt; ",IF(F3185&lt;=0,"Wert ist 0; ",""))&amp;IF(NOT(ISNUMBER(E3185)),"Bestand fehlt; ",IF(E3185&lt;0,"Bestand negativ; ",IF(E3185=0,"Nullbestand; ","")))&amp;IF(D3185="","Warengruppe fehlt; ","")&amp;IF(B3185="","Bezeichnung fehlt; ","")&amp;IF(COUNTIFS($A$2:$A$5001,$A3185,$C$2:$C$5001,C3185)&gt;1,"Artikel doppelt im selben Lager; ",""))</f>
        <v/>
      </c>
      <c r="P3185" s="47" t="n">
        <f aca="false">IF(OR($A3185="",D3185=""),0,IF(COUNTIF($D$2:D3185,D3185)=1,SUMIF($D$2:$D$5001,D3185,$H$2:$H$5001)+ROW()/10000000,0))</f>
        <v>0</v>
      </c>
      <c r="Q3185" s="47" t="n">
        <f aca="false">IF(OR($A3185="",C3185=""),0,IF(COUNTIF($C$2:C3185,C3185)=1,SUMIF($C$2:$C$5001,C3185,$H$2:$H$5001)+ROW()/10000000,0))</f>
        <v>0</v>
      </c>
    </row>
    <row r="3186" customFormat="false" ht="15" hidden="false" customHeight="false" outlineLevel="0" collapsed="false">
      <c r="A3186" s="43"/>
      <c r="B3186" s="44"/>
      <c r="C3186" s="44"/>
      <c r="D3186" s="44"/>
      <c r="E3186" s="44"/>
      <c r="F3186" s="44"/>
      <c r="G3186" s="44"/>
      <c r="H3186" s="46" t="str">
        <f aca="false">IF($A3186="","",IF(OR(NOT(ISNUMBER(E3186)),NOT(ISNUMBER(F3186))),"",MAX(0,E3186)*F3186))</f>
        <v/>
      </c>
      <c r="I3186" s="46" t="str">
        <f aca="false">IF($A3186="","",SUMIF($A$2:$A$5001,$A3186,$H$2:$H$5001))</f>
        <v/>
      </c>
      <c r="J3186" s="47" t="n">
        <f aca="false">IF($A3186="",0,IF(COUNTIF($A$2:A3186,$A3186)=1,1,0))</f>
        <v>0</v>
      </c>
      <c r="K3186" s="47" t="n">
        <f aca="false">IF(J3186=1,N(I3186)+ROW()/10000000,0)</f>
        <v>0</v>
      </c>
      <c r="L3186" s="47" t="str">
        <f aca="false">IF(AND(J3186=1,N(I3186)&gt;0),SUMIF($K$2:$K$5001,"&gt;="&amp;K3186,$I$2:$I$5001)/MAX(1,SUM($H$2:$H$5001)),"")</f>
        <v/>
      </c>
      <c r="M3186" s="47" t="str">
        <f aca="false">IF($A3186="","",INDEX($L$2:$L$5001,MATCH($A3186,$A$2:$A$5001,0)))</f>
        <v/>
      </c>
      <c r="N3186" s="48" t="str">
        <f aca="false">IF($A3186="","",IF(N(M3186)=0,"–",IF(M3186&lt;=Start!$D$20,"A",IF(M3186&lt;=Start!$D$21,"B","C"))))</f>
        <v/>
      </c>
      <c r="O3186" s="48" t="str">
        <f aca="false">IF($A3186="","",IF(NOT(ISNUMBER(F3186)),"Wert fehlt; ",IF(F3186&lt;=0,"Wert ist 0; ",""))&amp;IF(NOT(ISNUMBER(E3186)),"Bestand fehlt; ",IF(E3186&lt;0,"Bestand negativ; ",IF(E3186=0,"Nullbestand; ","")))&amp;IF(D3186="","Warengruppe fehlt; ","")&amp;IF(B3186="","Bezeichnung fehlt; ","")&amp;IF(COUNTIFS($A$2:$A$5001,$A3186,$C$2:$C$5001,C3186)&gt;1,"Artikel doppelt im selben Lager; ",""))</f>
        <v/>
      </c>
      <c r="P3186" s="47" t="n">
        <f aca="false">IF(OR($A3186="",D3186=""),0,IF(COUNTIF($D$2:D3186,D3186)=1,SUMIF($D$2:$D$5001,D3186,$H$2:$H$5001)+ROW()/10000000,0))</f>
        <v>0</v>
      </c>
      <c r="Q3186" s="47" t="n">
        <f aca="false">IF(OR($A3186="",C3186=""),0,IF(COUNTIF($C$2:C3186,C3186)=1,SUMIF($C$2:$C$5001,C3186,$H$2:$H$5001)+ROW()/10000000,0))</f>
        <v>0</v>
      </c>
    </row>
    <row r="3187" customFormat="false" ht="15" hidden="false" customHeight="false" outlineLevel="0" collapsed="false">
      <c r="A3187" s="43"/>
      <c r="B3187" s="44"/>
      <c r="C3187" s="44"/>
      <c r="D3187" s="44"/>
      <c r="E3187" s="44"/>
      <c r="F3187" s="44"/>
      <c r="G3187" s="44"/>
      <c r="H3187" s="46" t="str">
        <f aca="false">IF($A3187="","",IF(OR(NOT(ISNUMBER(E3187)),NOT(ISNUMBER(F3187))),"",MAX(0,E3187)*F3187))</f>
        <v/>
      </c>
      <c r="I3187" s="46" t="str">
        <f aca="false">IF($A3187="","",SUMIF($A$2:$A$5001,$A3187,$H$2:$H$5001))</f>
        <v/>
      </c>
      <c r="J3187" s="47" t="n">
        <f aca="false">IF($A3187="",0,IF(COUNTIF($A$2:A3187,$A3187)=1,1,0))</f>
        <v>0</v>
      </c>
      <c r="K3187" s="47" t="n">
        <f aca="false">IF(J3187=1,N(I3187)+ROW()/10000000,0)</f>
        <v>0</v>
      </c>
      <c r="L3187" s="47" t="str">
        <f aca="false">IF(AND(J3187=1,N(I3187)&gt;0),SUMIF($K$2:$K$5001,"&gt;="&amp;K3187,$I$2:$I$5001)/MAX(1,SUM($H$2:$H$5001)),"")</f>
        <v/>
      </c>
      <c r="M3187" s="47" t="str">
        <f aca="false">IF($A3187="","",INDEX($L$2:$L$5001,MATCH($A3187,$A$2:$A$5001,0)))</f>
        <v/>
      </c>
      <c r="N3187" s="48" t="str">
        <f aca="false">IF($A3187="","",IF(N(M3187)=0,"–",IF(M3187&lt;=Start!$D$20,"A",IF(M3187&lt;=Start!$D$21,"B","C"))))</f>
        <v/>
      </c>
      <c r="O3187" s="48" t="str">
        <f aca="false">IF($A3187="","",IF(NOT(ISNUMBER(F3187)),"Wert fehlt; ",IF(F3187&lt;=0,"Wert ist 0; ",""))&amp;IF(NOT(ISNUMBER(E3187)),"Bestand fehlt; ",IF(E3187&lt;0,"Bestand negativ; ",IF(E3187=0,"Nullbestand; ","")))&amp;IF(D3187="","Warengruppe fehlt; ","")&amp;IF(B3187="","Bezeichnung fehlt; ","")&amp;IF(COUNTIFS($A$2:$A$5001,$A3187,$C$2:$C$5001,C3187)&gt;1,"Artikel doppelt im selben Lager; ",""))</f>
        <v/>
      </c>
      <c r="P3187" s="47" t="n">
        <f aca="false">IF(OR($A3187="",D3187=""),0,IF(COUNTIF($D$2:D3187,D3187)=1,SUMIF($D$2:$D$5001,D3187,$H$2:$H$5001)+ROW()/10000000,0))</f>
        <v>0</v>
      </c>
      <c r="Q3187" s="47" t="n">
        <f aca="false">IF(OR($A3187="",C3187=""),0,IF(COUNTIF($C$2:C3187,C3187)=1,SUMIF($C$2:$C$5001,C3187,$H$2:$H$5001)+ROW()/10000000,0))</f>
        <v>0</v>
      </c>
    </row>
    <row r="3188" customFormat="false" ht="15" hidden="false" customHeight="false" outlineLevel="0" collapsed="false">
      <c r="A3188" s="43"/>
      <c r="B3188" s="44"/>
      <c r="C3188" s="44"/>
      <c r="D3188" s="44"/>
      <c r="E3188" s="44"/>
      <c r="F3188" s="44"/>
      <c r="G3188" s="44"/>
      <c r="H3188" s="46" t="str">
        <f aca="false">IF($A3188="","",IF(OR(NOT(ISNUMBER(E3188)),NOT(ISNUMBER(F3188))),"",MAX(0,E3188)*F3188))</f>
        <v/>
      </c>
      <c r="I3188" s="46" t="str">
        <f aca="false">IF($A3188="","",SUMIF($A$2:$A$5001,$A3188,$H$2:$H$5001))</f>
        <v/>
      </c>
      <c r="J3188" s="47" t="n">
        <f aca="false">IF($A3188="",0,IF(COUNTIF($A$2:A3188,$A3188)=1,1,0))</f>
        <v>0</v>
      </c>
      <c r="K3188" s="47" t="n">
        <f aca="false">IF(J3188=1,N(I3188)+ROW()/10000000,0)</f>
        <v>0</v>
      </c>
      <c r="L3188" s="47" t="str">
        <f aca="false">IF(AND(J3188=1,N(I3188)&gt;0),SUMIF($K$2:$K$5001,"&gt;="&amp;K3188,$I$2:$I$5001)/MAX(1,SUM($H$2:$H$5001)),"")</f>
        <v/>
      </c>
      <c r="M3188" s="47" t="str">
        <f aca="false">IF($A3188="","",INDEX($L$2:$L$5001,MATCH($A3188,$A$2:$A$5001,0)))</f>
        <v/>
      </c>
      <c r="N3188" s="48" t="str">
        <f aca="false">IF($A3188="","",IF(N(M3188)=0,"–",IF(M3188&lt;=Start!$D$20,"A",IF(M3188&lt;=Start!$D$21,"B","C"))))</f>
        <v/>
      </c>
      <c r="O3188" s="48" t="str">
        <f aca="false">IF($A3188="","",IF(NOT(ISNUMBER(F3188)),"Wert fehlt; ",IF(F3188&lt;=0,"Wert ist 0; ",""))&amp;IF(NOT(ISNUMBER(E3188)),"Bestand fehlt; ",IF(E3188&lt;0,"Bestand negativ; ",IF(E3188=0,"Nullbestand; ","")))&amp;IF(D3188="","Warengruppe fehlt; ","")&amp;IF(B3188="","Bezeichnung fehlt; ","")&amp;IF(COUNTIFS($A$2:$A$5001,$A3188,$C$2:$C$5001,C3188)&gt;1,"Artikel doppelt im selben Lager; ",""))</f>
        <v/>
      </c>
      <c r="P3188" s="47" t="n">
        <f aca="false">IF(OR($A3188="",D3188=""),0,IF(COUNTIF($D$2:D3188,D3188)=1,SUMIF($D$2:$D$5001,D3188,$H$2:$H$5001)+ROW()/10000000,0))</f>
        <v>0</v>
      </c>
      <c r="Q3188" s="47" t="n">
        <f aca="false">IF(OR($A3188="",C3188=""),0,IF(COUNTIF($C$2:C3188,C3188)=1,SUMIF($C$2:$C$5001,C3188,$H$2:$H$5001)+ROW()/10000000,0))</f>
        <v>0</v>
      </c>
    </row>
    <row r="3189" customFormat="false" ht="15" hidden="false" customHeight="false" outlineLevel="0" collapsed="false">
      <c r="A3189" s="43"/>
      <c r="B3189" s="44"/>
      <c r="C3189" s="44"/>
      <c r="D3189" s="44"/>
      <c r="E3189" s="44"/>
      <c r="F3189" s="44"/>
      <c r="G3189" s="44"/>
      <c r="H3189" s="46" t="str">
        <f aca="false">IF($A3189="","",IF(OR(NOT(ISNUMBER(E3189)),NOT(ISNUMBER(F3189))),"",MAX(0,E3189)*F3189))</f>
        <v/>
      </c>
      <c r="I3189" s="46" t="str">
        <f aca="false">IF($A3189="","",SUMIF($A$2:$A$5001,$A3189,$H$2:$H$5001))</f>
        <v/>
      </c>
      <c r="J3189" s="47" t="n">
        <f aca="false">IF($A3189="",0,IF(COUNTIF($A$2:A3189,$A3189)=1,1,0))</f>
        <v>0</v>
      </c>
      <c r="K3189" s="47" t="n">
        <f aca="false">IF(J3189=1,N(I3189)+ROW()/10000000,0)</f>
        <v>0</v>
      </c>
      <c r="L3189" s="47" t="str">
        <f aca="false">IF(AND(J3189=1,N(I3189)&gt;0),SUMIF($K$2:$K$5001,"&gt;="&amp;K3189,$I$2:$I$5001)/MAX(1,SUM($H$2:$H$5001)),"")</f>
        <v/>
      </c>
      <c r="M3189" s="47" t="str">
        <f aca="false">IF($A3189="","",INDEX($L$2:$L$5001,MATCH($A3189,$A$2:$A$5001,0)))</f>
        <v/>
      </c>
      <c r="N3189" s="48" t="str">
        <f aca="false">IF($A3189="","",IF(N(M3189)=0,"–",IF(M3189&lt;=Start!$D$20,"A",IF(M3189&lt;=Start!$D$21,"B","C"))))</f>
        <v/>
      </c>
      <c r="O3189" s="48" t="str">
        <f aca="false">IF($A3189="","",IF(NOT(ISNUMBER(F3189)),"Wert fehlt; ",IF(F3189&lt;=0,"Wert ist 0; ",""))&amp;IF(NOT(ISNUMBER(E3189)),"Bestand fehlt; ",IF(E3189&lt;0,"Bestand negativ; ",IF(E3189=0,"Nullbestand; ","")))&amp;IF(D3189="","Warengruppe fehlt; ","")&amp;IF(B3189="","Bezeichnung fehlt; ","")&amp;IF(COUNTIFS($A$2:$A$5001,$A3189,$C$2:$C$5001,C3189)&gt;1,"Artikel doppelt im selben Lager; ",""))</f>
        <v/>
      </c>
      <c r="P3189" s="47" t="n">
        <f aca="false">IF(OR($A3189="",D3189=""),0,IF(COUNTIF($D$2:D3189,D3189)=1,SUMIF($D$2:$D$5001,D3189,$H$2:$H$5001)+ROW()/10000000,0))</f>
        <v>0</v>
      </c>
      <c r="Q3189" s="47" t="n">
        <f aca="false">IF(OR($A3189="",C3189=""),0,IF(COUNTIF($C$2:C3189,C3189)=1,SUMIF($C$2:$C$5001,C3189,$H$2:$H$5001)+ROW()/10000000,0))</f>
        <v>0</v>
      </c>
    </row>
    <row r="3190" customFormat="false" ht="15" hidden="false" customHeight="false" outlineLevel="0" collapsed="false">
      <c r="A3190" s="43"/>
      <c r="B3190" s="44"/>
      <c r="C3190" s="44"/>
      <c r="D3190" s="44"/>
      <c r="E3190" s="44"/>
      <c r="F3190" s="44"/>
      <c r="G3190" s="44"/>
      <c r="H3190" s="46" t="str">
        <f aca="false">IF($A3190="","",IF(OR(NOT(ISNUMBER(E3190)),NOT(ISNUMBER(F3190))),"",MAX(0,E3190)*F3190))</f>
        <v/>
      </c>
      <c r="I3190" s="46" t="str">
        <f aca="false">IF($A3190="","",SUMIF($A$2:$A$5001,$A3190,$H$2:$H$5001))</f>
        <v/>
      </c>
      <c r="J3190" s="47" t="n">
        <f aca="false">IF($A3190="",0,IF(COUNTIF($A$2:A3190,$A3190)=1,1,0))</f>
        <v>0</v>
      </c>
      <c r="K3190" s="47" t="n">
        <f aca="false">IF(J3190=1,N(I3190)+ROW()/10000000,0)</f>
        <v>0</v>
      </c>
      <c r="L3190" s="47" t="str">
        <f aca="false">IF(AND(J3190=1,N(I3190)&gt;0),SUMIF($K$2:$K$5001,"&gt;="&amp;K3190,$I$2:$I$5001)/MAX(1,SUM($H$2:$H$5001)),"")</f>
        <v/>
      </c>
      <c r="M3190" s="47" t="str">
        <f aca="false">IF($A3190="","",INDEX($L$2:$L$5001,MATCH($A3190,$A$2:$A$5001,0)))</f>
        <v/>
      </c>
      <c r="N3190" s="48" t="str">
        <f aca="false">IF($A3190="","",IF(N(M3190)=0,"–",IF(M3190&lt;=Start!$D$20,"A",IF(M3190&lt;=Start!$D$21,"B","C"))))</f>
        <v/>
      </c>
      <c r="O3190" s="48" t="str">
        <f aca="false">IF($A3190="","",IF(NOT(ISNUMBER(F3190)),"Wert fehlt; ",IF(F3190&lt;=0,"Wert ist 0; ",""))&amp;IF(NOT(ISNUMBER(E3190)),"Bestand fehlt; ",IF(E3190&lt;0,"Bestand negativ; ",IF(E3190=0,"Nullbestand; ","")))&amp;IF(D3190="","Warengruppe fehlt; ","")&amp;IF(B3190="","Bezeichnung fehlt; ","")&amp;IF(COUNTIFS($A$2:$A$5001,$A3190,$C$2:$C$5001,C3190)&gt;1,"Artikel doppelt im selben Lager; ",""))</f>
        <v/>
      </c>
      <c r="P3190" s="47" t="n">
        <f aca="false">IF(OR($A3190="",D3190=""),0,IF(COUNTIF($D$2:D3190,D3190)=1,SUMIF($D$2:$D$5001,D3190,$H$2:$H$5001)+ROW()/10000000,0))</f>
        <v>0</v>
      </c>
      <c r="Q3190" s="47" t="n">
        <f aca="false">IF(OR($A3190="",C3190=""),0,IF(COUNTIF($C$2:C3190,C3190)=1,SUMIF($C$2:$C$5001,C3190,$H$2:$H$5001)+ROW()/10000000,0))</f>
        <v>0</v>
      </c>
    </row>
    <row r="3191" customFormat="false" ht="15" hidden="false" customHeight="false" outlineLevel="0" collapsed="false">
      <c r="A3191" s="43"/>
      <c r="B3191" s="44"/>
      <c r="C3191" s="44"/>
      <c r="D3191" s="44"/>
      <c r="E3191" s="44"/>
      <c r="F3191" s="44"/>
      <c r="G3191" s="44"/>
      <c r="H3191" s="46" t="str">
        <f aca="false">IF($A3191="","",IF(OR(NOT(ISNUMBER(E3191)),NOT(ISNUMBER(F3191))),"",MAX(0,E3191)*F3191))</f>
        <v/>
      </c>
      <c r="I3191" s="46" t="str">
        <f aca="false">IF($A3191="","",SUMIF($A$2:$A$5001,$A3191,$H$2:$H$5001))</f>
        <v/>
      </c>
      <c r="J3191" s="47" t="n">
        <f aca="false">IF($A3191="",0,IF(COUNTIF($A$2:A3191,$A3191)=1,1,0))</f>
        <v>0</v>
      </c>
      <c r="K3191" s="47" t="n">
        <f aca="false">IF(J3191=1,N(I3191)+ROW()/10000000,0)</f>
        <v>0</v>
      </c>
      <c r="L3191" s="47" t="str">
        <f aca="false">IF(AND(J3191=1,N(I3191)&gt;0),SUMIF($K$2:$K$5001,"&gt;="&amp;K3191,$I$2:$I$5001)/MAX(1,SUM($H$2:$H$5001)),"")</f>
        <v/>
      </c>
      <c r="M3191" s="47" t="str">
        <f aca="false">IF($A3191="","",INDEX($L$2:$L$5001,MATCH($A3191,$A$2:$A$5001,0)))</f>
        <v/>
      </c>
      <c r="N3191" s="48" t="str">
        <f aca="false">IF($A3191="","",IF(N(M3191)=0,"–",IF(M3191&lt;=Start!$D$20,"A",IF(M3191&lt;=Start!$D$21,"B","C"))))</f>
        <v/>
      </c>
      <c r="O3191" s="48" t="str">
        <f aca="false">IF($A3191="","",IF(NOT(ISNUMBER(F3191)),"Wert fehlt; ",IF(F3191&lt;=0,"Wert ist 0; ",""))&amp;IF(NOT(ISNUMBER(E3191)),"Bestand fehlt; ",IF(E3191&lt;0,"Bestand negativ; ",IF(E3191=0,"Nullbestand; ","")))&amp;IF(D3191="","Warengruppe fehlt; ","")&amp;IF(B3191="","Bezeichnung fehlt; ","")&amp;IF(COUNTIFS($A$2:$A$5001,$A3191,$C$2:$C$5001,C3191)&gt;1,"Artikel doppelt im selben Lager; ",""))</f>
        <v/>
      </c>
      <c r="P3191" s="47" t="n">
        <f aca="false">IF(OR($A3191="",D3191=""),0,IF(COUNTIF($D$2:D3191,D3191)=1,SUMIF($D$2:$D$5001,D3191,$H$2:$H$5001)+ROW()/10000000,0))</f>
        <v>0</v>
      </c>
      <c r="Q3191" s="47" t="n">
        <f aca="false">IF(OR($A3191="",C3191=""),0,IF(COUNTIF($C$2:C3191,C3191)=1,SUMIF($C$2:$C$5001,C3191,$H$2:$H$5001)+ROW()/10000000,0))</f>
        <v>0</v>
      </c>
    </row>
    <row r="3192" customFormat="false" ht="15" hidden="false" customHeight="false" outlineLevel="0" collapsed="false">
      <c r="A3192" s="43"/>
      <c r="B3192" s="44"/>
      <c r="C3192" s="44"/>
      <c r="D3192" s="44"/>
      <c r="E3192" s="44"/>
      <c r="F3192" s="44"/>
      <c r="G3192" s="44"/>
      <c r="H3192" s="46" t="str">
        <f aca="false">IF($A3192="","",IF(OR(NOT(ISNUMBER(E3192)),NOT(ISNUMBER(F3192))),"",MAX(0,E3192)*F3192))</f>
        <v/>
      </c>
      <c r="I3192" s="46" t="str">
        <f aca="false">IF($A3192="","",SUMIF($A$2:$A$5001,$A3192,$H$2:$H$5001))</f>
        <v/>
      </c>
      <c r="J3192" s="47" t="n">
        <f aca="false">IF($A3192="",0,IF(COUNTIF($A$2:A3192,$A3192)=1,1,0))</f>
        <v>0</v>
      </c>
      <c r="K3192" s="47" t="n">
        <f aca="false">IF(J3192=1,N(I3192)+ROW()/10000000,0)</f>
        <v>0</v>
      </c>
      <c r="L3192" s="47" t="str">
        <f aca="false">IF(AND(J3192=1,N(I3192)&gt;0),SUMIF($K$2:$K$5001,"&gt;="&amp;K3192,$I$2:$I$5001)/MAX(1,SUM($H$2:$H$5001)),"")</f>
        <v/>
      </c>
      <c r="M3192" s="47" t="str">
        <f aca="false">IF($A3192="","",INDEX($L$2:$L$5001,MATCH($A3192,$A$2:$A$5001,0)))</f>
        <v/>
      </c>
      <c r="N3192" s="48" t="str">
        <f aca="false">IF($A3192="","",IF(N(M3192)=0,"–",IF(M3192&lt;=Start!$D$20,"A",IF(M3192&lt;=Start!$D$21,"B","C"))))</f>
        <v/>
      </c>
      <c r="O3192" s="48" t="str">
        <f aca="false">IF($A3192="","",IF(NOT(ISNUMBER(F3192)),"Wert fehlt; ",IF(F3192&lt;=0,"Wert ist 0; ",""))&amp;IF(NOT(ISNUMBER(E3192)),"Bestand fehlt; ",IF(E3192&lt;0,"Bestand negativ; ",IF(E3192=0,"Nullbestand; ","")))&amp;IF(D3192="","Warengruppe fehlt; ","")&amp;IF(B3192="","Bezeichnung fehlt; ","")&amp;IF(COUNTIFS($A$2:$A$5001,$A3192,$C$2:$C$5001,C3192)&gt;1,"Artikel doppelt im selben Lager; ",""))</f>
        <v/>
      </c>
      <c r="P3192" s="47" t="n">
        <f aca="false">IF(OR($A3192="",D3192=""),0,IF(COUNTIF($D$2:D3192,D3192)=1,SUMIF($D$2:$D$5001,D3192,$H$2:$H$5001)+ROW()/10000000,0))</f>
        <v>0</v>
      </c>
      <c r="Q3192" s="47" t="n">
        <f aca="false">IF(OR($A3192="",C3192=""),0,IF(COUNTIF($C$2:C3192,C3192)=1,SUMIF($C$2:$C$5001,C3192,$H$2:$H$5001)+ROW()/10000000,0))</f>
        <v>0</v>
      </c>
    </row>
    <row r="3193" customFormat="false" ht="15" hidden="false" customHeight="false" outlineLevel="0" collapsed="false">
      <c r="A3193" s="43"/>
      <c r="B3193" s="44"/>
      <c r="C3193" s="44"/>
      <c r="D3193" s="44"/>
      <c r="E3193" s="44"/>
      <c r="F3193" s="44"/>
      <c r="G3193" s="44"/>
      <c r="H3193" s="46" t="str">
        <f aca="false">IF($A3193="","",IF(OR(NOT(ISNUMBER(E3193)),NOT(ISNUMBER(F3193))),"",MAX(0,E3193)*F3193))</f>
        <v/>
      </c>
      <c r="I3193" s="46" t="str">
        <f aca="false">IF($A3193="","",SUMIF($A$2:$A$5001,$A3193,$H$2:$H$5001))</f>
        <v/>
      </c>
      <c r="J3193" s="47" t="n">
        <f aca="false">IF($A3193="",0,IF(COUNTIF($A$2:A3193,$A3193)=1,1,0))</f>
        <v>0</v>
      </c>
      <c r="K3193" s="47" t="n">
        <f aca="false">IF(J3193=1,N(I3193)+ROW()/10000000,0)</f>
        <v>0</v>
      </c>
      <c r="L3193" s="47" t="str">
        <f aca="false">IF(AND(J3193=1,N(I3193)&gt;0),SUMIF($K$2:$K$5001,"&gt;="&amp;K3193,$I$2:$I$5001)/MAX(1,SUM($H$2:$H$5001)),"")</f>
        <v/>
      </c>
      <c r="M3193" s="47" t="str">
        <f aca="false">IF($A3193="","",INDEX($L$2:$L$5001,MATCH($A3193,$A$2:$A$5001,0)))</f>
        <v/>
      </c>
      <c r="N3193" s="48" t="str">
        <f aca="false">IF($A3193="","",IF(N(M3193)=0,"–",IF(M3193&lt;=Start!$D$20,"A",IF(M3193&lt;=Start!$D$21,"B","C"))))</f>
        <v/>
      </c>
      <c r="O3193" s="48" t="str">
        <f aca="false">IF($A3193="","",IF(NOT(ISNUMBER(F3193)),"Wert fehlt; ",IF(F3193&lt;=0,"Wert ist 0; ",""))&amp;IF(NOT(ISNUMBER(E3193)),"Bestand fehlt; ",IF(E3193&lt;0,"Bestand negativ; ",IF(E3193=0,"Nullbestand; ","")))&amp;IF(D3193="","Warengruppe fehlt; ","")&amp;IF(B3193="","Bezeichnung fehlt; ","")&amp;IF(COUNTIFS($A$2:$A$5001,$A3193,$C$2:$C$5001,C3193)&gt;1,"Artikel doppelt im selben Lager; ",""))</f>
        <v/>
      </c>
      <c r="P3193" s="47" t="n">
        <f aca="false">IF(OR($A3193="",D3193=""),0,IF(COUNTIF($D$2:D3193,D3193)=1,SUMIF($D$2:$D$5001,D3193,$H$2:$H$5001)+ROW()/10000000,0))</f>
        <v>0</v>
      </c>
      <c r="Q3193" s="47" t="n">
        <f aca="false">IF(OR($A3193="",C3193=""),0,IF(COUNTIF($C$2:C3193,C3193)=1,SUMIF($C$2:$C$5001,C3193,$H$2:$H$5001)+ROW()/10000000,0))</f>
        <v>0</v>
      </c>
    </row>
    <row r="3194" customFormat="false" ht="15" hidden="false" customHeight="false" outlineLevel="0" collapsed="false">
      <c r="A3194" s="43"/>
      <c r="B3194" s="44"/>
      <c r="C3194" s="44"/>
      <c r="D3194" s="44"/>
      <c r="E3194" s="44"/>
      <c r="F3194" s="44"/>
      <c r="G3194" s="44"/>
      <c r="H3194" s="46" t="str">
        <f aca="false">IF($A3194="","",IF(OR(NOT(ISNUMBER(E3194)),NOT(ISNUMBER(F3194))),"",MAX(0,E3194)*F3194))</f>
        <v/>
      </c>
      <c r="I3194" s="46" t="str">
        <f aca="false">IF($A3194="","",SUMIF($A$2:$A$5001,$A3194,$H$2:$H$5001))</f>
        <v/>
      </c>
      <c r="J3194" s="47" t="n">
        <f aca="false">IF($A3194="",0,IF(COUNTIF($A$2:A3194,$A3194)=1,1,0))</f>
        <v>0</v>
      </c>
      <c r="K3194" s="47" t="n">
        <f aca="false">IF(J3194=1,N(I3194)+ROW()/10000000,0)</f>
        <v>0</v>
      </c>
      <c r="L3194" s="47" t="str">
        <f aca="false">IF(AND(J3194=1,N(I3194)&gt;0),SUMIF($K$2:$K$5001,"&gt;="&amp;K3194,$I$2:$I$5001)/MAX(1,SUM($H$2:$H$5001)),"")</f>
        <v/>
      </c>
      <c r="M3194" s="47" t="str">
        <f aca="false">IF($A3194="","",INDEX($L$2:$L$5001,MATCH($A3194,$A$2:$A$5001,0)))</f>
        <v/>
      </c>
      <c r="N3194" s="48" t="str">
        <f aca="false">IF($A3194="","",IF(N(M3194)=0,"–",IF(M3194&lt;=Start!$D$20,"A",IF(M3194&lt;=Start!$D$21,"B","C"))))</f>
        <v/>
      </c>
      <c r="O3194" s="48" t="str">
        <f aca="false">IF($A3194="","",IF(NOT(ISNUMBER(F3194)),"Wert fehlt; ",IF(F3194&lt;=0,"Wert ist 0; ",""))&amp;IF(NOT(ISNUMBER(E3194)),"Bestand fehlt; ",IF(E3194&lt;0,"Bestand negativ; ",IF(E3194=0,"Nullbestand; ","")))&amp;IF(D3194="","Warengruppe fehlt; ","")&amp;IF(B3194="","Bezeichnung fehlt; ","")&amp;IF(COUNTIFS($A$2:$A$5001,$A3194,$C$2:$C$5001,C3194)&gt;1,"Artikel doppelt im selben Lager; ",""))</f>
        <v/>
      </c>
      <c r="P3194" s="47" t="n">
        <f aca="false">IF(OR($A3194="",D3194=""),0,IF(COUNTIF($D$2:D3194,D3194)=1,SUMIF($D$2:$D$5001,D3194,$H$2:$H$5001)+ROW()/10000000,0))</f>
        <v>0</v>
      </c>
      <c r="Q3194" s="47" t="n">
        <f aca="false">IF(OR($A3194="",C3194=""),0,IF(COUNTIF($C$2:C3194,C3194)=1,SUMIF($C$2:$C$5001,C3194,$H$2:$H$5001)+ROW()/10000000,0))</f>
        <v>0</v>
      </c>
    </row>
    <row r="3195" customFormat="false" ht="15" hidden="false" customHeight="false" outlineLevel="0" collapsed="false">
      <c r="A3195" s="43"/>
      <c r="B3195" s="44"/>
      <c r="C3195" s="44"/>
      <c r="D3195" s="44"/>
      <c r="E3195" s="44"/>
      <c r="F3195" s="44"/>
      <c r="G3195" s="44"/>
      <c r="H3195" s="46" t="str">
        <f aca="false">IF($A3195="","",IF(OR(NOT(ISNUMBER(E3195)),NOT(ISNUMBER(F3195))),"",MAX(0,E3195)*F3195))</f>
        <v/>
      </c>
      <c r="I3195" s="46" t="str">
        <f aca="false">IF($A3195="","",SUMIF($A$2:$A$5001,$A3195,$H$2:$H$5001))</f>
        <v/>
      </c>
      <c r="J3195" s="47" t="n">
        <f aca="false">IF($A3195="",0,IF(COUNTIF($A$2:A3195,$A3195)=1,1,0))</f>
        <v>0</v>
      </c>
      <c r="K3195" s="47" t="n">
        <f aca="false">IF(J3195=1,N(I3195)+ROW()/10000000,0)</f>
        <v>0</v>
      </c>
      <c r="L3195" s="47" t="str">
        <f aca="false">IF(AND(J3195=1,N(I3195)&gt;0),SUMIF($K$2:$K$5001,"&gt;="&amp;K3195,$I$2:$I$5001)/MAX(1,SUM($H$2:$H$5001)),"")</f>
        <v/>
      </c>
      <c r="M3195" s="47" t="str">
        <f aca="false">IF($A3195="","",INDEX($L$2:$L$5001,MATCH($A3195,$A$2:$A$5001,0)))</f>
        <v/>
      </c>
      <c r="N3195" s="48" t="str">
        <f aca="false">IF($A3195="","",IF(N(M3195)=0,"–",IF(M3195&lt;=Start!$D$20,"A",IF(M3195&lt;=Start!$D$21,"B","C"))))</f>
        <v/>
      </c>
      <c r="O3195" s="48" t="str">
        <f aca="false">IF($A3195="","",IF(NOT(ISNUMBER(F3195)),"Wert fehlt; ",IF(F3195&lt;=0,"Wert ist 0; ",""))&amp;IF(NOT(ISNUMBER(E3195)),"Bestand fehlt; ",IF(E3195&lt;0,"Bestand negativ; ",IF(E3195=0,"Nullbestand; ","")))&amp;IF(D3195="","Warengruppe fehlt; ","")&amp;IF(B3195="","Bezeichnung fehlt; ","")&amp;IF(COUNTIFS($A$2:$A$5001,$A3195,$C$2:$C$5001,C3195)&gt;1,"Artikel doppelt im selben Lager; ",""))</f>
        <v/>
      </c>
      <c r="P3195" s="47" t="n">
        <f aca="false">IF(OR($A3195="",D3195=""),0,IF(COUNTIF($D$2:D3195,D3195)=1,SUMIF($D$2:$D$5001,D3195,$H$2:$H$5001)+ROW()/10000000,0))</f>
        <v>0</v>
      </c>
      <c r="Q3195" s="47" t="n">
        <f aca="false">IF(OR($A3195="",C3195=""),0,IF(COUNTIF($C$2:C3195,C3195)=1,SUMIF($C$2:$C$5001,C3195,$H$2:$H$5001)+ROW()/10000000,0))</f>
        <v>0</v>
      </c>
    </row>
    <row r="3196" customFormat="false" ht="15" hidden="false" customHeight="false" outlineLevel="0" collapsed="false">
      <c r="A3196" s="43"/>
      <c r="B3196" s="44"/>
      <c r="C3196" s="44"/>
      <c r="D3196" s="44"/>
      <c r="E3196" s="44"/>
      <c r="F3196" s="44"/>
      <c r="G3196" s="44"/>
      <c r="H3196" s="46" t="str">
        <f aca="false">IF($A3196="","",IF(OR(NOT(ISNUMBER(E3196)),NOT(ISNUMBER(F3196))),"",MAX(0,E3196)*F3196))</f>
        <v/>
      </c>
      <c r="I3196" s="46" t="str">
        <f aca="false">IF($A3196="","",SUMIF($A$2:$A$5001,$A3196,$H$2:$H$5001))</f>
        <v/>
      </c>
      <c r="J3196" s="47" t="n">
        <f aca="false">IF($A3196="",0,IF(COUNTIF($A$2:A3196,$A3196)=1,1,0))</f>
        <v>0</v>
      </c>
      <c r="K3196" s="47" t="n">
        <f aca="false">IF(J3196=1,N(I3196)+ROW()/10000000,0)</f>
        <v>0</v>
      </c>
      <c r="L3196" s="47" t="str">
        <f aca="false">IF(AND(J3196=1,N(I3196)&gt;0),SUMIF($K$2:$K$5001,"&gt;="&amp;K3196,$I$2:$I$5001)/MAX(1,SUM($H$2:$H$5001)),"")</f>
        <v/>
      </c>
      <c r="M3196" s="47" t="str">
        <f aca="false">IF($A3196="","",INDEX($L$2:$L$5001,MATCH($A3196,$A$2:$A$5001,0)))</f>
        <v/>
      </c>
      <c r="N3196" s="48" t="str">
        <f aca="false">IF($A3196="","",IF(N(M3196)=0,"–",IF(M3196&lt;=Start!$D$20,"A",IF(M3196&lt;=Start!$D$21,"B","C"))))</f>
        <v/>
      </c>
      <c r="O3196" s="48" t="str">
        <f aca="false">IF($A3196="","",IF(NOT(ISNUMBER(F3196)),"Wert fehlt; ",IF(F3196&lt;=0,"Wert ist 0; ",""))&amp;IF(NOT(ISNUMBER(E3196)),"Bestand fehlt; ",IF(E3196&lt;0,"Bestand negativ; ",IF(E3196=0,"Nullbestand; ","")))&amp;IF(D3196="","Warengruppe fehlt; ","")&amp;IF(B3196="","Bezeichnung fehlt; ","")&amp;IF(COUNTIFS($A$2:$A$5001,$A3196,$C$2:$C$5001,C3196)&gt;1,"Artikel doppelt im selben Lager; ",""))</f>
        <v/>
      </c>
      <c r="P3196" s="47" t="n">
        <f aca="false">IF(OR($A3196="",D3196=""),0,IF(COUNTIF($D$2:D3196,D3196)=1,SUMIF($D$2:$D$5001,D3196,$H$2:$H$5001)+ROW()/10000000,0))</f>
        <v>0</v>
      </c>
      <c r="Q3196" s="47" t="n">
        <f aca="false">IF(OR($A3196="",C3196=""),0,IF(COUNTIF($C$2:C3196,C3196)=1,SUMIF($C$2:$C$5001,C3196,$H$2:$H$5001)+ROW()/10000000,0))</f>
        <v>0</v>
      </c>
    </row>
    <row r="3197" customFormat="false" ht="15" hidden="false" customHeight="false" outlineLevel="0" collapsed="false">
      <c r="A3197" s="43"/>
      <c r="B3197" s="44"/>
      <c r="C3197" s="44"/>
      <c r="D3197" s="44"/>
      <c r="E3197" s="44"/>
      <c r="F3197" s="44"/>
      <c r="G3197" s="44"/>
      <c r="H3197" s="46" t="str">
        <f aca="false">IF($A3197="","",IF(OR(NOT(ISNUMBER(E3197)),NOT(ISNUMBER(F3197))),"",MAX(0,E3197)*F3197))</f>
        <v/>
      </c>
      <c r="I3197" s="46" t="str">
        <f aca="false">IF($A3197="","",SUMIF($A$2:$A$5001,$A3197,$H$2:$H$5001))</f>
        <v/>
      </c>
      <c r="J3197" s="47" t="n">
        <f aca="false">IF($A3197="",0,IF(COUNTIF($A$2:A3197,$A3197)=1,1,0))</f>
        <v>0</v>
      </c>
      <c r="K3197" s="47" t="n">
        <f aca="false">IF(J3197=1,N(I3197)+ROW()/10000000,0)</f>
        <v>0</v>
      </c>
      <c r="L3197" s="47" t="str">
        <f aca="false">IF(AND(J3197=1,N(I3197)&gt;0),SUMIF($K$2:$K$5001,"&gt;="&amp;K3197,$I$2:$I$5001)/MAX(1,SUM($H$2:$H$5001)),"")</f>
        <v/>
      </c>
      <c r="M3197" s="47" t="str">
        <f aca="false">IF($A3197="","",INDEX($L$2:$L$5001,MATCH($A3197,$A$2:$A$5001,0)))</f>
        <v/>
      </c>
      <c r="N3197" s="48" t="str">
        <f aca="false">IF($A3197="","",IF(N(M3197)=0,"–",IF(M3197&lt;=Start!$D$20,"A",IF(M3197&lt;=Start!$D$21,"B","C"))))</f>
        <v/>
      </c>
      <c r="O3197" s="48" t="str">
        <f aca="false">IF($A3197="","",IF(NOT(ISNUMBER(F3197)),"Wert fehlt; ",IF(F3197&lt;=0,"Wert ist 0; ",""))&amp;IF(NOT(ISNUMBER(E3197)),"Bestand fehlt; ",IF(E3197&lt;0,"Bestand negativ; ",IF(E3197=0,"Nullbestand; ","")))&amp;IF(D3197="","Warengruppe fehlt; ","")&amp;IF(B3197="","Bezeichnung fehlt; ","")&amp;IF(COUNTIFS($A$2:$A$5001,$A3197,$C$2:$C$5001,C3197)&gt;1,"Artikel doppelt im selben Lager; ",""))</f>
        <v/>
      </c>
      <c r="P3197" s="47" t="n">
        <f aca="false">IF(OR($A3197="",D3197=""),0,IF(COUNTIF($D$2:D3197,D3197)=1,SUMIF($D$2:$D$5001,D3197,$H$2:$H$5001)+ROW()/10000000,0))</f>
        <v>0</v>
      </c>
      <c r="Q3197" s="47" t="n">
        <f aca="false">IF(OR($A3197="",C3197=""),0,IF(COUNTIF($C$2:C3197,C3197)=1,SUMIF($C$2:$C$5001,C3197,$H$2:$H$5001)+ROW()/10000000,0))</f>
        <v>0</v>
      </c>
    </row>
    <row r="3198" customFormat="false" ht="15" hidden="false" customHeight="false" outlineLevel="0" collapsed="false">
      <c r="A3198" s="43"/>
      <c r="B3198" s="44"/>
      <c r="C3198" s="44"/>
      <c r="D3198" s="44"/>
      <c r="E3198" s="44"/>
      <c r="F3198" s="44"/>
      <c r="G3198" s="44"/>
      <c r="H3198" s="46" t="str">
        <f aca="false">IF($A3198="","",IF(OR(NOT(ISNUMBER(E3198)),NOT(ISNUMBER(F3198))),"",MAX(0,E3198)*F3198))</f>
        <v/>
      </c>
      <c r="I3198" s="46" t="str">
        <f aca="false">IF($A3198="","",SUMIF($A$2:$A$5001,$A3198,$H$2:$H$5001))</f>
        <v/>
      </c>
      <c r="J3198" s="47" t="n">
        <f aca="false">IF($A3198="",0,IF(COUNTIF($A$2:A3198,$A3198)=1,1,0))</f>
        <v>0</v>
      </c>
      <c r="K3198" s="47" t="n">
        <f aca="false">IF(J3198=1,N(I3198)+ROW()/10000000,0)</f>
        <v>0</v>
      </c>
      <c r="L3198" s="47" t="str">
        <f aca="false">IF(AND(J3198=1,N(I3198)&gt;0),SUMIF($K$2:$K$5001,"&gt;="&amp;K3198,$I$2:$I$5001)/MAX(1,SUM($H$2:$H$5001)),"")</f>
        <v/>
      </c>
      <c r="M3198" s="47" t="str">
        <f aca="false">IF($A3198="","",INDEX($L$2:$L$5001,MATCH($A3198,$A$2:$A$5001,0)))</f>
        <v/>
      </c>
      <c r="N3198" s="48" t="str">
        <f aca="false">IF($A3198="","",IF(N(M3198)=0,"–",IF(M3198&lt;=Start!$D$20,"A",IF(M3198&lt;=Start!$D$21,"B","C"))))</f>
        <v/>
      </c>
      <c r="O3198" s="48" t="str">
        <f aca="false">IF($A3198="","",IF(NOT(ISNUMBER(F3198)),"Wert fehlt; ",IF(F3198&lt;=0,"Wert ist 0; ",""))&amp;IF(NOT(ISNUMBER(E3198)),"Bestand fehlt; ",IF(E3198&lt;0,"Bestand negativ; ",IF(E3198=0,"Nullbestand; ","")))&amp;IF(D3198="","Warengruppe fehlt; ","")&amp;IF(B3198="","Bezeichnung fehlt; ","")&amp;IF(COUNTIFS($A$2:$A$5001,$A3198,$C$2:$C$5001,C3198)&gt;1,"Artikel doppelt im selben Lager; ",""))</f>
        <v/>
      </c>
      <c r="P3198" s="47" t="n">
        <f aca="false">IF(OR($A3198="",D3198=""),0,IF(COUNTIF($D$2:D3198,D3198)=1,SUMIF($D$2:$D$5001,D3198,$H$2:$H$5001)+ROW()/10000000,0))</f>
        <v>0</v>
      </c>
      <c r="Q3198" s="47" t="n">
        <f aca="false">IF(OR($A3198="",C3198=""),0,IF(COUNTIF($C$2:C3198,C3198)=1,SUMIF($C$2:$C$5001,C3198,$H$2:$H$5001)+ROW()/10000000,0))</f>
        <v>0</v>
      </c>
    </row>
    <row r="3199" customFormat="false" ht="15" hidden="false" customHeight="false" outlineLevel="0" collapsed="false">
      <c r="A3199" s="43"/>
      <c r="B3199" s="44"/>
      <c r="C3199" s="44"/>
      <c r="D3199" s="44"/>
      <c r="E3199" s="44"/>
      <c r="F3199" s="44"/>
      <c r="G3199" s="44"/>
      <c r="H3199" s="46" t="str">
        <f aca="false">IF($A3199="","",IF(OR(NOT(ISNUMBER(E3199)),NOT(ISNUMBER(F3199))),"",MAX(0,E3199)*F3199))</f>
        <v/>
      </c>
      <c r="I3199" s="46" t="str">
        <f aca="false">IF($A3199="","",SUMIF($A$2:$A$5001,$A3199,$H$2:$H$5001))</f>
        <v/>
      </c>
      <c r="J3199" s="47" t="n">
        <f aca="false">IF($A3199="",0,IF(COUNTIF($A$2:A3199,$A3199)=1,1,0))</f>
        <v>0</v>
      </c>
      <c r="K3199" s="47" t="n">
        <f aca="false">IF(J3199=1,N(I3199)+ROW()/10000000,0)</f>
        <v>0</v>
      </c>
      <c r="L3199" s="47" t="str">
        <f aca="false">IF(AND(J3199=1,N(I3199)&gt;0),SUMIF($K$2:$K$5001,"&gt;="&amp;K3199,$I$2:$I$5001)/MAX(1,SUM($H$2:$H$5001)),"")</f>
        <v/>
      </c>
      <c r="M3199" s="47" t="str">
        <f aca="false">IF($A3199="","",INDEX($L$2:$L$5001,MATCH($A3199,$A$2:$A$5001,0)))</f>
        <v/>
      </c>
      <c r="N3199" s="48" t="str">
        <f aca="false">IF($A3199="","",IF(N(M3199)=0,"–",IF(M3199&lt;=Start!$D$20,"A",IF(M3199&lt;=Start!$D$21,"B","C"))))</f>
        <v/>
      </c>
      <c r="O3199" s="48" t="str">
        <f aca="false">IF($A3199="","",IF(NOT(ISNUMBER(F3199)),"Wert fehlt; ",IF(F3199&lt;=0,"Wert ist 0; ",""))&amp;IF(NOT(ISNUMBER(E3199)),"Bestand fehlt; ",IF(E3199&lt;0,"Bestand negativ; ",IF(E3199=0,"Nullbestand; ","")))&amp;IF(D3199="","Warengruppe fehlt; ","")&amp;IF(B3199="","Bezeichnung fehlt; ","")&amp;IF(COUNTIFS($A$2:$A$5001,$A3199,$C$2:$C$5001,C3199)&gt;1,"Artikel doppelt im selben Lager; ",""))</f>
        <v/>
      </c>
      <c r="P3199" s="47" t="n">
        <f aca="false">IF(OR($A3199="",D3199=""),0,IF(COUNTIF($D$2:D3199,D3199)=1,SUMIF($D$2:$D$5001,D3199,$H$2:$H$5001)+ROW()/10000000,0))</f>
        <v>0</v>
      </c>
      <c r="Q3199" s="47" t="n">
        <f aca="false">IF(OR($A3199="",C3199=""),0,IF(COUNTIF($C$2:C3199,C3199)=1,SUMIF($C$2:$C$5001,C3199,$H$2:$H$5001)+ROW()/10000000,0))</f>
        <v>0</v>
      </c>
    </row>
    <row r="3200" customFormat="false" ht="15" hidden="false" customHeight="false" outlineLevel="0" collapsed="false">
      <c r="A3200" s="43"/>
      <c r="B3200" s="44"/>
      <c r="C3200" s="44"/>
      <c r="D3200" s="44"/>
      <c r="E3200" s="44"/>
      <c r="F3200" s="44"/>
      <c r="G3200" s="44"/>
      <c r="H3200" s="46" t="str">
        <f aca="false">IF($A3200="","",IF(OR(NOT(ISNUMBER(E3200)),NOT(ISNUMBER(F3200))),"",MAX(0,E3200)*F3200))</f>
        <v/>
      </c>
      <c r="I3200" s="46" t="str">
        <f aca="false">IF($A3200="","",SUMIF($A$2:$A$5001,$A3200,$H$2:$H$5001))</f>
        <v/>
      </c>
      <c r="J3200" s="47" t="n">
        <f aca="false">IF($A3200="",0,IF(COUNTIF($A$2:A3200,$A3200)=1,1,0))</f>
        <v>0</v>
      </c>
      <c r="K3200" s="47" t="n">
        <f aca="false">IF(J3200=1,N(I3200)+ROW()/10000000,0)</f>
        <v>0</v>
      </c>
      <c r="L3200" s="47" t="str">
        <f aca="false">IF(AND(J3200=1,N(I3200)&gt;0),SUMIF($K$2:$K$5001,"&gt;="&amp;K3200,$I$2:$I$5001)/MAX(1,SUM($H$2:$H$5001)),"")</f>
        <v/>
      </c>
      <c r="M3200" s="47" t="str">
        <f aca="false">IF($A3200="","",INDEX($L$2:$L$5001,MATCH($A3200,$A$2:$A$5001,0)))</f>
        <v/>
      </c>
      <c r="N3200" s="48" t="str">
        <f aca="false">IF($A3200="","",IF(N(M3200)=0,"–",IF(M3200&lt;=Start!$D$20,"A",IF(M3200&lt;=Start!$D$21,"B","C"))))</f>
        <v/>
      </c>
      <c r="O3200" s="48" t="str">
        <f aca="false">IF($A3200="","",IF(NOT(ISNUMBER(F3200)),"Wert fehlt; ",IF(F3200&lt;=0,"Wert ist 0; ",""))&amp;IF(NOT(ISNUMBER(E3200)),"Bestand fehlt; ",IF(E3200&lt;0,"Bestand negativ; ",IF(E3200=0,"Nullbestand; ","")))&amp;IF(D3200="","Warengruppe fehlt; ","")&amp;IF(B3200="","Bezeichnung fehlt; ","")&amp;IF(COUNTIFS($A$2:$A$5001,$A3200,$C$2:$C$5001,C3200)&gt;1,"Artikel doppelt im selben Lager; ",""))</f>
        <v/>
      </c>
      <c r="P3200" s="47" t="n">
        <f aca="false">IF(OR($A3200="",D3200=""),0,IF(COUNTIF($D$2:D3200,D3200)=1,SUMIF($D$2:$D$5001,D3200,$H$2:$H$5001)+ROW()/10000000,0))</f>
        <v>0</v>
      </c>
      <c r="Q3200" s="47" t="n">
        <f aca="false">IF(OR($A3200="",C3200=""),0,IF(COUNTIF($C$2:C3200,C3200)=1,SUMIF($C$2:$C$5001,C3200,$H$2:$H$5001)+ROW()/10000000,0))</f>
        <v>0</v>
      </c>
    </row>
    <row r="3201" customFormat="false" ht="15" hidden="false" customHeight="false" outlineLevel="0" collapsed="false">
      <c r="A3201" s="43"/>
      <c r="B3201" s="44"/>
      <c r="C3201" s="44"/>
      <c r="D3201" s="44"/>
      <c r="E3201" s="44"/>
      <c r="F3201" s="44"/>
      <c r="G3201" s="44"/>
      <c r="H3201" s="46" t="str">
        <f aca="false">IF($A3201="","",IF(OR(NOT(ISNUMBER(E3201)),NOT(ISNUMBER(F3201))),"",MAX(0,E3201)*F3201))</f>
        <v/>
      </c>
      <c r="I3201" s="46" t="str">
        <f aca="false">IF($A3201="","",SUMIF($A$2:$A$5001,$A3201,$H$2:$H$5001))</f>
        <v/>
      </c>
      <c r="J3201" s="47" t="n">
        <f aca="false">IF($A3201="",0,IF(COUNTIF($A$2:A3201,$A3201)=1,1,0))</f>
        <v>0</v>
      </c>
      <c r="K3201" s="47" t="n">
        <f aca="false">IF(J3201=1,N(I3201)+ROW()/10000000,0)</f>
        <v>0</v>
      </c>
      <c r="L3201" s="47" t="str">
        <f aca="false">IF(AND(J3201=1,N(I3201)&gt;0),SUMIF($K$2:$K$5001,"&gt;="&amp;K3201,$I$2:$I$5001)/MAX(1,SUM($H$2:$H$5001)),"")</f>
        <v/>
      </c>
      <c r="M3201" s="47" t="str">
        <f aca="false">IF($A3201="","",INDEX($L$2:$L$5001,MATCH($A3201,$A$2:$A$5001,0)))</f>
        <v/>
      </c>
      <c r="N3201" s="48" t="str">
        <f aca="false">IF($A3201="","",IF(N(M3201)=0,"–",IF(M3201&lt;=Start!$D$20,"A",IF(M3201&lt;=Start!$D$21,"B","C"))))</f>
        <v/>
      </c>
      <c r="O3201" s="48" t="str">
        <f aca="false">IF($A3201="","",IF(NOT(ISNUMBER(F3201)),"Wert fehlt; ",IF(F3201&lt;=0,"Wert ist 0; ",""))&amp;IF(NOT(ISNUMBER(E3201)),"Bestand fehlt; ",IF(E3201&lt;0,"Bestand negativ; ",IF(E3201=0,"Nullbestand; ","")))&amp;IF(D3201="","Warengruppe fehlt; ","")&amp;IF(B3201="","Bezeichnung fehlt; ","")&amp;IF(COUNTIFS($A$2:$A$5001,$A3201,$C$2:$C$5001,C3201)&gt;1,"Artikel doppelt im selben Lager; ",""))</f>
        <v/>
      </c>
      <c r="P3201" s="47" t="n">
        <f aca="false">IF(OR($A3201="",D3201=""),0,IF(COUNTIF($D$2:D3201,D3201)=1,SUMIF($D$2:$D$5001,D3201,$H$2:$H$5001)+ROW()/10000000,0))</f>
        <v>0</v>
      </c>
      <c r="Q3201" s="47" t="n">
        <f aca="false">IF(OR($A3201="",C3201=""),0,IF(COUNTIF($C$2:C3201,C3201)=1,SUMIF($C$2:$C$5001,C3201,$H$2:$H$5001)+ROW()/10000000,0))</f>
        <v>0</v>
      </c>
    </row>
    <row r="3202" customFormat="false" ht="15" hidden="false" customHeight="false" outlineLevel="0" collapsed="false">
      <c r="A3202" s="43"/>
      <c r="B3202" s="44"/>
      <c r="C3202" s="44"/>
      <c r="D3202" s="44"/>
      <c r="E3202" s="44"/>
      <c r="F3202" s="44"/>
      <c r="G3202" s="44"/>
      <c r="H3202" s="46" t="str">
        <f aca="false">IF($A3202="","",IF(OR(NOT(ISNUMBER(E3202)),NOT(ISNUMBER(F3202))),"",MAX(0,E3202)*F3202))</f>
        <v/>
      </c>
      <c r="I3202" s="46" t="str">
        <f aca="false">IF($A3202="","",SUMIF($A$2:$A$5001,$A3202,$H$2:$H$5001))</f>
        <v/>
      </c>
      <c r="J3202" s="47" t="n">
        <f aca="false">IF($A3202="",0,IF(COUNTIF($A$2:A3202,$A3202)=1,1,0))</f>
        <v>0</v>
      </c>
      <c r="K3202" s="47" t="n">
        <f aca="false">IF(J3202=1,N(I3202)+ROW()/10000000,0)</f>
        <v>0</v>
      </c>
      <c r="L3202" s="47" t="str">
        <f aca="false">IF(AND(J3202=1,N(I3202)&gt;0),SUMIF($K$2:$K$5001,"&gt;="&amp;K3202,$I$2:$I$5001)/MAX(1,SUM($H$2:$H$5001)),"")</f>
        <v/>
      </c>
      <c r="M3202" s="47" t="str">
        <f aca="false">IF($A3202="","",INDEX($L$2:$L$5001,MATCH($A3202,$A$2:$A$5001,0)))</f>
        <v/>
      </c>
      <c r="N3202" s="48" t="str">
        <f aca="false">IF($A3202="","",IF(N(M3202)=0,"–",IF(M3202&lt;=Start!$D$20,"A",IF(M3202&lt;=Start!$D$21,"B","C"))))</f>
        <v/>
      </c>
      <c r="O3202" s="48" t="str">
        <f aca="false">IF($A3202="","",IF(NOT(ISNUMBER(F3202)),"Wert fehlt; ",IF(F3202&lt;=0,"Wert ist 0; ",""))&amp;IF(NOT(ISNUMBER(E3202)),"Bestand fehlt; ",IF(E3202&lt;0,"Bestand negativ; ",IF(E3202=0,"Nullbestand; ","")))&amp;IF(D3202="","Warengruppe fehlt; ","")&amp;IF(B3202="","Bezeichnung fehlt; ","")&amp;IF(COUNTIFS($A$2:$A$5001,$A3202,$C$2:$C$5001,C3202)&gt;1,"Artikel doppelt im selben Lager; ",""))</f>
        <v/>
      </c>
      <c r="P3202" s="47" t="n">
        <f aca="false">IF(OR($A3202="",D3202=""),0,IF(COUNTIF($D$2:D3202,D3202)=1,SUMIF($D$2:$D$5001,D3202,$H$2:$H$5001)+ROW()/10000000,0))</f>
        <v>0</v>
      </c>
      <c r="Q3202" s="47" t="n">
        <f aca="false">IF(OR($A3202="",C3202=""),0,IF(COUNTIF($C$2:C3202,C3202)=1,SUMIF($C$2:$C$5001,C3202,$H$2:$H$5001)+ROW()/10000000,0))</f>
        <v>0</v>
      </c>
    </row>
    <row r="3203" customFormat="false" ht="15" hidden="false" customHeight="false" outlineLevel="0" collapsed="false">
      <c r="A3203" s="43"/>
      <c r="B3203" s="44"/>
      <c r="C3203" s="44"/>
      <c r="D3203" s="44"/>
      <c r="E3203" s="44"/>
      <c r="F3203" s="44"/>
      <c r="G3203" s="44"/>
      <c r="H3203" s="46" t="str">
        <f aca="false">IF($A3203="","",IF(OR(NOT(ISNUMBER(E3203)),NOT(ISNUMBER(F3203))),"",MAX(0,E3203)*F3203))</f>
        <v/>
      </c>
      <c r="I3203" s="46" t="str">
        <f aca="false">IF($A3203="","",SUMIF($A$2:$A$5001,$A3203,$H$2:$H$5001))</f>
        <v/>
      </c>
      <c r="J3203" s="47" t="n">
        <f aca="false">IF($A3203="",0,IF(COUNTIF($A$2:A3203,$A3203)=1,1,0))</f>
        <v>0</v>
      </c>
      <c r="K3203" s="47" t="n">
        <f aca="false">IF(J3203=1,N(I3203)+ROW()/10000000,0)</f>
        <v>0</v>
      </c>
      <c r="L3203" s="47" t="str">
        <f aca="false">IF(AND(J3203=1,N(I3203)&gt;0),SUMIF($K$2:$K$5001,"&gt;="&amp;K3203,$I$2:$I$5001)/MAX(1,SUM($H$2:$H$5001)),"")</f>
        <v/>
      </c>
      <c r="M3203" s="47" t="str">
        <f aca="false">IF($A3203="","",INDEX($L$2:$L$5001,MATCH($A3203,$A$2:$A$5001,0)))</f>
        <v/>
      </c>
      <c r="N3203" s="48" t="str">
        <f aca="false">IF($A3203="","",IF(N(M3203)=0,"–",IF(M3203&lt;=Start!$D$20,"A",IF(M3203&lt;=Start!$D$21,"B","C"))))</f>
        <v/>
      </c>
      <c r="O3203" s="48" t="str">
        <f aca="false">IF($A3203="","",IF(NOT(ISNUMBER(F3203)),"Wert fehlt; ",IF(F3203&lt;=0,"Wert ist 0; ",""))&amp;IF(NOT(ISNUMBER(E3203)),"Bestand fehlt; ",IF(E3203&lt;0,"Bestand negativ; ",IF(E3203=0,"Nullbestand; ","")))&amp;IF(D3203="","Warengruppe fehlt; ","")&amp;IF(B3203="","Bezeichnung fehlt; ","")&amp;IF(COUNTIFS($A$2:$A$5001,$A3203,$C$2:$C$5001,C3203)&gt;1,"Artikel doppelt im selben Lager; ",""))</f>
        <v/>
      </c>
      <c r="P3203" s="47" t="n">
        <f aca="false">IF(OR($A3203="",D3203=""),0,IF(COUNTIF($D$2:D3203,D3203)=1,SUMIF($D$2:$D$5001,D3203,$H$2:$H$5001)+ROW()/10000000,0))</f>
        <v>0</v>
      </c>
      <c r="Q3203" s="47" t="n">
        <f aca="false">IF(OR($A3203="",C3203=""),0,IF(COUNTIF($C$2:C3203,C3203)=1,SUMIF($C$2:$C$5001,C3203,$H$2:$H$5001)+ROW()/10000000,0))</f>
        <v>0</v>
      </c>
    </row>
    <row r="3204" customFormat="false" ht="15" hidden="false" customHeight="false" outlineLevel="0" collapsed="false">
      <c r="A3204" s="43"/>
      <c r="B3204" s="44"/>
      <c r="C3204" s="44"/>
      <c r="D3204" s="44"/>
      <c r="E3204" s="44"/>
      <c r="F3204" s="44"/>
      <c r="G3204" s="44"/>
      <c r="H3204" s="46" t="str">
        <f aca="false">IF($A3204="","",IF(OR(NOT(ISNUMBER(E3204)),NOT(ISNUMBER(F3204))),"",MAX(0,E3204)*F3204))</f>
        <v/>
      </c>
      <c r="I3204" s="46" t="str">
        <f aca="false">IF($A3204="","",SUMIF($A$2:$A$5001,$A3204,$H$2:$H$5001))</f>
        <v/>
      </c>
      <c r="J3204" s="47" t="n">
        <f aca="false">IF($A3204="",0,IF(COUNTIF($A$2:A3204,$A3204)=1,1,0))</f>
        <v>0</v>
      </c>
      <c r="K3204" s="47" t="n">
        <f aca="false">IF(J3204=1,N(I3204)+ROW()/10000000,0)</f>
        <v>0</v>
      </c>
      <c r="L3204" s="47" t="str">
        <f aca="false">IF(AND(J3204=1,N(I3204)&gt;0),SUMIF($K$2:$K$5001,"&gt;="&amp;K3204,$I$2:$I$5001)/MAX(1,SUM($H$2:$H$5001)),"")</f>
        <v/>
      </c>
      <c r="M3204" s="47" t="str">
        <f aca="false">IF($A3204="","",INDEX($L$2:$L$5001,MATCH($A3204,$A$2:$A$5001,0)))</f>
        <v/>
      </c>
      <c r="N3204" s="48" t="str">
        <f aca="false">IF($A3204="","",IF(N(M3204)=0,"–",IF(M3204&lt;=Start!$D$20,"A",IF(M3204&lt;=Start!$D$21,"B","C"))))</f>
        <v/>
      </c>
      <c r="O3204" s="48" t="str">
        <f aca="false">IF($A3204="","",IF(NOT(ISNUMBER(F3204)),"Wert fehlt; ",IF(F3204&lt;=0,"Wert ist 0; ",""))&amp;IF(NOT(ISNUMBER(E3204)),"Bestand fehlt; ",IF(E3204&lt;0,"Bestand negativ; ",IF(E3204=0,"Nullbestand; ","")))&amp;IF(D3204="","Warengruppe fehlt; ","")&amp;IF(B3204="","Bezeichnung fehlt; ","")&amp;IF(COUNTIFS($A$2:$A$5001,$A3204,$C$2:$C$5001,C3204)&gt;1,"Artikel doppelt im selben Lager; ",""))</f>
        <v/>
      </c>
      <c r="P3204" s="47" t="n">
        <f aca="false">IF(OR($A3204="",D3204=""),0,IF(COUNTIF($D$2:D3204,D3204)=1,SUMIF($D$2:$D$5001,D3204,$H$2:$H$5001)+ROW()/10000000,0))</f>
        <v>0</v>
      </c>
      <c r="Q3204" s="47" t="n">
        <f aca="false">IF(OR($A3204="",C3204=""),0,IF(COUNTIF($C$2:C3204,C3204)=1,SUMIF($C$2:$C$5001,C3204,$H$2:$H$5001)+ROW()/10000000,0))</f>
        <v>0</v>
      </c>
    </row>
    <row r="3205" customFormat="false" ht="15" hidden="false" customHeight="false" outlineLevel="0" collapsed="false">
      <c r="A3205" s="43"/>
      <c r="B3205" s="44"/>
      <c r="C3205" s="44"/>
      <c r="D3205" s="44"/>
      <c r="E3205" s="44"/>
      <c r="F3205" s="44"/>
      <c r="G3205" s="44"/>
      <c r="H3205" s="46" t="str">
        <f aca="false">IF($A3205="","",IF(OR(NOT(ISNUMBER(E3205)),NOT(ISNUMBER(F3205))),"",MAX(0,E3205)*F3205))</f>
        <v/>
      </c>
      <c r="I3205" s="46" t="str">
        <f aca="false">IF($A3205="","",SUMIF($A$2:$A$5001,$A3205,$H$2:$H$5001))</f>
        <v/>
      </c>
      <c r="J3205" s="47" t="n">
        <f aca="false">IF($A3205="",0,IF(COUNTIF($A$2:A3205,$A3205)=1,1,0))</f>
        <v>0</v>
      </c>
      <c r="K3205" s="47" t="n">
        <f aca="false">IF(J3205=1,N(I3205)+ROW()/10000000,0)</f>
        <v>0</v>
      </c>
      <c r="L3205" s="47" t="str">
        <f aca="false">IF(AND(J3205=1,N(I3205)&gt;0),SUMIF($K$2:$K$5001,"&gt;="&amp;K3205,$I$2:$I$5001)/MAX(1,SUM($H$2:$H$5001)),"")</f>
        <v/>
      </c>
      <c r="M3205" s="47" t="str">
        <f aca="false">IF($A3205="","",INDEX($L$2:$L$5001,MATCH($A3205,$A$2:$A$5001,0)))</f>
        <v/>
      </c>
      <c r="N3205" s="48" t="str">
        <f aca="false">IF($A3205="","",IF(N(M3205)=0,"–",IF(M3205&lt;=Start!$D$20,"A",IF(M3205&lt;=Start!$D$21,"B","C"))))</f>
        <v/>
      </c>
      <c r="O3205" s="48" t="str">
        <f aca="false">IF($A3205="","",IF(NOT(ISNUMBER(F3205)),"Wert fehlt; ",IF(F3205&lt;=0,"Wert ist 0; ",""))&amp;IF(NOT(ISNUMBER(E3205)),"Bestand fehlt; ",IF(E3205&lt;0,"Bestand negativ; ",IF(E3205=0,"Nullbestand; ","")))&amp;IF(D3205="","Warengruppe fehlt; ","")&amp;IF(B3205="","Bezeichnung fehlt; ","")&amp;IF(COUNTIFS($A$2:$A$5001,$A3205,$C$2:$C$5001,C3205)&gt;1,"Artikel doppelt im selben Lager; ",""))</f>
        <v/>
      </c>
      <c r="P3205" s="47" t="n">
        <f aca="false">IF(OR($A3205="",D3205=""),0,IF(COUNTIF($D$2:D3205,D3205)=1,SUMIF($D$2:$D$5001,D3205,$H$2:$H$5001)+ROW()/10000000,0))</f>
        <v>0</v>
      </c>
      <c r="Q3205" s="47" t="n">
        <f aca="false">IF(OR($A3205="",C3205=""),0,IF(COUNTIF($C$2:C3205,C3205)=1,SUMIF($C$2:$C$5001,C3205,$H$2:$H$5001)+ROW()/10000000,0))</f>
        <v>0</v>
      </c>
    </row>
    <row r="3206" customFormat="false" ht="15" hidden="false" customHeight="false" outlineLevel="0" collapsed="false">
      <c r="A3206" s="43"/>
      <c r="B3206" s="44"/>
      <c r="C3206" s="44"/>
      <c r="D3206" s="44"/>
      <c r="E3206" s="44"/>
      <c r="F3206" s="44"/>
      <c r="G3206" s="44"/>
      <c r="H3206" s="46" t="str">
        <f aca="false">IF($A3206="","",IF(OR(NOT(ISNUMBER(E3206)),NOT(ISNUMBER(F3206))),"",MAX(0,E3206)*F3206))</f>
        <v/>
      </c>
      <c r="I3206" s="46" t="str">
        <f aca="false">IF($A3206="","",SUMIF($A$2:$A$5001,$A3206,$H$2:$H$5001))</f>
        <v/>
      </c>
      <c r="J3206" s="47" t="n">
        <f aca="false">IF($A3206="",0,IF(COUNTIF($A$2:A3206,$A3206)=1,1,0))</f>
        <v>0</v>
      </c>
      <c r="K3206" s="47" t="n">
        <f aca="false">IF(J3206=1,N(I3206)+ROW()/10000000,0)</f>
        <v>0</v>
      </c>
      <c r="L3206" s="47" t="str">
        <f aca="false">IF(AND(J3206=1,N(I3206)&gt;0),SUMIF($K$2:$K$5001,"&gt;="&amp;K3206,$I$2:$I$5001)/MAX(1,SUM($H$2:$H$5001)),"")</f>
        <v/>
      </c>
      <c r="M3206" s="47" t="str">
        <f aca="false">IF($A3206="","",INDEX($L$2:$L$5001,MATCH($A3206,$A$2:$A$5001,0)))</f>
        <v/>
      </c>
      <c r="N3206" s="48" t="str">
        <f aca="false">IF($A3206="","",IF(N(M3206)=0,"–",IF(M3206&lt;=Start!$D$20,"A",IF(M3206&lt;=Start!$D$21,"B","C"))))</f>
        <v/>
      </c>
      <c r="O3206" s="48" t="str">
        <f aca="false">IF($A3206="","",IF(NOT(ISNUMBER(F3206)),"Wert fehlt; ",IF(F3206&lt;=0,"Wert ist 0; ",""))&amp;IF(NOT(ISNUMBER(E3206)),"Bestand fehlt; ",IF(E3206&lt;0,"Bestand negativ; ",IF(E3206=0,"Nullbestand; ","")))&amp;IF(D3206="","Warengruppe fehlt; ","")&amp;IF(B3206="","Bezeichnung fehlt; ","")&amp;IF(COUNTIFS($A$2:$A$5001,$A3206,$C$2:$C$5001,C3206)&gt;1,"Artikel doppelt im selben Lager; ",""))</f>
        <v/>
      </c>
      <c r="P3206" s="47" t="n">
        <f aca="false">IF(OR($A3206="",D3206=""),0,IF(COUNTIF($D$2:D3206,D3206)=1,SUMIF($D$2:$D$5001,D3206,$H$2:$H$5001)+ROW()/10000000,0))</f>
        <v>0</v>
      </c>
      <c r="Q3206" s="47" t="n">
        <f aca="false">IF(OR($A3206="",C3206=""),0,IF(COUNTIF($C$2:C3206,C3206)=1,SUMIF($C$2:$C$5001,C3206,$H$2:$H$5001)+ROW()/10000000,0))</f>
        <v>0</v>
      </c>
    </row>
    <row r="3207" customFormat="false" ht="15" hidden="false" customHeight="false" outlineLevel="0" collapsed="false">
      <c r="A3207" s="43"/>
      <c r="B3207" s="44"/>
      <c r="C3207" s="44"/>
      <c r="D3207" s="44"/>
      <c r="E3207" s="44"/>
      <c r="F3207" s="44"/>
      <c r="G3207" s="44"/>
      <c r="H3207" s="46" t="str">
        <f aca="false">IF($A3207="","",IF(OR(NOT(ISNUMBER(E3207)),NOT(ISNUMBER(F3207))),"",MAX(0,E3207)*F3207))</f>
        <v/>
      </c>
      <c r="I3207" s="46" t="str">
        <f aca="false">IF($A3207="","",SUMIF($A$2:$A$5001,$A3207,$H$2:$H$5001))</f>
        <v/>
      </c>
      <c r="J3207" s="47" t="n">
        <f aca="false">IF($A3207="",0,IF(COUNTIF($A$2:A3207,$A3207)=1,1,0))</f>
        <v>0</v>
      </c>
      <c r="K3207" s="47" t="n">
        <f aca="false">IF(J3207=1,N(I3207)+ROW()/10000000,0)</f>
        <v>0</v>
      </c>
      <c r="L3207" s="47" t="str">
        <f aca="false">IF(AND(J3207=1,N(I3207)&gt;0),SUMIF($K$2:$K$5001,"&gt;="&amp;K3207,$I$2:$I$5001)/MAX(1,SUM($H$2:$H$5001)),"")</f>
        <v/>
      </c>
      <c r="M3207" s="47" t="str">
        <f aca="false">IF($A3207="","",INDEX($L$2:$L$5001,MATCH($A3207,$A$2:$A$5001,0)))</f>
        <v/>
      </c>
      <c r="N3207" s="48" t="str">
        <f aca="false">IF($A3207="","",IF(N(M3207)=0,"–",IF(M3207&lt;=Start!$D$20,"A",IF(M3207&lt;=Start!$D$21,"B","C"))))</f>
        <v/>
      </c>
      <c r="O3207" s="48" t="str">
        <f aca="false">IF($A3207="","",IF(NOT(ISNUMBER(F3207)),"Wert fehlt; ",IF(F3207&lt;=0,"Wert ist 0; ",""))&amp;IF(NOT(ISNUMBER(E3207)),"Bestand fehlt; ",IF(E3207&lt;0,"Bestand negativ; ",IF(E3207=0,"Nullbestand; ","")))&amp;IF(D3207="","Warengruppe fehlt; ","")&amp;IF(B3207="","Bezeichnung fehlt; ","")&amp;IF(COUNTIFS($A$2:$A$5001,$A3207,$C$2:$C$5001,C3207)&gt;1,"Artikel doppelt im selben Lager; ",""))</f>
        <v/>
      </c>
      <c r="P3207" s="47" t="n">
        <f aca="false">IF(OR($A3207="",D3207=""),0,IF(COUNTIF($D$2:D3207,D3207)=1,SUMIF($D$2:$D$5001,D3207,$H$2:$H$5001)+ROW()/10000000,0))</f>
        <v>0</v>
      </c>
      <c r="Q3207" s="47" t="n">
        <f aca="false">IF(OR($A3207="",C3207=""),0,IF(COUNTIF($C$2:C3207,C3207)=1,SUMIF($C$2:$C$5001,C3207,$H$2:$H$5001)+ROW()/10000000,0))</f>
        <v>0</v>
      </c>
    </row>
    <row r="3208" customFormat="false" ht="15" hidden="false" customHeight="false" outlineLevel="0" collapsed="false">
      <c r="A3208" s="43"/>
      <c r="B3208" s="44"/>
      <c r="C3208" s="44"/>
      <c r="D3208" s="44"/>
      <c r="E3208" s="44"/>
      <c r="F3208" s="44"/>
      <c r="G3208" s="44"/>
      <c r="H3208" s="46" t="str">
        <f aca="false">IF($A3208="","",IF(OR(NOT(ISNUMBER(E3208)),NOT(ISNUMBER(F3208))),"",MAX(0,E3208)*F3208))</f>
        <v/>
      </c>
      <c r="I3208" s="46" t="str">
        <f aca="false">IF($A3208="","",SUMIF($A$2:$A$5001,$A3208,$H$2:$H$5001))</f>
        <v/>
      </c>
      <c r="J3208" s="47" t="n">
        <f aca="false">IF($A3208="",0,IF(COUNTIF($A$2:A3208,$A3208)=1,1,0))</f>
        <v>0</v>
      </c>
      <c r="K3208" s="47" t="n">
        <f aca="false">IF(J3208=1,N(I3208)+ROW()/10000000,0)</f>
        <v>0</v>
      </c>
      <c r="L3208" s="47" t="str">
        <f aca="false">IF(AND(J3208=1,N(I3208)&gt;0),SUMIF($K$2:$K$5001,"&gt;="&amp;K3208,$I$2:$I$5001)/MAX(1,SUM($H$2:$H$5001)),"")</f>
        <v/>
      </c>
      <c r="M3208" s="47" t="str">
        <f aca="false">IF($A3208="","",INDEX($L$2:$L$5001,MATCH($A3208,$A$2:$A$5001,0)))</f>
        <v/>
      </c>
      <c r="N3208" s="48" t="str">
        <f aca="false">IF($A3208="","",IF(N(M3208)=0,"–",IF(M3208&lt;=Start!$D$20,"A",IF(M3208&lt;=Start!$D$21,"B","C"))))</f>
        <v/>
      </c>
      <c r="O3208" s="48" t="str">
        <f aca="false">IF($A3208="","",IF(NOT(ISNUMBER(F3208)),"Wert fehlt; ",IF(F3208&lt;=0,"Wert ist 0; ",""))&amp;IF(NOT(ISNUMBER(E3208)),"Bestand fehlt; ",IF(E3208&lt;0,"Bestand negativ; ",IF(E3208=0,"Nullbestand; ","")))&amp;IF(D3208="","Warengruppe fehlt; ","")&amp;IF(B3208="","Bezeichnung fehlt; ","")&amp;IF(COUNTIFS($A$2:$A$5001,$A3208,$C$2:$C$5001,C3208)&gt;1,"Artikel doppelt im selben Lager; ",""))</f>
        <v/>
      </c>
      <c r="P3208" s="47" t="n">
        <f aca="false">IF(OR($A3208="",D3208=""),0,IF(COUNTIF($D$2:D3208,D3208)=1,SUMIF($D$2:$D$5001,D3208,$H$2:$H$5001)+ROW()/10000000,0))</f>
        <v>0</v>
      </c>
      <c r="Q3208" s="47" t="n">
        <f aca="false">IF(OR($A3208="",C3208=""),0,IF(COUNTIF($C$2:C3208,C3208)=1,SUMIF($C$2:$C$5001,C3208,$H$2:$H$5001)+ROW()/10000000,0))</f>
        <v>0</v>
      </c>
    </row>
    <row r="3209" customFormat="false" ht="15" hidden="false" customHeight="false" outlineLevel="0" collapsed="false">
      <c r="A3209" s="43"/>
      <c r="B3209" s="44"/>
      <c r="C3209" s="44"/>
      <c r="D3209" s="44"/>
      <c r="E3209" s="44"/>
      <c r="F3209" s="44"/>
      <c r="G3209" s="44"/>
      <c r="H3209" s="46" t="str">
        <f aca="false">IF($A3209="","",IF(OR(NOT(ISNUMBER(E3209)),NOT(ISNUMBER(F3209))),"",MAX(0,E3209)*F3209))</f>
        <v/>
      </c>
      <c r="I3209" s="46" t="str">
        <f aca="false">IF($A3209="","",SUMIF($A$2:$A$5001,$A3209,$H$2:$H$5001))</f>
        <v/>
      </c>
      <c r="J3209" s="47" t="n">
        <f aca="false">IF($A3209="",0,IF(COUNTIF($A$2:A3209,$A3209)=1,1,0))</f>
        <v>0</v>
      </c>
      <c r="K3209" s="47" t="n">
        <f aca="false">IF(J3209=1,N(I3209)+ROW()/10000000,0)</f>
        <v>0</v>
      </c>
      <c r="L3209" s="47" t="str">
        <f aca="false">IF(AND(J3209=1,N(I3209)&gt;0),SUMIF($K$2:$K$5001,"&gt;="&amp;K3209,$I$2:$I$5001)/MAX(1,SUM($H$2:$H$5001)),"")</f>
        <v/>
      </c>
      <c r="M3209" s="47" t="str">
        <f aca="false">IF($A3209="","",INDEX($L$2:$L$5001,MATCH($A3209,$A$2:$A$5001,0)))</f>
        <v/>
      </c>
      <c r="N3209" s="48" t="str">
        <f aca="false">IF($A3209="","",IF(N(M3209)=0,"–",IF(M3209&lt;=Start!$D$20,"A",IF(M3209&lt;=Start!$D$21,"B","C"))))</f>
        <v/>
      </c>
      <c r="O3209" s="48" t="str">
        <f aca="false">IF($A3209="","",IF(NOT(ISNUMBER(F3209)),"Wert fehlt; ",IF(F3209&lt;=0,"Wert ist 0; ",""))&amp;IF(NOT(ISNUMBER(E3209)),"Bestand fehlt; ",IF(E3209&lt;0,"Bestand negativ; ",IF(E3209=0,"Nullbestand; ","")))&amp;IF(D3209="","Warengruppe fehlt; ","")&amp;IF(B3209="","Bezeichnung fehlt; ","")&amp;IF(COUNTIFS($A$2:$A$5001,$A3209,$C$2:$C$5001,C3209)&gt;1,"Artikel doppelt im selben Lager; ",""))</f>
        <v/>
      </c>
      <c r="P3209" s="47" t="n">
        <f aca="false">IF(OR($A3209="",D3209=""),0,IF(COUNTIF($D$2:D3209,D3209)=1,SUMIF($D$2:$D$5001,D3209,$H$2:$H$5001)+ROW()/10000000,0))</f>
        <v>0</v>
      </c>
      <c r="Q3209" s="47" t="n">
        <f aca="false">IF(OR($A3209="",C3209=""),0,IF(COUNTIF($C$2:C3209,C3209)=1,SUMIF($C$2:$C$5001,C3209,$H$2:$H$5001)+ROW()/10000000,0))</f>
        <v>0</v>
      </c>
    </row>
    <row r="3210" customFormat="false" ht="15" hidden="false" customHeight="false" outlineLevel="0" collapsed="false">
      <c r="A3210" s="43"/>
      <c r="B3210" s="44"/>
      <c r="C3210" s="44"/>
      <c r="D3210" s="44"/>
      <c r="E3210" s="44"/>
      <c r="F3210" s="44"/>
      <c r="G3210" s="44"/>
      <c r="H3210" s="46" t="str">
        <f aca="false">IF($A3210="","",IF(OR(NOT(ISNUMBER(E3210)),NOT(ISNUMBER(F3210))),"",MAX(0,E3210)*F3210))</f>
        <v/>
      </c>
      <c r="I3210" s="46" t="str">
        <f aca="false">IF($A3210="","",SUMIF($A$2:$A$5001,$A3210,$H$2:$H$5001))</f>
        <v/>
      </c>
      <c r="J3210" s="47" t="n">
        <f aca="false">IF($A3210="",0,IF(COUNTIF($A$2:A3210,$A3210)=1,1,0))</f>
        <v>0</v>
      </c>
      <c r="K3210" s="47" t="n">
        <f aca="false">IF(J3210=1,N(I3210)+ROW()/10000000,0)</f>
        <v>0</v>
      </c>
      <c r="L3210" s="47" t="str">
        <f aca="false">IF(AND(J3210=1,N(I3210)&gt;0),SUMIF($K$2:$K$5001,"&gt;="&amp;K3210,$I$2:$I$5001)/MAX(1,SUM($H$2:$H$5001)),"")</f>
        <v/>
      </c>
      <c r="M3210" s="47" t="str">
        <f aca="false">IF($A3210="","",INDEX($L$2:$L$5001,MATCH($A3210,$A$2:$A$5001,0)))</f>
        <v/>
      </c>
      <c r="N3210" s="48" t="str">
        <f aca="false">IF($A3210="","",IF(N(M3210)=0,"–",IF(M3210&lt;=Start!$D$20,"A",IF(M3210&lt;=Start!$D$21,"B","C"))))</f>
        <v/>
      </c>
      <c r="O3210" s="48" t="str">
        <f aca="false">IF($A3210="","",IF(NOT(ISNUMBER(F3210)),"Wert fehlt; ",IF(F3210&lt;=0,"Wert ist 0; ",""))&amp;IF(NOT(ISNUMBER(E3210)),"Bestand fehlt; ",IF(E3210&lt;0,"Bestand negativ; ",IF(E3210=0,"Nullbestand; ","")))&amp;IF(D3210="","Warengruppe fehlt; ","")&amp;IF(B3210="","Bezeichnung fehlt; ","")&amp;IF(COUNTIFS($A$2:$A$5001,$A3210,$C$2:$C$5001,C3210)&gt;1,"Artikel doppelt im selben Lager; ",""))</f>
        <v/>
      </c>
      <c r="P3210" s="47" t="n">
        <f aca="false">IF(OR($A3210="",D3210=""),0,IF(COUNTIF($D$2:D3210,D3210)=1,SUMIF($D$2:$D$5001,D3210,$H$2:$H$5001)+ROW()/10000000,0))</f>
        <v>0</v>
      </c>
      <c r="Q3210" s="47" t="n">
        <f aca="false">IF(OR($A3210="",C3210=""),0,IF(COUNTIF($C$2:C3210,C3210)=1,SUMIF($C$2:$C$5001,C3210,$H$2:$H$5001)+ROW()/10000000,0))</f>
        <v>0</v>
      </c>
    </row>
    <row r="3211" customFormat="false" ht="15" hidden="false" customHeight="false" outlineLevel="0" collapsed="false">
      <c r="A3211" s="43"/>
      <c r="B3211" s="44"/>
      <c r="C3211" s="44"/>
      <c r="D3211" s="44"/>
      <c r="E3211" s="44"/>
      <c r="F3211" s="44"/>
      <c r="G3211" s="44"/>
      <c r="H3211" s="46" t="str">
        <f aca="false">IF($A3211="","",IF(OR(NOT(ISNUMBER(E3211)),NOT(ISNUMBER(F3211))),"",MAX(0,E3211)*F3211))</f>
        <v/>
      </c>
      <c r="I3211" s="46" t="str">
        <f aca="false">IF($A3211="","",SUMIF($A$2:$A$5001,$A3211,$H$2:$H$5001))</f>
        <v/>
      </c>
      <c r="J3211" s="47" t="n">
        <f aca="false">IF($A3211="",0,IF(COUNTIF($A$2:A3211,$A3211)=1,1,0))</f>
        <v>0</v>
      </c>
      <c r="K3211" s="47" t="n">
        <f aca="false">IF(J3211=1,N(I3211)+ROW()/10000000,0)</f>
        <v>0</v>
      </c>
      <c r="L3211" s="47" t="str">
        <f aca="false">IF(AND(J3211=1,N(I3211)&gt;0),SUMIF($K$2:$K$5001,"&gt;="&amp;K3211,$I$2:$I$5001)/MAX(1,SUM($H$2:$H$5001)),"")</f>
        <v/>
      </c>
      <c r="M3211" s="47" t="str">
        <f aca="false">IF($A3211="","",INDEX($L$2:$L$5001,MATCH($A3211,$A$2:$A$5001,0)))</f>
        <v/>
      </c>
      <c r="N3211" s="48" t="str">
        <f aca="false">IF($A3211="","",IF(N(M3211)=0,"–",IF(M3211&lt;=Start!$D$20,"A",IF(M3211&lt;=Start!$D$21,"B","C"))))</f>
        <v/>
      </c>
      <c r="O3211" s="48" t="str">
        <f aca="false">IF($A3211="","",IF(NOT(ISNUMBER(F3211)),"Wert fehlt; ",IF(F3211&lt;=0,"Wert ist 0; ",""))&amp;IF(NOT(ISNUMBER(E3211)),"Bestand fehlt; ",IF(E3211&lt;0,"Bestand negativ; ",IF(E3211=0,"Nullbestand; ","")))&amp;IF(D3211="","Warengruppe fehlt; ","")&amp;IF(B3211="","Bezeichnung fehlt; ","")&amp;IF(COUNTIFS($A$2:$A$5001,$A3211,$C$2:$C$5001,C3211)&gt;1,"Artikel doppelt im selben Lager; ",""))</f>
        <v/>
      </c>
      <c r="P3211" s="47" t="n">
        <f aca="false">IF(OR($A3211="",D3211=""),0,IF(COUNTIF($D$2:D3211,D3211)=1,SUMIF($D$2:$D$5001,D3211,$H$2:$H$5001)+ROW()/10000000,0))</f>
        <v>0</v>
      </c>
      <c r="Q3211" s="47" t="n">
        <f aca="false">IF(OR($A3211="",C3211=""),0,IF(COUNTIF($C$2:C3211,C3211)=1,SUMIF($C$2:$C$5001,C3211,$H$2:$H$5001)+ROW()/10000000,0))</f>
        <v>0</v>
      </c>
    </row>
    <row r="3212" customFormat="false" ht="15" hidden="false" customHeight="false" outlineLevel="0" collapsed="false">
      <c r="A3212" s="43"/>
      <c r="B3212" s="44"/>
      <c r="C3212" s="44"/>
      <c r="D3212" s="44"/>
      <c r="E3212" s="44"/>
      <c r="F3212" s="44"/>
      <c r="G3212" s="44"/>
      <c r="H3212" s="46" t="str">
        <f aca="false">IF($A3212="","",IF(OR(NOT(ISNUMBER(E3212)),NOT(ISNUMBER(F3212))),"",MAX(0,E3212)*F3212))</f>
        <v/>
      </c>
      <c r="I3212" s="46" t="str">
        <f aca="false">IF($A3212="","",SUMIF($A$2:$A$5001,$A3212,$H$2:$H$5001))</f>
        <v/>
      </c>
      <c r="J3212" s="47" t="n">
        <f aca="false">IF($A3212="",0,IF(COUNTIF($A$2:A3212,$A3212)=1,1,0))</f>
        <v>0</v>
      </c>
      <c r="K3212" s="47" t="n">
        <f aca="false">IF(J3212=1,N(I3212)+ROW()/10000000,0)</f>
        <v>0</v>
      </c>
      <c r="L3212" s="47" t="str">
        <f aca="false">IF(AND(J3212=1,N(I3212)&gt;0),SUMIF($K$2:$K$5001,"&gt;="&amp;K3212,$I$2:$I$5001)/MAX(1,SUM($H$2:$H$5001)),"")</f>
        <v/>
      </c>
      <c r="M3212" s="47" t="str">
        <f aca="false">IF($A3212="","",INDEX($L$2:$L$5001,MATCH($A3212,$A$2:$A$5001,0)))</f>
        <v/>
      </c>
      <c r="N3212" s="48" t="str">
        <f aca="false">IF($A3212="","",IF(N(M3212)=0,"–",IF(M3212&lt;=Start!$D$20,"A",IF(M3212&lt;=Start!$D$21,"B","C"))))</f>
        <v/>
      </c>
      <c r="O3212" s="48" t="str">
        <f aca="false">IF($A3212="","",IF(NOT(ISNUMBER(F3212)),"Wert fehlt; ",IF(F3212&lt;=0,"Wert ist 0; ",""))&amp;IF(NOT(ISNUMBER(E3212)),"Bestand fehlt; ",IF(E3212&lt;0,"Bestand negativ; ",IF(E3212=0,"Nullbestand; ","")))&amp;IF(D3212="","Warengruppe fehlt; ","")&amp;IF(B3212="","Bezeichnung fehlt; ","")&amp;IF(COUNTIFS($A$2:$A$5001,$A3212,$C$2:$C$5001,C3212)&gt;1,"Artikel doppelt im selben Lager; ",""))</f>
        <v/>
      </c>
      <c r="P3212" s="47" t="n">
        <f aca="false">IF(OR($A3212="",D3212=""),0,IF(COUNTIF($D$2:D3212,D3212)=1,SUMIF($D$2:$D$5001,D3212,$H$2:$H$5001)+ROW()/10000000,0))</f>
        <v>0</v>
      </c>
      <c r="Q3212" s="47" t="n">
        <f aca="false">IF(OR($A3212="",C3212=""),0,IF(COUNTIF($C$2:C3212,C3212)=1,SUMIF($C$2:$C$5001,C3212,$H$2:$H$5001)+ROW()/10000000,0))</f>
        <v>0</v>
      </c>
    </row>
    <row r="3213" customFormat="false" ht="15" hidden="false" customHeight="false" outlineLevel="0" collapsed="false">
      <c r="A3213" s="43"/>
      <c r="B3213" s="44"/>
      <c r="C3213" s="44"/>
      <c r="D3213" s="44"/>
      <c r="E3213" s="44"/>
      <c r="F3213" s="44"/>
      <c r="G3213" s="44"/>
      <c r="H3213" s="46" t="str">
        <f aca="false">IF($A3213="","",IF(OR(NOT(ISNUMBER(E3213)),NOT(ISNUMBER(F3213))),"",MAX(0,E3213)*F3213))</f>
        <v/>
      </c>
      <c r="I3213" s="46" t="str">
        <f aca="false">IF($A3213="","",SUMIF($A$2:$A$5001,$A3213,$H$2:$H$5001))</f>
        <v/>
      </c>
      <c r="J3213" s="47" t="n">
        <f aca="false">IF($A3213="",0,IF(COUNTIF($A$2:A3213,$A3213)=1,1,0))</f>
        <v>0</v>
      </c>
      <c r="K3213" s="47" t="n">
        <f aca="false">IF(J3213=1,N(I3213)+ROW()/10000000,0)</f>
        <v>0</v>
      </c>
      <c r="L3213" s="47" t="str">
        <f aca="false">IF(AND(J3213=1,N(I3213)&gt;0),SUMIF($K$2:$K$5001,"&gt;="&amp;K3213,$I$2:$I$5001)/MAX(1,SUM($H$2:$H$5001)),"")</f>
        <v/>
      </c>
      <c r="M3213" s="47" t="str">
        <f aca="false">IF($A3213="","",INDEX($L$2:$L$5001,MATCH($A3213,$A$2:$A$5001,0)))</f>
        <v/>
      </c>
      <c r="N3213" s="48" t="str">
        <f aca="false">IF($A3213="","",IF(N(M3213)=0,"–",IF(M3213&lt;=Start!$D$20,"A",IF(M3213&lt;=Start!$D$21,"B","C"))))</f>
        <v/>
      </c>
      <c r="O3213" s="48" t="str">
        <f aca="false">IF($A3213="","",IF(NOT(ISNUMBER(F3213)),"Wert fehlt; ",IF(F3213&lt;=0,"Wert ist 0; ",""))&amp;IF(NOT(ISNUMBER(E3213)),"Bestand fehlt; ",IF(E3213&lt;0,"Bestand negativ; ",IF(E3213=0,"Nullbestand; ","")))&amp;IF(D3213="","Warengruppe fehlt; ","")&amp;IF(B3213="","Bezeichnung fehlt; ","")&amp;IF(COUNTIFS($A$2:$A$5001,$A3213,$C$2:$C$5001,C3213)&gt;1,"Artikel doppelt im selben Lager; ",""))</f>
        <v/>
      </c>
      <c r="P3213" s="47" t="n">
        <f aca="false">IF(OR($A3213="",D3213=""),0,IF(COUNTIF($D$2:D3213,D3213)=1,SUMIF($D$2:$D$5001,D3213,$H$2:$H$5001)+ROW()/10000000,0))</f>
        <v>0</v>
      </c>
      <c r="Q3213" s="47" t="n">
        <f aca="false">IF(OR($A3213="",C3213=""),0,IF(COUNTIF($C$2:C3213,C3213)=1,SUMIF($C$2:$C$5001,C3213,$H$2:$H$5001)+ROW()/10000000,0))</f>
        <v>0</v>
      </c>
    </row>
    <row r="3214" customFormat="false" ht="15" hidden="false" customHeight="false" outlineLevel="0" collapsed="false">
      <c r="A3214" s="43"/>
      <c r="B3214" s="44"/>
      <c r="C3214" s="44"/>
      <c r="D3214" s="44"/>
      <c r="E3214" s="44"/>
      <c r="F3214" s="44"/>
      <c r="G3214" s="44"/>
      <c r="H3214" s="46" t="str">
        <f aca="false">IF($A3214="","",IF(OR(NOT(ISNUMBER(E3214)),NOT(ISNUMBER(F3214))),"",MAX(0,E3214)*F3214))</f>
        <v/>
      </c>
      <c r="I3214" s="46" t="str">
        <f aca="false">IF($A3214="","",SUMIF($A$2:$A$5001,$A3214,$H$2:$H$5001))</f>
        <v/>
      </c>
      <c r="J3214" s="47" t="n">
        <f aca="false">IF($A3214="",0,IF(COUNTIF($A$2:A3214,$A3214)=1,1,0))</f>
        <v>0</v>
      </c>
      <c r="K3214" s="47" t="n">
        <f aca="false">IF(J3214=1,N(I3214)+ROW()/10000000,0)</f>
        <v>0</v>
      </c>
      <c r="L3214" s="47" t="str">
        <f aca="false">IF(AND(J3214=1,N(I3214)&gt;0),SUMIF($K$2:$K$5001,"&gt;="&amp;K3214,$I$2:$I$5001)/MAX(1,SUM($H$2:$H$5001)),"")</f>
        <v/>
      </c>
      <c r="M3214" s="47" t="str">
        <f aca="false">IF($A3214="","",INDEX($L$2:$L$5001,MATCH($A3214,$A$2:$A$5001,0)))</f>
        <v/>
      </c>
      <c r="N3214" s="48" t="str">
        <f aca="false">IF($A3214="","",IF(N(M3214)=0,"–",IF(M3214&lt;=Start!$D$20,"A",IF(M3214&lt;=Start!$D$21,"B","C"))))</f>
        <v/>
      </c>
      <c r="O3214" s="48" t="str">
        <f aca="false">IF($A3214="","",IF(NOT(ISNUMBER(F3214)),"Wert fehlt; ",IF(F3214&lt;=0,"Wert ist 0; ",""))&amp;IF(NOT(ISNUMBER(E3214)),"Bestand fehlt; ",IF(E3214&lt;0,"Bestand negativ; ",IF(E3214=0,"Nullbestand; ","")))&amp;IF(D3214="","Warengruppe fehlt; ","")&amp;IF(B3214="","Bezeichnung fehlt; ","")&amp;IF(COUNTIFS($A$2:$A$5001,$A3214,$C$2:$C$5001,C3214)&gt;1,"Artikel doppelt im selben Lager; ",""))</f>
        <v/>
      </c>
      <c r="P3214" s="47" t="n">
        <f aca="false">IF(OR($A3214="",D3214=""),0,IF(COUNTIF($D$2:D3214,D3214)=1,SUMIF($D$2:$D$5001,D3214,$H$2:$H$5001)+ROW()/10000000,0))</f>
        <v>0</v>
      </c>
      <c r="Q3214" s="47" t="n">
        <f aca="false">IF(OR($A3214="",C3214=""),0,IF(COUNTIF($C$2:C3214,C3214)=1,SUMIF($C$2:$C$5001,C3214,$H$2:$H$5001)+ROW()/10000000,0))</f>
        <v>0</v>
      </c>
    </row>
    <row r="3215" customFormat="false" ht="15" hidden="false" customHeight="false" outlineLevel="0" collapsed="false">
      <c r="A3215" s="43"/>
      <c r="B3215" s="44"/>
      <c r="C3215" s="44"/>
      <c r="D3215" s="44"/>
      <c r="E3215" s="44"/>
      <c r="F3215" s="44"/>
      <c r="G3215" s="44"/>
      <c r="H3215" s="46" t="str">
        <f aca="false">IF($A3215="","",IF(OR(NOT(ISNUMBER(E3215)),NOT(ISNUMBER(F3215))),"",MAX(0,E3215)*F3215))</f>
        <v/>
      </c>
      <c r="I3215" s="46" t="str">
        <f aca="false">IF($A3215="","",SUMIF($A$2:$A$5001,$A3215,$H$2:$H$5001))</f>
        <v/>
      </c>
      <c r="J3215" s="47" t="n">
        <f aca="false">IF($A3215="",0,IF(COUNTIF($A$2:A3215,$A3215)=1,1,0))</f>
        <v>0</v>
      </c>
      <c r="K3215" s="47" t="n">
        <f aca="false">IF(J3215=1,N(I3215)+ROW()/10000000,0)</f>
        <v>0</v>
      </c>
      <c r="L3215" s="47" t="str">
        <f aca="false">IF(AND(J3215=1,N(I3215)&gt;0),SUMIF($K$2:$K$5001,"&gt;="&amp;K3215,$I$2:$I$5001)/MAX(1,SUM($H$2:$H$5001)),"")</f>
        <v/>
      </c>
      <c r="M3215" s="47" t="str">
        <f aca="false">IF($A3215="","",INDEX($L$2:$L$5001,MATCH($A3215,$A$2:$A$5001,0)))</f>
        <v/>
      </c>
      <c r="N3215" s="48" t="str">
        <f aca="false">IF($A3215="","",IF(N(M3215)=0,"–",IF(M3215&lt;=Start!$D$20,"A",IF(M3215&lt;=Start!$D$21,"B","C"))))</f>
        <v/>
      </c>
      <c r="O3215" s="48" t="str">
        <f aca="false">IF($A3215="","",IF(NOT(ISNUMBER(F3215)),"Wert fehlt; ",IF(F3215&lt;=0,"Wert ist 0; ",""))&amp;IF(NOT(ISNUMBER(E3215)),"Bestand fehlt; ",IF(E3215&lt;0,"Bestand negativ; ",IF(E3215=0,"Nullbestand; ","")))&amp;IF(D3215="","Warengruppe fehlt; ","")&amp;IF(B3215="","Bezeichnung fehlt; ","")&amp;IF(COUNTIFS($A$2:$A$5001,$A3215,$C$2:$C$5001,C3215)&gt;1,"Artikel doppelt im selben Lager; ",""))</f>
        <v/>
      </c>
      <c r="P3215" s="47" t="n">
        <f aca="false">IF(OR($A3215="",D3215=""),0,IF(COUNTIF($D$2:D3215,D3215)=1,SUMIF($D$2:$D$5001,D3215,$H$2:$H$5001)+ROW()/10000000,0))</f>
        <v>0</v>
      </c>
      <c r="Q3215" s="47" t="n">
        <f aca="false">IF(OR($A3215="",C3215=""),0,IF(COUNTIF($C$2:C3215,C3215)=1,SUMIF($C$2:$C$5001,C3215,$H$2:$H$5001)+ROW()/10000000,0))</f>
        <v>0</v>
      </c>
    </row>
    <row r="3216" customFormat="false" ht="15" hidden="false" customHeight="false" outlineLevel="0" collapsed="false">
      <c r="A3216" s="43"/>
      <c r="B3216" s="44"/>
      <c r="C3216" s="44"/>
      <c r="D3216" s="44"/>
      <c r="E3216" s="44"/>
      <c r="F3216" s="44"/>
      <c r="G3216" s="44"/>
      <c r="H3216" s="46" t="str">
        <f aca="false">IF($A3216="","",IF(OR(NOT(ISNUMBER(E3216)),NOT(ISNUMBER(F3216))),"",MAX(0,E3216)*F3216))</f>
        <v/>
      </c>
      <c r="I3216" s="46" t="str">
        <f aca="false">IF($A3216="","",SUMIF($A$2:$A$5001,$A3216,$H$2:$H$5001))</f>
        <v/>
      </c>
      <c r="J3216" s="47" t="n">
        <f aca="false">IF($A3216="",0,IF(COUNTIF($A$2:A3216,$A3216)=1,1,0))</f>
        <v>0</v>
      </c>
      <c r="K3216" s="47" t="n">
        <f aca="false">IF(J3216=1,N(I3216)+ROW()/10000000,0)</f>
        <v>0</v>
      </c>
      <c r="L3216" s="47" t="str">
        <f aca="false">IF(AND(J3216=1,N(I3216)&gt;0),SUMIF($K$2:$K$5001,"&gt;="&amp;K3216,$I$2:$I$5001)/MAX(1,SUM($H$2:$H$5001)),"")</f>
        <v/>
      </c>
      <c r="M3216" s="47" t="str">
        <f aca="false">IF($A3216="","",INDEX($L$2:$L$5001,MATCH($A3216,$A$2:$A$5001,0)))</f>
        <v/>
      </c>
      <c r="N3216" s="48" t="str">
        <f aca="false">IF($A3216="","",IF(N(M3216)=0,"–",IF(M3216&lt;=Start!$D$20,"A",IF(M3216&lt;=Start!$D$21,"B","C"))))</f>
        <v/>
      </c>
      <c r="O3216" s="48" t="str">
        <f aca="false">IF($A3216="","",IF(NOT(ISNUMBER(F3216)),"Wert fehlt; ",IF(F3216&lt;=0,"Wert ist 0; ",""))&amp;IF(NOT(ISNUMBER(E3216)),"Bestand fehlt; ",IF(E3216&lt;0,"Bestand negativ; ",IF(E3216=0,"Nullbestand; ","")))&amp;IF(D3216="","Warengruppe fehlt; ","")&amp;IF(B3216="","Bezeichnung fehlt; ","")&amp;IF(COUNTIFS($A$2:$A$5001,$A3216,$C$2:$C$5001,C3216)&gt;1,"Artikel doppelt im selben Lager; ",""))</f>
        <v/>
      </c>
      <c r="P3216" s="47" t="n">
        <f aca="false">IF(OR($A3216="",D3216=""),0,IF(COUNTIF($D$2:D3216,D3216)=1,SUMIF($D$2:$D$5001,D3216,$H$2:$H$5001)+ROW()/10000000,0))</f>
        <v>0</v>
      </c>
      <c r="Q3216" s="47" t="n">
        <f aca="false">IF(OR($A3216="",C3216=""),0,IF(COUNTIF($C$2:C3216,C3216)=1,SUMIF($C$2:$C$5001,C3216,$H$2:$H$5001)+ROW()/10000000,0))</f>
        <v>0</v>
      </c>
    </row>
    <row r="3217" customFormat="false" ht="15" hidden="false" customHeight="false" outlineLevel="0" collapsed="false">
      <c r="A3217" s="43"/>
      <c r="B3217" s="44"/>
      <c r="C3217" s="44"/>
      <c r="D3217" s="44"/>
      <c r="E3217" s="44"/>
      <c r="F3217" s="44"/>
      <c r="G3217" s="44"/>
      <c r="H3217" s="46" t="str">
        <f aca="false">IF($A3217="","",IF(OR(NOT(ISNUMBER(E3217)),NOT(ISNUMBER(F3217))),"",MAX(0,E3217)*F3217))</f>
        <v/>
      </c>
      <c r="I3217" s="46" t="str">
        <f aca="false">IF($A3217="","",SUMIF($A$2:$A$5001,$A3217,$H$2:$H$5001))</f>
        <v/>
      </c>
      <c r="J3217" s="47" t="n">
        <f aca="false">IF($A3217="",0,IF(COUNTIF($A$2:A3217,$A3217)=1,1,0))</f>
        <v>0</v>
      </c>
      <c r="K3217" s="47" t="n">
        <f aca="false">IF(J3217=1,N(I3217)+ROW()/10000000,0)</f>
        <v>0</v>
      </c>
      <c r="L3217" s="47" t="str">
        <f aca="false">IF(AND(J3217=1,N(I3217)&gt;0),SUMIF($K$2:$K$5001,"&gt;="&amp;K3217,$I$2:$I$5001)/MAX(1,SUM($H$2:$H$5001)),"")</f>
        <v/>
      </c>
      <c r="M3217" s="47" t="str">
        <f aca="false">IF($A3217="","",INDEX($L$2:$L$5001,MATCH($A3217,$A$2:$A$5001,0)))</f>
        <v/>
      </c>
      <c r="N3217" s="48" t="str">
        <f aca="false">IF($A3217="","",IF(N(M3217)=0,"–",IF(M3217&lt;=Start!$D$20,"A",IF(M3217&lt;=Start!$D$21,"B","C"))))</f>
        <v/>
      </c>
      <c r="O3217" s="48" t="str">
        <f aca="false">IF($A3217="","",IF(NOT(ISNUMBER(F3217)),"Wert fehlt; ",IF(F3217&lt;=0,"Wert ist 0; ",""))&amp;IF(NOT(ISNUMBER(E3217)),"Bestand fehlt; ",IF(E3217&lt;0,"Bestand negativ; ",IF(E3217=0,"Nullbestand; ","")))&amp;IF(D3217="","Warengruppe fehlt; ","")&amp;IF(B3217="","Bezeichnung fehlt; ","")&amp;IF(COUNTIFS($A$2:$A$5001,$A3217,$C$2:$C$5001,C3217)&gt;1,"Artikel doppelt im selben Lager; ",""))</f>
        <v/>
      </c>
      <c r="P3217" s="47" t="n">
        <f aca="false">IF(OR($A3217="",D3217=""),0,IF(COUNTIF($D$2:D3217,D3217)=1,SUMIF($D$2:$D$5001,D3217,$H$2:$H$5001)+ROW()/10000000,0))</f>
        <v>0</v>
      </c>
      <c r="Q3217" s="47" t="n">
        <f aca="false">IF(OR($A3217="",C3217=""),0,IF(COUNTIF($C$2:C3217,C3217)=1,SUMIF($C$2:$C$5001,C3217,$H$2:$H$5001)+ROW()/10000000,0))</f>
        <v>0</v>
      </c>
    </row>
    <row r="3218" customFormat="false" ht="15" hidden="false" customHeight="false" outlineLevel="0" collapsed="false">
      <c r="A3218" s="43"/>
      <c r="B3218" s="44"/>
      <c r="C3218" s="44"/>
      <c r="D3218" s="44"/>
      <c r="E3218" s="44"/>
      <c r="F3218" s="44"/>
      <c r="G3218" s="44"/>
      <c r="H3218" s="46" t="str">
        <f aca="false">IF($A3218="","",IF(OR(NOT(ISNUMBER(E3218)),NOT(ISNUMBER(F3218))),"",MAX(0,E3218)*F3218))</f>
        <v/>
      </c>
      <c r="I3218" s="46" t="str">
        <f aca="false">IF($A3218="","",SUMIF($A$2:$A$5001,$A3218,$H$2:$H$5001))</f>
        <v/>
      </c>
      <c r="J3218" s="47" t="n">
        <f aca="false">IF($A3218="",0,IF(COUNTIF($A$2:A3218,$A3218)=1,1,0))</f>
        <v>0</v>
      </c>
      <c r="K3218" s="47" t="n">
        <f aca="false">IF(J3218=1,N(I3218)+ROW()/10000000,0)</f>
        <v>0</v>
      </c>
      <c r="L3218" s="47" t="str">
        <f aca="false">IF(AND(J3218=1,N(I3218)&gt;0),SUMIF($K$2:$K$5001,"&gt;="&amp;K3218,$I$2:$I$5001)/MAX(1,SUM($H$2:$H$5001)),"")</f>
        <v/>
      </c>
      <c r="M3218" s="47" t="str">
        <f aca="false">IF($A3218="","",INDEX($L$2:$L$5001,MATCH($A3218,$A$2:$A$5001,0)))</f>
        <v/>
      </c>
      <c r="N3218" s="48" t="str">
        <f aca="false">IF($A3218="","",IF(N(M3218)=0,"–",IF(M3218&lt;=Start!$D$20,"A",IF(M3218&lt;=Start!$D$21,"B","C"))))</f>
        <v/>
      </c>
      <c r="O3218" s="48" t="str">
        <f aca="false">IF($A3218="","",IF(NOT(ISNUMBER(F3218)),"Wert fehlt; ",IF(F3218&lt;=0,"Wert ist 0; ",""))&amp;IF(NOT(ISNUMBER(E3218)),"Bestand fehlt; ",IF(E3218&lt;0,"Bestand negativ; ",IF(E3218=0,"Nullbestand; ","")))&amp;IF(D3218="","Warengruppe fehlt; ","")&amp;IF(B3218="","Bezeichnung fehlt; ","")&amp;IF(COUNTIFS($A$2:$A$5001,$A3218,$C$2:$C$5001,C3218)&gt;1,"Artikel doppelt im selben Lager; ",""))</f>
        <v/>
      </c>
      <c r="P3218" s="47" t="n">
        <f aca="false">IF(OR($A3218="",D3218=""),0,IF(COUNTIF($D$2:D3218,D3218)=1,SUMIF($D$2:$D$5001,D3218,$H$2:$H$5001)+ROW()/10000000,0))</f>
        <v>0</v>
      </c>
      <c r="Q3218" s="47" t="n">
        <f aca="false">IF(OR($A3218="",C3218=""),0,IF(COUNTIF($C$2:C3218,C3218)=1,SUMIF($C$2:$C$5001,C3218,$H$2:$H$5001)+ROW()/10000000,0))</f>
        <v>0</v>
      </c>
    </row>
    <row r="3219" customFormat="false" ht="15" hidden="false" customHeight="false" outlineLevel="0" collapsed="false">
      <c r="A3219" s="43"/>
      <c r="B3219" s="44"/>
      <c r="C3219" s="44"/>
      <c r="D3219" s="44"/>
      <c r="E3219" s="44"/>
      <c r="F3219" s="44"/>
      <c r="G3219" s="44"/>
      <c r="H3219" s="46" t="str">
        <f aca="false">IF($A3219="","",IF(OR(NOT(ISNUMBER(E3219)),NOT(ISNUMBER(F3219))),"",MAX(0,E3219)*F3219))</f>
        <v/>
      </c>
      <c r="I3219" s="46" t="str">
        <f aca="false">IF($A3219="","",SUMIF($A$2:$A$5001,$A3219,$H$2:$H$5001))</f>
        <v/>
      </c>
      <c r="J3219" s="47" t="n">
        <f aca="false">IF($A3219="",0,IF(COUNTIF($A$2:A3219,$A3219)=1,1,0))</f>
        <v>0</v>
      </c>
      <c r="K3219" s="47" t="n">
        <f aca="false">IF(J3219=1,N(I3219)+ROW()/10000000,0)</f>
        <v>0</v>
      </c>
      <c r="L3219" s="47" t="str">
        <f aca="false">IF(AND(J3219=1,N(I3219)&gt;0),SUMIF($K$2:$K$5001,"&gt;="&amp;K3219,$I$2:$I$5001)/MAX(1,SUM($H$2:$H$5001)),"")</f>
        <v/>
      </c>
      <c r="M3219" s="47" t="str">
        <f aca="false">IF($A3219="","",INDEX($L$2:$L$5001,MATCH($A3219,$A$2:$A$5001,0)))</f>
        <v/>
      </c>
      <c r="N3219" s="48" t="str">
        <f aca="false">IF($A3219="","",IF(N(M3219)=0,"–",IF(M3219&lt;=Start!$D$20,"A",IF(M3219&lt;=Start!$D$21,"B","C"))))</f>
        <v/>
      </c>
      <c r="O3219" s="48" t="str">
        <f aca="false">IF($A3219="","",IF(NOT(ISNUMBER(F3219)),"Wert fehlt; ",IF(F3219&lt;=0,"Wert ist 0; ",""))&amp;IF(NOT(ISNUMBER(E3219)),"Bestand fehlt; ",IF(E3219&lt;0,"Bestand negativ; ",IF(E3219=0,"Nullbestand; ","")))&amp;IF(D3219="","Warengruppe fehlt; ","")&amp;IF(B3219="","Bezeichnung fehlt; ","")&amp;IF(COUNTIFS($A$2:$A$5001,$A3219,$C$2:$C$5001,C3219)&gt;1,"Artikel doppelt im selben Lager; ",""))</f>
        <v/>
      </c>
      <c r="P3219" s="47" t="n">
        <f aca="false">IF(OR($A3219="",D3219=""),0,IF(COUNTIF($D$2:D3219,D3219)=1,SUMIF($D$2:$D$5001,D3219,$H$2:$H$5001)+ROW()/10000000,0))</f>
        <v>0</v>
      </c>
      <c r="Q3219" s="47" t="n">
        <f aca="false">IF(OR($A3219="",C3219=""),0,IF(COUNTIF($C$2:C3219,C3219)=1,SUMIF($C$2:$C$5001,C3219,$H$2:$H$5001)+ROW()/10000000,0))</f>
        <v>0</v>
      </c>
    </row>
    <row r="3220" customFormat="false" ht="15" hidden="false" customHeight="false" outlineLevel="0" collapsed="false">
      <c r="A3220" s="43"/>
      <c r="B3220" s="44"/>
      <c r="C3220" s="44"/>
      <c r="D3220" s="44"/>
      <c r="E3220" s="44"/>
      <c r="F3220" s="44"/>
      <c r="G3220" s="44"/>
      <c r="H3220" s="46" t="str">
        <f aca="false">IF($A3220="","",IF(OR(NOT(ISNUMBER(E3220)),NOT(ISNUMBER(F3220))),"",MAX(0,E3220)*F3220))</f>
        <v/>
      </c>
      <c r="I3220" s="46" t="str">
        <f aca="false">IF($A3220="","",SUMIF($A$2:$A$5001,$A3220,$H$2:$H$5001))</f>
        <v/>
      </c>
      <c r="J3220" s="47" t="n">
        <f aca="false">IF($A3220="",0,IF(COUNTIF($A$2:A3220,$A3220)=1,1,0))</f>
        <v>0</v>
      </c>
      <c r="K3220" s="47" t="n">
        <f aca="false">IF(J3220=1,N(I3220)+ROW()/10000000,0)</f>
        <v>0</v>
      </c>
      <c r="L3220" s="47" t="str">
        <f aca="false">IF(AND(J3220=1,N(I3220)&gt;0),SUMIF($K$2:$K$5001,"&gt;="&amp;K3220,$I$2:$I$5001)/MAX(1,SUM($H$2:$H$5001)),"")</f>
        <v/>
      </c>
      <c r="M3220" s="47" t="str">
        <f aca="false">IF($A3220="","",INDEX($L$2:$L$5001,MATCH($A3220,$A$2:$A$5001,0)))</f>
        <v/>
      </c>
      <c r="N3220" s="48" t="str">
        <f aca="false">IF($A3220="","",IF(N(M3220)=0,"–",IF(M3220&lt;=Start!$D$20,"A",IF(M3220&lt;=Start!$D$21,"B","C"))))</f>
        <v/>
      </c>
      <c r="O3220" s="48" t="str">
        <f aca="false">IF($A3220="","",IF(NOT(ISNUMBER(F3220)),"Wert fehlt; ",IF(F3220&lt;=0,"Wert ist 0; ",""))&amp;IF(NOT(ISNUMBER(E3220)),"Bestand fehlt; ",IF(E3220&lt;0,"Bestand negativ; ",IF(E3220=0,"Nullbestand; ","")))&amp;IF(D3220="","Warengruppe fehlt; ","")&amp;IF(B3220="","Bezeichnung fehlt; ","")&amp;IF(COUNTIFS($A$2:$A$5001,$A3220,$C$2:$C$5001,C3220)&gt;1,"Artikel doppelt im selben Lager; ",""))</f>
        <v/>
      </c>
      <c r="P3220" s="47" t="n">
        <f aca="false">IF(OR($A3220="",D3220=""),0,IF(COUNTIF($D$2:D3220,D3220)=1,SUMIF($D$2:$D$5001,D3220,$H$2:$H$5001)+ROW()/10000000,0))</f>
        <v>0</v>
      </c>
      <c r="Q3220" s="47" t="n">
        <f aca="false">IF(OR($A3220="",C3220=""),0,IF(COUNTIF($C$2:C3220,C3220)=1,SUMIF($C$2:$C$5001,C3220,$H$2:$H$5001)+ROW()/10000000,0))</f>
        <v>0</v>
      </c>
    </row>
    <row r="3221" customFormat="false" ht="15" hidden="false" customHeight="false" outlineLevel="0" collapsed="false">
      <c r="A3221" s="43"/>
      <c r="B3221" s="44"/>
      <c r="C3221" s="44"/>
      <c r="D3221" s="44"/>
      <c r="E3221" s="44"/>
      <c r="F3221" s="44"/>
      <c r="G3221" s="44"/>
      <c r="H3221" s="46" t="str">
        <f aca="false">IF($A3221="","",IF(OR(NOT(ISNUMBER(E3221)),NOT(ISNUMBER(F3221))),"",MAX(0,E3221)*F3221))</f>
        <v/>
      </c>
      <c r="I3221" s="46" t="str">
        <f aca="false">IF($A3221="","",SUMIF($A$2:$A$5001,$A3221,$H$2:$H$5001))</f>
        <v/>
      </c>
      <c r="J3221" s="47" t="n">
        <f aca="false">IF($A3221="",0,IF(COUNTIF($A$2:A3221,$A3221)=1,1,0))</f>
        <v>0</v>
      </c>
      <c r="K3221" s="47" t="n">
        <f aca="false">IF(J3221=1,N(I3221)+ROW()/10000000,0)</f>
        <v>0</v>
      </c>
      <c r="L3221" s="47" t="str">
        <f aca="false">IF(AND(J3221=1,N(I3221)&gt;0),SUMIF($K$2:$K$5001,"&gt;="&amp;K3221,$I$2:$I$5001)/MAX(1,SUM($H$2:$H$5001)),"")</f>
        <v/>
      </c>
      <c r="M3221" s="47" t="str">
        <f aca="false">IF($A3221="","",INDEX($L$2:$L$5001,MATCH($A3221,$A$2:$A$5001,0)))</f>
        <v/>
      </c>
      <c r="N3221" s="48" t="str">
        <f aca="false">IF($A3221="","",IF(N(M3221)=0,"–",IF(M3221&lt;=Start!$D$20,"A",IF(M3221&lt;=Start!$D$21,"B","C"))))</f>
        <v/>
      </c>
      <c r="O3221" s="48" t="str">
        <f aca="false">IF($A3221="","",IF(NOT(ISNUMBER(F3221)),"Wert fehlt; ",IF(F3221&lt;=0,"Wert ist 0; ",""))&amp;IF(NOT(ISNUMBER(E3221)),"Bestand fehlt; ",IF(E3221&lt;0,"Bestand negativ; ",IF(E3221=0,"Nullbestand; ","")))&amp;IF(D3221="","Warengruppe fehlt; ","")&amp;IF(B3221="","Bezeichnung fehlt; ","")&amp;IF(COUNTIFS($A$2:$A$5001,$A3221,$C$2:$C$5001,C3221)&gt;1,"Artikel doppelt im selben Lager; ",""))</f>
        <v/>
      </c>
      <c r="P3221" s="47" t="n">
        <f aca="false">IF(OR($A3221="",D3221=""),0,IF(COUNTIF($D$2:D3221,D3221)=1,SUMIF($D$2:$D$5001,D3221,$H$2:$H$5001)+ROW()/10000000,0))</f>
        <v>0</v>
      </c>
      <c r="Q3221" s="47" t="n">
        <f aca="false">IF(OR($A3221="",C3221=""),0,IF(COUNTIF($C$2:C3221,C3221)=1,SUMIF($C$2:$C$5001,C3221,$H$2:$H$5001)+ROW()/10000000,0))</f>
        <v>0</v>
      </c>
    </row>
    <row r="3222" customFormat="false" ht="15" hidden="false" customHeight="false" outlineLevel="0" collapsed="false">
      <c r="A3222" s="43"/>
      <c r="B3222" s="44"/>
      <c r="C3222" s="44"/>
      <c r="D3222" s="44"/>
      <c r="E3222" s="44"/>
      <c r="F3222" s="44"/>
      <c r="G3222" s="44"/>
      <c r="H3222" s="46" t="str">
        <f aca="false">IF($A3222="","",IF(OR(NOT(ISNUMBER(E3222)),NOT(ISNUMBER(F3222))),"",MAX(0,E3222)*F3222))</f>
        <v/>
      </c>
      <c r="I3222" s="46" t="str">
        <f aca="false">IF($A3222="","",SUMIF($A$2:$A$5001,$A3222,$H$2:$H$5001))</f>
        <v/>
      </c>
      <c r="J3222" s="47" t="n">
        <f aca="false">IF($A3222="",0,IF(COUNTIF($A$2:A3222,$A3222)=1,1,0))</f>
        <v>0</v>
      </c>
      <c r="K3222" s="47" t="n">
        <f aca="false">IF(J3222=1,N(I3222)+ROW()/10000000,0)</f>
        <v>0</v>
      </c>
      <c r="L3222" s="47" t="str">
        <f aca="false">IF(AND(J3222=1,N(I3222)&gt;0),SUMIF($K$2:$K$5001,"&gt;="&amp;K3222,$I$2:$I$5001)/MAX(1,SUM($H$2:$H$5001)),"")</f>
        <v/>
      </c>
      <c r="M3222" s="47" t="str">
        <f aca="false">IF($A3222="","",INDEX($L$2:$L$5001,MATCH($A3222,$A$2:$A$5001,0)))</f>
        <v/>
      </c>
      <c r="N3222" s="48" t="str">
        <f aca="false">IF($A3222="","",IF(N(M3222)=0,"–",IF(M3222&lt;=Start!$D$20,"A",IF(M3222&lt;=Start!$D$21,"B","C"))))</f>
        <v/>
      </c>
      <c r="O3222" s="48" t="str">
        <f aca="false">IF($A3222="","",IF(NOT(ISNUMBER(F3222)),"Wert fehlt; ",IF(F3222&lt;=0,"Wert ist 0; ",""))&amp;IF(NOT(ISNUMBER(E3222)),"Bestand fehlt; ",IF(E3222&lt;0,"Bestand negativ; ",IF(E3222=0,"Nullbestand; ","")))&amp;IF(D3222="","Warengruppe fehlt; ","")&amp;IF(B3222="","Bezeichnung fehlt; ","")&amp;IF(COUNTIFS($A$2:$A$5001,$A3222,$C$2:$C$5001,C3222)&gt;1,"Artikel doppelt im selben Lager; ",""))</f>
        <v/>
      </c>
      <c r="P3222" s="47" t="n">
        <f aca="false">IF(OR($A3222="",D3222=""),0,IF(COUNTIF($D$2:D3222,D3222)=1,SUMIF($D$2:$D$5001,D3222,$H$2:$H$5001)+ROW()/10000000,0))</f>
        <v>0</v>
      </c>
      <c r="Q3222" s="47" t="n">
        <f aca="false">IF(OR($A3222="",C3222=""),0,IF(COUNTIF($C$2:C3222,C3222)=1,SUMIF($C$2:$C$5001,C3222,$H$2:$H$5001)+ROW()/10000000,0))</f>
        <v>0</v>
      </c>
    </row>
    <row r="3223" customFormat="false" ht="15" hidden="false" customHeight="false" outlineLevel="0" collapsed="false">
      <c r="A3223" s="43"/>
      <c r="B3223" s="44"/>
      <c r="C3223" s="44"/>
      <c r="D3223" s="44"/>
      <c r="E3223" s="44"/>
      <c r="F3223" s="44"/>
      <c r="G3223" s="44"/>
      <c r="H3223" s="46" t="str">
        <f aca="false">IF($A3223="","",IF(OR(NOT(ISNUMBER(E3223)),NOT(ISNUMBER(F3223))),"",MAX(0,E3223)*F3223))</f>
        <v/>
      </c>
      <c r="I3223" s="46" t="str">
        <f aca="false">IF($A3223="","",SUMIF($A$2:$A$5001,$A3223,$H$2:$H$5001))</f>
        <v/>
      </c>
      <c r="J3223" s="47" t="n">
        <f aca="false">IF($A3223="",0,IF(COUNTIF($A$2:A3223,$A3223)=1,1,0))</f>
        <v>0</v>
      </c>
      <c r="K3223" s="47" t="n">
        <f aca="false">IF(J3223=1,N(I3223)+ROW()/10000000,0)</f>
        <v>0</v>
      </c>
      <c r="L3223" s="47" t="str">
        <f aca="false">IF(AND(J3223=1,N(I3223)&gt;0),SUMIF($K$2:$K$5001,"&gt;="&amp;K3223,$I$2:$I$5001)/MAX(1,SUM($H$2:$H$5001)),"")</f>
        <v/>
      </c>
      <c r="M3223" s="47" t="str">
        <f aca="false">IF($A3223="","",INDEX($L$2:$L$5001,MATCH($A3223,$A$2:$A$5001,0)))</f>
        <v/>
      </c>
      <c r="N3223" s="48" t="str">
        <f aca="false">IF($A3223="","",IF(N(M3223)=0,"–",IF(M3223&lt;=Start!$D$20,"A",IF(M3223&lt;=Start!$D$21,"B","C"))))</f>
        <v/>
      </c>
      <c r="O3223" s="48" t="str">
        <f aca="false">IF($A3223="","",IF(NOT(ISNUMBER(F3223)),"Wert fehlt; ",IF(F3223&lt;=0,"Wert ist 0; ",""))&amp;IF(NOT(ISNUMBER(E3223)),"Bestand fehlt; ",IF(E3223&lt;0,"Bestand negativ; ",IF(E3223=0,"Nullbestand; ","")))&amp;IF(D3223="","Warengruppe fehlt; ","")&amp;IF(B3223="","Bezeichnung fehlt; ","")&amp;IF(COUNTIFS($A$2:$A$5001,$A3223,$C$2:$C$5001,C3223)&gt;1,"Artikel doppelt im selben Lager; ",""))</f>
        <v/>
      </c>
      <c r="P3223" s="47" t="n">
        <f aca="false">IF(OR($A3223="",D3223=""),0,IF(COUNTIF($D$2:D3223,D3223)=1,SUMIF($D$2:$D$5001,D3223,$H$2:$H$5001)+ROW()/10000000,0))</f>
        <v>0</v>
      </c>
      <c r="Q3223" s="47" t="n">
        <f aca="false">IF(OR($A3223="",C3223=""),0,IF(COUNTIF($C$2:C3223,C3223)=1,SUMIF($C$2:$C$5001,C3223,$H$2:$H$5001)+ROW()/10000000,0))</f>
        <v>0</v>
      </c>
    </row>
    <row r="3224" customFormat="false" ht="15" hidden="false" customHeight="false" outlineLevel="0" collapsed="false">
      <c r="A3224" s="43"/>
      <c r="B3224" s="44"/>
      <c r="C3224" s="44"/>
      <c r="D3224" s="44"/>
      <c r="E3224" s="44"/>
      <c r="F3224" s="44"/>
      <c r="G3224" s="44"/>
      <c r="H3224" s="46" t="str">
        <f aca="false">IF($A3224="","",IF(OR(NOT(ISNUMBER(E3224)),NOT(ISNUMBER(F3224))),"",MAX(0,E3224)*F3224))</f>
        <v/>
      </c>
      <c r="I3224" s="46" t="str">
        <f aca="false">IF($A3224="","",SUMIF($A$2:$A$5001,$A3224,$H$2:$H$5001))</f>
        <v/>
      </c>
      <c r="J3224" s="47" t="n">
        <f aca="false">IF($A3224="",0,IF(COUNTIF($A$2:A3224,$A3224)=1,1,0))</f>
        <v>0</v>
      </c>
      <c r="K3224" s="47" t="n">
        <f aca="false">IF(J3224=1,N(I3224)+ROW()/10000000,0)</f>
        <v>0</v>
      </c>
      <c r="L3224" s="47" t="str">
        <f aca="false">IF(AND(J3224=1,N(I3224)&gt;0),SUMIF($K$2:$K$5001,"&gt;="&amp;K3224,$I$2:$I$5001)/MAX(1,SUM($H$2:$H$5001)),"")</f>
        <v/>
      </c>
      <c r="M3224" s="47" t="str">
        <f aca="false">IF($A3224="","",INDEX($L$2:$L$5001,MATCH($A3224,$A$2:$A$5001,0)))</f>
        <v/>
      </c>
      <c r="N3224" s="48" t="str">
        <f aca="false">IF($A3224="","",IF(N(M3224)=0,"–",IF(M3224&lt;=Start!$D$20,"A",IF(M3224&lt;=Start!$D$21,"B","C"))))</f>
        <v/>
      </c>
      <c r="O3224" s="48" t="str">
        <f aca="false">IF($A3224="","",IF(NOT(ISNUMBER(F3224)),"Wert fehlt; ",IF(F3224&lt;=0,"Wert ist 0; ",""))&amp;IF(NOT(ISNUMBER(E3224)),"Bestand fehlt; ",IF(E3224&lt;0,"Bestand negativ; ",IF(E3224=0,"Nullbestand; ","")))&amp;IF(D3224="","Warengruppe fehlt; ","")&amp;IF(B3224="","Bezeichnung fehlt; ","")&amp;IF(COUNTIFS($A$2:$A$5001,$A3224,$C$2:$C$5001,C3224)&gt;1,"Artikel doppelt im selben Lager; ",""))</f>
        <v/>
      </c>
      <c r="P3224" s="47" t="n">
        <f aca="false">IF(OR($A3224="",D3224=""),0,IF(COUNTIF($D$2:D3224,D3224)=1,SUMIF($D$2:$D$5001,D3224,$H$2:$H$5001)+ROW()/10000000,0))</f>
        <v>0</v>
      </c>
      <c r="Q3224" s="47" t="n">
        <f aca="false">IF(OR($A3224="",C3224=""),0,IF(COUNTIF($C$2:C3224,C3224)=1,SUMIF($C$2:$C$5001,C3224,$H$2:$H$5001)+ROW()/10000000,0))</f>
        <v>0</v>
      </c>
    </row>
    <row r="3225" customFormat="false" ht="15" hidden="false" customHeight="false" outlineLevel="0" collapsed="false">
      <c r="A3225" s="43"/>
      <c r="B3225" s="44"/>
      <c r="C3225" s="44"/>
      <c r="D3225" s="44"/>
      <c r="E3225" s="44"/>
      <c r="F3225" s="44"/>
      <c r="G3225" s="44"/>
      <c r="H3225" s="46" t="str">
        <f aca="false">IF($A3225="","",IF(OR(NOT(ISNUMBER(E3225)),NOT(ISNUMBER(F3225))),"",MAX(0,E3225)*F3225))</f>
        <v/>
      </c>
      <c r="I3225" s="46" t="str">
        <f aca="false">IF($A3225="","",SUMIF($A$2:$A$5001,$A3225,$H$2:$H$5001))</f>
        <v/>
      </c>
      <c r="J3225" s="47" t="n">
        <f aca="false">IF($A3225="",0,IF(COUNTIF($A$2:A3225,$A3225)=1,1,0))</f>
        <v>0</v>
      </c>
      <c r="K3225" s="47" t="n">
        <f aca="false">IF(J3225=1,N(I3225)+ROW()/10000000,0)</f>
        <v>0</v>
      </c>
      <c r="L3225" s="47" t="str">
        <f aca="false">IF(AND(J3225=1,N(I3225)&gt;0),SUMIF($K$2:$K$5001,"&gt;="&amp;K3225,$I$2:$I$5001)/MAX(1,SUM($H$2:$H$5001)),"")</f>
        <v/>
      </c>
      <c r="M3225" s="47" t="str">
        <f aca="false">IF($A3225="","",INDEX($L$2:$L$5001,MATCH($A3225,$A$2:$A$5001,0)))</f>
        <v/>
      </c>
      <c r="N3225" s="48" t="str">
        <f aca="false">IF($A3225="","",IF(N(M3225)=0,"–",IF(M3225&lt;=Start!$D$20,"A",IF(M3225&lt;=Start!$D$21,"B","C"))))</f>
        <v/>
      </c>
      <c r="O3225" s="48" t="str">
        <f aca="false">IF($A3225="","",IF(NOT(ISNUMBER(F3225)),"Wert fehlt; ",IF(F3225&lt;=0,"Wert ist 0; ",""))&amp;IF(NOT(ISNUMBER(E3225)),"Bestand fehlt; ",IF(E3225&lt;0,"Bestand negativ; ",IF(E3225=0,"Nullbestand; ","")))&amp;IF(D3225="","Warengruppe fehlt; ","")&amp;IF(B3225="","Bezeichnung fehlt; ","")&amp;IF(COUNTIFS($A$2:$A$5001,$A3225,$C$2:$C$5001,C3225)&gt;1,"Artikel doppelt im selben Lager; ",""))</f>
        <v/>
      </c>
      <c r="P3225" s="47" t="n">
        <f aca="false">IF(OR($A3225="",D3225=""),0,IF(COUNTIF($D$2:D3225,D3225)=1,SUMIF($D$2:$D$5001,D3225,$H$2:$H$5001)+ROW()/10000000,0))</f>
        <v>0</v>
      </c>
      <c r="Q3225" s="47" t="n">
        <f aca="false">IF(OR($A3225="",C3225=""),0,IF(COUNTIF($C$2:C3225,C3225)=1,SUMIF($C$2:$C$5001,C3225,$H$2:$H$5001)+ROW()/10000000,0))</f>
        <v>0</v>
      </c>
    </row>
    <row r="3226" customFormat="false" ht="15" hidden="false" customHeight="false" outlineLevel="0" collapsed="false">
      <c r="A3226" s="43"/>
      <c r="B3226" s="44"/>
      <c r="C3226" s="44"/>
      <c r="D3226" s="44"/>
      <c r="E3226" s="44"/>
      <c r="F3226" s="44"/>
      <c r="G3226" s="44"/>
      <c r="H3226" s="46" t="str">
        <f aca="false">IF($A3226="","",IF(OR(NOT(ISNUMBER(E3226)),NOT(ISNUMBER(F3226))),"",MAX(0,E3226)*F3226))</f>
        <v/>
      </c>
      <c r="I3226" s="46" t="str">
        <f aca="false">IF($A3226="","",SUMIF($A$2:$A$5001,$A3226,$H$2:$H$5001))</f>
        <v/>
      </c>
      <c r="J3226" s="47" t="n">
        <f aca="false">IF($A3226="",0,IF(COUNTIF($A$2:A3226,$A3226)=1,1,0))</f>
        <v>0</v>
      </c>
      <c r="K3226" s="47" t="n">
        <f aca="false">IF(J3226=1,N(I3226)+ROW()/10000000,0)</f>
        <v>0</v>
      </c>
      <c r="L3226" s="47" t="str">
        <f aca="false">IF(AND(J3226=1,N(I3226)&gt;0),SUMIF($K$2:$K$5001,"&gt;="&amp;K3226,$I$2:$I$5001)/MAX(1,SUM($H$2:$H$5001)),"")</f>
        <v/>
      </c>
      <c r="M3226" s="47" t="str">
        <f aca="false">IF($A3226="","",INDEX($L$2:$L$5001,MATCH($A3226,$A$2:$A$5001,0)))</f>
        <v/>
      </c>
      <c r="N3226" s="48" t="str">
        <f aca="false">IF($A3226="","",IF(N(M3226)=0,"–",IF(M3226&lt;=Start!$D$20,"A",IF(M3226&lt;=Start!$D$21,"B","C"))))</f>
        <v/>
      </c>
      <c r="O3226" s="48" t="str">
        <f aca="false">IF($A3226="","",IF(NOT(ISNUMBER(F3226)),"Wert fehlt; ",IF(F3226&lt;=0,"Wert ist 0; ",""))&amp;IF(NOT(ISNUMBER(E3226)),"Bestand fehlt; ",IF(E3226&lt;0,"Bestand negativ; ",IF(E3226=0,"Nullbestand; ","")))&amp;IF(D3226="","Warengruppe fehlt; ","")&amp;IF(B3226="","Bezeichnung fehlt; ","")&amp;IF(COUNTIFS($A$2:$A$5001,$A3226,$C$2:$C$5001,C3226)&gt;1,"Artikel doppelt im selben Lager; ",""))</f>
        <v/>
      </c>
      <c r="P3226" s="47" t="n">
        <f aca="false">IF(OR($A3226="",D3226=""),0,IF(COUNTIF($D$2:D3226,D3226)=1,SUMIF($D$2:$D$5001,D3226,$H$2:$H$5001)+ROW()/10000000,0))</f>
        <v>0</v>
      </c>
      <c r="Q3226" s="47" t="n">
        <f aca="false">IF(OR($A3226="",C3226=""),0,IF(COUNTIF($C$2:C3226,C3226)=1,SUMIF($C$2:$C$5001,C3226,$H$2:$H$5001)+ROW()/10000000,0))</f>
        <v>0</v>
      </c>
    </row>
    <row r="3227" customFormat="false" ht="15" hidden="false" customHeight="false" outlineLevel="0" collapsed="false">
      <c r="A3227" s="43"/>
      <c r="B3227" s="44"/>
      <c r="C3227" s="44"/>
      <c r="D3227" s="44"/>
      <c r="E3227" s="44"/>
      <c r="F3227" s="44"/>
      <c r="G3227" s="44"/>
      <c r="H3227" s="46" t="str">
        <f aca="false">IF($A3227="","",IF(OR(NOT(ISNUMBER(E3227)),NOT(ISNUMBER(F3227))),"",MAX(0,E3227)*F3227))</f>
        <v/>
      </c>
      <c r="I3227" s="46" t="str">
        <f aca="false">IF($A3227="","",SUMIF($A$2:$A$5001,$A3227,$H$2:$H$5001))</f>
        <v/>
      </c>
      <c r="J3227" s="47" t="n">
        <f aca="false">IF($A3227="",0,IF(COUNTIF($A$2:A3227,$A3227)=1,1,0))</f>
        <v>0</v>
      </c>
      <c r="K3227" s="47" t="n">
        <f aca="false">IF(J3227=1,N(I3227)+ROW()/10000000,0)</f>
        <v>0</v>
      </c>
      <c r="L3227" s="47" t="str">
        <f aca="false">IF(AND(J3227=1,N(I3227)&gt;0),SUMIF($K$2:$K$5001,"&gt;="&amp;K3227,$I$2:$I$5001)/MAX(1,SUM($H$2:$H$5001)),"")</f>
        <v/>
      </c>
      <c r="M3227" s="47" t="str">
        <f aca="false">IF($A3227="","",INDEX($L$2:$L$5001,MATCH($A3227,$A$2:$A$5001,0)))</f>
        <v/>
      </c>
      <c r="N3227" s="48" t="str">
        <f aca="false">IF($A3227="","",IF(N(M3227)=0,"–",IF(M3227&lt;=Start!$D$20,"A",IF(M3227&lt;=Start!$D$21,"B","C"))))</f>
        <v/>
      </c>
      <c r="O3227" s="48" t="str">
        <f aca="false">IF($A3227="","",IF(NOT(ISNUMBER(F3227)),"Wert fehlt; ",IF(F3227&lt;=0,"Wert ist 0; ",""))&amp;IF(NOT(ISNUMBER(E3227)),"Bestand fehlt; ",IF(E3227&lt;0,"Bestand negativ; ",IF(E3227=0,"Nullbestand; ","")))&amp;IF(D3227="","Warengruppe fehlt; ","")&amp;IF(B3227="","Bezeichnung fehlt; ","")&amp;IF(COUNTIFS($A$2:$A$5001,$A3227,$C$2:$C$5001,C3227)&gt;1,"Artikel doppelt im selben Lager; ",""))</f>
        <v/>
      </c>
      <c r="P3227" s="47" t="n">
        <f aca="false">IF(OR($A3227="",D3227=""),0,IF(COUNTIF($D$2:D3227,D3227)=1,SUMIF($D$2:$D$5001,D3227,$H$2:$H$5001)+ROW()/10000000,0))</f>
        <v>0</v>
      </c>
      <c r="Q3227" s="47" t="n">
        <f aca="false">IF(OR($A3227="",C3227=""),0,IF(COUNTIF($C$2:C3227,C3227)=1,SUMIF($C$2:$C$5001,C3227,$H$2:$H$5001)+ROW()/10000000,0))</f>
        <v>0</v>
      </c>
    </row>
    <row r="3228" customFormat="false" ht="15" hidden="false" customHeight="false" outlineLevel="0" collapsed="false">
      <c r="A3228" s="43"/>
      <c r="B3228" s="44"/>
      <c r="C3228" s="44"/>
      <c r="D3228" s="44"/>
      <c r="E3228" s="44"/>
      <c r="F3228" s="44"/>
      <c r="G3228" s="44"/>
      <c r="H3228" s="46" t="str">
        <f aca="false">IF($A3228="","",IF(OR(NOT(ISNUMBER(E3228)),NOT(ISNUMBER(F3228))),"",MAX(0,E3228)*F3228))</f>
        <v/>
      </c>
      <c r="I3228" s="46" t="str">
        <f aca="false">IF($A3228="","",SUMIF($A$2:$A$5001,$A3228,$H$2:$H$5001))</f>
        <v/>
      </c>
      <c r="J3228" s="47" t="n">
        <f aca="false">IF($A3228="",0,IF(COUNTIF($A$2:A3228,$A3228)=1,1,0))</f>
        <v>0</v>
      </c>
      <c r="K3228" s="47" t="n">
        <f aca="false">IF(J3228=1,N(I3228)+ROW()/10000000,0)</f>
        <v>0</v>
      </c>
      <c r="L3228" s="47" t="str">
        <f aca="false">IF(AND(J3228=1,N(I3228)&gt;0),SUMIF($K$2:$K$5001,"&gt;="&amp;K3228,$I$2:$I$5001)/MAX(1,SUM($H$2:$H$5001)),"")</f>
        <v/>
      </c>
      <c r="M3228" s="47" t="str">
        <f aca="false">IF($A3228="","",INDEX($L$2:$L$5001,MATCH($A3228,$A$2:$A$5001,0)))</f>
        <v/>
      </c>
      <c r="N3228" s="48" t="str">
        <f aca="false">IF($A3228="","",IF(N(M3228)=0,"–",IF(M3228&lt;=Start!$D$20,"A",IF(M3228&lt;=Start!$D$21,"B","C"))))</f>
        <v/>
      </c>
      <c r="O3228" s="48" t="str">
        <f aca="false">IF($A3228="","",IF(NOT(ISNUMBER(F3228)),"Wert fehlt; ",IF(F3228&lt;=0,"Wert ist 0; ",""))&amp;IF(NOT(ISNUMBER(E3228)),"Bestand fehlt; ",IF(E3228&lt;0,"Bestand negativ; ",IF(E3228=0,"Nullbestand; ","")))&amp;IF(D3228="","Warengruppe fehlt; ","")&amp;IF(B3228="","Bezeichnung fehlt; ","")&amp;IF(COUNTIFS($A$2:$A$5001,$A3228,$C$2:$C$5001,C3228)&gt;1,"Artikel doppelt im selben Lager; ",""))</f>
        <v/>
      </c>
      <c r="P3228" s="47" t="n">
        <f aca="false">IF(OR($A3228="",D3228=""),0,IF(COUNTIF($D$2:D3228,D3228)=1,SUMIF($D$2:$D$5001,D3228,$H$2:$H$5001)+ROW()/10000000,0))</f>
        <v>0</v>
      </c>
      <c r="Q3228" s="47" t="n">
        <f aca="false">IF(OR($A3228="",C3228=""),0,IF(COUNTIF($C$2:C3228,C3228)=1,SUMIF($C$2:$C$5001,C3228,$H$2:$H$5001)+ROW()/10000000,0))</f>
        <v>0</v>
      </c>
    </row>
    <row r="3229" customFormat="false" ht="15" hidden="false" customHeight="false" outlineLevel="0" collapsed="false">
      <c r="A3229" s="43"/>
      <c r="B3229" s="44"/>
      <c r="C3229" s="44"/>
      <c r="D3229" s="44"/>
      <c r="E3229" s="44"/>
      <c r="F3229" s="44"/>
      <c r="G3229" s="44"/>
      <c r="H3229" s="46" t="str">
        <f aca="false">IF($A3229="","",IF(OR(NOT(ISNUMBER(E3229)),NOT(ISNUMBER(F3229))),"",MAX(0,E3229)*F3229))</f>
        <v/>
      </c>
      <c r="I3229" s="46" t="str">
        <f aca="false">IF($A3229="","",SUMIF($A$2:$A$5001,$A3229,$H$2:$H$5001))</f>
        <v/>
      </c>
      <c r="J3229" s="47" t="n">
        <f aca="false">IF($A3229="",0,IF(COUNTIF($A$2:A3229,$A3229)=1,1,0))</f>
        <v>0</v>
      </c>
      <c r="K3229" s="47" t="n">
        <f aca="false">IF(J3229=1,N(I3229)+ROW()/10000000,0)</f>
        <v>0</v>
      </c>
      <c r="L3229" s="47" t="str">
        <f aca="false">IF(AND(J3229=1,N(I3229)&gt;0),SUMIF($K$2:$K$5001,"&gt;="&amp;K3229,$I$2:$I$5001)/MAX(1,SUM($H$2:$H$5001)),"")</f>
        <v/>
      </c>
      <c r="M3229" s="47" t="str">
        <f aca="false">IF($A3229="","",INDEX($L$2:$L$5001,MATCH($A3229,$A$2:$A$5001,0)))</f>
        <v/>
      </c>
      <c r="N3229" s="48" t="str">
        <f aca="false">IF($A3229="","",IF(N(M3229)=0,"–",IF(M3229&lt;=Start!$D$20,"A",IF(M3229&lt;=Start!$D$21,"B","C"))))</f>
        <v/>
      </c>
      <c r="O3229" s="48" t="str">
        <f aca="false">IF($A3229="","",IF(NOT(ISNUMBER(F3229)),"Wert fehlt; ",IF(F3229&lt;=0,"Wert ist 0; ",""))&amp;IF(NOT(ISNUMBER(E3229)),"Bestand fehlt; ",IF(E3229&lt;0,"Bestand negativ; ",IF(E3229=0,"Nullbestand; ","")))&amp;IF(D3229="","Warengruppe fehlt; ","")&amp;IF(B3229="","Bezeichnung fehlt; ","")&amp;IF(COUNTIFS($A$2:$A$5001,$A3229,$C$2:$C$5001,C3229)&gt;1,"Artikel doppelt im selben Lager; ",""))</f>
        <v/>
      </c>
      <c r="P3229" s="47" t="n">
        <f aca="false">IF(OR($A3229="",D3229=""),0,IF(COUNTIF($D$2:D3229,D3229)=1,SUMIF($D$2:$D$5001,D3229,$H$2:$H$5001)+ROW()/10000000,0))</f>
        <v>0</v>
      </c>
      <c r="Q3229" s="47" t="n">
        <f aca="false">IF(OR($A3229="",C3229=""),0,IF(COUNTIF($C$2:C3229,C3229)=1,SUMIF($C$2:$C$5001,C3229,$H$2:$H$5001)+ROW()/10000000,0))</f>
        <v>0</v>
      </c>
    </row>
    <row r="3230" customFormat="false" ht="15" hidden="false" customHeight="false" outlineLevel="0" collapsed="false">
      <c r="A3230" s="43"/>
      <c r="B3230" s="44"/>
      <c r="C3230" s="44"/>
      <c r="D3230" s="44"/>
      <c r="E3230" s="44"/>
      <c r="F3230" s="44"/>
      <c r="G3230" s="44"/>
      <c r="H3230" s="46" t="str">
        <f aca="false">IF($A3230="","",IF(OR(NOT(ISNUMBER(E3230)),NOT(ISNUMBER(F3230))),"",MAX(0,E3230)*F3230))</f>
        <v/>
      </c>
      <c r="I3230" s="46" t="str">
        <f aca="false">IF($A3230="","",SUMIF($A$2:$A$5001,$A3230,$H$2:$H$5001))</f>
        <v/>
      </c>
      <c r="J3230" s="47" t="n">
        <f aca="false">IF($A3230="",0,IF(COUNTIF($A$2:A3230,$A3230)=1,1,0))</f>
        <v>0</v>
      </c>
      <c r="K3230" s="47" t="n">
        <f aca="false">IF(J3230=1,N(I3230)+ROW()/10000000,0)</f>
        <v>0</v>
      </c>
      <c r="L3230" s="47" t="str">
        <f aca="false">IF(AND(J3230=1,N(I3230)&gt;0),SUMIF($K$2:$K$5001,"&gt;="&amp;K3230,$I$2:$I$5001)/MAX(1,SUM($H$2:$H$5001)),"")</f>
        <v/>
      </c>
      <c r="M3230" s="47" t="str">
        <f aca="false">IF($A3230="","",INDEX($L$2:$L$5001,MATCH($A3230,$A$2:$A$5001,0)))</f>
        <v/>
      </c>
      <c r="N3230" s="48" t="str">
        <f aca="false">IF($A3230="","",IF(N(M3230)=0,"–",IF(M3230&lt;=Start!$D$20,"A",IF(M3230&lt;=Start!$D$21,"B","C"))))</f>
        <v/>
      </c>
      <c r="O3230" s="48" t="str">
        <f aca="false">IF($A3230="","",IF(NOT(ISNUMBER(F3230)),"Wert fehlt; ",IF(F3230&lt;=0,"Wert ist 0; ",""))&amp;IF(NOT(ISNUMBER(E3230)),"Bestand fehlt; ",IF(E3230&lt;0,"Bestand negativ; ",IF(E3230=0,"Nullbestand; ","")))&amp;IF(D3230="","Warengruppe fehlt; ","")&amp;IF(B3230="","Bezeichnung fehlt; ","")&amp;IF(COUNTIFS($A$2:$A$5001,$A3230,$C$2:$C$5001,C3230)&gt;1,"Artikel doppelt im selben Lager; ",""))</f>
        <v/>
      </c>
      <c r="P3230" s="47" t="n">
        <f aca="false">IF(OR($A3230="",D3230=""),0,IF(COUNTIF($D$2:D3230,D3230)=1,SUMIF($D$2:$D$5001,D3230,$H$2:$H$5001)+ROW()/10000000,0))</f>
        <v>0</v>
      </c>
      <c r="Q3230" s="47" t="n">
        <f aca="false">IF(OR($A3230="",C3230=""),0,IF(COUNTIF($C$2:C3230,C3230)=1,SUMIF($C$2:$C$5001,C3230,$H$2:$H$5001)+ROW()/10000000,0))</f>
        <v>0</v>
      </c>
    </row>
    <row r="3231" customFormat="false" ht="15" hidden="false" customHeight="false" outlineLevel="0" collapsed="false">
      <c r="A3231" s="43"/>
      <c r="B3231" s="44"/>
      <c r="C3231" s="44"/>
      <c r="D3231" s="44"/>
      <c r="E3231" s="44"/>
      <c r="F3231" s="44"/>
      <c r="G3231" s="44"/>
      <c r="H3231" s="46" t="str">
        <f aca="false">IF($A3231="","",IF(OR(NOT(ISNUMBER(E3231)),NOT(ISNUMBER(F3231))),"",MAX(0,E3231)*F3231))</f>
        <v/>
      </c>
      <c r="I3231" s="46" t="str">
        <f aca="false">IF($A3231="","",SUMIF($A$2:$A$5001,$A3231,$H$2:$H$5001))</f>
        <v/>
      </c>
      <c r="J3231" s="47" t="n">
        <f aca="false">IF($A3231="",0,IF(COUNTIF($A$2:A3231,$A3231)=1,1,0))</f>
        <v>0</v>
      </c>
      <c r="K3231" s="47" t="n">
        <f aca="false">IF(J3231=1,N(I3231)+ROW()/10000000,0)</f>
        <v>0</v>
      </c>
      <c r="L3231" s="47" t="str">
        <f aca="false">IF(AND(J3231=1,N(I3231)&gt;0),SUMIF($K$2:$K$5001,"&gt;="&amp;K3231,$I$2:$I$5001)/MAX(1,SUM($H$2:$H$5001)),"")</f>
        <v/>
      </c>
      <c r="M3231" s="47" t="str">
        <f aca="false">IF($A3231="","",INDEX($L$2:$L$5001,MATCH($A3231,$A$2:$A$5001,0)))</f>
        <v/>
      </c>
      <c r="N3231" s="48" t="str">
        <f aca="false">IF($A3231="","",IF(N(M3231)=0,"–",IF(M3231&lt;=Start!$D$20,"A",IF(M3231&lt;=Start!$D$21,"B","C"))))</f>
        <v/>
      </c>
      <c r="O3231" s="48" t="str">
        <f aca="false">IF($A3231="","",IF(NOT(ISNUMBER(F3231)),"Wert fehlt; ",IF(F3231&lt;=0,"Wert ist 0; ",""))&amp;IF(NOT(ISNUMBER(E3231)),"Bestand fehlt; ",IF(E3231&lt;0,"Bestand negativ; ",IF(E3231=0,"Nullbestand; ","")))&amp;IF(D3231="","Warengruppe fehlt; ","")&amp;IF(B3231="","Bezeichnung fehlt; ","")&amp;IF(COUNTIFS($A$2:$A$5001,$A3231,$C$2:$C$5001,C3231)&gt;1,"Artikel doppelt im selben Lager; ",""))</f>
        <v/>
      </c>
      <c r="P3231" s="47" t="n">
        <f aca="false">IF(OR($A3231="",D3231=""),0,IF(COUNTIF($D$2:D3231,D3231)=1,SUMIF($D$2:$D$5001,D3231,$H$2:$H$5001)+ROW()/10000000,0))</f>
        <v>0</v>
      </c>
      <c r="Q3231" s="47" t="n">
        <f aca="false">IF(OR($A3231="",C3231=""),0,IF(COUNTIF($C$2:C3231,C3231)=1,SUMIF($C$2:$C$5001,C3231,$H$2:$H$5001)+ROW()/10000000,0))</f>
        <v>0</v>
      </c>
    </row>
    <row r="3232" customFormat="false" ht="15" hidden="false" customHeight="false" outlineLevel="0" collapsed="false">
      <c r="A3232" s="43"/>
      <c r="B3232" s="44"/>
      <c r="C3232" s="44"/>
      <c r="D3232" s="44"/>
      <c r="E3232" s="44"/>
      <c r="F3232" s="44"/>
      <c r="G3232" s="44"/>
      <c r="H3232" s="46" t="str">
        <f aca="false">IF($A3232="","",IF(OR(NOT(ISNUMBER(E3232)),NOT(ISNUMBER(F3232))),"",MAX(0,E3232)*F3232))</f>
        <v/>
      </c>
      <c r="I3232" s="46" t="str">
        <f aca="false">IF($A3232="","",SUMIF($A$2:$A$5001,$A3232,$H$2:$H$5001))</f>
        <v/>
      </c>
      <c r="J3232" s="47" t="n">
        <f aca="false">IF($A3232="",0,IF(COUNTIF($A$2:A3232,$A3232)=1,1,0))</f>
        <v>0</v>
      </c>
      <c r="K3232" s="47" t="n">
        <f aca="false">IF(J3232=1,N(I3232)+ROW()/10000000,0)</f>
        <v>0</v>
      </c>
      <c r="L3232" s="47" t="str">
        <f aca="false">IF(AND(J3232=1,N(I3232)&gt;0),SUMIF($K$2:$K$5001,"&gt;="&amp;K3232,$I$2:$I$5001)/MAX(1,SUM($H$2:$H$5001)),"")</f>
        <v/>
      </c>
      <c r="M3232" s="47" t="str">
        <f aca="false">IF($A3232="","",INDEX($L$2:$L$5001,MATCH($A3232,$A$2:$A$5001,0)))</f>
        <v/>
      </c>
      <c r="N3232" s="48" t="str">
        <f aca="false">IF($A3232="","",IF(N(M3232)=0,"–",IF(M3232&lt;=Start!$D$20,"A",IF(M3232&lt;=Start!$D$21,"B","C"))))</f>
        <v/>
      </c>
      <c r="O3232" s="48" t="str">
        <f aca="false">IF($A3232="","",IF(NOT(ISNUMBER(F3232)),"Wert fehlt; ",IF(F3232&lt;=0,"Wert ist 0; ",""))&amp;IF(NOT(ISNUMBER(E3232)),"Bestand fehlt; ",IF(E3232&lt;0,"Bestand negativ; ",IF(E3232=0,"Nullbestand; ","")))&amp;IF(D3232="","Warengruppe fehlt; ","")&amp;IF(B3232="","Bezeichnung fehlt; ","")&amp;IF(COUNTIFS($A$2:$A$5001,$A3232,$C$2:$C$5001,C3232)&gt;1,"Artikel doppelt im selben Lager; ",""))</f>
        <v/>
      </c>
      <c r="P3232" s="47" t="n">
        <f aca="false">IF(OR($A3232="",D3232=""),0,IF(COUNTIF($D$2:D3232,D3232)=1,SUMIF($D$2:$D$5001,D3232,$H$2:$H$5001)+ROW()/10000000,0))</f>
        <v>0</v>
      </c>
      <c r="Q3232" s="47" t="n">
        <f aca="false">IF(OR($A3232="",C3232=""),0,IF(COUNTIF($C$2:C3232,C3232)=1,SUMIF($C$2:$C$5001,C3232,$H$2:$H$5001)+ROW()/10000000,0))</f>
        <v>0</v>
      </c>
    </row>
    <row r="3233" customFormat="false" ht="15" hidden="false" customHeight="false" outlineLevel="0" collapsed="false">
      <c r="A3233" s="43"/>
      <c r="B3233" s="44"/>
      <c r="C3233" s="44"/>
      <c r="D3233" s="44"/>
      <c r="E3233" s="44"/>
      <c r="F3233" s="44"/>
      <c r="G3233" s="44"/>
      <c r="H3233" s="46" t="str">
        <f aca="false">IF($A3233="","",IF(OR(NOT(ISNUMBER(E3233)),NOT(ISNUMBER(F3233))),"",MAX(0,E3233)*F3233))</f>
        <v/>
      </c>
      <c r="I3233" s="46" t="str">
        <f aca="false">IF($A3233="","",SUMIF($A$2:$A$5001,$A3233,$H$2:$H$5001))</f>
        <v/>
      </c>
      <c r="J3233" s="47" t="n">
        <f aca="false">IF($A3233="",0,IF(COUNTIF($A$2:A3233,$A3233)=1,1,0))</f>
        <v>0</v>
      </c>
      <c r="K3233" s="47" t="n">
        <f aca="false">IF(J3233=1,N(I3233)+ROW()/10000000,0)</f>
        <v>0</v>
      </c>
      <c r="L3233" s="47" t="str">
        <f aca="false">IF(AND(J3233=1,N(I3233)&gt;0),SUMIF($K$2:$K$5001,"&gt;="&amp;K3233,$I$2:$I$5001)/MAX(1,SUM($H$2:$H$5001)),"")</f>
        <v/>
      </c>
      <c r="M3233" s="47" t="str">
        <f aca="false">IF($A3233="","",INDEX($L$2:$L$5001,MATCH($A3233,$A$2:$A$5001,0)))</f>
        <v/>
      </c>
      <c r="N3233" s="48" t="str">
        <f aca="false">IF($A3233="","",IF(N(M3233)=0,"–",IF(M3233&lt;=Start!$D$20,"A",IF(M3233&lt;=Start!$D$21,"B","C"))))</f>
        <v/>
      </c>
      <c r="O3233" s="48" t="str">
        <f aca="false">IF($A3233="","",IF(NOT(ISNUMBER(F3233)),"Wert fehlt; ",IF(F3233&lt;=0,"Wert ist 0; ",""))&amp;IF(NOT(ISNUMBER(E3233)),"Bestand fehlt; ",IF(E3233&lt;0,"Bestand negativ; ",IF(E3233=0,"Nullbestand; ","")))&amp;IF(D3233="","Warengruppe fehlt; ","")&amp;IF(B3233="","Bezeichnung fehlt; ","")&amp;IF(COUNTIFS($A$2:$A$5001,$A3233,$C$2:$C$5001,C3233)&gt;1,"Artikel doppelt im selben Lager; ",""))</f>
        <v/>
      </c>
      <c r="P3233" s="47" t="n">
        <f aca="false">IF(OR($A3233="",D3233=""),0,IF(COUNTIF($D$2:D3233,D3233)=1,SUMIF($D$2:$D$5001,D3233,$H$2:$H$5001)+ROW()/10000000,0))</f>
        <v>0</v>
      </c>
      <c r="Q3233" s="47" t="n">
        <f aca="false">IF(OR($A3233="",C3233=""),0,IF(COUNTIF($C$2:C3233,C3233)=1,SUMIF($C$2:$C$5001,C3233,$H$2:$H$5001)+ROW()/10000000,0))</f>
        <v>0</v>
      </c>
    </row>
    <row r="3234" customFormat="false" ht="15" hidden="false" customHeight="false" outlineLevel="0" collapsed="false">
      <c r="A3234" s="43"/>
      <c r="B3234" s="44"/>
      <c r="C3234" s="44"/>
      <c r="D3234" s="44"/>
      <c r="E3234" s="44"/>
      <c r="F3234" s="44"/>
      <c r="G3234" s="44"/>
      <c r="H3234" s="46" t="str">
        <f aca="false">IF($A3234="","",IF(OR(NOT(ISNUMBER(E3234)),NOT(ISNUMBER(F3234))),"",MAX(0,E3234)*F3234))</f>
        <v/>
      </c>
      <c r="I3234" s="46" t="str">
        <f aca="false">IF($A3234="","",SUMIF($A$2:$A$5001,$A3234,$H$2:$H$5001))</f>
        <v/>
      </c>
      <c r="J3234" s="47" t="n">
        <f aca="false">IF($A3234="",0,IF(COUNTIF($A$2:A3234,$A3234)=1,1,0))</f>
        <v>0</v>
      </c>
      <c r="K3234" s="47" t="n">
        <f aca="false">IF(J3234=1,N(I3234)+ROW()/10000000,0)</f>
        <v>0</v>
      </c>
      <c r="L3234" s="47" t="str">
        <f aca="false">IF(AND(J3234=1,N(I3234)&gt;0),SUMIF($K$2:$K$5001,"&gt;="&amp;K3234,$I$2:$I$5001)/MAX(1,SUM($H$2:$H$5001)),"")</f>
        <v/>
      </c>
      <c r="M3234" s="47" t="str">
        <f aca="false">IF($A3234="","",INDEX($L$2:$L$5001,MATCH($A3234,$A$2:$A$5001,0)))</f>
        <v/>
      </c>
      <c r="N3234" s="48" t="str">
        <f aca="false">IF($A3234="","",IF(N(M3234)=0,"–",IF(M3234&lt;=Start!$D$20,"A",IF(M3234&lt;=Start!$D$21,"B","C"))))</f>
        <v/>
      </c>
      <c r="O3234" s="48" t="str">
        <f aca="false">IF($A3234="","",IF(NOT(ISNUMBER(F3234)),"Wert fehlt; ",IF(F3234&lt;=0,"Wert ist 0; ",""))&amp;IF(NOT(ISNUMBER(E3234)),"Bestand fehlt; ",IF(E3234&lt;0,"Bestand negativ; ",IF(E3234=0,"Nullbestand; ","")))&amp;IF(D3234="","Warengruppe fehlt; ","")&amp;IF(B3234="","Bezeichnung fehlt; ","")&amp;IF(COUNTIFS($A$2:$A$5001,$A3234,$C$2:$C$5001,C3234)&gt;1,"Artikel doppelt im selben Lager; ",""))</f>
        <v/>
      </c>
      <c r="P3234" s="47" t="n">
        <f aca="false">IF(OR($A3234="",D3234=""),0,IF(COUNTIF($D$2:D3234,D3234)=1,SUMIF($D$2:$D$5001,D3234,$H$2:$H$5001)+ROW()/10000000,0))</f>
        <v>0</v>
      </c>
      <c r="Q3234" s="47" t="n">
        <f aca="false">IF(OR($A3234="",C3234=""),0,IF(COUNTIF($C$2:C3234,C3234)=1,SUMIF($C$2:$C$5001,C3234,$H$2:$H$5001)+ROW()/10000000,0))</f>
        <v>0</v>
      </c>
    </row>
    <row r="3235" customFormat="false" ht="15" hidden="false" customHeight="false" outlineLevel="0" collapsed="false">
      <c r="A3235" s="43"/>
      <c r="B3235" s="44"/>
      <c r="C3235" s="44"/>
      <c r="D3235" s="44"/>
      <c r="E3235" s="44"/>
      <c r="F3235" s="44"/>
      <c r="G3235" s="44"/>
      <c r="H3235" s="46" t="str">
        <f aca="false">IF($A3235="","",IF(OR(NOT(ISNUMBER(E3235)),NOT(ISNUMBER(F3235))),"",MAX(0,E3235)*F3235))</f>
        <v/>
      </c>
      <c r="I3235" s="46" t="str">
        <f aca="false">IF($A3235="","",SUMIF($A$2:$A$5001,$A3235,$H$2:$H$5001))</f>
        <v/>
      </c>
      <c r="J3235" s="47" t="n">
        <f aca="false">IF($A3235="",0,IF(COUNTIF($A$2:A3235,$A3235)=1,1,0))</f>
        <v>0</v>
      </c>
      <c r="K3235" s="47" t="n">
        <f aca="false">IF(J3235=1,N(I3235)+ROW()/10000000,0)</f>
        <v>0</v>
      </c>
      <c r="L3235" s="47" t="str">
        <f aca="false">IF(AND(J3235=1,N(I3235)&gt;0),SUMIF($K$2:$K$5001,"&gt;="&amp;K3235,$I$2:$I$5001)/MAX(1,SUM($H$2:$H$5001)),"")</f>
        <v/>
      </c>
      <c r="M3235" s="47" t="str">
        <f aca="false">IF($A3235="","",INDEX($L$2:$L$5001,MATCH($A3235,$A$2:$A$5001,0)))</f>
        <v/>
      </c>
      <c r="N3235" s="48" t="str">
        <f aca="false">IF($A3235="","",IF(N(M3235)=0,"–",IF(M3235&lt;=Start!$D$20,"A",IF(M3235&lt;=Start!$D$21,"B","C"))))</f>
        <v/>
      </c>
      <c r="O3235" s="48" t="str">
        <f aca="false">IF($A3235="","",IF(NOT(ISNUMBER(F3235)),"Wert fehlt; ",IF(F3235&lt;=0,"Wert ist 0; ",""))&amp;IF(NOT(ISNUMBER(E3235)),"Bestand fehlt; ",IF(E3235&lt;0,"Bestand negativ; ",IF(E3235=0,"Nullbestand; ","")))&amp;IF(D3235="","Warengruppe fehlt; ","")&amp;IF(B3235="","Bezeichnung fehlt; ","")&amp;IF(COUNTIFS($A$2:$A$5001,$A3235,$C$2:$C$5001,C3235)&gt;1,"Artikel doppelt im selben Lager; ",""))</f>
        <v/>
      </c>
      <c r="P3235" s="47" t="n">
        <f aca="false">IF(OR($A3235="",D3235=""),0,IF(COUNTIF($D$2:D3235,D3235)=1,SUMIF($D$2:$D$5001,D3235,$H$2:$H$5001)+ROW()/10000000,0))</f>
        <v>0</v>
      </c>
      <c r="Q3235" s="47" t="n">
        <f aca="false">IF(OR($A3235="",C3235=""),0,IF(COUNTIF($C$2:C3235,C3235)=1,SUMIF($C$2:$C$5001,C3235,$H$2:$H$5001)+ROW()/10000000,0))</f>
        <v>0</v>
      </c>
    </row>
    <row r="3236" customFormat="false" ht="15" hidden="false" customHeight="false" outlineLevel="0" collapsed="false">
      <c r="A3236" s="43"/>
      <c r="B3236" s="44"/>
      <c r="C3236" s="44"/>
      <c r="D3236" s="44"/>
      <c r="E3236" s="44"/>
      <c r="F3236" s="44"/>
      <c r="G3236" s="44"/>
      <c r="H3236" s="46" t="str">
        <f aca="false">IF($A3236="","",IF(OR(NOT(ISNUMBER(E3236)),NOT(ISNUMBER(F3236))),"",MAX(0,E3236)*F3236))</f>
        <v/>
      </c>
      <c r="I3236" s="46" t="str">
        <f aca="false">IF($A3236="","",SUMIF($A$2:$A$5001,$A3236,$H$2:$H$5001))</f>
        <v/>
      </c>
      <c r="J3236" s="47" t="n">
        <f aca="false">IF($A3236="",0,IF(COUNTIF($A$2:A3236,$A3236)=1,1,0))</f>
        <v>0</v>
      </c>
      <c r="K3236" s="47" t="n">
        <f aca="false">IF(J3236=1,N(I3236)+ROW()/10000000,0)</f>
        <v>0</v>
      </c>
      <c r="L3236" s="47" t="str">
        <f aca="false">IF(AND(J3236=1,N(I3236)&gt;0),SUMIF($K$2:$K$5001,"&gt;="&amp;K3236,$I$2:$I$5001)/MAX(1,SUM($H$2:$H$5001)),"")</f>
        <v/>
      </c>
      <c r="M3236" s="47" t="str">
        <f aca="false">IF($A3236="","",INDEX($L$2:$L$5001,MATCH($A3236,$A$2:$A$5001,0)))</f>
        <v/>
      </c>
      <c r="N3236" s="48" t="str">
        <f aca="false">IF($A3236="","",IF(N(M3236)=0,"–",IF(M3236&lt;=Start!$D$20,"A",IF(M3236&lt;=Start!$D$21,"B","C"))))</f>
        <v/>
      </c>
      <c r="O3236" s="48" t="str">
        <f aca="false">IF($A3236="","",IF(NOT(ISNUMBER(F3236)),"Wert fehlt; ",IF(F3236&lt;=0,"Wert ist 0; ",""))&amp;IF(NOT(ISNUMBER(E3236)),"Bestand fehlt; ",IF(E3236&lt;0,"Bestand negativ; ",IF(E3236=0,"Nullbestand; ","")))&amp;IF(D3236="","Warengruppe fehlt; ","")&amp;IF(B3236="","Bezeichnung fehlt; ","")&amp;IF(COUNTIFS($A$2:$A$5001,$A3236,$C$2:$C$5001,C3236)&gt;1,"Artikel doppelt im selben Lager; ",""))</f>
        <v/>
      </c>
      <c r="P3236" s="47" t="n">
        <f aca="false">IF(OR($A3236="",D3236=""),0,IF(COUNTIF($D$2:D3236,D3236)=1,SUMIF($D$2:$D$5001,D3236,$H$2:$H$5001)+ROW()/10000000,0))</f>
        <v>0</v>
      </c>
      <c r="Q3236" s="47" t="n">
        <f aca="false">IF(OR($A3236="",C3236=""),0,IF(COUNTIF($C$2:C3236,C3236)=1,SUMIF($C$2:$C$5001,C3236,$H$2:$H$5001)+ROW()/10000000,0))</f>
        <v>0</v>
      </c>
    </row>
    <row r="3237" customFormat="false" ht="15" hidden="false" customHeight="false" outlineLevel="0" collapsed="false">
      <c r="A3237" s="43"/>
      <c r="B3237" s="44"/>
      <c r="C3237" s="44"/>
      <c r="D3237" s="44"/>
      <c r="E3237" s="44"/>
      <c r="F3237" s="44"/>
      <c r="G3237" s="44"/>
      <c r="H3237" s="46" t="str">
        <f aca="false">IF($A3237="","",IF(OR(NOT(ISNUMBER(E3237)),NOT(ISNUMBER(F3237))),"",MAX(0,E3237)*F3237))</f>
        <v/>
      </c>
      <c r="I3237" s="46" t="str">
        <f aca="false">IF($A3237="","",SUMIF($A$2:$A$5001,$A3237,$H$2:$H$5001))</f>
        <v/>
      </c>
      <c r="J3237" s="47" t="n">
        <f aca="false">IF($A3237="",0,IF(COUNTIF($A$2:A3237,$A3237)=1,1,0))</f>
        <v>0</v>
      </c>
      <c r="K3237" s="47" t="n">
        <f aca="false">IF(J3237=1,N(I3237)+ROW()/10000000,0)</f>
        <v>0</v>
      </c>
      <c r="L3237" s="47" t="str">
        <f aca="false">IF(AND(J3237=1,N(I3237)&gt;0),SUMIF($K$2:$K$5001,"&gt;="&amp;K3237,$I$2:$I$5001)/MAX(1,SUM($H$2:$H$5001)),"")</f>
        <v/>
      </c>
      <c r="M3237" s="47" t="str">
        <f aca="false">IF($A3237="","",INDEX($L$2:$L$5001,MATCH($A3237,$A$2:$A$5001,0)))</f>
        <v/>
      </c>
      <c r="N3237" s="48" t="str">
        <f aca="false">IF($A3237="","",IF(N(M3237)=0,"–",IF(M3237&lt;=Start!$D$20,"A",IF(M3237&lt;=Start!$D$21,"B","C"))))</f>
        <v/>
      </c>
      <c r="O3237" s="48" t="str">
        <f aca="false">IF($A3237="","",IF(NOT(ISNUMBER(F3237)),"Wert fehlt; ",IF(F3237&lt;=0,"Wert ist 0; ",""))&amp;IF(NOT(ISNUMBER(E3237)),"Bestand fehlt; ",IF(E3237&lt;0,"Bestand negativ; ",IF(E3237=0,"Nullbestand; ","")))&amp;IF(D3237="","Warengruppe fehlt; ","")&amp;IF(B3237="","Bezeichnung fehlt; ","")&amp;IF(COUNTIFS($A$2:$A$5001,$A3237,$C$2:$C$5001,C3237)&gt;1,"Artikel doppelt im selben Lager; ",""))</f>
        <v/>
      </c>
      <c r="P3237" s="47" t="n">
        <f aca="false">IF(OR($A3237="",D3237=""),0,IF(COUNTIF($D$2:D3237,D3237)=1,SUMIF($D$2:$D$5001,D3237,$H$2:$H$5001)+ROW()/10000000,0))</f>
        <v>0</v>
      </c>
      <c r="Q3237" s="47" t="n">
        <f aca="false">IF(OR($A3237="",C3237=""),0,IF(COUNTIF($C$2:C3237,C3237)=1,SUMIF($C$2:$C$5001,C3237,$H$2:$H$5001)+ROW()/10000000,0))</f>
        <v>0</v>
      </c>
    </row>
    <row r="3238" customFormat="false" ht="15" hidden="false" customHeight="false" outlineLevel="0" collapsed="false">
      <c r="A3238" s="43"/>
      <c r="B3238" s="44"/>
      <c r="C3238" s="44"/>
      <c r="D3238" s="44"/>
      <c r="E3238" s="44"/>
      <c r="F3238" s="44"/>
      <c r="G3238" s="44"/>
      <c r="H3238" s="46" t="str">
        <f aca="false">IF($A3238="","",IF(OR(NOT(ISNUMBER(E3238)),NOT(ISNUMBER(F3238))),"",MAX(0,E3238)*F3238))</f>
        <v/>
      </c>
      <c r="I3238" s="46" t="str">
        <f aca="false">IF($A3238="","",SUMIF($A$2:$A$5001,$A3238,$H$2:$H$5001))</f>
        <v/>
      </c>
      <c r="J3238" s="47" t="n">
        <f aca="false">IF($A3238="",0,IF(COUNTIF($A$2:A3238,$A3238)=1,1,0))</f>
        <v>0</v>
      </c>
      <c r="K3238" s="47" t="n">
        <f aca="false">IF(J3238=1,N(I3238)+ROW()/10000000,0)</f>
        <v>0</v>
      </c>
      <c r="L3238" s="47" t="str">
        <f aca="false">IF(AND(J3238=1,N(I3238)&gt;0),SUMIF($K$2:$K$5001,"&gt;="&amp;K3238,$I$2:$I$5001)/MAX(1,SUM($H$2:$H$5001)),"")</f>
        <v/>
      </c>
      <c r="M3238" s="47" t="str">
        <f aca="false">IF($A3238="","",INDEX($L$2:$L$5001,MATCH($A3238,$A$2:$A$5001,0)))</f>
        <v/>
      </c>
      <c r="N3238" s="48" t="str">
        <f aca="false">IF($A3238="","",IF(N(M3238)=0,"–",IF(M3238&lt;=Start!$D$20,"A",IF(M3238&lt;=Start!$D$21,"B","C"))))</f>
        <v/>
      </c>
      <c r="O3238" s="48" t="str">
        <f aca="false">IF($A3238="","",IF(NOT(ISNUMBER(F3238)),"Wert fehlt; ",IF(F3238&lt;=0,"Wert ist 0; ",""))&amp;IF(NOT(ISNUMBER(E3238)),"Bestand fehlt; ",IF(E3238&lt;0,"Bestand negativ; ",IF(E3238=0,"Nullbestand; ","")))&amp;IF(D3238="","Warengruppe fehlt; ","")&amp;IF(B3238="","Bezeichnung fehlt; ","")&amp;IF(COUNTIFS($A$2:$A$5001,$A3238,$C$2:$C$5001,C3238)&gt;1,"Artikel doppelt im selben Lager; ",""))</f>
        <v/>
      </c>
      <c r="P3238" s="47" t="n">
        <f aca="false">IF(OR($A3238="",D3238=""),0,IF(COUNTIF($D$2:D3238,D3238)=1,SUMIF($D$2:$D$5001,D3238,$H$2:$H$5001)+ROW()/10000000,0))</f>
        <v>0</v>
      </c>
      <c r="Q3238" s="47" t="n">
        <f aca="false">IF(OR($A3238="",C3238=""),0,IF(COUNTIF($C$2:C3238,C3238)=1,SUMIF($C$2:$C$5001,C3238,$H$2:$H$5001)+ROW()/10000000,0))</f>
        <v>0</v>
      </c>
    </row>
    <row r="3239" customFormat="false" ht="15" hidden="false" customHeight="false" outlineLevel="0" collapsed="false">
      <c r="A3239" s="43"/>
      <c r="B3239" s="44"/>
      <c r="C3239" s="44"/>
      <c r="D3239" s="44"/>
      <c r="E3239" s="44"/>
      <c r="F3239" s="44"/>
      <c r="G3239" s="44"/>
      <c r="H3239" s="46" t="str">
        <f aca="false">IF($A3239="","",IF(OR(NOT(ISNUMBER(E3239)),NOT(ISNUMBER(F3239))),"",MAX(0,E3239)*F3239))</f>
        <v/>
      </c>
      <c r="I3239" s="46" t="str">
        <f aca="false">IF($A3239="","",SUMIF($A$2:$A$5001,$A3239,$H$2:$H$5001))</f>
        <v/>
      </c>
      <c r="J3239" s="47" t="n">
        <f aca="false">IF($A3239="",0,IF(COUNTIF($A$2:A3239,$A3239)=1,1,0))</f>
        <v>0</v>
      </c>
      <c r="K3239" s="47" t="n">
        <f aca="false">IF(J3239=1,N(I3239)+ROW()/10000000,0)</f>
        <v>0</v>
      </c>
      <c r="L3239" s="47" t="str">
        <f aca="false">IF(AND(J3239=1,N(I3239)&gt;0),SUMIF($K$2:$K$5001,"&gt;="&amp;K3239,$I$2:$I$5001)/MAX(1,SUM($H$2:$H$5001)),"")</f>
        <v/>
      </c>
      <c r="M3239" s="47" t="str">
        <f aca="false">IF($A3239="","",INDEX($L$2:$L$5001,MATCH($A3239,$A$2:$A$5001,0)))</f>
        <v/>
      </c>
      <c r="N3239" s="48" t="str">
        <f aca="false">IF($A3239="","",IF(N(M3239)=0,"–",IF(M3239&lt;=Start!$D$20,"A",IF(M3239&lt;=Start!$D$21,"B","C"))))</f>
        <v/>
      </c>
      <c r="O3239" s="48" t="str">
        <f aca="false">IF($A3239="","",IF(NOT(ISNUMBER(F3239)),"Wert fehlt; ",IF(F3239&lt;=0,"Wert ist 0; ",""))&amp;IF(NOT(ISNUMBER(E3239)),"Bestand fehlt; ",IF(E3239&lt;0,"Bestand negativ; ",IF(E3239=0,"Nullbestand; ","")))&amp;IF(D3239="","Warengruppe fehlt; ","")&amp;IF(B3239="","Bezeichnung fehlt; ","")&amp;IF(COUNTIFS($A$2:$A$5001,$A3239,$C$2:$C$5001,C3239)&gt;1,"Artikel doppelt im selben Lager; ",""))</f>
        <v/>
      </c>
      <c r="P3239" s="47" t="n">
        <f aca="false">IF(OR($A3239="",D3239=""),0,IF(COUNTIF($D$2:D3239,D3239)=1,SUMIF($D$2:$D$5001,D3239,$H$2:$H$5001)+ROW()/10000000,0))</f>
        <v>0</v>
      </c>
      <c r="Q3239" s="47" t="n">
        <f aca="false">IF(OR($A3239="",C3239=""),0,IF(COUNTIF($C$2:C3239,C3239)=1,SUMIF($C$2:$C$5001,C3239,$H$2:$H$5001)+ROW()/10000000,0))</f>
        <v>0</v>
      </c>
    </row>
    <row r="3240" customFormat="false" ht="15" hidden="false" customHeight="false" outlineLevel="0" collapsed="false">
      <c r="A3240" s="43"/>
      <c r="B3240" s="44"/>
      <c r="C3240" s="44"/>
      <c r="D3240" s="44"/>
      <c r="E3240" s="44"/>
      <c r="F3240" s="44"/>
      <c r="G3240" s="44"/>
      <c r="H3240" s="46" t="str">
        <f aca="false">IF($A3240="","",IF(OR(NOT(ISNUMBER(E3240)),NOT(ISNUMBER(F3240))),"",MAX(0,E3240)*F3240))</f>
        <v/>
      </c>
      <c r="I3240" s="46" t="str">
        <f aca="false">IF($A3240="","",SUMIF($A$2:$A$5001,$A3240,$H$2:$H$5001))</f>
        <v/>
      </c>
      <c r="J3240" s="47" t="n">
        <f aca="false">IF($A3240="",0,IF(COUNTIF($A$2:A3240,$A3240)=1,1,0))</f>
        <v>0</v>
      </c>
      <c r="K3240" s="47" t="n">
        <f aca="false">IF(J3240=1,N(I3240)+ROW()/10000000,0)</f>
        <v>0</v>
      </c>
      <c r="L3240" s="47" t="str">
        <f aca="false">IF(AND(J3240=1,N(I3240)&gt;0),SUMIF($K$2:$K$5001,"&gt;="&amp;K3240,$I$2:$I$5001)/MAX(1,SUM($H$2:$H$5001)),"")</f>
        <v/>
      </c>
      <c r="M3240" s="47" t="str">
        <f aca="false">IF($A3240="","",INDEX($L$2:$L$5001,MATCH($A3240,$A$2:$A$5001,0)))</f>
        <v/>
      </c>
      <c r="N3240" s="48" t="str">
        <f aca="false">IF($A3240="","",IF(N(M3240)=0,"–",IF(M3240&lt;=Start!$D$20,"A",IF(M3240&lt;=Start!$D$21,"B","C"))))</f>
        <v/>
      </c>
      <c r="O3240" s="48" t="str">
        <f aca="false">IF($A3240="","",IF(NOT(ISNUMBER(F3240)),"Wert fehlt; ",IF(F3240&lt;=0,"Wert ist 0; ",""))&amp;IF(NOT(ISNUMBER(E3240)),"Bestand fehlt; ",IF(E3240&lt;0,"Bestand negativ; ",IF(E3240=0,"Nullbestand; ","")))&amp;IF(D3240="","Warengruppe fehlt; ","")&amp;IF(B3240="","Bezeichnung fehlt; ","")&amp;IF(COUNTIFS($A$2:$A$5001,$A3240,$C$2:$C$5001,C3240)&gt;1,"Artikel doppelt im selben Lager; ",""))</f>
        <v/>
      </c>
      <c r="P3240" s="47" t="n">
        <f aca="false">IF(OR($A3240="",D3240=""),0,IF(COUNTIF($D$2:D3240,D3240)=1,SUMIF($D$2:$D$5001,D3240,$H$2:$H$5001)+ROW()/10000000,0))</f>
        <v>0</v>
      </c>
      <c r="Q3240" s="47" t="n">
        <f aca="false">IF(OR($A3240="",C3240=""),0,IF(COUNTIF($C$2:C3240,C3240)=1,SUMIF($C$2:$C$5001,C3240,$H$2:$H$5001)+ROW()/10000000,0))</f>
        <v>0</v>
      </c>
    </row>
    <row r="3241" customFormat="false" ht="15" hidden="false" customHeight="false" outlineLevel="0" collapsed="false">
      <c r="A3241" s="43"/>
      <c r="B3241" s="44"/>
      <c r="C3241" s="44"/>
      <c r="D3241" s="44"/>
      <c r="E3241" s="44"/>
      <c r="F3241" s="44"/>
      <c r="G3241" s="44"/>
      <c r="H3241" s="46" t="str">
        <f aca="false">IF($A3241="","",IF(OR(NOT(ISNUMBER(E3241)),NOT(ISNUMBER(F3241))),"",MAX(0,E3241)*F3241))</f>
        <v/>
      </c>
      <c r="I3241" s="46" t="str">
        <f aca="false">IF($A3241="","",SUMIF($A$2:$A$5001,$A3241,$H$2:$H$5001))</f>
        <v/>
      </c>
      <c r="J3241" s="47" t="n">
        <f aca="false">IF($A3241="",0,IF(COUNTIF($A$2:A3241,$A3241)=1,1,0))</f>
        <v>0</v>
      </c>
      <c r="K3241" s="47" t="n">
        <f aca="false">IF(J3241=1,N(I3241)+ROW()/10000000,0)</f>
        <v>0</v>
      </c>
      <c r="L3241" s="47" t="str">
        <f aca="false">IF(AND(J3241=1,N(I3241)&gt;0),SUMIF($K$2:$K$5001,"&gt;="&amp;K3241,$I$2:$I$5001)/MAX(1,SUM($H$2:$H$5001)),"")</f>
        <v/>
      </c>
      <c r="M3241" s="47" t="str">
        <f aca="false">IF($A3241="","",INDEX($L$2:$L$5001,MATCH($A3241,$A$2:$A$5001,0)))</f>
        <v/>
      </c>
      <c r="N3241" s="48" t="str">
        <f aca="false">IF($A3241="","",IF(N(M3241)=0,"–",IF(M3241&lt;=Start!$D$20,"A",IF(M3241&lt;=Start!$D$21,"B","C"))))</f>
        <v/>
      </c>
      <c r="O3241" s="48" t="str">
        <f aca="false">IF($A3241="","",IF(NOT(ISNUMBER(F3241)),"Wert fehlt; ",IF(F3241&lt;=0,"Wert ist 0; ",""))&amp;IF(NOT(ISNUMBER(E3241)),"Bestand fehlt; ",IF(E3241&lt;0,"Bestand negativ; ",IF(E3241=0,"Nullbestand; ","")))&amp;IF(D3241="","Warengruppe fehlt; ","")&amp;IF(B3241="","Bezeichnung fehlt; ","")&amp;IF(COUNTIFS($A$2:$A$5001,$A3241,$C$2:$C$5001,C3241)&gt;1,"Artikel doppelt im selben Lager; ",""))</f>
        <v/>
      </c>
      <c r="P3241" s="47" t="n">
        <f aca="false">IF(OR($A3241="",D3241=""),0,IF(COUNTIF($D$2:D3241,D3241)=1,SUMIF($D$2:$D$5001,D3241,$H$2:$H$5001)+ROW()/10000000,0))</f>
        <v>0</v>
      </c>
      <c r="Q3241" s="47" t="n">
        <f aca="false">IF(OR($A3241="",C3241=""),0,IF(COUNTIF($C$2:C3241,C3241)=1,SUMIF($C$2:$C$5001,C3241,$H$2:$H$5001)+ROW()/10000000,0))</f>
        <v>0</v>
      </c>
    </row>
    <row r="3242" customFormat="false" ht="15" hidden="false" customHeight="false" outlineLevel="0" collapsed="false">
      <c r="A3242" s="43"/>
      <c r="B3242" s="44"/>
      <c r="C3242" s="44"/>
      <c r="D3242" s="44"/>
      <c r="E3242" s="44"/>
      <c r="F3242" s="44"/>
      <c r="G3242" s="44"/>
      <c r="H3242" s="46" t="str">
        <f aca="false">IF($A3242="","",IF(OR(NOT(ISNUMBER(E3242)),NOT(ISNUMBER(F3242))),"",MAX(0,E3242)*F3242))</f>
        <v/>
      </c>
      <c r="I3242" s="46" t="str">
        <f aca="false">IF($A3242="","",SUMIF($A$2:$A$5001,$A3242,$H$2:$H$5001))</f>
        <v/>
      </c>
      <c r="J3242" s="47" t="n">
        <f aca="false">IF($A3242="",0,IF(COUNTIF($A$2:A3242,$A3242)=1,1,0))</f>
        <v>0</v>
      </c>
      <c r="K3242" s="47" t="n">
        <f aca="false">IF(J3242=1,N(I3242)+ROW()/10000000,0)</f>
        <v>0</v>
      </c>
      <c r="L3242" s="47" t="str">
        <f aca="false">IF(AND(J3242=1,N(I3242)&gt;0),SUMIF($K$2:$K$5001,"&gt;="&amp;K3242,$I$2:$I$5001)/MAX(1,SUM($H$2:$H$5001)),"")</f>
        <v/>
      </c>
      <c r="M3242" s="47" t="str">
        <f aca="false">IF($A3242="","",INDEX($L$2:$L$5001,MATCH($A3242,$A$2:$A$5001,0)))</f>
        <v/>
      </c>
      <c r="N3242" s="48" t="str">
        <f aca="false">IF($A3242="","",IF(N(M3242)=0,"–",IF(M3242&lt;=Start!$D$20,"A",IF(M3242&lt;=Start!$D$21,"B","C"))))</f>
        <v/>
      </c>
      <c r="O3242" s="48" t="str">
        <f aca="false">IF($A3242="","",IF(NOT(ISNUMBER(F3242)),"Wert fehlt; ",IF(F3242&lt;=0,"Wert ist 0; ",""))&amp;IF(NOT(ISNUMBER(E3242)),"Bestand fehlt; ",IF(E3242&lt;0,"Bestand negativ; ",IF(E3242=0,"Nullbestand; ","")))&amp;IF(D3242="","Warengruppe fehlt; ","")&amp;IF(B3242="","Bezeichnung fehlt; ","")&amp;IF(COUNTIFS($A$2:$A$5001,$A3242,$C$2:$C$5001,C3242)&gt;1,"Artikel doppelt im selben Lager; ",""))</f>
        <v/>
      </c>
      <c r="P3242" s="47" t="n">
        <f aca="false">IF(OR($A3242="",D3242=""),0,IF(COUNTIF($D$2:D3242,D3242)=1,SUMIF($D$2:$D$5001,D3242,$H$2:$H$5001)+ROW()/10000000,0))</f>
        <v>0</v>
      </c>
      <c r="Q3242" s="47" t="n">
        <f aca="false">IF(OR($A3242="",C3242=""),0,IF(COUNTIF($C$2:C3242,C3242)=1,SUMIF($C$2:$C$5001,C3242,$H$2:$H$5001)+ROW()/10000000,0))</f>
        <v>0</v>
      </c>
    </row>
    <row r="3243" customFormat="false" ht="15" hidden="false" customHeight="false" outlineLevel="0" collapsed="false">
      <c r="A3243" s="43"/>
      <c r="B3243" s="44"/>
      <c r="C3243" s="44"/>
      <c r="D3243" s="44"/>
      <c r="E3243" s="44"/>
      <c r="F3243" s="44"/>
      <c r="G3243" s="44"/>
      <c r="H3243" s="46" t="str">
        <f aca="false">IF($A3243="","",IF(OR(NOT(ISNUMBER(E3243)),NOT(ISNUMBER(F3243))),"",MAX(0,E3243)*F3243))</f>
        <v/>
      </c>
      <c r="I3243" s="46" t="str">
        <f aca="false">IF($A3243="","",SUMIF($A$2:$A$5001,$A3243,$H$2:$H$5001))</f>
        <v/>
      </c>
      <c r="J3243" s="47" t="n">
        <f aca="false">IF($A3243="",0,IF(COUNTIF($A$2:A3243,$A3243)=1,1,0))</f>
        <v>0</v>
      </c>
      <c r="K3243" s="47" t="n">
        <f aca="false">IF(J3243=1,N(I3243)+ROW()/10000000,0)</f>
        <v>0</v>
      </c>
      <c r="L3243" s="47" t="str">
        <f aca="false">IF(AND(J3243=1,N(I3243)&gt;0),SUMIF($K$2:$K$5001,"&gt;="&amp;K3243,$I$2:$I$5001)/MAX(1,SUM($H$2:$H$5001)),"")</f>
        <v/>
      </c>
      <c r="M3243" s="47" t="str">
        <f aca="false">IF($A3243="","",INDEX($L$2:$L$5001,MATCH($A3243,$A$2:$A$5001,0)))</f>
        <v/>
      </c>
      <c r="N3243" s="48" t="str">
        <f aca="false">IF($A3243="","",IF(N(M3243)=0,"–",IF(M3243&lt;=Start!$D$20,"A",IF(M3243&lt;=Start!$D$21,"B","C"))))</f>
        <v/>
      </c>
      <c r="O3243" s="48" t="str">
        <f aca="false">IF($A3243="","",IF(NOT(ISNUMBER(F3243)),"Wert fehlt; ",IF(F3243&lt;=0,"Wert ist 0; ",""))&amp;IF(NOT(ISNUMBER(E3243)),"Bestand fehlt; ",IF(E3243&lt;0,"Bestand negativ; ",IF(E3243=0,"Nullbestand; ","")))&amp;IF(D3243="","Warengruppe fehlt; ","")&amp;IF(B3243="","Bezeichnung fehlt; ","")&amp;IF(COUNTIFS($A$2:$A$5001,$A3243,$C$2:$C$5001,C3243)&gt;1,"Artikel doppelt im selben Lager; ",""))</f>
        <v/>
      </c>
      <c r="P3243" s="47" t="n">
        <f aca="false">IF(OR($A3243="",D3243=""),0,IF(COUNTIF($D$2:D3243,D3243)=1,SUMIF($D$2:$D$5001,D3243,$H$2:$H$5001)+ROW()/10000000,0))</f>
        <v>0</v>
      </c>
      <c r="Q3243" s="47" t="n">
        <f aca="false">IF(OR($A3243="",C3243=""),0,IF(COUNTIF($C$2:C3243,C3243)=1,SUMIF($C$2:$C$5001,C3243,$H$2:$H$5001)+ROW()/10000000,0))</f>
        <v>0</v>
      </c>
    </row>
    <row r="3244" customFormat="false" ht="15" hidden="false" customHeight="false" outlineLevel="0" collapsed="false">
      <c r="A3244" s="43"/>
      <c r="B3244" s="44"/>
      <c r="C3244" s="44"/>
      <c r="D3244" s="44"/>
      <c r="E3244" s="44"/>
      <c r="F3244" s="44"/>
      <c r="G3244" s="44"/>
      <c r="H3244" s="46" t="str">
        <f aca="false">IF($A3244="","",IF(OR(NOT(ISNUMBER(E3244)),NOT(ISNUMBER(F3244))),"",MAX(0,E3244)*F3244))</f>
        <v/>
      </c>
      <c r="I3244" s="46" t="str">
        <f aca="false">IF($A3244="","",SUMIF($A$2:$A$5001,$A3244,$H$2:$H$5001))</f>
        <v/>
      </c>
      <c r="J3244" s="47" t="n">
        <f aca="false">IF($A3244="",0,IF(COUNTIF($A$2:A3244,$A3244)=1,1,0))</f>
        <v>0</v>
      </c>
      <c r="K3244" s="47" t="n">
        <f aca="false">IF(J3244=1,N(I3244)+ROW()/10000000,0)</f>
        <v>0</v>
      </c>
      <c r="L3244" s="47" t="str">
        <f aca="false">IF(AND(J3244=1,N(I3244)&gt;0),SUMIF($K$2:$K$5001,"&gt;="&amp;K3244,$I$2:$I$5001)/MAX(1,SUM($H$2:$H$5001)),"")</f>
        <v/>
      </c>
      <c r="M3244" s="47" t="str">
        <f aca="false">IF($A3244="","",INDEX($L$2:$L$5001,MATCH($A3244,$A$2:$A$5001,0)))</f>
        <v/>
      </c>
      <c r="N3244" s="48" t="str">
        <f aca="false">IF($A3244="","",IF(N(M3244)=0,"–",IF(M3244&lt;=Start!$D$20,"A",IF(M3244&lt;=Start!$D$21,"B","C"))))</f>
        <v/>
      </c>
      <c r="O3244" s="48" t="str">
        <f aca="false">IF($A3244="","",IF(NOT(ISNUMBER(F3244)),"Wert fehlt; ",IF(F3244&lt;=0,"Wert ist 0; ",""))&amp;IF(NOT(ISNUMBER(E3244)),"Bestand fehlt; ",IF(E3244&lt;0,"Bestand negativ; ",IF(E3244=0,"Nullbestand; ","")))&amp;IF(D3244="","Warengruppe fehlt; ","")&amp;IF(B3244="","Bezeichnung fehlt; ","")&amp;IF(COUNTIFS($A$2:$A$5001,$A3244,$C$2:$C$5001,C3244)&gt;1,"Artikel doppelt im selben Lager; ",""))</f>
        <v/>
      </c>
      <c r="P3244" s="47" t="n">
        <f aca="false">IF(OR($A3244="",D3244=""),0,IF(COUNTIF($D$2:D3244,D3244)=1,SUMIF($D$2:$D$5001,D3244,$H$2:$H$5001)+ROW()/10000000,0))</f>
        <v>0</v>
      </c>
      <c r="Q3244" s="47" t="n">
        <f aca="false">IF(OR($A3244="",C3244=""),0,IF(COUNTIF($C$2:C3244,C3244)=1,SUMIF($C$2:$C$5001,C3244,$H$2:$H$5001)+ROW()/10000000,0))</f>
        <v>0</v>
      </c>
    </row>
    <row r="3245" customFormat="false" ht="15" hidden="false" customHeight="false" outlineLevel="0" collapsed="false">
      <c r="A3245" s="43"/>
      <c r="B3245" s="44"/>
      <c r="C3245" s="44"/>
      <c r="D3245" s="44"/>
      <c r="E3245" s="44"/>
      <c r="F3245" s="44"/>
      <c r="G3245" s="44"/>
      <c r="H3245" s="46" t="str">
        <f aca="false">IF($A3245="","",IF(OR(NOT(ISNUMBER(E3245)),NOT(ISNUMBER(F3245))),"",MAX(0,E3245)*F3245))</f>
        <v/>
      </c>
      <c r="I3245" s="46" t="str">
        <f aca="false">IF($A3245="","",SUMIF($A$2:$A$5001,$A3245,$H$2:$H$5001))</f>
        <v/>
      </c>
      <c r="J3245" s="47" t="n">
        <f aca="false">IF($A3245="",0,IF(COUNTIF($A$2:A3245,$A3245)=1,1,0))</f>
        <v>0</v>
      </c>
      <c r="K3245" s="47" t="n">
        <f aca="false">IF(J3245=1,N(I3245)+ROW()/10000000,0)</f>
        <v>0</v>
      </c>
      <c r="L3245" s="47" t="str">
        <f aca="false">IF(AND(J3245=1,N(I3245)&gt;0),SUMIF($K$2:$K$5001,"&gt;="&amp;K3245,$I$2:$I$5001)/MAX(1,SUM($H$2:$H$5001)),"")</f>
        <v/>
      </c>
      <c r="M3245" s="47" t="str">
        <f aca="false">IF($A3245="","",INDEX($L$2:$L$5001,MATCH($A3245,$A$2:$A$5001,0)))</f>
        <v/>
      </c>
      <c r="N3245" s="48" t="str">
        <f aca="false">IF($A3245="","",IF(N(M3245)=0,"–",IF(M3245&lt;=Start!$D$20,"A",IF(M3245&lt;=Start!$D$21,"B","C"))))</f>
        <v/>
      </c>
      <c r="O3245" s="48" t="str">
        <f aca="false">IF($A3245="","",IF(NOT(ISNUMBER(F3245)),"Wert fehlt; ",IF(F3245&lt;=0,"Wert ist 0; ",""))&amp;IF(NOT(ISNUMBER(E3245)),"Bestand fehlt; ",IF(E3245&lt;0,"Bestand negativ; ",IF(E3245=0,"Nullbestand; ","")))&amp;IF(D3245="","Warengruppe fehlt; ","")&amp;IF(B3245="","Bezeichnung fehlt; ","")&amp;IF(COUNTIFS($A$2:$A$5001,$A3245,$C$2:$C$5001,C3245)&gt;1,"Artikel doppelt im selben Lager; ",""))</f>
        <v/>
      </c>
      <c r="P3245" s="47" t="n">
        <f aca="false">IF(OR($A3245="",D3245=""),0,IF(COUNTIF($D$2:D3245,D3245)=1,SUMIF($D$2:$D$5001,D3245,$H$2:$H$5001)+ROW()/10000000,0))</f>
        <v>0</v>
      </c>
      <c r="Q3245" s="47" t="n">
        <f aca="false">IF(OR($A3245="",C3245=""),0,IF(COUNTIF($C$2:C3245,C3245)=1,SUMIF($C$2:$C$5001,C3245,$H$2:$H$5001)+ROW()/10000000,0))</f>
        <v>0</v>
      </c>
    </row>
    <row r="3246" customFormat="false" ht="15" hidden="false" customHeight="false" outlineLevel="0" collapsed="false">
      <c r="A3246" s="43"/>
      <c r="B3246" s="44"/>
      <c r="C3246" s="44"/>
      <c r="D3246" s="44"/>
      <c r="E3246" s="44"/>
      <c r="F3246" s="44"/>
      <c r="G3246" s="44"/>
      <c r="H3246" s="46" t="str">
        <f aca="false">IF($A3246="","",IF(OR(NOT(ISNUMBER(E3246)),NOT(ISNUMBER(F3246))),"",MAX(0,E3246)*F3246))</f>
        <v/>
      </c>
      <c r="I3246" s="46" t="str">
        <f aca="false">IF($A3246="","",SUMIF($A$2:$A$5001,$A3246,$H$2:$H$5001))</f>
        <v/>
      </c>
      <c r="J3246" s="47" t="n">
        <f aca="false">IF($A3246="",0,IF(COUNTIF($A$2:A3246,$A3246)=1,1,0))</f>
        <v>0</v>
      </c>
      <c r="K3246" s="47" t="n">
        <f aca="false">IF(J3246=1,N(I3246)+ROW()/10000000,0)</f>
        <v>0</v>
      </c>
      <c r="L3246" s="47" t="str">
        <f aca="false">IF(AND(J3246=1,N(I3246)&gt;0),SUMIF($K$2:$K$5001,"&gt;="&amp;K3246,$I$2:$I$5001)/MAX(1,SUM($H$2:$H$5001)),"")</f>
        <v/>
      </c>
      <c r="M3246" s="47" t="str">
        <f aca="false">IF($A3246="","",INDEX($L$2:$L$5001,MATCH($A3246,$A$2:$A$5001,0)))</f>
        <v/>
      </c>
      <c r="N3246" s="48" t="str">
        <f aca="false">IF($A3246="","",IF(N(M3246)=0,"–",IF(M3246&lt;=Start!$D$20,"A",IF(M3246&lt;=Start!$D$21,"B","C"))))</f>
        <v/>
      </c>
      <c r="O3246" s="48" t="str">
        <f aca="false">IF($A3246="","",IF(NOT(ISNUMBER(F3246)),"Wert fehlt; ",IF(F3246&lt;=0,"Wert ist 0; ",""))&amp;IF(NOT(ISNUMBER(E3246)),"Bestand fehlt; ",IF(E3246&lt;0,"Bestand negativ; ",IF(E3246=0,"Nullbestand; ","")))&amp;IF(D3246="","Warengruppe fehlt; ","")&amp;IF(B3246="","Bezeichnung fehlt; ","")&amp;IF(COUNTIFS($A$2:$A$5001,$A3246,$C$2:$C$5001,C3246)&gt;1,"Artikel doppelt im selben Lager; ",""))</f>
        <v/>
      </c>
      <c r="P3246" s="47" t="n">
        <f aca="false">IF(OR($A3246="",D3246=""),0,IF(COUNTIF($D$2:D3246,D3246)=1,SUMIF($D$2:$D$5001,D3246,$H$2:$H$5001)+ROW()/10000000,0))</f>
        <v>0</v>
      </c>
      <c r="Q3246" s="47" t="n">
        <f aca="false">IF(OR($A3246="",C3246=""),0,IF(COUNTIF($C$2:C3246,C3246)=1,SUMIF($C$2:$C$5001,C3246,$H$2:$H$5001)+ROW()/10000000,0))</f>
        <v>0</v>
      </c>
    </row>
    <row r="3247" customFormat="false" ht="15" hidden="false" customHeight="false" outlineLevel="0" collapsed="false">
      <c r="A3247" s="43"/>
      <c r="B3247" s="44"/>
      <c r="C3247" s="44"/>
      <c r="D3247" s="44"/>
      <c r="E3247" s="44"/>
      <c r="F3247" s="44"/>
      <c r="G3247" s="44"/>
      <c r="H3247" s="46" t="str">
        <f aca="false">IF($A3247="","",IF(OR(NOT(ISNUMBER(E3247)),NOT(ISNUMBER(F3247))),"",MAX(0,E3247)*F3247))</f>
        <v/>
      </c>
      <c r="I3247" s="46" t="str">
        <f aca="false">IF($A3247="","",SUMIF($A$2:$A$5001,$A3247,$H$2:$H$5001))</f>
        <v/>
      </c>
      <c r="J3247" s="47" t="n">
        <f aca="false">IF($A3247="",0,IF(COUNTIF($A$2:A3247,$A3247)=1,1,0))</f>
        <v>0</v>
      </c>
      <c r="K3247" s="47" t="n">
        <f aca="false">IF(J3247=1,N(I3247)+ROW()/10000000,0)</f>
        <v>0</v>
      </c>
      <c r="L3247" s="47" t="str">
        <f aca="false">IF(AND(J3247=1,N(I3247)&gt;0),SUMIF($K$2:$K$5001,"&gt;="&amp;K3247,$I$2:$I$5001)/MAX(1,SUM($H$2:$H$5001)),"")</f>
        <v/>
      </c>
      <c r="M3247" s="47" t="str">
        <f aca="false">IF($A3247="","",INDEX($L$2:$L$5001,MATCH($A3247,$A$2:$A$5001,0)))</f>
        <v/>
      </c>
      <c r="N3247" s="48" t="str">
        <f aca="false">IF($A3247="","",IF(N(M3247)=0,"–",IF(M3247&lt;=Start!$D$20,"A",IF(M3247&lt;=Start!$D$21,"B","C"))))</f>
        <v/>
      </c>
      <c r="O3247" s="48" t="str">
        <f aca="false">IF($A3247="","",IF(NOT(ISNUMBER(F3247)),"Wert fehlt; ",IF(F3247&lt;=0,"Wert ist 0; ",""))&amp;IF(NOT(ISNUMBER(E3247)),"Bestand fehlt; ",IF(E3247&lt;0,"Bestand negativ; ",IF(E3247=0,"Nullbestand; ","")))&amp;IF(D3247="","Warengruppe fehlt; ","")&amp;IF(B3247="","Bezeichnung fehlt; ","")&amp;IF(COUNTIFS($A$2:$A$5001,$A3247,$C$2:$C$5001,C3247)&gt;1,"Artikel doppelt im selben Lager; ",""))</f>
        <v/>
      </c>
      <c r="P3247" s="47" t="n">
        <f aca="false">IF(OR($A3247="",D3247=""),0,IF(COUNTIF($D$2:D3247,D3247)=1,SUMIF($D$2:$D$5001,D3247,$H$2:$H$5001)+ROW()/10000000,0))</f>
        <v>0</v>
      </c>
      <c r="Q3247" s="47" t="n">
        <f aca="false">IF(OR($A3247="",C3247=""),0,IF(COUNTIF($C$2:C3247,C3247)=1,SUMIF($C$2:$C$5001,C3247,$H$2:$H$5001)+ROW()/10000000,0))</f>
        <v>0</v>
      </c>
    </row>
    <row r="3248" customFormat="false" ht="15" hidden="false" customHeight="false" outlineLevel="0" collapsed="false">
      <c r="A3248" s="43"/>
      <c r="B3248" s="44"/>
      <c r="C3248" s="44"/>
      <c r="D3248" s="44"/>
      <c r="E3248" s="44"/>
      <c r="F3248" s="44"/>
      <c r="G3248" s="44"/>
      <c r="H3248" s="46" t="str">
        <f aca="false">IF($A3248="","",IF(OR(NOT(ISNUMBER(E3248)),NOT(ISNUMBER(F3248))),"",MAX(0,E3248)*F3248))</f>
        <v/>
      </c>
      <c r="I3248" s="46" t="str">
        <f aca="false">IF($A3248="","",SUMIF($A$2:$A$5001,$A3248,$H$2:$H$5001))</f>
        <v/>
      </c>
      <c r="J3248" s="47" t="n">
        <f aca="false">IF($A3248="",0,IF(COUNTIF($A$2:A3248,$A3248)=1,1,0))</f>
        <v>0</v>
      </c>
      <c r="K3248" s="47" t="n">
        <f aca="false">IF(J3248=1,N(I3248)+ROW()/10000000,0)</f>
        <v>0</v>
      </c>
      <c r="L3248" s="47" t="str">
        <f aca="false">IF(AND(J3248=1,N(I3248)&gt;0),SUMIF($K$2:$K$5001,"&gt;="&amp;K3248,$I$2:$I$5001)/MAX(1,SUM($H$2:$H$5001)),"")</f>
        <v/>
      </c>
      <c r="M3248" s="47" t="str">
        <f aca="false">IF($A3248="","",INDEX($L$2:$L$5001,MATCH($A3248,$A$2:$A$5001,0)))</f>
        <v/>
      </c>
      <c r="N3248" s="48" t="str">
        <f aca="false">IF($A3248="","",IF(N(M3248)=0,"–",IF(M3248&lt;=Start!$D$20,"A",IF(M3248&lt;=Start!$D$21,"B","C"))))</f>
        <v/>
      </c>
      <c r="O3248" s="48" t="str">
        <f aca="false">IF($A3248="","",IF(NOT(ISNUMBER(F3248)),"Wert fehlt; ",IF(F3248&lt;=0,"Wert ist 0; ",""))&amp;IF(NOT(ISNUMBER(E3248)),"Bestand fehlt; ",IF(E3248&lt;0,"Bestand negativ; ",IF(E3248=0,"Nullbestand; ","")))&amp;IF(D3248="","Warengruppe fehlt; ","")&amp;IF(B3248="","Bezeichnung fehlt; ","")&amp;IF(COUNTIFS($A$2:$A$5001,$A3248,$C$2:$C$5001,C3248)&gt;1,"Artikel doppelt im selben Lager; ",""))</f>
        <v/>
      </c>
      <c r="P3248" s="47" t="n">
        <f aca="false">IF(OR($A3248="",D3248=""),0,IF(COUNTIF($D$2:D3248,D3248)=1,SUMIF($D$2:$D$5001,D3248,$H$2:$H$5001)+ROW()/10000000,0))</f>
        <v>0</v>
      </c>
      <c r="Q3248" s="47" t="n">
        <f aca="false">IF(OR($A3248="",C3248=""),0,IF(COUNTIF($C$2:C3248,C3248)=1,SUMIF($C$2:$C$5001,C3248,$H$2:$H$5001)+ROW()/10000000,0))</f>
        <v>0</v>
      </c>
    </row>
    <row r="3249" customFormat="false" ht="15" hidden="false" customHeight="false" outlineLevel="0" collapsed="false">
      <c r="A3249" s="43"/>
      <c r="B3249" s="44"/>
      <c r="C3249" s="44"/>
      <c r="D3249" s="44"/>
      <c r="E3249" s="44"/>
      <c r="F3249" s="44"/>
      <c r="G3249" s="44"/>
      <c r="H3249" s="46" t="str">
        <f aca="false">IF($A3249="","",IF(OR(NOT(ISNUMBER(E3249)),NOT(ISNUMBER(F3249))),"",MAX(0,E3249)*F3249))</f>
        <v/>
      </c>
      <c r="I3249" s="46" t="str">
        <f aca="false">IF($A3249="","",SUMIF($A$2:$A$5001,$A3249,$H$2:$H$5001))</f>
        <v/>
      </c>
      <c r="J3249" s="47" t="n">
        <f aca="false">IF($A3249="",0,IF(COUNTIF($A$2:A3249,$A3249)=1,1,0))</f>
        <v>0</v>
      </c>
      <c r="K3249" s="47" t="n">
        <f aca="false">IF(J3249=1,N(I3249)+ROW()/10000000,0)</f>
        <v>0</v>
      </c>
      <c r="L3249" s="47" t="str">
        <f aca="false">IF(AND(J3249=1,N(I3249)&gt;0),SUMIF($K$2:$K$5001,"&gt;="&amp;K3249,$I$2:$I$5001)/MAX(1,SUM($H$2:$H$5001)),"")</f>
        <v/>
      </c>
      <c r="M3249" s="47" t="str">
        <f aca="false">IF($A3249="","",INDEX($L$2:$L$5001,MATCH($A3249,$A$2:$A$5001,0)))</f>
        <v/>
      </c>
      <c r="N3249" s="48" t="str">
        <f aca="false">IF($A3249="","",IF(N(M3249)=0,"–",IF(M3249&lt;=Start!$D$20,"A",IF(M3249&lt;=Start!$D$21,"B","C"))))</f>
        <v/>
      </c>
      <c r="O3249" s="48" t="str">
        <f aca="false">IF($A3249="","",IF(NOT(ISNUMBER(F3249)),"Wert fehlt; ",IF(F3249&lt;=0,"Wert ist 0; ",""))&amp;IF(NOT(ISNUMBER(E3249)),"Bestand fehlt; ",IF(E3249&lt;0,"Bestand negativ; ",IF(E3249=0,"Nullbestand; ","")))&amp;IF(D3249="","Warengruppe fehlt; ","")&amp;IF(B3249="","Bezeichnung fehlt; ","")&amp;IF(COUNTIFS($A$2:$A$5001,$A3249,$C$2:$C$5001,C3249)&gt;1,"Artikel doppelt im selben Lager; ",""))</f>
        <v/>
      </c>
      <c r="P3249" s="47" t="n">
        <f aca="false">IF(OR($A3249="",D3249=""),0,IF(COUNTIF($D$2:D3249,D3249)=1,SUMIF($D$2:$D$5001,D3249,$H$2:$H$5001)+ROW()/10000000,0))</f>
        <v>0</v>
      </c>
      <c r="Q3249" s="47" t="n">
        <f aca="false">IF(OR($A3249="",C3249=""),0,IF(COUNTIF($C$2:C3249,C3249)=1,SUMIF($C$2:$C$5001,C3249,$H$2:$H$5001)+ROW()/10000000,0))</f>
        <v>0</v>
      </c>
    </row>
    <row r="3250" customFormat="false" ht="15" hidden="false" customHeight="false" outlineLevel="0" collapsed="false">
      <c r="A3250" s="43"/>
      <c r="B3250" s="44"/>
      <c r="C3250" s="44"/>
      <c r="D3250" s="44"/>
      <c r="E3250" s="44"/>
      <c r="F3250" s="44"/>
      <c r="G3250" s="44"/>
      <c r="H3250" s="46" t="str">
        <f aca="false">IF($A3250="","",IF(OR(NOT(ISNUMBER(E3250)),NOT(ISNUMBER(F3250))),"",MAX(0,E3250)*F3250))</f>
        <v/>
      </c>
      <c r="I3250" s="46" t="str">
        <f aca="false">IF($A3250="","",SUMIF($A$2:$A$5001,$A3250,$H$2:$H$5001))</f>
        <v/>
      </c>
      <c r="J3250" s="47" t="n">
        <f aca="false">IF($A3250="",0,IF(COUNTIF($A$2:A3250,$A3250)=1,1,0))</f>
        <v>0</v>
      </c>
      <c r="K3250" s="47" t="n">
        <f aca="false">IF(J3250=1,N(I3250)+ROW()/10000000,0)</f>
        <v>0</v>
      </c>
      <c r="L3250" s="47" t="str">
        <f aca="false">IF(AND(J3250=1,N(I3250)&gt;0),SUMIF($K$2:$K$5001,"&gt;="&amp;K3250,$I$2:$I$5001)/MAX(1,SUM($H$2:$H$5001)),"")</f>
        <v/>
      </c>
      <c r="M3250" s="47" t="str">
        <f aca="false">IF($A3250="","",INDEX($L$2:$L$5001,MATCH($A3250,$A$2:$A$5001,0)))</f>
        <v/>
      </c>
      <c r="N3250" s="48" t="str">
        <f aca="false">IF($A3250="","",IF(N(M3250)=0,"–",IF(M3250&lt;=Start!$D$20,"A",IF(M3250&lt;=Start!$D$21,"B","C"))))</f>
        <v/>
      </c>
      <c r="O3250" s="48" t="str">
        <f aca="false">IF($A3250="","",IF(NOT(ISNUMBER(F3250)),"Wert fehlt; ",IF(F3250&lt;=0,"Wert ist 0; ",""))&amp;IF(NOT(ISNUMBER(E3250)),"Bestand fehlt; ",IF(E3250&lt;0,"Bestand negativ; ",IF(E3250=0,"Nullbestand; ","")))&amp;IF(D3250="","Warengruppe fehlt; ","")&amp;IF(B3250="","Bezeichnung fehlt; ","")&amp;IF(COUNTIFS($A$2:$A$5001,$A3250,$C$2:$C$5001,C3250)&gt;1,"Artikel doppelt im selben Lager; ",""))</f>
        <v/>
      </c>
      <c r="P3250" s="47" t="n">
        <f aca="false">IF(OR($A3250="",D3250=""),0,IF(COUNTIF($D$2:D3250,D3250)=1,SUMIF($D$2:$D$5001,D3250,$H$2:$H$5001)+ROW()/10000000,0))</f>
        <v>0</v>
      </c>
      <c r="Q3250" s="47" t="n">
        <f aca="false">IF(OR($A3250="",C3250=""),0,IF(COUNTIF($C$2:C3250,C3250)=1,SUMIF($C$2:$C$5001,C3250,$H$2:$H$5001)+ROW()/10000000,0))</f>
        <v>0</v>
      </c>
    </row>
    <row r="3251" customFormat="false" ht="15" hidden="false" customHeight="false" outlineLevel="0" collapsed="false">
      <c r="A3251" s="43"/>
      <c r="B3251" s="44"/>
      <c r="C3251" s="44"/>
      <c r="D3251" s="44"/>
      <c r="E3251" s="44"/>
      <c r="F3251" s="44"/>
      <c r="G3251" s="44"/>
      <c r="H3251" s="46" t="str">
        <f aca="false">IF($A3251="","",IF(OR(NOT(ISNUMBER(E3251)),NOT(ISNUMBER(F3251))),"",MAX(0,E3251)*F3251))</f>
        <v/>
      </c>
      <c r="I3251" s="46" t="str">
        <f aca="false">IF($A3251="","",SUMIF($A$2:$A$5001,$A3251,$H$2:$H$5001))</f>
        <v/>
      </c>
      <c r="J3251" s="47" t="n">
        <f aca="false">IF($A3251="",0,IF(COUNTIF($A$2:A3251,$A3251)=1,1,0))</f>
        <v>0</v>
      </c>
      <c r="K3251" s="47" t="n">
        <f aca="false">IF(J3251=1,N(I3251)+ROW()/10000000,0)</f>
        <v>0</v>
      </c>
      <c r="L3251" s="47" t="str">
        <f aca="false">IF(AND(J3251=1,N(I3251)&gt;0),SUMIF($K$2:$K$5001,"&gt;="&amp;K3251,$I$2:$I$5001)/MAX(1,SUM($H$2:$H$5001)),"")</f>
        <v/>
      </c>
      <c r="M3251" s="47" t="str">
        <f aca="false">IF($A3251="","",INDEX($L$2:$L$5001,MATCH($A3251,$A$2:$A$5001,0)))</f>
        <v/>
      </c>
      <c r="N3251" s="48" t="str">
        <f aca="false">IF($A3251="","",IF(N(M3251)=0,"–",IF(M3251&lt;=Start!$D$20,"A",IF(M3251&lt;=Start!$D$21,"B","C"))))</f>
        <v/>
      </c>
      <c r="O3251" s="48" t="str">
        <f aca="false">IF($A3251="","",IF(NOT(ISNUMBER(F3251)),"Wert fehlt; ",IF(F3251&lt;=0,"Wert ist 0; ",""))&amp;IF(NOT(ISNUMBER(E3251)),"Bestand fehlt; ",IF(E3251&lt;0,"Bestand negativ; ",IF(E3251=0,"Nullbestand; ","")))&amp;IF(D3251="","Warengruppe fehlt; ","")&amp;IF(B3251="","Bezeichnung fehlt; ","")&amp;IF(COUNTIFS($A$2:$A$5001,$A3251,$C$2:$C$5001,C3251)&gt;1,"Artikel doppelt im selben Lager; ",""))</f>
        <v/>
      </c>
      <c r="P3251" s="47" t="n">
        <f aca="false">IF(OR($A3251="",D3251=""),0,IF(COUNTIF($D$2:D3251,D3251)=1,SUMIF($D$2:$D$5001,D3251,$H$2:$H$5001)+ROW()/10000000,0))</f>
        <v>0</v>
      </c>
      <c r="Q3251" s="47" t="n">
        <f aca="false">IF(OR($A3251="",C3251=""),0,IF(COUNTIF($C$2:C3251,C3251)=1,SUMIF($C$2:$C$5001,C3251,$H$2:$H$5001)+ROW()/10000000,0))</f>
        <v>0</v>
      </c>
    </row>
    <row r="3252" customFormat="false" ht="15" hidden="false" customHeight="false" outlineLevel="0" collapsed="false">
      <c r="A3252" s="43"/>
      <c r="B3252" s="44"/>
      <c r="C3252" s="44"/>
      <c r="D3252" s="44"/>
      <c r="E3252" s="44"/>
      <c r="F3252" s="44"/>
      <c r="G3252" s="44"/>
      <c r="H3252" s="46" t="str">
        <f aca="false">IF($A3252="","",IF(OR(NOT(ISNUMBER(E3252)),NOT(ISNUMBER(F3252))),"",MAX(0,E3252)*F3252))</f>
        <v/>
      </c>
      <c r="I3252" s="46" t="str">
        <f aca="false">IF($A3252="","",SUMIF($A$2:$A$5001,$A3252,$H$2:$H$5001))</f>
        <v/>
      </c>
      <c r="J3252" s="47" t="n">
        <f aca="false">IF($A3252="",0,IF(COUNTIF($A$2:A3252,$A3252)=1,1,0))</f>
        <v>0</v>
      </c>
      <c r="K3252" s="47" t="n">
        <f aca="false">IF(J3252=1,N(I3252)+ROW()/10000000,0)</f>
        <v>0</v>
      </c>
      <c r="L3252" s="47" t="str">
        <f aca="false">IF(AND(J3252=1,N(I3252)&gt;0),SUMIF($K$2:$K$5001,"&gt;="&amp;K3252,$I$2:$I$5001)/MAX(1,SUM($H$2:$H$5001)),"")</f>
        <v/>
      </c>
      <c r="M3252" s="47" t="str">
        <f aca="false">IF($A3252="","",INDEX($L$2:$L$5001,MATCH($A3252,$A$2:$A$5001,0)))</f>
        <v/>
      </c>
      <c r="N3252" s="48" t="str">
        <f aca="false">IF($A3252="","",IF(N(M3252)=0,"–",IF(M3252&lt;=Start!$D$20,"A",IF(M3252&lt;=Start!$D$21,"B","C"))))</f>
        <v/>
      </c>
      <c r="O3252" s="48" t="str">
        <f aca="false">IF($A3252="","",IF(NOT(ISNUMBER(F3252)),"Wert fehlt; ",IF(F3252&lt;=0,"Wert ist 0; ",""))&amp;IF(NOT(ISNUMBER(E3252)),"Bestand fehlt; ",IF(E3252&lt;0,"Bestand negativ; ",IF(E3252=0,"Nullbestand; ","")))&amp;IF(D3252="","Warengruppe fehlt; ","")&amp;IF(B3252="","Bezeichnung fehlt; ","")&amp;IF(COUNTIFS($A$2:$A$5001,$A3252,$C$2:$C$5001,C3252)&gt;1,"Artikel doppelt im selben Lager; ",""))</f>
        <v/>
      </c>
      <c r="P3252" s="47" t="n">
        <f aca="false">IF(OR($A3252="",D3252=""),0,IF(COUNTIF($D$2:D3252,D3252)=1,SUMIF($D$2:$D$5001,D3252,$H$2:$H$5001)+ROW()/10000000,0))</f>
        <v>0</v>
      </c>
      <c r="Q3252" s="47" t="n">
        <f aca="false">IF(OR($A3252="",C3252=""),0,IF(COUNTIF($C$2:C3252,C3252)=1,SUMIF($C$2:$C$5001,C3252,$H$2:$H$5001)+ROW()/10000000,0))</f>
        <v>0</v>
      </c>
    </row>
    <row r="3253" customFormat="false" ht="15" hidden="false" customHeight="false" outlineLevel="0" collapsed="false">
      <c r="A3253" s="43"/>
      <c r="B3253" s="44"/>
      <c r="C3253" s="44"/>
      <c r="D3253" s="44"/>
      <c r="E3253" s="44"/>
      <c r="F3253" s="44"/>
      <c r="G3253" s="44"/>
      <c r="H3253" s="46" t="str">
        <f aca="false">IF($A3253="","",IF(OR(NOT(ISNUMBER(E3253)),NOT(ISNUMBER(F3253))),"",MAX(0,E3253)*F3253))</f>
        <v/>
      </c>
      <c r="I3253" s="46" t="str">
        <f aca="false">IF($A3253="","",SUMIF($A$2:$A$5001,$A3253,$H$2:$H$5001))</f>
        <v/>
      </c>
      <c r="J3253" s="47" t="n">
        <f aca="false">IF($A3253="",0,IF(COUNTIF($A$2:A3253,$A3253)=1,1,0))</f>
        <v>0</v>
      </c>
      <c r="K3253" s="47" t="n">
        <f aca="false">IF(J3253=1,N(I3253)+ROW()/10000000,0)</f>
        <v>0</v>
      </c>
      <c r="L3253" s="47" t="str">
        <f aca="false">IF(AND(J3253=1,N(I3253)&gt;0),SUMIF($K$2:$K$5001,"&gt;="&amp;K3253,$I$2:$I$5001)/MAX(1,SUM($H$2:$H$5001)),"")</f>
        <v/>
      </c>
      <c r="M3253" s="47" t="str">
        <f aca="false">IF($A3253="","",INDEX($L$2:$L$5001,MATCH($A3253,$A$2:$A$5001,0)))</f>
        <v/>
      </c>
      <c r="N3253" s="48" t="str">
        <f aca="false">IF($A3253="","",IF(N(M3253)=0,"–",IF(M3253&lt;=Start!$D$20,"A",IF(M3253&lt;=Start!$D$21,"B","C"))))</f>
        <v/>
      </c>
      <c r="O3253" s="48" t="str">
        <f aca="false">IF($A3253="","",IF(NOT(ISNUMBER(F3253)),"Wert fehlt; ",IF(F3253&lt;=0,"Wert ist 0; ",""))&amp;IF(NOT(ISNUMBER(E3253)),"Bestand fehlt; ",IF(E3253&lt;0,"Bestand negativ; ",IF(E3253=0,"Nullbestand; ","")))&amp;IF(D3253="","Warengruppe fehlt; ","")&amp;IF(B3253="","Bezeichnung fehlt; ","")&amp;IF(COUNTIFS($A$2:$A$5001,$A3253,$C$2:$C$5001,C3253)&gt;1,"Artikel doppelt im selben Lager; ",""))</f>
        <v/>
      </c>
      <c r="P3253" s="47" t="n">
        <f aca="false">IF(OR($A3253="",D3253=""),0,IF(COUNTIF($D$2:D3253,D3253)=1,SUMIF($D$2:$D$5001,D3253,$H$2:$H$5001)+ROW()/10000000,0))</f>
        <v>0</v>
      </c>
      <c r="Q3253" s="47" t="n">
        <f aca="false">IF(OR($A3253="",C3253=""),0,IF(COUNTIF($C$2:C3253,C3253)=1,SUMIF($C$2:$C$5001,C3253,$H$2:$H$5001)+ROW()/10000000,0))</f>
        <v>0</v>
      </c>
    </row>
    <row r="3254" customFormat="false" ht="15" hidden="false" customHeight="false" outlineLevel="0" collapsed="false">
      <c r="A3254" s="43"/>
      <c r="B3254" s="44"/>
      <c r="C3254" s="44"/>
      <c r="D3254" s="44"/>
      <c r="E3254" s="44"/>
      <c r="F3254" s="44"/>
      <c r="G3254" s="44"/>
      <c r="H3254" s="46" t="str">
        <f aca="false">IF($A3254="","",IF(OR(NOT(ISNUMBER(E3254)),NOT(ISNUMBER(F3254))),"",MAX(0,E3254)*F3254))</f>
        <v/>
      </c>
      <c r="I3254" s="46" t="str">
        <f aca="false">IF($A3254="","",SUMIF($A$2:$A$5001,$A3254,$H$2:$H$5001))</f>
        <v/>
      </c>
      <c r="J3254" s="47" t="n">
        <f aca="false">IF($A3254="",0,IF(COUNTIF($A$2:A3254,$A3254)=1,1,0))</f>
        <v>0</v>
      </c>
      <c r="K3254" s="47" t="n">
        <f aca="false">IF(J3254=1,N(I3254)+ROW()/10000000,0)</f>
        <v>0</v>
      </c>
      <c r="L3254" s="47" t="str">
        <f aca="false">IF(AND(J3254=1,N(I3254)&gt;0),SUMIF($K$2:$K$5001,"&gt;="&amp;K3254,$I$2:$I$5001)/MAX(1,SUM($H$2:$H$5001)),"")</f>
        <v/>
      </c>
      <c r="M3254" s="47" t="str">
        <f aca="false">IF($A3254="","",INDEX($L$2:$L$5001,MATCH($A3254,$A$2:$A$5001,0)))</f>
        <v/>
      </c>
      <c r="N3254" s="48" t="str">
        <f aca="false">IF($A3254="","",IF(N(M3254)=0,"–",IF(M3254&lt;=Start!$D$20,"A",IF(M3254&lt;=Start!$D$21,"B","C"))))</f>
        <v/>
      </c>
      <c r="O3254" s="48" t="str">
        <f aca="false">IF($A3254="","",IF(NOT(ISNUMBER(F3254)),"Wert fehlt; ",IF(F3254&lt;=0,"Wert ist 0; ",""))&amp;IF(NOT(ISNUMBER(E3254)),"Bestand fehlt; ",IF(E3254&lt;0,"Bestand negativ; ",IF(E3254=0,"Nullbestand; ","")))&amp;IF(D3254="","Warengruppe fehlt; ","")&amp;IF(B3254="","Bezeichnung fehlt; ","")&amp;IF(COUNTIFS($A$2:$A$5001,$A3254,$C$2:$C$5001,C3254)&gt;1,"Artikel doppelt im selben Lager; ",""))</f>
        <v/>
      </c>
      <c r="P3254" s="47" t="n">
        <f aca="false">IF(OR($A3254="",D3254=""),0,IF(COUNTIF($D$2:D3254,D3254)=1,SUMIF($D$2:$D$5001,D3254,$H$2:$H$5001)+ROW()/10000000,0))</f>
        <v>0</v>
      </c>
      <c r="Q3254" s="47" t="n">
        <f aca="false">IF(OR($A3254="",C3254=""),0,IF(COUNTIF($C$2:C3254,C3254)=1,SUMIF($C$2:$C$5001,C3254,$H$2:$H$5001)+ROW()/10000000,0))</f>
        <v>0</v>
      </c>
    </row>
    <row r="3255" customFormat="false" ht="15" hidden="false" customHeight="false" outlineLevel="0" collapsed="false">
      <c r="A3255" s="43"/>
      <c r="B3255" s="44"/>
      <c r="C3255" s="44"/>
      <c r="D3255" s="44"/>
      <c r="E3255" s="44"/>
      <c r="F3255" s="44"/>
      <c r="G3255" s="44"/>
      <c r="H3255" s="46" t="str">
        <f aca="false">IF($A3255="","",IF(OR(NOT(ISNUMBER(E3255)),NOT(ISNUMBER(F3255))),"",MAX(0,E3255)*F3255))</f>
        <v/>
      </c>
      <c r="I3255" s="46" t="str">
        <f aca="false">IF($A3255="","",SUMIF($A$2:$A$5001,$A3255,$H$2:$H$5001))</f>
        <v/>
      </c>
      <c r="J3255" s="47" t="n">
        <f aca="false">IF($A3255="",0,IF(COUNTIF($A$2:A3255,$A3255)=1,1,0))</f>
        <v>0</v>
      </c>
      <c r="K3255" s="47" t="n">
        <f aca="false">IF(J3255=1,N(I3255)+ROW()/10000000,0)</f>
        <v>0</v>
      </c>
      <c r="L3255" s="47" t="str">
        <f aca="false">IF(AND(J3255=1,N(I3255)&gt;0),SUMIF($K$2:$K$5001,"&gt;="&amp;K3255,$I$2:$I$5001)/MAX(1,SUM($H$2:$H$5001)),"")</f>
        <v/>
      </c>
      <c r="M3255" s="47" t="str">
        <f aca="false">IF($A3255="","",INDEX($L$2:$L$5001,MATCH($A3255,$A$2:$A$5001,0)))</f>
        <v/>
      </c>
      <c r="N3255" s="48" t="str">
        <f aca="false">IF($A3255="","",IF(N(M3255)=0,"–",IF(M3255&lt;=Start!$D$20,"A",IF(M3255&lt;=Start!$D$21,"B","C"))))</f>
        <v/>
      </c>
      <c r="O3255" s="48" t="str">
        <f aca="false">IF($A3255="","",IF(NOT(ISNUMBER(F3255)),"Wert fehlt; ",IF(F3255&lt;=0,"Wert ist 0; ",""))&amp;IF(NOT(ISNUMBER(E3255)),"Bestand fehlt; ",IF(E3255&lt;0,"Bestand negativ; ",IF(E3255=0,"Nullbestand; ","")))&amp;IF(D3255="","Warengruppe fehlt; ","")&amp;IF(B3255="","Bezeichnung fehlt; ","")&amp;IF(COUNTIFS($A$2:$A$5001,$A3255,$C$2:$C$5001,C3255)&gt;1,"Artikel doppelt im selben Lager; ",""))</f>
        <v/>
      </c>
      <c r="P3255" s="47" t="n">
        <f aca="false">IF(OR($A3255="",D3255=""),0,IF(COUNTIF($D$2:D3255,D3255)=1,SUMIF($D$2:$D$5001,D3255,$H$2:$H$5001)+ROW()/10000000,0))</f>
        <v>0</v>
      </c>
      <c r="Q3255" s="47" t="n">
        <f aca="false">IF(OR($A3255="",C3255=""),0,IF(COUNTIF($C$2:C3255,C3255)=1,SUMIF($C$2:$C$5001,C3255,$H$2:$H$5001)+ROW()/10000000,0))</f>
        <v>0</v>
      </c>
    </row>
    <row r="3256" customFormat="false" ht="15" hidden="false" customHeight="false" outlineLevel="0" collapsed="false">
      <c r="A3256" s="43"/>
      <c r="B3256" s="44"/>
      <c r="C3256" s="44"/>
      <c r="D3256" s="44"/>
      <c r="E3256" s="44"/>
      <c r="F3256" s="44"/>
      <c r="G3256" s="44"/>
      <c r="H3256" s="46" t="str">
        <f aca="false">IF($A3256="","",IF(OR(NOT(ISNUMBER(E3256)),NOT(ISNUMBER(F3256))),"",MAX(0,E3256)*F3256))</f>
        <v/>
      </c>
      <c r="I3256" s="46" t="str">
        <f aca="false">IF($A3256="","",SUMIF($A$2:$A$5001,$A3256,$H$2:$H$5001))</f>
        <v/>
      </c>
      <c r="J3256" s="47" t="n">
        <f aca="false">IF($A3256="",0,IF(COUNTIF($A$2:A3256,$A3256)=1,1,0))</f>
        <v>0</v>
      </c>
      <c r="K3256" s="47" t="n">
        <f aca="false">IF(J3256=1,N(I3256)+ROW()/10000000,0)</f>
        <v>0</v>
      </c>
      <c r="L3256" s="47" t="str">
        <f aca="false">IF(AND(J3256=1,N(I3256)&gt;0),SUMIF($K$2:$K$5001,"&gt;="&amp;K3256,$I$2:$I$5001)/MAX(1,SUM($H$2:$H$5001)),"")</f>
        <v/>
      </c>
      <c r="M3256" s="47" t="str">
        <f aca="false">IF($A3256="","",INDEX($L$2:$L$5001,MATCH($A3256,$A$2:$A$5001,0)))</f>
        <v/>
      </c>
      <c r="N3256" s="48" t="str">
        <f aca="false">IF($A3256="","",IF(N(M3256)=0,"–",IF(M3256&lt;=Start!$D$20,"A",IF(M3256&lt;=Start!$D$21,"B","C"))))</f>
        <v/>
      </c>
      <c r="O3256" s="48" t="str">
        <f aca="false">IF($A3256="","",IF(NOT(ISNUMBER(F3256)),"Wert fehlt; ",IF(F3256&lt;=0,"Wert ist 0; ",""))&amp;IF(NOT(ISNUMBER(E3256)),"Bestand fehlt; ",IF(E3256&lt;0,"Bestand negativ; ",IF(E3256=0,"Nullbestand; ","")))&amp;IF(D3256="","Warengruppe fehlt; ","")&amp;IF(B3256="","Bezeichnung fehlt; ","")&amp;IF(COUNTIFS($A$2:$A$5001,$A3256,$C$2:$C$5001,C3256)&gt;1,"Artikel doppelt im selben Lager; ",""))</f>
        <v/>
      </c>
      <c r="P3256" s="47" t="n">
        <f aca="false">IF(OR($A3256="",D3256=""),0,IF(COUNTIF($D$2:D3256,D3256)=1,SUMIF($D$2:$D$5001,D3256,$H$2:$H$5001)+ROW()/10000000,0))</f>
        <v>0</v>
      </c>
      <c r="Q3256" s="47" t="n">
        <f aca="false">IF(OR($A3256="",C3256=""),0,IF(COUNTIF($C$2:C3256,C3256)=1,SUMIF($C$2:$C$5001,C3256,$H$2:$H$5001)+ROW()/10000000,0))</f>
        <v>0</v>
      </c>
    </row>
    <row r="3257" customFormat="false" ht="15" hidden="false" customHeight="false" outlineLevel="0" collapsed="false">
      <c r="A3257" s="43"/>
      <c r="B3257" s="44"/>
      <c r="C3257" s="44"/>
      <c r="D3257" s="44"/>
      <c r="E3257" s="44"/>
      <c r="F3257" s="44"/>
      <c r="G3257" s="44"/>
      <c r="H3257" s="46" t="str">
        <f aca="false">IF($A3257="","",IF(OR(NOT(ISNUMBER(E3257)),NOT(ISNUMBER(F3257))),"",MAX(0,E3257)*F3257))</f>
        <v/>
      </c>
      <c r="I3257" s="46" t="str">
        <f aca="false">IF($A3257="","",SUMIF($A$2:$A$5001,$A3257,$H$2:$H$5001))</f>
        <v/>
      </c>
      <c r="J3257" s="47" t="n">
        <f aca="false">IF($A3257="",0,IF(COUNTIF($A$2:A3257,$A3257)=1,1,0))</f>
        <v>0</v>
      </c>
      <c r="K3257" s="47" t="n">
        <f aca="false">IF(J3257=1,N(I3257)+ROW()/10000000,0)</f>
        <v>0</v>
      </c>
      <c r="L3257" s="47" t="str">
        <f aca="false">IF(AND(J3257=1,N(I3257)&gt;0),SUMIF($K$2:$K$5001,"&gt;="&amp;K3257,$I$2:$I$5001)/MAX(1,SUM($H$2:$H$5001)),"")</f>
        <v/>
      </c>
      <c r="M3257" s="47" t="str">
        <f aca="false">IF($A3257="","",INDEX($L$2:$L$5001,MATCH($A3257,$A$2:$A$5001,0)))</f>
        <v/>
      </c>
      <c r="N3257" s="48" t="str">
        <f aca="false">IF($A3257="","",IF(N(M3257)=0,"–",IF(M3257&lt;=Start!$D$20,"A",IF(M3257&lt;=Start!$D$21,"B","C"))))</f>
        <v/>
      </c>
      <c r="O3257" s="48" t="str">
        <f aca="false">IF($A3257="","",IF(NOT(ISNUMBER(F3257)),"Wert fehlt; ",IF(F3257&lt;=0,"Wert ist 0; ",""))&amp;IF(NOT(ISNUMBER(E3257)),"Bestand fehlt; ",IF(E3257&lt;0,"Bestand negativ; ",IF(E3257=0,"Nullbestand; ","")))&amp;IF(D3257="","Warengruppe fehlt; ","")&amp;IF(B3257="","Bezeichnung fehlt; ","")&amp;IF(COUNTIFS($A$2:$A$5001,$A3257,$C$2:$C$5001,C3257)&gt;1,"Artikel doppelt im selben Lager; ",""))</f>
        <v/>
      </c>
      <c r="P3257" s="47" t="n">
        <f aca="false">IF(OR($A3257="",D3257=""),0,IF(COUNTIF($D$2:D3257,D3257)=1,SUMIF($D$2:$D$5001,D3257,$H$2:$H$5001)+ROW()/10000000,0))</f>
        <v>0</v>
      </c>
      <c r="Q3257" s="47" t="n">
        <f aca="false">IF(OR($A3257="",C3257=""),0,IF(COUNTIF($C$2:C3257,C3257)=1,SUMIF($C$2:$C$5001,C3257,$H$2:$H$5001)+ROW()/10000000,0))</f>
        <v>0</v>
      </c>
    </row>
    <row r="3258" customFormat="false" ht="15" hidden="false" customHeight="false" outlineLevel="0" collapsed="false">
      <c r="A3258" s="43"/>
      <c r="B3258" s="44"/>
      <c r="C3258" s="44"/>
      <c r="D3258" s="44"/>
      <c r="E3258" s="44"/>
      <c r="F3258" s="44"/>
      <c r="G3258" s="44"/>
      <c r="H3258" s="46" t="str">
        <f aca="false">IF($A3258="","",IF(OR(NOT(ISNUMBER(E3258)),NOT(ISNUMBER(F3258))),"",MAX(0,E3258)*F3258))</f>
        <v/>
      </c>
      <c r="I3258" s="46" t="str">
        <f aca="false">IF($A3258="","",SUMIF($A$2:$A$5001,$A3258,$H$2:$H$5001))</f>
        <v/>
      </c>
      <c r="J3258" s="47" t="n">
        <f aca="false">IF($A3258="",0,IF(COUNTIF($A$2:A3258,$A3258)=1,1,0))</f>
        <v>0</v>
      </c>
      <c r="K3258" s="47" t="n">
        <f aca="false">IF(J3258=1,N(I3258)+ROW()/10000000,0)</f>
        <v>0</v>
      </c>
      <c r="L3258" s="47" t="str">
        <f aca="false">IF(AND(J3258=1,N(I3258)&gt;0),SUMIF($K$2:$K$5001,"&gt;="&amp;K3258,$I$2:$I$5001)/MAX(1,SUM($H$2:$H$5001)),"")</f>
        <v/>
      </c>
      <c r="M3258" s="47" t="str">
        <f aca="false">IF($A3258="","",INDEX($L$2:$L$5001,MATCH($A3258,$A$2:$A$5001,0)))</f>
        <v/>
      </c>
      <c r="N3258" s="48" t="str">
        <f aca="false">IF($A3258="","",IF(N(M3258)=0,"–",IF(M3258&lt;=Start!$D$20,"A",IF(M3258&lt;=Start!$D$21,"B","C"))))</f>
        <v/>
      </c>
      <c r="O3258" s="48" t="str">
        <f aca="false">IF($A3258="","",IF(NOT(ISNUMBER(F3258)),"Wert fehlt; ",IF(F3258&lt;=0,"Wert ist 0; ",""))&amp;IF(NOT(ISNUMBER(E3258)),"Bestand fehlt; ",IF(E3258&lt;0,"Bestand negativ; ",IF(E3258=0,"Nullbestand; ","")))&amp;IF(D3258="","Warengruppe fehlt; ","")&amp;IF(B3258="","Bezeichnung fehlt; ","")&amp;IF(COUNTIFS($A$2:$A$5001,$A3258,$C$2:$C$5001,C3258)&gt;1,"Artikel doppelt im selben Lager; ",""))</f>
        <v/>
      </c>
      <c r="P3258" s="47" t="n">
        <f aca="false">IF(OR($A3258="",D3258=""),0,IF(COUNTIF($D$2:D3258,D3258)=1,SUMIF($D$2:$D$5001,D3258,$H$2:$H$5001)+ROW()/10000000,0))</f>
        <v>0</v>
      </c>
      <c r="Q3258" s="47" t="n">
        <f aca="false">IF(OR($A3258="",C3258=""),0,IF(COUNTIF($C$2:C3258,C3258)=1,SUMIF($C$2:$C$5001,C3258,$H$2:$H$5001)+ROW()/10000000,0))</f>
        <v>0</v>
      </c>
    </row>
    <row r="3259" customFormat="false" ht="15" hidden="false" customHeight="false" outlineLevel="0" collapsed="false">
      <c r="A3259" s="43"/>
      <c r="B3259" s="44"/>
      <c r="C3259" s="44"/>
      <c r="D3259" s="44"/>
      <c r="E3259" s="44"/>
      <c r="F3259" s="44"/>
      <c r="G3259" s="44"/>
      <c r="H3259" s="46" t="str">
        <f aca="false">IF($A3259="","",IF(OR(NOT(ISNUMBER(E3259)),NOT(ISNUMBER(F3259))),"",MAX(0,E3259)*F3259))</f>
        <v/>
      </c>
      <c r="I3259" s="46" t="str">
        <f aca="false">IF($A3259="","",SUMIF($A$2:$A$5001,$A3259,$H$2:$H$5001))</f>
        <v/>
      </c>
      <c r="J3259" s="47" t="n">
        <f aca="false">IF($A3259="",0,IF(COUNTIF($A$2:A3259,$A3259)=1,1,0))</f>
        <v>0</v>
      </c>
      <c r="K3259" s="47" t="n">
        <f aca="false">IF(J3259=1,N(I3259)+ROW()/10000000,0)</f>
        <v>0</v>
      </c>
      <c r="L3259" s="47" t="str">
        <f aca="false">IF(AND(J3259=1,N(I3259)&gt;0),SUMIF($K$2:$K$5001,"&gt;="&amp;K3259,$I$2:$I$5001)/MAX(1,SUM($H$2:$H$5001)),"")</f>
        <v/>
      </c>
      <c r="M3259" s="47" t="str">
        <f aca="false">IF($A3259="","",INDEX($L$2:$L$5001,MATCH($A3259,$A$2:$A$5001,0)))</f>
        <v/>
      </c>
      <c r="N3259" s="48" t="str">
        <f aca="false">IF($A3259="","",IF(N(M3259)=0,"–",IF(M3259&lt;=Start!$D$20,"A",IF(M3259&lt;=Start!$D$21,"B","C"))))</f>
        <v/>
      </c>
      <c r="O3259" s="48" t="str">
        <f aca="false">IF($A3259="","",IF(NOT(ISNUMBER(F3259)),"Wert fehlt; ",IF(F3259&lt;=0,"Wert ist 0; ",""))&amp;IF(NOT(ISNUMBER(E3259)),"Bestand fehlt; ",IF(E3259&lt;0,"Bestand negativ; ",IF(E3259=0,"Nullbestand; ","")))&amp;IF(D3259="","Warengruppe fehlt; ","")&amp;IF(B3259="","Bezeichnung fehlt; ","")&amp;IF(COUNTIFS($A$2:$A$5001,$A3259,$C$2:$C$5001,C3259)&gt;1,"Artikel doppelt im selben Lager; ",""))</f>
        <v/>
      </c>
      <c r="P3259" s="47" t="n">
        <f aca="false">IF(OR($A3259="",D3259=""),0,IF(COUNTIF($D$2:D3259,D3259)=1,SUMIF($D$2:$D$5001,D3259,$H$2:$H$5001)+ROW()/10000000,0))</f>
        <v>0</v>
      </c>
      <c r="Q3259" s="47" t="n">
        <f aca="false">IF(OR($A3259="",C3259=""),0,IF(COUNTIF($C$2:C3259,C3259)=1,SUMIF($C$2:$C$5001,C3259,$H$2:$H$5001)+ROW()/10000000,0))</f>
        <v>0</v>
      </c>
    </row>
    <row r="3260" customFormat="false" ht="15" hidden="false" customHeight="false" outlineLevel="0" collapsed="false">
      <c r="A3260" s="43"/>
      <c r="B3260" s="44"/>
      <c r="C3260" s="44"/>
      <c r="D3260" s="44"/>
      <c r="E3260" s="44"/>
      <c r="F3260" s="44"/>
      <c r="G3260" s="44"/>
      <c r="H3260" s="46" t="str">
        <f aca="false">IF($A3260="","",IF(OR(NOT(ISNUMBER(E3260)),NOT(ISNUMBER(F3260))),"",MAX(0,E3260)*F3260))</f>
        <v/>
      </c>
      <c r="I3260" s="46" t="str">
        <f aca="false">IF($A3260="","",SUMIF($A$2:$A$5001,$A3260,$H$2:$H$5001))</f>
        <v/>
      </c>
      <c r="J3260" s="47" t="n">
        <f aca="false">IF($A3260="",0,IF(COUNTIF($A$2:A3260,$A3260)=1,1,0))</f>
        <v>0</v>
      </c>
      <c r="K3260" s="47" t="n">
        <f aca="false">IF(J3260=1,N(I3260)+ROW()/10000000,0)</f>
        <v>0</v>
      </c>
      <c r="L3260" s="47" t="str">
        <f aca="false">IF(AND(J3260=1,N(I3260)&gt;0),SUMIF($K$2:$K$5001,"&gt;="&amp;K3260,$I$2:$I$5001)/MAX(1,SUM($H$2:$H$5001)),"")</f>
        <v/>
      </c>
      <c r="M3260" s="47" t="str">
        <f aca="false">IF($A3260="","",INDEX($L$2:$L$5001,MATCH($A3260,$A$2:$A$5001,0)))</f>
        <v/>
      </c>
      <c r="N3260" s="48" t="str">
        <f aca="false">IF($A3260="","",IF(N(M3260)=0,"–",IF(M3260&lt;=Start!$D$20,"A",IF(M3260&lt;=Start!$D$21,"B","C"))))</f>
        <v/>
      </c>
      <c r="O3260" s="48" t="str">
        <f aca="false">IF($A3260="","",IF(NOT(ISNUMBER(F3260)),"Wert fehlt; ",IF(F3260&lt;=0,"Wert ist 0; ",""))&amp;IF(NOT(ISNUMBER(E3260)),"Bestand fehlt; ",IF(E3260&lt;0,"Bestand negativ; ",IF(E3260=0,"Nullbestand; ","")))&amp;IF(D3260="","Warengruppe fehlt; ","")&amp;IF(B3260="","Bezeichnung fehlt; ","")&amp;IF(COUNTIFS($A$2:$A$5001,$A3260,$C$2:$C$5001,C3260)&gt;1,"Artikel doppelt im selben Lager; ",""))</f>
        <v/>
      </c>
      <c r="P3260" s="47" t="n">
        <f aca="false">IF(OR($A3260="",D3260=""),0,IF(COUNTIF($D$2:D3260,D3260)=1,SUMIF($D$2:$D$5001,D3260,$H$2:$H$5001)+ROW()/10000000,0))</f>
        <v>0</v>
      </c>
      <c r="Q3260" s="47" t="n">
        <f aca="false">IF(OR($A3260="",C3260=""),0,IF(COUNTIF($C$2:C3260,C3260)=1,SUMIF($C$2:$C$5001,C3260,$H$2:$H$5001)+ROW()/10000000,0))</f>
        <v>0</v>
      </c>
    </row>
    <row r="3261" customFormat="false" ht="15" hidden="false" customHeight="false" outlineLevel="0" collapsed="false">
      <c r="A3261" s="43"/>
      <c r="B3261" s="44"/>
      <c r="C3261" s="44"/>
      <c r="D3261" s="44"/>
      <c r="E3261" s="44"/>
      <c r="F3261" s="44"/>
      <c r="G3261" s="44"/>
      <c r="H3261" s="46" t="str">
        <f aca="false">IF($A3261="","",IF(OR(NOT(ISNUMBER(E3261)),NOT(ISNUMBER(F3261))),"",MAX(0,E3261)*F3261))</f>
        <v/>
      </c>
      <c r="I3261" s="46" t="str">
        <f aca="false">IF($A3261="","",SUMIF($A$2:$A$5001,$A3261,$H$2:$H$5001))</f>
        <v/>
      </c>
      <c r="J3261" s="47" t="n">
        <f aca="false">IF($A3261="",0,IF(COUNTIF($A$2:A3261,$A3261)=1,1,0))</f>
        <v>0</v>
      </c>
      <c r="K3261" s="47" t="n">
        <f aca="false">IF(J3261=1,N(I3261)+ROW()/10000000,0)</f>
        <v>0</v>
      </c>
      <c r="L3261" s="47" t="str">
        <f aca="false">IF(AND(J3261=1,N(I3261)&gt;0),SUMIF($K$2:$K$5001,"&gt;="&amp;K3261,$I$2:$I$5001)/MAX(1,SUM($H$2:$H$5001)),"")</f>
        <v/>
      </c>
      <c r="M3261" s="47" t="str">
        <f aca="false">IF($A3261="","",INDEX($L$2:$L$5001,MATCH($A3261,$A$2:$A$5001,0)))</f>
        <v/>
      </c>
      <c r="N3261" s="48" t="str">
        <f aca="false">IF($A3261="","",IF(N(M3261)=0,"–",IF(M3261&lt;=Start!$D$20,"A",IF(M3261&lt;=Start!$D$21,"B","C"))))</f>
        <v/>
      </c>
      <c r="O3261" s="48" t="str">
        <f aca="false">IF($A3261="","",IF(NOT(ISNUMBER(F3261)),"Wert fehlt; ",IF(F3261&lt;=0,"Wert ist 0; ",""))&amp;IF(NOT(ISNUMBER(E3261)),"Bestand fehlt; ",IF(E3261&lt;0,"Bestand negativ; ",IF(E3261=0,"Nullbestand; ","")))&amp;IF(D3261="","Warengruppe fehlt; ","")&amp;IF(B3261="","Bezeichnung fehlt; ","")&amp;IF(COUNTIFS($A$2:$A$5001,$A3261,$C$2:$C$5001,C3261)&gt;1,"Artikel doppelt im selben Lager; ",""))</f>
        <v/>
      </c>
      <c r="P3261" s="47" t="n">
        <f aca="false">IF(OR($A3261="",D3261=""),0,IF(COUNTIF($D$2:D3261,D3261)=1,SUMIF($D$2:$D$5001,D3261,$H$2:$H$5001)+ROW()/10000000,0))</f>
        <v>0</v>
      </c>
      <c r="Q3261" s="47" t="n">
        <f aca="false">IF(OR($A3261="",C3261=""),0,IF(COUNTIF($C$2:C3261,C3261)=1,SUMIF($C$2:$C$5001,C3261,$H$2:$H$5001)+ROW()/10000000,0))</f>
        <v>0</v>
      </c>
    </row>
    <row r="3262" customFormat="false" ht="15" hidden="false" customHeight="false" outlineLevel="0" collapsed="false">
      <c r="A3262" s="43"/>
      <c r="B3262" s="44"/>
      <c r="C3262" s="44"/>
      <c r="D3262" s="44"/>
      <c r="E3262" s="44"/>
      <c r="F3262" s="44"/>
      <c r="G3262" s="44"/>
      <c r="H3262" s="46" t="str">
        <f aca="false">IF($A3262="","",IF(OR(NOT(ISNUMBER(E3262)),NOT(ISNUMBER(F3262))),"",MAX(0,E3262)*F3262))</f>
        <v/>
      </c>
      <c r="I3262" s="46" t="str">
        <f aca="false">IF($A3262="","",SUMIF($A$2:$A$5001,$A3262,$H$2:$H$5001))</f>
        <v/>
      </c>
      <c r="J3262" s="47" t="n">
        <f aca="false">IF($A3262="",0,IF(COUNTIF($A$2:A3262,$A3262)=1,1,0))</f>
        <v>0</v>
      </c>
      <c r="K3262" s="47" t="n">
        <f aca="false">IF(J3262=1,N(I3262)+ROW()/10000000,0)</f>
        <v>0</v>
      </c>
      <c r="L3262" s="47" t="str">
        <f aca="false">IF(AND(J3262=1,N(I3262)&gt;0),SUMIF($K$2:$K$5001,"&gt;="&amp;K3262,$I$2:$I$5001)/MAX(1,SUM($H$2:$H$5001)),"")</f>
        <v/>
      </c>
      <c r="M3262" s="47" t="str">
        <f aca="false">IF($A3262="","",INDEX($L$2:$L$5001,MATCH($A3262,$A$2:$A$5001,0)))</f>
        <v/>
      </c>
      <c r="N3262" s="48" t="str">
        <f aca="false">IF($A3262="","",IF(N(M3262)=0,"–",IF(M3262&lt;=Start!$D$20,"A",IF(M3262&lt;=Start!$D$21,"B","C"))))</f>
        <v/>
      </c>
      <c r="O3262" s="48" t="str">
        <f aca="false">IF($A3262="","",IF(NOT(ISNUMBER(F3262)),"Wert fehlt; ",IF(F3262&lt;=0,"Wert ist 0; ",""))&amp;IF(NOT(ISNUMBER(E3262)),"Bestand fehlt; ",IF(E3262&lt;0,"Bestand negativ; ",IF(E3262=0,"Nullbestand; ","")))&amp;IF(D3262="","Warengruppe fehlt; ","")&amp;IF(B3262="","Bezeichnung fehlt; ","")&amp;IF(COUNTIFS($A$2:$A$5001,$A3262,$C$2:$C$5001,C3262)&gt;1,"Artikel doppelt im selben Lager; ",""))</f>
        <v/>
      </c>
      <c r="P3262" s="47" t="n">
        <f aca="false">IF(OR($A3262="",D3262=""),0,IF(COUNTIF($D$2:D3262,D3262)=1,SUMIF($D$2:$D$5001,D3262,$H$2:$H$5001)+ROW()/10000000,0))</f>
        <v>0</v>
      </c>
      <c r="Q3262" s="47" t="n">
        <f aca="false">IF(OR($A3262="",C3262=""),0,IF(COUNTIF($C$2:C3262,C3262)=1,SUMIF($C$2:$C$5001,C3262,$H$2:$H$5001)+ROW()/10000000,0))</f>
        <v>0</v>
      </c>
    </row>
    <row r="3263" customFormat="false" ht="15" hidden="false" customHeight="false" outlineLevel="0" collapsed="false">
      <c r="A3263" s="43"/>
      <c r="B3263" s="44"/>
      <c r="C3263" s="44"/>
      <c r="D3263" s="44"/>
      <c r="E3263" s="44"/>
      <c r="F3263" s="44"/>
      <c r="G3263" s="44"/>
      <c r="H3263" s="46" t="str">
        <f aca="false">IF($A3263="","",IF(OR(NOT(ISNUMBER(E3263)),NOT(ISNUMBER(F3263))),"",MAX(0,E3263)*F3263))</f>
        <v/>
      </c>
      <c r="I3263" s="46" t="str">
        <f aca="false">IF($A3263="","",SUMIF($A$2:$A$5001,$A3263,$H$2:$H$5001))</f>
        <v/>
      </c>
      <c r="J3263" s="47" t="n">
        <f aca="false">IF($A3263="",0,IF(COUNTIF($A$2:A3263,$A3263)=1,1,0))</f>
        <v>0</v>
      </c>
      <c r="K3263" s="47" t="n">
        <f aca="false">IF(J3263=1,N(I3263)+ROW()/10000000,0)</f>
        <v>0</v>
      </c>
      <c r="L3263" s="47" t="str">
        <f aca="false">IF(AND(J3263=1,N(I3263)&gt;0),SUMIF($K$2:$K$5001,"&gt;="&amp;K3263,$I$2:$I$5001)/MAX(1,SUM($H$2:$H$5001)),"")</f>
        <v/>
      </c>
      <c r="M3263" s="47" t="str">
        <f aca="false">IF($A3263="","",INDEX($L$2:$L$5001,MATCH($A3263,$A$2:$A$5001,0)))</f>
        <v/>
      </c>
      <c r="N3263" s="48" t="str">
        <f aca="false">IF($A3263="","",IF(N(M3263)=0,"–",IF(M3263&lt;=Start!$D$20,"A",IF(M3263&lt;=Start!$D$21,"B","C"))))</f>
        <v/>
      </c>
      <c r="O3263" s="48" t="str">
        <f aca="false">IF($A3263="","",IF(NOT(ISNUMBER(F3263)),"Wert fehlt; ",IF(F3263&lt;=0,"Wert ist 0; ",""))&amp;IF(NOT(ISNUMBER(E3263)),"Bestand fehlt; ",IF(E3263&lt;0,"Bestand negativ; ",IF(E3263=0,"Nullbestand; ","")))&amp;IF(D3263="","Warengruppe fehlt; ","")&amp;IF(B3263="","Bezeichnung fehlt; ","")&amp;IF(COUNTIFS($A$2:$A$5001,$A3263,$C$2:$C$5001,C3263)&gt;1,"Artikel doppelt im selben Lager; ",""))</f>
        <v/>
      </c>
      <c r="P3263" s="47" t="n">
        <f aca="false">IF(OR($A3263="",D3263=""),0,IF(COUNTIF($D$2:D3263,D3263)=1,SUMIF($D$2:$D$5001,D3263,$H$2:$H$5001)+ROW()/10000000,0))</f>
        <v>0</v>
      </c>
      <c r="Q3263" s="47" t="n">
        <f aca="false">IF(OR($A3263="",C3263=""),0,IF(COUNTIF($C$2:C3263,C3263)=1,SUMIF($C$2:$C$5001,C3263,$H$2:$H$5001)+ROW()/10000000,0))</f>
        <v>0</v>
      </c>
    </row>
    <row r="3264" customFormat="false" ht="15" hidden="false" customHeight="false" outlineLevel="0" collapsed="false">
      <c r="A3264" s="43"/>
      <c r="B3264" s="44"/>
      <c r="C3264" s="44"/>
      <c r="D3264" s="44"/>
      <c r="E3264" s="44"/>
      <c r="F3264" s="44"/>
      <c r="G3264" s="44"/>
      <c r="H3264" s="46" t="str">
        <f aca="false">IF($A3264="","",IF(OR(NOT(ISNUMBER(E3264)),NOT(ISNUMBER(F3264))),"",MAX(0,E3264)*F3264))</f>
        <v/>
      </c>
      <c r="I3264" s="46" t="str">
        <f aca="false">IF($A3264="","",SUMIF($A$2:$A$5001,$A3264,$H$2:$H$5001))</f>
        <v/>
      </c>
      <c r="J3264" s="47" t="n">
        <f aca="false">IF($A3264="",0,IF(COUNTIF($A$2:A3264,$A3264)=1,1,0))</f>
        <v>0</v>
      </c>
      <c r="K3264" s="47" t="n">
        <f aca="false">IF(J3264=1,N(I3264)+ROW()/10000000,0)</f>
        <v>0</v>
      </c>
      <c r="L3264" s="47" t="str">
        <f aca="false">IF(AND(J3264=1,N(I3264)&gt;0),SUMIF($K$2:$K$5001,"&gt;="&amp;K3264,$I$2:$I$5001)/MAX(1,SUM($H$2:$H$5001)),"")</f>
        <v/>
      </c>
      <c r="M3264" s="47" t="str">
        <f aca="false">IF($A3264="","",INDEX($L$2:$L$5001,MATCH($A3264,$A$2:$A$5001,0)))</f>
        <v/>
      </c>
      <c r="N3264" s="48" t="str">
        <f aca="false">IF($A3264="","",IF(N(M3264)=0,"–",IF(M3264&lt;=Start!$D$20,"A",IF(M3264&lt;=Start!$D$21,"B","C"))))</f>
        <v/>
      </c>
      <c r="O3264" s="48" t="str">
        <f aca="false">IF($A3264="","",IF(NOT(ISNUMBER(F3264)),"Wert fehlt; ",IF(F3264&lt;=0,"Wert ist 0; ",""))&amp;IF(NOT(ISNUMBER(E3264)),"Bestand fehlt; ",IF(E3264&lt;0,"Bestand negativ; ",IF(E3264=0,"Nullbestand; ","")))&amp;IF(D3264="","Warengruppe fehlt; ","")&amp;IF(B3264="","Bezeichnung fehlt; ","")&amp;IF(COUNTIFS($A$2:$A$5001,$A3264,$C$2:$C$5001,C3264)&gt;1,"Artikel doppelt im selben Lager; ",""))</f>
        <v/>
      </c>
      <c r="P3264" s="47" t="n">
        <f aca="false">IF(OR($A3264="",D3264=""),0,IF(COUNTIF($D$2:D3264,D3264)=1,SUMIF($D$2:$D$5001,D3264,$H$2:$H$5001)+ROW()/10000000,0))</f>
        <v>0</v>
      </c>
      <c r="Q3264" s="47" t="n">
        <f aca="false">IF(OR($A3264="",C3264=""),0,IF(COUNTIF($C$2:C3264,C3264)=1,SUMIF($C$2:$C$5001,C3264,$H$2:$H$5001)+ROW()/10000000,0))</f>
        <v>0</v>
      </c>
    </row>
    <row r="3265" customFormat="false" ht="15" hidden="false" customHeight="false" outlineLevel="0" collapsed="false">
      <c r="A3265" s="43"/>
      <c r="B3265" s="44"/>
      <c r="C3265" s="44"/>
      <c r="D3265" s="44"/>
      <c r="E3265" s="44"/>
      <c r="F3265" s="44"/>
      <c r="G3265" s="44"/>
      <c r="H3265" s="46" t="str">
        <f aca="false">IF($A3265="","",IF(OR(NOT(ISNUMBER(E3265)),NOT(ISNUMBER(F3265))),"",MAX(0,E3265)*F3265))</f>
        <v/>
      </c>
      <c r="I3265" s="46" t="str">
        <f aca="false">IF($A3265="","",SUMIF($A$2:$A$5001,$A3265,$H$2:$H$5001))</f>
        <v/>
      </c>
      <c r="J3265" s="47" t="n">
        <f aca="false">IF($A3265="",0,IF(COUNTIF($A$2:A3265,$A3265)=1,1,0))</f>
        <v>0</v>
      </c>
      <c r="K3265" s="47" t="n">
        <f aca="false">IF(J3265=1,N(I3265)+ROW()/10000000,0)</f>
        <v>0</v>
      </c>
      <c r="L3265" s="47" t="str">
        <f aca="false">IF(AND(J3265=1,N(I3265)&gt;0),SUMIF($K$2:$K$5001,"&gt;="&amp;K3265,$I$2:$I$5001)/MAX(1,SUM($H$2:$H$5001)),"")</f>
        <v/>
      </c>
      <c r="M3265" s="47" t="str">
        <f aca="false">IF($A3265="","",INDEX($L$2:$L$5001,MATCH($A3265,$A$2:$A$5001,0)))</f>
        <v/>
      </c>
      <c r="N3265" s="48" t="str">
        <f aca="false">IF($A3265="","",IF(N(M3265)=0,"–",IF(M3265&lt;=Start!$D$20,"A",IF(M3265&lt;=Start!$D$21,"B","C"))))</f>
        <v/>
      </c>
      <c r="O3265" s="48" t="str">
        <f aca="false">IF($A3265="","",IF(NOT(ISNUMBER(F3265)),"Wert fehlt; ",IF(F3265&lt;=0,"Wert ist 0; ",""))&amp;IF(NOT(ISNUMBER(E3265)),"Bestand fehlt; ",IF(E3265&lt;0,"Bestand negativ; ",IF(E3265=0,"Nullbestand; ","")))&amp;IF(D3265="","Warengruppe fehlt; ","")&amp;IF(B3265="","Bezeichnung fehlt; ","")&amp;IF(COUNTIFS($A$2:$A$5001,$A3265,$C$2:$C$5001,C3265)&gt;1,"Artikel doppelt im selben Lager; ",""))</f>
        <v/>
      </c>
      <c r="P3265" s="47" t="n">
        <f aca="false">IF(OR($A3265="",D3265=""),0,IF(COUNTIF($D$2:D3265,D3265)=1,SUMIF($D$2:$D$5001,D3265,$H$2:$H$5001)+ROW()/10000000,0))</f>
        <v>0</v>
      </c>
      <c r="Q3265" s="47" t="n">
        <f aca="false">IF(OR($A3265="",C3265=""),0,IF(COUNTIF($C$2:C3265,C3265)=1,SUMIF($C$2:$C$5001,C3265,$H$2:$H$5001)+ROW()/10000000,0))</f>
        <v>0</v>
      </c>
    </row>
    <row r="3266" customFormat="false" ht="15" hidden="false" customHeight="false" outlineLevel="0" collapsed="false">
      <c r="A3266" s="43"/>
      <c r="B3266" s="44"/>
      <c r="C3266" s="44"/>
      <c r="D3266" s="44"/>
      <c r="E3266" s="44"/>
      <c r="F3266" s="44"/>
      <c r="G3266" s="44"/>
      <c r="H3266" s="46" t="str">
        <f aca="false">IF($A3266="","",IF(OR(NOT(ISNUMBER(E3266)),NOT(ISNUMBER(F3266))),"",MAX(0,E3266)*F3266))</f>
        <v/>
      </c>
      <c r="I3266" s="46" t="str">
        <f aca="false">IF($A3266="","",SUMIF($A$2:$A$5001,$A3266,$H$2:$H$5001))</f>
        <v/>
      </c>
      <c r="J3266" s="47" t="n">
        <f aca="false">IF($A3266="",0,IF(COUNTIF($A$2:A3266,$A3266)=1,1,0))</f>
        <v>0</v>
      </c>
      <c r="K3266" s="47" t="n">
        <f aca="false">IF(J3266=1,N(I3266)+ROW()/10000000,0)</f>
        <v>0</v>
      </c>
      <c r="L3266" s="47" t="str">
        <f aca="false">IF(AND(J3266=1,N(I3266)&gt;0),SUMIF($K$2:$K$5001,"&gt;="&amp;K3266,$I$2:$I$5001)/MAX(1,SUM($H$2:$H$5001)),"")</f>
        <v/>
      </c>
      <c r="M3266" s="47" t="str">
        <f aca="false">IF($A3266="","",INDEX($L$2:$L$5001,MATCH($A3266,$A$2:$A$5001,0)))</f>
        <v/>
      </c>
      <c r="N3266" s="48" t="str">
        <f aca="false">IF($A3266="","",IF(N(M3266)=0,"–",IF(M3266&lt;=Start!$D$20,"A",IF(M3266&lt;=Start!$D$21,"B","C"))))</f>
        <v/>
      </c>
      <c r="O3266" s="48" t="str">
        <f aca="false">IF($A3266="","",IF(NOT(ISNUMBER(F3266)),"Wert fehlt; ",IF(F3266&lt;=0,"Wert ist 0; ",""))&amp;IF(NOT(ISNUMBER(E3266)),"Bestand fehlt; ",IF(E3266&lt;0,"Bestand negativ; ",IF(E3266=0,"Nullbestand; ","")))&amp;IF(D3266="","Warengruppe fehlt; ","")&amp;IF(B3266="","Bezeichnung fehlt; ","")&amp;IF(COUNTIFS($A$2:$A$5001,$A3266,$C$2:$C$5001,C3266)&gt;1,"Artikel doppelt im selben Lager; ",""))</f>
        <v/>
      </c>
      <c r="P3266" s="47" t="n">
        <f aca="false">IF(OR($A3266="",D3266=""),0,IF(COUNTIF($D$2:D3266,D3266)=1,SUMIF($D$2:$D$5001,D3266,$H$2:$H$5001)+ROW()/10000000,0))</f>
        <v>0</v>
      </c>
      <c r="Q3266" s="47" t="n">
        <f aca="false">IF(OR($A3266="",C3266=""),0,IF(COUNTIF($C$2:C3266,C3266)=1,SUMIF($C$2:$C$5001,C3266,$H$2:$H$5001)+ROW()/10000000,0))</f>
        <v>0</v>
      </c>
    </row>
    <row r="3267" customFormat="false" ht="15" hidden="false" customHeight="false" outlineLevel="0" collapsed="false">
      <c r="A3267" s="43"/>
      <c r="B3267" s="44"/>
      <c r="C3267" s="44"/>
      <c r="D3267" s="44"/>
      <c r="E3267" s="44"/>
      <c r="F3267" s="44"/>
      <c r="G3267" s="44"/>
      <c r="H3267" s="46" t="str">
        <f aca="false">IF($A3267="","",IF(OR(NOT(ISNUMBER(E3267)),NOT(ISNUMBER(F3267))),"",MAX(0,E3267)*F3267))</f>
        <v/>
      </c>
      <c r="I3267" s="46" t="str">
        <f aca="false">IF($A3267="","",SUMIF($A$2:$A$5001,$A3267,$H$2:$H$5001))</f>
        <v/>
      </c>
      <c r="J3267" s="47" t="n">
        <f aca="false">IF($A3267="",0,IF(COUNTIF($A$2:A3267,$A3267)=1,1,0))</f>
        <v>0</v>
      </c>
      <c r="K3267" s="47" t="n">
        <f aca="false">IF(J3267=1,N(I3267)+ROW()/10000000,0)</f>
        <v>0</v>
      </c>
      <c r="L3267" s="47" t="str">
        <f aca="false">IF(AND(J3267=1,N(I3267)&gt;0),SUMIF($K$2:$K$5001,"&gt;="&amp;K3267,$I$2:$I$5001)/MAX(1,SUM($H$2:$H$5001)),"")</f>
        <v/>
      </c>
      <c r="M3267" s="47" t="str">
        <f aca="false">IF($A3267="","",INDEX($L$2:$L$5001,MATCH($A3267,$A$2:$A$5001,0)))</f>
        <v/>
      </c>
      <c r="N3267" s="48" t="str">
        <f aca="false">IF($A3267="","",IF(N(M3267)=0,"–",IF(M3267&lt;=Start!$D$20,"A",IF(M3267&lt;=Start!$D$21,"B","C"))))</f>
        <v/>
      </c>
      <c r="O3267" s="48" t="str">
        <f aca="false">IF($A3267="","",IF(NOT(ISNUMBER(F3267)),"Wert fehlt; ",IF(F3267&lt;=0,"Wert ist 0; ",""))&amp;IF(NOT(ISNUMBER(E3267)),"Bestand fehlt; ",IF(E3267&lt;0,"Bestand negativ; ",IF(E3267=0,"Nullbestand; ","")))&amp;IF(D3267="","Warengruppe fehlt; ","")&amp;IF(B3267="","Bezeichnung fehlt; ","")&amp;IF(COUNTIFS($A$2:$A$5001,$A3267,$C$2:$C$5001,C3267)&gt;1,"Artikel doppelt im selben Lager; ",""))</f>
        <v/>
      </c>
      <c r="P3267" s="47" t="n">
        <f aca="false">IF(OR($A3267="",D3267=""),0,IF(COUNTIF($D$2:D3267,D3267)=1,SUMIF($D$2:$D$5001,D3267,$H$2:$H$5001)+ROW()/10000000,0))</f>
        <v>0</v>
      </c>
      <c r="Q3267" s="47" t="n">
        <f aca="false">IF(OR($A3267="",C3267=""),0,IF(COUNTIF($C$2:C3267,C3267)=1,SUMIF($C$2:$C$5001,C3267,$H$2:$H$5001)+ROW()/10000000,0))</f>
        <v>0</v>
      </c>
    </row>
    <row r="3268" customFormat="false" ht="15" hidden="false" customHeight="false" outlineLevel="0" collapsed="false">
      <c r="A3268" s="43"/>
      <c r="B3268" s="44"/>
      <c r="C3268" s="44"/>
      <c r="D3268" s="44"/>
      <c r="E3268" s="44"/>
      <c r="F3268" s="44"/>
      <c r="G3268" s="44"/>
      <c r="H3268" s="46" t="str">
        <f aca="false">IF($A3268="","",IF(OR(NOT(ISNUMBER(E3268)),NOT(ISNUMBER(F3268))),"",MAX(0,E3268)*F3268))</f>
        <v/>
      </c>
      <c r="I3268" s="46" t="str">
        <f aca="false">IF($A3268="","",SUMIF($A$2:$A$5001,$A3268,$H$2:$H$5001))</f>
        <v/>
      </c>
      <c r="J3268" s="47" t="n">
        <f aca="false">IF($A3268="",0,IF(COUNTIF($A$2:A3268,$A3268)=1,1,0))</f>
        <v>0</v>
      </c>
      <c r="K3268" s="47" t="n">
        <f aca="false">IF(J3268=1,N(I3268)+ROW()/10000000,0)</f>
        <v>0</v>
      </c>
      <c r="L3268" s="47" t="str">
        <f aca="false">IF(AND(J3268=1,N(I3268)&gt;0),SUMIF($K$2:$K$5001,"&gt;="&amp;K3268,$I$2:$I$5001)/MAX(1,SUM($H$2:$H$5001)),"")</f>
        <v/>
      </c>
      <c r="M3268" s="47" t="str">
        <f aca="false">IF($A3268="","",INDEX($L$2:$L$5001,MATCH($A3268,$A$2:$A$5001,0)))</f>
        <v/>
      </c>
      <c r="N3268" s="48" t="str">
        <f aca="false">IF($A3268="","",IF(N(M3268)=0,"–",IF(M3268&lt;=Start!$D$20,"A",IF(M3268&lt;=Start!$D$21,"B","C"))))</f>
        <v/>
      </c>
      <c r="O3268" s="48" t="str">
        <f aca="false">IF($A3268="","",IF(NOT(ISNUMBER(F3268)),"Wert fehlt; ",IF(F3268&lt;=0,"Wert ist 0; ",""))&amp;IF(NOT(ISNUMBER(E3268)),"Bestand fehlt; ",IF(E3268&lt;0,"Bestand negativ; ",IF(E3268=0,"Nullbestand; ","")))&amp;IF(D3268="","Warengruppe fehlt; ","")&amp;IF(B3268="","Bezeichnung fehlt; ","")&amp;IF(COUNTIFS($A$2:$A$5001,$A3268,$C$2:$C$5001,C3268)&gt;1,"Artikel doppelt im selben Lager; ",""))</f>
        <v/>
      </c>
      <c r="P3268" s="47" t="n">
        <f aca="false">IF(OR($A3268="",D3268=""),0,IF(COUNTIF($D$2:D3268,D3268)=1,SUMIF($D$2:$D$5001,D3268,$H$2:$H$5001)+ROW()/10000000,0))</f>
        <v>0</v>
      </c>
      <c r="Q3268" s="47" t="n">
        <f aca="false">IF(OR($A3268="",C3268=""),0,IF(COUNTIF($C$2:C3268,C3268)=1,SUMIF($C$2:$C$5001,C3268,$H$2:$H$5001)+ROW()/10000000,0))</f>
        <v>0</v>
      </c>
    </row>
    <row r="3269" customFormat="false" ht="15" hidden="false" customHeight="false" outlineLevel="0" collapsed="false">
      <c r="A3269" s="43"/>
      <c r="B3269" s="44"/>
      <c r="C3269" s="44"/>
      <c r="D3269" s="44"/>
      <c r="E3269" s="44"/>
      <c r="F3269" s="44"/>
      <c r="G3269" s="44"/>
      <c r="H3269" s="46" t="str">
        <f aca="false">IF($A3269="","",IF(OR(NOT(ISNUMBER(E3269)),NOT(ISNUMBER(F3269))),"",MAX(0,E3269)*F3269))</f>
        <v/>
      </c>
      <c r="I3269" s="46" t="str">
        <f aca="false">IF($A3269="","",SUMIF($A$2:$A$5001,$A3269,$H$2:$H$5001))</f>
        <v/>
      </c>
      <c r="J3269" s="47" t="n">
        <f aca="false">IF($A3269="",0,IF(COUNTIF($A$2:A3269,$A3269)=1,1,0))</f>
        <v>0</v>
      </c>
      <c r="K3269" s="47" t="n">
        <f aca="false">IF(J3269=1,N(I3269)+ROW()/10000000,0)</f>
        <v>0</v>
      </c>
      <c r="L3269" s="47" t="str">
        <f aca="false">IF(AND(J3269=1,N(I3269)&gt;0),SUMIF($K$2:$K$5001,"&gt;="&amp;K3269,$I$2:$I$5001)/MAX(1,SUM($H$2:$H$5001)),"")</f>
        <v/>
      </c>
      <c r="M3269" s="47" t="str">
        <f aca="false">IF($A3269="","",INDEX($L$2:$L$5001,MATCH($A3269,$A$2:$A$5001,0)))</f>
        <v/>
      </c>
      <c r="N3269" s="48" t="str">
        <f aca="false">IF($A3269="","",IF(N(M3269)=0,"–",IF(M3269&lt;=Start!$D$20,"A",IF(M3269&lt;=Start!$D$21,"B","C"))))</f>
        <v/>
      </c>
      <c r="O3269" s="48" t="str">
        <f aca="false">IF($A3269="","",IF(NOT(ISNUMBER(F3269)),"Wert fehlt; ",IF(F3269&lt;=0,"Wert ist 0; ",""))&amp;IF(NOT(ISNUMBER(E3269)),"Bestand fehlt; ",IF(E3269&lt;0,"Bestand negativ; ",IF(E3269=0,"Nullbestand; ","")))&amp;IF(D3269="","Warengruppe fehlt; ","")&amp;IF(B3269="","Bezeichnung fehlt; ","")&amp;IF(COUNTIFS($A$2:$A$5001,$A3269,$C$2:$C$5001,C3269)&gt;1,"Artikel doppelt im selben Lager; ",""))</f>
        <v/>
      </c>
      <c r="P3269" s="47" t="n">
        <f aca="false">IF(OR($A3269="",D3269=""),0,IF(COUNTIF($D$2:D3269,D3269)=1,SUMIF($D$2:$D$5001,D3269,$H$2:$H$5001)+ROW()/10000000,0))</f>
        <v>0</v>
      </c>
      <c r="Q3269" s="47" t="n">
        <f aca="false">IF(OR($A3269="",C3269=""),0,IF(COUNTIF($C$2:C3269,C3269)=1,SUMIF($C$2:$C$5001,C3269,$H$2:$H$5001)+ROW()/10000000,0))</f>
        <v>0</v>
      </c>
    </row>
    <row r="3270" customFormat="false" ht="15" hidden="false" customHeight="false" outlineLevel="0" collapsed="false">
      <c r="A3270" s="43"/>
      <c r="B3270" s="44"/>
      <c r="C3270" s="44"/>
      <c r="D3270" s="44"/>
      <c r="E3270" s="44"/>
      <c r="F3270" s="44"/>
      <c r="G3270" s="44"/>
      <c r="H3270" s="46" t="str">
        <f aca="false">IF($A3270="","",IF(OR(NOT(ISNUMBER(E3270)),NOT(ISNUMBER(F3270))),"",MAX(0,E3270)*F3270))</f>
        <v/>
      </c>
      <c r="I3270" s="46" t="str">
        <f aca="false">IF($A3270="","",SUMIF($A$2:$A$5001,$A3270,$H$2:$H$5001))</f>
        <v/>
      </c>
      <c r="J3270" s="47" t="n">
        <f aca="false">IF($A3270="",0,IF(COUNTIF($A$2:A3270,$A3270)=1,1,0))</f>
        <v>0</v>
      </c>
      <c r="K3270" s="47" t="n">
        <f aca="false">IF(J3270=1,N(I3270)+ROW()/10000000,0)</f>
        <v>0</v>
      </c>
      <c r="L3270" s="47" t="str">
        <f aca="false">IF(AND(J3270=1,N(I3270)&gt;0),SUMIF($K$2:$K$5001,"&gt;="&amp;K3270,$I$2:$I$5001)/MAX(1,SUM($H$2:$H$5001)),"")</f>
        <v/>
      </c>
      <c r="M3270" s="47" t="str">
        <f aca="false">IF($A3270="","",INDEX($L$2:$L$5001,MATCH($A3270,$A$2:$A$5001,0)))</f>
        <v/>
      </c>
      <c r="N3270" s="48" t="str">
        <f aca="false">IF($A3270="","",IF(N(M3270)=0,"–",IF(M3270&lt;=Start!$D$20,"A",IF(M3270&lt;=Start!$D$21,"B","C"))))</f>
        <v/>
      </c>
      <c r="O3270" s="48" t="str">
        <f aca="false">IF($A3270="","",IF(NOT(ISNUMBER(F3270)),"Wert fehlt; ",IF(F3270&lt;=0,"Wert ist 0; ",""))&amp;IF(NOT(ISNUMBER(E3270)),"Bestand fehlt; ",IF(E3270&lt;0,"Bestand negativ; ",IF(E3270=0,"Nullbestand; ","")))&amp;IF(D3270="","Warengruppe fehlt; ","")&amp;IF(B3270="","Bezeichnung fehlt; ","")&amp;IF(COUNTIFS($A$2:$A$5001,$A3270,$C$2:$C$5001,C3270)&gt;1,"Artikel doppelt im selben Lager; ",""))</f>
        <v/>
      </c>
      <c r="P3270" s="47" t="n">
        <f aca="false">IF(OR($A3270="",D3270=""),0,IF(COUNTIF($D$2:D3270,D3270)=1,SUMIF($D$2:$D$5001,D3270,$H$2:$H$5001)+ROW()/10000000,0))</f>
        <v>0</v>
      </c>
      <c r="Q3270" s="47" t="n">
        <f aca="false">IF(OR($A3270="",C3270=""),0,IF(COUNTIF($C$2:C3270,C3270)=1,SUMIF($C$2:$C$5001,C3270,$H$2:$H$5001)+ROW()/10000000,0))</f>
        <v>0</v>
      </c>
    </row>
    <row r="3271" customFormat="false" ht="15" hidden="false" customHeight="false" outlineLevel="0" collapsed="false">
      <c r="A3271" s="43"/>
      <c r="B3271" s="44"/>
      <c r="C3271" s="44"/>
      <c r="D3271" s="44"/>
      <c r="E3271" s="44"/>
      <c r="F3271" s="44"/>
      <c r="G3271" s="44"/>
      <c r="H3271" s="46" t="str">
        <f aca="false">IF($A3271="","",IF(OR(NOT(ISNUMBER(E3271)),NOT(ISNUMBER(F3271))),"",MAX(0,E3271)*F3271))</f>
        <v/>
      </c>
      <c r="I3271" s="46" t="str">
        <f aca="false">IF($A3271="","",SUMIF($A$2:$A$5001,$A3271,$H$2:$H$5001))</f>
        <v/>
      </c>
      <c r="J3271" s="47" t="n">
        <f aca="false">IF($A3271="",0,IF(COUNTIF($A$2:A3271,$A3271)=1,1,0))</f>
        <v>0</v>
      </c>
      <c r="K3271" s="47" t="n">
        <f aca="false">IF(J3271=1,N(I3271)+ROW()/10000000,0)</f>
        <v>0</v>
      </c>
      <c r="L3271" s="47" t="str">
        <f aca="false">IF(AND(J3271=1,N(I3271)&gt;0),SUMIF($K$2:$K$5001,"&gt;="&amp;K3271,$I$2:$I$5001)/MAX(1,SUM($H$2:$H$5001)),"")</f>
        <v/>
      </c>
      <c r="M3271" s="47" t="str">
        <f aca="false">IF($A3271="","",INDEX($L$2:$L$5001,MATCH($A3271,$A$2:$A$5001,0)))</f>
        <v/>
      </c>
      <c r="N3271" s="48" t="str">
        <f aca="false">IF($A3271="","",IF(N(M3271)=0,"–",IF(M3271&lt;=Start!$D$20,"A",IF(M3271&lt;=Start!$D$21,"B","C"))))</f>
        <v/>
      </c>
      <c r="O3271" s="48" t="str">
        <f aca="false">IF($A3271="","",IF(NOT(ISNUMBER(F3271)),"Wert fehlt; ",IF(F3271&lt;=0,"Wert ist 0; ",""))&amp;IF(NOT(ISNUMBER(E3271)),"Bestand fehlt; ",IF(E3271&lt;0,"Bestand negativ; ",IF(E3271=0,"Nullbestand; ","")))&amp;IF(D3271="","Warengruppe fehlt; ","")&amp;IF(B3271="","Bezeichnung fehlt; ","")&amp;IF(COUNTIFS($A$2:$A$5001,$A3271,$C$2:$C$5001,C3271)&gt;1,"Artikel doppelt im selben Lager; ",""))</f>
        <v/>
      </c>
      <c r="P3271" s="47" t="n">
        <f aca="false">IF(OR($A3271="",D3271=""),0,IF(COUNTIF($D$2:D3271,D3271)=1,SUMIF($D$2:$D$5001,D3271,$H$2:$H$5001)+ROW()/10000000,0))</f>
        <v>0</v>
      </c>
      <c r="Q3271" s="47" t="n">
        <f aca="false">IF(OR($A3271="",C3271=""),0,IF(COUNTIF($C$2:C3271,C3271)=1,SUMIF($C$2:$C$5001,C3271,$H$2:$H$5001)+ROW()/10000000,0))</f>
        <v>0</v>
      </c>
    </row>
    <row r="3272" customFormat="false" ht="15" hidden="false" customHeight="false" outlineLevel="0" collapsed="false">
      <c r="A3272" s="43"/>
      <c r="B3272" s="44"/>
      <c r="C3272" s="44"/>
      <c r="D3272" s="44"/>
      <c r="E3272" s="44"/>
      <c r="F3272" s="44"/>
      <c r="G3272" s="44"/>
      <c r="H3272" s="46" t="str">
        <f aca="false">IF($A3272="","",IF(OR(NOT(ISNUMBER(E3272)),NOT(ISNUMBER(F3272))),"",MAX(0,E3272)*F3272))</f>
        <v/>
      </c>
      <c r="I3272" s="46" t="str">
        <f aca="false">IF($A3272="","",SUMIF($A$2:$A$5001,$A3272,$H$2:$H$5001))</f>
        <v/>
      </c>
      <c r="J3272" s="47" t="n">
        <f aca="false">IF($A3272="",0,IF(COUNTIF($A$2:A3272,$A3272)=1,1,0))</f>
        <v>0</v>
      </c>
      <c r="K3272" s="47" t="n">
        <f aca="false">IF(J3272=1,N(I3272)+ROW()/10000000,0)</f>
        <v>0</v>
      </c>
      <c r="L3272" s="47" t="str">
        <f aca="false">IF(AND(J3272=1,N(I3272)&gt;0),SUMIF($K$2:$K$5001,"&gt;="&amp;K3272,$I$2:$I$5001)/MAX(1,SUM($H$2:$H$5001)),"")</f>
        <v/>
      </c>
      <c r="M3272" s="47" t="str">
        <f aca="false">IF($A3272="","",INDEX($L$2:$L$5001,MATCH($A3272,$A$2:$A$5001,0)))</f>
        <v/>
      </c>
      <c r="N3272" s="48" t="str">
        <f aca="false">IF($A3272="","",IF(N(M3272)=0,"–",IF(M3272&lt;=Start!$D$20,"A",IF(M3272&lt;=Start!$D$21,"B","C"))))</f>
        <v/>
      </c>
      <c r="O3272" s="48" t="str">
        <f aca="false">IF($A3272="","",IF(NOT(ISNUMBER(F3272)),"Wert fehlt; ",IF(F3272&lt;=0,"Wert ist 0; ",""))&amp;IF(NOT(ISNUMBER(E3272)),"Bestand fehlt; ",IF(E3272&lt;0,"Bestand negativ; ",IF(E3272=0,"Nullbestand; ","")))&amp;IF(D3272="","Warengruppe fehlt; ","")&amp;IF(B3272="","Bezeichnung fehlt; ","")&amp;IF(COUNTIFS($A$2:$A$5001,$A3272,$C$2:$C$5001,C3272)&gt;1,"Artikel doppelt im selben Lager; ",""))</f>
        <v/>
      </c>
      <c r="P3272" s="47" t="n">
        <f aca="false">IF(OR($A3272="",D3272=""),0,IF(COUNTIF($D$2:D3272,D3272)=1,SUMIF($D$2:$D$5001,D3272,$H$2:$H$5001)+ROW()/10000000,0))</f>
        <v>0</v>
      </c>
      <c r="Q3272" s="47" t="n">
        <f aca="false">IF(OR($A3272="",C3272=""),0,IF(COUNTIF($C$2:C3272,C3272)=1,SUMIF($C$2:$C$5001,C3272,$H$2:$H$5001)+ROW()/10000000,0))</f>
        <v>0</v>
      </c>
    </row>
    <row r="3273" customFormat="false" ht="15" hidden="false" customHeight="false" outlineLevel="0" collapsed="false">
      <c r="A3273" s="43"/>
      <c r="B3273" s="44"/>
      <c r="C3273" s="44"/>
      <c r="D3273" s="44"/>
      <c r="E3273" s="44"/>
      <c r="F3273" s="44"/>
      <c r="G3273" s="44"/>
      <c r="H3273" s="46" t="str">
        <f aca="false">IF($A3273="","",IF(OR(NOT(ISNUMBER(E3273)),NOT(ISNUMBER(F3273))),"",MAX(0,E3273)*F3273))</f>
        <v/>
      </c>
      <c r="I3273" s="46" t="str">
        <f aca="false">IF($A3273="","",SUMIF($A$2:$A$5001,$A3273,$H$2:$H$5001))</f>
        <v/>
      </c>
      <c r="J3273" s="47" t="n">
        <f aca="false">IF($A3273="",0,IF(COUNTIF($A$2:A3273,$A3273)=1,1,0))</f>
        <v>0</v>
      </c>
      <c r="K3273" s="47" t="n">
        <f aca="false">IF(J3273=1,N(I3273)+ROW()/10000000,0)</f>
        <v>0</v>
      </c>
      <c r="L3273" s="47" t="str">
        <f aca="false">IF(AND(J3273=1,N(I3273)&gt;0),SUMIF($K$2:$K$5001,"&gt;="&amp;K3273,$I$2:$I$5001)/MAX(1,SUM($H$2:$H$5001)),"")</f>
        <v/>
      </c>
      <c r="M3273" s="47" t="str">
        <f aca="false">IF($A3273="","",INDEX($L$2:$L$5001,MATCH($A3273,$A$2:$A$5001,0)))</f>
        <v/>
      </c>
      <c r="N3273" s="48" t="str">
        <f aca="false">IF($A3273="","",IF(N(M3273)=0,"–",IF(M3273&lt;=Start!$D$20,"A",IF(M3273&lt;=Start!$D$21,"B","C"))))</f>
        <v/>
      </c>
      <c r="O3273" s="48" t="str">
        <f aca="false">IF($A3273="","",IF(NOT(ISNUMBER(F3273)),"Wert fehlt; ",IF(F3273&lt;=0,"Wert ist 0; ",""))&amp;IF(NOT(ISNUMBER(E3273)),"Bestand fehlt; ",IF(E3273&lt;0,"Bestand negativ; ",IF(E3273=0,"Nullbestand; ","")))&amp;IF(D3273="","Warengruppe fehlt; ","")&amp;IF(B3273="","Bezeichnung fehlt; ","")&amp;IF(COUNTIFS($A$2:$A$5001,$A3273,$C$2:$C$5001,C3273)&gt;1,"Artikel doppelt im selben Lager; ",""))</f>
        <v/>
      </c>
      <c r="P3273" s="47" t="n">
        <f aca="false">IF(OR($A3273="",D3273=""),0,IF(COUNTIF($D$2:D3273,D3273)=1,SUMIF($D$2:$D$5001,D3273,$H$2:$H$5001)+ROW()/10000000,0))</f>
        <v>0</v>
      </c>
      <c r="Q3273" s="47" t="n">
        <f aca="false">IF(OR($A3273="",C3273=""),0,IF(COUNTIF($C$2:C3273,C3273)=1,SUMIF($C$2:$C$5001,C3273,$H$2:$H$5001)+ROW()/10000000,0))</f>
        <v>0</v>
      </c>
    </row>
    <row r="3274" customFormat="false" ht="15" hidden="false" customHeight="false" outlineLevel="0" collapsed="false">
      <c r="A3274" s="43"/>
      <c r="B3274" s="44"/>
      <c r="C3274" s="44"/>
      <c r="D3274" s="44"/>
      <c r="E3274" s="44"/>
      <c r="F3274" s="44"/>
      <c r="G3274" s="44"/>
      <c r="H3274" s="46" t="str">
        <f aca="false">IF($A3274="","",IF(OR(NOT(ISNUMBER(E3274)),NOT(ISNUMBER(F3274))),"",MAX(0,E3274)*F3274))</f>
        <v/>
      </c>
      <c r="I3274" s="46" t="str">
        <f aca="false">IF($A3274="","",SUMIF($A$2:$A$5001,$A3274,$H$2:$H$5001))</f>
        <v/>
      </c>
      <c r="J3274" s="47" t="n">
        <f aca="false">IF($A3274="",0,IF(COUNTIF($A$2:A3274,$A3274)=1,1,0))</f>
        <v>0</v>
      </c>
      <c r="K3274" s="47" t="n">
        <f aca="false">IF(J3274=1,N(I3274)+ROW()/10000000,0)</f>
        <v>0</v>
      </c>
      <c r="L3274" s="47" t="str">
        <f aca="false">IF(AND(J3274=1,N(I3274)&gt;0),SUMIF($K$2:$K$5001,"&gt;="&amp;K3274,$I$2:$I$5001)/MAX(1,SUM($H$2:$H$5001)),"")</f>
        <v/>
      </c>
      <c r="M3274" s="47" t="str">
        <f aca="false">IF($A3274="","",INDEX($L$2:$L$5001,MATCH($A3274,$A$2:$A$5001,0)))</f>
        <v/>
      </c>
      <c r="N3274" s="48" t="str">
        <f aca="false">IF($A3274="","",IF(N(M3274)=0,"–",IF(M3274&lt;=Start!$D$20,"A",IF(M3274&lt;=Start!$D$21,"B","C"))))</f>
        <v/>
      </c>
      <c r="O3274" s="48" t="str">
        <f aca="false">IF($A3274="","",IF(NOT(ISNUMBER(F3274)),"Wert fehlt; ",IF(F3274&lt;=0,"Wert ist 0; ",""))&amp;IF(NOT(ISNUMBER(E3274)),"Bestand fehlt; ",IF(E3274&lt;0,"Bestand negativ; ",IF(E3274=0,"Nullbestand; ","")))&amp;IF(D3274="","Warengruppe fehlt; ","")&amp;IF(B3274="","Bezeichnung fehlt; ","")&amp;IF(COUNTIFS($A$2:$A$5001,$A3274,$C$2:$C$5001,C3274)&gt;1,"Artikel doppelt im selben Lager; ",""))</f>
        <v/>
      </c>
      <c r="P3274" s="47" t="n">
        <f aca="false">IF(OR($A3274="",D3274=""),0,IF(COUNTIF($D$2:D3274,D3274)=1,SUMIF($D$2:$D$5001,D3274,$H$2:$H$5001)+ROW()/10000000,0))</f>
        <v>0</v>
      </c>
      <c r="Q3274" s="47" t="n">
        <f aca="false">IF(OR($A3274="",C3274=""),0,IF(COUNTIF($C$2:C3274,C3274)=1,SUMIF($C$2:$C$5001,C3274,$H$2:$H$5001)+ROW()/10000000,0))</f>
        <v>0</v>
      </c>
    </row>
    <row r="3275" customFormat="false" ht="15" hidden="false" customHeight="false" outlineLevel="0" collapsed="false">
      <c r="A3275" s="43"/>
      <c r="B3275" s="44"/>
      <c r="C3275" s="44"/>
      <c r="D3275" s="44"/>
      <c r="E3275" s="44"/>
      <c r="F3275" s="44"/>
      <c r="G3275" s="44"/>
      <c r="H3275" s="46" t="str">
        <f aca="false">IF($A3275="","",IF(OR(NOT(ISNUMBER(E3275)),NOT(ISNUMBER(F3275))),"",MAX(0,E3275)*F3275))</f>
        <v/>
      </c>
      <c r="I3275" s="46" t="str">
        <f aca="false">IF($A3275="","",SUMIF($A$2:$A$5001,$A3275,$H$2:$H$5001))</f>
        <v/>
      </c>
      <c r="J3275" s="47" t="n">
        <f aca="false">IF($A3275="",0,IF(COUNTIF($A$2:A3275,$A3275)=1,1,0))</f>
        <v>0</v>
      </c>
      <c r="K3275" s="47" t="n">
        <f aca="false">IF(J3275=1,N(I3275)+ROW()/10000000,0)</f>
        <v>0</v>
      </c>
      <c r="L3275" s="47" t="str">
        <f aca="false">IF(AND(J3275=1,N(I3275)&gt;0),SUMIF($K$2:$K$5001,"&gt;="&amp;K3275,$I$2:$I$5001)/MAX(1,SUM($H$2:$H$5001)),"")</f>
        <v/>
      </c>
      <c r="M3275" s="47" t="str">
        <f aca="false">IF($A3275="","",INDEX($L$2:$L$5001,MATCH($A3275,$A$2:$A$5001,0)))</f>
        <v/>
      </c>
      <c r="N3275" s="48" t="str">
        <f aca="false">IF($A3275="","",IF(N(M3275)=0,"–",IF(M3275&lt;=Start!$D$20,"A",IF(M3275&lt;=Start!$D$21,"B","C"))))</f>
        <v/>
      </c>
      <c r="O3275" s="48" t="str">
        <f aca="false">IF($A3275="","",IF(NOT(ISNUMBER(F3275)),"Wert fehlt; ",IF(F3275&lt;=0,"Wert ist 0; ",""))&amp;IF(NOT(ISNUMBER(E3275)),"Bestand fehlt; ",IF(E3275&lt;0,"Bestand negativ; ",IF(E3275=0,"Nullbestand; ","")))&amp;IF(D3275="","Warengruppe fehlt; ","")&amp;IF(B3275="","Bezeichnung fehlt; ","")&amp;IF(COUNTIFS($A$2:$A$5001,$A3275,$C$2:$C$5001,C3275)&gt;1,"Artikel doppelt im selben Lager; ",""))</f>
        <v/>
      </c>
      <c r="P3275" s="47" t="n">
        <f aca="false">IF(OR($A3275="",D3275=""),0,IF(COUNTIF($D$2:D3275,D3275)=1,SUMIF($D$2:$D$5001,D3275,$H$2:$H$5001)+ROW()/10000000,0))</f>
        <v>0</v>
      </c>
      <c r="Q3275" s="47" t="n">
        <f aca="false">IF(OR($A3275="",C3275=""),0,IF(COUNTIF($C$2:C3275,C3275)=1,SUMIF($C$2:$C$5001,C3275,$H$2:$H$5001)+ROW()/10000000,0))</f>
        <v>0</v>
      </c>
    </row>
    <row r="3276" customFormat="false" ht="15" hidden="false" customHeight="false" outlineLevel="0" collapsed="false">
      <c r="A3276" s="43"/>
      <c r="B3276" s="44"/>
      <c r="C3276" s="44"/>
      <c r="D3276" s="44"/>
      <c r="E3276" s="44"/>
      <c r="F3276" s="44"/>
      <c r="G3276" s="44"/>
      <c r="H3276" s="46" t="str">
        <f aca="false">IF($A3276="","",IF(OR(NOT(ISNUMBER(E3276)),NOT(ISNUMBER(F3276))),"",MAX(0,E3276)*F3276))</f>
        <v/>
      </c>
      <c r="I3276" s="46" t="str">
        <f aca="false">IF($A3276="","",SUMIF($A$2:$A$5001,$A3276,$H$2:$H$5001))</f>
        <v/>
      </c>
      <c r="J3276" s="47" t="n">
        <f aca="false">IF($A3276="",0,IF(COUNTIF($A$2:A3276,$A3276)=1,1,0))</f>
        <v>0</v>
      </c>
      <c r="K3276" s="47" t="n">
        <f aca="false">IF(J3276=1,N(I3276)+ROW()/10000000,0)</f>
        <v>0</v>
      </c>
      <c r="L3276" s="47" t="str">
        <f aca="false">IF(AND(J3276=1,N(I3276)&gt;0),SUMIF($K$2:$K$5001,"&gt;="&amp;K3276,$I$2:$I$5001)/MAX(1,SUM($H$2:$H$5001)),"")</f>
        <v/>
      </c>
      <c r="M3276" s="47" t="str">
        <f aca="false">IF($A3276="","",INDEX($L$2:$L$5001,MATCH($A3276,$A$2:$A$5001,0)))</f>
        <v/>
      </c>
      <c r="N3276" s="48" t="str">
        <f aca="false">IF($A3276="","",IF(N(M3276)=0,"–",IF(M3276&lt;=Start!$D$20,"A",IF(M3276&lt;=Start!$D$21,"B","C"))))</f>
        <v/>
      </c>
      <c r="O3276" s="48" t="str">
        <f aca="false">IF($A3276="","",IF(NOT(ISNUMBER(F3276)),"Wert fehlt; ",IF(F3276&lt;=0,"Wert ist 0; ",""))&amp;IF(NOT(ISNUMBER(E3276)),"Bestand fehlt; ",IF(E3276&lt;0,"Bestand negativ; ",IF(E3276=0,"Nullbestand; ","")))&amp;IF(D3276="","Warengruppe fehlt; ","")&amp;IF(B3276="","Bezeichnung fehlt; ","")&amp;IF(COUNTIFS($A$2:$A$5001,$A3276,$C$2:$C$5001,C3276)&gt;1,"Artikel doppelt im selben Lager; ",""))</f>
        <v/>
      </c>
      <c r="P3276" s="47" t="n">
        <f aca="false">IF(OR($A3276="",D3276=""),0,IF(COUNTIF($D$2:D3276,D3276)=1,SUMIF($D$2:$D$5001,D3276,$H$2:$H$5001)+ROW()/10000000,0))</f>
        <v>0</v>
      </c>
      <c r="Q3276" s="47" t="n">
        <f aca="false">IF(OR($A3276="",C3276=""),0,IF(COUNTIF($C$2:C3276,C3276)=1,SUMIF($C$2:$C$5001,C3276,$H$2:$H$5001)+ROW()/10000000,0))</f>
        <v>0</v>
      </c>
    </row>
    <row r="3277" customFormat="false" ht="15" hidden="false" customHeight="false" outlineLevel="0" collapsed="false">
      <c r="A3277" s="43"/>
      <c r="B3277" s="44"/>
      <c r="C3277" s="44"/>
      <c r="D3277" s="44"/>
      <c r="E3277" s="44"/>
      <c r="F3277" s="44"/>
      <c r="G3277" s="44"/>
      <c r="H3277" s="46" t="str">
        <f aca="false">IF($A3277="","",IF(OR(NOT(ISNUMBER(E3277)),NOT(ISNUMBER(F3277))),"",MAX(0,E3277)*F3277))</f>
        <v/>
      </c>
      <c r="I3277" s="46" t="str">
        <f aca="false">IF($A3277="","",SUMIF($A$2:$A$5001,$A3277,$H$2:$H$5001))</f>
        <v/>
      </c>
      <c r="J3277" s="47" t="n">
        <f aca="false">IF($A3277="",0,IF(COUNTIF($A$2:A3277,$A3277)=1,1,0))</f>
        <v>0</v>
      </c>
      <c r="K3277" s="47" t="n">
        <f aca="false">IF(J3277=1,N(I3277)+ROW()/10000000,0)</f>
        <v>0</v>
      </c>
      <c r="L3277" s="47" t="str">
        <f aca="false">IF(AND(J3277=1,N(I3277)&gt;0),SUMIF($K$2:$K$5001,"&gt;="&amp;K3277,$I$2:$I$5001)/MAX(1,SUM($H$2:$H$5001)),"")</f>
        <v/>
      </c>
      <c r="M3277" s="47" t="str">
        <f aca="false">IF($A3277="","",INDEX($L$2:$L$5001,MATCH($A3277,$A$2:$A$5001,0)))</f>
        <v/>
      </c>
      <c r="N3277" s="48" t="str">
        <f aca="false">IF($A3277="","",IF(N(M3277)=0,"–",IF(M3277&lt;=Start!$D$20,"A",IF(M3277&lt;=Start!$D$21,"B","C"))))</f>
        <v/>
      </c>
      <c r="O3277" s="48" t="str">
        <f aca="false">IF($A3277="","",IF(NOT(ISNUMBER(F3277)),"Wert fehlt; ",IF(F3277&lt;=0,"Wert ist 0; ",""))&amp;IF(NOT(ISNUMBER(E3277)),"Bestand fehlt; ",IF(E3277&lt;0,"Bestand negativ; ",IF(E3277=0,"Nullbestand; ","")))&amp;IF(D3277="","Warengruppe fehlt; ","")&amp;IF(B3277="","Bezeichnung fehlt; ","")&amp;IF(COUNTIFS($A$2:$A$5001,$A3277,$C$2:$C$5001,C3277)&gt;1,"Artikel doppelt im selben Lager; ",""))</f>
        <v/>
      </c>
      <c r="P3277" s="47" t="n">
        <f aca="false">IF(OR($A3277="",D3277=""),0,IF(COUNTIF($D$2:D3277,D3277)=1,SUMIF($D$2:$D$5001,D3277,$H$2:$H$5001)+ROW()/10000000,0))</f>
        <v>0</v>
      </c>
      <c r="Q3277" s="47" t="n">
        <f aca="false">IF(OR($A3277="",C3277=""),0,IF(COUNTIF($C$2:C3277,C3277)=1,SUMIF($C$2:$C$5001,C3277,$H$2:$H$5001)+ROW()/10000000,0))</f>
        <v>0</v>
      </c>
    </row>
    <row r="3278" customFormat="false" ht="15" hidden="false" customHeight="false" outlineLevel="0" collapsed="false">
      <c r="A3278" s="43"/>
      <c r="B3278" s="44"/>
      <c r="C3278" s="44"/>
      <c r="D3278" s="44"/>
      <c r="E3278" s="44"/>
      <c r="F3278" s="44"/>
      <c r="G3278" s="44"/>
      <c r="H3278" s="46" t="str">
        <f aca="false">IF($A3278="","",IF(OR(NOT(ISNUMBER(E3278)),NOT(ISNUMBER(F3278))),"",MAX(0,E3278)*F3278))</f>
        <v/>
      </c>
      <c r="I3278" s="46" t="str">
        <f aca="false">IF($A3278="","",SUMIF($A$2:$A$5001,$A3278,$H$2:$H$5001))</f>
        <v/>
      </c>
      <c r="J3278" s="47" t="n">
        <f aca="false">IF($A3278="",0,IF(COUNTIF($A$2:A3278,$A3278)=1,1,0))</f>
        <v>0</v>
      </c>
      <c r="K3278" s="47" t="n">
        <f aca="false">IF(J3278=1,N(I3278)+ROW()/10000000,0)</f>
        <v>0</v>
      </c>
      <c r="L3278" s="47" t="str">
        <f aca="false">IF(AND(J3278=1,N(I3278)&gt;0),SUMIF($K$2:$K$5001,"&gt;="&amp;K3278,$I$2:$I$5001)/MAX(1,SUM($H$2:$H$5001)),"")</f>
        <v/>
      </c>
      <c r="M3278" s="47" t="str">
        <f aca="false">IF($A3278="","",INDEX($L$2:$L$5001,MATCH($A3278,$A$2:$A$5001,0)))</f>
        <v/>
      </c>
      <c r="N3278" s="48" t="str">
        <f aca="false">IF($A3278="","",IF(N(M3278)=0,"–",IF(M3278&lt;=Start!$D$20,"A",IF(M3278&lt;=Start!$D$21,"B","C"))))</f>
        <v/>
      </c>
      <c r="O3278" s="48" t="str">
        <f aca="false">IF($A3278="","",IF(NOT(ISNUMBER(F3278)),"Wert fehlt; ",IF(F3278&lt;=0,"Wert ist 0; ",""))&amp;IF(NOT(ISNUMBER(E3278)),"Bestand fehlt; ",IF(E3278&lt;0,"Bestand negativ; ",IF(E3278=0,"Nullbestand; ","")))&amp;IF(D3278="","Warengruppe fehlt; ","")&amp;IF(B3278="","Bezeichnung fehlt; ","")&amp;IF(COUNTIFS($A$2:$A$5001,$A3278,$C$2:$C$5001,C3278)&gt;1,"Artikel doppelt im selben Lager; ",""))</f>
        <v/>
      </c>
      <c r="P3278" s="47" t="n">
        <f aca="false">IF(OR($A3278="",D3278=""),0,IF(COUNTIF($D$2:D3278,D3278)=1,SUMIF($D$2:$D$5001,D3278,$H$2:$H$5001)+ROW()/10000000,0))</f>
        <v>0</v>
      </c>
      <c r="Q3278" s="47" t="n">
        <f aca="false">IF(OR($A3278="",C3278=""),0,IF(COUNTIF($C$2:C3278,C3278)=1,SUMIF($C$2:$C$5001,C3278,$H$2:$H$5001)+ROW()/10000000,0))</f>
        <v>0</v>
      </c>
    </row>
    <row r="3279" customFormat="false" ht="15" hidden="false" customHeight="false" outlineLevel="0" collapsed="false">
      <c r="A3279" s="43"/>
      <c r="B3279" s="44"/>
      <c r="C3279" s="44"/>
      <c r="D3279" s="44"/>
      <c r="E3279" s="44"/>
      <c r="F3279" s="44"/>
      <c r="G3279" s="44"/>
      <c r="H3279" s="46" t="str">
        <f aca="false">IF($A3279="","",IF(OR(NOT(ISNUMBER(E3279)),NOT(ISNUMBER(F3279))),"",MAX(0,E3279)*F3279))</f>
        <v/>
      </c>
      <c r="I3279" s="46" t="str">
        <f aca="false">IF($A3279="","",SUMIF($A$2:$A$5001,$A3279,$H$2:$H$5001))</f>
        <v/>
      </c>
      <c r="J3279" s="47" t="n">
        <f aca="false">IF($A3279="",0,IF(COUNTIF($A$2:A3279,$A3279)=1,1,0))</f>
        <v>0</v>
      </c>
      <c r="K3279" s="47" t="n">
        <f aca="false">IF(J3279=1,N(I3279)+ROW()/10000000,0)</f>
        <v>0</v>
      </c>
      <c r="L3279" s="47" t="str">
        <f aca="false">IF(AND(J3279=1,N(I3279)&gt;0),SUMIF($K$2:$K$5001,"&gt;="&amp;K3279,$I$2:$I$5001)/MAX(1,SUM($H$2:$H$5001)),"")</f>
        <v/>
      </c>
      <c r="M3279" s="47" t="str">
        <f aca="false">IF($A3279="","",INDEX($L$2:$L$5001,MATCH($A3279,$A$2:$A$5001,0)))</f>
        <v/>
      </c>
      <c r="N3279" s="48" t="str">
        <f aca="false">IF($A3279="","",IF(N(M3279)=0,"–",IF(M3279&lt;=Start!$D$20,"A",IF(M3279&lt;=Start!$D$21,"B","C"))))</f>
        <v/>
      </c>
      <c r="O3279" s="48" t="str">
        <f aca="false">IF($A3279="","",IF(NOT(ISNUMBER(F3279)),"Wert fehlt; ",IF(F3279&lt;=0,"Wert ist 0; ",""))&amp;IF(NOT(ISNUMBER(E3279)),"Bestand fehlt; ",IF(E3279&lt;0,"Bestand negativ; ",IF(E3279=0,"Nullbestand; ","")))&amp;IF(D3279="","Warengruppe fehlt; ","")&amp;IF(B3279="","Bezeichnung fehlt; ","")&amp;IF(COUNTIFS($A$2:$A$5001,$A3279,$C$2:$C$5001,C3279)&gt;1,"Artikel doppelt im selben Lager; ",""))</f>
        <v/>
      </c>
      <c r="P3279" s="47" t="n">
        <f aca="false">IF(OR($A3279="",D3279=""),0,IF(COUNTIF($D$2:D3279,D3279)=1,SUMIF($D$2:$D$5001,D3279,$H$2:$H$5001)+ROW()/10000000,0))</f>
        <v>0</v>
      </c>
      <c r="Q3279" s="47" t="n">
        <f aca="false">IF(OR($A3279="",C3279=""),0,IF(COUNTIF($C$2:C3279,C3279)=1,SUMIF($C$2:$C$5001,C3279,$H$2:$H$5001)+ROW()/10000000,0))</f>
        <v>0</v>
      </c>
    </row>
    <row r="3280" customFormat="false" ht="15" hidden="false" customHeight="false" outlineLevel="0" collapsed="false">
      <c r="A3280" s="43"/>
      <c r="B3280" s="44"/>
      <c r="C3280" s="44"/>
      <c r="D3280" s="44"/>
      <c r="E3280" s="44"/>
      <c r="F3280" s="44"/>
      <c r="G3280" s="44"/>
      <c r="H3280" s="46" t="str">
        <f aca="false">IF($A3280="","",IF(OR(NOT(ISNUMBER(E3280)),NOT(ISNUMBER(F3280))),"",MAX(0,E3280)*F3280))</f>
        <v/>
      </c>
      <c r="I3280" s="46" t="str">
        <f aca="false">IF($A3280="","",SUMIF($A$2:$A$5001,$A3280,$H$2:$H$5001))</f>
        <v/>
      </c>
      <c r="J3280" s="47" t="n">
        <f aca="false">IF($A3280="",0,IF(COUNTIF($A$2:A3280,$A3280)=1,1,0))</f>
        <v>0</v>
      </c>
      <c r="K3280" s="47" t="n">
        <f aca="false">IF(J3280=1,N(I3280)+ROW()/10000000,0)</f>
        <v>0</v>
      </c>
      <c r="L3280" s="47" t="str">
        <f aca="false">IF(AND(J3280=1,N(I3280)&gt;0),SUMIF($K$2:$K$5001,"&gt;="&amp;K3280,$I$2:$I$5001)/MAX(1,SUM($H$2:$H$5001)),"")</f>
        <v/>
      </c>
      <c r="M3280" s="47" t="str">
        <f aca="false">IF($A3280="","",INDEX($L$2:$L$5001,MATCH($A3280,$A$2:$A$5001,0)))</f>
        <v/>
      </c>
      <c r="N3280" s="48" t="str">
        <f aca="false">IF($A3280="","",IF(N(M3280)=0,"–",IF(M3280&lt;=Start!$D$20,"A",IF(M3280&lt;=Start!$D$21,"B","C"))))</f>
        <v/>
      </c>
      <c r="O3280" s="48" t="str">
        <f aca="false">IF($A3280="","",IF(NOT(ISNUMBER(F3280)),"Wert fehlt; ",IF(F3280&lt;=0,"Wert ist 0; ",""))&amp;IF(NOT(ISNUMBER(E3280)),"Bestand fehlt; ",IF(E3280&lt;0,"Bestand negativ; ",IF(E3280=0,"Nullbestand; ","")))&amp;IF(D3280="","Warengruppe fehlt; ","")&amp;IF(B3280="","Bezeichnung fehlt; ","")&amp;IF(COUNTIFS($A$2:$A$5001,$A3280,$C$2:$C$5001,C3280)&gt;1,"Artikel doppelt im selben Lager; ",""))</f>
        <v/>
      </c>
      <c r="P3280" s="47" t="n">
        <f aca="false">IF(OR($A3280="",D3280=""),0,IF(COUNTIF($D$2:D3280,D3280)=1,SUMIF($D$2:$D$5001,D3280,$H$2:$H$5001)+ROW()/10000000,0))</f>
        <v>0</v>
      </c>
      <c r="Q3280" s="47" t="n">
        <f aca="false">IF(OR($A3280="",C3280=""),0,IF(COUNTIF($C$2:C3280,C3280)=1,SUMIF($C$2:$C$5001,C3280,$H$2:$H$5001)+ROW()/10000000,0))</f>
        <v>0</v>
      </c>
    </row>
    <row r="3281" customFormat="false" ht="15" hidden="false" customHeight="false" outlineLevel="0" collapsed="false">
      <c r="A3281" s="43"/>
      <c r="B3281" s="44"/>
      <c r="C3281" s="44"/>
      <c r="D3281" s="44"/>
      <c r="E3281" s="44"/>
      <c r="F3281" s="44"/>
      <c r="G3281" s="44"/>
      <c r="H3281" s="46" t="str">
        <f aca="false">IF($A3281="","",IF(OR(NOT(ISNUMBER(E3281)),NOT(ISNUMBER(F3281))),"",MAX(0,E3281)*F3281))</f>
        <v/>
      </c>
      <c r="I3281" s="46" t="str">
        <f aca="false">IF($A3281="","",SUMIF($A$2:$A$5001,$A3281,$H$2:$H$5001))</f>
        <v/>
      </c>
      <c r="J3281" s="47" t="n">
        <f aca="false">IF($A3281="",0,IF(COUNTIF($A$2:A3281,$A3281)=1,1,0))</f>
        <v>0</v>
      </c>
      <c r="K3281" s="47" t="n">
        <f aca="false">IF(J3281=1,N(I3281)+ROW()/10000000,0)</f>
        <v>0</v>
      </c>
      <c r="L3281" s="47" t="str">
        <f aca="false">IF(AND(J3281=1,N(I3281)&gt;0),SUMIF($K$2:$K$5001,"&gt;="&amp;K3281,$I$2:$I$5001)/MAX(1,SUM($H$2:$H$5001)),"")</f>
        <v/>
      </c>
      <c r="M3281" s="47" t="str">
        <f aca="false">IF($A3281="","",INDEX($L$2:$L$5001,MATCH($A3281,$A$2:$A$5001,0)))</f>
        <v/>
      </c>
      <c r="N3281" s="48" t="str">
        <f aca="false">IF($A3281="","",IF(N(M3281)=0,"–",IF(M3281&lt;=Start!$D$20,"A",IF(M3281&lt;=Start!$D$21,"B","C"))))</f>
        <v/>
      </c>
      <c r="O3281" s="48" t="str">
        <f aca="false">IF($A3281="","",IF(NOT(ISNUMBER(F3281)),"Wert fehlt; ",IF(F3281&lt;=0,"Wert ist 0; ",""))&amp;IF(NOT(ISNUMBER(E3281)),"Bestand fehlt; ",IF(E3281&lt;0,"Bestand negativ; ",IF(E3281=0,"Nullbestand; ","")))&amp;IF(D3281="","Warengruppe fehlt; ","")&amp;IF(B3281="","Bezeichnung fehlt; ","")&amp;IF(COUNTIFS($A$2:$A$5001,$A3281,$C$2:$C$5001,C3281)&gt;1,"Artikel doppelt im selben Lager; ",""))</f>
        <v/>
      </c>
      <c r="P3281" s="47" t="n">
        <f aca="false">IF(OR($A3281="",D3281=""),0,IF(COUNTIF($D$2:D3281,D3281)=1,SUMIF($D$2:$D$5001,D3281,$H$2:$H$5001)+ROW()/10000000,0))</f>
        <v>0</v>
      </c>
      <c r="Q3281" s="47" t="n">
        <f aca="false">IF(OR($A3281="",C3281=""),0,IF(COUNTIF($C$2:C3281,C3281)=1,SUMIF($C$2:$C$5001,C3281,$H$2:$H$5001)+ROW()/10000000,0))</f>
        <v>0</v>
      </c>
    </row>
    <row r="3282" customFormat="false" ht="15" hidden="false" customHeight="false" outlineLevel="0" collapsed="false">
      <c r="A3282" s="43"/>
      <c r="B3282" s="44"/>
      <c r="C3282" s="44"/>
      <c r="D3282" s="44"/>
      <c r="E3282" s="44"/>
      <c r="F3282" s="44"/>
      <c r="G3282" s="44"/>
      <c r="H3282" s="46" t="str">
        <f aca="false">IF($A3282="","",IF(OR(NOT(ISNUMBER(E3282)),NOT(ISNUMBER(F3282))),"",MAX(0,E3282)*F3282))</f>
        <v/>
      </c>
      <c r="I3282" s="46" t="str">
        <f aca="false">IF($A3282="","",SUMIF($A$2:$A$5001,$A3282,$H$2:$H$5001))</f>
        <v/>
      </c>
      <c r="J3282" s="47" t="n">
        <f aca="false">IF($A3282="",0,IF(COUNTIF($A$2:A3282,$A3282)=1,1,0))</f>
        <v>0</v>
      </c>
      <c r="K3282" s="47" t="n">
        <f aca="false">IF(J3282=1,N(I3282)+ROW()/10000000,0)</f>
        <v>0</v>
      </c>
      <c r="L3282" s="47" t="str">
        <f aca="false">IF(AND(J3282=1,N(I3282)&gt;0),SUMIF($K$2:$K$5001,"&gt;="&amp;K3282,$I$2:$I$5001)/MAX(1,SUM($H$2:$H$5001)),"")</f>
        <v/>
      </c>
      <c r="M3282" s="47" t="str">
        <f aca="false">IF($A3282="","",INDEX($L$2:$L$5001,MATCH($A3282,$A$2:$A$5001,0)))</f>
        <v/>
      </c>
      <c r="N3282" s="48" t="str">
        <f aca="false">IF($A3282="","",IF(N(M3282)=0,"–",IF(M3282&lt;=Start!$D$20,"A",IF(M3282&lt;=Start!$D$21,"B","C"))))</f>
        <v/>
      </c>
      <c r="O3282" s="48" t="str">
        <f aca="false">IF($A3282="","",IF(NOT(ISNUMBER(F3282)),"Wert fehlt; ",IF(F3282&lt;=0,"Wert ist 0; ",""))&amp;IF(NOT(ISNUMBER(E3282)),"Bestand fehlt; ",IF(E3282&lt;0,"Bestand negativ; ",IF(E3282=0,"Nullbestand; ","")))&amp;IF(D3282="","Warengruppe fehlt; ","")&amp;IF(B3282="","Bezeichnung fehlt; ","")&amp;IF(COUNTIFS($A$2:$A$5001,$A3282,$C$2:$C$5001,C3282)&gt;1,"Artikel doppelt im selben Lager; ",""))</f>
        <v/>
      </c>
      <c r="P3282" s="47" t="n">
        <f aca="false">IF(OR($A3282="",D3282=""),0,IF(COUNTIF($D$2:D3282,D3282)=1,SUMIF($D$2:$D$5001,D3282,$H$2:$H$5001)+ROW()/10000000,0))</f>
        <v>0</v>
      </c>
      <c r="Q3282" s="47" t="n">
        <f aca="false">IF(OR($A3282="",C3282=""),0,IF(COUNTIF($C$2:C3282,C3282)=1,SUMIF($C$2:$C$5001,C3282,$H$2:$H$5001)+ROW()/10000000,0))</f>
        <v>0</v>
      </c>
    </row>
    <row r="3283" customFormat="false" ht="15" hidden="false" customHeight="false" outlineLevel="0" collapsed="false">
      <c r="A3283" s="43"/>
      <c r="B3283" s="44"/>
      <c r="C3283" s="44"/>
      <c r="D3283" s="44"/>
      <c r="E3283" s="44"/>
      <c r="F3283" s="44"/>
      <c r="G3283" s="44"/>
      <c r="H3283" s="46" t="str">
        <f aca="false">IF($A3283="","",IF(OR(NOT(ISNUMBER(E3283)),NOT(ISNUMBER(F3283))),"",MAX(0,E3283)*F3283))</f>
        <v/>
      </c>
      <c r="I3283" s="46" t="str">
        <f aca="false">IF($A3283="","",SUMIF($A$2:$A$5001,$A3283,$H$2:$H$5001))</f>
        <v/>
      </c>
      <c r="J3283" s="47" t="n">
        <f aca="false">IF($A3283="",0,IF(COUNTIF($A$2:A3283,$A3283)=1,1,0))</f>
        <v>0</v>
      </c>
      <c r="K3283" s="47" t="n">
        <f aca="false">IF(J3283=1,N(I3283)+ROW()/10000000,0)</f>
        <v>0</v>
      </c>
      <c r="L3283" s="47" t="str">
        <f aca="false">IF(AND(J3283=1,N(I3283)&gt;0),SUMIF($K$2:$K$5001,"&gt;="&amp;K3283,$I$2:$I$5001)/MAX(1,SUM($H$2:$H$5001)),"")</f>
        <v/>
      </c>
      <c r="M3283" s="47" t="str">
        <f aca="false">IF($A3283="","",INDEX($L$2:$L$5001,MATCH($A3283,$A$2:$A$5001,0)))</f>
        <v/>
      </c>
      <c r="N3283" s="48" t="str">
        <f aca="false">IF($A3283="","",IF(N(M3283)=0,"–",IF(M3283&lt;=Start!$D$20,"A",IF(M3283&lt;=Start!$D$21,"B","C"))))</f>
        <v/>
      </c>
      <c r="O3283" s="48" t="str">
        <f aca="false">IF($A3283="","",IF(NOT(ISNUMBER(F3283)),"Wert fehlt; ",IF(F3283&lt;=0,"Wert ist 0; ",""))&amp;IF(NOT(ISNUMBER(E3283)),"Bestand fehlt; ",IF(E3283&lt;0,"Bestand negativ; ",IF(E3283=0,"Nullbestand; ","")))&amp;IF(D3283="","Warengruppe fehlt; ","")&amp;IF(B3283="","Bezeichnung fehlt; ","")&amp;IF(COUNTIFS($A$2:$A$5001,$A3283,$C$2:$C$5001,C3283)&gt;1,"Artikel doppelt im selben Lager; ",""))</f>
        <v/>
      </c>
      <c r="P3283" s="47" t="n">
        <f aca="false">IF(OR($A3283="",D3283=""),0,IF(COUNTIF($D$2:D3283,D3283)=1,SUMIF($D$2:$D$5001,D3283,$H$2:$H$5001)+ROW()/10000000,0))</f>
        <v>0</v>
      </c>
      <c r="Q3283" s="47" t="n">
        <f aca="false">IF(OR($A3283="",C3283=""),0,IF(COUNTIF($C$2:C3283,C3283)=1,SUMIF($C$2:$C$5001,C3283,$H$2:$H$5001)+ROW()/10000000,0))</f>
        <v>0</v>
      </c>
    </row>
    <row r="3284" customFormat="false" ht="15" hidden="false" customHeight="false" outlineLevel="0" collapsed="false">
      <c r="A3284" s="43"/>
      <c r="B3284" s="44"/>
      <c r="C3284" s="44"/>
      <c r="D3284" s="44"/>
      <c r="E3284" s="44"/>
      <c r="F3284" s="44"/>
      <c r="G3284" s="44"/>
      <c r="H3284" s="46" t="str">
        <f aca="false">IF($A3284="","",IF(OR(NOT(ISNUMBER(E3284)),NOT(ISNUMBER(F3284))),"",MAX(0,E3284)*F3284))</f>
        <v/>
      </c>
      <c r="I3284" s="46" t="str">
        <f aca="false">IF($A3284="","",SUMIF($A$2:$A$5001,$A3284,$H$2:$H$5001))</f>
        <v/>
      </c>
      <c r="J3284" s="47" t="n">
        <f aca="false">IF($A3284="",0,IF(COUNTIF($A$2:A3284,$A3284)=1,1,0))</f>
        <v>0</v>
      </c>
      <c r="K3284" s="47" t="n">
        <f aca="false">IF(J3284=1,N(I3284)+ROW()/10000000,0)</f>
        <v>0</v>
      </c>
      <c r="L3284" s="47" t="str">
        <f aca="false">IF(AND(J3284=1,N(I3284)&gt;0),SUMIF($K$2:$K$5001,"&gt;="&amp;K3284,$I$2:$I$5001)/MAX(1,SUM($H$2:$H$5001)),"")</f>
        <v/>
      </c>
      <c r="M3284" s="47" t="str">
        <f aca="false">IF($A3284="","",INDEX($L$2:$L$5001,MATCH($A3284,$A$2:$A$5001,0)))</f>
        <v/>
      </c>
      <c r="N3284" s="48" t="str">
        <f aca="false">IF($A3284="","",IF(N(M3284)=0,"–",IF(M3284&lt;=Start!$D$20,"A",IF(M3284&lt;=Start!$D$21,"B","C"))))</f>
        <v/>
      </c>
      <c r="O3284" s="48" t="str">
        <f aca="false">IF($A3284="","",IF(NOT(ISNUMBER(F3284)),"Wert fehlt; ",IF(F3284&lt;=0,"Wert ist 0; ",""))&amp;IF(NOT(ISNUMBER(E3284)),"Bestand fehlt; ",IF(E3284&lt;0,"Bestand negativ; ",IF(E3284=0,"Nullbestand; ","")))&amp;IF(D3284="","Warengruppe fehlt; ","")&amp;IF(B3284="","Bezeichnung fehlt; ","")&amp;IF(COUNTIFS($A$2:$A$5001,$A3284,$C$2:$C$5001,C3284)&gt;1,"Artikel doppelt im selben Lager; ",""))</f>
        <v/>
      </c>
      <c r="P3284" s="47" t="n">
        <f aca="false">IF(OR($A3284="",D3284=""),0,IF(COUNTIF($D$2:D3284,D3284)=1,SUMIF($D$2:$D$5001,D3284,$H$2:$H$5001)+ROW()/10000000,0))</f>
        <v>0</v>
      </c>
      <c r="Q3284" s="47" t="n">
        <f aca="false">IF(OR($A3284="",C3284=""),0,IF(COUNTIF($C$2:C3284,C3284)=1,SUMIF($C$2:$C$5001,C3284,$H$2:$H$5001)+ROW()/10000000,0))</f>
        <v>0</v>
      </c>
    </row>
    <row r="3285" customFormat="false" ht="15" hidden="false" customHeight="false" outlineLevel="0" collapsed="false">
      <c r="A3285" s="43"/>
      <c r="B3285" s="44"/>
      <c r="C3285" s="44"/>
      <c r="D3285" s="44"/>
      <c r="E3285" s="44"/>
      <c r="F3285" s="44"/>
      <c r="G3285" s="44"/>
      <c r="H3285" s="46" t="str">
        <f aca="false">IF($A3285="","",IF(OR(NOT(ISNUMBER(E3285)),NOT(ISNUMBER(F3285))),"",MAX(0,E3285)*F3285))</f>
        <v/>
      </c>
      <c r="I3285" s="46" t="str">
        <f aca="false">IF($A3285="","",SUMIF($A$2:$A$5001,$A3285,$H$2:$H$5001))</f>
        <v/>
      </c>
      <c r="J3285" s="47" t="n">
        <f aca="false">IF($A3285="",0,IF(COUNTIF($A$2:A3285,$A3285)=1,1,0))</f>
        <v>0</v>
      </c>
      <c r="K3285" s="47" t="n">
        <f aca="false">IF(J3285=1,N(I3285)+ROW()/10000000,0)</f>
        <v>0</v>
      </c>
      <c r="L3285" s="47" t="str">
        <f aca="false">IF(AND(J3285=1,N(I3285)&gt;0),SUMIF($K$2:$K$5001,"&gt;="&amp;K3285,$I$2:$I$5001)/MAX(1,SUM($H$2:$H$5001)),"")</f>
        <v/>
      </c>
      <c r="M3285" s="47" t="str">
        <f aca="false">IF($A3285="","",INDEX($L$2:$L$5001,MATCH($A3285,$A$2:$A$5001,0)))</f>
        <v/>
      </c>
      <c r="N3285" s="48" t="str">
        <f aca="false">IF($A3285="","",IF(N(M3285)=0,"–",IF(M3285&lt;=Start!$D$20,"A",IF(M3285&lt;=Start!$D$21,"B","C"))))</f>
        <v/>
      </c>
      <c r="O3285" s="48" t="str">
        <f aca="false">IF($A3285="","",IF(NOT(ISNUMBER(F3285)),"Wert fehlt; ",IF(F3285&lt;=0,"Wert ist 0; ",""))&amp;IF(NOT(ISNUMBER(E3285)),"Bestand fehlt; ",IF(E3285&lt;0,"Bestand negativ; ",IF(E3285=0,"Nullbestand; ","")))&amp;IF(D3285="","Warengruppe fehlt; ","")&amp;IF(B3285="","Bezeichnung fehlt; ","")&amp;IF(COUNTIFS($A$2:$A$5001,$A3285,$C$2:$C$5001,C3285)&gt;1,"Artikel doppelt im selben Lager; ",""))</f>
        <v/>
      </c>
      <c r="P3285" s="47" t="n">
        <f aca="false">IF(OR($A3285="",D3285=""),0,IF(COUNTIF($D$2:D3285,D3285)=1,SUMIF($D$2:$D$5001,D3285,$H$2:$H$5001)+ROW()/10000000,0))</f>
        <v>0</v>
      </c>
      <c r="Q3285" s="47" t="n">
        <f aca="false">IF(OR($A3285="",C3285=""),0,IF(COUNTIF($C$2:C3285,C3285)=1,SUMIF($C$2:$C$5001,C3285,$H$2:$H$5001)+ROW()/10000000,0))</f>
        <v>0</v>
      </c>
    </row>
    <row r="3286" customFormat="false" ht="15" hidden="false" customHeight="false" outlineLevel="0" collapsed="false">
      <c r="A3286" s="43"/>
      <c r="B3286" s="44"/>
      <c r="C3286" s="44"/>
      <c r="D3286" s="44"/>
      <c r="E3286" s="44"/>
      <c r="F3286" s="44"/>
      <c r="G3286" s="44"/>
      <c r="H3286" s="46" t="str">
        <f aca="false">IF($A3286="","",IF(OR(NOT(ISNUMBER(E3286)),NOT(ISNUMBER(F3286))),"",MAX(0,E3286)*F3286))</f>
        <v/>
      </c>
      <c r="I3286" s="46" t="str">
        <f aca="false">IF($A3286="","",SUMIF($A$2:$A$5001,$A3286,$H$2:$H$5001))</f>
        <v/>
      </c>
      <c r="J3286" s="47" t="n">
        <f aca="false">IF($A3286="",0,IF(COUNTIF($A$2:A3286,$A3286)=1,1,0))</f>
        <v>0</v>
      </c>
      <c r="K3286" s="47" t="n">
        <f aca="false">IF(J3286=1,N(I3286)+ROW()/10000000,0)</f>
        <v>0</v>
      </c>
      <c r="L3286" s="47" t="str">
        <f aca="false">IF(AND(J3286=1,N(I3286)&gt;0),SUMIF($K$2:$K$5001,"&gt;="&amp;K3286,$I$2:$I$5001)/MAX(1,SUM($H$2:$H$5001)),"")</f>
        <v/>
      </c>
      <c r="M3286" s="47" t="str">
        <f aca="false">IF($A3286="","",INDEX($L$2:$L$5001,MATCH($A3286,$A$2:$A$5001,0)))</f>
        <v/>
      </c>
      <c r="N3286" s="48" t="str">
        <f aca="false">IF($A3286="","",IF(N(M3286)=0,"–",IF(M3286&lt;=Start!$D$20,"A",IF(M3286&lt;=Start!$D$21,"B","C"))))</f>
        <v/>
      </c>
      <c r="O3286" s="48" t="str">
        <f aca="false">IF($A3286="","",IF(NOT(ISNUMBER(F3286)),"Wert fehlt; ",IF(F3286&lt;=0,"Wert ist 0; ",""))&amp;IF(NOT(ISNUMBER(E3286)),"Bestand fehlt; ",IF(E3286&lt;0,"Bestand negativ; ",IF(E3286=0,"Nullbestand; ","")))&amp;IF(D3286="","Warengruppe fehlt; ","")&amp;IF(B3286="","Bezeichnung fehlt; ","")&amp;IF(COUNTIFS($A$2:$A$5001,$A3286,$C$2:$C$5001,C3286)&gt;1,"Artikel doppelt im selben Lager; ",""))</f>
        <v/>
      </c>
      <c r="P3286" s="47" t="n">
        <f aca="false">IF(OR($A3286="",D3286=""),0,IF(COUNTIF($D$2:D3286,D3286)=1,SUMIF($D$2:$D$5001,D3286,$H$2:$H$5001)+ROW()/10000000,0))</f>
        <v>0</v>
      </c>
      <c r="Q3286" s="47" t="n">
        <f aca="false">IF(OR($A3286="",C3286=""),0,IF(COUNTIF($C$2:C3286,C3286)=1,SUMIF($C$2:$C$5001,C3286,$H$2:$H$5001)+ROW()/10000000,0))</f>
        <v>0</v>
      </c>
    </row>
    <row r="3287" customFormat="false" ht="15" hidden="false" customHeight="false" outlineLevel="0" collapsed="false">
      <c r="A3287" s="43"/>
      <c r="B3287" s="44"/>
      <c r="C3287" s="44"/>
      <c r="D3287" s="44"/>
      <c r="E3287" s="44"/>
      <c r="F3287" s="44"/>
      <c r="G3287" s="44"/>
      <c r="H3287" s="46" t="str">
        <f aca="false">IF($A3287="","",IF(OR(NOT(ISNUMBER(E3287)),NOT(ISNUMBER(F3287))),"",MAX(0,E3287)*F3287))</f>
        <v/>
      </c>
      <c r="I3287" s="46" t="str">
        <f aca="false">IF($A3287="","",SUMIF($A$2:$A$5001,$A3287,$H$2:$H$5001))</f>
        <v/>
      </c>
      <c r="J3287" s="47" t="n">
        <f aca="false">IF($A3287="",0,IF(COUNTIF($A$2:A3287,$A3287)=1,1,0))</f>
        <v>0</v>
      </c>
      <c r="K3287" s="47" t="n">
        <f aca="false">IF(J3287=1,N(I3287)+ROW()/10000000,0)</f>
        <v>0</v>
      </c>
      <c r="L3287" s="47" t="str">
        <f aca="false">IF(AND(J3287=1,N(I3287)&gt;0),SUMIF($K$2:$K$5001,"&gt;="&amp;K3287,$I$2:$I$5001)/MAX(1,SUM($H$2:$H$5001)),"")</f>
        <v/>
      </c>
      <c r="M3287" s="47" t="str">
        <f aca="false">IF($A3287="","",INDEX($L$2:$L$5001,MATCH($A3287,$A$2:$A$5001,0)))</f>
        <v/>
      </c>
      <c r="N3287" s="48" t="str">
        <f aca="false">IF($A3287="","",IF(N(M3287)=0,"–",IF(M3287&lt;=Start!$D$20,"A",IF(M3287&lt;=Start!$D$21,"B","C"))))</f>
        <v/>
      </c>
      <c r="O3287" s="48" t="str">
        <f aca="false">IF($A3287="","",IF(NOT(ISNUMBER(F3287)),"Wert fehlt; ",IF(F3287&lt;=0,"Wert ist 0; ",""))&amp;IF(NOT(ISNUMBER(E3287)),"Bestand fehlt; ",IF(E3287&lt;0,"Bestand negativ; ",IF(E3287=0,"Nullbestand; ","")))&amp;IF(D3287="","Warengruppe fehlt; ","")&amp;IF(B3287="","Bezeichnung fehlt; ","")&amp;IF(COUNTIFS($A$2:$A$5001,$A3287,$C$2:$C$5001,C3287)&gt;1,"Artikel doppelt im selben Lager; ",""))</f>
        <v/>
      </c>
      <c r="P3287" s="47" t="n">
        <f aca="false">IF(OR($A3287="",D3287=""),0,IF(COUNTIF($D$2:D3287,D3287)=1,SUMIF($D$2:$D$5001,D3287,$H$2:$H$5001)+ROW()/10000000,0))</f>
        <v>0</v>
      </c>
      <c r="Q3287" s="47" t="n">
        <f aca="false">IF(OR($A3287="",C3287=""),0,IF(COUNTIF($C$2:C3287,C3287)=1,SUMIF($C$2:$C$5001,C3287,$H$2:$H$5001)+ROW()/10000000,0))</f>
        <v>0</v>
      </c>
    </row>
    <row r="3288" customFormat="false" ht="15" hidden="false" customHeight="false" outlineLevel="0" collapsed="false">
      <c r="A3288" s="43"/>
      <c r="B3288" s="44"/>
      <c r="C3288" s="44"/>
      <c r="D3288" s="44"/>
      <c r="E3288" s="44"/>
      <c r="F3288" s="44"/>
      <c r="G3288" s="44"/>
      <c r="H3288" s="46" t="str">
        <f aca="false">IF($A3288="","",IF(OR(NOT(ISNUMBER(E3288)),NOT(ISNUMBER(F3288))),"",MAX(0,E3288)*F3288))</f>
        <v/>
      </c>
      <c r="I3288" s="46" t="str">
        <f aca="false">IF($A3288="","",SUMIF($A$2:$A$5001,$A3288,$H$2:$H$5001))</f>
        <v/>
      </c>
      <c r="J3288" s="47" t="n">
        <f aca="false">IF($A3288="",0,IF(COUNTIF($A$2:A3288,$A3288)=1,1,0))</f>
        <v>0</v>
      </c>
      <c r="K3288" s="47" t="n">
        <f aca="false">IF(J3288=1,N(I3288)+ROW()/10000000,0)</f>
        <v>0</v>
      </c>
      <c r="L3288" s="47" t="str">
        <f aca="false">IF(AND(J3288=1,N(I3288)&gt;0),SUMIF($K$2:$K$5001,"&gt;="&amp;K3288,$I$2:$I$5001)/MAX(1,SUM($H$2:$H$5001)),"")</f>
        <v/>
      </c>
      <c r="M3288" s="47" t="str">
        <f aca="false">IF($A3288="","",INDEX($L$2:$L$5001,MATCH($A3288,$A$2:$A$5001,0)))</f>
        <v/>
      </c>
      <c r="N3288" s="48" t="str">
        <f aca="false">IF($A3288="","",IF(N(M3288)=0,"–",IF(M3288&lt;=Start!$D$20,"A",IF(M3288&lt;=Start!$D$21,"B","C"))))</f>
        <v/>
      </c>
      <c r="O3288" s="48" t="str">
        <f aca="false">IF($A3288="","",IF(NOT(ISNUMBER(F3288)),"Wert fehlt; ",IF(F3288&lt;=0,"Wert ist 0; ",""))&amp;IF(NOT(ISNUMBER(E3288)),"Bestand fehlt; ",IF(E3288&lt;0,"Bestand negativ; ",IF(E3288=0,"Nullbestand; ","")))&amp;IF(D3288="","Warengruppe fehlt; ","")&amp;IF(B3288="","Bezeichnung fehlt; ","")&amp;IF(COUNTIFS($A$2:$A$5001,$A3288,$C$2:$C$5001,C3288)&gt;1,"Artikel doppelt im selben Lager; ",""))</f>
        <v/>
      </c>
      <c r="P3288" s="47" t="n">
        <f aca="false">IF(OR($A3288="",D3288=""),0,IF(COUNTIF($D$2:D3288,D3288)=1,SUMIF($D$2:$D$5001,D3288,$H$2:$H$5001)+ROW()/10000000,0))</f>
        <v>0</v>
      </c>
      <c r="Q3288" s="47" t="n">
        <f aca="false">IF(OR($A3288="",C3288=""),0,IF(COUNTIF($C$2:C3288,C3288)=1,SUMIF($C$2:$C$5001,C3288,$H$2:$H$5001)+ROW()/10000000,0))</f>
        <v>0</v>
      </c>
    </row>
    <row r="3289" customFormat="false" ht="15" hidden="false" customHeight="false" outlineLevel="0" collapsed="false">
      <c r="A3289" s="43"/>
      <c r="B3289" s="44"/>
      <c r="C3289" s="44"/>
      <c r="D3289" s="44"/>
      <c r="E3289" s="44"/>
      <c r="F3289" s="44"/>
      <c r="G3289" s="44"/>
      <c r="H3289" s="46" t="str">
        <f aca="false">IF($A3289="","",IF(OR(NOT(ISNUMBER(E3289)),NOT(ISNUMBER(F3289))),"",MAX(0,E3289)*F3289))</f>
        <v/>
      </c>
      <c r="I3289" s="46" t="str">
        <f aca="false">IF($A3289="","",SUMIF($A$2:$A$5001,$A3289,$H$2:$H$5001))</f>
        <v/>
      </c>
      <c r="J3289" s="47" t="n">
        <f aca="false">IF($A3289="",0,IF(COUNTIF($A$2:A3289,$A3289)=1,1,0))</f>
        <v>0</v>
      </c>
      <c r="K3289" s="47" t="n">
        <f aca="false">IF(J3289=1,N(I3289)+ROW()/10000000,0)</f>
        <v>0</v>
      </c>
      <c r="L3289" s="47" t="str">
        <f aca="false">IF(AND(J3289=1,N(I3289)&gt;0),SUMIF($K$2:$K$5001,"&gt;="&amp;K3289,$I$2:$I$5001)/MAX(1,SUM($H$2:$H$5001)),"")</f>
        <v/>
      </c>
      <c r="M3289" s="47" t="str">
        <f aca="false">IF($A3289="","",INDEX($L$2:$L$5001,MATCH($A3289,$A$2:$A$5001,0)))</f>
        <v/>
      </c>
      <c r="N3289" s="48" t="str">
        <f aca="false">IF($A3289="","",IF(N(M3289)=0,"–",IF(M3289&lt;=Start!$D$20,"A",IF(M3289&lt;=Start!$D$21,"B","C"))))</f>
        <v/>
      </c>
      <c r="O3289" s="48" t="str">
        <f aca="false">IF($A3289="","",IF(NOT(ISNUMBER(F3289)),"Wert fehlt; ",IF(F3289&lt;=0,"Wert ist 0; ",""))&amp;IF(NOT(ISNUMBER(E3289)),"Bestand fehlt; ",IF(E3289&lt;0,"Bestand negativ; ",IF(E3289=0,"Nullbestand; ","")))&amp;IF(D3289="","Warengruppe fehlt; ","")&amp;IF(B3289="","Bezeichnung fehlt; ","")&amp;IF(COUNTIFS($A$2:$A$5001,$A3289,$C$2:$C$5001,C3289)&gt;1,"Artikel doppelt im selben Lager; ",""))</f>
        <v/>
      </c>
      <c r="P3289" s="47" t="n">
        <f aca="false">IF(OR($A3289="",D3289=""),0,IF(COUNTIF($D$2:D3289,D3289)=1,SUMIF($D$2:$D$5001,D3289,$H$2:$H$5001)+ROW()/10000000,0))</f>
        <v>0</v>
      </c>
      <c r="Q3289" s="47" t="n">
        <f aca="false">IF(OR($A3289="",C3289=""),0,IF(COUNTIF($C$2:C3289,C3289)=1,SUMIF($C$2:$C$5001,C3289,$H$2:$H$5001)+ROW()/10000000,0))</f>
        <v>0</v>
      </c>
    </row>
    <row r="3290" customFormat="false" ht="15" hidden="false" customHeight="false" outlineLevel="0" collapsed="false">
      <c r="A3290" s="43"/>
      <c r="B3290" s="44"/>
      <c r="C3290" s="44"/>
      <c r="D3290" s="44"/>
      <c r="E3290" s="44"/>
      <c r="F3290" s="44"/>
      <c r="G3290" s="44"/>
      <c r="H3290" s="46" t="str">
        <f aca="false">IF($A3290="","",IF(OR(NOT(ISNUMBER(E3290)),NOT(ISNUMBER(F3290))),"",MAX(0,E3290)*F3290))</f>
        <v/>
      </c>
      <c r="I3290" s="46" t="str">
        <f aca="false">IF($A3290="","",SUMIF($A$2:$A$5001,$A3290,$H$2:$H$5001))</f>
        <v/>
      </c>
      <c r="J3290" s="47" t="n">
        <f aca="false">IF($A3290="",0,IF(COUNTIF($A$2:A3290,$A3290)=1,1,0))</f>
        <v>0</v>
      </c>
      <c r="K3290" s="47" t="n">
        <f aca="false">IF(J3290=1,N(I3290)+ROW()/10000000,0)</f>
        <v>0</v>
      </c>
      <c r="L3290" s="47" t="str">
        <f aca="false">IF(AND(J3290=1,N(I3290)&gt;0),SUMIF($K$2:$K$5001,"&gt;="&amp;K3290,$I$2:$I$5001)/MAX(1,SUM($H$2:$H$5001)),"")</f>
        <v/>
      </c>
      <c r="M3290" s="47" t="str">
        <f aca="false">IF($A3290="","",INDEX($L$2:$L$5001,MATCH($A3290,$A$2:$A$5001,0)))</f>
        <v/>
      </c>
      <c r="N3290" s="48" t="str">
        <f aca="false">IF($A3290="","",IF(N(M3290)=0,"–",IF(M3290&lt;=Start!$D$20,"A",IF(M3290&lt;=Start!$D$21,"B","C"))))</f>
        <v/>
      </c>
      <c r="O3290" s="48" t="str">
        <f aca="false">IF($A3290="","",IF(NOT(ISNUMBER(F3290)),"Wert fehlt; ",IF(F3290&lt;=0,"Wert ist 0; ",""))&amp;IF(NOT(ISNUMBER(E3290)),"Bestand fehlt; ",IF(E3290&lt;0,"Bestand negativ; ",IF(E3290=0,"Nullbestand; ","")))&amp;IF(D3290="","Warengruppe fehlt; ","")&amp;IF(B3290="","Bezeichnung fehlt; ","")&amp;IF(COUNTIFS($A$2:$A$5001,$A3290,$C$2:$C$5001,C3290)&gt;1,"Artikel doppelt im selben Lager; ",""))</f>
        <v/>
      </c>
      <c r="P3290" s="47" t="n">
        <f aca="false">IF(OR($A3290="",D3290=""),0,IF(COUNTIF($D$2:D3290,D3290)=1,SUMIF($D$2:$D$5001,D3290,$H$2:$H$5001)+ROW()/10000000,0))</f>
        <v>0</v>
      </c>
      <c r="Q3290" s="47" t="n">
        <f aca="false">IF(OR($A3290="",C3290=""),0,IF(COUNTIF($C$2:C3290,C3290)=1,SUMIF($C$2:$C$5001,C3290,$H$2:$H$5001)+ROW()/10000000,0))</f>
        <v>0</v>
      </c>
    </row>
    <row r="3291" customFormat="false" ht="15" hidden="false" customHeight="false" outlineLevel="0" collapsed="false">
      <c r="A3291" s="43"/>
      <c r="B3291" s="44"/>
      <c r="C3291" s="44"/>
      <c r="D3291" s="44"/>
      <c r="E3291" s="44"/>
      <c r="F3291" s="44"/>
      <c r="G3291" s="44"/>
      <c r="H3291" s="46" t="str">
        <f aca="false">IF($A3291="","",IF(OR(NOT(ISNUMBER(E3291)),NOT(ISNUMBER(F3291))),"",MAX(0,E3291)*F3291))</f>
        <v/>
      </c>
      <c r="I3291" s="46" t="str">
        <f aca="false">IF($A3291="","",SUMIF($A$2:$A$5001,$A3291,$H$2:$H$5001))</f>
        <v/>
      </c>
      <c r="J3291" s="47" t="n">
        <f aca="false">IF($A3291="",0,IF(COUNTIF($A$2:A3291,$A3291)=1,1,0))</f>
        <v>0</v>
      </c>
      <c r="K3291" s="47" t="n">
        <f aca="false">IF(J3291=1,N(I3291)+ROW()/10000000,0)</f>
        <v>0</v>
      </c>
      <c r="L3291" s="47" t="str">
        <f aca="false">IF(AND(J3291=1,N(I3291)&gt;0),SUMIF($K$2:$K$5001,"&gt;="&amp;K3291,$I$2:$I$5001)/MAX(1,SUM($H$2:$H$5001)),"")</f>
        <v/>
      </c>
      <c r="M3291" s="47" t="str">
        <f aca="false">IF($A3291="","",INDEX($L$2:$L$5001,MATCH($A3291,$A$2:$A$5001,0)))</f>
        <v/>
      </c>
      <c r="N3291" s="48" t="str">
        <f aca="false">IF($A3291="","",IF(N(M3291)=0,"–",IF(M3291&lt;=Start!$D$20,"A",IF(M3291&lt;=Start!$D$21,"B","C"))))</f>
        <v/>
      </c>
      <c r="O3291" s="48" t="str">
        <f aca="false">IF($A3291="","",IF(NOT(ISNUMBER(F3291)),"Wert fehlt; ",IF(F3291&lt;=0,"Wert ist 0; ",""))&amp;IF(NOT(ISNUMBER(E3291)),"Bestand fehlt; ",IF(E3291&lt;0,"Bestand negativ; ",IF(E3291=0,"Nullbestand; ","")))&amp;IF(D3291="","Warengruppe fehlt; ","")&amp;IF(B3291="","Bezeichnung fehlt; ","")&amp;IF(COUNTIFS($A$2:$A$5001,$A3291,$C$2:$C$5001,C3291)&gt;1,"Artikel doppelt im selben Lager; ",""))</f>
        <v/>
      </c>
      <c r="P3291" s="47" t="n">
        <f aca="false">IF(OR($A3291="",D3291=""),0,IF(COUNTIF($D$2:D3291,D3291)=1,SUMIF($D$2:$D$5001,D3291,$H$2:$H$5001)+ROW()/10000000,0))</f>
        <v>0</v>
      </c>
      <c r="Q3291" s="47" t="n">
        <f aca="false">IF(OR($A3291="",C3291=""),0,IF(COUNTIF($C$2:C3291,C3291)=1,SUMIF($C$2:$C$5001,C3291,$H$2:$H$5001)+ROW()/10000000,0))</f>
        <v>0</v>
      </c>
    </row>
    <row r="3292" customFormat="false" ht="15" hidden="false" customHeight="false" outlineLevel="0" collapsed="false">
      <c r="A3292" s="43"/>
      <c r="B3292" s="44"/>
      <c r="C3292" s="44"/>
      <c r="D3292" s="44"/>
      <c r="E3292" s="44"/>
      <c r="F3292" s="44"/>
      <c r="G3292" s="44"/>
      <c r="H3292" s="46" t="str">
        <f aca="false">IF($A3292="","",IF(OR(NOT(ISNUMBER(E3292)),NOT(ISNUMBER(F3292))),"",MAX(0,E3292)*F3292))</f>
        <v/>
      </c>
      <c r="I3292" s="46" t="str">
        <f aca="false">IF($A3292="","",SUMIF($A$2:$A$5001,$A3292,$H$2:$H$5001))</f>
        <v/>
      </c>
      <c r="J3292" s="47" t="n">
        <f aca="false">IF($A3292="",0,IF(COUNTIF($A$2:A3292,$A3292)=1,1,0))</f>
        <v>0</v>
      </c>
      <c r="K3292" s="47" t="n">
        <f aca="false">IF(J3292=1,N(I3292)+ROW()/10000000,0)</f>
        <v>0</v>
      </c>
      <c r="L3292" s="47" t="str">
        <f aca="false">IF(AND(J3292=1,N(I3292)&gt;0),SUMIF($K$2:$K$5001,"&gt;="&amp;K3292,$I$2:$I$5001)/MAX(1,SUM($H$2:$H$5001)),"")</f>
        <v/>
      </c>
      <c r="M3292" s="47" t="str">
        <f aca="false">IF($A3292="","",INDEX($L$2:$L$5001,MATCH($A3292,$A$2:$A$5001,0)))</f>
        <v/>
      </c>
      <c r="N3292" s="48" t="str">
        <f aca="false">IF($A3292="","",IF(N(M3292)=0,"–",IF(M3292&lt;=Start!$D$20,"A",IF(M3292&lt;=Start!$D$21,"B","C"))))</f>
        <v/>
      </c>
      <c r="O3292" s="48" t="str">
        <f aca="false">IF($A3292="","",IF(NOT(ISNUMBER(F3292)),"Wert fehlt; ",IF(F3292&lt;=0,"Wert ist 0; ",""))&amp;IF(NOT(ISNUMBER(E3292)),"Bestand fehlt; ",IF(E3292&lt;0,"Bestand negativ; ",IF(E3292=0,"Nullbestand; ","")))&amp;IF(D3292="","Warengruppe fehlt; ","")&amp;IF(B3292="","Bezeichnung fehlt; ","")&amp;IF(COUNTIFS($A$2:$A$5001,$A3292,$C$2:$C$5001,C3292)&gt;1,"Artikel doppelt im selben Lager; ",""))</f>
        <v/>
      </c>
      <c r="P3292" s="47" t="n">
        <f aca="false">IF(OR($A3292="",D3292=""),0,IF(COUNTIF($D$2:D3292,D3292)=1,SUMIF($D$2:$D$5001,D3292,$H$2:$H$5001)+ROW()/10000000,0))</f>
        <v>0</v>
      </c>
      <c r="Q3292" s="47" t="n">
        <f aca="false">IF(OR($A3292="",C3292=""),0,IF(COUNTIF($C$2:C3292,C3292)=1,SUMIF($C$2:$C$5001,C3292,$H$2:$H$5001)+ROW()/10000000,0))</f>
        <v>0</v>
      </c>
    </row>
    <row r="3293" customFormat="false" ht="15" hidden="false" customHeight="false" outlineLevel="0" collapsed="false">
      <c r="A3293" s="43"/>
      <c r="B3293" s="44"/>
      <c r="C3293" s="44"/>
      <c r="D3293" s="44"/>
      <c r="E3293" s="44"/>
      <c r="F3293" s="44"/>
      <c r="G3293" s="44"/>
      <c r="H3293" s="46" t="str">
        <f aca="false">IF($A3293="","",IF(OR(NOT(ISNUMBER(E3293)),NOT(ISNUMBER(F3293))),"",MAX(0,E3293)*F3293))</f>
        <v/>
      </c>
      <c r="I3293" s="46" t="str">
        <f aca="false">IF($A3293="","",SUMIF($A$2:$A$5001,$A3293,$H$2:$H$5001))</f>
        <v/>
      </c>
      <c r="J3293" s="47" t="n">
        <f aca="false">IF($A3293="",0,IF(COUNTIF($A$2:A3293,$A3293)=1,1,0))</f>
        <v>0</v>
      </c>
      <c r="K3293" s="47" t="n">
        <f aca="false">IF(J3293=1,N(I3293)+ROW()/10000000,0)</f>
        <v>0</v>
      </c>
      <c r="L3293" s="47" t="str">
        <f aca="false">IF(AND(J3293=1,N(I3293)&gt;0),SUMIF($K$2:$K$5001,"&gt;="&amp;K3293,$I$2:$I$5001)/MAX(1,SUM($H$2:$H$5001)),"")</f>
        <v/>
      </c>
      <c r="M3293" s="47" t="str">
        <f aca="false">IF($A3293="","",INDEX($L$2:$L$5001,MATCH($A3293,$A$2:$A$5001,0)))</f>
        <v/>
      </c>
      <c r="N3293" s="48" t="str">
        <f aca="false">IF($A3293="","",IF(N(M3293)=0,"–",IF(M3293&lt;=Start!$D$20,"A",IF(M3293&lt;=Start!$D$21,"B","C"))))</f>
        <v/>
      </c>
      <c r="O3293" s="48" t="str">
        <f aca="false">IF($A3293="","",IF(NOT(ISNUMBER(F3293)),"Wert fehlt; ",IF(F3293&lt;=0,"Wert ist 0; ",""))&amp;IF(NOT(ISNUMBER(E3293)),"Bestand fehlt; ",IF(E3293&lt;0,"Bestand negativ; ",IF(E3293=0,"Nullbestand; ","")))&amp;IF(D3293="","Warengruppe fehlt; ","")&amp;IF(B3293="","Bezeichnung fehlt; ","")&amp;IF(COUNTIFS($A$2:$A$5001,$A3293,$C$2:$C$5001,C3293)&gt;1,"Artikel doppelt im selben Lager; ",""))</f>
        <v/>
      </c>
      <c r="P3293" s="47" t="n">
        <f aca="false">IF(OR($A3293="",D3293=""),0,IF(COUNTIF($D$2:D3293,D3293)=1,SUMIF($D$2:$D$5001,D3293,$H$2:$H$5001)+ROW()/10000000,0))</f>
        <v>0</v>
      </c>
      <c r="Q3293" s="47" t="n">
        <f aca="false">IF(OR($A3293="",C3293=""),0,IF(COUNTIF($C$2:C3293,C3293)=1,SUMIF($C$2:$C$5001,C3293,$H$2:$H$5001)+ROW()/10000000,0))</f>
        <v>0</v>
      </c>
    </row>
    <row r="3294" customFormat="false" ht="15" hidden="false" customHeight="false" outlineLevel="0" collapsed="false">
      <c r="A3294" s="43"/>
      <c r="B3294" s="44"/>
      <c r="C3294" s="44"/>
      <c r="D3294" s="44"/>
      <c r="E3294" s="44"/>
      <c r="F3294" s="44"/>
      <c r="G3294" s="44"/>
      <c r="H3294" s="46" t="str">
        <f aca="false">IF($A3294="","",IF(OR(NOT(ISNUMBER(E3294)),NOT(ISNUMBER(F3294))),"",MAX(0,E3294)*F3294))</f>
        <v/>
      </c>
      <c r="I3294" s="46" t="str">
        <f aca="false">IF($A3294="","",SUMIF($A$2:$A$5001,$A3294,$H$2:$H$5001))</f>
        <v/>
      </c>
      <c r="J3294" s="47" t="n">
        <f aca="false">IF($A3294="",0,IF(COUNTIF($A$2:A3294,$A3294)=1,1,0))</f>
        <v>0</v>
      </c>
      <c r="K3294" s="47" t="n">
        <f aca="false">IF(J3294=1,N(I3294)+ROW()/10000000,0)</f>
        <v>0</v>
      </c>
      <c r="L3294" s="47" t="str">
        <f aca="false">IF(AND(J3294=1,N(I3294)&gt;0),SUMIF($K$2:$K$5001,"&gt;="&amp;K3294,$I$2:$I$5001)/MAX(1,SUM($H$2:$H$5001)),"")</f>
        <v/>
      </c>
      <c r="M3294" s="47" t="str">
        <f aca="false">IF($A3294="","",INDEX($L$2:$L$5001,MATCH($A3294,$A$2:$A$5001,0)))</f>
        <v/>
      </c>
      <c r="N3294" s="48" t="str">
        <f aca="false">IF($A3294="","",IF(N(M3294)=0,"–",IF(M3294&lt;=Start!$D$20,"A",IF(M3294&lt;=Start!$D$21,"B","C"))))</f>
        <v/>
      </c>
      <c r="O3294" s="48" t="str">
        <f aca="false">IF($A3294="","",IF(NOT(ISNUMBER(F3294)),"Wert fehlt; ",IF(F3294&lt;=0,"Wert ist 0; ",""))&amp;IF(NOT(ISNUMBER(E3294)),"Bestand fehlt; ",IF(E3294&lt;0,"Bestand negativ; ",IF(E3294=0,"Nullbestand; ","")))&amp;IF(D3294="","Warengruppe fehlt; ","")&amp;IF(B3294="","Bezeichnung fehlt; ","")&amp;IF(COUNTIFS($A$2:$A$5001,$A3294,$C$2:$C$5001,C3294)&gt;1,"Artikel doppelt im selben Lager; ",""))</f>
        <v/>
      </c>
      <c r="P3294" s="47" t="n">
        <f aca="false">IF(OR($A3294="",D3294=""),0,IF(COUNTIF($D$2:D3294,D3294)=1,SUMIF($D$2:$D$5001,D3294,$H$2:$H$5001)+ROW()/10000000,0))</f>
        <v>0</v>
      </c>
      <c r="Q3294" s="47" t="n">
        <f aca="false">IF(OR($A3294="",C3294=""),0,IF(COUNTIF($C$2:C3294,C3294)=1,SUMIF($C$2:$C$5001,C3294,$H$2:$H$5001)+ROW()/10000000,0))</f>
        <v>0</v>
      </c>
    </row>
    <row r="3295" customFormat="false" ht="15" hidden="false" customHeight="false" outlineLevel="0" collapsed="false">
      <c r="A3295" s="43"/>
      <c r="B3295" s="44"/>
      <c r="C3295" s="44"/>
      <c r="D3295" s="44"/>
      <c r="E3295" s="44"/>
      <c r="F3295" s="44"/>
      <c r="G3295" s="44"/>
      <c r="H3295" s="46" t="str">
        <f aca="false">IF($A3295="","",IF(OR(NOT(ISNUMBER(E3295)),NOT(ISNUMBER(F3295))),"",MAX(0,E3295)*F3295))</f>
        <v/>
      </c>
      <c r="I3295" s="46" t="str">
        <f aca="false">IF($A3295="","",SUMIF($A$2:$A$5001,$A3295,$H$2:$H$5001))</f>
        <v/>
      </c>
      <c r="J3295" s="47" t="n">
        <f aca="false">IF($A3295="",0,IF(COUNTIF($A$2:A3295,$A3295)=1,1,0))</f>
        <v>0</v>
      </c>
      <c r="K3295" s="47" t="n">
        <f aca="false">IF(J3295=1,N(I3295)+ROW()/10000000,0)</f>
        <v>0</v>
      </c>
      <c r="L3295" s="47" t="str">
        <f aca="false">IF(AND(J3295=1,N(I3295)&gt;0),SUMIF($K$2:$K$5001,"&gt;="&amp;K3295,$I$2:$I$5001)/MAX(1,SUM($H$2:$H$5001)),"")</f>
        <v/>
      </c>
      <c r="M3295" s="47" t="str">
        <f aca="false">IF($A3295="","",INDEX($L$2:$L$5001,MATCH($A3295,$A$2:$A$5001,0)))</f>
        <v/>
      </c>
      <c r="N3295" s="48" t="str">
        <f aca="false">IF($A3295="","",IF(N(M3295)=0,"–",IF(M3295&lt;=Start!$D$20,"A",IF(M3295&lt;=Start!$D$21,"B","C"))))</f>
        <v/>
      </c>
      <c r="O3295" s="48" t="str">
        <f aca="false">IF($A3295="","",IF(NOT(ISNUMBER(F3295)),"Wert fehlt; ",IF(F3295&lt;=0,"Wert ist 0; ",""))&amp;IF(NOT(ISNUMBER(E3295)),"Bestand fehlt; ",IF(E3295&lt;0,"Bestand negativ; ",IF(E3295=0,"Nullbestand; ","")))&amp;IF(D3295="","Warengruppe fehlt; ","")&amp;IF(B3295="","Bezeichnung fehlt; ","")&amp;IF(COUNTIFS($A$2:$A$5001,$A3295,$C$2:$C$5001,C3295)&gt;1,"Artikel doppelt im selben Lager; ",""))</f>
        <v/>
      </c>
      <c r="P3295" s="47" t="n">
        <f aca="false">IF(OR($A3295="",D3295=""),0,IF(COUNTIF($D$2:D3295,D3295)=1,SUMIF($D$2:$D$5001,D3295,$H$2:$H$5001)+ROW()/10000000,0))</f>
        <v>0</v>
      </c>
      <c r="Q3295" s="47" t="n">
        <f aca="false">IF(OR($A3295="",C3295=""),0,IF(COUNTIF($C$2:C3295,C3295)=1,SUMIF($C$2:$C$5001,C3295,$H$2:$H$5001)+ROW()/10000000,0))</f>
        <v>0</v>
      </c>
    </row>
    <row r="3296" customFormat="false" ht="15" hidden="false" customHeight="false" outlineLevel="0" collapsed="false">
      <c r="A3296" s="43"/>
      <c r="B3296" s="44"/>
      <c r="C3296" s="44"/>
      <c r="D3296" s="44"/>
      <c r="E3296" s="44"/>
      <c r="F3296" s="44"/>
      <c r="G3296" s="44"/>
      <c r="H3296" s="46" t="str">
        <f aca="false">IF($A3296="","",IF(OR(NOT(ISNUMBER(E3296)),NOT(ISNUMBER(F3296))),"",MAX(0,E3296)*F3296))</f>
        <v/>
      </c>
      <c r="I3296" s="46" t="str">
        <f aca="false">IF($A3296="","",SUMIF($A$2:$A$5001,$A3296,$H$2:$H$5001))</f>
        <v/>
      </c>
      <c r="J3296" s="47" t="n">
        <f aca="false">IF($A3296="",0,IF(COUNTIF($A$2:A3296,$A3296)=1,1,0))</f>
        <v>0</v>
      </c>
      <c r="K3296" s="47" t="n">
        <f aca="false">IF(J3296=1,N(I3296)+ROW()/10000000,0)</f>
        <v>0</v>
      </c>
      <c r="L3296" s="47" t="str">
        <f aca="false">IF(AND(J3296=1,N(I3296)&gt;0),SUMIF($K$2:$K$5001,"&gt;="&amp;K3296,$I$2:$I$5001)/MAX(1,SUM($H$2:$H$5001)),"")</f>
        <v/>
      </c>
      <c r="M3296" s="47" t="str">
        <f aca="false">IF($A3296="","",INDEX($L$2:$L$5001,MATCH($A3296,$A$2:$A$5001,0)))</f>
        <v/>
      </c>
      <c r="N3296" s="48" t="str">
        <f aca="false">IF($A3296="","",IF(N(M3296)=0,"–",IF(M3296&lt;=Start!$D$20,"A",IF(M3296&lt;=Start!$D$21,"B","C"))))</f>
        <v/>
      </c>
      <c r="O3296" s="48" t="str">
        <f aca="false">IF($A3296="","",IF(NOT(ISNUMBER(F3296)),"Wert fehlt; ",IF(F3296&lt;=0,"Wert ist 0; ",""))&amp;IF(NOT(ISNUMBER(E3296)),"Bestand fehlt; ",IF(E3296&lt;0,"Bestand negativ; ",IF(E3296=0,"Nullbestand; ","")))&amp;IF(D3296="","Warengruppe fehlt; ","")&amp;IF(B3296="","Bezeichnung fehlt; ","")&amp;IF(COUNTIFS($A$2:$A$5001,$A3296,$C$2:$C$5001,C3296)&gt;1,"Artikel doppelt im selben Lager; ",""))</f>
        <v/>
      </c>
      <c r="P3296" s="47" t="n">
        <f aca="false">IF(OR($A3296="",D3296=""),0,IF(COUNTIF($D$2:D3296,D3296)=1,SUMIF($D$2:$D$5001,D3296,$H$2:$H$5001)+ROW()/10000000,0))</f>
        <v>0</v>
      </c>
      <c r="Q3296" s="47" t="n">
        <f aca="false">IF(OR($A3296="",C3296=""),0,IF(COUNTIF($C$2:C3296,C3296)=1,SUMIF($C$2:$C$5001,C3296,$H$2:$H$5001)+ROW()/10000000,0))</f>
        <v>0</v>
      </c>
    </row>
    <row r="3297" customFormat="false" ht="15" hidden="false" customHeight="false" outlineLevel="0" collapsed="false">
      <c r="A3297" s="43"/>
      <c r="B3297" s="44"/>
      <c r="C3297" s="44"/>
      <c r="D3297" s="44"/>
      <c r="E3297" s="44"/>
      <c r="F3297" s="44"/>
      <c r="G3297" s="44"/>
      <c r="H3297" s="46" t="str">
        <f aca="false">IF($A3297="","",IF(OR(NOT(ISNUMBER(E3297)),NOT(ISNUMBER(F3297))),"",MAX(0,E3297)*F3297))</f>
        <v/>
      </c>
      <c r="I3297" s="46" t="str">
        <f aca="false">IF($A3297="","",SUMIF($A$2:$A$5001,$A3297,$H$2:$H$5001))</f>
        <v/>
      </c>
      <c r="J3297" s="47" t="n">
        <f aca="false">IF($A3297="",0,IF(COUNTIF($A$2:A3297,$A3297)=1,1,0))</f>
        <v>0</v>
      </c>
      <c r="K3297" s="47" t="n">
        <f aca="false">IF(J3297=1,N(I3297)+ROW()/10000000,0)</f>
        <v>0</v>
      </c>
      <c r="L3297" s="47" t="str">
        <f aca="false">IF(AND(J3297=1,N(I3297)&gt;0),SUMIF($K$2:$K$5001,"&gt;="&amp;K3297,$I$2:$I$5001)/MAX(1,SUM($H$2:$H$5001)),"")</f>
        <v/>
      </c>
      <c r="M3297" s="47" t="str">
        <f aca="false">IF($A3297="","",INDEX($L$2:$L$5001,MATCH($A3297,$A$2:$A$5001,0)))</f>
        <v/>
      </c>
      <c r="N3297" s="48" t="str">
        <f aca="false">IF($A3297="","",IF(N(M3297)=0,"–",IF(M3297&lt;=Start!$D$20,"A",IF(M3297&lt;=Start!$D$21,"B","C"))))</f>
        <v/>
      </c>
      <c r="O3297" s="48" t="str">
        <f aca="false">IF($A3297="","",IF(NOT(ISNUMBER(F3297)),"Wert fehlt; ",IF(F3297&lt;=0,"Wert ist 0; ",""))&amp;IF(NOT(ISNUMBER(E3297)),"Bestand fehlt; ",IF(E3297&lt;0,"Bestand negativ; ",IF(E3297=0,"Nullbestand; ","")))&amp;IF(D3297="","Warengruppe fehlt; ","")&amp;IF(B3297="","Bezeichnung fehlt; ","")&amp;IF(COUNTIFS($A$2:$A$5001,$A3297,$C$2:$C$5001,C3297)&gt;1,"Artikel doppelt im selben Lager; ",""))</f>
        <v/>
      </c>
      <c r="P3297" s="47" t="n">
        <f aca="false">IF(OR($A3297="",D3297=""),0,IF(COUNTIF($D$2:D3297,D3297)=1,SUMIF($D$2:$D$5001,D3297,$H$2:$H$5001)+ROW()/10000000,0))</f>
        <v>0</v>
      </c>
      <c r="Q3297" s="47" t="n">
        <f aca="false">IF(OR($A3297="",C3297=""),0,IF(COUNTIF($C$2:C3297,C3297)=1,SUMIF($C$2:$C$5001,C3297,$H$2:$H$5001)+ROW()/10000000,0))</f>
        <v>0</v>
      </c>
    </row>
    <row r="3298" customFormat="false" ht="15" hidden="false" customHeight="false" outlineLevel="0" collapsed="false">
      <c r="A3298" s="43"/>
      <c r="B3298" s="44"/>
      <c r="C3298" s="44"/>
      <c r="D3298" s="44"/>
      <c r="E3298" s="44"/>
      <c r="F3298" s="44"/>
      <c r="G3298" s="44"/>
      <c r="H3298" s="46" t="str">
        <f aca="false">IF($A3298="","",IF(OR(NOT(ISNUMBER(E3298)),NOT(ISNUMBER(F3298))),"",MAX(0,E3298)*F3298))</f>
        <v/>
      </c>
      <c r="I3298" s="46" t="str">
        <f aca="false">IF($A3298="","",SUMIF($A$2:$A$5001,$A3298,$H$2:$H$5001))</f>
        <v/>
      </c>
      <c r="J3298" s="47" t="n">
        <f aca="false">IF($A3298="",0,IF(COUNTIF($A$2:A3298,$A3298)=1,1,0))</f>
        <v>0</v>
      </c>
      <c r="K3298" s="47" t="n">
        <f aca="false">IF(J3298=1,N(I3298)+ROW()/10000000,0)</f>
        <v>0</v>
      </c>
      <c r="L3298" s="47" t="str">
        <f aca="false">IF(AND(J3298=1,N(I3298)&gt;0),SUMIF($K$2:$K$5001,"&gt;="&amp;K3298,$I$2:$I$5001)/MAX(1,SUM($H$2:$H$5001)),"")</f>
        <v/>
      </c>
      <c r="M3298" s="47" t="str">
        <f aca="false">IF($A3298="","",INDEX($L$2:$L$5001,MATCH($A3298,$A$2:$A$5001,0)))</f>
        <v/>
      </c>
      <c r="N3298" s="48" t="str">
        <f aca="false">IF($A3298="","",IF(N(M3298)=0,"–",IF(M3298&lt;=Start!$D$20,"A",IF(M3298&lt;=Start!$D$21,"B","C"))))</f>
        <v/>
      </c>
      <c r="O3298" s="48" t="str">
        <f aca="false">IF($A3298="","",IF(NOT(ISNUMBER(F3298)),"Wert fehlt; ",IF(F3298&lt;=0,"Wert ist 0; ",""))&amp;IF(NOT(ISNUMBER(E3298)),"Bestand fehlt; ",IF(E3298&lt;0,"Bestand negativ; ",IF(E3298=0,"Nullbestand; ","")))&amp;IF(D3298="","Warengruppe fehlt; ","")&amp;IF(B3298="","Bezeichnung fehlt; ","")&amp;IF(COUNTIFS($A$2:$A$5001,$A3298,$C$2:$C$5001,C3298)&gt;1,"Artikel doppelt im selben Lager; ",""))</f>
        <v/>
      </c>
      <c r="P3298" s="47" t="n">
        <f aca="false">IF(OR($A3298="",D3298=""),0,IF(COUNTIF($D$2:D3298,D3298)=1,SUMIF($D$2:$D$5001,D3298,$H$2:$H$5001)+ROW()/10000000,0))</f>
        <v>0</v>
      </c>
      <c r="Q3298" s="47" t="n">
        <f aca="false">IF(OR($A3298="",C3298=""),0,IF(COUNTIF($C$2:C3298,C3298)=1,SUMIF($C$2:$C$5001,C3298,$H$2:$H$5001)+ROW()/10000000,0))</f>
        <v>0</v>
      </c>
    </row>
    <row r="3299" customFormat="false" ht="15" hidden="false" customHeight="false" outlineLevel="0" collapsed="false">
      <c r="A3299" s="43"/>
      <c r="B3299" s="44"/>
      <c r="C3299" s="44"/>
      <c r="D3299" s="44"/>
      <c r="E3299" s="44"/>
      <c r="F3299" s="44"/>
      <c r="G3299" s="44"/>
      <c r="H3299" s="46" t="str">
        <f aca="false">IF($A3299="","",IF(OR(NOT(ISNUMBER(E3299)),NOT(ISNUMBER(F3299))),"",MAX(0,E3299)*F3299))</f>
        <v/>
      </c>
      <c r="I3299" s="46" t="str">
        <f aca="false">IF($A3299="","",SUMIF($A$2:$A$5001,$A3299,$H$2:$H$5001))</f>
        <v/>
      </c>
      <c r="J3299" s="47" t="n">
        <f aca="false">IF($A3299="",0,IF(COUNTIF($A$2:A3299,$A3299)=1,1,0))</f>
        <v>0</v>
      </c>
      <c r="K3299" s="47" t="n">
        <f aca="false">IF(J3299=1,N(I3299)+ROW()/10000000,0)</f>
        <v>0</v>
      </c>
      <c r="L3299" s="47" t="str">
        <f aca="false">IF(AND(J3299=1,N(I3299)&gt;0),SUMIF($K$2:$K$5001,"&gt;="&amp;K3299,$I$2:$I$5001)/MAX(1,SUM($H$2:$H$5001)),"")</f>
        <v/>
      </c>
      <c r="M3299" s="47" t="str">
        <f aca="false">IF($A3299="","",INDEX($L$2:$L$5001,MATCH($A3299,$A$2:$A$5001,0)))</f>
        <v/>
      </c>
      <c r="N3299" s="48" t="str">
        <f aca="false">IF($A3299="","",IF(N(M3299)=0,"–",IF(M3299&lt;=Start!$D$20,"A",IF(M3299&lt;=Start!$D$21,"B","C"))))</f>
        <v/>
      </c>
      <c r="O3299" s="48" t="str">
        <f aca="false">IF($A3299="","",IF(NOT(ISNUMBER(F3299)),"Wert fehlt; ",IF(F3299&lt;=0,"Wert ist 0; ",""))&amp;IF(NOT(ISNUMBER(E3299)),"Bestand fehlt; ",IF(E3299&lt;0,"Bestand negativ; ",IF(E3299=0,"Nullbestand; ","")))&amp;IF(D3299="","Warengruppe fehlt; ","")&amp;IF(B3299="","Bezeichnung fehlt; ","")&amp;IF(COUNTIFS($A$2:$A$5001,$A3299,$C$2:$C$5001,C3299)&gt;1,"Artikel doppelt im selben Lager; ",""))</f>
        <v/>
      </c>
      <c r="P3299" s="47" t="n">
        <f aca="false">IF(OR($A3299="",D3299=""),0,IF(COUNTIF($D$2:D3299,D3299)=1,SUMIF($D$2:$D$5001,D3299,$H$2:$H$5001)+ROW()/10000000,0))</f>
        <v>0</v>
      </c>
      <c r="Q3299" s="47" t="n">
        <f aca="false">IF(OR($A3299="",C3299=""),0,IF(COUNTIF($C$2:C3299,C3299)=1,SUMIF($C$2:$C$5001,C3299,$H$2:$H$5001)+ROW()/10000000,0))</f>
        <v>0</v>
      </c>
    </row>
    <row r="3300" customFormat="false" ht="15" hidden="false" customHeight="false" outlineLevel="0" collapsed="false">
      <c r="A3300" s="43"/>
      <c r="B3300" s="44"/>
      <c r="C3300" s="44"/>
      <c r="D3300" s="44"/>
      <c r="E3300" s="44"/>
      <c r="F3300" s="44"/>
      <c r="G3300" s="44"/>
      <c r="H3300" s="46" t="str">
        <f aca="false">IF($A3300="","",IF(OR(NOT(ISNUMBER(E3300)),NOT(ISNUMBER(F3300))),"",MAX(0,E3300)*F3300))</f>
        <v/>
      </c>
      <c r="I3300" s="46" t="str">
        <f aca="false">IF($A3300="","",SUMIF($A$2:$A$5001,$A3300,$H$2:$H$5001))</f>
        <v/>
      </c>
      <c r="J3300" s="47" t="n">
        <f aca="false">IF($A3300="",0,IF(COUNTIF($A$2:A3300,$A3300)=1,1,0))</f>
        <v>0</v>
      </c>
      <c r="K3300" s="47" t="n">
        <f aca="false">IF(J3300=1,N(I3300)+ROW()/10000000,0)</f>
        <v>0</v>
      </c>
      <c r="L3300" s="47" t="str">
        <f aca="false">IF(AND(J3300=1,N(I3300)&gt;0),SUMIF($K$2:$K$5001,"&gt;="&amp;K3300,$I$2:$I$5001)/MAX(1,SUM($H$2:$H$5001)),"")</f>
        <v/>
      </c>
      <c r="M3300" s="47" t="str">
        <f aca="false">IF($A3300="","",INDEX($L$2:$L$5001,MATCH($A3300,$A$2:$A$5001,0)))</f>
        <v/>
      </c>
      <c r="N3300" s="48" t="str">
        <f aca="false">IF($A3300="","",IF(N(M3300)=0,"–",IF(M3300&lt;=Start!$D$20,"A",IF(M3300&lt;=Start!$D$21,"B","C"))))</f>
        <v/>
      </c>
      <c r="O3300" s="48" t="str">
        <f aca="false">IF($A3300="","",IF(NOT(ISNUMBER(F3300)),"Wert fehlt; ",IF(F3300&lt;=0,"Wert ist 0; ",""))&amp;IF(NOT(ISNUMBER(E3300)),"Bestand fehlt; ",IF(E3300&lt;0,"Bestand negativ; ",IF(E3300=0,"Nullbestand; ","")))&amp;IF(D3300="","Warengruppe fehlt; ","")&amp;IF(B3300="","Bezeichnung fehlt; ","")&amp;IF(COUNTIFS($A$2:$A$5001,$A3300,$C$2:$C$5001,C3300)&gt;1,"Artikel doppelt im selben Lager; ",""))</f>
        <v/>
      </c>
      <c r="P3300" s="47" t="n">
        <f aca="false">IF(OR($A3300="",D3300=""),0,IF(COUNTIF($D$2:D3300,D3300)=1,SUMIF($D$2:$D$5001,D3300,$H$2:$H$5001)+ROW()/10000000,0))</f>
        <v>0</v>
      </c>
      <c r="Q3300" s="47" t="n">
        <f aca="false">IF(OR($A3300="",C3300=""),0,IF(COUNTIF($C$2:C3300,C3300)=1,SUMIF($C$2:$C$5001,C3300,$H$2:$H$5001)+ROW()/10000000,0))</f>
        <v>0</v>
      </c>
    </row>
    <row r="3301" customFormat="false" ht="15" hidden="false" customHeight="false" outlineLevel="0" collapsed="false">
      <c r="A3301" s="43"/>
      <c r="B3301" s="44"/>
      <c r="C3301" s="44"/>
      <c r="D3301" s="44"/>
      <c r="E3301" s="44"/>
      <c r="F3301" s="44"/>
      <c r="G3301" s="44"/>
      <c r="H3301" s="46" t="str">
        <f aca="false">IF($A3301="","",IF(OR(NOT(ISNUMBER(E3301)),NOT(ISNUMBER(F3301))),"",MAX(0,E3301)*F3301))</f>
        <v/>
      </c>
      <c r="I3301" s="46" t="str">
        <f aca="false">IF($A3301="","",SUMIF($A$2:$A$5001,$A3301,$H$2:$H$5001))</f>
        <v/>
      </c>
      <c r="J3301" s="47" t="n">
        <f aca="false">IF($A3301="",0,IF(COUNTIF($A$2:A3301,$A3301)=1,1,0))</f>
        <v>0</v>
      </c>
      <c r="K3301" s="47" t="n">
        <f aca="false">IF(J3301=1,N(I3301)+ROW()/10000000,0)</f>
        <v>0</v>
      </c>
      <c r="L3301" s="47" t="str">
        <f aca="false">IF(AND(J3301=1,N(I3301)&gt;0),SUMIF($K$2:$K$5001,"&gt;="&amp;K3301,$I$2:$I$5001)/MAX(1,SUM($H$2:$H$5001)),"")</f>
        <v/>
      </c>
      <c r="M3301" s="47" t="str">
        <f aca="false">IF($A3301="","",INDEX($L$2:$L$5001,MATCH($A3301,$A$2:$A$5001,0)))</f>
        <v/>
      </c>
      <c r="N3301" s="48" t="str">
        <f aca="false">IF($A3301="","",IF(N(M3301)=0,"–",IF(M3301&lt;=Start!$D$20,"A",IF(M3301&lt;=Start!$D$21,"B","C"))))</f>
        <v/>
      </c>
      <c r="O3301" s="48" t="str">
        <f aca="false">IF($A3301="","",IF(NOT(ISNUMBER(F3301)),"Wert fehlt; ",IF(F3301&lt;=0,"Wert ist 0; ",""))&amp;IF(NOT(ISNUMBER(E3301)),"Bestand fehlt; ",IF(E3301&lt;0,"Bestand negativ; ",IF(E3301=0,"Nullbestand; ","")))&amp;IF(D3301="","Warengruppe fehlt; ","")&amp;IF(B3301="","Bezeichnung fehlt; ","")&amp;IF(COUNTIFS($A$2:$A$5001,$A3301,$C$2:$C$5001,C3301)&gt;1,"Artikel doppelt im selben Lager; ",""))</f>
        <v/>
      </c>
      <c r="P3301" s="47" t="n">
        <f aca="false">IF(OR($A3301="",D3301=""),0,IF(COUNTIF($D$2:D3301,D3301)=1,SUMIF($D$2:$D$5001,D3301,$H$2:$H$5001)+ROW()/10000000,0))</f>
        <v>0</v>
      </c>
      <c r="Q3301" s="47" t="n">
        <f aca="false">IF(OR($A3301="",C3301=""),0,IF(COUNTIF($C$2:C3301,C3301)=1,SUMIF($C$2:$C$5001,C3301,$H$2:$H$5001)+ROW()/10000000,0))</f>
        <v>0</v>
      </c>
    </row>
    <row r="3302" customFormat="false" ht="15" hidden="false" customHeight="false" outlineLevel="0" collapsed="false">
      <c r="A3302" s="43"/>
      <c r="B3302" s="44"/>
      <c r="C3302" s="44"/>
      <c r="D3302" s="44"/>
      <c r="E3302" s="44"/>
      <c r="F3302" s="44"/>
      <c r="G3302" s="44"/>
      <c r="H3302" s="46" t="str">
        <f aca="false">IF($A3302="","",IF(OR(NOT(ISNUMBER(E3302)),NOT(ISNUMBER(F3302))),"",MAX(0,E3302)*F3302))</f>
        <v/>
      </c>
      <c r="I3302" s="46" t="str">
        <f aca="false">IF($A3302="","",SUMIF($A$2:$A$5001,$A3302,$H$2:$H$5001))</f>
        <v/>
      </c>
      <c r="J3302" s="47" t="n">
        <f aca="false">IF($A3302="",0,IF(COUNTIF($A$2:A3302,$A3302)=1,1,0))</f>
        <v>0</v>
      </c>
      <c r="K3302" s="47" t="n">
        <f aca="false">IF(J3302=1,N(I3302)+ROW()/10000000,0)</f>
        <v>0</v>
      </c>
      <c r="L3302" s="47" t="str">
        <f aca="false">IF(AND(J3302=1,N(I3302)&gt;0),SUMIF($K$2:$K$5001,"&gt;="&amp;K3302,$I$2:$I$5001)/MAX(1,SUM($H$2:$H$5001)),"")</f>
        <v/>
      </c>
      <c r="M3302" s="47" t="str">
        <f aca="false">IF($A3302="","",INDEX($L$2:$L$5001,MATCH($A3302,$A$2:$A$5001,0)))</f>
        <v/>
      </c>
      <c r="N3302" s="48" t="str">
        <f aca="false">IF($A3302="","",IF(N(M3302)=0,"–",IF(M3302&lt;=Start!$D$20,"A",IF(M3302&lt;=Start!$D$21,"B","C"))))</f>
        <v/>
      </c>
      <c r="O3302" s="48" t="str">
        <f aca="false">IF($A3302="","",IF(NOT(ISNUMBER(F3302)),"Wert fehlt; ",IF(F3302&lt;=0,"Wert ist 0; ",""))&amp;IF(NOT(ISNUMBER(E3302)),"Bestand fehlt; ",IF(E3302&lt;0,"Bestand negativ; ",IF(E3302=0,"Nullbestand; ","")))&amp;IF(D3302="","Warengruppe fehlt; ","")&amp;IF(B3302="","Bezeichnung fehlt; ","")&amp;IF(COUNTIFS($A$2:$A$5001,$A3302,$C$2:$C$5001,C3302)&gt;1,"Artikel doppelt im selben Lager; ",""))</f>
        <v/>
      </c>
      <c r="P3302" s="47" t="n">
        <f aca="false">IF(OR($A3302="",D3302=""),0,IF(COUNTIF($D$2:D3302,D3302)=1,SUMIF($D$2:$D$5001,D3302,$H$2:$H$5001)+ROW()/10000000,0))</f>
        <v>0</v>
      </c>
      <c r="Q3302" s="47" t="n">
        <f aca="false">IF(OR($A3302="",C3302=""),0,IF(COUNTIF($C$2:C3302,C3302)=1,SUMIF($C$2:$C$5001,C3302,$H$2:$H$5001)+ROW()/10000000,0))</f>
        <v>0</v>
      </c>
    </row>
    <row r="3303" customFormat="false" ht="15" hidden="false" customHeight="false" outlineLevel="0" collapsed="false">
      <c r="A3303" s="43"/>
      <c r="B3303" s="44"/>
      <c r="C3303" s="44"/>
      <c r="D3303" s="44"/>
      <c r="E3303" s="44"/>
      <c r="F3303" s="44"/>
      <c r="G3303" s="44"/>
      <c r="H3303" s="46" t="str">
        <f aca="false">IF($A3303="","",IF(OR(NOT(ISNUMBER(E3303)),NOT(ISNUMBER(F3303))),"",MAX(0,E3303)*F3303))</f>
        <v/>
      </c>
      <c r="I3303" s="46" t="str">
        <f aca="false">IF($A3303="","",SUMIF($A$2:$A$5001,$A3303,$H$2:$H$5001))</f>
        <v/>
      </c>
      <c r="J3303" s="47" t="n">
        <f aca="false">IF($A3303="",0,IF(COUNTIF($A$2:A3303,$A3303)=1,1,0))</f>
        <v>0</v>
      </c>
      <c r="K3303" s="47" t="n">
        <f aca="false">IF(J3303=1,N(I3303)+ROW()/10000000,0)</f>
        <v>0</v>
      </c>
      <c r="L3303" s="47" t="str">
        <f aca="false">IF(AND(J3303=1,N(I3303)&gt;0),SUMIF($K$2:$K$5001,"&gt;="&amp;K3303,$I$2:$I$5001)/MAX(1,SUM($H$2:$H$5001)),"")</f>
        <v/>
      </c>
      <c r="M3303" s="47" t="str">
        <f aca="false">IF($A3303="","",INDEX($L$2:$L$5001,MATCH($A3303,$A$2:$A$5001,0)))</f>
        <v/>
      </c>
      <c r="N3303" s="48" t="str">
        <f aca="false">IF($A3303="","",IF(N(M3303)=0,"–",IF(M3303&lt;=Start!$D$20,"A",IF(M3303&lt;=Start!$D$21,"B","C"))))</f>
        <v/>
      </c>
      <c r="O3303" s="48" t="str">
        <f aca="false">IF($A3303="","",IF(NOT(ISNUMBER(F3303)),"Wert fehlt; ",IF(F3303&lt;=0,"Wert ist 0; ",""))&amp;IF(NOT(ISNUMBER(E3303)),"Bestand fehlt; ",IF(E3303&lt;0,"Bestand negativ; ",IF(E3303=0,"Nullbestand; ","")))&amp;IF(D3303="","Warengruppe fehlt; ","")&amp;IF(B3303="","Bezeichnung fehlt; ","")&amp;IF(COUNTIFS($A$2:$A$5001,$A3303,$C$2:$C$5001,C3303)&gt;1,"Artikel doppelt im selben Lager; ",""))</f>
        <v/>
      </c>
      <c r="P3303" s="47" t="n">
        <f aca="false">IF(OR($A3303="",D3303=""),0,IF(COUNTIF($D$2:D3303,D3303)=1,SUMIF($D$2:$D$5001,D3303,$H$2:$H$5001)+ROW()/10000000,0))</f>
        <v>0</v>
      </c>
      <c r="Q3303" s="47" t="n">
        <f aca="false">IF(OR($A3303="",C3303=""),0,IF(COUNTIF($C$2:C3303,C3303)=1,SUMIF($C$2:$C$5001,C3303,$H$2:$H$5001)+ROW()/10000000,0))</f>
        <v>0</v>
      </c>
    </row>
    <row r="3304" customFormat="false" ht="15" hidden="false" customHeight="false" outlineLevel="0" collapsed="false">
      <c r="A3304" s="43"/>
      <c r="B3304" s="44"/>
      <c r="C3304" s="44"/>
      <c r="D3304" s="44"/>
      <c r="E3304" s="44"/>
      <c r="F3304" s="44"/>
      <c r="G3304" s="44"/>
      <c r="H3304" s="46" t="str">
        <f aca="false">IF($A3304="","",IF(OR(NOT(ISNUMBER(E3304)),NOT(ISNUMBER(F3304))),"",MAX(0,E3304)*F3304))</f>
        <v/>
      </c>
      <c r="I3304" s="46" t="str">
        <f aca="false">IF($A3304="","",SUMIF($A$2:$A$5001,$A3304,$H$2:$H$5001))</f>
        <v/>
      </c>
      <c r="J3304" s="47" t="n">
        <f aca="false">IF($A3304="",0,IF(COUNTIF($A$2:A3304,$A3304)=1,1,0))</f>
        <v>0</v>
      </c>
      <c r="K3304" s="47" t="n">
        <f aca="false">IF(J3304=1,N(I3304)+ROW()/10000000,0)</f>
        <v>0</v>
      </c>
      <c r="L3304" s="47" t="str">
        <f aca="false">IF(AND(J3304=1,N(I3304)&gt;0),SUMIF($K$2:$K$5001,"&gt;="&amp;K3304,$I$2:$I$5001)/MAX(1,SUM($H$2:$H$5001)),"")</f>
        <v/>
      </c>
      <c r="M3304" s="47" t="str">
        <f aca="false">IF($A3304="","",INDEX($L$2:$L$5001,MATCH($A3304,$A$2:$A$5001,0)))</f>
        <v/>
      </c>
      <c r="N3304" s="48" t="str">
        <f aca="false">IF($A3304="","",IF(N(M3304)=0,"–",IF(M3304&lt;=Start!$D$20,"A",IF(M3304&lt;=Start!$D$21,"B","C"))))</f>
        <v/>
      </c>
      <c r="O3304" s="48" t="str">
        <f aca="false">IF($A3304="","",IF(NOT(ISNUMBER(F3304)),"Wert fehlt; ",IF(F3304&lt;=0,"Wert ist 0; ",""))&amp;IF(NOT(ISNUMBER(E3304)),"Bestand fehlt; ",IF(E3304&lt;0,"Bestand negativ; ",IF(E3304=0,"Nullbestand; ","")))&amp;IF(D3304="","Warengruppe fehlt; ","")&amp;IF(B3304="","Bezeichnung fehlt; ","")&amp;IF(COUNTIFS($A$2:$A$5001,$A3304,$C$2:$C$5001,C3304)&gt;1,"Artikel doppelt im selben Lager; ",""))</f>
        <v/>
      </c>
      <c r="P3304" s="47" t="n">
        <f aca="false">IF(OR($A3304="",D3304=""),0,IF(COUNTIF($D$2:D3304,D3304)=1,SUMIF($D$2:$D$5001,D3304,$H$2:$H$5001)+ROW()/10000000,0))</f>
        <v>0</v>
      </c>
      <c r="Q3304" s="47" t="n">
        <f aca="false">IF(OR($A3304="",C3304=""),0,IF(COUNTIF($C$2:C3304,C3304)=1,SUMIF($C$2:$C$5001,C3304,$H$2:$H$5001)+ROW()/10000000,0))</f>
        <v>0</v>
      </c>
    </row>
    <row r="3305" customFormat="false" ht="15" hidden="false" customHeight="false" outlineLevel="0" collapsed="false">
      <c r="A3305" s="43"/>
      <c r="B3305" s="44"/>
      <c r="C3305" s="44"/>
      <c r="D3305" s="44"/>
      <c r="E3305" s="44"/>
      <c r="F3305" s="44"/>
      <c r="G3305" s="44"/>
      <c r="H3305" s="46" t="str">
        <f aca="false">IF($A3305="","",IF(OR(NOT(ISNUMBER(E3305)),NOT(ISNUMBER(F3305))),"",MAX(0,E3305)*F3305))</f>
        <v/>
      </c>
      <c r="I3305" s="46" t="str">
        <f aca="false">IF($A3305="","",SUMIF($A$2:$A$5001,$A3305,$H$2:$H$5001))</f>
        <v/>
      </c>
      <c r="J3305" s="47" t="n">
        <f aca="false">IF($A3305="",0,IF(COUNTIF($A$2:A3305,$A3305)=1,1,0))</f>
        <v>0</v>
      </c>
      <c r="K3305" s="47" t="n">
        <f aca="false">IF(J3305=1,N(I3305)+ROW()/10000000,0)</f>
        <v>0</v>
      </c>
      <c r="L3305" s="47" t="str">
        <f aca="false">IF(AND(J3305=1,N(I3305)&gt;0),SUMIF($K$2:$K$5001,"&gt;="&amp;K3305,$I$2:$I$5001)/MAX(1,SUM($H$2:$H$5001)),"")</f>
        <v/>
      </c>
      <c r="M3305" s="47" t="str">
        <f aca="false">IF($A3305="","",INDEX($L$2:$L$5001,MATCH($A3305,$A$2:$A$5001,0)))</f>
        <v/>
      </c>
      <c r="N3305" s="48" t="str">
        <f aca="false">IF($A3305="","",IF(N(M3305)=0,"–",IF(M3305&lt;=Start!$D$20,"A",IF(M3305&lt;=Start!$D$21,"B","C"))))</f>
        <v/>
      </c>
      <c r="O3305" s="48" t="str">
        <f aca="false">IF($A3305="","",IF(NOT(ISNUMBER(F3305)),"Wert fehlt; ",IF(F3305&lt;=0,"Wert ist 0; ",""))&amp;IF(NOT(ISNUMBER(E3305)),"Bestand fehlt; ",IF(E3305&lt;0,"Bestand negativ; ",IF(E3305=0,"Nullbestand; ","")))&amp;IF(D3305="","Warengruppe fehlt; ","")&amp;IF(B3305="","Bezeichnung fehlt; ","")&amp;IF(COUNTIFS($A$2:$A$5001,$A3305,$C$2:$C$5001,C3305)&gt;1,"Artikel doppelt im selben Lager; ",""))</f>
        <v/>
      </c>
      <c r="P3305" s="47" t="n">
        <f aca="false">IF(OR($A3305="",D3305=""),0,IF(COUNTIF($D$2:D3305,D3305)=1,SUMIF($D$2:$D$5001,D3305,$H$2:$H$5001)+ROW()/10000000,0))</f>
        <v>0</v>
      </c>
      <c r="Q3305" s="47" t="n">
        <f aca="false">IF(OR($A3305="",C3305=""),0,IF(COUNTIF($C$2:C3305,C3305)=1,SUMIF($C$2:$C$5001,C3305,$H$2:$H$5001)+ROW()/10000000,0))</f>
        <v>0</v>
      </c>
    </row>
    <row r="3306" customFormat="false" ht="15" hidden="false" customHeight="false" outlineLevel="0" collapsed="false">
      <c r="A3306" s="43"/>
      <c r="B3306" s="44"/>
      <c r="C3306" s="44"/>
      <c r="D3306" s="44"/>
      <c r="E3306" s="44"/>
      <c r="F3306" s="44"/>
      <c r="G3306" s="44"/>
      <c r="H3306" s="46" t="str">
        <f aca="false">IF($A3306="","",IF(OR(NOT(ISNUMBER(E3306)),NOT(ISNUMBER(F3306))),"",MAX(0,E3306)*F3306))</f>
        <v/>
      </c>
      <c r="I3306" s="46" t="str">
        <f aca="false">IF($A3306="","",SUMIF($A$2:$A$5001,$A3306,$H$2:$H$5001))</f>
        <v/>
      </c>
      <c r="J3306" s="47" t="n">
        <f aca="false">IF($A3306="",0,IF(COUNTIF($A$2:A3306,$A3306)=1,1,0))</f>
        <v>0</v>
      </c>
      <c r="K3306" s="47" t="n">
        <f aca="false">IF(J3306=1,N(I3306)+ROW()/10000000,0)</f>
        <v>0</v>
      </c>
      <c r="L3306" s="47" t="str">
        <f aca="false">IF(AND(J3306=1,N(I3306)&gt;0),SUMIF($K$2:$K$5001,"&gt;="&amp;K3306,$I$2:$I$5001)/MAX(1,SUM($H$2:$H$5001)),"")</f>
        <v/>
      </c>
      <c r="M3306" s="47" t="str">
        <f aca="false">IF($A3306="","",INDEX($L$2:$L$5001,MATCH($A3306,$A$2:$A$5001,0)))</f>
        <v/>
      </c>
      <c r="N3306" s="48" t="str">
        <f aca="false">IF($A3306="","",IF(N(M3306)=0,"–",IF(M3306&lt;=Start!$D$20,"A",IF(M3306&lt;=Start!$D$21,"B","C"))))</f>
        <v/>
      </c>
      <c r="O3306" s="48" t="str">
        <f aca="false">IF($A3306="","",IF(NOT(ISNUMBER(F3306)),"Wert fehlt; ",IF(F3306&lt;=0,"Wert ist 0; ",""))&amp;IF(NOT(ISNUMBER(E3306)),"Bestand fehlt; ",IF(E3306&lt;0,"Bestand negativ; ",IF(E3306=0,"Nullbestand; ","")))&amp;IF(D3306="","Warengruppe fehlt; ","")&amp;IF(B3306="","Bezeichnung fehlt; ","")&amp;IF(COUNTIFS($A$2:$A$5001,$A3306,$C$2:$C$5001,C3306)&gt;1,"Artikel doppelt im selben Lager; ",""))</f>
        <v/>
      </c>
      <c r="P3306" s="47" t="n">
        <f aca="false">IF(OR($A3306="",D3306=""),0,IF(COUNTIF($D$2:D3306,D3306)=1,SUMIF($D$2:$D$5001,D3306,$H$2:$H$5001)+ROW()/10000000,0))</f>
        <v>0</v>
      </c>
      <c r="Q3306" s="47" t="n">
        <f aca="false">IF(OR($A3306="",C3306=""),0,IF(COUNTIF($C$2:C3306,C3306)=1,SUMIF($C$2:$C$5001,C3306,$H$2:$H$5001)+ROW()/10000000,0))</f>
        <v>0</v>
      </c>
    </row>
    <row r="3307" customFormat="false" ht="15" hidden="false" customHeight="false" outlineLevel="0" collapsed="false">
      <c r="A3307" s="43"/>
      <c r="B3307" s="44"/>
      <c r="C3307" s="44"/>
      <c r="D3307" s="44"/>
      <c r="E3307" s="44"/>
      <c r="F3307" s="44"/>
      <c r="G3307" s="44"/>
      <c r="H3307" s="46" t="str">
        <f aca="false">IF($A3307="","",IF(OR(NOT(ISNUMBER(E3307)),NOT(ISNUMBER(F3307))),"",MAX(0,E3307)*F3307))</f>
        <v/>
      </c>
      <c r="I3307" s="46" t="str">
        <f aca="false">IF($A3307="","",SUMIF($A$2:$A$5001,$A3307,$H$2:$H$5001))</f>
        <v/>
      </c>
      <c r="J3307" s="47" t="n">
        <f aca="false">IF($A3307="",0,IF(COUNTIF($A$2:A3307,$A3307)=1,1,0))</f>
        <v>0</v>
      </c>
      <c r="K3307" s="47" t="n">
        <f aca="false">IF(J3307=1,N(I3307)+ROW()/10000000,0)</f>
        <v>0</v>
      </c>
      <c r="L3307" s="47" t="str">
        <f aca="false">IF(AND(J3307=1,N(I3307)&gt;0),SUMIF($K$2:$K$5001,"&gt;="&amp;K3307,$I$2:$I$5001)/MAX(1,SUM($H$2:$H$5001)),"")</f>
        <v/>
      </c>
      <c r="M3307" s="47" t="str">
        <f aca="false">IF($A3307="","",INDEX($L$2:$L$5001,MATCH($A3307,$A$2:$A$5001,0)))</f>
        <v/>
      </c>
      <c r="N3307" s="48" t="str">
        <f aca="false">IF($A3307="","",IF(N(M3307)=0,"–",IF(M3307&lt;=Start!$D$20,"A",IF(M3307&lt;=Start!$D$21,"B","C"))))</f>
        <v/>
      </c>
      <c r="O3307" s="48" t="str">
        <f aca="false">IF($A3307="","",IF(NOT(ISNUMBER(F3307)),"Wert fehlt; ",IF(F3307&lt;=0,"Wert ist 0; ",""))&amp;IF(NOT(ISNUMBER(E3307)),"Bestand fehlt; ",IF(E3307&lt;0,"Bestand negativ; ",IF(E3307=0,"Nullbestand; ","")))&amp;IF(D3307="","Warengruppe fehlt; ","")&amp;IF(B3307="","Bezeichnung fehlt; ","")&amp;IF(COUNTIFS($A$2:$A$5001,$A3307,$C$2:$C$5001,C3307)&gt;1,"Artikel doppelt im selben Lager; ",""))</f>
        <v/>
      </c>
      <c r="P3307" s="47" t="n">
        <f aca="false">IF(OR($A3307="",D3307=""),0,IF(COUNTIF($D$2:D3307,D3307)=1,SUMIF($D$2:$D$5001,D3307,$H$2:$H$5001)+ROW()/10000000,0))</f>
        <v>0</v>
      </c>
      <c r="Q3307" s="47" t="n">
        <f aca="false">IF(OR($A3307="",C3307=""),0,IF(COUNTIF($C$2:C3307,C3307)=1,SUMIF($C$2:$C$5001,C3307,$H$2:$H$5001)+ROW()/10000000,0))</f>
        <v>0</v>
      </c>
    </row>
    <row r="3308" customFormat="false" ht="15" hidden="false" customHeight="false" outlineLevel="0" collapsed="false">
      <c r="A3308" s="43"/>
      <c r="B3308" s="44"/>
      <c r="C3308" s="44"/>
      <c r="D3308" s="44"/>
      <c r="E3308" s="44"/>
      <c r="F3308" s="44"/>
      <c r="G3308" s="44"/>
      <c r="H3308" s="46" t="str">
        <f aca="false">IF($A3308="","",IF(OR(NOT(ISNUMBER(E3308)),NOT(ISNUMBER(F3308))),"",MAX(0,E3308)*F3308))</f>
        <v/>
      </c>
      <c r="I3308" s="46" t="str">
        <f aca="false">IF($A3308="","",SUMIF($A$2:$A$5001,$A3308,$H$2:$H$5001))</f>
        <v/>
      </c>
      <c r="J3308" s="47" t="n">
        <f aca="false">IF($A3308="",0,IF(COUNTIF($A$2:A3308,$A3308)=1,1,0))</f>
        <v>0</v>
      </c>
      <c r="K3308" s="47" t="n">
        <f aca="false">IF(J3308=1,N(I3308)+ROW()/10000000,0)</f>
        <v>0</v>
      </c>
      <c r="L3308" s="47" t="str">
        <f aca="false">IF(AND(J3308=1,N(I3308)&gt;0),SUMIF($K$2:$K$5001,"&gt;="&amp;K3308,$I$2:$I$5001)/MAX(1,SUM($H$2:$H$5001)),"")</f>
        <v/>
      </c>
      <c r="M3308" s="47" t="str">
        <f aca="false">IF($A3308="","",INDEX($L$2:$L$5001,MATCH($A3308,$A$2:$A$5001,0)))</f>
        <v/>
      </c>
      <c r="N3308" s="48" t="str">
        <f aca="false">IF($A3308="","",IF(N(M3308)=0,"–",IF(M3308&lt;=Start!$D$20,"A",IF(M3308&lt;=Start!$D$21,"B","C"))))</f>
        <v/>
      </c>
      <c r="O3308" s="48" t="str">
        <f aca="false">IF($A3308="","",IF(NOT(ISNUMBER(F3308)),"Wert fehlt; ",IF(F3308&lt;=0,"Wert ist 0; ",""))&amp;IF(NOT(ISNUMBER(E3308)),"Bestand fehlt; ",IF(E3308&lt;0,"Bestand negativ; ",IF(E3308=0,"Nullbestand; ","")))&amp;IF(D3308="","Warengruppe fehlt; ","")&amp;IF(B3308="","Bezeichnung fehlt; ","")&amp;IF(COUNTIFS($A$2:$A$5001,$A3308,$C$2:$C$5001,C3308)&gt;1,"Artikel doppelt im selben Lager; ",""))</f>
        <v/>
      </c>
      <c r="P3308" s="47" t="n">
        <f aca="false">IF(OR($A3308="",D3308=""),0,IF(COUNTIF($D$2:D3308,D3308)=1,SUMIF($D$2:$D$5001,D3308,$H$2:$H$5001)+ROW()/10000000,0))</f>
        <v>0</v>
      </c>
      <c r="Q3308" s="47" t="n">
        <f aca="false">IF(OR($A3308="",C3308=""),0,IF(COUNTIF($C$2:C3308,C3308)=1,SUMIF($C$2:$C$5001,C3308,$H$2:$H$5001)+ROW()/10000000,0))</f>
        <v>0</v>
      </c>
    </row>
    <row r="3309" customFormat="false" ht="15" hidden="false" customHeight="false" outlineLevel="0" collapsed="false">
      <c r="A3309" s="43"/>
      <c r="B3309" s="44"/>
      <c r="C3309" s="44"/>
      <c r="D3309" s="44"/>
      <c r="E3309" s="44"/>
      <c r="F3309" s="44"/>
      <c r="G3309" s="44"/>
      <c r="H3309" s="46" t="str">
        <f aca="false">IF($A3309="","",IF(OR(NOT(ISNUMBER(E3309)),NOT(ISNUMBER(F3309))),"",MAX(0,E3309)*F3309))</f>
        <v/>
      </c>
      <c r="I3309" s="46" t="str">
        <f aca="false">IF($A3309="","",SUMIF($A$2:$A$5001,$A3309,$H$2:$H$5001))</f>
        <v/>
      </c>
      <c r="J3309" s="47" t="n">
        <f aca="false">IF($A3309="",0,IF(COUNTIF($A$2:A3309,$A3309)=1,1,0))</f>
        <v>0</v>
      </c>
      <c r="K3309" s="47" t="n">
        <f aca="false">IF(J3309=1,N(I3309)+ROW()/10000000,0)</f>
        <v>0</v>
      </c>
      <c r="L3309" s="47" t="str">
        <f aca="false">IF(AND(J3309=1,N(I3309)&gt;0),SUMIF($K$2:$K$5001,"&gt;="&amp;K3309,$I$2:$I$5001)/MAX(1,SUM($H$2:$H$5001)),"")</f>
        <v/>
      </c>
      <c r="M3309" s="47" t="str">
        <f aca="false">IF($A3309="","",INDEX($L$2:$L$5001,MATCH($A3309,$A$2:$A$5001,0)))</f>
        <v/>
      </c>
      <c r="N3309" s="48" t="str">
        <f aca="false">IF($A3309="","",IF(N(M3309)=0,"–",IF(M3309&lt;=Start!$D$20,"A",IF(M3309&lt;=Start!$D$21,"B","C"))))</f>
        <v/>
      </c>
      <c r="O3309" s="48" t="str">
        <f aca="false">IF($A3309="","",IF(NOT(ISNUMBER(F3309)),"Wert fehlt; ",IF(F3309&lt;=0,"Wert ist 0; ",""))&amp;IF(NOT(ISNUMBER(E3309)),"Bestand fehlt; ",IF(E3309&lt;0,"Bestand negativ; ",IF(E3309=0,"Nullbestand; ","")))&amp;IF(D3309="","Warengruppe fehlt; ","")&amp;IF(B3309="","Bezeichnung fehlt; ","")&amp;IF(COUNTIFS($A$2:$A$5001,$A3309,$C$2:$C$5001,C3309)&gt;1,"Artikel doppelt im selben Lager; ",""))</f>
        <v/>
      </c>
      <c r="P3309" s="47" t="n">
        <f aca="false">IF(OR($A3309="",D3309=""),0,IF(COUNTIF($D$2:D3309,D3309)=1,SUMIF($D$2:$D$5001,D3309,$H$2:$H$5001)+ROW()/10000000,0))</f>
        <v>0</v>
      </c>
      <c r="Q3309" s="47" t="n">
        <f aca="false">IF(OR($A3309="",C3309=""),0,IF(COUNTIF($C$2:C3309,C3309)=1,SUMIF($C$2:$C$5001,C3309,$H$2:$H$5001)+ROW()/10000000,0))</f>
        <v>0</v>
      </c>
    </row>
    <row r="3310" customFormat="false" ht="15" hidden="false" customHeight="false" outlineLevel="0" collapsed="false">
      <c r="A3310" s="43"/>
      <c r="B3310" s="44"/>
      <c r="C3310" s="44"/>
      <c r="D3310" s="44"/>
      <c r="E3310" s="44"/>
      <c r="F3310" s="44"/>
      <c r="G3310" s="44"/>
      <c r="H3310" s="46" t="str">
        <f aca="false">IF($A3310="","",IF(OR(NOT(ISNUMBER(E3310)),NOT(ISNUMBER(F3310))),"",MAX(0,E3310)*F3310))</f>
        <v/>
      </c>
      <c r="I3310" s="46" t="str">
        <f aca="false">IF($A3310="","",SUMIF($A$2:$A$5001,$A3310,$H$2:$H$5001))</f>
        <v/>
      </c>
      <c r="J3310" s="47" t="n">
        <f aca="false">IF($A3310="",0,IF(COUNTIF($A$2:A3310,$A3310)=1,1,0))</f>
        <v>0</v>
      </c>
      <c r="K3310" s="47" t="n">
        <f aca="false">IF(J3310=1,N(I3310)+ROW()/10000000,0)</f>
        <v>0</v>
      </c>
      <c r="L3310" s="47" t="str">
        <f aca="false">IF(AND(J3310=1,N(I3310)&gt;0),SUMIF($K$2:$K$5001,"&gt;="&amp;K3310,$I$2:$I$5001)/MAX(1,SUM($H$2:$H$5001)),"")</f>
        <v/>
      </c>
      <c r="M3310" s="47" t="str">
        <f aca="false">IF($A3310="","",INDEX($L$2:$L$5001,MATCH($A3310,$A$2:$A$5001,0)))</f>
        <v/>
      </c>
      <c r="N3310" s="48" t="str">
        <f aca="false">IF($A3310="","",IF(N(M3310)=0,"–",IF(M3310&lt;=Start!$D$20,"A",IF(M3310&lt;=Start!$D$21,"B","C"))))</f>
        <v/>
      </c>
      <c r="O3310" s="48" t="str">
        <f aca="false">IF($A3310="","",IF(NOT(ISNUMBER(F3310)),"Wert fehlt; ",IF(F3310&lt;=0,"Wert ist 0; ",""))&amp;IF(NOT(ISNUMBER(E3310)),"Bestand fehlt; ",IF(E3310&lt;0,"Bestand negativ; ",IF(E3310=0,"Nullbestand; ","")))&amp;IF(D3310="","Warengruppe fehlt; ","")&amp;IF(B3310="","Bezeichnung fehlt; ","")&amp;IF(COUNTIFS($A$2:$A$5001,$A3310,$C$2:$C$5001,C3310)&gt;1,"Artikel doppelt im selben Lager; ",""))</f>
        <v/>
      </c>
      <c r="P3310" s="47" t="n">
        <f aca="false">IF(OR($A3310="",D3310=""),0,IF(COUNTIF($D$2:D3310,D3310)=1,SUMIF($D$2:$D$5001,D3310,$H$2:$H$5001)+ROW()/10000000,0))</f>
        <v>0</v>
      </c>
      <c r="Q3310" s="47" t="n">
        <f aca="false">IF(OR($A3310="",C3310=""),0,IF(COUNTIF($C$2:C3310,C3310)=1,SUMIF($C$2:$C$5001,C3310,$H$2:$H$5001)+ROW()/10000000,0))</f>
        <v>0</v>
      </c>
    </row>
    <row r="3311" customFormat="false" ht="15" hidden="false" customHeight="false" outlineLevel="0" collapsed="false">
      <c r="A3311" s="43"/>
      <c r="B3311" s="44"/>
      <c r="C3311" s="44"/>
      <c r="D3311" s="44"/>
      <c r="E3311" s="44"/>
      <c r="F3311" s="44"/>
      <c r="G3311" s="44"/>
      <c r="H3311" s="46" t="str">
        <f aca="false">IF($A3311="","",IF(OR(NOT(ISNUMBER(E3311)),NOT(ISNUMBER(F3311))),"",MAX(0,E3311)*F3311))</f>
        <v/>
      </c>
      <c r="I3311" s="46" t="str">
        <f aca="false">IF($A3311="","",SUMIF($A$2:$A$5001,$A3311,$H$2:$H$5001))</f>
        <v/>
      </c>
      <c r="J3311" s="47" t="n">
        <f aca="false">IF($A3311="",0,IF(COUNTIF($A$2:A3311,$A3311)=1,1,0))</f>
        <v>0</v>
      </c>
      <c r="K3311" s="47" t="n">
        <f aca="false">IF(J3311=1,N(I3311)+ROW()/10000000,0)</f>
        <v>0</v>
      </c>
      <c r="L3311" s="47" t="str">
        <f aca="false">IF(AND(J3311=1,N(I3311)&gt;0),SUMIF($K$2:$K$5001,"&gt;="&amp;K3311,$I$2:$I$5001)/MAX(1,SUM($H$2:$H$5001)),"")</f>
        <v/>
      </c>
      <c r="M3311" s="47" t="str">
        <f aca="false">IF($A3311="","",INDEX($L$2:$L$5001,MATCH($A3311,$A$2:$A$5001,0)))</f>
        <v/>
      </c>
      <c r="N3311" s="48" t="str">
        <f aca="false">IF($A3311="","",IF(N(M3311)=0,"–",IF(M3311&lt;=Start!$D$20,"A",IF(M3311&lt;=Start!$D$21,"B","C"))))</f>
        <v/>
      </c>
      <c r="O3311" s="48" t="str">
        <f aca="false">IF($A3311="","",IF(NOT(ISNUMBER(F3311)),"Wert fehlt; ",IF(F3311&lt;=0,"Wert ist 0; ",""))&amp;IF(NOT(ISNUMBER(E3311)),"Bestand fehlt; ",IF(E3311&lt;0,"Bestand negativ; ",IF(E3311=0,"Nullbestand; ","")))&amp;IF(D3311="","Warengruppe fehlt; ","")&amp;IF(B3311="","Bezeichnung fehlt; ","")&amp;IF(COUNTIFS($A$2:$A$5001,$A3311,$C$2:$C$5001,C3311)&gt;1,"Artikel doppelt im selben Lager; ",""))</f>
        <v/>
      </c>
      <c r="P3311" s="47" t="n">
        <f aca="false">IF(OR($A3311="",D3311=""),0,IF(COUNTIF($D$2:D3311,D3311)=1,SUMIF($D$2:$D$5001,D3311,$H$2:$H$5001)+ROW()/10000000,0))</f>
        <v>0</v>
      </c>
      <c r="Q3311" s="47" t="n">
        <f aca="false">IF(OR($A3311="",C3311=""),0,IF(COUNTIF($C$2:C3311,C3311)=1,SUMIF($C$2:$C$5001,C3311,$H$2:$H$5001)+ROW()/10000000,0))</f>
        <v>0</v>
      </c>
    </row>
    <row r="3312" customFormat="false" ht="15" hidden="false" customHeight="false" outlineLevel="0" collapsed="false">
      <c r="A3312" s="43"/>
      <c r="B3312" s="44"/>
      <c r="C3312" s="44"/>
      <c r="D3312" s="44"/>
      <c r="E3312" s="44"/>
      <c r="F3312" s="44"/>
      <c r="G3312" s="44"/>
      <c r="H3312" s="46" t="str">
        <f aca="false">IF($A3312="","",IF(OR(NOT(ISNUMBER(E3312)),NOT(ISNUMBER(F3312))),"",MAX(0,E3312)*F3312))</f>
        <v/>
      </c>
      <c r="I3312" s="46" t="str">
        <f aca="false">IF($A3312="","",SUMIF($A$2:$A$5001,$A3312,$H$2:$H$5001))</f>
        <v/>
      </c>
      <c r="J3312" s="47" t="n">
        <f aca="false">IF($A3312="",0,IF(COUNTIF($A$2:A3312,$A3312)=1,1,0))</f>
        <v>0</v>
      </c>
      <c r="K3312" s="47" t="n">
        <f aca="false">IF(J3312=1,N(I3312)+ROW()/10000000,0)</f>
        <v>0</v>
      </c>
      <c r="L3312" s="47" t="str">
        <f aca="false">IF(AND(J3312=1,N(I3312)&gt;0),SUMIF($K$2:$K$5001,"&gt;="&amp;K3312,$I$2:$I$5001)/MAX(1,SUM($H$2:$H$5001)),"")</f>
        <v/>
      </c>
      <c r="M3312" s="47" t="str">
        <f aca="false">IF($A3312="","",INDEX($L$2:$L$5001,MATCH($A3312,$A$2:$A$5001,0)))</f>
        <v/>
      </c>
      <c r="N3312" s="48" t="str">
        <f aca="false">IF($A3312="","",IF(N(M3312)=0,"–",IF(M3312&lt;=Start!$D$20,"A",IF(M3312&lt;=Start!$D$21,"B","C"))))</f>
        <v/>
      </c>
      <c r="O3312" s="48" t="str">
        <f aca="false">IF($A3312="","",IF(NOT(ISNUMBER(F3312)),"Wert fehlt; ",IF(F3312&lt;=0,"Wert ist 0; ",""))&amp;IF(NOT(ISNUMBER(E3312)),"Bestand fehlt; ",IF(E3312&lt;0,"Bestand negativ; ",IF(E3312=0,"Nullbestand; ","")))&amp;IF(D3312="","Warengruppe fehlt; ","")&amp;IF(B3312="","Bezeichnung fehlt; ","")&amp;IF(COUNTIFS($A$2:$A$5001,$A3312,$C$2:$C$5001,C3312)&gt;1,"Artikel doppelt im selben Lager; ",""))</f>
        <v/>
      </c>
      <c r="P3312" s="47" t="n">
        <f aca="false">IF(OR($A3312="",D3312=""),0,IF(COUNTIF($D$2:D3312,D3312)=1,SUMIF($D$2:$D$5001,D3312,$H$2:$H$5001)+ROW()/10000000,0))</f>
        <v>0</v>
      </c>
      <c r="Q3312" s="47" t="n">
        <f aca="false">IF(OR($A3312="",C3312=""),0,IF(COUNTIF($C$2:C3312,C3312)=1,SUMIF($C$2:$C$5001,C3312,$H$2:$H$5001)+ROW()/10000000,0))</f>
        <v>0</v>
      </c>
    </row>
    <row r="3313" customFormat="false" ht="15" hidden="false" customHeight="false" outlineLevel="0" collapsed="false">
      <c r="A3313" s="43"/>
      <c r="B3313" s="44"/>
      <c r="C3313" s="44"/>
      <c r="D3313" s="44"/>
      <c r="E3313" s="44"/>
      <c r="F3313" s="44"/>
      <c r="G3313" s="44"/>
      <c r="H3313" s="46" t="str">
        <f aca="false">IF($A3313="","",IF(OR(NOT(ISNUMBER(E3313)),NOT(ISNUMBER(F3313))),"",MAX(0,E3313)*F3313))</f>
        <v/>
      </c>
      <c r="I3313" s="46" t="str">
        <f aca="false">IF($A3313="","",SUMIF($A$2:$A$5001,$A3313,$H$2:$H$5001))</f>
        <v/>
      </c>
      <c r="J3313" s="47" t="n">
        <f aca="false">IF($A3313="",0,IF(COUNTIF($A$2:A3313,$A3313)=1,1,0))</f>
        <v>0</v>
      </c>
      <c r="K3313" s="47" t="n">
        <f aca="false">IF(J3313=1,N(I3313)+ROW()/10000000,0)</f>
        <v>0</v>
      </c>
      <c r="L3313" s="47" t="str">
        <f aca="false">IF(AND(J3313=1,N(I3313)&gt;0),SUMIF($K$2:$K$5001,"&gt;="&amp;K3313,$I$2:$I$5001)/MAX(1,SUM($H$2:$H$5001)),"")</f>
        <v/>
      </c>
      <c r="M3313" s="47" t="str">
        <f aca="false">IF($A3313="","",INDEX($L$2:$L$5001,MATCH($A3313,$A$2:$A$5001,0)))</f>
        <v/>
      </c>
      <c r="N3313" s="48" t="str">
        <f aca="false">IF($A3313="","",IF(N(M3313)=0,"–",IF(M3313&lt;=Start!$D$20,"A",IF(M3313&lt;=Start!$D$21,"B","C"))))</f>
        <v/>
      </c>
      <c r="O3313" s="48" t="str">
        <f aca="false">IF($A3313="","",IF(NOT(ISNUMBER(F3313)),"Wert fehlt; ",IF(F3313&lt;=0,"Wert ist 0; ",""))&amp;IF(NOT(ISNUMBER(E3313)),"Bestand fehlt; ",IF(E3313&lt;0,"Bestand negativ; ",IF(E3313=0,"Nullbestand; ","")))&amp;IF(D3313="","Warengruppe fehlt; ","")&amp;IF(B3313="","Bezeichnung fehlt; ","")&amp;IF(COUNTIFS($A$2:$A$5001,$A3313,$C$2:$C$5001,C3313)&gt;1,"Artikel doppelt im selben Lager; ",""))</f>
        <v/>
      </c>
      <c r="P3313" s="47" t="n">
        <f aca="false">IF(OR($A3313="",D3313=""),0,IF(COUNTIF($D$2:D3313,D3313)=1,SUMIF($D$2:$D$5001,D3313,$H$2:$H$5001)+ROW()/10000000,0))</f>
        <v>0</v>
      </c>
      <c r="Q3313" s="47" t="n">
        <f aca="false">IF(OR($A3313="",C3313=""),0,IF(COUNTIF($C$2:C3313,C3313)=1,SUMIF($C$2:$C$5001,C3313,$H$2:$H$5001)+ROW()/10000000,0))</f>
        <v>0</v>
      </c>
    </row>
    <row r="3314" customFormat="false" ht="15" hidden="false" customHeight="false" outlineLevel="0" collapsed="false">
      <c r="A3314" s="43"/>
      <c r="B3314" s="44"/>
      <c r="C3314" s="44"/>
      <c r="D3314" s="44"/>
      <c r="E3314" s="44"/>
      <c r="F3314" s="44"/>
      <c r="G3314" s="44"/>
      <c r="H3314" s="46" t="str">
        <f aca="false">IF($A3314="","",IF(OR(NOT(ISNUMBER(E3314)),NOT(ISNUMBER(F3314))),"",MAX(0,E3314)*F3314))</f>
        <v/>
      </c>
      <c r="I3314" s="46" t="str">
        <f aca="false">IF($A3314="","",SUMIF($A$2:$A$5001,$A3314,$H$2:$H$5001))</f>
        <v/>
      </c>
      <c r="J3314" s="47" t="n">
        <f aca="false">IF($A3314="",0,IF(COUNTIF($A$2:A3314,$A3314)=1,1,0))</f>
        <v>0</v>
      </c>
      <c r="K3314" s="47" t="n">
        <f aca="false">IF(J3314=1,N(I3314)+ROW()/10000000,0)</f>
        <v>0</v>
      </c>
      <c r="L3314" s="47" t="str">
        <f aca="false">IF(AND(J3314=1,N(I3314)&gt;0),SUMIF($K$2:$K$5001,"&gt;="&amp;K3314,$I$2:$I$5001)/MAX(1,SUM($H$2:$H$5001)),"")</f>
        <v/>
      </c>
      <c r="M3314" s="47" t="str">
        <f aca="false">IF($A3314="","",INDEX($L$2:$L$5001,MATCH($A3314,$A$2:$A$5001,0)))</f>
        <v/>
      </c>
      <c r="N3314" s="48" t="str">
        <f aca="false">IF($A3314="","",IF(N(M3314)=0,"–",IF(M3314&lt;=Start!$D$20,"A",IF(M3314&lt;=Start!$D$21,"B","C"))))</f>
        <v/>
      </c>
      <c r="O3314" s="48" t="str">
        <f aca="false">IF($A3314="","",IF(NOT(ISNUMBER(F3314)),"Wert fehlt; ",IF(F3314&lt;=0,"Wert ist 0; ",""))&amp;IF(NOT(ISNUMBER(E3314)),"Bestand fehlt; ",IF(E3314&lt;0,"Bestand negativ; ",IF(E3314=0,"Nullbestand; ","")))&amp;IF(D3314="","Warengruppe fehlt; ","")&amp;IF(B3314="","Bezeichnung fehlt; ","")&amp;IF(COUNTIFS($A$2:$A$5001,$A3314,$C$2:$C$5001,C3314)&gt;1,"Artikel doppelt im selben Lager; ",""))</f>
        <v/>
      </c>
      <c r="P3314" s="47" t="n">
        <f aca="false">IF(OR($A3314="",D3314=""),0,IF(COUNTIF($D$2:D3314,D3314)=1,SUMIF($D$2:$D$5001,D3314,$H$2:$H$5001)+ROW()/10000000,0))</f>
        <v>0</v>
      </c>
      <c r="Q3314" s="47" t="n">
        <f aca="false">IF(OR($A3314="",C3314=""),0,IF(COUNTIF($C$2:C3314,C3314)=1,SUMIF($C$2:$C$5001,C3314,$H$2:$H$5001)+ROW()/10000000,0))</f>
        <v>0</v>
      </c>
    </row>
    <row r="3315" customFormat="false" ht="15" hidden="false" customHeight="false" outlineLevel="0" collapsed="false">
      <c r="A3315" s="43"/>
      <c r="B3315" s="44"/>
      <c r="C3315" s="44"/>
      <c r="D3315" s="44"/>
      <c r="E3315" s="44"/>
      <c r="F3315" s="44"/>
      <c r="G3315" s="44"/>
      <c r="H3315" s="46" t="str">
        <f aca="false">IF($A3315="","",IF(OR(NOT(ISNUMBER(E3315)),NOT(ISNUMBER(F3315))),"",MAX(0,E3315)*F3315))</f>
        <v/>
      </c>
      <c r="I3315" s="46" t="str">
        <f aca="false">IF($A3315="","",SUMIF($A$2:$A$5001,$A3315,$H$2:$H$5001))</f>
        <v/>
      </c>
      <c r="J3315" s="47" t="n">
        <f aca="false">IF($A3315="",0,IF(COUNTIF($A$2:A3315,$A3315)=1,1,0))</f>
        <v>0</v>
      </c>
      <c r="K3315" s="47" t="n">
        <f aca="false">IF(J3315=1,N(I3315)+ROW()/10000000,0)</f>
        <v>0</v>
      </c>
      <c r="L3315" s="47" t="str">
        <f aca="false">IF(AND(J3315=1,N(I3315)&gt;0),SUMIF($K$2:$K$5001,"&gt;="&amp;K3315,$I$2:$I$5001)/MAX(1,SUM($H$2:$H$5001)),"")</f>
        <v/>
      </c>
      <c r="M3315" s="47" t="str">
        <f aca="false">IF($A3315="","",INDEX($L$2:$L$5001,MATCH($A3315,$A$2:$A$5001,0)))</f>
        <v/>
      </c>
      <c r="N3315" s="48" t="str">
        <f aca="false">IF($A3315="","",IF(N(M3315)=0,"–",IF(M3315&lt;=Start!$D$20,"A",IF(M3315&lt;=Start!$D$21,"B","C"))))</f>
        <v/>
      </c>
      <c r="O3315" s="48" t="str">
        <f aca="false">IF($A3315="","",IF(NOT(ISNUMBER(F3315)),"Wert fehlt; ",IF(F3315&lt;=0,"Wert ist 0; ",""))&amp;IF(NOT(ISNUMBER(E3315)),"Bestand fehlt; ",IF(E3315&lt;0,"Bestand negativ; ",IF(E3315=0,"Nullbestand; ","")))&amp;IF(D3315="","Warengruppe fehlt; ","")&amp;IF(B3315="","Bezeichnung fehlt; ","")&amp;IF(COUNTIFS($A$2:$A$5001,$A3315,$C$2:$C$5001,C3315)&gt;1,"Artikel doppelt im selben Lager; ",""))</f>
        <v/>
      </c>
      <c r="P3315" s="47" t="n">
        <f aca="false">IF(OR($A3315="",D3315=""),0,IF(COUNTIF($D$2:D3315,D3315)=1,SUMIF($D$2:$D$5001,D3315,$H$2:$H$5001)+ROW()/10000000,0))</f>
        <v>0</v>
      </c>
      <c r="Q3315" s="47" t="n">
        <f aca="false">IF(OR($A3315="",C3315=""),0,IF(COUNTIF($C$2:C3315,C3315)=1,SUMIF($C$2:$C$5001,C3315,$H$2:$H$5001)+ROW()/10000000,0))</f>
        <v>0</v>
      </c>
    </row>
    <row r="3316" customFormat="false" ht="15" hidden="false" customHeight="false" outlineLevel="0" collapsed="false">
      <c r="A3316" s="43"/>
      <c r="B3316" s="44"/>
      <c r="C3316" s="44"/>
      <c r="D3316" s="44"/>
      <c r="E3316" s="44"/>
      <c r="F3316" s="44"/>
      <c r="G3316" s="44"/>
      <c r="H3316" s="46" t="str">
        <f aca="false">IF($A3316="","",IF(OR(NOT(ISNUMBER(E3316)),NOT(ISNUMBER(F3316))),"",MAX(0,E3316)*F3316))</f>
        <v/>
      </c>
      <c r="I3316" s="46" t="str">
        <f aca="false">IF($A3316="","",SUMIF($A$2:$A$5001,$A3316,$H$2:$H$5001))</f>
        <v/>
      </c>
      <c r="J3316" s="47" t="n">
        <f aca="false">IF($A3316="",0,IF(COUNTIF($A$2:A3316,$A3316)=1,1,0))</f>
        <v>0</v>
      </c>
      <c r="K3316" s="47" t="n">
        <f aca="false">IF(J3316=1,N(I3316)+ROW()/10000000,0)</f>
        <v>0</v>
      </c>
      <c r="L3316" s="47" t="str">
        <f aca="false">IF(AND(J3316=1,N(I3316)&gt;0),SUMIF($K$2:$K$5001,"&gt;="&amp;K3316,$I$2:$I$5001)/MAX(1,SUM($H$2:$H$5001)),"")</f>
        <v/>
      </c>
      <c r="M3316" s="47" t="str">
        <f aca="false">IF($A3316="","",INDEX($L$2:$L$5001,MATCH($A3316,$A$2:$A$5001,0)))</f>
        <v/>
      </c>
      <c r="N3316" s="48" t="str">
        <f aca="false">IF($A3316="","",IF(N(M3316)=0,"–",IF(M3316&lt;=Start!$D$20,"A",IF(M3316&lt;=Start!$D$21,"B","C"))))</f>
        <v/>
      </c>
      <c r="O3316" s="48" t="str">
        <f aca="false">IF($A3316="","",IF(NOT(ISNUMBER(F3316)),"Wert fehlt; ",IF(F3316&lt;=0,"Wert ist 0; ",""))&amp;IF(NOT(ISNUMBER(E3316)),"Bestand fehlt; ",IF(E3316&lt;0,"Bestand negativ; ",IF(E3316=0,"Nullbestand; ","")))&amp;IF(D3316="","Warengruppe fehlt; ","")&amp;IF(B3316="","Bezeichnung fehlt; ","")&amp;IF(COUNTIFS($A$2:$A$5001,$A3316,$C$2:$C$5001,C3316)&gt;1,"Artikel doppelt im selben Lager; ",""))</f>
        <v/>
      </c>
      <c r="P3316" s="47" t="n">
        <f aca="false">IF(OR($A3316="",D3316=""),0,IF(COUNTIF($D$2:D3316,D3316)=1,SUMIF($D$2:$D$5001,D3316,$H$2:$H$5001)+ROW()/10000000,0))</f>
        <v>0</v>
      </c>
      <c r="Q3316" s="47" t="n">
        <f aca="false">IF(OR($A3316="",C3316=""),0,IF(COUNTIF($C$2:C3316,C3316)=1,SUMIF($C$2:$C$5001,C3316,$H$2:$H$5001)+ROW()/10000000,0))</f>
        <v>0</v>
      </c>
    </row>
    <row r="3317" customFormat="false" ht="15" hidden="false" customHeight="false" outlineLevel="0" collapsed="false">
      <c r="A3317" s="43"/>
      <c r="B3317" s="44"/>
      <c r="C3317" s="44"/>
      <c r="D3317" s="44"/>
      <c r="E3317" s="44"/>
      <c r="F3317" s="44"/>
      <c r="G3317" s="44"/>
      <c r="H3317" s="46" t="str">
        <f aca="false">IF($A3317="","",IF(OR(NOT(ISNUMBER(E3317)),NOT(ISNUMBER(F3317))),"",MAX(0,E3317)*F3317))</f>
        <v/>
      </c>
      <c r="I3317" s="46" t="str">
        <f aca="false">IF($A3317="","",SUMIF($A$2:$A$5001,$A3317,$H$2:$H$5001))</f>
        <v/>
      </c>
      <c r="J3317" s="47" t="n">
        <f aca="false">IF($A3317="",0,IF(COUNTIF($A$2:A3317,$A3317)=1,1,0))</f>
        <v>0</v>
      </c>
      <c r="K3317" s="47" t="n">
        <f aca="false">IF(J3317=1,N(I3317)+ROW()/10000000,0)</f>
        <v>0</v>
      </c>
      <c r="L3317" s="47" t="str">
        <f aca="false">IF(AND(J3317=1,N(I3317)&gt;0),SUMIF($K$2:$K$5001,"&gt;="&amp;K3317,$I$2:$I$5001)/MAX(1,SUM($H$2:$H$5001)),"")</f>
        <v/>
      </c>
      <c r="M3317" s="47" t="str">
        <f aca="false">IF($A3317="","",INDEX($L$2:$L$5001,MATCH($A3317,$A$2:$A$5001,0)))</f>
        <v/>
      </c>
      <c r="N3317" s="48" t="str">
        <f aca="false">IF($A3317="","",IF(N(M3317)=0,"–",IF(M3317&lt;=Start!$D$20,"A",IF(M3317&lt;=Start!$D$21,"B","C"))))</f>
        <v/>
      </c>
      <c r="O3317" s="48" t="str">
        <f aca="false">IF($A3317="","",IF(NOT(ISNUMBER(F3317)),"Wert fehlt; ",IF(F3317&lt;=0,"Wert ist 0; ",""))&amp;IF(NOT(ISNUMBER(E3317)),"Bestand fehlt; ",IF(E3317&lt;0,"Bestand negativ; ",IF(E3317=0,"Nullbestand; ","")))&amp;IF(D3317="","Warengruppe fehlt; ","")&amp;IF(B3317="","Bezeichnung fehlt; ","")&amp;IF(COUNTIFS($A$2:$A$5001,$A3317,$C$2:$C$5001,C3317)&gt;1,"Artikel doppelt im selben Lager; ",""))</f>
        <v/>
      </c>
      <c r="P3317" s="47" t="n">
        <f aca="false">IF(OR($A3317="",D3317=""),0,IF(COUNTIF($D$2:D3317,D3317)=1,SUMIF($D$2:$D$5001,D3317,$H$2:$H$5001)+ROW()/10000000,0))</f>
        <v>0</v>
      </c>
      <c r="Q3317" s="47" t="n">
        <f aca="false">IF(OR($A3317="",C3317=""),0,IF(COUNTIF($C$2:C3317,C3317)=1,SUMIF($C$2:$C$5001,C3317,$H$2:$H$5001)+ROW()/10000000,0))</f>
        <v>0</v>
      </c>
    </row>
    <row r="3318" customFormat="false" ht="15" hidden="false" customHeight="false" outlineLevel="0" collapsed="false">
      <c r="A3318" s="43"/>
      <c r="B3318" s="44"/>
      <c r="C3318" s="44"/>
      <c r="D3318" s="44"/>
      <c r="E3318" s="44"/>
      <c r="F3318" s="44"/>
      <c r="G3318" s="44"/>
      <c r="H3318" s="46" t="str">
        <f aca="false">IF($A3318="","",IF(OR(NOT(ISNUMBER(E3318)),NOT(ISNUMBER(F3318))),"",MAX(0,E3318)*F3318))</f>
        <v/>
      </c>
      <c r="I3318" s="46" t="str">
        <f aca="false">IF($A3318="","",SUMIF($A$2:$A$5001,$A3318,$H$2:$H$5001))</f>
        <v/>
      </c>
      <c r="J3318" s="47" t="n">
        <f aca="false">IF($A3318="",0,IF(COUNTIF($A$2:A3318,$A3318)=1,1,0))</f>
        <v>0</v>
      </c>
      <c r="K3318" s="47" t="n">
        <f aca="false">IF(J3318=1,N(I3318)+ROW()/10000000,0)</f>
        <v>0</v>
      </c>
      <c r="L3318" s="47" t="str">
        <f aca="false">IF(AND(J3318=1,N(I3318)&gt;0),SUMIF($K$2:$K$5001,"&gt;="&amp;K3318,$I$2:$I$5001)/MAX(1,SUM($H$2:$H$5001)),"")</f>
        <v/>
      </c>
      <c r="M3318" s="47" t="str">
        <f aca="false">IF($A3318="","",INDEX($L$2:$L$5001,MATCH($A3318,$A$2:$A$5001,0)))</f>
        <v/>
      </c>
      <c r="N3318" s="48" t="str">
        <f aca="false">IF($A3318="","",IF(N(M3318)=0,"–",IF(M3318&lt;=Start!$D$20,"A",IF(M3318&lt;=Start!$D$21,"B","C"))))</f>
        <v/>
      </c>
      <c r="O3318" s="48" t="str">
        <f aca="false">IF($A3318="","",IF(NOT(ISNUMBER(F3318)),"Wert fehlt; ",IF(F3318&lt;=0,"Wert ist 0; ",""))&amp;IF(NOT(ISNUMBER(E3318)),"Bestand fehlt; ",IF(E3318&lt;0,"Bestand negativ; ",IF(E3318=0,"Nullbestand; ","")))&amp;IF(D3318="","Warengruppe fehlt; ","")&amp;IF(B3318="","Bezeichnung fehlt; ","")&amp;IF(COUNTIFS($A$2:$A$5001,$A3318,$C$2:$C$5001,C3318)&gt;1,"Artikel doppelt im selben Lager; ",""))</f>
        <v/>
      </c>
      <c r="P3318" s="47" t="n">
        <f aca="false">IF(OR($A3318="",D3318=""),0,IF(COUNTIF($D$2:D3318,D3318)=1,SUMIF($D$2:$D$5001,D3318,$H$2:$H$5001)+ROW()/10000000,0))</f>
        <v>0</v>
      </c>
      <c r="Q3318" s="47" t="n">
        <f aca="false">IF(OR($A3318="",C3318=""),0,IF(COUNTIF($C$2:C3318,C3318)=1,SUMIF($C$2:$C$5001,C3318,$H$2:$H$5001)+ROW()/10000000,0))</f>
        <v>0</v>
      </c>
    </row>
    <row r="3319" customFormat="false" ht="15" hidden="false" customHeight="false" outlineLevel="0" collapsed="false">
      <c r="A3319" s="43"/>
      <c r="B3319" s="44"/>
      <c r="C3319" s="44"/>
      <c r="D3319" s="44"/>
      <c r="E3319" s="44"/>
      <c r="F3319" s="44"/>
      <c r="G3319" s="44"/>
      <c r="H3319" s="46" t="str">
        <f aca="false">IF($A3319="","",IF(OR(NOT(ISNUMBER(E3319)),NOT(ISNUMBER(F3319))),"",MAX(0,E3319)*F3319))</f>
        <v/>
      </c>
      <c r="I3319" s="46" t="str">
        <f aca="false">IF($A3319="","",SUMIF($A$2:$A$5001,$A3319,$H$2:$H$5001))</f>
        <v/>
      </c>
      <c r="J3319" s="47" t="n">
        <f aca="false">IF($A3319="",0,IF(COUNTIF($A$2:A3319,$A3319)=1,1,0))</f>
        <v>0</v>
      </c>
      <c r="K3319" s="47" t="n">
        <f aca="false">IF(J3319=1,N(I3319)+ROW()/10000000,0)</f>
        <v>0</v>
      </c>
      <c r="L3319" s="47" t="str">
        <f aca="false">IF(AND(J3319=1,N(I3319)&gt;0),SUMIF($K$2:$K$5001,"&gt;="&amp;K3319,$I$2:$I$5001)/MAX(1,SUM($H$2:$H$5001)),"")</f>
        <v/>
      </c>
      <c r="M3319" s="47" t="str">
        <f aca="false">IF($A3319="","",INDEX($L$2:$L$5001,MATCH($A3319,$A$2:$A$5001,0)))</f>
        <v/>
      </c>
      <c r="N3319" s="48" t="str">
        <f aca="false">IF($A3319="","",IF(N(M3319)=0,"–",IF(M3319&lt;=Start!$D$20,"A",IF(M3319&lt;=Start!$D$21,"B","C"))))</f>
        <v/>
      </c>
      <c r="O3319" s="48" t="str">
        <f aca="false">IF($A3319="","",IF(NOT(ISNUMBER(F3319)),"Wert fehlt; ",IF(F3319&lt;=0,"Wert ist 0; ",""))&amp;IF(NOT(ISNUMBER(E3319)),"Bestand fehlt; ",IF(E3319&lt;0,"Bestand negativ; ",IF(E3319=0,"Nullbestand; ","")))&amp;IF(D3319="","Warengruppe fehlt; ","")&amp;IF(B3319="","Bezeichnung fehlt; ","")&amp;IF(COUNTIFS($A$2:$A$5001,$A3319,$C$2:$C$5001,C3319)&gt;1,"Artikel doppelt im selben Lager; ",""))</f>
        <v/>
      </c>
      <c r="P3319" s="47" t="n">
        <f aca="false">IF(OR($A3319="",D3319=""),0,IF(COUNTIF($D$2:D3319,D3319)=1,SUMIF($D$2:$D$5001,D3319,$H$2:$H$5001)+ROW()/10000000,0))</f>
        <v>0</v>
      </c>
      <c r="Q3319" s="47" t="n">
        <f aca="false">IF(OR($A3319="",C3319=""),0,IF(COUNTIF($C$2:C3319,C3319)=1,SUMIF($C$2:$C$5001,C3319,$H$2:$H$5001)+ROW()/10000000,0))</f>
        <v>0</v>
      </c>
    </row>
    <row r="3320" customFormat="false" ht="15" hidden="false" customHeight="false" outlineLevel="0" collapsed="false">
      <c r="A3320" s="43"/>
      <c r="B3320" s="44"/>
      <c r="C3320" s="44"/>
      <c r="D3320" s="44"/>
      <c r="E3320" s="44"/>
      <c r="F3320" s="44"/>
      <c r="G3320" s="44"/>
      <c r="H3320" s="46" t="str">
        <f aca="false">IF($A3320="","",IF(OR(NOT(ISNUMBER(E3320)),NOT(ISNUMBER(F3320))),"",MAX(0,E3320)*F3320))</f>
        <v/>
      </c>
      <c r="I3320" s="46" t="str">
        <f aca="false">IF($A3320="","",SUMIF($A$2:$A$5001,$A3320,$H$2:$H$5001))</f>
        <v/>
      </c>
      <c r="J3320" s="47" t="n">
        <f aca="false">IF($A3320="",0,IF(COUNTIF($A$2:A3320,$A3320)=1,1,0))</f>
        <v>0</v>
      </c>
      <c r="K3320" s="47" t="n">
        <f aca="false">IF(J3320=1,N(I3320)+ROW()/10000000,0)</f>
        <v>0</v>
      </c>
      <c r="L3320" s="47" t="str">
        <f aca="false">IF(AND(J3320=1,N(I3320)&gt;0),SUMIF($K$2:$K$5001,"&gt;="&amp;K3320,$I$2:$I$5001)/MAX(1,SUM($H$2:$H$5001)),"")</f>
        <v/>
      </c>
      <c r="M3320" s="47" t="str">
        <f aca="false">IF($A3320="","",INDEX($L$2:$L$5001,MATCH($A3320,$A$2:$A$5001,0)))</f>
        <v/>
      </c>
      <c r="N3320" s="48" t="str">
        <f aca="false">IF($A3320="","",IF(N(M3320)=0,"–",IF(M3320&lt;=Start!$D$20,"A",IF(M3320&lt;=Start!$D$21,"B","C"))))</f>
        <v/>
      </c>
      <c r="O3320" s="48" t="str">
        <f aca="false">IF($A3320="","",IF(NOT(ISNUMBER(F3320)),"Wert fehlt; ",IF(F3320&lt;=0,"Wert ist 0; ",""))&amp;IF(NOT(ISNUMBER(E3320)),"Bestand fehlt; ",IF(E3320&lt;0,"Bestand negativ; ",IF(E3320=0,"Nullbestand; ","")))&amp;IF(D3320="","Warengruppe fehlt; ","")&amp;IF(B3320="","Bezeichnung fehlt; ","")&amp;IF(COUNTIFS($A$2:$A$5001,$A3320,$C$2:$C$5001,C3320)&gt;1,"Artikel doppelt im selben Lager; ",""))</f>
        <v/>
      </c>
      <c r="P3320" s="47" t="n">
        <f aca="false">IF(OR($A3320="",D3320=""),0,IF(COUNTIF($D$2:D3320,D3320)=1,SUMIF($D$2:$D$5001,D3320,$H$2:$H$5001)+ROW()/10000000,0))</f>
        <v>0</v>
      </c>
      <c r="Q3320" s="47" t="n">
        <f aca="false">IF(OR($A3320="",C3320=""),0,IF(COUNTIF($C$2:C3320,C3320)=1,SUMIF($C$2:$C$5001,C3320,$H$2:$H$5001)+ROW()/10000000,0))</f>
        <v>0</v>
      </c>
    </row>
    <row r="3321" customFormat="false" ht="15" hidden="false" customHeight="false" outlineLevel="0" collapsed="false">
      <c r="A3321" s="43"/>
      <c r="B3321" s="44"/>
      <c r="C3321" s="44"/>
      <c r="D3321" s="44"/>
      <c r="E3321" s="44"/>
      <c r="F3321" s="44"/>
      <c r="G3321" s="44"/>
      <c r="H3321" s="46" t="str">
        <f aca="false">IF($A3321="","",IF(OR(NOT(ISNUMBER(E3321)),NOT(ISNUMBER(F3321))),"",MAX(0,E3321)*F3321))</f>
        <v/>
      </c>
      <c r="I3321" s="46" t="str">
        <f aca="false">IF($A3321="","",SUMIF($A$2:$A$5001,$A3321,$H$2:$H$5001))</f>
        <v/>
      </c>
      <c r="J3321" s="47" t="n">
        <f aca="false">IF($A3321="",0,IF(COUNTIF($A$2:A3321,$A3321)=1,1,0))</f>
        <v>0</v>
      </c>
      <c r="K3321" s="47" t="n">
        <f aca="false">IF(J3321=1,N(I3321)+ROW()/10000000,0)</f>
        <v>0</v>
      </c>
      <c r="L3321" s="47" t="str">
        <f aca="false">IF(AND(J3321=1,N(I3321)&gt;0),SUMIF($K$2:$K$5001,"&gt;="&amp;K3321,$I$2:$I$5001)/MAX(1,SUM($H$2:$H$5001)),"")</f>
        <v/>
      </c>
      <c r="M3321" s="47" t="str">
        <f aca="false">IF($A3321="","",INDEX($L$2:$L$5001,MATCH($A3321,$A$2:$A$5001,0)))</f>
        <v/>
      </c>
      <c r="N3321" s="48" t="str">
        <f aca="false">IF($A3321="","",IF(N(M3321)=0,"–",IF(M3321&lt;=Start!$D$20,"A",IF(M3321&lt;=Start!$D$21,"B","C"))))</f>
        <v/>
      </c>
      <c r="O3321" s="48" t="str">
        <f aca="false">IF($A3321="","",IF(NOT(ISNUMBER(F3321)),"Wert fehlt; ",IF(F3321&lt;=0,"Wert ist 0; ",""))&amp;IF(NOT(ISNUMBER(E3321)),"Bestand fehlt; ",IF(E3321&lt;0,"Bestand negativ; ",IF(E3321=0,"Nullbestand; ","")))&amp;IF(D3321="","Warengruppe fehlt; ","")&amp;IF(B3321="","Bezeichnung fehlt; ","")&amp;IF(COUNTIFS($A$2:$A$5001,$A3321,$C$2:$C$5001,C3321)&gt;1,"Artikel doppelt im selben Lager; ",""))</f>
        <v/>
      </c>
      <c r="P3321" s="47" t="n">
        <f aca="false">IF(OR($A3321="",D3321=""),0,IF(COUNTIF($D$2:D3321,D3321)=1,SUMIF($D$2:$D$5001,D3321,$H$2:$H$5001)+ROW()/10000000,0))</f>
        <v>0</v>
      </c>
      <c r="Q3321" s="47" t="n">
        <f aca="false">IF(OR($A3321="",C3321=""),0,IF(COUNTIF($C$2:C3321,C3321)=1,SUMIF($C$2:$C$5001,C3321,$H$2:$H$5001)+ROW()/10000000,0))</f>
        <v>0</v>
      </c>
    </row>
    <row r="3322" customFormat="false" ht="15" hidden="false" customHeight="false" outlineLevel="0" collapsed="false">
      <c r="A3322" s="43"/>
      <c r="B3322" s="44"/>
      <c r="C3322" s="44"/>
      <c r="D3322" s="44"/>
      <c r="E3322" s="44"/>
      <c r="F3322" s="44"/>
      <c r="G3322" s="44"/>
      <c r="H3322" s="46" t="str">
        <f aca="false">IF($A3322="","",IF(OR(NOT(ISNUMBER(E3322)),NOT(ISNUMBER(F3322))),"",MAX(0,E3322)*F3322))</f>
        <v/>
      </c>
      <c r="I3322" s="46" t="str">
        <f aca="false">IF($A3322="","",SUMIF($A$2:$A$5001,$A3322,$H$2:$H$5001))</f>
        <v/>
      </c>
      <c r="J3322" s="47" t="n">
        <f aca="false">IF($A3322="",0,IF(COUNTIF($A$2:A3322,$A3322)=1,1,0))</f>
        <v>0</v>
      </c>
      <c r="K3322" s="47" t="n">
        <f aca="false">IF(J3322=1,N(I3322)+ROW()/10000000,0)</f>
        <v>0</v>
      </c>
      <c r="L3322" s="47" t="str">
        <f aca="false">IF(AND(J3322=1,N(I3322)&gt;0),SUMIF($K$2:$K$5001,"&gt;="&amp;K3322,$I$2:$I$5001)/MAX(1,SUM($H$2:$H$5001)),"")</f>
        <v/>
      </c>
      <c r="M3322" s="47" t="str">
        <f aca="false">IF($A3322="","",INDEX($L$2:$L$5001,MATCH($A3322,$A$2:$A$5001,0)))</f>
        <v/>
      </c>
      <c r="N3322" s="48" t="str">
        <f aca="false">IF($A3322="","",IF(N(M3322)=0,"–",IF(M3322&lt;=Start!$D$20,"A",IF(M3322&lt;=Start!$D$21,"B","C"))))</f>
        <v/>
      </c>
      <c r="O3322" s="48" t="str">
        <f aca="false">IF($A3322="","",IF(NOT(ISNUMBER(F3322)),"Wert fehlt; ",IF(F3322&lt;=0,"Wert ist 0; ",""))&amp;IF(NOT(ISNUMBER(E3322)),"Bestand fehlt; ",IF(E3322&lt;0,"Bestand negativ; ",IF(E3322=0,"Nullbestand; ","")))&amp;IF(D3322="","Warengruppe fehlt; ","")&amp;IF(B3322="","Bezeichnung fehlt; ","")&amp;IF(COUNTIFS($A$2:$A$5001,$A3322,$C$2:$C$5001,C3322)&gt;1,"Artikel doppelt im selben Lager; ",""))</f>
        <v/>
      </c>
      <c r="P3322" s="47" t="n">
        <f aca="false">IF(OR($A3322="",D3322=""),0,IF(COUNTIF($D$2:D3322,D3322)=1,SUMIF($D$2:$D$5001,D3322,$H$2:$H$5001)+ROW()/10000000,0))</f>
        <v>0</v>
      </c>
      <c r="Q3322" s="47" t="n">
        <f aca="false">IF(OR($A3322="",C3322=""),0,IF(COUNTIF($C$2:C3322,C3322)=1,SUMIF($C$2:$C$5001,C3322,$H$2:$H$5001)+ROW()/10000000,0))</f>
        <v>0</v>
      </c>
    </row>
    <row r="3323" customFormat="false" ht="15" hidden="false" customHeight="false" outlineLevel="0" collapsed="false">
      <c r="A3323" s="43"/>
      <c r="B3323" s="44"/>
      <c r="C3323" s="44"/>
      <c r="D3323" s="44"/>
      <c r="E3323" s="44"/>
      <c r="F3323" s="44"/>
      <c r="G3323" s="44"/>
      <c r="H3323" s="46" t="str">
        <f aca="false">IF($A3323="","",IF(OR(NOT(ISNUMBER(E3323)),NOT(ISNUMBER(F3323))),"",MAX(0,E3323)*F3323))</f>
        <v/>
      </c>
      <c r="I3323" s="46" t="str">
        <f aca="false">IF($A3323="","",SUMIF($A$2:$A$5001,$A3323,$H$2:$H$5001))</f>
        <v/>
      </c>
      <c r="J3323" s="47" t="n">
        <f aca="false">IF($A3323="",0,IF(COUNTIF($A$2:A3323,$A3323)=1,1,0))</f>
        <v>0</v>
      </c>
      <c r="K3323" s="47" t="n">
        <f aca="false">IF(J3323=1,N(I3323)+ROW()/10000000,0)</f>
        <v>0</v>
      </c>
      <c r="L3323" s="47" t="str">
        <f aca="false">IF(AND(J3323=1,N(I3323)&gt;0),SUMIF($K$2:$K$5001,"&gt;="&amp;K3323,$I$2:$I$5001)/MAX(1,SUM($H$2:$H$5001)),"")</f>
        <v/>
      </c>
      <c r="M3323" s="47" t="str">
        <f aca="false">IF($A3323="","",INDEX($L$2:$L$5001,MATCH($A3323,$A$2:$A$5001,0)))</f>
        <v/>
      </c>
      <c r="N3323" s="48" t="str">
        <f aca="false">IF($A3323="","",IF(N(M3323)=0,"–",IF(M3323&lt;=Start!$D$20,"A",IF(M3323&lt;=Start!$D$21,"B","C"))))</f>
        <v/>
      </c>
      <c r="O3323" s="48" t="str">
        <f aca="false">IF($A3323="","",IF(NOT(ISNUMBER(F3323)),"Wert fehlt; ",IF(F3323&lt;=0,"Wert ist 0; ",""))&amp;IF(NOT(ISNUMBER(E3323)),"Bestand fehlt; ",IF(E3323&lt;0,"Bestand negativ; ",IF(E3323=0,"Nullbestand; ","")))&amp;IF(D3323="","Warengruppe fehlt; ","")&amp;IF(B3323="","Bezeichnung fehlt; ","")&amp;IF(COUNTIFS($A$2:$A$5001,$A3323,$C$2:$C$5001,C3323)&gt;1,"Artikel doppelt im selben Lager; ",""))</f>
        <v/>
      </c>
      <c r="P3323" s="47" t="n">
        <f aca="false">IF(OR($A3323="",D3323=""),0,IF(COUNTIF($D$2:D3323,D3323)=1,SUMIF($D$2:$D$5001,D3323,$H$2:$H$5001)+ROW()/10000000,0))</f>
        <v>0</v>
      </c>
      <c r="Q3323" s="47" t="n">
        <f aca="false">IF(OR($A3323="",C3323=""),0,IF(COUNTIF($C$2:C3323,C3323)=1,SUMIF($C$2:$C$5001,C3323,$H$2:$H$5001)+ROW()/10000000,0))</f>
        <v>0</v>
      </c>
    </row>
    <row r="3324" customFormat="false" ht="15" hidden="false" customHeight="false" outlineLevel="0" collapsed="false">
      <c r="A3324" s="43"/>
      <c r="B3324" s="44"/>
      <c r="C3324" s="44"/>
      <c r="D3324" s="44"/>
      <c r="E3324" s="44"/>
      <c r="F3324" s="44"/>
      <c r="G3324" s="44"/>
      <c r="H3324" s="46" t="str">
        <f aca="false">IF($A3324="","",IF(OR(NOT(ISNUMBER(E3324)),NOT(ISNUMBER(F3324))),"",MAX(0,E3324)*F3324))</f>
        <v/>
      </c>
      <c r="I3324" s="46" t="str">
        <f aca="false">IF($A3324="","",SUMIF($A$2:$A$5001,$A3324,$H$2:$H$5001))</f>
        <v/>
      </c>
      <c r="J3324" s="47" t="n">
        <f aca="false">IF($A3324="",0,IF(COUNTIF($A$2:A3324,$A3324)=1,1,0))</f>
        <v>0</v>
      </c>
      <c r="K3324" s="47" t="n">
        <f aca="false">IF(J3324=1,N(I3324)+ROW()/10000000,0)</f>
        <v>0</v>
      </c>
      <c r="L3324" s="47" t="str">
        <f aca="false">IF(AND(J3324=1,N(I3324)&gt;0),SUMIF($K$2:$K$5001,"&gt;="&amp;K3324,$I$2:$I$5001)/MAX(1,SUM($H$2:$H$5001)),"")</f>
        <v/>
      </c>
      <c r="M3324" s="47" t="str">
        <f aca="false">IF($A3324="","",INDEX($L$2:$L$5001,MATCH($A3324,$A$2:$A$5001,0)))</f>
        <v/>
      </c>
      <c r="N3324" s="48" t="str">
        <f aca="false">IF($A3324="","",IF(N(M3324)=0,"–",IF(M3324&lt;=Start!$D$20,"A",IF(M3324&lt;=Start!$D$21,"B","C"))))</f>
        <v/>
      </c>
      <c r="O3324" s="48" t="str">
        <f aca="false">IF($A3324="","",IF(NOT(ISNUMBER(F3324)),"Wert fehlt; ",IF(F3324&lt;=0,"Wert ist 0; ",""))&amp;IF(NOT(ISNUMBER(E3324)),"Bestand fehlt; ",IF(E3324&lt;0,"Bestand negativ; ",IF(E3324=0,"Nullbestand; ","")))&amp;IF(D3324="","Warengruppe fehlt; ","")&amp;IF(B3324="","Bezeichnung fehlt; ","")&amp;IF(COUNTIFS($A$2:$A$5001,$A3324,$C$2:$C$5001,C3324)&gt;1,"Artikel doppelt im selben Lager; ",""))</f>
        <v/>
      </c>
      <c r="P3324" s="47" t="n">
        <f aca="false">IF(OR($A3324="",D3324=""),0,IF(COUNTIF($D$2:D3324,D3324)=1,SUMIF($D$2:$D$5001,D3324,$H$2:$H$5001)+ROW()/10000000,0))</f>
        <v>0</v>
      </c>
      <c r="Q3324" s="47" t="n">
        <f aca="false">IF(OR($A3324="",C3324=""),0,IF(COUNTIF($C$2:C3324,C3324)=1,SUMIF($C$2:$C$5001,C3324,$H$2:$H$5001)+ROW()/10000000,0))</f>
        <v>0</v>
      </c>
    </row>
    <row r="3325" customFormat="false" ht="15" hidden="false" customHeight="false" outlineLevel="0" collapsed="false">
      <c r="A3325" s="43"/>
      <c r="B3325" s="44"/>
      <c r="C3325" s="44"/>
      <c r="D3325" s="44"/>
      <c r="E3325" s="44"/>
      <c r="F3325" s="44"/>
      <c r="G3325" s="44"/>
      <c r="H3325" s="46" t="str">
        <f aca="false">IF($A3325="","",IF(OR(NOT(ISNUMBER(E3325)),NOT(ISNUMBER(F3325))),"",MAX(0,E3325)*F3325))</f>
        <v/>
      </c>
      <c r="I3325" s="46" t="str">
        <f aca="false">IF($A3325="","",SUMIF($A$2:$A$5001,$A3325,$H$2:$H$5001))</f>
        <v/>
      </c>
      <c r="J3325" s="47" t="n">
        <f aca="false">IF($A3325="",0,IF(COUNTIF($A$2:A3325,$A3325)=1,1,0))</f>
        <v>0</v>
      </c>
      <c r="K3325" s="47" t="n">
        <f aca="false">IF(J3325=1,N(I3325)+ROW()/10000000,0)</f>
        <v>0</v>
      </c>
      <c r="L3325" s="47" t="str">
        <f aca="false">IF(AND(J3325=1,N(I3325)&gt;0),SUMIF($K$2:$K$5001,"&gt;="&amp;K3325,$I$2:$I$5001)/MAX(1,SUM($H$2:$H$5001)),"")</f>
        <v/>
      </c>
      <c r="M3325" s="47" t="str">
        <f aca="false">IF($A3325="","",INDEX($L$2:$L$5001,MATCH($A3325,$A$2:$A$5001,0)))</f>
        <v/>
      </c>
      <c r="N3325" s="48" t="str">
        <f aca="false">IF($A3325="","",IF(N(M3325)=0,"–",IF(M3325&lt;=Start!$D$20,"A",IF(M3325&lt;=Start!$D$21,"B","C"))))</f>
        <v/>
      </c>
      <c r="O3325" s="48" t="str">
        <f aca="false">IF($A3325="","",IF(NOT(ISNUMBER(F3325)),"Wert fehlt; ",IF(F3325&lt;=0,"Wert ist 0; ",""))&amp;IF(NOT(ISNUMBER(E3325)),"Bestand fehlt; ",IF(E3325&lt;0,"Bestand negativ; ",IF(E3325=0,"Nullbestand; ","")))&amp;IF(D3325="","Warengruppe fehlt; ","")&amp;IF(B3325="","Bezeichnung fehlt; ","")&amp;IF(COUNTIFS($A$2:$A$5001,$A3325,$C$2:$C$5001,C3325)&gt;1,"Artikel doppelt im selben Lager; ",""))</f>
        <v/>
      </c>
      <c r="P3325" s="47" t="n">
        <f aca="false">IF(OR($A3325="",D3325=""),0,IF(COUNTIF($D$2:D3325,D3325)=1,SUMIF($D$2:$D$5001,D3325,$H$2:$H$5001)+ROW()/10000000,0))</f>
        <v>0</v>
      </c>
      <c r="Q3325" s="47" t="n">
        <f aca="false">IF(OR($A3325="",C3325=""),0,IF(COUNTIF($C$2:C3325,C3325)=1,SUMIF($C$2:$C$5001,C3325,$H$2:$H$5001)+ROW()/10000000,0))</f>
        <v>0</v>
      </c>
    </row>
    <row r="3326" customFormat="false" ht="15" hidden="false" customHeight="false" outlineLevel="0" collapsed="false">
      <c r="A3326" s="43"/>
      <c r="B3326" s="44"/>
      <c r="C3326" s="44"/>
      <c r="D3326" s="44"/>
      <c r="E3326" s="44"/>
      <c r="F3326" s="44"/>
      <c r="G3326" s="44"/>
      <c r="H3326" s="46" t="str">
        <f aca="false">IF($A3326="","",IF(OR(NOT(ISNUMBER(E3326)),NOT(ISNUMBER(F3326))),"",MAX(0,E3326)*F3326))</f>
        <v/>
      </c>
      <c r="I3326" s="46" t="str">
        <f aca="false">IF($A3326="","",SUMIF($A$2:$A$5001,$A3326,$H$2:$H$5001))</f>
        <v/>
      </c>
      <c r="J3326" s="47" t="n">
        <f aca="false">IF($A3326="",0,IF(COUNTIF($A$2:A3326,$A3326)=1,1,0))</f>
        <v>0</v>
      </c>
      <c r="K3326" s="47" t="n">
        <f aca="false">IF(J3326=1,N(I3326)+ROW()/10000000,0)</f>
        <v>0</v>
      </c>
      <c r="L3326" s="47" t="str">
        <f aca="false">IF(AND(J3326=1,N(I3326)&gt;0),SUMIF($K$2:$K$5001,"&gt;="&amp;K3326,$I$2:$I$5001)/MAX(1,SUM($H$2:$H$5001)),"")</f>
        <v/>
      </c>
      <c r="M3326" s="47" t="str">
        <f aca="false">IF($A3326="","",INDEX($L$2:$L$5001,MATCH($A3326,$A$2:$A$5001,0)))</f>
        <v/>
      </c>
      <c r="N3326" s="48" t="str">
        <f aca="false">IF($A3326="","",IF(N(M3326)=0,"–",IF(M3326&lt;=Start!$D$20,"A",IF(M3326&lt;=Start!$D$21,"B","C"))))</f>
        <v/>
      </c>
      <c r="O3326" s="48" t="str">
        <f aca="false">IF($A3326="","",IF(NOT(ISNUMBER(F3326)),"Wert fehlt; ",IF(F3326&lt;=0,"Wert ist 0; ",""))&amp;IF(NOT(ISNUMBER(E3326)),"Bestand fehlt; ",IF(E3326&lt;0,"Bestand negativ; ",IF(E3326=0,"Nullbestand; ","")))&amp;IF(D3326="","Warengruppe fehlt; ","")&amp;IF(B3326="","Bezeichnung fehlt; ","")&amp;IF(COUNTIFS($A$2:$A$5001,$A3326,$C$2:$C$5001,C3326)&gt;1,"Artikel doppelt im selben Lager; ",""))</f>
        <v/>
      </c>
      <c r="P3326" s="47" t="n">
        <f aca="false">IF(OR($A3326="",D3326=""),0,IF(COUNTIF($D$2:D3326,D3326)=1,SUMIF($D$2:$D$5001,D3326,$H$2:$H$5001)+ROW()/10000000,0))</f>
        <v>0</v>
      </c>
      <c r="Q3326" s="47" t="n">
        <f aca="false">IF(OR($A3326="",C3326=""),0,IF(COUNTIF($C$2:C3326,C3326)=1,SUMIF($C$2:$C$5001,C3326,$H$2:$H$5001)+ROW()/10000000,0))</f>
        <v>0</v>
      </c>
    </row>
    <row r="3327" customFormat="false" ht="15" hidden="false" customHeight="false" outlineLevel="0" collapsed="false">
      <c r="A3327" s="43"/>
      <c r="B3327" s="44"/>
      <c r="C3327" s="44"/>
      <c r="D3327" s="44"/>
      <c r="E3327" s="44"/>
      <c r="F3327" s="44"/>
      <c r="G3327" s="44"/>
      <c r="H3327" s="46" t="str">
        <f aca="false">IF($A3327="","",IF(OR(NOT(ISNUMBER(E3327)),NOT(ISNUMBER(F3327))),"",MAX(0,E3327)*F3327))</f>
        <v/>
      </c>
      <c r="I3327" s="46" t="str">
        <f aca="false">IF($A3327="","",SUMIF($A$2:$A$5001,$A3327,$H$2:$H$5001))</f>
        <v/>
      </c>
      <c r="J3327" s="47" t="n">
        <f aca="false">IF($A3327="",0,IF(COUNTIF($A$2:A3327,$A3327)=1,1,0))</f>
        <v>0</v>
      </c>
      <c r="K3327" s="47" t="n">
        <f aca="false">IF(J3327=1,N(I3327)+ROW()/10000000,0)</f>
        <v>0</v>
      </c>
      <c r="L3327" s="47" t="str">
        <f aca="false">IF(AND(J3327=1,N(I3327)&gt;0),SUMIF($K$2:$K$5001,"&gt;="&amp;K3327,$I$2:$I$5001)/MAX(1,SUM($H$2:$H$5001)),"")</f>
        <v/>
      </c>
      <c r="M3327" s="47" t="str">
        <f aca="false">IF($A3327="","",INDEX($L$2:$L$5001,MATCH($A3327,$A$2:$A$5001,0)))</f>
        <v/>
      </c>
      <c r="N3327" s="48" t="str">
        <f aca="false">IF($A3327="","",IF(N(M3327)=0,"–",IF(M3327&lt;=Start!$D$20,"A",IF(M3327&lt;=Start!$D$21,"B","C"))))</f>
        <v/>
      </c>
      <c r="O3327" s="48" t="str">
        <f aca="false">IF($A3327="","",IF(NOT(ISNUMBER(F3327)),"Wert fehlt; ",IF(F3327&lt;=0,"Wert ist 0; ",""))&amp;IF(NOT(ISNUMBER(E3327)),"Bestand fehlt; ",IF(E3327&lt;0,"Bestand negativ; ",IF(E3327=0,"Nullbestand; ","")))&amp;IF(D3327="","Warengruppe fehlt; ","")&amp;IF(B3327="","Bezeichnung fehlt; ","")&amp;IF(COUNTIFS($A$2:$A$5001,$A3327,$C$2:$C$5001,C3327)&gt;1,"Artikel doppelt im selben Lager; ",""))</f>
        <v/>
      </c>
      <c r="P3327" s="47" t="n">
        <f aca="false">IF(OR($A3327="",D3327=""),0,IF(COUNTIF($D$2:D3327,D3327)=1,SUMIF($D$2:$D$5001,D3327,$H$2:$H$5001)+ROW()/10000000,0))</f>
        <v>0</v>
      </c>
      <c r="Q3327" s="47" t="n">
        <f aca="false">IF(OR($A3327="",C3327=""),0,IF(COUNTIF($C$2:C3327,C3327)=1,SUMIF($C$2:$C$5001,C3327,$H$2:$H$5001)+ROW()/10000000,0))</f>
        <v>0</v>
      </c>
    </row>
    <row r="3328" customFormat="false" ht="15" hidden="false" customHeight="false" outlineLevel="0" collapsed="false">
      <c r="A3328" s="43"/>
      <c r="B3328" s="44"/>
      <c r="C3328" s="44"/>
      <c r="D3328" s="44"/>
      <c r="E3328" s="44"/>
      <c r="F3328" s="44"/>
      <c r="G3328" s="44"/>
      <c r="H3328" s="46" t="str">
        <f aca="false">IF($A3328="","",IF(OR(NOT(ISNUMBER(E3328)),NOT(ISNUMBER(F3328))),"",MAX(0,E3328)*F3328))</f>
        <v/>
      </c>
      <c r="I3328" s="46" t="str">
        <f aca="false">IF($A3328="","",SUMIF($A$2:$A$5001,$A3328,$H$2:$H$5001))</f>
        <v/>
      </c>
      <c r="J3328" s="47" t="n">
        <f aca="false">IF($A3328="",0,IF(COUNTIF($A$2:A3328,$A3328)=1,1,0))</f>
        <v>0</v>
      </c>
      <c r="K3328" s="47" t="n">
        <f aca="false">IF(J3328=1,N(I3328)+ROW()/10000000,0)</f>
        <v>0</v>
      </c>
      <c r="L3328" s="47" t="str">
        <f aca="false">IF(AND(J3328=1,N(I3328)&gt;0),SUMIF($K$2:$K$5001,"&gt;="&amp;K3328,$I$2:$I$5001)/MAX(1,SUM($H$2:$H$5001)),"")</f>
        <v/>
      </c>
      <c r="M3328" s="47" t="str">
        <f aca="false">IF($A3328="","",INDEX($L$2:$L$5001,MATCH($A3328,$A$2:$A$5001,0)))</f>
        <v/>
      </c>
      <c r="N3328" s="48" t="str">
        <f aca="false">IF($A3328="","",IF(N(M3328)=0,"–",IF(M3328&lt;=Start!$D$20,"A",IF(M3328&lt;=Start!$D$21,"B","C"))))</f>
        <v/>
      </c>
      <c r="O3328" s="48" t="str">
        <f aca="false">IF($A3328="","",IF(NOT(ISNUMBER(F3328)),"Wert fehlt; ",IF(F3328&lt;=0,"Wert ist 0; ",""))&amp;IF(NOT(ISNUMBER(E3328)),"Bestand fehlt; ",IF(E3328&lt;0,"Bestand negativ; ",IF(E3328=0,"Nullbestand; ","")))&amp;IF(D3328="","Warengruppe fehlt; ","")&amp;IF(B3328="","Bezeichnung fehlt; ","")&amp;IF(COUNTIFS($A$2:$A$5001,$A3328,$C$2:$C$5001,C3328)&gt;1,"Artikel doppelt im selben Lager; ",""))</f>
        <v/>
      </c>
      <c r="P3328" s="47" t="n">
        <f aca="false">IF(OR($A3328="",D3328=""),0,IF(COUNTIF($D$2:D3328,D3328)=1,SUMIF($D$2:$D$5001,D3328,$H$2:$H$5001)+ROW()/10000000,0))</f>
        <v>0</v>
      </c>
      <c r="Q3328" s="47" t="n">
        <f aca="false">IF(OR($A3328="",C3328=""),0,IF(COUNTIF($C$2:C3328,C3328)=1,SUMIF($C$2:$C$5001,C3328,$H$2:$H$5001)+ROW()/10000000,0))</f>
        <v>0</v>
      </c>
    </row>
    <row r="3329" customFormat="false" ht="15" hidden="false" customHeight="false" outlineLevel="0" collapsed="false">
      <c r="A3329" s="43"/>
      <c r="B3329" s="44"/>
      <c r="C3329" s="44"/>
      <c r="D3329" s="44"/>
      <c r="E3329" s="44"/>
      <c r="F3329" s="44"/>
      <c r="G3329" s="44"/>
      <c r="H3329" s="46" t="str">
        <f aca="false">IF($A3329="","",IF(OR(NOT(ISNUMBER(E3329)),NOT(ISNUMBER(F3329))),"",MAX(0,E3329)*F3329))</f>
        <v/>
      </c>
      <c r="I3329" s="46" t="str">
        <f aca="false">IF($A3329="","",SUMIF($A$2:$A$5001,$A3329,$H$2:$H$5001))</f>
        <v/>
      </c>
      <c r="J3329" s="47" t="n">
        <f aca="false">IF($A3329="",0,IF(COUNTIF($A$2:A3329,$A3329)=1,1,0))</f>
        <v>0</v>
      </c>
      <c r="K3329" s="47" t="n">
        <f aca="false">IF(J3329=1,N(I3329)+ROW()/10000000,0)</f>
        <v>0</v>
      </c>
      <c r="L3329" s="47" t="str">
        <f aca="false">IF(AND(J3329=1,N(I3329)&gt;0),SUMIF($K$2:$K$5001,"&gt;="&amp;K3329,$I$2:$I$5001)/MAX(1,SUM($H$2:$H$5001)),"")</f>
        <v/>
      </c>
      <c r="M3329" s="47" t="str">
        <f aca="false">IF($A3329="","",INDEX($L$2:$L$5001,MATCH($A3329,$A$2:$A$5001,0)))</f>
        <v/>
      </c>
      <c r="N3329" s="48" t="str">
        <f aca="false">IF($A3329="","",IF(N(M3329)=0,"–",IF(M3329&lt;=Start!$D$20,"A",IF(M3329&lt;=Start!$D$21,"B","C"))))</f>
        <v/>
      </c>
      <c r="O3329" s="48" t="str">
        <f aca="false">IF($A3329="","",IF(NOT(ISNUMBER(F3329)),"Wert fehlt; ",IF(F3329&lt;=0,"Wert ist 0; ",""))&amp;IF(NOT(ISNUMBER(E3329)),"Bestand fehlt; ",IF(E3329&lt;0,"Bestand negativ; ",IF(E3329=0,"Nullbestand; ","")))&amp;IF(D3329="","Warengruppe fehlt; ","")&amp;IF(B3329="","Bezeichnung fehlt; ","")&amp;IF(COUNTIFS($A$2:$A$5001,$A3329,$C$2:$C$5001,C3329)&gt;1,"Artikel doppelt im selben Lager; ",""))</f>
        <v/>
      </c>
      <c r="P3329" s="47" t="n">
        <f aca="false">IF(OR($A3329="",D3329=""),0,IF(COUNTIF($D$2:D3329,D3329)=1,SUMIF($D$2:$D$5001,D3329,$H$2:$H$5001)+ROW()/10000000,0))</f>
        <v>0</v>
      </c>
      <c r="Q3329" s="47" t="n">
        <f aca="false">IF(OR($A3329="",C3329=""),0,IF(COUNTIF($C$2:C3329,C3329)=1,SUMIF($C$2:$C$5001,C3329,$H$2:$H$5001)+ROW()/10000000,0))</f>
        <v>0</v>
      </c>
    </row>
    <row r="3330" customFormat="false" ht="15" hidden="false" customHeight="false" outlineLevel="0" collapsed="false">
      <c r="A3330" s="43"/>
      <c r="B3330" s="44"/>
      <c r="C3330" s="44"/>
      <c r="D3330" s="44"/>
      <c r="E3330" s="44"/>
      <c r="F3330" s="44"/>
      <c r="G3330" s="44"/>
      <c r="H3330" s="46" t="str">
        <f aca="false">IF($A3330="","",IF(OR(NOT(ISNUMBER(E3330)),NOT(ISNUMBER(F3330))),"",MAX(0,E3330)*F3330))</f>
        <v/>
      </c>
      <c r="I3330" s="46" t="str">
        <f aca="false">IF($A3330="","",SUMIF($A$2:$A$5001,$A3330,$H$2:$H$5001))</f>
        <v/>
      </c>
      <c r="J3330" s="47" t="n">
        <f aca="false">IF($A3330="",0,IF(COUNTIF($A$2:A3330,$A3330)=1,1,0))</f>
        <v>0</v>
      </c>
      <c r="K3330" s="47" t="n">
        <f aca="false">IF(J3330=1,N(I3330)+ROW()/10000000,0)</f>
        <v>0</v>
      </c>
      <c r="L3330" s="47" t="str">
        <f aca="false">IF(AND(J3330=1,N(I3330)&gt;0),SUMIF($K$2:$K$5001,"&gt;="&amp;K3330,$I$2:$I$5001)/MAX(1,SUM($H$2:$H$5001)),"")</f>
        <v/>
      </c>
      <c r="M3330" s="47" t="str">
        <f aca="false">IF($A3330="","",INDEX($L$2:$L$5001,MATCH($A3330,$A$2:$A$5001,0)))</f>
        <v/>
      </c>
      <c r="N3330" s="48" t="str">
        <f aca="false">IF($A3330="","",IF(N(M3330)=0,"–",IF(M3330&lt;=Start!$D$20,"A",IF(M3330&lt;=Start!$D$21,"B","C"))))</f>
        <v/>
      </c>
      <c r="O3330" s="48" t="str">
        <f aca="false">IF($A3330="","",IF(NOT(ISNUMBER(F3330)),"Wert fehlt; ",IF(F3330&lt;=0,"Wert ist 0; ",""))&amp;IF(NOT(ISNUMBER(E3330)),"Bestand fehlt; ",IF(E3330&lt;0,"Bestand negativ; ",IF(E3330=0,"Nullbestand; ","")))&amp;IF(D3330="","Warengruppe fehlt; ","")&amp;IF(B3330="","Bezeichnung fehlt; ","")&amp;IF(COUNTIFS($A$2:$A$5001,$A3330,$C$2:$C$5001,C3330)&gt;1,"Artikel doppelt im selben Lager; ",""))</f>
        <v/>
      </c>
      <c r="P3330" s="47" t="n">
        <f aca="false">IF(OR($A3330="",D3330=""),0,IF(COUNTIF($D$2:D3330,D3330)=1,SUMIF($D$2:$D$5001,D3330,$H$2:$H$5001)+ROW()/10000000,0))</f>
        <v>0</v>
      </c>
      <c r="Q3330" s="47" t="n">
        <f aca="false">IF(OR($A3330="",C3330=""),0,IF(COUNTIF($C$2:C3330,C3330)=1,SUMIF($C$2:$C$5001,C3330,$H$2:$H$5001)+ROW()/10000000,0))</f>
        <v>0</v>
      </c>
    </row>
    <row r="3331" customFormat="false" ht="15" hidden="false" customHeight="false" outlineLevel="0" collapsed="false">
      <c r="A3331" s="43"/>
      <c r="B3331" s="44"/>
      <c r="C3331" s="44"/>
      <c r="D3331" s="44"/>
      <c r="E3331" s="44"/>
      <c r="F3331" s="44"/>
      <c r="G3331" s="44"/>
      <c r="H3331" s="46" t="str">
        <f aca="false">IF($A3331="","",IF(OR(NOT(ISNUMBER(E3331)),NOT(ISNUMBER(F3331))),"",MAX(0,E3331)*F3331))</f>
        <v/>
      </c>
      <c r="I3331" s="46" t="str">
        <f aca="false">IF($A3331="","",SUMIF($A$2:$A$5001,$A3331,$H$2:$H$5001))</f>
        <v/>
      </c>
      <c r="J3331" s="47" t="n">
        <f aca="false">IF($A3331="",0,IF(COUNTIF($A$2:A3331,$A3331)=1,1,0))</f>
        <v>0</v>
      </c>
      <c r="K3331" s="47" t="n">
        <f aca="false">IF(J3331=1,N(I3331)+ROW()/10000000,0)</f>
        <v>0</v>
      </c>
      <c r="L3331" s="47" t="str">
        <f aca="false">IF(AND(J3331=1,N(I3331)&gt;0),SUMIF($K$2:$K$5001,"&gt;="&amp;K3331,$I$2:$I$5001)/MAX(1,SUM($H$2:$H$5001)),"")</f>
        <v/>
      </c>
      <c r="M3331" s="47" t="str">
        <f aca="false">IF($A3331="","",INDEX($L$2:$L$5001,MATCH($A3331,$A$2:$A$5001,0)))</f>
        <v/>
      </c>
      <c r="N3331" s="48" t="str">
        <f aca="false">IF($A3331="","",IF(N(M3331)=0,"–",IF(M3331&lt;=Start!$D$20,"A",IF(M3331&lt;=Start!$D$21,"B","C"))))</f>
        <v/>
      </c>
      <c r="O3331" s="48" t="str">
        <f aca="false">IF($A3331="","",IF(NOT(ISNUMBER(F3331)),"Wert fehlt; ",IF(F3331&lt;=0,"Wert ist 0; ",""))&amp;IF(NOT(ISNUMBER(E3331)),"Bestand fehlt; ",IF(E3331&lt;0,"Bestand negativ; ",IF(E3331=0,"Nullbestand; ","")))&amp;IF(D3331="","Warengruppe fehlt; ","")&amp;IF(B3331="","Bezeichnung fehlt; ","")&amp;IF(COUNTIFS($A$2:$A$5001,$A3331,$C$2:$C$5001,C3331)&gt;1,"Artikel doppelt im selben Lager; ",""))</f>
        <v/>
      </c>
      <c r="P3331" s="47" t="n">
        <f aca="false">IF(OR($A3331="",D3331=""),0,IF(COUNTIF($D$2:D3331,D3331)=1,SUMIF($D$2:$D$5001,D3331,$H$2:$H$5001)+ROW()/10000000,0))</f>
        <v>0</v>
      </c>
      <c r="Q3331" s="47" t="n">
        <f aca="false">IF(OR($A3331="",C3331=""),0,IF(COUNTIF($C$2:C3331,C3331)=1,SUMIF($C$2:$C$5001,C3331,$H$2:$H$5001)+ROW()/10000000,0))</f>
        <v>0</v>
      </c>
    </row>
    <row r="3332" customFormat="false" ht="15" hidden="false" customHeight="false" outlineLevel="0" collapsed="false">
      <c r="A3332" s="43"/>
      <c r="B3332" s="44"/>
      <c r="C3332" s="44"/>
      <c r="D3332" s="44"/>
      <c r="E3332" s="44"/>
      <c r="F3332" s="44"/>
      <c r="G3332" s="44"/>
      <c r="H3332" s="46" t="str">
        <f aca="false">IF($A3332="","",IF(OR(NOT(ISNUMBER(E3332)),NOT(ISNUMBER(F3332))),"",MAX(0,E3332)*F3332))</f>
        <v/>
      </c>
      <c r="I3332" s="46" t="str">
        <f aca="false">IF($A3332="","",SUMIF($A$2:$A$5001,$A3332,$H$2:$H$5001))</f>
        <v/>
      </c>
      <c r="J3332" s="47" t="n">
        <f aca="false">IF($A3332="",0,IF(COUNTIF($A$2:A3332,$A3332)=1,1,0))</f>
        <v>0</v>
      </c>
      <c r="K3332" s="47" t="n">
        <f aca="false">IF(J3332=1,N(I3332)+ROW()/10000000,0)</f>
        <v>0</v>
      </c>
      <c r="L3332" s="47" t="str">
        <f aca="false">IF(AND(J3332=1,N(I3332)&gt;0),SUMIF($K$2:$K$5001,"&gt;="&amp;K3332,$I$2:$I$5001)/MAX(1,SUM($H$2:$H$5001)),"")</f>
        <v/>
      </c>
      <c r="M3332" s="47" t="str">
        <f aca="false">IF($A3332="","",INDEX($L$2:$L$5001,MATCH($A3332,$A$2:$A$5001,0)))</f>
        <v/>
      </c>
      <c r="N3332" s="48" t="str">
        <f aca="false">IF($A3332="","",IF(N(M3332)=0,"–",IF(M3332&lt;=Start!$D$20,"A",IF(M3332&lt;=Start!$D$21,"B","C"))))</f>
        <v/>
      </c>
      <c r="O3332" s="48" t="str">
        <f aca="false">IF($A3332="","",IF(NOT(ISNUMBER(F3332)),"Wert fehlt; ",IF(F3332&lt;=0,"Wert ist 0; ",""))&amp;IF(NOT(ISNUMBER(E3332)),"Bestand fehlt; ",IF(E3332&lt;0,"Bestand negativ; ",IF(E3332=0,"Nullbestand; ","")))&amp;IF(D3332="","Warengruppe fehlt; ","")&amp;IF(B3332="","Bezeichnung fehlt; ","")&amp;IF(COUNTIFS($A$2:$A$5001,$A3332,$C$2:$C$5001,C3332)&gt;1,"Artikel doppelt im selben Lager; ",""))</f>
        <v/>
      </c>
      <c r="P3332" s="47" t="n">
        <f aca="false">IF(OR($A3332="",D3332=""),0,IF(COUNTIF($D$2:D3332,D3332)=1,SUMIF($D$2:$D$5001,D3332,$H$2:$H$5001)+ROW()/10000000,0))</f>
        <v>0</v>
      </c>
      <c r="Q3332" s="47" t="n">
        <f aca="false">IF(OR($A3332="",C3332=""),0,IF(COUNTIF($C$2:C3332,C3332)=1,SUMIF($C$2:$C$5001,C3332,$H$2:$H$5001)+ROW()/10000000,0))</f>
        <v>0</v>
      </c>
    </row>
    <row r="3333" customFormat="false" ht="15" hidden="false" customHeight="false" outlineLevel="0" collapsed="false">
      <c r="A3333" s="43"/>
      <c r="B3333" s="44"/>
      <c r="C3333" s="44"/>
      <c r="D3333" s="44"/>
      <c r="E3333" s="44"/>
      <c r="F3333" s="44"/>
      <c r="G3333" s="44"/>
      <c r="H3333" s="46" t="str">
        <f aca="false">IF($A3333="","",IF(OR(NOT(ISNUMBER(E3333)),NOT(ISNUMBER(F3333))),"",MAX(0,E3333)*F3333))</f>
        <v/>
      </c>
      <c r="I3333" s="46" t="str">
        <f aca="false">IF($A3333="","",SUMIF($A$2:$A$5001,$A3333,$H$2:$H$5001))</f>
        <v/>
      </c>
      <c r="J3333" s="47" t="n">
        <f aca="false">IF($A3333="",0,IF(COUNTIF($A$2:A3333,$A3333)=1,1,0))</f>
        <v>0</v>
      </c>
      <c r="K3333" s="47" t="n">
        <f aca="false">IF(J3333=1,N(I3333)+ROW()/10000000,0)</f>
        <v>0</v>
      </c>
      <c r="L3333" s="47" t="str">
        <f aca="false">IF(AND(J3333=1,N(I3333)&gt;0),SUMIF($K$2:$K$5001,"&gt;="&amp;K3333,$I$2:$I$5001)/MAX(1,SUM($H$2:$H$5001)),"")</f>
        <v/>
      </c>
      <c r="M3333" s="47" t="str">
        <f aca="false">IF($A3333="","",INDEX($L$2:$L$5001,MATCH($A3333,$A$2:$A$5001,0)))</f>
        <v/>
      </c>
      <c r="N3333" s="48" t="str">
        <f aca="false">IF($A3333="","",IF(N(M3333)=0,"–",IF(M3333&lt;=Start!$D$20,"A",IF(M3333&lt;=Start!$D$21,"B","C"))))</f>
        <v/>
      </c>
      <c r="O3333" s="48" t="str">
        <f aca="false">IF($A3333="","",IF(NOT(ISNUMBER(F3333)),"Wert fehlt; ",IF(F3333&lt;=0,"Wert ist 0; ",""))&amp;IF(NOT(ISNUMBER(E3333)),"Bestand fehlt; ",IF(E3333&lt;0,"Bestand negativ; ",IF(E3333=0,"Nullbestand; ","")))&amp;IF(D3333="","Warengruppe fehlt; ","")&amp;IF(B3333="","Bezeichnung fehlt; ","")&amp;IF(COUNTIFS($A$2:$A$5001,$A3333,$C$2:$C$5001,C3333)&gt;1,"Artikel doppelt im selben Lager; ",""))</f>
        <v/>
      </c>
      <c r="P3333" s="47" t="n">
        <f aca="false">IF(OR($A3333="",D3333=""),0,IF(COUNTIF($D$2:D3333,D3333)=1,SUMIF($D$2:$D$5001,D3333,$H$2:$H$5001)+ROW()/10000000,0))</f>
        <v>0</v>
      </c>
      <c r="Q3333" s="47" t="n">
        <f aca="false">IF(OR($A3333="",C3333=""),0,IF(COUNTIF($C$2:C3333,C3333)=1,SUMIF($C$2:$C$5001,C3333,$H$2:$H$5001)+ROW()/10000000,0))</f>
        <v>0</v>
      </c>
    </row>
    <row r="3334" customFormat="false" ht="15" hidden="false" customHeight="false" outlineLevel="0" collapsed="false">
      <c r="A3334" s="43"/>
      <c r="B3334" s="44"/>
      <c r="C3334" s="44"/>
      <c r="D3334" s="44"/>
      <c r="E3334" s="44"/>
      <c r="F3334" s="44"/>
      <c r="G3334" s="44"/>
      <c r="H3334" s="46" t="str">
        <f aca="false">IF($A3334="","",IF(OR(NOT(ISNUMBER(E3334)),NOT(ISNUMBER(F3334))),"",MAX(0,E3334)*F3334))</f>
        <v/>
      </c>
      <c r="I3334" s="46" t="str">
        <f aca="false">IF($A3334="","",SUMIF($A$2:$A$5001,$A3334,$H$2:$H$5001))</f>
        <v/>
      </c>
      <c r="J3334" s="47" t="n">
        <f aca="false">IF($A3334="",0,IF(COUNTIF($A$2:A3334,$A3334)=1,1,0))</f>
        <v>0</v>
      </c>
      <c r="K3334" s="47" t="n">
        <f aca="false">IF(J3334=1,N(I3334)+ROW()/10000000,0)</f>
        <v>0</v>
      </c>
      <c r="L3334" s="47" t="str">
        <f aca="false">IF(AND(J3334=1,N(I3334)&gt;0),SUMIF($K$2:$K$5001,"&gt;="&amp;K3334,$I$2:$I$5001)/MAX(1,SUM($H$2:$H$5001)),"")</f>
        <v/>
      </c>
      <c r="M3334" s="47" t="str">
        <f aca="false">IF($A3334="","",INDEX($L$2:$L$5001,MATCH($A3334,$A$2:$A$5001,0)))</f>
        <v/>
      </c>
      <c r="N3334" s="48" t="str">
        <f aca="false">IF($A3334="","",IF(N(M3334)=0,"–",IF(M3334&lt;=Start!$D$20,"A",IF(M3334&lt;=Start!$D$21,"B","C"))))</f>
        <v/>
      </c>
      <c r="O3334" s="48" t="str">
        <f aca="false">IF($A3334="","",IF(NOT(ISNUMBER(F3334)),"Wert fehlt; ",IF(F3334&lt;=0,"Wert ist 0; ",""))&amp;IF(NOT(ISNUMBER(E3334)),"Bestand fehlt; ",IF(E3334&lt;0,"Bestand negativ; ",IF(E3334=0,"Nullbestand; ","")))&amp;IF(D3334="","Warengruppe fehlt; ","")&amp;IF(B3334="","Bezeichnung fehlt; ","")&amp;IF(COUNTIFS($A$2:$A$5001,$A3334,$C$2:$C$5001,C3334)&gt;1,"Artikel doppelt im selben Lager; ",""))</f>
        <v/>
      </c>
      <c r="P3334" s="47" t="n">
        <f aca="false">IF(OR($A3334="",D3334=""),0,IF(COUNTIF($D$2:D3334,D3334)=1,SUMIF($D$2:$D$5001,D3334,$H$2:$H$5001)+ROW()/10000000,0))</f>
        <v>0</v>
      </c>
      <c r="Q3334" s="47" t="n">
        <f aca="false">IF(OR($A3334="",C3334=""),0,IF(COUNTIF($C$2:C3334,C3334)=1,SUMIF($C$2:$C$5001,C3334,$H$2:$H$5001)+ROW()/10000000,0))</f>
        <v>0</v>
      </c>
    </row>
    <row r="3335" customFormat="false" ht="15" hidden="false" customHeight="false" outlineLevel="0" collapsed="false">
      <c r="A3335" s="43"/>
      <c r="B3335" s="44"/>
      <c r="C3335" s="44"/>
      <c r="D3335" s="44"/>
      <c r="E3335" s="44"/>
      <c r="F3335" s="44"/>
      <c r="G3335" s="44"/>
      <c r="H3335" s="46" t="str">
        <f aca="false">IF($A3335="","",IF(OR(NOT(ISNUMBER(E3335)),NOT(ISNUMBER(F3335))),"",MAX(0,E3335)*F3335))</f>
        <v/>
      </c>
      <c r="I3335" s="46" t="str">
        <f aca="false">IF($A3335="","",SUMIF($A$2:$A$5001,$A3335,$H$2:$H$5001))</f>
        <v/>
      </c>
      <c r="J3335" s="47" t="n">
        <f aca="false">IF($A3335="",0,IF(COUNTIF($A$2:A3335,$A3335)=1,1,0))</f>
        <v>0</v>
      </c>
      <c r="K3335" s="47" t="n">
        <f aca="false">IF(J3335=1,N(I3335)+ROW()/10000000,0)</f>
        <v>0</v>
      </c>
      <c r="L3335" s="47" t="str">
        <f aca="false">IF(AND(J3335=1,N(I3335)&gt;0),SUMIF($K$2:$K$5001,"&gt;="&amp;K3335,$I$2:$I$5001)/MAX(1,SUM($H$2:$H$5001)),"")</f>
        <v/>
      </c>
      <c r="M3335" s="47" t="str">
        <f aca="false">IF($A3335="","",INDEX($L$2:$L$5001,MATCH($A3335,$A$2:$A$5001,0)))</f>
        <v/>
      </c>
      <c r="N3335" s="48" t="str">
        <f aca="false">IF($A3335="","",IF(N(M3335)=0,"–",IF(M3335&lt;=Start!$D$20,"A",IF(M3335&lt;=Start!$D$21,"B","C"))))</f>
        <v/>
      </c>
      <c r="O3335" s="48" t="str">
        <f aca="false">IF($A3335="","",IF(NOT(ISNUMBER(F3335)),"Wert fehlt; ",IF(F3335&lt;=0,"Wert ist 0; ",""))&amp;IF(NOT(ISNUMBER(E3335)),"Bestand fehlt; ",IF(E3335&lt;0,"Bestand negativ; ",IF(E3335=0,"Nullbestand; ","")))&amp;IF(D3335="","Warengruppe fehlt; ","")&amp;IF(B3335="","Bezeichnung fehlt; ","")&amp;IF(COUNTIFS($A$2:$A$5001,$A3335,$C$2:$C$5001,C3335)&gt;1,"Artikel doppelt im selben Lager; ",""))</f>
        <v/>
      </c>
      <c r="P3335" s="47" t="n">
        <f aca="false">IF(OR($A3335="",D3335=""),0,IF(COUNTIF($D$2:D3335,D3335)=1,SUMIF($D$2:$D$5001,D3335,$H$2:$H$5001)+ROW()/10000000,0))</f>
        <v>0</v>
      </c>
      <c r="Q3335" s="47" t="n">
        <f aca="false">IF(OR($A3335="",C3335=""),0,IF(COUNTIF($C$2:C3335,C3335)=1,SUMIF($C$2:$C$5001,C3335,$H$2:$H$5001)+ROW()/10000000,0))</f>
        <v>0</v>
      </c>
    </row>
    <row r="3336" customFormat="false" ht="15" hidden="false" customHeight="false" outlineLevel="0" collapsed="false">
      <c r="A3336" s="43"/>
      <c r="B3336" s="44"/>
      <c r="C3336" s="44"/>
      <c r="D3336" s="44"/>
      <c r="E3336" s="44"/>
      <c r="F3336" s="44"/>
      <c r="G3336" s="44"/>
      <c r="H3336" s="46" t="str">
        <f aca="false">IF($A3336="","",IF(OR(NOT(ISNUMBER(E3336)),NOT(ISNUMBER(F3336))),"",MAX(0,E3336)*F3336))</f>
        <v/>
      </c>
      <c r="I3336" s="46" t="str">
        <f aca="false">IF($A3336="","",SUMIF($A$2:$A$5001,$A3336,$H$2:$H$5001))</f>
        <v/>
      </c>
      <c r="J3336" s="47" t="n">
        <f aca="false">IF($A3336="",0,IF(COUNTIF($A$2:A3336,$A3336)=1,1,0))</f>
        <v>0</v>
      </c>
      <c r="K3336" s="47" t="n">
        <f aca="false">IF(J3336=1,N(I3336)+ROW()/10000000,0)</f>
        <v>0</v>
      </c>
      <c r="L3336" s="47" t="str">
        <f aca="false">IF(AND(J3336=1,N(I3336)&gt;0),SUMIF($K$2:$K$5001,"&gt;="&amp;K3336,$I$2:$I$5001)/MAX(1,SUM($H$2:$H$5001)),"")</f>
        <v/>
      </c>
      <c r="M3336" s="47" t="str">
        <f aca="false">IF($A3336="","",INDEX($L$2:$L$5001,MATCH($A3336,$A$2:$A$5001,0)))</f>
        <v/>
      </c>
      <c r="N3336" s="48" t="str">
        <f aca="false">IF($A3336="","",IF(N(M3336)=0,"–",IF(M3336&lt;=Start!$D$20,"A",IF(M3336&lt;=Start!$D$21,"B","C"))))</f>
        <v/>
      </c>
      <c r="O3336" s="48" t="str">
        <f aca="false">IF($A3336="","",IF(NOT(ISNUMBER(F3336)),"Wert fehlt; ",IF(F3336&lt;=0,"Wert ist 0; ",""))&amp;IF(NOT(ISNUMBER(E3336)),"Bestand fehlt; ",IF(E3336&lt;0,"Bestand negativ; ",IF(E3336=0,"Nullbestand; ","")))&amp;IF(D3336="","Warengruppe fehlt; ","")&amp;IF(B3336="","Bezeichnung fehlt; ","")&amp;IF(COUNTIFS($A$2:$A$5001,$A3336,$C$2:$C$5001,C3336)&gt;1,"Artikel doppelt im selben Lager; ",""))</f>
        <v/>
      </c>
      <c r="P3336" s="47" t="n">
        <f aca="false">IF(OR($A3336="",D3336=""),0,IF(COUNTIF($D$2:D3336,D3336)=1,SUMIF($D$2:$D$5001,D3336,$H$2:$H$5001)+ROW()/10000000,0))</f>
        <v>0</v>
      </c>
      <c r="Q3336" s="47" t="n">
        <f aca="false">IF(OR($A3336="",C3336=""),0,IF(COUNTIF($C$2:C3336,C3336)=1,SUMIF($C$2:$C$5001,C3336,$H$2:$H$5001)+ROW()/10000000,0))</f>
        <v>0</v>
      </c>
    </row>
    <row r="3337" customFormat="false" ht="15" hidden="false" customHeight="false" outlineLevel="0" collapsed="false">
      <c r="A3337" s="43"/>
      <c r="B3337" s="44"/>
      <c r="C3337" s="44"/>
      <c r="D3337" s="44"/>
      <c r="E3337" s="44"/>
      <c r="F3337" s="44"/>
      <c r="G3337" s="44"/>
      <c r="H3337" s="46" t="str">
        <f aca="false">IF($A3337="","",IF(OR(NOT(ISNUMBER(E3337)),NOT(ISNUMBER(F3337))),"",MAX(0,E3337)*F3337))</f>
        <v/>
      </c>
      <c r="I3337" s="46" t="str">
        <f aca="false">IF($A3337="","",SUMIF($A$2:$A$5001,$A3337,$H$2:$H$5001))</f>
        <v/>
      </c>
      <c r="J3337" s="47" t="n">
        <f aca="false">IF($A3337="",0,IF(COUNTIF($A$2:A3337,$A3337)=1,1,0))</f>
        <v>0</v>
      </c>
      <c r="K3337" s="47" t="n">
        <f aca="false">IF(J3337=1,N(I3337)+ROW()/10000000,0)</f>
        <v>0</v>
      </c>
      <c r="L3337" s="47" t="str">
        <f aca="false">IF(AND(J3337=1,N(I3337)&gt;0),SUMIF($K$2:$K$5001,"&gt;="&amp;K3337,$I$2:$I$5001)/MAX(1,SUM($H$2:$H$5001)),"")</f>
        <v/>
      </c>
      <c r="M3337" s="47" t="str">
        <f aca="false">IF($A3337="","",INDEX($L$2:$L$5001,MATCH($A3337,$A$2:$A$5001,0)))</f>
        <v/>
      </c>
      <c r="N3337" s="48" t="str">
        <f aca="false">IF($A3337="","",IF(N(M3337)=0,"–",IF(M3337&lt;=Start!$D$20,"A",IF(M3337&lt;=Start!$D$21,"B","C"))))</f>
        <v/>
      </c>
      <c r="O3337" s="48" t="str">
        <f aca="false">IF($A3337="","",IF(NOT(ISNUMBER(F3337)),"Wert fehlt; ",IF(F3337&lt;=0,"Wert ist 0; ",""))&amp;IF(NOT(ISNUMBER(E3337)),"Bestand fehlt; ",IF(E3337&lt;0,"Bestand negativ; ",IF(E3337=0,"Nullbestand; ","")))&amp;IF(D3337="","Warengruppe fehlt; ","")&amp;IF(B3337="","Bezeichnung fehlt; ","")&amp;IF(COUNTIFS($A$2:$A$5001,$A3337,$C$2:$C$5001,C3337)&gt;1,"Artikel doppelt im selben Lager; ",""))</f>
        <v/>
      </c>
      <c r="P3337" s="47" t="n">
        <f aca="false">IF(OR($A3337="",D3337=""),0,IF(COUNTIF($D$2:D3337,D3337)=1,SUMIF($D$2:$D$5001,D3337,$H$2:$H$5001)+ROW()/10000000,0))</f>
        <v>0</v>
      </c>
      <c r="Q3337" s="47" t="n">
        <f aca="false">IF(OR($A3337="",C3337=""),0,IF(COUNTIF($C$2:C3337,C3337)=1,SUMIF($C$2:$C$5001,C3337,$H$2:$H$5001)+ROW()/10000000,0))</f>
        <v>0</v>
      </c>
    </row>
    <row r="3338" customFormat="false" ht="15" hidden="false" customHeight="false" outlineLevel="0" collapsed="false">
      <c r="A3338" s="43"/>
      <c r="B3338" s="44"/>
      <c r="C3338" s="44"/>
      <c r="D3338" s="44"/>
      <c r="E3338" s="44"/>
      <c r="F3338" s="44"/>
      <c r="G3338" s="44"/>
      <c r="H3338" s="46" t="str">
        <f aca="false">IF($A3338="","",IF(OR(NOT(ISNUMBER(E3338)),NOT(ISNUMBER(F3338))),"",MAX(0,E3338)*F3338))</f>
        <v/>
      </c>
      <c r="I3338" s="46" t="str">
        <f aca="false">IF($A3338="","",SUMIF($A$2:$A$5001,$A3338,$H$2:$H$5001))</f>
        <v/>
      </c>
      <c r="J3338" s="47" t="n">
        <f aca="false">IF($A3338="",0,IF(COUNTIF($A$2:A3338,$A3338)=1,1,0))</f>
        <v>0</v>
      </c>
      <c r="K3338" s="47" t="n">
        <f aca="false">IF(J3338=1,N(I3338)+ROW()/10000000,0)</f>
        <v>0</v>
      </c>
      <c r="L3338" s="47" t="str">
        <f aca="false">IF(AND(J3338=1,N(I3338)&gt;0),SUMIF($K$2:$K$5001,"&gt;="&amp;K3338,$I$2:$I$5001)/MAX(1,SUM($H$2:$H$5001)),"")</f>
        <v/>
      </c>
      <c r="M3338" s="47" t="str">
        <f aca="false">IF($A3338="","",INDEX($L$2:$L$5001,MATCH($A3338,$A$2:$A$5001,0)))</f>
        <v/>
      </c>
      <c r="N3338" s="48" t="str">
        <f aca="false">IF($A3338="","",IF(N(M3338)=0,"–",IF(M3338&lt;=Start!$D$20,"A",IF(M3338&lt;=Start!$D$21,"B","C"))))</f>
        <v/>
      </c>
      <c r="O3338" s="48" t="str">
        <f aca="false">IF($A3338="","",IF(NOT(ISNUMBER(F3338)),"Wert fehlt; ",IF(F3338&lt;=0,"Wert ist 0; ",""))&amp;IF(NOT(ISNUMBER(E3338)),"Bestand fehlt; ",IF(E3338&lt;0,"Bestand negativ; ",IF(E3338=0,"Nullbestand; ","")))&amp;IF(D3338="","Warengruppe fehlt; ","")&amp;IF(B3338="","Bezeichnung fehlt; ","")&amp;IF(COUNTIFS($A$2:$A$5001,$A3338,$C$2:$C$5001,C3338)&gt;1,"Artikel doppelt im selben Lager; ",""))</f>
        <v/>
      </c>
      <c r="P3338" s="47" t="n">
        <f aca="false">IF(OR($A3338="",D3338=""),0,IF(COUNTIF($D$2:D3338,D3338)=1,SUMIF($D$2:$D$5001,D3338,$H$2:$H$5001)+ROW()/10000000,0))</f>
        <v>0</v>
      </c>
      <c r="Q3338" s="47" t="n">
        <f aca="false">IF(OR($A3338="",C3338=""),0,IF(COUNTIF($C$2:C3338,C3338)=1,SUMIF($C$2:$C$5001,C3338,$H$2:$H$5001)+ROW()/10000000,0))</f>
        <v>0</v>
      </c>
    </row>
    <row r="3339" customFormat="false" ht="15" hidden="false" customHeight="false" outlineLevel="0" collapsed="false">
      <c r="A3339" s="43"/>
      <c r="B3339" s="44"/>
      <c r="C3339" s="44"/>
      <c r="D3339" s="44"/>
      <c r="E3339" s="44"/>
      <c r="F3339" s="44"/>
      <c r="G3339" s="44"/>
      <c r="H3339" s="46" t="str">
        <f aca="false">IF($A3339="","",IF(OR(NOT(ISNUMBER(E3339)),NOT(ISNUMBER(F3339))),"",MAX(0,E3339)*F3339))</f>
        <v/>
      </c>
      <c r="I3339" s="46" t="str">
        <f aca="false">IF($A3339="","",SUMIF($A$2:$A$5001,$A3339,$H$2:$H$5001))</f>
        <v/>
      </c>
      <c r="J3339" s="47" t="n">
        <f aca="false">IF($A3339="",0,IF(COUNTIF($A$2:A3339,$A3339)=1,1,0))</f>
        <v>0</v>
      </c>
      <c r="K3339" s="47" t="n">
        <f aca="false">IF(J3339=1,N(I3339)+ROW()/10000000,0)</f>
        <v>0</v>
      </c>
      <c r="L3339" s="47" t="str">
        <f aca="false">IF(AND(J3339=1,N(I3339)&gt;0),SUMIF($K$2:$K$5001,"&gt;="&amp;K3339,$I$2:$I$5001)/MAX(1,SUM($H$2:$H$5001)),"")</f>
        <v/>
      </c>
      <c r="M3339" s="47" t="str">
        <f aca="false">IF($A3339="","",INDEX($L$2:$L$5001,MATCH($A3339,$A$2:$A$5001,0)))</f>
        <v/>
      </c>
      <c r="N3339" s="48" t="str">
        <f aca="false">IF($A3339="","",IF(N(M3339)=0,"–",IF(M3339&lt;=Start!$D$20,"A",IF(M3339&lt;=Start!$D$21,"B","C"))))</f>
        <v/>
      </c>
      <c r="O3339" s="48" t="str">
        <f aca="false">IF($A3339="","",IF(NOT(ISNUMBER(F3339)),"Wert fehlt; ",IF(F3339&lt;=0,"Wert ist 0; ",""))&amp;IF(NOT(ISNUMBER(E3339)),"Bestand fehlt; ",IF(E3339&lt;0,"Bestand negativ; ",IF(E3339=0,"Nullbestand; ","")))&amp;IF(D3339="","Warengruppe fehlt; ","")&amp;IF(B3339="","Bezeichnung fehlt; ","")&amp;IF(COUNTIFS($A$2:$A$5001,$A3339,$C$2:$C$5001,C3339)&gt;1,"Artikel doppelt im selben Lager; ",""))</f>
        <v/>
      </c>
      <c r="P3339" s="47" t="n">
        <f aca="false">IF(OR($A3339="",D3339=""),0,IF(COUNTIF($D$2:D3339,D3339)=1,SUMIF($D$2:$D$5001,D3339,$H$2:$H$5001)+ROW()/10000000,0))</f>
        <v>0</v>
      </c>
      <c r="Q3339" s="47" t="n">
        <f aca="false">IF(OR($A3339="",C3339=""),0,IF(COUNTIF($C$2:C3339,C3339)=1,SUMIF($C$2:$C$5001,C3339,$H$2:$H$5001)+ROW()/10000000,0))</f>
        <v>0</v>
      </c>
    </row>
    <row r="3340" customFormat="false" ht="15" hidden="false" customHeight="false" outlineLevel="0" collapsed="false">
      <c r="A3340" s="43"/>
      <c r="B3340" s="44"/>
      <c r="C3340" s="44"/>
      <c r="D3340" s="44"/>
      <c r="E3340" s="44"/>
      <c r="F3340" s="44"/>
      <c r="G3340" s="44"/>
      <c r="H3340" s="46" t="str">
        <f aca="false">IF($A3340="","",IF(OR(NOT(ISNUMBER(E3340)),NOT(ISNUMBER(F3340))),"",MAX(0,E3340)*F3340))</f>
        <v/>
      </c>
      <c r="I3340" s="46" t="str">
        <f aca="false">IF($A3340="","",SUMIF($A$2:$A$5001,$A3340,$H$2:$H$5001))</f>
        <v/>
      </c>
      <c r="J3340" s="47" t="n">
        <f aca="false">IF($A3340="",0,IF(COUNTIF($A$2:A3340,$A3340)=1,1,0))</f>
        <v>0</v>
      </c>
      <c r="K3340" s="47" t="n">
        <f aca="false">IF(J3340=1,N(I3340)+ROW()/10000000,0)</f>
        <v>0</v>
      </c>
      <c r="L3340" s="47" t="str">
        <f aca="false">IF(AND(J3340=1,N(I3340)&gt;0),SUMIF($K$2:$K$5001,"&gt;="&amp;K3340,$I$2:$I$5001)/MAX(1,SUM($H$2:$H$5001)),"")</f>
        <v/>
      </c>
      <c r="M3340" s="47" t="str">
        <f aca="false">IF($A3340="","",INDEX($L$2:$L$5001,MATCH($A3340,$A$2:$A$5001,0)))</f>
        <v/>
      </c>
      <c r="N3340" s="48" t="str">
        <f aca="false">IF($A3340="","",IF(N(M3340)=0,"–",IF(M3340&lt;=Start!$D$20,"A",IF(M3340&lt;=Start!$D$21,"B","C"))))</f>
        <v/>
      </c>
      <c r="O3340" s="48" t="str">
        <f aca="false">IF($A3340="","",IF(NOT(ISNUMBER(F3340)),"Wert fehlt; ",IF(F3340&lt;=0,"Wert ist 0; ",""))&amp;IF(NOT(ISNUMBER(E3340)),"Bestand fehlt; ",IF(E3340&lt;0,"Bestand negativ; ",IF(E3340=0,"Nullbestand; ","")))&amp;IF(D3340="","Warengruppe fehlt; ","")&amp;IF(B3340="","Bezeichnung fehlt; ","")&amp;IF(COUNTIFS($A$2:$A$5001,$A3340,$C$2:$C$5001,C3340)&gt;1,"Artikel doppelt im selben Lager; ",""))</f>
        <v/>
      </c>
      <c r="P3340" s="47" t="n">
        <f aca="false">IF(OR($A3340="",D3340=""),0,IF(COUNTIF($D$2:D3340,D3340)=1,SUMIF($D$2:$D$5001,D3340,$H$2:$H$5001)+ROW()/10000000,0))</f>
        <v>0</v>
      </c>
      <c r="Q3340" s="47" t="n">
        <f aca="false">IF(OR($A3340="",C3340=""),0,IF(COUNTIF($C$2:C3340,C3340)=1,SUMIF($C$2:$C$5001,C3340,$H$2:$H$5001)+ROW()/10000000,0))</f>
        <v>0</v>
      </c>
    </row>
    <row r="3341" customFormat="false" ht="15" hidden="false" customHeight="false" outlineLevel="0" collapsed="false">
      <c r="A3341" s="43"/>
      <c r="B3341" s="44"/>
      <c r="C3341" s="44"/>
      <c r="D3341" s="44"/>
      <c r="E3341" s="44"/>
      <c r="F3341" s="44"/>
      <c r="G3341" s="44"/>
      <c r="H3341" s="46" t="str">
        <f aca="false">IF($A3341="","",IF(OR(NOT(ISNUMBER(E3341)),NOT(ISNUMBER(F3341))),"",MAX(0,E3341)*F3341))</f>
        <v/>
      </c>
      <c r="I3341" s="46" t="str">
        <f aca="false">IF($A3341="","",SUMIF($A$2:$A$5001,$A3341,$H$2:$H$5001))</f>
        <v/>
      </c>
      <c r="J3341" s="47" t="n">
        <f aca="false">IF($A3341="",0,IF(COUNTIF($A$2:A3341,$A3341)=1,1,0))</f>
        <v>0</v>
      </c>
      <c r="K3341" s="47" t="n">
        <f aca="false">IF(J3341=1,N(I3341)+ROW()/10000000,0)</f>
        <v>0</v>
      </c>
      <c r="L3341" s="47" t="str">
        <f aca="false">IF(AND(J3341=1,N(I3341)&gt;0),SUMIF($K$2:$K$5001,"&gt;="&amp;K3341,$I$2:$I$5001)/MAX(1,SUM($H$2:$H$5001)),"")</f>
        <v/>
      </c>
      <c r="M3341" s="47" t="str">
        <f aca="false">IF($A3341="","",INDEX($L$2:$L$5001,MATCH($A3341,$A$2:$A$5001,0)))</f>
        <v/>
      </c>
      <c r="N3341" s="48" t="str">
        <f aca="false">IF($A3341="","",IF(N(M3341)=0,"–",IF(M3341&lt;=Start!$D$20,"A",IF(M3341&lt;=Start!$D$21,"B","C"))))</f>
        <v/>
      </c>
      <c r="O3341" s="48" t="str">
        <f aca="false">IF($A3341="","",IF(NOT(ISNUMBER(F3341)),"Wert fehlt; ",IF(F3341&lt;=0,"Wert ist 0; ",""))&amp;IF(NOT(ISNUMBER(E3341)),"Bestand fehlt; ",IF(E3341&lt;0,"Bestand negativ; ",IF(E3341=0,"Nullbestand; ","")))&amp;IF(D3341="","Warengruppe fehlt; ","")&amp;IF(B3341="","Bezeichnung fehlt; ","")&amp;IF(COUNTIFS($A$2:$A$5001,$A3341,$C$2:$C$5001,C3341)&gt;1,"Artikel doppelt im selben Lager; ",""))</f>
        <v/>
      </c>
      <c r="P3341" s="47" t="n">
        <f aca="false">IF(OR($A3341="",D3341=""),0,IF(COUNTIF($D$2:D3341,D3341)=1,SUMIF($D$2:$D$5001,D3341,$H$2:$H$5001)+ROW()/10000000,0))</f>
        <v>0</v>
      </c>
      <c r="Q3341" s="47" t="n">
        <f aca="false">IF(OR($A3341="",C3341=""),0,IF(COUNTIF($C$2:C3341,C3341)=1,SUMIF($C$2:$C$5001,C3341,$H$2:$H$5001)+ROW()/10000000,0))</f>
        <v>0</v>
      </c>
    </row>
    <row r="3342" customFormat="false" ht="15" hidden="false" customHeight="false" outlineLevel="0" collapsed="false">
      <c r="A3342" s="43"/>
      <c r="B3342" s="44"/>
      <c r="C3342" s="44"/>
      <c r="D3342" s="44"/>
      <c r="E3342" s="44"/>
      <c r="F3342" s="44"/>
      <c r="G3342" s="44"/>
      <c r="H3342" s="46" t="str">
        <f aca="false">IF($A3342="","",IF(OR(NOT(ISNUMBER(E3342)),NOT(ISNUMBER(F3342))),"",MAX(0,E3342)*F3342))</f>
        <v/>
      </c>
      <c r="I3342" s="46" t="str">
        <f aca="false">IF($A3342="","",SUMIF($A$2:$A$5001,$A3342,$H$2:$H$5001))</f>
        <v/>
      </c>
      <c r="J3342" s="47" t="n">
        <f aca="false">IF($A3342="",0,IF(COUNTIF($A$2:A3342,$A3342)=1,1,0))</f>
        <v>0</v>
      </c>
      <c r="K3342" s="47" t="n">
        <f aca="false">IF(J3342=1,N(I3342)+ROW()/10000000,0)</f>
        <v>0</v>
      </c>
      <c r="L3342" s="47" t="str">
        <f aca="false">IF(AND(J3342=1,N(I3342)&gt;0),SUMIF($K$2:$K$5001,"&gt;="&amp;K3342,$I$2:$I$5001)/MAX(1,SUM($H$2:$H$5001)),"")</f>
        <v/>
      </c>
      <c r="M3342" s="47" t="str">
        <f aca="false">IF($A3342="","",INDEX($L$2:$L$5001,MATCH($A3342,$A$2:$A$5001,0)))</f>
        <v/>
      </c>
      <c r="N3342" s="48" t="str">
        <f aca="false">IF($A3342="","",IF(N(M3342)=0,"–",IF(M3342&lt;=Start!$D$20,"A",IF(M3342&lt;=Start!$D$21,"B","C"))))</f>
        <v/>
      </c>
      <c r="O3342" s="48" t="str">
        <f aca="false">IF($A3342="","",IF(NOT(ISNUMBER(F3342)),"Wert fehlt; ",IF(F3342&lt;=0,"Wert ist 0; ",""))&amp;IF(NOT(ISNUMBER(E3342)),"Bestand fehlt; ",IF(E3342&lt;0,"Bestand negativ; ",IF(E3342=0,"Nullbestand; ","")))&amp;IF(D3342="","Warengruppe fehlt; ","")&amp;IF(B3342="","Bezeichnung fehlt; ","")&amp;IF(COUNTIFS($A$2:$A$5001,$A3342,$C$2:$C$5001,C3342)&gt;1,"Artikel doppelt im selben Lager; ",""))</f>
        <v/>
      </c>
      <c r="P3342" s="47" t="n">
        <f aca="false">IF(OR($A3342="",D3342=""),0,IF(COUNTIF($D$2:D3342,D3342)=1,SUMIF($D$2:$D$5001,D3342,$H$2:$H$5001)+ROW()/10000000,0))</f>
        <v>0</v>
      </c>
      <c r="Q3342" s="47" t="n">
        <f aca="false">IF(OR($A3342="",C3342=""),0,IF(COUNTIF($C$2:C3342,C3342)=1,SUMIF($C$2:$C$5001,C3342,$H$2:$H$5001)+ROW()/10000000,0))</f>
        <v>0</v>
      </c>
    </row>
    <row r="3343" customFormat="false" ht="15" hidden="false" customHeight="false" outlineLevel="0" collapsed="false">
      <c r="A3343" s="43"/>
      <c r="B3343" s="44"/>
      <c r="C3343" s="44"/>
      <c r="D3343" s="44"/>
      <c r="E3343" s="44"/>
      <c r="F3343" s="44"/>
      <c r="G3343" s="44"/>
      <c r="H3343" s="46" t="str">
        <f aca="false">IF($A3343="","",IF(OR(NOT(ISNUMBER(E3343)),NOT(ISNUMBER(F3343))),"",MAX(0,E3343)*F3343))</f>
        <v/>
      </c>
      <c r="I3343" s="46" t="str">
        <f aca="false">IF($A3343="","",SUMIF($A$2:$A$5001,$A3343,$H$2:$H$5001))</f>
        <v/>
      </c>
      <c r="J3343" s="47" t="n">
        <f aca="false">IF($A3343="",0,IF(COUNTIF($A$2:A3343,$A3343)=1,1,0))</f>
        <v>0</v>
      </c>
      <c r="K3343" s="47" t="n">
        <f aca="false">IF(J3343=1,N(I3343)+ROW()/10000000,0)</f>
        <v>0</v>
      </c>
      <c r="L3343" s="47" t="str">
        <f aca="false">IF(AND(J3343=1,N(I3343)&gt;0),SUMIF($K$2:$K$5001,"&gt;="&amp;K3343,$I$2:$I$5001)/MAX(1,SUM($H$2:$H$5001)),"")</f>
        <v/>
      </c>
      <c r="M3343" s="47" t="str">
        <f aca="false">IF($A3343="","",INDEX($L$2:$L$5001,MATCH($A3343,$A$2:$A$5001,0)))</f>
        <v/>
      </c>
      <c r="N3343" s="48" t="str">
        <f aca="false">IF($A3343="","",IF(N(M3343)=0,"–",IF(M3343&lt;=Start!$D$20,"A",IF(M3343&lt;=Start!$D$21,"B","C"))))</f>
        <v/>
      </c>
      <c r="O3343" s="48" t="str">
        <f aca="false">IF($A3343="","",IF(NOT(ISNUMBER(F3343)),"Wert fehlt; ",IF(F3343&lt;=0,"Wert ist 0; ",""))&amp;IF(NOT(ISNUMBER(E3343)),"Bestand fehlt; ",IF(E3343&lt;0,"Bestand negativ; ",IF(E3343=0,"Nullbestand; ","")))&amp;IF(D3343="","Warengruppe fehlt; ","")&amp;IF(B3343="","Bezeichnung fehlt; ","")&amp;IF(COUNTIFS($A$2:$A$5001,$A3343,$C$2:$C$5001,C3343)&gt;1,"Artikel doppelt im selben Lager; ",""))</f>
        <v/>
      </c>
      <c r="P3343" s="47" t="n">
        <f aca="false">IF(OR($A3343="",D3343=""),0,IF(COUNTIF($D$2:D3343,D3343)=1,SUMIF($D$2:$D$5001,D3343,$H$2:$H$5001)+ROW()/10000000,0))</f>
        <v>0</v>
      </c>
      <c r="Q3343" s="47" t="n">
        <f aca="false">IF(OR($A3343="",C3343=""),0,IF(COUNTIF($C$2:C3343,C3343)=1,SUMIF($C$2:$C$5001,C3343,$H$2:$H$5001)+ROW()/10000000,0))</f>
        <v>0</v>
      </c>
    </row>
    <row r="3344" customFormat="false" ht="15" hidden="false" customHeight="false" outlineLevel="0" collapsed="false">
      <c r="A3344" s="43"/>
      <c r="B3344" s="44"/>
      <c r="C3344" s="44"/>
      <c r="D3344" s="44"/>
      <c r="E3344" s="44"/>
      <c r="F3344" s="44"/>
      <c r="G3344" s="44"/>
      <c r="H3344" s="46" t="str">
        <f aca="false">IF($A3344="","",IF(OR(NOT(ISNUMBER(E3344)),NOT(ISNUMBER(F3344))),"",MAX(0,E3344)*F3344))</f>
        <v/>
      </c>
      <c r="I3344" s="46" t="str">
        <f aca="false">IF($A3344="","",SUMIF($A$2:$A$5001,$A3344,$H$2:$H$5001))</f>
        <v/>
      </c>
      <c r="J3344" s="47" t="n">
        <f aca="false">IF($A3344="",0,IF(COUNTIF($A$2:A3344,$A3344)=1,1,0))</f>
        <v>0</v>
      </c>
      <c r="K3344" s="47" t="n">
        <f aca="false">IF(J3344=1,N(I3344)+ROW()/10000000,0)</f>
        <v>0</v>
      </c>
      <c r="L3344" s="47" t="str">
        <f aca="false">IF(AND(J3344=1,N(I3344)&gt;0),SUMIF($K$2:$K$5001,"&gt;="&amp;K3344,$I$2:$I$5001)/MAX(1,SUM($H$2:$H$5001)),"")</f>
        <v/>
      </c>
      <c r="M3344" s="47" t="str">
        <f aca="false">IF($A3344="","",INDEX($L$2:$L$5001,MATCH($A3344,$A$2:$A$5001,0)))</f>
        <v/>
      </c>
      <c r="N3344" s="48" t="str">
        <f aca="false">IF($A3344="","",IF(N(M3344)=0,"–",IF(M3344&lt;=Start!$D$20,"A",IF(M3344&lt;=Start!$D$21,"B","C"))))</f>
        <v/>
      </c>
      <c r="O3344" s="48" t="str">
        <f aca="false">IF($A3344="","",IF(NOT(ISNUMBER(F3344)),"Wert fehlt; ",IF(F3344&lt;=0,"Wert ist 0; ",""))&amp;IF(NOT(ISNUMBER(E3344)),"Bestand fehlt; ",IF(E3344&lt;0,"Bestand negativ; ",IF(E3344=0,"Nullbestand; ","")))&amp;IF(D3344="","Warengruppe fehlt; ","")&amp;IF(B3344="","Bezeichnung fehlt; ","")&amp;IF(COUNTIFS($A$2:$A$5001,$A3344,$C$2:$C$5001,C3344)&gt;1,"Artikel doppelt im selben Lager; ",""))</f>
        <v/>
      </c>
      <c r="P3344" s="47" t="n">
        <f aca="false">IF(OR($A3344="",D3344=""),0,IF(COUNTIF($D$2:D3344,D3344)=1,SUMIF($D$2:$D$5001,D3344,$H$2:$H$5001)+ROW()/10000000,0))</f>
        <v>0</v>
      </c>
      <c r="Q3344" s="47" t="n">
        <f aca="false">IF(OR($A3344="",C3344=""),0,IF(COUNTIF($C$2:C3344,C3344)=1,SUMIF($C$2:$C$5001,C3344,$H$2:$H$5001)+ROW()/10000000,0))</f>
        <v>0</v>
      </c>
    </row>
    <row r="3345" customFormat="false" ht="15" hidden="false" customHeight="false" outlineLevel="0" collapsed="false">
      <c r="A3345" s="43"/>
      <c r="B3345" s="44"/>
      <c r="C3345" s="44"/>
      <c r="D3345" s="44"/>
      <c r="E3345" s="44"/>
      <c r="F3345" s="44"/>
      <c r="G3345" s="44"/>
      <c r="H3345" s="46" t="str">
        <f aca="false">IF($A3345="","",IF(OR(NOT(ISNUMBER(E3345)),NOT(ISNUMBER(F3345))),"",MAX(0,E3345)*F3345))</f>
        <v/>
      </c>
      <c r="I3345" s="46" t="str">
        <f aca="false">IF($A3345="","",SUMIF($A$2:$A$5001,$A3345,$H$2:$H$5001))</f>
        <v/>
      </c>
      <c r="J3345" s="47" t="n">
        <f aca="false">IF($A3345="",0,IF(COUNTIF($A$2:A3345,$A3345)=1,1,0))</f>
        <v>0</v>
      </c>
      <c r="K3345" s="47" t="n">
        <f aca="false">IF(J3345=1,N(I3345)+ROW()/10000000,0)</f>
        <v>0</v>
      </c>
      <c r="L3345" s="47" t="str">
        <f aca="false">IF(AND(J3345=1,N(I3345)&gt;0),SUMIF($K$2:$K$5001,"&gt;="&amp;K3345,$I$2:$I$5001)/MAX(1,SUM($H$2:$H$5001)),"")</f>
        <v/>
      </c>
      <c r="M3345" s="47" t="str">
        <f aca="false">IF($A3345="","",INDEX($L$2:$L$5001,MATCH($A3345,$A$2:$A$5001,0)))</f>
        <v/>
      </c>
      <c r="N3345" s="48" t="str">
        <f aca="false">IF($A3345="","",IF(N(M3345)=0,"–",IF(M3345&lt;=Start!$D$20,"A",IF(M3345&lt;=Start!$D$21,"B","C"))))</f>
        <v/>
      </c>
      <c r="O3345" s="48" t="str">
        <f aca="false">IF($A3345="","",IF(NOT(ISNUMBER(F3345)),"Wert fehlt; ",IF(F3345&lt;=0,"Wert ist 0; ",""))&amp;IF(NOT(ISNUMBER(E3345)),"Bestand fehlt; ",IF(E3345&lt;0,"Bestand negativ; ",IF(E3345=0,"Nullbestand; ","")))&amp;IF(D3345="","Warengruppe fehlt; ","")&amp;IF(B3345="","Bezeichnung fehlt; ","")&amp;IF(COUNTIFS($A$2:$A$5001,$A3345,$C$2:$C$5001,C3345)&gt;1,"Artikel doppelt im selben Lager; ",""))</f>
        <v/>
      </c>
      <c r="P3345" s="47" t="n">
        <f aca="false">IF(OR($A3345="",D3345=""),0,IF(COUNTIF($D$2:D3345,D3345)=1,SUMIF($D$2:$D$5001,D3345,$H$2:$H$5001)+ROW()/10000000,0))</f>
        <v>0</v>
      </c>
      <c r="Q3345" s="47" t="n">
        <f aca="false">IF(OR($A3345="",C3345=""),0,IF(COUNTIF($C$2:C3345,C3345)=1,SUMIF($C$2:$C$5001,C3345,$H$2:$H$5001)+ROW()/10000000,0))</f>
        <v>0</v>
      </c>
    </row>
    <row r="3346" customFormat="false" ht="15" hidden="false" customHeight="false" outlineLevel="0" collapsed="false">
      <c r="A3346" s="43"/>
      <c r="B3346" s="44"/>
      <c r="C3346" s="44"/>
      <c r="D3346" s="44"/>
      <c r="E3346" s="44"/>
      <c r="F3346" s="44"/>
      <c r="G3346" s="44"/>
      <c r="H3346" s="46" t="str">
        <f aca="false">IF($A3346="","",IF(OR(NOT(ISNUMBER(E3346)),NOT(ISNUMBER(F3346))),"",MAX(0,E3346)*F3346))</f>
        <v/>
      </c>
      <c r="I3346" s="46" t="str">
        <f aca="false">IF($A3346="","",SUMIF($A$2:$A$5001,$A3346,$H$2:$H$5001))</f>
        <v/>
      </c>
      <c r="J3346" s="47" t="n">
        <f aca="false">IF($A3346="",0,IF(COUNTIF($A$2:A3346,$A3346)=1,1,0))</f>
        <v>0</v>
      </c>
      <c r="K3346" s="47" t="n">
        <f aca="false">IF(J3346=1,N(I3346)+ROW()/10000000,0)</f>
        <v>0</v>
      </c>
      <c r="L3346" s="47" t="str">
        <f aca="false">IF(AND(J3346=1,N(I3346)&gt;0),SUMIF($K$2:$K$5001,"&gt;="&amp;K3346,$I$2:$I$5001)/MAX(1,SUM($H$2:$H$5001)),"")</f>
        <v/>
      </c>
      <c r="M3346" s="47" t="str">
        <f aca="false">IF($A3346="","",INDEX($L$2:$L$5001,MATCH($A3346,$A$2:$A$5001,0)))</f>
        <v/>
      </c>
      <c r="N3346" s="48" t="str">
        <f aca="false">IF($A3346="","",IF(N(M3346)=0,"–",IF(M3346&lt;=Start!$D$20,"A",IF(M3346&lt;=Start!$D$21,"B","C"))))</f>
        <v/>
      </c>
      <c r="O3346" s="48" t="str">
        <f aca="false">IF($A3346="","",IF(NOT(ISNUMBER(F3346)),"Wert fehlt; ",IF(F3346&lt;=0,"Wert ist 0; ",""))&amp;IF(NOT(ISNUMBER(E3346)),"Bestand fehlt; ",IF(E3346&lt;0,"Bestand negativ; ",IF(E3346=0,"Nullbestand; ","")))&amp;IF(D3346="","Warengruppe fehlt; ","")&amp;IF(B3346="","Bezeichnung fehlt; ","")&amp;IF(COUNTIFS($A$2:$A$5001,$A3346,$C$2:$C$5001,C3346)&gt;1,"Artikel doppelt im selben Lager; ",""))</f>
        <v/>
      </c>
      <c r="P3346" s="47" t="n">
        <f aca="false">IF(OR($A3346="",D3346=""),0,IF(COUNTIF($D$2:D3346,D3346)=1,SUMIF($D$2:$D$5001,D3346,$H$2:$H$5001)+ROW()/10000000,0))</f>
        <v>0</v>
      </c>
      <c r="Q3346" s="47" t="n">
        <f aca="false">IF(OR($A3346="",C3346=""),0,IF(COUNTIF($C$2:C3346,C3346)=1,SUMIF($C$2:$C$5001,C3346,$H$2:$H$5001)+ROW()/10000000,0))</f>
        <v>0</v>
      </c>
    </row>
    <row r="3347" customFormat="false" ht="15" hidden="false" customHeight="false" outlineLevel="0" collapsed="false">
      <c r="A3347" s="43"/>
      <c r="B3347" s="44"/>
      <c r="C3347" s="44"/>
      <c r="D3347" s="44"/>
      <c r="E3347" s="44"/>
      <c r="F3347" s="44"/>
      <c r="G3347" s="44"/>
      <c r="H3347" s="46" t="str">
        <f aca="false">IF($A3347="","",IF(OR(NOT(ISNUMBER(E3347)),NOT(ISNUMBER(F3347))),"",MAX(0,E3347)*F3347))</f>
        <v/>
      </c>
      <c r="I3347" s="46" t="str">
        <f aca="false">IF($A3347="","",SUMIF($A$2:$A$5001,$A3347,$H$2:$H$5001))</f>
        <v/>
      </c>
      <c r="J3347" s="47" t="n">
        <f aca="false">IF($A3347="",0,IF(COUNTIF($A$2:A3347,$A3347)=1,1,0))</f>
        <v>0</v>
      </c>
      <c r="K3347" s="47" t="n">
        <f aca="false">IF(J3347=1,N(I3347)+ROW()/10000000,0)</f>
        <v>0</v>
      </c>
      <c r="L3347" s="47" t="str">
        <f aca="false">IF(AND(J3347=1,N(I3347)&gt;0),SUMIF($K$2:$K$5001,"&gt;="&amp;K3347,$I$2:$I$5001)/MAX(1,SUM($H$2:$H$5001)),"")</f>
        <v/>
      </c>
      <c r="M3347" s="47" t="str">
        <f aca="false">IF($A3347="","",INDEX($L$2:$L$5001,MATCH($A3347,$A$2:$A$5001,0)))</f>
        <v/>
      </c>
      <c r="N3347" s="48" t="str">
        <f aca="false">IF($A3347="","",IF(N(M3347)=0,"–",IF(M3347&lt;=Start!$D$20,"A",IF(M3347&lt;=Start!$D$21,"B","C"))))</f>
        <v/>
      </c>
      <c r="O3347" s="48" t="str">
        <f aca="false">IF($A3347="","",IF(NOT(ISNUMBER(F3347)),"Wert fehlt; ",IF(F3347&lt;=0,"Wert ist 0; ",""))&amp;IF(NOT(ISNUMBER(E3347)),"Bestand fehlt; ",IF(E3347&lt;0,"Bestand negativ; ",IF(E3347=0,"Nullbestand; ","")))&amp;IF(D3347="","Warengruppe fehlt; ","")&amp;IF(B3347="","Bezeichnung fehlt; ","")&amp;IF(COUNTIFS($A$2:$A$5001,$A3347,$C$2:$C$5001,C3347)&gt;1,"Artikel doppelt im selben Lager; ",""))</f>
        <v/>
      </c>
      <c r="P3347" s="47" t="n">
        <f aca="false">IF(OR($A3347="",D3347=""),0,IF(COUNTIF($D$2:D3347,D3347)=1,SUMIF($D$2:$D$5001,D3347,$H$2:$H$5001)+ROW()/10000000,0))</f>
        <v>0</v>
      </c>
      <c r="Q3347" s="47" t="n">
        <f aca="false">IF(OR($A3347="",C3347=""),0,IF(COUNTIF($C$2:C3347,C3347)=1,SUMIF($C$2:$C$5001,C3347,$H$2:$H$5001)+ROW()/10000000,0))</f>
        <v>0</v>
      </c>
    </row>
    <row r="3348" customFormat="false" ht="15" hidden="false" customHeight="false" outlineLevel="0" collapsed="false">
      <c r="A3348" s="43"/>
      <c r="B3348" s="44"/>
      <c r="C3348" s="44"/>
      <c r="D3348" s="44"/>
      <c r="E3348" s="44"/>
      <c r="F3348" s="44"/>
      <c r="G3348" s="44"/>
      <c r="H3348" s="46" t="str">
        <f aca="false">IF($A3348="","",IF(OR(NOT(ISNUMBER(E3348)),NOT(ISNUMBER(F3348))),"",MAX(0,E3348)*F3348))</f>
        <v/>
      </c>
      <c r="I3348" s="46" t="str">
        <f aca="false">IF($A3348="","",SUMIF($A$2:$A$5001,$A3348,$H$2:$H$5001))</f>
        <v/>
      </c>
      <c r="J3348" s="47" t="n">
        <f aca="false">IF($A3348="",0,IF(COUNTIF($A$2:A3348,$A3348)=1,1,0))</f>
        <v>0</v>
      </c>
      <c r="K3348" s="47" t="n">
        <f aca="false">IF(J3348=1,N(I3348)+ROW()/10000000,0)</f>
        <v>0</v>
      </c>
      <c r="L3348" s="47" t="str">
        <f aca="false">IF(AND(J3348=1,N(I3348)&gt;0),SUMIF($K$2:$K$5001,"&gt;="&amp;K3348,$I$2:$I$5001)/MAX(1,SUM($H$2:$H$5001)),"")</f>
        <v/>
      </c>
      <c r="M3348" s="47" t="str">
        <f aca="false">IF($A3348="","",INDEX($L$2:$L$5001,MATCH($A3348,$A$2:$A$5001,0)))</f>
        <v/>
      </c>
      <c r="N3348" s="48" t="str">
        <f aca="false">IF($A3348="","",IF(N(M3348)=0,"–",IF(M3348&lt;=Start!$D$20,"A",IF(M3348&lt;=Start!$D$21,"B","C"))))</f>
        <v/>
      </c>
      <c r="O3348" s="48" t="str">
        <f aca="false">IF($A3348="","",IF(NOT(ISNUMBER(F3348)),"Wert fehlt; ",IF(F3348&lt;=0,"Wert ist 0; ",""))&amp;IF(NOT(ISNUMBER(E3348)),"Bestand fehlt; ",IF(E3348&lt;0,"Bestand negativ; ",IF(E3348=0,"Nullbestand; ","")))&amp;IF(D3348="","Warengruppe fehlt; ","")&amp;IF(B3348="","Bezeichnung fehlt; ","")&amp;IF(COUNTIFS($A$2:$A$5001,$A3348,$C$2:$C$5001,C3348)&gt;1,"Artikel doppelt im selben Lager; ",""))</f>
        <v/>
      </c>
      <c r="P3348" s="47" t="n">
        <f aca="false">IF(OR($A3348="",D3348=""),0,IF(COUNTIF($D$2:D3348,D3348)=1,SUMIF($D$2:$D$5001,D3348,$H$2:$H$5001)+ROW()/10000000,0))</f>
        <v>0</v>
      </c>
      <c r="Q3348" s="47" t="n">
        <f aca="false">IF(OR($A3348="",C3348=""),0,IF(COUNTIF($C$2:C3348,C3348)=1,SUMIF($C$2:$C$5001,C3348,$H$2:$H$5001)+ROW()/10000000,0))</f>
        <v>0</v>
      </c>
    </row>
    <row r="3349" customFormat="false" ht="15" hidden="false" customHeight="false" outlineLevel="0" collapsed="false">
      <c r="A3349" s="43"/>
      <c r="B3349" s="44"/>
      <c r="C3349" s="44"/>
      <c r="D3349" s="44"/>
      <c r="E3349" s="44"/>
      <c r="F3349" s="44"/>
      <c r="G3349" s="44"/>
      <c r="H3349" s="46" t="str">
        <f aca="false">IF($A3349="","",IF(OR(NOT(ISNUMBER(E3349)),NOT(ISNUMBER(F3349))),"",MAX(0,E3349)*F3349))</f>
        <v/>
      </c>
      <c r="I3349" s="46" t="str">
        <f aca="false">IF($A3349="","",SUMIF($A$2:$A$5001,$A3349,$H$2:$H$5001))</f>
        <v/>
      </c>
      <c r="J3349" s="47" t="n">
        <f aca="false">IF($A3349="",0,IF(COUNTIF($A$2:A3349,$A3349)=1,1,0))</f>
        <v>0</v>
      </c>
      <c r="K3349" s="47" t="n">
        <f aca="false">IF(J3349=1,N(I3349)+ROW()/10000000,0)</f>
        <v>0</v>
      </c>
      <c r="L3349" s="47" t="str">
        <f aca="false">IF(AND(J3349=1,N(I3349)&gt;0),SUMIF($K$2:$K$5001,"&gt;="&amp;K3349,$I$2:$I$5001)/MAX(1,SUM($H$2:$H$5001)),"")</f>
        <v/>
      </c>
      <c r="M3349" s="47" t="str">
        <f aca="false">IF($A3349="","",INDEX($L$2:$L$5001,MATCH($A3349,$A$2:$A$5001,0)))</f>
        <v/>
      </c>
      <c r="N3349" s="48" t="str">
        <f aca="false">IF($A3349="","",IF(N(M3349)=0,"–",IF(M3349&lt;=Start!$D$20,"A",IF(M3349&lt;=Start!$D$21,"B","C"))))</f>
        <v/>
      </c>
      <c r="O3349" s="48" t="str">
        <f aca="false">IF($A3349="","",IF(NOT(ISNUMBER(F3349)),"Wert fehlt; ",IF(F3349&lt;=0,"Wert ist 0; ",""))&amp;IF(NOT(ISNUMBER(E3349)),"Bestand fehlt; ",IF(E3349&lt;0,"Bestand negativ; ",IF(E3349=0,"Nullbestand; ","")))&amp;IF(D3349="","Warengruppe fehlt; ","")&amp;IF(B3349="","Bezeichnung fehlt; ","")&amp;IF(COUNTIFS($A$2:$A$5001,$A3349,$C$2:$C$5001,C3349)&gt;1,"Artikel doppelt im selben Lager; ",""))</f>
        <v/>
      </c>
      <c r="P3349" s="47" t="n">
        <f aca="false">IF(OR($A3349="",D3349=""),0,IF(COUNTIF($D$2:D3349,D3349)=1,SUMIF($D$2:$D$5001,D3349,$H$2:$H$5001)+ROW()/10000000,0))</f>
        <v>0</v>
      </c>
      <c r="Q3349" s="47" t="n">
        <f aca="false">IF(OR($A3349="",C3349=""),0,IF(COUNTIF($C$2:C3349,C3349)=1,SUMIF($C$2:$C$5001,C3349,$H$2:$H$5001)+ROW()/10000000,0))</f>
        <v>0</v>
      </c>
    </row>
    <row r="3350" customFormat="false" ht="15" hidden="false" customHeight="false" outlineLevel="0" collapsed="false">
      <c r="A3350" s="43"/>
      <c r="B3350" s="44"/>
      <c r="C3350" s="44"/>
      <c r="D3350" s="44"/>
      <c r="E3350" s="44"/>
      <c r="F3350" s="44"/>
      <c r="G3350" s="44"/>
      <c r="H3350" s="46" t="str">
        <f aca="false">IF($A3350="","",IF(OR(NOT(ISNUMBER(E3350)),NOT(ISNUMBER(F3350))),"",MAX(0,E3350)*F3350))</f>
        <v/>
      </c>
      <c r="I3350" s="46" t="str">
        <f aca="false">IF($A3350="","",SUMIF($A$2:$A$5001,$A3350,$H$2:$H$5001))</f>
        <v/>
      </c>
      <c r="J3350" s="47" t="n">
        <f aca="false">IF($A3350="",0,IF(COUNTIF($A$2:A3350,$A3350)=1,1,0))</f>
        <v>0</v>
      </c>
      <c r="K3350" s="47" t="n">
        <f aca="false">IF(J3350=1,N(I3350)+ROW()/10000000,0)</f>
        <v>0</v>
      </c>
      <c r="L3350" s="47" t="str">
        <f aca="false">IF(AND(J3350=1,N(I3350)&gt;0),SUMIF($K$2:$K$5001,"&gt;="&amp;K3350,$I$2:$I$5001)/MAX(1,SUM($H$2:$H$5001)),"")</f>
        <v/>
      </c>
      <c r="M3350" s="47" t="str">
        <f aca="false">IF($A3350="","",INDEX($L$2:$L$5001,MATCH($A3350,$A$2:$A$5001,0)))</f>
        <v/>
      </c>
      <c r="N3350" s="48" t="str">
        <f aca="false">IF($A3350="","",IF(N(M3350)=0,"–",IF(M3350&lt;=Start!$D$20,"A",IF(M3350&lt;=Start!$D$21,"B","C"))))</f>
        <v/>
      </c>
      <c r="O3350" s="48" t="str">
        <f aca="false">IF($A3350="","",IF(NOT(ISNUMBER(F3350)),"Wert fehlt; ",IF(F3350&lt;=0,"Wert ist 0; ",""))&amp;IF(NOT(ISNUMBER(E3350)),"Bestand fehlt; ",IF(E3350&lt;0,"Bestand negativ; ",IF(E3350=0,"Nullbestand; ","")))&amp;IF(D3350="","Warengruppe fehlt; ","")&amp;IF(B3350="","Bezeichnung fehlt; ","")&amp;IF(COUNTIFS($A$2:$A$5001,$A3350,$C$2:$C$5001,C3350)&gt;1,"Artikel doppelt im selben Lager; ",""))</f>
        <v/>
      </c>
      <c r="P3350" s="47" t="n">
        <f aca="false">IF(OR($A3350="",D3350=""),0,IF(COUNTIF($D$2:D3350,D3350)=1,SUMIF($D$2:$D$5001,D3350,$H$2:$H$5001)+ROW()/10000000,0))</f>
        <v>0</v>
      </c>
      <c r="Q3350" s="47" t="n">
        <f aca="false">IF(OR($A3350="",C3350=""),0,IF(COUNTIF($C$2:C3350,C3350)=1,SUMIF($C$2:$C$5001,C3350,$H$2:$H$5001)+ROW()/10000000,0))</f>
        <v>0</v>
      </c>
    </row>
    <row r="3351" customFormat="false" ht="15" hidden="false" customHeight="false" outlineLevel="0" collapsed="false">
      <c r="A3351" s="43"/>
      <c r="B3351" s="44"/>
      <c r="C3351" s="44"/>
      <c r="D3351" s="44"/>
      <c r="E3351" s="44"/>
      <c r="F3351" s="44"/>
      <c r="G3351" s="44"/>
      <c r="H3351" s="46" t="str">
        <f aca="false">IF($A3351="","",IF(OR(NOT(ISNUMBER(E3351)),NOT(ISNUMBER(F3351))),"",MAX(0,E3351)*F3351))</f>
        <v/>
      </c>
      <c r="I3351" s="46" t="str">
        <f aca="false">IF($A3351="","",SUMIF($A$2:$A$5001,$A3351,$H$2:$H$5001))</f>
        <v/>
      </c>
      <c r="J3351" s="47" t="n">
        <f aca="false">IF($A3351="",0,IF(COUNTIF($A$2:A3351,$A3351)=1,1,0))</f>
        <v>0</v>
      </c>
      <c r="K3351" s="47" t="n">
        <f aca="false">IF(J3351=1,N(I3351)+ROW()/10000000,0)</f>
        <v>0</v>
      </c>
      <c r="L3351" s="47" t="str">
        <f aca="false">IF(AND(J3351=1,N(I3351)&gt;0),SUMIF($K$2:$K$5001,"&gt;="&amp;K3351,$I$2:$I$5001)/MAX(1,SUM($H$2:$H$5001)),"")</f>
        <v/>
      </c>
      <c r="M3351" s="47" t="str">
        <f aca="false">IF($A3351="","",INDEX($L$2:$L$5001,MATCH($A3351,$A$2:$A$5001,0)))</f>
        <v/>
      </c>
      <c r="N3351" s="48" t="str">
        <f aca="false">IF($A3351="","",IF(N(M3351)=0,"–",IF(M3351&lt;=Start!$D$20,"A",IF(M3351&lt;=Start!$D$21,"B","C"))))</f>
        <v/>
      </c>
      <c r="O3351" s="48" t="str">
        <f aca="false">IF($A3351="","",IF(NOT(ISNUMBER(F3351)),"Wert fehlt; ",IF(F3351&lt;=0,"Wert ist 0; ",""))&amp;IF(NOT(ISNUMBER(E3351)),"Bestand fehlt; ",IF(E3351&lt;0,"Bestand negativ; ",IF(E3351=0,"Nullbestand; ","")))&amp;IF(D3351="","Warengruppe fehlt; ","")&amp;IF(B3351="","Bezeichnung fehlt; ","")&amp;IF(COUNTIFS($A$2:$A$5001,$A3351,$C$2:$C$5001,C3351)&gt;1,"Artikel doppelt im selben Lager; ",""))</f>
        <v/>
      </c>
      <c r="P3351" s="47" t="n">
        <f aca="false">IF(OR($A3351="",D3351=""),0,IF(COUNTIF($D$2:D3351,D3351)=1,SUMIF($D$2:$D$5001,D3351,$H$2:$H$5001)+ROW()/10000000,0))</f>
        <v>0</v>
      </c>
      <c r="Q3351" s="47" t="n">
        <f aca="false">IF(OR($A3351="",C3351=""),0,IF(COUNTIF($C$2:C3351,C3351)=1,SUMIF($C$2:$C$5001,C3351,$H$2:$H$5001)+ROW()/10000000,0))</f>
        <v>0</v>
      </c>
    </row>
    <row r="3352" customFormat="false" ht="15" hidden="false" customHeight="false" outlineLevel="0" collapsed="false">
      <c r="A3352" s="43"/>
      <c r="B3352" s="44"/>
      <c r="C3352" s="44"/>
      <c r="D3352" s="44"/>
      <c r="E3352" s="44"/>
      <c r="F3352" s="44"/>
      <c r="G3352" s="44"/>
      <c r="H3352" s="46" t="str">
        <f aca="false">IF($A3352="","",IF(OR(NOT(ISNUMBER(E3352)),NOT(ISNUMBER(F3352))),"",MAX(0,E3352)*F3352))</f>
        <v/>
      </c>
      <c r="I3352" s="46" t="str">
        <f aca="false">IF($A3352="","",SUMIF($A$2:$A$5001,$A3352,$H$2:$H$5001))</f>
        <v/>
      </c>
      <c r="J3352" s="47" t="n">
        <f aca="false">IF($A3352="",0,IF(COUNTIF($A$2:A3352,$A3352)=1,1,0))</f>
        <v>0</v>
      </c>
      <c r="K3352" s="47" t="n">
        <f aca="false">IF(J3352=1,N(I3352)+ROW()/10000000,0)</f>
        <v>0</v>
      </c>
      <c r="L3352" s="47" t="str">
        <f aca="false">IF(AND(J3352=1,N(I3352)&gt;0),SUMIF($K$2:$K$5001,"&gt;="&amp;K3352,$I$2:$I$5001)/MAX(1,SUM($H$2:$H$5001)),"")</f>
        <v/>
      </c>
      <c r="M3352" s="47" t="str">
        <f aca="false">IF($A3352="","",INDEX($L$2:$L$5001,MATCH($A3352,$A$2:$A$5001,0)))</f>
        <v/>
      </c>
      <c r="N3352" s="48" t="str">
        <f aca="false">IF($A3352="","",IF(N(M3352)=0,"–",IF(M3352&lt;=Start!$D$20,"A",IF(M3352&lt;=Start!$D$21,"B","C"))))</f>
        <v/>
      </c>
      <c r="O3352" s="48" t="str">
        <f aca="false">IF($A3352="","",IF(NOT(ISNUMBER(F3352)),"Wert fehlt; ",IF(F3352&lt;=0,"Wert ist 0; ",""))&amp;IF(NOT(ISNUMBER(E3352)),"Bestand fehlt; ",IF(E3352&lt;0,"Bestand negativ; ",IF(E3352=0,"Nullbestand; ","")))&amp;IF(D3352="","Warengruppe fehlt; ","")&amp;IF(B3352="","Bezeichnung fehlt; ","")&amp;IF(COUNTIFS($A$2:$A$5001,$A3352,$C$2:$C$5001,C3352)&gt;1,"Artikel doppelt im selben Lager; ",""))</f>
        <v/>
      </c>
      <c r="P3352" s="47" t="n">
        <f aca="false">IF(OR($A3352="",D3352=""),0,IF(COUNTIF($D$2:D3352,D3352)=1,SUMIF($D$2:$D$5001,D3352,$H$2:$H$5001)+ROW()/10000000,0))</f>
        <v>0</v>
      </c>
      <c r="Q3352" s="47" t="n">
        <f aca="false">IF(OR($A3352="",C3352=""),0,IF(COUNTIF($C$2:C3352,C3352)=1,SUMIF($C$2:$C$5001,C3352,$H$2:$H$5001)+ROW()/10000000,0))</f>
        <v>0</v>
      </c>
    </row>
    <row r="3353" customFormat="false" ht="15" hidden="false" customHeight="false" outlineLevel="0" collapsed="false">
      <c r="A3353" s="43"/>
      <c r="B3353" s="44"/>
      <c r="C3353" s="44"/>
      <c r="D3353" s="44"/>
      <c r="E3353" s="44"/>
      <c r="F3353" s="44"/>
      <c r="G3353" s="44"/>
      <c r="H3353" s="46" t="str">
        <f aca="false">IF($A3353="","",IF(OR(NOT(ISNUMBER(E3353)),NOT(ISNUMBER(F3353))),"",MAX(0,E3353)*F3353))</f>
        <v/>
      </c>
      <c r="I3353" s="46" t="str">
        <f aca="false">IF($A3353="","",SUMIF($A$2:$A$5001,$A3353,$H$2:$H$5001))</f>
        <v/>
      </c>
      <c r="J3353" s="47" t="n">
        <f aca="false">IF($A3353="",0,IF(COUNTIF($A$2:A3353,$A3353)=1,1,0))</f>
        <v>0</v>
      </c>
      <c r="K3353" s="47" t="n">
        <f aca="false">IF(J3353=1,N(I3353)+ROW()/10000000,0)</f>
        <v>0</v>
      </c>
      <c r="L3353" s="47" t="str">
        <f aca="false">IF(AND(J3353=1,N(I3353)&gt;0),SUMIF($K$2:$K$5001,"&gt;="&amp;K3353,$I$2:$I$5001)/MAX(1,SUM($H$2:$H$5001)),"")</f>
        <v/>
      </c>
      <c r="M3353" s="47" t="str">
        <f aca="false">IF($A3353="","",INDEX($L$2:$L$5001,MATCH($A3353,$A$2:$A$5001,0)))</f>
        <v/>
      </c>
      <c r="N3353" s="48" t="str">
        <f aca="false">IF($A3353="","",IF(N(M3353)=0,"–",IF(M3353&lt;=Start!$D$20,"A",IF(M3353&lt;=Start!$D$21,"B","C"))))</f>
        <v/>
      </c>
      <c r="O3353" s="48" t="str">
        <f aca="false">IF($A3353="","",IF(NOT(ISNUMBER(F3353)),"Wert fehlt; ",IF(F3353&lt;=0,"Wert ist 0; ",""))&amp;IF(NOT(ISNUMBER(E3353)),"Bestand fehlt; ",IF(E3353&lt;0,"Bestand negativ; ",IF(E3353=0,"Nullbestand; ","")))&amp;IF(D3353="","Warengruppe fehlt; ","")&amp;IF(B3353="","Bezeichnung fehlt; ","")&amp;IF(COUNTIFS($A$2:$A$5001,$A3353,$C$2:$C$5001,C3353)&gt;1,"Artikel doppelt im selben Lager; ",""))</f>
        <v/>
      </c>
      <c r="P3353" s="47" t="n">
        <f aca="false">IF(OR($A3353="",D3353=""),0,IF(COUNTIF($D$2:D3353,D3353)=1,SUMIF($D$2:$D$5001,D3353,$H$2:$H$5001)+ROW()/10000000,0))</f>
        <v>0</v>
      </c>
      <c r="Q3353" s="47" t="n">
        <f aca="false">IF(OR($A3353="",C3353=""),0,IF(COUNTIF($C$2:C3353,C3353)=1,SUMIF($C$2:$C$5001,C3353,$H$2:$H$5001)+ROW()/10000000,0))</f>
        <v>0</v>
      </c>
    </row>
    <row r="3354" customFormat="false" ht="15" hidden="false" customHeight="false" outlineLevel="0" collapsed="false">
      <c r="A3354" s="43"/>
      <c r="B3354" s="44"/>
      <c r="C3354" s="44"/>
      <c r="D3354" s="44"/>
      <c r="E3354" s="44"/>
      <c r="F3354" s="44"/>
      <c r="G3354" s="44"/>
      <c r="H3354" s="46" t="str">
        <f aca="false">IF($A3354="","",IF(OR(NOT(ISNUMBER(E3354)),NOT(ISNUMBER(F3354))),"",MAX(0,E3354)*F3354))</f>
        <v/>
      </c>
      <c r="I3354" s="46" t="str">
        <f aca="false">IF($A3354="","",SUMIF($A$2:$A$5001,$A3354,$H$2:$H$5001))</f>
        <v/>
      </c>
      <c r="J3354" s="47" t="n">
        <f aca="false">IF($A3354="",0,IF(COUNTIF($A$2:A3354,$A3354)=1,1,0))</f>
        <v>0</v>
      </c>
      <c r="K3354" s="47" t="n">
        <f aca="false">IF(J3354=1,N(I3354)+ROW()/10000000,0)</f>
        <v>0</v>
      </c>
      <c r="L3354" s="47" t="str">
        <f aca="false">IF(AND(J3354=1,N(I3354)&gt;0),SUMIF($K$2:$K$5001,"&gt;="&amp;K3354,$I$2:$I$5001)/MAX(1,SUM($H$2:$H$5001)),"")</f>
        <v/>
      </c>
      <c r="M3354" s="47" t="str">
        <f aca="false">IF($A3354="","",INDEX($L$2:$L$5001,MATCH($A3354,$A$2:$A$5001,0)))</f>
        <v/>
      </c>
      <c r="N3354" s="48" t="str">
        <f aca="false">IF($A3354="","",IF(N(M3354)=0,"–",IF(M3354&lt;=Start!$D$20,"A",IF(M3354&lt;=Start!$D$21,"B","C"))))</f>
        <v/>
      </c>
      <c r="O3354" s="48" t="str">
        <f aca="false">IF($A3354="","",IF(NOT(ISNUMBER(F3354)),"Wert fehlt; ",IF(F3354&lt;=0,"Wert ist 0; ",""))&amp;IF(NOT(ISNUMBER(E3354)),"Bestand fehlt; ",IF(E3354&lt;0,"Bestand negativ; ",IF(E3354=0,"Nullbestand; ","")))&amp;IF(D3354="","Warengruppe fehlt; ","")&amp;IF(B3354="","Bezeichnung fehlt; ","")&amp;IF(COUNTIFS($A$2:$A$5001,$A3354,$C$2:$C$5001,C3354)&gt;1,"Artikel doppelt im selben Lager; ",""))</f>
        <v/>
      </c>
      <c r="P3354" s="47" t="n">
        <f aca="false">IF(OR($A3354="",D3354=""),0,IF(COUNTIF($D$2:D3354,D3354)=1,SUMIF($D$2:$D$5001,D3354,$H$2:$H$5001)+ROW()/10000000,0))</f>
        <v>0</v>
      </c>
      <c r="Q3354" s="47" t="n">
        <f aca="false">IF(OR($A3354="",C3354=""),0,IF(COUNTIF($C$2:C3354,C3354)=1,SUMIF($C$2:$C$5001,C3354,$H$2:$H$5001)+ROW()/10000000,0))</f>
        <v>0</v>
      </c>
    </row>
    <row r="3355" customFormat="false" ht="15" hidden="false" customHeight="false" outlineLevel="0" collapsed="false">
      <c r="A3355" s="43"/>
      <c r="B3355" s="44"/>
      <c r="C3355" s="44"/>
      <c r="D3355" s="44"/>
      <c r="E3355" s="44"/>
      <c r="F3355" s="44"/>
      <c r="G3355" s="44"/>
      <c r="H3355" s="46" t="str">
        <f aca="false">IF($A3355="","",IF(OR(NOT(ISNUMBER(E3355)),NOT(ISNUMBER(F3355))),"",MAX(0,E3355)*F3355))</f>
        <v/>
      </c>
      <c r="I3355" s="46" t="str">
        <f aca="false">IF($A3355="","",SUMIF($A$2:$A$5001,$A3355,$H$2:$H$5001))</f>
        <v/>
      </c>
      <c r="J3355" s="47" t="n">
        <f aca="false">IF($A3355="",0,IF(COUNTIF($A$2:A3355,$A3355)=1,1,0))</f>
        <v>0</v>
      </c>
      <c r="K3355" s="47" t="n">
        <f aca="false">IF(J3355=1,N(I3355)+ROW()/10000000,0)</f>
        <v>0</v>
      </c>
      <c r="L3355" s="47" t="str">
        <f aca="false">IF(AND(J3355=1,N(I3355)&gt;0),SUMIF($K$2:$K$5001,"&gt;="&amp;K3355,$I$2:$I$5001)/MAX(1,SUM($H$2:$H$5001)),"")</f>
        <v/>
      </c>
      <c r="M3355" s="47" t="str">
        <f aca="false">IF($A3355="","",INDEX($L$2:$L$5001,MATCH($A3355,$A$2:$A$5001,0)))</f>
        <v/>
      </c>
      <c r="N3355" s="48" t="str">
        <f aca="false">IF($A3355="","",IF(N(M3355)=0,"–",IF(M3355&lt;=Start!$D$20,"A",IF(M3355&lt;=Start!$D$21,"B","C"))))</f>
        <v/>
      </c>
      <c r="O3355" s="48" t="str">
        <f aca="false">IF($A3355="","",IF(NOT(ISNUMBER(F3355)),"Wert fehlt; ",IF(F3355&lt;=0,"Wert ist 0; ",""))&amp;IF(NOT(ISNUMBER(E3355)),"Bestand fehlt; ",IF(E3355&lt;0,"Bestand negativ; ",IF(E3355=0,"Nullbestand; ","")))&amp;IF(D3355="","Warengruppe fehlt; ","")&amp;IF(B3355="","Bezeichnung fehlt; ","")&amp;IF(COUNTIFS($A$2:$A$5001,$A3355,$C$2:$C$5001,C3355)&gt;1,"Artikel doppelt im selben Lager; ",""))</f>
        <v/>
      </c>
      <c r="P3355" s="47" t="n">
        <f aca="false">IF(OR($A3355="",D3355=""),0,IF(COUNTIF($D$2:D3355,D3355)=1,SUMIF($D$2:$D$5001,D3355,$H$2:$H$5001)+ROW()/10000000,0))</f>
        <v>0</v>
      </c>
      <c r="Q3355" s="47" t="n">
        <f aca="false">IF(OR($A3355="",C3355=""),0,IF(COUNTIF($C$2:C3355,C3355)=1,SUMIF($C$2:$C$5001,C3355,$H$2:$H$5001)+ROW()/10000000,0))</f>
        <v>0</v>
      </c>
    </row>
    <row r="3356" customFormat="false" ht="15" hidden="false" customHeight="false" outlineLevel="0" collapsed="false">
      <c r="A3356" s="43"/>
      <c r="B3356" s="44"/>
      <c r="C3356" s="44"/>
      <c r="D3356" s="44"/>
      <c r="E3356" s="44"/>
      <c r="F3356" s="44"/>
      <c r="G3356" s="44"/>
      <c r="H3356" s="46" t="str">
        <f aca="false">IF($A3356="","",IF(OR(NOT(ISNUMBER(E3356)),NOT(ISNUMBER(F3356))),"",MAX(0,E3356)*F3356))</f>
        <v/>
      </c>
      <c r="I3356" s="46" t="str">
        <f aca="false">IF($A3356="","",SUMIF($A$2:$A$5001,$A3356,$H$2:$H$5001))</f>
        <v/>
      </c>
      <c r="J3356" s="47" t="n">
        <f aca="false">IF($A3356="",0,IF(COUNTIF($A$2:A3356,$A3356)=1,1,0))</f>
        <v>0</v>
      </c>
      <c r="K3356" s="47" t="n">
        <f aca="false">IF(J3356=1,N(I3356)+ROW()/10000000,0)</f>
        <v>0</v>
      </c>
      <c r="L3356" s="47" t="str">
        <f aca="false">IF(AND(J3356=1,N(I3356)&gt;0),SUMIF($K$2:$K$5001,"&gt;="&amp;K3356,$I$2:$I$5001)/MAX(1,SUM($H$2:$H$5001)),"")</f>
        <v/>
      </c>
      <c r="M3356" s="47" t="str">
        <f aca="false">IF($A3356="","",INDEX($L$2:$L$5001,MATCH($A3356,$A$2:$A$5001,0)))</f>
        <v/>
      </c>
      <c r="N3356" s="48" t="str">
        <f aca="false">IF($A3356="","",IF(N(M3356)=0,"–",IF(M3356&lt;=Start!$D$20,"A",IF(M3356&lt;=Start!$D$21,"B","C"))))</f>
        <v/>
      </c>
      <c r="O3356" s="48" t="str">
        <f aca="false">IF($A3356="","",IF(NOT(ISNUMBER(F3356)),"Wert fehlt; ",IF(F3356&lt;=0,"Wert ist 0; ",""))&amp;IF(NOT(ISNUMBER(E3356)),"Bestand fehlt; ",IF(E3356&lt;0,"Bestand negativ; ",IF(E3356=0,"Nullbestand; ","")))&amp;IF(D3356="","Warengruppe fehlt; ","")&amp;IF(B3356="","Bezeichnung fehlt; ","")&amp;IF(COUNTIFS($A$2:$A$5001,$A3356,$C$2:$C$5001,C3356)&gt;1,"Artikel doppelt im selben Lager; ",""))</f>
        <v/>
      </c>
      <c r="P3356" s="47" t="n">
        <f aca="false">IF(OR($A3356="",D3356=""),0,IF(COUNTIF($D$2:D3356,D3356)=1,SUMIF($D$2:$D$5001,D3356,$H$2:$H$5001)+ROW()/10000000,0))</f>
        <v>0</v>
      </c>
      <c r="Q3356" s="47" t="n">
        <f aca="false">IF(OR($A3356="",C3356=""),0,IF(COUNTIF($C$2:C3356,C3356)=1,SUMIF($C$2:$C$5001,C3356,$H$2:$H$5001)+ROW()/10000000,0))</f>
        <v>0</v>
      </c>
    </row>
    <row r="3357" customFormat="false" ht="15" hidden="false" customHeight="false" outlineLevel="0" collapsed="false">
      <c r="A3357" s="43"/>
      <c r="B3357" s="44"/>
      <c r="C3357" s="44"/>
      <c r="D3357" s="44"/>
      <c r="E3357" s="44"/>
      <c r="F3357" s="44"/>
      <c r="G3357" s="44"/>
      <c r="H3357" s="46" t="str">
        <f aca="false">IF($A3357="","",IF(OR(NOT(ISNUMBER(E3357)),NOT(ISNUMBER(F3357))),"",MAX(0,E3357)*F3357))</f>
        <v/>
      </c>
      <c r="I3357" s="46" t="str">
        <f aca="false">IF($A3357="","",SUMIF($A$2:$A$5001,$A3357,$H$2:$H$5001))</f>
        <v/>
      </c>
      <c r="J3357" s="47" t="n">
        <f aca="false">IF($A3357="",0,IF(COUNTIF($A$2:A3357,$A3357)=1,1,0))</f>
        <v>0</v>
      </c>
      <c r="K3357" s="47" t="n">
        <f aca="false">IF(J3357=1,N(I3357)+ROW()/10000000,0)</f>
        <v>0</v>
      </c>
      <c r="L3357" s="47" t="str">
        <f aca="false">IF(AND(J3357=1,N(I3357)&gt;0),SUMIF($K$2:$K$5001,"&gt;="&amp;K3357,$I$2:$I$5001)/MAX(1,SUM($H$2:$H$5001)),"")</f>
        <v/>
      </c>
      <c r="M3357" s="47" t="str">
        <f aca="false">IF($A3357="","",INDEX($L$2:$L$5001,MATCH($A3357,$A$2:$A$5001,0)))</f>
        <v/>
      </c>
      <c r="N3357" s="48" t="str">
        <f aca="false">IF($A3357="","",IF(N(M3357)=0,"–",IF(M3357&lt;=Start!$D$20,"A",IF(M3357&lt;=Start!$D$21,"B","C"))))</f>
        <v/>
      </c>
      <c r="O3357" s="48" t="str">
        <f aca="false">IF($A3357="","",IF(NOT(ISNUMBER(F3357)),"Wert fehlt; ",IF(F3357&lt;=0,"Wert ist 0; ",""))&amp;IF(NOT(ISNUMBER(E3357)),"Bestand fehlt; ",IF(E3357&lt;0,"Bestand negativ; ",IF(E3357=0,"Nullbestand; ","")))&amp;IF(D3357="","Warengruppe fehlt; ","")&amp;IF(B3357="","Bezeichnung fehlt; ","")&amp;IF(COUNTIFS($A$2:$A$5001,$A3357,$C$2:$C$5001,C3357)&gt;1,"Artikel doppelt im selben Lager; ",""))</f>
        <v/>
      </c>
      <c r="P3357" s="47" t="n">
        <f aca="false">IF(OR($A3357="",D3357=""),0,IF(COUNTIF($D$2:D3357,D3357)=1,SUMIF($D$2:$D$5001,D3357,$H$2:$H$5001)+ROW()/10000000,0))</f>
        <v>0</v>
      </c>
      <c r="Q3357" s="47" t="n">
        <f aca="false">IF(OR($A3357="",C3357=""),0,IF(COUNTIF($C$2:C3357,C3357)=1,SUMIF($C$2:$C$5001,C3357,$H$2:$H$5001)+ROW()/10000000,0))</f>
        <v>0</v>
      </c>
    </row>
    <row r="3358" customFormat="false" ht="15" hidden="false" customHeight="false" outlineLevel="0" collapsed="false">
      <c r="A3358" s="43"/>
      <c r="B3358" s="44"/>
      <c r="C3358" s="44"/>
      <c r="D3358" s="44"/>
      <c r="E3358" s="44"/>
      <c r="F3358" s="44"/>
      <c r="G3358" s="44"/>
      <c r="H3358" s="46" t="str">
        <f aca="false">IF($A3358="","",IF(OR(NOT(ISNUMBER(E3358)),NOT(ISNUMBER(F3358))),"",MAX(0,E3358)*F3358))</f>
        <v/>
      </c>
      <c r="I3358" s="46" t="str">
        <f aca="false">IF($A3358="","",SUMIF($A$2:$A$5001,$A3358,$H$2:$H$5001))</f>
        <v/>
      </c>
      <c r="J3358" s="47" t="n">
        <f aca="false">IF($A3358="",0,IF(COUNTIF($A$2:A3358,$A3358)=1,1,0))</f>
        <v>0</v>
      </c>
      <c r="K3358" s="47" t="n">
        <f aca="false">IF(J3358=1,N(I3358)+ROW()/10000000,0)</f>
        <v>0</v>
      </c>
      <c r="L3358" s="47" t="str">
        <f aca="false">IF(AND(J3358=1,N(I3358)&gt;0),SUMIF($K$2:$K$5001,"&gt;="&amp;K3358,$I$2:$I$5001)/MAX(1,SUM($H$2:$H$5001)),"")</f>
        <v/>
      </c>
      <c r="M3358" s="47" t="str">
        <f aca="false">IF($A3358="","",INDEX($L$2:$L$5001,MATCH($A3358,$A$2:$A$5001,0)))</f>
        <v/>
      </c>
      <c r="N3358" s="48" t="str">
        <f aca="false">IF($A3358="","",IF(N(M3358)=0,"–",IF(M3358&lt;=Start!$D$20,"A",IF(M3358&lt;=Start!$D$21,"B","C"))))</f>
        <v/>
      </c>
      <c r="O3358" s="48" t="str">
        <f aca="false">IF($A3358="","",IF(NOT(ISNUMBER(F3358)),"Wert fehlt; ",IF(F3358&lt;=0,"Wert ist 0; ",""))&amp;IF(NOT(ISNUMBER(E3358)),"Bestand fehlt; ",IF(E3358&lt;0,"Bestand negativ; ",IF(E3358=0,"Nullbestand; ","")))&amp;IF(D3358="","Warengruppe fehlt; ","")&amp;IF(B3358="","Bezeichnung fehlt; ","")&amp;IF(COUNTIFS($A$2:$A$5001,$A3358,$C$2:$C$5001,C3358)&gt;1,"Artikel doppelt im selben Lager; ",""))</f>
        <v/>
      </c>
      <c r="P3358" s="47" t="n">
        <f aca="false">IF(OR($A3358="",D3358=""),0,IF(COUNTIF($D$2:D3358,D3358)=1,SUMIF($D$2:$D$5001,D3358,$H$2:$H$5001)+ROW()/10000000,0))</f>
        <v>0</v>
      </c>
      <c r="Q3358" s="47" t="n">
        <f aca="false">IF(OR($A3358="",C3358=""),0,IF(COUNTIF($C$2:C3358,C3358)=1,SUMIF($C$2:$C$5001,C3358,$H$2:$H$5001)+ROW()/10000000,0))</f>
        <v>0</v>
      </c>
    </row>
    <row r="3359" customFormat="false" ht="15" hidden="false" customHeight="false" outlineLevel="0" collapsed="false">
      <c r="A3359" s="43"/>
      <c r="B3359" s="44"/>
      <c r="C3359" s="44"/>
      <c r="D3359" s="44"/>
      <c r="E3359" s="44"/>
      <c r="F3359" s="44"/>
      <c r="G3359" s="44"/>
      <c r="H3359" s="46" t="str">
        <f aca="false">IF($A3359="","",IF(OR(NOT(ISNUMBER(E3359)),NOT(ISNUMBER(F3359))),"",MAX(0,E3359)*F3359))</f>
        <v/>
      </c>
      <c r="I3359" s="46" t="str">
        <f aca="false">IF($A3359="","",SUMIF($A$2:$A$5001,$A3359,$H$2:$H$5001))</f>
        <v/>
      </c>
      <c r="J3359" s="47" t="n">
        <f aca="false">IF($A3359="",0,IF(COUNTIF($A$2:A3359,$A3359)=1,1,0))</f>
        <v>0</v>
      </c>
      <c r="K3359" s="47" t="n">
        <f aca="false">IF(J3359=1,N(I3359)+ROW()/10000000,0)</f>
        <v>0</v>
      </c>
      <c r="L3359" s="47" t="str">
        <f aca="false">IF(AND(J3359=1,N(I3359)&gt;0),SUMIF($K$2:$K$5001,"&gt;="&amp;K3359,$I$2:$I$5001)/MAX(1,SUM($H$2:$H$5001)),"")</f>
        <v/>
      </c>
      <c r="M3359" s="47" t="str">
        <f aca="false">IF($A3359="","",INDEX($L$2:$L$5001,MATCH($A3359,$A$2:$A$5001,0)))</f>
        <v/>
      </c>
      <c r="N3359" s="48" t="str">
        <f aca="false">IF($A3359="","",IF(N(M3359)=0,"–",IF(M3359&lt;=Start!$D$20,"A",IF(M3359&lt;=Start!$D$21,"B","C"))))</f>
        <v/>
      </c>
      <c r="O3359" s="48" t="str">
        <f aca="false">IF($A3359="","",IF(NOT(ISNUMBER(F3359)),"Wert fehlt; ",IF(F3359&lt;=0,"Wert ist 0; ",""))&amp;IF(NOT(ISNUMBER(E3359)),"Bestand fehlt; ",IF(E3359&lt;0,"Bestand negativ; ",IF(E3359=0,"Nullbestand; ","")))&amp;IF(D3359="","Warengruppe fehlt; ","")&amp;IF(B3359="","Bezeichnung fehlt; ","")&amp;IF(COUNTIFS($A$2:$A$5001,$A3359,$C$2:$C$5001,C3359)&gt;1,"Artikel doppelt im selben Lager; ",""))</f>
        <v/>
      </c>
      <c r="P3359" s="47" t="n">
        <f aca="false">IF(OR($A3359="",D3359=""),0,IF(COUNTIF($D$2:D3359,D3359)=1,SUMIF($D$2:$D$5001,D3359,$H$2:$H$5001)+ROW()/10000000,0))</f>
        <v>0</v>
      </c>
      <c r="Q3359" s="47" t="n">
        <f aca="false">IF(OR($A3359="",C3359=""),0,IF(COUNTIF($C$2:C3359,C3359)=1,SUMIF($C$2:$C$5001,C3359,$H$2:$H$5001)+ROW()/10000000,0))</f>
        <v>0</v>
      </c>
    </row>
    <row r="3360" customFormat="false" ht="15" hidden="false" customHeight="false" outlineLevel="0" collapsed="false">
      <c r="A3360" s="43"/>
      <c r="B3360" s="44"/>
      <c r="C3360" s="44"/>
      <c r="D3360" s="44"/>
      <c r="E3360" s="44"/>
      <c r="F3360" s="44"/>
      <c r="G3360" s="44"/>
      <c r="H3360" s="46" t="str">
        <f aca="false">IF($A3360="","",IF(OR(NOT(ISNUMBER(E3360)),NOT(ISNUMBER(F3360))),"",MAX(0,E3360)*F3360))</f>
        <v/>
      </c>
      <c r="I3360" s="46" t="str">
        <f aca="false">IF($A3360="","",SUMIF($A$2:$A$5001,$A3360,$H$2:$H$5001))</f>
        <v/>
      </c>
      <c r="J3360" s="47" t="n">
        <f aca="false">IF($A3360="",0,IF(COUNTIF($A$2:A3360,$A3360)=1,1,0))</f>
        <v>0</v>
      </c>
      <c r="K3360" s="47" t="n">
        <f aca="false">IF(J3360=1,N(I3360)+ROW()/10000000,0)</f>
        <v>0</v>
      </c>
      <c r="L3360" s="47" t="str">
        <f aca="false">IF(AND(J3360=1,N(I3360)&gt;0),SUMIF($K$2:$K$5001,"&gt;="&amp;K3360,$I$2:$I$5001)/MAX(1,SUM($H$2:$H$5001)),"")</f>
        <v/>
      </c>
      <c r="M3360" s="47" t="str">
        <f aca="false">IF($A3360="","",INDEX($L$2:$L$5001,MATCH($A3360,$A$2:$A$5001,0)))</f>
        <v/>
      </c>
      <c r="N3360" s="48" t="str">
        <f aca="false">IF($A3360="","",IF(N(M3360)=0,"–",IF(M3360&lt;=Start!$D$20,"A",IF(M3360&lt;=Start!$D$21,"B","C"))))</f>
        <v/>
      </c>
      <c r="O3360" s="48" t="str">
        <f aca="false">IF($A3360="","",IF(NOT(ISNUMBER(F3360)),"Wert fehlt; ",IF(F3360&lt;=0,"Wert ist 0; ",""))&amp;IF(NOT(ISNUMBER(E3360)),"Bestand fehlt; ",IF(E3360&lt;0,"Bestand negativ; ",IF(E3360=0,"Nullbestand; ","")))&amp;IF(D3360="","Warengruppe fehlt; ","")&amp;IF(B3360="","Bezeichnung fehlt; ","")&amp;IF(COUNTIFS($A$2:$A$5001,$A3360,$C$2:$C$5001,C3360)&gt;1,"Artikel doppelt im selben Lager; ",""))</f>
        <v/>
      </c>
      <c r="P3360" s="47" t="n">
        <f aca="false">IF(OR($A3360="",D3360=""),0,IF(COUNTIF($D$2:D3360,D3360)=1,SUMIF($D$2:$D$5001,D3360,$H$2:$H$5001)+ROW()/10000000,0))</f>
        <v>0</v>
      </c>
      <c r="Q3360" s="47" t="n">
        <f aca="false">IF(OR($A3360="",C3360=""),0,IF(COUNTIF($C$2:C3360,C3360)=1,SUMIF($C$2:$C$5001,C3360,$H$2:$H$5001)+ROW()/10000000,0))</f>
        <v>0</v>
      </c>
    </row>
    <row r="3361" customFormat="false" ht="15" hidden="false" customHeight="false" outlineLevel="0" collapsed="false">
      <c r="A3361" s="43"/>
      <c r="B3361" s="44"/>
      <c r="C3361" s="44"/>
      <c r="D3361" s="44"/>
      <c r="E3361" s="44"/>
      <c r="F3361" s="44"/>
      <c r="G3361" s="44"/>
      <c r="H3361" s="46" t="str">
        <f aca="false">IF($A3361="","",IF(OR(NOT(ISNUMBER(E3361)),NOT(ISNUMBER(F3361))),"",MAX(0,E3361)*F3361))</f>
        <v/>
      </c>
      <c r="I3361" s="46" t="str">
        <f aca="false">IF($A3361="","",SUMIF($A$2:$A$5001,$A3361,$H$2:$H$5001))</f>
        <v/>
      </c>
      <c r="J3361" s="47" t="n">
        <f aca="false">IF($A3361="",0,IF(COUNTIF($A$2:A3361,$A3361)=1,1,0))</f>
        <v>0</v>
      </c>
      <c r="K3361" s="47" t="n">
        <f aca="false">IF(J3361=1,N(I3361)+ROW()/10000000,0)</f>
        <v>0</v>
      </c>
      <c r="L3361" s="47" t="str">
        <f aca="false">IF(AND(J3361=1,N(I3361)&gt;0),SUMIF($K$2:$K$5001,"&gt;="&amp;K3361,$I$2:$I$5001)/MAX(1,SUM($H$2:$H$5001)),"")</f>
        <v/>
      </c>
      <c r="M3361" s="47" t="str">
        <f aca="false">IF($A3361="","",INDEX($L$2:$L$5001,MATCH($A3361,$A$2:$A$5001,0)))</f>
        <v/>
      </c>
      <c r="N3361" s="48" t="str">
        <f aca="false">IF($A3361="","",IF(N(M3361)=0,"–",IF(M3361&lt;=Start!$D$20,"A",IF(M3361&lt;=Start!$D$21,"B","C"))))</f>
        <v/>
      </c>
      <c r="O3361" s="48" t="str">
        <f aca="false">IF($A3361="","",IF(NOT(ISNUMBER(F3361)),"Wert fehlt; ",IF(F3361&lt;=0,"Wert ist 0; ",""))&amp;IF(NOT(ISNUMBER(E3361)),"Bestand fehlt; ",IF(E3361&lt;0,"Bestand negativ; ",IF(E3361=0,"Nullbestand; ","")))&amp;IF(D3361="","Warengruppe fehlt; ","")&amp;IF(B3361="","Bezeichnung fehlt; ","")&amp;IF(COUNTIFS($A$2:$A$5001,$A3361,$C$2:$C$5001,C3361)&gt;1,"Artikel doppelt im selben Lager; ",""))</f>
        <v/>
      </c>
      <c r="P3361" s="47" t="n">
        <f aca="false">IF(OR($A3361="",D3361=""),0,IF(COUNTIF($D$2:D3361,D3361)=1,SUMIF($D$2:$D$5001,D3361,$H$2:$H$5001)+ROW()/10000000,0))</f>
        <v>0</v>
      </c>
      <c r="Q3361" s="47" t="n">
        <f aca="false">IF(OR($A3361="",C3361=""),0,IF(COUNTIF($C$2:C3361,C3361)=1,SUMIF($C$2:$C$5001,C3361,$H$2:$H$5001)+ROW()/10000000,0))</f>
        <v>0</v>
      </c>
    </row>
    <row r="3362" customFormat="false" ht="15" hidden="false" customHeight="false" outlineLevel="0" collapsed="false">
      <c r="A3362" s="43"/>
      <c r="B3362" s="44"/>
      <c r="C3362" s="44"/>
      <c r="D3362" s="44"/>
      <c r="E3362" s="44"/>
      <c r="F3362" s="44"/>
      <c r="G3362" s="44"/>
      <c r="H3362" s="46" t="str">
        <f aca="false">IF($A3362="","",IF(OR(NOT(ISNUMBER(E3362)),NOT(ISNUMBER(F3362))),"",MAX(0,E3362)*F3362))</f>
        <v/>
      </c>
      <c r="I3362" s="46" t="str">
        <f aca="false">IF($A3362="","",SUMIF($A$2:$A$5001,$A3362,$H$2:$H$5001))</f>
        <v/>
      </c>
      <c r="J3362" s="47" t="n">
        <f aca="false">IF($A3362="",0,IF(COUNTIF($A$2:A3362,$A3362)=1,1,0))</f>
        <v>0</v>
      </c>
      <c r="K3362" s="47" t="n">
        <f aca="false">IF(J3362=1,N(I3362)+ROW()/10000000,0)</f>
        <v>0</v>
      </c>
      <c r="L3362" s="47" t="str">
        <f aca="false">IF(AND(J3362=1,N(I3362)&gt;0),SUMIF($K$2:$K$5001,"&gt;="&amp;K3362,$I$2:$I$5001)/MAX(1,SUM($H$2:$H$5001)),"")</f>
        <v/>
      </c>
      <c r="M3362" s="47" t="str">
        <f aca="false">IF($A3362="","",INDEX($L$2:$L$5001,MATCH($A3362,$A$2:$A$5001,0)))</f>
        <v/>
      </c>
      <c r="N3362" s="48" t="str">
        <f aca="false">IF($A3362="","",IF(N(M3362)=0,"–",IF(M3362&lt;=Start!$D$20,"A",IF(M3362&lt;=Start!$D$21,"B","C"))))</f>
        <v/>
      </c>
      <c r="O3362" s="48" t="str">
        <f aca="false">IF($A3362="","",IF(NOT(ISNUMBER(F3362)),"Wert fehlt; ",IF(F3362&lt;=0,"Wert ist 0; ",""))&amp;IF(NOT(ISNUMBER(E3362)),"Bestand fehlt; ",IF(E3362&lt;0,"Bestand negativ; ",IF(E3362=0,"Nullbestand; ","")))&amp;IF(D3362="","Warengruppe fehlt; ","")&amp;IF(B3362="","Bezeichnung fehlt; ","")&amp;IF(COUNTIFS($A$2:$A$5001,$A3362,$C$2:$C$5001,C3362)&gt;1,"Artikel doppelt im selben Lager; ",""))</f>
        <v/>
      </c>
      <c r="P3362" s="47" t="n">
        <f aca="false">IF(OR($A3362="",D3362=""),0,IF(COUNTIF($D$2:D3362,D3362)=1,SUMIF($D$2:$D$5001,D3362,$H$2:$H$5001)+ROW()/10000000,0))</f>
        <v>0</v>
      </c>
      <c r="Q3362" s="47" t="n">
        <f aca="false">IF(OR($A3362="",C3362=""),0,IF(COUNTIF($C$2:C3362,C3362)=1,SUMIF($C$2:$C$5001,C3362,$H$2:$H$5001)+ROW()/10000000,0))</f>
        <v>0</v>
      </c>
    </row>
    <row r="3363" customFormat="false" ht="15" hidden="false" customHeight="false" outlineLevel="0" collapsed="false">
      <c r="A3363" s="43"/>
      <c r="B3363" s="44"/>
      <c r="C3363" s="44"/>
      <c r="D3363" s="44"/>
      <c r="E3363" s="44"/>
      <c r="F3363" s="44"/>
      <c r="G3363" s="44"/>
      <c r="H3363" s="46" t="str">
        <f aca="false">IF($A3363="","",IF(OR(NOT(ISNUMBER(E3363)),NOT(ISNUMBER(F3363))),"",MAX(0,E3363)*F3363))</f>
        <v/>
      </c>
      <c r="I3363" s="46" t="str">
        <f aca="false">IF($A3363="","",SUMIF($A$2:$A$5001,$A3363,$H$2:$H$5001))</f>
        <v/>
      </c>
      <c r="J3363" s="47" t="n">
        <f aca="false">IF($A3363="",0,IF(COUNTIF($A$2:A3363,$A3363)=1,1,0))</f>
        <v>0</v>
      </c>
      <c r="K3363" s="47" t="n">
        <f aca="false">IF(J3363=1,N(I3363)+ROW()/10000000,0)</f>
        <v>0</v>
      </c>
      <c r="L3363" s="47" t="str">
        <f aca="false">IF(AND(J3363=1,N(I3363)&gt;0),SUMIF($K$2:$K$5001,"&gt;="&amp;K3363,$I$2:$I$5001)/MAX(1,SUM($H$2:$H$5001)),"")</f>
        <v/>
      </c>
      <c r="M3363" s="47" t="str">
        <f aca="false">IF($A3363="","",INDEX($L$2:$L$5001,MATCH($A3363,$A$2:$A$5001,0)))</f>
        <v/>
      </c>
      <c r="N3363" s="48" t="str">
        <f aca="false">IF($A3363="","",IF(N(M3363)=0,"–",IF(M3363&lt;=Start!$D$20,"A",IF(M3363&lt;=Start!$D$21,"B","C"))))</f>
        <v/>
      </c>
      <c r="O3363" s="48" t="str">
        <f aca="false">IF($A3363="","",IF(NOT(ISNUMBER(F3363)),"Wert fehlt; ",IF(F3363&lt;=0,"Wert ist 0; ",""))&amp;IF(NOT(ISNUMBER(E3363)),"Bestand fehlt; ",IF(E3363&lt;0,"Bestand negativ; ",IF(E3363=0,"Nullbestand; ","")))&amp;IF(D3363="","Warengruppe fehlt; ","")&amp;IF(B3363="","Bezeichnung fehlt; ","")&amp;IF(COUNTIFS($A$2:$A$5001,$A3363,$C$2:$C$5001,C3363)&gt;1,"Artikel doppelt im selben Lager; ",""))</f>
        <v/>
      </c>
      <c r="P3363" s="47" t="n">
        <f aca="false">IF(OR($A3363="",D3363=""),0,IF(COUNTIF($D$2:D3363,D3363)=1,SUMIF($D$2:$D$5001,D3363,$H$2:$H$5001)+ROW()/10000000,0))</f>
        <v>0</v>
      </c>
      <c r="Q3363" s="47" t="n">
        <f aca="false">IF(OR($A3363="",C3363=""),0,IF(COUNTIF($C$2:C3363,C3363)=1,SUMIF($C$2:$C$5001,C3363,$H$2:$H$5001)+ROW()/10000000,0))</f>
        <v>0</v>
      </c>
    </row>
    <row r="3364" customFormat="false" ht="15" hidden="false" customHeight="false" outlineLevel="0" collapsed="false">
      <c r="A3364" s="43"/>
      <c r="B3364" s="44"/>
      <c r="C3364" s="44"/>
      <c r="D3364" s="44"/>
      <c r="E3364" s="44"/>
      <c r="F3364" s="44"/>
      <c r="G3364" s="44"/>
      <c r="H3364" s="46" t="str">
        <f aca="false">IF($A3364="","",IF(OR(NOT(ISNUMBER(E3364)),NOT(ISNUMBER(F3364))),"",MAX(0,E3364)*F3364))</f>
        <v/>
      </c>
      <c r="I3364" s="46" t="str">
        <f aca="false">IF($A3364="","",SUMIF($A$2:$A$5001,$A3364,$H$2:$H$5001))</f>
        <v/>
      </c>
      <c r="J3364" s="47" t="n">
        <f aca="false">IF($A3364="",0,IF(COUNTIF($A$2:A3364,$A3364)=1,1,0))</f>
        <v>0</v>
      </c>
      <c r="K3364" s="47" t="n">
        <f aca="false">IF(J3364=1,N(I3364)+ROW()/10000000,0)</f>
        <v>0</v>
      </c>
      <c r="L3364" s="47" t="str">
        <f aca="false">IF(AND(J3364=1,N(I3364)&gt;0),SUMIF($K$2:$K$5001,"&gt;="&amp;K3364,$I$2:$I$5001)/MAX(1,SUM($H$2:$H$5001)),"")</f>
        <v/>
      </c>
      <c r="M3364" s="47" t="str">
        <f aca="false">IF($A3364="","",INDEX($L$2:$L$5001,MATCH($A3364,$A$2:$A$5001,0)))</f>
        <v/>
      </c>
      <c r="N3364" s="48" t="str">
        <f aca="false">IF($A3364="","",IF(N(M3364)=0,"–",IF(M3364&lt;=Start!$D$20,"A",IF(M3364&lt;=Start!$D$21,"B","C"))))</f>
        <v/>
      </c>
      <c r="O3364" s="48" t="str">
        <f aca="false">IF($A3364="","",IF(NOT(ISNUMBER(F3364)),"Wert fehlt; ",IF(F3364&lt;=0,"Wert ist 0; ",""))&amp;IF(NOT(ISNUMBER(E3364)),"Bestand fehlt; ",IF(E3364&lt;0,"Bestand negativ; ",IF(E3364=0,"Nullbestand; ","")))&amp;IF(D3364="","Warengruppe fehlt; ","")&amp;IF(B3364="","Bezeichnung fehlt; ","")&amp;IF(COUNTIFS($A$2:$A$5001,$A3364,$C$2:$C$5001,C3364)&gt;1,"Artikel doppelt im selben Lager; ",""))</f>
        <v/>
      </c>
      <c r="P3364" s="47" t="n">
        <f aca="false">IF(OR($A3364="",D3364=""),0,IF(COUNTIF($D$2:D3364,D3364)=1,SUMIF($D$2:$D$5001,D3364,$H$2:$H$5001)+ROW()/10000000,0))</f>
        <v>0</v>
      </c>
      <c r="Q3364" s="47" t="n">
        <f aca="false">IF(OR($A3364="",C3364=""),0,IF(COUNTIF($C$2:C3364,C3364)=1,SUMIF($C$2:$C$5001,C3364,$H$2:$H$5001)+ROW()/10000000,0))</f>
        <v>0</v>
      </c>
    </row>
    <row r="3365" customFormat="false" ht="15" hidden="false" customHeight="false" outlineLevel="0" collapsed="false">
      <c r="A3365" s="43"/>
      <c r="B3365" s="44"/>
      <c r="C3365" s="44"/>
      <c r="D3365" s="44"/>
      <c r="E3365" s="44"/>
      <c r="F3365" s="44"/>
      <c r="G3365" s="44"/>
      <c r="H3365" s="46" t="str">
        <f aca="false">IF($A3365="","",IF(OR(NOT(ISNUMBER(E3365)),NOT(ISNUMBER(F3365))),"",MAX(0,E3365)*F3365))</f>
        <v/>
      </c>
      <c r="I3365" s="46" t="str">
        <f aca="false">IF($A3365="","",SUMIF($A$2:$A$5001,$A3365,$H$2:$H$5001))</f>
        <v/>
      </c>
      <c r="J3365" s="47" t="n">
        <f aca="false">IF($A3365="",0,IF(COUNTIF($A$2:A3365,$A3365)=1,1,0))</f>
        <v>0</v>
      </c>
      <c r="K3365" s="47" t="n">
        <f aca="false">IF(J3365=1,N(I3365)+ROW()/10000000,0)</f>
        <v>0</v>
      </c>
      <c r="L3365" s="47" t="str">
        <f aca="false">IF(AND(J3365=1,N(I3365)&gt;0),SUMIF($K$2:$K$5001,"&gt;="&amp;K3365,$I$2:$I$5001)/MAX(1,SUM($H$2:$H$5001)),"")</f>
        <v/>
      </c>
      <c r="M3365" s="47" t="str">
        <f aca="false">IF($A3365="","",INDEX($L$2:$L$5001,MATCH($A3365,$A$2:$A$5001,0)))</f>
        <v/>
      </c>
      <c r="N3365" s="48" t="str">
        <f aca="false">IF($A3365="","",IF(N(M3365)=0,"–",IF(M3365&lt;=Start!$D$20,"A",IF(M3365&lt;=Start!$D$21,"B","C"))))</f>
        <v/>
      </c>
      <c r="O3365" s="48" t="str">
        <f aca="false">IF($A3365="","",IF(NOT(ISNUMBER(F3365)),"Wert fehlt; ",IF(F3365&lt;=0,"Wert ist 0; ",""))&amp;IF(NOT(ISNUMBER(E3365)),"Bestand fehlt; ",IF(E3365&lt;0,"Bestand negativ; ",IF(E3365=0,"Nullbestand; ","")))&amp;IF(D3365="","Warengruppe fehlt; ","")&amp;IF(B3365="","Bezeichnung fehlt; ","")&amp;IF(COUNTIFS($A$2:$A$5001,$A3365,$C$2:$C$5001,C3365)&gt;1,"Artikel doppelt im selben Lager; ",""))</f>
        <v/>
      </c>
      <c r="P3365" s="47" t="n">
        <f aca="false">IF(OR($A3365="",D3365=""),0,IF(COUNTIF($D$2:D3365,D3365)=1,SUMIF($D$2:$D$5001,D3365,$H$2:$H$5001)+ROW()/10000000,0))</f>
        <v>0</v>
      </c>
      <c r="Q3365" s="47" t="n">
        <f aca="false">IF(OR($A3365="",C3365=""),0,IF(COUNTIF($C$2:C3365,C3365)=1,SUMIF($C$2:$C$5001,C3365,$H$2:$H$5001)+ROW()/10000000,0))</f>
        <v>0</v>
      </c>
    </row>
    <row r="3366" customFormat="false" ht="15" hidden="false" customHeight="false" outlineLevel="0" collapsed="false">
      <c r="A3366" s="43"/>
      <c r="B3366" s="44"/>
      <c r="C3366" s="44"/>
      <c r="D3366" s="44"/>
      <c r="E3366" s="44"/>
      <c r="F3366" s="44"/>
      <c r="G3366" s="44"/>
      <c r="H3366" s="46" t="str">
        <f aca="false">IF($A3366="","",IF(OR(NOT(ISNUMBER(E3366)),NOT(ISNUMBER(F3366))),"",MAX(0,E3366)*F3366))</f>
        <v/>
      </c>
      <c r="I3366" s="46" t="str">
        <f aca="false">IF($A3366="","",SUMIF($A$2:$A$5001,$A3366,$H$2:$H$5001))</f>
        <v/>
      </c>
      <c r="J3366" s="47" t="n">
        <f aca="false">IF($A3366="",0,IF(COUNTIF($A$2:A3366,$A3366)=1,1,0))</f>
        <v>0</v>
      </c>
      <c r="K3366" s="47" t="n">
        <f aca="false">IF(J3366=1,N(I3366)+ROW()/10000000,0)</f>
        <v>0</v>
      </c>
      <c r="L3366" s="47" t="str">
        <f aca="false">IF(AND(J3366=1,N(I3366)&gt;0),SUMIF($K$2:$K$5001,"&gt;="&amp;K3366,$I$2:$I$5001)/MAX(1,SUM($H$2:$H$5001)),"")</f>
        <v/>
      </c>
      <c r="M3366" s="47" t="str">
        <f aca="false">IF($A3366="","",INDEX($L$2:$L$5001,MATCH($A3366,$A$2:$A$5001,0)))</f>
        <v/>
      </c>
      <c r="N3366" s="48" t="str">
        <f aca="false">IF($A3366="","",IF(N(M3366)=0,"–",IF(M3366&lt;=Start!$D$20,"A",IF(M3366&lt;=Start!$D$21,"B","C"))))</f>
        <v/>
      </c>
      <c r="O3366" s="48" t="str">
        <f aca="false">IF($A3366="","",IF(NOT(ISNUMBER(F3366)),"Wert fehlt; ",IF(F3366&lt;=0,"Wert ist 0; ",""))&amp;IF(NOT(ISNUMBER(E3366)),"Bestand fehlt; ",IF(E3366&lt;0,"Bestand negativ; ",IF(E3366=0,"Nullbestand; ","")))&amp;IF(D3366="","Warengruppe fehlt; ","")&amp;IF(B3366="","Bezeichnung fehlt; ","")&amp;IF(COUNTIFS($A$2:$A$5001,$A3366,$C$2:$C$5001,C3366)&gt;1,"Artikel doppelt im selben Lager; ",""))</f>
        <v/>
      </c>
      <c r="P3366" s="47" t="n">
        <f aca="false">IF(OR($A3366="",D3366=""),0,IF(COUNTIF($D$2:D3366,D3366)=1,SUMIF($D$2:$D$5001,D3366,$H$2:$H$5001)+ROW()/10000000,0))</f>
        <v>0</v>
      </c>
      <c r="Q3366" s="47" t="n">
        <f aca="false">IF(OR($A3366="",C3366=""),0,IF(COUNTIF($C$2:C3366,C3366)=1,SUMIF($C$2:$C$5001,C3366,$H$2:$H$5001)+ROW()/10000000,0))</f>
        <v>0</v>
      </c>
    </row>
    <row r="3367" customFormat="false" ht="15" hidden="false" customHeight="false" outlineLevel="0" collapsed="false">
      <c r="A3367" s="43"/>
      <c r="B3367" s="44"/>
      <c r="C3367" s="44"/>
      <c r="D3367" s="44"/>
      <c r="E3367" s="44"/>
      <c r="F3367" s="44"/>
      <c r="G3367" s="44"/>
      <c r="H3367" s="46" t="str">
        <f aca="false">IF($A3367="","",IF(OR(NOT(ISNUMBER(E3367)),NOT(ISNUMBER(F3367))),"",MAX(0,E3367)*F3367))</f>
        <v/>
      </c>
      <c r="I3367" s="46" t="str">
        <f aca="false">IF($A3367="","",SUMIF($A$2:$A$5001,$A3367,$H$2:$H$5001))</f>
        <v/>
      </c>
      <c r="J3367" s="47" t="n">
        <f aca="false">IF($A3367="",0,IF(COUNTIF($A$2:A3367,$A3367)=1,1,0))</f>
        <v>0</v>
      </c>
      <c r="K3367" s="47" t="n">
        <f aca="false">IF(J3367=1,N(I3367)+ROW()/10000000,0)</f>
        <v>0</v>
      </c>
      <c r="L3367" s="47" t="str">
        <f aca="false">IF(AND(J3367=1,N(I3367)&gt;0),SUMIF($K$2:$K$5001,"&gt;="&amp;K3367,$I$2:$I$5001)/MAX(1,SUM($H$2:$H$5001)),"")</f>
        <v/>
      </c>
      <c r="M3367" s="47" t="str">
        <f aca="false">IF($A3367="","",INDEX($L$2:$L$5001,MATCH($A3367,$A$2:$A$5001,0)))</f>
        <v/>
      </c>
      <c r="N3367" s="48" t="str">
        <f aca="false">IF($A3367="","",IF(N(M3367)=0,"–",IF(M3367&lt;=Start!$D$20,"A",IF(M3367&lt;=Start!$D$21,"B","C"))))</f>
        <v/>
      </c>
      <c r="O3367" s="48" t="str">
        <f aca="false">IF($A3367="","",IF(NOT(ISNUMBER(F3367)),"Wert fehlt; ",IF(F3367&lt;=0,"Wert ist 0; ",""))&amp;IF(NOT(ISNUMBER(E3367)),"Bestand fehlt; ",IF(E3367&lt;0,"Bestand negativ; ",IF(E3367=0,"Nullbestand; ","")))&amp;IF(D3367="","Warengruppe fehlt; ","")&amp;IF(B3367="","Bezeichnung fehlt; ","")&amp;IF(COUNTIFS($A$2:$A$5001,$A3367,$C$2:$C$5001,C3367)&gt;1,"Artikel doppelt im selben Lager; ",""))</f>
        <v/>
      </c>
      <c r="P3367" s="47" t="n">
        <f aca="false">IF(OR($A3367="",D3367=""),0,IF(COUNTIF($D$2:D3367,D3367)=1,SUMIF($D$2:$D$5001,D3367,$H$2:$H$5001)+ROW()/10000000,0))</f>
        <v>0</v>
      </c>
      <c r="Q3367" s="47" t="n">
        <f aca="false">IF(OR($A3367="",C3367=""),0,IF(COUNTIF($C$2:C3367,C3367)=1,SUMIF($C$2:$C$5001,C3367,$H$2:$H$5001)+ROW()/10000000,0))</f>
        <v>0</v>
      </c>
    </row>
    <row r="3368" customFormat="false" ht="15" hidden="false" customHeight="false" outlineLevel="0" collapsed="false">
      <c r="A3368" s="43"/>
      <c r="B3368" s="44"/>
      <c r="C3368" s="44"/>
      <c r="D3368" s="44"/>
      <c r="E3368" s="44"/>
      <c r="F3368" s="44"/>
      <c r="G3368" s="44"/>
      <c r="H3368" s="46" t="str">
        <f aca="false">IF($A3368="","",IF(OR(NOT(ISNUMBER(E3368)),NOT(ISNUMBER(F3368))),"",MAX(0,E3368)*F3368))</f>
        <v/>
      </c>
      <c r="I3368" s="46" t="str">
        <f aca="false">IF($A3368="","",SUMIF($A$2:$A$5001,$A3368,$H$2:$H$5001))</f>
        <v/>
      </c>
      <c r="J3368" s="47" t="n">
        <f aca="false">IF($A3368="",0,IF(COUNTIF($A$2:A3368,$A3368)=1,1,0))</f>
        <v>0</v>
      </c>
      <c r="K3368" s="47" t="n">
        <f aca="false">IF(J3368=1,N(I3368)+ROW()/10000000,0)</f>
        <v>0</v>
      </c>
      <c r="L3368" s="47" t="str">
        <f aca="false">IF(AND(J3368=1,N(I3368)&gt;0),SUMIF($K$2:$K$5001,"&gt;="&amp;K3368,$I$2:$I$5001)/MAX(1,SUM($H$2:$H$5001)),"")</f>
        <v/>
      </c>
      <c r="M3368" s="47" t="str">
        <f aca="false">IF($A3368="","",INDEX($L$2:$L$5001,MATCH($A3368,$A$2:$A$5001,0)))</f>
        <v/>
      </c>
      <c r="N3368" s="48" t="str">
        <f aca="false">IF($A3368="","",IF(N(M3368)=0,"–",IF(M3368&lt;=Start!$D$20,"A",IF(M3368&lt;=Start!$D$21,"B","C"))))</f>
        <v/>
      </c>
      <c r="O3368" s="48" t="str">
        <f aca="false">IF($A3368="","",IF(NOT(ISNUMBER(F3368)),"Wert fehlt; ",IF(F3368&lt;=0,"Wert ist 0; ",""))&amp;IF(NOT(ISNUMBER(E3368)),"Bestand fehlt; ",IF(E3368&lt;0,"Bestand negativ; ",IF(E3368=0,"Nullbestand; ","")))&amp;IF(D3368="","Warengruppe fehlt; ","")&amp;IF(B3368="","Bezeichnung fehlt; ","")&amp;IF(COUNTIFS($A$2:$A$5001,$A3368,$C$2:$C$5001,C3368)&gt;1,"Artikel doppelt im selben Lager; ",""))</f>
        <v/>
      </c>
      <c r="P3368" s="47" t="n">
        <f aca="false">IF(OR($A3368="",D3368=""),0,IF(COUNTIF($D$2:D3368,D3368)=1,SUMIF($D$2:$D$5001,D3368,$H$2:$H$5001)+ROW()/10000000,0))</f>
        <v>0</v>
      </c>
      <c r="Q3368" s="47" t="n">
        <f aca="false">IF(OR($A3368="",C3368=""),0,IF(COUNTIF($C$2:C3368,C3368)=1,SUMIF($C$2:$C$5001,C3368,$H$2:$H$5001)+ROW()/10000000,0))</f>
        <v>0</v>
      </c>
    </row>
    <row r="3369" customFormat="false" ht="15" hidden="false" customHeight="false" outlineLevel="0" collapsed="false">
      <c r="A3369" s="43"/>
      <c r="B3369" s="44"/>
      <c r="C3369" s="44"/>
      <c r="D3369" s="44"/>
      <c r="E3369" s="44"/>
      <c r="F3369" s="44"/>
      <c r="G3369" s="44"/>
      <c r="H3369" s="46" t="str">
        <f aca="false">IF($A3369="","",IF(OR(NOT(ISNUMBER(E3369)),NOT(ISNUMBER(F3369))),"",MAX(0,E3369)*F3369))</f>
        <v/>
      </c>
      <c r="I3369" s="46" t="str">
        <f aca="false">IF($A3369="","",SUMIF($A$2:$A$5001,$A3369,$H$2:$H$5001))</f>
        <v/>
      </c>
      <c r="J3369" s="47" t="n">
        <f aca="false">IF($A3369="",0,IF(COUNTIF($A$2:A3369,$A3369)=1,1,0))</f>
        <v>0</v>
      </c>
      <c r="K3369" s="47" t="n">
        <f aca="false">IF(J3369=1,N(I3369)+ROW()/10000000,0)</f>
        <v>0</v>
      </c>
      <c r="L3369" s="47" t="str">
        <f aca="false">IF(AND(J3369=1,N(I3369)&gt;0),SUMIF($K$2:$K$5001,"&gt;="&amp;K3369,$I$2:$I$5001)/MAX(1,SUM($H$2:$H$5001)),"")</f>
        <v/>
      </c>
      <c r="M3369" s="47" t="str">
        <f aca="false">IF($A3369="","",INDEX($L$2:$L$5001,MATCH($A3369,$A$2:$A$5001,0)))</f>
        <v/>
      </c>
      <c r="N3369" s="48" t="str">
        <f aca="false">IF($A3369="","",IF(N(M3369)=0,"–",IF(M3369&lt;=Start!$D$20,"A",IF(M3369&lt;=Start!$D$21,"B","C"))))</f>
        <v/>
      </c>
      <c r="O3369" s="48" t="str">
        <f aca="false">IF($A3369="","",IF(NOT(ISNUMBER(F3369)),"Wert fehlt; ",IF(F3369&lt;=0,"Wert ist 0; ",""))&amp;IF(NOT(ISNUMBER(E3369)),"Bestand fehlt; ",IF(E3369&lt;0,"Bestand negativ; ",IF(E3369=0,"Nullbestand; ","")))&amp;IF(D3369="","Warengruppe fehlt; ","")&amp;IF(B3369="","Bezeichnung fehlt; ","")&amp;IF(COUNTIFS($A$2:$A$5001,$A3369,$C$2:$C$5001,C3369)&gt;1,"Artikel doppelt im selben Lager; ",""))</f>
        <v/>
      </c>
      <c r="P3369" s="47" t="n">
        <f aca="false">IF(OR($A3369="",D3369=""),0,IF(COUNTIF($D$2:D3369,D3369)=1,SUMIF($D$2:$D$5001,D3369,$H$2:$H$5001)+ROW()/10000000,0))</f>
        <v>0</v>
      </c>
      <c r="Q3369" s="47" t="n">
        <f aca="false">IF(OR($A3369="",C3369=""),0,IF(COUNTIF($C$2:C3369,C3369)=1,SUMIF($C$2:$C$5001,C3369,$H$2:$H$5001)+ROW()/10000000,0))</f>
        <v>0</v>
      </c>
    </row>
    <row r="3370" customFormat="false" ht="15" hidden="false" customHeight="false" outlineLevel="0" collapsed="false">
      <c r="A3370" s="43"/>
      <c r="B3370" s="44"/>
      <c r="C3370" s="44"/>
      <c r="D3370" s="44"/>
      <c r="E3370" s="44"/>
      <c r="F3370" s="44"/>
      <c r="G3370" s="44"/>
      <c r="H3370" s="46" t="str">
        <f aca="false">IF($A3370="","",IF(OR(NOT(ISNUMBER(E3370)),NOT(ISNUMBER(F3370))),"",MAX(0,E3370)*F3370))</f>
        <v/>
      </c>
      <c r="I3370" s="46" t="str">
        <f aca="false">IF($A3370="","",SUMIF($A$2:$A$5001,$A3370,$H$2:$H$5001))</f>
        <v/>
      </c>
      <c r="J3370" s="47" t="n">
        <f aca="false">IF($A3370="",0,IF(COUNTIF($A$2:A3370,$A3370)=1,1,0))</f>
        <v>0</v>
      </c>
      <c r="K3370" s="47" t="n">
        <f aca="false">IF(J3370=1,N(I3370)+ROW()/10000000,0)</f>
        <v>0</v>
      </c>
      <c r="L3370" s="47" t="str">
        <f aca="false">IF(AND(J3370=1,N(I3370)&gt;0),SUMIF($K$2:$K$5001,"&gt;="&amp;K3370,$I$2:$I$5001)/MAX(1,SUM($H$2:$H$5001)),"")</f>
        <v/>
      </c>
      <c r="M3370" s="47" t="str">
        <f aca="false">IF($A3370="","",INDEX($L$2:$L$5001,MATCH($A3370,$A$2:$A$5001,0)))</f>
        <v/>
      </c>
      <c r="N3370" s="48" t="str">
        <f aca="false">IF($A3370="","",IF(N(M3370)=0,"–",IF(M3370&lt;=Start!$D$20,"A",IF(M3370&lt;=Start!$D$21,"B","C"))))</f>
        <v/>
      </c>
      <c r="O3370" s="48" t="str">
        <f aca="false">IF($A3370="","",IF(NOT(ISNUMBER(F3370)),"Wert fehlt; ",IF(F3370&lt;=0,"Wert ist 0; ",""))&amp;IF(NOT(ISNUMBER(E3370)),"Bestand fehlt; ",IF(E3370&lt;0,"Bestand negativ; ",IF(E3370=0,"Nullbestand; ","")))&amp;IF(D3370="","Warengruppe fehlt; ","")&amp;IF(B3370="","Bezeichnung fehlt; ","")&amp;IF(COUNTIFS($A$2:$A$5001,$A3370,$C$2:$C$5001,C3370)&gt;1,"Artikel doppelt im selben Lager; ",""))</f>
        <v/>
      </c>
      <c r="P3370" s="47" t="n">
        <f aca="false">IF(OR($A3370="",D3370=""),0,IF(COUNTIF($D$2:D3370,D3370)=1,SUMIF($D$2:$D$5001,D3370,$H$2:$H$5001)+ROW()/10000000,0))</f>
        <v>0</v>
      </c>
      <c r="Q3370" s="47" t="n">
        <f aca="false">IF(OR($A3370="",C3370=""),0,IF(COUNTIF($C$2:C3370,C3370)=1,SUMIF($C$2:$C$5001,C3370,$H$2:$H$5001)+ROW()/10000000,0))</f>
        <v>0</v>
      </c>
    </row>
    <row r="3371" customFormat="false" ht="15" hidden="false" customHeight="false" outlineLevel="0" collapsed="false">
      <c r="A3371" s="43"/>
      <c r="B3371" s="44"/>
      <c r="C3371" s="44"/>
      <c r="D3371" s="44"/>
      <c r="E3371" s="44"/>
      <c r="F3371" s="44"/>
      <c r="G3371" s="44"/>
      <c r="H3371" s="46" t="str">
        <f aca="false">IF($A3371="","",IF(OR(NOT(ISNUMBER(E3371)),NOT(ISNUMBER(F3371))),"",MAX(0,E3371)*F3371))</f>
        <v/>
      </c>
      <c r="I3371" s="46" t="str">
        <f aca="false">IF($A3371="","",SUMIF($A$2:$A$5001,$A3371,$H$2:$H$5001))</f>
        <v/>
      </c>
      <c r="J3371" s="47" t="n">
        <f aca="false">IF($A3371="",0,IF(COUNTIF($A$2:A3371,$A3371)=1,1,0))</f>
        <v>0</v>
      </c>
      <c r="K3371" s="47" t="n">
        <f aca="false">IF(J3371=1,N(I3371)+ROW()/10000000,0)</f>
        <v>0</v>
      </c>
      <c r="L3371" s="47" t="str">
        <f aca="false">IF(AND(J3371=1,N(I3371)&gt;0),SUMIF($K$2:$K$5001,"&gt;="&amp;K3371,$I$2:$I$5001)/MAX(1,SUM($H$2:$H$5001)),"")</f>
        <v/>
      </c>
      <c r="M3371" s="47" t="str">
        <f aca="false">IF($A3371="","",INDEX($L$2:$L$5001,MATCH($A3371,$A$2:$A$5001,0)))</f>
        <v/>
      </c>
      <c r="N3371" s="48" t="str">
        <f aca="false">IF($A3371="","",IF(N(M3371)=0,"–",IF(M3371&lt;=Start!$D$20,"A",IF(M3371&lt;=Start!$D$21,"B","C"))))</f>
        <v/>
      </c>
      <c r="O3371" s="48" t="str">
        <f aca="false">IF($A3371="","",IF(NOT(ISNUMBER(F3371)),"Wert fehlt; ",IF(F3371&lt;=0,"Wert ist 0; ",""))&amp;IF(NOT(ISNUMBER(E3371)),"Bestand fehlt; ",IF(E3371&lt;0,"Bestand negativ; ",IF(E3371=0,"Nullbestand; ","")))&amp;IF(D3371="","Warengruppe fehlt; ","")&amp;IF(B3371="","Bezeichnung fehlt; ","")&amp;IF(COUNTIFS($A$2:$A$5001,$A3371,$C$2:$C$5001,C3371)&gt;1,"Artikel doppelt im selben Lager; ",""))</f>
        <v/>
      </c>
      <c r="P3371" s="47" t="n">
        <f aca="false">IF(OR($A3371="",D3371=""),0,IF(COUNTIF($D$2:D3371,D3371)=1,SUMIF($D$2:$D$5001,D3371,$H$2:$H$5001)+ROW()/10000000,0))</f>
        <v>0</v>
      </c>
      <c r="Q3371" s="47" t="n">
        <f aca="false">IF(OR($A3371="",C3371=""),0,IF(COUNTIF($C$2:C3371,C3371)=1,SUMIF($C$2:$C$5001,C3371,$H$2:$H$5001)+ROW()/10000000,0))</f>
        <v>0</v>
      </c>
    </row>
    <row r="3372" customFormat="false" ht="15" hidden="false" customHeight="false" outlineLevel="0" collapsed="false">
      <c r="A3372" s="43"/>
      <c r="B3372" s="44"/>
      <c r="C3372" s="44"/>
      <c r="D3372" s="44"/>
      <c r="E3372" s="44"/>
      <c r="F3372" s="44"/>
      <c r="G3372" s="44"/>
      <c r="H3372" s="46" t="str">
        <f aca="false">IF($A3372="","",IF(OR(NOT(ISNUMBER(E3372)),NOT(ISNUMBER(F3372))),"",MAX(0,E3372)*F3372))</f>
        <v/>
      </c>
      <c r="I3372" s="46" t="str">
        <f aca="false">IF($A3372="","",SUMIF($A$2:$A$5001,$A3372,$H$2:$H$5001))</f>
        <v/>
      </c>
      <c r="J3372" s="47" t="n">
        <f aca="false">IF($A3372="",0,IF(COUNTIF($A$2:A3372,$A3372)=1,1,0))</f>
        <v>0</v>
      </c>
      <c r="K3372" s="47" t="n">
        <f aca="false">IF(J3372=1,N(I3372)+ROW()/10000000,0)</f>
        <v>0</v>
      </c>
      <c r="L3372" s="47" t="str">
        <f aca="false">IF(AND(J3372=1,N(I3372)&gt;0),SUMIF($K$2:$K$5001,"&gt;="&amp;K3372,$I$2:$I$5001)/MAX(1,SUM($H$2:$H$5001)),"")</f>
        <v/>
      </c>
      <c r="M3372" s="47" t="str">
        <f aca="false">IF($A3372="","",INDEX($L$2:$L$5001,MATCH($A3372,$A$2:$A$5001,0)))</f>
        <v/>
      </c>
      <c r="N3372" s="48" t="str">
        <f aca="false">IF($A3372="","",IF(N(M3372)=0,"–",IF(M3372&lt;=Start!$D$20,"A",IF(M3372&lt;=Start!$D$21,"B","C"))))</f>
        <v/>
      </c>
      <c r="O3372" s="48" t="str">
        <f aca="false">IF($A3372="","",IF(NOT(ISNUMBER(F3372)),"Wert fehlt; ",IF(F3372&lt;=0,"Wert ist 0; ",""))&amp;IF(NOT(ISNUMBER(E3372)),"Bestand fehlt; ",IF(E3372&lt;0,"Bestand negativ; ",IF(E3372=0,"Nullbestand; ","")))&amp;IF(D3372="","Warengruppe fehlt; ","")&amp;IF(B3372="","Bezeichnung fehlt; ","")&amp;IF(COUNTIFS($A$2:$A$5001,$A3372,$C$2:$C$5001,C3372)&gt;1,"Artikel doppelt im selben Lager; ",""))</f>
        <v/>
      </c>
      <c r="P3372" s="47" t="n">
        <f aca="false">IF(OR($A3372="",D3372=""),0,IF(COUNTIF($D$2:D3372,D3372)=1,SUMIF($D$2:$D$5001,D3372,$H$2:$H$5001)+ROW()/10000000,0))</f>
        <v>0</v>
      </c>
      <c r="Q3372" s="47" t="n">
        <f aca="false">IF(OR($A3372="",C3372=""),0,IF(COUNTIF($C$2:C3372,C3372)=1,SUMIF($C$2:$C$5001,C3372,$H$2:$H$5001)+ROW()/10000000,0))</f>
        <v>0</v>
      </c>
    </row>
    <row r="3373" customFormat="false" ht="15" hidden="false" customHeight="false" outlineLevel="0" collapsed="false">
      <c r="A3373" s="43"/>
      <c r="B3373" s="44"/>
      <c r="C3373" s="44"/>
      <c r="D3373" s="44"/>
      <c r="E3373" s="44"/>
      <c r="F3373" s="44"/>
      <c r="G3373" s="44"/>
      <c r="H3373" s="46" t="str">
        <f aca="false">IF($A3373="","",IF(OR(NOT(ISNUMBER(E3373)),NOT(ISNUMBER(F3373))),"",MAX(0,E3373)*F3373))</f>
        <v/>
      </c>
      <c r="I3373" s="46" t="str">
        <f aca="false">IF($A3373="","",SUMIF($A$2:$A$5001,$A3373,$H$2:$H$5001))</f>
        <v/>
      </c>
      <c r="J3373" s="47" t="n">
        <f aca="false">IF($A3373="",0,IF(COUNTIF($A$2:A3373,$A3373)=1,1,0))</f>
        <v>0</v>
      </c>
      <c r="K3373" s="47" t="n">
        <f aca="false">IF(J3373=1,N(I3373)+ROW()/10000000,0)</f>
        <v>0</v>
      </c>
      <c r="L3373" s="47" t="str">
        <f aca="false">IF(AND(J3373=1,N(I3373)&gt;0),SUMIF($K$2:$K$5001,"&gt;="&amp;K3373,$I$2:$I$5001)/MAX(1,SUM($H$2:$H$5001)),"")</f>
        <v/>
      </c>
      <c r="M3373" s="47" t="str">
        <f aca="false">IF($A3373="","",INDEX($L$2:$L$5001,MATCH($A3373,$A$2:$A$5001,0)))</f>
        <v/>
      </c>
      <c r="N3373" s="48" t="str">
        <f aca="false">IF($A3373="","",IF(N(M3373)=0,"–",IF(M3373&lt;=Start!$D$20,"A",IF(M3373&lt;=Start!$D$21,"B","C"))))</f>
        <v/>
      </c>
      <c r="O3373" s="48" t="str">
        <f aca="false">IF($A3373="","",IF(NOT(ISNUMBER(F3373)),"Wert fehlt; ",IF(F3373&lt;=0,"Wert ist 0; ",""))&amp;IF(NOT(ISNUMBER(E3373)),"Bestand fehlt; ",IF(E3373&lt;0,"Bestand negativ; ",IF(E3373=0,"Nullbestand; ","")))&amp;IF(D3373="","Warengruppe fehlt; ","")&amp;IF(B3373="","Bezeichnung fehlt; ","")&amp;IF(COUNTIFS($A$2:$A$5001,$A3373,$C$2:$C$5001,C3373)&gt;1,"Artikel doppelt im selben Lager; ",""))</f>
        <v/>
      </c>
      <c r="P3373" s="47" t="n">
        <f aca="false">IF(OR($A3373="",D3373=""),0,IF(COUNTIF($D$2:D3373,D3373)=1,SUMIF($D$2:$D$5001,D3373,$H$2:$H$5001)+ROW()/10000000,0))</f>
        <v>0</v>
      </c>
      <c r="Q3373" s="47" t="n">
        <f aca="false">IF(OR($A3373="",C3373=""),0,IF(COUNTIF($C$2:C3373,C3373)=1,SUMIF($C$2:$C$5001,C3373,$H$2:$H$5001)+ROW()/10000000,0))</f>
        <v>0</v>
      </c>
    </row>
    <row r="3374" customFormat="false" ht="15" hidden="false" customHeight="false" outlineLevel="0" collapsed="false">
      <c r="A3374" s="43"/>
      <c r="B3374" s="44"/>
      <c r="C3374" s="44"/>
      <c r="D3374" s="44"/>
      <c r="E3374" s="44"/>
      <c r="F3374" s="44"/>
      <c r="G3374" s="44"/>
      <c r="H3374" s="46" t="str">
        <f aca="false">IF($A3374="","",IF(OR(NOT(ISNUMBER(E3374)),NOT(ISNUMBER(F3374))),"",MAX(0,E3374)*F3374))</f>
        <v/>
      </c>
      <c r="I3374" s="46" t="str">
        <f aca="false">IF($A3374="","",SUMIF($A$2:$A$5001,$A3374,$H$2:$H$5001))</f>
        <v/>
      </c>
      <c r="J3374" s="47" t="n">
        <f aca="false">IF($A3374="",0,IF(COUNTIF($A$2:A3374,$A3374)=1,1,0))</f>
        <v>0</v>
      </c>
      <c r="K3374" s="47" t="n">
        <f aca="false">IF(J3374=1,N(I3374)+ROW()/10000000,0)</f>
        <v>0</v>
      </c>
      <c r="L3374" s="47" t="str">
        <f aca="false">IF(AND(J3374=1,N(I3374)&gt;0),SUMIF($K$2:$K$5001,"&gt;="&amp;K3374,$I$2:$I$5001)/MAX(1,SUM($H$2:$H$5001)),"")</f>
        <v/>
      </c>
      <c r="M3374" s="47" t="str">
        <f aca="false">IF($A3374="","",INDEX($L$2:$L$5001,MATCH($A3374,$A$2:$A$5001,0)))</f>
        <v/>
      </c>
      <c r="N3374" s="48" t="str">
        <f aca="false">IF($A3374="","",IF(N(M3374)=0,"–",IF(M3374&lt;=Start!$D$20,"A",IF(M3374&lt;=Start!$D$21,"B","C"))))</f>
        <v/>
      </c>
      <c r="O3374" s="48" t="str">
        <f aca="false">IF($A3374="","",IF(NOT(ISNUMBER(F3374)),"Wert fehlt; ",IF(F3374&lt;=0,"Wert ist 0; ",""))&amp;IF(NOT(ISNUMBER(E3374)),"Bestand fehlt; ",IF(E3374&lt;0,"Bestand negativ; ",IF(E3374=0,"Nullbestand; ","")))&amp;IF(D3374="","Warengruppe fehlt; ","")&amp;IF(B3374="","Bezeichnung fehlt; ","")&amp;IF(COUNTIFS($A$2:$A$5001,$A3374,$C$2:$C$5001,C3374)&gt;1,"Artikel doppelt im selben Lager; ",""))</f>
        <v/>
      </c>
      <c r="P3374" s="47" t="n">
        <f aca="false">IF(OR($A3374="",D3374=""),0,IF(COUNTIF($D$2:D3374,D3374)=1,SUMIF($D$2:$D$5001,D3374,$H$2:$H$5001)+ROW()/10000000,0))</f>
        <v>0</v>
      </c>
      <c r="Q3374" s="47" t="n">
        <f aca="false">IF(OR($A3374="",C3374=""),0,IF(COUNTIF($C$2:C3374,C3374)=1,SUMIF($C$2:$C$5001,C3374,$H$2:$H$5001)+ROW()/10000000,0))</f>
        <v>0</v>
      </c>
    </row>
    <row r="3375" customFormat="false" ht="15" hidden="false" customHeight="false" outlineLevel="0" collapsed="false">
      <c r="A3375" s="43"/>
      <c r="B3375" s="44"/>
      <c r="C3375" s="44"/>
      <c r="D3375" s="44"/>
      <c r="E3375" s="44"/>
      <c r="F3375" s="44"/>
      <c r="G3375" s="44"/>
      <c r="H3375" s="46" t="str">
        <f aca="false">IF($A3375="","",IF(OR(NOT(ISNUMBER(E3375)),NOT(ISNUMBER(F3375))),"",MAX(0,E3375)*F3375))</f>
        <v/>
      </c>
      <c r="I3375" s="46" t="str">
        <f aca="false">IF($A3375="","",SUMIF($A$2:$A$5001,$A3375,$H$2:$H$5001))</f>
        <v/>
      </c>
      <c r="J3375" s="47" t="n">
        <f aca="false">IF($A3375="",0,IF(COUNTIF($A$2:A3375,$A3375)=1,1,0))</f>
        <v>0</v>
      </c>
      <c r="K3375" s="47" t="n">
        <f aca="false">IF(J3375=1,N(I3375)+ROW()/10000000,0)</f>
        <v>0</v>
      </c>
      <c r="L3375" s="47" t="str">
        <f aca="false">IF(AND(J3375=1,N(I3375)&gt;0),SUMIF($K$2:$K$5001,"&gt;="&amp;K3375,$I$2:$I$5001)/MAX(1,SUM($H$2:$H$5001)),"")</f>
        <v/>
      </c>
      <c r="M3375" s="47" t="str">
        <f aca="false">IF($A3375="","",INDEX($L$2:$L$5001,MATCH($A3375,$A$2:$A$5001,0)))</f>
        <v/>
      </c>
      <c r="N3375" s="48" t="str">
        <f aca="false">IF($A3375="","",IF(N(M3375)=0,"–",IF(M3375&lt;=Start!$D$20,"A",IF(M3375&lt;=Start!$D$21,"B","C"))))</f>
        <v/>
      </c>
      <c r="O3375" s="48" t="str">
        <f aca="false">IF($A3375="","",IF(NOT(ISNUMBER(F3375)),"Wert fehlt; ",IF(F3375&lt;=0,"Wert ist 0; ",""))&amp;IF(NOT(ISNUMBER(E3375)),"Bestand fehlt; ",IF(E3375&lt;0,"Bestand negativ; ",IF(E3375=0,"Nullbestand; ","")))&amp;IF(D3375="","Warengruppe fehlt; ","")&amp;IF(B3375="","Bezeichnung fehlt; ","")&amp;IF(COUNTIFS($A$2:$A$5001,$A3375,$C$2:$C$5001,C3375)&gt;1,"Artikel doppelt im selben Lager; ",""))</f>
        <v/>
      </c>
      <c r="P3375" s="47" t="n">
        <f aca="false">IF(OR($A3375="",D3375=""),0,IF(COUNTIF($D$2:D3375,D3375)=1,SUMIF($D$2:$D$5001,D3375,$H$2:$H$5001)+ROW()/10000000,0))</f>
        <v>0</v>
      </c>
      <c r="Q3375" s="47" t="n">
        <f aca="false">IF(OR($A3375="",C3375=""),0,IF(COUNTIF($C$2:C3375,C3375)=1,SUMIF($C$2:$C$5001,C3375,$H$2:$H$5001)+ROW()/10000000,0))</f>
        <v>0</v>
      </c>
    </row>
    <row r="3376" customFormat="false" ht="15" hidden="false" customHeight="false" outlineLevel="0" collapsed="false">
      <c r="A3376" s="43"/>
      <c r="B3376" s="44"/>
      <c r="C3376" s="44"/>
      <c r="D3376" s="44"/>
      <c r="E3376" s="44"/>
      <c r="F3376" s="44"/>
      <c r="G3376" s="44"/>
      <c r="H3376" s="46" t="str">
        <f aca="false">IF($A3376="","",IF(OR(NOT(ISNUMBER(E3376)),NOT(ISNUMBER(F3376))),"",MAX(0,E3376)*F3376))</f>
        <v/>
      </c>
      <c r="I3376" s="46" t="str">
        <f aca="false">IF($A3376="","",SUMIF($A$2:$A$5001,$A3376,$H$2:$H$5001))</f>
        <v/>
      </c>
      <c r="J3376" s="47" t="n">
        <f aca="false">IF($A3376="",0,IF(COUNTIF($A$2:A3376,$A3376)=1,1,0))</f>
        <v>0</v>
      </c>
      <c r="K3376" s="47" t="n">
        <f aca="false">IF(J3376=1,N(I3376)+ROW()/10000000,0)</f>
        <v>0</v>
      </c>
      <c r="L3376" s="47" t="str">
        <f aca="false">IF(AND(J3376=1,N(I3376)&gt;0),SUMIF($K$2:$K$5001,"&gt;="&amp;K3376,$I$2:$I$5001)/MAX(1,SUM($H$2:$H$5001)),"")</f>
        <v/>
      </c>
      <c r="M3376" s="47" t="str">
        <f aca="false">IF($A3376="","",INDEX($L$2:$L$5001,MATCH($A3376,$A$2:$A$5001,0)))</f>
        <v/>
      </c>
      <c r="N3376" s="48" t="str">
        <f aca="false">IF($A3376="","",IF(N(M3376)=0,"–",IF(M3376&lt;=Start!$D$20,"A",IF(M3376&lt;=Start!$D$21,"B","C"))))</f>
        <v/>
      </c>
      <c r="O3376" s="48" t="str">
        <f aca="false">IF($A3376="","",IF(NOT(ISNUMBER(F3376)),"Wert fehlt; ",IF(F3376&lt;=0,"Wert ist 0; ",""))&amp;IF(NOT(ISNUMBER(E3376)),"Bestand fehlt; ",IF(E3376&lt;0,"Bestand negativ; ",IF(E3376=0,"Nullbestand; ","")))&amp;IF(D3376="","Warengruppe fehlt; ","")&amp;IF(B3376="","Bezeichnung fehlt; ","")&amp;IF(COUNTIFS($A$2:$A$5001,$A3376,$C$2:$C$5001,C3376)&gt;1,"Artikel doppelt im selben Lager; ",""))</f>
        <v/>
      </c>
      <c r="P3376" s="47" t="n">
        <f aca="false">IF(OR($A3376="",D3376=""),0,IF(COUNTIF($D$2:D3376,D3376)=1,SUMIF($D$2:$D$5001,D3376,$H$2:$H$5001)+ROW()/10000000,0))</f>
        <v>0</v>
      </c>
      <c r="Q3376" s="47" t="n">
        <f aca="false">IF(OR($A3376="",C3376=""),0,IF(COUNTIF($C$2:C3376,C3376)=1,SUMIF($C$2:$C$5001,C3376,$H$2:$H$5001)+ROW()/10000000,0))</f>
        <v>0</v>
      </c>
    </row>
    <row r="3377" customFormat="false" ht="15" hidden="false" customHeight="false" outlineLevel="0" collapsed="false">
      <c r="A3377" s="43"/>
      <c r="B3377" s="44"/>
      <c r="C3377" s="44"/>
      <c r="D3377" s="44"/>
      <c r="E3377" s="44"/>
      <c r="F3377" s="44"/>
      <c r="G3377" s="44"/>
      <c r="H3377" s="46" t="str">
        <f aca="false">IF($A3377="","",IF(OR(NOT(ISNUMBER(E3377)),NOT(ISNUMBER(F3377))),"",MAX(0,E3377)*F3377))</f>
        <v/>
      </c>
      <c r="I3377" s="46" t="str">
        <f aca="false">IF($A3377="","",SUMIF($A$2:$A$5001,$A3377,$H$2:$H$5001))</f>
        <v/>
      </c>
      <c r="J3377" s="47" t="n">
        <f aca="false">IF($A3377="",0,IF(COUNTIF($A$2:A3377,$A3377)=1,1,0))</f>
        <v>0</v>
      </c>
      <c r="K3377" s="47" t="n">
        <f aca="false">IF(J3377=1,N(I3377)+ROW()/10000000,0)</f>
        <v>0</v>
      </c>
      <c r="L3377" s="47" t="str">
        <f aca="false">IF(AND(J3377=1,N(I3377)&gt;0),SUMIF($K$2:$K$5001,"&gt;="&amp;K3377,$I$2:$I$5001)/MAX(1,SUM($H$2:$H$5001)),"")</f>
        <v/>
      </c>
      <c r="M3377" s="47" t="str">
        <f aca="false">IF($A3377="","",INDEX($L$2:$L$5001,MATCH($A3377,$A$2:$A$5001,0)))</f>
        <v/>
      </c>
      <c r="N3377" s="48" t="str">
        <f aca="false">IF($A3377="","",IF(N(M3377)=0,"–",IF(M3377&lt;=Start!$D$20,"A",IF(M3377&lt;=Start!$D$21,"B","C"))))</f>
        <v/>
      </c>
      <c r="O3377" s="48" t="str">
        <f aca="false">IF($A3377="","",IF(NOT(ISNUMBER(F3377)),"Wert fehlt; ",IF(F3377&lt;=0,"Wert ist 0; ",""))&amp;IF(NOT(ISNUMBER(E3377)),"Bestand fehlt; ",IF(E3377&lt;0,"Bestand negativ; ",IF(E3377=0,"Nullbestand; ","")))&amp;IF(D3377="","Warengruppe fehlt; ","")&amp;IF(B3377="","Bezeichnung fehlt; ","")&amp;IF(COUNTIFS($A$2:$A$5001,$A3377,$C$2:$C$5001,C3377)&gt;1,"Artikel doppelt im selben Lager; ",""))</f>
        <v/>
      </c>
      <c r="P3377" s="47" t="n">
        <f aca="false">IF(OR($A3377="",D3377=""),0,IF(COUNTIF($D$2:D3377,D3377)=1,SUMIF($D$2:$D$5001,D3377,$H$2:$H$5001)+ROW()/10000000,0))</f>
        <v>0</v>
      </c>
      <c r="Q3377" s="47" t="n">
        <f aca="false">IF(OR($A3377="",C3377=""),0,IF(COUNTIF($C$2:C3377,C3377)=1,SUMIF($C$2:$C$5001,C3377,$H$2:$H$5001)+ROW()/10000000,0))</f>
        <v>0</v>
      </c>
    </row>
    <row r="3378" customFormat="false" ht="15" hidden="false" customHeight="false" outlineLevel="0" collapsed="false">
      <c r="A3378" s="43"/>
      <c r="B3378" s="44"/>
      <c r="C3378" s="44"/>
      <c r="D3378" s="44"/>
      <c r="E3378" s="44"/>
      <c r="F3378" s="44"/>
      <c r="G3378" s="44"/>
      <c r="H3378" s="46" t="str">
        <f aca="false">IF($A3378="","",IF(OR(NOT(ISNUMBER(E3378)),NOT(ISNUMBER(F3378))),"",MAX(0,E3378)*F3378))</f>
        <v/>
      </c>
      <c r="I3378" s="46" t="str">
        <f aca="false">IF($A3378="","",SUMIF($A$2:$A$5001,$A3378,$H$2:$H$5001))</f>
        <v/>
      </c>
      <c r="J3378" s="47" t="n">
        <f aca="false">IF($A3378="",0,IF(COUNTIF($A$2:A3378,$A3378)=1,1,0))</f>
        <v>0</v>
      </c>
      <c r="K3378" s="47" t="n">
        <f aca="false">IF(J3378=1,N(I3378)+ROW()/10000000,0)</f>
        <v>0</v>
      </c>
      <c r="L3378" s="47" t="str">
        <f aca="false">IF(AND(J3378=1,N(I3378)&gt;0),SUMIF($K$2:$K$5001,"&gt;="&amp;K3378,$I$2:$I$5001)/MAX(1,SUM($H$2:$H$5001)),"")</f>
        <v/>
      </c>
      <c r="M3378" s="47" t="str">
        <f aca="false">IF($A3378="","",INDEX($L$2:$L$5001,MATCH($A3378,$A$2:$A$5001,0)))</f>
        <v/>
      </c>
      <c r="N3378" s="48" t="str">
        <f aca="false">IF($A3378="","",IF(N(M3378)=0,"–",IF(M3378&lt;=Start!$D$20,"A",IF(M3378&lt;=Start!$D$21,"B","C"))))</f>
        <v/>
      </c>
      <c r="O3378" s="48" t="str">
        <f aca="false">IF($A3378="","",IF(NOT(ISNUMBER(F3378)),"Wert fehlt; ",IF(F3378&lt;=0,"Wert ist 0; ",""))&amp;IF(NOT(ISNUMBER(E3378)),"Bestand fehlt; ",IF(E3378&lt;0,"Bestand negativ; ",IF(E3378=0,"Nullbestand; ","")))&amp;IF(D3378="","Warengruppe fehlt; ","")&amp;IF(B3378="","Bezeichnung fehlt; ","")&amp;IF(COUNTIFS($A$2:$A$5001,$A3378,$C$2:$C$5001,C3378)&gt;1,"Artikel doppelt im selben Lager; ",""))</f>
        <v/>
      </c>
      <c r="P3378" s="47" t="n">
        <f aca="false">IF(OR($A3378="",D3378=""),0,IF(COUNTIF($D$2:D3378,D3378)=1,SUMIF($D$2:$D$5001,D3378,$H$2:$H$5001)+ROW()/10000000,0))</f>
        <v>0</v>
      </c>
      <c r="Q3378" s="47" t="n">
        <f aca="false">IF(OR($A3378="",C3378=""),0,IF(COUNTIF($C$2:C3378,C3378)=1,SUMIF($C$2:$C$5001,C3378,$H$2:$H$5001)+ROW()/10000000,0))</f>
        <v>0</v>
      </c>
    </row>
    <row r="3379" customFormat="false" ht="15" hidden="false" customHeight="false" outlineLevel="0" collapsed="false">
      <c r="A3379" s="43"/>
      <c r="B3379" s="44"/>
      <c r="C3379" s="44"/>
      <c r="D3379" s="44"/>
      <c r="E3379" s="44"/>
      <c r="F3379" s="44"/>
      <c r="G3379" s="44"/>
      <c r="H3379" s="46" t="str">
        <f aca="false">IF($A3379="","",IF(OR(NOT(ISNUMBER(E3379)),NOT(ISNUMBER(F3379))),"",MAX(0,E3379)*F3379))</f>
        <v/>
      </c>
      <c r="I3379" s="46" t="str">
        <f aca="false">IF($A3379="","",SUMIF($A$2:$A$5001,$A3379,$H$2:$H$5001))</f>
        <v/>
      </c>
      <c r="J3379" s="47" t="n">
        <f aca="false">IF($A3379="",0,IF(COUNTIF($A$2:A3379,$A3379)=1,1,0))</f>
        <v>0</v>
      </c>
      <c r="K3379" s="47" t="n">
        <f aca="false">IF(J3379=1,N(I3379)+ROW()/10000000,0)</f>
        <v>0</v>
      </c>
      <c r="L3379" s="47" t="str">
        <f aca="false">IF(AND(J3379=1,N(I3379)&gt;0),SUMIF($K$2:$K$5001,"&gt;="&amp;K3379,$I$2:$I$5001)/MAX(1,SUM($H$2:$H$5001)),"")</f>
        <v/>
      </c>
      <c r="M3379" s="47" t="str">
        <f aca="false">IF($A3379="","",INDEX($L$2:$L$5001,MATCH($A3379,$A$2:$A$5001,0)))</f>
        <v/>
      </c>
      <c r="N3379" s="48" t="str">
        <f aca="false">IF($A3379="","",IF(N(M3379)=0,"–",IF(M3379&lt;=Start!$D$20,"A",IF(M3379&lt;=Start!$D$21,"B","C"))))</f>
        <v/>
      </c>
      <c r="O3379" s="48" t="str">
        <f aca="false">IF($A3379="","",IF(NOT(ISNUMBER(F3379)),"Wert fehlt; ",IF(F3379&lt;=0,"Wert ist 0; ",""))&amp;IF(NOT(ISNUMBER(E3379)),"Bestand fehlt; ",IF(E3379&lt;0,"Bestand negativ; ",IF(E3379=0,"Nullbestand; ","")))&amp;IF(D3379="","Warengruppe fehlt; ","")&amp;IF(B3379="","Bezeichnung fehlt; ","")&amp;IF(COUNTIFS($A$2:$A$5001,$A3379,$C$2:$C$5001,C3379)&gt;1,"Artikel doppelt im selben Lager; ",""))</f>
        <v/>
      </c>
      <c r="P3379" s="47" t="n">
        <f aca="false">IF(OR($A3379="",D3379=""),0,IF(COUNTIF($D$2:D3379,D3379)=1,SUMIF($D$2:$D$5001,D3379,$H$2:$H$5001)+ROW()/10000000,0))</f>
        <v>0</v>
      </c>
      <c r="Q3379" s="47" t="n">
        <f aca="false">IF(OR($A3379="",C3379=""),0,IF(COUNTIF($C$2:C3379,C3379)=1,SUMIF($C$2:$C$5001,C3379,$H$2:$H$5001)+ROW()/10000000,0))</f>
        <v>0</v>
      </c>
    </row>
    <row r="3380" customFormat="false" ht="15" hidden="false" customHeight="false" outlineLevel="0" collapsed="false">
      <c r="A3380" s="43"/>
      <c r="B3380" s="44"/>
      <c r="C3380" s="44"/>
      <c r="D3380" s="44"/>
      <c r="E3380" s="44"/>
      <c r="F3380" s="44"/>
      <c r="G3380" s="44"/>
      <c r="H3380" s="46" t="str">
        <f aca="false">IF($A3380="","",IF(OR(NOT(ISNUMBER(E3380)),NOT(ISNUMBER(F3380))),"",MAX(0,E3380)*F3380))</f>
        <v/>
      </c>
      <c r="I3380" s="46" t="str">
        <f aca="false">IF($A3380="","",SUMIF($A$2:$A$5001,$A3380,$H$2:$H$5001))</f>
        <v/>
      </c>
      <c r="J3380" s="47" t="n">
        <f aca="false">IF($A3380="",0,IF(COUNTIF($A$2:A3380,$A3380)=1,1,0))</f>
        <v>0</v>
      </c>
      <c r="K3380" s="47" t="n">
        <f aca="false">IF(J3380=1,N(I3380)+ROW()/10000000,0)</f>
        <v>0</v>
      </c>
      <c r="L3380" s="47" t="str">
        <f aca="false">IF(AND(J3380=1,N(I3380)&gt;0),SUMIF($K$2:$K$5001,"&gt;="&amp;K3380,$I$2:$I$5001)/MAX(1,SUM($H$2:$H$5001)),"")</f>
        <v/>
      </c>
      <c r="M3380" s="47" t="str">
        <f aca="false">IF($A3380="","",INDEX($L$2:$L$5001,MATCH($A3380,$A$2:$A$5001,0)))</f>
        <v/>
      </c>
      <c r="N3380" s="48" t="str">
        <f aca="false">IF($A3380="","",IF(N(M3380)=0,"–",IF(M3380&lt;=Start!$D$20,"A",IF(M3380&lt;=Start!$D$21,"B","C"))))</f>
        <v/>
      </c>
      <c r="O3380" s="48" t="str">
        <f aca="false">IF($A3380="","",IF(NOT(ISNUMBER(F3380)),"Wert fehlt; ",IF(F3380&lt;=0,"Wert ist 0; ",""))&amp;IF(NOT(ISNUMBER(E3380)),"Bestand fehlt; ",IF(E3380&lt;0,"Bestand negativ; ",IF(E3380=0,"Nullbestand; ","")))&amp;IF(D3380="","Warengruppe fehlt; ","")&amp;IF(B3380="","Bezeichnung fehlt; ","")&amp;IF(COUNTIFS($A$2:$A$5001,$A3380,$C$2:$C$5001,C3380)&gt;1,"Artikel doppelt im selben Lager; ",""))</f>
        <v/>
      </c>
      <c r="P3380" s="47" t="n">
        <f aca="false">IF(OR($A3380="",D3380=""),0,IF(COUNTIF($D$2:D3380,D3380)=1,SUMIF($D$2:$D$5001,D3380,$H$2:$H$5001)+ROW()/10000000,0))</f>
        <v>0</v>
      </c>
      <c r="Q3380" s="47" t="n">
        <f aca="false">IF(OR($A3380="",C3380=""),0,IF(COUNTIF($C$2:C3380,C3380)=1,SUMIF($C$2:$C$5001,C3380,$H$2:$H$5001)+ROW()/10000000,0))</f>
        <v>0</v>
      </c>
    </row>
    <row r="3381" customFormat="false" ht="15" hidden="false" customHeight="false" outlineLevel="0" collapsed="false">
      <c r="A3381" s="43"/>
      <c r="B3381" s="44"/>
      <c r="C3381" s="44"/>
      <c r="D3381" s="44"/>
      <c r="E3381" s="44"/>
      <c r="F3381" s="44"/>
      <c r="G3381" s="44"/>
      <c r="H3381" s="46" t="str">
        <f aca="false">IF($A3381="","",IF(OR(NOT(ISNUMBER(E3381)),NOT(ISNUMBER(F3381))),"",MAX(0,E3381)*F3381))</f>
        <v/>
      </c>
      <c r="I3381" s="46" t="str">
        <f aca="false">IF($A3381="","",SUMIF($A$2:$A$5001,$A3381,$H$2:$H$5001))</f>
        <v/>
      </c>
      <c r="J3381" s="47" t="n">
        <f aca="false">IF($A3381="",0,IF(COUNTIF($A$2:A3381,$A3381)=1,1,0))</f>
        <v>0</v>
      </c>
      <c r="K3381" s="47" t="n">
        <f aca="false">IF(J3381=1,N(I3381)+ROW()/10000000,0)</f>
        <v>0</v>
      </c>
      <c r="L3381" s="47" t="str">
        <f aca="false">IF(AND(J3381=1,N(I3381)&gt;0),SUMIF($K$2:$K$5001,"&gt;="&amp;K3381,$I$2:$I$5001)/MAX(1,SUM($H$2:$H$5001)),"")</f>
        <v/>
      </c>
      <c r="M3381" s="47" t="str">
        <f aca="false">IF($A3381="","",INDEX($L$2:$L$5001,MATCH($A3381,$A$2:$A$5001,0)))</f>
        <v/>
      </c>
      <c r="N3381" s="48" t="str">
        <f aca="false">IF($A3381="","",IF(N(M3381)=0,"–",IF(M3381&lt;=Start!$D$20,"A",IF(M3381&lt;=Start!$D$21,"B","C"))))</f>
        <v/>
      </c>
      <c r="O3381" s="48" t="str">
        <f aca="false">IF($A3381="","",IF(NOT(ISNUMBER(F3381)),"Wert fehlt; ",IF(F3381&lt;=0,"Wert ist 0; ",""))&amp;IF(NOT(ISNUMBER(E3381)),"Bestand fehlt; ",IF(E3381&lt;0,"Bestand negativ; ",IF(E3381=0,"Nullbestand; ","")))&amp;IF(D3381="","Warengruppe fehlt; ","")&amp;IF(B3381="","Bezeichnung fehlt; ","")&amp;IF(COUNTIFS($A$2:$A$5001,$A3381,$C$2:$C$5001,C3381)&gt;1,"Artikel doppelt im selben Lager; ",""))</f>
        <v/>
      </c>
      <c r="P3381" s="47" t="n">
        <f aca="false">IF(OR($A3381="",D3381=""),0,IF(COUNTIF($D$2:D3381,D3381)=1,SUMIF($D$2:$D$5001,D3381,$H$2:$H$5001)+ROW()/10000000,0))</f>
        <v>0</v>
      </c>
      <c r="Q3381" s="47" t="n">
        <f aca="false">IF(OR($A3381="",C3381=""),0,IF(COUNTIF($C$2:C3381,C3381)=1,SUMIF($C$2:$C$5001,C3381,$H$2:$H$5001)+ROW()/10000000,0))</f>
        <v>0</v>
      </c>
    </row>
    <row r="3382" customFormat="false" ht="15" hidden="false" customHeight="false" outlineLevel="0" collapsed="false">
      <c r="A3382" s="43"/>
      <c r="B3382" s="44"/>
      <c r="C3382" s="44"/>
      <c r="D3382" s="44"/>
      <c r="E3382" s="44"/>
      <c r="F3382" s="44"/>
      <c r="G3382" s="44"/>
      <c r="H3382" s="46" t="str">
        <f aca="false">IF($A3382="","",IF(OR(NOT(ISNUMBER(E3382)),NOT(ISNUMBER(F3382))),"",MAX(0,E3382)*F3382))</f>
        <v/>
      </c>
      <c r="I3382" s="46" t="str">
        <f aca="false">IF($A3382="","",SUMIF($A$2:$A$5001,$A3382,$H$2:$H$5001))</f>
        <v/>
      </c>
      <c r="J3382" s="47" t="n">
        <f aca="false">IF($A3382="",0,IF(COUNTIF($A$2:A3382,$A3382)=1,1,0))</f>
        <v>0</v>
      </c>
      <c r="K3382" s="47" t="n">
        <f aca="false">IF(J3382=1,N(I3382)+ROW()/10000000,0)</f>
        <v>0</v>
      </c>
      <c r="L3382" s="47" t="str">
        <f aca="false">IF(AND(J3382=1,N(I3382)&gt;0),SUMIF($K$2:$K$5001,"&gt;="&amp;K3382,$I$2:$I$5001)/MAX(1,SUM($H$2:$H$5001)),"")</f>
        <v/>
      </c>
      <c r="M3382" s="47" t="str">
        <f aca="false">IF($A3382="","",INDEX($L$2:$L$5001,MATCH($A3382,$A$2:$A$5001,0)))</f>
        <v/>
      </c>
      <c r="N3382" s="48" t="str">
        <f aca="false">IF($A3382="","",IF(N(M3382)=0,"–",IF(M3382&lt;=Start!$D$20,"A",IF(M3382&lt;=Start!$D$21,"B","C"))))</f>
        <v/>
      </c>
      <c r="O3382" s="48" t="str">
        <f aca="false">IF($A3382="","",IF(NOT(ISNUMBER(F3382)),"Wert fehlt; ",IF(F3382&lt;=0,"Wert ist 0; ",""))&amp;IF(NOT(ISNUMBER(E3382)),"Bestand fehlt; ",IF(E3382&lt;0,"Bestand negativ; ",IF(E3382=0,"Nullbestand; ","")))&amp;IF(D3382="","Warengruppe fehlt; ","")&amp;IF(B3382="","Bezeichnung fehlt; ","")&amp;IF(COUNTIFS($A$2:$A$5001,$A3382,$C$2:$C$5001,C3382)&gt;1,"Artikel doppelt im selben Lager; ",""))</f>
        <v/>
      </c>
      <c r="P3382" s="47" t="n">
        <f aca="false">IF(OR($A3382="",D3382=""),0,IF(COUNTIF($D$2:D3382,D3382)=1,SUMIF($D$2:$D$5001,D3382,$H$2:$H$5001)+ROW()/10000000,0))</f>
        <v>0</v>
      </c>
      <c r="Q3382" s="47" t="n">
        <f aca="false">IF(OR($A3382="",C3382=""),0,IF(COUNTIF($C$2:C3382,C3382)=1,SUMIF($C$2:$C$5001,C3382,$H$2:$H$5001)+ROW()/10000000,0))</f>
        <v>0</v>
      </c>
    </row>
    <row r="3383" customFormat="false" ht="15" hidden="false" customHeight="false" outlineLevel="0" collapsed="false">
      <c r="A3383" s="43"/>
      <c r="B3383" s="44"/>
      <c r="C3383" s="44"/>
      <c r="D3383" s="44"/>
      <c r="E3383" s="44"/>
      <c r="F3383" s="44"/>
      <c r="G3383" s="44"/>
      <c r="H3383" s="46" t="str">
        <f aca="false">IF($A3383="","",IF(OR(NOT(ISNUMBER(E3383)),NOT(ISNUMBER(F3383))),"",MAX(0,E3383)*F3383))</f>
        <v/>
      </c>
      <c r="I3383" s="46" t="str">
        <f aca="false">IF($A3383="","",SUMIF($A$2:$A$5001,$A3383,$H$2:$H$5001))</f>
        <v/>
      </c>
      <c r="J3383" s="47" t="n">
        <f aca="false">IF($A3383="",0,IF(COUNTIF($A$2:A3383,$A3383)=1,1,0))</f>
        <v>0</v>
      </c>
      <c r="K3383" s="47" t="n">
        <f aca="false">IF(J3383=1,N(I3383)+ROW()/10000000,0)</f>
        <v>0</v>
      </c>
      <c r="L3383" s="47" t="str">
        <f aca="false">IF(AND(J3383=1,N(I3383)&gt;0),SUMIF($K$2:$K$5001,"&gt;="&amp;K3383,$I$2:$I$5001)/MAX(1,SUM($H$2:$H$5001)),"")</f>
        <v/>
      </c>
      <c r="M3383" s="47" t="str">
        <f aca="false">IF($A3383="","",INDEX($L$2:$L$5001,MATCH($A3383,$A$2:$A$5001,0)))</f>
        <v/>
      </c>
      <c r="N3383" s="48" t="str">
        <f aca="false">IF($A3383="","",IF(N(M3383)=0,"–",IF(M3383&lt;=Start!$D$20,"A",IF(M3383&lt;=Start!$D$21,"B","C"))))</f>
        <v/>
      </c>
      <c r="O3383" s="48" t="str">
        <f aca="false">IF($A3383="","",IF(NOT(ISNUMBER(F3383)),"Wert fehlt; ",IF(F3383&lt;=0,"Wert ist 0; ",""))&amp;IF(NOT(ISNUMBER(E3383)),"Bestand fehlt; ",IF(E3383&lt;0,"Bestand negativ; ",IF(E3383=0,"Nullbestand; ","")))&amp;IF(D3383="","Warengruppe fehlt; ","")&amp;IF(B3383="","Bezeichnung fehlt; ","")&amp;IF(COUNTIFS($A$2:$A$5001,$A3383,$C$2:$C$5001,C3383)&gt;1,"Artikel doppelt im selben Lager; ",""))</f>
        <v/>
      </c>
      <c r="P3383" s="47" t="n">
        <f aca="false">IF(OR($A3383="",D3383=""),0,IF(COUNTIF($D$2:D3383,D3383)=1,SUMIF($D$2:$D$5001,D3383,$H$2:$H$5001)+ROW()/10000000,0))</f>
        <v>0</v>
      </c>
      <c r="Q3383" s="47" t="n">
        <f aca="false">IF(OR($A3383="",C3383=""),0,IF(COUNTIF($C$2:C3383,C3383)=1,SUMIF($C$2:$C$5001,C3383,$H$2:$H$5001)+ROW()/10000000,0))</f>
        <v>0</v>
      </c>
    </row>
    <row r="3384" customFormat="false" ht="15" hidden="false" customHeight="false" outlineLevel="0" collapsed="false">
      <c r="A3384" s="43"/>
      <c r="B3384" s="44"/>
      <c r="C3384" s="44"/>
      <c r="D3384" s="44"/>
      <c r="E3384" s="44"/>
      <c r="F3384" s="44"/>
      <c r="G3384" s="44"/>
      <c r="H3384" s="46" t="str">
        <f aca="false">IF($A3384="","",IF(OR(NOT(ISNUMBER(E3384)),NOT(ISNUMBER(F3384))),"",MAX(0,E3384)*F3384))</f>
        <v/>
      </c>
      <c r="I3384" s="46" t="str">
        <f aca="false">IF($A3384="","",SUMIF($A$2:$A$5001,$A3384,$H$2:$H$5001))</f>
        <v/>
      </c>
      <c r="J3384" s="47" t="n">
        <f aca="false">IF($A3384="",0,IF(COUNTIF($A$2:A3384,$A3384)=1,1,0))</f>
        <v>0</v>
      </c>
      <c r="K3384" s="47" t="n">
        <f aca="false">IF(J3384=1,N(I3384)+ROW()/10000000,0)</f>
        <v>0</v>
      </c>
      <c r="L3384" s="47" t="str">
        <f aca="false">IF(AND(J3384=1,N(I3384)&gt;0),SUMIF($K$2:$K$5001,"&gt;="&amp;K3384,$I$2:$I$5001)/MAX(1,SUM($H$2:$H$5001)),"")</f>
        <v/>
      </c>
      <c r="M3384" s="47" t="str">
        <f aca="false">IF($A3384="","",INDEX($L$2:$L$5001,MATCH($A3384,$A$2:$A$5001,0)))</f>
        <v/>
      </c>
      <c r="N3384" s="48" t="str">
        <f aca="false">IF($A3384="","",IF(N(M3384)=0,"–",IF(M3384&lt;=Start!$D$20,"A",IF(M3384&lt;=Start!$D$21,"B","C"))))</f>
        <v/>
      </c>
      <c r="O3384" s="48" t="str">
        <f aca="false">IF($A3384="","",IF(NOT(ISNUMBER(F3384)),"Wert fehlt; ",IF(F3384&lt;=0,"Wert ist 0; ",""))&amp;IF(NOT(ISNUMBER(E3384)),"Bestand fehlt; ",IF(E3384&lt;0,"Bestand negativ; ",IF(E3384=0,"Nullbestand; ","")))&amp;IF(D3384="","Warengruppe fehlt; ","")&amp;IF(B3384="","Bezeichnung fehlt; ","")&amp;IF(COUNTIFS($A$2:$A$5001,$A3384,$C$2:$C$5001,C3384)&gt;1,"Artikel doppelt im selben Lager; ",""))</f>
        <v/>
      </c>
      <c r="P3384" s="47" t="n">
        <f aca="false">IF(OR($A3384="",D3384=""),0,IF(COUNTIF($D$2:D3384,D3384)=1,SUMIF($D$2:$D$5001,D3384,$H$2:$H$5001)+ROW()/10000000,0))</f>
        <v>0</v>
      </c>
      <c r="Q3384" s="47" t="n">
        <f aca="false">IF(OR($A3384="",C3384=""),0,IF(COUNTIF($C$2:C3384,C3384)=1,SUMIF($C$2:$C$5001,C3384,$H$2:$H$5001)+ROW()/10000000,0))</f>
        <v>0</v>
      </c>
    </row>
    <row r="3385" customFormat="false" ht="15" hidden="false" customHeight="false" outlineLevel="0" collapsed="false">
      <c r="A3385" s="43"/>
      <c r="B3385" s="44"/>
      <c r="C3385" s="44"/>
      <c r="D3385" s="44"/>
      <c r="E3385" s="44"/>
      <c r="F3385" s="44"/>
      <c r="G3385" s="44"/>
      <c r="H3385" s="46" t="str">
        <f aca="false">IF($A3385="","",IF(OR(NOT(ISNUMBER(E3385)),NOT(ISNUMBER(F3385))),"",MAX(0,E3385)*F3385))</f>
        <v/>
      </c>
      <c r="I3385" s="46" t="str">
        <f aca="false">IF($A3385="","",SUMIF($A$2:$A$5001,$A3385,$H$2:$H$5001))</f>
        <v/>
      </c>
      <c r="J3385" s="47" t="n">
        <f aca="false">IF($A3385="",0,IF(COUNTIF($A$2:A3385,$A3385)=1,1,0))</f>
        <v>0</v>
      </c>
      <c r="K3385" s="47" t="n">
        <f aca="false">IF(J3385=1,N(I3385)+ROW()/10000000,0)</f>
        <v>0</v>
      </c>
      <c r="L3385" s="47" t="str">
        <f aca="false">IF(AND(J3385=1,N(I3385)&gt;0),SUMIF($K$2:$K$5001,"&gt;="&amp;K3385,$I$2:$I$5001)/MAX(1,SUM($H$2:$H$5001)),"")</f>
        <v/>
      </c>
      <c r="M3385" s="47" t="str">
        <f aca="false">IF($A3385="","",INDEX($L$2:$L$5001,MATCH($A3385,$A$2:$A$5001,0)))</f>
        <v/>
      </c>
      <c r="N3385" s="48" t="str">
        <f aca="false">IF($A3385="","",IF(N(M3385)=0,"–",IF(M3385&lt;=Start!$D$20,"A",IF(M3385&lt;=Start!$D$21,"B","C"))))</f>
        <v/>
      </c>
      <c r="O3385" s="48" t="str">
        <f aca="false">IF($A3385="","",IF(NOT(ISNUMBER(F3385)),"Wert fehlt; ",IF(F3385&lt;=0,"Wert ist 0; ",""))&amp;IF(NOT(ISNUMBER(E3385)),"Bestand fehlt; ",IF(E3385&lt;0,"Bestand negativ; ",IF(E3385=0,"Nullbestand; ","")))&amp;IF(D3385="","Warengruppe fehlt; ","")&amp;IF(B3385="","Bezeichnung fehlt; ","")&amp;IF(COUNTIFS($A$2:$A$5001,$A3385,$C$2:$C$5001,C3385)&gt;1,"Artikel doppelt im selben Lager; ",""))</f>
        <v/>
      </c>
      <c r="P3385" s="47" t="n">
        <f aca="false">IF(OR($A3385="",D3385=""),0,IF(COUNTIF($D$2:D3385,D3385)=1,SUMIF($D$2:$D$5001,D3385,$H$2:$H$5001)+ROW()/10000000,0))</f>
        <v>0</v>
      </c>
      <c r="Q3385" s="47" t="n">
        <f aca="false">IF(OR($A3385="",C3385=""),0,IF(COUNTIF($C$2:C3385,C3385)=1,SUMIF($C$2:$C$5001,C3385,$H$2:$H$5001)+ROW()/10000000,0))</f>
        <v>0</v>
      </c>
    </row>
    <row r="3386" customFormat="false" ht="15" hidden="false" customHeight="false" outlineLevel="0" collapsed="false">
      <c r="A3386" s="43"/>
      <c r="B3386" s="44"/>
      <c r="C3386" s="44"/>
      <c r="D3386" s="44"/>
      <c r="E3386" s="44"/>
      <c r="F3386" s="44"/>
      <c r="G3386" s="44"/>
      <c r="H3386" s="46" t="str">
        <f aca="false">IF($A3386="","",IF(OR(NOT(ISNUMBER(E3386)),NOT(ISNUMBER(F3386))),"",MAX(0,E3386)*F3386))</f>
        <v/>
      </c>
      <c r="I3386" s="46" t="str">
        <f aca="false">IF($A3386="","",SUMIF($A$2:$A$5001,$A3386,$H$2:$H$5001))</f>
        <v/>
      </c>
      <c r="J3386" s="47" t="n">
        <f aca="false">IF($A3386="",0,IF(COUNTIF($A$2:A3386,$A3386)=1,1,0))</f>
        <v>0</v>
      </c>
      <c r="K3386" s="47" t="n">
        <f aca="false">IF(J3386=1,N(I3386)+ROW()/10000000,0)</f>
        <v>0</v>
      </c>
      <c r="L3386" s="47" t="str">
        <f aca="false">IF(AND(J3386=1,N(I3386)&gt;0),SUMIF($K$2:$K$5001,"&gt;="&amp;K3386,$I$2:$I$5001)/MAX(1,SUM($H$2:$H$5001)),"")</f>
        <v/>
      </c>
      <c r="M3386" s="47" t="str">
        <f aca="false">IF($A3386="","",INDEX($L$2:$L$5001,MATCH($A3386,$A$2:$A$5001,0)))</f>
        <v/>
      </c>
      <c r="N3386" s="48" t="str">
        <f aca="false">IF($A3386="","",IF(N(M3386)=0,"–",IF(M3386&lt;=Start!$D$20,"A",IF(M3386&lt;=Start!$D$21,"B","C"))))</f>
        <v/>
      </c>
      <c r="O3386" s="48" t="str">
        <f aca="false">IF($A3386="","",IF(NOT(ISNUMBER(F3386)),"Wert fehlt; ",IF(F3386&lt;=0,"Wert ist 0; ",""))&amp;IF(NOT(ISNUMBER(E3386)),"Bestand fehlt; ",IF(E3386&lt;0,"Bestand negativ; ",IF(E3386=0,"Nullbestand; ","")))&amp;IF(D3386="","Warengruppe fehlt; ","")&amp;IF(B3386="","Bezeichnung fehlt; ","")&amp;IF(COUNTIFS($A$2:$A$5001,$A3386,$C$2:$C$5001,C3386)&gt;1,"Artikel doppelt im selben Lager; ",""))</f>
        <v/>
      </c>
      <c r="P3386" s="47" t="n">
        <f aca="false">IF(OR($A3386="",D3386=""),0,IF(COUNTIF($D$2:D3386,D3386)=1,SUMIF($D$2:$D$5001,D3386,$H$2:$H$5001)+ROW()/10000000,0))</f>
        <v>0</v>
      </c>
      <c r="Q3386" s="47" t="n">
        <f aca="false">IF(OR($A3386="",C3386=""),0,IF(COUNTIF($C$2:C3386,C3386)=1,SUMIF($C$2:$C$5001,C3386,$H$2:$H$5001)+ROW()/10000000,0))</f>
        <v>0</v>
      </c>
    </row>
    <row r="3387" customFormat="false" ht="15" hidden="false" customHeight="false" outlineLevel="0" collapsed="false">
      <c r="A3387" s="43"/>
      <c r="B3387" s="44"/>
      <c r="C3387" s="44"/>
      <c r="D3387" s="44"/>
      <c r="E3387" s="44"/>
      <c r="F3387" s="44"/>
      <c r="G3387" s="44"/>
      <c r="H3387" s="46" t="str">
        <f aca="false">IF($A3387="","",IF(OR(NOT(ISNUMBER(E3387)),NOT(ISNUMBER(F3387))),"",MAX(0,E3387)*F3387))</f>
        <v/>
      </c>
      <c r="I3387" s="46" t="str">
        <f aca="false">IF($A3387="","",SUMIF($A$2:$A$5001,$A3387,$H$2:$H$5001))</f>
        <v/>
      </c>
      <c r="J3387" s="47" t="n">
        <f aca="false">IF($A3387="",0,IF(COUNTIF($A$2:A3387,$A3387)=1,1,0))</f>
        <v>0</v>
      </c>
      <c r="K3387" s="47" t="n">
        <f aca="false">IF(J3387=1,N(I3387)+ROW()/10000000,0)</f>
        <v>0</v>
      </c>
      <c r="L3387" s="47" t="str">
        <f aca="false">IF(AND(J3387=1,N(I3387)&gt;0),SUMIF($K$2:$K$5001,"&gt;="&amp;K3387,$I$2:$I$5001)/MAX(1,SUM($H$2:$H$5001)),"")</f>
        <v/>
      </c>
      <c r="M3387" s="47" t="str">
        <f aca="false">IF($A3387="","",INDEX($L$2:$L$5001,MATCH($A3387,$A$2:$A$5001,0)))</f>
        <v/>
      </c>
      <c r="N3387" s="48" t="str">
        <f aca="false">IF($A3387="","",IF(N(M3387)=0,"–",IF(M3387&lt;=Start!$D$20,"A",IF(M3387&lt;=Start!$D$21,"B","C"))))</f>
        <v/>
      </c>
      <c r="O3387" s="48" t="str">
        <f aca="false">IF($A3387="","",IF(NOT(ISNUMBER(F3387)),"Wert fehlt; ",IF(F3387&lt;=0,"Wert ist 0; ",""))&amp;IF(NOT(ISNUMBER(E3387)),"Bestand fehlt; ",IF(E3387&lt;0,"Bestand negativ; ",IF(E3387=0,"Nullbestand; ","")))&amp;IF(D3387="","Warengruppe fehlt; ","")&amp;IF(B3387="","Bezeichnung fehlt; ","")&amp;IF(COUNTIFS($A$2:$A$5001,$A3387,$C$2:$C$5001,C3387)&gt;1,"Artikel doppelt im selben Lager; ",""))</f>
        <v/>
      </c>
      <c r="P3387" s="47" t="n">
        <f aca="false">IF(OR($A3387="",D3387=""),0,IF(COUNTIF($D$2:D3387,D3387)=1,SUMIF($D$2:$D$5001,D3387,$H$2:$H$5001)+ROW()/10000000,0))</f>
        <v>0</v>
      </c>
      <c r="Q3387" s="47" t="n">
        <f aca="false">IF(OR($A3387="",C3387=""),0,IF(COUNTIF($C$2:C3387,C3387)=1,SUMIF($C$2:$C$5001,C3387,$H$2:$H$5001)+ROW()/10000000,0))</f>
        <v>0</v>
      </c>
    </row>
    <row r="3388" customFormat="false" ht="15" hidden="false" customHeight="false" outlineLevel="0" collapsed="false">
      <c r="A3388" s="43"/>
      <c r="B3388" s="44"/>
      <c r="C3388" s="44"/>
      <c r="D3388" s="44"/>
      <c r="E3388" s="44"/>
      <c r="F3388" s="44"/>
      <c r="G3388" s="44"/>
      <c r="H3388" s="46" t="str">
        <f aca="false">IF($A3388="","",IF(OR(NOT(ISNUMBER(E3388)),NOT(ISNUMBER(F3388))),"",MAX(0,E3388)*F3388))</f>
        <v/>
      </c>
      <c r="I3388" s="46" t="str">
        <f aca="false">IF($A3388="","",SUMIF($A$2:$A$5001,$A3388,$H$2:$H$5001))</f>
        <v/>
      </c>
      <c r="J3388" s="47" t="n">
        <f aca="false">IF($A3388="",0,IF(COUNTIF($A$2:A3388,$A3388)=1,1,0))</f>
        <v>0</v>
      </c>
      <c r="K3388" s="47" t="n">
        <f aca="false">IF(J3388=1,N(I3388)+ROW()/10000000,0)</f>
        <v>0</v>
      </c>
      <c r="L3388" s="47" t="str">
        <f aca="false">IF(AND(J3388=1,N(I3388)&gt;0),SUMIF($K$2:$K$5001,"&gt;="&amp;K3388,$I$2:$I$5001)/MAX(1,SUM($H$2:$H$5001)),"")</f>
        <v/>
      </c>
      <c r="M3388" s="47" t="str">
        <f aca="false">IF($A3388="","",INDEX($L$2:$L$5001,MATCH($A3388,$A$2:$A$5001,0)))</f>
        <v/>
      </c>
      <c r="N3388" s="48" t="str">
        <f aca="false">IF($A3388="","",IF(N(M3388)=0,"–",IF(M3388&lt;=Start!$D$20,"A",IF(M3388&lt;=Start!$D$21,"B","C"))))</f>
        <v/>
      </c>
      <c r="O3388" s="48" t="str">
        <f aca="false">IF($A3388="","",IF(NOT(ISNUMBER(F3388)),"Wert fehlt; ",IF(F3388&lt;=0,"Wert ist 0; ",""))&amp;IF(NOT(ISNUMBER(E3388)),"Bestand fehlt; ",IF(E3388&lt;0,"Bestand negativ; ",IF(E3388=0,"Nullbestand; ","")))&amp;IF(D3388="","Warengruppe fehlt; ","")&amp;IF(B3388="","Bezeichnung fehlt; ","")&amp;IF(COUNTIFS($A$2:$A$5001,$A3388,$C$2:$C$5001,C3388)&gt;1,"Artikel doppelt im selben Lager; ",""))</f>
        <v/>
      </c>
      <c r="P3388" s="47" t="n">
        <f aca="false">IF(OR($A3388="",D3388=""),0,IF(COUNTIF($D$2:D3388,D3388)=1,SUMIF($D$2:$D$5001,D3388,$H$2:$H$5001)+ROW()/10000000,0))</f>
        <v>0</v>
      </c>
      <c r="Q3388" s="47" t="n">
        <f aca="false">IF(OR($A3388="",C3388=""),0,IF(COUNTIF($C$2:C3388,C3388)=1,SUMIF($C$2:$C$5001,C3388,$H$2:$H$5001)+ROW()/10000000,0))</f>
        <v>0</v>
      </c>
    </row>
    <row r="3389" customFormat="false" ht="15" hidden="false" customHeight="false" outlineLevel="0" collapsed="false">
      <c r="A3389" s="43"/>
      <c r="B3389" s="44"/>
      <c r="C3389" s="44"/>
      <c r="D3389" s="44"/>
      <c r="E3389" s="44"/>
      <c r="F3389" s="44"/>
      <c r="G3389" s="44"/>
      <c r="H3389" s="46" t="str">
        <f aca="false">IF($A3389="","",IF(OR(NOT(ISNUMBER(E3389)),NOT(ISNUMBER(F3389))),"",MAX(0,E3389)*F3389))</f>
        <v/>
      </c>
      <c r="I3389" s="46" t="str">
        <f aca="false">IF($A3389="","",SUMIF($A$2:$A$5001,$A3389,$H$2:$H$5001))</f>
        <v/>
      </c>
      <c r="J3389" s="47" t="n">
        <f aca="false">IF($A3389="",0,IF(COUNTIF($A$2:A3389,$A3389)=1,1,0))</f>
        <v>0</v>
      </c>
      <c r="K3389" s="47" t="n">
        <f aca="false">IF(J3389=1,N(I3389)+ROW()/10000000,0)</f>
        <v>0</v>
      </c>
      <c r="L3389" s="47" t="str">
        <f aca="false">IF(AND(J3389=1,N(I3389)&gt;0),SUMIF($K$2:$K$5001,"&gt;="&amp;K3389,$I$2:$I$5001)/MAX(1,SUM($H$2:$H$5001)),"")</f>
        <v/>
      </c>
      <c r="M3389" s="47" t="str">
        <f aca="false">IF($A3389="","",INDEX($L$2:$L$5001,MATCH($A3389,$A$2:$A$5001,0)))</f>
        <v/>
      </c>
      <c r="N3389" s="48" t="str">
        <f aca="false">IF($A3389="","",IF(N(M3389)=0,"–",IF(M3389&lt;=Start!$D$20,"A",IF(M3389&lt;=Start!$D$21,"B","C"))))</f>
        <v/>
      </c>
      <c r="O3389" s="48" t="str">
        <f aca="false">IF($A3389="","",IF(NOT(ISNUMBER(F3389)),"Wert fehlt; ",IF(F3389&lt;=0,"Wert ist 0; ",""))&amp;IF(NOT(ISNUMBER(E3389)),"Bestand fehlt; ",IF(E3389&lt;0,"Bestand negativ; ",IF(E3389=0,"Nullbestand; ","")))&amp;IF(D3389="","Warengruppe fehlt; ","")&amp;IF(B3389="","Bezeichnung fehlt; ","")&amp;IF(COUNTIFS($A$2:$A$5001,$A3389,$C$2:$C$5001,C3389)&gt;1,"Artikel doppelt im selben Lager; ",""))</f>
        <v/>
      </c>
      <c r="P3389" s="47" t="n">
        <f aca="false">IF(OR($A3389="",D3389=""),0,IF(COUNTIF($D$2:D3389,D3389)=1,SUMIF($D$2:$D$5001,D3389,$H$2:$H$5001)+ROW()/10000000,0))</f>
        <v>0</v>
      </c>
      <c r="Q3389" s="47" t="n">
        <f aca="false">IF(OR($A3389="",C3389=""),0,IF(COUNTIF($C$2:C3389,C3389)=1,SUMIF($C$2:$C$5001,C3389,$H$2:$H$5001)+ROW()/10000000,0))</f>
        <v>0</v>
      </c>
    </row>
    <row r="3390" customFormat="false" ht="15" hidden="false" customHeight="false" outlineLevel="0" collapsed="false">
      <c r="A3390" s="43"/>
      <c r="B3390" s="44"/>
      <c r="C3390" s="44"/>
      <c r="D3390" s="44"/>
      <c r="E3390" s="44"/>
      <c r="F3390" s="44"/>
      <c r="G3390" s="44"/>
      <c r="H3390" s="46" t="str">
        <f aca="false">IF($A3390="","",IF(OR(NOT(ISNUMBER(E3390)),NOT(ISNUMBER(F3390))),"",MAX(0,E3390)*F3390))</f>
        <v/>
      </c>
      <c r="I3390" s="46" t="str">
        <f aca="false">IF($A3390="","",SUMIF($A$2:$A$5001,$A3390,$H$2:$H$5001))</f>
        <v/>
      </c>
      <c r="J3390" s="47" t="n">
        <f aca="false">IF($A3390="",0,IF(COUNTIF($A$2:A3390,$A3390)=1,1,0))</f>
        <v>0</v>
      </c>
      <c r="K3390" s="47" t="n">
        <f aca="false">IF(J3390=1,N(I3390)+ROW()/10000000,0)</f>
        <v>0</v>
      </c>
      <c r="L3390" s="47" t="str">
        <f aca="false">IF(AND(J3390=1,N(I3390)&gt;0),SUMIF($K$2:$K$5001,"&gt;="&amp;K3390,$I$2:$I$5001)/MAX(1,SUM($H$2:$H$5001)),"")</f>
        <v/>
      </c>
      <c r="M3390" s="47" t="str">
        <f aca="false">IF($A3390="","",INDEX($L$2:$L$5001,MATCH($A3390,$A$2:$A$5001,0)))</f>
        <v/>
      </c>
      <c r="N3390" s="48" t="str">
        <f aca="false">IF($A3390="","",IF(N(M3390)=0,"–",IF(M3390&lt;=Start!$D$20,"A",IF(M3390&lt;=Start!$D$21,"B","C"))))</f>
        <v/>
      </c>
      <c r="O3390" s="48" t="str">
        <f aca="false">IF($A3390="","",IF(NOT(ISNUMBER(F3390)),"Wert fehlt; ",IF(F3390&lt;=0,"Wert ist 0; ",""))&amp;IF(NOT(ISNUMBER(E3390)),"Bestand fehlt; ",IF(E3390&lt;0,"Bestand negativ; ",IF(E3390=0,"Nullbestand; ","")))&amp;IF(D3390="","Warengruppe fehlt; ","")&amp;IF(B3390="","Bezeichnung fehlt; ","")&amp;IF(COUNTIFS($A$2:$A$5001,$A3390,$C$2:$C$5001,C3390)&gt;1,"Artikel doppelt im selben Lager; ",""))</f>
        <v/>
      </c>
      <c r="P3390" s="47" t="n">
        <f aca="false">IF(OR($A3390="",D3390=""),0,IF(COUNTIF($D$2:D3390,D3390)=1,SUMIF($D$2:$D$5001,D3390,$H$2:$H$5001)+ROW()/10000000,0))</f>
        <v>0</v>
      </c>
      <c r="Q3390" s="47" t="n">
        <f aca="false">IF(OR($A3390="",C3390=""),0,IF(COUNTIF($C$2:C3390,C3390)=1,SUMIF($C$2:$C$5001,C3390,$H$2:$H$5001)+ROW()/10000000,0))</f>
        <v>0</v>
      </c>
    </row>
    <row r="3391" customFormat="false" ht="15" hidden="false" customHeight="false" outlineLevel="0" collapsed="false">
      <c r="A3391" s="43"/>
      <c r="B3391" s="44"/>
      <c r="C3391" s="44"/>
      <c r="D3391" s="44"/>
      <c r="E3391" s="44"/>
      <c r="F3391" s="44"/>
      <c r="G3391" s="44"/>
      <c r="H3391" s="46" t="str">
        <f aca="false">IF($A3391="","",IF(OR(NOT(ISNUMBER(E3391)),NOT(ISNUMBER(F3391))),"",MAX(0,E3391)*F3391))</f>
        <v/>
      </c>
      <c r="I3391" s="46" t="str">
        <f aca="false">IF($A3391="","",SUMIF($A$2:$A$5001,$A3391,$H$2:$H$5001))</f>
        <v/>
      </c>
      <c r="J3391" s="47" t="n">
        <f aca="false">IF($A3391="",0,IF(COUNTIF($A$2:A3391,$A3391)=1,1,0))</f>
        <v>0</v>
      </c>
      <c r="K3391" s="47" t="n">
        <f aca="false">IF(J3391=1,N(I3391)+ROW()/10000000,0)</f>
        <v>0</v>
      </c>
      <c r="L3391" s="47" t="str">
        <f aca="false">IF(AND(J3391=1,N(I3391)&gt;0),SUMIF($K$2:$K$5001,"&gt;="&amp;K3391,$I$2:$I$5001)/MAX(1,SUM($H$2:$H$5001)),"")</f>
        <v/>
      </c>
      <c r="M3391" s="47" t="str">
        <f aca="false">IF($A3391="","",INDEX($L$2:$L$5001,MATCH($A3391,$A$2:$A$5001,0)))</f>
        <v/>
      </c>
      <c r="N3391" s="48" t="str">
        <f aca="false">IF($A3391="","",IF(N(M3391)=0,"–",IF(M3391&lt;=Start!$D$20,"A",IF(M3391&lt;=Start!$D$21,"B","C"))))</f>
        <v/>
      </c>
      <c r="O3391" s="48" t="str">
        <f aca="false">IF($A3391="","",IF(NOT(ISNUMBER(F3391)),"Wert fehlt; ",IF(F3391&lt;=0,"Wert ist 0; ",""))&amp;IF(NOT(ISNUMBER(E3391)),"Bestand fehlt; ",IF(E3391&lt;0,"Bestand negativ; ",IF(E3391=0,"Nullbestand; ","")))&amp;IF(D3391="","Warengruppe fehlt; ","")&amp;IF(B3391="","Bezeichnung fehlt; ","")&amp;IF(COUNTIFS($A$2:$A$5001,$A3391,$C$2:$C$5001,C3391)&gt;1,"Artikel doppelt im selben Lager; ",""))</f>
        <v/>
      </c>
      <c r="P3391" s="47" t="n">
        <f aca="false">IF(OR($A3391="",D3391=""),0,IF(COUNTIF($D$2:D3391,D3391)=1,SUMIF($D$2:$D$5001,D3391,$H$2:$H$5001)+ROW()/10000000,0))</f>
        <v>0</v>
      </c>
      <c r="Q3391" s="47" t="n">
        <f aca="false">IF(OR($A3391="",C3391=""),0,IF(COUNTIF($C$2:C3391,C3391)=1,SUMIF($C$2:$C$5001,C3391,$H$2:$H$5001)+ROW()/10000000,0))</f>
        <v>0</v>
      </c>
    </row>
    <row r="3392" customFormat="false" ht="15" hidden="false" customHeight="false" outlineLevel="0" collapsed="false">
      <c r="A3392" s="43"/>
      <c r="B3392" s="44"/>
      <c r="C3392" s="44"/>
      <c r="D3392" s="44"/>
      <c r="E3392" s="44"/>
      <c r="F3392" s="44"/>
      <c r="G3392" s="44"/>
      <c r="H3392" s="46" t="str">
        <f aca="false">IF($A3392="","",IF(OR(NOT(ISNUMBER(E3392)),NOT(ISNUMBER(F3392))),"",MAX(0,E3392)*F3392))</f>
        <v/>
      </c>
      <c r="I3392" s="46" t="str">
        <f aca="false">IF($A3392="","",SUMIF($A$2:$A$5001,$A3392,$H$2:$H$5001))</f>
        <v/>
      </c>
      <c r="J3392" s="47" t="n">
        <f aca="false">IF($A3392="",0,IF(COUNTIF($A$2:A3392,$A3392)=1,1,0))</f>
        <v>0</v>
      </c>
      <c r="K3392" s="47" t="n">
        <f aca="false">IF(J3392=1,N(I3392)+ROW()/10000000,0)</f>
        <v>0</v>
      </c>
      <c r="L3392" s="47" t="str">
        <f aca="false">IF(AND(J3392=1,N(I3392)&gt;0),SUMIF($K$2:$K$5001,"&gt;="&amp;K3392,$I$2:$I$5001)/MAX(1,SUM($H$2:$H$5001)),"")</f>
        <v/>
      </c>
      <c r="M3392" s="47" t="str">
        <f aca="false">IF($A3392="","",INDEX($L$2:$L$5001,MATCH($A3392,$A$2:$A$5001,0)))</f>
        <v/>
      </c>
      <c r="N3392" s="48" t="str">
        <f aca="false">IF($A3392="","",IF(N(M3392)=0,"–",IF(M3392&lt;=Start!$D$20,"A",IF(M3392&lt;=Start!$D$21,"B","C"))))</f>
        <v/>
      </c>
      <c r="O3392" s="48" t="str">
        <f aca="false">IF($A3392="","",IF(NOT(ISNUMBER(F3392)),"Wert fehlt; ",IF(F3392&lt;=0,"Wert ist 0; ",""))&amp;IF(NOT(ISNUMBER(E3392)),"Bestand fehlt; ",IF(E3392&lt;0,"Bestand negativ; ",IF(E3392=0,"Nullbestand; ","")))&amp;IF(D3392="","Warengruppe fehlt; ","")&amp;IF(B3392="","Bezeichnung fehlt; ","")&amp;IF(COUNTIFS($A$2:$A$5001,$A3392,$C$2:$C$5001,C3392)&gt;1,"Artikel doppelt im selben Lager; ",""))</f>
        <v/>
      </c>
      <c r="P3392" s="47" t="n">
        <f aca="false">IF(OR($A3392="",D3392=""),0,IF(COUNTIF($D$2:D3392,D3392)=1,SUMIF($D$2:$D$5001,D3392,$H$2:$H$5001)+ROW()/10000000,0))</f>
        <v>0</v>
      </c>
      <c r="Q3392" s="47" t="n">
        <f aca="false">IF(OR($A3392="",C3392=""),0,IF(COUNTIF($C$2:C3392,C3392)=1,SUMIF($C$2:$C$5001,C3392,$H$2:$H$5001)+ROW()/10000000,0))</f>
        <v>0</v>
      </c>
    </row>
    <row r="3393" customFormat="false" ht="15" hidden="false" customHeight="false" outlineLevel="0" collapsed="false">
      <c r="A3393" s="43"/>
      <c r="B3393" s="44"/>
      <c r="C3393" s="44"/>
      <c r="D3393" s="44"/>
      <c r="E3393" s="44"/>
      <c r="F3393" s="44"/>
      <c r="G3393" s="44"/>
      <c r="H3393" s="46" t="str">
        <f aca="false">IF($A3393="","",IF(OR(NOT(ISNUMBER(E3393)),NOT(ISNUMBER(F3393))),"",MAX(0,E3393)*F3393))</f>
        <v/>
      </c>
      <c r="I3393" s="46" t="str">
        <f aca="false">IF($A3393="","",SUMIF($A$2:$A$5001,$A3393,$H$2:$H$5001))</f>
        <v/>
      </c>
      <c r="J3393" s="47" t="n">
        <f aca="false">IF($A3393="",0,IF(COUNTIF($A$2:A3393,$A3393)=1,1,0))</f>
        <v>0</v>
      </c>
      <c r="K3393" s="47" t="n">
        <f aca="false">IF(J3393=1,N(I3393)+ROW()/10000000,0)</f>
        <v>0</v>
      </c>
      <c r="L3393" s="47" t="str">
        <f aca="false">IF(AND(J3393=1,N(I3393)&gt;0),SUMIF($K$2:$K$5001,"&gt;="&amp;K3393,$I$2:$I$5001)/MAX(1,SUM($H$2:$H$5001)),"")</f>
        <v/>
      </c>
      <c r="M3393" s="47" t="str">
        <f aca="false">IF($A3393="","",INDEX($L$2:$L$5001,MATCH($A3393,$A$2:$A$5001,0)))</f>
        <v/>
      </c>
      <c r="N3393" s="48" t="str">
        <f aca="false">IF($A3393="","",IF(N(M3393)=0,"–",IF(M3393&lt;=Start!$D$20,"A",IF(M3393&lt;=Start!$D$21,"B","C"))))</f>
        <v/>
      </c>
      <c r="O3393" s="48" t="str">
        <f aca="false">IF($A3393="","",IF(NOT(ISNUMBER(F3393)),"Wert fehlt; ",IF(F3393&lt;=0,"Wert ist 0; ",""))&amp;IF(NOT(ISNUMBER(E3393)),"Bestand fehlt; ",IF(E3393&lt;0,"Bestand negativ; ",IF(E3393=0,"Nullbestand; ","")))&amp;IF(D3393="","Warengruppe fehlt; ","")&amp;IF(B3393="","Bezeichnung fehlt; ","")&amp;IF(COUNTIFS($A$2:$A$5001,$A3393,$C$2:$C$5001,C3393)&gt;1,"Artikel doppelt im selben Lager; ",""))</f>
        <v/>
      </c>
      <c r="P3393" s="47" t="n">
        <f aca="false">IF(OR($A3393="",D3393=""),0,IF(COUNTIF($D$2:D3393,D3393)=1,SUMIF($D$2:$D$5001,D3393,$H$2:$H$5001)+ROW()/10000000,0))</f>
        <v>0</v>
      </c>
      <c r="Q3393" s="47" t="n">
        <f aca="false">IF(OR($A3393="",C3393=""),0,IF(COUNTIF($C$2:C3393,C3393)=1,SUMIF($C$2:$C$5001,C3393,$H$2:$H$5001)+ROW()/10000000,0))</f>
        <v>0</v>
      </c>
    </row>
    <row r="3394" customFormat="false" ht="15" hidden="false" customHeight="false" outlineLevel="0" collapsed="false">
      <c r="A3394" s="43"/>
      <c r="B3394" s="44"/>
      <c r="C3394" s="44"/>
      <c r="D3394" s="44"/>
      <c r="E3394" s="44"/>
      <c r="F3394" s="44"/>
      <c r="G3394" s="44"/>
      <c r="H3394" s="46" t="str">
        <f aca="false">IF($A3394="","",IF(OR(NOT(ISNUMBER(E3394)),NOT(ISNUMBER(F3394))),"",MAX(0,E3394)*F3394))</f>
        <v/>
      </c>
      <c r="I3394" s="46" t="str">
        <f aca="false">IF($A3394="","",SUMIF($A$2:$A$5001,$A3394,$H$2:$H$5001))</f>
        <v/>
      </c>
      <c r="J3394" s="47" t="n">
        <f aca="false">IF($A3394="",0,IF(COUNTIF($A$2:A3394,$A3394)=1,1,0))</f>
        <v>0</v>
      </c>
      <c r="K3394" s="47" t="n">
        <f aca="false">IF(J3394=1,N(I3394)+ROW()/10000000,0)</f>
        <v>0</v>
      </c>
      <c r="L3394" s="47" t="str">
        <f aca="false">IF(AND(J3394=1,N(I3394)&gt;0),SUMIF($K$2:$K$5001,"&gt;="&amp;K3394,$I$2:$I$5001)/MAX(1,SUM($H$2:$H$5001)),"")</f>
        <v/>
      </c>
      <c r="M3394" s="47" t="str">
        <f aca="false">IF($A3394="","",INDEX($L$2:$L$5001,MATCH($A3394,$A$2:$A$5001,0)))</f>
        <v/>
      </c>
      <c r="N3394" s="48" t="str">
        <f aca="false">IF($A3394="","",IF(N(M3394)=0,"–",IF(M3394&lt;=Start!$D$20,"A",IF(M3394&lt;=Start!$D$21,"B","C"))))</f>
        <v/>
      </c>
      <c r="O3394" s="48" t="str">
        <f aca="false">IF($A3394="","",IF(NOT(ISNUMBER(F3394)),"Wert fehlt; ",IF(F3394&lt;=0,"Wert ist 0; ",""))&amp;IF(NOT(ISNUMBER(E3394)),"Bestand fehlt; ",IF(E3394&lt;0,"Bestand negativ; ",IF(E3394=0,"Nullbestand; ","")))&amp;IF(D3394="","Warengruppe fehlt; ","")&amp;IF(B3394="","Bezeichnung fehlt; ","")&amp;IF(COUNTIFS($A$2:$A$5001,$A3394,$C$2:$C$5001,C3394)&gt;1,"Artikel doppelt im selben Lager; ",""))</f>
        <v/>
      </c>
      <c r="P3394" s="47" t="n">
        <f aca="false">IF(OR($A3394="",D3394=""),0,IF(COUNTIF($D$2:D3394,D3394)=1,SUMIF($D$2:$D$5001,D3394,$H$2:$H$5001)+ROW()/10000000,0))</f>
        <v>0</v>
      </c>
      <c r="Q3394" s="47" t="n">
        <f aca="false">IF(OR($A3394="",C3394=""),0,IF(COUNTIF($C$2:C3394,C3394)=1,SUMIF($C$2:$C$5001,C3394,$H$2:$H$5001)+ROW()/10000000,0))</f>
        <v>0</v>
      </c>
    </row>
    <row r="3395" customFormat="false" ht="15" hidden="false" customHeight="false" outlineLevel="0" collapsed="false">
      <c r="A3395" s="43"/>
      <c r="B3395" s="44"/>
      <c r="C3395" s="44"/>
      <c r="D3395" s="44"/>
      <c r="E3395" s="44"/>
      <c r="F3395" s="44"/>
      <c r="G3395" s="44"/>
      <c r="H3395" s="46" t="str">
        <f aca="false">IF($A3395="","",IF(OR(NOT(ISNUMBER(E3395)),NOT(ISNUMBER(F3395))),"",MAX(0,E3395)*F3395))</f>
        <v/>
      </c>
      <c r="I3395" s="46" t="str">
        <f aca="false">IF($A3395="","",SUMIF($A$2:$A$5001,$A3395,$H$2:$H$5001))</f>
        <v/>
      </c>
      <c r="J3395" s="47" t="n">
        <f aca="false">IF($A3395="",0,IF(COUNTIF($A$2:A3395,$A3395)=1,1,0))</f>
        <v>0</v>
      </c>
      <c r="K3395" s="47" t="n">
        <f aca="false">IF(J3395=1,N(I3395)+ROW()/10000000,0)</f>
        <v>0</v>
      </c>
      <c r="L3395" s="47" t="str">
        <f aca="false">IF(AND(J3395=1,N(I3395)&gt;0),SUMIF($K$2:$K$5001,"&gt;="&amp;K3395,$I$2:$I$5001)/MAX(1,SUM($H$2:$H$5001)),"")</f>
        <v/>
      </c>
      <c r="M3395" s="47" t="str">
        <f aca="false">IF($A3395="","",INDEX($L$2:$L$5001,MATCH($A3395,$A$2:$A$5001,0)))</f>
        <v/>
      </c>
      <c r="N3395" s="48" t="str">
        <f aca="false">IF($A3395="","",IF(N(M3395)=0,"–",IF(M3395&lt;=Start!$D$20,"A",IF(M3395&lt;=Start!$D$21,"B","C"))))</f>
        <v/>
      </c>
      <c r="O3395" s="48" t="str">
        <f aca="false">IF($A3395="","",IF(NOT(ISNUMBER(F3395)),"Wert fehlt; ",IF(F3395&lt;=0,"Wert ist 0; ",""))&amp;IF(NOT(ISNUMBER(E3395)),"Bestand fehlt; ",IF(E3395&lt;0,"Bestand negativ; ",IF(E3395=0,"Nullbestand; ","")))&amp;IF(D3395="","Warengruppe fehlt; ","")&amp;IF(B3395="","Bezeichnung fehlt; ","")&amp;IF(COUNTIFS($A$2:$A$5001,$A3395,$C$2:$C$5001,C3395)&gt;1,"Artikel doppelt im selben Lager; ",""))</f>
        <v/>
      </c>
      <c r="P3395" s="47" t="n">
        <f aca="false">IF(OR($A3395="",D3395=""),0,IF(COUNTIF($D$2:D3395,D3395)=1,SUMIF($D$2:$D$5001,D3395,$H$2:$H$5001)+ROW()/10000000,0))</f>
        <v>0</v>
      </c>
      <c r="Q3395" s="47" t="n">
        <f aca="false">IF(OR($A3395="",C3395=""),0,IF(COUNTIF($C$2:C3395,C3395)=1,SUMIF($C$2:$C$5001,C3395,$H$2:$H$5001)+ROW()/10000000,0))</f>
        <v>0</v>
      </c>
    </row>
    <row r="3396" customFormat="false" ht="15" hidden="false" customHeight="false" outlineLevel="0" collapsed="false">
      <c r="A3396" s="43"/>
      <c r="B3396" s="44"/>
      <c r="C3396" s="44"/>
      <c r="D3396" s="44"/>
      <c r="E3396" s="44"/>
      <c r="F3396" s="44"/>
      <c r="G3396" s="44"/>
      <c r="H3396" s="46" t="str">
        <f aca="false">IF($A3396="","",IF(OR(NOT(ISNUMBER(E3396)),NOT(ISNUMBER(F3396))),"",MAX(0,E3396)*F3396))</f>
        <v/>
      </c>
      <c r="I3396" s="46" t="str">
        <f aca="false">IF($A3396="","",SUMIF($A$2:$A$5001,$A3396,$H$2:$H$5001))</f>
        <v/>
      </c>
      <c r="J3396" s="47" t="n">
        <f aca="false">IF($A3396="",0,IF(COUNTIF($A$2:A3396,$A3396)=1,1,0))</f>
        <v>0</v>
      </c>
      <c r="K3396" s="47" t="n">
        <f aca="false">IF(J3396=1,N(I3396)+ROW()/10000000,0)</f>
        <v>0</v>
      </c>
      <c r="L3396" s="47" t="str">
        <f aca="false">IF(AND(J3396=1,N(I3396)&gt;0),SUMIF($K$2:$K$5001,"&gt;="&amp;K3396,$I$2:$I$5001)/MAX(1,SUM($H$2:$H$5001)),"")</f>
        <v/>
      </c>
      <c r="M3396" s="47" t="str">
        <f aca="false">IF($A3396="","",INDEX($L$2:$L$5001,MATCH($A3396,$A$2:$A$5001,0)))</f>
        <v/>
      </c>
      <c r="N3396" s="48" t="str">
        <f aca="false">IF($A3396="","",IF(N(M3396)=0,"–",IF(M3396&lt;=Start!$D$20,"A",IF(M3396&lt;=Start!$D$21,"B","C"))))</f>
        <v/>
      </c>
      <c r="O3396" s="48" t="str">
        <f aca="false">IF($A3396="","",IF(NOT(ISNUMBER(F3396)),"Wert fehlt; ",IF(F3396&lt;=0,"Wert ist 0; ",""))&amp;IF(NOT(ISNUMBER(E3396)),"Bestand fehlt; ",IF(E3396&lt;0,"Bestand negativ; ",IF(E3396=0,"Nullbestand; ","")))&amp;IF(D3396="","Warengruppe fehlt; ","")&amp;IF(B3396="","Bezeichnung fehlt; ","")&amp;IF(COUNTIFS($A$2:$A$5001,$A3396,$C$2:$C$5001,C3396)&gt;1,"Artikel doppelt im selben Lager; ",""))</f>
        <v/>
      </c>
      <c r="P3396" s="47" t="n">
        <f aca="false">IF(OR($A3396="",D3396=""),0,IF(COUNTIF($D$2:D3396,D3396)=1,SUMIF($D$2:$D$5001,D3396,$H$2:$H$5001)+ROW()/10000000,0))</f>
        <v>0</v>
      </c>
      <c r="Q3396" s="47" t="n">
        <f aca="false">IF(OR($A3396="",C3396=""),0,IF(COUNTIF($C$2:C3396,C3396)=1,SUMIF($C$2:$C$5001,C3396,$H$2:$H$5001)+ROW()/10000000,0))</f>
        <v>0</v>
      </c>
    </row>
    <row r="3397" customFormat="false" ht="15" hidden="false" customHeight="false" outlineLevel="0" collapsed="false">
      <c r="A3397" s="43"/>
      <c r="B3397" s="44"/>
      <c r="C3397" s="44"/>
      <c r="D3397" s="44"/>
      <c r="E3397" s="44"/>
      <c r="F3397" s="44"/>
      <c r="G3397" s="44"/>
      <c r="H3397" s="46" t="str">
        <f aca="false">IF($A3397="","",IF(OR(NOT(ISNUMBER(E3397)),NOT(ISNUMBER(F3397))),"",MAX(0,E3397)*F3397))</f>
        <v/>
      </c>
      <c r="I3397" s="46" t="str">
        <f aca="false">IF($A3397="","",SUMIF($A$2:$A$5001,$A3397,$H$2:$H$5001))</f>
        <v/>
      </c>
      <c r="J3397" s="47" t="n">
        <f aca="false">IF($A3397="",0,IF(COUNTIF($A$2:A3397,$A3397)=1,1,0))</f>
        <v>0</v>
      </c>
      <c r="K3397" s="47" t="n">
        <f aca="false">IF(J3397=1,N(I3397)+ROW()/10000000,0)</f>
        <v>0</v>
      </c>
      <c r="L3397" s="47" t="str">
        <f aca="false">IF(AND(J3397=1,N(I3397)&gt;0),SUMIF($K$2:$K$5001,"&gt;="&amp;K3397,$I$2:$I$5001)/MAX(1,SUM($H$2:$H$5001)),"")</f>
        <v/>
      </c>
      <c r="M3397" s="47" t="str">
        <f aca="false">IF($A3397="","",INDEX($L$2:$L$5001,MATCH($A3397,$A$2:$A$5001,0)))</f>
        <v/>
      </c>
      <c r="N3397" s="48" t="str">
        <f aca="false">IF($A3397="","",IF(N(M3397)=0,"–",IF(M3397&lt;=Start!$D$20,"A",IF(M3397&lt;=Start!$D$21,"B","C"))))</f>
        <v/>
      </c>
      <c r="O3397" s="48" t="str">
        <f aca="false">IF($A3397="","",IF(NOT(ISNUMBER(F3397)),"Wert fehlt; ",IF(F3397&lt;=0,"Wert ist 0; ",""))&amp;IF(NOT(ISNUMBER(E3397)),"Bestand fehlt; ",IF(E3397&lt;0,"Bestand negativ; ",IF(E3397=0,"Nullbestand; ","")))&amp;IF(D3397="","Warengruppe fehlt; ","")&amp;IF(B3397="","Bezeichnung fehlt; ","")&amp;IF(COUNTIFS($A$2:$A$5001,$A3397,$C$2:$C$5001,C3397)&gt;1,"Artikel doppelt im selben Lager; ",""))</f>
        <v/>
      </c>
      <c r="P3397" s="47" t="n">
        <f aca="false">IF(OR($A3397="",D3397=""),0,IF(COUNTIF($D$2:D3397,D3397)=1,SUMIF($D$2:$D$5001,D3397,$H$2:$H$5001)+ROW()/10000000,0))</f>
        <v>0</v>
      </c>
      <c r="Q3397" s="47" t="n">
        <f aca="false">IF(OR($A3397="",C3397=""),0,IF(COUNTIF($C$2:C3397,C3397)=1,SUMIF($C$2:$C$5001,C3397,$H$2:$H$5001)+ROW()/10000000,0))</f>
        <v>0</v>
      </c>
    </row>
    <row r="3398" customFormat="false" ht="15" hidden="false" customHeight="false" outlineLevel="0" collapsed="false">
      <c r="A3398" s="43"/>
      <c r="B3398" s="44"/>
      <c r="C3398" s="44"/>
      <c r="D3398" s="44"/>
      <c r="E3398" s="44"/>
      <c r="F3398" s="44"/>
      <c r="G3398" s="44"/>
      <c r="H3398" s="46" t="str">
        <f aca="false">IF($A3398="","",IF(OR(NOT(ISNUMBER(E3398)),NOT(ISNUMBER(F3398))),"",MAX(0,E3398)*F3398))</f>
        <v/>
      </c>
      <c r="I3398" s="46" t="str">
        <f aca="false">IF($A3398="","",SUMIF($A$2:$A$5001,$A3398,$H$2:$H$5001))</f>
        <v/>
      </c>
      <c r="J3398" s="47" t="n">
        <f aca="false">IF($A3398="",0,IF(COUNTIF($A$2:A3398,$A3398)=1,1,0))</f>
        <v>0</v>
      </c>
      <c r="K3398" s="47" t="n">
        <f aca="false">IF(J3398=1,N(I3398)+ROW()/10000000,0)</f>
        <v>0</v>
      </c>
      <c r="L3398" s="47" t="str">
        <f aca="false">IF(AND(J3398=1,N(I3398)&gt;0),SUMIF($K$2:$K$5001,"&gt;="&amp;K3398,$I$2:$I$5001)/MAX(1,SUM($H$2:$H$5001)),"")</f>
        <v/>
      </c>
      <c r="M3398" s="47" t="str">
        <f aca="false">IF($A3398="","",INDEX($L$2:$L$5001,MATCH($A3398,$A$2:$A$5001,0)))</f>
        <v/>
      </c>
      <c r="N3398" s="48" t="str">
        <f aca="false">IF($A3398="","",IF(N(M3398)=0,"–",IF(M3398&lt;=Start!$D$20,"A",IF(M3398&lt;=Start!$D$21,"B","C"))))</f>
        <v/>
      </c>
      <c r="O3398" s="48" t="str">
        <f aca="false">IF($A3398="","",IF(NOT(ISNUMBER(F3398)),"Wert fehlt; ",IF(F3398&lt;=0,"Wert ist 0; ",""))&amp;IF(NOT(ISNUMBER(E3398)),"Bestand fehlt; ",IF(E3398&lt;0,"Bestand negativ; ",IF(E3398=0,"Nullbestand; ","")))&amp;IF(D3398="","Warengruppe fehlt; ","")&amp;IF(B3398="","Bezeichnung fehlt; ","")&amp;IF(COUNTIFS($A$2:$A$5001,$A3398,$C$2:$C$5001,C3398)&gt;1,"Artikel doppelt im selben Lager; ",""))</f>
        <v/>
      </c>
      <c r="P3398" s="47" t="n">
        <f aca="false">IF(OR($A3398="",D3398=""),0,IF(COUNTIF($D$2:D3398,D3398)=1,SUMIF($D$2:$D$5001,D3398,$H$2:$H$5001)+ROW()/10000000,0))</f>
        <v>0</v>
      </c>
      <c r="Q3398" s="47" t="n">
        <f aca="false">IF(OR($A3398="",C3398=""),0,IF(COUNTIF($C$2:C3398,C3398)=1,SUMIF($C$2:$C$5001,C3398,$H$2:$H$5001)+ROW()/10000000,0))</f>
        <v>0</v>
      </c>
    </row>
    <row r="3399" customFormat="false" ht="15" hidden="false" customHeight="false" outlineLevel="0" collapsed="false">
      <c r="A3399" s="43"/>
      <c r="B3399" s="44"/>
      <c r="C3399" s="44"/>
      <c r="D3399" s="44"/>
      <c r="E3399" s="44"/>
      <c r="F3399" s="44"/>
      <c r="G3399" s="44"/>
      <c r="H3399" s="46" t="str">
        <f aca="false">IF($A3399="","",IF(OR(NOT(ISNUMBER(E3399)),NOT(ISNUMBER(F3399))),"",MAX(0,E3399)*F3399))</f>
        <v/>
      </c>
      <c r="I3399" s="46" t="str">
        <f aca="false">IF($A3399="","",SUMIF($A$2:$A$5001,$A3399,$H$2:$H$5001))</f>
        <v/>
      </c>
      <c r="J3399" s="47" t="n">
        <f aca="false">IF($A3399="",0,IF(COUNTIF($A$2:A3399,$A3399)=1,1,0))</f>
        <v>0</v>
      </c>
      <c r="K3399" s="47" t="n">
        <f aca="false">IF(J3399=1,N(I3399)+ROW()/10000000,0)</f>
        <v>0</v>
      </c>
      <c r="L3399" s="47" t="str">
        <f aca="false">IF(AND(J3399=1,N(I3399)&gt;0),SUMIF($K$2:$K$5001,"&gt;="&amp;K3399,$I$2:$I$5001)/MAX(1,SUM($H$2:$H$5001)),"")</f>
        <v/>
      </c>
      <c r="M3399" s="47" t="str">
        <f aca="false">IF($A3399="","",INDEX($L$2:$L$5001,MATCH($A3399,$A$2:$A$5001,0)))</f>
        <v/>
      </c>
      <c r="N3399" s="48" t="str">
        <f aca="false">IF($A3399="","",IF(N(M3399)=0,"–",IF(M3399&lt;=Start!$D$20,"A",IF(M3399&lt;=Start!$D$21,"B","C"))))</f>
        <v/>
      </c>
      <c r="O3399" s="48" t="str">
        <f aca="false">IF($A3399="","",IF(NOT(ISNUMBER(F3399)),"Wert fehlt; ",IF(F3399&lt;=0,"Wert ist 0; ",""))&amp;IF(NOT(ISNUMBER(E3399)),"Bestand fehlt; ",IF(E3399&lt;0,"Bestand negativ; ",IF(E3399=0,"Nullbestand; ","")))&amp;IF(D3399="","Warengruppe fehlt; ","")&amp;IF(B3399="","Bezeichnung fehlt; ","")&amp;IF(COUNTIFS($A$2:$A$5001,$A3399,$C$2:$C$5001,C3399)&gt;1,"Artikel doppelt im selben Lager; ",""))</f>
        <v/>
      </c>
      <c r="P3399" s="47" t="n">
        <f aca="false">IF(OR($A3399="",D3399=""),0,IF(COUNTIF($D$2:D3399,D3399)=1,SUMIF($D$2:$D$5001,D3399,$H$2:$H$5001)+ROW()/10000000,0))</f>
        <v>0</v>
      </c>
      <c r="Q3399" s="47" t="n">
        <f aca="false">IF(OR($A3399="",C3399=""),0,IF(COUNTIF($C$2:C3399,C3399)=1,SUMIF($C$2:$C$5001,C3399,$H$2:$H$5001)+ROW()/10000000,0))</f>
        <v>0</v>
      </c>
    </row>
    <row r="3400" customFormat="false" ht="15" hidden="false" customHeight="false" outlineLevel="0" collapsed="false">
      <c r="A3400" s="43"/>
      <c r="B3400" s="44"/>
      <c r="C3400" s="44"/>
      <c r="D3400" s="44"/>
      <c r="E3400" s="44"/>
      <c r="F3400" s="44"/>
      <c r="G3400" s="44"/>
      <c r="H3400" s="46" t="str">
        <f aca="false">IF($A3400="","",IF(OR(NOT(ISNUMBER(E3400)),NOT(ISNUMBER(F3400))),"",MAX(0,E3400)*F3400))</f>
        <v/>
      </c>
      <c r="I3400" s="46" t="str">
        <f aca="false">IF($A3400="","",SUMIF($A$2:$A$5001,$A3400,$H$2:$H$5001))</f>
        <v/>
      </c>
      <c r="J3400" s="47" t="n">
        <f aca="false">IF($A3400="",0,IF(COUNTIF($A$2:A3400,$A3400)=1,1,0))</f>
        <v>0</v>
      </c>
      <c r="K3400" s="47" t="n">
        <f aca="false">IF(J3400=1,N(I3400)+ROW()/10000000,0)</f>
        <v>0</v>
      </c>
      <c r="L3400" s="47" t="str">
        <f aca="false">IF(AND(J3400=1,N(I3400)&gt;0),SUMIF($K$2:$K$5001,"&gt;="&amp;K3400,$I$2:$I$5001)/MAX(1,SUM($H$2:$H$5001)),"")</f>
        <v/>
      </c>
      <c r="M3400" s="47" t="str">
        <f aca="false">IF($A3400="","",INDEX($L$2:$L$5001,MATCH($A3400,$A$2:$A$5001,0)))</f>
        <v/>
      </c>
      <c r="N3400" s="48" t="str">
        <f aca="false">IF($A3400="","",IF(N(M3400)=0,"–",IF(M3400&lt;=Start!$D$20,"A",IF(M3400&lt;=Start!$D$21,"B","C"))))</f>
        <v/>
      </c>
      <c r="O3400" s="48" t="str">
        <f aca="false">IF($A3400="","",IF(NOT(ISNUMBER(F3400)),"Wert fehlt; ",IF(F3400&lt;=0,"Wert ist 0; ",""))&amp;IF(NOT(ISNUMBER(E3400)),"Bestand fehlt; ",IF(E3400&lt;0,"Bestand negativ; ",IF(E3400=0,"Nullbestand; ","")))&amp;IF(D3400="","Warengruppe fehlt; ","")&amp;IF(B3400="","Bezeichnung fehlt; ","")&amp;IF(COUNTIFS($A$2:$A$5001,$A3400,$C$2:$C$5001,C3400)&gt;1,"Artikel doppelt im selben Lager; ",""))</f>
        <v/>
      </c>
      <c r="P3400" s="47" t="n">
        <f aca="false">IF(OR($A3400="",D3400=""),0,IF(COUNTIF($D$2:D3400,D3400)=1,SUMIF($D$2:$D$5001,D3400,$H$2:$H$5001)+ROW()/10000000,0))</f>
        <v>0</v>
      </c>
      <c r="Q3400" s="47" t="n">
        <f aca="false">IF(OR($A3400="",C3400=""),0,IF(COUNTIF($C$2:C3400,C3400)=1,SUMIF($C$2:$C$5001,C3400,$H$2:$H$5001)+ROW()/10000000,0))</f>
        <v>0</v>
      </c>
    </row>
    <row r="3401" customFormat="false" ht="15" hidden="false" customHeight="false" outlineLevel="0" collapsed="false">
      <c r="A3401" s="43"/>
      <c r="B3401" s="44"/>
      <c r="C3401" s="44"/>
      <c r="D3401" s="44"/>
      <c r="E3401" s="44"/>
      <c r="F3401" s="44"/>
      <c r="G3401" s="44"/>
      <c r="H3401" s="46" t="str">
        <f aca="false">IF($A3401="","",IF(OR(NOT(ISNUMBER(E3401)),NOT(ISNUMBER(F3401))),"",MAX(0,E3401)*F3401))</f>
        <v/>
      </c>
      <c r="I3401" s="46" t="str">
        <f aca="false">IF($A3401="","",SUMIF($A$2:$A$5001,$A3401,$H$2:$H$5001))</f>
        <v/>
      </c>
      <c r="J3401" s="47" t="n">
        <f aca="false">IF($A3401="",0,IF(COUNTIF($A$2:A3401,$A3401)=1,1,0))</f>
        <v>0</v>
      </c>
      <c r="K3401" s="47" t="n">
        <f aca="false">IF(J3401=1,N(I3401)+ROW()/10000000,0)</f>
        <v>0</v>
      </c>
      <c r="L3401" s="47" t="str">
        <f aca="false">IF(AND(J3401=1,N(I3401)&gt;0),SUMIF($K$2:$K$5001,"&gt;="&amp;K3401,$I$2:$I$5001)/MAX(1,SUM($H$2:$H$5001)),"")</f>
        <v/>
      </c>
      <c r="M3401" s="47" t="str">
        <f aca="false">IF($A3401="","",INDEX($L$2:$L$5001,MATCH($A3401,$A$2:$A$5001,0)))</f>
        <v/>
      </c>
      <c r="N3401" s="48" t="str">
        <f aca="false">IF($A3401="","",IF(N(M3401)=0,"–",IF(M3401&lt;=Start!$D$20,"A",IF(M3401&lt;=Start!$D$21,"B","C"))))</f>
        <v/>
      </c>
      <c r="O3401" s="48" t="str">
        <f aca="false">IF($A3401="","",IF(NOT(ISNUMBER(F3401)),"Wert fehlt; ",IF(F3401&lt;=0,"Wert ist 0; ",""))&amp;IF(NOT(ISNUMBER(E3401)),"Bestand fehlt; ",IF(E3401&lt;0,"Bestand negativ; ",IF(E3401=0,"Nullbestand; ","")))&amp;IF(D3401="","Warengruppe fehlt; ","")&amp;IF(B3401="","Bezeichnung fehlt; ","")&amp;IF(COUNTIFS($A$2:$A$5001,$A3401,$C$2:$C$5001,C3401)&gt;1,"Artikel doppelt im selben Lager; ",""))</f>
        <v/>
      </c>
      <c r="P3401" s="47" t="n">
        <f aca="false">IF(OR($A3401="",D3401=""),0,IF(COUNTIF($D$2:D3401,D3401)=1,SUMIF($D$2:$D$5001,D3401,$H$2:$H$5001)+ROW()/10000000,0))</f>
        <v>0</v>
      </c>
      <c r="Q3401" s="47" t="n">
        <f aca="false">IF(OR($A3401="",C3401=""),0,IF(COUNTIF($C$2:C3401,C3401)=1,SUMIF($C$2:$C$5001,C3401,$H$2:$H$5001)+ROW()/10000000,0))</f>
        <v>0</v>
      </c>
    </row>
    <row r="3402" customFormat="false" ht="15" hidden="false" customHeight="false" outlineLevel="0" collapsed="false">
      <c r="A3402" s="43"/>
      <c r="B3402" s="44"/>
      <c r="C3402" s="44"/>
      <c r="D3402" s="44"/>
      <c r="E3402" s="44"/>
      <c r="F3402" s="44"/>
      <c r="G3402" s="44"/>
      <c r="H3402" s="46" t="str">
        <f aca="false">IF($A3402="","",IF(OR(NOT(ISNUMBER(E3402)),NOT(ISNUMBER(F3402))),"",MAX(0,E3402)*F3402))</f>
        <v/>
      </c>
      <c r="I3402" s="46" t="str">
        <f aca="false">IF($A3402="","",SUMIF($A$2:$A$5001,$A3402,$H$2:$H$5001))</f>
        <v/>
      </c>
      <c r="J3402" s="47" t="n">
        <f aca="false">IF($A3402="",0,IF(COUNTIF($A$2:A3402,$A3402)=1,1,0))</f>
        <v>0</v>
      </c>
      <c r="K3402" s="47" t="n">
        <f aca="false">IF(J3402=1,N(I3402)+ROW()/10000000,0)</f>
        <v>0</v>
      </c>
      <c r="L3402" s="47" t="str">
        <f aca="false">IF(AND(J3402=1,N(I3402)&gt;0),SUMIF($K$2:$K$5001,"&gt;="&amp;K3402,$I$2:$I$5001)/MAX(1,SUM($H$2:$H$5001)),"")</f>
        <v/>
      </c>
      <c r="M3402" s="47" t="str">
        <f aca="false">IF($A3402="","",INDEX($L$2:$L$5001,MATCH($A3402,$A$2:$A$5001,0)))</f>
        <v/>
      </c>
      <c r="N3402" s="48" t="str">
        <f aca="false">IF($A3402="","",IF(N(M3402)=0,"–",IF(M3402&lt;=Start!$D$20,"A",IF(M3402&lt;=Start!$D$21,"B","C"))))</f>
        <v/>
      </c>
      <c r="O3402" s="48" t="str">
        <f aca="false">IF($A3402="","",IF(NOT(ISNUMBER(F3402)),"Wert fehlt; ",IF(F3402&lt;=0,"Wert ist 0; ",""))&amp;IF(NOT(ISNUMBER(E3402)),"Bestand fehlt; ",IF(E3402&lt;0,"Bestand negativ; ",IF(E3402=0,"Nullbestand; ","")))&amp;IF(D3402="","Warengruppe fehlt; ","")&amp;IF(B3402="","Bezeichnung fehlt; ","")&amp;IF(COUNTIFS($A$2:$A$5001,$A3402,$C$2:$C$5001,C3402)&gt;1,"Artikel doppelt im selben Lager; ",""))</f>
        <v/>
      </c>
      <c r="P3402" s="47" t="n">
        <f aca="false">IF(OR($A3402="",D3402=""),0,IF(COUNTIF($D$2:D3402,D3402)=1,SUMIF($D$2:$D$5001,D3402,$H$2:$H$5001)+ROW()/10000000,0))</f>
        <v>0</v>
      </c>
      <c r="Q3402" s="47" t="n">
        <f aca="false">IF(OR($A3402="",C3402=""),0,IF(COUNTIF($C$2:C3402,C3402)=1,SUMIF($C$2:$C$5001,C3402,$H$2:$H$5001)+ROW()/10000000,0))</f>
        <v>0</v>
      </c>
    </row>
    <row r="3403" customFormat="false" ht="15" hidden="false" customHeight="false" outlineLevel="0" collapsed="false">
      <c r="A3403" s="43"/>
      <c r="B3403" s="44"/>
      <c r="C3403" s="44"/>
      <c r="D3403" s="44"/>
      <c r="E3403" s="44"/>
      <c r="F3403" s="44"/>
      <c r="G3403" s="44"/>
      <c r="H3403" s="46" t="str">
        <f aca="false">IF($A3403="","",IF(OR(NOT(ISNUMBER(E3403)),NOT(ISNUMBER(F3403))),"",MAX(0,E3403)*F3403))</f>
        <v/>
      </c>
      <c r="I3403" s="46" t="str">
        <f aca="false">IF($A3403="","",SUMIF($A$2:$A$5001,$A3403,$H$2:$H$5001))</f>
        <v/>
      </c>
      <c r="J3403" s="47" t="n">
        <f aca="false">IF($A3403="",0,IF(COUNTIF($A$2:A3403,$A3403)=1,1,0))</f>
        <v>0</v>
      </c>
      <c r="K3403" s="47" t="n">
        <f aca="false">IF(J3403=1,N(I3403)+ROW()/10000000,0)</f>
        <v>0</v>
      </c>
      <c r="L3403" s="47" t="str">
        <f aca="false">IF(AND(J3403=1,N(I3403)&gt;0),SUMIF($K$2:$K$5001,"&gt;="&amp;K3403,$I$2:$I$5001)/MAX(1,SUM($H$2:$H$5001)),"")</f>
        <v/>
      </c>
      <c r="M3403" s="47" t="str">
        <f aca="false">IF($A3403="","",INDEX($L$2:$L$5001,MATCH($A3403,$A$2:$A$5001,0)))</f>
        <v/>
      </c>
      <c r="N3403" s="48" t="str">
        <f aca="false">IF($A3403="","",IF(N(M3403)=0,"–",IF(M3403&lt;=Start!$D$20,"A",IF(M3403&lt;=Start!$D$21,"B","C"))))</f>
        <v/>
      </c>
      <c r="O3403" s="48" t="str">
        <f aca="false">IF($A3403="","",IF(NOT(ISNUMBER(F3403)),"Wert fehlt; ",IF(F3403&lt;=0,"Wert ist 0; ",""))&amp;IF(NOT(ISNUMBER(E3403)),"Bestand fehlt; ",IF(E3403&lt;0,"Bestand negativ; ",IF(E3403=0,"Nullbestand; ","")))&amp;IF(D3403="","Warengruppe fehlt; ","")&amp;IF(B3403="","Bezeichnung fehlt; ","")&amp;IF(COUNTIFS($A$2:$A$5001,$A3403,$C$2:$C$5001,C3403)&gt;1,"Artikel doppelt im selben Lager; ",""))</f>
        <v/>
      </c>
      <c r="P3403" s="47" t="n">
        <f aca="false">IF(OR($A3403="",D3403=""),0,IF(COUNTIF($D$2:D3403,D3403)=1,SUMIF($D$2:$D$5001,D3403,$H$2:$H$5001)+ROW()/10000000,0))</f>
        <v>0</v>
      </c>
      <c r="Q3403" s="47" t="n">
        <f aca="false">IF(OR($A3403="",C3403=""),0,IF(COUNTIF($C$2:C3403,C3403)=1,SUMIF($C$2:$C$5001,C3403,$H$2:$H$5001)+ROW()/10000000,0))</f>
        <v>0</v>
      </c>
    </row>
    <row r="3404" customFormat="false" ht="15" hidden="false" customHeight="false" outlineLevel="0" collapsed="false">
      <c r="A3404" s="43"/>
      <c r="B3404" s="44"/>
      <c r="C3404" s="44"/>
      <c r="D3404" s="44"/>
      <c r="E3404" s="44"/>
      <c r="F3404" s="44"/>
      <c r="G3404" s="44"/>
      <c r="H3404" s="46" t="str">
        <f aca="false">IF($A3404="","",IF(OR(NOT(ISNUMBER(E3404)),NOT(ISNUMBER(F3404))),"",MAX(0,E3404)*F3404))</f>
        <v/>
      </c>
      <c r="I3404" s="46" t="str">
        <f aca="false">IF($A3404="","",SUMIF($A$2:$A$5001,$A3404,$H$2:$H$5001))</f>
        <v/>
      </c>
      <c r="J3404" s="47" t="n">
        <f aca="false">IF($A3404="",0,IF(COUNTIF($A$2:A3404,$A3404)=1,1,0))</f>
        <v>0</v>
      </c>
      <c r="K3404" s="47" t="n">
        <f aca="false">IF(J3404=1,N(I3404)+ROW()/10000000,0)</f>
        <v>0</v>
      </c>
      <c r="L3404" s="47" t="str">
        <f aca="false">IF(AND(J3404=1,N(I3404)&gt;0),SUMIF($K$2:$K$5001,"&gt;="&amp;K3404,$I$2:$I$5001)/MAX(1,SUM($H$2:$H$5001)),"")</f>
        <v/>
      </c>
      <c r="M3404" s="47" t="str">
        <f aca="false">IF($A3404="","",INDEX($L$2:$L$5001,MATCH($A3404,$A$2:$A$5001,0)))</f>
        <v/>
      </c>
      <c r="N3404" s="48" t="str">
        <f aca="false">IF($A3404="","",IF(N(M3404)=0,"–",IF(M3404&lt;=Start!$D$20,"A",IF(M3404&lt;=Start!$D$21,"B","C"))))</f>
        <v/>
      </c>
      <c r="O3404" s="48" t="str">
        <f aca="false">IF($A3404="","",IF(NOT(ISNUMBER(F3404)),"Wert fehlt; ",IF(F3404&lt;=0,"Wert ist 0; ",""))&amp;IF(NOT(ISNUMBER(E3404)),"Bestand fehlt; ",IF(E3404&lt;0,"Bestand negativ; ",IF(E3404=0,"Nullbestand; ","")))&amp;IF(D3404="","Warengruppe fehlt; ","")&amp;IF(B3404="","Bezeichnung fehlt; ","")&amp;IF(COUNTIFS($A$2:$A$5001,$A3404,$C$2:$C$5001,C3404)&gt;1,"Artikel doppelt im selben Lager; ",""))</f>
        <v/>
      </c>
      <c r="P3404" s="47" t="n">
        <f aca="false">IF(OR($A3404="",D3404=""),0,IF(COUNTIF($D$2:D3404,D3404)=1,SUMIF($D$2:$D$5001,D3404,$H$2:$H$5001)+ROW()/10000000,0))</f>
        <v>0</v>
      </c>
      <c r="Q3404" s="47" t="n">
        <f aca="false">IF(OR($A3404="",C3404=""),0,IF(COUNTIF($C$2:C3404,C3404)=1,SUMIF($C$2:$C$5001,C3404,$H$2:$H$5001)+ROW()/10000000,0))</f>
        <v>0</v>
      </c>
    </row>
    <row r="3405" customFormat="false" ht="15" hidden="false" customHeight="false" outlineLevel="0" collapsed="false">
      <c r="A3405" s="43"/>
      <c r="B3405" s="44"/>
      <c r="C3405" s="44"/>
      <c r="D3405" s="44"/>
      <c r="E3405" s="44"/>
      <c r="F3405" s="44"/>
      <c r="G3405" s="44"/>
      <c r="H3405" s="46" t="str">
        <f aca="false">IF($A3405="","",IF(OR(NOT(ISNUMBER(E3405)),NOT(ISNUMBER(F3405))),"",MAX(0,E3405)*F3405))</f>
        <v/>
      </c>
      <c r="I3405" s="46" t="str">
        <f aca="false">IF($A3405="","",SUMIF($A$2:$A$5001,$A3405,$H$2:$H$5001))</f>
        <v/>
      </c>
      <c r="J3405" s="47" t="n">
        <f aca="false">IF($A3405="",0,IF(COUNTIF($A$2:A3405,$A3405)=1,1,0))</f>
        <v>0</v>
      </c>
      <c r="K3405" s="47" t="n">
        <f aca="false">IF(J3405=1,N(I3405)+ROW()/10000000,0)</f>
        <v>0</v>
      </c>
      <c r="L3405" s="47" t="str">
        <f aca="false">IF(AND(J3405=1,N(I3405)&gt;0),SUMIF($K$2:$K$5001,"&gt;="&amp;K3405,$I$2:$I$5001)/MAX(1,SUM($H$2:$H$5001)),"")</f>
        <v/>
      </c>
      <c r="M3405" s="47" t="str">
        <f aca="false">IF($A3405="","",INDEX($L$2:$L$5001,MATCH($A3405,$A$2:$A$5001,0)))</f>
        <v/>
      </c>
      <c r="N3405" s="48" t="str">
        <f aca="false">IF($A3405="","",IF(N(M3405)=0,"–",IF(M3405&lt;=Start!$D$20,"A",IF(M3405&lt;=Start!$D$21,"B","C"))))</f>
        <v/>
      </c>
      <c r="O3405" s="48" t="str">
        <f aca="false">IF($A3405="","",IF(NOT(ISNUMBER(F3405)),"Wert fehlt; ",IF(F3405&lt;=0,"Wert ist 0; ",""))&amp;IF(NOT(ISNUMBER(E3405)),"Bestand fehlt; ",IF(E3405&lt;0,"Bestand negativ; ",IF(E3405=0,"Nullbestand; ","")))&amp;IF(D3405="","Warengruppe fehlt; ","")&amp;IF(B3405="","Bezeichnung fehlt; ","")&amp;IF(COUNTIFS($A$2:$A$5001,$A3405,$C$2:$C$5001,C3405)&gt;1,"Artikel doppelt im selben Lager; ",""))</f>
        <v/>
      </c>
      <c r="P3405" s="47" t="n">
        <f aca="false">IF(OR($A3405="",D3405=""),0,IF(COUNTIF($D$2:D3405,D3405)=1,SUMIF($D$2:$D$5001,D3405,$H$2:$H$5001)+ROW()/10000000,0))</f>
        <v>0</v>
      </c>
      <c r="Q3405" s="47" t="n">
        <f aca="false">IF(OR($A3405="",C3405=""),0,IF(COUNTIF($C$2:C3405,C3405)=1,SUMIF($C$2:$C$5001,C3405,$H$2:$H$5001)+ROW()/10000000,0))</f>
        <v>0</v>
      </c>
    </row>
    <row r="3406" customFormat="false" ht="15" hidden="false" customHeight="false" outlineLevel="0" collapsed="false">
      <c r="A3406" s="43"/>
      <c r="B3406" s="44"/>
      <c r="C3406" s="44"/>
      <c r="D3406" s="44"/>
      <c r="E3406" s="44"/>
      <c r="F3406" s="44"/>
      <c r="G3406" s="44"/>
      <c r="H3406" s="46" t="str">
        <f aca="false">IF($A3406="","",IF(OR(NOT(ISNUMBER(E3406)),NOT(ISNUMBER(F3406))),"",MAX(0,E3406)*F3406))</f>
        <v/>
      </c>
      <c r="I3406" s="46" t="str">
        <f aca="false">IF($A3406="","",SUMIF($A$2:$A$5001,$A3406,$H$2:$H$5001))</f>
        <v/>
      </c>
      <c r="J3406" s="47" t="n">
        <f aca="false">IF($A3406="",0,IF(COUNTIF($A$2:A3406,$A3406)=1,1,0))</f>
        <v>0</v>
      </c>
      <c r="K3406" s="47" t="n">
        <f aca="false">IF(J3406=1,N(I3406)+ROW()/10000000,0)</f>
        <v>0</v>
      </c>
      <c r="L3406" s="47" t="str">
        <f aca="false">IF(AND(J3406=1,N(I3406)&gt;0),SUMIF($K$2:$K$5001,"&gt;="&amp;K3406,$I$2:$I$5001)/MAX(1,SUM($H$2:$H$5001)),"")</f>
        <v/>
      </c>
      <c r="M3406" s="47" t="str">
        <f aca="false">IF($A3406="","",INDEX($L$2:$L$5001,MATCH($A3406,$A$2:$A$5001,0)))</f>
        <v/>
      </c>
      <c r="N3406" s="48" t="str">
        <f aca="false">IF($A3406="","",IF(N(M3406)=0,"–",IF(M3406&lt;=Start!$D$20,"A",IF(M3406&lt;=Start!$D$21,"B","C"))))</f>
        <v/>
      </c>
      <c r="O3406" s="48" t="str">
        <f aca="false">IF($A3406="","",IF(NOT(ISNUMBER(F3406)),"Wert fehlt; ",IF(F3406&lt;=0,"Wert ist 0; ",""))&amp;IF(NOT(ISNUMBER(E3406)),"Bestand fehlt; ",IF(E3406&lt;0,"Bestand negativ; ",IF(E3406=0,"Nullbestand; ","")))&amp;IF(D3406="","Warengruppe fehlt; ","")&amp;IF(B3406="","Bezeichnung fehlt; ","")&amp;IF(COUNTIFS($A$2:$A$5001,$A3406,$C$2:$C$5001,C3406)&gt;1,"Artikel doppelt im selben Lager; ",""))</f>
        <v/>
      </c>
      <c r="P3406" s="47" t="n">
        <f aca="false">IF(OR($A3406="",D3406=""),0,IF(COUNTIF($D$2:D3406,D3406)=1,SUMIF($D$2:$D$5001,D3406,$H$2:$H$5001)+ROW()/10000000,0))</f>
        <v>0</v>
      </c>
      <c r="Q3406" s="47" t="n">
        <f aca="false">IF(OR($A3406="",C3406=""),0,IF(COUNTIF($C$2:C3406,C3406)=1,SUMIF($C$2:$C$5001,C3406,$H$2:$H$5001)+ROW()/10000000,0))</f>
        <v>0</v>
      </c>
    </row>
    <row r="3407" customFormat="false" ht="15" hidden="false" customHeight="false" outlineLevel="0" collapsed="false">
      <c r="A3407" s="43"/>
      <c r="B3407" s="44"/>
      <c r="C3407" s="44"/>
      <c r="D3407" s="44"/>
      <c r="E3407" s="44"/>
      <c r="F3407" s="44"/>
      <c r="G3407" s="44"/>
      <c r="H3407" s="46" t="str">
        <f aca="false">IF($A3407="","",IF(OR(NOT(ISNUMBER(E3407)),NOT(ISNUMBER(F3407))),"",MAX(0,E3407)*F3407))</f>
        <v/>
      </c>
      <c r="I3407" s="46" t="str">
        <f aca="false">IF($A3407="","",SUMIF($A$2:$A$5001,$A3407,$H$2:$H$5001))</f>
        <v/>
      </c>
      <c r="J3407" s="47" t="n">
        <f aca="false">IF($A3407="",0,IF(COUNTIF($A$2:A3407,$A3407)=1,1,0))</f>
        <v>0</v>
      </c>
      <c r="K3407" s="47" t="n">
        <f aca="false">IF(J3407=1,N(I3407)+ROW()/10000000,0)</f>
        <v>0</v>
      </c>
      <c r="L3407" s="47" t="str">
        <f aca="false">IF(AND(J3407=1,N(I3407)&gt;0),SUMIF($K$2:$K$5001,"&gt;="&amp;K3407,$I$2:$I$5001)/MAX(1,SUM($H$2:$H$5001)),"")</f>
        <v/>
      </c>
      <c r="M3407" s="47" t="str">
        <f aca="false">IF($A3407="","",INDEX($L$2:$L$5001,MATCH($A3407,$A$2:$A$5001,0)))</f>
        <v/>
      </c>
      <c r="N3407" s="48" t="str">
        <f aca="false">IF($A3407="","",IF(N(M3407)=0,"–",IF(M3407&lt;=Start!$D$20,"A",IF(M3407&lt;=Start!$D$21,"B","C"))))</f>
        <v/>
      </c>
      <c r="O3407" s="48" t="str">
        <f aca="false">IF($A3407="","",IF(NOT(ISNUMBER(F3407)),"Wert fehlt; ",IF(F3407&lt;=0,"Wert ist 0; ",""))&amp;IF(NOT(ISNUMBER(E3407)),"Bestand fehlt; ",IF(E3407&lt;0,"Bestand negativ; ",IF(E3407=0,"Nullbestand; ","")))&amp;IF(D3407="","Warengruppe fehlt; ","")&amp;IF(B3407="","Bezeichnung fehlt; ","")&amp;IF(COUNTIFS($A$2:$A$5001,$A3407,$C$2:$C$5001,C3407)&gt;1,"Artikel doppelt im selben Lager; ",""))</f>
        <v/>
      </c>
      <c r="P3407" s="47" t="n">
        <f aca="false">IF(OR($A3407="",D3407=""),0,IF(COUNTIF($D$2:D3407,D3407)=1,SUMIF($D$2:$D$5001,D3407,$H$2:$H$5001)+ROW()/10000000,0))</f>
        <v>0</v>
      </c>
      <c r="Q3407" s="47" t="n">
        <f aca="false">IF(OR($A3407="",C3407=""),0,IF(COUNTIF($C$2:C3407,C3407)=1,SUMIF($C$2:$C$5001,C3407,$H$2:$H$5001)+ROW()/10000000,0))</f>
        <v>0</v>
      </c>
    </row>
    <row r="3408" customFormat="false" ht="15" hidden="false" customHeight="false" outlineLevel="0" collapsed="false">
      <c r="A3408" s="43"/>
      <c r="B3408" s="44"/>
      <c r="C3408" s="44"/>
      <c r="D3408" s="44"/>
      <c r="E3408" s="44"/>
      <c r="F3408" s="44"/>
      <c r="G3408" s="44"/>
      <c r="H3408" s="46" t="str">
        <f aca="false">IF($A3408="","",IF(OR(NOT(ISNUMBER(E3408)),NOT(ISNUMBER(F3408))),"",MAX(0,E3408)*F3408))</f>
        <v/>
      </c>
      <c r="I3408" s="46" t="str">
        <f aca="false">IF($A3408="","",SUMIF($A$2:$A$5001,$A3408,$H$2:$H$5001))</f>
        <v/>
      </c>
      <c r="J3408" s="47" t="n">
        <f aca="false">IF($A3408="",0,IF(COUNTIF($A$2:A3408,$A3408)=1,1,0))</f>
        <v>0</v>
      </c>
      <c r="K3408" s="47" t="n">
        <f aca="false">IF(J3408=1,N(I3408)+ROW()/10000000,0)</f>
        <v>0</v>
      </c>
      <c r="L3408" s="47" t="str">
        <f aca="false">IF(AND(J3408=1,N(I3408)&gt;0),SUMIF($K$2:$K$5001,"&gt;="&amp;K3408,$I$2:$I$5001)/MAX(1,SUM($H$2:$H$5001)),"")</f>
        <v/>
      </c>
      <c r="M3408" s="47" t="str">
        <f aca="false">IF($A3408="","",INDEX($L$2:$L$5001,MATCH($A3408,$A$2:$A$5001,0)))</f>
        <v/>
      </c>
      <c r="N3408" s="48" t="str">
        <f aca="false">IF($A3408="","",IF(N(M3408)=0,"–",IF(M3408&lt;=Start!$D$20,"A",IF(M3408&lt;=Start!$D$21,"B","C"))))</f>
        <v/>
      </c>
      <c r="O3408" s="48" t="str">
        <f aca="false">IF($A3408="","",IF(NOT(ISNUMBER(F3408)),"Wert fehlt; ",IF(F3408&lt;=0,"Wert ist 0; ",""))&amp;IF(NOT(ISNUMBER(E3408)),"Bestand fehlt; ",IF(E3408&lt;0,"Bestand negativ; ",IF(E3408=0,"Nullbestand; ","")))&amp;IF(D3408="","Warengruppe fehlt; ","")&amp;IF(B3408="","Bezeichnung fehlt; ","")&amp;IF(COUNTIFS($A$2:$A$5001,$A3408,$C$2:$C$5001,C3408)&gt;1,"Artikel doppelt im selben Lager; ",""))</f>
        <v/>
      </c>
      <c r="P3408" s="47" t="n">
        <f aca="false">IF(OR($A3408="",D3408=""),0,IF(COUNTIF($D$2:D3408,D3408)=1,SUMIF($D$2:$D$5001,D3408,$H$2:$H$5001)+ROW()/10000000,0))</f>
        <v>0</v>
      </c>
      <c r="Q3408" s="47" t="n">
        <f aca="false">IF(OR($A3408="",C3408=""),0,IF(COUNTIF($C$2:C3408,C3408)=1,SUMIF($C$2:$C$5001,C3408,$H$2:$H$5001)+ROW()/10000000,0))</f>
        <v>0</v>
      </c>
    </row>
    <row r="3409" customFormat="false" ht="15" hidden="false" customHeight="false" outlineLevel="0" collapsed="false">
      <c r="A3409" s="43"/>
      <c r="B3409" s="44"/>
      <c r="C3409" s="44"/>
      <c r="D3409" s="44"/>
      <c r="E3409" s="44"/>
      <c r="F3409" s="44"/>
      <c r="G3409" s="44"/>
      <c r="H3409" s="46" t="str">
        <f aca="false">IF($A3409="","",IF(OR(NOT(ISNUMBER(E3409)),NOT(ISNUMBER(F3409))),"",MAX(0,E3409)*F3409))</f>
        <v/>
      </c>
      <c r="I3409" s="46" t="str">
        <f aca="false">IF($A3409="","",SUMIF($A$2:$A$5001,$A3409,$H$2:$H$5001))</f>
        <v/>
      </c>
      <c r="J3409" s="47" t="n">
        <f aca="false">IF($A3409="",0,IF(COUNTIF($A$2:A3409,$A3409)=1,1,0))</f>
        <v>0</v>
      </c>
      <c r="K3409" s="47" t="n">
        <f aca="false">IF(J3409=1,N(I3409)+ROW()/10000000,0)</f>
        <v>0</v>
      </c>
      <c r="L3409" s="47" t="str">
        <f aca="false">IF(AND(J3409=1,N(I3409)&gt;0),SUMIF($K$2:$K$5001,"&gt;="&amp;K3409,$I$2:$I$5001)/MAX(1,SUM($H$2:$H$5001)),"")</f>
        <v/>
      </c>
      <c r="M3409" s="47" t="str">
        <f aca="false">IF($A3409="","",INDEX($L$2:$L$5001,MATCH($A3409,$A$2:$A$5001,0)))</f>
        <v/>
      </c>
      <c r="N3409" s="48" t="str">
        <f aca="false">IF($A3409="","",IF(N(M3409)=0,"–",IF(M3409&lt;=Start!$D$20,"A",IF(M3409&lt;=Start!$D$21,"B","C"))))</f>
        <v/>
      </c>
      <c r="O3409" s="48" t="str">
        <f aca="false">IF($A3409="","",IF(NOT(ISNUMBER(F3409)),"Wert fehlt; ",IF(F3409&lt;=0,"Wert ist 0; ",""))&amp;IF(NOT(ISNUMBER(E3409)),"Bestand fehlt; ",IF(E3409&lt;0,"Bestand negativ; ",IF(E3409=0,"Nullbestand; ","")))&amp;IF(D3409="","Warengruppe fehlt; ","")&amp;IF(B3409="","Bezeichnung fehlt; ","")&amp;IF(COUNTIFS($A$2:$A$5001,$A3409,$C$2:$C$5001,C3409)&gt;1,"Artikel doppelt im selben Lager; ",""))</f>
        <v/>
      </c>
      <c r="P3409" s="47" t="n">
        <f aca="false">IF(OR($A3409="",D3409=""),0,IF(COUNTIF($D$2:D3409,D3409)=1,SUMIF($D$2:$D$5001,D3409,$H$2:$H$5001)+ROW()/10000000,0))</f>
        <v>0</v>
      </c>
      <c r="Q3409" s="47" t="n">
        <f aca="false">IF(OR($A3409="",C3409=""),0,IF(COUNTIF($C$2:C3409,C3409)=1,SUMIF($C$2:$C$5001,C3409,$H$2:$H$5001)+ROW()/10000000,0))</f>
        <v>0</v>
      </c>
    </row>
    <row r="3410" customFormat="false" ht="15" hidden="false" customHeight="false" outlineLevel="0" collapsed="false">
      <c r="A3410" s="43"/>
      <c r="B3410" s="44"/>
      <c r="C3410" s="44"/>
      <c r="D3410" s="44"/>
      <c r="E3410" s="44"/>
      <c r="F3410" s="44"/>
      <c r="G3410" s="44"/>
      <c r="H3410" s="46" t="str">
        <f aca="false">IF($A3410="","",IF(OR(NOT(ISNUMBER(E3410)),NOT(ISNUMBER(F3410))),"",MAX(0,E3410)*F3410))</f>
        <v/>
      </c>
      <c r="I3410" s="46" t="str">
        <f aca="false">IF($A3410="","",SUMIF($A$2:$A$5001,$A3410,$H$2:$H$5001))</f>
        <v/>
      </c>
      <c r="J3410" s="47" t="n">
        <f aca="false">IF($A3410="",0,IF(COUNTIF($A$2:A3410,$A3410)=1,1,0))</f>
        <v>0</v>
      </c>
      <c r="K3410" s="47" t="n">
        <f aca="false">IF(J3410=1,N(I3410)+ROW()/10000000,0)</f>
        <v>0</v>
      </c>
      <c r="L3410" s="47" t="str">
        <f aca="false">IF(AND(J3410=1,N(I3410)&gt;0),SUMIF($K$2:$K$5001,"&gt;="&amp;K3410,$I$2:$I$5001)/MAX(1,SUM($H$2:$H$5001)),"")</f>
        <v/>
      </c>
      <c r="M3410" s="47" t="str">
        <f aca="false">IF($A3410="","",INDEX($L$2:$L$5001,MATCH($A3410,$A$2:$A$5001,0)))</f>
        <v/>
      </c>
      <c r="N3410" s="48" t="str">
        <f aca="false">IF($A3410="","",IF(N(M3410)=0,"–",IF(M3410&lt;=Start!$D$20,"A",IF(M3410&lt;=Start!$D$21,"B","C"))))</f>
        <v/>
      </c>
      <c r="O3410" s="48" t="str">
        <f aca="false">IF($A3410="","",IF(NOT(ISNUMBER(F3410)),"Wert fehlt; ",IF(F3410&lt;=0,"Wert ist 0; ",""))&amp;IF(NOT(ISNUMBER(E3410)),"Bestand fehlt; ",IF(E3410&lt;0,"Bestand negativ; ",IF(E3410=0,"Nullbestand; ","")))&amp;IF(D3410="","Warengruppe fehlt; ","")&amp;IF(B3410="","Bezeichnung fehlt; ","")&amp;IF(COUNTIFS($A$2:$A$5001,$A3410,$C$2:$C$5001,C3410)&gt;1,"Artikel doppelt im selben Lager; ",""))</f>
        <v/>
      </c>
      <c r="P3410" s="47" t="n">
        <f aca="false">IF(OR($A3410="",D3410=""),0,IF(COUNTIF($D$2:D3410,D3410)=1,SUMIF($D$2:$D$5001,D3410,$H$2:$H$5001)+ROW()/10000000,0))</f>
        <v>0</v>
      </c>
      <c r="Q3410" s="47" t="n">
        <f aca="false">IF(OR($A3410="",C3410=""),0,IF(COUNTIF($C$2:C3410,C3410)=1,SUMIF($C$2:$C$5001,C3410,$H$2:$H$5001)+ROW()/10000000,0))</f>
        <v>0</v>
      </c>
    </row>
    <row r="3411" customFormat="false" ht="15" hidden="false" customHeight="false" outlineLevel="0" collapsed="false">
      <c r="A3411" s="43"/>
      <c r="B3411" s="44"/>
      <c r="C3411" s="44"/>
      <c r="D3411" s="44"/>
      <c r="E3411" s="44"/>
      <c r="F3411" s="44"/>
      <c r="G3411" s="44"/>
      <c r="H3411" s="46" t="str">
        <f aca="false">IF($A3411="","",IF(OR(NOT(ISNUMBER(E3411)),NOT(ISNUMBER(F3411))),"",MAX(0,E3411)*F3411))</f>
        <v/>
      </c>
      <c r="I3411" s="46" t="str">
        <f aca="false">IF($A3411="","",SUMIF($A$2:$A$5001,$A3411,$H$2:$H$5001))</f>
        <v/>
      </c>
      <c r="J3411" s="47" t="n">
        <f aca="false">IF($A3411="",0,IF(COUNTIF($A$2:A3411,$A3411)=1,1,0))</f>
        <v>0</v>
      </c>
      <c r="K3411" s="47" t="n">
        <f aca="false">IF(J3411=1,N(I3411)+ROW()/10000000,0)</f>
        <v>0</v>
      </c>
      <c r="L3411" s="47" t="str">
        <f aca="false">IF(AND(J3411=1,N(I3411)&gt;0),SUMIF($K$2:$K$5001,"&gt;="&amp;K3411,$I$2:$I$5001)/MAX(1,SUM($H$2:$H$5001)),"")</f>
        <v/>
      </c>
      <c r="M3411" s="47" t="str">
        <f aca="false">IF($A3411="","",INDEX($L$2:$L$5001,MATCH($A3411,$A$2:$A$5001,0)))</f>
        <v/>
      </c>
      <c r="N3411" s="48" t="str">
        <f aca="false">IF($A3411="","",IF(N(M3411)=0,"–",IF(M3411&lt;=Start!$D$20,"A",IF(M3411&lt;=Start!$D$21,"B","C"))))</f>
        <v/>
      </c>
      <c r="O3411" s="48" t="str">
        <f aca="false">IF($A3411="","",IF(NOT(ISNUMBER(F3411)),"Wert fehlt; ",IF(F3411&lt;=0,"Wert ist 0; ",""))&amp;IF(NOT(ISNUMBER(E3411)),"Bestand fehlt; ",IF(E3411&lt;0,"Bestand negativ; ",IF(E3411=0,"Nullbestand; ","")))&amp;IF(D3411="","Warengruppe fehlt; ","")&amp;IF(B3411="","Bezeichnung fehlt; ","")&amp;IF(COUNTIFS($A$2:$A$5001,$A3411,$C$2:$C$5001,C3411)&gt;1,"Artikel doppelt im selben Lager; ",""))</f>
        <v/>
      </c>
      <c r="P3411" s="47" t="n">
        <f aca="false">IF(OR($A3411="",D3411=""),0,IF(COUNTIF($D$2:D3411,D3411)=1,SUMIF($D$2:$D$5001,D3411,$H$2:$H$5001)+ROW()/10000000,0))</f>
        <v>0</v>
      </c>
      <c r="Q3411" s="47" t="n">
        <f aca="false">IF(OR($A3411="",C3411=""),0,IF(COUNTIF($C$2:C3411,C3411)=1,SUMIF($C$2:$C$5001,C3411,$H$2:$H$5001)+ROW()/10000000,0))</f>
        <v>0</v>
      </c>
    </row>
    <row r="3412" customFormat="false" ht="15" hidden="false" customHeight="false" outlineLevel="0" collapsed="false">
      <c r="A3412" s="43"/>
      <c r="B3412" s="44"/>
      <c r="C3412" s="44"/>
      <c r="D3412" s="44"/>
      <c r="E3412" s="44"/>
      <c r="F3412" s="44"/>
      <c r="G3412" s="44"/>
      <c r="H3412" s="46" t="str">
        <f aca="false">IF($A3412="","",IF(OR(NOT(ISNUMBER(E3412)),NOT(ISNUMBER(F3412))),"",MAX(0,E3412)*F3412))</f>
        <v/>
      </c>
      <c r="I3412" s="46" t="str">
        <f aca="false">IF($A3412="","",SUMIF($A$2:$A$5001,$A3412,$H$2:$H$5001))</f>
        <v/>
      </c>
      <c r="J3412" s="47" t="n">
        <f aca="false">IF($A3412="",0,IF(COUNTIF($A$2:A3412,$A3412)=1,1,0))</f>
        <v>0</v>
      </c>
      <c r="K3412" s="47" t="n">
        <f aca="false">IF(J3412=1,N(I3412)+ROW()/10000000,0)</f>
        <v>0</v>
      </c>
      <c r="L3412" s="47" t="str">
        <f aca="false">IF(AND(J3412=1,N(I3412)&gt;0),SUMIF($K$2:$K$5001,"&gt;="&amp;K3412,$I$2:$I$5001)/MAX(1,SUM($H$2:$H$5001)),"")</f>
        <v/>
      </c>
      <c r="M3412" s="47" t="str">
        <f aca="false">IF($A3412="","",INDEX($L$2:$L$5001,MATCH($A3412,$A$2:$A$5001,0)))</f>
        <v/>
      </c>
      <c r="N3412" s="48" t="str">
        <f aca="false">IF($A3412="","",IF(N(M3412)=0,"–",IF(M3412&lt;=Start!$D$20,"A",IF(M3412&lt;=Start!$D$21,"B","C"))))</f>
        <v/>
      </c>
      <c r="O3412" s="48" t="str">
        <f aca="false">IF($A3412="","",IF(NOT(ISNUMBER(F3412)),"Wert fehlt; ",IF(F3412&lt;=0,"Wert ist 0; ",""))&amp;IF(NOT(ISNUMBER(E3412)),"Bestand fehlt; ",IF(E3412&lt;0,"Bestand negativ; ",IF(E3412=0,"Nullbestand; ","")))&amp;IF(D3412="","Warengruppe fehlt; ","")&amp;IF(B3412="","Bezeichnung fehlt; ","")&amp;IF(COUNTIFS($A$2:$A$5001,$A3412,$C$2:$C$5001,C3412)&gt;1,"Artikel doppelt im selben Lager; ",""))</f>
        <v/>
      </c>
      <c r="P3412" s="47" t="n">
        <f aca="false">IF(OR($A3412="",D3412=""),0,IF(COUNTIF($D$2:D3412,D3412)=1,SUMIF($D$2:$D$5001,D3412,$H$2:$H$5001)+ROW()/10000000,0))</f>
        <v>0</v>
      </c>
      <c r="Q3412" s="47" t="n">
        <f aca="false">IF(OR($A3412="",C3412=""),0,IF(COUNTIF($C$2:C3412,C3412)=1,SUMIF($C$2:$C$5001,C3412,$H$2:$H$5001)+ROW()/10000000,0))</f>
        <v>0</v>
      </c>
    </row>
    <row r="3413" customFormat="false" ht="15" hidden="false" customHeight="false" outlineLevel="0" collapsed="false">
      <c r="A3413" s="43"/>
      <c r="B3413" s="44"/>
      <c r="C3413" s="44"/>
      <c r="D3413" s="44"/>
      <c r="E3413" s="44"/>
      <c r="F3413" s="44"/>
      <c r="G3413" s="44"/>
      <c r="H3413" s="46" t="str">
        <f aca="false">IF($A3413="","",IF(OR(NOT(ISNUMBER(E3413)),NOT(ISNUMBER(F3413))),"",MAX(0,E3413)*F3413))</f>
        <v/>
      </c>
      <c r="I3413" s="46" t="str">
        <f aca="false">IF($A3413="","",SUMIF($A$2:$A$5001,$A3413,$H$2:$H$5001))</f>
        <v/>
      </c>
      <c r="J3413" s="47" t="n">
        <f aca="false">IF($A3413="",0,IF(COUNTIF($A$2:A3413,$A3413)=1,1,0))</f>
        <v>0</v>
      </c>
      <c r="K3413" s="47" t="n">
        <f aca="false">IF(J3413=1,N(I3413)+ROW()/10000000,0)</f>
        <v>0</v>
      </c>
      <c r="L3413" s="47" t="str">
        <f aca="false">IF(AND(J3413=1,N(I3413)&gt;0),SUMIF($K$2:$K$5001,"&gt;="&amp;K3413,$I$2:$I$5001)/MAX(1,SUM($H$2:$H$5001)),"")</f>
        <v/>
      </c>
      <c r="M3413" s="47" t="str">
        <f aca="false">IF($A3413="","",INDEX($L$2:$L$5001,MATCH($A3413,$A$2:$A$5001,0)))</f>
        <v/>
      </c>
      <c r="N3413" s="48" t="str">
        <f aca="false">IF($A3413="","",IF(N(M3413)=0,"–",IF(M3413&lt;=Start!$D$20,"A",IF(M3413&lt;=Start!$D$21,"B","C"))))</f>
        <v/>
      </c>
      <c r="O3413" s="48" t="str">
        <f aca="false">IF($A3413="","",IF(NOT(ISNUMBER(F3413)),"Wert fehlt; ",IF(F3413&lt;=0,"Wert ist 0; ",""))&amp;IF(NOT(ISNUMBER(E3413)),"Bestand fehlt; ",IF(E3413&lt;0,"Bestand negativ; ",IF(E3413=0,"Nullbestand; ","")))&amp;IF(D3413="","Warengruppe fehlt; ","")&amp;IF(B3413="","Bezeichnung fehlt; ","")&amp;IF(COUNTIFS($A$2:$A$5001,$A3413,$C$2:$C$5001,C3413)&gt;1,"Artikel doppelt im selben Lager; ",""))</f>
        <v/>
      </c>
      <c r="P3413" s="47" t="n">
        <f aca="false">IF(OR($A3413="",D3413=""),0,IF(COUNTIF($D$2:D3413,D3413)=1,SUMIF($D$2:$D$5001,D3413,$H$2:$H$5001)+ROW()/10000000,0))</f>
        <v>0</v>
      </c>
      <c r="Q3413" s="47" t="n">
        <f aca="false">IF(OR($A3413="",C3413=""),0,IF(COUNTIF($C$2:C3413,C3413)=1,SUMIF($C$2:$C$5001,C3413,$H$2:$H$5001)+ROW()/10000000,0))</f>
        <v>0</v>
      </c>
    </row>
    <row r="3414" customFormat="false" ht="15" hidden="false" customHeight="false" outlineLevel="0" collapsed="false">
      <c r="A3414" s="43"/>
      <c r="B3414" s="44"/>
      <c r="C3414" s="44"/>
      <c r="D3414" s="44"/>
      <c r="E3414" s="44"/>
      <c r="F3414" s="44"/>
      <c r="G3414" s="44"/>
      <c r="H3414" s="46" t="str">
        <f aca="false">IF($A3414="","",IF(OR(NOT(ISNUMBER(E3414)),NOT(ISNUMBER(F3414))),"",MAX(0,E3414)*F3414))</f>
        <v/>
      </c>
      <c r="I3414" s="46" t="str">
        <f aca="false">IF($A3414="","",SUMIF($A$2:$A$5001,$A3414,$H$2:$H$5001))</f>
        <v/>
      </c>
      <c r="J3414" s="47" t="n">
        <f aca="false">IF($A3414="",0,IF(COUNTIF($A$2:A3414,$A3414)=1,1,0))</f>
        <v>0</v>
      </c>
      <c r="K3414" s="47" t="n">
        <f aca="false">IF(J3414=1,N(I3414)+ROW()/10000000,0)</f>
        <v>0</v>
      </c>
      <c r="L3414" s="47" t="str">
        <f aca="false">IF(AND(J3414=1,N(I3414)&gt;0),SUMIF($K$2:$K$5001,"&gt;="&amp;K3414,$I$2:$I$5001)/MAX(1,SUM($H$2:$H$5001)),"")</f>
        <v/>
      </c>
      <c r="M3414" s="47" t="str">
        <f aca="false">IF($A3414="","",INDEX($L$2:$L$5001,MATCH($A3414,$A$2:$A$5001,0)))</f>
        <v/>
      </c>
      <c r="N3414" s="48" t="str">
        <f aca="false">IF($A3414="","",IF(N(M3414)=0,"–",IF(M3414&lt;=Start!$D$20,"A",IF(M3414&lt;=Start!$D$21,"B","C"))))</f>
        <v/>
      </c>
      <c r="O3414" s="48" t="str">
        <f aca="false">IF($A3414="","",IF(NOT(ISNUMBER(F3414)),"Wert fehlt; ",IF(F3414&lt;=0,"Wert ist 0; ",""))&amp;IF(NOT(ISNUMBER(E3414)),"Bestand fehlt; ",IF(E3414&lt;0,"Bestand negativ; ",IF(E3414=0,"Nullbestand; ","")))&amp;IF(D3414="","Warengruppe fehlt; ","")&amp;IF(B3414="","Bezeichnung fehlt; ","")&amp;IF(COUNTIFS($A$2:$A$5001,$A3414,$C$2:$C$5001,C3414)&gt;1,"Artikel doppelt im selben Lager; ",""))</f>
        <v/>
      </c>
      <c r="P3414" s="47" t="n">
        <f aca="false">IF(OR($A3414="",D3414=""),0,IF(COUNTIF($D$2:D3414,D3414)=1,SUMIF($D$2:$D$5001,D3414,$H$2:$H$5001)+ROW()/10000000,0))</f>
        <v>0</v>
      </c>
      <c r="Q3414" s="47" t="n">
        <f aca="false">IF(OR($A3414="",C3414=""),0,IF(COUNTIF($C$2:C3414,C3414)=1,SUMIF($C$2:$C$5001,C3414,$H$2:$H$5001)+ROW()/10000000,0))</f>
        <v>0</v>
      </c>
    </row>
    <row r="3415" customFormat="false" ht="15" hidden="false" customHeight="false" outlineLevel="0" collapsed="false">
      <c r="A3415" s="43"/>
      <c r="B3415" s="44"/>
      <c r="C3415" s="44"/>
      <c r="D3415" s="44"/>
      <c r="E3415" s="44"/>
      <c r="F3415" s="44"/>
      <c r="G3415" s="44"/>
      <c r="H3415" s="46" t="str">
        <f aca="false">IF($A3415="","",IF(OR(NOT(ISNUMBER(E3415)),NOT(ISNUMBER(F3415))),"",MAX(0,E3415)*F3415))</f>
        <v/>
      </c>
      <c r="I3415" s="46" t="str">
        <f aca="false">IF($A3415="","",SUMIF($A$2:$A$5001,$A3415,$H$2:$H$5001))</f>
        <v/>
      </c>
      <c r="J3415" s="47" t="n">
        <f aca="false">IF($A3415="",0,IF(COUNTIF($A$2:A3415,$A3415)=1,1,0))</f>
        <v>0</v>
      </c>
      <c r="K3415" s="47" t="n">
        <f aca="false">IF(J3415=1,N(I3415)+ROW()/10000000,0)</f>
        <v>0</v>
      </c>
      <c r="L3415" s="47" t="str">
        <f aca="false">IF(AND(J3415=1,N(I3415)&gt;0),SUMIF($K$2:$K$5001,"&gt;="&amp;K3415,$I$2:$I$5001)/MAX(1,SUM($H$2:$H$5001)),"")</f>
        <v/>
      </c>
      <c r="M3415" s="47" t="str">
        <f aca="false">IF($A3415="","",INDEX($L$2:$L$5001,MATCH($A3415,$A$2:$A$5001,0)))</f>
        <v/>
      </c>
      <c r="N3415" s="48" t="str">
        <f aca="false">IF($A3415="","",IF(N(M3415)=0,"–",IF(M3415&lt;=Start!$D$20,"A",IF(M3415&lt;=Start!$D$21,"B","C"))))</f>
        <v/>
      </c>
      <c r="O3415" s="48" t="str">
        <f aca="false">IF($A3415="","",IF(NOT(ISNUMBER(F3415)),"Wert fehlt; ",IF(F3415&lt;=0,"Wert ist 0; ",""))&amp;IF(NOT(ISNUMBER(E3415)),"Bestand fehlt; ",IF(E3415&lt;0,"Bestand negativ; ",IF(E3415=0,"Nullbestand; ","")))&amp;IF(D3415="","Warengruppe fehlt; ","")&amp;IF(B3415="","Bezeichnung fehlt; ","")&amp;IF(COUNTIFS($A$2:$A$5001,$A3415,$C$2:$C$5001,C3415)&gt;1,"Artikel doppelt im selben Lager; ",""))</f>
        <v/>
      </c>
      <c r="P3415" s="47" t="n">
        <f aca="false">IF(OR($A3415="",D3415=""),0,IF(COUNTIF($D$2:D3415,D3415)=1,SUMIF($D$2:$D$5001,D3415,$H$2:$H$5001)+ROW()/10000000,0))</f>
        <v>0</v>
      </c>
      <c r="Q3415" s="47" t="n">
        <f aca="false">IF(OR($A3415="",C3415=""),0,IF(COUNTIF($C$2:C3415,C3415)=1,SUMIF($C$2:$C$5001,C3415,$H$2:$H$5001)+ROW()/10000000,0))</f>
        <v>0</v>
      </c>
    </row>
    <row r="3416" customFormat="false" ht="15" hidden="false" customHeight="false" outlineLevel="0" collapsed="false">
      <c r="A3416" s="43"/>
      <c r="B3416" s="44"/>
      <c r="C3416" s="44"/>
      <c r="D3416" s="44"/>
      <c r="E3416" s="44"/>
      <c r="F3416" s="44"/>
      <c r="G3416" s="44"/>
      <c r="H3416" s="46" t="str">
        <f aca="false">IF($A3416="","",IF(OR(NOT(ISNUMBER(E3416)),NOT(ISNUMBER(F3416))),"",MAX(0,E3416)*F3416))</f>
        <v/>
      </c>
      <c r="I3416" s="46" t="str">
        <f aca="false">IF($A3416="","",SUMIF($A$2:$A$5001,$A3416,$H$2:$H$5001))</f>
        <v/>
      </c>
      <c r="J3416" s="47" t="n">
        <f aca="false">IF($A3416="",0,IF(COUNTIF($A$2:A3416,$A3416)=1,1,0))</f>
        <v>0</v>
      </c>
      <c r="K3416" s="47" t="n">
        <f aca="false">IF(J3416=1,N(I3416)+ROW()/10000000,0)</f>
        <v>0</v>
      </c>
      <c r="L3416" s="47" t="str">
        <f aca="false">IF(AND(J3416=1,N(I3416)&gt;0),SUMIF($K$2:$K$5001,"&gt;="&amp;K3416,$I$2:$I$5001)/MAX(1,SUM($H$2:$H$5001)),"")</f>
        <v/>
      </c>
      <c r="M3416" s="47" t="str">
        <f aca="false">IF($A3416="","",INDEX($L$2:$L$5001,MATCH($A3416,$A$2:$A$5001,0)))</f>
        <v/>
      </c>
      <c r="N3416" s="48" t="str">
        <f aca="false">IF($A3416="","",IF(N(M3416)=0,"–",IF(M3416&lt;=Start!$D$20,"A",IF(M3416&lt;=Start!$D$21,"B","C"))))</f>
        <v/>
      </c>
      <c r="O3416" s="48" t="str">
        <f aca="false">IF($A3416="","",IF(NOT(ISNUMBER(F3416)),"Wert fehlt; ",IF(F3416&lt;=0,"Wert ist 0; ",""))&amp;IF(NOT(ISNUMBER(E3416)),"Bestand fehlt; ",IF(E3416&lt;0,"Bestand negativ; ",IF(E3416=0,"Nullbestand; ","")))&amp;IF(D3416="","Warengruppe fehlt; ","")&amp;IF(B3416="","Bezeichnung fehlt; ","")&amp;IF(COUNTIFS($A$2:$A$5001,$A3416,$C$2:$C$5001,C3416)&gt;1,"Artikel doppelt im selben Lager; ",""))</f>
        <v/>
      </c>
      <c r="P3416" s="47" t="n">
        <f aca="false">IF(OR($A3416="",D3416=""),0,IF(COUNTIF($D$2:D3416,D3416)=1,SUMIF($D$2:$D$5001,D3416,$H$2:$H$5001)+ROW()/10000000,0))</f>
        <v>0</v>
      </c>
      <c r="Q3416" s="47" t="n">
        <f aca="false">IF(OR($A3416="",C3416=""),0,IF(COUNTIF($C$2:C3416,C3416)=1,SUMIF($C$2:$C$5001,C3416,$H$2:$H$5001)+ROW()/10000000,0))</f>
        <v>0</v>
      </c>
    </row>
    <row r="3417" customFormat="false" ht="15" hidden="false" customHeight="false" outlineLevel="0" collapsed="false">
      <c r="A3417" s="43"/>
      <c r="B3417" s="44"/>
      <c r="C3417" s="44"/>
      <c r="D3417" s="44"/>
      <c r="E3417" s="44"/>
      <c r="F3417" s="44"/>
      <c r="G3417" s="44"/>
      <c r="H3417" s="46" t="str">
        <f aca="false">IF($A3417="","",IF(OR(NOT(ISNUMBER(E3417)),NOT(ISNUMBER(F3417))),"",MAX(0,E3417)*F3417))</f>
        <v/>
      </c>
      <c r="I3417" s="46" t="str">
        <f aca="false">IF($A3417="","",SUMIF($A$2:$A$5001,$A3417,$H$2:$H$5001))</f>
        <v/>
      </c>
      <c r="J3417" s="47" t="n">
        <f aca="false">IF($A3417="",0,IF(COUNTIF($A$2:A3417,$A3417)=1,1,0))</f>
        <v>0</v>
      </c>
      <c r="K3417" s="47" t="n">
        <f aca="false">IF(J3417=1,N(I3417)+ROW()/10000000,0)</f>
        <v>0</v>
      </c>
      <c r="L3417" s="47" t="str">
        <f aca="false">IF(AND(J3417=1,N(I3417)&gt;0),SUMIF($K$2:$K$5001,"&gt;="&amp;K3417,$I$2:$I$5001)/MAX(1,SUM($H$2:$H$5001)),"")</f>
        <v/>
      </c>
      <c r="M3417" s="47" t="str">
        <f aca="false">IF($A3417="","",INDEX($L$2:$L$5001,MATCH($A3417,$A$2:$A$5001,0)))</f>
        <v/>
      </c>
      <c r="N3417" s="48" t="str">
        <f aca="false">IF($A3417="","",IF(N(M3417)=0,"–",IF(M3417&lt;=Start!$D$20,"A",IF(M3417&lt;=Start!$D$21,"B","C"))))</f>
        <v/>
      </c>
      <c r="O3417" s="48" t="str">
        <f aca="false">IF($A3417="","",IF(NOT(ISNUMBER(F3417)),"Wert fehlt; ",IF(F3417&lt;=0,"Wert ist 0; ",""))&amp;IF(NOT(ISNUMBER(E3417)),"Bestand fehlt; ",IF(E3417&lt;0,"Bestand negativ; ",IF(E3417=0,"Nullbestand; ","")))&amp;IF(D3417="","Warengruppe fehlt; ","")&amp;IF(B3417="","Bezeichnung fehlt; ","")&amp;IF(COUNTIFS($A$2:$A$5001,$A3417,$C$2:$C$5001,C3417)&gt;1,"Artikel doppelt im selben Lager; ",""))</f>
        <v/>
      </c>
      <c r="P3417" s="47" t="n">
        <f aca="false">IF(OR($A3417="",D3417=""),0,IF(COUNTIF($D$2:D3417,D3417)=1,SUMIF($D$2:$D$5001,D3417,$H$2:$H$5001)+ROW()/10000000,0))</f>
        <v>0</v>
      </c>
      <c r="Q3417" s="47" t="n">
        <f aca="false">IF(OR($A3417="",C3417=""),0,IF(COUNTIF($C$2:C3417,C3417)=1,SUMIF($C$2:$C$5001,C3417,$H$2:$H$5001)+ROW()/10000000,0))</f>
        <v>0</v>
      </c>
    </row>
    <row r="3418" customFormat="false" ht="15" hidden="false" customHeight="false" outlineLevel="0" collapsed="false">
      <c r="A3418" s="43"/>
      <c r="B3418" s="44"/>
      <c r="C3418" s="44"/>
      <c r="D3418" s="44"/>
      <c r="E3418" s="44"/>
      <c r="F3418" s="44"/>
      <c r="G3418" s="44"/>
      <c r="H3418" s="46" t="str">
        <f aca="false">IF($A3418="","",IF(OR(NOT(ISNUMBER(E3418)),NOT(ISNUMBER(F3418))),"",MAX(0,E3418)*F3418))</f>
        <v/>
      </c>
      <c r="I3418" s="46" t="str">
        <f aca="false">IF($A3418="","",SUMIF($A$2:$A$5001,$A3418,$H$2:$H$5001))</f>
        <v/>
      </c>
      <c r="J3418" s="47" t="n">
        <f aca="false">IF($A3418="",0,IF(COUNTIF($A$2:A3418,$A3418)=1,1,0))</f>
        <v>0</v>
      </c>
      <c r="K3418" s="47" t="n">
        <f aca="false">IF(J3418=1,N(I3418)+ROW()/10000000,0)</f>
        <v>0</v>
      </c>
      <c r="L3418" s="47" t="str">
        <f aca="false">IF(AND(J3418=1,N(I3418)&gt;0),SUMIF($K$2:$K$5001,"&gt;="&amp;K3418,$I$2:$I$5001)/MAX(1,SUM($H$2:$H$5001)),"")</f>
        <v/>
      </c>
      <c r="M3418" s="47" t="str">
        <f aca="false">IF($A3418="","",INDEX($L$2:$L$5001,MATCH($A3418,$A$2:$A$5001,0)))</f>
        <v/>
      </c>
      <c r="N3418" s="48" t="str">
        <f aca="false">IF($A3418="","",IF(N(M3418)=0,"–",IF(M3418&lt;=Start!$D$20,"A",IF(M3418&lt;=Start!$D$21,"B","C"))))</f>
        <v/>
      </c>
      <c r="O3418" s="48" t="str">
        <f aca="false">IF($A3418="","",IF(NOT(ISNUMBER(F3418)),"Wert fehlt; ",IF(F3418&lt;=0,"Wert ist 0; ",""))&amp;IF(NOT(ISNUMBER(E3418)),"Bestand fehlt; ",IF(E3418&lt;0,"Bestand negativ; ",IF(E3418=0,"Nullbestand; ","")))&amp;IF(D3418="","Warengruppe fehlt; ","")&amp;IF(B3418="","Bezeichnung fehlt; ","")&amp;IF(COUNTIFS($A$2:$A$5001,$A3418,$C$2:$C$5001,C3418)&gt;1,"Artikel doppelt im selben Lager; ",""))</f>
        <v/>
      </c>
      <c r="P3418" s="47" t="n">
        <f aca="false">IF(OR($A3418="",D3418=""),0,IF(COUNTIF($D$2:D3418,D3418)=1,SUMIF($D$2:$D$5001,D3418,$H$2:$H$5001)+ROW()/10000000,0))</f>
        <v>0</v>
      </c>
      <c r="Q3418" s="47" t="n">
        <f aca="false">IF(OR($A3418="",C3418=""),0,IF(COUNTIF($C$2:C3418,C3418)=1,SUMIF($C$2:$C$5001,C3418,$H$2:$H$5001)+ROW()/10000000,0))</f>
        <v>0</v>
      </c>
    </row>
    <row r="3419" customFormat="false" ht="15" hidden="false" customHeight="false" outlineLevel="0" collapsed="false">
      <c r="A3419" s="43"/>
      <c r="B3419" s="44"/>
      <c r="C3419" s="44"/>
      <c r="D3419" s="44"/>
      <c r="E3419" s="44"/>
      <c r="F3419" s="44"/>
      <c r="G3419" s="44"/>
      <c r="H3419" s="46" t="str">
        <f aca="false">IF($A3419="","",IF(OR(NOT(ISNUMBER(E3419)),NOT(ISNUMBER(F3419))),"",MAX(0,E3419)*F3419))</f>
        <v/>
      </c>
      <c r="I3419" s="46" t="str">
        <f aca="false">IF($A3419="","",SUMIF($A$2:$A$5001,$A3419,$H$2:$H$5001))</f>
        <v/>
      </c>
      <c r="J3419" s="47" t="n">
        <f aca="false">IF($A3419="",0,IF(COUNTIF($A$2:A3419,$A3419)=1,1,0))</f>
        <v>0</v>
      </c>
      <c r="K3419" s="47" t="n">
        <f aca="false">IF(J3419=1,N(I3419)+ROW()/10000000,0)</f>
        <v>0</v>
      </c>
      <c r="L3419" s="47" t="str">
        <f aca="false">IF(AND(J3419=1,N(I3419)&gt;0),SUMIF($K$2:$K$5001,"&gt;="&amp;K3419,$I$2:$I$5001)/MAX(1,SUM($H$2:$H$5001)),"")</f>
        <v/>
      </c>
      <c r="M3419" s="47" t="str">
        <f aca="false">IF($A3419="","",INDEX($L$2:$L$5001,MATCH($A3419,$A$2:$A$5001,0)))</f>
        <v/>
      </c>
      <c r="N3419" s="48" t="str">
        <f aca="false">IF($A3419="","",IF(N(M3419)=0,"–",IF(M3419&lt;=Start!$D$20,"A",IF(M3419&lt;=Start!$D$21,"B","C"))))</f>
        <v/>
      </c>
      <c r="O3419" s="48" t="str">
        <f aca="false">IF($A3419="","",IF(NOT(ISNUMBER(F3419)),"Wert fehlt; ",IF(F3419&lt;=0,"Wert ist 0; ",""))&amp;IF(NOT(ISNUMBER(E3419)),"Bestand fehlt; ",IF(E3419&lt;0,"Bestand negativ; ",IF(E3419=0,"Nullbestand; ","")))&amp;IF(D3419="","Warengruppe fehlt; ","")&amp;IF(B3419="","Bezeichnung fehlt; ","")&amp;IF(COUNTIFS($A$2:$A$5001,$A3419,$C$2:$C$5001,C3419)&gt;1,"Artikel doppelt im selben Lager; ",""))</f>
        <v/>
      </c>
      <c r="P3419" s="47" t="n">
        <f aca="false">IF(OR($A3419="",D3419=""),0,IF(COUNTIF($D$2:D3419,D3419)=1,SUMIF($D$2:$D$5001,D3419,$H$2:$H$5001)+ROW()/10000000,0))</f>
        <v>0</v>
      </c>
      <c r="Q3419" s="47" t="n">
        <f aca="false">IF(OR($A3419="",C3419=""),0,IF(COUNTIF($C$2:C3419,C3419)=1,SUMIF($C$2:$C$5001,C3419,$H$2:$H$5001)+ROW()/10000000,0))</f>
        <v>0</v>
      </c>
    </row>
    <row r="3420" customFormat="false" ht="15" hidden="false" customHeight="false" outlineLevel="0" collapsed="false">
      <c r="A3420" s="43"/>
      <c r="B3420" s="44"/>
      <c r="C3420" s="44"/>
      <c r="D3420" s="44"/>
      <c r="E3420" s="44"/>
      <c r="F3420" s="44"/>
      <c r="G3420" s="44"/>
      <c r="H3420" s="46" t="str">
        <f aca="false">IF($A3420="","",IF(OR(NOT(ISNUMBER(E3420)),NOT(ISNUMBER(F3420))),"",MAX(0,E3420)*F3420))</f>
        <v/>
      </c>
      <c r="I3420" s="46" t="str">
        <f aca="false">IF($A3420="","",SUMIF($A$2:$A$5001,$A3420,$H$2:$H$5001))</f>
        <v/>
      </c>
      <c r="J3420" s="47" t="n">
        <f aca="false">IF($A3420="",0,IF(COUNTIF($A$2:A3420,$A3420)=1,1,0))</f>
        <v>0</v>
      </c>
      <c r="K3420" s="47" t="n">
        <f aca="false">IF(J3420=1,N(I3420)+ROW()/10000000,0)</f>
        <v>0</v>
      </c>
      <c r="L3420" s="47" t="str">
        <f aca="false">IF(AND(J3420=1,N(I3420)&gt;0),SUMIF($K$2:$K$5001,"&gt;="&amp;K3420,$I$2:$I$5001)/MAX(1,SUM($H$2:$H$5001)),"")</f>
        <v/>
      </c>
      <c r="M3420" s="47" t="str">
        <f aca="false">IF($A3420="","",INDEX($L$2:$L$5001,MATCH($A3420,$A$2:$A$5001,0)))</f>
        <v/>
      </c>
      <c r="N3420" s="48" t="str">
        <f aca="false">IF($A3420="","",IF(N(M3420)=0,"–",IF(M3420&lt;=Start!$D$20,"A",IF(M3420&lt;=Start!$D$21,"B","C"))))</f>
        <v/>
      </c>
      <c r="O3420" s="48" t="str">
        <f aca="false">IF($A3420="","",IF(NOT(ISNUMBER(F3420)),"Wert fehlt; ",IF(F3420&lt;=0,"Wert ist 0; ",""))&amp;IF(NOT(ISNUMBER(E3420)),"Bestand fehlt; ",IF(E3420&lt;0,"Bestand negativ; ",IF(E3420=0,"Nullbestand; ","")))&amp;IF(D3420="","Warengruppe fehlt; ","")&amp;IF(B3420="","Bezeichnung fehlt; ","")&amp;IF(COUNTIFS($A$2:$A$5001,$A3420,$C$2:$C$5001,C3420)&gt;1,"Artikel doppelt im selben Lager; ",""))</f>
        <v/>
      </c>
      <c r="P3420" s="47" t="n">
        <f aca="false">IF(OR($A3420="",D3420=""),0,IF(COUNTIF($D$2:D3420,D3420)=1,SUMIF($D$2:$D$5001,D3420,$H$2:$H$5001)+ROW()/10000000,0))</f>
        <v>0</v>
      </c>
      <c r="Q3420" s="47" t="n">
        <f aca="false">IF(OR($A3420="",C3420=""),0,IF(COUNTIF($C$2:C3420,C3420)=1,SUMIF($C$2:$C$5001,C3420,$H$2:$H$5001)+ROW()/10000000,0))</f>
        <v>0</v>
      </c>
    </row>
    <row r="3421" customFormat="false" ht="15" hidden="false" customHeight="false" outlineLevel="0" collapsed="false">
      <c r="A3421" s="43"/>
      <c r="B3421" s="44"/>
      <c r="C3421" s="44"/>
      <c r="D3421" s="44"/>
      <c r="E3421" s="44"/>
      <c r="F3421" s="44"/>
      <c r="G3421" s="44"/>
      <c r="H3421" s="46" t="str">
        <f aca="false">IF($A3421="","",IF(OR(NOT(ISNUMBER(E3421)),NOT(ISNUMBER(F3421))),"",MAX(0,E3421)*F3421))</f>
        <v/>
      </c>
      <c r="I3421" s="46" t="str">
        <f aca="false">IF($A3421="","",SUMIF($A$2:$A$5001,$A3421,$H$2:$H$5001))</f>
        <v/>
      </c>
      <c r="J3421" s="47" t="n">
        <f aca="false">IF($A3421="",0,IF(COUNTIF($A$2:A3421,$A3421)=1,1,0))</f>
        <v>0</v>
      </c>
      <c r="K3421" s="47" t="n">
        <f aca="false">IF(J3421=1,N(I3421)+ROW()/10000000,0)</f>
        <v>0</v>
      </c>
      <c r="L3421" s="47" t="str">
        <f aca="false">IF(AND(J3421=1,N(I3421)&gt;0),SUMIF($K$2:$K$5001,"&gt;="&amp;K3421,$I$2:$I$5001)/MAX(1,SUM($H$2:$H$5001)),"")</f>
        <v/>
      </c>
      <c r="M3421" s="47" t="str">
        <f aca="false">IF($A3421="","",INDEX($L$2:$L$5001,MATCH($A3421,$A$2:$A$5001,0)))</f>
        <v/>
      </c>
      <c r="N3421" s="48" t="str">
        <f aca="false">IF($A3421="","",IF(N(M3421)=0,"–",IF(M3421&lt;=Start!$D$20,"A",IF(M3421&lt;=Start!$D$21,"B","C"))))</f>
        <v/>
      </c>
      <c r="O3421" s="48" t="str">
        <f aca="false">IF($A3421="","",IF(NOT(ISNUMBER(F3421)),"Wert fehlt; ",IF(F3421&lt;=0,"Wert ist 0; ",""))&amp;IF(NOT(ISNUMBER(E3421)),"Bestand fehlt; ",IF(E3421&lt;0,"Bestand negativ; ",IF(E3421=0,"Nullbestand; ","")))&amp;IF(D3421="","Warengruppe fehlt; ","")&amp;IF(B3421="","Bezeichnung fehlt; ","")&amp;IF(COUNTIFS($A$2:$A$5001,$A3421,$C$2:$C$5001,C3421)&gt;1,"Artikel doppelt im selben Lager; ",""))</f>
        <v/>
      </c>
      <c r="P3421" s="47" t="n">
        <f aca="false">IF(OR($A3421="",D3421=""),0,IF(COUNTIF($D$2:D3421,D3421)=1,SUMIF($D$2:$D$5001,D3421,$H$2:$H$5001)+ROW()/10000000,0))</f>
        <v>0</v>
      </c>
      <c r="Q3421" s="47" t="n">
        <f aca="false">IF(OR($A3421="",C3421=""),0,IF(COUNTIF($C$2:C3421,C3421)=1,SUMIF($C$2:$C$5001,C3421,$H$2:$H$5001)+ROW()/10000000,0))</f>
        <v>0</v>
      </c>
    </row>
    <row r="3422" customFormat="false" ht="15" hidden="false" customHeight="false" outlineLevel="0" collapsed="false">
      <c r="A3422" s="43"/>
      <c r="B3422" s="44"/>
      <c r="C3422" s="44"/>
      <c r="D3422" s="44"/>
      <c r="E3422" s="44"/>
      <c r="F3422" s="44"/>
      <c r="G3422" s="44"/>
      <c r="H3422" s="46" t="str">
        <f aca="false">IF($A3422="","",IF(OR(NOT(ISNUMBER(E3422)),NOT(ISNUMBER(F3422))),"",MAX(0,E3422)*F3422))</f>
        <v/>
      </c>
      <c r="I3422" s="46" t="str">
        <f aca="false">IF($A3422="","",SUMIF($A$2:$A$5001,$A3422,$H$2:$H$5001))</f>
        <v/>
      </c>
      <c r="J3422" s="47" t="n">
        <f aca="false">IF($A3422="",0,IF(COUNTIF($A$2:A3422,$A3422)=1,1,0))</f>
        <v>0</v>
      </c>
      <c r="K3422" s="47" t="n">
        <f aca="false">IF(J3422=1,N(I3422)+ROW()/10000000,0)</f>
        <v>0</v>
      </c>
      <c r="L3422" s="47" t="str">
        <f aca="false">IF(AND(J3422=1,N(I3422)&gt;0),SUMIF($K$2:$K$5001,"&gt;="&amp;K3422,$I$2:$I$5001)/MAX(1,SUM($H$2:$H$5001)),"")</f>
        <v/>
      </c>
      <c r="M3422" s="47" t="str">
        <f aca="false">IF($A3422="","",INDEX($L$2:$L$5001,MATCH($A3422,$A$2:$A$5001,0)))</f>
        <v/>
      </c>
      <c r="N3422" s="48" t="str">
        <f aca="false">IF($A3422="","",IF(N(M3422)=0,"–",IF(M3422&lt;=Start!$D$20,"A",IF(M3422&lt;=Start!$D$21,"B","C"))))</f>
        <v/>
      </c>
      <c r="O3422" s="48" t="str">
        <f aca="false">IF($A3422="","",IF(NOT(ISNUMBER(F3422)),"Wert fehlt; ",IF(F3422&lt;=0,"Wert ist 0; ",""))&amp;IF(NOT(ISNUMBER(E3422)),"Bestand fehlt; ",IF(E3422&lt;0,"Bestand negativ; ",IF(E3422=0,"Nullbestand; ","")))&amp;IF(D3422="","Warengruppe fehlt; ","")&amp;IF(B3422="","Bezeichnung fehlt; ","")&amp;IF(COUNTIFS($A$2:$A$5001,$A3422,$C$2:$C$5001,C3422)&gt;1,"Artikel doppelt im selben Lager; ",""))</f>
        <v/>
      </c>
      <c r="P3422" s="47" t="n">
        <f aca="false">IF(OR($A3422="",D3422=""),0,IF(COUNTIF($D$2:D3422,D3422)=1,SUMIF($D$2:$D$5001,D3422,$H$2:$H$5001)+ROW()/10000000,0))</f>
        <v>0</v>
      </c>
      <c r="Q3422" s="47" t="n">
        <f aca="false">IF(OR($A3422="",C3422=""),0,IF(COUNTIF($C$2:C3422,C3422)=1,SUMIF($C$2:$C$5001,C3422,$H$2:$H$5001)+ROW()/10000000,0))</f>
        <v>0</v>
      </c>
    </row>
    <row r="3423" customFormat="false" ht="15" hidden="false" customHeight="false" outlineLevel="0" collapsed="false">
      <c r="A3423" s="43"/>
      <c r="B3423" s="44"/>
      <c r="C3423" s="44"/>
      <c r="D3423" s="44"/>
      <c r="E3423" s="44"/>
      <c r="F3423" s="44"/>
      <c r="G3423" s="44"/>
      <c r="H3423" s="46" t="str">
        <f aca="false">IF($A3423="","",IF(OR(NOT(ISNUMBER(E3423)),NOT(ISNUMBER(F3423))),"",MAX(0,E3423)*F3423))</f>
        <v/>
      </c>
      <c r="I3423" s="46" t="str">
        <f aca="false">IF($A3423="","",SUMIF($A$2:$A$5001,$A3423,$H$2:$H$5001))</f>
        <v/>
      </c>
      <c r="J3423" s="47" t="n">
        <f aca="false">IF($A3423="",0,IF(COUNTIF($A$2:A3423,$A3423)=1,1,0))</f>
        <v>0</v>
      </c>
      <c r="K3423" s="47" t="n">
        <f aca="false">IF(J3423=1,N(I3423)+ROW()/10000000,0)</f>
        <v>0</v>
      </c>
      <c r="L3423" s="47" t="str">
        <f aca="false">IF(AND(J3423=1,N(I3423)&gt;0),SUMIF($K$2:$K$5001,"&gt;="&amp;K3423,$I$2:$I$5001)/MAX(1,SUM($H$2:$H$5001)),"")</f>
        <v/>
      </c>
      <c r="M3423" s="47" t="str">
        <f aca="false">IF($A3423="","",INDEX($L$2:$L$5001,MATCH($A3423,$A$2:$A$5001,0)))</f>
        <v/>
      </c>
      <c r="N3423" s="48" t="str">
        <f aca="false">IF($A3423="","",IF(N(M3423)=0,"–",IF(M3423&lt;=Start!$D$20,"A",IF(M3423&lt;=Start!$D$21,"B","C"))))</f>
        <v/>
      </c>
      <c r="O3423" s="48" t="str">
        <f aca="false">IF($A3423="","",IF(NOT(ISNUMBER(F3423)),"Wert fehlt; ",IF(F3423&lt;=0,"Wert ist 0; ",""))&amp;IF(NOT(ISNUMBER(E3423)),"Bestand fehlt; ",IF(E3423&lt;0,"Bestand negativ; ",IF(E3423=0,"Nullbestand; ","")))&amp;IF(D3423="","Warengruppe fehlt; ","")&amp;IF(B3423="","Bezeichnung fehlt; ","")&amp;IF(COUNTIFS($A$2:$A$5001,$A3423,$C$2:$C$5001,C3423)&gt;1,"Artikel doppelt im selben Lager; ",""))</f>
        <v/>
      </c>
      <c r="P3423" s="47" t="n">
        <f aca="false">IF(OR($A3423="",D3423=""),0,IF(COUNTIF($D$2:D3423,D3423)=1,SUMIF($D$2:$D$5001,D3423,$H$2:$H$5001)+ROW()/10000000,0))</f>
        <v>0</v>
      </c>
      <c r="Q3423" s="47" t="n">
        <f aca="false">IF(OR($A3423="",C3423=""),0,IF(COUNTIF($C$2:C3423,C3423)=1,SUMIF($C$2:$C$5001,C3423,$H$2:$H$5001)+ROW()/10000000,0))</f>
        <v>0</v>
      </c>
    </row>
    <row r="3424" customFormat="false" ht="15" hidden="false" customHeight="false" outlineLevel="0" collapsed="false">
      <c r="A3424" s="43"/>
      <c r="B3424" s="44"/>
      <c r="C3424" s="44"/>
      <c r="D3424" s="44"/>
      <c r="E3424" s="44"/>
      <c r="F3424" s="44"/>
      <c r="G3424" s="44"/>
      <c r="H3424" s="46" t="str">
        <f aca="false">IF($A3424="","",IF(OR(NOT(ISNUMBER(E3424)),NOT(ISNUMBER(F3424))),"",MAX(0,E3424)*F3424))</f>
        <v/>
      </c>
      <c r="I3424" s="46" t="str">
        <f aca="false">IF($A3424="","",SUMIF($A$2:$A$5001,$A3424,$H$2:$H$5001))</f>
        <v/>
      </c>
      <c r="J3424" s="47" t="n">
        <f aca="false">IF($A3424="",0,IF(COUNTIF($A$2:A3424,$A3424)=1,1,0))</f>
        <v>0</v>
      </c>
      <c r="K3424" s="47" t="n">
        <f aca="false">IF(J3424=1,N(I3424)+ROW()/10000000,0)</f>
        <v>0</v>
      </c>
      <c r="L3424" s="47" t="str">
        <f aca="false">IF(AND(J3424=1,N(I3424)&gt;0),SUMIF($K$2:$K$5001,"&gt;="&amp;K3424,$I$2:$I$5001)/MAX(1,SUM($H$2:$H$5001)),"")</f>
        <v/>
      </c>
      <c r="M3424" s="47" t="str">
        <f aca="false">IF($A3424="","",INDEX($L$2:$L$5001,MATCH($A3424,$A$2:$A$5001,0)))</f>
        <v/>
      </c>
      <c r="N3424" s="48" t="str">
        <f aca="false">IF($A3424="","",IF(N(M3424)=0,"–",IF(M3424&lt;=Start!$D$20,"A",IF(M3424&lt;=Start!$D$21,"B","C"))))</f>
        <v/>
      </c>
      <c r="O3424" s="48" t="str">
        <f aca="false">IF($A3424="","",IF(NOT(ISNUMBER(F3424)),"Wert fehlt; ",IF(F3424&lt;=0,"Wert ist 0; ",""))&amp;IF(NOT(ISNUMBER(E3424)),"Bestand fehlt; ",IF(E3424&lt;0,"Bestand negativ; ",IF(E3424=0,"Nullbestand; ","")))&amp;IF(D3424="","Warengruppe fehlt; ","")&amp;IF(B3424="","Bezeichnung fehlt; ","")&amp;IF(COUNTIFS($A$2:$A$5001,$A3424,$C$2:$C$5001,C3424)&gt;1,"Artikel doppelt im selben Lager; ",""))</f>
        <v/>
      </c>
      <c r="P3424" s="47" t="n">
        <f aca="false">IF(OR($A3424="",D3424=""),0,IF(COUNTIF($D$2:D3424,D3424)=1,SUMIF($D$2:$D$5001,D3424,$H$2:$H$5001)+ROW()/10000000,0))</f>
        <v>0</v>
      </c>
      <c r="Q3424" s="47" t="n">
        <f aca="false">IF(OR($A3424="",C3424=""),0,IF(COUNTIF($C$2:C3424,C3424)=1,SUMIF($C$2:$C$5001,C3424,$H$2:$H$5001)+ROW()/10000000,0))</f>
        <v>0</v>
      </c>
    </row>
    <row r="3425" customFormat="false" ht="15" hidden="false" customHeight="false" outlineLevel="0" collapsed="false">
      <c r="A3425" s="43"/>
      <c r="B3425" s="44"/>
      <c r="C3425" s="44"/>
      <c r="D3425" s="44"/>
      <c r="E3425" s="44"/>
      <c r="F3425" s="44"/>
      <c r="G3425" s="44"/>
      <c r="H3425" s="46" t="str">
        <f aca="false">IF($A3425="","",IF(OR(NOT(ISNUMBER(E3425)),NOT(ISNUMBER(F3425))),"",MAX(0,E3425)*F3425))</f>
        <v/>
      </c>
      <c r="I3425" s="46" t="str">
        <f aca="false">IF($A3425="","",SUMIF($A$2:$A$5001,$A3425,$H$2:$H$5001))</f>
        <v/>
      </c>
      <c r="J3425" s="47" t="n">
        <f aca="false">IF($A3425="",0,IF(COUNTIF($A$2:A3425,$A3425)=1,1,0))</f>
        <v>0</v>
      </c>
      <c r="K3425" s="47" t="n">
        <f aca="false">IF(J3425=1,N(I3425)+ROW()/10000000,0)</f>
        <v>0</v>
      </c>
      <c r="L3425" s="47" t="str">
        <f aca="false">IF(AND(J3425=1,N(I3425)&gt;0),SUMIF($K$2:$K$5001,"&gt;="&amp;K3425,$I$2:$I$5001)/MAX(1,SUM($H$2:$H$5001)),"")</f>
        <v/>
      </c>
      <c r="M3425" s="47" t="str">
        <f aca="false">IF($A3425="","",INDEX($L$2:$L$5001,MATCH($A3425,$A$2:$A$5001,0)))</f>
        <v/>
      </c>
      <c r="N3425" s="48" t="str">
        <f aca="false">IF($A3425="","",IF(N(M3425)=0,"–",IF(M3425&lt;=Start!$D$20,"A",IF(M3425&lt;=Start!$D$21,"B","C"))))</f>
        <v/>
      </c>
      <c r="O3425" s="48" t="str">
        <f aca="false">IF($A3425="","",IF(NOT(ISNUMBER(F3425)),"Wert fehlt; ",IF(F3425&lt;=0,"Wert ist 0; ",""))&amp;IF(NOT(ISNUMBER(E3425)),"Bestand fehlt; ",IF(E3425&lt;0,"Bestand negativ; ",IF(E3425=0,"Nullbestand; ","")))&amp;IF(D3425="","Warengruppe fehlt; ","")&amp;IF(B3425="","Bezeichnung fehlt; ","")&amp;IF(COUNTIFS($A$2:$A$5001,$A3425,$C$2:$C$5001,C3425)&gt;1,"Artikel doppelt im selben Lager; ",""))</f>
        <v/>
      </c>
      <c r="P3425" s="47" t="n">
        <f aca="false">IF(OR($A3425="",D3425=""),0,IF(COUNTIF($D$2:D3425,D3425)=1,SUMIF($D$2:$D$5001,D3425,$H$2:$H$5001)+ROW()/10000000,0))</f>
        <v>0</v>
      </c>
      <c r="Q3425" s="47" t="n">
        <f aca="false">IF(OR($A3425="",C3425=""),0,IF(COUNTIF($C$2:C3425,C3425)=1,SUMIF($C$2:$C$5001,C3425,$H$2:$H$5001)+ROW()/10000000,0))</f>
        <v>0</v>
      </c>
    </row>
    <row r="3426" customFormat="false" ht="15" hidden="false" customHeight="false" outlineLevel="0" collapsed="false">
      <c r="A3426" s="43"/>
      <c r="B3426" s="44"/>
      <c r="C3426" s="44"/>
      <c r="D3426" s="44"/>
      <c r="E3426" s="44"/>
      <c r="F3426" s="44"/>
      <c r="G3426" s="44"/>
      <c r="H3426" s="46" t="str">
        <f aca="false">IF($A3426="","",IF(OR(NOT(ISNUMBER(E3426)),NOT(ISNUMBER(F3426))),"",MAX(0,E3426)*F3426))</f>
        <v/>
      </c>
      <c r="I3426" s="46" t="str">
        <f aca="false">IF($A3426="","",SUMIF($A$2:$A$5001,$A3426,$H$2:$H$5001))</f>
        <v/>
      </c>
      <c r="J3426" s="47" t="n">
        <f aca="false">IF($A3426="",0,IF(COUNTIF($A$2:A3426,$A3426)=1,1,0))</f>
        <v>0</v>
      </c>
      <c r="K3426" s="47" t="n">
        <f aca="false">IF(J3426=1,N(I3426)+ROW()/10000000,0)</f>
        <v>0</v>
      </c>
      <c r="L3426" s="47" t="str">
        <f aca="false">IF(AND(J3426=1,N(I3426)&gt;0),SUMIF($K$2:$K$5001,"&gt;="&amp;K3426,$I$2:$I$5001)/MAX(1,SUM($H$2:$H$5001)),"")</f>
        <v/>
      </c>
      <c r="M3426" s="47" t="str">
        <f aca="false">IF($A3426="","",INDEX($L$2:$L$5001,MATCH($A3426,$A$2:$A$5001,0)))</f>
        <v/>
      </c>
      <c r="N3426" s="48" t="str">
        <f aca="false">IF($A3426="","",IF(N(M3426)=0,"–",IF(M3426&lt;=Start!$D$20,"A",IF(M3426&lt;=Start!$D$21,"B","C"))))</f>
        <v/>
      </c>
      <c r="O3426" s="48" t="str">
        <f aca="false">IF($A3426="","",IF(NOT(ISNUMBER(F3426)),"Wert fehlt; ",IF(F3426&lt;=0,"Wert ist 0; ",""))&amp;IF(NOT(ISNUMBER(E3426)),"Bestand fehlt; ",IF(E3426&lt;0,"Bestand negativ; ",IF(E3426=0,"Nullbestand; ","")))&amp;IF(D3426="","Warengruppe fehlt; ","")&amp;IF(B3426="","Bezeichnung fehlt; ","")&amp;IF(COUNTIFS($A$2:$A$5001,$A3426,$C$2:$C$5001,C3426)&gt;1,"Artikel doppelt im selben Lager; ",""))</f>
        <v/>
      </c>
      <c r="P3426" s="47" t="n">
        <f aca="false">IF(OR($A3426="",D3426=""),0,IF(COUNTIF($D$2:D3426,D3426)=1,SUMIF($D$2:$D$5001,D3426,$H$2:$H$5001)+ROW()/10000000,0))</f>
        <v>0</v>
      </c>
      <c r="Q3426" s="47" t="n">
        <f aca="false">IF(OR($A3426="",C3426=""),0,IF(COUNTIF($C$2:C3426,C3426)=1,SUMIF($C$2:$C$5001,C3426,$H$2:$H$5001)+ROW()/10000000,0))</f>
        <v>0</v>
      </c>
    </row>
    <row r="3427" customFormat="false" ht="15" hidden="false" customHeight="false" outlineLevel="0" collapsed="false">
      <c r="A3427" s="43"/>
      <c r="B3427" s="44"/>
      <c r="C3427" s="44"/>
      <c r="D3427" s="44"/>
      <c r="E3427" s="44"/>
      <c r="F3427" s="44"/>
      <c r="G3427" s="44"/>
      <c r="H3427" s="46" t="str">
        <f aca="false">IF($A3427="","",IF(OR(NOT(ISNUMBER(E3427)),NOT(ISNUMBER(F3427))),"",MAX(0,E3427)*F3427))</f>
        <v/>
      </c>
      <c r="I3427" s="46" t="str">
        <f aca="false">IF($A3427="","",SUMIF($A$2:$A$5001,$A3427,$H$2:$H$5001))</f>
        <v/>
      </c>
      <c r="J3427" s="47" t="n">
        <f aca="false">IF($A3427="",0,IF(COUNTIF($A$2:A3427,$A3427)=1,1,0))</f>
        <v>0</v>
      </c>
      <c r="K3427" s="47" t="n">
        <f aca="false">IF(J3427=1,N(I3427)+ROW()/10000000,0)</f>
        <v>0</v>
      </c>
      <c r="L3427" s="47" t="str">
        <f aca="false">IF(AND(J3427=1,N(I3427)&gt;0),SUMIF($K$2:$K$5001,"&gt;="&amp;K3427,$I$2:$I$5001)/MAX(1,SUM($H$2:$H$5001)),"")</f>
        <v/>
      </c>
      <c r="M3427" s="47" t="str">
        <f aca="false">IF($A3427="","",INDEX($L$2:$L$5001,MATCH($A3427,$A$2:$A$5001,0)))</f>
        <v/>
      </c>
      <c r="N3427" s="48" t="str">
        <f aca="false">IF($A3427="","",IF(N(M3427)=0,"–",IF(M3427&lt;=Start!$D$20,"A",IF(M3427&lt;=Start!$D$21,"B","C"))))</f>
        <v/>
      </c>
      <c r="O3427" s="48" t="str">
        <f aca="false">IF($A3427="","",IF(NOT(ISNUMBER(F3427)),"Wert fehlt; ",IF(F3427&lt;=0,"Wert ist 0; ",""))&amp;IF(NOT(ISNUMBER(E3427)),"Bestand fehlt; ",IF(E3427&lt;0,"Bestand negativ; ",IF(E3427=0,"Nullbestand; ","")))&amp;IF(D3427="","Warengruppe fehlt; ","")&amp;IF(B3427="","Bezeichnung fehlt; ","")&amp;IF(COUNTIFS($A$2:$A$5001,$A3427,$C$2:$C$5001,C3427)&gt;1,"Artikel doppelt im selben Lager; ",""))</f>
        <v/>
      </c>
      <c r="P3427" s="47" t="n">
        <f aca="false">IF(OR($A3427="",D3427=""),0,IF(COUNTIF($D$2:D3427,D3427)=1,SUMIF($D$2:$D$5001,D3427,$H$2:$H$5001)+ROW()/10000000,0))</f>
        <v>0</v>
      </c>
      <c r="Q3427" s="47" t="n">
        <f aca="false">IF(OR($A3427="",C3427=""),0,IF(COUNTIF($C$2:C3427,C3427)=1,SUMIF($C$2:$C$5001,C3427,$H$2:$H$5001)+ROW()/10000000,0))</f>
        <v>0</v>
      </c>
    </row>
    <row r="3428" customFormat="false" ht="15" hidden="false" customHeight="false" outlineLevel="0" collapsed="false">
      <c r="A3428" s="43"/>
      <c r="B3428" s="44"/>
      <c r="C3428" s="44"/>
      <c r="D3428" s="44"/>
      <c r="E3428" s="44"/>
      <c r="F3428" s="44"/>
      <c r="G3428" s="44"/>
      <c r="H3428" s="46" t="str">
        <f aca="false">IF($A3428="","",IF(OR(NOT(ISNUMBER(E3428)),NOT(ISNUMBER(F3428))),"",MAX(0,E3428)*F3428))</f>
        <v/>
      </c>
      <c r="I3428" s="46" t="str">
        <f aca="false">IF($A3428="","",SUMIF($A$2:$A$5001,$A3428,$H$2:$H$5001))</f>
        <v/>
      </c>
      <c r="J3428" s="47" t="n">
        <f aca="false">IF($A3428="",0,IF(COUNTIF($A$2:A3428,$A3428)=1,1,0))</f>
        <v>0</v>
      </c>
      <c r="K3428" s="47" t="n">
        <f aca="false">IF(J3428=1,N(I3428)+ROW()/10000000,0)</f>
        <v>0</v>
      </c>
      <c r="L3428" s="47" t="str">
        <f aca="false">IF(AND(J3428=1,N(I3428)&gt;0),SUMIF($K$2:$K$5001,"&gt;="&amp;K3428,$I$2:$I$5001)/MAX(1,SUM($H$2:$H$5001)),"")</f>
        <v/>
      </c>
      <c r="M3428" s="47" t="str">
        <f aca="false">IF($A3428="","",INDEX($L$2:$L$5001,MATCH($A3428,$A$2:$A$5001,0)))</f>
        <v/>
      </c>
      <c r="N3428" s="48" t="str">
        <f aca="false">IF($A3428="","",IF(N(M3428)=0,"–",IF(M3428&lt;=Start!$D$20,"A",IF(M3428&lt;=Start!$D$21,"B","C"))))</f>
        <v/>
      </c>
      <c r="O3428" s="48" t="str">
        <f aca="false">IF($A3428="","",IF(NOT(ISNUMBER(F3428)),"Wert fehlt; ",IF(F3428&lt;=0,"Wert ist 0; ",""))&amp;IF(NOT(ISNUMBER(E3428)),"Bestand fehlt; ",IF(E3428&lt;0,"Bestand negativ; ",IF(E3428=0,"Nullbestand; ","")))&amp;IF(D3428="","Warengruppe fehlt; ","")&amp;IF(B3428="","Bezeichnung fehlt; ","")&amp;IF(COUNTIFS($A$2:$A$5001,$A3428,$C$2:$C$5001,C3428)&gt;1,"Artikel doppelt im selben Lager; ",""))</f>
        <v/>
      </c>
      <c r="P3428" s="47" t="n">
        <f aca="false">IF(OR($A3428="",D3428=""),0,IF(COUNTIF($D$2:D3428,D3428)=1,SUMIF($D$2:$D$5001,D3428,$H$2:$H$5001)+ROW()/10000000,0))</f>
        <v>0</v>
      </c>
      <c r="Q3428" s="47" t="n">
        <f aca="false">IF(OR($A3428="",C3428=""),0,IF(COUNTIF($C$2:C3428,C3428)=1,SUMIF($C$2:$C$5001,C3428,$H$2:$H$5001)+ROW()/10000000,0))</f>
        <v>0</v>
      </c>
    </row>
    <row r="3429" customFormat="false" ht="15" hidden="false" customHeight="false" outlineLevel="0" collapsed="false">
      <c r="A3429" s="43"/>
      <c r="B3429" s="44"/>
      <c r="C3429" s="44"/>
      <c r="D3429" s="44"/>
      <c r="E3429" s="44"/>
      <c r="F3429" s="44"/>
      <c r="G3429" s="44"/>
      <c r="H3429" s="46" t="str">
        <f aca="false">IF($A3429="","",IF(OR(NOT(ISNUMBER(E3429)),NOT(ISNUMBER(F3429))),"",MAX(0,E3429)*F3429))</f>
        <v/>
      </c>
      <c r="I3429" s="46" t="str">
        <f aca="false">IF($A3429="","",SUMIF($A$2:$A$5001,$A3429,$H$2:$H$5001))</f>
        <v/>
      </c>
      <c r="J3429" s="47" t="n">
        <f aca="false">IF($A3429="",0,IF(COUNTIF($A$2:A3429,$A3429)=1,1,0))</f>
        <v>0</v>
      </c>
      <c r="K3429" s="47" t="n">
        <f aca="false">IF(J3429=1,N(I3429)+ROW()/10000000,0)</f>
        <v>0</v>
      </c>
      <c r="L3429" s="47" t="str">
        <f aca="false">IF(AND(J3429=1,N(I3429)&gt;0),SUMIF($K$2:$K$5001,"&gt;="&amp;K3429,$I$2:$I$5001)/MAX(1,SUM($H$2:$H$5001)),"")</f>
        <v/>
      </c>
      <c r="M3429" s="47" t="str">
        <f aca="false">IF($A3429="","",INDEX($L$2:$L$5001,MATCH($A3429,$A$2:$A$5001,0)))</f>
        <v/>
      </c>
      <c r="N3429" s="48" t="str">
        <f aca="false">IF($A3429="","",IF(N(M3429)=0,"–",IF(M3429&lt;=Start!$D$20,"A",IF(M3429&lt;=Start!$D$21,"B","C"))))</f>
        <v/>
      </c>
      <c r="O3429" s="48" t="str">
        <f aca="false">IF($A3429="","",IF(NOT(ISNUMBER(F3429)),"Wert fehlt; ",IF(F3429&lt;=0,"Wert ist 0; ",""))&amp;IF(NOT(ISNUMBER(E3429)),"Bestand fehlt; ",IF(E3429&lt;0,"Bestand negativ; ",IF(E3429=0,"Nullbestand; ","")))&amp;IF(D3429="","Warengruppe fehlt; ","")&amp;IF(B3429="","Bezeichnung fehlt; ","")&amp;IF(COUNTIFS($A$2:$A$5001,$A3429,$C$2:$C$5001,C3429)&gt;1,"Artikel doppelt im selben Lager; ",""))</f>
        <v/>
      </c>
      <c r="P3429" s="47" t="n">
        <f aca="false">IF(OR($A3429="",D3429=""),0,IF(COUNTIF($D$2:D3429,D3429)=1,SUMIF($D$2:$D$5001,D3429,$H$2:$H$5001)+ROW()/10000000,0))</f>
        <v>0</v>
      </c>
      <c r="Q3429" s="47" t="n">
        <f aca="false">IF(OR($A3429="",C3429=""),0,IF(COUNTIF($C$2:C3429,C3429)=1,SUMIF($C$2:$C$5001,C3429,$H$2:$H$5001)+ROW()/10000000,0))</f>
        <v>0</v>
      </c>
    </row>
    <row r="3430" customFormat="false" ht="15" hidden="false" customHeight="false" outlineLevel="0" collapsed="false">
      <c r="A3430" s="43"/>
      <c r="B3430" s="44"/>
      <c r="C3430" s="44"/>
      <c r="D3430" s="44"/>
      <c r="E3430" s="44"/>
      <c r="F3430" s="44"/>
      <c r="G3430" s="44"/>
      <c r="H3430" s="46" t="str">
        <f aca="false">IF($A3430="","",IF(OR(NOT(ISNUMBER(E3430)),NOT(ISNUMBER(F3430))),"",MAX(0,E3430)*F3430))</f>
        <v/>
      </c>
      <c r="I3430" s="46" t="str">
        <f aca="false">IF($A3430="","",SUMIF($A$2:$A$5001,$A3430,$H$2:$H$5001))</f>
        <v/>
      </c>
      <c r="J3430" s="47" t="n">
        <f aca="false">IF($A3430="",0,IF(COUNTIF($A$2:A3430,$A3430)=1,1,0))</f>
        <v>0</v>
      </c>
      <c r="K3430" s="47" t="n">
        <f aca="false">IF(J3430=1,N(I3430)+ROW()/10000000,0)</f>
        <v>0</v>
      </c>
      <c r="L3430" s="47" t="str">
        <f aca="false">IF(AND(J3430=1,N(I3430)&gt;0),SUMIF($K$2:$K$5001,"&gt;="&amp;K3430,$I$2:$I$5001)/MAX(1,SUM($H$2:$H$5001)),"")</f>
        <v/>
      </c>
      <c r="M3430" s="47" t="str">
        <f aca="false">IF($A3430="","",INDEX($L$2:$L$5001,MATCH($A3430,$A$2:$A$5001,0)))</f>
        <v/>
      </c>
      <c r="N3430" s="48" t="str">
        <f aca="false">IF($A3430="","",IF(N(M3430)=0,"–",IF(M3430&lt;=Start!$D$20,"A",IF(M3430&lt;=Start!$D$21,"B","C"))))</f>
        <v/>
      </c>
      <c r="O3430" s="48" t="str">
        <f aca="false">IF($A3430="","",IF(NOT(ISNUMBER(F3430)),"Wert fehlt; ",IF(F3430&lt;=0,"Wert ist 0; ",""))&amp;IF(NOT(ISNUMBER(E3430)),"Bestand fehlt; ",IF(E3430&lt;0,"Bestand negativ; ",IF(E3430=0,"Nullbestand; ","")))&amp;IF(D3430="","Warengruppe fehlt; ","")&amp;IF(B3430="","Bezeichnung fehlt; ","")&amp;IF(COUNTIFS($A$2:$A$5001,$A3430,$C$2:$C$5001,C3430)&gt;1,"Artikel doppelt im selben Lager; ",""))</f>
        <v/>
      </c>
      <c r="P3430" s="47" t="n">
        <f aca="false">IF(OR($A3430="",D3430=""),0,IF(COUNTIF($D$2:D3430,D3430)=1,SUMIF($D$2:$D$5001,D3430,$H$2:$H$5001)+ROW()/10000000,0))</f>
        <v>0</v>
      </c>
      <c r="Q3430" s="47" t="n">
        <f aca="false">IF(OR($A3430="",C3430=""),0,IF(COUNTIF($C$2:C3430,C3430)=1,SUMIF($C$2:$C$5001,C3430,$H$2:$H$5001)+ROW()/10000000,0))</f>
        <v>0</v>
      </c>
    </row>
    <row r="3431" customFormat="false" ht="15" hidden="false" customHeight="false" outlineLevel="0" collapsed="false">
      <c r="A3431" s="43"/>
      <c r="B3431" s="44"/>
      <c r="C3431" s="44"/>
      <c r="D3431" s="44"/>
      <c r="E3431" s="44"/>
      <c r="F3431" s="44"/>
      <c r="G3431" s="44"/>
      <c r="H3431" s="46" t="str">
        <f aca="false">IF($A3431="","",IF(OR(NOT(ISNUMBER(E3431)),NOT(ISNUMBER(F3431))),"",MAX(0,E3431)*F3431))</f>
        <v/>
      </c>
      <c r="I3431" s="46" t="str">
        <f aca="false">IF($A3431="","",SUMIF($A$2:$A$5001,$A3431,$H$2:$H$5001))</f>
        <v/>
      </c>
      <c r="J3431" s="47" t="n">
        <f aca="false">IF($A3431="",0,IF(COUNTIF($A$2:A3431,$A3431)=1,1,0))</f>
        <v>0</v>
      </c>
      <c r="K3431" s="47" t="n">
        <f aca="false">IF(J3431=1,N(I3431)+ROW()/10000000,0)</f>
        <v>0</v>
      </c>
      <c r="L3431" s="47" t="str">
        <f aca="false">IF(AND(J3431=1,N(I3431)&gt;0),SUMIF($K$2:$K$5001,"&gt;="&amp;K3431,$I$2:$I$5001)/MAX(1,SUM($H$2:$H$5001)),"")</f>
        <v/>
      </c>
      <c r="M3431" s="47" t="str">
        <f aca="false">IF($A3431="","",INDEX($L$2:$L$5001,MATCH($A3431,$A$2:$A$5001,0)))</f>
        <v/>
      </c>
      <c r="N3431" s="48" t="str">
        <f aca="false">IF($A3431="","",IF(N(M3431)=0,"–",IF(M3431&lt;=Start!$D$20,"A",IF(M3431&lt;=Start!$D$21,"B","C"))))</f>
        <v/>
      </c>
      <c r="O3431" s="48" t="str">
        <f aca="false">IF($A3431="","",IF(NOT(ISNUMBER(F3431)),"Wert fehlt; ",IF(F3431&lt;=0,"Wert ist 0; ",""))&amp;IF(NOT(ISNUMBER(E3431)),"Bestand fehlt; ",IF(E3431&lt;0,"Bestand negativ; ",IF(E3431=0,"Nullbestand; ","")))&amp;IF(D3431="","Warengruppe fehlt; ","")&amp;IF(B3431="","Bezeichnung fehlt; ","")&amp;IF(COUNTIFS($A$2:$A$5001,$A3431,$C$2:$C$5001,C3431)&gt;1,"Artikel doppelt im selben Lager; ",""))</f>
        <v/>
      </c>
      <c r="P3431" s="47" t="n">
        <f aca="false">IF(OR($A3431="",D3431=""),0,IF(COUNTIF($D$2:D3431,D3431)=1,SUMIF($D$2:$D$5001,D3431,$H$2:$H$5001)+ROW()/10000000,0))</f>
        <v>0</v>
      </c>
      <c r="Q3431" s="47" t="n">
        <f aca="false">IF(OR($A3431="",C3431=""),0,IF(COUNTIF($C$2:C3431,C3431)=1,SUMIF($C$2:$C$5001,C3431,$H$2:$H$5001)+ROW()/10000000,0))</f>
        <v>0</v>
      </c>
    </row>
    <row r="3432" customFormat="false" ht="15" hidden="false" customHeight="false" outlineLevel="0" collapsed="false">
      <c r="A3432" s="43"/>
      <c r="B3432" s="44"/>
      <c r="C3432" s="44"/>
      <c r="D3432" s="44"/>
      <c r="E3432" s="44"/>
      <c r="F3432" s="44"/>
      <c r="G3432" s="44"/>
      <c r="H3432" s="46" t="str">
        <f aca="false">IF($A3432="","",IF(OR(NOT(ISNUMBER(E3432)),NOT(ISNUMBER(F3432))),"",MAX(0,E3432)*F3432))</f>
        <v/>
      </c>
      <c r="I3432" s="46" t="str">
        <f aca="false">IF($A3432="","",SUMIF($A$2:$A$5001,$A3432,$H$2:$H$5001))</f>
        <v/>
      </c>
      <c r="J3432" s="47" t="n">
        <f aca="false">IF($A3432="",0,IF(COUNTIF($A$2:A3432,$A3432)=1,1,0))</f>
        <v>0</v>
      </c>
      <c r="K3432" s="47" t="n">
        <f aca="false">IF(J3432=1,N(I3432)+ROW()/10000000,0)</f>
        <v>0</v>
      </c>
      <c r="L3432" s="47" t="str">
        <f aca="false">IF(AND(J3432=1,N(I3432)&gt;0),SUMIF($K$2:$K$5001,"&gt;="&amp;K3432,$I$2:$I$5001)/MAX(1,SUM($H$2:$H$5001)),"")</f>
        <v/>
      </c>
      <c r="M3432" s="47" t="str">
        <f aca="false">IF($A3432="","",INDEX($L$2:$L$5001,MATCH($A3432,$A$2:$A$5001,0)))</f>
        <v/>
      </c>
      <c r="N3432" s="48" t="str">
        <f aca="false">IF($A3432="","",IF(N(M3432)=0,"–",IF(M3432&lt;=Start!$D$20,"A",IF(M3432&lt;=Start!$D$21,"B","C"))))</f>
        <v/>
      </c>
      <c r="O3432" s="48" t="str">
        <f aca="false">IF($A3432="","",IF(NOT(ISNUMBER(F3432)),"Wert fehlt; ",IF(F3432&lt;=0,"Wert ist 0; ",""))&amp;IF(NOT(ISNUMBER(E3432)),"Bestand fehlt; ",IF(E3432&lt;0,"Bestand negativ; ",IF(E3432=0,"Nullbestand; ","")))&amp;IF(D3432="","Warengruppe fehlt; ","")&amp;IF(B3432="","Bezeichnung fehlt; ","")&amp;IF(COUNTIFS($A$2:$A$5001,$A3432,$C$2:$C$5001,C3432)&gt;1,"Artikel doppelt im selben Lager; ",""))</f>
        <v/>
      </c>
      <c r="P3432" s="47" t="n">
        <f aca="false">IF(OR($A3432="",D3432=""),0,IF(COUNTIF($D$2:D3432,D3432)=1,SUMIF($D$2:$D$5001,D3432,$H$2:$H$5001)+ROW()/10000000,0))</f>
        <v>0</v>
      </c>
      <c r="Q3432" s="47" t="n">
        <f aca="false">IF(OR($A3432="",C3432=""),0,IF(COUNTIF($C$2:C3432,C3432)=1,SUMIF($C$2:$C$5001,C3432,$H$2:$H$5001)+ROW()/10000000,0))</f>
        <v>0</v>
      </c>
    </row>
    <row r="3433" customFormat="false" ht="15" hidden="false" customHeight="false" outlineLevel="0" collapsed="false">
      <c r="A3433" s="43"/>
      <c r="B3433" s="44"/>
      <c r="C3433" s="44"/>
      <c r="D3433" s="44"/>
      <c r="E3433" s="44"/>
      <c r="F3433" s="44"/>
      <c r="G3433" s="44"/>
      <c r="H3433" s="46" t="str">
        <f aca="false">IF($A3433="","",IF(OR(NOT(ISNUMBER(E3433)),NOT(ISNUMBER(F3433))),"",MAX(0,E3433)*F3433))</f>
        <v/>
      </c>
      <c r="I3433" s="46" t="str">
        <f aca="false">IF($A3433="","",SUMIF($A$2:$A$5001,$A3433,$H$2:$H$5001))</f>
        <v/>
      </c>
      <c r="J3433" s="47" t="n">
        <f aca="false">IF($A3433="",0,IF(COUNTIF($A$2:A3433,$A3433)=1,1,0))</f>
        <v>0</v>
      </c>
      <c r="K3433" s="47" t="n">
        <f aca="false">IF(J3433=1,N(I3433)+ROW()/10000000,0)</f>
        <v>0</v>
      </c>
      <c r="L3433" s="47" t="str">
        <f aca="false">IF(AND(J3433=1,N(I3433)&gt;0),SUMIF($K$2:$K$5001,"&gt;="&amp;K3433,$I$2:$I$5001)/MAX(1,SUM($H$2:$H$5001)),"")</f>
        <v/>
      </c>
      <c r="M3433" s="47" t="str">
        <f aca="false">IF($A3433="","",INDEX($L$2:$L$5001,MATCH($A3433,$A$2:$A$5001,0)))</f>
        <v/>
      </c>
      <c r="N3433" s="48" t="str">
        <f aca="false">IF($A3433="","",IF(N(M3433)=0,"–",IF(M3433&lt;=Start!$D$20,"A",IF(M3433&lt;=Start!$D$21,"B","C"))))</f>
        <v/>
      </c>
      <c r="O3433" s="48" t="str">
        <f aca="false">IF($A3433="","",IF(NOT(ISNUMBER(F3433)),"Wert fehlt; ",IF(F3433&lt;=0,"Wert ist 0; ",""))&amp;IF(NOT(ISNUMBER(E3433)),"Bestand fehlt; ",IF(E3433&lt;0,"Bestand negativ; ",IF(E3433=0,"Nullbestand; ","")))&amp;IF(D3433="","Warengruppe fehlt; ","")&amp;IF(B3433="","Bezeichnung fehlt; ","")&amp;IF(COUNTIFS($A$2:$A$5001,$A3433,$C$2:$C$5001,C3433)&gt;1,"Artikel doppelt im selben Lager; ",""))</f>
        <v/>
      </c>
      <c r="P3433" s="47" t="n">
        <f aca="false">IF(OR($A3433="",D3433=""),0,IF(COUNTIF($D$2:D3433,D3433)=1,SUMIF($D$2:$D$5001,D3433,$H$2:$H$5001)+ROW()/10000000,0))</f>
        <v>0</v>
      </c>
      <c r="Q3433" s="47" t="n">
        <f aca="false">IF(OR($A3433="",C3433=""),0,IF(COUNTIF($C$2:C3433,C3433)=1,SUMIF($C$2:$C$5001,C3433,$H$2:$H$5001)+ROW()/10000000,0))</f>
        <v>0</v>
      </c>
    </row>
    <row r="3434" customFormat="false" ht="15" hidden="false" customHeight="false" outlineLevel="0" collapsed="false">
      <c r="A3434" s="43"/>
      <c r="B3434" s="44"/>
      <c r="C3434" s="44"/>
      <c r="D3434" s="44"/>
      <c r="E3434" s="44"/>
      <c r="F3434" s="44"/>
      <c r="G3434" s="44"/>
      <c r="H3434" s="46" t="str">
        <f aca="false">IF($A3434="","",IF(OR(NOT(ISNUMBER(E3434)),NOT(ISNUMBER(F3434))),"",MAX(0,E3434)*F3434))</f>
        <v/>
      </c>
      <c r="I3434" s="46" t="str">
        <f aca="false">IF($A3434="","",SUMIF($A$2:$A$5001,$A3434,$H$2:$H$5001))</f>
        <v/>
      </c>
      <c r="J3434" s="47" t="n">
        <f aca="false">IF($A3434="",0,IF(COUNTIF($A$2:A3434,$A3434)=1,1,0))</f>
        <v>0</v>
      </c>
      <c r="K3434" s="47" t="n">
        <f aca="false">IF(J3434=1,N(I3434)+ROW()/10000000,0)</f>
        <v>0</v>
      </c>
      <c r="L3434" s="47" t="str">
        <f aca="false">IF(AND(J3434=1,N(I3434)&gt;0),SUMIF($K$2:$K$5001,"&gt;="&amp;K3434,$I$2:$I$5001)/MAX(1,SUM($H$2:$H$5001)),"")</f>
        <v/>
      </c>
      <c r="M3434" s="47" t="str">
        <f aca="false">IF($A3434="","",INDEX($L$2:$L$5001,MATCH($A3434,$A$2:$A$5001,0)))</f>
        <v/>
      </c>
      <c r="N3434" s="48" t="str">
        <f aca="false">IF($A3434="","",IF(N(M3434)=0,"–",IF(M3434&lt;=Start!$D$20,"A",IF(M3434&lt;=Start!$D$21,"B","C"))))</f>
        <v/>
      </c>
      <c r="O3434" s="48" t="str">
        <f aca="false">IF($A3434="","",IF(NOT(ISNUMBER(F3434)),"Wert fehlt; ",IF(F3434&lt;=0,"Wert ist 0; ",""))&amp;IF(NOT(ISNUMBER(E3434)),"Bestand fehlt; ",IF(E3434&lt;0,"Bestand negativ; ",IF(E3434=0,"Nullbestand; ","")))&amp;IF(D3434="","Warengruppe fehlt; ","")&amp;IF(B3434="","Bezeichnung fehlt; ","")&amp;IF(COUNTIFS($A$2:$A$5001,$A3434,$C$2:$C$5001,C3434)&gt;1,"Artikel doppelt im selben Lager; ",""))</f>
        <v/>
      </c>
      <c r="P3434" s="47" t="n">
        <f aca="false">IF(OR($A3434="",D3434=""),0,IF(COUNTIF($D$2:D3434,D3434)=1,SUMIF($D$2:$D$5001,D3434,$H$2:$H$5001)+ROW()/10000000,0))</f>
        <v>0</v>
      </c>
      <c r="Q3434" s="47" t="n">
        <f aca="false">IF(OR($A3434="",C3434=""),0,IF(COUNTIF($C$2:C3434,C3434)=1,SUMIF($C$2:$C$5001,C3434,$H$2:$H$5001)+ROW()/10000000,0))</f>
        <v>0</v>
      </c>
    </row>
    <row r="3435" customFormat="false" ht="15" hidden="false" customHeight="false" outlineLevel="0" collapsed="false">
      <c r="A3435" s="43"/>
      <c r="B3435" s="44"/>
      <c r="C3435" s="44"/>
      <c r="D3435" s="44"/>
      <c r="E3435" s="44"/>
      <c r="F3435" s="44"/>
      <c r="G3435" s="44"/>
      <c r="H3435" s="46" t="str">
        <f aca="false">IF($A3435="","",IF(OR(NOT(ISNUMBER(E3435)),NOT(ISNUMBER(F3435))),"",MAX(0,E3435)*F3435))</f>
        <v/>
      </c>
      <c r="I3435" s="46" t="str">
        <f aca="false">IF($A3435="","",SUMIF($A$2:$A$5001,$A3435,$H$2:$H$5001))</f>
        <v/>
      </c>
      <c r="J3435" s="47" t="n">
        <f aca="false">IF($A3435="",0,IF(COUNTIF($A$2:A3435,$A3435)=1,1,0))</f>
        <v>0</v>
      </c>
      <c r="K3435" s="47" t="n">
        <f aca="false">IF(J3435=1,N(I3435)+ROW()/10000000,0)</f>
        <v>0</v>
      </c>
      <c r="L3435" s="47" t="str">
        <f aca="false">IF(AND(J3435=1,N(I3435)&gt;0),SUMIF($K$2:$K$5001,"&gt;="&amp;K3435,$I$2:$I$5001)/MAX(1,SUM($H$2:$H$5001)),"")</f>
        <v/>
      </c>
      <c r="M3435" s="47" t="str">
        <f aca="false">IF($A3435="","",INDEX($L$2:$L$5001,MATCH($A3435,$A$2:$A$5001,0)))</f>
        <v/>
      </c>
      <c r="N3435" s="48" t="str">
        <f aca="false">IF($A3435="","",IF(N(M3435)=0,"–",IF(M3435&lt;=Start!$D$20,"A",IF(M3435&lt;=Start!$D$21,"B","C"))))</f>
        <v/>
      </c>
      <c r="O3435" s="48" t="str">
        <f aca="false">IF($A3435="","",IF(NOT(ISNUMBER(F3435)),"Wert fehlt; ",IF(F3435&lt;=0,"Wert ist 0; ",""))&amp;IF(NOT(ISNUMBER(E3435)),"Bestand fehlt; ",IF(E3435&lt;0,"Bestand negativ; ",IF(E3435=0,"Nullbestand; ","")))&amp;IF(D3435="","Warengruppe fehlt; ","")&amp;IF(B3435="","Bezeichnung fehlt; ","")&amp;IF(COUNTIFS($A$2:$A$5001,$A3435,$C$2:$C$5001,C3435)&gt;1,"Artikel doppelt im selben Lager; ",""))</f>
        <v/>
      </c>
      <c r="P3435" s="47" t="n">
        <f aca="false">IF(OR($A3435="",D3435=""),0,IF(COUNTIF($D$2:D3435,D3435)=1,SUMIF($D$2:$D$5001,D3435,$H$2:$H$5001)+ROW()/10000000,0))</f>
        <v>0</v>
      </c>
      <c r="Q3435" s="47" t="n">
        <f aca="false">IF(OR($A3435="",C3435=""),0,IF(COUNTIF($C$2:C3435,C3435)=1,SUMIF($C$2:$C$5001,C3435,$H$2:$H$5001)+ROW()/10000000,0))</f>
        <v>0</v>
      </c>
    </row>
    <row r="3436" customFormat="false" ht="15" hidden="false" customHeight="false" outlineLevel="0" collapsed="false">
      <c r="A3436" s="43"/>
      <c r="B3436" s="44"/>
      <c r="C3436" s="44"/>
      <c r="D3436" s="44"/>
      <c r="E3436" s="44"/>
      <c r="F3436" s="44"/>
      <c r="G3436" s="44"/>
      <c r="H3436" s="46" t="str">
        <f aca="false">IF($A3436="","",IF(OR(NOT(ISNUMBER(E3436)),NOT(ISNUMBER(F3436))),"",MAX(0,E3436)*F3436))</f>
        <v/>
      </c>
      <c r="I3436" s="46" t="str">
        <f aca="false">IF($A3436="","",SUMIF($A$2:$A$5001,$A3436,$H$2:$H$5001))</f>
        <v/>
      </c>
      <c r="J3436" s="47" t="n">
        <f aca="false">IF($A3436="",0,IF(COUNTIF($A$2:A3436,$A3436)=1,1,0))</f>
        <v>0</v>
      </c>
      <c r="K3436" s="47" t="n">
        <f aca="false">IF(J3436=1,N(I3436)+ROW()/10000000,0)</f>
        <v>0</v>
      </c>
      <c r="L3436" s="47" t="str">
        <f aca="false">IF(AND(J3436=1,N(I3436)&gt;0),SUMIF($K$2:$K$5001,"&gt;="&amp;K3436,$I$2:$I$5001)/MAX(1,SUM($H$2:$H$5001)),"")</f>
        <v/>
      </c>
      <c r="M3436" s="47" t="str">
        <f aca="false">IF($A3436="","",INDEX($L$2:$L$5001,MATCH($A3436,$A$2:$A$5001,0)))</f>
        <v/>
      </c>
      <c r="N3436" s="48" t="str">
        <f aca="false">IF($A3436="","",IF(N(M3436)=0,"–",IF(M3436&lt;=Start!$D$20,"A",IF(M3436&lt;=Start!$D$21,"B","C"))))</f>
        <v/>
      </c>
      <c r="O3436" s="48" t="str">
        <f aca="false">IF($A3436="","",IF(NOT(ISNUMBER(F3436)),"Wert fehlt; ",IF(F3436&lt;=0,"Wert ist 0; ",""))&amp;IF(NOT(ISNUMBER(E3436)),"Bestand fehlt; ",IF(E3436&lt;0,"Bestand negativ; ",IF(E3436=0,"Nullbestand; ","")))&amp;IF(D3436="","Warengruppe fehlt; ","")&amp;IF(B3436="","Bezeichnung fehlt; ","")&amp;IF(COUNTIFS($A$2:$A$5001,$A3436,$C$2:$C$5001,C3436)&gt;1,"Artikel doppelt im selben Lager; ",""))</f>
        <v/>
      </c>
      <c r="P3436" s="47" t="n">
        <f aca="false">IF(OR($A3436="",D3436=""),0,IF(COUNTIF($D$2:D3436,D3436)=1,SUMIF($D$2:$D$5001,D3436,$H$2:$H$5001)+ROW()/10000000,0))</f>
        <v>0</v>
      </c>
      <c r="Q3436" s="47" t="n">
        <f aca="false">IF(OR($A3436="",C3436=""),0,IF(COUNTIF($C$2:C3436,C3436)=1,SUMIF($C$2:$C$5001,C3436,$H$2:$H$5001)+ROW()/10000000,0))</f>
        <v>0</v>
      </c>
    </row>
    <row r="3437" customFormat="false" ht="15" hidden="false" customHeight="false" outlineLevel="0" collapsed="false">
      <c r="A3437" s="43"/>
      <c r="B3437" s="44"/>
      <c r="C3437" s="44"/>
      <c r="D3437" s="44"/>
      <c r="E3437" s="44"/>
      <c r="F3437" s="44"/>
      <c r="G3437" s="44"/>
      <c r="H3437" s="46" t="str">
        <f aca="false">IF($A3437="","",IF(OR(NOT(ISNUMBER(E3437)),NOT(ISNUMBER(F3437))),"",MAX(0,E3437)*F3437))</f>
        <v/>
      </c>
      <c r="I3437" s="46" t="str">
        <f aca="false">IF($A3437="","",SUMIF($A$2:$A$5001,$A3437,$H$2:$H$5001))</f>
        <v/>
      </c>
      <c r="J3437" s="47" t="n">
        <f aca="false">IF($A3437="",0,IF(COUNTIF($A$2:A3437,$A3437)=1,1,0))</f>
        <v>0</v>
      </c>
      <c r="K3437" s="47" t="n">
        <f aca="false">IF(J3437=1,N(I3437)+ROW()/10000000,0)</f>
        <v>0</v>
      </c>
      <c r="L3437" s="47" t="str">
        <f aca="false">IF(AND(J3437=1,N(I3437)&gt;0),SUMIF($K$2:$K$5001,"&gt;="&amp;K3437,$I$2:$I$5001)/MAX(1,SUM($H$2:$H$5001)),"")</f>
        <v/>
      </c>
      <c r="M3437" s="47" t="str">
        <f aca="false">IF($A3437="","",INDEX($L$2:$L$5001,MATCH($A3437,$A$2:$A$5001,0)))</f>
        <v/>
      </c>
      <c r="N3437" s="48" t="str">
        <f aca="false">IF($A3437="","",IF(N(M3437)=0,"–",IF(M3437&lt;=Start!$D$20,"A",IF(M3437&lt;=Start!$D$21,"B","C"))))</f>
        <v/>
      </c>
      <c r="O3437" s="48" t="str">
        <f aca="false">IF($A3437="","",IF(NOT(ISNUMBER(F3437)),"Wert fehlt; ",IF(F3437&lt;=0,"Wert ist 0; ",""))&amp;IF(NOT(ISNUMBER(E3437)),"Bestand fehlt; ",IF(E3437&lt;0,"Bestand negativ; ",IF(E3437=0,"Nullbestand; ","")))&amp;IF(D3437="","Warengruppe fehlt; ","")&amp;IF(B3437="","Bezeichnung fehlt; ","")&amp;IF(COUNTIFS($A$2:$A$5001,$A3437,$C$2:$C$5001,C3437)&gt;1,"Artikel doppelt im selben Lager; ",""))</f>
        <v/>
      </c>
      <c r="P3437" s="47" t="n">
        <f aca="false">IF(OR($A3437="",D3437=""),0,IF(COUNTIF($D$2:D3437,D3437)=1,SUMIF($D$2:$D$5001,D3437,$H$2:$H$5001)+ROW()/10000000,0))</f>
        <v>0</v>
      </c>
      <c r="Q3437" s="47" t="n">
        <f aca="false">IF(OR($A3437="",C3437=""),0,IF(COUNTIF($C$2:C3437,C3437)=1,SUMIF($C$2:$C$5001,C3437,$H$2:$H$5001)+ROW()/10000000,0))</f>
        <v>0</v>
      </c>
    </row>
    <row r="3438" customFormat="false" ht="15" hidden="false" customHeight="false" outlineLevel="0" collapsed="false">
      <c r="A3438" s="43"/>
      <c r="B3438" s="44"/>
      <c r="C3438" s="44"/>
      <c r="D3438" s="44"/>
      <c r="E3438" s="44"/>
      <c r="F3438" s="44"/>
      <c r="G3438" s="44"/>
      <c r="H3438" s="46" t="str">
        <f aca="false">IF($A3438="","",IF(OR(NOT(ISNUMBER(E3438)),NOT(ISNUMBER(F3438))),"",MAX(0,E3438)*F3438))</f>
        <v/>
      </c>
      <c r="I3438" s="46" t="str">
        <f aca="false">IF($A3438="","",SUMIF($A$2:$A$5001,$A3438,$H$2:$H$5001))</f>
        <v/>
      </c>
      <c r="J3438" s="47" t="n">
        <f aca="false">IF($A3438="",0,IF(COUNTIF($A$2:A3438,$A3438)=1,1,0))</f>
        <v>0</v>
      </c>
      <c r="K3438" s="47" t="n">
        <f aca="false">IF(J3438=1,N(I3438)+ROW()/10000000,0)</f>
        <v>0</v>
      </c>
      <c r="L3438" s="47" t="str">
        <f aca="false">IF(AND(J3438=1,N(I3438)&gt;0),SUMIF($K$2:$K$5001,"&gt;="&amp;K3438,$I$2:$I$5001)/MAX(1,SUM($H$2:$H$5001)),"")</f>
        <v/>
      </c>
      <c r="M3438" s="47" t="str">
        <f aca="false">IF($A3438="","",INDEX($L$2:$L$5001,MATCH($A3438,$A$2:$A$5001,0)))</f>
        <v/>
      </c>
      <c r="N3438" s="48" t="str">
        <f aca="false">IF($A3438="","",IF(N(M3438)=0,"–",IF(M3438&lt;=Start!$D$20,"A",IF(M3438&lt;=Start!$D$21,"B","C"))))</f>
        <v/>
      </c>
      <c r="O3438" s="48" t="str">
        <f aca="false">IF($A3438="","",IF(NOT(ISNUMBER(F3438)),"Wert fehlt; ",IF(F3438&lt;=0,"Wert ist 0; ",""))&amp;IF(NOT(ISNUMBER(E3438)),"Bestand fehlt; ",IF(E3438&lt;0,"Bestand negativ; ",IF(E3438=0,"Nullbestand; ","")))&amp;IF(D3438="","Warengruppe fehlt; ","")&amp;IF(B3438="","Bezeichnung fehlt; ","")&amp;IF(COUNTIFS($A$2:$A$5001,$A3438,$C$2:$C$5001,C3438)&gt;1,"Artikel doppelt im selben Lager; ",""))</f>
        <v/>
      </c>
      <c r="P3438" s="47" t="n">
        <f aca="false">IF(OR($A3438="",D3438=""),0,IF(COUNTIF($D$2:D3438,D3438)=1,SUMIF($D$2:$D$5001,D3438,$H$2:$H$5001)+ROW()/10000000,0))</f>
        <v>0</v>
      </c>
      <c r="Q3438" s="47" t="n">
        <f aca="false">IF(OR($A3438="",C3438=""),0,IF(COUNTIF($C$2:C3438,C3438)=1,SUMIF($C$2:$C$5001,C3438,$H$2:$H$5001)+ROW()/10000000,0))</f>
        <v>0</v>
      </c>
    </row>
    <row r="3439" customFormat="false" ht="15" hidden="false" customHeight="false" outlineLevel="0" collapsed="false">
      <c r="A3439" s="43"/>
      <c r="B3439" s="44"/>
      <c r="C3439" s="44"/>
      <c r="D3439" s="44"/>
      <c r="E3439" s="44"/>
      <c r="F3439" s="44"/>
      <c r="G3439" s="44"/>
      <c r="H3439" s="46" t="str">
        <f aca="false">IF($A3439="","",IF(OR(NOT(ISNUMBER(E3439)),NOT(ISNUMBER(F3439))),"",MAX(0,E3439)*F3439))</f>
        <v/>
      </c>
      <c r="I3439" s="46" t="str">
        <f aca="false">IF($A3439="","",SUMIF($A$2:$A$5001,$A3439,$H$2:$H$5001))</f>
        <v/>
      </c>
      <c r="J3439" s="47" t="n">
        <f aca="false">IF($A3439="",0,IF(COUNTIF($A$2:A3439,$A3439)=1,1,0))</f>
        <v>0</v>
      </c>
      <c r="K3439" s="47" t="n">
        <f aca="false">IF(J3439=1,N(I3439)+ROW()/10000000,0)</f>
        <v>0</v>
      </c>
      <c r="L3439" s="47" t="str">
        <f aca="false">IF(AND(J3439=1,N(I3439)&gt;0),SUMIF($K$2:$K$5001,"&gt;="&amp;K3439,$I$2:$I$5001)/MAX(1,SUM($H$2:$H$5001)),"")</f>
        <v/>
      </c>
      <c r="M3439" s="47" t="str">
        <f aca="false">IF($A3439="","",INDEX($L$2:$L$5001,MATCH($A3439,$A$2:$A$5001,0)))</f>
        <v/>
      </c>
      <c r="N3439" s="48" t="str">
        <f aca="false">IF($A3439="","",IF(N(M3439)=0,"–",IF(M3439&lt;=Start!$D$20,"A",IF(M3439&lt;=Start!$D$21,"B","C"))))</f>
        <v/>
      </c>
      <c r="O3439" s="48" t="str">
        <f aca="false">IF($A3439="","",IF(NOT(ISNUMBER(F3439)),"Wert fehlt; ",IF(F3439&lt;=0,"Wert ist 0; ",""))&amp;IF(NOT(ISNUMBER(E3439)),"Bestand fehlt; ",IF(E3439&lt;0,"Bestand negativ; ",IF(E3439=0,"Nullbestand; ","")))&amp;IF(D3439="","Warengruppe fehlt; ","")&amp;IF(B3439="","Bezeichnung fehlt; ","")&amp;IF(COUNTIFS($A$2:$A$5001,$A3439,$C$2:$C$5001,C3439)&gt;1,"Artikel doppelt im selben Lager; ",""))</f>
        <v/>
      </c>
      <c r="P3439" s="47" t="n">
        <f aca="false">IF(OR($A3439="",D3439=""),0,IF(COUNTIF($D$2:D3439,D3439)=1,SUMIF($D$2:$D$5001,D3439,$H$2:$H$5001)+ROW()/10000000,0))</f>
        <v>0</v>
      </c>
      <c r="Q3439" s="47" t="n">
        <f aca="false">IF(OR($A3439="",C3439=""),0,IF(COUNTIF($C$2:C3439,C3439)=1,SUMIF($C$2:$C$5001,C3439,$H$2:$H$5001)+ROW()/10000000,0))</f>
        <v>0</v>
      </c>
    </row>
    <row r="3440" customFormat="false" ht="15" hidden="false" customHeight="false" outlineLevel="0" collapsed="false">
      <c r="A3440" s="43"/>
      <c r="B3440" s="44"/>
      <c r="C3440" s="44"/>
      <c r="D3440" s="44"/>
      <c r="E3440" s="44"/>
      <c r="F3440" s="44"/>
      <c r="G3440" s="44"/>
      <c r="H3440" s="46" t="str">
        <f aca="false">IF($A3440="","",IF(OR(NOT(ISNUMBER(E3440)),NOT(ISNUMBER(F3440))),"",MAX(0,E3440)*F3440))</f>
        <v/>
      </c>
      <c r="I3440" s="46" t="str">
        <f aca="false">IF($A3440="","",SUMIF($A$2:$A$5001,$A3440,$H$2:$H$5001))</f>
        <v/>
      </c>
      <c r="J3440" s="47" t="n">
        <f aca="false">IF($A3440="",0,IF(COUNTIF($A$2:A3440,$A3440)=1,1,0))</f>
        <v>0</v>
      </c>
      <c r="K3440" s="47" t="n">
        <f aca="false">IF(J3440=1,N(I3440)+ROW()/10000000,0)</f>
        <v>0</v>
      </c>
      <c r="L3440" s="47" t="str">
        <f aca="false">IF(AND(J3440=1,N(I3440)&gt;0),SUMIF($K$2:$K$5001,"&gt;="&amp;K3440,$I$2:$I$5001)/MAX(1,SUM($H$2:$H$5001)),"")</f>
        <v/>
      </c>
      <c r="M3440" s="47" t="str">
        <f aca="false">IF($A3440="","",INDEX($L$2:$L$5001,MATCH($A3440,$A$2:$A$5001,0)))</f>
        <v/>
      </c>
      <c r="N3440" s="48" t="str">
        <f aca="false">IF($A3440="","",IF(N(M3440)=0,"–",IF(M3440&lt;=Start!$D$20,"A",IF(M3440&lt;=Start!$D$21,"B","C"))))</f>
        <v/>
      </c>
      <c r="O3440" s="48" t="str">
        <f aca="false">IF($A3440="","",IF(NOT(ISNUMBER(F3440)),"Wert fehlt; ",IF(F3440&lt;=0,"Wert ist 0; ",""))&amp;IF(NOT(ISNUMBER(E3440)),"Bestand fehlt; ",IF(E3440&lt;0,"Bestand negativ; ",IF(E3440=0,"Nullbestand; ","")))&amp;IF(D3440="","Warengruppe fehlt; ","")&amp;IF(B3440="","Bezeichnung fehlt; ","")&amp;IF(COUNTIFS($A$2:$A$5001,$A3440,$C$2:$C$5001,C3440)&gt;1,"Artikel doppelt im selben Lager; ",""))</f>
        <v/>
      </c>
      <c r="P3440" s="47" t="n">
        <f aca="false">IF(OR($A3440="",D3440=""),0,IF(COUNTIF($D$2:D3440,D3440)=1,SUMIF($D$2:$D$5001,D3440,$H$2:$H$5001)+ROW()/10000000,0))</f>
        <v>0</v>
      </c>
      <c r="Q3440" s="47" t="n">
        <f aca="false">IF(OR($A3440="",C3440=""),0,IF(COUNTIF($C$2:C3440,C3440)=1,SUMIF($C$2:$C$5001,C3440,$H$2:$H$5001)+ROW()/10000000,0))</f>
        <v>0</v>
      </c>
    </row>
    <row r="3441" customFormat="false" ht="15" hidden="false" customHeight="false" outlineLevel="0" collapsed="false">
      <c r="A3441" s="43"/>
      <c r="B3441" s="44"/>
      <c r="C3441" s="44"/>
      <c r="D3441" s="44"/>
      <c r="E3441" s="44"/>
      <c r="F3441" s="44"/>
      <c r="G3441" s="44"/>
      <c r="H3441" s="46" t="str">
        <f aca="false">IF($A3441="","",IF(OR(NOT(ISNUMBER(E3441)),NOT(ISNUMBER(F3441))),"",MAX(0,E3441)*F3441))</f>
        <v/>
      </c>
      <c r="I3441" s="46" t="str">
        <f aca="false">IF($A3441="","",SUMIF($A$2:$A$5001,$A3441,$H$2:$H$5001))</f>
        <v/>
      </c>
      <c r="J3441" s="47" t="n">
        <f aca="false">IF($A3441="",0,IF(COUNTIF($A$2:A3441,$A3441)=1,1,0))</f>
        <v>0</v>
      </c>
      <c r="K3441" s="47" t="n">
        <f aca="false">IF(J3441=1,N(I3441)+ROW()/10000000,0)</f>
        <v>0</v>
      </c>
      <c r="L3441" s="47" t="str">
        <f aca="false">IF(AND(J3441=1,N(I3441)&gt;0),SUMIF($K$2:$K$5001,"&gt;="&amp;K3441,$I$2:$I$5001)/MAX(1,SUM($H$2:$H$5001)),"")</f>
        <v/>
      </c>
      <c r="M3441" s="47" t="str">
        <f aca="false">IF($A3441="","",INDEX($L$2:$L$5001,MATCH($A3441,$A$2:$A$5001,0)))</f>
        <v/>
      </c>
      <c r="N3441" s="48" t="str">
        <f aca="false">IF($A3441="","",IF(N(M3441)=0,"–",IF(M3441&lt;=Start!$D$20,"A",IF(M3441&lt;=Start!$D$21,"B","C"))))</f>
        <v/>
      </c>
      <c r="O3441" s="48" t="str">
        <f aca="false">IF($A3441="","",IF(NOT(ISNUMBER(F3441)),"Wert fehlt; ",IF(F3441&lt;=0,"Wert ist 0; ",""))&amp;IF(NOT(ISNUMBER(E3441)),"Bestand fehlt; ",IF(E3441&lt;0,"Bestand negativ; ",IF(E3441=0,"Nullbestand; ","")))&amp;IF(D3441="","Warengruppe fehlt; ","")&amp;IF(B3441="","Bezeichnung fehlt; ","")&amp;IF(COUNTIFS($A$2:$A$5001,$A3441,$C$2:$C$5001,C3441)&gt;1,"Artikel doppelt im selben Lager; ",""))</f>
        <v/>
      </c>
      <c r="P3441" s="47" t="n">
        <f aca="false">IF(OR($A3441="",D3441=""),0,IF(COUNTIF($D$2:D3441,D3441)=1,SUMIF($D$2:$D$5001,D3441,$H$2:$H$5001)+ROW()/10000000,0))</f>
        <v>0</v>
      </c>
      <c r="Q3441" s="47" t="n">
        <f aca="false">IF(OR($A3441="",C3441=""),0,IF(COUNTIF($C$2:C3441,C3441)=1,SUMIF($C$2:$C$5001,C3441,$H$2:$H$5001)+ROW()/10000000,0))</f>
        <v>0</v>
      </c>
    </row>
    <row r="3442" customFormat="false" ht="15" hidden="false" customHeight="false" outlineLevel="0" collapsed="false">
      <c r="A3442" s="43"/>
      <c r="B3442" s="44"/>
      <c r="C3442" s="44"/>
      <c r="D3442" s="44"/>
      <c r="E3442" s="44"/>
      <c r="F3442" s="44"/>
      <c r="G3442" s="44"/>
      <c r="H3442" s="46" t="str">
        <f aca="false">IF($A3442="","",IF(OR(NOT(ISNUMBER(E3442)),NOT(ISNUMBER(F3442))),"",MAX(0,E3442)*F3442))</f>
        <v/>
      </c>
      <c r="I3442" s="46" t="str">
        <f aca="false">IF($A3442="","",SUMIF($A$2:$A$5001,$A3442,$H$2:$H$5001))</f>
        <v/>
      </c>
      <c r="J3442" s="47" t="n">
        <f aca="false">IF($A3442="",0,IF(COUNTIF($A$2:A3442,$A3442)=1,1,0))</f>
        <v>0</v>
      </c>
      <c r="K3442" s="47" t="n">
        <f aca="false">IF(J3442=1,N(I3442)+ROW()/10000000,0)</f>
        <v>0</v>
      </c>
      <c r="L3442" s="47" t="str">
        <f aca="false">IF(AND(J3442=1,N(I3442)&gt;0),SUMIF($K$2:$K$5001,"&gt;="&amp;K3442,$I$2:$I$5001)/MAX(1,SUM($H$2:$H$5001)),"")</f>
        <v/>
      </c>
      <c r="M3442" s="47" t="str">
        <f aca="false">IF($A3442="","",INDEX($L$2:$L$5001,MATCH($A3442,$A$2:$A$5001,0)))</f>
        <v/>
      </c>
      <c r="N3442" s="48" t="str">
        <f aca="false">IF($A3442="","",IF(N(M3442)=0,"–",IF(M3442&lt;=Start!$D$20,"A",IF(M3442&lt;=Start!$D$21,"B","C"))))</f>
        <v/>
      </c>
      <c r="O3442" s="48" t="str">
        <f aca="false">IF($A3442="","",IF(NOT(ISNUMBER(F3442)),"Wert fehlt; ",IF(F3442&lt;=0,"Wert ist 0; ",""))&amp;IF(NOT(ISNUMBER(E3442)),"Bestand fehlt; ",IF(E3442&lt;0,"Bestand negativ; ",IF(E3442=0,"Nullbestand; ","")))&amp;IF(D3442="","Warengruppe fehlt; ","")&amp;IF(B3442="","Bezeichnung fehlt; ","")&amp;IF(COUNTIFS($A$2:$A$5001,$A3442,$C$2:$C$5001,C3442)&gt;1,"Artikel doppelt im selben Lager; ",""))</f>
        <v/>
      </c>
      <c r="P3442" s="47" t="n">
        <f aca="false">IF(OR($A3442="",D3442=""),0,IF(COUNTIF($D$2:D3442,D3442)=1,SUMIF($D$2:$D$5001,D3442,$H$2:$H$5001)+ROW()/10000000,0))</f>
        <v>0</v>
      </c>
      <c r="Q3442" s="47" t="n">
        <f aca="false">IF(OR($A3442="",C3442=""),0,IF(COUNTIF($C$2:C3442,C3442)=1,SUMIF($C$2:$C$5001,C3442,$H$2:$H$5001)+ROW()/10000000,0))</f>
        <v>0</v>
      </c>
    </row>
    <row r="3443" customFormat="false" ht="15" hidden="false" customHeight="false" outlineLevel="0" collapsed="false">
      <c r="A3443" s="43"/>
      <c r="B3443" s="44"/>
      <c r="C3443" s="44"/>
      <c r="D3443" s="44"/>
      <c r="E3443" s="44"/>
      <c r="F3443" s="44"/>
      <c r="G3443" s="44"/>
      <c r="H3443" s="46" t="str">
        <f aca="false">IF($A3443="","",IF(OR(NOT(ISNUMBER(E3443)),NOT(ISNUMBER(F3443))),"",MAX(0,E3443)*F3443))</f>
        <v/>
      </c>
      <c r="I3443" s="46" t="str">
        <f aca="false">IF($A3443="","",SUMIF($A$2:$A$5001,$A3443,$H$2:$H$5001))</f>
        <v/>
      </c>
      <c r="J3443" s="47" t="n">
        <f aca="false">IF($A3443="",0,IF(COUNTIF($A$2:A3443,$A3443)=1,1,0))</f>
        <v>0</v>
      </c>
      <c r="K3443" s="47" t="n">
        <f aca="false">IF(J3443=1,N(I3443)+ROW()/10000000,0)</f>
        <v>0</v>
      </c>
      <c r="L3443" s="47" t="str">
        <f aca="false">IF(AND(J3443=1,N(I3443)&gt;0),SUMIF($K$2:$K$5001,"&gt;="&amp;K3443,$I$2:$I$5001)/MAX(1,SUM($H$2:$H$5001)),"")</f>
        <v/>
      </c>
      <c r="M3443" s="47" t="str">
        <f aca="false">IF($A3443="","",INDEX($L$2:$L$5001,MATCH($A3443,$A$2:$A$5001,0)))</f>
        <v/>
      </c>
      <c r="N3443" s="48" t="str">
        <f aca="false">IF($A3443="","",IF(N(M3443)=0,"–",IF(M3443&lt;=Start!$D$20,"A",IF(M3443&lt;=Start!$D$21,"B","C"))))</f>
        <v/>
      </c>
      <c r="O3443" s="48" t="str">
        <f aca="false">IF($A3443="","",IF(NOT(ISNUMBER(F3443)),"Wert fehlt; ",IF(F3443&lt;=0,"Wert ist 0; ",""))&amp;IF(NOT(ISNUMBER(E3443)),"Bestand fehlt; ",IF(E3443&lt;0,"Bestand negativ; ",IF(E3443=0,"Nullbestand; ","")))&amp;IF(D3443="","Warengruppe fehlt; ","")&amp;IF(B3443="","Bezeichnung fehlt; ","")&amp;IF(COUNTIFS($A$2:$A$5001,$A3443,$C$2:$C$5001,C3443)&gt;1,"Artikel doppelt im selben Lager; ",""))</f>
        <v/>
      </c>
      <c r="P3443" s="47" t="n">
        <f aca="false">IF(OR($A3443="",D3443=""),0,IF(COUNTIF($D$2:D3443,D3443)=1,SUMIF($D$2:$D$5001,D3443,$H$2:$H$5001)+ROW()/10000000,0))</f>
        <v>0</v>
      </c>
      <c r="Q3443" s="47" t="n">
        <f aca="false">IF(OR($A3443="",C3443=""),0,IF(COUNTIF($C$2:C3443,C3443)=1,SUMIF($C$2:$C$5001,C3443,$H$2:$H$5001)+ROW()/10000000,0))</f>
        <v>0</v>
      </c>
    </row>
    <row r="3444" customFormat="false" ht="15" hidden="false" customHeight="false" outlineLevel="0" collapsed="false">
      <c r="A3444" s="43"/>
      <c r="B3444" s="44"/>
      <c r="C3444" s="44"/>
      <c r="D3444" s="44"/>
      <c r="E3444" s="44"/>
      <c r="F3444" s="44"/>
      <c r="G3444" s="44"/>
      <c r="H3444" s="46" t="str">
        <f aca="false">IF($A3444="","",IF(OR(NOT(ISNUMBER(E3444)),NOT(ISNUMBER(F3444))),"",MAX(0,E3444)*F3444))</f>
        <v/>
      </c>
      <c r="I3444" s="46" t="str">
        <f aca="false">IF($A3444="","",SUMIF($A$2:$A$5001,$A3444,$H$2:$H$5001))</f>
        <v/>
      </c>
      <c r="J3444" s="47" t="n">
        <f aca="false">IF($A3444="",0,IF(COUNTIF($A$2:A3444,$A3444)=1,1,0))</f>
        <v>0</v>
      </c>
      <c r="K3444" s="47" t="n">
        <f aca="false">IF(J3444=1,N(I3444)+ROW()/10000000,0)</f>
        <v>0</v>
      </c>
      <c r="L3444" s="47" t="str">
        <f aca="false">IF(AND(J3444=1,N(I3444)&gt;0),SUMIF($K$2:$K$5001,"&gt;="&amp;K3444,$I$2:$I$5001)/MAX(1,SUM($H$2:$H$5001)),"")</f>
        <v/>
      </c>
      <c r="M3444" s="47" t="str">
        <f aca="false">IF($A3444="","",INDEX($L$2:$L$5001,MATCH($A3444,$A$2:$A$5001,0)))</f>
        <v/>
      </c>
      <c r="N3444" s="48" t="str">
        <f aca="false">IF($A3444="","",IF(N(M3444)=0,"–",IF(M3444&lt;=Start!$D$20,"A",IF(M3444&lt;=Start!$D$21,"B","C"))))</f>
        <v/>
      </c>
      <c r="O3444" s="48" t="str">
        <f aca="false">IF($A3444="","",IF(NOT(ISNUMBER(F3444)),"Wert fehlt; ",IF(F3444&lt;=0,"Wert ist 0; ",""))&amp;IF(NOT(ISNUMBER(E3444)),"Bestand fehlt; ",IF(E3444&lt;0,"Bestand negativ; ",IF(E3444=0,"Nullbestand; ","")))&amp;IF(D3444="","Warengruppe fehlt; ","")&amp;IF(B3444="","Bezeichnung fehlt; ","")&amp;IF(COUNTIFS($A$2:$A$5001,$A3444,$C$2:$C$5001,C3444)&gt;1,"Artikel doppelt im selben Lager; ",""))</f>
        <v/>
      </c>
      <c r="P3444" s="47" t="n">
        <f aca="false">IF(OR($A3444="",D3444=""),0,IF(COUNTIF($D$2:D3444,D3444)=1,SUMIF($D$2:$D$5001,D3444,$H$2:$H$5001)+ROW()/10000000,0))</f>
        <v>0</v>
      </c>
      <c r="Q3444" s="47" t="n">
        <f aca="false">IF(OR($A3444="",C3444=""),0,IF(COUNTIF($C$2:C3444,C3444)=1,SUMIF($C$2:$C$5001,C3444,$H$2:$H$5001)+ROW()/10000000,0))</f>
        <v>0</v>
      </c>
    </row>
    <row r="3445" customFormat="false" ht="15" hidden="false" customHeight="false" outlineLevel="0" collapsed="false">
      <c r="A3445" s="43"/>
      <c r="B3445" s="44"/>
      <c r="C3445" s="44"/>
      <c r="D3445" s="44"/>
      <c r="E3445" s="44"/>
      <c r="F3445" s="44"/>
      <c r="G3445" s="44"/>
      <c r="H3445" s="46" t="str">
        <f aca="false">IF($A3445="","",IF(OR(NOT(ISNUMBER(E3445)),NOT(ISNUMBER(F3445))),"",MAX(0,E3445)*F3445))</f>
        <v/>
      </c>
      <c r="I3445" s="46" t="str">
        <f aca="false">IF($A3445="","",SUMIF($A$2:$A$5001,$A3445,$H$2:$H$5001))</f>
        <v/>
      </c>
      <c r="J3445" s="47" t="n">
        <f aca="false">IF($A3445="",0,IF(COUNTIF($A$2:A3445,$A3445)=1,1,0))</f>
        <v>0</v>
      </c>
      <c r="K3445" s="47" t="n">
        <f aca="false">IF(J3445=1,N(I3445)+ROW()/10000000,0)</f>
        <v>0</v>
      </c>
      <c r="L3445" s="47" t="str">
        <f aca="false">IF(AND(J3445=1,N(I3445)&gt;0),SUMIF($K$2:$K$5001,"&gt;="&amp;K3445,$I$2:$I$5001)/MAX(1,SUM($H$2:$H$5001)),"")</f>
        <v/>
      </c>
      <c r="M3445" s="47" t="str">
        <f aca="false">IF($A3445="","",INDEX($L$2:$L$5001,MATCH($A3445,$A$2:$A$5001,0)))</f>
        <v/>
      </c>
      <c r="N3445" s="48" t="str">
        <f aca="false">IF($A3445="","",IF(N(M3445)=0,"–",IF(M3445&lt;=Start!$D$20,"A",IF(M3445&lt;=Start!$D$21,"B","C"))))</f>
        <v/>
      </c>
      <c r="O3445" s="48" t="str">
        <f aca="false">IF($A3445="","",IF(NOT(ISNUMBER(F3445)),"Wert fehlt; ",IF(F3445&lt;=0,"Wert ist 0; ",""))&amp;IF(NOT(ISNUMBER(E3445)),"Bestand fehlt; ",IF(E3445&lt;0,"Bestand negativ; ",IF(E3445=0,"Nullbestand; ","")))&amp;IF(D3445="","Warengruppe fehlt; ","")&amp;IF(B3445="","Bezeichnung fehlt; ","")&amp;IF(COUNTIFS($A$2:$A$5001,$A3445,$C$2:$C$5001,C3445)&gt;1,"Artikel doppelt im selben Lager; ",""))</f>
        <v/>
      </c>
      <c r="P3445" s="47" t="n">
        <f aca="false">IF(OR($A3445="",D3445=""),0,IF(COUNTIF($D$2:D3445,D3445)=1,SUMIF($D$2:$D$5001,D3445,$H$2:$H$5001)+ROW()/10000000,0))</f>
        <v>0</v>
      </c>
      <c r="Q3445" s="47" t="n">
        <f aca="false">IF(OR($A3445="",C3445=""),0,IF(COUNTIF($C$2:C3445,C3445)=1,SUMIF($C$2:$C$5001,C3445,$H$2:$H$5001)+ROW()/10000000,0))</f>
        <v>0</v>
      </c>
    </row>
    <row r="3446" customFormat="false" ht="15" hidden="false" customHeight="false" outlineLevel="0" collapsed="false">
      <c r="A3446" s="43"/>
      <c r="B3446" s="44"/>
      <c r="C3446" s="44"/>
      <c r="D3446" s="44"/>
      <c r="E3446" s="44"/>
      <c r="F3446" s="44"/>
      <c r="G3446" s="44"/>
      <c r="H3446" s="46" t="str">
        <f aca="false">IF($A3446="","",IF(OR(NOT(ISNUMBER(E3446)),NOT(ISNUMBER(F3446))),"",MAX(0,E3446)*F3446))</f>
        <v/>
      </c>
      <c r="I3446" s="46" t="str">
        <f aca="false">IF($A3446="","",SUMIF($A$2:$A$5001,$A3446,$H$2:$H$5001))</f>
        <v/>
      </c>
      <c r="J3446" s="47" t="n">
        <f aca="false">IF($A3446="",0,IF(COUNTIF($A$2:A3446,$A3446)=1,1,0))</f>
        <v>0</v>
      </c>
      <c r="K3446" s="47" t="n">
        <f aca="false">IF(J3446=1,N(I3446)+ROW()/10000000,0)</f>
        <v>0</v>
      </c>
      <c r="L3446" s="47" t="str">
        <f aca="false">IF(AND(J3446=1,N(I3446)&gt;0),SUMIF($K$2:$K$5001,"&gt;="&amp;K3446,$I$2:$I$5001)/MAX(1,SUM($H$2:$H$5001)),"")</f>
        <v/>
      </c>
      <c r="M3446" s="47" t="str">
        <f aca="false">IF($A3446="","",INDEX($L$2:$L$5001,MATCH($A3446,$A$2:$A$5001,0)))</f>
        <v/>
      </c>
      <c r="N3446" s="48" t="str">
        <f aca="false">IF($A3446="","",IF(N(M3446)=0,"–",IF(M3446&lt;=Start!$D$20,"A",IF(M3446&lt;=Start!$D$21,"B","C"))))</f>
        <v/>
      </c>
      <c r="O3446" s="48" t="str">
        <f aca="false">IF($A3446="","",IF(NOT(ISNUMBER(F3446)),"Wert fehlt; ",IF(F3446&lt;=0,"Wert ist 0; ",""))&amp;IF(NOT(ISNUMBER(E3446)),"Bestand fehlt; ",IF(E3446&lt;0,"Bestand negativ; ",IF(E3446=0,"Nullbestand; ","")))&amp;IF(D3446="","Warengruppe fehlt; ","")&amp;IF(B3446="","Bezeichnung fehlt; ","")&amp;IF(COUNTIFS($A$2:$A$5001,$A3446,$C$2:$C$5001,C3446)&gt;1,"Artikel doppelt im selben Lager; ",""))</f>
        <v/>
      </c>
      <c r="P3446" s="47" t="n">
        <f aca="false">IF(OR($A3446="",D3446=""),0,IF(COUNTIF($D$2:D3446,D3446)=1,SUMIF($D$2:$D$5001,D3446,$H$2:$H$5001)+ROW()/10000000,0))</f>
        <v>0</v>
      </c>
      <c r="Q3446" s="47" t="n">
        <f aca="false">IF(OR($A3446="",C3446=""),0,IF(COUNTIF($C$2:C3446,C3446)=1,SUMIF($C$2:$C$5001,C3446,$H$2:$H$5001)+ROW()/10000000,0))</f>
        <v>0</v>
      </c>
    </row>
    <row r="3447" customFormat="false" ht="15" hidden="false" customHeight="false" outlineLevel="0" collapsed="false">
      <c r="A3447" s="43"/>
      <c r="B3447" s="44"/>
      <c r="C3447" s="44"/>
      <c r="D3447" s="44"/>
      <c r="E3447" s="44"/>
      <c r="F3447" s="44"/>
      <c r="G3447" s="44"/>
      <c r="H3447" s="46" t="str">
        <f aca="false">IF($A3447="","",IF(OR(NOT(ISNUMBER(E3447)),NOT(ISNUMBER(F3447))),"",MAX(0,E3447)*F3447))</f>
        <v/>
      </c>
      <c r="I3447" s="46" t="str">
        <f aca="false">IF($A3447="","",SUMIF($A$2:$A$5001,$A3447,$H$2:$H$5001))</f>
        <v/>
      </c>
      <c r="J3447" s="47" t="n">
        <f aca="false">IF($A3447="",0,IF(COUNTIF($A$2:A3447,$A3447)=1,1,0))</f>
        <v>0</v>
      </c>
      <c r="K3447" s="47" t="n">
        <f aca="false">IF(J3447=1,N(I3447)+ROW()/10000000,0)</f>
        <v>0</v>
      </c>
      <c r="L3447" s="47" t="str">
        <f aca="false">IF(AND(J3447=1,N(I3447)&gt;0),SUMIF($K$2:$K$5001,"&gt;="&amp;K3447,$I$2:$I$5001)/MAX(1,SUM($H$2:$H$5001)),"")</f>
        <v/>
      </c>
      <c r="M3447" s="47" t="str">
        <f aca="false">IF($A3447="","",INDEX($L$2:$L$5001,MATCH($A3447,$A$2:$A$5001,0)))</f>
        <v/>
      </c>
      <c r="N3447" s="48" t="str">
        <f aca="false">IF($A3447="","",IF(N(M3447)=0,"–",IF(M3447&lt;=Start!$D$20,"A",IF(M3447&lt;=Start!$D$21,"B","C"))))</f>
        <v/>
      </c>
      <c r="O3447" s="48" t="str">
        <f aca="false">IF($A3447="","",IF(NOT(ISNUMBER(F3447)),"Wert fehlt; ",IF(F3447&lt;=0,"Wert ist 0; ",""))&amp;IF(NOT(ISNUMBER(E3447)),"Bestand fehlt; ",IF(E3447&lt;0,"Bestand negativ; ",IF(E3447=0,"Nullbestand; ","")))&amp;IF(D3447="","Warengruppe fehlt; ","")&amp;IF(B3447="","Bezeichnung fehlt; ","")&amp;IF(COUNTIFS($A$2:$A$5001,$A3447,$C$2:$C$5001,C3447)&gt;1,"Artikel doppelt im selben Lager; ",""))</f>
        <v/>
      </c>
      <c r="P3447" s="47" t="n">
        <f aca="false">IF(OR($A3447="",D3447=""),0,IF(COUNTIF($D$2:D3447,D3447)=1,SUMIF($D$2:$D$5001,D3447,$H$2:$H$5001)+ROW()/10000000,0))</f>
        <v>0</v>
      </c>
      <c r="Q3447" s="47" t="n">
        <f aca="false">IF(OR($A3447="",C3447=""),0,IF(COUNTIF($C$2:C3447,C3447)=1,SUMIF($C$2:$C$5001,C3447,$H$2:$H$5001)+ROW()/10000000,0))</f>
        <v>0</v>
      </c>
    </row>
    <row r="3448" customFormat="false" ht="15" hidden="false" customHeight="false" outlineLevel="0" collapsed="false">
      <c r="A3448" s="43"/>
      <c r="B3448" s="44"/>
      <c r="C3448" s="44"/>
      <c r="D3448" s="44"/>
      <c r="E3448" s="44"/>
      <c r="F3448" s="44"/>
      <c r="G3448" s="44"/>
      <c r="H3448" s="46" t="str">
        <f aca="false">IF($A3448="","",IF(OR(NOT(ISNUMBER(E3448)),NOT(ISNUMBER(F3448))),"",MAX(0,E3448)*F3448))</f>
        <v/>
      </c>
      <c r="I3448" s="46" t="str">
        <f aca="false">IF($A3448="","",SUMIF($A$2:$A$5001,$A3448,$H$2:$H$5001))</f>
        <v/>
      </c>
      <c r="J3448" s="47" t="n">
        <f aca="false">IF($A3448="",0,IF(COUNTIF($A$2:A3448,$A3448)=1,1,0))</f>
        <v>0</v>
      </c>
      <c r="K3448" s="47" t="n">
        <f aca="false">IF(J3448=1,N(I3448)+ROW()/10000000,0)</f>
        <v>0</v>
      </c>
      <c r="L3448" s="47" t="str">
        <f aca="false">IF(AND(J3448=1,N(I3448)&gt;0),SUMIF($K$2:$K$5001,"&gt;="&amp;K3448,$I$2:$I$5001)/MAX(1,SUM($H$2:$H$5001)),"")</f>
        <v/>
      </c>
      <c r="M3448" s="47" t="str">
        <f aca="false">IF($A3448="","",INDEX($L$2:$L$5001,MATCH($A3448,$A$2:$A$5001,0)))</f>
        <v/>
      </c>
      <c r="N3448" s="48" t="str">
        <f aca="false">IF($A3448="","",IF(N(M3448)=0,"–",IF(M3448&lt;=Start!$D$20,"A",IF(M3448&lt;=Start!$D$21,"B","C"))))</f>
        <v/>
      </c>
      <c r="O3448" s="48" t="str">
        <f aca="false">IF($A3448="","",IF(NOT(ISNUMBER(F3448)),"Wert fehlt; ",IF(F3448&lt;=0,"Wert ist 0; ",""))&amp;IF(NOT(ISNUMBER(E3448)),"Bestand fehlt; ",IF(E3448&lt;0,"Bestand negativ; ",IF(E3448=0,"Nullbestand; ","")))&amp;IF(D3448="","Warengruppe fehlt; ","")&amp;IF(B3448="","Bezeichnung fehlt; ","")&amp;IF(COUNTIFS($A$2:$A$5001,$A3448,$C$2:$C$5001,C3448)&gt;1,"Artikel doppelt im selben Lager; ",""))</f>
        <v/>
      </c>
      <c r="P3448" s="47" t="n">
        <f aca="false">IF(OR($A3448="",D3448=""),0,IF(COUNTIF($D$2:D3448,D3448)=1,SUMIF($D$2:$D$5001,D3448,$H$2:$H$5001)+ROW()/10000000,0))</f>
        <v>0</v>
      </c>
      <c r="Q3448" s="47" t="n">
        <f aca="false">IF(OR($A3448="",C3448=""),0,IF(COUNTIF($C$2:C3448,C3448)=1,SUMIF($C$2:$C$5001,C3448,$H$2:$H$5001)+ROW()/10000000,0))</f>
        <v>0</v>
      </c>
    </row>
    <row r="3449" customFormat="false" ht="15" hidden="false" customHeight="false" outlineLevel="0" collapsed="false">
      <c r="A3449" s="43"/>
      <c r="B3449" s="44"/>
      <c r="C3449" s="44"/>
      <c r="D3449" s="44"/>
      <c r="E3449" s="44"/>
      <c r="F3449" s="44"/>
      <c r="G3449" s="44"/>
      <c r="H3449" s="46" t="str">
        <f aca="false">IF($A3449="","",IF(OR(NOT(ISNUMBER(E3449)),NOT(ISNUMBER(F3449))),"",MAX(0,E3449)*F3449))</f>
        <v/>
      </c>
      <c r="I3449" s="46" t="str">
        <f aca="false">IF($A3449="","",SUMIF($A$2:$A$5001,$A3449,$H$2:$H$5001))</f>
        <v/>
      </c>
      <c r="J3449" s="47" t="n">
        <f aca="false">IF($A3449="",0,IF(COUNTIF($A$2:A3449,$A3449)=1,1,0))</f>
        <v>0</v>
      </c>
      <c r="K3449" s="47" t="n">
        <f aca="false">IF(J3449=1,N(I3449)+ROW()/10000000,0)</f>
        <v>0</v>
      </c>
      <c r="L3449" s="47" t="str">
        <f aca="false">IF(AND(J3449=1,N(I3449)&gt;0),SUMIF($K$2:$K$5001,"&gt;="&amp;K3449,$I$2:$I$5001)/MAX(1,SUM($H$2:$H$5001)),"")</f>
        <v/>
      </c>
      <c r="M3449" s="47" t="str">
        <f aca="false">IF($A3449="","",INDEX($L$2:$L$5001,MATCH($A3449,$A$2:$A$5001,0)))</f>
        <v/>
      </c>
      <c r="N3449" s="48" t="str">
        <f aca="false">IF($A3449="","",IF(N(M3449)=0,"–",IF(M3449&lt;=Start!$D$20,"A",IF(M3449&lt;=Start!$D$21,"B","C"))))</f>
        <v/>
      </c>
      <c r="O3449" s="48" t="str">
        <f aca="false">IF($A3449="","",IF(NOT(ISNUMBER(F3449)),"Wert fehlt; ",IF(F3449&lt;=0,"Wert ist 0; ",""))&amp;IF(NOT(ISNUMBER(E3449)),"Bestand fehlt; ",IF(E3449&lt;0,"Bestand negativ; ",IF(E3449=0,"Nullbestand; ","")))&amp;IF(D3449="","Warengruppe fehlt; ","")&amp;IF(B3449="","Bezeichnung fehlt; ","")&amp;IF(COUNTIFS($A$2:$A$5001,$A3449,$C$2:$C$5001,C3449)&gt;1,"Artikel doppelt im selben Lager; ",""))</f>
        <v/>
      </c>
      <c r="P3449" s="47" t="n">
        <f aca="false">IF(OR($A3449="",D3449=""),0,IF(COUNTIF($D$2:D3449,D3449)=1,SUMIF($D$2:$D$5001,D3449,$H$2:$H$5001)+ROW()/10000000,0))</f>
        <v>0</v>
      </c>
      <c r="Q3449" s="47" t="n">
        <f aca="false">IF(OR($A3449="",C3449=""),0,IF(COUNTIF($C$2:C3449,C3449)=1,SUMIF($C$2:$C$5001,C3449,$H$2:$H$5001)+ROW()/10000000,0))</f>
        <v>0</v>
      </c>
    </row>
    <row r="3450" customFormat="false" ht="15" hidden="false" customHeight="false" outlineLevel="0" collapsed="false">
      <c r="A3450" s="43"/>
      <c r="B3450" s="44"/>
      <c r="C3450" s="44"/>
      <c r="D3450" s="44"/>
      <c r="E3450" s="44"/>
      <c r="F3450" s="44"/>
      <c r="G3450" s="44"/>
      <c r="H3450" s="46" t="str">
        <f aca="false">IF($A3450="","",IF(OR(NOT(ISNUMBER(E3450)),NOT(ISNUMBER(F3450))),"",MAX(0,E3450)*F3450))</f>
        <v/>
      </c>
      <c r="I3450" s="46" t="str">
        <f aca="false">IF($A3450="","",SUMIF($A$2:$A$5001,$A3450,$H$2:$H$5001))</f>
        <v/>
      </c>
      <c r="J3450" s="47" t="n">
        <f aca="false">IF($A3450="",0,IF(COUNTIF($A$2:A3450,$A3450)=1,1,0))</f>
        <v>0</v>
      </c>
      <c r="K3450" s="47" t="n">
        <f aca="false">IF(J3450=1,N(I3450)+ROW()/10000000,0)</f>
        <v>0</v>
      </c>
      <c r="L3450" s="47" t="str">
        <f aca="false">IF(AND(J3450=1,N(I3450)&gt;0),SUMIF($K$2:$K$5001,"&gt;="&amp;K3450,$I$2:$I$5001)/MAX(1,SUM($H$2:$H$5001)),"")</f>
        <v/>
      </c>
      <c r="M3450" s="47" t="str">
        <f aca="false">IF($A3450="","",INDEX($L$2:$L$5001,MATCH($A3450,$A$2:$A$5001,0)))</f>
        <v/>
      </c>
      <c r="N3450" s="48" t="str">
        <f aca="false">IF($A3450="","",IF(N(M3450)=0,"–",IF(M3450&lt;=Start!$D$20,"A",IF(M3450&lt;=Start!$D$21,"B","C"))))</f>
        <v/>
      </c>
      <c r="O3450" s="48" t="str">
        <f aca="false">IF($A3450="","",IF(NOT(ISNUMBER(F3450)),"Wert fehlt; ",IF(F3450&lt;=0,"Wert ist 0; ",""))&amp;IF(NOT(ISNUMBER(E3450)),"Bestand fehlt; ",IF(E3450&lt;0,"Bestand negativ; ",IF(E3450=0,"Nullbestand; ","")))&amp;IF(D3450="","Warengruppe fehlt; ","")&amp;IF(B3450="","Bezeichnung fehlt; ","")&amp;IF(COUNTIFS($A$2:$A$5001,$A3450,$C$2:$C$5001,C3450)&gt;1,"Artikel doppelt im selben Lager; ",""))</f>
        <v/>
      </c>
      <c r="P3450" s="47" t="n">
        <f aca="false">IF(OR($A3450="",D3450=""),0,IF(COUNTIF($D$2:D3450,D3450)=1,SUMIF($D$2:$D$5001,D3450,$H$2:$H$5001)+ROW()/10000000,0))</f>
        <v>0</v>
      </c>
      <c r="Q3450" s="47" t="n">
        <f aca="false">IF(OR($A3450="",C3450=""),0,IF(COUNTIF($C$2:C3450,C3450)=1,SUMIF($C$2:$C$5001,C3450,$H$2:$H$5001)+ROW()/10000000,0))</f>
        <v>0</v>
      </c>
    </row>
    <row r="3451" customFormat="false" ht="15" hidden="false" customHeight="false" outlineLevel="0" collapsed="false">
      <c r="A3451" s="43"/>
      <c r="B3451" s="44"/>
      <c r="C3451" s="44"/>
      <c r="D3451" s="44"/>
      <c r="E3451" s="44"/>
      <c r="F3451" s="44"/>
      <c r="G3451" s="44"/>
      <c r="H3451" s="46" t="str">
        <f aca="false">IF($A3451="","",IF(OR(NOT(ISNUMBER(E3451)),NOT(ISNUMBER(F3451))),"",MAX(0,E3451)*F3451))</f>
        <v/>
      </c>
      <c r="I3451" s="46" t="str">
        <f aca="false">IF($A3451="","",SUMIF($A$2:$A$5001,$A3451,$H$2:$H$5001))</f>
        <v/>
      </c>
      <c r="J3451" s="47" t="n">
        <f aca="false">IF($A3451="",0,IF(COUNTIF($A$2:A3451,$A3451)=1,1,0))</f>
        <v>0</v>
      </c>
      <c r="K3451" s="47" t="n">
        <f aca="false">IF(J3451=1,N(I3451)+ROW()/10000000,0)</f>
        <v>0</v>
      </c>
      <c r="L3451" s="47" t="str">
        <f aca="false">IF(AND(J3451=1,N(I3451)&gt;0),SUMIF($K$2:$K$5001,"&gt;="&amp;K3451,$I$2:$I$5001)/MAX(1,SUM($H$2:$H$5001)),"")</f>
        <v/>
      </c>
      <c r="M3451" s="47" t="str">
        <f aca="false">IF($A3451="","",INDEX($L$2:$L$5001,MATCH($A3451,$A$2:$A$5001,0)))</f>
        <v/>
      </c>
      <c r="N3451" s="48" t="str">
        <f aca="false">IF($A3451="","",IF(N(M3451)=0,"–",IF(M3451&lt;=Start!$D$20,"A",IF(M3451&lt;=Start!$D$21,"B","C"))))</f>
        <v/>
      </c>
      <c r="O3451" s="48" t="str">
        <f aca="false">IF($A3451="","",IF(NOT(ISNUMBER(F3451)),"Wert fehlt; ",IF(F3451&lt;=0,"Wert ist 0; ",""))&amp;IF(NOT(ISNUMBER(E3451)),"Bestand fehlt; ",IF(E3451&lt;0,"Bestand negativ; ",IF(E3451=0,"Nullbestand; ","")))&amp;IF(D3451="","Warengruppe fehlt; ","")&amp;IF(B3451="","Bezeichnung fehlt; ","")&amp;IF(COUNTIFS($A$2:$A$5001,$A3451,$C$2:$C$5001,C3451)&gt;1,"Artikel doppelt im selben Lager; ",""))</f>
        <v/>
      </c>
      <c r="P3451" s="47" t="n">
        <f aca="false">IF(OR($A3451="",D3451=""),0,IF(COUNTIF($D$2:D3451,D3451)=1,SUMIF($D$2:$D$5001,D3451,$H$2:$H$5001)+ROW()/10000000,0))</f>
        <v>0</v>
      </c>
      <c r="Q3451" s="47" t="n">
        <f aca="false">IF(OR($A3451="",C3451=""),0,IF(COUNTIF($C$2:C3451,C3451)=1,SUMIF($C$2:$C$5001,C3451,$H$2:$H$5001)+ROW()/10000000,0))</f>
        <v>0</v>
      </c>
    </row>
    <row r="3452" customFormat="false" ht="15" hidden="false" customHeight="false" outlineLevel="0" collapsed="false">
      <c r="A3452" s="43"/>
      <c r="B3452" s="44"/>
      <c r="C3452" s="44"/>
      <c r="D3452" s="44"/>
      <c r="E3452" s="44"/>
      <c r="F3452" s="44"/>
      <c r="G3452" s="44"/>
      <c r="H3452" s="46" t="str">
        <f aca="false">IF($A3452="","",IF(OR(NOT(ISNUMBER(E3452)),NOT(ISNUMBER(F3452))),"",MAX(0,E3452)*F3452))</f>
        <v/>
      </c>
      <c r="I3452" s="46" t="str">
        <f aca="false">IF($A3452="","",SUMIF($A$2:$A$5001,$A3452,$H$2:$H$5001))</f>
        <v/>
      </c>
      <c r="J3452" s="47" t="n">
        <f aca="false">IF($A3452="",0,IF(COUNTIF($A$2:A3452,$A3452)=1,1,0))</f>
        <v>0</v>
      </c>
      <c r="K3452" s="47" t="n">
        <f aca="false">IF(J3452=1,N(I3452)+ROW()/10000000,0)</f>
        <v>0</v>
      </c>
      <c r="L3452" s="47" t="str">
        <f aca="false">IF(AND(J3452=1,N(I3452)&gt;0),SUMIF($K$2:$K$5001,"&gt;="&amp;K3452,$I$2:$I$5001)/MAX(1,SUM($H$2:$H$5001)),"")</f>
        <v/>
      </c>
      <c r="M3452" s="47" t="str">
        <f aca="false">IF($A3452="","",INDEX($L$2:$L$5001,MATCH($A3452,$A$2:$A$5001,0)))</f>
        <v/>
      </c>
      <c r="N3452" s="48" t="str">
        <f aca="false">IF($A3452="","",IF(N(M3452)=0,"–",IF(M3452&lt;=Start!$D$20,"A",IF(M3452&lt;=Start!$D$21,"B","C"))))</f>
        <v/>
      </c>
      <c r="O3452" s="48" t="str">
        <f aca="false">IF($A3452="","",IF(NOT(ISNUMBER(F3452)),"Wert fehlt; ",IF(F3452&lt;=0,"Wert ist 0; ",""))&amp;IF(NOT(ISNUMBER(E3452)),"Bestand fehlt; ",IF(E3452&lt;0,"Bestand negativ; ",IF(E3452=0,"Nullbestand; ","")))&amp;IF(D3452="","Warengruppe fehlt; ","")&amp;IF(B3452="","Bezeichnung fehlt; ","")&amp;IF(COUNTIFS($A$2:$A$5001,$A3452,$C$2:$C$5001,C3452)&gt;1,"Artikel doppelt im selben Lager; ",""))</f>
        <v/>
      </c>
      <c r="P3452" s="47" t="n">
        <f aca="false">IF(OR($A3452="",D3452=""),0,IF(COUNTIF($D$2:D3452,D3452)=1,SUMIF($D$2:$D$5001,D3452,$H$2:$H$5001)+ROW()/10000000,0))</f>
        <v>0</v>
      </c>
      <c r="Q3452" s="47" t="n">
        <f aca="false">IF(OR($A3452="",C3452=""),0,IF(COUNTIF($C$2:C3452,C3452)=1,SUMIF($C$2:$C$5001,C3452,$H$2:$H$5001)+ROW()/10000000,0))</f>
        <v>0</v>
      </c>
    </row>
    <row r="3453" customFormat="false" ht="15" hidden="false" customHeight="false" outlineLevel="0" collapsed="false">
      <c r="A3453" s="43"/>
      <c r="B3453" s="44"/>
      <c r="C3453" s="44"/>
      <c r="D3453" s="44"/>
      <c r="E3453" s="44"/>
      <c r="F3453" s="44"/>
      <c r="G3453" s="44"/>
      <c r="H3453" s="46" t="str">
        <f aca="false">IF($A3453="","",IF(OR(NOT(ISNUMBER(E3453)),NOT(ISNUMBER(F3453))),"",MAX(0,E3453)*F3453))</f>
        <v/>
      </c>
      <c r="I3453" s="46" t="str">
        <f aca="false">IF($A3453="","",SUMIF($A$2:$A$5001,$A3453,$H$2:$H$5001))</f>
        <v/>
      </c>
      <c r="J3453" s="47" t="n">
        <f aca="false">IF($A3453="",0,IF(COUNTIF($A$2:A3453,$A3453)=1,1,0))</f>
        <v>0</v>
      </c>
      <c r="K3453" s="47" t="n">
        <f aca="false">IF(J3453=1,N(I3453)+ROW()/10000000,0)</f>
        <v>0</v>
      </c>
      <c r="L3453" s="47" t="str">
        <f aca="false">IF(AND(J3453=1,N(I3453)&gt;0),SUMIF($K$2:$K$5001,"&gt;="&amp;K3453,$I$2:$I$5001)/MAX(1,SUM($H$2:$H$5001)),"")</f>
        <v/>
      </c>
      <c r="M3453" s="47" t="str">
        <f aca="false">IF($A3453="","",INDEX($L$2:$L$5001,MATCH($A3453,$A$2:$A$5001,0)))</f>
        <v/>
      </c>
      <c r="N3453" s="48" t="str">
        <f aca="false">IF($A3453="","",IF(N(M3453)=0,"–",IF(M3453&lt;=Start!$D$20,"A",IF(M3453&lt;=Start!$D$21,"B","C"))))</f>
        <v/>
      </c>
      <c r="O3453" s="48" t="str">
        <f aca="false">IF($A3453="","",IF(NOT(ISNUMBER(F3453)),"Wert fehlt; ",IF(F3453&lt;=0,"Wert ist 0; ",""))&amp;IF(NOT(ISNUMBER(E3453)),"Bestand fehlt; ",IF(E3453&lt;0,"Bestand negativ; ",IF(E3453=0,"Nullbestand; ","")))&amp;IF(D3453="","Warengruppe fehlt; ","")&amp;IF(B3453="","Bezeichnung fehlt; ","")&amp;IF(COUNTIFS($A$2:$A$5001,$A3453,$C$2:$C$5001,C3453)&gt;1,"Artikel doppelt im selben Lager; ",""))</f>
        <v/>
      </c>
      <c r="P3453" s="47" t="n">
        <f aca="false">IF(OR($A3453="",D3453=""),0,IF(COUNTIF($D$2:D3453,D3453)=1,SUMIF($D$2:$D$5001,D3453,$H$2:$H$5001)+ROW()/10000000,0))</f>
        <v>0</v>
      </c>
      <c r="Q3453" s="47" t="n">
        <f aca="false">IF(OR($A3453="",C3453=""),0,IF(COUNTIF($C$2:C3453,C3453)=1,SUMIF($C$2:$C$5001,C3453,$H$2:$H$5001)+ROW()/10000000,0))</f>
        <v>0</v>
      </c>
    </row>
    <row r="3454" customFormat="false" ht="15" hidden="false" customHeight="false" outlineLevel="0" collapsed="false">
      <c r="A3454" s="43"/>
      <c r="B3454" s="44"/>
      <c r="C3454" s="44"/>
      <c r="D3454" s="44"/>
      <c r="E3454" s="44"/>
      <c r="F3454" s="44"/>
      <c r="G3454" s="44"/>
      <c r="H3454" s="46" t="str">
        <f aca="false">IF($A3454="","",IF(OR(NOT(ISNUMBER(E3454)),NOT(ISNUMBER(F3454))),"",MAX(0,E3454)*F3454))</f>
        <v/>
      </c>
      <c r="I3454" s="46" t="str">
        <f aca="false">IF($A3454="","",SUMIF($A$2:$A$5001,$A3454,$H$2:$H$5001))</f>
        <v/>
      </c>
      <c r="J3454" s="47" t="n">
        <f aca="false">IF($A3454="",0,IF(COUNTIF($A$2:A3454,$A3454)=1,1,0))</f>
        <v>0</v>
      </c>
      <c r="K3454" s="47" t="n">
        <f aca="false">IF(J3454=1,N(I3454)+ROW()/10000000,0)</f>
        <v>0</v>
      </c>
      <c r="L3454" s="47" t="str">
        <f aca="false">IF(AND(J3454=1,N(I3454)&gt;0),SUMIF($K$2:$K$5001,"&gt;="&amp;K3454,$I$2:$I$5001)/MAX(1,SUM($H$2:$H$5001)),"")</f>
        <v/>
      </c>
      <c r="M3454" s="47" t="str">
        <f aca="false">IF($A3454="","",INDEX($L$2:$L$5001,MATCH($A3454,$A$2:$A$5001,0)))</f>
        <v/>
      </c>
      <c r="N3454" s="48" t="str">
        <f aca="false">IF($A3454="","",IF(N(M3454)=0,"–",IF(M3454&lt;=Start!$D$20,"A",IF(M3454&lt;=Start!$D$21,"B","C"))))</f>
        <v/>
      </c>
      <c r="O3454" s="48" t="str">
        <f aca="false">IF($A3454="","",IF(NOT(ISNUMBER(F3454)),"Wert fehlt; ",IF(F3454&lt;=0,"Wert ist 0; ",""))&amp;IF(NOT(ISNUMBER(E3454)),"Bestand fehlt; ",IF(E3454&lt;0,"Bestand negativ; ",IF(E3454=0,"Nullbestand; ","")))&amp;IF(D3454="","Warengruppe fehlt; ","")&amp;IF(B3454="","Bezeichnung fehlt; ","")&amp;IF(COUNTIFS($A$2:$A$5001,$A3454,$C$2:$C$5001,C3454)&gt;1,"Artikel doppelt im selben Lager; ",""))</f>
        <v/>
      </c>
      <c r="P3454" s="47" t="n">
        <f aca="false">IF(OR($A3454="",D3454=""),0,IF(COUNTIF($D$2:D3454,D3454)=1,SUMIF($D$2:$D$5001,D3454,$H$2:$H$5001)+ROW()/10000000,0))</f>
        <v>0</v>
      </c>
      <c r="Q3454" s="47" t="n">
        <f aca="false">IF(OR($A3454="",C3454=""),0,IF(COUNTIF($C$2:C3454,C3454)=1,SUMIF($C$2:$C$5001,C3454,$H$2:$H$5001)+ROW()/10000000,0))</f>
        <v>0</v>
      </c>
    </row>
    <row r="3455" customFormat="false" ht="15" hidden="false" customHeight="false" outlineLevel="0" collapsed="false">
      <c r="A3455" s="43"/>
      <c r="B3455" s="44"/>
      <c r="C3455" s="44"/>
      <c r="D3455" s="44"/>
      <c r="E3455" s="44"/>
      <c r="F3455" s="44"/>
      <c r="G3455" s="44"/>
      <c r="H3455" s="46" t="str">
        <f aca="false">IF($A3455="","",IF(OR(NOT(ISNUMBER(E3455)),NOT(ISNUMBER(F3455))),"",MAX(0,E3455)*F3455))</f>
        <v/>
      </c>
      <c r="I3455" s="46" t="str">
        <f aca="false">IF($A3455="","",SUMIF($A$2:$A$5001,$A3455,$H$2:$H$5001))</f>
        <v/>
      </c>
      <c r="J3455" s="47" t="n">
        <f aca="false">IF($A3455="",0,IF(COUNTIF($A$2:A3455,$A3455)=1,1,0))</f>
        <v>0</v>
      </c>
      <c r="K3455" s="47" t="n">
        <f aca="false">IF(J3455=1,N(I3455)+ROW()/10000000,0)</f>
        <v>0</v>
      </c>
      <c r="L3455" s="47" t="str">
        <f aca="false">IF(AND(J3455=1,N(I3455)&gt;0),SUMIF($K$2:$K$5001,"&gt;="&amp;K3455,$I$2:$I$5001)/MAX(1,SUM($H$2:$H$5001)),"")</f>
        <v/>
      </c>
      <c r="M3455" s="47" t="str">
        <f aca="false">IF($A3455="","",INDEX($L$2:$L$5001,MATCH($A3455,$A$2:$A$5001,0)))</f>
        <v/>
      </c>
      <c r="N3455" s="48" t="str">
        <f aca="false">IF($A3455="","",IF(N(M3455)=0,"–",IF(M3455&lt;=Start!$D$20,"A",IF(M3455&lt;=Start!$D$21,"B","C"))))</f>
        <v/>
      </c>
      <c r="O3455" s="48" t="str">
        <f aca="false">IF($A3455="","",IF(NOT(ISNUMBER(F3455)),"Wert fehlt; ",IF(F3455&lt;=0,"Wert ist 0; ",""))&amp;IF(NOT(ISNUMBER(E3455)),"Bestand fehlt; ",IF(E3455&lt;0,"Bestand negativ; ",IF(E3455=0,"Nullbestand; ","")))&amp;IF(D3455="","Warengruppe fehlt; ","")&amp;IF(B3455="","Bezeichnung fehlt; ","")&amp;IF(COUNTIFS($A$2:$A$5001,$A3455,$C$2:$C$5001,C3455)&gt;1,"Artikel doppelt im selben Lager; ",""))</f>
        <v/>
      </c>
      <c r="P3455" s="47" t="n">
        <f aca="false">IF(OR($A3455="",D3455=""),0,IF(COUNTIF($D$2:D3455,D3455)=1,SUMIF($D$2:$D$5001,D3455,$H$2:$H$5001)+ROW()/10000000,0))</f>
        <v>0</v>
      </c>
      <c r="Q3455" s="47" t="n">
        <f aca="false">IF(OR($A3455="",C3455=""),0,IF(COUNTIF($C$2:C3455,C3455)=1,SUMIF($C$2:$C$5001,C3455,$H$2:$H$5001)+ROW()/10000000,0))</f>
        <v>0</v>
      </c>
    </row>
    <row r="3456" customFormat="false" ht="15" hidden="false" customHeight="false" outlineLevel="0" collapsed="false">
      <c r="A3456" s="43"/>
      <c r="B3456" s="44"/>
      <c r="C3456" s="44"/>
      <c r="D3456" s="44"/>
      <c r="E3456" s="44"/>
      <c r="F3456" s="44"/>
      <c r="G3456" s="44"/>
      <c r="H3456" s="46" t="str">
        <f aca="false">IF($A3456="","",IF(OR(NOT(ISNUMBER(E3456)),NOT(ISNUMBER(F3456))),"",MAX(0,E3456)*F3456))</f>
        <v/>
      </c>
      <c r="I3456" s="46" t="str">
        <f aca="false">IF($A3456="","",SUMIF($A$2:$A$5001,$A3456,$H$2:$H$5001))</f>
        <v/>
      </c>
      <c r="J3456" s="47" t="n">
        <f aca="false">IF($A3456="",0,IF(COUNTIF($A$2:A3456,$A3456)=1,1,0))</f>
        <v>0</v>
      </c>
      <c r="K3456" s="47" t="n">
        <f aca="false">IF(J3456=1,N(I3456)+ROW()/10000000,0)</f>
        <v>0</v>
      </c>
      <c r="L3456" s="47" t="str">
        <f aca="false">IF(AND(J3456=1,N(I3456)&gt;0),SUMIF($K$2:$K$5001,"&gt;="&amp;K3456,$I$2:$I$5001)/MAX(1,SUM($H$2:$H$5001)),"")</f>
        <v/>
      </c>
      <c r="M3456" s="47" t="str">
        <f aca="false">IF($A3456="","",INDEX($L$2:$L$5001,MATCH($A3456,$A$2:$A$5001,0)))</f>
        <v/>
      </c>
      <c r="N3456" s="48" t="str">
        <f aca="false">IF($A3456="","",IF(N(M3456)=0,"–",IF(M3456&lt;=Start!$D$20,"A",IF(M3456&lt;=Start!$D$21,"B","C"))))</f>
        <v/>
      </c>
      <c r="O3456" s="48" t="str">
        <f aca="false">IF($A3456="","",IF(NOT(ISNUMBER(F3456)),"Wert fehlt; ",IF(F3456&lt;=0,"Wert ist 0; ",""))&amp;IF(NOT(ISNUMBER(E3456)),"Bestand fehlt; ",IF(E3456&lt;0,"Bestand negativ; ",IF(E3456=0,"Nullbestand; ","")))&amp;IF(D3456="","Warengruppe fehlt; ","")&amp;IF(B3456="","Bezeichnung fehlt; ","")&amp;IF(COUNTIFS($A$2:$A$5001,$A3456,$C$2:$C$5001,C3456)&gt;1,"Artikel doppelt im selben Lager; ",""))</f>
        <v/>
      </c>
      <c r="P3456" s="47" t="n">
        <f aca="false">IF(OR($A3456="",D3456=""),0,IF(COUNTIF($D$2:D3456,D3456)=1,SUMIF($D$2:$D$5001,D3456,$H$2:$H$5001)+ROW()/10000000,0))</f>
        <v>0</v>
      </c>
      <c r="Q3456" s="47" t="n">
        <f aca="false">IF(OR($A3456="",C3456=""),0,IF(COUNTIF($C$2:C3456,C3456)=1,SUMIF($C$2:$C$5001,C3456,$H$2:$H$5001)+ROW()/10000000,0))</f>
        <v>0</v>
      </c>
    </row>
    <row r="3457" customFormat="false" ht="15" hidden="false" customHeight="false" outlineLevel="0" collapsed="false">
      <c r="A3457" s="43"/>
      <c r="B3457" s="44"/>
      <c r="C3457" s="44"/>
      <c r="D3457" s="44"/>
      <c r="E3457" s="44"/>
      <c r="F3457" s="44"/>
      <c r="G3457" s="44"/>
      <c r="H3457" s="46" t="str">
        <f aca="false">IF($A3457="","",IF(OR(NOT(ISNUMBER(E3457)),NOT(ISNUMBER(F3457))),"",MAX(0,E3457)*F3457))</f>
        <v/>
      </c>
      <c r="I3457" s="46" t="str">
        <f aca="false">IF($A3457="","",SUMIF($A$2:$A$5001,$A3457,$H$2:$H$5001))</f>
        <v/>
      </c>
      <c r="J3457" s="47" t="n">
        <f aca="false">IF($A3457="",0,IF(COUNTIF($A$2:A3457,$A3457)=1,1,0))</f>
        <v>0</v>
      </c>
      <c r="K3457" s="47" t="n">
        <f aca="false">IF(J3457=1,N(I3457)+ROW()/10000000,0)</f>
        <v>0</v>
      </c>
      <c r="L3457" s="47" t="str">
        <f aca="false">IF(AND(J3457=1,N(I3457)&gt;0),SUMIF($K$2:$K$5001,"&gt;="&amp;K3457,$I$2:$I$5001)/MAX(1,SUM($H$2:$H$5001)),"")</f>
        <v/>
      </c>
      <c r="M3457" s="47" t="str">
        <f aca="false">IF($A3457="","",INDEX($L$2:$L$5001,MATCH($A3457,$A$2:$A$5001,0)))</f>
        <v/>
      </c>
      <c r="N3457" s="48" t="str">
        <f aca="false">IF($A3457="","",IF(N(M3457)=0,"–",IF(M3457&lt;=Start!$D$20,"A",IF(M3457&lt;=Start!$D$21,"B","C"))))</f>
        <v/>
      </c>
      <c r="O3457" s="48" t="str">
        <f aca="false">IF($A3457="","",IF(NOT(ISNUMBER(F3457)),"Wert fehlt; ",IF(F3457&lt;=0,"Wert ist 0; ",""))&amp;IF(NOT(ISNUMBER(E3457)),"Bestand fehlt; ",IF(E3457&lt;0,"Bestand negativ; ",IF(E3457=0,"Nullbestand; ","")))&amp;IF(D3457="","Warengruppe fehlt; ","")&amp;IF(B3457="","Bezeichnung fehlt; ","")&amp;IF(COUNTIFS($A$2:$A$5001,$A3457,$C$2:$C$5001,C3457)&gt;1,"Artikel doppelt im selben Lager; ",""))</f>
        <v/>
      </c>
      <c r="P3457" s="47" t="n">
        <f aca="false">IF(OR($A3457="",D3457=""),0,IF(COUNTIF($D$2:D3457,D3457)=1,SUMIF($D$2:$D$5001,D3457,$H$2:$H$5001)+ROW()/10000000,0))</f>
        <v>0</v>
      </c>
      <c r="Q3457" s="47" t="n">
        <f aca="false">IF(OR($A3457="",C3457=""),0,IF(COUNTIF($C$2:C3457,C3457)=1,SUMIF($C$2:$C$5001,C3457,$H$2:$H$5001)+ROW()/10000000,0))</f>
        <v>0</v>
      </c>
    </row>
    <row r="3458" customFormat="false" ht="15" hidden="false" customHeight="false" outlineLevel="0" collapsed="false">
      <c r="A3458" s="43"/>
      <c r="B3458" s="44"/>
      <c r="C3458" s="44"/>
      <c r="D3458" s="44"/>
      <c r="E3458" s="44"/>
      <c r="F3458" s="44"/>
      <c r="G3458" s="44"/>
      <c r="H3458" s="46" t="str">
        <f aca="false">IF($A3458="","",IF(OR(NOT(ISNUMBER(E3458)),NOT(ISNUMBER(F3458))),"",MAX(0,E3458)*F3458))</f>
        <v/>
      </c>
      <c r="I3458" s="46" t="str">
        <f aca="false">IF($A3458="","",SUMIF($A$2:$A$5001,$A3458,$H$2:$H$5001))</f>
        <v/>
      </c>
      <c r="J3458" s="47" t="n">
        <f aca="false">IF($A3458="",0,IF(COUNTIF($A$2:A3458,$A3458)=1,1,0))</f>
        <v>0</v>
      </c>
      <c r="K3458" s="47" t="n">
        <f aca="false">IF(J3458=1,N(I3458)+ROW()/10000000,0)</f>
        <v>0</v>
      </c>
      <c r="L3458" s="47" t="str">
        <f aca="false">IF(AND(J3458=1,N(I3458)&gt;0),SUMIF($K$2:$K$5001,"&gt;="&amp;K3458,$I$2:$I$5001)/MAX(1,SUM($H$2:$H$5001)),"")</f>
        <v/>
      </c>
      <c r="M3458" s="47" t="str">
        <f aca="false">IF($A3458="","",INDEX($L$2:$L$5001,MATCH($A3458,$A$2:$A$5001,0)))</f>
        <v/>
      </c>
      <c r="N3458" s="48" t="str">
        <f aca="false">IF($A3458="","",IF(N(M3458)=0,"–",IF(M3458&lt;=Start!$D$20,"A",IF(M3458&lt;=Start!$D$21,"B","C"))))</f>
        <v/>
      </c>
      <c r="O3458" s="48" t="str">
        <f aca="false">IF($A3458="","",IF(NOT(ISNUMBER(F3458)),"Wert fehlt; ",IF(F3458&lt;=0,"Wert ist 0; ",""))&amp;IF(NOT(ISNUMBER(E3458)),"Bestand fehlt; ",IF(E3458&lt;0,"Bestand negativ; ",IF(E3458=0,"Nullbestand; ","")))&amp;IF(D3458="","Warengruppe fehlt; ","")&amp;IF(B3458="","Bezeichnung fehlt; ","")&amp;IF(COUNTIFS($A$2:$A$5001,$A3458,$C$2:$C$5001,C3458)&gt;1,"Artikel doppelt im selben Lager; ",""))</f>
        <v/>
      </c>
      <c r="P3458" s="47" t="n">
        <f aca="false">IF(OR($A3458="",D3458=""),0,IF(COUNTIF($D$2:D3458,D3458)=1,SUMIF($D$2:$D$5001,D3458,$H$2:$H$5001)+ROW()/10000000,0))</f>
        <v>0</v>
      </c>
      <c r="Q3458" s="47" t="n">
        <f aca="false">IF(OR($A3458="",C3458=""),0,IF(COUNTIF($C$2:C3458,C3458)=1,SUMIF($C$2:$C$5001,C3458,$H$2:$H$5001)+ROW()/10000000,0))</f>
        <v>0</v>
      </c>
    </row>
    <row r="3459" customFormat="false" ht="15" hidden="false" customHeight="false" outlineLevel="0" collapsed="false">
      <c r="A3459" s="43"/>
      <c r="B3459" s="44"/>
      <c r="C3459" s="44"/>
      <c r="D3459" s="44"/>
      <c r="E3459" s="44"/>
      <c r="F3459" s="44"/>
      <c r="G3459" s="44"/>
      <c r="H3459" s="46" t="str">
        <f aca="false">IF($A3459="","",IF(OR(NOT(ISNUMBER(E3459)),NOT(ISNUMBER(F3459))),"",MAX(0,E3459)*F3459))</f>
        <v/>
      </c>
      <c r="I3459" s="46" t="str">
        <f aca="false">IF($A3459="","",SUMIF($A$2:$A$5001,$A3459,$H$2:$H$5001))</f>
        <v/>
      </c>
      <c r="J3459" s="47" t="n">
        <f aca="false">IF($A3459="",0,IF(COUNTIF($A$2:A3459,$A3459)=1,1,0))</f>
        <v>0</v>
      </c>
      <c r="K3459" s="47" t="n">
        <f aca="false">IF(J3459=1,N(I3459)+ROW()/10000000,0)</f>
        <v>0</v>
      </c>
      <c r="L3459" s="47" t="str">
        <f aca="false">IF(AND(J3459=1,N(I3459)&gt;0),SUMIF($K$2:$K$5001,"&gt;="&amp;K3459,$I$2:$I$5001)/MAX(1,SUM($H$2:$H$5001)),"")</f>
        <v/>
      </c>
      <c r="M3459" s="47" t="str">
        <f aca="false">IF($A3459="","",INDEX($L$2:$L$5001,MATCH($A3459,$A$2:$A$5001,0)))</f>
        <v/>
      </c>
      <c r="N3459" s="48" t="str">
        <f aca="false">IF($A3459="","",IF(N(M3459)=0,"–",IF(M3459&lt;=Start!$D$20,"A",IF(M3459&lt;=Start!$D$21,"B","C"))))</f>
        <v/>
      </c>
      <c r="O3459" s="48" t="str">
        <f aca="false">IF($A3459="","",IF(NOT(ISNUMBER(F3459)),"Wert fehlt; ",IF(F3459&lt;=0,"Wert ist 0; ",""))&amp;IF(NOT(ISNUMBER(E3459)),"Bestand fehlt; ",IF(E3459&lt;0,"Bestand negativ; ",IF(E3459=0,"Nullbestand; ","")))&amp;IF(D3459="","Warengruppe fehlt; ","")&amp;IF(B3459="","Bezeichnung fehlt; ","")&amp;IF(COUNTIFS($A$2:$A$5001,$A3459,$C$2:$C$5001,C3459)&gt;1,"Artikel doppelt im selben Lager; ",""))</f>
        <v/>
      </c>
      <c r="P3459" s="47" t="n">
        <f aca="false">IF(OR($A3459="",D3459=""),0,IF(COUNTIF($D$2:D3459,D3459)=1,SUMIF($D$2:$D$5001,D3459,$H$2:$H$5001)+ROW()/10000000,0))</f>
        <v>0</v>
      </c>
      <c r="Q3459" s="47" t="n">
        <f aca="false">IF(OR($A3459="",C3459=""),0,IF(COUNTIF($C$2:C3459,C3459)=1,SUMIF($C$2:$C$5001,C3459,$H$2:$H$5001)+ROW()/10000000,0))</f>
        <v>0</v>
      </c>
    </row>
    <row r="3460" customFormat="false" ht="15" hidden="false" customHeight="false" outlineLevel="0" collapsed="false">
      <c r="A3460" s="43"/>
      <c r="B3460" s="44"/>
      <c r="C3460" s="44"/>
      <c r="D3460" s="44"/>
      <c r="E3460" s="44"/>
      <c r="F3460" s="44"/>
      <c r="G3460" s="44"/>
      <c r="H3460" s="46" t="str">
        <f aca="false">IF($A3460="","",IF(OR(NOT(ISNUMBER(E3460)),NOT(ISNUMBER(F3460))),"",MAX(0,E3460)*F3460))</f>
        <v/>
      </c>
      <c r="I3460" s="46" t="str">
        <f aca="false">IF($A3460="","",SUMIF($A$2:$A$5001,$A3460,$H$2:$H$5001))</f>
        <v/>
      </c>
      <c r="J3460" s="47" t="n">
        <f aca="false">IF($A3460="",0,IF(COUNTIF($A$2:A3460,$A3460)=1,1,0))</f>
        <v>0</v>
      </c>
      <c r="K3460" s="47" t="n">
        <f aca="false">IF(J3460=1,N(I3460)+ROW()/10000000,0)</f>
        <v>0</v>
      </c>
      <c r="L3460" s="47" t="str">
        <f aca="false">IF(AND(J3460=1,N(I3460)&gt;0),SUMIF($K$2:$K$5001,"&gt;="&amp;K3460,$I$2:$I$5001)/MAX(1,SUM($H$2:$H$5001)),"")</f>
        <v/>
      </c>
      <c r="M3460" s="47" t="str">
        <f aca="false">IF($A3460="","",INDEX($L$2:$L$5001,MATCH($A3460,$A$2:$A$5001,0)))</f>
        <v/>
      </c>
      <c r="N3460" s="48" t="str">
        <f aca="false">IF($A3460="","",IF(N(M3460)=0,"–",IF(M3460&lt;=Start!$D$20,"A",IF(M3460&lt;=Start!$D$21,"B","C"))))</f>
        <v/>
      </c>
      <c r="O3460" s="48" t="str">
        <f aca="false">IF($A3460="","",IF(NOT(ISNUMBER(F3460)),"Wert fehlt; ",IF(F3460&lt;=0,"Wert ist 0; ",""))&amp;IF(NOT(ISNUMBER(E3460)),"Bestand fehlt; ",IF(E3460&lt;0,"Bestand negativ; ",IF(E3460=0,"Nullbestand; ","")))&amp;IF(D3460="","Warengruppe fehlt; ","")&amp;IF(B3460="","Bezeichnung fehlt; ","")&amp;IF(COUNTIFS($A$2:$A$5001,$A3460,$C$2:$C$5001,C3460)&gt;1,"Artikel doppelt im selben Lager; ",""))</f>
        <v/>
      </c>
      <c r="P3460" s="47" t="n">
        <f aca="false">IF(OR($A3460="",D3460=""),0,IF(COUNTIF($D$2:D3460,D3460)=1,SUMIF($D$2:$D$5001,D3460,$H$2:$H$5001)+ROW()/10000000,0))</f>
        <v>0</v>
      </c>
      <c r="Q3460" s="47" t="n">
        <f aca="false">IF(OR($A3460="",C3460=""),0,IF(COUNTIF($C$2:C3460,C3460)=1,SUMIF($C$2:$C$5001,C3460,$H$2:$H$5001)+ROW()/10000000,0))</f>
        <v>0</v>
      </c>
    </row>
    <row r="3461" customFormat="false" ht="15" hidden="false" customHeight="false" outlineLevel="0" collapsed="false">
      <c r="A3461" s="43"/>
      <c r="B3461" s="44"/>
      <c r="C3461" s="44"/>
      <c r="D3461" s="44"/>
      <c r="E3461" s="44"/>
      <c r="F3461" s="44"/>
      <c r="G3461" s="44"/>
      <c r="H3461" s="46" t="str">
        <f aca="false">IF($A3461="","",IF(OR(NOT(ISNUMBER(E3461)),NOT(ISNUMBER(F3461))),"",MAX(0,E3461)*F3461))</f>
        <v/>
      </c>
      <c r="I3461" s="46" t="str">
        <f aca="false">IF($A3461="","",SUMIF($A$2:$A$5001,$A3461,$H$2:$H$5001))</f>
        <v/>
      </c>
      <c r="J3461" s="47" t="n">
        <f aca="false">IF($A3461="",0,IF(COUNTIF($A$2:A3461,$A3461)=1,1,0))</f>
        <v>0</v>
      </c>
      <c r="K3461" s="47" t="n">
        <f aca="false">IF(J3461=1,N(I3461)+ROW()/10000000,0)</f>
        <v>0</v>
      </c>
      <c r="L3461" s="47" t="str">
        <f aca="false">IF(AND(J3461=1,N(I3461)&gt;0),SUMIF($K$2:$K$5001,"&gt;="&amp;K3461,$I$2:$I$5001)/MAX(1,SUM($H$2:$H$5001)),"")</f>
        <v/>
      </c>
      <c r="M3461" s="47" t="str">
        <f aca="false">IF($A3461="","",INDEX($L$2:$L$5001,MATCH($A3461,$A$2:$A$5001,0)))</f>
        <v/>
      </c>
      <c r="N3461" s="48" t="str">
        <f aca="false">IF($A3461="","",IF(N(M3461)=0,"–",IF(M3461&lt;=Start!$D$20,"A",IF(M3461&lt;=Start!$D$21,"B","C"))))</f>
        <v/>
      </c>
      <c r="O3461" s="48" t="str">
        <f aca="false">IF($A3461="","",IF(NOT(ISNUMBER(F3461)),"Wert fehlt; ",IF(F3461&lt;=0,"Wert ist 0; ",""))&amp;IF(NOT(ISNUMBER(E3461)),"Bestand fehlt; ",IF(E3461&lt;0,"Bestand negativ; ",IF(E3461=0,"Nullbestand; ","")))&amp;IF(D3461="","Warengruppe fehlt; ","")&amp;IF(B3461="","Bezeichnung fehlt; ","")&amp;IF(COUNTIFS($A$2:$A$5001,$A3461,$C$2:$C$5001,C3461)&gt;1,"Artikel doppelt im selben Lager; ",""))</f>
        <v/>
      </c>
      <c r="P3461" s="47" t="n">
        <f aca="false">IF(OR($A3461="",D3461=""),0,IF(COUNTIF($D$2:D3461,D3461)=1,SUMIF($D$2:$D$5001,D3461,$H$2:$H$5001)+ROW()/10000000,0))</f>
        <v>0</v>
      </c>
      <c r="Q3461" s="47" t="n">
        <f aca="false">IF(OR($A3461="",C3461=""),0,IF(COUNTIF($C$2:C3461,C3461)=1,SUMIF($C$2:$C$5001,C3461,$H$2:$H$5001)+ROW()/10000000,0))</f>
        <v>0</v>
      </c>
    </row>
    <row r="3462" customFormat="false" ht="15" hidden="false" customHeight="false" outlineLevel="0" collapsed="false">
      <c r="A3462" s="43"/>
      <c r="B3462" s="44"/>
      <c r="C3462" s="44"/>
      <c r="D3462" s="44"/>
      <c r="E3462" s="44"/>
      <c r="F3462" s="44"/>
      <c r="G3462" s="44"/>
      <c r="H3462" s="46" t="str">
        <f aca="false">IF($A3462="","",IF(OR(NOT(ISNUMBER(E3462)),NOT(ISNUMBER(F3462))),"",MAX(0,E3462)*F3462))</f>
        <v/>
      </c>
      <c r="I3462" s="46" t="str">
        <f aca="false">IF($A3462="","",SUMIF($A$2:$A$5001,$A3462,$H$2:$H$5001))</f>
        <v/>
      </c>
      <c r="J3462" s="47" t="n">
        <f aca="false">IF($A3462="",0,IF(COUNTIF($A$2:A3462,$A3462)=1,1,0))</f>
        <v>0</v>
      </c>
      <c r="K3462" s="47" t="n">
        <f aca="false">IF(J3462=1,N(I3462)+ROW()/10000000,0)</f>
        <v>0</v>
      </c>
      <c r="L3462" s="47" t="str">
        <f aca="false">IF(AND(J3462=1,N(I3462)&gt;0),SUMIF($K$2:$K$5001,"&gt;="&amp;K3462,$I$2:$I$5001)/MAX(1,SUM($H$2:$H$5001)),"")</f>
        <v/>
      </c>
      <c r="M3462" s="47" t="str">
        <f aca="false">IF($A3462="","",INDEX($L$2:$L$5001,MATCH($A3462,$A$2:$A$5001,0)))</f>
        <v/>
      </c>
      <c r="N3462" s="48" t="str">
        <f aca="false">IF($A3462="","",IF(N(M3462)=0,"–",IF(M3462&lt;=Start!$D$20,"A",IF(M3462&lt;=Start!$D$21,"B","C"))))</f>
        <v/>
      </c>
      <c r="O3462" s="48" t="str">
        <f aca="false">IF($A3462="","",IF(NOT(ISNUMBER(F3462)),"Wert fehlt; ",IF(F3462&lt;=0,"Wert ist 0; ",""))&amp;IF(NOT(ISNUMBER(E3462)),"Bestand fehlt; ",IF(E3462&lt;0,"Bestand negativ; ",IF(E3462=0,"Nullbestand; ","")))&amp;IF(D3462="","Warengruppe fehlt; ","")&amp;IF(B3462="","Bezeichnung fehlt; ","")&amp;IF(COUNTIFS($A$2:$A$5001,$A3462,$C$2:$C$5001,C3462)&gt;1,"Artikel doppelt im selben Lager; ",""))</f>
        <v/>
      </c>
      <c r="P3462" s="47" t="n">
        <f aca="false">IF(OR($A3462="",D3462=""),0,IF(COUNTIF($D$2:D3462,D3462)=1,SUMIF($D$2:$D$5001,D3462,$H$2:$H$5001)+ROW()/10000000,0))</f>
        <v>0</v>
      </c>
      <c r="Q3462" s="47" t="n">
        <f aca="false">IF(OR($A3462="",C3462=""),0,IF(COUNTIF($C$2:C3462,C3462)=1,SUMIF($C$2:$C$5001,C3462,$H$2:$H$5001)+ROW()/10000000,0))</f>
        <v>0</v>
      </c>
    </row>
    <row r="3463" customFormat="false" ht="15" hidden="false" customHeight="false" outlineLevel="0" collapsed="false">
      <c r="A3463" s="43"/>
      <c r="B3463" s="44"/>
      <c r="C3463" s="44"/>
      <c r="D3463" s="44"/>
      <c r="E3463" s="44"/>
      <c r="F3463" s="44"/>
      <c r="G3463" s="44"/>
      <c r="H3463" s="46" t="str">
        <f aca="false">IF($A3463="","",IF(OR(NOT(ISNUMBER(E3463)),NOT(ISNUMBER(F3463))),"",MAX(0,E3463)*F3463))</f>
        <v/>
      </c>
      <c r="I3463" s="46" t="str">
        <f aca="false">IF($A3463="","",SUMIF($A$2:$A$5001,$A3463,$H$2:$H$5001))</f>
        <v/>
      </c>
      <c r="J3463" s="47" t="n">
        <f aca="false">IF($A3463="",0,IF(COUNTIF($A$2:A3463,$A3463)=1,1,0))</f>
        <v>0</v>
      </c>
      <c r="K3463" s="47" t="n">
        <f aca="false">IF(J3463=1,N(I3463)+ROW()/10000000,0)</f>
        <v>0</v>
      </c>
      <c r="L3463" s="47" t="str">
        <f aca="false">IF(AND(J3463=1,N(I3463)&gt;0),SUMIF($K$2:$K$5001,"&gt;="&amp;K3463,$I$2:$I$5001)/MAX(1,SUM($H$2:$H$5001)),"")</f>
        <v/>
      </c>
      <c r="M3463" s="47" t="str">
        <f aca="false">IF($A3463="","",INDEX($L$2:$L$5001,MATCH($A3463,$A$2:$A$5001,0)))</f>
        <v/>
      </c>
      <c r="N3463" s="48" t="str">
        <f aca="false">IF($A3463="","",IF(N(M3463)=0,"–",IF(M3463&lt;=Start!$D$20,"A",IF(M3463&lt;=Start!$D$21,"B","C"))))</f>
        <v/>
      </c>
      <c r="O3463" s="48" t="str">
        <f aca="false">IF($A3463="","",IF(NOT(ISNUMBER(F3463)),"Wert fehlt; ",IF(F3463&lt;=0,"Wert ist 0; ",""))&amp;IF(NOT(ISNUMBER(E3463)),"Bestand fehlt; ",IF(E3463&lt;0,"Bestand negativ; ",IF(E3463=0,"Nullbestand; ","")))&amp;IF(D3463="","Warengruppe fehlt; ","")&amp;IF(B3463="","Bezeichnung fehlt; ","")&amp;IF(COUNTIFS($A$2:$A$5001,$A3463,$C$2:$C$5001,C3463)&gt;1,"Artikel doppelt im selben Lager; ",""))</f>
        <v/>
      </c>
      <c r="P3463" s="47" t="n">
        <f aca="false">IF(OR($A3463="",D3463=""),0,IF(COUNTIF($D$2:D3463,D3463)=1,SUMIF($D$2:$D$5001,D3463,$H$2:$H$5001)+ROW()/10000000,0))</f>
        <v>0</v>
      </c>
      <c r="Q3463" s="47" t="n">
        <f aca="false">IF(OR($A3463="",C3463=""),0,IF(COUNTIF($C$2:C3463,C3463)=1,SUMIF($C$2:$C$5001,C3463,$H$2:$H$5001)+ROW()/10000000,0))</f>
        <v>0</v>
      </c>
    </row>
    <row r="3464" customFormat="false" ht="15" hidden="false" customHeight="false" outlineLevel="0" collapsed="false">
      <c r="A3464" s="43"/>
      <c r="B3464" s="44"/>
      <c r="C3464" s="44"/>
      <c r="D3464" s="44"/>
      <c r="E3464" s="44"/>
      <c r="F3464" s="44"/>
      <c r="G3464" s="44"/>
      <c r="H3464" s="46" t="str">
        <f aca="false">IF($A3464="","",IF(OR(NOT(ISNUMBER(E3464)),NOT(ISNUMBER(F3464))),"",MAX(0,E3464)*F3464))</f>
        <v/>
      </c>
      <c r="I3464" s="46" t="str">
        <f aca="false">IF($A3464="","",SUMIF($A$2:$A$5001,$A3464,$H$2:$H$5001))</f>
        <v/>
      </c>
      <c r="J3464" s="47" t="n">
        <f aca="false">IF($A3464="",0,IF(COUNTIF($A$2:A3464,$A3464)=1,1,0))</f>
        <v>0</v>
      </c>
      <c r="K3464" s="47" t="n">
        <f aca="false">IF(J3464=1,N(I3464)+ROW()/10000000,0)</f>
        <v>0</v>
      </c>
      <c r="L3464" s="47" t="str">
        <f aca="false">IF(AND(J3464=1,N(I3464)&gt;0),SUMIF($K$2:$K$5001,"&gt;="&amp;K3464,$I$2:$I$5001)/MAX(1,SUM($H$2:$H$5001)),"")</f>
        <v/>
      </c>
      <c r="M3464" s="47" t="str">
        <f aca="false">IF($A3464="","",INDEX($L$2:$L$5001,MATCH($A3464,$A$2:$A$5001,0)))</f>
        <v/>
      </c>
      <c r="N3464" s="48" t="str">
        <f aca="false">IF($A3464="","",IF(N(M3464)=0,"–",IF(M3464&lt;=Start!$D$20,"A",IF(M3464&lt;=Start!$D$21,"B","C"))))</f>
        <v/>
      </c>
      <c r="O3464" s="48" t="str">
        <f aca="false">IF($A3464="","",IF(NOT(ISNUMBER(F3464)),"Wert fehlt; ",IF(F3464&lt;=0,"Wert ist 0; ",""))&amp;IF(NOT(ISNUMBER(E3464)),"Bestand fehlt; ",IF(E3464&lt;0,"Bestand negativ; ",IF(E3464=0,"Nullbestand; ","")))&amp;IF(D3464="","Warengruppe fehlt; ","")&amp;IF(B3464="","Bezeichnung fehlt; ","")&amp;IF(COUNTIFS($A$2:$A$5001,$A3464,$C$2:$C$5001,C3464)&gt;1,"Artikel doppelt im selben Lager; ",""))</f>
        <v/>
      </c>
      <c r="P3464" s="47" t="n">
        <f aca="false">IF(OR($A3464="",D3464=""),0,IF(COUNTIF($D$2:D3464,D3464)=1,SUMIF($D$2:$D$5001,D3464,$H$2:$H$5001)+ROW()/10000000,0))</f>
        <v>0</v>
      </c>
      <c r="Q3464" s="47" t="n">
        <f aca="false">IF(OR($A3464="",C3464=""),0,IF(COUNTIF($C$2:C3464,C3464)=1,SUMIF($C$2:$C$5001,C3464,$H$2:$H$5001)+ROW()/10000000,0))</f>
        <v>0</v>
      </c>
    </row>
    <row r="3465" customFormat="false" ht="15" hidden="false" customHeight="false" outlineLevel="0" collapsed="false">
      <c r="A3465" s="43"/>
      <c r="B3465" s="44"/>
      <c r="C3465" s="44"/>
      <c r="D3465" s="44"/>
      <c r="E3465" s="44"/>
      <c r="F3465" s="44"/>
      <c r="G3465" s="44"/>
      <c r="H3465" s="46" t="str">
        <f aca="false">IF($A3465="","",IF(OR(NOT(ISNUMBER(E3465)),NOT(ISNUMBER(F3465))),"",MAX(0,E3465)*F3465))</f>
        <v/>
      </c>
      <c r="I3465" s="46" t="str">
        <f aca="false">IF($A3465="","",SUMIF($A$2:$A$5001,$A3465,$H$2:$H$5001))</f>
        <v/>
      </c>
      <c r="J3465" s="47" t="n">
        <f aca="false">IF($A3465="",0,IF(COUNTIF($A$2:A3465,$A3465)=1,1,0))</f>
        <v>0</v>
      </c>
      <c r="K3465" s="47" t="n">
        <f aca="false">IF(J3465=1,N(I3465)+ROW()/10000000,0)</f>
        <v>0</v>
      </c>
      <c r="L3465" s="47" t="str">
        <f aca="false">IF(AND(J3465=1,N(I3465)&gt;0),SUMIF($K$2:$K$5001,"&gt;="&amp;K3465,$I$2:$I$5001)/MAX(1,SUM($H$2:$H$5001)),"")</f>
        <v/>
      </c>
      <c r="M3465" s="47" t="str">
        <f aca="false">IF($A3465="","",INDEX($L$2:$L$5001,MATCH($A3465,$A$2:$A$5001,0)))</f>
        <v/>
      </c>
      <c r="N3465" s="48" t="str">
        <f aca="false">IF($A3465="","",IF(N(M3465)=0,"–",IF(M3465&lt;=Start!$D$20,"A",IF(M3465&lt;=Start!$D$21,"B","C"))))</f>
        <v/>
      </c>
      <c r="O3465" s="48" t="str">
        <f aca="false">IF($A3465="","",IF(NOT(ISNUMBER(F3465)),"Wert fehlt; ",IF(F3465&lt;=0,"Wert ist 0; ",""))&amp;IF(NOT(ISNUMBER(E3465)),"Bestand fehlt; ",IF(E3465&lt;0,"Bestand negativ; ",IF(E3465=0,"Nullbestand; ","")))&amp;IF(D3465="","Warengruppe fehlt; ","")&amp;IF(B3465="","Bezeichnung fehlt; ","")&amp;IF(COUNTIFS($A$2:$A$5001,$A3465,$C$2:$C$5001,C3465)&gt;1,"Artikel doppelt im selben Lager; ",""))</f>
        <v/>
      </c>
      <c r="P3465" s="47" t="n">
        <f aca="false">IF(OR($A3465="",D3465=""),0,IF(COUNTIF($D$2:D3465,D3465)=1,SUMIF($D$2:$D$5001,D3465,$H$2:$H$5001)+ROW()/10000000,0))</f>
        <v>0</v>
      </c>
      <c r="Q3465" s="47" t="n">
        <f aca="false">IF(OR($A3465="",C3465=""),0,IF(COUNTIF($C$2:C3465,C3465)=1,SUMIF($C$2:$C$5001,C3465,$H$2:$H$5001)+ROW()/10000000,0))</f>
        <v>0</v>
      </c>
    </row>
    <row r="3466" customFormat="false" ht="15" hidden="false" customHeight="false" outlineLevel="0" collapsed="false">
      <c r="A3466" s="43"/>
      <c r="B3466" s="44"/>
      <c r="C3466" s="44"/>
      <c r="D3466" s="44"/>
      <c r="E3466" s="44"/>
      <c r="F3466" s="44"/>
      <c r="G3466" s="44"/>
      <c r="H3466" s="46" t="str">
        <f aca="false">IF($A3466="","",IF(OR(NOT(ISNUMBER(E3466)),NOT(ISNUMBER(F3466))),"",MAX(0,E3466)*F3466))</f>
        <v/>
      </c>
      <c r="I3466" s="46" t="str">
        <f aca="false">IF($A3466="","",SUMIF($A$2:$A$5001,$A3466,$H$2:$H$5001))</f>
        <v/>
      </c>
      <c r="J3466" s="47" t="n">
        <f aca="false">IF($A3466="",0,IF(COUNTIF($A$2:A3466,$A3466)=1,1,0))</f>
        <v>0</v>
      </c>
      <c r="K3466" s="47" t="n">
        <f aca="false">IF(J3466=1,N(I3466)+ROW()/10000000,0)</f>
        <v>0</v>
      </c>
      <c r="L3466" s="47" t="str">
        <f aca="false">IF(AND(J3466=1,N(I3466)&gt;0),SUMIF($K$2:$K$5001,"&gt;="&amp;K3466,$I$2:$I$5001)/MAX(1,SUM($H$2:$H$5001)),"")</f>
        <v/>
      </c>
      <c r="M3466" s="47" t="str">
        <f aca="false">IF($A3466="","",INDEX($L$2:$L$5001,MATCH($A3466,$A$2:$A$5001,0)))</f>
        <v/>
      </c>
      <c r="N3466" s="48" t="str">
        <f aca="false">IF($A3466="","",IF(N(M3466)=0,"–",IF(M3466&lt;=Start!$D$20,"A",IF(M3466&lt;=Start!$D$21,"B","C"))))</f>
        <v/>
      </c>
      <c r="O3466" s="48" t="str">
        <f aca="false">IF($A3466="","",IF(NOT(ISNUMBER(F3466)),"Wert fehlt; ",IF(F3466&lt;=0,"Wert ist 0; ",""))&amp;IF(NOT(ISNUMBER(E3466)),"Bestand fehlt; ",IF(E3466&lt;0,"Bestand negativ; ",IF(E3466=0,"Nullbestand; ","")))&amp;IF(D3466="","Warengruppe fehlt; ","")&amp;IF(B3466="","Bezeichnung fehlt; ","")&amp;IF(COUNTIFS($A$2:$A$5001,$A3466,$C$2:$C$5001,C3466)&gt;1,"Artikel doppelt im selben Lager; ",""))</f>
        <v/>
      </c>
      <c r="P3466" s="47" t="n">
        <f aca="false">IF(OR($A3466="",D3466=""),0,IF(COUNTIF($D$2:D3466,D3466)=1,SUMIF($D$2:$D$5001,D3466,$H$2:$H$5001)+ROW()/10000000,0))</f>
        <v>0</v>
      </c>
      <c r="Q3466" s="47" t="n">
        <f aca="false">IF(OR($A3466="",C3466=""),0,IF(COUNTIF($C$2:C3466,C3466)=1,SUMIF($C$2:$C$5001,C3466,$H$2:$H$5001)+ROW()/10000000,0))</f>
        <v>0</v>
      </c>
    </row>
    <row r="3467" customFormat="false" ht="15" hidden="false" customHeight="false" outlineLevel="0" collapsed="false">
      <c r="A3467" s="43"/>
      <c r="B3467" s="44"/>
      <c r="C3467" s="44"/>
      <c r="D3467" s="44"/>
      <c r="E3467" s="44"/>
      <c r="F3467" s="44"/>
      <c r="G3467" s="44"/>
      <c r="H3467" s="46" t="str">
        <f aca="false">IF($A3467="","",IF(OR(NOT(ISNUMBER(E3467)),NOT(ISNUMBER(F3467))),"",MAX(0,E3467)*F3467))</f>
        <v/>
      </c>
      <c r="I3467" s="46" t="str">
        <f aca="false">IF($A3467="","",SUMIF($A$2:$A$5001,$A3467,$H$2:$H$5001))</f>
        <v/>
      </c>
      <c r="J3467" s="47" t="n">
        <f aca="false">IF($A3467="",0,IF(COUNTIF($A$2:A3467,$A3467)=1,1,0))</f>
        <v>0</v>
      </c>
      <c r="K3467" s="47" t="n">
        <f aca="false">IF(J3467=1,N(I3467)+ROW()/10000000,0)</f>
        <v>0</v>
      </c>
      <c r="L3467" s="47" t="str">
        <f aca="false">IF(AND(J3467=1,N(I3467)&gt;0),SUMIF($K$2:$K$5001,"&gt;="&amp;K3467,$I$2:$I$5001)/MAX(1,SUM($H$2:$H$5001)),"")</f>
        <v/>
      </c>
      <c r="M3467" s="47" t="str">
        <f aca="false">IF($A3467="","",INDEX($L$2:$L$5001,MATCH($A3467,$A$2:$A$5001,0)))</f>
        <v/>
      </c>
      <c r="N3467" s="48" t="str">
        <f aca="false">IF($A3467="","",IF(N(M3467)=0,"–",IF(M3467&lt;=Start!$D$20,"A",IF(M3467&lt;=Start!$D$21,"B","C"))))</f>
        <v/>
      </c>
      <c r="O3467" s="48" t="str">
        <f aca="false">IF($A3467="","",IF(NOT(ISNUMBER(F3467)),"Wert fehlt; ",IF(F3467&lt;=0,"Wert ist 0; ",""))&amp;IF(NOT(ISNUMBER(E3467)),"Bestand fehlt; ",IF(E3467&lt;0,"Bestand negativ; ",IF(E3467=0,"Nullbestand; ","")))&amp;IF(D3467="","Warengruppe fehlt; ","")&amp;IF(B3467="","Bezeichnung fehlt; ","")&amp;IF(COUNTIFS($A$2:$A$5001,$A3467,$C$2:$C$5001,C3467)&gt;1,"Artikel doppelt im selben Lager; ",""))</f>
        <v/>
      </c>
      <c r="P3467" s="47" t="n">
        <f aca="false">IF(OR($A3467="",D3467=""),0,IF(COUNTIF($D$2:D3467,D3467)=1,SUMIF($D$2:$D$5001,D3467,$H$2:$H$5001)+ROW()/10000000,0))</f>
        <v>0</v>
      </c>
      <c r="Q3467" s="47" t="n">
        <f aca="false">IF(OR($A3467="",C3467=""),0,IF(COUNTIF($C$2:C3467,C3467)=1,SUMIF($C$2:$C$5001,C3467,$H$2:$H$5001)+ROW()/10000000,0))</f>
        <v>0</v>
      </c>
    </row>
    <row r="3468" customFormat="false" ht="15" hidden="false" customHeight="false" outlineLevel="0" collapsed="false">
      <c r="A3468" s="43"/>
      <c r="B3468" s="44"/>
      <c r="C3468" s="44"/>
      <c r="D3468" s="44"/>
      <c r="E3468" s="44"/>
      <c r="F3468" s="44"/>
      <c r="G3468" s="44"/>
      <c r="H3468" s="46" t="str">
        <f aca="false">IF($A3468="","",IF(OR(NOT(ISNUMBER(E3468)),NOT(ISNUMBER(F3468))),"",MAX(0,E3468)*F3468))</f>
        <v/>
      </c>
      <c r="I3468" s="46" t="str">
        <f aca="false">IF($A3468="","",SUMIF($A$2:$A$5001,$A3468,$H$2:$H$5001))</f>
        <v/>
      </c>
      <c r="J3468" s="47" t="n">
        <f aca="false">IF($A3468="",0,IF(COUNTIF($A$2:A3468,$A3468)=1,1,0))</f>
        <v>0</v>
      </c>
      <c r="K3468" s="47" t="n">
        <f aca="false">IF(J3468=1,N(I3468)+ROW()/10000000,0)</f>
        <v>0</v>
      </c>
      <c r="L3468" s="47" t="str">
        <f aca="false">IF(AND(J3468=1,N(I3468)&gt;0),SUMIF($K$2:$K$5001,"&gt;="&amp;K3468,$I$2:$I$5001)/MAX(1,SUM($H$2:$H$5001)),"")</f>
        <v/>
      </c>
      <c r="M3468" s="47" t="str">
        <f aca="false">IF($A3468="","",INDEX($L$2:$L$5001,MATCH($A3468,$A$2:$A$5001,0)))</f>
        <v/>
      </c>
      <c r="N3468" s="48" t="str">
        <f aca="false">IF($A3468="","",IF(N(M3468)=0,"–",IF(M3468&lt;=Start!$D$20,"A",IF(M3468&lt;=Start!$D$21,"B","C"))))</f>
        <v/>
      </c>
      <c r="O3468" s="48" t="str">
        <f aca="false">IF($A3468="","",IF(NOT(ISNUMBER(F3468)),"Wert fehlt; ",IF(F3468&lt;=0,"Wert ist 0; ",""))&amp;IF(NOT(ISNUMBER(E3468)),"Bestand fehlt; ",IF(E3468&lt;0,"Bestand negativ; ",IF(E3468=0,"Nullbestand; ","")))&amp;IF(D3468="","Warengruppe fehlt; ","")&amp;IF(B3468="","Bezeichnung fehlt; ","")&amp;IF(COUNTIFS($A$2:$A$5001,$A3468,$C$2:$C$5001,C3468)&gt;1,"Artikel doppelt im selben Lager; ",""))</f>
        <v/>
      </c>
      <c r="P3468" s="47" t="n">
        <f aca="false">IF(OR($A3468="",D3468=""),0,IF(COUNTIF($D$2:D3468,D3468)=1,SUMIF($D$2:$D$5001,D3468,$H$2:$H$5001)+ROW()/10000000,0))</f>
        <v>0</v>
      </c>
      <c r="Q3468" s="47" t="n">
        <f aca="false">IF(OR($A3468="",C3468=""),0,IF(COUNTIF($C$2:C3468,C3468)=1,SUMIF($C$2:$C$5001,C3468,$H$2:$H$5001)+ROW()/10000000,0))</f>
        <v>0</v>
      </c>
    </row>
    <row r="3469" customFormat="false" ht="15" hidden="false" customHeight="false" outlineLevel="0" collapsed="false">
      <c r="A3469" s="43"/>
      <c r="B3469" s="44"/>
      <c r="C3469" s="44"/>
      <c r="D3469" s="44"/>
      <c r="E3469" s="44"/>
      <c r="F3469" s="44"/>
      <c r="G3469" s="44"/>
      <c r="H3469" s="46" t="str">
        <f aca="false">IF($A3469="","",IF(OR(NOT(ISNUMBER(E3469)),NOT(ISNUMBER(F3469))),"",MAX(0,E3469)*F3469))</f>
        <v/>
      </c>
      <c r="I3469" s="46" t="str">
        <f aca="false">IF($A3469="","",SUMIF($A$2:$A$5001,$A3469,$H$2:$H$5001))</f>
        <v/>
      </c>
      <c r="J3469" s="47" t="n">
        <f aca="false">IF($A3469="",0,IF(COUNTIF($A$2:A3469,$A3469)=1,1,0))</f>
        <v>0</v>
      </c>
      <c r="K3469" s="47" t="n">
        <f aca="false">IF(J3469=1,N(I3469)+ROW()/10000000,0)</f>
        <v>0</v>
      </c>
      <c r="L3469" s="47" t="str">
        <f aca="false">IF(AND(J3469=1,N(I3469)&gt;0),SUMIF($K$2:$K$5001,"&gt;="&amp;K3469,$I$2:$I$5001)/MAX(1,SUM($H$2:$H$5001)),"")</f>
        <v/>
      </c>
      <c r="M3469" s="47" t="str">
        <f aca="false">IF($A3469="","",INDEX($L$2:$L$5001,MATCH($A3469,$A$2:$A$5001,0)))</f>
        <v/>
      </c>
      <c r="N3469" s="48" t="str">
        <f aca="false">IF($A3469="","",IF(N(M3469)=0,"–",IF(M3469&lt;=Start!$D$20,"A",IF(M3469&lt;=Start!$D$21,"B","C"))))</f>
        <v/>
      </c>
      <c r="O3469" s="48" t="str">
        <f aca="false">IF($A3469="","",IF(NOT(ISNUMBER(F3469)),"Wert fehlt; ",IF(F3469&lt;=0,"Wert ist 0; ",""))&amp;IF(NOT(ISNUMBER(E3469)),"Bestand fehlt; ",IF(E3469&lt;0,"Bestand negativ; ",IF(E3469=0,"Nullbestand; ","")))&amp;IF(D3469="","Warengruppe fehlt; ","")&amp;IF(B3469="","Bezeichnung fehlt; ","")&amp;IF(COUNTIFS($A$2:$A$5001,$A3469,$C$2:$C$5001,C3469)&gt;1,"Artikel doppelt im selben Lager; ",""))</f>
        <v/>
      </c>
      <c r="P3469" s="47" t="n">
        <f aca="false">IF(OR($A3469="",D3469=""),0,IF(COUNTIF($D$2:D3469,D3469)=1,SUMIF($D$2:$D$5001,D3469,$H$2:$H$5001)+ROW()/10000000,0))</f>
        <v>0</v>
      </c>
      <c r="Q3469" s="47" t="n">
        <f aca="false">IF(OR($A3469="",C3469=""),0,IF(COUNTIF($C$2:C3469,C3469)=1,SUMIF($C$2:$C$5001,C3469,$H$2:$H$5001)+ROW()/10000000,0))</f>
        <v>0</v>
      </c>
    </row>
    <row r="3470" customFormat="false" ht="15" hidden="false" customHeight="false" outlineLevel="0" collapsed="false">
      <c r="A3470" s="43"/>
      <c r="B3470" s="44"/>
      <c r="C3470" s="44"/>
      <c r="D3470" s="44"/>
      <c r="E3470" s="44"/>
      <c r="F3470" s="44"/>
      <c r="G3470" s="44"/>
      <c r="H3470" s="46" t="str">
        <f aca="false">IF($A3470="","",IF(OR(NOT(ISNUMBER(E3470)),NOT(ISNUMBER(F3470))),"",MAX(0,E3470)*F3470))</f>
        <v/>
      </c>
      <c r="I3470" s="46" t="str">
        <f aca="false">IF($A3470="","",SUMIF($A$2:$A$5001,$A3470,$H$2:$H$5001))</f>
        <v/>
      </c>
      <c r="J3470" s="47" t="n">
        <f aca="false">IF($A3470="",0,IF(COUNTIF($A$2:A3470,$A3470)=1,1,0))</f>
        <v>0</v>
      </c>
      <c r="K3470" s="47" t="n">
        <f aca="false">IF(J3470=1,N(I3470)+ROW()/10000000,0)</f>
        <v>0</v>
      </c>
      <c r="L3470" s="47" t="str">
        <f aca="false">IF(AND(J3470=1,N(I3470)&gt;0),SUMIF($K$2:$K$5001,"&gt;="&amp;K3470,$I$2:$I$5001)/MAX(1,SUM($H$2:$H$5001)),"")</f>
        <v/>
      </c>
      <c r="M3470" s="47" t="str">
        <f aca="false">IF($A3470="","",INDEX($L$2:$L$5001,MATCH($A3470,$A$2:$A$5001,0)))</f>
        <v/>
      </c>
      <c r="N3470" s="48" t="str">
        <f aca="false">IF($A3470="","",IF(N(M3470)=0,"–",IF(M3470&lt;=Start!$D$20,"A",IF(M3470&lt;=Start!$D$21,"B","C"))))</f>
        <v/>
      </c>
      <c r="O3470" s="48" t="str">
        <f aca="false">IF($A3470="","",IF(NOT(ISNUMBER(F3470)),"Wert fehlt; ",IF(F3470&lt;=0,"Wert ist 0; ",""))&amp;IF(NOT(ISNUMBER(E3470)),"Bestand fehlt; ",IF(E3470&lt;0,"Bestand negativ; ",IF(E3470=0,"Nullbestand; ","")))&amp;IF(D3470="","Warengruppe fehlt; ","")&amp;IF(B3470="","Bezeichnung fehlt; ","")&amp;IF(COUNTIFS($A$2:$A$5001,$A3470,$C$2:$C$5001,C3470)&gt;1,"Artikel doppelt im selben Lager; ",""))</f>
        <v/>
      </c>
      <c r="P3470" s="47" t="n">
        <f aca="false">IF(OR($A3470="",D3470=""),0,IF(COUNTIF($D$2:D3470,D3470)=1,SUMIF($D$2:$D$5001,D3470,$H$2:$H$5001)+ROW()/10000000,0))</f>
        <v>0</v>
      </c>
      <c r="Q3470" s="47" t="n">
        <f aca="false">IF(OR($A3470="",C3470=""),0,IF(COUNTIF($C$2:C3470,C3470)=1,SUMIF($C$2:$C$5001,C3470,$H$2:$H$5001)+ROW()/10000000,0))</f>
        <v>0</v>
      </c>
    </row>
    <row r="3471" customFormat="false" ht="15" hidden="false" customHeight="false" outlineLevel="0" collapsed="false">
      <c r="A3471" s="43"/>
      <c r="B3471" s="44"/>
      <c r="C3471" s="44"/>
      <c r="D3471" s="44"/>
      <c r="E3471" s="44"/>
      <c r="F3471" s="44"/>
      <c r="G3471" s="44"/>
      <c r="H3471" s="46" t="str">
        <f aca="false">IF($A3471="","",IF(OR(NOT(ISNUMBER(E3471)),NOT(ISNUMBER(F3471))),"",MAX(0,E3471)*F3471))</f>
        <v/>
      </c>
      <c r="I3471" s="46" t="str">
        <f aca="false">IF($A3471="","",SUMIF($A$2:$A$5001,$A3471,$H$2:$H$5001))</f>
        <v/>
      </c>
      <c r="J3471" s="47" t="n">
        <f aca="false">IF($A3471="",0,IF(COUNTIF($A$2:A3471,$A3471)=1,1,0))</f>
        <v>0</v>
      </c>
      <c r="K3471" s="47" t="n">
        <f aca="false">IF(J3471=1,N(I3471)+ROW()/10000000,0)</f>
        <v>0</v>
      </c>
      <c r="L3471" s="47" t="str">
        <f aca="false">IF(AND(J3471=1,N(I3471)&gt;0),SUMIF($K$2:$K$5001,"&gt;="&amp;K3471,$I$2:$I$5001)/MAX(1,SUM($H$2:$H$5001)),"")</f>
        <v/>
      </c>
      <c r="M3471" s="47" t="str">
        <f aca="false">IF($A3471="","",INDEX($L$2:$L$5001,MATCH($A3471,$A$2:$A$5001,0)))</f>
        <v/>
      </c>
      <c r="N3471" s="48" t="str">
        <f aca="false">IF($A3471="","",IF(N(M3471)=0,"–",IF(M3471&lt;=Start!$D$20,"A",IF(M3471&lt;=Start!$D$21,"B","C"))))</f>
        <v/>
      </c>
      <c r="O3471" s="48" t="str">
        <f aca="false">IF($A3471="","",IF(NOT(ISNUMBER(F3471)),"Wert fehlt; ",IF(F3471&lt;=0,"Wert ist 0; ",""))&amp;IF(NOT(ISNUMBER(E3471)),"Bestand fehlt; ",IF(E3471&lt;0,"Bestand negativ; ",IF(E3471=0,"Nullbestand; ","")))&amp;IF(D3471="","Warengruppe fehlt; ","")&amp;IF(B3471="","Bezeichnung fehlt; ","")&amp;IF(COUNTIFS($A$2:$A$5001,$A3471,$C$2:$C$5001,C3471)&gt;1,"Artikel doppelt im selben Lager; ",""))</f>
        <v/>
      </c>
      <c r="P3471" s="47" t="n">
        <f aca="false">IF(OR($A3471="",D3471=""),0,IF(COUNTIF($D$2:D3471,D3471)=1,SUMIF($D$2:$D$5001,D3471,$H$2:$H$5001)+ROW()/10000000,0))</f>
        <v>0</v>
      </c>
      <c r="Q3471" s="47" t="n">
        <f aca="false">IF(OR($A3471="",C3471=""),0,IF(COUNTIF($C$2:C3471,C3471)=1,SUMIF($C$2:$C$5001,C3471,$H$2:$H$5001)+ROW()/10000000,0))</f>
        <v>0</v>
      </c>
    </row>
    <row r="3472" customFormat="false" ht="15" hidden="false" customHeight="false" outlineLevel="0" collapsed="false">
      <c r="A3472" s="43"/>
      <c r="B3472" s="44"/>
      <c r="C3472" s="44"/>
      <c r="D3472" s="44"/>
      <c r="E3472" s="44"/>
      <c r="F3472" s="44"/>
      <c r="G3472" s="44"/>
      <c r="H3472" s="46" t="str">
        <f aca="false">IF($A3472="","",IF(OR(NOT(ISNUMBER(E3472)),NOT(ISNUMBER(F3472))),"",MAX(0,E3472)*F3472))</f>
        <v/>
      </c>
      <c r="I3472" s="46" t="str">
        <f aca="false">IF($A3472="","",SUMIF($A$2:$A$5001,$A3472,$H$2:$H$5001))</f>
        <v/>
      </c>
      <c r="J3472" s="47" t="n">
        <f aca="false">IF($A3472="",0,IF(COUNTIF($A$2:A3472,$A3472)=1,1,0))</f>
        <v>0</v>
      </c>
      <c r="K3472" s="47" t="n">
        <f aca="false">IF(J3472=1,N(I3472)+ROW()/10000000,0)</f>
        <v>0</v>
      </c>
      <c r="L3472" s="47" t="str">
        <f aca="false">IF(AND(J3472=1,N(I3472)&gt;0),SUMIF($K$2:$K$5001,"&gt;="&amp;K3472,$I$2:$I$5001)/MAX(1,SUM($H$2:$H$5001)),"")</f>
        <v/>
      </c>
      <c r="M3472" s="47" t="str">
        <f aca="false">IF($A3472="","",INDEX($L$2:$L$5001,MATCH($A3472,$A$2:$A$5001,0)))</f>
        <v/>
      </c>
      <c r="N3472" s="48" t="str">
        <f aca="false">IF($A3472="","",IF(N(M3472)=0,"–",IF(M3472&lt;=Start!$D$20,"A",IF(M3472&lt;=Start!$D$21,"B","C"))))</f>
        <v/>
      </c>
      <c r="O3472" s="48" t="str">
        <f aca="false">IF($A3472="","",IF(NOT(ISNUMBER(F3472)),"Wert fehlt; ",IF(F3472&lt;=0,"Wert ist 0; ",""))&amp;IF(NOT(ISNUMBER(E3472)),"Bestand fehlt; ",IF(E3472&lt;0,"Bestand negativ; ",IF(E3472=0,"Nullbestand; ","")))&amp;IF(D3472="","Warengruppe fehlt; ","")&amp;IF(B3472="","Bezeichnung fehlt; ","")&amp;IF(COUNTIFS($A$2:$A$5001,$A3472,$C$2:$C$5001,C3472)&gt;1,"Artikel doppelt im selben Lager; ",""))</f>
        <v/>
      </c>
      <c r="P3472" s="47" t="n">
        <f aca="false">IF(OR($A3472="",D3472=""),0,IF(COUNTIF($D$2:D3472,D3472)=1,SUMIF($D$2:$D$5001,D3472,$H$2:$H$5001)+ROW()/10000000,0))</f>
        <v>0</v>
      </c>
      <c r="Q3472" s="47" t="n">
        <f aca="false">IF(OR($A3472="",C3472=""),0,IF(COUNTIF($C$2:C3472,C3472)=1,SUMIF($C$2:$C$5001,C3472,$H$2:$H$5001)+ROW()/10000000,0))</f>
        <v>0</v>
      </c>
    </row>
    <row r="3473" customFormat="false" ht="15" hidden="false" customHeight="false" outlineLevel="0" collapsed="false">
      <c r="A3473" s="43"/>
      <c r="B3473" s="44"/>
      <c r="C3473" s="44"/>
      <c r="D3473" s="44"/>
      <c r="E3473" s="44"/>
      <c r="F3473" s="44"/>
      <c r="G3473" s="44"/>
      <c r="H3473" s="46" t="str">
        <f aca="false">IF($A3473="","",IF(OR(NOT(ISNUMBER(E3473)),NOT(ISNUMBER(F3473))),"",MAX(0,E3473)*F3473))</f>
        <v/>
      </c>
      <c r="I3473" s="46" t="str">
        <f aca="false">IF($A3473="","",SUMIF($A$2:$A$5001,$A3473,$H$2:$H$5001))</f>
        <v/>
      </c>
      <c r="J3473" s="47" t="n">
        <f aca="false">IF($A3473="",0,IF(COUNTIF($A$2:A3473,$A3473)=1,1,0))</f>
        <v>0</v>
      </c>
      <c r="K3473" s="47" t="n">
        <f aca="false">IF(J3473=1,N(I3473)+ROW()/10000000,0)</f>
        <v>0</v>
      </c>
      <c r="L3473" s="47" t="str">
        <f aca="false">IF(AND(J3473=1,N(I3473)&gt;0),SUMIF($K$2:$K$5001,"&gt;="&amp;K3473,$I$2:$I$5001)/MAX(1,SUM($H$2:$H$5001)),"")</f>
        <v/>
      </c>
      <c r="M3473" s="47" t="str">
        <f aca="false">IF($A3473="","",INDEX($L$2:$L$5001,MATCH($A3473,$A$2:$A$5001,0)))</f>
        <v/>
      </c>
      <c r="N3473" s="48" t="str">
        <f aca="false">IF($A3473="","",IF(N(M3473)=0,"–",IF(M3473&lt;=Start!$D$20,"A",IF(M3473&lt;=Start!$D$21,"B","C"))))</f>
        <v/>
      </c>
      <c r="O3473" s="48" t="str">
        <f aca="false">IF($A3473="","",IF(NOT(ISNUMBER(F3473)),"Wert fehlt; ",IF(F3473&lt;=0,"Wert ist 0; ",""))&amp;IF(NOT(ISNUMBER(E3473)),"Bestand fehlt; ",IF(E3473&lt;0,"Bestand negativ; ",IF(E3473=0,"Nullbestand; ","")))&amp;IF(D3473="","Warengruppe fehlt; ","")&amp;IF(B3473="","Bezeichnung fehlt; ","")&amp;IF(COUNTIFS($A$2:$A$5001,$A3473,$C$2:$C$5001,C3473)&gt;1,"Artikel doppelt im selben Lager; ",""))</f>
        <v/>
      </c>
      <c r="P3473" s="47" t="n">
        <f aca="false">IF(OR($A3473="",D3473=""),0,IF(COUNTIF($D$2:D3473,D3473)=1,SUMIF($D$2:$D$5001,D3473,$H$2:$H$5001)+ROW()/10000000,0))</f>
        <v>0</v>
      </c>
      <c r="Q3473" s="47" t="n">
        <f aca="false">IF(OR($A3473="",C3473=""),0,IF(COUNTIF($C$2:C3473,C3473)=1,SUMIF($C$2:$C$5001,C3473,$H$2:$H$5001)+ROW()/10000000,0))</f>
        <v>0</v>
      </c>
    </row>
    <row r="3474" customFormat="false" ht="15" hidden="false" customHeight="false" outlineLevel="0" collapsed="false">
      <c r="A3474" s="43"/>
      <c r="B3474" s="44"/>
      <c r="C3474" s="44"/>
      <c r="D3474" s="44"/>
      <c r="E3474" s="44"/>
      <c r="F3474" s="44"/>
      <c r="G3474" s="44"/>
      <c r="H3474" s="46" t="str">
        <f aca="false">IF($A3474="","",IF(OR(NOT(ISNUMBER(E3474)),NOT(ISNUMBER(F3474))),"",MAX(0,E3474)*F3474))</f>
        <v/>
      </c>
      <c r="I3474" s="46" t="str">
        <f aca="false">IF($A3474="","",SUMIF($A$2:$A$5001,$A3474,$H$2:$H$5001))</f>
        <v/>
      </c>
      <c r="J3474" s="47" t="n">
        <f aca="false">IF($A3474="",0,IF(COUNTIF($A$2:A3474,$A3474)=1,1,0))</f>
        <v>0</v>
      </c>
      <c r="K3474" s="47" t="n">
        <f aca="false">IF(J3474=1,N(I3474)+ROW()/10000000,0)</f>
        <v>0</v>
      </c>
      <c r="L3474" s="47" t="str">
        <f aca="false">IF(AND(J3474=1,N(I3474)&gt;0),SUMIF($K$2:$K$5001,"&gt;="&amp;K3474,$I$2:$I$5001)/MAX(1,SUM($H$2:$H$5001)),"")</f>
        <v/>
      </c>
      <c r="M3474" s="47" t="str">
        <f aca="false">IF($A3474="","",INDEX($L$2:$L$5001,MATCH($A3474,$A$2:$A$5001,0)))</f>
        <v/>
      </c>
      <c r="N3474" s="48" t="str">
        <f aca="false">IF($A3474="","",IF(N(M3474)=0,"–",IF(M3474&lt;=Start!$D$20,"A",IF(M3474&lt;=Start!$D$21,"B","C"))))</f>
        <v/>
      </c>
      <c r="O3474" s="48" t="str">
        <f aca="false">IF($A3474="","",IF(NOT(ISNUMBER(F3474)),"Wert fehlt; ",IF(F3474&lt;=0,"Wert ist 0; ",""))&amp;IF(NOT(ISNUMBER(E3474)),"Bestand fehlt; ",IF(E3474&lt;0,"Bestand negativ; ",IF(E3474=0,"Nullbestand; ","")))&amp;IF(D3474="","Warengruppe fehlt; ","")&amp;IF(B3474="","Bezeichnung fehlt; ","")&amp;IF(COUNTIFS($A$2:$A$5001,$A3474,$C$2:$C$5001,C3474)&gt;1,"Artikel doppelt im selben Lager; ",""))</f>
        <v/>
      </c>
      <c r="P3474" s="47" t="n">
        <f aca="false">IF(OR($A3474="",D3474=""),0,IF(COUNTIF($D$2:D3474,D3474)=1,SUMIF($D$2:$D$5001,D3474,$H$2:$H$5001)+ROW()/10000000,0))</f>
        <v>0</v>
      </c>
      <c r="Q3474" s="47" t="n">
        <f aca="false">IF(OR($A3474="",C3474=""),0,IF(COUNTIF($C$2:C3474,C3474)=1,SUMIF($C$2:$C$5001,C3474,$H$2:$H$5001)+ROW()/10000000,0))</f>
        <v>0</v>
      </c>
    </row>
    <row r="3475" customFormat="false" ht="15" hidden="false" customHeight="false" outlineLevel="0" collapsed="false">
      <c r="A3475" s="43"/>
      <c r="B3475" s="44"/>
      <c r="C3475" s="44"/>
      <c r="D3475" s="44"/>
      <c r="E3475" s="44"/>
      <c r="F3475" s="44"/>
      <c r="G3475" s="44"/>
      <c r="H3475" s="46" t="str">
        <f aca="false">IF($A3475="","",IF(OR(NOT(ISNUMBER(E3475)),NOT(ISNUMBER(F3475))),"",MAX(0,E3475)*F3475))</f>
        <v/>
      </c>
      <c r="I3475" s="46" t="str">
        <f aca="false">IF($A3475="","",SUMIF($A$2:$A$5001,$A3475,$H$2:$H$5001))</f>
        <v/>
      </c>
      <c r="J3475" s="47" t="n">
        <f aca="false">IF($A3475="",0,IF(COUNTIF($A$2:A3475,$A3475)=1,1,0))</f>
        <v>0</v>
      </c>
      <c r="K3475" s="47" t="n">
        <f aca="false">IF(J3475=1,N(I3475)+ROW()/10000000,0)</f>
        <v>0</v>
      </c>
      <c r="L3475" s="47" t="str">
        <f aca="false">IF(AND(J3475=1,N(I3475)&gt;0),SUMIF($K$2:$K$5001,"&gt;="&amp;K3475,$I$2:$I$5001)/MAX(1,SUM($H$2:$H$5001)),"")</f>
        <v/>
      </c>
      <c r="M3475" s="47" t="str">
        <f aca="false">IF($A3475="","",INDEX($L$2:$L$5001,MATCH($A3475,$A$2:$A$5001,0)))</f>
        <v/>
      </c>
      <c r="N3475" s="48" t="str">
        <f aca="false">IF($A3475="","",IF(N(M3475)=0,"–",IF(M3475&lt;=Start!$D$20,"A",IF(M3475&lt;=Start!$D$21,"B","C"))))</f>
        <v/>
      </c>
      <c r="O3475" s="48" t="str">
        <f aca="false">IF($A3475="","",IF(NOT(ISNUMBER(F3475)),"Wert fehlt; ",IF(F3475&lt;=0,"Wert ist 0; ",""))&amp;IF(NOT(ISNUMBER(E3475)),"Bestand fehlt; ",IF(E3475&lt;0,"Bestand negativ; ",IF(E3475=0,"Nullbestand; ","")))&amp;IF(D3475="","Warengruppe fehlt; ","")&amp;IF(B3475="","Bezeichnung fehlt; ","")&amp;IF(COUNTIFS($A$2:$A$5001,$A3475,$C$2:$C$5001,C3475)&gt;1,"Artikel doppelt im selben Lager; ",""))</f>
        <v/>
      </c>
      <c r="P3475" s="47" t="n">
        <f aca="false">IF(OR($A3475="",D3475=""),0,IF(COUNTIF($D$2:D3475,D3475)=1,SUMIF($D$2:$D$5001,D3475,$H$2:$H$5001)+ROW()/10000000,0))</f>
        <v>0</v>
      </c>
      <c r="Q3475" s="47" t="n">
        <f aca="false">IF(OR($A3475="",C3475=""),0,IF(COUNTIF($C$2:C3475,C3475)=1,SUMIF($C$2:$C$5001,C3475,$H$2:$H$5001)+ROW()/10000000,0))</f>
        <v>0</v>
      </c>
    </row>
    <row r="3476" customFormat="false" ht="15" hidden="false" customHeight="false" outlineLevel="0" collapsed="false">
      <c r="A3476" s="43"/>
      <c r="B3476" s="44"/>
      <c r="C3476" s="44"/>
      <c r="D3476" s="44"/>
      <c r="E3476" s="44"/>
      <c r="F3476" s="44"/>
      <c r="G3476" s="44"/>
      <c r="H3476" s="46" t="str">
        <f aca="false">IF($A3476="","",IF(OR(NOT(ISNUMBER(E3476)),NOT(ISNUMBER(F3476))),"",MAX(0,E3476)*F3476))</f>
        <v/>
      </c>
      <c r="I3476" s="46" t="str">
        <f aca="false">IF($A3476="","",SUMIF($A$2:$A$5001,$A3476,$H$2:$H$5001))</f>
        <v/>
      </c>
      <c r="J3476" s="47" t="n">
        <f aca="false">IF($A3476="",0,IF(COUNTIF($A$2:A3476,$A3476)=1,1,0))</f>
        <v>0</v>
      </c>
      <c r="K3476" s="47" t="n">
        <f aca="false">IF(J3476=1,N(I3476)+ROW()/10000000,0)</f>
        <v>0</v>
      </c>
      <c r="L3476" s="47" t="str">
        <f aca="false">IF(AND(J3476=1,N(I3476)&gt;0),SUMIF($K$2:$K$5001,"&gt;="&amp;K3476,$I$2:$I$5001)/MAX(1,SUM($H$2:$H$5001)),"")</f>
        <v/>
      </c>
      <c r="M3476" s="47" t="str">
        <f aca="false">IF($A3476="","",INDEX($L$2:$L$5001,MATCH($A3476,$A$2:$A$5001,0)))</f>
        <v/>
      </c>
      <c r="N3476" s="48" t="str">
        <f aca="false">IF($A3476="","",IF(N(M3476)=0,"–",IF(M3476&lt;=Start!$D$20,"A",IF(M3476&lt;=Start!$D$21,"B","C"))))</f>
        <v/>
      </c>
      <c r="O3476" s="48" t="str">
        <f aca="false">IF($A3476="","",IF(NOT(ISNUMBER(F3476)),"Wert fehlt; ",IF(F3476&lt;=0,"Wert ist 0; ",""))&amp;IF(NOT(ISNUMBER(E3476)),"Bestand fehlt; ",IF(E3476&lt;0,"Bestand negativ; ",IF(E3476=0,"Nullbestand; ","")))&amp;IF(D3476="","Warengruppe fehlt; ","")&amp;IF(B3476="","Bezeichnung fehlt; ","")&amp;IF(COUNTIFS($A$2:$A$5001,$A3476,$C$2:$C$5001,C3476)&gt;1,"Artikel doppelt im selben Lager; ",""))</f>
        <v/>
      </c>
      <c r="P3476" s="47" t="n">
        <f aca="false">IF(OR($A3476="",D3476=""),0,IF(COUNTIF($D$2:D3476,D3476)=1,SUMIF($D$2:$D$5001,D3476,$H$2:$H$5001)+ROW()/10000000,0))</f>
        <v>0</v>
      </c>
      <c r="Q3476" s="47" t="n">
        <f aca="false">IF(OR($A3476="",C3476=""),0,IF(COUNTIF($C$2:C3476,C3476)=1,SUMIF($C$2:$C$5001,C3476,$H$2:$H$5001)+ROW()/10000000,0))</f>
        <v>0</v>
      </c>
    </row>
    <row r="3477" customFormat="false" ht="15" hidden="false" customHeight="false" outlineLevel="0" collapsed="false">
      <c r="A3477" s="43"/>
      <c r="B3477" s="44"/>
      <c r="C3477" s="44"/>
      <c r="D3477" s="44"/>
      <c r="E3477" s="44"/>
      <c r="F3477" s="44"/>
      <c r="G3477" s="44"/>
      <c r="H3477" s="46" t="str">
        <f aca="false">IF($A3477="","",IF(OR(NOT(ISNUMBER(E3477)),NOT(ISNUMBER(F3477))),"",MAX(0,E3477)*F3477))</f>
        <v/>
      </c>
      <c r="I3477" s="46" t="str">
        <f aca="false">IF($A3477="","",SUMIF($A$2:$A$5001,$A3477,$H$2:$H$5001))</f>
        <v/>
      </c>
      <c r="J3477" s="47" t="n">
        <f aca="false">IF($A3477="",0,IF(COUNTIF($A$2:A3477,$A3477)=1,1,0))</f>
        <v>0</v>
      </c>
      <c r="K3477" s="47" t="n">
        <f aca="false">IF(J3477=1,N(I3477)+ROW()/10000000,0)</f>
        <v>0</v>
      </c>
      <c r="L3477" s="47" t="str">
        <f aca="false">IF(AND(J3477=1,N(I3477)&gt;0),SUMIF($K$2:$K$5001,"&gt;="&amp;K3477,$I$2:$I$5001)/MAX(1,SUM($H$2:$H$5001)),"")</f>
        <v/>
      </c>
      <c r="M3477" s="47" t="str">
        <f aca="false">IF($A3477="","",INDEX($L$2:$L$5001,MATCH($A3477,$A$2:$A$5001,0)))</f>
        <v/>
      </c>
      <c r="N3477" s="48" t="str">
        <f aca="false">IF($A3477="","",IF(N(M3477)=0,"–",IF(M3477&lt;=Start!$D$20,"A",IF(M3477&lt;=Start!$D$21,"B","C"))))</f>
        <v/>
      </c>
      <c r="O3477" s="48" t="str">
        <f aca="false">IF($A3477="","",IF(NOT(ISNUMBER(F3477)),"Wert fehlt; ",IF(F3477&lt;=0,"Wert ist 0; ",""))&amp;IF(NOT(ISNUMBER(E3477)),"Bestand fehlt; ",IF(E3477&lt;0,"Bestand negativ; ",IF(E3477=0,"Nullbestand; ","")))&amp;IF(D3477="","Warengruppe fehlt; ","")&amp;IF(B3477="","Bezeichnung fehlt; ","")&amp;IF(COUNTIFS($A$2:$A$5001,$A3477,$C$2:$C$5001,C3477)&gt;1,"Artikel doppelt im selben Lager; ",""))</f>
        <v/>
      </c>
      <c r="P3477" s="47" t="n">
        <f aca="false">IF(OR($A3477="",D3477=""),0,IF(COUNTIF($D$2:D3477,D3477)=1,SUMIF($D$2:$D$5001,D3477,$H$2:$H$5001)+ROW()/10000000,0))</f>
        <v>0</v>
      </c>
      <c r="Q3477" s="47" t="n">
        <f aca="false">IF(OR($A3477="",C3477=""),0,IF(COUNTIF($C$2:C3477,C3477)=1,SUMIF($C$2:$C$5001,C3477,$H$2:$H$5001)+ROW()/10000000,0))</f>
        <v>0</v>
      </c>
    </row>
    <row r="3478" customFormat="false" ht="15" hidden="false" customHeight="false" outlineLevel="0" collapsed="false">
      <c r="A3478" s="43"/>
      <c r="B3478" s="44"/>
      <c r="C3478" s="44"/>
      <c r="D3478" s="44"/>
      <c r="E3478" s="44"/>
      <c r="F3478" s="44"/>
      <c r="G3478" s="44"/>
      <c r="H3478" s="46" t="str">
        <f aca="false">IF($A3478="","",IF(OR(NOT(ISNUMBER(E3478)),NOT(ISNUMBER(F3478))),"",MAX(0,E3478)*F3478))</f>
        <v/>
      </c>
      <c r="I3478" s="46" t="str">
        <f aca="false">IF($A3478="","",SUMIF($A$2:$A$5001,$A3478,$H$2:$H$5001))</f>
        <v/>
      </c>
      <c r="J3478" s="47" t="n">
        <f aca="false">IF($A3478="",0,IF(COUNTIF($A$2:A3478,$A3478)=1,1,0))</f>
        <v>0</v>
      </c>
      <c r="K3478" s="47" t="n">
        <f aca="false">IF(J3478=1,N(I3478)+ROW()/10000000,0)</f>
        <v>0</v>
      </c>
      <c r="L3478" s="47" t="str">
        <f aca="false">IF(AND(J3478=1,N(I3478)&gt;0),SUMIF($K$2:$K$5001,"&gt;="&amp;K3478,$I$2:$I$5001)/MAX(1,SUM($H$2:$H$5001)),"")</f>
        <v/>
      </c>
      <c r="M3478" s="47" t="str">
        <f aca="false">IF($A3478="","",INDEX($L$2:$L$5001,MATCH($A3478,$A$2:$A$5001,0)))</f>
        <v/>
      </c>
      <c r="N3478" s="48" t="str">
        <f aca="false">IF($A3478="","",IF(N(M3478)=0,"–",IF(M3478&lt;=Start!$D$20,"A",IF(M3478&lt;=Start!$D$21,"B","C"))))</f>
        <v/>
      </c>
      <c r="O3478" s="48" t="str">
        <f aca="false">IF($A3478="","",IF(NOT(ISNUMBER(F3478)),"Wert fehlt; ",IF(F3478&lt;=0,"Wert ist 0; ",""))&amp;IF(NOT(ISNUMBER(E3478)),"Bestand fehlt; ",IF(E3478&lt;0,"Bestand negativ; ",IF(E3478=0,"Nullbestand; ","")))&amp;IF(D3478="","Warengruppe fehlt; ","")&amp;IF(B3478="","Bezeichnung fehlt; ","")&amp;IF(COUNTIFS($A$2:$A$5001,$A3478,$C$2:$C$5001,C3478)&gt;1,"Artikel doppelt im selben Lager; ",""))</f>
        <v/>
      </c>
      <c r="P3478" s="47" t="n">
        <f aca="false">IF(OR($A3478="",D3478=""),0,IF(COUNTIF($D$2:D3478,D3478)=1,SUMIF($D$2:$D$5001,D3478,$H$2:$H$5001)+ROW()/10000000,0))</f>
        <v>0</v>
      </c>
      <c r="Q3478" s="47" t="n">
        <f aca="false">IF(OR($A3478="",C3478=""),0,IF(COUNTIF($C$2:C3478,C3478)=1,SUMIF($C$2:$C$5001,C3478,$H$2:$H$5001)+ROW()/10000000,0))</f>
        <v>0</v>
      </c>
    </row>
    <row r="3479" customFormat="false" ht="15" hidden="false" customHeight="false" outlineLevel="0" collapsed="false">
      <c r="A3479" s="43"/>
      <c r="B3479" s="44"/>
      <c r="C3479" s="44"/>
      <c r="D3479" s="44"/>
      <c r="E3479" s="44"/>
      <c r="F3479" s="44"/>
      <c r="G3479" s="44"/>
      <c r="H3479" s="46" t="str">
        <f aca="false">IF($A3479="","",IF(OR(NOT(ISNUMBER(E3479)),NOT(ISNUMBER(F3479))),"",MAX(0,E3479)*F3479))</f>
        <v/>
      </c>
      <c r="I3479" s="46" t="str">
        <f aca="false">IF($A3479="","",SUMIF($A$2:$A$5001,$A3479,$H$2:$H$5001))</f>
        <v/>
      </c>
      <c r="J3479" s="47" t="n">
        <f aca="false">IF($A3479="",0,IF(COUNTIF($A$2:A3479,$A3479)=1,1,0))</f>
        <v>0</v>
      </c>
      <c r="K3479" s="47" t="n">
        <f aca="false">IF(J3479=1,N(I3479)+ROW()/10000000,0)</f>
        <v>0</v>
      </c>
      <c r="L3479" s="47" t="str">
        <f aca="false">IF(AND(J3479=1,N(I3479)&gt;0),SUMIF($K$2:$K$5001,"&gt;="&amp;K3479,$I$2:$I$5001)/MAX(1,SUM($H$2:$H$5001)),"")</f>
        <v/>
      </c>
      <c r="M3479" s="47" t="str">
        <f aca="false">IF($A3479="","",INDEX($L$2:$L$5001,MATCH($A3479,$A$2:$A$5001,0)))</f>
        <v/>
      </c>
      <c r="N3479" s="48" t="str">
        <f aca="false">IF($A3479="","",IF(N(M3479)=0,"–",IF(M3479&lt;=Start!$D$20,"A",IF(M3479&lt;=Start!$D$21,"B","C"))))</f>
        <v/>
      </c>
      <c r="O3479" s="48" t="str">
        <f aca="false">IF($A3479="","",IF(NOT(ISNUMBER(F3479)),"Wert fehlt; ",IF(F3479&lt;=0,"Wert ist 0; ",""))&amp;IF(NOT(ISNUMBER(E3479)),"Bestand fehlt; ",IF(E3479&lt;0,"Bestand negativ; ",IF(E3479=0,"Nullbestand; ","")))&amp;IF(D3479="","Warengruppe fehlt; ","")&amp;IF(B3479="","Bezeichnung fehlt; ","")&amp;IF(COUNTIFS($A$2:$A$5001,$A3479,$C$2:$C$5001,C3479)&gt;1,"Artikel doppelt im selben Lager; ",""))</f>
        <v/>
      </c>
      <c r="P3479" s="47" t="n">
        <f aca="false">IF(OR($A3479="",D3479=""),0,IF(COUNTIF($D$2:D3479,D3479)=1,SUMIF($D$2:$D$5001,D3479,$H$2:$H$5001)+ROW()/10000000,0))</f>
        <v>0</v>
      </c>
      <c r="Q3479" s="47" t="n">
        <f aca="false">IF(OR($A3479="",C3479=""),0,IF(COUNTIF($C$2:C3479,C3479)=1,SUMIF($C$2:$C$5001,C3479,$H$2:$H$5001)+ROW()/10000000,0))</f>
        <v>0</v>
      </c>
    </row>
    <row r="3480" customFormat="false" ht="15" hidden="false" customHeight="false" outlineLevel="0" collapsed="false">
      <c r="A3480" s="43"/>
      <c r="B3480" s="44"/>
      <c r="C3480" s="44"/>
      <c r="D3480" s="44"/>
      <c r="E3480" s="44"/>
      <c r="F3480" s="44"/>
      <c r="G3480" s="44"/>
      <c r="H3480" s="46" t="str">
        <f aca="false">IF($A3480="","",IF(OR(NOT(ISNUMBER(E3480)),NOT(ISNUMBER(F3480))),"",MAX(0,E3480)*F3480))</f>
        <v/>
      </c>
      <c r="I3480" s="46" t="str">
        <f aca="false">IF($A3480="","",SUMIF($A$2:$A$5001,$A3480,$H$2:$H$5001))</f>
        <v/>
      </c>
      <c r="J3480" s="47" t="n">
        <f aca="false">IF($A3480="",0,IF(COUNTIF($A$2:A3480,$A3480)=1,1,0))</f>
        <v>0</v>
      </c>
      <c r="K3480" s="47" t="n">
        <f aca="false">IF(J3480=1,N(I3480)+ROW()/10000000,0)</f>
        <v>0</v>
      </c>
      <c r="L3480" s="47" t="str">
        <f aca="false">IF(AND(J3480=1,N(I3480)&gt;0),SUMIF($K$2:$K$5001,"&gt;="&amp;K3480,$I$2:$I$5001)/MAX(1,SUM($H$2:$H$5001)),"")</f>
        <v/>
      </c>
      <c r="M3480" s="47" t="str">
        <f aca="false">IF($A3480="","",INDEX($L$2:$L$5001,MATCH($A3480,$A$2:$A$5001,0)))</f>
        <v/>
      </c>
      <c r="N3480" s="48" t="str">
        <f aca="false">IF($A3480="","",IF(N(M3480)=0,"–",IF(M3480&lt;=Start!$D$20,"A",IF(M3480&lt;=Start!$D$21,"B","C"))))</f>
        <v/>
      </c>
      <c r="O3480" s="48" t="str">
        <f aca="false">IF($A3480="","",IF(NOT(ISNUMBER(F3480)),"Wert fehlt; ",IF(F3480&lt;=0,"Wert ist 0; ",""))&amp;IF(NOT(ISNUMBER(E3480)),"Bestand fehlt; ",IF(E3480&lt;0,"Bestand negativ; ",IF(E3480=0,"Nullbestand; ","")))&amp;IF(D3480="","Warengruppe fehlt; ","")&amp;IF(B3480="","Bezeichnung fehlt; ","")&amp;IF(COUNTIFS($A$2:$A$5001,$A3480,$C$2:$C$5001,C3480)&gt;1,"Artikel doppelt im selben Lager; ",""))</f>
        <v/>
      </c>
      <c r="P3480" s="47" t="n">
        <f aca="false">IF(OR($A3480="",D3480=""),0,IF(COUNTIF($D$2:D3480,D3480)=1,SUMIF($D$2:$D$5001,D3480,$H$2:$H$5001)+ROW()/10000000,0))</f>
        <v>0</v>
      </c>
      <c r="Q3480" s="47" t="n">
        <f aca="false">IF(OR($A3480="",C3480=""),0,IF(COUNTIF($C$2:C3480,C3480)=1,SUMIF($C$2:$C$5001,C3480,$H$2:$H$5001)+ROW()/10000000,0))</f>
        <v>0</v>
      </c>
    </row>
    <row r="3481" customFormat="false" ht="15" hidden="false" customHeight="false" outlineLevel="0" collapsed="false">
      <c r="A3481" s="43"/>
      <c r="B3481" s="44"/>
      <c r="C3481" s="44"/>
      <c r="D3481" s="44"/>
      <c r="E3481" s="44"/>
      <c r="F3481" s="44"/>
      <c r="G3481" s="44"/>
      <c r="H3481" s="46" t="str">
        <f aca="false">IF($A3481="","",IF(OR(NOT(ISNUMBER(E3481)),NOT(ISNUMBER(F3481))),"",MAX(0,E3481)*F3481))</f>
        <v/>
      </c>
      <c r="I3481" s="46" t="str">
        <f aca="false">IF($A3481="","",SUMIF($A$2:$A$5001,$A3481,$H$2:$H$5001))</f>
        <v/>
      </c>
      <c r="J3481" s="47" t="n">
        <f aca="false">IF($A3481="",0,IF(COUNTIF($A$2:A3481,$A3481)=1,1,0))</f>
        <v>0</v>
      </c>
      <c r="K3481" s="47" t="n">
        <f aca="false">IF(J3481=1,N(I3481)+ROW()/10000000,0)</f>
        <v>0</v>
      </c>
      <c r="L3481" s="47" t="str">
        <f aca="false">IF(AND(J3481=1,N(I3481)&gt;0),SUMIF($K$2:$K$5001,"&gt;="&amp;K3481,$I$2:$I$5001)/MAX(1,SUM($H$2:$H$5001)),"")</f>
        <v/>
      </c>
      <c r="M3481" s="47" t="str">
        <f aca="false">IF($A3481="","",INDEX($L$2:$L$5001,MATCH($A3481,$A$2:$A$5001,0)))</f>
        <v/>
      </c>
      <c r="N3481" s="48" t="str">
        <f aca="false">IF($A3481="","",IF(N(M3481)=0,"–",IF(M3481&lt;=Start!$D$20,"A",IF(M3481&lt;=Start!$D$21,"B","C"))))</f>
        <v/>
      </c>
      <c r="O3481" s="48" t="str">
        <f aca="false">IF($A3481="","",IF(NOT(ISNUMBER(F3481)),"Wert fehlt; ",IF(F3481&lt;=0,"Wert ist 0; ",""))&amp;IF(NOT(ISNUMBER(E3481)),"Bestand fehlt; ",IF(E3481&lt;0,"Bestand negativ; ",IF(E3481=0,"Nullbestand; ","")))&amp;IF(D3481="","Warengruppe fehlt; ","")&amp;IF(B3481="","Bezeichnung fehlt; ","")&amp;IF(COUNTIFS($A$2:$A$5001,$A3481,$C$2:$C$5001,C3481)&gt;1,"Artikel doppelt im selben Lager; ",""))</f>
        <v/>
      </c>
      <c r="P3481" s="47" t="n">
        <f aca="false">IF(OR($A3481="",D3481=""),0,IF(COUNTIF($D$2:D3481,D3481)=1,SUMIF($D$2:$D$5001,D3481,$H$2:$H$5001)+ROW()/10000000,0))</f>
        <v>0</v>
      </c>
      <c r="Q3481" s="47" t="n">
        <f aca="false">IF(OR($A3481="",C3481=""),0,IF(COUNTIF($C$2:C3481,C3481)=1,SUMIF($C$2:$C$5001,C3481,$H$2:$H$5001)+ROW()/10000000,0))</f>
        <v>0</v>
      </c>
    </row>
    <row r="3482" customFormat="false" ht="15" hidden="false" customHeight="false" outlineLevel="0" collapsed="false">
      <c r="A3482" s="43"/>
      <c r="B3482" s="44"/>
      <c r="C3482" s="44"/>
      <c r="D3482" s="44"/>
      <c r="E3482" s="44"/>
      <c r="F3482" s="44"/>
      <c r="G3482" s="44"/>
      <c r="H3482" s="46" t="str">
        <f aca="false">IF($A3482="","",IF(OR(NOT(ISNUMBER(E3482)),NOT(ISNUMBER(F3482))),"",MAX(0,E3482)*F3482))</f>
        <v/>
      </c>
      <c r="I3482" s="46" t="str">
        <f aca="false">IF($A3482="","",SUMIF($A$2:$A$5001,$A3482,$H$2:$H$5001))</f>
        <v/>
      </c>
      <c r="J3482" s="47" t="n">
        <f aca="false">IF($A3482="",0,IF(COUNTIF($A$2:A3482,$A3482)=1,1,0))</f>
        <v>0</v>
      </c>
      <c r="K3482" s="47" t="n">
        <f aca="false">IF(J3482=1,N(I3482)+ROW()/10000000,0)</f>
        <v>0</v>
      </c>
      <c r="L3482" s="47" t="str">
        <f aca="false">IF(AND(J3482=1,N(I3482)&gt;0),SUMIF($K$2:$K$5001,"&gt;="&amp;K3482,$I$2:$I$5001)/MAX(1,SUM($H$2:$H$5001)),"")</f>
        <v/>
      </c>
      <c r="M3482" s="47" t="str">
        <f aca="false">IF($A3482="","",INDEX($L$2:$L$5001,MATCH($A3482,$A$2:$A$5001,0)))</f>
        <v/>
      </c>
      <c r="N3482" s="48" t="str">
        <f aca="false">IF($A3482="","",IF(N(M3482)=0,"–",IF(M3482&lt;=Start!$D$20,"A",IF(M3482&lt;=Start!$D$21,"B","C"))))</f>
        <v/>
      </c>
      <c r="O3482" s="48" t="str">
        <f aca="false">IF($A3482="","",IF(NOT(ISNUMBER(F3482)),"Wert fehlt; ",IF(F3482&lt;=0,"Wert ist 0; ",""))&amp;IF(NOT(ISNUMBER(E3482)),"Bestand fehlt; ",IF(E3482&lt;0,"Bestand negativ; ",IF(E3482=0,"Nullbestand; ","")))&amp;IF(D3482="","Warengruppe fehlt; ","")&amp;IF(B3482="","Bezeichnung fehlt; ","")&amp;IF(COUNTIFS($A$2:$A$5001,$A3482,$C$2:$C$5001,C3482)&gt;1,"Artikel doppelt im selben Lager; ",""))</f>
        <v/>
      </c>
      <c r="P3482" s="47" t="n">
        <f aca="false">IF(OR($A3482="",D3482=""),0,IF(COUNTIF($D$2:D3482,D3482)=1,SUMIF($D$2:$D$5001,D3482,$H$2:$H$5001)+ROW()/10000000,0))</f>
        <v>0</v>
      </c>
      <c r="Q3482" s="47" t="n">
        <f aca="false">IF(OR($A3482="",C3482=""),0,IF(COUNTIF($C$2:C3482,C3482)=1,SUMIF($C$2:$C$5001,C3482,$H$2:$H$5001)+ROW()/10000000,0))</f>
        <v>0</v>
      </c>
    </row>
    <row r="3483" customFormat="false" ht="15" hidden="false" customHeight="false" outlineLevel="0" collapsed="false">
      <c r="A3483" s="43"/>
      <c r="B3483" s="44"/>
      <c r="C3483" s="44"/>
      <c r="D3483" s="44"/>
      <c r="E3483" s="44"/>
      <c r="F3483" s="44"/>
      <c r="G3483" s="44"/>
      <c r="H3483" s="46" t="str">
        <f aca="false">IF($A3483="","",IF(OR(NOT(ISNUMBER(E3483)),NOT(ISNUMBER(F3483))),"",MAX(0,E3483)*F3483))</f>
        <v/>
      </c>
      <c r="I3483" s="46" t="str">
        <f aca="false">IF($A3483="","",SUMIF($A$2:$A$5001,$A3483,$H$2:$H$5001))</f>
        <v/>
      </c>
      <c r="J3483" s="47" t="n">
        <f aca="false">IF($A3483="",0,IF(COUNTIF($A$2:A3483,$A3483)=1,1,0))</f>
        <v>0</v>
      </c>
      <c r="K3483" s="47" t="n">
        <f aca="false">IF(J3483=1,N(I3483)+ROW()/10000000,0)</f>
        <v>0</v>
      </c>
      <c r="L3483" s="47" t="str">
        <f aca="false">IF(AND(J3483=1,N(I3483)&gt;0),SUMIF($K$2:$K$5001,"&gt;="&amp;K3483,$I$2:$I$5001)/MAX(1,SUM($H$2:$H$5001)),"")</f>
        <v/>
      </c>
      <c r="M3483" s="47" t="str">
        <f aca="false">IF($A3483="","",INDEX($L$2:$L$5001,MATCH($A3483,$A$2:$A$5001,0)))</f>
        <v/>
      </c>
      <c r="N3483" s="48" t="str">
        <f aca="false">IF($A3483="","",IF(N(M3483)=0,"–",IF(M3483&lt;=Start!$D$20,"A",IF(M3483&lt;=Start!$D$21,"B","C"))))</f>
        <v/>
      </c>
      <c r="O3483" s="48" t="str">
        <f aca="false">IF($A3483="","",IF(NOT(ISNUMBER(F3483)),"Wert fehlt; ",IF(F3483&lt;=0,"Wert ist 0; ",""))&amp;IF(NOT(ISNUMBER(E3483)),"Bestand fehlt; ",IF(E3483&lt;0,"Bestand negativ; ",IF(E3483=0,"Nullbestand; ","")))&amp;IF(D3483="","Warengruppe fehlt; ","")&amp;IF(B3483="","Bezeichnung fehlt; ","")&amp;IF(COUNTIFS($A$2:$A$5001,$A3483,$C$2:$C$5001,C3483)&gt;1,"Artikel doppelt im selben Lager; ",""))</f>
        <v/>
      </c>
      <c r="P3483" s="47" t="n">
        <f aca="false">IF(OR($A3483="",D3483=""),0,IF(COUNTIF($D$2:D3483,D3483)=1,SUMIF($D$2:$D$5001,D3483,$H$2:$H$5001)+ROW()/10000000,0))</f>
        <v>0</v>
      </c>
      <c r="Q3483" s="47" t="n">
        <f aca="false">IF(OR($A3483="",C3483=""),0,IF(COUNTIF($C$2:C3483,C3483)=1,SUMIF($C$2:$C$5001,C3483,$H$2:$H$5001)+ROW()/10000000,0))</f>
        <v>0</v>
      </c>
    </row>
    <row r="3484" customFormat="false" ht="15" hidden="false" customHeight="false" outlineLevel="0" collapsed="false">
      <c r="A3484" s="43"/>
      <c r="B3484" s="44"/>
      <c r="C3484" s="44"/>
      <c r="D3484" s="44"/>
      <c r="E3484" s="44"/>
      <c r="F3484" s="44"/>
      <c r="G3484" s="44"/>
      <c r="H3484" s="46" t="str">
        <f aca="false">IF($A3484="","",IF(OR(NOT(ISNUMBER(E3484)),NOT(ISNUMBER(F3484))),"",MAX(0,E3484)*F3484))</f>
        <v/>
      </c>
      <c r="I3484" s="46" t="str">
        <f aca="false">IF($A3484="","",SUMIF($A$2:$A$5001,$A3484,$H$2:$H$5001))</f>
        <v/>
      </c>
      <c r="J3484" s="47" t="n">
        <f aca="false">IF($A3484="",0,IF(COUNTIF($A$2:A3484,$A3484)=1,1,0))</f>
        <v>0</v>
      </c>
      <c r="K3484" s="47" t="n">
        <f aca="false">IF(J3484=1,N(I3484)+ROW()/10000000,0)</f>
        <v>0</v>
      </c>
      <c r="L3484" s="47" t="str">
        <f aca="false">IF(AND(J3484=1,N(I3484)&gt;0),SUMIF($K$2:$K$5001,"&gt;="&amp;K3484,$I$2:$I$5001)/MAX(1,SUM($H$2:$H$5001)),"")</f>
        <v/>
      </c>
      <c r="M3484" s="47" t="str">
        <f aca="false">IF($A3484="","",INDEX($L$2:$L$5001,MATCH($A3484,$A$2:$A$5001,0)))</f>
        <v/>
      </c>
      <c r="N3484" s="48" t="str">
        <f aca="false">IF($A3484="","",IF(N(M3484)=0,"–",IF(M3484&lt;=Start!$D$20,"A",IF(M3484&lt;=Start!$D$21,"B","C"))))</f>
        <v/>
      </c>
      <c r="O3484" s="48" t="str">
        <f aca="false">IF($A3484="","",IF(NOT(ISNUMBER(F3484)),"Wert fehlt; ",IF(F3484&lt;=0,"Wert ist 0; ",""))&amp;IF(NOT(ISNUMBER(E3484)),"Bestand fehlt; ",IF(E3484&lt;0,"Bestand negativ; ",IF(E3484=0,"Nullbestand; ","")))&amp;IF(D3484="","Warengruppe fehlt; ","")&amp;IF(B3484="","Bezeichnung fehlt; ","")&amp;IF(COUNTIFS($A$2:$A$5001,$A3484,$C$2:$C$5001,C3484)&gt;1,"Artikel doppelt im selben Lager; ",""))</f>
        <v/>
      </c>
      <c r="P3484" s="47" t="n">
        <f aca="false">IF(OR($A3484="",D3484=""),0,IF(COUNTIF($D$2:D3484,D3484)=1,SUMIF($D$2:$D$5001,D3484,$H$2:$H$5001)+ROW()/10000000,0))</f>
        <v>0</v>
      </c>
      <c r="Q3484" s="47" t="n">
        <f aca="false">IF(OR($A3484="",C3484=""),0,IF(COUNTIF($C$2:C3484,C3484)=1,SUMIF($C$2:$C$5001,C3484,$H$2:$H$5001)+ROW()/10000000,0))</f>
        <v>0</v>
      </c>
    </row>
    <row r="3485" customFormat="false" ht="15" hidden="false" customHeight="false" outlineLevel="0" collapsed="false">
      <c r="A3485" s="43"/>
      <c r="B3485" s="44"/>
      <c r="C3485" s="44"/>
      <c r="D3485" s="44"/>
      <c r="E3485" s="44"/>
      <c r="F3485" s="44"/>
      <c r="G3485" s="44"/>
      <c r="H3485" s="46" t="str">
        <f aca="false">IF($A3485="","",IF(OR(NOT(ISNUMBER(E3485)),NOT(ISNUMBER(F3485))),"",MAX(0,E3485)*F3485))</f>
        <v/>
      </c>
      <c r="I3485" s="46" t="str">
        <f aca="false">IF($A3485="","",SUMIF($A$2:$A$5001,$A3485,$H$2:$H$5001))</f>
        <v/>
      </c>
      <c r="J3485" s="47" t="n">
        <f aca="false">IF($A3485="",0,IF(COUNTIF($A$2:A3485,$A3485)=1,1,0))</f>
        <v>0</v>
      </c>
      <c r="K3485" s="47" t="n">
        <f aca="false">IF(J3485=1,N(I3485)+ROW()/10000000,0)</f>
        <v>0</v>
      </c>
      <c r="L3485" s="47" t="str">
        <f aca="false">IF(AND(J3485=1,N(I3485)&gt;0),SUMIF($K$2:$K$5001,"&gt;="&amp;K3485,$I$2:$I$5001)/MAX(1,SUM($H$2:$H$5001)),"")</f>
        <v/>
      </c>
      <c r="M3485" s="47" t="str">
        <f aca="false">IF($A3485="","",INDEX($L$2:$L$5001,MATCH($A3485,$A$2:$A$5001,0)))</f>
        <v/>
      </c>
      <c r="N3485" s="48" t="str">
        <f aca="false">IF($A3485="","",IF(N(M3485)=0,"–",IF(M3485&lt;=Start!$D$20,"A",IF(M3485&lt;=Start!$D$21,"B","C"))))</f>
        <v/>
      </c>
      <c r="O3485" s="48" t="str">
        <f aca="false">IF($A3485="","",IF(NOT(ISNUMBER(F3485)),"Wert fehlt; ",IF(F3485&lt;=0,"Wert ist 0; ",""))&amp;IF(NOT(ISNUMBER(E3485)),"Bestand fehlt; ",IF(E3485&lt;0,"Bestand negativ; ",IF(E3485=0,"Nullbestand; ","")))&amp;IF(D3485="","Warengruppe fehlt; ","")&amp;IF(B3485="","Bezeichnung fehlt; ","")&amp;IF(COUNTIFS($A$2:$A$5001,$A3485,$C$2:$C$5001,C3485)&gt;1,"Artikel doppelt im selben Lager; ",""))</f>
        <v/>
      </c>
      <c r="P3485" s="47" t="n">
        <f aca="false">IF(OR($A3485="",D3485=""),0,IF(COUNTIF($D$2:D3485,D3485)=1,SUMIF($D$2:$D$5001,D3485,$H$2:$H$5001)+ROW()/10000000,0))</f>
        <v>0</v>
      </c>
      <c r="Q3485" s="47" t="n">
        <f aca="false">IF(OR($A3485="",C3485=""),0,IF(COUNTIF($C$2:C3485,C3485)=1,SUMIF($C$2:$C$5001,C3485,$H$2:$H$5001)+ROW()/10000000,0))</f>
        <v>0</v>
      </c>
    </row>
    <row r="3486" customFormat="false" ht="15" hidden="false" customHeight="false" outlineLevel="0" collapsed="false">
      <c r="A3486" s="43"/>
      <c r="B3486" s="44"/>
      <c r="C3486" s="44"/>
      <c r="D3486" s="44"/>
      <c r="E3486" s="44"/>
      <c r="F3486" s="44"/>
      <c r="G3486" s="44"/>
      <c r="H3486" s="46" t="str">
        <f aca="false">IF($A3486="","",IF(OR(NOT(ISNUMBER(E3486)),NOT(ISNUMBER(F3486))),"",MAX(0,E3486)*F3486))</f>
        <v/>
      </c>
      <c r="I3486" s="46" t="str">
        <f aca="false">IF($A3486="","",SUMIF($A$2:$A$5001,$A3486,$H$2:$H$5001))</f>
        <v/>
      </c>
      <c r="J3486" s="47" t="n">
        <f aca="false">IF($A3486="",0,IF(COUNTIF($A$2:A3486,$A3486)=1,1,0))</f>
        <v>0</v>
      </c>
      <c r="K3486" s="47" t="n">
        <f aca="false">IF(J3486=1,N(I3486)+ROW()/10000000,0)</f>
        <v>0</v>
      </c>
      <c r="L3486" s="47" t="str">
        <f aca="false">IF(AND(J3486=1,N(I3486)&gt;0),SUMIF($K$2:$K$5001,"&gt;="&amp;K3486,$I$2:$I$5001)/MAX(1,SUM($H$2:$H$5001)),"")</f>
        <v/>
      </c>
      <c r="M3486" s="47" t="str">
        <f aca="false">IF($A3486="","",INDEX($L$2:$L$5001,MATCH($A3486,$A$2:$A$5001,0)))</f>
        <v/>
      </c>
      <c r="N3486" s="48" t="str">
        <f aca="false">IF($A3486="","",IF(N(M3486)=0,"–",IF(M3486&lt;=Start!$D$20,"A",IF(M3486&lt;=Start!$D$21,"B","C"))))</f>
        <v/>
      </c>
      <c r="O3486" s="48" t="str">
        <f aca="false">IF($A3486="","",IF(NOT(ISNUMBER(F3486)),"Wert fehlt; ",IF(F3486&lt;=0,"Wert ist 0; ",""))&amp;IF(NOT(ISNUMBER(E3486)),"Bestand fehlt; ",IF(E3486&lt;0,"Bestand negativ; ",IF(E3486=0,"Nullbestand; ","")))&amp;IF(D3486="","Warengruppe fehlt; ","")&amp;IF(B3486="","Bezeichnung fehlt; ","")&amp;IF(COUNTIFS($A$2:$A$5001,$A3486,$C$2:$C$5001,C3486)&gt;1,"Artikel doppelt im selben Lager; ",""))</f>
        <v/>
      </c>
      <c r="P3486" s="47" t="n">
        <f aca="false">IF(OR($A3486="",D3486=""),0,IF(COUNTIF($D$2:D3486,D3486)=1,SUMIF($D$2:$D$5001,D3486,$H$2:$H$5001)+ROW()/10000000,0))</f>
        <v>0</v>
      </c>
      <c r="Q3486" s="47" t="n">
        <f aca="false">IF(OR($A3486="",C3486=""),0,IF(COUNTIF($C$2:C3486,C3486)=1,SUMIF($C$2:$C$5001,C3486,$H$2:$H$5001)+ROW()/10000000,0))</f>
        <v>0</v>
      </c>
    </row>
    <row r="3487" customFormat="false" ht="15" hidden="false" customHeight="false" outlineLevel="0" collapsed="false">
      <c r="A3487" s="43"/>
      <c r="B3487" s="44"/>
      <c r="C3487" s="44"/>
      <c r="D3487" s="44"/>
      <c r="E3487" s="44"/>
      <c r="F3487" s="44"/>
      <c r="G3487" s="44"/>
      <c r="H3487" s="46" t="str">
        <f aca="false">IF($A3487="","",IF(OR(NOT(ISNUMBER(E3487)),NOT(ISNUMBER(F3487))),"",MAX(0,E3487)*F3487))</f>
        <v/>
      </c>
      <c r="I3487" s="46" t="str">
        <f aca="false">IF($A3487="","",SUMIF($A$2:$A$5001,$A3487,$H$2:$H$5001))</f>
        <v/>
      </c>
      <c r="J3487" s="47" t="n">
        <f aca="false">IF($A3487="",0,IF(COUNTIF($A$2:A3487,$A3487)=1,1,0))</f>
        <v>0</v>
      </c>
      <c r="K3487" s="47" t="n">
        <f aca="false">IF(J3487=1,N(I3487)+ROW()/10000000,0)</f>
        <v>0</v>
      </c>
      <c r="L3487" s="47" t="str">
        <f aca="false">IF(AND(J3487=1,N(I3487)&gt;0),SUMIF($K$2:$K$5001,"&gt;="&amp;K3487,$I$2:$I$5001)/MAX(1,SUM($H$2:$H$5001)),"")</f>
        <v/>
      </c>
      <c r="M3487" s="47" t="str">
        <f aca="false">IF($A3487="","",INDEX($L$2:$L$5001,MATCH($A3487,$A$2:$A$5001,0)))</f>
        <v/>
      </c>
      <c r="N3487" s="48" t="str">
        <f aca="false">IF($A3487="","",IF(N(M3487)=0,"–",IF(M3487&lt;=Start!$D$20,"A",IF(M3487&lt;=Start!$D$21,"B","C"))))</f>
        <v/>
      </c>
      <c r="O3487" s="48" t="str">
        <f aca="false">IF($A3487="","",IF(NOT(ISNUMBER(F3487)),"Wert fehlt; ",IF(F3487&lt;=0,"Wert ist 0; ",""))&amp;IF(NOT(ISNUMBER(E3487)),"Bestand fehlt; ",IF(E3487&lt;0,"Bestand negativ; ",IF(E3487=0,"Nullbestand; ","")))&amp;IF(D3487="","Warengruppe fehlt; ","")&amp;IF(B3487="","Bezeichnung fehlt; ","")&amp;IF(COUNTIFS($A$2:$A$5001,$A3487,$C$2:$C$5001,C3487)&gt;1,"Artikel doppelt im selben Lager; ",""))</f>
        <v/>
      </c>
      <c r="P3487" s="47" t="n">
        <f aca="false">IF(OR($A3487="",D3487=""),0,IF(COUNTIF($D$2:D3487,D3487)=1,SUMIF($D$2:$D$5001,D3487,$H$2:$H$5001)+ROW()/10000000,0))</f>
        <v>0</v>
      </c>
      <c r="Q3487" s="47" t="n">
        <f aca="false">IF(OR($A3487="",C3487=""),0,IF(COUNTIF($C$2:C3487,C3487)=1,SUMIF($C$2:$C$5001,C3487,$H$2:$H$5001)+ROW()/10000000,0))</f>
        <v>0</v>
      </c>
    </row>
    <row r="3488" customFormat="false" ht="15" hidden="false" customHeight="false" outlineLevel="0" collapsed="false">
      <c r="A3488" s="43"/>
      <c r="B3488" s="44"/>
      <c r="C3488" s="44"/>
      <c r="D3488" s="44"/>
      <c r="E3488" s="44"/>
      <c r="F3488" s="44"/>
      <c r="G3488" s="44"/>
      <c r="H3488" s="46" t="str">
        <f aca="false">IF($A3488="","",IF(OR(NOT(ISNUMBER(E3488)),NOT(ISNUMBER(F3488))),"",MAX(0,E3488)*F3488))</f>
        <v/>
      </c>
      <c r="I3488" s="46" t="str">
        <f aca="false">IF($A3488="","",SUMIF($A$2:$A$5001,$A3488,$H$2:$H$5001))</f>
        <v/>
      </c>
      <c r="J3488" s="47" t="n">
        <f aca="false">IF($A3488="",0,IF(COUNTIF($A$2:A3488,$A3488)=1,1,0))</f>
        <v>0</v>
      </c>
      <c r="K3488" s="47" t="n">
        <f aca="false">IF(J3488=1,N(I3488)+ROW()/10000000,0)</f>
        <v>0</v>
      </c>
      <c r="L3488" s="47" t="str">
        <f aca="false">IF(AND(J3488=1,N(I3488)&gt;0),SUMIF($K$2:$K$5001,"&gt;="&amp;K3488,$I$2:$I$5001)/MAX(1,SUM($H$2:$H$5001)),"")</f>
        <v/>
      </c>
      <c r="M3488" s="47" t="str">
        <f aca="false">IF($A3488="","",INDEX($L$2:$L$5001,MATCH($A3488,$A$2:$A$5001,0)))</f>
        <v/>
      </c>
      <c r="N3488" s="48" t="str">
        <f aca="false">IF($A3488="","",IF(N(M3488)=0,"–",IF(M3488&lt;=Start!$D$20,"A",IF(M3488&lt;=Start!$D$21,"B","C"))))</f>
        <v/>
      </c>
      <c r="O3488" s="48" t="str">
        <f aca="false">IF($A3488="","",IF(NOT(ISNUMBER(F3488)),"Wert fehlt; ",IF(F3488&lt;=0,"Wert ist 0; ",""))&amp;IF(NOT(ISNUMBER(E3488)),"Bestand fehlt; ",IF(E3488&lt;0,"Bestand negativ; ",IF(E3488=0,"Nullbestand; ","")))&amp;IF(D3488="","Warengruppe fehlt; ","")&amp;IF(B3488="","Bezeichnung fehlt; ","")&amp;IF(COUNTIFS($A$2:$A$5001,$A3488,$C$2:$C$5001,C3488)&gt;1,"Artikel doppelt im selben Lager; ",""))</f>
        <v/>
      </c>
      <c r="P3488" s="47" t="n">
        <f aca="false">IF(OR($A3488="",D3488=""),0,IF(COUNTIF($D$2:D3488,D3488)=1,SUMIF($D$2:$D$5001,D3488,$H$2:$H$5001)+ROW()/10000000,0))</f>
        <v>0</v>
      </c>
      <c r="Q3488" s="47" t="n">
        <f aca="false">IF(OR($A3488="",C3488=""),0,IF(COUNTIF($C$2:C3488,C3488)=1,SUMIF($C$2:$C$5001,C3488,$H$2:$H$5001)+ROW()/10000000,0))</f>
        <v>0</v>
      </c>
    </row>
    <row r="3489" customFormat="false" ht="15" hidden="false" customHeight="false" outlineLevel="0" collapsed="false">
      <c r="A3489" s="43"/>
      <c r="B3489" s="44"/>
      <c r="C3489" s="44"/>
      <c r="D3489" s="44"/>
      <c r="E3489" s="44"/>
      <c r="F3489" s="44"/>
      <c r="G3489" s="44"/>
      <c r="H3489" s="46" t="str">
        <f aca="false">IF($A3489="","",IF(OR(NOT(ISNUMBER(E3489)),NOT(ISNUMBER(F3489))),"",MAX(0,E3489)*F3489))</f>
        <v/>
      </c>
      <c r="I3489" s="46" t="str">
        <f aca="false">IF($A3489="","",SUMIF($A$2:$A$5001,$A3489,$H$2:$H$5001))</f>
        <v/>
      </c>
      <c r="J3489" s="47" t="n">
        <f aca="false">IF($A3489="",0,IF(COUNTIF($A$2:A3489,$A3489)=1,1,0))</f>
        <v>0</v>
      </c>
      <c r="K3489" s="47" t="n">
        <f aca="false">IF(J3489=1,N(I3489)+ROW()/10000000,0)</f>
        <v>0</v>
      </c>
      <c r="L3489" s="47" t="str">
        <f aca="false">IF(AND(J3489=1,N(I3489)&gt;0),SUMIF($K$2:$K$5001,"&gt;="&amp;K3489,$I$2:$I$5001)/MAX(1,SUM($H$2:$H$5001)),"")</f>
        <v/>
      </c>
      <c r="M3489" s="47" t="str">
        <f aca="false">IF($A3489="","",INDEX($L$2:$L$5001,MATCH($A3489,$A$2:$A$5001,0)))</f>
        <v/>
      </c>
      <c r="N3489" s="48" t="str">
        <f aca="false">IF($A3489="","",IF(N(M3489)=0,"–",IF(M3489&lt;=Start!$D$20,"A",IF(M3489&lt;=Start!$D$21,"B","C"))))</f>
        <v/>
      </c>
      <c r="O3489" s="48" t="str">
        <f aca="false">IF($A3489="","",IF(NOT(ISNUMBER(F3489)),"Wert fehlt; ",IF(F3489&lt;=0,"Wert ist 0; ",""))&amp;IF(NOT(ISNUMBER(E3489)),"Bestand fehlt; ",IF(E3489&lt;0,"Bestand negativ; ",IF(E3489=0,"Nullbestand; ","")))&amp;IF(D3489="","Warengruppe fehlt; ","")&amp;IF(B3489="","Bezeichnung fehlt; ","")&amp;IF(COUNTIFS($A$2:$A$5001,$A3489,$C$2:$C$5001,C3489)&gt;1,"Artikel doppelt im selben Lager; ",""))</f>
        <v/>
      </c>
      <c r="P3489" s="47" t="n">
        <f aca="false">IF(OR($A3489="",D3489=""),0,IF(COUNTIF($D$2:D3489,D3489)=1,SUMIF($D$2:$D$5001,D3489,$H$2:$H$5001)+ROW()/10000000,0))</f>
        <v>0</v>
      </c>
      <c r="Q3489" s="47" t="n">
        <f aca="false">IF(OR($A3489="",C3489=""),0,IF(COUNTIF($C$2:C3489,C3489)=1,SUMIF($C$2:$C$5001,C3489,$H$2:$H$5001)+ROW()/10000000,0))</f>
        <v>0</v>
      </c>
    </row>
    <row r="3490" customFormat="false" ht="15" hidden="false" customHeight="false" outlineLevel="0" collapsed="false">
      <c r="A3490" s="43"/>
      <c r="B3490" s="44"/>
      <c r="C3490" s="44"/>
      <c r="D3490" s="44"/>
      <c r="E3490" s="44"/>
      <c r="F3490" s="44"/>
      <c r="G3490" s="44"/>
      <c r="H3490" s="46" t="str">
        <f aca="false">IF($A3490="","",IF(OR(NOT(ISNUMBER(E3490)),NOT(ISNUMBER(F3490))),"",MAX(0,E3490)*F3490))</f>
        <v/>
      </c>
      <c r="I3490" s="46" t="str">
        <f aca="false">IF($A3490="","",SUMIF($A$2:$A$5001,$A3490,$H$2:$H$5001))</f>
        <v/>
      </c>
      <c r="J3490" s="47" t="n">
        <f aca="false">IF($A3490="",0,IF(COUNTIF($A$2:A3490,$A3490)=1,1,0))</f>
        <v>0</v>
      </c>
      <c r="K3490" s="47" t="n">
        <f aca="false">IF(J3490=1,N(I3490)+ROW()/10000000,0)</f>
        <v>0</v>
      </c>
      <c r="L3490" s="47" t="str">
        <f aca="false">IF(AND(J3490=1,N(I3490)&gt;0),SUMIF($K$2:$K$5001,"&gt;="&amp;K3490,$I$2:$I$5001)/MAX(1,SUM($H$2:$H$5001)),"")</f>
        <v/>
      </c>
      <c r="M3490" s="47" t="str">
        <f aca="false">IF($A3490="","",INDEX($L$2:$L$5001,MATCH($A3490,$A$2:$A$5001,0)))</f>
        <v/>
      </c>
      <c r="N3490" s="48" t="str">
        <f aca="false">IF($A3490="","",IF(N(M3490)=0,"–",IF(M3490&lt;=Start!$D$20,"A",IF(M3490&lt;=Start!$D$21,"B","C"))))</f>
        <v/>
      </c>
      <c r="O3490" s="48" t="str">
        <f aca="false">IF($A3490="","",IF(NOT(ISNUMBER(F3490)),"Wert fehlt; ",IF(F3490&lt;=0,"Wert ist 0; ",""))&amp;IF(NOT(ISNUMBER(E3490)),"Bestand fehlt; ",IF(E3490&lt;0,"Bestand negativ; ",IF(E3490=0,"Nullbestand; ","")))&amp;IF(D3490="","Warengruppe fehlt; ","")&amp;IF(B3490="","Bezeichnung fehlt; ","")&amp;IF(COUNTIFS($A$2:$A$5001,$A3490,$C$2:$C$5001,C3490)&gt;1,"Artikel doppelt im selben Lager; ",""))</f>
        <v/>
      </c>
      <c r="P3490" s="47" t="n">
        <f aca="false">IF(OR($A3490="",D3490=""),0,IF(COUNTIF($D$2:D3490,D3490)=1,SUMIF($D$2:$D$5001,D3490,$H$2:$H$5001)+ROW()/10000000,0))</f>
        <v>0</v>
      </c>
      <c r="Q3490" s="47" t="n">
        <f aca="false">IF(OR($A3490="",C3490=""),0,IF(COUNTIF($C$2:C3490,C3490)=1,SUMIF($C$2:$C$5001,C3490,$H$2:$H$5001)+ROW()/10000000,0))</f>
        <v>0</v>
      </c>
    </row>
    <row r="3491" customFormat="false" ht="15" hidden="false" customHeight="false" outlineLevel="0" collapsed="false">
      <c r="A3491" s="43"/>
      <c r="B3491" s="44"/>
      <c r="C3491" s="44"/>
      <c r="D3491" s="44"/>
      <c r="E3491" s="44"/>
      <c r="F3491" s="44"/>
      <c r="G3491" s="44"/>
      <c r="H3491" s="46" t="str">
        <f aca="false">IF($A3491="","",IF(OR(NOT(ISNUMBER(E3491)),NOT(ISNUMBER(F3491))),"",MAX(0,E3491)*F3491))</f>
        <v/>
      </c>
      <c r="I3491" s="46" t="str">
        <f aca="false">IF($A3491="","",SUMIF($A$2:$A$5001,$A3491,$H$2:$H$5001))</f>
        <v/>
      </c>
      <c r="J3491" s="47" t="n">
        <f aca="false">IF($A3491="",0,IF(COUNTIF($A$2:A3491,$A3491)=1,1,0))</f>
        <v>0</v>
      </c>
      <c r="K3491" s="47" t="n">
        <f aca="false">IF(J3491=1,N(I3491)+ROW()/10000000,0)</f>
        <v>0</v>
      </c>
      <c r="L3491" s="47" t="str">
        <f aca="false">IF(AND(J3491=1,N(I3491)&gt;0),SUMIF($K$2:$K$5001,"&gt;="&amp;K3491,$I$2:$I$5001)/MAX(1,SUM($H$2:$H$5001)),"")</f>
        <v/>
      </c>
      <c r="M3491" s="47" t="str">
        <f aca="false">IF($A3491="","",INDEX($L$2:$L$5001,MATCH($A3491,$A$2:$A$5001,0)))</f>
        <v/>
      </c>
      <c r="N3491" s="48" t="str">
        <f aca="false">IF($A3491="","",IF(N(M3491)=0,"–",IF(M3491&lt;=Start!$D$20,"A",IF(M3491&lt;=Start!$D$21,"B","C"))))</f>
        <v/>
      </c>
      <c r="O3491" s="48" t="str">
        <f aca="false">IF($A3491="","",IF(NOT(ISNUMBER(F3491)),"Wert fehlt; ",IF(F3491&lt;=0,"Wert ist 0; ",""))&amp;IF(NOT(ISNUMBER(E3491)),"Bestand fehlt; ",IF(E3491&lt;0,"Bestand negativ; ",IF(E3491=0,"Nullbestand; ","")))&amp;IF(D3491="","Warengruppe fehlt; ","")&amp;IF(B3491="","Bezeichnung fehlt; ","")&amp;IF(COUNTIFS($A$2:$A$5001,$A3491,$C$2:$C$5001,C3491)&gt;1,"Artikel doppelt im selben Lager; ",""))</f>
        <v/>
      </c>
      <c r="P3491" s="47" t="n">
        <f aca="false">IF(OR($A3491="",D3491=""),0,IF(COUNTIF($D$2:D3491,D3491)=1,SUMIF($D$2:$D$5001,D3491,$H$2:$H$5001)+ROW()/10000000,0))</f>
        <v>0</v>
      </c>
      <c r="Q3491" s="47" t="n">
        <f aca="false">IF(OR($A3491="",C3491=""),0,IF(COUNTIF($C$2:C3491,C3491)=1,SUMIF($C$2:$C$5001,C3491,$H$2:$H$5001)+ROW()/10000000,0))</f>
        <v>0</v>
      </c>
    </row>
    <row r="3492" customFormat="false" ht="15" hidden="false" customHeight="false" outlineLevel="0" collapsed="false">
      <c r="A3492" s="43"/>
      <c r="B3492" s="44"/>
      <c r="C3492" s="44"/>
      <c r="D3492" s="44"/>
      <c r="E3492" s="44"/>
      <c r="F3492" s="44"/>
      <c r="G3492" s="44"/>
      <c r="H3492" s="46" t="str">
        <f aca="false">IF($A3492="","",IF(OR(NOT(ISNUMBER(E3492)),NOT(ISNUMBER(F3492))),"",MAX(0,E3492)*F3492))</f>
        <v/>
      </c>
      <c r="I3492" s="46" t="str">
        <f aca="false">IF($A3492="","",SUMIF($A$2:$A$5001,$A3492,$H$2:$H$5001))</f>
        <v/>
      </c>
      <c r="J3492" s="47" t="n">
        <f aca="false">IF($A3492="",0,IF(COUNTIF($A$2:A3492,$A3492)=1,1,0))</f>
        <v>0</v>
      </c>
      <c r="K3492" s="47" t="n">
        <f aca="false">IF(J3492=1,N(I3492)+ROW()/10000000,0)</f>
        <v>0</v>
      </c>
      <c r="L3492" s="47" t="str">
        <f aca="false">IF(AND(J3492=1,N(I3492)&gt;0),SUMIF($K$2:$K$5001,"&gt;="&amp;K3492,$I$2:$I$5001)/MAX(1,SUM($H$2:$H$5001)),"")</f>
        <v/>
      </c>
      <c r="M3492" s="47" t="str">
        <f aca="false">IF($A3492="","",INDEX($L$2:$L$5001,MATCH($A3492,$A$2:$A$5001,0)))</f>
        <v/>
      </c>
      <c r="N3492" s="48" t="str">
        <f aca="false">IF($A3492="","",IF(N(M3492)=0,"–",IF(M3492&lt;=Start!$D$20,"A",IF(M3492&lt;=Start!$D$21,"B","C"))))</f>
        <v/>
      </c>
      <c r="O3492" s="48" t="str">
        <f aca="false">IF($A3492="","",IF(NOT(ISNUMBER(F3492)),"Wert fehlt; ",IF(F3492&lt;=0,"Wert ist 0; ",""))&amp;IF(NOT(ISNUMBER(E3492)),"Bestand fehlt; ",IF(E3492&lt;0,"Bestand negativ; ",IF(E3492=0,"Nullbestand; ","")))&amp;IF(D3492="","Warengruppe fehlt; ","")&amp;IF(B3492="","Bezeichnung fehlt; ","")&amp;IF(COUNTIFS($A$2:$A$5001,$A3492,$C$2:$C$5001,C3492)&gt;1,"Artikel doppelt im selben Lager; ",""))</f>
        <v/>
      </c>
      <c r="P3492" s="47" t="n">
        <f aca="false">IF(OR($A3492="",D3492=""),0,IF(COUNTIF($D$2:D3492,D3492)=1,SUMIF($D$2:$D$5001,D3492,$H$2:$H$5001)+ROW()/10000000,0))</f>
        <v>0</v>
      </c>
      <c r="Q3492" s="47" t="n">
        <f aca="false">IF(OR($A3492="",C3492=""),0,IF(COUNTIF($C$2:C3492,C3492)=1,SUMIF($C$2:$C$5001,C3492,$H$2:$H$5001)+ROW()/10000000,0))</f>
        <v>0</v>
      </c>
    </row>
    <row r="3493" customFormat="false" ht="15" hidden="false" customHeight="false" outlineLevel="0" collapsed="false">
      <c r="A3493" s="43"/>
      <c r="B3493" s="44"/>
      <c r="C3493" s="44"/>
      <c r="D3493" s="44"/>
      <c r="E3493" s="44"/>
      <c r="F3493" s="44"/>
      <c r="G3493" s="44"/>
      <c r="H3493" s="46" t="str">
        <f aca="false">IF($A3493="","",IF(OR(NOT(ISNUMBER(E3493)),NOT(ISNUMBER(F3493))),"",MAX(0,E3493)*F3493))</f>
        <v/>
      </c>
      <c r="I3493" s="46" t="str">
        <f aca="false">IF($A3493="","",SUMIF($A$2:$A$5001,$A3493,$H$2:$H$5001))</f>
        <v/>
      </c>
      <c r="J3493" s="47" t="n">
        <f aca="false">IF($A3493="",0,IF(COUNTIF($A$2:A3493,$A3493)=1,1,0))</f>
        <v>0</v>
      </c>
      <c r="K3493" s="47" t="n">
        <f aca="false">IF(J3493=1,N(I3493)+ROW()/10000000,0)</f>
        <v>0</v>
      </c>
      <c r="L3493" s="47" t="str">
        <f aca="false">IF(AND(J3493=1,N(I3493)&gt;0),SUMIF($K$2:$K$5001,"&gt;="&amp;K3493,$I$2:$I$5001)/MAX(1,SUM($H$2:$H$5001)),"")</f>
        <v/>
      </c>
      <c r="M3493" s="47" t="str">
        <f aca="false">IF($A3493="","",INDEX($L$2:$L$5001,MATCH($A3493,$A$2:$A$5001,0)))</f>
        <v/>
      </c>
      <c r="N3493" s="48" t="str">
        <f aca="false">IF($A3493="","",IF(N(M3493)=0,"–",IF(M3493&lt;=Start!$D$20,"A",IF(M3493&lt;=Start!$D$21,"B","C"))))</f>
        <v/>
      </c>
      <c r="O3493" s="48" t="str">
        <f aca="false">IF($A3493="","",IF(NOT(ISNUMBER(F3493)),"Wert fehlt; ",IF(F3493&lt;=0,"Wert ist 0; ",""))&amp;IF(NOT(ISNUMBER(E3493)),"Bestand fehlt; ",IF(E3493&lt;0,"Bestand negativ; ",IF(E3493=0,"Nullbestand; ","")))&amp;IF(D3493="","Warengruppe fehlt; ","")&amp;IF(B3493="","Bezeichnung fehlt; ","")&amp;IF(COUNTIFS($A$2:$A$5001,$A3493,$C$2:$C$5001,C3493)&gt;1,"Artikel doppelt im selben Lager; ",""))</f>
        <v/>
      </c>
      <c r="P3493" s="47" t="n">
        <f aca="false">IF(OR($A3493="",D3493=""),0,IF(COUNTIF($D$2:D3493,D3493)=1,SUMIF($D$2:$D$5001,D3493,$H$2:$H$5001)+ROW()/10000000,0))</f>
        <v>0</v>
      </c>
      <c r="Q3493" s="47" t="n">
        <f aca="false">IF(OR($A3493="",C3493=""),0,IF(COUNTIF($C$2:C3493,C3493)=1,SUMIF($C$2:$C$5001,C3493,$H$2:$H$5001)+ROW()/10000000,0))</f>
        <v>0</v>
      </c>
    </row>
    <row r="3494" customFormat="false" ht="15" hidden="false" customHeight="false" outlineLevel="0" collapsed="false">
      <c r="A3494" s="43"/>
      <c r="B3494" s="44"/>
      <c r="C3494" s="44"/>
      <c r="D3494" s="44"/>
      <c r="E3494" s="44"/>
      <c r="F3494" s="44"/>
      <c r="G3494" s="44"/>
      <c r="H3494" s="46" t="str">
        <f aca="false">IF($A3494="","",IF(OR(NOT(ISNUMBER(E3494)),NOT(ISNUMBER(F3494))),"",MAX(0,E3494)*F3494))</f>
        <v/>
      </c>
      <c r="I3494" s="46" t="str">
        <f aca="false">IF($A3494="","",SUMIF($A$2:$A$5001,$A3494,$H$2:$H$5001))</f>
        <v/>
      </c>
      <c r="J3494" s="47" t="n">
        <f aca="false">IF($A3494="",0,IF(COUNTIF($A$2:A3494,$A3494)=1,1,0))</f>
        <v>0</v>
      </c>
      <c r="K3494" s="47" t="n">
        <f aca="false">IF(J3494=1,N(I3494)+ROW()/10000000,0)</f>
        <v>0</v>
      </c>
      <c r="L3494" s="47" t="str">
        <f aca="false">IF(AND(J3494=1,N(I3494)&gt;0),SUMIF($K$2:$K$5001,"&gt;="&amp;K3494,$I$2:$I$5001)/MAX(1,SUM($H$2:$H$5001)),"")</f>
        <v/>
      </c>
      <c r="M3494" s="47" t="str">
        <f aca="false">IF($A3494="","",INDEX($L$2:$L$5001,MATCH($A3494,$A$2:$A$5001,0)))</f>
        <v/>
      </c>
      <c r="N3494" s="48" t="str">
        <f aca="false">IF($A3494="","",IF(N(M3494)=0,"–",IF(M3494&lt;=Start!$D$20,"A",IF(M3494&lt;=Start!$D$21,"B","C"))))</f>
        <v/>
      </c>
      <c r="O3494" s="48" t="str">
        <f aca="false">IF($A3494="","",IF(NOT(ISNUMBER(F3494)),"Wert fehlt; ",IF(F3494&lt;=0,"Wert ist 0; ",""))&amp;IF(NOT(ISNUMBER(E3494)),"Bestand fehlt; ",IF(E3494&lt;0,"Bestand negativ; ",IF(E3494=0,"Nullbestand; ","")))&amp;IF(D3494="","Warengruppe fehlt; ","")&amp;IF(B3494="","Bezeichnung fehlt; ","")&amp;IF(COUNTIFS($A$2:$A$5001,$A3494,$C$2:$C$5001,C3494)&gt;1,"Artikel doppelt im selben Lager; ",""))</f>
        <v/>
      </c>
      <c r="P3494" s="47" t="n">
        <f aca="false">IF(OR($A3494="",D3494=""),0,IF(COUNTIF($D$2:D3494,D3494)=1,SUMIF($D$2:$D$5001,D3494,$H$2:$H$5001)+ROW()/10000000,0))</f>
        <v>0</v>
      </c>
      <c r="Q3494" s="47" t="n">
        <f aca="false">IF(OR($A3494="",C3494=""),0,IF(COUNTIF($C$2:C3494,C3494)=1,SUMIF($C$2:$C$5001,C3494,$H$2:$H$5001)+ROW()/10000000,0))</f>
        <v>0</v>
      </c>
    </row>
    <row r="3495" customFormat="false" ht="15" hidden="false" customHeight="false" outlineLevel="0" collapsed="false">
      <c r="A3495" s="43"/>
      <c r="B3495" s="44"/>
      <c r="C3495" s="44"/>
      <c r="D3495" s="44"/>
      <c r="E3495" s="44"/>
      <c r="F3495" s="44"/>
      <c r="G3495" s="44"/>
      <c r="H3495" s="46" t="str">
        <f aca="false">IF($A3495="","",IF(OR(NOT(ISNUMBER(E3495)),NOT(ISNUMBER(F3495))),"",MAX(0,E3495)*F3495))</f>
        <v/>
      </c>
      <c r="I3495" s="46" t="str">
        <f aca="false">IF($A3495="","",SUMIF($A$2:$A$5001,$A3495,$H$2:$H$5001))</f>
        <v/>
      </c>
      <c r="J3495" s="47" t="n">
        <f aca="false">IF($A3495="",0,IF(COUNTIF($A$2:A3495,$A3495)=1,1,0))</f>
        <v>0</v>
      </c>
      <c r="K3495" s="47" t="n">
        <f aca="false">IF(J3495=1,N(I3495)+ROW()/10000000,0)</f>
        <v>0</v>
      </c>
      <c r="L3495" s="47" t="str">
        <f aca="false">IF(AND(J3495=1,N(I3495)&gt;0),SUMIF($K$2:$K$5001,"&gt;="&amp;K3495,$I$2:$I$5001)/MAX(1,SUM($H$2:$H$5001)),"")</f>
        <v/>
      </c>
      <c r="M3495" s="47" t="str">
        <f aca="false">IF($A3495="","",INDEX($L$2:$L$5001,MATCH($A3495,$A$2:$A$5001,0)))</f>
        <v/>
      </c>
      <c r="N3495" s="48" t="str">
        <f aca="false">IF($A3495="","",IF(N(M3495)=0,"–",IF(M3495&lt;=Start!$D$20,"A",IF(M3495&lt;=Start!$D$21,"B","C"))))</f>
        <v/>
      </c>
      <c r="O3495" s="48" t="str">
        <f aca="false">IF($A3495="","",IF(NOT(ISNUMBER(F3495)),"Wert fehlt; ",IF(F3495&lt;=0,"Wert ist 0; ",""))&amp;IF(NOT(ISNUMBER(E3495)),"Bestand fehlt; ",IF(E3495&lt;0,"Bestand negativ; ",IF(E3495=0,"Nullbestand; ","")))&amp;IF(D3495="","Warengruppe fehlt; ","")&amp;IF(B3495="","Bezeichnung fehlt; ","")&amp;IF(COUNTIFS($A$2:$A$5001,$A3495,$C$2:$C$5001,C3495)&gt;1,"Artikel doppelt im selben Lager; ",""))</f>
        <v/>
      </c>
      <c r="P3495" s="47" t="n">
        <f aca="false">IF(OR($A3495="",D3495=""),0,IF(COUNTIF($D$2:D3495,D3495)=1,SUMIF($D$2:$D$5001,D3495,$H$2:$H$5001)+ROW()/10000000,0))</f>
        <v>0</v>
      </c>
      <c r="Q3495" s="47" t="n">
        <f aca="false">IF(OR($A3495="",C3495=""),0,IF(COUNTIF($C$2:C3495,C3495)=1,SUMIF($C$2:$C$5001,C3495,$H$2:$H$5001)+ROW()/10000000,0))</f>
        <v>0</v>
      </c>
    </row>
    <row r="3496" customFormat="false" ht="15" hidden="false" customHeight="false" outlineLevel="0" collapsed="false">
      <c r="A3496" s="43"/>
      <c r="B3496" s="44"/>
      <c r="C3496" s="44"/>
      <c r="D3496" s="44"/>
      <c r="E3496" s="44"/>
      <c r="F3496" s="44"/>
      <c r="G3496" s="44"/>
      <c r="H3496" s="46" t="str">
        <f aca="false">IF($A3496="","",IF(OR(NOT(ISNUMBER(E3496)),NOT(ISNUMBER(F3496))),"",MAX(0,E3496)*F3496))</f>
        <v/>
      </c>
      <c r="I3496" s="46" t="str">
        <f aca="false">IF($A3496="","",SUMIF($A$2:$A$5001,$A3496,$H$2:$H$5001))</f>
        <v/>
      </c>
      <c r="J3496" s="47" t="n">
        <f aca="false">IF($A3496="",0,IF(COUNTIF($A$2:A3496,$A3496)=1,1,0))</f>
        <v>0</v>
      </c>
      <c r="K3496" s="47" t="n">
        <f aca="false">IF(J3496=1,N(I3496)+ROW()/10000000,0)</f>
        <v>0</v>
      </c>
      <c r="L3496" s="47" t="str">
        <f aca="false">IF(AND(J3496=1,N(I3496)&gt;0),SUMIF($K$2:$K$5001,"&gt;="&amp;K3496,$I$2:$I$5001)/MAX(1,SUM($H$2:$H$5001)),"")</f>
        <v/>
      </c>
      <c r="M3496" s="47" t="str">
        <f aca="false">IF($A3496="","",INDEX($L$2:$L$5001,MATCH($A3496,$A$2:$A$5001,0)))</f>
        <v/>
      </c>
      <c r="N3496" s="48" t="str">
        <f aca="false">IF($A3496="","",IF(N(M3496)=0,"–",IF(M3496&lt;=Start!$D$20,"A",IF(M3496&lt;=Start!$D$21,"B","C"))))</f>
        <v/>
      </c>
      <c r="O3496" s="48" t="str">
        <f aca="false">IF($A3496="","",IF(NOT(ISNUMBER(F3496)),"Wert fehlt; ",IF(F3496&lt;=0,"Wert ist 0; ",""))&amp;IF(NOT(ISNUMBER(E3496)),"Bestand fehlt; ",IF(E3496&lt;0,"Bestand negativ; ",IF(E3496=0,"Nullbestand; ","")))&amp;IF(D3496="","Warengruppe fehlt; ","")&amp;IF(B3496="","Bezeichnung fehlt; ","")&amp;IF(COUNTIFS($A$2:$A$5001,$A3496,$C$2:$C$5001,C3496)&gt;1,"Artikel doppelt im selben Lager; ",""))</f>
        <v/>
      </c>
      <c r="P3496" s="47" t="n">
        <f aca="false">IF(OR($A3496="",D3496=""),0,IF(COUNTIF($D$2:D3496,D3496)=1,SUMIF($D$2:$D$5001,D3496,$H$2:$H$5001)+ROW()/10000000,0))</f>
        <v>0</v>
      </c>
      <c r="Q3496" s="47" t="n">
        <f aca="false">IF(OR($A3496="",C3496=""),0,IF(COUNTIF($C$2:C3496,C3496)=1,SUMIF($C$2:$C$5001,C3496,$H$2:$H$5001)+ROW()/10000000,0))</f>
        <v>0</v>
      </c>
    </row>
    <row r="3497" customFormat="false" ht="15" hidden="false" customHeight="false" outlineLevel="0" collapsed="false">
      <c r="A3497" s="43"/>
      <c r="B3497" s="44"/>
      <c r="C3497" s="44"/>
      <c r="D3497" s="44"/>
      <c r="E3497" s="44"/>
      <c r="F3497" s="44"/>
      <c r="G3497" s="44"/>
      <c r="H3497" s="46" t="str">
        <f aca="false">IF($A3497="","",IF(OR(NOT(ISNUMBER(E3497)),NOT(ISNUMBER(F3497))),"",MAX(0,E3497)*F3497))</f>
        <v/>
      </c>
      <c r="I3497" s="46" t="str">
        <f aca="false">IF($A3497="","",SUMIF($A$2:$A$5001,$A3497,$H$2:$H$5001))</f>
        <v/>
      </c>
      <c r="J3497" s="47" t="n">
        <f aca="false">IF($A3497="",0,IF(COUNTIF($A$2:A3497,$A3497)=1,1,0))</f>
        <v>0</v>
      </c>
      <c r="K3497" s="47" t="n">
        <f aca="false">IF(J3497=1,N(I3497)+ROW()/10000000,0)</f>
        <v>0</v>
      </c>
      <c r="L3497" s="47" t="str">
        <f aca="false">IF(AND(J3497=1,N(I3497)&gt;0),SUMIF($K$2:$K$5001,"&gt;="&amp;K3497,$I$2:$I$5001)/MAX(1,SUM($H$2:$H$5001)),"")</f>
        <v/>
      </c>
      <c r="M3497" s="47" t="str">
        <f aca="false">IF($A3497="","",INDEX($L$2:$L$5001,MATCH($A3497,$A$2:$A$5001,0)))</f>
        <v/>
      </c>
      <c r="N3497" s="48" t="str">
        <f aca="false">IF($A3497="","",IF(N(M3497)=0,"–",IF(M3497&lt;=Start!$D$20,"A",IF(M3497&lt;=Start!$D$21,"B","C"))))</f>
        <v/>
      </c>
      <c r="O3497" s="48" t="str">
        <f aca="false">IF($A3497="","",IF(NOT(ISNUMBER(F3497)),"Wert fehlt; ",IF(F3497&lt;=0,"Wert ist 0; ",""))&amp;IF(NOT(ISNUMBER(E3497)),"Bestand fehlt; ",IF(E3497&lt;0,"Bestand negativ; ",IF(E3497=0,"Nullbestand; ","")))&amp;IF(D3497="","Warengruppe fehlt; ","")&amp;IF(B3497="","Bezeichnung fehlt; ","")&amp;IF(COUNTIFS($A$2:$A$5001,$A3497,$C$2:$C$5001,C3497)&gt;1,"Artikel doppelt im selben Lager; ",""))</f>
        <v/>
      </c>
      <c r="P3497" s="47" t="n">
        <f aca="false">IF(OR($A3497="",D3497=""),0,IF(COUNTIF($D$2:D3497,D3497)=1,SUMIF($D$2:$D$5001,D3497,$H$2:$H$5001)+ROW()/10000000,0))</f>
        <v>0</v>
      </c>
      <c r="Q3497" s="47" t="n">
        <f aca="false">IF(OR($A3497="",C3497=""),0,IF(COUNTIF($C$2:C3497,C3497)=1,SUMIF($C$2:$C$5001,C3497,$H$2:$H$5001)+ROW()/10000000,0))</f>
        <v>0</v>
      </c>
    </row>
    <row r="3498" customFormat="false" ht="15" hidden="false" customHeight="false" outlineLevel="0" collapsed="false">
      <c r="A3498" s="43"/>
      <c r="B3498" s="44"/>
      <c r="C3498" s="44"/>
      <c r="D3498" s="44"/>
      <c r="E3498" s="44"/>
      <c r="F3498" s="44"/>
      <c r="G3498" s="44"/>
      <c r="H3498" s="46" t="str">
        <f aca="false">IF($A3498="","",IF(OR(NOT(ISNUMBER(E3498)),NOT(ISNUMBER(F3498))),"",MAX(0,E3498)*F3498))</f>
        <v/>
      </c>
      <c r="I3498" s="46" t="str">
        <f aca="false">IF($A3498="","",SUMIF($A$2:$A$5001,$A3498,$H$2:$H$5001))</f>
        <v/>
      </c>
      <c r="J3498" s="47" t="n">
        <f aca="false">IF($A3498="",0,IF(COUNTIF($A$2:A3498,$A3498)=1,1,0))</f>
        <v>0</v>
      </c>
      <c r="K3498" s="47" t="n">
        <f aca="false">IF(J3498=1,N(I3498)+ROW()/10000000,0)</f>
        <v>0</v>
      </c>
      <c r="L3498" s="47" t="str">
        <f aca="false">IF(AND(J3498=1,N(I3498)&gt;0),SUMIF($K$2:$K$5001,"&gt;="&amp;K3498,$I$2:$I$5001)/MAX(1,SUM($H$2:$H$5001)),"")</f>
        <v/>
      </c>
      <c r="M3498" s="47" t="str">
        <f aca="false">IF($A3498="","",INDEX($L$2:$L$5001,MATCH($A3498,$A$2:$A$5001,0)))</f>
        <v/>
      </c>
      <c r="N3498" s="48" t="str">
        <f aca="false">IF($A3498="","",IF(N(M3498)=0,"–",IF(M3498&lt;=Start!$D$20,"A",IF(M3498&lt;=Start!$D$21,"B","C"))))</f>
        <v/>
      </c>
      <c r="O3498" s="48" t="str">
        <f aca="false">IF($A3498="","",IF(NOT(ISNUMBER(F3498)),"Wert fehlt; ",IF(F3498&lt;=0,"Wert ist 0; ",""))&amp;IF(NOT(ISNUMBER(E3498)),"Bestand fehlt; ",IF(E3498&lt;0,"Bestand negativ; ",IF(E3498=0,"Nullbestand; ","")))&amp;IF(D3498="","Warengruppe fehlt; ","")&amp;IF(B3498="","Bezeichnung fehlt; ","")&amp;IF(COUNTIFS($A$2:$A$5001,$A3498,$C$2:$C$5001,C3498)&gt;1,"Artikel doppelt im selben Lager; ",""))</f>
        <v/>
      </c>
      <c r="P3498" s="47" t="n">
        <f aca="false">IF(OR($A3498="",D3498=""),0,IF(COUNTIF($D$2:D3498,D3498)=1,SUMIF($D$2:$D$5001,D3498,$H$2:$H$5001)+ROW()/10000000,0))</f>
        <v>0</v>
      </c>
      <c r="Q3498" s="47" t="n">
        <f aca="false">IF(OR($A3498="",C3498=""),0,IF(COUNTIF($C$2:C3498,C3498)=1,SUMIF($C$2:$C$5001,C3498,$H$2:$H$5001)+ROW()/10000000,0))</f>
        <v>0</v>
      </c>
    </row>
    <row r="3499" customFormat="false" ht="15" hidden="false" customHeight="false" outlineLevel="0" collapsed="false">
      <c r="A3499" s="43"/>
      <c r="B3499" s="44"/>
      <c r="C3499" s="44"/>
      <c r="D3499" s="44"/>
      <c r="E3499" s="44"/>
      <c r="F3499" s="44"/>
      <c r="G3499" s="44"/>
      <c r="H3499" s="46" t="str">
        <f aca="false">IF($A3499="","",IF(OR(NOT(ISNUMBER(E3499)),NOT(ISNUMBER(F3499))),"",MAX(0,E3499)*F3499))</f>
        <v/>
      </c>
      <c r="I3499" s="46" t="str">
        <f aca="false">IF($A3499="","",SUMIF($A$2:$A$5001,$A3499,$H$2:$H$5001))</f>
        <v/>
      </c>
      <c r="J3499" s="47" t="n">
        <f aca="false">IF($A3499="",0,IF(COUNTIF($A$2:A3499,$A3499)=1,1,0))</f>
        <v>0</v>
      </c>
      <c r="K3499" s="47" t="n">
        <f aca="false">IF(J3499=1,N(I3499)+ROW()/10000000,0)</f>
        <v>0</v>
      </c>
      <c r="L3499" s="47" t="str">
        <f aca="false">IF(AND(J3499=1,N(I3499)&gt;0),SUMIF($K$2:$K$5001,"&gt;="&amp;K3499,$I$2:$I$5001)/MAX(1,SUM($H$2:$H$5001)),"")</f>
        <v/>
      </c>
      <c r="M3499" s="47" t="str">
        <f aca="false">IF($A3499="","",INDEX($L$2:$L$5001,MATCH($A3499,$A$2:$A$5001,0)))</f>
        <v/>
      </c>
      <c r="N3499" s="48" t="str">
        <f aca="false">IF($A3499="","",IF(N(M3499)=0,"–",IF(M3499&lt;=Start!$D$20,"A",IF(M3499&lt;=Start!$D$21,"B","C"))))</f>
        <v/>
      </c>
      <c r="O3499" s="48" t="str">
        <f aca="false">IF($A3499="","",IF(NOT(ISNUMBER(F3499)),"Wert fehlt; ",IF(F3499&lt;=0,"Wert ist 0; ",""))&amp;IF(NOT(ISNUMBER(E3499)),"Bestand fehlt; ",IF(E3499&lt;0,"Bestand negativ; ",IF(E3499=0,"Nullbestand; ","")))&amp;IF(D3499="","Warengruppe fehlt; ","")&amp;IF(B3499="","Bezeichnung fehlt; ","")&amp;IF(COUNTIFS($A$2:$A$5001,$A3499,$C$2:$C$5001,C3499)&gt;1,"Artikel doppelt im selben Lager; ",""))</f>
        <v/>
      </c>
      <c r="P3499" s="47" t="n">
        <f aca="false">IF(OR($A3499="",D3499=""),0,IF(COUNTIF($D$2:D3499,D3499)=1,SUMIF($D$2:$D$5001,D3499,$H$2:$H$5001)+ROW()/10000000,0))</f>
        <v>0</v>
      </c>
      <c r="Q3499" s="47" t="n">
        <f aca="false">IF(OR($A3499="",C3499=""),0,IF(COUNTIF($C$2:C3499,C3499)=1,SUMIF($C$2:$C$5001,C3499,$H$2:$H$5001)+ROW()/10000000,0))</f>
        <v>0</v>
      </c>
    </row>
    <row r="3500" customFormat="false" ht="15" hidden="false" customHeight="false" outlineLevel="0" collapsed="false">
      <c r="A3500" s="43"/>
      <c r="B3500" s="44"/>
      <c r="C3500" s="44"/>
      <c r="D3500" s="44"/>
      <c r="E3500" s="44"/>
      <c r="F3500" s="44"/>
      <c r="G3500" s="44"/>
      <c r="H3500" s="46" t="str">
        <f aca="false">IF($A3500="","",IF(OR(NOT(ISNUMBER(E3500)),NOT(ISNUMBER(F3500))),"",MAX(0,E3500)*F3500))</f>
        <v/>
      </c>
      <c r="I3500" s="46" t="str">
        <f aca="false">IF($A3500="","",SUMIF($A$2:$A$5001,$A3500,$H$2:$H$5001))</f>
        <v/>
      </c>
      <c r="J3500" s="47" t="n">
        <f aca="false">IF($A3500="",0,IF(COUNTIF($A$2:A3500,$A3500)=1,1,0))</f>
        <v>0</v>
      </c>
      <c r="K3500" s="47" t="n">
        <f aca="false">IF(J3500=1,N(I3500)+ROW()/10000000,0)</f>
        <v>0</v>
      </c>
      <c r="L3500" s="47" t="str">
        <f aca="false">IF(AND(J3500=1,N(I3500)&gt;0),SUMIF($K$2:$K$5001,"&gt;="&amp;K3500,$I$2:$I$5001)/MAX(1,SUM($H$2:$H$5001)),"")</f>
        <v/>
      </c>
      <c r="M3500" s="47" t="str">
        <f aca="false">IF($A3500="","",INDEX($L$2:$L$5001,MATCH($A3500,$A$2:$A$5001,0)))</f>
        <v/>
      </c>
      <c r="N3500" s="48" t="str">
        <f aca="false">IF($A3500="","",IF(N(M3500)=0,"–",IF(M3500&lt;=Start!$D$20,"A",IF(M3500&lt;=Start!$D$21,"B","C"))))</f>
        <v/>
      </c>
      <c r="O3500" s="48" t="str">
        <f aca="false">IF($A3500="","",IF(NOT(ISNUMBER(F3500)),"Wert fehlt; ",IF(F3500&lt;=0,"Wert ist 0; ",""))&amp;IF(NOT(ISNUMBER(E3500)),"Bestand fehlt; ",IF(E3500&lt;0,"Bestand negativ; ",IF(E3500=0,"Nullbestand; ","")))&amp;IF(D3500="","Warengruppe fehlt; ","")&amp;IF(B3500="","Bezeichnung fehlt; ","")&amp;IF(COUNTIFS($A$2:$A$5001,$A3500,$C$2:$C$5001,C3500)&gt;1,"Artikel doppelt im selben Lager; ",""))</f>
        <v/>
      </c>
      <c r="P3500" s="47" t="n">
        <f aca="false">IF(OR($A3500="",D3500=""),0,IF(COUNTIF($D$2:D3500,D3500)=1,SUMIF($D$2:$D$5001,D3500,$H$2:$H$5001)+ROW()/10000000,0))</f>
        <v>0</v>
      </c>
      <c r="Q3500" s="47" t="n">
        <f aca="false">IF(OR($A3500="",C3500=""),0,IF(COUNTIF($C$2:C3500,C3500)=1,SUMIF($C$2:$C$5001,C3500,$H$2:$H$5001)+ROW()/10000000,0))</f>
        <v>0</v>
      </c>
    </row>
    <row r="3501" customFormat="false" ht="15" hidden="false" customHeight="false" outlineLevel="0" collapsed="false">
      <c r="A3501" s="43"/>
      <c r="B3501" s="44"/>
      <c r="C3501" s="44"/>
      <c r="D3501" s="44"/>
      <c r="E3501" s="44"/>
      <c r="F3501" s="44"/>
      <c r="G3501" s="44"/>
      <c r="H3501" s="46" t="str">
        <f aca="false">IF($A3501="","",IF(OR(NOT(ISNUMBER(E3501)),NOT(ISNUMBER(F3501))),"",MAX(0,E3501)*F3501))</f>
        <v/>
      </c>
      <c r="I3501" s="46" t="str">
        <f aca="false">IF($A3501="","",SUMIF($A$2:$A$5001,$A3501,$H$2:$H$5001))</f>
        <v/>
      </c>
      <c r="J3501" s="47" t="n">
        <f aca="false">IF($A3501="",0,IF(COUNTIF($A$2:A3501,$A3501)=1,1,0))</f>
        <v>0</v>
      </c>
      <c r="K3501" s="47" t="n">
        <f aca="false">IF(J3501=1,N(I3501)+ROW()/10000000,0)</f>
        <v>0</v>
      </c>
      <c r="L3501" s="47" t="str">
        <f aca="false">IF(AND(J3501=1,N(I3501)&gt;0),SUMIF($K$2:$K$5001,"&gt;="&amp;K3501,$I$2:$I$5001)/MAX(1,SUM($H$2:$H$5001)),"")</f>
        <v/>
      </c>
      <c r="M3501" s="47" t="str">
        <f aca="false">IF($A3501="","",INDEX($L$2:$L$5001,MATCH($A3501,$A$2:$A$5001,0)))</f>
        <v/>
      </c>
      <c r="N3501" s="48" t="str">
        <f aca="false">IF($A3501="","",IF(N(M3501)=0,"–",IF(M3501&lt;=Start!$D$20,"A",IF(M3501&lt;=Start!$D$21,"B","C"))))</f>
        <v/>
      </c>
      <c r="O3501" s="48" t="str">
        <f aca="false">IF($A3501="","",IF(NOT(ISNUMBER(F3501)),"Wert fehlt; ",IF(F3501&lt;=0,"Wert ist 0; ",""))&amp;IF(NOT(ISNUMBER(E3501)),"Bestand fehlt; ",IF(E3501&lt;0,"Bestand negativ; ",IF(E3501=0,"Nullbestand; ","")))&amp;IF(D3501="","Warengruppe fehlt; ","")&amp;IF(B3501="","Bezeichnung fehlt; ","")&amp;IF(COUNTIFS($A$2:$A$5001,$A3501,$C$2:$C$5001,C3501)&gt;1,"Artikel doppelt im selben Lager; ",""))</f>
        <v/>
      </c>
      <c r="P3501" s="47" t="n">
        <f aca="false">IF(OR($A3501="",D3501=""),0,IF(COUNTIF($D$2:D3501,D3501)=1,SUMIF($D$2:$D$5001,D3501,$H$2:$H$5001)+ROW()/10000000,0))</f>
        <v>0</v>
      </c>
      <c r="Q3501" s="47" t="n">
        <f aca="false">IF(OR($A3501="",C3501=""),0,IF(COUNTIF($C$2:C3501,C3501)=1,SUMIF($C$2:$C$5001,C3501,$H$2:$H$5001)+ROW()/10000000,0))</f>
        <v>0</v>
      </c>
    </row>
    <row r="3502" customFormat="false" ht="15" hidden="false" customHeight="false" outlineLevel="0" collapsed="false">
      <c r="A3502" s="43"/>
      <c r="B3502" s="44"/>
      <c r="C3502" s="44"/>
      <c r="D3502" s="44"/>
      <c r="E3502" s="44"/>
      <c r="F3502" s="44"/>
      <c r="G3502" s="44"/>
      <c r="H3502" s="46" t="str">
        <f aca="false">IF($A3502="","",IF(OR(NOT(ISNUMBER(E3502)),NOT(ISNUMBER(F3502))),"",MAX(0,E3502)*F3502))</f>
        <v/>
      </c>
      <c r="I3502" s="46" t="str">
        <f aca="false">IF($A3502="","",SUMIF($A$2:$A$5001,$A3502,$H$2:$H$5001))</f>
        <v/>
      </c>
      <c r="J3502" s="47" t="n">
        <f aca="false">IF($A3502="",0,IF(COUNTIF($A$2:A3502,$A3502)=1,1,0))</f>
        <v>0</v>
      </c>
      <c r="K3502" s="47" t="n">
        <f aca="false">IF(J3502=1,N(I3502)+ROW()/10000000,0)</f>
        <v>0</v>
      </c>
      <c r="L3502" s="47" t="str">
        <f aca="false">IF(AND(J3502=1,N(I3502)&gt;0),SUMIF($K$2:$K$5001,"&gt;="&amp;K3502,$I$2:$I$5001)/MAX(1,SUM($H$2:$H$5001)),"")</f>
        <v/>
      </c>
      <c r="M3502" s="47" t="str">
        <f aca="false">IF($A3502="","",INDEX($L$2:$L$5001,MATCH($A3502,$A$2:$A$5001,0)))</f>
        <v/>
      </c>
      <c r="N3502" s="48" t="str">
        <f aca="false">IF($A3502="","",IF(N(M3502)=0,"–",IF(M3502&lt;=Start!$D$20,"A",IF(M3502&lt;=Start!$D$21,"B","C"))))</f>
        <v/>
      </c>
      <c r="O3502" s="48" t="str">
        <f aca="false">IF($A3502="","",IF(NOT(ISNUMBER(F3502)),"Wert fehlt; ",IF(F3502&lt;=0,"Wert ist 0; ",""))&amp;IF(NOT(ISNUMBER(E3502)),"Bestand fehlt; ",IF(E3502&lt;0,"Bestand negativ; ",IF(E3502=0,"Nullbestand; ","")))&amp;IF(D3502="","Warengruppe fehlt; ","")&amp;IF(B3502="","Bezeichnung fehlt; ","")&amp;IF(COUNTIFS($A$2:$A$5001,$A3502,$C$2:$C$5001,C3502)&gt;1,"Artikel doppelt im selben Lager; ",""))</f>
        <v/>
      </c>
      <c r="P3502" s="47" t="n">
        <f aca="false">IF(OR($A3502="",D3502=""),0,IF(COUNTIF($D$2:D3502,D3502)=1,SUMIF($D$2:$D$5001,D3502,$H$2:$H$5001)+ROW()/10000000,0))</f>
        <v>0</v>
      </c>
      <c r="Q3502" s="47" t="n">
        <f aca="false">IF(OR($A3502="",C3502=""),0,IF(COUNTIF($C$2:C3502,C3502)=1,SUMIF($C$2:$C$5001,C3502,$H$2:$H$5001)+ROW()/10000000,0))</f>
        <v>0</v>
      </c>
    </row>
    <row r="3503" customFormat="false" ht="15" hidden="false" customHeight="false" outlineLevel="0" collapsed="false">
      <c r="A3503" s="43"/>
      <c r="B3503" s="44"/>
      <c r="C3503" s="44"/>
      <c r="D3503" s="44"/>
      <c r="E3503" s="44"/>
      <c r="F3503" s="44"/>
      <c r="G3503" s="44"/>
      <c r="H3503" s="46" t="str">
        <f aca="false">IF($A3503="","",IF(OR(NOT(ISNUMBER(E3503)),NOT(ISNUMBER(F3503))),"",MAX(0,E3503)*F3503))</f>
        <v/>
      </c>
      <c r="I3503" s="46" t="str">
        <f aca="false">IF($A3503="","",SUMIF($A$2:$A$5001,$A3503,$H$2:$H$5001))</f>
        <v/>
      </c>
      <c r="J3503" s="47" t="n">
        <f aca="false">IF($A3503="",0,IF(COUNTIF($A$2:A3503,$A3503)=1,1,0))</f>
        <v>0</v>
      </c>
      <c r="K3503" s="47" t="n">
        <f aca="false">IF(J3503=1,N(I3503)+ROW()/10000000,0)</f>
        <v>0</v>
      </c>
      <c r="L3503" s="47" t="str">
        <f aca="false">IF(AND(J3503=1,N(I3503)&gt;0),SUMIF($K$2:$K$5001,"&gt;="&amp;K3503,$I$2:$I$5001)/MAX(1,SUM($H$2:$H$5001)),"")</f>
        <v/>
      </c>
      <c r="M3503" s="47" t="str">
        <f aca="false">IF($A3503="","",INDEX($L$2:$L$5001,MATCH($A3503,$A$2:$A$5001,0)))</f>
        <v/>
      </c>
      <c r="N3503" s="48" t="str">
        <f aca="false">IF($A3503="","",IF(N(M3503)=0,"–",IF(M3503&lt;=Start!$D$20,"A",IF(M3503&lt;=Start!$D$21,"B","C"))))</f>
        <v/>
      </c>
      <c r="O3503" s="48" t="str">
        <f aca="false">IF($A3503="","",IF(NOT(ISNUMBER(F3503)),"Wert fehlt; ",IF(F3503&lt;=0,"Wert ist 0; ",""))&amp;IF(NOT(ISNUMBER(E3503)),"Bestand fehlt; ",IF(E3503&lt;0,"Bestand negativ; ",IF(E3503=0,"Nullbestand; ","")))&amp;IF(D3503="","Warengruppe fehlt; ","")&amp;IF(B3503="","Bezeichnung fehlt; ","")&amp;IF(COUNTIFS($A$2:$A$5001,$A3503,$C$2:$C$5001,C3503)&gt;1,"Artikel doppelt im selben Lager; ",""))</f>
        <v/>
      </c>
      <c r="P3503" s="47" t="n">
        <f aca="false">IF(OR($A3503="",D3503=""),0,IF(COUNTIF($D$2:D3503,D3503)=1,SUMIF($D$2:$D$5001,D3503,$H$2:$H$5001)+ROW()/10000000,0))</f>
        <v>0</v>
      </c>
      <c r="Q3503" s="47" t="n">
        <f aca="false">IF(OR($A3503="",C3503=""),0,IF(COUNTIF($C$2:C3503,C3503)=1,SUMIF($C$2:$C$5001,C3503,$H$2:$H$5001)+ROW()/10000000,0))</f>
        <v>0</v>
      </c>
    </row>
    <row r="3504" customFormat="false" ht="15" hidden="false" customHeight="false" outlineLevel="0" collapsed="false">
      <c r="A3504" s="43"/>
      <c r="B3504" s="44"/>
      <c r="C3504" s="44"/>
      <c r="D3504" s="44"/>
      <c r="E3504" s="44"/>
      <c r="F3504" s="44"/>
      <c r="G3504" s="44"/>
      <c r="H3504" s="46" t="str">
        <f aca="false">IF($A3504="","",IF(OR(NOT(ISNUMBER(E3504)),NOT(ISNUMBER(F3504))),"",MAX(0,E3504)*F3504))</f>
        <v/>
      </c>
      <c r="I3504" s="46" t="str">
        <f aca="false">IF($A3504="","",SUMIF($A$2:$A$5001,$A3504,$H$2:$H$5001))</f>
        <v/>
      </c>
      <c r="J3504" s="47" t="n">
        <f aca="false">IF($A3504="",0,IF(COUNTIF($A$2:A3504,$A3504)=1,1,0))</f>
        <v>0</v>
      </c>
      <c r="K3504" s="47" t="n">
        <f aca="false">IF(J3504=1,N(I3504)+ROW()/10000000,0)</f>
        <v>0</v>
      </c>
      <c r="L3504" s="47" t="str">
        <f aca="false">IF(AND(J3504=1,N(I3504)&gt;0),SUMIF($K$2:$K$5001,"&gt;="&amp;K3504,$I$2:$I$5001)/MAX(1,SUM($H$2:$H$5001)),"")</f>
        <v/>
      </c>
      <c r="M3504" s="47" t="str">
        <f aca="false">IF($A3504="","",INDEX($L$2:$L$5001,MATCH($A3504,$A$2:$A$5001,0)))</f>
        <v/>
      </c>
      <c r="N3504" s="48" t="str">
        <f aca="false">IF($A3504="","",IF(N(M3504)=0,"–",IF(M3504&lt;=Start!$D$20,"A",IF(M3504&lt;=Start!$D$21,"B","C"))))</f>
        <v/>
      </c>
      <c r="O3504" s="48" t="str">
        <f aca="false">IF($A3504="","",IF(NOT(ISNUMBER(F3504)),"Wert fehlt; ",IF(F3504&lt;=0,"Wert ist 0; ",""))&amp;IF(NOT(ISNUMBER(E3504)),"Bestand fehlt; ",IF(E3504&lt;0,"Bestand negativ; ",IF(E3504=0,"Nullbestand; ","")))&amp;IF(D3504="","Warengruppe fehlt; ","")&amp;IF(B3504="","Bezeichnung fehlt; ","")&amp;IF(COUNTIFS($A$2:$A$5001,$A3504,$C$2:$C$5001,C3504)&gt;1,"Artikel doppelt im selben Lager; ",""))</f>
        <v/>
      </c>
      <c r="P3504" s="47" t="n">
        <f aca="false">IF(OR($A3504="",D3504=""),0,IF(COUNTIF($D$2:D3504,D3504)=1,SUMIF($D$2:$D$5001,D3504,$H$2:$H$5001)+ROW()/10000000,0))</f>
        <v>0</v>
      </c>
      <c r="Q3504" s="47" t="n">
        <f aca="false">IF(OR($A3504="",C3504=""),0,IF(COUNTIF($C$2:C3504,C3504)=1,SUMIF($C$2:$C$5001,C3504,$H$2:$H$5001)+ROW()/10000000,0))</f>
        <v>0</v>
      </c>
    </row>
    <row r="3505" customFormat="false" ht="15" hidden="false" customHeight="false" outlineLevel="0" collapsed="false">
      <c r="A3505" s="43"/>
      <c r="B3505" s="44"/>
      <c r="C3505" s="44"/>
      <c r="D3505" s="44"/>
      <c r="E3505" s="44"/>
      <c r="F3505" s="44"/>
      <c r="G3505" s="44"/>
      <c r="H3505" s="46" t="str">
        <f aca="false">IF($A3505="","",IF(OR(NOT(ISNUMBER(E3505)),NOT(ISNUMBER(F3505))),"",MAX(0,E3505)*F3505))</f>
        <v/>
      </c>
      <c r="I3505" s="46" t="str">
        <f aca="false">IF($A3505="","",SUMIF($A$2:$A$5001,$A3505,$H$2:$H$5001))</f>
        <v/>
      </c>
      <c r="J3505" s="47" t="n">
        <f aca="false">IF($A3505="",0,IF(COUNTIF($A$2:A3505,$A3505)=1,1,0))</f>
        <v>0</v>
      </c>
      <c r="K3505" s="47" t="n">
        <f aca="false">IF(J3505=1,N(I3505)+ROW()/10000000,0)</f>
        <v>0</v>
      </c>
      <c r="L3505" s="47" t="str">
        <f aca="false">IF(AND(J3505=1,N(I3505)&gt;0),SUMIF($K$2:$K$5001,"&gt;="&amp;K3505,$I$2:$I$5001)/MAX(1,SUM($H$2:$H$5001)),"")</f>
        <v/>
      </c>
      <c r="M3505" s="47" t="str">
        <f aca="false">IF($A3505="","",INDEX($L$2:$L$5001,MATCH($A3505,$A$2:$A$5001,0)))</f>
        <v/>
      </c>
      <c r="N3505" s="48" t="str">
        <f aca="false">IF($A3505="","",IF(N(M3505)=0,"–",IF(M3505&lt;=Start!$D$20,"A",IF(M3505&lt;=Start!$D$21,"B","C"))))</f>
        <v/>
      </c>
      <c r="O3505" s="48" t="str">
        <f aca="false">IF($A3505="","",IF(NOT(ISNUMBER(F3505)),"Wert fehlt; ",IF(F3505&lt;=0,"Wert ist 0; ",""))&amp;IF(NOT(ISNUMBER(E3505)),"Bestand fehlt; ",IF(E3505&lt;0,"Bestand negativ; ",IF(E3505=0,"Nullbestand; ","")))&amp;IF(D3505="","Warengruppe fehlt; ","")&amp;IF(B3505="","Bezeichnung fehlt; ","")&amp;IF(COUNTIFS($A$2:$A$5001,$A3505,$C$2:$C$5001,C3505)&gt;1,"Artikel doppelt im selben Lager; ",""))</f>
        <v/>
      </c>
      <c r="P3505" s="47" t="n">
        <f aca="false">IF(OR($A3505="",D3505=""),0,IF(COUNTIF($D$2:D3505,D3505)=1,SUMIF($D$2:$D$5001,D3505,$H$2:$H$5001)+ROW()/10000000,0))</f>
        <v>0</v>
      </c>
      <c r="Q3505" s="47" t="n">
        <f aca="false">IF(OR($A3505="",C3505=""),0,IF(COUNTIF($C$2:C3505,C3505)=1,SUMIF($C$2:$C$5001,C3505,$H$2:$H$5001)+ROW()/10000000,0))</f>
        <v>0</v>
      </c>
    </row>
    <row r="3506" customFormat="false" ht="15" hidden="false" customHeight="false" outlineLevel="0" collapsed="false">
      <c r="A3506" s="43"/>
      <c r="B3506" s="44"/>
      <c r="C3506" s="44"/>
      <c r="D3506" s="44"/>
      <c r="E3506" s="44"/>
      <c r="F3506" s="44"/>
      <c r="G3506" s="44"/>
      <c r="H3506" s="46" t="str">
        <f aca="false">IF($A3506="","",IF(OR(NOT(ISNUMBER(E3506)),NOT(ISNUMBER(F3506))),"",MAX(0,E3506)*F3506))</f>
        <v/>
      </c>
      <c r="I3506" s="46" t="str">
        <f aca="false">IF($A3506="","",SUMIF($A$2:$A$5001,$A3506,$H$2:$H$5001))</f>
        <v/>
      </c>
      <c r="J3506" s="47" t="n">
        <f aca="false">IF($A3506="",0,IF(COUNTIF($A$2:A3506,$A3506)=1,1,0))</f>
        <v>0</v>
      </c>
      <c r="K3506" s="47" t="n">
        <f aca="false">IF(J3506=1,N(I3506)+ROW()/10000000,0)</f>
        <v>0</v>
      </c>
      <c r="L3506" s="47" t="str">
        <f aca="false">IF(AND(J3506=1,N(I3506)&gt;0),SUMIF($K$2:$K$5001,"&gt;="&amp;K3506,$I$2:$I$5001)/MAX(1,SUM($H$2:$H$5001)),"")</f>
        <v/>
      </c>
      <c r="M3506" s="47" t="str">
        <f aca="false">IF($A3506="","",INDEX($L$2:$L$5001,MATCH($A3506,$A$2:$A$5001,0)))</f>
        <v/>
      </c>
      <c r="N3506" s="48" t="str">
        <f aca="false">IF($A3506="","",IF(N(M3506)=0,"–",IF(M3506&lt;=Start!$D$20,"A",IF(M3506&lt;=Start!$D$21,"B","C"))))</f>
        <v/>
      </c>
      <c r="O3506" s="48" t="str">
        <f aca="false">IF($A3506="","",IF(NOT(ISNUMBER(F3506)),"Wert fehlt; ",IF(F3506&lt;=0,"Wert ist 0; ",""))&amp;IF(NOT(ISNUMBER(E3506)),"Bestand fehlt; ",IF(E3506&lt;0,"Bestand negativ; ",IF(E3506=0,"Nullbestand; ","")))&amp;IF(D3506="","Warengruppe fehlt; ","")&amp;IF(B3506="","Bezeichnung fehlt; ","")&amp;IF(COUNTIFS($A$2:$A$5001,$A3506,$C$2:$C$5001,C3506)&gt;1,"Artikel doppelt im selben Lager; ",""))</f>
        <v/>
      </c>
      <c r="P3506" s="47" t="n">
        <f aca="false">IF(OR($A3506="",D3506=""),0,IF(COUNTIF($D$2:D3506,D3506)=1,SUMIF($D$2:$D$5001,D3506,$H$2:$H$5001)+ROW()/10000000,0))</f>
        <v>0</v>
      </c>
      <c r="Q3506" s="47" t="n">
        <f aca="false">IF(OR($A3506="",C3506=""),0,IF(COUNTIF($C$2:C3506,C3506)=1,SUMIF($C$2:$C$5001,C3506,$H$2:$H$5001)+ROW()/10000000,0))</f>
        <v>0</v>
      </c>
    </row>
    <row r="3507" customFormat="false" ht="15" hidden="false" customHeight="false" outlineLevel="0" collapsed="false">
      <c r="A3507" s="43"/>
      <c r="B3507" s="44"/>
      <c r="C3507" s="44"/>
      <c r="D3507" s="44"/>
      <c r="E3507" s="44"/>
      <c r="F3507" s="44"/>
      <c r="G3507" s="44"/>
      <c r="H3507" s="46" t="str">
        <f aca="false">IF($A3507="","",IF(OR(NOT(ISNUMBER(E3507)),NOT(ISNUMBER(F3507))),"",MAX(0,E3507)*F3507))</f>
        <v/>
      </c>
      <c r="I3507" s="46" t="str">
        <f aca="false">IF($A3507="","",SUMIF($A$2:$A$5001,$A3507,$H$2:$H$5001))</f>
        <v/>
      </c>
      <c r="J3507" s="47" t="n">
        <f aca="false">IF($A3507="",0,IF(COUNTIF($A$2:A3507,$A3507)=1,1,0))</f>
        <v>0</v>
      </c>
      <c r="K3507" s="47" t="n">
        <f aca="false">IF(J3507=1,N(I3507)+ROW()/10000000,0)</f>
        <v>0</v>
      </c>
      <c r="L3507" s="47" t="str">
        <f aca="false">IF(AND(J3507=1,N(I3507)&gt;0),SUMIF($K$2:$K$5001,"&gt;="&amp;K3507,$I$2:$I$5001)/MAX(1,SUM($H$2:$H$5001)),"")</f>
        <v/>
      </c>
      <c r="M3507" s="47" t="str">
        <f aca="false">IF($A3507="","",INDEX($L$2:$L$5001,MATCH($A3507,$A$2:$A$5001,0)))</f>
        <v/>
      </c>
      <c r="N3507" s="48" t="str">
        <f aca="false">IF($A3507="","",IF(N(M3507)=0,"–",IF(M3507&lt;=Start!$D$20,"A",IF(M3507&lt;=Start!$D$21,"B","C"))))</f>
        <v/>
      </c>
      <c r="O3507" s="48" t="str">
        <f aca="false">IF($A3507="","",IF(NOT(ISNUMBER(F3507)),"Wert fehlt; ",IF(F3507&lt;=0,"Wert ist 0; ",""))&amp;IF(NOT(ISNUMBER(E3507)),"Bestand fehlt; ",IF(E3507&lt;0,"Bestand negativ; ",IF(E3507=0,"Nullbestand; ","")))&amp;IF(D3507="","Warengruppe fehlt; ","")&amp;IF(B3507="","Bezeichnung fehlt; ","")&amp;IF(COUNTIFS($A$2:$A$5001,$A3507,$C$2:$C$5001,C3507)&gt;1,"Artikel doppelt im selben Lager; ",""))</f>
        <v/>
      </c>
      <c r="P3507" s="47" t="n">
        <f aca="false">IF(OR($A3507="",D3507=""),0,IF(COUNTIF($D$2:D3507,D3507)=1,SUMIF($D$2:$D$5001,D3507,$H$2:$H$5001)+ROW()/10000000,0))</f>
        <v>0</v>
      </c>
      <c r="Q3507" s="47" t="n">
        <f aca="false">IF(OR($A3507="",C3507=""),0,IF(COUNTIF($C$2:C3507,C3507)=1,SUMIF($C$2:$C$5001,C3507,$H$2:$H$5001)+ROW()/10000000,0))</f>
        <v>0</v>
      </c>
    </row>
    <row r="3508" customFormat="false" ht="15" hidden="false" customHeight="false" outlineLevel="0" collapsed="false">
      <c r="A3508" s="43"/>
      <c r="B3508" s="44"/>
      <c r="C3508" s="44"/>
      <c r="D3508" s="44"/>
      <c r="E3508" s="44"/>
      <c r="F3508" s="44"/>
      <c r="G3508" s="44"/>
      <c r="H3508" s="46" t="str">
        <f aca="false">IF($A3508="","",IF(OR(NOT(ISNUMBER(E3508)),NOT(ISNUMBER(F3508))),"",MAX(0,E3508)*F3508))</f>
        <v/>
      </c>
      <c r="I3508" s="46" t="str">
        <f aca="false">IF($A3508="","",SUMIF($A$2:$A$5001,$A3508,$H$2:$H$5001))</f>
        <v/>
      </c>
      <c r="J3508" s="47" t="n">
        <f aca="false">IF($A3508="",0,IF(COUNTIF($A$2:A3508,$A3508)=1,1,0))</f>
        <v>0</v>
      </c>
      <c r="K3508" s="47" t="n">
        <f aca="false">IF(J3508=1,N(I3508)+ROW()/10000000,0)</f>
        <v>0</v>
      </c>
      <c r="L3508" s="47" t="str">
        <f aca="false">IF(AND(J3508=1,N(I3508)&gt;0),SUMIF($K$2:$K$5001,"&gt;="&amp;K3508,$I$2:$I$5001)/MAX(1,SUM($H$2:$H$5001)),"")</f>
        <v/>
      </c>
      <c r="M3508" s="47" t="str">
        <f aca="false">IF($A3508="","",INDEX($L$2:$L$5001,MATCH($A3508,$A$2:$A$5001,0)))</f>
        <v/>
      </c>
      <c r="N3508" s="48" t="str">
        <f aca="false">IF($A3508="","",IF(N(M3508)=0,"–",IF(M3508&lt;=Start!$D$20,"A",IF(M3508&lt;=Start!$D$21,"B","C"))))</f>
        <v/>
      </c>
      <c r="O3508" s="48" t="str">
        <f aca="false">IF($A3508="","",IF(NOT(ISNUMBER(F3508)),"Wert fehlt; ",IF(F3508&lt;=0,"Wert ist 0; ",""))&amp;IF(NOT(ISNUMBER(E3508)),"Bestand fehlt; ",IF(E3508&lt;0,"Bestand negativ; ",IF(E3508=0,"Nullbestand; ","")))&amp;IF(D3508="","Warengruppe fehlt; ","")&amp;IF(B3508="","Bezeichnung fehlt; ","")&amp;IF(COUNTIFS($A$2:$A$5001,$A3508,$C$2:$C$5001,C3508)&gt;1,"Artikel doppelt im selben Lager; ",""))</f>
        <v/>
      </c>
      <c r="P3508" s="47" t="n">
        <f aca="false">IF(OR($A3508="",D3508=""),0,IF(COUNTIF($D$2:D3508,D3508)=1,SUMIF($D$2:$D$5001,D3508,$H$2:$H$5001)+ROW()/10000000,0))</f>
        <v>0</v>
      </c>
      <c r="Q3508" s="47" t="n">
        <f aca="false">IF(OR($A3508="",C3508=""),0,IF(COUNTIF($C$2:C3508,C3508)=1,SUMIF($C$2:$C$5001,C3508,$H$2:$H$5001)+ROW()/10000000,0))</f>
        <v>0</v>
      </c>
    </row>
    <row r="3509" customFormat="false" ht="15" hidden="false" customHeight="false" outlineLevel="0" collapsed="false">
      <c r="A3509" s="43"/>
      <c r="B3509" s="44"/>
      <c r="C3509" s="44"/>
      <c r="D3509" s="44"/>
      <c r="E3509" s="44"/>
      <c r="F3509" s="44"/>
      <c r="G3509" s="44"/>
      <c r="H3509" s="46" t="str">
        <f aca="false">IF($A3509="","",IF(OR(NOT(ISNUMBER(E3509)),NOT(ISNUMBER(F3509))),"",MAX(0,E3509)*F3509))</f>
        <v/>
      </c>
      <c r="I3509" s="46" t="str">
        <f aca="false">IF($A3509="","",SUMIF($A$2:$A$5001,$A3509,$H$2:$H$5001))</f>
        <v/>
      </c>
      <c r="J3509" s="47" t="n">
        <f aca="false">IF($A3509="",0,IF(COUNTIF($A$2:A3509,$A3509)=1,1,0))</f>
        <v>0</v>
      </c>
      <c r="K3509" s="47" t="n">
        <f aca="false">IF(J3509=1,N(I3509)+ROW()/10000000,0)</f>
        <v>0</v>
      </c>
      <c r="L3509" s="47" t="str">
        <f aca="false">IF(AND(J3509=1,N(I3509)&gt;0),SUMIF($K$2:$K$5001,"&gt;="&amp;K3509,$I$2:$I$5001)/MAX(1,SUM($H$2:$H$5001)),"")</f>
        <v/>
      </c>
      <c r="M3509" s="47" t="str">
        <f aca="false">IF($A3509="","",INDEX($L$2:$L$5001,MATCH($A3509,$A$2:$A$5001,0)))</f>
        <v/>
      </c>
      <c r="N3509" s="48" t="str">
        <f aca="false">IF($A3509="","",IF(N(M3509)=0,"–",IF(M3509&lt;=Start!$D$20,"A",IF(M3509&lt;=Start!$D$21,"B","C"))))</f>
        <v/>
      </c>
      <c r="O3509" s="48" t="str">
        <f aca="false">IF($A3509="","",IF(NOT(ISNUMBER(F3509)),"Wert fehlt; ",IF(F3509&lt;=0,"Wert ist 0; ",""))&amp;IF(NOT(ISNUMBER(E3509)),"Bestand fehlt; ",IF(E3509&lt;0,"Bestand negativ; ",IF(E3509=0,"Nullbestand; ","")))&amp;IF(D3509="","Warengruppe fehlt; ","")&amp;IF(B3509="","Bezeichnung fehlt; ","")&amp;IF(COUNTIFS($A$2:$A$5001,$A3509,$C$2:$C$5001,C3509)&gt;1,"Artikel doppelt im selben Lager; ",""))</f>
        <v/>
      </c>
      <c r="P3509" s="47" t="n">
        <f aca="false">IF(OR($A3509="",D3509=""),0,IF(COUNTIF($D$2:D3509,D3509)=1,SUMIF($D$2:$D$5001,D3509,$H$2:$H$5001)+ROW()/10000000,0))</f>
        <v>0</v>
      </c>
      <c r="Q3509" s="47" t="n">
        <f aca="false">IF(OR($A3509="",C3509=""),0,IF(COUNTIF($C$2:C3509,C3509)=1,SUMIF($C$2:$C$5001,C3509,$H$2:$H$5001)+ROW()/10000000,0))</f>
        <v>0</v>
      </c>
    </row>
    <row r="3510" customFormat="false" ht="15" hidden="false" customHeight="false" outlineLevel="0" collapsed="false">
      <c r="A3510" s="43"/>
      <c r="B3510" s="44"/>
      <c r="C3510" s="44"/>
      <c r="D3510" s="44"/>
      <c r="E3510" s="44"/>
      <c r="F3510" s="44"/>
      <c r="G3510" s="44"/>
      <c r="H3510" s="46" t="str">
        <f aca="false">IF($A3510="","",IF(OR(NOT(ISNUMBER(E3510)),NOT(ISNUMBER(F3510))),"",MAX(0,E3510)*F3510))</f>
        <v/>
      </c>
      <c r="I3510" s="46" t="str">
        <f aca="false">IF($A3510="","",SUMIF($A$2:$A$5001,$A3510,$H$2:$H$5001))</f>
        <v/>
      </c>
      <c r="J3510" s="47" t="n">
        <f aca="false">IF($A3510="",0,IF(COUNTIF($A$2:A3510,$A3510)=1,1,0))</f>
        <v>0</v>
      </c>
      <c r="K3510" s="47" t="n">
        <f aca="false">IF(J3510=1,N(I3510)+ROW()/10000000,0)</f>
        <v>0</v>
      </c>
      <c r="L3510" s="47" t="str">
        <f aca="false">IF(AND(J3510=1,N(I3510)&gt;0),SUMIF($K$2:$K$5001,"&gt;="&amp;K3510,$I$2:$I$5001)/MAX(1,SUM($H$2:$H$5001)),"")</f>
        <v/>
      </c>
      <c r="M3510" s="47" t="str">
        <f aca="false">IF($A3510="","",INDEX($L$2:$L$5001,MATCH($A3510,$A$2:$A$5001,0)))</f>
        <v/>
      </c>
      <c r="N3510" s="48" t="str">
        <f aca="false">IF($A3510="","",IF(N(M3510)=0,"–",IF(M3510&lt;=Start!$D$20,"A",IF(M3510&lt;=Start!$D$21,"B","C"))))</f>
        <v/>
      </c>
      <c r="O3510" s="48" t="str">
        <f aca="false">IF($A3510="","",IF(NOT(ISNUMBER(F3510)),"Wert fehlt; ",IF(F3510&lt;=0,"Wert ist 0; ",""))&amp;IF(NOT(ISNUMBER(E3510)),"Bestand fehlt; ",IF(E3510&lt;0,"Bestand negativ; ",IF(E3510=0,"Nullbestand; ","")))&amp;IF(D3510="","Warengruppe fehlt; ","")&amp;IF(B3510="","Bezeichnung fehlt; ","")&amp;IF(COUNTIFS($A$2:$A$5001,$A3510,$C$2:$C$5001,C3510)&gt;1,"Artikel doppelt im selben Lager; ",""))</f>
        <v/>
      </c>
      <c r="P3510" s="47" t="n">
        <f aca="false">IF(OR($A3510="",D3510=""),0,IF(COUNTIF($D$2:D3510,D3510)=1,SUMIF($D$2:$D$5001,D3510,$H$2:$H$5001)+ROW()/10000000,0))</f>
        <v>0</v>
      </c>
      <c r="Q3510" s="47" t="n">
        <f aca="false">IF(OR($A3510="",C3510=""),0,IF(COUNTIF($C$2:C3510,C3510)=1,SUMIF($C$2:$C$5001,C3510,$H$2:$H$5001)+ROW()/10000000,0))</f>
        <v>0</v>
      </c>
    </row>
    <row r="3511" customFormat="false" ht="15" hidden="false" customHeight="false" outlineLevel="0" collapsed="false">
      <c r="A3511" s="43"/>
      <c r="B3511" s="44"/>
      <c r="C3511" s="44"/>
      <c r="D3511" s="44"/>
      <c r="E3511" s="44"/>
      <c r="F3511" s="44"/>
      <c r="G3511" s="44"/>
      <c r="H3511" s="46" t="str">
        <f aca="false">IF($A3511="","",IF(OR(NOT(ISNUMBER(E3511)),NOT(ISNUMBER(F3511))),"",MAX(0,E3511)*F3511))</f>
        <v/>
      </c>
      <c r="I3511" s="46" t="str">
        <f aca="false">IF($A3511="","",SUMIF($A$2:$A$5001,$A3511,$H$2:$H$5001))</f>
        <v/>
      </c>
      <c r="J3511" s="47" t="n">
        <f aca="false">IF($A3511="",0,IF(COUNTIF($A$2:A3511,$A3511)=1,1,0))</f>
        <v>0</v>
      </c>
      <c r="K3511" s="47" t="n">
        <f aca="false">IF(J3511=1,N(I3511)+ROW()/10000000,0)</f>
        <v>0</v>
      </c>
      <c r="L3511" s="47" t="str">
        <f aca="false">IF(AND(J3511=1,N(I3511)&gt;0),SUMIF($K$2:$K$5001,"&gt;="&amp;K3511,$I$2:$I$5001)/MAX(1,SUM($H$2:$H$5001)),"")</f>
        <v/>
      </c>
      <c r="M3511" s="47" t="str">
        <f aca="false">IF($A3511="","",INDEX($L$2:$L$5001,MATCH($A3511,$A$2:$A$5001,0)))</f>
        <v/>
      </c>
      <c r="N3511" s="48" t="str">
        <f aca="false">IF($A3511="","",IF(N(M3511)=0,"–",IF(M3511&lt;=Start!$D$20,"A",IF(M3511&lt;=Start!$D$21,"B","C"))))</f>
        <v/>
      </c>
      <c r="O3511" s="48" t="str">
        <f aca="false">IF($A3511="","",IF(NOT(ISNUMBER(F3511)),"Wert fehlt; ",IF(F3511&lt;=0,"Wert ist 0; ",""))&amp;IF(NOT(ISNUMBER(E3511)),"Bestand fehlt; ",IF(E3511&lt;0,"Bestand negativ; ",IF(E3511=0,"Nullbestand; ","")))&amp;IF(D3511="","Warengruppe fehlt; ","")&amp;IF(B3511="","Bezeichnung fehlt; ","")&amp;IF(COUNTIFS($A$2:$A$5001,$A3511,$C$2:$C$5001,C3511)&gt;1,"Artikel doppelt im selben Lager; ",""))</f>
        <v/>
      </c>
      <c r="P3511" s="47" t="n">
        <f aca="false">IF(OR($A3511="",D3511=""),0,IF(COUNTIF($D$2:D3511,D3511)=1,SUMIF($D$2:$D$5001,D3511,$H$2:$H$5001)+ROW()/10000000,0))</f>
        <v>0</v>
      </c>
      <c r="Q3511" s="47" t="n">
        <f aca="false">IF(OR($A3511="",C3511=""),0,IF(COUNTIF($C$2:C3511,C3511)=1,SUMIF($C$2:$C$5001,C3511,$H$2:$H$5001)+ROW()/10000000,0))</f>
        <v>0</v>
      </c>
    </row>
    <row r="3512" customFormat="false" ht="15" hidden="false" customHeight="false" outlineLevel="0" collapsed="false">
      <c r="A3512" s="43"/>
      <c r="B3512" s="44"/>
      <c r="C3512" s="44"/>
      <c r="D3512" s="44"/>
      <c r="E3512" s="44"/>
      <c r="F3512" s="44"/>
      <c r="G3512" s="44"/>
      <c r="H3512" s="46" t="str">
        <f aca="false">IF($A3512="","",IF(OR(NOT(ISNUMBER(E3512)),NOT(ISNUMBER(F3512))),"",MAX(0,E3512)*F3512))</f>
        <v/>
      </c>
      <c r="I3512" s="46" t="str">
        <f aca="false">IF($A3512="","",SUMIF($A$2:$A$5001,$A3512,$H$2:$H$5001))</f>
        <v/>
      </c>
      <c r="J3512" s="47" t="n">
        <f aca="false">IF($A3512="",0,IF(COUNTIF($A$2:A3512,$A3512)=1,1,0))</f>
        <v>0</v>
      </c>
      <c r="K3512" s="47" t="n">
        <f aca="false">IF(J3512=1,N(I3512)+ROW()/10000000,0)</f>
        <v>0</v>
      </c>
      <c r="L3512" s="47" t="str">
        <f aca="false">IF(AND(J3512=1,N(I3512)&gt;0),SUMIF($K$2:$K$5001,"&gt;="&amp;K3512,$I$2:$I$5001)/MAX(1,SUM($H$2:$H$5001)),"")</f>
        <v/>
      </c>
      <c r="M3512" s="47" t="str">
        <f aca="false">IF($A3512="","",INDEX($L$2:$L$5001,MATCH($A3512,$A$2:$A$5001,0)))</f>
        <v/>
      </c>
      <c r="N3512" s="48" t="str">
        <f aca="false">IF($A3512="","",IF(N(M3512)=0,"–",IF(M3512&lt;=Start!$D$20,"A",IF(M3512&lt;=Start!$D$21,"B","C"))))</f>
        <v/>
      </c>
      <c r="O3512" s="48" t="str">
        <f aca="false">IF($A3512="","",IF(NOT(ISNUMBER(F3512)),"Wert fehlt; ",IF(F3512&lt;=0,"Wert ist 0; ",""))&amp;IF(NOT(ISNUMBER(E3512)),"Bestand fehlt; ",IF(E3512&lt;0,"Bestand negativ; ",IF(E3512=0,"Nullbestand; ","")))&amp;IF(D3512="","Warengruppe fehlt; ","")&amp;IF(B3512="","Bezeichnung fehlt; ","")&amp;IF(COUNTIFS($A$2:$A$5001,$A3512,$C$2:$C$5001,C3512)&gt;1,"Artikel doppelt im selben Lager; ",""))</f>
        <v/>
      </c>
      <c r="P3512" s="47" t="n">
        <f aca="false">IF(OR($A3512="",D3512=""),0,IF(COUNTIF($D$2:D3512,D3512)=1,SUMIF($D$2:$D$5001,D3512,$H$2:$H$5001)+ROW()/10000000,0))</f>
        <v>0</v>
      </c>
      <c r="Q3512" s="47" t="n">
        <f aca="false">IF(OR($A3512="",C3512=""),0,IF(COUNTIF($C$2:C3512,C3512)=1,SUMIF($C$2:$C$5001,C3512,$H$2:$H$5001)+ROW()/10000000,0))</f>
        <v>0</v>
      </c>
    </row>
    <row r="3513" customFormat="false" ht="15" hidden="false" customHeight="false" outlineLevel="0" collapsed="false">
      <c r="A3513" s="43"/>
      <c r="B3513" s="44"/>
      <c r="C3513" s="44"/>
      <c r="D3513" s="44"/>
      <c r="E3513" s="44"/>
      <c r="F3513" s="44"/>
      <c r="G3513" s="44"/>
      <c r="H3513" s="46" t="str">
        <f aca="false">IF($A3513="","",IF(OR(NOT(ISNUMBER(E3513)),NOT(ISNUMBER(F3513))),"",MAX(0,E3513)*F3513))</f>
        <v/>
      </c>
      <c r="I3513" s="46" t="str">
        <f aca="false">IF($A3513="","",SUMIF($A$2:$A$5001,$A3513,$H$2:$H$5001))</f>
        <v/>
      </c>
      <c r="J3513" s="47" t="n">
        <f aca="false">IF($A3513="",0,IF(COUNTIF($A$2:A3513,$A3513)=1,1,0))</f>
        <v>0</v>
      </c>
      <c r="K3513" s="47" t="n">
        <f aca="false">IF(J3513=1,N(I3513)+ROW()/10000000,0)</f>
        <v>0</v>
      </c>
      <c r="L3513" s="47" t="str">
        <f aca="false">IF(AND(J3513=1,N(I3513)&gt;0),SUMIF($K$2:$K$5001,"&gt;="&amp;K3513,$I$2:$I$5001)/MAX(1,SUM($H$2:$H$5001)),"")</f>
        <v/>
      </c>
      <c r="M3513" s="47" t="str">
        <f aca="false">IF($A3513="","",INDEX($L$2:$L$5001,MATCH($A3513,$A$2:$A$5001,0)))</f>
        <v/>
      </c>
      <c r="N3513" s="48" t="str">
        <f aca="false">IF($A3513="","",IF(N(M3513)=0,"–",IF(M3513&lt;=Start!$D$20,"A",IF(M3513&lt;=Start!$D$21,"B","C"))))</f>
        <v/>
      </c>
      <c r="O3513" s="48" t="str">
        <f aca="false">IF($A3513="","",IF(NOT(ISNUMBER(F3513)),"Wert fehlt; ",IF(F3513&lt;=0,"Wert ist 0; ",""))&amp;IF(NOT(ISNUMBER(E3513)),"Bestand fehlt; ",IF(E3513&lt;0,"Bestand negativ; ",IF(E3513=0,"Nullbestand; ","")))&amp;IF(D3513="","Warengruppe fehlt; ","")&amp;IF(B3513="","Bezeichnung fehlt; ","")&amp;IF(COUNTIFS($A$2:$A$5001,$A3513,$C$2:$C$5001,C3513)&gt;1,"Artikel doppelt im selben Lager; ",""))</f>
        <v/>
      </c>
      <c r="P3513" s="47" t="n">
        <f aca="false">IF(OR($A3513="",D3513=""),0,IF(COUNTIF($D$2:D3513,D3513)=1,SUMIF($D$2:$D$5001,D3513,$H$2:$H$5001)+ROW()/10000000,0))</f>
        <v>0</v>
      </c>
      <c r="Q3513" s="47" t="n">
        <f aca="false">IF(OR($A3513="",C3513=""),0,IF(COUNTIF($C$2:C3513,C3513)=1,SUMIF($C$2:$C$5001,C3513,$H$2:$H$5001)+ROW()/10000000,0))</f>
        <v>0</v>
      </c>
    </row>
    <row r="3514" customFormat="false" ht="15" hidden="false" customHeight="false" outlineLevel="0" collapsed="false">
      <c r="A3514" s="43"/>
      <c r="B3514" s="44"/>
      <c r="C3514" s="44"/>
      <c r="D3514" s="44"/>
      <c r="E3514" s="44"/>
      <c r="F3514" s="44"/>
      <c r="G3514" s="44"/>
      <c r="H3514" s="46" t="str">
        <f aca="false">IF($A3514="","",IF(OR(NOT(ISNUMBER(E3514)),NOT(ISNUMBER(F3514))),"",MAX(0,E3514)*F3514))</f>
        <v/>
      </c>
      <c r="I3514" s="46" t="str">
        <f aca="false">IF($A3514="","",SUMIF($A$2:$A$5001,$A3514,$H$2:$H$5001))</f>
        <v/>
      </c>
      <c r="J3514" s="47" t="n">
        <f aca="false">IF($A3514="",0,IF(COUNTIF($A$2:A3514,$A3514)=1,1,0))</f>
        <v>0</v>
      </c>
      <c r="K3514" s="47" t="n">
        <f aca="false">IF(J3514=1,N(I3514)+ROW()/10000000,0)</f>
        <v>0</v>
      </c>
      <c r="L3514" s="47" t="str">
        <f aca="false">IF(AND(J3514=1,N(I3514)&gt;0),SUMIF($K$2:$K$5001,"&gt;="&amp;K3514,$I$2:$I$5001)/MAX(1,SUM($H$2:$H$5001)),"")</f>
        <v/>
      </c>
      <c r="M3514" s="47" t="str">
        <f aca="false">IF($A3514="","",INDEX($L$2:$L$5001,MATCH($A3514,$A$2:$A$5001,0)))</f>
        <v/>
      </c>
      <c r="N3514" s="48" t="str">
        <f aca="false">IF($A3514="","",IF(N(M3514)=0,"–",IF(M3514&lt;=Start!$D$20,"A",IF(M3514&lt;=Start!$D$21,"B","C"))))</f>
        <v/>
      </c>
      <c r="O3514" s="48" t="str">
        <f aca="false">IF($A3514="","",IF(NOT(ISNUMBER(F3514)),"Wert fehlt; ",IF(F3514&lt;=0,"Wert ist 0; ",""))&amp;IF(NOT(ISNUMBER(E3514)),"Bestand fehlt; ",IF(E3514&lt;0,"Bestand negativ; ",IF(E3514=0,"Nullbestand; ","")))&amp;IF(D3514="","Warengruppe fehlt; ","")&amp;IF(B3514="","Bezeichnung fehlt; ","")&amp;IF(COUNTIFS($A$2:$A$5001,$A3514,$C$2:$C$5001,C3514)&gt;1,"Artikel doppelt im selben Lager; ",""))</f>
        <v/>
      </c>
      <c r="P3514" s="47" t="n">
        <f aca="false">IF(OR($A3514="",D3514=""),0,IF(COUNTIF($D$2:D3514,D3514)=1,SUMIF($D$2:$D$5001,D3514,$H$2:$H$5001)+ROW()/10000000,0))</f>
        <v>0</v>
      </c>
      <c r="Q3514" s="47" t="n">
        <f aca="false">IF(OR($A3514="",C3514=""),0,IF(COUNTIF($C$2:C3514,C3514)=1,SUMIF($C$2:$C$5001,C3514,$H$2:$H$5001)+ROW()/10000000,0))</f>
        <v>0</v>
      </c>
    </row>
    <row r="3515" customFormat="false" ht="15" hidden="false" customHeight="false" outlineLevel="0" collapsed="false">
      <c r="A3515" s="43"/>
      <c r="B3515" s="44"/>
      <c r="C3515" s="44"/>
      <c r="D3515" s="44"/>
      <c r="E3515" s="44"/>
      <c r="F3515" s="44"/>
      <c r="G3515" s="44"/>
      <c r="H3515" s="46" t="str">
        <f aca="false">IF($A3515="","",IF(OR(NOT(ISNUMBER(E3515)),NOT(ISNUMBER(F3515))),"",MAX(0,E3515)*F3515))</f>
        <v/>
      </c>
      <c r="I3515" s="46" t="str">
        <f aca="false">IF($A3515="","",SUMIF($A$2:$A$5001,$A3515,$H$2:$H$5001))</f>
        <v/>
      </c>
      <c r="J3515" s="47" t="n">
        <f aca="false">IF($A3515="",0,IF(COUNTIF($A$2:A3515,$A3515)=1,1,0))</f>
        <v>0</v>
      </c>
      <c r="K3515" s="47" t="n">
        <f aca="false">IF(J3515=1,N(I3515)+ROW()/10000000,0)</f>
        <v>0</v>
      </c>
      <c r="L3515" s="47" t="str">
        <f aca="false">IF(AND(J3515=1,N(I3515)&gt;0),SUMIF($K$2:$K$5001,"&gt;="&amp;K3515,$I$2:$I$5001)/MAX(1,SUM($H$2:$H$5001)),"")</f>
        <v/>
      </c>
      <c r="M3515" s="47" t="str">
        <f aca="false">IF($A3515="","",INDEX($L$2:$L$5001,MATCH($A3515,$A$2:$A$5001,0)))</f>
        <v/>
      </c>
      <c r="N3515" s="48" t="str">
        <f aca="false">IF($A3515="","",IF(N(M3515)=0,"–",IF(M3515&lt;=Start!$D$20,"A",IF(M3515&lt;=Start!$D$21,"B","C"))))</f>
        <v/>
      </c>
      <c r="O3515" s="48" t="str">
        <f aca="false">IF($A3515="","",IF(NOT(ISNUMBER(F3515)),"Wert fehlt; ",IF(F3515&lt;=0,"Wert ist 0; ",""))&amp;IF(NOT(ISNUMBER(E3515)),"Bestand fehlt; ",IF(E3515&lt;0,"Bestand negativ; ",IF(E3515=0,"Nullbestand; ","")))&amp;IF(D3515="","Warengruppe fehlt; ","")&amp;IF(B3515="","Bezeichnung fehlt; ","")&amp;IF(COUNTIFS($A$2:$A$5001,$A3515,$C$2:$C$5001,C3515)&gt;1,"Artikel doppelt im selben Lager; ",""))</f>
        <v/>
      </c>
      <c r="P3515" s="47" t="n">
        <f aca="false">IF(OR($A3515="",D3515=""),0,IF(COUNTIF($D$2:D3515,D3515)=1,SUMIF($D$2:$D$5001,D3515,$H$2:$H$5001)+ROW()/10000000,0))</f>
        <v>0</v>
      </c>
      <c r="Q3515" s="47" t="n">
        <f aca="false">IF(OR($A3515="",C3515=""),0,IF(COUNTIF($C$2:C3515,C3515)=1,SUMIF($C$2:$C$5001,C3515,$H$2:$H$5001)+ROW()/10000000,0))</f>
        <v>0</v>
      </c>
    </row>
    <row r="3516" customFormat="false" ht="15" hidden="false" customHeight="false" outlineLevel="0" collapsed="false">
      <c r="A3516" s="43"/>
      <c r="B3516" s="44"/>
      <c r="C3516" s="44"/>
      <c r="D3516" s="44"/>
      <c r="E3516" s="44"/>
      <c r="F3516" s="44"/>
      <c r="G3516" s="44"/>
      <c r="H3516" s="46" t="str">
        <f aca="false">IF($A3516="","",IF(OR(NOT(ISNUMBER(E3516)),NOT(ISNUMBER(F3516))),"",MAX(0,E3516)*F3516))</f>
        <v/>
      </c>
      <c r="I3516" s="46" t="str">
        <f aca="false">IF($A3516="","",SUMIF($A$2:$A$5001,$A3516,$H$2:$H$5001))</f>
        <v/>
      </c>
      <c r="J3516" s="47" t="n">
        <f aca="false">IF($A3516="",0,IF(COUNTIF($A$2:A3516,$A3516)=1,1,0))</f>
        <v>0</v>
      </c>
      <c r="K3516" s="47" t="n">
        <f aca="false">IF(J3516=1,N(I3516)+ROW()/10000000,0)</f>
        <v>0</v>
      </c>
      <c r="L3516" s="47" t="str">
        <f aca="false">IF(AND(J3516=1,N(I3516)&gt;0),SUMIF($K$2:$K$5001,"&gt;="&amp;K3516,$I$2:$I$5001)/MAX(1,SUM($H$2:$H$5001)),"")</f>
        <v/>
      </c>
      <c r="M3516" s="47" t="str">
        <f aca="false">IF($A3516="","",INDEX($L$2:$L$5001,MATCH($A3516,$A$2:$A$5001,0)))</f>
        <v/>
      </c>
      <c r="N3516" s="48" t="str">
        <f aca="false">IF($A3516="","",IF(N(M3516)=0,"–",IF(M3516&lt;=Start!$D$20,"A",IF(M3516&lt;=Start!$D$21,"B","C"))))</f>
        <v/>
      </c>
      <c r="O3516" s="48" t="str">
        <f aca="false">IF($A3516="","",IF(NOT(ISNUMBER(F3516)),"Wert fehlt; ",IF(F3516&lt;=0,"Wert ist 0; ",""))&amp;IF(NOT(ISNUMBER(E3516)),"Bestand fehlt; ",IF(E3516&lt;0,"Bestand negativ; ",IF(E3516=0,"Nullbestand; ","")))&amp;IF(D3516="","Warengruppe fehlt; ","")&amp;IF(B3516="","Bezeichnung fehlt; ","")&amp;IF(COUNTIFS($A$2:$A$5001,$A3516,$C$2:$C$5001,C3516)&gt;1,"Artikel doppelt im selben Lager; ",""))</f>
        <v/>
      </c>
      <c r="P3516" s="47" t="n">
        <f aca="false">IF(OR($A3516="",D3516=""),0,IF(COUNTIF($D$2:D3516,D3516)=1,SUMIF($D$2:$D$5001,D3516,$H$2:$H$5001)+ROW()/10000000,0))</f>
        <v>0</v>
      </c>
      <c r="Q3516" s="47" t="n">
        <f aca="false">IF(OR($A3516="",C3516=""),0,IF(COUNTIF($C$2:C3516,C3516)=1,SUMIF($C$2:$C$5001,C3516,$H$2:$H$5001)+ROW()/10000000,0))</f>
        <v>0</v>
      </c>
    </row>
    <row r="3517" customFormat="false" ht="15" hidden="false" customHeight="false" outlineLevel="0" collapsed="false">
      <c r="A3517" s="43"/>
      <c r="B3517" s="44"/>
      <c r="C3517" s="44"/>
      <c r="D3517" s="44"/>
      <c r="E3517" s="44"/>
      <c r="F3517" s="44"/>
      <c r="G3517" s="44"/>
      <c r="H3517" s="46" t="str">
        <f aca="false">IF($A3517="","",IF(OR(NOT(ISNUMBER(E3517)),NOT(ISNUMBER(F3517))),"",MAX(0,E3517)*F3517))</f>
        <v/>
      </c>
      <c r="I3517" s="46" t="str">
        <f aca="false">IF($A3517="","",SUMIF($A$2:$A$5001,$A3517,$H$2:$H$5001))</f>
        <v/>
      </c>
      <c r="J3517" s="47" t="n">
        <f aca="false">IF($A3517="",0,IF(COUNTIF($A$2:A3517,$A3517)=1,1,0))</f>
        <v>0</v>
      </c>
      <c r="K3517" s="47" t="n">
        <f aca="false">IF(J3517=1,N(I3517)+ROW()/10000000,0)</f>
        <v>0</v>
      </c>
      <c r="L3517" s="47" t="str">
        <f aca="false">IF(AND(J3517=1,N(I3517)&gt;0),SUMIF($K$2:$K$5001,"&gt;="&amp;K3517,$I$2:$I$5001)/MAX(1,SUM($H$2:$H$5001)),"")</f>
        <v/>
      </c>
      <c r="M3517" s="47" t="str">
        <f aca="false">IF($A3517="","",INDEX($L$2:$L$5001,MATCH($A3517,$A$2:$A$5001,0)))</f>
        <v/>
      </c>
      <c r="N3517" s="48" t="str">
        <f aca="false">IF($A3517="","",IF(N(M3517)=0,"–",IF(M3517&lt;=Start!$D$20,"A",IF(M3517&lt;=Start!$D$21,"B","C"))))</f>
        <v/>
      </c>
      <c r="O3517" s="48" t="str">
        <f aca="false">IF($A3517="","",IF(NOT(ISNUMBER(F3517)),"Wert fehlt; ",IF(F3517&lt;=0,"Wert ist 0; ",""))&amp;IF(NOT(ISNUMBER(E3517)),"Bestand fehlt; ",IF(E3517&lt;0,"Bestand negativ; ",IF(E3517=0,"Nullbestand; ","")))&amp;IF(D3517="","Warengruppe fehlt; ","")&amp;IF(B3517="","Bezeichnung fehlt; ","")&amp;IF(COUNTIFS($A$2:$A$5001,$A3517,$C$2:$C$5001,C3517)&gt;1,"Artikel doppelt im selben Lager; ",""))</f>
        <v/>
      </c>
      <c r="P3517" s="47" t="n">
        <f aca="false">IF(OR($A3517="",D3517=""),0,IF(COUNTIF($D$2:D3517,D3517)=1,SUMIF($D$2:$D$5001,D3517,$H$2:$H$5001)+ROW()/10000000,0))</f>
        <v>0</v>
      </c>
      <c r="Q3517" s="47" t="n">
        <f aca="false">IF(OR($A3517="",C3517=""),0,IF(COUNTIF($C$2:C3517,C3517)=1,SUMIF($C$2:$C$5001,C3517,$H$2:$H$5001)+ROW()/10000000,0))</f>
        <v>0</v>
      </c>
    </row>
    <row r="3518" customFormat="false" ht="15" hidden="false" customHeight="false" outlineLevel="0" collapsed="false">
      <c r="A3518" s="43"/>
      <c r="B3518" s="44"/>
      <c r="C3518" s="44"/>
      <c r="D3518" s="44"/>
      <c r="E3518" s="44"/>
      <c r="F3518" s="44"/>
      <c r="G3518" s="44"/>
      <c r="H3518" s="46" t="str">
        <f aca="false">IF($A3518="","",IF(OR(NOT(ISNUMBER(E3518)),NOT(ISNUMBER(F3518))),"",MAX(0,E3518)*F3518))</f>
        <v/>
      </c>
      <c r="I3518" s="46" t="str">
        <f aca="false">IF($A3518="","",SUMIF($A$2:$A$5001,$A3518,$H$2:$H$5001))</f>
        <v/>
      </c>
      <c r="J3518" s="47" t="n">
        <f aca="false">IF($A3518="",0,IF(COUNTIF($A$2:A3518,$A3518)=1,1,0))</f>
        <v>0</v>
      </c>
      <c r="K3518" s="47" t="n">
        <f aca="false">IF(J3518=1,N(I3518)+ROW()/10000000,0)</f>
        <v>0</v>
      </c>
      <c r="L3518" s="47" t="str">
        <f aca="false">IF(AND(J3518=1,N(I3518)&gt;0),SUMIF($K$2:$K$5001,"&gt;="&amp;K3518,$I$2:$I$5001)/MAX(1,SUM($H$2:$H$5001)),"")</f>
        <v/>
      </c>
      <c r="M3518" s="47" t="str">
        <f aca="false">IF($A3518="","",INDEX($L$2:$L$5001,MATCH($A3518,$A$2:$A$5001,0)))</f>
        <v/>
      </c>
      <c r="N3518" s="48" t="str">
        <f aca="false">IF($A3518="","",IF(N(M3518)=0,"–",IF(M3518&lt;=Start!$D$20,"A",IF(M3518&lt;=Start!$D$21,"B","C"))))</f>
        <v/>
      </c>
      <c r="O3518" s="48" t="str">
        <f aca="false">IF($A3518="","",IF(NOT(ISNUMBER(F3518)),"Wert fehlt; ",IF(F3518&lt;=0,"Wert ist 0; ",""))&amp;IF(NOT(ISNUMBER(E3518)),"Bestand fehlt; ",IF(E3518&lt;0,"Bestand negativ; ",IF(E3518=0,"Nullbestand; ","")))&amp;IF(D3518="","Warengruppe fehlt; ","")&amp;IF(B3518="","Bezeichnung fehlt; ","")&amp;IF(COUNTIFS($A$2:$A$5001,$A3518,$C$2:$C$5001,C3518)&gt;1,"Artikel doppelt im selben Lager; ",""))</f>
        <v/>
      </c>
      <c r="P3518" s="47" t="n">
        <f aca="false">IF(OR($A3518="",D3518=""),0,IF(COUNTIF($D$2:D3518,D3518)=1,SUMIF($D$2:$D$5001,D3518,$H$2:$H$5001)+ROW()/10000000,0))</f>
        <v>0</v>
      </c>
      <c r="Q3518" s="47" t="n">
        <f aca="false">IF(OR($A3518="",C3518=""),0,IF(COUNTIF($C$2:C3518,C3518)=1,SUMIF($C$2:$C$5001,C3518,$H$2:$H$5001)+ROW()/10000000,0))</f>
        <v>0</v>
      </c>
    </row>
    <row r="3519" customFormat="false" ht="15" hidden="false" customHeight="false" outlineLevel="0" collapsed="false">
      <c r="A3519" s="43"/>
      <c r="B3519" s="44"/>
      <c r="C3519" s="44"/>
      <c r="D3519" s="44"/>
      <c r="E3519" s="44"/>
      <c r="F3519" s="44"/>
      <c r="G3519" s="44"/>
      <c r="H3519" s="46" t="str">
        <f aca="false">IF($A3519="","",IF(OR(NOT(ISNUMBER(E3519)),NOT(ISNUMBER(F3519))),"",MAX(0,E3519)*F3519))</f>
        <v/>
      </c>
      <c r="I3519" s="46" t="str">
        <f aca="false">IF($A3519="","",SUMIF($A$2:$A$5001,$A3519,$H$2:$H$5001))</f>
        <v/>
      </c>
      <c r="J3519" s="47" t="n">
        <f aca="false">IF($A3519="",0,IF(COUNTIF($A$2:A3519,$A3519)=1,1,0))</f>
        <v>0</v>
      </c>
      <c r="K3519" s="47" t="n">
        <f aca="false">IF(J3519=1,N(I3519)+ROW()/10000000,0)</f>
        <v>0</v>
      </c>
      <c r="L3519" s="47" t="str">
        <f aca="false">IF(AND(J3519=1,N(I3519)&gt;0),SUMIF($K$2:$K$5001,"&gt;="&amp;K3519,$I$2:$I$5001)/MAX(1,SUM($H$2:$H$5001)),"")</f>
        <v/>
      </c>
      <c r="M3519" s="47" t="str">
        <f aca="false">IF($A3519="","",INDEX($L$2:$L$5001,MATCH($A3519,$A$2:$A$5001,0)))</f>
        <v/>
      </c>
      <c r="N3519" s="48" t="str">
        <f aca="false">IF($A3519="","",IF(N(M3519)=0,"–",IF(M3519&lt;=Start!$D$20,"A",IF(M3519&lt;=Start!$D$21,"B","C"))))</f>
        <v/>
      </c>
      <c r="O3519" s="48" t="str">
        <f aca="false">IF($A3519="","",IF(NOT(ISNUMBER(F3519)),"Wert fehlt; ",IF(F3519&lt;=0,"Wert ist 0; ",""))&amp;IF(NOT(ISNUMBER(E3519)),"Bestand fehlt; ",IF(E3519&lt;0,"Bestand negativ; ",IF(E3519=0,"Nullbestand; ","")))&amp;IF(D3519="","Warengruppe fehlt; ","")&amp;IF(B3519="","Bezeichnung fehlt; ","")&amp;IF(COUNTIFS($A$2:$A$5001,$A3519,$C$2:$C$5001,C3519)&gt;1,"Artikel doppelt im selben Lager; ",""))</f>
        <v/>
      </c>
      <c r="P3519" s="47" t="n">
        <f aca="false">IF(OR($A3519="",D3519=""),0,IF(COUNTIF($D$2:D3519,D3519)=1,SUMIF($D$2:$D$5001,D3519,$H$2:$H$5001)+ROW()/10000000,0))</f>
        <v>0</v>
      </c>
      <c r="Q3519" s="47" t="n">
        <f aca="false">IF(OR($A3519="",C3519=""),0,IF(COUNTIF($C$2:C3519,C3519)=1,SUMIF($C$2:$C$5001,C3519,$H$2:$H$5001)+ROW()/10000000,0))</f>
        <v>0</v>
      </c>
    </row>
    <row r="3520" customFormat="false" ht="15" hidden="false" customHeight="false" outlineLevel="0" collapsed="false">
      <c r="A3520" s="43"/>
      <c r="B3520" s="44"/>
      <c r="C3520" s="44"/>
      <c r="D3520" s="44"/>
      <c r="E3520" s="44"/>
      <c r="F3520" s="44"/>
      <c r="G3520" s="44"/>
      <c r="H3520" s="46" t="str">
        <f aca="false">IF($A3520="","",IF(OR(NOT(ISNUMBER(E3520)),NOT(ISNUMBER(F3520))),"",MAX(0,E3520)*F3520))</f>
        <v/>
      </c>
      <c r="I3520" s="46" t="str">
        <f aca="false">IF($A3520="","",SUMIF($A$2:$A$5001,$A3520,$H$2:$H$5001))</f>
        <v/>
      </c>
      <c r="J3520" s="47" t="n">
        <f aca="false">IF($A3520="",0,IF(COUNTIF($A$2:A3520,$A3520)=1,1,0))</f>
        <v>0</v>
      </c>
      <c r="K3520" s="47" t="n">
        <f aca="false">IF(J3520=1,N(I3520)+ROW()/10000000,0)</f>
        <v>0</v>
      </c>
      <c r="L3520" s="47" t="str">
        <f aca="false">IF(AND(J3520=1,N(I3520)&gt;0),SUMIF($K$2:$K$5001,"&gt;="&amp;K3520,$I$2:$I$5001)/MAX(1,SUM($H$2:$H$5001)),"")</f>
        <v/>
      </c>
      <c r="M3520" s="47" t="str">
        <f aca="false">IF($A3520="","",INDEX($L$2:$L$5001,MATCH($A3520,$A$2:$A$5001,0)))</f>
        <v/>
      </c>
      <c r="N3520" s="48" t="str">
        <f aca="false">IF($A3520="","",IF(N(M3520)=0,"–",IF(M3520&lt;=Start!$D$20,"A",IF(M3520&lt;=Start!$D$21,"B","C"))))</f>
        <v/>
      </c>
      <c r="O3520" s="48" t="str">
        <f aca="false">IF($A3520="","",IF(NOT(ISNUMBER(F3520)),"Wert fehlt; ",IF(F3520&lt;=0,"Wert ist 0; ",""))&amp;IF(NOT(ISNUMBER(E3520)),"Bestand fehlt; ",IF(E3520&lt;0,"Bestand negativ; ",IF(E3520=0,"Nullbestand; ","")))&amp;IF(D3520="","Warengruppe fehlt; ","")&amp;IF(B3520="","Bezeichnung fehlt; ","")&amp;IF(COUNTIFS($A$2:$A$5001,$A3520,$C$2:$C$5001,C3520)&gt;1,"Artikel doppelt im selben Lager; ",""))</f>
        <v/>
      </c>
      <c r="P3520" s="47" t="n">
        <f aca="false">IF(OR($A3520="",D3520=""),0,IF(COUNTIF($D$2:D3520,D3520)=1,SUMIF($D$2:$D$5001,D3520,$H$2:$H$5001)+ROW()/10000000,0))</f>
        <v>0</v>
      </c>
      <c r="Q3520" s="47" t="n">
        <f aca="false">IF(OR($A3520="",C3520=""),0,IF(COUNTIF($C$2:C3520,C3520)=1,SUMIF($C$2:$C$5001,C3520,$H$2:$H$5001)+ROW()/10000000,0))</f>
        <v>0</v>
      </c>
    </row>
    <row r="3521" customFormat="false" ht="15" hidden="false" customHeight="false" outlineLevel="0" collapsed="false">
      <c r="A3521" s="43"/>
      <c r="B3521" s="44"/>
      <c r="C3521" s="44"/>
      <c r="D3521" s="44"/>
      <c r="E3521" s="44"/>
      <c r="F3521" s="44"/>
      <c r="G3521" s="44"/>
      <c r="H3521" s="46" t="str">
        <f aca="false">IF($A3521="","",IF(OR(NOT(ISNUMBER(E3521)),NOT(ISNUMBER(F3521))),"",MAX(0,E3521)*F3521))</f>
        <v/>
      </c>
      <c r="I3521" s="46" t="str">
        <f aca="false">IF($A3521="","",SUMIF($A$2:$A$5001,$A3521,$H$2:$H$5001))</f>
        <v/>
      </c>
      <c r="J3521" s="47" t="n">
        <f aca="false">IF($A3521="",0,IF(COUNTIF($A$2:A3521,$A3521)=1,1,0))</f>
        <v>0</v>
      </c>
      <c r="K3521" s="47" t="n">
        <f aca="false">IF(J3521=1,N(I3521)+ROW()/10000000,0)</f>
        <v>0</v>
      </c>
      <c r="L3521" s="47" t="str">
        <f aca="false">IF(AND(J3521=1,N(I3521)&gt;0),SUMIF($K$2:$K$5001,"&gt;="&amp;K3521,$I$2:$I$5001)/MAX(1,SUM($H$2:$H$5001)),"")</f>
        <v/>
      </c>
      <c r="M3521" s="47" t="str">
        <f aca="false">IF($A3521="","",INDEX($L$2:$L$5001,MATCH($A3521,$A$2:$A$5001,0)))</f>
        <v/>
      </c>
      <c r="N3521" s="48" t="str">
        <f aca="false">IF($A3521="","",IF(N(M3521)=0,"–",IF(M3521&lt;=Start!$D$20,"A",IF(M3521&lt;=Start!$D$21,"B","C"))))</f>
        <v/>
      </c>
      <c r="O3521" s="48" t="str">
        <f aca="false">IF($A3521="","",IF(NOT(ISNUMBER(F3521)),"Wert fehlt; ",IF(F3521&lt;=0,"Wert ist 0; ",""))&amp;IF(NOT(ISNUMBER(E3521)),"Bestand fehlt; ",IF(E3521&lt;0,"Bestand negativ; ",IF(E3521=0,"Nullbestand; ","")))&amp;IF(D3521="","Warengruppe fehlt; ","")&amp;IF(B3521="","Bezeichnung fehlt; ","")&amp;IF(COUNTIFS($A$2:$A$5001,$A3521,$C$2:$C$5001,C3521)&gt;1,"Artikel doppelt im selben Lager; ",""))</f>
        <v/>
      </c>
      <c r="P3521" s="47" t="n">
        <f aca="false">IF(OR($A3521="",D3521=""),0,IF(COUNTIF($D$2:D3521,D3521)=1,SUMIF($D$2:$D$5001,D3521,$H$2:$H$5001)+ROW()/10000000,0))</f>
        <v>0</v>
      </c>
      <c r="Q3521" s="47" t="n">
        <f aca="false">IF(OR($A3521="",C3521=""),0,IF(COUNTIF($C$2:C3521,C3521)=1,SUMIF($C$2:$C$5001,C3521,$H$2:$H$5001)+ROW()/10000000,0))</f>
        <v>0</v>
      </c>
    </row>
    <row r="3522" customFormat="false" ht="15" hidden="false" customHeight="false" outlineLevel="0" collapsed="false">
      <c r="A3522" s="43"/>
      <c r="B3522" s="44"/>
      <c r="C3522" s="44"/>
      <c r="D3522" s="44"/>
      <c r="E3522" s="44"/>
      <c r="F3522" s="44"/>
      <c r="G3522" s="44"/>
      <c r="H3522" s="46" t="str">
        <f aca="false">IF($A3522="","",IF(OR(NOT(ISNUMBER(E3522)),NOT(ISNUMBER(F3522))),"",MAX(0,E3522)*F3522))</f>
        <v/>
      </c>
      <c r="I3522" s="46" t="str">
        <f aca="false">IF($A3522="","",SUMIF($A$2:$A$5001,$A3522,$H$2:$H$5001))</f>
        <v/>
      </c>
      <c r="J3522" s="47" t="n">
        <f aca="false">IF($A3522="",0,IF(COUNTIF($A$2:A3522,$A3522)=1,1,0))</f>
        <v>0</v>
      </c>
      <c r="K3522" s="47" t="n">
        <f aca="false">IF(J3522=1,N(I3522)+ROW()/10000000,0)</f>
        <v>0</v>
      </c>
      <c r="L3522" s="47" t="str">
        <f aca="false">IF(AND(J3522=1,N(I3522)&gt;0),SUMIF($K$2:$K$5001,"&gt;="&amp;K3522,$I$2:$I$5001)/MAX(1,SUM($H$2:$H$5001)),"")</f>
        <v/>
      </c>
      <c r="M3522" s="47" t="str">
        <f aca="false">IF($A3522="","",INDEX($L$2:$L$5001,MATCH($A3522,$A$2:$A$5001,0)))</f>
        <v/>
      </c>
      <c r="N3522" s="48" t="str">
        <f aca="false">IF($A3522="","",IF(N(M3522)=0,"–",IF(M3522&lt;=Start!$D$20,"A",IF(M3522&lt;=Start!$D$21,"B","C"))))</f>
        <v/>
      </c>
      <c r="O3522" s="48" t="str">
        <f aca="false">IF($A3522="","",IF(NOT(ISNUMBER(F3522)),"Wert fehlt; ",IF(F3522&lt;=0,"Wert ist 0; ",""))&amp;IF(NOT(ISNUMBER(E3522)),"Bestand fehlt; ",IF(E3522&lt;0,"Bestand negativ; ",IF(E3522=0,"Nullbestand; ","")))&amp;IF(D3522="","Warengruppe fehlt; ","")&amp;IF(B3522="","Bezeichnung fehlt; ","")&amp;IF(COUNTIFS($A$2:$A$5001,$A3522,$C$2:$C$5001,C3522)&gt;1,"Artikel doppelt im selben Lager; ",""))</f>
        <v/>
      </c>
      <c r="P3522" s="47" t="n">
        <f aca="false">IF(OR($A3522="",D3522=""),0,IF(COUNTIF($D$2:D3522,D3522)=1,SUMIF($D$2:$D$5001,D3522,$H$2:$H$5001)+ROW()/10000000,0))</f>
        <v>0</v>
      </c>
      <c r="Q3522" s="47" t="n">
        <f aca="false">IF(OR($A3522="",C3522=""),0,IF(COUNTIF($C$2:C3522,C3522)=1,SUMIF($C$2:$C$5001,C3522,$H$2:$H$5001)+ROW()/10000000,0))</f>
        <v>0</v>
      </c>
    </row>
    <row r="3523" customFormat="false" ht="15" hidden="false" customHeight="false" outlineLevel="0" collapsed="false">
      <c r="A3523" s="43"/>
      <c r="B3523" s="44"/>
      <c r="C3523" s="44"/>
      <c r="D3523" s="44"/>
      <c r="E3523" s="44"/>
      <c r="F3523" s="44"/>
      <c r="G3523" s="44"/>
      <c r="H3523" s="46" t="str">
        <f aca="false">IF($A3523="","",IF(OR(NOT(ISNUMBER(E3523)),NOT(ISNUMBER(F3523))),"",MAX(0,E3523)*F3523))</f>
        <v/>
      </c>
      <c r="I3523" s="46" t="str">
        <f aca="false">IF($A3523="","",SUMIF($A$2:$A$5001,$A3523,$H$2:$H$5001))</f>
        <v/>
      </c>
      <c r="J3523" s="47" t="n">
        <f aca="false">IF($A3523="",0,IF(COUNTIF($A$2:A3523,$A3523)=1,1,0))</f>
        <v>0</v>
      </c>
      <c r="K3523" s="47" t="n">
        <f aca="false">IF(J3523=1,N(I3523)+ROW()/10000000,0)</f>
        <v>0</v>
      </c>
      <c r="L3523" s="47" t="str">
        <f aca="false">IF(AND(J3523=1,N(I3523)&gt;0),SUMIF($K$2:$K$5001,"&gt;="&amp;K3523,$I$2:$I$5001)/MAX(1,SUM($H$2:$H$5001)),"")</f>
        <v/>
      </c>
      <c r="M3523" s="47" t="str">
        <f aca="false">IF($A3523="","",INDEX($L$2:$L$5001,MATCH($A3523,$A$2:$A$5001,0)))</f>
        <v/>
      </c>
      <c r="N3523" s="48" t="str">
        <f aca="false">IF($A3523="","",IF(N(M3523)=0,"–",IF(M3523&lt;=Start!$D$20,"A",IF(M3523&lt;=Start!$D$21,"B","C"))))</f>
        <v/>
      </c>
      <c r="O3523" s="48" t="str">
        <f aca="false">IF($A3523="","",IF(NOT(ISNUMBER(F3523)),"Wert fehlt; ",IF(F3523&lt;=0,"Wert ist 0; ",""))&amp;IF(NOT(ISNUMBER(E3523)),"Bestand fehlt; ",IF(E3523&lt;0,"Bestand negativ; ",IF(E3523=0,"Nullbestand; ","")))&amp;IF(D3523="","Warengruppe fehlt; ","")&amp;IF(B3523="","Bezeichnung fehlt; ","")&amp;IF(COUNTIFS($A$2:$A$5001,$A3523,$C$2:$C$5001,C3523)&gt;1,"Artikel doppelt im selben Lager; ",""))</f>
        <v/>
      </c>
      <c r="P3523" s="47" t="n">
        <f aca="false">IF(OR($A3523="",D3523=""),0,IF(COUNTIF($D$2:D3523,D3523)=1,SUMIF($D$2:$D$5001,D3523,$H$2:$H$5001)+ROW()/10000000,0))</f>
        <v>0</v>
      </c>
      <c r="Q3523" s="47" t="n">
        <f aca="false">IF(OR($A3523="",C3523=""),0,IF(COUNTIF($C$2:C3523,C3523)=1,SUMIF($C$2:$C$5001,C3523,$H$2:$H$5001)+ROW()/10000000,0))</f>
        <v>0</v>
      </c>
    </row>
    <row r="3524" customFormat="false" ht="15" hidden="false" customHeight="false" outlineLevel="0" collapsed="false">
      <c r="A3524" s="43"/>
      <c r="B3524" s="44"/>
      <c r="C3524" s="44"/>
      <c r="D3524" s="44"/>
      <c r="E3524" s="44"/>
      <c r="F3524" s="44"/>
      <c r="G3524" s="44"/>
      <c r="H3524" s="46" t="str">
        <f aca="false">IF($A3524="","",IF(OR(NOT(ISNUMBER(E3524)),NOT(ISNUMBER(F3524))),"",MAX(0,E3524)*F3524))</f>
        <v/>
      </c>
      <c r="I3524" s="46" t="str">
        <f aca="false">IF($A3524="","",SUMIF($A$2:$A$5001,$A3524,$H$2:$H$5001))</f>
        <v/>
      </c>
      <c r="J3524" s="47" t="n">
        <f aca="false">IF($A3524="",0,IF(COUNTIF($A$2:A3524,$A3524)=1,1,0))</f>
        <v>0</v>
      </c>
      <c r="K3524" s="47" t="n">
        <f aca="false">IF(J3524=1,N(I3524)+ROW()/10000000,0)</f>
        <v>0</v>
      </c>
      <c r="L3524" s="47" t="str">
        <f aca="false">IF(AND(J3524=1,N(I3524)&gt;0),SUMIF($K$2:$K$5001,"&gt;="&amp;K3524,$I$2:$I$5001)/MAX(1,SUM($H$2:$H$5001)),"")</f>
        <v/>
      </c>
      <c r="M3524" s="47" t="str">
        <f aca="false">IF($A3524="","",INDEX($L$2:$L$5001,MATCH($A3524,$A$2:$A$5001,0)))</f>
        <v/>
      </c>
      <c r="N3524" s="48" t="str">
        <f aca="false">IF($A3524="","",IF(N(M3524)=0,"–",IF(M3524&lt;=Start!$D$20,"A",IF(M3524&lt;=Start!$D$21,"B","C"))))</f>
        <v/>
      </c>
      <c r="O3524" s="48" t="str">
        <f aca="false">IF($A3524="","",IF(NOT(ISNUMBER(F3524)),"Wert fehlt; ",IF(F3524&lt;=0,"Wert ist 0; ",""))&amp;IF(NOT(ISNUMBER(E3524)),"Bestand fehlt; ",IF(E3524&lt;0,"Bestand negativ; ",IF(E3524=0,"Nullbestand; ","")))&amp;IF(D3524="","Warengruppe fehlt; ","")&amp;IF(B3524="","Bezeichnung fehlt; ","")&amp;IF(COUNTIFS($A$2:$A$5001,$A3524,$C$2:$C$5001,C3524)&gt;1,"Artikel doppelt im selben Lager; ",""))</f>
        <v/>
      </c>
      <c r="P3524" s="47" t="n">
        <f aca="false">IF(OR($A3524="",D3524=""),0,IF(COUNTIF($D$2:D3524,D3524)=1,SUMIF($D$2:$D$5001,D3524,$H$2:$H$5001)+ROW()/10000000,0))</f>
        <v>0</v>
      </c>
      <c r="Q3524" s="47" t="n">
        <f aca="false">IF(OR($A3524="",C3524=""),0,IF(COUNTIF($C$2:C3524,C3524)=1,SUMIF($C$2:$C$5001,C3524,$H$2:$H$5001)+ROW()/10000000,0))</f>
        <v>0</v>
      </c>
    </row>
    <row r="3525" customFormat="false" ht="15" hidden="false" customHeight="false" outlineLevel="0" collapsed="false">
      <c r="A3525" s="43"/>
      <c r="B3525" s="44"/>
      <c r="C3525" s="44"/>
      <c r="D3525" s="44"/>
      <c r="E3525" s="44"/>
      <c r="F3525" s="44"/>
      <c r="G3525" s="44"/>
      <c r="H3525" s="46" t="str">
        <f aca="false">IF($A3525="","",IF(OR(NOT(ISNUMBER(E3525)),NOT(ISNUMBER(F3525))),"",MAX(0,E3525)*F3525))</f>
        <v/>
      </c>
      <c r="I3525" s="46" t="str">
        <f aca="false">IF($A3525="","",SUMIF($A$2:$A$5001,$A3525,$H$2:$H$5001))</f>
        <v/>
      </c>
      <c r="J3525" s="47" t="n">
        <f aca="false">IF($A3525="",0,IF(COUNTIF($A$2:A3525,$A3525)=1,1,0))</f>
        <v>0</v>
      </c>
      <c r="K3525" s="47" t="n">
        <f aca="false">IF(J3525=1,N(I3525)+ROW()/10000000,0)</f>
        <v>0</v>
      </c>
      <c r="L3525" s="47" t="str">
        <f aca="false">IF(AND(J3525=1,N(I3525)&gt;0),SUMIF($K$2:$K$5001,"&gt;="&amp;K3525,$I$2:$I$5001)/MAX(1,SUM($H$2:$H$5001)),"")</f>
        <v/>
      </c>
      <c r="M3525" s="47" t="str">
        <f aca="false">IF($A3525="","",INDEX($L$2:$L$5001,MATCH($A3525,$A$2:$A$5001,0)))</f>
        <v/>
      </c>
      <c r="N3525" s="48" t="str">
        <f aca="false">IF($A3525="","",IF(N(M3525)=0,"–",IF(M3525&lt;=Start!$D$20,"A",IF(M3525&lt;=Start!$D$21,"B","C"))))</f>
        <v/>
      </c>
      <c r="O3525" s="48" t="str">
        <f aca="false">IF($A3525="","",IF(NOT(ISNUMBER(F3525)),"Wert fehlt; ",IF(F3525&lt;=0,"Wert ist 0; ",""))&amp;IF(NOT(ISNUMBER(E3525)),"Bestand fehlt; ",IF(E3525&lt;0,"Bestand negativ; ",IF(E3525=0,"Nullbestand; ","")))&amp;IF(D3525="","Warengruppe fehlt; ","")&amp;IF(B3525="","Bezeichnung fehlt; ","")&amp;IF(COUNTIFS($A$2:$A$5001,$A3525,$C$2:$C$5001,C3525)&gt;1,"Artikel doppelt im selben Lager; ",""))</f>
        <v/>
      </c>
      <c r="P3525" s="47" t="n">
        <f aca="false">IF(OR($A3525="",D3525=""),0,IF(COUNTIF($D$2:D3525,D3525)=1,SUMIF($D$2:$D$5001,D3525,$H$2:$H$5001)+ROW()/10000000,0))</f>
        <v>0</v>
      </c>
      <c r="Q3525" s="47" t="n">
        <f aca="false">IF(OR($A3525="",C3525=""),0,IF(COUNTIF($C$2:C3525,C3525)=1,SUMIF($C$2:$C$5001,C3525,$H$2:$H$5001)+ROW()/10000000,0))</f>
        <v>0</v>
      </c>
    </row>
    <row r="3526" customFormat="false" ht="15" hidden="false" customHeight="false" outlineLevel="0" collapsed="false">
      <c r="A3526" s="43"/>
      <c r="B3526" s="44"/>
      <c r="C3526" s="44"/>
      <c r="D3526" s="44"/>
      <c r="E3526" s="44"/>
      <c r="F3526" s="44"/>
      <c r="G3526" s="44"/>
      <c r="H3526" s="46" t="str">
        <f aca="false">IF($A3526="","",IF(OR(NOT(ISNUMBER(E3526)),NOT(ISNUMBER(F3526))),"",MAX(0,E3526)*F3526))</f>
        <v/>
      </c>
      <c r="I3526" s="46" t="str">
        <f aca="false">IF($A3526="","",SUMIF($A$2:$A$5001,$A3526,$H$2:$H$5001))</f>
        <v/>
      </c>
      <c r="J3526" s="47" t="n">
        <f aca="false">IF($A3526="",0,IF(COUNTIF($A$2:A3526,$A3526)=1,1,0))</f>
        <v>0</v>
      </c>
      <c r="K3526" s="47" t="n">
        <f aca="false">IF(J3526=1,N(I3526)+ROW()/10000000,0)</f>
        <v>0</v>
      </c>
      <c r="L3526" s="47" t="str">
        <f aca="false">IF(AND(J3526=1,N(I3526)&gt;0),SUMIF($K$2:$K$5001,"&gt;="&amp;K3526,$I$2:$I$5001)/MAX(1,SUM($H$2:$H$5001)),"")</f>
        <v/>
      </c>
      <c r="M3526" s="47" t="str">
        <f aca="false">IF($A3526="","",INDEX($L$2:$L$5001,MATCH($A3526,$A$2:$A$5001,0)))</f>
        <v/>
      </c>
      <c r="N3526" s="48" t="str">
        <f aca="false">IF($A3526="","",IF(N(M3526)=0,"–",IF(M3526&lt;=Start!$D$20,"A",IF(M3526&lt;=Start!$D$21,"B","C"))))</f>
        <v/>
      </c>
      <c r="O3526" s="48" t="str">
        <f aca="false">IF($A3526="","",IF(NOT(ISNUMBER(F3526)),"Wert fehlt; ",IF(F3526&lt;=0,"Wert ist 0; ",""))&amp;IF(NOT(ISNUMBER(E3526)),"Bestand fehlt; ",IF(E3526&lt;0,"Bestand negativ; ",IF(E3526=0,"Nullbestand; ","")))&amp;IF(D3526="","Warengruppe fehlt; ","")&amp;IF(B3526="","Bezeichnung fehlt; ","")&amp;IF(COUNTIFS($A$2:$A$5001,$A3526,$C$2:$C$5001,C3526)&gt;1,"Artikel doppelt im selben Lager; ",""))</f>
        <v/>
      </c>
      <c r="P3526" s="47" t="n">
        <f aca="false">IF(OR($A3526="",D3526=""),0,IF(COUNTIF($D$2:D3526,D3526)=1,SUMIF($D$2:$D$5001,D3526,$H$2:$H$5001)+ROW()/10000000,0))</f>
        <v>0</v>
      </c>
      <c r="Q3526" s="47" t="n">
        <f aca="false">IF(OR($A3526="",C3526=""),0,IF(COUNTIF($C$2:C3526,C3526)=1,SUMIF($C$2:$C$5001,C3526,$H$2:$H$5001)+ROW()/10000000,0))</f>
        <v>0</v>
      </c>
    </row>
    <row r="3527" customFormat="false" ht="15" hidden="false" customHeight="false" outlineLevel="0" collapsed="false">
      <c r="A3527" s="43"/>
      <c r="B3527" s="44"/>
      <c r="C3527" s="44"/>
      <c r="D3527" s="44"/>
      <c r="E3527" s="44"/>
      <c r="F3527" s="44"/>
      <c r="G3527" s="44"/>
      <c r="H3527" s="46" t="str">
        <f aca="false">IF($A3527="","",IF(OR(NOT(ISNUMBER(E3527)),NOT(ISNUMBER(F3527))),"",MAX(0,E3527)*F3527))</f>
        <v/>
      </c>
      <c r="I3527" s="46" t="str">
        <f aca="false">IF($A3527="","",SUMIF($A$2:$A$5001,$A3527,$H$2:$H$5001))</f>
        <v/>
      </c>
      <c r="J3527" s="47" t="n">
        <f aca="false">IF($A3527="",0,IF(COUNTIF($A$2:A3527,$A3527)=1,1,0))</f>
        <v>0</v>
      </c>
      <c r="K3527" s="47" t="n">
        <f aca="false">IF(J3527=1,N(I3527)+ROW()/10000000,0)</f>
        <v>0</v>
      </c>
      <c r="L3527" s="47" t="str">
        <f aca="false">IF(AND(J3527=1,N(I3527)&gt;0),SUMIF($K$2:$K$5001,"&gt;="&amp;K3527,$I$2:$I$5001)/MAX(1,SUM($H$2:$H$5001)),"")</f>
        <v/>
      </c>
      <c r="M3527" s="47" t="str">
        <f aca="false">IF($A3527="","",INDEX($L$2:$L$5001,MATCH($A3527,$A$2:$A$5001,0)))</f>
        <v/>
      </c>
      <c r="N3527" s="48" t="str">
        <f aca="false">IF($A3527="","",IF(N(M3527)=0,"–",IF(M3527&lt;=Start!$D$20,"A",IF(M3527&lt;=Start!$D$21,"B","C"))))</f>
        <v/>
      </c>
      <c r="O3527" s="48" t="str">
        <f aca="false">IF($A3527="","",IF(NOT(ISNUMBER(F3527)),"Wert fehlt; ",IF(F3527&lt;=0,"Wert ist 0; ",""))&amp;IF(NOT(ISNUMBER(E3527)),"Bestand fehlt; ",IF(E3527&lt;0,"Bestand negativ; ",IF(E3527=0,"Nullbestand; ","")))&amp;IF(D3527="","Warengruppe fehlt; ","")&amp;IF(B3527="","Bezeichnung fehlt; ","")&amp;IF(COUNTIFS($A$2:$A$5001,$A3527,$C$2:$C$5001,C3527)&gt;1,"Artikel doppelt im selben Lager; ",""))</f>
        <v/>
      </c>
      <c r="P3527" s="47" t="n">
        <f aca="false">IF(OR($A3527="",D3527=""),0,IF(COUNTIF($D$2:D3527,D3527)=1,SUMIF($D$2:$D$5001,D3527,$H$2:$H$5001)+ROW()/10000000,0))</f>
        <v>0</v>
      </c>
      <c r="Q3527" s="47" t="n">
        <f aca="false">IF(OR($A3527="",C3527=""),0,IF(COUNTIF($C$2:C3527,C3527)=1,SUMIF($C$2:$C$5001,C3527,$H$2:$H$5001)+ROW()/10000000,0))</f>
        <v>0</v>
      </c>
    </row>
    <row r="3528" customFormat="false" ht="15" hidden="false" customHeight="false" outlineLevel="0" collapsed="false">
      <c r="A3528" s="43"/>
      <c r="B3528" s="44"/>
      <c r="C3528" s="44"/>
      <c r="D3528" s="44"/>
      <c r="E3528" s="44"/>
      <c r="F3528" s="44"/>
      <c r="G3528" s="44"/>
      <c r="H3528" s="46" t="str">
        <f aca="false">IF($A3528="","",IF(OR(NOT(ISNUMBER(E3528)),NOT(ISNUMBER(F3528))),"",MAX(0,E3528)*F3528))</f>
        <v/>
      </c>
      <c r="I3528" s="46" t="str">
        <f aca="false">IF($A3528="","",SUMIF($A$2:$A$5001,$A3528,$H$2:$H$5001))</f>
        <v/>
      </c>
      <c r="J3528" s="47" t="n">
        <f aca="false">IF($A3528="",0,IF(COUNTIF($A$2:A3528,$A3528)=1,1,0))</f>
        <v>0</v>
      </c>
      <c r="K3528" s="47" t="n">
        <f aca="false">IF(J3528=1,N(I3528)+ROW()/10000000,0)</f>
        <v>0</v>
      </c>
      <c r="L3528" s="47" t="str">
        <f aca="false">IF(AND(J3528=1,N(I3528)&gt;0),SUMIF($K$2:$K$5001,"&gt;="&amp;K3528,$I$2:$I$5001)/MAX(1,SUM($H$2:$H$5001)),"")</f>
        <v/>
      </c>
      <c r="M3528" s="47" t="str">
        <f aca="false">IF($A3528="","",INDEX($L$2:$L$5001,MATCH($A3528,$A$2:$A$5001,0)))</f>
        <v/>
      </c>
      <c r="N3528" s="48" t="str">
        <f aca="false">IF($A3528="","",IF(N(M3528)=0,"–",IF(M3528&lt;=Start!$D$20,"A",IF(M3528&lt;=Start!$D$21,"B","C"))))</f>
        <v/>
      </c>
      <c r="O3528" s="48" t="str">
        <f aca="false">IF($A3528="","",IF(NOT(ISNUMBER(F3528)),"Wert fehlt; ",IF(F3528&lt;=0,"Wert ist 0; ",""))&amp;IF(NOT(ISNUMBER(E3528)),"Bestand fehlt; ",IF(E3528&lt;0,"Bestand negativ; ",IF(E3528=0,"Nullbestand; ","")))&amp;IF(D3528="","Warengruppe fehlt; ","")&amp;IF(B3528="","Bezeichnung fehlt; ","")&amp;IF(COUNTIFS($A$2:$A$5001,$A3528,$C$2:$C$5001,C3528)&gt;1,"Artikel doppelt im selben Lager; ",""))</f>
        <v/>
      </c>
      <c r="P3528" s="47" t="n">
        <f aca="false">IF(OR($A3528="",D3528=""),0,IF(COUNTIF($D$2:D3528,D3528)=1,SUMIF($D$2:$D$5001,D3528,$H$2:$H$5001)+ROW()/10000000,0))</f>
        <v>0</v>
      </c>
      <c r="Q3528" s="47" t="n">
        <f aca="false">IF(OR($A3528="",C3528=""),0,IF(COUNTIF($C$2:C3528,C3528)=1,SUMIF($C$2:$C$5001,C3528,$H$2:$H$5001)+ROW()/10000000,0))</f>
        <v>0</v>
      </c>
    </row>
    <row r="3529" customFormat="false" ht="15" hidden="false" customHeight="false" outlineLevel="0" collapsed="false">
      <c r="A3529" s="43"/>
      <c r="B3529" s="44"/>
      <c r="C3529" s="44"/>
      <c r="D3529" s="44"/>
      <c r="E3529" s="44"/>
      <c r="F3529" s="44"/>
      <c r="G3529" s="44"/>
      <c r="H3529" s="46" t="str">
        <f aca="false">IF($A3529="","",IF(OR(NOT(ISNUMBER(E3529)),NOT(ISNUMBER(F3529))),"",MAX(0,E3529)*F3529))</f>
        <v/>
      </c>
      <c r="I3529" s="46" t="str">
        <f aca="false">IF($A3529="","",SUMIF($A$2:$A$5001,$A3529,$H$2:$H$5001))</f>
        <v/>
      </c>
      <c r="J3529" s="47" t="n">
        <f aca="false">IF($A3529="",0,IF(COUNTIF($A$2:A3529,$A3529)=1,1,0))</f>
        <v>0</v>
      </c>
      <c r="K3529" s="47" t="n">
        <f aca="false">IF(J3529=1,N(I3529)+ROW()/10000000,0)</f>
        <v>0</v>
      </c>
      <c r="L3529" s="47" t="str">
        <f aca="false">IF(AND(J3529=1,N(I3529)&gt;0),SUMIF($K$2:$K$5001,"&gt;="&amp;K3529,$I$2:$I$5001)/MAX(1,SUM($H$2:$H$5001)),"")</f>
        <v/>
      </c>
      <c r="M3529" s="47" t="str">
        <f aca="false">IF($A3529="","",INDEX($L$2:$L$5001,MATCH($A3529,$A$2:$A$5001,0)))</f>
        <v/>
      </c>
      <c r="N3529" s="48" t="str">
        <f aca="false">IF($A3529="","",IF(N(M3529)=0,"–",IF(M3529&lt;=Start!$D$20,"A",IF(M3529&lt;=Start!$D$21,"B","C"))))</f>
        <v/>
      </c>
      <c r="O3529" s="48" t="str">
        <f aca="false">IF($A3529="","",IF(NOT(ISNUMBER(F3529)),"Wert fehlt; ",IF(F3529&lt;=0,"Wert ist 0; ",""))&amp;IF(NOT(ISNUMBER(E3529)),"Bestand fehlt; ",IF(E3529&lt;0,"Bestand negativ; ",IF(E3529=0,"Nullbestand; ","")))&amp;IF(D3529="","Warengruppe fehlt; ","")&amp;IF(B3529="","Bezeichnung fehlt; ","")&amp;IF(COUNTIFS($A$2:$A$5001,$A3529,$C$2:$C$5001,C3529)&gt;1,"Artikel doppelt im selben Lager; ",""))</f>
        <v/>
      </c>
      <c r="P3529" s="47" t="n">
        <f aca="false">IF(OR($A3529="",D3529=""),0,IF(COUNTIF($D$2:D3529,D3529)=1,SUMIF($D$2:$D$5001,D3529,$H$2:$H$5001)+ROW()/10000000,0))</f>
        <v>0</v>
      </c>
      <c r="Q3529" s="47" t="n">
        <f aca="false">IF(OR($A3529="",C3529=""),0,IF(COUNTIF($C$2:C3529,C3529)=1,SUMIF($C$2:$C$5001,C3529,$H$2:$H$5001)+ROW()/10000000,0))</f>
        <v>0</v>
      </c>
    </row>
    <row r="3530" customFormat="false" ht="15" hidden="false" customHeight="false" outlineLevel="0" collapsed="false">
      <c r="A3530" s="43"/>
      <c r="B3530" s="44"/>
      <c r="C3530" s="44"/>
      <c r="D3530" s="44"/>
      <c r="E3530" s="44"/>
      <c r="F3530" s="44"/>
      <c r="G3530" s="44"/>
      <c r="H3530" s="46" t="str">
        <f aca="false">IF($A3530="","",IF(OR(NOT(ISNUMBER(E3530)),NOT(ISNUMBER(F3530))),"",MAX(0,E3530)*F3530))</f>
        <v/>
      </c>
      <c r="I3530" s="46" t="str">
        <f aca="false">IF($A3530="","",SUMIF($A$2:$A$5001,$A3530,$H$2:$H$5001))</f>
        <v/>
      </c>
      <c r="J3530" s="47" t="n">
        <f aca="false">IF($A3530="",0,IF(COUNTIF($A$2:A3530,$A3530)=1,1,0))</f>
        <v>0</v>
      </c>
      <c r="K3530" s="47" t="n">
        <f aca="false">IF(J3530=1,N(I3530)+ROW()/10000000,0)</f>
        <v>0</v>
      </c>
      <c r="L3530" s="47" t="str">
        <f aca="false">IF(AND(J3530=1,N(I3530)&gt;0),SUMIF($K$2:$K$5001,"&gt;="&amp;K3530,$I$2:$I$5001)/MAX(1,SUM($H$2:$H$5001)),"")</f>
        <v/>
      </c>
      <c r="M3530" s="47" t="str">
        <f aca="false">IF($A3530="","",INDEX($L$2:$L$5001,MATCH($A3530,$A$2:$A$5001,0)))</f>
        <v/>
      </c>
      <c r="N3530" s="48" t="str">
        <f aca="false">IF($A3530="","",IF(N(M3530)=0,"–",IF(M3530&lt;=Start!$D$20,"A",IF(M3530&lt;=Start!$D$21,"B","C"))))</f>
        <v/>
      </c>
      <c r="O3530" s="48" t="str">
        <f aca="false">IF($A3530="","",IF(NOT(ISNUMBER(F3530)),"Wert fehlt; ",IF(F3530&lt;=0,"Wert ist 0; ",""))&amp;IF(NOT(ISNUMBER(E3530)),"Bestand fehlt; ",IF(E3530&lt;0,"Bestand negativ; ",IF(E3530=0,"Nullbestand; ","")))&amp;IF(D3530="","Warengruppe fehlt; ","")&amp;IF(B3530="","Bezeichnung fehlt; ","")&amp;IF(COUNTIFS($A$2:$A$5001,$A3530,$C$2:$C$5001,C3530)&gt;1,"Artikel doppelt im selben Lager; ",""))</f>
        <v/>
      </c>
      <c r="P3530" s="47" t="n">
        <f aca="false">IF(OR($A3530="",D3530=""),0,IF(COUNTIF($D$2:D3530,D3530)=1,SUMIF($D$2:$D$5001,D3530,$H$2:$H$5001)+ROW()/10000000,0))</f>
        <v>0</v>
      </c>
      <c r="Q3530" s="47" t="n">
        <f aca="false">IF(OR($A3530="",C3530=""),0,IF(COUNTIF($C$2:C3530,C3530)=1,SUMIF($C$2:$C$5001,C3530,$H$2:$H$5001)+ROW()/10000000,0))</f>
        <v>0</v>
      </c>
    </row>
    <row r="3531" customFormat="false" ht="15" hidden="false" customHeight="false" outlineLevel="0" collapsed="false">
      <c r="A3531" s="43"/>
      <c r="B3531" s="44"/>
      <c r="C3531" s="44"/>
      <c r="D3531" s="44"/>
      <c r="E3531" s="44"/>
      <c r="F3531" s="44"/>
      <c r="G3531" s="44"/>
      <c r="H3531" s="46" t="str">
        <f aca="false">IF($A3531="","",IF(OR(NOT(ISNUMBER(E3531)),NOT(ISNUMBER(F3531))),"",MAX(0,E3531)*F3531))</f>
        <v/>
      </c>
      <c r="I3531" s="46" t="str">
        <f aca="false">IF($A3531="","",SUMIF($A$2:$A$5001,$A3531,$H$2:$H$5001))</f>
        <v/>
      </c>
      <c r="J3531" s="47" t="n">
        <f aca="false">IF($A3531="",0,IF(COUNTIF($A$2:A3531,$A3531)=1,1,0))</f>
        <v>0</v>
      </c>
      <c r="K3531" s="47" t="n">
        <f aca="false">IF(J3531=1,N(I3531)+ROW()/10000000,0)</f>
        <v>0</v>
      </c>
      <c r="L3531" s="47" t="str">
        <f aca="false">IF(AND(J3531=1,N(I3531)&gt;0),SUMIF($K$2:$K$5001,"&gt;="&amp;K3531,$I$2:$I$5001)/MAX(1,SUM($H$2:$H$5001)),"")</f>
        <v/>
      </c>
      <c r="M3531" s="47" t="str">
        <f aca="false">IF($A3531="","",INDEX($L$2:$L$5001,MATCH($A3531,$A$2:$A$5001,0)))</f>
        <v/>
      </c>
      <c r="N3531" s="48" t="str">
        <f aca="false">IF($A3531="","",IF(N(M3531)=0,"–",IF(M3531&lt;=Start!$D$20,"A",IF(M3531&lt;=Start!$D$21,"B","C"))))</f>
        <v/>
      </c>
      <c r="O3531" s="48" t="str">
        <f aca="false">IF($A3531="","",IF(NOT(ISNUMBER(F3531)),"Wert fehlt; ",IF(F3531&lt;=0,"Wert ist 0; ",""))&amp;IF(NOT(ISNUMBER(E3531)),"Bestand fehlt; ",IF(E3531&lt;0,"Bestand negativ; ",IF(E3531=0,"Nullbestand; ","")))&amp;IF(D3531="","Warengruppe fehlt; ","")&amp;IF(B3531="","Bezeichnung fehlt; ","")&amp;IF(COUNTIFS($A$2:$A$5001,$A3531,$C$2:$C$5001,C3531)&gt;1,"Artikel doppelt im selben Lager; ",""))</f>
        <v/>
      </c>
      <c r="P3531" s="47" t="n">
        <f aca="false">IF(OR($A3531="",D3531=""),0,IF(COUNTIF($D$2:D3531,D3531)=1,SUMIF($D$2:$D$5001,D3531,$H$2:$H$5001)+ROW()/10000000,0))</f>
        <v>0</v>
      </c>
      <c r="Q3531" s="47" t="n">
        <f aca="false">IF(OR($A3531="",C3531=""),0,IF(COUNTIF($C$2:C3531,C3531)=1,SUMIF($C$2:$C$5001,C3531,$H$2:$H$5001)+ROW()/10000000,0))</f>
        <v>0</v>
      </c>
    </row>
    <row r="3532" customFormat="false" ht="15" hidden="false" customHeight="false" outlineLevel="0" collapsed="false">
      <c r="A3532" s="43"/>
      <c r="B3532" s="44"/>
      <c r="C3532" s="44"/>
      <c r="D3532" s="44"/>
      <c r="E3532" s="44"/>
      <c r="F3532" s="44"/>
      <c r="G3532" s="44"/>
      <c r="H3532" s="46" t="str">
        <f aca="false">IF($A3532="","",IF(OR(NOT(ISNUMBER(E3532)),NOT(ISNUMBER(F3532))),"",MAX(0,E3532)*F3532))</f>
        <v/>
      </c>
      <c r="I3532" s="46" t="str">
        <f aca="false">IF($A3532="","",SUMIF($A$2:$A$5001,$A3532,$H$2:$H$5001))</f>
        <v/>
      </c>
      <c r="J3532" s="47" t="n">
        <f aca="false">IF($A3532="",0,IF(COUNTIF($A$2:A3532,$A3532)=1,1,0))</f>
        <v>0</v>
      </c>
      <c r="K3532" s="47" t="n">
        <f aca="false">IF(J3532=1,N(I3532)+ROW()/10000000,0)</f>
        <v>0</v>
      </c>
      <c r="L3532" s="47" t="str">
        <f aca="false">IF(AND(J3532=1,N(I3532)&gt;0),SUMIF($K$2:$K$5001,"&gt;="&amp;K3532,$I$2:$I$5001)/MAX(1,SUM($H$2:$H$5001)),"")</f>
        <v/>
      </c>
      <c r="M3532" s="47" t="str">
        <f aca="false">IF($A3532="","",INDEX($L$2:$L$5001,MATCH($A3532,$A$2:$A$5001,0)))</f>
        <v/>
      </c>
      <c r="N3532" s="48" t="str">
        <f aca="false">IF($A3532="","",IF(N(M3532)=0,"–",IF(M3532&lt;=Start!$D$20,"A",IF(M3532&lt;=Start!$D$21,"B","C"))))</f>
        <v/>
      </c>
      <c r="O3532" s="48" t="str">
        <f aca="false">IF($A3532="","",IF(NOT(ISNUMBER(F3532)),"Wert fehlt; ",IF(F3532&lt;=0,"Wert ist 0; ",""))&amp;IF(NOT(ISNUMBER(E3532)),"Bestand fehlt; ",IF(E3532&lt;0,"Bestand negativ; ",IF(E3532=0,"Nullbestand; ","")))&amp;IF(D3532="","Warengruppe fehlt; ","")&amp;IF(B3532="","Bezeichnung fehlt; ","")&amp;IF(COUNTIFS($A$2:$A$5001,$A3532,$C$2:$C$5001,C3532)&gt;1,"Artikel doppelt im selben Lager; ",""))</f>
        <v/>
      </c>
      <c r="P3532" s="47" t="n">
        <f aca="false">IF(OR($A3532="",D3532=""),0,IF(COUNTIF($D$2:D3532,D3532)=1,SUMIF($D$2:$D$5001,D3532,$H$2:$H$5001)+ROW()/10000000,0))</f>
        <v>0</v>
      </c>
      <c r="Q3532" s="47" t="n">
        <f aca="false">IF(OR($A3532="",C3532=""),0,IF(COUNTIF($C$2:C3532,C3532)=1,SUMIF($C$2:$C$5001,C3532,$H$2:$H$5001)+ROW()/10000000,0))</f>
        <v>0</v>
      </c>
    </row>
    <row r="3533" customFormat="false" ht="15" hidden="false" customHeight="false" outlineLevel="0" collapsed="false">
      <c r="A3533" s="43"/>
      <c r="B3533" s="44"/>
      <c r="C3533" s="44"/>
      <c r="D3533" s="44"/>
      <c r="E3533" s="44"/>
      <c r="F3533" s="44"/>
      <c r="G3533" s="44"/>
      <c r="H3533" s="46" t="str">
        <f aca="false">IF($A3533="","",IF(OR(NOT(ISNUMBER(E3533)),NOT(ISNUMBER(F3533))),"",MAX(0,E3533)*F3533))</f>
        <v/>
      </c>
      <c r="I3533" s="46" t="str">
        <f aca="false">IF($A3533="","",SUMIF($A$2:$A$5001,$A3533,$H$2:$H$5001))</f>
        <v/>
      </c>
      <c r="J3533" s="47" t="n">
        <f aca="false">IF($A3533="",0,IF(COUNTIF($A$2:A3533,$A3533)=1,1,0))</f>
        <v>0</v>
      </c>
      <c r="K3533" s="47" t="n">
        <f aca="false">IF(J3533=1,N(I3533)+ROW()/10000000,0)</f>
        <v>0</v>
      </c>
      <c r="L3533" s="47" t="str">
        <f aca="false">IF(AND(J3533=1,N(I3533)&gt;0),SUMIF($K$2:$K$5001,"&gt;="&amp;K3533,$I$2:$I$5001)/MAX(1,SUM($H$2:$H$5001)),"")</f>
        <v/>
      </c>
      <c r="M3533" s="47" t="str">
        <f aca="false">IF($A3533="","",INDEX($L$2:$L$5001,MATCH($A3533,$A$2:$A$5001,0)))</f>
        <v/>
      </c>
      <c r="N3533" s="48" t="str">
        <f aca="false">IF($A3533="","",IF(N(M3533)=0,"–",IF(M3533&lt;=Start!$D$20,"A",IF(M3533&lt;=Start!$D$21,"B","C"))))</f>
        <v/>
      </c>
      <c r="O3533" s="48" t="str">
        <f aca="false">IF($A3533="","",IF(NOT(ISNUMBER(F3533)),"Wert fehlt; ",IF(F3533&lt;=0,"Wert ist 0; ",""))&amp;IF(NOT(ISNUMBER(E3533)),"Bestand fehlt; ",IF(E3533&lt;0,"Bestand negativ; ",IF(E3533=0,"Nullbestand; ","")))&amp;IF(D3533="","Warengruppe fehlt; ","")&amp;IF(B3533="","Bezeichnung fehlt; ","")&amp;IF(COUNTIFS($A$2:$A$5001,$A3533,$C$2:$C$5001,C3533)&gt;1,"Artikel doppelt im selben Lager; ",""))</f>
        <v/>
      </c>
      <c r="P3533" s="47" t="n">
        <f aca="false">IF(OR($A3533="",D3533=""),0,IF(COUNTIF($D$2:D3533,D3533)=1,SUMIF($D$2:$D$5001,D3533,$H$2:$H$5001)+ROW()/10000000,0))</f>
        <v>0</v>
      </c>
      <c r="Q3533" s="47" t="n">
        <f aca="false">IF(OR($A3533="",C3533=""),0,IF(COUNTIF($C$2:C3533,C3533)=1,SUMIF($C$2:$C$5001,C3533,$H$2:$H$5001)+ROW()/10000000,0))</f>
        <v>0</v>
      </c>
    </row>
    <row r="3534" customFormat="false" ht="15" hidden="false" customHeight="false" outlineLevel="0" collapsed="false">
      <c r="A3534" s="43"/>
      <c r="B3534" s="44"/>
      <c r="C3534" s="44"/>
      <c r="D3534" s="44"/>
      <c r="E3534" s="44"/>
      <c r="F3534" s="44"/>
      <c r="G3534" s="44"/>
      <c r="H3534" s="46" t="str">
        <f aca="false">IF($A3534="","",IF(OR(NOT(ISNUMBER(E3534)),NOT(ISNUMBER(F3534))),"",MAX(0,E3534)*F3534))</f>
        <v/>
      </c>
      <c r="I3534" s="46" t="str">
        <f aca="false">IF($A3534="","",SUMIF($A$2:$A$5001,$A3534,$H$2:$H$5001))</f>
        <v/>
      </c>
      <c r="J3534" s="47" t="n">
        <f aca="false">IF($A3534="",0,IF(COUNTIF($A$2:A3534,$A3534)=1,1,0))</f>
        <v>0</v>
      </c>
      <c r="K3534" s="47" t="n">
        <f aca="false">IF(J3534=1,N(I3534)+ROW()/10000000,0)</f>
        <v>0</v>
      </c>
      <c r="L3534" s="47" t="str">
        <f aca="false">IF(AND(J3534=1,N(I3534)&gt;0),SUMIF($K$2:$K$5001,"&gt;="&amp;K3534,$I$2:$I$5001)/MAX(1,SUM($H$2:$H$5001)),"")</f>
        <v/>
      </c>
      <c r="M3534" s="47" t="str">
        <f aca="false">IF($A3534="","",INDEX($L$2:$L$5001,MATCH($A3534,$A$2:$A$5001,0)))</f>
        <v/>
      </c>
      <c r="N3534" s="48" t="str">
        <f aca="false">IF($A3534="","",IF(N(M3534)=0,"–",IF(M3534&lt;=Start!$D$20,"A",IF(M3534&lt;=Start!$D$21,"B","C"))))</f>
        <v/>
      </c>
      <c r="O3534" s="48" t="str">
        <f aca="false">IF($A3534="","",IF(NOT(ISNUMBER(F3534)),"Wert fehlt; ",IF(F3534&lt;=0,"Wert ist 0; ",""))&amp;IF(NOT(ISNUMBER(E3534)),"Bestand fehlt; ",IF(E3534&lt;0,"Bestand negativ; ",IF(E3534=0,"Nullbestand; ","")))&amp;IF(D3534="","Warengruppe fehlt; ","")&amp;IF(B3534="","Bezeichnung fehlt; ","")&amp;IF(COUNTIFS($A$2:$A$5001,$A3534,$C$2:$C$5001,C3534)&gt;1,"Artikel doppelt im selben Lager; ",""))</f>
        <v/>
      </c>
      <c r="P3534" s="47" t="n">
        <f aca="false">IF(OR($A3534="",D3534=""),0,IF(COUNTIF($D$2:D3534,D3534)=1,SUMIF($D$2:$D$5001,D3534,$H$2:$H$5001)+ROW()/10000000,0))</f>
        <v>0</v>
      </c>
      <c r="Q3534" s="47" t="n">
        <f aca="false">IF(OR($A3534="",C3534=""),0,IF(COUNTIF($C$2:C3534,C3534)=1,SUMIF($C$2:$C$5001,C3534,$H$2:$H$5001)+ROW()/10000000,0))</f>
        <v>0</v>
      </c>
    </row>
    <row r="3535" customFormat="false" ht="15" hidden="false" customHeight="false" outlineLevel="0" collapsed="false">
      <c r="A3535" s="43"/>
      <c r="B3535" s="44"/>
      <c r="C3535" s="44"/>
      <c r="D3535" s="44"/>
      <c r="E3535" s="44"/>
      <c r="F3535" s="44"/>
      <c r="G3535" s="44"/>
      <c r="H3535" s="46" t="str">
        <f aca="false">IF($A3535="","",IF(OR(NOT(ISNUMBER(E3535)),NOT(ISNUMBER(F3535))),"",MAX(0,E3535)*F3535))</f>
        <v/>
      </c>
      <c r="I3535" s="46" t="str">
        <f aca="false">IF($A3535="","",SUMIF($A$2:$A$5001,$A3535,$H$2:$H$5001))</f>
        <v/>
      </c>
      <c r="J3535" s="47" t="n">
        <f aca="false">IF($A3535="",0,IF(COUNTIF($A$2:A3535,$A3535)=1,1,0))</f>
        <v>0</v>
      </c>
      <c r="K3535" s="47" t="n">
        <f aca="false">IF(J3535=1,N(I3535)+ROW()/10000000,0)</f>
        <v>0</v>
      </c>
      <c r="L3535" s="47" t="str">
        <f aca="false">IF(AND(J3535=1,N(I3535)&gt;0),SUMIF($K$2:$K$5001,"&gt;="&amp;K3535,$I$2:$I$5001)/MAX(1,SUM($H$2:$H$5001)),"")</f>
        <v/>
      </c>
      <c r="M3535" s="47" t="str">
        <f aca="false">IF($A3535="","",INDEX($L$2:$L$5001,MATCH($A3535,$A$2:$A$5001,0)))</f>
        <v/>
      </c>
      <c r="N3535" s="48" t="str">
        <f aca="false">IF($A3535="","",IF(N(M3535)=0,"–",IF(M3535&lt;=Start!$D$20,"A",IF(M3535&lt;=Start!$D$21,"B","C"))))</f>
        <v/>
      </c>
      <c r="O3535" s="48" t="str">
        <f aca="false">IF($A3535="","",IF(NOT(ISNUMBER(F3535)),"Wert fehlt; ",IF(F3535&lt;=0,"Wert ist 0; ",""))&amp;IF(NOT(ISNUMBER(E3535)),"Bestand fehlt; ",IF(E3535&lt;0,"Bestand negativ; ",IF(E3535=0,"Nullbestand; ","")))&amp;IF(D3535="","Warengruppe fehlt; ","")&amp;IF(B3535="","Bezeichnung fehlt; ","")&amp;IF(COUNTIFS($A$2:$A$5001,$A3535,$C$2:$C$5001,C3535)&gt;1,"Artikel doppelt im selben Lager; ",""))</f>
        <v/>
      </c>
      <c r="P3535" s="47" t="n">
        <f aca="false">IF(OR($A3535="",D3535=""),0,IF(COUNTIF($D$2:D3535,D3535)=1,SUMIF($D$2:$D$5001,D3535,$H$2:$H$5001)+ROW()/10000000,0))</f>
        <v>0</v>
      </c>
      <c r="Q3535" s="47" t="n">
        <f aca="false">IF(OR($A3535="",C3535=""),0,IF(COUNTIF($C$2:C3535,C3535)=1,SUMIF($C$2:$C$5001,C3535,$H$2:$H$5001)+ROW()/10000000,0))</f>
        <v>0</v>
      </c>
    </row>
    <row r="3536" customFormat="false" ht="15" hidden="false" customHeight="false" outlineLevel="0" collapsed="false">
      <c r="A3536" s="43"/>
      <c r="B3536" s="44"/>
      <c r="C3536" s="44"/>
      <c r="D3536" s="44"/>
      <c r="E3536" s="44"/>
      <c r="F3536" s="44"/>
      <c r="G3536" s="44"/>
      <c r="H3536" s="46" t="str">
        <f aca="false">IF($A3536="","",IF(OR(NOT(ISNUMBER(E3536)),NOT(ISNUMBER(F3536))),"",MAX(0,E3536)*F3536))</f>
        <v/>
      </c>
      <c r="I3536" s="46" t="str">
        <f aca="false">IF($A3536="","",SUMIF($A$2:$A$5001,$A3536,$H$2:$H$5001))</f>
        <v/>
      </c>
      <c r="J3536" s="47" t="n">
        <f aca="false">IF($A3536="",0,IF(COUNTIF($A$2:A3536,$A3536)=1,1,0))</f>
        <v>0</v>
      </c>
      <c r="K3536" s="47" t="n">
        <f aca="false">IF(J3536=1,N(I3536)+ROW()/10000000,0)</f>
        <v>0</v>
      </c>
      <c r="L3536" s="47" t="str">
        <f aca="false">IF(AND(J3536=1,N(I3536)&gt;0),SUMIF($K$2:$K$5001,"&gt;="&amp;K3536,$I$2:$I$5001)/MAX(1,SUM($H$2:$H$5001)),"")</f>
        <v/>
      </c>
      <c r="M3536" s="47" t="str">
        <f aca="false">IF($A3536="","",INDEX($L$2:$L$5001,MATCH($A3536,$A$2:$A$5001,0)))</f>
        <v/>
      </c>
      <c r="N3536" s="48" t="str">
        <f aca="false">IF($A3536="","",IF(N(M3536)=0,"–",IF(M3536&lt;=Start!$D$20,"A",IF(M3536&lt;=Start!$D$21,"B","C"))))</f>
        <v/>
      </c>
      <c r="O3536" s="48" t="str">
        <f aca="false">IF($A3536="","",IF(NOT(ISNUMBER(F3536)),"Wert fehlt; ",IF(F3536&lt;=0,"Wert ist 0; ",""))&amp;IF(NOT(ISNUMBER(E3536)),"Bestand fehlt; ",IF(E3536&lt;0,"Bestand negativ; ",IF(E3536=0,"Nullbestand; ","")))&amp;IF(D3536="","Warengruppe fehlt; ","")&amp;IF(B3536="","Bezeichnung fehlt; ","")&amp;IF(COUNTIFS($A$2:$A$5001,$A3536,$C$2:$C$5001,C3536)&gt;1,"Artikel doppelt im selben Lager; ",""))</f>
        <v/>
      </c>
      <c r="P3536" s="47" t="n">
        <f aca="false">IF(OR($A3536="",D3536=""),0,IF(COUNTIF($D$2:D3536,D3536)=1,SUMIF($D$2:$D$5001,D3536,$H$2:$H$5001)+ROW()/10000000,0))</f>
        <v>0</v>
      </c>
      <c r="Q3536" s="47" t="n">
        <f aca="false">IF(OR($A3536="",C3536=""),0,IF(COUNTIF($C$2:C3536,C3536)=1,SUMIF($C$2:$C$5001,C3536,$H$2:$H$5001)+ROW()/10000000,0))</f>
        <v>0</v>
      </c>
    </row>
    <row r="3537" customFormat="false" ht="15" hidden="false" customHeight="false" outlineLevel="0" collapsed="false">
      <c r="A3537" s="43"/>
      <c r="B3537" s="44"/>
      <c r="C3537" s="44"/>
      <c r="D3537" s="44"/>
      <c r="E3537" s="44"/>
      <c r="F3537" s="44"/>
      <c r="G3537" s="44"/>
      <c r="H3537" s="46" t="str">
        <f aca="false">IF($A3537="","",IF(OR(NOT(ISNUMBER(E3537)),NOT(ISNUMBER(F3537))),"",MAX(0,E3537)*F3537))</f>
        <v/>
      </c>
      <c r="I3537" s="46" t="str">
        <f aca="false">IF($A3537="","",SUMIF($A$2:$A$5001,$A3537,$H$2:$H$5001))</f>
        <v/>
      </c>
      <c r="J3537" s="47" t="n">
        <f aca="false">IF($A3537="",0,IF(COUNTIF($A$2:A3537,$A3537)=1,1,0))</f>
        <v>0</v>
      </c>
      <c r="K3537" s="47" t="n">
        <f aca="false">IF(J3537=1,N(I3537)+ROW()/10000000,0)</f>
        <v>0</v>
      </c>
      <c r="L3537" s="47" t="str">
        <f aca="false">IF(AND(J3537=1,N(I3537)&gt;0),SUMIF($K$2:$K$5001,"&gt;="&amp;K3537,$I$2:$I$5001)/MAX(1,SUM($H$2:$H$5001)),"")</f>
        <v/>
      </c>
      <c r="M3537" s="47" t="str">
        <f aca="false">IF($A3537="","",INDEX($L$2:$L$5001,MATCH($A3537,$A$2:$A$5001,0)))</f>
        <v/>
      </c>
      <c r="N3537" s="48" t="str">
        <f aca="false">IF($A3537="","",IF(N(M3537)=0,"–",IF(M3537&lt;=Start!$D$20,"A",IF(M3537&lt;=Start!$D$21,"B","C"))))</f>
        <v/>
      </c>
      <c r="O3537" s="48" t="str">
        <f aca="false">IF($A3537="","",IF(NOT(ISNUMBER(F3537)),"Wert fehlt; ",IF(F3537&lt;=0,"Wert ist 0; ",""))&amp;IF(NOT(ISNUMBER(E3537)),"Bestand fehlt; ",IF(E3537&lt;0,"Bestand negativ; ",IF(E3537=0,"Nullbestand; ","")))&amp;IF(D3537="","Warengruppe fehlt; ","")&amp;IF(B3537="","Bezeichnung fehlt; ","")&amp;IF(COUNTIFS($A$2:$A$5001,$A3537,$C$2:$C$5001,C3537)&gt;1,"Artikel doppelt im selben Lager; ",""))</f>
        <v/>
      </c>
      <c r="P3537" s="47" t="n">
        <f aca="false">IF(OR($A3537="",D3537=""),0,IF(COUNTIF($D$2:D3537,D3537)=1,SUMIF($D$2:$D$5001,D3537,$H$2:$H$5001)+ROW()/10000000,0))</f>
        <v>0</v>
      </c>
      <c r="Q3537" s="47" t="n">
        <f aca="false">IF(OR($A3537="",C3537=""),0,IF(COUNTIF($C$2:C3537,C3537)=1,SUMIF($C$2:$C$5001,C3537,$H$2:$H$5001)+ROW()/10000000,0))</f>
        <v>0</v>
      </c>
    </row>
    <row r="3538" customFormat="false" ht="15" hidden="false" customHeight="false" outlineLevel="0" collapsed="false">
      <c r="A3538" s="43"/>
      <c r="B3538" s="44"/>
      <c r="C3538" s="44"/>
      <c r="D3538" s="44"/>
      <c r="E3538" s="44"/>
      <c r="F3538" s="44"/>
      <c r="G3538" s="44"/>
      <c r="H3538" s="46" t="str">
        <f aca="false">IF($A3538="","",IF(OR(NOT(ISNUMBER(E3538)),NOT(ISNUMBER(F3538))),"",MAX(0,E3538)*F3538))</f>
        <v/>
      </c>
      <c r="I3538" s="46" t="str">
        <f aca="false">IF($A3538="","",SUMIF($A$2:$A$5001,$A3538,$H$2:$H$5001))</f>
        <v/>
      </c>
      <c r="J3538" s="47" t="n">
        <f aca="false">IF($A3538="",0,IF(COUNTIF($A$2:A3538,$A3538)=1,1,0))</f>
        <v>0</v>
      </c>
      <c r="K3538" s="47" t="n">
        <f aca="false">IF(J3538=1,N(I3538)+ROW()/10000000,0)</f>
        <v>0</v>
      </c>
      <c r="L3538" s="47" t="str">
        <f aca="false">IF(AND(J3538=1,N(I3538)&gt;0),SUMIF($K$2:$K$5001,"&gt;="&amp;K3538,$I$2:$I$5001)/MAX(1,SUM($H$2:$H$5001)),"")</f>
        <v/>
      </c>
      <c r="M3538" s="47" t="str">
        <f aca="false">IF($A3538="","",INDEX($L$2:$L$5001,MATCH($A3538,$A$2:$A$5001,0)))</f>
        <v/>
      </c>
      <c r="N3538" s="48" t="str">
        <f aca="false">IF($A3538="","",IF(N(M3538)=0,"–",IF(M3538&lt;=Start!$D$20,"A",IF(M3538&lt;=Start!$D$21,"B","C"))))</f>
        <v/>
      </c>
      <c r="O3538" s="48" t="str">
        <f aca="false">IF($A3538="","",IF(NOT(ISNUMBER(F3538)),"Wert fehlt; ",IF(F3538&lt;=0,"Wert ist 0; ",""))&amp;IF(NOT(ISNUMBER(E3538)),"Bestand fehlt; ",IF(E3538&lt;0,"Bestand negativ; ",IF(E3538=0,"Nullbestand; ","")))&amp;IF(D3538="","Warengruppe fehlt; ","")&amp;IF(B3538="","Bezeichnung fehlt; ","")&amp;IF(COUNTIFS($A$2:$A$5001,$A3538,$C$2:$C$5001,C3538)&gt;1,"Artikel doppelt im selben Lager; ",""))</f>
        <v/>
      </c>
      <c r="P3538" s="47" t="n">
        <f aca="false">IF(OR($A3538="",D3538=""),0,IF(COUNTIF($D$2:D3538,D3538)=1,SUMIF($D$2:$D$5001,D3538,$H$2:$H$5001)+ROW()/10000000,0))</f>
        <v>0</v>
      </c>
      <c r="Q3538" s="47" t="n">
        <f aca="false">IF(OR($A3538="",C3538=""),0,IF(COUNTIF($C$2:C3538,C3538)=1,SUMIF($C$2:$C$5001,C3538,$H$2:$H$5001)+ROW()/10000000,0))</f>
        <v>0</v>
      </c>
    </row>
    <row r="3539" customFormat="false" ht="15" hidden="false" customHeight="false" outlineLevel="0" collapsed="false">
      <c r="A3539" s="43"/>
      <c r="B3539" s="44"/>
      <c r="C3539" s="44"/>
      <c r="D3539" s="44"/>
      <c r="E3539" s="44"/>
      <c r="F3539" s="44"/>
      <c r="G3539" s="44"/>
      <c r="H3539" s="46" t="str">
        <f aca="false">IF($A3539="","",IF(OR(NOT(ISNUMBER(E3539)),NOT(ISNUMBER(F3539))),"",MAX(0,E3539)*F3539))</f>
        <v/>
      </c>
      <c r="I3539" s="46" t="str">
        <f aca="false">IF($A3539="","",SUMIF($A$2:$A$5001,$A3539,$H$2:$H$5001))</f>
        <v/>
      </c>
      <c r="J3539" s="47" t="n">
        <f aca="false">IF($A3539="",0,IF(COUNTIF($A$2:A3539,$A3539)=1,1,0))</f>
        <v>0</v>
      </c>
      <c r="K3539" s="47" t="n">
        <f aca="false">IF(J3539=1,N(I3539)+ROW()/10000000,0)</f>
        <v>0</v>
      </c>
      <c r="L3539" s="47" t="str">
        <f aca="false">IF(AND(J3539=1,N(I3539)&gt;0),SUMIF($K$2:$K$5001,"&gt;="&amp;K3539,$I$2:$I$5001)/MAX(1,SUM($H$2:$H$5001)),"")</f>
        <v/>
      </c>
      <c r="M3539" s="47" t="str">
        <f aca="false">IF($A3539="","",INDEX($L$2:$L$5001,MATCH($A3539,$A$2:$A$5001,0)))</f>
        <v/>
      </c>
      <c r="N3539" s="48" t="str">
        <f aca="false">IF($A3539="","",IF(N(M3539)=0,"–",IF(M3539&lt;=Start!$D$20,"A",IF(M3539&lt;=Start!$D$21,"B","C"))))</f>
        <v/>
      </c>
      <c r="O3539" s="48" t="str">
        <f aca="false">IF($A3539="","",IF(NOT(ISNUMBER(F3539)),"Wert fehlt; ",IF(F3539&lt;=0,"Wert ist 0; ",""))&amp;IF(NOT(ISNUMBER(E3539)),"Bestand fehlt; ",IF(E3539&lt;0,"Bestand negativ; ",IF(E3539=0,"Nullbestand; ","")))&amp;IF(D3539="","Warengruppe fehlt; ","")&amp;IF(B3539="","Bezeichnung fehlt; ","")&amp;IF(COUNTIFS($A$2:$A$5001,$A3539,$C$2:$C$5001,C3539)&gt;1,"Artikel doppelt im selben Lager; ",""))</f>
        <v/>
      </c>
      <c r="P3539" s="47" t="n">
        <f aca="false">IF(OR($A3539="",D3539=""),0,IF(COUNTIF($D$2:D3539,D3539)=1,SUMIF($D$2:$D$5001,D3539,$H$2:$H$5001)+ROW()/10000000,0))</f>
        <v>0</v>
      </c>
      <c r="Q3539" s="47" t="n">
        <f aca="false">IF(OR($A3539="",C3539=""),0,IF(COUNTIF($C$2:C3539,C3539)=1,SUMIF($C$2:$C$5001,C3539,$H$2:$H$5001)+ROW()/10000000,0))</f>
        <v>0</v>
      </c>
    </row>
    <row r="3540" customFormat="false" ht="15" hidden="false" customHeight="false" outlineLevel="0" collapsed="false">
      <c r="A3540" s="43"/>
      <c r="B3540" s="44"/>
      <c r="C3540" s="44"/>
      <c r="D3540" s="44"/>
      <c r="E3540" s="44"/>
      <c r="F3540" s="44"/>
      <c r="G3540" s="44"/>
      <c r="H3540" s="46" t="str">
        <f aca="false">IF($A3540="","",IF(OR(NOT(ISNUMBER(E3540)),NOT(ISNUMBER(F3540))),"",MAX(0,E3540)*F3540))</f>
        <v/>
      </c>
      <c r="I3540" s="46" t="str">
        <f aca="false">IF($A3540="","",SUMIF($A$2:$A$5001,$A3540,$H$2:$H$5001))</f>
        <v/>
      </c>
      <c r="J3540" s="47" t="n">
        <f aca="false">IF($A3540="",0,IF(COUNTIF($A$2:A3540,$A3540)=1,1,0))</f>
        <v>0</v>
      </c>
      <c r="K3540" s="47" t="n">
        <f aca="false">IF(J3540=1,N(I3540)+ROW()/10000000,0)</f>
        <v>0</v>
      </c>
      <c r="L3540" s="47" t="str">
        <f aca="false">IF(AND(J3540=1,N(I3540)&gt;0),SUMIF($K$2:$K$5001,"&gt;="&amp;K3540,$I$2:$I$5001)/MAX(1,SUM($H$2:$H$5001)),"")</f>
        <v/>
      </c>
      <c r="M3540" s="47" t="str">
        <f aca="false">IF($A3540="","",INDEX($L$2:$L$5001,MATCH($A3540,$A$2:$A$5001,0)))</f>
        <v/>
      </c>
      <c r="N3540" s="48" t="str">
        <f aca="false">IF($A3540="","",IF(N(M3540)=0,"–",IF(M3540&lt;=Start!$D$20,"A",IF(M3540&lt;=Start!$D$21,"B","C"))))</f>
        <v/>
      </c>
      <c r="O3540" s="48" t="str">
        <f aca="false">IF($A3540="","",IF(NOT(ISNUMBER(F3540)),"Wert fehlt; ",IF(F3540&lt;=0,"Wert ist 0; ",""))&amp;IF(NOT(ISNUMBER(E3540)),"Bestand fehlt; ",IF(E3540&lt;0,"Bestand negativ; ",IF(E3540=0,"Nullbestand; ","")))&amp;IF(D3540="","Warengruppe fehlt; ","")&amp;IF(B3540="","Bezeichnung fehlt; ","")&amp;IF(COUNTIFS($A$2:$A$5001,$A3540,$C$2:$C$5001,C3540)&gt;1,"Artikel doppelt im selben Lager; ",""))</f>
        <v/>
      </c>
      <c r="P3540" s="47" t="n">
        <f aca="false">IF(OR($A3540="",D3540=""),0,IF(COUNTIF($D$2:D3540,D3540)=1,SUMIF($D$2:$D$5001,D3540,$H$2:$H$5001)+ROW()/10000000,0))</f>
        <v>0</v>
      </c>
      <c r="Q3540" s="47" t="n">
        <f aca="false">IF(OR($A3540="",C3540=""),0,IF(COUNTIF($C$2:C3540,C3540)=1,SUMIF($C$2:$C$5001,C3540,$H$2:$H$5001)+ROW()/10000000,0))</f>
        <v>0</v>
      </c>
    </row>
    <row r="3541" customFormat="false" ht="15" hidden="false" customHeight="false" outlineLevel="0" collapsed="false">
      <c r="A3541" s="43"/>
      <c r="B3541" s="44"/>
      <c r="C3541" s="44"/>
      <c r="D3541" s="44"/>
      <c r="E3541" s="44"/>
      <c r="F3541" s="44"/>
      <c r="G3541" s="44"/>
      <c r="H3541" s="46" t="str">
        <f aca="false">IF($A3541="","",IF(OR(NOT(ISNUMBER(E3541)),NOT(ISNUMBER(F3541))),"",MAX(0,E3541)*F3541))</f>
        <v/>
      </c>
      <c r="I3541" s="46" t="str">
        <f aca="false">IF($A3541="","",SUMIF($A$2:$A$5001,$A3541,$H$2:$H$5001))</f>
        <v/>
      </c>
      <c r="J3541" s="47" t="n">
        <f aca="false">IF($A3541="",0,IF(COUNTIF($A$2:A3541,$A3541)=1,1,0))</f>
        <v>0</v>
      </c>
      <c r="K3541" s="47" t="n">
        <f aca="false">IF(J3541=1,N(I3541)+ROW()/10000000,0)</f>
        <v>0</v>
      </c>
      <c r="L3541" s="47" t="str">
        <f aca="false">IF(AND(J3541=1,N(I3541)&gt;0),SUMIF($K$2:$K$5001,"&gt;="&amp;K3541,$I$2:$I$5001)/MAX(1,SUM($H$2:$H$5001)),"")</f>
        <v/>
      </c>
      <c r="M3541" s="47" t="str">
        <f aca="false">IF($A3541="","",INDEX($L$2:$L$5001,MATCH($A3541,$A$2:$A$5001,0)))</f>
        <v/>
      </c>
      <c r="N3541" s="48" t="str">
        <f aca="false">IF($A3541="","",IF(N(M3541)=0,"–",IF(M3541&lt;=Start!$D$20,"A",IF(M3541&lt;=Start!$D$21,"B","C"))))</f>
        <v/>
      </c>
      <c r="O3541" s="48" t="str">
        <f aca="false">IF($A3541="","",IF(NOT(ISNUMBER(F3541)),"Wert fehlt; ",IF(F3541&lt;=0,"Wert ist 0; ",""))&amp;IF(NOT(ISNUMBER(E3541)),"Bestand fehlt; ",IF(E3541&lt;0,"Bestand negativ; ",IF(E3541=0,"Nullbestand; ","")))&amp;IF(D3541="","Warengruppe fehlt; ","")&amp;IF(B3541="","Bezeichnung fehlt; ","")&amp;IF(COUNTIFS($A$2:$A$5001,$A3541,$C$2:$C$5001,C3541)&gt;1,"Artikel doppelt im selben Lager; ",""))</f>
        <v/>
      </c>
      <c r="P3541" s="47" t="n">
        <f aca="false">IF(OR($A3541="",D3541=""),0,IF(COUNTIF($D$2:D3541,D3541)=1,SUMIF($D$2:$D$5001,D3541,$H$2:$H$5001)+ROW()/10000000,0))</f>
        <v>0</v>
      </c>
      <c r="Q3541" s="47" t="n">
        <f aca="false">IF(OR($A3541="",C3541=""),0,IF(COUNTIF($C$2:C3541,C3541)=1,SUMIF($C$2:$C$5001,C3541,$H$2:$H$5001)+ROW()/10000000,0))</f>
        <v>0</v>
      </c>
    </row>
    <row r="3542" customFormat="false" ht="15" hidden="false" customHeight="false" outlineLevel="0" collapsed="false">
      <c r="A3542" s="43"/>
      <c r="B3542" s="44"/>
      <c r="C3542" s="44"/>
      <c r="D3542" s="44"/>
      <c r="E3542" s="44"/>
      <c r="F3542" s="44"/>
      <c r="G3542" s="44"/>
      <c r="H3542" s="46" t="str">
        <f aca="false">IF($A3542="","",IF(OR(NOT(ISNUMBER(E3542)),NOT(ISNUMBER(F3542))),"",MAX(0,E3542)*F3542))</f>
        <v/>
      </c>
      <c r="I3542" s="46" t="str">
        <f aca="false">IF($A3542="","",SUMIF($A$2:$A$5001,$A3542,$H$2:$H$5001))</f>
        <v/>
      </c>
      <c r="J3542" s="47" t="n">
        <f aca="false">IF($A3542="",0,IF(COUNTIF($A$2:A3542,$A3542)=1,1,0))</f>
        <v>0</v>
      </c>
      <c r="K3542" s="47" t="n">
        <f aca="false">IF(J3542=1,N(I3542)+ROW()/10000000,0)</f>
        <v>0</v>
      </c>
      <c r="L3542" s="47" t="str">
        <f aca="false">IF(AND(J3542=1,N(I3542)&gt;0),SUMIF($K$2:$K$5001,"&gt;="&amp;K3542,$I$2:$I$5001)/MAX(1,SUM($H$2:$H$5001)),"")</f>
        <v/>
      </c>
      <c r="M3542" s="47" t="str">
        <f aca="false">IF($A3542="","",INDEX($L$2:$L$5001,MATCH($A3542,$A$2:$A$5001,0)))</f>
        <v/>
      </c>
      <c r="N3542" s="48" t="str">
        <f aca="false">IF($A3542="","",IF(N(M3542)=0,"–",IF(M3542&lt;=Start!$D$20,"A",IF(M3542&lt;=Start!$D$21,"B","C"))))</f>
        <v/>
      </c>
      <c r="O3542" s="48" t="str">
        <f aca="false">IF($A3542="","",IF(NOT(ISNUMBER(F3542)),"Wert fehlt; ",IF(F3542&lt;=0,"Wert ist 0; ",""))&amp;IF(NOT(ISNUMBER(E3542)),"Bestand fehlt; ",IF(E3542&lt;0,"Bestand negativ; ",IF(E3542=0,"Nullbestand; ","")))&amp;IF(D3542="","Warengruppe fehlt; ","")&amp;IF(B3542="","Bezeichnung fehlt; ","")&amp;IF(COUNTIFS($A$2:$A$5001,$A3542,$C$2:$C$5001,C3542)&gt;1,"Artikel doppelt im selben Lager; ",""))</f>
        <v/>
      </c>
      <c r="P3542" s="47" t="n">
        <f aca="false">IF(OR($A3542="",D3542=""),0,IF(COUNTIF($D$2:D3542,D3542)=1,SUMIF($D$2:$D$5001,D3542,$H$2:$H$5001)+ROW()/10000000,0))</f>
        <v>0</v>
      </c>
      <c r="Q3542" s="47" t="n">
        <f aca="false">IF(OR($A3542="",C3542=""),0,IF(COUNTIF($C$2:C3542,C3542)=1,SUMIF($C$2:$C$5001,C3542,$H$2:$H$5001)+ROW()/10000000,0))</f>
        <v>0</v>
      </c>
    </row>
    <row r="3543" customFormat="false" ht="15" hidden="false" customHeight="false" outlineLevel="0" collapsed="false">
      <c r="A3543" s="43"/>
      <c r="B3543" s="44"/>
      <c r="C3543" s="44"/>
      <c r="D3543" s="44"/>
      <c r="E3543" s="44"/>
      <c r="F3543" s="44"/>
      <c r="G3543" s="44"/>
      <c r="H3543" s="46" t="str">
        <f aca="false">IF($A3543="","",IF(OR(NOT(ISNUMBER(E3543)),NOT(ISNUMBER(F3543))),"",MAX(0,E3543)*F3543))</f>
        <v/>
      </c>
      <c r="I3543" s="46" t="str">
        <f aca="false">IF($A3543="","",SUMIF($A$2:$A$5001,$A3543,$H$2:$H$5001))</f>
        <v/>
      </c>
      <c r="J3543" s="47" t="n">
        <f aca="false">IF($A3543="",0,IF(COUNTIF($A$2:A3543,$A3543)=1,1,0))</f>
        <v>0</v>
      </c>
      <c r="K3543" s="47" t="n">
        <f aca="false">IF(J3543=1,N(I3543)+ROW()/10000000,0)</f>
        <v>0</v>
      </c>
      <c r="L3543" s="47" t="str">
        <f aca="false">IF(AND(J3543=1,N(I3543)&gt;0),SUMIF($K$2:$K$5001,"&gt;="&amp;K3543,$I$2:$I$5001)/MAX(1,SUM($H$2:$H$5001)),"")</f>
        <v/>
      </c>
      <c r="M3543" s="47" t="str">
        <f aca="false">IF($A3543="","",INDEX($L$2:$L$5001,MATCH($A3543,$A$2:$A$5001,0)))</f>
        <v/>
      </c>
      <c r="N3543" s="48" t="str">
        <f aca="false">IF($A3543="","",IF(N(M3543)=0,"–",IF(M3543&lt;=Start!$D$20,"A",IF(M3543&lt;=Start!$D$21,"B","C"))))</f>
        <v/>
      </c>
      <c r="O3543" s="48" t="str">
        <f aca="false">IF($A3543="","",IF(NOT(ISNUMBER(F3543)),"Wert fehlt; ",IF(F3543&lt;=0,"Wert ist 0; ",""))&amp;IF(NOT(ISNUMBER(E3543)),"Bestand fehlt; ",IF(E3543&lt;0,"Bestand negativ; ",IF(E3543=0,"Nullbestand; ","")))&amp;IF(D3543="","Warengruppe fehlt; ","")&amp;IF(B3543="","Bezeichnung fehlt; ","")&amp;IF(COUNTIFS($A$2:$A$5001,$A3543,$C$2:$C$5001,C3543)&gt;1,"Artikel doppelt im selben Lager; ",""))</f>
        <v/>
      </c>
      <c r="P3543" s="47" t="n">
        <f aca="false">IF(OR($A3543="",D3543=""),0,IF(COUNTIF($D$2:D3543,D3543)=1,SUMIF($D$2:$D$5001,D3543,$H$2:$H$5001)+ROW()/10000000,0))</f>
        <v>0</v>
      </c>
      <c r="Q3543" s="47" t="n">
        <f aca="false">IF(OR($A3543="",C3543=""),0,IF(COUNTIF($C$2:C3543,C3543)=1,SUMIF($C$2:$C$5001,C3543,$H$2:$H$5001)+ROW()/10000000,0))</f>
        <v>0</v>
      </c>
    </row>
    <row r="3544" customFormat="false" ht="15" hidden="false" customHeight="false" outlineLevel="0" collapsed="false">
      <c r="A3544" s="43"/>
      <c r="B3544" s="44"/>
      <c r="C3544" s="44"/>
      <c r="D3544" s="44"/>
      <c r="E3544" s="44"/>
      <c r="F3544" s="44"/>
      <c r="G3544" s="44"/>
      <c r="H3544" s="46" t="str">
        <f aca="false">IF($A3544="","",IF(OR(NOT(ISNUMBER(E3544)),NOT(ISNUMBER(F3544))),"",MAX(0,E3544)*F3544))</f>
        <v/>
      </c>
      <c r="I3544" s="46" t="str">
        <f aca="false">IF($A3544="","",SUMIF($A$2:$A$5001,$A3544,$H$2:$H$5001))</f>
        <v/>
      </c>
      <c r="J3544" s="47" t="n">
        <f aca="false">IF($A3544="",0,IF(COUNTIF($A$2:A3544,$A3544)=1,1,0))</f>
        <v>0</v>
      </c>
      <c r="K3544" s="47" t="n">
        <f aca="false">IF(J3544=1,N(I3544)+ROW()/10000000,0)</f>
        <v>0</v>
      </c>
      <c r="L3544" s="47" t="str">
        <f aca="false">IF(AND(J3544=1,N(I3544)&gt;0),SUMIF($K$2:$K$5001,"&gt;="&amp;K3544,$I$2:$I$5001)/MAX(1,SUM($H$2:$H$5001)),"")</f>
        <v/>
      </c>
      <c r="M3544" s="47" t="str">
        <f aca="false">IF($A3544="","",INDEX($L$2:$L$5001,MATCH($A3544,$A$2:$A$5001,0)))</f>
        <v/>
      </c>
      <c r="N3544" s="48" t="str">
        <f aca="false">IF($A3544="","",IF(N(M3544)=0,"–",IF(M3544&lt;=Start!$D$20,"A",IF(M3544&lt;=Start!$D$21,"B","C"))))</f>
        <v/>
      </c>
      <c r="O3544" s="48" t="str">
        <f aca="false">IF($A3544="","",IF(NOT(ISNUMBER(F3544)),"Wert fehlt; ",IF(F3544&lt;=0,"Wert ist 0; ",""))&amp;IF(NOT(ISNUMBER(E3544)),"Bestand fehlt; ",IF(E3544&lt;0,"Bestand negativ; ",IF(E3544=0,"Nullbestand; ","")))&amp;IF(D3544="","Warengruppe fehlt; ","")&amp;IF(B3544="","Bezeichnung fehlt; ","")&amp;IF(COUNTIFS($A$2:$A$5001,$A3544,$C$2:$C$5001,C3544)&gt;1,"Artikel doppelt im selben Lager; ",""))</f>
        <v/>
      </c>
      <c r="P3544" s="47" t="n">
        <f aca="false">IF(OR($A3544="",D3544=""),0,IF(COUNTIF($D$2:D3544,D3544)=1,SUMIF($D$2:$D$5001,D3544,$H$2:$H$5001)+ROW()/10000000,0))</f>
        <v>0</v>
      </c>
      <c r="Q3544" s="47" t="n">
        <f aca="false">IF(OR($A3544="",C3544=""),0,IF(COUNTIF($C$2:C3544,C3544)=1,SUMIF($C$2:$C$5001,C3544,$H$2:$H$5001)+ROW()/10000000,0))</f>
        <v>0</v>
      </c>
    </row>
    <row r="3545" customFormat="false" ht="15" hidden="false" customHeight="false" outlineLevel="0" collapsed="false">
      <c r="A3545" s="43"/>
      <c r="B3545" s="44"/>
      <c r="C3545" s="44"/>
      <c r="D3545" s="44"/>
      <c r="E3545" s="44"/>
      <c r="F3545" s="44"/>
      <c r="G3545" s="44"/>
      <c r="H3545" s="46" t="str">
        <f aca="false">IF($A3545="","",IF(OR(NOT(ISNUMBER(E3545)),NOT(ISNUMBER(F3545))),"",MAX(0,E3545)*F3545))</f>
        <v/>
      </c>
      <c r="I3545" s="46" t="str">
        <f aca="false">IF($A3545="","",SUMIF($A$2:$A$5001,$A3545,$H$2:$H$5001))</f>
        <v/>
      </c>
      <c r="J3545" s="47" t="n">
        <f aca="false">IF($A3545="",0,IF(COUNTIF($A$2:A3545,$A3545)=1,1,0))</f>
        <v>0</v>
      </c>
      <c r="K3545" s="47" t="n">
        <f aca="false">IF(J3545=1,N(I3545)+ROW()/10000000,0)</f>
        <v>0</v>
      </c>
      <c r="L3545" s="47" t="str">
        <f aca="false">IF(AND(J3545=1,N(I3545)&gt;0),SUMIF($K$2:$K$5001,"&gt;="&amp;K3545,$I$2:$I$5001)/MAX(1,SUM($H$2:$H$5001)),"")</f>
        <v/>
      </c>
      <c r="M3545" s="47" t="str">
        <f aca="false">IF($A3545="","",INDEX($L$2:$L$5001,MATCH($A3545,$A$2:$A$5001,0)))</f>
        <v/>
      </c>
      <c r="N3545" s="48" t="str">
        <f aca="false">IF($A3545="","",IF(N(M3545)=0,"–",IF(M3545&lt;=Start!$D$20,"A",IF(M3545&lt;=Start!$D$21,"B","C"))))</f>
        <v/>
      </c>
      <c r="O3545" s="48" t="str">
        <f aca="false">IF($A3545="","",IF(NOT(ISNUMBER(F3545)),"Wert fehlt; ",IF(F3545&lt;=0,"Wert ist 0; ",""))&amp;IF(NOT(ISNUMBER(E3545)),"Bestand fehlt; ",IF(E3545&lt;0,"Bestand negativ; ",IF(E3545=0,"Nullbestand; ","")))&amp;IF(D3545="","Warengruppe fehlt; ","")&amp;IF(B3545="","Bezeichnung fehlt; ","")&amp;IF(COUNTIFS($A$2:$A$5001,$A3545,$C$2:$C$5001,C3545)&gt;1,"Artikel doppelt im selben Lager; ",""))</f>
        <v/>
      </c>
      <c r="P3545" s="47" t="n">
        <f aca="false">IF(OR($A3545="",D3545=""),0,IF(COUNTIF($D$2:D3545,D3545)=1,SUMIF($D$2:$D$5001,D3545,$H$2:$H$5001)+ROW()/10000000,0))</f>
        <v>0</v>
      </c>
      <c r="Q3545" s="47" t="n">
        <f aca="false">IF(OR($A3545="",C3545=""),0,IF(COUNTIF($C$2:C3545,C3545)=1,SUMIF($C$2:$C$5001,C3545,$H$2:$H$5001)+ROW()/10000000,0))</f>
        <v>0</v>
      </c>
    </row>
    <row r="3546" customFormat="false" ht="15" hidden="false" customHeight="false" outlineLevel="0" collapsed="false">
      <c r="A3546" s="43"/>
      <c r="B3546" s="44"/>
      <c r="C3546" s="44"/>
      <c r="D3546" s="44"/>
      <c r="E3546" s="44"/>
      <c r="F3546" s="44"/>
      <c r="G3546" s="44"/>
      <c r="H3546" s="46" t="str">
        <f aca="false">IF($A3546="","",IF(OR(NOT(ISNUMBER(E3546)),NOT(ISNUMBER(F3546))),"",MAX(0,E3546)*F3546))</f>
        <v/>
      </c>
      <c r="I3546" s="46" t="str">
        <f aca="false">IF($A3546="","",SUMIF($A$2:$A$5001,$A3546,$H$2:$H$5001))</f>
        <v/>
      </c>
      <c r="J3546" s="47" t="n">
        <f aca="false">IF($A3546="",0,IF(COUNTIF($A$2:A3546,$A3546)=1,1,0))</f>
        <v>0</v>
      </c>
      <c r="K3546" s="47" t="n">
        <f aca="false">IF(J3546=1,N(I3546)+ROW()/10000000,0)</f>
        <v>0</v>
      </c>
      <c r="L3546" s="47" t="str">
        <f aca="false">IF(AND(J3546=1,N(I3546)&gt;0),SUMIF($K$2:$K$5001,"&gt;="&amp;K3546,$I$2:$I$5001)/MAX(1,SUM($H$2:$H$5001)),"")</f>
        <v/>
      </c>
      <c r="M3546" s="47" t="str">
        <f aca="false">IF($A3546="","",INDEX($L$2:$L$5001,MATCH($A3546,$A$2:$A$5001,0)))</f>
        <v/>
      </c>
      <c r="N3546" s="48" t="str">
        <f aca="false">IF($A3546="","",IF(N(M3546)=0,"–",IF(M3546&lt;=Start!$D$20,"A",IF(M3546&lt;=Start!$D$21,"B","C"))))</f>
        <v/>
      </c>
      <c r="O3546" s="48" t="str">
        <f aca="false">IF($A3546="","",IF(NOT(ISNUMBER(F3546)),"Wert fehlt; ",IF(F3546&lt;=0,"Wert ist 0; ",""))&amp;IF(NOT(ISNUMBER(E3546)),"Bestand fehlt; ",IF(E3546&lt;0,"Bestand negativ; ",IF(E3546=0,"Nullbestand; ","")))&amp;IF(D3546="","Warengruppe fehlt; ","")&amp;IF(B3546="","Bezeichnung fehlt; ","")&amp;IF(COUNTIFS($A$2:$A$5001,$A3546,$C$2:$C$5001,C3546)&gt;1,"Artikel doppelt im selben Lager; ",""))</f>
        <v/>
      </c>
      <c r="P3546" s="47" t="n">
        <f aca="false">IF(OR($A3546="",D3546=""),0,IF(COUNTIF($D$2:D3546,D3546)=1,SUMIF($D$2:$D$5001,D3546,$H$2:$H$5001)+ROW()/10000000,0))</f>
        <v>0</v>
      </c>
      <c r="Q3546" s="47" t="n">
        <f aca="false">IF(OR($A3546="",C3546=""),0,IF(COUNTIF($C$2:C3546,C3546)=1,SUMIF($C$2:$C$5001,C3546,$H$2:$H$5001)+ROW()/10000000,0))</f>
        <v>0</v>
      </c>
    </row>
    <row r="3547" customFormat="false" ht="15" hidden="false" customHeight="false" outlineLevel="0" collapsed="false">
      <c r="A3547" s="43"/>
      <c r="B3547" s="44"/>
      <c r="C3547" s="44"/>
      <c r="D3547" s="44"/>
      <c r="E3547" s="44"/>
      <c r="F3547" s="44"/>
      <c r="G3547" s="44"/>
      <c r="H3547" s="46" t="str">
        <f aca="false">IF($A3547="","",IF(OR(NOT(ISNUMBER(E3547)),NOT(ISNUMBER(F3547))),"",MAX(0,E3547)*F3547))</f>
        <v/>
      </c>
      <c r="I3547" s="46" t="str">
        <f aca="false">IF($A3547="","",SUMIF($A$2:$A$5001,$A3547,$H$2:$H$5001))</f>
        <v/>
      </c>
      <c r="J3547" s="47" t="n">
        <f aca="false">IF($A3547="",0,IF(COUNTIF($A$2:A3547,$A3547)=1,1,0))</f>
        <v>0</v>
      </c>
      <c r="K3547" s="47" t="n">
        <f aca="false">IF(J3547=1,N(I3547)+ROW()/10000000,0)</f>
        <v>0</v>
      </c>
      <c r="L3547" s="47" t="str">
        <f aca="false">IF(AND(J3547=1,N(I3547)&gt;0),SUMIF($K$2:$K$5001,"&gt;="&amp;K3547,$I$2:$I$5001)/MAX(1,SUM($H$2:$H$5001)),"")</f>
        <v/>
      </c>
      <c r="M3547" s="47" t="str">
        <f aca="false">IF($A3547="","",INDEX($L$2:$L$5001,MATCH($A3547,$A$2:$A$5001,0)))</f>
        <v/>
      </c>
      <c r="N3547" s="48" t="str">
        <f aca="false">IF($A3547="","",IF(N(M3547)=0,"–",IF(M3547&lt;=Start!$D$20,"A",IF(M3547&lt;=Start!$D$21,"B","C"))))</f>
        <v/>
      </c>
      <c r="O3547" s="48" t="str">
        <f aca="false">IF($A3547="","",IF(NOT(ISNUMBER(F3547)),"Wert fehlt; ",IF(F3547&lt;=0,"Wert ist 0; ",""))&amp;IF(NOT(ISNUMBER(E3547)),"Bestand fehlt; ",IF(E3547&lt;0,"Bestand negativ; ",IF(E3547=0,"Nullbestand; ","")))&amp;IF(D3547="","Warengruppe fehlt; ","")&amp;IF(B3547="","Bezeichnung fehlt; ","")&amp;IF(COUNTIFS($A$2:$A$5001,$A3547,$C$2:$C$5001,C3547)&gt;1,"Artikel doppelt im selben Lager; ",""))</f>
        <v/>
      </c>
      <c r="P3547" s="47" t="n">
        <f aca="false">IF(OR($A3547="",D3547=""),0,IF(COUNTIF($D$2:D3547,D3547)=1,SUMIF($D$2:$D$5001,D3547,$H$2:$H$5001)+ROW()/10000000,0))</f>
        <v>0</v>
      </c>
      <c r="Q3547" s="47" t="n">
        <f aca="false">IF(OR($A3547="",C3547=""),0,IF(COUNTIF($C$2:C3547,C3547)=1,SUMIF($C$2:$C$5001,C3547,$H$2:$H$5001)+ROW()/10000000,0))</f>
        <v>0</v>
      </c>
    </row>
    <row r="3548" customFormat="false" ht="15" hidden="false" customHeight="false" outlineLevel="0" collapsed="false">
      <c r="A3548" s="43"/>
      <c r="B3548" s="44"/>
      <c r="C3548" s="44"/>
      <c r="D3548" s="44"/>
      <c r="E3548" s="44"/>
      <c r="F3548" s="44"/>
      <c r="G3548" s="44"/>
      <c r="H3548" s="46" t="str">
        <f aca="false">IF($A3548="","",IF(OR(NOT(ISNUMBER(E3548)),NOT(ISNUMBER(F3548))),"",MAX(0,E3548)*F3548))</f>
        <v/>
      </c>
      <c r="I3548" s="46" t="str">
        <f aca="false">IF($A3548="","",SUMIF($A$2:$A$5001,$A3548,$H$2:$H$5001))</f>
        <v/>
      </c>
      <c r="J3548" s="47" t="n">
        <f aca="false">IF($A3548="",0,IF(COUNTIF($A$2:A3548,$A3548)=1,1,0))</f>
        <v>0</v>
      </c>
      <c r="K3548" s="47" t="n">
        <f aca="false">IF(J3548=1,N(I3548)+ROW()/10000000,0)</f>
        <v>0</v>
      </c>
      <c r="L3548" s="47" t="str">
        <f aca="false">IF(AND(J3548=1,N(I3548)&gt;0),SUMIF($K$2:$K$5001,"&gt;="&amp;K3548,$I$2:$I$5001)/MAX(1,SUM($H$2:$H$5001)),"")</f>
        <v/>
      </c>
      <c r="M3548" s="47" t="str">
        <f aca="false">IF($A3548="","",INDEX($L$2:$L$5001,MATCH($A3548,$A$2:$A$5001,0)))</f>
        <v/>
      </c>
      <c r="N3548" s="48" t="str">
        <f aca="false">IF($A3548="","",IF(N(M3548)=0,"–",IF(M3548&lt;=Start!$D$20,"A",IF(M3548&lt;=Start!$D$21,"B","C"))))</f>
        <v/>
      </c>
      <c r="O3548" s="48" t="str">
        <f aca="false">IF($A3548="","",IF(NOT(ISNUMBER(F3548)),"Wert fehlt; ",IF(F3548&lt;=0,"Wert ist 0; ",""))&amp;IF(NOT(ISNUMBER(E3548)),"Bestand fehlt; ",IF(E3548&lt;0,"Bestand negativ; ",IF(E3548=0,"Nullbestand; ","")))&amp;IF(D3548="","Warengruppe fehlt; ","")&amp;IF(B3548="","Bezeichnung fehlt; ","")&amp;IF(COUNTIFS($A$2:$A$5001,$A3548,$C$2:$C$5001,C3548)&gt;1,"Artikel doppelt im selben Lager; ",""))</f>
        <v/>
      </c>
      <c r="P3548" s="47" t="n">
        <f aca="false">IF(OR($A3548="",D3548=""),0,IF(COUNTIF($D$2:D3548,D3548)=1,SUMIF($D$2:$D$5001,D3548,$H$2:$H$5001)+ROW()/10000000,0))</f>
        <v>0</v>
      </c>
      <c r="Q3548" s="47" t="n">
        <f aca="false">IF(OR($A3548="",C3548=""),0,IF(COUNTIF($C$2:C3548,C3548)=1,SUMIF($C$2:$C$5001,C3548,$H$2:$H$5001)+ROW()/10000000,0))</f>
        <v>0</v>
      </c>
    </row>
    <row r="3549" customFormat="false" ht="15" hidden="false" customHeight="false" outlineLevel="0" collapsed="false">
      <c r="A3549" s="43"/>
      <c r="B3549" s="44"/>
      <c r="C3549" s="44"/>
      <c r="D3549" s="44"/>
      <c r="E3549" s="44"/>
      <c r="F3549" s="44"/>
      <c r="G3549" s="44"/>
      <c r="H3549" s="46" t="str">
        <f aca="false">IF($A3549="","",IF(OR(NOT(ISNUMBER(E3549)),NOT(ISNUMBER(F3549))),"",MAX(0,E3549)*F3549))</f>
        <v/>
      </c>
      <c r="I3549" s="46" t="str">
        <f aca="false">IF($A3549="","",SUMIF($A$2:$A$5001,$A3549,$H$2:$H$5001))</f>
        <v/>
      </c>
      <c r="J3549" s="47" t="n">
        <f aca="false">IF($A3549="",0,IF(COUNTIF($A$2:A3549,$A3549)=1,1,0))</f>
        <v>0</v>
      </c>
      <c r="K3549" s="47" t="n">
        <f aca="false">IF(J3549=1,N(I3549)+ROW()/10000000,0)</f>
        <v>0</v>
      </c>
      <c r="L3549" s="47" t="str">
        <f aca="false">IF(AND(J3549=1,N(I3549)&gt;0),SUMIF($K$2:$K$5001,"&gt;="&amp;K3549,$I$2:$I$5001)/MAX(1,SUM($H$2:$H$5001)),"")</f>
        <v/>
      </c>
      <c r="M3549" s="47" t="str">
        <f aca="false">IF($A3549="","",INDEX($L$2:$L$5001,MATCH($A3549,$A$2:$A$5001,0)))</f>
        <v/>
      </c>
      <c r="N3549" s="48" t="str">
        <f aca="false">IF($A3549="","",IF(N(M3549)=0,"–",IF(M3549&lt;=Start!$D$20,"A",IF(M3549&lt;=Start!$D$21,"B","C"))))</f>
        <v/>
      </c>
      <c r="O3549" s="48" t="str">
        <f aca="false">IF($A3549="","",IF(NOT(ISNUMBER(F3549)),"Wert fehlt; ",IF(F3549&lt;=0,"Wert ist 0; ",""))&amp;IF(NOT(ISNUMBER(E3549)),"Bestand fehlt; ",IF(E3549&lt;0,"Bestand negativ; ",IF(E3549=0,"Nullbestand; ","")))&amp;IF(D3549="","Warengruppe fehlt; ","")&amp;IF(B3549="","Bezeichnung fehlt; ","")&amp;IF(COUNTIFS($A$2:$A$5001,$A3549,$C$2:$C$5001,C3549)&gt;1,"Artikel doppelt im selben Lager; ",""))</f>
        <v/>
      </c>
      <c r="P3549" s="47" t="n">
        <f aca="false">IF(OR($A3549="",D3549=""),0,IF(COUNTIF($D$2:D3549,D3549)=1,SUMIF($D$2:$D$5001,D3549,$H$2:$H$5001)+ROW()/10000000,0))</f>
        <v>0</v>
      </c>
      <c r="Q3549" s="47" t="n">
        <f aca="false">IF(OR($A3549="",C3549=""),0,IF(COUNTIF($C$2:C3549,C3549)=1,SUMIF($C$2:$C$5001,C3549,$H$2:$H$5001)+ROW()/10000000,0))</f>
        <v>0</v>
      </c>
    </row>
    <row r="3550" customFormat="false" ht="15" hidden="false" customHeight="false" outlineLevel="0" collapsed="false">
      <c r="A3550" s="43"/>
      <c r="B3550" s="44"/>
      <c r="C3550" s="44"/>
      <c r="D3550" s="44"/>
      <c r="E3550" s="44"/>
      <c r="F3550" s="44"/>
      <c r="G3550" s="44"/>
      <c r="H3550" s="46" t="str">
        <f aca="false">IF($A3550="","",IF(OR(NOT(ISNUMBER(E3550)),NOT(ISNUMBER(F3550))),"",MAX(0,E3550)*F3550))</f>
        <v/>
      </c>
      <c r="I3550" s="46" t="str">
        <f aca="false">IF($A3550="","",SUMIF($A$2:$A$5001,$A3550,$H$2:$H$5001))</f>
        <v/>
      </c>
      <c r="J3550" s="47" t="n">
        <f aca="false">IF($A3550="",0,IF(COUNTIF($A$2:A3550,$A3550)=1,1,0))</f>
        <v>0</v>
      </c>
      <c r="K3550" s="47" t="n">
        <f aca="false">IF(J3550=1,N(I3550)+ROW()/10000000,0)</f>
        <v>0</v>
      </c>
      <c r="L3550" s="47" t="str">
        <f aca="false">IF(AND(J3550=1,N(I3550)&gt;0),SUMIF($K$2:$K$5001,"&gt;="&amp;K3550,$I$2:$I$5001)/MAX(1,SUM($H$2:$H$5001)),"")</f>
        <v/>
      </c>
      <c r="M3550" s="47" t="str">
        <f aca="false">IF($A3550="","",INDEX($L$2:$L$5001,MATCH($A3550,$A$2:$A$5001,0)))</f>
        <v/>
      </c>
      <c r="N3550" s="48" t="str">
        <f aca="false">IF($A3550="","",IF(N(M3550)=0,"–",IF(M3550&lt;=Start!$D$20,"A",IF(M3550&lt;=Start!$D$21,"B","C"))))</f>
        <v/>
      </c>
      <c r="O3550" s="48" t="str">
        <f aca="false">IF($A3550="","",IF(NOT(ISNUMBER(F3550)),"Wert fehlt; ",IF(F3550&lt;=0,"Wert ist 0; ",""))&amp;IF(NOT(ISNUMBER(E3550)),"Bestand fehlt; ",IF(E3550&lt;0,"Bestand negativ; ",IF(E3550=0,"Nullbestand; ","")))&amp;IF(D3550="","Warengruppe fehlt; ","")&amp;IF(B3550="","Bezeichnung fehlt; ","")&amp;IF(COUNTIFS($A$2:$A$5001,$A3550,$C$2:$C$5001,C3550)&gt;1,"Artikel doppelt im selben Lager; ",""))</f>
        <v/>
      </c>
      <c r="P3550" s="47" t="n">
        <f aca="false">IF(OR($A3550="",D3550=""),0,IF(COUNTIF($D$2:D3550,D3550)=1,SUMIF($D$2:$D$5001,D3550,$H$2:$H$5001)+ROW()/10000000,0))</f>
        <v>0</v>
      </c>
      <c r="Q3550" s="47" t="n">
        <f aca="false">IF(OR($A3550="",C3550=""),0,IF(COUNTIF($C$2:C3550,C3550)=1,SUMIF($C$2:$C$5001,C3550,$H$2:$H$5001)+ROW()/10000000,0))</f>
        <v>0</v>
      </c>
    </row>
    <row r="3551" customFormat="false" ht="15" hidden="false" customHeight="false" outlineLevel="0" collapsed="false">
      <c r="A3551" s="43"/>
      <c r="B3551" s="44"/>
      <c r="C3551" s="44"/>
      <c r="D3551" s="44"/>
      <c r="E3551" s="44"/>
      <c r="F3551" s="44"/>
      <c r="G3551" s="44"/>
      <c r="H3551" s="46" t="str">
        <f aca="false">IF($A3551="","",IF(OR(NOT(ISNUMBER(E3551)),NOT(ISNUMBER(F3551))),"",MAX(0,E3551)*F3551))</f>
        <v/>
      </c>
      <c r="I3551" s="46" t="str">
        <f aca="false">IF($A3551="","",SUMIF($A$2:$A$5001,$A3551,$H$2:$H$5001))</f>
        <v/>
      </c>
      <c r="J3551" s="47" t="n">
        <f aca="false">IF($A3551="",0,IF(COUNTIF($A$2:A3551,$A3551)=1,1,0))</f>
        <v>0</v>
      </c>
      <c r="K3551" s="47" t="n">
        <f aca="false">IF(J3551=1,N(I3551)+ROW()/10000000,0)</f>
        <v>0</v>
      </c>
      <c r="L3551" s="47" t="str">
        <f aca="false">IF(AND(J3551=1,N(I3551)&gt;0),SUMIF($K$2:$K$5001,"&gt;="&amp;K3551,$I$2:$I$5001)/MAX(1,SUM($H$2:$H$5001)),"")</f>
        <v/>
      </c>
      <c r="M3551" s="47" t="str">
        <f aca="false">IF($A3551="","",INDEX($L$2:$L$5001,MATCH($A3551,$A$2:$A$5001,0)))</f>
        <v/>
      </c>
      <c r="N3551" s="48" t="str">
        <f aca="false">IF($A3551="","",IF(N(M3551)=0,"–",IF(M3551&lt;=Start!$D$20,"A",IF(M3551&lt;=Start!$D$21,"B","C"))))</f>
        <v/>
      </c>
      <c r="O3551" s="48" t="str">
        <f aca="false">IF($A3551="","",IF(NOT(ISNUMBER(F3551)),"Wert fehlt; ",IF(F3551&lt;=0,"Wert ist 0; ",""))&amp;IF(NOT(ISNUMBER(E3551)),"Bestand fehlt; ",IF(E3551&lt;0,"Bestand negativ; ",IF(E3551=0,"Nullbestand; ","")))&amp;IF(D3551="","Warengruppe fehlt; ","")&amp;IF(B3551="","Bezeichnung fehlt; ","")&amp;IF(COUNTIFS($A$2:$A$5001,$A3551,$C$2:$C$5001,C3551)&gt;1,"Artikel doppelt im selben Lager; ",""))</f>
        <v/>
      </c>
      <c r="P3551" s="47" t="n">
        <f aca="false">IF(OR($A3551="",D3551=""),0,IF(COUNTIF($D$2:D3551,D3551)=1,SUMIF($D$2:$D$5001,D3551,$H$2:$H$5001)+ROW()/10000000,0))</f>
        <v>0</v>
      </c>
      <c r="Q3551" s="47" t="n">
        <f aca="false">IF(OR($A3551="",C3551=""),0,IF(COUNTIF($C$2:C3551,C3551)=1,SUMIF($C$2:$C$5001,C3551,$H$2:$H$5001)+ROW()/10000000,0))</f>
        <v>0</v>
      </c>
    </row>
    <row r="3552" customFormat="false" ht="15" hidden="false" customHeight="false" outlineLevel="0" collapsed="false">
      <c r="A3552" s="43"/>
      <c r="B3552" s="44"/>
      <c r="C3552" s="44"/>
      <c r="D3552" s="44"/>
      <c r="E3552" s="44"/>
      <c r="F3552" s="44"/>
      <c r="G3552" s="44"/>
      <c r="H3552" s="46" t="str">
        <f aca="false">IF($A3552="","",IF(OR(NOT(ISNUMBER(E3552)),NOT(ISNUMBER(F3552))),"",MAX(0,E3552)*F3552))</f>
        <v/>
      </c>
      <c r="I3552" s="46" t="str">
        <f aca="false">IF($A3552="","",SUMIF($A$2:$A$5001,$A3552,$H$2:$H$5001))</f>
        <v/>
      </c>
      <c r="J3552" s="47" t="n">
        <f aca="false">IF($A3552="",0,IF(COUNTIF($A$2:A3552,$A3552)=1,1,0))</f>
        <v>0</v>
      </c>
      <c r="K3552" s="47" t="n">
        <f aca="false">IF(J3552=1,N(I3552)+ROW()/10000000,0)</f>
        <v>0</v>
      </c>
      <c r="L3552" s="47" t="str">
        <f aca="false">IF(AND(J3552=1,N(I3552)&gt;0),SUMIF($K$2:$K$5001,"&gt;="&amp;K3552,$I$2:$I$5001)/MAX(1,SUM($H$2:$H$5001)),"")</f>
        <v/>
      </c>
      <c r="M3552" s="47" t="str">
        <f aca="false">IF($A3552="","",INDEX($L$2:$L$5001,MATCH($A3552,$A$2:$A$5001,0)))</f>
        <v/>
      </c>
      <c r="N3552" s="48" t="str">
        <f aca="false">IF($A3552="","",IF(N(M3552)=0,"–",IF(M3552&lt;=Start!$D$20,"A",IF(M3552&lt;=Start!$D$21,"B","C"))))</f>
        <v/>
      </c>
      <c r="O3552" s="48" t="str">
        <f aca="false">IF($A3552="","",IF(NOT(ISNUMBER(F3552)),"Wert fehlt; ",IF(F3552&lt;=0,"Wert ist 0; ",""))&amp;IF(NOT(ISNUMBER(E3552)),"Bestand fehlt; ",IF(E3552&lt;0,"Bestand negativ; ",IF(E3552=0,"Nullbestand; ","")))&amp;IF(D3552="","Warengruppe fehlt; ","")&amp;IF(B3552="","Bezeichnung fehlt; ","")&amp;IF(COUNTIFS($A$2:$A$5001,$A3552,$C$2:$C$5001,C3552)&gt;1,"Artikel doppelt im selben Lager; ",""))</f>
        <v/>
      </c>
      <c r="P3552" s="47" t="n">
        <f aca="false">IF(OR($A3552="",D3552=""),0,IF(COUNTIF($D$2:D3552,D3552)=1,SUMIF($D$2:$D$5001,D3552,$H$2:$H$5001)+ROW()/10000000,0))</f>
        <v>0</v>
      </c>
      <c r="Q3552" s="47" t="n">
        <f aca="false">IF(OR($A3552="",C3552=""),0,IF(COUNTIF($C$2:C3552,C3552)=1,SUMIF($C$2:$C$5001,C3552,$H$2:$H$5001)+ROW()/10000000,0))</f>
        <v>0</v>
      </c>
    </row>
    <row r="3553" customFormat="false" ht="15" hidden="false" customHeight="false" outlineLevel="0" collapsed="false">
      <c r="A3553" s="43"/>
      <c r="B3553" s="44"/>
      <c r="C3553" s="44"/>
      <c r="D3553" s="44"/>
      <c r="E3553" s="44"/>
      <c r="F3553" s="44"/>
      <c r="G3553" s="44"/>
      <c r="H3553" s="46" t="str">
        <f aca="false">IF($A3553="","",IF(OR(NOT(ISNUMBER(E3553)),NOT(ISNUMBER(F3553))),"",MAX(0,E3553)*F3553))</f>
        <v/>
      </c>
      <c r="I3553" s="46" t="str">
        <f aca="false">IF($A3553="","",SUMIF($A$2:$A$5001,$A3553,$H$2:$H$5001))</f>
        <v/>
      </c>
      <c r="J3553" s="47" t="n">
        <f aca="false">IF($A3553="",0,IF(COUNTIF($A$2:A3553,$A3553)=1,1,0))</f>
        <v>0</v>
      </c>
      <c r="K3553" s="47" t="n">
        <f aca="false">IF(J3553=1,N(I3553)+ROW()/10000000,0)</f>
        <v>0</v>
      </c>
      <c r="L3553" s="47" t="str">
        <f aca="false">IF(AND(J3553=1,N(I3553)&gt;0),SUMIF($K$2:$K$5001,"&gt;="&amp;K3553,$I$2:$I$5001)/MAX(1,SUM($H$2:$H$5001)),"")</f>
        <v/>
      </c>
      <c r="M3553" s="47" t="str">
        <f aca="false">IF($A3553="","",INDEX($L$2:$L$5001,MATCH($A3553,$A$2:$A$5001,0)))</f>
        <v/>
      </c>
      <c r="N3553" s="48" t="str">
        <f aca="false">IF($A3553="","",IF(N(M3553)=0,"–",IF(M3553&lt;=Start!$D$20,"A",IF(M3553&lt;=Start!$D$21,"B","C"))))</f>
        <v/>
      </c>
      <c r="O3553" s="48" t="str">
        <f aca="false">IF($A3553="","",IF(NOT(ISNUMBER(F3553)),"Wert fehlt; ",IF(F3553&lt;=0,"Wert ist 0; ",""))&amp;IF(NOT(ISNUMBER(E3553)),"Bestand fehlt; ",IF(E3553&lt;0,"Bestand negativ; ",IF(E3553=0,"Nullbestand; ","")))&amp;IF(D3553="","Warengruppe fehlt; ","")&amp;IF(B3553="","Bezeichnung fehlt; ","")&amp;IF(COUNTIFS($A$2:$A$5001,$A3553,$C$2:$C$5001,C3553)&gt;1,"Artikel doppelt im selben Lager; ",""))</f>
        <v/>
      </c>
      <c r="P3553" s="47" t="n">
        <f aca="false">IF(OR($A3553="",D3553=""),0,IF(COUNTIF($D$2:D3553,D3553)=1,SUMIF($D$2:$D$5001,D3553,$H$2:$H$5001)+ROW()/10000000,0))</f>
        <v>0</v>
      </c>
      <c r="Q3553" s="47" t="n">
        <f aca="false">IF(OR($A3553="",C3553=""),0,IF(COUNTIF($C$2:C3553,C3553)=1,SUMIF($C$2:$C$5001,C3553,$H$2:$H$5001)+ROW()/10000000,0))</f>
        <v>0</v>
      </c>
    </row>
    <row r="3554" customFormat="false" ht="15" hidden="false" customHeight="false" outlineLevel="0" collapsed="false">
      <c r="A3554" s="43"/>
      <c r="B3554" s="44"/>
      <c r="C3554" s="44"/>
      <c r="D3554" s="44"/>
      <c r="E3554" s="44"/>
      <c r="F3554" s="44"/>
      <c r="G3554" s="44"/>
      <c r="H3554" s="46" t="str">
        <f aca="false">IF($A3554="","",IF(OR(NOT(ISNUMBER(E3554)),NOT(ISNUMBER(F3554))),"",MAX(0,E3554)*F3554))</f>
        <v/>
      </c>
      <c r="I3554" s="46" t="str">
        <f aca="false">IF($A3554="","",SUMIF($A$2:$A$5001,$A3554,$H$2:$H$5001))</f>
        <v/>
      </c>
      <c r="J3554" s="47" t="n">
        <f aca="false">IF($A3554="",0,IF(COUNTIF($A$2:A3554,$A3554)=1,1,0))</f>
        <v>0</v>
      </c>
      <c r="K3554" s="47" t="n">
        <f aca="false">IF(J3554=1,N(I3554)+ROW()/10000000,0)</f>
        <v>0</v>
      </c>
      <c r="L3554" s="47" t="str">
        <f aca="false">IF(AND(J3554=1,N(I3554)&gt;0),SUMIF($K$2:$K$5001,"&gt;="&amp;K3554,$I$2:$I$5001)/MAX(1,SUM($H$2:$H$5001)),"")</f>
        <v/>
      </c>
      <c r="M3554" s="47" t="str">
        <f aca="false">IF($A3554="","",INDEX($L$2:$L$5001,MATCH($A3554,$A$2:$A$5001,0)))</f>
        <v/>
      </c>
      <c r="N3554" s="48" t="str">
        <f aca="false">IF($A3554="","",IF(N(M3554)=0,"–",IF(M3554&lt;=Start!$D$20,"A",IF(M3554&lt;=Start!$D$21,"B","C"))))</f>
        <v/>
      </c>
      <c r="O3554" s="48" t="str">
        <f aca="false">IF($A3554="","",IF(NOT(ISNUMBER(F3554)),"Wert fehlt; ",IF(F3554&lt;=0,"Wert ist 0; ",""))&amp;IF(NOT(ISNUMBER(E3554)),"Bestand fehlt; ",IF(E3554&lt;0,"Bestand negativ; ",IF(E3554=0,"Nullbestand; ","")))&amp;IF(D3554="","Warengruppe fehlt; ","")&amp;IF(B3554="","Bezeichnung fehlt; ","")&amp;IF(COUNTIFS($A$2:$A$5001,$A3554,$C$2:$C$5001,C3554)&gt;1,"Artikel doppelt im selben Lager; ",""))</f>
        <v/>
      </c>
      <c r="P3554" s="47" t="n">
        <f aca="false">IF(OR($A3554="",D3554=""),0,IF(COUNTIF($D$2:D3554,D3554)=1,SUMIF($D$2:$D$5001,D3554,$H$2:$H$5001)+ROW()/10000000,0))</f>
        <v>0</v>
      </c>
      <c r="Q3554" s="47" t="n">
        <f aca="false">IF(OR($A3554="",C3554=""),0,IF(COUNTIF($C$2:C3554,C3554)=1,SUMIF($C$2:$C$5001,C3554,$H$2:$H$5001)+ROW()/10000000,0))</f>
        <v>0</v>
      </c>
    </row>
    <row r="3555" customFormat="false" ht="15" hidden="false" customHeight="false" outlineLevel="0" collapsed="false">
      <c r="A3555" s="43"/>
      <c r="B3555" s="44"/>
      <c r="C3555" s="44"/>
      <c r="D3555" s="44"/>
      <c r="E3555" s="44"/>
      <c r="F3555" s="44"/>
      <c r="G3555" s="44"/>
      <c r="H3555" s="46" t="str">
        <f aca="false">IF($A3555="","",IF(OR(NOT(ISNUMBER(E3555)),NOT(ISNUMBER(F3555))),"",MAX(0,E3555)*F3555))</f>
        <v/>
      </c>
      <c r="I3555" s="46" t="str">
        <f aca="false">IF($A3555="","",SUMIF($A$2:$A$5001,$A3555,$H$2:$H$5001))</f>
        <v/>
      </c>
      <c r="J3555" s="47" t="n">
        <f aca="false">IF($A3555="",0,IF(COUNTIF($A$2:A3555,$A3555)=1,1,0))</f>
        <v>0</v>
      </c>
      <c r="K3555" s="47" t="n">
        <f aca="false">IF(J3555=1,N(I3555)+ROW()/10000000,0)</f>
        <v>0</v>
      </c>
      <c r="L3555" s="47" t="str">
        <f aca="false">IF(AND(J3555=1,N(I3555)&gt;0),SUMIF($K$2:$K$5001,"&gt;="&amp;K3555,$I$2:$I$5001)/MAX(1,SUM($H$2:$H$5001)),"")</f>
        <v/>
      </c>
      <c r="M3555" s="47" t="str">
        <f aca="false">IF($A3555="","",INDEX($L$2:$L$5001,MATCH($A3555,$A$2:$A$5001,0)))</f>
        <v/>
      </c>
      <c r="N3555" s="48" t="str">
        <f aca="false">IF($A3555="","",IF(N(M3555)=0,"–",IF(M3555&lt;=Start!$D$20,"A",IF(M3555&lt;=Start!$D$21,"B","C"))))</f>
        <v/>
      </c>
      <c r="O3555" s="48" t="str">
        <f aca="false">IF($A3555="","",IF(NOT(ISNUMBER(F3555)),"Wert fehlt; ",IF(F3555&lt;=0,"Wert ist 0; ",""))&amp;IF(NOT(ISNUMBER(E3555)),"Bestand fehlt; ",IF(E3555&lt;0,"Bestand negativ; ",IF(E3555=0,"Nullbestand; ","")))&amp;IF(D3555="","Warengruppe fehlt; ","")&amp;IF(B3555="","Bezeichnung fehlt; ","")&amp;IF(COUNTIFS($A$2:$A$5001,$A3555,$C$2:$C$5001,C3555)&gt;1,"Artikel doppelt im selben Lager; ",""))</f>
        <v/>
      </c>
      <c r="P3555" s="47" t="n">
        <f aca="false">IF(OR($A3555="",D3555=""),0,IF(COUNTIF($D$2:D3555,D3555)=1,SUMIF($D$2:$D$5001,D3555,$H$2:$H$5001)+ROW()/10000000,0))</f>
        <v>0</v>
      </c>
      <c r="Q3555" s="47" t="n">
        <f aca="false">IF(OR($A3555="",C3555=""),0,IF(COUNTIF($C$2:C3555,C3555)=1,SUMIF($C$2:$C$5001,C3555,$H$2:$H$5001)+ROW()/10000000,0))</f>
        <v>0</v>
      </c>
    </row>
    <row r="3556" customFormat="false" ht="15" hidden="false" customHeight="false" outlineLevel="0" collapsed="false">
      <c r="A3556" s="43"/>
      <c r="B3556" s="44"/>
      <c r="C3556" s="44"/>
      <c r="D3556" s="44"/>
      <c r="E3556" s="44"/>
      <c r="F3556" s="44"/>
      <c r="G3556" s="44"/>
      <c r="H3556" s="46" t="str">
        <f aca="false">IF($A3556="","",IF(OR(NOT(ISNUMBER(E3556)),NOT(ISNUMBER(F3556))),"",MAX(0,E3556)*F3556))</f>
        <v/>
      </c>
      <c r="I3556" s="46" t="str">
        <f aca="false">IF($A3556="","",SUMIF($A$2:$A$5001,$A3556,$H$2:$H$5001))</f>
        <v/>
      </c>
      <c r="J3556" s="47" t="n">
        <f aca="false">IF($A3556="",0,IF(COUNTIF($A$2:A3556,$A3556)=1,1,0))</f>
        <v>0</v>
      </c>
      <c r="K3556" s="47" t="n">
        <f aca="false">IF(J3556=1,N(I3556)+ROW()/10000000,0)</f>
        <v>0</v>
      </c>
      <c r="L3556" s="47" t="str">
        <f aca="false">IF(AND(J3556=1,N(I3556)&gt;0),SUMIF($K$2:$K$5001,"&gt;="&amp;K3556,$I$2:$I$5001)/MAX(1,SUM($H$2:$H$5001)),"")</f>
        <v/>
      </c>
      <c r="M3556" s="47" t="str">
        <f aca="false">IF($A3556="","",INDEX($L$2:$L$5001,MATCH($A3556,$A$2:$A$5001,0)))</f>
        <v/>
      </c>
      <c r="N3556" s="48" t="str">
        <f aca="false">IF($A3556="","",IF(N(M3556)=0,"–",IF(M3556&lt;=Start!$D$20,"A",IF(M3556&lt;=Start!$D$21,"B","C"))))</f>
        <v/>
      </c>
      <c r="O3556" s="48" t="str">
        <f aca="false">IF($A3556="","",IF(NOT(ISNUMBER(F3556)),"Wert fehlt; ",IF(F3556&lt;=0,"Wert ist 0; ",""))&amp;IF(NOT(ISNUMBER(E3556)),"Bestand fehlt; ",IF(E3556&lt;0,"Bestand negativ; ",IF(E3556=0,"Nullbestand; ","")))&amp;IF(D3556="","Warengruppe fehlt; ","")&amp;IF(B3556="","Bezeichnung fehlt; ","")&amp;IF(COUNTIFS($A$2:$A$5001,$A3556,$C$2:$C$5001,C3556)&gt;1,"Artikel doppelt im selben Lager; ",""))</f>
        <v/>
      </c>
      <c r="P3556" s="47" t="n">
        <f aca="false">IF(OR($A3556="",D3556=""),0,IF(COUNTIF($D$2:D3556,D3556)=1,SUMIF($D$2:$D$5001,D3556,$H$2:$H$5001)+ROW()/10000000,0))</f>
        <v>0</v>
      </c>
      <c r="Q3556" s="47" t="n">
        <f aca="false">IF(OR($A3556="",C3556=""),0,IF(COUNTIF($C$2:C3556,C3556)=1,SUMIF($C$2:$C$5001,C3556,$H$2:$H$5001)+ROW()/10000000,0))</f>
        <v>0</v>
      </c>
    </row>
    <row r="3557" customFormat="false" ht="15" hidden="false" customHeight="false" outlineLevel="0" collapsed="false">
      <c r="A3557" s="43"/>
      <c r="B3557" s="44"/>
      <c r="C3557" s="44"/>
      <c r="D3557" s="44"/>
      <c r="E3557" s="44"/>
      <c r="F3557" s="44"/>
      <c r="G3557" s="44"/>
      <c r="H3557" s="46" t="str">
        <f aca="false">IF($A3557="","",IF(OR(NOT(ISNUMBER(E3557)),NOT(ISNUMBER(F3557))),"",MAX(0,E3557)*F3557))</f>
        <v/>
      </c>
      <c r="I3557" s="46" t="str">
        <f aca="false">IF($A3557="","",SUMIF($A$2:$A$5001,$A3557,$H$2:$H$5001))</f>
        <v/>
      </c>
      <c r="J3557" s="47" t="n">
        <f aca="false">IF($A3557="",0,IF(COUNTIF($A$2:A3557,$A3557)=1,1,0))</f>
        <v>0</v>
      </c>
      <c r="K3557" s="47" t="n">
        <f aca="false">IF(J3557=1,N(I3557)+ROW()/10000000,0)</f>
        <v>0</v>
      </c>
      <c r="L3557" s="47" t="str">
        <f aca="false">IF(AND(J3557=1,N(I3557)&gt;0),SUMIF($K$2:$K$5001,"&gt;="&amp;K3557,$I$2:$I$5001)/MAX(1,SUM($H$2:$H$5001)),"")</f>
        <v/>
      </c>
      <c r="M3557" s="47" t="str">
        <f aca="false">IF($A3557="","",INDEX($L$2:$L$5001,MATCH($A3557,$A$2:$A$5001,0)))</f>
        <v/>
      </c>
      <c r="N3557" s="48" t="str">
        <f aca="false">IF($A3557="","",IF(N(M3557)=0,"–",IF(M3557&lt;=Start!$D$20,"A",IF(M3557&lt;=Start!$D$21,"B","C"))))</f>
        <v/>
      </c>
      <c r="O3557" s="48" t="str">
        <f aca="false">IF($A3557="","",IF(NOT(ISNUMBER(F3557)),"Wert fehlt; ",IF(F3557&lt;=0,"Wert ist 0; ",""))&amp;IF(NOT(ISNUMBER(E3557)),"Bestand fehlt; ",IF(E3557&lt;0,"Bestand negativ; ",IF(E3557=0,"Nullbestand; ","")))&amp;IF(D3557="","Warengruppe fehlt; ","")&amp;IF(B3557="","Bezeichnung fehlt; ","")&amp;IF(COUNTIFS($A$2:$A$5001,$A3557,$C$2:$C$5001,C3557)&gt;1,"Artikel doppelt im selben Lager; ",""))</f>
        <v/>
      </c>
      <c r="P3557" s="47" t="n">
        <f aca="false">IF(OR($A3557="",D3557=""),0,IF(COUNTIF($D$2:D3557,D3557)=1,SUMIF($D$2:$D$5001,D3557,$H$2:$H$5001)+ROW()/10000000,0))</f>
        <v>0</v>
      </c>
      <c r="Q3557" s="47" t="n">
        <f aca="false">IF(OR($A3557="",C3557=""),0,IF(COUNTIF($C$2:C3557,C3557)=1,SUMIF($C$2:$C$5001,C3557,$H$2:$H$5001)+ROW()/10000000,0))</f>
        <v>0</v>
      </c>
    </row>
    <row r="3558" customFormat="false" ht="15" hidden="false" customHeight="false" outlineLevel="0" collapsed="false">
      <c r="A3558" s="43"/>
      <c r="B3558" s="44"/>
      <c r="C3558" s="44"/>
      <c r="D3558" s="44"/>
      <c r="E3558" s="44"/>
      <c r="F3558" s="44"/>
      <c r="G3558" s="44"/>
      <c r="H3558" s="46" t="str">
        <f aca="false">IF($A3558="","",IF(OR(NOT(ISNUMBER(E3558)),NOT(ISNUMBER(F3558))),"",MAX(0,E3558)*F3558))</f>
        <v/>
      </c>
      <c r="I3558" s="46" t="str">
        <f aca="false">IF($A3558="","",SUMIF($A$2:$A$5001,$A3558,$H$2:$H$5001))</f>
        <v/>
      </c>
      <c r="J3558" s="47" t="n">
        <f aca="false">IF($A3558="",0,IF(COUNTIF($A$2:A3558,$A3558)=1,1,0))</f>
        <v>0</v>
      </c>
      <c r="K3558" s="47" t="n">
        <f aca="false">IF(J3558=1,N(I3558)+ROW()/10000000,0)</f>
        <v>0</v>
      </c>
      <c r="L3558" s="47" t="str">
        <f aca="false">IF(AND(J3558=1,N(I3558)&gt;0),SUMIF($K$2:$K$5001,"&gt;="&amp;K3558,$I$2:$I$5001)/MAX(1,SUM($H$2:$H$5001)),"")</f>
        <v/>
      </c>
      <c r="M3558" s="47" t="str">
        <f aca="false">IF($A3558="","",INDEX($L$2:$L$5001,MATCH($A3558,$A$2:$A$5001,0)))</f>
        <v/>
      </c>
      <c r="N3558" s="48" t="str">
        <f aca="false">IF($A3558="","",IF(N(M3558)=0,"–",IF(M3558&lt;=Start!$D$20,"A",IF(M3558&lt;=Start!$D$21,"B","C"))))</f>
        <v/>
      </c>
      <c r="O3558" s="48" t="str">
        <f aca="false">IF($A3558="","",IF(NOT(ISNUMBER(F3558)),"Wert fehlt; ",IF(F3558&lt;=0,"Wert ist 0; ",""))&amp;IF(NOT(ISNUMBER(E3558)),"Bestand fehlt; ",IF(E3558&lt;0,"Bestand negativ; ",IF(E3558=0,"Nullbestand; ","")))&amp;IF(D3558="","Warengruppe fehlt; ","")&amp;IF(B3558="","Bezeichnung fehlt; ","")&amp;IF(COUNTIFS($A$2:$A$5001,$A3558,$C$2:$C$5001,C3558)&gt;1,"Artikel doppelt im selben Lager; ",""))</f>
        <v/>
      </c>
      <c r="P3558" s="47" t="n">
        <f aca="false">IF(OR($A3558="",D3558=""),0,IF(COUNTIF($D$2:D3558,D3558)=1,SUMIF($D$2:$D$5001,D3558,$H$2:$H$5001)+ROW()/10000000,0))</f>
        <v>0</v>
      </c>
      <c r="Q3558" s="47" t="n">
        <f aca="false">IF(OR($A3558="",C3558=""),0,IF(COUNTIF($C$2:C3558,C3558)=1,SUMIF($C$2:$C$5001,C3558,$H$2:$H$5001)+ROW()/10000000,0))</f>
        <v>0</v>
      </c>
    </row>
    <row r="3559" customFormat="false" ht="15" hidden="false" customHeight="false" outlineLevel="0" collapsed="false">
      <c r="A3559" s="43"/>
      <c r="B3559" s="44"/>
      <c r="C3559" s="44"/>
      <c r="D3559" s="44"/>
      <c r="E3559" s="44"/>
      <c r="F3559" s="44"/>
      <c r="G3559" s="44"/>
      <c r="H3559" s="46" t="str">
        <f aca="false">IF($A3559="","",IF(OR(NOT(ISNUMBER(E3559)),NOT(ISNUMBER(F3559))),"",MAX(0,E3559)*F3559))</f>
        <v/>
      </c>
      <c r="I3559" s="46" t="str">
        <f aca="false">IF($A3559="","",SUMIF($A$2:$A$5001,$A3559,$H$2:$H$5001))</f>
        <v/>
      </c>
      <c r="J3559" s="47" t="n">
        <f aca="false">IF($A3559="",0,IF(COUNTIF($A$2:A3559,$A3559)=1,1,0))</f>
        <v>0</v>
      </c>
      <c r="K3559" s="47" t="n">
        <f aca="false">IF(J3559=1,N(I3559)+ROW()/10000000,0)</f>
        <v>0</v>
      </c>
      <c r="L3559" s="47" t="str">
        <f aca="false">IF(AND(J3559=1,N(I3559)&gt;0),SUMIF($K$2:$K$5001,"&gt;="&amp;K3559,$I$2:$I$5001)/MAX(1,SUM($H$2:$H$5001)),"")</f>
        <v/>
      </c>
      <c r="M3559" s="47" t="str">
        <f aca="false">IF($A3559="","",INDEX($L$2:$L$5001,MATCH($A3559,$A$2:$A$5001,0)))</f>
        <v/>
      </c>
      <c r="N3559" s="48" t="str">
        <f aca="false">IF($A3559="","",IF(N(M3559)=0,"–",IF(M3559&lt;=Start!$D$20,"A",IF(M3559&lt;=Start!$D$21,"B","C"))))</f>
        <v/>
      </c>
      <c r="O3559" s="48" t="str">
        <f aca="false">IF($A3559="","",IF(NOT(ISNUMBER(F3559)),"Wert fehlt; ",IF(F3559&lt;=0,"Wert ist 0; ",""))&amp;IF(NOT(ISNUMBER(E3559)),"Bestand fehlt; ",IF(E3559&lt;0,"Bestand negativ; ",IF(E3559=0,"Nullbestand; ","")))&amp;IF(D3559="","Warengruppe fehlt; ","")&amp;IF(B3559="","Bezeichnung fehlt; ","")&amp;IF(COUNTIFS($A$2:$A$5001,$A3559,$C$2:$C$5001,C3559)&gt;1,"Artikel doppelt im selben Lager; ",""))</f>
        <v/>
      </c>
      <c r="P3559" s="47" t="n">
        <f aca="false">IF(OR($A3559="",D3559=""),0,IF(COUNTIF($D$2:D3559,D3559)=1,SUMIF($D$2:$D$5001,D3559,$H$2:$H$5001)+ROW()/10000000,0))</f>
        <v>0</v>
      </c>
      <c r="Q3559" s="47" t="n">
        <f aca="false">IF(OR($A3559="",C3559=""),0,IF(COUNTIF($C$2:C3559,C3559)=1,SUMIF($C$2:$C$5001,C3559,$H$2:$H$5001)+ROW()/10000000,0))</f>
        <v>0</v>
      </c>
    </row>
    <row r="3560" customFormat="false" ht="15" hidden="false" customHeight="false" outlineLevel="0" collapsed="false">
      <c r="A3560" s="43"/>
      <c r="B3560" s="44"/>
      <c r="C3560" s="44"/>
      <c r="D3560" s="44"/>
      <c r="E3560" s="44"/>
      <c r="F3560" s="44"/>
      <c r="G3560" s="44"/>
      <c r="H3560" s="46" t="str">
        <f aca="false">IF($A3560="","",IF(OR(NOT(ISNUMBER(E3560)),NOT(ISNUMBER(F3560))),"",MAX(0,E3560)*F3560))</f>
        <v/>
      </c>
      <c r="I3560" s="46" t="str">
        <f aca="false">IF($A3560="","",SUMIF($A$2:$A$5001,$A3560,$H$2:$H$5001))</f>
        <v/>
      </c>
      <c r="J3560" s="47" t="n">
        <f aca="false">IF($A3560="",0,IF(COUNTIF($A$2:A3560,$A3560)=1,1,0))</f>
        <v>0</v>
      </c>
      <c r="K3560" s="47" t="n">
        <f aca="false">IF(J3560=1,N(I3560)+ROW()/10000000,0)</f>
        <v>0</v>
      </c>
      <c r="L3560" s="47" t="str">
        <f aca="false">IF(AND(J3560=1,N(I3560)&gt;0),SUMIF($K$2:$K$5001,"&gt;="&amp;K3560,$I$2:$I$5001)/MAX(1,SUM($H$2:$H$5001)),"")</f>
        <v/>
      </c>
      <c r="M3560" s="47" t="str">
        <f aca="false">IF($A3560="","",INDEX($L$2:$L$5001,MATCH($A3560,$A$2:$A$5001,0)))</f>
        <v/>
      </c>
      <c r="N3560" s="48" t="str">
        <f aca="false">IF($A3560="","",IF(N(M3560)=0,"–",IF(M3560&lt;=Start!$D$20,"A",IF(M3560&lt;=Start!$D$21,"B","C"))))</f>
        <v/>
      </c>
      <c r="O3560" s="48" t="str">
        <f aca="false">IF($A3560="","",IF(NOT(ISNUMBER(F3560)),"Wert fehlt; ",IF(F3560&lt;=0,"Wert ist 0; ",""))&amp;IF(NOT(ISNUMBER(E3560)),"Bestand fehlt; ",IF(E3560&lt;0,"Bestand negativ; ",IF(E3560=0,"Nullbestand; ","")))&amp;IF(D3560="","Warengruppe fehlt; ","")&amp;IF(B3560="","Bezeichnung fehlt; ","")&amp;IF(COUNTIFS($A$2:$A$5001,$A3560,$C$2:$C$5001,C3560)&gt;1,"Artikel doppelt im selben Lager; ",""))</f>
        <v/>
      </c>
      <c r="P3560" s="47" t="n">
        <f aca="false">IF(OR($A3560="",D3560=""),0,IF(COUNTIF($D$2:D3560,D3560)=1,SUMIF($D$2:$D$5001,D3560,$H$2:$H$5001)+ROW()/10000000,0))</f>
        <v>0</v>
      </c>
      <c r="Q3560" s="47" t="n">
        <f aca="false">IF(OR($A3560="",C3560=""),0,IF(COUNTIF($C$2:C3560,C3560)=1,SUMIF($C$2:$C$5001,C3560,$H$2:$H$5001)+ROW()/10000000,0))</f>
        <v>0</v>
      </c>
    </row>
    <row r="3561" customFormat="false" ht="15" hidden="false" customHeight="false" outlineLevel="0" collapsed="false">
      <c r="A3561" s="43"/>
      <c r="B3561" s="44"/>
      <c r="C3561" s="44"/>
      <c r="D3561" s="44"/>
      <c r="E3561" s="44"/>
      <c r="F3561" s="44"/>
      <c r="G3561" s="44"/>
      <c r="H3561" s="46" t="str">
        <f aca="false">IF($A3561="","",IF(OR(NOT(ISNUMBER(E3561)),NOT(ISNUMBER(F3561))),"",MAX(0,E3561)*F3561))</f>
        <v/>
      </c>
      <c r="I3561" s="46" t="str">
        <f aca="false">IF($A3561="","",SUMIF($A$2:$A$5001,$A3561,$H$2:$H$5001))</f>
        <v/>
      </c>
      <c r="J3561" s="47" t="n">
        <f aca="false">IF($A3561="",0,IF(COUNTIF($A$2:A3561,$A3561)=1,1,0))</f>
        <v>0</v>
      </c>
      <c r="K3561" s="47" t="n">
        <f aca="false">IF(J3561=1,N(I3561)+ROW()/10000000,0)</f>
        <v>0</v>
      </c>
      <c r="L3561" s="47" t="str">
        <f aca="false">IF(AND(J3561=1,N(I3561)&gt;0),SUMIF($K$2:$K$5001,"&gt;="&amp;K3561,$I$2:$I$5001)/MAX(1,SUM($H$2:$H$5001)),"")</f>
        <v/>
      </c>
      <c r="M3561" s="47" t="str">
        <f aca="false">IF($A3561="","",INDEX($L$2:$L$5001,MATCH($A3561,$A$2:$A$5001,0)))</f>
        <v/>
      </c>
      <c r="N3561" s="48" t="str">
        <f aca="false">IF($A3561="","",IF(N(M3561)=0,"–",IF(M3561&lt;=Start!$D$20,"A",IF(M3561&lt;=Start!$D$21,"B","C"))))</f>
        <v/>
      </c>
      <c r="O3561" s="48" t="str">
        <f aca="false">IF($A3561="","",IF(NOT(ISNUMBER(F3561)),"Wert fehlt; ",IF(F3561&lt;=0,"Wert ist 0; ",""))&amp;IF(NOT(ISNUMBER(E3561)),"Bestand fehlt; ",IF(E3561&lt;0,"Bestand negativ; ",IF(E3561=0,"Nullbestand; ","")))&amp;IF(D3561="","Warengruppe fehlt; ","")&amp;IF(B3561="","Bezeichnung fehlt; ","")&amp;IF(COUNTIFS($A$2:$A$5001,$A3561,$C$2:$C$5001,C3561)&gt;1,"Artikel doppelt im selben Lager; ",""))</f>
        <v/>
      </c>
      <c r="P3561" s="47" t="n">
        <f aca="false">IF(OR($A3561="",D3561=""),0,IF(COUNTIF($D$2:D3561,D3561)=1,SUMIF($D$2:$D$5001,D3561,$H$2:$H$5001)+ROW()/10000000,0))</f>
        <v>0</v>
      </c>
      <c r="Q3561" s="47" t="n">
        <f aca="false">IF(OR($A3561="",C3561=""),0,IF(COUNTIF($C$2:C3561,C3561)=1,SUMIF($C$2:$C$5001,C3561,$H$2:$H$5001)+ROW()/10000000,0))</f>
        <v>0</v>
      </c>
    </row>
    <row r="3562" customFormat="false" ht="15" hidden="false" customHeight="false" outlineLevel="0" collapsed="false">
      <c r="A3562" s="43"/>
      <c r="B3562" s="44"/>
      <c r="C3562" s="44"/>
      <c r="D3562" s="44"/>
      <c r="E3562" s="44"/>
      <c r="F3562" s="44"/>
      <c r="G3562" s="44"/>
      <c r="H3562" s="46" t="str">
        <f aca="false">IF($A3562="","",IF(OR(NOT(ISNUMBER(E3562)),NOT(ISNUMBER(F3562))),"",MAX(0,E3562)*F3562))</f>
        <v/>
      </c>
      <c r="I3562" s="46" t="str">
        <f aca="false">IF($A3562="","",SUMIF($A$2:$A$5001,$A3562,$H$2:$H$5001))</f>
        <v/>
      </c>
      <c r="J3562" s="47" t="n">
        <f aca="false">IF($A3562="",0,IF(COUNTIF($A$2:A3562,$A3562)=1,1,0))</f>
        <v>0</v>
      </c>
      <c r="K3562" s="47" t="n">
        <f aca="false">IF(J3562=1,N(I3562)+ROW()/10000000,0)</f>
        <v>0</v>
      </c>
      <c r="L3562" s="47" t="str">
        <f aca="false">IF(AND(J3562=1,N(I3562)&gt;0),SUMIF($K$2:$K$5001,"&gt;="&amp;K3562,$I$2:$I$5001)/MAX(1,SUM($H$2:$H$5001)),"")</f>
        <v/>
      </c>
      <c r="M3562" s="47" t="str">
        <f aca="false">IF($A3562="","",INDEX($L$2:$L$5001,MATCH($A3562,$A$2:$A$5001,0)))</f>
        <v/>
      </c>
      <c r="N3562" s="48" t="str">
        <f aca="false">IF($A3562="","",IF(N(M3562)=0,"–",IF(M3562&lt;=Start!$D$20,"A",IF(M3562&lt;=Start!$D$21,"B","C"))))</f>
        <v/>
      </c>
      <c r="O3562" s="48" t="str">
        <f aca="false">IF($A3562="","",IF(NOT(ISNUMBER(F3562)),"Wert fehlt; ",IF(F3562&lt;=0,"Wert ist 0; ",""))&amp;IF(NOT(ISNUMBER(E3562)),"Bestand fehlt; ",IF(E3562&lt;0,"Bestand negativ; ",IF(E3562=0,"Nullbestand; ","")))&amp;IF(D3562="","Warengruppe fehlt; ","")&amp;IF(B3562="","Bezeichnung fehlt; ","")&amp;IF(COUNTIFS($A$2:$A$5001,$A3562,$C$2:$C$5001,C3562)&gt;1,"Artikel doppelt im selben Lager; ",""))</f>
        <v/>
      </c>
      <c r="P3562" s="47" t="n">
        <f aca="false">IF(OR($A3562="",D3562=""),0,IF(COUNTIF($D$2:D3562,D3562)=1,SUMIF($D$2:$D$5001,D3562,$H$2:$H$5001)+ROW()/10000000,0))</f>
        <v>0</v>
      </c>
      <c r="Q3562" s="47" t="n">
        <f aca="false">IF(OR($A3562="",C3562=""),0,IF(COUNTIF($C$2:C3562,C3562)=1,SUMIF($C$2:$C$5001,C3562,$H$2:$H$5001)+ROW()/10000000,0))</f>
        <v>0</v>
      </c>
    </row>
    <row r="3563" customFormat="false" ht="15" hidden="false" customHeight="false" outlineLevel="0" collapsed="false">
      <c r="A3563" s="43"/>
      <c r="B3563" s="44"/>
      <c r="C3563" s="44"/>
      <c r="D3563" s="44"/>
      <c r="E3563" s="44"/>
      <c r="F3563" s="44"/>
      <c r="G3563" s="44"/>
      <c r="H3563" s="46" t="str">
        <f aca="false">IF($A3563="","",IF(OR(NOT(ISNUMBER(E3563)),NOT(ISNUMBER(F3563))),"",MAX(0,E3563)*F3563))</f>
        <v/>
      </c>
      <c r="I3563" s="46" t="str">
        <f aca="false">IF($A3563="","",SUMIF($A$2:$A$5001,$A3563,$H$2:$H$5001))</f>
        <v/>
      </c>
      <c r="J3563" s="47" t="n">
        <f aca="false">IF($A3563="",0,IF(COUNTIF($A$2:A3563,$A3563)=1,1,0))</f>
        <v>0</v>
      </c>
      <c r="K3563" s="47" t="n">
        <f aca="false">IF(J3563=1,N(I3563)+ROW()/10000000,0)</f>
        <v>0</v>
      </c>
      <c r="L3563" s="47" t="str">
        <f aca="false">IF(AND(J3563=1,N(I3563)&gt;0),SUMIF($K$2:$K$5001,"&gt;="&amp;K3563,$I$2:$I$5001)/MAX(1,SUM($H$2:$H$5001)),"")</f>
        <v/>
      </c>
      <c r="M3563" s="47" t="str">
        <f aca="false">IF($A3563="","",INDEX($L$2:$L$5001,MATCH($A3563,$A$2:$A$5001,0)))</f>
        <v/>
      </c>
      <c r="N3563" s="48" t="str">
        <f aca="false">IF($A3563="","",IF(N(M3563)=0,"–",IF(M3563&lt;=Start!$D$20,"A",IF(M3563&lt;=Start!$D$21,"B","C"))))</f>
        <v/>
      </c>
      <c r="O3563" s="48" t="str">
        <f aca="false">IF($A3563="","",IF(NOT(ISNUMBER(F3563)),"Wert fehlt; ",IF(F3563&lt;=0,"Wert ist 0; ",""))&amp;IF(NOT(ISNUMBER(E3563)),"Bestand fehlt; ",IF(E3563&lt;0,"Bestand negativ; ",IF(E3563=0,"Nullbestand; ","")))&amp;IF(D3563="","Warengruppe fehlt; ","")&amp;IF(B3563="","Bezeichnung fehlt; ","")&amp;IF(COUNTIFS($A$2:$A$5001,$A3563,$C$2:$C$5001,C3563)&gt;1,"Artikel doppelt im selben Lager; ",""))</f>
        <v/>
      </c>
      <c r="P3563" s="47" t="n">
        <f aca="false">IF(OR($A3563="",D3563=""),0,IF(COUNTIF($D$2:D3563,D3563)=1,SUMIF($D$2:$D$5001,D3563,$H$2:$H$5001)+ROW()/10000000,0))</f>
        <v>0</v>
      </c>
      <c r="Q3563" s="47" t="n">
        <f aca="false">IF(OR($A3563="",C3563=""),0,IF(COUNTIF($C$2:C3563,C3563)=1,SUMIF($C$2:$C$5001,C3563,$H$2:$H$5001)+ROW()/10000000,0))</f>
        <v>0</v>
      </c>
    </row>
    <row r="3564" customFormat="false" ht="15" hidden="false" customHeight="false" outlineLevel="0" collapsed="false">
      <c r="A3564" s="43"/>
      <c r="B3564" s="44"/>
      <c r="C3564" s="44"/>
      <c r="D3564" s="44"/>
      <c r="E3564" s="44"/>
      <c r="F3564" s="44"/>
      <c r="G3564" s="44"/>
      <c r="H3564" s="46" t="str">
        <f aca="false">IF($A3564="","",IF(OR(NOT(ISNUMBER(E3564)),NOT(ISNUMBER(F3564))),"",MAX(0,E3564)*F3564))</f>
        <v/>
      </c>
      <c r="I3564" s="46" t="str">
        <f aca="false">IF($A3564="","",SUMIF($A$2:$A$5001,$A3564,$H$2:$H$5001))</f>
        <v/>
      </c>
      <c r="J3564" s="47" t="n">
        <f aca="false">IF($A3564="",0,IF(COUNTIF($A$2:A3564,$A3564)=1,1,0))</f>
        <v>0</v>
      </c>
      <c r="K3564" s="47" t="n">
        <f aca="false">IF(J3564=1,N(I3564)+ROW()/10000000,0)</f>
        <v>0</v>
      </c>
      <c r="L3564" s="47" t="str">
        <f aca="false">IF(AND(J3564=1,N(I3564)&gt;0),SUMIF($K$2:$K$5001,"&gt;="&amp;K3564,$I$2:$I$5001)/MAX(1,SUM($H$2:$H$5001)),"")</f>
        <v/>
      </c>
      <c r="M3564" s="47" t="str">
        <f aca="false">IF($A3564="","",INDEX($L$2:$L$5001,MATCH($A3564,$A$2:$A$5001,0)))</f>
        <v/>
      </c>
      <c r="N3564" s="48" t="str">
        <f aca="false">IF($A3564="","",IF(N(M3564)=0,"–",IF(M3564&lt;=Start!$D$20,"A",IF(M3564&lt;=Start!$D$21,"B","C"))))</f>
        <v/>
      </c>
      <c r="O3564" s="48" t="str">
        <f aca="false">IF($A3564="","",IF(NOT(ISNUMBER(F3564)),"Wert fehlt; ",IF(F3564&lt;=0,"Wert ist 0; ",""))&amp;IF(NOT(ISNUMBER(E3564)),"Bestand fehlt; ",IF(E3564&lt;0,"Bestand negativ; ",IF(E3564=0,"Nullbestand; ","")))&amp;IF(D3564="","Warengruppe fehlt; ","")&amp;IF(B3564="","Bezeichnung fehlt; ","")&amp;IF(COUNTIFS($A$2:$A$5001,$A3564,$C$2:$C$5001,C3564)&gt;1,"Artikel doppelt im selben Lager; ",""))</f>
        <v/>
      </c>
      <c r="P3564" s="47" t="n">
        <f aca="false">IF(OR($A3564="",D3564=""),0,IF(COUNTIF($D$2:D3564,D3564)=1,SUMIF($D$2:$D$5001,D3564,$H$2:$H$5001)+ROW()/10000000,0))</f>
        <v>0</v>
      </c>
      <c r="Q3564" s="47" t="n">
        <f aca="false">IF(OR($A3564="",C3564=""),0,IF(COUNTIF($C$2:C3564,C3564)=1,SUMIF($C$2:$C$5001,C3564,$H$2:$H$5001)+ROW()/10000000,0))</f>
        <v>0</v>
      </c>
    </row>
    <row r="3565" customFormat="false" ht="15" hidden="false" customHeight="false" outlineLevel="0" collapsed="false">
      <c r="A3565" s="43"/>
      <c r="B3565" s="44"/>
      <c r="C3565" s="44"/>
      <c r="D3565" s="44"/>
      <c r="E3565" s="44"/>
      <c r="F3565" s="44"/>
      <c r="G3565" s="44"/>
      <c r="H3565" s="46" t="str">
        <f aca="false">IF($A3565="","",IF(OR(NOT(ISNUMBER(E3565)),NOT(ISNUMBER(F3565))),"",MAX(0,E3565)*F3565))</f>
        <v/>
      </c>
      <c r="I3565" s="46" t="str">
        <f aca="false">IF($A3565="","",SUMIF($A$2:$A$5001,$A3565,$H$2:$H$5001))</f>
        <v/>
      </c>
      <c r="J3565" s="47" t="n">
        <f aca="false">IF($A3565="",0,IF(COUNTIF($A$2:A3565,$A3565)=1,1,0))</f>
        <v>0</v>
      </c>
      <c r="K3565" s="47" t="n">
        <f aca="false">IF(J3565=1,N(I3565)+ROW()/10000000,0)</f>
        <v>0</v>
      </c>
      <c r="L3565" s="47" t="str">
        <f aca="false">IF(AND(J3565=1,N(I3565)&gt;0),SUMIF($K$2:$K$5001,"&gt;="&amp;K3565,$I$2:$I$5001)/MAX(1,SUM($H$2:$H$5001)),"")</f>
        <v/>
      </c>
      <c r="M3565" s="47" t="str">
        <f aca="false">IF($A3565="","",INDEX($L$2:$L$5001,MATCH($A3565,$A$2:$A$5001,0)))</f>
        <v/>
      </c>
      <c r="N3565" s="48" t="str">
        <f aca="false">IF($A3565="","",IF(N(M3565)=0,"–",IF(M3565&lt;=Start!$D$20,"A",IF(M3565&lt;=Start!$D$21,"B","C"))))</f>
        <v/>
      </c>
      <c r="O3565" s="48" t="str">
        <f aca="false">IF($A3565="","",IF(NOT(ISNUMBER(F3565)),"Wert fehlt; ",IF(F3565&lt;=0,"Wert ist 0; ",""))&amp;IF(NOT(ISNUMBER(E3565)),"Bestand fehlt; ",IF(E3565&lt;0,"Bestand negativ; ",IF(E3565=0,"Nullbestand; ","")))&amp;IF(D3565="","Warengruppe fehlt; ","")&amp;IF(B3565="","Bezeichnung fehlt; ","")&amp;IF(COUNTIFS($A$2:$A$5001,$A3565,$C$2:$C$5001,C3565)&gt;1,"Artikel doppelt im selben Lager; ",""))</f>
        <v/>
      </c>
      <c r="P3565" s="47" t="n">
        <f aca="false">IF(OR($A3565="",D3565=""),0,IF(COUNTIF($D$2:D3565,D3565)=1,SUMIF($D$2:$D$5001,D3565,$H$2:$H$5001)+ROW()/10000000,0))</f>
        <v>0</v>
      </c>
      <c r="Q3565" s="47" t="n">
        <f aca="false">IF(OR($A3565="",C3565=""),0,IF(COUNTIF($C$2:C3565,C3565)=1,SUMIF($C$2:$C$5001,C3565,$H$2:$H$5001)+ROW()/10000000,0))</f>
        <v>0</v>
      </c>
    </row>
    <row r="3566" customFormat="false" ht="15" hidden="false" customHeight="false" outlineLevel="0" collapsed="false">
      <c r="A3566" s="43"/>
      <c r="B3566" s="44"/>
      <c r="C3566" s="44"/>
      <c r="D3566" s="44"/>
      <c r="E3566" s="44"/>
      <c r="F3566" s="44"/>
      <c r="G3566" s="44"/>
      <c r="H3566" s="46" t="str">
        <f aca="false">IF($A3566="","",IF(OR(NOT(ISNUMBER(E3566)),NOT(ISNUMBER(F3566))),"",MAX(0,E3566)*F3566))</f>
        <v/>
      </c>
      <c r="I3566" s="46" t="str">
        <f aca="false">IF($A3566="","",SUMIF($A$2:$A$5001,$A3566,$H$2:$H$5001))</f>
        <v/>
      </c>
      <c r="J3566" s="47" t="n">
        <f aca="false">IF($A3566="",0,IF(COUNTIF($A$2:A3566,$A3566)=1,1,0))</f>
        <v>0</v>
      </c>
      <c r="K3566" s="47" t="n">
        <f aca="false">IF(J3566=1,N(I3566)+ROW()/10000000,0)</f>
        <v>0</v>
      </c>
      <c r="L3566" s="47" t="str">
        <f aca="false">IF(AND(J3566=1,N(I3566)&gt;0),SUMIF($K$2:$K$5001,"&gt;="&amp;K3566,$I$2:$I$5001)/MAX(1,SUM($H$2:$H$5001)),"")</f>
        <v/>
      </c>
      <c r="M3566" s="47" t="str">
        <f aca="false">IF($A3566="","",INDEX($L$2:$L$5001,MATCH($A3566,$A$2:$A$5001,0)))</f>
        <v/>
      </c>
      <c r="N3566" s="48" t="str">
        <f aca="false">IF($A3566="","",IF(N(M3566)=0,"–",IF(M3566&lt;=Start!$D$20,"A",IF(M3566&lt;=Start!$D$21,"B","C"))))</f>
        <v/>
      </c>
      <c r="O3566" s="48" t="str">
        <f aca="false">IF($A3566="","",IF(NOT(ISNUMBER(F3566)),"Wert fehlt; ",IF(F3566&lt;=0,"Wert ist 0; ",""))&amp;IF(NOT(ISNUMBER(E3566)),"Bestand fehlt; ",IF(E3566&lt;0,"Bestand negativ; ",IF(E3566=0,"Nullbestand; ","")))&amp;IF(D3566="","Warengruppe fehlt; ","")&amp;IF(B3566="","Bezeichnung fehlt; ","")&amp;IF(COUNTIFS($A$2:$A$5001,$A3566,$C$2:$C$5001,C3566)&gt;1,"Artikel doppelt im selben Lager; ",""))</f>
        <v/>
      </c>
      <c r="P3566" s="47" t="n">
        <f aca="false">IF(OR($A3566="",D3566=""),0,IF(COUNTIF($D$2:D3566,D3566)=1,SUMIF($D$2:$D$5001,D3566,$H$2:$H$5001)+ROW()/10000000,0))</f>
        <v>0</v>
      </c>
      <c r="Q3566" s="47" t="n">
        <f aca="false">IF(OR($A3566="",C3566=""),0,IF(COUNTIF($C$2:C3566,C3566)=1,SUMIF($C$2:$C$5001,C3566,$H$2:$H$5001)+ROW()/10000000,0))</f>
        <v>0</v>
      </c>
    </row>
    <row r="3567" customFormat="false" ht="15" hidden="false" customHeight="false" outlineLevel="0" collapsed="false">
      <c r="A3567" s="43"/>
      <c r="B3567" s="44"/>
      <c r="C3567" s="44"/>
      <c r="D3567" s="44"/>
      <c r="E3567" s="44"/>
      <c r="F3567" s="44"/>
      <c r="G3567" s="44"/>
      <c r="H3567" s="46" t="str">
        <f aca="false">IF($A3567="","",IF(OR(NOT(ISNUMBER(E3567)),NOT(ISNUMBER(F3567))),"",MAX(0,E3567)*F3567))</f>
        <v/>
      </c>
      <c r="I3567" s="46" t="str">
        <f aca="false">IF($A3567="","",SUMIF($A$2:$A$5001,$A3567,$H$2:$H$5001))</f>
        <v/>
      </c>
      <c r="J3567" s="47" t="n">
        <f aca="false">IF($A3567="",0,IF(COUNTIF($A$2:A3567,$A3567)=1,1,0))</f>
        <v>0</v>
      </c>
      <c r="K3567" s="47" t="n">
        <f aca="false">IF(J3567=1,N(I3567)+ROW()/10000000,0)</f>
        <v>0</v>
      </c>
      <c r="L3567" s="47" t="str">
        <f aca="false">IF(AND(J3567=1,N(I3567)&gt;0),SUMIF($K$2:$K$5001,"&gt;="&amp;K3567,$I$2:$I$5001)/MAX(1,SUM($H$2:$H$5001)),"")</f>
        <v/>
      </c>
      <c r="M3567" s="47" t="str">
        <f aca="false">IF($A3567="","",INDEX($L$2:$L$5001,MATCH($A3567,$A$2:$A$5001,0)))</f>
        <v/>
      </c>
      <c r="N3567" s="48" t="str">
        <f aca="false">IF($A3567="","",IF(N(M3567)=0,"–",IF(M3567&lt;=Start!$D$20,"A",IF(M3567&lt;=Start!$D$21,"B","C"))))</f>
        <v/>
      </c>
      <c r="O3567" s="48" t="str">
        <f aca="false">IF($A3567="","",IF(NOT(ISNUMBER(F3567)),"Wert fehlt; ",IF(F3567&lt;=0,"Wert ist 0; ",""))&amp;IF(NOT(ISNUMBER(E3567)),"Bestand fehlt; ",IF(E3567&lt;0,"Bestand negativ; ",IF(E3567=0,"Nullbestand; ","")))&amp;IF(D3567="","Warengruppe fehlt; ","")&amp;IF(B3567="","Bezeichnung fehlt; ","")&amp;IF(COUNTIFS($A$2:$A$5001,$A3567,$C$2:$C$5001,C3567)&gt;1,"Artikel doppelt im selben Lager; ",""))</f>
        <v/>
      </c>
      <c r="P3567" s="47" t="n">
        <f aca="false">IF(OR($A3567="",D3567=""),0,IF(COUNTIF($D$2:D3567,D3567)=1,SUMIF($D$2:$D$5001,D3567,$H$2:$H$5001)+ROW()/10000000,0))</f>
        <v>0</v>
      </c>
      <c r="Q3567" s="47" t="n">
        <f aca="false">IF(OR($A3567="",C3567=""),0,IF(COUNTIF($C$2:C3567,C3567)=1,SUMIF($C$2:$C$5001,C3567,$H$2:$H$5001)+ROW()/10000000,0))</f>
        <v>0</v>
      </c>
    </row>
    <row r="3568" customFormat="false" ht="15" hidden="false" customHeight="false" outlineLevel="0" collapsed="false">
      <c r="A3568" s="43"/>
      <c r="B3568" s="44"/>
      <c r="C3568" s="44"/>
      <c r="D3568" s="44"/>
      <c r="E3568" s="44"/>
      <c r="F3568" s="44"/>
      <c r="G3568" s="44"/>
      <c r="H3568" s="46" t="str">
        <f aca="false">IF($A3568="","",IF(OR(NOT(ISNUMBER(E3568)),NOT(ISNUMBER(F3568))),"",MAX(0,E3568)*F3568))</f>
        <v/>
      </c>
      <c r="I3568" s="46" t="str">
        <f aca="false">IF($A3568="","",SUMIF($A$2:$A$5001,$A3568,$H$2:$H$5001))</f>
        <v/>
      </c>
      <c r="J3568" s="47" t="n">
        <f aca="false">IF($A3568="",0,IF(COUNTIF($A$2:A3568,$A3568)=1,1,0))</f>
        <v>0</v>
      </c>
      <c r="K3568" s="47" t="n">
        <f aca="false">IF(J3568=1,N(I3568)+ROW()/10000000,0)</f>
        <v>0</v>
      </c>
      <c r="L3568" s="47" t="str">
        <f aca="false">IF(AND(J3568=1,N(I3568)&gt;0),SUMIF($K$2:$K$5001,"&gt;="&amp;K3568,$I$2:$I$5001)/MAX(1,SUM($H$2:$H$5001)),"")</f>
        <v/>
      </c>
      <c r="M3568" s="47" t="str">
        <f aca="false">IF($A3568="","",INDEX($L$2:$L$5001,MATCH($A3568,$A$2:$A$5001,0)))</f>
        <v/>
      </c>
      <c r="N3568" s="48" t="str">
        <f aca="false">IF($A3568="","",IF(N(M3568)=0,"–",IF(M3568&lt;=Start!$D$20,"A",IF(M3568&lt;=Start!$D$21,"B","C"))))</f>
        <v/>
      </c>
      <c r="O3568" s="48" t="str">
        <f aca="false">IF($A3568="","",IF(NOT(ISNUMBER(F3568)),"Wert fehlt; ",IF(F3568&lt;=0,"Wert ist 0; ",""))&amp;IF(NOT(ISNUMBER(E3568)),"Bestand fehlt; ",IF(E3568&lt;0,"Bestand negativ; ",IF(E3568=0,"Nullbestand; ","")))&amp;IF(D3568="","Warengruppe fehlt; ","")&amp;IF(B3568="","Bezeichnung fehlt; ","")&amp;IF(COUNTIFS($A$2:$A$5001,$A3568,$C$2:$C$5001,C3568)&gt;1,"Artikel doppelt im selben Lager; ",""))</f>
        <v/>
      </c>
      <c r="P3568" s="47" t="n">
        <f aca="false">IF(OR($A3568="",D3568=""),0,IF(COUNTIF($D$2:D3568,D3568)=1,SUMIF($D$2:$D$5001,D3568,$H$2:$H$5001)+ROW()/10000000,0))</f>
        <v>0</v>
      </c>
      <c r="Q3568" s="47" t="n">
        <f aca="false">IF(OR($A3568="",C3568=""),0,IF(COUNTIF($C$2:C3568,C3568)=1,SUMIF($C$2:$C$5001,C3568,$H$2:$H$5001)+ROW()/10000000,0))</f>
        <v>0</v>
      </c>
    </row>
    <row r="3569" customFormat="false" ht="15" hidden="false" customHeight="false" outlineLevel="0" collapsed="false">
      <c r="A3569" s="43"/>
      <c r="B3569" s="44"/>
      <c r="C3569" s="44"/>
      <c r="D3569" s="44"/>
      <c r="E3569" s="44"/>
      <c r="F3569" s="44"/>
      <c r="G3569" s="44"/>
      <c r="H3569" s="46" t="str">
        <f aca="false">IF($A3569="","",IF(OR(NOT(ISNUMBER(E3569)),NOT(ISNUMBER(F3569))),"",MAX(0,E3569)*F3569))</f>
        <v/>
      </c>
      <c r="I3569" s="46" t="str">
        <f aca="false">IF($A3569="","",SUMIF($A$2:$A$5001,$A3569,$H$2:$H$5001))</f>
        <v/>
      </c>
      <c r="J3569" s="47" t="n">
        <f aca="false">IF($A3569="",0,IF(COUNTIF($A$2:A3569,$A3569)=1,1,0))</f>
        <v>0</v>
      </c>
      <c r="K3569" s="47" t="n">
        <f aca="false">IF(J3569=1,N(I3569)+ROW()/10000000,0)</f>
        <v>0</v>
      </c>
      <c r="L3569" s="47" t="str">
        <f aca="false">IF(AND(J3569=1,N(I3569)&gt;0),SUMIF($K$2:$K$5001,"&gt;="&amp;K3569,$I$2:$I$5001)/MAX(1,SUM($H$2:$H$5001)),"")</f>
        <v/>
      </c>
      <c r="M3569" s="47" t="str">
        <f aca="false">IF($A3569="","",INDEX($L$2:$L$5001,MATCH($A3569,$A$2:$A$5001,0)))</f>
        <v/>
      </c>
      <c r="N3569" s="48" t="str">
        <f aca="false">IF($A3569="","",IF(N(M3569)=0,"–",IF(M3569&lt;=Start!$D$20,"A",IF(M3569&lt;=Start!$D$21,"B","C"))))</f>
        <v/>
      </c>
      <c r="O3569" s="48" t="str">
        <f aca="false">IF($A3569="","",IF(NOT(ISNUMBER(F3569)),"Wert fehlt; ",IF(F3569&lt;=0,"Wert ist 0; ",""))&amp;IF(NOT(ISNUMBER(E3569)),"Bestand fehlt; ",IF(E3569&lt;0,"Bestand negativ; ",IF(E3569=0,"Nullbestand; ","")))&amp;IF(D3569="","Warengruppe fehlt; ","")&amp;IF(B3569="","Bezeichnung fehlt; ","")&amp;IF(COUNTIFS($A$2:$A$5001,$A3569,$C$2:$C$5001,C3569)&gt;1,"Artikel doppelt im selben Lager; ",""))</f>
        <v/>
      </c>
      <c r="P3569" s="47" t="n">
        <f aca="false">IF(OR($A3569="",D3569=""),0,IF(COUNTIF($D$2:D3569,D3569)=1,SUMIF($D$2:$D$5001,D3569,$H$2:$H$5001)+ROW()/10000000,0))</f>
        <v>0</v>
      </c>
      <c r="Q3569" s="47" t="n">
        <f aca="false">IF(OR($A3569="",C3569=""),0,IF(COUNTIF($C$2:C3569,C3569)=1,SUMIF($C$2:$C$5001,C3569,$H$2:$H$5001)+ROW()/10000000,0))</f>
        <v>0</v>
      </c>
    </row>
    <row r="3570" customFormat="false" ht="15" hidden="false" customHeight="false" outlineLevel="0" collapsed="false">
      <c r="A3570" s="43"/>
      <c r="B3570" s="44"/>
      <c r="C3570" s="44"/>
      <c r="D3570" s="44"/>
      <c r="E3570" s="44"/>
      <c r="F3570" s="44"/>
      <c r="G3570" s="44"/>
      <c r="H3570" s="46" t="str">
        <f aca="false">IF($A3570="","",IF(OR(NOT(ISNUMBER(E3570)),NOT(ISNUMBER(F3570))),"",MAX(0,E3570)*F3570))</f>
        <v/>
      </c>
      <c r="I3570" s="46" t="str">
        <f aca="false">IF($A3570="","",SUMIF($A$2:$A$5001,$A3570,$H$2:$H$5001))</f>
        <v/>
      </c>
      <c r="J3570" s="47" t="n">
        <f aca="false">IF($A3570="",0,IF(COUNTIF($A$2:A3570,$A3570)=1,1,0))</f>
        <v>0</v>
      </c>
      <c r="K3570" s="47" t="n">
        <f aca="false">IF(J3570=1,N(I3570)+ROW()/10000000,0)</f>
        <v>0</v>
      </c>
      <c r="L3570" s="47" t="str">
        <f aca="false">IF(AND(J3570=1,N(I3570)&gt;0),SUMIF($K$2:$K$5001,"&gt;="&amp;K3570,$I$2:$I$5001)/MAX(1,SUM($H$2:$H$5001)),"")</f>
        <v/>
      </c>
      <c r="M3570" s="47" t="str">
        <f aca="false">IF($A3570="","",INDEX($L$2:$L$5001,MATCH($A3570,$A$2:$A$5001,0)))</f>
        <v/>
      </c>
      <c r="N3570" s="48" t="str">
        <f aca="false">IF($A3570="","",IF(N(M3570)=0,"–",IF(M3570&lt;=Start!$D$20,"A",IF(M3570&lt;=Start!$D$21,"B","C"))))</f>
        <v/>
      </c>
      <c r="O3570" s="48" t="str">
        <f aca="false">IF($A3570="","",IF(NOT(ISNUMBER(F3570)),"Wert fehlt; ",IF(F3570&lt;=0,"Wert ist 0; ",""))&amp;IF(NOT(ISNUMBER(E3570)),"Bestand fehlt; ",IF(E3570&lt;0,"Bestand negativ; ",IF(E3570=0,"Nullbestand; ","")))&amp;IF(D3570="","Warengruppe fehlt; ","")&amp;IF(B3570="","Bezeichnung fehlt; ","")&amp;IF(COUNTIFS($A$2:$A$5001,$A3570,$C$2:$C$5001,C3570)&gt;1,"Artikel doppelt im selben Lager; ",""))</f>
        <v/>
      </c>
      <c r="P3570" s="47" t="n">
        <f aca="false">IF(OR($A3570="",D3570=""),0,IF(COUNTIF($D$2:D3570,D3570)=1,SUMIF($D$2:$D$5001,D3570,$H$2:$H$5001)+ROW()/10000000,0))</f>
        <v>0</v>
      </c>
      <c r="Q3570" s="47" t="n">
        <f aca="false">IF(OR($A3570="",C3570=""),0,IF(COUNTIF($C$2:C3570,C3570)=1,SUMIF($C$2:$C$5001,C3570,$H$2:$H$5001)+ROW()/10000000,0))</f>
        <v>0</v>
      </c>
    </row>
    <row r="3571" customFormat="false" ht="15" hidden="false" customHeight="false" outlineLevel="0" collapsed="false">
      <c r="A3571" s="43"/>
      <c r="B3571" s="44"/>
      <c r="C3571" s="44"/>
      <c r="D3571" s="44"/>
      <c r="E3571" s="44"/>
      <c r="F3571" s="44"/>
      <c r="G3571" s="44"/>
      <c r="H3571" s="46" t="str">
        <f aca="false">IF($A3571="","",IF(OR(NOT(ISNUMBER(E3571)),NOT(ISNUMBER(F3571))),"",MAX(0,E3571)*F3571))</f>
        <v/>
      </c>
      <c r="I3571" s="46" t="str">
        <f aca="false">IF($A3571="","",SUMIF($A$2:$A$5001,$A3571,$H$2:$H$5001))</f>
        <v/>
      </c>
      <c r="J3571" s="47" t="n">
        <f aca="false">IF($A3571="",0,IF(COUNTIF($A$2:A3571,$A3571)=1,1,0))</f>
        <v>0</v>
      </c>
      <c r="K3571" s="47" t="n">
        <f aca="false">IF(J3571=1,N(I3571)+ROW()/10000000,0)</f>
        <v>0</v>
      </c>
      <c r="L3571" s="47" t="str">
        <f aca="false">IF(AND(J3571=1,N(I3571)&gt;0),SUMIF($K$2:$K$5001,"&gt;="&amp;K3571,$I$2:$I$5001)/MAX(1,SUM($H$2:$H$5001)),"")</f>
        <v/>
      </c>
      <c r="M3571" s="47" t="str">
        <f aca="false">IF($A3571="","",INDEX($L$2:$L$5001,MATCH($A3571,$A$2:$A$5001,0)))</f>
        <v/>
      </c>
      <c r="N3571" s="48" t="str">
        <f aca="false">IF($A3571="","",IF(N(M3571)=0,"–",IF(M3571&lt;=Start!$D$20,"A",IF(M3571&lt;=Start!$D$21,"B","C"))))</f>
        <v/>
      </c>
      <c r="O3571" s="48" t="str">
        <f aca="false">IF($A3571="","",IF(NOT(ISNUMBER(F3571)),"Wert fehlt; ",IF(F3571&lt;=0,"Wert ist 0; ",""))&amp;IF(NOT(ISNUMBER(E3571)),"Bestand fehlt; ",IF(E3571&lt;0,"Bestand negativ; ",IF(E3571=0,"Nullbestand; ","")))&amp;IF(D3571="","Warengruppe fehlt; ","")&amp;IF(B3571="","Bezeichnung fehlt; ","")&amp;IF(COUNTIFS($A$2:$A$5001,$A3571,$C$2:$C$5001,C3571)&gt;1,"Artikel doppelt im selben Lager; ",""))</f>
        <v/>
      </c>
      <c r="P3571" s="47" t="n">
        <f aca="false">IF(OR($A3571="",D3571=""),0,IF(COUNTIF($D$2:D3571,D3571)=1,SUMIF($D$2:$D$5001,D3571,$H$2:$H$5001)+ROW()/10000000,0))</f>
        <v>0</v>
      </c>
      <c r="Q3571" s="47" t="n">
        <f aca="false">IF(OR($A3571="",C3571=""),0,IF(COUNTIF($C$2:C3571,C3571)=1,SUMIF($C$2:$C$5001,C3571,$H$2:$H$5001)+ROW()/10000000,0))</f>
        <v>0</v>
      </c>
    </row>
    <row r="3572" customFormat="false" ht="15" hidden="false" customHeight="false" outlineLevel="0" collapsed="false">
      <c r="A3572" s="43"/>
      <c r="B3572" s="44"/>
      <c r="C3572" s="44"/>
      <c r="D3572" s="44"/>
      <c r="E3572" s="44"/>
      <c r="F3572" s="44"/>
      <c r="G3572" s="44"/>
      <c r="H3572" s="46" t="str">
        <f aca="false">IF($A3572="","",IF(OR(NOT(ISNUMBER(E3572)),NOT(ISNUMBER(F3572))),"",MAX(0,E3572)*F3572))</f>
        <v/>
      </c>
      <c r="I3572" s="46" t="str">
        <f aca="false">IF($A3572="","",SUMIF($A$2:$A$5001,$A3572,$H$2:$H$5001))</f>
        <v/>
      </c>
      <c r="J3572" s="47" t="n">
        <f aca="false">IF($A3572="",0,IF(COUNTIF($A$2:A3572,$A3572)=1,1,0))</f>
        <v>0</v>
      </c>
      <c r="K3572" s="47" t="n">
        <f aca="false">IF(J3572=1,N(I3572)+ROW()/10000000,0)</f>
        <v>0</v>
      </c>
      <c r="L3572" s="47" t="str">
        <f aca="false">IF(AND(J3572=1,N(I3572)&gt;0),SUMIF($K$2:$K$5001,"&gt;="&amp;K3572,$I$2:$I$5001)/MAX(1,SUM($H$2:$H$5001)),"")</f>
        <v/>
      </c>
      <c r="M3572" s="47" t="str">
        <f aca="false">IF($A3572="","",INDEX($L$2:$L$5001,MATCH($A3572,$A$2:$A$5001,0)))</f>
        <v/>
      </c>
      <c r="N3572" s="48" t="str">
        <f aca="false">IF($A3572="","",IF(N(M3572)=0,"–",IF(M3572&lt;=Start!$D$20,"A",IF(M3572&lt;=Start!$D$21,"B","C"))))</f>
        <v/>
      </c>
      <c r="O3572" s="48" t="str">
        <f aca="false">IF($A3572="","",IF(NOT(ISNUMBER(F3572)),"Wert fehlt; ",IF(F3572&lt;=0,"Wert ist 0; ",""))&amp;IF(NOT(ISNUMBER(E3572)),"Bestand fehlt; ",IF(E3572&lt;0,"Bestand negativ; ",IF(E3572=0,"Nullbestand; ","")))&amp;IF(D3572="","Warengruppe fehlt; ","")&amp;IF(B3572="","Bezeichnung fehlt; ","")&amp;IF(COUNTIFS($A$2:$A$5001,$A3572,$C$2:$C$5001,C3572)&gt;1,"Artikel doppelt im selben Lager; ",""))</f>
        <v/>
      </c>
      <c r="P3572" s="47" t="n">
        <f aca="false">IF(OR($A3572="",D3572=""),0,IF(COUNTIF($D$2:D3572,D3572)=1,SUMIF($D$2:$D$5001,D3572,$H$2:$H$5001)+ROW()/10000000,0))</f>
        <v>0</v>
      </c>
      <c r="Q3572" s="47" t="n">
        <f aca="false">IF(OR($A3572="",C3572=""),0,IF(COUNTIF($C$2:C3572,C3572)=1,SUMIF($C$2:$C$5001,C3572,$H$2:$H$5001)+ROW()/10000000,0))</f>
        <v>0</v>
      </c>
    </row>
    <row r="3573" customFormat="false" ht="15" hidden="false" customHeight="false" outlineLevel="0" collapsed="false">
      <c r="A3573" s="43"/>
      <c r="B3573" s="44"/>
      <c r="C3573" s="44"/>
      <c r="D3573" s="44"/>
      <c r="E3573" s="44"/>
      <c r="F3573" s="44"/>
      <c r="G3573" s="44"/>
      <c r="H3573" s="46" t="str">
        <f aca="false">IF($A3573="","",IF(OR(NOT(ISNUMBER(E3573)),NOT(ISNUMBER(F3573))),"",MAX(0,E3573)*F3573))</f>
        <v/>
      </c>
      <c r="I3573" s="46" t="str">
        <f aca="false">IF($A3573="","",SUMIF($A$2:$A$5001,$A3573,$H$2:$H$5001))</f>
        <v/>
      </c>
      <c r="J3573" s="47" t="n">
        <f aca="false">IF($A3573="",0,IF(COUNTIF($A$2:A3573,$A3573)=1,1,0))</f>
        <v>0</v>
      </c>
      <c r="K3573" s="47" t="n">
        <f aca="false">IF(J3573=1,N(I3573)+ROW()/10000000,0)</f>
        <v>0</v>
      </c>
      <c r="L3573" s="47" t="str">
        <f aca="false">IF(AND(J3573=1,N(I3573)&gt;0),SUMIF($K$2:$K$5001,"&gt;="&amp;K3573,$I$2:$I$5001)/MAX(1,SUM($H$2:$H$5001)),"")</f>
        <v/>
      </c>
      <c r="M3573" s="47" t="str">
        <f aca="false">IF($A3573="","",INDEX($L$2:$L$5001,MATCH($A3573,$A$2:$A$5001,0)))</f>
        <v/>
      </c>
      <c r="N3573" s="48" t="str">
        <f aca="false">IF($A3573="","",IF(N(M3573)=0,"–",IF(M3573&lt;=Start!$D$20,"A",IF(M3573&lt;=Start!$D$21,"B","C"))))</f>
        <v/>
      </c>
      <c r="O3573" s="48" t="str">
        <f aca="false">IF($A3573="","",IF(NOT(ISNUMBER(F3573)),"Wert fehlt; ",IF(F3573&lt;=0,"Wert ist 0; ",""))&amp;IF(NOT(ISNUMBER(E3573)),"Bestand fehlt; ",IF(E3573&lt;0,"Bestand negativ; ",IF(E3573=0,"Nullbestand; ","")))&amp;IF(D3573="","Warengruppe fehlt; ","")&amp;IF(B3573="","Bezeichnung fehlt; ","")&amp;IF(COUNTIFS($A$2:$A$5001,$A3573,$C$2:$C$5001,C3573)&gt;1,"Artikel doppelt im selben Lager; ",""))</f>
        <v/>
      </c>
      <c r="P3573" s="47" t="n">
        <f aca="false">IF(OR($A3573="",D3573=""),0,IF(COUNTIF($D$2:D3573,D3573)=1,SUMIF($D$2:$D$5001,D3573,$H$2:$H$5001)+ROW()/10000000,0))</f>
        <v>0</v>
      </c>
      <c r="Q3573" s="47" t="n">
        <f aca="false">IF(OR($A3573="",C3573=""),0,IF(COUNTIF($C$2:C3573,C3573)=1,SUMIF($C$2:$C$5001,C3573,$H$2:$H$5001)+ROW()/10000000,0))</f>
        <v>0</v>
      </c>
    </row>
    <row r="3574" customFormat="false" ht="15" hidden="false" customHeight="false" outlineLevel="0" collapsed="false">
      <c r="A3574" s="43"/>
      <c r="B3574" s="44"/>
      <c r="C3574" s="44"/>
      <c r="D3574" s="44"/>
      <c r="E3574" s="44"/>
      <c r="F3574" s="44"/>
      <c r="G3574" s="44"/>
      <c r="H3574" s="46" t="str">
        <f aca="false">IF($A3574="","",IF(OR(NOT(ISNUMBER(E3574)),NOT(ISNUMBER(F3574))),"",MAX(0,E3574)*F3574))</f>
        <v/>
      </c>
      <c r="I3574" s="46" t="str">
        <f aca="false">IF($A3574="","",SUMIF($A$2:$A$5001,$A3574,$H$2:$H$5001))</f>
        <v/>
      </c>
      <c r="J3574" s="47" t="n">
        <f aca="false">IF($A3574="",0,IF(COUNTIF($A$2:A3574,$A3574)=1,1,0))</f>
        <v>0</v>
      </c>
      <c r="K3574" s="47" t="n">
        <f aca="false">IF(J3574=1,N(I3574)+ROW()/10000000,0)</f>
        <v>0</v>
      </c>
      <c r="L3574" s="47" t="str">
        <f aca="false">IF(AND(J3574=1,N(I3574)&gt;0),SUMIF($K$2:$K$5001,"&gt;="&amp;K3574,$I$2:$I$5001)/MAX(1,SUM($H$2:$H$5001)),"")</f>
        <v/>
      </c>
      <c r="M3574" s="47" t="str">
        <f aca="false">IF($A3574="","",INDEX($L$2:$L$5001,MATCH($A3574,$A$2:$A$5001,0)))</f>
        <v/>
      </c>
      <c r="N3574" s="48" t="str">
        <f aca="false">IF($A3574="","",IF(N(M3574)=0,"–",IF(M3574&lt;=Start!$D$20,"A",IF(M3574&lt;=Start!$D$21,"B","C"))))</f>
        <v/>
      </c>
      <c r="O3574" s="48" t="str">
        <f aca="false">IF($A3574="","",IF(NOT(ISNUMBER(F3574)),"Wert fehlt; ",IF(F3574&lt;=0,"Wert ist 0; ",""))&amp;IF(NOT(ISNUMBER(E3574)),"Bestand fehlt; ",IF(E3574&lt;0,"Bestand negativ; ",IF(E3574=0,"Nullbestand; ","")))&amp;IF(D3574="","Warengruppe fehlt; ","")&amp;IF(B3574="","Bezeichnung fehlt; ","")&amp;IF(COUNTIFS($A$2:$A$5001,$A3574,$C$2:$C$5001,C3574)&gt;1,"Artikel doppelt im selben Lager; ",""))</f>
        <v/>
      </c>
      <c r="P3574" s="47" t="n">
        <f aca="false">IF(OR($A3574="",D3574=""),0,IF(COUNTIF($D$2:D3574,D3574)=1,SUMIF($D$2:$D$5001,D3574,$H$2:$H$5001)+ROW()/10000000,0))</f>
        <v>0</v>
      </c>
      <c r="Q3574" s="47" t="n">
        <f aca="false">IF(OR($A3574="",C3574=""),0,IF(COUNTIF($C$2:C3574,C3574)=1,SUMIF($C$2:$C$5001,C3574,$H$2:$H$5001)+ROW()/10000000,0))</f>
        <v>0</v>
      </c>
    </row>
    <row r="3575" customFormat="false" ht="15" hidden="false" customHeight="false" outlineLevel="0" collapsed="false">
      <c r="A3575" s="43"/>
      <c r="B3575" s="44"/>
      <c r="C3575" s="44"/>
      <c r="D3575" s="44"/>
      <c r="E3575" s="44"/>
      <c r="F3575" s="44"/>
      <c r="G3575" s="44"/>
      <c r="H3575" s="46" t="str">
        <f aca="false">IF($A3575="","",IF(OR(NOT(ISNUMBER(E3575)),NOT(ISNUMBER(F3575))),"",MAX(0,E3575)*F3575))</f>
        <v/>
      </c>
      <c r="I3575" s="46" t="str">
        <f aca="false">IF($A3575="","",SUMIF($A$2:$A$5001,$A3575,$H$2:$H$5001))</f>
        <v/>
      </c>
      <c r="J3575" s="47" t="n">
        <f aca="false">IF($A3575="",0,IF(COUNTIF($A$2:A3575,$A3575)=1,1,0))</f>
        <v>0</v>
      </c>
      <c r="K3575" s="47" t="n">
        <f aca="false">IF(J3575=1,N(I3575)+ROW()/10000000,0)</f>
        <v>0</v>
      </c>
      <c r="L3575" s="47" t="str">
        <f aca="false">IF(AND(J3575=1,N(I3575)&gt;0),SUMIF($K$2:$K$5001,"&gt;="&amp;K3575,$I$2:$I$5001)/MAX(1,SUM($H$2:$H$5001)),"")</f>
        <v/>
      </c>
      <c r="M3575" s="47" t="str">
        <f aca="false">IF($A3575="","",INDEX($L$2:$L$5001,MATCH($A3575,$A$2:$A$5001,0)))</f>
        <v/>
      </c>
      <c r="N3575" s="48" t="str">
        <f aca="false">IF($A3575="","",IF(N(M3575)=0,"–",IF(M3575&lt;=Start!$D$20,"A",IF(M3575&lt;=Start!$D$21,"B","C"))))</f>
        <v/>
      </c>
      <c r="O3575" s="48" t="str">
        <f aca="false">IF($A3575="","",IF(NOT(ISNUMBER(F3575)),"Wert fehlt; ",IF(F3575&lt;=0,"Wert ist 0; ",""))&amp;IF(NOT(ISNUMBER(E3575)),"Bestand fehlt; ",IF(E3575&lt;0,"Bestand negativ; ",IF(E3575=0,"Nullbestand; ","")))&amp;IF(D3575="","Warengruppe fehlt; ","")&amp;IF(B3575="","Bezeichnung fehlt; ","")&amp;IF(COUNTIFS($A$2:$A$5001,$A3575,$C$2:$C$5001,C3575)&gt;1,"Artikel doppelt im selben Lager; ",""))</f>
        <v/>
      </c>
      <c r="P3575" s="47" t="n">
        <f aca="false">IF(OR($A3575="",D3575=""),0,IF(COUNTIF($D$2:D3575,D3575)=1,SUMIF($D$2:$D$5001,D3575,$H$2:$H$5001)+ROW()/10000000,0))</f>
        <v>0</v>
      </c>
      <c r="Q3575" s="47" t="n">
        <f aca="false">IF(OR($A3575="",C3575=""),0,IF(COUNTIF($C$2:C3575,C3575)=1,SUMIF($C$2:$C$5001,C3575,$H$2:$H$5001)+ROW()/10000000,0))</f>
        <v>0</v>
      </c>
    </row>
    <row r="3576" customFormat="false" ht="15" hidden="false" customHeight="false" outlineLevel="0" collapsed="false">
      <c r="A3576" s="43"/>
      <c r="B3576" s="44"/>
      <c r="C3576" s="44"/>
      <c r="D3576" s="44"/>
      <c r="E3576" s="44"/>
      <c r="F3576" s="44"/>
      <c r="G3576" s="44"/>
      <c r="H3576" s="46" t="str">
        <f aca="false">IF($A3576="","",IF(OR(NOT(ISNUMBER(E3576)),NOT(ISNUMBER(F3576))),"",MAX(0,E3576)*F3576))</f>
        <v/>
      </c>
      <c r="I3576" s="46" t="str">
        <f aca="false">IF($A3576="","",SUMIF($A$2:$A$5001,$A3576,$H$2:$H$5001))</f>
        <v/>
      </c>
      <c r="J3576" s="47" t="n">
        <f aca="false">IF($A3576="",0,IF(COUNTIF($A$2:A3576,$A3576)=1,1,0))</f>
        <v>0</v>
      </c>
      <c r="K3576" s="47" t="n">
        <f aca="false">IF(J3576=1,N(I3576)+ROW()/10000000,0)</f>
        <v>0</v>
      </c>
      <c r="L3576" s="47" t="str">
        <f aca="false">IF(AND(J3576=1,N(I3576)&gt;0),SUMIF($K$2:$K$5001,"&gt;="&amp;K3576,$I$2:$I$5001)/MAX(1,SUM($H$2:$H$5001)),"")</f>
        <v/>
      </c>
      <c r="M3576" s="47" t="str">
        <f aca="false">IF($A3576="","",INDEX($L$2:$L$5001,MATCH($A3576,$A$2:$A$5001,0)))</f>
        <v/>
      </c>
      <c r="N3576" s="48" t="str">
        <f aca="false">IF($A3576="","",IF(N(M3576)=0,"–",IF(M3576&lt;=Start!$D$20,"A",IF(M3576&lt;=Start!$D$21,"B","C"))))</f>
        <v/>
      </c>
      <c r="O3576" s="48" t="str">
        <f aca="false">IF($A3576="","",IF(NOT(ISNUMBER(F3576)),"Wert fehlt; ",IF(F3576&lt;=0,"Wert ist 0; ",""))&amp;IF(NOT(ISNUMBER(E3576)),"Bestand fehlt; ",IF(E3576&lt;0,"Bestand negativ; ",IF(E3576=0,"Nullbestand; ","")))&amp;IF(D3576="","Warengruppe fehlt; ","")&amp;IF(B3576="","Bezeichnung fehlt; ","")&amp;IF(COUNTIFS($A$2:$A$5001,$A3576,$C$2:$C$5001,C3576)&gt;1,"Artikel doppelt im selben Lager; ",""))</f>
        <v/>
      </c>
      <c r="P3576" s="47" t="n">
        <f aca="false">IF(OR($A3576="",D3576=""),0,IF(COUNTIF($D$2:D3576,D3576)=1,SUMIF($D$2:$D$5001,D3576,$H$2:$H$5001)+ROW()/10000000,0))</f>
        <v>0</v>
      </c>
      <c r="Q3576" s="47" t="n">
        <f aca="false">IF(OR($A3576="",C3576=""),0,IF(COUNTIF($C$2:C3576,C3576)=1,SUMIF($C$2:$C$5001,C3576,$H$2:$H$5001)+ROW()/10000000,0))</f>
        <v>0</v>
      </c>
    </row>
    <row r="3577" customFormat="false" ht="15" hidden="false" customHeight="false" outlineLevel="0" collapsed="false">
      <c r="A3577" s="43"/>
      <c r="B3577" s="44"/>
      <c r="C3577" s="44"/>
      <c r="D3577" s="44"/>
      <c r="E3577" s="44"/>
      <c r="F3577" s="44"/>
      <c r="G3577" s="44"/>
      <c r="H3577" s="46" t="str">
        <f aca="false">IF($A3577="","",IF(OR(NOT(ISNUMBER(E3577)),NOT(ISNUMBER(F3577))),"",MAX(0,E3577)*F3577))</f>
        <v/>
      </c>
      <c r="I3577" s="46" t="str">
        <f aca="false">IF($A3577="","",SUMIF($A$2:$A$5001,$A3577,$H$2:$H$5001))</f>
        <v/>
      </c>
      <c r="J3577" s="47" t="n">
        <f aca="false">IF($A3577="",0,IF(COUNTIF($A$2:A3577,$A3577)=1,1,0))</f>
        <v>0</v>
      </c>
      <c r="K3577" s="47" t="n">
        <f aca="false">IF(J3577=1,N(I3577)+ROW()/10000000,0)</f>
        <v>0</v>
      </c>
      <c r="L3577" s="47" t="str">
        <f aca="false">IF(AND(J3577=1,N(I3577)&gt;0),SUMIF($K$2:$K$5001,"&gt;="&amp;K3577,$I$2:$I$5001)/MAX(1,SUM($H$2:$H$5001)),"")</f>
        <v/>
      </c>
      <c r="M3577" s="47" t="str">
        <f aca="false">IF($A3577="","",INDEX($L$2:$L$5001,MATCH($A3577,$A$2:$A$5001,0)))</f>
        <v/>
      </c>
      <c r="N3577" s="48" t="str">
        <f aca="false">IF($A3577="","",IF(N(M3577)=0,"–",IF(M3577&lt;=Start!$D$20,"A",IF(M3577&lt;=Start!$D$21,"B","C"))))</f>
        <v/>
      </c>
      <c r="O3577" s="48" t="str">
        <f aca="false">IF($A3577="","",IF(NOT(ISNUMBER(F3577)),"Wert fehlt; ",IF(F3577&lt;=0,"Wert ist 0; ",""))&amp;IF(NOT(ISNUMBER(E3577)),"Bestand fehlt; ",IF(E3577&lt;0,"Bestand negativ; ",IF(E3577=0,"Nullbestand; ","")))&amp;IF(D3577="","Warengruppe fehlt; ","")&amp;IF(B3577="","Bezeichnung fehlt; ","")&amp;IF(COUNTIFS($A$2:$A$5001,$A3577,$C$2:$C$5001,C3577)&gt;1,"Artikel doppelt im selben Lager; ",""))</f>
        <v/>
      </c>
      <c r="P3577" s="47" t="n">
        <f aca="false">IF(OR($A3577="",D3577=""),0,IF(COUNTIF($D$2:D3577,D3577)=1,SUMIF($D$2:$D$5001,D3577,$H$2:$H$5001)+ROW()/10000000,0))</f>
        <v>0</v>
      </c>
      <c r="Q3577" s="47" t="n">
        <f aca="false">IF(OR($A3577="",C3577=""),0,IF(COUNTIF($C$2:C3577,C3577)=1,SUMIF($C$2:$C$5001,C3577,$H$2:$H$5001)+ROW()/10000000,0))</f>
        <v>0</v>
      </c>
    </row>
    <row r="3578" customFormat="false" ht="15" hidden="false" customHeight="false" outlineLevel="0" collapsed="false">
      <c r="A3578" s="43"/>
      <c r="B3578" s="44"/>
      <c r="C3578" s="44"/>
      <c r="D3578" s="44"/>
      <c r="E3578" s="44"/>
      <c r="F3578" s="44"/>
      <c r="G3578" s="44"/>
      <c r="H3578" s="46" t="str">
        <f aca="false">IF($A3578="","",IF(OR(NOT(ISNUMBER(E3578)),NOT(ISNUMBER(F3578))),"",MAX(0,E3578)*F3578))</f>
        <v/>
      </c>
      <c r="I3578" s="46" t="str">
        <f aca="false">IF($A3578="","",SUMIF($A$2:$A$5001,$A3578,$H$2:$H$5001))</f>
        <v/>
      </c>
      <c r="J3578" s="47" t="n">
        <f aca="false">IF($A3578="",0,IF(COUNTIF($A$2:A3578,$A3578)=1,1,0))</f>
        <v>0</v>
      </c>
      <c r="K3578" s="47" t="n">
        <f aca="false">IF(J3578=1,N(I3578)+ROW()/10000000,0)</f>
        <v>0</v>
      </c>
      <c r="L3578" s="47" t="str">
        <f aca="false">IF(AND(J3578=1,N(I3578)&gt;0),SUMIF($K$2:$K$5001,"&gt;="&amp;K3578,$I$2:$I$5001)/MAX(1,SUM($H$2:$H$5001)),"")</f>
        <v/>
      </c>
      <c r="M3578" s="47" t="str">
        <f aca="false">IF($A3578="","",INDEX($L$2:$L$5001,MATCH($A3578,$A$2:$A$5001,0)))</f>
        <v/>
      </c>
      <c r="N3578" s="48" t="str">
        <f aca="false">IF($A3578="","",IF(N(M3578)=0,"–",IF(M3578&lt;=Start!$D$20,"A",IF(M3578&lt;=Start!$D$21,"B","C"))))</f>
        <v/>
      </c>
      <c r="O3578" s="48" t="str">
        <f aca="false">IF($A3578="","",IF(NOT(ISNUMBER(F3578)),"Wert fehlt; ",IF(F3578&lt;=0,"Wert ist 0; ",""))&amp;IF(NOT(ISNUMBER(E3578)),"Bestand fehlt; ",IF(E3578&lt;0,"Bestand negativ; ",IF(E3578=0,"Nullbestand; ","")))&amp;IF(D3578="","Warengruppe fehlt; ","")&amp;IF(B3578="","Bezeichnung fehlt; ","")&amp;IF(COUNTIFS($A$2:$A$5001,$A3578,$C$2:$C$5001,C3578)&gt;1,"Artikel doppelt im selben Lager; ",""))</f>
        <v/>
      </c>
      <c r="P3578" s="47" t="n">
        <f aca="false">IF(OR($A3578="",D3578=""),0,IF(COUNTIF($D$2:D3578,D3578)=1,SUMIF($D$2:$D$5001,D3578,$H$2:$H$5001)+ROW()/10000000,0))</f>
        <v>0</v>
      </c>
      <c r="Q3578" s="47" t="n">
        <f aca="false">IF(OR($A3578="",C3578=""),0,IF(COUNTIF($C$2:C3578,C3578)=1,SUMIF($C$2:$C$5001,C3578,$H$2:$H$5001)+ROW()/10000000,0))</f>
        <v>0</v>
      </c>
    </row>
    <row r="3579" customFormat="false" ht="15" hidden="false" customHeight="false" outlineLevel="0" collapsed="false">
      <c r="A3579" s="43"/>
      <c r="B3579" s="44"/>
      <c r="C3579" s="44"/>
      <c r="D3579" s="44"/>
      <c r="E3579" s="44"/>
      <c r="F3579" s="44"/>
      <c r="G3579" s="44"/>
      <c r="H3579" s="46" t="str">
        <f aca="false">IF($A3579="","",IF(OR(NOT(ISNUMBER(E3579)),NOT(ISNUMBER(F3579))),"",MAX(0,E3579)*F3579))</f>
        <v/>
      </c>
      <c r="I3579" s="46" t="str">
        <f aca="false">IF($A3579="","",SUMIF($A$2:$A$5001,$A3579,$H$2:$H$5001))</f>
        <v/>
      </c>
      <c r="J3579" s="47" t="n">
        <f aca="false">IF($A3579="",0,IF(COUNTIF($A$2:A3579,$A3579)=1,1,0))</f>
        <v>0</v>
      </c>
      <c r="K3579" s="47" t="n">
        <f aca="false">IF(J3579=1,N(I3579)+ROW()/10000000,0)</f>
        <v>0</v>
      </c>
      <c r="L3579" s="47" t="str">
        <f aca="false">IF(AND(J3579=1,N(I3579)&gt;0),SUMIF($K$2:$K$5001,"&gt;="&amp;K3579,$I$2:$I$5001)/MAX(1,SUM($H$2:$H$5001)),"")</f>
        <v/>
      </c>
      <c r="M3579" s="47" t="str">
        <f aca="false">IF($A3579="","",INDEX($L$2:$L$5001,MATCH($A3579,$A$2:$A$5001,0)))</f>
        <v/>
      </c>
      <c r="N3579" s="48" t="str">
        <f aca="false">IF($A3579="","",IF(N(M3579)=0,"–",IF(M3579&lt;=Start!$D$20,"A",IF(M3579&lt;=Start!$D$21,"B","C"))))</f>
        <v/>
      </c>
      <c r="O3579" s="48" t="str">
        <f aca="false">IF($A3579="","",IF(NOT(ISNUMBER(F3579)),"Wert fehlt; ",IF(F3579&lt;=0,"Wert ist 0; ",""))&amp;IF(NOT(ISNUMBER(E3579)),"Bestand fehlt; ",IF(E3579&lt;0,"Bestand negativ; ",IF(E3579=0,"Nullbestand; ","")))&amp;IF(D3579="","Warengruppe fehlt; ","")&amp;IF(B3579="","Bezeichnung fehlt; ","")&amp;IF(COUNTIFS($A$2:$A$5001,$A3579,$C$2:$C$5001,C3579)&gt;1,"Artikel doppelt im selben Lager; ",""))</f>
        <v/>
      </c>
      <c r="P3579" s="47" t="n">
        <f aca="false">IF(OR($A3579="",D3579=""),0,IF(COUNTIF($D$2:D3579,D3579)=1,SUMIF($D$2:$D$5001,D3579,$H$2:$H$5001)+ROW()/10000000,0))</f>
        <v>0</v>
      </c>
      <c r="Q3579" s="47" t="n">
        <f aca="false">IF(OR($A3579="",C3579=""),0,IF(COUNTIF($C$2:C3579,C3579)=1,SUMIF($C$2:$C$5001,C3579,$H$2:$H$5001)+ROW()/10000000,0))</f>
        <v>0</v>
      </c>
    </row>
    <row r="3580" customFormat="false" ht="15" hidden="false" customHeight="false" outlineLevel="0" collapsed="false">
      <c r="A3580" s="43"/>
      <c r="B3580" s="44"/>
      <c r="C3580" s="44"/>
      <c r="D3580" s="44"/>
      <c r="E3580" s="44"/>
      <c r="F3580" s="44"/>
      <c r="G3580" s="44"/>
      <c r="H3580" s="46" t="str">
        <f aca="false">IF($A3580="","",IF(OR(NOT(ISNUMBER(E3580)),NOT(ISNUMBER(F3580))),"",MAX(0,E3580)*F3580))</f>
        <v/>
      </c>
      <c r="I3580" s="46" t="str">
        <f aca="false">IF($A3580="","",SUMIF($A$2:$A$5001,$A3580,$H$2:$H$5001))</f>
        <v/>
      </c>
      <c r="J3580" s="47" t="n">
        <f aca="false">IF($A3580="",0,IF(COUNTIF($A$2:A3580,$A3580)=1,1,0))</f>
        <v>0</v>
      </c>
      <c r="K3580" s="47" t="n">
        <f aca="false">IF(J3580=1,N(I3580)+ROW()/10000000,0)</f>
        <v>0</v>
      </c>
      <c r="L3580" s="47" t="str">
        <f aca="false">IF(AND(J3580=1,N(I3580)&gt;0),SUMIF($K$2:$K$5001,"&gt;="&amp;K3580,$I$2:$I$5001)/MAX(1,SUM($H$2:$H$5001)),"")</f>
        <v/>
      </c>
      <c r="M3580" s="47" t="str">
        <f aca="false">IF($A3580="","",INDEX($L$2:$L$5001,MATCH($A3580,$A$2:$A$5001,0)))</f>
        <v/>
      </c>
      <c r="N3580" s="48" t="str">
        <f aca="false">IF($A3580="","",IF(N(M3580)=0,"–",IF(M3580&lt;=Start!$D$20,"A",IF(M3580&lt;=Start!$D$21,"B","C"))))</f>
        <v/>
      </c>
      <c r="O3580" s="48" t="str">
        <f aca="false">IF($A3580="","",IF(NOT(ISNUMBER(F3580)),"Wert fehlt; ",IF(F3580&lt;=0,"Wert ist 0; ",""))&amp;IF(NOT(ISNUMBER(E3580)),"Bestand fehlt; ",IF(E3580&lt;0,"Bestand negativ; ",IF(E3580=0,"Nullbestand; ","")))&amp;IF(D3580="","Warengruppe fehlt; ","")&amp;IF(B3580="","Bezeichnung fehlt; ","")&amp;IF(COUNTIFS($A$2:$A$5001,$A3580,$C$2:$C$5001,C3580)&gt;1,"Artikel doppelt im selben Lager; ",""))</f>
        <v/>
      </c>
      <c r="P3580" s="47" t="n">
        <f aca="false">IF(OR($A3580="",D3580=""),0,IF(COUNTIF($D$2:D3580,D3580)=1,SUMIF($D$2:$D$5001,D3580,$H$2:$H$5001)+ROW()/10000000,0))</f>
        <v>0</v>
      </c>
      <c r="Q3580" s="47" t="n">
        <f aca="false">IF(OR($A3580="",C3580=""),0,IF(COUNTIF($C$2:C3580,C3580)=1,SUMIF($C$2:$C$5001,C3580,$H$2:$H$5001)+ROW()/10000000,0))</f>
        <v>0</v>
      </c>
    </row>
    <row r="3581" customFormat="false" ht="15" hidden="false" customHeight="false" outlineLevel="0" collapsed="false">
      <c r="A3581" s="43"/>
      <c r="B3581" s="44"/>
      <c r="C3581" s="44"/>
      <c r="D3581" s="44"/>
      <c r="E3581" s="44"/>
      <c r="F3581" s="44"/>
      <c r="G3581" s="44"/>
      <c r="H3581" s="46" t="str">
        <f aca="false">IF($A3581="","",IF(OR(NOT(ISNUMBER(E3581)),NOT(ISNUMBER(F3581))),"",MAX(0,E3581)*F3581))</f>
        <v/>
      </c>
      <c r="I3581" s="46" t="str">
        <f aca="false">IF($A3581="","",SUMIF($A$2:$A$5001,$A3581,$H$2:$H$5001))</f>
        <v/>
      </c>
      <c r="J3581" s="47" t="n">
        <f aca="false">IF($A3581="",0,IF(COUNTIF($A$2:A3581,$A3581)=1,1,0))</f>
        <v>0</v>
      </c>
      <c r="K3581" s="47" t="n">
        <f aca="false">IF(J3581=1,N(I3581)+ROW()/10000000,0)</f>
        <v>0</v>
      </c>
      <c r="L3581" s="47" t="str">
        <f aca="false">IF(AND(J3581=1,N(I3581)&gt;0),SUMIF($K$2:$K$5001,"&gt;="&amp;K3581,$I$2:$I$5001)/MAX(1,SUM($H$2:$H$5001)),"")</f>
        <v/>
      </c>
      <c r="M3581" s="47" t="str">
        <f aca="false">IF($A3581="","",INDEX($L$2:$L$5001,MATCH($A3581,$A$2:$A$5001,0)))</f>
        <v/>
      </c>
      <c r="N3581" s="48" t="str">
        <f aca="false">IF($A3581="","",IF(N(M3581)=0,"–",IF(M3581&lt;=Start!$D$20,"A",IF(M3581&lt;=Start!$D$21,"B","C"))))</f>
        <v/>
      </c>
      <c r="O3581" s="48" t="str">
        <f aca="false">IF($A3581="","",IF(NOT(ISNUMBER(F3581)),"Wert fehlt; ",IF(F3581&lt;=0,"Wert ist 0; ",""))&amp;IF(NOT(ISNUMBER(E3581)),"Bestand fehlt; ",IF(E3581&lt;0,"Bestand negativ; ",IF(E3581=0,"Nullbestand; ","")))&amp;IF(D3581="","Warengruppe fehlt; ","")&amp;IF(B3581="","Bezeichnung fehlt; ","")&amp;IF(COUNTIFS($A$2:$A$5001,$A3581,$C$2:$C$5001,C3581)&gt;1,"Artikel doppelt im selben Lager; ",""))</f>
        <v/>
      </c>
      <c r="P3581" s="47" t="n">
        <f aca="false">IF(OR($A3581="",D3581=""),0,IF(COUNTIF($D$2:D3581,D3581)=1,SUMIF($D$2:$D$5001,D3581,$H$2:$H$5001)+ROW()/10000000,0))</f>
        <v>0</v>
      </c>
      <c r="Q3581" s="47" t="n">
        <f aca="false">IF(OR($A3581="",C3581=""),0,IF(COUNTIF($C$2:C3581,C3581)=1,SUMIF($C$2:$C$5001,C3581,$H$2:$H$5001)+ROW()/10000000,0))</f>
        <v>0</v>
      </c>
    </row>
    <row r="3582" customFormat="false" ht="15" hidden="false" customHeight="false" outlineLevel="0" collapsed="false">
      <c r="A3582" s="43"/>
      <c r="B3582" s="44"/>
      <c r="C3582" s="44"/>
      <c r="D3582" s="44"/>
      <c r="E3582" s="44"/>
      <c r="F3582" s="44"/>
      <c r="G3582" s="44"/>
      <c r="H3582" s="46" t="str">
        <f aca="false">IF($A3582="","",IF(OR(NOT(ISNUMBER(E3582)),NOT(ISNUMBER(F3582))),"",MAX(0,E3582)*F3582))</f>
        <v/>
      </c>
      <c r="I3582" s="46" t="str">
        <f aca="false">IF($A3582="","",SUMIF($A$2:$A$5001,$A3582,$H$2:$H$5001))</f>
        <v/>
      </c>
      <c r="J3582" s="47" t="n">
        <f aca="false">IF($A3582="",0,IF(COUNTIF($A$2:A3582,$A3582)=1,1,0))</f>
        <v>0</v>
      </c>
      <c r="K3582" s="47" t="n">
        <f aca="false">IF(J3582=1,N(I3582)+ROW()/10000000,0)</f>
        <v>0</v>
      </c>
      <c r="L3582" s="47" t="str">
        <f aca="false">IF(AND(J3582=1,N(I3582)&gt;0),SUMIF($K$2:$K$5001,"&gt;="&amp;K3582,$I$2:$I$5001)/MAX(1,SUM($H$2:$H$5001)),"")</f>
        <v/>
      </c>
      <c r="M3582" s="47" t="str">
        <f aca="false">IF($A3582="","",INDEX($L$2:$L$5001,MATCH($A3582,$A$2:$A$5001,0)))</f>
        <v/>
      </c>
      <c r="N3582" s="48" t="str">
        <f aca="false">IF($A3582="","",IF(N(M3582)=0,"–",IF(M3582&lt;=Start!$D$20,"A",IF(M3582&lt;=Start!$D$21,"B","C"))))</f>
        <v/>
      </c>
      <c r="O3582" s="48" t="str">
        <f aca="false">IF($A3582="","",IF(NOT(ISNUMBER(F3582)),"Wert fehlt; ",IF(F3582&lt;=0,"Wert ist 0; ",""))&amp;IF(NOT(ISNUMBER(E3582)),"Bestand fehlt; ",IF(E3582&lt;0,"Bestand negativ; ",IF(E3582=0,"Nullbestand; ","")))&amp;IF(D3582="","Warengruppe fehlt; ","")&amp;IF(B3582="","Bezeichnung fehlt; ","")&amp;IF(COUNTIFS($A$2:$A$5001,$A3582,$C$2:$C$5001,C3582)&gt;1,"Artikel doppelt im selben Lager; ",""))</f>
        <v/>
      </c>
      <c r="P3582" s="47" t="n">
        <f aca="false">IF(OR($A3582="",D3582=""),0,IF(COUNTIF($D$2:D3582,D3582)=1,SUMIF($D$2:$D$5001,D3582,$H$2:$H$5001)+ROW()/10000000,0))</f>
        <v>0</v>
      </c>
      <c r="Q3582" s="47" t="n">
        <f aca="false">IF(OR($A3582="",C3582=""),0,IF(COUNTIF($C$2:C3582,C3582)=1,SUMIF($C$2:$C$5001,C3582,$H$2:$H$5001)+ROW()/10000000,0))</f>
        <v>0</v>
      </c>
    </row>
    <row r="3583" customFormat="false" ht="15" hidden="false" customHeight="false" outlineLevel="0" collapsed="false">
      <c r="A3583" s="43"/>
      <c r="B3583" s="44"/>
      <c r="C3583" s="44"/>
      <c r="D3583" s="44"/>
      <c r="E3583" s="44"/>
      <c r="F3583" s="44"/>
      <c r="G3583" s="44"/>
      <c r="H3583" s="46" t="str">
        <f aca="false">IF($A3583="","",IF(OR(NOT(ISNUMBER(E3583)),NOT(ISNUMBER(F3583))),"",MAX(0,E3583)*F3583))</f>
        <v/>
      </c>
      <c r="I3583" s="46" t="str">
        <f aca="false">IF($A3583="","",SUMIF($A$2:$A$5001,$A3583,$H$2:$H$5001))</f>
        <v/>
      </c>
      <c r="J3583" s="47" t="n">
        <f aca="false">IF($A3583="",0,IF(COUNTIF($A$2:A3583,$A3583)=1,1,0))</f>
        <v>0</v>
      </c>
      <c r="K3583" s="47" t="n">
        <f aca="false">IF(J3583=1,N(I3583)+ROW()/10000000,0)</f>
        <v>0</v>
      </c>
      <c r="L3583" s="47" t="str">
        <f aca="false">IF(AND(J3583=1,N(I3583)&gt;0),SUMIF($K$2:$K$5001,"&gt;="&amp;K3583,$I$2:$I$5001)/MAX(1,SUM($H$2:$H$5001)),"")</f>
        <v/>
      </c>
      <c r="M3583" s="47" t="str">
        <f aca="false">IF($A3583="","",INDEX($L$2:$L$5001,MATCH($A3583,$A$2:$A$5001,0)))</f>
        <v/>
      </c>
      <c r="N3583" s="48" t="str">
        <f aca="false">IF($A3583="","",IF(N(M3583)=0,"–",IF(M3583&lt;=Start!$D$20,"A",IF(M3583&lt;=Start!$D$21,"B","C"))))</f>
        <v/>
      </c>
      <c r="O3583" s="48" t="str">
        <f aca="false">IF($A3583="","",IF(NOT(ISNUMBER(F3583)),"Wert fehlt; ",IF(F3583&lt;=0,"Wert ist 0; ",""))&amp;IF(NOT(ISNUMBER(E3583)),"Bestand fehlt; ",IF(E3583&lt;0,"Bestand negativ; ",IF(E3583=0,"Nullbestand; ","")))&amp;IF(D3583="","Warengruppe fehlt; ","")&amp;IF(B3583="","Bezeichnung fehlt; ","")&amp;IF(COUNTIFS($A$2:$A$5001,$A3583,$C$2:$C$5001,C3583)&gt;1,"Artikel doppelt im selben Lager; ",""))</f>
        <v/>
      </c>
      <c r="P3583" s="47" t="n">
        <f aca="false">IF(OR($A3583="",D3583=""),0,IF(COUNTIF($D$2:D3583,D3583)=1,SUMIF($D$2:$D$5001,D3583,$H$2:$H$5001)+ROW()/10000000,0))</f>
        <v>0</v>
      </c>
      <c r="Q3583" s="47" t="n">
        <f aca="false">IF(OR($A3583="",C3583=""),0,IF(COUNTIF($C$2:C3583,C3583)=1,SUMIF($C$2:$C$5001,C3583,$H$2:$H$5001)+ROW()/10000000,0))</f>
        <v>0</v>
      </c>
    </row>
    <row r="3584" customFormat="false" ht="15" hidden="false" customHeight="false" outlineLevel="0" collapsed="false">
      <c r="A3584" s="43"/>
      <c r="B3584" s="44"/>
      <c r="C3584" s="44"/>
      <c r="D3584" s="44"/>
      <c r="E3584" s="44"/>
      <c r="F3584" s="44"/>
      <c r="G3584" s="44"/>
      <c r="H3584" s="46" t="str">
        <f aca="false">IF($A3584="","",IF(OR(NOT(ISNUMBER(E3584)),NOT(ISNUMBER(F3584))),"",MAX(0,E3584)*F3584))</f>
        <v/>
      </c>
      <c r="I3584" s="46" t="str">
        <f aca="false">IF($A3584="","",SUMIF($A$2:$A$5001,$A3584,$H$2:$H$5001))</f>
        <v/>
      </c>
      <c r="J3584" s="47" t="n">
        <f aca="false">IF($A3584="",0,IF(COUNTIF($A$2:A3584,$A3584)=1,1,0))</f>
        <v>0</v>
      </c>
      <c r="K3584" s="47" t="n">
        <f aca="false">IF(J3584=1,N(I3584)+ROW()/10000000,0)</f>
        <v>0</v>
      </c>
      <c r="L3584" s="47" t="str">
        <f aca="false">IF(AND(J3584=1,N(I3584)&gt;0),SUMIF($K$2:$K$5001,"&gt;="&amp;K3584,$I$2:$I$5001)/MAX(1,SUM($H$2:$H$5001)),"")</f>
        <v/>
      </c>
      <c r="M3584" s="47" t="str">
        <f aca="false">IF($A3584="","",INDEX($L$2:$L$5001,MATCH($A3584,$A$2:$A$5001,0)))</f>
        <v/>
      </c>
      <c r="N3584" s="48" t="str">
        <f aca="false">IF($A3584="","",IF(N(M3584)=0,"–",IF(M3584&lt;=Start!$D$20,"A",IF(M3584&lt;=Start!$D$21,"B","C"))))</f>
        <v/>
      </c>
      <c r="O3584" s="48" t="str">
        <f aca="false">IF($A3584="","",IF(NOT(ISNUMBER(F3584)),"Wert fehlt; ",IF(F3584&lt;=0,"Wert ist 0; ",""))&amp;IF(NOT(ISNUMBER(E3584)),"Bestand fehlt; ",IF(E3584&lt;0,"Bestand negativ; ",IF(E3584=0,"Nullbestand; ","")))&amp;IF(D3584="","Warengruppe fehlt; ","")&amp;IF(B3584="","Bezeichnung fehlt; ","")&amp;IF(COUNTIFS($A$2:$A$5001,$A3584,$C$2:$C$5001,C3584)&gt;1,"Artikel doppelt im selben Lager; ",""))</f>
        <v/>
      </c>
      <c r="P3584" s="47" t="n">
        <f aca="false">IF(OR($A3584="",D3584=""),0,IF(COUNTIF($D$2:D3584,D3584)=1,SUMIF($D$2:$D$5001,D3584,$H$2:$H$5001)+ROW()/10000000,0))</f>
        <v>0</v>
      </c>
      <c r="Q3584" s="47" t="n">
        <f aca="false">IF(OR($A3584="",C3584=""),0,IF(COUNTIF($C$2:C3584,C3584)=1,SUMIF($C$2:$C$5001,C3584,$H$2:$H$5001)+ROW()/10000000,0))</f>
        <v>0</v>
      </c>
    </row>
    <row r="3585" customFormat="false" ht="15" hidden="false" customHeight="false" outlineLevel="0" collapsed="false">
      <c r="A3585" s="43"/>
      <c r="B3585" s="44"/>
      <c r="C3585" s="44"/>
      <c r="D3585" s="44"/>
      <c r="E3585" s="44"/>
      <c r="F3585" s="44"/>
      <c r="G3585" s="44"/>
      <c r="H3585" s="46" t="str">
        <f aca="false">IF($A3585="","",IF(OR(NOT(ISNUMBER(E3585)),NOT(ISNUMBER(F3585))),"",MAX(0,E3585)*F3585))</f>
        <v/>
      </c>
      <c r="I3585" s="46" t="str">
        <f aca="false">IF($A3585="","",SUMIF($A$2:$A$5001,$A3585,$H$2:$H$5001))</f>
        <v/>
      </c>
      <c r="J3585" s="47" t="n">
        <f aca="false">IF($A3585="",0,IF(COUNTIF($A$2:A3585,$A3585)=1,1,0))</f>
        <v>0</v>
      </c>
      <c r="K3585" s="47" t="n">
        <f aca="false">IF(J3585=1,N(I3585)+ROW()/10000000,0)</f>
        <v>0</v>
      </c>
      <c r="L3585" s="47" t="str">
        <f aca="false">IF(AND(J3585=1,N(I3585)&gt;0),SUMIF($K$2:$K$5001,"&gt;="&amp;K3585,$I$2:$I$5001)/MAX(1,SUM($H$2:$H$5001)),"")</f>
        <v/>
      </c>
      <c r="M3585" s="47" t="str">
        <f aca="false">IF($A3585="","",INDEX($L$2:$L$5001,MATCH($A3585,$A$2:$A$5001,0)))</f>
        <v/>
      </c>
      <c r="N3585" s="48" t="str">
        <f aca="false">IF($A3585="","",IF(N(M3585)=0,"–",IF(M3585&lt;=Start!$D$20,"A",IF(M3585&lt;=Start!$D$21,"B","C"))))</f>
        <v/>
      </c>
      <c r="O3585" s="48" t="str">
        <f aca="false">IF($A3585="","",IF(NOT(ISNUMBER(F3585)),"Wert fehlt; ",IF(F3585&lt;=0,"Wert ist 0; ",""))&amp;IF(NOT(ISNUMBER(E3585)),"Bestand fehlt; ",IF(E3585&lt;0,"Bestand negativ; ",IF(E3585=0,"Nullbestand; ","")))&amp;IF(D3585="","Warengruppe fehlt; ","")&amp;IF(B3585="","Bezeichnung fehlt; ","")&amp;IF(COUNTIFS($A$2:$A$5001,$A3585,$C$2:$C$5001,C3585)&gt;1,"Artikel doppelt im selben Lager; ",""))</f>
        <v/>
      </c>
      <c r="P3585" s="47" t="n">
        <f aca="false">IF(OR($A3585="",D3585=""),0,IF(COUNTIF($D$2:D3585,D3585)=1,SUMIF($D$2:$D$5001,D3585,$H$2:$H$5001)+ROW()/10000000,0))</f>
        <v>0</v>
      </c>
      <c r="Q3585" s="47" t="n">
        <f aca="false">IF(OR($A3585="",C3585=""),0,IF(COUNTIF($C$2:C3585,C3585)=1,SUMIF($C$2:$C$5001,C3585,$H$2:$H$5001)+ROW()/10000000,0))</f>
        <v>0</v>
      </c>
    </row>
    <row r="3586" customFormat="false" ht="15" hidden="false" customHeight="false" outlineLevel="0" collapsed="false">
      <c r="A3586" s="43"/>
      <c r="B3586" s="44"/>
      <c r="C3586" s="44"/>
      <c r="D3586" s="44"/>
      <c r="E3586" s="44"/>
      <c r="F3586" s="44"/>
      <c r="G3586" s="44"/>
      <c r="H3586" s="46" t="str">
        <f aca="false">IF($A3586="","",IF(OR(NOT(ISNUMBER(E3586)),NOT(ISNUMBER(F3586))),"",MAX(0,E3586)*F3586))</f>
        <v/>
      </c>
      <c r="I3586" s="46" t="str">
        <f aca="false">IF($A3586="","",SUMIF($A$2:$A$5001,$A3586,$H$2:$H$5001))</f>
        <v/>
      </c>
      <c r="J3586" s="47" t="n">
        <f aca="false">IF($A3586="",0,IF(COUNTIF($A$2:A3586,$A3586)=1,1,0))</f>
        <v>0</v>
      </c>
      <c r="K3586" s="47" t="n">
        <f aca="false">IF(J3586=1,N(I3586)+ROW()/10000000,0)</f>
        <v>0</v>
      </c>
      <c r="L3586" s="47" t="str">
        <f aca="false">IF(AND(J3586=1,N(I3586)&gt;0),SUMIF($K$2:$K$5001,"&gt;="&amp;K3586,$I$2:$I$5001)/MAX(1,SUM($H$2:$H$5001)),"")</f>
        <v/>
      </c>
      <c r="M3586" s="47" t="str">
        <f aca="false">IF($A3586="","",INDEX($L$2:$L$5001,MATCH($A3586,$A$2:$A$5001,0)))</f>
        <v/>
      </c>
      <c r="N3586" s="48" t="str">
        <f aca="false">IF($A3586="","",IF(N(M3586)=0,"–",IF(M3586&lt;=Start!$D$20,"A",IF(M3586&lt;=Start!$D$21,"B","C"))))</f>
        <v/>
      </c>
      <c r="O3586" s="48" t="str">
        <f aca="false">IF($A3586="","",IF(NOT(ISNUMBER(F3586)),"Wert fehlt; ",IF(F3586&lt;=0,"Wert ist 0; ",""))&amp;IF(NOT(ISNUMBER(E3586)),"Bestand fehlt; ",IF(E3586&lt;0,"Bestand negativ; ",IF(E3586=0,"Nullbestand; ","")))&amp;IF(D3586="","Warengruppe fehlt; ","")&amp;IF(B3586="","Bezeichnung fehlt; ","")&amp;IF(COUNTIFS($A$2:$A$5001,$A3586,$C$2:$C$5001,C3586)&gt;1,"Artikel doppelt im selben Lager; ",""))</f>
        <v/>
      </c>
      <c r="P3586" s="47" t="n">
        <f aca="false">IF(OR($A3586="",D3586=""),0,IF(COUNTIF($D$2:D3586,D3586)=1,SUMIF($D$2:$D$5001,D3586,$H$2:$H$5001)+ROW()/10000000,0))</f>
        <v>0</v>
      </c>
      <c r="Q3586" s="47" t="n">
        <f aca="false">IF(OR($A3586="",C3586=""),0,IF(COUNTIF($C$2:C3586,C3586)=1,SUMIF($C$2:$C$5001,C3586,$H$2:$H$5001)+ROW()/10000000,0))</f>
        <v>0</v>
      </c>
    </row>
    <row r="3587" customFormat="false" ht="15" hidden="false" customHeight="false" outlineLevel="0" collapsed="false">
      <c r="A3587" s="43"/>
      <c r="B3587" s="44"/>
      <c r="C3587" s="44"/>
      <c r="D3587" s="44"/>
      <c r="E3587" s="44"/>
      <c r="F3587" s="44"/>
      <c r="G3587" s="44"/>
      <c r="H3587" s="46" t="str">
        <f aca="false">IF($A3587="","",IF(OR(NOT(ISNUMBER(E3587)),NOT(ISNUMBER(F3587))),"",MAX(0,E3587)*F3587))</f>
        <v/>
      </c>
      <c r="I3587" s="46" t="str">
        <f aca="false">IF($A3587="","",SUMIF($A$2:$A$5001,$A3587,$H$2:$H$5001))</f>
        <v/>
      </c>
      <c r="J3587" s="47" t="n">
        <f aca="false">IF($A3587="",0,IF(COUNTIF($A$2:A3587,$A3587)=1,1,0))</f>
        <v>0</v>
      </c>
      <c r="K3587" s="47" t="n">
        <f aca="false">IF(J3587=1,N(I3587)+ROW()/10000000,0)</f>
        <v>0</v>
      </c>
      <c r="L3587" s="47" t="str">
        <f aca="false">IF(AND(J3587=1,N(I3587)&gt;0),SUMIF($K$2:$K$5001,"&gt;="&amp;K3587,$I$2:$I$5001)/MAX(1,SUM($H$2:$H$5001)),"")</f>
        <v/>
      </c>
      <c r="M3587" s="47" t="str">
        <f aca="false">IF($A3587="","",INDEX($L$2:$L$5001,MATCH($A3587,$A$2:$A$5001,0)))</f>
        <v/>
      </c>
      <c r="N3587" s="48" t="str">
        <f aca="false">IF($A3587="","",IF(N(M3587)=0,"–",IF(M3587&lt;=Start!$D$20,"A",IF(M3587&lt;=Start!$D$21,"B","C"))))</f>
        <v/>
      </c>
      <c r="O3587" s="48" t="str">
        <f aca="false">IF($A3587="","",IF(NOT(ISNUMBER(F3587)),"Wert fehlt; ",IF(F3587&lt;=0,"Wert ist 0; ",""))&amp;IF(NOT(ISNUMBER(E3587)),"Bestand fehlt; ",IF(E3587&lt;0,"Bestand negativ; ",IF(E3587=0,"Nullbestand; ","")))&amp;IF(D3587="","Warengruppe fehlt; ","")&amp;IF(B3587="","Bezeichnung fehlt; ","")&amp;IF(COUNTIFS($A$2:$A$5001,$A3587,$C$2:$C$5001,C3587)&gt;1,"Artikel doppelt im selben Lager; ",""))</f>
        <v/>
      </c>
      <c r="P3587" s="47" t="n">
        <f aca="false">IF(OR($A3587="",D3587=""),0,IF(COUNTIF($D$2:D3587,D3587)=1,SUMIF($D$2:$D$5001,D3587,$H$2:$H$5001)+ROW()/10000000,0))</f>
        <v>0</v>
      </c>
      <c r="Q3587" s="47" t="n">
        <f aca="false">IF(OR($A3587="",C3587=""),0,IF(COUNTIF($C$2:C3587,C3587)=1,SUMIF($C$2:$C$5001,C3587,$H$2:$H$5001)+ROW()/10000000,0))</f>
        <v>0</v>
      </c>
    </row>
    <row r="3588" customFormat="false" ht="15" hidden="false" customHeight="false" outlineLevel="0" collapsed="false">
      <c r="A3588" s="43"/>
      <c r="B3588" s="44"/>
      <c r="C3588" s="44"/>
      <c r="D3588" s="44"/>
      <c r="E3588" s="44"/>
      <c r="F3588" s="44"/>
      <c r="G3588" s="44"/>
      <c r="H3588" s="46" t="str">
        <f aca="false">IF($A3588="","",IF(OR(NOT(ISNUMBER(E3588)),NOT(ISNUMBER(F3588))),"",MAX(0,E3588)*F3588))</f>
        <v/>
      </c>
      <c r="I3588" s="46" t="str">
        <f aca="false">IF($A3588="","",SUMIF($A$2:$A$5001,$A3588,$H$2:$H$5001))</f>
        <v/>
      </c>
      <c r="J3588" s="47" t="n">
        <f aca="false">IF($A3588="",0,IF(COUNTIF($A$2:A3588,$A3588)=1,1,0))</f>
        <v>0</v>
      </c>
      <c r="K3588" s="47" t="n">
        <f aca="false">IF(J3588=1,N(I3588)+ROW()/10000000,0)</f>
        <v>0</v>
      </c>
      <c r="L3588" s="47" t="str">
        <f aca="false">IF(AND(J3588=1,N(I3588)&gt;0),SUMIF($K$2:$K$5001,"&gt;="&amp;K3588,$I$2:$I$5001)/MAX(1,SUM($H$2:$H$5001)),"")</f>
        <v/>
      </c>
      <c r="M3588" s="47" t="str">
        <f aca="false">IF($A3588="","",INDEX($L$2:$L$5001,MATCH($A3588,$A$2:$A$5001,0)))</f>
        <v/>
      </c>
      <c r="N3588" s="48" t="str">
        <f aca="false">IF($A3588="","",IF(N(M3588)=0,"–",IF(M3588&lt;=Start!$D$20,"A",IF(M3588&lt;=Start!$D$21,"B","C"))))</f>
        <v/>
      </c>
      <c r="O3588" s="48" t="str">
        <f aca="false">IF($A3588="","",IF(NOT(ISNUMBER(F3588)),"Wert fehlt; ",IF(F3588&lt;=0,"Wert ist 0; ",""))&amp;IF(NOT(ISNUMBER(E3588)),"Bestand fehlt; ",IF(E3588&lt;0,"Bestand negativ; ",IF(E3588=0,"Nullbestand; ","")))&amp;IF(D3588="","Warengruppe fehlt; ","")&amp;IF(B3588="","Bezeichnung fehlt; ","")&amp;IF(COUNTIFS($A$2:$A$5001,$A3588,$C$2:$C$5001,C3588)&gt;1,"Artikel doppelt im selben Lager; ",""))</f>
        <v/>
      </c>
      <c r="P3588" s="47" t="n">
        <f aca="false">IF(OR($A3588="",D3588=""),0,IF(COUNTIF($D$2:D3588,D3588)=1,SUMIF($D$2:$D$5001,D3588,$H$2:$H$5001)+ROW()/10000000,0))</f>
        <v>0</v>
      </c>
      <c r="Q3588" s="47" t="n">
        <f aca="false">IF(OR($A3588="",C3588=""),0,IF(COUNTIF($C$2:C3588,C3588)=1,SUMIF($C$2:$C$5001,C3588,$H$2:$H$5001)+ROW()/10000000,0))</f>
        <v>0</v>
      </c>
    </row>
    <row r="3589" customFormat="false" ht="15" hidden="false" customHeight="false" outlineLevel="0" collapsed="false">
      <c r="A3589" s="43"/>
      <c r="B3589" s="44"/>
      <c r="C3589" s="44"/>
      <c r="D3589" s="44"/>
      <c r="E3589" s="44"/>
      <c r="F3589" s="44"/>
      <c r="G3589" s="44"/>
      <c r="H3589" s="46" t="str">
        <f aca="false">IF($A3589="","",IF(OR(NOT(ISNUMBER(E3589)),NOT(ISNUMBER(F3589))),"",MAX(0,E3589)*F3589))</f>
        <v/>
      </c>
      <c r="I3589" s="46" t="str">
        <f aca="false">IF($A3589="","",SUMIF($A$2:$A$5001,$A3589,$H$2:$H$5001))</f>
        <v/>
      </c>
      <c r="J3589" s="47" t="n">
        <f aca="false">IF($A3589="",0,IF(COUNTIF($A$2:A3589,$A3589)=1,1,0))</f>
        <v>0</v>
      </c>
      <c r="K3589" s="47" t="n">
        <f aca="false">IF(J3589=1,N(I3589)+ROW()/10000000,0)</f>
        <v>0</v>
      </c>
      <c r="L3589" s="47" t="str">
        <f aca="false">IF(AND(J3589=1,N(I3589)&gt;0),SUMIF($K$2:$K$5001,"&gt;="&amp;K3589,$I$2:$I$5001)/MAX(1,SUM($H$2:$H$5001)),"")</f>
        <v/>
      </c>
      <c r="M3589" s="47" t="str">
        <f aca="false">IF($A3589="","",INDEX($L$2:$L$5001,MATCH($A3589,$A$2:$A$5001,0)))</f>
        <v/>
      </c>
      <c r="N3589" s="48" t="str">
        <f aca="false">IF($A3589="","",IF(N(M3589)=0,"–",IF(M3589&lt;=Start!$D$20,"A",IF(M3589&lt;=Start!$D$21,"B","C"))))</f>
        <v/>
      </c>
      <c r="O3589" s="48" t="str">
        <f aca="false">IF($A3589="","",IF(NOT(ISNUMBER(F3589)),"Wert fehlt; ",IF(F3589&lt;=0,"Wert ist 0; ",""))&amp;IF(NOT(ISNUMBER(E3589)),"Bestand fehlt; ",IF(E3589&lt;0,"Bestand negativ; ",IF(E3589=0,"Nullbestand; ","")))&amp;IF(D3589="","Warengruppe fehlt; ","")&amp;IF(B3589="","Bezeichnung fehlt; ","")&amp;IF(COUNTIFS($A$2:$A$5001,$A3589,$C$2:$C$5001,C3589)&gt;1,"Artikel doppelt im selben Lager; ",""))</f>
        <v/>
      </c>
      <c r="P3589" s="47" t="n">
        <f aca="false">IF(OR($A3589="",D3589=""),0,IF(COUNTIF($D$2:D3589,D3589)=1,SUMIF($D$2:$D$5001,D3589,$H$2:$H$5001)+ROW()/10000000,0))</f>
        <v>0</v>
      </c>
      <c r="Q3589" s="47" t="n">
        <f aca="false">IF(OR($A3589="",C3589=""),0,IF(COUNTIF($C$2:C3589,C3589)=1,SUMIF($C$2:$C$5001,C3589,$H$2:$H$5001)+ROW()/10000000,0))</f>
        <v>0</v>
      </c>
    </row>
    <row r="3590" customFormat="false" ht="15" hidden="false" customHeight="false" outlineLevel="0" collapsed="false">
      <c r="A3590" s="43"/>
      <c r="B3590" s="44"/>
      <c r="C3590" s="44"/>
      <c r="D3590" s="44"/>
      <c r="E3590" s="44"/>
      <c r="F3590" s="44"/>
      <c r="G3590" s="44"/>
      <c r="H3590" s="46" t="str">
        <f aca="false">IF($A3590="","",IF(OR(NOT(ISNUMBER(E3590)),NOT(ISNUMBER(F3590))),"",MAX(0,E3590)*F3590))</f>
        <v/>
      </c>
      <c r="I3590" s="46" t="str">
        <f aca="false">IF($A3590="","",SUMIF($A$2:$A$5001,$A3590,$H$2:$H$5001))</f>
        <v/>
      </c>
      <c r="J3590" s="47" t="n">
        <f aca="false">IF($A3590="",0,IF(COUNTIF($A$2:A3590,$A3590)=1,1,0))</f>
        <v>0</v>
      </c>
      <c r="K3590" s="47" t="n">
        <f aca="false">IF(J3590=1,N(I3590)+ROW()/10000000,0)</f>
        <v>0</v>
      </c>
      <c r="L3590" s="47" t="str">
        <f aca="false">IF(AND(J3590=1,N(I3590)&gt;0),SUMIF($K$2:$K$5001,"&gt;="&amp;K3590,$I$2:$I$5001)/MAX(1,SUM($H$2:$H$5001)),"")</f>
        <v/>
      </c>
      <c r="M3590" s="47" t="str">
        <f aca="false">IF($A3590="","",INDEX($L$2:$L$5001,MATCH($A3590,$A$2:$A$5001,0)))</f>
        <v/>
      </c>
      <c r="N3590" s="48" t="str">
        <f aca="false">IF($A3590="","",IF(N(M3590)=0,"–",IF(M3590&lt;=Start!$D$20,"A",IF(M3590&lt;=Start!$D$21,"B","C"))))</f>
        <v/>
      </c>
      <c r="O3590" s="48" t="str">
        <f aca="false">IF($A3590="","",IF(NOT(ISNUMBER(F3590)),"Wert fehlt; ",IF(F3590&lt;=0,"Wert ist 0; ",""))&amp;IF(NOT(ISNUMBER(E3590)),"Bestand fehlt; ",IF(E3590&lt;0,"Bestand negativ; ",IF(E3590=0,"Nullbestand; ","")))&amp;IF(D3590="","Warengruppe fehlt; ","")&amp;IF(B3590="","Bezeichnung fehlt; ","")&amp;IF(COUNTIFS($A$2:$A$5001,$A3590,$C$2:$C$5001,C3590)&gt;1,"Artikel doppelt im selben Lager; ",""))</f>
        <v/>
      </c>
      <c r="P3590" s="47" t="n">
        <f aca="false">IF(OR($A3590="",D3590=""),0,IF(COUNTIF($D$2:D3590,D3590)=1,SUMIF($D$2:$D$5001,D3590,$H$2:$H$5001)+ROW()/10000000,0))</f>
        <v>0</v>
      </c>
      <c r="Q3590" s="47" t="n">
        <f aca="false">IF(OR($A3590="",C3590=""),0,IF(COUNTIF($C$2:C3590,C3590)=1,SUMIF($C$2:$C$5001,C3590,$H$2:$H$5001)+ROW()/10000000,0))</f>
        <v>0</v>
      </c>
    </row>
    <row r="3591" customFormat="false" ht="15" hidden="false" customHeight="false" outlineLevel="0" collapsed="false">
      <c r="A3591" s="43"/>
      <c r="B3591" s="44"/>
      <c r="C3591" s="44"/>
      <c r="D3591" s="44"/>
      <c r="E3591" s="44"/>
      <c r="F3591" s="44"/>
      <c r="G3591" s="44"/>
      <c r="H3591" s="46" t="str">
        <f aca="false">IF($A3591="","",IF(OR(NOT(ISNUMBER(E3591)),NOT(ISNUMBER(F3591))),"",MAX(0,E3591)*F3591))</f>
        <v/>
      </c>
      <c r="I3591" s="46" t="str">
        <f aca="false">IF($A3591="","",SUMIF($A$2:$A$5001,$A3591,$H$2:$H$5001))</f>
        <v/>
      </c>
      <c r="J3591" s="47" t="n">
        <f aca="false">IF($A3591="",0,IF(COUNTIF($A$2:A3591,$A3591)=1,1,0))</f>
        <v>0</v>
      </c>
      <c r="K3591" s="47" t="n">
        <f aca="false">IF(J3591=1,N(I3591)+ROW()/10000000,0)</f>
        <v>0</v>
      </c>
      <c r="L3591" s="47" t="str">
        <f aca="false">IF(AND(J3591=1,N(I3591)&gt;0),SUMIF($K$2:$K$5001,"&gt;="&amp;K3591,$I$2:$I$5001)/MAX(1,SUM($H$2:$H$5001)),"")</f>
        <v/>
      </c>
      <c r="M3591" s="47" t="str">
        <f aca="false">IF($A3591="","",INDEX($L$2:$L$5001,MATCH($A3591,$A$2:$A$5001,0)))</f>
        <v/>
      </c>
      <c r="N3591" s="48" t="str">
        <f aca="false">IF($A3591="","",IF(N(M3591)=0,"–",IF(M3591&lt;=Start!$D$20,"A",IF(M3591&lt;=Start!$D$21,"B","C"))))</f>
        <v/>
      </c>
      <c r="O3591" s="48" t="str">
        <f aca="false">IF($A3591="","",IF(NOT(ISNUMBER(F3591)),"Wert fehlt; ",IF(F3591&lt;=0,"Wert ist 0; ",""))&amp;IF(NOT(ISNUMBER(E3591)),"Bestand fehlt; ",IF(E3591&lt;0,"Bestand negativ; ",IF(E3591=0,"Nullbestand; ","")))&amp;IF(D3591="","Warengruppe fehlt; ","")&amp;IF(B3591="","Bezeichnung fehlt; ","")&amp;IF(COUNTIFS($A$2:$A$5001,$A3591,$C$2:$C$5001,C3591)&gt;1,"Artikel doppelt im selben Lager; ",""))</f>
        <v/>
      </c>
      <c r="P3591" s="47" t="n">
        <f aca="false">IF(OR($A3591="",D3591=""),0,IF(COUNTIF($D$2:D3591,D3591)=1,SUMIF($D$2:$D$5001,D3591,$H$2:$H$5001)+ROW()/10000000,0))</f>
        <v>0</v>
      </c>
      <c r="Q3591" s="47" t="n">
        <f aca="false">IF(OR($A3591="",C3591=""),0,IF(COUNTIF($C$2:C3591,C3591)=1,SUMIF($C$2:$C$5001,C3591,$H$2:$H$5001)+ROW()/10000000,0))</f>
        <v>0</v>
      </c>
    </row>
    <row r="3592" customFormat="false" ht="15" hidden="false" customHeight="false" outlineLevel="0" collapsed="false">
      <c r="A3592" s="43"/>
      <c r="B3592" s="44"/>
      <c r="C3592" s="44"/>
      <c r="D3592" s="44"/>
      <c r="E3592" s="44"/>
      <c r="F3592" s="44"/>
      <c r="G3592" s="44"/>
      <c r="H3592" s="46" t="str">
        <f aca="false">IF($A3592="","",IF(OR(NOT(ISNUMBER(E3592)),NOT(ISNUMBER(F3592))),"",MAX(0,E3592)*F3592))</f>
        <v/>
      </c>
      <c r="I3592" s="46" t="str">
        <f aca="false">IF($A3592="","",SUMIF($A$2:$A$5001,$A3592,$H$2:$H$5001))</f>
        <v/>
      </c>
      <c r="J3592" s="47" t="n">
        <f aca="false">IF($A3592="",0,IF(COUNTIF($A$2:A3592,$A3592)=1,1,0))</f>
        <v>0</v>
      </c>
      <c r="K3592" s="47" t="n">
        <f aca="false">IF(J3592=1,N(I3592)+ROW()/10000000,0)</f>
        <v>0</v>
      </c>
      <c r="L3592" s="47" t="str">
        <f aca="false">IF(AND(J3592=1,N(I3592)&gt;0),SUMIF($K$2:$K$5001,"&gt;="&amp;K3592,$I$2:$I$5001)/MAX(1,SUM($H$2:$H$5001)),"")</f>
        <v/>
      </c>
      <c r="M3592" s="47" t="str">
        <f aca="false">IF($A3592="","",INDEX($L$2:$L$5001,MATCH($A3592,$A$2:$A$5001,0)))</f>
        <v/>
      </c>
      <c r="N3592" s="48" t="str">
        <f aca="false">IF($A3592="","",IF(N(M3592)=0,"–",IF(M3592&lt;=Start!$D$20,"A",IF(M3592&lt;=Start!$D$21,"B","C"))))</f>
        <v/>
      </c>
      <c r="O3592" s="48" t="str">
        <f aca="false">IF($A3592="","",IF(NOT(ISNUMBER(F3592)),"Wert fehlt; ",IF(F3592&lt;=0,"Wert ist 0; ",""))&amp;IF(NOT(ISNUMBER(E3592)),"Bestand fehlt; ",IF(E3592&lt;0,"Bestand negativ; ",IF(E3592=0,"Nullbestand; ","")))&amp;IF(D3592="","Warengruppe fehlt; ","")&amp;IF(B3592="","Bezeichnung fehlt; ","")&amp;IF(COUNTIFS($A$2:$A$5001,$A3592,$C$2:$C$5001,C3592)&gt;1,"Artikel doppelt im selben Lager; ",""))</f>
        <v/>
      </c>
      <c r="P3592" s="47" t="n">
        <f aca="false">IF(OR($A3592="",D3592=""),0,IF(COUNTIF($D$2:D3592,D3592)=1,SUMIF($D$2:$D$5001,D3592,$H$2:$H$5001)+ROW()/10000000,0))</f>
        <v>0</v>
      </c>
      <c r="Q3592" s="47" t="n">
        <f aca="false">IF(OR($A3592="",C3592=""),0,IF(COUNTIF($C$2:C3592,C3592)=1,SUMIF($C$2:$C$5001,C3592,$H$2:$H$5001)+ROW()/10000000,0))</f>
        <v>0</v>
      </c>
    </row>
    <row r="3593" customFormat="false" ht="15" hidden="false" customHeight="false" outlineLevel="0" collapsed="false">
      <c r="A3593" s="43"/>
      <c r="B3593" s="44"/>
      <c r="C3593" s="44"/>
      <c r="D3593" s="44"/>
      <c r="E3593" s="44"/>
      <c r="F3593" s="44"/>
      <c r="G3593" s="44"/>
      <c r="H3593" s="46" t="str">
        <f aca="false">IF($A3593="","",IF(OR(NOT(ISNUMBER(E3593)),NOT(ISNUMBER(F3593))),"",MAX(0,E3593)*F3593))</f>
        <v/>
      </c>
      <c r="I3593" s="46" t="str">
        <f aca="false">IF($A3593="","",SUMIF($A$2:$A$5001,$A3593,$H$2:$H$5001))</f>
        <v/>
      </c>
      <c r="J3593" s="47" t="n">
        <f aca="false">IF($A3593="",0,IF(COUNTIF($A$2:A3593,$A3593)=1,1,0))</f>
        <v>0</v>
      </c>
      <c r="K3593" s="47" t="n">
        <f aca="false">IF(J3593=1,N(I3593)+ROW()/10000000,0)</f>
        <v>0</v>
      </c>
      <c r="L3593" s="47" t="str">
        <f aca="false">IF(AND(J3593=1,N(I3593)&gt;0),SUMIF($K$2:$K$5001,"&gt;="&amp;K3593,$I$2:$I$5001)/MAX(1,SUM($H$2:$H$5001)),"")</f>
        <v/>
      </c>
      <c r="M3593" s="47" t="str">
        <f aca="false">IF($A3593="","",INDEX($L$2:$L$5001,MATCH($A3593,$A$2:$A$5001,0)))</f>
        <v/>
      </c>
      <c r="N3593" s="48" t="str">
        <f aca="false">IF($A3593="","",IF(N(M3593)=0,"–",IF(M3593&lt;=Start!$D$20,"A",IF(M3593&lt;=Start!$D$21,"B","C"))))</f>
        <v/>
      </c>
      <c r="O3593" s="48" t="str">
        <f aca="false">IF($A3593="","",IF(NOT(ISNUMBER(F3593)),"Wert fehlt; ",IF(F3593&lt;=0,"Wert ist 0; ",""))&amp;IF(NOT(ISNUMBER(E3593)),"Bestand fehlt; ",IF(E3593&lt;0,"Bestand negativ; ",IF(E3593=0,"Nullbestand; ","")))&amp;IF(D3593="","Warengruppe fehlt; ","")&amp;IF(B3593="","Bezeichnung fehlt; ","")&amp;IF(COUNTIFS($A$2:$A$5001,$A3593,$C$2:$C$5001,C3593)&gt;1,"Artikel doppelt im selben Lager; ",""))</f>
        <v/>
      </c>
      <c r="P3593" s="47" t="n">
        <f aca="false">IF(OR($A3593="",D3593=""),0,IF(COUNTIF($D$2:D3593,D3593)=1,SUMIF($D$2:$D$5001,D3593,$H$2:$H$5001)+ROW()/10000000,0))</f>
        <v>0</v>
      </c>
      <c r="Q3593" s="47" t="n">
        <f aca="false">IF(OR($A3593="",C3593=""),0,IF(COUNTIF($C$2:C3593,C3593)=1,SUMIF($C$2:$C$5001,C3593,$H$2:$H$5001)+ROW()/10000000,0))</f>
        <v>0</v>
      </c>
    </row>
    <row r="3594" customFormat="false" ht="15" hidden="false" customHeight="false" outlineLevel="0" collapsed="false">
      <c r="A3594" s="43"/>
      <c r="B3594" s="44"/>
      <c r="C3594" s="44"/>
      <c r="D3594" s="44"/>
      <c r="E3594" s="44"/>
      <c r="F3594" s="44"/>
      <c r="G3594" s="44"/>
      <c r="H3594" s="46" t="str">
        <f aca="false">IF($A3594="","",IF(OR(NOT(ISNUMBER(E3594)),NOT(ISNUMBER(F3594))),"",MAX(0,E3594)*F3594))</f>
        <v/>
      </c>
      <c r="I3594" s="46" t="str">
        <f aca="false">IF($A3594="","",SUMIF($A$2:$A$5001,$A3594,$H$2:$H$5001))</f>
        <v/>
      </c>
      <c r="J3594" s="47" t="n">
        <f aca="false">IF($A3594="",0,IF(COUNTIF($A$2:A3594,$A3594)=1,1,0))</f>
        <v>0</v>
      </c>
      <c r="K3594" s="47" t="n">
        <f aca="false">IF(J3594=1,N(I3594)+ROW()/10000000,0)</f>
        <v>0</v>
      </c>
      <c r="L3594" s="47" t="str">
        <f aca="false">IF(AND(J3594=1,N(I3594)&gt;0),SUMIF($K$2:$K$5001,"&gt;="&amp;K3594,$I$2:$I$5001)/MAX(1,SUM($H$2:$H$5001)),"")</f>
        <v/>
      </c>
      <c r="M3594" s="47" t="str">
        <f aca="false">IF($A3594="","",INDEX($L$2:$L$5001,MATCH($A3594,$A$2:$A$5001,0)))</f>
        <v/>
      </c>
      <c r="N3594" s="48" t="str">
        <f aca="false">IF($A3594="","",IF(N(M3594)=0,"–",IF(M3594&lt;=Start!$D$20,"A",IF(M3594&lt;=Start!$D$21,"B","C"))))</f>
        <v/>
      </c>
      <c r="O3594" s="48" t="str">
        <f aca="false">IF($A3594="","",IF(NOT(ISNUMBER(F3594)),"Wert fehlt; ",IF(F3594&lt;=0,"Wert ist 0; ",""))&amp;IF(NOT(ISNUMBER(E3594)),"Bestand fehlt; ",IF(E3594&lt;0,"Bestand negativ; ",IF(E3594=0,"Nullbestand; ","")))&amp;IF(D3594="","Warengruppe fehlt; ","")&amp;IF(B3594="","Bezeichnung fehlt; ","")&amp;IF(COUNTIFS($A$2:$A$5001,$A3594,$C$2:$C$5001,C3594)&gt;1,"Artikel doppelt im selben Lager; ",""))</f>
        <v/>
      </c>
      <c r="P3594" s="47" t="n">
        <f aca="false">IF(OR($A3594="",D3594=""),0,IF(COUNTIF($D$2:D3594,D3594)=1,SUMIF($D$2:$D$5001,D3594,$H$2:$H$5001)+ROW()/10000000,0))</f>
        <v>0</v>
      </c>
      <c r="Q3594" s="47" t="n">
        <f aca="false">IF(OR($A3594="",C3594=""),0,IF(COUNTIF($C$2:C3594,C3594)=1,SUMIF($C$2:$C$5001,C3594,$H$2:$H$5001)+ROW()/10000000,0))</f>
        <v>0</v>
      </c>
    </row>
    <row r="3595" customFormat="false" ht="15" hidden="false" customHeight="false" outlineLevel="0" collapsed="false">
      <c r="A3595" s="43"/>
      <c r="B3595" s="44"/>
      <c r="C3595" s="44"/>
      <c r="D3595" s="44"/>
      <c r="E3595" s="44"/>
      <c r="F3595" s="44"/>
      <c r="G3595" s="44"/>
      <c r="H3595" s="46" t="str">
        <f aca="false">IF($A3595="","",IF(OR(NOT(ISNUMBER(E3595)),NOT(ISNUMBER(F3595))),"",MAX(0,E3595)*F3595))</f>
        <v/>
      </c>
      <c r="I3595" s="46" t="str">
        <f aca="false">IF($A3595="","",SUMIF($A$2:$A$5001,$A3595,$H$2:$H$5001))</f>
        <v/>
      </c>
      <c r="J3595" s="47" t="n">
        <f aca="false">IF($A3595="",0,IF(COUNTIF($A$2:A3595,$A3595)=1,1,0))</f>
        <v>0</v>
      </c>
      <c r="K3595" s="47" t="n">
        <f aca="false">IF(J3595=1,N(I3595)+ROW()/10000000,0)</f>
        <v>0</v>
      </c>
      <c r="L3595" s="47" t="str">
        <f aca="false">IF(AND(J3595=1,N(I3595)&gt;0),SUMIF($K$2:$K$5001,"&gt;="&amp;K3595,$I$2:$I$5001)/MAX(1,SUM($H$2:$H$5001)),"")</f>
        <v/>
      </c>
      <c r="M3595" s="47" t="str">
        <f aca="false">IF($A3595="","",INDEX($L$2:$L$5001,MATCH($A3595,$A$2:$A$5001,0)))</f>
        <v/>
      </c>
      <c r="N3595" s="48" t="str">
        <f aca="false">IF($A3595="","",IF(N(M3595)=0,"–",IF(M3595&lt;=Start!$D$20,"A",IF(M3595&lt;=Start!$D$21,"B","C"))))</f>
        <v/>
      </c>
      <c r="O3595" s="48" t="str">
        <f aca="false">IF($A3595="","",IF(NOT(ISNUMBER(F3595)),"Wert fehlt; ",IF(F3595&lt;=0,"Wert ist 0; ",""))&amp;IF(NOT(ISNUMBER(E3595)),"Bestand fehlt; ",IF(E3595&lt;0,"Bestand negativ; ",IF(E3595=0,"Nullbestand; ","")))&amp;IF(D3595="","Warengruppe fehlt; ","")&amp;IF(B3595="","Bezeichnung fehlt; ","")&amp;IF(COUNTIFS($A$2:$A$5001,$A3595,$C$2:$C$5001,C3595)&gt;1,"Artikel doppelt im selben Lager; ",""))</f>
        <v/>
      </c>
      <c r="P3595" s="47" t="n">
        <f aca="false">IF(OR($A3595="",D3595=""),0,IF(COUNTIF($D$2:D3595,D3595)=1,SUMIF($D$2:$D$5001,D3595,$H$2:$H$5001)+ROW()/10000000,0))</f>
        <v>0</v>
      </c>
      <c r="Q3595" s="47" t="n">
        <f aca="false">IF(OR($A3595="",C3595=""),0,IF(COUNTIF($C$2:C3595,C3595)=1,SUMIF($C$2:$C$5001,C3595,$H$2:$H$5001)+ROW()/10000000,0))</f>
        <v>0</v>
      </c>
    </row>
    <row r="3596" customFormat="false" ht="15" hidden="false" customHeight="false" outlineLevel="0" collapsed="false">
      <c r="A3596" s="43"/>
      <c r="B3596" s="44"/>
      <c r="C3596" s="44"/>
      <c r="D3596" s="44"/>
      <c r="E3596" s="44"/>
      <c r="F3596" s="44"/>
      <c r="G3596" s="44"/>
      <c r="H3596" s="46" t="str">
        <f aca="false">IF($A3596="","",IF(OR(NOT(ISNUMBER(E3596)),NOT(ISNUMBER(F3596))),"",MAX(0,E3596)*F3596))</f>
        <v/>
      </c>
      <c r="I3596" s="46" t="str">
        <f aca="false">IF($A3596="","",SUMIF($A$2:$A$5001,$A3596,$H$2:$H$5001))</f>
        <v/>
      </c>
      <c r="J3596" s="47" t="n">
        <f aca="false">IF($A3596="",0,IF(COUNTIF($A$2:A3596,$A3596)=1,1,0))</f>
        <v>0</v>
      </c>
      <c r="K3596" s="47" t="n">
        <f aca="false">IF(J3596=1,N(I3596)+ROW()/10000000,0)</f>
        <v>0</v>
      </c>
      <c r="L3596" s="47" t="str">
        <f aca="false">IF(AND(J3596=1,N(I3596)&gt;0),SUMIF($K$2:$K$5001,"&gt;="&amp;K3596,$I$2:$I$5001)/MAX(1,SUM($H$2:$H$5001)),"")</f>
        <v/>
      </c>
      <c r="M3596" s="47" t="str">
        <f aca="false">IF($A3596="","",INDEX($L$2:$L$5001,MATCH($A3596,$A$2:$A$5001,0)))</f>
        <v/>
      </c>
      <c r="N3596" s="48" t="str">
        <f aca="false">IF($A3596="","",IF(N(M3596)=0,"–",IF(M3596&lt;=Start!$D$20,"A",IF(M3596&lt;=Start!$D$21,"B","C"))))</f>
        <v/>
      </c>
      <c r="O3596" s="48" t="str">
        <f aca="false">IF($A3596="","",IF(NOT(ISNUMBER(F3596)),"Wert fehlt; ",IF(F3596&lt;=0,"Wert ist 0; ",""))&amp;IF(NOT(ISNUMBER(E3596)),"Bestand fehlt; ",IF(E3596&lt;0,"Bestand negativ; ",IF(E3596=0,"Nullbestand; ","")))&amp;IF(D3596="","Warengruppe fehlt; ","")&amp;IF(B3596="","Bezeichnung fehlt; ","")&amp;IF(COUNTIFS($A$2:$A$5001,$A3596,$C$2:$C$5001,C3596)&gt;1,"Artikel doppelt im selben Lager; ",""))</f>
        <v/>
      </c>
      <c r="P3596" s="47" t="n">
        <f aca="false">IF(OR($A3596="",D3596=""),0,IF(COUNTIF($D$2:D3596,D3596)=1,SUMIF($D$2:$D$5001,D3596,$H$2:$H$5001)+ROW()/10000000,0))</f>
        <v>0</v>
      </c>
      <c r="Q3596" s="47" t="n">
        <f aca="false">IF(OR($A3596="",C3596=""),0,IF(COUNTIF($C$2:C3596,C3596)=1,SUMIF($C$2:$C$5001,C3596,$H$2:$H$5001)+ROW()/10000000,0))</f>
        <v>0</v>
      </c>
    </row>
    <row r="3597" customFormat="false" ht="15" hidden="false" customHeight="false" outlineLevel="0" collapsed="false">
      <c r="A3597" s="43"/>
      <c r="B3597" s="44"/>
      <c r="C3597" s="44"/>
      <c r="D3597" s="44"/>
      <c r="E3597" s="44"/>
      <c r="F3597" s="44"/>
      <c r="G3597" s="44"/>
      <c r="H3597" s="46" t="str">
        <f aca="false">IF($A3597="","",IF(OR(NOT(ISNUMBER(E3597)),NOT(ISNUMBER(F3597))),"",MAX(0,E3597)*F3597))</f>
        <v/>
      </c>
      <c r="I3597" s="46" t="str">
        <f aca="false">IF($A3597="","",SUMIF($A$2:$A$5001,$A3597,$H$2:$H$5001))</f>
        <v/>
      </c>
      <c r="J3597" s="47" t="n">
        <f aca="false">IF($A3597="",0,IF(COUNTIF($A$2:A3597,$A3597)=1,1,0))</f>
        <v>0</v>
      </c>
      <c r="K3597" s="47" t="n">
        <f aca="false">IF(J3597=1,N(I3597)+ROW()/10000000,0)</f>
        <v>0</v>
      </c>
      <c r="L3597" s="47" t="str">
        <f aca="false">IF(AND(J3597=1,N(I3597)&gt;0),SUMIF($K$2:$K$5001,"&gt;="&amp;K3597,$I$2:$I$5001)/MAX(1,SUM($H$2:$H$5001)),"")</f>
        <v/>
      </c>
      <c r="M3597" s="47" t="str">
        <f aca="false">IF($A3597="","",INDEX($L$2:$L$5001,MATCH($A3597,$A$2:$A$5001,0)))</f>
        <v/>
      </c>
      <c r="N3597" s="48" t="str">
        <f aca="false">IF($A3597="","",IF(N(M3597)=0,"–",IF(M3597&lt;=Start!$D$20,"A",IF(M3597&lt;=Start!$D$21,"B","C"))))</f>
        <v/>
      </c>
      <c r="O3597" s="48" t="str">
        <f aca="false">IF($A3597="","",IF(NOT(ISNUMBER(F3597)),"Wert fehlt; ",IF(F3597&lt;=0,"Wert ist 0; ",""))&amp;IF(NOT(ISNUMBER(E3597)),"Bestand fehlt; ",IF(E3597&lt;0,"Bestand negativ; ",IF(E3597=0,"Nullbestand; ","")))&amp;IF(D3597="","Warengruppe fehlt; ","")&amp;IF(B3597="","Bezeichnung fehlt; ","")&amp;IF(COUNTIFS($A$2:$A$5001,$A3597,$C$2:$C$5001,C3597)&gt;1,"Artikel doppelt im selben Lager; ",""))</f>
        <v/>
      </c>
      <c r="P3597" s="47" t="n">
        <f aca="false">IF(OR($A3597="",D3597=""),0,IF(COUNTIF($D$2:D3597,D3597)=1,SUMIF($D$2:$D$5001,D3597,$H$2:$H$5001)+ROW()/10000000,0))</f>
        <v>0</v>
      </c>
      <c r="Q3597" s="47" t="n">
        <f aca="false">IF(OR($A3597="",C3597=""),0,IF(COUNTIF($C$2:C3597,C3597)=1,SUMIF($C$2:$C$5001,C3597,$H$2:$H$5001)+ROW()/10000000,0))</f>
        <v>0</v>
      </c>
    </row>
    <row r="3598" customFormat="false" ht="15" hidden="false" customHeight="false" outlineLevel="0" collapsed="false">
      <c r="A3598" s="43"/>
      <c r="B3598" s="44"/>
      <c r="C3598" s="44"/>
      <c r="D3598" s="44"/>
      <c r="E3598" s="44"/>
      <c r="F3598" s="44"/>
      <c r="G3598" s="44"/>
      <c r="H3598" s="46" t="str">
        <f aca="false">IF($A3598="","",IF(OR(NOT(ISNUMBER(E3598)),NOT(ISNUMBER(F3598))),"",MAX(0,E3598)*F3598))</f>
        <v/>
      </c>
      <c r="I3598" s="46" t="str">
        <f aca="false">IF($A3598="","",SUMIF($A$2:$A$5001,$A3598,$H$2:$H$5001))</f>
        <v/>
      </c>
      <c r="J3598" s="47" t="n">
        <f aca="false">IF($A3598="",0,IF(COUNTIF($A$2:A3598,$A3598)=1,1,0))</f>
        <v>0</v>
      </c>
      <c r="K3598" s="47" t="n">
        <f aca="false">IF(J3598=1,N(I3598)+ROW()/10000000,0)</f>
        <v>0</v>
      </c>
      <c r="L3598" s="47" t="str">
        <f aca="false">IF(AND(J3598=1,N(I3598)&gt;0),SUMIF($K$2:$K$5001,"&gt;="&amp;K3598,$I$2:$I$5001)/MAX(1,SUM($H$2:$H$5001)),"")</f>
        <v/>
      </c>
      <c r="M3598" s="47" t="str">
        <f aca="false">IF($A3598="","",INDEX($L$2:$L$5001,MATCH($A3598,$A$2:$A$5001,0)))</f>
        <v/>
      </c>
      <c r="N3598" s="48" t="str">
        <f aca="false">IF($A3598="","",IF(N(M3598)=0,"–",IF(M3598&lt;=Start!$D$20,"A",IF(M3598&lt;=Start!$D$21,"B","C"))))</f>
        <v/>
      </c>
      <c r="O3598" s="48" t="str">
        <f aca="false">IF($A3598="","",IF(NOT(ISNUMBER(F3598)),"Wert fehlt; ",IF(F3598&lt;=0,"Wert ist 0; ",""))&amp;IF(NOT(ISNUMBER(E3598)),"Bestand fehlt; ",IF(E3598&lt;0,"Bestand negativ; ",IF(E3598=0,"Nullbestand; ","")))&amp;IF(D3598="","Warengruppe fehlt; ","")&amp;IF(B3598="","Bezeichnung fehlt; ","")&amp;IF(COUNTIFS($A$2:$A$5001,$A3598,$C$2:$C$5001,C3598)&gt;1,"Artikel doppelt im selben Lager; ",""))</f>
        <v/>
      </c>
      <c r="P3598" s="47" t="n">
        <f aca="false">IF(OR($A3598="",D3598=""),0,IF(COUNTIF($D$2:D3598,D3598)=1,SUMIF($D$2:$D$5001,D3598,$H$2:$H$5001)+ROW()/10000000,0))</f>
        <v>0</v>
      </c>
      <c r="Q3598" s="47" t="n">
        <f aca="false">IF(OR($A3598="",C3598=""),0,IF(COUNTIF($C$2:C3598,C3598)=1,SUMIF($C$2:$C$5001,C3598,$H$2:$H$5001)+ROW()/10000000,0))</f>
        <v>0</v>
      </c>
    </row>
    <row r="3599" customFormat="false" ht="15" hidden="false" customHeight="false" outlineLevel="0" collapsed="false">
      <c r="A3599" s="43"/>
      <c r="B3599" s="44"/>
      <c r="C3599" s="44"/>
      <c r="D3599" s="44"/>
      <c r="E3599" s="44"/>
      <c r="F3599" s="44"/>
      <c r="G3599" s="44"/>
      <c r="H3599" s="46" t="str">
        <f aca="false">IF($A3599="","",IF(OR(NOT(ISNUMBER(E3599)),NOT(ISNUMBER(F3599))),"",MAX(0,E3599)*F3599))</f>
        <v/>
      </c>
      <c r="I3599" s="46" t="str">
        <f aca="false">IF($A3599="","",SUMIF($A$2:$A$5001,$A3599,$H$2:$H$5001))</f>
        <v/>
      </c>
      <c r="J3599" s="47" t="n">
        <f aca="false">IF($A3599="",0,IF(COUNTIF($A$2:A3599,$A3599)=1,1,0))</f>
        <v>0</v>
      </c>
      <c r="K3599" s="47" t="n">
        <f aca="false">IF(J3599=1,N(I3599)+ROW()/10000000,0)</f>
        <v>0</v>
      </c>
      <c r="L3599" s="47" t="str">
        <f aca="false">IF(AND(J3599=1,N(I3599)&gt;0),SUMIF($K$2:$K$5001,"&gt;="&amp;K3599,$I$2:$I$5001)/MAX(1,SUM($H$2:$H$5001)),"")</f>
        <v/>
      </c>
      <c r="M3599" s="47" t="str">
        <f aca="false">IF($A3599="","",INDEX($L$2:$L$5001,MATCH($A3599,$A$2:$A$5001,0)))</f>
        <v/>
      </c>
      <c r="N3599" s="48" t="str">
        <f aca="false">IF($A3599="","",IF(N(M3599)=0,"–",IF(M3599&lt;=Start!$D$20,"A",IF(M3599&lt;=Start!$D$21,"B","C"))))</f>
        <v/>
      </c>
      <c r="O3599" s="48" t="str">
        <f aca="false">IF($A3599="","",IF(NOT(ISNUMBER(F3599)),"Wert fehlt; ",IF(F3599&lt;=0,"Wert ist 0; ",""))&amp;IF(NOT(ISNUMBER(E3599)),"Bestand fehlt; ",IF(E3599&lt;0,"Bestand negativ; ",IF(E3599=0,"Nullbestand; ","")))&amp;IF(D3599="","Warengruppe fehlt; ","")&amp;IF(B3599="","Bezeichnung fehlt; ","")&amp;IF(COUNTIFS($A$2:$A$5001,$A3599,$C$2:$C$5001,C3599)&gt;1,"Artikel doppelt im selben Lager; ",""))</f>
        <v/>
      </c>
      <c r="P3599" s="47" t="n">
        <f aca="false">IF(OR($A3599="",D3599=""),0,IF(COUNTIF($D$2:D3599,D3599)=1,SUMIF($D$2:$D$5001,D3599,$H$2:$H$5001)+ROW()/10000000,0))</f>
        <v>0</v>
      </c>
      <c r="Q3599" s="47" t="n">
        <f aca="false">IF(OR($A3599="",C3599=""),0,IF(COUNTIF($C$2:C3599,C3599)=1,SUMIF($C$2:$C$5001,C3599,$H$2:$H$5001)+ROW()/10000000,0))</f>
        <v>0</v>
      </c>
    </row>
    <row r="3600" customFormat="false" ht="15" hidden="false" customHeight="false" outlineLevel="0" collapsed="false">
      <c r="A3600" s="43"/>
      <c r="B3600" s="44"/>
      <c r="C3600" s="44"/>
      <c r="D3600" s="44"/>
      <c r="E3600" s="44"/>
      <c r="F3600" s="44"/>
      <c r="G3600" s="44"/>
      <c r="H3600" s="46" t="str">
        <f aca="false">IF($A3600="","",IF(OR(NOT(ISNUMBER(E3600)),NOT(ISNUMBER(F3600))),"",MAX(0,E3600)*F3600))</f>
        <v/>
      </c>
      <c r="I3600" s="46" t="str">
        <f aca="false">IF($A3600="","",SUMIF($A$2:$A$5001,$A3600,$H$2:$H$5001))</f>
        <v/>
      </c>
      <c r="J3600" s="47" t="n">
        <f aca="false">IF($A3600="",0,IF(COUNTIF($A$2:A3600,$A3600)=1,1,0))</f>
        <v>0</v>
      </c>
      <c r="K3600" s="47" t="n">
        <f aca="false">IF(J3600=1,N(I3600)+ROW()/10000000,0)</f>
        <v>0</v>
      </c>
      <c r="L3600" s="47" t="str">
        <f aca="false">IF(AND(J3600=1,N(I3600)&gt;0),SUMIF($K$2:$K$5001,"&gt;="&amp;K3600,$I$2:$I$5001)/MAX(1,SUM($H$2:$H$5001)),"")</f>
        <v/>
      </c>
      <c r="M3600" s="47" t="str">
        <f aca="false">IF($A3600="","",INDEX($L$2:$L$5001,MATCH($A3600,$A$2:$A$5001,0)))</f>
        <v/>
      </c>
      <c r="N3600" s="48" t="str">
        <f aca="false">IF($A3600="","",IF(N(M3600)=0,"–",IF(M3600&lt;=Start!$D$20,"A",IF(M3600&lt;=Start!$D$21,"B","C"))))</f>
        <v/>
      </c>
      <c r="O3600" s="48" t="str">
        <f aca="false">IF($A3600="","",IF(NOT(ISNUMBER(F3600)),"Wert fehlt; ",IF(F3600&lt;=0,"Wert ist 0; ",""))&amp;IF(NOT(ISNUMBER(E3600)),"Bestand fehlt; ",IF(E3600&lt;0,"Bestand negativ; ",IF(E3600=0,"Nullbestand; ","")))&amp;IF(D3600="","Warengruppe fehlt; ","")&amp;IF(B3600="","Bezeichnung fehlt; ","")&amp;IF(COUNTIFS($A$2:$A$5001,$A3600,$C$2:$C$5001,C3600)&gt;1,"Artikel doppelt im selben Lager; ",""))</f>
        <v/>
      </c>
      <c r="P3600" s="47" t="n">
        <f aca="false">IF(OR($A3600="",D3600=""),0,IF(COUNTIF($D$2:D3600,D3600)=1,SUMIF($D$2:$D$5001,D3600,$H$2:$H$5001)+ROW()/10000000,0))</f>
        <v>0</v>
      </c>
      <c r="Q3600" s="47" t="n">
        <f aca="false">IF(OR($A3600="",C3600=""),0,IF(COUNTIF($C$2:C3600,C3600)=1,SUMIF($C$2:$C$5001,C3600,$H$2:$H$5001)+ROW()/10000000,0))</f>
        <v>0</v>
      </c>
    </row>
    <row r="3601" customFormat="false" ht="15" hidden="false" customHeight="false" outlineLevel="0" collapsed="false">
      <c r="A3601" s="43"/>
      <c r="B3601" s="44"/>
      <c r="C3601" s="44"/>
      <c r="D3601" s="44"/>
      <c r="E3601" s="44"/>
      <c r="F3601" s="44"/>
      <c r="G3601" s="44"/>
      <c r="H3601" s="46" t="str">
        <f aca="false">IF($A3601="","",IF(OR(NOT(ISNUMBER(E3601)),NOT(ISNUMBER(F3601))),"",MAX(0,E3601)*F3601))</f>
        <v/>
      </c>
      <c r="I3601" s="46" t="str">
        <f aca="false">IF($A3601="","",SUMIF($A$2:$A$5001,$A3601,$H$2:$H$5001))</f>
        <v/>
      </c>
      <c r="J3601" s="47" t="n">
        <f aca="false">IF($A3601="",0,IF(COUNTIF($A$2:A3601,$A3601)=1,1,0))</f>
        <v>0</v>
      </c>
      <c r="K3601" s="47" t="n">
        <f aca="false">IF(J3601=1,N(I3601)+ROW()/10000000,0)</f>
        <v>0</v>
      </c>
      <c r="L3601" s="47" t="str">
        <f aca="false">IF(AND(J3601=1,N(I3601)&gt;0),SUMIF($K$2:$K$5001,"&gt;="&amp;K3601,$I$2:$I$5001)/MAX(1,SUM($H$2:$H$5001)),"")</f>
        <v/>
      </c>
      <c r="M3601" s="47" t="str">
        <f aca="false">IF($A3601="","",INDEX($L$2:$L$5001,MATCH($A3601,$A$2:$A$5001,0)))</f>
        <v/>
      </c>
      <c r="N3601" s="48" t="str">
        <f aca="false">IF($A3601="","",IF(N(M3601)=0,"–",IF(M3601&lt;=Start!$D$20,"A",IF(M3601&lt;=Start!$D$21,"B","C"))))</f>
        <v/>
      </c>
      <c r="O3601" s="48" t="str">
        <f aca="false">IF($A3601="","",IF(NOT(ISNUMBER(F3601)),"Wert fehlt; ",IF(F3601&lt;=0,"Wert ist 0; ",""))&amp;IF(NOT(ISNUMBER(E3601)),"Bestand fehlt; ",IF(E3601&lt;0,"Bestand negativ; ",IF(E3601=0,"Nullbestand; ","")))&amp;IF(D3601="","Warengruppe fehlt; ","")&amp;IF(B3601="","Bezeichnung fehlt; ","")&amp;IF(COUNTIFS($A$2:$A$5001,$A3601,$C$2:$C$5001,C3601)&gt;1,"Artikel doppelt im selben Lager; ",""))</f>
        <v/>
      </c>
      <c r="P3601" s="47" t="n">
        <f aca="false">IF(OR($A3601="",D3601=""),0,IF(COUNTIF($D$2:D3601,D3601)=1,SUMIF($D$2:$D$5001,D3601,$H$2:$H$5001)+ROW()/10000000,0))</f>
        <v>0</v>
      </c>
      <c r="Q3601" s="47" t="n">
        <f aca="false">IF(OR($A3601="",C3601=""),0,IF(COUNTIF($C$2:C3601,C3601)=1,SUMIF($C$2:$C$5001,C3601,$H$2:$H$5001)+ROW()/10000000,0))</f>
        <v>0</v>
      </c>
    </row>
    <row r="3602" customFormat="false" ht="15" hidden="false" customHeight="false" outlineLevel="0" collapsed="false">
      <c r="A3602" s="43"/>
      <c r="B3602" s="44"/>
      <c r="C3602" s="44"/>
      <c r="D3602" s="44"/>
      <c r="E3602" s="44"/>
      <c r="F3602" s="44"/>
      <c r="G3602" s="44"/>
      <c r="H3602" s="46" t="str">
        <f aca="false">IF($A3602="","",IF(OR(NOT(ISNUMBER(E3602)),NOT(ISNUMBER(F3602))),"",MAX(0,E3602)*F3602))</f>
        <v/>
      </c>
      <c r="I3602" s="46" t="str">
        <f aca="false">IF($A3602="","",SUMIF($A$2:$A$5001,$A3602,$H$2:$H$5001))</f>
        <v/>
      </c>
      <c r="J3602" s="47" t="n">
        <f aca="false">IF($A3602="",0,IF(COUNTIF($A$2:A3602,$A3602)=1,1,0))</f>
        <v>0</v>
      </c>
      <c r="K3602" s="47" t="n">
        <f aca="false">IF(J3602=1,N(I3602)+ROW()/10000000,0)</f>
        <v>0</v>
      </c>
      <c r="L3602" s="47" t="str">
        <f aca="false">IF(AND(J3602=1,N(I3602)&gt;0),SUMIF($K$2:$K$5001,"&gt;="&amp;K3602,$I$2:$I$5001)/MAX(1,SUM($H$2:$H$5001)),"")</f>
        <v/>
      </c>
      <c r="M3602" s="47" t="str">
        <f aca="false">IF($A3602="","",INDEX($L$2:$L$5001,MATCH($A3602,$A$2:$A$5001,0)))</f>
        <v/>
      </c>
      <c r="N3602" s="48" t="str">
        <f aca="false">IF($A3602="","",IF(N(M3602)=0,"–",IF(M3602&lt;=Start!$D$20,"A",IF(M3602&lt;=Start!$D$21,"B","C"))))</f>
        <v/>
      </c>
      <c r="O3602" s="48" t="str">
        <f aca="false">IF($A3602="","",IF(NOT(ISNUMBER(F3602)),"Wert fehlt; ",IF(F3602&lt;=0,"Wert ist 0; ",""))&amp;IF(NOT(ISNUMBER(E3602)),"Bestand fehlt; ",IF(E3602&lt;0,"Bestand negativ; ",IF(E3602=0,"Nullbestand; ","")))&amp;IF(D3602="","Warengruppe fehlt; ","")&amp;IF(B3602="","Bezeichnung fehlt; ","")&amp;IF(COUNTIFS($A$2:$A$5001,$A3602,$C$2:$C$5001,C3602)&gt;1,"Artikel doppelt im selben Lager; ",""))</f>
        <v/>
      </c>
      <c r="P3602" s="47" t="n">
        <f aca="false">IF(OR($A3602="",D3602=""),0,IF(COUNTIF($D$2:D3602,D3602)=1,SUMIF($D$2:$D$5001,D3602,$H$2:$H$5001)+ROW()/10000000,0))</f>
        <v>0</v>
      </c>
      <c r="Q3602" s="47" t="n">
        <f aca="false">IF(OR($A3602="",C3602=""),0,IF(COUNTIF($C$2:C3602,C3602)=1,SUMIF($C$2:$C$5001,C3602,$H$2:$H$5001)+ROW()/10000000,0))</f>
        <v>0</v>
      </c>
    </row>
    <row r="3603" customFormat="false" ht="15" hidden="false" customHeight="false" outlineLevel="0" collapsed="false">
      <c r="A3603" s="43"/>
      <c r="B3603" s="44"/>
      <c r="C3603" s="44"/>
      <c r="D3603" s="44"/>
      <c r="E3603" s="44"/>
      <c r="F3603" s="44"/>
      <c r="G3603" s="44"/>
      <c r="H3603" s="46" t="str">
        <f aca="false">IF($A3603="","",IF(OR(NOT(ISNUMBER(E3603)),NOT(ISNUMBER(F3603))),"",MAX(0,E3603)*F3603))</f>
        <v/>
      </c>
      <c r="I3603" s="46" t="str">
        <f aca="false">IF($A3603="","",SUMIF($A$2:$A$5001,$A3603,$H$2:$H$5001))</f>
        <v/>
      </c>
      <c r="J3603" s="47" t="n">
        <f aca="false">IF($A3603="",0,IF(COUNTIF($A$2:A3603,$A3603)=1,1,0))</f>
        <v>0</v>
      </c>
      <c r="K3603" s="47" t="n">
        <f aca="false">IF(J3603=1,N(I3603)+ROW()/10000000,0)</f>
        <v>0</v>
      </c>
      <c r="L3603" s="47" t="str">
        <f aca="false">IF(AND(J3603=1,N(I3603)&gt;0),SUMIF($K$2:$K$5001,"&gt;="&amp;K3603,$I$2:$I$5001)/MAX(1,SUM($H$2:$H$5001)),"")</f>
        <v/>
      </c>
      <c r="M3603" s="47" t="str">
        <f aca="false">IF($A3603="","",INDEX($L$2:$L$5001,MATCH($A3603,$A$2:$A$5001,0)))</f>
        <v/>
      </c>
      <c r="N3603" s="48" t="str">
        <f aca="false">IF($A3603="","",IF(N(M3603)=0,"–",IF(M3603&lt;=Start!$D$20,"A",IF(M3603&lt;=Start!$D$21,"B","C"))))</f>
        <v/>
      </c>
      <c r="O3603" s="48" t="str">
        <f aca="false">IF($A3603="","",IF(NOT(ISNUMBER(F3603)),"Wert fehlt; ",IF(F3603&lt;=0,"Wert ist 0; ",""))&amp;IF(NOT(ISNUMBER(E3603)),"Bestand fehlt; ",IF(E3603&lt;0,"Bestand negativ; ",IF(E3603=0,"Nullbestand; ","")))&amp;IF(D3603="","Warengruppe fehlt; ","")&amp;IF(B3603="","Bezeichnung fehlt; ","")&amp;IF(COUNTIFS($A$2:$A$5001,$A3603,$C$2:$C$5001,C3603)&gt;1,"Artikel doppelt im selben Lager; ",""))</f>
        <v/>
      </c>
      <c r="P3603" s="47" t="n">
        <f aca="false">IF(OR($A3603="",D3603=""),0,IF(COUNTIF($D$2:D3603,D3603)=1,SUMIF($D$2:$D$5001,D3603,$H$2:$H$5001)+ROW()/10000000,0))</f>
        <v>0</v>
      </c>
      <c r="Q3603" s="47" t="n">
        <f aca="false">IF(OR($A3603="",C3603=""),0,IF(COUNTIF($C$2:C3603,C3603)=1,SUMIF($C$2:$C$5001,C3603,$H$2:$H$5001)+ROW()/10000000,0))</f>
        <v>0</v>
      </c>
    </row>
    <row r="3604" customFormat="false" ht="15" hidden="false" customHeight="false" outlineLevel="0" collapsed="false">
      <c r="A3604" s="43"/>
      <c r="B3604" s="44"/>
      <c r="C3604" s="44"/>
      <c r="D3604" s="44"/>
      <c r="E3604" s="44"/>
      <c r="F3604" s="44"/>
      <c r="G3604" s="44"/>
      <c r="H3604" s="46" t="str">
        <f aca="false">IF($A3604="","",IF(OR(NOT(ISNUMBER(E3604)),NOT(ISNUMBER(F3604))),"",MAX(0,E3604)*F3604))</f>
        <v/>
      </c>
      <c r="I3604" s="46" t="str">
        <f aca="false">IF($A3604="","",SUMIF($A$2:$A$5001,$A3604,$H$2:$H$5001))</f>
        <v/>
      </c>
      <c r="J3604" s="47" t="n">
        <f aca="false">IF($A3604="",0,IF(COUNTIF($A$2:A3604,$A3604)=1,1,0))</f>
        <v>0</v>
      </c>
      <c r="K3604" s="47" t="n">
        <f aca="false">IF(J3604=1,N(I3604)+ROW()/10000000,0)</f>
        <v>0</v>
      </c>
      <c r="L3604" s="47" t="str">
        <f aca="false">IF(AND(J3604=1,N(I3604)&gt;0),SUMIF($K$2:$K$5001,"&gt;="&amp;K3604,$I$2:$I$5001)/MAX(1,SUM($H$2:$H$5001)),"")</f>
        <v/>
      </c>
      <c r="M3604" s="47" t="str">
        <f aca="false">IF($A3604="","",INDEX($L$2:$L$5001,MATCH($A3604,$A$2:$A$5001,0)))</f>
        <v/>
      </c>
      <c r="N3604" s="48" t="str">
        <f aca="false">IF($A3604="","",IF(N(M3604)=0,"–",IF(M3604&lt;=Start!$D$20,"A",IF(M3604&lt;=Start!$D$21,"B","C"))))</f>
        <v/>
      </c>
      <c r="O3604" s="48" t="str">
        <f aca="false">IF($A3604="","",IF(NOT(ISNUMBER(F3604)),"Wert fehlt; ",IF(F3604&lt;=0,"Wert ist 0; ",""))&amp;IF(NOT(ISNUMBER(E3604)),"Bestand fehlt; ",IF(E3604&lt;0,"Bestand negativ; ",IF(E3604=0,"Nullbestand; ","")))&amp;IF(D3604="","Warengruppe fehlt; ","")&amp;IF(B3604="","Bezeichnung fehlt; ","")&amp;IF(COUNTIFS($A$2:$A$5001,$A3604,$C$2:$C$5001,C3604)&gt;1,"Artikel doppelt im selben Lager; ",""))</f>
        <v/>
      </c>
      <c r="P3604" s="47" t="n">
        <f aca="false">IF(OR($A3604="",D3604=""),0,IF(COUNTIF($D$2:D3604,D3604)=1,SUMIF($D$2:$D$5001,D3604,$H$2:$H$5001)+ROW()/10000000,0))</f>
        <v>0</v>
      </c>
      <c r="Q3604" s="47" t="n">
        <f aca="false">IF(OR($A3604="",C3604=""),0,IF(COUNTIF($C$2:C3604,C3604)=1,SUMIF($C$2:$C$5001,C3604,$H$2:$H$5001)+ROW()/10000000,0))</f>
        <v>0</v>
      </c>
    </row>
    <row r="3605" customFormat="false" ht="15" hidden="false" customHeight="false" outlineLevel="0" collapsed="false">
      <c r="A3605" s="43"/>
      <c r="B3605" s="44"/>
      <c r="C3605" s="44"/>
      <c r="D3605" s="44"/>
      <c r="E3605" s="44"/>
      <c r="F3605" s="44"/>
      <c r="G3605" s="44"/>
      <c r="H3605" s="46" t="str">
        <f aca="false">IF($A3605="","",IF(OR(NOT(ISNUMBER(E3605)),NOT(ISNUMBER(F3605))),"",MAX(0,E3605)*F3605))</f>
        <v/>
      </c>
      <c r="I3605" s="46" t="str">
        <f aca="false">IF($A3605="","",SUMIF($A$2:$A$5001,$A3605,$H$2:$H$5001))</f>
        <v/>
      </c>
      <c r="J3605" s="47" t="n">
        <f aca="false">IF($A3605="",0,IF(COUNTIF($A$2:A3605,$A3605)=1,1,0))</f>
        <v>0</v>
      </c>
      <c r="K3605" s="47" t="n">
        <f aca="false">IF(J3605=1,N(I3605)+ROW()/10000000,0)</f>
        <v>0</v>
      </c>
      <c r="L3605" s="47" t="str">
        <f aca="false">IF(AND(J3605=1,N(I3605)&gt;0),SUMIF($K$2:$K$5001,"&gt;="&amp;K3605,$I$2:$I$5001)/MAX(1,SUM($H$2:$H$5001)),"")</f>
        <v/>
      </c>
      <c r="M3605" s="47" t="str">
        <f aca="false">IF($A3605="","",INDEX($L$2:$L$5001,MATCH($A3605,$A$2:$A$5001,0)))</f>
        <v/>
      </c>
      <c r="N3605" s="48" t="str">
        <f aca="false">IF($A3605="","",IF(N(M3605)=0,"–",IF(M3605&lt;=Start!$D$20,"A",IF(M3605&lt;=Start!$D$21,"B","C"))))</f>
        <v/>
      </c>
      <c r="O3605" s="48" t="str">
        <f aca="false">IF($A3605="","",IF(NOT(ISNUMBER(F3605)),"Wert fehlt; ",IF(F3605&lt;=0,"Wert ist 0; ",""))&amp;IF(NOT(ISNUMBER(E3605)),"Bestand fehlt; ",IF(E3605&lt;0,"Bestand negativ; ",IF(E3605=0,"Nullbestand; ","")))&amp;IF(D3605="","Warengruppe fehlt; ","")&amp;IF(B3605="","Bezeichnung fehlt; ","")&amp;IF(COUNTIFS($A$2:$A$5001,$A3605,$C$2:$C$5001,C3605)&gt;1,"Artikel doppelt im selben Lager; ",""))</f>
        <v/>
      </c>
      <c r="P3605" s="47" t="n">
        <f aca="false">IF(OR($A3605="",D3605=""),0,IF(COUNTIF($D$2:D3605,D3605)=1,SUMIF($D$2:$D$5001,D3605,$H$2:$H$5001)+ROW()/10000000,0))</f>
        <v>0</v>
      </c>
      <c r="Q3605" s="47" t="n">
        <f aca="false">IF(OR($A3605="",C3605=""),0,IF(COUNTIF($C$2:C3605,C3605)=1,SUMIF($C$2:$C$5001,C3605,$H$2:$H$5001)+ROW()/10000000,0))</f>
        <v>0</v>
      </c>
    </row>
    <row r="3606" customFormat="false" ht="15" hidden="false" customHeight="false" outlineLevel="0" collapsed="false">
      <c r="A3606" s="43"/>
      <c r="B3606" s="44"/>
      <c r="C3606" s="44"/>
      <c r="D3606" s="44"/>
      <c r="E3606" s="44"/>
      <c r="F3606" s="44"/>
      <c r="G3606" s="44"/>
      <c r="H3606" s="46" t="str">
        <f aca="false">IF($A3606="","",IF(OR(NOT(ISNUMBER(E3606)),NOT(ISNUMBER(F3606))),"",MAX(0,E3606)*F3606))</f>
        <v/>
      </c>
      <c r="I3606" s="46" t="str">
        <f aca="false">IF($A3606="","",SUMIF($A$2:$A$5001,$A3606,$H$2:$H$5001))</f>
        <v/>
      </c>
      <c r="J3606" s="47" t="n">
        <f aca="false">IF($A3606="",0,IF(COUNTIF($A$2:A3606,$A3606)=1,1,0))</f>
        <v>0</v>
      </c>
      <c r="K3606" s="47" t="n">
        <f aca="false">IF(J3606=1,N(I3606)+ROW()/10000000,0)</f>
        <v>0</v>
      </c>
      <c r="L3606" s="47" t="str">
        <f aca="false">IF(AND(J3606=1,N(I3606)&gt;0),SUMIF($K$2:$K$5001,"&gt;="&amp;K3606,$I$2:$I$5001)/MAX(1,SUM($H$2:$H$5001)),"")</f>
        <v/>
      </c>
      <c r="M3606" s="47" t="str">
        <f aca="false">IF($A3606="","",INDEX($L$2:$L$5001,MATCH($A3606,$A$2:$A$5001,0)))</f>
        <v/>
      </c>
      <c r="N3606" s="48" t="str">
        <f aca="false">IF($A3606="","",IF(N(M3606)=0,"–",IF(M3606&lt;=Start!$D$20,"A",IF(M3606&lt;=Start!$D$21,"B","C"))))</f>
        <v/>
      </c>
      <c r="O3606" s="48" t="str">
        <f aca="false">IF($A3606="","",IF(NOT(ISNUMBER(F3606)),"Wert fehlt; ",IF(F3606&lt;=0,"Wert ist 0; ",""))&amp;IF(NOT(ISNUMBER(E3606)),"Bestand fehlt; ",IF(E3606&lt;0,"Bestand negativ; ",IF(E3606=0,"Nullbestand; ","")))&amp;IF(D3606="","Warengruppe fehlt; ","")&amp;IF(B3606="","Bezeichnung fehlt; ","")&amp;IF(COUNTIFS($A$2:$A$5001,$A3606,$C$2:$C$5001,C3606)&gt;1,"Artikel doppelt im selben Lager; ",""))</f>
        <v/>
      </c>
      <c r="P3606" s="47" t="n">
        <f aca="false">IF(OR($A3606="",D3606=""),0,IF(COUNTIF($D$2:D3606,D3606)=1,SUMIF($D$2:$D$5001,D3606,$H$2:$H$5001)+ROW()/10000000,0))</f>
        <v>0</v>
      </c>
      <c r="Q3606" s="47" t="n">
        <f aca="false">IF(OR($A3606="",C3606=""),0,IF(COUNTIF($C$2:C3606,C3606)=1,SUMIF($C$2:$C$5001,C3606,$H$2:$H$5001)+ROW()/10000000,0))</f>
        <v>0</v>
      </c>
    </row>
    <row r="3607" customFormat="false" ht="15" hidden="false" customHeight="false" outlineLevel="0" collapsed="false">
      <c r="A3607" s="43"/>
      <c r="B3607" s="44"/>
      <c r="C3607" s="44"/>
      <c r="D3607" s="44"/>
      <c r="E3607" s="44"/>
      <c r="F3607" s="44"/>
      <c r="G3607" s="44"/>
      <c r="H3607" s="46" t="str">
        <f aca="false">IF($A3607="","",IF(OR(NOT(ISNUMBER(E3607)),NOT(ISNUMBER(F3607))),"",MAX(0,E3607)*F3607))</f>
        <v/>
      </c>
      <c r="I3607" s="46" t="str">
        <f aca="false">IF($A3607="","",SUMIF($A$2:$A$5001,$A3607,$H$2:$H$5001))</f>
        <v/>
      </c>
      <c r="J3607" s="47" t="n">
        <f aca="false">IF($A3607="",0,IF(COUNTIF($A$2:A3607,$A3607)=1,1,0))</f>
        <v>0</v>
      </c>
      <c r="K3607" s="47" t="n">
        <f aca="false">IF(J3607=1,N(I3607)+ROW()/10000000,0)</f>
        <v>0</v>
      </c>
      <c r="L3607" s="47" t="str">
        <f aca="false">IF(AND(J3607=1,N(I3607)&gt;0),SUMIF($K$2:$K$5001,"&gt;="&amp;K3607,$I$2:$I$5001)/MAX(1,SUM($H$2:$H$5001)),"")</f>
        <v/>
      </c>
      <c r="M3607" s="47" t="str">
        <f aca="false">IF($A3607="","",INDEX($L$2:$L$5001,MATCH($A3607,$A$2:$A$5001,0)))</f>
        <v/>
      </c>
      <c r="N3607" s="48" t="str">
        <f aca="false">IF($A3607="","",IF(N(M3607)=0,"–",IF(M3607&lt;=Start!$D$20,"A",IF(M3607&lt;=Start!$D$21,"B","C"))))</f>
        <v/>
      </c>
      <c r="O3607" s="48" t="str">
        <f aca="false">IF($A3607="","",IF(NOT(ISNUMBER(F3607)),"Wert fehlt; ",IF(F3607&lt;=0,"Wert ist 0; ",""))&amp;IF(NOT(ISNUMBER(E3607)),"Bestand fehlt; ",IF(E3607&lt;0,"Bestand negativ; ",IF(E3607=0,"Nullbestand; ","")))&amp;IF(D3607="","Warengruppe fehlt; ","")&amp;IF(B3607="","Bezeichnung fehlt; ","")&amp;IF(COUNTIFS($A$2:$A$5001,$A3607,$C$2:$C$5001,C3607)&gt;1,"Artikel doppelt im selben Lager; ",""))</f>
        <v/>
      </c>
      <c r="P3607" s="47" t="n">
        <f aca="false">IF(OR($A3607="",D3607=""),0,IF(COUNTIF($D$2:D3607,D3607)=1,SUMIF($D$2:$D$5001,D3607,$H$2:$H$5001)+ROW()/10000000,0))</f>
        <v>0</v>
      </c>
      <c r="Q3607" s="47" t="n">
        <f aca="false">IF(OR($A3607="",C3607=""),0,IF(COUNTIF($C$2:C3607,C3607)=1,SUMIF($C$2:$C$5001,C3607,$H$2:$H$5001)+ROW()/10000000,0))</f>
        <v>0</v>
      </c>
    </row>
    <row r="3608" customFormat="false" ht="15" hidden="false" customHeight="false" outlineLevel="0" collapsed="false">
      <c r="A3608" s="43"/>
      <c r="B3608" s="44"/>
      <c r="C3608" s="44"/>
      <c r="D3608" s="44"/>
      <c r="E3608" s="44"/>
      <c r="F3608" s="44"/>
      <c r="G3608" s="44"/>
      <c r="H3608" s="46" t="str">
        <f aca="false">IF($A3608="","",IF(OR(NOT(ISNUMBER(E3608)),NOT(ISNUMBER(F3608))),"",MAX(0,E3608)*F3608))</f>
        <v/>
      </c>
      <c r="I3608" s="46" t="str">
        <f aca="false">IF($A3608="","",SUMIF($A$2:$A$5001,$A3608,$H$2:$H$5001))</f>
        <v/>
      </c>
      <c r="J3608" s="47" t="n">
        <f aca="false">IF($A3608="",0,IF(COUNTIF($A$2:A3608,$A3608)=1,1,0))</f>
        <v>0</v>
      </c>
      <c r="K3608" s="47" t="n">
        <f aca="false">IF(J3608=1,N(I3608)+ROW()/10000000,0)</f>
        <v>0</v>
      </c>
      <c r="L3608" s="47" t="str">
        <f aca="false">IF(AND(J3608=1,N(I3608)&gt;0),SUMIF($K$2:$K$5001,"&gt;="&amp;K3608,$I$2:$I$5001)/MAX(1,SUM($H$2:$H$5001)),"")</f>
        <v/>
      </c>
      <c r="M3608" s="47" t="str">
        <f aca="false">IF($A3608="","",INDEX($L$2:$L$5001,MATCH($A3608,$A$2:$A$5001,0)))</f>
        <v/>
      </c>
      <c r="N3608" s="48" t="str">
        <f aca="false">IF($A3608="","",IF(N(M3608)=0,"–",IF(M3608&lt;=Start!$D$20,"A",IF(M3608&lt;=Start!$D$21,"B","C"))))</f>
        <v/>
      </c>
      <c r="O3608" s="48" t="str">
        <f aca="false">IF($A3608="","",IF(NOT(ISNUMBER(F3608)),"Wert fehlt; ",IF(F3608&lt;=0,"Wert ist 0; ",""))&amp;IF(NOT(ISNUMBER(E3608)),"Bestand fehlt; ",IF(E3608&lt;0,"Bestand negativ; ",IF(E3608=0,"Nullbestand; ","")))&amp;IF(D3608="","Warengruppe fehlt; ","")&amp;IF(B3608="","Bezeichnung fehlt; ","")&amp;IF(COUNTIFS($A$2:$A$5001,$A3608,$C$2:$C$5001,C3608)&gt;1,"Artikel doppelt im selben Lager; ",""))</f>
        <v/>
      </c>
      <c r="P3608" s="47" t="n">
        <f aca="false">IF(OR($A3608="",D3608=""),0,IF(COUNTIF($D$2:D3608,D3608)=1,SUMIF($D$2:$D$5001,D3608,$H$2:$H$5001)+ROW()/10000000,0))</f>
        <v>0</v>
      </c>
      <c r="Q3608" s="47" t="n">
        <f aca="false">IF(OR($A3608="",C3608=""),0,IF(COUNTIF($C$2:C3608,C3608)=1,SUMIF($C$2:$C$5001,C3608,$H$2:$H$5001)+ROW()/10000000,0))</f>
        <v>0</v>
      </c>
    </row>
    <row r="3609" customFormat="false" ht="15" hidden="false" customHeight="false" outlineLevel="0" collapsed="false">
      <c r="A3609" s="43"/>
      <c r="B3609" s="44"/>
      <c r="C3609" s="44"/>
      <c r="D3609" s="44"/>
      <c r="E3609" s="44"/>
      <c r="F3609" s="44"/>
      <c r="G3609" s="44"/>
      <c r="H3609" s="46" t="str">
        <f aca="false">IF($A3609="","",IF(OR(NOT(ISNUMBER(E3609)),NOT(ISNUMBER(F3609))),"",MAX(0,E3609)*F3609))</f>
        <v/>
      </c>
      <c r="I3609" s="46" t="str">
        <f aca="false">IF($A3609="","",SUMIF($A$2:$A$5001,$A3609,$H$2:$H$5001))</f>
        <v/>
      </c>
      <c r="J3609" s="47" t="n">
        <f aca="false">IF($A3609="",0,IF(COUNTIF($A$2:A3609,$A3609)=1,1,0))</f>
        <v>0</v>
      </c>
      <c r="K3609" s="47" t="n">
        <f aca="false">IF(J3609=1,N(I3609)+ROW()/10000000,0)</f>
        <v>0</v>
      </c>
      <c r="L3609" s="47" t="str">
        <f aca="false">IF(AND(J3609=1,N(I3609)&gt;0),SUMIF($K$2:$K$5001,"&gt;="&amp;K3609,$I$2:$I$5001)/MAX(1,SUM($H$2:$H$5001)),"")</f>
        <v/>
      </c>
      <c r="M3609" s="47" t="str">
        <f aca="false">IF($A3609="","",INDEX($L$2:$L$5001,MATCH($A3609,$A$2:$A$5001,0)))</f>
        <v/>
      </c>
      <c r="N3609" s="48" t="str">
        <f aca="false">IF($A3609="","",IF(N(M3609)=0,"–",IF(M3609&lt;=Start!$D$20,"A",IF(M3609&lt;=Start!$D$21,"B","C"))))</f>
        <v/>
      </c>
      <c r="O3609" s="48" t="str">
        <f aca="false">IF($A3609="","",IF(NOT(ISNUMBER(F3609)),"Wert fehlt; ",IF(F3609&lt;=0,"Wert ist 0; ",""))&amp;IF(NOT(ISNUMBER(E3609)),"Bestand fehlt; ",IF(E3609&lt;0,"Bestand negativ; ",IF(E3609=0,"Nullbestand; ","")))&amp;IF(D3609="","Warengruppe fehlt; ","")&amp;IF(B3609="","Bezeichnung fehlt; ","")&amp;IF(COUNTIFS($A$2:$A$5001,$A3609,$C$2:$C$5001,C3609)&gt;1,"Artikel doppelt im selben Lager; ",""))</f>
        <v/>
      </c>
      <c r="P3609" s="47" t="n">
        <f aca="false">IF(OR($A3609="",D3609=""),0,IF(COUNTIF($D$2:D3609,D3609)=1,SUMIF($D$2:$D$5001,D3609,$H$2:$H$5001)+ROW()/10000000,0))</f>
        <v>0</v>
      </c>
      <c r="Q3609" s="47" t="n">
        <f aca="false">IF(OR($A3609="",C3609=""),0,IF(COUNTIF($C$2:C3609,C3609)=1,SUMIF($C$2:$C$5001,C3609,$H$2:$H$5001)+ROW()/10000000,0))</f>
        <v>0</v>
      </c>
    </row>
    <row r="3610" customFormat="false" ht="15" hidden="false" customHeight="false" outlineLevel="0" collapsed="false">
      <c r="A3610" s="43"/>
      <c r="B3610" s="44"/>
      <c r="C3610" s="44"/>
      <c r="D3610" s="44"/>
      <c r="E3610" s="44"/>
      <c r="F3610" s="44"/>
      <c r="G3610" s="44"/>
      <c r="H3610" s="46" t="str">
        <f aca="false">IF($A3610="","",IF(OR(NOT(ISNUMBER(E3610)),NOT(ISNUMBER(F3610))),"",MAX(0,E3610)*F3610))</f>
        <v/>
      </c>
      <c r="I3610" s="46" t="str">
        <f aca="false">IF($A3610="","",SUMIF($A$2:$A$5001,$A3610,$H$2:$H$5001))</f>
        <v/>
      </c>
      <c r="J3610" s="47" t="n">
        <f aca="false">IF($A3610="",0,IF(COUNTIF($A$2:A3610,$A3610)=1,1,0))</f>
        <v>0</v>
      </c>
      <c r="K3610" s="47" t="n">
        <f aca="false">IF(J3610=1,N(I3610)+ROW()/10000000,0)</f>
        <v>0</v>
      </c>
      <c r="L3610" s="47" t="str">
        <f aca="false">IF(AND(J3610=1,N(I3610)&gt;0),SUMIF($K$2:$K$5001,"&gt;="&amp;K3610,$I$2:$I$5001)/MAX(1,SUM($H$2:$H$5001)),"")</f>
        <v/>
      </c>
      <c r="M3610" s="47" t="str">
        <f aca="false">IF($A3610="","",INDEX($L$2:$L$5001,MATCH($A3610,$A$2:$A$5001,0)))</f>
        <v/>
      </c>
      <c r="N3610" s="48" t="str">
        <f aca="false">IF($A3610="","",IF(N(M3610)=0,"–",IF(M3610&lt;=Start!$D$20,"A",IF(M3610&lt;=Start!$D$21,"B","C"))))</f>
        <v/>
      </c>
      <c r="O3610" s="48" t="str">
        <f aca="false">IF($A3610="","",IF(NOT(ISNUMBER(F3610)),"Wert fehlt; ",IF(F3610&lt;=0,"Wert ist 0; ",""))&amp;IF(NOT(ISNUMBER(E3610)),"Bestand fehlt; ",IF(E3610&lt;0,"Bestand negativ; ",IF(E3610=0,"Nullbestand; ","")))&amp;IF(D3610="","Warengruppe fehlt; ","")&amp;IF(B3610="","Bezeichnung fehlt; ","")&amp;IF(COUNTIFS($A$2:$A$5001,$A3610,$C$2:$C$5001,C3610)&gt;1,"Artikel doppelt im selben Lager; ",""))</f>
        <v/>
      </c>
      <c r="P3610" s="47" t="n">
        <f aca="false">IF(OR($A3610="",D3610=""),0,IF(COUNTIF($D$2:D3610,D3610)=1,SUMIF($D$2:$D$5001,D3610,$H$2:$H$5001)+ROW()/10000000,0))</f>
        <v>0</v>
      </c>
      <c r="Q3610" s="47" t="n">
        <f aca="false">IF(OR($A3610="",C3610=""),0,IF(COUNTIF($C$2:C3610,C3610)=1,SUMIF($C$2:$C$5001,C3610,$H$2:$H$5001)+ROW()/10000000,0))</f>
        <v>0</v>
      </c>
    </row>
    <row r="3611" customFormat="false" ht="15" hidden="false" customHeight="false" outlineLevel="0" collapsed="false">
      <c r="A3611" s="43"/>
      <c r="B3611" s="44"/>
      <c r="C3611" s="44"/>
      <c r="D3611" s="44"/>
      <c r="E3611" s="44"/>
      <c r="F3611" s="44"/>
      <c r="G3611" s="44"/>
      <c r="H3611" s="46" t="str">
        <f aca="false">IF($A3611="","",IF(OR(NOT(ISNUMBER(E3611)),NOT(ISNUMBER(F3611))),"",MAX(0,E3611)*F3611))</f>
        <v/>
      </c>
      <c r="I3611" s="46" t="str">
        <f aca="false">IF($A3611="","",SUMIF($A$2:$A$5001,$A3611,$H$2:$H$5001))</f>
        <v/>
      </c>
      <c r="J3611" s="47" t="n">
        <f aca="false">IF($A3611="",0,IF(COUNTIF($A$2:A3611,$A3611)=1,1,0))</f>
        <v>0</v>
      </c>
      <c r="K3611" s="47" t="n">
        <f aca="false">IF(J3611=1,N(I3611)+ROW()/10000000,0)</f>
        <v>0</v>
      </c>
      <c r="L3611" s="47" t="str">
        <f aca="false">IF(AND(J3611=1,N(I3611)&gt;0),SUMIF($K$2:$K$5001,"&gt;="&amp;K3611,$I$2:$I$5001)/MAX(1,SUM($H$2:$H$5001)),"")</f>
        <v/>
      </c>
      <c r="M3611" s="47" t="str">
        <f aca="false">IF($A3611="","",INDEX($L$2:$L$5001,MATCH($A3611,$A$2:$A$5001,0)))</f>
        <v/>
      </c>
      <c r="N3611" s="48" t="str">
        <f aca="false">IF($A3611="","",IF(N(M3611)=0,"–",IF(M3611&lt;=Start!$D$20,"A",IF(M3611&lt;=Start!$D$21,"B","C"))))</f>
        <v/>
      </c>
      <c r="O3611" s="48" t="str">
        <f aca="false">IF($A3611="","",IF(NOT(ISNUMBER(F3611)),"Wert fehlt; ",IF(F3611&lt;=0,"Wert ist 0; ",""))&amp;IF(NOT(ISNUMBER(E3611)),"Bestand fehlt; ",IF(E3611&lt;0,"Bestand negativ; ",IF(E3611=0,"Nullbestand; ","")))&amp;IF(D3611="","Warengruppe fehlt; ","")&amp;IF(B3611="","Bezeichnung fehlt; ","")&amp;IF(COUNTIFS($A$2:$A$5001,$A3611,$C$2:$C$5001,C3611)&gt;1,"Artikel doppelt im selben Lager; ",""))</f>
        <v/>
      </c>
      <c r="P3611" s="47" t="n">
        <f aca="false">IF(OR($A3611="",D3611=""),0,IF(COUNTIF($D$2:D3611,D3611)=1,SUMIF($D$2:$D$5001,D3611,$H$2:$H$5001)+ROW()/10000000,0))</f>
        <v>0</v>
      </c>
      <c r="Q3611" s="47" t="n">
        <f aca="false">IF(OR($A3611="",C3611=""),0,IF(COUNTIF($C$2:C3611,C3611)=1,SUMIF($C$2:$C$5001,C3611,$H$2:$H$5001)+ROW()/10000000,0))</f>
        <v>0</v>
      </c>
    </row>
    <row r="3612" customFormat="false" ht="15" hidden="false" customHeight="false" outlineLevel="0" collapsed="false">
      <c r="A3612" s="43"/>
      <c r="B3612" s="44"/>
      <c r="C3612" s="44"/>
      <c r="D3612" s="44"/>
      <c r="E3612" s="44"/>
      <c r="F3612" s="44"/>
      <c r="G3612" s="44"/>
      <c r="H3612" s="46" t="str">
        <f aca="false">IF($A3612="","",IF(OR(NOT(ISNUMBER(E3612)),NOT(ISNUMBER(F3612))),"",MAX(0,E3612)*F3612))</f>
        <v/>
      </c>
      <c r="I3612" s="46" t="str">
        <f aca="false">IF($A3612="","",SUMIF($A$2:$A$5001,$A3612,$H$2:$H$5001))</f>
        <v/>
      </c>
      <c r="J3612" s="47" t="n">
        <f aca="false">IF($A3612="",0,IF(COUNTIF($A$2:A3612,$A3612)=1,1,0))</f>
        <v>0</v>
      </c>
      <c r="K3612" s="47" t="n">
        <f aca="false">IF(J3612=1,N(I3612)+ROW()/10000000,0)</f>
        <v>0</v>
      </c>
      <c r="L3612" s="47" t="str">
        <f aca="false">IF(AND(J3612=1,N(I3612)&gt;0),SUMIF($K$2:$K$5001,"&gt;="&amp;K3612,$I$2:$I$5001)/MAX(1,SUM($H$2:$H$5001)),"")</f>
        <v/>
      </c>
      <c r="M3612" s="47" t="str">
        <f aca="false">IF($A3612="","",INDEX($L$2:$L$5001,MATCH($A3612,$A$2:$A$5001,0)))</f>
        <v/>
      </c>
      <c r="N3612" s="48" t="str">
        <f aca="false">IF($A3612="","",IF(N(M3612)=0,"–",IF(M3612&lt;=Start!$D$20,"A",IF(M3612&lt;=Start!$D$21,"B","C"))))</f>
        <v/>
      </c>
      <c r="O3612" s="48" t="str">
        <f aca="false">IF($A3612="","",IF(NOT(ISNUMBER(F3612)),"Wert fehlt; ",IF(F3612&lt;=0,"Wert ist 0; ",""))&amp;IF(NOT(ISNUMBER(E3612)),"Bestand fehlt; ",IF(E3612&lt;0,"Bestand negativ; ",IF(E3612=0,"Nullbestand; ","")))&amp;IF(D3612="","Warengruppe fehlt; ","")&amp;IF(B3612="","Bezeichnung fehlt; ","")&amp;IF(COUNTIFS($A$2:$A$5001,$A3612,$C$2:$C$5001,C3612)&gt;1,"Artikel doppelt im selben Lager; ",""))</f>
        <v/>
      </c>
      <c r="P3612" s="47" t="n">
        <f aca="false">IF(OR($A3612="",D3612=""),0,IF(COUNTIF($D$2:D3612,D3612)=1,SUMIF($D$2:$D$5001,D3612,$H$2:$H$5001)+ROW()/10000000,0))</f>
        <v>0</v>
      </c>
      <c r="Q3612" s="47" t="n">
        <f aca="false">IF(OR($A3612="",C3612=""),0,IF(COUNTIF($C$2:C3612,C3612)=1,SUMIF($C$2:$C$5001,C3612,$H$2:$H$5001)+ROW()/10000000,0))</f>
        <v>0</v>
      </c>
    </row>
    <row r="3613" customFormat="false" ht="15" hidden="false" customHeight="false" outlineLevel="0" collapsed="false">
      <c r="A3613" s="43"/>
      <c r="B3613" s="44"/>
      <c r="C3613" s="44"/>
      <c r="D3613" s="44"/>
      <c r="E3613" s="44"/>
      <c r="F3613" s="44"/>
      <c r="G3613" s="44"/>
      <c r="H3613" s="46" t="str">
        <f aca="false">IF($A3613="","",IF(OR(NOT(ISNUMBER(E3613)),NOT(ISNUMBER(F3613))),"",MAX(0,E3613)*F3613))</f>
        <v/>
      </c>
      <c r="I3613" s="46" t="str">
        <f aca="false">IF($A3613="","",SUMIF($A$2:$A$5001,$A3613,$H$2:$H$5001))</f>
        <v/>
      </c>
      <c r="J3613" s="47" t="n">
        <f aca="false">IF($A3613="",0,IF(COUNTIF($A$2:A3613,$A3613)=1,1,0))</f>
        <v>0</v>
      </c>
      <c r="K3613" s="47" t="n">
        <f aca="false">IF(J3613=1,N(I3613)+ROW()/10000000,0)</f>
        <v>0</v>
      </c>
      <c r="L3613" s="47" t="str">
        <f aca="false">IF(AND(J3613=1,N(I3613)&gt;0),SUMIF($K$2:$K$5001,"&gt;="&amp;K3613,$I$2:$I$5001)/MAX(1,SUM($H$2:$H$5001)),"")</f>
        <v/>
      </c>
      <c r="M3613" s="47" t="str">
        <f aca="false">IF($A3613="","",INDEX($L$2:$L$5001,MATCH($A3613,$A$2:$A$5001,0)))</f>
        <v/>
      </c>
      <c r="N3613" s="48" t="str">
        <f aca="false">IF($A3613="","",IF(N(M3613)=0,"–",IF(M3613&lt;=Start!$D$20,"A",IF(M3613&lt;=Start!$D$21,"B","C"))))</f>
        <v/>
      </c>
      <c r="O3613" s="48" t="str">
        <f aca="false">IF($A3613="","",IF(NOT(ISNUMBER(F3613)),"Wert fehlt; ",IF(F3613&lt;=0,"Wert ist 0; ",""))&amp;IF(NOT(ISNUMBER(E3613)),"Bestand fehlt; ",IF(E3613&lt;0,"Bestand negativ; ",IF(E3613=0,"Nullbestand; ","")))&amp;IF(D3613="","Warengruppe fehlt; ","")&amp;IF(B3613="","Bezeichnung fehlt; ","")&amp;IF(COUNTIFS($A$2:$A$5001,$A3613,$C$2:$C$5001,C3613)&gt;1,"Artikel doppelt im selben Lager; ",""))</f>
        <v/>
      </c>
      <c r="P3613" s="47" t="n">
        <f aca="false">IF(OR($A3613="",D3613=""),0,IF(COUNTIF($D$2:D3613,D3613)=1,SUMIF($D$2:$D$5001,D3613,$H$2:$H$5001)+ROW()/10000000,0))</f>
        <v>0</v>
      </c>
      <c r="Q3613" s="47" t="n">
        <f aca="false">IF(OR($A3613="",C3613=""),0,IF(COUNTIF($C$2:C3613,C3613)=1,SUMIF($C$2:$C$5001,C3613,$H$2:$H$5001)+ROW()/10000000,0))</f>
        <v>0</v>
      </c>
    </row>
    <row r="3614" customFormat="false" ht="15" hidden="false" customHeight="false" outlineLevel="0" collapsed="false">
      <c r="A3614" s="43"/>
      <c r="B3614" s="44"/>
      <c r="C3614" s="44"/>
      <c r="D3614" s="44"/>
      <c r="E3614" s="44"/>
      <c r="F3614" s="44"/>
      <c r="G3614" s="44"/>
      <c r="H3614" s="46" t="str">
        <f aca="false">IF($A3614="","",IF(OR(NOT(ISNUMBER(E3614)),NOT(ISNUMBER(F3614))),"",MAX(0,E3614)*F3614))</f>
        <v/>
      </c>
      <c r="I3614" s="46" t="str">
        <f aca="false">IF($A3614="","",SUMIF($A$2:$A$5001,$A3614,$H$2:$H$5001))</f>
        <v/>
      </c>
      <c r="J3614" s="47" t="n">
        <f aca="false">IF($A3614="",0,IF(COUNTIF($A$2:A3614,$A3614)=1,1,0))</f>
        <v>0</v>
      </c>
      <c r="K3614" s="47" t="n">
        <f aca="false">IF(J3614=1,N(I3614)+ROW()/10000000,0)</f>
        <v>0</v>
      </c>
      <c r="L3614" s="47" t="str">
        <f aca="false">IF(AND(J3614=1,N(I3614)&gt;0),SUMIF($K$2:$K$5001,"&gt;="&amp;K3614,$I$2:$I$5001)/MAX(1,SUM($H$2:$H$5001)),"")</f>
        <v/>
      </c>
      <c r="M3614" s="47" t="str">
        <f aca="false">IF($A3614="","",INDEX($L$2:$L$5001,MATCH($A3614,$A$2:$A$5001,0)))</f>
        <v/>
      </c>
      <c r="N3614" s="48" t="str">
        <f aca="false">IF($A3614="","",IF(N(M3614)=0,"–",IF(M3614&lt;=Start!$D$20,"A",IF(M3614&lt;=Start!$D$21,"B","C"))))</f>
        <v/>
      </c>
      <c r="O3614" s="48" t="str">
        <f aca="false">IF($A3614="","",IF(NOT(ISNUMBER(F3614)),"Wert fehlt; ",IF(F3614&lt;=0,"Wert ist 0; ",""))&amp;IF(NOT(ISNUMBER(E3614)),"Bestand fehlt; ",IF(E3614&lt;0,"Bestand negativ; ",IF(E3614=0,"Nullbestand; ","")))&amp;IF(D3614="","Warengruppe fehlt; ","")&amp;IF(B3614="","Bezeichnung fehlt; ","")&amp;IF(COUNTIFS($A$2:$A$5001,$A3614,$C$2:$C$5001,C3614)&gt;1,"Artikel doppelt im selben Lager; ",""))</f>
        <v/>
      </c>
      <c r="P3614" s="47" t="n">
        <f aca="false">IF(OR($A3614="",D3614=""),0,IF(COUNTIF($D$2:D3614,D3614)=1,SUMIF($D$2:$D$5001,D3614,$H$2:$H$5001)+ROW()/10000000,0))</f>
        <v>0</v>
      </c>
      <c r="Q3614" s="47" t="n">
        <f aca="false">IF(OR($A3614="",C3614=""),0,IF(COUNTIF($C$2:C3614,C3614)=1,SUMIF($C$2:$C$5001,C3614,$H$2:$H$5001)+ROW()/10000000,0))</f>
        <v>0</v>
      </c>
    </row>
    <row r="3615" customFormat="false" ht="15" hidden="false" customHeight="false" outlineLevel="0" collapsed="false">
      <c r="A3615" s="43"/>
      <c r="B3615" s="44"/>
      <c r="C3615" s="44"/>
      <c r="D3615" s="44"/>
      <c r="E3615" s="44"/>
      <c r="F3615" s="44"/>
      <c r="G3615" s="44"/>
      <c r="H3615" s="46" t="str">
        <f aca="false">IF($A3615="","",IF(OR(NOT(ISNUMBER(E3615)),NOT(ISNUMBER(F3615))),"",MAX(0,E3615)*F3615))</f>
        <v/>
      </c>
      <c r="I3615" s="46" t="str">
        <f aca="false">IF($A3615="","",SUMIF($A$2:$A$5001,$A3615,$H$2:$H$5001))</f>
        <v/>
      </c>
      <c r="J3615" s="47" t="n">
        <f aca="false">IF($A3615="",0,IF(COUNTIF($A$2:A3615,$A3615)=1,1,0))</f>
        <v>0</v>
      </c>
      <c r="K3615" s="47" t="n">
        <f aca="false">IF(J3615=1,N(I3615)+ROW()/10000000,0)</f>
        <v>0</v>
      </c>
      <c r="L3615" s="47" t="str">
        <f aca="false">IF(AND(J3615=1,N(I3615)&gt;0),SUMIF($K$2:$K$5001,"&gt;="&amp;K3615,$I$2:$I$5001)/MAX(1,SUM($H$2:$H$5001)),"")</f>
        <v/>
      </c>
      <c r="M3615" s="47" t="str">
        <f aca="false">IF($A3615="","",INDEX($L$2:$L$5001,MATCH($A3615,$A$2:$A$5001,0)))</f>
        <v/>
      </c>
      <c r="N3615" s="48" t="str">
        <f aca="false">IF($A3615="","",IF(N(M3615)=0,"–",IF(M3615&lt;=Start!$D$20,"A",IF(M3615&lt;=Start!$D$21,"B","C"))))</f>
        <v/>
      </c>
      <c r="O3615" s="48" t="str">
        <f aca="false">IF($A3615="","",IF(NOT(ISNUMBER(F3615)),"Wert fehlt; ",IF(F3615&lt;=0,"Wert ist 0; ",""))&amp;IF(NOT(ISNUMBER(E3615)),"Bestand fehlt; ",IF(E3615&lt;0,"Bestand negativ; ",IF(E3615=0,"Nullbestand; ","")))&amp;IF(D3615="","Warengruppe fehlt; ","")&amp;IF(B3615="","Bezeichnung fehlt; ","")&amp;IF(COUNTIFS($A$2:$A$5001,$A3615,$C$2:$C$5001,C3615)&gt;1,"Artikel doppelt im selben Lager; ",""))</f>
        <v/>
      </c>
      <c r="P3615" s="47" t="n">
        <f aca="false">IF(OR($A3615="",D3615=""),0,IF(COUNTIF($D$2:D3615,D3615)=1,SUMIF($D$2:$D$5001,D3615,$H$2:$H$5001)+ROW()/10000000,0))</f>
        <v>0</v>
      </c>
      <c r="Q3615" s="47" t="n">
        <f aca="false">IF(OR($A3615="",C3615=""),0,IF(COUNTIF($C$2:C3615,C3615)=1,SUMIF($C$2:$C$5001,C3615,$H$2:$H$5001)+ROW()/10000000,0))</f>
        <v>0</v>
      </c>
    </row>
    <row r="3616" customFormat="false" ht="15" hidden="false" customHeight="false" outlineLevel="0" collapsed="false">
      <c r="A3616" s="43"/>
      <c r="B3616" s="44"/>
      <c r="C3616" s="44"/>
      <c r="D3616" s="44"/>
      <c r="E3616" s="44"/>
      <c r="F3616" s="44"/>
      <c r="G3616" s="44"/>
      <c r="H3616" s="46" t="str">
        <f aca="false">IF($A3616="","",IF(OR(NOT(ISNUMBER(E3616)),NOT(ISNUMBER(F3616))),"",MAX(0,E3616)*F3616))</f>
        <v/>
      </c>
      <c r="I3616" s="46" t="str">
        <f aca="false">IF($A3616="","",SUMIF($A$2:$A$5001,$A3616,$H$2:$H$5001))</f>
        <v/>
      </c>
      <c r="J3616" s="47" t="n">
        <f aca="false">IF($A3616="",0,IF(COUNTIF($A$2:A3616,$A3616)=1,1,0))</f>
        <v>0</v>
      </c>
      <c r="K3616" s="47" t="n">
        <f aca="false">IF(J3616=1,N(I3616)+ROW()/10000000,0)</f>
        <v>0</v>
      </c>
      <c r="L3616" s="47" t="str">
        <f aca="false">IF(AND(J3616=1,N(I3616)&gt;0),SUMIF($K$2:$K$5001,"&gt;="&amp;K3616,$I$2:$I$5001)/MAX(1,SUM($H$2:$H$5001)),"")</f>
        <v/>
      </c>
      <c r="M3616" s="47" t="str">
        <f aca="false">IF($A3616="","",INDEX($L$2:$L$5001,MATCH($A3616,$A$2:$A$5001,0)))</f>
        <v/>
      </c>
      <c r="N3616" s="48" t="str">
        <f aca="false">IF($A3616="","",IF(N(M3616)=0,"–",IF(M3616&lt;=Start!$D$20,"A",IF(M3616&lt;=Start!$D$21,"B","C"))))</f>
        <v/>
      </c>
      <c r="O3616" s="48" t="str">
        <f aca="false">IF($A3616="","",IF(NOT(ISNUMBER(F3616)),"Wert fehlt; ",IF(F3616&lt;=0,"Wert ist 0; ",""))&amp;IF(NOT(ISNUMBER(E3616)),"Bestand fehlt; ",IF(E3616&lt;0,"Bestand negativ; ",IF(E3616=0,"Nullbestand; ","")))&amp;IF(D3616="","Warengruppe fehlt; ","")&amp;IF(B3616="","Bezeichnung fehlt; ","")&amp;IF(COUNTIFS($A$2:$A$5001,$A3616,$C$2:$C$5001,C3616)&gt;1,"Artikel doppelt im selben Lager; ",""))</f>
        <v/>
      </c>
      <c r="P3616" s="47" t="n">
        <f aca="false">IF(OR($A3616="",D3616=""),0,IF(COUNTIF($D$2:D3616,D3616)=1,SUMIF($D$2:$D$5001,D3616,$H$2:$H$5001)+ROW()/10000000,0))</f>
        <v>0</v>
      </c>
      <c r="Q3616" s="47" t="n">
        <f aca="false">IF(OR($A3616="",C3616=""),0,IF(COUNTIF($C$2:C3616,C3616)=1,SUMIF($C$2:$C$5001,C3616,$H$2:$H$5001)+ROW()/10000000,0))</f>
        <v>0</v>
      </c>
    </row>
    <row r="3617" customFormat="false" ht="15" hidden="false" customHeight="false" outlineLevel="0" collapsed="false">
      <c r="A3617" s="43"/>
      <c r="B3617" s="44"/>
      <c r="C3617" s="44"/>
      <c r="D3617" s="44"/>
      <c r="E3617" s="44"/>
      <c r="F3617" s="44"/>
      <c r="G3617" s="44"/>
      <c r="H3617" s="46" t="str">
        <f aca="false">IF($A3617="","",IF(OR(NOT(ISNUMBER(E3617)),NOT(ISNUMBER(F3617))),"",MAX(0,E3617)*F3617))</f>
        <v/>
      </c>
      <c r="I3617" s="46" t="str">
        <f aca="false">IF($A3617="","",SUMIF($A$2:$A$5001,$A3617,$H$2:$H$5001))</f>
        <v/>
      </c>
      <c r="J3617" s="47" t="n">
        <f aca="false">IF($A3617="",0,IF(COUNTIF($A$2:A3617,$A3617)=1,1,0))</f>
        <v>0</v>
      </c>
      <c r="K3617" s="47" t="n">
        <f aca="false">IF(J3617=1,N(I3617)+ROW()/10000000,0)</f>
        <v>0</v>
      </c>
      <c r="L3617" s="47" t="str">
        <f aca="false">IF(AND(J3617=1,N(I3617)&gt;0),SUMIF($K$2:$K$5001,"&gt;="&amp;K3617,$I$2:$I$5001)/MAX(1,SUM($H$2:$H$5001)),"")</f>
        <v/>
      </c>
      <c r="M3617" s="47" t="str">
        <f aca="false">IF($A3617="","",INDEX($L$2:$L$5001,MATCH($A3617,$A$2:$A$5001,0)))</f>
        <v/>
      </c>
      <c r="N3617" s="48" t="str">
        <f aca="false">IF($A3617="","",IF(N(M3617)=0,"–",IF(M3617&lt;=Start!$D$20,"A",IF(M3617&lt;=Start!$D$21,"B","C"))))</f>
        <v/>
      </c>
      <c r="O3617" s="48" t="str">
        <f aca="false">IF($A3617="","",IF(NOT(ISNUMBER(F3617)),"Wert fehlt; ",IF(F3617&lt;=0,"Wert ist 0; ",""))&amp;IF(NOT(ISNUMBER(E3617)),"Bestand fehlt; ",IF(E3617&lt;0,"Bestand negativ; ",IF(E3617=0,"Nullbestand; ","")))&amp;IF(D3617="","Warengruppe fehlt; ","")&amp;IF(B3617="","Bezeichnung fehlt; ","")&amp;IF(COUNTIFS($A$2:$A$5001,$A3617,$C$2:$C$5001,C3617)&gt;1,"Artikel doppelt im selben Lager; ",""))</f>
        <v/>
      </c>
      <c r="P3617" s="47" t="n">
        <f aca="false">IF(OR($A3617="",D3617=""),0,IF(COUNTIF($D$2:D3617,D3617)=1,SUMIF($D$2:$D$5001,D3617,$H$2:$H$5001)+ROW()/10000000,0))</f>
        <v>0</v>
      </c>
      <c r="Q3617" s="47" t="n">
        <f aca="false">IF(OR($A3617="",C3617=""),0,IF(COUNTIF($C$2:C3617,C3617)=1,SUMIF($C$2:$C$5001,C3617,$H$2:$H$5001)+ROW()/10000000,0))</f>
        <v>0</v>
      </c>
    </row>
    <row r="3618" customFormat="false" ht="15" hidden="false" customHeight="false" outlineLevel="0" collapsed="false">
      <c r="A3618" s="43"/>
      <c r="B3618" s="44"/>
      <c r="C3618" s="44"/>
      <c r="D3618" s="44"/>
      <c r="E3618" s="44"/>
      <c r="F3618" s="44"/>
      <c r="G3618" s="44"/>
      <c r="H3618" s="46" t="str">
        <f aca="false">IF($A3618="","",IF(OR(NOT(ISNUMBER(E3618)),NOT(ISNUMBER(F3618))),"",MAX(0,E3618)*F3618))</f>
        <v/>
      </c>
      <c r="I3618" s="46" t="str">
        <f aca="false">IF($A3618="","",SUMIF($A$2:$A$5001,$A3618,$H$2:$H$5001))</f>
        <v/>
      </c>
      <c r="J3618" s="47" t="n">
        <f aca="false">IF($A3618="",0,IF(COUNTIF($A$2:A3618,$A3618)=1,1,0))</f>
        <v>0</v>
      </c>
      <c r="K3618" s="47" t="n">
        <f aca="false">IF(J3618=1,N(I3618)+ROW()/10000000,0)</f>
        <v>0</v>
      </c>
      <c r="L3618" s="47" t="str">
        <f aca="false">IF(AND(J3618=1,N(I3618)&gt;0),SUMIF($K$2:$K$5001,"&gt;="&amp;K3618,$I$2:$I$5001)/MAX(1,SUM($H$2:$H$5001)),"")</f>
        <v/>
      </c>
      <c r="M3618" s="47" t="str">
        <f aca="false">IF($A3618="","",INDEX($L$2:$L$5001,MATCH($A3618,$A$2:$A$5001,0)))</f>
        <v/>
      </c>
      <c r="N3618" s="48" t="str">
        <f aca="false">IF($A3618="","",IF(N(M3618)=0,"–",IF(M3618&lt;=Start!$D$20,"A",IF(M3618&lt;=Start!$D$21,"B","C"))))</f>
        <v/>
      </c>
      <c r="O3618" s="48" t="str">
        <f aca="false">IF($A3618="","",IF(NOT(ISNUMBER(F3618)),"Wert fehlt; ",IF(F3618&lt;=0,"Wert ist 0; ",""))&amp;IF(NOT(ISNUMBER(E3618)),"Bestand fehlt; ",IF(E3618&lt;0,"Bestand negativ; ",IF(E3618=0,"Nullbestand; ","")))&amp;IF(D3618="","Warengruppe fehlt; ","")&amp;IF(B3618="","Bezeichnung fehlt; ","")&amp;IF(COUNTIFS($A$2:$A$5001,$A3618,$C$2:$C$5001,C3618)&gt;1,"Artikel doppelt im selben Lager; ",""))</f>
        <v/>
      </c>
      <c r="P3618" s="47" t="n">
        <f aca="false">IF(OR($A3618="",D3618=""),0,IF(COUNTIF($D$2:D3618,D3618)=1,SUMIF($D$2:$D$5001,D3618,$H$2:$H$5001)+ROW()/10000000,0))</f>
        <v>0</v>
      </c>
      <c r="Q3618" s="47" t="n">
        <f aca="false">IF(OR($A3618="",C3618=""),0,IF(COUNTIF($C$2:C3618,C3618)=1,SUMIF($C$2:$C$5001,C3618,$H$2:$H$5001)+ROW()/10000000,0))</f>
        <v>0</v>
      </c>
    </row>
    <row r="3619" customFormat="false" ht="15" hidden="false" customHeight="false" outlineLevel="0" collapsed="false">
      <c r="A3619" s="43"/>
      <c r="B3619" s="44"/>
      <c r="C3619" s="44"/>
      <c r="D3619" s="44"/>
      <c r="E3619" s="44"/>
      <c r="F3619" s="44"/>
      <c r="G3619" s="44"/>
      <c r="H3619" s="46" t="str">
        <f aca="false">IF($A3619="","",IF(OR(NOT(ISNUMBER(E3619)),NOT(ISNUMBER(F3619))),"",MAX(0,E3619)*F3619))</f>
        <v/>
      </c>
      <c r="I3619" s="46" t="str">
        <f aca="false">IF($A3619="","",SUMIF($A$2:$A$5001,$A3619,$H$2:$H$5001))</f>
        <v/>
      </c>
      <c r="J3619" s="47" t="n">
        <f aca="false">IF($A3619="",0,IF(COUNTIF($A$2:A3619,$A3619)=1,1,0))</f>
        <v>0</v>
      </c>
      <c r="K3619" s="47" t="n">
        <f aca="false">IF(J3619=1,N(I3619)+ROW()/10000000,0)</f>
        <v>0</v>
      </c>
      <c r="L3619" s="47" t="str">
        <f aca="false">IF(AND(J3619=1,N(I3619)&gt;0),SUMIF($K$2:$K$5001,"&gt;="&amp;K3619,$I$2:$I$5001)/MAX(1,SUM($H$2:$H$5001)),"")</f>
        <v/>
      </c>
      <c r="M3619" s="47" t="str">
        <f aca="false">IF($A3619="","",INDEX($L$2:$L$5001,MATCH($A3619,$A$2:$A$5001,0)))</f>
        <v/>
      </c>
      <c r="N3619" s="48" t="str">
        <f aca="false">IF($A3619="","",IF(N(M3619)=0,"–",IF(M3619&lt;=Start!$D$20,"A",IF(M3619&lt;=Start!$D$21,"B","C"))))</f>
        <v/>
      </c>
      <c r="O3619" s="48" t="str">
        <f aca="false">IF($A3619="","",IF(NOT(ISNUMBER(F3619)),"Wert fehlt; ",IF(F3619&lt;=0,"Wert ist 0; ",""))&amp;IF(NOT(ISNUMBER(E3619)),"Bestand fehlt; ",IF(E3619&lt;0,"Bestand negativ; ",IF(E3619=0,"Nullbestand; ","")))&amp;IF(D3619="","Warengruppe fehlt; ","")&amp;IF(B3619="","Bezeichnung fehlt; ","")&amp;IF(COUNTIFS($A$2:$A$5001,$A3619,$C$2:$C$5001,C3619)&gt;1,"Artikel doppelt im selben Lager; ",""))</f>
        <v/>
      </c>
      <c r="P3619" s="47" t="n">
        <f aca="false">IF(OR($A3619="",D3619=""),0,IF(COUNTIF($D$2:D3619,D3619)=1,SUMIF($D$2:$D$5001,D3619,$H$2:$H$5001)+ROW()/10000000,0))</f>
        <v>0</v>
      </c>
      <c r="Q3619" s="47" t="n">
        <f aca="false">IF(OR($A3619="",C3619=""),0,IF(COUNTIF($C$2:C3619,C3619)=1,SUMIF($C$2:$C$5001,C3619,$H$2:$H$5001)+ROW()/10000000,0))</f>
        <v>0</v>
      </c>
    </row>
    <row r="3620" customFormat="false" ht="15" hidden="false" customHeight="false" outlineLevel="0" collapsed="false">
      <c r="A3620" s="43"/>
      <c r="B3620" s="44"/>
      <c r="C3620" s="44"/>
      <c r="D3620" s="44"/>
      <c r="E3620" s="44"/>
      <c r="F3620" s="44"/>
      <c r="G3620" s="44"/>
      <c r="H3620" s="46" t="str">
        <f aca="false">IF($A3620="","",IF(OR(NOT(ISNUMBER(E3620)),NOT(ISNUMBER(F3620))),"",MAX(0,E3620)*F3620))</f>
        <v/>
      </c>
      <c r="I3620" s="46" t="str">
        <f aca="false">IF($A3620="","",SUMIF($A$2:$A$5001,$A3620,$H$2:$H$5001))</f>
        <v/>
      </c>
      <c r="J3620" s="47" t="n">
        <f aca="false">IF($A3620="",0,IF(COUNTIF($A$2:A3620,$A3620)=1,1,0))</f>
        <v>0</v>
      </c>
      <c r="K3620" s="47" t="n">
        <f aca="false">IF(J3620=1,N(I3620)+ROW()/10000000,0)</f>
        <v>0</v>
      </c>
      <c r="L3620" s="47" t="str">
        <f aca="false">IF(AND(J3620=1,N(I3620)&gt;0),SUMIF($K$2:$K$5001,"&gt;="&amp;K3620,$I$2:$I$5001)/MAX(1,SUM($H$2:$H$5001)),"")</f>
        <v/>
      </c>
      <c r="M3620" s="47" t="str">
        <f aca="false">IF($A3620="","",INDEX($L$2:$L$5001,MATCH($A3620,$A$2:$A$5001,0)))</f>
        <v/>
      </c>
      <c r="N3620" s="48" t="str">
        <f aca="false">IF($A3620="","",IF(N(M3620)=0,"–",IF(M3620&lt;=Start!$D$20,"A",IF(M3620&lt;=Start!$D$21,"B","C"))))</f>
        <v/>
      </c>
      <c r="O3620" s="48" t="str">
        <f aca="false">IF($A3620="","",IF(NOT(ISNUMBER(F3620)),"Wert fehlt; ",IF(F3620&lt;=0,"Wert ist 0; ",""))&amp;IF(NOT(ISNUMBER(E3620)),"Bestand fehlt; ",IF(E3620&lt;0,"Bestand negativ; ",IF(E3620=0,"Nullbestand; ","")))&amp;IF(D3620="","Warengruppe fehlt; ","")&amp;IF(B3620="","Bezeichnung fehlt; ","")&amp;IF(COUNTIFS($A$2:$A$5001,$A3620,$C$2:$C$5001,C3620)&gt;1,"Artikel doppelt im selben Lager; ",""))</f>
        <v/>
      </c>
      <c r="P3620" s="47" t="n">
        <f aca="false">IF(OR($A3620="",D3620=""),0,IF(COUNTIF($D$2:D3620,D3620)=1,SUMIF($D$2:$D$5001,D3620,$H$2:$H$5001)+ROW()/10000000,0))</f>
        <v>0</v>
      </c>
      <c r="Q3620" s="47" t="n">
        <f aca="false">IF(OR($A3620="",C3620=""),0,IF(COUNTIF($C$2:C3620,C3620)=1,SUMIF($C$2:$C$5001,C3620,$H$2:$H$5001)+ROW()/10000000,0))</f>
        <v>0</v>
      </c>
    </row>
    <row r="3621" customFormat="false" ht="15" hidden="false" customHeight="false" outlineLevel="0" collapsed="false">
      <c r="A3621" s="43"/>
      <c r="B3621" s="44"/>
      <c r="C3621" s="44"/>
      <c r="D3621" s="44"/>
      <c r="E3621" s="44"/>
      <c r="F3621" s="44"/>
      <c r="G3621" s="44"/>
      <c r="H3621" s="46" t="str">
        <f aca="false">IF($A3621="","",IF(OR(NOT(ISNUMBER(E3621)),NOT(ISNUMBER(F3621))),"",MAX(0,E3621)*F3621))</f>
        <v/>
      </c>
      <c r="I3621" s="46" t="str">
        <f aca="false">IF($A3621="","",SUMIF($A$2:$A$5001,$A3621,$H$2:$H$5001))</f>
        <v/>
      </c>
      <c r="J3621" s="47" t="n">
        <f aca="false">IF($A3621="",0,IF(COUNTIF($A$2:A3621,$A3621)=1,1,0))</f>
        <v>0</v>
      </c>
      <c r="K3621" s="47" t="n">
        <f aca="false">IF(J3621=1,N(I3621)+ROW()/10000000,0)</f>
        <v>0</v>
      </c>
      <c r="L3621" s="47" t="str">
        <f aca="false">IF(AND(J3621=1,N(I3621)&gt;0),SUMIF($K$2:$K$5001,"&gt;="&amp;K3621,$I$2:$I$5001)/MAX(1,SUM($H$2:$H$5001)),"")</f>
        <v/>
      </c>
      <c r="M3621" s="47" t="str">
        <f aca="false">IF($A3621="","",INDEX($L$2:$L$5001,MATCH($A3621,$A$2:$A$5001,0)))</f>
        <v/>
      </c>
      <c r="N3621" s="48" t="str">
        <f aca="false">IF($A3621="","",IF(N(M3621)=0,"–",IF(M3621&lt;=Start!$D$20,"A",IF(M3621&lt;=Start!$D$21,"B","C"))))</f>
        <v/>
      </c>
      <c r="O3621" s="48" t="str">
        <f aca="false">IF($A3621="","",IF(NOT(ISNUMBER(F3621)),"Wert fehlt; ",IF(F3621&lt;=0,"Wert ist 0; ",""))&amp;IF(NOT(ISNUMBER(E3621)),"Bestand fehlt; ",IF(E3621&lt;0,"Bestand negativ; ",IF(E3621=0,"Nullbestand; ","")))&amp;IF(D3621="","Warengruppe fehlt; ","")&amp;IF(B3621="","Bezeichnung fehlt; ","")&amp;IF(COUNTIFS($A$2:$A$5001,$A3621,$C$2:$C$5001,C3621)&gt;1,"Artikel doppelt im selben Lager; ",""))</f>
        <v/>
      </c>
      <c r="P3621" s="47" t="n">
        <f aca="false">IF(OR($A3621="",D3621=""),0,IF(COUNTIF($D$2:D3621,D3621)=1,SUMIF($D$2:$D$5001,D3621,$H$2:$H$5001)+ROW()/10000000,0))</f>
        <v>0</v>
      </c>
      <c r="Q3621" s="47" t="n">
        <f aca="false">IF(OR($A3621="",C3621=""),0,IF(COUNTIF($C$2:C3621,C3621)=1,SUMIF($C$2:$C$5001,C3621,$H$2:$H$5001)+ROW()/10000000,0))</f>
        <v>0</v>
      </c>
    </row>
    <row r="3622" customFormat="false" ht="15" hidden="false" customHeight="false" outlineLevel="0" collapsed="false">
      <c r="A3622" s="43"/>
      <c r="B3622" s="44"/>
      <c r="C3622" s="44"/>
      <c r="D3622" s="44"/>
      <c r="E3622" s="44"/>
      <c r="F3622" s="44"/>
      <c r="G3622" s="44"/>
      <c r="H3622" s="46" t="str">
        <f aca="false">IF($A3622="","",IF(OR(NOT(ISNUMBER(E3622)),NOT(ISNUMBER(F3622))),"",MAX(0,E3622)*F3622))</f>
        <v/>
      </c>
      <c r="I3622" s="46" t="str">
        <f aca="false">IF($A3622="","",SUMIF($A$2:$A$5001,$A3622,$H$2:$H$5001))</f>
        <v/>
      </c>
      <c r="J3622" s="47" t="n">
        <f aca="false">IF($A3622="",0,IF(COUNTIF($A$2:A3622,$A3622)=1,1,0))</f>
        <v>0</v>
      </c>
      <c r="K3622" s="47" t="n">
        <f aca="false">IF(J3622=1,N(I3622)+ROW()/10000000,0)</f>
        <v>0</v>
      </c>
      <c r="L3622" s="47" t="str">
        <f aca="false">IF(AND(J3622=1,N(I3622)&gt;0),SUMIF($K$2:$K$5001,"&gt;="&amp;K3622,$I$2:$I$5001)/MAX(1,SUM($H$2:$H$5001)),"")</f>
        <v/>
      </c>
      <c r="M3622" s="47" t="str">
        <f aca="false">IF($A3622="","",INDEX($L$2:$L$5001,MATCH($A3622,$A$2:$A$5001,0)))</f>
        <v/>
      </c>
      <c r="N3622" s="48" t="str">
        <f aca="false">IF($A3622="","",IF(N(M3622)=0,"–",IF(M3622&lt;=Start!$D$20,"A",IF(M3622&lt;=Start!$D$21,"B","C"))))</f>
        <v/>
      </c>
      <c r="O3622" s="48" t="str">
        <f aca="false">IF($A3622="","",IF(NOT(ISNUMBER(F3622)),"Wert fehlt; ",IF(F3622&lt;=0,"Wert ist 0; ",""))&amp;IF(NOT(ISNUMBER(E3622)),"Bestand fehlt; ",IF(E3622&lt;0,"Bestand negativ; ",IF(E3622=0,"Nullbestand; ","")))&amp;IF(D3622="","Warengruppe fehlt; ","")&amp;IF(B3622="","Bezeichnung fehlt; ","")&amp;IF(COUNTIFS($A$2:$A$5001,$A3622,$C$2:$C$5001,C3622)&gt;1,"Artikel doppelt im selben Lager; ",""))</f>
        <v/>
      </c>
      <c r="P3622" s="47" t="n">
        <f aca="false">IF(OR($A3622="",D3622=""),0,IF(COUNTIF($D$2:D3622,D3622)=1,SUMIF($D$2:$D$5001,D3622,$H$2:$H$5001)+ROW()/10000000,0))</f>
        <v>0</v>
      </c>
      <c r="Q3622" s="47" t="n">
        <f aca="false">IF(OR($A3622="",C3622=""),0,IF(COUNTIF($C$2:C3622,C3622)=1,SUMIF($C$2:$C$5001,C3622,$H$2:$H$5001)+ROW()/10000000,0))</f>
        <v>0</v>
      </c>
    </row>
    <row r="3623" customFormat="false" ht="15" hidden="false" customHeight="false" outlineLevel="0" collapsed="false">
      <c r="A3623" s="43"/>
      <c r="B3623" s="44"/>
      <c r="C3623" s="44"/>
      <c r="D3623" s="44"/>
      <c r="E3623" s="44"/>
      <c r="F3623" s="44"/>
      <c r="G3623" s="44"/>
      <c r="H3623" s="46" t="str">
        <f aca="false">IF($A3623="","",IF(OR(NOT(ISNUMBER(E3623)),NOT(ISNUMBER(F3623))),"",MAX(0,E3623)*F3623))</f>
        <v/>
      </c>
      <c r="I3623" s="46" t="str">
        <f aca="false">IF($A3623="","",SUMIF($A$2:$A$5001,$A3623,$H$2:$H$5001))</f>
        <v/>
      </c>
      <c r="J3623" s="47" t="n">
        <f aca="false">IF($A3623="",0,IF(COUNTIF($A$2:A3623,$A3623)=1,1,0))</f>
        <v>0</v>
      </c>
      <c r="K3623" s="47" t="n">
        <f aca="false">IF(J3623=1,N(I3623)+ROW()/10000000,0)</f>
        <v>0</v>
      </c>
      <c r="L3623" s="47" t="str">
        <f aca="false">IF(AND(J3623=1,N(I3623)&gt;0),SUMIF($K$2:$K$5001,"&gt;="&amp;K3623,$I$2:$I$5001)/MAX(1,SUM($H$2:$H$5001)),"")</f>
        <v/>
      </c>
      <c r="M3623" s="47" t="str">
        <f aca="false">IF($A3623="","",INDEX($L$2:$L$5001,MATCH($A3623,$A$2:$A$5001,0)))</f>
        <v/>
      </c>
      <c r="N3623" s="48" t="str">
        <f aca="false">IF($A3623="","",IF(N(M3623)=0,"–",IF(M3623&lt;=Start!$D$20,"A",IF(M3623&lt;=Start!$D$21,"B","C"))))</f>
        <v/>
      </c>
      <c r="O3623" s="48" t="str">
        <f aca="false">IF($A3623="","",IF(NOT(ISNUMBER(F3623)),"Wert fehlt; ",IF(F3623&lt;=0,"Wert ist 0; ",""))&amp;IF(NOT(ISNUMBER(E3623)),"Bestand fehlt; ",IF(E3623&lt;0,"Bestand negativ; ",IF(E3623=0,"Nullbestand; ","")))&amp;IF(D3623="","Warengruppe fehlt; ","")&amp;IF(B3623="","Bezeichnung fehlt; ","")&amp;IF(COUNTIFS($A$2:$A$5001,$A3623,$C$2:$C$5001,C3623)&gt;1,"Artikel doppelt im selben Lager; ",""))</f>
        <v/>
      </c>
      <c r="P3623" s="47" t="n">
        <f aca="false">IF(OR($A3623="",D3623=""),0,IF(COUNTIF($D$2:D3623,D3623)=1,SUMIF($D$2:$D$5001,D3623,$H$2:$H$5001)+ROW()/10000000,0))</f>
        <v>0</v>
      </c>
      <c r="Q3623" s="47" t="n">
        <f aca="false">IF(OR($A3623="",C3623=""),0,IF(COUNTIF($C$2:C3623,C3623)=1,SUMIF($C$2:$C$5001,C3623,$H$2:$H$5001)+ROW()/10000000,0))</f>
        <v>0</v>
      </c>
    </row>
    <row r="3624" customFormat="false" ht="15" hidden="false" customHeight="false" outlineLevel="0" collapsed="false">
      <c r="A3624" s="43"/>
      <c r="B3624" s="44"/>
      <c r="C3624" s="44"/>
      <c r="D3624" s="44"/>
      <c r="E3624" s="44"/>
      <c r="F3624" s="44"/>
      <c r="G3624" s="44"/>
      <c r="H3624" s="46" t="str">
        <f aca="false">IF($A3624="","",IF(OR(NOT(ISNUMBER(E3624)),NOT(ISNUMBER(F3624))),"",MAX(0,E3624)*F3624))</f>
        <v/>
      </c>
      <c r="I3624" s="46" t="str">
        <f aca="false">IF($A3624="","",SUMIF($A$2:$A$5001,$A3624,$H$2:$H$5001))</f>
        <v/>
      </c>
      <c r="J3624" s="47" t="n">
        <f aca="false">IF($A3624="",0,IF(COUNTIF($A$2:A3624,$A3624)=1,1,0))</f>
        <v>0</v>
      </c>
      <c r="K3624" s="47" t="n">
        <f aca="false">IF(J3624=1,N(I3624)+ROW()/10000000,0)</f>
        <v>0</v>
      </c>
      <c r="L3624" s="47" t="str">
        <f aca="false">IF(AND(J3624=1,N(I3624)&gt;0),SUMIF($K$2:$K$5001,"&gt;="&amp;K3624,$I$2:$I$5001)/MAX(1,SUM($H$2:$H$5001)),"")</f>
        <v/>
      </c>
      <c r="M3624" s="47" t="str">
        <f aca="false">IF($A3624="","",INDEX($L$2:$L$5001,MATCH($A3624,$A$2:$A$5001,0)))</f>
        <v/>
      </c>
      <c r="N3624" s="48" t="str">
        <f aca="false">IF($A3624="","",IF(N(M3624)=0,"–",IF(M3624&lt;=Start!$D$20,"A",IF(M3624&lt;=Start!$D$21,"B","C"))))</f>
        <v/>
      </c>
      <c r="O3624" s="48" t="str">
        <f aca="false">IF($A3624="","",IF(NOT(ISNUMBER(F3624)),"Wert fehlt; ",IF(F3624&lt;=0,"Wert ist 0; ",""))&amp;IF(NOT(ISNUMBER(E3624)),"Bestand fehlt; ",IF(E3624&lt;0,"Bestand negativ; ",IF(E3624=0,"Nullbestand; ","")))&amp;IF(D3624="","Warengruppe fehlt; ","")&amp;IF(B3624="","Bezeichnung fehlt; ","")&amp;IF(COUNTIFS($A$2:$A$5001,$A3624,$C$2:$C$5001,C3624)&gt;1,"Artikel doppelt im selben Lager; ",""))</f>
        <v/>
      </c>
      <c r="P3624" s="47" t="n">
        <f aca="false">IF(OR($A3624="",D3624=""),0,IF(COUNTIF($D$2:D3624,D3624)=1,SUMIF($D$2:$D$5001,D3624,$H$2:$H$5001)+ROW()/10000000,0))</f>
        <v>0</v>
      </c>
      <c r="Q3624" s="47" t="n">
        <f aca="false">IF(OR($A3624="",C3624=""),0,IF(COUNTIF($C$2:C3624,C3624)=1,SUMIF($C$2:$C$5001,C3624,$H$2:$H$5001)+ROW()/10000000,0))</f>
        <v>0</v>
      </c>
    </row>
    <row r="3625" customFormat="false" ht="15" hidden="false" customHeight="false" outlineLevel="0" collapsed="false">
      <c r="A3625" s="43"/>
      <c r="B3625" s="44"/>
      <c r="C3625" s="44"/>
      <c r="D3625" s="44"/>
      <c r="E3625" s="44"/>
      <c r="F3625" s="44"/>
      <c r="G3625" s="44"/>
      <c r="H3625" s="46" t="str">
        <f aca="false">IF($A3625="","",IF(OR(NOT(ISNUMBER(E3625)),NOT(ISNUMBER(F3625))),"",MAX(0,E3625)*F3625))</f>
        <v/>
      </c>
      <c r="I3625" s="46" t="str">
        <f aca="false">IF($A3625="","",SUMIF($A$2:$A$5001,$A3625,$H$2:$H$5001))</f>
        <v/>
      </c>
      <c r="J3625" s="47" t="n">
        <f aca="false">IF($A3625="",0,IF(COUNTIF($A$2:A3625,$A3625)=1,1,0))</f>
        <v>0</v>
      </c>
      <c r="K3625" s="47" t="n">
        <f aca="false">IF(J3625=1,N(I3625)+ROW()/10000000,0)</f>
        <v>0</v>
      </c>
      <c r="L3625" s="47" t="str">
        <f aca="false">IF(AND(J3625=1,N(I3625)&gt;0),SUMIF($K$2:$K$5001,"&gt;="&amp;K3625,$I$2:$I$5001)/MAX(1,SUM($H$2:$H$5001)),"")</f>
        <v/>
      </c>
      <c r="M3625" s="47" t="str">
        <f aca="false">IF($A3625="","",INDEX($L$2:$L$5001,MATCH($A3625,$A$2:$A$5001,0)))</f>
        <v/>
      </c>
      <c r="N3625" s="48" t="str">
        <f aca="false">IF($A3625="","",IF(N(M3625)=0,"–",IF(M3625&lt;=Start!$D$20,"A",IF(M3625&lt;=Start!$D$21,"B","C"))))</f>
        <v/>
      </c>
      <c r="O3625" s="48" t="str">
        <f aca="false">IF($A3625="","",IF(NOT(ISNUMBER(F3625)),"Wert fehlt; ",IF(F3625&lt;=0,"Wert ist 0; ",""))&amp;IF(NOT(ISNUMBER(E3625)),"Bestand fehlt; ",IF(E3625&lt;0,"Bestand negativ; ",IF(E3625=0,"Nullbestand; ","")))&amp;IF(D3625="","Warengruppe fehlt; ","")&amp;IF(B3625="","Bezeichnung fehlt; ","")&amp;IF(COUNTIFS($A$2:$A$5001,$A3625,$C$2:$C$5001,C3625)&gt;1,"Artikel doppelt im selben Lager; ",""))</f>
        <v/>
      </c>
      <c r="P3625" s="47" t="n">
        <f aca="false">IF(OR($A3625="",D3625=""),0,IF(COUNTIF($D$2:D3625,D3625)=1,SUMIF($D$2:$D$5001,D3625,$H$2:$H$5001)+ROW()/10000000,0))</f>
        <v>0</v>
      </c>
      <c r="Q3625" s="47" t="n">
        <f aca="false">IF(OR($A3625="",C3625=""),0,IF(COUNTIF($C$2:C3625,C3625)=1,SUMIF($C$2:$C$5001,C3625,$H$2:$H$5001)+ROW()/10000000,0))</f>
        <v>0</v>
      </c>
    </row>
    <row r="3626" customFormat="false" ht="15" hidden="false" customHeight="false" outlineLevel="0" collapsed="false">
      <c r="A3626" s="43"/>
      <c r="B3626" s="44"/>
      <c r="C3626" s="44"/>
      <c r="D3626" s="44"/>
      <c r="E3626" s="44"/>
      <c r="F3626" s="44"/>
      <c r="G3626" s="44"/>
      <c r="H3626" s="46" t="str">
        <f aca="false">IF($A3626="","",IF(OR(NOT(ISNUMBER(E3626)),NOT(ISNUMBER(F3626))),"",MAX(0,E3626)*F3626))</f>
        <v/>
      </c>
      <c r="I3626" s="46" t="str">
        <f aca="false">IF($A3626="","",SUMIF($A$2:$A$5001,$A3626,$H$2:$H$5001))</f>
        <v/>
      </c>
      <c r="J3626" s="47" t="n">
        <f aca="false">IF($A3626="",0,IF(COUNTIF($A$2:A3626,$A3626)=1,1,0))</f>
        <v>0</v>
      </c>
      <c r="K3626" s="47" t="n">
        <f aca="false">IF(J3626=1,N(I3626)+ROW()/10000000,0)</f>
        <v>0</v>
      </c>
      <c r="L3626" s="47" t="str">
        <f aca="false">IF(AND(J3626=1,N(I3626)&gt;0),SUMIF($K$2:$K$5001,"&gt;="&amp;K3626,$I$2:$I$5001)/MAX(1,SUM($H$2:$H$5001)),"")</f>
        <v/>
      </c>
      <c r="M3626" s="47" t="str">
        <f aca="false">IF($A3626="","",INDEX($L$2:$L$5001,MATCH($A3626,$A$2:$A$5001,0)))</f>
        <v/>
      </c>
      <c r="N3626" s="48" t="str">
        <f aca="false">IF($A3626="","",IF(N(M3626)=0,"–",IF(M3626&lt;=Start!$D$20,"A",IF(M3626&lt;=Start!$D$21,"B","C"))))</f>
        <v/>
      </c>
      <c r="O3626" s="48" t="str">
        <f aca="false">IF($A3626="","",IF(NOT(ISNUMBER(F3626)),"Wert fehlt; ",IF(F3626&lt;=0,"Wert ist 0; ",""))&amp;IF(NOT(ISNUMBER(E3626)),"Bestand fehlt; ",IF(E3626&lt;0,"Bestand negativ; ",IF(E3626=0,"Nullbestand; ","")))&amp;IF(D3626="","Warengruppe fehlt; ","")&amp;IF(B3626="","Bezeichnung fehlt; ","")&amp;IF(COUNTIFS($A$2:$A$5001,$A3626,$C$2:$C$5001,C3626)&gt;1,"Artikel doppelt im selben Lager; ",""))</f>
        <v/>
      </c>
      <c r="P3626" s="47" t="n">
        <f aca="false">IF(OR($A3626="",D3626=""),0,IF(COUNTIF($D$2:D3626,D3626)=1,SUMIF($D$2:$D$5001,D3626,$H$2:$H$5001)+ROW()/10000000,0))</f>
        <v>0</v>
      </c>
      <c r="Q3626" s="47" t="n">
        <f aca="false">IF(OR($A3626="",C3626=""),0,IF(COUNTIF($C$2:C3626,C3626)=1,SUMIF($C$2:$C$5001,C3626,$H$2:$H$5001)+ROW()/10000000,0))</f>
        <v>0</v>
      </c>
    </row>
    <row r="3627" customFormat="false" ht="15" hidden="false" customHeight="false" outlineLevel="0" collapsed="false">
      <c r="A3627" s="43"/>
      <c r="B3627" s="44"/>
      <c r="C3627" s="44"/>
      <c r="D3627" s="44"/>
      <c r="E3627" s="44"/>
      <c r="F3627" s="44"/>
      <c r="G3627" s="44"/>
      <c r="H3627" s="46" t="str">
        <f aca="false">IF($A3627="","",IF(OR(NOT(ISNUMBER(E3627)),NOT(ISNUMBER(F3627))),"",MAX(0,E3627)*F3627))</f>
        <v/>
      </c>
      <c r="I3627" s="46" t="str">
        <f aca="false">IF($A3627="","",SUMIF($A$2:$A$5001,$A3627,$H$2:$H$5001))</f>
        <v/>
      </c>
      <c r="J3627" s="47" t="n">
        <f aca="false">IF($A3627="",0,IF(COUNTIF($A$2:A3627,$A3627)=1,1,0))</f>
        <v>0</v>
      </c>
      <c r="K3627" s="47" t="n">
        <f aca="false">IF(J3627=1,N(I3627)+ROW()/10000000,0)</f>
        <v>0</v>
      </c>
      <c r="L3627" s="47" t="str">
        <f aca="false">IF(AND(J3627=1,N(I3627)&gt;0),SUMIF($K$2:$K$5001,"&gt;="&amp;K3627,$I$2:$I$5001)/MAX(1,SUM($H$2:$H$5001)),"")</f>
        <v/>
      </c>
      <c r="M3627" s="47" t="str">
        <f aca="false">IF($A3627="","",INDEX($L$2:$L$5001,MATCH($A3627,$A$2:$A$5001,0)))</f>
        <v/>
      </c>
      <c r="N3627" s="48" t="str">
        <f aca="false">IF($A3627="","",IF(N(M3627)=0,"–",IF(M3627&lt;=Start!$D$20,"A",IF(M3627&lt;=Start!$D$21,"B","C"))))</f>
        <v/>
      </c>
      <c r="O3627" s="48" t="str">
        <f aca="false">IF($A3627="","",IF(NOT(ISNUMBER(F3627)),"Wert fehlt; ",IF(F3627&lt;=0,"Wert ist 0; ",""))&amp;IF(NOT(ISNUMBER(E3627)),"Bestand fehlt; ",IF(E3627&lt;0,"Bestand negativ; ",IF(E3627=0,"Nullbestand; ","")))&amp;IF(D3627="","Warengruppe fehlt; ","")&amp;IF(B3627="","Bezeichnung fehlt; ","")&amp;IF(COUNTIFS($A$2:$A$5001,$A3627,$C$2:$C$5001,C3627)&gt;1,"Artikel doppelt im selben Lager; ",""))</f>
        <v/>
      </c>
      <c r="P3627" s="47" t="n">
        <f aca="false">IF(OR($A3627="",D3627=""),0,IF(COUNTIF($D$2:D3627,D3627)=1,SUMIF($D$2:$D$5001,D3627,$H$2:$H$5001)+ROW()/10000000,0))</f>
        <v>0</v>
      </c>
      <c r="Q3627" s="47" t="n">
        <f aca="false">IF(OR($A3627="",C3627=""),0,IF(COUNTIF($C$2:C3627,C3627)=1,SUMIF($C$2:$C$5001,C3627,$H$2:$H$5001)+ROW()/10000000,0))</f>
        <v>0</v>
      </c>
    </row>
    <row r="3628" customFormat="false" ht="15" hidden="false" customHeight="false" outlineLevel="0" collapsed="false">
      <c r="A3628" s="43"/>
      <c r="B3628" s="44"/>
      <c r="C3628" s="44"/>
      <c r="D3628" s="44"/>
      <c r="E3628" s="44"/>
      <c r="F3628" s="44"/>
      <c r="G3628" s="44"/>
      <c r="H3628" s="46" t="str">
        <f aca="false">IF($A3628="","",IF(OR(NOT(ISNUMBER(E3628)),NOT(ISNUMBER(F3628))),"",MAX(0,E3628)*F3628))</f>
        <v/>
      </c>
      <c r="I3628" s="46" t="str">
        <f aca="false">IF($A3628="","",SUMIF($A$2:$A$5001,$A3628,$H$2:$H$5001))</f>
        <v/>
      </c>
      <c r="J3628" s="47" t="n">
        <f aca="false">IF($A3628="",0,IF(COUNTIF($A$2:A3628,$A3628)=1,1,0))</f>
        <v>0</v>
      </c>
      <c r="K3628" s="47" t="n">
        <f aca="false">IF(J3628=1,N(I3628)+ROW()/10000000,0)</f>
        <v>0</v>
      </c>
      <c r="L3628" s="47" t="str">
        <f aca="false">IF(AND(J3628=1,N(I3628)&gt;0),SUMIF($K$2:$K$5001,"&gt;="&amp;K3628,$I$2:$I$5001)/MAX(1,SUM($H$2:$H$5001)),"")</f>
        <v/>
      </c>
      <c r="M3628" s="47" t="str">
        <f aca="false">IF($A3628="","",INDEX($L$2:$L$5001,MATCH($A3628,$A$2:$A$5001,0)))</f>
        <v/>
      </c>
      <c r="N3628" s="48" t="str">
        <f aca="false">IF($A3628="","",IF(N(M3628)=0,"–",IF(M3628&lt;=Start!$D$20,"A",IF(M3628&lt;=Start!$D$21,"B","C"))))</f>
        <v/>
      </c>
      <c r="O3628" s="48" t="str">
        <f aca="false">IF($A3628="","",IF(NOT(ISNUMBER(F3628)),"Wert fehlt; ",IF(F3628&lt;=0,"Wert ist 0; ",""))&amp;IF(NOT(ISNUMBER(E3628)),"Bestand fehlt; ",IF(E3628&lt;0,"Bestand negativ; ",IF(E3628=0,"Nullbestand; ","")))&amp;IF(D3628="","Warengruppe fehlt; ","")&amp;IF(B3628="","Bezeichnung fehlt; ","")&amp;IF(COUNTIFS($A$2:$A$5001,$A3628,$C$2:$C$5001,C3628)&gt;1,"Artikel doppelt im selben Lager; ",""))</f>
        <v/>
      </c>
      <c r="P3628" s="47" t="n">
        <f aca="false">IF(OR($A3628="",D3628=""),0,IF(COUNTIF($D$2:D3628,D3628)=1,SUMIF($D$2:$D$5001,D3628,$H$2:$H$5001)+ROW()/10000000,0))</f>
        <v>0</v>
      </c>
      <c r="Q3628" s="47" t="n">
        <f aca="false">IF(OR($A3628="",C3628=""),0,IF(COUNTIF($C$2:C3628,C3628)=1,SUMIF($C$2:$C$5001,C3628,$H$2:$H$5001)+ROW()/10000000,0))</f>
        <v>0</v>
      </c>
    </row>
    <row r="3629" customFormat="false" ht="15" hidden="false" customHeight="false" outlineLevel="0" collapsed="false">
      <c r="A3629" s="43"/>
      <c r="B3629" s="44"/>
      <c r="C3629" s="44"/>
      <c r="D3629" s="44"/>
      <c r="E3629" s="44"/>
      <c r="F3629" s="44"/>
      <c r="G3629" s="44"/>
      <c r="H3629" s="46" t="str">
        <f aca="false">IF($A3629="","",IF(OR(NOT(ISNUMBER(E3629)),NOT(ISNUMBER(F3629))),"",MAX(0,E3629)*F3629))</f>
        <v/>
      </c>
      <c r="I3629" s="46" t="str">
        <f aca="false">IF($A3629="","",SUMIF($A$2:$A$5001,$A3629,$H$2:$H$5001))</f>
        <v/>
      </c>
      <c r="J3629" s="47" t="n">
        <f aca="false">IF($A3629="",0,IF(COUNTIF($A$2:A3629,$A3629)=1,1,0))</f>
        <v>0</v>
      </c>
      <c r="K3629" s="47" t="n">
        <f aca="false">IF(J3629=1,N(I3629)+ROW()/10000000,0)</f>
        <v>0</v>
      </c>
      <c r="L3629" s="47" t="str">
        <f aca="false">IF(AND(J3629=1,N(I3629)&gt;0),SUMIF($K$2:$K$5001,"&gt;="&amp;K3629,$I$2:$I$5001)/MAX(1,SUM($H$2:$H$5001)),"")</f>
        <v/>
      </c>
      <c r="M3629" s="47" t="str">
        <f aca="false">IF($A3629="","",INDEX($L$2:$L$5001,MATCH($A3629,$A$2:$A$5001,0)))</f>
        <v/>
      </c>
      <c r="N3629" s="48" t="str">
        <f aca="false">IF($A3629="","",IF(N(M3629)=0,"–",IF(M3629&lt;=Start!$D$20,"A",IF(M3629&lt;=Start!$D$21,"B","C"))))</f>
        <v/>
      </c>
      <c r="O3629" s="48" t="str">
        <f aca="false">IF($A3629="","",IF(NOT(ISNUMBER(F3629)),"Wert fehlt; ",IF(F3629&lt;=0,"Wert ist 0; ",""))&amp;IF(NOT(ISNUMBER(E3629)),"Bestand fehlt; ",IF(E3629&lt;0,"Bestand negativ; ",IF(E3629=0,"Nullbestand; ","")))&amp;IF(D3629="","Warengruppe fehlt; ","")&amp;IF(B3629="","Bezeichnung fehlt; ","")&amp;IF(COUNTIFS($A$2:$A$5001,$A3629,$C$2:$C$5001,C3629)&gt;1,"Artikel doppelt im selben Lager; ",""))</f>
        <v/>
      </c>
      <c r="P3629" s="47" t="n">
        <f aca="false">IF(OR($A3629="",D3629=""),0,IF(COUNTIF($D$2:D3629,D3629)=1,SUMIF($D$2:$D$5001,D3629,$H$2:$H$5001)+ROW()/10000000,0))</f>
        <v>0</v>
      </c>
      <c r="Q3629" s="47" t="n">
        <f aca="false">IF(OR($A3629="",C3629=""),0,IF(COUNTIF($C$2:C3629,C3629)=1,SUMIF($C$2:$C$5001,C3629,$H$2:$H$5001)+ROW()/10000000,0))</f>
        <v>0</v>
      </c>
    </row>
    <row r="3630" customFormat="false" ht="15" hidden="false" customHeight="false" outlineLevel="0" collapsed="false">
      <c r="A3630" s="43"/>
      <c r="B3630" s="44"/>
      <c r="C3630" s="44"/>
      <c r="D3630" s="44"/>
      <c r="E3630" s="44"/>
      <c r="F3630" s="44"/>
      <c r="G3630" s="44"/>
      <c r="H3630" s="46" t="str">
        <f aca="false">IF($A3630="","",IF(OR(NOT(ISNUMBER(E3630)),NOT(ISNUMBER(F3630))),"",MAX(0,E3630)*F3630))</f>
        <v/>
      </c>
      <c r="I3630" s="46" t="str">
        <f aca="false">IF($A3630="","",SUMIF($A$2:$A$5001,$A3630,$H$2:$H$5001))</f>
        <v/>
      </c>
      <c r="J3630" s="47" t="n">
        <f aca="false">IF($A3630="",0,IF(COUNTIF($A$2:A3630,$A3630)=1,1,0))</f>
        <v>0</v>
      </c>
      <c r="K3630" s="47" t="n">
        <f aca="false">IF(J3630=1,N(I3630)+ROW()/10000000,0)</f>
        <v>0</v>
      </c>
      <c r="L3630" s="47" t="str">
        <f aca="false">IF(AND(J3630=1,N(I3630)&gt;0),SUMIF($K$2:$K$5001,"&gt;="&amp;K3630,$I$2:$I$5001)/MAX(1,SUM($H$2:$H$5001)),"")</f>
        <v/>
      </c>
      <c r="M3630" s="47" t="str">
        <f aca="false">IF($A3630="","",INDEX($L$2:$L$5001,MATCH($A3630,$A$2:$A$5001,0)))</f>
        <v/>
      </c>
      <c r="N3630" s="48" t="str">
        <f aca="false">IF($A3630="","",IF(N(M3630)=0,"–",IF(M3630&lt;=Start!$D$20,"A",IF(M3630&lt;=Start!$D$21,"B","C"))))</f>
        <v/>
      </c>
      <c r="O3630" s="48" t="str">
        <f aca="false">IF($A3630="","",IF(NOT(ISNUMBER(F3630)),"Wert fehlt; ",IF(F3630&lt;=0,"Wert ist 0; ",""))&amp;IF(NOT(ISNUMBER(E3630)),"Bestand fehlt; ",IF(E3630&lt;0,"Bestand negativ; ",IF(E3630=0,"Nullbestand; ","")))&amp;IF(D3630="","Warengruppe fehlt; ","")&amp;IF(B3630="","Bezeichnung fehlt; ","")&amp;IF(COUNTIFS($A$2:$A$5001,$A3630,$C$2:$C$5001,C3630)&gt;1,"Artikel doppelt im selben Lager; ",""))</f>
        <v/>
      </c>
      <c r="P3630" s="47" t="n">
        <f aca="false">IF(OR($A3630="",D3630=""),0,IF(COUNTIF($D$2:D3630,D3630)=1,SUMIF($D$2:$D$5001,D3630,$H$2:$H$5001)+ROW()/10000000,0))</f>
        <v>0</v>
      </c>
      <c r="Q3630" s="47" t="n">
        <f aca="false">IF(OR($A3630="",C3630=""),0,IF(COUNTIF($C$2:C3630,C3630)=1,SUMIF($C$2:$C$5001,C3630,$H$2:$H$5001)+ROW()/10000000,0))</f>
        <v>0</v>
      </c>
    </row>
    <row r="3631" customFormat="false" ht="15" hidden="false" customHeight="false" outlineLevel="0" collapsed="false">
      <c r="A3631" s="43"/>
      <c r="B3631" s="44"/>
      <c r="C3631" s="44"/>
      <c r="D3631" s="44"/>
      <c r="E3631" s="44"/>
      <c r="F3631" s="44"/>
      <c r="G3631" s="44"/>
      <c r="H3631" s="46" t="str">
        <f aca="false">IF($A3631="","",IF(OR(NOT(ISNUMBER(E3631)),NOT(ISNUMBER(F3631))),"",MAX(0,E3631)*F3631))</f>
        <v/>
      </c>
      <c r="I3631" s="46" t="str">
        <f aca="false">IF($A3631="","",SUMIF($A$2:$A$5001,$A3631,$H$2:$H$5001))</f>
        <v/>
      </c>
      <c r="J3631" s="47" t="n">
        <f aca="false">IF($A3631="",0,IF(COUNTIF($A$2:A3631,$A3631)=1,1,0))</f>
        <v>0</v>
      </c>
      <c r="K3631" s="47" t="n">
        <f aca="false">IF(J3631=1,N(I3631)+ROW()/10000000,0)</f>
        <v>0</v>
      </c>
      <c r="L3631" s="47" t="str">
        <f aca="false">IF(AND(J3631=1,N(I3631)&gt;0),SUMIF($K$2:$K$5001,"&gt;="&amp;K3631,$I$2:$I$5001)/MAX(1,SUM($H$2:$H$5001)),"")</f>
        <v/>
      </c>
      <c r="M3631" s="47" t="str">
        <f aca="false">IF($A3631="","",INDEX($L$2:$L$5001,MATCH($A3631,$A$2:$A$5001,0)))</f>
        <v/>
      </c>
      <c r="N3631" s="48" t="str">
        <f aca="false">IF($A3631="","",IF(N(M3631)=0,"–",IF(M3631&lt;=Start!$D$20,"A",IF(M3631&lt;=Start!$D$21,"B","C"))))</f>
        <v/>
      </c>
      <c r="O3631" s="48" t="str">
        <f aca="false">IF($A3631="","",IF(NOT(ISNUMBER(F3631)),"Wert fehlt; ",IF(F3631&lt;=0,"Wert ist 0; ",""))&amp;IF(NOT(ISNUMBER(E3631)),"Bestand fehlt; ",IF(E3631&lt;0,"Bestand negativ; ",IF(E3631=0,"Nullbestand; ","")))&amp;IF(D3631="","Warengruppe fehlt; ","")&amp;IF(B3631="","Bezeichnung fehlt; ","")&amp;IF(COUNTIFS($A$2:$A$5001,$A3631,$C$2:$C$5001,C3631)&gt;1,"Artikel doppelt im selben Lager; ",""))</f>
        <v/>
      </c>
      <c r="P3631" s="47" t="n">
        <f aca="false">IF(OR($A3631="",D3631=""),0,IF(COUNTIF($D$2:D3631,D3631)=1,SUMIF($D$2:$D$5001,D3631,$H$2:$H$5001)+ROW()/10000000,0))</f>
        <v>0</v>
      </c>
      <c r="Q3631" s="47" t="n">
        <f aca="false">IF(OR($A3631="",C3631=""),0,IF(COUNTIF($C$2:C3631,C3631)=1,SUMIF($C$2:$C$5001,C3631,$H$2:$H$5001)+ROW()/10000000,0))</f>
        <v>0</v>
      </c>
    </row>
    <row r="3632" customFormat="false" ht="15" hidden="false" customHeight="false" outlineLevel="0" collapsed="false">
      <c r="A3632" s="43"/>
      <c r="B3632" s="44"/>
      <c r="C3632" s="44"/>
      <c r="D3632" s="44"/>
      <c r="E3632" s="44"/>
      <c r="F3632" s="44"/>
      <c r="G3632" s="44"/>
      <c r="H3632" s="46" t="str">
        <f aca="false">IF($A3632="","",IF(OR(NOT(ISNUMBER(E3632)),NOT(ISNUMBER(F3632))),"",MAX(0,E3632)*F3632))</f>
        <v/>
      </c>
      <c r="I3632" s="46" t="str">
        <f aca="false">IF($A3632="","",SUMIF($A$2:$A$5001,$A3632,$H$2:$H$5001))</f>
        <v/>
      </c>
      <c r="J3632" s="47" t="n">
        <f aca="false">IF($A3632="",0,IF(COUNTIF($A$2:A3632,$A3632)=1,1,0))</f>
        <v>0</v>
      </c>
      <c r="K3632" s="47" t="n">
        <f aca="false">IF(J3632=1,N(I3632)+ROW()/10000000,0)</f>
        <v>0</v>
      </c>
      <c r="L3632" s="47" t="str">
        <f aca="false">IF(AND(J3632=1,N(I3632)&gt;0),SUMIF($K$2:$K$5001,"&gt;="&amp;K3632,$I$2:$I$5001)/MAX(1,SUM($H$2:$H$5001)),"")</f>
        <v/>
      </c>
      <c r="M3632" s="47" t="str">
        <f aca="false">IF($A3632="","",INDEX($L$2:$L$5001,MATCH($A3632,$A$2:$A$5001,0)))</f>
        <v/>
      </c>
      <c r="N3632" s="48" t="str">
        <f aca="false">IF($A3632="","",IF(N(M3632)=0,"–",IF(M3632&lt;=Start!$D$20,"A",IF(M3632&lt;=Start!$D$21,"B","C"))))</f>
        <v/>
      </c>
      <c r="O3632" s="48" t="str">
        <f aca="false">IF($A3632="","",IF(NOT(ISNUMBER(F3632)),"Wert fehlt; ",IF(F3632&lt;=0,"Wert ist 0; ",""))&amp;IF(NOT(ISNUMBER(E3632)),"Bestand fehlt; ",IF(E3632&lt;0,"Bestand negativ; ",IF(E3632=0,"Nullbestand; ","")))&amp;IF(D3632="","Warengruppe fehlt; ","")&amp;IF(B3632="","Bezeichnung fehlt; ","")&amp;IF(COUNTIFS($A$2:$A$5001,$A3632,$C$2:$C$5001,C3632)&gt;1,"Artikel doppelt im selben Lager; ",""))</f>
        <v/>
      </c>
      <c r="P3632" s="47" t="n">
        <f aca="false">IF(OR($A3632="",D3632=""),0,IF(COUNTIF($D$2:D3632,D3632)=1,SUMIF($D$2:$D$5001,D3632,$H$2:$H$5001)+ROW()/10000000,0))</f>
        <v>0</v>
      </c>
      <c r="Q3632" s="47" t="n">
        <f aca="false">IF(OR($A3632="",C3632=""),0,IF(COUNTIF($C$2:C3632,C3632)=1,SUMIF($C$2:$C$5001,C3632,$H$2:$H$5001)+ROW()/10000000,0))</f>
        <v>0</v>
      </c>
    </row>
    <row r="3633" customFormat="false" ht="15" hidden="false" customHeight="false" outlineLevel="0" collapsed="false">
      <c r="A3633" s="43"/>
      <c r="B3633" s="44"/>
      <c r="C3633" s="44"/>
      <c r="D3633" s="44"/>
      <c r="E3633" s="44"/>
      <c r="F3633" s="44"/>
      <c r="G3633" s="44"/>
      <c r="H3633" s="46" t="str">
        <f aca="false">IF($A3633="","",IF(OR(NOT(ISNUMBER(E3633)),NOT(ISNUMBER(F3633))),"",MAX(0,E3633)*F3633))</f>
        <v/>
      </c>
      <c r="I3633" s="46" t="str">
        <f aca="false">IF($A3633="","",SUMIF($A$2:$A$5001,$A3633,$H$2:$H$5001))</f>
        <v/>
      </c>
      <c r="J3633" s="47" t="n">
        <f aca="false">IF($A3633="",0,IF(COUNTIF($A$2:A3633,$A3633)=1,1,0))</f>
        <v>0</v>
      </c>
      <c r="K3633" s="47" t="n">
        <f aca="false">IF(J3633=1,N(I3633)+ROW()/10000000,0)</f>
        <v>0</v>
      </c>
      <c r="L3633" s="47" t="str">
        <f aca="false">IF(AND(J3633=1,N(I3633)&gt;0),SUMIF($K$2:$K$5001,"&gt;="&amp;K3633,$I$2:$I$5001)/MAX(1,SUM($H$2:$H$5001)),"")</f>
        <v/>
      </c>
      <c r="M3633" s="47" t="str">
        <f aca="false">IF($A3633="","",INDEX($L$2:$L$5001,MATCH($A3633,$A$2:$A$5001,0)))</f>
        <v/>
      </c>
      <c r="N3633" s="48" t="str">
        <f aca="false">IF($A3633="","",IF(N(M3633)=0,"–",IF(M3633&lt;=Start!$D$20,"A",IF(M3633&lt;=Start!$D$21,"B","C"))))</f>
        <v/>
      </c>
      <c r="O3633" s="48" t="str">
        <f aca="false">IF($A3633="","",IF(NOT(ISNUMBER(F3633)),"Wert fehlt; ",IF(F3633&lt;=0,"Wert ist 0; ",""))&amp;IF(NOT(ISNUMBER(E3633)),"Bestand fehlt; ",IF(E3633&lt;0,"Bestand negativ; ",IF(E3633=0,"Nullbestand; ","")))&amp;IF(D3633="","Warengruppe fehlt; ","")&amp;IF(B3633="","Bezeichnung fehlt; ","")&amp;IF(COUNTIFS($A$2:$A$5001,$A3633,$C$2:$C$5001,C3633)&gt;1,"Artikel doppelt im selben Lager; ",""))</f>
        <v/>
      </c>
      <c r="P3633" s="47" t="n">
        <f aca="false">IF(OR($A3633="",D3633=""),0,IF(COUNTIF($D$2:D3633,D3633)=1,SUMIF($D$2:$D$5001,D3633,$H$2:$H$5001)+ROW()/10000000,0))</f>
        <v>0</v>
      </c>
      <c r="Q3633" s="47" t="n">
        <f aca="false">IF(OR($A3633="",C3633=""),0,IF(COUNTIF($C$2:C3633,C3633)=1,SUMIF($C$2:$C$5001,C3633,$H$2:$H$5001)+ROW()/10000000,0))</f>
        <v>0</v>
      </c>
    </row>
    <row r="3634" customFormat="false" ht="15" hidden="false" customHeight="false" outlineLevel="0" collapsed="false">
      <c r="A3634" s="43"/>
      <c r="B3634" s="44"/>
      <c r="C3634" s="44"/>
      <c r="D3634" s="44"/>
      <c r="E3634" s="44"/>
      <c r="F3634" s="44"/>
      <c r="G3634" s="44"/>
      <c r="H3634" s="46" t="str">
        <f aca="false">IF($A3634="","",IF(OR(NOT(ISNUMBER(E3634)),NOT(ISNUMBER(F3634))),"",MAX(0,E3634)*F3634))</f>
        <v/>
      </c>
      <c r="I3634" s="46" t="str">
        <f aca="false">IF($A3634="","",SUMIF($A$2:$A$5001,$A3634,$H$2:$H$5001))</f>
        <v/>
      </c>
      <c r="J3634" s="47" t="n">
        <f aca="false">IF($A3634="",0,IF(COUNTIF($A$2:A3634,$A3634)=1,1,0))</f>
        <v>0</v>
      </c>
      <c r="K3634" s="47" t="n">
        <f aca="false">IF(J3634=1,N(I3634)+ROW()/10000000,0)</f>
        <v>0</v>
      </c>
      <c r="L3634" s="47" t="str">
        <f aca="false">IF(AND(J3634=1,N(I3634)&gt;0),SUMIF($K$2:$K$5001,"&gt;="&amp;K3634,$I$2:$I$5001)/MAX(1,SUM($H$2:$H$5001)),"")</f>
        <v/>
      </c>
      <c r="M3634" s="47" t="str">
        <f aca="false">IF($A3634="","",INDEX($L$2:$L$5001,MATCH($A3634,$A$2:$A$5001,0)))</f>
        <v/>
      </c>
      <c r="N3634" s="48" t="str">
        <f aca="false">IF($A3634="","",IF(N(M3634)=0,"–",IF(M3634&lt;=Start!$D$20,"A",IF(M3634&lt;=Start!$D$21,"B","C"))))</f>
        <v/>
      </c>
      <c r="O3634" s="48" t="str">
        <f aca="false">IF($A3634="","",IF(NOT(ISNUMBER(F3634)),"Wert fehlt; ",IF(F3634&lt;=0,"Wert ist 0; ",""))&amp;IF(NOT(ISNUMBER(E3634)),"Bestand fehlt; ",IF(E3634&lt;0,"Bestand negativ; ",IF(E3634=0,"Nullbestand; ","")))&amp;IF(D3634="","Warengruppe fehlt; ","")&amp;IF(B3634="","Bezeichnung fehlt; ","")&amp;IF(COUNTIFS($A$2:$A$5001,$A3634,$C$2:$C$5001,C3634)&gt;1,"Artikel doppelt im selben Lager; ",""))</f>
        <v/>
      </c>
      <c r="P3634" s="47" t="n">
        <f aca="false">IF(OR($A3634="",D3634=""),0,IF(COUNTIF($D$2:D3634,D3634)=1,SUMIF($D$2:$D$5001,D3634,$H$2:$H$5001)+ROW()/10000000,0))</f>
        <v>0</v>
      </c>
      <c r="Q3634" s="47" t="n">
        <f aca="false">IF(OR($A3634="",C3634=""),0,IF(COUNTIF($C$2:C3634,C3634)=1,SUMIF($C$2:$C$5001,C3634,$H$2:$H$5001)+ROW()/10000000,0))</f>
        <v>0</v>
      </c>
    </row>
    <row r="3635" customFormat="false" ht="15" hidden="false" customHeight="false" outlineLevel="0" collapsed="false">
      <c r="A3635" s="43"/>
      <c r="B3635" s="44"/>
      <c r="C3635" s="44"/>
      <c r="D3635" s="44"/>
      <c r="E3635" s="44"/>
      <c r="F3635" s="44"/>
      <c r="G3635" s="44"/>
      <c r="H3635" s="46" t="str">
        <f aca="false">IF($A3635="","",IF(OR(NOT(ISNUMBER(E3635)),NOT(ISNUMBER(F3635))),"",MAX(0,E3635)*F3635))</f>
        <v/>
      </c>
      <c r="I3635" s="46" t="str">
        <f aca="false">IF($A3635="","",SUMIF($A$2:$A$5001,$A3635,$H$2:$H$5001))</f>
        <v/>
      </c>
      <c r="J3635" s="47" t="n">
        <f aca="false">IF($A3635="",0,IF(COUNTIF($A$2:A3635,$A3635)=1,1,0))</f>
        <v>0</v>
      </c>
      <c r="K3635" s="47" t="n">
        <f aca="false">IF(J3635=1,N(I3635)+ROW()/10000000,0)</f>
        <v>0</v>
      </c>
      <c r="L3635" s="47" t="str">
        <f aca="false">IF(AND(J3635=1,N(I3635)&gt;0),SUMIF($K$2:$K$5001,"&gt;="&amp;K3635,$I$2:$I$5001)/MAX(1,SUM($H$2:$H$5001)),"")</f>
        <v/>
      </c>
      <c r="M3635" s="47" t="str">
        <f aca="false">IF($A3635="","",INDEX($L$2:$L$5001,MATCH($A3635,$A$2:$A$5001,0)))</f>
        <v/>
      </c>
      <c r="N3635" s="48" t="str">
        <f aca="false">IF($A3635="","",IF(N(M3635)=0,"–",IF(M3635&lt;=Start!$D$20,"A",IF(M3635&lt;=Start!$D$21,"B","C"))))</f>
        <v/>
      </c>
      <c r="O3635" s="48" t="str">
        <f aca="false">IF($A3635="","",IF(NOT(ISNUMBER(F3635)),"Wert fehlt; ",IF(F3635&lt;=0,"Wert ist 0; ",""))&amp;IF(NOT(ISNUMBER(E3635)),"Bestand fehlt; ",IF(E3635&lt;0,"Bestand negativ; ",IF(E3635=0,"Nullbestand; ","")))&amp;IF(D3635="","Warengruppe fehlt; ","")&amp;IF(B3635="","Bezeichnung fehlt; ","")&amp;IF(COUNTIFS($A$2:$A$5001,$A3635,$C$2:$C$5001,C3635)&gt;1,"Artikel doppelt im selben Lager; ",""))</f>
        <v/>
      </c>
      <c r="P3635" s="47" t="n">
        <f aca="false">IF(OR($A3635="",D3635=""),0,IF(COUNTIF($D$2:D3635,D3635)=1,SUMIF($D$2:$D$5001,D3635,$H$2:$H$5001)+ROW()/10000000,0))</f>
        <v>0</v>
      </c>
      <c r="Q3635" s="47" t="n">
        <f aca="false">IF(OR($A3635="",C3635=""),0,IF(COUNTIF($C$2:C3635,C3635)=1,SUMIF($C$2:$C$5001,C3635,$H$2:$H$5001)+ROW()/10000000,0))</f>
        <v>0</v>
      </c>
    </row>
    <row r="3636" customFormat="false" ht="15" hidden="false" customHeight="false" outlineLevel="0" collapsed="false">
      <c r="A3636" s="43"/>
      <c r="B3636" s="44"/>
      <c r="C3636" s="44"/>
      <c r="D3636" s="44"/>
      <c r="E3636" s="44"/>
      <c r="F3636" s="44"/>
      <c r="G3636" s="44"/>
      <c r="H3636" s="46" t="str">
        <f aca="false">IF($A3636="","",IF(OR(NOT(ISNUMBER(E3636)),NOT(ISNUMBER(F3636))),"",MAX(0,E3636)*F3636))</f>
        <v/>
      </c>
      <c r="I3636" s="46" t="str">
        <f aca="false">IF($A3636="","",SUMIF($A$2:$A$5001,$A3636,$H$2:$H$5001))</f>
        <v/>
      </c>
      <c r="J3636" s="47" t="n">
        <f aca="false">IF($A3636="",0,IF(COUNTIF($A$2:A3636,$A3636)=1,1,0))</f>
        <v>0</v>
      </c>
      <c r="K3636" s="47" t="n">
        <f aca="false">IF(J3636=1,N(I3636)+ROW()/10000000,0)</f>
        <v>0</v>
      </c>
      <c r="L3636" s="47" t="str">
        <f aca="false">IF(AND(J3636=1,N(I3636)&gt;0),SUMIF($K$2:$K$5001,"&gt;="&amp;K3636,$I$2:$I$5001)/MAX(1,SUM($H$2:$H$5001)),"")</f>
        <v/>
      </c>
      <c r="M3636" s="47" t="str">
        <f aca="false">IF($A3636="","",INDEX($L$2:$L$5001,MATCH($A3636,$A$2:$A$5001,0)))</f>
        <v/>
      </c>
      <c r="N3636" s="48" t="str">
        <f aca="false">IF($A3636="","",IF(N(M3636)=0,"–",IF(M3636&lt;=Start!$D$20,"A",IF(M3636&lt;=Start!$D$21,"B","C"))))</f>
        <v/>
      </c>
      <c r="O3636" s="48" t="str">
        <f aca="false">IF($A3636="","",IF(NOT(ISNUMBER(F3636)),"Wert fehlt; ",IF(F3636&lt;=0,"Wert ist 0; ",""))&amp;IF(NOT(ISNUMBER(E3636)),"Bestand fehlt; ",IF(E3636&lt;0,"Bestand negativ; ",IF(E3636=0,"Nullbestand; ","")))&amp;IF(D3636="","Warengruppe fehlt; ","")&amp;IF(B3636="","Bezeichnung fehlt; ","")&amp;IF(COUNTIFS($A$2:$A$5001,$A3636,$C$2:$C$5001,C3636)&gt;1,"Artikel doppelt im selben Lager; ",""))</f>
        <v/>
      </c>
      <c r="P3636" s="47" t="n">
        <f aca="false">IF(OR($A3636="",D3636=""),0,IF(COUNTIF($D$2:D3636,D3636)=1,SUMIF($D$2:$D$5001,D3636,$H$2:$H$5001)+ROW()/10000000,0))</f>
        <v>0</v>
      </c>
      <c r="Q3636" s="47" t="n">
        <f aca="false">IF(OR($A3636="",C3636=""),0,IF(COUNTIF($C$2:C3636,C3636)=1,SUMIF($C$2:$C$5001,C3636,$H$2:$H$5001)+ROW()/10000000,0))</f>
        <v>0</v>
      </c>
    </row>
    <row r="3637" customFormat="false" ht="15" hidden="false" customHeight="false" outlineLevel="0" collapsed="false">
      <c r="A3637" s="43"/>
      <c r="B3637" s="44"/>
      <c r="C3637" s="44"/>
      <c r="D3637" s="44"/>
      <c r="E3637" s="44"/>
      <c r="F3637" s="44"/>
      <c r="G3637" s="44"/>
      <c r="H3637" s="46" t="str">
        <f aca="false">IF($A3637="","",IF(OR(NOT(ISNUMBER(E3637)),NOT(ISNUMBER(F3637))),"",MAX(0,E3637)*F3637))</f>
        <v/>
      </c>
      <c r="I3637" s="46" t="str">
        <f aca="false">IF($A3637="","",SUMIF($A$2:$A$5001,$A3637,$H$2:$H$5001))</f>
        <v/>
      </c>
      <c r="J3637" s="47" t="n">
        <f aca="false">IF($A3637="",0,IF(COUNTIF($A$2:A3637,$A3637)=1,1,0))</f>
        <v>0</v>
      </c>
      <c r="K3637" s="47" t="n">
        <f aca="false">IF(J3637=1,N(I3637)+ROW()/10000000,0)</f>
        <v>0</v>
      </c>
      <c r="L3637" s="47" t="str">
        <f aca="false">IF(AND(J3637=1,N(I3637)&gt;0),SUMIF($K$2:$K$5001,"&gt;="&amp;K3637,$I$2:$I$5001)/MAX(1,SUM($H$2:$H$5001)),"")</f>
        <v/>
      </c>
      <c r="M3637" s="47" t="str">
        <f aca="false">IF($A3637="","",INDEX($L$2:$L$5001,MATCH($A3637,$A$2:$A$5001,0)))</f>
        <v/>
      </c>
      <c r="N3637" s="48" t="str">
        <f aca="false">IF($A3637="","",IF(N(M3637)=0,"–",IF(M3637&lt;=Start!$D$20,"A",IF(M3637&lt;=Start!$D$21,"B","C"))))</f>
        <v/>
      </c>
      <c r="O3637" s="48" t="str">
        <f aca="false">IF($A3637="","",IF(NOT(ISNUMBER(F3637)),"Wert fehlt; ",IF(F3637&lt;=0,"Wert ist 0; ",""))&amp;IF(NOT(ISNUMBER(E3637)),"Bestand fehlt; ",IF(E3637&lt;0,"Bestand negativ; ",IF(E3637=0,"Nullbestand; ","")))&amp;IF(D3637="","Warengruppe fehlt; ","")&amp;IF(B3637="","Bezeichnung fehlt; ","")&amp;IF(COUNTIFS($A$2:$A$5001,$A3637,$C$2:$C$5001,C3637)&gt;1,"Artikel doppelt im selben Lager; ",""))</f>
        <v/>
      </c>
      <c r="P3637" s="47" t="n">
        <f aca="false">IF(OR($A3637="",D3637=""),0,IF(COUNTIF($D$2:D3637,D3637)=1,SUMIF($D$2:$D$5001,D3637,$H$2:$H$5001)+ROW()/10000000,0))</f>
        <v>0</v>
      </c>
      <c r="Q3637" s="47" t="n">
        <f aca="false">IF(OR($A3637="",C3637=""),0,IF(COUNTIF($C$2:C3637,C3637)=1,SUMIF($C$2:$C$5001,C3637,$H$2:$H$5001)+ROW()/10000000,0))</f>
        <v>0</v>
      </c>
    </row>
    <row r="3638" customFormat="false" ht="15" hidden="false" customHeight="false" outlineLevel="0" collapsed="false">
      <c r="A3638" s="43"/>
      <c r="B3638" s="44"/>
      <c r="C3638" s="44"/>
      <c r="D3638" s="44"/>
      <c r="E3638" s="44"/>
      <c r="F3638" s="44"/>
      <c r="G3638" s="44"/>
      <c r="H3638" s="46" t="str">
        <f aca="false">IF($A3638="","",IF(OR(NOT(ISNUMBER(E3638)),NOT(ISNUMBER(F3638))),"",MAX(0,E3638)*F3638))</f>
        <v/>
      </c>
      <c r="I3638" s="46" t="str">
        <f aca="false">IF($A3638="","",SUMIF($A$2:$A$5001,$A3638,$H$2:$H$5001))</f>
        <v/>
      </c>
      <c r="J3638" s="47" t="n">
        <f aca="false">IF($A3638="",0,IF(COUNTIF($A$2:A3638,$A3638)=1,1,0))</f>
        <v>0</v>
      </c>
      <c r="K3638" s="47" t="n">
        <f aca="false">IF(J3638=1,N(I3638)+ROW()/10000000,0)</f>
        <v>0</v>
      </c>
      <c r="L3638" s="47" t="str">
        <f aca="false">IF(AND(J3638=1,N(I3638)&gt;0),SUMIF($K$2:$K$5001,"&gt;="&amp;K3638,$I$2:$I$5001)/MAX(1,SUM($H$2:$H$5001)),"")</f>
        <v/>
      </c>
      <c r="M3638" s="47" t="str">
        <f aca="false">IF($A3638="","",INDEX($L$2:$L$5001,MATCH($A3638,$A$2:$A$5001,0)))</f>
        <v/>
      </c>
      <c r="N3638" s="48" t="str">
        <f aca="false">IF($A3638="","",IF(N(M3638)=0,"–",IF(M3638&lt;=Start!$D$20,"A",IF(M3638&lt;=Start!$D$21,"B","C"))))</f>
        <v/>
      </c>
      <c r="O3638" s="48" t="str">
        <f aca="false">IF($A3638="","",IF(NOT(ISNUMBER(F3638)),"Wert fehlt; ",IF(F3638&lt;=0,"Wert ist 0; ",""))&amp;IF(NOT(ISNUMBER(E3638)),"Bestand fehlt; ",IF(E3638&lt;0,"Bestand negativ; ",IF(E3638=0,"Nullbestand; ","")))&amp;IF(D3638="","Warengruppe fehlt; ","")&amp;IF(B3638="","Bezeichnung fehlt; ","")&amp;IF(COUNTIFS($A$2:$A$5001,$A3638,$C$2:$C$5001,C3638)&gt;1,"Artikel doppelt im selben Lager; ",""))</f>
        <v/>
      </c>
      <c r="P3638" s="47" t="n">
        <f aca="false">IF(OR($A3638="",D3638=""),0,IF(COUNTIF($D$2:D3638,D3638)=1,SUMIF($D$2:$D$5001,D3638,$H$2:$H$5001)+ROW()/10000000,0))</f>
        <v>0</v>
      </c>
      <c r="Q3638" s="47" t="n">
        <f aca="false">IF(OR($A3638="",C3638=""),0,IF(COUNTIF($C$2:C3638,C3638)=1,SUMIF($C$2:$C$5001,C3638,$H$2:$H$5001)+ROW()/10000000,0))</f>
        <v>0</v>
      </c>
    </row>
    <row r="3639" customFormat="false" ht="15" hidden="false" customHeight="false" outlineLevel="0" collapsed="false">
      <c r="A3639" s="43"/>
      <c r="B3639" s="44"/>
      <c r="C3639" s="44"/>
      <c r="D3639" s="44"/>
      <c r="E3639" s="44"/>
      <c r="F3639" s="44"/>
      <c r="G3639" s="44"/>
      <c r="H3639" s="46" t="str">
        <f aca="false">IF($A3639="","",IF(OR(NOT(ISNUMBER(E3639)),NOT(ISNUMBER(F3639))),"",MAX(0,E3639)*F3639))</f>
        <v/>
      </c>
      <c r="I3639" s="46" t="str">
        <f aca="false">IF($A3639="","",SUMIF($A$2:$A$5001,$A3639,$H$2:$H$5001))</f>
        <v/>
      </c>
      <c r="J3639" s="47" t="n">
        <f aca="false">IF($A3639="",0,IF(COUNTIF($A$2:A3639,$A3639)=1,1,0))</f>
        <v>0</v>
      </c>
      <c r="K3639" s="47" t="n">
        <f aca="false">IF(J3639=1,N(I3639)+ROW()/10000000,0)</f>
        <v>0</v>
      </c>
      <c r="L3639" s="47" t="str">
        <f aca="false">IF(AND(J3639=1,N(I3639)&gt;0),SUMIF($K$2:$K$5001,"&gt;="&amp;K3639,$I$2:$I$5001)/MAX(1,SUM($H$2:$H$5001)),"")</f>
        <v/>
      </c>
      <c r="M3639" s="47" t="str">
        <f aca="false">IF($A3639="","",INDEX($L$2:$L$5001,MATCH($A3639,$A$2:$A$5001,0)))</f>
        <v/>
      </c>
      <c r="N3639" s="48" t="str">
        <f aca="false">IF($A3639="","",IF(N(M3639)=0,"–",IF(M3639&lt;=Start!$D$20,"A",IF(M3639&lt;=Start!$D$21,"B","C"))))</f>
        <v/>
      </c>
      <c r="O3639" s="48" t="str">
        <f aca="false">IF($A3639="","",IF(NOT(ISNUMBER(F3639)),"Wert fehlt; ",IF(F3639&lt;=0,"Wert ist 0; ",""))&amp;IF(NOT(ISNUMBER(E3639)),"Bestand fehlt; ",IF(E3639&lt;0,"Bestand negativ; ",IF(E3639=0,"Nullbestand; ","")))&amp;IF(D3639="","Warengruppe fehlt; ","")&amp;IF(B3639="","Bezeichnung fehlt; ","")&amp;IF(COUNTIFS($A$2:$A$5001,$A3639,$C$2:$C$5001,C3639)&gt;1,"Artikel doppelt im selben Lager; ",""))</f>
        <v/>
      </c>
      <c r="P3639" s="47" t="n">
        <f aca="false">IF(OR($A3639="",D3639=""),0,IF(COUNTIF($D$2:D3639,D3639)=1,SUMIF($D$2:$D$5001,D3639,$H$2:$H$5001)+ROW()/10000000,0))</f>
        <v>0</v>
      </c>
      <c r="Q3639" s="47" t="n">
        <f aca="false">IF(OR($A3639="",C3639=""),0,IF(COUNTIF($C$2:C3639,C3639)=1,SUMIF($C$2:$C$5001,C3639,$H$2:$H$5001)+ROW()/10000000,0))</f>
        <v>0</v>
      </c>
    </row>
    <row r="3640" customFormat="false" ht="15" hidden="false" customHeight="false" outlineLevel="0" collapsed="false">
      <c r="A3640" s="43"/>
      <c r="B3640" s="44"/>
      <c r="C3640" s="44"/>
      <c r="D3640" s="44"/>
      <c r="E3640" s="44"/>
      <c r="F3640" s="44"/>
      <c r="G3640" s="44"/>
      <c r="H3640" s="46" t="str">
        <f aca="false">IF($A3640="","",IF(OR(NOT(ISNUMBER(E3640)),NOT(ISNUMBER(F3640))),"",MAX(0,E3640)*F3640))</f>
        <v/>
      </c>
      <c r="I3640" s="46" t="str">
        <f aca="false">IF($A3640="","",SUMIF($A$2:$A$5001,$A3640,$H$2:$H$5001))</f>
        <v/>
      </c>
      <c r="J3640" s="47" t="n">
        <f aca="false">IF($A3640="",0,IF(COUNTIF($A$2:A3640,$A3640)=1,1,0))</f>
        <v>0</v>
      </c>
      <c r="K3640" s="47" t="n">
        <f aca="false">IF(J3640=1,N(I3640)+ROW()/10000000,0)</f>
        <v>0</v>
      </c>
      <c r="L3640" s="47" t="str">
        <f aca="false">IF(AND(J3640=1,N(I3640)&gt;0),SUMIF($K$2:$K$5001,"&gt;="&amp;K3640,$I$2:$I$5001)/MAX(1,SUM($H$2:$H$5001)),"")</f>
        <v/>
      </c>
      <c r="M3640" s="47" t="str">
        <f aca="false">IF($A3640="","",INDEX($L$2:$L$5001,MATCH($A3640,$A$2:$A$5001,0)))</f>
        <v/>
      </c>
      <c r="N3640" s="48" t="str">
        <f aca="false">IF($A3640="","",IF(N(M3640)=0,"–",IF(M3640&lt;=Start!$D$20,"A",IF(M3640&lt;=Start!$D$21,"B","C"))))</f>
        <v/>
      </c>
      <c r="O3640" s="48" t="str">
        <f aca="false">IF($A3640="","",IF(NOT(ISNUMBER(F3640)),"Wert fehlt; ",IF(F3640&lt;=0,"Wert ist 0; ",""))&amp;IF(NOT(ISNUMBER(E3640)),"Bestand fehlt; ",IF(E3640&lt;0,"Bestand negativ; ",IF(E3640=0,"Nullbestand; ","")))&amp;IF(D3640="","Warengruppe fehlt; ","")&amp;IF(B3640="","Bezeichnung fehlt; ","")&amp;IF(COUNTIFS($A$2:$A$5001,$A3640,$C$2:$C$5001,C3640)&gt;1,"Artikel doppelt im selben Lager; ",""))</f>
        <v/>
      </c>
      <c r="P3640" s="47" t="n">
        <f aca="false">IF(OR($A3640="",D3640=""),0,IF(COUNTIF($D$2:D3640,D3640)=1,SUMIF($D$2:$D$5001,D3640,$H$2:$H$5001)+ROW()/10000000,0))</f>
        <v>0</v>
      </c>
      <c r="Q3640" s="47" t="n">
        <f aca="false">IF(OR($A3640="",C3640=""),0,IF(COUNTIF($C$2:C3640,C3640)=1,SUMIF($C$2:$C$5001,C3640,$H$2:$H$5001)+ROW()/10000000,0))</f>
        <v>0</v>
      </c>
    </row>
    <row r="3641" customFormat="false" ht="15" hidden="false" customHeight="false" outlineLevel="0" collapsed="false">
      <c r="A3641" s="43"/>
      <c r="B3641" s="44"/>
      <c r="C3641" s="44"/>
      <c r="D3641" s="44"/>
      <c r="E3641" s="44"/>
      <c r="F3641" s="44"/>
      <c r="G3641" s="44"/>
      <c r="H3641" s="46" t="str">
        <f aca="false">IF($A3641="","",IF(OR(NOT(ISNUMBER(E3641)),NOT(ISNUMBER(F3641))),"",MAX(0,E3641)*F3641))</f>
        <v/>
      </c>
      <c r="I3641" s="46" t="str">
        <f aca="false">IF($A3641="","",SUMIF($A$2:$A$5001,$A3641,$H$2:$H$5001))</f>
        <v/>
      </c>
      <c r="J3641" s="47" t="n">
        <f aca="false">IF($A3641="",0,IF(COUNTIF($A$2:A3641,$A3641)=1,1,0))</f>
        <v>0</v>
      </c>
      <c r="K3641" s="47" t="n">
        <f aca="false">IF(J3641=1,N(I3641)+ROW()/10000000,0)</f>
        <v>0</v>
      </c>
      <c r="L3641" s="47" t="str">
        <f aca="false">IF(AND(J3641=1,N(I3641)&gt;0),SUMIF($K$2:$K$5001,"&gt;="&amp;K3641,$I$2:$I$5001)/MAX(1,SUM($H$2:$H$5001)),"")</f>
        <v/>
      </c>
      <c r="M3641" s="47" t="str">
        <f aca="false">IF($A3641="","",INDEX($L$2:$L$5001,MATCH($A3641,$A$2:$A$5001,0)))</f>
        <v/>
      </c>
      <c r="N3641" s="48" t="str">
        <f aca="false">IF($A3641="","",IF(N(M3641)=0,"–",IF(M3641&lt;=Start!$D$20,"A",IF(M3641&lt;=Start!$D$21,"B","C"))))</f>
        <v/>
      </c>
      <c r="O3641" s="48" t="str">
        <f aca="false">IF($A3641="","",IF(NOT(ISNUMBER(F3641)),"Wert fehlt; ",IF(F3641&lt;=0,"Wert ist 0; ",""))&amp;IF(NOT(ISNUMBER(E3641)),"Bestand fehlt; ",IF(E3641&lt;0,"Bestand negativ; ",IF(E3641=0,"Nullbestand; ","")))&amp;IF(D3641="","Warengruppe fehlt; ","")&amp;IF(B3641="","Bezeichnung fehlt; ","")&amp;IF(COUNTIFS($A$2:$A$5001,$A3641,$C$2:$C$5001,C3641)&gt;1,"Artikel doppelt im selben Lager; ",""))</f>
        <v/>
      </c>
      <c r="P3641" s="47" t="n">
        <f aca="false">IF(OR($A3641="",D3641=""),0,IF(COUNTIF($D$2:D3641,D3641)=1,SUMIF($D$2:$D$5001,D3641,$H$2:$H$5001)+ROW()/10000000,0))</f>
        <v>0</v>
      </c>
      <c r="Q3641" s="47" t="n">
        <f aca="false">IF(OR($A3641="",C3641=""),0,IF(COUNTIF($C$2:C3641,C3641)=1,SUMIF($C$2:$C$5001,C3641,$H$2:$H$5001)+ROW()/10000000,0))</f>
        <v>0</v>
      </c>
    </row>
    <row r="3642" customFormat="false" ht="15" hidden="false" customHeight="false" outlineLevel="0" collapsed="false">
      <c r="A3642" s="43"/>
      <c r="B3642" s="44"/>
      <c r="C3642" s="44"/>
      <c r="D3642" s="44"/>
      <c r="E3642" s="44"/>
      <c r="F3642" s="44"/>
      <c r="G3642" s="44"/>
      <c r="H3642" s="46" t="str">
        <f aca="false">IF($A3642="","",IF(OR(NOT(ISNUMBER(E3642)),NOT(ISNUMBER(F3642))),"",MAX(0,E3642)*F3642))</f>
        <v/>
      </c>
      <c r="I3642" s="46" t="str">
        <f aca="false">IF($A3642="","",SUMIF($A$2:$A$5001,$A3642,$H$2:$H$5001))</f>
        <v/>
      </c>
      <c r="J3642" s="47" t="n">
        <f aca="false">IF($A3642="",0,IF(COUNTIF($A$2:A3642,$A3642)=1,1,0))</f>
        <v>0</v>
      </c>
      <c r="K3642" s="47" t="n">
        <f aca="false">IF(J3642=1,N(I3642)+ROW()/10000000,0)</f>
        <v>0</v>
      </c>
      <c r="L3642" s="47" t="str">
        <f aca="false">IF(AND(J3642=1,N(I3642)&gt;0),SUMIF($K$2:$K$5001,"&gt;="&amp;K3642,$I$2:$I$5001)/MAX(1,SUM($H$2:$H$5001)),"")</f>
        <v/>
      </c>
      <c r="M3642" s="47" t="str">
        <f aca="false">IF($A3642="","",INDEX($L$2:$L$5001,MATCH($A3642,$A$2:$A$5001,0)))</f>
        <v/>
      </c>
      <c r="N3642" s="48" t="str">
        <f aca="false">IF($A3642="","",IF(N(M3642)=0,"–",IF(M3642&lt;=Start!$D$20,"A",IF(M3642&lt;=Start!$D$21,"B","C"))))</f>
        <v/>
      </c>
      <c r="O3642" s="48" t="str">
        <f aca="false">IF($A3642="","",IF(NOT(ISNUMBER(F3642)),"Wert fehlt; ",IF(F3642&lt;=0,"Wert ist 0; ",""))&amp;IF(NOT(ISNUMBER(E3642)),"Bestand fehlt; ",IF(E3642&lt;0,"Bestand negativ; ",IF(E3642=0,"Nullbestand; ","")))&amp;IF(D3642="","Warengruppe fehlt; ","")&amp;IF(B3642="","Bezeichnung fehlt; ","")&amp;IF(COUNTIFS($A$2:$A$5001,$A3642,$C$2:$C$5001,C3642)&gt;1,"Artikel doppelt im selben Lager; ",""))</f>
        <v/>
      </c>
      <c r="P3642" s="47" t="n">
        <f aca="false">IF(OR($A3642="",D3642=""),0,IF(COUNTIF($D$2:D3642,D3642)=1,SUMIF($D$2:$D$5001,D3642,$H$2:$H$5001)+ROW()/10000000,0))</f>
        <v>0</v>
      </c>
      <c r="Q3642" s="47" t="n">
        <f aca="false">IF(OR($A3642="",C3642=""),0,IF(COUNTIF($C$2:C3642,C3642)=1,SUMIF($C$2:$C$5001,C3642,$H$2:$H$5001)+ROW()/10000000,0))</f>
        <v>0</v>
      </c>
    </row>
    <row r="3643" customFormat="false" ht="15" hidden="false" customHeight="false" outlineLevel="0" collapsed="false">
      <c r="A3643" s="43"/>
      <c r="B3643" s="44"/>
      <c r="C3643" s="44"/>
      <c r="D3643" s="44"/>
      <c r="E3643" s="44"/>
      <c r="F3643" s="44"/>
      <c r="G3643" s="44"/>
      <c r="H3643" s="46" t="str">
        <f aca="false">IF($A3643="","",IF(OR(NOT(ISNUMBER(E3643)),NOT(ISNUMBER(F3643))),"",MAX(0,E3643)*F3643))</f>
        <v/>
      </c>
      <c r="I3643" s="46" t="str">
        <f aca="false">IF($A3643="","",SUMIF($A$2:$A$5001,$A3643,$H$2:$H$5001))</f>
        <v/>
      </c>
      <c r="J3643" s="47" t="n">
        <f aca="false">IF($A3643="",0,IF(COUNTIF($A$2:A3643,$A3643)=1,1,0))</f>
        <v>0</v>
      </c>
      <c r="K3643" s="47" t="n">
        <f aca="false">IF(J3643=1,N(I3643)+ROW()/10000000,0)</f>
        <v>0</v>
      </c>
      <c r="L3643" s="47" t="str">
        <f aca="false">IF(AND(J3643=1,N(I3643)&gt;0),SUMIF($K$2:$K$5001,"&gt;="&amp;K3643,$I$2:$I$5001)/MAX(1,SUM($H$2:$H$5001)),"")</f>
        <v/>
      </c>
      <c r="M3643" s="47" t="str">
        <f aca="false">IF($A3643="","",INDEX($L$2:$L$5001,MATCH($A3643,$A$2:$A$5001,0)))</f>
        <v/>
      </c>
      <c r="N3643" s="48" t="str">
        <f aca="false">IF($A3643="","",IF(N(M3643)=0,"–",IF(M3643&lt;=Start!$D$20,"A",IF(M3643&lt;=Start!$D$21,"B","C"))))</f>
        <v/>
      </c>
      <c r="O3643" s="48" t="str">
        <f aca="false">IF($A3643="","",IF(NOT(ISNUMBER(F3643)),"Wert fehlt; ",IF(F3643&lt;=0,"Wert ist 0; ",""))&amp;IF(NOT(ISNUMBER(E3643)),"Bestand fehlt; ",IF(E3643&lt;0,"Bestand negativ; ",IF(E3643=0,"Nullbestand; ","")))&amp;IF(D3643="","Warengruppe fehlt; ","")&amp;IF(B3643="","Bezeichnung fehlt; ","")&amp;IF(COUNTIFS($A$2:$A$5001,$A3643,$C$2:$C$5001,C3643)&gt;1,"Artikel doppelt im selben Lager; ",""))</f>
        <v/>
      </c>
      <c r="P3643" s="47" t="n">
        <f aca="false">IF(OR($A3643="",D3643=""),0,IF(COUNTIF($D$2:D3643,D3643)=1,SUMIF($D$2:$D$5001,D3643,$H$2:$H$5001)+ROW()/10000000,0))</f>
        <v>0</v>
      </c>
      <c r="Q3643" s="47" t="n">
        <f aca="false">IF(OR($A3643="",C3643=""),0,IF(COUNTIF($C$2:C3643,C3643)=1,SUMIF($C$2:$C$5001,C3643,$H$2:$H$5001)+ROW()/10000000,0))</f>
        <v>0</v>
      </c>
    </row>
    <row r="3644" customFormat="false" ht="15" hidden="false" customHeight="false" outlineLevel="0" collapsed="false">
      <c r="A3644" s="43"/>
      <c r="B3644" s="44"/>
      <c r="C3644" s="44"/>
      <c r="D3644" s="44"/>
      <c r="E3644" s="44"/>
      <c r="F3644" s="44"/>
      <c r="G3644" s="44"/>
      <c r="H3644" s="46" t="str">
        <f aca="false">IF($A3644="","",IF(OR(NOT(ISNUMBER(E3644)),NOT(ISNUMBER(F3644))),"",MAX(0,E3644)*F3644))</f>
        <v/>
      </c>
      <c r="I3644" s="46" t="str">
        <f aca="false">IF($A3644="","",SUMIF($A$2:$A$5001,$A3644,$H$2:$H$5001))</f>
        <v/>
      </c>
      <c r="J3644" s="47" t="n">
        <f aca="false">IF($A3644="",0,IF(COUNTIF($A$2:A3644,$A3644)=1,1,0))</f>
        <v>0</v>
      </c>
      <c r="K3644" s="47" t="n">
        <f aca="false">IF(J3644=1,N(I3644)+ROW()/10000000,0)</f>
        <v>0</v>
      </c>
      <c r="L3644" s="47" t="str">
        <f aca="false">IF(AND(J3644=1,N(I3644)&gt;0),SUMIF($K$2:$K$5001,"&gt;="&amp;K3644,$I$2:$I$5001)/MAX(1,SUM($H$2:$H$5001)),"")</f>
        <v/>
      </c>
      <c r="M3644" s="47" t="str">
        <f aca="false">IF($A3644="","",INDEX($L$2:$L$5001,MATCH($A3644,$A$2:$A$5001,0)))</f>
        <v/>
      </c>
      <c r="N3644" s="48" t="str">
        <f aca="false">IF($A3644="","",IF(N(M3644)=0,"–",IF(M3644&lt;=Start!$D$20,"A",IF(M3644&lt;=Start!$D$21,"B","C"))))</f>
        <v/>
      </c>
      <c r="O3644" s="48" t="str">
        <f aca="false">IF($A3644="","",IF(NOT(ISNUMBER(F3644)),"Wert fehlt; ",IF(F3644&lt;=0,"Wert ist 0; ",""))&amp;IF(NOT(ISNUMBER(E3644)),"Bestand fehlt; ",IF(E3644&lt;0,"Bestand negativ; ",IF(E3644=0,"Nullbestand; ","")))&amp;IF(D3644="","Warengruppe fehlt; ","")&amp;IF(B3644="","Bezeichnung fehlt; ","")&amp;IF(COUNTIFS($A$2:$A$5001,$A3644,$C$2:$C$5001,C3644)&gt;1,"Artikel doppelt im selben Lager; ",""))</f>
        <v/>
      </c>
      <c r="P3644" s="47" t="n">
        <f aca="false">IF(OR($A3644="",D3644=""),0,IF(COUNTIF($D$2:D3644,D3644)=1,SUMIF($D$2:$D$5001,D3644,$H$2:$H$5001)+ROW()/10000000,0))</f>
        <v>0</v>
      </c>
      <c r="Q3644" s="47" t="n">
        <f aca="false">IF(OR($A3644="",C3644=""),0,IF(COUNTIF($C$2:C3644,C3644)=1,SUMIF($C$2:$C$5001,C3644,$H$2:$H$5001)+ROW()/10000000,0))</f>
        <v>0</v>
      </c>
    </row>
    <row r="3645" customFormat="false" ht="15" hidden="false" customHeight="false" outlineLevel="0" collapsed="false">
      <c r="A3645" s="43"/>
      <c r="B3645" s="44"/>
      <c r="C3645" s="44"/>
      <c r="D3645" s="44"/>
      <c r="E3645" s="44"/>
      <c r="F3645" s="44"/>
      <c r="G3645" s="44"/>
      <c r="H3645" s="46" t="str">
        <f aca="false">IF($A3645="","",IF(OR(NOT(ISNUMBER(E3645)),NOT(ISNUMBER(F3645))),"",MAX(0,E3645)*F3645))</f>
        <v/>
      </c>
      <c r="I3645" s="46" t="str">
        <f aca="false">IF($A3645="","",SUMIF($A$2:$A$5001,$A3645,$H$2:$H$5001))</f>
        <v/>
      </c>
      <c r="J3645" s="47" t="n">
        <f aca="false">IF($A3645="",0,IF(COUNTIF($A$2:A3645,$A3645)=1,1,0))</f>
        <v>0</v>
      </c>
      <c r="K3645" s="47" t="n">
        <f aca="false">IF(J3645=1,N(I3645)+ROW()/10000000,0)</f>
        <v>0</v>
      </c>
      <c r="L3645" s="47" t="str">
        <f aca="false">IF(AND(J3645=1,N(I3645)&gt;0),SUMIF($K$2:$K$5001,"&gt;="&amp;K3645,$I$2:$I$5001)/MAX(1,SUM($H$2:$H$5001)),"")</f>
        <v/>
      </c>
      <c r="M3645" s="47" t="str">
        <f aca="false">IF($A3645="","",INDEX($L$2:$L$5001,MATCH($A3645,$A$2:$A$5001,0)))</f>
        <v/>
      </c>
      <c r="N3645" s="48" t="str">
        <f aca="false">IF($A3645="","",IF(N(M3645)=0,"–",IF(M3645&lt;=Start!$D$20,"A",IF(M3645&lt;=Start!$D$21,"B","C"))))</f>
        <v/>
      </c>
      <c r="O3645" s="48" t="str">
        <f aca="false">IF($A3645="","",IF(NOT(ISNUMBER(F3645)),"Wert fehlt; ",IF(F3645&lt;=0,"Wert ist 0; ",""))&amp;IF(NOT(ISNUMBER(E3645)),"Bestand fehlt; ",IF(E3645&lt;0,"Bestand negativ; ",IF(E3645=0,"Nullbestand; ","")))&amp;IF(D3645="","Warengruppe fehlt; ","")&amp;IF(B3645="","Bezeichnung fehlt; ","")&amp;IF(COUNTIFS($A$2:$A$5001,$A3645,$C$2:$C$5001,C3645)&gt;1,"Artikel doppelt im selben Lager; ",""))</f>
        <v/>
      </c>
      <c r="P3645" s="47" t="n">
        <f aca="false">IF(OR($A3645="",D3645=""),0,IF(COUNTIF($D$2:D3645,D3645)=1,SUMIF($D$2:$D$5001,D3645,$H$2:$H$5001)+ROW()/10000000,0))</f>
        <v>0</v>
      </c>
      <c r="Q3645" s="47" t="n">
        <f aca="false">IF(OR($A3645="",C3645=""),0,IF(COUNTIF($C$2:C3645,C3645)=1,SUMIF($C$2:$C$5001,C3645,$H$2:$H$5001)+ROW()/10000000,0))</f>
        <v>0</v>
      </c>
    </row>
    <row r="3646" customFormat="false" ht="15" hidden="false" customHeight="false" outlineLevel="0" collapsed="false">
      <c r="A3646" s="43"/>
      <c r="B3646" s="44"/>
      <c r="C3646" s="44"/>
      <c r="D3646" s="44"/>
      <c r="E3646" s="44"/>
      <c r="F3646" s="44"/>
      <c r="G3646" s="44"/>
      <c r="H3646" s="46" t="str">
        <f aca="false">IF($A3646="","",IF(OR(NOT(ISNUMBER(E3646)),NOT(ISNUMBER(F3646))),"",MAX(0,E3646)*F3646))</f>
        <v/>
      </c>
      <c r="I3646" s="46" t="str">
        <f aca="false">IF($A3646="","",SUMIF($A$2:$A$5001,$A3646,$H$2:$H$5001))</f>
        <v/>
      </c>
      <c r="J3646" s="47" t="n">
        <f aca="false">IF($A3646="",0,IF(COUNTIF($A$2:A3646,$A3646)=1,1,0))</f>
        <v>0</v>
      </c>
      <c r="K3646" s="47" t="n">
        <f aca="false">IF(J3646=1,N(I3646)+ROW()/10000000,0)</f>
        <v>0</v>
      </c>
      <c r="L3646" s="47" t="str">
        <f aca="false">IF(AND(J3646=1,N(I3646)&gt;0),SUMIF($K$2:$K$5001,"&gt;="&amp;K3646,$I$2:$I$5001)/MAX(1,SUM($H$2:$H$5001)),"")</f>
        <v/>
      </c>
      <c r="M3646" s="47" t="str">
        <f aca="false">IF($A3646="","",INDEX($L$2:$L$5001,MATCH($A3646,$A$2:$A$5001,0)))</f>
        <v/>
      </c>
      <c r="N3646" s="48" t="str">
        <f aca="false">IF($A3646="","",IF(N(M3646)=0,"–",IF(M3646&lt;=Start!$D$20,"A",IF(M3646&lt;=Start!$D$21,"B","C"))))</f>
        <v/>
      </c>
      <c r="O3646" s="48" t="str">
        <f aca="false">IF($A3646="","",IF(NOT(ISNUMBER(F3646)),"Wert fehlt; ",IF(F3646&lt;=0,"Wert ist 0; ",""))&amp;IF(NOT(ISNUMBER(E3646)),"Bestand fehlt; ",IF(E3646&lt;0,"Bestand negativ; ",IF(E3646=0,"Nullbestand; ","")))&amp;IF(D3646="","Warengruppe fehlt; ","")&amp;IF(B3646="","Bezeichnung fehlt; ","")&amp;IF(COUNTIFS($A$2:$A$5001,$A3646,$C$2:$C$5001,C3646)&gt;1,"Artikel doppelt im selben Lager; ",""))</f>
        <v/>
      </c>
      <c r="P3646" s="47" t="n">
        <f aca="false">IF(OR($A3646="",D3646=""),0,IF(COUNTIF($D$2:D3646,D3646)=1,SUMIF($D$2:$D$5001,D3646,$H$2:$H$5001)+ROW()/10000000,0))</f>
        <v>0</v>
      </c>
      <c r="Q3646" s="47" t="n">
        <f aca="false">IF(OR($A3646="",C3646=""),0,IF(COUNTIF($C$2:C3646,C3646)=1,SUMIF($C$2:$C$5001,C3646,$H$2:$H$5001)+ROW()/10000000,0))</f>
        <v>0</v>
      </c>
    </row>
    <row r="3647" customFormat="false" ht="15" hidden="false" customHeight="false" outlineLevel="0" collapsed="false">
      <c r="A3647" s="43"/>
      <c r="B3647" s="44"/>
      <c r="C3647" s="44"/>
      <c r="D3647" s="44"/>
      <c r="E3647" s="44"/>
      <c r="F3647" s="44"/>
      <c r="G3647" s="44"/>
      <c r="H3647" s="46" t="str">
        <f aca="false">IF($A3647="","",IF(OR(NOT(ISNUMBER(E3647)),NOT(ISNUMBER(F3647))),"",MAX(0,E3647)*F3647))</f>
        <v/>
      </c>
      <c r="I3647" s="46" t="str">
        <f aca="false">IF($A3647="","",SUMIF($A$2:$A$5001,$A3647,$H$2:$H$5001))</f>
        <v/>
      </c>
      <c r="J3647" s="47" t="n">
        <f aca="false">IF($A3647="",0,IF(COUNTIF($A$2:A3647,$A3647)=1,1,0))</f>
        <v>0</v>
      </c>
      <c r="K3647" s="47" t="n">
        <f aca="false">IF(J3647=1,N(I3647)+ROW()/10000000,0)</f>
        <v>0</v>
      </c>
      <c r="L3647" s="47" t="str">
        <f aca="false">IF(AND(J3647=1,N(I3647)&gt;0),SUMIF($K$2:$K$5001,"&gt;="&amp;K3647,$I$2:$I$5001)/MAX(1,SUM($H$2:$H$5001)),"")</f>
        <v/>
      </c>
      <c r="M3647" s="47" t="str">
        <f aca="false">IF($A3647="","",INDEX($L$2:$L$5001,MATCH($A3647,$A$2:$A$5001,0)))</f>
        <v/>
      </c>
      <c r="N3647" s="48" t="str">
        <f aca="false">IF($A3647="","",IF(N(M3647)=0,"–",IF(M3647&lt;=Start!$D$20,"A",IF(M3647&lt;=Start!$D$21,"B","C"))))</f>
        <v/>
      </c>
      <c r="O3647" s="48" t="str">
        <f aca="false">IF($A3647="","",IF(NOT(ISNUMBER(F3647)),"Wert fehlt; ",IF(F3647&lt;=0,"Wert ist 0; ",""))&amp;IF(NOT(ISNUMBER(E3647)),"Bestand fehlt; ",IF(E3647&lt;0,"Bestand negativ; ",IF(E3647=0,"Nullbestand; ","")))&amp;IF(D3647="","Warengruppe fehlt; ","")&amp;IF(B3647="","Bezeichnung fehlt; ","")&amp;IF(COUNTIFS($A$2:$A$5001,$A3647,$C$2:$C$5001,C3647)&gt;1,"Artikel doppelt im selben Lager; ",""))</f>
        <v/>
      </c>
      <c r="P3647" s="47" t="n">
        <f aca="false">IF(OR($A3647="",D3647=""),0,IF(COUNTIF($D$2:D3647,D3647)=1,SUMIF($D$2:$D$5001,D3647,$H$2:$H$5001)+ROW()/10000000,0))</f>
        <v>0</v>
      </c>
      <c r="Q3647" s="47" t="n">
        <f aca="false">IF(OR($A3647="",C3647=""),0,IF(COUNTIF($C$2:C3647,C3647)=1,SUMIF($C$2:$C$5001,C3647,$H$2:$H$5001)+ROW()/10000000,0))</f>
        <v>0</v>
      </c>
    </row>
    <row r="3648" customFormat="false" ht="15" hidden="false" customHeight="false" outlineLevel="0" collapsed="false">
      <c r="A3648" s="43"/>
      <c r="B3648" s="44"/>
      <c r="C3648" s="44"/>
      <c r="D3648" s="44"/>
      <c r="E3648" s="44"/>
      <c r="F3648" s="44"/>
      <c r="G3648" s="44"/>
      <c r="H3648" s="46" t="str">
        <f aca="false">IF($A3648="","",IF(OR(NOT(ISNUMBER(E3648)),NOT(ISNUMBER(F3648))),"",MAX(0,E3648)*F3648))</f>
        <v/>
      </c>
      <c r="I3648" s="46" t="str">
        <f aca="false">IF($A3648="","",SUMIF($A$2:$A$5001,$A3648,$H$2:$H$5001))</f>
        <v/>
      </c>
      <c r="J3648" s="47" t="n">
        <f aca="false">IF($A3648="",0,IF(COUNTIF($A$2:A3648,$A3648)=1,1,0))</f>
        <v>0</v>
      </c>
      <c r="K3648" s="47" t="n">
        <f aca="false">IF(J3648=1,N(I3648)+ROW()/10000000,0)</f>
        <v>0</v>
      </c>
      <c r="L3648" s="47" t="str">
        <f aca="false">IF(AND(J3648=1,N(I3648)&gt;0),SUMIF($K$2:$K$5001,"&gt;="&amp;K3648,$I$2:$I$5001)/MAX(1,SUM($H$2:$H$5001)),"")</f>
        <v/>
      </c>
      <c r="M3648" s="47" t="str">
        <f aca="false">IF($A3648="","",INDEX($L$2:$L$5001,MATCH($A3648,$A$2:$A$5001,0)))</f>
        <v/>
      </c>
      <c r="N3648" s="48" t="str">
        <f aca="false">IF($A3648="","",IF(N(M3648)=0,"–",IF(M3648&lt;=Start!$D$20,"A",IF(M3648&lt;=Start!$D$21,"B","C"))))</f>
        <v/>
      </c>
      <c r="O3648" s="48" t="str">
        <f aca="false">IF($A3648="","",IF(NOT(ISNUMBER(F3648)),"Wert fehlt; ",IF(F3648&lt;=0,"Wert ist 0; ",""))&amp;IF(NOT(ISNUMBER(E3648)),"Bestand fehlt; ",IF(E3648&lt;0,"Bestand negativ; ",IF(E3648=0,"Nullbestand; ","")))&amp;IF(D3648="","Warengruppe fehlt; ","")&amp;IF(B3648="","Bezeichnung fehlt; ","")&amp;IF(COUNTIFS($A$2:$A$5001,$A3648,$C$2:$C$5001,C3648)&gt;1,"Artikel doppelt im selben Lager; ",""))</f>
        <v/>
      </c>
      <c r="P3648" s="47" t="n">
        <f aca="false">IF(OR($A3648="",D3648=""),0,IF(COUNTIF($D$2:D3648,D3648)=1,SUMIF($D$2:$D$5001,D3648,$H$2:$H$5001)+ROW()/10000000,0))</f>
        <v>0</v>
      </c>
      <c r="Q3648" s="47" t="n">
        <f aca="false">IF(OR($A3648="",C3648=""),0,IF(COUNTIF($C$2:C3648,C3648)=1,SUMIF($C$2:$C$5001,C3648,$H$2:$H$5001)+ROW()/10000000,0))</f>
        <v>0</v>
      </c>
    </row>
    <row r="3649" customFormat="false" ht="15" hidden="false" customHeight="false" outlineLevel="0" collapsed="false">
      <c r="A3649" s="43"/>
      <c r="B3649" s="44"/>
      <c r="C3649" s="44"/>
      <c r="D3649" s="44"/>
      <c r="E3649" s="44"/>
      <c r="F3649" s="44"/>
      <c r="G3649" s="44"/>
      <c r="H3649" s="46" t="str">
        <f aca="false">IF($A3649="","",IF(OR(NOT(ISNUMBER(E3649)),NOT(ISNUMBER(F3649))),"",MAX(0,E3649)*F3649))</f>
        <v/>
      </c>
      <c r="I3649" s="46" t="str">
        <f aca="false">IF($A3649="","",SUMIF($A$2:$A$5001,$A3649,$H$2:$H$5001))</f>
        <v/>
      </c>
      <c r="J3649" s="47" t="n">
        <f aca="false">IF($A3649="",0,IF(COUNTIF($A$2:A3649,$A3649)=1,1,0))</f>
        <v>0</v>
      </c>
      <c r="K3649" s="47" t="n">
        <f aca="false">IF(J3649=1,N(I3649)+ROW()/10000000,0)</f>
        <v>0</v>
      </c>
      <c r="L3649" s="47" t="str">
        <f aca="false">IF(AND(J3649=1,N(I3649)&gt;0),SUMIF($K$2:$K$5001,"&gt;="&amp;K3649,$I$2:$I$5001)/MAX(1,SUM($H$2:$H$5001)),"")</f>
        <v/>
      </c>
      <c r="M3649" s="47" t="str">
        <f aca="false">IF($A3649="","",INDEX($L$2:$L$5001,MATCH($A3649,$A$2:$A$5001,0)))</f>
        <v/>
      </c>
      <c r="N3649" s="48" t="str">
        <f aca="false">IF($A3649="","",IF(N(M3649)=0,"–",IF(M3649&lt;=Start!$D$20,"A",IF(M3649&lt;=Start!$D$21,"B","C"))))</f>
        <v/>
      </c>
      <c r="O3649" s="48" t="str">
        <f aca="false">IF($A3649="","",IF(NOT(ISNUMBER(F3649)),"Wert fehlt; ",IF(F3649&lt;=0,"Wert ist 0; ",""))&amp;IF(NOT(ISNUMBER(E3649)),"Bestand fehlt; ",IF(E3649&lt;0,"Bestand negativ; ",IF(E3649=0,"Nullbestand; ","")))&amp;IF(D3649="","Warengruppe fehlt; ","")&amp;IF(B3649="","Bezeichnung fehlt; ","")&amp;IF(COUNTIFS($A$2:$A$5001,$A3649,$C$2:$C$5001,C3649)&gt;1,"Artikel doppelt im selben Lager; ",""))</f>
        <v/>
      </c>
      <c r="P3649" s="47" t="n">
        <f aca="false">IF(OR($A3649="",D3649=""),0,IF(COUNTIF($D$2:D3649,D3649)=1,SUMIF($D$2:$D$5001,D3649,$H$2:$H$5001)+ROW()/10000000,0))</f>
        <v>0</v>
      </c>
      <c r="Q3649" s="47" t="n">
        <f aca="false">IF(OR($A3649="",C3649=""),0,IF(COUNTIF($C$2:C3649,C3649)=1,SUMIF($C$2:$C$5001,C3649,$H$2:$H$5001)+ROW()/10000000,0))</f>
        <v>0</v>
      </c>
    </row>
    <row r="3650" customFormat="false" ht="15" hidden="false" customHeight="false" outlineLevel="0" collapsed="false">
      <c r="A3650" s="43"/>
      <c r="B3650" s="44"/>
      <c r="C3650" s="44"/>
      <c r="D3650" s="44"/>
      <c r="E3650" s="44"/>
      <c r="F3650" s="44"/>
      <c r="G3650" s="44"/>
      <c r="H3650" s="46" t="str">
        <f aca="false">IF($A3650="","",IF(OR(NOT(ISNUMBER(E3650)),NOT(ISNUMBER(F3650))),"",MAX(0,E3650)*F3650))</f>
        <v/>
      </c>
      <c r="I3650" s="46" t="str">
        <f aca="false">IF($A3650="","",SUMIF($A$2:$A$5001,$A3650,$H$2:$H$5001))</f>
        <v/>
      </c>
      <c r="J3650" s="47" t="n">
        <f aca="false">IF($A3650="",0,IF(COUNTIF($A$2:A3650,$A3650)=1,1,0))</f>
        <v>0</v>
      </c>
      <c r="K3650" s="47" t="n">
        <f aca="false">IF(J3650=1,N(I3650)+ROW()/10000000,0)</f>
        <v>0</v>
      </c>
      <c r="L3650" s="47" t="str">
        <f aca="false">IF(AND(J3650=1,N(I3650)&gt;0),SUMIF($K$2:$K$5001,"&gt;="&amp;K3650,$I$2:$I$5001)/MAX(1,SUM($H$2:$H$5001)),"")</f>
        <v/>
      </c>
      <c r="M3650" s="47" t="str">
        <f aca="false">IF($A3650="","",INDEX($L$2:$L$5001,MATCH($A3650,$A$2:$A$5001,0)))</f>
        <v/>
      </c>
      <c r="N3650" s="48" t="str">
        <f aca="false">IF($A3650="","",IF(N(M3650)=0,"–",IF(M3650&lt;=Start!$D$20,"A",IF(M3650&lt;=Start!$D$21,"B","C"))))</f>
        <v/>
      </c>
      <c r="O3650" s="48" t="str">
        <f aca="false">IF($A3650="","",IF(NOT(ISNUMBER(F3650)),"Wert fehlt; ",IF(F3650&lt;=0,"Wert ist 0; ",""))&amp;IF(NOT(ISNUMBER(E3650)),"Bestand fehlt; ",IF(E3650&lt;0,"Bestand negativ; ",IF(E3650=0,"Nullbestand; ","")))&amp;IF(D3650="","Warengruppe fehlt; ","")&amp;IF(B3650="","Bezeichnung fehlt; ","")&amp;IF(COUNTIFS($A$2:$A$5001,$A3650,$C$2:$C$5001,C3650)&gt;1,"Artikel doppelt im selben Lager; ",""))</f>
        <v/>
      </c>
      <c r="P3650" s="47" t="n">
        <f aca="false">IF(OR($A3650="",D3650=""),0,IF(COUNTIF($D$2:D3650,D3650)=1,SUMIF($D$2:$D$5001,D3650,$H$2:$H$5001)+ROW()/10000000,0))</f>
        <v>0</v>
      </c>
      <c r="Q3650" s="47" t="n">
        <f aca="false">IF(OR($A3650="",C3650=""),0,IF(COUNTIF($C$2:C3650,C3650)=1,SUMIF($C$2:$C$5001,C3650,$H$2:$H$5001)+ROW()/10000000,0))</f>
        <v>0</v>
      </c>
    </row>
    <row r="3651" customFormat="false" ht="15" hidden="false" customHeight="false" outlineLevel="0" collapsed="false">
      <c r="A3651" s="43"/>
      <c r="B3651" s="44"/>
      <c r="C3651" s="44"/>
      <c r="D3651" s="44"/>
      <c r="E3651" s="44"/>
      <c r="F3651" s="44"/>
      <c r="G3651" s="44"/>
      <c r="H3651" s="46" t="str">
        <f aca="false">IF($A3651="","",IF(OR(NOT(ISNUMBER(E3651)),NOT(ISNUMBER(F3651))),"",MAX(0,E3651)*F3651))</f>
        <v/>
      </c>
      <c r="I3651" s="46" t="str">
        <f aca="false">IF($A3651="","",SUMIF($A$2:$A$5001,$A3651,$H$2:$H$5001))</f>
        <v/>
      </c>
      <c r="J3651" s="47" t="n">
        <f aca="false">IF($A3651="",0,IF(COUNTIF($A$2:A3651,$A3651)=1,1,0))</f>
        <v>0</v>
      </c>
      <c r="K3651" s="47" t="n">
        <f aca="false">IF(J3651=1,N(I3651)+ROW()/10000000,0)</f>
        <v>0</v>
      </c>
      <c r="L3651" s="47" t="str">
        <f aca="false">IF(AND(J3651=1,N(I3651)&gt;0),SUMIF($K$2:$K$5001,"&gt;="&amp;K3651,$I$2:$I$5001)/MAX(1,SUM($H$2:$H$5001)),"")</f>
        <v/>
      </c>
      <c r="M3651" s="47" t="str">
        <f aca="false">IF($A3651="","",INDEX($L$2:$L$5001,MATCH($A3651,$A$2:$A$5001,0)))</f>
        <v/>
      </c>
      <c r="N3651" s="48" t="str">
        <f aca="false">IF($A3651="","",IF(N(M3651)=0,"–",IF(M3651&lt;=Start!$D$20,"A",IF(M3651&lt;=Start!$D$21,"B","C"))))</f>
        <v/>
      </c>
      <c r="O3651" s="48" t="str">
        <f aca="false">IF($A3651="","",IF(NOT(ISNUMBER(F3651)),"Wert fehlt; ",IF(F3651&lt;=0,"Wert ist 0; ",""))&amp;IF(NOT(ISNUMBER(E3651)),"Bestand fehlt; ",IF(E3651&lt;0,"Bestand negativ; ",IF(E3651=0,"Nullbestand; ","")))&amp;IF(D3651="","Warengruppe fehlt; ","")&amp;IF(B3651="","Bezeichnung fehlt; ","")&amp;IF(COUNTIFS($A$2:$A$5001,$A3651,$C$2:$C$5001,C3651)&gt;1,"Artikel doppelt im selben Lager; ",""))</f>
        <v/>
      </c>
      <c r="P3651" s="47" t="n">
        <f aca="false">IF(OR($A3651="",D3651=""),0,IF(COUNTIF($D$2:D3651,D3651)=1,SUMIF($D$2:$D$5001,D3651,$H$2:$H$5001)+ROW()/10000000,0))</f>
        <v>0</v>
      </c>
      <c r="Q3651" s="47" t="n">
        <f aca="false">IF(OR($A3651="",C3651=""),0,IF(COUNTIF($C$2:C3651,C3651)=1,SUMIF($C$2:$C$5001,C3651,$H$2:$H$5001)+ROW()/10000000,0))</f>
        <v>0</v>
      </c>
    </row>
    <row r="3652" customFormat="false" ht="15" hidden="false" customHeight="false" outlineLevel="0" collapsed="false">
      <c r="A3652" s="43"/>
      <c r="B3652" s="44"/>
      <c r="C3652" s="44"/>
      <c r="D3652" s="44"/>
      <c r="E3652" s="44"/>
      <c r="F3652" s="44"/>
      <c r="G3652" s="44"/>
      <c r="H3652" s="46" t="str">
        <f aca="false">IF($A3652="","",IF(OR(NOT(ISNUMBER(E3652)),NOT(ISNUMBER(F3652))),"",MAX(0,E3652)*F3652))</f>
        <v/>
      </c>
      <c r="I3652" s="46" t="str">
        <f aca="false">IF($A3652="","",SUMIF($A$2:$A$5001,$A3652,$H$2:$H$5001))</f>
        <v/>
      </c>
      <c r="J3652" s="47" t="n">
        <f aca="false">IF($A3652="",0,IF(COUNTIF($A$2:A3652,$A3652)=1,1,0))</f>
        <v>0</v>
      </c>
      <c r="K3652" s="47" t="n">
        <f aca="false">IF(J3652=1,N(I3652)+ROW()/10000000,0)</f>
        <v>0</v>
      </c>
      <c r="L3652" s="47" t="str">
        <f aca="false">IF(AND(J3652=1,N(I3652)&gt;0),SUMIF($K$2:$K$5001,"&gt;="&amp;K3652,$I$2:$I$5001)/MAX(1,SUM($H$2:$H$5001)),"")</f>
        <v/>
      </c>
      <c r="M3652" s="47" t="str">
        <f aca="false">IF($A3652="","",INDEX($L$2:$L$5001,MATCH($A3652,$A$2:$A$5001,0)))</f>
        <v/>
      </c>
      <c r="N3652" s="48" t="str">
        <f aca="false">IF($A3652="","",IF(N(M3652)=0,"–",IF(M3652&lt;=Start!$D$20,"A",IF(M3652&lt;=Start!$D$21,"B","C"))))</f>
        <v/>
      </c>
      <c r="O3652" s="48" t="str">
        <f aca="false">IF($A3652="","",IF(NOT(ISNUMBER(F3652)),"Wert fehlt; ",IF(F3652&lt;=0,"Wert ist 0; ",""))&amp;IF(NOT(ISNUMBER(E3652)),"Bestand fehlt; ",IF(E3652&lt;0,"Bestand negativ; ",IF(E3652=0,"Nullbestand; ","")))&amp;IF(D3652="","Warengruppe fehlt; ","")&amp;IF(B3652="","Bezeichnung fehlt; ","")&amp;IF(COUNTIFS($A$2:$A$5001,$A3652,$C$2:$C$5001,C3652)&gt;1,"Artikel doppelt im selben Lager; ",""))</f>
        <v/>
      </c>
      <c r="P3652" s="47" t="n">
        <f aca="false">IF(OR($A3652="",D3652=""),0,IF(COUNTIF($D$2:D3652,D3652)=1,SUMIF($D$2:$D$5001,D3652,$H$2:$H$5001)+ROW()/10000000,0))</f>
        <v>0</v>
      </c>
      <c r="Q3652" s="47" t="n">
        <f aca="false">IF(OR($A3652="",C3652=""),0,IF(COUNTIF($C$2:C3652,C3652)=1,SUMIF($C$2:$C$5001,C3652,$H$2:$H$5001)+ROW()/10000000,0))</f>
        <v>0</v>
      </c>
    </row>
    <row r="3653" customFormat="false" ht="15" hidden="false" customHeight="false" outlineLevel="0" collapsed="false">
      <c r="A3653" s="43"/>
      <c r="B3653" s="44"/>
      <c r="C3653" s="44"/>
      <c r="D3653" s="44"/>
      <c r="E3653" s="44"/>
      <c r="F3653" s="44"/>
      <c r="G3653" s="44"/>
      <c r="H3653" s="46" t="str">
        <f aca="false">IF($A3653="","",IF(OR(NOT(ISNUMBER(E3653)),NOT(ISNUMBER(F3653))),"",MAX(0,E3653)*F3653))</f>
        <v/>
      </c>
      <c r="I3653" s="46" t="str">
        <f aca="false">IF($A3653="","",SUMIF($A$2:$A$5001,$A3653,$H$2:$H$5001))</f>
        <v/>
      </c>
      <c r="J3653" s="47" t="n">
        <f aca="false">IF($A3653="",0,IF(COUNTIF($A$2:A3653,$A3653)=1,1,0))</f>
        <v>0</v>
      </c>
      <c r="K3653" s="47" t="n">
        <f aca="false">IF(J3653=1,N(I3653)+ROW()/10000000,0)</f>
        <v>0</v>
      </c>
      <c r="L3653" s="47" t="str">
        <f aca="false">IF(AND(J3653=1,N(I3653)&gt;0),SUMIF($K$2:$K$5001,"&gt;="&amp;K3653,$I$2:$I$5001)/MAX(1,SUM($H$2:$H$5001)),"")</f>
        <v/>
      </c>
      <c r="M3653" s="47" t="str">
        <f aca="false">IF($A3653="","",INDEX($L$2:$L$5001,MATCH($A3653,$A$2:$A$5001,0)))</f>
        <v/>
      </c>
      <c r="N3653" s="48" t="str">
        <f aca="false">IF($A3653="","",IF(N(M3653)=0,"–",IF(M3653&lt;=Start!$D$20,"A",IF(M3653&lt;=Start!$D$21,"B","C"))))</f>
        <v/>
      </c>
      <c r="O3653" s="48" t="str">
        <f aca="false">IF($A3653="","",IF(NOT(ISNUMBER(F3653)),"Wert fehlt; ",IF(F3653&lt;=0,"Wert ist 0; ",""))&amp;IF(NOT(ISNUMBER(E3653)),"Bestand fehlt; ",IF(E3653&lt;0,"Bestand negativ; ",IF(E3653=0,"Nullbestand; ","")))&amp;IF(D3653="","Warengruppe fehlt; ","")&amp;IF(B3653="","Bezeichnung fehlt; ","")&amp;IF(COUNTIFS($A$2:$A$5001,$A3653,$C$2:$C$5001,C3653)&gt;1,"Artikel doppelt im selben Lager; ",""))</f>
        <v/>
      </c>
      <c r="P3653" s="47" t="n">
        <f aca="false">IF(OR($A3653="",D3653=""),0,IF(COUNTIF($D$2:D3653,D3653)=1,SUMIF($D$2:$D$5001,D3653,$H$2:$H$5001)+ROW()/10000000,0))</f>
        <v>0</v>
      </c>
      <c r="Q3653" s="47" t="n">
        <f aca="false">IF(OR($A3653="",C3653=""),0,IF(COUNTIF($C$2:C3653,C3653)=1,SUMIF($C$2:$C$5001,C3653,$H$2:$H$5001)+ROW()/10000000,0))</f>
        <v>0</v>
      </c>
    </row>
    <row r="3654" customFormat="false" ht="15" hidden="false" customHeight="false" outlineLevel="0" collapsed="false">
      <c r="A3654" s="43"/>
      <c r="B3654" s="44"/>
      <c r="C3654" s="44"/>
      <c r="D3654" s="44"/>
      <c r="E3654" s="44"/>
      <c r="F3654" s="44"/>
      <c r="G3654" s="44"/>
      <c r="H3654" s="46" t="str">
        <f aca="false">IF($A3654="","",IF(OR(NOT(ISNUMBER(E3654)),NOT(ISNUMBER(F3654))),"",MAX(0,E3654)*F3654))</f>
        <v/>
      </c>
      <c r="I3654" s="46" t="str">
        <f aca="false">IF($A3654="","",SUMIF($A$2:$A$5001,$A3654,$H$2:$H$5001))</f>
        <v/>
      </c>
      <c r="J3654" s="47" t="n">
        <f aca="false">IF($A3654="",0,IF(COUNTIF($A$2:A3654,$A3654)=1,1,0))</f>
        <v>0</v>
      </c>
      <c r="K3654" s="47" t="n">
        <f aca="false">IF(J3654=1,N(I3654)+ROW()/10000000,0)</f>
        <v>0</v>
      </c>
      <c r="L3654" s="47" t="str">
        <f aca="false">IF(AND(J3654=1,N(I3654)&gt;0),SUMIF($K$2:$K$5001,"&gt;="&amp;K3654,$I$2:$I$5001)/MAX(1,SUM($H$2:$H$5001)),"")</f>
        <v/>
      </c>
      <c r="M3654" s="47" t="str">
        <f aca="false">IF($A3654="","",INDEX($L$2:$L$5001,MATCH($A3654,$A$2:$A$5001,0)))</f>
        <v/>
      </c>
      <c r="N3654" s="48" t="str">
        <f aca="false">IF($A3654="","",IF(N(M3654)=0,"–",IF(M3654&lt;=Start!$D$20,"A",IF(M3654&lt;=Start!$D$21,"B","C"))))</f>
        <v/>
      </c>
      <c r="O3654" s="48" t="str">
        <f aca="false">IF($A3654="","",IF(NOT(ISNUMBER(F3654)),"Wert fehlt; ",IF(F3654&lt;=0,"Wert ist 0; ",""))&amp;IF(NOT(ISNUMBER(E3654)),"Bestand fehlt; ",IF(E3654&lt;0,"Bestand negativ; ",IF(E3654=0,"Nullbestand; ","")))&amp;IF(D3654="","Warengruppe fehlt; ","")&amp;IF(B3654="","Bezeichnung fehlt; ","")&amp;IF(COUNTIFS($A$2:$A$5001,$A3654,$C$2:$C$5001,C3654)&gt;1,"Artikel doppelt im selben Lager; ",""))</f>
        <v/>
      </c>
      <c r="P3654" s="47" t="n">
        <f aca="false">IF(OR($A3654="",D3654=""),0,IF(COUNTIF($D$2:D3654,D3654)=1,SUMIF($D$2:$D$5001,D3654,$H$2:$H$5001)+ROW()/10000000,0))</f>
        <v>0</v>
      </c>
      <c r="Q3654" s="47" t="n">
        <f aca="false">IF(OR($A3654="",C3654=""),0,IF(COUNTIF($C$2:C3654,C3654)=1,SUMIF($C$2:$C$5001,C3654,$H$2:$H$5001)+ROW()/10000000,0))</f>
        <v>0</v>
      </c>
    </row>
    <row r="3655" customFormat="false" ht="15" hidden="false" customHeight="false" outlineLevel="0" collapsed="false">
      <c r="A3655" s="43"/>
      <c r="B3655" s="44"/>
      <c r="C3655" s="44"/>
      <c r="D3655" s="44"/>
      <c r="E3655" s="44"/>
      <c r="F3655" s="44"/>
      <c r="G3655" s="44"/>
      <c r="H3655" s="46" t="str">
        <f aca="false">IF($A3655="","",IF(OR(NOT(ISNUMBER(E3655)),NOT(ISNUMBER(F3655))),"",MAX(0,E3655)*F3655))</f>
        <v/>
      </c>
      <c r="I3655" s="46" t="str">
        <f aca="false">IF($A3655="","",SUMIF($A$2:$A$5001,$A3655,$H$2:$H$5001))</f>
        <v/>
      </c>
      <c r="J3655" s="47" t="n">
        <f aca="false">IF($A3655="",0,IF(COUNTIF($A$2:A3655,$A3655)=1,1,0))</f>
        <v>0</v>
      </c>
      <c r="K3655" s="47" t="n">
        <f aca="false">IF(J3655=1,N(I3655)+ROW()/10000000,0)</f>
        <v>0</v>
      </c>
      <c r="L3655" s="47" t="str">
        <f aca="false">IF(AND(J3655=1,N(I3655)&gt;0),SUMIF($K$2:$K$5001,"&gt;="&amp;K3655,$I$2:$I$5001)/MAX(1,SUM($H$2:$H$5001)),"")</f>
        <v/>
      </c>
      <c r="M3655" s="47" t="str">
        <f aca="false">IF($A3655="","",INDEX($L$2:$L$5001,MATCH($A3655,$A$2:$A$5001,0)))</f>
        <v/>
      </c>
      <c r="N3655" s="48" t="str">
        <f aca="false">IF($A3655="","",IF(N(M3655)=0,"–",IF(M3655&lt;=Start!$D$20,"A",IF(M3655&lt;=Start!$D$21,"B","C"))))</f>
        <v/>
      </c>
      <c r="O3655" s="48" t="str">
        <f aca="false">IF($A3655="","",IF(NOT(ISNUMBER(F3655)),"Wert fehlt; ",IF(F3655&lt;=0,"Wert ist 0; ",""))&amp;IF(NOT(ISNUMBER(E3655)),"Bestand fehlt; ",IF(E3655&lt;0,"Bestand negativ; ",IF(E3655=0,"Nullbestand; ","")))&amp;IF(D3655="","Warengruppe fehlt; ","")&amp;IF(B3655="","Bezeichnung fehlt; ","")&amp;IF(COUNTIFS($A$2:$A$5001,$A3655,$C$2:$C$5001,C3655)&gt;1,"Artikel doppelt im selben Lager; ",""))</f>
        <v/>
      </c>
      <c r="P3655" s="47" t="n">
        <f aca="false">IF(OR($A3655="",D3655=""),0,IF(COUNTIF($D$2:D3655,D3655)=1,SUMIF($D$2:$D$5001,D3655,$H$2:$H$5001)+ROW()/10000000,0))</f>
        <v>0</v>
      </c>
      <c r="Q3655" s="47" t="n">
        <f aca="false">IF(OR($A3655="",C3655=""),0,IF(COUNTIF($C$2:C3655,C3655)=1,SUMIF($C$2:$C$5001,C3655,$H$2:$H$5001)+ROW()/10000000,0))</f>
        <v>0</v>
      </c>
    </row>
    <row r="3656" customFormat="false" ht="15" hidden="false" customHeight="false" outlineLevel="0" collapsed="false">
      <c r="A3656" s="43"/>
      <c r="B3656" s="44"/>
      <c r="C3656" s="44"/>
      <c r="D3656" s="44"/>
      <c r="E3656" s="44"/>
      <c r="F3656" s="44"/>
      <c r="G3656" s="44"/>
      <c r="H3656" s="46" t="str">
        <f aca="false">IF($A3656="","",IF(OR(NOT(ISNUMBER(E3656)),NOT(ISNUMBER(F3656))),"",MAX(0,E3656)*F3656))</f>
        <v/>
      </c>
      <c r="I3656" s="46" t="str">
        <f aca="false">IF($A3656="","",SUMIF($A$2:$A$5001,$A3656,$H$2:$H$5001))</f>
        <v/>
      </c>
      <c r="J3656" s="47" t="n">
        <f aca="false">IF($A3656="",0,IF(COUNTIF($A$2:A3656,$A3656)=1,1,0))</f>
        <v>0</v>
      </c>
      <c r="K3656" s="47" t="n">
        <f aca="false">IF(J3656=1,N(I3656)+ROW()/10000000,0)</f>
        <v>0</v>
      </c>
      <c r="L3656" s="47" t="str">
        <f aca="false">IF(AND(J3656=1,N(I3656)&gt;0),SUMIF($K$2:$K$5001,"&gt;="&amp;K3656,$I$2:$I$5001)/MAX(1,SUM($H$2:$H$5001)),"")</f>
        <v/>
      </c>
      <c r="M3656" s="47" t="str">
        <f aca="false">IF($A3656="","",INDEX($L$2:$L$5001,MATCH($A3656,$A$2:$A$5001,0)))</f>
        <v/>
      </c>
      <c r="N3656" s="48" t="str">
        <f aca="false">IF($A3656="","",IF(N(M3656)=0,"–",IF(M3656&lt;=Start!$D$20,"A",IF(M3656&lt;=Start!$D$21,"B","C"))))</f>
        <v/>
      </c>
      <c r="O3656" s="48" t="str">
        <f aca="false">IF($A3656="","",IF(NOT(ISNUMBER(F3656)),"Wert fehlt; ",IF(F3656&lt;=0,"Wert ist 0; ",""))&amp;IF(NOT(ISNUMBER(E3656)),"Bestand fehlt; ",IF(E3656&lt;0,"Bestand negativ; ",IF(E3656=0,"Nullbestand; ","")))&amp;IF(D3656="","Warengruppe fehlt; ","")&amp;IF(B3656="","Bezeichnung fehlt; ","")&amp;IF(COUNTIFS($A$2:$A$5001,$A3656,$C$2:$C$5001,C3656)&gt;1,"Artikel doppelt im selben Lager; ",""))</f>
        <v/>
      </c>
      <c r="P3656" s="47" t="n">
        <f aca="false">IF(OR($A3656="",D3656=""),0,IF(COUNTIF($D$2:D3656,D3656)=1,SUMIF($D$2:$D$5001,D3656,$H$2:$H$5001)+ROW()/10000000,0))</f>
        <v>0</v>
      </c>
      <c r="Q3656" s="47" t="n">
        <f aca="false">IF(OR($A3656="",C3656=""),0,IF(COUNTIF($C$2:C3656,C3656)=1,SUMIF($C$2:$C$5001,C3656,$H$2:$H$5001)+ROW()/10000000,0))</f>
        <v>0</v>
      </c>
    </row>
    <row r="3657" customFormat="false" ht="15" hidden="false" customHeight="false" outlineLevel="0" collapsed="false">
      <c r="A3657" s="43"/>
      <c r="B3657" s="44"/>
      <c r="C3657" s="44"/>
      <c r="D3657" s="44"/>
      <c r="E3657" s="44"/>
      <c r="F3657" s="44"/>
      <c r="G3657" s="44"/>
      <c r="H3657" s="46" t="str">
        <f aca="false">IF($A3657="","",IF(OR(NOT(ISNUMBER(E3657)),NOT(ISNUMBER(F3657))),"",MAX(0,E3657)*F3657))</f>
        <v/>
      </c>
      <c r="I3657" s="46" t="str">
        <f aca="false">IF($A3657="","",SUMIF($A$2:$A$5001,$A3657,$H$2:$H$5001))</f>
        <v/>
      </c>
      <c r="J3657" s="47" t="n">
        <f aca="false">IF($A3657="",0,IF(COUNTIF($A$2:A3657,$A3657)=1,1,0))</f>
        <v>0</v>
      </c>
      <c r="K3657" s="47" t="n">
        <f aca="false">IF(J3657=1,N(I3657)+ROW()/10000000,0)</f>
        <v>0</v>
      </c>
      <c r="L3657" s="47" t="str">
        <f aca="false">IF(AND(J3657=1,N(I3657)&gt;0),SUMIF($K$2:$K$5001,"&gt;="&amp;K3657,$I$2:$I$5001)/MAX(1,SUM($H$2:$H$5001)),"")</f>
        <v/>
      </c>
      <c r="M3657" s="47" t="str">
        <f aca="false">IF($A3657="","",INDEX($L$2:$L$5001,MATCH($A3657,$A$2:$A$5001,0)))</f>
        <v/>
      </c>
      <c r="N3657" s="48" t="str">
        <f aca="false">IF($A3657="","",IF(N(M3657)=0,"–",IF(M3657&lt;=Start!$D$20,"A",IF(M3657&lt;=Start!$D$21,"B","C"))))</f>
        <v/>
      </c>
      <c r="O3657" s="48" t="str">
        <f aca="false">IF($A3657="","",IF(NOT(ISNUMBER(F3657)),"Wert fehlt; ",IF(F3657&lt;=0,"Wert ist 0; ",""))&amp;IF(NOT(ISNUMBER(E3657)),"Bestand fehlt; ",IF(E3657&lt;0,"Bestand negativ; ",IF(E3657=0,"Nullbestand; ","")))&amp;IF(D3657="","Warengruppe fehlt; ","")&amp;IF(B3657="","Bezeichnung fehlt; ","")&amp;IF(COUNTIFS($A$2:$A$5001,$A3657,$C$2:$C$5001,C3657)&gt;1,"Artikel doppelt im selben Lager; ",""))</f>
        <v/>
      </c>
      <c r="P3657" s="47" t="n">
        <f aca="false">IF(OR($A3657="",D3657=""),0,IF(COUNTIF($D$2:D3657,D3657)=1,SUMIF($D$2:$D$5001,D3657,$H$2:$H$5001)+ROW()/10000000,0))</f>
        <v>0</v>
      </c>
      <c r="Q3657" s="47" t="n">
        <f aca="false">IF(OR($A3657="",C3657=""),0,IF(COUNTIF($C$2:C3657,C3657)=1,SUMIF($C$2:$C$5001,C3657,$H$2:$H$5001)+ROW()/10000000,0))</f>
        <v>0</v>
      </c>
    </row>
    <row r="3658" customFormat="false" ht="15" hidden="false" customHeight="false" outlineLevel="0" collapsed="false">
      <c r="A3658" s="43"/>
      <c r="B3658" s="44"/>
      <c r="C3658" s="44"/>
      <c r="D3658" s="44"/>
      <c r="E3658" s="44"/>
      <c r="F3658" s="44"/>
      <c r="G3658" s="44"/>
      <c r="H3658" s="46" t="str">
        <f aca="false">IF($A3658="","",IF(OR(NOT(ISNUMBER(E3658)),NOT(ISNUMBER(F3658))),"",MAX(0,E3658)*F3658))</f>
        <v/>
      </c>
      <c r="I3658" s="46" t="str">
        <f aca="false">IF($A3658="","",SUMIF($A$2:$A$5001,$A3658,$H$2:$H$5001))</f>
        <v/>
      </c>
      <c r="J3658" s="47" t="n">
        <f aca="false">IF($A3658="",0,IF(COUNTIF($A$2:A3658,$A3658)=1,1,0))</f>
        <v>0</v>
      </c>
      <c r="K3658" s="47" t="n">
        <f aca="false">IF(J3658=1,N(I3658)+ROW()/10000000,0)</f>
        <v>0</v>
      </c>
      <c r="L3658" s="47" t="str">
        <f aca="false">IF(AND(J3658=1,N(I3658)&gt;0),SUMIF($K$2:$K$5001,"&gt;="&amp;K3658,$I$2:$I$5001)/MAX(1,SUM($H$2:$H$5001)),"")</f>
        <v/>
      </c>
      <c r="M3658" s="47" t="str">
        <f aca="false">IF($A3658="","",INDEX($L$2:$L$5001,MATCH($A3658,$A$2:$A$5001,0)))</f>
        <v/>
      </c>
      <c r="N3658" s="48" t="str">
        <f aca="false">IF($A3658="","",IF(N(M3658)=0,"–",IF(M3658&lt;=Start!$D$20,"A",IF(M3658&lt;=Start!$D$21,"B","C"))))</f>
        <v/>
      </c>
      <c r="O3658" s="48" t="str">
        <f aca="false">IF($A3658="","",IF(NOT(ISNUMBER(F3658)),"Wert fehlt; ",IF(F3658&lt;=0,"Wert ist 0; ",""))&amp;IF(NOT(ISNUMBER(E3658)),"Bestand fehlt; ",IF(E3658&lt;0,"Bestand negativ; ",IF(E3658=0,"Nullbestand; ","")))&amp;IF(D3658="","Warengruppe fehlt; ","")&amp;IF(B3658="","Bezeichnung fehlt; ","")&amp;IF(COUNTIFS($A$2:$A$5001,$A3658,$C$2:$C$5001,C3658)&gt;1,"Artikel doppelt im selben Lager; ",""))</f>
        <v/>
      </c>
      <c r="P3658" s="47" t="n">
        <f aca="false">IF(OR($A3658="",D3658=""),0,IF(COUNTIF($D$2:D3658,D3658)=1,SUMIF($D$2:$D$5001,D3658,$H$2:$H$5001)+ROW()/10000000,0))</f>
        <v>0</v>
      </c>
      <c r="Q3658" s="47" t="n">
        <f aca="false">IF(OR($A3658="",C3658=""),0,IF(COUNTIF($C$2:C3658,C3658)=1,SUMIF($C$2:$C$5001,C3658,$H$2:$H$5001)+ROW()/10000000,0))</f>
        <v>0</v>
      </c>
    </row>
    <row r="3659" customFormat="false" ht="15" hidden="false" customHeight="false" outlineLevel="0" collapsed="false">
      <c r="A3659" s="43"/>
      <c r="B3659" s="44"/>
      <c r="C3659" s="44"/>
      <c r="D3659" s="44"/>
      <c r="E3659" s="44"/>
      <c r="F3659" s="44"/>
      <c r="G3659" s="44"/>
      <c r="H3659" s="46" t="str">
        <f aca="false">IF($A3659="","",IF(OR(NOT(ISNUMBER(E3659)),NOT(ISNUMBER(F3659))),"",MAX(0,E3659)*F3659))</f>
        <v/>
      </c>
      <c r="I3659" s="46" t="str">
        <f aca="false">IF($A3659="","",SUMIF($A$2:$A$5001,$A3659,$H$2:$H$5001))</f>
        <v/>
      </c>
      <c r="J3659" s="47" t="n">
        <f aca="false">IF($A3659="",0,IF(COUNTIF($A$2:A3659,$A3659)=1,1,0))</f>
        <v>0</v>
      </c>
      <c r="K3659" s="47" t="n">
        <f aca="false">IF(J3659=1,N(I3659)+ROW()/10000000,0)</f>
        <v>0</v>
      </c>
      <c r="L3659" s="47" t="str">
        <f aca="false">IF(AND(J3659=1,N(I3659)&gt;0),SUMIF($K$2:$K$5001,"&gt;="&amp;K3659,$I$2:$I$5001)/MAX(1,SUM($H$2:$H$5001)),"")</f>
        <v/>
      </c>
      <c r="M3659" s="47" t="str">
        <f aca="false">IF($A3659="","",INDEX($L$2:$L$5001,MATCH($A3659,$A$2:$A$5001,0)))</f>
        <v/>
      </c>
      <c r="N3659" s="48" t="str">
        <f aca="false">IF($A3659="","",IF(N(M3659)=0,"–",IF(M3659&lt;=Start!$D$20,"A",IF(M3659&lt;=Start!$D$21,"B","C"))))</f>
        <v/>
      </c>
      <c r="O3659" s="48" t="str">
        <f aca="false">IF($A3659="","",IF(NOT(ISNUMBER(F3659)),"Wert fehlt; ",IF(F3659&lt;=0,"Wert ist 0; ",""))&amp;IF(NOT(ISNUMBER(E3659)),"Bestand fehlt; ",IF(E3659&lt;0,"Bestand negativ; ",IF(E3659=0,"Nullbestand; ","")))&amp;IF(D3659="","Warengruppe fehlt; ","")&amp;IF(B3659="","Bezeichnung fehlt; ","")&amp;IF(COUNTIFS($A$2:$A$5001,$A3659,$C$2:$C$5001,C3659)&gt;1,"Artikel doppelt im selben Lager; ",""))</f>
        <v/>
      </c>
      <c r="P3659" s="47" t="n">
        <f aca="false">IF(OR($A3659="",D3659=""),0,IF(COUNTIF($D$2:D3659,D3659)=1,SUMIF($D$2:$D$5001,D3659,$H$2:$H$5001)+ROW()/10000000,0))</f>
        <v>0</v>
      </c>
      <c r="Q3659" s="47" t="n">
        <f aca="false">IF(OR($A3659="",C3659=""),0,IF(COUNTIF($C$2:C3659,C3659)=1,SUMIF($C$2:$C$5001,C3659,$H$2:$H$5001)+ROW()/10000000,0))</f>
        <v>0</v>
      </c>
    </row>
    <row r="3660" customFormat="false" ht="15" hidden="false" customHeight="false" outlineLevel="0" collapsed="false">
      <c r="A3660" s="43"/>
      <c r="B3660" s="44"/>
      <c r="C3660" s="44"/>
      <c r="D3660" s="44"/>
      <c r="E3660" s="44"/>
      <c r="F3660" s="44"/>
      <c r="G3660" s="44"/>
      <c r="H3660" s="46" t="str">
        <f aca="false">IF($A3660="","",IF(OR(NOT(ISNUMBER(E3660)),NOT(ISNUMBER(F3660))),"",MAX(0,E3660)*F3660))</f>
        <v/>
      </c>
      <c r="I3660" s="46" t="str">
        <f aca="false">IF($A3660="","",SUMIF($A$2:$A$5001,$A3660,$H$2:$H$5001))</f>
        <v/>
      </c>
      <c r="J3660" s="47" t="n">
        <f aca="false">IF($A3660="",0,IF(COUNTIF($A$2:A3660,$A3660)=1,1,0))</f>
        <v>0</v>
      </c>
      <c r="K3660" s="47" t="n">
        <f aca="false">IF(J3660=1,N(I3660)+ROW()/10000000,0)</f>
        <v>0</v>
      </c>
      <c r="L3660" s="47" t="str">
        <f aca="false">IF(AND(J3660=1,N(I3660)&gt;0),SUMIF($K$2:$K$5001,"&gt;="&amp;K3660,$I$2:$I$5001)/MAX(1,SUM($H$2:$H$5001)),"")</f>
        <v/>
      </c>
      <c r="M3660" s="47" t="str">
        <f aca="false">IF($A3660="","",INDEX($L$2:$L$5001,MATCH($A3660,$A$2:$A$5001,0)))</f>
        <v/>
      </c>
      <c r="N3660" s="48" t="str">
        <f aca="false">IF($A3660="","",IF(N(M3660)=0,"–",IF(M3660&lt;=Start!$D$20,"A",IF(M3660&lt;=Start!$D$21,"B","C"))))</f>
        <v/>
      </c>
      <c r="O3660" s="48" t="str">
        <f aca="false">IF($A3660="","",IF(NOT(ISNUMBER(F3660)),"Wert fehlt; ",IF(F3660&lt;=0,"Wert ist 0; ",""))&amp;IF(NOT(ISNUMBER(E3660)),"Bestand fehlt; ",IF(E3660&lt;0,"Bestand negativ; ",IF(E3660=0,"Nullbestand; ","")))&amp;IF(D3660="","Warengruppe fehlt; ","")&amp;IF(B3660="","Bezeichnung fehlt; ","")&amp;IF(COUNTIFS($A$2:$A$5001,$A3660,$C$2:$C$5001,C3660)&gt;1,"Artikel doppelt im selben Lager; ",""))</f>
        <v/>
      </c>
      <c r="P3660" s="47" t="n">
        <f aca="false">IF(OR($A3660="",D3660=""),0,IF(COUNTIF($D$2:D3660,D3660)=1,SUMIF($D$2:$D$5001,D3660,$H$2:$H$5001)+ROW()/10000000,0))</f>
        <v>0</v>
      </c>
      <c r="Q3660" s="47" t="n">
        <f aca="false">IF(OR($A3660="",C3660=""),0,IF(COUNTIF($C$2:C3660,C3660)=1,SUMIF($C$2:$C$5001,C3660,$H$2:$H$5001)+ROW()/10000000,0))</f>
        <v>0</v>
      </c>
    </row>
    <row r="3661" customFormat="false" ht="15" hidden="false" customHeight="false" outlineLevel="0" collapsed="false">
      <c r="A3661" s="43"/>
      <c r="B3661" s="44"/>
      <c r="C3661" s="44"/>
      <c r="D3661" s="44"/>
      <c r="E3661" s="44"/>
      <c r="F3661" s="44"/>
      <c r="G3661" s="44"/>
      <c r="H3661" s="46" t="str">
        <f aca="false">IF($A3661="","",IF(OR(NOT(ISNUMBER(E3661)),NOT(ISNUMBER(F3661))),"",MAX(0,E3661)*F3661))</f>
        <v/>
      </c>
      <c r="I3661" s="46" t="str">
        <f aca="false">IF($A3661="","",SUMIF($A$2:$A$5001,$A3661,$H$2:$H$5001))</f>
        <v/>
      </c>
      <c r="J3661" s="47" t="n">
        <f aca="false">IF($A3661="",0,IF(COUNTIF($A$2:A3661,$A3661)=1,1,0))</f>
        <v>0</v>
      </c>
      <c r="K3661" s="47" t="n">
        <f aca="false">IF(J3661=1,N(I3661)+ROW()/10000000,0)</f>
        <v>0</v>
      </c>
      <c r="L3661" s="47" t="str">
        <f aca="false">IF(AND(J3661=1,N(I3661)&gt;0),SUMIF($K$2:$K$5001,"&gt;="&amp;K3661,$I$2:$I$5001)/MAX(1,SUM($H$2:$H$5001)),"")</f>
        <v/>
      </c>
      <c r="M3661" s="47" t="str">
        <f aca="false">IF($A3661="","",INDEX($L$2:$L$5001,MATCH($A3661,$A$2:$A$5001,0)))</f>
        <v/>
      </c>
      <c r="N3661" s="48" t="str">
        <f aca="false">IF($A3661="","",IF(N(M3661)=0,"–",IF(M3661&lt;=Start!$D$20,"A",IF(M3661&lt;=Start!$D$21,"B","C"))))</f>
        <v/>
      </c>
      <c r="O3661" s="48" t="str">
        <f aca="false">IF($A3661="","",IF(NOT(ISNUMBER(F3661)),"Wert fehlt; ",IF(F3661&lt;=0,"Wert ist 0; ",""))&amp;IF(NOT(ISNUMBER(E3661)),"Bestand fehlt; ",IF(E3661&lt;0,"Bestand negativ; ",IF(E3661=0,"Nullbestand; ","")))&amp;IF(D3661="","Warengruppe fehlt; ","")&amp;IF(B3661="","Bezeichnung fehlt; ","")&amp;IF(COUNTIFS($A$2:$A$5001,$A3661,$C$2:$C$5001,C3661)&gt;1,"Artikel doppelt im selben Lager; ",""))</f>
        <v/>
      </c>
      <c r="P3661" s="47" t="n">
        <f aca="false">IF(OR($A3661="",D3661=""),0,IF(COUNTIF($D$2:D3661,D3661)=1,SUMIF($D$2:$D$5001,D3661,$H$2:$H$5001)+ROW()/10000000,0))</f>
        <v>0</v>
      </c>
      <c r="Q3661" s="47" t="n">
        <f aca="false">IF(OR($A3661="",C3661=""),0,IF(COUNTIF($C$2:C3661,C3661)=1,SUMIF($C$2:$C$5001,C3661,$H$2:$H$5001)+ROW()/10000000,0))</f>
        <v>0</v>
      </c>
    </row>
    <row r="3662" customFormat="false" ht="15" hidden="false" customHeight="false" outlineLevel="0" collapsed="false">
      <c r="A3662" s="43"/>
      <c r="B3662" s="44"/>
      <c r="C3662" s="44"/>
      <c r="D3662" s="44"/>
      <c r="E3662" s="44"/>
      <c r="F3662" s="44"/>
      <c r="G3662" s="44"/>
      <c r="H3662" s="46" t="str">
        <f aca="false">IF($A3662="","",IF(OR(NOT(ISNUMBER(E3662)),NOT(ISNUMBER(F3662))),"",MAX(0,E3662)*F3662))</f>
        <v/>
      </c>
      <c r="I3662" s="46" t="str">
        <f aca="false">IF($A3662="","",SUMIF($A$2:$A$5001,$A3662,$H$2:$H$5001))</f>
        <v/>
      </c>
      <c r="J3662" s="47" t="n">
        <f aca="false">IF($A3662="",0,IF(COUNTIF($A$2:A3662,$A3662)=1,1,0))</f>
        <v>0</v>
      </c>
      <c r="K3662" s="47" t="n">
        <f aca="false">IF(J3662=1,N(I3662)+ROW()/10000000,0)</f>
        <v>0</v>
      </c>
      <c r="L3662" s="47" t="str">
        <f aca="false">IF(AND(J3662=1,N(I3662)&gt;0),SUMIF($K$2:$K$5001,"&gt;="&amp;K3662,$I$2:$I$5001)/MAX(1,SUM($H$2:$H$5001)),"")</f>
        <v/>
      </c>
      <c r="M3662" s="47" t="str">
        <f aca="false">IF($A3662="","",INDEX($L$2:$L$5001,MATCH($A3662,$A$2:$A$5001,0)))</f>
        <v/>
      </c>
      <c r="N3662" s="48" t="str">
        <f aca="false">IF($A3662="","",IF(N(M3662)=0,"–",IF(M3662&lt;=Start!$D$20,"A",IF(M3662&lt;=Start!$D$21,"B","C"))))</f>
        <v/>
      </c>
      <c r="O3662" s="48" t="str">
        <f aca="false">IF($A3662="","",IF(NOT(ISNUMBER(F3662)),"Wert fehlt; ",IF(F3662&lt;=0,"Wert ist 0; ",""))&amp;IF(NOT(ISNUMBER(E3662)),"Bestand fehlt; ",IF(E3662&lt;0,"Bestand negativ; ",IF(E3662=0,"Nullbestand; ","")))&amp;IF(D3662="","Warengruppe fehlt; ","")&amp;IF(B3662="","Bezeichnung fehlt; ","")&amp;IF(COUNTIFS($A$2:$A$5001,$A3662,$C$2:$C$5001,C3662)&gt;1,"Artikel doppelt im selben Lager; ",""))</f>
        <v/>
      </c>
      <c r="P3662" s="47" t="n">
        <f aca="false">IF(OR($A3662="",D3662=""),0,IF(COUNTIF($D$2:D3662,D3662)=1,SUMIF($D$2:$D$5001,D3662,$H$2:$H$5001)+ROW()/10000000,0))</f>
        <v>0</v>
      </c>
      <c r="Q3662" s="47" t="n">
        <f aca="false">IF(OR($A3662="",C3662=""),0,IF(COUNTIF($C$2:C3662,C3662)=1,SUMIF($C$2:$C$5001,C3662,$H$2:$H$5001)+ROW()/10000000,0))</f>
        <v>0</v>
      </c>
    </row>
    <row r="3663" customFormat="false" ht="15" hidden="false" customHeight="false" outlineLevel="0" collapsed="false">
      <c r="A3663" s="43"/>
      <c r="B3663" s="44"/>
      <c r="C3663" s="44"/>
      <c r="D3663" s="44"/>
      <c r="E3663" s="44"/>
      <c r="F3663" s="44"/>
      <c r="G3663" s="44"/>
      <c r="H3663" s="46" t="str">
        <f aca="false">IF($A3663="","",IF(OR(NOT(ISNUMBER(E3663)),NOT(ISNUMBER(F3663))),"",MAX(0,E3663)*F3663))</f>
        <v/>
      </c>
      <c r="I3663" s="46" t="str">
        <f aca="false">IF($A3663="","",SUMIF($A$2:$A$5001,$A3663,$H$2:$H$5001))</f>
        <v/>
      </c>
      <c r="J3663" s="47" t="n">
        <f aca="false">IF($A3663="",0,IF(COUNTIF($A$2:A3663,$A3663)=1,1,0))</f>
        <v>0</v>
      </c>
      <c r="K3663" s="47" t="n">
        <f aca="false">IF(J3663=1,N(I3663)+ROW()/10000000,0)</f>
        <v>0</v>
      </c>
      <c r="L3663" s="47" t="str">
        <f aca="false">IF(AND(J3663=1,N(I3663)&gt;0),SUMIF($K$2:$K$5001,"&gt;="&amp;K3663,$I$2:$I$5001)/MAX(1,SUM($H$2:$H$5001)),"")</f>
        <v/>
      </c>
      <c r="M3663" s="47" t="str">
        <f aca="false">IF($A3663="","",INDEX($L$2:$L$5001,MATCH($A3663,$A$2:$A$5001,0)))</f>
        <v/>
      </c>
      <c r="N3663" s="48" t="str">
        <f aca="false">IF($A3663="","",IF(N(M3663)=0,"–",IF(M3663&lt;=Start!$D$20,"A",IF(M3663&lt;=Start!$D$21,"B","C"))))</f>
        <v/>
      </c>
      <c r="O3663" s="48" t="str">
        <f aca="false">IF($A3663="","",IF(NOT(ISNUMBER(F3663)),"Wert fehlt; ",IF(F3663&lt;=0,"Wert ist 0; ",""))&amp;IF(NOT(ISNUMBER(E3663)),"Bestand fehlt; ",IF(E3663&lt;0,"Bestand negativ; ",IF(E3663=0,"Nullbestand; ","")))&amp;IF(D3663="","Warengruppe fehlt; ","")&amp;IF(B3663="","Bezeichnung fehlt; ","")&amp;IF(COUNTIFS($A$2:$A$5001,$A3663,$C$2:$C$5001,C3663)&gt;1,"Artikel doppelt im selben Lager; ",""))</f>
        <v/>
      </c>
      <c r="P3663" s="47" t="n">
        <f aca="false">IF(OR($A3663="",D3663=""),0,IF(COUNTIF($D$2:D3663,D3663)=1,SUMIF($D$2:$D$5001,D3663,$H$2:$H$5001)+ROW()/10000000,0))</f>
        <v>0</v>
      </c>
      <c r="Q3663" s="47" t="n">
        <f aca="false">IF(OR($A3663="",C3663=""),0,IF(COUNTIF($C$2:C3663,C3663)=1,SUMIF($C$2:$C$5001,C3663,$H$2:$H$5001)+ROW()/10000000,0))</f>
        <v>0</v>
      </c>
    </row>
    <row r="3664" customFormat="false" ht="15" hidden="false" customHeight="false" outlineLevel="0" collapsed="false">
      <c r="A3664" s="43"/>
      <c r="B3664" s="44"/>
      <c r="C3664" s="44"/>
      <c r="D3664" s="44"/>
      <c r="E3664" s="44"/>
      <c r="F3664" s="44"/>
      <c r="G3664" s="44"/>
      <c r="H3664" s="46" t="str">
        <f aca="false">IF($A3664="","",IF(OR(NOT(ISNUMBER(E3664)),NOT(ISNUMBER(F3664))),"",MAX(0,E3664)*F3664))</f>
        <v/>
      </c>
      <c r="I3664" s="46" t="str">
        <f aca="false">IF($A3664="","",SUMIF($A$2:$A$5001,$A3664,$H$2:$H$5001))</f>
        <v/>
      </c>
      <c r="J3664" s="47" t="n">
        <f aca="false">IF($A3664="",0,IF(COUNTIF($A$2:A3664,$A3664)=1,1,0))</f>
        <v>0</v>
      </c>
      <c r="K3664" s="47" t="n">
        <f aca="false">IF(J3664=1,N(I3664)+ROW()/10000000,0)</f>
        <v>0</v>
      </c>
      <c r="L3664" s="47" t="str">
        <f aca="false">IF(AND(J3664=1,N(I3664)&gt;0),SUMIF($K$2:$K$5001,"&gt;="&amp;K3664,$I$2:$I$5001)/MAX(1,SUM($H$2:$H$5001)),"")</f>
        <v/>
      </c>
      <c r="M3664" s="47" t="str">
        <f aca="false">IF($A3664="","",INDEX($L$2:$L$5001,MATCH($A3664,$A$2:$A$5001,0)))</f>
        <v/>
      </c>
      <c r="N3664" s="48" t="str">
        <f aca="false">IF($A3664="","",IF(N(M3664)=0,"–",IF(M3664&lt;=Start!$D$20,"A",IF(M3664&lt;=Start!$D$21,"B","C"))))</f>
        <v/>
      </c>
      <c r="O3664" s="48" t="str">
        <f aca="false">IF($A3664="","",IF(NOT(ISNUMBER(F3664)),"Wert fehlt; ",IF(F3664&lt;=0,"Wert ist 0; ",""))&amp;IF(NOT(ISNUMBER(E3664)),"Bestand fehlt; ",IF(E3664&lt;0,"Bestand negativ; ",IF(E3664=0,"Nullbestand; ","")))&amp;IF(D3664="","Warengruppe fehlt; ","")&amp;IF(B3664="","Bezeichnung fehlt; ","")&amp;IF(COUNTIFS($A$2:$A$5001,$A3664,$C$2:$C$5001,C3664)&gt;1,"Artikel doppelt im selben Lager; ",""))</f>
        <v/>
      </c>
      <c r="P3664" s="47" t="n">
        <f aca="false">IF(OR($A3664="",D3664=""),0,IF(COUNTIF($D$2:D3664,D3664)=1,SUMIF($D$2:$D$5001,D3664,$H$2:$H$5001)+ROW()/10000000,0))</f>
        <v>0</v>
      </c>
      <c r="Q3664" s="47" t="n">
        <f aca="false">IF(OR($A3664="",C3664=""),0,IF(COUNTIF($C$2:C3664,C3664)=1,SUMIF($C$2:$C$5001,C3664,$H$2:$H$5001)+ROW()/10000000,0))</f>
        <v>0</v>
      </c>
    </row>
    <row r="3665" customFormat="false" ht="15" hidden="false" customHeight="false" outlineLevel="0" collapsed="false">
      <c r="A3665" s="43"/>
      <c r="B3665" s="44"/>
      <c r="C3665" s="44"/>
      <c r="D3665" s="44"/>
      <c r="E3665" s="44"/>
      <c r="F3665" s="44"/>
      <c r="G3665" s="44"/>
      <c r="H3665" s="46" t="str">
        <f aca="false">IF($A3665="","",IF(OR(NOT(ISNUMBER(E3665)),NOT(ISNUMBER(F3665))),"",MAX(0,E3665)*F3665))</f>
        <v/>
      </c>
      <c r="I3665" s="46" t="str">
        <f aca="false">IF($A3665="","",SUMIF($A$2:$A$5001,$A3665,$H$2:$H$5001))</f>
        <v/>
      </c>
      <c r="J3665" s="47" t="n">
        <f aca="false">IF($A3665="",0,IF(COUNTIF($A$2:A3665,$A3665)=1,1,0))</f>
        <v>0</v>
      </c>
      <c r="K3665" s="47" t="n">
        <f aca="false">IF(J3665=1,N(I3665)+ROW()/10000000,0)</f>
        <v>0</v>
      </c>
      <c r="L3665" s="47" t="str">
        <f aca="false">IF(AND(J3665=1,N(I3665)&gt;0),SUMIF($K$2:$K$5001,"&gt;="&amp;K3665,$I$2:$I$5001)/MAX(1,SUM($H$2:$H$5001)),"")</f>
        <v/>
      </c>
      <c r="M3665" s="47" t="str">
        <f aca="false">IF($A3665="","",INDEX($L$2:$L$5001,MATCH($A3665,$A$2:$A$5001,0)))</f>
        <v/>
      </c>
      <c r="N3665" s="48" t="str">
        <f aca="false">IF($A3665="","",IF(N(M3665)=0,"–",IF(M3665&lt;=Start!$D$20,"A",IF(M3665&lt;=Start!$D$21,"B","C"))))</f>
        <v/>
      </c>
      <c r="O3665" s="48" t="str">
        <f aca="false">IF($A3665="","",IF(NOT(ISNUMBER(F3665)),"Wert fehlt; ",IF(F3665&lt;=0,"Wert ist 0; ",""))&amp;IF(NOT(ISNUMBER(E3665)),"Bestand fehlt; ",IF(E3665&lt;0,"Bestand negativ; ",IF(E3665=0,"Nullbestand; ","")))&amp;IF(D3665="","Warengruppe fehlt; ","")&amp;IF(B3665="","Bezeichnung fehlt; ","")&amp;IF(COUNTIFS($A$2:$A$5001,$A3665,$C$2:$C$5001,C3665)&gt;1,"Artikel doppelt im selben Lager; ",""))</f>
        <v/>
      </c>
      <c r="P3665" s="47" t="n">
        <f aca="false">IF(OR($A3665="",D3665=""),0,IF(COUNTIF($D$2:D3665,D3665)=1,SUMIF($D$2:$D$5001,D3665,$H$2:$H$5001)+ROW()/10000000,0))</f>
        <v>0</v>
      </c>
      <c r="Q3665" s="47" t="n">
        <f aca="false">IF(OR($A3665="",C3665=""),0,IF(COUNTIF($C$2:C3665,C3665)=1,SUMIF($C$2:$C$5001,C3665,$H$2:$H$5001)+ROW()/10000000,0))</f>
        <v>0</v>
      </c>
    </row>
    <row r="3666" customFormat="false" ht="15" hidden="false" customHeight="false" outlineLevel="0" collapsed="false">
      <c r="A3666" s="43"/>
      <c r="B3666" s="44"/>
      <c r="C3666" s="44"/>
      <c r="D3666" s="44"/>
      <c r="E3666" s="44"/>
      <c r="F3666" s="44"/>
      <c r="G3666" s="44"/>
      <c r="H3666" s="46" t="str">
        <f aca="false">IF($A3666="","",IF(OR(NOT(ISNUMBER(E3666)),NOT(ISNUMBER(F3666))),"",MAX(0,E3666)*F3666))</f>
        <v/>
      </c>
      <c r="I3666" s="46" t="str">
        <f aca="false">IF($A3666="","",SUMIF($A$2:$A$5001,$A3666,$H$2:$H$5001))</f>
        <v/>
      </c>
      <c r="J3666" s="47" t="n">
        <f aca="false">IF($A3666="",0,IF(COUNTIF($A$2:A3666,$A3666)=1,1,0))</f>
        <v>0</v>
      </c>
      <c r="K3666" s="47" t="n">
        <f aca="false">IF(J3666=1,N(I3666)+ROW()/10000000,0)</f>
        <v>0</v>
      </c>
      <c r="L3666" s="47" t="str">
        <f aca="false">IF(AND(J3666=1,N(I3666)&gt;0),SUMIF($K$2:$K$5001,"&gt;="&amp;K3666,$I$2:$I$5001)/MAX(1,SUM($H$2:$H$5001)),"")</f>
        <v/>
      </c>
      <c r="M3666" s="47" t="str">
        <f aca="false">IF($A3666="","",INDEX($L$2:$L$5001,MATCH($A3666,$A$2:$A$5001,0)))</f>
        <v/>
      </c>
      <c r="N3666" s="48" t="str">
        <f aca="false">IF($A3666="","",IF(N(M3666)=0,"–",IF(M3666&lt;=Start!$D$20,"A",IF(M3666&lt;=Start!$D$21,"B","C"))))</f>
        <v/>
      </c>
      <c r="O3666" s="48" t="str">
        <f aca="false">IF($A3666="","",IF(NOT(ISNUMBER(F3666)),"Wert fehlt; ",IF(F3666&lt;=0,"Wert ist 0; ",""))&amp;IF(NOT(ISNUMBER(E3666)),"Bestand fehlt; ",IF(E3666&lt;0,"Bestand negativ; ",IF(E3666=0,"Nullbestand; ","")))&amp;IF(D3666="","Warengruppe fehlt; ","")&amp;IF(B3666="","Bezeichnung fehlt; ","")&amp;IF(COUNTIFS($A$2:$A$5001,$A3666,$C$2:$C$5001,C3666)&gt;1,"Artikel doppelt im selben Lager; ",""))</f>
        <v/>
      </c>
      <c r="P3666" s="47" t="n">
        <f aca="false">IF(OR($A3666="",D3666=""),0,IF(COUNTIF($D$2:D3666,D3666)=1,SUMIF($D$2:$D$5001,D3666,$H$2:$H$5001)+ROW()/10000000,0))</f>
        <v>0</v>
      </c>
      <c r="Q3666" s="47" t="n">
        <f aca="false">IF(OR($A3666="",C3666=""),0,IF(COUNTIF($C$2:C3666,C3666)=1,SUMIF($C$2:$C$5001,C3666,$H$2:$H$5001)+ROW()/10000000,0))</f>
        <v>0</v>
      </c>
    </row>
    <row r="3667" customFormat="false" ht="15" hidden="false" customHeight="false" outlineLevel="0" collapsed="false">
      <c r="A3667" s="43"/>
      <c r="B3667" s="44"/>
      <c r="C3667" s="44"/>
      <c r="D3667" s="44"/>
      <c r="E3667" s="44"/>
      <c r="F3667" s="44"/>
      <c r="G3667" s="44"/>
      <c r="H3667" s="46" t="str">
        <f aca="false">IF($A3667="","",IF(OR(NOT(ISNUMBER(E3667)),NOT(ISNUMBER(F3667))),"",MAX(0,E3667)*F3667))</f>
        <v/>
      </c>
      <c r="I3667" s="46" t="str">
        <f aca="false">IF($A3667="","",SUMIF($A$2:$A$5001,$A3667,$H$2:$H$5001))</f>
        <v/>
      </c>
      <c r="J3667" s="47" t="n">
        <f aca="false">IF($A3667="",0,IF(COUNTIF($A$2:A3667,$A3667)=1,1,0))</f>
        <v>0</v>
      </c>
      <c r="K3667" s="47" t="n">
        <f aca="false">IF(J3667=1,N(I3667)+ROW()/10000000,0)</f>
        <v>0</v>
      </c>
      <c r="L3667" s="47" t="str">
        <f aca="false">IF(AND(J3667=1,N(I3667)&gt;0),SUMIF($K$2:$K$5001,"&gt;="&amp;K3667,$I$2:$I$5001)/MAX(1,SUM($H$2:$H$5001)),"")</f>
        <v/>
      </c>
      <c r="M3667" s="47" t="str">
        <f aca="false">IF($A3667="","",INDEX($L$2:$L$5001,MATCH($A3667,$A$2:$A$5001,0)))</f>
        <v/>
      </c>
      <c r="N3667" s="48" t="str">
        <f aca="false">IF($A3667="","",IF(N(M3667)=0,"–",IF(M3667&lt;=Start!$D$20,"A",IF(M3667&lt;=Start!$D$21,"B","C"))))</f>
        <v/>
      </c>
      <c r="O3667" s="48" t="str">
        <f aca="false">IF($A3667="","",IF(NOT(ISNUMBER(F3667)),"Wert fehlt; ",IF(F3667&lt;=0,"Wert ist 0; ",""))&amp;IF(NOT(ISNUMBER(E3667)),"Bestand fehlt; ",IF(E3667&lt;0,"Bestand negativ; ",IF(E3667=0,"Nullbestand; ","")))&amp;IF(D3667="","Warengruppe fehlt; ","")&amp;IF(B3667="","Bezeichnung fehlt; ","")&amp;IF(COUNTIFS($A$2:$A$5001,$A3667,$C$2:$C$5001,C3667)&gt;1,"Artikel doppelt im selben Lager; ",""))</f>
        <v/>
      </c>
      <c r="P3667" s="47" t="n">
        <f aca="false">IF(OR($A3667="",D3667=""),0,IF(COUNTIF($D$2:D3667,D3667)=1,SUMIF($D$2:$D$5001,D3667,$H$2:$H$5001)+ROW()/10000000,0))</f>
        <v>0</v>
      </c>
      <c r="Q3667" s="47" t="n">
        <f aca="false">IF(OR($A3667="",C3667=""),0,IF(COUNTIF($C$2:C3667,C3667)=1,SUMIF($C$2:$C$5001,C3667,$H$2:$H$5001)+ROW()/10000000,0))</f>
        <v>0</v>
      </c>
    </row>
    <row r="3668" customFormat="false" ht="15" hidden="false" customHeight="false" outlineLevel="0" collapsed="false">
      <c r="A3668" s="43"/>
      <c r="B3668" s="44"/>
      <c r="C3668" s="44"/>
      <c r="D3668" s="44"/>
      <c r="E3668" s="44"/>
      <c r="F3668" s="44"/>
      <c r="G3668" s="44"/>
      <c r="H3668" s="46" t="str">
        <f aca="false">IF($A3668="","",IF(OR(NOT(ISNUMBER(E3668)),NOT(ISNUMBER(F3668))),"",MAX(0,E3668)*F3668))</f>
        <v/>
      </c>
      <c r="I3668" s="46" t="str">
        <f aca="false">IF($A3668="","",SUMIF($A$2:$A$5001,$A3668,$H$2:$H$5001))</f>
        <v/>
      </c>
      <c r="J3668" s="47" t="n">
        <f aca="false">IF($A3668="",0,IF(COUNTIF($A$2:A3668,$A3668)=1,1,0))</f>
        <v>0</v>
      </c>
      <c r="K3668" s="47" t="n">
        <f aca="false">IF(J3668=1,N(I3668)+ROW()/10000000,0)</f>
        <v>0</v>
      </c>
      <c r="L3668" s="47" t="str">
        <f aca="false">IF(AND(J3668=1,N(I3668)&gt;0),SUMIF($K$2:$K$5001,"&gt;="&amp;K3668,$I$2:$I$5001)/MAX(1,SUM($H$2:$H$5001)),"")</f>
        <v/>
      </c>
      <c r="M3668" s="47" t="str">
        <f aca="false">IF($A3668="","",INDEX($L$2:$L$5001,MATCH($A3668,$A$2:$A$5001,0)))</f>
        <v/>
      </c>
      <c r="N3668" s="48" t="str">
        <f aca="false">IF($A3668="","",IF(N(M3668)=0,"–",IF(M3668&lt;=Start!$D$20,"A",IF(M3668&lt;=Start!$D$21,"B","C"))))</f>
        <v/>
      </c>
      <c r="O3668" s="48" t="str">
        <f aca="false">IF($A3668="","",IF(NOT(ISNUMBER(F3668)),"Wert fehlt; ",IF(F3668&lt;=0,"Wert ist 0; ",""))&amp;IF(NOT(ISNUMBER(E3668)),"Bestand fehlt; ",IF(E3668&lt;0,"Bestand negativ; ",IF(E3668=0,"Nullbestand; ","")))&amp;IF(D3668="","Warengruppe fehlt; ","")&amp;IF(B3668="","Bezeichnung fehlt; ","")&amp;IF(COUNTIFS($A$2:$A$5001,$A3668,$C$2:$C$5001,C3668)&gt;1,"Artikel doppelt im selben Lager; ",""))</f>
        <v/>
      </c>
      <c r="P3668" s="47" t="n">
        <f aca="false">IF(OR($A3668="",D3668=""),0,IF(COUNTIF($D$2:D3668,D3668)=1,SUMIF($D$2:$D$5001,D3668,$H$2:$H$5001)+ROW()/10000000,0))</f>
        <v>0</v>
      </c>
      <c r="Q3668" s="47" t="n">
        <f aca="false">IF(OR($A3668="",C3668=""),0,IF(COUNTIF($C$2:C3668,C3668)=1,SUMIF($C$2:$C$5001,C3668,$H$2:$H$5001)+ROW()/10000000,0))</f>
        <v>0</v>
      </c>
    </row>
    <row r="3669" customFormat="false" ht="15" hidden="false" customHeight="false" outlineLevel="0" collapsed="false">
      <c r="A3669" s="43"/>
      <c r="B3669" s="44"/>
      <c r="C3669" s="44"/>
      <c r="D3669" s="44"/>
      <c r="E3669" s="44"/>
      <c r="F3669" s="44"/>
      <c r="G3669" s="44"/>
      <c r="H3669" s="46" t="str">
        <f aca="false">IF($A3669="","",IF(OR(NOT(ISNUMBER(E3669)),NOT(ISNUMBER(F3669))),"",MAX(0,E3669)*F3669))</f>
        <v/>
      </c>
      <c r="I3669" s="46" t="str">
        <f aca="false">IF($A3669="","",SUMIF($A$2:$A$5001,$A3669,$H$2:$H$5001))</f>
        <v/>
      </c>
      <c r="J3669" s="47" t="n">
        <f aca="false">IF($A3669="",0,IF(COUNTIF($A$2:A3669,$A3669)=1,1,0))</f>
        <v>0</v>
      </c>
      <c r="K3669" s="47" t="n">
        <f aca="false">IF(J3669=1,N(I3669)+ROW()/10000000,0)</f>
        <v>0</v>
      </c>
      <c r="L3669" s="47" t="str">
        <f aca="false">IF(AND(J3669=1,N(I3669)&gt;0),SUMIF($K$2:$K$5001,"&gt;="&amp;K3669,$I$2:$I$5001)/MAX(1,SUM($H$2:$H$5001)),"")</f>
        <v/>
      </c>
      <c r="M3669" s="47" t="str">
        <f aca="false">IF($A3669="","",INDEX($L$2:$L$5001,MATCH($A3669,$A$2:$A$5001,0)))</f>
        <v/>
      </c>
      <c r="N3669" s="48" t="str">
        <f aca="false">IF($A3669="","",IF(N(M3669)=0,"–",IF(M3669&lt;=Start!$D$20,"A",IF(M3669&lt;=Start!$D$21,"B","C"))))</f>
        <v/>
      </c>
      <c r="O3669" s="48" t="str">
        <f aca="false">IF($A3669="","",IF(NOT(ISNUMBER(F3669)),"Wert fehlt; ",IF(F3669&lt;=0,"Wert ist 0; ",""))&amp;IF(NOT(ISNUMBER(E3669)),"Bestand fehlt; ",IF(E3669&lt;0,"Bestand negativ; ",IF(E3669=0,"Nullbestand; ","")))&amp;IF(D3669="","Warengruppe fehlt; ","")&amp;IF(B3669="","Bezeichnung fehlt; ","")&amp;IF(COUNTIFS($A$2:$A$5001,$A3669,$C$2:$C$5001,C3669)&gt;1,"Artikel doppelt im selben Lager; ",""))</f>
        <v/>
      </c>
      <c r="P3669" s="47" t="n">
        <f aca="false">IF(OR($A3669="",D3669=""),0,IF(COUNTIF($D$2:D3669,D3669)=1,SUMIF($D$2:$D$5001,D3669,$H$2:$H$5001)+ROW()/10000000,0))</f>
        <v>0</v>
      </c>
      <c r="Q3669" s="47" t="n">
        <f aca="false">IF(OR($A3669="",C3669=""),0,IF(COUNTIF($C$2:C3669,C3669)=1,SUMIF($C$2:$C$5001,C3669,$H$2:$H$5001)+ROW()/10000000,0))</f>
        <v>0</v>
      </c>
    </row>
    <row r="3670" customFormat="false" ht="15" hidden="false" customHeight="false" outlineLevel="0" collapsed="false">
      <c r="A3670" s="43"/>
      <c r="B3670" s="44"/>
      <c r="C3670" s="44"/>
      <c r="D3670" s="44"/>
      <c r="E3670" s="44"/>
      <c r="F3670" s="44"/>
      <c r="G3670" s="44"/>
      <c r="H3670" s="46" t="str">
        <f aca="false">IF($A3670="","",IF(OR(NOT(ISNUMBER(E3670)),NOT(ISNUMBER(F3670))),"",MAX(0,E3670)*F3670))</f>
        <v/>
      </c>
      <c r="I3670" s="46" t="str">
        <f aca="false">IF($A3670="","",SUMIF($A$2:$A$5001,$A3670,$H$2:$H$5001))</f>
        <v/>
      </c>
      <c r="J3670" s="47" t="n">
        <f aca="false">IF($A3670="",0,IF(COUNTIF($A$2:A3670,$A3670)=1,1,0))</f>
        <v>0</v>
      </c>
      <c r="K3670" s="47" t="n">
        <f aca="false">IF(J3670=1,N(I3670)+ROW()/10000000,0)</f>
        <v>0</v>
      </c>
      <c r="L3670" s="47" t="str">
        <f aca="false">IF(AND(J3670=1,N(I3670)&gt;0),SUMIF($K$2:$K$5001,"&gt;="&amp;K3670,$I$2:$I$5001)/MAX(1,SUM($H$2:$H$5001)),"")</f>
        <v/>
      </c>
      <c r="M3670" s="47" t="str">
        <f aca="false">IF($A3670="","",INDEX($L$2:$L$5001,MATCH($A3670,$A$2:$A$5001,0)))</f>
        <v/>
      </c>
      <c r="N3670" s="48" t="str">
        <f aca="false">IF($A3670="","",IF(N(M3670)=0,"–",IF(M3670&lt;=Start!$D$20,"A",IF(M3670&lt;=Start!$D$21,"B","C"))))</f>
        <v/>
      </c>
      <c r="O3670" s="48" t="str">
        <f aca="false">IF($A3670="","",IF(NOT(ISNUMBER(F3670)),"Wert fehlt; ",IF(F3670&lt;=0,"Wert ist 0; ",""))&amp;IF(NOT(ISNUMBER(E3670)),"Bestand fehlt; ",IF(E3670&lt;0,"Bestand negativ; ",IF(E3670=0,"Nullbestand; ","")))&amp;IF(D3670="","Warengruppe fehlt; ","")&amp;IF(B3670="","Bezeichnung fehlt; ","")&amp;IF(COUNTIFS($A$2:$A$5001,$A3670,$C$2:$C$5001,C3670)&gt;1,"Artikel doppelt im selben Lager; ",""))</f>
        <v/>
      </c>
      <c r="P3670" s="47" t="n">
        <f aca="false">IF(OR($A3670="",D3670=""),0,IF(COUNTIF($D$2:D3670,D3670)=1,SUMIF($D$2:$D$5001,D3670,$H$2:$H$5001)+ROW()/10000000,0))</f>
        <v>0</v>
      </c>
      <c r="Q3670" s="47" t="n">
        <f aca="false">IF(OR($A3670="",C3670=""),0,IF(COUNTIF($C$2:C3670,C3670)=1,SUMIF($C$2:$C$5001,C3670,$H$2:$H$5001)+ROW()/10000000,0))</f>
        <v>0</v>
      </c>
    </row>
    <row r="3671" customFormat="false" ht="15" hidden="false" customHeight="false" outlineLevel="0" collapsed="false">
      <c r="A3671" s="43"/>
      <c r="B3671" s="44"/>
      <c r="C3671" s="44"/>
      <c r="D3671" s="44"/>
      <c r="E3671" s="44"/>
      <c r="F3671" s="44"/>
      <c r="G3671" s="44"/>
      <c r="H3671" s="46" t="str">
        <f aca="false">IF($A3671="","",IF(OR(NOT(ISNUMBER(E3671)),NOT(ISNUMBER(F3671))),"",MAX(0,E3671)*F3671))</f>
        <v/>
      </c>
      <c r="I3671" s="46" t="str">
        <f aca="false">IF($A3671="","",SUMIF($A$2:$A$5001,$A3671,$H$2:$H$5001))</f>
        <v/>
      </c>
      <c r="J3671" s="47" t="n">
        <f aca="false">IF($A3671="",0,IF(COUNTIF($A$2:A3671,$A3671)=1,1,0))</f>
        <v>0</v>
      </c>
      <c r="K3671" s="47" t="n">
        <f aca="false">IF(J3671=1,N(I3671)+ROW()/10000000,0)</f>
        <v>0</v>
      </c>
      <c r="L3671" s="47" t="str">
        <f aca="false">IF(AND(J3671=1,N(I3671)&gt;0),SUMIF($K$2:$K$5001,"&gt;="&amp;K3671,$I$2:$I$5001)/MAX(1,SUM($H$2:$H$5001)),"")</f>
        <v/>
      </c>
      <c r="M3671" s="47" t="str">
        <f aca="false">IF($A3671="","",INDEX($L$2:$L$5001,MATCH($A3671,$A$2:$A$5001,0)))</f>
        <v/>
      </c>
      <c r="N3671" s="48" t="str">
        <f aca="false">IF($A3671="","",IF(N(M3671)=0,"–",IF(M3671&lt;=Start!$D$20,"A",IF(M3671&lt;=Start!$D$21,"B","C"))))</f>
        <v/>
      </c>
      <c r="O3671" s="48" t="str">
        <f aca="false">IF($A3671="","",IF(NOT(ISNUMBER(F3671)),"Wert fehlt; ",IF(F3671&lt;=0,"Wert ist 0; ",""))&amp;IF(NOT(ISNUMBER(E3671)),"Bestand fehlt; ",IF(E3671&lt;0,"Bestand negativ; ",IF(E3671=0,"Nullbestand; ","")))&amp;IF(D3671="","Warengruppe fehlt; ","")&amp;IF(B3671="","Bezeichnung fehlt; ","")&amp;IF(COUNTIFS($A$2:$A$5001,$A3671,$C$2:$C$5001,C3671)&gt;1,"Artikel doppelt im selben Lager; ",""))</f>
        <v/>
      </c>
      <c r="P3671" s="47" t="n">
        <f aca="false">IF(OR($A3671="",D3671=""),0,IF(COUNTIF($D$2:D3671,D3671)=1,SUMIF($D$2:$D$5001,D3671,$H$2:$H$5001)+ROW()/10000000,0))</f>
        <v>0</v>
      </c>
      <c r="Q3671" s="47" t="n">
        <f aca="false">IF(OR($A3671="",C3671=""),0,IF(COUNTIF($C$2:C3671,C3671)=1,SUMIF($C$2:$C$5001,C3671,$H$2:$H$5001)+ROW()/10000000,0))</f>
        <v>0</v>
      </c>
    </row>
    <row r="3672" customFormat="false" ht="15" hidden="false" customHeight="false" outlineLevel="0" collapsed="false">
      <c r="A3672" s="43"/>
      <c r="B3672" s="44"/>
      <c r="C3672" s="44"/>
      <c r="D3672" s="44"/>
      <c r="E3672" s="44"/>
      <c r="F3672" s="44"/>
      <c r="G3672" s="44"/>
      <c r="H3672" s="46" t="str">
        <f aca="false">IF($A3672="","",IF(OR(NOT(ISNUMBER(E3672)),NOT(ISNUMBER(F3672))),"",MAX(0,E3672)*F3672))</f>
        <v/>
      </c>
      <c r="I3672" s="46" t="str">
        <f aca="false">IF($A3672="","",SUMIF($A$2:$A$5001,$A3672,$H$2:$H$5001))</f>
        <v/>
      </c>
      <c r="J3672" s="47" t="n">
        <f aca="false">IF($A3672="",0,IF(COUNTIF($A$2:A3672,$A3672)=1,1,0))</f>
        <v>0</v>
      </c>
      <c r="K3672" s="47" t="n">
        <f aca="false">IF(J3672=1,N(I3672)+ROW()/10000000,0)</f>
        <v>0</v>
      </c>
      <c r="L3672" s="47" t="str">
        <f aca="false">IF(AND(J3672=1,N(I3672)&gt;0),SUMIF($K$2:$K$5001,"&gt;="&amp;K3672,$I$2:$I$5001)/MAX(1,SUM($H$2:$H$5001)),"")</f>
        <v/>
      </c>
      <c r="M3672" s="47" t="str">
        <f aca="false">IF($A3672="","",INDEX($L$2:$L$5001,MATCH($A3672,$A$2:$A$5001,0)))</f>
        <v/>
      </c>
      <c r="N3672" s="48" t="str">
        <f aca="false">IF($A3672="","",IF(N(M3672)=0,"–",IF(M3672&lt;=Start!$D$20,"A",IF(M3672&lt;=Start!$D$21,"B","C"))))</f>
        <v/>
      </c>
      <c r="O3672" s="48" t="str">
        <f aca="false">IF($A3672="","",IF(NOT(ISNUMBER(F3672)),"Wert fehlt; ",IF(F3672&lt;=0,"Wert ist 0; ",""))&amp;IF(NOT(ISNUMBER(E3672)),"Bestand fehlt; ",IF(E3672&lt;0,"Bestand negativ; ",IF(E3672=0,"Nullbestand; ","")))&amp;IF(D3672="","Warengruppe fehlt; ","")&amp;IF(B3672="","Bezeichnung fehlt; ","")&amp;IF(COUNTIFS($A$2:$A$5001,$A3672,$C$2:$C$5001,C3672)&gt;1,"Artikel doppelt im selben Lager; ",""))</f>
        <v/>
      </c>
      <c r="P3672" s="47" t="n">
        <f aca="false">IF(OR($A3672="",D3672=""),0,IF(COUNTIF($D$2:D3672,D3672)=1,SUMIF($D$2:$D$5001,D3672,$H$2:$H$5001)+ROW()/10000000,0))</f>
        <v>0</v>
      </c>
      <c r="Q3672" s="47" t="n">
        <f aca="false">IF(OR($A3672="",C3672=""),0,IF(COUNTIF($C$2:C3672,C3672)=1,SUMIF($C$2:$C$5001,C3672,$H$2:$H$5001)+ROW()/10000000,0))</f>
        <v>0</v>
      </c>
    </row>
    <row r="3673" customFormat="false" ht="15" hidden="false" customHeight="false" outlineLevel="0" collapsed="false">
      <c r="A3673" s="43"/>
      <c r="B3673" s="44"/>
      <c r="C3673" s="44"/>
      <c r="D3673" s="44"/>
      <c r="E3673" s="44"/>
      <c r="F3673" s="44"/>
      <c r="G3673" s="44"/>
      <c r="H3673" s="46" t="str">
        <f aca="false">IF($A3673="","",IF(OR(NOT(ISNUMBER(E3673)),NOT(ISNUMBER(F3673))),"",MAX(0,E3673)*F3673))</f>
        <v/>
      </c>
      <c r="I3673" s="46" t="str">
        <f aca="false">IF($A3673="","",SUMIF($A$2:$A$5001,$A3673,$H$2:$H$5001))</f>
        <v/>
      </c>
      <c r="J3673" s="47" t="n">
        <f aca="false">IF($A3673="",0,IF(COUNTIF($A$2:A3673,$A3673)=1,1,0))</f>
        <v>0</v>
      </c>
      <c r="K3673" s="47" t="n">
        <f aca="false">IF(J3673=1,N(I3673)+ROW()/10000000,0)</f>
        <v>0</v>
      </c>
      <c r="L3673" s="47" t="str">
        <f aca="false">IF(AND(J3673=1,N(I3673)&gt;0),SUMIF($K$2:$K$5001,"&gt;="&amp;K3673,$I$2:$I$5001)/MAX(1,SUM($H$2:$H$5001)),"")</f>
        <v/>
      </c>
      <c r="M3673" s="47" t="str">
        <f aca="false">IF($A3673="","",INDEX($L$2:$L$5001,MATCH($A3673,$A$2:$A$5001,0)))</f>
        <v/>
      </c>
      <c r="N3673" s="48" t="str">
        <f aca="false">IF($A3673="","",IF(N(M3673)=0,"–",IF(M3673&lt;=Start!$D$20,"A",IF(M3673&lt;=Start!$D$21,"B","C"))))</f>
        <v/>
      </c>
      <c r="O3673" s="48" t="str">
        <f aca="false">IF($A3673="","",IF(NOT(ISNUMBER(F3673)),"Wert fehlt; ",IF(F3673&lt;=0,"Wert ist 0; ",""))&amp;IF(NOT(ISNUMBER(E3673)),"Bestand fehlt; ",IF(E3673&lt;0,"Bestand negativ; ",IF(E3673=0,"Nullbestand; ","")))&amp;IF(D3673="","Warengruppe fehlt; ","")&amp;IF(B3673="","Bezeichnung fehlt; ","")&amp;IF(COUNTIFS($A$2:$A$5001,$A3673,$C$2:$C$5001,C3673)&gt;1,"Artikel doppelt im selben Lager; ",""))</f>
        <v/>
      </c>
      <c r="P3673" s="47" t="n">
        <f aca="false">IF(OR($A3673="",D3673=""),0,IF(COUNTIF($D$2:D3673,D3673)=1,SUMIF($D$2:$D$5001,D3673,$H$2:$H$5001)+ROW()/10000000,0))</f>
        <v>0</v>
      </c>
      <c r="Q3673" s="47" t="n">
        <f aca="false">IF(OR($A3673="",C3673=""),0,IF(COUNTIF($C$2:C3673,C3673)=1,SUMIF($C$2:$C$5001,C3673,$H$2:$H$5001)+ROW()/10000000,0))</f>
        <v>0</v>
      </c>
    </row>
    <row r="3674" customFormat="false" ht="15" hidden="false" customHeight="false" outlineLevel="0" collapsed="false">
      <c r="A3674" s="43"/>
      <c r="B3674" s="44"/>
      <c r="C3674" s="44"/>
      <c r="D3674" s="44"/>
      <c r="E3674" s="44"/>
      <c r="F3674" s="44"/>
      <c r="G3674" s="44"/>
      <c r="H3674" s="46" t="str">
        <f aca="false">IF($A3674="","",IF(OR(NOT(ISNUMBER(E3674)),NOT(ISNUMBER(F3674))),"",MAX(0,E3674)*F3674))</f>
        <v/>
      </c>
      <c r="I3674" s="46" t="str">
        <f aca="false">IF($A3674="","",SUMIF($A$2:$A$5001,$A3674,$H$2:$H$5001))</f>
        <v/>
      </c>
      <c r="J3674" s="47" t="n">
        <f aca="false">IF($A3674="",0,IF(COUNTIF($A$2:A3674,$A3674)=1,1,0))</f>
        <v>0</v>
      </c>
      <c r="K3674" s="47" t="n">
        <f aca="false">IF(J3674=1,N(I3674)+ROW()/10000000,0)</f>
        <v>0</v>
      </c>
      <c r="L3674" s="47" t="str">
        <f aca="false">IF(AND(J3674=1,N(I3674)&gt;0),SUMIF($K$2:$K$5001,"&gt;="&amp;K3674,$I$2:$I$5001)/MAX(1,SUM($H$2:$H$5001)),"")</f>
        <v/>
      </c>
      <c r="M3674" s="47" t="str">
        <f aca="false">IF($A3674="","",INDEX($L$2:$L$5001,MATCH($A3674,$A$2:$A$5001,0)))</f>
        <v/>
      </c>
      <c r="N3674" s="48" t="str">
        <f aca="false">IF($A3674="","",IF(N(M3674)=0,"–",IF(M3674&lt;=Start!$D$20,"A",IF(M3674&lt;=Start!$D$21,"B","C"))))</f>
        <v/>
      </c>
      <c r="O3674" s="48" t="str">
        <f aca="false">IF($A3674="","",IF(NOT(ISNUMBER(F3674)),"Wert fehlt; ",IF(F3674&lt;=0,"Wert ist 0; ",""))&amp;IF(NOT(ISNUMBER(E3674)),"Bestand fehlt; ",IF(E3674&lt;0,"Bestand negativ; ",IF(E3674=0,"Nullbestand; ","")))&amp;IF(D3674="","Warengruppe fehlt; ","")&amp;IF(B3674="","Bezeichnung fehlt; ","")&amp;IF(COUNTIFS($A$2:$A$5001,$A3674,$C$2:$C$5001,C3674)&gt;1,"Artikel doppelt im selben Lager; ",""))</f>
        <v/>
      </c>
      <c r="P3674" s="47" t="n">
        <f aca="false">IF(OR($A3674="",D3674=""),0,IF(COUNTIF($D$2:D3674,D3674)=1,SUMIF($D$2:$D$5001,D3674,$H$2:$H$5001)+ROW()/10000000,0))</f>
        <v>0</v>
      </c>
      <c r="Q3674" s="47" t="n">
        <f aca="false">IF(OR($A3674="",C3674=""),0,IF(COUNTIF($C$2:C3674,C3674)=1,SUMIF($C$2:$C$5001,C3674,$H$2:$H$5001)+ROW()/10000000,0))</f>
        <v>0</v>
      </c>
    </row>
    <row r="3675" customFormat="false" ht="15" hidden="false" customHeight="false" outlineLevel="0" collapsed="false">
      <c r="A3675" s="43"/>
      <c r="B3675" s="44"/>
      <c r="C3675" s="44"/>
      <c r="D3675" s="44"/>
      <c r="E3675" s="44"/>
      <c r="F3675" s="44"/>
      <c r="G3675" s="44"/>
      <c r="H3675" s="46" t="str">
        <f aca="false">IF($A3675="","",IF(OR(NOT(ISNUMBER(E3675)),NOT(ISNUMBER(F3675))),"",MAX(0,E3675)*F3675))</f>
        <v/>
      </c>
      <c r="I3675" s="46" t="str">
        <f aca="false">IF($A3675="","",SUMIF($A$2:$A$5001,$A3675,$H$2:$H$5001))</f>
        <v/>
      </c>
      <c r="J3675" s="47" t="n">
        <f aca="false">IF($A3675="",0,IF(COUNTIF($A$2:A3675,$A3675)=1,1,0))</f>
        <v>0</v>
      </c>
      <c r="K3675" s="47" t="n">
        <f aca="false">IF(J3675=1,N(I3675)+ROW()/10000000,0)</f>
        <v>0</v>
      </c>
      <c r="L3675" s="47" t="str">
        <f aca="false">IF(AND(J3675=1,N(I3675)&gt;0),SUMIF($K$2:$K$5001,"&gt;="&amp;K3675,$I$2:$I$5001)/MAX(1,SUM($H$2:$H$5001)),"")</f>
        <v/>
      </c>
      <c r="M3675" s="47" t="str">
        <f aca="false">IF($A3675="","",INDEX($L$2:$L$5001,MATCH($A3675,$A$2:$A$5001,0)))</f>
        <v/>
      </c>
      <c r="N3675" s="48" t="str">
        <f aca="false">IF($A3675="","",IF(N(M3675)=0,"–",IF(M3675&lt;=Start!$D$20,"A",IF(M3675&lt;=Start!$D$21,"B","C"))))</f>
        <v/>
      </c>
      <c r="O3675" s="48" t="str">
        <f aca="false">IF($A3675="","",IF(NOT(ISNUMBER(F3675)),"Wert fehlt; ",IF(F3675&lt;=0,"Wert ist 0; ",""))&amp;IF(NOT(ISNUMBER(E3675)),"Bestand fehlt; ",IF(E3675&lt;0,"Bestand negativ; ",IF(E3675=0,"Nullbestand; ","")))&amp;IF(D3675="","Warengruppe fehlt; ","")&amp;IF(B3675="","Bezeichnung fehlt; ","")&amp;IF(COUNTIFS($A$2:$A$5001,$A3675,$C$2:$C$5001,C3675)&gt;1,"Artikel doppelt im selben Lager; ",""))</f>
        <v/>
      </c>
      <c r="P3675" s="47" t="n">
        <f aca="false">IF(OR($A3675="",D3675=""),0,IF(COUNTIF($D$2:D3675,D3675)=1,SUMIF($D$2:$D$5001,D3675,$H$2:$H$5001)+ROW()/10000000,0))</f>
        <v>0</v>
      </c>
      <c r="Q3675" s="47" t="n">
        <f aca="false">IF(OR($A3675="",C3675=""),0,IF(COUNTIF($C$2:C3675,C3675)=1,SUMIF($C$2:$C$5001,C3675,$H$2:$H$5001)+ROW()/10000000,0))</f>
        <v>0</v>
      </c>
    </row>
    <row r="3676" customFormat="false" ht="15" hidden="false" customHeight="false" outlineLevel="0" collapsed="false">
      <c r="A3676" s="43"/>
      <c r="B3676" s="44"/>
      <c r="C3676" s="44"/>
      <c r="D3676" s="44"/>
      <c r="E3676" s="44"/>
      <c r="F3676" s="44"/>
      <c r="G3676" s="44"/>
      <c r="H3676" s="46" t="str">
        <f aca="false">IF($A3676="","",IF(OR(NOT(ISNUMBER(E3676)),NOT(ISNUMBER(F3676))),"",MAX(0,E3676)*F3676))</f>
        <v/>
      </c>
      <c r="I3676" s="46" t="str">
        <f aca="false">IF($A3676="","",SUMIF($A$2:$A$5001,$A3676,$H$2:$H$5001))</f>
        <v/>
      </c>
      <c r="J3676" s="47" t="n">
        <f aca="false">IF($A3676="",0,IF(COUNTIF($A$2:A3676,$A3676)=1,1,0))</f>
        <v>0</v>
      </c>
      <c r="K3676" s="47" t="n">
        <f aca="false">IF(J3676=1,N(I3676)+ROW()/10000000,0)</f>
        <v>0</v>
      </c>
      <c r="L3676" s="47" t="str">
        <f aca="false">IF(AND(J3676=1,N(I3676)&gt;0),SUMIF($K$2:$K$5001,"&gt;="&amp;K3676,$I$2:$I$5001)/MAX(1,SUM($H$2:$H$5001)),"")</f>
        <v/>
      </c>
      <c r="M3676" s="47" t="str">
        <f aca="false">IF($A3676="","",INDEX($L$2:$L$5001,MATCH($A3676,$A$2:$A$5001,0)))</f>
        <v/>
      </c>
      <c r="N3676" s="48" t="str">
        <f aca="false">IF($A3676="","",IF(N(M3676)=0,"–",IF(M3676&lt;=Start!$D$20,"A",IF(M3676&lt;=Start!$D$21,"B","C"))))</f>
        <v/>
      </c>
      <c r="O3676" s="48" t="str">
        <f aca="false">IF($A3676="","",IF(NOT(ISNUMBER(F3676)),"Wert fehlt; ",IF(F3676&lt;=0,"Wert ist 0; ",""))&amp;IF(NOT(ISNUMBER(E3676)),"Bestand fehlt; ",IF(E3676&lt;0,"Bestand negativ; ",IF(E3676=0,"Nullbestand; ","")))&amp;IF(D3676="","Warengruppe fehlt; ","")&amp;IF(B3676="","Bezeichnung fehlt; ","")&amp;IF(COUNTIFS($A$2:$A$5001,$A3676,$C$2:$C$5001,C3676)&gt;1,"Artikel doppelt im selben Lager; ",""))</f>
        <v/>
      </c>
      <c r="P3676" s="47" t="n">
        <f aca="false">IF(OR($A3676="",D3676=""),0,IF(COUNTIF($D$2:D3676,D3676)=1,SUMIF($D$2:$D$5001,D3676,$H$2:$H$5001)+ROW()/10000000,0))</f>
        <v>0</v>
      </c>
      <c r="Q3676" s="47" t="n">
        <f aca="false">IF(OR($A3676="",C3676=""),0,IF(COUNTIF($C$2:C3676,C3676)=1,SUMIF($C$2:$C$5001,C3676,$H$2:$H$5001)+ROW()/10000000,0))</f>
        <v>0</v>
      </c>
    </row>
    <row r="3677" customFormat="false" ht="15" hidden="false" customHeight="false" outlineLevel="0" collapsed="false">
      <c r="A3677" s="43"/>
      <c r="B3677" s="44"/>
      <c r="C3677" s="44"/>
      <c r="D3677" s="44"/>
      <c r="E3677" s="44"/>
      <c r="F3677" s="44"/>
      <c r="G3677" s="44"/>
      <c r="H3677" s="46" t="str">
        <f aca="false">IF($A3677="","",IF(OR(NOT(ISNUMBER(E3677)),NOT(ISNUMBER(F3677))),"",MAX(0,E3677)*F3677))</f>
        <v/>
      </c>
      <c r="I3677" s="46" t="str">
        <f aca="false">IF($A3677="","",SUMIF($A$2:$A$5001,$A3677,$H$2:$H$5001))</f>
        <v/>
      </c>
      <c r="J3677" s="47" t="n">
        <f aca="false">IF($A3677="",0,IF(COUNTIF($A$2:A3677,$A3677)=1,1,0))</f>
        <v>0</v>
      </c>
      <c r="K3677" s="47" t="n">
        <f aca="false">IF(J3677=1,N(I3677)+ROW()/10000000,0)</f>
        <v>0</v>
      </c>
      <c r="L3677" s="47" t="str">
        <f aca="false">IF(AND(J3677=1,N(I3677)&gt;0),SUMIF($K$2:$K$5001,"&gt;="&amp;K3677,$I$2:$I$5001)/MAX(1,SUM($H$2:$H$5001)),"")</f>
        <v/>
      </c>
      <c r="M3677" s="47" t="str">
        <f aca="false">IF($A3677="","",INDEX($L$2:$L$5001,MATCH($A3677,$A$2:$A$5001,0)))</f>
        <v/>
      </c>
      <c r="N3677" s="48" t="str">
        <f aca="false">IF($A3677="","",IF(N(M3677)=0,"–",IF(M3677&lt;=Start!$D$20,"A",IF(M3677&lt;=Start!$D$21,"B","C"))))</f>
        <v/>
      </c>
      <c r="O3677" s="48" t="str">
        <f aca="false">IF($A3677="","",IF(NOT(ISNUMBER(F3677)),"Wert fehlt; ",IF(F3677&lt;=0,"Wert ist 0; ",""))&amp;IF(NOT(ISNUMBER(E3677)),"Bestand fehlt; ",IF(E3677&lt;0,"Bestand negativ; ",IF(E3677=0,"Nullbestand; ","")))&amp;IF(D3677="","Warengruppe fehlt; ","")&amp;IF(B3677="","Bezeichnung fehlt; ","")&amp;IF(COUNTIFS($A$2:$A$5001,$A3677,$C$2:$C$5001,C3677)&gt;1,"Artikel doppelt im selben Lager; ",""))</f>
        <v/>
      </c>
      <c r="P3677" s="47" t="n">
        <f aca="false">IF(OR($A3677="",D3677=""),0,IF(COUNTIF($D$2:D3677,D3677)=1,SUMIF($D$2:$D$5001,D3677,$H$2:$H$5001)+ROW()/10000000,0))</f>
        <v>0</v>
      </c>
      <c r="Q3677" s="47" t="n">
        <f aca="false">IF(OR($A3677="",C3677=""),0,IF(COUNTIF($C$2:C3677,C3677)=1,SUMIF($C$2:$C$5001,C3677,$H$2:$H$5001)+ROW()/10000000,0))</f>
        <v>0</v>
      </c>
    </row>
    <row r="3678" customFormat="false" ht="15" hidden="false" customHeight="false" outlineLevel="0" collapsed="false">
      <c r="A3678" s="43"/>
      <c r="B3678" s="44"/>
      <c r="C3678" s="44"/>
      <c r="D3678" s="44"/>
      <c r="E3678" s="44"/>
      <c r="F3678" s="44"/>
      <c r="G3678" s="44"/>
      <c r="H3678" s="46" t="str">
        <f aca="false">IF($A3678="","",IF(OR(NOT(ISNUMBER(E3678)),NOT(ISNUMBER(F3678))),"",MAX(0,E3678)*F3678))</f>
        <v/>
      </c>
      <c r="I3678" s="46" t="str">
        <f aca="false">IF($A3678="","",SUMIF($A$2:$A$5001,$A3678,$H$2:$H$5001))</f>
        <v/>
      </c>
      <c r="J3678" s="47" t="n">
        <f aca="false">IF($A3678="",0,IF(COUNTIF($A$2:A3678,$A3678)=1,1,0))</f>
        <v>0</v>
      </c>
      <c r="K3678" s="47" t="n">
        <f aca="false">IF(J3678=1,N(I3678)+ROW()/10000000,0)</f>
        <v>0</v>
      </c>
      <c r="L3678" s="47" t="str">
        <f aca="false">IF(AND(J3678=1,N(I3678)&gt;0),SUMIF($K$2:$K$5001,"&gt;="&amp;K3678,$I$2:$I$5001)/MAX(1,SUM($H$2:$H$5001)),"")</f>
        <v/>
      </c>
      <c r="M3678" s="47" t="str">
        <f aca="false">IF($A3678="","",INDEX($L$2:$L$5001,MATCH($A3678,$A$2:$A$5001,0)))</f>
        <v/>
      </c>
      <c r="N3678" s="48" t="str">
        <f aca="false">IF($A3678="","",IF(N(M3678)=0,"–",IF(M3678&lt;=Start!$D$20,"A",IF(M3678&lt;=Start!$D$21,"B","C"))))</f>
        <v/>
      </c>
      <c r="O3678" s="48" t="str">
        <f aca="false">IF($A3678="","",IF(NOT(ISNUMBER(F3678)),"Wert fehlt; ",IF(F3678&lt;=0,"Wert ist 0; ",""))&amp;IF(NOT(ISNUMBER(E3678)),"Bestand fehlt; ",IF(E3678&lt;0,"Bestand negativ; ",IF(E3678=0,"Nullbestand; ","")))&amp;IF(D3678="","Warengruppe fehlt; ","")&amp;IF(B3678="","Bezeichnung fehlt; ","")&amp;IF(COUNTIFS($A$2:$A$5001,$A3678,$C$2:$C$5001,C3678)&gt;1,"Artikel doppelt im selben Lager; ",""))</f>
        <v/>
      </c>
      <c r="P3678" s="47" t="n">
        <f aca="false">IF(OR($A3678="",D3678=""),0,IF(COUNTIF($D$2:D3678,D3678)=1,SUMIF($D$2:$D$5001,D3678,$H$2:$H$5001)+ROW()/10000000,0))</f>
        <v>0</v>
      </c>
      <c r="Q3678" s="47" t="n">
        <f aca="false">IF(OR($A3678="",C3678=""),0,IF(COUNTIF($C$2:C3678,C3678)=1,SUMIF($C$2:$C$5001,C3678,$H$2:$H$5001)+ROW()/10000000,0))</f>
        <v>0</v>
      </c>
    </row>
    <row r="3679" customFormat="false" ht="15" hidden="false" customHeight="false" outlineLevel="0" collapsed="false">
      <c r="A3679" s="43"/>
      <c r="B3679" s="44"/>
      <c r="C3679" s="44"/>
      <c r="D3679" s="44"/>
      <c r="E3679" s="44"/>
      <c r="F3679" s="44"/>
      <c r="G3679" s="44"/>
      <c r="H3679" s="46" t="str">
        <f aca="false">IF($A3679="","",IF(OR(NOT(ISNUMBER(E3679)),NOT(ISNUMBER(F3679))),"",MAX(0,E3679)*F3679))</f>
        <v/>
      </c>
      <c r="I3679" s="46" t="str">
        <f aca="false">IF($A3679="","",SUMIF($A$2:$A$5001,$A3679,$H$2:$H$5001))</f>
        <v/>
      </c>
      <c r="J3679" s="47" t="n">
        <f aca="false">IF($A3679="",0,IF(COUNTIF($A$2:A3679,$A3679)=1,1,0))</f>
        <v>0</v>
      </c>
      <c r="K3679" s="47" t="n">
        <f aca="false">IF(J3679=1,N(I3679)+ROW()/10000000,0)</f>
        <v>0</v>
      </c>
      <c r="L3679" s="47" t="str">
        <f aca="false">IF(AND(J3679=1,N(I3679)&gt;0),SUMIF($K$2:$K$5001,"&gt;="&amp;K3679,$I$2:$I$5001)/MAX(1,SUM($H$2:$H$5001)),"")</f>
        <v/>
      </c>
      <c r="M3679" s="47" t="str">
        <f aca="false">IF($A3679="","",INDEX($L$2:$L$5001,MATCH($A3679,$A$2:$A$5001,0)))</f>
        <v/>
      </c>
      <c r="N3679" s="48" t="str">
        <f aca="false">IF($A3679="","",IF(N(M3679)=0,"–",IF(M3679&lt;=Start!$D$20,"A",IF(M3679&lt;=Start!$D$21,"B","C"))))</f>
        <v/>
      </c>
      <c r="O3679" s="48" t="str">
        <f aca="false">IF($A3679="","",IF(NOT(ISNUMBER(F3679)),"Wert fehlt; ",IF(F3679&lt;=0,"Wert ist 0; ",""))&amp;IF(NOT(ISNUMBER(E3679)),"Bestand fehlt; ",IF(E3679&lt;0,"Bestand negativ; ",IF(E3679=0,"Nullbestand; ","")))&amp;IF(D3679="","Warengruppe fehlt; ","")&amp;IF(B3679="","Bezeichnung fehlt; ","")&amp;IF(COUNTIFS($A$2:$A$5001,$A3679,$C$2:$C$5001,C3679)&gt;1,"Artikel doppelt im selben Lager; ",""))</f>
        <v/>
      </c>
      <c r="P3679" s="47" t="n">
        <f aca="false">IF(OR($A3679="",D3679=""),0,IF(COUNTIF($D$2:D3679,D3679)=1,SUMIF($D$2:$D$5001,D3679,$H$2:$H$5001)+ROW()/10000000,0))</f>
        <v>0</v>
      </c>
      <c r="Q3679" s="47" t="n">
        <f aca="false">IF(OR($A3679="",C3679=""),0,IF(COUNTIF($C$2:C3679,C3679)=1,SUMIF($C$2:$C$5001,C3679,$H$2:$H$5001)+ROW()/10000000,0))</f>
        <v>0</v>
      </c>
    </row>
    <row r="3680" customFormat="false" ht="15" hidden="false" customHeight="false" outlineLevel="0" collapsed="false">
      <c r="A3680" s="43"/>
      <c r="B3680" s="44"/>
      <c r="C3680" s="44"/>
      <c r="D3680" s="44"/>
      <c r="E3680" s="44"/>
      <c r="F3680" s="44"/>
      <c r="G3680" s="44"/>
      <c r="H3680" s="46" t="str">
        <f aca="false">IF($A3680="","",IF(OR(NOT(ISNUMBER(E3680)),NOT(ISNUMBER(F3680))),"",MAX(0,E3680)*F3680))</f>
        <v/>
      </c>
      <c r="I3680" s="46" t="str">
        <f aca="false">IF($A3680="","",SUMIF($A$2:$A$5001,$A3680,$H$2:$H$5001))</f>
        <v/>
      </c>
      <c r="J3680" s="47" t="n">
        <f aca="false">IF($A3680="",0,IF(COUNTIF($A$2:A3680,$A3680)=1,1,0))</f>
        <v>0</v>
      </c>
      <c r="K3680" s="47" t="n">
        <f aca="false">IF(J3680=1,N(I3680)+ROW()/10000000,0)</f>
        <v>0</v>
      </c>
      <c r="L3680" s="47" t="str">
        <f aca="false">IF(AND(J3680=1,N(I3680)&gt;0),SUMIF($K$2:$K$5001,"&gt;="&amp;K3680,$I$2:$I$5001)/MAX(1,SUM($H$2:$H$5001)),"")</f>
        <v/>
      </c>
      <c r="M3680" s="47" t="str">
        <f aca="false">IF($A3680="","",INDEX($L$2:$L$5001,MATCH($A3680,$A$2:$A$5001,0)))</f>
        <v/>
      </c>
      <c r="N3680" s="48" t="str">
        <f aca="false">IF($A3680="","",IF(N(M3680)=0,"–",IF(M3680&lt;=Start!$D$20,"A",IF(M3680&lt;=Start!$D$21,"B","C"))))</f>
        <v/>
      </c>
      <c r="O3680" s="48" t="str">
        <f aca="false">IF($A3680="","",IF(NOT(ISNUMBER(F3680)),"Wert fehlt; ",IF(F3680&lt;=0,"Wert ist 0; ",""))&amp;IF(NOT(ISNUMBER(E3680)),"Bestand fehlt; ",IF(E3680&lt;0,"Bestand negativ; ",IF(E3680=0,"Nullbestand; ","")))&amp;IF(D3680="","Warengruppe fehlt; ","")&amp;IF(B3680="","Bezeichnung fehlt; ","")&amp;IF(COUNTIFS($A$2:$A$5001,$A3680,$C$2:$C$5001,C3680)&gt;1,"Artikel doppelt im selben Lager; ",""))</f>
        <v/>
      </c>
      <c r="P3680" s="47" t="n">
        <f aca="false">IF(OR($A3680="",D3680=""),0,IF(COUNTIF($D$2:D3680,D3680)=1,SUMIF($D$2:$D$5001,D3680,$H$2:$H$5001)+ROW()/10000000,0))</f>
        <v>0</v>
      </c>
      <c r="Q3680" s="47" t="n">
        <f aca="false">IF(OR($A3680="",C3680=""),0,IF(COUNTIF($C$2:C3680,C3680)=1,SUMIF($C$2:$C$5001,C3680,$H$2:$H$5001)+ROW()/10000000,0))</f>
        <v>0</v>
      </c>
    </row>
    <row r="3681" customFormat="false" ht="15" hidden="false" customHeight="false" outlineLevel="0" collapsed="false">
      <c r="A3681" s="43"/>
      <c r="B3681" s="44"/>
      <c r="C3681" s="44"/>
      <c r="D3681" s="44"/>
      <c r="E3681" s="44"/>
      <c r="F3681" s="44"/>
      <c r="G3681" s="44"/>
      <c r="H3681" s="46" t="str">
        <f aca="false">IF($A3681="","",IF(OR(NOT(ISNUMBER(E3681)),NOT(ISNUMBER(F3681))),"",MAX(0,E3681)*F3681))</f>
        <v/>
      </c>
      <c r="I3681" s="46" t="str">
        <f aca="false">IF($A3681="","",SUMIF($A$2:$A$5001,$A3681,$H$2:$H$5001))</f>
        <v/>
      </c>
      <c r="J3681" s="47" t="n">
        <f aca="false">IF($A3681="",0,IF(COUNTIF($A$2:A3681,$A3681)=1,1,0))</f>
        <v>0</v>
      </c>
      <c r="K3681" s="47" t="n">
        <f aca="false">IF(J3681=1,N(I3681)+ROW()/10000000,0)</f>
        <v>0</v>
      </c>
      <c r="L3681" s="47" t="str">
        <f aca="false">IF(AND(J3681=1,N(I3681)&gt;0),SUMIF($K$2:$K$5001,"&gt;="&amp;K3681,$I$2:$I$5001)/MAX(1,SUM($H$2:$H$5001)),"")</f>
        <v/>
      </c>
      <c r="M3681" s="47" t="str">
        <f aca="false">IF($A3681="","",INDEX($L$2:$L$5001,MATCH($A3681,$A$2:$A$5001,0)))</f>
        <v/>
      </c>
      <c r="N3681" s="48" t="str">
        <f aca="false">IF($A3681="","",IF(N(M3681)=0,"–",IF(M3681&lt;=Start!$D$20,"A",IF(M3681&lt;=Start!$D$21,"B","C"))))</f>
        <v/>
      </c>
      <c r="O3681" s="48" t="str">
        <f aca="false">IF($A3681="","",IF(NOT(ISNUMBER(F3681)),"Wert fehlt; ",IF(F3681&lt;=0,"Wert ist 0; ",""))&amp;IF(NOT(ISNUMBER(E3681)),"Bestand fehlt; ",IF(E3681&lt;0,"Bestand negativ; ",IF(E3681=0,"Nullbestand; ","")))&amp;IF(D3681="","Warengruppe fehlt; ","")&amp;IF(B3681="","Bezeichnung fehlt; ","")&amp;IF(COUNTIFS($A$2:$A$5001,$A3681,$C$2:$C$5001,C3681)&gt;1,"Artikel doppelt im selben Lager; ",""))</f>
        <v/>
      </c>
      <c r="P3681" s="47" t="n">
        <f aca="false">IF(OR($A3681="",D3681=""),0,IF(COUNTIF($D$2:D3681,D3681)=1,SUMIF($D$2:$D$5001,D3681,$H$2:$H$5001)+ROW()/10000000,0))</f>
        <v>0</v>
      </c>
      <c r="Q3681" s="47" t="n">
        <f aca="false">IF(OR($A3681="",C3681=""),0,IF(COUNTIF($C$2:C3681,C3681)=1,SUMIF($C$2:$C$5001,C3681,$H$2:$H$5001)+ROW()/10000000,0))</f>
        <v>0</v>
      </c>
    </row>
    <row r="3682" customFormat="false" ht="15" hidden="false" customHeight="false" outlineLevel="0" collapsed="false">
      <c r="A3682" s="43"/>
      <c r="B3682" s="44"/>
      <c r="C3682" s="44"/>
      <c r="D3682" s="44"/>
      <c r="E3682" s="44"/>
      <c r="F3682" s="44"/>
      <c r="G3682" s="44"/>
      <c r="H3682" s="46" t="str">
        <f aca="false">IF($A3682="","",IF(OR(NOT(ISNUMBER(E3682)),NOT(ISNUMBER(F3682))),"",MAX(0,E3682)*F3682))</f>
        <v/>
      </c>
      <c r="I3682" s="46" t="str">
        <f aca="false">IF($A3682="","",SUMIF($A$2:$A$5001,$A3682,$H$2:$H$5001))</f>
        <v/>
      </c>
      <c r="J3682" s="47" t="n">
        <f aca="false">IF($A3682="",0,IF(COUNTIF($A$2:A3682,$A3682)=1,1,0))</f>
        <v>0</v>
      </c>
      <c r="K3682" s="47" t="n">
        <f aca="false">IF(J3682=1,N(I3682)+ROW()/10000000,0)</f>
        <v>0</v>
      </c>
      <c r="L3682" s="47" t="str">
        <f aca="false">IF(AND(J3682=1,N(I3682)&gt;0),SUMIF($K$2:$K$5001,"&gt;="&amp;K3682,$I$2:$I$5001)/MAX(1,SUM($H$2:$H$5001)),"")</f>
        <v/>
      </c>
      <c r="M3682" s="47" t="str">
        <f aca="false">IF($A3682="","",INDEX($L$2:$L$5001,MATCH($A3682,$A$2:$A$5001,0)))</f>
        <v/>
      </c>
      <c r="N3682" s="48" t="str">
        <f aca="false">IF($A3682="","",IF(N(M3682)=0,"–",IF(M3682&lt;=Start!$D$20,"A",IF(M3682&lt;=Start!$D$21,"B","C"))))</f>
        <v/>
      </c>
      <c r="O3682" s="48" t="str">
        <f aca="false">IF($A3682="","",IF(NOT(ISNUMBER(F3682)),"Wert fehlt; ",IF(F3682&lt;=0,"Wert ist 0; ",""))&amp;IF(NOT(ISNUMBER(E3682)),"Bestand fehlt; ",IF(E3682&lt;0,"Bestand negativ; ",IF(E3682=0,"Nullbestand; ","")))&amp;IF(D3682="","Warengruppe fehlt; ","")&amp;IF(B3682="","Bezeichnung fehlt; ","")&amp;IF(COUNTIFS($A$2:$A$5001,$A3682,$C$2:$C$5001,C3682)&gt;1,"Artikel doppelt im selben Lager; ",""))</f>
        <v/>
      </c>
      <c r="P3682" s="47" t="n">
        <f aca="false">IF(OR($A3682="",D3682=""),0,IF(COUNTIF($D$2:D3682,D3682)=1,SUMIF($D$2:$D$5001,D3682,$H$2:$H$5001)+ROW()/10000000,0))</f>
        <v>0</v>
      </c>
      <c r="Q3682" s="47" t="n">
        <f aca="false">IF(OR($A3682="",C3682=""),0,IF(COUNTIF($C$2:C3682,C3682)=1,SUMIF($C$2:$C$5001,C3682,$H$2:$H$5001)+ROW()/10000000,0))</f>
        <v>0</v>
      </c>
    </row>
    <row r="3683" customFormat="false" ht="15" hidden="false" customHeight="false" outlineLevel="0" collapsed="false">
      <c r="A3683" s="43"/>
      <c r="B3683" s="44"/>
      <c r="C3683" s="44"/>
      <c r="D3683" s="44"/>
      <c r="E3683" s="44"/>
      <c r="F3683" s="44"/>
      <c r="G3683" s="44"/>
      <c r="H3683" s="46" t="str">
        <f aca="false">IF($A3683="","",IF(OR(NOT(ISNUMBER(E3683)),NOT(ISNUMBER(F3683))),"",MAX(0,E3683)*F3683))</f>
        <v/>
      </c>
      <c r="I3683" s="46" t="str">
        <f aca="false">IF($A3683="","",SUMIF($A$2:$A$5001,$A3683,$H$2:$H$5001))</f>
        <v/>
      </c>
      <c r="J3683" s="47" t="n">
        <f aca="false">IF($A3683="",0,IF(COUNTIF($A$2:A3683,$A3683)=1,1,0))</f>
        <v>0</v>
      </c>
      <c r="K3683" s="47" t="n">
        <f aca="false">IF(J3683=1,N(I3683)+ROW()/10000000,0)</f>
        <v>0</v>
      </c>
      <c r="L3683" s="47" t="str">
        <f aca="false">IF(AND(J3683=1,N(I3683)&gt;0),SUMIF($K$2:$K$5001,"&gt;="&amp;K3683,$I$2:$I$5001)/MAX(1,SUM($H$2:$H$5001)),"")</f>
        <v/>
      </c>
      <c r="M3683" s="47" t="str">
        <f aca="false">IF($A3683="","",INDEX($L$2:$L$5001,MATCH($A3683,$A$2:$A$5001,0)))</f>
        <v/>
      </c>
      <c r="N3683" s="48" t="str">
        <f aca="false">IF($A3683="","",IF(N(M3683)=0,"–",IF(M3683&lt;=Start!$D$20,"A",IF(M3683&lt;=Start!$D$21,"B","C"))))</f>
        <v/>
      </c>
      <c r="O3683" s="48" t="str">
        <f aca="false">IF($A3683="","",IF(NOT(ISNUMBER(F3683)),"Wert fehlt; ",IF(F3683&lt;=0,"Wert ist 0; ",""))&amp;IF(NOT(ISNUMBER(E3683)),"Bestand fehlt; ",IF(E3683&lt;0,"Bestand negativ; ",IF(E3683=0,"Nullbestand; ","")))&amp;IF(D3683="","Warengruppe fehlt; ","")&amp;IF(B3683="","Bezeichnung fehlt; ","")&amp;IF(COUNTIFS($A$2:$A$5001,$A3683,$C$2:$C$5001,C3683)&gt;1,"Artikel doppelt im selben Lager; ",""))</f>
        <v/>
      </c>
      <c r="P3683" s="47" t="n">
        <f aca="false">IF(OR($A3683="",D3683=""),0,IF(COUNTIF($D$2:D3683,D3683)=1,SUMIF($D$2:$D$5001,D3683,$H$2:$H$5001)+ROW()/10000000,0))</f>
        <v>0</v>
      </c>
      <c r="Q3683" s="47" t="n">
        <f aca="false">IF(OR($A3683="",C3683=""),0,IF(COUNTIF($C$2:C3683,C3683)=1,SUMIF($C$2:$C$5001,C3683,$H$2:$H$5001)+ROW()/10000000,0))</f>
        <v>0</v>
      </c>
    </row>
    <row r="3684" customFormat="false" ht="15" hidden="false" customHeight="false" outlineLevel="0" collapsed="false">
      <c r="A3684" s="43"/>
      <c r="B3684" s="44"/>
      <c r="C3684" s="44"/>
      <c r="D3684" s="44"/>
      <c r="E3684" s="44"/>
      <c r="F3684" s="44"/>
      <c r="G3684" s="44"/>
      <c r="H3684" s="46" t="str">
        <f aca="false">IF($A3684="","",IF(OR(NOT(ISNUMBER(E3684)),NOT(ISNUMBER(F3684))),"",MAX(0,E3684)*F3684))</f>
        <v/>
      </c>
      <c r="I3684" s="46" t="str">
        <f aca="false">IF($A3684="","",SUMIF($A$2:$A$5001,$A3684,$H$2:$H$5001))</f>
        <v/>
      </c>
      <c r="J3684" s="47" t="n">
        <f aca="false">IF($A3684="",0,IF(COUNTIF($A$2:A3684,$A3684)=1,1,0))</f>
        <v>0</v>
      </c>
      <c r="K3684" s="47" t="n">
        <f aca="false">IF(J3684=1,N(I3684)+ROW()/10000000,0)</f>
        <v>0</v>
      </c>
      <c r="L3684" s="47" t="str">
        <f aca="false">IF(AND(J3684=1,N(I3684)&gt;0),SUMIF($K$2:$K$5001,"&gt;="&amp;K3684,$I$2:$I$5001)/MAX(1,SUM($H$2:$H$5001)),"")</f>
        <v/>
      </c>
      <c r="M3684" s="47" t="str">
        <f aca="false">IF($A3684="","",INDEX($L$2:$L$5001,MATCH($A3684,$A$2:$A$5001,0)))</f>
        <v/>
      </c>
      <c r="N3684" s="48" t="str">
        <f aca="false">IF($A3684="","",IF(N(M3684)=0,"–",IF(M3684&lt;=Start!$D$20,"A",IF(M3684&lt;=Start!$D$21,"B","C"))))</f>
        <v/>
      </c>
      <c r="O3684" s="48" t="str">
        <f aca="false">IF($A3684="","",IF(NOT(ISNUMBER(F3684)),"Wert fehlt; ",IF(F3684&lt;=0,"Wert ist 0; ",""))&amp;IF(NOT(ISNUMBER(E3684)),"Bestand fehlt; ",IF(E3684&lt;0,"Bestand negativ; ",IF(E3684=0,"Nullbestand; ","")))&amp;IF(D3684="","Warengruppe fehlt; ","")&amp;IF(B3684="","Bezeichnung fehlt; ","")&amp;IF(COUNTIFS($A$2:$A$5001,$A3684,$C$2:$C$5001,C3684)&gt;1,"Artikel doppelt im selben Lager; ",""))</f>
        <v/>
      </c>
      <c r="P3684" s="47" t="n">
        <f aca="false">IF(OR($A3684="",D3684=""),0,IF(COUNTIF($D$2:D3684,D3684)=1,SUMIF($D$2:$D$5001,D3684,$H$2:$H$5001)+ROW()/10000000,0))</f>
        <v>0</v>
      </c>
      <c r="Q3684" s="47" t="n">
        <f aca="false">IF(OR($A3684="",C3684=""),0,IF(COUNTIF($C$2:C3684,C3684)=1,SUMIF($C$2:$C$5001,C3684,$H$2:$H$5001)+ROW()/10000000,0))</f>
        <v>0</v>
      </c>
    </row>
    <row r="3685" customFormat="false" ht="15" hidden="false" customHeight="false" outlineLevel="0" collapsed="false">
      <c r="A3685" s="43"/>
      <c r="B3685" s="44"/>
      <c r="C3685" s="44"/>
      <c r="D3685" s="44"/>
      <c r="E3685" s="44"/>
      <c r="F3685" s="44"/>
      <c r="G3685" s="44"/>
      <c r="H3685" s="46" t="str">
        <f aca="false">IF($A3685="","",IF(OR(NOT(ISNUMBER(E3685)),NOT(ISNUMBER(F3685))),"",MAX(0,E3685)*F3685))</f>
        <v/>
      </c>
      <c r="I3685" s="46" t="str">
        <f aca="false">IF($A3685="","",SUMIF($A$2:$A$5001,$A3685,$H$2:$H$5001))</f>
        <v/>
      </c>
      <c r="J3685" s="47" t="n">
        <f aca="false">IF($A3685="",0,IF(COUNTIF($A$2:A3685,$A3685)=1,1,0))</f>
        <v>0</v>
      </c>
      <c r="K3685" s="47" t="n">
        <f aca="false">IF(J3685=1,N(I3685)+ROW()/10000000,0)</f>
        <v>0</v>
      </c>
      <c r="L3685" s="47" t="str">
        <f aca="false">IF(AND(J3685=1,N(I3685)&gt;0),SUMIF($K$2:$K$5001,"&gt;="&amp;K3685,$I$2:$I$5001)/MAX(1,SUM($H$2:$H$5001)),"")</f>
        <v/>
      </c>
      <c r="M3685" s="47" t="str">
        <f aca="false">IF($A3685="","",INDEX($L$2:$L$5001,MATCH($A3685,$A$2:$A$5001,0)))</f>
        <v/>
      </c>
      <c r="N3685" s="48" t="str">
        <f aca="false">IF($A3685="","",IF(N(M3685)=0,"–",IF(M3685&lt;=Start!$D$20,"A",IF(M3685&lt;=Start!$D$21,"B","C"))))</f>
        <v/>
      </c>
      <c r="O3685" s="48" t="str">
        <f aca="false">IF($A3685="","",IF(NOT(ISNUMBER(F3685)),"Wert fehlt; ",IF(F3685&lt;=0,"Wert ist 0; ",""))&amp;IF(NOT(ISNUMBER(E3685)),"Bestand fehlt; ",IF(E3685&lt;0,"Bestand negativ; ",IF(E3685=0,"Nullbestand; ","")))&amp;IF(D3685="","Warengruppe fehlt; ","")&amp;IF(B3685="","Bezeichnung fehlt; ","")&amp;IF(COUNTIFS($A$2:$A$5001,$A3685,$C$2:$C$5001,C3685)&gt;1,"Artikel doppelt im selben Lager; ",""))</f>
        <v/>
      </c>
      <c r="P3685" s="47" t="n">
        <f aca="false">IF(OR($A3685="",D3685=""),0,IF(COUNTIF($D$2:D3685,D3685)=1,SUMIF($D$2:$D$5001,D3685,$H$2:$H$5001)+ROW()/10000000,0))</f>
        <v>0</v>
      </c>
      <c r="Q3685" s="47" t="n">
        <f aca="false">IF(OR($A3685="",C3685=""),0,IF(COUNTIF($C$2:C3685,C3685)=1,SUMIF($C$2:$C$5001,C3685,$H$2:$H$5001)+ROW()/10000000,0))</f>
        <v>0</v>
      </c>
    </row>
    <row r="3686" customFormat="false" ht="15" hidden="false" customHeight="false" outlineLevel="0" collapsed="false">
      <c r="A3686" s="43"/>
      <c r="B3686" s="44"/>
      <c r="C3686" s="44"/>
      <c r="D3686" s="44"/>
      <c r="E3686" s="44"/>
      <c r="F3686" s="44"/>
      <c r="G3686" s="44"/>
      <c r="H3686" s="46" t="str">
        <f aca="false">IF($A3686="","",IF(OR(NOT(ISNUMBER(E3686)),NOT(ISNUMBER(F3686))),"",MAX(0,E3686)*F3686))</f>
        <v/>
      </c>
      <c r="I3686" s="46" t="str">
        <f aca="false">IF($A3686="","",SUMIF($A$2:$A$5001,$A3686,$H$2:$H$5001))</f>
        <v/>
      </c>
      <c r="J3686" s="47" t="n">
        <f aca="false">IF($A3686="",0,IF(COUNTIF($A$2:A3686,$A3686)=1,1,0))</f>
        <v>0</v>
      </c>
      <c r="K3686" s="47" t="n">
        <f aca="false">IF(J3686=1,N(I3686)+ROW()/10000000,0)</f>
        <v>0</v>
      </c>
      <c r="L3686" s="47" t="str">
        <f aca="false">IF(AND(J3686=1,N(I3686)&gt;0),SUMIF($K$2:$K$5001,"&gt;="&amp;K3686,$I$2:$I$5001)/MAX(1,SUM($H$2:$H$5001)),"")</f>
        <v/>
      </c>
      <c r="M3686" s="47" t="str">
        <f aca="false">IF($A3686="","",INDEX($L$2:$L$5001,MATCH($A3686,$A$2:$A$5001,0)))</f>
        <v/>
      </c>
      <c r="N3686" s="48" t="str">
        <f aca="false">IF($A3686="","",IF(N(M3686)=0,"–",IF(M3686&lt;=Start!$D$20,"A",IF(M3686&lt;=Start!$D$21,"B","C"))))</f>
        <v/>
      </c>
      <c r="O3686" s="48" t="str">
        <f aca="false">IF($A3686="","",IF(NOT(ISNUMBER(F3686)),"Wert fehlt; ",IF(F3686&lt;=0,"Wert ist 0; ",""))&amp;IF(NOT(ISNUMBER(E3686)),"Bestand fehlt; ",IF(E3686&lt;0,"Bestand negativ; ",IF(E3686=0,"Nullbestand; ","")))&amp;IF(D3686="","Warengruppe fehlt; ","")&amp;IF(B3686="","Bezeichnung fehlt; ","")&amp;IF(COUNTIFS($A$2:$A$5001,$A3686,$C$2:$C$5001,C3686)&gt;1,"Artikel doppelt im selben Lager; ",""))</f>
        <v/>
      </c>
      <c r="P3686" s="47" t="n">
        <f aca="false">IF(OR($A3686="",D3686=""),0,IF(COUNTIF($D$2:D3686,D3686)=1,SUMIF($D$2:$D$5001,D3686,$H$2:$H$5001)+ROW()/10000000,0))</f>
        <v>0</v>
      </c>
      <c r="Q3686" s="47" t="n">
        <f aca="false">IF(OR($A3686="",C3686=""),0,IF(COUNTIF($C$2:C3686,C3686)=1,SUMIF($C$2:$C$5001,C3686,$H$2:$H$5001)+ROW()/10000000,0))</f>
        <v>0</v>
      </c>
    </row>
    <row r="3687" customFormat="false" ht="15" hidden="false" customHeight="false" outlineLevel="0" collapsed="false">
      <c r="A3687" s="43"/>
      <c r="B3687" s="44"/>
      <c r="C3687" s="44"/>
      <c r="D3687" s="44"/>
      <c r="E3687" s="44"/>
      <c r="F3687" s="44"/>
      <c r="G3687" s="44"/>
      <c r="H3687" s="46" t="str">
        <f aca="false">IF($A3687="","",IF(OR(NOT(ISNUMBER(E3687)),NOT(ISNUMBER(F3687))),"",MAX(0,E3687)*F3687))</f>
        <v/>
      </c>
      <c r="I3687" s="46" t="str">
        <f aca="false">IF($A3687="","",SUMIF($A$2:$A$5001,$A3687,$H$2:$H$5001))</f>
        <v/>
      </c>
      <c r="J3687" s="47" t="n">
        <f aca="false">IF($A3687="",0,IF(COUNTIF($A$2:A3687,$A3687)=1,1,0))</f>
        <v>0</v>
      </c>
      <c r="K3687" s="47" t="n">
        <f aca="false">IF(J3687=1,N(I3687)+ROW()/10000000,0)</f>
        <v>0</v>
      </c>
      <c r="L3687" s="47" t="str">
        <f aca="false">IF(AND(J3687=1,N(I3687)&gt;0),SUMIF($K$2:$K$5001,"&gt;="&amp;K3687,$I$2:$I$5001)/MAX(1,SUM($H$2:$H$5001)),"")</f>
        <v/>
      </c>
      <c r="M3687" s="47" t="str">
        <f aca="false">IF($A3687="","",INDEX($L$2:$L$5001,MATCH($A3687,$A$2:$A$5001,0)))</f>
        <v/>
      </c>
      <c r="N3687" s="48" t="str">
        <f aca="false">IF($A3687="","",IF(N(M3687)=0,"–",IF(M3687&lt;=Start!$D$20,"A",IF(M3687&lt;=Start!$D$21,"B","C"))))</f>
        <v/>
      </c>
      <c r="O3687" s="48" t="str">
        <f aca="false">IF($A3687="","",IF(NOT(ISNUMBER(F3687)),"Wert fehlt; ",IF(F3687&lt;=0,"Wert ist 0; ",""))&amp;IF(NOT(ISNUMBER(E3687)),"Bestand fehlt; ",IF(E3687&lt;0,"Bestand negativ; ",IF(E3687=0,"Nullbestand; ","")))&amp;IF(D3687="","Warengruppe fehlt; ","")&amp;IF(B3687="","Bezeichnung fehlt; ","")&amp;IF(COUNTIFS($A$2:$A$5001,$A3687,$C$2:$C$5001,C3687)&gt;1,"Artikel doppelt im selben Lager; ",""))</f>
        <v/>
      </c>
      <c r="P3687" s="47" t="n">
        <f aca="false">IF(OR($A3687="",D3687=""),0,IF(COUNTIF($D$2:D3687,D3687)=1,SUMIF($D$2:$D$5001,D3687,$H$2:$H$5001)+ROW()/10000000,0))</f>
        <v>0</v>
      </c>
      <c r="Q3687" s="47" t="n">
        <f aca="false">IF(OR($A3687="",C3687=""),0,IF(COUNTIF($C$2:C3687,C3687)=1,SUMIF($C$2:$C$5001,C3687,$H$2:$H$5001)+ROW()/10000000,0))</f>
        <v>0</v>
      </c>
    </row>
    <row r="3688" customFormat="false" ht="15" hidden="false" customHeight="false" outlineLevel="0" collapsed="false">
      <c r="A3688" s="43"/>
      <c r="B3688" s="44"/>
      <c r="C3688" s="44"/>
      <c r="D3688" s="44"/>
      <c r="E3688" s="44"/>
      <c r="F3688" s="44"/>
      <c r="G3688" s="44"/>
      <c r="H3688" s="46" t="str">
        <f aca="false">IF($A3688="","",IF(OR(NOT(ISNUMBER(E3688)),NOT(ISNUMBER(F3688))),"",MAX(0,E3688)*F3688))</f>
        <v/>
      </c>
      <c r="I3688" s="46" t="str">
        <f aca="false">IF($A3688="","",SUMIF($A$2:$A$5001,$A3688,$H$2:$H$5001))</f>
        <v/>
      </c>
      <c r="J3688" s="47" t="n">
        <f aca="false">IF($A3688="",0,IF(COUNTIF($A$2:A3688,$A3688)=1,1,0))</f>
        <v>0</v>
      </c>
      <c r="K3688" s="47" t="n">
        <f aca="false">IF(J3688=1,N(I3688)+ROW()/10000000,0)</f>
        <v>0</v>
      </c>
      <c r="L3688" s="47" t="str">
        <f aca="false">IF(AND(J3688=1,N(I3688)&gt;0),SUMIF($K$2:$K$5001,"&gt;="&amp;K3688,$I$2:$I$5001)/MAX(1,SUM($H$2:$H$5001)),"")</f>
        <v/>
      </c>
      <c r="M3688" s="47" t="str">
        <f aca="false">IF($A3688="","",INDEX($L$2:$L$5001,MATCH($A3688,$A$2:$A$5001,0)))</f>
        <v/>
      </c>
      <c r="N3688" s="48" t="str">
        <f aca="false">IF($A3688="","",IF(N(M3688)=0,"–",IF(M3688&lt;=Start!$D$20,"A",IF(M3688&lt;=Start!$D$21,"B","C"))))</f>
        <v/>
      </c>
      <c r="O3688" s="48" t="str">
        <f aca="false">IF($A3688="","",IF(NOT(ISNUMBER(F3688)),"Wert fehlt; ",IF(F3688&lt;=0,"Wert ist 0; ",""))&amp;IF(NOT(ISNUMBER(E3688)),"Bestand fehlt; ",IF(E3688&lt;0,"Bestand negativ; ",IF(E3688=0,"Nullbestand; ","")))&amp;IF(D3688="","Warengruppe fehlt; ","")&amp;IF(B3688="","Bezeichnung fehlt; ","")&amp;IF(COUNTIFS($A$2:$A$5001,$A3688,$C$2:$C$5001,C3688)&gt;1,"Artikel doppelt im selben Lager; ",""))</f>
        <v/>
      </c>
      <c r="P3688" s="47" t="n">
        <f aca="false">IF(OR($A3688="",D3688=""),0,IF(COUNTIF($D$2:D3688,D3688)=1,SUMIF($D$2:$D$5001,D3688,$H$2:$H$5001)+ROW()/10000000,0))</f>
        <v>0</v>
      </c>
      <c r="Q3688" s="47" t="n">
        <f aca="false">IF(OR($A3688="",C3688=""),0,IF(COUNTIF($C$2:C3688,C3688)=1,SUMIF($C$2:$C$5001,C3688,$H$2:$H$5001)+ROW()/10000000,0))</f>
        <v>0</v>
      </c>
    </row>
    <row r="3689" customFormat="false" ht="15" hidden="false" customHeight="false" outlineLevel="0" collapsed="false">
      <c r="A3689" s="43"/>
      <c r="B3689" s="44"/>
      <c r="C3689" s="44"/>
      <c r="D3689" s="44"/>
      <c r="E3689" s="44"/>
      <c r="F3689" s="44"/>
      <c r="G3689" s="44"/>
      <c r="H3689" s="46" t="str">
        <f aca="false">IF($A3689="","",IF(OR(NOT(ISNUMBER(E3689)),NOT(ISNUMBER(F3689))),"",MAX(0,E3689)*F3689))</f>
        <v/>
      </c>
      <c r="I3689" s="46" t="str">
        <f aca="false">IF($A3689="","",SUMIF($A$2:$A$5001,$A3689,$H$2:$H$5001))</f>
        <v/>
      </c>
      <c r="J3689" s="47" t="n">
        <f aca="false">IF($A3689="",0,IF(COUNTIF($A$2:A3689,$A3689)=1,1,0))</f>
        <v>0</v>
      </c>
      <c r="K3689" s="47" t="n">
        <f aca="false">IF(J3689=1,N(I3689)+ROW()/10000000,0)</f>
        <v>0</v>
      </c>
      <c r="L3689" s="47" t="str">
        <f aca="false">IF(AND(J3689=1,N(I3689)&gt;0),SUMIF($K$2:$K$5001,"&gt;="&amp;K3689,$I$2:$I$5001)/MAX(1,SUM($H$2:$H$5001)),"")</f>
        <v/>
      </c>
      <c r="M3689" s="47" t="str">
        <f aca="false">IF($A3689="","",INDEX($L$2:$L$5001,MATCH($A3689,$A$2:$A$5001,0)))</f>
        <v/>
      </c>
      <c r="N3689" s="48" t="str">
        <f aca="false">IF($A3689="","",IF(N(M3689)=0,"–",IF(M3689&lt;=Start!$D$20,"A",IF(M3689&lt;=Start!$D$21,"B","C"))))</f>
        <v/>
      </c>
      <c r="O3689" s="48" t="str">
        <f aca="false">IF($A3689="","",IF(NOT(ISNUMBER(F3689)),"Wert fehlt; ",IF(F3689&lt;=0,"Wert ist 0; ",""))&amp;IF(NOT(ISNUMBER(E3689)),"Bestand fehlt; ",IF(E3689&lt;0,"Bestand negativ; ",IF(E3689=0,"Nullbestand; ","")))&amp;IF(D3689="","Warengruppe fehlt; ","")&amp;IF(B3689="","Bezeichnung fehlt; ","")&amp;IF(COUNTIFS($A$2:$A$5001,$A3689,$C$2:$C$5001,C3689)&gt;1,"Artikel doppelt im selben Lager; ",""))</f>
        <v/>
      </c>
      <c r="P3689" s="47" t="n">
        <f aca="false">IF(OR($A3689="",D3689=""),0,IF(COUNTIF($D$2:D3689,D3689)=1,SUMIF($D$2:$D$5001,D3689,$H$2:$H$5001)+ROW()/10000000,0))</f>
        <v>0</v>
      </c>
      <c r="Q3689" s="47" t="n">
        <f aca="false">IF(OR($A3689="",C3689=""),0,IF(COUNTIF($C$2:C3689,C3689)=1,SUMIF($C$2:$C$5001,C3689,$H$2:$H$5001)+ROW()/10000000,0))</f>
        <v>0</v>
      </c>
    </row>
    <row r="3690" customFormat="false" ht="15" hidden="false" customHeight="false" outlineLevel="0" collapsed="false">
      <c r="A3690" s="43"/>
      <c r="B3690" s="44"/>
      <c r="C3690" s="44"/>
      <c r="D3690" s="44"/>
      <c r="E3690" s="44"/>
      <c r="F3690" s="44"/>
      <c r="G3690" s="44"/>
      <c r="H3690" s="46" t="str">
        <f aca="false">IF($A3690="","",IF(OR(NOT(ISNUMBER(E3690)),NOT(ISNUMBER(F3690))),"",MAX(0,E3690)*F3690))</f>
        <v/>
      </c>
      <c r="I3690" s="46" t="str">
        <f aca="false">IF($A3690="","",SUMIF($A$2:$A$5001,$A3690,$H$2:$H$5001))</f>
        <v/>
      </c>
      <c r="J3690" s="47" t="n">
        <f aca="false">IF($A3690="",0,IF(COUNTIF($A$2:A3690,$A3690)=1,1,0))</f>
        <v>0</v>
      </c>
      <c r="K3690" s="47" t="n">
        <f aca="false">IF(J3690=1,N(I3690)+ROW()/10000000,0)</f>
        <v>0</v>
      </c>
      <c r="L3690" s="47" t="str">
        <f aca="false">IF(AND(J3690=1,N(I3690)&gt;0),SUMIF($K$2:$K$5001,"&gt;="&amp;K3690,$I$2:$I$5001)/MAX(1,SUM($H$2:$H$5001)),"")</f>
        <v/>
      </c>
      <c r="M3690" s="47" t="str">
        <f aca="false">IF($A3690="","",INDEX($L$2:$L$5001,MATCH($A3690,$A$2:$A$5001,0)))</f>
        <v/>
      </c>
      <c r="N3690" s="48" t="str">
        <f aca="false">IF($A3690="","",IF(N(M3690)=0,"–",IF(M3690&lt;=Start!$D$20,"A",IF(M3690&lt;=Start!$D$21,"B","C"))))</f>
        <v/>
      </c>
      <c r="O3690" s="48" t="str">
        <f aca="false">IF($A3690="","",IF(NOT(ISNUMBER(F3690)),"Wert fehlt; ",IF(F3690&lt;=0,"Wert ist 0; ",""))&amp;IF(NOT(ISNUMBER(E3690)),"Bestand fehlt; ",IF(E3690&lt;0,"Bestand negativ; ",IF(E3690=0,"Nullbestand; ","")))&amp;IF(D3690="","Warengruppe fehlt; ","")&amp;IF(B3690="","Bezeichnung fehlt; ","")&amp;IF(COUNTIFS($A$2:$A$5001,$A3690,$C$2:$C$5001,C3690)&gt;1,"Artikel doppelt im selben Lager; ",""))</f>
        <v/>
      </c>
      <c r="P3690" s="47" t="n">
        <f aca="false">IF(OR($A3690="",D3690=""),0,IF(COUNTIF($D$2:D3690,D3690)=1,SUMIF($D$2:$D$5001,D3690,$H$2:$H$5001)+ROW()/10000000,0))</f>
        <v>0</v>
      </c>
      <c r="Q3690" s="47" t="n">
        <f aca="false">IF(OR($A3690="",C3690=""),0,IF(COUNTIF($C$2:C3690,C3690)=1,SUMIF($C$2:$C$5001,C3690,$H$2:$H$5001)+ROW()/10000000,0))</f>
        <v>0</v>
      </c>
    </row>
    <row r="3691" customFormat="false" ht="15" hidden="false" customHeight="false" outlineLevel="0" collapsed="false">
      <c r="A3691" s="43"/>
      <c r="B3691" s="44"/>
      <c r="C3691" s="44"/>
      <c r="D3691" s="44"/>
      <c r="E3691" s="44"/>
      <c r="F3691" s="44"/>
      <c r="G3691" s="44"/>
      <c r="H3691" s="46" t="str">
        <f aca="false">IF($A3691="","",IF(OR(NOT(ISNUMBER(E3691)),NOT(ISNUMBER(F3691))),"",MAX(0,E3691)*F3691))</f>
        <v/>
      </c>
      <c r="I3691" s="46" t="str">
        <f aca="false">IF($A3691="","",SUMIF($A$2:$A$5001,$A3691,$H$2:$H$5001))</f>
        <v/>
      </c>
      <c r="J3691" s="47" t="n">
        <f aca="false">IF($A3691="",0,IF(COUNTIF($A$2:A3691,$A3691)=1,1,0))</f>
        <v>0</v>
      </c>
      <c r="K3691" s="47" t="n">
        <f aca="false">IF(J3691=1,N(I3691)+ROW()/10000000,0)</f>
        <v>0</v>
      </c>
      <c r="L3691" s="47" t="str">
        <f aca="false">IF(AND(J3691=1,N(I3691)&gt;0),SUMIF($K$2:$K$5001,"&gt;="&amp;K3691,$I$2:$I$5001)/MAX(1,SUM($H$2:$H$5001)),"")</f>
        <v/>
      </c>
      <c r="M3691" s="47" t="str">
        <f aca="false">IF($A3691="","",INDEX($L$2:$L$5001,MATCH($A3691,$A$2:$A$5001,0)))</f>
        <v/>
      </c>
      <c r="N3691" s="48" t="str">
        <f aca="false">IF($A3691="","",IF(N(M3691)=0,"–",IF(M3691&lt;=Start!$D$20,"A",IF(M3691&lt;=Start!$D$21,"B","C"))))</f>
        <v/>
      </c>
      <c r="O3691" s="48" t="str">
        <f aca="false">IF($A3691="","",IF(NOT(ISNUMBER(F3691)),"Wert fehlt; ",IF(F3691&lt;=0,"Wert ist 0; ",""))&amp;IF(NOT(ISNUMBER(E3691)),"Bestand fehlt; ",IF(E3691&lt;0,"Bestand negativ; ",IF(E3691=0,"Nullbestand; ","")))&amp;IF(D3691="","Warengruppe fehlt; ","")&amp;IF(B3691="","Bezeichnung fehlt; ","")&amp;IF(COUNTIFS($A$2:$A$5001,$A3691,$C$2:$C$5001,C3691)&gt;1,"Artikel doppelt im selben Lager; ",""))</f>
        <v/>
      </c>
      <c r="P3691" s="47" t="n">
        <f aca="false">IF(OR($A3691="",D3691=""),0,IF(COUNTIF($D$2:D3691,D3691)=1,SUMIF($D$2:$D$5001,D3691,$H$2:$H$5001)+ROW()/10000000,0))</f>
        <v>0</v>
      </c>
      <c r="Q3691" s="47" t="n">
        <f aca="false">IF(OR($A3691="",C3691=""),0,IF(COUNTIF($C$2:C3691,C3691)=1,SUMIF($C$2:$C$5001,C3691,$H$2:$H$5001)+ROW()/10000000,0))</f>
        <v>0</v>
      </c>
    </row>
    <row r="3692" customFormat="false" ht="15" hidden="false" customHeight="false" outlineLevel="0" collapsed="false">
      <c r="A3692" s="43"/>
      <c r="B3692" s="44"/>
      <c r="C3692" s="44"/>
      <c r="D3692" s="44"/>
      <c r="E3692" s="44"/>
      <c r="F3692" s="44"/>
      <c r="G3692" s="44"/>
      <c r="H3692" s="46" t="str">
        <f aca="false">IF($A3692="","",IF(OR(NOT(ISNUMBER(E3692)),NOT(ISNUMBER(F3692))),"",MAX(0,E3692)*F3692))</f>
        <v/>
      </c>
      <c r="I3692" s="46" t="str">
        <f aca="false">IF($A3692="","",SUMIF($A$2:$A$5001,$A3692,$H$2:$H$5001))</f>
        <v/>
      </c>
      <c r="J3692" s="47" t="n">
        <f aca="false">IF($A3692="",0,IF(COUNTIF($A$2:A3692,$A3692)=1,1,0))</f>
        <v>0</v>
      </c>
      <c r="K3692" s="47" t="n">
        <f aca="false">IF(J3692=1,N(I3692)+ROW()/10000000,0)</f>
        <v>0</v>
      </c>
      <c r="L3692" s="47" t="str">
        <f aca="false">IF(AND(J3692=1,N(I3692)&gt;0),SUMIF($K$2:$K$5001,"&gt;="&amp;K3692,$I$2:$I$5001)/MAX(1,SUM($H$2:$H$5001)),"")</f>
        <v/>
      </c>
      <c r="M3692" s="47" t="str">
        <f aca="false">IF($A3692="","",INDEX($L$2:$L$5001,MATCH($A3692,$A$2:$A$5001,0)))</f>
        <v/>
      </c>
      <c r="N3692" s="48" t="str">
        <f aca="false">IF($A3692="","",IF(N(M3692)=0,"–",IF(M3692&lt;=Start!$D$20,"A",IF(M3692&lt;=Start!$D$21,"B","C"))))</f>
        <v/>
      </c>
      <c r="O3692" s="48" t="str">
        <f aca="false">IF($A3692="","",IF(NOT(ISNUMBER(F3692)),"Wert fehlt; ",IF(F3692&lt;=0,"Wert ist 0; ",""))&amp;IF(NOT(ISNUMBER(E3692)),"Bestand fehlt; ",IF(E3692&lt;0,"Bestand negativ; ",IF(E3692=0,"Nullbestand; ","")))&amp;IF(D3692="","Warengruppe fehlt; ","")&amp;IF(B3692="","Bezeichnung fehlt; ","")&amp;IF(COUNTIFS($A$2:$A$5001,$A3692,$C$2:$C$5001,C3692)&gt;1,"Artikel doppelt im selben Lager; ",""))</f>
        <v/>
      </c>
      <c r="P3692" s="47" t="n">
        <f aca="false">IF(OR($A3692="",D3692=""),0,IF(COUNTIF($D$2:D3692,D3692)=1,SUMIF($D$2:$D$5001,D3692,$H$2:$H$5001)+ROW()/10000000,0))</f>
        <v>0</v>
      </c>
      <c r="Q3692" s="47" t="n">
        <f aca="false">IF(OR($A3692="",C3692=""),0,IF(COUNTIF($C$2:C3692,C3692)=1,SUMIF($C$2:$C$5001,C3692,$H$2:$H$5001)+ROW()/10000000,0))</f>
        <v>0</v>
      </c>
    </row>
    <row r="3693" customFormat="false" ht="15" hidden="false" customHeight="false" outlineLevel="0" collapsed="false">
      <c r="A3693" s="43"/>
      <c r="B3693" s="44"/>
      <c r="C3693" s="44"/>
      <c r="D3693" s="44"/>
      <c r="E3693" s="44"/>
      <c r="F3693" s="44"/>
      <c r="G3693" s="44"/>
      <c r="H3693" s="46" t="str">
        <f aca="false">IF($A3693="","",IF(OR(NOT(ISNUMBER(E3693)),NOT(ISNUMBER(F3693))),"",MAX(0,E3693)*F3693))</f>
        <v/>
      </c>
      <c r="I3693" s="46" t="str">
        <f aca="false">IF($A3693="","",SUMIF($A$2:$A$5001,$A3693,$H$2:$H$5001))</f>
        <v/>
      </c>
      <c r="J3693" s="47" t="n">
        <f aca="false">IF($A3693="",0,IF(COUNTIF($A$2:A3693,$A3693)=1,1,0))</f>
        <v>0</v>
      </c>
      <c r="K3693" s="47" t="n">
        <f aca="false">IF(J3693=1,N(I3693)+ROW()/10000000,0)</f>
        <v>0</v>
      </c>
      <c r="L3693" s="47" t="str">
        <f aca="false">IF(AND(J3693=1,N(I3693)&gt;0),SUMIF($K$2:$K$5001,"&gt;="&amp;K3693,$I$2:$I$5001)/MAX(1,SUM($H$2:$H$5001)),"")</f>
        <v/>
      </c>
      <c r="M3693" s="47" t="str">
        <f aca="false">IF($A3693="","",INDEX($L$2:$L$5001,MATCH($A3693,$A$2:$A$5001,0)))</f>
        <v/>
      </c>
      <c r="N3693" s="48" t="str">
        <f aca="false">IF($A3693="","",IF(N(M3693)=0,"–",IF(M3693&lt;=Start!$D$20,"A",IF(M3693&lt;=Start!$D$21,"B","C"))))</f>
        <v/>
      </c>
      <c r="O3693" s="48" t="str">
        <f aca="false">IF($A3693="","",IF(NOT(ISNUMBER(F3693)),"Wert fehlt; ",IF(F3693&lt;=0,"Wert ist 0; ",""))&amp;IF(NOT(ISNUMBER(E3693)),"Bestand fehlt; ",IF(E3693&lt;0,"Bestand negativ; ",IF(E3693=0,"Nullbestand; ","")))&amp;IF(D3693="","Warengruppe fehlt; ","")&amp;IF(B3693="","Bezeichnung fehlt; ","")&amp;IF(COUNTIFS($A$2:$A$5001,$A3693,$C$2:$C$5001,C3693)&gt;1,"Artikel doppelt im selben Lager; ",""))</f>
        <v/>
      </c>
      <c r="P3693" s="47" t="n">
        <f aca="false">IF(OR($A3693="",D3693=""),0,IF(COUNTIF($D$2:D3693,D3693)=1,SUMIF($D$2:$D$5001,D3693,$H$2:$H$5001)+ROW()/10000000,0))</f>
        <v>0</v>
      </c>
      <c r="Q3693" s="47" t="n">
        <f aca="false">IF(OR($A3693="",C3693=""),0,IF(COUNTIF($C$2:C3693,C3693)=1,SUMIF($C$2:$C$5001,C3693,$H$2:$H$5001)+ROW()/10000000,0))</f>
        <v>0</v>
      </c>
    </row>
    <row r="3694" customFormat="false" ht="15" hidden="false" customHeight="false" outlineLevel="0" collapsed="false">
      <c r="A3694" s="43"/>
      <c r="B3694" s="44"/>
      <c r="C3694" s="44"/>
      <c r="D3694" s="44"/>
      <c r="E3694" s="44"/>
      <c r="F3694" s="44"/>
      <c r="G3694" s="44"/>
      <c r="H3694" s="46" t="str">
        <f aca="false">IF($A3694="","",IF(OR(NOT(ISNUMBER(E3694)),NOT(ISNUMBER(F3694))),"",MAX(0,E3694)*F3694))</f>
        <v/>
      </c>
      <c r="I3694" s="46" t="str">
        <f aca="false">IF($A3694="","",SUMIF($A$2:$A$5001,$A3694,$H$2:$H$5001))</f>
        <v/>
      </c>
      <c r="J3694" s="47" t="n">
        <f aca="false">IF($A3694="",0,IF(COUNTIF($A$2:A3694,$A3694)=1,1,0))</f>
        <v>0</v>
      </c>
      <c r="K3694" s="47" t="n">
        <f aca="false">IF(J3694=1,N(I3694)+ROW()/10000000,0)</f>
        <v>0</v>
      </c>
      <c r="L3694" s="47" t="str">
        <f aca="false">IF(AND(J3694=1,N(I3694)&gt;0),SUMIF($K$2:$K$5001,"&gt;="&amp;K3694,$I$2:$I$5001)/MAX(1,SUM($H$2:$H$5001)),"")</f>
        <v/>
      </c>
      <c r="M3694" s="47" t="str">
        <f aca="false">IF($A3694="","",INDEX($L$2:$L$5001,MATCH($A3694,$A$2:$A$5001,0)))</f>
        <v/>
      </c>
      <c r="N3694" s="48" t="str">
        <f aca="false">IF($A3694="","",IF(N(M3694)=0,"–",IF(M3694&lt;=Start!$D$20,"A",IF(M3694&lt;=Start!$D$21,"B","C"))))</f>
        <v/>
      </c>
      <c r="O3694" s="48" t="str">
        <f aca="false">IF($A3694="","",IF(NOT(ISNUMBER(F3694)),"Wert fehlt; ",IF(F3694&lt;=0,"Wert ist 0; ",""))&amp;IF(NOT(ISNUMBER(E3694)),"Bestand fehlt; ",IF(E3694&lt;0,"Bestand negativ; ",IF(E3694=0,"Nullbestand; ","")))&amp;IF(D3694="","Warengruppe fehlt; ","")&amp;IF(B3694="","Bezeichnung fehlt; ","")&amp;IF(COUNTIFS($A$2:$A$5001,$A3694,$C$2:$C$5001,C3694)&gt;1,"Artikel doppelt im selben Lager; ",""))</f>
        <v/>
      </c>
      <c r="P3694" s="47" t="n">
        <f aca="false">IF(OR($A3694="",D3694=""),0,IF(COUNTIF($D$2:D3694,D3694)=1,SUMIF($D$2:$D$5001,D3694,$H$2:$H$5001)+ROW()/10000000,0))</f>
        <v>0</v>
      </c>
      <c r="Q3694" s="47" t="n">
        <f aca="false">IF(OR($A3694="",C3694=""),0,IF(COUNTIF($C$2:C3694,C3694)=1,SUMIF($C$2:$C$5001,C3694,$H$2:$H$5001)+ROW()/10000000,0))</f>
        <v>0</v>
      </c>
    </row>
    <row r="3695" customFormat="false" ht="15" hidden="false" customHeight="false" outlineLevel="0" collapsed="false">
      <c r="A3695" s="43"/>
      <c r="B3695" s="44"/>
      <c r="C3695" s="44"/>
      <c r="D3695" s="44"/>
      <c r="E3695" s="44"/>
      <c r="F3695" s="44"/>
      <c r="G3695" s="44"/>
      <c r="H3695" s="46" t="str">
        <f aca="false">IF($A3695="","",IF(OR(NOT(ISNUMBER(E3695)),NOT(ISNUMBER(F3695))),"",MAX(0,E3695)*F3695))</f>
        <v/>
      </c>
      <c r="I3695" s="46" t="str">
        <f aca="false">IF($A3695="","",SUMIF($A$2:$A$5001,$A3695,$H$2:$H$5001))</f>
        <v/>
      </c>
      <c r="J3695" s="47" t="n">
        <f aca="false">IF($A3695="",0,IF(COUNTIF($A$2:A3695,$A3695)=1,1,0))</f>
        <v>0</v>
      </c>
      <c r="K3695" s="47" t="n">
        <f aca="false">IF(J3695=1,N(I3695)+ROW()/10000000,0)</f>
        <v>0</v>
      </c>
      <c r="L3695" s="47" t="str">
        <f aca="false">IF(AND(J3695=1,N(I3695)&gt;0),SUMIF($K$2:$K$5001,"&gt;="&amp;K3695,$I$2:$I$5001)/MAX(1,SUM($H$2:$H$5001)),"")</f>
        <v/>
      </c>
      <c r="M3695" s="47" t="str">
        <f aca="false">IF($A3695="","",INDEX($L$2:$L$5001,MATCH($A3695,$A$2:$A$5001,0)))</f>
        <v/>
      </c>
      <c r="N3695" s="48" t="str">
        <f aca="false">IF($A3695="","",IF(N(M3695)=0,"–",IF(M3695&lt;=Start!$D$20,"A",IF(M3695&lt;=Start!$D$21,"B","C"))))</f>
        <v/>
      </c>
      <c r="O3695" s="48" t="str">
        <f aca="false">IF($A3695="","",IF(NOT(ISNUMBER(F3695)),"Wert fehlt; ",IF(F3695&lt;=0,"Wert ist 0; ",""))&amp;IF(NOT(ISNUMBER(E3695)),"Bestand fehlt; ",IF(E3695&lt;0,"Bestand negativ; ",IF(E3695=0,"Nullbestand; ","")))&amp;IF(D3695="","Warengruppe fehlt; ","")&amp;IF(B3695="","Bezeichnung fehlt; ","")&amp;IF(COUNTIFS($A$2:$A$5001,$A3695,$C$2:$C$5001,C3695)&gt;1,"Artikel doppelt im selben Lager; ",""))</f>
        <v/>
      </c>
      <c r="P3695" s="47" t="n">
        <f aca="false">IF(OR($A3695="",D3695=""),0,IF(COUNTIF($D$2:D3695,D3695)=1,SUMIF($D$2:$D$5001,D3695,$H$2:$H$5001)+ROW()/10000000,0))</f>
        <v>0</v>
      </c>
      <c r="Q3695" s="47" t="n">
        <f aca="false">IF(OR($A3695="",C3695=""),0,IF(COUNTIF($C$2:C3695,C3695)=1,SUMIF($C$2:$C$5001,C3695,$H$2:$H$5001)+ROW()/10000000,0))</f>
        <v>0</v>
      </c>
    </row>
    <row r="3696" customFormat="false" ht="15" hidden="false" customHeight="false" outlineLevel="0" collapsed="false">
      <c r="A3696" s="43"/>
      <c r="B3696" s="44"/>
      <c r="C3696" s="44"/>
      <c r="D3696" s="44"/>
      <c r="E3696" s="44"/>
      <c r="F3696" s="44"/>
      <c r="G3696" s="44"/>
      <c r="H3696" s="46" t="str">
        <f aca="false">IF($A3696="","",IF(OR(NOT(ISNUMBER(E3696)),NOT(ISNUMBER(F3696))),"",MAX(0,E3696)*F3696))</f>
        <v/>
      </c>
      <c r="I3696" s="46" t="str">
        <f aca="false">IF($A3696="","",SUMIF($A$2:$A$5001,$A3696,$H$2:$H$5001))</f>
        <v/>
      </c>
      <c r="J3696" s="47" t="n">
        <f aca="false">IF($A3696="",0,IF(COUNTIF($A$2:A3696,$A3696)=1,1,0))</f>
        <v>0</v>
      </c>
      <c r="K3696" s="47" t="n">
        <f aca="false">IF(J3696=1,N(I3696)+ROW()/10000000,0)</f>
        <v>0</v>
      </c>
      <c r="L3696" s="47" t="str">
        <f aca="false">IF(AND(J3696=1,N(I3696)&gt;0),SUMIF($K$2:$K$5001,"&gt;="&amp;K3696,$I$2:$I$5001)/MAX(1,SUM($H$2:$H$5001)),"")</f>
        <v/>
      </c>
      <c r="M3696" s="47" t="str">
        <f aca="false">IF($A3696="","",INDEX($L$2:$L$5001,MATCH($A3696,$A$2:$A$5001,0)))</f>
        <v/>
      </c>
      <c r="N3696" s="48" t="str">
        <f aca="false">IF($A3696="","",IF(N(M3696)=0,"–",IF(M3696&lt;=Start!$D$20,"A",IF(M3696&lt;=Start!$D$21,"B","C"))))</f>
        <v/>
      </c>
      <c r="O3696" s="48" t="str">
        <f aca="false">IF($A3696="","",IF(NOT(ISNUMBER(F3696)),"Wert fehlt; ",IF(F3696&lt;=0,"Wert ist 0; ",""))&amp;IF(NOT(ISNUMBER(E3696)),"Bestand fehlt; ",IF(E3696&lt;0,"Bestand negativ; ",IF(E3696=0,"Nullbestand; ","")))&amp;IF(D3696="","Warengruppe fehlt; ","")&amp;IF(B3696="","Bezeichnung fehlt; ","")&amp;IF(COUNTIFS($A$2:$A$5001,$A3696,$C$2:$C$5001,C3696)&gt;1,"Artikel doppelt im selben Lager; ",""))</f>
        <v/>
      </c>
      <c r="P3696" s="47" t="n">
        <f aca="false">IF(OR($A3696="",D3696=""),0,IF(COUNTIF($D$2:D3696,D3696)=1,SUMIF($D$2:$D$5001,D3696,$H$2:$H$5001)+ROW()/10000000,0))</f>
        <v>0</v>
      </c>
      <c r="Q3696" s="47" t="n">
        <f aca="false">IF(OR($A3696="",C3696=""),0,IF(COUNTIF($C$2:C3696,C3696)=1,SUMIF($C$2:$C$5001,C3696,$H$2:$H$5001)+ROW()/10000000,0))</f>
        <v>0</v>
      </c>
    </row>
    <row r="3697" customFormat="false" ht="15" hidden="false" customHeight="false" outlineLevel="0" collapsed="false">
      <c r="A3697" s="43"/>
      <c r="B3697" s="44"/>
      <c r="C3697" s="44"/>
      <c r="D3697" s="44"/>
      <c r="E3697" s="44"/>
      <c r="F3697" s="44"/>
      <c r="G3697" s="44"/>
      <c r="H3697" s="46" t="str">
        <f aca="false">IF($A3697="","",IF(OR(NOT(ISNUMBER(E3697)),NOT(ISNUMBER(F3697))),"",MAX(0,E3697)*F3697))</f>
        <v/>
      </c>
      <c r="I3697" s="46" t="str">
        <f aca="false">IF($A3697="","",SUMIF($A$2:$A$5001,$A3697,$H$2:$H$5001))</f>
        <v/>
      </c>
      <c r="J3697" s="47" t="n">
        <f aca="false">IF($A3697="",0,IF(COUNTIF($A$2:A3697,$A3697)=1,1,0))</f>
        <v>0</v>
      </c>
      <c r="K3697" s="47" t="n">
        <f aca="false">IF(J3697=1,N(I3697)+ROW()/10000000,0)</f>
        <v>0</v>
      </c>
      <c r="L3697" s="47" t="str">
        <f aca="false">IF(AND(J3697=1,N(I3697)&gt;0),SUMIF($K$2:$K$5001,"&gt;="&amp;K3697,$I$2:$I$5001)/MAX(1,SUM($H$2:$H$5001)),"")</f>
        <v/>
      </c>
      <c r="M3697" s="47" t="str">
        <f aca="false">IF($A3697="","",INDEX($L$2:$L$5001,MATCH($A3697,$A$2:$A$5001,0)))</f>
        <v/>
      </c>
      <c r="N3697" s="48" t="str">
        <f aca="false">IF($A3697="","",IF(N(M3697)=0,"–",IF(M3697&lt;=Start!$D$20,"A",IF(M3697&lt;=Start!$D$21,"B","C"))))</f>
        <v/>
      </c>
      <c r="O3697" s="48" t="str">
        <f aca="false">IF($A3697="","",IF(NOT(ISNUMBER(F3697)),"Wert fehlt; ",IF(F3697&lt;=0,"Wert ist 0; ",""))&amp;IF(NOT(ISNUMBER(E3697)),"Bestand fehlt; ",IF(E3697&lt;0,"Bestand negativ; ",IF(E3697=0,"Nullbestand; ","")))&amp;IF(D3697="","Warengruppe fehlt; ","")&amp;IF(B3697="","Bezeichnung fehlt; ","")&amp;IF(COUNTIFS($A$2:$A$5001,$A3697,$C$2:$C$5001,C3697)&gt;1,"Artikel doppelt im selben Lager; ",""))</f>
        <v/>
      </c>
      <c r="P3697" s="47" t="n">
        <f aca="false">IF(OR($A3697="",D3697=""),0,IF(COUNTIF($D$2:D3697,D3697)=1,SUMIF($D$2:$D$5001,D3697,$H$2:$H$5001)+ROW()/10000000,0))</f>
        <v>0</v>
      </c>
      <c r="Q3697" s="47" t="n">
        <f aca="false">IF(OR($A3697="",C3697=""),0,IF(COUNTIF($C$2:C3697,C3697)=1,SUMIF($C$2:$C$5001,C3697,$H$2:$H$5001)+ROW()/10000000,0))</f>
        <v>0</v>
      </c>
    </row>
    <row r="3698" customFormat="false" ht="15" hidden="false" customHeight="false" outlineLevel="0" collapsed="false">
      <c r="A3698" s="43"/>
      <c r="B3698" s="44"/>
      <c r="C3698" s="44"/>
      <c r="D3698" s="44"/>
      <c r="E3698" s="44"/>
      <c r="F3698" s="44"/>
      <c r="G3698" s="44"/>
      <c r="H3698" s="46" t="str">
        <f aca="false">IF($A3698="","",IF(OR(NOT(ISNUMBER(E3698)),NOT(ISNUMBER(F3698))),"",MAX(0,E3698)*F3698))</f>
        <v/>
      </c>
      <c r="I3698" s="46" t="str">
        <f aca="false">IF($A3698="","",SUMIF($A$2:$A$5001,$A3698,$H$2:$H$5001))</f>
        <v/>
      </c>
      <c r="J3698" s="47" t="n">
        <f aca="false">IF($A3698="",0,IF(COUNTIF($A$2:A3698,$A3698)=1,1,0))</f>
        <v>0</v>
      </c>
      <c r="K3698" s="47" t="n">
        <f aca="false">IF(J3698=1,N(I3698)+ROW()/10000000,0)</f>
        <v>0</v>
      </c>
      <c r="L3698" s="47" t="str">
        <f aca="false">IF(AND(J3698=1,N(I3698)&gt;0),SUMIF($K$2:$K$5001,"&gt;="&amp;K3698,$I$2:$I$5001)/MAX(1,SUM($H$2:$H$5001)),"")</f>
        <v/>
      </c>
      <c r="M3698" s="47" t="str">
        <f aca="false">IF($A3698="","",INDEX($L$2:$L$5001,MATCH($A3698,$A$2:$A$5001,0)))</f>
        <v/>
      </c>
      <c r="N3698" s="48" t="str">
        <f aca="false">IF($A3698="","",IF(N(M3698)=0,"–",IF(M3698&lt;=Start!$D$20,"A",IF(M3698&lt;=Start!$D$21,"B","C"))))</f>
        <v/>
      </c>
      <c r="O3698" s="48" t="str">
        <f aca="false">IF($A3698="","",IF(NOT(ISNUMBER(F3698)),"Wert fehlt; ",IF(F3698&lt;=0,"Wert ist 0; ",""))&amp;IF(NOT(ISNUMBER(E3698)),"Bestand fehlt; ",IF(E3698&lt;0,"Bestand negativ; ",IF(E3698=0,"Nullbestand; ","")))&amp;IF(D3698="","Warengruppe fehlt; ","")&amp;IF(B3698="","Bezeichnung fehlt; ","")&amp;IF(COUNTIFS($A$2:$A$5001,$A3698,$C$2:$C$5001,C3698)&gt;1,"Artikel doppelt im selben Lager; ",""))</f>
        <v/>
      </c>
      <c r="P3698" s="47" t="n">
        <f aca="false">IF(OR($A3698="",D3698=""),0,IF(COUNTIF($D$2:D3698,D3698)=1,SUMIF($D$2:$D$5001,D3698,$H$2:$H$5001)+ROW()/10000000,0))</f>
        <v>0</v>
      </c>
      <c r="Q3698" s="47" t="n">
        <f aca="false">IF(OR($A3698="",C3698=""),0,IF(COUNTIF($C$2:C3698,C3698)=1,SUMIF($C$2:$C$5001,C3698,$H$2:$H$5001)+ROW()/10000000,0))</f>
        <v>0</v>
      </c>
    </row>
    <row r="3699" customFormat="false" ht="15" hidden="false" customHeight="false" outlineLevel="0" collapsed="false">
      <c r="A3699" s="43"/>
      <c r="B3699" s="44"/>
      <c r="C3699" s="44"/>
      <c r="D3699" s="44"/>
      <c r="E3699" s="44"/>
      <c r="F3699" s="44"/>
      <c r="G3699" s="44"/>
      <c r="H3699" s="46" t="str">
        <f aca="false">IF($A3699="","",IF(OR(NOT(ISNUMBER(E3699)),NOT(ISNUMBER(F3699))),"",MAX(0,E3699)*F3699))</f>
        <v/>
      </c>
      <c r="I3699" s="46" t="str">
        <f aca="false">IF($A3699="","",SUMIF($A$2:$A$5001,$A3699,$H$2:$H$5001))</f>
        <v/>
      </c>
      <c r="J3699" s="47" t="n">
        <f aca="false">IF($A3699="",0,IF(COUNTIF($A$2:A3699,$A3699)=1,1,0))</f>
        <v>0</v>
      </c>
      <c r="K3699" s="47" t="n">
        <f aca="false">IF(J3699=1,N(I3699)+ROW()/10000000,0)</f>
        <v>0</v>
      </c>
      <c r="L3699" s="47" t="str">
        <f aca="false">IF(AND(J3699=1,N(I3699)&gt;0),SUMIF($K$2:$K$5001,"&gt;="&amp;K3699,$I$2:$I$5001)/MAX(1,SUM($H$2:$H$5001)),"")</f>
        <v/>
      </c>
      <c r="M3699" s="47" t="str">
        <f aca="false">IF($A3699="","",INDEX($L$2:$L$5001,MATCH($A3699,$A$2:$A$5001,0)))</f>
        <v/>
      </c>
      <c r="N3699" s="48" t="str">
        <f aca="false">IF($A3699="","",IF(N(M3699)=0,"–",IF(M3699&lt;=Start!$D$20,"A",IF(M3699&lt;=Start!$D$21,"B","C"))))</f>
        <v/>
      </c>
      <c r="O3699" s="48" t="str">
        <f aca="false">IF($A3699="","",IF(NOT(ISNUMBER(F3699)),"Wert fehlt; ",IF(F3699&lt;=0,"Wert ist 0; ",""))&amp;IF(NOT(ISNUMBER(E3699)),"Bestand fehlt; ",IF(E3699&lt;0,"Bestand negativ; ",IF(E3699=0,"Nullbestand; ","")))&amp;IF(D3699="","Warengruppe fehlt; ","")&amp;IF(B3699="","Bezeichnung fehlt; ","")&amp;IF(COUNTIFS($A$2:$A$5001,$A3699,$C$2:$C$5001,C3699)&gt;1,"Artikel doppelt im selben Lager; ",""))</f>
        <v/>
      </c>
      <c r="P3699" s="47" t="n">
        <f aca="false">IF(OR($A3699="",D3699=""),0,IF(COUNTIF($D$2:D3699,D3699)=1,SUMIF($D$2:$D$5001,D3699,$H$2:$H$5001)+ROW()/10000000,0))</f>
        <v>0</v>
      </c>
      <c r="Q3699" s="47" t="n">
        <f aca="false">IF(OR($A3699="",C3699=""),0,IF(COUNTIF($C$2:C3699,C3699)=1,SUMIF($C$2:$C$5001,C3699,$H$2:$H$5001)+ROW()/10000000,0))</f>
        <v>0</v>
      </c>
    </row>
    <row r="3700" customFormat="false" ht="15" hidden="false" customHeight="false" outlineLevel="0" collapsed="false">
      <c r="A3700" s="43"/>
      <c r="B3700" s="44"/>
      <c r="C3700" s="44"/>
      <c r="D3700" s="44"/>
      <c r="E3700" s="44"/>
      <c r="F3700" s="44"/>
      <c r="G3700" s="44"/>
      <c r="H3700" s="46" t="str">
        <f aca="false">IF($A3700="","",IF(OR(NOT(ISNUMBER(E3700)),NOT(ISNUMBER(F3700))),"",MAX(0,E3700)*F3700))</f>
        <v/>
      </c>
      <c r="I3700" s="46" t="str">
        <f aca="false">IF($A3700="","",SUMIF($A$2:$A$5001,$A3700,$H$2:$H$5001))</f>
        <v/>
      </c>
      <c r="J3700" s="47" t="n">
        <f aca="false">IF($A3700="",0,IF(COUNTIF($A$2:A3700,$A3700)=1,1,0))</f>
        <v>0</v>
      </c>
      <c r="K3700" s="47" t="n">
        <f aca="false">IF(J3700=1,N(I3700)+ROW()/10000000,0)</f>
        <v>0</v>
      </c>
      <c r="L3700" s="47" t="str">
        <f aca="false">IF(AND(J3700=1,N(I3700)&gt;0),SUMIF($K$2:$K$5001,"&gt;="&amp;K3700,$I$2:$I$5001)/MAX(1,SUM($H$2:$H$5001)),"")</f>
        <v/>
      </c>
      <c r="M3700" s="47" t="str">
        <f aca="false">IF($A3700="","",INDEX($L$2:$L$5001,MATCH($A3700,$A$2:$A$5001,0)))</f>
        <v/>
      </c>
      <c r="N3700" s="48" t="str">
        <f aca="false">IF($A3700="","",IF(N(M3700)=0,"–",IF(M3700&lt;=Start!$D$20,"A",IF(M3700&lt;=Start!$D$21,"B","C"))))</f>
        <v/>
      </c>
      <c r="O3700" s="48" t="str">
        <f aca="false">IF($A3700="","",IF(NOT(ISNUMBER(F3700)),"Wert fehlt; ",IF(F3700&lt;=0,"Wert ist 0; ",""))&amp;IF(NOT(ISNUMBER(E3700)),"Bestand fehlt; ",IF(E3700&lt;0,"Bestand negativ; ",IF(E3700=0,"Nullbestand; ","")))&amp;IF(D3700="","Warengruppe fehlt; ","")&amp;IF(B3700="","Bezeichnung fehlt; ","")&amp;IF(COUNTIFS($A$2:$A$5001,$A3700,$C$2:$C$5001,C3700)&gt;1,"Artikel doppelt im selben Lager; ",""))</f>
        <v/>
      </c>
      <c r="P3700" s="47" t="n">
        <f aca="false">IF(OR($A3700="",D3700=""),0,IF(COUNTIF($D$2:D3700,D3700)=1,SUMIF($D$2:$D$5001,D3700,$H$2:$H$5001)+ROW()/10000000,0))</f>
        <v>0</v>
      </c>
      <c r="Q3700" s="47" t="n">
        <f aca="false">IF(OR($A3700="",C3700=""),0,IF(COUNTIF($C$2:C3700,C3700)=1,SUMIF($C$2:$C$5001,C3700,$H$2:$H$5001)+ROW()/10000000,0))</f>
        <v>0</v>
      </c>
    </row>
    <row r="3701" customFormat="false" ht="15" hidden="false" customHeight="false" outlineLevel="0" collapsed="false">
      <c r="A3701" s="43"/>
      <c r="B3701" s="44"/>
      <c r="C3701" s="44"/>
      <c r="D3701" s="44"/>
      <c r="E3701" s="44"/>
      <c r="F3701" s="44"/>
      <c r="G3701" s="44"/>
      <c r="H3701" s="46" t="str">
        <f aca="false">IF($A3701="","",IF(OR(NOT(ISNUMBER(E3701)),NOT(ISNUMBER(F3701))),"",MAX(0,E3701)*F3701))</f>
        <v/>
      </c>
      <c r="I3701" s="46" t="str">
        <f aca="false">IF($A3701="","",SUMIF($A$2:$A$5001,$A3701,$H$2:$H$5001))</f>
        <v/>
      </c>
      <c r="J3701" s="47" t="n">
        <f aca="false">IF($A3701="",0,IF(COUNTIF($A$2:A3701,$A3701)=1,1,0))</f>
        <v>0</v>
      </c>
      <c r="K3701" s="47" t="n">
        <f aca="false">IF(J3701=1,N(I3701)+ROW()/10000000,0)</f>
        <v>0</v>
      </c>
      <c r="L3701" s="47" t="str">
        <f aca="false">IF(AND(J3701=1,N(I3701)&gt;0),SUMIF($K$2:$K$5001,"&gt;="&amp;K3701,$I$2:$I$5001)/MAX(1,SUM($H$2:$H$5001)),"")</f>
        <v/>
      </c>
      <c r="M3701" s="47" t="str">
        <f aca="false">IF($A3701="","",INDEX($L$2:$L$5001,MATCH($A3701,$A$2:$A$5001,0)))</f>
        <v/>
      </c>
      <c r="N3701" s="48" t="str">
        <f aca="false">IF($A3701="","",IF(N(M3701)=0,"–",IF(M3701&lt;=Start!$D$20,"A",IF(M3701&lt;=Start!$D$21,"B","C"))))</f>
        <v/>
      </c>
      <c r="O3701" s="48" t="str">
        <f aca="false">IF($A3701="","",IF(NOT(ISNUMBER(F3701)),"Wert fehlt; ",IF(F3701&lt;=0,"Wert ist 0; ",""))&amp;IF(NOT(ISNUMBER(E3701)),"Bestand fehlt; ",IF(E3701&lt;0,"Bestand negativ; ",IF(E3701=0,"Nullbestand; ","")))&amp;IF(D3701="","Warengruppe fehlt; ","")&amp;IF(B3701="","Bezeichnung fehlt; ","")&amp;IF(COUNTIFS($A$2:$A$5001,$A3701,$C$2:$C$5001,C3701)&gt;1,"Artikel doppelt im selben Lager; ",""))</f>
        <v/>
      </c>
      <c r="P3701" s="47" t="n">
        <f aca="false">IF(OR($A3701="",D3701=""),0,IF(COUNTIF($D$2:D3701,D3701)=1,SUMIF($D$2:$D$5001,D3701,$H$2:$H$5001)+ROW()/10000000,0))</f>
        <v>0</v>
      </c>
      <c r="Q3701" s="47" t="n">
        <f aca="false">IF(OR($A3701="",C3701=""),0,IF(COUNTIF($C$2:C3701,C3701)=1,SUMIF($C$2:$C$5001,C3701,$H$2:$H$5001)+ROW()/10000000,0))</f>
        <v>0</v>
      </c>
    </row>
    <row r="3702" customFormat="false" ht="15" hidden="false" customHeight="false" outlineLevel="0" collapsed="false">
      <c r="A3702" s="43"/>
      <c r="B3702" s="44"/>
      <c r="C3702" s="44"/>
      <c r="D3702" s="44"/>
      <c r="E3702" s="44"/>
      <c r="F3702" s="44"/>
      <c r="G3702" s="44"/>
      <c r="H3702" s="46" t="str">
        <f aca="false">IF($A3702="","",IF(OR(NOT(ISNUMBER(E3702)),NOT(ISNUMBER(F3702))),"",MAX(0,E3702)*F3702))</f>
        <v/>
      </c>
      <c r="I3702" s="46" t="str">
        <f aca="false">IF($A3702="","",SUMIF($A$2:$A$5001,$A3702,$H$2:$H$5001))</f>
        <v/>
      </c>
      <c r="J3702" s="47" t="n">
        <f aca="false">IF($A3702="",0,IF(COUNTIF($A$2:A3702,$A3702)=1,1,0))</f>
        <v>0</v>
      </c>
      <c r="K3702" s="47" t="n">
        <f aca="false">IF(J3702=1,N(I3702)+ROW()/10000000,0)</f>
        <v>0</v>
      </c>
      <c r="L3702" s="47" t="str">
        <f aca="false">IF(AND(J3702=1,N(I3702)&gt;0),SUMIF($K$2:$K$5001,"&gt;="&amp;K3702,$I$2:$I$5001)/MAX(1,SUM($H$2:$H$5001)),"")</f>
        <v/>
      </c>
      <c r="M3702" s="47" t="str">
        <f aca="false">IF($A3702="","",INDEX($L$2:$L$5001,MATCH($A3702,$A$2:$A$5001,0)))</f>
        <v/>
      </c>
      <c r="N3702" s="48" t="str">
        <f aca="false">IF($A3702="","",IF(N(M3702)=0,"–",IF(M3702&lt;=Start!$D$20,"A",IF(M3702&lt;=Start!$D$21,"B","C"))))</f>
        <v/>
      </c>
      <c r="O3702" s="48" t="str">
        <f aca="false">IF($A3702="","",IF(NOT(ISNUMBER(F3702)),"Wert fehlt; ",IF(F3702&lt;=0,"Wert ist 0; ",""))&amp;IF(NOT(ISNUMBER(E3702)),"Bestand fehlt; ",IF(E3702&lt;0,"Bestand negativ; ",IF(E3702=0,"Nullbestand; ","")))&amp;IF(D3702="","Warengruppe fehlt; ","")&amp;IF(B3702="","Bezeichnung fehlt; ","")&amp;IF(COUNTIFS($A$2:$A$5001,$A3702,$C$2:$C$5001,C3702)&gt;1,"Artikel doppelt im selben Lager; ",""))</f>
        <v/>
      </c>
      <c r="P3702" s="47" t="n">
        <f aca="false">IF(OR($A3702="",D3702=""),0,IF(COUNTIF($D$2:D3702,D3702)=1,SUMIF($D$2:$D$5001,D3702,$H$2:$H$5001)+ROW()/10000000,0))</f>
        <v>0</v>
      </c>
      <c r="Q3702" s="47" t="n">
        <f aca="false">IF(OR($A3702="",C3702=""),0,IF(COUNTIF($C$2:C3702,C3702)=1,SUMIF($C$2:$C$5001,C3702,$H$2:$H$5001)+ROW()/10000000,0))</f>
        <v>0</v>
      </c>
    </row>
    <row r="3703" customFormat="false" ht="15" hidden="false" customHeight="false" outlineLevel="0" collapsed="false">
      <c r="A3703" s="43"/>
      <c r="B3703" s="44"/>
      <c r="C3703" s="44"/>
      <c r="D3703" s="44"/>
      <c r="E3703" s="44"/>
      <c r="F3703" s="44"/>
      <c r="G3703" s="44"/>
      <c r="H3703" s="46" t="str">
        <f aca="false">IF($A3703="","",IF(OR(NOT(ISNUMBER(E3703)),NOT(ISNUMBER(F3703))),"",MAX(0,E3703)*F3703))</f>
        <v/>
      </c>
      <c r="I3703" s="46" t="str">
        <f aca="false">IF($A3703="","",SUMIF($A$2:$A$5001,$A3703,$H$2:$H$5001))</f>
        <v/>
      </c>
      <c r="J3703" s="47" t="n">
        <f aca="false">IF($A3703="",0,IF(COUNTIF($A$2:A3703,$A3703)=1,1,0))</f>
        <v>0</v>
      </c>
      <c r="K3703" s="47" t="n">
        <f aca="false">IF(J3703=1,N(I3703)+ROW()/10000000,0)</f>
        <v>0</v>
      </c>
      <c r="L3703" s="47" t="str">
        <f aca="false">IF(AND(J3703=1,N(I3703)&gt;0),SUMIF($K$2:$K$5001,"&gt;="&amp;K3703,$I$2:$I$5001)/MAX(1,SUM($H$2:$H$5001)),"")</f>
        <v/>
      </c>
      <c r="M3703" s="47" t="str">
        <f aca="false">IF($A3703="","",INDEX($L$2:$L$5001,MATCH($A3703,$A$2:$A$5001,0)))</f>
        <v/>
      </c>
      <c r="N3703" s="48" t="str">
        <f aca="false">IF($A3703="","",IF(N(M3703)=0,"–",IF(M3703&lt;=Start!$D$20,"A",IF(M3703&lt;=Start!$D$21,"B","C"))))</f>
        <v/>
      </c>
      <c r="O3703" s="48" t="str">
        <f aca="false">IF($A3703="","",IF(NOT(ISNUMBER(F3703)),"Wert fehlt; ",IF(F3703&lt;=0,"Wert ist 0; ",""))&amp;IF(NOT(ISNUMBER(E3703)),"Bestand fehlt; ",IF(E3703&lt;0,"Bestand negativ; ",IF(E3703=0,"Nullbestand; ","")))&amp;IF(D3703="","Warengruppe fehlt; ","")&amp;IF(B3703="","Bezeichnung fehlt; ","")&amp;IF(COUNTIFS($A$2:$A$5001,$A3703,$C$2:$C$5001,C3703)&gt;1,"Artikel doppelt im selben Lager; ",""))</f>
        <v/>
      </c>
      <c r="P3703" s="47" t="n">
        <f aca="false">IF(OR($A3703="",D3703=""),0,IF(COUNTIF($D$2:D3703,D3703)=1,SUMIF($D$2:$D$5001,D3703,$H$2:$H$5001)+ROW()/10000000,0))</f>
        <v>0</v>
      </c>
      <c r="Q3703" s="47" t="n">
        <f aca="false">IF(OR($A3703="",C3703=""),0,IF(COUNTIF($C$2:C3703,C3703)=1,SUMIF($C$2:$C$5001,C3703,$H$2:$H$5001)+ROW()/10000000,0))</f>
        <v>0</v>
      </c>
    </row>
    <row r="3704" customFormat="false" ht="15" hidden="false" customHeight="false" outlineLevel="0" collapsed="false">
      <c r="A3704" s="43"/>
      <c r="B3704" s="44"/>
      <c r="C3704" s="44"/>
      <c r="D3704" s="44"/>
      <c r="E3704" s="44"/>
      <c r="F3704" s="44"/>
      <c r="G3704" s="44"/>
      <c r="H3704" s="46" t="str">
        <f aca="false">IF($A3704="","",IF(OR(NOT(ISNUMBER(E3704)),NOT(ISNUMBER(F3704))),"",MAX(0,E3704)*F3704))</f>
        <v/>
      </c>
      <c r="I3704" s="46" t="str">
        <f aca="false">IF($A3704="","",SUMIF($A$2:$A$5001,$A3704,$H$2:$H$5001))</f>
        <v/>
      </c>
      <c r="J3704" s="47" t="n">
        <f aca="false">IF($A3704="",0,IF(COUNTIF($A$2:A3704,$A3704)=1,1,0))</f>
        <v>0</v>
      </c>
      <c r="K3704" s="47" t="n">
        <f aca="false">IF(J3704=1,N(I3704)+ROW()/10000000,0)</f>
        <v>0</v>
      </c>
      <c r="L3704" s="47" t="str">
        <f aca="false">IF(AND(J3704=1,N(I3704)&gt;0),SUMIF($K$2:$K$5001,"&gt;="&amp;K3704,$I$2:$I$5001)/MAX(1,SUM($H$2:$H$5001)),"")</f>
        <v/>
      </c>
      <c r="M3704" s="47" t="str">
        <f aca="false">IF($A3704="","",INDEX($L$2:$L$5001,MATCH($A3704,$A$2:$A$5001,0)))</f>
        <v/>
      </c>
      <c r="N3704" s="48" t="str">
        <f aca="false">IF($A3704="","",IF(N(M3704)=0,"–",IF(M3704&lt;=Start!$D$20,"A",IF(M3704&lt;=Start!$D$21,"B","C"))))</f>
        <v/>
      </c>
      <c r="O3704" s="48" t="str">
        <f aca="false">IF($A3704="","",IF(NOT(ISNUMBER(F3704)),"Wert fehlt; ",IF(F3704&lt;=0,"Wert ist 0; ",""))&amp;IF(NOT(ISNUMBER(E3704)),"Bestand fehlt; ",IF(E3704&lt;0,"Bestand negativ; ",IF(E3704=0,"Nullbestand; ","")))&amp;IF(D3704="","Warengruppe fehlt; ","")&amp;IF(B3704="","Bezeichnung fehlt; ","")&amp;IF(COUNTIFS($A$2:$A$5001,$A3704,$C$2:$C$5001,C3704)&gt;1,"Artikel doppelt im selben Lager; ",""))</f>
        <v/>
      </c>
      <c r="P3704" s="47" t="n">
        <f aca="false">IF(OR($A3704="",D3704=""),0,IF(COUNTIF($D$2:D3704,D3704)=1,SUMIF($D$2:$D$5001,D3704,$H$2:$H$5001)+ROW()/10000000,0))</f>
        <v>0</v>
      </c>
      <c r="Q3704" s="47" t="n">
        <f aca="false">IF(OR($A3704="",C3704=""),0,IF(COUNTIF($C$2:C3704,C3704)=1,SUMIF($C$2:$C$5001,C3704,$H$2:$H$5001)+ROW()/10000000,0))</f>
        <v>0</v>
      </c>
    </row>
    <row r="3705" customFormat="false" ht="15" hidden="false" customHeight="false" outlineLevel="0" collapsed="false">
      <c r="A3705" s="43"/>
      <c r="B3705" s="44"/>
      <c r="C3705" s="44"/>
      <c r="D3705" s="44"/>
      <c r="E3705" s="44"/>
      <c r="F3705" s="44"/>
      <c r="G3705" s="44"/>
      <c r="H3705" s="46" t="str">
        <f aca="false">IF($A3705="","",IF(OR(NOT(ISNUMBER(E3705)),NOT(ISNUMBER(F3705))),"",MAX(0,E3705)*F3705))</f>
        <v/>
      </c>
      <c r="I3705" s="46" t="str">
        <f aca="false">IF($A3705="","",SUMIF($A$2:$A$5001,$A3705,$H$2:$H$5001))</f>
        <v/>
      </c>
      <c r="J3705" s="47" t="n">
        <f aca="false">IF($A3705="",0,IF(COUNTIF($A$2:A3705,$A3705)=1,1,0))</f>
        <v>0</v>
      </c>
      <c r="K3705" s="47" t="n">
        <f aca="false">IF(J3705=1,N(I3705)+ROW()/10000000,0)</f>
        <v>0</v>
      </c>
      <c r="L3705" s="47" t="str">
        <f aca="false">IF(AND(J3705=1,N(I3705)&gt;0),SUMIF($K$2:$K$5001,"&gt;="&amp;K3705,$I$2:$I$5001)/MAX(1,SUM($H$2:$H$5001)),"")</f>
        <v/>
      </c>
      <c r="M3705" s="47" t="str">
        <f aca="false">IF($A3705="","",INDEX($L$2:$L$5001,MATCH($A3705,$A$2:$A$5001,0)))</f>
        <v/>
      </c>
      <c r="N3705" s="48" t="str">
        <f aca="false">IF($A3705="","",IF(N(M3705)=0,"–",IF(M3705&lt;=Start!$D$20,"A",IF(M3705&lt;=Start!$D$21,"B","C"))))</f>
        <v/>
      </c>
      <c r="O3705" s="48" t="str">
        <f aca="false">IF($A3705="","",IF(NOT(ISNUMBER(F3705)),"Wert fehlt; ",IF(F3705&lt;=0,"Wert ist 0; ",""))&amp;IF(NOT(ISNUMBER(E3705)),"Bestand fehlt; ",IF(E3705&lt;0,"Bestand negativ; ",IF(E3705=0,"Nullbestand; ","")))&amp;IF(D3705="","Warengruppe fehlt; ","")&amp;IF(B3705="","Bezeichnung fehlt; ","")&amp;IF(COUNTIFS($A$2:$A$5001,$A3705,$C$2:$C$5001,C3705)&gt;1,"Artikel doppelt im selben Lager; ",""))</f>
        <v/>
      </c>
      <c r="P3705" s="47" t="n">
        <f aca="false">IF(OR($A3705="",D3705=""),0,IF(COUNTIF($D$2:D3705,D3705)=1,SUMIF($D$2:$D$5001,D3705,$H$2:$H$5001)+ROW()/10000000,0))</f>
        <v>0</v>
      </c>
      <c r="Q3705" s="47" t="n">
        <f aca="false">IF(OR($A3705="",C3705=""),0,IF(COUNTIF($C$2:C3705,C3705)=1,SUMIF($C$2:$C$5001,C3705,$H$2:$H$5001)+ROW()/10000000,0))</f>
        <v>0</v>
      </c>
    </row>
    <row r="3706" customFormat="false" ht="15" hidden="false" customHeight="false" outlineLevel="0" collapsed="false">
      <c r="A3706" s="43"/>
      <c r="B3706" s="44"/>
      <c r="C3706" s="44"/>
      <c r="D3706" s="44"/>
      <c r="E3706" s="44"/>
      <c r="F3706" s="44"/>
      <c r="G3706" s="44"/>
      <c r="H3706" s="46" t="str">
        <f aca="false">IF($A3706="","",IF(OR(NOT(ISNUMBER(E3706)),NOT(ISNUMBER(F3706))),"",MAX(0,E3706)*F3706))</f>
        <v/>
      </c>
      <c r="I3706" s="46" t="str">
        <f aca="false">IF($A3706="","",SUMIF($A$2:$A$5001,$A3706,$H$2:$H$5001))</f>
        <v/>
      </c>
      <c r="J3706" s="47" t="n">
        <f aca="false">IF($A3706="",0,IF(COUNTIF($A$2:A3706,$A3706)=1,1,0))</f>
        <v>0</v>
      </c>
      <c r="K3706" s="47" t="n">
        <f aca="false">IF(J3706=1,N(I3706)+ROW()/10000000,0)</f>
        <v>0</v>
      </c>
      <c r="L3706" s="47" t="str">
        <f aca="false">IF(AND(J3706=1,N(I3706)&gt;0),SUMIF($K$2:$K$5001,"&gt;="&amp;K3706,$I$2:$I$5001)/MAX(1,SUM($H$2:$H$5001)),"")</f>
        <v/>
      </c>
      <c r="M3706" s="47" t="str">
        <f aca="false">IF($A3706="","",INDEX($L$2:$L$5001,MATCH($A3706,$A$2:$A$5001,0)))</f>
        <v/>
      </c>
      <c r="N3706" s="48" t="str">
        <f aca="false">IF($A3706="","",IF(N(M3706)=0,"–",IF(M3706&lt;=Start!$D$20,"A",IF(M3706&lt;=Start!$D$21,"B","C"))))</f>
        <v/>
      </c>
      <c r="O3706" s="48" t="str">
        <f aca="false">IF($A3706="","",IF(NOT(ISNUMBER(F3706)),"Wert fehlt; ",IF(F3706&lt;=0,"Wert ist 0; ",""))&amp;IF(NOT(ISNUMBER(E3706)),"Bestand fehlt; ",IF(E3706&lt;0,"Bestand negativ; ",IF(E3706=0,"Nullbestand; ","")))&amp;IF(D3706="","Warengruppe fehlt; ","")&amp;IF(B3706="","Bezeichnung fehlt; ","")&amp;IF(COUNTIFS($A$2:$A$5001,$A3706,$C$2:$C$5001,C3706)&gt;1,"Artikel doppelt im selben Lager; ",""))</f>
        <v/>
      </c>
      <c r="P3706" s="47" t="n">
        <f aca="false">IF(OR($A3706="",D3706=""),0,IF(COUNTIF($D$2:D3706,D3706)=1,SUMIF($D$2:$D$5001,D3706,$H$2:$H$5001)+ROW()/10000000,0))</f>
        <v>0</v>
      </c>
      <c r="Q3706" s="47" t="n">
        <f aca="false">IF(OR($A3706="",C3706=""),0,IF(COUNTIF($C$2:C3706,C3706)=1,SUMIF($C$2:$C$5001,C3706,$H$2:$H$5001)+ROW()/10000000,0))</f>
        <v>0</v>
      </c>
    </row>
    <row r="3707" customFormat="false" ht="15" hidden="false" customHeight="false" outlineLevel="0" collapsed="false">
      <c r="A3707" s="43"/>
      <c r="B3707" s="44"/>
      <c r="C3707" s="44"/>
      <c r="D3707" s="44"/>
      <c r="E3707" s="44"/>
      <c r="F3707" s="44"/>
      <c r="G3707" s="44"/>
      <c r="H3707" s="46" t="str">
        <f aca="false">IF($A3707="","",IF(OR(NOT(ISNUMBER(E3707)),NOT(ISNUMBER(F3707))),"",MAX(0,E3707)*F3707))</f>
        <v/>
      </c>
      <c r="I3707" s="46" t="str">
        <f aca="false">IF($A3707="","",SUMIF($A$2:$A$5001,$A3707,$H$2:$H$5001))</f>
        <v/>
      </c>
      <c r="J3707" s="47" t="n">
        <f aca="false">IF($A3707="",0,IF(COUNTIF($A$2:A3707,$A3707)=1,1,0))</f>
        <v>0</v>
      </c>
      <c r="K3707" s="47" t="n">
        <f aca="false">IF(J3707=1,N(I3707)+ROW()/10000000,0)</f>
        <v>0</v>
      </c>
      <c r="L3707" s="47" t="str">
        <f aca="false">IF(AND(J3707=1,N(I3707)&gt;0),SUMIF($K$2:$K$5001,"&gt;="&amp;K3707,$I$2:$I$5001)/MAX(1,SUM($H$2:$H$5001)),"")</f>
        <v/>
      </c>
      <c r="M3707" s="47" t="str">
        <f aca="false">IF($A3707="","",INDEX($L$2:$L$5001,MATCH($A3707,$A$2:$A$5001,0)))</f>
        <v/>
      </c>
      <c r="N3707" s="48" t="str">
        <f aca="false">IF($A3707="","",IF(N(M3707)=0,"–",IF(M3707&lt;=Start!$D$20,"A",IF(M3707&lt;=Start!$D$21,"B","C"))))</f>
        <v/>
      </c>
      <c r="O3707" s="48" t="str">
        <f aca="false">IF($A3707="","",IF(NOT(ISNUMBER(F3707)),"Wert fehlt; ",IF(F3707&lt;=0,"Wert ist 0; ",""))&amp;IF(NOT(ISNUMBER(E3707)),"Bestand fehlt; ",IF(E3707&lt;0,"Bestand negativ; ",IF(E3707=0,"Nullbestand; ","")))&amp;IF(D3707="","Warengruppe fehlt; ","")&amp;IF(B3707="","Bezeichnung fehlt; ","")&amp;IF(COUNTIFS($A$2:$A$5001,$A3707,$C$2:$C$5001,C3707)&gt;1,"Artikel doppelt im selben Lager; ",""))</f>
        <v/>
      </c>
      <c r="P3707" s="47" t="n">
        <f aca="false">IF(OR($A3707="",D3707=""),0,IF(COUNTIF($D$2:D3707,D3707)=1,SUMIF($D$2:$D$5001,D3707,$H$2:$H$5001)+ROW()/10000000,0))</f>
        <v>0</v>
      </c>
      <c r="Q3707" s="47" t="n">
        <f aca="false">IF(OR($A3707="",C3707=""),0,IF(COUNTIF($C$2:C3707,C3707)=1,SUMIF($C$2:$C$5001,C3707,$H$2:$H$5001)+ROW()/10000000,0))</f>
        <v>0</v>
      </c>
    </row>
    <row r="3708" customFormat="false" ht="15" hidden="false" customHeight="false" outlineLevel="0" collapsed="false">
      <c r="A3708" s="43"/>
      <c r="B3708" s="44"/>
      <c r="C3708" s="44"/>
      <c r="D3708" s="44"/>
      <c r="E3708" s="44"/>
      <c r="F3708" s="44"/>
      <c r="G3708" s="44"/>
      <c r="H3708" s="46" t="str">
        <f aca="false">IF($A3708="","",IF(OR(NOT(ISNUMBER(E3708)),NOT(ISNUMBER(F3708))),"",MAX(0,E3708)*F3708))</f>
        <v/>
      </c>
      <c r="I3708" s="46" t="str">
        <f aca="false">IF($A3708="","",SUMIF($A$2:$A$5001,$A3708,$H$2:$H$5001))</f>
        <v/>
      </c>
      <c r="J3708" s="47" t="n">
        <f aca="false">IF($A3708="",0,IF(COUNTIF($A$2:A3708,$A3708)=1,1,0))</f>
        <v>0</v>
      </c>
      <c r="K3708" s="47" t="n">
        <f aca="false">IF(J3708=1,N(I3708)+ROW()/10000000,0)</f>
        <v>0</v>
      </c>
      <c r="L3708" s="47" t="str">
        <f aca="false">IF(AND(J3708=1,N(I3708)&gt;0),SUMIF($K$2:$K$5001,"&gt;="&amp;K3708,$I$2:$I$5001)/MAX(1,SUM($H$2:$H$5001)),"")</f>
        <v/>
      </c>
      <c r="M3708" s="47" t="str">
        <f aca="false">IF($A3708="","",INDEX($L$2:$L$5001,MATCH($A3708,$A$2:$A$5001,0)))</f>
        <v/>
      </c>
      <c r="N3708" s="48" t="str">
        <f aca="false">IF($A3708="","",IF(N(M3708)=0,"–",IF(M3708&lt;=Start!$D$20,"A",IF(M3708&lt;=Start!$D$21,"B","C"))))</f>
        <v/>
      </c>
      <c r="O3708" s="48" t="str">
        <f aca="false">IF($A3708="","",IF(NOT(ISNUMBER(F3708)),"Wert fehlt; ",IF(F3708&lt;=0,"Wert ist 0; ",""))&amp;IF(NOT(ISNUMBER(E3708)),"Bestand fehlt; ",IF(E3708&lt;0,"Bestand negativ; ",IF(E3708=0,"Nullbestand; ","")))&amp;IF(D3708="","Warengruppe fehlt; ","")&amp;IF(B3708="","Bezeichnung fehlt; ","")&amp;IF(COUNTIFS($A$2:$A$5001,$A3708,$C$2:$C$5001,C3708)&gt;1,"Artikel doppelt im selben Lager; ",""))</f>
        <v/>
      </c>
      <c r="P3708" s="47" t="n">
        <f aca="false">IF(OR($A3708="",D3708=""),0,IF(COUNTIF($D$2:D3708,D3708)=1,SUMIF($D$2:$D$5001,D3708,$H$2:$H$5001)+ROW()/10000000,0))</f>
        <v>0</v>
      </c>
      <c r="Q3708" s="47" t="n">
        <f aca="false">IF(OR($A3708="",C3708=""),0,IF(COUNTIF($C$2:C3708,C3708)=1,SUMIF($C$2:$C$5001,C3708,$H$2:$H$5001)+ROW()/10000000,0))</f>
        <v>0</v>
      </c>
    </row>
    <row r="3709" customFormat="false" ht="15" hidden="false" customHeight="false" outlineLevel="0" collapsed="false">
      <c r="A3709" s="43"/>
      <c r="B3709" s="44"/>
      <c r="C3709" s="44"/>
      <c r="D3709" s="44"/>
      <c r="E3709" s="44"/>
      <c r="F3709" s="44"/>
      <c r="G3709" s="44"/>
      <c r="H3709" s="46" t="str">
        <f aca="false">IF($A3709="","",IF(OR(NOT(ISNUMBER(E3709)),NOT(ISNUMBER(F3709))),"",MAX(0,E3709)*F3709))</f>
        <v/>
      </c>
      <c r="I3709" s="46" t="str">
        <f aca="false">IF($A3709="","",SUMIF($A$2:$A$5001,$A3709,$H$2:$H$5001))</f>
        <v/>
      </c>
      <c r="J3709" s="47" t="n">
        <f aca="false">IF($A3709="",0,IF(COUNTIF($A$2:A3709,$A3709)=1,1,0))</f>
        <v>0</v>
      </c>
      <c r="K3709" s="47" t="n">
        <f aca="false">IF(J3709=1,N(I3709)+ROW()/10000000,0)</f>
        <v>0</v>
      </c>
      <c r="L3709" s="47" t="str">
        <f aca="false">IF(AND(J3709=1,N(I3709)&gt;0),SUMIF($K$2:$K$5001,"&gt;="&amp;K3709,$I$2:$I$5001)/MAX(1,SUM($H$2:$H$5001)),"")</f>
        <v/>
      </c>
      <c r="M3709" s="47" t="str">
        <f aca="false">IF($A3709="","",INDEX($L$2:$L$5001,MATCH($A3709,$A$2:$A$5001,0)))</f>
        <v/>
      </c>
      <c r="N3709" s="48" t="str">
        <f aca="false">IF($A3709="","",IF(N(M3709)=0,"–",IF(M3709&lt;=Start!$D$20,"A",IF(M3709&lt;=Start!$D$21,"B","C"))))</f>
        <v/>
      </c>
      <c r="O3709" s="48" t="str">
        <f aca="false">IF($A3709="","",IF(NOT(ISNUMBER(F3709)),"Wert fehlt; ",IF(F3709&lt;=0,"Wert ist 0; ",""))&amp;IF(NOT(ISNUMBER(E3709)),"Bestand fehlt; ",IF(E3709&lt;0,"Bestand negativ; ",IF(E3709=0,"Nullbestand; ","")))&amp;IF(D3709="","Warengruppe fehlt; ","")&amp;IF(B3709="","Bezeichnung fehlt; ","")&amp;IF(COUNTIFS($A$2:$A$5001,$A3709,$C$2:$C$5001,C3709)&gt;1,"Artikel doppelt im selben Lager; ",""))</f>
        <v/>
      </c>
      <c r="P3709" s="47" t="n">
        <f aca="false">IF(OR($A3709="",D3709=""),0,IF(COUNTIF($D$2:D3709,D3709)=1,SUMIF($D$2:$D$5001,D3709,$H$2:$H$5001)+ROW()/10000000,0))</f>
        <v>0</v>
      </c>
      <c r="Q3709" s="47" t="n">
        <f aca="false">IF(OR($A3709="",C3709=""),0,IF(COUNTIF($C$2:C3709,C3709)=1,SUMIF($C$2:$C$5001,C3709,$H$2:$H$5001)+ROW()/10000000,0))</f>
        <v>0</v>
      </c>
    </row>
    <row r="3710" customFormat="false" ht="15" hidden="false" customHeight="false" outlineLevel="0" collapsed="false">
      <c r="A3710" s="43"/>
      <c r="B3710" s="44"/>
      <c r="C3710" s="44"/>
      <c r="D3710" s="44"/>
      <c r="E3710" s="44"/>
      <c r="F3710" s="44"/>
      <c r="G3710" s="44"/>
      <c r="H3710" s="46" t="str">
        <f aca="false">IF($A3710="","",IF(OR(NOT(ISNUMBER(E3710)),NOT(ISNUMBER(F3710))),"",MAX(0,E3710)*F3710))</f>
        <v/>
      </c>
      <c r="I3710" s="46" t="str">
        <f aca="false">IF($A3710="","",SUMIF($A$2:$A$5001,$A3710,$H$2:$H$5001))</f>
        <v/>
      </c>
      <c r="J3710" s="47" t="n">
        <f aca="false">IF($A3710="",0,IF(COUNTIF($A$2:A3710,$A3710)=1,1,0))</f>
        <v>0</v>
      </c>
      <c r="K3710" s="47" t="n">
        <f aca="false">IF(J3710=1,N(I3710)+ROW()/10000000,0)</f>
        <v>0</v>
      </c>
      <c r="L3710" s="47" t="str">
        <f aca="false">IF(AND(J3710=1,N(I3710)&gt;0),SUMIF($K$2:$K$5001,"&gt;="&amp;K3710,$I$2:$I$5001)/MAX(1,SUM($H$2:$H$5001)),"")</f>
        <v/>
      </c>
      <c r="M3710" s="47" t="str">
        <f aca="false">IF($A3710="","",INDEX($L$2:$L$5001,MATCH($A3710,$A$2:$A$5001,0)))</f>
        <v/>
      </c>
      <c r="N3710" s="48" t="str">
        <f aca="false">IF($A3710="","",IF(N(M3710)=0,"–",IF(M3710&lt;=Start!$D$20,"A",IF(M3710&lt;=Start!$D$21,"B","C"))))</f>
        <v/>
      </c>
      <c r="O3710" s="48" t="str">
        <f aca="false">IF($A3710="","",IF(NOT(ISNUMBER(F3710)),"Wert fehlt; ",IF(F3710&lt;=0,"Wert ist 0; ",""))&amp;IF(NOT(ISNUMBER(E3710)),"Bestand fehlt; ",IF(E3710&lt;0,"Bestand negativ; ",IF(E3710=0,"Nullbestand; ","")))&amp;IF(D3710="","Warengruppe fehlt; ","")&amp;IF(B3710="","Bezeichnung fehlt; ","")&amp;IF(COUNTIFS($A$2:$A$5001,$A3710,$C$2:$C$5001,C3710)&gt;1,"Artikel doppelt im selben Lager; ",""))</f>
        <v/>
      </c>
      <c r="P3710" s="47" t="n">
        <f aca="false">IF(OR($A3710="",D3710=""),0,IF(COUNTIF($D$2:D3710,D3710)=1,SUMIF($D$2:$D$5001,D3710,$H$2:$H$5001)+ROW()/10000000,0))</f>
        <v>0</v>
      </c>
      <c r="Q3710" s="47" t="n">
        <f aca="false">IF(OR($A3710="",C3710=""),0,IF(COUNTIF($C$2:C3710,C3710)=1,SUMIF($C$2:$C$5001,C3710,$H$2:$H$5001)+ROW()/10000000,0))</f>
        <v>0</v>
      </c>
    </row>
    <row r="3711" customFormat="false" ht="15" hidden="false" customHeight="false" outlineLevel="0" collapsed="false">
      <c r="A3711" s="43"/>
      <c r="B3711" s="44"/>
      <c r="C3711" s="44"/>
      <c r="D3711" s="44"/>
      <c r="E3711" s="44"/>
      <c r="F3711" s="44"/>
      <c r="G3711" s="44"/>
      <c r="H3711" s="46" t="str">
        <f aca="false">IF($A3711="","",IF(OR(NOT(ISNUMBER(E3711)),NOT(ISNUMBER(F3711))),"",MAX(0,E3711)*F3711))</f>
        <v/>
      </c>
      <c r="I3711" s="46" t="str">
        <f aca="false">IF($A3711="","",SUMIF($A$2:$A$5001,$A3711,$H$2:$H$5001))</f>
        <v/>
      </c>
      <c r="J3711" s="47" t="n">
        <f aca="false">IF($A3711="",0,IF(COUNTIF($A$2:A3711,$A3711)=1,1,0))</f>
        <v>0</v>
      </c>
      <c r="K3711" s="47" t="n">
        <f aca="false">IF(J3711=1,N(I3711)+ROW()/10000000,0)</f>
        <v>0</v>
      </c>
      <c r="L3711" s="47" t="str">
        <f aca="false">IF(AND(J3711=1,N(I3711)&gt;0),SUMIF($K$2:$K$5001,"&gt;="&amp;K3711,$I$2:$I$5001)/MAX(1,SUM($H$2:$H$5001)),"")</f>
        <v/>
      </c>
      <c r="M3711" s="47" t="str">
        <f aca="false">IF($A3711="","",INDEX($L$2:$L$5001,MATCH($A3711,$A$2:$A$5001,0)))</f>
        <v/>
      </c>
      <c r="N3711" s="48" t="str">
        <f aca="false">IF($A3711="","",IF(N(M3711)=0,"–",IF(M3711&lt;=Start!$D$20,"A",IF(M3711&lt;=Start!$D$21,"B","C"))))</f>
        <v/>
      </c>
      <c r="O3711" s="48" t="str">
        <f aca="false">IF($A3711="","",IF(NOT(ISNUMBER(F3711)),"Wert fehlt; ",IF(F3711&lt;=0,"Wert ist 0; ",""))&amp;IF(NOT(ISNUMBER(E3711)),"Bestand fehlt; ",IF(E3711&lt;0,"Bestand negativ; ",IF(E3711=0,"Nullbestand; ","")))&amp;IF(D3711="","Warengruppe fehlt; ","")&amp;IF(B3711="","Bezeichnung fehlt; ","")&amp;IF(COUNTIFS($A$2:$A$5001,$A3711,$C$2:$C$5001,C3711)&gt;1,"Artikel doppelt im selben Lager; ",""))</f>
        <v/>
      </c>
      <c r="P3711" s="47" t="n">
        <f aca="false">IF(OR($A3711="",D3711=""),0,IF(COUNTIF($D$2:D3711,D3711)=1,SUMIF($D$2:$D$5001,D3711,$H$2:$H$5001)+ROW()/10000000,0))</f>
        <v>0</v>
      </c>
      <c r="Q3711" s="47" t="n">
        <f aca="false">IF(OR($A3711="",C3711=""),0,IF(COUNTIF($C$2:C3711,C3711)=1,SUMIF($C$2:$C$5001,C3711,$H$2:$H$5001)+ROW()/10000000,0))</f>
        <v>0</v>
      </c>
    </row>
    <row r="3712" customFormat="false" ht="15" hidden="false" customHeight="false" outlineLevel="0" collapsed="false">
      <c r="A3712" s="43"/>
      <c r="B3712" s="44"/>
      <c r="C3712" s="44"/>
      <c r="D3712" s="44"/>
      <c r="E3712" s="44"/>
      <c r="F3712" s="44"/>
      <c r="G3712" s="44"/>
      <c r="H3712" s="46" t="str">
        <f aca="false">IF($A3712="","",IF(OR(NOT(ISNUMBER(E3712)),NOT(ISNUMBER(F3712))),"",MAX(0,E3712)*F3712))</f>
        <v/>
      </c>
      <c r="I3712" s="46" t="str">
        <f aca="false">IF($A3712="","",SUMIF($A$2:$A$5001,$A3712,$H$2:$H$5001))</f>
        <v/>
      </c>
      <c r="J3712" s="47" t="n">
        <f aca="false">IF($A3712="",0,IF(COUNTIF($A$2:A3712,$A3712)=1,1,0))</f>
        <v>0</v>
      </c>
      <c r="K3712" s="47" t="n">
        <f aca="false">IF(J3712=1,N(I3712)+ROW()/10000000,0)</f>
        <v>0</v>
      </c>
      <c r="L3712" s="47" t="str">
        <f aca="false">IF(AND(J3712=1,N(I3712)&gt;0),SUMIF($K$2:$K$5001,"&gt;="&amp;K3712,$I$2:$I$5001)/MAX(1,SUM($H$2:$H$5001)),"")</f>
        <v/>
      </c>
      <c r="M3712" s="47" t="str">
        <f aca="false">IF($A3712="","",INDEX($L$2:$L$5001,MATCH($A3712,$A$2:$A$5001,0)))</f>
        <v/>
      </c>
      <c r="N3712" s="48" t="str">
        <f aca="false">IF($A3712="","",IF(N(M3712)=0,"–",IF(M3712&lt;=Start!$D$20,"A",IF(M3712&lt;=Start!$D$21,"B","C"))))</f>
        <v/>
      </c>
      <c r="O3712" s="48" t="str">
        <f aca="false">IF($A3712="","",IF(NOT(ISNUMBER(F3712)),"Wert fehlt; ",IF(F3712&lt;=0,"Wert ist 0; ",""))&amp;IF(NOT(ISNUMBER(E3712)),"Bestand fehlt; ",IF(E3712&lt;0,"Bestand negativ; ",IF(E3712=0,"Nullbestand; ","")))&amp;IF(D3712="","Warengruppe fehlt; ","")&amp;IF(B3712="","Bezeichnung fehlt; ","")&amp;IF(COUNTIFS($A$2:$A$5001,$A3712,$C$2:$C$5001,C3712)&gt;1,"Artikel doppelt im selben Lager; ",""))</f>
        <v/>
      </c>
      <c r="P3712" s="47" t="n">
        <f aca="false">IF(OR($A3712="",D3712=""),0,IF(COUNTIF($D$2:D3712,D3712)=1,SUMIF($D$2:$D$5001,D3712,$H$2:$H$5001)+ROW()/10000000,0))</f>
        <v>0</v>
      </c>
      <c r="Q3712" s="47" t="n">
        <f aca="false">IF(OR($A3712="",C3712=""),0,IF(COUNTIF($C$2:C3712,C3712)=1,SUMIF($C$2:$C$5001,C3712,$H$2:$H$5001)+ROW()/10000000,0))</f>
        <v>0</v>
      </c>
    </row>
    <row r="3713" customFormat="false" ht="15" hidden="false" customHeight="false" outlineLevel="0" collapsed="false">
      <c r="A3713" s="43"/>
      <c r="B3713" s="44"/>
      <c r="C3713" s="44"/>
      <c r="D3713" s="44"/>
      <c r="E3713" s="44"/>
      <c r="F3713" s="44"/>
      <c r="G3713" s="44"/>
      <c r="H3713" s="46" t="str">
        <f aca="false">IF($A3713="","",IF(OR(NOT(ISNUMBER(E3713)),NOT(ISNUMBER(F3713))),"",MAX(0,E3713)*F3713))</f>
        <v/>
      </c>
      <c r="I3713" s="46" t="str">
        <f aca="false">IF($A3713="","",SUMIF($A$2:$A$5001,$A3713,$H$2:$H$5001))</f>
        <v/>
      </c>
      <c r="J3713" s="47" t="n">
        <f aca="false">IF($A3713="",0,IF(COUNTIF($A$2:A3713,$A3713)=1,1,0))</f>
        <v>0</v>
      </c>
      <c r="K3713" s="47" t="n">
        <f aca="false">IF(J3713=1,N(I3713)+ROW()/10000000,0)</f>
        <v>0</v>
      </c>
      <c r="L3713" s="47" t="str">
        <f aca="false">IF(AND(J3713=1,N(I3713)&gt;0),SUMIF($K$2:$K$5001,"&gt;="&amp;K3713,$I$2:$I$5001)/MAX(1,SUM($H$2:$H$5001)),"")</f>
        <v/>
      </c>
      <c r="M3713" s="47" t="str">
        <f aca="false">IF($A3713="","",INDEX($L$2:$L$5001,MATCH($A3713,$A$2:$A$5001,0)))</f>
        <v/>
      </c>
      <c r="N3713" s="48" t="str">
        <f aca="false">IF($A3713="","",IF(N(M3713)=0,"–",IF(M3713&lt;=Start!$D$20,"A",IF(M3713&lt;=Start!$D$21,"B","C"))))</f>
        <v/>
      </c>
      <c r="O3713" s="48" t="str">
        <f aca="false">IF($A3713="","",IF(NOT(ISNUMBER(F3713)),"Wert fehlt; ",IF(F3713&lt;=0,"Wert ist 0; ",""))&amp;IF(NOT(ISNUMBER(E3713)),"Bestand fehlt; ",IF(E3713&lt;0,"Bestand negativ; ",IF(E3713=0,"Nullbestand; ","")))&amp;IF(D3713="","Warengruppe fehlt; ","")&amp;IF(B3713="","Bezeichnung fehlt; ","")&amp;IF(COUNTIFS($A$2:$A$5001,$A3713,$C$2:$C$5001,C3713)&gt;1,"Artikel doppelt im selben Lager; ",""))</f>
        <v/>
      </c>
      <c r="P3713" s="47" t="n">
        <f aca="false">IF(OR($A3713="",D3713=""),0,IF(COUNTIF($D$2:D3713,D3713)=1,SUMIF($D$2:$D$5001,D3713,$H$2:$H$5001)+ROW()/10000000,0))</f>
        <v>0</v>
      </c>
      <c r="Q3713" s="47" t="n">
        <f aca="false">IF(OR($A3713="",C3713=""),0,IF(COUNTIF($C$2:C3713,C3713)=1,SUMIF($C$2:$C$5001,C3713,$H$2:$H$5001)+ROW()/10000000,0))</f>
        <v>0</v>
      </c>
    </row>
    <row r="3714" customFormat="false" ht="15" hidden="false" customHeight="false" outlineLevel="0" collapsed="false">
      <c r="A3714" s="43"/>
      <c r="B3714" s="44"/>
      <c r="C3714" s="44"/>
      <c r="D3714" s="44"/>
      <c r="E3714" s="44"/>
      <c r="F3714" s="44"/>
      <c r="G3714" s="44"/>
      <c r="H3714" s="46" t="str">
        <f aca="false">IF($A3714="","",IF(OR(NOT(ISNUMBER(E3714)),NOT(ISNUMBER(F3714))),"",MAX(0,E3714)*F3714))</f>
        <v/>
      </c>
      <c r="I3714" s="46" t="str">
        <f aca="false">IF($A3714="","",SUMIF($A$2:$A$5001,$A3714,$H$2:$H$5001))</f>
        <v/>
      </c>
      <c r="J3714" s="47" t="n">
        <f aca="false">IF($A3714="",0,IF(COUNTIF($A$2:A3714,$A3714)=1,1,0))</f>
        <v>0</v>
      </c>
      <c r="K3714" s="47" t="n">
        <f aca="false">IF(J3714=1,N(I3714)+ROW()/10000000,0)</f>
        <v>0</v>
      </c>
      <c r="L3714" s="47" t="str">
        <f aca="false">IF(AND(J3714=1,N(I3714)&gt;0),SUMIF($K$2:$K$5001,"&gt;="&amp;K3714,$I$2:$I$5001)/MAX(1,SUM($H$2:$H$5001)),"")</f>
        <v/>
      </c>
      <c r="M3714" s="47" t="str">
        <f aca="false">IF($A3714="","",INDEX($L$2:$L$5001,MATCH($A3714,$A$2:$A$5001,0)))</f>
        <v/>
      </c>
      <c r="N3714" s="48" t="str">
        <f aca="false">IF($A3714="","",IF(N(M3714)=0,"–",IF(M3714&lt;=Start!$D$20,"A",IF(M3714&lt;=Start!$D$21,"B","C"))))</f>
        <v/>
      </c>
      <c r="O3714" s="48" t="str">
        <f aca="false">IF($A3714="","",IF(NOT(ISNUMBER(F3714)),"Wert fehlt; ",IF(F3714&lt;=0,"Wert ist 0; ",""))&amp;IF(NOT(ISNUMBER(E3714)),"Bestand fehlt; ",IF(E3714&lt;0,"Bestand negativ; ",IF(E3714=0,"Nullbestand; ","")))&amp;IF(D3714="","Warengruppe fehlt; ","")&amp;IF(B3714="","Bezeichnung fehlt; ","")&amp;IF(COUNTIFS($A$2:$A$5001,$A3714,$C$2:$C$5001,C3714)&gt;1,"Artikel doppelt im selben Lager; ",""))</f>
        <v/>
      </c>
      <c r="P3714" s="47" t="n">
        <f aca="false">IF(OR($A3714="",D3714=""),0,IF(COUNTIF($D$2:D3714,D3714)=1,SUMIF($D$2:$D$5001,D3714,$H$2:$H$5001)+ROW()/10000000,0))</f>
        <v>0</v>
      </c>
      <c r="Q3714" s="47" t="n">
        <f aca="false">IF(OR($A3714="",C3714=""),0,IF(COUNTIF($C$2:C3714,C3714)=1,SUMIF($C$2:$C$5001,C3714,$H$2:$H$5001)+ROW()/10000000,0))</f>
        <v>0</v>
      </c>
    </row>
    <row r="3715" customFormat="false" ht="15" hidden="false" customHeight="false" outlineLevel="0" collapsed="false">
      <c r="A3715" s="43"/>
      <c r="B3715" s="44"/>
      <c r="C3715" s="44"/>
      <c r="D3715" s="44"/>
      <c r="E3715" s="44"/>
      <c r="F3715" s="44"/>
      <c r="G3715" s="44"/>
      <c r="H3715" s="46" t="str">
        <f aca="false">IF($A3715="","",IF(OR(NOT(ISNUMBER(E3715)),NOT(ISNUMBER(F3715))),"",MAX(0,E3715)*F3715))</f>
        <v/>
      </c>
      <c r="I3715" s="46" t="str">
        <f aca="false">IF($A3715="","",SUMIF($A$2:$A$5001,$A3715,$H$2:$H$5001))</f>
        <v/>
      </c>
      <c r="J3715" s="47" t="n">
        <f aca="false">IF($A3715="",0,IF(COUNTIF($A$2:A3715,$A3715)=1,1,0))</f>
        <v>0</v>
      </c>
      <c r="K3715" s="47" t="n">
        <f aca="false">IF(J3715=1,N(I3715)+ROW()/10000000,0)</f>
        <v>0</v>
      </c>
      <c r="L3715" s="47" t="str">
        <f aca="false">IF(AND(J3715=1,N(I3715)&gt;0),SUMIF($K$2:$K$5001,"&gt;="&amp;K3715,$I$2:$I$5001)/MAX(1,SUM($H$2:$H$5001)),"")</f>
        <v/>
      </c>
      <c r="M3715" s="47" t="str">
        <f aca="false">IF($A3715="","",INDEX($L$2:$L$5001,MATCH($A3715,$A$2:$A$5001,0)))</f>
        <v/>
      </c>
      <c r="N3715" s="48" t="str">
        <f aca="false">IF($A3715="","",IF(N(M3715)=0,"–",IF(M3715&lt;=Start!$D$20,"A",IF(M3715&lt;=Start!$D$21,"B","C"))))</f>
        <v/>
      </c>
      <c r="O3715" s="48" t="str">
        <f aca="false">IF($A3715="","",IF(NOT(ISNUMBER(F3715)),"Wert fehlt; ",IF(F3715&lt;=0,"Wert ist 0; ",""))&amp;IF(NOT(ISNUMBER(E3715)),"Bestand fehlt; ",IF(E3715&lt;0,"Bestand negativ; ",IF(E3715=0,"Nullbestand; ","")))&amp;IF(D3715="","Warengruppe fehlt; ","")&amp;IF(B3715="","Bezeichnung fehlt; ","")&amp;IF(COUNTIFS($A$2:$A$5001,$A3715,$C$2:$C$5001,C3715)&gt;1,"Artikel doppelt im selben Lager; ",""))</f>
        <v/>
      </c>
      <c r="P3715" s="47" t="n">
        <f aca="false">IF(OR($A3715="",D3715=""),0,IF(COUNTIF($D$2:D3715,D3715)=1,SUMIF($D$2:$D$5001,D3715,$H$2:$H$5001)+ROW()/10000000,0))</f>
        <v>0</v>
      </c>
      <c r="Q3715" s="47" t="n">
        <f aca="false">IF(OR($A3715="",C3715=""),0,IF(COUNTIF($C$2:C3715,C3715)=1,SUMIF($C$2:$C$5001,C3715,$H$2:$H$5001)+ROW()/10000000,0))</f>
        <v>0</v>
      </c>
    </row>
    <row r="3716" customFormat="false" ht="15" hidden="false" customHeight="false" outlineLevel="0" collapsed="false">
      <c r="A3716" s="43"/>
      <c r="B3716" s="44"/>
      <c r="C3716" s="44"/>
      <c r="D3716" s="44"/>
      <c r="E3716" s="44"/>
      <c r="F3716" s="44"/>
      <c r="G3716" s="44"/>
      <c r="H3716" s="46" t="str">
        <f aca="false">IF($A3716="","",IF(OR(NOT(ISNUMBER(E3716)),NOT(ISNUMBER(F3716))),"",MAX(0,E3716)*F3716))</f>
        <v/>
      </c>
      <c r="I3716" s="46" t="str">
        <f aca="false">IF($A3716="","",SUMIF($A$2:$A$5001,$A3716,$H$2:$H$5001))</f>
        <v/>
      </c>
      <c r="J3716" s="47" t="n">
        <f aca="false">IF($A3716="",0,IF(COUNTIF($A$2:A3716,$A3716)=1,1,0))</f>
        <v>0</v>
      </c>
      <c r="K3716" s="47" t="n">
        <f aca="false">IF(J3716=1,N(I3716)+ROW()/10000000,0)</f>
        <v>0</v>
      </c>
      <c r="L3716" s="47" t="str">
        <f aca="false">IF(AND(J3716=1,N(I3716)&gt;0),SUMIF($K$2:$K$5001,"&gt;="&amp;K3716,$I$2:$I$5001)/MAX(1,SUM($H$2:$H$5001)),"")</f>
        <v/>
      </c>
      <c r="M3716" s="47" t="str">
        <f aca="false">IF($A3716="","",INDEX($L$2:$L$5001,MATCH($A3716,$A$2:$A$5001,0)))</f>
        <v/>
      </c>
      <c r="N3716" s="48" t="str">
        <f aca="false">IF($A3716="","",IF(N(M3716)=0,"–",IF(M3716&lt;=Start!$D$20,"A",IF(M3716&lt;=Start!$D$21,"B","C"))))</f>
        <v/>
      </c>
      <c r="O3716" s="48" t="str">
        <f aca="false">IF($A3716="","",IF(NOT(ISNUMBER(F3716)),"Wert fehlt; ",IF(F3716&lt;=0,"Wert ist 0; ",""))&amp;IF(NOT(ISNUMBER(E3716)),"Bestand fehlt; ",IF(E3716&lt;0,"Bestand negativ; ",IF(E3716=0,"Nullbestand; ","")))&amp;IF(D3716="","Warengruppe fehlt; ","")&amp;IF(B3716="","Bezeichnung fehlt; ","")&amp;IF(COUNTIFS($A$2:$A$5001,$A3716,$C$2:$C$5001,C3716)&gt;1,"Artikel doppelt im selben Lager; ",""))</f>
        <v/>
      </c>
      <c r="P3716" s="47" t="n">
        <f aca="false">IF(OR($A3716="",D3716=""),0,IF(COUNTIF($D$2:D3716,D3716)=1,SUMIF($D$2:$D$5001,D3716,$H$2:$H$5001)+ROW()/10000000,0))</f>
        <v>0</v>
      </c>
      <c r="Q3716" s="47" t="n">
        <f aca="false">IF(OR($A3716="",C3716=""),0,IF(COUNTIF($C$2:C3716,C3716)=1,SUMIF($C$2:$C$5001,C3716,$H$2:$H$5001)+ROW()/10000000,0))</f>
        <v>0</v>
      </c>
    </row>
    <row r="3717" customFormat="false" ht="15" hidden="false" customHeight="false" outlineLevel="0" collapsed="false">
      <c r="A3717" s="43"/>
      <c r="B3717" s="44"/>
      <c r="C3717" s="44"/>
      <c r="D3717" s="44"/>
      <c r="E3717" s="44"/>
      <c r="F3717" s="44"/>
      <c r="G3717" s="44"/>
      <c r="H3717" s="46" t="str">
        <f aca="false">IF($A3717="","",IF(OR(NOT(ISNUMBER(E3717)),NOT(ISNUMBER(F3717))),"",MAX(0,E3717)*F3717))</f>
        <v/>
      </c>
      <c r="I3717" s="46" t="str">
        <f aca="false">IF($A3717="","",SUMIF($A$2:$A$5001,$A3717,$H$2:$H$5001))</f>
        <v/>
      </c>
      <c r="J3717" s="47" t="n">
        <f aca="false">IF($A3717="",0,IF(COUNTIF($A$2:A3717,$A3717)=1,1,0))</f>
        <v>0</v>
      </c>
      <c r="K3717" s="47" t="n">
        <f aca="false">IF(J3717=1,N(I3717)+ROW()/10000000,0)</f>
        <v>0</v>
      </c>
      <c r="L3717" s="47" t="str">
        <f aca="false">IF(AND(J3717=1,N(I3717)&gt;0),SUMIF($K$2:$K$5001,"&gt;="&amp;K3717,$I$2:$I$5001)/MAX(1,SUM($H$2:$H$5001)),"")</f>
        <v/>
      </c>
      <c r="M3717" s="47" t="str">
        <f aca="false">IF($A3717="","",INDEX($L$2:$L$5001,MATCH($A3717,$A$2:$A$5001,0)))</f>
        <v/>
      </c>
      <c r="N3717" s="48" t="str">
        <f aca="false">IF($A3717="","",IF(N(M3717)=0,"–",IF(M3717&lt;=Start!$D$20,"A",IF(M3717&lt;=Start!$D$21,"B","C"))))</f>
        <v/>
      </c>
      <c r="O3717" s="48" t="str">
        <f aca="false">IF($A3717="","",IF(NOT(ISNUMBER(F3717)),"Wert fehlt; ",IF(F3717&lt;=0,"Wert ist 0; ",""))&amp;IF(NOT(ISNUMBER(E3717)),"Bestand fehlt; ",IF(E3717&lt;0,"Bestand negativ; ",IF(E3717=0,"Nullbestand; ","")))&amp;IF(D3717="","Warengruppe fehlt; ","")&amp;IF(B3717="","Bezeichnung fehlt; ","")&amp;IF(COUNTIFS($A$2:$A$5001,$A3717,$C$2:$C$5001,C3717)&gt;1,"Artikel doppelt im selben Lager; ",""))</f>
        <v/>
      </c>
      <c r="P3717" s="47" t="n">
        <f aca="false">IF(OR($A3717="",D3717=""),0,IF(COUNTIF($D$2:D3717,D3717)=1,SUMIF($D$2:$D$5001,D3717,$H$2:$H$5001)+ROW()/10000000,0))</f>
        <v>0</v>
      </c>
      <c r="Q3717" s="47" t="n">
        <f aca="false">IF(OR($A3717="",C3717=""),0,IF(COUNTIF($C$2:C3717,C3717)=1,SUMIF($C$2:$C$5001,C3717,$H$2:$H$5001)+ROW()/10000000,0))</f>
        <v>0</v>
      </c>
    </row>
    <row r="3718" customFormat="false" ht="15" hidden="false" customHeight="false" outlineLevel="0" collapsed="false">
      <c r="A3718" s="43"/>
      <c r="B3718" s="44"/>
      <c r="C3718" s="44"/>
      <c r="D3718" s="44"/>
      <c r="E3718" s="44"/>
      <c r="F3718" s="44"/>
      <c r="G3718" s="44"/>
      <c r="H3718" s="46" t="str">
        <f aca="false">IF($A3718="","",IF(OR(NOT(ISNUMBER(E3718)),NOT(ISNUMBER(F3718))),"",MAX(0,E3718)*F3718))</f>
        <v/>
      </c>
      <c r="I3718" s="46" t="str">
        <f aca="false">IF($A3718="","",SUMIF($A$2:$A$5001,$A3718,$H$2:$H$5001))</f>
        <v/>
      </c>
      <c r="J3718" s="47" t="n">
        <f aca="false">IF($A3718="",0,IF(COUNTIF($A$2:A3718,$A3718)=1,1,0))</f>
        <v>0</v>
      </c>
      <c r="K3718" s="47" t="n">
        <f aca="false">IF(J3718=1,N(I3718)+ROW()/10000000,0)</f>
        <v>0</v>
      </c>
      <c r="L3718" s="47" t="str">
        <f aca="false">IF(AND(J3718=1,N(I3718)&gt;0),SUMIF($K$2:$K$5001,"&gt;="&amp;K3718,$I$2:$I$5001)/MAX(1,SUM($H$2:$H$5001)),"")</f>
        <v/>
      </c>
      <c r="M3718" s="47" t="str">
        <f aca="false">IF($A3718="","",INDEX($L$2:$L$5001,MATCH($A3718,$A$2:$A$5001,0)))</f>
        <v/>
      </c>
      <c r="N3718" s="48" t="str">
        <f aca="false">IF($A3718="","",IF(N(M3718)=0,"–",IF(M3718&lt;=Start!$D$20,"A",IF(M3718&lt;=Start!$D$21,"B","C"))))</f>
        <v/>
      </c>
      <c r="O3718" s="48" t="str">
        <f aca="false">IF($A3718="","",IF(NOT(ISNUMBER(F3718)),"Wert fehlt; ",IF(F3718&lt;=0,"Wert ist 0; ",""))&amp;IF(NOT(ISNUMBER(E3718)),"Bestand fehlt; ",IF(E3718&lt;0,"Bestand negativ; ",IF(E3718=0,"Nullbestand; ","")))&amp;IF(D3718="","Warengruppe fehlt; ","")&amp;IF(B3718="","Bezeichnung fehlt; ","")&amp;IF(COUNTIFS($A$2:$A$5001,$A3718,$C$2:$C$5001,C3718)&gt;1,"Artikel doppelt im selben Lager; ",""))</f>
        <v/>
      </c>
      <c r="P3718" s="47" t="n">
        <f aca="false">IF(OR($A3718="",D3718=""),0,IF(COUNTIF($D$2:D3718,D3718)=1,SUMIF($D$2:$D$5001,D3718,$H$2:$H$5001)+ROW()/10000000,0))</f>
        <v>0</v>
      </c>
      <c r="Q3718" s="47" t="n">
        <f aca="false">IF(OR($A3718="",C3718=""),0,IF(COUNTIF($C$2:C3718,C3718)=1,SUMIF($C$2:$C$5001,C3718,$H$2:$H$5001)+ROW()/10000000,0))</f>
        <v>0</v>
      </c>
    </row>
    <row r="3719" customFormat="false" ht="15" hidden="false" customHeight="false" outlineLevel="0" collapsed="false">
      <c r="A3719" s="43"/>
      <c r="B3719" s="44"/>
      <c r="C3719" s="44"/>
      <c r="D3719" s="44"/>
      <c r="E3719" s="44"/>
      <c r="F3719" s="44"/>
      <c r="G3719" s="44"/>
      <c r="H3719" s="46" t="str">
        <f aca="false">IF($A3719="","",IF(OR(NOT(ISNUMBER(E3719)),NOT(ISNUMBER(F3719))),"",MAX(0,E3719)*F3719))</f>
        <v/>
      </c>
      <c r="I3719" s="46" t="str">
        <f aca="false">IF($A3719="","",SUMIF($A$2:$A$5001,$A3719,$H$2:$H$5001))</f>
        <v/>
      </c>
      <c r="J3719" s="47" t="n">
        <f aca="false">IF($A3719="",0,IF(COUNTIF($A$2:A3719,$A3719)=1,1,0))</f>
        <v>0</v>
      </c>
      <c r="K3719" s="47" t="n">
        <f aca="false">IF(J3719=1,N(I3719)+ROW()/10000000,0)</f>
        <v>0</v>
      </c>
      <c r="L3719" s="47" t="str">
        <f aca="false">IF(AND(J3719=1,N(I3719)&gt;0),SUMIF($K$2:$K$5001,"&gt;="&amp;K3719,$I$2:$I$5001)/MAX(1,SUM($H$2:$H$5001)),"")</f>
        <v/>
      </c>
      <c r="M3719" s="47" t="str">
        <f aca="false">IF($A3719="","",INDEX($L$2:$L$5001,MATCH($A3719,$A$2:$A$5001,0)))</f>
        <v/>
      </c>
      <c r="N3719" s="48" t="str">
        <f aca="false">IF($A3719="","",IF(N(M3719)=0,"–",IF(M3719&lt;=Start!$D$20,"A",IF(M3719&lt;=Start!$D$21,"B","C"))))</f>
        <v/>
      </c>
      <c r="O3719" s="48" t="str">
        <f aca="false">IF($A3719="","",IF(NOT(ISNUMBER(F3719)),"Wert fehlt; ",IF(F3719&lt;=0,"Wert ist 0; ",""))&amp;IF(NOT(ISNUMBER(E3719)),"Bestand fehlt; ",IF(E3719&lt;0,"Bestand negativ; ",IF(E3719=0,"Nullbestand; ","")))&amp;IF(D3719="","Warengruppe fehlt; ","")&amp;IF(B3719="","Bezeichnung fehlt; ","")&amp;IF(COUNTIFS($A$2:$A$5001,$A3719,$C$2:$C$5001,C3719)&gt;1,"Artikel doppelt im selben Lager; ",""))</f>
        <v/>
      </c>
      <c r="P3719" s="47" t="n">
        <f aca="false">IF(OR($A3719="",D3719=""),0,IF(COUNTIF($D$2:D3719,D3719)=1,SUMIF($D$2:$D$5001,D3719,$H$2:$H$5001)+ROW()/10000000,0))</f>
        <v>0</v>
      </c>
      <c r="Q3719" s="47" t="n">
        <f aca="false">IF(OR($A3719="",C3719=""),0,IF(COUNTIF($C$2:C3719,C3719)=1,SUMIF($C$2:$C$5001,C3719,$H$2:$H$5001)+ROW()/10000000,0))</f>
        <v>0</v>
      </c>
    </row>
    <row r="3720" customFormat="false" ht="15" hidden="false" customHeight="false" outlineLevel="0" collapsed="false">
      <c r="A3720" s="43"/>
      <c r="B3720" s="44"/>
      <c r="C3720" s="44"/>
      <c r="D3720" s="44"/>
      <c r="E3720" s="44"/>
      <c r="F3720" s="44"/>
      <c r="G3720" s="44"/>
      <c r="H3720" s="46" t="str">
        <f aca="false">IF($A3720="","",IF(OR(NOT(ISNUMBER(E3720)),NOT(ISNUMBER(F3720))),"",MAX(0,E3720)*F3720))</f>
        <v/>
      </c>
      <c r="I3720" s="46" t="str">
        <f aca="false">IF($A3720="","",SUMIF($A$2:$A$5001,$A3720,$H$2:$H$5001))</f>
        <v/>
      </c>
      <c r="J3720" s="47" t="n">
        <f aca="false">IF($A3720="",0,IF(COUNTIF($A$2:A3720,$A3720)=1,1,0))</f>
        <v>0</v>
      </c>
      <c r="K3720" s="47" t="n">
        <f aca="false">IF(J3720=1,N(I3720)+ROW()/10000000,0)</f>
        <v>0</v>
      </c>
      <c r="L3720" s="47" t="str">
        <f aca="false">IF(AND(J3720=1,N(I3720)&gt;0),SUMIF($K$2:$K$5001,"&gt;="&amp;K3720,$I$2:$I$5001)/MAX(1,SUM($H$2:$H$5001)),"")</f>
        <v/>
      </c>
      <c r="M3720" s="47" t="str">
        <f aca="false">IF($A3720="","",INDEX($L$2:$L$5001,MATCH($A3720,$A$2:$A$5001,0)))</f>
        <v/>
      </c>
      <c r="N3720" s="48" t="str">
        <f aca="false">IF($A3720="","",IF(N(M3720)=0,"–",IF(M3720&lt;=Start!$D$20,"A",IF(M3720&lt;=Start!$D$21,"B","C"))))</f>
        <v/>
      </c>
      <c r="O3720" s="48" t="str">
        <f aca="false">IF($A3720="","",IF(NOT(ISNUMBER(F3720)),"Wert fehlt; ",IF(F3720&lt;=0,"Wert ist 0; ",""))&amp;IF(NOT(ISNUMBER(E3720)),"Bestand fehlt; ",IF(E3720&lt;0,"Bestand negativ; ",IF(E3720=0,"Nullbestand; ","")))&amp;IF(D3720="","Warengruppe fehlt; ","")&amp;IF(B3720="","Bezeichnung fehlt; ","")&amp;IF(COUNTIFS($A$2:$A$5001,$A3720,$C$2:$C$5001,C3720)&gt;1,"Artikel doppelt im selben Lager; ",""))</f>
        <v/>
      </c>
      <c r="P3720" s="47" t="n">
        <f aca="false">IF(OR($A3720="",D3720=""),0,IF(COUNTIF($D$2:D3720,D3720)=1,SUMIF($D$2:$D$5001,D3720,$H$2:$H$5001)+ROW()/10000000,0))</f>
        <v>0</v>
      </c>
      <c r="Q3720" s="47" t="n">
        <f aca="false">IF(OR($A3720="",C3720=""),0,IF(COUNTIF($C$2:C3720,C3720)=1,SUMIF($C$2:$C$5001,C3720,$H$2:$H$5001)+ROW()/10000000,0))</f>
        <v>0</v>
      </c>
    </row>
    <row r="3721" customFormat="false" ht="15" hidden="false" customHeight="false" outlineLevel="0" collapsed="false">
      <c r="A3721" s="43"/>
      <c r="B3721" s="44"/>
      <c r="C3721" s="44"/>
      <c r="D3721" s="44"/>
      <c r="E3721" s="44"/>
      <c r="F3721" s="44"/>
      <c r="G3721" s="44"/>
      <c r="H3721" s="46" t="str">
        <f aca="false">IF($A3721="","",IF(OR(NOT(ISNUMBER(E3721)),NOT(ISNUMBER(F3721))),"",MAX(0,E3721)*F3721))</f>
        <v/>
      </c>
      <c r="I3721" s="46" t="str">
        <f aca="false">IF($A3721="","",SUMIF($A$2:$A$5001,$A3721,$H$2:$H$5001))</f>
        <v/>
      </c>
      <c r="J3721" s="47" t="n">
        <f aca="false">IF($A3721="",0,IF(COUNTIF($A$2:A3721,$A3721)=1,1,0))</f>
        <v>0</v>
      </c>
      <c r="K3721" s="47" t="n">
        <f aca="false">IF(J3721=1,N(I3721)+ROW()/10000000,0)</f>
        <v>0</v>
      </c>
      <c r="L3721" s="47" t="str">
        <f aca="false">IF(AND(J3721=1,N(I3721)&gt;0),SUMIF($K$2:$K$5001,"&gt;="&amp;K3721,$I$2:$I$5001)/MAX(1,SUM($H$2:$H$5001)),"")</f>
        <v/>
      </c>
      <c r="M3721" s="47" t="str">
        <f aca="false">IF($A3721="","",INDEX($L$2:$L$5001,MATCH($A3721,$A$2:$A$5001,0)))</f>
        <v/>
      </c>
      <c r="N3721" s="48" t="str">
        <f aca="false">IF($A3721="","",IF(N(M3721)=0,"–",IF(M3721&lt;=Start!$D$20,"A",IF(M3721&lt;=Start!$D$21,"B","C"))))</f>
        <v/>
      </c>
      <c r="O3721" s="48" t="str">
        <f aca="false">IF($A3721="","",IF(NOT(ISNUMBER(F3721)),"Wert fehlt; ",IF(F3721&lt;=0,"Wert ist 0; ",""))&amp;IF(NOT(ISNUMBER(E3721)),"Bestand fehlt; ",IF(E3721&lt;0,"Bestand negativ; ",IF(E3721=0,"Nullbestand; ","")))&amp;IF(D3721="","Warengruppe fehlt; ","")&amp;IF(B3721="","Bezeichnung fehlt; ","")&amp;IF(COUNTIFS($A$2:$A$5001,$A3721,$C$2:$C$5001,C3721)&gt;1,"Artikel doppelt im selben Lager; ",""))</f>
        <v/>
      </c>
      <c r="P3721" s="47" t="n">
        <f aca="false">IF(OR($A3721="",D3721=""),0,IF(COUNTIF($D$2:D3721,D3721)=1,SUMIF($D$2:$D$5001,D3721,$H$2:$H$5001)+ROW()/10000000,0))</f>
        <v>0</v>
      </c>
      <c r="Q3721" s="47" t="n">
        <f aca="false">IF(OR($A3721="",C3721=""),0,IF(COUNTIF($C$2:C3721,C3721)=1,SUMIF($C$2:$C$5001,C3721,$H$2:$H$5001)+ROW()/10000000,0))</f>
        <v>0</v>
      </c>
    </row>
    <row r="3722" customFormat="false" ht="15" hidden="false" customHeight="false" outlineLevel="0" collapsed="false">
      <c r="A3722" s="43"/>
      <c r="B3722" s="44"/>
      <c r="C3722" s="44"/>
      <c r="D3722" s="44"/>
      <c r="E3722" s="44"/>
      <c r="F3722" s="44"/>
      <c r="G3722" s="44"/>
      <c r="H3722" s="46" t="str">
        <f aca="false">IF($A3722="","",IF(OR(NOT(ISNUMBER(E3722)),NOT(ISNUMBER(F3722))),"",MAX(0,E3722)*F3722))</f>
        <v/>
      </c>
      <c r="I3722" s="46" t="str">
        <f aca="false">IF($A3722="","",SUMIF($A$2:$A$5001,$A3722,$H$2:$H$5001))</f>
        <v/>
      </c>
      <c r="J3722" s="47" t="n">
        <f aca="false">IF($A3722="",0,IF(COUNTIF($A$2:A3722,$A3722)=1,1,0))</f>
        <v>0</v>
      </c>
      <c r="K3722" s="47" t="n">
        <f aca="false">IF(J3722=1,N(I3722)+ROW()/10000000,0)</f>
        <v>0</v>
      </c>
      <c r="L3722" s="47" t="str">
        <f aca="false">IF(AND(J3722=1,N(I3722)&gt;0),SUMIF($K$2:$K$5001,"&gt;="&amp;K3722,$I$2:$I$5001)/MAX(1,SUM($H$2:$H$5001)),"")</f>
        <v/>
      </c>
      <c r="M3722" s="47" t="str">
        <f aca="false">IF($A3722="","",INDEX($L$2:$L$5001,MATCH($A3722,$A$2:$A$5001,0)))</f>
        <v/>
      </c>
      <c r="N3722" s="48" t="str">
        <f aca="false">IF($A3722="","",IF(N(M3722)=0,"–",IF(M3722&lt;=Start!$D$20,"A",IF(M3722&lt;=Start!$D$21,"B","C"))))</f>
        <v/>
      </c>
      <c r="O3722" s="48" t="str">
        <f aca="false">IF($A3722="","",IF(NOT(ISNUMBER(F3722)),"Wert fehlt; ",IF(F3722&lt;=0,"Wert ist 0; ",""))&amp;IF(NOT(ISNUMBER(E3722)),"Bestand fehlt; ",IF(E3722&lt;0,"Bestand negativ; ",IF(E3722=0,"Nullbestand; ","")))&amp;IF(D3722="","Warengruppe fehlt; ","")&amp;IF(B3722="","Bezeichnung fehlt; ","")&amp;IF(COUNTIFS($A$2:$A$5001,$A3722,$C$2:$C$5001,C3722)&gt;1,"Artikel doppelt im selben Lager; ",""))</f>
        <v/>
      </c>
      <c r="P3722" s="47" t="n">
        <f aca="false">IF(OR($A3722="",D3722=""),0,IF(COUNTIF($D$2:D3722,D3722)=1,SUMIF($D$2:$D$5001,D3722,$H$2:$H$5001)+ROW()/10000000,0))</f>
        <v>0</v>
      </c>
      <c r="Q3722" s="47" t="n">
        <f aca="false">IF(OR($A3722="",C3722=""),0,IF(COUNTIF($C$2:C3722,C3722)=1,SUMIF($C$2:$C$5001,C3722,$H$2:$H$5001)+ROW()/10000000,0))</f>
        <v>0</v>
      </c>
    </row>
    <row r="3723" customFormat="false" ht="15" hidden="false" customHeight="false" outlineLevel="0" collapsed="false">
      <c r="A3723" s="43"/>
      <c r="B3723" s="44"/>
      <c r="C3723" s="44"/>
      <c r="D3723" s="44"/>
      <c r="E3723" s="44"/>
      <c r="F3723" s="44"/>
      <c r="G3723" s="44"/>
      <c r="H3723" s="46" t="str">
        <f aca="false">IF($A3723="","",IF(OR(NOT(ISNUMBER(E3723)),NOT(ISNUMBER(F3723))),"",MAX(0,E3723)*F3723))</f>
        <v/>
      </c>
      <c r="I3723" s="46" t="str">
        <f aca="false">IF($A3723="","",SUMIF($A$2:$A$5001,$A3723,$H$2:$H$5001))</f>
        <v/>
      </c>
      <c r="J3723" s="47" t="n">
        <f aca="false">IF($A3723="",0,IF(COUNTIF($A$2:A3723,$A3723)=1,1,0))</f>
        <v>0</v>
      </c>
      <c r="K3723" s="47" t="n">
        <f aca="false">IF(J3723=1,N(I3723)+ROW()/10000000,0)</f>
        <v>0</v>
      </c>
      <c r="L3723" s="47" t="str">
        <f aca="false">IF(AND(J3723=1,N(I3723)&gt;0),SUMIF($K$2:$K$5001,"&gt;="&amp;K3723,$I$2:$I$5001)/MAX(1,SUM($H$2:$H$5001)),"")</f>
        <v/>
      </c>
      <c r="M3723" s="47" t="str">
        <f aca="false">IF($A3723="","",INDEX($L$2:$L$5001,MATCH($A3723,$A$2:$A$5001,0)))</f>
        <v/>
      </c>
      <c r="N3723" s="48" t="str">
        <f aca="false">IF($A3723="","",IF(N(M3723)=0,"–",IF(M3723&lt;=Start!$D$20,"A",IF(M3723&lt;=Start!$D$21,"B","C"))))</f>
        <v/>
      </c>
      <c r="O3723" s="48" t="str">
        <f aca="false">IF($A3723="","",IF(NOT(ISNUMBER(F3723)),"Wert fehlt; ",IF(F3723&lt;=0,"Wert ist 0; ",""))&amp;IF(NOT(ISNUMBER(E3723)),"Bestand fehlt; ",IF(E3723&lt;0,"Bestand negativ; ",IF(E3723=0,"Nullbestand; ","")))&amp;IF(D3723="","Warengruppe fehlt; ","")&amp;IF(B3723="","Bezeichnung fehlt; ","")&amp;IF(COUNTIFS($A$2:$A$5001,$A3723,$C$2:$C$5001,C3723)&gt;1,"Artikel doppelt im selben Lager; ",""))</f>
        <v/>
      </c>
      <c r="P3723" s="47" t="n">
        <f aca="false">IF(OR($A3723="",D3723=""),0,IF(COUNTIF($D$2:D3723,D3723)=1,SUMIF($D$2:$D$5001,D3723,$H$2:$H$5001)+ROW()/10000000,0))</f>
        <v>0</v>
      </c>
      <c r="Q3723" s="47" t="n">
        <f aca="false">IF(OR($A3723="",C3723=""),0,IF(COUNTIF($C$2:C3723,C3723)=1,SUMIF($C$2:$C$5001,C3723,$H$2:$H$5001)+ROW()/10000000,0))</f>
        <v>0</v>
      </c>
    </row>
    <row r="3724" customFormat="false" ht="15" hidden="false" customHeight="false" outlineLevel="0" collapsed="false">
      <c r="A3724" s="43"/>
      <c r="B3724" s="44"/>
      <c r="C3724" s="44"/>
      <c r="D3724" s="44"/>
      <c r="E3724" s="44"/>
      <c r="F3724" s="44"/>
      <c r="G3724" s="44"/>
      <c r="H3724" s="46" t="str">
        <f aca="false">IF($A3724="","",IF(OR(NOT(ISNUMBER(E3724)),NOT(ISNUMBER(F3724))),"",MAX(0,E3724)*F3724))</f>
        <v/>
      </c>
      <c r="I3724" s="46" t="str">
        <f aca="false">IF($A3724="","",SUMIF($A$2:$A$5001,$A3724,$H$2:$H$5001))</f>
        <v/>
      </c>
      <c r="J3724" s="47" t="n">
        <f aca="false">IF($A3724="",0,IF(COUNTIF($A$2:A3724,$A3724)=1,1,0))</f>
        <v>0</v>
      </c>
      <c r="K3724" s="47" t="n">
        <f aca="false">IF(J3724=1,N(I3724)+ROW()/10000000,0)</f>
        <v>0</v>
      </c>
      <c r="L3724" s="47" t="str">
        <f aca="false">IF(AND(J3724=1,N(I3724)&gt;0),SUMIF($K$2:$K$5001,"&gt;="&amp;K3724,$I$2:$I$5001)/MAX(1,SUM($H$2:$H$5001)),"")</f>
        <v/>
      </c>
      <c r="M3724" s="47" t="str">
        <f aca="false">IF($A3724="","",INDEX($L$2:$L$5001,MATCH($A3724,$A$2:$A$5001,0)))</f>
        <v/>
      </c>
      <c r="N3724" s="48" t="str">
        <f aca="false">IF($A3724="","",IF(N(M3724)=0,"–",IF(M3724&lt;=Start!$D$20,"A",IF(M3724&lt;=Start!$D$21,"B","C"))))</f>
        <v/>
      </c>
      <c r="O3724" s="48" t="str">
        <f aca="false">IF($A3724="","",IF(NOT(ISNUMBER(F3724)),"Wert fehlt; ",IF(F3724&lt;=0,"Wert ist 0; ",""))&amp;IF(NOT(ISNUMBER(E3724)),"Bestand fehlt; ",IF(E3724&lt;0,"Bestand negativ; ",IF(E3724=0,"Nullbestand; ","")))&amp;IF(D3724="","Warengruppe fehlt; ","")&amp;IF(B3724="","Bezeichnung fehlt; ","")&amp;IF(COUNTIFS($A$2:$A$5001,$A3724,$C$2:$C$5001,C3724)&gt;1,"Artikel doppelt im selben Lager; ",""))</f>
        <v/>
      </c>
      <c r="P3724" s="47" t="n">
        <f aca="false">IF(OR($A3724="",D3724=""),0,IF(COUNTIF($D$2:D3724,D3724)=1,SUMIF($D$2:$D$5001,D3724,$H$2:$H$5001)+ROW()/10000000,0))</f>
        <v>0</v>
      </c>
      <c r="Q3724" s="47" t="n">
        <f aca="false">IF(OR($A3724="",C3724=""),0,IF(COUNTIF($C$2:C3724,C3724)=1,SUMIF($C$2:$C$5001,C3724,$H$2:$H$5001)+ROW()/10000000,0))</f>
        <v>0</v>
      </c>
    </row>
    <row r="3725" customFormat="false" ht="15" hidden="false" customHeight="false" outlineLevel="0" collapsed="false">
      <c r="A3725" s="43"/>
      <c r="B3725" s="44"/>
      <c r="C3725" s="44"/>
      <c r="D3725" s="44"/>
      <c r="E3725" s="44"/>
      <c r="F3725" s="44"/>
      <c r="G3725" s="44"/>
      <c r="H3725" s="46" t="str">
        <f aca="false">IF($A3725="","",IF(OR(NOT(ISNUMBER(E3725)),NOT(ISNUMBER(F3725))),"",MAX(0,E3725)*F3725))</f>
        <v/>
      </c>
      <c r="I3725" s="46" t="str">
        <f aca="false">IF($A3725="","",SUMIF($A$2:$A$5001,$A3725,$H$2:$H$5001))</f>
        <v/>
      </c>
      <c r="J3725" s="47" t="n">
        <f aca="false">IF($A3725="",0,IF(COUNTIF($A$2:A3725,$A3725)=1,1,0))</f>
        <v>0</v>
      </c>
      <c r="K3725" s="47" t="n">
        <f aca="false">IF(J3725=1,N(I3725)+ROW()/10000000,0)</f>
        <v>0</v>
      </c>
      <c r="L3725" s="47" t="str">
        <f aca="false">IF(AND(J3725=1,N(I3725)&gt;0),SUMIF($K$2:$K$5001,"&gt;="&amp;K3725,$I$2:$I$5001)/MAX(1,SUM($H$2:$H$5001)),"")</f>
        <v/>
      </c>
      <c r="M3725" s="47" t="str">
        <f aca="false">IF($A3725="","",INDEX($L$2:$L$5001,MATCH($A3725,$A$2:$A$5001,0)))</f>
        <v/>
      </c>
      <c r="N3725" s="48" t="str">
        <f aca="false">IF($A3725="","",IF(N(M3725)=0,"–",IF(M3725&lt;=Start!$D$20,"A",IF(M3725&lt;=Start!$D$21,"B","C"))))</f>
        <v/>
      </c>
      <c r="O3725" s="48" t="str">
        <f aca="false">IF($A3725="","",IF(NOT(ISNUMBER(F3725)),"Wert fehlt; ",IF(F3725&lt;=0,"Wert ist 0; ",""))&amp;IF(NOT(ISNUMBER(E3725)),"Bestand fehlt; ",IF(E3725&lt;0,"Bestand negativ; ",IF(E3725=0,"Nullbestand; ","")))&amp;IF(D3725="","Warengruppe fehlt; ","")&amp;IF(B3725="","Bezeichnung fehlt; ","")&amp;IF(COUNTIFS($A$2:$A$5001,$A3725,$C$2:$C$5001,C3725)&gt;1,"Artikel doppelt im selben Lager; ",""))</f>
        <v/>
      </c>
      <c r="P3725" s="47" t="n">
        <f aca="false">IF(OR($A3725="",D3725=""),0,IF(COUNTIF($D$2:D3725,D3725)=1,SUMIF($D$2:$D$5001,D3725,$H$2:$H$5001)+ROW()/10000000,0))</f>
        <v>0</v>
      </c>
      <c r="Q3725" s="47" t="n">
        <f aca="false">IF(OR($A3725="",C3725=""),0,IF(COUNTIF($C$2:C3725,C3725)=1,SUMIF($C$2:$C$5001,C3725,$H$2:$H$5001)+ROW()/10000000,0))</f>
        <v>0</v>
      </c>
    </row>
    <row r="3726" customFormat="false" ht="15" hidden="false" customHeight="false" outlineLevel="0" collapsed="false">
      <c r="A3726" s="43"/>
      <c r="B3726" s="44"/>
      <c r="C3726" s="44"/>
      <c r="D3726" s="44"/>
      <c r="E3726" s="44"/>
      <c r="F3726" s="44"/>
      <c r="G3726" s="44"/>
      <c r="H3726" s="46" t="str">
        <f aca="false">IF($A3726="","",IF(OR(NOT(ISNUMBER(E3726)),NOT(ISNUMBER(F3726))),"",MAX(0,E3726)*F3726))</f>
        <v/>
      </c>
      <c r="I3726" s="46" t="str">
        <f aca="false">IF($A3726="","",SUMIF($A$2:$A$5001,$A3726,$H$2:$H$5001))</f>
        <v/>
      </c>
      <c r="J3726" s="47" t="n">
        <f aca="false">IF($A3726="",0,IF(COUNTIF($A$2:A3726,$A3726)=1,1,0))</f>
        <v>0</v>
      </c>
      <c r="K3726" s="47" t="n">
        <f aca="false">IF(J3726=1,N(I3726)+ROW()/10000000,0)</f>
        <v>0</v>
      </c>
      <c r="L3726" s="47" t="str">
        <f aca="false">IF(AND(J3726=1,N(I3726)&gt;0),SUMIF($K$2:$K$5001,"&gt;="&amp;K3726,$I$2:$I$5001)/MAX(1,SUM($H$2:$H$5001)),"")</f>
        <v/>
      </c>
      <c r="M3726" s="47" t="str">
        <f aca="false">IF($A3726="","",INDEX($L$2:$L$5001,MATCH($A3726,$A$2:$A$5001,0)))</f>
        <v/>
      </c>
      <c r="N3726" s="48" t="str">
        <f aca="false">IF($A3726="","",IF(N(M3726)=0,"–",IF(M3726&lt;=Start!$D$20,"A",IF(M3726&lt;=Start!$D$21,"B","C"))))</f>
        <v/>
      </c>
      <c r="O3726" s="48" t="str">
        <f aca="false">IF($A3726="","",IF(NOT(ISNUMBER(F3726)),"Wert fehlt; ",IF(F3726&lt;=0,"Wert ist 0; ",""))&amp;IF(NOT(ISNUMBER(E3726)),"Bestand fehlt; ",IF(E3726&lt;0,"Bestand negativ; ",IF(E3726=0,"Nullbestand; ","")))&amp;IF(D3726="","Warengruppe fehlt; ","")&amp;IF(B3726="","Bezeichnung fehlt; ","")&amp;IF(COUNTIFS($A$2:$A$5001,$A3726,$C$2:$C$5001,C3726)&gt;1,"Artikel doppelt im selben Lager; ",""))</f>
        <v/>
      </c>
      <c r="P3726" s="47" t="n">
        <f aca="false">IF(OR($A3726="",D3726=""),0,IF(COUNTIF($D$2:D3726,D3726)=1,SUMIF($D$2:$D$5001,D3726,$H$2:$H$5001)+ROW()/10000000,0))</f>
        <v>0</v>
      </c>
      <c r="Q3726" s="47" t="n">
        <f aca="false">IF(OR($A3726="",C3726=""),0,IF(COUNTIF($C$2:C3726,C3726)=1,SUMIF($C$2:$C$5001,C3726,$H$2:$H$5001)+ROW()/10000000,0))</f>
        <v>0</v>
      </c>
    </row>
    <row r="3727" customFormat="false" ht="15" hidden="false" customHeight="false" outlineLevel="0" collapsed="false">
      <c r="A3727" s="43"/>
      <c r="B3727" s="44"/>
      <c r="C3727" s="44"/>
      <c r="D3727" s="44"/>
      <c r="E3727" s="44"/>
      <c r="F3727" s="44"/>
      <c r="G3727" s="44"/>
      <c r="H3727" s="46" t="str">
        <f aca="false">IF($A3727="","",IF(OR(NOT(ISNUMBER(E3727)),NOT(ISNUMBER(F3727))),"",MAX(0,E3727)*F3727))</f>
        <v/>
      </c>
      <c r="I3727" s="46" t="str">
        <f aca="false">IF($A3727="","",SUMIF($A$2:$A$5001,$A3727,$H$2:$H$5001))</f>
        <v/>
      </c>
      <c r="J3727" s="47" t="n">
        <f aca="false">IF($A3727="",0,IF(COUNTIF($A$2:A3727,$A3727)=1,1,0))</f>
        <v>0</v>
      </c>
      <c r="K3727" s="47" t="n">
        <f aca="false">IF(J3727=1,N(I3727)+ROW()/10000000,0)</f>
        <v>0</v>
      </c>
      <c r="L3727" s="47" t="str">
        <f aca="false">IF(AND(J3727=1,N(I3727)&gt;0),SUMIF($K$2:$K$5001,"&gt;="&amp;K3727,$I$2:$I$5001)/MAX(1,SUM($H$2:$H$5001)),"")</f>
        <v/>
      </c>
      <c r="M3727" s="47" t="str">
        <f aca="false">IF($A3727="","",INDEX($L$2:$L$5001,MATCH($A3727,$A$2:$A$5001,0)))</f>
        <v/>
      </c>
      <c r="N3727" s="48" t="str">
        <f aca="false">IF($A3727="","",IF(N(M3727)=0,"–",IF(M3727&lt;=Start!$D$20,"A",IF(M3727&lt;=Start!$D$21,"B","C"))))</f>
        <v/>
      </c>
      <c r="O3727" s="48" t="str">
        <f aca="false">IF($A3727="","",IF(NOT(ISNUMBER(F3727)),"Wert fehlt; ",IF(F3727&lt;=0,"Wert ist 0; ",""))&amp;IF(NOT(ISNUMBER(E3727)),"Bestand fehlt; ",IF(E3727&lt;0,"Bestand negativ; ",IF(E3727=0,"Nullbestand; ","")))&amp;IF(D3727="","Warengruppe fehlt; ","")&amp;IF(B3727="","Bezeichnung fehlt; ","")&amp;IF(COUNTIFS($A$2:$A$5001,$A3727,$C$2:$C$5001,C3727)&gt;1,"Artikel doppelt im selben Lager; ",""))</f>
        <v/>
      </c>
      <c r="P3727" s="47" t="n">
        <f aca="false">IF(OR($A3727="",D3727=""),0,IF(COUNTIF($D$2:D3727,D3727)=1,SUMIF($D$2:$D$5001,D3727,$H$2:$H$5001)+ROW()/10000000,0))</f>
        <v>0</v>
      </c>
      <c r="Q3727" s="47" t="n">
        <f aca="false">IF(OR($A3727="",C3727=""),0,IF(COUNTIF($C$2:C3727,C3727)=1,SUMIF($C$2:$C$5001,C3727,$H$2:$H$5001)+ROW()/10000000,0))</f>
        <v>0</v>
      </c>
    </row>
    <row r="3728" customFormat="false" ht="15" hidden="false" customHeight="false" outlineLevel="0" collapsed="false">
      <c r="A3728" s="43"/>
      <c r="B3728" s="44"/>
      <c r="C3728" s="44"/>
      <c r="D3728" s="44"/>
      <c r="E3728" s="44"/>
      <c r="F3728" s="44"/>
      <c r="G3728" s="44"/>
      <c r="H3728" s="46" t="str">
        <f aca="false">IF($A3728="","",IF(OR(NOT(ISNUMBER(E3728)),NOT(ISNUMBER(F3728))),"",MAX(0,E3728)*F3728))</f>
        <v/>
      </c>
      <c r="I3728" s="46" t="str">
        <f aca="false">IF($A3728="","",SUMIF($A$2:$A$5001,$A3728,$H$2:$H$5001))</f>
        <v/>
      </c>
      <c r="J3728" s="47" t="n">
        <f aca="false">IF($A3728="",0,IF(COUNTIF($A$2:A3728,$A3728)=1,1,0))</f>
        <v>0</v>
      </c>
      <c r="K3728" s="47" t="n">
        <f aca="false">IF(J3728=1,N(I3728)+ROW()/10000000,0)</f>
        <v>0</v>
      </c>
      <c r="L3728" s="47" t="str">
        <f aca="false">IF(AND(J3728=1,N(I3728)&gt;0),SUMIF($K$2:$K$5001,"&gt;="&amp;K3728,$I$2:$I$5001)/MAX(1,SUM($H$2:$H$5001)),"")</f>
        <v/>
      </c>
      <c r="M3728" s="47" t="str">
        <f aca="false">IF($A3728="","",INDEX($L$2:$L$5001,MATCH($A3728,$A$2:$A$5001,0)))</f>
        <v/>
      </c>
      <c r="N3728" s="48" t="str">
        <f aca="false">IF($A3728="","",IF(N(M3728)=0,"–",IF(M3728&lt;=Start!$D$20,"A",IF(M3728&lt;=Start!$D$21,"B","C"))))</f>
        <v/>
      </c>
      <c r="O3728" s="48" t="str">
        <f aca="false">IF($A3728="","",IF(NOT(ISNUMBER(F3728)),"Wert fehlt; ",IF(F3728&lt;=0,"Wert ist 0; ",""))&amp;IF(NOT(ISNUMBER(E3728)),"Bestand fehlt; ",IF(E3728&lt;0,"Bestand negativ; ",IF(E3728=0,"Nullbestand; ","")))&amp;IF(D3728="","Warengruppe fehlt; ","")&amp;IF(B3728="","Bezeichnung fehlt; ","")&amp;IF(COUNTIFS($A$2:$A$5001,$A3728,$C$2:$C$5001,C3728)&gt;1,"Artikel doppelt im selben Lager; ",""))</f>
        <v/>
      </c>
      <c r="P3728" s="47" t="n">
        <f aca="false">IF(OR($A3728="",D3728=""),0,IF(COUNTIF($D$2:D3728,D3728)=1,SUMIF($D$2:$D$5001,D3728,$H$2:$H$5001)+ROW()/10000000,0))</f>
        <v>0</v>
      </c>
      <c r="Q3728" s="47" t="n">
        <f aca="false">IF(OR($A3728="",C3728=""),0,IF(COUNTIF($C$2:C3728,C3728)=1,SUMIF($C$2:$C$5001,C3728,$H$2:$H$5001)+ROW()/10000000,0))</f>
        <v>0</v>
      </c>
    </row>
    <row r="3729" customFormat="false" ht="15" hidden="false" customHeight="false" outlineLevel="0" collapsed="false">
      <c r="A3729" s="43"/>
      <c r="B3729" s="44"/>
      <c r="C3729" s="44"/>
      <c r="D3729" s="44"/>
      <c r="E3729" s="44"/>
      <c r="F3729" s="44"/>
      <c r="G3729" s="44"/>
      <c r="H3729" s="46" t="str">
        <f aca="false">IF($A3729="","",IF(OR(NOT(ISNUMBER(E3729)),NOT(ISNUMBER(F3729))),"",MAX(0,E3729)*F3729))</f>
        <v/>
      </c>
      <c r="I3729" s="46" t="str">
        <f aca="false">IF($A3729="","",SUMIF($A$2:$A$5001,$A3729,$H$2:$H$5001))</f>
        <v/>
      </c>
      <c r="J3729" s="47" t="n">
        <f aca="false">IF($A3729="",0,IF(COUNTIF($A$2:A3729,$A3729)=1,1,0))</f>
        <v>0</v>
      </c>
      <c r="K3729" s="47" t="n">
        <f aca="false">IF(J3729=1,N(I3729)+ROW()/10000000,0)</f>
        <v>0</v>
      </c>
      <c r="L3729" s="47" t="str">
        <f aca="false">IF(AND(J3729=1,N(I3729)&gt;0),SUMIF($K$2:$K$5001,"&gt;="&amp;K3729,$I$2:$I$5001)/MAX(1,SUM($H$2:$H$5001)),"")</f>
        <v/>
      </c>
      <c r="M3729" s="47" t="str">
        <f aca="false">IF($A3729="","",INDEX($L$2:$L$5001,MATCH($A3729,$A$2:$A$5001,0)))</f>
        <v/>
      </c>
      <c r="N3729" s="48" t="str">
        <f aca="false">IF($A3729="","",IF(N(M3729)=0,"–",IF(M3729&lt;=Start!$D$20,"A",IF(M3729&lt;=Start!$D$21,"B","C"))))</f>
        <v/>
      </c>
      <c r="O3729" s="48" t="str">
        <f aca="false">IF($A3729="","",IF(NOT(ISNUMBER(F3729)),"Wert fehlt; ",IF(F3729&lt;=0,"Wert ist 0; ",""))&amp;IF(NOT(ISNUMBER(E3729)),"Bestand fehlt; ",IF(E3729&lt;0,"Bestand negativ; ",IF(E3729=0,"Nullbestand; ","")))&amp;IF(D3729="","Warengruppe fehlt; ","")&amp;IF(B3729="","Bezeichnung fehlt; ","")&amp;IF(COUNTIFS($A$2:$A$5001,$A3729,$C$2:$C$5001,C3729)&gt;1,"Artikel doppelt im selben Lager; ",""))</f>
        <v/>
      </c>
      <c r="P3729" s="47" t="n">
        <f aca="false">IF(OR($A3729="",D3729=""),0,IF(COUNTIF($D$2:D3729,D3729)=1,SUMIF($D$2:$D$5001,D3729,$H$2:$H$5001)+ROW()/10000000,0))</f>
        <v>0</v>
      </c>
      <c r="Q3729" s="47" t="n">
        <f aca="false">IF(OR($A3729="",C3729=""),0,IF(COUNTIF($C$2:C3729,C3729)=1,SUMIF($C$2:$C$5001,C3729,$H$2:$H$5001)+ROW()/10000000,0))</f>
        <v>0</v>
      </c>
    </row>
    <row r="3730" customFormat="false" ht="15" hidden="false" customHeight="false" outlineLevel="0" collapsed="false">
      <c r="A3730" s="43"/>
      <c r="B3730" s="44"/>
      <c r="C3730" s="44"/>
      <c r="D3730" s="44"/>
      <c r="E3730" s="44"/>
      <c r="F3730" s="44"/>
      <c r="G3730" s="44"/>
      <c r="H3730" s="46" t="str">
        <f aca="false">IF($A3730="","",IF(OR(NOT(ISNUMBER(E3730)),NOT(ISNUMBER(F3730))),"",MAX(0,E3730)*F3730))</f>
        <v/>
      </c>
      <c r="I3730" s="46" t="str">
        <f aca="false">IF($A3730="","",SUMIF($A$2:$A$5001,$A3730,$H$2:$H$5001))</f>
        <v/>
      </c>
      <c r="J3730" s="47" t="n">
        <f aca="false">IF($A3730="",0,IF(COUNTIF($A$2:A3730,$A3730)=1,1,0))</f>
        <v>0</v>
      </c>
      <c r="K3730" s="47" t="n">
        <f aca="false">IF(J3730=1,N(I3730)+ROW()/10000000,0)</f>
        <v>0</v>
      </c>
      <c r="L3730" s="47" t="str">
        <f aca="false">IF(AND(J3730=1,N(I3730)&gt;0),SUMIF($K$2:$K$5001,"&gt;="&amp;K3730,$I$2:$I$5001)/MAX(1,SUM($H$2:$H$5001)),"")</f>
        <v/>
      </c>
      <c r="M3730" s="47" t="str">
        <f aca="false">IF($A3730="","",INDEX($L$2:$L$5001,MATCH($A3730,$A$2:$A$5001,0)))</f>
        <v/>
      </c>
      <c r="N3730" s="48" t="str">
        <f aca="false">IF($A3730="","",IF(N(M3730)=0,"–",IF(M3730&lt;=Start!$D$20,"A",IF(M3730&lt;=Start!$D$21,"B","C"))))</f>
        <v/>
      </c>
      <c r="O3730" s="48" t="str">
        <f aca="false">IF($A3730="","",IF(NOT(ISNUMBER(F3730)),"Wert fehlt; ",IF(F3730&lt;=0,"Wert ist 0; ",""))&amp;IF(NOT(ISNUMBER(E3730)),"Bestand fehlt; ",IF(E3730&lt;0,"Bestand negativ; ",IF(E3730=0,"Nullbestand; ","")))&amp;IF(D3730="","Warengruppe fehlt; ","")&amp;IF(B3730="","Bezeichnung fehlt; ","")&amp;IF(COUNTIFS($A$2:$A$5001,$A3730,$C$2:$C$5001,C3730)&gt;1,"Artikel doppelt im selben Lager; ",""))</f>
        <v/>
      </c>
      <c r="P3730" s="47" t="n">
        <f aca="false">IF(OR($A3730="",D3730=""),0,IF(COUNTIF($D$2:D3730,D3730)=1,SUMIF($D$2:$D$5001,D3730,$H$2:$H$5001)+ROW()/10000000,0))</f>
        <v>0</v>
      </c>
      <c r="Q3730" s="47" t="n">
        <f aca="false">IF(OR($A3730="",C3730=""),0,IF(COUNTIF($C$2:C3730,C3730)=1,SUMIF($C$2:$C$5001,C3730,$H$2:$H$5001)+ROW()/10000000,0))</f>
        <v>0</v>
      </c>
    </row>
    <row r="3731" customFormat="false" ht="15" hidden="false" customHeight="false" outlineLevel="0" collapsed="false">
      <c r="A3731" s="43"/>
      <c r="B3731" s="44"/>
      <c r="C3731" s="44"/>
      <c r="D3731" s="44"/>
      <c r="E3731" s="44"/>
      <c r="F3731" s="44"/>
      <c r="G3731" s="44"/>
      <c r="H3731" s="46" t="str">
        <f aca="false">IF($A3731="","",IF(OR(NOT(ISNUMBER(E3731)),NOT(ISNUMBER(F3731))),"",MAX(0,E3731)*F3731))</f>
        <v/>
      </c>
      <c r="I3731" s="46" t="str">
        <f aca="false">IF($A3731="","",SUMIF($A$2:$A$5001,$A3731,$H$2:$H$5001))</f>
        <v/>
      </c>
      <c r="J3731" s="47" t="n">
        <f aca="false">IF($A3731="",0,IF(COUNTIF($A$2:A3731,$A3731)=1,1,0))</f>
        <v>0</v>
      </c>
      <c r="K3731" s="47" t="n">
        <f aca="false">IF(J3731=1,N(I3731)+ROW()/10000000,0)</f>
        <v>0</v>
      </c>
      <c r="L3731" s="47" t="str">
        <f aca="false">IF(AND(J3731=1,N(I3731)&gt;0),SUMIF($K$2:$K$5001,"&gt;="&amp;K3731,$I$2:$I$5001)/MAX(1,SUM($H$2:$H$5001)),"")</f>
        <v/>
      </c>
      <c r="M3731" s="47" t="str">
        <f aca="false">IF($A3731="","",INDEX($L$2:$L$5001,MATCH($A3731,$A$2:$A$5001,0)))</f>
        <v/>
      </c>
      <c r="N3731" s="48" t="str">
        <f aca="false">IF($A3731="","",IF(N(M3731)=0,"–",IF(M3731&lt;=Start!$D$20,"A",IF(M3731&lt;=Start!$D$21,"B","C"))))</f>
        <v/>
      </c>
      <c r="O3731" s="48" t="str">
        <f aca="false">IF($A3731="","",IF(NOT(ISNUMBER(F3731)),"Wert fehlt; ",IF(F3731&lt;=0,"Wert ist 0; ",""))&amp;IF(NOT(ISNUMBER(E3731)),"Bestand fehlt; ",IF(E3731&lt;0,"Bestand negativ; ",IF(E3731=0,"Nullbestand; ","")))&amp;IF(D3731="","Warengruppe fehlt; ","")&amp;IF(B3731="","Bezeichnung fehlt; ","")&amp;IF(COUNTIFS($A$2:$A$5001,$A3731,$C$2:$C$5001,C3731)&gt;1,"Artikel doppelt im selben Lager; ",""))</f>
        <v/>
      </c>
      <c r="P3731" s="47" t="n">
        <f aca="false">IF(OR($A3731="",D3731=""),0,IF(COUNTIF($D$2:D3731,D3731)=1,SUMIF($D$2:$D$5001,D3731,$H$2:$H$5001)+ROW()/10000000,0))</f>
        <v>0</v>
      </c>
      <c r="Q3731" s="47" t="n">
        <f aca="false">IF(OR($A3731="",C3731=""),0,IF(COUNTIF($C$2:C3731,C3731)=1,SUMIF($C$2:$C$5001,C3731,$H$2:$H$5001)+ROW()/10000000,0))</f>
        <v>0</v>
      </c>
    </row>
    <row r="3732" customFormat="false" ht="15" hidden="false" customHeight="false" outlineLevel="0" collapsed="false">
      <c r="A3732" s="43"/>
      <c r="B3732" s="44"/>
      <c r="C3732" s="44"/>
      <c r="D3732" s="44"/>
      <c r="E3732" s="44"/>
      <c r="F3732" s="44"/>
      <c r="G3732" s="44"/>
      <c r="H3732" s="46" t="str">
        <f aca="false">IF($A3732="","",IF(OR(NOT(ISNUMBER(E3732)),NOT(ISNUMBER(F3732))),"",MAX(0,E3732)*F3732))</f>
        <v/>
      </c>
      <c r="I3732" s="46" t="str">
        <f aca="false">IF($A3732="","",SUMIF($A$2:$A$5001,$A3732,$H$2:$H$5001))</f>
        <v/>
      </c>
      <c r="J3732" s="47" t="n">
        <f aca="false">IF($A3732="",0,IF(COUNTIF($A$2:A3732,$A3732)=1,1,0))</f>
        <v>0</v>
      </c>
      <c r="K3732" s="47" t="n">
        <f aca="false">IF(J3732=1,N(I3732)+ROW()/10000000,0)</f>
        <v>0</v>
      </c>
      <c r="L3732" s="47" t="str">
        <f aca="false">IF(AND(J3732=1,N(I3732)&gt;0),SUMIF($K$2:$K$5001,"&gt;="&amp;K3732,$I$2:$I$5001)/MAX(1,SUM($H$2:$H$5001)),"")</f>
        <v/>
      </c>
      <c r="M3732" s="47" t="str">
        <f aca="false">IF($A3732="","",INDEX($L$2:$L$5001,MATCH($A3732,$A$2:$A$5001,0)))</f>
        <v/>
      </c>
      <c r="N3732" s="48" t="str">
        <f aca="false">IF($A3732="","",IF(N(M3732)=0,"–",IF(M3732&lt;=Start!$D$20,"A",IF(M3732&lt;=Start!$D$21,"B","C"))))</f>
        <v/>
      </c>
      <c r="O3732" s="48" t="str">
        <f aca="false">IF($A3732="","",IF(NOT(ISNUMBER(F3732)),"Wert fehlt; ",IF(F3732&lt;=0,"Wert ist 0; ",""))&amp;IF(NOT(ISNUMBER(E3732)),"Bestand fehlt; ",IF(E3732&lt;0,"Bestand negativ; ",IF(E3732=0,"Nullbestand; ","")))&amp;IF(D3732="","Warengruppe fehlt; ","")&amp;IF(B3732="","Bezeichnung fehlt; ","")&amp;IF(COUNTIFS($A$2:$A$5001,$A3732,$C$2:$C$5001,C3732)&gt;1,"Artikel doppelt im selben Lager; ",""))</f>
        <v/>
      </c>
      <c r="P3732" s="47" t="n">
        <f aca="false">IF(OR($A3732="",D3732=""),0,IF(COUNTIF($D$2:D3732,D3732)=1,SUMIF($D$2:$D$5001,D3732,$H$2:$H$5001)+ROW()/10000000,0))</f>
        <v>0</v>
      </c>
      <c r="Q3732" s="47" t="n">
        <f aca="false">IF(OR($A3732="",C3732=""),0,IF(COUNTIF($C$2:C3732,C3732)=1,SUMIF($C$2:$C$5001,C3732,$H$2:$H$5001)+ROW()/10000000,0))</f>
        <v>0</v>
      </c>
    </row>
    <row r="3733" customFormat="false" ht="15" hidden="false" customHeight="false" outlineLevel="0" collapsed="false">
      <c r="A3733" s="43"/>
      <c r="B3733" s="44"/>
      <c r="C3733" s="44"/>
      <c r="D3733" s="44"/>
      <c r="E3733" s="44"/>
      <c r="F3733" s="44"/>
      <c r="G3733" s="44"/>
      <c r="H3733" s="46" t="str">
        <f aca="false">IF($A3733="","",IF(OR(NOT(ISNUMBER(E3733)),NOT(ISNUMBER(F3733))),"",MAX(0,E3733)*F3733))</f>
        <v/>
      </c>
      <c r="I3733" s="46" t="str">
        <f aca="false">IF($A3733="","",SUMIF($A$2:$A$5001,$A3733,$H$2:$H$5001))</f>
        <v/>
      </c>
      <c r="J3733" s="47" t="n">
        <f aca="false">IF($A3733="",0,IF(COUNTIF($A$2:A3733,$A3733)=1,1,0))</f>
        <v>0</v>
      </c>
      <c r="K3733" s="47" t="n">
        <f aca="false">IF(J3733=1,N(I3733)+ROW()/10000000,0)</f>
        <v>0</v>
      </c>
      <c r="L3733" s="47" t="str">
        <f aca="false">IF(AND(J3733=1,N(I3733)&gt;0),SUMIF($K$2:$K$5001,"&gt;="&amp;K3733,$I$2:$I$5001)/MAX(1,SUM($H$2:$H$5001)),"")</f>
        <v/>
      </c>
      <c r="M3733" s="47" t="str">
        <f aca="false">IF($A3733="","",INDEX($L$2:$L$5001,MATCH($A3733,$A$2:$A$5001,0)))</f>
        <v/>
      </c>
      <c r="N3733" s="48" t="str">
        <f aca="false">IF($A3733="","",IF(N(M3733)=0,"–",IF(M3733&lt;=Start!$D$20,"A",IF(M3733&lt;=Start!$D$21,"B","C"))))</f>
        <v/>
      </c>
      <c r="O3733" s="48" t="str">
        <f aca="false">IF($A3733="","",IF(NOT(ISNUMBER(F3733)),"Wert fehlt; ",IF(F3733&lt;=0,"Wert ist 0; ",""))&amp;IF(NOT(ISNUMBER(E3733)),"Bestand fehlt; ",IF(E3733&lt;0,"Bestand negativ; ",IF(E3733=0,"Nullbestand; ","")))&amp;IF(D3733="","Warengruppe fehlt; ","")&amp;IF(B3733="","Bezeichnung fehlt; ","")&amp;IF(COUNTIFS($A$2:$A$5001,$A3733,$C$2:$C$5001,C3733)&gt;1,"Artikel doppelt im selben Lager; ",""))</f>
        <v/>
      </c>
      <c r="P3733" s="47" t="n">
        <f aca="false">IF(OR($A3733="",D3733=""),0,IF(COUNTIF($D$2:D3733,D3733)=1,SUMIF($D$2:$D$5001,D3733,$H$2:$H$5001)+ROW()/10000000,0))</f>
        <v>0</v>
      </c>
      <c r="Q3733" s="47" t="n">
        <f aca="false">IF(OR($A3733="",C3733=""),0,IF(COUNTIF($C$2:C3733,C3733)=1,SUMIF($C$2:$C$5001,C3733,$H$2:$H$5001)+ROW()/10000000,0))</f>
        <v>0</v>
      </c>
    </row>
    <row r="3734" customFormat="false" ht="15" hidden="false" customHeight="false" outlineLevel="0" collapsed="false">
      <c r="A3734" s="43"/>
      <c r="B3734" s="44"/>
      <c r="C3734" s="44"/>
      <c r="D3734" s="44"/>
      <c r="E3734" s="44"/>
      <c r="F3734" s="44"/>
      <c r="G3734" s="44"/>
      <c r="H3734" s="46" t="str">
        <f aca="false">IF($A3734="","",IF(OR(NOT(ISNUMBER(E3734)),NOT(ISNUMBER(F3734))),"",MAX(0,E3734)*F3734))</f>
        <v/>
      </c>
      <c r="I3734" s="46" t="str">
        <f aca="false">IF($A3734="","",SUMIF($A$2:$A$5001,$A3734,$H$2:$H$5001))</f>
        <v/>
      </c>
      <c r="J3734" s="47" t="n">
        <f aca="false">IF($A3734="",0,IF(COUNTIF($A$2:A3734,$A3734)=1,1,0))</f>
        <v>0</v>
      </c>
      <c r="K3734" s="47" t="n">
        <f aca="false">IF(J3734=1,N(I3734)+ROW()/10000000,0)</f>
        <v>0</v>
      </c>
      <c r="L3734" s="47" t="str">
        <f aca="false">IF(AND(J3734=1,N(I3734)&gt;0),SUMIF($K$2:$K$5001,"&gt;="&amp;K3734,$I$2:$I$5001)/MAX(1,SUM($H$2:$H$5001)),"")</f>
        <v/>
      </c>
      <c r="M3734" s="47" t="str">
        <f aca="false">IF($A3734="","",INDEX($L$2:$L$5001,MATCH($A3734,$A$2:$A$5001,0)))</f>
        <v/>
      </c>
      <c r="N3734" s="48" t="str">
        <f aca="false">IF($A3734="","",IF(N(M3734)=0,"–",IF(M3734&lt;=Start!$D$20,"A",IF(M3734&lt;=Start!$D$21,"B","C"))))</f>
        <v/>
      </c>
      <c r="O3734" s="48" t="str">
        <f aca="false">IF($A3734="","",IF(NOT(ISNUMBER(F3734)),"Wert fehlt; ",IF(F3734&lt;=0,"Wert ist 0; ",""))&amp;IF(NOT(ISNUMBER(E3734)),"Bestand fehlt; ",IF(E3734&lt;0,"Bestand negativ; ",IF(E3734=0,"Nullbestand; ","")))&amp;IF(D3734="","Warengruppe fehlt; ","")&amp;IF(B3734="","Bezeichnung fehlt; ","")&amp;IF(COUNTIFS($A$2:$A$5001,$A3734,$C$2:$C$5001,C3734)&gt;1,"Artikel doppelt im selben Lager; ",""))</f>
        <v/>
      </c>
      <c r="P3734" s="47" t="n">
        <f aca="false">IF(OR($A3734="",D3734=""),0,IF(COUNTIF($D$2:D3734,D3734)=1,SUMIF($D$2:$D$5001,D3734,$H$2:$H$5001)+ROW()/10000000,0))</f>
        <v>0</v>
      </c>
      <c r="Q3734" s="47" t="n">
        <f aca="false">IF(OR($A3734="",C3734=""),0,IF(COUNTIF($C$2:C3734,C3734)=1,SUMIF($C$2:$C$5001,C3734,$H$2:$H$5001)+ROW()/10000000,0))</f>
        <v>0</v>
      </c>
    </row>
    <row r="3735" customFormat="false" ht="15" hidden="false" customHeight="false" outlineLevel="0" collapsed="false">
      <c r="A3735" s="43"/>
      <c r="B3735" s="44"/>
      <c r="C3735" s="44"/>
      <c r="D3735" s="44"/>
      <c r="E3735" s="44"/>
      <c r="F3735" s="44"/>
      <c r="G3735" s="44"/>
      <c r="H3735" s="46" t="str">
        <f aca="false">IF($A3735="","",IF(OR(NOT(ISNUMBER(E3735)),NOT(ISNUMBER(F3735))),"",MAX(0,E3735)*F3735))</f>
        <v/>
      </c>
      <c r="I3735" s="46" t="str">
        <f aca="false">IF($A3735="","",SUMIF($A$2:$A$5001,$A3735,$H$2:$H$5001))</f>
        <v/>
      </c>
      <c r="J3735" s="47" t="n">
        <f aca="false">IF($A3735="",0,IF(COUNTIF($A$2:A3735,$A3735)=1,1,0))</f>
        <v>0</v>
      </c>
      <c r="K3735" s="47" t="n">
        <f aca="false">IF(J3735=1,N(I3735)+ROW()/10000000,0)</f>
        <v>0</v>
      </c>
      <c r="L3735" s="47" t="str">
        <f aca="false">IF(AND(J3735=1,N(I3735)&gt;0),SUMIF($K$2:$K$5001,"&gt;="&amp;K3735,$I$2:$I$5001)/MAX(1,SUM($H$2:$H$5001)),"")</f>
        <v/>
      </c>
      <c r="M3735" s="47" t="str">
        <f aca="false">IF($A3735="","",INDEX($L$2:$L$5001,MATCH($A3735,$A$2:$A$5001,0)))</f>
        <v/>
      </c>
      <c r="N3735" s="48" t="str">
        <f aca="false">IF($A3735="","",IF(N(M3735)=0,"–",IF(M3735&lt;=Start!$D$20,"A",IF(M3735&lt;=Start!$D$21,"B","C"))))</f>
        <v/>
      </c>
      <c r="O3735" s="48" t="str">
        <f aca="false">IF($A3735="","",IF(NOT(ISNUMBER(F3735)),"Wert fehlt; ",IF(F3735&lt;=0,"Wert ist 0; ",""))&amp;IF(NOT(ISNUMBER(E3735)),"Bestand fehlt; ",IF(E3735&lt;0,"Bestand negativ; ",IF(E3735=0,"Nullbestand; ","")))&amp;IF(D3735="","Warengruppe fehlt; ","")&amp;IF(B3735="","Bezeichnung fehlt; ","")&amp;IF(COUNTIFS($A$2:$A$5001,$A3735,$C$2:$C$5001,C3735)&gt;1,"Artikel doppelt im selben Lager; ",""))</f>
        <v/>
      </c>
      <c r="P3735" s="47" t="n">
        <f aca="false">IF(OR($A3735="",D3735=""),0,IF(COUNTIF($D$2:D3735,D3735)=1,SUMIF($D$2:$D$5001,D3735,$H$2:$H$5001)+ROW()/10000000,0))</f>
        <v>0</v>
      </c>
      <c r="Q3735" s="47" t="n">
        <f aca="false">IF(OR($A3735="",C3735=""),0,IF(COUNTIF($C$2:C3735,C3735)=1,SUMIF($C$2:$C$5001,C3735,$H$2:$H$5001)+ROW()/10000000,0))</f>
        <v>0</v>
      </c>
    </row>
    <row r="3736" customFormat="false" ht="15" hidden="false" customHeight="false" outlineLevel="0" collapsed="false">
      <c r="A3736" s="43"/>
      <c r="B3736" s="44"/>
      <c r="C3736" s="44"/>
      <c r="D3736" s="44"/>
      <c r="E3736" s="44"/>
      <c r="F3736" s="44"/>
      <c r="G3736" s="44"/>
      <c r="H3736" s="46" t="str">
        <f aca="false">IF($A3736="","",IF(OR(NOT(ISNUMBER(E3736)),NOT(ISNUMBER(F3736))),"",MAX(0,E3736)*F3736))</f>
        <v/>
      </c>
      <c r="I3736" s="46" t="str">
        <f aca="false">IF($A3736="","",SUMIF($A$2:$A$5001,$A3736,$H$2:$H$5001))</f>
        <v/>
      </c>
      <c r="J3736" s="47" t="n">
        <f aca="false">IF($A3736="",0,IF(COUNTIF($A$2:A3736,$A3736)=1,1,0))</f>
        <v>0</v>
      </c>
      <c r="K3736" s="47" t="n">
        <f aca="false">IF(J3736=1,N(I3736)+ROW()/10000000,0)</f>
        <v>0</v>
      </c>
      <c r="L3736" s="47" t="str">
        <f aca="false">IF(AND(J3736=1,N(I3736)&gt;0),SUMIF($K$2:$K$5001,"&gt;="&amp;K3736,$I$2:$I$5001)/MAX(1,SUM($H$2:$H$5001)),"")</f>
        <v/>
      </c>
      <c r="M3736" s="47" t="str">
        <f aca="false">IF($A3736="","",INDEX($L$2:$L$5001,MATCH($A3736,$A$2:$A$5001,0)))</f>
        <v/>
      </c>
      <c r="N3736" s="48" t="str">
        <f aca="false">IF($A3736="","",IF(N(M3736)=0,"–",IF(M3736&lt;=Start!$D$20,"A",IF(M3736&lt;=Start!$D$21,"B","C"))))</f>
        <v/>
      </c>
      <c r="O3736" s="48" t="str">
        <f aca="false">IF($A3736="","",IF(NOT(ISNUMBER(F3736)),"Wert fehlt; ",IF(F3736&lt;=0,"Wert ist 0; ",""))&amp;IF(NOT(ISNUMBER(E3736)),"Bestand fehlt; ",IF(E3736&lt;0,"Bestand negativ; ",IF(E3736=0,"Nullbestand; ","")))&amp;IF(D3736="","Warengruppe fehlt; ","")&amp;IF(B3736="","Bezeichnung fehlt; ","")&amp;IF(COUNTIFS($A$2:$A$5001,$A3736,$C$2:$C$5001,C3736)&gt;1,"Artikel doppelt im selben Lager; ",""))</f>
        <v/>
      </c>
      <c r="P3736" s="47" t="n">
        <f aca="false">IF(OR($A3736="",D3736=""),0,IF(COUNTIF($D$2:D3736,D3736)=1,SUMIF($D$2:$D$5001,D3736,$H$2:$H$5001)+ROW()/10000000,0))</f>
        <v>0</v>
      </c>
      <c r="Q3736" s="47" t="n">
        <f aca="false">IF(OR($A3736="",C3736=""),0,IF(COUNTIF($C$2:C3736,C3736)=1,SUMIF($C$2:$C$5001,C3736,$H$2:$H$5001)+ROW()/10000000,0))</f>
        <v>0</v>
      </c>
    </row>
    <row r="3737" customFormat="false" ht="15" hidden="false" customHeight="false" outlineLevel="0" collapsed="false">
      <c r="A3737" s="43"/>
      <c r="B3737" s="44"/>
      <c r="C3737" s="44"/>
      <c r="D3737" s="44"/>
      <c r="E3737" s="44"/>
      <c r="F3737" s="44"/>
      <c r="G3737" s="44"/>
      <c r="H3737" s="46" t="str">
        <f aca="false">IF($A3737="","",IF(OR(NOT(ISNUMBER(E3737)),NOT(ISNUMBER(F3737))),"",MAX(0,E3737)*F3737))</f>
        <v/>
      </c>
      <c r="I3737" s="46" t="str">
        <f aca="false">IF($A3737="","",SUMIF($A$2:$A$5001,$A3737,$H$2:$H$5001))</f>
        <v/>
      </c>
      <c r="J3737" s="47" t="n">
        <f aca="false">IF($A3737="",0,IF(COUNTIF($A$2:A3737,$A3737)=1,1,0))</f>
        <v>0</v>
      </c>
      <c r="K3737" s="47" t="n">
        <f aca="false">IF(J3737=1,N(I3737)+ROW()/10000000,0)</f>
        <v>0</v>
      </c>
      <c r="L3737" s="47" t="str">
        <f aca="false">IF(AND(J3737=1,N(I3737)&gt;0),SUMIF($K$2:$K$5001,"&gt;="&amp;K3737,$I$2:$I$5001)/MAX(1,SUM($H$2:$H$5001)),"")</f>
        <v/>
      </c>
      <c r="M3737" s="47" t="str">
        <f aca="false">IF($A3737="","",INDEX($L$2:$L$5001,MATCH($A3737,$A$2:$A$5001,0)))</f>
        <v/>
      </c>
      <c r="N3737" s="48" t="str">
        <f aca="false">IF($A3737="","",IF(N(M3737)=0,"–",IF(M3737&lt;=Start!$D$20,"A",IF(M3737&lt;=Start!$D$21,"B","C"))))</f>
        <v/>
      </c>
      <c r="O3737" s="48" t="str">
        <f aca="false">IF($A3737="","",IF(NOT(ISNUMBER(F3737)),"Wert fehlt; ",IF(F3737&lt;=0,"Wert ist 0; ",""))&amp;IF(NOT(ISNUMBER(E3737)),"Bestand fehlt; ",IF(E3737&lt;0,"Bestand negativ; ",IF(E3737=0,"Nullbestand; ","")))&amp;IF(D3737="","Warengruppe fehlt; ","")&amp;IF(B3737="","Bezeichnung fehlt; ","")&amp;IF(COUNTIFS($A$2:$A$5001,$A3737,$C$2:$C$5001,C3737)&gt;1,"Artikel doppelt im selben Lager; ",""))</f>
        <v/>
      </c>
      <c r="P3737" s="47" t="n">
        <f aca="false">IF(OR($A3737="",D3737=""),0,IF(COUNTIF($D$2:D3737,D3737)=1,SUMIF($D$2:$D$5001,D3737,$H$2:$H$5001)+ROW()/10000000,0))</f>
        <v>0</v>
      </c>
      <c r="Q3737" s="47" t="n">
        <f aca="false">IF(OR($A3737="",C3737=""),0,IF(COUNTIF($C$2:C3737,C3737)=1,SUMIF($C$2:$C$5001,C3737,$H$2:$H$5001)+ROW()/10000000,0))</f>
        <v>0</v>
      </c>
    </row>
    <row r="3738" customFormat="false" ht="15" hidden="false" customHeight="false" outlineLevel="0" collapsed="false">
      <c r="A3738" s="43"/>
      <c r="B3738" s="44"/>
      <c r="C3738" s="44"/>
      <c r="D3738" s="44"/>
      <c r="E3738" s="44"/>
      <c r="F3738" s="44"/>
      <c r="G3738" s="44"/>
      <c r="H3738" s="46" t="str">
        <f aca="false">IF($A3738="","",IF(OR(NOT(ISNUMBER(E3738)),NOT(ISNUMBER(F3738))),"",MAX(0,E3738)*F3738))</f>
        <v/>
      </c>
      <c r="I3738" s="46" t="str">
        <f aca="false">IF($A3738="","",SUMIF($A$2:$A$5001,$A3738,$H$2:$H$5001))</f>
        <v/>
      </c>
      <c r="J3738" s="47" t="n">
        <f aca="false">IF($A3738="",0,IF(COUNTIF($A$2:A3738,$A3738)=1,1,0))</f>
        <v>0</v>
      </c>
      <c r="K3738" s="47" t="n">
        <f aca="false">IF(J3738=1,N(I3738)+ROW()/10000000,0)</f>
        <v>0</v>
      </c>
      <c r="L3738" s="47" t="str">
        <f aca="false">IF(AND(J3738=1,N(I3738)&gt;0),SUMIF($K$2:$K$5001,"&gt;="&amp;K3738,$I$2:$I$5001)/MAX(1,SUM($H$2:$H$5001)),"")</f>
        <v/>
      </c>
      <c r="M3738" s="47" t="str">
        <f aca="false">IF($A3738="","",INDEX($L$2:$L$5001,MATCH($A3738,$A$2:$A$5001,0)))</f>
        <v/>
      </c>
      <c r="N3738" s="48" t="str">
        <f aca="false">IF($A3738="","",IF(N(M3738)=0,"–",IF(M3738&lt;=Start!$D$20,"A",IF(M3738&lt;=Start!$D$21,"B","C"))))</f>
        <v/>
      </c>
      <c r="O3738" s="48" t="str">
        <f aca="false">IF($A3738="","",IF(NOT(ISNUMBER(F3738)),"Wert fehlt; ",IF(F3738&lt;=0,"Wert ist 0; ",""))&amp;IF(NOT(ISNUMBER(E3738)),"Bestand fehlt; ",IF(E3738&lt;0,"Bestand negativ; ",IF(E3738=0,"Nullbestand; ","")))&amp;IF(D3738="","Warengruppe fehlt; ","")&amp;IF(B3738="","Bezeichnung fehlt; ","")&amp;IF(COUNTIFS($A$2:$A$5001,$A3738,$C$2:$C$5001,C3738)&gt;1,"Artikel doppelt im selben Lager; ",""))</f>
        <v/>
      </c>
      <c r="P3738" s="47" t="n">
        <f aca="false">IF(OR($A3738="",D3738=""),0,IF(COUNTIF($D$2:D3738,D3738)=1,SUMIF($D$2:$D$5001,D3738,$H$2:$H$5001)+ROW()/10000000,0))</f>
        <v>0</v>
      </c>
      <c r="Q3738" s="47" t="n">
        <f aca="false">IF(OR($A3738="",C3738=""),0,IF(COUNTIF($C$2:C3738,C3738)=1,SUMIF($C$2:$C$5001,C3738,$H$2:$H$5001)+ROW()/10000000,0))</f>
        <v>0</v>
      </c>
    </row>
    <row r="3739" customFormat="false" ht="15" hidden="false" customHeight="false" outlineLevel="0" collapsed="false">
      <c r="A3739" s="43"/>
      <c r="B3739" s="44"/>
      <c r="C3739" s="44"/>
      <c r="D3739" s="44"/>
      <c r="E3739" s="44"/>
      <c r="F3739" s="44"/>
      <c r="G3739" s="44"/>
      <c r="H3739" s="46" t="str">
        <f aca="false">IF($A3739="","",IF(OR(NOT(ISNUMBER(E3739)),NOT(ISNUMBER(F3739))),"",MAX(0,E3739)*F3739))</f>
        <v/>
      </c>
      <c r="I3739" s="46" t="str">
        <f aca="false">IF($A3739="","",SUMIF($A$2:$A$5001,$A3739,$H$2:$H$5001))</f>
        <v/>
      </c>
      <c r="J3739" s="47" t="n">
        <f aca="false">IF($A3739="",0,IF(COUNTIF($A$2:A3739,$A3739)=1,1,0))</f>
        <v>0</v>
      </c>
      <c r="K3739" s="47" t="n">
        <f aca="false">IF(J3739=1,N(I3739)+ROW()/10000000,0)</f>
        <v>0</v>
      </c>
      <c r="L3739" s="47" t="str">
        <f aca="false">IF(AND(J3739=1,N(I3739)&gt;0),SUMIF($K$2:$K$5001,"&gt;="&amp;K3739,$I$2:$I$5001)/MAX(1,SUM($H$2:$H$5001)),"")</f>
        <v/>
      </c>
      <c r="M3739" s="47" t="str">
        <f aca="false">IF($A3739="","",INDEX($L$2:$L$5001,MATCH($A3739,$A$2:$A$5001,0)))</f>
        <v/>
      </c>
      <c r="N3739" s="48" t="str">
        <f aca="false">IF($A3739="","",IF(N(M3739)=0,"–",IF(M3739&lt;=Start!$D$20,"A",IF(M3739&lt;=Start!$D$21,"B","C"))))</f>
        <v/>
      </c>
      <c r="O3739" s="48" t="str">
        <f aca="false">IF($A3739="","",IF(NOT(ISNUMBER(F3739)),"Wert fehlt; ",IF(F3739&lt;=0,"Wert ist 0; ",""))&amp;IF(NOT(ISNUMBER(E3739)),"Bestand fehlt; ",IF(E3739&lt;0,"Bestand negativ; ",IF(E3739=0,"Nullbestand; ","")))&amp;IF(D3739="","Warengruppe fehlt; ","")&amp;IF(B3739="","Bezeichnung fehlt; ","")&amp;IF(COUNTIFS($A$2:$A$5001,$A3739,$C$2:$C$5001,C3739)&gt;1,"Artikel doppelt im selben Lager; ",""))</f>
        <v/>
      </c>
      <c r="P3739" s="47" t="n">
        <f aca="false">IF(OR($A3739="",D3739=""),0,IF(COUNTIF($D$2:D3739,D3739)=1,SUMIF($D$2:$D$5001,D3739,$H$2:$H$5001)+ROW()/10000000,0))</f>
        <v>0</v>
      </c>
      <c r="Q3739" s="47" t="n">
        <f aca="false">IF(OR($A3739="",C3739=""),0,IF(COUNTIF($C$2:C3739,C3739)=1,SUMIF($C$2:$C$5001,C3739,$H$2:$H$5001)+ROW()/10000000,0))</f>
        <v>0</v>
      </c>
    </row>
    <row r="3740" customFormat="false" ht="15" hidden="false" customHeight="false" outlineLevel="0" collapsed="false">
      <c r="A3740" s="43"/>
      <c r="B3740" s="44"/>
      <c r="C3740" s="44"/>
      <c r="D3740" s="44"/>
      <c r="E3740" s="44"/>
      <c r="F3740" s="44"/>
      <c r="G3740" s="44"/>
      <c r="H3740" s="46" t="str">
        <f aca="false">IF($A3740="","",IF(OR(NOT(ISNUMBER(E3740)),NOT(ISNUMBER(F3740))),"",MAX(0,E3740)*F3740))</f>
        <v/>
      </c>
      <c r="I3740" s="46" t="str">
        <f aca="false">IF($A3740="","",SUMIF($A$2:$A$5001,$A3740,$H$2:$H$5001))</f>
        <v/>
      </c>
      <c r="J3740" s="47" t="n">
        <f aca="false">IF($A3740="",0,IF(COUNTIF($A$2:A3740,$A3740)=1,1,0))</f>
        <v>0</v>
      </c>
      <c r="K3740" s="47" t="n">
        <f aca="false">IF(J3740=1,N(I3740)+ROW()/10000000,0)</f>
        <v>0</v>
      </c>
      <c r="L3740" s="47" t="str">
        <f aca="false">IF(AND(J3740=1,N(I3740)&gt;0),SUMIF($K$2:$K$5001,"&gt;="&amp;K3740,$I$2:$I$5001)/MAX(1,SUM($H$2:$H$5001)),"")</f>
        <v/>
      </c>
      <c r="M3740" s="47" t="str">
        <f aca="false">IF($A3740="","",INDEX($L$2:$L$5001,MATCH($A3740,$A$2:$A$5001,0)))</f>
        <v/>
      </c>
      <c r="N3740" s="48" t="str">
        <f aca="false">IF($A3740="","",IF(N(M3740)=0,"–",IF(M3740&lt;=Start!$D$20,"A",IF(M3740&lt;=Start!$D$21,"B","C"))))</f>
        <v/>
      </c>
      <c r="O3740" s="48" t="str">
        <f aca="false">IF($A3740="","",IF(NOT(ISNUMBER(F3740)),"Wert fehlt; ",IF(F3740&lt;=0,"Wert ist 0; ",""))&amp;IF(NOT(ISNUMBER(E3740)),"Bestand fehlt; ",IF(E3740&lt;0,"Bestand negativ; ",IF(E3740=0,"Nullbestand; ","")))&amp;IF(D3740="","Warengruppe fehlt; ","")&amp;IF(B3740="","Bezeichnung fehlt; ","")&amp;IF(COUNTIFS($A$2:$A$5001,$A3740,$C$2:$C$5001,C3740)&gt;1,"Artikel doppelt im selben Lager; ",""))</f>
        <v/>
      </c>
      <c r="P3740" s="47" t="n">
        <f aca="false">IF(OR($A3740="",D3740=""),0,IF(COUNTIF($D$2:D3740,D3740)=1,SUMIF($D$2:$D$5001,D3740,$H$2:$H$5001)+ROW()/10000000,0))</f>
        <v>0</v>
      </c>
      <c r="Q3740" s="47" t="n">
        <f aca="false">IF(OR($A3740="",C3740=""),0,IF(COUNTIF($C$2:C3740,C3740)=1,SUMIF($C$2:$C$5001,C3740,$H$2:$H$5001)+ROW()/10000000,0))</f>
        <v>0</v>
      </c>
    </row>
    <row r="3741" customFormat="false" ht="15" hidden="false" customHeight="false" outlineLevel="0" collapsed="false">
      <c r="A3741" s="43"/>
      <c r="B3741" s="44"/>
      <c r="C3741" s="44"/>
      <c r="D3741" s="44"/>
      <c r="E3741" s="44"/>
      <c r="F3741" s="44"/>
      <c r="G3741" s="44"/>
      <c r="H3741" s="46" t="str">
        <f aca="false">IF($A3741="","",IF(OR(NOT(ISNUMBER(E3741)),NOT(ISNUMBER(F3741))),"",MAX(0,E3741)*F3741))</f>
        <v/>
      </c>
      <c r="I3741" s="46" t="str">
        <f aca="false">IF($A3741="","",SUMIF($A$2:$A$5001,$A3741,$H$2:$H$5001))</f>
        <v/>
      </c>
      <c r="J3741" s="47" t="n">
        <f aca="false">IF($A3741="",0,IF(COUNTIF($A$2:A3741,$A3741)=1,1,0))</f>
        <v>0</v>
      </c>
      <c r="K3741" s="47" t="n">
        <f aca="false">IF(J3741=1,N(I3741)+ROW()/10000000,0)</f>
        <v>0</v>
      </c>
      <c r="L3741" s="47" t="str">
        <f aca="false">IF(AND(J3741=1,N(I3741)&gt;0),SUMIF($K$2:$K$5001,"&gt;="&amp;K3741,$I$2:$I$5001)/MAX(1,SUM($H$2:$H$5001)),"")</f>
        <v/>
      </c>
      <c r="M3741" s="47" t="str">
        <f aca="false">IF($A3741="","",INDEX($L$2:$L$5001,MATCH($A3741,$A$2:$A$5001,0)))</f>
        <v/>
      </c>
      <c r="N3741" s="48" t="str">
        <f aca="false">IF($A3741="","",IF(N(M3741)=0,"–",IF(M3741&lt;=Start!$D$20,"A",IF(M3741&lt;=Start!$D$21,"B","C"))))</f>
        <v/>
      </c>
      <c r="O3741" s="48" t="str">
        <f aca="false">IF($A3741="","",IF(NOT(ISNUMBER(F3741)),"Wert fehlt; ",IF(F3741&lt;=0,"Wert ist 0; ",""))&amp;IF(NOT(ISNUMBER(E3741)),"Bestand fehlt; ",IF(E3741&lt;0,"Bestand negativ; ",IF(E3741=0,"Nullbestand; ","")))&amp;IF(D3741="","Warengruppe fehlt; ","")&amp;IF(B3741="","Bezeichnung fehlt; ","")&amp;IF(COUNTIFS($A$2:$A$5001,$A3741,$C$2:$C$5001,C3741)&gt;1,"Artikel doppelt im selben Lager; ",""))</f>
        <v/>
      </c>
      <c r="P3741" s="47" t="n">
        <f aca="false">IF(OR($A3741="",D3741=""),0,IF(COUNTIF($D$2:D3741,D3741)=1,SUMIF($D$2:$D$5001,D3741,$H$2:$H$5001)+ROW()/10000000,0))</f>
        <v>0</v>
      </c>
      <c r="Q3741" s="47" t="n">
        <f aca="false">IF(OR($A3741="",C3741=""),0,IF(COUNTIF($C$2:C3741,C3741)=1,SUMIF($C$2:$C$5001,C3741,$H$2:$H$5001)+ROW()/10000000,0))</f>
        <v>0</v>
      </c>
    </row>
    <row r="3742" customFormat="false" ht="15" hidden="false" customHeight="false" outlineLevel="0" collapsed="false">
      <c r="A3742" s="43"/>
      <c r="B3742" s="44"/>
      <c r="C3742" s="44"/>
      <c r="D3742" s="44"/>
      <c r="E3742" s="44"/>
      <c r="F3742" s="44"/>
      <c r="G3742" s="44"/>
      <c r="H3742" s="46" t="str">
        <f aca="false">IF($A3742="","",IF(OR(NOT(ISNUMBER(E3742)),NOT(ISNUMBER(F3742))),"",MAX(0,E3742)*F3742))</f>
        <v/>
      </c>
      <c r="I3742" s="46" t="str">
        <f aca="false">IF($A3742="","",SUMIF($A$2:$A$5001,$A3742,$H$2:$H$5001))</f>
        <v/>
      </c>
      <c r="J3742" s="47" t="n">
        <f aca="false">IF($A3742="",0,IF(COUNTIF($A$2:A3742,$A3742)=1,1,0))</f>
        <v>0</v>
      </c>
      <c r="K3742" s="47" t="n">
        <f aca="false">IF(J3742=1,N(I3742)+ROW()/10000000,0)</f>
        <v>0</v>
      </c>
      <c r="L3742" s="47" t="str">
        <f aca="false">IF(AND(J3742=1,N(I3742)&gt;0),SUMIF($K$2:$K$5001,"&gt;="&amp;K3742,$I$2:$I$5001)/MAX(1,SUM($H$2:$H$5001)),"")</f>
        <v/>
      </c>
      <c r="M3742" s="47" t="str">
        <f aca="false">IF($A3742="","",INDEX($L$2:$L$5001,MATCH($A3742,$A$2:$A$5001,0)))</f>
        <v/>
      </c>
      <c r="N3742" s="48" t="str">
        <f aca="false">IF($A3742="","",IF(N(M3742)=0,"–",IF(M3742&lt;=Start!$D$20,"A",IF(M3742&lt;=Start!$D$21,"B","C"))))</f>
        <v/>
      </c>
      <c r="O3742" s="48" t="str">
        <f aca="false">IF($A3742="","",IF(NOT(ISNUMBER(F3742)),"Wert fehlt; ",IF(F3742&lt;=0,"Wert ist 0; ",""))&amp;IF(NOT(ISNUMBER(E3742)),"Bestand fehlt; ",IF(E3742&lt;0,"Bestand negativ; ",IF(E3742=0,"Nullbestand; ","")))&amp;IF(D3742="","Warengruppe fehlt; ","")&amp;IF(B3742="","Bezeichnung fehlt; ","")&amp;IF(COUNTIFS($A$2:$A$5001,$A3742,$C$2:$C$5001,C3742)&gt;1,"Artikel doppelt im selben Lager; ",""))</f>
        <v/>
      </c>
      <c r="P3742" s="47" t="n">
        <f aca="false">IF(OR($A3742="",D3742=""),0,IF(COUNTIF($D$2:D3742,D3742)=1,SUMIF($D$2:$D$5001,D3742,$H$2:$H$5001)+ROW()/10000000,0))</f>
        <v>0</v>
      </c>
      <c r="Q3742" s="47" t="n">
        <f aca="false">IF(OR($A3742="",C3742=""),0,IF(COUNTIF($C$2:C3742,C3742)=1,SUMIF($C$2:$C$5001,C3742,$H$2:$H$5001)+ROW()/10000000,0))</f>
        <v>0</v>
      </c>
    </row>
    <row r="3743" customFormat="false" ht="15" hidden="false" customHeight="false" outlineLevel="0" collapsed="false">
      <c r="A3743" s="43"/>
      <c r="B3743" s="44"/>
      <c r="C3743" s="44"/>
      <c r="D3743" s="44"/>
      <c r="E3743" s="44"/>
      <c r="F3743" s="44"/>
      <c r="G3743" s="44"/>
      <c r="H3743" s="46" t="str">
        <f aca="false">IF($A3743="","",IF(OR(NOT(ISNUMBER(E3743)),NOT(ISNUMBER(F3743))),"",MAX(0,E3743)*F3743))</f>
        <v/>
      </c>
      <c r="I3743" s="46" t="str">
        <f aca="false">IF($A3743="","",SUMIF($A$2:$A$5001,$A3743,$H$2:$H$5001))</f>
        <v/>
      </c>
      <c r="J3743" s="47" t="n">
        <f aca="false">IF($A3743="",0,IF(COUNTIF($A$2:A3743,$A3743)=1,1,0))</f>
        <v>0</v>
      </c>
      <c r="K3743" s="47" t="n">
        <f aca="false">IF(J3743=1,N(I3743)+ROW()/10000000,0)</f>
        <v>0</v>
      </c>
      <c r="L3743" s="47" t="str">
        <f aca="false">IF(AND(J3743=1,N(I3743)&gt;0),SUMIF($K$2:$K$5001,"&gt;="&amp;K3743,$I$2:$I$5001)/MAX(1,SUM($H$2:$H$5001)),"")</f>
        <v/>
      </c>
      <c r="M3743" s="47" t="str">
        <f aca="false">IF($A3743="","",INDEX($L$2:$L$5001,MATCH($A3743,$A$2:$A$5001,0)))</f>
        <v/>
      </c>
      <c r="N3743" s="48" t="str">
        <f aca="false">IF($A3743="","",IF(N(M3743)=0,"–",IF(M3743&lt;=Start!$D$20,"A",IF(M3743&lt;=Start!$D$21,"B","C"))))</f>
        <v/>
      </c>
      <c r="O3743" s="48" t="str">
        <f aca="false">IF($A3743="","",IF(NOT(ISNUMBER(F3743)),"Wert fehlt; ",IF(F3743&lt;=0,"Wert ist 0; ",""))&amp;IF(NOT(ISNUMBER(E3743)),"Bestand fehlt; ",IF(E3743&lt;0,"Bestand negativ; ",IF(E3743=0,"Nullbestand; ","")))&amp;IF(D3743="","Warengruppe fehlt; ","")&amp;IF(B3743="","Bezeichnung fehlt; ","")&amp;IF(COUNTIFS($A$2:$A$5001,$A3743,$C$2:$C$5001,C3743)&gt;1,"Artikel doppelt im selben Lager; ",""))</f>
        <v/>
      </c>
      <c r="P3743" s="47" t="n">
        <f aca="false">IF(OR($A3743="",D3743=""),0,IF(COUNTIF($D$2:D3743,D3743)=1,SUMIF($D$2:$D$5001,D3743,$H$2:$H$5001)+ROW()/10000000,0))</f>
        <v>0</v>
      </c>
      <c r="Q3743" s="47" t="n">
        <f aca="false">IF(OR($A3743="",C3743=""),0,IF(COUNTIF($C$2:C3743,C3743)=1,SUMIF($C$2:$C$5001,C3743,$H$2:$H$5001)+ROW()/10000000,0))</f>
        <v>0</v>
      </c>
    </row>
    <row r="3744" customFormat="false" ht="15" hidden="false" customHeight="false" outlineLevel="0" collapsed="false">
      <c r="A3744" s="43"/>
      <c r="B3744" s="44"/>
      <c r="C3744" s="44"/>
      <c r="D3744" s="44"/>
      <c r="E3744" s="44"/>
      <c r="F3744" s="44"/>
      <c r="G3744" s="44"/>
      <c r="H3744" s="46" t="str">
        <f aca="false">IF($A3744="","",IF(OR(NOT(ISNUMBER(E3744)),NOT(ISNUMBER(F3744))),"",MAX(0,E3744)*F3744))</f>
        <v/>
      </c>
      <c r="I3744" s="46" t="str">
        <f aca="false">IF($A3744="","",SUMIF($A$2:$A$5001,$A3744,$H$2:$H$5001))</f>
        <v/>
      </c>
      <c r="J3744" s="47" t="n">
        <f aca="false">IF($A3744="",0,IF(COUNTIF($A$2:A3744,$A3744)=1,1,0))</f>
        <v>0</v>
      </c>
      <c r="K3744" s="47" t="n">
        <f aca="false">IF(J3744=1,N(I3744)+ROW()/10000000,0)</f>
        <v>0</v>
      </c>
      <c r="L3744" s="47" t="str">
        <f aca="false">IF(AND(J3744=1,N(I3744)&gt;0),SUMIF($K$2:$K$5001,"&gt;="&amp;K3744,$I$2:$I$5001)/MAX(1,SUM($H$2:$H$5001)),"")</f>
        <v/>
      </c>
      <c r="M3744" s="47" t="str">
        <f aca="false">IF($A3744="","",INDEX($L$2:$L$5001,MATCH($A3744,$A$2:$A$5001,0)))</f>
        <v/>
      </c>
      <c r="N3744" s="48" t="str">
        <f aca="false">IF($A3744="","",IF(N(M3744)=0,"–",IF(M3744&lt;=Start!$D$20,"A",IF(M3744&lt;=Start!$D$21,"B","C"))))</f>
        <v/>
      </c>
      <c r="O3744" s="48" t="str">
        <f aca="false">IF($A3744="","",IF(NOT(ISNUMBER(F3744)),"Wert fehlt; ",IF(F3744&lt;=0,"Wert ist 0; ",""))&amp;IF(NOT(ISNUMBER(E3744)),"Bestand fehlt; ",IF(E3744&lt;0,"Bestand negativ; ",IF(E3744=0,"Nullbestand; ","")))&amp;IF(D3744="","Warengruppe fehlt; ","")&amp;IF(B3744="","Bezeichnung fehlt; ","")&amp;IF(COUNTIFS($A$2:$A$5001,$A3744,$C$2:$C$5001,C3744)&gt;1,"Artikel doppelt im selben Lager; ",""))</f>
        <v/>
      </c>
      <c r="P3744" s="47" t="n">
        <f aca="false">IF(OR($A3744="",D3744=""),0,IF(COUNTIF($D$2:D3744,D3744)=1,SUMIF($D$2:$D$5001,D3744,$H$2:$H$5001)+ROW()/10000000,0))</f>
        <v>0</v>
      </c>
      <c r="Q3744" s="47" t="n">
        <f aca="false">IF(OR($A3744="",C3744=""),0,IF(COUNTIF($C$2:C3744,C3744)=1,SUMIF($C$2:$C$5001,C3744,$H$2:$H$5001)+ROW()/10000000,0))</f>
        <v>0</v>
      </c>
    </row>
    <row r="3745" customFormat="false" ht="15" hidden="false" customHeight="false" outlineLevel="0" collapsed="false">
      <c r="A3745" s="43"/>
      <c r="B3745" s="44"/>
      <c r="C3745" s="44"/>
      <c r="D3745" s="44"/>
      <c r="E3745" s="44"/>
      <c r="F3745" s="44"/>
      <c r="G3745" s="44"/>
      <c r="H3745" s="46" t="str">
        <f aca="false">IF($A3745="","",IF(OR(NOT(ISNUMBER(E3745)),NOT(ISNUMBER(F3745))),"",MAX(0,E3745)*F3745))</f>
        <v/>
      </c>
      <c r="I3745" s="46" t="str">
        <f aca="false">IF($A3745="","",SUMIF($A$2:$A$5001,$A3745,$H$2:$H$5001))</f>
        <v/>
      </c>
      <c r="J3745" s="47" t="n">
        <f aca="false">IF($A3745="",0,IF(COUNTIF($A$2:A3745,$A3745)=1,1,0))</f>
        <v>0</v>
      </c>
      <c r="K3745" s="47" t="n">
        <f aca="false">IF(J3745=1,N(I3745)+ROW()/10000000,0)</f>
        <v>0</v>
      </c>
      <c r="L3745" s="47" t="str">
        <f aca="false">IF(AND(J3745=1,N(I3745)&gt;0),SUMIF($K$2:$K$5001,"&gt;="&amp;K3745,$I$2:$I$5001)/MAX(1,SUM($H$2:$H$5001)),"")</f>
        <v/>
      </c>
      <c r="M3745" s="47" t="str">
        <f aca="false">IF($A3745="","",INDEX($L$2:$L$5001,MATCH($A3745,$A$2:$A$5001,0)))</f>
        <v/>
      </c>
      <c r="N3745" s="48" t="str">
        <f aca="false">IF($A3745="","",IF(N(M3745)=0,"–",IF(M3745&lt;=Start!$D$20,"A",IF(M3745&lt;=Start!$D$21,"B","C"))))</f>
        <v/>
      </c>
      <c r="O3745" s="48" t="str">
        <f aca="false">IF($A3745="","",IF(NOT(ISNUMBER(F3745)),"Wert fehlt; ",IF(F3745&lt;=0,"Wert ist 0; ",""))&amp;IF(NOT(ISNUMBER(E3745)),"Bestand fehlt; ",IF(E3745&lt;0,"Bestand negativ; ",IF(E3745=0,"Nullbestand; ","")))&amp;IF(D3745="","Warengruppe fehlt; ","")&amp;IF(B3745="","Bezeichnung fehlt; ","")&amp;IF(COUNTIFS($A$2:$A$5001,$A3745,$C$2:$C$5001,C3745)&gt;1,"Artikel doppelt im selben Lager; ",""))</f>
        <v/>
      </c>
      <c r="P3745" s="47" t="n">
        <f aca="false">IF(OR($A3745="",D3745=""),0,IF(COUNTIF($D$2:D3745,D3745)=1,SUMIF($D$2:$D$5001,D3745,$H$2:$H$5001)+ROW()/10000000,0))</f>
        <v>0</v>
      </c>
      <c r="Q3745" s="47" t="n">
        <f aca="false">IF(OR($A3745="",C3745=""),0,IF(COUNTIF($C$2:C3745,C3745)=1,SUMIF($C$2:$C$5001,C3745,$H$2:$H$5001)+ROW()/10000000,0))</f>
        <v>0</v>
      </c>
    </row>
    <row r="3746" customFormat="false" ht="15" hidden="false" customHeight="false" outlineLevel="0" collapsed="false">
      <c r="A3746" s="43"/>
      <c r="B3746" s="44"/>
      <c r="C3746" s="44"/>
      <c r="D3746" s="44"/>
      <c r="E3746" s="44"/>
      <c r="F3746" s="44"/>
      <c r="G3746" s="44"/>
      <c r="H3746" s="46" t="str">
        <f aca="false">IF($A3746="","",IF(OR(NOT(ISNUMBER(E3746)),NOT(ISNUMBER(F3746))),"",MAX(0,E3746)*F3746))</f>
        <v/>
      </c>
      <c r="I3746" s="46" t="str">
        <f aca="false">IF($A3746="","",SUMIF($A$2:$A$5001,$A3746,$H$2:$H$5001))</f>
        <v/>
      </c>
      <c r="J3746" s="47" t="n">
        <f aca="false">IF($A3746="",0,IF(COUNTIF($A$2:A3746,$A3746)=1,1,0))</f>
        <v>0</v>
      </c>
      <c r="K3746" s="47" t="n">
        <f aca="false">IF(J3746=1,N(I3746)+ROW()/10000000,0)</f>
        <v>0</v>
      </c>
      <c r="L3746" s="47" t="str">
        <f aca="false">IF(AND(J3746=1,N(I3746)&gt;0),SUMIF($K$2:$K$5001,"&gt;="&amp;K3746,$I$2:$I$5001)/MAX(1,SUM($H$2:$H$5001)),"")</f>
        <v/>
      </c>
      <c r="M3746" s="47" t="str">
        <f aca="false">IF($A3746="","",INDEX($L$2:$L$5001,MATCH($A3746,$A$2:$A$5001,0)))</f>
        <v/>
      </c>
      <c r="N3746" s="48" t="str">
        <f aca="false">IF($A3746="","",IF(N(M3746)=0,"–",IF(M3746&lt;=Start!$D$20,"A",IF(M3746&lt;=Start!$D$21,"B","C"))))</f>
        <v/>
      </c>
      <c r="O3746" s="48" t="str">
        <f aca="false">IF($A3746="","",IF(NOT(ISNUMBER(F3746)),"Wert fehlt; ",IF(F3746&lt;=0,"Wert ist 0; ",""))&amp;IF(NOT(ISNUMBER(E3746)),"Bestand fehlt; ",IF(E3746&lt;0,"Bestand negativ; ",IF(E3746=0,"Nullbestand; ","")))&amp;IF(D3746="","Warengruppe fehlt; ","")&amp;IF(B3746="","Bezeichnung fehlt; ","")&amp;IF(COUNTIFS($A$2:$A$5001,$A3746,$C$2:$C$5001,C3746)&gt;1,"Artikel doppelt im selben Lager; ",""))</f>
        <v/>
      </c>
      <c r="P3746" s="47" t="n">
        <f aca="false">IF(OR($A3746="",D3746=""),0,IF(COUNTIF($D$2:D3746,D3746)=1,SUMIF($D$2:$D$5001,D3746,$H$2:$H$5001)+ROW()/10000000,0))</f>
        <v>0</v>
      </c>
      <c r="Q3746" s="47" t="n">
        <f aca="false">IF(OR($A3746="",C3746=""),0,IF(COUNTIF($C$2:C3746,C3746)=1,SUMIF($C$2:$C$5001,C3746,$H$2:$H$5001)+ROW()/10000000,0))</f>
        <v>0</v>
      </c>
    </row>
    <row r="3747" customFormat="false" ht="15" hidden="false" customHeight="false" outlineLevel="0" collapsed="false">
      <c r="A3747" s="43"/>
      <c r="B3747" s="44"/>
      <c r="C3747" s="44"/>
      <c r="D3747" s="44"/>
      <c r="E3747" s="44"/>
      <c r="F3747" s="44"/>
      <c r="G3747" s="44"/>
      <c r="H3747" s="46" t="str">
        <f aca="false">IF($A3747="","",IF(OR(NOT(ISNUMBER(E3747)),NOT(ISNUMBER(F3747))),"",MAX(0,E3747)*F3747))</f>
        <v/>
      </c>
      <c r="I3747" s="46" t="str">
        <f aca="false">IF($A3747="","",SUMIF($A$2:$A$5001,$A3747,$H$2:$H$5001))</f>
        <v/>
      </c>
      <c r="J3747" s="47" t="n">
        <f aca="false">IF($A3747="",0,IF(COUNTIF($A$2:A3747,$A3747)=1,1,0))</f>
        <v>0</v>
      </c>
      <c r="K3747" s="47" t="n">
        <f aca="false">IF(J3747=1,N(I3747)+ROW()/10000000,0)</f>
        <v>0</v>
      </c>
      <c r="L3747" s="47" t="str">
        <f aca="false">IF(AND(J3747=1,N(I3747)&gt;0),SUMIF($K$2:$K$5001,"&gt;="&amp;K3747,$I$2:$I$5001)/MAX(1,SUM($H$2:$H$5001)),"")</f>
        <v/>
      </c>
      <c r="M3747" s="47" t="str">
        <f aca="false">IF($A3747="","",INDEX($L$2:$L$5001,MATCH($A3747,$A$2:$A$5001,0)))</f>
        <v/>
      </c>
      <c r="N3747" s="48" t="str">
        <f aca="false">IF($A3747="","",IF(N(M3747)=0,"–",IF(M3747&lt;=Start!$D$20,"A",IF(M3747&lt;=Start!$D$21,"B","C"))))</f>
        <v/>
      </c>
      <c r="O3747" s="48" t="str">
        <f aca="false">IF($A3747="","",IF(NOT(ISNUMBER(F3747)),"Wert fehlt; ",IF(F3747&lt;=0,"Wert ist 0; ",""))&amp;IF(NOT(ISNUMBER(E3747)),"Bestand fehlt; ",IF(E3747&lt;0,"Bestand negativ; ",IF(E3747=0,"Nullbestand; ","")))&amp;IF(D3747="","Warengruppe fehlt; ","")&amp;IF(B3747="","Bezeichnung fehlt; ","")&amp;IF(COUNTIFS($A$2:$A$5001,$A3747,$C$2:$C$5001,C3747)&gt;1,"Artikel doppelt im selben Lager; ",""))</f>
        <v/>
      </c>
      <c r="P3747" s="47" t="n">
        <f aca="false">IF(OR($A3747="",D3747=""),0,IF(COUNTIF($D$2:D3747,D3747)=1,SUMIF($D$2:$D$5001,D3747,$H$2:$H$5001)+ROW()/10000000,0))</f>
        <v>0</v>
      </c>
      <c r="Q3747" s="47" t="n">
        <f aca="false">IF(OR($A3747="",C3747=""),0,IF(COUNTIF($C$2:C3747,C3747)=1,SUMIF($C$2:$C$5001,C3747,$H$2:$H$5001)+ROW()/10000000,0))</f>
        <v>0</v>
      </c>
    </row>
    <row r="3748" customFormat="false" ht="15" hidden="false" customHeight="false" outlineLevel="0" collapsed="false">
      <c r="A3748" s="43"/>
      <c r="B3748" s="44"/>
      <c r="C3748" s="44"/>
      <c r="D3748" s="44"/>
      <c r="E3748" s="44"/>
      <c r="F3748" s="44"/>
      <c r="G3748" s="44"/>
      <c r="H3748" s="46" t="str">
        <f aca="false">IF($A3748="","",IF(OR(NOT(ISNUMBER(E3748)),NOT(ISNUMBER(F3748))),"",MAX(0,E3748)*F3748))</f>
        <v/>
      </c>
      <c r="I3748" s="46" t="str">
        <f aca="false">IF($A3748="","",SUMIF($A$2:$A$5001,$A3748,$H$2:$H$5001))</f>
        <v/>
      </c>
      <c r="J3748" s="47" t="n">
        <f aca="false">IF($A3748="",0,IF(COUNTIF($A$2:A3748,$A3748)=1,1,0))</f>
        <v>0</v>
      </c>
      <c r="K3748" s="47" t="n">
        <f aca="false">IF(J3748=1,N(I3748)+ROW()/10000000,0)</f>
        <v>0</v>
      </c>
      <c r="L3748" s="47" t="str">
        <f aca="false">IF(AND(J3748=1,N(I3748)&gt;0),SUMIF($K$2:$K$5001,"&gt;="&amp;K3748,$I$2:$I$5001)/MAX(1,SUM($H$2:$H$5001)),"")</f>
        <v/>
      </c>
      <c r="M3748" s="47" t="str">
        <f aca="false">IF($A3748="","",INDEX($L$2:$L$5001,MATCH($A3748,$A$2:$A$5001,0)))</f>
        <v/>
      </c>
      <c r="N3748" s="48" t="str">
        <f aca="false">IF($A3748="","",IF(N(M3748)=0,"–",IF(M3748&lt;=Start!$D$20,"A",IF(M3748&lt;=Start!$D$21,"B","C"))))</f>
        <v/>
      </c>
      <c r="O3748" s="48" t="str">
        <f aca="false">IF($A3748="","",IF(NOT(ISNUMBER(F3748)),"Wert fehlt; ",IF(F3748&lt;=0,"Wert ist 0; ",""))&amp;IF(NOT(ISNUMBER(E3748)),"Bestand fehlt; ",IF(E3748&lt;0,"Bestand negativ; ",IF(E3748=0,"Nullbestand; ","")))&amp;IF(D3748="","Warengruppe fehlt; ","")&amp;IF(B3748="","Bezeichnung fehlt; ","")&amp;IF(COUNTIFS($A$2:$A$5001,$A3748,$C$2:$C$5001,C3748)&gt;1,"Artikel doppelt im selben Lager; ",""))</f>
        <v/>
      </c>
      <c r="P3748" s="47" t="n">
        <f aca="false">IF(OR($A3748="",D3748=""),0,IF(COUNTIF($D$2:D3748,D3748)=1,SUMIF($D$2:$D$5001,D3748,$H$2:$H$5001)+ROW()/10000000,0))</f>
        <v>0</v>
      </c>
      <c r="Q3748" s="47" t="n">
        <f aca="false">IF(OR($A3748="",C3748=""),0,IF(COUNTIF($C$2:C3748,C3748)=1,SUMIF($C$2:$C$5001,C3748,$H$2:$H$5001)+ROW()/10000000,0))</f>
        <v>0</v>
      </c>
    </row>
    <row r="3749" customFormat="false" ht="15" hidden="false" customHeight="false" outlineLevel="0" collapsed="false">
      <c r="A3749" s="43"/>
      <c r="B3749" s="44"/>
      <c r="C3749" s="44"/>
      <c r="D3749" s="44"/>
      <c r="E3749" s="44"/>
      <c r="F3749" s="44"/>
      <c r="G3749" s="44"/>
      <c r="H3749" s="46" t="str">
        <f aca="false">IF($A3749="","",IF(OR(NOT(ISNUMBER(E3749)),NOT(ISNUMBER(F3749))),"",MAX(0,E3749)*F3749))</f>
        <v/>
      </c>
      <c r="I3749" s="46" t="str">
        <f aca="false">IF($A3749="","",SUMIF($A$2:$A$5001,$A3749,$H$2:$H$5001))</f>
        <v/>
      </c>
      <c r="J3749" s="47" t="n">
        <f aca="false">IF($A3749="",0,IF(COUNTIF($A$2:A3749,$A3749)=1,1,0))</f>
        <v>0</v>
      </c>
      <c r="K3749" s="47" t="n">
        <f aca="false">IF(J3749=1,N(I3749)+ROW()/10000000,0)</f>
        <v>0</v>
      </c>
      <c r="L3749" s="47" t="str">
        <f aca="false">IF(AND(J3749=1,N(I3749)&gt;0),SUMIF($K$2:$K$5001,"&gt;="&amp;K3749,$I$2:$I$5001)/MAX(1,SUM($H$2:$H$5001)),"")</f>
        <v/>
      </c>
      <c r="M3749" s="47" t="str">
        <f aca="false">IF($A3749="","",INDEX($L$2:$L$5001,MATCH($A3749,$A$2:$A$5001,0)))</f>
        <v/>
      </c>
      <c r="N3749" s="48" t="str">
        <f aca="false">IF($A3749="","",IF(N(M3749)=0,"–",IF(M3749&lt;=Start!$D$20,"A",IF(M3749&lt;=Start!$D$21,"B","C"))))</f>
        <v/>
      </c>
      <c r="O3749" s="48" t="str">
        <f aca="false">IF($A3749="","",IF(NOT(ISNUMBER(F3749)),"Wert fehlt; ",IF(F3749&lt;=0,"Wert ist 0; ",""))&amp;IF(NOT(ISNUMBER(E3749)),"Bestand fehlt; ",IF(E3749&lt;0,"Bestand negativ; ",IF(E3749=0,"Nullbestand; ","")))&amp;IF(D3749="","Warengruppe fehlt; ","")&amp;IF(B3749="","Bezeichnung fehlt; ","")&amp;IF(COUNTIFS($A$2:$A$5001,$A3749,$C$2:$C$5001,C3749)&gt;1,"Artikel doppelt im selben Lager; ",""))</f>
        <v/>
      </c>
      <c r="P3749" s="47" t="n">
        <f aca="false">IF(OR($A3749="",D3749=""),0,IF(COUNTIF($D$2:D3749,D3749)=1,SUMIF($D$2:$D$5001,D3749,$H$2:$H$5001)+ROW()/10000000,0))</f>
        <v>0</v>
      </c>
      <c r="Q3749" s="47" t="n">
        <f aca="false">IF(OR($A3749="",C3749=""),0,IF(COUNTIF($C$2:C3749,C3749)=1,SUMIF($C$2:$C$5001,C3749,$H$2:$H$5001)+ROW()/10000000,0))</f>
        <v>0</v>
      </c>
    </row>
    <row r="3750" customFormat="false" ht="15" hidden="false" customHeight="false" outlineLevel="0" collapsed="false">
      <c r="A3750" s="43"/>
      <c r="B3750" s="44"/>
      <c r="C3750" s="44"/>
      <c r="D3750" s="44"/>
      <c r="E3750" s="44"/>
      <c r="F3750" s="44"/>
      <c r="G3750" s="44"/>
      <c r="H3750" s="46" t="str">
        <f aca="false">IF($A3750="","",IF(OR(NOT(ISNUMBER(E3750)),NOT(ISNUMBER(F3750))),"",MAX(0,E3750)*F3750))</f>
        <v/>
      </c>
      <c r="I3750" s="46" t="str">
        <f aca="false">IF($A3750="","",SUMIF($A$2:$A$5001,$A3750,$H$2:$H$5001))</f>
        <v/>
      </c>
      <c r="J3750" s="47" t="n">
        <f aca="false">IF($A3750="",0,IF(COUNTIF($A$2:A3750,$A3750)=1,1,0))</f>
        <v>0</v>
      </c>
      <c r="K3750" s="47" t="n">
        <f aca="false">IF(J3750=1,N(I3750)+ROW()/10000000,0)</f>
        <v>0</v>
      </c>
      <c r="L3750" s="47" t="str">
        <f aca="false">IF(AND(J3750=1,N(I3750)&gt;0),SUMIF($K$2:$K$5001,"&gt;="&amp;K3750,$I$2:$I$5001)/MAX(1,SUM($H$2:$H$5001)),"")</f>
        <v/>
      </c>
      <c r="M3750" s="47" t="str">
        <f aca="false">IF($A3750="","",INDEX($L$2:$L$5001,MATCH($A3750,$A$2:$A$5001,0)))</f>
        <v/>
      </c>
      <c r="N3750" s="48" t="str">
        <f aca="false">IF($A3750="","",IF(N(M3750)=0,"–",IF(M3750&lt;=Start!$D$20,"A",IF(M3750&lt;=Start!$D$21,"B","C"))))</f>
        <v/>
      </c>
      <c r="O3750" s="48" t="str">
        <f aca="false">IF($A3750="","",IF(NOT(ISNUMBER(F3750)),"Wert fehlt; ",IF(F3750&lt;=0,"Wert ist 0; ",""))&amp;IF(NOT(ISNUMBER(E3750)),"Bestand fehlt; ",IF(E3750&lt;0,"Bestand negativ; ",IF(E3750=0,"Nullbestand; ","")))&amp;IF(D3750="","Warengruppe fehlt; ","")&amp;IF(B3750="","Bezeichnung fehlt; ","")&amp;IF(COUNTIFS($A$2:$A$5001,$A3750,$C$2:$C$5001,C3750)&gt;1,"Artikel doppelt im selben Lager; ",""))</f>
        <v/>
      </c>
      <c r="P3750" s="47" t="n">
        <f aca="false">IF(OR($A3750="",D3750=""),0,IF(COUNTIF($D$2:D3750,D3750)=1,SUMIF($D$2:$D$5001,D3750,$H$2:$H$5001)+ROW()/10000000,0))</f>
        <v>0</v>
      </c>
      <c r="Q3750" s="47" t="n">
        <f aca="false">IF(OR($A3750="",C3750=""),0,IF(COUNTIF($C$2:C3750,C3750)=1,SUMIF($C$2:$C$5001,C3750,$H$2:$H$5001)+ROW()/10000000,0))</f>
        <v>0</v>
      </c>
    </row>
    <row r="3751" customFormat="false" ht="15" hidden="false" customHeight="false" outlineLevel="0" collapsed="false">
      <c r="A3751" s="43"/>
      <c r="B3751" s="44"/>
      <c r="C3751" s="44"/>
      <c r="D3751" s="44"/>
      <c r="E3751" s="44"/>
      <c r="F3751" s="44"/>
      <c r="G3751" s="44"/>
      <c r="H3751" s="46" t="str">
        <f aca="false">IF($A3751="","",IF(OR(NOT(ISNUMBER(E3751)),NOT(ISNUMBER(F3751))),"",MAX(0,E3751)*F3751))</f>
        <v/>
      </c>
      <c r="I3751" s="46" t="str">
        <f aca="false">IF($A3751="","",SUMIF($A$2:$A$5001,$A3751,$H$2:$H$5001))</f>
        <v/>
      </c>
      <c r="J3751" s="47" t="n">
        <f aca="false">IF($A3751="",0,IF(COUNTIF($A$2:A3751,$A3751)=1,1,0))</f>
        <v>0</v>
      </c>
      <c r="K3751" s="47" t="n">
        <f aca="false">IF(J3751=1,N(I3751)+ROW()/10000000,0)</f>
        <v>0</v>
      </c>
      <c r="L3751" s="47" t="str">
        <f aca="false">IF(AND(J3751=1,N(I3751)&gt;0),SUMIF($K$2:$K$5001,"&gt;="&amp;K3751,$I$2:$I$5001)/MAX(1,SUM($H$2:$H$5001)),"")</f>
        <v/>
      </c>
      <c r="M3751" s="47" t="str">
        <f aca="false">IF($A3751="","",INDEX($L$2:$L$5001,MATCH($A3751,$A$2:$A$5001,0)))</f>
        <v/>
      </c>
      <c r="N3751" s="48" t="str">
        <f aca="false">IF($A3751="","",IF(N(M3751)=0,"–",IF(M3751&lt;=Start!$D$20,"A",IF(M3751&lt;=Start!$D$21,"B","C"))))</f>
        <v/>
      </c>
      <c r="O3751" s="48" t="str">
        <f aca="false">IF($A3751="","",IF(NOT(ISNUMBER(F3751)),"Wert fehlt; ",IF(F3751&lt;=0,"Wert ist 0; ",""))&amp;IF(NOT(ISNUMBER(E3751)),"Bestand fehlt; ",IF(E3751&lt;0,"Bestand negativ; ",IF(E3751=0,"Nullbestand; ","")))&amp;IF(D3751="","Warengruppe fehlt; ","")&amp;IF(B3751="","Bezeichnung fehlt; ","")&amp;IF(COUNTIFS($A$2:$A$5001,$A3751,$C$2:$C$5001,C3751)&gt;1,"Artikel doppelt im selben Lager; ",""))</f>
        <v/>
      </c>
      <c r="P3751" s="47" t="n">
        <f aca="false">IF(OR($A3751="",D3751=""),0,IF(COUNTIF($D$2:D3751,D3751)=1,SUMIF($D$2:$D$5001,D3751,$H$2:$H$5001)+ROW()/10000000,0))</f>
        <v>0</v>
      </c>
      <c r="Q3751" s="47" t="n">
        <f aca="false">IF(OR($A3751="",C3751=""),0,IF(COUNTIF($C$2:C3751,C3751)=1,SUMIF($C$2:$C$5001,C3751,$H$2:$H$5001)+ROW()/10000000,0))</f>
        <v>0</v>
      </c>
    </row>
    <row r="3752" customFormat="false" ht="15" hidden="false" customHeight="false" outlineLevel="0" collapsed="false">
      <c r="A3752" s="43"/>
      <c r="B3752" s="44"/>
      <c r="C3752" s="44"/>
      <c r="D3752" s="44"/>
      <c r="E3752" s="44"/>
      <c r="F3752" s="44"/>
      <c r="G3752" s="44"/>
      <c r="H3752" s="46" t="str">
        <f aca="false">IF($A3752="","",IF(OR(NOT(ISNUMBER(E3752)),NOT(ISNUMBER(F3752))),"",MAX(0,E3752)*F3752))</f>
        <v/>
      </c>
      <c r="I3752" s="46" t="str">
        <f aca="false">IF($A3752="","",SUMIF($A$2:$A$5001,$A3752,$H$2:$H$5001))</f>
        <v/>
      </c>
      <c r="J3752" s="47" t="n">
        <f aca="false">IF($A3752="",0,IF(COUNTIF($A$2:A3752,$A3752)=1,1,0))</f>
        <v>0</v>
      </c>
      <c r="K3752" s="47" t="n">
        <f aca="false">IF(J3752=1,N(I3752)+ROW()/10000000,0)</f>
        <v>0</v>
      </c>
      <c r="L3752" s="47" t="str">
        <f aca="false">IF(AND(J3752=1,N(I3752)&gt;0),SUMIF($K$2:$K$5001,"&gt;="&amp;K3752,$I$2:$I$5001)/MAX(1,SUM($H$2:$H$5001)),"")</f>
        <v/>
      </c>
      <c r="M3752" s="47" t="str">
        <f aca="false">IF($A3752="","",INDEX($L$2:$L$5001,MATCH($A3752,$A$2:$A$5001,0)))</f>
        <v/>
      </c>
      <c r="N3752" s="48" t="str">
        <f aca="false">IF($A3752="","",IF(N(M3752)=0,"–",IF(M3752&lt;=Start!$D$20,"A",IF(M3752&lt;=Start!$D$21,"B","C"))))</f>
        <v/>
      </c>
      <c r="O3752" s="48" t="str">
        <f aca="false">IF($A3752="","",IF(NOT(ISNUMBER(F3752)),"Wert fehlt; ",IF(F3752&lt;=0,"Wert ist 0; ",""))&amp;IF(NOT(ISNUMBER(E3752)),"Bestand fehlt; ",IF(E3752&lt;0,"Bestand negativ; ",IF(E3752=0,"Nullbestand; ","")))&amp;IF(D3752="","Warengruppe fehlt; ","")&amp;IF(B3752="","Bezeichnung fehlt; ","")&amp;IF(COUNTIFS($A$2:$A$5001,$A3752,$C$2:$C$5001,C3752)&gt;1,"Artikel doppelt im selben Lager; ",""))</f>
        <v/>
      </c>
      <c r="P3752" s="47" t="n">
        <f aca="false">IF(OR($A3752="",D3752=""),0,IF(COUNTIF($D$2:D3752,D3752)=1,SUMIF($D$2:$D$5001,D3752,$H$2:$H$5001)+ROW()/10000000,0))</f>
        <v>0</v>
      </c>
      <c r="Q3752" s="47" t="n">
        <f aca="false">IF(OR($A3752="",C3752=""),0,IF(COUNTIF($C$2:C3752,C3752)=1,SUMIF($C$2:$C$5001,C3752,$H$2:$H$5001)+ROW()/10000000,0))</f>
        <v>0</v>
      </c>
    </row>
    <row r="3753" customFormat="false" ht="15" hidden="false" customHeight="false" outlineLevel="0" collapsed="false">
      <c r="A3753" s="43"/>
      <c r="B3753" s="44"/>
      <c r="C3753" s="44"/>
      <c r="D3753" s="44"/>
      <c r="E3753" s="44"/>
      <c r="F3753" s="44"/>
      <c r="G3753" s="44"/>
      <c r="H3753" s="46" t="str">
        <f aca="false">IF($A3753="","",IF(OR(NOT(ISNUMBER(E3753)),NOT(ISNUMBER(F3753))),"",MAX(0,E3753)*F3753))</f>
        <v/>
      </c>
      <c r="I3753" s="46" t="str">
        <f aca="false">IF($A3753="","",SUMIF($A$2:$A$5001,$A3753,$H$2:$H$5001))</f>
        <v/>
      </c>
      <c r="J3753" s="47" t="n">
        <f aca="false">IF($A3753="",0,IF(COUNTIF($A$2:A3753,$A3753)=1,1,0))</f>
        <v>0</v>
      </c>
      <c r="K3753" s="47" t="n">
        <f aca="false">IF(J3753=1,N(I3753)+ROW()/10000000,0)</f>
        <v>0</v>
      </c>
      <c r="L3753" s="47" t="str">
        <f aca="false">IF(AND(J3753=1,N(I3753)&gt;0),SUMIF($K$2:$K$5001,"&gt;="&amp;K3753,$I$2:$I$5001)/MAX(1,SUM($H$2:$H$5001)),"")</f>
        <v/>
      </c>
      <c r="M3753" s="47" t="str">
        <f aca="false">IF($A3753="","",INDEX($L$2:$L$5001,MATCH($A3753,$A$2:$A$5001,0)))</f>
        <v/>
      </c>
      <c r="N3753" s="48" t="str">
        <f aca="false">IF($A3753="","",IF(N(M3753)=0,"–",IF(M3753&lt;=Start!$D$20,"A",IF(M3753&lt;=Start!$D$21,"B","C"))))</f>
        <v/>
      </c>
      <c r="O3753" s="48" t="str">
        <f aca="false">IF($A3753="","",IF(NOT(ISNUMBER(F3753)),"Wert fehlt; ",IF(F3753&lt;=0,"Wert ist 0; ",""))&amp;IF(NOT(ISNUMBER(E3753)),"Bestand fehlt; ",IF(E3753&lt;0,"Bestand negativ; ",IF(E3753=0,"Nullbestand; ","")))&amp;IF(D3753="","Warengruppe fehlt; ","")&amp;IF(B3753="","Bezeichnung fehlt; ","")&amp;IF(COUNTIFS($A$2:$A$5001,$A3753,$C$2:$C$5001,C3753)&gt;1,"Artikel doppelt im selben Lager; ",""))</f>
        <v/>
      </c>
      <c r="P3753" s="47" t="n">
        <f aca="false">IF(OR($A3753="",D3753=""),0,IF(COUNTIF($D$2:D3753,D3753)=1,SUMIF($D$2:$D$5001,D3753,$H$2:$H$5001)+ROW()/10000000,0))</f>
        <v>0</v>
      </c>
      <c r="Q3753" s="47" t="n">
        <f aca="false">IF(OR($A3753="",C3753=""),0,IF(COUNTIF($C$2:C3753,C3753)=1,SUMIF($C$2:$C$5001,C3753,$H$2:$H$5001)+ROW()/10000000,0))</f>
        <v>0</v>
      </c>
    </row>
    <row r="3754" customFormat="false" ht="15" hidden="false" customHeight="false" outlineLevel="0" collapsed="false">
      <c r="A3754" s="43"/>
      <c r="B3754" s="44"/>
      <c r="C3754" s="44"/>
      <c r="D3754" s="44"/>
      <c r="E3754" s="44"/>
      <c r="F3754" s="44"/>
      <c r="G3754" s="44"/>
      <c r="H3754" s="46" t="str">
        <f aca="false">IF($A3754="","",IF(OR(NOT(ISNUMBER(E3754)),NOT(ISNUMBER(F3754))),"",MAX(0,E3754)*F3754))</f>
        <v/>
      </c>
      <c r="I3754" s="46" t="str">
        <f aca="false">IF($A3754="","",SUMIF($A$2:$A$5001,$A3754,$H$2:$H$5001))</f>
        <v/>
      </c>
      <c r="J3754" s="47" t="n">
        <f aca="false">IF($A3754="",0,IF(COUNTIF($A$2:A3754,$A3754)=1,1,0))</f>
        <v>0</v>
      </c>
      <c r="K3754" s="47" t="n">
        <f aca="false">IF(J3754=1,N(I3754)+ROW()/10000000,0)</f>
        <v>0</v>
      </c>
      <c r="L3754" s="47" t="str">
        <f aca="false">IF(AND(J3754=1,N(I3754)&gt;0),SUMIF($K$2:$K$5001,"&gt;="&amp;K3754,$I$2:$I$5001)/MAX(1,SUM($H$2:$H$5001)),"")</f>
        <v/>
      </c>
      <c r="M3754" s="47" t="str">
        <f aca="false">IF($A3754="","",INDEX($L$2:$L$5001,MATCH($A3754,$A$2:$A$5001,0)))</f>
        <v/>
      </c>
      <c r="N3754" s="48" t="str">
        <f aca="false">IF($A3754="","",IF(N(M3754)=0,"–",IF(M3754&lt;=Start!$D$20,"A",IF(M3754&lt;=Start!$D$21,"B","C"))))</f>
        <v/>
      </c>
      <c r="O3754" s="48" t="str">
        <f aca="false">IF($A3754="","",IF(NOT(ISNUMBER(F3754)),"Wert fehlt; ",IF(F3754&lt;=0,"Wert ist 0; ",""))&amp;IF(NOT(ISNUMBER(E3754)),"Bestand fehlt; ",IF(E3754&lt;0,"Bestand negativ; ",IF(E3754=0,"Nullbestand; ","")))&amp;IF(D3754="","Warengruppe fehlt; ","")&amp;IF(B3754="","Bezeichnung fehlt; ","")&amp;IF(COUNTIFS($A$2:$A$5001,$A3754,$C$2:$C$5001,C3754)&gt;1,"Artikel doppelt im selben Lager; ",""))</f>
        <v/>
      </c>
      <c r="P3754" s="47" t="n">
        <f aca="false">IF(OR($A3754="",D3754=""),0,IF(COUNTIF($D$2:D3754,D3754)=1,SUMIF($D$2:$D$5001,D3754,$H$2:$H$5001)+ROW()/10000000,0))</f>
        <v>0</v>
      </c>
      <c r="Q3754" s="47" t="n">
        <f aca="false">IF(OR($A3754="",C3754=""),0,IF(COUNTIF($C$2:C3754,C3754)=1,SUMIF($C$2:$C$5001,C3754,$H$2:$H$5001)+ROW()/10000000,0))</f>
        <v>0</v>
      </c>
    </row>
    <row r="3755" customFormat="false" ht="15" hidden="false" customHeight="false" outlineLevel="0" collapsed="false">
      <c r="A3755" s="43"/>
      <c r="B3755" s="44"/>
      <c r="C3755" s="44"/>
      <c r="D3755" s="44"/>
      <c r="E3755" s="44"/>
      <c r="F3755" s="44"/>
      <c r="G3755" s="44"/>
      <c r="H3755" s="46" t="str">
        <f aca="false">IF($A3755="","",IF(OR(NOT(ISNUMBER(E3755)),NOT(ISNUMBER(F3755))),"",MAX(0,E3755)*F3755))</f>
        <v/>
      </c>
      <c r="I3755" s="46" t="str">
        <f aca="false">IF($A3755="","",SUMIF($A$2:$A$5001,$A3755,$H$2:$H$5001))</f>
        <v/>
      </c>
      <c r="J3755" s="47" t="n">
        <f aca="false">IF($A3755="",0,IF(COUNTIF($A$2:A3755,$A3755)=1,1,0))</f>
        <v>0</v>
      </c>
      <c r="K3755" s="47" t="n">
        <f aca="false">IF(J3755=1,N(I3755)+ROW()/10000000,0)</f>
        <v>0</v>
      </c>
      <c r="L3755" s="47" t="str">
        <f aca="false">IF(AND(J3755=1,N(I3755)&gt;0),SUMIF($K$2:$K$5001,"&gt;="&amp;K3755,$I$2:$I$5001)/MAX(1,SUM($H$2:$H$5001)),"")</f>
        <v/>
      </c>
      <c r="M3755" s="47" t="str">
        <f aca="false">IF($A3755="","",INDEX($L$2:$L$5001,MATCH($A3755,$A$2:$A$5001,0)))</f>
        <v/>
      </c>
      <c r="N3755" s="48" t="str">
        <f aca="false">IF($A3755="","",IF(N(M3755)=0,"–",IF(M3755&lt;=Start!$D$20,"A",IF(M3755&lt;=Start!$D$21,"B","C"))))</f>
        <v/>
      </c>
      <c r="O3755" s="48" t="str">
        <f aca="false">IF($A3755="","",IF(NOT(ISNUMBER(F3755)),"Wert fehlt; ",IF(F3755&lt;=0,"Wert ist 0; ",""))&amp;IF(NOT(ISNUMBER(E3755)),"Bestand fehlt; ",IF(E3755&lt;0,"Bestand negativ; ",IF(E3755=0,"Nullbestand; ","")))&amp;IF(D3755="","Warengruppe fehlt; ","")&amp;IF(B3755="","Bezeichnung fehlt; ","")&amp;IF(COUNTIFS($A$2:$A$5001,$A3755,$C$2:$C$5001,C3755)&gt;1,"Artikel doppelt im selben Lager; ",""))</f>
        <v/>
      </c>
      <c r="P3755" s="47" t="n">
        <f aca="false">IF(OR($A3755="",D3755=""),0,IF(COUNTIF($D$2:D3755,D3755)=1,SUMIF($D$2:$D$5001,D3755,$H$2:$H$5001)+ROW()/10000000,0))</f>
        <v>0</v>
      </c>
      <c r="Q3755" s="47" t="n">
        <f aca="false">IF(OR($A3755="",C3755=""),0,IF(COUNTIF($C$2:C3755,C3755)=1,SUMIF($C$2:$C$5001,C3755,$H$2:$H$5001)+ROW()/10000000,0))</f>
        <v>0</v>
      </c>
    </row>
    <row r="3756" customFormat="false" ht="15" hidden="false" customHeight="false" outlineLevel="0" collapsed="false">
      <c r="A3756" s="43"/>
      <c r="B3756" s="44"/>
      <c r="C3756" s="44"/>
      <c r="D3756" s="44"/>
      <c r="E3756" s="44"/>
      <c r="F3756" s="44"/>
      <c r="G3756" s="44"/>
      <c r="H3756" s="46" t="str">
        <f aca="false">IF($A3756="","",IF(OR(NOT(ISNUMBER(E3756)),NOT(ISNUMBER(F3756))),"",MAX(0,E3756)*F3756))</f>
        <v/>
      </c>
      <c r="I3756" s="46" t="str">
        <f aca="false">IF($A3756="","",SUMIF($A$2:$A$5001,$A3756,$H$2:$H$5001))</f>
        <v/>
      </c>
      <c r="J3756" s="47" t="n">
        <f aca="false">IF($A3756="",0,IF(COUNTIF($A$2:A3756,$A3756)=1,1,0))</f>
        <v>0</v>
      </c>
      <c r="K3756" s="47" t="n">
        <f aca="false">IF(J3756=1,N(I3756)+ROW()/10000000,0)</f>
        <v>0</v>
      </c>
      <c r="L3756" s="47" t="str">
        <f aca="false">IF(AND(J3756=1,N(I3756)&gt;0),SUMIF($K$2:$K$5001,"&gt;="&amp;K3756,$I$2:$I$5001)/MAX(1,SUM($H$2:$H$5001)),"")</f>
        <v/>
      </c>
      <c r="M3756" s="47" t="str">
        <f aca="false">IF($A3756="","",INDEX($L$2:$L$5001,MATCH($A3756,$A$2:$A$5001,0)))</f>
        <v/>
      </c>
      <c r="N3756" s="48" t="str">
        <f aca="false">IF($A3756="","",IF(N(M3756)=0,"–",IF(M3756&lt;=Start!$D$20,"A",IF(M3756&lt;=Start!$D$21,"B","C"))))</f>
        <v/>
      </c>
      <c r="O3756" s="48" t="str">
        <f aca="false">IF($A3756="","",IF(NOT(ISNUMBER(F3756)),"Wert fehlt; ",IF(F3756&lt;=0,"Wert ist 0; ",""))&amp;IF(NOT(ISNUMBER(E3756)),"Bestand fehlt; ",IF(E3756&lt;0,"Bestand negativ; ",IF(E3756=0,"Nullbestand; ","")))&amp;IF(D3756="","Warengruppe fehlt; ","")&amp;IF(B3756="","Bezeichnung fehlt; ","")&amp;IF(COUNTIFS($A$2:$A$5001,$A3756,$C$2:$C$5001,C3756)&gt;1,"Artikel doppelt im selben Lager; ",""))</f>
        <v/>
      </c>
      <c r="P3756" s="47" t="n">
        <f aca="false">IF(OR($A3756="",D3756=""),0,IF(COUNTIF($D$2:D3756,D3756)=1,SUMIF($D$2:$D$5001,D3756,$H$2:$H$5001)+ROW()/10000000,0))</f>
        <v>0</v>
      </c>
      <c r="Q3756" s="47" t="n">
        <f aca="false">IF(OR($A3756="",C3756=""),0,IF(COUNTIF($C$2:C3756,C3756)=1,SUMIF($C$2:$C$5001,C3756,$H$2:$H$5001)+ROW()/10000000,0))</f>
        <v>0</v>
      </c>
    </row>
    <row r="3757" customFormat="false" ht="15" hidden="false" customHeight="false" outlineLevel="0" collapsed="false">
      <c r="A3757" s="43"/>
      <c r="B3757" s="44"/>
      <c r="C3757" s="44"/>
      <c r="D3757" s="44"/>
      <c r="E3757" s="44"/>
      <c r="F3757" s="44"/>
      <c r="G3757" s="44"/>
      <c r="H3757" s="46" t="str">
        <f aca="false">IF($A3757="","",IF(OR(NOT(ISNUMBER(E3757)),NOT(ISNUMBER(F3757))),"",MAX(0,E3757)*F3757))</f>
        <v/>
      </c>
      <c r="I3757" s="46" t="str">
        <f aca="false">IF($A3757="","",SUMIF($A$2:$A$5001,$A3757,$H$2:$H$5001))</f>
        <v/>
      </c>
      <c r="J3757" s="47" t="n">
        <f aca="false">IF($A3757="",0,IF(COUNTIF($A$2:A3757,$A3757)=1,1,0))</f>
        <v>0</v>
      </c>
      <c r="K3757" s="47" t="n">
        <f aca="false">IF(J3757=1,N(I3757)+ROW()/10000000,0)</f>
        <v>0</v>
      </c>
      <c r="L3757" s="47" t="str">
        <f aca="false">IF(AND(J3757=1,N(I3757)&gt;0),SUMIF($K$2:$K$5001,"&gt;="&amp;K3757,$I$2:$I$5001)/MAX(1,SUM($H$2:$H$5001)),"")</f>
        <v/>
      </c>
      <c r="M3757" s="47" t="str">
        <f aca="false">IF($A3757="","",INDEX($L$2:$L$5001,MATCH($A3757,$A$2:$A$5001,0)))</f>
        <v/>
      </c>
      <c r="N3757" s="48" t="str">
        <f aca="false">IF($A3757="","",IF(N(M3757)=0,"–",IF(M3757&lt;=Start!$D$20,"A",IF(M3757&lt;=Start!$D$21,"B","C"))))</f>
        <v/>
      </c>
      <c r="O3757" s="48" t="str">
        <f aca="false">IF($A3757="","",IF(NOT(ISNUMBER(F3757)),"Wert fehlt; ",IF(F3757&lt;=0,"Wert ist 0; ",""))&amp;IF(NOT(ISNUMBER(E3757)),"Bestand fehlt; ",IF(E3757&lt;0,"Bestand negativ; ",IF(E3757=0,"Nullbestand; ","")))&amp;IF(D3757="","Warengruppe fehlt; ","")&amp;IF(B3757="","Bezeichnung fehlt; ","")&amp;IF(COUNTIFS($A$2:$A$5001,$A3757,$C$2:$C$5001,C3757)&gt;1,"Artikel doppelt im selben Lager; ",""))</f>
        <v/>
      </c>
      <c r="P3757" s="47" t="n">
        <f aca="false">IF(OR($A3757="",D3757=""),0,IF(COUNTIF($D$2:D3757,D3757)=1,SUMIF($D$2:$D$5001,D3757,$H$2:$H$5001)+ROW()/10000000,0))</f>
        <v>0</v>
      </c>
      <c r="Q3757" s="47" t="n">
        <f aca="false">IF(OR($A3757="",C3757=""),0,IF(COUNTIF($C$2:C3757,C3757)=1,SUMIF($C$2:$C$5001,C3757,$H$2:$H$5001)+ROW()/10000000,0))</f>
        <v>0</v>
      </c>
    </row>
    <row r="3758" customFormat="false" ht="15" hidden="false" customHeight="false" outlineLevel="0" collapsed="false">
      <c r="A3758" s="43"/>
      <c r="B3758" s="44"/>
      <c r="C3758" s="44"/>
      <c r="D3758" s="44"/>
      <c r="E3758" s="44"/>
      <c r="F3758" s="44"/>
      <c r="G3758" s="44"/>
      <c r="H3758" s="46" t="str">
        <f aca="false">IF($A3758="","",IF(OR(NOT(ISNUMBER(E3758)),NOT(ISNUMBER(F3758))),"",MAX(0,E3758)*F3758))</f>
        <v/>
      </c>
      <c r="I3758" s="46" t="str">
        <f aca="false">IF($A3758="","",SUMIF($A$2:$A$5001,$A3758,$H$2:$H$5001))</f>
        <v/>
      </c>
      <c r="J3758" s="47" t="n">
        <f aca="false">IF($A3758="",0,IF(COUNTIF($A$2:A3758,$A3758)=1,1,0))</f>
        <v>0</v>
      </c>
      <c r="K3758" s="47" t="n">
        <f aca="false">IF(J3758=1,N(I3758)+ROW()/10000000,0)</f>
        <v>0</v>
      </c>
      <c r="L3758" s="47" t="str">
        <f aca="false">IF(AND(J3758=1,N(I3758)&gt;0),SUMIF($K$2:$K$5001,"&gt;="&amp;K3758,$I$2:$I$5001)/MAX(1,SUM($H$2:$H$5001)),"")</f>
        <v/>
      </c>
      <c r="M3758" s="47" t="str">
        <f aca="false">IF($A3758="","",INDEX($L$2:$L$5001,MATCH($A3758,$A$2:$A$5001,0)))</f>
        <v/>
      </c>
      <c r="N3758" s="48" t="str">
        <f aca="false">IF($A3758="","",IF(N(M3758)=0,"–",IF(M3758&lt;=Start!$D$20,"A",IF(M3758&lt;=Start!$D$21,"B","C"))))</f>
        <v/>
      </c>
      <c r="O3758" s="48" t="str">
        <f aca="false">IF($A3758="","",IF(NOT(ISNUMBER(F3758)),"Wert fehlt; ",IF(F3758&lt;=0,"Wert ist 0; ",""))&amp;IF(NOT(ISNUMBER(E3758)),"Bestand fehlt; ",IF(E3758&lt;0,"Bestand negativ; ",IF(E3758=0,"Nullbestand; ","")))&amp;IF(D3758="","Warengruppe fehlt; ","")&amp;IF(B3758="","Bezeichnung fehlt; ","")&amp;IF(COUNTIFS($A$2:$A$5001,$A3758,$C$2:$C$5001,C3758)&gt;1,"Artikel doppelt im selben Lager; ",""))</f>
        <v/>
      </c>
      <c r="P3758" s="47" t="n">
        <f aca="false">IF(OR($A3758="",D3758=""),0,IF(COUNTIF($D$2:D3758,D3758)=1,SUMIF($D$2:$D$5001,D3758,$H$2:$H$5001)+ROW()/10000000,0))</f>
        <v>0</v>
      </c>
      <c r="Q3758" s="47" t="n">
        <f aca="false">IF(OR($A3758="",C3758=""),0,IF(COUNTIF($C$2:C3758,C3758)=1,SUMIF($C$2:$C$5001,C3758,$H$2:$H$5001)+ROW()/10000000,0))</f>
        <v>0</v>
      </c>
    </row>
    <row r="3759" customFormat="false" ht="15" hidden="false" customHeight="false" outlineLevel="0" collapsed="false">
      <c r="A3759" s="43"/>
      <c r="B3759" s="44"/>
      <c r="C3759" s="44"/>
      <c r="D3759" s="44"/>
      <c r="E3759" s="44"/>
      <c r="F3759" s="44"/>
      <c r="G3759" s="44"/>
      <c r="H3759" s="46" t="str">
        <f aca="false">IF($A3759="","",IF(OR(NOT(ISNUMBER(E3759)),NOT(ISNUMBER(F3759))),"",MAX(0,E3759)*F3759))</f>
        <v/>
      </c>
      <c r="I3759" s="46" t="str">
        <f aca="false">IF($A3759="","",SUMIF($A$2:$A$5001,$A3759,$H$2:$H$5001))</f>
        <v/>
      </c>
      <c r="J3759" s="47" t="n">
        <f aca="false">IF($A3759="",0,IF(COUNTIF($A$2:A3759,$A3759)=1,1,0))</f>
        <v>0</v>
      </c>
      <c r="K3759" s="47" t="n">
        <f aca="false">IF(J3759=1,N(I3759)+ROW()/10000000,0)</f>
        <v>0</v>
      </c>
      <c r="L3759" s="47" t="str">
        <f aca="false">IF(AND(J3759=1,N(I3759)&gt;0),SUMIF($K$2:$K$5001,"&gt;="&amp;K3759,$I$2:$I$5001)/MAX(1,SUM($H$2:$H$5001)),"")</f>
        <v/>
      </c>
      <c r="M3759" s="47" t="str">
        <f aca="false">IF($A3759="","",INDEX($L$2:$L$5001,MATCH($A3759,$A$2:$A$5001,0)))</f>
        <v/>
      </c>
      <c r="N3759" s="48" t="str">
        <f aca="false">IF($A3759="","",IF(N(M3759)=0,"–",IF(M3759&lt;=Start!$D$20,"A",IF(M3759&lt;=Start!$D$21,"B","C"))))</f>
        <v/>
      </c>
      <c r="O3759" s="48" t="str">
        <f aca="false">IF($A3759="","",IF(NOT(ISNUMBER(F3759)),"Wert fehlt; ",IF(F3759&lt;=0,"Wert ist 0; ",""))&amp;IF(NOT(ISNUMBER(E3759)),"Bestand fehlt; ",IF(E3759&lt;0,"Bestand negativ; ",IF(E3759=0,"Nullbestand; ","")))&amp;IF(D3759="","Warengruppe fehlt; ","")&amp;IF(B3759="","Bezeichnung fehlt; ","")&amp;IF(COUNTIFS($A$2:$A$5001,$A3759,$C$2:$C$5001,C3759)&gt;1,"Artikel doppelt im selben Lager; ",""))</f>
        <v/>
      </c>
      <c r="P3759" s="47" t="n">
        <f aca="false">IF(OR($A3759="",D3759=""),0,IF(COUNTIF($D$2:D3759,D3759)=1,SUMIF($D$2:$D$5001,D3759,$H$2:$H$5001)+ROW()/10000000,0))</f>
        <v>0</v>
      </c>
      <c r="Q3759" s="47" t="n">
        <f aca="false">IF(OR($A3759="",C3759=""),0,IF(COUNTIF($C$2:C3759,C3759)=1,SUMIF($C$2:$C$5001,C3759,$H$2:$H$5001)+ROW()/10000000,0))</f>
        <v>0</v>
      </c>
    </row>
    <row r="3760" customFormat="false" ht="15" hidden="false" customHeight="false" outlineLevel="0" collapsed="false">
      <c r="A3760" s="43"/>
      <c r="B3760" s="44"/>
      <c r="C3760" s="44"/>
      <c r="D3760" s="44"/>
      <c r="E3760" s="44"/>
      <c r="F3760" s="44"/>
      <c r="G3760" s="44"/>
      <c r="H3760" s="46" t="str">
        <f aca="false">IF($A3760="","",IF(OR(NOT(ISNUMBER(E3760)),NOT(ISNUMBER(F3760))),"",MAX(0,E3760)*F3760))</f>
        <v/>
      </c>
      <c r="I3760" s="46" t="str">
        <f aca="false">IF($A3760="","",SUMIF($A$2:$A$5001,$A3760,$H$2:$H$5001))</f>
        <v/>
      </c>
      <c r="J3760" s="47" t="n">
        <f aca="false">IF($A3760="",0,IF(COUNTIF($A$2:A3760,$A3760)=1,1,0))</f>
        <v>0</v>
      </c>
      <c r="K3760" s="47" t="n">
        <f aca="false">IF(J3760=1,N(I3760)+ROW()/10000000,0)</f>
        <v>0</v>
      </c>
      <c r="L3760" s="47" t="str">
        <f aca="false">IF(AND(J3760=1,N(I3760)&gt;0),SUMIF($K$2:$K$5001,"&gt;="&amp;K3760,$I$2:$I$5001)/MAX(1,SUM($H$2:$H$5001)),"")</f>
        <v/>
      </c>
      <c r="M3760" s="47" t="str">
        <f aca="false">IF($A3760="","",INDEX($L$2:$L$5001,MATCH($A3760,$A$2:$A$5001,0)))</f>
        <v/>
      </c>
      <c r="N3760" s="48" t="str">
        <f aca="false">IF($A3760="","",IF(N(M3760)=0,"–",IF(M3760&lt;=Start!$D$20,"A",IF(M3760&lt;=Start!$D$21,"B","C"))))</f>
        <v/>
      </c>
      <c r="O3760" s="48" t="str">
        <f aca="false">IF($A3760="","",IF(NOT(ISNUMBER(F3760)),"Wert fehlt; ",IF(F3760&lt;=0,"Wert ist 0; ",""))&amp;IF(NOT(ISNUMBER(E3760)),"Bestand fehlt; ",IF(E3760&lt;0,"Bestand negativ; ",IF(E3760=0,"Nullbestand; ","")))&amp;IF(D3760="","Warengruppe fehlt; ","")&amp;IF(B3760="","Bezeichnung fehlt; ","")&amp;IF(COUNTIFS($A$2:$A$5001,$A3760,$C$2:$C$5001,C3760)&gt;1,"Artikel doppelt im selben Lager; ",""))</f>
        <v/>
      </c>
      <c r="P3760" s="47" t="n">
        <f aca="false">IF(OR($A3760="",D3760=""),0,IF(COUNTIF($D$2:D3760,D3760)=1,SUMIF($D$2:$D$5001,D3760,$H$2:$H$5001)+ROW()/10000000,0))</f>
        <v>0</v>
      </c>
      <c r="Q3760" s="47" t="n">
        <f aca="false">IF(OR($A3760="",C3760=""),0,IF(COUNTIF($C$2:C3760,C3760)=1,SUMIF($C$2:$C$5001,C3760,$H$2:$H$5001)+ROW()/10000000,0))</f>
        <v>0</v>
      </c>
    </row>
    <row r="3761" customFormat="false" ht="15" hidden="false" customHeight="false" outlineLevel="0" collapsed="false">
      <c r="A3761" s="43"/>
      <c r="B3761" s="44"/>
      <c r="C3761" s="44"/>
      <c r="D3761" s="44"/>
      <c r="E3761" s="44"/>
      <c r="F3761" s="44"/>
      <c r="G3761" s="44"/>
      <c r="H3761" s="46" t="str">
        <f aca="false">IF($A3761="","",IF(OR(NOT(ISNUMBER(E3761)),NOT(ISNUMBER(F3761))),"",MAX(0,E3761)*F3761))</f>
        <v/>
      </c>
      <c r="I3761" s="46" t="str">
        <f aca="false">IF($A3761="","",SUMIF($A$2:$A$5001,$A3761,$H$2:$H$5001))</f>
        <v/>
      </c>
      <c r="J3761" s="47" t="n">
        <f aca="false">IF($A3761="",0,IF(COUNTIF($A$2:A3761,$A3761)=1,1,0))</f>
        <v>0</v>
      </c>
      <c r="K3761" s="47" t="n">
        <f aca="false">IF(J3761=1,N(I3761)+ROW()/10000000,0)</f>
        <v>0</v>
      </c>
      <c r="L3761" s="47" t="str">
        <f aca="false">IF(AND(J3761=1,N(I3761)&gt;0),SUMIF($K$2:$K$5001,"&gt;="&amp;K3761,$I$2:$I$5001)/MAX(1,SUM($H$2:$H$5001)),"")</f>
        <v/>
      </c>
      <c r="M3761" s="47" t="str">
        <f aca="false">IF($A3761="","",INDEX($L$2:$L$5001,MATCH($A3761,$A$2:$A$5001,0)))</f>
        <v/>
      </c>
      <c r="N3761" s="48" t="str">
        <f aca="false">IF($A3761="","",IF(N(M3761)=0,"–",IF(M3761&lt;=Start!$D$20,"A",IF(M3761&lt;=Start!$D$21,"B","C"))))</f>
        <v/>
      </c>
      <c r="O3761" s="48" t="str">
        <f aca="false">IF($A3761="","",IF(NOT(ISNUMBER(F3761)),"Wert fehlt; ",IF(F3761&lt;=0,"Wert ist 0; ",""))&amp;IF(NOT(ISNUMBER(E3761)),"Bestand fehlt; ",IF(E3761&lt;0,"Bestand negativ; ",IF(E3761=0,"Nullbestand; ","")))&amp;IF(D3761="","Warengruppe fehlt; ","")&amp;IF(B3761="","Bezeichnung fehlt; ","")&amp;IF(COUNTIFS($A$2:$A$5001,$A3761,$C$2:$C$5001,C3761)&gt;1,"Artikel doppelt im selben Lager; ",""))</f>
        <v/>
      </c>
      <c r="P3761" s="47" t="n">
        <f aca="false">IF(OR($A3761="",D3761=""),0,IF(COUNTIF($D$2:D3761,D3761)=1,SUMIF($D$2:$D$5001,D3761,$H$2:$H$5001)+ROW()/10000000,0))</f>
        <v>0</v>
      </c>
      <c r="Q3761" s="47" t="n">
        <f aca="false">IF(OR($A3761="",C3761=""),0,IF(COUNTIF($C$2:C3761,C3761)=1,SUMIF($C$2:$C$5001,C3761,$H$2:$H$5001)+ROW()/10000000,0))</f>
        <v>0</v>
      </c>
    </row>
    <row r="3762" customFormat="false" ht="15" hidden="false" customHeight="false" outlineLevel="0" collapsed="false">
      <c r="A3762" s="43"/>
      <c r="B3762" s="44"/>
      <c r="C3762" s="44"/>
      <c r="D3762" s="44"/>
      <c r="E3762" s="44"/>
      <c r="F3762" s="44"/>
      <c r="G3762" s="44"/>
      <c r="H3762" s="46" t="str">
        <f aca="false">IF($A3762="","",IF(OR(NOT(ISNUMBER(E3762)),NOT(ISNUMBER(F3762))),"",MAX(0,E3762)*F3762))</f>
        <v/>
      </c>
      <c r="I3762" s="46" t="str">
        <f aca="false">IF($A3762="","",SUMIF($A$2:$A$5001,$A3762,$H$2:$H$5001))</f>
        <v/>
      </c>
      <c r="J3762" s="47" t="n">
        <f aca="false">IF($A3762="",0,IF(COUNTIF($A$2:A3762,$A3762)=1,1,0))</f>
        <v>0</v>
      </c>
      <c r="K3762" s="47" t="n">
        <f aca="false">IF(J3762=1,N(I3762)+ROW()/10000000,0)</f>
        <v>0</v>
      </c>
      <c r="L3762" s="47" t="str">
        <f aca="false">IF(AND(J3762=1,N(I3762)&gt;0),SUMIF($K$2:$K$5001,"&gt;="&amp;K3762,$I$2:$I$5001)/MAX(1,SUM($H$2:$H$5001)),"")</f>
        <v/>
      </c>
      <c r="M3762" s="47" t="str">
        <f aca="false">IF($A3762="","",INDEX($L$2:$L$5001,MATCH($A3762,$A$2:$A$5001,0)))</f>
        <v/>
      </c>
      <c r="N3762" s="48" t="str">
        <f aca="false">IF($A3762="","",IF(N(M3762)=0,"–",IF(M3762&lt;=Start!$D$20,"A",IF(M3762&lt;=Start!$D$21,"B","C"))))</f>
        <v/>
      </c>
      <c r="O3762" s="48" t="str">
        <f aca="false">IF($A3762="","",IF(NOT(ISNUMBER(F3762)),"Wert fehlt; ",IF(F3762&lt;=0,"Wert ist 0; ",""))&amp;IF(NOT(ISNUMBER(E3762)),"Bestand fehlt; ",IF(E3762&lt;0,"Bestand negativ; ",IF(E3762=0,"Nullbestand; ","")))&amp;IF(D3762="","Warengruppe fehlt; ","")&amp;IF(B3762="","Bezeichnung fehlt; ","")&amp;IF(COUNTIFS($A$2:$A$5001,$A3762,$C$2:$C$5001,C3762)&gt;1,"Artikel doppelt im selben Lager; ",""))</f>
        <v/>
      </c>
      <c r="P3762" s="47" t="n">
        <f aca="false">IF(OR($A3762="",D3762=""),0,IF(COUNTIF($D$2:D3762,D3762)=1,SUMIF($D$2:$D$5001,D3762,$H$2:$H$5001)+ROW()/10000000,0))</f>
        <v>0</v>
      </c>
      <c r="Q3762" s="47" t="n">
        <f aca="false">IF(OR($A3762="",C3762=""),0,IF(COUNTIF($C$2:C3762,C3762)=1,SUMIF($C$2:$C$5001,C3762,$H$2:$H$5001)+ROW()/10000000,0))</f>
        <v>0</v>
      </c>
    </row>
    <row r="3763" customFormat="false" ht="15" hidden="false" customHeight="false" outlineLevel="0" collapsed="false">
      <c r="A3763" s="43"/>
      <c r="B3763" s="44"/>
      <c r="C3763" s="44"/>
      <c r="D3763" s="44"/>
      <c r="E3763" s="44"/>
      <c r="F3763" s="44"/>
      <c r="G3763" s="44"/>
      <c r="H3763" s="46" t="str">
        <f aca="false">IF($A3763="","",IF(OR(NOT(ISNUMBER(E3763)),NOT(ISNUMBER(F3763))),"",MAX(0,E3763)*F3763))</f>
        <v/>
      </c>
      <c r="I3763" s="46" t="str">
        <f aca="false">IF($A3763="","",SUMIF($A$2:$A$5001,$A3763,$H$2:$H$5001))</f>
        <v/>
      </c>
      <c r="J3763" s="47" t="n">
        <f aca="false">IF($A3763="",0,IF(COUNTIF($A$2:A3763,$A3763)=1,1,0))</f>
        <v>0</v>
      </c>
      <c r="K3763" s="47" t="n">
        <f aca="false">IF(J3763=1,N(I3763)+ROW()/10000000,0)</f>
        <v>0</v>
      </c>
      <c r="L3763" s="47" t="str">
        <f aca="false">IF(AND(J3763=1,N(I3763)&gt;0),SUMIF($K$2:$K$5001,"&gt;="&amp;K3763,$I$2:$I$5001)/MAX(1,SUM($H$2:$H$5001)),"")</f>
        <v/>
      </c>
      <c r="M3763" s="47" t="str">
        <f aca="false">IF($A3763="","",INDEX($L$2:$L$5001,MATCH($A3763,$A$2:$A$5001,0)))</f>
        <v/>
      </c>
      <c r="N3763" s="48" t="str">
        <f aca="false">IF($A3763="","",IF(N(M3763)=0,"–",IF(M3763&lt;=Start!$D$20,"A",IF(M3763&lt;=Start!$D$21,"B","C"))))</f>
        <v/>
      </c>
      <c r="O3763" s="48" t="str">
        <f aca="false">IF($A3763="","",IF(NOT(ISNUMBER(F3763)),"Wert fehlt; ",IF(F3763&lt;=0,"Wert ist 0; ",""))&amp;IF(NOT(ISNUMBER(E3763)),"Bestand fehlt; ",IF(E3763&lt;0,"Bestand negativ; ",IF(E3763=0,"Nullbestand; ","")))&amp;IF(D3763="","Warengruppe fehlt; ","")&amp;IF(B3763="","Bezeichnung fehlt; ","")&amp;IF(COUNTIFS($A$2:$A$5001,$A3763,$C$2:$C$5001,C3763)&gt;1,"Artikel doppelt im selben Lager; ",""))</f>
        <v/>
      </c>
      <c r="P3763" s="47" t="n">
        <f aca="false">IF(OR($A3763="",D3763=""),0,IF(COUNTIF($D$2:D3763,D3763)=1,SUMIF($D$2:$D$5001,D3763,$H$2:$H$5001)+ROW()/10000000,0))</f>
        <v>0</v>
      </c>
      <c r="Q3763" s="47" t="n">
        <f aca="false">IF(OR($A3763="",C3763=""),0,IF(COUNTIF($C$2:C3763,C3763)=1,SUMIF($C$2:$C$5001,C3763,$H$2:$H$5001)+ROW()/10000000,0))</f>
        <v>0</v>
      </c>
    </row>
    <row r="3764" customFormat="false" ht="15" hidden="false" customHeight="false" outlineLevel="0" collapsed="false">
      <c r="A3764" s="43"/>
      <c r="B3764" s="44"/>
      <c r="C3764" s="44"/>
      <c r="D3764" s="44"/>
      <c r="E3764" s="44"/>
      <c r="F3764" s="44"/>
      <c r="G3764" s="44"/>
      <c r="H3764" s="46" t="str">
        <f aca="false">IF($A3764="","",IF(OR(NOT(ISNUMBER(E3764)),NOT(ISNUMBER(F3764))),"",MAX(0,E3764)*F3764))</f>
        <v/>
      </c>
      <c r="I3764" s="46" t="str">
        <f aca="false">IF($A3764="","",SUMIF($A$2:$A$5001,$A3764,$H$2:$H$5001))</f>
        <v/>
      </c>
      <c r="J3764" s="47" t="n">
        <f aca="false">IF($A3764="",0,IF(COUNTIF($A$2:A3764,$A3764)=1,1,0))</f>
        <v>0</v>
      </c>
      <c r="K3764" s="47" t="n">
        <f aca="false">IF(J3764=1,N(I3764)+ROW()/10000000,0)</f>
        <v>0</v>
      </c>
      <c r="L3764" s="47" t="str">
        <f aca="false">IF(AND(J3764=1,N(I3764)&gt;0),SUMIF($K$2:$K$5001,"&gt;="&amp;K3764,$I$2:$I$5001)/MAX(1,SUM($H$2:$H$5001)),"")</f>
        <v/>
      </c>
      <c r="M3764" s="47" t="str">
        <f aca="false">IF($A3764="","",INDEX($L$2:$L$5001,MATCH($A3764,$A$2:$A$5001,0)))</f>
        <v/>
      </c>
      <c r="N3764" s="48" t="str">
        <f aca="false">IF($A3764="","",IF(N(M3764)=0,"–",IF(M3764&lt;=Start!$D$20,"A",IF(M3764&lt;=Start!$D$21,"B","C"))))</f>
        <v/>
      </c>
      <c r="O3764" s="48" t="str">
        <f aca="false">IF($A3764="","",IF(NOT(ISNUMBER(F3764)),"Wert fehlt; ",IF(F3764&lt;=0,"Wert ist 0; ",""))&amp;IF(NOT(ISNUMBER(E3764)),"Bestand fehlt; ",IF(E3764&lt;0,"Bestand negativ; ",IF(E3764=0,"Nullbestand; ","")))&amp;IF(D3764="","Warengruppe fehlt; ","")&amp;IF(B3764="","Bezeichnung fehlt; ","")&amp;IF(COUNTIFS($A$2:$A$5001,$A3764,$C$2:$C$5001,C3764)&gt;1,"Artikel doppelt im selben Lager; ",""))</f>
        <v/>
      </c>
      <c r="P3764" s="47" t="n">
        <f aca="false">IF(OR($A3764="",D3764=""),0,IF(COUNTIF($D$2:D3764,D3764)=1,SUMIF($D$2:$D$5001,D3764,$H$2:$H$5001)+ROW()/10000000,0))</f>
        <v>0</v>
      </c>
      <c r="Q3764" s="47" t="n">
        <f aca="false">IF(OR($A3764="",C3764=""),0,IF(COUNTIF($C$2:C3764,C3764)=1,SUMIF($C$2:$C$5001,C3764,$H$2:$H$5001)+ROW()/10000000,0))</f>
        <v>0</v>
      </c>
    </row>
    <row r="3765" customFormat="false" ht="15" hidden="false" customHeight="false" outlineLevel="0" collapsed="false">
      <c r="A3765" s="43"/>
      <c r="B3765" s="44"/>
      <c r="C3765" s="44"/>
      <c r="D3765" s="44"/>
      <c r="E3765" s="44"/>
      <c r="F3765" s="44"/>
      <c r="G3765" s="44"/>
      <c r="H3765" s="46" t="str">
        <f aca="false">IF($A3765="","",IF(OR(NOT(ISNUMBER(E3765)),NOT(ISNUMBER(F3765))),"",MAX(0,E3765)*F3765))</f>
        <v/>
      </c>
      <c r="I3765" s="46" t="str">
        <f aca="false">IF($A3765="","",SUMIF($A$2:$A$5001,$A3765,$H$2:$H$5001))</f>
        <v/>
      </c>
      <c r="J3765" s="47" t="n">
        <f aca="false">IF($A3765="",0,IF(COUNTIF($A$2:A3765,$A3765)=1,1,0))</f>
        <v>0</v>
      </c>
      <c r="K3765" s="47" t="n">
        <f aca="false">IF(J3765=1,N(I3765)+ROW()/10000000,0)</f>
        <v>0</v>
      </c>
      <c r="L3765" s="47" t="str">
        <f aca="false">IF(AND(J3765=1,N(I3765)&gt;0),SUMIF($K$2:$K$5001,"&gt;="&amp;K3765,$I$2:$I$5001)/MAX(1,SUM($H$2:$H$5001)),"")</f>
        <v/>
      </c>
      <c r="M3765" s="47" t="str">
        <f aca="false">IF($A3765="","",INDEX($L$2:$L$5001,MATCH($A3765,$A$2:$A$5001,0)))</f>
        <v/>
      </c>
      <c r="N3765" s="48" t="str">
        <f aca="false">IF($A3765="","",IF(N(M3765)=0,"–",IF(M3765&lt;=Start!$D$20,"A",IF(M3765&lt;=Start!$D$21,"B","C"))))</f>
        <v/>
      </c>
      <c r="O3765" s="48" t="str">
        <f aca="false">IF($A3765="","",IF(NOT(ISNUMBER(F3765)),"Wert fehlt; ",IF(F3765&lt;=0,"Wert ist 0; ",""))&amp;IF(NOT(ISNUMBER(E3765)),"Bestand fehlt; ",IF(E3765&lt;0,"Bestand negativ; ",IF(E3765=0,"Nullbestand; ","")))&amp;IF(D3765="","Warengruppe fehlt; ","")&amp;IF(B3765="","Bezeichnung fehlt; ","")&amp;IF(COUNTIFS($A$2:$A$5001,$A3765,$C$2:$C$5001,C3765)&gt;1,"Artikel doppelt im selben Lager; ",""))</f>
        <v/>
      </c>
      <c r="P3765" s="47" t="n">
        <f aca="false">IF(OR($A3765="",D3765=""),0,IF(COUNTIF($D$2:D3765,D3765)=1,SUMIF($D$2:$D$5001,D3765,$H$2:$H$5001)+ROW()/10000000,0))</f>
        <v>0</v>
      </c>
      <c r="Q3765" s="47" t="n">
        <f aca="false">IF(OR($A3765="",C3765=""),0,IF(COUNTIF($C$2:C3765,C3765)=1,SUMIF($C$2:$C$5001,C3765,$H$2:$H$5001)+ROW()/10000000,0))</f>
        <v>0</v>
      </c>
    </row>
    <row r="3766" customFormat="false" ht="15" hidden="false" customHeight="false" outlineLevel="0" collapsed="false">
      <c r="A3766" s="43"/>
      <c r="B3766" s="44"/>
      <c r="C3766" s="44"/>
      <c r="D3766" s="44"/>
      <c r="E3766" s="44"/>
      <c r="F3766" s="44"/>
      <c r="G3766" s="44"/>
      <c r="H3766" s="46" t="str">
        <f aca="false">IF($A3766="","",IF(OR(NOT(ISNUMBER(E3766)),NOT(ISNUMBER(F3766))),"",MAX(0,E3766)*F3766))</f>
        <v/>
      </c>
      <c r="I3766" s="46" t="str">
        <f aca="false">IF($A3766="","",SUMIF($A$2:$A$5001,$A3766,$H$2:$H$5001))</f>
        <v/>
      </c>
      <c r="J3766" s="47" t="n">
        <f aca="false">IF($A3766="",0,IF(COUNTIF($A$2:A3766,$A3766)=1,1,0))</f>
        <v>0</v>
      </c>
      <c r="K3766" s="47" t="n">
        <f aca="false">IF(J3766=1,N(I3766)+ROW()/10000000,0)</f>
        <v>0</v>
      </c>
      <c r="L3766" s="47" t="str">
        <f aca="false">IF(AND(J3766=1,N(I3766)&gt;0),SUMIF($K$2:$K$5001,"&gt;="&amp;K3766,$I$2:$I$5001)/MAX(1,SUM($H$2:$H$5001)),"")</f>
        <v/>
      </c>
      <c r="M3766" s="47" t="str">
        <f aca="false">IF($A3766="","",INDEX($L$2:$L$5001,MATCH($A3766,$A$2:$A$5001,0)))</f>
        <v/>
      </c>
      <c r="N3766" s="48" t="str">
        <f aca="false">IF($A3766="","",IF(N(M3766)=0,"–",IF(M3766&lt;=Start!$D$20,"A",IF(M3766&lt;=Start!$D$21,"B","C"))))</f>
        <v/>
      </c>
      <c r="O3766" s="48" t="str">
        <f aca="false">IF($A3766="","",IF(NOT(ISNUMBER(F3766)),"Wert fehlt; ",IF(F3766&lt;=0,"Wert ist 0; ",""))&amp;IF(NOT(ISNUMBER(E3766)),"Bestand fehlt; ",IF(E3766&lt;0,"Bestand negativ; ",IF(E3766=0,"Nullbestand; ","")))&amp;IF(D3766="","Warengruppe fehlt; ","")&amp;IF(B3766="","Bezeichnung fehlt; ","")&amp;IF(COUNTIFS($A$2:$A$5001,$A3766,$C$2:$C$5001,C3766)&gt;1,"Artikel doppelt im selben Lager; ",""))</f>
        <v/>
      </c>
      <c r="P3766" s="47" t="n">
        <f aca="false">IF(OR($A3766="",D3766=""),0,IF(COUNTIF($D$2:D3766,D3766)=1,SUMIF($D$2:$D$5001,D3766,$H$2:$H$5001)+ROW()/10000000,0))</f>
        <v>0</v>
      </c>
      <c r="Q3766" s="47" t="n">
        <f aca="false">IF(OR($A3766="",C3766=""),0,IF(COUNTIF($C$2:C3766,C3766)=1,SUMIF($C$2:$C$5001,C3766,$H$2:$H$5001)+ROW()/10000000,0))</f>
        <v>0</v>
      </c>
    </row>
    <row r="3767" customFormat="false" ht="15" hidden="false" customHeight="false" outlineLevel="0" collapsed="false">
      <c r="A3767" s="43"/>
      <c r="B3767" s="44"/>
      <c r="C3767" s="44"/>
      <c r="D3767" s="44"/>
      <c r="E3767" s="44"/>
      <c r="F3767" s="44"/>
      <c r="G3767" s="44"/>
      <c r="H3767" s="46" t="str">
        <f aca="false">IF($A3767="","",IF(OR(NOT(ISNUMBER(E3767)),NOT(ISNUMBER(F3767))),"",MAX(0,E3767)*F3767))</f>
        <v/>
      </c>
      <c r="I3767" s="46" t="str">
        <f aca="false">IF($A3767="","",SUMIF($A$2:$A$5001,$A3767,$H$2:$H$5001))</f>
        <v/>
      </c>
      <c r="J3767" s="47" t="n">
        <f aca="false">IF($A3767="",0,IF(COUNTIF($A$2:A3767,$A3767)=1,1,0))</f>
        <v>0</v>
      </c>
      <c r="K3767" s="47" t="n">
        <f aca="false">IF(J3767=1,N(I3767)+ROW()/10000000,0)</f>
        <v>0</v>
      </c>
      <c r="L3767" s="47" t="str">
        <f aca="false">IF(AND(J3767=1,N(I3767)&gt;0),SUMIF($K$2:$K$5001,"&gt;="&amp;K3767,$I$2:$I$5001)/MAX(1,SUM($H$2:$H$5001)),"")</f>
        <v/>
      </c>
      <c r="M3767" s="47" t="str">
        <f aca="false">IF($A3767="","",INDEX($L$2:$L$5001,MATCH($A3767,$A$2:$A$5001,0)))</f>
        <v/>
      </c>
      <c r="N3767" s="48" t="str">
        <f aca="false">IF($A3767="","",IF(N(M3767)=0,"–",IF(M3767&lt;=Start!$D$20,"A",IF(M3767&lt;=Start!$D$21,"B","C"))))</f>
        <v/>
      </c>
      <c r="O3767" s="48" t="str">
        <f aca="false">IF($A3767="","",IF(NOT(ISNUMBER(F3767)),"Wert fehlt; ",IF(F3767&lt;=0,"Wert ist 0; ",""))&amp;IF(NOT(ISNUMBER(E3767)),"Bestand fehlt; ",IF(E3767&lt;0,"Bestand negativ; ",IF(E3767=0,"Nullbestand; ","")))&amp;IF(D3767="","Warengruppe fehlt; ","")&amp;IF(B3767="","Bezeichnung fehlt; ","")&amp;IF(COUNTIFS($A$2:$A$5001,$A3767,$C$2:$C$5001,C3767)&gt;1,"Artikel doppelt im selben Lager; ",""))</f>
        <v/>
      </c>
      <c r="P3767" s="47" t="n">
        <f aca="false">IF(OR($A3767="",D3767=""),0,IF(COUNTIF($D$2:D3767,D3767)=1,SUMIF($D$2:$D$5001,D3767,$H$2:$H$5001)+ROW()/10000000,0))</f>
        <v>0</v>
      </c>
      <c r="Q3767" s="47" t="n">
        <f aca="false">IF(OR($A3767="",C3767=""),0,IF(COUNTIF($C$2:C3767,C3767)=1,SUMIF($C$2:$C$5001,C3767,$H$2:$H$5001)+ROW()/10000000,0))</f>
        <v>0</v>
      </c>
    </row>
    <row r="3768" customFormat="false" ht="15" hidden="false" customHeight="false" outlineLevel="0" collapsed="false">
      <c r="A3768" s="43"/>
      <c r="B3768" s="44"/>
      <c r="C3768" s="44"/>
      <c r="D3768" s="44"/>
      <c r="E3768" s="44"/>
      <c r="F3768" s="44"/>
      <c r="G3768" s="44"/>
      <c r="H3768" s="46" t="str">
        <f aca="false">IF($A3768="","",IF(OR(NOT(ISNUMBER(E3768)),NOT(ISNUMBER(F3768))),"",MAX(0,E3768)*F3768))</f>
        <v/>
      </c>
      <c r="I3768" s="46" t="str">
        <f aca="false">IF($A3768="","",SUMIF($A$2:$A$5001,$A3768,$H$2:$H$5001))</f>
        <v/>
      </c>
      <c r="J3768" s="47" t="n">
        <f aca="false">IF($A3768="",0,IF(COUNTIF($A$2:A3768,$A3768)=1,1,0))</f>
        <v>0</v>
      </c>
      <c r="K3768" s="47" t="n">
        <f aca="false">IF(J3768=1,N(I3768)+ROW()/10000000,0)</f>
        <v>0</v>
      </c>
      <c r="L3768" s="47" t="str">
        <f aca="false">IF(AND(J3768=1,N(I3768)&gt;0),SUMIF($K$2:$K$5001,"&gt;="&amp;K3768,$I$2:$I$5001)/MAX(1,SUM($H$2:$H$5001)),"")</f>
        <v/>
      </c>
      <c r="M3768" s="47" t="str">
        <f aca="false">IF($A3768="","",INDEX($L$2:$L$5001,MATCH($A3768,$A$2:$A$5001,0)))</f>
        <v/>
      </c>
      <c r="N3768" s="48" t="str">
        <f aca="false">IF($A3768="","",IF(N(M3768)=0,"–",IF(M3768&lt;=Start!$D$20,"A",IF(M3768&lt;=Start!$D$21,"B","C"))))</f>
        <v/>
      </c>
      <c r="O3768" s="48" t="str">
        <f aca="false">IF($A3768="","",IF(NOT(ISNUMBER(F3768)),"Wert fehlt; ",IF(F3768&lt;=0,"Wert ist 0; ",""))&amp;IF(NOT(ISNUMBER(E3768)),"Bestand fehlt; ",IF(E3768&lt;0,"Bestand negativ; ",IF(E3768=0,"Nullbestand; ","")))&amp;IF(D3768="","Warengruppe fehlt; ","")&amp;IF(B3768="","Bezeichnung fehlt; ","")&amp;IF(COUNTIFS($A$2:$A$5001,$A3768,$C$2:$C$5001,C3768)&gt;1,"Artikel doppelt im selben Lager; ",""))</f>
        <v/>
      </c>
      <c r="P3768" s="47" t="n">
        <f aca="false">IF(OR($A3768="",D3768=""),0,IF(COUNTIF($D$2:D3768,D3768)=1,SUMIF($D$2:$D$5001,D3768,$H$2:$H$5001)+ROW()/10000000,0))</f>
        <v>0</v>
      </c>
      <c r="Q3768" s="47" t="n">
        <f aca="false">IF(OR($A3768="",C3768=""),0,IF(COUNTIF($C$2:C3768,C3768)=1,SUMIF($C$2:$C$5001,C3768,$H$2:$H$5001)+ROW()/10000000,0))</f>
        <v>0</v>
      </c>
    </row>
    <row r="3769" customFormat="false" ht="15" hidden="false" customHeight="false" outlineLevel="0" collapsed="false">
      <c r="A3769" s="43"/>
      <c r="B3769" s="44"/>
      <c r="C3769" s="44"/>
      <c r="D3769" s="44"/>
      <c r="E3769" s="44"/>
      <c r="F3769" s="44"/>
      <c r="G3769" s="44"/>
      <c r="H3769" s="46" t="str">
        <f aca="false">IF($A3769="","",IF(OR(NOT(ISNUMBER(E3769)),NOT(ISNUMBER(F3769))),"",MAX(0,E3769)*F3769))</f>
        <v/>
      </c>
      <c r="I3769" s="46" t="str">
        <f aca="false">IF($A3769="","",SUMIF($A$2:$A$5001,$A3769,$H$2:$H$5001))</f>
        <v/>
      </c>
      <c r="J3769" s="47" t="n">
        <f aca="false">IF($A3769="",0,IF(COUNTIF($A$2:A3769,$A3769)=1,1,0))</f>
        <v>0</v>
      </c>
      <c r="K3769" s="47" t="n">
        <f aca="false">IF(J3769=1,N(I3769)+ROW()/10000000,0)</f>
        <v>0</v>
      </c>
      <c r="L3769" s="47" t="str">
        <f aca="false">IF(AND(J3769=1,N(I3769)&gt;0),SUMIF($K$2:$K$5001,"&gt;="&amp;K3769,$I$2:$I$5001)/MAX(1,SUM($H$2:$H$5001)),"")</f>
        <v/>
      </c>
      <c r="M3769" s="47" t="str">
        <f aca="false">IF($A3769="","",INDEX($L$2:$L$5001,MATCH($A3769,$A$2:$A$5001,0)))</f>
        <v/>
      </c>
      <c r="N3769" s="48" t="str">
        <f aca="false">IF($A3769="","",IF(N(M3769)=0,"–",IF(M3769&lt;=Start!$D$20,"A",IF(M3769&lt;=Start!$D$21,"B","C"))))</f>
        <v/>
      </c>
      <c r="O3769" s="48" t="str">
        <f aca="false">IF($A3769="","",IF(NOT(ISNUMBER(F3769)),"Wert fehlt; ",IF(F3769&lt;=0,"Wert ist 0; ",""))&amp;IF(NOT(ISNUMBER(E3769)),"Bestand fehlt; ",IF(E3769&lt;0,"Bestand negativ; ",IF(E3769=0,"Nullbestand; ","")))&amp;IF(D3769="","Warengruppe fehlt; ","")&amp;IF(B3769="","Bezeichnung fehlt; ","")&amp;IF(COUNTIFS($A$2:$A$5001,$A3769,$C$2:$C$5001,C3769)&gt;1,"Artikel doppelt im selben Lager; ",""))</f>
        <v/>
      </c>
      <c r="P3769" s="47" t="n">
        <f aca="false">IF(OR($A3769="",D3769=""),0,IF(COUNTIF($D$2:D3769,D3769)=1,SUMIF($D$2:$D$5001,D3769,$H$2:$H$5001)+ROW()/10000000,0))</f>
        <v>0</v>
      </c>
      <c r="Q3769" s="47" t="n">
        <f aca="false">IF(OR($A3769="",C3769=""),0,IF(COUNTIF($C$2:C3769,C3769)=1,SUMIF($C$2:$C$5001,C3769,$H$2:$H$5001)+ROW()/10000000,0))</f>
        <v>0</v>
      </c>
    </row>
    <row r="3770" customFormat="false" ht="15" hidden="false" customHeight="false" outlineLevel="0" collapsed="false">
      <c r="A3770" s="43"/>
      <c r="B3770" s="44"/>
      <c r="C3770" s="44"/>
      <c r="D3770" s="44"/>
      <c r="E3770" s="44"/>
      <c r="F3770" s="44"/>
      <c r="G3770" s="44"/>
      <c r="H3770" s="46" t="str">
        <f aca="false">IF($A3770="","",IF(OR(NOT(ISNUMBER(E3770)),NOT(ISNUMBER(F3770))),"",MAX(0,E3770)*F3770))</f>
        <v/>
      </c>
      <c r="I3770" s="46" t="str">
        <f aca="false">IF($A3770="","",SUMIF($A$2:$A$5001,$A3770,$H$2:$H$5001))</f>
        <v/>
      </c>
      <c r="J3770" s="47" t="n">
        <f aca="false">IF($A3770="",0,IF(COUNTIF($A$2:A3770,$A3770)=1,1,0))</f>
        <v>0</v>
      </c>
      <c r="K3770" s="47" t="n">
        <f aca="false">IF(J3770=1,N(I3770)+ROW()/10000000,0)</f>
        <v>0</v>
      </c>
      <c r="L3770" s="47" t="str">
        <f aca="false">IF(AND(J3770=1,N(I3770)&gt;0),SUMIF($K$2:$K$5001,"&gt;="&amp;K3770,$I$2:$I$5001)/MAX(1,SUM($H$2:$H$5001)),"")</f>
        <v/>
      </c>
      <c r="M3770" s="47" t="str">
        <f aca="false">IF($A3770="","",INDEX($L$2:$L$5001,MATCH($A3770,$A$2:$A$5001,0)))</f>
        <v/>
      </c>
      <c r="N3770" s="48" t="str">
        <f aca="false">IF($A3770="","",IF(N(M3770)=0,"–",IF(M3770&lt;=Start!$D$20,"A",IF(M3770&lt;=Start!$D$21,"B","C"))))</f>
        <v/>
      </c>
      <c r="O3770" s="48" t="str">
        <f aca="false">IF($A3770="","",IF(NOT(ISNUMBER(F3770)),"Wert fehlt; ",IF(F3770&lt;=0,"Wert ist 0; ",""))&amp;IF(NOT(ISNUMBER(E3770)),"Bestand fehlt; ",IF(E3770&lt;0,"Bestand negativ; ",IF(E3770=0,"Nullbestand; ","")))&amp;IF(D3770="","Warengruppe fehlt; ","")&amp;IF(B3770="","Bezeichnung fehlt; ","")&amp;IF(COUNTIFS($A$2:$A$5001,$A3770,$C$2:$C$5001,C3770)&gt;1,"Artikel doppelt im selben Lager; ",""))</f>
        <v/>
      </c>
      <c r="P3770" s="47" t="n">
        <f aca="false">IF(OR($A3770="",D3770=""),0,IF(COUNTIF($D$2:D3770,D3770)=1,SUMIF($D$2:$D$5001,D3770,$H$2:$H$5001)+ROW()/10000000,0))</f>
        <v>0</v>
      </c>
      <c r="Q3770" s="47" t="n">
        <f aca="false">IF(OR($A3770="",C3770=""),0,IF(COUNTIF($C$2:C3770,C3770)=1,SUMIF($C$2:$C$5001,C3770,$H$2:$H$5001)+ROW()/10000000,0))</f>
        <v>0</v>
      </c>
    </row>
    <row r="3771" customFormat="false" ht="15" hidden="false" customHeight="false" outlineLevel="0" collapsed="false">
      <c r="A3771" s="43"/>
      <c r="B3771" s="44"/>
      <c r="C3771" s="44"/>
      <c r="D3771" s="44"/>
      <c r="E3771" s="44"/>
      <c r="F3771" s="44"/>
      <c r="G3771" s="44"/>
      <c r="H3771" s="46" t="str">
        <f aca="false">IF($A3771="","",IF(OR(NOT(ISNUMBER(E3771)),NOT(ISNUMBER(F3771))),"",MAX(0,E3771)*F3771))</f>
        <v/>
      </c>
      <c r="I3771" s="46" t="str">
        <f aca="false">IF($A3771="","",SUMIF($A$2:$A$5001,$A3771,$H$2:$H$5001))</f>
        <v/>
      </c>
      <c r="J3771" s="47" t="n">
        <f aca="false">IF($A3771="",0,IF(COUNTIF($A$2:A3771,$A3771)=1,1,0))</f>
        <v>0</v>
      </c>
      <c r="K3771" s="47" t="n">
        <f aca="false">IF(J3771=1,N(I3771)+ROW()/10000000,0)</f>
        <v>0</v>
      </c>
      <c r="L3771" s="47" t="str">
        <f aca="false">IF(AND(J3771=1,N(I3771)&gt;0),SUMIF($K$2:$K$5001,"&gt;="&amp;K3771,$I$2:$I$5001)/MAX(1,SUM($H$2:$H$5001)),"")</f>
        <v/>
      </c>
      <c r="M3771" s="47" t="str">
        <f aca="false">IF($A3771="","",INDEX($L$2:$L$5001,MATCH($A3771,$A$2:$A$5001,0)))</f>
        <v/>
      </c>
      <c r="N3771" s="48" t="str">
        <f aca="false">IF($A3771="","",IF(N(M3771)=0,"–",IF(M3771&lt;=Start!$D$20,"A",IF(M3771&lt;=Start!$D$21,"B","C"))))</f>
        <v/>
      </c>
      <c r="O3771" s="48" t="str">
        <f aca="false">IF($A3771="","",IF(NOT(ISNUMBER(F3771)),"Wert fehlt; ",IF(F3771&lt;=0,"Wert ist 0; ",""))&amp;IF(NOT(ISNUMBER(E3771)),"Bestand fehlt; ",IF(E3771&lt;0,"Bestand negativ; ",IF(E3771=0,"Nullbestand; ","")))&amp;IF(D3771="","Warengruppe fehlt; ","")&amp;IF(B3771="","Bezeichnung fehlt; ","")&amp;IF(COUNTIFS($A$2:$A$5001,$A3771,$C$2:$C$5001,C3771)&gt;1,"Artikel doppelt im selben Lager; ",""))</f>
        <v/>
      </c>
      <c r="P3771" s="47" t="n">
        <f aca="false">IF(OR($A3771="",D3771=""),0,IF(COUNTIF($D$2:D3771,D3771)=1,SUMIF($D$2:$D$5001,D3771,$H$2:$H$5001)+ROW()/10000000,0))</f>
        <v>0</v>
      </c>
      <c r="Q3771" s="47" t="n">
        <f aca="false">IF(OR($A3771="",C3771=""),0,IF(COUNTIF($C$2:C3771,C3771)=1,SUMIF($C$2:$C$5001,C3771,$H$2:$H$5001)+ROW()/10000000,0))</f>
        <v>0</v>
      </c>
    </row>
    <row r="3772" customFormat="false" ht="15" hidden="false" customHeight="false" outlineLevel="0" collapsed="false">
      <c r="A3772" s="43"/>
      <c r="B3772" s="44"/>
      <c r="C3772" s="44"/>
      <c r="D3772" s="44"/>
      <c r="E3772" s="44"/>
      <c r="F3772" s="44"/>
      <c r="G3772" s="44"/>
      <c r="H3772" s="46" t="str">
        <f aca="false">IF($A3772="","",IF(OR(NOT(ISNUMBER(E3772)),NOT(ISNUMBER(F3772))),"",MAX(0,E3772)*F3772))</f>
        <v/>
      </c>
      <c r="I3772" s="46" t="str">
        <f aca="false">IF($A3772="","",SUMIF($A$2:$A$5001,$A3772,$H$2:$H$5001))</f>
        <v/>
      </c>
      <c r="J3772" s="47" t="n">
        <f aca="false">IF($A3772="",0,IF(COUNTIF($A$2:A3772,$A3772)=1,1,0))</f>
        <v>0</v>
      </c>
      <c r="K3772" s="47" t="n">
        <f aca="false">IF(J3772=1,N(I3772)+ROW()/10000000,0)</f>
        <v>0</v>
      </c>
      <c r="L3772" s="47" t="str">
        <f aca="false">IF(AND(J3772=1,N(I3772)&gt;0),SUMIF($K$2:$K$5001,"&gt;="&amp;K3772,$I$2:$I$5001)/MAX(1,SUM($H$2:$H$5001)),"")</f>
        <v/>
      </c>
      <c r="M3772" s="47" t="str">
        <f aca="false">IF($A3772="","",INDEX($L$2:$L$5001,MATCH($A3772,$A$2:$A$5001,0)))</f>
        <v/>
      </c>
      <c r="N3772" s="48" t="str">
        <f aca="false">IF($A3772="","",IF(N(M3772)=0,"–",IF(M3772&lt;=Start!$D$20,"A",IF(M3772&lt;=Start!$D$21,"B","C"))))</f>
        <v/>
      </c>
      <c r="O3772" s="48" t="str">
        <f aca="false">IF($A3772="","",IF(NOT(ISNUMBER(F3772)),"Wert fehlt; ",IF(F3772&lt;=0,"Wert ist 0; ",""))&amp;IF(NOT(ISNUMBER(E3772)),"Bestand fehlt; ",IF(E3772&lt;0,"Bestand negativ; ",IF(E3772=0,"Nullbestand; ","")))&amp;IF(D3772="","Warengruppe fehlt; ","")&amp;IF(B3772="","Bezeichnung fehlt; ","")&amp;IF(COUNTIFS($A$2:$A$5001,$A3772,$C$2:$C$5001,C3772)&gt;1,"Artikel doppelt im selben Lager; ",""))</f>
        <v/>
      </c>
      <c r="P3772" s="47" t="n">
        <f aca="false">IF(OR($A3772="",D3772=""),0,IF(COUNTIF($D$2:D3772,D3772)=1,SUMIF($D$2:$D$5001,D3772,$H$2:$H$5001)+ROW()/10000000,0))</f>
        <v>0</v>
      </c>
      <c r="Q3772" s="47" t="n">
        <f aca="false">IF(OR($A3772="",C3772=""),0,IF(COUNTIF($C$2:C3772,C3772)=1,SUMIF($C$2:$C$5001,C3772,$H$2:$H$5001)+ROW()/10000000,0))</f>
        <v>0</v>
      </c>
    </row>
    <row r="3773" customFormat="false" ht="15" hidden="false" customHeight="false" outlineLevel="0" collapsed="false">
      <c r="A3773" s="43"/>
      <c r="B3773" s="44"/>
      <c r="C3773" s="44"/>
      <c r="D3773" s="44"/>
      <c r="E3773" s="44"/>
      <c r="F3773" s="44"/>
      <c r="G3773" s="44"/>
      <c r="H3773" s="46" t="str">
        <f aca="false">IF($A3773="","",IF(OR(NOT(ISNUMBER(E3773)),NOT(ISNUMBER(F3773))),"",MAX(0,E3773)*F3773))</f>
        <v/>
      </c>
      <c r="I3773" s="46" t="str">
        <f aca="false">IF($A3773="","",SUMIF($A$2:$A$5001,$A3773,$H$2:$H$5001))</f>
        <v/>
      </c>
      <c r="J3773" s="47" t="n">
        <f aca="false">IF($A3773="",0,IF(COUNTIF($A$2:A3773,$A3773)=1,1,0))</f>
        <v>0</v>
      </c>
      <c r="K3773" s="47" t="n">
        <f aca="false">IF(J3773=1,N(I3773)+ROW()/10000000,0)</f>
        <v>0</v>
      </c>
      <c r="L3773" s="47" t="str">
        <f aca="false">IF(AND(J3773=1,N(I3773)&gt;0),SUMIF($K$2:$K$5001,"&gt;="&amp;K3773,$I$2:$I$5001)/MAX(1,SUM($H$2:$H$5001)),"")</f>
        <v/>
      </c>
      <c r="M3773" s="47" t="str">
        <f aca="false">IF($A3773="","",INDEX($L$2:$L$5001,MATCH($A3773,$A$2:$A$5001,0)))</f>
        <v/>
      </c>
      <c r="N3773" s="48" t="str">
        <f aca="false">IF($A3773="","",IF(N(M3773)=0,"–",IF(M3773&lt;=Start!$D$20,"A",IF(M3773&lt;=Start!$D$21,"B","C"))))</f>
        <v/>
      </c>
      <c r="O3773" s="48" t="str">
        <f aca="false">IF($A3773="","",IF(NOT(ISNUMBER(F3773)),"Wert fehlt; ",IF(F3773&lt;=0,"Wert ist 0; ",""))&amp;IF(NOT(ISNUMBER(E3773)),"Bestand fehlt; ",IF(E3773&lt;0,"Bestand negativ; ",IF(E3773=0,"Nullbestand; ","")))&amp;IF(D3773="","Warengruppe fehlt; ","")&amp;IF(B3773="","Bezeichnung fehlt; ","")&amp;IF(COUNTIFS($A$2:$A$5001,$A3773,$C$2:$C$5001,C3773)&gt;1,"Artikel doppelt im selben Lager; ",""))</f>
        <v/>
      </c>
      <c r="P3773" s="47" t="n">
        <f aca="false">IF(OR($A3773="",D3773=""),0,IF(COUNTIF($D$2:D3773,D3773)=1,SUMIF($D$2:$D$5001,D3773,$H$2:$H$5001)+ROW()/10000000,0))</f>
        <v>0</v>
      </c>
      <c r="Q3773" s="47" t="n">
        <f aca="false">IF(OR($A3773="",C3773=""),0,IF(COUNTIF($C$2:C3773,C3773)=1,SUMIF($C$2:$C$5001,C3773,$H$2:$H$5001)+ROW()/10000000,0))</f>
        <v>0</v>
      </c>
    </row>
    <row r="3774" customFormat="false" ht="15" hidden="false" customHeight="false" outlineLevel="0" collapsed="false">
      <c r="A3774" s="43"/>
      <c r="B3774" s="44"/>
      <c r="C3774" s="44"/>
      <c r="D3774" s="44"/>
      <c r="E3774" s="44"/>
      <c r="F3774" s="44"/>
      <c r="G3774" s="44"/>
      <c r="H3774" s="46" t="str">
        <f aca="false">IF($A3774="","",IF(OR(NOT(ISNUMBER(E3774)),NOT(ISNUMBER(F3774))),"",MAX(0,E3774)*F3774))</f>
        <v/>
      </c>
      <c r="I3774" s="46" t="str">
        <f aca="false">IF($A3774="","",SUMIF($A$2:$A$5001,$A3774,$H$2:$H$5001))</f>
        <v/>
      </c>
      <c r="J3774" s="47" t="n">
        <f aca="false">IF($A3774="",0,IF(COUNTIF($A$2:A3774,$A3774)=1,1,0))</f>
        <v>0</v>
      </c>
      <c r="K3774" s="47" t="n">
        <f aca="false">IF(J3774=1,N(I3774)+ROW()/10000000,0)</f>
        <v>0</v>
      </c>
      <c r="L3774" s="47" t="str">
        <f aca="false">IF(AND(J3774=1,N(I3774)&gt;0),SUMIF($K$2:$K$5001,"&gt;="&amp;K3774,$I$2:$I$5001)/MAX(1,SUM($H$2:$H$5001)),"")</f>
        <v/>
      </c>
      <c r="M3774" s="47" t="str">
        <f aca="false">IF($A3774="","",INDEX($L$2:$L$5001,MATCH($A3774,$A$2:$A$5001,0)))</f>
        <v/>
      </c>
      <c r="N3774" s="48" t="str">
        <f aca="false">IF($A3774="","",IF(N(M3774)=0,"–",IF(M3774&lt;=Start!$D$20,"A",IF(M3774&lt;=Start!$D$21,"B","C"))))</f>
        <v/>
      </c>
      <c r="O3774" s="48" t="str">
        <f aca="false">IF($A3774="","",IF(NOT(ISNUMBER(F3774)),"Wert fehlt; ",IF(F3774&lt;=0,"Wert ist 0; ",""))&amp;IF(NOT(ISNUMBER(E3774)),"Bestand fehlt; ",IF(E3774&lt;0,"Bestand negativ; ",IF(E3774=0,"Nullbestand; ","")))&amp;IF(D3774="","Warengruppe fehlt; ","")&amp;IF(B3774="","Bezeichnung fehlt; ","")&amp;IF(COUNTIFS($A$2:$A$5001,$A3774,$C$2:$C$5001,C3774)&gt;1,"Artikel doppelt im selben Lager; ",""))</f>
        <v/>
      </c>
      <c r="P3774" s="47" t="n">
        <f aca="false">IF(OR($A3774="",D3774=""),0,IF(COUNTIF($D$2:D3774,D3774)=1,SUMIF($D$2:$D$5001,D3774,$H$2:$H$5001)+ROW()/10000000,0))</f>
        <v>0</v>
      </c>
      <c r="Q3774" s="47" t="n">
        <f aca="false">IF(OR($A3774="",C3774=""),0,IF(COUNTIF($C$2:C3774,C3774)=1,SUMIF($C$2:$C$5001,C3774,$H$2:$H$5001)+ROW()/10000000,0))</f>
        <v>0</v>
      </c>
    </row>
    <row r="3775" customFormat="false" ht="15" hidden="false" customHeight="false" outlineLevel="0" collapsed="false">
      <c r="A3775" s="43"/>
      <c r="B3775" s="44"/>
      <c r="C3775" s="44"/>
      <c r="D3775" s="44"/>
      <c r="E3775" s="44"/>
      <c r="F3775" s="44"/>
      <c r="G3775" s="44"/>
      <c r="H3775" s="46" t="str">
        <f aca="false">IF($A3775="","",IF(OR(NOT(ISNUMBER(E3775)),NOT(ISNUMBER(F3775))),"",MAX(0,E3775)*F3775))</f>
        <v/>
      </c>
      <c r="I3775" s="46" t="str">
        <f aca="false">IF($A3775="","",SUMIF($A$2:$A$5001,$A3775,$H$2:$H$5001))</f>
        <v/>
      </c>
      <c r="J3775" s="47" t="n">
        <f aca="false">IF($A3775="",0,IF(COUNTIF($A$2:A3775,$A3775)=1,1,0))</f>
        <v>0</v>
      </c>
      <c r="K3775" s="47" t="n">
        <f aca="false">IF(J3775=1,N(I3775)+ROW()/10000000,0)</f>
        <v>0</v>
      </c>
      <c r="L3775" s="47" t="str">
        <f aca="false">IF(AND(J3775=1,N(I3775)&gt;0),SUMIF($K$2:$K$5001,"&gt;="&amp;K3775,$I$2:$I$5001)/MAX(1,SUM($H$2:$H$5001)),"")</f>
        <v/>
      </c>
      <c r="M3775" s="47" t="str">
        <f aca="false">IF($A3775="","",INDEX($L$2:$L$5001,MATCH($A3775,$A$2:$A$5001,0)))</f>
        <v/>
      </c>
      <c r="N3775" s="48" t="str">
        <f aca="false">IF($A3775="","",IF(N(M3775)=0,"–",IF(M3775&lt;=Start!$D$20,"A",IF(M3775&lt;=Start!$D$21,"B","C"))))</f>
        <v/>
      </c>
      <c r="O3775" s="48" t="str">
        <f aca="false">IF($A3775="","",IF(NOT(ISNUMBER(F3775)),"Wert fehlt; ",IF(F3775&lt;=0,"Wert ist 0; ",""))&amp;IF(NOT(ISNUMBER(E3775)),"Bestand fehlt; ",IF(E3775&lt;0,"Bestand negativ; ",IF(E3775=0,"Nullbestand; ","")))&amp;IF(D3775="","Warengruppe fehlt; ","")&amp;IF(B3775="","Bezeichnung fehlt; ","")&amp;IF(COUNTIFS($A$2:$A$5001,$A3775,$C$2:$C$5001,C3775)&gt;1,"Artikel doppelt im selben Lager; ",""))</f>
        <v/>
      </c>
      <c r="P3775" s="47" t="n">
        <f aca="false">IF(OR($A3775="",D3775=""),0,IF(COUNTIF($D$2:D3775,D3775)=1,SUMIF($D$2:$D$5001,D3775,$H$2:$H$5001)+ROW()/10000000,0))</f>
        <v>0</v>
      </c>
      <c r="Q3775" s="47" t="n">
        <f aca="false">IF(OR($A3775="",C3775=""),0,IF(COUNTIF($C$2:C3775,C3775)=1,SUMIF($C$2:$C$5001,C3775,$H$2:$H$5001)+ROW()/10000000,0))</f>
        <v>0</v>
      </c>
    </row>
    <row r="3776" customFormat="false" ht="15" hidden="false" customHeight="false" outlineLevel="0" collapsed="false">
      <c r="A3776" s="43"/>
      <c r="B3776" s="44"/>
      <c r="C3776" s="44"/>
      <c r="D3776" s="44"/>
      <c r="E3776" s="44"/>
      <c r="F3776" s="44"/>
      <c r="G3776" s="44"/>
      <c r="H3776" s="46" t="str">
        <f aca="false">IF($A3776="","",IF(OR(NOT(ISNUMBER(E3776)),NOT(ISNUMBER(F3776))),"",MAX(0,E3776)*F3776))</f>
        <v/>
      </c>
      <c r="I3776" s="46" t="str">
        <f aca="false">IF($A3776="","",SUMIF($A$2:$A$5001,$A3776,$H$2:$H$5001))</f>
        <v/>
      </c>
      <c r="J3776" s="47" t="n">
        <f aca="false">IF($A3776="",0,IF(COUNTIF($A$2:A3776,$A3776)=1,1,0))</f>
        <v>0</v>
      </c>
      <c r="K3776" s="47" t="n">
        <f aca="false">IF(J3776=1,N(I3776)+ROW()/10000000,0)</f>
        <v>0</v>
      </c>
      <c r="L3776" s="47" t="str">
        <f aca="false">IF(AND(J3776=1,N(I3776)&gt;0),SUMIF($K$2:$K$5001,"&gt;="&amp;K3776,$I$2:$I$5001)/MAX(1,SUM($H$2:$H$5001)),"")</f>
        <v/>
      </c>
      <c r="M3776" s="47" t="str">
        <f aca="false">IF($A3776="","",INDEX($L$2:$L$5001,MATCH($A3776,$A$2:$A$5001,0)))</f>
        <v/>
      </c>
      <c r="N3776" s="48" t="str">
        <f aca="false">IF($A3776="","",IF(N(M3776)=0,"–",IF(M3776&lt;=Start!$D$20,"A",IF(M3776&lt;=Start!$D$21,"B","C"))))</f>
        <v/>
      </c>
      <c r="O3776" s="48" t="str">
        <f aca="false">IF($A3776="","",IF(NOT(ISNUMBER(F3776)),"Wert fehlt; ",IF(F3776&lt;=0,"Wert ist 0; ",""))&amp;IF(NOT(ISNUMBER(E3776)),"Bestand fehlt; ",IF(E3776&lt;0,"Bestand negativ; ",IF(E3776=0,"Nullbestand; ","")))&amp;IF(D3776="","Warengruppe fehlt; ","")&amp;IF(B3776="","Bezeichnung fehlt; ","")&amp;IF(COUNTIFS($A$2:$A$5001,$A3776,$C$2:$C$5001,C3776)&gt;1,"Artikel doppelt im selben Lager; ",""))</f>
        <v/>
      </c>
      <c r="P3776" s="47" t="n">
        <f aca="false">IF(OR($A3776="",D3776=""),0,IF(COUNTIF($D$2:D3776,D3776)=1,SUMIF($D$2:$D$5001,D3776,$H$2:$H$5001)+ROW()/10000000,0))</f>
        <v>0</v>
      </c>
      <c r="Q3776" s="47" t="n">
        <f aca="false">IF(OR($A3776="",C3776=""),0,IF(COUNTIF($C$2:C3776,C3776)=1,SUMIF($C$2:$C$5001,C3776,$H$2:$H$5001)+ROW()/10000000,0))</f>
        <v>0</v>
      </c>
    </row>
    <row r="3777" customFormat="false" ht="15" hidden="false" customHeight="false" outlineLevel="0" collapsed="false">
      <c r="A3777" s="43"/>
      <c r="B3777" s="44"/>
      <c r="C3777" s="44"/>
      <c r="D3777" s="44"/>
      <c r="E3777" s="44"/>
      <c r="F3777" s="44"/>
      <c r="G3777" s="44"/>
      <c r="H3777" s="46" t="str">
        <f aca="false">IF($A3777="","",IF(OR(NOT(ISNUMBER(E3777)),NOT(ISNUMBER(F3777))),"",MAX(0,E3777)*F3777))</f>
        <v/>
      </c>
      <c r="I3777" s="46" t="str">
        <f aca="false">IF($A3777="","",SUMIF($A$2:$A$5001,$A3777,$H$2:$H$5001))</f>
        <v/>
      </c>
      <c r="J3777" s="47" t="n">
        <f aca="false">IF($A3777="",0,IF(COUNTIF($A$2:A3777,$A3777)=1,1,0))</f>
        <v>0</v>
      </c>
      <c r="K3777" s="47" t="n">
        <f aca="false">IF(J3777=1,N(I3777)+ROW()/10000000,0)</f>
        <v>0</v>
      </c>
      <c r="L3777" s="47" t="str">
        <f aca="false">IF(AND(J3777=1,N(I3777)&gt;0),SUMIF($K$2:$K$5001,"&gt;="&amp;K3777,$I$2:$I$5001)/MAX(1,SUM($H$2:$H$5001)),"")</f>
        <v/>
      </c>
      <c r="M3777" s="47" t="str">
        <f aca="false">IF($A3777="","",INDEX($L$2:$L$5001,MATCH($A3777,$A$2:$A$5001,0)))</f>
        <v/>
      </c>
      <c r="N3777" s="48" t="str">
        <f aca="false">IF($A3777="","",IF(N(M3777)=0,"–",IF(M3777&lt;=Start!$D$20,"A",IF(M3777&lt;=Start!$D$21,"B","C"))))</f>
        <v/>
      </c>
      <c r="O3777" s="48" t="str">
        <f aca="false">IF($A3777="","",IF(NOT(ISNUMBER(F3777)),"Wert fehlt; ",IF(F3777&lt;=0,"Wert ist 0; ",""))&amp;IF(NOT(ISNUMBER(E3777)),"Bestand fehlt; ",IF(E3777&lt;0,"Bestand negativ; ",IF(E3777=0,"Nullbestand; ","")))&amp;IF(D3777="","Warengruppe fehlt; ","")&amp;IF(B3777="","Bezeichnung fehlt; ","")&amp;IF(COUNTIFS($A$2:$A$5001,$A3777,$C$2:$C$5001,C3777)&gt;1,"Artikel doppelt im selben Lager; ",""))</f>
        <v/>
      </c>
      <c r="P3777" s="47" t="n">
        <f aca="false">IF(OR($A3777="",D3777=""),0,IF(COUNTIF($D$2:D3777,D3777)=1,SUMIF($D$2:$D$5001,D3777,$H$2:$H$5001)+ROW()/10000000,0))</f>
        <v>0</v>
      </c>
      <c r="Q3777" s="47" t="n">
        <f aca="false">IF(OR($A3777="",C3777=""),0,IF(COUNTIF($C$2:C3777,C3777)=1,SUMIF($C$2:$C$5001,C3777,$H$2:$H$5001)+ROW()/10000000,0))</f>
        <v>0</v>
      </c>
    </row>
    <row r="3778" customFormat="false" ht="15" hidden="false" customHeight="false" outlineLevel="0" collapsed="false">
      <c r="A3778" s="43"/>
      <c r="B3778" s="44"/>
      <c r="C3778" s="44"/>
      <c r="D3778" s="44"/>
      <c r="E3778" s="44"/>
      <c r="F3778" s="44"/>
      <c r="G3778" s="44"/>
      <c r="H3778" s="46" t="str">
        <f aca="false">IF($A3778="","",IF(OR(NOT(ISNUMBER(E3778)),NOT(ISNUMBER(F3778))),"",MAX(0,E3778)*F3778))</f>
        <v/>
      </c>
      <c r="I3778" s="46" t="str">
        <f aca="false">IF($A3778="","",SUMIF($A$2:$A$5001,$A3778,$H$2:$H$5001))</f>
        <v/>
      </c>
      <c r="J3778" s="47" t="n">
        <f aca="false">IF($A3778="",0,IF(COUNTIF($A$2:A3778,$A3778)=1,1,0))</f>
        <v>0</v>
      </c>
      <c r="K3778" s="47" t="n">
        <f aca="false">IF(J3778=1,N(I3778)+ROW()/10000000,0)</f>
        <v>0</v>
      </c>
      <c r="L3778" s="47" t="str">
        <f aca="false">IF(AND(J3778=1,N(I3778)&gt;0),SUMIF($K$2:$K$5001,"&gt;="&amp;K3778,$I$2:$I$5001)/MAX(1,SUM($H$2:$H$5001)),"")</f>
        <v/>
      </c>
      <c r="M3778" s="47" t="str">
        <f aca="false">IF($A3778="","",INDEX($L$2:$L$5001,MATCH($A3778,$A$2:$A$5001,0)))</f>
        <v/>
      </c>
      <c r="N3778" s="48" t="str">
        <f aca="false">IF($A3778="","",IF(N(M3778)=0,"–",IF(M3778&lt;=Start!$D$20,"A",IF(M3778&lt;=Start!$D$21,"B","C"))))</f>
        <v/>
      </c>
      <c r="O3778" s="48" t="str">
        <f aca="false">IF($A3778="","",IF(NOT(ISNUMBER(F3778)),"Wert fehlt; ",IF(F3778&lt;=0,"Wert ist 0; ",""))&amp;IF(NOT(ISNUMBER(E3778)),"Bestand fehlt; ",IF(E3778&lt;0,"Bestand negativ; ",IF(E3778=0,"Nullbestand; ","")))&amp;IF(D3778="","Warengruppe fehlt; ","")&amp;IF(B3778="","Bezeichnung fehlt; ","")&amp;IF(COUNTIFS($A$2:$A$5001,$A3778,$C$2:$C$5001,C3778)&gt;1,"Artikel doppelt im selben Lager; ",""))</f>
        <v/>
      </c>
      <c r="P3778" s="47" t="n">
        <f aca="false">IF(OR($A3778="",D3778=""),0,IF(COUNTIF($D$2:D3778,D3778)=1,SUMIF($D$2:$D$5001,D3778,$H$2:$H$5001)+ROW()/10000000,0))</f>
        <v>0</v>
      </c>
      <c r="Q3778" s="47" t="n">
        <f aca="false">IF(OR($A3778="",C3778=""),0,IF(COUNTIF($C$2:C3778,C3778)=1,SUMIF($C$2:$C$5001,C3778,$H$2:$H$5001)+ROW()/10000000,0))</f>
        <v>0</v>
      </c>
    </row>
    <row r="3779" customFormat="false" ht="15" hidden="false" customHeight="false" outlineLevel="0" collapsed="false">
      <c r="A3779" s="43"/>
      <c r="B3779" s="44"/>
      <c r="C3779" s="44"/>
      <c r="D3779" s="44"/>
      <c r="E3779" s="44"/>
      <c r="F3779" s="44"/>
      <c r="G3779" s="44"/>
      <c r="H3779" s="46" t="str">
        <f aca="false">IF($A3779="","",IF(OR(NOT(ISNUMBER(E3779)),NOT(ISNUMBER(F3779))),"",MAX(0,E3779)*F3779))</f>
        <v/>
      </c>
      <c r="I3779" s="46" t="str">
        <f aca="false">IF($A3779="","",SUMIF($A$2:$A$5001,$A3779,$H$2:$H$5001))</f>
        <v/>
      </c>
      <c r="J3779" s="47" t="n">
        <f aca="false">IF($A3779="",0,IF(COUNTIF($A$2:A3779,$A3779)=1,1,0))</f>
        <v>0</v>
      </c>
      <c r="K3779" s="47" t="n">
        <f aca="false">IF(J3779=1,N(I3779)+ROW()/10000000,0)</f>
        <v>0</v>
      </c>
      <c r="L3779" s="47" t="str">
        <f aca="false">IF(AND(J3779=1,N(I3779)&gt;0),SUMIF($K$2:$K$5001,"&gt;="&amp;K3779,$I$2:$I$5001)/MAX(1,SUM($H$2:$H$5001)),"")</f>
        <v/>
      </c>
      <c r="M3779" s="47" t="str">
        <f aca="false">IF($A3779="","",INDEX($L$2:$L$5001,MATCH($A3779,$A$2:$A$5001,0)))</f>
        <v/>
      </c>
      <c r="N3779" s="48" t="str">
        <f aca="false">IF($A3779="","",IF(N(M3779)=0,"–",IF(M3779&lt;=Start!$D$20,"A",IF(M3779&lt;=Start!$D$21,"B","C"))))</f>
        <v/>
      </c>
      <c r="O3779" s="48" t="str">
        <f aca="false">IF($A3779="","",IF(NOT(ISNUMBER(F3779)),"Wert fehlt; ",IF(F3779&lt;=0,"Wert ist 0; ",""))&amp;IF(NOT(ISNUMBER(E3779)),"Bestand fehlt; ",IF(E3779&lt;0,"Bestand negativ; ",IF(E3779=0,"Nullbestand; ","")))&amp;IF(D3779="","Warengruppe fehlt; ","")&amp;IF(B3779="","Bezeichnung fehlt; ","")&amp;IF(COUNTIFS($A$2:$A$5001,$A3779,$C$2:$C$5001,C3779)&gt;1,"Artikel doppelt im selben Lager; ",""))</f>
        <v/>
      </c>
      <c r="P3779" s="47" t="n">
        <f aca="false">IF(OR($A3779="",D3779=""),0,IF(COUNTIF($D$2:D3779,D3779)=1,SUMIF($D$2:$D$5001,D3779,$H$2:$H$5001)+ROW()/10000000,0))</f>
        <v>0</v>
      </c>
      <c r="Q3779" s="47" t="n">
        <f aca="false">IF(OR($A3779="",C3779=""),0,IF(COUNTIF($C$2:C3779,C3779)=1,SUMIF($C$2:$C$5001,C3779,$H$2:$H$5001)+ROW()/10000000,0))</f>
        <v>0</v>
      </c>
    </row>
    <row r="3780" customFormat="false" ht="15" hidden="false" customHeight="false" outlineLevel="0" collapsed="false">
      <c r="A3780" s="43"/>
      <c r="B3780" s="44"/>
      <c r="C3780" s="44"/>
      <c r="D3780" s="44"/>
      <c r="E3780" s="44"/>
      <c r="F3780" s="44"/>
      <c r="G3780" s="44"/>
      <c r="H3780" s="46" t="str">
        <f aca="false">IF($A3780="","",IF(OR(NOT(ISNUMBER(E3780)),NOT(ISNUMBER(F3780))),"",MAX(0,E3780)*F3780))</f>
        <v/>
      </c>
      <c r="I3780" s="46" t="str">
        <f aca="false">IF($A3780="","",SUMIF($A$2:$A$5001,$A3780,$H$2:$H$5001))</f>
        <v/>
      </c>
      <c r="J3780" s="47" t="n">
        <f aca="false">IF($A3780="",0,IF(COUNTIF($A$2:A3780,$A3780)=1,1,0))</f>
        <v>0</v>
      </c>
      <c r="K3780" s="47" t="n">
        <f aca="false">IF(J3780=1,N(I3780)+ROW()/10000000,0)</f>
        <v>0</v>
      </c>
      <c r="L3780" s="47" t="str">
        <f aca="false">IF(AND(J3780=1,N(I3780)&gt;0),SUMIF($K$2:$K$5001,"&gt;="&amp;K3780,$I$2:$I$5001)/MAX(1,SUM($H$2:$H$5001)),"")</f>
        <v/>
      </c>
      <c r="M3780" s="47" t="str">
        <f aca="false">IF($A3780="","",INDEX($L$2:$L$5001,MATCH($A3780,$A$2:$A$5001,0)))</f>
        <v/>
      </c>
      <c r="N3780" s="48" t="str">
        <f aca="false">IF($A3780="","",IF(N(M3780)=0,"–",IF(M3780&lt;=Start!$D$20,"A",IF(M3780&lt;=Start!$D$21,"B","C"))))</f>
        <v/>
      </c>
      <c r="O3780" s="48" t="str">
        <f aca="false">IF($A3780="","",IF(NOT(ISNUMBER(F3780)),"Wert fehlt; ",IF(F3780&lt;=0,"Wert ist 0; ",""))&amp;IF(NOT(ISNUMBER(E3780)),"Bestand fehlt; ",IF(E3780&lt;0,"Bestand negativ; ",IF(E3780=0,"Nullbestand; ","")))&amp;IF(D3780="","Warengruppe fehlt; ","")&amp;IF(B3780="","Bezeichnung fehlt; ","")&amp;IF(COUNTIFS($A$2:$A$5001,$A3780,$C$2:$C$5001,C3780)&gt;1,"Artikel doppelt im selben Lager; ",""))</f>
        <v/>
      </c>
      <c r="P3780" s="47" t="n">
        <f aca="false">IF(OR($A3780="",D3780=""),0,IF(COUNTIF($D$2:D3780,D3780)=1,SUMIF($D$2:$D$5001,D3780,$H$2:$H$5001)+ROW()/10000000,0))</f>
        <v>0</v>
      </c>
      <c r="Q3780" s="47" t="n">
        <f aca="false">IF(OR($A3780="",C3780=""),0,IF(COUNTIF($C$2:C3780,C3780)=1,SUMIF($C$2:$C$5001,C3780,$H$2:$H$5001)+ROW()/10000000,0))</f>
        <v>0</v>
      </c>
    </row>
    <row r="3781" customFormat="false" ht="15" hidden="false" customHeight="false" outlineLevel="0" collapsed="false">
      <c r="A3781" s="43"/>
      <c r="B3781" s="44"/>
      <c r="C3781" s="44"/>
      <c r="D3781" s="44"/>
      <c r="E3781" s="44"/>
      <c r="F3781" s="44"/>
      <c r="G3781" s="44"/>
      <c r="H3781" s="46" t="str">
        <f aca="false">IF($A3781="","",IF(OR(NOT(ISNUMBER(E3781)),NOT(ISNUMBER(F3781))),"",MAX(0,E3781)*F3781))</f>
        <v/>
      </c>
      <c r="I3781" s="46" t="str">
        <f aca="false">IF($A3781="","",SUMIF($A$2:$A$5001,$A3781,$H$2:$H$5001))</f>
        <v/>
      </c>
      <c r="J3781" s="47" t="n">
        <f aca="false">IF($A3781="",0,IF(COUNTIF($A$2:A3781,$A3781)=1,1,0))</f>
        <v>0</v>
      </c>
      <c r="K3781" s="47" t="n">
        <f aca="false">IF(J3781=1,N(I3781)+ROW()/10000000,0)</f>
        <v>0</v>
      </c>
      <c r="L3781" s="47" t="str">
        <f aca="false">IF(AND(J3781=1,N(I3781)&gt;0),SUMIF($K$2:$K$5001,"&gt;="&amp;K3781,$I$2:$I$5001)/MAX(1,SUM($H$2:$H$5001)),"")</f>
        <v/>
      </c>
      <c r="M3781" s="47" t="str">
        <f aca="false">IF($A3781="","",INDEX($L$2:$L$5001,MATCH($A3781,$A$2:$A$5001,0)))</f>
        <v/>
      </c>
      <c r="N3781" s="48" t="str">
        <f aca="false">IF($A3781="","",IF(N(M3781)=0,"–",IF(M3781&lt;=Start!$D$20,"A",IF(M3781&lt;=Start!$D$21,"B","C"))))</f>
        <v/>
      </c>
      <c r="O3781" s="48" t="str">
        <f aca="false">IF($A3781="","",IF(NOT(ISNUMBER(F3781)),"Wert fehlt; ",IF(F3781&lt;=0,"Wert ist 0; ",""))&amp;IF(NOT(ISNUMBER(E3781)),"Bestand fehlt; ",IF(E3781&lt;0,"Bestand negativ; ",IF(E3781=0,"Nullbestand; ","")))&amp;IF(D3781="","Warengruppe fehlt; ","")&amp;IF(B3781="","Bezeichnung fehlt; ","")&amp;IF(COUNTIFS($A$2:$A$5001,$A3781,$C$2:$C$5001,C3781)&gt;1,"Artikel doppelt im selben Lager; ",""))</f>
        <v/>
      </c>
      <c r="P3781" s="47" t="n">
        <f aca="false">IF(OR($A3781="",D3781=""),0,IF(COUNTIF($D$2:D3781,D3781)=1,SUMIF($D$2:$D$5001,D3781,$H$2:$H$5001)+ROW()/10000000,0))</f>
        <v>0</v>
      </c>
      <c r="Q3781" s="47" t="n">
        <f aca="false">IF(OR($A3781="",C3781=""),0,IF(COUNTIF($C$2:C3781,C3781)=1,SUMIF($C$2:$C$5001,C3781,$H$2:$H$5001)+ROW()/10000000,0))</f>
        <v>0</v>
      </c>
    </row>
    <row r="3782" customFormat="false" ht="15" hidden="false" customHeight="false" outlineLevel="0" collapsed="false">
      <c r="A3782" s="43"/>
      <c r="B3782" s="44"/>
      <c r="C3782" s="44"/>
      <c r="D3782" s="44"/>
      <c r="E3782" s="44"/>
      <c r="F3782" s="44"/>
      <c r="G3782" s="44"/>
      <c r="H3782" s="46" t="str">
        <f aca="false">IF($A3782="","",IF(OR(NOT(ISNUMBER(E3782)),NOT(ISNUMBER(F3782))),"",MAX(0,E3782)*F3782))</f>
        <v/>
      </c>
      <c r="I3782" s="46" t="str">
        <f aca="false">IF($A3782="","",SUMIF($A$2:$A$5001,$A3782,$H$2:$H$5001))</f>
        <v/>
      </c>
      <c r="J3782" s="47" t="n">
        <f aca="false">IF($A3782="",0,IF(COUNTIF($A$2:A3782,$A3782)=1,1,0))</f>
        <v>0</v>
      </c>
      <c r="K3782" s="47" t="n">
        <f aca="false">IF(J3782=1,N(I3782)+ROW()/10000000,0)</f>
        <v>0</v>
      </c>
      <c r="L3782" s="47" t="str">
        <f aca="false">IF(AND(J3782=1,N(I3782)&gt;0),SUMIF($K$2:$K$5001,"&gt;="&amp;K3782,$I$2:$I$5001)/MAX(1,SUM($H$2:$H$5001)),"")</f>
        <v/>
      </c>
      <c r="M3782" s="47" t="str">
        <f aca="false">IF($A3782="","",INDEX($L$2:$L$5001,MATCH($A3782,$A$2:$A$5001,0)))</f>
        <v/>
      </c>
      <c r="N3782" s="48" t="str">
        <f aca="false">IF($A3782="","",IF(N(M3782)=0,"–",IF(M3782&lt;=Start!$D$20,"A",IF(M3782&lt;=Start!$D$21,"B","C"))))</f>
        <v/>
      </c>
      <c r="O3782" s="48" t="str">
        <f aca="false">IF($A3782="","",IF(NOT(ISNUMBER(F3782)),"Wert fehlt; ",IF(F3782&lt;=0,"Wert ist 0; ",""))&amp;IF(NOT(ISNUMBER(E3782)),"Bestand fehlt; ",IF(E3782&lt;0,"Bestand negativ; ",IF(E3782=0,"Nullbestand; ","")))&amp;IF(D3782="","Warengruppe fehlt; ","")&amp;IF(B3782="","Bezeichnung fehlt; ","")&amp;IF(COUNTIFS($A$2:$A$5001,$A3782,$C$2:$C$5001,C3782)&gt;1,"Artikel doppelt im selben Lager; ",""))</f>
        <v/>
      </c>
      <c r="P3782" s="47" t="n">
        <f aca="false">IF(OR($A3782="",D3782=""),0,IF(COUNTIF($D$2:D3782,D3782)=1,SUMIF($D$2:$D$5001,D3782,$H$2:$H$5001)+ROW()/10000000,0))</f>
        <v>0</v>
      </c>
      <c r="Q3782" s="47" t="n">
        <f aca="false">IF(OR($A3782="",C3782=""),0,IF(COUNTIF($C$2:C3782,C3782)=1,SUMIF($C$2:$C$5001,C3782,$H$2:$H$5001)+ROW()/10000000,0))</f>
        <v>0</v>
      </c>
    </row>
    <row r="3783" customFormat="false" ht="15" hidden="false" customHeight="false" outlineLevel="0" collapsed="false">
      <c r="A3783" s="43"/>
      <c r="B3783" s="44"/>
      <c r="C3783" s="44"/>
      <c r="D3783" s="44"/>
      <c r="E3783" s="44"/>
      <c r="F3783" s="44"/>
      <c r="G3783" s="44"/>
      <c r="H3783" s="46" t="str">
        <f aca="false">IF($A3783="","",IF(OR(NOT(ISNUMBER(E3783)),NOT(ISNUMBER(F3783))),"",MAX(0,E3783)*F3783))</f>
        <v/>
      </c>
      <c r="I3783" s="46" t="str">
        <f aca="false">IF($A3783="","",SUMIF($A$2:$A$5001,$A3783,$H$2:$H$5001))</f>
        <v/>
      </c>
      <c r="J3783" s="47" t="n">
        <f aca="false">IF($A3783="",0,IF(COUNTIF($A$2:A3783,$A3783)=1,1,0))</f>
        <v>0</v>
      </c>
      <c r="K3783" s="47" t="n">
        <f aca="false">IF(J3783=1,N(I3783)+ROW()/10000000,0)</f>
        <v>0</v>
      </c>
      <c r="L3783" s="47" t="str">
        <f aca="false">IF(AND(J3783=1,N(I3783)&gt;0),SUMIF($K$2:$K$5001,"&gt;="&amp;K3783,$I$2:$I$5001)/MAX(1,SUM($H$2:$H$5001)),"")</f>
        <v/>
      </c>
      <c r="M3783" s="47" t="str">
        <f aca="false">IF($A3783="","",INDEX($L$2:$L$5001,MATCH($A3783,$A$2:$A$5001,0)))</f>
        <v/>
      </c>
      <c r="N3783" s="48" t="str">
        <f aca="false">IF($A3783="","",IF(N(M3783)=0,"–",IF(M3783&lt;=Start!$D$20,"A",IF(M3783&lt;=Start!$D$21,"B","C"))))</f>
        <v/>
      </c>
      <c r="O3783" s="48" t="str">
        <f aca="false">IF($A3783="","",IF(NOT(ISNUMBER(F3783)),"Wert fehlt; ",IF(F3783&lt;=0,"Wert ist 0; ",""))&amp;IF(NOT(ISNUMBER(E3783)),"Bestand fehlt; ",IF(E3783&lt;0,"Bestand negativ; ",IF(E3783=0,"Nullbestand; ","")))&amp;IF(D3783="","Warengruppe fehlt; ","")&amp;IF(B3783="","Bezeichnung fehlt; ","")&amp;IF(COUNTIFS($A$2:$A$5001,$A3783,$C$2:$C$5001,C3783)&gt;1,"Artikel doppelt im selben Lager; ",""))</f>
        <v/>
      </c>
      <c r="P3783" s="47" t="n">
        <f aca="false">IF(OR($A3783="",D3783=""),0,IF(COUNTIF($D$2:D3783,D3783)=1,SUMIF($D$2:$D$5001,D3783,$H$2:$H$5001)+ROW()/10000000,0))</f>
        <v>0</v>
      </c>
      <c r="Q3783" s="47" t="n">
        <f aca="false">IF(OR($A3783="",C3783=""),0,IF(COUNTIF($C$2:C3783,C3783)=1,SUMIF($C$2:$C$5001,C3783,$H$2:$H$5001)+ROW()/10000000,0))</f>
        <v>0</v>
      </c>
    </row>
    <row r="3784" customFormat="false" ht="15" hidden="false" customHeight="false" outlineLevel="0" collapsed="false">
      <c r="A3784" s="43"/>
      <c r="B3784" s="44"/>
      <c r="C3784" s="44"/>
      <c r="D3784" s="44"/>
      <c r="E3784" s="44"/>
      <c r="F3784" s="44"/>
      <c r="G3784" s="44"/>
      <c r="H3784" s="46" t="str">
        <f aca="false">IF($A3784="","",IF(OR(NOT(ISNUMBER(E3784)),NOT(ISNUMBER(F3784))),"",MAX(0,E3784)*F3784))</f>
        <v/>
      </c>
      <c r="I3784" s="46" t="str">
        <f aca="false">IF($A3784="","",SUMIF($A$2:$A$5001,$A3784,$H$2:$H$5001))</f>
        <v/>
      </c>
      <c r="J3784" s="47" t="n">
        <f aca="false">IF($A3784="",0,IF(COUNTIF($A$2:A3784,$A3784)=1,1,0))</f>
        <v>0</v>
      </c>
      <c r="K3784" s="47" t="n">
        <f aca="false">IF(J3784=1,N(I3784)+ROW()/10000000,0)</f>
        <v>0</v>
      </c>
      <c r="L3784" s="47" t="str">
        <f aca="false">IF(AND(J3784=1,N(I3784)&gt;0),SUMIF($K$2:$K$5001,"&gt;="&amp;K3784,$I$2:$I$5001)/MAX(1,SUM($H$2:$H$5001)),"")</f>
        <v/>
      </c>
      <c r="M3784" s="47" t="str">
        <f aca="false">IF($A3784="","",INDEX($L$2:$L$5001,MATCH($A3784,$A$2:$A$5001,0)))</f>
        <v/>
      </c>
      <c r="N3784" s="48" t="str">
        <f aca="false">IF($A3784="","",IF(N(M3784)=0,"–",IF(M3784&lt;=Start!$D$20,"A",IF(M3784&lt;=Start!$D$21,"B","C"))))</f>
        <v/>
      </c>
      <c r="O3784" s="48" t="str">
        <f aca="false">IF($A3784="","",IF(NOT(ISNUMBER(F3784)),"Wert fehlt; ",IF(F3784&lt;=0,"Wert ist 0; ",""))&amp;IF(NOT(ISNUMBER(E3784)),"Bestand fehlt; ",IF(E3784&lt;0,"Bestand negativ; ",IF(E3784=0,"Nullbestand; ","")))&amp;IF(D3784="","Warengruppe fehlt; ","")&amp;IF(B3784="","Bezeichnung fehlt; ","")&amp;IF(COUNTIFS($A$2:$A$5001,$A3784,$C$2:$C$5001,C3784)&gt;1,"Artikel doppelt im selben Lager; ",""))</f>
        <v/>
      </c>
      <c r="P3784" s="47" t="n">
        <f aca="false">IF(OR($A3784="",D3784=""),0,IF(COUNTIF($D$2:D3784,D3784)=1,SUMIF($D$2:$D$5001,D3784,$H$2:$H$5001)+ROW()/10000000,0))</f>
        <v>0</v>
      </c>
      <c r="Q3784" s="47" t="n">
        <f aca="false">IF(OR($A3784="",C3784=""),0,IF(COUNTIF($C$2:C3784,C3784)=1,SUMIF($C$2:$C$5001,C3784,$H$2:$H$5001)+ROW()/10000000,0))</f>
        <v>0</v>
      </c>
    </row>
    <row r="3785" customFormat="false" ht="15" hidden="false" customHeight="false" outlineLevel="0" collapsed="false">
      <c r="A3785" s="43"/>
      <c r="B3785" s="44"/>
      <c r="C3785" s="44"/>
      <c r="D3785" s="44"/>
      <c r="E3785" s="44"/>
      <c r="F3785" s="44"/>
      <c r="G3785" s="44"/>
      <c r="H3785" s="46" t="str">
        <f aca="false">IF($A3785="","",IF(OR(NOT(ISNUMBER(E3785)),NOT(ISNUMBER(F3785))),"",MAX(0,E3785)*F3785))</f>
        <v/>
      </c>
      <c r="I3785" s="46" t="str">
        <f aca="false">IF($A3785="","",SUMIF($A$2:$A$5001,$A3785,$H$2:$H$5001))</f>
        <v/>
      </c>
      <c r="J3785" s="47" t="n">
        <f aca="false">IF($A3785="",0,IF(COUNTIF($A$2:A3785,$A3785)=1,1,0))</f>
        <v>0</v>
      </c>
      <c r="K3785" s="47" t="n">
        <f aca="false">IF(J3785=1,N(I3785)+ROW()/10000000,0)</f>
        <v>0</v>
      </c>
      <c r="L3785" s="47" t="str">
        <f aca="false">IF(AND(J3785=1,N(I3785)&gt;0),SUMIF($K$2:$K$5001,"&gt;="&amp;K3785,$I$2:$I$5001)/MAX(1,SUM($H$2:$H$5001)),"")</f>
        <v/>
      </c>
      <c r="M3785" s="47" t="str">
        <f aca="false">IF($A3785="","",INDEX($L$2:$L$5001,MATCH($A3785,$A$2:$A$5001,0)))</f>
        <v/>
      </c>
      <c r="N3785" s="48" t="str">
        <f aca="false">IF($A3785="","",IF(N(M3785)=0,"–",IF(M3785&lt;=Start!$D$20,"A",IF(M3785&lt;=Start!$D$21,"B","C"))))</f>
        <v/>
      </c>
      <c r="O3785" s="48" t="str">
        <f aca="false">IF($A3785="","",IF(NOT(ISNUMBER(F3785)),"Wert fehlt; ",IF(F3785&lt;=0,"Wert ist 0; ",""))&amp;IF(NOT(ISNUMBER(E3785)),"Bestand fehlt; ",IF(E3785&lt;0,"Bestand negativ; ",IF(E3785=0,"Nullbestand; ","")))&amp;IF(D3785="","Warengruppe fehlt; ","")&amp;IF(B3785="","Bezeichnung fehlt; ","")&amp;IF(COUNTIFS($A$2:$A$5001,$A3785,$C$2:$C$5001,C3785)&gt;1,"Artikel doppelt im selben Lager; ",""))</f>
        <v/>
      </c>
      <c r="P3785" s="47" t="n">
        <f aca="false">IF(OR($A3785="",D3785=""),0,IF(COUNTIF($D$2:D3785,D3785)=1,SUMIF($D$2:$D$5001,D3785,$H$2:$H$5001)+ROW()/10000000,0))</f>
        <v>0</v>
      </c>
      <c r="Q3785" s="47" t="n">
        <f aca="false">IF(OR($A3785="",C3785=""),0,IF(COUNTIF($C$2:C3785,C3785)=1,SUMIF($C$2:$C$5001,C3785,$H$2:$H$5001)+ROW()/10000000,0))</f>
        <v>0</v>
      </c>
    </row>
    <row r="3786" customFormat="false" ht="15" hidden="false" customHeight="false" outlineLevel="0" collapsed="false">
      <c r="A3786" s="43"/>
      <c r="B3786" s="44"/>
      <c r="C3786" s="44"/>
      <c r="D3786" s="44"/>
      <c r="E3786" s="44"/>
      <c r="F3786" s="44"/>
      <c r="G3786" s="44"/>
      <c r="H3786" s="46" t="str">
        <f aca="false">IF($A3786="","",IF(OR(NOT(ISNUMBER(E3786)),NOT(ISNUMBER(F3786))),"",MAX(0,E3786)*F3786))</f>
        <v/>
      </c>
      <c r="I3786" s="46" t="str">
        <f aca="false">IF($A3786="","",SUMIF($A$2:$A$5001,$A3786,$H$2:$H$5001))</f>
        <v/>
      </c>
      <c r="J3786" s="47" t="n">
        <f aca="false">IF($A3786="",0,IF(COUNTIF($A$2:A3786,$A3786)=1,1,0))</f>
        <v>0</v>
      </c>
      <c r="K3786" s="47" t="n">
        <f aca="false">IF(J3786=1,N(I3786)+ROW()/10000000,0)</f>
        <v>0</v>
      </c>
      <c r="L3786" s="47" t="str">
        <f aca="false">IF(AND(J3786=1,N(I3786)&gt;0),SUMIF($K$2:$K$5001,"&gt;="&amp;K3786,$I$2:$I$5001)/MAX(1,SUM($H$2:$H$5001)),"")</f>
        <v/>
      </c>
      <c r="M3786" s="47" t="str">
        <f aca="false">IF($A3786="","",INDEX($L$2:$L$5001,MATCH($A3786,$A$2:$A$5001,0)))</f>
        <v/>
      </c>
      <c r="N3786" s="48" t="str">
        <f aca="false">IF($A3786="","",IF(N(M3786)=0,"–",IF(M3786&lt;=Start!$D$20,"A",IF(M3786&lt;=Start!$D$21,"B","C"))))</f>
        <v/>
      </c>
      <c r="O3786" s="48" t="str">
        <f aca="false">IF($A3786="","",IF(NOT(ISNUMBER(F3786)),"Wert fehlt; ",IF(F3786&lt;=0,"Wert ist 0; ",""))&amp;IF(NOT(ISNUMBER(E3786)),"Bestand fehlt; ",IF(E3786&lt;0,"Bestand negativ; ",IF(E3786=0,"Nullbestand; ","")))&amp;IF(D3786="","Warengruppe fehlt; ","")&amp;IF(B3786="","Bezeichnung fehlt; ","")&amp;IF(COUNTIFS($A$2:$A$5001,$A3786,$C$2:$C$5001,C3786)&gt;1,"Artikel doppelt im selben Lager; ",""))</f>
        <v/>
      </c>
      <c r="P3786" s="47" t="n">
        <f aca="false">IF(OR($A3786="",D3786=""),0,IF(COUNTIF($D$2:D3786,D3786)=1,SUMIF($D$2:$D$5001,D3786,$H$2:$H$5001)+ROW()/10000000,0))</f>
        <v>0</v>
      </c>
      <c r="Q3786" s="47" t="n">
        <f aca="false">IF(OR($A3786="",C3786=""),0,IF(COUNTIF($C$2:C3786,C3786)=1,SUMIF($C$2:$C$5001,C3786,$H$2:$H$5001)+ROW()/10000000,0))</f>
        <v>0</v>
      </c>
    </row>
    <row r="3787" customFormat="false" ht="15" hidden="false" customHeight="false" outlineLevel="0" collapsed="false">
      <c r="A3787" s="43"/>
      <c r="B3787" s="44"/>
      <c r="C3787" s="44"/>
      <c r="D3787" s="44"/>
      <c r="E3787" s="44"/>
      <c r="F3787" s="44"/>
      <c r="G3787" s="44"/>
      <c r="H3787" s="46" t="str">
        <f aca="false">IF($A3787="","",IF(OR(NOT(ISNUMBER(E3787)),NOT(ISNUMBER(F3787))),"",MAX(0,E3787)*F3787))</f>
        <v/>
      </c>
      <c r="I3787" s="46" t="str">
        <f aca="false">IF($A3787="","",SUMIF($A$2:$A$5001,$A3787,$H$2:$H$5001))</f>
        <v/>
      </c>
      <c r="J3787" s="47" t="n">
        <f aca="false">IF($A3787="",0,IF(COUNTIF($A$2:A3787,$A3787)=1,1,0))</f>
        <v>0</v>
      </c>
      <c r="K3787" s="47" t="n">
        <f aca="false">IF(J3787=1,N(I3787)+ROW()/10000000,0)</f>
        <v>0</v>
      </c>
      <c r="L3787" s="47" t="str">
        <f aca="false">IF(AND(J3787=1,N(I3787)&gt;0),SUMIF($K$2:$K$5001,"&gt;="&amp;K3787,$I$2:$I$5001)/MAX(1,SUM($H$2:$H$5001)),"")</f>
        <v/>
      </c>
      <c r="M3787" s="47" t="str">
        <f aca="false">IF($A3787="","",INDEX($L$2:$L$5001,MATCH($A3787,$A$2:$A$5001,0)))</f>
        <v/>
      </c>
      <c r="N3787" s="48" t="str">
        <f aca="false">IF($A3787="","",IF(N(M3787)=0,"–",IF(M3787&lt;=Start!$D$20,"A",IF(M3787&lt;=Start!$D$21,"B","C"))))</f>
        <v/>
      </c>
      <c r="O3787" s="48" t="str">
        <f aca="false">IF($A3787="","",IF(NOT(ISNUMBER(F3787)),"Wert fehlt; ",IF(F3787&lt;=0,"Wert ist 0; ",""))&amp;IF(NOT(ISNUMBER(E3787)),"Bestand fehlt; ",IF(E3787&lt;0,"Bestand negativ; ",IF(E3787=0,"Nullbestand; ","")))&amp;IF(D3787="","Warengruppe fehlt; ","")&amp;IF(B3787="","Bezeichnung fehlt; ","")&amp;IF(COUNTIFS($A$2:$A$5001,$A3787,$C$2:$C$5001,C3787)&gt;1,"Artikel doppelt im selben Lager; ",""))</f>
        <v/>
      </c>
      <c r="P3787" s="47" t="n">
        <f aca="false">IF(OR($A3787="",D3787=""),0,IF(COUNTIF($D$2:D3787,D3787)=1,SUMIF($D$2:$D$5001,D3787,$H$2:$H$5001)+ROW()/10000000,0))</f>
        <v>0</v>
      </c>
      <c r="Q3787" s="47" t="n">
        <f aca="false">IF(OR($A3787="",C3787=""),0,IF(COUNTIF($C$2:C3787,C3787)=1,SUMIF($C$2:$C$5001,C3787,$H$2:$H$5001)+ROW()/10000000,0))</f>
        <v>0</v>
      </c>
    </row>
    <row r="3788" customFormat="false" ht="15" hidden="false" customHeight="false" outlineLevel="0" collapsed="false">
      <c r="A3788" s="43"/>
      <c r="B3788" s="44"/>
      <c r="C3788" s="44"/>
      <c r="D3788" s="44"/>
      <c r="E3788" s="44"/>
      <c r="F3788" s="44"/>
      <c r="G3788" s="44"/>
      <c r="H3788" s="46" t="str">
        <f aca="false">IF($A3788="","",IF(OR(NOT(ISNUMBER(E3788)),NOT(ISNUMBER(F3788))),"",MAX(0,E3788)*F3788))</f>
        <v/>
      </c>
      <c r="I3788" s="46" t="str">
        <f aca="false">IF($A3788="","",SUMIF($A$2:$A$5001,$A3788,$H$2:$H$5001))</f>
        <v/>
      </c>
      <c r="J3788" s="47" t="n">
        <f aca="false">IF($A3788="",0,IF(COUNTIF($A$2:A3788,$A3788)=1,1,0))</f>
        <v>0</v>
      </c>
      <c r="K3788" s="47" t="n">
        <f aca="false">IF(J3788=1,N(I3788)+ROW()/10000000,0)</f>
        <v>0</v>
      </c>
      <c r="L3788" s="47" t="str">
        <f aca="false">IF(AND(J3788=1,N(I3788)&gt;0),SUMIF($K$2:$K$5001,"&gt;="&amp;K3788,$I$2:$I$5001)/MAX(1,SUM($H$2:$H$5001)),"")</f>
        <v/>
      </c>
      <c r="M3788" s="47" t="str">
        <f aca="false">IF($A3788="","",INDEX($L$2:$L$5001,MATCH($A3788,$A$2:$A$5001,0)))</f>
        <v/>
      </c>
      <c r="N3788" s="48" t="str">
        <f aca="false">IF($A3788="","",IF(N(M3788)=0,"–",IF(M3788&lt;=Start!$D$20,"A",IF(M3788&lt;=Start!$D$21,"B","C"))))</f>
        <v/>
      </c>
      <c r="O3788" s="48" t="str">
        <f aca="false">IF($A3788="","",IF(NOT(ISNUMBER(F3788)),"Wert fehlt; ",IF(F3788&lt;=0,"Wert ist 0; ",""))&amp;IF(NOT(ISNUMBER(E3788)),"Bestand fehlt; ",IF(E3788&lt;0,"Bestand negativ; ",IF(E3788=0,"Nullbestand; ","")))&amp;IF(D3788="","Warengruppe fehlt; ","")&amp;IF(B3788="","Bezeichnung fehlt; ","")&amp;IF(COUNTIFS($A$2:$A$5001,$A3788,$C$2:$C$5001,C3788)&gt;1,"Artikel doppelt im selben Lager; ",""))</f>
        <v/>
      </c>
      <c r="P3788" s="47" t="n">
        <f aca="false">IF(OR($A3788="",D3788=""),0,IF(COUNTIF($D$2:D3788,D3788)=1,SUMIF($D$2:$D$5001,D3788,$H$2:$H$5001)+ROW()/10000000,0))</f>
        <v>0</v>
      </c>
      <c r="Q3788" s="47" t="n">
        <f aca="false">IF(OR($A3788="",C3788=""),0,IF(COUNTIF($C$2:C3788,C3788)=1,SUMIF($C$2:$C$5001,C3788,$H$2:$H$5001)+ROW()/10000000,0))</f>
        <v>0</v>
      </c>
    </row>
    <row r="3789" customFormat="false" ht="15" hidden="false" customHeight="false" outlineLevel="0" collapsed="false">
      <c r="A3789" s="43"/>
      <c r="B3789" s="44"/>
      <c r="C3789" s="44"/>
      <c r="D3789" s="44"/>
      <c r="E3789" s="44"/>
      <c r="F3789" s="44"/>
      <c r="G3789" s="44"/>
      <c r="H3789" s="46" t="str">
        <f aca="false">IF($A3789="","",IF(OR(NOT(ISNUMBER(E3789)),NOT(ISNUMBER(F3789))),"",MAX(0,E3789)*F3789))</f>
        <v/>
      </c>
      <c r="I3789" s="46" t="str">
        <f aca="false">IF($A3789="","",SUMIF($A$2:$A$5001,$A3789,$H$2:$H$5001))</f>
        <v/>
      </c>
      <c r="J3789" s="47" t="n">
        <f aca="false">IF($A3789="",0,IF(COUNTIF($A$2:A3789,$A3789)=1,1,0))</f>
        <v>0</v>
      </c>
      <c r="K3789" s="47" t="n">
        <f aca="false">IF(J3789=1,N(I3789)+ROW()/10000000,0)</f>
        <v>0</v>
      </c>
      <c r="L3789" s="47" t="str">
        <f aca="false">IF(AND(J3789=1,N(I3789)&gt;0),SUMIF($K$2:$K$5001,"&gt;="&amp;K3789,$I$2:$I$5001)/MAX(1,SUM($H$2:$H$5001)),"")</f>
        <v/>
      </c>
      <c r="M3789" s="47" t="str">
        <f aca="false">IF($A3789="","",INDEX($L$2:$L$5001,MATCH($A3789,$A$2:$A$5001,0)))</f>
        <v/>
      </c>
      <c r="N3789" s="48" t="str">
        <f aca="false">IF($A3789="","",IF(N(M3789)=0,"–",IF(M3789&lt;=Start!$D$20,"A",IF(M3789&lt;=Start!$D$21,"B","C"))))</f>
        <v/>
      </c>
      <c r="O3789" s="48" t="str">
        <f aca="false">IF($A3789="","",IF(NOT(ISNUMBER(F3789)),"Wert fehlt; ",IF(F3789&lt;=0,"Wert ist 0; ",""))&amp;IF(NOT(ISNUMBER(E3789)),"Bestand fehlt; ",IF(E3789&lt;0,"Bestand negativ; ",IF(E3789=0,"Nullbestand; ","")))&amp;IF(D3789="","Warengruppe fehlt; ","")&amp;IF(B3789="","Bezeichnung fehlt; ","")&amp;IF(COUNTIFS($A$2:$A$5001,$A3789,$C$2:$C$5001,C3789)&gt;1,"Artikel doppelt im selben Lager; ",""))</f>
        <v/>
      </c>
      <c r="P3789" s="47" t="n">
        <f aca="false">IF(OR($A3789="",D3789=""),0,IF(COUNTIF($D$2:D3789,D3789)=1,SUMIF($D$2:$D$5001,D3789,$H$2:$H$5001)+ROW()/10000000,0))</f>
        <v>0</v>
      </c>
      <c r="Q3789" s="47" t="n">
        <f aca="false">IF(OR($A3789="",C3789=""),0,IF(COUNTIF($C$2:C3789,C3789)=1,SUMIF($C$2:$C$5001,C3789,$H$2:$H$5001)+ROW()/10000000,0))</f>
        <v>0</v>
      </c>
    </row>
    <row r="3790" customFormat="false" ht="15" hidden="false" customHeight="false" outlineLevel="0" collapsed="false">
      <c r="A3790" s="43"/>
      <c r="B3790" s="44"/>
      <c r="C3790" s="44"/>
      <c r="D3790" s="44"/>
      <c r="E3790" s="44"/>
      <c r="F3790" s="44"/>
      <c r="G3790" s="44"/>
      <c r="H3790" s="46" t="str">
        <f aca="false">IF($A3790="","",IF(OR(NOT(ISNUMBER(E3790)),NOT(ISNUMBER(F3790))),"",MAX(0,E3790)*F3790))</f>
        <v/>
      </c>
      <c r="I3790" s="46" t="str">
        <f aca="false">IF($A3790="","",SUMIF($A$2:$A$5001,$A3790,$H$2:$H$5001))</f>
        <v/>
      </c>
      <c r="J3790" s="47" t="n">
        <f aca="false">IF($A3790="",0,IF(COUNTIF($A$2:A3790,$A3790)=1,1,0))</f>
        <v>0</v>
      </c>
      <c r="K3790" s="47" t="n">
        <f aca="false">IF(J3790=1,N(I3790)+ROW()/10000000,0)</f>
        <v>0</v>
      </c>
      <c r="L3790" s="47" t="str">
        <f aca="false">IF(AND(J3790=1,N(I3790)&gt;0),SUMIF($K$2:$K$5001,"&gt;="&amp;K3790,$I$2:$I$5001)/MAX(1,SUM($H$2:$H$5001)),"")</f>
        <v/>
      </c>
      <c r="M3790" s="47" t="str">
        <f aca="false">IF($A3790="","",INDEX($L$2:$L$5001,MATCH($A3790,$A$2:$A$5001,0)))</f>
        <v/>
      </c>
      <c r="N3790" s="48" t="str">
        <f aca="false">IF($A3790="","",IF(N(M3790)=0,"–",IF(M3790&lt;=Start!$D$20,"A",IF(M3790&lt;=Start!$D$21,"B","C"))))</f>
        <v/>
      </c>
      <c r="O3790" s="48" t="str">
        <f aca="false">IF($A3790="","",IF(NOT(ISNUMBER(F3790)),"Wert fehlt; ",IF(F3790&lt;=0,"Wert ist 0; ",""))&amp;IF(NOT(ISNUMBER(E3790)),"Bestand fehlt; ",IF(E3790&lt;0,"Bestand negativ; ",IF(E3790=0,"Nullbestand; ","")))&amp;IF(D3790="","Warengruppe fehlt; ","")&amp;IF(B3790="","Bezeichnung fehlt; ","")&amp;IF(COUNTIFS($A$2:$A$5001,$A3790,$C$2:$C$5001,C3790)&gt;1,"Artikel doppelt im selben Lager; ",""))</f>
        <v/>
      </c>
      <c r="P3790" s="47" t="n">
        <f aca="false">IF(OR($A3790="",D3790=""),0,IF(COUNTIF($D$2:D3790,D3790)=1,SUMIF($D$2:$D$5001,D3790,$H$2:$H$5001)+ROW()/10000000,0))</f>
        <v>0</v>
      </c>
      <c r="Q3790" s="47" t="n">
        <f aca="false">IF(OR($A3790="",C3790=""),0,IF(COUNTIF($C$2:C3790,C3790)=1,SUMIF($C$2:$C$5001,C3790,$H$2:$H$5001)+ROW()/10000000,0))</f>
        <v>0</v>
      </c>
    </row>
    <row r="3791" customFormat="false" ht="15" hidden="false" customHeight="false" outlineLevel="0" collapsed="false">
      <c r="A3791" s="43"/>
      <c r="B3791" s="44"/>
      <c r="C3791" s="44"/>
      <c r="D3791" s="44"/>
      <c r="E3791" s="44"/>
      <c r="F3791" s="44"/>
      <c r="G3791" s="44"/>
      <c r="H3791" s="46" t="str">
        <f aca="false">IF($A3791="","",IF(OR(NOT(ISNUMBER(E3791)),NOT(ISNUMBER(F3791))),"",MAX(0,E3791)*F3791))</f>
        <v/>
      </c>
      <c r="I3791" s="46" t="str">
        <f aca="false">IF($A3791="","",SUMIF($A$2:$A$5001,$A3791,$H$2:$H$5001))</f>
        <v/>
      </c>
      <c r="J3791" s="47" t="n">
        <f aca="false">IF($A3791="",0,IF(COUNTIF($A$2:A3791,$A3791)=1,1,0))</f>
        <v>0</v>
      </c>
      <c r="K3791" s="47" t="n">
        <f aca="false">IF(J3791=1,N(I3791)+ROW()/10000000,0)</f>
        <v>0</v>
      </c>
      <c r="L3791" s="47" t="str">
        <f aca="false">IF(AND(J3791=1,N(I3791)&gt;0),SUMIF($K$2:$K$5001,"&gt;="&amp;K3791,$I$2:$I$5001)/MAX(1,SUM($H$2:$H$5001)),"")</f>
        <v/>
      </c>
      <c r="M3791" s="47" t="str">
        <f aca="false">IF($A3791="","",INDEX($L$2:$L$5001,MATCH($A3791,$A$2:$A$5001,0)))</f>
        <v/>
      </c>
      <c r="N3791" s="48" t="str">
        <f aca="false">IF($A3791="","",IF(N(M3791)=0,"–",IF(M3791&lt;=Start!$D$20,"A",IF(M3791&lt;=Start!$D$21,"B","C"))))</f>
        <v/>
      </c>
      <c r="O3791" s="48" t="str">
        <f aca="false">IF($A3791="","",IF(NOT(ISNUMBER(F3791)),"Wert fehlt; ",IF(F3791&lt;=0,"Wert ist 0; ",""))&amp;IF(NOT(ISNUMBER(E3791)),"Bestand fehlt; ",IF(E3791&lt;0,"Bestand negativ; ",IF(E3791=0,"Nullbestand; ","")))&amp;IF(D3791="","Warengruppe fehlt; ","")&amp;IF(B3791="","Bezeichnung fehlt; ","")&amp;IF(COUNTIFS($A$2:$A$5001,$A3791,$C$2:$C$5001,C3791)&gt;1,"Artikel doppelt im selben Lager; ",""))</f>
        <v/>
      </c>
      <c r="P3791" s="47" t="n">
        <f aca="false">IF(OR($A3791="",D3791=""),0,IF(COUNTIF($D$2:D3791,D3791)=1,SUMIF($D$2:$D$5001,D3791,$H$2:$H$5001)+ROW()/10000000,0))</f>
        <v>0</v>
      </c>
      <c r="Q3791" s="47" t="n">
        <f aca="false">IF(OR($A3791="",C3791=""),0,IF(COUNTIF($C$2:C3791,C3791)=1,SUMIF($C$2:$C$5001,C3791,$H$2:$H$5001)+ROW()/10000000,0))</f>
        <v>0</v>
      </c>
    </row>
    <row r="3792" customFormat="false" ht="15" hidden="false" customHeight="false" outlineLevel="0" collapsed="false">
      <c r="A3792" s="43"/>
      <c r="B3792" s="44"/>
      <c r="C3792" s="44"/>
      <c r="D3792" s="44"/>
      <c r="E3792" s="44"/>
      <c r="F3792" s="44"/>
      <c r="G3792" s="44"/>
      <c r="H3792" s="46" t="str">
        <f aca="false">IF($A3792="","",IF(OR(NOT(ISNUMBER(E3792)),NOT(ISNUMBER(F3792))),"",MAX(0,E3792)*F3792))</f>
        <v/>
      </c>
      <c r="I3792" s="46" t="str">
        <f aca="false">IF($A3792="","",SUMIF($A$2:$A$5001,$A3792,$H$2:$H$5001))</f>
        <v/>
      </c>
      <c r="J3792" s="47" t="n">
        <f aca="false">IF($A3792="",0,IF(COUNTIF($A$2:A3792,$A3792)=1,1,0))</f>
        <v>0</v>
      </c>
      <c r="K3792" s="47" t="n">
        <f aca="false">IF(J3792=1,N(I3792)+ROW()/10000000,0)</f>
        <v>0</v>
      </c>
      <c r="L3792" s="47" t="str">
        <f aca="false">IF(AND(J3792=1,N(I3792)&gt;0),SUMIF($K$2:$K$5001,"&gt;="&amp;K3792,$I$2:$I$5001)/MAX(1,SUM($H$2:$H$5001)),"")</f>
        <v/>
      </c>
      <c r="M3792" s="47" t="str">
        <f aca="false">IF($A3792="","",INDEX($L$2:$L$5001,MATCH($A3792,$A$2:$A$5001,0)))</f>
        <v/>
      </c>
      <c r="N3792" s="48" t="str">
        <f aca="false">IF($A3792="","",IF(N(M3792)=0,"–",IF(M3792&lt;=Start!$D$20,"A",IF(M3792&lt;=Start!$D$21,"B","C"))))</f>
        <v/>
      </c>
      <c r="O3792" s="48" t="str">
        <f aca="false">IF($A3792="","",IF(NOT(ISNUMBER(F3792)),"Wert fehlt; ",IF(F3792&lt;=0,"Wert ist 0; ",""))&amp;IF(NOT(ISNUMBER(E3792)),"Bestand fehlt; ",IF(E3792&lt;0,"Bestand negativ; ",IF(E3792=0,"Nullbestand; ","")))&amp;IF(D3792="","Warengruppe fehlt; ","")&amp;IF(B3792="","Bezeichnung fehlt; ","")&amp;IF(COUNTIFS($A$2:$A$5001,$A3792,$C$2:$C$5001,C3792)&gt;1,"Artikel doppelt im selben Lager; ",""))</f>
        <v/>
      </c>
      <c r="P3792" s="47" t="n">
        <f aca="false">IF(OR($A3792="",D3792=""),0,IF(COUNTIF($D$2:D3792,D3792)=1,SUMIF($D$2:$D$5001,D3792,$H$2:$H$5001)+ROW()/10000000,0))</f>
        <v>0</v>
      </c>
      <c r="Q3792" s="47" t="n">
        <f aca="false">IF(OR($A3792="",C3792=""),0,IF(COUNTIF($C$2:C3792,C3792)=1,SUMIF($C$2:$C$5001,C3792,$H$2:$H$5001)+ROW()/10000000,0))</f>
        <v>0</v>
      </c>
    </row>
    <row r="3793" customFormat="false" ht="15" hidden="false" customHeight="false" outlineLevel="0" collapsed="false">
      <c r="A3793" s="43"/>
      <c r="B3793" s="44"/>
      <c r="C3793" s="44"/>
      <c r="D3793" s="44"/>
      <c r="E3793" s="44"/>
      <c r="F3793" s="44"/>
      <c r="G3793" s="44"/>
      <c r="H3793" s="46" t="str">
        <f aca="false">IF($A3793="","",IF(OR(NOT(ISNUMBER(E3793)),NOT(ISNUMBER(F3793))),"",MAX(0,E3793)*F3793))</f>
        <v/>
      </c>
      <c r="I3793" s="46" t="str">
        <f aca="false">IF($A3793="","",SUMIF($A$2:$A$5001,$A3793,$H$2:$H$5001))</f>
        <v/>
      </c>
      <c r="J3793" s="47" t="n">
        <f aca="false">IF($A3793="",0,IF(COUNTIF($A$2:A3793,$A3793)=1,1,0))</f>
        <v>0</v>
      </c>
      <c r="K3793" s="47" t="n">
        <f aca="false">IF(J3793=1,N(I3793)+ROW()/10000000,0)</f>
        <v>0</v>
      </c>
      <c r="L3793" s="47" t="str">
        <f aca="false">IF(AND(J3793=1,N(I3793)&gt;0),SUMIF($K$2:$K$5001,"&gt;="&amp;K3793,$I$2:$I$5001)/MAX(1,SUM($H$2:$H$5001)),"")</f>
        <v/>
      </c>
      <c r="M3793" s="47" t="str">
        <f aca="false">IF($A3793="","",INDEX($L$2:$L$5001,MATCH($A3793,$A$2:$A$5001,0)))</f>
        <v/>
      </c>
      <c r="N3793" s="48" t="str">
        <f aca="false">IF($A3793="","",IF(N(M3793)=0,"–",IF(M3793&lt;=Start!$D$20,"A",IF(M3793&lt;=Start!$D$21,"B","C"))))</f>
        <v/>
      </c>
      <c r="O3793" s="48" t="str">
        <f aca="false">IF($A3793="","",IF(NOT(ISNUMBER(F3793)),"Wert fehlt; ",IF(F3793&lt;=0,"Wert ist 0; ",""))&amp;IF(NOT(ISNUMBER(E3793)),"Bestand fehlt; ",IF(E3793&lt;0,"Bestand negativ; ",IF(E3793=0,"Nullbestand; ","")))&amp;IF(D3793="","Warengruppe fehlt; ","")&amp;IF(B3793="","Bezeichnung fehlt; ","")&amp;IF(COUNTIFS($A$2:$A$5001,$A3793,$C$2:$C$5001,C3793)&gt;1,"Artikel doppelt im selben Lager; ",""))</f>
        <v/>
      </c>
      <c r="P3793" s="47" t="n">
        <f aca="false">IF(OR($A3793="",D3793=""),0,IF(COUNTIF($D$2:D3793,D3793)=1,SUMIF($D$2:$D$5001,D3793,$H$2:$H$5001)+ROW()/10000000,0))</f>
        <v>0</v>
      </c>
      <c r="Q3793" s="47" t="n">
        <f aca="false">IF(OR($A3793="",C3793=""),0,IF(COUNTIF($C$2:C3793,C3793)=1,SUMIF($C$2:$C$5001,C3793,$H$2:$H$5001)+ROW()/10000000,0))</f>
        <v>0</v>
      </c>
    </row>
    <row r="3794" customFormat="false" ht="15" hidden="false" customHeight="false" outlineLevel="0" collapsed="false">
      <c r="A3794" s="43"/>
      <c r="B3794" s="44"/>
      <c r="C3794" s="44"/>
      <c r="D3794" s="44"/>
      <c r="E3794" s="44"/>
      <c r="F3794" s="44"/>
      <c r="G3794" s="44"/>
      <c r="H3794" s="46" t="str">
        <f aca="false">IF($A3794="","",IF(OR(NOT(ISNUMBER(E3794)),NOT(ISNUMBER(F3794))),"",MAX(0,E3794)*F3794))</f>
        <v/>
      </c>
      <c r="I3794" s="46" t="str">
        <f aca="false">IF($A3794="","",SUMIF($A$2:$A$5001,$A3794,$H$2:$H$5001))</f>
        <v/>
      </c>
      <c r="J3794" s="47" t="n">
        <f aca="false">IF($A3794="",0,IF(COUNTIF($A$2:A3794,$A3794)=1,1,0))</f>
        <v>0</v>
      </c>
      <c r="K3794" s="47" t="n">
        <f aca="false">IF(J3794=1,N(I3794)+ROW()/10000000,0)</f>
        <v>0</v>
      </c>
      <c r="L3794" s="47" t="str">
        <f aca="false">IF(AND(J3794=1,N(I3794)&gt;0),SUMIF($K$2:$K$5001,"&gt;="&amp;K3794,$I$2:$I$5001)/MAX(1,SUM($H$2:$H$5001)),"")</f>
        <v/>
      </c>
      <c r="M3794" s="47" t="str">
        <f aca="false">IF($A3794="","",INDEX($L$2:$L$5001,MATCH($A3794,$A$2:$A$5001,0)))</f>
        <v/>
      </c>
      <c r="N3794" s="48" t="str">
        <f aca="false">IF($A3794="","",IF(N(M3794)=0,"–",IF(M3794&lt;=Start!$D$20,"A",IF(M3794&lt;=Start!$D$21,"B","C"))))</f>
        <v/>
      </c>
      <c r="O3794" s="48" t="str">
        <f aca="false">IF($A3794="","",IF(NOT(ISNUMBER(F3794)),"Wert fehlt; ",IF(F3794&lt;=0,"Wert ist 0; ",""))&amp;IF(NOT(ISNUMBER(E3794)),"Bestand fehlt; ",IF(E3794&lt;0,"Bestand negativ; ",IF(E3794=0,"Nullbestand; ","")))&amp;IF(D3794="","Warengruppe fehlt; ","")&amp;IF(B3794="","Bezeichnung fehlt; ","")&amp;IF(COUNTIFS($A$2:$A$5001,$A3794,$C$2:$C$5001,C3794)&gt;1,"Artikel doppelt im selben Lager; ",""))</f>
        <v/>
      </c>
      <c r="P3794" s="47" t="n">
        <f aca="false">IF(OR($A3794="",D3794=""),0,IF(COUNTIF($D$2:D3794,D3794)=1,SUMIF($D$2:$D$5001,D3794,$H$2:$H$5001)+ROW()/10000000,0))</f>
        <v>0</v>
      </c>
      <c r="Q3794" s="47" t="n">
        <f aca="false">IF(OR($A3794="",C3794=""),0,IF(COUNTIF($C$2:C3794,C3794)=1,SUMIF($C$2:$C$5001,C3794,$H$2:$H$5001)+ROW()/10000000,0))</f>
        <v>0</v>
      </c>
    </row>
    <row r="3795" customFormat="false" ht="15" hidden="false" customHeight="false" outlineLevel="0" collapsed="false">
      <c r="A3795" s="43"/>
      <c r="B3795" s="44"/>
      <c r="C3795" s="44"/>
      <c r="D3795" s="44"/>
      <c r="E3795" s="44"/>
      <c r="F3795" s="44"/>
      <c r="G3795" s="44"/>
      <c r="H3795" s="46" t="str">
        <f aca="false">IF($A3795="","",IF(OR(NOT(ISNUMBER(E3795)),NOT(ISNUMBER(F3795))),"",MAX(0,E3795)*F3795))</f>
        <v/>
      </c>
      <c r="I3795" s="46" t="str">
        <f aca="false">IF($A3795="","",SUMIF($A$2:$A$5001,$A3795,$H$2:$H$5001))</f>
        <v/>
      </c>
      <c r="J3795" s="47" t="n">
        <f aca="false">IF($A3795="",0,IF(COUNTIF($A$2:A3795,$A3795)=1,1,0))</f>
        <v>0</v>
      </c>
      <c r="K3795" s="47" t="n">
        <f aca="false">IF(J3795=1,N(I3795)+ROW()/10000000,0)</f>
        <v>0</v>
      </c>
      <c r="L3795" s="47" t="str">
        <f aca="false">IF(AND(J3795=1,N(I3795)&gt;0),SUMIF($K$2:$K$5001,"&gt;="&amp;K3795,$I$2:$I$5001)/MAX(1,SUM($H$2:$H$5001)),"")</f>
        <v/>
      </c>
      <c r="M3795" s="47" t="str">
        <f aca="false">IF($A3795="","",INDEX($L$2:$L$5001,MATCH($A3795,$A$2:$A$5001,0)))</f>
        <v/>
      </c>
      <c r="N3795" s="48" t="str">
        <f aca="false">IF($A3795="","",IF(N(M3795)=0,"–",IF(M3795&lt;=Start!$D$20,"A",IF(M3795&lt;=Start!$D$21,"B","C"))))</f>
        <v/>
      </c>
      <c r="O3795" s="48" t="str">
        <f aca="false">IF($A3795="","",IF(NOT(ISNUMBER(F3795)),"Wert fehlt; ",IF(F3795&lt;=0,"Wert ist 0; ",""))&amp;IF(NOT(ISNUMBER(E3795)),"Bestand fehlt; ",IF(E3795&lt;0,"Bestand negativ; ",IF(E3795=0,"Nullbestand; ","")))&amp;IF(D3795="","Warengruppe fehlt; ","")&amp;IF(B3795="","Bezeichnung fehlt; ","")&amp;IF(COUNTIFS($A$2:$A$5001,$A3795,$C$2:$C$5001,C3795)&gt;1,"Artikel doppelt im selben Lager; ",""))</f>
        <v/>
      </c>
      <c r="P3795" s="47" t="n">
        <f aca="false">IF(OR($A3795="",D3795=""),0,IF(COUNTIF($D$2:D3795,D3795)=1,SUMIF($D$2:$D$5001,D3795,$H$2:$H$5001)+ROW()/10000000,0))</f>
        <v>0</v>
      </c>
      <c r="Q3795" s="47" t="n">
        <f aca="false">IF(OR($A3795="",C3795=""),0,IF(COUNTIF($C$2:C3795,C3795)=1,SUMIF($C$2:$C$5001,C3795,$H$2:$H$5001)+ROW()/10000000,0))</f>
        <v>0</v>
      </c>
    </row>
    <row r="3796" customFormat="false" ht="15" hidden="false" customHeight="false" outlineLevel="0" collapsed="false">
      <c r="A3796" s="43"/>
      <c r="B3796" s="44"/>
      <c r="C3796" s="44"/>
      <c r="D3796" s="44"/>
      <c r="E3796" s="44"/>
      <c r="F3796" s="44"/>
      <c r="G3796" s="44"/>
      <c r="H3796" s="46" t="str">
        <f aca="false">IF($A3796="","",IF(OR(NOT(ISNUMBER(E3796)),NOT(ISNUMBER(F3796))),"",MAX(0,E3796)*F3796))</f>
        <v/>
      </c>
      <c r="I3796" s="46" t="str">
        <f aca="false">IF($A3796="","",SUMIF($A$2:$A$5001,$A3796,$H$2:$H$5001))</f>
        <v/>
      </c>
      <c r="J3796" s="47" t="n">
        <f aca="false">IF($A3796="",0,IF(COUNTIF($A$2:A3796,$A3796)=1,1,0))</f>
        <v>0</v>
      </c>
      <c r="K3796" s="47" t="n">
        <f aca="false">IF(J3796=1,N(I3796)+ROW()/10000000,0)</f>
        <v>0</v>
      </c>
      <c r="L3796" s="47" t="str">
        <f aca="false">IF(AND(J3796=1,N(I3796)&gt;0),SUMIF($K$2:$K$5001,"&gt;="&amp;K3796,$I$2:$I$5001)/MAX(1,SUM($H$2:$H$5001)),"")</f>
        <v/>
      </c>
      <c r="M3796" s="47" t="str">
        <f aca="false">IF($A3796="","",INDEX($L$2:$L$5001,MATCH($A3796,$A$2:$A$5001,0)))</f>
        <v/>
      </c>
      <c r="N3796" s="48" t="str">
        <f aca="false">IF($A3796="","",IF(N(M3796)=0,"–",IF(M3796&lt;=Start!$D$20,"A",IF(M3796&lt;=Start!$D$21,"B","C"))))</f>
        <v/>
      </c>
      <c r="O3796" s="48" t="str">
        <f aca="false">IF($A3796="","",IF(NOT(ISNUMBER(F3796)),"Wert fehlt; ",IF(F3796&lt;=0,"Wert ist 0; ",""))&amp;IF(NOT(ISNUMBER(E3796)),"Bestand fehlt; ",IF(E3796&lt;0,"Bestand negativ; ",IF(E3796=0,"Nullbestand; ","")))&amp;IF(D3796="","Warengruppe fehlt; ","")&amp;IF(B3796="","Bezeichnung fehlt; ","")&amp;IF(COUNTIFS($A$2:$A$5001,$A3796,$C$2:$C$5001,C3796)&gt;1,"Artikel doppelt im selben Lager; ",""))</f>
        <v/>
      </c>
      <c r="P3796" s="47" t="n">
        <f aca="false">IF(OR($A3796="",D3796=""),0,IF(COUNTIF($D$2:D3796,D3796)=1,SUMIF($D$2:$D$5001,D3796,$H$2:$H$5001)+ROW()/10000000,0))</f>
        <v>0</v>
      </c>
      <c r="Q3796" s="47" t="n">
        <f aca="false">IF(OR($A3796="",C3796=""),0,IF(COUNTIF($C$2:C3796,C3796)=1,SUMIF($C$2:$C$5001,C3796,$H$2:$H$5001)+ROW()/10000000,0))</f>
        <v>0</v>
      </c>
    </row>
    <row r="3797" customFormat="false" ht="15" hidden="false" customHeight="false" outlineLevel="0" collapsed="false">
      <c r="A3797" s="43"/>
      <c r="B3797" s="44"/>
      <c r="C3797" s="44"/>
      <c r="D3797" s="44"/>
      <c r="E3797" s="44"/>
      <c r="F3797" s="44"/>
      <c r="G3797" s="44"/>
      <c r="H3797" s="46" t="str">
        <f aca="false">IF($A3797="","",IF(OR(NOT(ISNUMBER(E3797)),NOT(ISNUMBER(F3797))),"",MAX(0,E3797)*F3797))</f>
        <v/>
      </c>
      <c r="I3797" s="46" t="str">
        <f aca="false">IF($A3797="","",SUMIF($A$2:$A$5001,$A3797,$H$2:$H$5001))</f>
        <v/>
      </c>
      <c r="J3797" s="47" t="n">
        <f aca="false">IF($A3797="",0,IF(COUNTIF($A$2:A3797,$A3797)=1,1,0))</f>
        <v>0</v>
      </c>
      <c r="K3797" s="47" t="n">
        <f aca="false">IF(J3797=1,N(I3797)+ROW()/10000000,0)</f>
        <v>0</v>
      </c>
      <c r="L3797" s="47" t="str">
        <f aca="false">IF(AND(J3797=1,N(I3797)&gt;0),SUMIF($K$2:$K$5001,"&gt;="&amp;K3797,$I$2:$I$5001)/MAX(1,SUM($H$2:$H$5001)),"")</f>
        <v/>
      </c>
      <c r="M3797" s="47" t="str">
        <f aca="false">IF($A3797="","",INDEX($L$2:$L$5001,MATCH($A3797,$A$2:$A$5001,0)))</f>
        <v/>
      </c>
      <c r="N3797" s="48" t="str">
        <f aca="false">IF($A3797="","",IF(N(M3797)=0,"–",IF(M3797&lt;=Start!$D$20,"A",IF(M3797&lt;=Start!$D$21,"B","C"))))</f>
        <v/>
      </c>
      <c r="O3797" s="48" t="str">
        <f aca="false">IF($A3797="","",IF(NOT(ISNUMBER(F3797)),"Wert fehlt; ",IF(F3797&lt;=0,"Wert ist 0; ",""))&amp;IF(NOT(ISNUMBER(E3797)),"Bestand fehlt; ",IF(E3797&lt;0,"Bestand negativ; ",IF(E3797=0,"Nullbestand; ","")))&amp;IF(D3797="","Warengruppe fehlt; ","")&amp;IF(B3797="","Bezeichnung fehlt; ","")&amp;IF(COUNTIFS($A$2:$A$5001,$A3797,$C$2:$C$5001,C3797)&gt;1,"Artikel doppelt im selben Lager; ",""))</f>
        <v/>
      </c>
      <c r="P3797" s="47" t="n">
        <f aca="false">IF(OR($A3797="",D3797=""),0,IF(COUNTIF($D$2:D3797,D3797)=1,SUMIF($D$2:$D$5001,D3797,$H$2:$H$5001)+ROW()/10000000,0))</f>
        <v>0</v>
      </c>
      <c r="Q3797" s="47" t="n">
        <f aca="false">IF(OR($A3797="",C3797=""),0,IF(COUNTIF($C$2:C3797,C3797)=1,SUMIF($C$2:$C$5001,C3797,$H$2:$H$5001)+ROW()/10000000,0))</f>
        <v>0</v>
      </c>
    </row>
    <row r="3798" customFormat="false" ht="15" hidden="false" customHeight="false" outlineLevel="0" collapsed="false">
      <c r="A3798" s="43"/>
      <c r="B3798" s="44"/>
      <c r="C3798" s="44"/>
      <c r="D3798" s="44"/>
      <c r="E3798" s="44"/>
      <c r="F3798" s="44"/>
      <c r="G3798" s="44"/>
      <c r="H3798" s="46" t="str">
        <f aca="false">IF($A3798="","",IF(OR(NOT(ISNUMBER(E3798)),NOT(ISNUMBER(F3798))),"",MAX(0,E3798)*F3798))</f>
        <v/>
      </c>
      <c r="I3798" s="46" t="str">
        <f aca="false">IF($A3798="","",SUMIF($A$2:$A$5001,$A3798,$H$2:$H$5001))</f>
        <v/>
      </c>
      <c r="J3798" s="47" t="n">
        <f aca="false">IF($A3798="",0,IF(COUNTIF($A$2:A3798,$A3798)=1,1,0))</f>
        <v>0</v>
      </c>
      <c r="K3798" s="47" t="n">
        <f aca="false">IF(J3798=1,N(I3798)+ROW()/10000000,0)</f>
        <v>0</v>
      </c>
      <c r="L3798" s="47" t="str">
        <f aca="false">IF(AND(J3798=1,N(I3798)&gt;0),SUMIF($K$2:$K$5001,"&gt;="&amp;K3798,$I$2:$I$5001)/MAX(1,SUM($H$2:$H$5001)),"")</f>
        <v/>
      </c>
      <c r="M3798" s="47" t="str">
        <f aca="false">IF($A3798="","",INDEX($L$2:$L$5001,MATCH($A3798,$A$2:$A$5001,0)))</f>
        <v/>
      </c>
      <c r="N3798" s="48" t="str">
        <f aca="false">IF($A3798="","",IF(N(M3798)=0,"–",IF(M3798&lt;=Start!$D$20,"A",IF(M3798&lt;=Start!$D$21,"B","C"))))</f>
        <v/>
      </c>
      <c r="O3798" s="48" t="str">
        <f aca="false">IF($A3798="","",IF(NOT(ISNUMBER(F3798)),"Wert fehlt; ",IF(F3798&lt;=0,"Wert ist 0; ",""))&amp;IF(NOT(ISNUMBER(E3798)),"Bestand fehlt; ",IF(E3798&lt;0,"Bestand negativ; ",IF(E3798=0,"Nullbestand; ","")))&amp;IF(D3798="","Warengruppe fehlt; ","")&amp;IF(B3798="","Bezeichnung fehlt; ","")&amp;IF(COUNTIFS($A$2:$A$5001,$A3798,$C$2:$C$5001,C3798)&gt;1,"Artikel doppelt im selben Lager; ",""))</f>
        <v/>
      </c>
      <c r="P3798" s="47" t="n">
        <f aca="false">IF(OR($A3798="",D3798=""),0,IF(COUNTIF($D$2:D3798,D3798)=1,SUMIF($D$2:$D$5001,D3798,$H$2:$H$5001)+ROW()/10000000,0))</f>
        <v>0</v>
      </c>
      <c r="Q3798" s="47" t="n">
        <f aca="false">IF(OR($A3798="",C3798=""),0,IF(COUNTIF($C$2:C3798,C3798)=1,SUMIF($C$2:$C$5001,C3798,$H$2:$H$5001)+ROW()/10000000,0))</f>
        <v>0</v>
      </c>
    </row>
    <row r="3799" customFormat="false" ht="15" hidden="false" customHeight="false" outlineLevel="0" collapsed="false">
      <c r="A3799" s="43"/>
      <c r="B3799" s="44"/>
      <c r="C3799" s="44"/>
      <c r="D3799" s="44"/>
      <c r="E3799" s="44"/>
      <c r="F3799" s="44"/>
      <c r="G3799" s="44"/>
      <c r="H3799" s="46" t="str">
        <f aca="false">IF($A3799="","",IF(OR(NOT(ISNUMBER(E3799)),NOT(ISNUMBER(F3799))),"",MAX(0,E3799)*F3799))</f>
        <v/>
      </c>
      <c r="I3799" s="46" t="str">
        <f aca="false">IF($A3799="","",SUMIF($A$2:$A$5001,$A3799,$H$2:$H$5001))</f>
        <v/>
      </c>
      <c r="J3799" s="47" t="n">
        <f aca="false">IF($A3799="",0,IF(COUNTIF($A$2:A3799,$A3799)=1,1,0))</f>
        <v>0</v>
      </c>
      <c r="K3799" s="47" t="n">
        <f aca="false">IF(J3799=1,N(I3799)+ROW()/10000000,0)</f>
        <v>0</v>
      </c>
      <c r="L3799" s="47" t="str">
        <f aca="false">IF(AND(J3799=1,N(I3799)&gt;0),SUMIF($K$2:$K$5001,"&gt;="&amp;K3799,$I$2:$I$5001)/MAX(1,SUM($H$2:$H$5001)),"")</f>
        <v/>
      </c>
      <c r="M3799" s="47" t="str">
        <f aca="false">IF($A3799="","",INDEX($L$2:$L$5001,MATCH($A3799,$A$2:$A$5001,0)))</f>
        <v/>
      </c>
      <c r="N3799" s="48" t="str">
        <f aca="false">IF($A3799="","",IF(N(M3799)=0,"–",IF(M3799&lt;=Start!$D$20,"A",IF(M3799&lt;=Start!$D$21,"B","C"))))</f>
        <v/>
      </c>
      <c r="O3799" s="48" t="str">
        <f aca="false">IF($A3799="","",IF(NOT(ISNUMBER(F3799)),"Wert fehlt; ",IF(F3799&lt;=0,"Wert ist 0; ",""))&amp;IF(NOT(ISNUMBER(E3799)),"Bestand fehlt; ",IF(E3799&lt;0,"Bestand negativ; ",IF(E3799=0,"Nullbestand; ","")))&amp;IF(D3799="","Warengruppe fehlt; ","")&amp;IF(B3799="","Bezeichnung fehlt; ","")&amp;IF(COUNTIFS($A$2:$A$5001,$A3799,$C$2:$C$5001,C3799)&gt;1,"Artikel doppelt im selben Lager; ",""))</f>
        <v/>
      </c>
      <c r="P3799" s="47" t="n">
        <f aca="false">IF(OR($A3799="",D3799=""),0,IF(COUNTIF($D$2:D3799,D3799)=1,SUMIF($D$2:$D$5001,D3799,$H$2:$H$5001)+ROW()/10000000,0))</f>
        <v>0</v>
      </c>
      <c r="Q3799" s="47" t="n">
        <f aca="false">IF(OR($A3799="",C3799=""),0,IF(COUNTIF($C$2:C3799,C3799)=1,SUMIF($C$2:$C$5001,C3799,$H$2:$H$5001)+ROW()/10000000,0))</f>
        <v>0</v>
      </c>
    </row>
    <row r="3800" customFormat="false" ht="15" hidden="false" customHeight="false" outlineLevel="0" collapsed="false">
      <c r="A3800" s="43"/>
      <c r="B3800" s="44"/>
      <c r="C3800" s="44"/>
      <c r="D3800" s="44"/>
      <c r="E3800" s="44"/>
      <c r="F3800" s="44"/>
      <c r="G3800" s="44"/>
      <c r="H3800" s="46" t="str">
        <f aca="false">IF($A3800="","",IF(OR(NOT(ISNUMBER(E3800)),NOT(ISNUMBER(F3800))),"",MAX(0,E3800)*F3800))</f>
        <v/>
      </c>
      <c r="I3800" s="46" t="str">
        <f aca="false">IF($A3800="","",SUMIF($A$2:$A$5001,$A3800,$H$2:$H$5001))</f>
        <v/>
      </c>
      <c r="J3800" s="47" t="n">
        <f aca="false">IF($A3800="",0,IF(COUNTIF($A$2:A3800,$A3800)=1,1,0))</f>
        <v>0</v>
      </c>
      <c r="K3800" s="47" t="n">
        <f aca="false">IF(J3800=1,N(I3800)+ROW()/10000000,0)</f>
        <v>0</v>
      </c>
      <c r="L3800" s="47" t="str">
        <f aca="false">IF(AND(J3800=1,N(I3800)&gt;0),SUMIF($K$2:$K$5001,"&gt;="&amp;K3800,$I$2:$I$5001)/MAX(1,SUM($H$2:$H$5001)),"")</f>
        <v/>
      </c>
      <c r="M3800" s="47" t="str">
        <f aca="false">IF($A3800="","",INDEX($L$2:$L$5001,MATCH($A3800,$A$2:$A$5001,0)))</f>
        <v/>
      </c>
      <c r="N3800" s="48" t="str">
        <f aca="false">IF($A3800="","",IF(N(M3800)=0,"–",IF(M3800&lt;=Start!$D$20,"A",IF(M3800&lt;=Start!$D$21,"B","C"))))</f>
        <v/>
      </c>
      <c r="O3800" s="48" t="str">
        <f aca="false">IF($A3800="","",IF(NOT(ISNUMBER(F3800)),"Wert fehlt; ",IF(F3800&lt;=0,"Wert ist 0; ",""))&amp;IF(NOT(ISNUMBER(E3800)),"Bestand fehlt; ",IF(E3800&lt;0,"Bestand negativ; ",IF(E3800=0,"Nullbestand; ","")))&amp;IF(D3800="","Warengruppe fehlt; ","")&amp;IF(B3800="","Bezeichnung fehlt; ","")&amp;IF(COUNTIFS($A$2:$A$5001,$A3800,$C$2:$C$5001,C3800)&gt;1,"Artikel doppelt im selben Lager; ",""))</f>
        <v/>
      </c>
      <c r="P3800" s="47" t="n">
        <f aca="false">IF(OR($A3800="",D3800=""),0,IF(COUNTIF($D$2:D3800,D3800)=1,SUMIF($D$2:$D$5001,D3800,$H$2:$H$5001)+ROW()/10000000,0))</f>
        <v>0</v>
      </c>
      <c r="Q3800" s="47" t="n">
        <f aca="false">IF(OR($A3800="",C3800=""),0,IF(COUNTIF($C$2:C3800,C3800)=1,SUMIF($C$2:$C$5001,C3800,$H$2:$H$5001)+ROW()/10000000,0))</f>
        <v>0</v>
      </c>
    </row>
    <row r="3801" customFormat="false" ht="15" hidden="false" customHeight="false" outlineLevel="0" collapsed="false">
      <c r="A3801" s="43"/>
      <c r="B3801" s="44"/>
      <c r="C3801" s="44"/>
      <c r="D3801" s="44"/>
      <c r="E3801" s="44"/>
      <c r="F3801" s="44"/>
      <c r="G3801" s="44"/>
      <c r="H3801" s="46" t="str">
        <f aca="false">IF($A3801="","",IF(OR(NOT(ISNUMBER(E3801)),NOT(ISNUMBER(F3801))),"",MAX(0,E3801)*F3801))</f>
        <v/>
      </c>
      <c r="I3801" s="46" t="str">
        <f aca="false">IF($A3801="","",SUMIF($A$2:$A$5001,$A3801,$H$2:$H$5001))</f>
        <v/>
      </c>
      <c r="J3801" s="47" t="n">
        <f aca="false">IF($A3801="",0,IF(COUNTIF($A$2:A3801,$A3801)=1,1,0))</f>
        <v>0</v>
      </c>
      <c r="K3801" s="47" t="n">
        <f aca="false">IF(J3801=1,N(I3801)+ROW()/10000000,0)</f>
        <v>0</v>
      </c>
      <c r="L3801" s="47" t="str">
        <f aca="false">IF(AND(J3801=1,N(I3801)&gt;0),SUMIF($K$2:$K$5001,"&gt;="&amp;K3801,$I$2:$I$5001)/MAX(1,SUM($H$2:$H$5001)),"")</f>
        <v/>
      </c>
      <c r="M3801" s="47" t="str">
        <f aca="false">IF($A3801="","",INDEX($L$2:$L$5001,MATCH($A3801,$A$2:$A$5001,0)))</f>
        <v/>
      </c>
      <c r="N3801" s="48" t="str">
        <f aca="false">IF($A3801="","",IF(N(M3801)=0,"–",IF(M3801&lt;=Start!$D$20,"A",IF(M3801&lt;=Start!$D$21,"B","C"))))</f>
        <v/>
      </c>
      <c r="O3801" s="48" t="str">
        <f aca="false">IF($A3801="","",IF(NOT(ISNUMBER(F3801)),"Wert fehlt; ",IF(F3801&lt;=0,"Wert ist 0; ",""))&amp;IF(NOT(ISNUMBER(E3801)),"Bestand fehlt; ",IF(E3801&lt;0,"Bestand negativ; ",IF(E3801=0,"Nullbestand; ","")))&amp;IF(D3801="","Warengruppe fehlt; ","")&amp;IF(B3801="","Bezeichnung fehlt; ","")&amp;IF(COUNTIFS($A$2:$A$5001,$A3801,$C$2:$C$5001,C3801)&gt;1,"Artikel doppelt im selben Lager; ",""))</f>
        <v/>
      </c>
      <c r="P3801" s="47" t="n">
        <f aca="false">IF(OR($A3801="",D3801=""),0,IF(COUNTIF($D$2:D3801,D3801)=1,SUMIF($D$2:$D$5001,D3801,$H$2:$H$5001)+ROW()/10000000,0))</f>
        <v>0</v>
      </c>
      <c r="Q3801" s="47" t="n">
        <f aca="false">IF(OR($A3801="",C3801=""),0,IF(COUNTIF($C$2:C3801,C3801)=1,SUMIF($C$2:$C$5001,C3801,$H$2:$H$5001)+ROW()/10000000,0))</f>
        <v>0</v>
      </c>
    </row>
    <row r="3802" customFormat="false" ht="15" hidden="false" customHeight="false" outlineLevel="0" collapsed="false">
      <c r="A3802" s="43"/>
      <c r="B3802" s="44"/>
      <c r="C3802" s="44"/>
      <c r="D3802" s="44"/>
      <c r="E3802" s="44"/>
      <c r="F3802" s="44"/>
      <c r="G3802" s="44"/>
      <c r="H3802" s="46" t="str">
        <f aca="false">IF($A3802="","",IF(OR(NOT(ISNUMBER(E3802)),NOT(ISNUMBER(F3802))),"",MAX(0,E3802)*F3802))</f>
        <v/>
      </c>
      <c r="I3802" s="46" t="str">
        <f aca="false">IF($A3802="","",SUMIF($A$2:$A$5001,$A3802,$H$2:$H$5001))</f>
        <v/>
      </c>
      <c r="J3802" s="47" t="n">
        <f aca="false">IF($A3802="",0,IF(COUNTIF($A$2:A3802,$A3802)=1,1,0))</f>
        <v>0</v>
      </c>
      <c r="K3802" s="47" t="n">
        <f aca="false">IF(J3802=1,N(I3802)+ROW()/10000000,0)</f>
        <v>0</v>
      </c>
      <c r="L3802" s="47" t="str">
        <f aca="false">IF(AND(J3802=1,N(I3802)&gt;0),SUMIF($K$2:$K$5001,"&gt;="&amp;K3802,$I$2:$I$5001)/MAX(1,SUM($H$2:$H$5001)),"")</f>
        <v/>
      </c>
      <c r="M3802" s="47" t="str">
        <f aca="false">IF($A3802="","",INDEX($L$2:$L$5001,MATCH($A3802,$A$2:$A$5001,0)))</f>
        <v/>
      </c>
      <c r="N3802" s="48" t="str">
        <f aca="false">IF($A3802="","",IF(N(M3802)=0,"–",IF(M3802&lt;=Start!$D$20,"A",IF(M3802&lt;=Start!$D$21,"B","C"))))</f>
        <v/>
      </c>
      <c r="O3802" s="48" t="str">
        <f aca="false">IF($A3802="","",IF(NOT(ISNUMBER(F3802)),"Wert fehlt; ",IF(F3802&lt;=0,"Wert ist 0; ",""))&amp;IF(NOT(ISNUMBER(E3802)),"Bestand fehlt; ",IF(E3802&lt;0,"Bestand negativ; ",IF(E3802=0,"Nullbestand; ","")))&amp;IF(D3802="","Warengruppe fehlt; ","")&amp;IF(B3802="","Bezeichnung fehlt; ","")&amp;IF(COUNTIFS($A$2:$A$5001,$A3802,$C$2:$C$5001,C3802)&gt;1,"Artikel doppelt im selben Lager; ",""))</f>
        <v/>
      </c>
      <c r="P3802" s="47" t="n">
        <f aca="false">IF(OR($A3802="",D3802=""),0,IF(COUNTIF($D$2:D3802,D3802)=1,SUMIF($D$2:$D$5001,D3802,$H$2:$H$5001)+ROW()/10000000,0))</f>
        <v>0</v>
      </c>
      <c r="Q3802" s="47" t="n">
        <f aca="false">IF(OR($A3802="",C3802=""),0,IF(COUNTIF($C$2:C3802,C3802)=1,SUMIF($C$2:$C$5001,C3802,$H$2:$H$5001)+ROW()/10000000,0))</f>
        <v>0</v>
      </c>
    </row>
    <row r="3803" customFormat="false" ht="15" hidden="false" customHeight="false" outlineLevel="0" collapsed="false">
      <c r="A3803" s="43"/>
      <c r="B3803" s="44"/>
      <c r="C3803" s="44"/>
      <c r="D3803" s="44"/>
      <c r="E3803" s="44"/>
      <c r="F3803" s="44"/>
      <c r="G3803" s="44"/>
      <c r="H3803" s="46" t="str">
        <f aca="false">IF($A3803="","",IF(OR(NOT(ISNUMBER(E3803)),NOT(ISNUMBER(F3803))),"",MAX(0,E3803)*F3803))</f>
        <v/>
      </c>
      <c r="I3803" s="46" t="str">
        <f aca="false">IF($A3803="","",SUMIF($A$2:$A$5001,$A3803,$H$2:$H$5001))</f>
        <v/>
      </c>
      <c r="J3803" s="47" t="n">
        <f aca="false">IF($A3803="",0,IF(COUNTIF($A$2:A3803,$A3803)=1,1,0))</f>
        <v>0</v>
      </c>
      <c r="K3803" s="47" t="n">
        <f aca="false">IF(J3803=1,N(I3803)+ROW()/10000000,0)</f>
        <v>0</v>
      </c>
      <c r="L3803" s="47" t="str">
        <f aca="false">IF(AND(J3803=1,N(I3803)&gt;0),SUMIF($K$2:$K$5001,"&gt;="&amp;K3803,$I$2:$I$5001)/MAX(1,SUM($H$2:$H$5001)),"")</f>
        <v/>
      </c>
      <c r="M3803" s="47" t="str">
        <f aca="false">IF($A3803="","",INDEX($L$2:$L$5001,MATCH($A3803,$A$2:$A$5001,0)))</f>
        <v/>
      </c>
      <c r="N3803" s="48" t="str">
        <f aca="false">IF($A3803="","",IF(N(M3803)=0,"–",IF(M3803&lt;=Start!$D$20,"A",IF(M3803&lt;=Start!$D$21,"B","C"))))</f>
        <v/>
      </c>
      <c r="O3803" s="48" t="str">
        <f aca="false">IF($A3803="","",IF(NOT(ISNUMBER(F3803)),"Wert fehlt; ",IF(F3803&lt;=0,"Wert ist 0; ",""))&amp;IF(NOT(ISNUMBER(E3803)),"Bestand fehlt; ",IF(E3803&lt;0,"Bestand negativ; ",IF(E3803=0,"Nullbestand; ","")))&amp;IF(D3803="","Warengruppe fehlt; ","")&amp;IF(B3803="","Bezeichnung fehlt; ","")&amp;IF(COUNTIFS($A$2:$A$5001,$A3803,$C$2:$C$5001,C3803)&gt;1,"Artikel doppelt im selben Lager; ",""))</f>
        <v/>
      </c>
      <c r="P3803" s="47" t="n">
        <f aca="false">IF(OR($A3803="",D3803=""),0,IF(COUNTIF($D$2:D3803,D3803)=1,SUMIF($D$2:$D$5001,D3803,$H$2:$H$5001)+ROW()/10000000,0))</f>
        <v>0</v>
      </c>
      <c r="Q3803" s="47" t="n">
        <f aca="false">IF(OR($A3803="",C3803=""),0,IF(COUNTIF($C$2:C3803,C3803)=1,SUMIF($C$2:$C$5001,C3803,$H$2:$H$5001)+ROW()/10000000,0))</f>
        <v>0</v>
      </c>
    </row>
    <row r="3804" customFormat="false" ht="15" hidden="false" customHeight="false" outlineLevel="0" collapsed="false">
      <c r="A3804" s="43"/>
      <c r="B3804" s="44"/>
      <c r="C3804" s="44"/>
      <c r="D3804" s="44"/>
      <c r="E3804" s="44"/>
      <c r="F3804" s="44"/>
      <c r="G3804" s="44"/>
      <c r="H3804" s="46" t="str">
        <f aca="false">IF($A3804="","",IF(OR(NOT(ISNUMBER(E3804)),NOT(ISNUMBER(F3804))),"",MAX(0,E3804)*F3804))</f>
        <v/>
      </c>
      <c r="I3804" s="46" t="str">
        <f aca="false">IF($A3804="","",SUMIF($A$2:$A$5001,$A3804,$H$2:$H$5001))</f>
        <v/>
      </c>
      <c r="J3804" s="47" t="n">
        <f aca="false">IF($A3804="",0,IF(COUNTIF($A$2:A3804,$A3804)=1,1,0))</f>
        <v>0</v>
      </c>
      <c r="K3804" s="47" t="n">
        <f aca="false">IF(J3804=1,N(I3804)+ROW()/10000000,0)</f>
        <v>0</v>
      </c>
      <c r="L3804" s="47" t="str">
        <f aca="false">IF(AND(J3804=1,N(I3804)&gt;0),SUMIF($K$2:$K$5001,"&gt;="&amp;K3804,$I$2:$I$5001)/MAX(1,SUM($H$2:$H$5001)),"")</f>
        <v/>
      </c>
      <c r="M3804" s="47" t="str">
        <f aca="false">IF($A3804="","",INDEX($L$2:$L$5001,MATCH($A3804,$A$2:$A$5001,0)))</f>
        <v/>
      </c>
      <c r="N3804" s="48" t="str">
        <f aca="false">IF($A3804="","",IF(N(M3804)=0,"–",IF(M3804&lt;=Start!$D$20,"A",IF(M3804&lt;=Start!$D$21,"B","C"))))</f>
        <v/>
      </c>
      <c r="O3804" s="48" t="str">
        <f aca="false">IF($A3804="","",IF(NOT(ISNUMBER(F3804)),"Wert fehlt; ",IF(F3804&lt;=0,"Wert ist 0; ",""))&amp;IF(NOT(ISNUMBER(E3804)),"Bestand fehlt; ",IF(E3804&lt;0,"Bestand negativ; ",IF(E3804=0,"Nullbestand; ","")))&amp;IF(D3804="","Warengruppe fehlt; ","")&amp;IF(B3804="","Bezeichnung fehlt; ","")&amp;IF(COUNTIFS($A$2:$A$5001,$A3804,$C$2:$C$5001,C3804)&gt;1,"Artikel doppelt im selben Lager; ",""))</f>
        <v/>
      </c>
      <c r="P3804" s="47" t="n">
        <f aca="false">IF(OR($A3804="",D3804=""),0,IF(COUNTIF($D$2:D3804,D3804)=1,SUMIF($D$2:$D$5001,D3804,$H$2:$H$5001)+ROW()/10000000,0))</f>
        <v>0</v>
      </c>
      <c r="Q3804" s="47" t="n">
        <f aca="false">IF(OR($A3804="",C3804=""),0,IF(COUNTIF($C$2:C3804,C3804)=1,SUMIF($C$2:$C$5001,C3804,$H$2:$H$5001)+ROW()/10000000,0))</f>
        <v>0</v>
      </c>
    </row>
    <row r="3805" customFormat="false" ht="15" hidden="false" customHeight="false" outlineLevel="0" collapsed="false">
      <c r="A3805" s="43"/>
      <c r="B3805" s="44"/>
      <c r="C3805" s="44"/>
      <c r="D3805" s="44"/>
      <c r="E3805" s="44"/>
      <c r="F3805" s="44"/>
      <c r="G3805" s="44"/>
      <c r="H3805" s="46" t="str">
        <f aca="false">IF($A3805="","",IF(OR(NOT(ISNUMBER(E3805)),NOT(ISNUMBER(F3805))),"",MAX(0,E3805)*F3805))</f>
        <v/>
      </c>
      <c r="I3805" s="46" t="str">
        <f aca="false">IF($A3805="","",SUMIF($A$2:$A$5001,$A3805,$H$2:$H$5001))</f>
        <v/>
      </c>
      <c r="J3805" s="47" t="n">
        <f aca="false">IF($A3805="",0,IF(COUNTIF($A$2:A3805,$A3805)=1,1,0))</f>
        <v>0</v>
      </c>
      <c r="K3805" s="47" t="n">
        <f aca="false">IF(J3805=1,N(I3805)+ROW()/10000000,0)</f>
        <v>0</v>
      </c>
      <c r="L3805" s="47" t="str">
        <f aca="false">IF(AND(J3805=1,N(I3805)&gt;0),SUMIF($K$2:$K$5001,"&gt;="&amp;K3805,$I$2:$I$5001)/MAX(1,SUM($H$2:$H$5001)),"")</f>
        <v/>
      </c>
      <c r="M3805" s="47" t="str">
        <f aca="false">IF($A3805="","",INDEX($L$2:$L$5001,MATCH($A3805,$A$2:$A$5001,0)))</f>
        <v/>
      </c>
      <c r="N3805" s="48" t="str">
        <f aca="false">IF($A3805="","",IF(N(M3805)=0,"–",IF(M3805&lt;=Start!$D$20,"A",IF(M3805&lt;=Start!$D$21,"B","C"))))</f>
        <v/>
      </c>
      <c r="O3805" s="48" t="str">
        <f aca="false">IF($A3805="","",IF(NOT(ISNUMBER(F3805)),"Wert fehlt; ",IF(F3805&lt;=0,"Wert ist 0; ",""))&amp;IF(NOT(ISNUMBER(E3805)),"Bestand fehlt; ",IF(E3805&lt;0,"Bestand negativ; ",IF(E3805=0,"Nullbestand; ","")))&amp;IF(D3805="","Warengruppe fehlt; ","")&amp;IF(B3805="","Bezeichnung fehlt; ","")&amp;IF(COUNTIFS($A$2:$A$5001,$A3805,$C$2:$C$5001,C3805)&gt;1,"Artikel doppelt im selben Lager; ",""))</f>
        <v/>
      </c>
      <c r="P3805" s="47" t="n">
        <f aca="false">IF(OR($A3805="",D3805=""),0,IF(COUNTIF($D$2:D3805,D3805)=1,SUMIF($D$2:$D$5001,D3805,$H$2:$H$5001)+ROW()/10000000,0))</f>
        <v>0</v>
      </c>
      <c r="Q3805" s="47" t="n">
        <f aca="false">IF(OR($A3805="",C3805=""),0,IF(COUNTIF($C$2:C3805,C3805)=1,SUMIF($C$2:$C$5001,C3805,$H$2:$H$5001)+ROW()/10000000,0))</f>
        <v>0</v>
      </c>
    </row>
    <row r="3806" customFormat="false" ht="15" hidden="false" customHeight="false" outlineLevel="0" collapsed="false">
      <c r="A3806" s="43"/>
      <c r="B3806" s="44"/>
      <c r="C3806" s="44"/>
      <c r="D3806" s="44"/>
      <c r="E3806" s="44"/>
      <c r="F3806" s="44"/>
      <c r="G3806" s="44"/>
      <c r="H3806" s="46" t="str">
        <f aca="false">IF($A3806="","",IF(OR(NOT(ISNUMBER(E3806)),NOT(ISNUMBER(F3806))),"",MAX(0,E3806)*F3806))</f>
        <v/>
      </c>
      <c r="I3806" s="46" t="str">
        <f aca="false">IF($A3806="","",SUMIF($A$2:$A$5001,$A3806,$H$2:$H$5001))</f>
        <v/>
      </c>
      <c r="J3806" s="47" t="n">
        <f aca="false">IF($A3806="",0,IF(COUNTIF($A$2:A3806,$A3806)=1,1,0))</f>
        <v>0</v>
      </c>
      <c r="K3806" s="47" t="n">
        <f aca="false">IF(J3806=1,N(I3806)+ROW()/10000000,0)</f>
        <v>0</v>
      </c>
      <c r="L3806" s="47" t="str">
        <f aca="false">IF(AND(J3806=1,N(I3806)&gt;0),SUMIF($K$2:$K$5001,"&gt;="&amp;K3806,$I$2:$I$5001)/MAX(1,SUM($H$2:$H$5001)),"")</f>
        <v/>
      </c>
      <c r="M3806" s="47" t="str">
        <f aca="false">IF($A3806="","",INDEX($L$2:$L$5001,MATCH($A3806,$A$2:$A$5001,0)))</f>
        <v/>
      </c>
      <c r="N3806" s="48" t="str">
        <f aca="false">IF($A3806="","",IF(N(M3806)=0,"–",IF(M3806&lt;=Start!$D$20,"A",IF(M3806&lt;=Start!$D$21,"B","C"))))</f>
        <v/>
      </c>
      <c r="O3806" s="48" t="str">
        <f aca="false">IF($A3806="","",IF(NOT(ISNUMBER(F3806)),"Wert fehlt; ",IF(F3806&lt;=0,"Wert ist 0; ",""))&amp;IF(NOT(ISNUMBER(E3806)),"Bestand fehlt; ",IF(E3806&lt;0,"Bestand negativ; ",IF(E3806=0,"Nullbestand; ","")))&amp;IF(D3806="","Warengruppe fehlt; ","")&amp;IF(B3806="","Bezeichnung fehlt; ","")&amp;IF(COUNTIFS($A$2:$A$5001,$A3806,$C$2:$C$5001,C3806)&gt;1,"Artikel doppelt im selben Lager; ",""))</f>
        <v/>
      </c>
      <c r="P3806" s="47" t="n">
        <f aca="false">IF(OR($A3806="",D3806=""),0,IF(COUNTIF($D$2:D3806,D3806)=1,SUMIF($D$2:$D$5001,D3806,$H$2:$H$5001)+ROW()/10000000,0))</f>
        <v>0</v>
      </c>
      <c r="Q3806" s="47" t="n">
        <f aca="false">IF(OR($A3806="",C3806=""),0,IF(COUNTIF($C$2:C3806,C3806)=1,SUMIF($C$2:$C$5001,C3806,$H$2:$H$5001)+ROW()/10000000,0))</f>
        <v>0</v>
      </c>
    </row>
    <row r="3807" customFormat="false" ht="15" hidden="false" customHeight="false" outlineLevel="0" collapsed="false">
      <c r="A3807" s="43"/>
      <c r="B3807" s="44"/>
      <c r="C3807" s="44"/>
      <c r="D3807" s="44"/>
      <c r="E3807" s="44"/>
      <c r="F3807" s="44"/>
      <c r="G3807" s="44"/>
      <c r="H3807" s="46" t="str">
        <f aca="false">IF($A3807="","",IF(OR(NOT(ISNUMBER(E3807)),NOT(ISNUMBER(F3807))),"",MAX(0,E3807)*F3807))</f>
        <v/>
      </c>
      <c r="I3807" s="46" t="str">
        <f aca="false">IF($A3807="","",SUMIF($A$2:$A$5001,$A3807,$H$2:$H$5001))</f>
        <v/>
      </c>
      <c r="J3807" s="47" t="n">
        <f aca="false">IF($A3807="",0,IF(COUNTIF($A$2:A3807,$A3807)=1,1,0))</f>
        <v>0</v>
      </c>
      <c r="K3807" s="47" t="n">
        <f aca="false">IF(J3807=1,N(I3807)+ROW()/10000000,0)</f>
        <v>0</v>
      </c>
      <c r="L3807" s="47" t="str">
        <f aca="false">IF(AND(J3807=1,N(I3807)&gt;0),SUMIF($K$2:$K$5001,"&gt;="&amp;K3807,$I$2:$I$5001)/MAX(1,SUM($H$2:$H$5001)),"")</f>
        <v/>
      </c>
      <c r="M3807" s="47" t="str">
        <f aca="false">IF($A3807="","",INDEX($L$2:$L$5001,MATCH($A3807,$A$2:$A$5001,0)))</f>
        <v/>
      </c>
      <c r="N3807" s="48" t="str">
        <f aca="false">IF($A3807="","",IF(N(M3807)=0,"–",IF(M3807&lt;=Start!$D$20,"A",IF(M3807&lt;=Start!$D$21,"B","C"))))</f>
        <v/>
      </c>
      <c r="O3807" s="48" t="str">
        <f aca="false">IF($A3807="","",IF(NOT(ISNUMBER(F3807)),"Wert fehlt; ",IF(F3807&lt;=0,"Wert ist 0; ",""))&amp;IF(NOT(ISNUMBER(E3807)),"Bestand fehlt; ",IF(E3807&lt;0,"Bestand negativ; ",IF(E3807=0,"Nullbestand; ","")))&amp;IF(D3807="","Warengruppe fehlt; ","")&amp;IF(B3807="","Bezeichnung fehlt; ","")&amp;IF(COUNTIFS($A$2:$A$5001,$A3807,$C$2:$C$5001,C3807)&gt;1,"Artikel doppelt im selben Lager; ",""))</f>
        <v/>
      </c>
      <c r="P3807" s="47" t="n">
        <f aca="false">IF(OR($A3807="",D3807=""),0,IF(COUNTIF($D$2:D3807,D3807)=1,SUMIF($D$2:$D$5001,D3807,$H$2:$H$5001)+ROW()/10000000,0))</f>
        <v>0</v>
      </c>
      <c r="Q3807" s="47" t="n">
        <f aca="false">IF(OR($A3807="",C3807=""),0,IF(COUNTIF($C$2:C3807,C3807)=1,SUMIF($C$2:$C$5001,C3807,$H$2:$H$5001)+ROW()/10000000,0))</f>
        <v>0</v>
      </c>
    </row>
    <row r="3808" customFormat="false" ht="15" hidden="false" customHeight="false" outlineLevel="0" collapsed="false">
      <c r="A3808" s="43"/>
      <c r="B3808" s="44"/>
      <c r="C3808" s="44"/>
      <c r="D3808" s="44"/>
      <c r="E3808" s="44"/>
      <c r="F3808" s="44"/>
      <c r="G3808" s="44"/>
      <c r="H3808" s="46" t="str">
        <f aca="false">IF($A3808="","",IF(OR(NOT(ISNUMBER(E3808)),NOT(ISNUMBER(F3808))),"",MAX(0,E3808)*F3808))</f>
        <v/>
      </c>
      <c r="I3808" s="46" t="str">
        <f aca="false">IF($A3808="","",SUMIF($A$2:$A$5001,$A3808,$H$2:$H$5001))</f>
        <v/>
      </c>
      <c r="J3808" s="47" t="n">
        <f aca="false">IF($A3808="",0,IF(COUNTIF($A$2:A3808,$A3808)=1,1,0))</f>
        <v>0</v>
      </c>
      <c r="K3808" s="47" t="n">
        <f aca="false">IF(J3808=1,N(I3808)+ROW()/10000000,0)</f>
        <v>0</v>
      </c>
      <c r="L3808" s="47" t="str">
        <f aca="false">IF(AND(J3808=1,N(I3808)&gt;0),SUMIF($K$2:$K$5001,"&gt;="&amp;K3808,$I$2:$I$5001)/MAX(1,SUM($H$2:$H$5001)),"")</f>
        <v/>
      </c>
      <c r="M3808" s="47" t="str">
        <f aca="false">IF($A3808="","",INDEX($L$2:$L$5001,MATCH($A3808,$A$2:$A$5001,0)))</f>
        <v/>
      </c>
      <c r="N3808" s="48" t="str">
        <f aca="false">IF($A3808="","",IF(N(M3808)=0,"–",IF(M3808&lt;=Start!$D$20,"A",IF(M3808&lt;=Start!$D$21,"B","C"))))</f>
        <v/>
      </c>
      <c r="O3808" s="48" t="str">
        <f aca="false">IF($A3808="","",IF(NOT(ISNUMBER(F3808)),"Wert fehlt; ",IF(F3808&lt;=0,"Wert ist 0; ",""))&amp;IF(NOT(ISNUMBER(E3808)),"Bestand fehlt; ",IF(E3808&lt;0,"Bestand negativ; ",IF(E3808=0,"Nullbestand; ","")))&amp;IF(D3808="","Warengruppe fehlt; ","")&amp;IF(B3808="","Bezeichnung fehlt; ","")&amp;IF(COUNTIFS($A$2:$A$5001,$A3808,$C$2:$C$5001,C3808)&gt;1,"Artikel doppelt im selben Lager; ",""))</f>
        <v/>
      </c>
      <c r="P3808" s="47" t="n">
        <f aca="false">IF(OR($A3808="",D3808=""),0,IF(COUNTIF($D$2:D3808,D3808)=1,SUMIF($D$2:$D$5001,D3808,$H$2:$H$5001)+ROW()/10000000,0))</f>
        <v>0</v>
      </c>
      <c r="Q3808" s="47" t="n">
        <f aca="false">IF(OR($A3808="",C3808=""),0,IF(COUNTIF($C$2:C3808,C3808)=1,SUMIF($C$2:$C$5001,C3808,$H$2:$H$5001)+ROW()/10000000,0))</f>
        <v>0</v>
      </c>
    </row>
    <row r="3809" customFormat="false" ht="15" hidden="false" customHeight="false" outlineLevel="0" collapsed="false">
      <c r="A3809" s="43"/>
      <c r="B3809" s="44"/>
      <c r="C3809" s="44"/>
      <c r="D3809" s="44"/>
      <c r="E3809" s="44"/>
      <c r="F3809" s="44"/>
      <c r="G3809" s="44"/>
      <c r="H3809" s="46" t="str">
        <f aca="false">IF($A3809="","",IF(OR(NOT(ISNUMBER(E3809)),NOT(ISNUMBER(F3809))),"",MAX(0,E3809)*F3809))</f>
        <v/>
      </c>
      <c r="I3809" s="46" t="str">
        <f aca="false">IF($A3809="","",SUMIF($A$2:$A$5001,$A3809,$H$2:$H$5001))</f>
        <v/>
      </c>
      <c r="J3809" s="47" t="n">
        <f aca="false">IF($A3809="",0,IF(COUNTIF($A$2:A3809,$A3809)=1,1,0))</f>
        <v>0</v>
      </c>
      <c r="K3809" s="47" t="n">
        <f aca="false">IF(J3809=1,N(I3809)+ROW()/10000000,0)</f>
        <v>0</v>
      </c>
      <c r="L3809" s="47" t="str">
        <f aca="false">IF(AND(J3809=1,N(I3809)&gt;0),SUMIF($K$2:$K$5001,"&gt;="&amp;K3809,$I$2:$I$5001)/MAX(1,SUM($H$2:$H$5001)),"")</f>
        <v/>
      </c>
      <c r="M3809" s="47" t="str">
        <f aca="false">IF($A3809="","",INDEX($L$2:$L$5001,MATCH($A3809,$A$2:$A$5001,0)))</f>
        <v/>
      </c>
      <c r="N3809" s="48" t="str">
        <f aca="false">IF($A3809="","",IF(N(M3809)=0,"–",IF(M3809&lt;=Start!$D$20,"A",IF(M3809&lt;=Start!$D$21,"B","C"))))</f>
        <v/>
      </c>
      <c r="O3809" s="48" t="str">
        <f aca="false">IF($A3809="","",IF(NOT(ISNUMBER(F3809)),"Wert fehlt; ",IF(F3809&lt;=0,"Wert ist 0; ",""))&amp;IF(NOT(ISNUMBER(E3809)),"Bestand fehlt; ",IF(E3809&lt;0,"Bestand negativ; ",IF(E3809=0,"Nullbestand; ","")))&amp;IF(D3809="","Warengruppe fehlt; ","")&amp;IF(B3809="","Bezeichnung fehlt; ","")&amp;IF(COUNTIFS($A$2:$A$5001,$A3809,$C$2:$C$5001,C3809)&gt;1,"Artikel doppelt im selben Lager; ",""))</f>
        <v/>
      </c>
      <c r="P3809" s="47" t="n">
        <f aca="false">IF(OR($A3809="",D3809=""),0,IF(COUNTIF($D$2:D3809,D3809)=1,SUMIF($D$2:$D$5001,D3809,$H$2:$H$5001)+ROW()/10000000,0))</f>
        <v>0</v>
      </c>
      <c r="Q3809" s="47" t="n">
        <f aca="false">IF(OR($A3809="",C3809=""),0,IF(COUNTIF($C$2:C3809,C3809)=1,SUMIF($C$2:$C$5001,C3809,$H$2:$H$5001)+ROW()/10000000,0))</f>
        <v>0</v>
      </c>
    </row>
    <row r="3810" customFormat="false" ht="15" hidden="false" customHeight="false" outlineLevel="0" collapsed="false">
      <c r="A3810" s="43"/>
      <c r="B3810" s="44"/>
      <c r="C3810" s="44"/>
      <c r="D3810" s="44"/>
      <c r="E3810" s="44"/>
      <c r="F3810" s="44"/>
      <c r="G3810" s="44"/>
      <c r="H3810" s="46" t="str">
        <f aca="false">IF($A3810="","",IF(OR(NOT(ISNUMBER(E3810)),NOT(ISNUMBER(F3810))),"",MAX(0,E3810)*F3810))</f>
        <v/>
      </c>
      <c r="I3810" s="46" t="str">
        <f aca="false">IF($A3810="","",SUMIF($A$2:$A$5001,$A3810,$H$2:$H$5001))</f>
        <v/>
      </c>
      <c r="J3810" s="47" t="n">
        <f aca="false">IF($A3810="",0,IF(COUNTIF($A$2:A3810,$A3810)=1,1,0))</f>
        <v>0</v>
      </c>
      <c r="K3810" s="47" t="n">
        <f aca="false">IF(J3810=1,N(I3810)+ROW()/10000000,0)</f>
        <v>0</v>
      </c>
      <c r="L3810" s="47" t="str">
        <f aca="false">IF(AND(J3810=1,N(I3810)&gt;0),SUMIF($K$2:$K$5001,"&gt;="&amp;K3810,$I$2:$I$5001)/MAX(1,SUM($H$2:$H$5001)),"")</f>
        <v/>
      </c>
      <c r="M3810" s="47" t="str">
        <f aca="false">IF($A3810="","",INDEX($L$2:$L$5001,MATCH($A3810,$A$2:$A$5001,0)))</f>
        <v/>
      </c>
      <c r="N3810" s="48" t="str">
        <f aca="false">IF($A3810="","",IF(N(M3810)=0,"–",IF(M3810&lt;=Start!$D$20,"A",IF(M3810&lt;=Start!$D$21,"B","C"))))</f>
        <v/>
      </c>
      <c r="O3810" s="48" t="str">
        <f aca="false">IF($A3810="","",IF(NOT(ISNUMBER(F3810)),"Wert fehlt; ",IF(F3810&lt;=0,"Wert ist 0; ",""))&amp;IF(NOT(ISNUMBER(E3810)),"Bestand fehlt; ",IF(E3810&lt;0,"Bestand negativ; ",IF(E3810=0,"Nullbestand; ","")))&amp;IF(D3810="","Warengruppe fehlt; ","")&amp;IF(B3810="","Bezeichnung fehlt; ","")&amp;IF(COUNTIFS($A$2:$A$5001,$A3810,$C$2:$C$5001,C3810)&gt;1,"Artikel doppelt im selben Lager; ",""))</f>
        <v/>
      </c>
      <c r="P3810" s="47" t="n">
        <f aca="false">IF(OR($A3810="",D3810=""),0,IF(COUNTIF($D$2:D3810,D3810)=1,SUMIF($D$2:$D$5001,D3810,$H$2:$H$5001)+ROW()/10000000,0))</f>
        <v>0</v>
      </c>
      <c r="Q3810" s="47" t="n">
        <f aca="false">IF(OR($A3810="",C3810=""),0,IF(COUNTIF($C$2:C3810,C3810)=1,SUMIF($C$2:$C$5001,C3810,$H$2:$H$5001)+ROW()/10000000,0))</f>
        <v>0</v>
      </c>
    </row>
    <row r="3811" customFormat="false" ht="15" hidden="false" customHeight="false" outlineLevel="0" collapsed="false">
      <c r="A3811" s="43"/>
      <c r="B3811" s="44"/>
      <c r="C3811" s="44"/>
      <c r="D3811" s="44"/>
      <c r="E3811" s="44"/>
      <c r="F3811" s="44"/>
      <c r="G3811" s="44"/>
      <c r="H3811" s="46" t="str">
        <f aca="false">IF($A3811="","",IF(OR(NOT(ISNUMBER(E3811)),NOT(ISNUMBER(F3811))),"",MAX(0,E3811)*F3811))</f>
        <v/>
      </c>
      <c r="I3811" s="46" t="str">
        <f aca="false">IF($A3811="","",SUMIF($A$2:$A$5001,$A3811,$H$2:$H$5001))</f>
        <v/>
      </c>
      <c r="J3811" s="47" t="n">
        <f aca="false">IF($A3811="",0,IF(COUNTIF($A$2:A3811,$A3811)=1,1,0))</f>
        <v>0</v>
      </c>
      <c r="K3811" s="47" t="n">
        <f aca="false">IF(J3811=1,N(I3811)+ROW()/10000000,0)</f>
        <v>0</v>
      </c>
      <c r="L3811" s="47" t="str">
        <f aca="false">IF(AND(J3811=1,N(I3811)&gt;0),SUMIF($K$2:$K$5001,"&gt;="&amp;K3811,$I$2:$I$5001)/MAX(1,SUM($H$2:$H$5001)),"")</f>
        <v/>
      </c>
      <c r="M3811" s="47" t="str">
        <f aca="false">IF($A3811="","",INDEX($L$2:$L$5001,MATCH($A3811,$A$2:$A$5001,0)))</f>
        <v/>
      </c>
      <c r="N3811" s="48" t="str">
        <f aca="false">IF($A3811="","",IF(N(M3811)=0,"–",IF(M3811&lt;=Start!$D$20,"A",IF(M3811&lt;=Start!$D$21,"B","C"))))</f>
        <v/>
      </c>
      <c r="O3811" s="48" t="str">
        <f aca="false">IF($A3811="","",IF(NOT(ISNUMBER(F3811)),"Wert fehlt; ",IF(F3811&lt;=0,"Wert ist 0; ",""))&amp;IF(NOT(ISNUMBER(E3811)),"Bestand fehlt; ",IF(E3811&lt;0,"Bestand negativ; ",IF(E3811=0,"Nullbestand; ","")))&amp;IF(D3811="","Warengruppe fehlt; ","")&amp;IF(B3811="","Bezeichnung fehlt; ","")&amp;IF(COUNTIFS($A$2:$A$5001,$A3811,$C$2:$C$5001,C3811)&gt;1,"Artikel doppelt im selben Lager; ",""))</f>
        <v/>
      </c>
      <c r="P3811" s="47" t="n">
        <f aca="false">IF(OR($A3811="",D3811=""),0,IF(COUNTIF($D$2:D3811,D3811)=1,SUMIF($D$2:$D$5001,D3811,$H$2:$H$5001)+ROW()/10000000,0))</f>
        <v>0</v>
      </c>
      <c r="Q3811" s="47" t="n">
        <f aca="false">IF(OR($A3811="",C3811=""),0,IF(COUNTIF($C$2:C3811,C3811)=1,SUMIF($C$2:$C$5001,C3811,$H$2:$H$5001)+ROW()/10000000,0))</f>
        <v>0</v>
      </c>
    </row>
    <row r="3812" customFormat="false" ht="15" hidden="false" customHeight="false" outlineLevel="0" collapsed="false">
      <c r="A3812" s="43"/>
      <c r="B3812" s="44"/>
      <c r="C3812" s="44"/>
      <c r="D3812" s="44"/>
      <c r="E3812" s="44"/>
      <c r="F3812" s="44"/>
      <c r="G3812" s="44"/>
      <c r="H3812" s="46" t="str">
        <f aca="false">IF($A3812="","",IF(OR(NOT(ISNUMBER(E3812)),NOT(ISNUMBER(F3812))),"",MAX(0,E3812)*F3812))</f>
        <v/>
      </c>
      <c r="I3812" s="46" t="str">
        <f aca="false">IF($A3812="","",SUMIF($A$2:$A$5001,$A3812,$H$2:$H$5001))</f>
        <v/>
      </c>
      <c r="J3812" s="47" t="n">
        <f aca="false">IF($A3812="",0,IF(COUNTIF($A$2:A3812,$A3812)=1,1,0))</f>
        <v>0</v>
      </c>
      <c r="K3812" s="47" t="n">
        <f aca="false">IF(J3812=1,N(I3812)+ROW()/10000000,0)</f>
        <v>0</v>
      </c>
      <c r="L3812" s="47" t="str">
        <f aca="false">IF(AND(J3812=1,N(I3812)&gt;0),SUMIF($K$2:$K$5001,"&gt;="&amp;K3812,$I$2:$I$5001)/MAX(1,SUM($H$2:$H$5001)),"")</f>
        <v/>
      </c>
      <c r="M3812" s="47" t="str">
        <f aca="false">IF($A3812="","",INDEX($L$2:$L$5001,MATCH($A3812,$A$2:$A$5001,0)))</f>
        <v/>
      </c>
      <c r="N3812" s="48" t="str">
        <f aca="false">IF($A3812="","",IF(N(M3812)=0,"–",IF(M3812&lt;=Start!$D$20,"A",IF(M3812&lt;=Start!$D$21,"B","C"))))</f>
        <v/>
      </c>
      <c r="O3812" s="48" t="str">
        <f aca="false">IF($A3812="","",IF(NOT(ISNUMBER(F3812)),"Wert fehlt; ",IF(F3812&lt;=0,"Wert ist 0; ",""))&amp;IF(NOT(ISNUMBER(E3812)),"Bestand fehlt; ",IF(E3812&lt;0,"Bestand negativ; ",IF(E3812=0,"Nullbestand; ","")))&amp;IF(D3812="","Warengruppe fehlt; ","")&amp;IF(B3812="","Bezeichnung fehlt; ","")&amp;IF(COUNTIFS($A$2:$A$5001,$A3812,$C$2:$C$5001,C3812)&gt;1,"Artikel doppelt im selben Lager; ",""))</f>
        <v/>
      </c>
      <c r="P3812" s="47" t="n">
        <f aca="false">IF(OR($A3812="",D3812=""),0,IF(COUNTIF($D$2:D3812,D3812)=1,SUMIF($D$2:$D$5001,D3812,$H$2:$H$5001)+ROW()/10000000,0))</f>
        <v>0</v>
      </c>
      <c r="Q3812" s="47" t="n">
        <f aca="false">IF(OR($A3812="",C3812=""),0,IF(COUNTIF($C$2:C3812,C3812)=1,SUMIF($C$2:$C$5001,C3812,$H$2:$H$5001)+ROW()/10000000,0))</f>
        <v>0</v>
      </c>
    </row>
    <row r="3813" customFormat="false" ht="15" hidden="false" customHeight="false" outlineLevel="0" collapsed="false">
      <c r="A3813" s="43"/>
      <c r="B3813" s="44"/>
      <c r="C3813" s="44"/>
      <c r="D3813" s="44"/>
      <c r="E3813" s="44"/>
      <c r="F3813" s="44"/>
      <c r="G3813" s="44"/>
      <c r="H3813" s="46" t="str">
        <f aca="false">IF($A3813="","",IF(OR(NOT(ISNUMBER(E3813)),NOT(ISNUMBER(F3813))),"",MAX(0,E3813)*F3813))</f>
        <v/>
      </c>
      <c r="I3813" s="46" t="str">
        <f aca="false">IF($A3813="","",SUMIF($A$2:$A$5001,$A3813,$H$2:$H$5001))</f>
        <v/>
      </c>
      <c r="J3813" s="47" t="n">
        <f aca="false">IF($A3813="",0,IF(COUNTIF($A$2:A3813,$A3813)=1,1,0))</f>
        <v>0</v>
      </c>
      <c r="K3813" s="47" t="n">
        <f aca="false">IF(J3813=1,N(I3813)+ROW()/10000000,0)</f>
        <v>0</v>
      </c>
      <c r="L3813" s="47" t="str">
        <f aca="false">IF(AND(J3813=1,N(I3813)&gt;0),SUMIF($K$2:$K$5001,"&gt;="&amp;K3813,$I$2:$I$5001)/MAX(1,SUM($H$2:$H$5001)),"")</f>
        <v/>
      </c>
      <c r="M3813" s="47" t="str">
        <f aca="false">IF($A3813="","",INDEX($L$2:$L$5001,MATCH($A3813,$A$2:$A$5001,0)))</f>
        <v/>
      </c>
      <c r="N3813" s="48" t="str">
        <f aca="false">IF($A3813="","",IF(N(M3813)=0,"–",IF(M3813&lt;=Start!$D$20,"A",IF(M3813&lt;=Start!$D$21,"B","C"))))</f>
        <v/>
      </c>
      <c r="O3813" s="48" t="str">
        <f aca="false">IF($A3813="","",IF(NOT(ISNUMBER(F3813)),"Wert fehlt; ",IF(F3813&lt;=0,"Wert ist 0; ",""))&amp;IF(NOT(ISNUMBER(E3813)),"Bestand fehlt; ",IF(E3813&lt;0,"Bestand negativ; ",IF(E3813=0,"Nullbestand; ","")))&amp;IF(D3813="","Warengruppe fehlt; ","")&amp;IF(B3813="","Bezeichnung fehlt; ","")&amp;IF(COUNTIFS($A$2:$A$5001,$A3813,$C$2:$C$5001,C3813)&gt;1,"Artikel doppelt im selben Lager; ",""))</f>
        <v/>
      </c>
      <c r="P3813" s="47" t="n">
        <f aca="false">IF(OR($A3813="",D3813=""),0,IF(COUNTIF($D$2:D3813,D3813)=1,SUMIF($D$2:$D$5001,D3813,$H$2:$H$5001)+ROW()/10000000,0))</f>
        <v>0</v>
      </c>
      <c r="Q3813" s="47" t="n">
        <f aca="false">IF(OR($A3813="",C3813=""),0,IF(COUNTIF($C$2:C3813,C3813)=1,SUMIF($C$2:$C$5001,C3813,$H$2:$H$5001)+ROW()/10000000,0))</f>
        <v>0</v>
      </c>
    </row>
    <row r="3814" customFormat="false" ht="15" hidden="false" customHeight="false" outlineLevel="0" collapsed="false">
      <c r="A3814" s="43"/>
      <c r="B3814" s="44"/>
      <c r="C3814" s="44"/>
      <c r="D3814" s="44"/>
      <c r="E3814" s="44"/>
      <c r="F3814" s="44"/>
      <c r="G3814" s="44"/>
      <c r="H3814" s="46" t="str">
        <f aca="false">IF($A3814="","",IF(OR(NOT(ISNUMBER(E3814)),NOT(ISNUMBER(F3814))),"",MAX(0,E3814)*F3814))</f>
        <v/>
      </c>
      <c r="I3814" s="46" t="str">
        <f aca="false">IF($A3814="","",SUMIF($A$2:$A$5001,$A3814,$H$2:$H$5001))</f>
        <v/>
      </c>
      <c r="J3814" s="47" t="n">
        <f aca="false">IF($A3814="",0,IF(COUNTIF($A$2:A3814,$A3814)=1,1,0))</f>
        <v>0</v>
      </c>
      <c r="K3814" s="47" t="n">
        <f aca="false">IF(J3814=1,N(I3814)+ROW()/10000000,0)</f>
        <v>0</v>
      </c>
      <c r="L3814" s="47" t="str">
        <f aca="false">IF(AND(J3814=1,N(I3814)&gt;0),SUMIF($K$2:$K$5001,"&gt;="&amp;K3814,$I$2:$I$5001)/MAX(1,SUM($H$2:$H$5001)),"")</f>
        <v/>
      </c>
      <c r="M3814" s="47" t="str">
        <f aca="false">IF($A3814="","",INDEX($L$2:$L$5001,MATCH($A3814,$A$2:$A$5001,0)))</f>
        <v/>
      </c>
      <c r="N3814" s="48" t="str">
        <f aca="false">IF($A3814="","",IF(N(M3814)=0,"–",IF(M3814&lt;=Start!$D$20,"A",IF(M3814&lt;=Start!$D$21,"B","C"))))</f>
        <v/>
      </c>
      <c r="O3814" s="48" t="str">
        <f aca="false">IF($A3814="","",IF(NOT(ISNUMBER(F3814)),"Wert fehlt; ",IF(F3814&lt;=0,"Wert ist 0; ",""))&amp;IF(NOT(ISNUMBER(E3814)),"Bestand fehlt; ",IF(E3814&lt;0,"Bestand negativ; ",IF(E3814=0,"Nullbestand; ","")))&amp;IF(D3814="","Warengruppe fehlt; ","")&amp;IF(B3814="","Bezeichnung fehlt; ","")&amp;IF(COUNTIFS($A$2:$A$5001,$A3814,$C$2:$C$5001,C3814)&gt;1,"Artikel doppelt im selben Lager; ",""))</f>
        <v/>
      </c>
      <c r="P3814" s="47" t="n">
        <f aca="false">IF(OR($A3814="",D3814=""),0,IF(COUNTIF($D$2:D3814,D3814)=1,SUMIF($D$2:$D$5001,D3814,$H$2:$H$5001)+ROW()/10000000,0))</f>
        <v>0</v>
      </c>
      <c r="Q3814" s="47" t="n">
        <f aca="false">IF(OR($A3814="",C3814=""),0,IF(COUNTIF($C$2:C3814,C3814)=1,SUMIF($C$2:$C$5001,C3814,$H$2:$H$5001)+ROW()/10000000,0))</f>
        <v>0</v>
      </c>
    </row>
    <row r="3815" customFormat="false" ht="15" hidden="false" customHeight="false" outlineLevel="0" collapsed="false">
      <c r="A3815" s="43"/>
      <c r="B3815" s="44"/>
      <c r="C3815" s="44"/>
      <c r="D3815" s="44"/>
      <c r="E3815" s="44"/>
      <c r="F3815" s="44"/>
      <c r="G3815" s="44"/>
      <c r="H3815" s="46" t="str">
        <f aca="false">IF($A3815="","",IF(OR(NOT(ISNUMBER(E3815)),NOT(ISNUMBER(F3815))),"",MAX(0,E3815)*F3815))</f>
        <v/>
      </c>
      <c r="I3815" s="46" t="str">
        <f aca="false">IF($A3815="","",SUMIF($A$2:$A$5001,$A3815,$H$2:$H$5001))</f>
        <v/>
      </c>
      <c r="J3815" s="47" t="n">
        <f aca="false">IF($A3815="",0,IF(COUNTIF($A$2:A3815,$A3815)=1,1,0))</f>
        <v>0</v>
      </c>
      <c r="K3815" s="47" t="n">
        <f aca="false">IF(J3815=1,N(I3815)+ROW()/10000000,0)</f>
        <v>0</v>
      </c>
      <c r="L3815" s="47" t="str">
        <f aca="false">IF(AND(J3815=1,N(I3815)&gt;0),SUMIF($K$2:$K$5001,"&gt;="&amp;K3815,$I$2:$I$5001)/MAX(1,SUM($H$2:$H$5001)),"")</f>
        <v/>
      </c>
      <c r="M3815" s="47" t="str">
        <f aca="false">IF($A3815="","",INDEX($L$2:$L$5001,MATCH($A3815,$A$2:$A$5001,0)))</f>
        <v/>
      </c>
      <c r="N3815" s="48" t="str">
        <f aca="false">IF($A3815="","",IF(N(M3815)=0,"–",IF(M3815&lt;=Start!$D$20,"A",IF(M3815&lt;=Start!$D$21,"B","C"))))</f>
        <v/>
      </c>
      <c r="O3815" s="48" t="str">
        <f aca="false">IF($A3815="","",IF(NOT(ISNUMBER(F3815)),"Wert fehlt; ",IF(F3815&lt;=0,"Wert ist 0; ",""))&amp;IF(NOT(ISNUMBER(E3815)),"Bestand fehlt; ",IF(E3815&lt;0,"Bestand negativ; ",IF(E3815=0,"Nullbestand; ","")))&amp;IF(D3815="","Warengruppe fehlt; ","")&amp;IF(B3815="","Bezeichnung fehlt; ","")&amp;IF(COUNTIFS($A$2:$A$5001,$A3815,$C$2:$C$5001,C3815)&gt;1,"Artikel doppelt im selben Lager; ",""))</f>
        <v/>
      </c>
      <c r="P3815" s="47" t="n">
        <f aca="false">IF(OR($A3815="",D3815=""),0,IF(COUNTIF($D$2:D3815,D3815)=1,SUMIF($D$2:$D$5001,D3815,$H$2:$H$5001)+ROW()/10000000,0))</f>
        <v>0</v>
      </c>
      <c r="Q3815" s="47" t="n">
        <f aca="false">IF(OR($A3815="",C3815=""),0,IF(COUNTIF($C$2:C3815,C3815)=1,SUMIF($C$2:$C$5001,C3815,$H$2:$H$5001)+ROW()/10000000,0))</f>
        <v>0</v>
      </c>
    </row>
    <row r="3816" customFormat="false" ht="15" hidden="false" customHeight="false" outlineLevel="0" collapsed="false">
      <c r="A3816" s="43"/>
      <c r="B3816" s="44"/>
      <c r="C3816" s="44"/>
      <c r="D3816" s="44"/>
      <c r="E3816" s="44"/>
      <c r="F3816" s="44"/>
      <c r="G3816" s="44"/>
      <c r="H3816" s="46" t="str">
        <f aca="false">IF($A3816="","",IF(OR(NOT(ISNUMBER(E3816)),NOT(ISNUMBER(F3816))),"",MAX(0,E3816)*F3816))</f>
        <v/>
      </c>
      <c r="I3816" s="46" t="str">
        <f aca="false">IF($A3816="","",SUMIF($A$2:$A$5001,$A3816,$H$2:$H$5001))</f>
        <v/>
      </c>
      <c r="J3816" s="47" t="n">
        <f aca="false">IF($A3816="",0,IF(COUNTIF($A$2:A3816,$A3816)=1,1,0))</f>
        <v>0</v>
      </c>
      <c r="K3816" s="47" t="n">
        <f aca="false">IF(J3816=1,N(I3816)+ROW()/10000000,0)</f>
        <v>0</v>
      </c>
      <c r="L3816" s="47" t="str">
        <f aca="false">IF(AND(J3816=1,N(I3816)&gt;0),SUMIF($K$2:$K$5001,"&gt;="&amp;K3816,$I$2:$I$5001)/MAX(1,SUM($H$2:$H$5001)),"")</f>
        <v/>
      </c>
      <c r="M3816" s="47" t="str">
        <f aca="false">IF($A3816="","",INDEX($L$2:$L$5001,MATCH($A3816,$A$2:$A$5001,0)))</f>
        <v/>
      </c>
      <c r="N3816" s="48" t="str">
        <f aca="false">IF($A3816="","",IF(N(M3816)=0,"–",IF(M3816&lt;=Start!$D$20,"A",IF(M3816&lt;=Start!$D$21,"B","C"))))</f>
        <v/>
      </c>
      <c r="O3816" s="48" t="str">
        <f aca="false">IF($A3816="","",IF(NOT(ISNUMBER(F3816)),"Wert fehlt; ",IF(F3816&lt;=0,"Wert ist 0; ",""))&amp;IF(NOT(ISNUMBER(E3816)),"Bestand fehlt; ",IF(E3816&lt;0,"Bestand negativ; ",IF(E3816=0,"Nullbestand; ","")))&amp;IF(D3816="","Warengruppe fehlt; ","")&amp;IF(B3816="","Bezeichnung fehlt; ","")&amp;IF(COUNTIFS($A$2:$A$5001,$A3816,$C$2:$C$5001,C3816)&gt;1,"Artikel doppelt im selben Lager; ",""))</f>
        <v/>
      </c>
      <c r="P3816" s="47" t="n">
        <f aca="false">IF(OR($A3816="",D3816=""),0,IF(COUNTIF($D$2:D3816,D3816)=1,SUMIF($D$2:$D$5001,D3816,$H$2:$H$5001)+ROW()/10000000,0))</f>
        <v>0</v>
      </c>
      <c r="Q3816" s="47" t="n">
        <f aca="false">IF(OR($A3816="",C3816=""),0,IF(COUNTIF($C$2:C3816,C3816)=1,SUMIF($C$2:$C$5001,C3816,$H$2:$H$5001)+ROW()/10000000,0))</f>
        <v>0</v>
      </c>
    </row>
    <row r="3817" customFormat="false" ht="15" hidden="false" customHeight="false" outlineLevel="0" collapsed="false">
      <c r="A3817" s="43"/>
      <c r="B3817" s="44"/>
      <c r="C3817" s="44"/>
      <c r="D3817" s="44"/>
      <c r="E3817" s="44"/>
      <c r="F3817" s="44"/>
      <c r="G3817" s="44"/>
      <c r="H3817" s="46" t="str">
        <f aca="false">IF($A3817="","",IF(OR(NOT(ISNUMBER(E3817)),NOT(ISNUMBER(F3817))),"",MAX(0,E3817)*F3817))</f>
        <v/>
      </c>
      <c r="I3817" s="46" t="str">
        <f aca="false">IF($A3817="","",SUMIF($A$2:$A$5001,$A3817,$H$2:$H$5001))</f>
        <v/>
      </c>
      <c r="J3817" s="47" t="n">
        <f aca="false">IF($A3817="",0,IF(COUNTIF($A$2:A3817,$A3817)=1,1,0))</f>
        <v>0</v>
      </c>
      <c r="K3817" s="47" t="n">
        <f aca="false">IF(J3817=1,N(I3817)+ROW()/10000000,0)</f>
        <v>0</v>
      </c>
      <c r="L3817" s="47" t="str">
        <f aca="false">IF(AND(J3817=1,N(I3817)&gt;0),SUMIF($K$2:$K$5001,"&gt;="&amp;K3817,$I$2:$I$5001)/MAX(1,SUM($H$2:$H$5001)),"")</f>
        <v/>
      </c>
      <c r="M3817" s="47" t="str">
        <f aca="false">IF($A3817="","",INDEX($L$2:$L$5001,MATCH($A3817,$A$2:$A$5001,0)))</f>
        <v/>
      </c>
      <c r="N3817" s="48" t="str">
        <f aca="false">IF($A3817="","",IF(N(M3817)=0,"–",IF(M3817&lt;=Start!$D$20,"A",IF(M3817&lt;=Start!$D$21,"B","C"))))</f>
        <v/>
      </c>
      <c r="O3817" s="48" t="str">
        <f aca="false">IF($A3817="","",IF(NOT(ISNUMBER(F3817)),"Wert fehlt; ",IF(F3817&lt;=0,"Wert ist 0; ",""))&amp;IF(NOT(ISNUMBER(E3817)),"Bestand fehlt; ",IF(E3817&lt;0,"Bestand negativ; ",IF(E3817=0,"Nullbestand; ","")))&amp;IF(D3817="","Warengruppe fehlt; ","")&amp;IF(B3817="","Bezeichnung fehlt; ","")&amp;IF(COUNTIFS($A$2:$A$5001,$A3817,$C$2:$C$5001,C3817)&gt;1,"Artikel doppelt im selben Lager; ",""))</f>
        <v/>
      </c>
      <c r="P3817" s="47" t="n">
        <f aca="false">IF(OR($A3817="",D3817=""),0,IF(COUNTIF($D$2:D3817,D3817)=1,SUMIF($D$2:$D$5001,D3817,$H$2:$H$5001)+ROW()/10000000,0))</f>
        <v>0</v>
      </c>
      <c r="Q3817" s="47" t="n">
        <f aca="false">IF(OR($A3817="",C3817=""),0,IF(COUNTIF($C$2:C3817,C3817)=1,SUMIF($C$2:$C$5001,C3817,$H$2:$H$5001)+ROW()/10000000,0))</f>
        <v>0</v>
      </c>
    </row>
    <row r="3818" customFormat="false" ht="15" hidden="false" customHeight="false" outlineLevel="0" collapsed="false">
      <c r="A3818" s="43"/>
      <c r="B3818" s="44"/>
      <c r="C3818" s="44"/>
      <c r="D3818" s="44"/>
      <c r="E3818" s="44"/>
      <c r="F3818" s="44"/>
      <c r="G3818" s="44"/>
      <c r="H3818" s="46" t="str">
        <f aca="false">IF($A3818="","",IF(OR(NOT(ISNUMBER(E3818)),NOT(ISNUMBER(F3818))),"",MAX(0,E3818)*F3818))</f>
        <v/>
      </c>
      <c r="I3818" s="46" t="str">
        <f aca="false">IF($A3818="","",SUMIF($A$2:$A$5001,$A3818,$H$2:$H$5001))</f>
        <v/>
      </c>
      <c r="J3818" s="47" t="n">
        <f aca="false">IF($A3818="",0,IF(COUNTIF($A$2:A3818,$A3818)=1,1,0))</f>
        <v>0</v>
      </c>
      <c r="K3818" s="47" t="n">
        <f aca="false">IF(J3818=1,N(I3818)+ROW()/10000000,0)</f>
        <v>0</v>
      </c>
      <c r="L3818" s="47" t="str">
        <f aca="false">IF(AND(J3818=1,N(I3818)&gt;0),SUMIF($K$2:$K$5001,"&gt;="&amp;K3818,$I$2:$I$5001)/MAX(1,SUM($H$2:$H$5001)),"")</f>
        <v/>
      </c>
      <c r="M3818" s="47" t="str">
        <f aca="false">IF($A3818="","",INDEX($L$2:$L$5001,MATCH($A3818,$A$2:$A$5001,0)))</f>
        <v/>
      </c>
      <c r="N3818" s="48" t="str">
        <f aca="false">IF($A3818="","",IF(N(M3818)=0,"–",IF(M3818&lt;=Start!$D$20,"A",IF(M3818&lt;=Start!$D$21,"B","C"))))</f>
        <v/>
      </c>
      <c r="O3818" s="48" t="str">
        <f aca="false">IF($A3818="","",IF(NOT(ISNUMBER(F3818)),"Wert fehlt; ",IF(F3818&lt;=0,"Wert ist 0; ",""))&amp;IF(NOT(ISNUMBER(E3818)),"Bestand fehlt; ",IF(E3818&lt;0,"Bestand negativ; ",IF(E3818=0,"Nullbestand; ","")))&amp;IF(D3818="","Warengruppe fehlt; ","")&amp;IF(B3818="","Bezeichnung fehlt; ","")&amp;IF(COUNTIFS($A$2:$A$5001,$A3818,$C$2:$C$5001,C3818)&gt;1,"Artikel doppelt im selben Lager; ",""))</f>
        <v/>
      </c>
      <c r="P3818" s="47" t="n">
        <f aca="false">IF(OR($A3818="",D3818=""),0,IF(COUNTIF($D$2:D3818,D3818)=1,SUMIF($D$2:$D$5001,D3818,$H$2:$H$5001)+ROW()/10000000,0))</f>
        <v>0</v>
      </c>
      <c r="Q3818" s="47" t="n">
        <f aca="false">IF(OR($A3818="",C3818=""),0,IF(COUNTIF($C$2:C3818,C3818)=1,SUMIF($C$2:$C$5001,C3818,$H$2:$H$5001)+ROW()/10000000,0))</f>
        <v>0</v>
      </c>
    </row>
    <row r="3819" customFormat="false" ht="15" hidden="false" customHeight="false" outlineLevel="0" collapsed="false">
      <c r="A3819" s="43"/>
      <c r="B3819" s="44"/>
      <c r="C3819" s="44"/>
      <c r="D3819" s="44"/>
      <c r="E3819" s="44"/>
      <c r="F3819" s="44"/>
      <c r="G3819" s="44"/>
      <c r="H3819" s="46" t="str">
        <f aca="false">IF($A3819="","",IF(OR(NOT(ISNUMBER(E3819)),NOT(ISNUMBER(F3819))),"",MAX(0,E3819)*F3819))</f>
        <v/>
      </c>
      <c r="I3819" s="46" t="str">
        <f aca="false">IF($A3819="","",SUMIF($A$2:$A$5001,$A3819,$H$2:$H$5001))</f>
        <v/>
      </c>
      <c r="J3819" s="47" t="n">
        <f aca="false">IF($A3819="",0,IF(COUNTIF($A$2:A3819,$A3819)=1,1,0))</f>
        <v>0</v>
      </c>
      <c r="K3819" s="47" t="n">
        <f aca="false">IF(J3819=1,N(I3819)+ROW()/10000000,0)</f>
        <v>0</v>
      </c>
      <c r="L3819" s="47" t="str">
        <f aca="false">IF(AND(J3819=1,N(I3819)&gt;0),SUMIF($K$2:$K$5001,"&gt;="&amp;K3819,$I$2:$I$5001)/MAX(1,SUM($H$2:$H$5001)),"")</f>
        <v/>
      </c>
      <c r="M3819" s="47" t="str">
        <f aca="false">IF($A3819="","",INDEX($L$2:$L$5001,MATCH($A3819,$A$2:$A$5001,0)))</f>
        <v/>
      </c>
      <c r="N3819" s="48" t="str">
        <f aca="false">IF($A3819="","",IF(N(M3819)=0,"–",IF(M3819&lt;=Start!$D$20,"A",IF(M3819&lt;=Start!$D$21,"B","C"))))</f>
        <v/>
      </c>
      <c r="O3819" s="48" t="str">
        <f aca="false">IF($A3819="","",IF(NOT(ISNUMBER(F3819)),"Wert fehlt; ",IF(F3819&lt;=0,"Wert ist 0; ",""))&amp;IF(NOT(ISNUMBER(E3819)),"Bestand fehlt; ",IF(E3819&lt;0,"Bestand negativ; ",IF(E3819=0,"Nullbestand; ","")))&amp;IF(D3819="","Warengruppe fehlt; ","")&amp;IF(B3819="","Bezeichnung fehlt; ","")&amp;IF(COUNTIFS($A$2:$A$5001,$A3819,$C$2:$C$5001,C3819)&gt;1,"Artikel doppelt im selben Lager; ",""))</f>
        <v/>
      </c>
      <c r="P3819" s="47" t="n">
        <f aca="false">IF(OR($A3819="",D3819=""),0,IF(COUNTIF($D$2:D3819,D3819)=1,SUMIF($D$2:$D$5001,D3819,$H$2:$H$5001)+ROW()/10000000,0))</f>
        <v>0</v>
      </c>
      <c r="Q3819" s="47" t="n">
        <f aca="false">IF(OR($A3819="",C3819=""),0,IF(COUNTIF($C$2:C3819,C3819)=1,SUMIF($C$2:$C$5001,C3819,$H$2:$H$5001)+ROW()/10000000,0))</f>
        <v>0</v>
      </c>
    </row>
    <row r="3820" customFormat="false" ht="15" hidden="false" customHeight="false" outlineLevel="0" collapsed="false">
      <c r="A3820" s="43"/>
      <c r="B3820" s="44"/>
      <c r="C3820" s="44"/>
      <c r="D3820" s="44"/>
      <c r="E3820" s="44"/>
      <c r="F3820" s="44"/>
      <c r="G3820" s="44"/>
      <c r="H3820" s="46" t="str">
        <f aca="false">IF($A3820="","",IF(OR(NOT(ISNUMBER(E3820)),NOT(ISNUMBER(F3820))),"",MAX(0,E3820)*F3820))</f>
        <v/>
      </c>
      <c r="I3820" s="46" t="str">
        <f aca="false">IF($A3820="","",SUMIF($A$2:$A$5001,$A3820,$H$2:$H$5001))</f>
        <v/>
      </c>
      <c r="J3820" s="47" t="n">
        <f aca="false">IF($A3820="",0,IF(COUNTIF($A$2:A3820,$A3820)=1,1,0))</f>
        <v>0</v>
      </c>
      <c r="K3820" s="47" t="n">
        <f aca="false">IF(J3820=1,N(I3820)+ROW()/10000000,0)</f>
        <v>0</v>
      </c>
      <c r="L3820" s="47" t="str">
        <f aca="false">IF(AND(J3820=1,N(I3820)&gt;0),SUMIF($K$2:$K$5001,"&gt;="&amp;K3820,$I$2:$I$5001)/MAX(1,SUM($H$2:$H$5001)),"")</f>
        <v/>
      </c>
      <c r="M3820" s="47" t="str">
        <f aca="false">IF($A3820="","",INDEX($L$2:$L$5001,MATCH($A3820,$A$2:$A$5001,0)))</f>
        <v/>
      </c>
      <c r="N3820" s="48" t="str">
        <f aca="false">IF($A3820="","",IF(N(M3820)=0,"–",IF(M3820&lt;=Start!$D$20,"A",IF(M3820&lt;=Start!$D$21,"B","C"))))</f>
        <v/>
      </c>
      <c r="O3820" s="48" t="str">
        <f aca="false">IF($A3820="","",IF(NOT(ISNUMBER(F3820)),"Wert fehlt; ",IF(F3820&lt;=0,"Wert ist 0; ",""))&amp;IF(NOT(ISNUMBER(E3820)),"Bestand fehlt; ",IF(E3820&lt;0,"Bestand negativ; ",IF(E3820=0,"Nullbestand; ","")))&amp;IF(D3820="","Warengruppe fehlt; ","")&amp;IF(B3820="","Bezeichnung fehlt; ","")&amp;IF(COUNTIFS($A$2:$A$5001,$A3820,$C$2:$C$5001,C3820)&gt;1,"Artikel doppelt im selben Lager; ",""))</f>
        <v/>
      </c>
      <c r="P3820" s="47" t="n">
        <f aca="false">IF(OR($A3820="",D3820=""),0,IF(COUNTIF($D$2:D3820,D3820)=1,SUMIF($D$2:$D$5001,D3820,$H$2:$H$5001)+ROW()/10000000,0))</f>
        <v>0</v>
      </c>
      <c r="Q3820" s="47" t="n">
        <f aca="false">IF(OR($A3820="",C3820=""),0,IF(COUNTIF($C$2:C3820,C3820)=1,SUMIF($C$2:$C$5001,C3820,$H$2:$H$5001)+ROW()/10000000,0))</f>
        <v>0</v>
      </c>
    </row>
    <row r="3821" customFormat="false" ht="15" hidden="false" customHeight="false" outlineLevel="0" collapsed="false">
      <c r="A3821" s="43"/>
      <c r="B3821" s="44"/>
      <c r="C3821" s="44"/>
      <c r="D3821" s="44"/>
      <c r="E3821" s="44"/>
      <c r="F3821" s="44"/>
      <c r="G3821" s="44"/>
      <c r="H3821" s="46" t="str">
        <f aca="false">IF($A3821="","",IF(OR(NOT(ISNUMBER(E3821)),NOT(ISNUMBER(F3821))),"",MAX(0,E3821)*F3821))</f>
        <v/>
      </c>
      <c r="I3821" s="46" t="str">
        <f aca="false">IF($A3821="","",SUMIF($A$2:$A$5001,$A3821,$H$2:$H$5001))</f>
        <v/>
      </c>
      <c r="J3821" s="47" t="n">
        <f aca="false">IF($A3821="",0,IF(COUNTIF($A$2:A3821,$A3821)=1,1,0))</f>
        <v>0</v>
      </c>
      <c r="K3821" s="47" t="n">
        <f aca="false">IF(J3821=1,N(I3821)+ROW()/10000000,0)</f>
        <v>0</v>
      </c>
      <c r="L3821" s="47" t="str">
        <f aca="false">IF(AND(J3821=1,N(I3821)&gt;0),SUMIF($K$2:$K$5001,"&gt;="&amp;K3821,$I$2:$I$5001)/MAX(1,SUM($H$2:$H$5001)),"")</f>
        <v/>
      </c>
      <c r="M3821" s="47" t="str">
        <f aca="false">IF($A3821="","",INDEX($L$2:$L$5001,MATCH($A3821,$A$2:$A$5001,0)))</f>
        <v/>
      </c>
      <c r="N3821" s="48" t="str">
        <f aca="false">IF($A3821="","",IF(N(M3821)=0,"–",IF(M3821&lt;=Start!$D$20,"A",IF(M3821&lt;=Start!$D$21,"B","C"))))</f>
        <v/>
      </c>
      <c r="O3821" s="48" t="str">
        <f aca="false">IF($A3821="","",IF(NOT(ISNUMBER(F3821)),"Wert fehlt; ",IF(F3821&lt;=0,"Wert ist 0; ",""))&amp;IF(NOT(ISNUMBER(E3821)),"Bestand fehlt; ",IF(E3821&lt;0,"Bestand negativ; ",IF(E3821=0,"Nullbestand; ","")))&amp;IF(D3821="","Warengruppe fehlt; ","")&amp;IF(B3821="","Bezeichnung fehlt; ","")&amp;IF(COUNTIFS($A$2:$A$5001,$A3821,$C$2:$C$5001,C3821)&gt;1,"Artikel doppelt im selben Lager; ",""))</f>
        <v/>
      </c>
      <c r="P3821" s="47" t="n">
        <f aca="false">IF(OR($A3821="",D3821=""),0,IF(COUNTIF($D$2:D3821,D3821)=1,SUMIF($D$2:$D$5001,D3821,$H$2:$H$5001)+ROW()/10000000,0))</f>
        <v>0</v>
      </c>
      <c r="Q3821" s="47" t="n">
        <f aca="false">IF(OR($A3821="",C3821=""),0,IF(COUNTIF($C$2:C3821,C3821)=1,SUMIF($C$2:$C$5001,C3821,$H$2:$H$5001)+ROW()/10000000,0))</f>
        <v>0</v>
      </c>
    </row>
    <row r="3822" customFormat="false" ht="15" hidden="false" customHeight="false" outlineLevel="0" collapsed="false">
      <c r="A3822" s="43"/>
      <c r="B3822" s="44"/>
      <c r="C3822" s="44"/>
      <c r="D3822" s="44"/>
      <c r="E3822" s="44"/>
      <c r="F3822" s="44"/>
      <c r="G3822" s="44"/>
      <c r="H3822" s="46" t="str">
        <f aca="false">IF($A3822="","",IF(OR(NOT(ISNUMBER(E3822)),NOT(ISNUMBER(F3822))),"",MAX(0,E3822)*F3822))</f>
        <v/>
      </c>
      <c r="I3822" s="46" t="str">
        <f aca="false">IF($A3822="","",SUMIF($A$2:$A$5001,$A3822,$H$2:$H$5001))</f>
        <v/>
      </c>
      <c r="J3822" s="47" t="n">
        <f aca="false">IF($A3822="",0,IF(COUNTIF($A$2:A3822,$A3822)=1,1,0))</f>
        <v>0</v>
      </c>
      <c r="K3822" s="47" t="n">
        <f aca="false">IF(J3822=1,N(I3822)+ROW()/10000000,0)</f>
        <v>0</v>
      </c>
      <c r="L3822" s="47" t="str">
        <f aca="false">IF(AND(J3822=1,N(I3822)&gt;0),SUMIF($K$2:$K$5001,"&gt;="&amp;K3822,$I$2:$I$5001)/MAX(1,SUM($H$2:$H$5001)),"")</f>
        <v/>
      </c>
      <c r="M3822" s="47" t="str">
        <f aca="false">IF($A3822="","",INDEX($L$2:$L$5001,MATCH($A3822,$A$2:$A$5001,0)))</f>
        <v/>
      </c>
      <c r="N3822" s="48" t="str">
        <f aca="false">IF($A3822="","",IF(N(M3822)=0,"–",IF(M3822&lt;=Start!$D$20,"A",IF(M3822&lt;=Start!$D$21,"B","C"))))</f>
        <v/>
      </c>
      <c r="O3822" s="48" t="str">
        <f aca="false">IF($A3822="","",IF(NOT(ISNUMBER(F3822)),"Wert fehlt; ",IF(F3822&lt;=0,"Wert ist 0; ",""))&amp;IF(NOT(ISNUMBER(E3822)),"Bestand fehlt; ",IF(E3822&lt;0,"Bestand negativ; ",IF(E3822=0,"Nullbestand; ","")))&amp;IF(D3822="","Warengruppe fehlt; ","")&amp;IF(B3822="","Bezeichnung fehlt; ","")&amp;IF(COUNTIFS($A$2:$A$5001,$A3822,$C$2:$C$5001,C3822)&gt;1,"Artikel doppelt im selben Lager; ",""))</f>
        <v/>
      </c>
      <c r="P3822" s="47" t="n">
        <f aca="false">IF(OR($A3822="",D3822=""),0,IF(COUNTIF($D$2:D3822,D3822)=1,SUMIF($D$2:$D$5001,D3822,$H$2:$H$5001)+ROW()/10000000,0))</f>
        <v>0</v>
      </c>
      <c r="Q3822" s="47" t="n">
        <f aca="false">IF(OR($A3822="",C3822=""),0,IF(COUNTIF($C$2:C3822,C3822)=1,SUMIF($C$2:$C$5001,C3822,$H$2:$H$5001)+ROW()/10000000,0))</f>
        <v>0</v>
      </c>
    </row>
    <row r="3823" customFormat="false" ht="15" hidden="false" customHeight="false" outlineLevel="0" collapsed="false">
      <c r="A3823" s="43"/>
      <c r="B3823" s="44"/>
      <c r="C3823" s="44"/>
      <c r="D3823" s="44"/>
      <c r="E3823" s="44"/>
      <c r="F3823" s="44"/>
      <c r="G3823" s="44"/>
      <c r="H3823" s="46" t="str">
        <f aca="false">IF($A3823="","",IF(OR(NOT(ISNUMBER(E3823)),NOT(ISNUMBER(F3823))),"",MAX(0,E3823)*F3823))</f>
        <v/>
      </c>
      <c r="I3823" s="46" t="str">
        <f aca="false">IF($A3823="","",SUMIF($A$2:$A$5001,$A3823,$H$2:$H$5001))</f>
        <v/>
      </c>
      <c r="J3823" s="47" t="n">
        <f aca="false">IF($A3823="",0,IF(COUNTIF($A$2:A3823,$A3823)=1,1,0))</f>
        <v>0</v>
      </c>
      <c r="K3823" s="47" t="n">
        <f aca="false">IF(J3823=1,N(I3823)+ROW()/10000000,0)</f>
        <v>0</v>
      </c>
      <c r="L3823" s="47" t="str">
        <f aca="false">IF(AND(J3823=1,N(I3823)&gt;0),SUMIF($K$2:$K$5001,"&gt;="&amp;K3823,$I$2:$I$5001)/MAX(1,SUM($H$2:$H$5001)),"")</f>
        <v/>
      </c>
      <c r="M3823" s="47" t="str">
        <f aca="false">IF($A3823="","",INDEX($L$2:$L$5001,MATCH($A3823,$A$2:$A$5001,0)))</f>
        <v/>
      </c>
      <c r="N3823" s="48" t="str">
        <f aca="false">IF($A3823="","",IF(N(M3823)=0,"–",IF(M3823&lt;=Start!$D$20,"A",IF(M3823&lt;=Start!$D$21,"B","C"))))</f>
        <v/>
      </c>
      <c r="O3823" s="48" t="str">
        <f aca="false">IF($A3823="","",IF(NOT(ISNUMBER(F3823)),"Wert fehlt; ",IF(F3823&lt;=0,"Wert ist 0; ",""))&amp;IF(NOT(ISNUMBER(E3823)),"Bestand fehlt; ",IF(E3823&lt;0,"Bestand negativ; ",IF(E3823=0,"Nullbestand; ","")))&amp;IF(D3823="","Warengruppe fehlt; ","")&amp;IF(B3823="","Bezeichnung fehlt; ","")&amp;IF(COUNTIFS($A$2:$A$5001,$A3823,$C$2:$C$5001,C3823)&gt;1,"Artikel doppelt im selben Lager; ",""))</f>
        <v/>
      </c>
      <c r="P3823" s="47" t="n">
        <f aca="false">IF(OR($A3823="",D3823=""),0,IF(COUNTIF($D$2:D3823,D3823)=1,SUMIF($D$2:$D$5001,D3823,$H$2:$H$5001)+ROW()/10000000,0))</f>
        <v>0</v>
      </c>
      <c r="Q3823" s="47" t="n">
        <f aca="false">IF(OR($A3823="",C3823=""),0,IF(COUNTIF($C$2:C3823,C3823)=1,SUMIF($C$2:$C$5001,C3823,$H$2:$H$5001)+ROW()/10000000,0))</f>
        <v>0</v>
      </c>
    </row>
    <row r="3824" customFormat="false" ht="15" hidden="false" customHeight="false" outlineLevel="0" collapsed="false">
      <c r="A3824" s="43"/>
      <c r="B3824" s="44"/>
      <c r="C3824" s="44"/>
      <c r="D3824" s="44"/>
      <c r="E3824" s="44"/>
      <c r="F3824" s="44"/>
      <c r="G3824" s="44"/>
      <c r="H3824" s="46" t="str">
        <f aca="false">IF($A3824="","",IF(OR(NOT(ISNUMBER(E3824)),NOT(ISNUMBER(F3824))),"",MAX(0,E3824)*F3824))</f>
        <v/>
      </c>
      <c r="I3824" s="46" t="str">
        <f aca="false">IF($A3824="","",SUMIF($A$2:$A$5001,$A3824,$H$2:$H$5001))</f>
        <v/>
      </c>
      <c r="J3824" s="47" t="n">
        <f aca="false">IF($A3824="",0,IF(COUNTIF($A$2:A3824,$A3824)=1,1,0))</f>
        <v>0</v>
      </c>
      <c r="K3824" s="47" t="n">
        <f aca="false">IF(J3824=1,N(I3824)+ROW()/10000000,0)</f>
        <v>0</v>
      </c>
      <c r="L3824" s="47" t="str">
        <f aca="false">IF(AND(J3824=1,N(I3824)&gt;0),SUMIF($K$2:$K$5001,"&gt;="&amp;K3824,$I$2:$I$5001)/MAX(1,SUM($H$2:$H$5001)),"")</f>
        <v/>
      </c>
      <c r="M3824" s="47" t="str">
        <f aca="false">IF($A3824="","",INDEX($L$2:$L$5001,MATCH($A3824,$A$2:$A$5001,0)))</f>
        <v/>
      </c>
      <c r="N3824" s="48" t="str">
        <f aca="false">IF($A3824="","",IF(N(M3824)=0,"–",IF(M3824&lt;=Start!$D$20,"A",IF(M3824&lt;=Start!$D$21,"B","C"))))</f>
        <v/>
      </c>
      <c r="O3824" s="48" t="str">
        <f aca="false">IF($A3824="","",IF(NOT(ISNUMBER(F3824)),"Wert fehlt; ",IF(F3824&lt;=0,"Wert ist 0; ",""))&amp;IF(NOT(ISNUMBER(E3824)),"Bestand fehlt; ",IF(E3824&lt;0,"Bestand negativ; ",IF(E3824=0,"Nullbestand; ","")))&amp;IF(D3824="","Warengruppe fehlt; ","")&amp;IF(B3824="","Bezeichnung fehlt; ","")&amp;IF(COUNTIFS($A$2:$A$5001,$A3824,$C$2:$C$5001,C3824)&gt;1,"Artikel doppelt im selben Lager; ",""))</f>
        <v/>
      </c>
      <c r="P3824" s="47" t="n">
        <f aca="false">IF(OR($A3824="",D3824=""),0,IF(COUNTIF($D$2:D3824,D3824)=1,SUMIF($D$2:$D$5001,D3824,$H$2:$H$5001)+ROW()/10000000,0))</f>
        <v>0</v>
      </c>
      <c r="Q3824" s="47" t="n">
        <f aca="false">IF(OR($A3824="",C3824=""),0,IF(COUNTIF($C$2:C3824,C3824)=1,SUMIF($C$2:$C$5001,C3824,$H$2:$H$5001)+ROW()/10000000,0))</f>
        <v>0</v>
      </c>
    </row>
    <row r="3825" customFormat="false" ht="15" hidden="false" customHeight="false" outlineLevel="0" collapsed="false">
      <c r="A3825" s="43"/>
      <c r="B3825" s="44"/>
      <c r="C3825" s="44"/>
      <c r="D3825" s="44"/>
      <c r="E3825" s="44"/>
      <c r="F3825" s="44"/>
      <c r="G3825" s="44"/>
      <c r="H3825" s="46" t="str">
        <f aca="false">IF($A3825="","",IF(OR(NOT(ISNUMBER(E3825)),NOT(ISNUMBER(F3825))),"",MAX(0,E3825)*F3825))</f>
        <v/>
      </c>
      <c r="I3825" s="46" t="str">
        <f aca="false">IF($A3825="","",SUMIF($A$2:$A$5001,$A3825,$H$2:$H$5001))</f>
        <v/>
      </c>
      <c r="J3825" s="47" t="n">
        <f aca="false">IF($A3825="",0,IF(COUNTIF($A$2:A3825,$A3825)=1,1,0))</f>
        <v>0</v>
      </c>
      <c r="K3825" s="47" t="n">
        <f aca="false">IF(J3825=1,N(I3825)+ROW()/10000000,0)</f>
        <v>0</v>
      </c>
      <c r="L3825" s="47" t="str">
        <f aca="false">IF(AND(J3825=1,N(I3825)&gt;0),SUMIF($K$2:$K$5001,"&gt;="&amp;K3825,$I$2:$I$5001)/MAX(1,SUM($H$2:$H$5001)),"")</f>
        <v/>
      </c>
      <c r="M3825" s="47" t="str">
        <f aca="false">IF($A3825="","",INDEX($L$2:$L$5001,MATCH($A3825,$A$2:$A$5001,0)))</f>
        <v/>
      </c>
      <c r="N3825" s="48" t="str">
        <f aca="false">IF($A3825="","",IF(N(M3825)=0,"–",IF(M3825&lt;=Start!$D$20,"A",IF(M3825&lt;=Start!$D$21,"B","C"))))</f>
        <v/>
      </c>
      <c r="O3825" s="48" t="str">
        <f aca="false">IF($A3825="","",IF(NOT(ISNUMBER(F3825)),"Wert fehlt; ",IF(F3825&lt;=0,"Wert ist 0; ",""))&amp;IF(NOT(ISNUMBER(E3825)),"Bestand fehlt; ",IF(E3825&lt;0,"Bestand negativ; ",IF(E3825=0,"Nullbestand; ","")))&amp;IF(D3825="","Warengruppe fehlt; ","")&amp;IF(B3825="","Bezeichnung fehlt; ","")&amp;IF(COUNTIFS($A$2:$A$5001,$A3825,$C$2:$C$5001,C3825)&gt;1,"Artikel doppelt im selben Lager; ",""))</f>
        <v/>
      </c>
      <c r="P3825" s="47" t="n">
        <f aca="false">IF(OR($A3825="",D3825=""),0,IF(COUNTIF($D$2:D3825,D3825)=1,SUMIF($D$2:$D$5001,D3825,$H$2:$H$5001)+ROW()/10000000,0))</f>
        <v>0</v>
      </c>
      <c r="Q3825" s="47" t="n">
        <f aca="false">IF(OR($A3825="",C3825=""),0,IF(COUNTIF($C$2:C3825,C3825)=1,SUMIF($C$2:$C$5001,C3825,$H$2:$H$5001)+ROW()/10000000,0))</f>
        <v>0</v>
      </c>
    </row>
    <row r="3826" customFormat="false" ht="15" hidden="false" customHeight="false" outlineLevel="0" collapsed="false">
      <c r="A3826" s="43"/>
      <c r="B3826" s="44"/>
      <c r="C3826" s="44"/>
      <c r="D3826" s="44"/>
      <c r="E3826" s="44"/>
      <c r="F3826" s="44"/>
      <c r="G3826" s="44"/>
      <c r="H3826" s="46" t="str">
        <f aca="false">IF($A3826="","",IF(OR(NOT(ISNUMBER(E3826)),NOT(ISNUMBER(F3826))),"",MAX(0,E3826)*F3826))</f>
        <v/>
      </c>
      <c r="I3826" s="46" t="str">
        <f aca="false">IF($A3826="","",SUMIF($A$2:$A$5001,$A3826,$H$2:$H$5001))</f>
        <v/>
      </c>
      <c r="J3826" s="47" t="n">
        <f aca="false">IF($A3826="",0,IF(COUNTIF($A$2:A3826,$A3826)=1,1,0))</f>
        <v>0</v>
      </c>
      <c r="K3826" s="47" t="n">
        <f aca="false">IF(J3826=1,N(I3826)+ROW()/10000000,0)</f>
        <v>0</v>
      </c>
      <c r="L3826" s="47" t="str">
        <f aca="false">IF(AND(J3826=1,N(I3826)&gt;0),SUMIF($K$2:$K$5001,"&gt;="&amp;K3826,$I$2:$I$5001)/MAX(1,SUM($H$2:$H$5001)),"")</f>
        <v/>
      </c>
      <c r="M3826" s="47" t="str">
        <f aca="false">IF($A3826="","",INDEX($L$2:$L$5001,MATCH($A3826,$A$2:$A$5001,0)))</f>
        <v/>
      </c>
      <c r="N3826" s="48" t="str">
        <f aca="false">IF($A3826="","",IF(N(M3826)=0,"–",IF(M3826&lt;=Start!$D$20,"A",IF(M3826&lt;=Start!$D$21,"B","C"))))</f>
        <v/>
      </c>
      <c r="O3826" s="48" t="str">
        <f aca="false">IF($A3826="","",IF(NOT(ISNUMBER(F3826)),"Wert fehlt; ",IF(F3826&lt;=0,"Wert ist 0; ",""))&amp;IF(NOT(ISNUMBER(E3826)),"Bestand fehlt; ",IF(E3826&lt;0,"Bestand negativ; ",IF(E3826=0,"Nullbestand; ","")))&amp;IF(D3826="","Warengruppe fehlt; ","")&amp;IF(B3826="","Bezeichnung fehlt; ","")&amp;IF(COUNTIFS($A$2:$A$5001,$A3826,$C$2:$C$5001,C3826)&gt;1,"Artikel doppelt im selben Lager; ",""))</f>
        <v/>
      </c>
      <c r="P3826" s="47" t="n">
        <f aca="false">IF(OR($A3826="",D3826=""),0,IF(COUNTIF($D$2:D3826,D3826)=1,SUMIF($D$2:$D$5001,D3826,$H$2:$H$5001)+ROW()/10000000,0))</f>
        <v>0</v>
      </c>
      <c r="Q3826" s="47" t="n">
        <f aca="false">IF(OR($A3826="",C3826=""),0,IF(COUNTIF($C$2:C3826,C3826)=1,SUMIF($C$2:$C$5001,C3826,$H$2:$H$5001)+ROW()/10000000,0))</f>
        <v>0</v>
      </c>
    </row>
    <row r="3827" customFormat="false" ht="15" hidden="false" customHeight="false" outlineLevel="0" collapsed="false">
      <c r="A3827" s="43"/>
      <c r="B3827" s="44"/>
      <c r="C3827" s="44"/>
      <c r="D3827" s="44"/>
      <c r="E3827" s="44"/>
      <c r="F3827" s="44"/>
      <c r="G3827" s="44"/>
      <c r="H3827" s="46" t="str">
        <f aca="false">IF($A3827="","",IF(OR(NOT(ISNUMBER(E3827)),NOT(ISNUMBER(F3827))),"",MAX(0,E3827)*F3827))</f>
        <v/>
      </c>
      <c r="I3827" s="46" t="str">
        <f aca="false">IF($A3827="","",SUMIF($A$2:$A$5001,$A3827,$H$2:$H$5001))</f>
        <v/>
      </c>
      <c r="J3827" s="47" t="n">
        <f aca="false">IF($A3827="",0,IF(COUNTIF($A$2:A3827,$A3827)=1,1,0))</f>
        <v>0</v>
      </c>
      <c r="K3827" s="47" t="n">
        <f aca="false">IF(J3827=1,N(I3827)+ROW()/10000000,0)</f>
        <v>0</v>
      </c>
      <c r="L3827" s="47" t="str">
        <f aca="false">IF(AND(J3827=1,N(I3827)&gt;0),SUMIF($K$2:$K$5001,"&gt;="&amp;K3827,$I$2:$I$5001)/MAX(1,SUM($H$2:$H$5001)),"")</f>
        <v/>
      </c>
      <c r="M3827" s="47" t="str">
        <f aca="false">IF($A3827="","",INDEX($L$2:$L$5001,MATCH($A3827,$A$2:$A$5001,0)))</f>
        <v/>
      </c>
      <c r="N3827" s="48" t="str">
        <f aca="false">IF($A3827="","",IF(N(M3827)=0,"–",IF(M3827&lt;=Start!$D$20,"A",IF(M3827&lt;=Start!$D$21,"B","C"))))</f>
        <v/>
      </c>
      <c r="O3827" s="48" t="str">
        <f aca="false">IF($A3827="","",IF(NOT(ISNUMBER(F3827)),"Wert fehlt; ",IF(F3827&lt;=0,"Wert ist 0; ",""))&amp;IF(NOT(ISNUMBER(E3827)),"Bestand fehlt; ",IF(E3827&lt;0,"Bestand negativ; ",IF(E3827=0,"Nullbestand; ","")))&amp;IF(D3827="","Warengruppe fehlt; ","")&amp;IF(B3827="","Bezeichnung fehlt; ","")&amp;IF(COUNTIFS($A$2:$A$5001,$A3827,$C$2:$C$5001,C3827)&gt;1,"Artikel doppelt im selben Lager; ",""))</f>
        <v/>
      </c>
      <c r="P3827" s="47" t="n">
        <f aca="false">IF(OR($A3827="",D3827=""),0,IF(COUNTIF($D$2:D3827,D3827)=1,SUMIF($D$2:$D$5001,D3827,$H$2:$H$5001)+ROW()/10000000,0))</f>
        <v>0</v>
      </c>
      <c r="Q3827" s="47" t="n">
        <f aca="false">IF(OR($A3827="",C3827=""),0,IF(COUNTIF($C$2:C3827,C3827)=1,SUMIF($C$2:$C$5001,C3827,$H$2:$H$5001)+ROW()/10000000,0))</f>
        <v>0</v>
      </c>
    </row>
    <row r="3828" customFormat="false" ht="15" hidden="false" customHeight="false" outlineLevel="0" collapsed="false">
      <c r="A3828" s="43"/>
      <c r="B3828" s="44"/>
      <c r="C3828" s="44"/>
      <c r="D3828" s="44"/>
      <c r="E3828" s="44"/>
      <c r="F3828" s="44"/>
      <c r="G3828" s="44"/>
      <c r="H3828" s="46" t="str">
        <f aca="false">IF($A3828="","",IF(OR(NOT(ISNUMBER(E3828)),NOT(ISNUMBER(F3828))),"",MAX(0,E3828)*F3828))</f>
        <v/>
      </c>
      <c r="I3828" s="46" t="str">
        <f aca="false">IF($A3828="","",SUMIF($A$2:$A$5001,$A3828,$H$2:$H$5001))</f>
        <v/>
      </c>
      <c r="J3828" s="47" t="n">
        <f aca="false">IF($A3828="",0,IF(COUNTIF($A$2:A3828,$A3828)=1,1,0))</f>
        <v>0</v>
      </c>
      <c r="K3828" s="47" t="n">
        <f aca="false">IF(J3828=1,N(I3828)+ROW()/10000000,0)</f>
        <v>0</v>
      </c>
      <c r="L3828" s="47" t="str">
        <f aca="false">IF(AND(J3828=1,N(I3828)&gt;0),SUMIF($K$2:$K$5001,"&gt;="&amp;K3828,$I$2:$I$5001)/MAX(1,SUM($H$2:$H$5001)),"")</f>
        <v/>
      </c>
      <c r="M3828" s="47" t="str">
        <f aca="false">IF($A3828="","",INDEX($L$2:$L$5001,MATCH($A3828,$A$2:$A$5001,0)))</f>
        <v/>
      </c>
      <c r="N3828" s="48" t="str">
        <f aca="false">IF($A3828="","",IF(N(M3828)=0,"–",IF(M3828&lt;=Start!$D$20,"A",IF(M3828&lt;=Start!$D$21,"B","C"))))</f>
        <v/>
      </c>
      <c r="O3828" s="48" t="str">
        <f aca="false">IF($A3828="","",IF(NOT(ISNUMBER(F3828)),"Wert fehlt; ",IF(F3828&lt;=0,"Wert ist 0; ",""))&amp;IF(NOT(ISNUMBER(E3828)),"Bestand fehlt; ",IF(E3828&lt;0,"Bestand negativ; ",IF(E3828=0,"Nullbestand; ","")))&amp;IF(D3828="","Warengruppe fehlt; ","")&amp;IF(B3828="","Bezeichnung fehlt; ","")&amp;IF(COUNTIFS($A$2:$A$5001,$A3828,$C$2:$C$5001,C3828)&gt;1,"Artikel doppelt im selben Lager; ",""))</f>
        <v/>
      </c>
      <c r="P3828" s="47" t="n">
        <f aca="false">IF(OR($A3828="",D3828=""),0,IF(COUNTIF($D$2:D3828,D3828)=1,SUMIF($D$2:$D$5001,D3828,$H$2:$H$5001)+ROW()/10000000,0))</f>
        <v>0</v>
      </c>
      <c r="Q3828" s="47" t="n">
        <f aca="false">IF(OR($A3828="",C3828=""),0,IF(COUNTIF($C$2:C3828,C3828)=1,SUMIF($C$2:$C$5001,C3828,$H$2:$H$5001)+ROW()/10000000,0))</f>
        <v>0</v>
      </c>
    </row>
    <row r="3829" customFormat="false" ht="15" hidden="false" customHeight="false" outlineLevel="0" collapsed="false">
      <c r="A3829" s="43"/>
      <c r="B3829" s="44"/>
      <c r="C3829" s="44"/>
      <c r="D3829" s="44"/>
      <c r="E3829" s="44"/>
      <c r="F3829" s="44"/>
      <c r="G3829" s="44"/>
      <c r="H3829" s="46" t="str">
        <f aca="false">IF($A3829="","",IF(OR(NOT(ISNUMBER(E3829)),NOT(ISNUMBER(F3829))),"",MAX(0,E3829)*F3829))</f>
        <v/>
      </c>
      <c r="I3829" s="46" t="str">
        <f aca="false">IF($A3829="","",SUMIF($A$2:$A$5001,$A3829,$H$2:$H$5001))</f>
        <v/>
      </c>
      <c r="J3829" s="47" t="n">
        <f aca="false">IF($A3829="",0,IF(COUNTIF($A$2:A3829,$A3829)=1,1,0))</f>
        <v>0</v>
      </c>
      <c r="K3829" s="47" t="n">
        <f aca="false">IF(J3829=1,N(I3829)+ROW()/10000000,0)</f>
        <v>0</v>
      </c>
      <c r="L3829" s="47" t="str">
        <f aca="false">IF(AND(J3829=1,N(I3829)&gt;0),SUMIF($K$2:$K$5001,"&gt;="&amp;K3829,$I$2:$I$5001)/MAX(1,SUM($H$2:$H$5001)),"")</f>
        <v/>
      </c>
      <c r="M3829" s="47" t="str">
        <f aca="false">IF($A3829="","",INDEX($L$2:$L$5001,MATCH($A3829,$A$2:$A$5001,0)))</f>
        <v/>
      </c>
      <c r="N3829" s="48" t="str">
        <f aca="false">IF($A3829="","",IF(N(M3829)=0,"–",IF(M3829&lt;=Start!$D$20,"A",IF(M3829&lt;=Start!$D$21,"B","C"))))</f>
        <v/>
      </c>
      <c r="O3829" s="48" t="str">
        <f aca="false">IF($A3829="","",IF(NOT(ISNUMBER(F3829)),"Wert fehlt; ",IF(F3829&lt;=0,"Wert ist 0; ",""))&amp;IF(NOT(ISNUMBER(E3829)),"Bestand fehlt; ",IF(E3829&lt;0,"Bestand negativ; ",IF(E3829=0,"Nullbestand; ","")))&amp;IF(D3829="","Warengruppe fehlt; ","")&amp;IF(B3829="","Bezeichnung fehlt; ","")&amp;IF(COUNTIFS($A$2:$A$5001,$A3829,$C$2:$C$5001,C3829)&gt;1,"Artikel doppelt im selben Lager; ",""))</f>
        <v/>
      </c>
      <c r="P3829" s="47" t="n">
        <f aca="false">IF(OR($A3829="",D3829=""),0,IF(COUNTIF($D$2:D3829,D3829)=1,SUMIF($D$2:$D$5001,D3829,$H$2:$H$5001)+ROW()/10000000,0))</f>
        <v>0</v>
      </c>
      <c r="Q3829" s="47" t="n">
        <f aca="false">IF(OR($A3829="",C3829=""),0,IF(COUNTIF($C$2:C3829,C3829)=1,SUMIF($C$2:$C$5001,C3829,$H$2:$H$5001)+ROW()/10000000,0))</f>
        <v>0</v>
      </c>
    </row>
    <row r="3830" customFormat="false" ht="15" hidden="false" customHeight="false" outlineLevel="0" collapsed="false">
      <c r="A3830" s="43"/>
      <c r="B3830" s="44"/>
      <c r="C3830" s="44"/>
      <c r="D3830" s="44"/>
      <c r="E3830" s="44"/>
      <c r="F3830" s="44"/>
      <c r="G3830" s="44"/>
      <c r="H3830" s="46" t="str">
        <f aca="false">IF($A3830="","",IF(OR(NOT(ISNUMBER(E3830)),NOT(ISNUMBER(F3830))),"",MAX(0,E3830)*F3830))</f>
        <v/>
      </c>
      <c r="I3830" s="46" t="str">
        <f aca="false">IF($A3830="","",SUMIF($A$2:$A$5001,$A3830,$H$2:$H$5001))</f>
        <v/>
      </c>
      <c r="J3830" s="47" t="n">
        <f aca="false">IF($A3830="",0,IF(COUNTIF($A$2:A3830,$A3830)=1,1,0))</f>
        <v>0</v>
      </c>
      <c r="K3830" s="47" t="n">
        <f aca="false">IF(J3830=1,N(I3830)+ROW()/10000000,0)</f>
        <v>0</v>
      </c>
      <c r="L3830" s="47" t="str">
        <f aca="false">IF(AND(J3830=1,N(I3830)&gt;0),SUMIF($K$2:$K$5001,"&gt;="&amp;K3830,$I$2:$I$5001)/MAX(1,SUM($H$2:$H$5001)),"")</f>
        <v/>
      </c>
      <c r="M3830" s="47" t="str">
        <f aca="false">IF($A3830="","",INDEX($L$2:$L$5001,MATCH($A3830,$A$2:$A$5001,0)))</f>
        <v/>
      </c>
      <c r="N3830" s="48" t="str">
        <f aca="false">IF($A3830="","",IF(N(M3830)=0,"–",IF(M3830&lt;=Start!$D$20,"A",IF(M3830&lt;=Start!$D$21,"B","C"))))</f>
        <v/>
      </c>
      <c r="O3830" s="48" t="str">
        <f aca="false">IF($A3830="","",IF(NOT(ISNUMBER(F3830)),"Wert fehlt; ",IF(F3830&lt;=0,"Wert ist 0; ",""))&amp;IF(NOT(ISNUMBER(E3830)),"Bestand fehlt; ",IF(E3830&lt;0,"Bestand negativ; ",IF(E3830=0,"Nullbestand; ","")))&amp;IF(D3830="","Warengruppe fehlt; ","")&amp;IF(B3830="","Bezeichnung fehlt; ","")&amp;IF(COUNTIFS($A$2:$A$5001,$A3830,$C$2:$C$5001,C3830)&gt;1,"Artikel doppelt im selben Lager; ",""))</f>
        <v/>
      </c>
      <c r="P3830" s="47" t="n">
        <f aca="false">IF(OR($A3830="",D3830=""),0,IF(COUNTIF($D$2:D3830,D3830)=1,SUMIF($D$2:$D$5001,D3830,$H$2:$H$5001)+ROW()/10000000,0))</f>
        <v>0</v>
      </c>
      <c r="Q3830" s="47" t="n">
        <f aca="false">IF(OR($A3830="",C3830=""),0,IF(COUNTIF($C$2:C3830,C3830)=1,SUMIF($C$2:$C$5001,C3830,$H$2:$H$5001)+ROW()/10000000,0))</f>
        <v>0</v>
      </c>
    </row>
    <row r="3831" customFormat="false" ht="15" hidden="false" customHeight="false" outlineLevel="0" collapsed="false">
      <c r="A3831" s="43"/>
      <c r="B3831" s="44"/>
      <c r="C3831" s="44"/>
      <c r="D3831" s="44"/>
      <c r="E3831" s="44"/>
      <c r="F3831" s="44"/>
      <c r="G3831" s="44"/>
      <c r="H3831" s="46" t="str">
        <f aca="false">IF($A3831="","",IF(OR(NOT(ISNUMBER(E3831)),NOT(ISNUMBER(F3831))),"",MAX(0,E3831)*F3831))</f>
        <v/>
      </c>
      <c r="I3831" s="46" t="str">
        <f aca="false">IF($A3831="","",SUMIF($A$2:$A$5001,$A3831,$H$2:$H$5001))</f>
        <v/>
      </c>
      <c r="J3831" s="47" t="n">
        <f aca="false">IF($A3831="",0,IF(COUNTIF($A$2:A3831,$A3831)=1,1,0))</f>
        <v>0</v>
      </c>
      <c r="K3831" s="47" t="n">
        <f aca="false">IF(J3831=1,N(I3831)+ROW()/10000000,0)</f>
        <v>0</v>
      </c>
      <c r="L3831" s="47" t="str">
        <f aca="false">IF(AND(J3831=1,N(I3831)&gt;0),SUMIF($K$2:$K$5001,"&gt;="&amp;K3831,$I$2:$I$5001)/MAX(1,SUM($H$2:$H$5001)),"")</f>
        <v/>
      </c>
      <c r="M3831" s="47" t="str">
        <f aca="false">IF($A3831="","",INDEX($L$2:$L$5001,MATCH($A3831,$A$2:$A$5001,0)))</f>
        <v/>
      </c>
      <c r="N3831" s="48" t="str">
        <f aca="false">IF($A3831="","",IF(N(M3831)=0,"–",IF(M3831&lt;=Start!$D$20,"A",IF(M3831&lt;=Start!$D$21,"B","C"))))</f>
        <v/>
      </c>
      <c r="O3831" s="48" t="str">
        <f aca="false">IF($A3831="","",IF(NOT(ISNUMBER(F3831)),"Wert fehlt; ",IF(F3831&lt;=0,"Wert ist 0; ",""))&amp;IF(NOT(ISNUMBER(E3831)),"Bestand fehlt; ",IF(E3831&lt;0,"Bestand negativ; ",IF(E3831=0,"Nullbestand; ","")))&amp;IF(D3831="","Warengruppe fehlt; ","")&amp;IF(B3831="","Bezeichnung fehlt; ","")&amp;IF(COUNTIFS($A$2:$A$5001,$A3831,$C$2:$C$5001,C3831)&gt;1,"Artikel doppelt im selben Lager; ",""))</f>
        <v/>
      </c>
      <c r="P3831" s="47" t="n">
        <f aca="false">IF(OR($A3831="",D3831=""),0,IF(COUNTIF($D$2:D3831,D3831)=1,SUMIF($D$2:$D$5001,D3831,$H$2:$H$5001)+ROW()/10000000,0))</f>
        <v>0</v>
      </c>
      <c r="Q3831" s="47" t="n">
        <f aca="false">IF(OR($A3831="",C3831=""),0,IF(COUNTIF($C$2:C3831,C3831)=1,SUMIF($C$2:$C$5001,C3831,$H$2:$H$5001)+ROW()/10000000,0))</f>
        <v>0</v>
      </c>
    </row>
    <row r="3832" customFormat="false" ht="15" hidden="false" customHeight="false" outlineLevel="0" collapsed="false">
      <c r="A3832" s="43"/>
      <c r="B3832" s="44"/>
      <c r="C3832" s="44"/>
      <c r="D3832" s="44"/>
      <c r="E3832" s="44"/>
      <c r="F3832" s="44"/>
      <c r="G3832" s="44"/>
      <c r="H3832" s="46" t="str">
        <f aca="false">IF($A3832="","",IF(OR(NOT(ISNUMBER(E3832)),NOT(ISNUMBER(F3832))),"",MAX(0,E3832)*F3832))</f>
        <v/>
      </c>
      <c r="I3832" s="46" t="str">
        <f aca="false">IF($A3832="","",SUMIF($A$2:$A$5001,$A3832,$H$2:$H$5001))</f>
        <v/>
      </c>
      <c r="J3832" s="47" t="n">
        <f aca="false">IF($A3832="",0,IF(COUNTIF($A$2:A3832,$A3832)=1,1,0))</f>
        <v>0</v>
      </c>
      <c r="K3832" s="47" t="n">
        <f aca="false">IF(J3832=1,N(I3832)+ROW()/10000000,0)</f>
        <v>0</v>
      </c>
      <c r="L3832" s="47" t="str">
        <f aca="false">IF(AND(J3832=1,N(I3832)&gt;0),SUMIF($K$2:$K$5001,"&gt;="&amp;K3832,$I$2:$I$5001)/MAX(1,SUM($H$2:$H$5001)),"")</f>
        <v/>
      </c>
      <c r="M3832" s="47" t="str">
        <f aca="false">IF($A3832="","",INDEX($L$2:$L$5001,MATCH($A3832,$A$2:$A$5001,0)))</f>
        <v/>
      </c>
      <c r="N3832" s="48" t="str">
        <f aca="false">IF($A3832="","",IF(N(M3832)=0,"–",IF(M3832&lt;=Start!$D$20,"A",IF(M3832&lt;=Start!$D$21,"B","C"))))</f>
        <v/>
      </c>
      <c r="O3832" s="48" t="str">
        <f aca="false">IF($A3832="","",IF(NOT(ISNUMBER(F3832)),"Wert fehlt; ",IF(F3832&lt;=0,"Wert ist 0; ",""))&amp;IF(NOT(ISNUMBER(E3832)),"Bestand fehlt; ",IF(E3832&lt;0,"Bestand negativ; ",IF(E3832=0,"Nullbestand; ","")))&amp;IF(D3832="","Warengruppe fehlt; ","")&amp;IF(B3832="","Bezeichnung fehlt; ","")&amp;IF(COUNTIFS($A$2:$A$5001,$A3832,$C$2:$C$5001,C3832)&gt;1,"Artikel doppelt im selben Lager; ",""))</f>
        <v/>
      </c>
      <c r="P3832" s="47" t="n">
        <f aca="false">IF(OR($A3832="",D3832=""),0,IF(COUNTIF($D$2:D3832,D3832)=1,SUMIF($D$2:$D$5001,D3832,$H$2:$H$5001)+ROW()/10000000,0))</f>
        <v>0</v>
      </c>
      <c r="Q3832" s="47" t="n">
        <f aca="false">IF(OR($A3832="",C3832=""),0,IF(COUNTIF($C$2:C3832,C3832)=1,SUMIF($C$2:$C$5001,C3832,$H$2:$H$5001)+ROW()/10000000,0))</f>
        <v>0</v>
      </c>
    </row>
    <row r="3833" customFormat="false" ht="15" hidden="false" customHeight="false" outlineLevel="0" collapsed="false">
      <c r="A3833" s="43"/>
      <c r="B3833" s="44"/>
      <c r="C3833" s="44"/>
      <c r="D3833" s="44"/>
      <c r="E3833" s="44"/>
      <c r="F3833" s="44"/>
      <c r="G3833" s="44"/>
      <c r="H3833" s="46" t="str">
        <f aca="false">IF($A3833="","",IF(OR(NOT(ISNUMBER(E3833)),NOT(ISNUMBER(F3833))),"",MAX(0,E3833)*F3833))</f>
        <v/>
      </c>
      <c r="I3833" s="46" t="str">
        <f aca="false">IF($A3833="","",SUMIF($A$2:$A$5001,$A3833,$H$2:$H$5001))</f>
        <v/>
      </c>
      <c r="J3833" s="47" t="n">
        <f aca="false">IF($A3833="",0,IF(COUNTIF($A$2:A3833,$A3833)=1,1,0))</f>
        <v>0</v>
      </c>
      <c r="K3833" s="47" t="n">
        <f aca="false">IF(J3833=1,N(I3833)+ROW()/10000000,0)</f>
        <v>0</v>
      </c>
      <c r="L3833" s="47" t="str">
        <f aca="false">IF(AND(J3833=1,N(I3833)&gt;0),SUMIF($K$2:$K$5001,"&gt;="&amp;K3833,$I$2:$I$5001)/MAX(1,SUM($H$2:$H$5001)),"")</f>
        <v/>
      </c>
      <c r="M3833" s="47" t="str">
        <f aca="false">IF($A3833="","",INDEX($L$2:$L$5001,MATCH($A3833,$A$2:$A$5001,0)))</f>
        <v/>
      </c>
      <c r="N3833" s="48" t="str">
        <f aca="false">IF($A3833="","",IF(N(M3833)=0,"–",IF(M3833&lt;=Start!$D$20,"A",IF(M3833&lt;=Start!$D$21,"B","C"))))</f>
        <v/>
      </c>
      <c r="O3833" s="48" t="str">
        <f aca="false">IF($A3833="","",IF(NOT(ISNUMBER(F3833)),"Wert fehlt; ",IF(F3833&lt;=0,"Wert ist 0; ",""))&amp;IF(NOT(ISNUMBER(E3833)),"Bestand fehlt; ",IF(E3833&lt;0,"Bestand negativ; ",IF(E3833=0,"Nullbestand; ","")))&amp;IF(D3833="","Warengruppe fehlt; ","")&amp;IF(B3833="","Bezeichnung fehlt; ","")&amp;IF(COUNTIFS($A$2:$A$5001,$A3833,$C$2:$C$5001,C3833)&gt;1,"Artikel doppelt im selben Lager; ",""))</f>
        <v/>
      </c>
      <c r="P3833" s="47" t="n">
        <f aca="false">IF(OR($A3833="",D3833=""),0,IF(COUNTIF($D$2:D3833,D3833)=1,SUMIF($D$2:$D$5001,D3833,$H$2:$H$5001)+ROW()/10000000,0))</f>
        <v>0</v>
      </c>
      <c r="Q3833" s="47" t="n">
        <f aca="false">IF(OR($A3833="",C3833=""),0,IF(COUNTIF($C$2:C3833,C3833)=1,SUMIF($C$2:$C$5001,C3833,$H$2:$H$5001)+ROW()/10000000,0))</f>
        <v>0</v>
      </c>
    </row>
    <row r="3834" customFormat="false" ht="15" hidden="false" customHeight="false" outlineLevel="0" collapsed="false">
      <c r="A3834" s="43"/>
      <c r="B3834" s="44"/>
      <c r="C3834" s="44"/>
      <c r="D3834" s="44"/>
      <c r="E3834" s="44"/>
      <c r="F3834" s="44"/>
      <c r="G3834" s="44"/>
      <c r="H3834" s="46" t="str">
        <f aca="false">IF($A3834="","",IF(OR(NOT(ISNUMBER(E3834)),NOT(ISNUMBER(F3834))),"",MAX(0,E3834)*F3834))</f>
        <v/>
      </c>
      <c r="I3834" s="46" t="str">
        <f aca="false">IF($A3834="","",SUMIF($A$2:$A$5001,$A3834,$H$2:$H$5001))</f>
        <v/>
      </c>
      <c r="J3834" s="47" t="n">
        <f aca="false">IF($A3834="",0,IF(COUNTIF($A$2:A3834,$A3834)=1,1,0))</f>
        <v>0</v>
      </c>
      <c r="K3834" s="47" t="n">
        <f aca="false">IF(J3834=1,N(I3834)+ROW()/10000000,0)</f>
        <v>0</v>
      </c>
      <c r="L3834" s="47" t="str">
        <f aca="false">IF(AND(J3834=1,N(I3834)&gt;0),SUMIF($K$2:$K$5001,"&gt;="&amp;K3834,$I$2:$I$5001)/MAX(1,SUM($H$2:$H$5001)),"")</f>
        <v/>
      </c>
      <c r="M3834" s="47" t="str">
        <f aca="false">IF($A3834="","",INDEX($L$2:$L$5001,MATCH($A3834,$A$2:$A$5001,0)))</f>
        <v/>
      </c>
      <c r="N3834" s="48" t="str">
        <f aca="false">IF($A3834="","",IF(N(M3834)=0,"–",IF(M3834&lt;=Start!$D$20,"A",IF(M3834&lt;=Start!$D$21,"B","C"))))</f>
        <v/>
      </c>
      <c r="O3834" s="48" t="str">
        <f aca="false">IF($A3834="","",IF(NOT(ISNUMBER(F3834)),"Wert fehlt; ",IF(F3834&lt;=0,"Wert ist 0; ",""))&amp;IF(NOT(ISNUMBER(E3834)),"Bestand fehlt; ",IF(E3834&lt;0,"Bestand negativ; ",IF(E3834=0,"Nullbestand; ","")))&amp;IF(D3834="","Warengruppe fehlt; ","")&amp;IF(B3834="","Bezeichnung fehlt; ","")&amp;IF(COUNTIFS($A$2:$A$5001,$A3834,$C$2:$C$5001,C3834)&gt;1,"Artikel doppelt im selben Lager; ",""))</f>
        <v/>
      </c>
      <c r="P3834" s="47" t="n">
        <f aca="false">IF(OR($A3834="",D3834=""),0,IF(COUNTIF($D$2:D3834,D3834)=1,SUMIF($D$2:$D$5001,D3834,$H$2:$H$5001)+ROW()/10000000,0))</f>
        <v>0</v>
      </c>
      <c r="Q3834" s="47" t="n">
        <f aca="false">IF(OR($A3834="",C3834=""),0,IF(COUNTIF($C$2:C3834,C3834)=1,SUMIF($C$2:$C$5001,C3834,$H$2:$H$5001)+ROW()/10000000,0))</f>
        <v>0</v>
      </c>
    </row>
    <row r="3835" customFormat="false" ht="15" hidden="false" customHeight="false" outlineLevel="0" collapsed="false">
      <c r="A3835" s="43"/>
      <c r="B3835" s="44"/>
      <c r="C3835" s="44"/>
      <c r="D3835" s="44"/>
      <c r="E3835" s="44"/>
      <c r="F3835" s="44"/>
      <c r="G3835" s="44"/>
      <c r="H3835" s="46" t="str">
        <f aca="false">IF($A3835="","",IF(OR(NOT(ISNUMBER(E3835)),NOT(ISNUMBER(F3835))),"",MAX(0,E3835)*F3835))</f>
        <v/>
      </c>
      <c r="I3835" s="46" t="str">
        <f aca="false">IF($A3835="","",SUMIF($A$2:$A$5001,$A3835,$H$2:$H$5001))</f>
        <v/>
      </c>
      <c r="J3835" s="47" t="n">
        <f aca="false">IF($A3835="",0,IF(COUNTIF($A$2:A3835,$A3835)=1,1,0))</f>
        <v>0</v>
      </c>
      <c r="K3835" s="47" t="n">
        <f aca="false">IF(J3835=1,N(I3835)+ROW()/10000000,0)</f>
        <v>0</v>
      </c>
      <c r="L3835" s="47" t="str">
        <f aca="false">IF(AND(J3835=1,N(I3835)&gt;0),SUMIF($K$2:$K$5001,"&gt;="&amp;K3835,$I$2:$I$5001)/MAX(1,SUM($H$2:$H$5001)),"")</f>
        <v/>
      </c>
      <c r="M3835" s="47" t="str">
        <f aca="false">IF($A3835="","",INDEX($L$2:$L$5001,MATCH($A3835,$A$2:$A$5001,0)))</f>
        <v/>
      </c>
      <c r="N3835" s="48" t="str">
        <f aca="false">IF($A3835="","",IF(N(M3835)=0,"–",IF(M3835&lt;=Start!$D$20,"A",IF(M3835&lt;=Start!$D$21,"B","C"))))</f>
        <v/>
      </c>
      <c r="O3835" s="48" t="str">
        <f aca="false">IF($A3835="","",IF(NOT(ISNUMBER(F3835)),"Wert fehlt; ",IF(F3835&lt;=0,"Wert ist 0; ",""))&amp;IF(NOT(ISNUMBER(E3835)),"Bestand fehlt; ",IF(E3835&lt;0,"Bestand negativ; ",IF(E3835=0,"Nullbestand; ","")))&amp;IF(D3835="","Warengruppe fehlt; ","")&amp;IF(B3835="","Bezeichnung fehlt; ","")&amp;IF(COUNTIFS($A$2:$A$5001,$A3835,$C$2:$C$5001,C3835)&gt;1,"Artikel doppelt im selben Lager; ",""))</f>
        <v/>
      </c>
      <c r="P3835" s="47" t="n">
        <f aca="false">IF(OR($A3835="",D3835=""),0,IF(COUNTIF($D$2:D3835,D3835)=1,SUMIF($D$2:$D$5001,D3835,$H$2:$H$5001)+ROW()/10000000,0))</f>
        <v>0</v>
      </c>
      <c r="Q3835" s="47" t="n">
        <f aca="false">IF(OR($A3835="",C3835=""),0,IF(COUNTIF($C$2:C3835,C3835)=1,SUMIF($C$2:$C$5001,C3835,$H$2:$H$5001)+ROW()/10000000,0))</f>
        <v>0</v>
      </c>
    </row>
    <row r="3836" customFormat="false" ht="15" hidden="false" customHeight="false" outlineLevel="0" collapsed="false">
      <c r="A3836" s="43"/>
      <c r="B3836" s="44"/>
      <c r="C3836" s="44"/>
      <c r="D3836" s="44"/>
      <c r="E3836" s="44"/>
      <c r="F3836" s="44"/>
      <c r="G3836" s="44"/>
      <c r="H3836" s="46" t="str">
        <f aca="false">IF($A3836="","",IF(OR(NOT(ISNUMBER(E3836)),NOT(ISNUMBER(F3836))),"",MAX(0,E3836)*F3836))</f>
        <v/>
      </c>
      <c r="I3836" s="46" t="str">
        <f aca="false">IF($A3836="","",SUMIF($A$2:$A$5001,$A3836,$H$2:$H$5001))</f>
        <v/>
      </c>
      <c r="J3836" s="47" t="n">
        <f aca="false">IF($A3836="",0,IF(COUNTIF($A$2:A3836,$A3836)=1,1,0))</f>
        <v>0</v>
      </c>
      <c r="K3836" s="47" t="n">
        <f aca="false">IF(J3836=1,N(I3836)+ROW()/10000000,0)</f>
        <v>0</v>
      </c>
      <c r="L3836" s="47" t="str">
        <f aca="false">IF(AND(J3836=1,N(I3836)&gt;0),SUMIF($K$2:$K$5001,"&gt;="&amp;K3836,$I$2:$I$5001)/MAX(1,SUM($H$2:$H$5001)),"")</f>
        <v/>
      </c>
      <c r="M3836" s="47" t="str">
        <f aca="false">IF($A3836="","",INDEX($L$2:$L$5001,MATCH($A3836,$A$2:$A$5001,0)))</f>
        <v/>
      </c>
      <c r="N3836" s="48" t="str">
        <f aca="false">IF($A3836="","",IF(N(M3836)=0,"–",IF(M3836&lt;=Start!$D$20,"A",IF(M3836&lt;=Start!$D$21,"B","C"))))</f>
        <v/>
      </c>
      <c r="O3836" s="48" t="str">
        <f aca="false">IF($A3836="","",IF(NOT(ISNUMBER(F3836)),"Wert fehlt; ",IF(F3836&lt;=0,"Wert ist 0; ",""))&amp;IF(NOT(ISNUMBER(E3836)),"Bestand fehlt; ",IF(E3836&lt;0,"Bestand negativ; ",IF(E3836=0,"Nullbestand; ","")))&amp;IF(D3836="","Warengruppe fehlt; ","")&amp;IF(B3836="","Bezeichnung fehlt; ","")&amp;IF(COUNTIFS($A$2:$A$5001,$A3836,$C$2:$C$5001,C3836)&gt;1,"Artikel doppelt im selben Lager; ",""))</f>
        <v/>
      </c>
      <c r="P3836" s="47" t="n">
        <f aca="false">IF(OR($A3836="",D3836=""),0,IF(COUNTIF($D$2:D3836,D3836)=1,SUMIF($D$2:$D$5001,D3836,$H$2:$H$5001)+ROW()/10000000,0))</f>
        <v>0</v>
      </c>
      <c r="Q3836" s="47" t="n">
        <f aca="false">IF(OR($A3836="",C3836=""),0,IF(COUNTIF($C$2:C3836,C3836)=1,SUMIF($C$2:$C$5001,C3836,$H$2:$H$5001)+ROW()/10000000,0))</f>
        <v>0</v>
      </c>
    </row>
    <row r="3837" customFormat="false" ht="15" hidden="false" customHeight="false" outlineLevel="0" collapsed="false">
      <c r="A3837" s="43"/>
      <c r="B3837" s="44"/>
      <c r="C3837" s="44"/>
      <c r="D3837" s="44"/>
      <c r="E3837" s="44"/>
      <c r="F3837" s="44"/>
      <c r="G3837" s="44"/>
      <c r="H3837" s="46" t="str">
        <f aca="false">IF($A3837="","",IF(OR(NOT(ISNUMBER(E3837)),NOT(ISNUMBER(F3837))),"",MAX(0,E3837)*F3837))</f>
        <v/>
      </c>
      <c r="I3837" s="46" t="str">
        <f aca="false">IF($A3837="","",SUMIF($A$2:$A$5001,$A3837,$H$2:$H$5001))</f>
        <v/>
      </c>
      <c r="J3837" s="47" t="n">
        <f aca="false">IF($A3837="",0,IF(COUNTIF($A$2:A3837,$A3837)=1,1,0))</f>
        <v>0</v>
      </c>
      <c r="K3837" s="47" t="n">
        <f aca="false">IF(J3837=1,N(I3837)+ROW()/10000000,0)</f>
        <v>0</v>
      </c>
      <c r="L3837" s="47" t="str">
        <f aca="false">IF(AND(J3837=1,N(I3837)&gt;0),SUMIF($K$2:$K$5001,"&gt;="&amp;K3837,$I$2:$I$5001)/MAX(1,SUM($H$2:$H$5001)),"")</f>
        <v/>
      </c>
      <c r="M3837" s="47" t="str">
        <f aca="false">IF($A3837="","",INDEX($L$2:$L$5001,MATCH($A3837,$A$2:$A$5001,0)))</f>
        <v/>
      </c>
      <c r="N3837" s="48" t="str">
        <f aca="false">IF($A3837="","",IF(N(M3837)=0,"–",IF(M3837&lt;=Start!$D$20,"A",IF(M3837&lt;=Start!$D$21,"B","C"))))</f>
        <v/>
      </c>
      <c r="O3837" s="48" t="str">
        <f aca="false">IF($A3837="","",IF(NOT(ISNUMBER(F3837)),"Wert fehlt; ",IF(F3837&lt;=0,"Wert ist 0; ",""))&amp;IF(NOT(ISNUMBER(E3837)),"Bestand fehlt; ",IF(E3837&lt;0,"Bestand negativ; ",IF(E3837=0,"Nullbestand; ","")))&amp;IF(D3837="","Warengruppe fehlt; ","")&amp;IF(B3837="","Bezeichnung fehlt; ","")&amp;IF(COUNTIFS($A$2:$A$5001,$A3837,$C$2:$C$5001,C3837)&gt;1,"Artikel doppelt im selben Lager; ",""))</f>
        <v/>
      </c>
      <c r="P3837" s="47" t="n">
        <f aca="false">IF(OR($A3837="",D3837=""),0,IF(COUNTIF($D$2:D3837,D3837)=1,SUMIF($D$2:$D$5001,D3837,$H$2:$H$5001)+ROW()/10000000,0))</f>
        <v>0</v>
      </c>
      <c r="Q3837" s="47" t="n">
        <f aca="false">IF(OR($A3837="",C3837=""),0,IF(COUNTIF($C$2:C3837,C3837)=1,SUMIF($C$2:$C$5001,C3837,$H$2:$H$5001)+ROW()/10000000,0))</f>
        <v>0</v>
      </c>
    </row>
    <row r="3838" customFormat="false" ht="15" hidden="false" customHeight="false" outlineLevel="0" collapsed="false">
      <c r="A3838" s="43"/>
      <c r="B3838" s="44"/>
      <c r="C3838" s="44"/>
      <c r="D3838" s="44"/>
      <c r="E3838" s="44"/>
      <c r="F3838" s="44"/>
      <c r="G3838" s="44"/>
      <c r="H3838" s="46" t="str">
        <f aca="false">IF($A3838="","",IF(OR(NOT(ISNUMBER(E3838)),NOT(ISNUMBER(F3838))),"",MAX(0,E3838)*F3838))</f>
        <v/>
      </c>
      <c r="I3838" s="46" t="str">
        <f aca="false">IF($A3838="","",SUMIF($A$2:$A$5001,$A3838,$H$2:$H$5001))</f>
        <v/>
      </c>
      <c r="J3838" s="47" t="n">
        <f aca="false">IF($A3838="",0,IF(COUNTIF($A$2:A3838,$A3838)=1,1,0))</f>
        <v>0</v>
      </c>
      <c r="K3838" s="47" t="n">
        <f aca="false">IF(J3838=1,N(I3838)+ROW()/10000000,0)</f>
        <v>0</v>
      </c>
      <c r="L3838" s="47" t="str">
        <f aca="false">IF(AND(J3838=1,N(I3838)&gt;0),SUMIF($K$2:$K$5001,"&gt;="&amp;K3838,$I$2:$I$5001)/MAX(1,SUM($H$2:$H$5001)),"")</f>
        <v/>
      </c>
      <c r="M3838" s="47" t="str">
        <f aca="false">IF($A3838="","",INDEX($L$2:$L$5001,MATCH($A3838,$A$2:$A$5001,0)))</f>
        <v/>
      </c>
      <c r="N3838" s="48" t="str">
        <f aca="false">IF($A3838="","",IF(N(M3838)=0,"–",IF(M3838&lt;=Start!$D$20,"A",IF(M3838&lt;=Start!$D$21,"B","C"))))</f>
        <v/>
      </c>
      <c r="O3838" s="48" t="str">
        <f aca="false">IF($A3838="","",IF(NOT(ISNUMBER(F3838)),"Wert fehlt; ",IF(F3838&lt;=0,"Wert ist 0; ",""))&amp;IF(NOT(ISNUMBER(E3838)),"Bestand fehlt; ",IF(E3838&lt;0,"Bestand negativ; ",IF(E3838=0,"Nullbestand; ","")))&amp;IF(D3838="","Warengruppe fehlt; ","")&amp;IF(B3838="","Bezeichnung fehlt; ","")&amp;IF(COUNTIFS($A$2:$A$5001,$A3838,$C$2:$C$5001,C3838)&gt;1,"Artikel doppelt im selben Lager; ",""))</f>
        <v/>
      </c>
      <c r="P3838" s="47" t="n">
        <f aca="false">IF(OR($A3838="",D3838=""),0,IF(COUNTIF($D$2:D3838,D3838)=1,SUMIF($D$2:$D$5001,D3838,$H$2:$H$5001)+ROW()/10000000,0))</f>
        <v>0</v>
      </c>
      <c r="Q3838" s="47" t="n">
        <f aca="false">IF(OR($A3838="",C3838=""),0,IF(COUNTIF($C$2:C3838,C3838)=1,SUMIF($C$2:$C$5001,C3838,$H$2:$H$5001)+ROW()/10000000,0))</f>
        <v>0</v>
      </c>
    </row>
    <row r="3839" customFormat="false" ht="15" hidden="false" customHeight="false" outlineLevel="0" collapsed="false">
      <c r="A3839" s="43"/>
      <c r="B3839" s="44"/>
      <c r="C3839" s="44"/>
      <c r="D3839" s="44"/>
      <c r="E3839" s="44"/>
      <c r="F3839" s="44"/>
      <c r="G3839" s="44"/>
      <c r="H3839" s="46" t="str">
        <f aca="false">IF($A3839="","",IF(OR(NOT(ISNUMBER(E3839)),NOT(ISNUMBER(F3839))),"",MAX(0,E3839)*F3839))</f>
        <v/>
      </c>
      <c r="I3839" s="46" t="str">
        <f aca="false">IF($A3839="","",SUMIF($A$2:$A$5001,$A3839,$H$2:$H$5001))</f>
        <v/>
      </c>
      <c r="J3839" s="47" t="n">
        <f aca="false">IF($A3839="",0,IF(COUNTIF($A$2:A3839,$A3839)=1,1,0))</f>
        <v>0</v>
      </c>
      <c r="K3839" s="47" t="n">
        <f aca="false">IF(J3839=1,N(I3839)+ROW()/10000000,0)</f>
        <v>0</v>
      </c>
      <c r="L3839" s="47" t="str">
        <f aca="false">IF(AND(J3839=1,N(I3839)&gt;0),SUMIF($K$2:$K$5001,"&gt;="&amp;K3839,$I$2:$I$5001)/MAX(1,SUM($H$2:$H$5001)),"")</f>
        <v/>
      </c>
      <c r="M3839" s="47" t="str">
        <f aca="false">IF($A3839="","",INDEX($L$2:$L$5001,MATCH($A3839,$A$2:$A$5001,0)))</f>
        <v/>
      </c>
      <c r="N3839" s="48" t="str">
        <f aca="false">IF($A3839="","",IF(N(M3839)=0,"–",IF(M3839&lt;=Start!$D$20,"A",IF(M3839&lt;=Start!$D$21,"B","C"))))</f>
        <v/>
      </c>
      <c r="O3839" s="48" t="str">
        <f aca="false">IF($A3839="","",IF(NOT(ISNUMBER(F3839)),"Wert fehlt; ",IF(F3839&lt;=0,"Wert ist 0; ",""))&amp;IF(NOT(ISNUMBER(E3839)),"Bestand fehlt; ",IF(E3839&lt;0,"Bestand negativ; ",IF(E3839=0,"Nullbestand; ","")))&amp;IF(D3839="","Warengruppe fehlt; ","")&amp;IF(B3839="","Bezeichnung fehlt; ","")&amp;IF(COUNTIFS($A$2:$A$5001,$A3839,$C$2:$C$5001,C3839)&gt;1,"Artikel doppelt im selben Lager; ",""))</f>
        <v/>
      </c>
      <c r="P3839" s="47" t="n">
        <f aca="false">IF(OR($A3839="",D3839=""),0,IF(COUNTIF($D$2:D3839,D3839)=1,SUMIF($D$2:$D$5001,D3839,$H$2:$H$5001)+ROW()/10000000,0))</f>
        <v>0</v>
      </c>
      <c r="Q3839" s="47" t="n">
        <f aca="false">IF(OR($A3839="",C3839=""),0,IF(COUNTIF($C$2:C3839,C3839)=1,SUMIF($C$2:$C$5001,C3839,$H$2:$H$5001)+ROW()/10000000,0))</f>
        <v>0</v>
      </c>
    </row>
    <row r="3840" customFormat="false" ht="15" hidden="false" customHeight="false" outlineLevel="0" collapsed="false">
      <c r="A3840" s="43"/>
      <c r="B3840" s="44"/>
      <c r="C3840" s="44"/>
      <c r="D3840" s="44"/>
      <c r="E3840" s="44"/>
      <c r="F3840" s="44"/>
      <c r="G3840" s="44"/>
      <c r="H3840" s="46" t="str">
        <f aca="false">IF($A3840="","",IF(OR(NOT(ISNUMBER(E3840)),NOT(ISNUMBER(F3840))),"",MAX(0,E3840)*F3840))</f>
        <v/>
      </c>
      <c r="I3840" s="46" t="str">
        <f aca="false">IF($A3840="","",SUMIF($A$2:$A$5001,$A3840,$H$2:$H$5001))</f>
        <v/>
      </c>
      <c r="J3840" s="47" t="n">
        <f aca="false">IF($A3840="",0,IF(COUNTIF($A$2:A3840,$A3840)=1,1,0))</f>
        <v>0</v>
      </c>
      <c r="K3840" s="47" t="n">
        <f aca="false">IF(J3840=1,N(I3840)+ROW()/10000000,0)</f>
        <v>0</v>
      </c>
      <c r="L3840" s="47" t="str">
        <f aca="false">IF(AND(J3840=1,N(I3840)&gt;0),SUMIF($K$2:$K$5001,"&gt;="&amp;K3840,$I$2:$I$5001)/MAX(1,SUM($H$2:$H$5001)),"")</f>
        <v/>
      </c>
      <c r="M3840" s="47" t="str">
        <f aca="false">IF($A3840="","",INDEX($L$2:$L$5001,MATCH($A3840,$A$2:$A$5001,0)))</f>
        <v/>
      </c>
      <c r="N3840" s="48" t="str">
        <f aca="false">IF($A3840="","",IF(N(M3840)=0,"–",IF(M3840&lt;=Start!$D$20,"A",IF(M3840&lt;=Start!$D$21,"B","C"))))</f>
        <v/>
      </c>
      <c r="O3840" s="48" t="str">
        <f aca="false">IF($A3840="","",IF(NOT(ISNUMBER(F3840)),"Wert fehlt; ",IF(F3840&lt;=0,"Wert ist 0; ",""))&amp;IF(NOT(ISNUMBER(E3840)),"Bestand fehlt; ",IF(E3840&lt;0,"Bestand negativ; ",IF(E3840=0,"Nullbestand; ","")))&amp;IF(D3840="","Warengruppe fehlt; ","")&amp;IF(B3840="","Bezeichnung fehlt; ","")&amp;IF(COUNTIFS($A$2:$A$5001,$A3840,$C$2:$C$5001,C3840)&gt;1,"Artikel doppelt im selben Lager; ",""))</f>
        <v/>
      </c>
      <c r="P3840" s="47" t="n">
        <f aca="false">IF(OR($A3840="",D3840=""),0,IF(COUNTIF($D$2:D3840,D3840)=1,SUMIF($D$2:$D$5001,D3840,$H$2:$H$5001)+ROW()/10000000,0))</f>
        <v>0</v>
      </c>
      <c r="Q3840" s="47" t="n">
        <f aca="false">IF(OR($A3840="",C3840=""),0,IF(COUNTIF($C$2:C3840,C3840)=1,SUMIF($C$2:$C$5001,C3840,$H$2:$H$5001)+ROW()/10000000,0))</f>
        <v>0</v>
      </c>
    </row>
    <row r="3841" customFormat="false" ht="15" hidden="false" customHeight="false" outlineLevel="0" collapsed="false">
      <c r="A3841" s="43"/>
      <c r="B3841" s="44"/>
      <c r="C3841" s="44"/>
      <c r="D3841" s="44"/>
      <c r="E3841" s="44"/>
      <c r="F3841" s="44"/>
      <c r="G3841" s="44"/>
      <c r="H3841" s="46" t="str">
        <f aca="false">IF($A3841="","",IF(OR(NOT(ISNUMBER(E3841)),NOT(ISNUMBER(F3841))),"",MAX(0,E3841)*F3841))</f>
        <v/>
      </c>
      <c r="I3841" s="46" t="str">
        <f aca="false">IF($A3841="","",SUMIF($A$2:$A$5001,$A3841,$H$2:$H$5001))</f>
        <v/>
      </c>
      <c r="J3841" s="47" t="n">
        <f aca="false">IF($A3841="",0,IF(COUNTIF($A$2:A3841,$A3841)=1,1,0))</f>
        <v>0</v>
      </c>
      <c r="K3841" s="47" t="n">
        <f aca="false">IF(J3841=1,N(I3841)+ROW()/10000000,0)</f>
        <v>0</v>
      </c>
      <c r="L3841" s="47" t="str">
        <f aca="false">IF(AND(J3841=1,N(I3841)&gt;0),SUMIF($K$2:$K$5001,"&gt;="&amp;K3841,$I$2:$I$5001)/MAX(1,SUM($H$2:$H$5001)),"")</f>
        <v/>
      </c>
      <c r="M3841" s="47" t="str">
        <f aca="false">IF($A3841="","",INDEX($L$2:$L$5001,MATCH($A3841,$A$2:$A$5001,0)))</f>
        <v/>
      </c>
      <c r="N3841" s="48" t="str">
        <f aca="false">IF($A3841="","",IF(N(M3841)=0,"–",IF(M3841&lt;=Start!$D$20,"A",IF(M3841&lt;=Start!$D$21,"B","C"))))</f>
        <v/>
      </c>
      <c r="O3841" s="48" t="str">
        <f aca="false">IF($A3841="","",IF(NOT(ISNUMBER(F3841)),"Wert fehlt; ",IF(F3841&lt;=0,"Wert ist 0; ",""))&amp;IF(NOT(ISNUMBER(E3841)),"Bestand fehlt; ",IF(E3841&lt;0,"Bestand negativ; ",IF(E3841=0,"Nullbestand; ","")))&amp;IF(D3841="","Warengruppe fehlt; ","")&amp;IF(B3841="","Bezeichnung fehlt; ","")&amp;IF(COUNTIFS($A$2:$A$5001,$A3841,$C$2:$C$5001,C3841)&gt;1,"Artikel doppelt im selben Lager; ",""))</f>
        <v/>
      </c>
      <c r="P3841" s="47" t="n">
        <f aca="false">IF(OR($A3841="",D3841=""),0,IF(COUNTIF($D$2:D3841,D3841)=1,SUMIF($D$2:$D$5001,D3841,$H$2:$H$5001)+ROW()/10000000,0))</f>
        <v>0</v>
      </c>
      <c r="Q3841" s="47" t="n">
        <f aca="false">IF(OR($A3841="",C3841=""),0,IF(COUNTIF($C$2:C3841,C3841)=1,SUMIF($C$2:$C$5001,C3841,$H$2:$H$5001)+ROW()/10000000,0))</f>
        <v>0</v>
      </c>
    </row>
    <row r="3842" customFormat="false" ht="15" hidden="false" customHeight="false" outlineLevel="0" collapsed="false">
      <c r="A3842" s="43"/>
      <c r="B3842" s="44"/>
      <c r="C3842" s="44"/>
      <c r="D3842" s="44"/>
      <c r="E3842" s="44"/>
      <c r="F3842" s="44"/>
      <c r="G3842" s="44"/>
      <c r="H3842" s="46" t="str">
        <f aca="false">IF($A3842="","",IF(OR(NOT(ISNUMBER(E3842)),NOT(ISNUMBER(F3842))),"",MAX(0,E3842)*F3842))</f>
        <v/>
      </c>
      <c r="I3842" s="46" t="str">
        <f aca="false">IF($A3842="","",SUMIF($A$2:$A$5001,$A3842,$H$2:$H$5001))</f>
        <v/>
      </c>
      <c r="J3842" s="47" t="n">
        <f aca="false">IF($A3842="",0,IF(COUNTIF($A$2:A3842,$A3842)=1,1,0))</f>
        <v>0</v>
      </c>
      <c r="K3842" s="47" t="n">
        <f aca="false">IF(J3842=1,N(I3842)+ROW()/10000000,0)</f>
        <v>0</v>
      </c>
      <c r="L3842" s="47" t="str">
        <f aca="false">IF(AND(J3842=1,N(I3842)&gt;0),SUMIF($K$2:$K$5001,"&gt;="&amp;K3842,$I$2:$I$5001)/MAX(1,SUM($H$2:$H$5001)),"")</f>
        <v/>
      </c>
      <c r="M3842" s="47" t="str">
        <f aca="false">IF($A3842="","",INDEX($L$2:$L$5001,MATCH($A3842,$A$2:$A$5001,0)))</f>
        <v/>
      </c>
      <c r="N3842" s="48" t="str">
        <f aca="false">IF($A3842="","",IF(N(M3842)=0,"–",IF(M3842&lt;=Start!$D$20,"A",IF(M3842&lt;=Start!$D$21,"B","C"))))</f>
        <v/>
      </c>
      <c r="O3842" s="48" t="str">
        <f aca="false">IF($A3842="","",IF(NOT(ISNUMBER(F3842)),"Wert fehlt; ",IF(F3842&lt;=0,"Wert ist 0; ",""))&amp;IF(NOT(ISNUMBER(E3842)),"Bestand fehlt; ",IF(E3842&lt;0,"Bestand negativ; ",IF(E3842=0,"Nullbestand; ","")))&amp;IF(D3842="","Warengruppe fehlt; ","")&amp;IF(B3842="","Bezeichnung fehlt; ","")&amp;IF(COUNTIFS($A$2:$A$5001,$A3842,$C$2:$C$5001,C3842)&gt;1,"Artikel doppelt im selben Lager; ",""))</f>
        <v/>
      </c>
      <c r="P3842" s="47" t="n">
        <f aca="false">IF(OR($A3842="",D3842=""),0,IF(COUNTIF($D$2:D3842,D3842)=1,SUMIF($D$2:$D$5001,D3842,$H$2:$H$5001)+ROW()/10000000,0))</f>
        <v>0</v>
      </c>
      <c r="Q3842" s="47" t="n">
        <f aca="false">IF(OR($A3842="",C3842=""),0,IF(COUNTIF($C$2:C3842,C3842)=1,SUMIF($C$2:$C$5001,C3842,$H$2:$H$5001)+ROW()/10000000,0))</f>
        <v>0</v>
      </c>
    </row>
    <row r="3843" customFormat="false" ht="15" hidden="false" customHeight="false" outlineLevel="0" collapsed="false">
      <c r="A3843" s="43"/>
      <c r="B3843" s="44"/>
      <c r="C3843" s="44"/>
      <c r="D3843" s="44"/>
      <c r="E3843" s="44"/>
      <c r="F3843" s="44"/>
      <c r="G3843" s="44"/>
      <c r="H3843" s="46" t="str">
        <f aca="false">IF($A3843="","",IF(OR(NOT(ISNUMBER(E3843)),NOT(ISNUMBER(F3843))),"",MAX(0,E3843)*F3843))</f>
        <v/>
      </c>
      <c r="I3843" s="46" t="str">
        <f aca="false">IF($A3843="","",SUMIF($A$2:$A$5001,$A3843,$H$2:$H$5001))</f>
        <v/>
      </c>
      <c r="J3843" s="47" t="n">
        <f aca="false">IF($A3843="",0,IF(COUNTIF($A$2:A3843,$A3843)=1,1,0))</f>
        <v>0</v>
      </c>
      <c r="K3843" s="47" t="n">
        <f aca="false">IF(J3843=1,N(I3843)+ROW()/10000000,0)</f>
        <v>0</v>
      </c>
      <c r="L3843" s="47" t="str">
        <f aca="false">IF(AND(J3843=1,N(I3843)&gt;0),SUMIF($K$2:$K$5001,"&gt;="&amp;K3843,$I$2:$I$5001)/MAX(1,SUM($H$2:$H$5001)),"")</f>
        <v/>
      </c>
      <c r="M3843" s="47" t="str">
        <f aca="false">IF($A3843="","",INDEX($L$2:$L$5001,MATCH($A3843,$A$2:$A$5001,0)))</f>
        <v/>
      </c>
      <c r="N3843" s="48" t="str">
        <f aca="false">IF($A3843="","",IF(N(M3843)=0,"–",IF(M3843&lt;=Start!$D$20,"A",IF(M3843&lt;=Start!$D$21,"B","C"))))</f>
        <v/>
      </c>
      <c r="O3843" s="48" t="str">
        <f aca="false">IF($A3843="","",IF(NOT(ISNUMBER(F3843)),"Wert fehlt; ",IF(F3843&lt;=0,"Wert ist 0; ",""))&amp;IF(NOT(ISNUMBER(E3843)),"Bestand fehlt; ",IF(E3843&lt;0,"Bestand negativ; ",IF(E3843=0,"Nullbestand; ","")))&amp;IF(D3843="","Warengruppe fehlt; ","")&amp;IF(B3843="","Bezeichnung fehlt; ","")&amp;IF(COUNTIFS($A$2:$A$5001,$A3843,$C$2:$C$5001,C3843)&gt;1,"Artikel doppelt im selben Lager; ",""))</f>
        <v/>
      </c>
      <c r="P3843" s="47" t="n">
        <f aca="false">IF(OR($A3843="",D3843=""),0,IF(COUNTIF($D$2:D3843,D3843)=1,SUMIF($D$2:$D$5001,D3843,$H$2:$H$5001)+ROW()/10000000,0))</f>
        <v>0</v>
      </c>
      <c r="Q3843" s="47" t="n">
        <f aca="false">IF(OR($A3843="",C3843=""),0,IF(COUNTIF($C$2:C3843,C3843)=1,SUMIF($C$2:$C$5001,C3843,$H$2:$H$5001)+ROW()/10000000,0))</f>
        <v>0</v>
      </c>
    </row>
    <row r="3844" customFormat="false" ht="15" hidden="false" customHeight="false" outlineLevel="0" collapsed="false">
      <c r="A3844" s="43"/>
      <c r="B3844" s="44"/>
      <c r="C3844" s="44"/>
      <c r="D3844" s="44"/>
      <c r="E3844" s="44"/>
      <c r="F3844" s="44"/>
      <c r="G3844" s="44"/>
      <c r="H3844" s="46" t="str">
        <f aca="false">IF($A3844="","",IF(OR(NOT(ISNUMBER(E3844)),NOT(ISNUMBER(F3844))),"",MAX(0,E3844)*F3844))</f>
        <v/>
      </c>
      <c r="I3844" s="46" t="str">
        <f aca="false">IF($A3844="","",SUMIF($A$2:$A$5001,$A3844,$H$2:$H$5001))</f>
        <v/>
      </c>
      <c r="J3844" s="47" t="n">
        <f aca="false">IF($A3844="",0,IF(COUNTIF($A$2:A3844,$A3844)=1,1,0))</f>
        <v>0</v>
      </c>
      <c r="K3844" s="47" t="n">
        <f aca="false">IF(J3844=1,N(I3844)+ROW()/10000000,0)</f>
        <v>0</v>
      </c>
      <c r="L3844" s="47" t="str">
        <f aca="false">IF(AND(J3844=1,N(I3844)&gt;0),SUMIF($K$2:$K$5001,"&gt;="&amp;K3844,$I$2:$I$5001)/MAX(1,SUM($H$2:$H$5001)),"")</f>
        <v/>
      </c>
      <c r="M3844" s="47" t="str">
        <f aca="false">IF($A3844="","",INDEX($L$2:$L$5001,MATCH($A3844,$A$2:$A$5001,0)))</f>
        <v/>
      </c>
      <c r="N3844" s="48" t="str">
        <f aca="false">IF($A3844="","",IF(N(M3844)=0,"–",IF(M3844&lt;=Start!$D$20,"A",IF(M3844&lt;=Start!$D$21,"B","C"))))</f>
        <v/>
      </c>
      <c r="O3844" s="48" t="str">
        <f aca="false">IF($A3844="","",IF(NOT(ISNUMBER(F3844)),"Wert fehlt; ",IF(F3844&lt;=0,"Wert ist 0; ",""))&amp;IF(NOT(ISNUMBER(E3844)),"Bestand fehlt; ",IF(E3844&lt;0,"Bestand negativ; ",IF(E3844=0,"Nullbestand; ","")))&amp;IF(D3844="","Warengruppe fehlt; ","")&amp;IF(B3844="","Bezeichnung fehlt; ","")&amp;IF(COUNTIFS($A$2:$A$5001,$A3844,$C$2:$C$5001,C3844)&gt;1,"Artikel doppelt im selben Lager; ",""))</f>
        <v/>
      </c>
      <c r="P3844" s="47" t="n">
        <f aca="false">IF(OR($A3844="",D3844=""),0,IF(COUNTIF($D$2:D3844,D3844)=1,SUMIF($D$2:$D$5001,D3844,$H$2:$H$5001)+ROW()/10000000,0))</f>
        <v>0</v>
      </c>
      <c r="Q3844" s="47" t="n">
        <f aca="false">IF(OR($A3844="",C3844=""),0,IF(COUNTIF($C$2:C3844,C3844)=1,SUMIF($C$2:$C$5001,C3844,$H$2:$H$5001)+ROW()/10000000,0))</f>
        <v>0</v>
      </c>
    </row>
    <row r="3845" customFormat="false" ht="15" hidden="false" customHeight="false" outlineLevel="0" collapsed="false">
      <c r="A3845" s="43"/>
      <c r="B3845" s="44"/>
      <c r="C3845" s="44"/>
      <c r="D3845" s="44"/>
      <c r="E3845" s="44"/>
      <c r="F3845" s="44"/>
      <c r="G3845" s="44"/>
      <c r="H3845" s="46" t="str">
        <f aca="false">IF($A3845="","",IF(OR(NOT(ISNUMBER(E3845)),NOT(ISNUMBER(F3845))),"",MAX(0,E3845)*F3845))</f>
        <v/>
      </c>
      <c r="I3845" s="46" t="str">
        <f aca="false">IF($A3845="","",SUMIF($A$2:$A$5001,$A3845,$H$2:$H$5001))</f>
        <v/>
      </c>
      <c r="J3845" s="47" t="n">
        <f aca="false">IF($A3845="",0,IF(COUNTIF($A$2:A3845,$A3845)=1,1,0))</f>
        <v>0</v>
      </c>
      <c r="K3845" s="47" t="n">
        <f aca="false">IF(J3845=1,N(I3845)+ROW()/10000000,0)</f>
        <v>0</v>
      </c>
      <c r="L3845" s="47" t="str">
        <f aca="false">IF(AND(J3845=1,N(I3845)&gt;0),SUMIF($K$2:$K$5001,"&gt;="&amp;K3845,$I$2:$I$5001)/MAX(1,SUM($H$2:$H$5001)),"")</f>
        <v/>
      </c>
      <c r="M3845" s="47" t="str">
        <f aca="false">IF($A3845="","",INDEX($L$2:$L$5001,MATCH($A3845,$A$2:$A$5001,0)))</f>
        <v/>
      </c>
      <c r="N3845" s="48" t="str">
        <f aca="false">IF($A3845="","",IF(N(M3845)=0,"–",IF(M3845&lt;=Start!$D$20,"A",IF(M3845&lt;=Start!$D$21,"B","C"))))</f>
        <v/>
      </c>
      <c r="O3845" s="48" t="str">
        <f aca="false">IF($A3845="","",IF(NOT(ISNUMBER(F3845)),"Wert fehlt; ",IF(F3845&lt;=0,"Wert ist 0; ",""))&amp;IF(NOT(ISNUMBER(E3845)),"Bestand fehlt; ",IF(E3845&lt;0,"Bestand negativ; ",IF(E3845=0,"Nullbestand; ","")))&amp;IF(D3845="","Warengruppe fehlt; ","")&amp;IF(B3845="","Bezeichnung fehlt; ","")&amp;IF(COUNTIFS($A$2:$A$5001,$A3845,$C$2:$C$5001,C3845)&gt;1,"Artikel doppelt im selben Lager; ",""))</f>
        <v/>
      </c>
      <c r="P3845" s="47" t="n">
        <f aca="false">IF(OR($A3845="",D3845=""),0,IF(COUNTIF($D$2:D3845,D3845)=1,SUMIF($D$2:$D$5001,D3845,$H$2:$H$5001)+ROW()/10000000,0))</f>
        <v>0</v>
      </c>
      <c r="Q3845" s="47" t="n">
        <f aca="false">IF(OR($A3845="",C3845=""),0,IF(COUNTIF($C$2:C3845,C3845)=1,SUMIF($C$2:$C$5001,C3845,$H$2:$H$5001)+ROW()/10000000,0))</f>
        <v>0</v>
      </c>
    </row>
    <row r="3846" customFormat="false" ht="15" hidden="false" customHeight="false" outlineLevel="0" collapsed="false">
      <c r="A3846" s="43"/>
      <c r="B3846" s="44"/>
      <c r="C3846" s="44"/>
      <c r="D3846" s="44"/>
      <c r="E3846" s="44"/>
      <c r="F3846" s="44"/>
      <c r="G3846" s="44"/>
      <c r="H3846" s="46" t="str">
        <f aca="false">IF($A3846="","",IF(OR(NOT(ISNUMBER(E3846)),NOT(ISNUMBER(F3846))),"",MAX(0,E3846)*F3846))</f>
        <v/>
      </c>
      <c r="I3846" s="46" t="str">
        <f aca="false">IF($A3846="","",SUMIF($A$2:$A$5001,$A3846,$H$2:$H$5001))</f>
        <v/>
      </c>
      <c r="J3846" s="47" t="n">
        <f aca="false">IF($A3846="",0,IF(COUNTIF($A$2:A3846,$A3846)=1,1,0))</f>
        <v>0</v>
      </c>
      <c r="K3846" s="47" t="n">
        <f aca="false">IF(J3846=1,N(I3846)+ROW()/10000000,0)</f>
        <v>0</v>
      </c>
      <c r="L3846" s="47" t="str">
        <f aca="false">IF(AND(J3846=1,N(I3846)&gt;0),SUMIF($K$2:$K$5001,"&gt;="&amp;K3846,$I$2:$I$5001)/MAX(1,SUM($H$2:$H$5001)),"")</f>
        <v/>
      </c>
      <c r="M3846" s="47" t="str">
        <f aca="false">IF($A3846="","",INDEX($L$2:$L$5001,MATCH($A3846,$A$2:$A$5001,0)))</f>
        <v/>
      </c>
      <c r="N3846" s="48" t="str">
        <f aca="false">IF($A3846="","",IF(N(M3846)=0,"–",IF(M3846&lt;=Start!$D$20,"A",IF(M3846&lt;=Start!$D$21,"B","C"))))</f>
        <v/>
      </c>
      <c r="O3846" s="48" t="str">
        <f aca="false">IF($A3846="","",IF(NOT(ISNUMBER(F3846)),"Wert fehlt; ",IF(F3846&lt;=0,"Wert ist 0; ",""))&amp;IF(NOT(ISNUMBER(E3846)),"Bestand fehlt; ",IF(E3846&lt;0,"Bestand negativ; ",IF(E3846=0,"Nullbestand; ","")))&amp;IF(D3846="","Warengruppe fehlt; ","")&amp;IF(B3846="","Bezeichnung fehlt; ","")&amp;IF(COUNTIFS($A$2:$A$5001,$A3846,$C$2:$C$5001,C3846)&gt;1,"Artikel doppelt im selben Lager; ",""))</f>
        <v/>
      </c>
      <c r="P3846" s="47" t="n">
        <f aca="false">IF(OR($A3846="",D3846=""),0,IF(COUNTIF($D$2:D3846,D3846)=1,SUMIF($D$2:$D$5001,D3846,$H$2:$H$5001)+ROW()/10000000,0))</f>
        <v>0</v>
      </c>
      <c r="Q3846" s="47" t="n">
        <f aca="false">IF(OR($A3846="",C3846=""),0,IF(COUNTIF($C$2:C3846,C3846)=1,SUMIF($C$2:$C$5001,C3846,$H$2:$H$5001)+ROW()/10000000,0))</f>
        <v>0</v>
      </c>
    </row>
    <row r="3847" customFormat="false" ht="15" hidden="false" customHeight="false" outlineLevel="0" collapsed="false">
      <c r="A3847" s="43"/>
      <c r="B3847" s="44"/>
      <c r="C3847" s="44"/>
      <c r="D3847" s="44"/>
      <c r="E3847" s="44"/>
      <c r="F3847" s="44"/>
      <c r="G3847" s="44"/>
      <c r="H3847" s="46" t="str">
        <f aca="false">IF($A3847="","",IF(OR(NOT(ISNUMBER(E3847)),NOT(ISNUMBER(F3847))),"",MAX(0,E3847)*F3847))</f>
        <v/>
      </c>
      <c r="I3847" s="46" t="str">
        <f aca="false">IF($A3847="","",SUMIF($A$2:$A$5001,$A3847,$H$2:$H$5001))</f>
        <v/>
      </c>
      <c r="J3847" s="47" t="n">
        <f aca="false">IF($A3847="",0,IF(COUNTIF($A$2:A3847,$A3847)=1,1,0))</f>
        <v>0</v>
      </c>
      <c r="K3847" s="47" t="n">
        <f aca="false">IF(J3847=1,N(I3847)+ROW()/10000000,0)</f>
        <v>0</v>
      </c>
      <c r="L3847" s="47" t="str">
        <f aca="false">IF(AND(J3847=1,N(I3847)&gt;0),SUMIF($K$2:$K$5001,"&gt;="&amp;K3847,$I$2:$I$5001)/MAX(1,SUM($H$2:$H$5001)),"")</f>
        <v/>
      </c>
      <c r="M3847" s="47" t="str">
        <f aca="false">IF($A3847="","",INDEX($L$2:$L$5001,MATCH($A3847,$A$2:$A$5001,0)))</f>
        <v/>
      </c>
      <c r="N3847" s="48" t="str">
        <f aca="false">IF($A3847="","",IF(N(M3847)=0,"–",IF(M3847&lt;=Start!$D$20,"A",IF(M3847&lt;=Start!$D$21,"B","C"))))</f>
        <v/>
      </c>
      <c r="O3847" s="48" t="str">
        <f aca="false">IF($A3847="","",IF(NOT(ISNUMBER(F3847)),"Wert fehlt; ",IF(F3847&lt;=0,"Wert ist 0; ",""))&amp;IF(NOT(ISNUMBER(E3847)),"Bestand fehlt; ",IF(E3847&lt;0,"Bestand negativ; ",IF(E3847=0,"Nullbestand; ","")))&amp;IF(D3847="","Warengruppe fehlt; ","")&amp;IF(B3847="","Bezeichnung fehlt; ","")&amp;IF(COUNTIFS($A$2:$A$5001,$A3847,$C$2:$C$5001,C3847)&gt;1,"Artikel doppelt im selben Lager; ",""))</f>
        <v/>
      </c>
      <c r="P3847" s="47" t="n">
        <f aca="false">IF(OR($A3847="",D3847=""),0,IF(COUNTIF($D$2:D3847,D3847)=1,SUMIF($D$2:$D$5001,D3847,$H$2:$H$5001)+ROW()/10000000,0))</f>
        <v>0</v>
      </c>
      <c r="Q3847" s="47" t="n">
        <f aca="false">IF(OR($A3847="",C3847=""),0,IF(COUNTIF($C$2:C3847,C3847)=1,SUMIF($C$2:$C$5001,C3847,$H$2:$H$5001)+ROW()/10000000,0))</f>
        <v>0</v>
      </c>
    </row>
    <row r="3848" customFormat="false" ht="15" hidden="false" customHeight="false" outlineLevel="0" collapsed="false">
      <c r="A3848" s="43"/>
      <c r="B3848" s="44"/>
      <c r="C3848" s="44"/>
      <c r="D3848" s="44"/>
      <c r="E3848" s="44"/>
      <c r="F3848" s="44"/>
      <c r="G3848" s="44"/>
      <c r="H3848" s="46" t="str">
        <f aca="false">IF($A3848="","",IF(OR(NOT(ISNUMBER(E3848)),NOT(ISNUMBER(F3848))),"",MAX(0,E3848)*F3848))</f>
        <v/>
      </c>
      <c r="I3848" s="46" t="str">
        <f aca="false">IF($A3848="","",SUMIF($A$2:$A$5001,$A3848,$H$2:$H$5001))</f>
        <v/>
      </c>
      <c r="J3848" s="47" t="n">
        <f aca="false">IF($A3848="",0,IF(COUNTIF($A$2:A3848,$A3848)=1,1,0))</f>
        <v>0</v>
      </c>
      <c r="K3848" s="47" t="n">
        <f aca="false">IF(J3848=1,N(I3848)+ROW()/10000000,0)</f>
        <v>0</v>
      </c>
      <c r="L3848" s="47" t="str">
        <f aca="false">IF(AND(J3848=1,N(I3848)&gt;0),SUMIF($K$2:$K$5001,"&gt;="&amp;K3848,$I$2:$I$5001)/MAX(1,SUM($H$2:$H$5001)),"")</f>
        <v/>
      </c>
      <c r="M3848" s="47" t="str">
        <f aca="false">IF($A3848="","",INDEX($L$2:$L$5001,MATCH($A3848,$A$2:$A$5001,0)))</f>
        <v/>
      </c>
      <c r="N3848" s="48" t="str">
        <f aca="false">IF($A3848="","",IF(N(M3848)=0,"–",IF(M3848&lt;=Start!$D$20,"A",IF(M3848&lt;=Start!$D$21,"B","C"))))</f>
        <v/>
      </c>
      <c r="O3848" s="48" t="str">
        <f aca="false">IF($A3848="","",IF(NOT(ISNUMBER(F3848)),"Wert fehlt; ",IF(F3848&lt;=0,"Wert ist 0; ",""))&amp;IF(NOT(ISNUMBER(E3848)),"Bestand fehlt; ",IF(E3848&lt;0,"Bestand negativ; ",IF(E3848=0,"Nullbestand; ","")))&amp;IF(D3848="","Warengruppe fehlt; ","")&amp;IF(B3848="","Bezeichnung fehlt; ","")&amp;IF(COUNTIFS($A$2:$A$5001,$A3848,$C$2:$C$5001,C3848)&gt;1,"Artikel doppelt im selben Lager; ",""))</f>
        <v/>
      </c>
      <c r="P3848" s="47" t="n">
        <f aca="false">IF(OR($A3848="",D3848=""),0,IF(COUNTIF($D$2:D3848,D3848)=1,SUMIF($D$2:$D$5001,D3848,$H$2:$H$5001)+ROW()/10000000,0))</f>
        <v>0</v>
      </c>
      <c r="Q3848" s="47" t="n">
        <f aca="false">IF(OR($A3848="",C3848=""),0,IF(COUNTIF($C$2:C3848,C3848)=1,SUMIF($C$2:$C$5001,C3848,$H$2:$H$5001)+ROW()/10000000,0))</f>
        <v>0</v>
      </c>
    </row>
    <row r="3849" customFormat="false" ht="15" hidden="false" customHeight="false" outlineLevel="0" collapsed="false">
      <c r="A3849" s="43"/>
      <c r="B3849" s="44"/>
      <c r="C3849" s="44"/>
      <c r="D3849" s="44"/>
      <c r="E3849" s="44"/>
      <c r="F3849" s="44"/>
      <c r="G3849" s="44"/>
      <c r="H3849" s="46" t="str">
        <f aca="false">IF($A3849="","",IF(OR(NOT(ISNUMBER(E3849)),NOT(ISNUMBER(F3849))),"",MAX(0,E3849)*F3849))</f>
        <v/>
      </c>
      <c r="I3849" s="46" t="str">
        <f aca="false">IF($A3849="","",SUMIF($A$2:$A$5001,$A3849,$H$2:$H$5001))</f>
        <v/>
      </c>
      <c r="J3849" s="47" t="n">
        <f aca="false">IF($A3849="",0,IF(COUNTIF($A$2:A3849,$A3849)=1,1,0))</f>
        <v>0</v>
      </c>
      <c r="K3849" s="47" t="n">
        <f aca="false">IF(J3849=1,N(I3849)+ROW()/10000000,0)</f>
        <v>0</v>
      </c>
      <c r="L3849" s="47" t="str">
        <f aca="false">IF(AND(J3849=1,N(I3849)&gt;0),SUMIF($K$2:$K$5001,"&gt;="&amp;K3849,$I$2:$I$5001)/MAX(1,SUM($H$2:$H$5001)),"")</f>
        <v/>
      </c>
      <c r="M3849" s="47" t="str">
        <f aca="false">IF($A3849="","",INDEX($L$2:$L$5001,MATCH($A3849,$A$2:$A$5001,0)))</f>
        <v/>
      </c>
      <c r="N3849" s="48" t="str">
        <f aca="false">IF($A3849="","",IF(N(M3849)=0,"–",IF(M3849&lt;=Start!$D$20,"A",IF(M3849&lt;=Start!$D$21,"B","C"))))</f>
        <v/>
      </c>
      <c r="O3849" s="48" t="str">
        <f aca="false">IF($A3849="","",IF(NOT(ISNUMBER(F3849)),"Wert fehlt; ",IF(F3849&lt;=0,"Wert ist 0; ",""))&amp;IF(NOT(ISNUMBER(E3849)),"Bestand fehlt; ",IF(E3849&lt;0,"Bestand negativ; ",IF(E3849=0,"Nullbestand; ","")))&amp;IF(D3849="","Warengruppe fehlt; ","")&amp;IF(B3849="","Bezeichnung fehlt; ","")&amp;IF(COUNTIFS($A$2:$A$5001,$A3849,$C$2:$C$5001,C3849)&gt;1,"Artikel doppelt im selben Lager; ",""))</f>
        <v/>
      </c>
      <c r="P3849" s="47" t="n">
        <f aca="false">IF(OR($A3849="",D3849=""),0,IF(COUNTIF($D$2:D3849,D3849)=1,SUMIF($D$2:$D$5001,D3849,$H$2:$H$5001)+ROW()/10000000,0))</f>
        <v>0</v>
      </c>
      <c r="Q3849" s="47" t="n">
        <f aca="false">IF(OR($A3849="",C3849=""),0,IF(COUNTIF($C$2:C3849,C3849)=1,SUMIF($C$2:$C$5001,C3849,$H$2:$H$5001)+ROW()/10000000,0))</f>
        <v>0</v>
      </c>
    </row>
    <row r="3850" customFormat="false" ht="15" hidden="false" customHeight="false" outlineLevel="0" collapsed="false">
      <c r="A3850" s="43"/>
      <c r="B3850" s="44"/>
      <c r="C3850" s="44"/>
      <c r="D3850" s="44"/>
      <c r="E3850" s="44"/>
      <c r="F3850" s="44"/>
      <c r="G3850" s="44"/>
      <c r="H3850" s="46" t="str">
        <f aca="false">IF($A3850="","",IF(OR(NOT(ISNUMBER(E3850)),NOT(ISNUMBER(F3850))),"",MAX(0,E3850)*F3850))</f>
        <v/>
      </c>
      <c r="I3850" s="46" t="str">
        <f aca="false">IF($A3850="","",SUMIF($A$2:$A$5001,$A3850,$H$2:$H$5001))</f>
        <v/>
      </c>
      <c r="J3850" s="47" t="n">
        <f aca="false">IF($A3850="",0,IF(COUNTIF($A$2:A3850,$A3850)=1,1,0))</f>
        <v>0</v>
      </c>
      <c r="K3850" s="47" t="n">
        <f aca="false">IF(J3850=1,N(I3850)+ROW()/10000000,0)</f>
        <v>0</v>
      </c>
      <c r="L3850" s="47" t="str">
        <f aca="false">IF(AND(J3850=1,N(I3850)&gt;0),SUMIF($K$2:$K$5001,"&gt;="&amp;K3850,$I$2:$I$5001)/MAX(1,SUM($H$2:$H$5001)),"")</f>
        <v/>
      </c>
      <c r="M3850" s="47" t="str">
        <f aca="false">IF($A3850="","",INDEX($L$2:$L$5001,MATCH($A3850,$A$2:$A$5001,0)))</f>
        <v/>
      </c>
      <c r="N3850" s="48" t="str">
        <f aca="false">IF($A3850="","",IF(N(M3850)=0,"–",IF(M3850&lt;=Start!$D$20,"A",IF(M3850&lt;=Start!$D$21,"B","C"))))</f>
        <v/>
      </c>
      <c r="O3850" s="48" t="str">
        <f aca="false">IF($A3850="","",IF(NOT(ISNUMBER(F3850)),"Wert fehlt; ",IF(F3850&lt;=0,"Wert ist 0; ",""))&amp;IF(NOT(ISNUMBER(E3850)),"Bestand fehlt; ",IF(E3850&lt;0,"Bestand negativ; ",IF(E3850=0,"Nullbestand; ","")))&amp;IF(D3850="","Warengruppe fehlt; ","")&amp;IF(B3850="","Bezeichnung fehlt; ","")&amp;IF(COUNTIFS($A$2:$A$5001,$A3850,$C$2:$C$5001,C3850)&gt;1,"Artikel doppelt im selben Lager; ",""))</f>
        <v/>
      </c>
      <c r="P3850" s="47" t="n">
        <f aca="false">IF(OR($A3850="",D3850=""),0,IF(COUNTIF($D$2:D3850,D3850)=1,SUMIF($D$2:$D$5001,D3850,$H$2:$H$5001)+ROW()/10000000,0))</f>
        <v>0</v>
      </c>
      <c r="Q3850" s="47" t="n">
        <f aca="false">IF(OR($A3850="",C3850=""),0,IF(COUNTIF($C$2:C3850,C3850)=1,SUMIF($C$2:$C$5001,C3850,$H$2:$H$5001)+ROW()/10000000,0))</f>
        <v>0</v>
      </c>
    </row>
    <row r="3851" customFormat="false" ht="15" hidden="false" customHeight="false" outlineLevel="0" collapsed="false">
      <c r="A3851" s="43"/>
      <c r="B3851" s="44"/>
      <c r="C3851" s="44"/>
      <c r="D3851" s="44"/>
      <c r="E3851" s="44"/>
      <c r="F3851" s="44"/>
      <c r="G3851" s="44"/>
      <c r="H3851" s="46" t="str">
        <f aca="false">IF($A3851="","",IF(OR(NOT(ISNUMBER(E3851)),NOT(ISNUMBER(F3851))),"",MAX(0,E3851)*F3851))</f>
        <v/>
      </c>
      <c r="I3851" s="46" t="str">
        <f aca="false">IF($A3851="","",SUMIF($A$2:$A$5001,$A3851,$H$2:$H$5001))</f>
        <v/>
      </c>
      <c r="J3851" s="47" t="n">
        <f aca="false">IF($A3851="",0,IF(COUNTIF($A$2:A3851,$A3851)=1,1,0))</f>
        <v>0</v>
      </c>
      <c r="K3851" s="47" t="n">
        <f aca="false">IF(J3851=1,N(I3851)+ROW()/10000000,0)</f>
        <v>0</v>
      </c>
      <c r="L3851" s="47" t="str">
        <f aca="false">IF(AND(J3851=1,N(I3851)&gt;0),SUMIF($K$2:$K$5001,"&gt;="&amp;K3851,$I$2:$I$5001)/MAX(1,SUM($H$2:$H$5001)),"")</f>
        <v/>
      </c>
      <c r="M3851" s="47" t="str">
        <f aca="false">IF($A3851="","",INDEX($L$2:$L$5001,MATCH($A3851,$A$2:$A$5001,0)))</f>
        <v/>
      </c>
      <c r="N3851" s="48" t="str">
        <f aca="false">IF($A3851="","",IF(N(M3851)=0,"–",IF(M3851&lt;=Start!$D$20,"A",IF(M3851&lt;=Start!$D$21,"B","C"))))</f>
        <v/>
      </c>
      <c r="O3851" s="48" t="str">
        <f aca="false">IF($A3851="","",IF(NOT(ISNUMBER(F3851)),"Wert fehlt; ",IF(F3851&lt;=0,"Wert ist 0; ",""))&amp;IF(NOT(ISNUMBER(E3851)),"Bestand fehlt; ",IF(E3851&lt;0,"Bestand negativ; ",IF(E3851=0,"Nullbestand; ","")))&amp;IF(D3851="","Warengruppe fehlt; ","")&amp;IF(B3851="","Bezeichnung fehlt; ","")&amp;IF(COUNTIFS($A$2:$A$5001,$A3851,$C$2:$C$5001,C3851)&gt;1,"Artikel doppelt im selben Lager; ",""))</f>
        <v/>
      </c>
      <c r="P3851" s="47" t="n">
        <f aca="false">IF(OR($A3851="",D3851=""),0,IF(COUNTIF($D$2:D3851,D3851)=1,SUMIF($D$2:$D$5001,D3851,$H$2:$H$5001)+ROW()/10000000,0))</f>
        <v>0</v>
      </c>
      <c r="Q3851" s="47" t="n">
        <f aca="false">IF(OR($A3851="",C3851=""),0,IF(COUNTIF($C$2:C3851,C3851)=1,SUMIF($C$2:$C$5001,C3851,$H$2:$H$5001)+ROW()/10000000,0))</f>
        <v>0</v>
      </c>
    </row>
    <row r="3852" customFormat="false" ht="15" hidden="false" customHeight="false" outlineLevel="0" collapsed="false">
      <c r="A3852" s="43"/>
      <c r="B3852" s="44"/>
      <c r="C3852" s="44"/>
      <c r="D3852" s="44"/>
      <c r="E3852" s="44"/>
      <c r="F3852" s="44"/>
      <c r="G3852" s="44"/>
      <c r="H3852" s="46" t="str">
        <f aca="false">IF($A3852="","",IF(OR(NOT(ISNUMBER(E3852)),NOT(ISNUMBER(F3852))),"",MAX(0,E3852)*F3852))</f>
        <v/>
      </c>
      <c r="I3852" s="46" t="str">
        <f aca="false">IF($A3852="","",SUMIF($A$2:$A$5001,$A3852,$H$2:$H$5001))</f>
        <v/>
      </c>
      <c r="J3852" s="47" t="n">
        <f aca="false">IF($A3852="",0,IF(COUNTIF($A$2:A3852,$A3852)=1,1,0))</f>
        <v>0</v>
      </c>
      <c r="K3852" s="47" t="n">
        <f aca="false">IF(J3852=1,N(I3852)+ROW()/10000000,0)</f>
        <v>0</v>
      </c>
      <c r="L3852" s="47" t="str">
        <f aca="false">IF(AND(J3852=1,N(I3852)&gt;0),SUMIF($K$2:$K$5001,"&gt;="&amp;K3852,$I$2:$I$5001)/MAX(1,SUM($H$2:$H$5001)),"")</f>
        <v/>
      </c>
      <c r="M3852" s="47" t="str">
        <f aca="false">IF($A3852="","",INDEX($L$2:$L$5001,MATCH($A3852,$A$2:$A$5001,0)))</f>
        <v/>
      </c>
      <c r="N3852" s="48" t="str">
        <f aca="false">IF($A3852="","",IF(N(M3852)=0,"–",IF(M3852&lt;=Start!$D$20,"A",IF(M3852&lt;=Start!$D$21,"B","C"))))</f>
        <v/>
      </c>
      <c r="O3852" s="48" t="str">
        <f aca="false">IF($A3852="","",IF(NOT(ISNUMBER(F3852)),"Wert fehlt; ",IF(F3852&lt;=0,"Wert ist 0; ",""))&amp;IF(NOT(ISNUMBER(E3852)),"Bestand fehlt; ",IF(E3852&lt;0,"Bestand negativ; ",IF(E3852=0,"Nullbestand; ","")))&amp;IF(D3852="","Warengruppe fehlt; ","")&amp;IF(B3852="","Bezeichnung fehlt; ","")&amp;IF(COUNTIFS($A$2:$A$5001,$A3852,$C$2:$C$5001,C3852)&gt;1,"Artikel doppelt im selben Lager; ",""))</f>
        <v/>
      </c>
      <c r="P3852" s="47" t="n">
        <f aca="false">IF(OR($A3852="",D3852=""),0,IF(COUNTIF($D$2:D3852,D3852)=1,SUMIF($D$2:$D$5001,D3852,$H$2:$H$5001)+ROW()/10000000,0))</f>
        <v>0</v>
      </c>
      <c r="Q3852" s="47" t="n">
        <f aca="false">IF(OR($A3852="",C3852=""),0,IF(COUNTIF($C$2:C3852,C3852)=1,SUMIF($C$2:$C$5001,C3852,$H$2:$H$5001)+ROW()/10000000,0))</f>
        <v>0</v>
      </c>
    </row>
    <row r="3853" customFormat="false" ht="15" hidden="false" customHeight="false" outlineLevel="0" collapsed="false">
      <c r="A3853" s="43"/>
      <c r="B3853" s="44"/>
      <c r="C3853" s="44"/>
      <c r="D3853" s="44"/>
      <c r="E3853" s="44"/>
      <c r="F3853" s="44"/>
      <c r="G3853" s="44"/>
      <c r="H3853" s="46" t="str">
        <f aca="false">IF($A3853="","",IF(OR(NOT(ISNUMBER(E3853)),NOT(ISNUMBER(F3853))),"",MAX(0,E3853)*F3853))</f>
        <v/>
      </c>
      <c r="I3853" s="46" t="str">
        <f aca="false">IF($A3853="","",SUMIF($A$2:$A$5001,$A3853,$H$2:$H$5001))</f>
        <v/>
      </c>
      <c r="J3853" s="47" t="n">
        <f aca="false">IF($A3853="",0,IF(COUNTIF($A$2:A3853,$A3853)=1,1,0))</f>
        <v>0</v>
      </c>
      <c r="K3853" s="47" t="n">
        <f aca="false">IF(J3853=1,N(I3853)+ROW()/10000000,0)</f>
        <v>0</v>
      </c>
      <c r="L3853" s="47" t="str">
        <f aca="false">IF(AND(J3853=1,N(I3853)&gt;0),SUMIF($K$2:$K$5001,"&gt;="&amp;K3853,$I$2:$I$5001)/MAX(1,SUM($H$2:$H$5001)),"")</f>
        <v/>
      </c>
      <c r="M3853" s="47" t="str">
        <f aca="false">IF($A3853="","",INDEX($L$2:$L$5001,MATCH($A3853,$A$2:$A$5001,0)))</f>
        <v/>
      </c>
      <c r="N3853" s="48" t="str">
        <f aca="false">IF($A3853="","",IF(N(M3853)=0,"–",IF(M3853&lt;=Start!$D$20,"A",IF(M3853&lt;=Start!$D$21,"B","C"))))</f>
        <v/>
      </c>
      <c r="O3853" s="48" t="str">
        <f aca="false">IF($A3853="","",IF(NOT(ISNUMBER(F3853)),"Wert fehlt; ",IF(F3853&lt;=0,"Wert ist 0; ",""))&amp;IF(NOT(ISNUMBER(E3853)),"Bestand fehlt; ",IF(E3853&lt;0,"Bestand negativ; ",IF(E3853=0,"Nullbestand; ","")))&amp;IF(D3853="","Warengruppe fehlt; ","")&amp;IF(B3853="","Bezeichnung fehlt; ","")&amp;IF(COUNTIFS($A$2:$A$5001,$A3853,$C$2:$C$5001,C3853)&gt;1,"Artikel doppelt im selben Lager; ",""))</f>
        <v/>
      </c>
      <c r="P3853" s="47" t="n">
        <f aca="false">IF(OR($A3853="",D3853=""),0,IF(COUNTIF($D$2:D3853,D3853)=1,SUMIF($D$2:$D$5001,D3853,$H$2:$H$5001)+ROW()/10000000,0))</f>
        <v>0</v>
      </c>
      <c r="Q3853" s="47" t="n">
        <f aca="false">IF(OR($A3853="",C3853=""),0,IF(COUNTIF($C$2:C3853,C3853)=1,SUMIF($C$2:$C$5001,C3853,$H$2:$H$5001)+ROW()/10000000,0))</f>
        <v>0</v>
      </c>
    </row>
    <row r="3854" customFormat="false" ht="15" hidden="false" customHeight="false" outlineLevel="0" collapsed="false">
      <c r="A3854" s="43"/>
      <c r="B3854" s="44"/>
      <c r="C3854" s="44"/>
      <c r="D3854" s="44"/>
      <c r="E3854" s="44"/>
      <c r="F3854" s="44"/>
      <c r="G3854" s="44"/>
      <c r="H3854" s="46" t="str">
        <f aca="false">IF($A3854="","",IF(OR(NOT(ISNUMBER(E3854)),NOT(ISNUMBER(F3854))),"",MAX(0,E3854)*F3854))</f>
        <v/>
      </c>
      <c r="I3854" s="46" t="str">
        <f aca="false">IF($A3854="","",SUMIF($A$2:$A$5001,$A3854,$H$2:$H$5001))</f>
        <v/>
      </c>
      <c r="J3854" s="47" t="n">
        <f aca="false">IF($A3854="",0,IF(COUNTIF($A$2:A3854,$A3854)=1,1,0))</f>
        <v>0</v>
      </c>
      <c r="K3854" s="47" t="n">
        <f aca="false">IF(J3854=1,N(I3854)+ROW()/10000000,0)</f>
        <v>0</v>
      </c>
      <c r="L3854" s="47" t="str">
        <f aca="false">IF(AND(J3854=1,N(I3854)&gt;0),SUMIF($K$2:$K$5001,"&gt;="&amp;K3854,$I$2:$I$5001)/MAX(1,SUM($H$2:$H$5001)),"")</f>
        <v/>
      </c>
      <c r="M3854" s="47" t="str">
        <f aca="false">IF($A3854="","",INDEX($L$2:$L$5001,MATCH($A3854,$A$2:$A$5001,0)))</f>
        <v/>
      </c>
      <c r="N3854" s="48" t="str">
        <f aca="false">IF($A3854="","",IF(N(M3854)=0,"–",IF(M3854&lt;=Start!$D$20,"A",IF(M3854&lt;=Start!$D$21,"B","C"))))</f>
        <v/>
      </c>
      <c r="O3854" s="48" t="str">
        <f aca="false">IF($A3854="","",IF(NOT(ISNUMBER(F3854)),"Wert fehlt; ",IF(F3854&lt;=0,"Wert ist 0; ",""))&amp;IF(NOT(ISNUMBER(E3854)),"Bestand fehlt; ",IF(E3854&lt;0,"Bestand negativ; ",IF(E3854=0,"Nullbestand; ","")))&amp;IF(D3854="","Warengruppe fehlt; ","")&amp;IF(B3854="","Bezeichnung fehlt; ","")&amp;IF(COUNTIFS($A$2:$A$5001,$A3854,$C$2:$C$5001,C3854)&gt;1,"Artikel doppelt im selben Lager; ",""))</f>
        <v/>
      </c>
      <c r="P3854" s="47" t="n">
        <f aca="false">IF(OR($A3854="",D3854=""),0,IF(COUNTIF($D$2:D3854,D3854)=1,SUMIF($D$2:$D$5001,D3854,$H$2:$H$5001)+ROW()/10000000,0))</f>
        <v>0</v>
      </c>
      <c r="Q3854" s="47" t="n">
        <f aca="false">IF(OR($A3854="",C3854=""),0,IF(COUNTIF($C$2:C3854,C3854)=1,SUMIF($C$2:$C$5001,C3854,$H$2:$H$5001)+ROW()/10000000,0))</f>
        <v>0</v>
      </c>
    </row>
    <row r="3855" customFormat="false" ht="15" hidden="false" customHeight="false" outlineLevel="0" collapsed="false">
      <c r="A3855" s="43"/>
      <c r="B3855" s="44"/>
      <c r="C3855" s="44"/>
      <c r="D3855" s="44"/>
      <c r="E3855" s="44"/>
      <c r="F3855" s="44"/>
      <c r="G3855" s="44"/>
      <c r="H3855" s="46" t="str">
        <f aca="false">IF($A3855="","",IF(OR(NOT(ISNUMBER(E3855)),NOT(ISNUMBER(F3855))),"",MAX(0,E3855)*F3855))</f>
        <v/>
      </c>
      <c r="I3855" s="46" t="str">
        <f aca="false">IF($A3855="","",SUMIF($A$2:$A$5001,$A3855,$H$2:$H$5001))</f>
        <v/>
      </c>
      <c r="J3855" s="47" t="n">
        <f aca="false">IF($A3855="",0,IF(COUNTIF($A$2:A3855,$A3855)=1,1,0))</f>
        <v>0</v>
      </c>
      <c r="K3855" s="47" t="n">
        <f aca="false">IF(J3855=1,N(I3855)+ROW()/10000000,0)</f>
        <v>0</v>
      </c>
      <c r="L3855" s="47" t="str">
        <f aca="false">IF(AND(J3855=1,N(I3855)&gt;0),SUMIF($K$2:$K$5001,"&gt;="&amp;K3855,$I$2:$I$5001)/MAX(1,SUM($H$2:$H$5001)),"")</f>
        <v/>
      </c>
      <c r="M3855" s="47" t="str">
        <f aca="false">IF($A3855="","",INDEX($L$2:$L$5001,MATCH($A3855,$A$2:$A$5001,0)))</f>
        <v/>
      </c>
      <c r="N3855" s="48" t="str">
        <f aca="false">IF($A3855="","",IF(N(M3855)=0,"–",IF(M3855&lt;=Start!$D$20,"A",IF(M3855&lt;=Start!$D$21,"B","C"))))</f>
        <v/>
      </c>
      <c r="O3855" s="48" t="str">
        <f aca="false">IF($A3855="","",IF(NOT(ISNUMBER(F3855)),"Wert fehlt; ",IF(F3855&lt;=0,"Wert ist 0; ",""))&amp;IF(NOT(ISNUMBER(E3855)),"Bestand fehlt; ",IF(E3855&lt;0,"Bestand negativ; ",IF(E3855=0,"Nullbestand; ","")))&amp;IF(D3855="","Warengruppe fehlt; ","")&amp;IF(B3855="","Bezeichnung fehlt; ","")&amp;IF(COUNTIFS($A$2:$A$5001,$A3855,$C$2:$C$5001,C3855)&gt;1,"Artikel doppelt im selben Lager; ",""))</f>
        <v/>
      </c>
      <c r="P3855" s="47" t="n">
        <f aca="false">IF(OR($A3855="",D3855=""),0,IF(COUNTIF($D$2:D3855,D3855)=1,SUMIF($D$2:$D$5001,D3855,$H$2:$H$5001)+ROW()/10000000,0))</f>
        <v>0</v>
      </c>
      <c r="Q3855" s="47" t="n">
        <f aca="false">IF(OR($A3855="",C3855=""),0,IF(COUNTIF($C$2:C3855,C3855)=1,SUMIF($C$2:$C$5001,C3855,$H$2:$H$5001)+ROW()/10000000,0))</f>
        <v>0</v>
      </c>
    </row>
    <row r="3856" customFormat="false" ht="15" hidden="false" customHeight="false" outlineLevel="0" collapsed="false">
      <c r="A3856" s="43"/>
      <c r="B3856" s="44"/>
      <c r="C3856" s="44"/>
      <c r="D3856" s="44"/>
      <c r="E3856" s="44"/>
      <c r="F3856" s="44"/>
      <c r="G3856" s="44"/>
      <c r="H3856" s="46" t="str">
        <f aca="false">IF($A3856="","",IF(OR(NOT(ISNUMBER(E3856)),NOT(ISNUMBER(F3856))),"",MAX(0,E3856)*F3856))</f>
        <v/>
      </c>
      <c r="I3856" s="46" t="str">
        <f aca="false">IF($A3856="","",SUMIF($A$2:$A$5001,$A3856,$H$2:$H$5001))</f>
        <v/>
      </c>
      <c r="J3856" s="47" t="n">
        <f aca="false">IF($A3856="",0,IF(COUNTIF($A$2:A3856,$A3856)=1,1,0))</f>
        <v>0</v>
      </c>
      <c r="K3856" s="47" t="n">
        <f aca="false">IF(J3856=1,N(I3856)+ROW()/10000000,0)</f>
        <v>0</v>
      </c>
      <c r="L3856" s="47" t="str">
        <f aca="false">IF(AND(J3856=1,N(I3856)&gt;0),SUMIF($K$2:$K$5001,"&gt;="&amp;K3856,$I$2:$I$5001)/MAX(1,SUM($H$2:$H$5001)),"")</f>
        <v/>
      </c>
      <c r="M3856" s="47" t="str">
        <f aca="false">IF($A3856="","",INDEX($L$2:$L$5001,MATCH($A3856,$A$2:$A$5001,0)))</f>
        <v/>
      </c>
      <c r="N3856" s="48" t="str">
        <f aca="false">IF($A3856="","",IF(N(M3856)=0,"–",IF(M3856&lt;=Start!$D$20,"A",IF(M3856&lt;=Start!$D$21,"B","C"))))</f>
        <v/>
      </c>
      <c r="O3856" s="48" t="str">
        <f aca="false">IF($A3856="","",IF(NOT(ISNUMBER(F3856)),"Wert fehlt; ",IF(F3856&lt;=0,"Wert ist 0; ",""))&amp;IF(NOT(ISNUMBER(E3856)),"Bestand fehlt; ",IF(E3856&lt;0,"Bestand negativ; ",IF(E3856=0,"Nullbestand; ","")))&amp;IF(D3856="","Warengruppe fehlt; ","")&amp;IF(B3856="","Bezeichnung fehlt; ","")&amp;IF(COUNTIFS($A$2:$A$5001,$A3856,$C$2:$C$5001,C3856)&gt;1,"Artikel doppelt im selben Lager; ",""))</f>
        <v/>
      </c>
      <c r="P3856" s="47" t="n">
        <f aca="false">IF(OR($A3856="",D3856=""),0,IF(COUNTIF($D$2:D3856,D3856)=1,SUMIF($D$2:$D$5001,D3856,$H$2:$H$5001)+ROW()/10000000,0))</f>
        <v>0</v>
      </c>
      <c r="Q3856" s="47" t="n">
        <f aca="false">IF(OR($A3856="",C3856=""),0,IF(COUNTIF($C$2:C3856,C3856)=1,SUMIF($C$2:$C$5001,C3856,$H$2:$H$5001)+ROW()/10000000,0))</f>
        <v>0</v>
      </c>
    </row>
    <row r="3857" customFormat="false" ht="15" hidden="false" customHeight="false" outlineLevel="0" collapsed="false">
      <c r="A3857" s="43"/>
      <c r="B3857" s="44"/>
      <c r="C3857" s="44"/>
      <c r="D3857" s="44"/>
      <c r="E3857" s="44"/>
      <c r="F3857" s="44"/>
      <c r="G3857" s="44"/>
      <c r="H3857" s="46" t="str">
        <f aca="false">IF($A3857="","",IF(OR(NOT(ISNUMBER(E3857)),NOT(ISNUMBER(F3857))),"",MAX(0,E3857)*F3857))</f>
        <v/>
      </c>
      <c r="I3857" s="46" t="str">
        <f aca="false">IF($A3857="","",SUMIF($A$2:$A$5001,$A3857,$H$2:$H$5001))</f>
        <v/>
      </c>
      <c r="J3857" s="47" t="n">
        <f aca="false">IF($A3857="",0,IF(COUNTIF($A$2:A3857,$A3857)=1,1,0))</f>
        <v>0</v>
      </c>
      <c r="K3857" s="47" t="n">
        <f aca="false">IF(J3857=1,N(I3857)+ROW()/10000000,0)</f>
        <v>0</v>
      </c>
      <c r="L3857" s="47" t="str">
        <f aca="false">IF(AND(J3857=1,N(I3857)&gt;0),SUMIF($K$2:$K$5001,"&gt;="&amp;K3857,$I$2:$I$5001)/MAX(1,SUM($H$2:$H$5001)),"")</f>
        <v/>
      </c>
      <c r="M3857" s="47" t="str">
        <f aca="false">IF($A3857="","",INDEX($L$2:$L$5001,MATCH($A3857,$A$2:$A$5001,0)))</f>
        <v/>
      </c>
      <c r="N3857" s="48" t="str">
        <f aca="false">IF($A3857="","",IF(N(M3857)=0,"–",IF(M3857&lt;=Start!$D$20,"A",IF(M3857&lt;=Start!$D$21,"B","C"))))</f>
        <v/>
      </c>
      <c r="O3857" s="48" t="str">
        <f aca="false">IF($A3857="","",IF(NOT(ISNUMBER(F3857)),"Wert fehlt; ",IF(F3857&lt;=0,"Wert ist 0; ",""))&amp;IF(NOT(ISNUMBER(E3857)),"Bestand fehlt; ",IF(E3857&lt;0,"Bestand negativ; ",IF(E3857=0,"Nullbestand; ","")))&amp;IF(D3857="","Warengruppe fehlt; ","")&amp;IF(B3857="","Bezeichnung fehlt; ","")&amp;IF(COUNTIFS($A$2:$A$5001,$A3857,$C$2:$C$5001,C3857)&gt;1,"Artikel doppelt im selben Lager; ",""))</f>
        <v/>
      </c>
      <c r="P3857" s="47" t="n">
        <f aca="false">IF(OR($A3857="",D3857=""),0,IF(COUNTIF($D$2:D3857,D3857)=1,SUMIF($D$2:$D$5001,D3857,$H$2:$H$5001)+ROW()/10000000,0))</f>
        <v>0</v>
      </c>
      <c r="Q3857" s="47" t="n">
        <f aca="false">IF(OR($A3857="",C3857=""),0,IF(COUNTIF($C$2:C3857,C3857)=1,SUMIF($C$2:$C$5001,C3857,$H$2:$H$5001)+ROW()/10000000,0))</f>
        <v>0</v>
      </c>
    </row>
    <row r="3858" customFormat="false" ht="15" hidden="false" customHeight="false" outlineLevel="0" collapsed="false">
      <c r="A3858" s="43"/>
      <c r="B3858" s="44"/>
      <c r="C3858" s="44"/>
      <c r="D3858" s="44"/>
      <c r="E3858" s="44"/>
      <c r="F3858" s="44"/>
      <c r="G3858" s="44"/>
      <c r="H3858" s="46" t="str">
        <f aca="false">IF($A3858="","",IF(OR(NOT(ISNUMBER(E3858)),NOT(ISNUMBER(F3858))),"",MAX(0,E3858)*F3858))</f>
        <v/>
      </c>
      <c r="I3858" s="46" t="str">
        <f aca="false">IF($A3858="","",SUMIF($A$2:$A$5001,$A3858,$H$2:$H$5001))</f>
        <v/>
      </c>
      <c r="J3858" s="47" t="n">
        <f aca="false">IF($A3858="",0,IF(COUNTIF($A$2:A3858,$A3858)=1,1,0))</f>
        <v>0</v>
      </c>
      <c r="K3858" s="47" t="n">
        <f aca="false">IF(J3858=1,N(I3858)+ROW()/10000000,0)</f>
        <v>0</v>
      </c>
      <c r="L3858" s="47" t="str">
        <f aca="false">IF(AND(J3858=1,N(I3858)&gt;0),SUMIF($K$2:$K$5001,"&gt;="&amp;K3858,$I$2:$I$5001)/MAX(1,SUM($H$2:$H$5001)),"")</f>
        <v/>
      </c>
      <c r="M3858" s="47" t="str">
        <f aca="false">IF($A3858="","",INDEX($L$2:$L$5001,MATCH($A3858,$A$2:$A$5001,0)))</f>
        <v/>
      </c>
      <c r="N3858" s="48" t="str">
        <f aca="false">IF($A3858="","",IF(N(M3858)=0,"–",IF(M3858&lt;=Start!$D$20,"A",IF(M3858&lt;=Start!$D$21,"B","C"))))</f>
        <v/>
      </c>
      <c r="O3858" s="48" t="str">
        <f aca="false">IF($A3858="","",IF(NOT(ISNUMBER(F3858)),"Wert fehlt; ",IF(F3858&lt;=0,"Wert ist 0; ",""))&amp;IF(NOT(ISNUMBER(E3858)),"Bestand fehlt; ",IF(E3858&lt;0,"Bestand negativ; ",IF(E3858=0,"Nullbestand; ","")))&amp;IF(D3858="","Warengruppe fehlt; ","")&amp;IF(B3858="","Bezeichnung fehlt; ","")&amp;IF(COUNTIFS($A$2:$A$5001,$A3858,$C$2:$C$5001,C3858)&gt;1,"Artikel doppelt im selben Lager; ",""))</f>
        <v/>
      </c>
      <c r="P3858" s="47" t="n">
        <f aca="false">IF(OR($A3858="",D3858=""),0,IF(COUNTIF($D$2:D3858,D3858)=1,SUMIF($D$2:$D$5001,D3858,$H$2:$H$5001)+ROW()/10000000,0))</f>
        <v>0</v>
      </c>
      <c r="Q3858" s="47" t="n">
        <f aca="false">IF(OR($A3858="",C3858=""),0,IF(COUNTIF($C$2:C3858,C3858)=1,SUMIF($C$2:$C$5001,C3858,$H$2:$H$5001)+ROW()/10000000,0))</f>
        <v>0</v>
      </c>
    </row>
    <row r="3859" customFormat="false" ht="15" hidden="false" customHeight="false" outlineLevel="0" collapsed="false">
      <c r="A3859" s="43"/>
      <c r="B3859" s="44"/>
      <c r="C3859" s="44"/>
      <c r="D3859" s="44"/>
      <c r="E3859" s="44"/>
      <c r="F3859" s="44"/>
      <c r="G3859" s="44"/>
      <c r="H3859" s="46" t="str">
        <f aca="false">IF($A3859="","",IF(OR(NOT(ISNUMBER(E3859)),NOT(ISNUMBER(F3859))),"",MAX(0,E3859)*F3859))</f>
        <v/>
      </c>
      <c r="I3859" s="46" t="str">
        <f aca="false">IF($A3859="","",SUMIF($A$2:$A$5001,$A3859,$H$2:$H$5001))</f>
        <v/>
      </c>
      <c r="J3859" s="47" t="n">
        <f aca="false">IF($A3859="",0,IF(COUNTIF($A$2:A3859,$A3859)=1,1,0))</f>
        <v>0</v>
      </c>
      <c r="K3859" s="47" t="n">
        <f aca="false">IF(J3859=1,N(I3859)+ROW()/10000000,0)</f>
        <v>0</v>
      </c>
      <c r="L3859" s="47" t="str">
        <f aca="false">IF(AND(J3859=1,N(I3859)&gt;0),SUMIF($K$2:$K$5001,"&gt;="&amp;K3859,$I$2:$I$5001)/MAX(1,SUM($H$2:$H$5001)),"")</f>
        <v/>
      </c>
      <c r="M3859" s="47" t="str">
        <f aca="false">IF($A3859="","",INDEX($L$2:$L$5001,MATCH($A3859,$A$2:$A$5001,0)))</f>
        <v/>
      </c>
      <c r="N3859" s="48" t="str">
        <f aca="false">IF($A3859="","",IF(N(M3859)=0,"–",IF(M3859&lt;=Start!$D$20,"A",IF(M3859&lt;=Start!$D$21,"B","C"))))</f>
        <v/>
      </c>
      <c r="O3859" s="48" t="str">
        <f aca="false">IF($A3859="","",IF(NOT(ISNUMBER(F3859)),"Wert fehlt; ",IF(F3859&lt;=0,"Wert ist 0; ",""))&amp;IF(NOT(ISNUMBER(E3859)),"Bestand fehlt; ",IF(E3859&lt;0,"Bestand negativ; ",IF(E3859=0,"Nullbestand; ","")))&amp;IF(D3859="","Warengruppe fehlt; ","")&amp;IF(B3859="","Bezeichnung fehlt; ","")&amp;IF(COUNTIFS($A$2:$A$5001,$A3859,$C$2:$C$5001,C3859)&gt;1,"Artikel doppelt im selben Lager; ",""))</f>
        <v/>
      </c>
      <c r="P3859" s="47" t="n">
        <f aca="false">IF(OR($A3859="",D3859=""),0,IF(COUNTIF($D$2:D3859,D3859)=1,SUMIF($D$2:$D$5001,D3859,$H$2:$H$5001)+ROW()/10000000,0))</f>
        <v>0</v>
      </c>
      <c r="Q3859" s="47" t="n">
        <f aca="false">IF(OR($A3859="",C3859=""),0,IF(COUNTIF($C$2:C3859,C3859)=1,SUMIF($C$2:$C$5001,C3859,$H$2:$H$5001)+ROW()/10000000,0))</f>
        <v>0</v>
      </c>
    </row>
    <row r="3860" customFormat="false" ht="15" hidden="false" customHeight="false" outlineLevel="0" collapsed="false">
      <c r="A3860" s="43"/>
      <c r="B3860" s="44"/>
      <c r="C3860" s="44"/>
      <c r="D3860" s="44"/>
      <c r="E3860" s="44"/>
      <c r="F3860" s="44"/>
      <c r="G3860" s="44"/>
      <c r="H3860" s="46" t="str">
        <f aca="false">IF($A3860="","",IF(OR(NOT(ISNUMBER(E3860)),NOT(ISNUMBER(F3860))),"",MAX(0,E3860)*F3860))</f>
        <v/>
      </c>
      <c r="I3860" s="46" t="str">
        <f aca="false">IF($A3860="","",SUMIF($A$2:$A$5001,$A3860,$H$2:$H$5001))</f>
        <v/>
      </c>
      <c r="J3860" s="47" t="n">
        <f aca="false">IF($A3860="",0,IF(COUNTIF($A$2:A3860,$A3860)=1,1,0))</f>
        <v>0</v>
      </c>
      <c r="K3860" s="47" t="n">
        <f aca="false">IF(J3860=1,N(I3860)+ROW()/10000000,0)</f>
        <v>0</v>
      </c>
      <c r="L3860" s="47" t="str">
        <f aca="false">IF(AND(J3860=1,N(I3860)&gt;0),SUMIF($K$2:$K$5001,"&gt;="&amp;K3860,$I$2:$I$5001)/MAX(1,SUM($H$2:$H$5001)),"")</f>
        <v/>
      </c>
      <c r="M3860" s="47" t="str">
        <f aca="false">IF($A3860="","",INDEX($L$2:$L$5001,MATCH($A3860,$A$2:$A$5001,0)))</f>
        <v/>
      </c>
      <c r="N3860" s="48" t="str">
        <f aca="false">IF($A3860="","",IF(N(M3860)=0,"–",IF(M3860&lt;=Start!$D$20,"A",IF(M3860&lt;=Start!$D$21,"B","C"))))</f>
        <v/>
      </c>
      <c r="O3860" s="48" t="str">
        <f aca="false">IF($A3860="","",IF(NOT(ISNUMBER(F3860)),"Wert fehlt; ",IF(F3860&lt;=0,"Wert ist 0; ",""))&amp;IF(NOT(ISNUMBER(E3860)),"Bestand fehlt; ",IF(E3860&lt;0,"Bestand negativ; ",IF(E3860=0,"Nullbestand; ","")))&amp;IF(D3860="","Warengruppe fehlt; ","")&amp;IF(B3860="","Bezeichnung fehlt; ","")&amp;IF(COUNTIFS($A$2:$A$5001,$A3860,$C$2:$C$5001,C3860)&gt;1,"Artikel doppelt im selben Lager; ",""))</f>
        <v/>
      </c>
      <c r="P3860" s="47" t="n">
        <f aca="false">IF(OR($A3860="",D3860=""),0,IF(COUNTIF($D$2:D3860,D3860)=1,SUMIF($D$2:$D$5001,D3860,$H$2:$H$5001)+ROW()/10000000,0))</f>
        <v>0</v>
      </c>
      <c r="Q3860" s="47" t="n">
        <f aca="false">IF(OR($A3860="",C3860=""),0,IF(COUNTIF($C$2:C3860,C3860)=1,SUMIF($C$2:$C$5001,C3860,$H$2:$H$5001)+ROW()/10000000,0))</f>
        <v>0</v>
      </c>
    </row>
    <row r="3861" customFormat="false" ht="15" hidden="false" customHeight="false" outlineLevel="0" collapsed="false">
      <c r="A3861" s="43"/>
      <c r="B3861" s="44"/>
      <c r="C3861" s="44"/>
      <c r="D3861" s="44"/>
      <c r="E3861" s="44"/>
      <c r="F3861" s="44"/>
      <c r="G3861" s="44"/>
      <c r="H3861" s="46" t="str">
        <f aca="false">IF($A3861="","",IF(OR(NOT(ISNUMBER(E3861)),NOT(ISNUMBER(F3861))),"",MAX(0,E3861)*F3861))</f>
        <v/>
      </c>
      <c r="I3861" s="46" t="str">
        <f aca="false">IF($A3861="","",SUMIF($A$2:$A$5001,$A3861,$H$2:$H$5001))</f>
        <v/>
      </c>
      <c r="J3861" s="47" t="n">
        <f aca="false">IF($A3861="",0,IF(COUNTIF($A$2:A3861,$A3861)=1,1,0))</f>
        <v>0</v>
      </c>
      <c r="K3861" s="47" t="n">
        <f aca="false">IF(J3861=1,N(I3861)+ROW()/10000000,0)</f>
        <v>0</v>
      </c>
      <c r="L3861" s="47" t="str">
        <f aca="false">IF(AND(J3861=1,N(I3861)&gt;0),SUMIF($K$2:$K$5001,"&gt;="&amp;K3861,$I$2:$I$5001)/MAX(1,SUM($H$2:$H$5001)),"")</f>
        <v/>
      </c>
      <c r="M3861" s="47" t="str">
        <f aca="false">IF($A3861="","",INDEX($L$2:$L$5001,MATCH($A3861,$A$2:$A$5001,0)))</f>
        <v/>
      </c>
      <c r="N3861" s="48" t="str">
        <f aca="false">IF($A3861="","",IF(N(M3861)=0,"–",IF(M3861&lt;=Start!$D$20,"A",IF(M3861&lt;=Start!$D$21,"B","C"))))</f>
        <v/>
      </c>
      <c r="O3861" s="48" t="str">
        <f aca="false">IF($A3861="","",IF(NOT(ISNUMBER(F3861)),"Wert fehlt; ",IF(F3861&lt;=0,"Wert ist 0; ",""))&amp;IF(NOT(ISNUMBER(E3861)),"Bestand fehlt; ",IF(E3861&lt;0,"Bestand negativ; ",IF(E3861=0,"Nullbestand; ","")))&amp;IF(D3861="","Warengruppe fehlt; ","")&amp;IF(B3861="","Bezeichnung fehlt; ","")&amp;IF(COUNTIFS($A$2:$A$5001,$A3861,$C$2:$C$5001,C3861)&gt;1,"Artikel doppelt im selben Lager; ",""))</f>
        <v/>
      </c>
      <c r="P3861" s="47" t="n">
        <f aca="false">IF(OR($A3861="",D3861=""),0,IF(COUNTIF($D$2:D3861,D3861)=1,SUMIF($D$2:$D$5001,D3861,$H$2:$H$5001)+ROW()/10000000,0))</f>
        <v>0</v>
      </c>
      <c r="Q3861" s="47" t="n">
        <f aca="false">IF(OR($A3861="",C3861=""),0,IF(COUNTIF($C$2:C3861,C3861)=1,SUMIF($C$2:$C$5001,C3861,$H$2:$H$5001)+ROW()/10000000,0))</f>
        <v>0</v>
      </c>
    </row>
    <row r="3862" customFormat="false" ht="15" hidden="false" customHeight="false" outlineLevel="0" collapsed="false">
      <c r="A3862" s="43"/>
      <c r="B3862" s="44"/>
      <c r="C3862" s="44"/>
      <c r="D3862" s="44"/>
      <c r="E3862" s="44"/>
      <c r="F3862" s="44"/>
      <c r="G3862" s="44"/>
      <c r="H3862" s="46" t="str">
        <f aca="false">IF($A3862="","",IF(OR(NOT(ISNUMBER(E3862)),NOT(ISNUMBER(F3862))),"",MAX(0,E3862)*F3862))</f>
        <v/>
      </c>
      <c r="I3862" s="46" t="str">
        <f aca="false">IF($A3862="","",SUMIF($A$2:$A$5001,$A3862,$H$2:$H$5001))</f>
        <v/>
      </c>
      <c r="J3862" s="47" t="n">
        <f aca="false">IF($A3862="",0,IF(COUNTIF($A$2:A3862,$A3862)=1,1,0))</f>
        <v>0</v>
      </c>
      <c r="K3862" s="47" t="n">
        <f aca="false">IF(J3862=1,N(I3862)+ROW()/10000000,0)</f>
        <v>0</v>
      </c>
      <c r="L3862" s="47" t="str">
        <f aca="false">IF(AND(J3862=1,N(I3862)&gt;0),SUMIF($K$2:$K$5001,"&gt;="&amp;K3862,$I$2:$I$5001)/MAX(1,SUM($H$2:$H$5001)),"")</f>
        <v/>
      </c>
      <c r="M3862" s="47" t="str">
        <f aca="false">IF($A3862="","",INDEX($L$2:$L$5001,MATCH($A3862,$A$2:$A$5001,0)))</f>
        <v/>
      </c>
      <c r="N3862" s="48" t="str">
        <f aca="false">IF($A3862="","",IF(N(M3862)=0,"–",IF(M3862&lt;=Start!$D$20,"A",IF(M3862&lt;=Start!$D$21,"B","C"))))</f>
        <v/>
      </c>
      <c r="O3862" s="48" t="str">
        <f aca="false">IF($A3862="","",IF(NOT(ISNUMBER(F3862)),"Wert fehlt; ",IF(F3862&lt;=0,"Wert ist 0; ",""))&amp;IF(NOT(ISNUMBER(E3862)),"Bestand fehlt; ",IF(E3862&lt;0,"Bestand negativ; ",IF(E3862=0,"Nullbestand; ","")))&amp;IF(D3862="","Warengruppe fehlt; ","")&amp;IF(B3862="","Bezeichnung fehlt; ","")&amp;IF(COUNTIFS($A$2:$A$5001,$A3862,$C$2:$C$5001,C3862)&gt;1,"Artikel doppelt im selben Lager; ",""))</f>
        <v/>
      </c>
      <c r="P3862" s="47" t="n">
        <f aca="false">IF(OR($A3862="",D3862=""),0,IF(COUNTIF($D$2:D3862,D3862)=1,SUMIF($D$2:$D$5001,D3862,$H$2:$H$5001)+ROW()/10000000,0))</f>
        <v>0</v>
      </c>
      <c r="Q3862" s="47" t="n">
        <f aca="false">IF(OR($A3862="",C3862=""),0,IF(COUNTIF($C$2:C3862,C3862)=1,SUMIF($C$2:$C$5001,C3862,$H$2:$H$5001)+ROW()/10000000,0))</f>
        <v>0</v>
      </c>
    </row>
    <row r="3863" customFormat="false" ht="15" hidden="false" customHeight="false" outlineLevel="0" collapsed="false">
      <c r="A3863" s="43"/>
      <c r="B3863" s="44"/>
      <c r="C3863" s="44"/>
      <c r="D3863" s="44"/>
      <c r="E3863" s="44"/>
      <c r="F3863" s="44"/>
      <c r="G3863" s="44"/>
      <c r="H3863" s="46" t="str">
        <f aca="false">IF($A3863="","",IF(OR(NOT(ISNUMBER(E3863)),NOT(ISNUMBER(F3863))),"",MAX(0,E3863)*F3863))</f>
        <v/>
      </c>
      <c r="I3863" s="46" t="str">
        <f aca="false">IF($A3863="","",SUMIF($A$2:$A$5001,$A3863,$H$2:$H$5001))</f>
        <v/>
      </c>
      <c r="J3863" s="47" t="n">
        <f aca="false">IF($A3863="",0,IF(COUNTIF($A$2:A3863,$A3863)=1,1,0))</f>
        <v>0</v>
      </c>
      <c r="K3863" s="47" t="n">
        <f aca="false">IF(J3863=1,N(I3863)+ROW()/10000000,0)</f>
        <v>0</v>
      </c>
      <c r="L3863" s="47" t="str">
        <f aca="false">IF(AND(J3863=1,N(I3863)&gt;0),SUMIF($K$2:$K$5001,"&gt;="&amp;K3863,$I$2:$I$5001)/MAX(1,SUM($H$2:$H$5001)),"")</f>
        <v/>
      </c>
      <c r="M3863" s="47" t="str">
        <f aca="false">IF($A3863="","",INDEX($L$2:$L$5001,MATCH($A3863,$A$2:$A$5001,0)))</f>
        <v/>
      </c>
      <c r="N3863" s="48" t="str">
        <f aca="false">IF($A3863="","",IF(N(M3863)=0,"–",IF(M3863&lt;=Start!$D$20,"A",IF(M3863&lt;=Start!$D$21,"B","C"))))</f>
        <v/>
      </c>
      <c r="O3863" s="48" t="str">
        <f aca="false">IF($A3863="","",IF(NOT(ISNUMBER(F3863)),"Wert fehlt; ",IF(F3863&lt;=0,"Wert ist 0; ",""))&amp;IF(NOT(ISNUMBER(E3863)),"Bestand fehlt; ",IF(E3863&lt;0,"Bestand negativ; ",IF(E3863=0,"Nullbestand; ","")))&amp;IF(D3863="","Warengruppe fehlt; ","")&amp;IF(B3863="","Bezeichnung fehlt; ","")&amp;IF(COUNTIFS($A$2:$A$5001,$A3863,$C$2:$C$5001,C3863)&gt;1,"Artikel doppelt im selben Lager; ",""))</f>
        <v/>
      </c>
      <c r="P3863" s="47" t="n">
        <f aca="false">IF(OR($A3863="",D3863=""),0,IF(COUNTIF($D$2:D3863,D3863)=1,SUMIF($D$2:$D$5001,D3863,$H$2:$H$5001)+ROW()/10000000,0))</f>
        <v>0</v>
      </c>
      <c r="Q3863" s="47" t="n">
        <f aca="false">IF(OR($A3863="",C3863=""),0,IF(COUNTIF($C$2:C3863,C3863)=1,SUMIF($C$2:$C$5001,C3863,$H$2:$H$5001)+ROW()/10000000,0))</f>
        <v>0</v>
      </c>
    </row>
    <row r="3864" customFormat="false" ht="15" hidden="false" customHeight="false" outlineLevel="0" collapsed="false">
      <c r="A3864" s="43"/>
      <c r="B3864" s="44"/>
      <c r="C3864" s="44"/>
      <c r="D3864" s="44"/>
      <c r="E3864" s="44"/>
      <c r="F3864" s="44"/>
      <c r="G3864" s="44"/>
      <c r="H3864" s="46" t="str">
        <f aca="false">IF($A3864="","",IF(OR(NOT(ISNUMBER(E3864)),NOT(ISNUMBER(F3864))),"",MAX(0,E3864)*F3864))</f>
        <v/>
      </c>
      <c r="I3864" s="46" t="str">
        <f aca="false">IF($A3864="","",SUMIF($A$2:$A$5001,$A3864,$H$2:$H$5001))</f>
        <v/>
      </c>
      <c r="J3864" s="47" t="n">
        <f aca="false">IF($A3864="",0,IF(COUNTIF($A$2:A3864,$A3864)=1,1,0))</f>
        <v>0</v>
      </c>
      <c r="K3864" s="47" t="n">
        <f aca="false">IF(J3864=1,N(I3864)+ROW()/10000000,0)</f>
        <v>0</v>
      </c>
      <c r="L3864" s="47" t="str">
        <f aca="false">IF(AND(J3864=1,N(I3864)&gt;0),SUMIF($K$2:$K$5001,"&gt;="&amp;K3864,$I$2:$I$5001)/MAX(1,SUM($H$2:$H$5001)),"")</f>
        <v/>
      </c>
      <c r="M3864" s="47" t="str">
        <f aca="false">IF($A3864="","",INDEX($L$2:$L$5001,MATCH($A3864,$A$2:$A$5001,0)))</f>
        <v/>
      </c>
      <c r="N3864" s="48" t="str">
        <f aca="false">IF($A3864="","",IF(N(M3864)=0,"–",IF(M3864&lt;=Start!$D$20,"A",IF(M3864&lt;=Start!$D$21,"B","C"))))</f>
        <v/>
      </c>
      <c r="O3864" s="48" t="str">
        <f aca="false">IF($A3864="","",IF(NOT(ISNUMBER(F3864)),"Wert fehlt; ",IF(F3864&lt;=0,"Wert ist 0; ",""))&amp;IF(NOT(ISNUMBER(E3864)),"Bestand fehlt; ",IF(E3864&lt;0,"Bestand negativ; ",IF(E3864=0,"Nullbestand; ","")))&amp;IF(D3864="","Warengruppe fehlt; ","")&amp;IF(B3864="","Bezeichnung fehlt; ","")&amp;IF(COUNTIFS($A$2:$A$5001,$A3864,$C$2:$C$5001,C3864)&gt;1,"Artikel doppelt im selben Lager; ",""))</f>
        <v/>
      </c>
      <c r="P3864" s="47" t="n">
        <f aca="false">IF(OR($A3864="",D3864=""),0,IF(COUNTIF($D$2:D3864,D3864)=1,SUMIF($D$2:$D$5001,D3864,$H$2:$H$5001)+ROW()/10000000,0))</f>
        <v>0</v>
      </c>
      <c r="Q3864" s="47" t="n">
        <f aca="false">IF(OR($A3864="",C3864=""),0,IF(COUNTIF($C$2:C3864,C3864)=1,SUMIF($C$2:$C$5001,C3864,$H$2:$H$5001)+ROW()/10000000,0))</f>
        <v>0</v>
      </c>
    </row>
    <row r="3865" customFormat="false" ht="15" hidden="false" customHeight="false" outlineLevel="0" collapsed="false">
      <c r="A3865" s="43"/>
      <c r="B3865" s="44"/>
      <c r="C3865" s="44"/>
      <c r="D3865" s="44"/>
      <c r="E3865" s="44"/>
      <c r="F3865" s="44"/>
      <c r="G3865" s="44"/>
      <c r="H3865" s="46" t="str">
        <f aca="false">IF($A3865="","",IF(OR(NOT(ISNUMBER(E3865)),NOT(ISNUMBER(F3865))),"",MAX(0,E3865)*F3865))</f>
        <v/>
      </c>
      <c r="I3865" s="46" t="str">
        <f aca="false">IF($A3865="","",SUMIF($A$2:$A$5001,$A3865,$H$2:$H$5001))</f>
        <v/>
      </c>
      <c r="J3865" s="47" t="n">
        <f aca="false">IF($A3865="",0,IF(COUNTIF($A$2:A3865,$A3865)=1,1,0))</f>
        <v>0</v>
      </c>
      <c r="K3865" s="47" t="n">
        <f aca="false">IF(J3865=1,N(I3865)+ROW()/10000000,0)</f>
        <v>0</v>
      </c>
      <c r="L3865" s="47" t="str">
        <f aca="false">IF(AND(J3865=1,N(I3865)&gt;0),SUMIF($K$2:$K$5001,"&gt;="&amp;K3865,$I$2:$I$5001)/MAX(1,SUM($H$2:$H$5001)),"")</f>
        <v/>
      </c>
      <c r="M3865" s="47" t="str">
        <f aca="false">IF($A3865="","",INDEX($L$2:$L$5001,MATCH($A3865,$A$2:$A$5001,0)))</f>
        <v/>
      </c>
      <c r="N3865" s="48" t="str">
        <f aca="false">IF($A3865="","",IF(N(M3865)=0,"–",IF(M3865&lt;=Start!$D$20,"A",IF(M3865&lt;=Start!$D$21,"B","C"))))</f>
        <v/>
      </c>
      <c r="O3865" s="48" t="str">
        <f aca="false">IF($A3865="","",IF(NOT(ISNUMBER(F3865)),"Wert fehlt; ",IF(F3865&lt;=0,"Wert ist 0; ",""))&amp;IF(NOT(ISNUMBER(E3865)),"Bestand fehlt; ",IF(E3865&lt;0,"Bestand negativ; ",IF(E3865=0,"Nullbestand; ","")))&amp;IF(D3865="","Warengruppe fehlt; ","")&amp;IF(B3865="","Bezeichnung fehlt; ","")&amp;IF(COUNTIFS($A$2:$A$5001,$A3865,$C$2:$C$5001,C3865)&gt;1,"Artikel doppelt im selben Lager; ",""))</f>
        <v/>
      </c>
      <c r="P3865" s="47" t="n">
        <f aca="false">IF(OR($A3865="",D3865=""),0,IF(COUNTIF($D$2:D3865,D3865)=1,SUMIF($D$2:$D$5001,D3865,$H$2:$H$5001)+ROW()/10000000,0))</f>
        <v>0</v>
      </c>
      <c r="Q3865" s="47" t="n">
        <f aca="false">IF(OR($A3865="",C3865=""),0,IF(COUNTIF($C$2:C3865,C3865)=1,SUMIF($C$2:$C$5001,C3865,$H$2:$H$5001)+ROW()/10000000,0))</f>
        <v>0</v>
      </c>
    </row>
    <row r="3866" customFormat="false" ht="15" hidden="false" customHeight="false" outlineLevel="0" collapsed="false">
      <c r="A3866" s="43"/>
      <c r="B3866" s="44"/>
      <c r="C3866" s="44"/>
      <c r="D3866" s="44"/>
      <c r="E3866" s="44"/>
      <c r="F3866" s="44"/>
      <c r="G3866" s="44"/>
      <c r="H3866" s="46" t="str">
        <f aca="false">IF($A3866="","",IF(OR(NOT(ISNUMBER(E3866)),NOT(ISNUMBER(F3866))),"",MAX(0,E3866)*F3866))</f>
        <v/>
      </c>
      <c r="I3866" s="46" t="str">
        <f aca="false">IF($A3866="","",SUMIF($A$2:$A$5001,$A3866,$H$2:$H$5001))</f>
        <v/>
      </c>
      <c r="J3866" s="47" t="n">
        <f aca="false">IF($A3866="",0,IF(COUNTIF($A$2:A3866,$A3866)=1,1,0))</f>
        <v>0</v>
      </c>
      <c r="K3866" s="47" t="n">
        <f aca="false">IF(J3866=1,N(I3866)+ROW()/10000000,0)</f>
        <v>0</v>
      </c>
      <c r="L3866" s="47" t="str">
        <f aca="false">IF(AND(J3866=1,N(I3866)&gt;0),SUMIF($K$2:$K$5001,"&gt;="&amp;K3866,$I$2:$I$5001)/MAX(1,SUM($H$2:$H$5001)),"")</f>
        <v/>
      </c>
      <c r="M3866" s="47" t="str">
        <f aca="false">IF($A3866="","",INDEX($L$2:$L$5001,MATCH($A3866,$A$2:$A$5001,0)))</f>
        <v/>
      </c>
      <c r="N3866" s="48" t="str">
        <f aca="false">IF($A3866="","",IF(N(M3866)=0,"–",IF(M3866&lt;=Start!$D$20,"A",IF(M3866&lt;=Start!$D$21,"B","C"))))</f>
        <v/>
      </c>
      <c r="O3866" s="48" t="str">
        <f aca="false">IF($A3866="","",IF(NOT(ISNUMBER(F3866)),"Wert fehlt; ",IF(F3866&lt;=0,"Wert ist 0; ",""))&amp;IF(NOT(ISNUMBER(E3866)),"Bestand fehlt; ",IF(E3866&lt;0,"Bestand negativ; ",IF(E3866=0,"Nullbestand; ","")))&amp;IF(D3866="","Warengruppe fehlt; ","")&amp;IF(B3866="","Bezeichnung fehlt; ","")&amp;IF(COUNTIFS($A$2:$A$5001,$A3866,$C$2:$C$5001,C3866)&gt;1,"Artikel doppelt im selben Lager; ",""))</f>
        <v/>
      </c>
      <c r="P3866" s="47" t="n">
        <f aca="false">IF(OR($A3866="",D3866=""),0,IF(COUNTIF($D$2:D3866,D3866)=1,SUMIF($D$2:$D$5001,D3866,$H$2:$H$5001)+ROW()/10000000,0))</f>
        <v>0</v>
      </c>
      <c r="Q3866" s="47" t="n">
        <f aca="false">IF(OR($A3866="",C3866=""),0,IF(COUNTIF($C$2:C3866,C3866)=1,SUMIF($C$2:$C$5001,C3866,$H$2:$H$5001)+ROW()/10000000,0))</f>
        <v>0</v>
      </c>
    </row>
    <row r="3867" customFormat="false" ht="15" hidden="false" customHeight="false" outlineLevel="0" collapsed="false">
      <c r="A3867" s="43"/>
      <c r="B3867" s="44"/>
      <c r="C3867" s="44"/>
      <c r="D3867" s="44"/>
      <c r="E3867" s="44"/>
      <c r="F3867" s="44"/>
      <c r="G3867" s="44"/>
      <c r="H3867" s="46" t="str">
        <f aca="false">IF($A3867="","",IF(OR(NOT(ISNUMBER(E3867)),NOT(ISNUMBER(F3867))),"",MAX(0,E3867)*F3867))</f>
        <v/>
      </c>
      <c r="I3867" s="46" t="str">
        <f aca="false">IF($A3867="","",SUMIF($A$2:$A$5001,$A3867,$H$2:$H$5001))</f>
        <v/>
      </c>
      <c r="J3867" s="47" t="n">
        <f aca="false">IF($A3867="",0,IF(COUNTIF($A$2:A3867,$A3867)=1,1,0))</f>
        <v>0</v>
      </c>
      <c r="K3867" s="47" t="n">
        <f aca="false">IF(J3867=1,N(I3867)+ROW()/10000000,0)</f>
        <v>0</v>
      </c>
      <c r="L3867" s="47" t="str">
        <f aca="false">IF(AND(J3867=1,N(I3867)&gt;0),SUMIF($K$2:$K$5001,"&gt;="&amp;K3867,$I$2:$I$5001)/MAX(1,SUM($H$2:$H$5001)),"")</f>
        <v/>
      </c>
      <c r="M3867" s="47" t="str">
        <f aca="false">IF($A3867="","",INDEX($L$2:$L$5001,MATCH($A3867,$A$2:$A$5001,0)))</f>
        <v/>
      </c>
      <c r="N3867" s="48" t="str">
        <f aca="false">IF($A3867="","",IF(N(M3867)=0,"–",IF(M3867&lt;=Start!$D$20,"A",IF(M3867&lt;=Start!$D$21,"B","C"))))</f>
        <v/>
      </c>
      <c r="O3867" s="48" t="str">
        <f aca="false">IF($A3867="","",IF(NOT(ISNUMBER(F3867)),"Wert fehlt; ",IF(F3867&lt;=0,"Wert ist 0; ",""))&amp;IF(NOT(ISNUMBER(E3867)),"Bestand fehlt; ",IF(E3867&lt;0,"Bestand negativ; ",IF(E3867=0,"Nullbestand; ","")))&amp;IF(D3867="","Warengruppe fehlt; ","")&amp;IF(B3867="","Bezeichnung fehlt; ","")&amp;IF(COUNTIFS($A$2:$A$5001,$A3867,$C$2:$C$5001,C3867)&gt;1,"Artikel doppelt im selben Lager; ",""))</f>
        <v/>
      </c>
      <c r="P3867" s="47" t="n">
        <f aca="false">IF(OR($A3867="",D3867=""),0,IF(COUNTIF($D$2:D3867,D3867)=1,SUMIF($D$2:$D$5001,D3867,$H$2:$H$5001)+ROW()/10000000,0))</f>
        <v>0</v>
      </c>
      <c r="Q3867" s="47" t="n">
        <f aca="false">IF(OR($A3867="",C3867=""),0,IF(COUNTIF($C$2:C3867,C3867)=1,SUMIF($C$2:$C$5001,C3867,$H$2:$H$5001)+ROW()/10000000,0))</f>
        <v>0</v>
      </c>
    </row>
    <row r="3868" customFormat="false" ht="15" hidden="false" customHeight="false" outlineLevel="0" collapsed="false">
      <c r="A3868" s="43"/>
      <c r="B3868" s="44"/>
      <c r="C3868" s="44"/>
      <c r="D3868" s="44"/>
      <c r="E3868" s="44"/>
      <c r="F3868" s="44"/>
      <c r="G3868" s="44"/>
      <c r="H3868" s="46" t="str">
        <f aca="false">IF($A3868="","",IF(OR(NOT(ISNUMBER(E3868)),NOT(ISNUMBER(F3868))),"",MAX(0,E3868)*F3868))</f>
        <v/>
      </c>
      <c r="I3868" s="46" t="str">
        <f aca="false">IF($A3868="","",SUMIF($A$2:$A$5001,$A3868,$H$2:$H$5001))</f>
        <v/>
      </c>
      <c r="J3868" s="47" t="n">
        <f aca="false">IF($A3868="",0,IF(COUNTIF($A$2:A3868,$A3868)=1,1,0))</f>
        <v>0</v>
      </c>
      <c r="K3868" s="47" t="n">
        <f aca="false">IF(J3868=1,N(I3868)+ROW()/10000000,0)</f>
        <v>0</v>
      </c>
      <c r="L3868" s="47" t="str">
        <f aca="false">IF(AND(J3868=1,N(I3868)&gt;0),SUMIF($K$2:$K$5001,"&gt;="&amp;K3868,$I$2:$I$5001)/MAX(1,SUM($H$2:$H$5001)),"")</f>
        <v/>
      </c>
      <c r="M3868" s="47" t="str">
        <f aca="false">IF($A3868="","",INDEX($L$2:$L$5001,MATCH($A3868,$A$2:$A$5001,0)))</f>
        <v/>
      </c>
      <c r="N3868" s="48" t="str">
        <f aca="false">IF($A3868="","",IF(N(M3868)=0,"–",IF(M3868&lt;=Start!$D$20,"A",IF(M3868&lt;=Start!$D$21,"B","C"))))</f>
        <v/>
      </c>
      <c r="O3868" s="48" t="str">
        <f aca="false">IF($A3868="","",IF(NOT(ISNUMBER(F3868)),"Wert fehlt; ",IF(F3868&lt;=0,"Wert ist 0; ",""))&amp;IF(NOT(ISNUMBER(E3868)),"Bestand fehlt; ",IF(E3868&lt;0,"Bestand negativ; ",IF(E3868=0,"Nullbestand; ","")))&amp;IF(D3868="","Warengruppe fehlt; ","")&amp;IF(B3868="","Bezeichnung fehlt; ","")&amp;IF(COUNTIFS($A$2:$A$5001,$A3868,$C$2:$C$5001,C3868)&gt;1,"Artikel doppelt im selben Lager; ",""))</f>
        <v/>
      </c>
      <c r="P3868" s="47" t="n">
        <f aca="false">IF(OR($A3868="",D3868=""),0,IF(COUNTIF($D$2:D3868,D3868)=1,SUMIF($D$2:$D$5001,D3868,$H$2:$H$5001)+ROW()/10000000,0))</f>
        <v>0</v>
      </c>
      <c r="Q3868" s="47" t="n">
        <f aca="false">IF(OR($A3868="",C3868=""),0,IF(COUNTIF($C$2:C3868,C3868)=1,SUMIF($C$2:$C$5001,C3868,$H$2:$H$5001)+ROW()/10000000,0))</f>
        <v>0</v>
      </c>
    </row>
    <row r="3869" customFormat="false" ht="15" hidden="false" customHeight="false" outlineLevel="0" collapsed="false">
      <c r="A3869" s="43"/>
      <c r="B3869" s="44"/>
      <c r="C3869" s="44"/>
      <c r="D3869" s="44"/>
      <c r="E3869" s="44"/>
      <c r="F3869" s="44"/>
      <c r="G3869" s="44"/>
      <c r="H3869" s="46" t="str">
        <f aca="false">IF($A3869="","",IF(OR(NOT(ISNUMBER(E3869)),NOT(ISNUMBER(F3869))),"",MAX(0,E3869)*F3869))</f>
        <v/>
      </c>
      <c r="I3869" s="46" t="str">
        <f aca="false">IF($A3869="","",SUMIF($A$2:$A$5001,$A3869,$H$2:$H$5001))</f>
        <v/>
      </c>
      <c r="J3869" s="47" t="n">
        <f aca="false">IF($A3869="",0,IF(COUNTIF($A$2:A3869,$A3869)=1,1,0))</f>
        <v>0</v>
      </c>
      <c r="K3869" s="47" t="n">
        <f aca="false">IF(J3869=1,N(I3869)+ROW()/10000000,0)</f>
        <v>0</v>
      </c>
      <c r="L3869" s="47" t="str">
        <f aca="false">IF(AND(J3869=1,N(I3869)&gt;0),SUMIF($K$2:$K$5001,"&gt;="&amp;K3869,$I$2:$I$5001)/MAX(1,SUM($H$2:$H$5001)),"")</f>
        <v/>
      </c>
      <c r="M3869" s="47" t="str">
        <f aca="false">IF($A3869="","",INDEX($L$2:$L$5001,MATCH($A3869,$A$2:$A$5001,0)))</f>
        <v/>
      </c>
      <c r="N3869" s="48" t="str">
        <f aca="false">IF($A3869="","",IF(N(M3869)=0,"–",IF(M3869&lt;=Start!$D$20,"A",IF(M3869&lt;=Start!$D$21,"B","C"))))</f>
        <v/>
      </c>
      <c r="O3869" s="48" t="str">
        <f aca="false">IF($A3869="","",IF(NOT(ISNUMBER(F3869)),"Wert fehlt; ",IF(F3869&lt;=0,"Wert ist 0; ",""))&amp;IF(NOT(ISNUMBER(E3869)),"Bestand fehlt; ",IF(E3869&lt;0,"Bestand negativ; ",IF(E3869=0,"Nullbestand; ","")))&amp;IF(D3869="","Warengruppe fehlt; ","")&amp;IF(B3869="","Bezeichnung fehlt; ","")&amp;IF(COUNTIFS($A$2:$A$5001,$A3869,$C$2:$C$5001,C3869)&gt;1,"Artikel doppelt im selben Lager; ",""))</f>
        <v/>
      </c>
      <c r="P3869" s="47" t="n">
        <f aca="false">IF(OR($A3869="",D3869=""),0,IF(COUNTIF($D$2:D3869,D3869)=1,SUMIF($D$2:$D$5001,D3869,$H$2:$H$5001)+ROW()/10000000,0))</f>
        <v>0</v>
      </c>
      <c r="Q3869" s="47" t="n">
        <f aca="false">IF(OR($A3869="",C3869=""),0,IF(COUNTIF($C$2:C3869,C3869)=1,SUMIF($C$2:$C$5001,C3869,$H$2:$H$5001)+ROW()/10000000,0))</f>
        <v>0</v>
      </c>
    </row>
    <row r="3870" customFormat="false" ht="15" hidden="false" customHeight="false" outlineLevel="0" collapsed="false">
      <c r="A3870" s="43"/>
      <c r="B3870" s="44"/>
      <c r="C3870" s="44"/>
      <c r="D3870" s="44"/>
      <c r="E3870" s="44"/>
      <c r="F3870" s="44"/>
      <c r="G3870" s="44"/>
      <c r="H3870" s="46" t="str">
        <f aca="false">IF($A3870="","",IF(OR(NOT(ISNUMBER(E3870)),NOT(ISNUMBER(F3870))),"",MAX(0,E3870)*F3870))</f>
        <v/>
      </c>
      <c r="I3870" s="46" t="str">
        <f aca="false">IF($A3870="","",SUMIF($A$2:$A$5001,$A3870,$H$2:$H$5001))</f>
        <v/>
      </c>
      <c r="J3870" s="47" t="n">
        <f aca="false">IF($A3870="",0,IF(COUNTIF($A$2:A3870,$A3870)=1,1,0))</f>
        <v>0</v>
      </c>
      <c r="K3870" s="47" t="n">
        <f aca="false">IF(J3870=1,N(I3870)+ROW()/10000000,0)</f>
        <v>0</v>
      </c>
      <c r="L3870" s="47" t="str">
        <f aca="false">IF(AND(J3870=1,N(I3870)&gt;0),SUMIF($K$2:$K$5001,"&gt;="&amp;K3870,$I$2:$I$5001)/MAX(1,SUM($H$2:$H$5001)),"")</f>
        <v/>
      </c>
      <c r="M3870" s="47" t="str">
        <f aca="false">IF($A3870="","",INDEX($L$2:$L$5001,MATCH($A3870,$A$2:$A$5001,0)))</f>
        <v/>
      </c>
      <c r="N3870" s="48" t="str">
        <f aca="false">IF($A3870="","",IF(N(M3870)=0,"–",IF(M3870&lt;=Start!$D$20,"A",IF(M3870&lt;=Start!$D$21,"B","C"))))</f>
        <v/>
      </c>
      <c r="O3870" s="48" t="str">
        <f aca="false">IF($A3870="","",IF(NOT(ISNUMBER(F3870)),"Wert fehlt; ",IF(F3870&lt;=0,"Wert ist 0; ",""))&amp;IF(NOT(ISNUMBER(E3870)),"Bestand fehlt; ",IF(E3870&lt;0,"Bestand negativ; ",IF(E3870=0,"Nullbestand; ","")))&amp;IF(D3870="","Warengruppe fehlt; ","")&amp;IF(B3870="","Bezeichnung fehlt; ","")&amp;IF(COUNTIFS($A$2:$A$5001,$A3870,$C$2:$C$5001,C3870)&gt;1,"Artikel doppelt im selben Lager; ",""))</f>
        <v/>
      </c>
      <c r="P3870" s="47" t="n">
        <f aca="false">IF(OR($A3870="",D3870=""),0,IF(COUNTIF($D$2:D3870,D3870)=1,SUMIF($D$2:$D$5001,D3870,$H$2:$H$5001)+ROW()/10000000,0))</f>
        <v>0</v>
      </c>
      <c r="Q3870" s="47" t="n">
        <f aca="false">IF(OR($A3870="",C3870=""),0,IF(COUNTIF($C$2:C3870,C3870)=1,SUMIF($C$2:$C$5001,C3870,$H$2:$H$5001)+ROW()/10000000,0))</f>
        <v>0</v>
      </c>
    </row>
    <row r="3871" customFormat="false" ht="15" hidden="false" customHeight="false" outlineLevel="0" collapsed="false">
      <c r="A3871" s="43"/>
      <c r="B3871" s="44"/>
      <c r="C3871" s="44"/>
      <c r="D3871" s="44"/>
      <c r="E3871" s="44"/>
      <c r="F3871" s="44"/>
      <c r="G3871" s="44"/>
      <c r="H3871" s="46" t="str">
        <f aca="false">IF($A3871="","",IF(OR(NOT(ISNUMBER(E3871)),NOT(ISNUMBER(F3871))),"",MAX(0,E3871)*F3871))</f>
        <v/>
      </c>
      <c r="I3871" s="46" t="str">
        <f aca="false">IF($A3871="","",SUMIF($A$2:$A$5001,$A3871,$H$2:$H$5001))</f>
        <v/>
      </c>
      <c r="J3871" s="47" t="n">
        <f aca="false">IF($A3871="",0,IF(COUNTIF($A$2:A3871,$A3871)=1,1,0))</f>
        <v>0</v>
      </c>
      <c r="K3871" s="47" t="n">
        <f aca="false">IF(J3871=1,N(I3871)+ROW()/10000000,0)</f>
        <v>0</v>
      </c>
      <c r="L3871" s="47" t="str">
        <f aca="false">IF(AND(J3871=1,N(I3871)&gt;0),SUMIF($K$2:$K$5001,"&gt;="&amp;K3871,$I$2:$I$5001)/MAX(1,SUM($H$2:$H$5001)),"")</f>
        <v/>
      </c>
      <c r="M3871" s="47" t="str">
        <f aca="false">IF($A3871="","",INDEX($L$2:$L$5001,MATCH($A3871,$A$2:$A$5001,0)))</f>
        <v/>
      </c>
      <c r="N3871" s="48" t="str">
        <f aca="false">IF($A3871="","",IF(N(M3871)=0,"–",IF(M3871&lt;=Start!$D$20,"A",IF(M3871&lt;=Start!$D$21,"B","C"))))</f>
        <v/>
      </c>
      <c r="O3871" s="48" t="str">
        <f aca="false">IF($A3871="","",IF(NOT(ISNUMBER(F3871)),"Wert fehlt; ",IF(F3871&lt;=0,"Wert ist 0; ",""))&amp;IF(NOT(ISNUMBER(E3871)),"Bestand fehlt; ",IF(E3871&lt;0,"Bestand negativ; ",IF(E3871=0,"Nullbestand; ","")))&amp;IF(D3871="","Warengruppe fehlt; ","")&amp;IF(B3871="","Bezeichnung fehlt; ","")&amp;IF(COUNTIFS($A$2:$A$5001,$A3871,$C$2:$C$5001,C3871)&gt;1,"Artikel doppelt im selben Lager; ",""))</f>
        <v/>
      </c>
      <c r="P3871" s="47" t="n">
        <f aca="false">IF(OR($A3871="",D3871=""),0,IF(COUNTIF($D$2:D3871,D3871)=1,SUMIF($D$2:$D$5001,D3871,$H$2:$H$5001)+ROW()/10000000,0))</f>
        <v>0</v>
      </c>
      <c r="Q3871" s="47" t="n">
        <f aca="false">IF(OR($A3871="",C3871=""),0,IF(COUNTIF($C$2:C3871,C3871)=1,SUMIF($C$2:$C$5001,C3871,$H$2:$H$5001)+ROW()/10000000,0))</f>
        <v>0</v>
      </c>
    </row>
    <row r="3872" customFormat="false" ht="15" hidden="false" customHeight="false" outlineLevel="0" collapsed="false">
      <c r="A3872" s="43"/>
      <c r="B3872" s="44"/>
      <c r="C3872" s="44"/>
      <c r="D3872" s="44"/>
      <c r="E3872" s="44"/>
      <c r="F3872" s="44"/>
      <c r="G3872" s="44"/>
      <c r="H3872" s="46" t="str">
        <f aca="false">IF($A3872="","",IF(OR(NOT(ISNUMBER(E3872)),NOT(ISNUMBER(F3872))),"",MAX(0,E3872)*F3872))</f>
        <v/>
      </c>
      <c r="I3872" s="46" t="str">
        <f aca="false">IF($A3872="","",SUMIF($A$2:$A$5001,$A3872,$H$2:$H$5001))</f>
        <v/>
      </c>
      <c r="J3872" s="47" t="n">
        <f aca="false">IF($A3872="",0,IF(COUNTIF($A$2:A3872,$A3872)=1,1,0))</f>
        <v>0</v>
      </c>
      <c r="K3872" s="47" t="n">
        <f aca="false">IF(J3872=1,N(I3872)+ROW()/10000000,0)</f>
        <v>0</v>
      </c>
      <c r="L3872" s="47" t="str">
        <f aca="false">IF(AND(J3872=1,N(I3872)&gt;0),SUMIF($K$2:$K$5001,"&gt;="&amp;K3872,$I$2:$I$5001)/MAX(1,SUM($H$2:$H$5001)),"")</f>
        <v/>
      </c>
      <c r="M3872" s="47" t="str">
        <f aca="false">IF($A3872="","",INDEX($L$2:$L$5001,MATCH($A3872,$A$2:$A$5001,0)))</f>
        <v/>
      </c>
      <c r="N3872" s="48" t="str">
        <f aca="false">IF($A3872="","",IF(N(M3872)=0,"–",IF(M3872&lt;=Start!$D$20,"A",IF(M3872&lt;=Start!$D$21,"B","C"))))</f>
        <v/>
      </c>
      <c r="O3872" s="48" t="str">
        <f aca="false">IF($A3872="","",IF(NOT(ISNUMBER(F3872)),"Wert fehlt; ",IF(F3872&lt;=0,"Wert ist 0; ",""))&amp;IF(NOT(ISNUMBER(E3872)),"Bestand fehlt; ",IF(E3872&lt;0,"Bestand negativ; ",IF(E3872=0,"Nullbestand; ","")))&amp;IF(D3872="","Warengruppe fehlt; ","")&amp;IF(B3872="","Bezeichnung fehlt; ","")&amp;IF(COUNTIFS($A$2:$A$5001,$A3872,$C$2:$C$5001,C3872)&gt;1,"Artikel doppelt im selben Lager; ",""))</f>
        <v/>
      </c>
      <c r="P3872" s="47" t="n">
        <f aca="false">IF(OR($A3872="",D3872=""),0,IF(COUNTIF($D$2:D3872,D3872)=1,SUMIF($D$2:$D$5001,D3872,$H$2:$H$5001)+ROW()/10000000,0))</f>
        <v>0</v>
      </c>
      <c r="Q3872" s="47" t="n">
        <f aca="false">IF(OR($A3872="",C3872=""),0,IF(COUNTIF($C$2:C3872,C3872)=1,SUMIF($C$2:$C$5001,C3872,$H$2:$H$5001)+ROW()/10000000,0))</f>
        <v>0</v>
      </c>
    </row>
    <row r="3873" customFormat="false" ht="15" hidden="false" customHeight="false" outlineLevel="0" collapsed="false">
      <c r="A3873" s="43"/>
      <c r="B3873" s="44"/>
      <c r="C3873" s="44"/>
      <c r="D3873" s="44"/>
      <c r="E3873" s="44"/>
      <c r="F3873" s="44"/>
      <c r="G3873" s="44"/>
      <c r="H3873" s="46" t="str">
        <f aca="false">IF($A3873="","",IF(OR(NOT(ISNUMBER(E3873)),NOT(ISNUMBER(F3873))),"",MAX(0,E3873)*F3873))</f>
        <v/>
      </c>
      <c r="I3873" s="46" t="str">
        <f aca="false">IF($A3873="","",SUMIF($A$2:$A$5001,$A3873,$H$2:$H$5001))</f>
        <v/>
      </c>
      <c r="J3873" s="47" t="n">
        <f aca="false">IF($A3873="",0,IF(COUNTIF($A$2:A3873,$A3873)=1,1,0))</f>
        <v>0</v>
      </c>
      <c r="K3873" s="47" t="n">
        <f aca="false">IF(J3873=1,N(I3873)+ROW()/10000000,0)</f>
        <v>0</v>
      </c>
      <c r="L3873" s="47" t="str">
        <f aca="false">IF(AND(J3873=1,N(I3873)&gt;0),SUMIF($K$2:$K$5001,"&gt;="&amp;K3873,$I$2:$I$5001)/MAX(1,SUM($H$2:$H$5001)),"")</f>
        <v/>
      </c>
      <c r="M3873" s="47" t="str">
        <f aca="false">IF($A3873="","",INDEX($L$2:$L$5001,MATCH($A3873,$A$2:$A$5001,0)))</f>
        <v/>
      </c>
      <c r="N3873" s="48" t="str">
        <f aca="false">IF($A3873="","",IF(N(M3873)=0,"–",IF(M3873&lt;=Start!$D$20,"A",IF(M3873&lt;=Start!$D$21,"B","C"))))</f>
        <v/>
      </c>
      <c r="O3873" s="48" t="str">
        <f aca="false">IF($A3873="","",IF(NOT(ISNUMBER(F3873)),"Wert fehlt; ",IF(F3873&lt;=0,"Wert ist 0; ",""))&amp;IF(NOT(ISNUMBER(E3873)),"Bestand fehlt; ",IF(E3873&lt;0,"Bestand negativ; ",IF(E3873=0,"Nullbestand; ","")))&amp;IF(D3873="","Warengruppe fehlt; ","")&amp;IF(B3873="","Bezeichnung fehlt; ","")&amp;IF(COUNTIFS($A$2:$A$5001,$A3873,$C$2:$C$5001,C3873)&gt;1,"Artikel doppelt im selben Lager; ",""))</f>
        <v/>
      </c>
      <c r="P3873" s="47" t="n">
        <f aca="false">IF(OR($A3873="",D3873=""),0,IF(COUNTIF($D$2:D3873,D3873)=1,SUMIF($D$2:$D$5001,D3873,$H$2:$H$5001)+ROW()/10000000,0))</f>
        <v>0</v>
      </c>
      <c r="Q3873" s="47" t="n">
        <f aca="false">IF(OR($A3873="",C3873=""),0,IF(COUNTIF($C$2:C3873,C3873)=1,SUMIF($C$2:$C$5001,C3873,$H$2:$H$5001)+ROW()/10000000,0))</f>
        <v>0</v>
      </c>
    </row>
    <row r="3874" customFormat="false" ht="15" hidden="false" customHeight="false" outlineLevel="0" collapsed="false">
      <c r="A3874" s="43"/>
      <c r="B3874" s="44"/>
      <c r="C3874" s="44"/>
      <c r="D3874" s="44"/>
      <c r="E3874" s="44"/>
      <c r="F3874" s="44"/>
      <c r="G3874" s="44"/>
      <c r="H3874" s="46" t="str">
        <f aca="false">IF($A3874="","",IF(OR(NOT(ISNUMBER(E3874)),NOT(ISNUMBER(F3874))),"",MAX(0,E3874)*F3874))</f>
        <v/>
      </c>
      <c r="I3874" s="46" t="str">
        <f aca="false">IF($A3874="","",SUMIF($A$2:$A$5001,$A3874,$H$2:$H$5001))</f>
        <v/>
      </c>
      <c r="J3874" s="47" t="n">
        <f aca="false">IF($A3874="",0,IF(COUNTIF($A$2:A3874,$A3874)=1,1,0))</f>
        <v>0</v>
      </c>
      <c r="K3874" s="47" t="n">
        <f aca="false">IF(J3874=1,N(I3874)+ROW()/10000000,0)</f>
        <v>0</v>
      </c>
      <c r="L3874" s="47" t="str">
        <f aca="false">IF(AND(J3874=1,N(I3874)&gt;0),SUMIF($K$2:$K$5001,"&gt;="&amp;K3874,$I$2:$I$5001)/MAX(1,SUM($H$2:$H$5001)),"")</f>
        <v/>
      </c>
      <c r="M3874" s="47" t="str">
        <f aca="false">IF($A3874="","",INDEX($L$2:$L$5001,MATCH($A3874,$A$2:$A$5001,0)))</f>
        <v/>
      </c>
      <c r="N3874" s="48" t="str">
        <f aca="false">IF($A3874="","",IF(N(M3874)=0,"–",IF(M3874&lt;=Start!$D$20,"A",IF(M3874&lt;=Start!$D$21,"B","C"))))</f>
        <v/>
      </c>
      <c r="O3874" s="48" t="str">
        <f aca="false">IF($A3874="","",IF(NOT(ISNUMBER(F3874)),"Wert fehlt; ",IF(F3874&lt;=0,"Wert ist 0; ",""))&amp;IF(NOT(ISNUMBER(E3874)),"Bestand fehlt; ",IF(E3874&lt;0,"Bestand negativ; ",IF(E3874=0,"Nullbestand; ","")))&amp;IF(D3874="","Warengruppe fehlt; ","")&amp;IF(B3874="","Bezeichnung fehlt; ","")&amp;IF(COUNTIFS($A$2:$A$5001,$A3874,$C$2:$C$5001,C3874)&gt;1,"Artikel doppelt im selben Lager; ",""))</f>
        <v/>
      </c>
      <c r="P3874" s="47" t="n">
        <f aca="false">IF(OR($A3874="",D3874=""),0,IF(COUNTIF($D$2:D3874,D3874)=1,SUMIF($D$2:$D$5001,D3874,$H$2:$H$5001)+ROW()/10000000,0))</f>
        <v>0</v>
      </c>
      <c r="Q3874" s="47" t="n">
        <f aca="false">IF(OR($A3874="",C3874=""),0,IF(COUNTIF($C$2:C3874,C3874)=1,SUMIF($C$2:$C$5001,C3874,$H$2:$H$5001)+ROW()/10000000,0))</f>
        <v>0</v>
      </c>
    </row>
    <row r="3875" customFormat="false" ht="15" hidden="false" customHeight="false" outlineLevel="0" collapsed="false">
      <c r="A3875" s="43"/>
      <c r="B3875" s="44"/>
      <c r="C3875" s="44"/>
      <c r="D3875" s="44"/>
      <c r="E3875" s="44"/>
      <c r="F3875" s="44"/>
      <c r="G3875" s="44"/>
      <c r="H3875" s="46" t="str">
        <f aca="false">IF($A3875="","",IF(OR(NOT(ISNUMBER(E3875)),NOT(ISNUMBER(F3875))),"",MAX(0,E3875)*F3875))</f>
        <v/>
      </c>
      <c r="I3875" s="46" t="str">
        <f aca="false">IF($A3875="","",SUMIF($A$2:$A$5001,$A3875,$H$2:$H$5001))</f>
        <v/>
      </c>
      <c r="J3875" s="47" t="n">
        <f aca="false">IF($A3875="",0,IF(COUNTIF($A$2:A3875,$A3875)=1,1,0))</f>
        <v>0</v>
      </c>
      <c r="K3875" s="47" t="n">
        <f aca="false">IF(J3875=1,N(I3875)+ROW()/10000000,0)</f>
        <v>0</v>
      </c>
      <c r="L3875" s="47" t="str">
        <f aca="false">IF(AND(J3875=1,N(I3875)&gt;0),SUMIF($K$2:$K$5001,"&gt;="&amp;K3875,$I$2:$I$5001)/MAX(1,SUM($H$2:$H$5001)),"")</f>
        <v/>
      </c>
      <c r="M3875" s="47" t="str">
        <f aca="false">IF($A3875="","",INDEX($L$2:$L$5001,MATCH($A3875,$A$2:$A$5001,0)))</f>
        <v/>
      </c>
      <c r="N3875" s="48" t="str">
        <f aca="false">IF($A3875="","",IF(N(M3875)=0,"–",IF(M3875&lt;=Start!$D$20,"A",IF(M3875&lt;=Start!$D$21,"B","C"))))</f>
        <v/>
      </c>
      <c r="O3875" s="48" t="str">
        <f aca="false">IF($A3875="","",IF(NOT(ISNUMBER(F3875)),"Wert fehlt; ",IF(F3875&lt;=0,"Wert ist 0; ",""))&amp;IF(NOT(ISNUMBER(E3875)),"Bestand fehlt; ",IF(E3875&lt;0,"Bestand negativ; ",IF(E3875=0,"Nullbestand; ","")))&amp;IF(D3875="","Warengruppe fehlt; ","")&amp;IF(B3875="","Bezeichnung fehlt; ","")&amp;IF(COUNTIFS($A$2:$A$5001,$A3875,$C$2:$C$5001,C3875)&gt;1,"Artikel doppelt im selben Lager; ",""))</f>
        <v/>
      </c>
      <c r="P3875" s="47" t="n">
        <f aca="false">IF(OR($A3875="",D3875=""),0,IF(COUNTIF($D$2:D3875,D3875)=1,SUMIF($D$2:$D$5001,D3875,$H$2:$H$5001)+ROW()/10000000,0))</f>
        <v>0</v>
      </c>
      <c r="Q3875" s="47" t="n">
        <f aca="false">IF(OR($A3875="",C3875=""),0,IF(COUNTIF($C$2:C3875,C3875)=1,SUMIF($C$2:$C$5001,C3875,$H$2:$H$5001)+ROW()/10000000,0))</f>
        <v>0</v>
      </c>
    </row>
    <row r="3876" customFormat="false" ht="15" hidden="false" customHeight="false" outlineLevel="0" collapsed="false">
      <c r="A3876" s="43"/>
      <c r="B3876" s="44"/>
      <c r="C3876" s="44"/>
      <c r="D3876" s="44"/>
      <c r="E3876" s="44"/>
      <c r="F3876" s="44"/>
      <c r="G3876" s="44"/>
      <c r="H3876" s="46" t="str">
        <f aca="false">IF($A3876="","",IF(OR(NOT(ISNUMBER(E3876)),NOT(ISNUMBER(F3876))),"",MAX(0,E3876)*F3876))</f>
        <v/>
      </c>
      <c r="I3876" s="46" t="str">
        <f aca="false">IF($A3876="","",SUMIF($A$2:$A$5001,$A3876,$H$2:$H$5001))</f>
        <v/>
      </c>
      <c r="J3876" s="47" t="n">
        <f aca="false">IF($A3876="",0,IF(COUNTIF($A$2:A3876,$A3876)=1,1,0))</f>
        <v>0</v>
      </c>
      <c r="K3876" s="47" t="n">
        <f aca="false">IF(J3876=1,N(I3876)+ROW()/10000000,0)</f>
        <v>0</v>
      </c>
      <c r="L3876" s="47" t="str">
        <f aca="false">IF(AND(J3876=1,N(I3876)&gt;0),SUMIF($K$2:$K$5001,"&gt;="&amp;K3876,$I$2:$I$5001)/MAX(1,SUM($H$2:$H$5001)),"")</f>
        <v/>
      </c>
      <c r="M3876" s="47" t="str">
        <f aca="false">IF($A3876="","",INDEX($L$2:$L$5001,MATCH($A3876,$A$2:$A$5001,0)))</f>
        <v/>
      </c>
      <c r="N3876" s="48" t="str">
        <f aca="false">IF($A3876="","",IF(N(M3876)=0,"–",IF(M3876&lt;=Start!$D$20,"A",IF(M3876&lt;=Start!$D$21,"B","C"))))</f>
        <v/>
      </c>
      <c r="O3876" s="48" t="str">
        <f aca="false">IF($A3876="","",IF(NOT(ISNUMBER(F3876)),"Wert fehlt; ",IF(F3876&lt;=0,"Wert ist 0; ",""))&amp;IF(NOT(ISNUMBER(E3876)),"Bestand fehlt; ",IF(E3876&lt;0,"Bestand negativ; ",IF(E3876=0,"Nullbestand; ","")))&amp;IF(D3876="","Warengruppe fehlt; ","")&amp;IF(B3876="","Bezeichnung fehlt; ","")&amp;IF(COUNTIFS($A$2:$A$5001,$A3876,$C$2:$C$5001,C3876)&gt;1,"Artikel doppelt im selben Lager; ",""))</f>
        <v/>
      </c>
      <c r="P3876" s="47" t="n">
        <f aca="false">IF(OR($A3876="",D3876=""),0,IF(COUNTIF($D$2:D3876,D3876)=1,SUMIF($D$2:$D$5001,D3876,$H$2:$H$5001)+ROW()/10000000,0))</f>
        <v>0</v>
      </c>
      <c r="Q3876" s="47" t="n">
        <f aca="false">IF(OR($A3876="",C3876=""),0,IF(COUNTIF($C$2:C3876,C3876)=1,SUMIF($C$2:$C$5001,C3876,$H$2:$H$5001)+ROW()/10000000,0))</f>
        <v>0</v>
      </c>
    </row>
    <row r="3877" customFormat="false" ht="15" hidden="false" customHeight="false" outlineLevel="0" collapsed="false">
      <c r="A3877" s="43"/>
      <c r="B3877" s="44"/>
      <c r="C3877" s="44"/>
      <c r="D3877" s="44"/>
      <c r="E3877" s="44"/>
      <c r="F3877" s="44"/>
      <c r="G3877" s="44"/>
      <c r="H3877" s="46" t="str">
        <f aca="false">IF($A3877="","",IF(OR(NOT(ISNUMBER(E3877)),NOT(ISNUMBER(F3877))),"",MAX(0,E3877)*F3877))</f>
        <v/>
      </c>
      <c r="I3877" s="46" t="str">
        <f aca="false">IF($A3877="","",SUMIF($A$2:$A$5001,$A3877,$H$2:$H$5001))</f>
        <v/>
      </c>
      <c r="J3877" s="47" t="n">
        <f aca="false">IF($A3877="",0,IF(COUNTIF($A$2:A3877,$A3877)=1,1,0))</f>
        <v>0</v>
      </c>
      <c r="K3877" s="47" t="n">
        <f aca="false">IF(J3877=1,N(I3877)+ROW()/10000000,0)</f>
        <v>0</v>
      </c>
      <c r="L3877" s="47" t="str">
        <f aca="false">IF(AND(J3877=1,N(I3877)&gt;0),SUMIF($K$2:$K$5001,"&gt;="&amp;K3877,$I$2:$I$5001)/MAX(1,SUM($H$2:$H$5001)),"")</f>
        <v/>
      </c>
      <c r="M3877" s="47" t="str">
        <f aca="false">IF($A3877="","",INDEX($L$2:$L$5001,MATCH($A3877,$A$2:$A$5001,0)))</f>
        <v/>
      </c>
      <c r="N3877" s="48" t="str">
        <f aca="false">IF($A3877="","",IF(N(M3877)=0,"–",IF(M3877&lt;=Start!$D$20,"A",IF(M3877&lt;=Start!$D$21,"B","C"))))</f>
        <v/>
      </c>
      <c r="O3877" s="48" t="str">
        <f aca="false">IF($A3877="","",IF(NOT(ISNUMBER(F3877)),"Wert fehlt; ",IF(F3877&lt;=0,"Wert ist 0; ",""))&amp;IF(NOT(ISNUMBER(E3877)),"Bestand fehlt; ",IF(E3877&lt;0,"Bestand negativ; ",IF(E3877=0,"Nullbestand; ","")))&amp;IF(D3877="","Warengruppe fehlt; ","")&amp;IF(B3877="","Bezeichnung fehlt; ","")&amp;IF(COUNTIFS($A$2:$A$5001,$A3877,$C$2:$C$5001,C3877)&gt;1,"Artikel doppelt im selben Lager; ",""))</f>
        <v/>
      </c>
      <c r="P3877" s="47" t="n">
        <f aca="false">IF(OR($A3877="",D3877=""),0,IF(COUNTIF($D$2:D3877,D3877)=1,SUMIF($D$2:$D$5001,D3877,$H$2:$H$5001)+ROW()/10000000,0))</f>
        <v>0</v>
      </c>
      <c r="Q3877" s="47" t="n">
        <f aca="false">IF(OR($A3877="",C3877=""),0,IF(COUNTIF($C$2:C3877,C3877)=1,SUMIF($C$2:$C$5001,C3877,$H$2:$H$5001)+ROW()/10000000,0))</f>
        <v>0</v>
      </c>
    </row>
    <row r="3878" customFormat="false" ht="15" hidden="false" customHeight="false" outlineLevel="0" collapsed="false">
      <c r="A3878" s="43"/>
      <c r="B3878" s="44"/>
      <c r="C3878" s="44"/>
      <c r="D3878" s="44"/>
      <c r="E3878" s="44"/>
      <c r="F3878" s="44"/>
      <c r="G3878" s="44"/>
      <c r="H3878" s="46" t="str">
        <f aca="false">IF($A3878="","",IF(OR(NOT(ISNUMBER(E3878)),NOT(ISNUMBER(F3878))),"",MAX(0,E3878)*F3878))</f>
        <v/>
      </c>
      <c r="I3878" s="46" t="str">
        <f aca="false">IF($A3878="","",SUMIF($A$2:$A$5001,$A3878,$H$2:$H$5001))</f>
        <v/>
      </c>
      <c r="J3878" s="47" t="n">
        <f aca="false">IF($A3878="",0,IF(COUNTIF($A$2:A3878,$A3878)=1,1,0))</f>
        <v>0</v>
      </c>
      <c r="K3878" s="47" t="n">
        <f aca="false">IF(J3878=1,N(I3878)+ROW()/10000000,0)</f>
        <v>0</v>
      </c>
      <c r="L3878" s="47" t="str">
        <f aca="false">IF(AND(J3878=1,N(I3878)&gt;0),SUMIF($K$2:$K$5001,"&gt;="&amp;K3878,$I$2:$I$5001)/MAX(1,SUM($H$2:$H$5001)),"")</f>
        <v/>
      </c>
      <c r="M3878" s="47" t="str">
        <f aca="false">IF($A3878="","",INDEX($L$2:$L$5001,MATCH($A3878,$A$2:$A$5001,0)))</f>
        <v/>
      </c>
      <c r="N3878" s="48" t="str">
        <f aca="false">IF($A3878="","",IF(N(M3878)=0,"–",IF(M3878&lt;=Start!$D$20,"A",IF(M3878&lt;=Start!$D$21,"B","C"))))</f>
        <v/>
      </c>
      <c r="O3878" s="48" t="str">
        <f aca="false">IF($A3878="","",IF(NOT(ISNUMBER(F3878)),"Wert fehlt; ",IF(F3878&lt;=0,"Wert ist 0; ",""))&amp;IF(NOT(ISNUMBER(E3878)),"Bestand fehlt; ",IF(E3878&lt;0,"Bestand negativ; ",IF(E3878=0,"Nullbestand; ","")))&amp;IF(D3878="","Warengruppe fehlt; ","")&amp;IF(B3878="","Bezeichnung fehlt; ","")&amp;IF(COUNTIFS($A$2:$A$5001,$A3878,$C$2:$C$5001,C3878)&gt;1,"Artikel doppelt im selben Lager; ",""))</f>
        <v/>
      </c>
      <c r="P3878" s="47" t="n">
        <f aca="false">IF(OR($A3878="",D3878=""),0,IF(COUNTIF($D$2:D3878,D3878)=1,SUMIF($D$2:$D$5001,D3878,$H$2:$H$5001)+ROW()/10000000,0))</f>
        <v>0</v>
      </c>
      <c r="Q3878" s="47" t="n">
        <f aca="false">IF(OR($A3878="",C3878=""),0,IF(COUNTIF($C$2:C3878,C3878)=1,SUMIF($C$2:$C$5001,C3878,$H$2:$H$5001)+ROW()/10000000,0))</f>
        <v>0</v>
      </c>
    </row>
    <row r="3879" customFormat="false" ht="15" hidden="false" customHeight="false" outlineLevel="0" collapsed="false">
      <c r="A3879" s="43"/>
      <c r="B3879" s="44"/>
      <c r="C3879" s="44"/>
      <c r="D3879" s="44"/>
      <c r="E3879" s="44"/>
      <c r="F3879" s="44"/>
      <c r="G3879" s="44"/>
      <c r="H3879" s="46" t="str">
        <f aca="false">IF($A3879="","",IF(OR(NOT(ISNUMBER(E3879)),NOT(ISNUMBER(F3879))),"",MAX(0,E3879)*F3879))</f>
        <v/>
      </c>
      <c r="I3879" s="46" t="str">
        <f aca="false">IF($A3879="","",SUMIF($A$2:$A$5001,$A3879,$H$2:$H$5001))</f>
        <v/>
      </c>
      <c r="J3879" s="47" t="n">
        <f aca="false">IF($A3879="",0,IF(COUNTIF($A$2:A3879,$A3879)=1,1,0))</f>
        <v>0</v>
      </c>
      <c r="K3879" s="47" t="n">
        <f aca="false">IF(J3879=1,N(I3879)+ROW()/10000000,0)</f>
        <v>0</v>
      </c>
      <c r="L3879" s="47" t="str">
        <f aca="false">IF(AND(J3879=1,N(I3879)&gt;0),SUMIF($K$2:$K$5001,"&gt;="&amp;K3879,$I$2:$I$5001)/MAX(1,SUM($H$2:$H$5001)),"")</f>
        <v/>
      </c>
      <c r="M3879" s="47" t="str">
        <f aca="false">IF($A3879="","",INDEX($L$2:$L$5001,MATCH($A3879,$A$2:$A$5001,0)))</f>
        <v/>
      </c>
      <c r="N3879" s="48" t="str">
        <f aca="false">IF($A3879="","",IF(N(M3879)=0,"–",IF(M3879&lt;=Start!$D$20,"A",IF(M3879&lt;=Start!$D$21,"B","C"))))</f>
        <v/>
      </c>
      <c r="O3879" s="48" t="str">
        <f aca="false">IF($A3879="","",IF(NOT(ISNUMBER(F3879)),"Wert fehlt; ",IF(F3879&lt;=0,"Wert ist 0; ",""))&amp;IF(NOT(ISNUMBER(E3879)),"Bestand fehlt; ",IF(E3879&lt;0,"Bestand negativ; ",IF(E3879=0,"Nullbestand; ","")))&amp;IF(D3879="","Warengruppe fehlt; ","")&amp;IF(B3879="","Bezeichnung fehlt; ","")&amp;IF(COUNTIFS($A$2:$A$5001,$A3879,$C$2:$C$5001,C3879)&gt;1,"Artikel doppelt im selben Lager; ",""))</f>
        <v/>
      </c>
      <c r="P3879" s="47" t="n">
        <f aca="false">IF(OR($A3879="",D3879=""),0,IF(COUNTIF($D$2:D3879,D3879)=1,SUMIF($D$2:$D$5001,D3879,$H$2:$H$5001)+ROW()/10000000,0))</f>
        <v>0</v>
      </c>
      <c r="Q3879" s="47" t="n">
        <f aca="false">IF(OR($A3879="",C3879=""),0,IF(COUNTIF($C$2:C3879,C3879)=1,SUMIF($C$2:$C$5001,C3879,$H$2:$H$5001)+ROW()/10000000,0))</f>
        <v>0</v>
      </c>
    </row>
    <row r="3880" customFormat="false" ht="15" hidden="false" customHeight="false" outlineLevel="0" collapsed="false">
      <c r="A3880" s="43"/>
      <c r="B3880" s="44"/>
      <c r="C3880" s="44"/>
      <c r="D3880" s="44"/>
      <c r="E3880" s="44"/>
      <c r="F3880" s="44"/>
      <c r="G3880" s="44"/>
      <c r="H3880" s="46" t="str">
        <f aca="false">IF($A3880="","",IF(OR(NOT(ISNUMBER(E3880)),NOT(ISNUMBER(F3880))),"",MAX(0,E3880)*F3880))</f>
        <v/>
      </c>
      <c r="I3880" s="46" t="str">
        <f aca="false">IF($A3880="","",SUMIF($A$2:$A$5001,$A3880,$H$2:$H$5001))</f>
        <v/>
      </c>
      <c r="J3880" s="47" t="n">
        <f aca="false">IF($A3880="",0,IF(COUNTIF($A$2:A3880,$A3880)=1,1,0))</f>
        <v>0</v>
      </c>
      <c r="K3880" s="47" t="n">
        <f aca="false">IF(J3880=1,N(I3880)+ROW()/10000000,0)</f>
        <v>0</v>
      </c>
      <c r="L3880" s="47" t="str">
        <f aca="false">IF(AND(J3880=1,N(I3880)&gt;0),SUMIF($K$2:$K$5001,"&gt;="&amp;K3880,$I$2:$I$5001)/MAX(1,SUM($H$2:$H$5001)),"")</f>
        <v/>
      </c>
      <c r="M3880" s="47" t="str">
        <f aca="false">IF($A3880="","",INDEX($L$2:$L$5001,MATCH($A3880,$A$2:$A$5001,0)))</f>
        <v/>
      </c>
      <c r="N3880" s="48" t="str">
        <f aca="false">IF($A3880="","",IF(N(M3880)=0,"–",IF(M3880&lt;=Start!$D$20,"A",IF(M3880&lt;=Start!$D$21,"B","C"))))</f>
        <v/>
      </c>
      <c r="O3880" s="48" t="str">
        <f aca="false">IF($A3880="","",IF(NOT(ISNUMBER(F3880)),"Wert fehlt; ",IF(F3880&lt;=0,"Wert ist 0; ",""))&amp;IF(NOT(ISNUMBER(E3880)),"Bestand fehlt; ",IF(E3880&lt;0,"Bestand negativ; ",IF(E3880=0,"Nullbestand; ","")))&amp;IF(D3880="","Warengruppe fehlt; ","")&amp;IF(B3880="","Bezeichnung fehlt; ","")&amp;IF(COUNTIFS($A$2:$A$5001,$A3880,$C$2:$C$5001,C3880)&gt;1,"Artikel doppelt im selben Lager; ",""))</f>
        <v/>
      </c>
      <c r="P3880" s="47" t="n">
        <f aca="false">IF(OR($A3880="",D3880=""),0,IF(COUNTIF($D$2:D3880,D3880)=1,SUMIF($D$2:$D$5001,D3880,$H$2:$H$5001)+ROW()/10000000,0))</f>
        <v>0</v>
      </c>
      <c r="Q3880" s="47" t="n">
        <f aca="false">IF(OR($A3880="",C3880=""),0,IF(COUNTIF($C$2:C3880,C3880)=1,SUMIF($C$2:$C$5001,C3880,$H$2:$H$5001)+ROW()/10000000,0))</f>
        <v>0</v>
      </c>
    </row>
    <row r="3881" customFormat="false" ht="15" hidden="false" customHeight="false" outlineLevel="0" collapsed="false">
      <c r="A3881" s="43"/>
      <c r="B3881" s="44"/>
      <c r="C3881" s="44"/>
      <c r="D3881" s="44"/>
      <c r="E3881" s="44"/>
      <c r="F3881" s="44"/>
      <c r="G3881" s="44"/>
      <c r="H3881" s="46" t="str">
        <f aca="false">IF($A3881="","",IF(OR(NOT(ISNUMBER(E3881)),NOT(ISNUMBER(F3881))),"",MAX(0,E3881)*F3881))</f>
        <v/>
      </c>
      <c r="I3881" s="46" t="str">
        <f aca="false">IF($A3881="","",SUMIF($A$2:$A$5001,$A3881,$H$2:$H$5001))</f>
        <v/>
      </c>
      <c r="J3881" s="47" t="n">
        <f aca="false">IF($A3881="",0,IF(COUNTIF($A$2:A3881,$A3881)=1,1,0))</f>
        <v>0</v>
      </c>
      <c r="K3881" s="47" t="n">
        <f aca="false">IF(J3881=1,N(I3881)+ROW()/10000000,0)</f>
        <v>0</v>
      </c>
      <c r="L3881" s="47" t="str">
        <f aca="false">IF(AND(J3881=1,N(I3881)&gt;0),SUMIF($K$2:$K$5001,"&gt;="&amp;K3881,$I$2:$I$5001)/MAX(1,SUM($H$2:$H$5001)),"")</f>
        <v/>
      </c>
      <c r="M3881" s="47" t="str">
        <f aca="false">IF($A3881="","",INDEX($L$2:$L$5001,MATCH($A3881,$A$2:$A$5001,0)))</f>
        <v/>
      </c>
      <c r="N3881" s="48" t="str">
        <f aca="false">IF($A3881="","",IF(N(M3881)=0,"–",IF(M3881&lt;=Start!$D$20,"A",IF(M3881&lt;=Start!$D$21,"B","C"))))</f>
        <v/>
      </c>
      <c r="O3881" s="48" t="str">
        <f aca="false">IF($A3881="","",IF(NOT(ISNUMBER(F3881)),"Wert fehlt; ",IF(F3881&lt;=0,"Wert ist 0; ",""))&amp;IF(NOT(ISNUMBER(E3881)),"Bestand fehlt; ",IF(E3881&lt;0,"Bestand negativ; ",IF(E3881=0,"Nullbestand; ","")))&amp;IF(D3881="","Warengruppe fehlt; ","")&amp;IF(B3881="","Bezeichnung fehlt; ","")&amp;IF(COUNTIFS($A$2:$A$5001,$A3881,$C$2:$C$5001,C3881)&gt;1,"Artikel doppelt im selben Lager; ",""))</f>
        <v/>
      </c>
      <c r="P3881" s="47" t="n">
        <f aca="false">IF(OR($A3881="",D3881=""),0,IF(COUNTIF($D$2:D3881,D3881)=1,SUMIF($D$2:$D$5001,D3881,$H$2:$H$5001)+ROW()/10000000,0))</f>
        <v>0</v>
      </c>
      <c r="Q3881" s="47" t="n">
        <f aca="false">IF(OR($A3881="",C3881=""),0,IF(COUNTIF($C$2:C3881,C3881)=1,SUMIF($C$2:$C$5001,C3881,$H$2:$H$5001)+ROW()/10000000,0))</f>
        <v>0</v>
      </c>
    </row>
    <row r="3882" customFormat="false" ht="15" hidden="false" customHeight="false" outlineLevel="0" collapsed="false">
      <c r="A3882" s="43"/>
      <c r="B3882" s="44"/>
      <c r="C3882" s="44"/>
      <c r="D3882" s="44"/>
      <c r="E3882" s="44"/>
      <c r="F3882" s="44"/>
      <c r="G3882" s="44"/>
      <c r="H3882" s="46" t="str">
        <f aca="false">IF($A3882="","",IF(OR(NOT(ISNUMBER(E3882)),NOT(ISNUMBER(F3882))),"",MAX(0,E3882)*F3882))</f>
        <v/>
      </c>
      <c r="I3882" s="46" t="str">
        <f aca="false">IF($A3882="","",SUMIF($A$2:$A$5001,$A3882,$H$2:$H$5001))</f>
        <v/>
      </c>
      <c r="J3882" s="47" t="n">
        <f aca="false">IF($A3882="",0,IF(COUNTIF($A$2:A3882,$A3882)=1,1,0))</f>
        <v>0</v>
      </c>
      <c r="K3882" s="47" t="n">
        <f aca="false">IF(J3882=1,N(I3882)+ROW()/10000000,0)</f>
        <v>0</v>
      </c>
      <c r="L3882" s="47" t="str">
        <f aca="false">IF(AND(J3882=1,N(I3882)&gt;0),SUMIF($K$2:$K$5001,"&gt;="&amp;K3882,$I$2:$I$5001)/MAX(1,SUM($H$2:$H$5001)),"")</f>
        <v/>
      </c>
      <c r="M3882" s="47" t="str">
        <f aca="false">IF($A3882="","",INDEX($L$2:$L$5001,MATCH($A3882,$A$2:$A$5001,0)))</f>
        <v/>
      </c>
      <c r="N3882" s="48" t="str">
        <f aca="false">IF($A3882="","",IF(N(M3882)=0,"–",IF(M3882&lt;=Start!$D$20,"A",IF(M3882&lt;=Start!$D$21,"B","C"))))</f>
        <v/>
      </c>
      <c r="O3882" s="48" t="str">
        <f aca="false">IF($A3882="","",IF(NOT(ISNUMBER(F3882)),"Wert fehlt; ",IF(F3882&lt;=0,"Wert ist 0; ",""))&amp;IF(NOT(ISNUMBER(E3882)),"Bestand fehlt; ",IF(E3882&lt;0,"Bestand negativ; ",IF(E3882=0,"Nullbestand; ","")))&amp;IF(D3882="","Warengruppe fehlt; ","")&amp;IF(B3882="","Bezeichnung fehlt; ","")&amp;IF(COUNTIFS($A$2:$A$5001,$A3882,$C$2:$C$5001,C3882)&gt;1,"Artikel doppelt im selben Lager; ",""))</f>
        <v/>
      </c>
      <c r="P3882" s="47" t="n">
        <f aca="false">IF(OR($A3882="",D3882=""),0,IF(COUNTIF($D$2:D3882,D3882)=1,SUMIF($D$2:$D$5001,D3882,$H$2:$H$5001)+ROW()/10000000,0))</f>
        <v>0</v>
      </c>
      <c r="Q3882" s="47" t="n">
        <f aca="false">IF(OR($A3882="",C3882=""),0,IF(COUNTIF($C$2:C3882,C3882)=1,SUMIF($C$2:$C$5001,C3882,$H$2:$H$5001)+ROW()/10000000,0))</f>
        <v>0</v>
      </c>
    </row>
    <row r="3883" customFormat="false" ht="15" hidden="false" customHeight="false" outlineLevel="0" collapsed="false">
      <c r="A3883" s="43"/>
      <c r="B3883" s="44"/>
      <c r="C3883" s="44"/>
      <c r="D3883" s="44"/>
      <c r="E3883" s="44"/>
      <c r="F3883" s="44"/>
      <c r="G3883" s="44"/>
      <c r="H3883" s="46" t="str">
        <f aca="false">IF($A3883="","",IF(OR(NOT(ISNUMBER(E3883)),NOT(ISNUMBER(F3883))),"",MAX(0,E3883)*F3883))</f>
        <v/>
      </c>
      <c r="I3883" s="46" t="str">
        <f aca="false">IF($A3883="","",SUMIF($A$2:$A$5001,$A3883,$H$2:$H$5001))</f>
        <v/>
      </c>
      <c r="J3883" s="47" t="n">
        <f aca="false">IF($A3883="",0,IF(COUNTIF($A$2:A3883,$A3883)=1,1,0))</f>
        <v>0</v>
      </c>
      <c r="K3883" s="47" t="n">
        <f aca="false">IF(J3883=1,N(I3883)+ROW()/10000000,0)</f>
        <v>0</v>
      </c>
      <c r="L3883" s="47" t="str">
        <f aca="false">IF(AND(J3883=1,N(I3883)&gt;0),SUMIF($K$2:$K$5001,"&gt;="&amp;K3883,$I$2:$I$5001)/MAX(1,SUM($H$2:$H$5001)),"")</f>
        <v/>
      </c>
      <c r="M3883" s="47" t="str">
        <f aca="false">IF($A3883="","",INDEX($L$2:$L$5001,MATCH($A3883,$A$2:$A$5001,0)))</f>
        <v/>
      </c>
      <c r="N3883" s="48" t="str">
        <f aca="false">IF($A3883="","",IF(N(M3883)=0,"–",IF(M3883&lt;=Start!$D$20,"A",IF(M3883&lt;=Start!$D$21,"B","C"))))</f>
        <v/>
      </c>
      <c r="O3883" s="48" t="str">
        <f aca="false">IF($A3883="","",IF(NOT(ISNUMBER(F3883)),"Wert fehlt; ",IF(F3883&lt;=0,"Wert ist 0; ",""))&amp;IF(NOT(ISNUMBER(E3883)),"Bestand fehlt; ",IF(E3883&lt;0,"Bestand negativ; ",IF(E3883=0,"Nullbestand; ","")))&amp;IF(D3883="","Warengruppe fehlt; ","")&amp;IF(B3883="","Bezeichnung fehlt; ","")&amp;IF(COUNTIFS($A$2:$A$5001,$A3883,$C$2:$C$5001,C3883)&gt;1,"Artikel doppelt im selben Lager; ",""))</f>
        <v/>
      </c>
      <c r="P3883" s="47" t="n">
        <f aca="false">IF(OR($A3883="",D3883=""),0,IF(COUNTIF($D$2:D3883,D3883)=1,SUMIF($D$2:$D$5001,D3883,$H$2:$H$5001)+ROW()/10000000,0))</f>
        <v>0</v>
      </c>
      <c r="Q3883" s="47" t="n">
        <f aca="false">IF(OR($A3883="",C3883=""),0,IF(COUNTIF($C$2:C3883,C3883)=1,SUMIF($C$2:$C$5001,C3883,$H$2:$H$5001)+ROW()/10000000,0))</f>
        <v>0</v>
      </c>
    </row>
    <row r="3884" customFormat="false" ht="15" hidden="false" customHeight="false" outlineLevel="0" collapsed="false">
      <c r="A3884" s="43"/>
      <c r="B3884" s="44"/>
      <c r="C3884" s="44"/>
      <c r="D3884" s="44"/>
      <c r="E3884" s="44"/>
      <c r="F3884" s="44"/>
      <c r="G3884" s="44"/>
      <c r="H3884" s="46" t="str">
        <f aca="false">IF($A3884="","",IF(OR(NOT(ISNUMBER(E3884)),NOT(ISNUMBER(F3884))),"",MAX(0,E3884)*F3884))</f>
        <v/>
      </c>
      <c r="I3884" s="46" t="str">
        <f aca="false">IF($A3884="","",SUMIF($A$2:$A$5001,$A3884,$H$2:$H$5001))</f>
        <v/>
      </c>
      <c r="J3884" s="47" t="n">
        <f aca="false">IF($A3884="",0,IF(COUNTIF($A$2:A3884,$A3884)=1,1,0))</f>
        <v>0</v>
      </c>
      <c r="K3884" s="47" t="n">
        <f aca="false">IF(J3884=1,N(I3884)+ROW()/10000000,0)</f>
        <v>0</v>
      </c>
      <c r="L3884" s="47" t="str">
        <f aca="false">IF(AND(J3884=1,N(I3884)&gt;0),SUMIF($K$2:$K$5001,"&gt;="&amp;K3884,$I$2:$I$5001)/MAX(1,SUM($H$2:$H$5001)),"")</f>
        <v/>
      </c>
      <c r="M3884" s="47" t="str">
        <f aca="false">IF($A3884="","",INDEX($L$2:$L$5001,MATCH($A3884,$A$2:$A$5001,0)))</f>
        <v/>
      </c>
      <c r="N3884" s="48" t="str">
        <f aca="false">IF($A3884="","",IF(N(M3884)=0,"–",IF(M3884&lt;=Start!$D$20,"A",IF(M3884&lt;=Start!$D$21,"B","C"))))</f>
        <v/>
      </c>
      <c r="O3884" s="48" t="str">
        <f aca="false">IF($A3884="","",IF(NOT(ISNUMBER(F3884)),"Wert fehlt; ",IF(F3884&lt;=0,"Wert ist 0; ",""))&amp;IF(NOT(ISNUMBER(E3884)),"Bestand fehlt; ",IF(E3884&lt;0,"Bestand negativ; ",IF(E3884=0,"Nullbestand; ","")))&amp;IF(D3884="","Warengruppe fehlt; ","")&amp;IF(B3884="","Bezeichnung fehlt; ","")&amp;IF(COUNTIFS($A$2:$A$5001,$A3884,$C$2:$C$5001,C3884)&gt;1,"Artikel doppelt im selben Lager; ",""))</f>
        <v/>
      </c>
      <c r="P3884" s="47" t="n">
        <f aca="false">IF(OR($A3884="",D3884=""),0,IF(COUNTIF($D$2:D3884,D3884)=1,SUMIF($D$2:$D$5001,D3884,$H$2:$H$5001)+ROW()/10000000,0))</f>
        <v>0</v>
      </c>
      <c r="Q3884" s="47" t="n">
        <f aca="false">IF(OR($A3884="",C3884=""),0,IF(COUNTIF($C$2:C3884,C3884)=1,SUMIF($C$2:$C$5001,C3884,$H$2:$H$5001)+ROW()/10000000,0))</f>
        <v>0</v>
      </c>
    </row>
    <row r="3885" customFormat="false" ht="15" hidden="false" customHeight="false" outlineLevel="0" collapsed="false">
      <c r="A3885" s="43"/>
      <c r="B3885" s="44"/>
      <c r="C3885" s="44"/>
      <c r="D3885" s="44"/>
      <c r="E3885" s="44"/>
      <c r="F3885" s="44"/>
      <c r="G3885" s="44"/>
      <c r="H3885" s="46" t="str">
        <f aca="false">IF($A3885="","",IF(OR(NOT(ISNUMBER(E3885)),NOT(ISNUMBER(F3885))),"",MAX(0,E3885)*F3885))</f>
        <v/>
      </c>
      <c r="I3885" s="46" t="str">
        <f aca="false">IF($A3885="","",SUMIF($A$2:$A$5001,$A3885,$H$2:$H$5001))</f>
        <v/>
      </c>
      <c r="J3885" s="47" t="n">
        <f aca="false">IF($A3885="",0,IF(COUNTIF($A$2:A3885,$A3885)=1,1,0))</f>
        <v>0</v>
      </c>
      <c r="K3885" s="47" t="n">
        <f aca="false">IF(J3885=1,N(I3885)+ROW()/10000000,0)</f>
        <v>0</v>
      </c>
      <c r="L3885" s="47" t="str">
        <f aca="false">IF(AND(J3885=1,N(I3885)&gt;0),SUMIF($K$2:$K$5001,"&gt;="&amp;K3885,$I$2:$I$5001)/MAX(1,SUM($H$2:$H$5001)),"")</f>
        <v/>
      </c>
      <c r="M3885" s="47" t="str">
        <f aca="false">IF($A3885="","",INDEX($L$2:$L$5001,MATCH($A3885,$A$2:$A$5001,0)))</f>
        <v/>
      </c>
      <c r="N3885" s="48" t="str">
        <f aca="false">IF($A3885="","",IF(N(M3885)=0,"–",IF(M3885&lt;=Start!$D$20,"A",IF(M3885&lt;=Start!$D$21,"B","C"))))</f>
        <v/>
      </c>
      <c r="O3885" s="48" t="str">
        <f aca="false">IF($A3885="","",IF(NOT(ISNUMBER(F3885)),"Wert fehlt; ",IF(F3885&lt;=0,"Wert ist 0; ",""))&amp;IF(NOT(ISNUMBER(E3885)),"Bestand fehlt; ",IF(E3885&lt;0,"Bestand negativ; ",IF(E3885=0,"Nullbestand; ","")))&amp;IF(D3885="","Warengruppe fehlt; ","")&amp;IF(B3885="","Bezeichnung fehlt; ","")&amp;IF(COUNTIFS($A$2:$A$5001,$A3885,$C$2:$C$5001,C3885)&gt;1,"Artikel doppelt im selben Lager; ",""))</f>
        <v/>
      </c>
      <c r="P3885" s="47" t="n">
        <f aca="false">IF(OR($A3885="",D3885=""),0,IF(COUNTIF($D$2:D3885,D3885)=1,SUMIF($D$2:$D$5001,D3885,$H$2:$H$5001)+ROW()/10000000,0))</f>
        <v>0</v>
      </c>
      <c r="Q3885" s="47" t="n">
        <f aca="false">IF(OR($A3885="",C3885=""),0,IF(COUNTIF($C$2:C3885,C3885)=1,SUMIF($C$2:$C$5001,C3885,$H$2:$H$5001)+ROW()/10000000,0))</f>
        <v>0</v>
      </c>
    </row>
    <row r="3886" customFormat="false" ht="15" hidden="false" customHeight="false" outlineLevel="0" collapsed="false">
      <c r="A3886" s="43"/>
      <c r="B3886" s="44"/>
      <c r="C3886" s="44"/>
      <c r="D3886" s="44"/>
      <c r="E3886" s="44"/>
      <c r="F3886" s="44"/>
      <c r="G3886" s="44"/>
      <c r="H3886" s="46" t="str">
        <f aca="false">IF($A3886="","",IF(OR(NOT(ISNUMBER(E3886)),NOT(ISNUMBER(F3886))),"",MAX(0,E3886)*F3886))</f>
        <v/>
      </c>
      <c r="I3886" s="46" t="str">
        <f aca="false">IF($A3886="","",SUMIF($A$2:$A$5001,$A3886,$H$2:$H$5001))</f>
        <v/>
      </c>
      <c r="J3886" s="47" t="n">
        <f aca="false">IF($A3886="",0,IF(COUNTIF($A$2:A3886,$A3886)=1,1,0))</f>
        <v>0</v>
      </c>
      <c r="K3886" s="47" t="n">
        <f aca="false">IF(J3886=1,N(I3886)+ROW()/10000000,0)</f>
        <v>0</v>
      </c>
      <c r="L3886" s="47" t="str">
        <f aca="false">IF(AND(J3886=1,N(I3886)&gt;0),SUMIF($K$2:$K$5001,"&gt;="&amp;K3886,$I$2:$I$5001)/MAX(1,SUM($H$2:$H$5001)),"")</f>
        <v/>
      </c>
      <c r="M3886" s="47" t="str">
        <f aca="false">IF($A3886="","",INDEX($L$2:$L$5001,MATCH($A3886,$A$2:$A$5001,0)))</f>
        <v/>
      </c>
      <c r="N3886" s="48" t="str">
        <f aca="false">IF($A3886="","",IF(N(M3886)=0,"–",IF(M3886&lt;=Start!$D$20,"A",IF(M3886&lt;=Start!$D$21,"B","C"))))</f>
        <v/>
      </c>
      <c r="O3886" s="48" t="str">
        <f aca="false">IF($A3886="","",IF(NOT(ISNUMBER(F3886)),"Wert fehlt; ",IF(F3886&lt;=0,"Wert ist 0; ",""))&amp;IF(NOT(ISNUMBER(E3886)),"Bestand fehlt; ",IF(E3886&lt;0,"Bestand negativ; ",IF(E3886=0,"Nullbestand; ","")))&amp;IF(D3886="","Warengruppe fehlt; ","")&amp;IF(B3886="","Bezeichnung fehlt; ","")&amp;IF(COUNTIFS($A$2:$A$5001,$A3886,$C$2:$C$5001,C3886)&gt;1,"Artikel doppelt im selben Lager; ",""))</f>
        <v/>
      </c>
      <c r="P3886" s="47" t="n">
        <f aca="false">IF(OR($A3886="",D3886=""),0,IF(COUNTIF($D$2:D3886,D3886)=1,SUMIF($D$2:$D$5001,D3886,$H$2:$H$5001)+ROW()/10000000,0))</f>
        <v>0</v>
      </c>
      <c r="Q3886" s="47" t="n">
        <f aca="false">IF(OR($A3886="",C3886=""),0,IF(COUNTIF($C$2:C3886,C3886)=1,SUMIF($C$2:$C$5001,C3886,$H$2:$H$5001)+ROW()/10000000,0))</f>
        <v>0</v>
      </c>
    </row>
    <row r="3887" customFormat="false" ht="15" hidden="false" customHeight="false" outlineLevel="0" collapsed="false">
      <c r="A3887" s="43"/>
      <c r="B3887" s="44"/>
      <c r="C3887" s="44"/>
      <c r="D3887" s="44"/>
      <c r="E3887" s="44"/>
      <c r="F3887" s="44"/>
      <c r="G3887" s="44"/>
      <c r="H3887" s="46" t="str">
        <f aca="false">IF($A3887="","",IF(OR(NOT(ISNUMBER(E3887)),NOT(ISNUMBER(F3887))),"",MAX(0,E3887)*F3887))</f>
        <v/>
      </c>
      <c r="I3887" s="46" t="str">
        <f aca="false">IF($A3887="","",SUMIF($A$2:$A$5001,$A3887,$H$2:$H$5001))</f>
        <v/>
      </c>
      <c r="J3887" s="47" t="n">
        <f aca="false">IF($A3887="",0,IF(COUNTIF($A$2:A3887,$A3887)=1,1,0))</f>
        <v>0</v>
      </c>
      <c r="K3887" s="47" t="n">
        <f aca="false">IF(J3887=1,N(I3887)+ROW()/10000000,0)</f>
        <v>0</v>
      </c>
      <c r="L3887" s="47" t="str">
        <f aca="false">IF(AND(J3887=1,N(I3887)&gt;0),SUMIF($K$2:$K$5001,"&gt;="&amp;K3887,$I$2:$I$5001)/MAX(1,SUM($H$2:$H$5001)),"")</f>
        <v/>
      </c>
      <c r="M3887" s="47" t="str">
        <f aca="false">IF($A3887="","",INDEX($L$2:$L$5001,MATCH($A3887,$A$2:$A$5001,0)))</f>
        <v/>
      </c>
      <c r="N3887" s="48" t="str">
        <f aca="false">IF($A3887="","",IF(N(M3887)=0,"–",IF(M3887&lt;=Start!$D$20,"A",IF(M3887&lt;=Start!$D$21,"B","C"))))</f>
        <v/>
      </c>
      <c r="O3887" s="48" t="str">
        <f aca="false">IF($A3887="","",IF(NOT(ISNUMBER(F3887)),"Wert fehlt; ",IF(F3887&lt;=0,"Wert ist 0; ",""))&amp;IF(NOT(ISNUMBER(E3887)),"Bestand fehlt; ",IF(E3887&lt;0,"Bestand negativ; ",IF(E3887=0,"Nullbestand; ","")))&amp;IF(D3887="","Warengruppe fehlt; ","")&amp;IF(B3887="","Bezeichnung fehlt; ","")&amp;IF(COUNTIFS($A$2:$A$5001,$A3887,$C$2:$C$5001,C3887)&gt;1,"Artikel doppelt im selben Lager; ",""))</f>
        <v/>
      </c>
      <c r="P3887" s="47" t="n">
        <f aca="false">IF(OR($A3887="",D3887=""),0,IF(COUNTIF($D$2:D3887,D3887)=1,SUMIF($D$2:$D$5001,D3887,$H$2:$H$5001)+ROW()/10000000,0))</f>
        <v>0</v>
      </c>
      <c r="Q3887" s="47" t="n">
        <f aca="false">IF(OR($A3887="",C3887=""),0,IF(COUNTIF($C$2:C3887,C3887)=1,SUMIF($C$2:$C$5001,C3887,$H$2:$H$5001)+ROW()/10000000,0))</f>
        <v>0</v>
      </c>
    </row>
    <row r="3888" customFormat="false" ht="15" hidden="false" customHeight="false" outlineLevel="0" collapsed="false">
      <c r="A3888" s="43"/>
      <c r="B3888" s="44"/>
      <c r="C3888" s="44"/>
      <c r="D3888" s="44"/>
      <c r="E3888" s="44"/>
      <c r="F3888" s="44"/>
      <c r="G3888" s="44"/>
      <c r="H3888" s="46" t="str">
        <f aca="false">IF($A3888="","",IF(OR(NOT(ISNUMBER(E3888)),NOT(ISNUMBER(F3888))),"",MAX(0,E3888)*F3888))</f>
        <v/>
      </c>
      <c r="I3888" s="46" t="str">
        <f aca="false">IF($A3888="","",SUMIF($A$2:$A$5001,$A3888,$H$2:$H$5001))</f>
        <v/>
      </c>
      <c r="J3888" s="47" t="n">
        <f aca="false">IF($A3888="",0,IF(COUNTIF($A$2:A3888,$A3888)=1,1,0))</f>
        <v>0</v>
      </c>
      <c r="K3888" s="47" t="n">
        <f aca="false">IF(J3888=1,N(I3888)+ROW()/10000000,0)</f>
        <v>0</v>
      </c>
      <c r="L3888" s="47" t="str">
        <f aca="false">IF(AND(J3888=1,N(I3888)&gt;0),SUMIF($K$2:$K$5001,"&gt;="&amp;K3888,$I$2:$I$5001)/MAX(1,SUM($H$2:$H$5001)),"")</f>
        <v/>
      </c>
      <c r="M3888" s="47" t="str">
        <f aca="false">IF($A3888="","",INDEX($L$2:$L$5001,MATCH($A3888,$A$2:$A$5001,0)))</f>
        <v/>
      </c>
      <c r="N3888" s="48" t="str">
        <f aca="false">IF($A3888="","",IF(N(M3888)=0,"–",IF(M3888&lt;=Start!$D$20,"A",IF(M3888&lt;=Start!$D$21,"B","C"))))</f>
        <v/>
      </c>
      <c r="O3888" s="48" t="str">
        <f aca="false">IF($A3888="","",IF(NOT(ISNUMBER(F3888)),"Wert fehlt; ",IF(F3888&lt;=0,"Wert ist 0; ",""))&amp;IF(NOT(ISNUMBER(E3888)),"Bestand fehlt; ",IF(E3888&lt;0,"Bestand negativ; ",IF(E3888=0,"Nullbestand; ","")))&amp;IF(D3888="","Warengruppe fehlt; ","")&amp;IF(B3888="","Bezeichnung fehlt; ","")&amp;IF(COUNTIFS($A$2:$A$5001,$A3888,$C$2:$C$5001,C3888)&gt;1,"Artikel doppelt im selben Lager; ",""))</f>
        <v/>
      </c>
      <c r="P3888" s="47" t="n">
        <f aca="false">IF(OR($A3888="",D3888=""),0,IF(COUNTIF($D$2:D3888,D3888)=1,SUMIF($D$2:$D$5001,D3888,$H$2:$H$5001)+ROW()/10000000,0))</f>
        <v>0</v>
      </c>
      <c r="Q3888" s="47" t="n">
        <f aca="false">IF(OR($A3888="",C3888=""),0,IF(COUNTIF($C$2:C3888,C3888)=1,SUMIF($C$2:$C$5001,C3888,$H$2:$H$5001)+ROW()/10000000,0))</f>
        <v>0</v>
      </c>
    </row>
    <row r="3889" customFormat="false" ht="15" hidden="false" customHeight="false" outlineLevel="0" collapsed="false">
      <c r="A3889" s="43"/>
      <c r="B3889" s="44"/>
      <c r="C3889" s="44"/>
      <c r="D3889" s="44"/>
      <c r="E3889" s="44"/>
      <c r="F3889" s="44"/>
      <c r="G3889" s="44"/>
      <c r="H3889" s="46" t="str">
        <f aca="false">IF($A3889="","",IF(OR(NOT(ISNUMBER(E3889)),NOT(ISNUMBER(F3889))),"",MAX(0,E3889)*F3889))</f>
        <v/>
      </c>
      <c r="I3889" s="46" t="str">
        <f aca="false">IF($A3889="","",SUMIF($A$2:$A$5001,$A3889,$H$2:$H$5001))</f>
        <v/>
      </c>
      <c r="J3889" s="47" t="n">
        <f aca="false">IF($A3889="",0,IF(COUNTIF($A$2:A3889,$A3889)=1,1,0))</f>
        <v>0</v>
      </c>
      <c r="K3889" s="47" t="n">
        <f aca="false">IF(J3889=1,N(I3889)+ROW()/10000000,0)</f>
        <v>0</v>
      </c>
      <c r="L3889" s="47" t="str">
        <f aca="false">IF(AND(J3889=1,N(I3889)&gt;0),SUMIF($K$2:$K$5001,"&gt;="&amp;K3889,$I$2:$I$5001)/MAX(1,SUM($H$2:$H$5001)),"")</f>
        <v/>
      </c>
      <c r="M3889" s="47" t="str">
        <f aca="false">IF($A3889="","",INDEX($L$2:$L$5001,MATCH($A3889,$A$2:$A$5001,0)))</f>
        <v/>
      </c>
      <c r="N3889" s="48" t="str">
        <f aca="false">IF($A3889="","",IF(N(M3889)=0,"–",IF(M3889&lt;=Start!$D$20,"A",IF(M3889&lt;=Start!$D$21,"B","C"))))</f>
        <v/>
      </c>
      <c r="O3889" s="48" t="str">
        <f aca="false">IF($A3889="","",IF(NOT(ISNUMBER(F3889)),"Wert fehlt; ",IF(F3889&lt;=0,"Wert ist 0; ",""))&amp;IF(NOT(ISNUMBER(E3889)),"Bestand fehlt; ",IF(E3889&lt;0,"Bestand negativ; ",IF(E3889=0,"Nullbestand; ","")))&amp;IF(D3889="","Warengruppe fehlt; ","")&amp;IF(B3889="","Bezeichnung fehlt; ","")&amp;IF(COUNTIFS($A$2:$A$5001,$A3889,$C$2:$C$5001,C3889)&gt;1,"Artikel doppelt im selben Lager; ",""))</f>
        <v/>
      </c>
      <c r="P3889" s="47" t="n">
        <f aca="false">IF(OR($A3889="",D3889=""),0,IF(COUNTIF($D$2:D3889,D3889)=1,SUMIF($D$2:$D$5001,D3889,$H$2:$H$5001)+ROW()/10000000,0))</f>
        <v>0</v>
      </c>
      <c r="Q3889" s="47" t="n">
        <f aca="false">IF(OR($A3889="",C3889=""),0,IF(COUNTIF($C$2:C3889,C3889)=1,SUMIF($C$2:$C$5001,C3889,$H$2:$H$5001)+ROW()/10000000,0))</f>
        <v>0</v>
      </c>
    </row>
    <row r="3890" customFormat="false" ht="15" hidden="false" customHeight="false" outlineLevel="0" collapsed="false">
      <c r="A3890" s="43"/>
      <c r="B3890" s="44"/>
      <c r="C3890" s="44"/>
      <c r="D3890" s="44"/>
      <c r="E3890" s="44"/>
      <c r="F3890" s="44"/>
      <c r="G3890" s="44"/>
      <c r="H3890" s="46" t="str">
        <f aca="false">IF($A3890="","",IF(OR(NOT(ISNUMBER(E3890)),NOT(ISNUMBER(F3890))),"",MAX(0,E3890)*F3890))</f>
        <v/>
      </c>
      <c r="I3890" s="46" t="str">
        <f aca="false">IF($A3890="","",SUMIF($A$2:$A$5001,$A3890,$H$2:$H$5001))</f>
        <v/>
      </c>
      <c r="J3890" s="47" t="n">
        <f aca="false">IF($A3890="",0,IF(COUNTIF($A$2:A3890,$A3890)=1,1,0))</f>
        <v>0</v>
      </c>
      <c r="K3890" s="47" t="n">
        <f aca="false">IF(J3890=1,N(I3890)+ROW()/10000000,0)</f>
        <v>0</v>
      </c>
      <c r="L3890" s="47" t="str">
        <f aca="false">IF(AND(J3890=1,N(I3890)&gt;0),SUMIF($K$2:$K$5001,"&gt;="&amp;K3890,$I$2:$I$5001)/MAX(1,SUM($H$2:$H$5001)),"")</f>
        <v/>
      </c>
      <c r="M3890" s="47" t="str">
        <f aca="false">IF($A3890="","",INDEX($L$2:$L$5001,MATCH($A3890,$A$2:$A$5001,0)))</f>
        <v/>
      </c>
      <c r="N3890" s="48" t="str">
        <f aca="false">IF($A3890="","",IF(N(M3890)=0,"–",IF(M3890&lt;=Start!$D$20,"A",IF(M3890&lt;=Start!$D$21,"B","C"))))</f>
        <v/>
      </c>
      <c r="O3890" s="48" t="str">
        <f aca="false">IF($A3890="","",IF(NOT(ISNUMBER(F3890)),"Wert fehlt; ",IF(F3890&lt;=0,"Wert ist 0; ",""))&amp;IF(NOT(ISNUMBER(E3890)),"Bestand fehlt; ",IF(E3890&lt;0,"Bestand negativ; ",IF(E3890=0,"Nullbestand; ","")))&amp;IF(D3890="","Warengruppe fehlt; ","")&amp;IF(B3890="","Bezeichnung fehlt; ","")&amp;IF(COUNTIFS($A$2:$A$5001,$A3890,$C$2:$C$5001,C3890)&gt;1,"Artikel doppelt im selben Lager; ",""))</f>
        <v/>
      </c>
      <c r="P3890" s="47" t="n">
        <f aca="false">IF(OR($A3890="",D3890=""),0,IF(COUNTIF($D$2:D3890,D3890)=1,SUMIF($D$2:$D$5001,D3890,$H$2:$H$5001)+ROW()/10000000,0))</f>
        <v>0</v>
      </c>
      <c r="Q3890" s="47" t="n">
        <f aca="false">IF(OR($A3890="",C3890=""),0,IF(COUNTIF($C$2:C3890,C3890)=1,SUMIF($C$2:$C$5001,C3890,$H$2:$H$5001)+ROW()/10000000,0))</f>
        <v>0</v>
      </c>
    </row>
    <row r="3891" customFormat="false" ht="15" hidden="false" customHeight="false" outlineLevel="0" collapsed="false">
      <c r="A3891" s="43"/>
      <c r="B3891" s="44"/>
      <c r="C3891" s="44"/>
      <c r="D3891" s="44"/>
      <c r="E3891" s="44"/>
      <c r="F3891" s="44"/>
      <c r="G3891" s="44"/>
      <c r="H3891" s="46" t="str">
        <f aca="false">IF($A3891="","",IF(OR(NOT(ISNUMBER(E3891)),NOT(ISNUMBER(F3891))),"",MAX(0,E3891)*F3891))</f>
        <v/>
      </c>
      <c r="I3891" s="46" t="str">
        <f aca="false">IF($A3891="","",SUMIF($A$2:$A$5001,$A3891,$H$2:$H$5001))</f>
        <v/>
      </c>
      <c r="J3891" s="47" t="n">
        <f aca="false">IF($A3891="",0,IF(COUNTIF($A$2:A3891,$A3891)=1,1,0))</f>
        <v>0</v>
      </c>
      <c r="K3891" s="47" t="n">
        <f aca="false">IF(J3891=1,N(I3891)+ROW()/10000000,0)</f>
        <v>0</v>
      </c>
      <c r="L3891" s="47" t="str">
        <f aca="false">IF(AND(J3891=1,N(I3891)&gt;0),SUMIF($K$2:$K$5001,"&gt;="&amp;K3891,$I$2:$I$5001)/MAX(1,SUM($H$2:$H$5001)),"")</f>
        <v/>
      </c>
      <c r="M3891" s="47" t="str">
        <f aca="false">IF($A3891="","",INDEX($L$2:$L$5001,MATCH($A3891,$A$2:$A$5001,0)))</f>
        <v/>
      </c>
      <c r="N3891" s="48" t="str">
        <f aca="false">IF($A3891="","",IF(N(M3891)=0,"–",IF(M3891&lt;=Start!$D$20,"A",IF(M3891&lt;=Start!$D$21,"B","C"))))</f>
        <v/>
      </c>
      <c r="O3891" s="48" t="str">
        <f aca="false">IF($A3891="","",IF(NOT(ISNUMBER(F3891)),"Wert fehlt; ",IF(F3891&lt;=0,"Wert ist 0; ",""))&amp;IF(NOT(ISNUMBER(E3891)),"Bestand fehlt; ",IF(E3891&lt;0,"Bestand negativ; ",IF(E3891=0,"Nullbestand; ","")))&amp;IF(D3891="","Warengruppe fehlt; ","")&amp;IF(B3891="","Bezeichnung fehlt; ","")&amp;IF(COUNTIFS($A$2:$A$5001,$A3891,$C$2:$C$5001,C3891)&gt;1,"Artikel doppelt im selben Lager; ",""))</f>
        <v/>
      </c>
      <c r="P3891" s="47" t="n">
        <f aca="false">IF(OR($A3891="",D3891=""),0,IF(COUNTIF($D$2:D3891,D3891)=1,SUMIF($D$2:$D$5001,D3891,$H$2:$H$5001)+ROW()/10000000,0))</f>
        <v>0</v>
      </c>
      <c r="Q3891" s="47" t="n">
        <f aca="false">IF(OR($A3891="",C3891=""),0,IF(COUNTIF($C$2:C3891,C3891)=1,SUMIF($C$2:$C$5001,C3891,$H$2:$H$5001)+ROW()/10000000,0))</f>
        <v>0</v>
      </c>
    </row>
    <row r="3892" customFormat="false" ht="15" hidden="false" customHeight="false" outlineLevel="0" collapsed="false">
      <c r="A3892" s="43"/>
      <c r="B3892" s="44"/>
      <c r="C3892" s="44"/>
      <c r="D3892" s="44"/>
      <c r="E3892" s="44"/>
      <c r="F3892" s="44"/>
      <c r="G3892" s="44"/>
      <c r="H3892" s="46" t="str">
        <f aca="false">IF($A3892="","",IF(OR(NOT(ISNUMBER(E3892)),NOT(ISNUMBER(F3892))),"",MAX(0,E3892)*F3892))</f>
        <v/>
      </c>
      <c r="I3892" s="46" t="str">
        <f aca="false">IF($A3892="","",SUMIF($A$2:$A$5001,$A3892,$H$2:$H$5001))</f>
        <v/>
      </c>
      <c r="J3892" s="47" t="n">
        <f aca="false">IF($A3892="",0,IF(COUNTIF($A$2:A3892,$A3892)=1,1,0))</f>
        <v>0</v>
      </c>
      <c r="K3892" s="47" t="n">
        <f aca="false">IF(J3892=1,N(I3892)+ROW()/10000000,0)</f>
        <v>0</v>
      </c>
      <c r="L3892" s="47" t="str">
        <f aca="false">IF(AND(J3892=1,N(I3892)&gt;0),SUMIF($K$2:$K$5001,"&gt;="&amp;K3892,$I$2:$I$5001)/MAX(1,SUM($H$2:$H$5001)),"")</f>
        <v/>
      </c>
      <c r="M3892" s="47" t="str">
        <f aca="false">IF($A3892="","",INDEX($L$2:$L$5001,MATCH($A3892,$A$2:$A$5001,0)))</f>
        <v/>
      </c>
      <c r="N3892" s="48" t="str">
        <f aca="false">IF($A3892="","",IF(N(M3892)=0,"–",IF(M3892&lt;=Start!$D$20,"A",IF(M3892&lt;=Start!$D$21,"B","C"))))</f>
        <v/>
      </c>
      <c r="O3892" s="48" t="str">
        <f aca="false">IF($A3892="","",IF(NOT(ISNUMBER(F3892)),"Wert fehlt; ",IF(F3892&lt;=0,"Wert ist 0; ",""))&amp;IF(NOT(ISNUMBER(E3892)),"Bestand fehlt; ",IF(E3892&lt;0,"Bestand negativ; ",IF(E3892=0,"Nullbestand; ","")))&amp;IF(D3892="","Warengruppe fehlt; ","")&amp;IF(B3892="","Bezeichnung fehlt; ","")&amp;IF(COUNTIFS($A$2:$A$5001,$A3892,$C$2:$C$5001,C3892)&gt;1,"Artikel doppelt im selben Lager; ",""))</f>
        <v/>
      </c>
      <c r="P3892" s="47" t="n">
        <f aca="false">IF(OR($A3892="",D3892=""),0,IF(COUNTIF($D$2:D3892,D3892)=1,SUMIF($D$2:$D$5001,D3892,$H$2:$H$5001)+ROW()/10000000,0))</f>
        <v>0</v>
      </c>
      <c r="Q3892" s="47" t="n">
        <f aca="false">IF(OR($A3892="",C3892=""),0,IF(COUNTIF($C$2:C3892,C3892)=1,SUMIF($C$2:$C$5001,C3892,$H$2:$H$5001)+ROW()/10000000,0))</f>
        <v>0</v>
      </c>
    </row>
    <row r="3893" customFormat="false" ht="15" hidden="false" customHeight="false" outlineLevel="0" collapsed="false">
      <c r="A3893" s="43"/>
      <c r="B3893" s="44"/>
      <c r="C3893" s="44"/>
      <c r="D3893" s="44"/>
      <c r="E3893" s="44"/>
      <c r="F3893" s="44"/>
      <c r="G3893" s="44"/>
      <c r="H3893" s="46" t="str">
        <f aca="false">IF($A3893="","",IF(OR(NOT(ISNUMBER(E3893)),NOT(ISNUMBER(F3893))),"",MAX(0,E3893)*F3893))</f>
        <v/>
      </c>
      <c r="I3893" s="46" t="str">
        <f aca="false">IF($A3893="","",SUMIF($A$2:$A$5001,$A3893,$H$2:$H$5001))</f>
        <v/>
      </c>
      <c r="J3893" s="47" t="n">
        <f aca="false">IF($A3893="",0,IF(COUNTIF($A$2:A3893,$A3893)=1,1,0))</f>
        <v>0</v>
      </c>
      <c r="K3893" s="47" t="n">
        <f aca="false">IF(J3893=1,N(I3893)+ROW()/10000000,0)</f>
        <v>0</v>
      </c>
      <c r="L3893" s="47" t="str">
        <f aca="false">IF(AND(J3893=1,N(I3893)&gt;0),SUMIF($K$2:$K$5001,"&gt;="&amp;K3893,$I$2:$I$5001)/MAX(1,SUM($H$2:$H$5001)),"")</f>
        <v/>
      </c>
      <c r="M3893" s="47" t="str">
        <f aca="false">IF($A3893="","",INDEX($L$2:$L$5001,MATCH($A3893,$A$2:$A$5001,0)))</f>
        <v/>
      </c>
      <c r="N3893" s="48" t="str">
        <f aca="false">IF($A3893="","",IF(N(M3893)=0,"–",IF(M3893&lt;=Start!$D$20,"A",IF(M3893&lt;=Start!$D$21,"B","C"))))</f>
        <v/>
      </c>
      <c r="O3893" s="48" t="str">
        <f aca="false">IF($A3893="","",IF(NOT(ISNUMBER(F3893)),"Wert fehlt; ",IF(F3893&lt;=0,"Wert ist 0; ",""))&amp;IF(NOT(ISNUMBER(E3893)),"Bestand fehlt; ",IF(E3893&lt;0,"Bestand negativ; ",IF(E3893=0,"Nullbestand; ","")))&amp;IF(D3893="","Warengruppe fehlt; ","")&amp;IF(B3893="","Bezeichnung fehlt; ","")&amp;IF(COUNTIFS($A$2:$A$5001,$A3893,$C$2:$C$5001,C3893)&gt;1,"Artikel doppelt im selben Lager; ",""))</f>
        <v/>
      </c>
      <c r="P3893" s="47" t="n">
        <f aca="false">IF(OR($A3893="",D3893=""),0,IF(COUNTIF($D$2:D3893,D3893)=1,SUMIF($D$2:$D$5001,D3893,$H$2:$H$5001)+ROW()/10000000,0))</f>
        <v>0</v>
      </c>
      <c r="Q3893" s="47" t="n">
        <f aca="false">IF(OR($A3893="",C3893=""),0,IF(COUNTIF($C$2:C3893,C3893)=1,SUMIF($C$2:$C$5001,C3893,$H$2:$H$5001)+ROW()/10000000,0))</f>
        <v>0</v>
      </c>
    </row>
    <row r="3894" customFormat="false" ht="15" hidden="false" customHeight="false" outlineLevel="0" collapsed="false">
      <c r="A3894" s="43"/>
      <c r="B3894" s="44"/>
      <c r="C3894" s="44"/>
      <c r="D3894" s="44"/>
      <c r="E3894" s="44"/>
      <c r="F3894" s="44"/>
      <c r="G3894" s="44"/>
      <c r="H3894" s="46" t="str">
        <f aca="false">IF($A3894="","",IF(OR(NOT(ISNUMBER(E3894)),NOT(ISNUMBER(F3894))),"",MAX(0,E3894)*F3894))</f>
        <v/>
      </c>
      <c r="I3894" s="46" t="str">
        <f aca="false">IF($A3894="","",SUMIF($A$2:$A$5001,$A3894,$H$2:$H$5001))</f>
        <v/>
      </c>
      <c r="J3894" s="47" t="n">
        <f aca="false">IF($A3894="",0,IF(COUNTIF($A$2:A3894,$A3894)=1,1,0))</f>
        <v>0</v>
      </c>
      <c r="K3894" s="47" t="n">
        <f aca="false">IF(J3894=1,N(I3894)+ROW()/10000000,0)</f>
        <v>0</v>
      </c>
      <c r="L3894" s="47" t="str">
        <f aca="false">IF(AND(J3894=1,N(I3894)&gt;0),SUMIF($K$2:$K$5001,"&gt;="&amp;K3894,$I$2:$I$5001)/MAX(1,SUM($H$2:$H$5001)),"")</f>
        <v/>
      </c>
      <c r="M3894" s="47" t="str">
        <f aca="false">IF($A3894="","",INDEX($L$2:$L$5001,MATCH($A3894,$A$2:$A$5001,0)))</f>
        <v/>
      </c>
      <c r="N3894" s="48" t="str">
        <f aca="false">IF($A3894="","",IF(N(M3894)=0,"–",IF(M3894&lt;=Start!$D$20,"A",IF(M3894&lt;=Start!$D$21,"B","C"))))</f>
        <v/>
      </c>
      <c r="O3894" s="48" t="str">
        <f aca="false">IF($A3894="","",IF(NOT(ISNUMBER(F3894)),"Wert fehlt; ",IF(F3894&lt;=0,"Wert ist 0; ",""))&amp;IF(NOT(ISNUMBER(E3894)),"Bestand fehlt; ",IF(E3894&lt;0,"Bestand negativ; ",IF(E3894=0,"Nullbestand; ","")))&amp;IF(D3894="","Warengruppe fehlt; ","")&amp;IF(B3894="","Bezeichnung fehlt; ","")&amp;IF(COUNTIFS($A$2:$A$5001,$A3894,$C$2:$C$5001,C3894)&gt;1,"Artikel doppelt im selben Lager; ",""))</f>
        <v/>
      </c>
      <c r="P3894" s="47" t="n">
        <f aca="false">IF(OR($A3894="",D3894=""),0,IF(COUNTIF($D$2:D3894,D3894)=1,SUMIF($D$2:$D$5001,D3894,$H$2:$H$5001)+ROW()/10000000,0))</f>
        <v>0</v>
      </c>
      <c r="Q3894" s="47" t="n">
        <f aca="false">IF(OR($A3894="",C3894=""),0,IF(COUNTIF($C$2:C3894,C3894)=1,SUMIF($C$2:$C$5001,C3894,$H$2:$H$5001)+ROW()/10000000,0))</f>
        <v>0</v>
      </c>
    </row>
    <row r="3895" customFormat="false" ht="15" hidden="false" customHeight="false" outlineLevel="0" collapsed="false">
      <c r="A3895" s="43"/>
      <c r="B3895" s="44"/>
      <c r="C3895" s="44"/>
      <c r="D3895" s="44"/>
      <c r="E3895" s="44"/>
      <c r="F3895" s="44"/>
      <c r="G3895" s="44"/>
      <c r="H3895" s="46" t="str">
        <f aca="false">IF($A3895="","",IF(OR(NOT(ISNUMBER(E3895)),NOT(ISNUMBER(F3895))),"",MAX(0,E3895)*F3895))</f>
        <v/>
      </c>
      <c r="I3895" s="46" t="str">
        <f aca="false">IF($A3895="","",SUMIF($A$2:$A$5001,$A3895,$H$2:$H$5001))</f>
        <v/>
      </c>
      <c r="J3895" s="47" t="n">
        <f aca="false">IF($A3895="",0,IF(COUNTIF($A$2:A3895,$A3895)=1,1,0))</f>
        <v>0</v>
      </c>
      <c r="K3895" s="47" t="n">
        <f aca="false">IF(J3895=1,N(I3895)+ROW()/10000000,0)</f>
        <v>0</v>
      </c>
      <c r="L3895" s="47" t="str">
        <f aca="false">IF(AND(J3895=1,N(I3895)&gt;0),SUMIF($K$2:$K$5001,"&gt;="&amp;K3895,$I$2:$I$5001)/MAX(1,SUM($H$2:$H$5001)),"")</f>
        <v/>
      </c>
      <c r="M3895" s="47" t="str">
        <f aca="false">IF($A3895="","",INDEX($L$2:$L$5001,MATCH($A3895,$A$2:$A$5001,0)))</f>
        <v/>
      </c>
      <c r="N3895" s="48" t="str">
        <f aca="false">IF($A3895="","",IF(N(M3895)=0,"–",IF(M3895&lt;=Start!$D$20,"A",IF(M3895&lt;=Start!$D$21,"B","C"))))</f>
        <v/>
      </c>
      <c r="O3895" s="48" t="str">
        <f aca="false">IF($A3895="","",IF(NOT(ISNUMBER(F3895)),"Wert fehlt; ",IF(F3895&lt;=0,"Wert ist 0; ",""))&amp;IF(NOT(ISNUMBER(E3895)),"Bestand fehlt; ",IF(E3895&lt;0,"Bestand negativ; ",IF(E3895=0,"Nullbestand; ","")))&amp;IF(D3895="","Warengruppe fehlt; ","")&amp;IF(B3895="","Bezeichnung fehlt; ","")&amp;IF(COUNTIFS($A$2:$A$5001,$A3895,$C$2:$C$5001,C3895)&gt;1,"Artikel doppelt im selben Lager; ",""))</f>
        <v/>
      </c>
      <c r="P3895" s="47" t="n">
        <f aca="false">IF(OR($A3895="",D3895=""),0,IF(COUNTIF($D$2:D3895,D3895)=1,SUMIF($D$2:$D$5001,D3895,$H$2:$H$5001)+ROW()/10000000,0))</f>
        <v>0</v>
      </c>
      <c r="Q3895" s="47" t="n">
        <f aca="false">IF(OR($A3895="",C3895=""),0,IF(COUNTIF($C$2:C3895,C3895)=1,SUMIF($C$2:$C$5001,C3895,$H$2:$H$5001)+ROW()/10000000,0))</f>
        <v>0</v>
      </c>
    </row>
    <row r="3896" customFormat="false" ht="15" hidden="false" customHeight="false" outlineLevel="0" collapsed="false">
      <c r="A3896" s="43"/>
      <c r="B3896" s="44"/>
      <c r="C3896" s="44"/>
      <c r="D3896" s="44"/>
      <c r="E3896" s="44"/>
      <c r="F3896" s="44"/>
      <c r="G3896" s="44"/>
      <c r="H3896" s="46" t="str">
        <f aca="false">IF($A3896="","",IF(OR(NOT(ISNUMBER(E3896)),NOT(ISNUMBER(F3896))),"",MAX(0,E3896)*F3896))</f>
        <v/>
      </c>
      <c r="I3896" s="46" t="str">
        <f aca="false">IF($A3896="","",SUMIF($A$2:$A$5001,$A3896,$H$2:$H$5001))</f>
        <v/>
      </c>
      <c r="J3896" s="47" t="n">
        <f aca="false">IF($A3896="",0,IF(COUNTIF($A$2:A3896,$A3896)=1,1,0))</f>
        <v>0</v>
      </c>
      <c r="K3896" s="47" t="n">
        <f aca="false">IF(J3896=1,N(I3896)+ROW()/10000000,0)</f>
        <v>0</v>
      </c>
      <c r="L3896" s="47" t="str">
        <f aca="false">IF(AND(J3896=1,N(I3896)&gt;0),SUMIF($K$2:$K$5001,"&gt;="&amp;K3896,$I$2:$I$5001)/MAX(1,SUM($H$2:$H$5001)),"")</f>
        <v/>
      </c>
      <c r="M3896" s="47" t="str">
        <f aca="false">IF($A3896="","",INDEX($L$2:$L$5001,MATCH($A3896,$A$2:$A$5001,0)))</f>
        <v/>
      </c>
      <c r="N3896" s="48" t="str">
        <f aca="false">IF($A3896="","",IF(N(M3896)=0,"–",IF(M3896&lt;=Start!$D$20,"A",IF(M3896&lt;=Start!$D$21,"B","C"))))</f>
        <v/>
      </c>
      <c r="O3896" s="48" t="str">
        <f aca="false">IF($A3896="","",IF(NOT(ISNUMBER(F3896)),"Wert fehlt; ",IF(F3896&lt;=0,"Wert ist 0; ",""))&amp;IF(NOT(ISNUMBER(E3896)),"Bestand fehlt; ",IF(E3896&lt;0,"Bestand negativ; ",IF(E3896=0,"Nullbestand; ","")))&amp;IF(D3896="","Warengruppe fehlt; ","")&amp;IF(B3896="","Bezeichnung fehlt; ","")&amp;IF(COUNTIFS($A$2:$A$5001,$A3896,$C$2:$C$5001,C3896)&gt;1,"Artikel doppelt im selben Lager; ",""))</f>
        <v/>
      </c>
      <c r="P3896" s="47" t="n">
        <f aca="false">IF(OR($A3896="",D3896=""),0,IF(COUNTIF($D$2:D3896,D3896)=1,SUMIF($D$2:$D$5001,D3896,$H$2:$H$5001)+ROW()/10000000,0))</f>
        <v>0</v>
      </c>
      <c r="Q3896" s="47" t="n">
        <f aca="false">IF(OR($A3896="",C3896=""),0,IF(COUNTIF($C$2:C3896,C3896)=1,SUMIF($C$2:$C$5001,C3896,$H$2:$H$5001)+ROW()/10000000,0))</f>
        <v>0</v>
      </c>
    </row>
    <row r="3897" customFormat="false" ht="15" hidden="false" customHeight="false" outlineLevel="0" collapsed="false">
      <c r="A3897" s="43"/>
      <c r="B3897" s="44"/>
      <c r="C3897" s="44"/>
      <c r="D3897" s="44"/>
      <c r="E3897" s="44"/>
      <c r="F3897" s="44"/>
      <c r="G3897" s="44"/>
      <c r="H3897" s="46" t="str">
        <f aca="false">IF($A3897="","",IF(OR(NOT(ISNUMBER(E3897)),NOT(ISNUMBER(F3897))),"",MAX(0,E3897)*F3897))</f>
        <v/>
      </c>
      <c r="I3897" s="46" t="str">
        <f aca="false">IF($A3897="","",SUMIF($A$2:$A$5001,$A3897,$H$2:$H$5001))</f>
        <v/>
      </c>
      <c r="J3897" s="47" t="n">
        <f aca="false">IF($A3897="",0,IF(COUNTIF($A$2:A3897,$A3897)=1,1,0))</f>
        <v>0</v>
      </c>
      <c r="K3897" s="47" t="n">
        <f aca="false">IF(J3897=1,N(I3897)+ROW()/10000000,0)</f>
        <v>0</v>
      </c>
      <c r="L3897" s="47" t="str">
        <f aca="false">IF(AND(J3897=1,N(I3897)&gt;0),SUMIF($K$2:$K$5001,"&gt;="&amp;K3897,$I$2:$I$5001)/MAX(1,SUM($H$2:$H$5001)),"")</f>
        <v/>
      </c>
      <c r="M3897" s="47" t="str">
        <f aca="false">IF($A3897="","",INDEX($L$2:$L$5001,MATCH($A3897,$A$2:$A$5001,0)))</f>
        <v/>
      </c>
      <c r="N3897" s="48" t="str">
        <f aca="false">IF($A3897="","",IF(N(M3897)=0,"–",IF(M3897&lt;=Start!$D$20,"A",IF(M3897&lt;=Start!$D$21,"B","C"))))</f>
        <v/>
      </c>
      <c r="O3897" s="48" t="str">
        <f aca="false">IF($A3897="","",IF(NOT(ISNUMBER(F3897)),"Wert fehlt; ",IF(F3897&lt;=0,"Wert ist 0; ",""))&amp;IF(NOT(ISNUMBER(E3897)),"Bestand fehlt; ",IF(E3897&lt;0,"Bestand negativ; ",IF(E3897=0,"Nullbestand; ","")))&amp;IF(D3897="","Warengruppe fehlt; ","")&amp;IF(B3897="","Bezeichnung fehlt; ","")&amp;IF(COUNTIFS($A$2:$A$5001,$A3897,$C$2:$C$5001,C3897)&gt;1,"Artikel doppelt im selben Lager; ",""))</f>
        <v/>
      </c>
      <c r="P3897" s="47" t="n">
        <f aca="false">IF(OR($A3897="",D3897=""),0,IF(COUNTIF($D$2:D3897,D3897)=1,SUMIF($D$2:$D$5001,D3897,$H$2:$H$5001)+ROW()/10000000,0))</f>
        <v>0</v>
      </c>
      <c r="Q3897" s="47" t="n">
        <f aca="false">IF(OR($A3897="",C3897=""),0,IF(COUNTIF($C$2:C3897,C3897)=1,SUMIF($C$2:$C$5001,C3897,$H$2:$H$5001)+ROW()/10000000,0))</f>
        <v>0</v>
      </c>
    </row>
    <row r="3898" customFormat="false" ht="15" hidden="false" customHeight="false" outlineLevel="0" collapsed="false">
      <c r="A3898" s="43"/>
      <c r="B3898" s="44"/>
      <c r="C3898" s="44"/>
      <c r="D3898" s="44"/>
      <c r="E3898" s="44"/>
      <c r="F3898" s="44"/>
      <c r="G3898" s="44"/>
      <c r="H3898" s="46" t="str">
        <f aca="false">IF($A3898="","",IF(OR(NOT(ISNUMBER(E3898)),NOT(ISNUMBER(F3898))),"",MAX(0,E3898)*F3898))</f>
        <v/>
      </c>
      <c r="I3898" s="46" t="str">
        <f aca="false">IF($A3898="","",SUMIF($A$2:$A$5001,$A3898,$H$2:$H$5001))</f>
        <v/>
      </c>
      <c r="J3898" s="47" t="n">
        <f aca="false">IF($A3898="",0,IF(COUNTIF($A$2:A3898,$A3898)=1,1,0))</f>
        <v>0</v>
      </c>
      <c r="K3898" s="47" t="n">
        <f aca="false">IF(J3898=1,N(I3898)+ROW()/10000000,0)</f>
        <v>0</v>
      </c>
      <c r="L3898" s="47" t="str">
        <f aca="false">IF(AND(J3898=1,N(I3898)&gt;0),SUMIF($K$2:$K$5001,"&gt;="&amp;K3898,$I$2:$I$5001)/MAX(1,SUM($H$2:$H$5001)),"")</f>
        <v/>
      </c>
      <c r="M3898" s="47" t="str">
        <f aca="false">IF($A3898="","",INDEX($L$2:$L$5001,MATCH($A3898,$A$2:$A$5001,0)))</f>
        <v/>
      </c>
      <c r="N3898" s="48" t="str">
        <f aca="false">IF($A3898="","",IF(N(M3898)=0,"–",IF(M3898&lt;=Start!$D$20,"A",IF(M3898&lt;=Start!$D$21,"B","C"))))</f>
        <v/>
      </c>
      <c r="O3898" s="48" t="str">
        <f aca="false">IF($A3898="","",IF(NOT(ISNUMBER(F3898)),"Wert fehlt; ",IF(F3898&lt;=0,"Wert ist 0; ",""))&amp;IF(NOT(ISNUMBER(E3898)),"Bestand fehlt; ",IF(E3898&lt;0,"Bestand negativ; ",IF(E3898=0,"Nullbestand; ","")))&amp;IF(D3898="","Warengruppe fehlt; ","")&amp;IF(B3898="","Bezeichnung fehlt; ","")&amp;IF(COUNTIFS($A$2:$A$5001,$A3898,$C$2:$C$5001,C3898)&gt;1,"Artikel doppelt im selben Lager; ",""))</f>
        <v/>
      </c>
      <c r="P3898" s="47" t="n">
        <f aca="false">IF(OR($A3898="",D3898=""),0,IF(COUNTIF($D$2:D3898,D3898)=1,SUMIF($D$2:$D$5001,D3898,$H$2:$H$5001)+ROW()/10000000,0))</f>
        <v>0</v>
      </c>
      <c r="Q3898" s="47" t="n">
        <f aca="false">IF(OR($A3898="",C3898=""),0,IF(COUNTIF($C$2:C3898,C3898)=1,SUMIF($C$2:$C$5001,C3898,$H$2:$H$5001)+ROW()/10000000,0))</f>
        <v>0</v>
      </c>
    </row>
    <row r="3899" customFormat="false" ht="15" hidden="false" customHeight="false" outlineLevel="0" collapsed="false">
      <c r="A3899" s="43"/>
      <c r="B3899" s="44"/>
      <c r="C3899" s="44"/>
      <c r="D3899" s="44"/>
      <c r="E3899" s="44"/>
      <c r="F3899" s="44"/>
      <c r="G3899" s="44"/>
      <c r="H3899" s="46" t="str">
        <f aca="false">IF($A3899="","",IF(OR(NOT(ISNUMBER(E3899)),NOT(ISNUMBER(F3899))),"",MAX(0,E3899)*F3899))</f>
        <v/>
      </c>
      <c r="I3899" s="46" t="str">
        <f aca="false">IF($A3899="","",SUMIF($A$2:$A$5001,$A3899,$H$2:$H$5001))</f>
        <v/>
      </c>
      <c r="J3899" s="47" t="n">
        <f aca="false">IF($A3899="",0,IF(COUNTIF($A$2:A3899,$A3899)=1,1,0))</f>
        <v>0</v>
      </c>
      <c r="K3899" s="47" t="n">
        <f aca="false">IF(J3899=1,N(I3899)+ROW()/10000000,0)</f>
        <v>0</v>
      </c>
      <c r="L3899" s="47" t="str">
        <f aca="false">IF(AND(J3899=1,N(I3899)&gt;0),SUMIF($K$2:$K$5001,"&gt;="&amp;K3899,$I$2:$I$5001)/MAX(1,SUM($H$2:$H$5001)),"")</f>
        <v/>
      </c>
      <c r="M3899" s="47" t="str">
        <f aca="false">IF($A3899="","",INDEX($L$2:$L$5001,MATCH($A3899,$A$2:$A$5001,0)))</f>
        <v/>
      </c>
      <c r="N3899" s="48" t="str">
        <f aca="false">IF($A3899="","",IF(N(M3899)=0,"–",IF(M3899&lt;=Start!$D$20,"A",IF(M3899&lt;=Start!$D$21,"B","C"))))</f>
        <v/>
      </c>
      <c r="O3899" s="48" t="str">
        <f aca="false">IF($A3899="","",IF(NOT(ISNUMBER(F3899)),"Wert fehlt; ",IF(F3899&lt;=0,"Wert ist 0; ",""))&amp;IF(NOT(ISNUMBER(E3899)),"Bestand fehlt; ",IF(E3899&lt;0,"Bestand negativ; ",IF(E3899=0,"Nullbestand; ","")))&amp;IF(D3899="","Warengruppe fehlt; ","")&amp;IF(B3899="","Bezeichnung fehlt; ","")&amp;IF(COUNTIFS($A$2:$A$5001,$A3899,$C$2:$C$5001,C3899)&gt;1,"Artikel doppelt im selben Lager; ",""))</f>
        <v/>
      </c>
      <c r="P3899" s="47" t="n">
        <f aca="false">IF(OR($A3899="",D3899=""),0,IF(COUNTIF($D$2:D3899,D3899)=1,SUMIF($D$2:$D$5001,D3899,$H$2:$H$5001)+ROW()/10000000,0))</f>
        <v>0</v>
      </c>
      <c r="Q3899" s="47" t="n">
        <f aca="false">IF(OR($A3899="",C3899=""),0,IF(COUNTIF($C$2:C3899,C3899)=1,SUMIF($C$2:$C$5001,C3899,$H$2:$H$5001)+ROW()/10000000,0))</f>
        <v>0</v>
      </c>
    </row>
    <row r="3900" customFormat="false" ht="15" hidden="false" customHeight="false" outlineLevel="0" collapsed="false">
      <c r="A3900" s="43"/>
      <c r="B3900" s="44"/>
      <c r="C3900" s="44"/>
      <c r="D3900" s="44"/>
      <c r="E3900" s="44"/>
      <c r="F3900" s="44"/>
      <c r="G3900" s="44"/>
      <c r="H3900" s="46" t="str">
        <f aca="false">IF($A3900="","",IF(OR(NOT(ISNUMBER(E3900)),NOT(ISNUMBER(F3900))),"",MAX(0,E3900)*F3900))</f>
        <v/>
      </c>
      <c r="I3900" s="46" t="str">
        <f aca="false">IF($A3900="","",SUMIF($A$2:$A$5001,$A3900,$H$2:$H$5001))</f>
        <v/>
      </c>
      <c r="J3900" s="47" t="n">
        <f aca="false">IF($A3900="",0,IF(COUNTIF($A$2:A3900,$A3900)=1,1,0))</f>
        <v>0</v>
      </c>
      <c r="K3900" s="47" t="n">
        <f aca="false">IF(J3900=1,N(I3900)+ROW()/10000000,0)</f>
        <v>0</v>
      </c>
      <c r="L3900" s="47" t="str">
        <f aca="false">IF(AND(J3900=1,N(I3900)&gt;0),SUMIF($K$2:$K$5001,"&gt;="&amp;K3900,$I$2:$I$5001)/MAX(1,SUM($H$2:$H$5001)),"")</f>
        <v/>
      </c>
      <c r="M3900" s="47" t="str">
        <f aca="false">IF($A3900="","",INDEX($L$2:$L$5001,MATCH($A3900,$A$2:$A$5001,0)))</f>
        <v/>
      </c>
      <c r="N3900" s="48" t="str">
        <f aca="false">IF($A3900="","",IF(N(M3900)=0,"–",IF(M3900&lt;=Start!$D$20,"A",IF(M3900&lt;=Start!$D$21,"B","C"))))</f>
        <v/>
      </c>
      <c r="O3900" s="48" t="str">
        <f aca="false">IF($A3900="","",IF(NOT(ISNUMBER(F3900)),"Wert fehlt; ",IF(F3900&lt;=0,"Wert ist 0; ",""))&amp;IF(NOT(ISNUMBER(E3900)),"Bestand fehlt; ",IF(E3900&lt;0,"Bestand negativ; ",IF(E3900=0,"Nullbestand; ","")))&amp;IF(D3900="","Warengruppe fehlt; ","")&amp;IF(B3900="","Bezeichnung fehlt; ","")&amp;IF(COUNTIFS($A$2:$A$5001,$A3900,$C$2:$C$5001,C3900)&gt;1,"Artikel doppelt im selben Lager; ",""))</f>
        <v/>
      </c>
      <c r="P3900" s="47" t="n">
        <f aca="false">IF(OR($A3900="",D3900=""),0,IF(COUNTIF($D$2:D3900,D3900)=1,SUMIF($D$2:$D$5001,D3900,$H$2:$H$5001)+ROW()/10000000,0))</f>
        <v>0</v>
      </c>
      <c r="Q3900" s="47" t="n">
        <f aca="false">IF(OR($A3900="",C3900=""),0,IF(COUNTIF($C$2:C3900,C3900)=1,SUMIF($C$2:$C$5001,C3900,$H$2:$H$5001)+ROW()/10000000,0))</f>
        <v>0</v>
      </c>
    </row>
    <row r="3901" customFormat="false" ht="15" hidden="false" customHeight="false" outlineLevel="0" collapsed="false">
      <c r="A3901" s="43"/>
      <c r="B3901" s="44"/>
      <c r="C3901" s="44"/>
      <c r="D3901" s="44"/>
      <c r="E3901" s="44"/>
      <c r="F3901" s="44"/>
      <c r="G3901" s="44"/>
      <c r="H3901" s="46" t="str">
        <f aca="false">IF($A3901="","",IF(OR(NOT(ISNUMBER(E3901)),NOT(ISNUMBER(F3901))),"",MAX(0,E3901)*F3901))</f>
        <v/>
      </c>
      <c r="I3901" s="46" t="str">
        <f aca="false">IF($A3901="","",SUMIF($A$2:$A$5001,$A3901,$H$2:$H$5001))</f>
        <v/>
      </c>
      <c r="J3901" s="47" t="n">
        <f aca="false">IF($A3901="",0,IF(COUNTIF($A$2:A3901,$A3901)=1,1,0))</f>
        <v>0</v>
      </c>
      <c r="K3901" s="47" t="n">
        <f aca="false">IF(J3901=1,N(I3901)+ROW()/10000000,0)</f>
        <v>0</v>
      </c>
      <c r="L3901" s="47" t="str">
        <f aca="false">IF(AND(J3901=1,N(I3901)&gt;0),SUMIF($K$2:$K$5001,"&gt;="&amp;K3901,$I$2:$I$5001)/MAX(1,SUM($H$2:$H$5001)),"")</f>
        <v/>
      </c>
      <c r="M3901" s="47" t="str">
        <f aca="false">IF($A3901="","",INDEX($L$2:$L$5001,MATCH($A3901,$A$2:$A$5001,0)))</f>
        <v/>
      </c>
      <c r="N3901" s="48" t="str">
        <f aca="false">IF($A3901="","",IF(N(M3901)=0,"–",IF(M3901&lt;=Start!$D$20,"A",IF(M3901&lt;=Start!$D$21,"B","C"))))</f>
        <v/>
      </c>
      <c r="O3901" s="48" t="str">
        <f aca="false">IF($A3901="","",IF(NOT(ISNUMBER(F3901)),"Wert fehlt; ",IF(F3901&lt;=0,"Wert ist 0; ",""))&amp;IF(NOT(ISNUMBER(E3901)),"Bestand fehlt; ",IF(E3901&lt;0,"Bestand negativ; ",IF(E3901=0,"Nullbestand; ","")))&amp;IF(D3901="","Warengruppe fehlt; ","")&amp;IF(B3901="","Bezeichnung fehlt; ","")&amp;IF(COUNTIFS($A$2:$A$5001,$A3901,$C$2:$C$5001,C3901)&gt;1,"Artikel doppelt im selben Lager; ",""))</f>
        <v/>
      </c>
      <c r="P3901" s="47" t="n">
        <f aca="false">IF(OR($A3901="",D3901=""),0,IF(COUNTIF($D$2:D3901,D3901)=1,SUMIF($D$2:$D$5001,D3901,$H$2:$H$5001)+ROW()/10000000,0))</f>
        <v>0</v>
      </c>
      <c r="Q3901" s="47" t="n">
        <f aca="false">IF(OR($A3901="",C3901=""),0,IF(COUNTIF($C$2:C3901,C3901)=1,SUMIF($C$2:$C$5001,C3901,$H$2:$H$5001)+ROW()/10000000,0))</f>
        <v>0</v>
      </c>
    </row>
    <row r="3902" customFormat="false" ht="15" hidden="false" customHeight="false" outlineLevel="0" collapsed="false">
      <c r="A3902" s="43"/>
      <c r="B3902" s="44"/>
      <c r="C3902" s="44"/>
      <c r="D3902" s="44"/>
      <c r="E3902" s="44"/>
      <c r="F3902" s="44"/>
      <c r="G3902" s="44"/>
      <c r="H3902" s="46" t="str">
        <f aca="false">IF($A3902="","",IF(OR(NOT(ISNUMBER(E3902)),NOT(ISNUMBER(F3902))),"",MAX(0,E3902)*F3902))</f>
        <v/>
      </c>
      <c r="I3902" s="46" t="str">
        <f aca="false">IF($A3902="","",SUMIF($A$2:$A$5001,$A3902,$H$2:$H$5001))</f>
        <v/>
      </c>
      <c r="J3902" s="47" t="n">
        <f aca="false">IF($A3902="",0,IF(COUNTIF($A$2:A3902,$A3902)=1,1,0))</f>
        <v>0</v>
      </c>
      <c r="K3902" s="47" t="n">
        <f aca="false">IF(J3902=1,N(I3902)+ROW()/10000000,0)</f>
        <v>0</v>
      </c>
      <c r="L3902" s="47" t="str">
        <f aca="false">IF(AND(J3902=1,N(I3902)&gt;0),SUMIF($K$2:$K$5001,"&gt;="&amp;K3902,$I$2:$I$5001)/MAX(1,SUM($H$2:$H$5001)),"")</f>
        <v/>
      </c>
      <c r="M3902" s="47" t="str">
        <f aca="false">IF($A3902="","",INDEX($L$2:$L$5001,MATCH($A3902,$A$2:$A$5001,0)))</f>
        <v/>
      </c>
      <c r="N3902" s="48" t="str">
        <f aca="false">IF($A3902="","",IF(N(M3902)=0,"–",IF(M3902&lt;=Start!$D$20,"A",IF(M3902&lt;=Start!$D$21,"B","C"))))</f>
        <v/>
      </c>
      <c r="O3902" s="48" t="str">
        <f aca="false">IF($A3902="","",IF(NOT(ISNUMBER(F3902)),"Wert fehlt; ",IF(F3902&lt;=0,"Wert ist 0; ",""))&amp;IF(NOT(ISNUMBER(E3902)),"Bestand fehlt; ",IF(E3902&lt;0,"Bestand negativ; ",IF(E3902=0,"Nullbestand; ","")))&amp;IF(D3902="","Warengruppe fehlt; ","")&amp;IF(B3902="","Bezeichnung fehlt; ","")&amp;IF(COUNTIFS($A$2:$A$5001,$A3902,$C$2:$C$5001,C3902)&gt;1,"Artikel doppelt im selben Lager; ",""))</f>
        <v/>
      </c>
      <c r="P3902" s="47" t="n">
        <f aca="false">IF(OR($A3902="",D3902=""),0,IF(COUNTIF($D$2:D3902,D3902)=1,SUMIF($D$2:$D$5001,D3902,$H$2:$H$5001)+ROW()/10000000,0))</f>
        <v>0</v>
      </c>
      <c r="Q3902" s="47" t="n">
        <f aca="false">IF(OR($A3902="",C3902=""),0,IF(COUNTIF($C$2:C3902,C3902)=1,SUMIF($C$2:$C$5001,C3902,$H$2:$H$5001)+ROW()/10000000,0))</f>
        <v>0</v>
      </c>
    </row>
    <row r="3903" customFormat="false" ht="15" hidden="false" customHeight="false" outlineLevel="0" collapsed="false">
      <c r="A3903" s="43"/>
      <c r="B3903" s="44"/>
      <c r="C3903" s="44"/>
      <c r="D3903" s="44"/>
      <c r="E3903" s="44"/>
      <c r="F3903" s="44"/>
      <c r="G3903" s="44"/>
      <c r="H3903" s="46" t="str">
        <f aca="false">IF($A3903="","",IF(OR(NOT(ISNUMBER(E3903)),NOT(ISNUMBER(F3903))),"",MAX(0,E3903)*F3903))</f>
        <v/>
      </c>
      <c r="I3903" s="46" t="str">
        <f aca="false">IF($A3903="","",SUMIF($A$2:$A$5001,$A3903,$H$2:$H$5001))</f>
        <v/>
      </c>
      <c r="J3903" s="47" t="n">
        <f aca="false">IF($A3903="",0,IF(COUNTIF($A$2:A3903,$A3903)=1,1,0))</f>
        <v>0</v>
      </c>
      <c r="K3903" s="47" t="n">
        <f aca="false">IF(J3903=1,N(I3903)+ROW()/10000000,0)</f>
        <v>0</v>
      </c>
      <c r="L3903" s="47" t="str">
        <f aca="false">IF(AND(J3903=1,N(I3903)&gt;0),SUMIF($K$2:$K$5001,"&gt;="&amp;K3903,$I$2:$I$5001)/MAX(1,SUM($H$2:$H$5001)),"")</f>
        <v/>
      </c>
      <c r="M3903" s="47" t="str">
        <f aca="false">IF($A3903="","",INDEX($L$2:$L$5001,MATCH($A3903,$A$2:$A$5001,0)))</f>
        <v/>
      </c>
      <c r="N3903" s="48" t="str">
        <f aca="false">IF($A3903="","",IF(N(M3903)=0,"–",IF(M3903&lt;=Start!$D$20,"A",IF(M3903&lt;=Start!$D$21,"B","C"))))</f>
        <v/>
      </c>
      <c r="O3903" s="48" t="str">
        <f aca="false">IF($A3903="","",IF(NOT(ISNUMBER(F3903)),"Wert fehlt; ",IF(F3903&lt;=0,"Wert ist 0; ",""))&amp;IF(NOT(ISNUMBER(E3903)),"Bestand fehlt; ",IF(E3903&lt;0,"Bestand negativ; ",IF(E3903=0,"Nullbestand; ","")))&amp;IF(D3903="","Warengruppe fehlt; ","")&amp;IF(B3903="","Bezeichnung fehlt; ","")&amp;IF(COUNTIFS($A$2:$A$5001,$A3903,$C$2:$C$5001,C3903)&gt;1,"Artikel doppelt im selben Lager; ",""))</f>
        <v/>
      </c>
      <c r="P3903" s="47" t="n">
        <f aca="false">IF(OR($A3903="",D3903=""),0,IF(COUNTIF($D$2:D3903,D3903)=1,SUMIF($D$2:$D$5001,D3903,$H$2:$H$5001)+ROW()/10000000,0))</f>
        <v>0</v>
      </c>
      <c r="Q3903" s="47" t="n">
        <f aca="false">IF(OR($A3903="",C3903=""),0,IF(COUNTIF($C$2:C3903,C3903)=1,SUMIF($C$2:$C$5001,C3903,$H$2:$H$5001)+ROW()/10000000,0))</f>
        <v>0</v>
      </c>
    </row>
    <row r="3904" customFormat="false" ht="15" hidden="false" customHeight="false" outlineLevel="0" collapsed="false">
      <c r="A3904" s="43"/>
      <c r="B3904" s="44"/>
      <c r="C3904" s="44"/>
      <c r="D3904" s="44"/>
      <c r="E3904" s="44"/>
      <c r="F3904" s="44"/>
      <c r="G3904" s="44"/>
      <c r="H3904" s="46" t="str">
        <f aca="false">IF($A3904="","",IF(OR(NOT(ISNUMBER(E3904)),NOT(ISNUMBER(F3904))),"",MAX(0,E3904)*F3904))</f>
        <v/>
      </c>
      <c r="I3904" s="46" t="str">
        <f aca="false">IF($A3904="","",SUMIF($A$2:$A$5001,$A3904,$H$2:$H$5001))</f>
        <v/>
      </c>
      <c r="J3904" s="47" t="n">
        <f aca="false">IF($A3904="",0,IF(COUNTIF($A$2:A3904,$A3904)=1,1,0))</f>
        <v>0</v>
      </c>
      <c r="K3904" s="47" t="n">
        <f aca="false">IF(J3904=1,N(I3904)+ROW()/10000000,0)</f>
        <v>0</v>
      </c>
      <c r="L3904" s="47" t="str">
        <f aca="false">IF(AND(J3904=1,N(I3904)&gt;0),SUMIF($K$2:$K$5001,"&gt;="&amp;K3904,$I$2:$I$5001)/MAX(1,SUM($H$2:$H$5001)),"")</f>
        <v/>
      </c>
      <c r="M3904" s="47" t="str">
        <f aca="false">IF($A3904="","",INDEX($L$2:$L$5001,MATCH($A3904,$A$2:$A$5001,0)))</f>
        <v/>
      </c>
      <c r="N3904" s="48" t="str">
        <f aca="false">IF($A3904="","",IF(N(M3904)=0,"–",IF(M3904&lt;=Start!$D$20,"A",IF(M3904&lt;=Start!$D$21,"B","C"))))</f>
        <v/>
      </c>
      <c r="O3904" s="48" t="str">
        <f aca="false">IF($A3904="","",IF(NOT(ISNUMBER(F3904)),"Wert fehlt; ",IF(F3904&lt;=0,"Wert ist 0; ",""))&amp;IF(NOT(ISNUMBER(E3904)),"Bestand fehlt; ",IF(E3904&lt;0,"Bestand negativ; ",IF(E3904=0,"Nullbestand; ","")))&amp;IF(D3904="","Warengruppe fehlt; ","")&amp;IF(B3904="","Bezeichnung fehlt; ","")&amp;IF(COUNTIFS($A$2:$A$5001,$A3904,$C$2:$C$5001,C3904)&gt;1,"Artikel doppelt im selben Lager; ",""))</f>
        <v/>
      </c>
      <c r="P3904" s="47" t="n">
        <f aca="false">IF(OR($A3904="",D3904=""),0,IF(COUNTIF($D$2:D3904,D3904)=1,SUMIF($D$2:$D$5001,D3904,$H$2:$H$5001)+ROW()/10000000,0))</f>
        <v>0</v>
      </c>
      <c r="Q3904" s="47" t="n">
        <f aca="false">IF(OR($A3904="",C3904=""),0,IF(COUNTIF($C$2:C3904,C3904)=1,SUMIF($C$2:$C$5001,C3904,$H$2:$H$5001)+ROW()/10000000,0))</f>
        <v>0</v>
      </c>
    </row>
    <row r="3905" customFormat="false" ht="15" hidden="false" customHeight="false" outlineLevel="0" collapsed="false">
      <c r="A3905" s="43"/>
      <c r="B3905" s="44"/>
      <c r="C3905" s="44"/>
      <c r="D3905" s="44"/>
      <c r="E3905" s="44"/>
      <c r="F3905" s="44"/>
      <c r="G3905" s="44"/>
      <c r="H3905" s="46" t="str">
        <f aca="false">IF($A3905="","",IF(OR(NOT(ISNUMBER(E3905)),NOT(ISNUMBER(F3905))),"",MAX(0,E3905)*F3905))</f>
        <v/>
      </c>
      <c r="I3905" s="46" t="str">
        <f aca="false">IF($A3905="","",SUMIF($A$2:$A$5001,$A3905,$H$2:$H$5001))</f>
        <v/>
      </c>
      <c r="J3905" s="47" t="n">
        <f aca="false">IF($A3905="",0,IF(COUNTIF($A$2:A3905,$A3905)=1,1,0))</f>
        <v>0</v>
      </c>
      <c r="K3905" s="47" t="n">
        <f aca="false">IF(J3905=1,N(I3905)+ROW()/10000000,0)</f>
        <v>0</v>
      </c>
      <c r="L3905" s="47" t="str">
        <f aca="false">IF(AND(J3905=1,N(I3905)&gt;0),SUMIF($K$2:$K$5001,"&gt;="&amp;K3905,$I$2:$I$5001)/MAX(1,SUM($H$2:$H$5001)),"")</f>
        <v/>
      </c>
      <c r="M3905" s="47" t="str">
        <f aca="false">IF($A3905="","",INDEX($L$2:$L$5001,MATCH($A3905,$A$2:$A$5001,0)))</f>
        <v/>
      </c>
      <c r="N3905" s="48" t="str">
        <f aca="false">IF($A3905="","",IF(N(M3905)=0,"–",IF(M3905&lt;=Start!$D$20,"A",IF(M3905&lt;=Start!$D$21,"B","C"))))</f>
        <v/>
      </c>
      <c r="O3905" s="48" t="str">
        <f aca="false">IF($A3905="","",IF(NOT(ISNUMBER(F3905)),"Wert fehlt; ",IF(F3905&lt;=0,"Wert ist 0; ",""))&amp;IF(NOT(ISNUMBER(E3905)),"Bestand fehlt; ",IF(E3905&lt;0,"Bestand negativ; ",IF(E3905=0,"Nullbestand; ","")))&amp;IF(D3905="","Warengruppe fehlt; ","")&amp;IF(B3905="","Bezeichnung fehlt; ","")&amp;IF(COUNTIFS($A$2:$A$5001,$A3905,$C$2:$C$5001,C3905)&gt;1,"Artikel doppelt im selben Lager; ",""))</f>
        <v/>
      </c>
      <c r="P3905" s="47" t="n">
        <f aca="false">IF(OR($A3905="",D3905=""),0,IF(COUNTIF($D$2:D3905,D3905)=1,SUMIF($D$2:$D$5001,D3905,$H$2:$H$5001)+ROW()/10000000,0))</f>
        <v>0</v>
      </c>
      <c r="Q3905" s="47" t="n">
        <f aca="false">IF(OR($A3905="",C3905=""),0,IF(COUNTIF($C$2:C3905,C3905)=1,SUMIF($C$2:$C$5001,C3905,$H$2:$H$5001)+ROW()/10000000,0))</f>
        <v>0</v>
      </c>
    </row>
    <row r="3906" customFormat="false" ht="15" hidden="false" customHeight="false" outlineLevel="0" collapsed="false">
      <c r="A3906" s="43"/>
      <c r="B3906" s="44"/>
      <c r="C3906" s="44"/>
      <c r="D3906" s="44"/>
      <c r="E3906" s="44"/>
      <c r="F3906" s="44"/>
      <c r="G3906" s="44"/>
      <c r="H3906" s="46" t="str">
        <f aca="false">IF($A3906="","",IF(OR(NOT(ISNUMBER(E3906)),NOT(ISNUMBER(F3906))),"",MAX(0,E3906)*F3906))</f>
        <v/>
      </c>
      <c r="I3906" s="46" t="str">
        <f aca="false">IF($A3906="","",SUMIF($A$2:$A$5001,$A3906,$H$2:$H$5001))</f>
        <v/>
      </c>
      <c r="J3906" s="47" t="n">
        <f aca="false">IF($A3906="",0,IF(COUNTIF($A$2:A3906,$A3906)=1,1,0))</f>
        <v>0</v>
      </c>
      <c r="K3906" s="47" t="n">
        <f aca="false">IF(J3906=1,N(I3906)+ROW()/10000000,0)</f>
        <v>0</v>
      </c>
      <c r="L3906" s="47" t="str">
        <f aca="false">IF(AND(J3906=1,N(I3906)&gt;0),SUMIF($K$2:$K$5001,"&gt;="&amp;K3906,$I$2:$I$5001)/MAX(1,SUM($H$2:$H$5001)),"")</f>
        <v/>
      </c>
      <c r="M3906" s="47" t="str">
        <f aca="false">IF($A3906="","",INDEX($L$2:$L$5001,MATCH($A3906,$A$2:$A$5001,0)))</f>
        <v/>
      </c>
      <c r="N3906" s="48" t="str">
        <f aca="false">IF($A3906="","",IF(N(M3906)=0,"–",IF(M3906&lt;=Start!$D$20,"A",IF(M3906&lt;=Start!$D$21,"B","C"))))</f>
        <v/>
      </c>
      <c r="O3906" s="48" t="str">
        <f aca="false">IF($A3906="","",IF(NOT(ISNUMBER(F3906)),"Wert fehlt; ",IF(F3906&lt;=0,"Wert ist 0; ",""))&amp;IF(NOT(ISNUMBER(E3906)),"Bestand fehlt; ",IF(E3906&lt;0,"Bestand negativ; ",IF(E3906=0,"Nullbestand; ","")))&amp;IF(D3906="","Warengruppe fehlt; ","")&amp;IF(B3906="","Bezeichnung fehlt; ","")&amp;IF(COUNTIFS($A$2:$A$5001,$A3906,$C$2:$C$5001,C3906)&gt;1,"Artikel doppelt im selben Lager; ",""))</f>
        <v/>
      </c>
      <c r="P3906" s="47" t="n">
        <f aca="false">IF(OR($A3906="",D3906=""),0,IF(COUNTIF($D$2:D3906,D3906)=1,SUMIF($D$2:$D$5001,D3906,$H$2:$H$5001)+ROW()/10000000,0))</f>
        <v>0</v>
      </c>
      <c r="Q3906" s="47" t="n">
        <f aca="false">IF(OR($A3906="",C3906=""),0,IF(COUNTIF($C$2:C3906,C3906)=1,SUMIF($C$2:$C$5001,C3906,$H$2:$H$5001)+ROW()/10000000,0))</f>
        <v>0</v>
      </c>
    </row>
    <row r="3907" customFormat="false" ht="15" hidden="false" customHeight="false" outlineLevel="0" collapsed="false">
      <c r="A3907" s="43"/>
      <c r="B3907" s="44"/>
      <c r="C3907" s="44"/>
      <c r="D3907" s="44"/>
      <c r="E3907" s="44"/>
      <c r="F3907" s="44"/>
      <c r="G3907" s="44"/>
      <c r="H3907" s="46" t="str">
        <f aca="false">IF($A3907="","",IF(OR(NOT(ISNUMBER(E3907)),NOT(ISNUMBER(F3907))),"",MAX(0,E3907)*F3907))</f>
        <v/>
      </c>
      <c r="I3907" s="46" t="str">
        <f aca="false">IF($A3907="","",SUMIF($A$2:$A$5001,$A3907,$H$2:$H$5001))</f>
        <v/>
      </c>
      <c r="J3907" s="47" t="n">
        <f aca="false">IF($A3907="",0,IF(COUNTIF($A$2:A3907,$A3907)=1,1,0))</f>
        <v>0</v>
      </c>
      <c r="K3907" s="47" t="n">
        <f aca="false">IF(J3907=1,N(I3907)+ROW()/10000000,0)</f>
        <v>0</v>
      </c>
      <c r="L3907" s="47" t="str">
        <f aca="false">IF(AND(J3907=1,N(I3907)&gt;0),SUMIF($K$2:$K$5001,"&gt;="&amp;K3907,$I$2:$I$5001)/MAX(1,SUM($H$2:$H$5001)),"")</f>
        <v/>
      </c>
      <c r="M3907" s="47" t="str">
        <f aca="false">IF($A3907="","",INDEX($L$2:$L$5001,MATCH($A3907,$A$2:$A$5001,0)))</f>
        <v/>
      </c>
      <c r="N3907" s="48" t="str">
        <f aca="false">IF($A3907="","",IF(N(M3907)=0,"–",IF(M3907&lt;=Start!$D$20,"A",IF(M3907&lt;=Start!$D$21,"B","C"))))</f>
        <v/>
      </c>
      <c r="O3907" s="48" t="str">
        <f aca="false">IF($A3907="","",IF(NOT(ISNUMBER(F3907)),"Wert fehlt; ",IF(F3907&lt;=0,"Wert ist 0; ",""))&amp;IF(NOT(ISNUMBER(E3907)),"Bestand fehlt; ",IF(E3907&lt;0,"Bestand negativ; ",IF(E3907=0,"Nullbestand; ","")))&amp;IF(D3907="","Warengruppe fehlt; ","")&amp;IF(B3907="","Bezeichnung fehlt; ","")&amp;IF(COUNTIFS($A$2:$A$5001,$A3907,$C$2:$C$5001,C3907)&gt;1,"Artikel doppelt im selben Lager; ",""))</f>
        <v/>
      </c>
      <c r="P3907" s="47" t="n">
        <f aca="false">IF(OR($A3907="",D3907=""),0,IF(COUNTIF($D$2:D3907,D3907)=1,SUMIF($D$2:$D$5001,D3907,$H$2:$H$5001)+ROW()/10000000,0))</f>
        <v>0</v>
      </c>
      <c r="Q3907" s="47" t="n">
        <f aca="false">IF(OR($A3907="",C3907=""),0,IF(COUNTIF($C$2:C3907,C3907)=1,SUMIF($C$2:$C$5001,C3907,$H$2:$H$5001)+ROW()/10000000,0))</f>
        <v>0</v>
      </c>
    </row>
    <row r="3908" customFormat="false" ht="15" hidden="false" customHeight="false" outlineLevel="0" collapsed="false">
      <c r="A3908" s="43"/>
      <c r="B3908" s="44"/>
      <c r="C3908" s="44"/>
      <c r="D3908" s="44"/>
      <c r="E3908" s="44"/>
      <c r="F3908" s="44"/>
      <c r="G3908" s="44"/>
      <c r="H3908" s="46" t="str">
        <f aca="false">IF($A3908="","",IF(OR(NOT(ISNUMBER(E3908)),NOT(ISNUMBER(F3908))),"",MAX(0,E3908)*F3908))</f>
        <v/>
      </c>
      <c r="I3908" s="46" t="str">
        <f aca="false">IF($A3908="","",SUMIF($A$2:$A$5001,$A3908,$H$2:$H$5001))</f>
        <v/>
      </c>
      <c r="J3908" s="47" t="n">
        <f aca="false">IF($A3908="",0,IF(COUNTIF($A$2:A3908,$A3908)=1,1,0))</f>
        <v>0</v>
      </c>
      <c r="K3908" s="47" t="n">
        <f aca="false">IF(J3908=1,N(I3908)+ROW()/10000000,0)</f>
        <v>0</v>
      </c>
      <c r="L3908" s="47" t="str">
        <f aca="false">IF(AND(J3908=1,N(I3908)&gt;0),SUMIF($K$2:$K$5001,"&gt;="&amp;K3908,$I$2:$I$5001)/MAX(1,SUM($H$2:$H$5001)),"")</f>
        <v/>
      </c>
      <c r="M3908" s="47" t="str">
        <f aca="false">IF($A3908="","",INDEX($L$2:$L$5001,MATCH($A3908,$A$2:$A$5001,0)))</f>
        <v/>
      </c>
      <c r="N3908" s="48" t="str">
        <f aca="false">IF($A3908="","",IF(N(M3908)=0,"–",IF(M3908&lt;=Start!$D$20,"A",IF(M3908&lt;=Start!$D$21,"B","C"))))</f>
        <v/>
      </c>
      <c r="O3908" s="48" t="str">
        <f aca="false">IF($A3908="","",IF(NOT(ISNUMBER(F3908)),"Wert fehlt; ",IF(F3908&lt;=0,"Wert ist 0; ",""))&amp;IF(NOT(ISNUMBER(E3908)),"Bestand fehlt; ",IF(E3908&lt;0,"Bestand negativ; ",IF(E3908=0,"Nullbestand; ","")))&amp;IF(D3908="","Warengruppe fehlt; ","")&amp;IF(B3908="","Bezeichnung fehlt; ","")&amp;IF(COUNTIFS($A$2:$A$5001,$A3908,$C$2:$C$5001,C3908)&gt;1,"Artikel doppelt im selben Lager; ",""))</f>
        <v/>
      </c>
      <c r="P3908" s="47" t="n">
        <f aca="false">IF(OR($A3908="",D3908=""),0,IF(COUNTIF($D$2:D3908,D3908)=1,SUMIF($D$2:$D$5001,D3908,$H$2:$H$5001)+ROW()/10000000,0))</f>
        <v>0</v>
      </c>
      <c r="Q3908" s="47" t="n">
        <f aca="false">IF(OR($A3908="",C3908=""),0,IF(COUNTIF($C$2:C3908,C3908)=1,SUMIF($C$2:$C$5001,C3908,$H$2:$H$5001)+ROW()/10000000,0))</f>
        <v>0</v>
      </c>
    </row>
    <row r="3909" customFormat="false" ht="15" hidden="false" customHeight="false" outlineLevel="0" collapsed="false">
      <c r="A3909" s="43"/>
      <c r="B3909" s="44"/>
      <c r="C3909" s="44"/>
      <c r="D3909" s="44"/>
      <c r="E3909" s="44"/>
      <c r="F3909" s="44"/>
      <c r="G3909" s="44"/>
      <c r="H3909" s="46" t="str">
        <f aca="false">IF($A3909="","",IF(OR(NOT(ISNUMBER(E3909)),NOT(ISNUMBER(F3909))),"",MAX(0,E3909)*F3909))</f>
        <v/>
      </c>
      <c r="I3909" s="46" t="str">
        <f aca="false">IF($A3909="","",SUMIF($A$2:$A$5001,$A3909,$H$2:$H$5001))</f>
        <v/>
      </c>
      <c r="J3909" s="47" t="n">
        <f aca="false">IF($A3909="",0,IF(COUNTIF($A$2:A3909,$A3909)=1,1,0))</f>
        <v>0</v>
      </c>
      <c r="K3909" s="47" t="n">
        <f aca="false">IF(J3909=1,N(I3909)+ROW()/10000000,0)</f>
        <v>0</v>
      </c>
      <c r="L3909" s="47" t="str">
        <f aca="false">IF(AND(J3909=1,N(I3909)&gt;0),SUMIF($K$2:$K$5001,"&gt;="&amp;K3909,$I$2:$I$5001)/MAX(1,SUM($H$2:$H$5001)),"")</f>
        <v/>
      </c>
      <c r="M3909" s="47" t="str">
        <f aca="false">IF($A3909="","",INDEX($L$2:$L$5001,MATCH($A3909,$A$2:$A$5001,0)))</f>
        <v/>
      </c>
      <c r="N3909" s="48" t="str">
        <f aca="false">IF($A3909="","",IF(N(M3909)=0,"–",IF(M3909&lt;=Start!$D$20,"A",IF(M3909&lt;=Start!$D$21,"B","C"))))</f>
        <v/>
      </c>
      <c r="O3909" s="48" t="str">
        <f aca="false">IF($A3909="","",IF(NOT(ISNUMBER(F3909)),"Wert fehlt; ",IF(F3909&lt;=0,"Wert ist 0; ",""))&amp;IF(NOT(ISNUMBER(E3909)),"Bestand fehlt; ",IF(E3909&lt;0,"Bestand negativ; ",IF(E3909=0,"Nullbestand; ","")))&amp;IF(D3909="","Warengruppe fehlt; ","")&amp;IF(B3909="","Bezeichnung fehlt; ","")&amp;IF(COUNTIFS($A$2:$A$5001,$A3909,$C$2:$C$5001,C3909)&gt;1,"Artikel doppelt im selben Lager; ",""))</f>
        <v/>
      </c>
      <c r="P3909" s="47" t="n">
        <f aca="false">IF(OR($A3909="",D3909=""),0,IF(COUNTIF($D$2:D3909,D3909)=1,SUMIF($D$2:$D$5001,D3909,$H$2:$H$5001)+ROW()/10000000,0))</f>
        <v>0</v>
      </c>
      <c r="Q3909" s="47" t="n">
        <f aca="false">IF(OR($A3909="",C3909=""),0,IF(COUNTIF($C$2:C3909,C3909)=1,SUMIF($C$2:$C$5001,C3909,$H$2:$H$5001)+ROW()/10000000,0))</f>
        <v>0</v>
      </c>
    </row>
    <row r="3910" customFormat="false" ht="15" hidden="false" customHeight="false" outlineLevel="0" collapsed="false">
      <c r="A3910" s="43"/>
      <c r="B3910" s="44"/>
      <c r="C3910" s="44"/>
      <c r="D3910" s="44"/>
      <c r="E3910" s="44"/>
      <c r="F3910" s="44"/>
      <c r="G3910" s="44"/>
      <c r="H3910" s="46" t="str">
        <f aca="false">IF($A3910="","",IF(OR(NOT(ISNUMBER(E3910)),NOT(ISNUMBER(F3910))),"",MAX(0,E3910)*F3910))</f>
        <v/>
      </c>
      <c r="I3910" s="46" t="str">
        <f aca="false">IF($A3910="","",SUMIF($A$2:$A$5001,$A3910,$H$2:$H$5001))</f>
        <v/>
      </c>
      <c r="J3910" s="47" t="n">
        <f aca="false">IF($A3910="",0,IF(COUNTIF($A$2:A3910,$A3910)=1,1,0))</f>
        <v>0</v>
      </c>
      <c r="K3910" s="47" t="n">
        <f aca="false">IF(J3910=1,N(I3910)+ROW()/10000000,0)</f>
        <v>0</v>
      </c>
      <c r="L3910" s="47" t="str">
        <f aca="false">IF(AND(J3910=1,N(I3910)&gt;0),SUMIF($K$2:$K$5001,"&gt;="&amp;K3910,$I$2:$I$5001)/MAX(1,SUM($H$2:$H$5001)),"")</f>
        <v/>
      </c>
      <c r="M3910" s="47" t="str">
        <f aca="false">IF($A3910="","",INDEX($L$2:$L$5001,MATCH($A3910,$A$2:$A$5001,0)))</f>
        <v/>
      </c>
      <c r="N3910" s="48" t="str">
        <f aca="false">IF($A3910="","",IF(N(M3910)=0,"–",IF(M3910&lt;=Start!$D$20,"A",IF(M3910&lt;=Start!$D$21,"B","C"))))</f>
        <v/>
      </c>
      <c r="O3910" s="48" t="str">
        <f aca="false">IF($A3910="","",IF(NOT(ISNUMBER(F3910)),"Wert fehlt; ",IF(F3910&lt;=0,"Wert ist 0; ",""))&amp;IF(NOT(ISNUMBER(E3910)),"Bestand fehlt; ",IF(E3910&lt;0,"Bestand negativ; ",IF(E3910=0,"Nullbestand; ","")))&amp;IF(D3910="","Warengruppe fehlt; ","")&amp;IF(B3910="","Bezeichnung fehlt; ","")&amp;IF(COUNTIFS($A$2:$A$5001,$A3910,$C$2:$C$5001,C3910)&gt;1,"Artikel doppelt im selben Lager; ",""))</f>
        <v/>
      </c>
      <c r="P3910" s="47" t="n">
        <f aca="false">IF(OR($A3910="",D3910=""),0,IF(COUNTIF($D$2:D3910,D3910)=1,SUMIF($D$2:$D$5001,D3910,$H$2:$H$5001)+ROW()/10000000,0))</f>
        <v>0</v>
      </c>
      <c r="Q3910" s="47" t="n">
        <f aca="false">IF(OR($A3910="",C3910=""),0,IF(COUNTIF($C$2:C3910,C3910)=1,SUMIF($C$2:$C$5001,C3910,$H$2:$H$5001)+ROW()/10000000,0))</f>
        <v>0</v>
      </c>
    </row>
    <row r="3911" customFormat="false" ht="15" hidden="false" customHeight="false" outlineLevel="0" collapsed="false">
      <c r="A3911" s="43"/>
      <c r="B3911" s="44"/>
      <c r="C3911" s="44"/>
      <c r="D3911" s="44"/>
      <c r="E3911" s="44"/>
      <c r="F3911" s="44"/>
      <c r="G3911" s="44"/>
      <c r="H3911" s="46" t="str">
        <f aca="false">IF($A3911="","",IF(OR(NOT(ISNUMBER(E3911)),NOT(ISNUMBER(F3911))),"",MAX(0,E3911)*F3911))</f>
        <v/>
      </c>
      <c r="I3911" s="46" t="str">
        <f aca="false">IF($A3911="","",SUMIF($A$2:$A$5001,$A3911,$H$2:$H$5001))</f>
        <v/>
      </c>
      <c r="J3911" s="47" t="n">
        <f aca="false">IF($A3911="",0,IF(COUNTIF($A$2:A3911,$A3911)=1,1,0))</f>
        <v>0</v>
      </c>
      <c r="K3911" s="47" t="n">
        <f aca="false">IF(J3911=1,N(I3911)+ROW()/10000000,0)</f>
        <v>0</v>
      </c>
      <c r="L3911" s="47" t="str">
        <f aca="false">IF(AND(J3911=1,N(I3911)&gt;0),SUMIF($K$2:$K$5001,"&gt;="&amp;K3911,$I$2:$I$5001)/MAX(1,SUM($H$2:$H$5001)),"")</f>
        <v/>
      </c>
      <c r="M3911" s="47" t="str">
        <f aca="false">IF($A3911="","",INDEX($L$2:$L$5001,MATCH($A3911,$A$2:$A$5001,0)))</f>
        <v/>
      </c>
      <c r="N3911" s="48" t="str">
        <f aca="false">IF($A3911="","",IF(N(M3911)=0,"–",IF(M3911&lt;=Start!$D$20,"A",IF(M3911&lt;=Start!$D$21,"B","C"))))</f>
        <v/>
      </c>
      <c r="O3911" s="48" t="str">
        <f aca="false">IF($A3911="","",IF(NOT(ISNUMBER(F3911)),"Wert fehlt; ",IF(F3911&lt;=0,"Wert ist 0; ",""))&amp;IF(NOT(ISNUMBER(E3911)),"Bestand fehlt; ",IF(E3911&lt;0,"Bestand negativ; ",IF(E3911=0,"Nullbestand; ","")))&amp;IF(D3911="","Warengruppe fehlt; ","")&amp;IF(B3911="","Bezeichnung fehlt; ","")&amp;IF(COUNTIFS($A$2:$A$5001,$A3911,$C$2:$C$5001,C3911)&gt;1,"Artikel doppelt im selben Lager; ",""))</f>
        <v/>
      </c>
      <c r="P3911" s="47" t="n">
        <f aca="false">IF(OR($A3911="",D3911=""),0,IF(COUNTIF($D$2:D3911,D3911)=1,SUMIF($D$2:$D$5001,D3911,$H$2:$H$5001)+ROW()/10000000,0))</f>
        <v>0</v>
      </c>
      <c r="Q3911" s="47" t="n">
        <f aca="false">IF(OR($A3911="",C3911=""),0,IF(COUNTIF($C$2:C3911,C3911)=1,SUMIF($C$2:$C$5001,C3911,$H$2:$H$5001)+ROW()/10000000,0))</f>
        <v>0</v>
      </c>
    </row>
    <row r="3912" customFormat="false" ht="15" hidden="false" customHeight="false" outlineLevel="0" collapsed="false">
      <c r="A3912" s="43"/>
      <c r="B3912" s="44"/>
      <c r="C3912" s="44"/>
      <c r="D3912" s="44"/>
      <c r="E3912" s="44"/>
      <c r="F3912" s="44"/>
      <c r="G3912" s="44"/>
      <c r="H3912" s="46" t="str">
        <f aca="false">IF($A3912="","",IF(OR(NOT(ISNUMBER(E3912)),NOT(ISNUMBER(F3912))),"",MAX(0,E3912)*F3912))</f>
        <v/>
      </c>
      <c r="I3912" s="46" t="str">
        <f aca="false">IF($A3912="","",SUMIF($A$2:$A$5001,$A3912,$H$2:$H$5001))</f>
        <v/>
      </c>
      <c r="J3912" s="47" t="n">
        <f aca="false">IF($A3912="",0,IF(COUNTIF($A$2:A3912,$A3912)=1,1,0))</f>
        <v>0</v>
      </c>
      <c r="K3912" s="47" t="n">
        <f aca="false">IF(J3912=1,N(I3912)+ROW()/10000000,0)</f>
        <v>0</v>
      </c>
      <c r="L3912" s="47" t="str">
        <f aca="false">IF(AND(J3912=1,N(I3912)&gt;0),SUMIF($K$2:$K$5001,"&gt;="&amp;K3912,$I$2:$I$5001)/MAX(1,SUM($H$2:$H$5001)),"")</f>
        <v/>
      </c>
      <c r="M3912" s="47" t="str">
        <f aca="false">IF($A3912="","",INDEX($L$2:$L$5001,MATCH($A3912,$A$2:$A$5001,0)))</f>
        <v/>
      </c>
      <c r="N3912" s="48" t="str">
        <f aca="false">IF($A3912="","",IF(N(M3912)=0,"–",IF(M3912&lt;=Start!$D$20,"A",IF(M3912&lt;=Start!$D$21,"B","C"))))</f>
        <v/>
      </c>
      <c r="O3912" s="48" t="str">
        <f aca="false">IF($A3912="","",IF(NOT(ISNUMBER(F3912)),"Wert fehlt; ",IF(F3912&lt;=0,"Wert ist 0; ",""))&amp;IF(NOT(ISNUMBER(E3912)),"Bestand fehlt; ",IF(E3912&lt;0,"Bestand negativ; ",IF(E3912=0,"Nullbestand; ","")))&amp;IF(D3912="","Warengruppe fehlt; ","")&amp;IF(B3912="","Bezeichnung fehlt; ","")&amp;IF(COUNTIFS($A$2:$A$5001,$A3912,$C$2:$C$5001,C3912)&gt;1,"Artikel doppelt im selben Lager; ",""))</f>
        <v/>
      </c>
      <c r="P3912" s="47" t="n">
        <f aca="false">IF(OR($A3912="",D3912=""),0,IF(COUNTIF($D$2:D3912,D3912)=1,SUMIF($D$2:$D$5001,D3912,$H$2:$H$5001)+ROW()/10000000,0))</f>
        <v>0</v>
      </c>
      <c r="Q3912" s="47" t="n">
        <f aca="false">IF(OR($A3912="",C3912=""),0,IF(COUNTIF($C$2:C3912,C3912)=1,SUMIF($C$2:$C$5001,C3912,$H$2:$H$5001)+ROW()/10000000,0))</f>
        <v>0</v>
      </c>
    </row>
    <row r="3913" customFormat="false" ht="15" hidden="false" customHeight="false" outlineLevel="0" collapsed="false">
      <c r="A3913" s="43"/>
      <c r="B3913" s="44"/>
      <c r="C3913" s="44"/>
      <c r="D3913" s="44"/>
      <c r="E3913" s="44"/>
      <c r="F3913" s="44"/>
      <c r="G3913" s="44"/>
      <c r="H3913" s="46" t="str">
        <f aca="false">IF($A3913="","",IF(OR(NOT(ISNUMBER(E3913)),NOT(ISNUMBER(F3913))),"",MAX(0,E3913)*F3913))</f>
        <v/>
      </c>
      <c r="I3913" s="46" t="str">
        <f aca="false">IF($A3913="","",SUMIF($A$2:$A$5001,$A3913,$H$2:$H$5001))</f>
        <v/>
      </c>
      <c r="J3913" s="47" t="n">
        <f aca="false">IF($A3913="",0,IF(COUNTIF($A$2:A3913,$A3913)=1,1,0))</f>
        <v>0</v>
      </c>
      <c r="K3913" s="47" t="n">
        <f aca="false">IF(J3913=1,N(I3913)+ROW()/10000000,0)</f>
        <v>0</v>
      </c>
      <c r="L3913" s="47" t="str">
        <f aca="false">IF(AND(J3913=1,N(I3913)&gt;0),SUMIF($K$2:$K$5001,"&gt;="&amp;K3913,$I$2:$I$5001)/MAX(1,SUM($H$2:$H$5001)),"")</f>
        <v/>
      </c>
      <c r="M3913" s="47" t="str">
        <f aca="false">IF($A3913="","",INDEX($L$2:$L$5001,MATCH($A3913,$A$2:$A$5001,0)))</f>
        <v/>
      </c>
      <c r="N3913" s="48" t="str">
        <f aca="false">IF($A3913="","",IF(N(M3913)=0,"–",IF(M3913&lt;=Start!$D$20,"A",IF(M3913&lt;=Start!$D$21,"B","C"))))</f>
        <v/>
      </c>
      <c r="O3913" s="48" t="str">
        <f aca="false">IF($A3913="","",IF(NOT(ISNUMBER(F3913)),"Wert fehlt; ",IF(F3913&lt;=0,"Wert ist 0; ",""))&amp;IF(NOT(ISNUMBER(E3913)),"Bestand fehlt; ",IF(E3913&lt;0,"Bestand negativ; ",IF(E3913=0,"Nullbestand; ","")))&amp;IF(D3913="","Warengruppe fehlt; ","")&amp;IF(B3913="","Bezeichnung fehlt; ","")&amp;IF(COUNTIFS($A$2:$A$5001,$A3913,$C$2:$C$5001,C3913)&gt;1,"Artikel doppelt im selben Lager; ",""))</f>
        <v/>
      </c>
      <c r="P3913" s="47" t="n">
        <f aca="false">IF(OR($A3913="",D3913=""),0,IF(COUNTIF($D$2:D3913,D3913)=1,SUMIF($D$2:$D$5001,D3913,$H$2:$H$5001)+ROW()/10000000,0))</f>
        <v>0</v>
      </c>
      <c r="Q3913" s="47" t="n">
        <f aca="false">IF(OR($A3913="",C3913=""),0,IF(COUNTIF($C$2:C3913,C3913)=1,SUMIF($C$2:$C$5001,C3913,$H$2:$H$5001)+ROW()/10000000,0))</f>
        <v>0</v>
      </c>
    </row>
    <row r="3914" customFormat="false" ht="15" hidden="false" customHeight="false" outlineLevel="0" collapsed="false">
      <c r="A3914" s="43"/>
      <c r="B3914" s="44"/>
      <c r="C3914" s="44"/>
      <c r="D3914" s="44"/>
      <c r="E3914" s="44"/>
      <c r="F3914" s="44"/>
      <c r="G3914" s="44"/>
      <c r="H3914" s="46" t="str">
        <f aca="false">IF($A3914="","",IF(OR(NOT(ISNUMBER(E3914)),NOT(ISNUMBER(F3914))),"",MAX(0,E3914)*F3914))</f>
        <v/>
      </c>
      <c r="I3914" s="46" t="str">
        <f aca="false">IF($A3914="","",SUMIF($A$2:$A$5001,$A3914,$H$2:$H$5001))</f>
        <v/>
      </c>
      <c r="J3914" s="47" t="n">
        <f aca="false">IF($A3914="",0,IF(COUNTIF($A$2:A3914,$A3914)=1,1,0))</f>
        <v>0</v>
      </c>
      <c r="K3914" s="47" t="n">
        <f aca="false">IF(J3914=1,N(I3914)+ROW()/10000000,0)</f>
        <v>0</v>
      </c>
      <c r="L3914" s="47" t="str">
        <f aca="false">IF(AND(J3914=1,N(I3914)&gt;0),SUMIF($K$2:$K$5001,"&gt;="&amp;K3914,$I$2:$I$5001)/MAX(1,SUM($H$2:$H$5001)),"")</f>
        <v/>
      </c>
      <c r="M3914" s="47" t="str">
        <f aca="false">IF($A3914="","",INDEX($L$2:$L$5001,MATCH($A3914,$A$2:$A$5001,0)))</f>
        <v/>
      </c>
      <c r="N3914" s="48" t="str">
        <f aca="false">IF($A3914="","",IF(N(M3914)=0,"–",IF(M3914&lt;=Start!$D$20,"A",IF(M3914&lt;=Start!$D$21,"B","C"))))</f>
        <v/>
      </c>
      <c r="O3914" s="48" t="str">
        <f aca="false">IF($A3914="","",IF(NOT(ISNUMBER(F3914)),"Wert fehlt; ",IF(F3914&lt;=0,"Wert ist 0; ",""))&amp;IF(NOT(ISNUMBER(E3914)),"Bestand fehlt; ",IF(E3914&lt;0,"Bestand negativ; ",IF(E3914=0,"Nullbestand; ","")))&amp;IF(D3914="","Warengruppe fehlt; ","")&amp;IF(B3914="","Bezeichnung fehlt; ","")&amp;IF(COUNTIFS($A$2:$A$5001,$A3914,$C$2:$C$5001,C3914)&gt;1,"Artikel doppelt im selben Lager; ",""))</f>
        <v/>
      </c>
      <c r="P3914" s="47" t="n">
        <f aca="false">IF(OR($A3914="",D3914=""),0,IF(COUNTIF($D$2:D3914,D3914)=1,SUMIF($D$2:$D$5001,D3914,$H$2:$H$5001)+ROW()/10000000,0))</f>
        <v>0</v>
      </c>
      <c r="Q3914" s="47" t="n">
        <f aca="false">IF(OR($A3914="",C3914=""),0,IF(COUNTIF($C$2:C3914,C3914)=1,SUMIF($C$2:$C$5001,C3914,$H$2:$H$5001)+ROW()/10000000,0))</f>
        <v>0</v>
      </c>
    </row>
    <row r="3915" customFormat="false" ht="15" hidden="false" customHeight="false" outlineLevel="0" collapsed="false">
      <c r="A3915" s="43"/>
      <c r="B3915" s="44"/>
      <c r="C3915" s="44"/>
      <c r="D3915" s="44"/>
      <c r="E3915" s="44"/>
      <c r="F3915" s="44"/>
      <c r="G3915" s="44"/>
      <c r="H3915" s="46" t="str">
        <f aca="false">IF($A3915="","",IF(OR(NOT(ISNUMBER(E3915)),NOT(ISNUMBER(F3915))),"",MAX(0,E3915)*F3915))</f>
        <v/>
      </c>
      <c r="I3915" s="46" t="str">
        <f aca="false">IF($A3915="","",SUMIF($A$2:$A$5001,$A3915,$H$2:$H$5001))</f>
        <v/>
      </c>
      <c r="J3915" s="47" t="n">
        <f aca="false">IF($A3915="",0,IF(COUNTIF($A$2:A3915,$A3915)=1,1,0))</f>
        <v>0</v>
      </c>
      <c r="K3915" s="47" t="n">
        <f aca="false">IF(J3915=1,N(I3915)+ROW()/10000000,0)</f>
        <v>0</v>
      </c>
      <c r="L3915" s="47" t="str">
        <f aca="false">IF(AND(J3915=1,N(I3915)&gt;0),SUMIF($K$2:$K$5001,"&gt;="&amp;K3915,$I$2:$I$5001)/MAX(1,SUM($H$2:$H$5001)),"")</f>
        <v/>
      </c>
      <c r="M3915" s="47" t="str">
        <f aca="false">IF($A3915="","",INDEX($L$2:$L$5001,MATCH($A3915,$A$2:$A$5001,0)))</f>
        <v/>
      </c>
      <c r="N3915" s="48" t="str">
        <f aca="false">IF($A3915="","",IF(N(M3915)=0,"–",IF(M3915&lt;=Start!$D$20,"A",IF(M3915&lt;=Start!$D$21,"B","C"))))</f>
        <v/>
      </c>
      <c r="O3915" s="48" t="str">
        <f aca="false">IF($A3915="","",IF(NOT(ISNUMBER(F3915)),"Wert fehlt; ",IF(F3915&lt;=0,"Wert ist 0; ",""))&amp;IF(NOT(ISNUMBER(E3915)),"Bestand fehlt; ",IF(E3915&lt;0,"Bestand negativ; ",IF(E3915=0,"Nullbestand; ","")))&amp;IF(D3915="","Warengruppe fehlt; ","")&amp;IF(B3915="","Bezeichnung fehlt; ","")&amp;IF(COUNTIFS($A$2:$A$5001,$A3915,$C$2:$C$5001,C3915)&gt;1,"Artikel doppelt im selben Lager; ",""))</f>
        <v/>
      </c>
      <c r="P3915" s="47" t="n">
        <f aca="false">IF(OR($A3915="",D3915=""),0,IF(COUNTIF($D$2:D3915,D3915)=1,SUMIF($D$2:$D$5001,D3915,$H$2:$H$5001)+ROW()/10000000,0))</f>
        <v>0</v>
      </c>
      <c r="Q3915" s="47" t="n">
        <f aca="false">IF(OR($A3915="",C3915=""),0,IF(COUNTIF($C$2:C3915,C3915)=1,SUMIF($C$2:$C$5001,C3915,$H$2:$H$5001)+ROW()/10000000,0))</f>
        <v>0</v>
      </c>
    </row>
    <row r="3916" customFormat="false" ht="15" hidden="false" customHeight="false" outlineLevel="0" collapsed="false">
      <c r="A3916" s="43"/>
      <c r="B3916" s="44"/>
      <c r="C3916" s="44"/>
      <c r="D3916" s="44"/>
      <c r="E3916" s="44"/>
      <c r="F3916" s="44"/>
      <c r="G3916" s="44"/>
      <c r="H3916" s="46" t="str">
        <f aca="false">IF($A3916="","",IF(OR(NOT(ISNUMBER(E3916)),NOT(ISNUMBER(F3916))),"",MAX(0,E3916)*F3916))</f>
        <v/>
      </c>
      <c r="I3916" s="46" t="str">
        <f aca="false">IF($A3916="","",SUMIF($A$2:$A$5001,$A3916,$H$2:$H$5001))</f>
        <v/>
      </c>
      <c r="J3916" s="47" t="n">
        <f aca="false">IF($A3916="",0,IF(COUNTIF($A$2:A3916,$A3916)=1,1,0))</f>
        <v>0</v>
      </c>
      <c r="K3916" s="47" t="n">
        <f aca="false">IF(J3916=1,N(I3916)+ROW()/10000000,0)</f>
        <v>0</v>
      </c>
      <c r="L3916" s="47" t="str">
        <f aca="false">IF(AND(J3916=1,N(I3916)&gt;0),SUMIF($K$2:$K$5001,"&gt;="&amp;K3916,$I$2:$I$5001)/MAX(1,SUM($H$2:$H$5001)),"")</f>
        <v/>
      </c>
      <c r="M3916" s="47" t="str">
        <f aca="false">IF($A3916="","",INDEX($L$2:$L$5001,MATCH($A3916,$A$2:$A$5001,0)))</f>
        <v/>
      </c>
      <c r="N3916" s="48" t="str">
        <f aca="false">IF($A3916="","",IF(N(M3916)=0,"–",IF(M3916&lt;=Start!$D$20,"A",IF(M3916&lt;=Start!$D$21,"B","C"))))</f>
        <v/>
      </c>
      <c r="O3916" s="48" t="str">
        <f aca="false">IF($A3916="","",IF(NOT(ISNUMBER(F3916)),"Wert fehlt; ",IF(F3916&lt;=0,"Wert ist 0; ",""))&amp;IF(NOT(ISNUMBER(E3916)),"Bestand fehlt; ",IF(E3916&lt;0,"Bestand negativ; ",IF(E3916=0,"Nullbestand; ","")))&amp;IF(D3916="","Warengruppe fehlt; ","")&amp;IF(B3916="","Bezeichnung fehlt; ","")&amp;IF(COUNTIFS($A$2:$A$5001,$A3916,$C$2:$C$5001,C3916)&gt;1,"Artikel doppelt im selben Lager; ",""))</f>
        <v/>
      </c>
      <c r="P3916" s="47" t="n">
        <f aca="false">IF(OR($A3916="",D3916=""),0,IF(COUNTIF($D$2:D3916,D3916)=1,SUMIF($D$2:$D$5001,D3916,$H$2:$H$5001)+ROW()/10000000,0))</f>
        <v>0</v>
      </c>
      <c r="Q3916" s="47" t="n">
        <f aca="false">IF(OR($A3916="",C3916=""),0,IF(COUNTIF($C$2:C3916,C3916)=1,SUMIF($C$2:$C$5001,C3916,$H$2:$H$5001)+ROW()/10000000,0))</f>
        <v>0</v>
      </c>
    </row>
    <row r="3917" customFormat="false" ht="15" hidden="false" customHeight="false" outlineLevel="0" collapsed="false">
      <c r="A3917" s="43"/>
      <c r="B3917" s="44"/>
      <c r="C3917" s="44"/>
      <c r="D3917" s="44"/>
      <c r="E3917" s="44"/>
      <c r="F3917" s="44"/>
      <c r="G3917" s="44"/>
      <c r="H3917" s="46" t="str">
        <f aca="false">IF($A3917="","",IF(OR(NOT(ISNUMBER(E3917)),NOT(ISNUMBER(F3917))),"",MAX(0,E3917)*F3917))</f>
        <v/>
      </c>
      <c r="I3917" s="46" t="str">
        <f aca="false">IF($A3917="","",SUMIF($A$2:$A$5001,$A3917,$H$2:$H$5001))</f>
        <v/>
      </c>
      <c r="J3917" s="47" t="n">
        <f aca="false">IF($A3917="",0,IF(COUNTIF($A$2:A3917,$A3917)=1,1,0))</f>
        <v>0</v>
      </c>
      <c r="K3917" s="47" t="n">
        <f aca="false">IF(J3917=1,N(I3917)+ROW()/10000000,0)</f>
        <v>0</v>
      </c>
      <c r="L3917" s="47" t="str">
        <f aca="false">IF(AND(J3917=1,N(I3917)&gt;0),SUMIF($K$2:$K$5001,"&gt;="&amp;K3917,$I$2:$I$5001)/MAX(1,SUM($H$2:$H$5001)),"")</f>
        <v/>
      </c>
      <c r="M3917" s="47" t="str">
        <f aca="false">IF($A3917="","",INDEX($L$2:$L$5001,MATCH($A3917,$A$2:$A$5001,0)))</f>
        <v/>
      </c>
      <c r="N3917" s="48" t="str">
        <f aca="false">IF($A3917="","",IF(N(M3917)=0,"–",IF(M3917&lt;=Start!$D$20,"A",IF(M3917&lt;=Start!$D$21,"B","C"))))</f>
        <v/>
      </c>
      <c r="O3917" s="48" t="str">
        <f aca="false">IF($A3917="","",IF(NOT(ISNUMBER(F3917)),"Wert fehlt; ",IF(F3917&lt;=0,"Wert ist 0; ",""))&amp;IF(NOT(ISNUMBER(E3917)),"Bestand fehlt; ",IF(E3917&lt;0,"Bestand negativ; ",IF(E3917=0,"Nullbestand; ","")))&amp;IF(D3917="","Warengruppe fehlt; ","")&amp;IF(B3917="","Bezeichnung fehlt; ","")&amp;IF(COUNTIFS($A$2:$A$5001,$A3917,$C$2:$C$5001,C3917)&gt;1,"Artikel doppelt im selben Lager; ",""))</f>
        <v/>
      </c>
      <c r="P3917" s="47" t="n">
        <f aca="false">IF(OR($A3917="",D3917=""),0,IF(COUNTIF($D$2:D3917,D3917)=1,SUMIF($D$2:$D$5001,D3917,$H$2:$H$5001)+ROW()/10000000,0))</f>
        <v>0</v>
      </c>
      <c r="Q3917" s="47" t="n">
        <f aca="false">IF(OR($A3917="",C3917=""),0,IF(COUNTIF($C$2:C3917,C3917)=1,SUMIF($C$2:$C$5001,C3917,$H$2:$H$5001)+ROW()/10000000,0))</f>
        <v>0</v>
      </c>
    </row>
    <row r="3918" customFormat="false" ht="15" hidden="false" customHeight="false" outlineLevel="0" collapsed="false">
      <c r="A3918" s="43"/>
      <c r="B3918" s="44"/>
      <c r="C3918" s="44"/>
      <c r="D3918" s="44"/>
      <c r="E3918" s="44"/>
      <c r="F3918" s="44"/>
      <c r="G3918" s="44"/>
      <c r="H3918" s="46" t="str">
        <f aca="false">IF($A3918="","",IF(OR(NOT(ISNUMBER(E3918)),NOT(ISNUMBER(F3918))),"",MAX(0,E3918)*F3918))</f>
        <v/>
      </c>
      <c r="I3918" s="46" t="str">
        <f aca="false">IF($A3918="","",SUMIF($A$2:$A$5001,$A3918,$H$2:$H$5001))</f>
        <v/>
      </c>
      <c r="J3918" s="47" t="n">
        <f aca="false">IF($A3918="",0,IF(COUNTIF($A$2:A3918,$A3918)=1,1,0))</f>
        <v>0</v>
      </c>
      <c r="K3918" s="47" t="n">
        <f aca="false">IF(J3918=1,N(I3918)+ROW()/10000000,0)</f>
        <v>0</v>
      </c>
      <c r="L3918" s="47" t="str">
        <f aca="false">IF(AND(J3918=1,N(I3918)&gt;0),SUMIF($K$2:$K$5001,"&gt;="&amp;K3918,$I$2:$I$5001)/MAX(1,SUM($H$2:$H$5001)),"")</f>
        <v/>
      </c>
      <c r="M3918" s="47" t="str">
        <f aca="false">IF($A3918="","",INDEX($L$2:$L$5001,MATCH($A3918,$A$2:$A$5001,0)))</f>
        <v/>
      </c>
      <c r="N3918" s="48" t="str">
        <f aca="false">IF($A3918="","",IF(N(M3918)=0,"–",IF(M3918&lt;=Start!$D$20,"A",IF(M3918&lt;=Start!$D$21,"B","C"))))</f>
        <v/>
      </c>
      <c r="O3918" s="48" t="str">
        <f aca="false">IF($A3918="","",IF(NOT(ISNUMBER(F3918)),"Wert fehlt; ",IF(F3918&lt;=0,"Wert ist 0; ",""))&amp;IF(NOT(ISNUMBER(E3918)),"Bestand fehlt; ",IF(E3918&lt;0,"Bestand negativ; ",IF(E3918=0,"Nullbestand; ","")))&amp;IF(D3918="","Warengruppe fehlt; ","")&amp;IF(B3918="","Bezeichnung fehlt; ","")&amp;IF(COUNTIFS($A$2:$A$5001,$A3918,$C$2:$C$5001,C3918)&gt;1,"Artikel doppelt im selben Lager; ",""))</f>
        <v/>
      </c>
      <c r="P3918" s="47" t="n">
        <f aca="false">IF(OR($A3918="",D3918=""),0,IF(COUNTIF($D$2:D3918,D3918)=1,SUMIF($D$2:$D$5001,D3918,$H$2:$H$5001)+ROW()/10000000,0))</f>
        <v>0</v>
      </c>
      <c r="Q3918" s="47" t="n">
        <f aca="false">IF(OR($A3918="",C3918=""),0,IF(COUNTIF($C$2:C3918,C3918)=1,SUMIF($C$2:$C$5001,C3918,$H$2:$H$5001)+ROW()/10000000,0))</f>
        <v>0</v>
      </c>
    </row>
    <row r="3919" customFormat="false" ht="15" hidden="false" customHeight="false" outlineLevel="0" collapsed="false">
      <c r="A3919" s="43"/>
      <c r="B3919" s="44"/>
      <c r="C3919" s="44"/>
      <c r="D3919" s="44"/>
      <c r="E3919" s="44"/>
      <c r="F3919" s="44"/>
      <c r="G3919" s="44"/>
      <c r="H3919" s="46" t="str">
        <f aca="false">IF($A3919="","",IF(OR(NOT(ISNUMBER(E3919)),NOT(ISNUMBER(F3919))),"",MAX(0,E3919)*F3919))</f>
        <v/>
      </c>
      <c r="I3919" s="46" t="str">
        <f aca="false">IF($A3919="","",SUMIF($A$2:$A$5001,$A3919,$H$2:$H$5001))</f>
        <v/>
      </c>
      <c r="J3919" s="47" t="n">
        <f aca="false">IF($A3919="",0,IF(COUNTIF($A$2:A3919,$A3919)=1,1,0))</f>
        <v>0</v>
      </c>
      <c r="K3919" s="47" t="n">
        <f aca="false">IF(J3919=1,N(I3919)+ROW()/10000000,0)</f>
        <v>0</v>
      </c>
      <c r="L3919" s="47" t="str">
        <f aca="false">IF(AND(J3919=1,N(I3919)&gt;0),SUMIF($K$2:$K$5001,"&gt;="&amp;K3919,$I$2:$I$5001)/MAX(1,SUM($H$2:$H$5001)),"")</f>
        <v/>
      </c>
      <c r="M3919" s="47" t="str">
        <f aca="false">IF($A3919="","",INDEX($L$2:$L$5001,MATCH($A3919,$A$2:$A$5001,0)))</f>
        <v/>
      </c>
      <c r="N3919" s="48" t="str">
        <f aca="false">IF($A3919="","",IF(N(M3919)=0,"–",IF(M3919&lt;=Start!$D$20,"A",IF(M3919&lt;=Start!$D$21,"B","C"))))</f>
        <v/>
      </c>
      <c r="O3919" s="48" t="str">
        <f aca="false">IF($A3919="","",IF(NOT(ISNUMBER(F3919)),"Wert fehlt; ",IF(F3919&lt;=0,"Wert ist 0; ",""))&amp;IF(NOT(ISNUMBER(E3919)),"Bestand fehlt; ",IF(E3919&lt;0,"Bestand negativ; ",IF(E3919=0,"Nullbestand; ","")))&amp;IF(D3919="","Warengruppe fehlt; ","")&amp;IF(B3919="","Bezeichnung fehlt; ","")&amp;IF(COUNTIFS($A$2:$A$5001,$A3919,$C$2:$C$5001,C3919)&gt;1,"Artikel doppelt im selben Lager; ",""))</f>
        <v/>
      </c>
      <c r="P3919" s="47" t="n">
        <f aca="false">IF(OR($A3919="",D3919=""),0,IF(COUNTIF($D$2:D3919,D3919)=1,SUMIF($D$2:$D$5001,D3919,$H$2:$H$5001)+ROW()/10000000,0))</f>
        <v>0</v>
      </c>
      <c r="Q3919" s="47" t="n">
        <f aca="false">IF(OR($A3919="",C3919=""),0,IF(COUNTIF($C$2:C3919,C3919)=1,SUMIF($C$2:$C$5001,C3919,$H$2:$H$5001)+ROW()/10000000,0))</f>
        <v>0</v>
      </c>
    </row>
    <row r="3920" customFormat="false" ht="15" hidden="false" customHeight="false" outlineLevel="0" collapsed="false">
      <c r="A3920" s="43"/>
      <c r="B3920" s="44"/>
      <c r="C3920" s="44"/>
      <c r="D3920" s="44"/>
      <c r="E3920" s="44"/>
      <c r="F3920" s="44"/>
      <c r="G3920" s="44"/>
      <c r="H3920" s="46" t="str">
        <f aca="false">IF($A3920="","",IF(OR(NOT(ISNUMBER(E3920)),NOT(ISNUMBER(F3920))),"",MAX(0,E3920)*F3920))</f>
        <v/>
      </c>
      <c r="I3920" s="46" t="str">
        <f aca="false">IF($A3920="","",SUMIF($A$2:$A$5001,$A3920,$H$2:$H$5001))</f>
        <v/>
      </c>
      <c r="J3920" s="47" t="n">
        <f aca="false">IF($A3920="",0,IF(COUNTIF($A$2:A3920,$A3920)=1,1,0))</f>
        <v>0</v>
      </c>
      <c r="K3920" s="47" t="n">
        <f aca="false">IF(J3920=1,N(I3920)+ROW()/10000000,0)</f>
        <v>0</v>
      </c>
      <c r="L3920" s="47" t="str">
        <f aca="false">IF(AND(J3920=1,N(I3920)&gt;0),SUMIF($K$2:$K$5001,"&gt;="&amp;K3920,$I$2:$I$5001)/MAX(1,SUM($H$2:$H$5001)),"")</f>
        <v/>
      </c>
      <c r="M3920" s="47" t="str">
        <f aca="false">IF($A3920="","",INDEX($L$2:$L$5001,MATCH($A3920,$A$2:$A$5001,0)))</f>
        <v/>
      </c>
      <c r="N3920" s="48" t="str">
        <f aca="false">IF($A3920="","",IF(N(M3920)=0,"–",IF(M3920&lt;=Start!$D$20,"A",IF(M3920&lt;=Start!$D$21,"B","C"))))</f>
        <v/>
      </c>
      <c r="O3920" s="48" t="str">
        <f aca="false">IF($A3920="","",IF(NOT(ISNUMBER(F3920)),"Wert fehlt; ",IF(F3920&lt;=0,"Wert ist 0; ",""))&amp;IF(NOT(ISNUMBER(E3920)),"Bestand fehlt; ",IF(E3920&lt;0,"Bestand negativ; ",IF(E3920=0,"Nullbestand; ","")))&amp;IF(D3920="","Warengruppe fehlt; ","")&amp;IF(B3920="","Bezeichnung fehlt; ","")&amp;IF(COUNTIFS($A$2:$A$5001,$A3920,$C$2:$C$5001,C3920)&gt;1,"Artikel doppelt im selben Lager; ",""))</f>
        <v/>
      </c>
      <c r="P3920" s="47" t="n">
        <f aca="false">IF(OR($A3920="",D3920=""),0,IF(COUNTIF($D$2:D3920,D3920)=1,SUMIF($D$2:$D$5001,D3920,$H$2:$H$5001)+ROW()/10000000,0))</f>
        <v>0</v>
      </c>
      <c r="Q3920" s="47" t="n">
        <f aca="false">IF(OR($A3920="",C3920=""),0,IF(COUNTIF($C$2:C3920,C3920)=1,SUMIF($C$2:$C$5001,C3920,$H$2:$H$5001)+ROW()/10000000,0))</f>
        <v>0</v>
      </c>
    </row>
    <row r="3921" customFormat="false" ht="15" hidden="false" customHeight="false" outlineLevel="0" collapsed="false">
      <c r="A3921" s="43"/>
      <c r="B3921" s="44"/>
      <c r="C3921" s="44"/>
      <c r="D3921" s="44"/>
      <c r="E3921" s="44"/>
      <c r="F3921" s="44"/>
      <c r="G3921" s="44"/>
      <c r="H3921" s="46" t="str">
        <f aca="false">IF($A3921="","",IF(OR(NOT(ISNUMBER(E3921)),NOT(ISNUMBER(F3921))),"",MAX(0,E3921)*F3921))</f>
        <v/>
      </c>
      <c r="I3921" s="46" t="str">
        <f aca="false">IF($A3921="","",SUMIF($A$2:$A$5001,$A3921,$H$2:$H$5001))</f>
        <v/>
      </c>
      <c r="J3921" s="47" t="n">
        <f aca="false">IF($A3921="",0,IF(COUNTIF($A$2:A3921,$A3921)=1,1,0))</f>
        <v>0</v>
      </c>
      <c r="K3921" s="47" t="n">
        <f aca="false">IF(J3921=1,N(I3921)+ROW()/10000000,0)</f>
        <v>0</v>
      </c>
      <c r="L3921" s="47" t="str">
        <f aca="false">IF(AND(J3921=1,N(I3921)&gt;0),SUMIF($K$2:$K$5001,"&gt;="&amp;K3921,$I$2:$I$5001)/MAX(1,SUM($H$2:$H$5001)),"")</f>
        <v/>
      </c>
      <c r="M3921" s="47" t="str">
        <f aca="false">IF($A3921="","",INDEX($L$2:$L$5001,MATCH($A3921,$A$2:$A$5001,0)))</f>
        <v/>
      </c>
      <c r="N3921" s="48" t="str">
        <f aca="false">IF($A3921="","",IF(N(M3921)=0,"–",IF(M3921&lt;=Start!$D$20,"A",IF(M3921&lt;=Start!$D$21,"B","C"))))</f>
        <v/>
      </c>
      <c r="O3921" s="48" t="str">
        <f aca="false">IF($A3921="","",IF(NOT(ISNUMBER(F3921)),"Wert fehlt; ",IF(F3921&lt;=0,"Wert ist 0; ",""))&amp;IF(NOT(ISNUMBER(E3921)),"Bestand fehlt; ",IF(E3921&lt;0,"Bestand negativ; ",IF(E3921=0,"Nullbestand; ","")))&amp;IF(D3921="","Warengruppe fehlt; ","")&amp;IF(B3921="","Bezeichnung fehlt; ","")&amp;IF(COUNTIFS($A$2:$A$5001,$A3921,$C$2:$C$5001,C3921)&gt;1,"Artikel doppelt im selben Lager; ",""))</f>
        <v/>
      </c>
      <c r="P3921" s="47" t="n">
        <f aca="false">IF(OR($A3921="",D3921=""),0,IF(COUNTIF($D$2:D3921,D3921)=1,SUMIF($D$2:$D$5001,D3921,$H$2:$H$5001)+ROW()/10000000,0))</f>
        <v>0</v>
      </c>
      <c r="Q3921" s="47" t="n">
        <f aca="false">IF(OR($A3921="",C3921=""),0,IF(COUNTIF($C$2:C3921,C3921)=1,SUMIF($C$2:$C$5001,C3921,$H$2:$H$5001)+ROW()/10000000,0))</f>
        <v>0</v>
      </c>
    </row>
    <row r="3922" customFormat="false" ht="15" hidden="false" customHeight="false" outlineLevel="0" collapsed="false">
      <c r="A3922" s="43"/>
      <c r="B3922" s="44"/>
      <c r="C3922" s="44"/>
      <c r="D3922" s="44"/>
      <c r="E3922" s="44"/>
      <c r="F3922" s="44"/>
      <c r="G3922" s="44"/>
      <c r="H3922" s="46" t="str">
        <f aca="false">IF($A3922="","",IF(OR(NOT(ISNUMBER(E3922)),NOT(ISNUMBER(F3922))),"",MAX(0,E3922)*F3922))</f>
        <v/>
      </c>
      <c r="I3922" s="46" t="str">
        <f aca="false">IF($A3922="","",SUMIF($A$2:$A$5001,$A3922,$H$2:$H$5001))</f>
        <v/>
      </c>
      <c r="J3922" s="47" t="n">
        <f aca="false">IF($A3922="",0,IF(COUNTIF($A$2:A3922,$A3922)=1,1,0))</f>
        <v>0</v>
      </c>
      <c r="K3922" s="47" t="n">
        <f aca="false">IF(J3922=1,N(I3922)+ROW()/10000000,0)</f>
        <v>0</v>
      </c>
      <c r="L3922" s="47" t="str">
        <f aca="false">IF(AND(J3922=1,N(I3922)&gt;0),SUMIF($K$2:$K$5001,"&gt;="&amp;K3922,$I$2:$I$5001)/MAX(1,SUM($H$2:$H$5001)),"")</f>
        <v/>
      </c>
      <c r="M3922" s="47" t="str">
        <f aca="false">IF($A3922="","",INDEX($L$2:$L$5001,MATCH($A3922,$A$2:$A$5001,0)))</f>
        <v/>
      </c>
      <c r="N3922" s="48" t="str">
        <f aca="false">IF($A3922="","",IF(N(M3922)=0,"–",IF(M3922&lt;=Start!$D$20,"A",IF(M3922&lt;=Start!$D$21,"B","C"))))</f>
        <v/>
      </c>
      <c r="O3922" s="48" t="str">
        <f aca="false">IF($A3922="","",IF(NOT(ISNUMBER(F3922)),"Wert fehlt; ",IF(F3922&lt;=0,"Wert ist 0; ",""))&amp;IF(NOT(ISNUMBER(E3922)),"Bestand fehlt; ",IF(E3922&lt;0,"Bestand negativ; ",IF(E3922=0,"Nullbestand; ","")))&amp;IF(D3922="","Warengruppe fehlt; ","")&amp;IF(B3922="","Bezeichnung fehlt; ","")&amp;IF(COUNTIFS($A$2:$A$5001,$A3922,$C$2:$C$5001,C3922)&gt;1,"Artikel doppelt im selben Lager; ",""))</f>
        <v/>
      </c>
      <c r="P3922" s="47" t="n">
        <f aca="false">IF(OR($A3922="",D3922=""),0,IF(COUNTIF($D$2:D3922,D3922)=1,SUMIF($D$2:$D$5001,D3922,$H$2:$H$5001)+ROW()/10000000,0))</f>
        <v>0</v>
      </c>
      <c r="Q3922" s="47" t="n">
        <f aca="false">IF(OR($A3922="",C3922=""),0,IF(COUNTIF($C$2:C3922,C3922)=1,SUMIF($C$2:$C$5001,C3922,$H$2:$H$5001)+ROW()/10000000,0))</f>
        <v>0</v>
      </c>
    </row>
    <row r="3923" customFormat="false" ht="15" hidden="false" customHeight="false" outlineLevel="0" collapsed="false">
      <c r="A3923" s="43"/>
      <c r="B3923" s="44"/>
      <c r="C3923" s="44"/>
      <c r="D3923" s="44"/>
      <c r="E3923" s="44"/>
      <c r="F3923" s="44"/>
      <c r="G3923" s="44"/>
      <c r="H3923" s="46" t="str">
        <f aca="false">IF($A3923="","",IF(OR(NOT(ISNUMBER(E3923)),NOT(ISNUMBER(F3923))),"",MAX(0,E3923)*F3923))</f>
        <v/>
      </c>
      <c r="I3923" s="46" t="str">
        <f aca="false">IF($A3923="","",SUMIF($A$2:$A$5001,$A3923,$H$2:$H$5001))</f>
        <v/>
      </c>
      <c r="J3923" s="47" t="n">
        <f aca="false">IF($A3923="",0,IF(COUNTIF($A$2:A3923,$A3923)=1,1,0))</f>
        <v>0</v>
      </c>
      <c r="K3923" s="47" t="n">
        <f aca="false">IF(J3923=1,N(I3923)+ROW()/10000000,0)</f>
        <v>0</v>
      </c>
      <c r="L3923" s="47" t="str">
        <f aca="false">IF(AND(J3923=1,N(I3923)&gt;0),SUMIF($K$2:$K$5001,"&gt;="&amp;K3923,$I$2:$I$5001)/MAX(1,SUM($H$2:$H$5001)),"")</f>
        <v/>
      </c>
      <c r="M3923" s="47" t="str">
        <f aca="false">IF($A3923="","",INDEX($L$2:$L$5001,MATCH($A3923,$A$2:$A$5001,0)))</f>
        <v/>
      </c>
      <c r="N3923" s="48" t="str">
        <f aca="false">IF($A3923="","",IF(N(M3923)=0,"–",IF(M3923&lt;=Start!$D$20,"A",IF(M3923&lt;=Start!$D$21,"B","C"))))</f>
        <v/>
      </c>
      <c r="O3923" s="48" t="str">
        <f aca="false">IF($A3923="","",IF(NOT(ISNUMBER(F3923)),"Wert fehlt; ",IF(F3923&lt;=0,"Wert ist 0; ",""))&amp;IF(NOT(ISNUMBER(E3923)),"Bestand fehlt; ",IF(E3923&lt;0,"Bestand negativ; ",IF(E3923=0,"Nullbestand; ","")))&amp;IF(D3923="","Warengruppe fehlt; ","")&amp;IF(B3923="","Bezeichnung fehlt; ","")&amp;IF(COUNTIFS($A$2:$A$5001,$A3923,$C$2:$C$5001,C3923)&gt;1,"Artikel doppelt im selben Lager; ",""))</f>
        <v/>
      </c>
      <c r="P3923" s="47" t="n">
        <f aca="false">IF(OR($A3923="",D3923=""),0,IF(COUNTIF($D$2:D3923,D3923)=1,SUMIF($D$2:$D$5001,D3923,$H$2:$H$5001)+ROW()/10000000,0))</f>
        <v>0</v>
      </c>
      <c r="Q3923" s="47" t="n">
        <f aca="false">IF(OR($A3923="",C3923=""),0,IF(COUNTIF($C$2:C3923,C3923)=1,SUMIF($C$2:$C$5001,C3923,$H$2:$H$5001)+ROW()/10000000,0))</f>
        <v>0</v>
      </c>
    </row>
    <row r="3924" customFormat="false" ht="15" hidden="false" customHeight="false" outlineLevel="0" collapsed="false">
      <c r="A3924" s="43"/>
      <c r="B3924" s="44"/>
      <c r="C3924" s="44"/>
      <c r="D3924" s="44"/>
      <c r="E3924" s="44"/>
      <c r="F3924" s="44"/>
      <c r="G3924" s="44"/>
      <c r="H3924" s="46" t="str">
        <f aca="false">IF($A3924="","",IF(OR(NOT(ISNUMBER(E3924)),NOT(ISNUMBER(F3924))),"",MAX(0,E3924)*F3924))</f>
        <v/>
      </c>
      <c r="I3924" s="46" t="str">
        <f aca="false">IF($A3924="","",SUMIF($A$2:$A$5001,$A3924,$H$2:$H$5001))</f>
        <v/>
      </c>
      <c r="J3924" s="47" t="n">
        <f aca="false">IF($A3924="",0,IF(COUNTIF($A$2:A3924,$A3924)=1,1,0))</f>
        <v>0</v>
      </c>
      <c r="K3924" s="47" t="n">
        <f aca="false">IF(J3924=1,N(I3924)+ROW()/10000000,0)</f>
        <v>0</v>
      </c>
      <c r="L3924" s="47" t="str">
        <f aca="false">IF(AND(J3924=1,N(I3924)&gt;0),SUMIF($K$2:$K$5001,"&gt;="&amp;K3924,$I$2:$I$5001)/MAX(1,SUM($H$2:$H$5001)),"")</f>
        <v/>
      </c>
      <c r="M3924" s="47" t="str">
        <f aca="false">IF($A3924="","",INDEX($L$2:$L$5001,MATCH($A3924,$A$2:$A$5001,0)))</f>
        <v/>
      </c>
      <c r="N3924" s="48" t="str">
        <f aca="false">IF($A3924="","",IF(N(M3924)=0,"–",IF(M3924&lt;=Start!$D$20,"A",IF(M3924&lt;=Start!$D$21,"B","C"))))</f>
        <v/>
      </c>
      <c r="O3924" s="48" t="str">
        <f aca="false">IF($A3924="","",IF(NOT(ISNUMBER(F3924)),"Wert fehlt; ",IF(F3924&lt;=0,"Wert ist 0; ",""))&amp;IF(NOT(ISNUMBER(E3924)),"Bestand fehlt; ",IF(E3924&lt;0,"Bestand negativ; ",IF(E3924=0,"Nullbestand; ","")))&amp;IF(D3924="","Warengruppe fehlt; ","")&amp;IF(B3924="","Bezeichnung fehlt; ","")&amp;IF(COUNTIFS($A$2:$A$5001,$A3924,$C$2:$C$5001,C3924)&gt;1,"Artikel doppelt im selben Lager; ",""))</f>
        <v/>
      </c>
      <c r="P3924" s="47" t="n">
        <f aca="false">IF(OR($A3924="",D3924=""),0,IF(COUNTIF($D$2:D3924,D3924)=1,SUMIF($D$2:$D$5001,D3924,$H$2:$H$5001)+ROW()/10000000,0))</f>
        <v>0</v>
      </c>
      <c r="Q3924" s="47" t="n">
        <f aca="false">IF(OR($A3924="",C3924=""),0,IF(COUNTIF($C$2:C3924,C3924)=1,SUMIF($C$2:$C$5001,C3924,$H$2:$H$5001)+ROW()/10000000,0))</f>
        <v>0</v>
      </c>
    </row>
    <row r="3925" customFormat="false" ht="15" hidden="false" customHeight="false" outlineLevel="0" collapsed="false">
      <c r="A3925" s="43"/>
      <c r="B3925" s="44"/>
      <c r="C3925" s="44"/>
      <c r="D3925" s="44"/>
      <c r="E3925" s="44"/>
      <c r="F3925" s="44"/>
      <c r="G3925" s="44"/>
      <c r="H3925" s="46" t="str">
        <f aca="false">IF($A3925="","",IF(OR(NOT(ISNUMBER(E3925)),NOT(ISNUMBER(F3925))),"",MAX(0,E3925)*F3925))</f>
        <v/>
      </c>
      <c r="I3925" s="46" t="str">
        <f aca="false">IF($A3925="","",SUMIF($A$2:$A$5001,$A3925,$H$2:$H$5001))</f>
        <v/>
      </c>
      <c r="J3925" s="47" t="n">
        <f aca="false">IF($A3925="",0,IF(COUNTIF($A$2:A3925,$A3925)=1,1,0))</f>
        <v>0</v>
      </c>
      <c r="K3925" s="47" t="n">
        <f aca="false">IF(J3925=1,N(I3925)+ROW()/10000000,0)</f>
        <v>0</v>
      </c>
      <c r="L3925" s="47" t="str">
        <f aca="false">IF(AND(J3925=1,N(I3925)&gt;0),SUMIF($K$2:$K$5001,"&gt;="&amp;K3925,$I$2:$I$5001)/MAX(1,SUM($H$2:$H$5001)),"")</f>
        <v/>
      </c>
      <c r="M3925" s="47" t="str">
        <f aca="false">IF($A3925="","",INDEX($L$2:$L$5001,MATCH($A3925,$A$2:$A$5001,0)))</f>
        <v/>
      </c>
      <c r="N3925" s="48" t="str">
        <f aca="false">IF($A3925="","",IF(N(M3925)=0,"–",IF(M3925&lt;=Start!$D$20,"A",IF(M3925&lt;=Start!$D$21,"B","C"))))</f>
        <v/>
      </c>
      <c r="O3925" s="48" t="str">
        <f aca="false">IF($A3925="","",IF(NOT(ISNUMBER(F3925)),"Wert fehlt; ",IF(F3925&lt;=0,"Wert ist 0; ",""))&amp;IF(NOT(ISNUMBER(E3925)),"Bestand fehlt; ",IF(E3925&lt;0,"Bestand negativ; ",IF(E3925=0,"Nullbestand; ","")))&amp;IF(D3925="","Warengruppe fehlt; ","")&amp;IF(B3925="","Bezeichnung fehlt; ","")&amp;IF(COUNTIFS($A$2:$A$5001,$A3925,$C$2:$C$5001,C3925)&gt;1,"Artikel doppelt im selben Lager; ",""))</f>
        <v/>
      </c>
      <c r="P3925" s="47" t="n">
        <f aca="false">IF(OR($A3925="",D3925=""),0,IF(COUNTIF($D$2:D3925,D3925)=1,SUMIF($D$2:$D$5001,D3925,$H$2:$H$5001)+ROW()/10000000,0))</f>
        <v>0</v>
      </c>
      <c r="Q3925" s="47" t="n">
        <f aca="false">IF(OR($A3925="",C3925=""),0,IF(COUNTIF($C$2:C3925,C3925)=1,SUMIF($C$2:$C$5001,C3925,$H$2:$H$5001)+ROW()/10000000,0))</f>
        <v>0</v>
      </c>
    </row>
    <row r="3926" customFormat="false" ht="15" hidden="false" customHeight="false" outlineLevel="0" collapsed="false">
      <c r="A3926" s="43"/>
      <c r="B3926" s="44"/>
      <c r="C3926" s="44"/>
      <c r="D3926" s="44"/>
      <c r="E3926" s="44"/>
      <c r="F3926" s="44"/>
      <c r="G3926" s="44"/>
      <c r="H3926" s="46" t="str">
        <f aca="false">IF($A3926="","",IF(OR(NOT(ISNUMBER(E3926)),NOT(ISNUMBER(F3926))),"",MAX(0,E3926)*F3926))</f>
        <v/>
      </c>
      <c r="I3926" s="46" t="str">
        <f aca="false">IF($A3926="","",SUMIF($A$2:$A$5001,$A3926,$H$2:$H$5001))</f>
        <v/>
      </c>
      <c r="J3926" s="47" t="n">
        <f aca="false">IF($A3926="",0,IF(COUNTIF($A$2:A3926,$A3926)=1,1,0))</f>
        <v>0</v>
      </c>
      <c r="K3926" s="47" t="n">
        <f aca="false">IF(J3926=1,N(I3926)+ROW()/10000000,0)</f>
        <v>0</v>
      </c>
      <c r="L3926" s="47" t="str">
        <f aca="false">IF(AND(J3926=1,N(I3926)&gt;0),SUMIF($K$2:$K$5001,"&gt;="&amp;K3926,$I$2:$I$5001)/MAX(1,SUM($H$2:$H$5001)),"")</f>
        <v/>
      </c>
      <c r="M3926" s="47" t="str">
        <f aca="false">IF($A3926="","",INDEX($L$2:$L$5001,MATCH($A3926,$A$2:$A$5001,0)))</f>
        <v/>
      </c>
      <c r="N3926" s="48" t="str">
        <f aca="false">IF($A3926="","",IF(N(M3926)=0,"–",IF(M3926&lt;=Start!$D$20,"A",IF(M3926&lt;=Start!$D$21,"B","C"))))</f>
        <v/>
      </c>
      <c r="O3926" s="48" t="str">
        <f aca="false">IF($A3926="","",IF(NOT(ISNUMBER(F3926)),"Wert fehlt; ",IF(F3926&lt;=0,"Wert ist 0; ",""))&amp;IF(NOT(ISNUMBER(E3926)),"Bestand fehlt; ",IF(E3926&lt;0,"Bestand negativ; ",IF(E3926=0,"Nullbestand; ","")))&amp;IF(D3926="","Warengruppe fehlt; ","")&amp;IF(B3926="","Bezeichnung fehlt; ","")&amp;IF(COUNTIFS($A$2:$A$5001,$A3926,$C$2:$C$5001,C3926)&gt;1,"Artikel doppelt im selben Lager; ",""))</f>
        <v/>
      </c>
      <c r="P3926" s="47" t="n">
        <f aca="false">IF(OR($A3926="",D3926=""),0,IF(COUNTIF($D$2:D3926,D3926)=1,SUMIF($D$2:$D$5001,D3926,$H$2:$H$5001)+ROW()/10000000,0))</f>
        <v>0</v>
      </c>
      <c r="Q3926" s="47" t="n">
        <f aca="false">IF(OR($A3926="",C3926=""),0,IF(COUNTIF($C$2:C3926,C3926)=1,SUMIF($C$2:$C$5001,C3926,$H$2:$H$5001)+ROW()/10000000,0))</f>
        <v>0</v>
      </c>
    </row>
    <row r="3927" customFormat="false" ht="15" hidden="false" customHeight="false" outlineLevel="0" collapsed="false">
      <c r="A3927" s="43"/>
      <c r="B3927" s="44"/>
      <c r="C3927" s="44"/>
      <c r="D3927" s="44"/>
      <c r="E3927" s="44"/>
      <c r="F3927" s="44"/>
      <c r="G3927" s="44"/>
      <c r="H3927" s="46" t="str">
        <f aca="false">IF($A3927="","",IF(OR(NOT(ISNUMBER(E3927)),NOT(ISNUMBER(F3927))),"",MAX(0,E3927)*F3927))</f>
        <v/>
      </c>
      <c r="I3927" s="46" t="str">
        <f aca="false">IF($A3927="","",SUMIF($A$2:$A$5001,$A3927,$H$2:$H$5001))</f>
        <v/>
      </c>
      <c r="J3927" s="47" t="n">
        <f aca="false">IF($A3927="",0,IF(COUNTIF($A$2:A3927,$A3927)=1,1,0))</f>
        <v>0</v>
      </c>
      <c r="K3927" s="47" t="n">
        <f aca="false">IF(J3927=1,N(I3927)+ROW()/10000000,0)</f>
        <v>0</v>
      </c>
      <c r="L3927" s="47" t="str">
        <f aca="false">IF(AND(J3927=1,N(I3927)&gt;0),SUMIF($K$2:$K$5001,"&gt;="&amp;K3927,$I$2:$I$5001)/MAX(1,SUM($H$2:$H$5001)),"")</f>
        <v/>
      </c>
      <c r="M3927" s="47" t="str">
        <f aca="false">IF($A3927="","",INDEX($L$2:$L$5001,MATCH($A3927,$A$2:$A$5001,0)))</f>
        <v/>
      </c>
      <c r="N3927" s="48" t="str">
        <f aca="false">IF($A3927="","",IF(N(M3927)=0,"–",IF(M3927&lt;=Start!$D$20,"A",IF(M3927&lt;=Start!$D$21,"B","C"))))</f>
        <v/>
      </c>
      <c r="O3927" s="48" t="str">
        <f aca="false">IF($A3927="","",IF(NOT(ISNUMBER(F3927)),"Wert fehlt; ",IF(F3927&lt;=0,"Wert ist 0; ",""))&amp;IF(NOT(ISNUMBER(E3927)),"Bestand fehlt; ",IF(E3927&lt;0,"Bestand negativ; ",IF(E3927=0,"Nullbestand; ","")))&amp;IF(D3927="","Warengruppe fehlt; ","")&amp;IF(B3927="","Bezeichnung fehlt; ","")&amp;IF(COUNTIFS($A$2:$A$5001,$A3927,$C$2:$C$5001,C3927)&gt;1,"Artikel doppelt im selben Lager; ",""))</f>
        <v/>
      </c>
      <c r="P3927" s="47" t="n">
        <f aca="false">IF(OR($A3927="",D3927=""),0,IF(COUNTIF($D$2:D3927,D3927)=1,SUMIF($D$2:$D$5001,D3927,$H$2:$H$5001)+ROW()/10000000,0))</f>
        <v>0</v>
      </c>
      <c r="Q3927" s="47" t="n">
        <f aca="false">IF(OR($A3927="",C3927=""),0,IF(COUNTIF($C$2:C3927,C3927)=1,SUMIF($C$2:$C$5001,C3927,$H$2:$H$5001)+ROW()/10000000,0))</f>
        <v>0</v>
      </c>
    </row>
    <row r="3928" customFormat="false" ht="15" hidden="false" customHeight="false" outlineLevel="0" collapsed="false">
      <c r="A3928" s="43"/>
      <c r="B3928" s="44"/>
      <c r="C3928" s="44"/>
      <c r="D3928" s="44"/>
      <c r="E3928" s="44"/>
      <c r="F3928" s="44"/>
      <c r="G3928" s="44"/>
      <c r="H3928" s="46" t="str">
        <f aca="false">IF($A3928="","",IF(OR(NOT(ISNUMBER(E3928)),NOT(ISNUMBER(F3928))),"",MAX(0,E3928)*F3928))</f>
        <v/>
      </c>
      <c r="I3928" s="46" t="str">
        <f aca="false">IF($A3928="","",SUMIF($A$2:$A$5001,$A3928,$H$2:$H$5001))</f>
        <v/>
      </c>
      <c r="J3928" s="47" t="n">
        <f aca="false">IF($A3928="",0,IF(COUNTIF($A$2:A3928,$A3928)=1,1,0))</f>
        <v>0</v>
      </c>
      <c r="K3928" s="47" t="n">
        <f aca="false">IF(J3928=1,N(I3928)+ROW()/10000000,0)</f>
        <v>0</v>
      </c>
      <c r="L3928" s="47" t="str">
        <f aca="false">IF(AND(J3928=1,N(I3928)&gt;0),SUMIF($K$2:$K$5001,"&gt;="&amp;K3928,$I$2:$I$5001)/MAX(1,SUM($H$2:$H$5001)),"")</f>
        <v/>
      </c>
      <c r="M3928" s="47" t="str">
        <f aca="false">IF($A3928="","",INDEX($L$2:$L$5001,MATCH($A3928,$A$2:$A$5001,0)))</f>
        <v/>
      </c>
      <c r="N3928" s="48" t="str">
        <f aca="false">IF($A3928="","",IF(N(M3928)=0,"–",IF(M3928&lt;=Start!$D$20,"A",IF(M3928&lt;=Start!$D$21,"B","C"))))</f>
        <v/>
      </c>
      <c r="O3928" s="48" t="str">
        <f aca="false">IF($A3928="","",IF(NOT(ISNUMBER(F3928)),"Wert fehlt; ",IF(F3928&lt;=0,"Wert ist 0; ",""))&amp;IF(NOT(ISNUMBER(E3928)),"Bestand fehlt; ",IF(E3928&lt;0,"Bestand negativ; ",IF(E3928=0,"Nullbestand; ","")))&amp;IF(D3928="","Warengruppe fehlt; ","")&amp;IF(B3928="","Bezeichnung fehlt; ","")&amp;IF(COUNTIFS($A$2:$A$5001,$A3928,$C$2:$C$5001,C3928)&gt;1,"Artikel doppelt im selben Lager; ",""))</f>
        <v/>
      </c>
      <c r="P3928" s="47" t="n">
        <f aca="false">IF(OR($A3928="",D3928=""),0,IF(COUNTIF($D$2:D3928,D3928)=1,SUMIF($D$2:$D$5001,D3928,$H$2:$H$5001)+ROW()/10000000,0))</f>
        <v>0</v>
      </c>
      <c r="Q3928" s="47" t="n">
        <f aca="false">IF(OR($A3928="",C3928=""),0,IF(COUNTIF($C$2:C3928,C3928)=1,SUMIF($C$2:$C$5001,C3928,$H$2:$H$5001)+ROW()/10000000,0))</f>
        <v>0</v>
      </c>
    </row>
    <row r="3929" customFormat="false" ht="15" hidden="false" customHeight="false" outlineLevel="0" collapsed="false">
      <c r="A3929" s="43"/>
      <c r="B3929" s="44"/>
      <c r="C3929" s="44"/>
      <c r="D3929" s="44"/>
      <c r="E3929" s="44"/>
      <c r="F3929" s="44"/>
      <c r="G3929" s="44"/>
      <c r="H3929" s="46" t="str">
        <f aca="false">IF($A3929="","",IF(OR(NOT(ISNUMBER(E3929)),NOT(ISNUMBER(F3929))),"",MAX(0,E3929)*F3929))</f>
        <v/>
      </c>
      <c r="I3929" s="46" t="str">
        <f aca="false">IF($A3929="","",SUMIF($A$2:$A$5001,$A3929,$H$2:$H$5001))</f>
        <v/>
      </c>
      <c r="J3929" s="47" t="n">
        <f aca="false">IF($A3929="",0,IF(COUNTIF($A$2:A3929,$A3929)=1,1,0))</f>
        <v>0</v>
      </c>
      <c r="K3929" s="47" t="n">
        <f aca="false">IF(J3929=1,N(I3929)+ROW()/10000000,0)</f>
        <v>0</v>
      </c>
      <c r="L3929" s="47" t="str">
        <f aca="false">IF(AND(J3929=1,N(I3929)&gt;0),SUMIF($K$2:$K$5001,"&gt;="&amp;K3929,$I$2:$I$5001)/MAX(1,SUM($H$2:$H$5001)),"")</f>
        <v/>
      </c>
      <c r="M3929" s="47" t="str">
        <f aca="false">IF($A3929="","",INDEX($L$2:$L$5001,MATCH($A3929,$A$2:$A$5001,0)))</f>
        <v/>
      </c>
      <c r="N3929" s="48" t="str">
        <f aca="false">IF($A3929="","",IF(N(M3929)=0,"–",IF(M3929&lt;=Start!$D$20,"A",IF(M3929&lt;=Start!$D$21,"B","C"))))</f>
        <v/>
      </c>
      <c r="O3929" s="48" t="str">
        <f aca="false">IF($A3929="","",IF(NOT(ISNUMBER(F3929)),"Wert fehlt; ",IF(F3929&lt;=0,"Wert ist 0; ",""))&amp;IF(NOT(ISNUMBER(E3929)),"Bestand fehlt; ",IF(E3929&lt;0,"Bestand negativ; ",IF(E3929=0,"Nullbestand; ","")))&amp;IF(D3929="","Warengruppe fehlt; ","")&amp;IF(B3929="","Bezeichnung fehlt; ","")&amp;IF(COUNTIFS($A$2:$A$5001,$A3929,$C$2:$C$5001,C3929)&gt;1,"Artikel doppelt im selben Lager; ",""))</f>
        <v/>
      </c>
      <c r="P3929" s="47" t="n">
        <f aca="false">IF(OR($A3929="",D3929=""),0,IF(COUNTIF($D$2:D3929,D3929)=1,SUMIF($D$2:$D$5001,D3929,$H$2:$H$5001)+ROW()/10000000,0))</f>
        <v>0</v>
      </c>
      <c r="Q3929" s="47" t="n">
        <f aca="false">IF(OR($A3929="",C3929=""),0,IF(COUNTIF($C$2:C3929,C3929)=1,SUMIF($C$2:$C$5001,C3929,$H$2:$H$5001)+ROW()/10000000,0))</f>
        <v>0</v>
      </c>
    </row>
    <row r="3930" customFormat="false" ht="15" hidden="false" customHeight="false" outlineLevel="0" collapsed="false">
      <c r="A3930" s="43"/>
      <c r="B3930" s="44"/>
      <c r="C3930" s="44"/>
      <c r="D3930" s="44"/>
      <c r="E3930" s="44"/>
      <c r="F3930" s="44"/>
      <c r="G3930" s="44"/>
      <c r="H3930" s="46" t="str">
        <f aca="false">IF($A3930="","",IF(OR(NOT(ISNUMBER(E3930)),NOT(ISNUMBER(F3930))),"",MAX(0,E3930)*F3930))</f>
        <v/>
      </c>
      <c r="I3930" s="46" t="str">
        <f aca="false">IF($A3930="","",SUMIF($A$2:$A$5001,$A3930,$H$2:$H$5001))</f>
        <v/>
      </c>
      <c r="J3930" s="47" t="n">
        <f aca="false">IF($A3930="",0,IF(COUNTIF($A$2:A3930,$A3930)=1,1,0))</f>
        <v>0</v>
      </c>
      <c r="K3930" s="47" t="n">
        <f aca="false">IF(J3930=1,N(I3930)+ROW()/10000000,0)</f>
        <v>0</v>
      </c>
      <c r="L3930" s="47" t="str">
        <f aca="false">IF(AND(J3930=1,N(I3930)&gt;0),SUMIF($K$2:$K$5001,"&gt;="&amp;K3930,$I$2:$I$5001)/MAX(1,SUM($H$2:$H$5001)),"")</f>
        <v/>
      </c>
      <c r="M3930" s="47" t="str">
        <f aca="false">IF($A3930="","",INDEX($L$2:$L$5001,MATCH($A3930,$A$2:$A$5001,0)))</f>
        <v/>
      </c>
      <c r="N3930" s="48" t="str">
        <f aca="false">IF($A3930="","",IF(N(M3930)=0,"–",IF(M3930&lt;=Start!$D$20,"A",IF(M3930&lt;=Start!$D$21,"B","C"))))</f>
        <v/>
      </c>
      <c r="O3930" s="48" t="str">
        <f aca="false">IF($A3930="","",IF(NOT(ISNUMBER(F3930)),"Wert fehlt; ",IF(F3930&lt;=0,"Wert ist 0; ",""))&amp;IF(NOT(ISNUMBER(E3930)),"Bestand fehlt; ",IF(E3930&lt;0,"Bestand negativ; ",IF(E3930=0,"Nullbestand; ","")))&amp;IF(D3930="","Warengruppe fehlt; ","")&amp;IF(B3930="","Bezeichnung fehlt; ","")&amp;IF(COUNTIFS($A$2:$A$5001,$A3930,$C$2:$C$5001,C3930)&gt;1,"Artikel doppelt im selben Lager; ",""))</f>
        <v/>
      </c>
      <c r="P3930" s="47" t="n">
        <f aca="false">IF(OR($A3930="",D3930=""),0,IF(COUNTIF($D$2:D3930,D3930)=1,SUMIF($D$2:$D$5001,D3930,$H$2:$H$5001)+ROW()/10000000,0))</f>
        <v>0</v>
      </c>
      <c r="Q3930" s="47" t="n">
        <f aca="false">IF(OR($A3930="",C3930=""),0,IF(COUNTIF($C$2:C3930,C3930)=1,SUMIF($C$2:$C$5001,C3930,$H$2:$H$5001)+ROW()/10000000,0))</f>
        <v>0</v>
      </c>
    </row>
    <row r="3931" customFormat="false" ht="15" hidden="false" customHeight="false" outlineLevel="0" collapsed="false">
      <c r="A3931" s="43"/>
      <c r="B3931" s="44"/>
      <c r="C3931" s="44"/>
      <c r="D3931" s="44"/>
      <c r="E3931" s="44"/>
      <c r="F3931" s="44"/>
      <c r="G3931" s="44"/>
      <c r="H3931" s="46" t="str">
        <f aca="false">IF($A3931="","",IF(OR(NOT(ISNUMBER(E3931)),NOT(ISNUMBER(F3931))),"",MAX(0,E3931)*F3931))</f>
        <v/>
      </c>
      <c r="I3931" s="46" t="str">
        <f aca="false">IF($A3931="","",SUMIF($A$2:$A$5001,$A3931,$H$2:$H$5001))</f>
        <v/>
      </c>
      <c r="J3931" s="47" t="n">
        <f aca="false">IF($A3931="",0,IF(COUNTIF($A$2:A3931,$A3931)=1,1,0))</f>
        <v>0</v>
      </c>
      <c r="K3931" s="47" t="n">
        <f aca="false">IF(J3931=1,N(I3931)+ROW()/10000000,0)</f>
        <v>0</v>
      </c>
      <c r="L3931" s="47" t="str">
        <f aca="false">IF(AND(J3931=1,N(I3931)&gt;0),SUMIF($K$2:$K$5001,"&gt;="&amp;K3931,$I$2:$I$5001)/MAX(1,SUM($H$2:$H$5001)),"")</f>
        <v/>
      </c>
      <c r="M3931" s="47" t="str">
        <f aca="false">IF($A3931="","",INDEX($L$2:$L$5001,MATCH($A3931,$A$2:$A$5001,0)))</f>
        <v/>
      </c>
      <c r="N3931" s="48" t="str">
        <f aca="false">IF($A3931="","",IF(N(M3931)=0,"–",IF(M3931&lt;=Start!$D$20,"A",IF(M3931&lt;=Start!$D$21,"B","C"))))</f>
        <v/>
      </c>
      <c r="O3931" s="48" t="str">
        <f aca="false">IF($A3931="","",IF(NOT(ISNUMBER(F3931)),"Wert fehlt; ",IF(F3931&lt;=0,"Wert ist 0; ",""))&amp;IF(NOT(ISNUMBER(E3931)),"Bestand fehlt; ",IF(E3931&lt;0,"Bestand negativ; ",IF(E3931=0,"Nullbestand; ","")))&amp;IF(D3931="","Warengruppe fehlt; ","")&amp;IF(B3931="","Bezeichnung fehlt; ","")&amp;IF(COUNTIFS($A$2:$A$5001,$A3931,$C$2:$C$5001,C3931)&gt;1,"Artikel doppelt im selben Lager; ",""))</f>
        <v/>
      </c>
      <c r="P3931" s="47" t="n">
        <f aca="false">IF(OR($A3931="",D3931=""),0,IF(COUNTIF($D$2:D3931,D3931)=1,SUMIF($D$2:$D$5001,D3931,$H$2:$H$5001)+ROW()/10000000,0))</f>
        <v>0</v>
      </c>
      <c r="Q3931" s="47" t="n">
        <f aca="false">IF(OR($A3931="",C3931=""),0,IF(COUNTIF($C$2:C3931,C3931)=1,SUMIF($C$2:$C$5001,C3931,$H$2:$H$5001)+ROW()/10000000,0))</f>
        <v>0</v>
      </c>
    </row>
    <row r="3932" customFormat="false" ht="15" hidden="false" customHeight="false" outlineLevel="0" collapsed="false">
      <c r="A3932" s="43"/>
      <c r="B3932" s="44"/>
      <c r="C3932" s="44"/>
      <c r="D3932" s="44"/>
      <c r="E3932" s="44"/>
      <c r="F3932" s="44"/>
      <c r="G3932" s="44"/>
      <c r="H3932" s="46" t="str">
        <f aca="false">IF($A3932="","",IF(OR(NOT(ISNUMBER(E3932)),NOT(ISNUMBER(F3932))),"",MAX(0,E3932)*F3932))</f>
        <v/>
      </c>
      <c r="I3932" s="46" t="str">
        <f aca="false">IF($A3932="","",SUMIF($A$2:$A$5001,$A3932,$H$2:$H$5001))</f>
        <v/>
      </c>
      <c r="J3932" s="47" t="n">
        <f aca="false">IF($A3932="",0,IF(COUNTIF($A$2:A3932,$A3932)=1,1,0))</f>
        <v>0</v>
      </c>
      <c r="K3932" s="47" t="n">
        <f aca="false">IF(J3932=1,N(I3932)+ROW()/10000000,0)</f>
        <v>0</v>
      </c>
      <c r="L3932" s="47" t="str">
        <f aca="false">IF(AND(J3932=1,N(I3932)&gt;0),SUMIF($K$2:$K$5001,"&gt;="&amp;K3932,$I$2:$I$5001)/MAX(1,SUM($H$2:$H$5001)),"")</f>
        <v/>
      </c>
      <c r="M3932" s="47" t="str">
        <f aca="false">IF($A3932="","",INDEX($L$2:$L$5001,MATCH($A3932,$A$2:$A$5001,0)))</f>
        <v/>
      </c>
      <c r="N3932" s="48" t="str">
        <f aca="false">IF($A3932="","",IF(N(M3932)=0,"–",IF(M3932&lt;=Start!$D$20,"A",IF(M3932&lt;=Start!$D$21,"B","C"))))</f>
        <v/>
      </c>
      <c r="O3932" s="48" t="str">
        <f aca="false">IF($A3932="","",IF(NOT(ISNUMBER(F3932)),"Wert fehlt; ",IF(F3932&lt;=0,"Wert ist 0; ",""))&amp;IF(NOT(ISNUMBER(E3932)),"Bestand fehlt; ",IF(E3932&lt;0,"Bestand negativ; ",IF(E3932=0,"Nullbestand; ","")))&amp;IF(D3932="","Warengruppe fehlt; ","")&amp;IF(B3932="","Bezeichnung fehlt; ","")&amp;IF(COUNTIFS($A$2:$A$5001,$A3932,$C$2:$C$5001,C3932)&gt;1,"Artikel doppelt im selben Lager; ",""))</f>
        <v/>
      </c>
      <c r="P3932" s="47" t="n">
        <f aca="false">IF(OR($A3932="",D3932=""),0,IF(COUNTIF($D$2:D3932,D3932)=1,SUMIF($D$2:$D$5001,D3932,$H$2:$H$5001)+ROW()/10000000,0))</f>
        <v>0</v>
      </c>
      <c r="Q3932" s="47" t="n">
        <f aca="false">IF(OR($A3932="",C3932=""),0,IF(COUNTIF($C$2:C3932,C3932)=1,SUMIF($C$2:$C$5001,C3932,$H$2:$H$5001)+ROW()/10000000,0))</f>
        <v>0</v>
      </c>
    </row>
    <row r="3933" customFormat="false" ht="15" hidden="false" customHeight="false" outlineLevel="0" collapsed="false">
      <c r="A3933" s="43"/>
      <c r="B3933" s="44"/>
      <c r="C3933" s="44"/>
      <c r="D3933" s="44"/>
      <c r="E3933" s="44"/>
      <c r="F3933" s="44"/>
      <c r="G3933" s="44"/>
      <c r="H3933" s="46" t="str">
        <f aca="false">IF($A3933="","",IF(OR(NOT(ISNUMBER(E3933)),NOT(ISNUMBER(F3933))),"",MAX(0,E3933)*F3933))</f>
        <v/>
      </c>
      <c r="I3933" s="46" t="str">
        <f aca="false">IF($A3933="","",SUMIF($A$2:$A$5001,$A3933,$H$2:$H$5001))</f>
        <v/>
      </c>
      <c r="J3933" s="47" t="n">
        <f aca="false">IF($A3933="",0,IF(COUNTIF($A$2:A3933,$A3933)=1,1,0))</f>
        <v>0</v>
      </c>
      <c r="K3933" s="47" t="n">
        <f aca="false">IF(J3933=1,N(I3933)+ROW()/10000000,0)</f>
        <v>0</v>
      </c>
      <c r="L3933" s="47" t="str">
        <f aca="false">IF(AND(J3933=1,N(I3933)&gt;0),SUMIF($K$2:$K$5001,"&gt;="&amp;K3933,$I$2:$I$5001)/MAX(1,SUM($H$2:$H$5001)),"")</f>
        <v/>
      </c>
      <c r="M3933" s="47" t="str">
        <f aca="false">IF($A3933="","",INDEX($L$2:$L$5001,MATCH($A3933,$A$2:$A$5001,0)))</f>
        <v/>
      </c>
      <c r="N3933" s="48" t="str">
        <f aca="false">IF($A3933="","",IF(N(M3933)=0,"–",IF(M3933&lt;=Start!$D$20,"A",IF(M3933&lt;=Start!$D$21,"B","C"))))</f>
        <v/>
      </c>
      <c r="O3933" s="48" t="str">
        <f aca="false">IF($A3933="","",IF(NOT(ISNUMBER(F3933)),"Wert fehlt; ",IF(F3933&lt;=0,"Wert ist 0; ",""))&amp;IF(NOT(ISNUMBER(E3933)),"Bestand fehlt; ",IF(E3933&lt;0,"Bestand negativ; ",IF(E3933=0,"Nullbestand; ","")))&amp;IF(D3933="","Warengruppe fehlt; ","")&amp;IF(B3933="","Bezeichnung fehlt; ","")&amp;IF(COUNTIFS($A$2:$A$5001,$A3933,$C$2:$C$5001,C3933)&gt;1,"Artikel doppelt im selben Lager; ",""))</f>
        <v/>
      </c>
      <c r="P3933" s="47" t="n">
        <f aca="false">IF(OR($A3933="",D3933=""),0,IF(COUNTIF($D$2:D3933,D3933)=1,SUMIF($D$2:$D$5001,D3933,$H$2:$H$5001)+ROW()/10000000,0))</f>
        <v>0</v>
      </c>
      <c r="Q3933" s="47" t="n">
        <f aca="false">IF(OR($A3933="",C3933=""),0,IF(COUNTIF($C$2:C3933,C3933)=1,SUMIF($C$2:$C$5001,C3933,$H$2:$H$5001)+ROW()/10000000,0))</f>
        <v>0</v>
      </c>
    </row>
    <row r="3934" customFormat="false" ht="15" hidden="false" customHeight="false" outlineLevel="0" collapsed="false">
      <c r="A3934" s="43"/>
      <c r="B3934" s="44"/>
      <c r="C3934" s="44"/>
      <c r="D3934" s="44"/>
      <c r="E3934" s="44"/>
      <c r="F3934" s="44"/>
      <c r="G3934" s="44"/>
      <c r="H3934" s="46" t="str">
        <f aca="false">IF($A3934="","",IF(OR(NOT(ISNUMBER(E3934)),NOT(ISNUMBER(F3934))),"",MAX(0,E3934)*F3934))</f>
        <v/>
      </c>
      <c r="I3934" s="46" t="str">
        <f aca="false">IF($A3934="","",SUMIF($A$2:$A$5001,$A3934,$H$2:$H$5001))</f>
        <v/>
      </c>
      <c r="J3934" s="47" t="n">
        <f aca="false">IF($A3934="",0,IF(COUNTIF($A$2:A3934,$A3934)=1,1,0))</f>
        <v>0</v>
      </c>
      <c r="K3934" s="47" t="n">
        <f aca="false">IF(J3934=1,N(I3934)+ROW()/10000000,0)</f>
        <v>0</v>
      </c>
      <c r="L3934" s="47" t="str">
        <f aca="false">IF(AND(J3934=1,N(I3934)&gt;0),SUMIF($K$2:$K$5001,"&gt;="&amp;K3934,$I$2:$I$5001)/MAX(1,SUM($H$2:$H$5001)),"")</f>
        <v/>
      </c>
      <c r="M3934" s="47" t="str">
        <f aca="false">IF($A3934="","",INDEX($L$2:$L$5001,MATCH($A3934,$A$2:$A$5001,0)))</f>
        <v/>
      </c>
      <c r="N3934" s="48" t="str">
        <f aca="false">IF($A3934="","",IF(N(M3934)=0,"–",IF(M3934&lt;=Start!$D$20,"A",IF(M3934&lt;=Start!$D$21,"B","C"))))</f>
        <v/>
      </c>
      <c r="O3934" s="48" t="str">
        <f aca="false">IF($A3934="","",IF(NOT(ISNUMBER(F3934)),"Wert fehlt; ",IF(F3934&lt;=0,"Wert ist 0; ",""))&amp;IF(NOT(ISNUMBER(E3934)),"Bestand fehlt; ",IF(E3934&lt;0,"Bestand negativ; ",IF(E3934=0,"Nullbestand; ","")))&amp;IF(D3934="","Warengruppe fehlt; ","")&amp;IF(B3934="","Bezeichnung fehlt; ","")&amp;IF(COUNTIFS($A$2:$A$5001,$A3934,$C$2:$C$5001,C3934)&gt;1,"Artikel doppelt im selben Lager; ",""))</f>
        <v/>
      </c>
      <c r="P3934" s="47" t="n">
        <f aca="false">IF(OR($A3934="",D3934=""),0,IF(COUNTIF($D$2:D3934,D3934)=1,SUMIF($D$2:$D$5001,D3934,$H$2:$H$5001)+ROW()/10000000,0))</f>
        <v>0</v>
      </c>
      <c r="Q3934" s="47" t="n">
        <f aca="false">IF(OR($A3934="",C3934=""),0,IF(COUNTIF($C$2:C3934,C3934)=1,SUMIF($C$2:$C$5001,C3934,$H$2:$H$5001)+ROW()/10000000,0))</f>
        <v>0</v>
      </c>
    </row>
    <row r="3935" customFormat="false" ht="15" hidden="false" customHeight="false" outlineLevel="0" collapsed="false">
      <c r="A3935" s="43"/>
      <c r="B3935" s="44"/>
      <c r="C3935" s="44"/>
      <c r="D3935" s="44"/>
      <c r="E3935" s="44"/>
      <c r="F3935" s="44"/>
      <c r="G3935" s="44"/>
      <c r="H3935" s="46" t="str">
        <f aca="false">IF($A3935="","",IF(OR(NOT(ISNUMBER(E3935)),NOT(ISNUMBER(F3935))),"",MAX(0,E3935)*F3935))</f>
        <v/>
      </c>
      <c r="I3935" s="46" t="str">
        <f aca="false">IF($A3935="","",SUMIF($A$2:$A$5001,$A3935,$H$2:$H$5001))</f>
        <v/>
      </c>
      <c r="J3935" s="47" t="n">
        <f aca="false">IF($A3935="",0,IF(COUNTIF($A$2:A3935,$A3935)=1,1,0))</f>
        <v>0</v>
      </c>
      <c r="K3935" s="47" t="n">
        <f aca="false">IF(J3935=1,N(I3935)+ROW()/10000000,0)</f>
        <v>0</v>
      </c>
      <c r="L3935" s="47" t="str">
        <f aca="false">IF(AND(J3935=1,N(I3935)&gt;0),SUMIF($K$2:$K$5001,"&gt;="&amp;K3935,$I$2:$I$5001)/MAX(1,SUM($H$2:$H$5001)),"")</f>
        <v/>
      </c>
      <c r="M3935" s="47" t="str">
        <f aca="false">IF($A3935="","",INDEX($L$2:$L$5001,MATCH($A3935,$A$2:$A$5001,0)))</f>
        <v/>
      </c>
      <c r="N3935" s="48" t="str">
        <f aca="false">IF($A3935="","",IF(N(M3935)=0,"–",IF(M3935&lt;=Start!$D$20,"A",IF(M3935&lt;=Start!$D$21,"B","C"))))</f>
        <v/>
      </c>
      <c r="O3935" s="48" t="str">
        <f aca="false">IF($A3935="","",IF(NOT(ISNUMBER(F3935)),"Wert fehlt; ",IF(F3935&lt;=0,"Wert ist 0; ",""))&amp;IF(NOT(ISNUMBER(E3935)),"Bestand fehlt; ",IF(E3935&lt;0,"Bestand negativ; ",IF(E3935=0,"Nullbestand; ","")))&amp;IF(D3935="","Warengruppe fehlt; ","")&amp;IF(B3935="","Bezeichnung fehlt; ","")&amp;IF(COUNTIFS($A$2:$A$5001,$A3935,$C$2:$C$5001,C3935)&gt;1,"Artikel doppelt im selben Lager; ",""))</f>
        <v/>
      </c>
      <c r="P3935" s="47" t="n">
        <f aca="false">IF(OR($A3935="",D3935=""),0,IF(COUNTIF($D$2:D3935,D3935)=1,SUMIF($D$2:$D$5001,D3935,$H$2:$H$5001)+ROW()/10000000,0))</f>
        <v>0</v>
      </c>
      <c r="Q3935" s="47" t="n">
        <f aca="false">IF(OR($A3935="",C3935=""),0,IF(COUNTIF($C$2:C3935,C3935)=1,SUMIF($C$2:$C$5001,C3935,$H$2:$H$5001)+ROW()/10000000,0))</f>
        <v>0</v>
      </c>
    </row>
    <row r="3936" customFormat="false" ht="15" hidden="false" customHeight="false" outlineLevel="0" collapsed="false">
      <c r="A3936" s="43"/>
      <c r="B3936" s="44"/>
      <c r="C3936" s="44"/>
      <c r="D3936" s="44"/>
      <c r="E3936" s="44"/>
      <c r="F3936" s="44"/>
      <c r="G3936" s="44"/>
      <c r="H3936" s="46" t="str">
        <f aca="false">IF($A3936="","",IF(OR(NOT(ISNUMBER(E3936)),NOT(ISNUMBER(F3936))),"",MAX(0,E3936)*F3936))</f>
        <v/>
      </c>
      <c r="I3936" s="46" t="str">
        <f aca="false">IF($A3936="","",SUMIF($A$2:$A$5001,$A3936,$H$2:$H$5001))</f>
        <v/>
      </c>
      <c r="J3936" s="47" t="n">
        <f aca="false">IF($A3936="",0,IF(COUNTIF($A$2:A3936,$A3936)=1,1,0))</f>
        <v>0</v>
      </c>
      <c r="K3936" s="47" t="n">
        <f aca="false">IF(J3936=1,N(I3936)+ROW()/10000000,0)</f>
        <v>0</v>
      </c>
      <c r="L3936" s="47" t="str">
        <f aca="false">IF(AND(J3936=1,N(I3936)&gt;0),SUMIF($K$2:$K$5001,"&gt;="&amp;K3936,$I$2:$I$5001)/MAX(1,SUM($H$2:$H$5001)),"")</f>
        <v/>
      </c>
      <c r="M3936" s="47" t="str">
        <f aca="false">IF($A3936="","",INDEX($L$2:$L$5001,MATCH($A3936,$A$2:$A$5001,0)))</f>
        <v/>
      </c>
      <c r="N3936" s="48" t="str">
        <f aca="false">IF($A3936="","",IF(N(M3936)=0,"–",IF(M3936&lt;=Start!$D$20,"A",IF(M3936&lt;=Start!$D$21,"B","C"))))</f>
        <v/>
      </c>
      <c r="O3936" s="48" t="str">
        <f aca="false">IF($A3936="","",IF(NOT(ISNUMBER(F3936)),"Wert fehlt; ",IF(F3936&lt;=0,"Wert ist 0; ",""))&amp;IF(NOT(ISNUMBER(E3936)),"Bestand fehlt; ",IF(E3936&lt;0,"Bestand negativ; ",IF(E3936=0,"Nullbestand; ","")))&amp;IF(D3936="","Warengruppe fehlt; ","")&amp;IF(B3936="","Bezeichnung fehlt; ","")&amp;IF(COUNTIFS($A$2:$A$5001,$A3936,$C$2:$C$5001,C3936)&gt;1,"Artikel doppelt im selben Lager; ",""))</f>
        <v/>
      </c>
      <c r="P3936" s="47" t="n">
        <f aca="false">IF(OR($A3936="",D3936=""),0,IF(COUNTIF($D$2:D3936,D3936)=1,SUMIF($D$2:$D$5001,D3936,$H$2:$H$5001)+ROW()/10000000,0))</f>
        <v>0</v>
      </c>
      <c r="Q3936" s="47" t="n">
        <f aca="false">IF(OR($A3936="",C3936=""),0,IF(COUNTIF($C$2:C3936,C3936)=1,SUMIF($C$2:$C$5001,C3936,$H$2:$H$5001)+ROW()/10000000,0))</f>
        <v>0</v>
      </c>
    </row>
    <row r="3937" customFormat="false" ht="15" hidden="false" customHeight="false" outlineLevel="0" collapsed="false">
      <c r="A3937" s="43"/>
      <c r="B3937" s="44"/>
      <c r="C3937" s="44"/>
      <c r="D3937" s="44"/>
      <c r="E3937" s="44"/>
      <c r="F3937" s="44"/>
      <c r="G3937" s="44"/>
      <c r="H3937" s="46" t="str">
        <f aca="false">IF($A3937="","",IF(OR(NOT(ISNUMBER(E3937)),NOT(ISNUMBER(F3937))),"",MAX(0,E3937)*F3937))</f>
        <v/>
      </c>
      <c r="I3937" s="46" t="str">
        <f aca="false">IF($A3937="","",SUMIF($A$2:$A$5001,$A3937,$H$2:$H$5001))</f>
        <v/>
      </c>
      <c r="J3937" s="47" t="n">
        <f aca="false">IF($A3937="",0,IF(COUNTIF($A$2:A3937,$A3937)=1,1,0))</f>
        <v>0</v>
      </c>
      <c r="K3937" s="47" t="n">
        <f aca="false">IF(J3937=1,N(I3937)+ROW()/10000000,0)</f>
        <v>0</v>
      </c>
      <c r="L3937" s="47" t="str">
        <f aca="false">IF(AND(J3937=1,N(I3937)&gt;0),SUMIF($K$2:$K$5001,"&gt;="&amp;K3937,$I$2:$I$5001)/MAX(1,SUM($H$2:$H$5001)),"")</f>
        <v/>
      </c>
      <c r="M3937" s="47" t="str">
        <f aca="false">IF($A3937="","",INDEX($L$2:$L$5001,MATCH($A3937,$A$2:$A$5001,0)))</f>
        <v/>
      </c>
      <c r="N3937" s="48" t="str">
        <f aca="false">IF($A3937="","",IF(N(M3937)=0,"–",IF(M3937&lt;=Start!$D$20,"A",IF(M3937&lt;=Start!$D$21,"B","C"))))</f>
        <v/>
      </c>
      <c r="O3937" s="48" t="str">
        <f aca="false">IF($A3937="","",IF(NOT(ISNUMBER(F3937)),"Wert fehlt; ",IF(F3937&lt;=0,"Wert ist 0; ",""))&amp;IF(NOT(ISNUMBER(E3937)),"Bestand fehlt; ",IF(E3937&lt;0,"Bestand negativ; ",IF(E3937=0,"Nullbestand; ","")))&amp;IF(D3937="","Warengruppe fehlt; ","")&amp;IF(B3937="","Bezeichnung fehlt; ","")&amp;IF(COUNTIFS($A$2:$A$5001,$A3937,$C$2:$C$5001,C3937)&gt;1,"Artikel doppelt im selben Lager; ",""))</f>
        <v/>
      </c>
      <c r="P3937" s="47" t="n">
        <f aca="false">IF(OR($A3937="",D3937=""),0,IF(COUNTIF($D$2:D3937,D3937)=1,SUMIF($D$2:$D$5001,D3937,$H$2:$H$5001)+ROW()/10000000,0))</f>
        <v>0</v>
      </c>
      <c r="Q3937" s="47" t="n">
        <f aca="false">IF(OR($A3937="",C3937=""),0,IF(COUNTIF($C$2:C3937,C3937)=1,SUMIF($C$2:$C$5001,C3937,$H$2:$H$5001)+ROW()/10000000,0))</f>
        <v>0</v>
      </c>
    </row>
    <row r="3938" customFormat="false" ht="15" hidden="false" customHeight="false" outlineLevel="0" collapsed="false">
      <c r="A3938" s="43"/>
      <c r="B3938" s="44"/>
      <c r="C3938" s="44"/>
      <c r="D3938" s="44"/>
      <c r="E3938" s="44"/>
      <c r="F3938" s="44"/>
      <c r="G3938" s="44"/>
      <c r="H3938" s="46" t="str">
        <f aca="false">IF($A3938="","",IF(OR(NOT(ISNUMBER(E3938)),NOT(ISNUMBER(F3938))),"",MAX(0,E3938)*F3938))</f>
        <v/>
      </c>
      <c r="I3938" s="46" t="str">
        <f aca="false">IF($A3938="","",SUMIF($A$2:$A$5001,$A3938,$H$2:$H$5001))</f>
        <v/>
      </c>
      <c r="J3938" s="47" t="n">
        <f aca="false">IF($A3938="",0,IF(COUNTIF($A$2:A3938,$A3938)=1,1,0))</f>
        <v>0</v>
      </c>
      <c r="K3938" s="47" t="n">
        <f aca="false">IF(J3938=1,N(I3938)+ROW()/10000000,0)</f>
        <v>0</v>
      </c>
      <c r="L3938" s="47" t="str">
        <f aca="false">IF(AND(J3938=1,N(I3938)&gt;0),SUMIF($K$2:$K$5001,"&gt;="&amp;K3938,$I$2:$I$5001)/MAX(1,SUM($H$2:$H$5001)),"")</f>
        <v/>
      </c>
      <c r="M3938" s="47" t="str">
        <f aca="false">IF($A3938="","",INDEX($L$2:$L$5001,MATCH($A3938,$A$2:$A$5001,0)))</f>
        <v/>
      </c>
      <c r="N3938" s="48" t="str">
        <f aca="false">IF($A3938="","",IF(N(M3938)=0,"–",IF(M3938&lt;=Start!$D$20,"A",IF(M3938&lt;=Start!$D$21,"B","C"))))</f>
        <v/>
      </c>
      <c r="O3938" s="48" t="str">
        <f aca="false">IF($A3938="","",IF(NOT(ISNUMBER(F3938)),"Wert fehlt; ",IF(F3938&lt;=0,"Wert ist 0; ",""))&amp;IF(NOT(ISNUMBER(E3938)),"Bestand fehlt; ",IF(E3938&lt;0,"Bestand negativ; ",IF(E3938=0,"Nullbestand; ","")))&amp;IF(D3938="","Warengruppe fehlt; ","")&amp;IF(B3938="","Bezeichnung fehlt; ","")&amp;IF(COUNTIFS($A$2:$A$5001,$A3938,$C$2:$C$5001,C3938)&gt;1,"Artikel doppelt im selben Lager; ",""))</f>
        <v/>
      </c>
      <c r="P3938" s="47" t="n">
        <f aca="false">IF(OR($A3938="",D3938=""),0,IF(COUNTIF($D$2:D3938,D3938)=1,SUMIF($D$2:$D$5001,D3938,$H$2:$H$5001)+ROW()/10000000,0))</f>
        <v>0</v>
      </c>
      <c r="Q3938" s="47" t="n">
        <f aca="false">IF(OR($A3938="",C3938=""),0,IF(COUNTIF($C$2:C3938,C3938)=1,SUMIF($C$2:$C$5001,C3938,$H$2:$H$5001)+ROW()/10000000,0))</f>
        <v>0</v>
      </c>
    </row>
    <row r="3939" customFormat="false" ht="15" hidden="false" customHeight="false" outlineLevel="0" collapsed="false">
      <c r="A3939" s="43"/>
      <c r="B3939" s="44"/>
      <c r="C3939" s="44"/>
      <c r="D3939" s="44"/>
      <c r="E3939" s="44"/>
      <c r="F3939" s="44"/>
      <c r="G3939" s="44"/>
      <c r="H3939" s="46" t="str">
        <f aca="false">IF($A3939="","",IF(OR(NOT(ISNUMBER(E3939)),NOT(ISNUMBER(F3939))),"",MAX(0,E3939)*F3939))</f>
        <v/>
      </c>
      <c r="I3939" s="46" t="str">
        <f aca="false">IF($A3939="","",SUMIF($A$2:$A$5001,$A3939,$H$2:$H$5001))</f>
        <v/>
      </c>
      <c r="J3939" s="47" t="n">
        <f aca="false">IF($A3939="",0,IF(COUNTIF($A$2:A3939,$A3939)=1,1,0))</f>
        <v>0</v>
      </c>
      <c r="K3939" s="47" t="n">
        <f aca="false">IF(J3939=1,N(I3939)+ROW()/10000000,0)</f>
        <v>0</v>
      </c>
      <c r="L3939" s="47" t="str">
        <f aca="false">IF(AND(J3939=1,N(I3939)&gt;0),SUMIF($K$2:$K$5001,"&gt;="&amp;K3939,$I$2:$I$5001)/MAX(1,SUM($H$2:$H$5001)),"")</f>
        <v/>
      </c>
      <c r="M3939" s="47" t="str">
        <f aca="false">IF($A3939="","",INDEX($L$2:$L$5001,MATCH($A3939,$A$2:$A$5001,0)))</f>
        <v/>
      </c>
      <c r="N3939" s="48" t="str">
        <f aca="false">IF($A3939="","",IF(N(M3939)=0,"–",IF(M3939&lt;=Start!$D$20,"A",IF(M3939&lt;=Start!$D$21,"B","C"))))</f>
        <v/>
      </c>
      <c r="O3939" s="48" t="str">
        <f aca="false">IF($A3939="","",IF(NOT(ISNUMBER(F3939)),"Wert fehlt; ",IF(F3939&lt;=0,"Wert ist 0; ",""))&amp;IF(NOT(ISNUMBER(E3939)),"Bestand fehlt; ",IF(E3939&lt;0,"Bestand negativ; ",IF(E3939=0,"Nullbestand; ","")))&amp;IF(D3939="","Warengruppe fehlt; ","")&amp;IF(B3939="","Bezeichnung fehlt; ","")&amp;IF(COUNTIFS($A$2:$A$5001,$A3939,$C$2:$C$5001,C3939)&gt;1,"Artikel doppelt im selben Lager; ",""))</f>
        <v/>
      </c>
      <c r="P3939" s="47" t="n">
        <f aca="false">IF(OR($A3939="",D3939=""),0,IF(COUNTIF($D$2:D3939,D3939)=1,SUMIF($D$2:$D$5001,D3939,$H$2:$H$5001)+ROW()/10000000,0))</f>
        <v>0</v>
      </c>
      <c r="Q3939" s="47" t="n">
        <f aca="false">IF(OR($A3939="",C3939=""),0,IF(COUNTIF($C$2:C3939,C3939)=1,SUMIF($C$2:$C$5001,C3939,$H$2:$H$5001)+ROW()/10000000,0))</f>
        <v>0</v>
      </c>
    </row>
    <row r="3940" customFormat="false" ht="15" hidden="false" customHeight="false" outlineLevel="0" collapsed="false">
      <c r="A3940" s="43"/>
      <c r="B3940" s="44"/>
      <c r="C3940" s="44"/>
      <c r="D3940" s="44"/>
      <c r="E3940" s="44"/>
      <c r="F3940" s="44"/>
      <c r="G3940" s="44"/>
      <c r="H3940" s="46" t="str">
        <f aca="false">IF($A3940="","",IF(OR(NOT(ISNUMBER(E3940)),NOT(ISNUMBER(F3940))),"",MAX(0,E3940)*F3940))</f>
        <v/>
      </c>
      <c r="I3940" s="46" t="str">
        <f aca="false">IF($A3940="","",SUMIF($A$2:$A$5001,$A3940,$H$2:$H$5001))</f>
        <v/>
      </c>
      <c r="J3940" s="47" t="n">
        <f aca="false">IF($A3940="",0,IF(COUNTIF($A$2:A3940,$A3940)=1,1,0))</f>
        <v>0</v>
      </c>
      <c r="K3940" s="47" t="n">
        <f aca="false">IF(J3940=1,N(I3940)+ROW()/10000000,0)</f>
        <v>0</v>
      </c>
      <c r="L3940" s="47" t="str">
        <f aca="false">IF(AND(J3940=1,N(I3940)&gt;0),SUMIF($K$2:$K$5001,"&gt;="&amp;K3940,$I$2:$I$5001)/MAX(1,SUM($H$2:$H$5001)),"")</f>
        <v/>
      </c>
      <c r="M3940" s="47" t="str">
        <f aca="false">IF($A3940="","",INDEX($L$2:$L$5001,MATCH($A3940,$A$2:$A$5001,0)))</f>
        <v/>
      </c>
      <c r="N3940" s="48" t="str">
        <f aca="false">IF($A3940="","",IF(N(M3940)=0,"–",IF(M3940&lt;=Start!$D$20,"A",IF(M3940&lt;=Start!$D$21,"B","C"))))</f>
        <v/>
      </c>
      <c r="O3940" s="48" t="str">
        <f aca="false">IF($A3940="","",IF(NOT(ISNUMBER(F3940)),"Wert fehlt; ",IF(F3940&lt;=0,"Wert ist 0; ",""))&amp;IF(NOT(ISNUMBER(E3940)),"Bestand fehlt; ",IF(E3940&lt;0,"Bestand negativ; ",IF(E3940=0,"Nullbestand; ","")))&amp;IF(D3940="","Warengruppe fehlt; ","")&amp;IF(B3940="","Bezeichnung fehlt; ","")&amp;IF(COUNTIFS($A$2:$A$5001,$A3940,$C$2:$C$5001,C3940)&gt;1,"Artikel doppelt im selben Lager; ",""))</f>
        <v/>
      </c>
      <c r="P3940" s="47" t="n">
        <f aca="false">IF(OR($A3940="",D3940=""),0,IF(COUNTIF($D$2:D3940,D3940)=1,SUMIF($D$2:$D$5001,D3940,$H$2:$H$5001)+ROW()/10000000,0))</f>
        <v>0</v>
      </c>
      <c r="Q3940" s="47" t="n">
        <f aca="false">IF(OR($A3940="",C3940=""),0,IF(COUNTIF($C$2:C3940,C3940)=1,SUMIF($C$2:$C$5001,C3940,$H$2:$H$5001)+ROW()/10000000,0))</f>
        <v>0</v>
      </c>
    </row>
    <row r="3941" customFormat="false" ht="15" hidden="false" customHeight="false" outlineLevel="0" collapsed="false">
      <c r="A3941" s="43"/>
      <c r="B3941" s="44"/>
      <c r="C3941" s="44"/>
      <c r="D3941" s="44"/>
      <c r="E3941" s="44"/>
      <c r="F3941" s="44"/>
      <c r="G3941" s="44"/>
      <c r="H3941" s="46" t="str">
        <f aca="false">IF($A3941="","",IF(OR(NOT(ISNUMBER(E3941)),NOT(ISNUMBER(F3941))),"",MAX(0,E3941)*F3941))</f>
        <v/>
      </c>
      <c r="I3941" s="46" t="str">
        <f aca="false">IF($A3941="","",SUMIF($A$2:$A$5001,$A3941,$H$2:$H$5001))</f>
        <v/>
      </c>
      <c r="J3941" s="47" t="n">
        <f aca="false">IF($A3941="",0,IF(COUNTIF($A$2:A3941,$A3941)=1,1,0))</f>
        <v>0</v>
      </c>
      <c r="K3941" s="47" t="n">
        <f aca="false">IF(J3941=1,N(I3941)+ROW()/10000000,0)</f>
        <v>0</v>
      </c>
      <c r="L3941" s="47" t="str">
        <f aca="false">IF(AND(J3941=1,N(I3941)&gt;0),SUMIF($K$2:$K$5001,"&gt;="&amp;K3941,$I$2:$I$5001)/MAX(1,SUM($H$2:$H$5001)),"")</f>
        <v/>
      </c>
      <c r="M3941" s="47" t="str">
        <f aca="false">IF($A3941="","",INDEX($L$2:$L$5001,MATCH($A3941,$A$2:$A$5001,0)))</f>
        <v/>
      </c>
      <c r="N3941" s="48" t="str">
        <f aca="false">IF($A3941="","",IF(N(M3941)=0,"–",IF(M3941&lt;=Start!$D$20,"A",IF(M3941&lt;=Start!$D$21,"B","C"))))</f>
        <v/>
      </c>
      <c r="O3941" s="48" t="str">
        <f aca="false">IF($A3941="","",IF(NOT(ISNUMBER(F3941)),"Wert fehlt; ",IF(F3941&lt;=0,"Wert ist 0; ",""))&amp;IF(NOT(ISNUMBER(E3941)),"Bestand fehlt; ",IF(E3941&lt;0,"Bestand negativ; ",IF(E3941=0,"Nullbestand; ","")))&amp;IF(D3941="","Warengruppe fehlt; ","")&amp;IF(B3941="","Bezeichnung fehlt; ","")&amp;IF(COUNTIFS($A$2:$A$5001,$A3941,$C$2:$C$5001,C3941)&gt;1,"Artikel doppelt im selben Lager; ",""))</f>
        <v/>
      </c>
      <c r="P3941" s="47" t="n">
        <f aca="false">IF(OR($A3941="",D3941=""),0,IF(COUNTIF($D$2:D3941,D3941)=1,SUMIF($D$2:$D$5001,D3941,$H$2:$H$5001)+ROW()/10000000,0))</f>
        <v>0</v>
      </c>
      <c r="Q3941" s="47" t="n">
        <f aca="false">IF(OR($A3941="",C3941=""),0,IF(COUNTIF($C$2:C3941,C3941)=1,SUMIF($C$2:$C$5001,C3941,$H$2:$H$5001)+ROW()/10000000,0))</f>
        <v>0</v>
      </c>
    </row>
    <row r="3942" customFormat="false" ht="15" hidden="false" customHeight="false" outlineLevel="0" collapsed="false">
      <c r="A3942" s="43"/>
      <c r="B3942" s="44"/>
      <c r="C3942" s="44"/>
      <c r="D3942" s="44"/>
      <c r="E3942" s="44"/>
      <c r="F3942" s="44"/>
      <c r="G3942" s="44"/>
      <c r="H3942" s="46" t="str">
        <f aca="false">IF($A3942="","",IF(OR(NOT(ISNUMBER(E3942)),NOT(ISNUMBER(F3942))),"",MAX(0,E3942)*F3942))</f>
        <v/>
      </c>
      <c r="I3942" s="46" t="str">
        <f aca="false">IF($A3942="","",SUMIF($A$2:$A$5001,$A3942,$H$2:$H$5001))</f>
        <v/>
      </c>
      <c r="J3942" s="47" t="n">
        <f aca="false">IF($A3942="",0,IF(COUNTIF($A$2:A3942,$A3942)=1,1,0))</f>
        <v>0</v>
      </c>
      <c r="K3942" s="47" t="n">
        <f aca="false">IF(J3942=1,N(I3942)+ROW()/10000000,0)</f>
        <v>0</v>
      </c>
      <c r="L3942" s="47" t="str">
        <f aca="false">IF(AND(J3942=1,N(I3942)&gt;0),SUMIF($K$2:$K$5001,"&gt;="&amp;K3942,$I$2:$I$5001)/MAX(1,SUM($H$2:$H$5001)),"")</f>
        <v/>
      </c>
      <c r="M3942" s="47" t="str">
        <f aca="false">IF($A3942="","",INDEX($L$2:$L$5001,MATCH($A3942,$A$2:$A$5001,0)))</f>
        <v/>
      </c>
      <c r="N3942" s="48" t="str">
        <f aca="false">IF($A3942="","",IF(N(M3942)=0,"–",IF(M3942&lt;=Start!$D$20,"A",IF(M3942&lt;=Start!$D$21,"B","C"))))</f>
        <v/>
      </c>
      <c r="O3942" s="48" t="str">
        <f aca="false">IF($A3942="","",IF(NOT(ISNUMBER(F3942)),"Wert fehlt; ",IF(F3942&lt;=0,"Wert ist 0; ",""))&amp;IF(NOT(ISNUMBER(E3942)),"Bestand fehlt; ",IF(E3942&lt;0,"Bestand negativ; ",IF(E3942=0,"Nullbestand; ","")))&amp;IF(D3942="","Warengruppe fehlt; ","")&amp;IF(B3942="","Bezeichnung fehlt; ","")&amp;IF(COUNTIFS($A$2:$A$5001,$A3942,$C$2:$C$5001,C3942)&gt;1,"Artikel doppelt im selben Lager; ",""))</f>
        <v/>
      </c>
      <c r="P3942" s="47" t="n">
        <f aca="false">IF(OR($A3942="",D3942=""),0,IF(COUNTIF($D$2:D3942,D3942)=1,SUMIF($D$2:$D$5001,D3942,$H$2:$H$5001)+ROW()/10000000,0))</f>
        <v>0</v>
      </c>
      <c r="Q3942" s="47" t="n">
        <f aca="false">IF(OR($A3942="",C3942=""),0,IF(COUNTIF($C$2:C3942,C3942)=1,SUMIF($C$2:$C$5001,C3942,$H$2:$H$5001)+ROW()/10000000,0))</f>
        <v>0</v>
      </c>
    </row>
    <row r="3943" customFormat="false" ht="15" hidden="false" customHeight="false" outlineLevel="0" collapsed="false">
      <c r="A3943" s="43"/>
      <c r="B3943" s="44"/>
      <c r="C3943" s="44"/>
      <c r="D3943" s="44"/>
      <c r="E3943" s="44"/>
      <c r="F3943" s="44"/>
      <c r="G3943" s="44"/>
      <c r="H3943" s="46" t="str">
        <f aca="false">IF($A3943="","",IF(OR(NOT(ISNUMBER(E3943)),NOT(ISNUMBER(F3943))),"",MAX(0,E3943)*F3943))</f>
        <v/>
      </c>
      <c r="I3943" s="46" t="str">
        <f aca="false">IF($A3943="","",SUMIF($A$2:$A$5001,$A3943,$H$2:$H$5001))</f>
        <v/>
      </c>
      <c r="J3943" s="47" t="n">
        <f aca="false">IF($A3943="",0,IF(COUNTIF($A$2:A3943,$A3943)=1,1,0))</f>
        <v>0</v>
      </c>
      <c r="K3943" s="47" t="n">
        <f aca="false">IF(J3943=1,N(I3943)+ROW()/10000000,0)</f>
        <v>0</v>
      </c>
      <c r="L3943" s="47" t="str">
        <f aca="false">IF(AND(J3943=1,N(I3943)&gt;0),SUMIF($K$2:$K$5001,"&gt;="&amp;K3943,$I$2:$I$5001)/MAX(1,SUM($H$2:$H$5001)),"")</f>
        <v/>
      </c>
      <c r="M3943" s="47" t="str">
        <f aca="false">IF($A3943="","",INDEX($L$2:$L$5001,MATCH($A3943,$A$2:$A$5001,0)))</f>
        <v/>
      </c>
      <c r="N3943" s="48" t="str">
        <f aca="false">IF($A3943="","",IF(N(M3943)=0,"–",IF(M3943&lt;=Start!$D$20,"A",IF(M3943&lt;=Start!$D$21,"B","C"))))</f>
        <v/>
      </c>
      <c r="O3943" s="48" t="str">
        <f aca="false">IF($A3943="","",IF(NOT(ISNUMBER(F3943)),"Wert fehlt; ",IF(F3943&lt;=0,"Wert ist 0; ",""))&amp;IF(NOT(ISNUMBER(E3943)),"Bestand fehlt; ",IF(E3943&lt;0,"Bestand negativ; ",IF(E3943=0,"Nullbestand; ","")))&amp;IF(D3943="","Warengruppe fehlt; ","")&amp;IF(B3943="","Bezeichnung fehlt; ","")&amp;IF(COUNTIFS($A$2:$A$5001,$A3943,$C$2:$C$5001,C3943)&gt;1,"Artikel doppelt im selben Lager; ",""))</f>
        <v/>
      </c>
      <c r="P3943" s="47" t="n">
        <f aca="false">IF(OR($A3943="",D3943=""),0,IF(COUNTIF($D$2:D3943,D3943)=1,SUMIF($D$2:$D$5001,D3943,$H$2:$H$5001)+ROW()/10000000,0))</f>
        <v>0</v>
      </c>
      <c r="Q3943" s="47" t="n">
        <f aca="false">IF(OR($A3943="",C3943=""),0,IF(COUNTIF($C$2:C3943,C3943)=1,SUMIF($C$2:$C$5001,C3943,$H$2:$H$5001)+ROW()/10000000,0))</f>
        <v>0</v>
      </c>
    </row>
    <row r="3944" customFormat="false" ht="15" hidden="false" customHeight="false" outlineLevel="0" collapsed="false">
      <c r="A3944" s="43"/>
      <c r="B3944" s="44"/>
      <c r="C3944" s="44"/>
      <c r="D3944" s="44"/>
      <c r="E3944" s="44"/>
      <c r="F3944" s="44"/>
      <c r="G3944" s="44"/>
      <c r="H3944" s="46" t="str">
        <f aca="false">IF($A3944="","",IF(OR(NOT(ISNUMBER(E3944)),NOT(ISNUMBER(F3944))),"",MAX(0,E3944)*F3944))</f>
        <v/>
      </c>
      <c r="I3944" s="46" t="str">
        <f aca="false">IF($A3944="","",SUMIF($A$2:$A$5001,$A3944,$H$2:$H$5001))</f>
        <v/>
      </c>
      <c r="J3944" s="47" t="n">
        <f aca="false">IF($A3944="",0,IF(COUNTIF($A$2:A3944,$A3944)=1,1,0))</f>
        <v>0</v>
      </c>
      <c r="K3944" s="47" t="n">
        <f aca="false">IF(J3944=1,N(I3944)+ROW()/10000000,0)</f>
        <v>0</v>
      </c>
      <c r="L3944" s="47" t="str">
        <f aca="false">IF(AND(J3944=1,N(I3944)&gt;0),SUMIF($K$2:$K$5001,"&gt;="&amp;K3944,$I$2:$I$5001)/MAX(1,SUM($H$2:$H$5001)),"")</f>
        <v/>
      </c>
      <c r="M3944" s="47" t="str">
        <f aca="false">IF($A3944="","",INDEX($L$2:$L$5001,MATCH($A3944,$A$2:$A$5001,0)))</f>
        <v/>
      </c>
      <c r="N3944" s="48" t="str">
        <f aca="false">IF($A3944="","",IF(N(M3944)=0,"–",IF(M3944&lt;=Start!$D$20,"A",IF(M3944&lt;=Start!$D$21,"B","C"))))</f>
        <v/>
      </c>
      <c r="O3944" s="48" t="str">
        <f aca="false">IF($A3944="","",IF(NOT(ISNUMBER(F3944)),"Wert fehlt; ",IF(F3944&lt;=0,"Wert ist 0; ",""))&amp;IF(NOT(ISNUMBER(E3944)),"Bestand fehlt; ",IF(E3944&lt;0,"Bestand negativ; ",IF(E3944=0,"Nullbestand; ","")))&amp;IF(D3944="","Warengruppe fehlt; ","")&amp;IF(B3944="","Bezeichnung fehlt; ","")&amp;IF(COUNTIFS($A$2:$A$5001,$A3944,$C$2:$C$5001,C3944)&gt;1,"Artikel doppelt im selben Lager; ",""))</f>
        <v/>
      </c>
      <c r="P3944" s="47" t="n">
        <f aca="false">IF(OR($A3944="",D3944=""),0,IF(COUNTIF($D$2:D3944,D3944)=1,SUMIF($D$2:$D$5001,D3944,$H$2:$H$5001)+ROW()/10000000,0))</f>
        <v>0</v>
      </c>
      <c r="Q3944" s="47" t="n">
        <f aca="false">IF(OR($A3944="",C3944=""),0,IF(COUNTIF($C$2:C3944,C3944)=1,SUMIF($C$2:$C$5001,C3944,$H$2:$H$5001)+ROW()/10000000,0))</f>
        <v>0</v>
      </c>
    </row>
    <row r="3945" customFormat="false" ht="15" hidden="false" customHeight="false" outlineLevel="0" collapsed="false">
      <c r="A3945" s="43"/>
      <c r="B3945" s="44"/>
      <c r="C3945" s="44"/>
      <c r="D3945" s="44"/>
      <c r="E3945" s="44"/>
      <c r="F3945" s="44"/>
      <c r="G3945" s="44"/>
      <c r="H3945" s="46" t="str">
        <f aca="false">IF($A3945="","",IF(OR(NOT(ISNUMBER(E3945)),NOT(ISNUMBER(F3945))),"",MAX(0,E3945)*F3945))</f>
        <v/>
      </c>
      <c r="I3945" s="46" t="str">
        <f aca="false">IF($A3945="","",SUMIF($A$2:$A$5001,$A3945,$H$2:$H$5001))</f>
        <v/>
      </c>
      <c r="J3945" s="47" t="n">
        <f aca="false">IF($A3945="",0,IF(COUNTIF($A$2:A3945,$A3945)=1,1,0))</f>
        <v>0</v>
      </c>
      <c r="K3945" s="47" t="n">
        <f aca="false">IF(J3945=1,N(I3945)+ROW()/10000000,0)</f>
        <v>0</v>
      </c>
      <c r="L3945" s="47" t="str">
        <f aca="false">IF(AND(J3945=1,N(I3945)&gt;0),SUMIF($K$2:$K$5001,"&gt;="&amp;K3945,$I$2:$I$5001)/MAX(1,SUM($H$2:$H$5001)),"")</f>
        <v/>
      </c>
      <c r="M3945" s="47" t="str">
        <f aca="false">IF($A3945="","",INDEX($L$2:$L$5001,MATCH($A3945,$A$2:$A$5001,0)))</f>
        <v/>
      </c>
      <c r="N3945" s="48" t="str">
        <f aca="false">IF($A3945="","",IF(N(M3945)=0,"–",IF(M3945&lt;=Start!$D$20,"A",IF(M3945&lt;=Start!$D$21,"B","C"))))</f>
        <v/>
      </c>
      <c r="O3945" s="48" t="str">
        <f aca="false">IF($A3945="","",IF(NOT(ISNUMBER(F3945)),"Wert fehlt; ",IF(F3945&lt;=0,"Wert ist 0; ",""))&amp;IF(NOT(ISNUMBER(E3945)),"Bestand fehlt; ",IF(E3945&lt;0,"Bestand negativ; ",IF(E3945=0,"Nullbestand; ","")))&amp;IF(D3945="","Warengruppe fehlt; ","")&amp;IF(B3945="","Bezeichnung fehlt; ","")&amp;IF(COUNTIFS($A$2:$A$5001,$A3945,$C$2:$C$5001,C3945)&gt;1,"Artikel doppelt im selben Lager; ",""))</f>
        <v/>
      </c>
      <c r="P3945" s="47" t="n">
        <f aca="false">IF(OR($A3945="",D3945=""),0,IF(COUNTIF($D$2:D3945,D3945)=1,SUMIF($D$2:$D$5001,D3945,$H$2:$H$5001)+ROW()/10000000,0))</f>
        <v>0</v>
      </c>
      <c r="Q3945" s="47" t="n">
        <f aca="false">IF(OR($A3945="",C3945=""),0,IF(COUNTIF($C$2:C3945,C3945)=1,SUMIF($C$2:$C$5001,C3945,$H$2:$H$5001)+ROW()/10000000,0))</f>
        <v>0</v>
      </c>
    </row>
    <row r="3946" customFormat="false" ht="15" hidden="false" customHeight="false" outlineLevel="0" collapsed="false">
      <c r="A3946" s="43"/>
      <c r="B3946" s="44"/>
      <c r="C3946" s="44"/>
      <c r="D3946" s="44"/>
      <c r="E3946" s="44"/>
      <c r="F3946" s="44"/>
      <c r="G3946" s="44"/>
      <c r="H3946" s="46" t="str">
        <f aca="false">IF($A3946="","",IF(OR(NOT(ISNUMBER(E3946)),NOT(ISNUMBER(F3946))),"",MAX(0,E3946)*F3946))</f>
        <v/>
      </c>
      <c r="I3946" s="46" t="str">
        <f aca="false">IF($A3946="","",SUMIF($A$2:$A$5001,$A3946,$H$2:$H$5001))</f>
        <v/>
      </c>
      <c r="J3946" s="47" t="n">
        <f aca="false">IF($A3946="",0,IF(COUNTIF($A$2:A3946,$A3946)=1,1,0))</f>
        <v>0</v>
      </c>
      <c r="K3946" s="47" t="n">
        <f aca="false">IF(J3946=1,N(I3946)+ROW()/10000000,0)</f>
        <v>0</v>
      </c>
      <c r="L3946" s="47" t="str">
        <f aca="false">IF(AND(J3946=1,N(I3946)&gt;0),SUMIF($K$2:$K$5001,"&gt;="&amp;K3946,$I$2:$I$5001)/MAX(1,SUM($H$2:$H$5001)),"")</f>
        <v/>
      </c>
      <c r="M3946" s="47" t="str">
        <f aca="false">IF($A3946="","",INDEX($L$2:$L$5001,MATCH($A3946,$A$2:$A$5001,0)))</f>
        <v/>
      </c>
      <c r="N3946" s="48" t="str">
        <f aca="false">IF($A3946="","",IF(N(M3946)=0,"–",IF(M3946&lt;=Start!$D$20,"A",IF(M3946&lt;=Start!$D$21,"B","C"))))</f>
        <v/>
      </c>
      <c r="O3946" s="48" t="str">
        <f aca="false">IF($A3946="","",IF(NOT(ISNUMBER(F3946)),"Wert fehlt; ",IF(F3946&lt;=0,"Wert ist 0; ",""))&amp;IF(NOT(ISNUMBER(E3946)),"Bestand fehlt; ",IF(E3946&lt;0,"Bestand negativ; ",IF(E3946=0,"Nullbestand; ","")))&amp;IF(D3946="","Warengruppe fehlt; ","")&amp;IF(B3946="","Bezeichnung fehlt; ","")&amp;IF(COUNTIFS($A$2:$A$5001,$A3946,$C$2:$C$5001,C3946)&gt;1,"Artikel doppelt im selben Lager; ",""))</f>
        <v/>
      </c>
      <c r="P3946" s="47" t="n">
        <f aca="false">IF(OR($A3946="",D3946=""),0,IF(COUNTIF($D$2:D3946,D3946)=1,SUMIF($D$2:$D$5001,D3946,$H$2:$H$5001)+ROW()/10000000,0))</f>
        <v>0</v>
      </c>
      <c r="Q3946" s="47" t="n">
        <f aca="false">IF(OR($A3946="",C3946=""),0,IF(COUNTIF($C$2:C3946,C3946)=1,SUMIF($C$2:$C$5001,C3946,$H$2:$H$5001)+ROW()/10000000,0))</f>
        <v>0</v>
      </c>
    </row>
    <row r="3947" customFormat="false" ht="15" hidden="false" customHeight="false" outlineLevel="0" collapsed="false">
      <c r="A3947" s="43"/>
      <c r="B3947" s="44"/>
      <c r="C3947" s="44"/>
      <c r="D3947" s="44"/>
      <c r="E3947" s="44"/>
      <c r="F3947" s="44"/>
      <c r="G3947" s="44"/>
      <c r="H3947" s="46" t="str">
        <f aca="false">IF($A3947="","",IF(OR(NOT(ISNUMBER(E3947)),NOT(ISNUMBER(F3947))),"",MAX(0,E3947)*F3947))</f>
        <v/>
      </c>
      <c r="I3947" s="46" t="str">
        <f aca="false">IF($A3947="","",SUMIF($A$2:$A$5001,$A3947,$H$2:$H$5001))</f>
        <v/>
      </c>
      <c r="J3947" s="47" t="n">
        <f aca="false">IF($A3947="",0,IF(COUNTIF($A$2:A3947,$A3947)=1,1,0))</f>
        <v>0</v>
      </c>
      <c r="K3947" s="47" t="n">
        <f aca="false">IF(J3947=1,N(I3947)+ROW()/10000000,0)</f>
        <v>0</v>
      </c>
      <c r="L3947" s="47" t="str">
        <f aca="false">IF(AND(J3947=1,N(I3947)&gt;0),SUMIF($K$2:$K$5001,"&gt;="&amp;K3947,$I$2:$I$5001)/MAX(1,SUM($H$2:$H$5001)),"")</f>
        <v/>
      </c>
      <c r="M3947" s="47" t="str">
        <f aca="false">IF($A3947="","",INDEX($L$2:$L$5001,MATCH($A3947,$A$2:$A$5001,0)))</f>
        <v/>
      </c>
      <c r="N3947" s="48" t="str">
        <f aca="false">IF($A3947="","",IF(N(M3947)=0,"–",IF(M3947&lt;=Start!$D$20,"A",IF(M3947&lt;=Start!$D$21,"B","C"))))</f>
        <v/>
      </c>
      <c r="O3947" s="48" t="str">
        <f aca="false">IF($A3947="","",IF(NOT(ISNUMBER(F3947)),"Wert fehlt; ",IF(F3947&lt;=0,"Wert ist 0; ",""))&amp;IF(NOT(ISNUMBER(E3947)),"Bestand fehlt; ",IF(E3947&lt;0,"Bestand negativ; ",IF(E3947=0,"Nullbestand; ","")))&amp;IF(D3947="","Warengruppe fehlt; ","")&amp;IF(B3947="","Bezeichnung fehlt; ","")&amp;IF(COUNTIFS($A$2:$A$5001,$A3947,$C$2:$C$5001,C3947)&gt;1,"Artikel doppelt im selben Lager; ",""))</f>
        <v/>
      </c>
      <c r="P3947" s="47" t="n">
        <f aca="false">IF(OR($A3947="",D3947=""),0,IF(COUNTIF($D$2:D3947,D3947)=1,SUMIF($D$2:$D$5001,D3947,$H$2:$H$5001)+ROW()/10000000,0))</f>
        <v>0</v>
      </c>
      <c r="Q3947" s="47" t="n">
        <f aca="false">IF(OR($A3947="",C3947=""),0,IF(COUNTIF($C$2:C3947,C3947)=1,SUMIF($C$2:$C$5001,C3947,$H$2:$H$5001)+ROW()/10000000,0))</f>
        <v>0</v>
      </c>
    </row>
    <row r="3948" customFormat="false" ht="15" hidden="false" customHeight="false" outlineLevel="0" collapsed="false">
      <c r="A3948" s="43"/>
      <c r="B3948" s="44"/>
      <c r="C3948" s="44"/>
      <c r="D3948" s="44"/>
      <c r="E3948" s="44"/>
      <c r="F3948" s="44"/>
      <c r="G3948" s="44"/>
      <c r="H3948" s="46" t="str">
        <f aca="false">IF($A3948="","",IF(OR(NOT(ISNUMBER(E3948)),NOT(ISNUMBER(F3948))),"",MAX(0,E3948)*F3948))</f>
        <v/>
      </c>
      <c r="I3948" s="46" t="str">
        <f aca="false">IF($A3948="","",SUMIF($A$2:$A$5001,$A3948,$H$2:$H$5001))</f>
        <v/>
      </c>
      <c r="J3948" s="47" t="n">
        <f aca="false">IF($A3948="",0,IF(COUNTIF($A$2:A3948,$A3948)=1,1,0))</f>
        <v>0</v>
      </c>
      <c r="K3948" s="47" t="n">
        <f aca="false">IF(J3948=1,N(I3948)+ROW()/10000000,0)</f>
        <v>0</v>
      </c>
      <c r="L3948" s="47" t="str">
        <f aca="false">IF(AND(J3948=1,N(I3948)&gt;0),SUMIF($K$2:$K$5001,"&gt;="&amp;K3948,$I$2:$I$5001)/MAX(1,SUM($H$2:$H$5001)),"")</f>
        <v/>
      </c>
      <c r="M3948" s="47" t="str">
        <f aca="false">IF($A3948="","",INDEX($L$2:$L$5001,MATCH($A3948,$A$2:$A$5001,0)))</f>
        <v/>
      </c>
      <c r="N3948" s="48" t="str">
        <f aca="false">IF($A3948="","",IF(N(M3948)=0,"–",IF(M3948&lt;=Start!$D$20,"A",IF(M3948&lt;=Start!$D$21,"B","C"))))</f>
        <v/>
      </c>
      <c r="O3948" s="48" t="str">
        <f aca="false">IF($A3948="","",IF(NOT(ISNUMBER(F3948)),"Wert fehlt; ",IF(F3948&lt;=0,"Wert ist 0; ",""))&amp;IF(NOT(ISNUMBER(E3948)),"Bestand fehlt; ",IF(E3948&lt;0,"Bestand negativ; ",IF(E3948=0,"Nullbestand; ","")))&amp;IF(D3948="","Warengruppe fehlt; ","")&amp;IF(B3948="","Bezeichnung fehlt; ","")&amp;IF(COUNTIFS($A$2:$A$5001,$A3948,$C$2:$C$5001,C3948)&gt;1,"Artikel doppelt im selben Lager; ",""))</f>
        <v/>
      </c>
      <c r="P3948" s="47" t="n">
        <f aca="false">IF(OR($A3948="",D3948=""),0,IF(COUNTIF($D$2:D3948,D3948)=1,SUMIF($D$2:$D$5001,D3948,$H$2:$H$5001)+ROW()/10000000,0))</f>
        <v>0</v>
      </c>
      <c r="Q3948" s="47" t="n">
        <f aca="false">IF(OR($A3948="",C3948=""),0,IF(COUNTIF($C$2:C3948,C3948)=1,SUMIF($C$2:$C$5001,C3948,$H$2:$H$5001)+ROW()/10000000,0))</f>
        <v>0</v>
      </c>
    </row>
    <row r="3949" customFormat="false" ht="15" hidden="false" customHeight="false" outlineLevel="0" collapsed="false">
      <c r="A3949" s="43"/>
      <c r="B3949" s="44"/>
      <c r="C3949" s="44"/>
      <c r="D3949" s="44"/>
      <c r="E3949" s="44"/>
      <c r="F3949" s="44"/>
      <c r="G3949" s="44"/>
      <c r="H3949" s="46" t="str">
        <f aca="false">IF($A3949="","",IF(OR(NOT(ISNUMBER(E3949)),NOT(ISNUMBER(F3949))),"",MAX(0,E3949)*F3949))</f>
        <v/>
      </c>
      <c r="I3949" s="46" t="str">
        <f aca="false">IF($A3949="","",SUMIF($A$2:$A$5001,$A3949,$H$2:$H$5001))</f>
        <v/>
      </c>
      <c r="J3949" s="47" t="n">
        <f aca="false">IF($A3949="",0,IF(COUNTIF($A$2:A3949,$A3949)=1,1,0))</f>
        <v>0</v>
      </c>
      <c r="K3949" s="47" t="n">
        <f aca="false">IF(J3949=1,N(I3949)+ROW()/10000000,0)</f>
        <v>0</v>
      </c>
      <c r="L3949" s="47" t="str">
        <f aca="false">IF(AND(J3949=1,N(I3949)&gt;0),SUMIF($K$2:$K$5001,"&gt;="&amp;K3949,$I$2:$I$5001)/MAX(1,SUM($H$2:$H$5001)),"")</f>
        <v/>
      </c>
      <c r="M3949" s="47" t="str">
        <f aca="false">IF($A3949="","",INDEX($L$2:$L$5001,MATCH($A3949,$A$2:$A$5001,0)))</f>
        <v/>
      </c>
      <c r="N3949" s="48" t="str">
        <f aca="false">IF($A3949="","",IF(N(M3949)=0,"–",IF(M3949&lt;=Start!$D$20,"A",IF(M3949&lt;=Start!$D$21,"B","C"))))</f>
        <v/>
      </c>
      <c r="O3949" s="48" t="str">
        <f aca="false">IF($A3949="","",IF(NOT(ISNUMBER(F3949)),"Wert fehlt; ",IF(F3949&lt;=0,"Wert ist 0; ",""))&amp;IF(NOT(ISNUMBER(E3949)),"Bestand fehlt; ",IF(E3949&lt;0,"Bestand negativ; ",IF(E3949=0,"Nullbestand; ","")))&amp;IF(D3949="","Warengruppe fehlt; ","")&amp;IF(B3949="","Bezeichnung fehlt; ","")&amp;IF(COUNTIFS($A$2:$A$5001,$A3949,$C$2:$C$5001,C3949)&gt;1,"Artikel doppelt im selben Lager; ",""))</f>
        <v/>
      </c>
      <c r="P3949" s="47" t="n">
        <f aca="false">IF(OR($A3949="",D3949=""),0,IF(COUNTIF($D$2:D3949,D3949)=1,SUMIF($D$2:$D$5001,D3949,$H$2:$H$5001)+ROW()/10000000,0))</f>
        <v>0</v>
      </c>
      <c r="Q3949" s="47" t="n">
        <f aca="false">IF(OR($A3949="",C3949=""),0,IF(COUNTIF($C$2:C3949,C3949)=1,SUMIF($C$2:$C$5001,C3949,$H$2:$H$5001)+ROW()/10000000,0))</f>
        <v>0</v>
      </c>
    </row>
    <row r="3950" customFormat="false" ht="15" hidden="false" customHeight="false" outlineLevel="0" collapsed="false">
      <c r="A3950" s="43"/>
      <c r="B3950" s="44"/>
      <c r="C3950" s="44"/>
      <c r="D3950" s="44"/>
      <c r="E3950" s="44"/>
      <c r="F3950" s="44"/>
      <c r="G3950" s="44"/>
      <c r="H3950" s="46" t="str">
        <f aca="false">IF($A3950="","",IF(OR(NOT(ISNUMBER(E3950)),NOT(ISNUMBER(F3950))),"",MAX(0,E3950)*F3950))</f>
        <v/>
      </c>
      <c r="I3950" s="46" t="str">
        <f aca="false">IF($A3950="","",SUMIF($A$2:$A$5001,$A3950,$H$2:$H$5001))</f>
        <v/>
      </c>
      <c r="J3950" s="47" t="n">
        <f aca="false">IF($A3950="",0,IF(COUNTIF($A$2:A3950,$A3950)=1,1,0))</f>
        <v>0</v>
      </c>
      <c r="K3950" s="47" t="n">
        <f aca="false">IF(J3950=1,N(I3950)+ROW()/10000000,0)</f>
        <v>0</v>
      </c>
      <c r="L3950" s="47" t="str">
        <f aca="false">IF(AND(J3950=1,N(I3950)&gt;0),SUMIF($K$2:$K$5001,"&gt;="&amp;K3950,$I$2:$I$5001)/MAX(1,SUM($H$2:$H$5001)),"")</f>
        <v/>
      </c>
      <c r="M3950" s="47" t="str">
        <f aca="false">IF($A3950="","",INDEX($L$2:$L$5001,MATCH($A3950,$A$2:$A$5001,0)))</f>
        <v/>
      </c>
      <c r="N3950" s="48" t="str">
        <f aca="false">IF($A3950="","",IF(N(M3950)=0,"–",IF(M3950&lt;=Start!$D$20,"A",IF(M3950&lt;=Start!$D$21,"B","C"))))</f>
        <v/>
      </c>
      <c r="O3950" s="48" t="str">
        <f aca="false">IF($A3950="","",IF(NOT(ISNUMBER(F3950)),"Wert fehlt; ",IF(F3950&lt;=0,"Wert ist 0; ",""))&amp;IF(NOT(ISNUMBER(E3950)),"Bestand fehlt; ",IF(E3950&lt;0,"Bestand negativ; ",IF(E3950=0,"Nullbestand; ","")))&amp;IF(D3950="","Warengruppe fehlt; ","")&amp;IF(B3950="","Bezeichnung fehlt; ","")&amp;IF(COUNTIFS($A$2:$A$5001,$A3950,$C$2:$C$5001,C3950)&gt;1,"Artikel doppelt im selben Lager; ",""))</f>
        <v/>
      </c>
      <c r="P3950" s="47" t="n">
        <f aca="false">IF(OR($A3950="",D3950=""),0,IF(COUNTIF($D$2:D3950,D3950)=1,SUMIF($D$2:$D$5001,D3950,$H$2:$H$5001)+ROW()/10000000,0))</f>
        <v>0</v>
      </c>
      <c r="Q3950" s="47" t="n">
        <f aca="false">IF(OR($A3950="",C3950=""),0,IF(COUNTIF($C$2:C3950,C3950)=1,SUMIF($C$2:$C$5001,C3950,$H$2:$H$5001)+ROW()/10000000,0))</f>
        <v>0</v>
      </c>
    </row>
    <row r="3951" customFormat="false" ht="15" hidden="false" customHeight="false" outlineLevel="0" collapsed="false">
      <c r="A3951" s="43"/>
      <c r="B3951" s="44"/>
      <c r="C3951" s="44"/>
      <c r="D3951" s="44"/>
      <c r="E3951" s="44"/>
      <c r="F3951" s="44"/>
      <c r="G3951" s="44"/>
      <c r="H3951" s="46" t="str">
        <f aca="false">IF($A3951="","",IF(OR(NOT(ISNUMBER(E3951)),NOT(ISNUMBER(F3951))),"",MAX(0,E3951)*F3951))</f>
        <v/>
      </c>
      <c r="I3951" s="46" t="str">
        <f aca="false">IF($A3951="","",SUMIF($A$2:$A$5001,$A3951,$H$2:$H$5001))</f>
        <v/>
      </c>
      <c r="J3951" s="47" t="n">
        <f aca="false">IF($A3951="",0,IF(COUNTIF($A$2:A3951,$A3951)=1,1,0))</f>
        <v>0</v>
      </c>
      <c r="K3951" s="47" t="n">
        <f aca="false">IF(J3951=1,N(I3951)+ROW()/10000000,0)</f>
        <v>0</v>
      </c>
      <c r="L3951" s="47" t="str">
        <f aca="false">IF(AND(J3951=1,N(I3951)&gt;0),SUMIF($K$2:$K$5001,"&gt;="&amp;K3951,$I$2:$I$5001)/MAX(1,SUM($H$2:$H$5001)),"")</f>
        <v/>
      </c>
      <c r="M3951" s="47" t="str">
        <f aca="false">IF($A3951="","",INDEX($L$2:$L$5001,MATCH($A3951,$A$2:$A$5001,0)))</f>
        <v/>
      </c>
      <c r="N3951" s="48" t="str">
        <f aca="false">IF($A3951="","",IF(N(M3951)=0,"–",IF(M3951&lt;=Start!$D$20,"A",IF(M3951&lt;=Start!$D$21,"B","C"))))</f>
        <v/>
      </c>
      <c r="O3951" s="48" t="str">
        <f aca="false">IF($A3951="","",IF(NOT(ISNUMBER(F3951)),"Wert fehlt; ",IF(F3951&lt;=0,"Wert ist 0; ",""))&amp;IF(NOT(ISNUMBER(E3951)),"Bestand fehlt; ",IF(E3951&lt;0,"Bestand negativ; ",IF(E3951=0,"Nullbestand; ","")))&amp;IF(D3951="","Warengruppe fehlt; ","")&amp;IF(B3951="","Bezeichnung fehlt; ","")&amp;IF(COUNTIFS($A$2:$A$5001,$A3951,$C$2:$C$5001,C3951)&gt;1,"Artikel doppelt im selben Lager; ",""))</f>
        <v/>
      </c>
      <c r="P3951" s="47" t="n">
        <f aca="false">IF(OR($A3951="",D3951=""),0,IF(COUNTIF($D$2:D3951,D3951)=1,SUMIF($D$2:$D$5001,D3951,$H$2:$H$5001)+ROW()/10000000,0))</f>
        <v>0</v>
      </c>
      <c r="Q3951" s="47" t="n">
        <f aca="false">IF(OR($A3951="",C3951=""),0,IF(COUNTIF($C$2:C3951,C3951)=1,SUMIF($C$2:$C$5001,C3951,$H$2:$H$5001)+ROW()/10000000,0))</f>
        <v>0</v>
      </c>
    </row>
    <row r="3952" customFormat="false" ht="15" hidden="false" customHeight="false" outlineLevel="0" collapsed="false">
      <c r="A3952" s="43"/>
      <c r="B3952" s="44"/>
      <c r="C3952" s="44"/>
      <c r="D3952" s="44"/>
      <c r="E3952" s="44"/>
      <c r="F3952" s="44"/>
      <c r="G3952" s="44"/>
      <c r="H3952" s="46" t="str">
        <f aca="false">IF($A3952="","",IF(OR(NOT(ISNUMBER(E3952)),NOT(ISNUMBER(F3952))),"",MAX(0,E3952)*F3952))</f>
        <v/>
      </c>
      <c r="I3952" s="46" t="str">
        <f aca="false">IF($A3952="","",SUMIF($A$2:$A$5001,$A3952,$H$2:$H$5001))</f>
        <v/>
      </c>
      <c r="J3952" s="47" t="n">
        <f aca="false">IF($A3952="",0,IF(COUNTIF($A$2:A3952,$A3952)=1,1,0))</f>
        <v>0</v>
      </c>
      <c r="K3952" s="47" t="n">
        <f aca="false">IF(J3952=1,N(I3952)+ROW()/10000000,0)</f>
        <v>0</v>
      </c>
      <c r="L3952" s="47" t="str">
        <f aca="false">IF(AND(J3952=1,N(I3952)&gt;0),SUMIF($K$2:$K$5001,"&gt;="&amp;K3952,$I$2:$I$5001)/MAX(1,SUM($H$2:$H$5001)),"")</f>
        <v/>
      </c>
      <c r="M3952" s="47" t="str">
        <f aca="false">IF($A3952="","",INDEX($L$2:$L$5001,MATCH($A3952,$A$2:$A$5001,0)))</f>
        <v/>
      </c>
      <c r="N3952" s="48" t="str">
        <f aca="false">IF($A3952="","",IF(N(M3952)=0,"–",IF(M3952&lt;=Start!$D$20,"A",IF(M3952&lt;=Start!$D$21,"B","C"))))</f>
        <v/>
      </c>
      <c r="O3952" s="48" t="str">
        <f aca="false">IF($A3952="","",IF(NOT(ISNUMBER(F3952)),"Wert fehlt; ",IF(F3952&lt;=0,"Wert ist 0; ",""))&amp;IF(NOT(ISNUMBER(E3952)),"Bestand fehlt; ",IF(E3952&lt;0,"Bestand negativ; ",IF(E3952=0,"Nullbestand; ","")))&amp;IF(D3952="","Warengruppe fehlt; ","")&amp;IF(B3952="","Bezeichnung fehlt; ","")&amp;IF(COUNTIFS($A$2:$A$5001,$A3952,$C$2:$C$5001,C3952)&gt;1,"Artikel doppelt im selben Lager; ",""))</f>
        <v/>
      </c>
      <c r="P3952" s="47" t="n">
        <f aca="false">IF(OR($A3952="",D3952=""),0,IF(COUNTIF($D$2:D3952,D3952)=1,SUMIF($D$2:$D$5001,D3952,$H$2:$H$5001)+ROW()/10000000,0))</f>
        <v>0</v>
      </c>
      <c r="Q3952" s="47" t="n">
        <f aca="false">IF(OR($A3952="",C3952=""),0,IF(COUNTIF($C$2:C3952,C3952)=1,SUMIF($C$2:$C$5001,C3952,$H$2:$H$5001)+ROW()/10000000,0))</f>
        <v>0</v>
      </c>
    </row>
    <row r="3953" customFormat="false" ht="15" hidden="false" customHeight="false" outlineLevel="0" collapsed="false">
      <c r="A3953" s="43"/>
      <c r="B3953" s="44"/>
      <c r="C3953" s="44"/>
      <c r="D3953" s="44"/>
      <c r="E3953" s="44"/>
      <c r="F3953" s="44"/>
      <c r="G3953" s="44"/>
      <c r="H3953" s="46" t="str">
        <f aca="false">IF($A3953="","",IF(OR(NOT(ISNUMBER(E3953)),NOT(ISNUMBER(F3953))),"",MAX(0,E3953)*F3953))</f>
        <v/>
      </c>
      <c r="I3953" s="46" t="str">
        <f aca="false">IF($A3953="","",SUMIF($A$2:$A$5001,$A3953,$H$2:$H$5001))</f>
        <v/>
      </c>
      <c r="J3953" s="47" t="n">
        <f aca="false">IF($A3953="",0,IF(COUNTIF($A$2:A3953,$A3953)=1,1,0))</f>
        <v>0</v>
      </c>
      <c r="K3953" s="47" t="n">
        <f aca="false">IF(J3953=1,N(I3953)+ROW()/10000000,0)</f>
        <v>0</v>
      </c>
      <c r="L3953" s="47" t="str">
        <f aca="false">IF(AND(J3953=1,N(I3953)&gt;0),SUMIF($K$2:$K$5001,"&gt;="&amp;K3953,$I$2:$I$5001)/MAX(1,SUM($H$2:$H$5001)),"")</f>
        <v/>
      </c>
      <c r="M3953" s="47" t="str">
        <f aca="false">IF($A3953="","",INDEX($L$2:$L$5001,MATCH($A3953,$A$2:$A$5001,0)))</f>
        <v/>
      </c>
      <c r="N3953" s="48" t="str">
        <f aca="false">IF($A3953="","",IF(N(M3953)=0,"–",IF(M3953&lt;=Start!$D$20,"A",IF(M3953&lt;=Start!$D$21,"B","C"))))</f>
        <v/>
      </c>
      <c r="O3953" s="48" t="str">
        <f aca="false">IF($A3953="","",IF(NOT(ISNUMBER(F3953)),"Wert fehlt; ",IF(F3953&lt;=0,"Wert ist 0; ",""))&amp;IF(NOT(ISNUMBER(E3953)),"Bestand fehlt; ",IF(E3953&lt;0,"Bestand negativ; ",IF(E3953=0,"Nullbestand; ","")))&amp;IF(D3953="","Warengruppe fehlt; ","")&amp;IF(B3953="","Bezeichnung fehlt; ","")&amp;IF(COUNTIFS($A$2:$A$5001,$A3953,$C$2:$C$5001,C3953)&gt;1,"Artikel doppelt im selben Lager; ",""))</f>
        <v/>
      </c>
      <c r="P3953" s="47" t="n">
        <f aca="false">IF(OR($A3953="",D3953=""),0,IF(COUNTIF($D$2:D3953,D3953)=1,SUMIF($D$2:$D$5001,D3953,$H$2:$H$5001)+ROW()/10000000,0))</f>
        <v>0</v>
      </c>
      <c r="Q3953" s="47" t="n">
        <f aca="false">IF(OR($A3953="",C3953=""),0,IF(COUNTIF($C$2:C3953,C3953)=1,SUMIF($C$2:$C$5001,C3953,$H$2:$H$5001)+ROW()/10000000,0))</f>
        <v>0</v>
      </c>
    </row>
    <row r="3954" customFormat="false" ht="15" hidden="false" customHeight="false" outlineLevel="0" collapsed="false">
      <c r="A3954" s="43"/>
      <c r="B3954" s="44"/>
      <c r="C3954" s="44"/>
      <c r="D3954" s="44"/>
      <c r="E3954" s="44"/>
      <c r="F3954" s="44"/>
      <c r="G3954" s="44"/>
      <c r="H3954" s="46" t="str">
        <f aca="false">IF($A3954="","",IF(OR(NOT(ISNUMBER(E3954)),NOT(ISNUMBER(F3954))),"",MAX(0,E3954)*F3954))</f>
        <v/>
      </c>
      <c r="I3954" s="46" t="str">
        <f aca="false">IF($A3954="","",SUMIF($A$2:$A$5001,$A3954,$H$2:$H$5001))</f>
        <v/>
      </c>
      <c r="J3954" s="47" t="n">
        <f aca="false">IF($A3954="",0,IF(COUNTIF($A$2:A3954,$A3954)=1,1,0))</f>
        <v>0</v>
      </c>
      <c r="K3954" s="47" t="n">
        <f aca="false">IF(J3954=1,N(I3954)+ROW()/10000000,0)</f>
        <v>0</v>
      </c>
      <c r="L3954" s="47" t="str">
        <f aca="false">IF(AND(J3954=1,N(I3954)&gt;0),SUMIF($K$2:$K$5001,"&gt;="&amp;K3954,$I$2:$I$5001)/MAX(1,SUM($H$2:$H$5001)),"")</f>
        <v/>
      </c>
      <c r="M3954" s="47" t="str">
        <f aca="false">IF($A3954="","",INDEX($L$2:$L$5001,MATCH($A3954,$A$2:$A$5001,0)))</f>
        <v/>
      </c>
      <c r="N3954" s="48" t="str">
        <f aca="false">IF($A3954="","",IF(N(M3954)=0,"–",IF(M3954&lt;=Start!$D$20,"A",IF(M3954&lt;=Start!$D$21,"B","C"))))</f>
        <v/>
      </c>
      <c r="O3954" s="48" t="str">
        <f aca="false">IF($A3954="","",IF(NOT(ISNUMBER(F3954)),"Wert fehlt; ",IF(F3954&lt;=0,"Wert ist 0; ",""))&amp;IF(NOT(ISNUMBER(E3954)),"Bestand fehlt; ",IF(E3954&lt;0,"Bestand negativ; ",IF(E3954=0,"Nullbestand; ","")))&amp;IF(D3954="","Warengruppe fehlt; ","")&amp;IF(B3954="","Bezeichnung fehlt; ","")&amp;IF(COUNTIFS($A$2:$A$5001,$A3954,$C$2:$C$5001,C3954)&gt;1,"Artikel doppelt im selben Lager; ",""))</f>
        <v/>
      </c>
      <c r="P3954" s="47" t="n">
        <f aca="false">IF(OR($A3954="",D3954=""),0,IF(COUNTIF($D$2:D3954,D3954)=1,SUMIF($D$2:$D$5001,D3954,$H$2:$H$5001)+ROW()/10000000,0))</f>
        <v>0</v>
      </c>
      <c r="Q3954" s="47" t="n">
        <f aca="false">IF(OR($A3954="",C3954=""),0,IF(COUNTIF($C$2:C3954,C3954)=1,SUMIF($C$2:$C$5001,C3954,$H$2:$H$5001)+ROW()/10000000,0))</f>
        <v>0</v>
      </c>
    </row>
    <row r="3955" customFormat="false" ht="15" hidden="false" customHeight="false" outlineLevel="0" collapsed="false">
      <c r="A3955" s="43"/>
      <c r="B3955" s="44"/>
      <c r="C3955" s="44"/>
      <c r="D3955" s="44"/>
      <c r="E3955" s="44"/>
      <c r="F3955" s="44"/>
      <c r="G3955" s="44"/>
      <c r="H3955" s="46" t="str">
        <f aca="false">IF($A3955="","",IF(OR(NOT(ISNUMBER(E3955)),NOT(ISNUMBER(F3955))),"",MAX(0,E3955)*F3955))</f>
        <v/>
      </c>
      <c r="I3955" s="46" t="str">
        <f aca="false">IF($A3955="","",SUMIF($A$2:$A$5001,$A3955,$H$2:$H$5001))</f>
        <v/>
      </c>
      <c r="J3955" s="47" t="n">
        <f aca="false">IF($A3955="",0,IF(COUNTIF($A$2:A3955,$A3955)=1,1,0))</f>
        <v>0</v>
      </c>
      <c r="K3955" s="47" t="n">
        <f aca="false">IF(J3955=1,N(I3955)+ROW()/10000000,0)</f>
        <v>0</v>
      </c>
      <c r="L3955" s="47" t="str">
        <f aca="false">IF(AND(J3955=1,N(I3955)&gt;0),SUMIF($K$2:$K$5001,"&gt;="&amp;K3955,$I$2:$I$5001)/MAX(1,SUM($H$2:$H$5001)),"")</f>
        <v/>
      </c>
      <c r="M3955" s="47" t="str">
        <f aca="false">IF($A3955="","",INDEX($L$2:$L$5001,MATCH($A3955,$A$2:$A$5001,0)))</f>
        <v/>
      </c>
      <c r="N3955" s="48" t="str">
        <f aca="false">IF($A3955="","",IF(N(M3955)=0,"–",IF(M3955&lt;=Start!$D$20,"A",IF(M3955&lt;=Start!$D$21,"B","C"))))</f>
        <v/>
      </c>
      <c r="O3955" s="48" t="str">
        <f aca="false">IF($A3955="","",IF(NOT(ISNUMBER(F3955)),"Wert fehlt; ",IF(F3955&lt;=0,"Wert ist 0; ",""))&amp;IF(NOT(ISNUMBER(E3955)),"Bestand fehlt; ",IF(E3955&lt;0,"Bestand negativ; ",IF(E3955=0,"Nullbestand; ","")))&amp;IF(D3955="","Warengruppe fehlt; ","")&amp;IF(B3955="","Bezeichnung fehlt; ","")&amp;IF(COUNTIFS($A$2:$A$5001,$A3955,$C$2:$C$5001,C3955)&gt;1,"Artikel doppelt im selben Lager; ",""))</f>
        <v/>
      </c>
      <c r="P3955" s="47" t="n">
        <f aca="false">IF(OR($A3955="",D3955=""),0,IF(COUNTIF($D$2:D3955,D3955)=1,SUMIF($D$2:$D$5001,D3955,$H$2:$H$5001)+ROW()/10000000,0))</f>
        <v>0</v>
      </c>
      <c r="Q3955" s="47" t="n">
        <f aca="false">IF(OR($A3955="",C3955=""),0,IF(COUNTIF($C$2:C3955,C3955)=1,SUMIF($C$2:$C$5001,C3955,$H$2:$H$5001)+ROW()/10000000,0))</f>
        <v>0</v>
      </c>
    </row>
    <row r="3956" customFormat="false" ht="15" hidden="false" customHeight="false" outlineLevel="0" collapsed="false">
      <c r="A3956" s="43"/>
      <c r="B3956" s="44"/>
      <c r="C3956" s="44"/>
      <c r="D3956" s="44"/>
      <c r="E3956" s="44"/>
      <c r="F3956" s="44"/>
      <c r="G3956" s="44"/>
      <c r="H3956" s="46" t="str">
        <f aca="false">IF($A3956="","",IF(OR(NOT(ISNUMBER(E3956)),NOT(ISNUMBER(F3956))),"",MAX(0,E3956)*F3956))</f>
        <v/>
      </c>
      <c r="I3956" s="46" t="str">
        <f aca="false">IF($A3956="","",SUMIF($A$2:$A$5001,$A3956,$H$2:$H$5001))</f>
        <v/>
      </c>
      <c r="J3956" s="47" t="n">
        <f aca="false">IF($A3956="",0,IF(COUNTIF($A$2:A3956,$A3956)=1,1,0))</f>
        <v>0</v>
      </c>
      <c r="K3956" s="47" t="n">
        <f aca="false">IF(J3956=1,N(I3956)+ROW()/10000000,0)</f>
        <v>0</v>
      </c>
      <c r="L3956" s="47" t="str">
        <f aca="false">IF(AND(J3956=1,N(I3956)&gt;0),SUMIF($K$2:$K$5001,"&gt;="&amp;K3956,$I$2:$I$5001)/MAX(1,SUM($H$2:$H$5001)),"")</f>
        <v/>
      </c>
      <c r="M3956" s="47" t="str">
        <f aca="false">IF($A3956="","",INDEX($L$2:$L$5001,MATCH($A3956,$A$2:$A$5001,0)))</f>
        <v/>
      </c>
      <c r="N3956" s="48" t="str">
        <f aca="false">IF($A3956="","",IF(N(M3956)=0,"–",IF(M3956&lt;=Start!$D$20,"A",IF(M3956&lt;=Start!$D$21,"B","C"))))</f>
        <v/>
      </c>
      <c r="O3956" s="48" t="str">
        <f aca="false">IF($A3956="","",IF(NOT(ISNUMBER(F3956)),"Wert fehlt; ",IF(F3956&lt;=0,"Wert ist 0; ",""))&amp;IF(NOT(ISNUMBER(E3956)),"Bestand fehlt; ",IF(E3956&lt;0,"Bestand negativ; ",IF(E3956=0,"Nullbestand; ","")))&amp;IF(D3956="","Warengruppe fehlt; ","")&amp;IF(B3956="","Bezeichnung fehlt; ","")&amp;IF(COUNTIFS($A$2:$A$5001,$A3956,$C$2:$C$5001,C3956)&gt;1,"Artikel doppelt im selben Lager; ",""))</f>
        <v/>
      </c>
      <c r="P3956" s="47" t="n">
        <f aca="false">IF(OR($A3956="",D3956=""),0,IF(COUNTIF($D$2:D3956,D3956)=1,SUMIF($D$2:$D$5001,D3956,$H$2:$H$5001)+ROW()/10000000,0))</f>
        <v>0</v>
      </c>
      <c r="Q3956" s="47" t="n">
        <f aca="false">IF(OR($A3956="",C3956=""),0,IF(COUNTIF($C$2:C3956,C3956)=1,SUMIF($C$2:$C$5001,C3956,$H$2:$H$5001)+ROW()/10000000,0))</f>
        <v>0</v>
      </c>
    </row>
    <row r="3957" customFormat="false" ht="15" hidden="false" customHeight="false" outlineLevel="0" collapsed="false">
      <c r="A3957" s="43"/>
      <c r="B3957" s="44"/>
      <c r="C3957" s="44"/>
      <c r="D3957" s="44"/>
      <c r="E3957" s="44"/>
      <c r="F3957" s="44"/>
      <c r="G3957" s="44"/>
      <c r="H3957" s="46" t="str">
        <f aca="false">IF($A3957="","",IF(OR(NOT(ISNUMBER(E3957)),NOT(ISNUMBER(F3957))),"",MAX(0,E3957)*F3957))</f>
        <v/>
      </c>
      <c r="I3957" s="46" t="str">
        <f aca="false">IF($A3957="","",SUMIF($A$2:$A$5001,$A3957,$H$2:$H$5001))</f>
        <v/>
      </c>
      <c r="J3957" s="47" t="n">
        <f aca="false">IF($A3957="",0,IF(COUNTIF($A$2:A3957,$A3957)=1,1,0))</f>
        <v>0</v>
      </c>
      <c r="K3957" s="47" t="n">
        <f aca="false">IF(J3957=1,N(I3957)+ROW()/10000000,0)</f>
        <v>0</v>
      </c>
      <c r="L3957" s="47" t="str">
        <f aca="false">IF(AND(J3957=1,N(I3957)&gt;0),SUMIF($K$2:$K$5001,"&gt;="&amp;K3957,$I$2:$I$5001)/MAX(1,SUM($H$2:$H$5001)),"")</f>
        <v/>
      </c>
      <c r="M3957" s="47" t="str">
        <f aca="false">IF($A3957="","",INDEX($L$2:$L$5001,MATCH($A3957,$A$2:$A$5001,0)))</f>
        <v/>
      </c>
      <c r="N3957" s="48" t="str">
        <f aca="false">IF($A3957="","",IF(N(M3957)=0,"–",IF(M3957&lt;=Start!$D$20,"A",IF(M3957&lt;=Start!$D$21,"B","C"))))</f>
        <v/>
      </c>
      <c r="O3957" s="48" t="str">
        <f aca="false">IF($A3957="","",IF(NOT(ISNUMBER(F3957)),"Wert fehlt; ",IF(F3957&lt;=0,"Wert ist 0; ",""))&amp;IF(NOT(ISNUMBER(E3957)),"Bestand fehlt; ",IF(E3957&lt;0,"Bestand negativ; ",IF(E3957=0,"Nullbestand; ","")))&amp;IF(D3957="","Warengruppe fehlt; ","")&amp;IF(B3957="","Bezeichnung fehlt; ","")&amp;IF(COUNTIFS($A$2:$A$5001,$A3957,$C$2:$C$5001,C3957)&gt;1,"Artikel doppelt im selben Lager; ",""))</f>
        <v/>
      </c>
      <c r="P3957" s="47" t="n">
        <f aca="false">IF(OR($A3957="",D3957=""),0,IF(COUNTIF($D$2:D3957,D3957)=1,SUMIF($D$2:$D$5001,D3957,$H$2:$H$5001)+ROW()/10000000,0))</f>
        <v>0</v>
      </c>
      <c r="Q3957" s="47" t="n">
        <f aca="false">IF(OR($A3957="",C3957=""),0,IF(COUNTIF($C$2:C3957,C3957)=1,SUMIF($C$2:$C$5001,C3957,$H$2:$H$5001)+ROW()/10000000,0))</f>
        <v>0</v>
      </c>
    </row>
    <row r="3958" customFormat="false" ht="15" hidden="false" customHeight="false" outlineLevel="0" collapsed="false">
      <c r="A3958" s="43"/>
      <c r="B3958" s="44"/>
      <c r="C3958" s="44"/>
      <c r="D3958" s="44"/>
      <c r="E3958" s="44"/>
      <c r="F3958" s="44"/>
      <c r="G3958" s="44"/>
      <c r="H3958" s="46" t="str">
        <f aca="false">IF($A3958="","",IF(OR(NOT(ISNUMBER(E3958)),NOT(ISNUMBER(F3958))),"",MAX(0,E3958)*F3958))</f>
        <v/>
      </c>
      <c r="I3958" s="46" t="str">
        <f aca="false">IF($A3958="","",SUMIF($A$2:$A$5001,$A3958,$H$2:$H$5001))</f>
        <v/>
      </c>
      <c r="J3958" s="47" t="n">
        <f aca="false">IF($A3958="",0,IF(COUNTIF($A$2:A3958,$A3958)=1,1,0))</f>
        <v>0</v>
      </c>
      <c r="K3958" s="47" t="n">
        <f aca="false">IF(J3958=1,N(I3958)+ROW()/10000000,0)</f>
        <v>0</v>
      </c>
      <c r="L3958" s="47" t="str">
        <f aca="false">IF(AND(J3958=1,N(I3958)&gt;0),SUMIF($K$2:$K$5001,"&gt;="&amp;K3958,$I$2:$I$5001)/MAX(1,SUM($H$2:$H$5001)),"")</f>
        <v/>
      </c>
      <c r="M3958" s="47" t="str">
        <f aca="false">IF($A3958="","",INDEX($L$2:$L$5001,MATCH($A3958,$A$2:$A$5001,0)))</f>
        <v/>
      </c>
      <c r="N3958" s="48" t="str">
        <f aca="false">IF($A3958="","",IF(N(M3958)=0,"–",IF(M3958&lt;=Start!$D$20,"A",IF(M3958&lt;=Start!$D$21,"B","C"))))</f>
        <v/>
      </c>
      <c r="O3958" s="48" t="str">
        <f aca="false">IF($A3958="","",IF(NOT(ISNUMBER(F3958)),"Wert fehlt; ",IF(F3958&lt;=0,"Wert ist 0; ",""))&amp;IF(NOT(ISNUMBER(E3958)),"Bestand fehlt; ",IF(E3958&lt;0,"Bestand negativ; ",IF(E3958=0,"Nullbestand; ","")))&amp;IF(D3958="","Warengruppe fehlt; ","")&amp;IF(B3958="","Bezeichnung fehlt; ","")&amp;IF(COUNTIFS($A$2:$A$5001,$A3958,$C$2:$C$5001,C3958)&gt;1,"Artikel doppelt im selben Lager; ",""))</f>
        <v/>
      </c>
      <c r="P3958" s="47" t="n">
        <f aca="false">IF(OR($A3958="",D3958=""),0,IF(COUNTIF($D$2:D3958,D3958)=1,SUMIF($D$2:$D$5001,D3958,$H$2:$H$5001)+ROW()/10000000,0))</f>
        <v>0</v>
      </c>
      <c r="Q3958" s="47" t="n">
        <f aca="false">IF(OR($A3958="",C3958=""),0,IF(COUNTIF($C$2:C3958,C3958)=1,SUMIF($C$2:$C$5001,C3958,$H$2:$H$5001)+ROW()/10000000,0))</f>
        <v>0</v>
      </c>
    </row>
    <row r="3959" customFormat="false" ht="15" hidden="false" customHeight="false" outlineLevel="0" collapsed="false">
      <c r="A3959" s="43"/>
      <c r="B3959" s="44"/>
      <c r="C3959" s="44"/>
      <c r="D3959" s="44"/>
      <c r="E3959" s="44"/>
      <c r="F3959" s="44"/>
      <c r="G3959" s="44"/>
      <c r="H3959" s="46" t="str">
        <f aca="false">IF($A3959="","",IF(OR(NOT(ISNUMBER(E3959)),NOT(ISNUMBER(F3959))),"",MAX(0,E3959)*F3959))</f>
        <v/>
      </c>
      <c r="I3959" s="46" t="str">
        <f aca="false">IF($A3959="","",SUMIF($A$2:$A$5001,$A3959,$H$2:$H$5001))</f>
        <v/>
      </c>
      <c r="J3959" s="47" t="n">
        <f aca="false">IF($A3959="",0,IF(COUNTIF($A$2:A3959,$A3959)=1,1,0))</f>
        <v>0</v>
      </c>
      <c r="K3959" s="47" t="n">
        <f aca="false">IF(J3959=1,N(I3959)+ROW()/10000000,0)</f>
        <v>0</v>
      </c>
      <c r="L3959" s="47" t="str">
        <f aca="false">IF(AND(J3959=1,N(I3959)&gt;0),SUMIF($K$2:$K$5001,"&gt;="&amp;K3959,$I$2:$I$5001)/MAX(1,SUM($H$2:$H$5001)),"")</f>
        <v/>
      </c>
      <c r="M3959" s="47" t="str">
        <f aca="false">IF($A3959="","",INDEX($L$2:$L$5001,MATCH($A3959,$A$2:$A$5001,0)))</f>
        <v/>
      </c>
      <c r="N3959" s="48" t="str">
        <f aca="false">IF($A3959="","",IF(N(M3959)=0,"–",IF(M3959&lt;=Start!$D$20,"A",IF(M3959&lt;=Start!$D$21,"B","C"))))</f>
        <v/>
      </c>
      <c r="O3959" s="48" t="str">
        <f aca="false">IF($A3959="","",IF(NOT(ISNUMBER(F3959)),"Wert fehlt; ",IF(F3959&lt;=0,"Wert ist 0; ",""))&amp;IF(NOT(ISNUMBER(E3959)),"Bestand fehlt; ",IF(E3959&lt;0,"Bestand negativ; ",IF(E3959=0,"Nullbestand; ","")))&amp;IF(D3959="","Warengruppe fehlt; ","")&amp;IF(B3959="","Bezeichnung fehlt; ","")&amp;IF(COUNTIFS($A$2:$A$5001,$A3959,$C$2:$C$5001,C3959)&gt;1,"Artikel doppelt im selben Lager; ",""))</f>
        <v/>
      </c>
      <c r="P3959" s="47" t="n">
        <f aca="false">IF(OR($A3959="",D3959=""),0,IF(COUNTIF($D$2:D3959,D3959)=1,SUMIF($D$2:$D$5001,D3959,$H$2:$H$5001)+ROW()/10000000,0))</f>
        <v>0</v>
      </c>
      <c r="Q3959" s="47" t="n">
        <f aca="false">IF(OR($A3959="",C3959=""),0,IF(COUNTIF($C$2:C3959,C3959)=1,SUMIF($C$2:$C$5001,C3959,$H$2:$H$5001)+ROW()/10000000,0))</f>
        <v>0</v>
      </c>
    </row>
    <row r="3960" customFormat="false" ht="15" hidden="false" customHeight="false" outlineLevel="0" collapsed="false">
      <c r="A3960" s="43"/>
      <c r="B3960" s="44"/>
      <c r="C3960" s="44"/>
      <c r="D3960" s="44"/>
      <c r="E3960" s="44"/>
      <c r="F3960" s="44"/>
      <c r="G3960" s="44"/>
      <c r="H3960" s="46" t="str">
        <f aca="false">IF($A3960="","",IF(OR(NOT(ISNUMBER(E3960)),NOT(ISNUMBER(F3960))),"",MAX(0,E3960)*F3960))</f>
        <v/>
      </c>
      <c r="I3960" s="46" t="str">
        <f aca="false">IF($A3960="","",SUMIF($A$2:$A$5001,$A3960,$H$2:$H$5001))</f>
        <v/>
      </c>
      <c r="J3960" s="47" t="n">
        <f aca="false">IF($A3960="",0,IF(COUNTIF($A$2:A3960,$A3960)=1,1,0))</f>
        <v>0</v>
      </c>
      <c r="K3960" s="47" t="n">
        <f aca="false">IF(J3960=1,N(I3960)+ROW()/10000000,0)</f>
        <v>0</v>
      </c>
      <c r="L3960" s="47" t="str">
        <f aca="false">IF(AND(J3960=1,N(I3960)&gt;0),SUMIF($K$2:$K$5001,"&gt;="&amp;K3960,$I$2:$I$5001)/MAX(1,SUM($H$2:$H$5001)),"")</f>
        <v/>
      </c>
      <c r="M3960" s="47" t="str">
        <f aca="false">IF($A3960="","",INDEX($L$2:$L$5001,MATCH($A3960,$A$2:$A$5001,0)))</f>
        <v/>
      </c>
      <c r="N3960" s="48" t="str">
        <f aca="false">IF($A3960="","",IF(N(M3960)=0,"–",IF(M3960&lt;=Start!$D$20,"A",IF(M3960&lt;=Start!$D$21,"B","C"))))</f>
        <v/>
      </c>
      <c r="O3960" s="48" t="str">
        <f aca="false">IF($A3960="","",IF(NOT(ISNUMBER(F3960)),"Wert fehlt; ",IF(F3960&lt;=0,"Wert ist 0; ",""))&amp;IF(NOT(ISNUMBER(E3960)),"Bestand fehlt; ",IF(E3960&lt;0,"Bestand negativ; ",IF(E3960=0,"Nullbestand; ","")))&amp;IF(D3960="","Warengruppe fehlt; ","")&amp;IF(B3960="","Bezeichnung fehlt; ","")&amp;IF(COUNTIFS($A$2:$A$5001,$A3960,$C$2:$C$5001,C3960)&gt;1,"Artikel doppelt im selben Lager; ",""))</f>
        <v/>
      </c>
      <c r="P3960" s="47" t="n">
        <f aca="false">IF(OR($A3960="",D3960=""),0,IF(COUNTIF($D$2:D3960,D3960)=1,SUMIF($D$2:$D$5001,D3960,$H$2:$H$5001)+ROW()/10000000,0))</f>
        <v>0</v>
      </c>
      <c r="Q3960" s="47" t="n">
        <f aca="false">IF(OR($A3960="",C3960=""),0,IF(COUNTIF($C$2:C3960,C3960)=1,SUMIF($C$2:$C$5001,C3960,$H$2:$H$5001)+ROW()/10000000,0))</f>
        <v>0</v>
      </c>
    </row>
    <row r="3961" customFormat="false" ht="15" hidden="false" customHeight="false" outlineLevel="0" collapsed="false">
      <c r="A3961" s="43"/>
      <c r="B3961" s="44"/>
      <c r="C3961" s="44"/>
      <c r="D3961" s="44"/>
      <c r="E3961" s="44"/>
      <c r="F3961" s="44"/>
      <c r="G3961" s="44"/>
      <c r="H3961" s="46" t="str">
        <f aca="false">IF($A3961="","",IF(OR(NOT(ISNUMBER(E3961)),NOT(ISNUMBER(F3961))),"",MAX(0,E3961)*F3961))</f>
        <v/>
      </c>
      <c r="I3961" s="46" t="str">
        <f aca="false">IF($A3961="","",SUMIF($A$2:$A$5001,$A3961,$H$2:$H$5001))</f>
        <v/>
      </c>
      <c r="J3961" s="47" t="n">
        <f aca="false">IF($A3961="",0,IF(COUNTIF($A$2:A3961,$A3961)=1,1,0))</f>
        <v>0</v>
      </c>
      <c r="K3961" s="47" t="n">
        <f aca="false">IF(J3961=1,N(I3961)+ROW()/10000000,0)</f>
        <v>0</v>
      </c>
      <c r="L3961" s="47" t="str">
        <f aca="false">IF(AND(J3961=1,N(I3961)&gt;0),SUMIF($K$2:$K$5001,"&gt;="&amp;K3961,$I$2:$I$5001)/MAX(1,SUM($H$2:$H$5001)),"")</f>
        <v/>
      </c>
      <c r="M3961" s="47" t="str">
        <f aca="false">IF($A3961="","",INDEX($L$2:$L$5001,MATCH($A3961,$A$2:$A$5001,0)))</f>
        <v/>
      </c>
      <c r="N3961" s="48" t="str">
        <f aca="false">IF($A3961="","",IF(N(M3961)=0,"–",IF(M3961&lt;=Start!$D$20,"A",IF(M3961&lt;=Start!$D$21,"B","C"))))</f>
        <v/>
      </c>
      <c r="O3961" s="48" t="str">
        <f aca="false">IF($A3961="","",IF(NOT(ISNUMBER(F3961)),"Wert fehlt; ",IF(F3961&lt;=0,"Wert ist 0; ",""))&amp;IF(NOT(ISNUMBER(E3961)),"Bestand fehlt; ",IF(E3961&lt;0,"Bestand negativ; ",IF(E3961=0,"Nullbestand; ","")))&amp;IF(D3961="","Warengruppe fehlt; ","")&amp;IF(B3961="","Bezeichnung fehlt; ","")&amp;IF(COUNTIFS($A$2:$A$5001,$A3961,$C$2:$C$5001,C3961)&gt;1,"Artikel doppelt im selben Lager; ",""))</f>
        <v/>
      </c>
      <c r="P3961" s="47" t="n">
        <f aca="false">IF(OR($A3961="",D3961=""),0,IF(COUNTIF($D$2:D3961,D3961)=1,SUMIF($D$2:$D$5001,D3961,$H$2:$H$5001)+ROW()/10000000,0))</f>
        <v>0</v>
      </c>
      <c r="Q3961" s="47" t="n">
        <f aca="false">IF(OR($A3961="",C3961=""),0,IF(COUNTIF($C$2:C3961,C3961)=1,SUMIF($C$2:$C$5001,C3961,$H$2:$H$5001)+ROW()/10000000,0))</f>
        <v>0</v>
      </c>
    </row>
    <row r="3962" customFormat="false" ht="15" hidden="false" customHeight="false" outlineLevel="0" collapsed="false">
      <c r="A3962" s="43"/>
      <c r="B3962" s="44"/>
      <c r="C3962" s="44"/>
      <c r="D3962" s="44"/>
      <c r="E3962" s="44"/>
      <c r="F3962" s="44"/>
      <c r="G3962" s="44"/>
      <c r="H3962" s="46" t="str">
        <f aca="false">IF($A3962="","",IF(OR(NOT(ISNUMBER(E3962)),NOT(ISNUMBER(F3962))),"",MAX(0,E3962)*F3962))</f>
        <v/>
      </c>
      <c r="I3962" s="46" t="str">
        <f aca="false">IF($A3962="","",SUMIF($A$2:$A$5001,$A3962,$H$2:$H$5001))</f>
        <v/>
      </c>
      <c r="J3962" s="47" t="n">
        <f aca="false">IF($A3962="",0,IF(COUNTIF($A$2:A3962,$A3962)=1,1,0))</f>
        <v>0</v>
      </c>
      <c r="K3962" s="47" t="n">
        <f aca="false">IF(J3962=1,N(I3962)+ROW()/10000000,0)</f>
        <v>0</v>
      </c>
      <c r="L3962" s="47" t="str">
        <f aca="false">IF(AND(J3962=1,N(I3962)&gt;0),SUMIF($K$2:$K$5001,"&gt;="&amp;K3962,$I$2:$I$5001)/MAX(1,SUM($H$2:$H$5001)),"")</f>
        <v/>
      </c>
      <c r="M3962" s="47" t="str">
        <f aca="false">IF($A3962="","",INDEX($L$2:$L$5001,MATCH($A3962,$A$2:$A$5001,0)))</f>
        <v/>
      </c>
      <c r="N3962" s="48" t="str">
        <f aca="false">IF($A3962="","",IF(N(M3962)=0,"–",IF(M3962&lt;=Start!$D$20,"A",IF(M3962&lt;=Start!$D$21,"B","C"))))</f>
        <v/>
      </c>
      <c r="O3962" s="48" t="str">
        <f aca="false">IF($A3962="","",IF(NOT(ISNUMBER(F3962)),"Wert fehlt; ",IF(F3962&lt;=0,"Wert ist 0; ",""))&amp;IF(NOT(ISNUMBER(E3962)),"Bestand fehlt; ",IF(E3962&lt;0,"Bestand negativ; ",IF(E3962=0,"Nullbestand; ","")))&amp;IF(D3962="","Warengruppe fehlt; ","")&amp;IF(B3962="","Bezeichnung fehlt; ","")&amp;IF(COUNTIFS($A$2:$A$5001,$A3962,$C$2:$C$5001,C3962)&gt;1,"Artikel doppelt im selben Lager; ",""))</f>
        <v/>
      </c>
      <c r="P3962" s="47" t="n">
        <f aca="false">IF(OR($A3962="",D3962=""),0,IF(COUNTIF($D$2:D3962,D3962)=1,SUMIF($D$2:$D$5001,D3962,$H$2:$H$5001)+ROW()/10000000,0))</f>
        <v>0</v>
      </c>
      <c r="Q3962" s="47" t="n">
        <f aca="false">IF(OR($A3962="",C3962=""),0,IF(COUNTIF($C$2:C3962,C3962)=1,SUMIF($C$2:$C$5001,C3962,$H$2:$H$5001)+ROW()/10000000,0))</f>
        <v>0</v>
      </c>
    </row>
    <row r="3963" customFormat="false" ht="15" hidden="false" customHeight="false" outlineLevel="0" collapsed="false">
      <c r="A3963" s="43"/>
      <c r="B3963" s="44"/>
      <c r="C3963" s="44"/>
      <c r="D3963" s="44"/>
      <c r="E3963" s="44"/>
      <c r="F3963" s="44"/>
      <c r="G3963" s="44"/>
      <c r="H3963" s="46" t="str">
        <f aca="false">IF($A3963="","",IF(OR(NOT(ISNUMBER(E3963)),NOT(ISNUMBER(F3963))),"",MAX(0,E3963)*F3963))</f>
        <v/>
      </c>
      <c r="I3963" s="46" t="str">
        <f aca="false">IF($A3963="","",SUMIF($A$2:$A$5001,$A3963,$H$2:$H$5001))</f>
        <v/>
      </c>
      <c r="J3963" s="47" t="n">
        <f aca="false">IF($A3963="",0,IF(COUNTIF($A$2:A3963,$A3963)=1,1,0))</f>
        <v>0</v>
      </c>
      <c r="K3963" s="47" t="n">
        <f aca="false">IF(J3963=1,N(I3963)+ROW()/10000000,0)</f>
        <v>0</v>
      </c>
      <c r="L3963" s="47" t="str">
        <f aca="false">IF(AND(J3963=1,N(I3963)&gt;0),SUMIF($K$2:$K$5001,"&gt;="&amp;K3963,$I$2:$I$5001)/MAX(1,SUM($H$2:$H$5001)),"")</f>
        <v/>
      </c>
      <c r="M3963" s="47" t="str">
        <f aca="false">IF($A3963="","",INDEX($L$2:$L$5001,MATCH($A3963,$A$2:$A$5001,0)))</f>
        <v/>
      </c>
      <c r="N3963" s="48" t="str">
        <f aca="false">IF($A3963="","",IF(N(M3963)=0,"–",IF(M3963&lt;=Start!$D$20,"A",IF(M3963&lt;=Start!$D$21,"B","C"))))</f>
        <v/>
      </c>
      <c r="O3963" s="48" t="str">
        <f aca="false">IF($A3963="","",IF(NOT(ISNUMBER(F3963)),"Wert fehlt; ",IF(F3963&lt;=0,"Wert ist 0; ",""))&amp;IF(NOT(ISNUMBER(E3963)),"Bestand fehlt; ",IF(E3963&lt;0,"Bestand negativ; ",IF(E3963=0,"Nullbestand; ","")))&amp;IF(D3963="","Warengruppe fehlt; ","")&amp;IF(B3963="","Bezeichnung fehlt; ","")&amp;IF(COUNTIFS($A$2:$A$5001,$A3963,$C$2:$C$5001,C3963)&gt;1,"Artikel doppelt im selben Lager; ",""))</f>
        <v/>
      </c>
      <c r="P3963" s="47" t="n">
        <f aca="false">IF(OR($A3963="",D3963=""),0,IF(COUNTIF($D$2:D3963,D3963)=1,SUMIF($D$2:$D$5001,D3963,$H$2:$H$5001)+ROW()/10000000,0))</f>
        <v>0</v>
      </c>
      <c r="Q3963" s="47" t="n">
        <f aca="false">IF(OR($A3963="",C3963=""),0,IF(COUNTIF($C$2:C3963,C3963)=1,SUMIF($C$2:$C$5001,C3963,$H$2:$H$5001)+ROW()/10000000,0))</f>
        <v>0</v>
      </c>
    </row>
    <row r="3964" customFormat="false" ht="15" hidden="false" customHeight="false" outlineLevel="0" collapsed="false">
      <c r="A3964" s="43"/>
      <c r="B3964" s="44"/>
      <c r="C3964" s="44"/>
      <c r="D3964" s="44"/>
      <c r="E3964" s="44"/>
      <c r="F3964" s="44"/>
      <c r="G3964" s="44"/>
      <c r="H3964" s="46" t="str">
        <f aca="false">IF($A3964="","",IF(OR(NOT(ISNUMBER(E3964)),NOT(ISNUMBER(F3964))),"",MAX(0,E3964)*F3964))</f>
        <v/>
      </c>
      <c r="I3964" s="46" t="str">
        <f aca="false">IF($A3964="","",SUMIF($A$2:$A$5001,$A3964,$H$2:$H$5001))</f>
        <v/>
      </c>
      <c r="J3964" s="47" t="n">
        <f aca="false">IF($A3964="",0,IF(COUNTIF($A$2:A3964,$A3964)=1,1,0))</f>
        <v>0</v>
      </c>
      <c r="K3964" s="47" t="n">
        <f aca="false">IF(J3964=1,N(I3964)+ROW()/10000000,0)</f>
        <v>0</v>
      </c>
      <c r="L3964" s="47" t="str">
        <f aca="false">IF(AND(J3964=1,N(I3964)&gt;0),SUMIF($K$2:$K$5001,"&gt;="&amp;K3964,$I$2:$I$5001)/MAX(1,SUM($H$2:$H$5001)),"")</f>
        <v/>
      </c>
      <c r="M3964" s="47" t="str">
        <f aca="false">IF($A3964="","",INDEX($L$2:$L$5001,MATCH($A3964,$A$2:$A$5001,0)))</f>
        <v/>
      </c>
      <c r="N3964" s="48" t="str">
        <f aca="false">IF($A3964="","",IF(N(M3964)=0,"–",IF(M3964&lt;=Start!$D$20,"A",IF(M3964&lt;=Start!$D$21,"B","C"))))</f>
        <v/>
      </c>
      <c r="O3964" s="48" t="str">
        <f aca="false">IF($A3964="","",IF(NOT(ISNUMBER(F3964)),"Wert fehlt; ",IF(F3964&lt;=0,"Wert ist 0; ",""))&amp;IF(NOT(ISNUMBER(E3964)),"Bestand fehlt; ",IF(E3964&lt;0,"Bestand negativ; ",IF(E3964=0,"Nullbestand; ","")))&amp;IF(D3964="","Warengruppe fehlt; ","")&amp;IF(B3964="","Bezeichnung fehlt; ","")&amp;IF(COUNTIFS($A$2:$A$5001,$A3964,$C$2:$C$5001,C3964)&gt;1,"Artikel doppelt im selben Lager; ",""))</f>
        <v/>
      </c>
      <c r="P3964" s="47" t="n">
        <f aca="false">IF(OR($A3964="",D3964=""),0,IF(COUNTIF($D$2:D3964,D3964)=1,SUMIF($D$2:$D$5001,D3964,$H$2:$H$5001)+ROW()/10000000,0))</f>
        <v>0</v>
      </c>
      <c r="Q3964" s="47" t="n">
        <f aca="false">IF(OR($A3964="",C3964=""),0,IF(COUNTIF($C$2:C3964,C3964)=1,SUMIF($C$2:$C$5001,C3964,$H$2:$H$5001)+ROW()/10000000,0))</f>
        <v>0</v>
      </c>
    </row>
    <row r="3965" customFormat="false" ht="15" hidden="false" customHeight="false" outlineLevel="0" collapsed="false">
      <c r="A3965" s="43"/>
      <c r="B3965" s="44"/>
      <c r="C3965" s="44"/>
      <c r="D3965" s="44"/>
      <c r="E3965" s="44"/>
      <c r="F3965" s="44"/>
      <c r="G3965" s="44"/>
      <c r="H3965" s="46" t="str">
        <f aca="false">IF($A3965="","",IF(OR(NOT(ISNUMBER(E3965)),NOT(ISNUMBER(F3965))),"",MAX(0,E3965)*F3965))</f>
        <v/>
      </c>
      <c r="I3965" s="46" t="str">
        <f aca="false">IF($A3965="","",SUMIF($A$2:$A$5001,$A3965,$H$2:$H$5001))</f>
        <v/>
      </c>
      <c r="J3965" s="47" t="n">
        <f aca="false">IF($A3965="",0,IF(COUNTIF($A$2:A3965,$A3965)=1,1,0))</f>
        <v>0</v>
      </c>
      <c r="K3965" s="47" t="n">
        <f aca="false">IF(J3965=1,N(I3965)+ROW()/10000000,0)</f>
        <v>0</v>
      </c>
      <c r="L3965" s="47" t="str">
        <f aca="false">IF(AND(J3965=1,N(I3965)&gt;0),SUMIF($K$2:$K$5001,"&gt;="&amp;K3965,$I$2:$I$5001)/MAX(1,SUM($H$2:$H$5001)),"")</f>
        <v/>
      </c>
      <c r="M3965" s="47" t="str">
        <f aca="false">IF($A3965="","",INDEX($L$2:$L$5001,MATCH($A3965,$A$2:$A$5001,0)))</f>
        <v/>
      </c>
      <c r="N3965" s="48" t="str">
        <f aca="false">IF($A3965="","",IF(N(M3965)=0,"–",IF(M3965&lt;=Start!$D$20,"A",IF(M3965&lt;=Start!$D$21,"B","C"))))</f>
        <v/>
      </c>
      <c r="O3965" s="48" t="str">
        <f aca="false">IF($A3965="","",IF(NOT(ISNUMBER(F3965)),"Wert fehlt; ",IF(F3965&lt;=0,"Wert ist 0; ",""))&amp;IF(NOT(ISNUMBER(E3965)),"Bestand fehlt; ",IF(E3965&lt;0,"Bestand negativ; ",IF(E3965=0,"Nullbestand; ","")))&amp;IF(D3965="","Warengruppe fehlt; ","")&amp;IF(B3965="","Bezeichnung fehlt; ","")&amp;IF(COUNTIFS($A$2:$A$5001,$A3965,$C$2:$C$5001,C3965)&gt;1,"Artikel doppelt im selben Lager; ",""))</f>
        <v/>
      </c>
      <c r="P3965" s="47" t="n">
        <f aca="false">IF(OR($A3965="",D3965=""),0,IF(COUNTIF($D$2:D3965,D3965)=1,SUMIF($D$2:$D$5001,D3965,$H$2:$H$5001)+ROW()/10000000,0))</f>
        <v>0</v>
      </c>
      <c r="Q3965" s="47" t="n">
        <f aca="false">IF(OR($A3965="",C3965=""),0,IF(COUNTIF($C$2:C3965,C3965)=1,SUMIF($C$2:$C$5001,C3965,$H$2:$H$5001)+ROW()/10000000,0))</f>
        <v>0</v>
      </c>
    </row>
    <row r="3966" customFormat="false" ht="15" hidden="false" customHeight="false" outlineLevel="0" collapsed="false">
      <c r="A3966" s="43"/>
      <c r="B3966" s="44"/>
      <c r="C3966" s="44"/>
      <c r="D3966" s="44"/>
      <c r="E3966" s="44"/>
      <c r="F3966" s="44"/>
      <c r="G3966" s="44"/>
      <c r="H3966" s="46" t="str">
        <f aca="false">IF($A3966="","",IF(OR(NOT(ISNUMBER(E3966)),NOT(ISNUMBER(F3966))),"",MAX(0,E3966)*F3966))</f>
        <v/>
      </c>
      <c r="I3966" s="46" t="str">
        <f aca="false">IF($A3966="","",SUMIF($A$2:$A$5001,$A3966,$H$2:$H$5001))</f>
        <v/>
      </c>
      <c r="J3966" s="47" t="n">
        <f aca="false">IF($A3966="",0,IF(COUNTIF($A$2:A3966,$A3966)=1,1,0))</f>
        <v>0</v>
      </c>
      <c r="K3966" s="47" t="n">
        <f aca="false">IF(J3966=1,N(I3966)+ROW()/10000000,0)</f>
        <v>0</v>
      </c>
      <c r="L3966" s="47" t="str">
        <f aca="false">IF(AND(J3966=1,N(I3966)&gt;0),SUMIF($K$2:$K$5001,"&gt;="&amp;K3966,$I$2:$I$5001)/MAX(1,SUM($H$2:$H$5001)),"")</f>
        <v/>
      </c>
      <c r="M3966" s="47" t="str">
        <f aca="false">IF($A3966="","",INDEX($L$2:$L$5001,MATCH($A3966,$A$2:$A$5001,0)))</f>
        <v/>
      </c>
      <c r="N3966" s="48" t="str">
        <f aca="false">IF($A3966="","",IF(N(M3966)=0,"–",IF(M3966&lt;=Start!$D$20,"A",IF(M3966&lt;=Start!$D$21,"B","C"))))</f>
        <v/>
      </c>
      <c r="O3966" s="48" t="str">
        <f aca="false">IF($A3966="","",IF(NOT(ISNUMBER(F3966)),"Wert fehlt; ",IF(F3966&lt;=0,"Wert ist 0; ",""))&amp;IF(NOT(ISNUMBER(E3966)),"Bestand fehlt; ",IF(E3966&lt;0,"Bestand negativ; ",IF(E3966=0,"Nullbestand; ","")))&amp;IF(D3966="","Warengruppe fehlt; ","")&amp;IF(B3966="","Bezeichnung fehlt; ","")&amp;IF(COUNTIFS($A$2:$A$5001,$A3966,$C$2:$C$5001,C3966)&gt;1,"Artikel doppelt im selben Lager; ",""))</f>
        <v/>
      </c>
      <c r="P3966" s="47" t="n">
        <f aca="false">IF(OR($A3966="",D3966=""),0,IF(COUNTIF($D$2:D3966,D3966)=1,SUMIF($D$2:$D$5001,D3966,$H$2:$H$5001)+ROW()/10000000,0))</f>
        <v>0</v>
      </c>
      <c r="Q3966" s="47" t="n">
        <f aca="false">IF(OR($A3966="",C3966=""),0,IF(COUNTIF($C$2:C3966,C3966)=1,SUMIF($C$2:$C$5001,C3966,$H$2:$H$5001)+ROW()/10000000,0))</f>
        <v>0</v>
      </c>
    </row>
    <row r="3967" customFormat="false" ht="15" hidden="false" customHeight="false" outlineLevel="0" collapsed="false">
      <c r="A3967" s="43"/>
      <c r="B3967" s="44"/>
      <c r="C3967" s="44"/>
      <c r="D3967" s="44"/>
      <c r="E3967" s="44"/>
      <c r="F3967" s="44"/>
      <c r="G3967" s="44"/>
      <c r="H3967" s="46" t="str">
        <f aca="false">IF($A3967="","",IF(OR(NOT(ISNUMBER(E3967)),NOT(ISNUMBER(F3967))),"",MAX(0,E3967)*F3967))</f>
        <v/>
      </c>
      <c r="I3967" s="46" t="str">
        <f aca="false">IF($A3967="","",SUMIF($A$2:$A$5001,$A3967,$H$2:$H$5001))</f>
        <v/>
      </c>
      <c r="J3967" s="47" t="n">
        <f aca="false">IF($A3967="",0,IF(COUNTIF($A$2:A3967,$A3967)=1,1,0))</f>
        <v>0</v>
      </c>
      <c r="K3967" s="47" t="n">
        <f aca="false">IF(J3967=1,N(I3967)+ROW()/10000000,0)</f>
        <v>0</v>
      </c>
      <c r="L3967" s="47" t="str">
        <f aca="false">IF(AND(J3967=1,N(I3967)&gt;0),SUMIF($K$2:$K$5001,"&gt;="&amp;K3967,$I$2:$I$5001)/MAX(1,SUM($H$2:$H$5001)),"")</f>
        <v/>
      </c>
      <c r="M3967" s="47" t="str">
        <f aca="false">IF($A3967="","",INDEX($L$2:$L$5001,MATCH($A3967,$A$2:$A$5001,0)))</f>
        <v/>
      </c>
      <c r="N3967" s="48" t="str">
        <f aca="false">IF($A3967="","",IF(N(M3967)=0,"–",IF(M3967&lt;=Start!$D$20,"A",IF(M3967&lt;=Start!$D$21,"B","C"))))</f>
        <v/>
      </c>
      <c r="O3967" s="48" t="str">
        <f aca="false">IF($A3967="","",IF(NOT(ISNUMBER(F3967)),"Wert fehlt; ",IF(F3967&lt;=0,"Wert ist 0; ",""))&amp;IF(NOT(ISNUMBER(E3967)),"Bestand fehlt; ",IF(E3967&lt;0,"Bestand negativ; ",IF(E3967=0,"Nullbestand; ","")))&amp;IF(D3967="","Warengruppe fehlt; ","")&amp;IF(B3967="","Bezeichnung fehlt; ","")&amp;IF(COUNTIFS($A$2:$A$5001,$A3967,$C$2:$C$5001,C3967)&gt;1,"Artikel doppelt im selben Lager; ",""))</f>
        <v/>
      </c>
      <c r="P3967" s="47" t="n">
        <f aca="false">IF(OR($A3967="",D3967=""),0,IF(COUNTIF($D$2:D3967,D3967)=1,SUMIF($D$2:$D$5001,D3967,$H$2:$H$5001)+ROW()/10000000,0))</f>
        <v>0</v>
      </c>
      <c r="Q3967" s="47" t="n">
        <f aca="false">IF(OR($A3967="",C3967=""),0,IF(COUNTIF($C$2:C3967,C3967)=1,SUMIF($C$2:$C$5001,C3967,$H$2:$H$5001)+ROW()/10000000,0))</f>
        <v>0</v>
      </c>
    </row>
    <row r="3968" customFormat="false" ht="15" hidden="false" customHeight="false" outlineLevel="0" collapsed="false">
      <c r="A3968" s="43"/>
      <c r="B3968" s="44"/>
      <c r="C3968" s="44"/>
      <c r="D3968" s="44"/>
      <c r="E3968" s="44"/>
      <c r="F3968" s="44"/>
      <c r="G3968" s="44"/>
      <c r="H3968" s="46" t="str">
        <f aca="false">IF($A3968="","",IF(OR(NOT(ISNUMBER(E3968)),NOT(ISNUMBER(F3968))),"",MAX(0,E3968)*F3968))</f>
        <v/>
      </c>
      <c r="I3968" s="46" t="str">
        <f aca="false">IF($A3968="","",SUMIF($A$2:$A$5001,$A3968,$H$2:$H$5001))</f>
        <v/>
      </c>
      <c r="J3968" s="47" t="n">
        <f aca="false">IF($A3968="",0,IF(COUNTIF($A$2:A3968,$A3968)=1,1,0))</f>
        <v>0</v>
      </c>
      <c r="K3968" s="47" t="n">
        <f aca="false">IF(J3968=1,N(I3968)+ROW()/10000000,0)</f>
        <v>0</v>
      </c>
      <c r="L3968" s="47" t="str">
        <f aca="false">IF(AND(J3968=1,N(I3968)&gt;0),SUMIF($K$2:$K$5001,"&gt;="&amp;K3968,$I$2:$I$5001)/MAX(1,SUM($H$2:$H$5001)),"")</f>
        <v/>
      </c>
      <c r="M3968" s="47" t="str">
        <f aca="false">IF($A3968="","",INDEX($L$2:$L$5001,MATCH($A3968,$A$2:$A$5001,0)))</f>
        <v/>
      </c>
      <c r="N3968" s="48" t="str">
        <f aca="false">IF($A3968="","",IF(N(M3968)=0,"–",IF(M3968&lt;=Start!$D$20,"A",IF(M3968&lt;=Start!$D$21,"B","C"))))</f>
        <v/>
      </c>
      <c r="O3968" s="48" t="str">
        <f aca="false">IF($A3968="","",IF(NOT(ISNUMBER(F3968)),"Wert fehlt; ",IF(F3968&lt;=0,"Wert ist 0; ",""))&amp;IF(NOT(ISNUMBER(E3968)),"Bestand fehlt; ",IF(E3968&lt;0,"Bestand negativ; ",IF(E3968=0,"Nullbestand; ","")))&amp;IF(D3968="","Warengruppe fehlt; ","")&amp;IF(B3968="","Bezeichnung fehlt; ","")&amp;IF(COUNTIFS($A$2:$A$5001,$A3968,$C$2:$C$5001,C3968)&gt;1,"Artikel doppelt im selben Lager; ",""))</f>
        <v/>
      </c>
      <c r="P3968" s="47" t="n">
        <f aca="false">IF(OR($A3968="",D3968=""),0,IF(COUNTIF($D$2:D3968,D3968)=1,SUMIF($D$2:$D$5001,D3968,$H$2:$H$5001)+ROW()/10000000,0))</f>
        <v>0</v>
      </c>
      <c r="Q3968" s="47" t="n">
        <f aca="false">IF(OR($A3968="",C3968=""),0,IF(COUNTIF($C$2:C3968,C3968)=1,SUMIF($C$2:$C$5001,C3968,$H$2:$H$5001)+ROW()/10000000,0))</f>
        <v>0</v>
      </c>
    </row>
    <row r="3969" customFormat="false" ht="15" hidden="false" customHeight="false" outlineLevel="0" collapsed="false">
      <c r="A3969" s="43"/>
      <c r="B3969" s="44"/>
      <c r="C3969" s="44"/>
      <c r="D3969" s="44"/>
      <c r="E3969" s="44"/>
      <c r="F3969" s="44"/>
      <c r="G3969" s="44"/>
      <c r="H3969" s="46" t="str">
        <f aca="false">IF($A3969="","",IF(OR(NOT(ISNUMBER(E3969)),NOT(ISNUMBER(F3969))),"",MAX(0,E3969)*F3969))</f>
        <v/>
      </c>
      <c r="I3969" s="46" t="str">
        <f aca="false">IF($A3969="","",SUMIF($A$2:$A$5001,$A3969,$H$2:$H$5001))</f>
        <v/>
      </c>
      <c r="J3969" s="47" t="n">
        <f aca="false">IF($A3969="",0,IF(COUNTIF($A$2:A3969,$A3969)=1,1,0))</f>
        <v>0</v>
      </c>
      <c r="K3969" s="47" t="n">
        <f aca="false">IF(J3969=1,N(I3969)+ROW()/10000000,0)</f>
        <v>0</v>
      </c>
      <c r="L3969" s="47" t="str">
        <f aca="false">IF(AND(J3969=1,N(I3969)&gt;0),SUMIF($K$2:$K$5001,"&gt;="&amp;K3969,$I$2:$I$5001)/MAX(1,SUM($H$2:$H$5001)),"")</f>
        <v/>
      </c>
      <c r="M3969" s="47" t="str">
        <f aca="false">IF($A3969="","",INDEX($L$2:$L$5001,MATCH($A3969,$A$2:$A$5001,0)))</f>
        <v/>
      </c>
      <c r="N3969" s="48" t="str">
        <f aca="false">IF($A3969="","",IF(N(M3969)=0,"–",IF(M3969&lt;=Start!$D$20,"A",IF(M3969&lt;=Start!$D$21,"B","C"))))</f>
        <v/>
      </c>
      <c r="O3969" s="48" t="str">
        <f aca="false">IF($A3969="","",IF(NOT(ISNUMBER(F3969)),"Wert fehlt; ",IF(F3969&lt;=0,"Wert ist 0; ",""))&amp;IF(NOT(ISNUMBER(E3969)),"Bestand fehlt; ",IF(E3969&lt;0,"Bestand negativ; ",IF(E3969=0,"Nullbestand; ","")))&amp;IF(D3969="","Warengruppe fehlt; ","")&amp;IF(B3969="","Bezeichnung fehlt; ","")&amp;IF(COUNTIFS($A$2:$A$5001,$A3969,$C$2:$C$5001,C3969)&gt;1,"Artikel doppelt im selben Lager; ",""))</f>
        <v/>
      </c>
      <c r="P3969" s="47" t="n">
        <f aca="false">IF(OR($A3969="",D3969=""),0,IF(COUNTIF($D$2:D3969,D3969)=1,SUMIF($D$2:$D$5001,D3969,$H$2:$H$5001)+ROW()/10000000,0))</f>
        <v>0</v>
      </c>
      <c r="Q3969" s="47" t="n">
        <f aca="false">IF(OR($A3969="",C3969=""),0,IF(COUNTIF($C$2:C3969,C3969)=1,SUMIF($C$2:$C$5001,C3969,$H$2:$H$5001)+ROW()/10000000,0))</f>
        <v>0</v>
      </c>
    </row>
    <row r="3970" customFormat="false" ht="15" hidden="false" customHeight="false" outlineLevel="0" collapsed="false">
      <c r="A3970" s="43"/>
      <c r="B3970" s="44"/>
      <c r="C3970" s="44"/>
      <c r="D3970" s="44"/>
      <c r="E3970" s="44"/>
      <c r="F3970" s="44"/>
      <c r="G3970" s="44"/>
      <c r="H3970" s="46" t="str">
        <f aca="false">IF($A3970="","",IF(OR(NOT(ISNUMBER(E3970)),NOT(ISNUMBER(F3970))),"",MAX(0,E3970)*F3970))</f>
        <v/>
      </c>
      <c r="I3970" s="46" t="str">
        <f aca="false">IF($A3970="","",SUMIF($A$2:$A$5001,$A3970,$H$2:$H$5001))</f>
        <v/>
      </c>
      <c r="J3970" s="47" t="n">
        <f aca="false">IF($A3970="",0,IF(COUNTIF($A$2:A3970,$A3970)=1,1,0))</f>
        <v>0</v>
      </c>
      <c r="K3970" s="47" t="n">
        <f aca="false">IF(J3970=1,N(I3970)+ROW()/10000000,0)</f>
        <v>0</v>
      </c>
      <c r="L3970" s="47" t="str">
        <f aca="false">IF(AND(J3970=1,N(I3970)&gt;0),SUMIF($K$2:$K$5001,"&gt;="&amp;K3970,$I$2:$I$5001)/MAX(1,SUM($H$2:$H$5001)),"")</f>
        <v/>
      </c>
      <c r="M3970" s="47" t="str">
        <f aca="false">IF($A3970="","",INDEX($L$2:$L$5001,MATCH($A3970,$A$2:$A$5001,0)))</f>
        <v/>
      </c>
      <c r="N3970" s="48" t="str">
        <f aca="false">IF($A3970="","",IF(N(M3970)=0,"–",IF(M3970&lt;=Start!$D$20,"A",IF(M3970&lt;=Start!$D$21,"B","C"))))</f>
        <v/>
      </c>
      <c r="O3970" s="48" t="str">
        <f aca="false">IF($A3970="","",IF(NOT(ISNUMBER(F3970)),"Wert fehlt; ",IF(F3970&lt;=0,"Wert ist 0; ",""))&amp;IF(NOT(ISNUMBER(E3970)),"Bestand fehlt; ",IF(E3970&lt;0,"Bestand negativ; ",IF(E3970=0,"Nullbestand; ","")))&amp;IF(D3970="","Warengruppe fehlt; ","")&amp;IF(B3970="","Bezeichnung fehlt; ","")&amp;IF(COUNTIFS($A$2:$A$5001,$A3970,$C$2:$C$5001,C3970)&gt;1,"Artikel doppelt im selben Lager; ",""))</f>
        <v/>
      </c>
      <c r="P3970" s="47" t="n">
        <f aca="false">IF(OR($A3970="",D3970=""),0,IF(COUNTIF($D$2:D3970,D3970)=1,SUMIF($D$2:$D$5001,D3970,$H$2:$H$5001)+ROW()/10000000,0))</f>
        <v>0</v>
      </c>
      <c r="Q3970" s="47" t="n">
        <f aca="false">IF(OR($A3970="",C3970=""),0,IF(COUNTIF($C$2:C3970,C3970)=1,SUMIF($C$2:$C$5001,C3970,$H$2:$H$5001)+ROW()/10000000,0))</f>
        <v>0</v>
      </c>
    </row>
    <row r="3971" customFormat="false" ht="15" hidden="false" customHeight="false" outlineLevel="0" collapsed="false">
      <c r="A3971" s="43"/>
      <c r="B3971" s="44"/>
      <c r="C3971" s="44"/>
      <c r="D3971" s="44"/>
      <c r="E3971" s="44"/>
      <c r="F3971" s="44"/>
      <c r="G3971" s="44"/>
      <c r="H3971" s="46" t="str">
        <f aca="false">IF($A3971="","",IF(OR(NOT(ISNUMBER(E3971)),NOT(ISNUMBER(F3971))),"",MAX(0,E3971)*F3971))</f>
        <v/>
      </c>
      <c r="I3971" s="46" t="str">
        <f aca="false">IF($A3971="","",SUMIF($A$2:$A$5001,$A3971,$H$2:$H$5001))</f>
        <v/>
      </c>
      <c r="J3971" s="47" t="n">
        <f aca="false">IF($A3971="",0,IF(COUNTIF($A$2:A3971,$A3971)=1,1,0))</f>
        <v>0</v>
      </c>
      <c r="K3971" s="47" t="n">
        <f aca="false">IF(J3971=1,N(I3971)+ROW()/10000000,0)</f>
        <v>0</v>
      </c>
      <c r="L3971" s="47" t="str">
        <f aca="false">IF(AND(J3971=1,N(I3971)&gt;0),SUMIF($K$2:$K$5001,"&gt;="&amp;K3971,$I$2:$I$5001)/MAX(1,SUM($H$2:$H$5001)),"")</f>
        <v/>
      </c>
      <c r="M3971" s="47" t="str">
        <f aca="false">IF($A3971="","",INDEX($L$2:$L$5001,MATCH($A3971,$A$2:$A$5001,0)))</f>
        <v/>
      </c>
      <c r="N3971" s="48" t="str">
        <f aca="false">IF($A3971="","",IF(N(M3971)=0,"–",IF(M3971&lt;=Start!$D$20,"A",IF(M3971&lt;=Start!$D$21,"B","C"))))</f>
        <v/>
      </c>
      <c r="O3971" s="48" t="str">
        <f aca="false">IF($A3971="","",IF(NOT(ISNUMBER(F3971)),"Wert fehlt; ",IF(F3971&lt;=0,"Wert ist 0; ",""))&amp;IF(NOT(ISNUMBER(E3971)),"Bestand fehlt; ",IF(E3971&lt;0,"Bestand negativ; ",IF(E3971=0,"Nullbestand; ","")))&amp;IF(D3971="","Warengruppe fehlt; ","")&amp;IF(B3971="","Bezeichnung fehlt; ","")&amp;IF(COUNTIFS($A$2:$A$5001,$A3971,$C$2:$C$5001,C3971)&gt;1,"Artikel doppelt im selben Lager; ",""))</f>
        <v/>
      </c>
      <c r="P3971" s="47" t="n">
        <f aca="false">IF(OR($A3971="",D3971=""),0,IF(COUNTIF($D$2:D3971,D3971)=1,SUMIF($D$2:$D$5001,D3971,$H$2:$H$5001)+ROW()/10000000,0))</f>
        <v>0</v>
      </c>
      <c r="Q3971" s="47" t="n">
        <f aca="false">IF(OR($A3971="",C3971=""),0,IF(COUNTIF($C$2:C3971,C3971)=1,SUMIF($C$2:$C$5001,C3971,$H$2:$H$5001)+ROW()/10000000,0))</f>
        <v>0</v>
      </c>
    </row>
    <row r="3972" customFormat="false" ht="15" hidden="false" customHeight="false" outlineLevel="0" collapsed="false">
      <c r="A3972" s="43"/>
      <c r="B3972" s="44"/>
      <c r="C3972" s="44"/>
      <c r="D3972" s="44"/>
      <c r="E3972" s="44"/>
      <c r="F3972" s="44"/>
      <c r="G3972" s="44"/>
      <c r="H3972" s="46" t="str">
        <f aca="false">IF($A3972="","",IF(OR(NOT(ISNUMBER(E3972)),NOT(ISNUMBER(F3972))),"",MAX(0,E3972)*F3972))</f>
        <v/>
      </c>
      <c r="I3972" s="46" t="str">
        <f aca="false">IF($A3972="","",SUMIF($A$2:$A$5001,$A3972,$H$2:$H$5001))</f>
        <v/>
      </c>
      <c r="J3972" s="47" t="n">
        <f aca="false">IF($A3972="",0,IF(COUNTIF($A$2:A3972,$A3972)=1,1,0))</f>
        <v>0</v>
      </c>
      <c r="K3972" s="47" t="n">
        <f aca="false">IF(J3972=1,N(I3972)+ROW()/10000000,0)</f>
        <v>0</v>
      </c>
      <c r="L3972" s="47" t="str">
        <f aca="false">IF(AND(J3972=1,N(I3972)&gt;0),SUMIF($K$2:$K$5001,"&gt;="&amp;K3972,$I$2:$I$5001)/MAX(1,SUM($H$2:$H$5001)),"")</f>
        <v/>
      </c>
      <c r="M3972" s="47" t="str">
        <f aca="false">IF($A3972="","",INDEX($L$2:$L$5001,MATCH($A3972,$A$2:$A$5001,0)))</f>
        <v/>
      </c>
      <c r="N3972" s="48" t="str">
        <f aca="false">IF($A3972="","",IF(N(M3972)=0,"–",IF(M3972&lt;=Start!$D$20,"A",IF(M3972&lt;=Start!$D$21,"B","C"))))</f>
        <v/>
      </c>
      <c r="O3972" s="48" t="str">
        <f aca="false">IF($A3972="","",IF(NOT(ISNUMBER(F3972)),"Wert fehlt; ",IF(F3972&lt;=0,"Wert ist 0; ",""))&amp;IF(NOT(ISNUMBER(E3972)),"Bestand fehlt; ",IF(E3972&lt;0,"Bestand negativ; ",IF(E3972=0,"Nullbestand; ","")))&amp;IF(D3972="","Warengruppe fehlt; ","")&amp;IF(B3972="","Bezeichnung fehlt; ","")&amp;IF(COUNTIFS($A$2:$A$5001,$A3972,$C$2:$C$5001,C3972)&gt;1,"Artikel doppelt im selben Lager; ",""))</f>
        <v/>
      </c>
      <c r="P3972" s="47" t="n">
        <f aca="false">IF(OR($A3972="",D3972=""),0,IF(COUNTIF($D$2:D3972,D3972)=1,SUMIF($D$2:$D$5001,D3972,$H$2:$H$5001)+ROW()/10000000,0))</f>
        <v>0</v>
      </c>
      <c r="Q3972" s="47" t="n">
        <f aca="false">IF(OR($A3972="",C3972=""),0,IF(COUNTIF($C$2:C3972,C3972)=1,SUMIF($C$2:$C$5001,C3972,$H$2:$H$5001)+ROW()/10000000,0))</f>
        <v>0</v>
      </c>
    </row>
    <row r="3973" customFormat="false" ht="15" hidden="false" customHeight="false" outlineLevel="0" collapsed="false">
      <c r="A3973" s="43"/>
      <c r="B3973" s="44"/>
      <c r="C3973" s="44"/>
      <c r="D3973" s="44"/>
      <c r="E3973" s="44"/>
      <c r="F3973" s="44"/>
      <c r="G3973" s="44"/>
      <c r="H3973" s="46" t="str">
        <f aca="false">IF($A3973="","",IF(OR(NOT(ISNUMBER(E3973)),NOT(ISNUMBER(F3973))),"",MAX(0,E3973)*F3973))</f>
        <v/>
      </c>
      <c r="I3973" s="46" t="str">
        <f aca="false">IF($A3973="","",SUMIF($A$2:$A$5001,$A3973,$H$2:$H$5001))</f>
        <v/>
      </c>
      <c r="J3973" s="47" t="n">
        <f aca="false">IF($A3973="",0,IF(COUNTIF($A$2:A3973,$A3973)=1,1,0))</f>
        <v>0</v>
      </c>
      <c r="K3973" s="47" t="n">
        <f aca="false">IF(J3973=1,N(I3973)+ROW()/10000000,0)</f>
        <v>0</v>
      </c>
      <c r="L3973" s="47" t="str">
        <f aca="false">IF(AND(J3973=1,N(I3973)&gt;0),SUMIF($K$2:$K$5001,"&gt;="&amp;K3973,$I$2:$I$5001)/MAX(1,SUM($H$2:$H$5001)),"")</f>
        <v/>
      </c>
      <c r="M3973" s="47" t="str">
        <f aca="false">IF($A3973="","",INDEX($L$2:$L$5001,MATCH($A3973,$A$2:$A$5001,0)))</f>
        <v/>
      </c>
      <c r="N3973" s="48" t="str">
        <f aca="false">IF($A3973="","",IF(N(M3973)=0,"–",IF(M3973&lt;=Start!$D$20,"A",IF(M3973&lt;=Start!$D$21,"B","C"))))</f>
        <v/>
      </c>
      <c r="O3973" s="48" t="str">
        <f aca="false">IF($A3973="","",IF(NOT(ISNUMBER(F3973)),"Wert fehlt; ",IF(F3973&lt;=0,"Wert ist 0; ",""))&amp;IF(NOT(ISNUMBER(E3973)),"Bestand fehlt; ",IF(E3973&lt;0,"Bestand negativ; ",IF(E3973=0,"Nullbestand; ","")))&amp;IF(D3973="","Warengruppe fehlt; ","")&amp;IF(B3973="","Bezeichnung fehlt; ","")&amp;IF(COUNTIFS($A$2:$A$5001,$A3973,$C$2:$C$5001,C3973)&gt;1,"Artikel doppelt im selben Lager; ",""))</f>
        <v/>
      </c>
      <c r="P3973" s="47" t="n">
        <f aca="false">IF(OR($A3973="",D3973=""),0,IF(COUNTIF($D$2:D3973,D3973)=1,SUMIF($D$2:$D$5001,D3973,$H$2:$H$5001)+ROW()/10000000,0))</f>
        <v>0</v>
      </c>
      <c r="Q3973" s="47" t="n">
        <f aca="false">IF(OR($A3973="",C3973=""),0,IF(COUNTIF($C$2:C3973,C3973)=1,SUMIF($C$2:$C$5001,C3973,$H$2:$H$5001)+ROW()/10000000,0))</f>
        <v>0</v>
      </c>
    </row>
    <row r="3974" customFormat="false" ht="15" hidden="false" customHeight="false" outlineLevel="0" collapsed="false">
      <c r="A3974" s="43"/>
      <c r="B3974" s="44"/>
      <c r="C3974" s="44"/>
      <c r="D3974" s="44"/>
      <c r="E3974" s="44"/>
      <c r="F3974" s="44"/>
      <c r="G3974" s="44"/>
      <c r="H3974" s="46" t="str">
        <f aca="false">IF($A3974="","",IF(OR(NOT(ISNUMBER(E3974)),NOT(ISNUMBER(F3974))),"",MAX(0,E3974)*F3974))</f>
        <v/>
      </c>
      <c r="I3974" s="46" t="str">
        <f aca="false">IF($A3974="","",SUMIF($A$2:$A$5001,$A3974,$H$2:$H$5001))</f>
        <v/>
      </c>
      <c r="J3974" s="47" t="n">
        <f aca="false">IF($A3974="",0,IF(COUNTIF($A$2:A3974,$A3974)=1,1,0))</f>
        <v>0</v>
      </c>
      <c r="K3974" s="47" t="n">
        <f aca="false">IF(J3974=1,N(I3974)+ROW()/10000000,0)</f>
        <v>0</v>
      </c>
      <c r="L3974" s="47" t="str">
        <f aca="false">IF(AND(J3974=1,N(I3974)&gt;0),SUMIF($K$2:$K$5001,"&gt;="&amp;K3974,$I$2:$I$5001)/MAX(1,SUM($H$2:$H$5001)),"")</f>
        <v/>
      </c>
      <c r="M3974" s="47" t="str">
        <f aca="false">IF($A3974="","",INDEX($L$2:$L$5001,MATCH($A3974,$A$2:$A$5001,0)))</f>
        <v/>
      </c>
      <c r="N3974" s="48" t="str">
        <f aca="false">IF($A3974="","",IF(N(M3974)=0,"–",IF(M3974&lt;=Start!$D$20,"A",IF(M3974&lt;=Start!$D$21,"B","C"))))</f>
        <v/>
      </c>
      <c r="O3974" s="48" t="str">
        <f aca="false">IF($A3974="","",IF(NOT(ISNUMBER(F3974)),"Wert fehlt; ",IF(F3974&lt;=0,"Wert ist 0; ",""))&amp;IF(NOT(ISNUMBER(E3974)),"Bestand fehlt; ",IF(E3974&lt;0,"Bestand negativ; ",IF(E3974=0,"Nullbestand; ","")))&amp;IF(D3974="","Warengruppe fehlt; ","")&amp;IF(B3974="","Bezeichnung fehlt; ","")&amp;IF(COUNTIFS($A$2:$A$5001,$A3974,$C$2:$C$5001,C3974)&gt;1,"Artikel doppelt im selben Lager; ",""))</f>
        <v/>
      </c>
      <c r="P3974" s="47" t="n">
        <f aca="false">IF(OR($A3974="",D3974=""),0,IF(COUNTIF($D$2:D3974,D3974)=1,SUMIF($D$2:$D$5001,D3974,$H$2:$H$5001)+ROW()/10000000,0))</f>
        <v>0</v>
      </c>
      <c r="Q3974" s="47" t="n">
        <f aca="false">IF(OR($A3974="",C3974=""),0,IF(COUNTIF($C$2:C3974,C3974)=1,SUMIF($C$2:$C$5001,C3974,$H$2:$H$5001)+ROW()/10000000,0))</f>
        <v>0</v>
      </c>
    </row>
    <row r="3975" customFormat="false" ht="15" hidden="false" customHeight="false" outlineLevel="0" collapsed="false">
      <c r="A3975" s="43"/>
      <c r="B3975" s="44"/>
      <c r="C3975" s="44"/>
      <c r="D3975" s="44"/>
      <c r="E3975" s="44"/>
      <c r="F3975" s="44"/>
      <c r="G3975" s="44"/>
      <c r="H3975" s="46" t="str">
        <f aca="false">IF($A3975="","",IF(OR(NOT(ISNUMBER(E3975)),NOT(ISNUMBER(F3975))),"",MAX(0,E3975)*F3975))</f>
        <v/>
      </c>
      <c r="I3975" s="46" t="str">
        <f aca="false">IF($A3975="","",SUMIF($A$2:$A$5001,$A3975,$H$2:$H$5001))</f>
        <v/>
      </c>
      <c r="J3975" s="47" t="n">
        <f aca="false">IF($A3975="",0,IF(COUNTIF($A$2:A3975,$A3975)=1,1,0))</f>
        <v>0</v>
      </c>
      <c r="K3975" s="47" t="n">
        <f aca="false">IF(J3975=1,N(I3975)+ROW()/10000000,0)</f>
        <v>0</v>
      </c>
      <c r="L3975" s="47" t="str">
        <f aca="false">IF(AND(J3975=1,N(I3975)&gt;0),SUMIF($K$2:$K$5001,"&gt;="&amp;K3975,$I$2:$I$5001)/MAX(1,SUM($H$2:$H$5001)),"")</f>
        <v/>
      </c>
      <c r="M3975" s="47" t="str">
        <f aca="false">IF($A3975="","",INDEX($L$2:$L$5001,MATCH($A3975,$A$2:$A$5001,0)))</f>
        <v/>
      </c>
      <c r="N3975" s="48" t="str">
        <f aca="false">IF($A3975="","",IF(N(M3975)=0,"–",IF(M3975&lt;=Start!$D$20,"A",IF(M3975&lt;=Start!$D$21,"B","C"))))</f>
        <v/>
      </c>
      <c r="O3975" s="48" t="str">
        <f aca="false">IF($A3975="","",IF(NOT(ISNUMBER(F3975)),"Wert fehlt; ",IF(F3975&lt;=0,"Wert ist 0; ",""))&amp;IF(NOT(ISNUMBER(E3975)),"Bestand fehlt; ",IF(E3975&lt;0,"Bestand negativ; ",IF(E3975=0,"Nullbestand; ","")))&amp;IF(D3975="","Warengruppe fehlt; ","")&amp;IF(B3975="","Bezeichnung fehlt; ","")&amp;IF(COUNTIFS($A$2:$A$5001,$A3975,$C$2:$C$5001,C3975)&gt;1,"Artikel doppelt im selben Lager; ",""))</f>
        <v/>
      </c>
      <c r="P3975" s="47" t="n">
        <f aca="false">IF(OR($A3975="",D3975=""),0,IF(COUNTIF($D$2:D3975,D3975)=1,SUMIF($D$2:$D$5001,D3975,$H$2:$H$5001)+ROW()/10000000,0))</f>
        <v>0</v>
      </c>
      <c r="Q3975" s="47" t="n">
        <f aca="false">IF(OR($A3975="",C3975=""),0,IF(COUNTIF($C$2:C3975,C3975)=1,SUMIF($C$2:$C$5001,C3975,$H$2:$H$5001)+ROW()/10000000,0))</f>
        <v>0</v>
      </c>
    </row>
    <row r="3976" customFormat="false" ht="15" hidden="false" customHeight="false" outlineLevel="0" collapsed="false">
      <c r="A3976" s="43"/>
      <c r="B3976" s="44"/>
      <c r="C3976" s="44"/>
      <c r="D3976" s="44"/>
      <c r="E3976" s="44"/>
      <c r="F3976" s="44"/>
      <c r="G3976" s="44"/>
      <c r="H3976" s="46" t="str">
        <f aca="false">IF($A3976="","",IF(OR(NOT(ISNUMBER(E3976)),NOT(ISNUMBER(F3976))),"",MAX(0,E3976)*F3976))</f>
        <v/>
      </c>
      <c r="I3976" s="46" t="str">
        <f aca="false">IF($A3976="","",SUMIF($A$2:$A$5001,$A3976,$H$2:$H$5001))</f>
        <v/>
      </c>
      <c r="J3976" s="47" t="n">
        <f aca="false">IF($A3976="",0,IF(COUNTIF($A$2:A3976,$A3976)=1,1,0))</f>
        <v>0</v>
      </c>
      <c r="K3976" s="47" t="n">
        <f aca="false">IF(J3976=1,N(I3976)+ROW()/10000000,0)</f>
        <v>0</v>
      </c>
      <c r="L3976" s="47" t="str">
        <f aca="false">IF(AND(J3976=1,N(I3976)&gt;0),SUMIF($K$2:$K$5001,"&gt;="&amp;K3976,$I$2:$I$5001)/MAX(1,SUM($H$2:$H$5001)),"")</f>
        <v/>
      </c>
      <c r="M3976" s="47" t="str">
        <f aca="false">IF($A3976="","",INDEX($L$2:$L$5001,MATCH($A3976,$A$2:$A$5001,0)))</f>
        <v/>
      </c>
      <c r="N3976" s="48" t="str">
        <f aca="false">IF($A3976="","",IF(N(M3976)=0,"–",IF(M3976&lt;=Start!$D$20,"A",IF(M3976&lt;=Start!$D$21,"B","C"))))</f>
        <v/>
      </c>
      <c r="O3976" s="48" t="str">
        <f aca="false">IF($A3976="","",IF(NOT(ISNUMBER(F3976)),"Wert fehlt; ",IF(F3976&lt;=0,"Wert ist 0; ",""))&amp;IF(NOT(ISNUMBER(E3976)),"Bestand fehlt; ",IF(E3976&lt;0,"Bestand negativ; ",IF(E3976=0,"Nullbestand; ","")))&amp;IF(D3976="","Warengruppe fehlt; ","")&amp;IF(B3976="","Bezeichnung fehlt; ","")&amp;IF(COUNTIFS($A$2:$A$5001,$A3976,$C$2:$C$5001,C3976)&gt;1,"Artikel doppelt im selben Lager; ",""))</f>
        <v/>
      </c>
      <c r="P3976" s="47" t="n">
        <f aca="false">IF(OR($A3976="",D3976=""),0,IF(COUNTIF($D$2:D3976,D3976)=1,SUMIF($D$2:$D$5001,D3976,$H$2:$H$5001)+ROW()/10000000,0))</f>
        <v>0</v>
      </c>
      <c r="Q3976" s="47" t="n">
        <f aca="false">IF(OR($A3976="",C3976=""),0,IF(COUNTIF($C$2:C3976,C3976)=1,SUMIF($C$2:$C$5001,C3976,$H$2:$H$5001)+ROW()/10000000,0))</f>
        <v>0</v>
      </c>
    </row>
    <row r="3977" customFormat="false" ht="15" hidden="false" customHeight="false" outlineLevel="0" collapsed="false">
      <c r="A3977" s="43"/>
      <c r="B3977" s="44"/>
      <c r="C3977" s="44"/>
      <c r="D3977" s="44"/>
      <c r="E3977" s="44"/>
      <c r="F3977" s="44"/>
      <c r="G3977" s="44"/>
      <c r="H3977" s="46" t="str">
        <f aca="false">IF($A3977="","",IF(OR(NOT(ISNUMBER(E3977)),NOT(ISNUMBER(F3977))),"",MAX(0,E3977)*F3977))</f>
        <v/>
      </c>
      <c r="I3977" s="46" t="str">
        <f aca="false">IF($A3977="","",SUMIF($A$2:$A$5001,$A3977,$H$2:$H$5001))</f>
        <v/>
      </c>
      <c r="J3977" s="47" t="n">
        <f aca="false">IF($A3977="",0,IF(COUNTIF($A$2:A3977,$A3977)=1,1,0))</f>
        <v>0</v>
      </c>
      <c r="K3977" s="47" t="n">
        <f aca="false">IF(J3977=1,N(I3977)+ROW()/10000000,0)</f>
        <v>0</v>
      </c>
      <c r="L3977" s="47" t="str">
        <f aca="false">IF(AND(J3977=1,N(I3977)&gt;0),SUMIF($K$2:$K$5001,"&gt;="&amp;K3977,$I$2:$I$5001)/MAX(1,SUM($H$2:$H$5001)),"")</f>
        <v/>
      </c>
      <c r="M3977" s="47" t="str">
        <f aca="false">IF($A3977="","",INDEX($L$2:$L$5001,MATCH($A3977,$A$2:$A$5001,0)))</f>
        <v/>
      </c>
      <c r="N3977" s="48" t="str">
        <f aca="false">IF($A3977="","",IF(N(M3977)=0,"–",IF(M3977&lt;=Start!$D$20,"A",IF(M3977&lt;=Start!$D$21,"B","C"))))</f>
        <v/>
      </c>
      <c r="O3977" s="48" t="str">
        <f aca="false">IF($A3977="","",IF(NOT(ISNUMBER(F3977)),"Wert fehlt; ",IF(F3977&lt;=0,"Wert ist 0; ",""))&amp;IF(NOT(ISNUMBER(E3977)),"Bestand fehlt; ",IF(E3977&lt;0,"Bestand negativ; ",IF(E3977=0,"Nullbestand; ","")))&amp;IF(D3977="","Warengruppe fehlt; ","")&amp;IF(B3977="","Bezeichnung fehlt; ","")&amp;IF(COUNTIFS($A$2:$A$5001,$A3977,$C$2:$C$5001,C3977)&gt;1,"Artikel doppelt im selben Lager; ",""))</f>
        <v/>
      </c>
      <c r="P3977" s="47" t="n">
        <f aca="false">IF(OR($A3977="",D3977=""),0,IF(COUNTIF($D$2:D3977,D3977)=1,SUMIF($D$2:$D$5001,D3977,$H$2:$H$5001)+ROW()/10000000,0))</f>
        <v>0</v>
      </c>
      <c r="Q3977" s="47" t="n">
        <f aca="false">IF(OR($A3977="",C3977=""),0,IF(COUNTIF($C$2:C3977,C3977)=1,SUMIF($C$2:$C$5001,C3977,$H$2:$H$5001)+ROW()/10000000,0))</f>
        <v>0</v>
      </c>
    </row>
    <row r="3978" customFormat="false" ht="15" hidden="false" customHeight="false" outlineLevel="0" collapsed="false">
      <c r="A3978" s="43"/>
      <c r="B3978" s="44"/>
      <c r="C3978" s="44"/>
      <c r="D3978" s="44"/>
      <c r="E3978" s="44"/>
      <c r="F3978" s="44"/>
      <c r="G3978" s="44"/>
      <c r="H3978" s="46" t="str">
        <f aca="false">IF($A3978="","",IF(OR(NOT(ISNUMBER(E3978)),NOT(ISNUMBER(F3978))),"",MAX(0,E3978)*F3978))</f>
        <v/>
      </c>
      <c r="I3978" s="46" t="str">
        <f aca="false">IF($A3978="","",SUMIF($A$2:$A$5001,$A3978,$H$2:$H$5001))</f>
        <v/>
      </c>
      <c r="J3978" s="47" t="n">
        <f aca="false">IF($A3978="",0,IF(COUNTIF($A$2:A3978,$A3978)=1,1,0))</f>
        <v>0</v>
      </c>
      <c r="K3978" s="47" t="n">
        <f aca="false">IF(J3978=1,N(I3978)+ROW()/10000000,0)</f>
        <v>0</v>
      </c>
      <c r="L3978" s="47" t="str">
        <f aca="false">IF(AND(J3978=1,N(I3978)&gt;0),SUMIF($K$2:$K$5001,"&gt;="&amp;K3978,$I$2:$I$5001)/MAX(1,SUM($H$2:$H$5001)),"")</f>
        <v/>
      </c>
      <c r="M3978" s="47" t="str">
        <f aca="false">IF($A3978="","",INDEX($L$2:$L$5001,MATCH($A3978,$A$2:$A$5001,0)))</f>
        <v/>
      </c>
      <c r="N3978" s="48" t="str">
        <f aca="false">IF($A3978="","",IF(N(M3978)=0,"–",IF(M3978&lt;=Start!$D$20,"A",IF(M3978&lt;=Start!$D$21,"B","C"))))</f>
        <v/>
      </c>
      <c r="O3978" s="48" t="str">
        <f aca="false">IF($A3978="","",IF(NOT(ISNUMBER(F3978)),"Wert fehlt; ",IF(F3978&lt;=0,"Wert ist 0; ",""))&amp;IF(NOT(ISNUMBER(E3978)),"Bestand fehlt; ",IF(E3978&lt;0,"Bestand negativ; ",IF(E3978=0,"Nullbestand; ","")))&amp;IF(D3978="","Warengruppe fehlt; ","")&amp;IF(B3978="","Bezeichnung fehlt; ","")&amp;IF(COUNTIFS($A$2:$A$5001,$A3978,$C$2:$C$5001,C3978)&gt;1,"Artikel doppelt im selben Lager; ",""))</f>
        <v/>
      </c>
      <c r="P3978" s="47" t="n">
        <f aca="false">IF(OR($A3978="",D3978=""),0,IF(COUNTIF($D$2:D3978,D3978)=1,SUMIF($D$2:$D$5001,D3978,$H$2:$H$5001)+ROW()/10000000,0))</f>
        <v>0</v>
      </c>
      <c r="Q3978" s="47" t="n">
        <f aca="false">IF(OR($A3978="",C3978=""),0,IF(COUNTIF($C$2:C3978,C3978)=1,SUMIF($C$2:$C$5001,C3978,$H$2:$H$5001)+ROW()/10000000,0))</f>
        <v>0</v>
      </c>
    </row>
    <row r="3979" customFormat="false" ht="15" hidden="false" customHeight="false" outlineLevel="0" collapsed="false">
      <c r="A3979" s="43"/>
      <c r="B3979" s="44"/>
      <c r="C3979" s="44"/>
      <c r="D3979" s="44"/>
      <c r="E3979" s="44"/>
      <c r="F3979" s="44"/>
      <c r="G3979" s="44"/>
      <c r="H3979" s="46" t="str">
        <f aca="false">IF($A3979="","",IF(OR(NOT(ISNUMBER(E3979)),NOT(ISNUMBER(F3979))),"",MAX(0,E3979)*F3979))</f>
        <v/>
      </c>
      <c r="I3979" s="46" t="str">
        <f aca="false">IF($A3979="","",SUMIF($A$2:$A$5001,$A3979,$H$2:$H$5001))</f>
        <v/>
      </c>
      <c r="J3979" s="47" t="n">
        <f aca="false">IF($A3979="",0,IF(COUNTIF($A$2:A3979,$A3979)=1,1,0))</f>
        <v>0</v>
      </c>
      <c r="K3979" s="47" t="n">
        <f aca="false">IF(J3979=1,N(I3979)+ROW()/10000000,0)</f>
        <v>0</v>
      </c>
      <c r="L3979" s="47" t="str">
        <f aca="false">IF(AND(J3979=1,N(I3979)&gt;0),SUMIF($K$2:$K$5001,"&gt;="&amp;K3979,$I$2:$I$5001)/MAX(1,SUM($H$2:$H$5001)),"")</f>
        <v/>
      </c>
      <c r="M3979" s="47" t="str">
        <f aca="false">IF($A3979="","",INDEX($L$2:$L$5001,MATCH($A3979,$A$2:$A$5001,0)))</f>
        <v/>
      </c>
      <c r="N3979" s="48" t="str">
        <f aca="false">IF($A3979="","",IF(N(M3979)=0,"–",IF(M3979&lt;=Start!$D$20,"A",IF(M3979&lt;=Start!$D$21,"B","C"))))</f>
        <v/>
      </c>
      <c r="O3979" s="48" t="str">
        <f aca="false">IF($A3979="","",IF(NOT(ISNUMBER(F3979)),"Wert fehlt; ",IF(F3979&lt;=0,"Wert ist 0; ",""))&amp;IF(NOT(ISNUMBER(E3979)),"Bestand fehlt; ",IF(E3979&lt;0,"Bestand negativ; ",IF(E3979=0,"Nullbestand; ","")))&amp;IF(D3979="","Warengruppe fehlt; ","")&amp;IF(B3979="","Bezeichnung fehlt; ","")&amp;IF(COUNTIFS($A$2:$A$5001,$A3979,$C$2:$C$5001,C3979)&gt;1,"Artikel doppelt im selben Lager; ",""))</f>
        <v/>
      </c>
      <c r="P3979" s="47" t="n">
        <f aca="false">IF(OR($A3979="",D3979=""),0,IF(COUNTIF($D$2:D3979,D3979)=1,SUMIF($D$2:$D$5001,D3979,$H$2:$H$5001)+ROW()/10000000,0))</f>
        <v>0</v>
      </c>
      <c r="Q3979" s="47" t="n">
        <f aca="false">IF(OR($A3979="",C3979=""),0,IF(COUNTIF($C$2:C3979,C3979)=1,SUMIF($C$2:$C$5001,C3979,$H$2:$H$5001)+ROW()/10000000,0))</f>
        <v>0</v>
      </c>
    </row>
    <row r="3980" customFormat="false" ht="15" hidden="false" customHeight="false" outlineLevel="0" collapsed="false">
      <c r="A3980" s="43"/>
      <c r="B3980" s="44"/>
      <c r="C3980" s="44"/>
      <c r="D3980" s="44"/>
      <c r="E3980" s="44"/>
      <c r="F3980" s="44"/>
      <c r="G3980" s="44"/>
      <c r="H3980" s="46" t="str">
        <f aca="false">IF($A3980="","",IF(OR(NOT(ISNUMBER(E3980)),NOT(ISNUMBER(F3980))),"",MAX(0,E3980)*F3980))</f>
        <v/>
      </c>
      <c r="I3980" s="46" t="str">
        <f aca="false">IF($A3980="","",SUMIF($A$2:$A$5001,$A3980,$H$2:$H$5001))</f>
        <v/>
      </c>
      <c r="J3980" s="47" t="n">
        <f aca="false">IF($A3980="",0,IF(COUNTIF($A$2:A3980,$A3980)=1,1,0))</f>
        <v>0</v>
      </c>
      <c r="K3980" s="47" t="n">
        <f aca="false">IF(J3980=1,N(I3980)+ROW()/10000000,0)</f>
        <v>0</v>
      </c>
      <c r="L3980" s="47" t="str">
        <f aca="false">IF(AND(J3980=1,N(I3980)&gt;0),SUMIF($K$2:$K$5001,"&gt;="&amp;K3980,$I$2:$I$5001)/MAX(1,SUM($H$2:$H$5001)),"")</f>
        <v/>
      </c>
      <c r="M3980" s="47" t="str">
        <f aca="false">IF($A3980="","",INDEX($L$2:$L$5001,MATCH($A3980,$A$2:$A$5001,0)))</f>
        <v/>
      </c>
      <c r="N3980" s="48" t="str">
        <f aca="false">IF($A3980="","",IF(N(M3980)=0,"–",IF(M3980&lt;=Start!$D$20,"A",IF(M3980&lt;=Start!$D$21,"B","C"))))</f>
        <v/>
      </c>
      <c r="O3980" s="48" t="str">
        <f aca="false">IF($A3980="","",IF(NOT(ISNUMBER(F3980)),"Wert fehlt; ",IF(F3980&lt;=0,"Wert ist 0; ",""))&amp;IF(NOT(ISNUMBER(E3980)),"Bestand fehlt; ",IF(E3980&lt;0,"Bestand negativ; ",IF(E3980=0,"Nullbestand; ","")))&amp;IF(D3980="","Warengruppe fehlt; ","")&amp;IF(B3980="","Bezeichnung fehlt; ","")&amp;IF(COUNTIFS($A$2:$A$5001,$A3980,$C$2:$C$5001,C3980)&gt;1,"Artikel doppelt im selben Lager; ",""))</f>
        <v/>
      </c>
      <c r="P3980" s="47" t="n">
        <f aca="false">IF(OR($A3980="",D3980=""),0,IF(COUNTIF($D$2:D3980,D3980)=1,SUMIF($D$2:$D$5001,D3980,$H$2:$H$5001)+ROW()/10000000,0))</f>
        <v>0</v>
      </c>
      <c r="Q3980" s="47" t="n">
        <f aca="false">IF(OR($A3980="",C3980=""),0,IF(COUNTIF($C$2:C3980,C3980)=1,SUMIF($C$2:$C$5001,C3980,$H$2:$H$5001)+ROW()/10000000,0))</f>
        <v>0</v>
      </c>
    </row>
    <row r="3981" customFormat="false" ht="15" hidden="false" customHeight="false" outlineLevel="0" collapsed="false">
      <c r="A3981" s="43"/>
      <c r="B3981" s="44"/>
      <c r="C3981" s="44"/>
      <c r="D3981" s="44"/>
      <c r="E3981" s="44"/>
      <c r="F3981" s="44"/>
      <c r="G3981" s="44"/>
      <c r="H3981" s="46" t="str">
        <f aca="false">IF($A3981="","",IF(OR(NOT(ISNUMBER(E3981)),NOT(ISNUMBER(F3981))),"",MAX(0,E3981)*F3981))</f>
        <v/>
      </c>
      <c r="I3981" s="46" t="str">
        <f aca="false">IF($A3981="","",SUMIF($A$2:$A$5001,$A3981,$H$2:$H$5001))</f>
        <v/>
      </c>
      <c r="J3981" s="47" t="n">
        <f aca="false">IF($A3981="",0,IF(COUNTIF($A$2:A3981,$A3981)=1,1,0))</f>
        <v>0</v>
      </c>
      <c r="K3981" s="47" t="n">
        <f aca="false">IF(J3981=1,N(I3981)+ROW()/10000000,0)</f>
        <v>0</v>
      </c>
      <c r="L3981" s="47" t="str">
        <f aca="false">IF(AND(J3981=1,N(I3981)&gt;0),SUMIF($K$2:$K$5001,"&gt;="&amp;K3981,$I$2:$I$5001)/MAX(1,SUM($H$2:$H$5001)),"")</f>
        <v/>
      </c>
      <c r="M3981" s="47" t="str">
        <f aca="false">IF($A3981="","",INDEX($L$2:$L$5001,MATCH($A3981,$A$2:$A$5001,0)))</f>
        <v/>
      </c>
      <c r="N3981" s="48" t="str">
        <f aca="false">IF($A3981="","",IF(N(M3981)=0,"–",IF(M3981&lt;=Start!$D$20,"A",IF(M3981&lt;=Start!$D$21,"B","C"))))</f>
        <v/>
      </c>
      <c r="O3981" s="48" t="str">
        <f aca="false">IF($A3981="","",IF(NOT(ISNUMBER(F3981)),"Wert fehlt; ",IF(F3981&lt;=0,"Wert ist 0; ",""))&amp;IF(NOT(ISNUMBER(E3981)),"Bestand fehlt; ",IF(E3981&lt;0,"Bestand negativ; ",IF(E3981=0,"Nullbestand; ","")))&amp;IF(D3981="","Warengruppe fehlt; ","")&amp;IF(B3981="","Bezeichnung fehlt; ","")&amp;IF(COUNTIFS($A$2:$A$5001,$A3981,$C$2:$C$5001,C3981)&gt;1,"Artikel doppelt im selben Lager; ",""))</f>
        <v/>
      </c>
      <c r="P3981" s="47" t="n">
        <f aca="false">IF(OR($A3981="",D3981=""),0,IF(COUNTIF($D$2:D3981,D3981)=1,SUMIF($D$2:$D$5001,D3981,$H$2:$H$5001)+ROW()/10000000,0))</f>
        <v>0</v>
      </c>
      <c r="Q3981" s="47" t="n">
        <f aca="false">IF(OR($A3981="",C3981=""),0,IF(COUNTIF($C$2:C3981,C3981)=1,SUMIF($C$2:$C$5001,C3981,$H$2:$H$5001)+ROW()/10000000,0))</f>
        <v>0</v>
      </c>
    </row>
    <row r="3982" customFormat="false" ht="15" hidden="false" customHeight="false" outlineLevel="0" collapsed="false">
      <c r="A3982" s="43"/>
      <c r="B3982" s="44"/>
      <c r="C3982" s="44"/>
      <c r="D3982" s="44"/>
      <c r="E3982" s="44"/>
      <c r="F3982" s="44"/>
      <c r="G3982" s="44"/>
      <c r="H3982" s="46" t="str">
        <f aca="false">IF($A3982="","",IF(OR(NOT(ISNUMBER(E3982)),NOT(ISNUMBER(F3982))),"",MAX(0,E3982)*F3982))</f>
        <v/>
      </c>
      <c r="I3982" s="46" t="str">
        <f aca="false">IF($A3982="","",SUMIF($A$2:$A$5001,$A3982,$H$2:$H$5001))</f>
        <v/>
      </c>
      <c r="J3982" s="47" t="n">
        <f aca="false">IF($A3982="",0,IF(COUNTIF($A$2:A3982,$A3982)=1,1,0))</f>
        <v>0</v>
      </c>
      <c r="K3982" s="47" t="n">
        <f aca="false">IF(J3982=1,N(I3982)+ROW()/10000000,0)</f>
        <v>0</v>
      </c>
      <c r="L3982" s="47" t="str">
        <f aca="false">IF(AND(J3982=1,N(I3982)&gt;0),SUMIF($K$2:$K$5001,"&gt;="&amp;K3982,$I$2:$I$5001)/MAX(1,SUM($H$2:$H$5001)),"")</f>
        <v/>
      </c>
      <c r="M3982" s="47" t="str">
        <f aca="false">IF($A3982="","",INDEX($L$2:$L$5001,MATCH($A3982,$A$2:$A$5001,0)))</f>
        <v/>
      </c>
      <c r="N3982" s="48" t="str">
        <f aca="false">IF($A3982="","",IF(N(M3982)=0,"–",IF(M3982&lt;=Start!$D$20,"A",IF(M3982&lt;=Start!$D$21,"B","C"))))</f>
        <v/>
      </c>
      <c r="O3982" s="48" t="str">
        <f aca="false">IF($A3982="","",IF(NOT(ISNUMBER(F3982)),"Wert fehlt; ",IF(F3982&lt;=0,"Wert ist 0; ",""))&amp;IF(NOT(ISNUMBER(E3982)),"Bestand fehlt; ",IF(E3982&lt;0,"Bestand negativ; ",IF(E3982=0,"Nullbestand; ","")))&amp;IF(D3982="","Warengruppe fehlt; ","")&amp;IF(B3982="","Bezeichnung fehlt; ","")&amp;IF(COUNTIFS($A$2:$A$5001,$A3982,$C$2:$C$5001,C3982)&gt;1,"Artikel doppelt im selben Lager; ",""))</f>
        <v/>
      </c>
      <c r="P3982" s="47" t="n">
        <f aca="false">IF(OR($A3982="",D3982=""),0,IF(COUNTIF($D$2:D3982,D3982)=1,SUMIF($D$2:$D$5001,D3982,$H$2:$H$5001)+ROW()/10000000,0))</f>
        <v>0</v>
      </c>
      <c r="Q3982" s="47" t="n">
        <f aca="false">IF(OR($A3982="",C3982=""),0,IF(COUNTIF($C$2:C3982,C3982)=1,SUMIF($C$2:$C$5001,C3982,$H$2:$H$5001)+ROW()/10000000,0))</f>
        <v>0</v>
      </c>
    </row>
    <row r="3983" customFormat="false" ht="15" hidden="false" customHeight="false" outlineLevel="0" collapsed="false">
      <c r="A3983" s="43"/>
      <c r="B3983" s="44"/>
      <c r="C3983" s="44"/>
      <c r="D3983" s="44"/>
      <c r="E3983" s="44"/>
      <c r="F3983" s="44"/>
      <c r="G3983" s="44"/>
      <c r="H3983" s="46" t="str">
        <f aca="false">IF($A3983="","",IF(OR(NOT(ISNUMBER(E3983)),NOT(ISNUMBER(F3983))),"",MAX(0,E3983)*F3983))</f>
        <v/>
      </c>
      <c r="I3983" s="46" t="str">
        <f aca="false">IF($A3983="","",SUMIF($A$2:$A$5001,$A3983,$H$2:$H$5001))</f>
        <v/>
      </c>
      <c r="J3983" s="47" t="n">
        <f aca="false">IF($A3983="",0,IF(COUNTIF($A$2:A3983,$A3983)=1,1,0))</f>
        <v>0</v>
      </c>
      <c r="K3983" s="47" t="n">
        <f aca="false">IF(J3983=1,N(I3983)+ROW()/10000000,0)</f>
        <v>0</v>
      </c>
      <c r="L3983" s="47" t="str">
        <f aca="false">IF(AND(J3983=1,N(I3983)&gt;0),SUMIF($K$2:$K$5001,"&gt;="&amp;K3983,$I$2:$I$5001)/MAX(1,SUM($H$2:$H$5001)),"")</f>
        <v/>
      </c>
      <c r="M3983" s="47" t="str">
        <f aca="false">IF($A3983="","",INDEX($L$2:$L$5001,MATCH($A3983,$A$2:$A$5001,0)))</f>
        <v/>
      </c>
      <c r="N3983" s="48" t="str">
        <f aca="false">IF($A3983="","",IF(N(M3983)=0,"–",IF(M3983&lt;=Start!$D$20,"A",IF(M3983&lt;=Start!$D$21,"B","C"))))</f>
        <v/>
      </c>
      <c r="O3983" s="48" t="str">
        <f aca="false">IF($A3983="","",IF(NOT(ISNUMBER(F3983)),"Wert fehlt; ",IF(F3983&lt;=0,"Wert ist 0; ",""))&amp;IF(NOT(ISNUMBER(E3983)),"Bestand fehlt; ",IF(E3983&lt;0,"Bestand negativ; ",IF(E3983=0,"Nullbestand; ","")))&amp;IF(D3983="","Warengruppe fehlt; ","")&amp;IF(B3983="","Bezeichnung fehlt; ","")&amp;IF(COUNTIFS($A$2:$A$5001,$A3983,$C$2:$C$5001,C3983)&gt;1,"Artikel doppelt im selben Lager; ",""))</f>
        <v/>
      </c>
      <c r="P3983" s="47" t="n">
        <f aca="false">IF(OR($A3983="",D3983=""),0,IF(COUNTIF($D$2:D3983,D3983)=1,SUMIF($D$2:$D$5001,D3983,$H$2:$H$5001)+ROW()/10000000,0))</f>
        <v>0</v>
      </c>
      <c r="Q3983" s="47" t="n">
        <f aca="false">IF(OR($A3983="",C3983=""),0,IF(COUNTIF($C$2:C3983,C3983)=1,SUMIF($C$2:$C$5001,C3983,$H$2:$H$5001)+ROW()/10000000,0))</f>
        <v>0</v>
      </c>
    </row>
    <row r="3984" customFormat="false" ht="15" hidden="false" customHeight="false" outlineLevel="0" collapsed="false">
      <c r="A3984" s="43"/>
      <c r="B3984" s="44"/>
      <c r="C3984" s="44"/>
      <c r="D3984" s="44"/>
      <c r="E3984" s="44"/>
      <c r="F3984" s="44"/>
      <c r="G3984" s="44"/>
      <c r="H3984" s="46" t="str">
        <f aca="false">IF($A3984="","",IF(OR(NOT(ISNUMBER(E3984)),NOT(ISNUMBER(F3984))),"",MAX(0,E3984)*F3984))</f>
        <v/>
      </c>
      <c r="I3984" s="46" t="str">
        <f aca="false">IF($A3984="","",SUMIF($A$2:$A$5001,$A3984,$H$2:$H$5001))</f>
        <v/>
      </c>
      <c r="J3984" s="47" t="n">
        <f aca="false">IF($A3984="",0,IF(COUNTIF($A$2:A3984,$A3984)=1,1,0))</f>
        <v>0</v>
      </c>
      <c r="K3984" s="47" t="n">
        <f aca="false">IF(J3984=1,N(I3984)+ROW()/10000000,0)</f>
        <v>0</v>
      </c>
      <c r="L3984" s="47" t="str">
        <f aca="false">IF(AND(J3984=1,N(I3984)&gt;0),SUMIF($K$2:$K$5001,"&gt;="&amp;K3984,$I$2:$I$5001)/MAX(1,SUM($H$2:$H$5001)),"")</f>
        <v/>
      </c>
      <c r="M3984" s="47" t="str">
        <f aca="false">IF($A3984="","",INDEX($L$2:$L$5001,MATCH($A3984,$A$2:$A$5001,0)))</f>
        <v/>
      </c>
      <c r="N3984" s="48" t="str">
        <f aca="false">IF($A3984="","",IF(N(M3984)=0,"–",IF(M3984&lt;=Start!$D$20,"A",IF(M3984&lt;=Start!$D$21,"B","C"))))</f>
        <v/>
      </c>
      <c r="O3984" s="48" t="str">
        <f aca="false">IF($A3984="","",IF(NOT(ISNUMBER(F3984)),"Wert fehlt; ",IF(F3984&lt;=0,"Wert ist 0; ",""))&amp;IF(NOT(ISNUMBER(E3984)),"Bestand fehlt; ",IF(E3984&lt;0,"Bestand negativ; ",IF(E3984=0,"Nullbestand; ","")))&amp;IF(D3984="","Warengruppe fehlt; ","")&amp;IF(B3984="","Bezeichnung fehlt; ","")&amp;IF(COUNTIFS($A$2:$A$5001,$A3984,$C$2:$C$5001,C3984)&gt;1,"Artikel doppelt im selben Lager; ",""))</f>
        <v/>
      </c>
      <c r="P3984" s="47" t="n">
        <f aca="false">IF(OR($A3984="",D3984=""),0,IF(COUNTIF($D$2:D3984,D3984)=1,SUMIF($D$2:$D$5001,D3984,$H$2:$H$5001)+ROW()/10000000,0))</f>
        <v>0</v>
      </c>
      <c r="Q3984" s="47" t="n">
        <f aca="false">IF(OR($A3984="",C3984=""),0,IF(COUNTIF($C$2:C3984,C3984)=1,SUMIF($C$2:$C$5001,C3984,$H$2:$H$5001)+ROW()/10000000,0))</f>
        <v>0</v>
      </c>
    </row>
    <row r="3985" customFormat="false" ht="15" hidden="false" customHeight="false" outlineLevel="0" collapsed="false">
      <c r="A3985" s="43"/>
      <c r="B3985" s="44"/>
      <c r="C3985" s="44"/>
      <c r="D3985" s="44"/>
      <c r="E3985" s="44"/>
      <c r="F3985" s="44"/>
      <c r="G3985" s="44"/>
      <c r="H3985" s="46" t="str">
        <f aca="false">IF($A3985="","",IF(OR(NOT(ISNUMBER(E3985)),NOT(ISNUMBER(F3985))),"",MAX(0,E3985)*F3985))</f>
        <v/>
      </c>
      <c r="I3985" s="46" t="str">
        <f aca="false">IF($A3985="","",SUMIF($A$2:$A$5001,$A3985,$H$2:$H$5001))</f>
        <v/>
      </c>
      <c r="J3985" s="47" t="n">
        <f aca="false">IF($A3985="",0,IF(COUNTIF($A$2:A3985,$A3985)=1,1,0))</f>
        <v>0</v>
      </c>
      <c r="K3985" s="47" t="n">
        <f aca="false">IF(J3985=1,N(I3985)+ROW()/10000000,0)</f>
        <v>0</v>
      </c>
      <c r="L3985" s="47" t="str">
        <f aca="false">IF(AND(J3985=1,N(I3985)&gt;0),SUMIF($K$2:$K$5001,"&gt;="&amp;K3985,$I$2:$I$5001)/MAX(1,SUM($H$2:$H$5001)),"")</f>
        <v/>
      </c>
      <c r="M3985" s="47" t="str">
        <f aca="false">IF($A3985="","",INDEX($L$2:$L$5001,MATCH($A3985,$A$2:$A$5001,0)))</f>
        <v/>
      </c>
      <c r="N3985" s="48" t="str">
        <f aca="false">IF($A3985="","",IF(N(M3985)=0,"–",IF(M3985&lt;=Start!$D$20,"A",IF(M3985&lt;=Start!$D$21,"B","C"))))</f>
        <v/>
      </c>
      <c r="O3985" s="48" t="str">
        <f aca="false">IF($A3985="","",IF(NOT(ISNUMBER(F3985)),"Wert fehlt; ",IF(F3985&lt;=0,"Wert ist 0; ",""))&amp;IF(NOT(ISNUMBER(E3985)),"Bestand fehlt; ",IF(E3985&lt;0,"Bestand negativ; ",IF(E3985=0,"Nullbestand; ","")))&amp;IF(D3985="","Warengruppe fehlt; ","")&amp;IF(B3985="","Bezeichnung fehlt; ","")&amp;IF(COUNTIFS($A$2:$A$5001,$A3985,$C$2:$C$5001,C3985)&gt;1,"Artikel doppelt im selben Lager; ",""))</f>
        <v/>
      </c>
      <c r="P3985" s="47" t="n">
        <f aca="false">IF(OR($A3985="",D3985=""),0,IF(COUNTIF($D$2:D3985,D3985)=1,SUMIF($D$2:$D$5001,D3985,$H$2:$H$5001)+ROW()/10000000,0))</f>
        <v>0</v>
      </c>
      <c r="Q3985" s="47" t="n">
        <f aca="false">IF(OR($A3985="",C3985=""),0,IF(COUNTIF($C$2:C3985,C3985)=1,SUMIF($C$2:$C$5001,C3985,$H$2:$H$5001)+ROW()/10000000,0))</f>
        <v>0</v>
      </c>
    </row>
    <row r="3986" customFormat="false" ht="15" hidden="false" customHeight="false" outlineLevel="0" collapsed="false">
      <c r="A3986" s="43"/>
      <c r="B3986" s="44"/>
      <c r="C3986" s="44"/>
      <c r="D3986" s="44"/>
      <c r="E3986" s="44"/>
      <c r="F3986" s="44"/>
      <c r="G3986" s="44"/>
      <c r="H3986" s="46" t="str">
        <f aca="false">IF($A3986="","",IF(OR(NOT(ISNUMBER(E3986)),NOT(ISNUMBER(F3986))),"",MAX(0,E3986)*F3986))</f>
        <v/>
      </c>
      <c r="I3986" s="46" t="str">
        <f aca="false">IF($A3986="","",SUMIF($A$2:$A$5001,$A3986,$H$2:$H$5001))</f>
        <v/>
      </c>
      <c r="J3986" s="47" t="n">
        <f aca="false">IF($A3986="",0,IF(COUNTIF($A$2:A3986,$A3986)=1,1,0))</f>
        <v>0</v>
      </c>
      <c r="K3986" s="47" t="n">
        <f aca="false">IF(J3986=1,N(I3986)+ROW()/10000000,0)</f>
        <v>0</v>
      </c>
      <c r="L3986" s="47" t="str">
        <f aca="false">IF(AND(J3986=1,N(I3986)&gt;0),SUMIF($K$2:$K$5001,"&gt;="&amp;K3986,$I$2:$I$5001)/MAX(1,SUM($H$2:$H$5001)),"")</f>
        <v/>
      </c>
      <c r="M3986" s="47" t="str">
        <f aca="false">IF($A3986="","",INDEX($L$2:$L$5001,MATCH($A3986,$A$2:$A$5001,0)))</f>
        <v/>
      </c>
      <c r="N3986" s="48" t="str">
        <f aca="false">IF($A3986="","",IF(N(M3986)=0,"–",IF(M3986&lt;=Start!$D$20,"A",IF(M3986&lt;=Start!$D$21,"B","C"))))</f>
        <v/>
      </c>
      <c r="O3986" s="48" t="str">
        <f aca="false">IF($A3986="","",IF(NOT(ISNUMBER(F3986)),"Wert fehlt; ",IF(F3986&lt;=0,"Wert ist 0; ",""))&amp;IF(NOT(ISNUMBER(E3986)),"Bestand fehlt; ",IF(E3986&lt;0,"Bestand negativ; ",IF(E3986=0,"Nullbestand; ","")))&amp;IF(D3986="","Warengruppe fehlt; ","")&amp;IF(B3986="","Bezeichnung fehlt; ","")&amp;IF(COUNTIFS($A$2:$A$5001,$A3986,$C$2:$C$5001,C3986)&gt;1,"Artikel doppelt im selben Lager; ",""))</f>
        <v/>
      </c>
      <c r="P3986" s="47" t="n">
        <f aca="false">IF(OR($A3986="",D3986=""),0,IF(COUNTIF($D$2:D3986,D3986)=1,SUMIF($D$2:$D$5001,D3986,$H$2:$H$5001)+ROW()/10000000,0))</f>
        <v>0</v>
      </c>
      <c r="Q3986" s="47" t="n">
        <f aca="false">IF(OR($A3986="",C3986=""),0,IF(COUNTIF($C$2:C3986,C3986)=1,SUMIF($C$2:$C$5001,C3986,$H$2:$H$5001)+ROW()/10000000,0))</f>
        <v>0</v>
      </c>
    </row>
    <row r="3987" customFormat="false" ht="15" hidden="false" customHeight="false" outlineLevel="0" collapsed="false">
      <c r="A3987" s="43"/>
      <c r="B3987" s="44"/>
      <c r="C3987" s="44"/>
      <c r="D3987" s="44"/>
      <c r="E3987" s="44"/>
      <c r="F3987" s="44"/>
      <c r="G3987" s="44"/>
      <c r="H3987" s="46" t="str">
        <f aca="false">IF($A3987="","",IF(OR(NOT(ISNUMBER(E3987)),NOT(ISNUMBER(F3987))),"",MAX(0,E3987)*F3987))</f>
        <v/>
      </c>
      <c r="I3987" s="46" t="str">
        <f aca="false">IF($A3987="","",SUMIF($A$2:$A$5001,$A3987,$H$2:$H$5001))</f>
        <v/>
      </c>
      <c r="J3987" s="47" t="n">
        <f aca="false">IF($A3987="",0,IF(COUNTIF($A$2:A3987,$A3987)=1,1,0))</f>
        <v>0</v>
      </c>
      <c r="K3987" s="47" t="n">
        <f aca="false">IF(J3987=1,N(I3987)+ROW()/10000000,0)</f>
        <v>0</v>
      </c>
      <c r="L3987" s="47" t="str">
        <f aca="false">IF(AND(J3987=1,N(I3987)&gt;0),SUMIF($K$2:$K$5001,"&gt;="&amp;K3987,$I$2:$I$5001)/MAX(1,SUM($H$2:$H$5001)),"")</f>
        <v/>
      </c>
      <c r="M3987" s="47" t="str">
        <f aca="false">IF($A3987="","",INDEX($L$2:$L$5001,MATCH($A3987,$A$2:$A$5001,0)))</f>
        <v/>
      </c>
      <c r="N3987" s="48" t="str">
        <f aca="false">IF($A3987="","",IF(N(M3987)=0,"–",IF(M3987&lt;=Start!$D$20,"A",IF(M3987&lt;=Start!$D$21,"B","C"))))</f>
        <v/>
      </c>
      <c r="O3987" s="48" t="str">
        <f aca="false">IF($A3987="","",IF(NOT(ISNUMBER(F3987)),"Wert fehlt; ",IF(F3987&lt;=0,"Wert ist 0; ",""))&amp;IF(NOT(ISNUMBER(E3987)),"Bestand fehlt; ",IF(E3987&lt;0,"Bestand negativ; ",IF(E3987=0,"Nullbestand; ","")))&amp;IF(D3987="","Warengruppe fehlt; ","")&amp;IF(B3987="","Bezeichnung fehlt; ","")&amp;IF(COUNTIFS($A$2:$A$5001,$A3987,$C$2:$C$5001,C3987)&gt;1,"Artikel doppelt im selben Lager; ",""))</f>
        <v/>
      </c>
      <c r="P3987" s="47" t="n">
        <f aca="false">IF(OR($A3987="",D3987=""),0,IF(COUNTIF($D$2:D3987,D3987)=1,SUMIF($D$2:$D$5001,D3987,$H$2:$H$5001)+ROW()/10000000,0))</f>
        <v>0</v>
      </c>
      <c r="Q3987" s="47" t="n">
        <f aca="false">IF(OR($A3987="",C3987=""),0,IF(COUNTIF($C$2:C3987,C3987)=1,SUMIF($C$2:$C$5001,C3987,$H$2:$H$5001)+ROW()/10000000,0))</f>
        <v>0</v>
      </c>
    </row>
    <row r="3988" customFormat="false" ht="15" hidden="false" customHeight="false" outlineLevel="0" collapsed="false">
      <c r="A3988" s="43"/>
      <c r="B3988" s="44"/>
      <c r="C3988" s="44"/>
      <c r="D3988" s="44"/>
      <c r="E3988" s="44"/>
      <c r="F3988" s="44"/>
      <c r="G3988" s="44"/>
      <c r="H3988" s="46" t="str">
        <f aca="false">IF($A3988="","",IF(OR(NOT(ISNUMBER(E3988)),NOT(ISNUMBER(F3988))),"",MAX(0,E3988)*F3988))</f>
        <v/>
      </c>
      <c r="I3988" s="46" t="str">
        <f aca="false">IF($A3988="","",SUMIF($A$2:$A$5001,$A3988,$H$2:$H$5001))</f>
        <v/>
      </c>
      <c r="J3988" s="47" t="n">
        <f aca="false">IF($A3988="",0,IF(COUNTIF($A$2:A3988,$A3988)=1,1,0))</f>
        <v>0</v>
      </c>
      <c r="K3988" s="47" t="n">
        <f aca="false">IF(J3988=1,N(I3988)+ROW()/10000000,0)</f>
        <v>0</v>
      </c>
      <c r="L3988" s="47" t="str">
        <f aca="false">IF(AND(J3988=1,N(I3988)&gt;0),SUMIF($K$2:$K$5001,"&gt;="&amp;K3988,$I$2:$I$5001)/MAX(1,SUM($H$2:$H$5001)),"")</f>
        <v/>
      </c>
      <c r="M3988" s="47" t="str">
        <f aca="false">IF($A3988="","",INDEX($L$2:$L$5001,MATCH($A3988,$A$2:$A$5001,0)))</f>
        <v/>
      </c>
      <c r="N3988" s="48" t="str">
        <f aca="false">IF($A3988="","",IF(N(M3988)=0,"–",IF(M3988&lt;=Start!$D$20,"A",IF(M3988&lt;=Start!$D$21,"B","C"))))</f>
        <v/>
      </c>
      <c r="O3988" s="48" t="str">
        <f aca="false">IF($A3988="","",IF(NOT(ISNUMBER(F3988)),"Wert fehlt; ",IF(F3988&lt;=0,"Wert ist 0; ",""))&amp;IF(NOT(ISNUMBER(E3988)),"Bestand fehlt; ",IF(E3988&lt;0,"Bestand negativ; ",IF(E3988=0,"Nullbestand; ","")))&amp;IF(D3988="","Warengruppe fehlt; ","")&amp;IF(B3988="","Bezeichnung fehlt; ","")&amp;IF(COUNTIFS($A$2:$A$5001,$A3988,$C$2:$C$5001,C3988)&gt;1,"Artikel doppelt im selben Lager; ",""))</f>
        <v/>
      </c>
      <c r="P3988" s="47" t="n">
        <f aca="false">IF(OR($A3988="",D3988=""),0,IF(COUNTIF($D$2:D3988,D3988)=1,SUMIF($D$2:$D$5001,D3988,$H$2:$H$5001)+ROW()/10000000,0))</f>
        <v>0</v>
      </c>
      <c r="Q3988" s="47" t="n">
        <f aca="false">IF(OR($A3988="",C3988=""),0,IF(COUNTIF($C$2:C3988,C3988)=1,SUMIF($C$2:$C$5001,C3988,$H$2:$H$5001)+ROW()/10000000,0))</f>
        <v>0</v>
      </c>
    </row>
    <row r="3989" customFormat="false" ht="15" hidden="false" customHeight="false" outlineLevel="0" collapsed="false">
      <c r="A3989" s="43"/>
      <c r="B3989" s="44"/>
      <c r="C3989" s="44"/>
      <c r="D3989" s="44"/>
      <c r="E3989" s="44"/>
      <c r="F3989" s="44"/>
      <c r="G3989" s="44"/>
      <c r="H3989" s="46" t="str">
        <f aca="false">IF($A3989="","",IF(OR(NOT(ISNUMBER(E3989)),NOT(ISNUMBER(F3989))),"",MAX(0,E3989)*F3989))</f>
        <v/>
      </c>
      <c r="I3989" s="46" t="str">
        <f aca="false">IF($A3989="","",SUMIF($A$2:$A$5001,$A3989,$H$2:$H$5001))</f>
        <v/>
      </c>
      <c r="J3989" s="47" t="n">
        <f aca="false">IF($A3989="",0,IF(COUNTIF($A$2:A3989,$A3989)=1,1,0))</f>
        <v>0</v>
      </c>
      <c r="K3989" s="47" t="n">
        <f aca="false">IF(J3989=1,N(I3989)+ROW()/10000000,0)</f>
        <v>0</v>
      </c>
      <c r="L3989" s="47" t="str">
        <f aca="false">IF(AND(J3989=1,N(I3989)&gt;0),SUMIF($K$2:$K$5001,"&gt;="&amp;K3989,$I$2:$I$5001)/MAX(1,SUM($H$2:$H$5001)),"")</f>
        <v/>
      </c>
      <c r="M3989" s="47" t="str">
        <f aca="false">IF($A3989="","",INDEX($L$2:$L$5001,MATCH($A3989,$A$2:$A$5001,0)))</f>
        <v/>
      </c>
      <c r="N3989" s="48" t="str">
        <f aca="false">IF($A3989="","",IF(N(M3989)=0,"–",IF(M3989&lt;=Start!$D$20,"A",IF(M3989&lt;=Start!$D$21,"B","C"))))</f>
        <v/>
      </c>
      <c r="O3989" s="48" t="str">
        <f aca="false">IF($A3989="","",IF(NOT(ISNUMBER(F3989)),"Wert fehlt; ",IF(F3989&lt;=0,"Wert ist 0; ",""))&amp;IF(NOT(ISNUMBER(E3989)),"Bestand fehlt; ",IF(E3989&lt;0,"Bestand negativ; ",IF(E3989=0,"Nullbestand; ","")))&amp;IF(D3989="","Warengruppe fehlt; ","")&amp;IF(B3989="","Bezeichnung fehlt; ","")&amp;IF(COUNTIFS($A$2:$A$5001,$A3989,$C$2:$C$5001,C3989)&gt;1,"Artikel doppelt im selben Lager; ",""))</f>
        <v/>
      </c>
      <c r="P3989" s="47" t="n">
        <f aca="false">IF(OR($A3989="",D3989=""),0,IF(COUNTIF($D$2:D3989,D3989)=1,SUMIF($D$2:$D$5001,D3989,$H$2:$H$5001)+ROW()/10000000,0))</f>
        <v>0</v>
      </c>
      <c r="Q3989" s="47" t="n">
        <f aca="false">IF(OR($A3989="",C3989=""),0,IF(COUNTIF($C$2:C3989,C3989)=1,SUMIF($C$2:$C$5001,C3989,$H$2:$H$5001)+ROW()/10000000,0))</f>
        <v>0</v>
      </c>
    </row>
    <row r="3990" customFormat="false" ht="15" hidden="false" customHeight="false" outlineLevel="0" collapsed="false">
      <c r="A3990" s="43"/>
      <c r="B3990" s="44"/>
      <c r="C3990" s="44"/>
      <c r="D3990" s="44"/>
      <c r="E3990" s="44"/>
      <c r="F3990" s="44"/>
      <c r="G3990" s="44"/>
      <c r="H3990" s="46" t="str">
        <f aca="false">IF($A3990="","",IF(OR(NOT(ISNUMBER(E3990)),NOT(ISNUMBER(F3990))),"",MAX(0,E3990)*F3990))</f>
        <v/>
      </c>
      <c r="I3990" s="46" t="str">
        <f aca="false">IF($A3990="","",SUMIF($A$2:$A$5001,$A3990,$H$2:$H$5001))</f>
        <v/>
      </c>
      <c r="J3990" s="47" t="n">
        <f aca="false">IF($A3990="",0,IF(COUNTIF($A$2:A3990,$A3990)=1,1,0))</f>
        <v>0</v>
      </c>
      <c r="K3990" s="47" t="n">
        <f aca="false">IF(J3990=1,N(I3990)+ROW()/10000000,0)</f>
        <v>0</v>
      </c>
      <c r="L3990" s="47" t="str">
        <f aca="false">IF(AND(J3990=1,N(I3990)&gt;0),SUMIF($K$2:$K$5001,"&gt;="&amp;K3990,$I$2:$I$5001)/MAX(1,SUM($H$2:$H$5001)),"")</f>
        <v/>
      </c>
      <c r="M3990" s="47" t="str">
        <f aca="false">IF($A3990="","",INDEX($L$2:$L$5001,MATCH($A3990,$A$2:$A$5001,0)))</f>
        <v/>
      </c>
      <c r="N3990" s="48" t="str">
        <f aca="false">IF($A3990="","",IF(N(M3990)=0,"–",IF(M3990&lt;=Start!$D$20,"A",IF(M3990&lt;=Start!$D$21,"B","C"))))</f>
        <v/>
      </c>
      <c r="O3990" s="48" t="str">
        <f aca="false">IF($A3990="","",IF(NOT(ISNUMBER(F3990)),"Wert fehlt; ",IF(F3990&lt;=0,"Wert ist 0; ",""))&amp;IF(NOT(ISNUMBER(E3990)),"Bestand fehlt; ",IF(E3990&lt;0,"Bestand negativ; ",IF(E3990=0,"Nullbestand; ","")))&amp;IF(D3990="","Warengruppe fehlt; ","")&amp;IF(B3990="","Bezeichnung fehlt; ","")&amp;IF(COUNTIFS($A$2:$A$5001,$A3990,$C$2:$C$5001,C3990)&gt;1,"Artikel doppelt im selben Lager; ",""))</f>
        <v/>
      </c>
      <c r="P3990" s="47" t="n">
        <f aca="false">IF(OR($A3990="",D3990=""),0,IF(COUNTIF($D$2:D3990,D3990)=1,SUMIF($D$2:$D$5001,D3990,$H$2:$H$5001)+ROW()/10000000,0))</f>
        <v>0</v>
      </c>
      <c r="Q3990" s="47" t="n">
        <f aca="false">IF(OR($A3990="",C3990=""),0,IF(COUNTIF($C$2:C3990,C3990)=1,SUMIF($C$2:$C$5001,C3990,$H$2:$H$5001)+ROW()/10000000,0))</f>
        <v>0</v>
      </c>
    </row>
    <row r="3991" customFormat="false" ht="15" hidden="false" customHeight="false" outlineLevel="0" collapsed="false">
      <c r="A3991" s="43"/>
      <c r="B3991" s="44"/>
      <c r="C3991" s="44"/>
      <c r="D3991" s="44"/>
      <c r="E3991" s="44"/>
      <c r="F3991" s="44"/>
      <c r="G3991" s="44"/>
      <c r="H3991" s="46" t="str">
        <f aca="false">IF($A3991="","",IF(OR(NOT(ISNUMBER(E3991)),NOT(ISNUMBER(F3991))),"",MAX(0,E3991)*F3991))</f>
        <v/>
      </c>
      <c r="I3991" s="46" t="str">
        <f aca="false">IF($A3991="","",SUMIF($A$2:$A$5001,$A3991,$H$2:$H$5001))</f>
        <v/>
      </c>
      <c r="J3991" s="47" t="n">
        <f aca="false">IF($A3991="",0,IF(COUNTIF($A$2:A3991,$A3991)=1,1,0))</f>
        <v>0</v>
      </c>
      <c r="K3991" s="47" t="n">
        <f aca="false">IF(J3991=1,N(I3991)+ROW()/10000000,0)</f>
        <v>0</v>
      </c>
      <c r="L3991" s="47" t="str">
        <f aca="false">IF(AND(J3991=1,N(I3991)&gt;0),SUMIF($K$2:$K$5001,"&gt;="&amp;K3991,$I$2:$I$5001)/MAX(1,SUM($H$2:$H$5001)),"")</f>
        <v/>
      </c>
      <c r="M3991" s="47" t="str">
        <f aca="false">IF($A3991="","",INDEX($L$2:$L$5001,MATCH($A3991,$A$2:$A$5001,0)))</f>
        <v/>
      </c>
      <c r="N3991" s="48" t="str">
        <f aca="false">IF($A3991="","",IF(N(M3991)=0,"–",IF(M3991&lt;=Start!$D$20,"A",IF(M3991&lt;=Start!$D$21,"B","C"))))</f>
        <v/>
      </c>
      <c r="O3991" s="48" t="str">
        <f aca="false">IF($A3991="","",IF(NOT(ISNUMBER(F3991)),"Wert fehlt; ",IF(F3991&lt;=0,"Wert ist 0; ",""))&amp;IF(NOT(ISNUMBER(E3991)),"Bestand fehlt; ",IF(E3991&lt;0,"Bestand negativ; ",IF(E3991=0,"Nullbestand; ","")))&amp;IF(D3991="","Warengruppe fehlt; ","")&amp;IF(B3991="","Bezeichnung fehlt; ","")&amp;IF(COUNTIFS($A$2:$A$5001,$A3991,$C$2:$C$5001,C3991)&gt;1,"Artikel doppelt im selben Lager; ",""))</f>
        <v/>
      </c>
      <c r="P3991" s="47" t="n">
        <f aca="false">IF(OR($A3991="",D3991=""),0,IF(COUNTIF($D$2:D3991,D3991)=1,SUMIF($D$2:$D$5001,D3991,$H$2:$H$5001)+ROW()/10000000,0))</f>
        <v>0</v>
      </c>
      <c r="Q3991" s="47" t="n">
        <f aca="false">IF(OR($A3991="",C3991=""),0,IF(COUNTIF($C$2:C3991,C3991)=1,SUMIF($C$2:$C$5001,C3991,$H$2:$H$5001)+ROW()/10000000,0))</f>
        <v>0</v>
      </c>
    </row>
    <row r="3992" customFormat="false" ht="15" hidden="false" customHeight="false" outlineLevel="0" collapsed="false">
      <c r="A3992" s="43"/>
      <c r="B3992" s="44"/>
      <c r="C3992" s="44"/>
      <c r="D3992" s="44"/>
      <c r="E3992" s="44"/>
      <c r="F3992" s="44"/>
      <c r="G3992" s="44"/>
      <c r="H3992" s="46" t="str">
        <f aca="false">IF($A3992="","",IF(OR(NOT(ISNUMBER(E3992)),NOT(ISNUMBER(F3992))),"",MAX(0,E3992)*F3992))</f>
        <v/>
      </c>
      <c r="I3992" s="46" t="str">
        <f aca="false">IF($A3992="","",SUMIF($A$2:$A$5001,$A3992,$H$2:$H$5001))</f>
        <v/>
      </c>
      <c r="J3992" s="47" t="n">
        <f aca="false">IF($A3992="",0,IF(COUNTIF($A$2:A3992,$A3992)=1,1,0))</f>
        <v>0</v>
      </c>
      <c r="K3992" s="47" t="n">
        <f aca="false">IF(J3992=1,N(I3992)+ROW()/10000000,0)</f>
        <v>0</v>
      </c>
      <c r="L3992" s="47" t="str">
        <f aca="false">IF(AND(J3992=1,N(I3992)&gt;0),SUMIF($K$2:$K$5001,"&gt;="&amp;K3992,$I$2:$I$5001)/MAX(1,SUM($H$2:$H$5001)),"")</f>
        <v/>
      </c>
      <c r="M3992" s="47" t="str">
        <f aca="false">IF($A3992="","",INDEX($L$2:$L$5001,MATCH($A3992,$A$2:$A$5001,0)))</f>
        <v/>
      </c>
      <c r="N3992" s="48" t="str">
        <f aca="false">IF($A3992="","",IF(N(M3992)=0,"–",IF(M3992&lt;=Start!$D$20,"A",IF(M3992&lt;=Start!$D$21,"B","C"))))</f>
        <v/>
      </c>
      <c r="O3992" s="48" t="str">
        <f aca="false">IF($A3992="","",IF(NOT(ISNUMBER(F3992)),"Wert fehlt; ",IF(F3992&lt;=0,"Wert ist 0; ",""))&amp;IF(NOT(ISNUMBER(E3992)),"Bestand fehlt; ",IF(E3992&lt;0,"Bestand negativ; ",IF(E3992=0,"Nullbestand; ","")))&amp;IF(D3992="","Warengruppe fehlt; ","")&amp;IF(B3992="","Bezeichnung fehlt; ","")&amp;IF(COUNTIFS($A$2:$A$5001,$A3992,$C$2:$C$5001,C3992)&gt;1,"Artikel doppelt im selben Lager; ",""))</f>
        <v/>
      </c>
      <c r="P3992" s="47" t="n">
        <f aca="false">IF(OR($A3992="",D3992=""),0,IF(COUNTIF($D$2:D3992,D3992)=1,SUMIF($D$2:$D$5001,D3992,$H$2:$H$5001)+ROW()/10000000,0))</f>
        <v>0</v>
      </c>
      <c r="Q3992" s="47" t="n">
        <f aca="false">IF(OR($A3992="",C3992=""),0,IF(COUNTIF($C$2:C3992,C3992)=1,SUMIF($C$2:$C$5001,C3992,$H$2:$H$5001)+ROW()/10000000,0))</f>
        <v>0</v>
      </c>
    </row>
    <row r="3993" customFormat="false" ht="15" hidden="false" customHeight="false" outlineLevel="0" collapsed="false">
      <c r="A3993" s="43"/>
      <c r="B3993" s="44"/>
      <c r="C3993" s="44"/>
      <c r="D3993" s="44"/>
      <c r="E3993" s="44"/>
      <c r="F3993" s="44"/>
      <c r="G3993" s="44"/>
      <c r="H3993" s="46" t="str">
        <f aca="false">IF($A3993="","",IF(OR(NOT(ISNUMBER(E3993)),NOT(ISNUMBER(F3993))),"",MAX(0,E3993)*F3993))</f>
        <v/>
      </c>
      <c r="I3993" s="46" t="str">
        <f aca="false">IF($A3993="","",SUMIF($A$2:$A$5001,$A3993,$H$2:$H$5001))</f>
        <v/>
      </c>
      <c r="J3993" s="47" t="n">
        <f aca="false">IF($A3993="",0,IF(COUNTIF($A$2:A3993,$A3993)=1,1,0))</f>
        <v>0</v>
      </c>
      <c r="K3993" s="47" t="n">
        <f aca="false">IF(J3993=1,N(I3993)+ROW()/10000000,0)</f>
        <v>0</v>
      </c>
      <c r="L3993" s="47" t="str">
        <f aca="false">IF(AND(J3993=1,N(I3993)&gt;0),SUMIF($K$2:$K$5001,"&gt;="&amp;K3993,$I$2:$I$5001)/MAX(1,SUM($H$2:$H$5001)),"")</f>
        <v/>
      </c>
      <c r="M3993" s="47" t="str">
        <f aca="false">IF($A3993="","",INDEX($L$2:$L$5001,MATCH($A3993,$A$2:$A$5001,0)))</f>
        <v/>
      </c>
      <c r="N3993" s="48" t="str">
        <f aca="false">IF($A3993="","",IF(N(M3993)=0,"–",IF(M3993&lt;=Start!$D$20,"A",IF(M3993&lt;=Start!$D$21,"B","C"))))</f>
        <v/>
      </c>
      <c r="O3993" s="48" t="str">
        <f aca="false">IF($A3993="","",IF(NOT(ISNUMBER(F3993)),"Wert fehlt; ",IF(F3993&lt;=0,"Wert ist 0; ",""))&amp;IF(NOT(ISNUMBER(E3993)),"Bestand fehlt; ",IF(E3993&lt;0,"Bestand negativ; ",IF(E3993=0,"Nullbestand; ","")))&amp;IF(D3993="","Warengruppe fehlt; ","")&amp;IF(B3993="","Bezeichnung fehlt; ","")&amp;IF(COUNTIFS($A$2:$A$5001,$A3993,$C$2:$C$5001,C3993)&gt;1,"Artikel doppelt im selben Lager; ",""))</f>
        <v/>
      </c>
      <c r="P3993" s="47" t="n">
        <f aca="false">IF(OR($A3993="",D3993=""),0,IF(COUNTIF($D$2:D3993,D3993)=1,SUMIF($D$2:$D$5001,D3993,$H$2:$H$5001)+ROW()/10000000,0))</f>
        <v>0</v>
      </c>
      <c r="Q3993" s="47" t="n">
        <f aca="false">IF(OR($A3993="",C3993=""),0,IF(COUNTIF($C$2:C3993,C3993)=1,SUMIF($C$2:$C$5001,C3993,$H$2:$H$5001)+ROW()/10000000,0))</f>
        <v>0</v>
      </c>
    </row>
    <row r="3994" customFormat="false" ht="15" hidden="false" customHeight="false" outlineLevel="0" collapsed="false">
      <c r="A3994" s="43"/>
      <c r="B3994" s="44"/>
      <c r="C3994" s="44"/>
      <c r="D3994" s="44"/>
      <c r="E3994" s="44"/>
      <c r="F3994" s="44"/>
      <c r="G3994" s="44"/>
      <c r="H3994" s="46" t="str">
        <f aca="false">IF($A3994="","",IF(OR(NOT(ISNUMBER(E3994)),NOT(ISNUMBER(F3994))),"",MAX(0,E3994)*F3994))</f>
        <v/>
      </c>
      <c r="I3994" s="46" t="str">
        <f aca="false">IF($A3994="","",SUMIF($A$2:$A$5001,$A3994,$H$2:$H$5001))</f>
        <v/>
      </c>
      <c r="J3994" s="47" t="n">
        <f aca="false">IF($A3994="",0,IF(COUNTIF($A$2:A3994,$A3994)=1,1,0))</f>
        <v>0</v>
      </c>
      <c r="K3994" s="47" t="n">
        <f aca="false">IF(J3994=1,N(I3994)+ROW()/10000000,0)</f>
        <v>0</v>
      </c>
      <c r="L3994" s="47" t="str">
        <f aca="false">IF(AND(J3994=1,N(I3994)&gt;0),SUMIF($K$2:$K$5001,"&gt;="&amp;K3994,$I$2:$I$5001)/MAX(1,SUM($H$2:$H$5001)),"")</f>
        <v/>
      </c>
      <c r="M3994" s="47" t="str">
        <f aca="false">IF($A3994="","",INDEX($L$2:$L$5001,MATCH($A3994,$A$2:$A$5001,0)))</f>
        <v/>
      </c>
      <c r="N3994" s="48" t="str">
        <f aca="false">IF($A3994="","",IF(N(M3994)=0,"–",IF(M3994&lt;=Start!$D$20,"A",IF(M3994&lt;=Start!$D$21,"B","C"))))</f>
        <v/>
      </c>
      <c r="O3994" s="48" t="str">
        <f aca="false">IF($A3994="","",IF(NOT(ISNUMBER(F3994)),"Wert fehlt; ",IF(F3994&lt;=0,"Wert ist 0; ",""))&amp;IF(NOT(ISNUMBER(E3994)),"Bestand fehlt; ",IF(E3994&lt;0,"Bestand negativ; ",IF(E3994=0,"Nullbestand; ","")))&amp;IF(D3994="","Warengruppe fehlt; ","")&amp;IF(B3994="","Bezeichnung fehlt; ","")&amp;IF(COUNTIFS($A$2:$A$5001,$A3994,$C$2:$C$5001,C3994)&gt;1,"Artikel doppelt im selben Lager; ",""))</f>
        <v/>
      </c>
      <c r="P3994" s="47" t="n">
        <f aca="false">IF(OR($A3994="",D3994=""),0,IF(COUNTIF($D$2:D3994,D3994)=1,SUMIF($D$2:$D$5001,D3994,$H$2:$H$5001)+ROW()/10000000,0))</f>
        <v>0</v>
      </c>
      <c r="Q3994" s="47" t="n">
        <f aca="false">IF(OR($A3994="",C3994=""),0,IF(COUNTIF($C$2:C3994,C3994)=1,SUMIF($C$2:$C$5001,C3994,$H$2:$H$5001)+ROW()/10000000,0))</f>
        <v>0</v>
      </c>
    </row>
    <row r="3995" customFormat="false" ht="15" hidden="false" customHeight="false" outlineLevel="0" collapsed="false">
      <c r="A3995" s="43"/>
      <c r="B3995" s="44"/>
      <c r="C3995" s="44"/>
      <c r="D3995" s="44"/>
      <c r="E3995" s="44"/>
      <c r="F3995" s="44"/>
      <c r="G3995" s="44"/>
      <c r="H3995" s="46" t="str">
        <f aca="false">IF($A3995="","",IF(OR(NOT(ISNUMBER(E3995)),NOT(ISNUMBER(F3995))),"",MAX(0,E3995)*F3995))</f>
        <v/>
      </c>
      <c r="I3995" s="46" t="str">
        <f aca="false">IF($A3995="","",SUMIF($A$2:$A$5001,$A3995,$H$2:$H$5001))</f>
        <v/>
      </c>
      <c r="J3995" s="47" t="n">
        <f aca="false">IF($A3995="",0,IF(COUNTIF($A$2:A3995,$A3995)=1,1,0))</f>
        <v>0</v>
      </c>
      <c r="K3995" s="47" t="n">
        <f aca="false">IF(J3995=1,N(I3995)+ROW()/10000000,0)</f>
        <v>0</v>
      </c>
      <c r="L3995" s="47" t="str">
        <f aca="false">IF(AND(J3995=1,N(I3995)&gt;0),SUMIF($K$2:$K$5001,"&gt;="&amp;K3995,$I$2:$I$5001)/MAX(1,SUM($H$2:$H$5001)),"")</f>
        <v/>
      </c>
      <c r="M3995" s="47" t="str">
        <f aca="false">IF($A3995="","",INDEX($L$2:$L$5001,MATCH($A3995,$A$2:$A$5001,0)))</f>
        <v/>
      </c>
      <c r="N3995" s="48" t="str">
        <f aca="false">IF($A3995="","",IF(N(M3995)=0,"–",IF(M3995&lt;=Start!$D$20,"A",IF(M3995&lt;=Start!$D$21,"B","C"))))</f>
        <v/>
      </c>
      <c r="O3995" s="48" t="str">
        <f aca="false">IF($A3995="","",IF(NOT(ISNUMBER(F3995)),"Wert fehlt; ",IF(F3995&lt;=0,"Wert ist 0; ",""))&amp;IF(NOT(ISNUMBER(E3995)),"Bestand fehlt; ",IF(E3995&lt;0,"Bestand negativ; ",IF(E3995=0,"Nullbestand; ","")))&amp;IF(D3995="","Warengruppe fehlt; ","")&amp;IF(B3995="","Bezeichnung fehlt; ","")&amp;IF(COUNTIFS($A$2:$A$5001,$A3995,$C$2:$C$5001,C3995)&gt;1,"Artikel doppelt im selben Lager; ",""))</f>
        <v/>
      </c>
      <c r="P3995" s="47" t="n">
        <f aca="false">IF(OR($A3995="",D3995=""),0,IF(COUNTIF($D$2:D3995,D3995)=1,SUMIF($D$2:$D$5001,D3995,$H$2:$H$5001)+ROW()/10000000,0))</f>
        <v>0</v>
      </c>
      <c r="Q3995" s="47" t="n">
        <f aca="false">IF(OR($A3995="",C3995=""),0,IF(COUNTIF($C$2:C3995,C3995)=1,SUMIF($C$2:$C$5001,C3995,$H$2:$H$5001)+ROW()/10000000,0))</f>
        <v>0</v>
      </c>
    </row>
    <row r="3996" customFormat="false" ht="15" hidden="false" customHeight="false" outlineLevel="0" collapsed="false">
      <c r="A3996" s="43"/>
      <c r="B3996" s="44"/>
      <c r="C3996" s="44"/>
      <c r="D3996" s="44"/>
      <c r="E3996" s="44"/>
      <c r="F3996" s="44"/>
      <c r="G3996" s="44"/>
      <c r="H3996" s="46" t="str">
        <f aca="false">IF($A3996="","",IF(OR(NOT(ISNUMBER(E3996)),NOT(ISNUMBER(F3996))),"",MAX(0,E3996)*F3996))</f>
        <v/>
      </c>
      <c r="I3996" s="46" t="str">
        <f aca="false">IF($A3996="","",SUMIF($A$2:$A$5001,$A3996,$H$2:$H$5001))</f>
        <v/>
      </c>
      <c r="J3996" s="47" t="n">
        <f aca="false">IF($A3996="",0,IF(COUNTIF($A$2:A3996,$A3996)=1,1,0))</f>
        <v>0</v>
      </c>
      <c r="K3996" s="47" t="n">
        <f aca="false">IF(J3996=1,N(I3996)+ROW()/10000000,0)</f>
        <v>0</v>
      </c>
      <c r="L3996" s="47" t="str">
        <f aca="false">IF(AND(J3996=1,N(I3996)&gt;0),SUMIF($K$2:$K$5001,"&gt;="&amp;K3996,$I$2:$I$5001)/MAX(1,SUM($H$2:$H$5001)),"")</f>
        <v/>
      </c>
      <c r="M3996" s="47" t="str">
        <f aca="false">IF($A3996="","",INDEX($L$2:$L$5001,MATCH($A3996,$A$2:$A$5001,0)))</f>
        <v/>
      </c>
      <c r="N3996" s="48" t="str">
        <f aca="false">IF($A3996="","",IF(N(M3996)=0,"–",IF(M3996&lt;=Start!$D$20,"A",IF(M3996&lt;=Start!$D$21,"B","C"))))</f>
        <v/>
      </c>
      <c r="O3996" s="48" t="str">
        <f aca="false">IF($A3996="","",IF(NOT(ISNUMBER(F3996)),"Wert fehlt; ",IF(F3996&lt;=0,"Wert ist 0; ",""))&amp;IF(NOT(ISNUMBER(E3996)),"Bestand fehlt; ",IF(E3996&lt;0,"Bestand negativ; ",IF(E3996=0,"Nullbestand; ","")))&amp;IF(D3996="","Warengruppe fehlt; ","")&amp;IF(B3996="","Bezeichnung fehlt; ","")&amp;IF(COUNTIFS($A$2:$A$5001,$A3996,$C$2:$C$5001,C3996)&gt;1,"Artikel doppelt im selben Lager; ",""))</f>
        <v/>
      </c>
      <c r="P3996" s="47" t="n">
        <f aca="false">IF(OR($A3996="",D3996=""),0,IF(COUNTIF($D$2:D3996,D3996)=1,SUMIF($D$2:$D$5001,D3996,$H$2:$H$5001)+ROW()/10000000,0))</f>
        <v>0</v>
      </c>
      <c r="Q3996" s="47" t="n">
        <f aca="false">IF(OR($A3996="",C3996=""),0,IF(COUNTIF($C$2:C3996,C3996)=1,SUMIF($C$2:$C$5001,C3996,$H$2:$H$5001)+ROW()/10000000,0))</f>
        <v>0</v>
      </c>
    </row>
    <row r="3997" customFormat="false" ht="15" hidden="false" customHeight="false" outlineLevel="0" collapsed="false">
      <c r="A3997" s="43"/>
      <c r="B3997" s="44"/>
      <c r="C3997" s="44"/>
      <c r="D3997" s="44"/>
      <c r="E3997" s="44"/>
      <c r="F3997" s="44"/>
      <c r="G3997" s="44"/>
      <c r="H3997" s="46" t="str">
        <f aca="false">IF($A3997="","",IF(OR(NOT(ISNUMBER(E3997)),NOT(ISNUMBER(F3997))),"",MAX(0,E3997)*F3997))</f>
        <v/>
      </c>
      <c r="I3997" s="46" t="str">
        <f aca="false">IF($A3997="","",SUMIF($A$2:$A$5001,$A3997,$H$2:$H$5001))</f>
        <v/>
      </c>
      <c r="J3997" s="47" t="n">
        <f aca="false">IF($A3997="",0,IF(COUNTIF($A$2:A3997,$A3997)=1,1,0))</f>
        <v>0</v>
      </c>
      <c r="K3997" s="47" t="n">
        <f aca="false">IF(J3997=1,N(I3997)+ROW()/10000000,0)</f>
        <v>0</v>
      </c>
      <c r="L3997" s="47" t="str">
        <f aca="false">IF(AND(J3997=1,N(I3997)&gt;0),SUMIF($K$2:$K$5001,"&gt;="&amp;K3997,$I$2:$I$5001)/MAX(1,SUM($H$2:$H$5001)),"")</f>
        <v/>
      </c>
      <c r="M3997" s="47" t="str">
        <f aca="false">IF($A3997="","",INDEX($L$2:$L$5001,MATCH($A3997,$A$2:$A$5001,0)))</f>
        <v/>
      </c>
      <c r="N3997" s="48" t="str">
        <f aca="false">IF($A3997="","",IF(N(M3997)=0,"–",IF(M3997&lt;=Start!$D$20,"A",IF(M3997&lt;=Start!$D$21,"B","C"))))</f>
        <v/>
      </c>
      <c r="O3997" s="48" t="str">
        <f aca="false">IF($A3997="","",IF(NOT(ISNUMBER(F3997)),"Wert fehlt; ",IF(F3997&lt;=0,"Wert ist 0; ",""))&amp;IF(NOT(ISNUMBER(E3997)),"Bestand fehlt; ",IF(E3997&lt;0,"Bestand negativ; ",IF(E3997=0,"Nullbestand; ","")))&amp;IF(D3997="","Warengruppe fehlt; ","")&amp;IF(B3997="","Bezeichnung fehlt; ","")&amp;IF(COUNTIFS($A$2:$A$5001,$A3997,$C$2:$C$5001,C3997)&gt;1,"Artikel doppelt im selben Lager; ",""))</f>
        <v/>
      </c>
      <c r="P3997" s="47" t="n">
        <f aca="false">IF(OR($A3997="",D3997=""),0,IF(COUNTIF($D$2:D3997,D3997)=1,SUMIF($D$2:$D$5001,D3997,$H$2:$H$5001)+ROW()/10000000,0))</f>
        <v>0</v>
      </c>
      <c r="Q3997" s="47" t="n">
        <f aca="false">IF(OR($A3997="",C3997=""),0,IF(COUNTIF($C$2:C3997,C3997)=1,SUMIF($C$2:$C$5001,C3997,$H$2:$H$5001)+ROW()/10000000,0))</f>
        <v>0</v>
      </c>
    </row>
    <row r="3998" customFormat="false" ht="15" hidden="false" customHeight="false" outlineLevel="0" collapsed="false">
      <c r="A3998" s="43"/>
      <c r="B3998" s="44"/>
      <c r="C3998" s="44"/>
      <c r="D3998" s="44"/>
      <c r="E3998" s="44"/>
      <c r="F3998" s="44"/>
      <c r="G3998" s="44"/>
      <c r="H3998" s="46" t="str">
        <f aca="false">IF($A3998="","",IF(OR(NOT(ISNUMBER(E3998)),NOT(ISNUMBER(F3998))),"",MAX(0,E3998)*F3998))</f>
        <v/>
      </c>
      <c r="I3998" s="46" t="str">
        <f aca="false">IF($A3998="","",SUMIF($A$2:$A$5001,$A3998,$H$2:$H$5001))</f>
        <v/>
      </c>
      <c r="J3998" s="47" t="n">
        <f aca="false">IF($A3998="",0,IF(COUNTIF($A$2:A3998,$A3998)=1,1,0))</f>
        <v>0</v>
      </c>
      <c r="K3998" s="47" t="n">
        <f aca="false">IF(J3998=1,N(I3998)+ROW()/10000000,0)</f>
        <v>0</v>
      </c>
      <c r="L3998" s="47" t="str">
        <f aca="false">IF(AND(J3998=1,N(I3998)&gt;0),SUMIF($K$2:$K$5001,"&gt;="&amp;K3998,$I$2:$I$5001)/MAX(1,SUM($H$2:$H$5001)),"")</f>
        <v/>
      </c>
      <c r="M3998" s="47" t="str">
        <f aca="false">IF($A3998="","",INDEX($L$2:$L$5001,MATCH($A3998,$A$2:$A$5001,0)))</f>
        <v/>
      </c>
      <c r="N3998" s="48" t="str">
        <f aca="false">IF($A3998="","",IF(N(M3998)=0,"–",IF(M3998&lt;=Start!$D$20,"A",IF(M3998&lt;=Start!$D$21,"B","C"))))</f>
        <v/>
      </c>
      <c r="O3998" s="48" t="str">
        <f aca="false">IF($A3998="","",IF(NOT(ISNUMBER(F3998)),"Wert fehlt; ",IF(F3998&lt;=0,"Wert ist 0; ",""))&amp;IF(NOT(ISNUMBER(E3998)),"Bestand fehlt; ",IF(E3998&lt;0,"Bestand negativ; ",IF(E3998=0,"Nullbestand; ","")))&amp;IF(D3998="","Warengruppe fehlt; ","")&amp;IF(B3998="","Bezeichnung fehlt; ","")&amp;IF(COUNTIFS($A$2:$A$5001,$A3998,$C$2:$C$5001,C3998)&gt;1,"Artikel doppelt im selben Lager; ",""))</f>
        <v/>
      </c>
      <c r="P3998" s="47" t="n">
        <f aca="false">IF(OR($A3998="",D3998=""),0,IF(COUNTIF($D$2:D3998,D3998)=1,SUMIF($D$2:$D$5001,D3998,$H$2:$H$5001)+ROW()/10000000,0))</f>
        <v>0</v>
      </c>
      <c r="Q3998" s="47" t="n">
        <f aca="false">IF(OR($A3998="",C3998=""),0,IF(COUNTIF($C$2:C3998,C3998)=1,SUMIF($C$2:$C$5001,C3998,$H$2:$H$5001)+ROW()/10000000,0))</f>
        <v>0</v>
      </c>
    </row>
    <row r="3999" customFormat="false" ht="15" hidden="false" customHeight="false" outlineLevel="0" collapsed="false">
      <c r="A3999" s="43"/>
      <c r="B3999" s="44"/>
      <c r="C3999" s="44"/>
      <c r="D3999" s="44"/>
      <c r="E3999" s="44"/>
      <c r="F3999" s="44"/>
      <c r="G3999" s="44"/>
      <c r="H3999" s="46" t="str">
        <f aca="false">IF($A3999="","",IF(OR(NOT(ISNUMBER(E3999)),NOT(ISNUMBER(F3999))),"",MAX(0,E3999)*F3999))</f>
        <v/>
      </c>
      <c r="I3999" s="46" t="str">
        <f aca="false">IF($A3999="","",SUMIF($A$2:$A$5001,$A3999,$H$2:$H$5001))</f>
        <v/>
      </c>
      <c r="J3999" s="47" t="n">
        <f aca="false">IF($A3999="",0,IF(COUNTIF($A$2:A3999,$A3999)=1,1,0))</f>
        <v>0</v>
      </c>
      <c r="K3999" s="47" t="n">
        <f aca="false">IF(J3999=1,N(I3999)+ROW()/10000000,0)</f>
        <v>0</v>
      </c>
      <c r="L3999" s="47" t="str">
        <f aca="false">IF(AND(J3999=1,N(I3999)&gt;0),SUMIF($K$2:$K$5001,"&gt;="&amp;K3999,$I$2:$I$5001)/MAX(1,SUM($H$2:$H$5001)),"")</f>
        <v/>
      </c>
      <c r="M3999" s="47" t="str">
        <f aca="false">IF($A3999="","",INDEX($L$2:$L$5001,MATCH($A3999,$A$2:$A$5001,0)))</f>
        <v/>
      </c>
      <c r="N3999" s="48" t="str">
        <f aca="false">IF($A3999="","",IF(N(M3999)=0,"–",IF(M3999&lt;=Start!$D$20,"A",IF(M3999&lt;=Start!$D$21,"B","C"))))</f>
        <v/>
      </c>
      <c r="O3999" s="48" t="str">
        <f aca="false">IF($A3999="","",IF(NOT(ISNUMBER(F3999)),"Wert fehlt; ",IF(F3999&lt;=0,"Wert ist 0; ",""))&amp;IF(NOT(ISNUMBER(E3999)),"Bestand fehlt; ",IF(E3999&lt;0,"Bestand negativ; ",IF(E3999=0,"Nullbestand; ","")))&amp;IF(D3999="","Warengruppe fehlt; ","")&amp;IF(B3999="","Bezeichnung fehlt; ","")&amp;IF(COUNTIFS($A$2:$A$5001,$A3999,$C$2:$C$5001,C3999)&gt;1,"Artikel doppelt im selben Lager; ",""))</f>
        <v/>
      </c>
      <c r="P3999" s="47" t="n">
        <f aca="false">IF(OR($A3999="",D3999=""),0,IF(COUNTIF($D$2:D3999,D3999)=1,SUMIF($D$2:$D$5001,D3999,$H$2:$H$5001)+ROW()/10000000,0))</f>
        <v>0</v>
      </c>
      <c r="Q3999" s="47" t="n">
        <f aca="false">IF(OR($A3999="",C3999=""),0,IF(COUNTIF($C$2:C3999,C3999)=1,SUMIF($C$2:$C$5001,C3999,$H$2:$H$5001)+ROW()/10000000,0))</f>
        <v>0</v>
      </c>
    </row>
    <row r="4000" customFormat="false" ht="15" hidden="false" customHeight="false" outlineLevel="0" collapsed="false">
      <c r="A4000" s="43"/>
      <c r="B4000" s="44"/>
      <c r="C4000" s="44"/>
      <c r="D4000" s="44"/>
      <c r="E4000" s="44"/>
      <c r="F4000" s="44"/>
      <c r="G4000" s="44"/>
      <c r="H4000" s="46" t="str">
        <f aca="false">IF($A4000="","",IF(OR(NOT(ISNUMBER(E4000)),NOT(ISNUMBER(F4000))),"",MAX(0,E4000)*F4000))</f>
        <v/>
      </c>
      <c r="I4000" s="46" t="str">
        <f aca="false">IF($A4000="","",SUMIF($A$2:$A$5001,$A4000,$H$2:$H$5001))</f>
        <v/>
      </c>
      <c r="J4000" s="47" t="n">
        <f aca="false">IF($A4000="",0,IF(COUNTIF($A$2:A4000,$A4000)=1,1,0))</f>
        <v>0</v>
      </c>
      <c r="K4000" s="47" t="n">
        <f aca="false">IF(J4000=1,N(I4000)+ROW()/10000000,0)</f>
        <v>0</v>
      </c>
      <c r="L4000" s="47" t="str">
        <f aca="false">IF(AND(J4000=1,N(I4000)&gt;0),SUMIF($K$2:$K$5001,"&gt;="&amp;K4000,$I$2:$I$5001)/MAX(1,SUM($H$2:$H$5001)),"")</f>
        <v/>
      </c>
      <c r="M4000" s="47" t="str">
        <f aca="false">IF($A4000="","",INDEX($L$2:$L$5001,MATCH($A4000,$A$2:$A$5001,0)))</f>
        <v/>
      </c>
      <c r="N4000" s="48" t="str">
        <f aca="false">IF($A4000="","",IF(N(M4000)=0,"–",IF(M4000&lt;=Start!$D$20,"A",IF(M4000&lt;=Start!$D$21,"B","C"))))</f>
        <v/>
      </c>
      <c r="O4000" s="48" t="str">
        <f aca="false">IF($A4000="","",IF(NOT(ISNUMBER(F4000)),"Wert fehlt; ",IF(F4000&lt;=0,"Wert ist 0; ",""))&amp;IF(NOT(ISNUMBER(E4000)),"Bestand fehlt; ",IF(E4000&lt;0,"Bestand negativ; ",IF(E4000=0,"Nullbestand; ","")))&amp;IF(D4000="","Warengruppe fehlt; ","")&amp;IF(B4000="","Bezeichnung fehlt; ","")&amp;IF(COUNTIFS($A$2:$A$5001,$A4000,$C$2:$C$5001,C4000)&gt;1,"Artikel doppelt im selben Lager; ",""))</f>
        <v/>
      </c>
      <c r="P4000" s="47" t="n">
        <f aca="false">IF(OR($A4000="",D4000=""),0,IF(COUNTIF($D$2:D4000,D4000)=1,SUMIF($D$2:$D$5001,D4000,$H$2:$H$5001)+ROW()/10000000,0))</f>
        <v>0</v>
      </c>
      <c r="Q4000" s="47" t="n">
        <f aca="false">IF(OR($A4000="",C4000=""),0,IF(COUNTIF($C$2:C4000,C4000)=1,SUMIF($C$2:$C$5001,C4000,$H$2:$H$5001)+ROW()/10000000,0))</f>
        <v>0</v>
      </c>
    </row>
    <row r="4001" customFormat="false" ht="15" hidden="false" customHeight="false" outlineLevel="0" collapsed="false">
      <c r="A4001" s="43"/>
      <c r="B4001" s="44"/>
      <c r="C4001" s="44"/>
      <c r="D4001" s="44"/>
      <c r="E4001" s="44"/>
      <c r="F4001" s="44"/>
      <c r="G4001" s="44"/>
      <c r="H4001" s="46" t="str">
        <f aca="false">IF($A4001="","",IF(OR(NOT(ISNUMBER(E4001)),NOT(ISNUMBER(F4001))),"",MAX(0,E4001)*F4001))</f>
        <v/>
      </c>
      <c r="I4001" s="46" t="str">
        <f aca="false">IF($A4001="","",SUMIF($A$2:$A$5001,$A4001,$H$2:$H$5001))</f>
        <v/>
      </c>
      <c r="J4001" s="47" t="n">
        <f aca="false">IF($A4001="",0,IF(COUNTIF($A$2:A4001,$A4001)=1,1,0))</f>
        <v>0</v>
      </c>
      <c r="K4001" s="47" t="n">
        <f aca="false">IF(J4001=1,N(I4001)+ROW()/10000000,0)</f>
        <v>0</v>
      </c>
      <c r="L4001" s="47" t="str">
        <f aca="false">IF(AND(J4001=1,N(I4001)&gt;0),SUMIF($K$2:$K$5001,"&gt;="&amp;K4001,$I$2:$I$5001)/MAX(1,SUM($H$2:$H$5001)),"")</f>
        <v/>
      </c>
      <c r="M4001" s="47" t="str">
        <f aca="false">IF($A4001="","",INDEX($L$2:$L$5001,MATCH($A4001,$A$2:$A$5001,0)))</f>
        <v/>
      </c>
      <c r="N4001" s="48" t="str">
        <f aca="false">IF($A4001="","",IF(N(M4001)=0,"–",IF(M4001&lt;=Start!$D$20,"A",IF(M4001&lt;=Start!$D$21,"B","C"))))</f>
        <v/>
      </c>
      <c r="O4001" s="48" t="str">
        <f aca="false">IF($A4001="","",IF(NOT(ISNUMBER(F4001)),"Wert fehlt; ",IF(F4001&lt;=0,"Wert ist 0; ",""))&amp;IF(NOT(ISNUMBER(E4001)),"Bestand fehlt; ",IF(E4001&lt;0,"Bestand negativ; ",IF(E4001=0,"Nullbestand; ","")))&amp;IF(D4001="","Warengruppe fehlt; ","")&amp;IF(B4001="","Bezeichnung fehlt; ","")&amp;IF(COUNTIFS($A$2:$A$5001,$A4001,$C$2:$C$5001,C4001)&gt;1,"Artikel doppelt im selben Lager; ",""))</f>
        <v/>
      </c>
      <c r="P4001" s="47" t="n">
        <f aca="false">IF(OR($A4001="",D4001=""),0,IF(COUNTIF($D$2:D4001,D4001)=1,SUMIF($D$2:$D$5001,D4001,$H$2:$H$5001)+ROW()/10000000,0))</f>
        <v>0</v>
      </c>
      <c r="Q4001" s="47" t="n">
        <f aca="false">IF(OR($A4001="",C4001=""),0,IF(COUNTIF($C$2:C4001,C4001)=1,SUMIF($C$2:$C$5001,C4001,$H$2:$H$5001)+ROW()/10000000,0))</f>
        <v>0</v>
      </c>
    </row>
    <row r="4002" customFormat="false" ht="15" hidden="false" customHeight="false" outlineLevel="0" collapsed="false">
      <c r="A4002" s="43"/>
      <c r="B4002" s="44"/>
      <c r="C4002" s="44"/>
      <c r="D4002" s="44"/>
      <c r="E4002" s="44"/>
      <c r="F4002" s="44"/>
      <c r="G4002" s="44"/>
      <c r="H4002" s="46" t="str">
        <f aca="false">IF($A4002="","",IF(OR(NOT(ISNUMBER(E4002)),NOT(ISNUMBER(F4002))),"",MAX(0,E4002)*F4002))</f>
        <v/>
      </c>
      <c r="I4002" s="46" t="str">
        <f aca="false">IF($A4002="","",SUMIF($A$2:$A$5001,$A4002,$H$2:$H$5001))</f>
        <v/>
      </c>
      <c r="J4002" s="47" t="n">
        <f aca="false">IF($A4002="",0,IF(COUNTIF($A$2:A4002,$A4002)=1,1,0))</f>
        <v>0</v>
      </c>
      <c r="K4002" s="47" t="n">
        <f aca="false">IF(J4002=1,N(I4002)+ROW()/10000000,0)</f>
        <v>0</v>
      </c>
      <c r="L4002" s="47" t="str">
        <f aca="false">IF(AND(J4002=1,N(I4002)&gt;0),SUMIF($K$2:$K$5001,"&gt;="&amp;K4002,$I$2:$I$5001)/MAX(1,SUM($H$2:$H$5001)),"")</f>
        <v/>
      </c>
      <c r="M4002" s="47" t="str">
        <f aca="false">IF($A4002="","",INDEX($L$2:$L$5001,MATCH($A4002,$A$2:$A$5001,0)))</f>
        <v/>
      </c>
      <c r="N4002" s="48" t="str">
        <f aca="false">IF($A4002="","",IF(N(M4002)=0,"–",IF(M4002&lt;=Start!$D$20,"A",IF(M4002&lt;=Start!$D$21,"B","C"))))</f>
        <v/>
      </c>
      <c r="O4002" s="48" t="str">
        <f aca="false">IF($A4002="","",IF(NOT(ISNUMBER(F4002)),"Wert fehlt; ",IF(F4002&lt;=0,"Wert ist 0; ",""))&amp;IF(NOT(ISNUMBER(E4002)),"Bestand fehlt; ",IF(E4002&lt;0,"Bestand negativ; ",IF(E4002=0,"Nullbestand; ","")))&amp;IF(D4002="","Warengruppe fehlt; ","")&amp;IF(B4002="","Bezeichnung fehlt; ","")&amp;IF(COUNTIFS($A$2:$A$5001,$A4002,$C$2:$C$5001,C4002)&gt;1,"Artikel doppelt im selben Lager; ",""))</f>
        <v/>
      </c>
      <c r="P4002" s="47" t="n">
        <f aca="false">IF(OR($A4002="",D4002=""),0,IF(COUNTIF($D$2:D4002,D4002)=1,SUMIF($D$2:$D$5001,D4002,$H$2:$H$5001)+ROW()/10000000,0))</f>
        <v>0</v>
      </c>
      <c r="Q4002" s="47" t="n">
        <f aca="false">IF(OR($A4002="",C4002=""),0,IF(COUNTIF($C$2:C4002,C4002)=1,SUMIF($C$2:$C$5001,C4002,$H$2:$H$5001)+ROW()/10000000,0))</f>
        <v>0</v>
      </c>
    </row>
    <row r="4003" customFormat="false" ht="15" hidden="false" customHeight="false" outlineLevel="0" collapsed="false">
      <c r="A4003" s="43"/>
      <c r="B4003" s="44"/>
      <c r="C4003" s="44"/>
      <c r="D4003" s="44"/>
      <c r="E4003" s="44"/>
      <c r="F4003" s="44"/>
      <c r="G4003" s="44"/>
      <c r="H4003" s="46" t="str">
        <f aca="false">IF($A4003="","",IF(OR(NOT(ISNUMBER(E4003)),NOT(ISNUMBER(F4003))),"",MAX(0,E4003)*F4003))</f>
        <v/>
      </c>
      <c r="I4003" s="46" t="str">
        <f aca="false">IF($A4003="","",SUMIF($A$2:$A$5001,$A4003,$H$2:$H$5001))</f>
        <v/>
      </c>
      <c r="J4003" s="47" t="n">
        <f aca="false">IF($A4003="",0,IF(COUNTIF($A$2:A4003,$A4003)=1,1,0))</f>
        <v>0</v>
      </c>
      <c r="K4003" s="47" t="n">
        <f aca="false">IF(J4003=1,N(I4003)+ROW()/10000000,0)</f>
        <v>0</v>
      </c>
      <c r="L4003" s="47" t="str">
        <f aca="false">IF(AND(J4003=1,N(I4003)&gt;0),SUMIF($K$2:$K$5001,"&gt;="&amp;K4003,$I$2:$I$5001)/MAX(1,SUM($H$2:$H$5001)),"")</f>
        <v/>
      </c>
      <c r="M4003" s="47" t="str">
        <f aca="false">IF($A4003="","",INDEX($L$2:$L$5001,MATCH($A4003,$A$2:$A$5001,0)))</f>
        <v/>
      </c>
      <c r="N4003" s="48" t="str">
        <f aca="false">IF($A4003="","",IF(N(M4003)=0,"–",IF(M4003&lt;=Start!$D$20,"A",IF(M4003&lt;=Start!$D$21,"B","C"))))</f>
        <v/>
      </c>
      <c r="O4003" s="48" t="str">
        <f aca="false">IF($A4003="","",IF(NOT(ISNUMBER(F4003)),"Wert fehlt; ",IF(F4003&lt;=0,"Wert ist 0; ",""))&amp;IF(NOT(ISNUMBER(E4003)),"Bestand fehlt; ",IF(E4003&lt;0,"Bestand negativ; ",IF(E4003=0,"Nullbestand; ","")))&amp;IF(D4003="","Warengruppe fehlt; ","")&amp;IF(B4003="","Bezeichnung fehlt; ","")&amp;IF(COUNTIFS($A$2:$A$5001,$A4003,$C$2:$C$5001,C4003)&gt;1,"Artikel doppelt im selben Lager; ",""))</f>
        <v/>
      </c>
      <c r="P4003" s="47" t="n">
        <f aca="false">IF(OR($A4003="",D4003=""),0,IF(COUNTIF($D$2:D4003,D4003)=1,SUMIF($D$2:$D$5001,D4003,$H$2:$H$5001)+ROW()/10000000,0))</f>
        <v>0</v>
      </c>
      <c r="Q4003" s="47" t="n">
        <f aca="false">IF(OR($A4003="",C4003=""),0,IF(COUNTIF($C$2:C4003,C4003)=1,SUMIF($C$2:$C$5001,C4003,$H$2:$H$5001)+ROW()/10000000,0))</f>
        <v>0</v>
      </c>
    </row>
    <row r="4004" customFormat="false" ht="15" hidden="false" customHeight="false" outlineLevel="0" collapsed="false">
      <c r="A4004" s="43"/>
      <c r="B4004" s="44"/>
      <c r="C4004" s="44"/>
      <c r="D4004" s="44"/>
      <c r="E4004" s="44"/>
      <c r="F4004" s="44"/>
      <c r="G4004" s="44"/>
      <c r="H4004" s="46" t="str">
        <f aca="false">IF($A4004="","",IF(OR(NOT(ISNUMBER(E4004)),NOT(ISNUMBER(F4004))),"",MAX(0,E4004)*F4004))</f>
        <v/>
      </c>
      <c r="I4004" s="46" t="str">
        <f aca="false">IF($A4004="","",SUMIF($A$2:$A$5001,$A4004,$H$2:$H$5001))</f>
        <v/>
      </c>
      <c r="J4004" s="47" t="n">
        <f aca="false">IF($A4004="",0,IF(COUNTIF($A$2:A4004,$A4004)=1,1,0))</f>
        <v>0</v>
      </c>
      <c r="K4004" s="47" t="n">
        <f aca="false">IF(J4004=1,N(I4004)+ROW()/10000000,0)</f>
        <v>0</v>
      </c>
      <c r="L4004" s="47" t="str">
        <f aca="false">IF(AND(J4004=1,N(I4004)&gt;0),SUMIF($K$2:$K$5001,"&gt;="&amp;K4004,$I$2:$I$5001)/MAX(1,SUM($H$2:$H$5001)),"")</f>
        <v/>
      </c>
      <c r="M4004" s="47" t="str">
        <f aca="false">IF($A4004="","",INDEX($L$2:$L$5001,MATCH($A4004,$A$2:$A$5001,0)))</f>
        <v/>
      </c>
      <c r="N4004" s="48" t="str">
        <f aca="false">IF($A4004="","",IF(N(M4004)=0,"–",IF(M4004&lt;=Start!$D$20,"A",IF(M4004&lt;=Start!$D$21,"B","C"))))</f>
        <v/>
      </c>
      <c r="O4004" s="48" t="str">
        <f aca="false">IF($A4004="","",IF(NOT(ISNUMBER(F4004)),"Wert fehlt; ",IF(F4004&lt;=0,"Wert ist 0; ",""))&amp;IF(NOT(ISNUMBER(E4004)),"Bestand fehlt; ",IF(E4004&lt;0,"Bestand negativ; ",IF(E4004=0,"Nullbestand; ","")))&amp;IF(D4004="","Warengruppe fehlt; ","")&amp;IF(B4004="","Bezeichnung fehlt; ","")&amp;IF(COUNTIFS($A$2:$A$5001,$A4004,$C$2:$C$5001,C4004)&gt;1,"Artikel doppelt im selben Lager; ",""))</f>
        <v/>
      </c>
      <c r="P4004" s="47" t="n">
        <f aca="false">IF(OR($A4004="",D4004=""),0,IF(COUNTIF($D$2:D4004,D4004)=1,SUMIF($D$2:$D$5001,D4004,$H$2:$H$5001)+ROW()/10000000,0))</f>
        <v>0</v>
      </c>
      <c r="Q4004" s="47" t="n">
        <f aca="false">IF(OR($A4004="",C4004=""),0,IF(COUNTIF($C$2:C4004,C4004)=1,SUMIF($C$2:$C$5001,C4004,$H$2:$H$5001)+ROW()/10000000,0))</f>
        <v>0</v>
      </c>
    </row>
    <row r="4005" customFormat="false" ht="15" hidden="false" customHeight="false" outlineLevel="0" collapsed="false">
      <c r="A4005" s="43"/>
      <c r="B4005" s="44"/>
      <c r="C4005" s="44"/>
      <c r="D4005" s="44"/>
      <c r="E4005" s="44"/>
      <c r="F4005" s="44"/>
      <c r="G4005" s="44"/>
      <c r="H4005" s="46" t="str">
        <f aca="false">IF($A4005="","",IF(OR(NOT(ISNUMBER(E4005)),NOT(ISNUMBER(F4005))),"",MAX(0,E4005)*F4005))</f>
        <v/>
      </c>
      <c r="I4005" s="46" t="str">
        <f aca="false">IF($A4005="","",SUMIF($A$2:$A$5001,$A4005,$H$2:$H$5001))</f>
        <v/>
      </c>
      <c r="J4005" s="47" t="n">
        <f aca="false">IF($A4005="",0,IF(COUNTIF($A$2:A4005,$A4005)=1,1,0))</f>
        <v>0</v>
      </c>
      <c r="K4005" s="47" t="n">
        <f aca="false">IF(J4005=1,N(I4005)+ROW()/10000000,0)</f>
        <v>0</v>
      </c>
      <c r="L4005" s="47" t="str">
        <f aca="false">IF(AND(J4005=1,N(I4005)&gt;0),SUMIF($K$2:$K$5001,"&gt;="&amp;K4005,$I$2:$I$5001)/MAX(1,SUM($H$2:$H$5001)),"")</f>
        <v/>
      </c>
      <c r="M4005" s="47" t="str">
        <f aca="false">IF($A4005="","",INDEX($L$2:$L$5001,MATCH($A4005,$A$2:$A$5001,0)))</f>
        <v/>
      </c>
      <c r="N4005" s="48" t="str">
        <f aca="false">IF($A4005="","",IF(N(M4005)=0,"–",IF(M4005&lt;=Start!$D$20,"A",IF(M4005&lt;=Start!$D$21,"B","C"))))</f>
        <v/>
      </c>
      <c r="O4005" s="48" t="str">
        <f aca="false">IF($A4005="","",IF(NOT(ISNUMBER(F4005)),"Wert fehlt; ",IF(F4005&lt;=0,"Wert ist 0; ",""))&amp;IF(NOT(ISNUMBER(E4005)),"Bestand fehlt; ",IF(E4005&lt;0,"Bestand negativ; ",IF(E4005=0,"Nullbestand; ","")))&amp;IF(D4005="","Warengruppe fehlt; ","")&amp;IF(B4005="","Bezeichnung fehlt; ","")&amp;IF(COUNTIFS($A$2:$A$5001,$A4005,$C$2:$C$5001,C4005)&gt;1,"Artikel doppelt im selben Lager; ",""))</f>
        <v/>
      </c>
      <c r="P4005" s="47" t="n">
        <f aca="false">IF(OR($A4005="",D4005=""),0,IF(COUNTIF($D$2:D4005,D4005)=1,SUMIF($D$2:$D$5001,D4005,$H$2:$H$5001)+ROW()/10000000,0))</f>
        <v>0</v>
      </c>
      <c r="Q4005" s="47" t="n">
        <f aca="false">IF(OR($A4005="",C4005=""),0,IF(COUNTIF($C$2:C4005,C4005)=1,SUMIF($C$2:$C$5001,C4005,$H$2:$H$5001)+ROW()/10000000,0))</f>
        <v>0</v>
      </c>
    </row>
    <row r="4006" customFormat="false" ht="15" hidden="false" customHeight="false" outlineLevel="0" collapsed="false">
      <c r="A4006" s="43"/>
      <c r="B4006" s="44"/>
      <c r="C4006" s="44"/>
      <c r="D4006" s="44"/>
      <c r="E4006" s="44"/>
      <c r="F4006" s="44"/>
      <c r="G4006" s="44"/>
      <c r="H4006" s="46" t="str">
        <f aca="false">IF($A4006="","",IF(OR(NOT(ISNUMBER(E4006)),NOT(ISNUMBER(F4006))),"",MAX(0,E4006)*F4006))</f>
        <v/>
      </c>
      <c r="I4006" s="46" t="str">
        <f aca="false">IF($A4006="","",SUMIF($A$2:$A$5001,$A4006,$H$2:$H$5001))</f>
        <v/>
      </c>
      <c r="J4006" s="47" t="n">
        <f aca="false">IF($A4006="",0,IF(COUNTIF($A$2:A4006,$A4006)=1,1,0))</f>
        <v>0</v>
      </c>
      <c r="K4006" s="47" t="n">
        <f aca="false">IF(J4006=1,N(I4006)+ROW()/10000000,0)</f>
        <v>0</v>
      </c>
      <c r="L4006" s="47" t="str">
        <f aca="false">IF(AND(J4006=1,N(I4006)&gt;0),SUMIF($K$2:$K$5001,"&gt;="&amp;K4006,$I$2:$I$5001)/MAX(1,SUM($H$2:$H$5001)),"")</f>
        <v/>
      </c>
      <c r="M4006" s="47" t="str">
        <f aca="false">IF($A4006="","",INDEX($L$2:$L$5001,MATCH($A4006,$A$2:$A$5001,0)))</f>
        <v/>
      </c>
      <c r="N4006" s="48" t="str">
        <f aca="false">IF($A4006="","",IF(N(M4006)=0,"–",IF(M4006&lt;=Start!$D$20,"A",IF(M4006&lt;=Start!$D$21,"B","C"))))</f>
        <v/>
      </c>
      <c r="O4006" s="48" t="str">
        <f aca="false">IF($A4006="","",IF(NOT(ISNUMBER(F4006)),"Wert fehlt; ",IF(F4006&lt;=0,"Wert ist 0; ",""))&amp;IF(NOT(ISNUMBER(E4006)),"Bestand fehlt; ",IF(E4006&lt;0,"Bestand negativ; ",IF(E4006=0,"Nullbestand; ","")))&amp;IF(D4006="","Warengruppe fehlt; ","")&amp;IF(B4006="","Bezeichnung fehlt; ","")&amp;IF(COUNTIFS($A$2:$A$5001,$A4006,$C$2:$C$5001,C4006)&gt;1,"Artikel doppelt im selben Lager; ",""))</f>
        <v/>
      </c>
      <c r="P4006" s="47" t="n">
        <f aca="false">IF(OR($A4006="",D4006=""),0,IF(COUNTIF($D$2:D4006,D4006)=1,SUMIF($D$2:$D$5001,D4006,$H$2:$H$5001)+ROW()/10000000,0))</f>
        <v>0</v>
      </c>
      <c r="Q4006" s="47" t="n">
        <f aca="false">IF(OR($A4006="",C4006=""),0,IF(COUNTIF($C$2:C4006,C4006)=1,SUMIF($C$2:$C$5001,C4006,$H$2:$H$5001)+ROW()/10000000,0))</f>
        <v>0</v>
      </c>
    </row>
    <row r="4007" customFormat="false" ht="15" hidden="false" customHeight="false" outlineLevel="0" collapsed="false">
      <c r="A4007" s="43"/>
      <c r="B4007" s="44"/>
      <c r="C4007" s="44"/>
      <c r="D4007" s="44"/>
      <c r="E4007" s="44"/>
      <c r="F4007" s="44"/>
      <c r="G4007" s="44"/>
      <c r="H4007" s="46" t="str">
        <f aca="false">IF($A4007="","",IF(OR(NOT(ISNUMBER(E4007)),NOT(ISNUMBER(F4007))),"",MAX(0,E4007)*F4007))</f>
        <v/>
      </c>
      <c r="I4007" s="46" t="str">
        <f aca="false">IF($A4007="","",SUMIF($A$2:$A$5001,$A4007,$H$2:$H$5001))</f>
        <v/>
      </c>
      <c r="J4007" s="47" t="n">
        <f aca="false">IF($A4007="",0,IF(COUNTIF($A$2:A4007,$A4007)=1,1,0))</f>
        <v>0</v>
      </c>
      <c r="K4007" s="47" t="n">
        <f aca="false">IF(J4007=1,N(I4007)+ROW()/10000000,0)</f>
        <v>0</v>
      </c>
      <c r="L4007" s="47" t="str">
        <f aca="false">IF(AND(J4007=1,N(I4007)&gt;0),SUMIF($K$2:$K$5001,"&gt;="&amp;K4007,$I$2:$I$5001)/MAX(1,SUM($H$2:$H$5001)),"")</f>
        <v/>
      </c>
      <c r="M4007" s="47" t="str">
        <f aca="false">IF($A4007="","",INDEX($L$2:$L$5001,MATCH($A4007,$A$2:$A$5001,0)))</f>
        <v/>
      </c>
      <c r="N4007" s="48" t="str">
        <f aca="false">IF($A4007="","",IF(N(M4007)=0,"–",IF(M4007&lt;=Start!$D$20,"A",IF(M4007&lt;=Start!$D$21,"B","C"))))</f>
        <v/>
      </c>
      <c r="O4007" s="48" t="str">
        <f aca="false">IF($A4007="","",IF(NOT(ISNUMBER(F4007)),"Wert fehlt; ",IF(F4007&lt;=0,"Wert ist 0; ",""))&amp;IF(NOT(ISNUMBER(E4007)),"Bestand fehlt; ",IF(E4007&lt;0,"Bestand negativ; ",IF(E4007=0,"Nullbestand; ","")))&amp;IF(D4007="","Warengruppe fehlt; ","")&amp;IF(B4007="","Bezeichnung fehlt; ","")&amp;IF(COUNTIFS($A$2:$A$5001,$A4007,$C$2:$C$5001,C4007)&gt;1,"Artikel doppelt im selben Lager; ",""))</f>
        <v/>
      </c>
      <c r="P4007" s="47" t="n">
        <f aca="false">IF(OR($A4007="",D4007=""),0,IF(COUNTIF($D$2:D4007,D4007)=1,SUMIF($D$2:$D$5001,D4007,$H$2:$H$5001)+ROW()/10000000,0))</f>
        <v>0</v>
      </c>
      <c r="Q4007" s="47" t="n">
        <f aca="false">IF(OR($A4007="",C4007=""),0,IF(COUNTIF($C$2:C4007,C4007)=1,SUMIF($C$2:$C$5001,C4007,$H$2:$H$5001)+ROW()/10000000,0))</f>
        <v>0</v>
      </c>
    </row>
    <row r="4008" customFormat="false" ht="15" hidden="false" customHeight="false" outlineLevel="0" collapsed="false">
      <c r="A4008" s="43"/>
      <c r="B4008" s="44"/>
      <c r="C4008" s="44"/>
      <c r="D4008" s="44"/>
      <c r="E4008" s="44"/>
      <c r="F4008" s="44"/>
      <c r="G4008" s="44"/>
      <c r="H4008" s="46" t="str">
        <f aca="false">IF($A4008="","",IF(OR(NOT(ISNUMBER(E4008)),NOT(ISNUMBER(F4008))),"",MAX(0,E4008)*F4008))</f>
        <v/>
      </c>
      <c r="I4008" s="46" t="str">
        <f aca="false">IF($A4008="","",SUMIF($A$2:$A$5001,$A4008,$H$2:$H$5001))</f>
        <v/>
      </c>
      <c r="J4008" s="47" t="n">
        <f aca="false">IF($A4008="",0,IF(COUNTIF($A$2:A4008,$A4008)=1,1,0))</f>
        <v>0</v>
      </c>
      <c r="K4008" s="47" t="n">
        <f aca="false">IF(J4008=1,N(I4008)+ROW()/10000000,0)</f>
        <v>0</v>
      </c>
      <c r="L4008" s="47" t="str">
        <f aca="false">IF(AND(J4008=1,N(I4008)&gt;0),SUMIF($K$2:$K$5001,"&gt;="&amp;K4008,$I$2:$I$5001)/MAX(1,SUM($H$2:$H$5001)),"")</f>
        <v/>
      </c>
      <c r="M4008" s="47" t="str">
        <f aca="false">IF($A4008="","",INDEX($L$2:$L$5001,MATCH($A4008,$A$2:$A$5001,0)))</f>
        <v/>
      </c>
      <c r="N4008" s="48" t="str">
        <f aca="false">IF($A4008="","",IF(N(M4008)=0,"–",IF(M4008&lt;=Start!$D$20,"A",IF(M4008&lt;=Start!$D$21,"B","C"))))</f>
        <v/>
      </c>
      <c r="O4008" s="48" t="str">
        <f aca="false">IF($A4008="","",IF(NOT(ISNUMBER(F4008)),"Wert fehlt; ",IF(F4008&lt;=0,"Wert ist 0; ",""))&amp;IF(NOT(ISNUMBER(E4008)),"Bestand fehlt; ",IF(E4008&lt;0,"Bestand negativ; ",IF(E4008=0,"Nullbestand; ","")))&amp;IF(D4008="","Warengruppe fehlt; ","")&amp;IF(B4008="","Bezeichnung fehlt; ","")&amp;IF(COUNTIFS($A$2:$A$5001,$A4008,$C$2:$C$5001,C4008)&gt;1,"Artikel doppelt im selben Lager; ",""))</f>
        <v/>
      </c>
      <c r="P4008" s="47" t="n">
        <f aca="false">IF(OR($A4008="",D4008=""),0,IF(COUNTIF($D$2:D4008,D4008)=1,SUMIF($D$2:$D$5001,D4008,$H$2:$H$5001)+ROW()/10000000,0))</f>
        <v>0</v>
      </c>
      <c r="Q4008" s="47" t="n">
        <f aca="false">IF(OR($A4008="",C4008=""),0,IF(COUNTIF($C$2:C4008,C4008)=1,SUMIF($C$2:$C$5001,C4008,$H$2:$H$5001)+ROW()/10000000,0))</f>
        <v>0</v>
      </c>
    </row>
    <row r="4009" customFormat="false" ht="15" hidden="false" customHeight="false" outlineLevel="0" collapsed="false">
      <c r="A4009" s="43"/>
      <c r="B4009" s="44"/>
      <c r="C4009" s="44"/>
      <c r="D4009" s="44"/>
      <c r="E4009" s="44"/>
      <c r="F4009" s="44"/>
      <c r="G4009" s="44"/>
      <c r="H4009" s="46" t="str">
        <f aca="false">IF($A4009="","",IF(OR(NOT(ISNUMBER(E4009)),NOT(ISNUMBER(F4009))),"",MAX(0,E4009)*F4009))</f>
        <v/>
      </c>
      <c r="I4009" s="46" t="str">
        <f aca="false">IF($A4009="","",SUMIF($A$2:$A$5001,$A4009,$H$2:$H$5001))</f>
        <v/>
      </c>
      <c r="J4009" s="47" t="n">
        <f aca="false">IF($A4009="",0,IF(COUNTIF($A$2:A4009,$A4009)=1,1,0))</f>
        <v>0</v>
      </c>
      <c r="K4009" s="47" t="n">
        <f aca="false">IF(J4009=1,N(I4009)+ROW()/10000000,0)</f>
        <v>0</v>
      </c>
      <c r="L4009" s="47" t="str">
        <f aca="false">IF(AND(J4009=1,N(I4009)&gt;0),SUMIF($K$2:$K$5001,"&gt;="&amp;K4009,$I$2:$I$5001)/MAX(1,SUM($H$2:$H$5001)),"")</f>
        <v/>
      </c>
      <c r="M4009" s="47" t="str">
        <f aca="false">IF($A4009="","",INDEX($L$2:$L$5001,MATCH($A4009,$A$2:$A$5001,0)))</f>
        <v/>
      </c>
      <c r="N4009" s="48" t="str">
        <f aca="false">IF($A4009="","",IF(N(M4009)=0,"–",IF(M4009&lt;=Start!$D$20,"A",IF(M4009&lt;=Start!$D$21,"B","C"))))</f>
        <v/>
      </c>
      <c r="O4009" s="48" t="str">
        <f aca="false">IF($A4009="","",IF(NOT(ISNUMBER(F4009)),"Wert fehlt; ",IF(F4009&lt;=0,"Wert ist 0; ",""))&amp;IF(NOT(ISNUMBER(E4009)),"Bestand fehlt; ",IF(E4009&lt;0,"Bestand negativ; ",IF(E4009=0,"Nullbestand; ","")))&amp;IF(D4009="","Warengruppe fehlt; ","")&amp;IF(B4009="","Bezeichnung fehlt; ","")&amp;IF(COUNTIFS($A$2:$A$5001,$A4009,$C$2:$C$5001,C4009)&gt;1,"Artikel doppelt im selben Lager; ",""))</f>
        <v/>
      </c>
      <c r="P4009" s="47" t="n">
        <f aca="false">IF(OR($A4009="",D4009=""),0,IF(COUNTIF($D$2:D4009,D4009)=1,SUMIF($D$2:$D$5001,D4009,$H$2:$H$5001)+ROW()/10000000,0))</f>
        <v>0</v>
      </c>
      <c r="Q4009" s="47" t="n">
        <f aca="false">IF(OR($A4009="",C4009=""),0,IF(COUNTIF($C$2:C4009,C4009)=1,SUMIF($C$2:$C$5001,C4009,$H$2:$H$5001)+ROW()/10000000,0))</f>
        <v>0</v>
      </c>
    </row>
    <row r="4010" customFormat="false" ht="15" hidden="false" customHeight="false" outlineLevel="0" collapsed="false">
      <c r="A4010" s="43"/>
      <c r="B4010" s="44"/>
      <c r="C4010" s="44"/>
      <c r="D4010" s="44"/>
      <c r="E4010" s="44"/>
      <c r="F4010" s="44"/>
      <c r="G4010" s="44"/>
      <c r="H4010" s="46" t="str">
        <f aca="false">IF($A4010="","",IF(OR(NOT(ISNUMBER(E4010)),NOT(ISNUMBER(F4010))),"",MAX(0,E4010)*F4010))</f>
        <v/>
      </c>
      <c r="I4010" s="46" t="str">
        <f aca="false">IF($A4010="","",SUMIF($A$2:$A$5001,$A4010,$H$2:$H$5001))</f>
        <v/>
      </c>
      <c r="J4010" s="47" t="n">
        <f aca="false">IF($A4010="",0,IF(COUNTIF($A$2:A4010,$A4010)=1,1,0))</f>
        <v>0</v>
      </c>
      <c r="K4010" s="47" t="n">
        <f aca="false">IF(J4010=1,N(I4010)+ROW()/10000000,0)</f>
        <v>0</v>
      </c>
      <c r="L4010" s="47" t="str">
        <f aca="false">IF(AND(J4010=1,N(I4010)&gt;0),SUMIF($K$2:$K$5001,"&gt;="&amp;K4010,$I$2:$I$5001)/MAX(1,SUM($H$2:$H$5001)),"")</f>
        <v/>
      </c>
      <c r="M4010" s="47" t="str">
        <f aca="false">IF($A4010="","",INDEX($L$2:$L$5001,MATCH($A4010,$A$2:$A$5001,0)))</f>
        <v/>
      </c>
      <c r="N4010" s="48" t="str">
        <f aca="false">IF($A4010="","",IF(N(M4010)=0,"–",IF(M4010&lt;=Start!$D$20,"A",IF(M4010&lt;=Start!$D$21,"B","C"))))</f>
        <v/>
      </c>
      <c r="O4010" s="48" t="str">
        <f aca="false">IF($A4010="","",IF(NOT(ISNUMBER(F4010)),"Wert fehlt; ",IF(F4010&lt;=0,"Wert ist 0; ",""))&amp;IF(NOT(ISNUMBER(E4010)),"Bestand fehlt; ",IF(E4010&lt;0,"Bestand negativ; ",IF(E4010=0,"Nullbestand; ","")))&amp;IF(D4010="","Warengruppe fehlt; ","")&amp;IF(B4010="","Bezeichnung fehlt; ","")&amp;IF(COUNTIFS($A$2:$A$5001,$A4010,$C$2:$C$5001,C4010)&gt;1,"Artikel doppelt im selben Lager; ",""))</f>
        <v/>
      </c>
      <c r="P4010" s="47" t="n">
        <f aca="false">IF(OR($A4010="",D4010=""),0,IF(COUNTIF($D$2:D4010,D4010)=1,SUMIF($D$2:$D$5001,D4010,$H$2:$H$5001)+ROW()/10000000,0))</f>
        <v>0</v>
      </c>
      <c r="Q4010" s="47" t="n">
        <f aca="false">IF(OR($A4010="",C4010=""),0,IF(COUNTIF($C$2:C4010,C4010)=1,SUMIF($C$2:$C$5001,C4010,$H$2:$H$5001)+ROW()/10000000,0))</f>
        <v>0</v>
      </c>
    </row>
    <row r="4011" customFormat="false" ht="15" hidden="false" customHeight="false" outlineLevel="0" collapsed="false">
      <c r="A4011" s="43"/>
      <c r="B4011" s="44"/>
      <c r="C4011" s="44"/>
      <c r="D4011" s="44"/>
      <c r="E4011" s="44"/>
      <c r="F4011" s="44"/>
      <c r="G4011" s="44"/>
      <c r="H4011" s="46" t="str">
        <f aca="false">IF($A4011="","",IF(OR(NOT(ISNUMBER(E4011)),NOT(ISNUMBER(F4011))),"",MAX(0,E4011)*F4011))</f>
        <v/>
      </c>
      <c r="I4011" s="46" t="str">
        <f aca="false">IF($A4011="","",SUMIF($A$2:$A$5001,$A4011,$H$2:$H$5001))</f>
        <v/>
      </c>
      <c r="J4011" s="47" t="n">
        <f aca="false">IF($A4011="",0,IF(COUNTIF($A$2:A4011,$A4011)=1,1,0))</f>
        <v>0</v>
      </c>
      <c r="K4011" s="47" t="n">
        <f aca="false">IF(J4011=1,N(I4011)+ROW()/10000000,0)</f>
        <v>0</v>
      </c>
      <c r="L4011" s="47" t="str">
        <f aca="false">IF(AND(J4011=1,N(I4011)&gt;0),SUMIF($K$2:$K$5001,"&gt;="&amp;K4011,$I$2:$I$5001)/MAX(1,SUM($H$2:$H$5001)),"")</f>
        <v/>
      </c>
      <c r="M4011" s="47" t="str">
        <f aca="false">IF($A4011="","",INDEX($L$2:$L$5001,MATCH($A4011,$A$2:$A$5001,0)))</f>
        <v/>
      </c>
      <c r="N4011" s="48" t="str">
        <f aca="false">IF($A4011="","",IF(N(M4011)=0,"–",IF(M4011&lt;=Start!$D$20,"A",IF(M4011&lt;=Start!$D$21,"B","C"))))</f>
        <v/>
      </c>
      <c r="O4011" s="48" t="str">
        <f aca="false">IF($A4011="","",IF(NOT(ISNUMBER(F4011)),"Wert fehlt; ",IF(F4011&lt;=0,"Wert ist 0; ",""))&amp;IF(NOT(ISNUMBER(E4011)),"Bestand fehlt; ",IF(E4011&lt;0,"Bestand negativ; ",IF(E4011=0,"Nullbestand; ","")))&amp;IF(D4011="","Warengruppe fehlt; ","")&amp;IF(B4011="","Bezeichnung fehlt; ","")&amp;IF(COUNTIFS($A$2:$A$5001,$A4011,$C$2:$C$5001,C4011)&gt;1,"Artikel doppelt im selben Lager; ",""))</f>
        <v/>
      </c>
      <c r="P4011" s="47" t="n">
        <f aca="false">IF(OR($A4011="",D4011=""),0,IF(COUNTIF($D$2:D4011,D4011)=1,SUMIF($D$2:$D$5001,D4011,$H$2:$H$5001)+ROW()/10000000,0))</f>
        <v>0</v>
      </c>
      <c r="Q4011" s="47" t="n">
        <f aca="false">IF(OR($A4011="",C4011=""),0,IF(COUNTIF($C$2:C4011,C4011)=1,SUMIF($C$2:$C$5001,C4011,$H$2:$H$5001)+ROW()/10000000,0))</f>
        <v>0</v>
      </c>
    </row>
    <row r="4012" customFormat="false" ht="15" hidden="false" customHeight="false" outlineLevel="0" collapsed="false">
      <c r="A4012" s="43"/>
      <c r="B4012" s="44"/>
      <c r="C4012" s="44"/>
      <c r="D4012" s="44"/>
      <c r="E4012" s="44"/>
      <c r="F4012" s="44"/>
      <c r="G4012" s="44"/>
      <c r="H4012" s="46" t="str">
        <f aca="false">IF($A4012="","",IF(OR(NOT(ISNUMBER(E4012)),NOT(ISNUMBER(F4012))),"",MAX(0,E4012)*F4012))</f>
        <v/>
      </c>
      <c r="I4012" s="46" t="str">
        <f aca="false">IF($A4012="","",SUMIF($A$2:$A$5001,$A4012,$H$2:$H$5001))</f>
        <v/>
      </c>
      <c r="J4012" s="47" t="n">
        <f aca="false">IF($A4012="",0,IF(COUNTIF($A$2:A4012,$A4012)=1,1,0))</f>
        <v>0</v>
      </c>
      <c r="K4012" s="47" t="n">
        <f aca="false">IF(J4012=1,N(I4012)+ROW()/10000000,0)</f>
        <v>0</v>
      </c>
      <c r="L4012" s="47" t="str">
        <f aca="false">IF(AND(J4012=1,N(I4012)&gt;0),SUMIF($K$2:$K$5001,"&gt;="&amp;K4012,$I$2:$I$5001)/MAX(1,SUM($H$2:$H$5001)),"")</f>
        <v/>
      </c>
      <c r="M4012" s="47" t="str">
        <f aca="false">IF($A4012="","",INDEX($L$2:$L$5001,MATCH($A4012,$A$2:$A$5001,0)))</f>
        <v/>
      </c>
      <c r="N4012" s="48" t="str">
        <f aca="false">IF($A4012="","",IF(N(M4012)=0,"–",IF(M4012&lt;=Start!$D$20,"A",IF(M4012&lt;=Start!$D$21,"B","C"))))</f>
        <v/>
      </c>
      <c r="O4012" s="48" t="str">
        <f aca="false">IF($A4012="","",IF(NOT(ISNUMBER(F4012)),"Wert fehlt; ",IF(F4012&lt;=0,"Wert ist 0; ",""))&amp;IF(NOT(ISNUMBER(E4012)),"Bestand fehlt; ",IF(E4012&lt;0,"Bestand negativ; ",IF(E4012=0,"Nullbestand; ","")))&amp;IF(D4012="","Warengruppe fehlt; ","")&amp;IF(B4012="","Bezeichnung fehlt; ","")&amp;IF(COUNTIFS($A$2:$A$5001,$A4012,$C$2:$C$5001,C4012)&gt;1,"Artikel doppelt im selben Lager; ",""))</f>
        <v/>
      </c>
      <c r="P4012" s="47" t="n">
        <f aca="false">IF(OR($A4012="",D4012=""),0,IF(COUNTIF($D$2:D4012,D4012)=1,SUMIF($D$2:$D$5001,D4012,$H$2:$H$5001)+ROW()/10000000,0))</f>
        <v>0</v>
      </c>
      <c r="Q4012" s="47" t="n">
        <f aca="false">IF(OR($A4012="",C4012=""),0,IF(COUNTIF($C$2:C4012,C4012)=1,SUMIF($C$2:$C$5001,C4012,$H$2:$H$5001)+ROW()/10000000,0))</f>
        <v>0</v>
      </c>
    </row>
    <row r="4013" customFormat="false" ht="15" hidden="false" customHeight="false" outlineLevel="0" collapsed="false">
      <c r="A4013" s="43"/>
      <c r="B4013" s="44"/>
      <c r="C4013" s="44"/>
      <c r="D4013" s="44"/>
      <c r="E4013" s="44"/>
      <c r="F4013" s="44"/>
      <c r="G4013" s="44"/>
      <c r="H4013" s="46" t="str">
        <f aca="false">IF($A4013="","",IF(OR(NOT(ISNUMBER(E4013)),NOT(ISNUMBER(F4013))),"",MAX(0,E4013)*F4013))</f>
        <v/>
      </c>
      <c r="I4013" s="46" t="str">
        <f aca="false">IF($A4013="","",SUMIF($A$2:$A$5001,$A4013,$H$2:$H$5001))</f>
        <v/>
      </c>
      <c r="J4013" s="47" t="n">
        <f aca="false">IF($A4013="",0,IF(COUNTIF($A$2:A4013,$A4013)=1,1,0))</f>
        <v>0</v>
      </c>
      <c r="K4013" s="47" t="n">
        <f aca="false">IF(J4013=1,N(I4013)+ROW()/10000000,0)</f>
        <v>0</v>
      </c>
      <c r="L4013" s="47" t="str">
        <f aca="false">IF(AND(J4013=1,N(I4013)&gt;0),SUMIF($K$2:$K$5001,"&gt;="&amp;K4013,$I$2:$I$5001)/MAX(1,SUM($H$2:$H$5001)),"")</f>
        <v/>
      </c>
      <c r="M4013" s="47" t="str">
        <f aca="false">IF($A4013="","",INDEX($L$2:$L$5001,MATCH($A4013,$A$2:$A$5001,0)))</f>
        <v/>
      </c>
      <c r="N4013" s="48" t="str">
        <f aca="false">IF($A4013="","",IF(N(M4013)=0,"–",IF(M4013&lt;=Start!$D$20,"A",IF(M4013&lt;=Start!$D$21,"B","C"))))</f>
        <v/>
      </c>
      <c r="O4013" s="48" t="str">
        <f aca="false">IF($A4013="","",IF(NOT(ISNUMBER(F4013)),"Wert fehlt; ",IF(F4013&lt;=0,"Wert ist 0; ",""))&amp;IF(NOT(ISNUMBER(E4013)),"Bestand fehlt; ",IF(E4013&lt;0,"Bestand negativ; ",IF(E4013=0,"Nullbestand; ","")))&amp;IF(D4013="","Warengruppe fehlt; ","")&amp;IF(B4013="","Bezeichnung fehlt; ","")&amp;IF(COUNTIFS($A$2:$A$5001,$A4013,$C$2:$C$5001,C4013)&gt;1,"Artikel doppelt im selben Lager; ",""))</f>
        <v/>
      </c>
      <c r="P4013" s="47" t="n">
        <f aca="false">IF(OR($A4013="",D4013=""),0,IF(COUNTIF($D$2:D4013,D4013)=1,SUMIF($D$2:$D$5001,D4013,$H$2:$H$5001)+ROW()/10000000,0))</f>
        <v>0</v>
      </c>
      <c r="Q4013" s="47" t="n">
        <f aca="false">IF(OR($A4013="",C4013=""),0,IF(COUNTIF($C$2:C4013,C4013)=1,SUMIF($C$2:$C$5001,C4013,$H$2:$H$5001)+ROW()/10000000,0))</f>
        <v>0</v>
      </c>
    </row>
    <row r="4014" customFormat="false" ht="15" hidden="false" customHeight="false" outlineLevel="0" collapsed="false">
      <c r="A4014" s="43"/>
      <c r="B4014" s="44"/>
      <c r="C4014" s="44"/>
      <c r="D4014" s="44"/>
      <c r="E4014" s="44"/>
      <c r="F4014" s="44"/>
      <c r="G4014" s="44"/>
      <c r="H4014" s="46" t="str">
        <f aca="false">IF($A4014="","",IF(OR(NOT(ISNUMBER(E4014)),NOT(ISNUMBER(F4014))),"",MAX(0,E4014)*F4014))</f>
        <v/>
      </c>
      <c r="I4014" s="46" t="str">
        <f aca="false">IF($A4014="","",SUMIF($A$2:$A$5001,$A4014,$H$2:$H$5001))</f>
        <v/>
      </c>
      <c r="J4014" s="47" t="n">
        <f aca="false">IF($A4014="",0,IF(COUNTIF($A$2:A4014,$A4014)=1,1,0))</f>
        <v>0</v>
      </c>
      <c r="K4014" s="47" t="n">
        <f aca="false">IF(J4014=1,N(I4014)+ROW()/10000000,0)</f>
        <v>0</v>
      </c>
      <c r="L4014" s="47" t="str">
        <f aca="false">IF(AND(J4014=1,N(I4014)&gt;0),SUMIF($K$2:$K$5001,"&gt;="&amp;K4014,$I$2:$I$5001)/MAX(1,SUM($H$2:$H$5001)),"")</f>
        <v/>
      </c>
      <c r="M4014" s="47" t="str">
        <f aca="false">IF($A4014="","",INDEX($L$2:$L$5001,MATCH($A4014,$A$2:$A$5001,0)))</f>
        <v/>
      </c>
      <c r="N4014" s="48" t="str">
        <f aca="false">IF($A4014="","",IF(N(M4014)=0,"–",IF(M4014&lt;=Start!$D$20,"A",IF(M4014&lt;=Start!$D$21,"B","C"))))</f>
        <v/>
      </c>
      <c r="O4014" s="48" t="str">
        <f aca="false">IF($A4014="","",IF(NOT(ISNUMBER(F4014)),"Wert fehlt; ",IF(F4014&lt;=0,"Wert ist 0; ",""))&amp;IF(NOT(ISNUMBER(E4014)),"Bestand fehlt; ",IF(E4014&lt;0,"Bestand negativ; ",IF(E4014=0,"Nullbestand; ","")))&amp;IF(D4014="","Warengruppe fehlt; ","")&amp;IF(B4014="","Bezeichnung fehlt; ","")&amp;IF(COUNTIFS($A$2:$A$5001,$A4014,$C$2:$C$5001,C4014)&gt;1,"Artikel doppelt im selben Lager; ",""))</f>
        <v/>
      </c>
      <c r="P4014" s="47" t="n">
        <f aca="false">IF(OR($A4014="",D4014=""),0,IF(COUNTIF($D$2:D4014,D4014)=1,SUMIF($D$2:$D$5001,D4014,$H$2:$H$5001)+ROW()/10000000,0))</f>
        <v>0</v>
      </c>
      <c r="Q4014" s="47" t="n">
        <f aca="false">IF(OR($A4014="",C4014=""),0,IF(COUNTIF($C$2:C4014,C4014)=1,SUMIF($C$2:$C$5001,C4014,$H$2:$H$5001)+ROW()/10000000,0))</f>
        <v>0</v>
      </c>
    </row>
    <row r="4015" customFormat="false" ht="15" hidden="false" customHeight="false" outlineLevel="0" collapsed="false">
      <c r="A4015" s="43"/>
      <c r="B4015" s="44"/>
      <c r="C4015" s="44"/>
      <c r="D4015" s="44"/>
      <c r="E4015" s="44"/>
      <c r="F4015" s="44"/>
      <c r="G4015" s="44"/>
      <c r="H4015" s="46" t="str">
        <f aca="false">IF($A4015="","",IF(OR(NOT(ISNUMBER(E4015)),NOT(ISNUMBER(F4015))),"",MAX(0,E4015)*F4015))</f>
        <v/>
      </c>
      <c r="I4015" s="46" t="str">
        <f aca="false">IF($A4015="","",SUMIF($A$2:$A$5001,$A4015,$H$2:$H$5001))</f>
        <v/>
      </c>
      <c r="J4015" s="47" t="n">
        <f aca="false">IF($A4015="",0,IF(COUNTIF($A$2:A4015,$A4015)=1,1,0))</f>
        <v>0</v>
      </c>
      <c r="K4015" s="47" t="n">
        <f aca="false">IF(J4015=1,N(I4015)+ROW()/10000000,0)</f>
        <v>0</v>
      </c>
      <c r="L4015" s="47" t="str">
        <f aca="false">IF(AND(J4015=1,N(I4015)&gt;0),SUMIF($K$2:$K$5001,"&gt;="&amp;K4015,$I$2:$I$5001)/MAX(1,SUM($H$2:$H$5001)),"")</f>
        <v/>
      </c>
      <c r="M4015" s="47" t="str">
        <f aca="false">IF($A4015="","",INDEX($L$2:$L$5001,MATCH($A4015,$A$2:$A$5001,0)))</f>
        <v/>
      </c>
      <c r="N4015" s="48" t="str">
        <f aca="false">IF($A4015="","",IF(N(M4015)=0,"–",IF(M4015&lt;=Start!$D$20,"A",IF(M4015&lt;=Start!$D$21,"B","C"))))</f>
        <v/>
      </c>
      <c r="O4015" s="48" t="str">
        <f aca="false">IF($A4015="","",IF(NOT(ISNUMBER(F4015)),"Wert fehlt; ",IF(F4015&lt;=0,"Wert ist 0; ",""))&amp;IF(NOT(ISNUMBER(E4015)),"Bestand fehlt; ",IF(E4015&lt;0,"Bestand negativ; ",IF(E4015=0,"Nullbestand; ","")))&amp;IF(D4015="","Warengruppe fehlt; ","")&amp;IF(B4015="","Bezeichnung fehlt; ","")&amp;IF(COUNTIFS($A$2:$A$5001,$A4015,$C$2:$C$5001,C4015)&gt;1,"Artikel doppelt im selben Lager; ",""))</f>
        <v/>
      </c>
      <c r="P4015" s="47" t="n">
        <f aca="false">IF(OR($A4015="",D4015=""),0,IF(COUNTIF($D$2:D4015,D4015)=1,SUMIF($D$2:$D$5001,D4015,$H$2:$H$5001)+ROW()/10000000,0))</f>
        <v>0</v>
      </c>
      <c r="Q4015" s="47" t="n">
        <f aca="false">IF(OR($A4015="",C4015=""),0,IF(COUNTIF($C$2:C4015,C4015)=1,SUMIF($C$2:$C$5001,C4015,$H$2:$H$5001)+ROW()/10000000,0))</f>
        <v>0</v>
      </c>
    </row>
    <row r="4016" customFormat="false" ht="15" hidden="false" customHeight="false" outlineLevel="0" collapsed="false">
      <c r="A4016" s="43"/>
      <c r="B4016" s="44"/>
      <c r="C4016" s="44"/>
      <c r="D4016" s="44"/>
      <c r="E4016" s="44"/>
      <c r="F4016" s="44"/>
      <c r="G4016" s="44"/>
      <c r="H4016" s="46" t="str">
        <f aca="false">IF($A4016="","",IF(OR(NOT(ISNUMBER(E4016)),NOT(ISNUMBER(F4016))),"",MAX(0,E4016)*F4016))</f>
        <v/>
      </c>
      <c r="I4016" s="46" t="str">
        <f aca="false">IF($A4016="","",SUMIF($A$2:$A$5001,$A4016,$H$2:$H$5001))</f>
        <v/>
      </c>
      <c r="J4016" s="47" t="n">
        <f aca="false">IF($A4016="",0,IF(COUNTIF($A$2:A4016,$A4016)=1,1,0))</f>
        <v>0</v>
      </c>
      <c r="K4016" s="47" t="n">
        <f aca="false">IF(J4016=1,N(I4016)+ROW()/10000000,0)</f>
        <v>0</v>
      </c>
      <c r="L4016" s="47" t="str">
        <f aca="false">IF(AND(J4016=1,N(I4016)&gt;0),SUMIF($K$2:$K$5001,"&gt;="&amp;K4016,$I$2:$I$5001)/MAX(1,SUM($H$2:$H$5001)),"")</f>
        <v/>
      </c>
      <c r="M4016" s="47" t="str">
        <f aca="false">IF($A4016="","",INDEX($L$2:$L$5001,MATCH($A4016,$A$2:$A$5001,0)))</f>
        <v/>
      </c>
      <c r="N4016" s="48" t="str">
        <f aca="false">IF($A4016="","",IF(N(M4016)=0,"–",IF(M4016&lt;=Start!$D$20,"A",IF(M4016&lt;=Start!$D$21,"B","C"))))</f>
        <v/>
      </c>
      <c r="O4016" s="48" t="str">
        <f aca="false">IF($A4016="","",IF(NOT(ISNUMBER(F4016)),"Wert fehlt; ",IF(F4016&lt;=0,"Wert ist 0; ",""))&amp;IF(NOT(ISNUMBER(E4016)),"Bestand fehlt; ",IF(E4016&lt;0,"Bestand negativ; ",IF(E4016=0,"Nullbestand; ","")))&amp;IF(D4016="","Warengruppe fehlt; ","")&amp;IF(B4016="","Bezeichnung fehlt; ","")&amp;IF(COUNTIFS($A$2:$A$5001,$A4016,$C$2:$C$5001,C4016)&gt;1,"Artikel doppelt im selben Lager; ",""))</f>
        <v/>
      </c>
      <c r="P4016" s="47" t="n">
        <f aca="false">IF(OR($A4016="",D4016=""),0,IF(COUNTIF($D$2:D4016,D4016)=1,SUMIF($D$2:$D$5001,D4016,$H$2:$H$5001)+ROW()/10000000,0))</f>
        <v>0</v>
      </c>
      <c r="Q4016" s="47" t="n">
        <f aca="false">IF(OR($A4016="",C4016=""),0,IF(COUNTIF($C$2:C4016,C4016)=1,SUMIF($C$2:$C$5001,C4016,$H$2:$H$5001)+ROW()/10000000,0))</f>
        <v>0</v>
      </c>
    </row>
    <row r="4017" customFormat="false" ht="15" hidden="false" customHeight="false" outlineLevel="0" collapsed="false">
      <c r="A4017" s="43"/>
      <c r="B4017" s="44"/>
      <c r="C4017" s="44"/>
      <c r="D4017" s="44"/>
      <c r="E4017" s="44"/>
      <c r="F4017" s="44"/>
      <c r="G4017" s="44"/>
      <c r="H4017" s="46" t="str">
        <f aca="false">IF($A4017="","",IF(OR(NOT(ISNUMBER(E4017)),NOT(ISNUMBER(F4017))),"",MAX(0,E4017)*F4017))</f>
        <v/>
      </c>
      <c r="I4017" s="46" t="str">
        <f aca="false">IF($A4017="","",SUMIF($A$2:$A$5001,$A4017,$H$2:$H$5001))</f>
        <v/>
      </c>
      <c r="J4017" s="47" t="n">
        <f aca="false">IF($A4017="",0,IF(COUNTIF($A$2:A4017,$A4017)=1,1,0))</f>
        <v>0</v>
      </c>
      <c r="K4017" s="47" t="n">
        <f aca="false">IF(J4017=1,N(I4017)+ROW()/10000000,0)</f>
        <v>0</v>
      </c>
      <c r="L4017" s="47" t="str">
        <f aca="false">IF(AND(J4017=1,N(I4017)&gt;0),SUMIF($K$2:$K$5001,"&gt;="&amp;K4017,$I$2:$I$5001)/MAX(1,SUM($H$2:$H$5001)),"")</f>
        <v/>
      </c>
      <c r="M4017" s="47" t="str">
        <f aca="false">IF($A4017="","",INDEX($L$2:$L$5001,MATCH($A4017,$A$2:$A$5001,0)))</f>
        <v/>
      </c>
      <c r="N4017" s="48" t="str">
        <f aca="false">IF($A4017="","",IF(N(M4017)=0,"–",IF(M4017&lt;=Start!$D$20,"A",IF(M4017&lt;=Start!$D$21,"B","C"))))</f>
        <v/>
      </c>
      <c r="O4017" s="48" t="str">
        <f aca="false">IF($A4017="","",IF(NOT(ISNUMBER(F4017)),"Wert fehlt; ",IF(F4017&lt;=0,"Wert ist 0; ",""))&amp;IF(NOT(ISNUMBER(E4017)),"Bestand fehlt; ",IF(E4017&lt;0,"Bestand negativ; ",IF(E4017=0,"Nullbestand; ","")))&amp;IF(D4017="","Warengruppe fehlt; ","")&amp;IF(B4017="","Bezeichnung fehlt; ","")&amp;IF(COUNTIFS($A$2:$A$5001,$A4017,$C$2:$C$5001,C4017)&gt;1,"Artikel doppelt im selben Lager; ",""))</f>
        <v/>
      </c>
      <c r="P4017" s="47" t="n">
        <f aca="false">IF(OR($A4017="",D4017=""),0,IF(COUNTIF($D$2:D4017,D4017)=1,SUMIF($D$2:$D$5001,D4017,$H$2:$H$5001)+ROW()/10000000,0))</f>
        <v>0</v>
      </c>
      <c r="Q4017" s="47" t="n">
        <f aca="false">IF(OR($A4017="",C4017=""),0,IF(COUNTIF($C$2:C4017,C4017)=1,SUMIF($C$2:$C$5001,C4017,$H$2:$H$5001)+ROW()/10000000,0))</f>
        <v>0</v>
      </c>
    </row>
    <row r="4018" customFormat="false" ht="15" hidden="false" customHeight="false" outlineLevel="0" collapsed="false">
      <c r="A4018" s="43"/>
      <c r="B4018" s="44"/>
      <c r="C4018" s="44"/>
      <c r="D4018" s="44"/>
      <c r="E4018" s="44"/>
      <c r="F4018" s="44"/>
      <c r="G4018" s="44"/>
      <c r="H4018" s="46" t="str">
        <f aca="false">IF($A4018="","",IF(OR(NOT(ISNUMBER(E4018)),NOT(ISNUMBER(F4018))),"",MAX(0,E4018)*F4018))</f>
        <v/>
      </c>
      <c r="I4018" s="46" t="str">
        <f aca="false">IF($A4018="","",SUMIF($A$2:$A$5001,$A4018,$H$2:$H$5001))</f>
        <v/>
      </c>
      <c r="J4018" s="47" t="n">
        <f aca="false">IF($A4018="",0,IF(COUNTIF($A$2:A4018,$A4018)=1,1,0))</f>
        <v>0</v>
      </c>
      <c r="K4018" s="47" t="n">
        <f aca="false">IF(J4018=1,N(I4018)+ROW()/10000000,0)</f>
        <v>0</v>
      </c>
      <c r="L4018" s="47" t="str">
        <f aca="false">IF(AND(J4018=1,N(I4018)&gt;0),SUMIF($K$2:$K$5001,"&gt;="&amp;K4018,$I$2:$I$5001)/MAX(1,SUM($H$2:$H$5001)),"")</f>
        <v/>
      </c>
      <c r="M4018" s="47" t="str">
        <f aca="false">IF($A4018="","",INDEX($L$2:$L$5001,MATCH($A4018,$A$2:$A$5001,0)))</f>
        <v/>
      </c>
      <c r="N4018" s="48" t="str">
        <f aca="false">IF($A4018="","",IF(N(M4018)=0,"–",IF(M4018&lt;=Start!$D$20,"A",IF(M4018&lt;=Start!$D$21,"B","C"))))</f>
        <v/>
      </c>
      <c r="O4018" s="48" t="str">
        <f aca="false">IF($A4018="","",IF(NOT(ISNUMBER(F4018)),"Wert fehlt; ",IF(F4018&lt;=0,"Wert ist 0; ",""))&amp;IF(NOT(ISNUMBER(E4018)),"Bestand fehlt; ",IF(E4018&lt;0,"Bestand negativ; ",IF(E4018=0,"Nullbestand; ","")))&amp;IF(D4018="","Warengruppe fehlt; ","")&amp;IF(B4018="","Bezeichnung fehlt; ","")&amp;IF(COUNTIFS($A$2:$A$5001,$A4018,$C$2:$C$5001,C4018)&gt;1,"Artikel doppelt im selben Lager; ",""))</f>
        <v/>
      </c>
      <c r="P4018" s="47" t="n">
        <f aca="false">IF(OR($A4018="",D4018=""),0,IF(COUNTIF($D$2:D4018,D4018)=1,SUMIF($D$2:$D$5001,D4018,$H$2:$H$5001)+ROW()/10000000,0))</f>
        <v>0</v>
      </c>
      <c r="Q4018" s="47" t="n">
        <f aca="false">IF(OR($A4018="",C4018=""),0,IF(COUNTIF($C$2:C4018,C4018)=1,SUMIF($C$2:$C$5001,C4018,$H$2:$H$5001)+ROW()/10000000,0))</f>
        <v>0</v>
      </c>
    </row>
    <row r="4019" customFormat="false" ht="15" hidden="false" customHeight="false" outlineLevel="0" collapsed="false">
      <c r="A4019" s="43"/>
      <c r="B4019" s="44"/>
      <c r="C4019" s="44"/>
      <c r="D4019" s="44"/>
      <c r="E4019" s="44"/>
      <c r="F4019" s="44"/>
      <c r="G4019" s="44"/>
      <c r="H4019" s="46" t="str">
        <f aca="false">IF($A4019="","",IF(OR(NOT(ISNUMBER(E4019)),NOT(ISNUMBER(F4019))),"",MAX(0,E4019)*F4019))</f>
        <v/>
      </c>
      <c r="I4019" s="46" t="str">
        <f aca="false">IF($A4019="","",SUMIF($A$2:$A$5001,$A4019,$H$2:$H$5001))</f>
        <v/>
      </c>
      <c r="J4019" s="47" t="n">
        <f aca="false">IF($A4019="",0,IF(COUNTIF($A$2:A4019,$A4019)=1,1,0))</f>
        <v>0</v>
      </c>
      <c r="K4019" s="47" t="n">
        <f aca="false">IF(J4019=1,N(I4019)+ROW()/10000000,0)</f>
        <v>0</v>
      </c>
      <c r="L4019" s="47" t="str">
        <f aca="false">IF(AND(J4019=1,N(I4019)&gt;0),SUMIF($K$2:$K$5001,"&gt;="&amp;K4019,$I$2:$I$5001)/MAX(1,SUM($H$2:$H$5001)),"")</f>
        <v/>
      </c>
      <c r="M4019" s="47" t="str">
        <f aca="false">IF($A4019="","",INDEX($L$2:$L$5001,MATCH($A4019,$A$2:$A$5001,0)))</f>
        <v/>
      </c>
      <c r="N4019" s="48" t="str">
        <f aca="false">IF($A4019="","",IF(N(M4019)=0,"–",IF(M4019&lt;=Start!$D$20,"A",IF(M4019&lt;=Start!$D$21,"B","C"))))</f>
        <v/>
      </c>
      <c r="O4019" s="48" t="str">
        <f aca="false">IF($A4019="","",IF(NOT(ISNUMBER(F4019)),"Wert fehlt; ",IF(F4019&lt;=0,"Wert ist 0; ",""))&amp;IF(NOT(ISNUMBER(E4019)),"Bestand fehlt; ",IF(E4019&lt;0,"Bestand negativ; ",IF(E4019=0,"Nullbestand; ","")))&amp;IF(D4019="","Warengruppe fehlt; ","")&amp;IF(B4019="","Bezeichnung fehlt; ","")&amp;IF(COUNTIFS($A$2:$A$5001,$A4019,$C$2:$C$5001,C4019)&gt;1,"Artikel doppelt im selben Lager; ",""))</f>
        <v/>
      </c>
      <c r="P4019" s="47" t="n">
        <f aca="false">IF(OR($A4019="",D4019=""),0,IF(COUNTIF($D$2:D4019,D4019)=1,SUMIF($D$2:$D$5001,D4019,$H$2:$H$5001)+ROW()/10000000,0))</f>
        <v>0</v>
      </c>
      <c r="Q4019" s="47" t="n">
        <f aca="false">IF(OR($A4019="",C4019=""),0,IF(COUNTIF($C$2:C4019,C4019)=1,SUMIF($C$2:$C$5001,C4019,$H$2:$H$5001)+ROW()/10000000,0))</f>
        <v>0</v>
      </c>
    </row>
    <row r="4020" customFormat="false" ht="15" hidden="false" customHeight="false" outlineLevel="0" collapsed="false">
      <c r="A4020" s="43"/>
      <c r="B4020" s="44"/>
      <c r="C4020" s="44"/>
      <c r="D4020" s="44"/>
      <c r="E4020" s="44"/>
      <c r="F4020" s="44"/>
      <c r="G4020" s="44"/>
      <c r="H4020" s="46" t="str">
        <f aca="false">IF($A4020="","",IF(OR(NOT(ISNUMBER(E4020)),NOT(ISNUMBER(F4020))),"",MAX(0,E4020)*F4020))</f>
        <v/>
      </c>
      <c r="I4020" s="46" t="str">
        <f aca="false">IF($A4020="","",SUMIF($A$2:$A$5001,$A4020,$H$2:$H$5001))</f>
        <v/>
      </c>
      <c r="J4020" s="47" t="n">
        <f aca="false">IF($A4020="",0,IF(COUNTIF($A$2:A4020,$A4020)=1,1,0))</f>
        <v>0</v>
      </c>
      <c r="K4020" s="47" t="n">
        <f aca="false">IF(J4020=1,N(I4020)+ROW()/10000000,0)</f>
        <v>0</v>
      </c>
      <c r="L4020" s="47" t="str">
        <f aca="false">IF(AND(J4020=1,N(I4020)&gt;0),SUMIF($K$2:$K$5001,"&gt;="&amp;K4020,$I$2:$I$5001)/MAX(1,SUM($H$2:$H$5001)),"")</f>
        <v/>
      </c>
      <c r="M4020" s="47" t="str">
        <f aca="false">IF($A4020="","",INDEX($L$2:$L$5001,MATCH($A4020,$A$2:$A$5001,0)))</f>
        <v/>
      </c>
      <c r="N4020" s="48" t="str">
        <f aca="false">IF($A4020="","",IF(N(M4020)=0,"–",IF(M4020&lt;=Start!$D$20,"A",IF(M4020&lt;=Start!$D$21,"B","C"))))</f>
        <v/>
      </c>
      <c r="O4020" s="48" t="str">
        <f aca="false">IF($A4020="","",IF(NOT(ISNUMBER(F4020)),"Wert fehlt; ",IF(F4020&lt;=0,"Wert ist 0; ",""))&amp;IF(NOT(ISNUMBER(E4020)),"Bestand fehlt; ",IF(E4020&lt;0,"Bestand negativ; ",IF(E4020=0,"Nullbestand; ","")))&amp;IF(D4020="","Warengruppe fehlt; ","")&amp;IF(B4020="","Bezeichnung fehlt; ","")&amp;IF(COUNTIFS($A$2:$A$5001,$A4020,$C$2:$C$5001,C4020)&gt;1,"Artikel doppelt im selben Lager; ",""))</f>
        <v/>
      </c>
      <c r="P4020" s="47" t="n">
        <f aca="false">IF(OR($A4020="",D4020=""),0,IF(COUNTIF($D$2:D4020,D4020)=1,SUMIF($D$2:$D$5001,D4020,$H$2:$H$5001)+ROW()/10000000,0))</f>
        <v>0</v>
      </c>
      <c r="Q4020" s="47" t="n">
        <f aca="false">IF(OR($A4020="",C4020=""),0,IF(COUNTIF($C$2:C4020,C4020)=1,SUMIF($C$2:$C$5001,C4020,$H$2:$H$5001)+ROW()/10000000,0))</f>
        <v>0</v>
      </c>
    </row>
    <row r="4021" customFormat="false" ht="15" hidden="false" customHeight="false" outlineLevel="0" collapsed="false">
      <c r="A4021" s="43"/>
      <c r="B4021" s="44"/>
      <c r="C4021" s="44"/>
      <c r="D4021" s="44"/>
      <c r="E4021" s="44"/>
      <c r="F4021" s="44"/>
      <c r="G4021" s="44"/>
      <c r="H4021" s="46" t="str">
        <f aca="false">IF($A4021="","",IF(OR(NOT(ISNUMBER(E4021)),NOT(ISNUMBER(F4021))),"",MAX(0,E4021)*F4021))</f>
        <v/>
      </c>
      <c r="I4021" s="46" t="str">
        <f aca="false">IF($A4021="","",SUMIF($A$2:$A$5001,$A4021,$H$2:$H$5001))</f>
        <v/>
      </c>
      <c r="J4021" s="47" t="n">
        <f aca="false">IF($A4021="",0,IF(COUNTIF($A$2:A4021,$A4021)=1,1,0))</f>
        <v>0</v>
      </c>
      <c r="K4021" s="47" t="n">
        <f aca="false">IF(J4021=1,N(I4021)+ROW()/10000000,0)</f>
        <v>0</v>
      </c>
      <c r="L4021" s="47" t="str">
        <f aca="false">IF(AND(J4021=1,N(I4021)&gt;0),SUMIF($K$2:$K$5001,"&gt;="&amp;K4021,$I$2:$I$5001)/MAX(1,SUM($H$2:$H$5001)),"")</f>
        <v/>
      </c>
      <c r="M4021" s="47" t="str">
        <f aca="false">IF($A4021="","",INDEX($L$2:$L$5001,MATCH($A4021,$A$2:$A$5001,0)))</f>
        <v/>
      </c>
      <c r="N4021" s="48" t="str">
        <f aca="false">IF($A4021="","",IF(N(M4021)=0,"–",IF(M4021&lt;=Start!$D$20,"A",IF(M4021&lt;=Start!$D$21,"B","C"))))</f>
        <v/>
      </c>
      <c r="O4021" s="48" t="str">
        <f aca="false">IF($A4021="","",IF(NOT(ISNUMBER(F4021)),"Wert fehlt; ",IF(F4021&lt;=0,"Wert ist 0; ",""))&amp;IF(NOT(ISNUMBER(E4021)),"Bestand fehlt; ",IF(E4021&lt;0,"Bestand negativ; ",IF(E4021=0,"Nullbestand; ","")))&amp;IF(D4021="","Warengruppe fehlt; ","")&amp;IF(B4021="","Bezeichnung fehlt; ","")&amp;IF(COUNTIFS($A$2:$A$5001,$A4021,$C$2:$C$5001,C4021)&gt;1,"Artikel doppelt im selben Lager; ",""))</f>
        <v/>
      </c>
      <c r="P4021" s="47" t="n">
        <f aca="false">IF(OR($A4021="",D4021=""),0,IF(COUNTIF($D$2:D4021,D4021)=1,SUMIF($D$2:$D$5001,D4021,$H$2:$H$5001)+ROW()/10000000,0))</f>
        <v>0</v>
      </c>
      <c r="Q4021" s="47" t="n">
        <f aca="false">IF(OR($A4021="",C4021=""),0,IF(COUNTIF($C$2:C4021,C4021)=1,SUMIF($C$2:$C$5001,C4021,$H$2:$H$5001)+ROW()/10000000,0))</f>
        <v>0</v>
      </c>
    </row>
    <row r="4022" customFormat="false" ht="15" hidden="false" customHeight="false" outlineLevel="0" collapsed="false">
      <c r="A4022" s="43"/>
      <c r="B4022" s="44"/>
      <c r="C4022" s="44"/>
      <c r="D4022" s="44"/>
      <c r="E4022" s="44"/>
      <c r="F4022" s="44"/>
      <c r="G4022" s="44"/>
      <c r="H4022" s="46" t="str">
        <f aca="false">IF($A4022="","",IF(OR(NOT(ISNUMBER(E4022)),NOT(ISNUMBER(F4022))),"",MAX(0,E4022)*F4022))</f>
        <v/>
      </c>
      <c r="I4022" s="46" t="str">
        <f aca="false">IF($A4022="","",SUMIF($A$2:$A$5001,$A4022,$H$2:$H$5001))</f>
        <v/>
      </c>
      <c r="J4022" s="47" t="n">
        <f aca="false">IF($A4022="",0,IF(COUNTIF($A$2:A4022,$A4022)=1,1,0))</f>
        <v>0</v>
      </c>
      <c r="K4022" s="47" t="n">
        <f aca="false">IF(J4022=1,N(I4022)+ROW()/10000000,0)</f>
        <v>0</v>
      </c>
      <c r="L4022" s="47" t="str">
        <f aca="false">IF(AND(J4022=1,N(I4022)&gt;0),SUMIF($K$2:$K$5001,"&gt;="&amp;K4022,$I$2:$I$5001)/MAX(1,SUM($H$2:$H$5001)),"")</f>
        <v/>
      </c>
      <c r="M4022" s="47" t="str">
        <f aca="false">IF($A4022="","",INDEX($L$2:$L$5001,MATCH($A4022,$A$2:$A$5001,0)))</f>
        <v/>
      </c>
      <c r="N4022" s="48" t="str">
        <f aca="false">IF($A4022="","",IF(N(M4022)=0,"–",IF(M4022&lt;=Start!$D$20,"A",IF(M4022&lt;=Start!$D$21,"B","C"))))</f>
        <v/>
      </c>
      <c r="O4022" s="48" t="str">
        <f aca="false">IF($A4022="","",IF(NOT(ISNUMBER(F4022)),"Wert fehlt; ",IF(F4022&lt;=0,"Wert ist 0; ",""))&amp;IF(NOT(ISNUMBER(E4022)),"Bestand fehlt; ",IF(E4022&lt;0,"Bestand negativ; ",IF(E4022=0,"Nullbestand; ","")))&amp;IF(D4022="","Warengruppe fehlt; ","")&amp;IF(B4022="","Bezeichnung fehlt; ","")&amp;IF(COUNTIFS($A$2:$A$5001,$A4022,$C$2:$C$5001,C4022)&gt;1,"Artikel doppelt im selben Lager; ",""))</f>
        <v/>
      </c>
      <c r="P4022" s="47" t="n">
        <f aca="false">IF(OR($A4022="",D4022=""),0,IF(COUNTIF($D$2:D4022,D4022)=1,SUMIF($D$2:$D$5001,D4022,$H$2:$H$5001)+ROW()/10000000,0))</f>
        <v>0</v>
      </c>
      <c r="Q4022" s="47" t="n">
        <f aca="false">IF(OR($A4022="",C4022=""),0,IF(COUNTIF($C$2:C4022,C4022)=1,SUMIF($C$2:$C$5001,C4022,$H$2:$H$5001)+ROW()/10000000,0))</f>
        <v>0</v>
      </c>
    </row>
    <row r="4023" customFormat="false" ht="15" hidden="false" customHeight="false" outlineLevel="0" collapsed="false">
      <c r="A4023" s="43"/>
      <c r="B4023" s="44"/>
      <c r="C4023" s="44"/>
      <c r="D4023" s="44"/>
      <c r="E4023" s="44"/>
      <c r="F4023" s="44"/>
      <c r="G4023" s="44"/>
      <c r="H4023" s="46" t="str">
        <f aca="false">IF($A4023="","",IF(OR(NOT(ISNUMBER(E4023)),NOT(ISNUMBER(F4023))),"",MAX(0,E4023)*F4023))</f>
        <v/>
      </c>
      <c r="I4023" s="46" t="str">
        <f aca="false">IF($A4023="","",SUMIF($A$2:$A$5001,$A4023,$H$2:$H$5001))</f>
        <v/>
      </c>
      <c r="J4023" s="47" t="n">
        <f aca="false">IF($A4023="",0,IF(COUNTIF($A$2:A4023,$A4023)=1,1,0))</f>
        <v>0</v>
      </c>
      <c r="K4023" s="47" t="n">
        <f aca="false">IF(J4023=1,N(I4023)+ROW()/10000000,0)</f>
        <v>0</v>
      </c>
      <c r="L4023" s="47" t="str">
        <f aca="false">IF(AND(J4023=1,N(I4023)&gt;0),SUMIF($K$2:$K$5001,"&gt;="&amp;K4023,$I$2:$I$5001)/MAX(1,SUM($H$2:$H$5001)),"")</f>
        <v/>
      </c>
      <c r="M4023" s="47" t="str">
        <f aca="false">IF($A4023="","",INDEX($L$2:$L$5001,MATCH($A4023,$A$2:$A$5001,0)))</f>
        <v/>
      </c>
      <c r="N4023" s="48" t="str">
        <f aca="false">IF($A4023="","",IF(N(M4023)=0,"–",IF(M4023&lt;=Start!$D$20,"A",IF(M4023&lt;=Start!$D$21,"B","C"))))</f>
        <v/>
      </c>
      <c r="O4023" s="48" t="str">
        <f aca="false">IF($A4023="","",IF(NOT(ISNUMBER(F4023)),"Wert fehlt; ",IF(F4023&lt;=0,"Wert ist 0; ",""))&amp;IF(NOT(ISNUMBER(E4023)),"Bestand fehlt; ",IF(E4023&lt;0,"Bestand negativ; ",IF(E4023=0,"Nullbestand; ","")))&amp;IF(D4023="","Warengruppe fehlt; ","")&amp;IF(B4023="","Bezeichnung fehlt; ","")&amp;IF(COUNTIFS($A$2:$A$5001,$A4023,$C$2:$C$5001,C4023)&gt;1,"Artikel doppelt im selben Lager; ",""))</f>
        <v/>
      </c>
      <c r="P4023" s="47" t="n">
        <f aca="false">IF(OR($A4023="",D4023=""),0,IF(COUNTIF($D$2:D4023,D4023)=1,SUMIF($D$2:$D$5001,D4023,$H$2:$H$5001)+ROW()/10000000,0))</f>
        <v>0</v>
      </c>
      <c r="Q4023" s="47" t="n">
        <f aca="false">IF(OR($A4023="",C4023=""),0,IF(COUNTIF($C$2:C4023,C4023)=1,SUMIF($C$2:$C$5001,C4023,$H$2:$H$5001)+ROW()/10000000,0))</f>
        <v>0</v>
      </c>
    </row>
    <row r="4024" customFormat="false" ht="15" hidden="false" customHeight="false" outlineLevel="0" collapsed="false">
      <c r="A4024" s="43"/>
      <c r="B4024" s="44"/>
      <c r="C4024" s="44"/>
      <c r="D4024" s="44"/>
      <c r="E4024" s="44"/>
      <c r="F4024" s="44"/>
      <c r="G4024" s="44"/>
      <c r="H4024" s="46" t="str">
        <f aca="false">IF($A4024="","",IF(OR(NOT(ISNUMBER(E4024)),NOT(ISNUMBER(F4024))),"",MAX(0,E4024)*F4024))</f>
        <v/>
      </c>
      <c r="I4024" s="46" t="str">
        <f aca="false">IF($A4024="","",SUMIF($A$2:$A$5001,$A4024,$H$2:$H$5001))</f>
        <v/>
      </c>
      <c r="J4024" s="47" t="n">
        <f aca="false">IF($A4024="",0,IF(COUNTIF($A$2:A4024,$A4024)=1,1,0))</f>
        <v>0</v>
      </c>
      <c r="K4024" s="47" t="n">
        <f aca="false">IF(J4024=1,N(I4024)+ROW()/10000000,0)</f>
        <v>0</v>
      </c>
      <c r="L4024" s="47" t="str">
        <f aca="false">IF(AND(J4024=1,N(I4024)&gt;0),SUMIF($K$2:$K$5001,"&gt;="&amp;K4024,$I$2:$I$5001)/MAX(1,SUM($H$2:$H$5001)),"")</f>
        <v/>
      </c>
      <c r="M4024" s="47" t="str">
        <f aca="false">IF($A4024="","",INDEX($L$2:$L$5001,MATCH($A4024,$A$2:$A$5001,0)))</f>
        <v/>
      </c>
      <c r="N4024" s="48" t="str">
        <f aca="false">IF($A4024="","",IF(N(M4024)=0,"–",IF(M4024&lt;=Start!$D$20,"A",IF(M4024&lt;=Start!$D$21,"B","C"))))</f>
        <v/>
      </c>
      <c r="O4024" s="48" t="str">
        <f aca="false">IF($A4024="","",IF(NOT(ISNUMBER(F4024)),"Wert fehlt; ",IF(F4024&lt;=0,"Wert ist 0; ",""))&amp;IF(NOT(ISNUMBER(E4024)),"Bestand fehlt; ",IF(E4024&lt;0,"Bestand negativ; ",IF(E4024=0,"Nullbestand; ","")))&amp;IF(D4024="","Warengruppe fehlt; ","")&amp;IF(B4024="","Bezeichnung fehlt; ","")&amp;IF(COUNTIFS($A$2:$A$5001,$A4024,$C$2:$C$5001,C4024)&gt;1,"Artikel doppelt im selben Lager; ",""))</f>
        <v/>
      </c>
      <c r="P4024" s="47" t="n">
        <f aca="false">IF(OR($A4024="",D4024=""),0,IF(COUNTIF($D$2:D4024,D4024)=1,SUMIF($D$2:$D$5001,D4024,$H$2:$H$5001)+ROW()/10000000,0))</f>
        <v>0</v>
      </c>
      <c r="Q4024" s="47" t="n">
        <f aca="false">IF(OR($A4024="",C4024=""),0,IF(COUNTIF($C$2:C4024,C4024)=1,SUMIF($C$2:$C$5001,C4024,$H$2:$H$5001)+ROW()/10000000,0))</f>
        <v>0</v>
      </c>
    </row>
    <row r="4025" customFormat="false" ht="15" hidden="false" customHeight="false" outlineLevel="0" collapsed="false">
      <c r="A4025" s="43"/>
      <c r="B4025" s="44"/>
      <c r="C4025" s="44"/>
      <c r="D4025" s="44"/>
      <c r="E4025" s="44"/>
      <c r="F4025" s="44"/>
      <c r="G4025" s="44"/>
      <c r="H4025" s="46" t="str">
        <f aca="false">IF($A4025="","",IF(OR(NOT(ISNUMBER(E4025)),NOT(ISNUMBER(F4025))),"",MAX(0,E4025)*F4025))</f>
        <v/>
      </c>
      <c r="I4025" s="46" t="str">
        <f aca="false">IF($A4025="","",SUMIF($A$2:$A$5001,$A4025,$H$2:$H$5001))</f>
        <v/>
      </c>
      <c r="J4025" s="47" t="n">
        <f aca="false">IF($A4025="",0,IF(COUNTIF($A$2:A4025,$A4025)=1,1,0))</f>
        <v>0</v>
      </c>
      <c r="K4025" s="47" t="n">
        <f aca="false">IF(J4025=1,N(I4025)+ROW()/10000000,0)</f>
        <v>0</v>
      </c>
      <c r="L4025" s="47" t="str">
        <f aca="false">IF(AND(J4025=1,N(I4025)&gt;0),SUMIF($K$2:$K$5001,"&gt;="&amp;K4025,$I$2:$I$5001)/MAX(1,SUM($H$2:$H$5001)),"")</f>
        <v/>
      </c>
      <c r="M4025" s="47" t="str">
        <f aca="false">IF($A4025="","",INDEX($L$2:$L$5001,MATCH($A4025,$A$2:$A$5001,0)))</f>
        <v/>
      </c>
      <c r="N4025" s="48" t="str">
        <f aca="false">IF($A4025="","",IF(N(M4025)=0,"–",IF(M4025&lt;=Start!$D$20,"A",IF(M4025&lt;=Start!$D$21,"B","C"))))</f>
        <v/>
      </c>
      <c r="O4025" s="48" t="str">
        <f aca="false">IF($A4025="","",IF(NOT(ISNUMBER(F4025)),"Wert fehlt; ",IF(F4025&lt;=0,"Wert ist 0; ",""))&amp;IF(NOT(ISNUMBER(E4025)),"Bestand fehlt; ",IF(E4025&lt;0,"Bestand negativ; ",IF(E4025=0,"Nullbestand; ","")))&amp;IF(D4025="","Warengruppe fehlt; ","")&amp;IF(B4025="","Bezeichnung fehlt; ","")&amp;IF(COUNTIFS($A$2:$A$5001,$A4025,$C$2:$C$5001,C4025)&gt;1,"Artikel doppelt im selben Lager; ",""))</f>
        <v/>
      </c>
      <c r="P4025" s="47" t="n">
        <f aca="false">IF(OR($A4025="",D4025=""),0,IF(COUNTIF($D$2:D4025,D4025)=1,SUMIF($D$2:$D$5001,D4025,$H$2:$H$5001)+ROW()/10000000,0))</f>
        <v>0</v>
      </c>
      <c r="Q4025" s="47" t="n">
        <f aca="false">IF(OR($A4025="",C4025=""),0,IF(COUNTIF($C$2:C4025,C4025)=1,SUMIF($C$2:$C$5001,C4025,$H$2:$H$5001)+ROW()/10000000,0))</f>
        <v>0</v>
      </c>
    </row>
    <row r="4026" customFormat="false" ht="15" hidden="false" customHeight="false" outlineLevel="0" collapsed="false">
      <c r="A4026" s="43"/>
      <c r="B4026" s="44"/>
      <c r="C4026" s="44"/>
      <c r="D4026" s="44"/>
      <c r="E4026" s="44"/>
      <c r="F4026" s="44"/>
      <c r="G4026" s="44"/>
      <c r="H4026" s="46" t="str">
        <f aca="false">IF($A4026="","",IF(OR(NOT(ISNUMBER(E4026)),NOT(ISNUMBER(F4026))),"",MAX(0,E4026)*F4026))</f>
        <v/>
      </c>
      <c r="I4026" s="46" t="str">
        <f aca="false">IF($A4026="","",SUMIF($A$2:$A$5001,$A4026,$H$2:$H$5001))</f>
        <v/>
      </c>
      <c r="J4026" s="47" t="n">
        <f aca="false">IF($A4026="",0,IF(COUNTIF($A$2:A4026,$A4026)=1,1,0))</f>
        <v>0</v>
      </c>
      <c r="K4026" s="47" t="n">
        <f aca="false">IF(J4026=1,N(I4026)+ROW()/10000000,0)</f>
        <v>0</v>
      </c>
      <c r="L4026" s="47" t="str">
        <f aca="false">IF(AND(J4026=1,N(I4026)&gt;0),SUMIF($K$2:$K$5001,"&gt;="&amp;K4026,$I$2:$I$5001)/MAX(1,SUM($H$2:$H$5001)),"")</f>
        <v/>
      </c>
      <c r="M4026" s="47" t="str">
        <f aca="false">IF($A4026="","",INDEX($L$2:$L$5001,MATCH($A4026,$A$2:$A$5001,0)))</f>
        <v/>
      </c>
      <c r="N4026" s="48" t="str">
        <f aca="false">IF($A4026="","",IF(N(M4026)=0,"–",IF(M4026&lt;=Start!$D$20,"A",IF(M4026&lt;=Start!$D$21,"B","C"))))</f>
        <v/>
      </c>
      <c r="O4026" s="48" t="str">
        <f aca="false">IF($A4026="","",IF(NOT(ISNUMBER(F4026)),"Wert fehlt; ",IF(F4026&lt;=0,"Wert ist 0; ",""))&amp;IF(NOT(ISNUMBER(E4026)),"Bestand fehlt; ",IF(E4026&lt;0,"Bestand negativ; ",IF(E4026=0,"Nullbestand; ","")))&amp;IF(D4026="","Warengruppe fehlt; ","")&amp;IF(B4026="","Bezeichnung fehlt; ","")&amp;IF(COUNTIFS($A$2:$A$5001,$A4026,$C$2:$C$5001,C4026)&gt;1,"Artikel doppelt im selben Lager; ",""))</f>
        <v/>
      </c>
      <c r="P4026" s="47" t="n">
        <f aca="false">IF(OR($A4026="",D4026=""),0,IF(COUNTIF($D$2:D4026,D4026)=1,SUMIF($D$2:$D$5001,D4026,$H$2:$H$5001)+ROW()/10000000,0))</f>
        <v>0</v>
      </c>
      <c r="Q4026" s="47" t="n">
        <f aca="false">IF(OR($A4026="",C4026=""),0,IF(COUNTIF($C$2:C4026,C4026)=1,SUMIF($C$2:$C$5001,C4026,$H$2:$H$5001)+ROW()/10000000,0))</f>
        <v>0</v>
      </c>
    </row>
    <row r="4027" customFormat="false" ht="15" hidden="false" customHeight="false" outlineLevel="0" collapsed="false">
      <c r="A4027" s="43"/>
      <c r="B4027" s="44"/>
      <c r="C4027" s="44"/>
      <c r="D4027" s="44"/>
      <c r="E4027" s="44"/>
      <c r="F4027" s="44"/>
      <c r="G4027" s="44"/>
      <c r="H4027" s="46" t="str">
        <f aca="false">IF($A4027="","",IF(OR(NOT(ISNUMBER(E4027)),NOT(ISNUMBER(F4027))),"",MAX(0,E4027)*F4027))</f>
        <v/>
      </c>
      <c r="I4027" s="46" t="str">
        <f aca="false">IF($A4027="","",SUMIF($A$2:$A$5001,$A4027,$H$2:$H$5001))</f>
        <v/>
      </c>
      <c r="J4027" s="47" t="n">
        <f aca="false">IF($A4027="",0,IF(COUNTIF($A$2:A4027,$A4027)=1,1,0))</f>
        <v>0</v>
      </c>
      <c r="K4027" s="47" t="n">
        <f aca="false">IF(J4027=1,N(I4027)+ROW()/10000000,0)</f>
        <v>0</v>
      </c>
      <c r="L4027" s="47" t="str">
        <f aca="false">IF(AND(J4027=1,N(I4027)&gt;0),SUMIF($K$2:$K$5001,"&gt;="&amp;K4027,$I$2:$I$5001)/MAX(1,SUM($H$2:$H$5001)),"")</f>
        <v/>
      </c>
      <c r="M4027" s="47" t="str">
        <f aca="false">IF($A4027="","",INDEX($L$2:$L$5001,MATCH($A4027,$A$2:$A$5001,0)))</f>
        <v/>
      </c>
      <c r="N4027" s="48" t="str">
        <f aca="false">IF($A4027="","",IF(N(M4027)=0,"–",IF(M4027&lt;=Start!$D$20,"A",IF(M4027&lt;=Start!$D$21,"B","C"))))</f>
        <v/>
      </c>
      <c r="O4027" s="48" t="str">
        <f aca="false">IF($A4027="","",IF(NOT(ISNUMBER(F4027)),"Wert fehlt; ",IF(F4027&lt;=0,"Wert ist 0; ",""))&amp;IF(NOT(ISNUMBER(E4027)),"Bestand fehlt; ",IF(E4027&lt;0,"Bestand negativ; ",IF(E4027=0,"Nullbestand; ","")))&amp;IF(D4027="","Warengruppe fehlt; ","")&amp;IF(B4027="","Bezeichnung fehlt; ","")&amp;IF(COUNTIFS($A$2:$A$5001,$A4027,$C$2:$C$5001,C4027)&gt;1,"Artikel doppelt im selben Lager; ",""))</f>
        <v/>
      </c>
      <c r="P4027" s="47" t="n">
        <f aca="false">IF(OR($A4027="",D4027=""),0,IF(COUNTIF($D$2:D4027,D4027)=1,SUMIF($D$2:$D$5001,D4027,$H$2:$H$5001)+ROW()/10000000,0))</f>
        <v>0</v>
      </c>
      <c r="Q4027" s="47" t="n">
        <f aca="false">IF(OR($A4027="",C4027=""),0,IF(COUNTIF($C$2:C4027,C4027)=1,SUMIF($C$2:$C$5001,C4027,$H$2:$H$5001)+ROW()/10000000,0))</f>
        <v>0</v>
      </c>
    </row>
    <row r="4028" customFormat="false" ht="15" hidden="false" customHeight="false" outlineLevel="0" collapsed="false">
      <c r="A4028" s="43"/>
      <c r="B4028" s="44"/>
      <c r="C4028" s="44"/>
      <c r="D4028" s="44"/>
      <c r="E4028" s="44"/>
      <c r="F4028" s="44"/>
      <c r="G4028" s="44"/>
      <c r="H4028" s="46" t="str">
        <f aca="false">IF($A4028="","",IF(OR(NOT(ISNUMBER(E4028)),NOT(ISNUMBER(F4028))),"",MAX(0,E4028)*F4028))</f>
        <v/>
      </c>
      <c r="I4028" s="46" t="str">
        <f aca="false">IF($A4028="","",SUMIF($A$2:$A$5001,$A4028,$H$2:$H$5001))</f>
        <v/>
      </c>
      <c r="J4028" s="47" t="n">
        <f aca="false">IF($A4028="",0,IF(COUNTIF($A$2:A4028,$A4028)=1,1,0))</f>
        <v>0</v>
      </c>
      <c r="K4028" s="47" t="n">
        <f aca="false">IF(J4028=1,N(I4028)+ROW()/10000000,0)</f>
        <v>0</v>
      </c>
      <c r="L4028" s="47" t="str">
        <f aca="false">IF(AND(J4028=1,N(I4028)&gt;0),SUMIF($K$2:$K$5001,"&gt;="&amp;K4028,$I$2:$I$5001)/MAX(1,SUM($H$2:$H$5001)),"")</f>
        <v/>
      </c>
      <c r="M4028" s="47" t="str">
        <f aca="false">IF($A4028="","",INDEX($L$2:$L$5001,MATCH($A4028,$A$2:$A$5001,0)))</f>
        <v/>
      </c>
      <c r="N4028" s="48" t="str">
        <f aca="false">IF($A4028="","",IF(N(M4028)=0,"–",IF(M4028&lt;=Start!$D$20,"A",IF(M4028&lt;=Start!$D$21,"B","C"))))</f>
        <v/>
      </c>
      <c r="O4028" s="48" t="str">
        <f aca="false">IF($A4028="","",IF(NOT(ISNUMBER(F4028)),"Wert fehlt; ",IF(F4028&lt;=0,"Wert ist 0; ",""))&amp;IF(NOT(ISNUMBER(E4028)),"Bestand fehlt; ",IF(E4028&lt;0,"Bestand negativ; ",IF(E4028=0,"Nullbestand; ","")))&amp;IF(D4028="","Warengruppe fehlt; ","")&amp;IF(B4028="","Bezeichnung fehlt; ","")&amp;IF(COUNTIFS($A$2:$A$5001,$A4028,$C$2:$C$5001,C4028)&gt;1,"Artikel doppelt im selben Lager; ",""))</f>
        <v/>
      </c>
      <c r="P4028" s="47" t="n">
        <f aca="false">IF(OR($A4028="",D4028=""),0,IF(COUNTIF($D$2:D4028,D4028)=1,SUMIF($D$2:$D$5001,D4028,$H$2:$H$5001)+ROW()/10000000,0))</f>
        <v>0</v>
      </c>
      <c r="Q4028" s="47" t="n">
        <f aca="false">IF(OR($A4028="",C4028=""),0,IF(COUNTIF($C$2:C4028,C4028)=1,SUMIF($C$2:$C$5001,C4028,$H$2:$H$5001)+ROW()/10000000,0))</f>
        <v>0</v>
      </c>
    </row>
    <row r="4029" customFormat="false" ht="15" hidden="false" customHeight="false" outlineLevel="0" collapsed="false">
      <c r="A4029" s="43"/>
      <c r="B4029" s="44"/>
      <c r="C4029" s="44"/>
      <c r="D4029" s="44"/>
      <c r="E4029" s="44"/>
      <c r="F4029" s="44"/>
      <c r="G4029" s="44"/>
      <c r="H4029" s="46" t="str">
        <f aca="false">IF($A4029="","",IF(OR(NOT(ISNUMBER(E4029)),NOT(ISNUMBER(F4029))),"",MAX(0,E4029)*F4029))</f>
        <v/>
      </c>
      <c r="I4029" s="46" t="str">
        <f aca="false">IF($A4029="","",SUMIF($A$2:$A$5001,$A4029,$H$2:$H$5001))</f>
        <v/>
      </c>
      <c r="J4029" s="47" t="n">
        <f aca="false">IF($A4029="",0,IF(COUNTIF($A$2:A4029,$A4029)=1,1,0))</f>
        <v>0</v>
      </c>
      <c r="K4029" s="47" t="n">
        <f aca="false">IF(J4029=1,N(I4029)+ROW()/10000000,0)</f>
        <v>0</v>
      </c>
      <c r="L4029" s="47" t="str">
        <f aca="false">IF(AND(J4029=1,N(I4029)&gt;0),SUMIF($K$2:$K$5001,"&gt;="&amp;K4029,$I$2:$I$5001)/MAX(1,SUM($H$2:$H$5001)),"")</f>
        <v/>
      </c>
      <c r="M4029" s="47" t="str">
        <f aca="false">IF($A4029="","",INDEX($L$2:$L$5001,MATCH($A4029,$A$2:$A$5001,0)))</f>
        <v/>
      </c>
      <c r="N4029" s="48" t="str">
        <f aca="false">IF($A4029="","",IF(N(M4029)=0,"–",IF(M4029&lt;=Start!$D$20,"A",IF(M4029&lt;=Start!$D$21,"B","C"))))</f>
        <v/>
      </c>
      <c r="O4029" s="48" t="str">
        <f aca="false">IF($A4029="","",IF(NOT(ISNUMBER(F4029)),"Wert fehlt; ",IF(F4029&lt;=0,"Wert ist 0; ",""))&amp;IF(NOT(ISNUMBER(E4029)),"Bestand fehlt; ",IF(E4029&lt;0,"Bestand negativ; ",IF(E4029=0,"Nullbestand; ","")))&amp;IF(D4029="","Warengruppe fehlt; ","")&amp;IF(B4029="","Bezeichnung fehlt; ","")&amp;IF(COUNTIFS($A$2:$A$5001,$A4029,$C$2:$C$5001,C4029)&gt;1,"Artikel doppelt im selben Lager; ",""))</f>
        <v/>
      </c>
      <c r="P4029" s="47" t="n">
        <f aca="false">IF(OR($A4029="",D4029=""),0,IF(COUNTIF($D$2:D4029,D4029)=1,SUMIF($D$2:$D$5001,D4029,$H$2:$H$5001)+ROW()/10000000,0))</f>
        <v>0</v>
      </c>
      <c r="Q4029" s="47" t="n">
        <f aca="false">IF(OR($A4029="",C4029=""),0,IF(COUNTIF($C$2:C4029,C4029)=1,SUMIF($C$2:$C$5001,C4029,$H$2:$H$5001)+ROW()/10000000,0))</f>
        <v>0</v>
      </c>
    </row>
    <row r="4030" customFormat="false" ht="15" hidden="false" customHeight="false" outlineLevel="0" collapsed="false">
      <c r="A4030" s="43"/>
      <c r="B4030" s="44"/>
      <c r="C4030" s="44"/>
      <c r="D4030" s="44"/>
      <c r="E4030" s="44"/>
      <c r="F4030" s="44"/>
      <c r="G4030" s="44"/>
      <c r="H4030" s="46" t="str">
        <f aca="false">IF($A4030="","",IF(OR(NOT(ISNUMBER(E4030)),NOT(ISNUMBER(F4030))),"",MAX(0,E4030)*F4030))</f>
        <v/>
      </c>
      <c r="I4030" s="46" t="str">
        <f aca="false">IF($A4030="","",SUMIF($A$2:$A$5001,$A4030,$H$2:$H$5001))</f>
        <v/>
      </c>
      <c r="J4030" s="47" t="n">
        <f aca="false">IF($A4030="",0,IF(COUNTIF($A$2:A4030,$A4030)=1,1,0))</f>
        <v>0</v>
      </c>
      <c r="K4030" s="47" t="n">
        <f aca="false">IF(J4030=1,N(I4030)+ROW()/10000000,0)</f>
        <v>0</v>
      </c>
      <c r="L4030" s="47" t="str">
        <f aca="false">IF(AND(J4030=1,N(I4030)&gt;0),SUMIF($K$2:$K$5001,"&gt;="&amp;K4030,$I$2:$I$5001)/MAX(1,SUM($H$2:$H$5001)),"")</f>
        <v/>
      </c>
      <c r="M4030" s="47" t="str">
        <f aca="false">IF($A4030="","",INDEX($L$2:$L$5001,MATCH($A4030,$A$2:$A$5001,0)))</f>
        <v/>
      </c>
      <c r="N4030" s="48" t="str">
        <f aca="false">IF($A4030="","",IF(N(M4030)=0,"–",IF(M4030&lt;=Start!$D$20,"A",IF(M4030&lt;=Start!$D$21,"B","C"))))</f>
        <v/>
      </c>
      <c r="O4030" s="48" t="str">
        <f aca="false">IF($A4030="","",IF(NOT(ISNUMBER(F4030)),"Wert fehlt; ",IF(F4030&lt;=0,"Wert ist 0; ",""))&amp;IF(NOT(ISNUMBER(E4030)),"Bestand fehlt; ",IF(E4030&lt;0,"Bestand negativ; ",IF(E4030=0,"Nullbestand; ","")))&amp;IF(D4030="","Warengruppe fehlt; ","")&amp;IF(B4030="","Bezeichnung fehlt; ","")&amp;IF(COUNTIFS($A$2:$A$5001,$A4030,$C$2:$C$5001,C4030)&gt;1,"Artikel doppelt im selben Lager; ",""))</f>
        <v/>
      </c>
      <c r="P4030" s="47" t="n">
        <f aca="false">IF(OR($A4030="",D4030=""),0,IF(COUNTIF($D$2:D4030,D4030)=1,SUMIF($D$2:$D$5001,D4030,$H$2:$H$5001)+ROW()/10000000,0))</f>
        <v>0</v>
      </c>
      <c r="Q4030" s="47" t="n">
        <f aca="false">IF(OR($A4030="",C4030=""),0,IF(COUNTIF($C$2:C4030,C4030)=1,SUMIF($C$2:$C$5001,C4030,$H$2:$H$5001)+ROW()/10000000,0))</f>
        <v>0</v>
      </c>
    </row>
    <row r="4031" customFormat="false" ht="15" hidden="false" customHeight="false" outlineLevel="0" collapsed="false">
      <c r="A4031" s="43"/>
      <c r="B4031" s="44"/>
      <c r="C4031" s="44"/>
      <c r="D4031" s="44"/>
      <c r="E4031" s="44"/>
      <c r="F4031" s="44"/>
      <c r="G4031" s="44"/>
      <c r="H4031" s="46" t="str">
        <f aca="false">IF($A4031="","",IF(OR(NOT(ISNUMBER(E4031)),NOT(ISNUMBER(F4031))),"",MAX(0,E4031)*F4031))</f>
        <v/>
      </c>
      <c r="I4031" s="46" t="str">
        <f aca="false">IF($A4031="","",SUMIF($A$2:$A$5001,$A4031,$H$2:$H$5001))</f>
        <v/>
      </c>
      <c r="J4031" s="47" t="n">
        <f aca="false">IF($A4031="",0,IF(COUNTIF($A$2:A4031,$A4031)=1,1,0))</f>
        <v>0</v>
      </c>
      <c r="K4031" s="47" t="n">
        <f aca="false">IF(J4031=1,N(I4031)+ROW()/10000000,0)</f>
        <v>0</v>
      </c>
      <c r="L4031" s="47" t="str">
        <f aca="false">IF(AND(J4031=1,N(I4031)&gt;0),SUMIF($K$2:$K$5001,"&gt;="&amp;K4031,$I$2:$I$5001)/MAX(1,SUM($H$2:$H$5001)),"")</f>
        <v/>
      </c>
      <c r="M4031" s="47" t="str">
        <f aca="false">IF($A4031="","",INDEX($L$2:$L$5001,MATCH($A4031,$A$2:$A$5001,0)))</f>
        <v/>
      </c>
      <c r="N4031" s="48" t="str">
        <f aca="false">IF($A4031="","",IF(N(M4031)=0,"–",IF(M4031&lt;=Start!$D$20,"A",IF(M4031&lt;=Start!$D$21,"B","C"))))</f>
        <v/>
      </c>
      <c r="O4031" s="48" t="str">
        <f aca="false">IF($A4031="","",IF(NOT(ISNUMBER(F4031)),"Wert fehlt; ",IF(F4031&lt;=0,"Wert ist 0; ",""))&amp;IF(NOT(ISNUMBER(E4031)),"Bestand fehlt; ",IF(E4031&lt;0,"Bestand negativ; ",IF(E4031=0,"Nullbestand; ","")))&amp;IF(D4031="","Warengruppe fehlt; ","")&amp;IF(B4031="","Bezeichnung fehlt; ","")&amp;IF(COUNTIFS($A$2:$A$5001,$A4031,$C$2:$C$5001,C4031)&gt;1,"Artikel doppelt im selben Lager; ",""))</f>
        <v/>
      </c>
      <c r="P4031" s="47" t="n">
        <f aca="false">IF(OR($A4031="",D4031=""),0,IF(COUNTIF($D$2:D4031,D4031)=1,SUMIF($D$2:$D$5001,D4031,$H$2:$H$5001)+ROW()/10000000,0))</f>
        <v>0</v>
      </c>
      <c r="Q4031" s="47" t="n">
        <f aca="false">IF(OR($A4031="",C4031=""),0,IF(COUNTIF($C$2:C4031,C4031)=1,SUMIF($C$2:$C$5001,C4031,$H$2:$H$5001)+ROW()/10000000,0))</f>
        <v>0</v>
      </c>
    </row>
    <row r="4032" customFormat="false" ht="15" hidden="false" customHeight="false" outlineLevel="0" collapsed="false">
      <c r="A4032" s="43"/>
      <c r="B4032" s="44"/>
      <c r="C4032" s="44"/>
      <c r="D4032" s="44"/>
      <c r="E4032" s="44"/>
      <c r="F4032" s="44"/>
      <c r="G4032" s="44"/>
      <c r="H4032" s="46" t="str">
        <f aca="false">IF($A4032="","",IF(OR(NOT(ISNUMBER(E4032)),NOT(ISNUMBER(F4032))),"",MAX(0,E4032)*F4032))</f>
        <v/>
      </c>
      <c r="I4032" s="46" t="str">
        <f aca="false">IF($A4032="","",SUMIF($A$2:$A$5001,$A4032,$H$2:$H$5001))</f>
        <v/>
      </c>
      <c r="J4032" s="47" t="n">
        <f aca="false">IF($A4032="",0,IF(COUNTIF($A$2:A4032,$A4032)=1,1,0))</f>
        <v>0</v>
      </c>
      <c r="K4032" s="47" t="n">
        <f aca="false">IF(J4032=1,N(I4032)+ROW()/10000000,0)</f>
        <v>0</v>
      </c>
      <c r="L4032" s="47" t="str">
        <f aca="false">IF(AND(J4032=1,N(I4032)&gt;0),SUMIF($K$2:$K$5001,"&gt;="&amp;K4032,$I$2:$I$5001)/MAX(1,SUM($H$2:$H$5001)),"")</f>
        <v/>
      </c>
      <c r="M4032" s="47" t="str">
        <f aca="false">IF($A4032="","",INDEX($L$2:$L$5001,MATCH($A4032,$A$2:$A$5001,0)))</f>
        <v/>
      </c>
      <c r="N4032" s="48" t="str">
        <f aca="false">IF($A4032="","",IF(N(M4032)=0,"–",IF(M4032&lt;=Start!$D$20,"A",IF(M4032&lt;=Start!$D$21,"B","C"))))</f>
        <v/>
      </c>
      <c r="O4032" s="48" t="str">
        <f aca="false">IF($A4032="","",IF(NOT(ISNUMBER(F4032)),"Wert fehlt; ",IF(F4032&lt;=0,"Wert ist 0; ",""))&amp;IF(NOT(ISNUMBER(E4032)),"Bestand fehlt; ",IF(E4032&lt;0,"Bestand negativ; ",IF(E4032=0,"Nullbestand; ","")))&amp;IF(D4032="","Warengruppe fehlt; ","")&amp;IF(B4032="","Bezeichnung fehlt; ","")&amp;IF(COUNTIFS($A$2:$A$5001,$A4032,$C$2:$C$5001,C4032)&gt;1,"Artikel doppelt im selben Lager; ",""))</f>
        <v/>
      </c>
      <c r="P4032" s="47" t="n">
        <f aca="false">IF(OR($A4032="",D4032=""),0,IF(COUNTIF($D$2:D4032,D4032)=1,SUMIF($D$2:$D$5001,D4032,$H$2:$H$5001)+ROW()/10000000,0))</f>
        <v>0</v>
      </c>
      <c r="Q4032" s="47" t="n">
        <f aca="false">IF(OR($A4032="",C4032=""),0,IF(COUNTIF($C$2:C4032,C4032)=1,SUMIF($C$2:$C$5001,C4032,$H$2:$H$5001)+ROW()/10000000,0))</f>
        <v>0</v>
      </c>
    </row>
    <row r="4033" customFormat="false" ht="15" hidden="false" customHeight="false" outlineLevel="0" collapsed="false">
      <c r="A4033" s="43"/>
      <c r="B4033" s="44"/>
      <c r="C4033" s="44"/>
      <c r="D4033" s="44"/>
      <c r="E4033" s="44"/>
      <c r="F4033" s="44"/>
      <c r="G4033" s="44"/>
      <c r="H4033" s="46" t="str">
        <f aca="false">IF($A4033="","",IF(OR(NOT(ISNUMBER(E4033)),NOT(ISNUMBER(F4033))),"",MAX(0,E4033)*F4033))</f>
        <v/>
      </c>
      <c r="I4033" s="46" t="str">
        <f aca="false">IF($A4033="","",SUMIF($A$2:$A$5001,$A4033,$H$2:$H$5001))</f>
        <v/>
      </c>
      <c r="J4033" s="47" t="n">
        <f aca="false">IF($A4033="",0,IF(COUNTIF($A$2:A4033,$A4033)=1,1,0))</f>
        <v>0</v>
      </c>
      <c r="K4033" s="47" t="n">
        <f aca="false">IF(J4033=1,N(I4033)+ROW()/10000000,0)</f>
        <v>0</v>
      </c>
      <c r="L4033" s="47" t="str">
        <f aca="false">IF(AND(J4033=1,N(I4033)&gt;0),SUMIF($K$2:$K$5001,"&gt;="&amp;K4033,$I$2:$I$5001)/MAX(1,SUM($H$2:$H$5001)),"")</f>
        <v/>
      </c>
      <c r="M4033" s="47" t="str">
        <f aca="false">IF($A4033="","",INDEX($L$2:$L$5001,MATCH($A4033,$A$2:$A$5001,0)))</f>
        <v/>
      </c>
      <c r="N4033" s="48" t="str">
        <f aca="false">IF($A4033="","",IF(N(M4033)=0,"–",IF(M4033&lt;=Start!$D$20,"A",IF(M4033&lt;=Start!$D$21,"B","C"))))</f>
        <v/>
      </c>
      <c r="O4033" s="48" t="str">
        <f aca="false">IF($A4033="","",IF(NOT(ISNUMBER(F4033)),"Wert fehlt; ",IF(F4033&lt;=0,"Wert ist 0; ",""))&amp;IF(NOT(ISNUMBER(E4033)),"Bestand fehlt; ",IF(E4033&lt;0,"Bestand negativ; ",IF(E4033=0,"Nullbestand; ","")))&amp;IF(D4033="","Warengruppe fehlt; ","")&amp;IF(B4033="","Bezeichnung fehlt; ","")&amp;IF(COUNTIFS($A$2:$A$5001,$A4033,$C$2:$C$5001,C4033)&gt;1,"Artikel doppelt im selben Lager; ",""))</f>
        <v/>
      </c>
      <c r="P4033" s="47" t="n">
        <f aca="false">IF(OR($A4033="",D4033=""),0,IF(COUNTIF($D$2:D4033,D4033)=1,SUMIF($D$2:$D$5001,D4033,$H$2:$H$5001)+ROW()/10000000,0))</f>
        <v>0</v>
      </c>
      <c r="Q4033" s="47" t="n">
        <f aca="false">IF(OR($A4033="",C4033=""),0,IF(COUNTIF($C$2:C4033,C4033)=1,SUMIF($C$2:$C$5001,C4033,$H$2:$H$5001)+ROW()/10000000,0))</f>
        <v>0</v>
      </c>
    </row>
    <row r="4034" customFormat="false" ht="15" hidden="false" customHeight="false" outlineLevel="0" collapsed="false">
      <c r="A4034" s="43"/>
      <c r="B4034" s="44"/>
      <c r="C4034" s="44"/>
      <c r="D4034" s="44"/>
      <c r="E4034" s="44"/>
      <c r="F4034" s="44"/>
      <c r="G4034" s="44"/>
      <c r="H4034" s="46" t="str">
        <f aca="false">IF($A4034="","",IF(OR(NOT(ISNUMBER(E4034)),NOT(ISNUMBER(F4034))),"",MAX(0,E4034)*F4034))</f>
        <v/>
      </c>
      <c r="I4034" s="46" t="str">
        <f aca="false">IF($A4034="","",SUMIF($A$2:$A$5001,$A4034,$H$2:$H$5001))</f>
        <v/>
      </c>
      <c r="J4034" s="47" t="n">
        <f aca="false">IF($A4034="",0,IF(COUNTIF($A$2:A4034,$A4034)=1,1,0))</f>
        <v>0</v>
      </c>
      <c r="K4034" s="47" t="n">
        <f aca="false">IF(J4034=1,N(I4034)+ROW()/10000000,0)</f>
        <v>0</v>
      </c>
      <c r="L4034" s="47" t="str">
        <f aca="false">IF(AND(J4034=1,N(I4034)&gt;0),SUMIF($K$2:$K$5001,"&gt;="&amp;K4034,$I$2:$I$5001)/MAX(1,SUM($H$2:$H$5001)),"")</f>
        <v/>
      </c>
      <c r="M4034" s="47" t="str">
        <f aca="false">IF($A4034="","",INDEX($L$2:$L$5001,MATCH($A4034,$A$2:$A$5001,0)))</f>
        <v/>
      </c>
      <c r="N4034" s="48" t="str">
        <f aca="false">IF($A4034="","",IF(N(M4034)=0,"–",IF(M4034&lt;=Start!$D$20,"A",IF(M4034&lt;=Start!$D$21,"B","C"))))</f>
        <v/>
      </c>
      <c r="O4034" s="48" t="str">
        <f aca="false">IF($A4034="","",IF(NOT(ISNUMBER(F4034)),"Wert fehlt; ",IF(F4034&lt;=0,"Wert ist 0; ",""))&amp;IF(NOT(ISNUMBER(E4034)),"Bestand fehlt; ",IF(E4034&lt;0,"Bestand negativ; ",IF(E4034=0,"Nullbestand; ","")))&amp;IF(D4034="","Warengruppe fehlt; ","")&amp;IF(B4034="","Bezeichnung fehlt; ","")&amp;IF(COUNTIFS($A$2:$A$5001,$A4034,$C$2:$C$5001,C4034)&gt;1,"Artikel doppelt im selben Lager; ",""))</f>
        <v/>
      </c>
      <c r="P4034" s="47" t="n">
        <f aca="false">IF(OR($A4034="",D4034=""),0,IF(COUNTIF($D$2:D4034,D4034)=1,SUMIF($D$2:$D$5001,D4034,$H$2:$H$5001)+ROW()/10000000,0))</f>
        <v>0</v>
      </c>
      <c r="Q4034" s="47" t="n">
        <f aca="false">IF(OR($A4034="",C4034=""),0,IF(COUNTIF($C$2:C4034,C4034)=1,SUMIF($C$2:$C$5001,C4034,$H$2:$H$5001)+ROW()/10000000,0))</f>
        <v>0</v>
      </c>
    </row>
    <row r="4035" customFormat="false" ht="15" hidden="false" customHeight="false" outlineLevel="0" collapsed="false">
      <c r="A4035" s="43"/>
      <c r="B4035" s="44"/>
      <c r="C4035" s="44"/>
      <c r="D4035" s="44"/>
      <c r="E4035" s="44"/>
      <c r="F4035" s="44"/>
      <c r="G4035" s="44"/>
      <c r="H4035" s="46" t="str">
        <f aca="false">IF($A4035="","",IF(OR(NOT(ISNUMBER(E4035)),NOT(ISNUMBER(F4035))),"",MAX(0,E4035)*F4035))</f>
        <v/>
      </c>
      <c r="I4035" s="46" t="str">
        <f aca="false">IF($A4035="","",SUMIF($A$2:$A$5001,$A4035,$H$2:$H$5001))</f>
        <v/>
      </c>
      <c r="J4035" s="47" t="n">
        <f aca="false">IF($A4035="",0,IF(COUNTIF($A$2:A4035,$A4035)=1,1,0))</f>
        <v>0</v>
      </c>
      <c r="K4035" s="47" t="n">
        <f aca="false">IF(J4035=1,N(I4035)+ROW()/10000000,0)</f>
        <v>0</v>
      </c>
      <c r="L4035" s="47" t="str">
        <f aca="false">IF(AND(J4035=1,N(I4035)&gt;0),SUMIF($K$2:$K$5001,"&gt;="&amp;K4035,$I$2:$I$5001)/MAX(1,SUM($H$2:$H$5001)),"")</f>
        <v/>
      </c>
      <c r="M4035" s="47" t="str">
        <f aca="false">IF($A4035="","",INDEX($L$2:$L$5001,MATCH($A4035,$A$2:$A$5001,0)))</f>
        <v/>
      </c>
      <c r="N4035" s="48" t="str">
        <f aca="false">IF($A4035="","",IF(N(M4035)=0,"–",IF(M4035&lt;=Start!$D$20,"A",IF(M4035&lt;=Start!$D$21,"B","C"))))</f>
        <v/>
      </c>
      <c r="O4035" s="48" t="str">
        <f aca="false">IF($A4035="","",IF(NOT(ISNUMBER(F4035)),"Wert fehlt; ",IF(F4035&lt;=0,"Wert ist 0; ",""))&amp;IF(NOT(ISNUMBER(E4035)),"Bestand fehlt; ",IF(E4035&lt;0,"Bestand negativ; ",IF(E4035=0,"Nullbestand; ","")))&amp;IF(D4035="","Warengruppe fehlt; ","")&amp;IF(B4035="","Bezeichnung fehlt; ","")&amp;IF(COUNTIFS($A$2:$A$5001,$A4035,$C$2:$C$5001,C4035)&gt;1,"Artikel doppelt im selben Lager; ",""))</f>
        <v/>
      </c>
      <c r="P4035" s="47" t="n">
        <f aca="false">IF(OR($A4035="",D4035=""),0,IF(COUNTIF($D$2:D4035,D4035)=1,SUMIF($D$2:$D$5001,D4035,$H$2:$H$5001)+ROW()/10000000,0))</f>
        <v>0</v>
      </c>
      <c r="Q4035" s="47" t="n">
        <f aca="false">IF(OR($A4035="",C4035=""),0,IF(COUNTIF($C$2:C4035,C4035)=1,SUMIF($C$2:$C$5001,C4035,$H$2:$H$5001)+ROW()/10000000,0))</f>
        <v>0</v>
      </c>
    </row>
    <row r="4036" customFormat="false" ht="15" hidden="false" customHeight="false" outlineLevel="0" collapsed="false">
      <c r="A4036" s="43"/>
      <c r="B4036" s="44"/>
      <c r="C4036" s="44"/>
      <c r="D4036" s="44"/>
      <c r="E4036" s="44"/>
      <c r="F4036" s="44"/>
      <c r="G4036" s="44"/>
      <c r="H4036" s="46" t="str">
        <f aca="false">IF($A4036="","",IF(OR(NOT(ISNUMBER(E4036)),NOT(ISNUMBER(F4036))),"",MAX(0,E4036)*F4036))</f>
        <v/>
      </c>
      <c r="I4036" s="46" t="str">
        <f aca="false">IF($A4036="","",SUMIF($A$2:$A$5001,$A4036,$H$2:$H$5001))</f>
        <v/>
      </c>
      <c r="J4036" s="47" t="n">
        <f aca="false">IF($A4036="",0,IF(COUNTIF($A$2:A4036,$A4036)=1,1,0))</f>
        <v>0</v>
      </c>
      <c r="K4036" s="47" t="n">
        <f aca="false">IF(J4036=1,N(I4036)+ROW()/10000000,0)</f>
        <v>0</v>
      </c>
      <c r="L4036" s="47" t="str">
        <f aca="false">IF(AND(J4036=1,N(I4036)&gt;0),SUMIF($K$2:$K$5001,"&gt;="&amp;K4036,$I$2:$I$5001)/MAX(1,SUM($H$2:$H$5001)),"")</f>
        <v/>
      </c>
      <c r="M4036" s="47" t="str">
        <f aca="false">IF($A4036="","",INDEX($L$2:$L$5001,MATCH($A4036,$A$2:$A$5001,0)))</f>
        <v/>
      </c>
      <c r="N4036" s="48" t="str">
        <f aca="false">IF($A4036="","",IF(N(M4036)=0,"–",IF(M4036&lt;=Start!$D$20,"A",IF(M4036&lt;=Start!$D$21,"B","C"))))</f>
        <v/>
      </c>
      <c r="O4036" s="48" t="str">
        <f aca="false">IF($A4036="","",IF(NOT(ISNUMBER(F4036)),"Wert fehlt; ",IF(F4036&lt;=0,"Wert ist 0; ",""))&amp;IF(NOT(ISNUMBER(E4036)),"Bestand fehlt; ",IF(E4036&lt;0,"Bestand negativ; ",IF(E4036=0,"Nullbestand; ","")))&amp;IF(D4036="","Warengruppe fehlt; ","")&amp;IF(B4036="","Bezeichnung fehlt; ","")&amp;IF(COUNTIFS($A$2:$A$5001,$A4036,$C$2:$C$5001,C4036)&gt;1,"Artikel doppelt im selben Lager; ",""))</f>
        <v/>
      </c>
      <c r="P4036" s="47" t="n">
        <f aca="false">IF(OR($A4036="",D4036=""),0,IF(COUNTIF($D$2:D4036,D4036)=1,SUMIF($D$2:$D$5001,D4036,$H$2:$H$5001)+ROW()/10000000,0))</f>
        <v>0</v>
      </c>
      <c r="Q4036" s="47" t="n">
        <f aca="false">IF(OR($A4036="",C4036=""),0,IF(COUNTIF($C$2:C4036,C4036)=1,SUMIF($C$2:$C$5001,C4036,$H$2:$H$5001)+ROW()/10000000,0))</f>
        <v>0</v>
      </c>
    </row>
    <row r="4037" customFormat="false" ht="15" hidden="false" customHeight="false" outlineLevel="0" collapsed="false">
      <c r="A4037" s="43"/>
      <c r="B4037" s="44"/>
      <c r="C4037" s="44"/>
      <c r="D4037" s="44"/>
      <c r="E4037" s="44"/>
      <c r="F4037" s="44"/>
      <c r="G4037" s="44"/>
      <c r="H4037" s="46" t="str">
        <f aca="false">IF($A4037="","",IF(OR(NOT(ISNUMBER(E4037)),NOT(ISNUMBER(F4037))),"",MAX(0,E4037)*F4037))</f>
        <v/>
      </c>
      <c r="I4037" s="46" t="str">
        <f aca="false">IF($A4037="","",SUMIF($A$2:$A$5001,$A4037,$H$2:$H$5001))</f>
        <v/>
      </c>
      <c r="J4037" s="47" t="n">
        <f aca="false">IF($A4037="",0,IF(COUNTIF($A$2:A4037,$A4037)=1,1,0))</f>
        <v>0</v>
      </c>
      <c r="K4037" s="47" t="n">
        <f aca="false">IF(J4037=1,N(I4037)+ROW()/10000000,0)</f>
        <v>0</v>
      </c>
      <c r="L4037" s="47" t="str">
        <f aca="false">IF(AND(J4037=1,N(I4037)&gt;0),SUMIF($K$2:$K$5001,"&gt;="&amp;K4037,$I$2:$I$5001)/MAX(1,SUM($H$2:$H$5001)),"")</f>
        <v/>
      </c>
      <c r="M4037" s="47" t="str">
        <f aca="false">IF($A4037="","",INDEX($L$2:$L$5001,MATCH($A4037,$A$2:$A$5001,0)))</f>
        <v/>
      </c>
      <c r="N4037" s="48" t="str">
        <f aca="false">IF($A4037="","",IF(N(M4037)=0,"–",IF(M4037&lt;=Start!$D$20,"A",IF(M4037&lt;=Start!$D$21,"B","C"))))</f>
        <v/>
      </c>
      <c r="O4037" s="48" t="str">
        <f aca="false">IF($A4037="","",IF(NOT(ISNUMBER(F4037)),"Wert fehlt; ",IF(F4037&lt;=0,"Wert ist 0; ",""))&amp;IF(NOT(ISNUMBER(E4037)),"Bestand fehlt; ",IF(E4037&lt;0,"Bestand negativ; ",IF(E4037=0,"Nullbestand; ","")))&amp;IF(D4037="","Warengruppe fehlt; ","")&amp;IF(B4037="","Bezeichnung fehlt; ","")&amp;IF(COUNTIFS($A$2:$A$5001,$A4037,$C$2:$C$5001,C4037)&gt;1,"Artikel doppelt im selben Lager; ",""))</f>
        <v/>
      </c>
      <c r="P4037" s="47" t="n">
        <f aca="false">IF(OR($A4037="",D4037=""),0,IF(COUNTIF($D$2:D4037,D4037)=1,SUMIF($D$2:$D$5001,D4037,$H$2:$H$5001)+ROW()/10000000,0))</f>
        <v>0</v>
      </c>
      <c r="Q4037" s="47" t="n">
        <f aca="false">IF(OR($A4037="",C4037=""),0,IF(COUNTIF($C$2:C4037,C4037)=1,SUMIF($C$2:$C$5001,C4037,$H$2:$H$5001)+ROW()/10000000,0))</f>
        <v>0</v>
      </c>
    </row>
    <row r="4038" customFormat="false" ht="15" hidden="false" customHeight="false" outlineLevel="0" collapsed="false">
      <c r="A4038" s="43"/>
      <c r="B4038" s="44"/>
      <c r="C4038" s="44"/>
      <c r="D4038" s="44"/>
      <c r="E4038" s="44"/>
      <c r="F4038" s="44"/>
      <c r="G4038" s="44"/>
      <c r="H4038" s="46" t="str">
        <f aca="false">IF($A4038="","",IF(OR(NOT(ISNUMBER(E4038)),NOT(ISNUMBER(F4038))),"",MAX(0,E4038)*F4038))</f>
        <v/>
      </c>
      <c r="I4038" s="46" t="str">
        <f aca="false">IF($A4038="","",SUMIF($A$2:$A$5001,$A4038,$H$2:$H$5001))</f>
        <v/>
      </c>
      <c r="J4038" s="47" t="n">
        <f aca="false">IF($A4038="",0,IF(COUNTIF($A$2:A4038,$A4038)=1,1,0))</f>
        <v>0</v>
      </c>
      <c r="K4038" s="47" t="n">
        <f aca="false">IF(J4038=1,N(I4038)+ROW()/10000000,0)</f>
        <v>0</v>
      </c>
      <c r="L4038" s="47" t="str">
        <f aca="false">IF(AND(J4038=1,N(I4038)&gt;0),SUMIF($K$2:$K$5001,"&gt;="&amp;K4038,$I$2:$I$5001)/MAX(1,SUM($H$2:$H$5001)),"")</f>
        <v/>
      </c>
      <c r="M4038" s="47" t="str">
        <f aca="false">IF($A4038="","",INDEX($L$2:$L$5001,MATCH($A4038,$A$2:$A$5001,0)))</f>
        <v/>
      </c>
      <c r="N4038" s="48" t="str">
        <f aca="false">IF($A4038="","",IF(N(M4038)=0,"–",IF(M4038&lt;=Start!$D$20,"A",IF(M4038&lt;=Start!$D$21,"B","C"))))</f>
        <v/>
      </c>
      <c r="O4038" s="48" t="str">
        <f aca="false">IF($A4038="","",IF(NOT(ISNUMBER(F4038)),"Wert fehlt; ",IF(F4038&lt;=0,"Wert ist 0; ",""))&amp;IF(NOT(ISNUMBER(E4038)),"Bestand fehlt; ",IF(E4038&lt;0,"Bestand negativ; ",IF(E4038=0,"Nullbestand; ","")))&amp;IF(D4038="","Warengruppe fehlt; ","")&amp;IF(B4038="","Bezeichnung fehlt; ","")&amp;IF(COUNTIFS($A$2:$A$5001,$A4038,$C$2:$C$5001,C4038)&gt;1,"Artikel doppelt im selben Lager; ",""))</f>
        <v/>
      </c>
      <c r="P4038" s="47" t="n">
        <f aca="false">IF(OR($A4038="",D4038=""),0,IF(COUNTIF($D$2:D4038,D4038)=1,SUMIF($D$2:$D$5001,D4038,$H$2:$H$5001)+ROW()/10000000,0))</f>
        <v>0</v>
      </c>
      <c r="Q4038" s="47" t="n">
        <f aca="false">IF(OR($A4038="",C4038=""),0,IF(COUNTIF($C$2:C4038,C4038)=1,SUMIF($C$2:$C$5001,C4038,$H$2:$H$5001)+ROW()/10000000,0))</f>
        <v>0</v>
      </c>
    </row>
    <row r="4039" customFormat="false" ht="15" hidden="false" customHeight="false" outlineLevel="0" collapsed="false">
      <c r="A4039" s="43"/>
      <c r="B4039" s="44"/>
      <c r="C4039" s="44"/>
      <c r="D4039" s="44"/>
      <c r="E4039" s="44"/>
      <c r="F4039" s="44"/>
      <c r="G4039" s="44"/>
      <c r="H4039" s="46" t="str">
        <f aca="false">IF($A4039="","",IF(OR(NOT(ISNUMBER(E4039)),NOT(ISNUMBER(F4039))),"",MAX(0,E4039)*F4039))</f>
        <v/>
      </c>
      <c r="I4039" s="46" t="str">
        <f aca="false">IF($A4039="","",SUMIF($A$2:$A$5001,$A4039,$H$2:$H$5001))</f>
        <v/>
      </c>
      <c r="J4039" s="47" t="n">
        <f aca="false">IF($A4039="",0,IF(COUNTIF($A$2:A4039,$A4039)=1,1,0))</f>
        <v>0</v>
      </c>
      <c r="K4039" s="47" t="n">
        <f aca="false">IF(J4039=1,N(I4039)+ROW()/10000000,0)</f>
        <v>0</v>
      </c>
      <c r="L4039" s="47" t="str">
        <f aca="false">IF(AND(J4039=1,N(I4039)&gt;0),SUMIF($K$2:$K$5001,"&gt;="&amp;K4039,$I$2:$I$5001)/MAX(1,SUM($H$2:$H$5001)),"")</f>
        <v/>
      </c>
      <c r="M4039" s="47" t="str">
        <f aca="false">IF($A4039="","",INDEX($L$2:$L$5001,MATCH($A4039,$A$2:$A$5001,0)))</f>
        <v/>
      </c>
      <c r="N4039" s="48" t="str">
        <f aca="false">IF($A4039="","",IF(N(M4039)=0,"–",IF(M4039&lt;=Start!$D$20,"A",IF(M4039&lt;=Start!$D$21,"B","C"))))</f>
        <v/>
      </c>
      <c r="O4039" s="48" t="str">
        <f aca="false">IF($A4039="","",IF(NOT(ISNUMBER(F4039)),"Wert fehlt; ",IF(F4039&lt;=0,"Wert ist 0; ",""))&amp;IF(NOT(ISNUMBER(E4039)),"Bestand fehlt; ",IF(E4039&lt;0,"Bestand negativ; ",IF(E4039=0,"Nullbestand; ","")))&amp;IF(D4039="","Warengruppe fehlt; ","")&amp;IF(B4039="","Bezeichnung fehlt; ","")&amp;IF(COUNTIFS($A$2:$A$5001,$A4039,$C$2:$C$5001,C4039)&gt;1,"Artikel doppelt im selben Lager; ",""))</f>
        <v/>
      </c>
      <c r="P4039" s="47" t="n">
        <f aca="false">IF(OR($A4039="",D4039=""),0,IF(COUNTIF($D$2:D4039,D4039)=1,SUMIF($D$2:$D$5001,D4039,$H$2:$H$5001)+ROW()/10000000,0))</f>
        <v>0</v>
      </c>
      <c r="Q4039" s="47" t="n">
        <f aca="false">IF(OR($A4039="",C4039=""),0,IF(COUNTIF($C$2:C4039,C4039)=1,SUMIF($C$2:$C$5001,C4039,$H$2:$H$5001)+ROW()/10000000,0))</f>
        <v>0</v>
      </c>
    </row>
    <row r="4040" customFormat="false" ht="15" hidden="false" customHeight="false" outlineLevel="0" collapsed="false">
      <c r="A4040" s="43"/>
      <c r="B4040" s="44"/>
      <c r="C4040" s="44"/>
      <c r="D4040" s="44"/>
      <c r="E4040" s="44"/>
      <c r="F4040" s="44"/>
      <c r="G4040" s="44"/>
      <c r="H4040" s="46" t="str">
        <f aca="false">IF($A4040="","",IF(OR(NOT(ISNUMBER(E4040)),NOT(ISNUMBER(F4040))),"",MAX(0,E4040)*F4040))</f>
        <v/>
      </c>
      <c r="I4040" s="46" t="str">
        <f aca="false">IF($A4040="","",SUMIF($A$2:$A$5001,$A4040,$H$2:$H$5001))</f>
        <v/>
      </c>
      <c r="J4040" s="47" t="n">
        <f aca="false">IF($A4040="",0,IF(COUNTIF($A$2:A4040,$A4040)=1,1,0))</f>
        <v>0</v>
      </c>
      <c r="K4040" s="47" t="n">
        <f aca="false">IF(J4040=1,N(I4040)+ROW()/10000000,0)</f>
        <v>0</v>
      </c>
      <c r="L4040" s="47" t="str">
        <f aca="false">IF(AND(J4040=1,N(I4040)&gt;0),SUMIF($K$2:$K$5001,"&gt;="&amp;K4040,$I$2:$I$5001)/MAX(1,SUM($H$2:$H$5001)),"")</f>
        <v/>
      </c>
      <c r="M4040" s="47" t="str">
        <f aca="false">IF($A4040="","",INDEX($L$2:$L$5001,MATCH($A4040,$A$2:$A$5001,0)))</f>
        <v/>
      </c>
      <c r="N4040" s="48" t="str">
        <f aca="false">IF($A4040="","",IF(N(M4040)=0,"–",IF(M4040&lt;=Start!$D$20,"A",IF(M4040&lt;=Start!$D$21,"B","C"))))</f>
        <v/>
      </c>
      <c r="O4040" s="48" t="str">
        <f aca="false">IF($A4040="","",IF(NOT(ISNUMBER(F4040)),"Wert fehlt; ",IF(F4040&lt;=0,"Wert ist 0; ",""))&amp;IF(NOT(ISNUMBER(E4040)),"Bestand fehlt; ",IF(E4040&lt;0,"Bestand negativ; ",IF(E4040=0,"Nullbestand; ","")))&amp;IF(D4040="","Warengruppe fehlt; ","")&amp;IF(B4040="","Bezeichnung fehlt; ","")&amp;IF(COUNTIFS($A$2:$A$5001,$A4040,$C$2:$C$5001,C4040)&gt;1,"Artikel doppelt im selben Lager; ",""))</f>
        <v/>
      </c>
      <c r="P4040" s="47" t="n">
        <f aca="false">IF(OR($A4040="",D4040=""),0,IF(COUNTIF($D$2:D4040,D4040)=1,SUMIF($D$2:$D$5001,D4040,$H$2:$H$5001)+ROW()/10000000,0))</f>
        <v>0</v>
      </c>
      <c r="Q4040" s="47" t="n">
        <f aca="false">IF(OR($A4040="",C4040=""),0,IF(COUNTIF($C$2:C4040,C4040)=1,SUMIF($C$2:$C$5001,C4040,$H$2:$H$5001)+ROW()/10000000,0))</f>
        <v>0</v>
      </c>
    </row>
    <row r="4041" customFormat="false" ht="15" hidden="false" customHeight="false" outlineLevel="0" collapsed="false">
      <c r="A4041" s="43"/>
      <c r="B4041" s="44"/>
      <c r="C4041" s="44"/>
      <c r="D4041" s="44"/>
      <c r="E4041" s="44"/>
      <c r="F4041" s="44"/>
      <c r="G4041" s="44"/>
      <c r="H4041" s="46" t="str">
        <f aca="false">IF($A4041="","",IF(OR(NOT(ISNUMBER(E4041)),NOT(ISNUMBER(F4041))),"",MAX(0,E4041)*F4041))</f>
        <v/>
      </c>
      <c r="I4041" s="46" t="str">
        <f aca="false">IF($A4041="","",SUMIF($A$2:$A$5001,$A4041,$H$2:$H$5001))</f>
        <v/>
      </c>
      <c r="J4041" s="47" t="n">
        <f aca="false">IF($A4041="",0,IF(COUNTIF($A$2:A4041,$A4041)=1,1,0))</f>
        <v>0</v>
      </c>
      <c r="K4041" s="47" t="n">
        <f aca="false">IF(J4041=1,N(I4041)+ROW()/10000000,0)</f>
        <v>0</v>
      </c>
      <c r="L4041" s="47" t="str">
        <f aca="false">IF(AND(J4041=1,N(I4041)&gt;0),SUMIF($K$2:$K$5001,"&gt;="&amp;K4041,$I$2:$I$5001)/MAX(1,SUM($H$2:$H$5001)),"")</f>
        <v/>
      </c>
      <c r="M4041" s="47" t="str">
        <f aca="false">IF($A4041="","",INDEX($L$2:$L$5001,MATCH($A4041,$A$2:$A$5001,0)))</f>
        <v/>
      </c>
      <c r="N4041" s="48" t="str">
        <f aca="false">IF($A4041="","",IF(N(M4041)=0,"–",IF(M4041&lt;=Start!$D$20,"A",IF(M4041&lt;=Start!$D$21,"B","C"))))</f>
        <v/>
      </c>
      <c r="O4041" s="48" t="str">
        <f aca="false">IF($A4041="","",IF(NOT(ISNUMBER(F4041)),"Wert fehlt; ",IF(F4041&lt;=0,"Wert ist 0; ",""))&amp;IF(NOT(ISNUMBER(E4041)),"Bestand fehlt; ",IF(E4041&lt;0,"Bestand negativ; ",IF(E4041=0,"Nullbestand; ","")))&amp;IF(D4041="","Warengruppe fehlt; ","")&amp;IF(B4041="","Bezeichnung fehlt; ","")&amp;IF(COUNTIFS($A$2:$A$5001,$A4041,$C$2:$C$5001,C4041)&gt;1,"Artikel doppelt im selben Lager; ",""))</f>
        <v/>
      </c>
      <c r="P4041" s="47" t="n">
        <f aca="false">IF(OR($A4041="",D4041=""),0,IF(COUNTIF($D$2:D4041,D4041)=1,SUMIF($D$2:$D$5001,D4041,$H$2:$H$5001)+ROW()/10000000,0))</f>
        <v>0</v>
      </c>
      <c r="Q4041" s="47" t="n">
        <f aca="false">IF(OR($A4041="",C4041=""),0,IF(COUNTIF($C$2:C4041,C4041)=1,SUMIF($C$2:$C$5001,C4041,$H$2:$H$5001)+ROW()/10000000,0))</f>
        <v>0</v>
      </c>
    </row>
    <row r="4042" customFormat="false" ht="15" hidden="false" customHeight="false" outlineLevel="0" collapsed="false">
      <c r="A4042" s="43"/>
      <c r="B4042" s="44"/>
      <c r="C4042" s="44"/>
      <c r="D4042" s="44"/>
      <c r="E4042" s="44"/>
      <c r="F4042" s="44"/>
      <c r="G4042" s="44"/>
      <c r="H4042" s="46" t="str">
        <f aca="false">IF($A4042="","",IF(OR(NOT(ISNUMBER(E4042)),NOT(ISNUMBER(F4042))),"",MAX(0,E4042)*F4042))</f>
        <v/>
      </c>
      <c r="I4042" s="46" t="str">
        <f aca="false">IF($A4042="","",SUMIF($A$2:$A$5001,$A4042,$H$2:$H$5001))</f>
        <v/>
      </c>
      <c r="J4042" s="47" t="n">
        <f aca="false">IF($A4042="",0,IF(COUNTIF($A$2:A4042,$A4042)=1,1,0))</f>
        <v>0</v>
      </c>
      <c r="K4042" s="47" t="n">
        <f aca="false">IF(J4042=1,N(I4042)+ROW()/10000000,0)</f>
        <v>0</v>
      </c>
      <c r="L4042" s="47" t="str">
        <f aca="false">IF(AND(J4042=1,N(I4042)&gt;0),SUMIF($K$2:$K$5001,"&gt;="&amp;K4042,$I$2:$I$5001)/MAX(1,SUM($H$2:$H$5001)),"")</f>
        <v/>
      </c>
      <c r="M4042" s="47" t="str">
        <f aca="false">IF($A4042="","",INDEX($L$2:$L$5001,MATCH($A4042,$A$2:$A$5001,0)))</f>
        <v/>
      </c>
      <c r="N4042" s="48" t="str">
        <f aca="false">IF($A4042="","",IF(N(M4042)=0,"–",IF(M4042&lt;=Start!$D$20,"A",IF(M4042&lt;=Start!$D$21,"B","C"))))</f>
        <v/>
      </c>
      <c r="O4042" s="48" t="str">
        <f aca="false">IF($A4042="","",IF(NOT(ISNUMBER(F4042)),"Wert fehlt; ",IF(F4042&lt;=0,"Wert ist 0; ",""))&amp;IF(NOT(ISNUMBER(E4042)),"Bestand fehlt; ",IF(E4042&lt;0,"Bestand negativ; ",IF(E4042=0,"Nullbestand; ","")))&amp;IF(D4042="","Warengruppe fehlt; ","")&amp;IF(B4042="","Bezeichnung fehlt; ","")&amp;IF(COUNTIFS($A$2:$A$5001,$A4042,$C$2:$C$5001,C4042)&gt;1,"Artikel doppelt im selben Lager; ",""))</f>
        <v/>
      </c>
      <c r="P4042" s="47" t="n">
        <f aca="false">IF(OR($A4042="",D4042=""),0,IF(COUNTIF($D$2:D4042,D4042)=1,SUMIF($D$2:$D$5001,D4042,$H$2:$H$5001)+ROW()/10000000,0))</f>
        <v>0</v>
      </c>
      <c r="Q4042" s="47" t="n">
        <f aca="false">IF(OR($A4042="",C4042=""),0,IF(COUNTIF($C$2:C4042,C4042)=1,SUMIF($C$2:$C$5001,C4042,$H$2:$H$5001)+ROW()/10000000,0))</f>
        <v>0</v>
      </c>
    </row>
    <row r="4043" customFormat="false" ht="15" hidden="false" customHeight="false" outlineLevel="0" collapsed="false">
      <c r="A4043" s="43"/>
      <c r="B4043" s="44"/>
      <c r="C4043" s="44"/>
      <c r="D4043" s="44"/>
      <c r="E4043" s="44"/>
      <c r="F4043" s="44"/>
      <c r="G4043" s="44"/>
      <c r="H4043" s="46" t="str">
        <f aca="false">IF($A4043="","",IF(OR(NOT(ISNUMBER(E4043)),NOT(ISNUMBER(F4043))),"",MAX(0,E4043)*F4043))</f>
        <v/>
      </c>
      <c r="I4043" s="46" t="str">
        <f aca="false">IF($A4043="","",SUMIF($A$2:$A$5001,$A4043,$H$2:$H$5001))</f>
        <v/>
      </c>
      <c r="J4043" s="47" t="n">
        <f aca="false">IF($A4043="",0,IF(COUNTIF($A$2:A4043,$A4043)=1,1,0))</f>
        <v>0</v>
      </c>
      <c r="K4043" s="47" t="n">
        <f aca="false">IF(J4043=1,N(I4043)+ROW()/10000000,0)</f>
        <v>0</v>
      </c>
      <c r="L4043" s="47" t="str">
        <f aca="false">IF(AND(J4043=1,N(I4043)&gt;0),SUMIF($K$2:$K$5001,"&gt;="&amp;K4043,$I$2:$I$5001)/MAX(1,SUM($H$2:$H$5001)),"")</f>
        <v/>
      </c>
      <c r="M4043" s="47" t="str">
        <f aca="false">IF($A4043="","",INDEX($L$2:$L$5001,MATCH($A4043,$A$2:$A$5001,0)))</f>
        <v/>
      </c>
      <c r="N4043" s="48" t="str">
        <f aca="false">IF($A4043="","",IF(N(M4043)=0,"–",IF(M4043&lt;=Start!$D$20,"A",IF(M4043&lt;=Start!$D$21,"B","C"))))</f>
        <v/>
      </c>
      <c r="O4043" s="48" t="str">
        <f aca="false">IF($A4043="","",IF(NOT(ISNUMBER(F4043)),"Wert fehlt; ",IF(F4043&lt;=0,"Wert ist 0; ",""))&amp;IF(NOT(ISNUMBER(E4043)),"Bestand fehlt; ",IF(E4043&lt;0,"Bestand negativ; ",IF(E4043=0,"Nullbestand; ","")))&amp;IF(D4043="","Warengruppe fehlt; ","")&amp;IF(B4043="","Bezeichnung fehlt; ","")&amp;IF(COUNTIFS($A$2:$A$5001,$A4043,$C$2:$C$5001,C4043)&gt;1,"Artikel doppelt im selben Lager; ",""))</f>
        <v/>
      </c>
      <c r="P4043" s="47" t="n">
        <f aca="false">IF(OR($A4043="",D4043=""),0,IF(COUNTIF($D$2:D4043,D4043)=1,SUMIF($D$2:$D$5001,D4043,$H$2:$H$5001)+ROW()/10000000,0))</f>
        <v>0</v>
      </c>
      <c r="Q4043" s="47" t="n">
        <f aca="false">IF(OR($A4043="",C4043=""),0,IF(COUNTIF($C$2:C4043,C4043)=1,SUMIF($C$2:$C$5001,C4043,$H$2:$H$5001)+ROW()/10000000,0))</f>
        <v>0</v>
      </c>
    </row>
    <row r="4044" customFormat="false" ht="15" hidden="false" customHeight="false" outlineLevel="0" collapsed="false">
      <c r="A4044" s="43"/>
      <c r="B4044" s="44"/>
      <c r="C4044" s="44"/>
      <c r="D4044" s="44"/>
      <c r="E4044" s="44"/>
      <c r="F4044" s="44"/>
      <c r="G4044" s="44"/>
      <c r="H4044" s="46" t="str">
        <f aca="false">IF($A4044="","",IF(OR(NOT(ISNUMBER(E4044)),NOT(ISNUMBER(F4044))),"",MAX(0,E4044)*F4044))</f>
        <v/>
      </c>
      <c r="I4044" s="46" t="str">
        <f aca="false">IF($A4044="","",SUMIF($A$2:$A$5001,$A4044,$H$2:$H$5001))</f>
        <v/>
      </c>
      <c r="J4044" s="47" t="n">
        <f aca="false">IF($A4044="",0,IF(COUNTIF($A$2:A4044,$A4044)=1,1,0))</f>
        <v>0</v>
      </c>
      <c r="K4044" s="47" t="n">
        <f aca="false">IF(J4044=1,N(I4044)+ROW()/10000000,0)</f>
        <v>0</v>
      </c>
      <c r="L4044" s="47" t="str">
        <f aca="false">IF(AND(J4044=1,N(I4044)&gt;0),SUMIF($K$2:$K$5001,"&gt;="&amp;K4044,$I$2:$I$5001)/MAX(1,SUM($H$2:$H$5001)),"")</f>
        <v/>
      </c>
      <c r="M4044" s="47" t="str">
        <f aca="false">IF($A4044="","",INDEX($L$2:$L$5001,MATCH($A4044,$A$2:$A$5001,0)))</f>
        <v/>
      </c>
      <c r="N4044" s="48" t="str">
        <f aca="false">IF($A4044="","",IF(N(M4044)=0,"–",IF(M4044&lt;=Start!$D$20,"A",IF(M4044&lt;=Start!$D$21,"B","C"))))</f>
        <v/>
      </c>
      <c r="O4044" s="48" t="str">
        <f aca="false">IF($A4044="","",IF(NOT(ISNUMBER(F4044)),"Wert fehlt; ",IF(F4044&lt;=0,"Wert ist 0; ",""))&amp;IF(NOT(ISNUMBER(E4044)),"Bestand fehlt; ",IF(E4044&lt;0,"Bestand negativ; ",IF(E4044=0,"Nullbestand; ","")))&amp;IF(D4044="","Warengruppe fehlt; ","")&amp;IF(B4044="","Bezeichnung fehlt; ","")&amp;IF(COUNTIFS($A$2:$A$5001,$A4044,$C$2:$C$5001,C4044)&gt;1,"Artikel doppelt im selben Lager; ",""))</f>
        <v/>
      </c>
      <c r="P4044" s="47" t="n">
        <f aca="false">IF(OR($A4044="",D4044=""),0,IF(COUNTIF($D$2:D4044,D4044)=1,SUMIF($D$2:$D$5001,D4044,$H$2:$H$5001)+ROW()/10000000,0))</f>
        <v>0</v>
      </c>
      <c r="Q4044" s="47" t="n">
        <f aca="false">IF(OR($A4044="",C4044=""),0,IF(COUNTIF($C$2:C4044,C4044)=1,SUMIF($C$2:$C$5001,C4044,$H$2:$H$5001)+ROW()/10000000,0))</f>
        <v>0</v>
      </c>
    </row>
    <row r="4045" customFormat="false" ht="15" hidden="false" customHeight="false" outlineLevel="0" collapsed="false">
      <c r="A4045" s="43"/>
      <c r="B4045" s="44"/>
      <c r="C4045" s="44"/>
      <c r="D4045" s="44"/>
      <c r="E4045" s="44"/>
      <c r="F4045" s="44"/>
      <c r="G4045" s="44"/>
      <c r="H4045" s="46" t="str">
        <f aca="false">IF($A4045="","",IF(OR(NOT(ISNUMBER(E4045)),NOT(ISNUMBER(F4045))),"",MAX(0,E4045)*F4045))</f>
        <v/>
      </c>
      <c r="I4045" s="46" t="str">
        <f aca="false">IF($A4045="","",SUMIF($A$2:$A$5001,$A4045,$H$2:$H$5001))</f>
        <v/>
      </c>
      <c r="J4045" s="47" t="n">
        <f aca="false">IF($A4045="",0,IF(COUNTIF($A$2:A4045,$A4045)=1,1,0))</f>
        <v>0</v>
      </c>
      <c r="K4045" s="47" t="n">
        <f aca="false">IF(J4045=1,N(I4045)+ROW()/10000000,0)</f>
        <v>0</v>
      </c>
      <c r="L4045" s="47" t="str">
        <f aca="false">IF(AND(J4045=1,N(I4045)&gt;0),SUMIF($K$2:$K$5001,"&gt;="&amp;K4045,$I$2:$I$5001)/MAX(1,SUM($H$2:$H$5001)),"")</f>
        <v/>
      </c>
      <c r="M4045" s="47" t="str">
        <f aca="false">IF($A4045="","",INDEX($L$2:$L$5001,MATCH($A4045,$A$2:$A$5001,0)))</f>
        <v/>
      </c>
      <c r="N4045" s="48" t="str">
        <f aca="false">IF($A4045="","",IF(N(M4045)=0,"–",IF(M4045&lt;=Start!$D$20,"A",IF(M4045&lt;=Start!$D$21,"B","C"))))</f>
        <v/>
      </c>
      <c r="O4045" s="48" t="str">
        <f aca="false">IF($A4045="","",IF(NOT(ISNUMBER(F4045)),"Wert fehlt; ",IF(F4045&lt;=0,"Wert ist 0; ",""))&amp;IF(NOT(ISNUMBER(E4045)),"Bestand fehlt; ",IF(E4045&lt;0,"Bestand negativ; ",IF(E4045=0,"Nullbestand; ","")))&amp;IF(D4045="","Warengruppe fehlt; ","")&amp;IF(B4045="","Bezeichnung fehlt; ","")&amp;IF(COUNTIFS($A$2:$A$5001,$A4045,$C$2:$C$5001,C4045)&gt;1,"Artikel doppelt im selben Lager; ",""))</f>
        <v/>
      </c>
      <c r="P4045" s="47" t="n">
        <f aca="false">IF(OR($A4045="",D4045=""),0,IF(COUNTIF($D$2:D4045,D4045)=1,SUMIF($D$2:$D$5001,D4045,$H$2:$H$5001)+ROW()/10000000,0))</f>
        <v>0</v>
      </c>
      <c r="Q4045" s="47" t="n">
        <f aca="false">IF(OR($A4045="",C4045=""),0,IF(COUNTIF($C$2:C4045,C4045)=1,SUMIF($C$2:$C$5001,C4045,$H$2:$H$5001)+ROW()/10000000,0))</f>
        <v>0</v>
      </c>
    </row>
    <row r="4046" customFormat="false" ht="15" hidden="false" customHeight="false" outlineLevel="0" collapsed="false">
      <c r="A4046" s="43"/>
      <c r="B4046" s="44"/>
      <c r="C4046" s="44"/>
      <c r="D4046" s="44"/>
      <c r="E4046" s="44"/>
      <c r="F4046" s="44"/>
      <c r="G4046" s="44"/>
      <c r="H4046" s="46" t="str">
        <f aca="false">IF($A4046="","",IF(OR(NOT(ISNUMBER(E4046)),NOT(ISNUMBER(F4046))),"",MAX(0,E4046)*F4046))</f>
        <v/>
      </c>
      <c r="I4046" s="46" t="str">
        <f aca="false">IF($A4046="","",SUMIF($A$2:$A$5001,$A4046,$H$2:$H$5001))</f>
        <v/>
      </c>
      <c r="J4046" s="47" t="n">
        <f aca="false">IF($A4046="",0,IF(COUNTIF($A$2:A4046,$A4046)=1,1,0))</f>
        <v>0</v>
      </c>
      <c r="K4046" s="47" t="n">
        <f aca="false">IF(J4046=1,N(I4046)+ROW()/10000000,0)</f>
        <v>0</v>
      </c>
      <c r="L4046" s="47" t="str">
        <f aca="false">IF(AND(J4046=1,N(I4046)&gt;0),SUMIF($K$2:$K$5001,"&gt;="&amp;K4046,$I$2:$I$5001)/MAX(1,SUM($H$2:$H$5001)),"")</f>
        <v/>
      </c>
      <c r="M4046" s="47" t="str">
        <f aca="false">IF($A4046="","",INDEX($L$2:$L$5001,MATCH($A4046,$A$2:$A$5001,0)))</f>
        <v/>
      </c>
      <c r="N4046" s="48" t="str">
        <f aca="false">IF($A4046="","",IF(N(M4046)=0,"–",IF(M4046&lt;=Start!$D$20,"A",IF(M4046&lt;=Start!$D$21,"B","C"))))</f>
        <v/>
      </c>
      <c r="O4046" s="48" t="str">
        <f aca="false">IF($A4046="","",IF(NOT(ISNUMBER(F4046)),"Wert fehlt; ",IF(F4046&lt;=0,"Wert ist 0; ",""))&amp;IF(NOT(ISNUMBER(E4046)),"Bestand fehlt; ",IF(E4046&lt;0,"Bestand negativ; ",IF(E4046=0,"Nullbestand; ","")))&amp;IF(D4046="","Warengruppe fehlt; ","")&amp;IF(B4046="","Bezeichnung fehlt; ","")&amp;IF(COUNTIFS($A$2:$A$5001,$A4046,$C$2:$C$5001,C4046)&gt;1,"Artikel doppelt im selben Lager; ",""))</f>
        <v/>
      </c>
      <c r="P4046" s="47" t="n">
        <f aca="false">IF(OR($A4046="",D4046=""),0,IF(COUNTIF($D$2:D4046,D4046)=1,SUMIF($D$2:$D$5001,D4046,$H$2:$H$5001)+ROW()/10000000,0))</f>
        <v>0</v>
      </c>
      <c r="Q4046" s="47" t="n">
        <f aca="false">IF(OR($A4046="",C4046=""),0,IF(COUNTIF($C$2:C4046,C4046)=1,SUMIF($C$2:$C$5001,C4046,$H$2:$H$5001)+ROW()/10000000,0))</f>
        <v>0</v>
      </c>
    </row>
    <row r="4047" customFormat="false" ht="15" hidden="false" customHeight="false" outlineLevel="0" collapsed="false">
      <c r="A4047" s="43"/>
      <c r="B4047" s="44"/>
      <c r="C4047" s="44"/>
      <c r="D4047" s="44"/>
      <c r="E4047" s="44"/>
      <c r="F4047" s="44"/>
      <c r="G4047" s="44"/>
      <c r="H4047" s="46" t="str">
        <f aca="false">IF($A4047="","",IF(OR(NOT(ISNUMBER(E4047)),NOT(ISNUMBER(F4047))),"",MAX(0,E4047)*F4047))</f>
        <v/>
      </c>
      <c r="I4047" s="46" t="str">
        <f aca="false">IF($A4047="","",SUMIF($A$2:$A$5001,$A4047,$H$2:$H$5001))</f>
        <v/>
      </c>
      <c r="J4047" s="47" t="n">
        <f aca="false">IF($A4047="",0,IF(COUNTIF($A$2:A4047,$A4047)=1,1,0))</f>
        <v>0</v>
      </c>
      <c r="K4047" s="47" t="n">
        <f aca="false">IF(J4047=1,N(I4047)+ROW()/10000000,0)</f>
        <v>0</v>
      </c>
      <c r="L4047" s="47" t="str">
        <f aca="false">IF(AND(J4047=1,N(I4047)&gt;0),SUMIF($K$2:$K$5001,"&gt;="&amp;K4047,$I$2:$I$5001)/MAX(1,SUM($H$2:$H$5001)),"")</f>
        <v/>
      </c>
      <c r="M4047" s="47" t="str">
        <f aca="false">IF($A4047="","",INDEX($L$2:$L$5001,MATCH($A4047,$A$2:$A$5001,0)))</f>
        <v/>
      </c>
      <c r="N4047" s="48" t="str">
        <f aca="false">IF($A4047="","",IF(N(M4047)=0,"–",IF(M4047&lt;=Start!$D$20,"A",IF(M4047&lt;=Start!$D$21,"B","C"))))</f>
        <v/>
      </c>
      <c r="O4047" s="48" t="str">
        <f aca="false">IF($A4047="","",IF(NOT(ISNUMBER(F4047)),"Wert fehlt; ",IF(F4047&lt;=0,"Wert ist 0; ",""))&amp;IF(NOT(ISNUMBER(E4047)),"Bestand fehlt; ",IF(E4047&lt;0,"Bestand negativ; ",IF(E4047=0,"Nullbestand; ","")))&amp;IF(D4047="","Warengruppe fehlt; ","")&amp;IF(B4047="","Bezeichnung fehlt; ","")&amp;IF(COUNTIFS($A$2:$A$5001,$A4047,$C$2:$C$5001,C4047)&gt;1,"Artikel doppelt im selben Lager; ",""))</f>
        <v/>
      </c>
      <c r="P4047" s="47" t="n">
        <f aca="false">IF(OR($A4047="",D4047=""),0,IF(COUNTIF($D$2:D4047,D4047)=1,SUMIF($D$2:$D$5001,D4047,$H$2:$H$5001)+ROW()/10000000,0))</f>
        <v>0</v>
      </c>
      <c r="Q4047" s="47" t="n">
        <f aca="false">IF(OR($A4047="",C4047=""),0,IF(COUNTIF($C$2:C4047,C4047)=1,SUMIF($C$2:$C$5001,C4047,$H$2:$H$5001)+ROW()/10000000,0))</f>
        <v>0</v>
      </c>
    </row>
    <row r="4048" customFormat="false" ht="15" hidden="false" customHeight="false" outlineLevel="0" collapsed="false">
      <c r="A4048" s="43"/>
      <c r="B4048" s="44"/>
      <c r="C4048" s="44"/>
      <c r="D4048" s="44"/>
      <c r="E4048" s="44"/>
      <c r="F4048" s="44"/>
      <c r="G4048" s="44"/>
      <c r="H4048" s="46" t="str">
        <f aca="false">IF($A4048="","",IF(OR(NOT(ISNUMBER(E4048)),NOT(ISNUMBER(F4048))),"",MAX(0,E4048)*F4048))</f>
        <v/>
      </c>
      <c r="I4048" s="46" t="str">
        <f aca="false">IF($A4048="","",SUMIF($A$2:$A$5001,$A4048,$H$2:$H$5001))</f>
        <v/>
      </c>
      <c r="J4048" s="47" t="n">
        <f aca="false">IF($A4048="",0,IF(COUNTIF($A$2:A4048,$A4048)=1,1,0))</f>
        <v>0</v>
      </c>
      <c r="K4048" s="47" t="n">
        <f aca="false">IF(J4048=1,N(I4048)+ROW()/10000000,0)</f>
        <v>0</v>
      </c>
      <c r="L4048" s="47" t="str">
        <f aca="false">IF(AND(J4048=1,N(I4048)&gt;0),SUMIF($K$2:$K$5001,"&gt;="&amp;K4048,$I$2:$I$5001)/MAX(1,SUM($H$2:$H$5001)),"")</f>
        <v/>
      </c>
      <c r="M4048" s="47" t="str">
        <f aca="false">IF($A4048="","",INDEX($L$2:$L$5001,MATCH($A4048,$A$2:$A$5001,0)))</f>
        <v/>
      </c>
      <c r="N4048" s="48" t="str">
        <f aca="false">IF($A4048="","",IF(N(M4048)=0,"–",IF(M4048&lt;=Start!$D$20,"A",IF(M4048&lt;=Start!$D$21,"B","C"))))</f>
        <v/>
      </c>
      <c r="O4048" s="48" t="str">
        <f aca="false">IF($A4048="","",IF(NOT(ISNUMBER(F4048)),"Wert fehlt; ",IF(F4048&lt;=0,"Wert ist 0; ",""))&amp;IF(NOT(ISNUMBER(E4048)),"Bestand fehlt; ",IF(E4048&lt;0,"Bestand negativ; ",IF(E4048=0,"Nullbestand; ","")))&amp;IF(D4048="","Warengruppe fehlt; ","")&amp;IF(B4048="","Bezeichnung fehlt; ","")&amp;IF(COUNTIFS($A$2:$A$5001,$A4048,$C$2:$C$5001,C4048)&gt;1,"Artikel doppelt im selben Lager; ",""))</f>
        <v/>
      </c>
      <c r="P4048" s="47" t="n">
        <f aca="false">IF(OR($A4048="",D4048=""),0,IF(COUNTIF($D$2:D4048,D4048)=1,SUMIF($D$2:$D$5001,D4048,$H$2:$H$5001)+ROW()/10000000,0))</f>
        <v>0</v>
      </c>
      <c r="Q4048" s="47" t="n">
        <f aca="false">IF(OR($A4048="",C4048=""),0,IF(COUNTIF($C$2:C4048,C4048)=1,SUMIF($C$2:$C$5001,C4048,$H$2:$H$5001)+ROW()/10000000,0))</f>
        <v>0</v>
      </c>
    </row>
    <row r="4049" customFormat="false" ht="15" hidden="false" customHeight="false" outlineLevel="0" collapsed="false">
      <c r="A4049" s="43"/>
      <c r="B4049" s="44"/>
      <c r="C4049" s="44"/>
      <c r="D4049" s="44"/>
      <c r="E4049" s="44"/>
      <c r="F4049" s="44"/>
      <c r="G4049" s="44"/>
      <c r="H4049" s="46" t="str">
        <f aca="false">IF($A4049="","",IF(OR(NOT(ISNUMBER(E4049)),NOT(ISNUMBER(F4049))),"",MAX(0,E4049)*F4049))</f>
        <v/>
      </c>
      <c r="I4049" s="46" t="str">
        <f aca="false">IF($A4049="","",SUMIF($A$2:$A$5001,$A4049,$H$2:$H$5001))</f>
        <v/>
      </c>
      <c r="J4049" s="47" t="n">
        <f aca="false">IF($A4049="",0,IF(COUNTIF($A$2:A4049,$A4049)=1,1,0))</f>
        <v>0</v>
      </c>
      <c r="K4049" s="47" t="n">
        <f aca="false">IF(J4049=1,N(I4049)+ROW()/10000000,0)</f>
        <v>0</v>
      </c>
      <c r="L4049" s="47" t="str">
        <f aca="false">IF(AND(J4049=1,N(I4049)&gt;0),SUMIF($K$2:$K$5001,"&gt;="&amp;K4049,$I$2:$I$5001)/MAX(1,SUM($H$2:$H$5001)),"")</f>
        <v/>
      </c>
      <c r="M4049" s="47" t="str">
        <f aca="false">IF($A4049="","",INDEX($L$2:$L$5001,MATCH($A4049,$A$2:$A$5001,0)))</f>
        <v/>
      </c>
      <c r="N4049" s="48" t="str">
        <f aca="false">IF($A4049="","",IF(N(M4049)=0,"–",IF(M4049&lt;=Start!$D$20,"A",IF(M4049&lt;=Start!$D$21,"B","C"))))</f>
        <v/>
      </c>
      <c r="O4049" s="48" t="str">
        <f aca="false">IF($A4049="","",IF(NOT(ISNUMBER(F4049)),"Wert fehlt; ",IF(F4049&lt;=0,"Wert ist 0; ",""))&amp;IF(NOT(ISNUMBER(E4049)),"Bestand fehlt; ",IF(E4049&lt;0,"Bestand negativ; ",IF(E4049=0,"Nullbestand; ","")))&amp;IF(D4049="","Warengruppe fehlt; ","")&amp;IF(B4049="","Bezeichnung fehlt; ","")&amp;IF(COUNTIFS($A$2:$A$5001,$A4049,$C$2:$C$5001,C4049)&gt;1,"Artikel doppelt im selben Lager; ",""))</f>
        <v/>
      </c>
      <c r="P4049" s="47" t="n">
        <f aca="false">IF(OR($A4049="",D4049=""),0,IF(COUNTIF($D$2:D4049,D4049)=1,SUMIF($D$2:$D$5001,D4049,$H$2:$H$5001)+ROW()/10000000,0))</f>
        <v>0</v>
      </c>
      <c r="Q4049" s="47" t="n">
        <f aca="false">IF(OR($A4049="",C4049=""),0,IF(COUNTIF($C$2:C4049,C4049)=1,SUMIF($C$2:$C$5001,C4049,$H$2:$H$5001)+ROW()/10000000,0))</f>
        <v>0</v>
      </c>
    </row>
    <row r="4050" customFormat="false" ht="15" hidden="false" customHeight="false" outlineLevel="0" collapsed="false">
      <c r="A4050" s="43"/>
      <c r="B4050" s="44"/>
      <c r="C4050" s="44"/>
      <c r="D4050" s="44"/>
      <c r="E4050" s="44"/>
      <c r="F4050" s="44"/>
      <c r="G4050" s="44"/>
      <c r="H4050" s="46" t="str">
        <f aca="false">IF($A4050="","",IF(OR(NOT(ISNUMBER(E4050)),NOT(ISNUMBER(F4050))),"",MAX(0,E4050)*F4050))</f>
        <v/>
      </c>
      <c r="I4050" s="46" t="str">
        <f aca="false">IF($A4050="","",SUMIF($A$2:$A$5001,$A4050,$H$2:$H$5001))</f>
        <v/>
      </c>
      <c r="J4050" s="47" t="n">
        <f aca="false">IF($A4050="",0,IF(COUNTIF($A$2:A4050,$A4050)=1,1,0))</f>
        <v>0</v>
      </c>
      <c r="K4050" s="47" t="n">
        <f aca="false">IF(J4050=1,N(I4050)+ROW()/10000000,0)</f>
        <v>0</v>
      </c>
      <c r="L4050" s="47" t="str">
        <f aca="false">IF(AND(J4050=1,N(I4050)&gt;0),SUMIF($K$2:$K$5001,"&gt;="&amp;K4050,$I$2:$I$5001)/MAX(1,SUM($H$2:$H$5001)),"")</f>
        <v/>
      </c>
      <c r="M4050" s="47" t="str">
        <f aca="false">IF($A4050="","",INDEX($L$2:$L$5001,MATCH($A4050,$A$2:$A$5001,0)))</f>
        <v/>
      </c>
      <c r="N4050" s="48" t="str">
        <f aca="false">IF($A4050="","",IF(N(M4050)=0,"–",IF(M4050&lt;=Start!$D$20,"A",IF(M4050&lt;=Start!$D$21,"B","C"))))</f>
        <v/>
      </c>
      <c r="O4050" s="48" t="str">
        <f aca="false">IF($A4050="","",IF(NOT(ISNUMBER(F4050)),"Wert fehlt; ",IF(F4050&lt;=0,"Wert ist 0; ",""))&amp;IF(NOT(ISNUMBER(E4050)),"Bestand fehlt; ",IF(E4050&lt;0,"Bestand negativ; ",IF(E4050=0,"Nullbestand; ","")))&amp;IF(D4050="","Warengruppe fehlt; ","")&amp;IF(B4050="","Bezeichnung fehlt; ","")&amp;IF(COUNTIFS($A$2:$A$5001,$A4050,$C$2:$C$5001,C4050)&gt;1,"Artikel doppelt im selben Lager; ",""))</f>
        <v/>
      </c>
      <c r="P4050" s="47" t="n">
        <f aca="false">IF(OR($A4050="",D4050=""),0,IF(COUNTIF($D$2:D4050,D4050)=1,SUMIF($D$2:$D$5001,D4050,$H$2:$H$5001)+ROW()/10000000,0))</f>
        <v>0</v>
      </c>
      <c r="Q4050" s="47" t="n">
        <f aca="false">IF(OR($A4050="",C4050=""),0,IF(COUNTIF($C$2:C4050,C4050)=1,SUMIF($C$2:$C$5001,C4050,$H$2:$H$5001)+ROW()/10000000,0))</f>
        <v>0</v>
      </c>
    </row>
    <row r="4051" customFormat="false" ht="15" hidden="false" customHeight="false" outlineLevel="0" collapsed="false">
      <c r="A4051" s="43"/>
      <c r="B4051" s="44"/>
      <c r="C4051" s="44"/>
      <c r="D4051" s="44"/>
      <c r="E4051" s="44"/>
      <c r="F4051" s="44"/>
      <c r="G4051" s="44"/>
      <c r="H4051" s="46" t="str">
        <f aca="false">IF($A4051="","",IF(OR(NOT(ISNUMBER(E4051)),NOT(ISNUMBER(F4051))),"",MAX(0,E4051)*F4051))</f>
        <v/>
      </c>
      <c r="I4051" s="46" t="str">
        <f aca="false">IF($A4051="","",SUMIF($A$2:$A$5001,$A4051,$H$2:$H$5001))</f>
        <v/>
      </c>
      <c r="J4051" s="47" t="n">
        <f aca="false">IF($A4051="",0,IF(COUNTIF($A$2:A4051,$A4051)=1,1,0))</f>
        <v>0</v>
      </c>
      <c r="K4051" s="47" t="n">
        <f aca="false">IF(J4051=1,N(I4051)+ROW()/10000000,0)</f>
        <v>0</v>
      </c>
      <c r="L4051" s="47" t="str">
        <f aca="false">IF(AND(J4051=1,N(I4051)&gt;0),SUMIF($K$2:$K$5001,"&gt;="&amp;K4051,$I$2:$I$5001)/MAX(1,SUM($H$2:$H$5001)),"")</f>
        <v/>
      </c>
      <c r="M4051" s="47" t="str">
        <f aca="false">IF($A4051="","",INDEX($L$2:$L$5001,MATCH($A4051,$A$2:$A$5001,0)))</f>
        <v/>
      </c>
      <c r="N4051" s="48" t="str">
        <f aca="false">IF($A4051="","",IF(N(M4051)=0,"–",IF(M4051&lt;=Start!$D$20,"A",IF(M4051&lt;=Start!$D$21,"B","C"))))</f>
        <v/>
      </c>
      <c r="O4051" s="48" t="str">
        <f aca="false">IF($A4051="","",IF(NOT(ISNUMBER(F4051)),"Wert fehlt; ",IF(F4051&lt;=0,"Wert ist 0; ",""))&amp;IF(NOT(ISNUMBER(E4051)),"Bestand fehlt; ",IF(E4051&lt;0,"Bestand negativ; ",IF(E4051=0,"Nullbestand; ","")))&amp;IF(D4051="","Warengruppe fehlt; ","")&amp;IF(B4051="","Bezeichnung fehlt; ","")&amp;IF(COUNTIFS($A$2:$A$5001,$A4051,$C$2:$C$5001,C4051)&gt;1,"Artikel doppelt im selben Lager; ",""))</f>
        <v/>
      </c>
      <c r="P4051" s="47" t="n">
        <f aca="false">IF(OR($A4051="",D4051=""),0,IF(COUNTIF($D$2:D4051,D4051)=1,SUMIF($D$2:$D$5001,D4051,$H$2:$H$5001)+ROW()/10000000,0))</f>
        <v>0</v>
      </c>
      <c r="Q4051" s="47" t="n">
        <f aca="false">IF(OR($A4051="",C4051=""),0,IF(COUNTIF($C$2:C4051,C4051)=1,SUMIF($C$2:$C$5001,C4051,$H$2:$H$5001)+ROW()/10000000,0))</f>
        <v>0</v>
      </c>
    </row>
    <row r="4052" customFormat="false" ht="15" hidden="false" customHeight="false" outlineLevel="0" collapsed="false">
      <c r="A4052" s="43"/>
      <c r="B4052" s="44"/>
      <c r="C4052" s="44"/>
      <c r="D4052" s="44"/>
      <c r="E4052" s="44"/>
      <c r="F4052" s="44"/>
      <c r="G4052" s="44"/>
      <c r="H4052" s="46" t="str">
        <f aca="false">IF($A4052="","",IF(OR(NOT(ISNUMBER(E4052)),NOT(ISNUMBER(F4052))),"",MAX(0,E4052)*F4052))</f>
        <v/>
      </c>
      <c r="I4052" s="46" t="str">
        <f aca="false">IF($A4052="","",SUMIF($A$2:$A$5001,$A4052,$H$2:$H$5001))</f>
        <v/>
      </c>
      <c r="J4052" s="47" t="n">
        <f aca="false">IF($A4052="",0,IF(COUNTIF($A$2:A4052,$A4052)=1,1,0))</f>
        <v>0</v>
      </c>
      <c r="K4052" s="47" t="n">
        <f aca="false">IF(J4052=1,N(I4052)+ROW()/10000000,0)</f>
        <v>0</v>
      </c>
      <c r="L4052" s="47" t="str">
        <f aca="false">IF(AND(J4052=1,N(I4052)&gt;0),SUMIF($K$2:$K$5001,"&gt;="&amp;K4052,$I$2:$I$5001)/MAX(1,SUM($H$2:$H$5001)),"")</f>
        <v/>
      </c>
      <c r="M4052" s="47" t="str">
        <f aca="false">IF($A4052="","",INDEX($L$2:$L$5001,MATCH($A4052,$A$2:$A$5001,0)))</f>
        <v/>
      </c>
      <c r="N4052" s="48" t="str">
        <f aca="false">IF($A4052="","",IF(N(M4052)=0,"–",IF(M4052&lt;=Start!$D$20,"A",IF(M4052&lt;=Start!$D$21,"B","C"))))</f>
        <v/>
      </c>
      <c r="O4052" s="48" t="str">
        <f aca="false">IF($A4052="","",IF(NOT(ISNUMBER(F4052)),"Wert fehlt; ",IF(F4052&lt;=0,"Wert ist 0; ",""))&amp;IF(NOT(ISNUMBER(E4052)),"Bestand fehlt; ",IF(E4052&lt;0,"Bestand negativ; ",IF(E4052=0,"Nullbestand; ","")))&amp;IF(D4052="","Warengruppe fehlt; ","")&amp;IF(B4052="","Bezeichnung fehlt; ","")&amp;IF(COUNTIFS($A$2:$A$5001,$A4052,$C$2:$C$5001,C4052)&gt;1,"Artikel doppelt im selben Lager; ",""))</f>
        <v/>
      </c>
      <c r="P4052" s="47" t="n">
        <f aca="false">IF(OR($A4052="",D4052=""),0,IF(COUNTIF($D$2:D4052,D4052)=1,SUMIF($D$2:$D$5001,D4052,$H$2:$H$5001)+ROW()/10000000,0))</f>
        <v>0</v>
      </c>
      <c r="Q4052" s="47" t="n">
        <f aca="false">IF(OR($A4052="",C4052=""),0,IF(COUNTIF($C$2:C4052,C4052)=1,SUMIF($C$2:$C$5001,C4052,$H$2:$H$5001)+ROW()/10000000,0))</f>
        <v>0</v>
      </c>
    </row>
    <row r="4053" customFormat="false" ht="15" hidden="false" customHeight="false" outlineLevel="0" collapsed="false">
      <c r="A4053" s="43"/>
      <c r="B4053" s="44"/>
      <c r="C4053" s="44"/>
      <c r="D4053" s="44"/>
      <c r="E4053" s="44"/>
      <c r="F4053" s="44"/>
      <c r="G4053" s="44"/>
      <c r="H4053" s="46" t="str">
        <f aca="false">IF($A4053="","",IF(OR(NOT(ISNUMBER(E4053)),NOT(ISNUMBER(F4053))),"",MAX(0,E4053)*F4053))</f>
        <v/>
      </c>
      <c r="I4053" s="46" t="str">
        <f aca="false">IF($A4053="","",SUMIF($A$2:$A$5001,$A4053,$H$2:$H$5001))</f>
        <v/>
      </c>
      <c r="J4053" s="47" t="n">
        <f aca="false">IF($A4053="",0,IF(COUNTIF($A$2:A4053,$A4053)=1,1,0))</f>
        <v>0</v>
      </c>
      <c r="K4053" s="47" t="n">
        <f aca="false">IF(J4053=1,N(I4053)+ROW()/10000000,0)</f>
        <v>0</v>
      </c>
      <c r="L4053" s="47" t="str">
        <f aca="false">IF(AND(J4053=1,N(I4053)&gt;0),SUMIF($K$2:$K$5001,"&gt;="&amp;K4053,$I$2:$I$5001)/MAX(1,SUM($H$2:$H$5001)),"")</f>
        <v/>
      </c>
      <c r="M4053" s="47" t="str">
        <f aca="false">IF($A4053="","",INDEX($L$2:$L$5001,MATCH($A4053,$A$2:$A$5001,0)))</f>
        <v/>
      </c>
      <c r="N4053" s="48" t="str">
        <f aca="false">IF($A4053="","",IF(N(M4053)=0,"–",IF(M4053&lt;=Start!$D$20,"A",IF(M4053&lt;=Start!$D$21,"B","C"))))</f>
        <v/>
      </c>
      <c r="O4053" s="48" t="str">
        <f aca="false">IF($A4053="","",IF(NOT(ISNUMBER(F4053)),"Wert fehlt; ",IF(F4053&lt;=0,"Wert ist 0; ",""))&amp;IF(NOT(ISNUMBER(E4053)),"Bestand fehlt; ",IF(E4053&lt;0,"Bestand negativ; ",IF(E4053=0,"Nullbestand; ","")))&amp;IF(D4053="","Warengruppe fehlt; ","")&amp;IF(B4053="","Bezeichnung fehlt; ","")&amp;IF(COUNTIFS($A$2:$A$5001,$A4053,$C$2:$C$5001,C4053)&gt;1,"Artikel doppelt im selben Lager; ",""))</f>
        <v/>
      </c>
      <c r="P4053" s="47" t="n">
        <f aca="false">IF(OR($A4053="",D4053=""),0,IF(COUNTIF($D$2:D4053,D4053)=1,SUMIF($D$2:$D$5001,D4053,$H$2:$H$5001)+ROW()/10000000,0))</f>
        <v>0</v>
      </c>
      <c r="Q4053" s="47" t="n">
        <f aca="false">IF(OR($A4053="",C4053=""),0,IF(COUNTIF($C$2:C4053,C4053)=1,SUMIF($C$2:$C$5001,C4053,$H$2:$H$5001)+ROW()/10000000,0))</f>
        <v>0</v>
      </c>
    </row>
    <row r="4054" customFormat="false" ht="15" hidden="false" customHeight="false" outlineLevel="0" collapsed="false">
      <c r="A4054" s="43"/>
      <c r="B4054" s="44"/>
      <c r="C4054" s="44"/>
      <c r="D4054" s="44"/>
      <c r="E4054" s="44"/>
      <c r="F4054" s="44"/>
      <c r="G4054" s="44"/>
      <c r="H4054" s="46" t="str">
        <f aca="false">IF($A4054="","",IF(OR(NOT(ISNUMBER(E4054)),NOT(ISNUMBER(F4054))),"",MAX(0,E4054)*F4054))</f>
        <v/>
      </c>
      <c r="I4054" s="46" t="str">
        <f aca="false">IF($A4054="","",SUMIF($A$2:$A$5001,$A4054,$H$2:$H$5001))</f>
        <v/>
      </c>
      <c r="J4054" s="47" t="n">
        <f aca="false">IF($A4054="",0,IF(COUNTIF($A$2:A4054,$A4054)=1,1,0))</f>
        <v>0</v>
      </c>
      <c r="K4054" s="47" t="n">
        <f aca="false">IF(J4054=1,N(I4054)+ROW()/10000000,0)</f>
        <v>0</v>
      </c>
      <c r="L4054" s="47" t="str">
        <f aca="false">IF(AND(J4054=1,N(I4054)&gt;0),SUMIF($K$2:$K$5001,"&gt;="&amp;K4054,$I$2:$I$5001)/MAX(1,SUM($H$2:$H$5001)),"")</f>
        <v/>
      </c>
      <c r="M4054" s="47" t="str">
        <f aca="false">IF($A4054="","",INDEX($L$2:$L$5001,MATCH($A4054,$A$2:$A$5001,0)))</f>
        <v/>
      </c>
      <c r="N4054" s="48" t="str">
        <f aca="false">IF($A4054="","",IF(N(M4054)=0,"–",IF(M4054&lt;=Start!$D$20,"A",IF(M4054&lt;=Start!$D$21,"B","C"))))</f>
        <v/>
      </c>
      <c r="O4054" s="48" t="str">
        <f aca="false">IF($A4054="","",IF(NOT(ISNUMBER(F4054)),"Wert fehlt; ",IF(F4054&lt;=0,"Wert ist 0; ",""))&amp;IF(NOT(ISNUMBER(E4054)),"Bestand fehlt; ",IF(E4054&lt;0,"Bestand negativ; ",IF(E4054=0,"Nullbestand; ","")))&amp;IF(D4054="","Warengruppe fehlt; ","")&amp;IF(B4054="","Bezeichnung fehlt; ","")&amp;IF(COUNTIFS($A$2:$A$5001,$A4054,$C$2:$C$5001,C4054)&gt;1,"Artikel doppelt im selben Lager; ",""))</f>
        <v/>
      </c>
      <c r="P4054" s="47" t="n">
        <f aca="false">IF(OR($A4054="",D4054=""),0,IF(COUNTIF($D$2:D4054,D4054)=1,SUMIF($D$2:$D$5001,D4054,$H$2:$H$5001)+ROW()/10000000,0))</f>
        <v>0</v>
      </c>
      <c r="Q4054" s="47" t="n">
        <f aca="false">IF(OR($A4054="",C4054=""),0,IF(COUNTIF($C$2:C4054,C4054)=1,SUMIF($C$2:$C$5001,C4054,$H$2:$H$5001)+ROW()/10000000,0))</f>
        <v>0</v>
      </c>
    </row>
    <row r="4055" customFormat="false" ht="15" hidden="false" customHeight="false" outlineLevel="0" collapsed="false">
      <c r="A4055" s="43"/>
      <c r="B4055" s="44"/>
      <c r="C4055" s="44"/>
      <c r="D4055" s="44"/>
      <c r="E4055" s="44"/>
      <c r="F4055" s="44"/>
      <c r="G4055" s="44"/>
      <c r="H4055" s="46" t="str">
        <f aca="false">IF($A4055="","",IF(OR(NOT(ISNUMBER(E4055)),NOT(ISNUMBER(F4055))),"",MAX(0,E4055)*F4055))</f>
        <v/>
      </c>
      <c r="I4055" s="46" t="str">
        <f aca="false">IF($A4055="","",SUMIF($A$2:$A$5001,$A4055,$H$2:$H$5001))</f>
        <v/>
      </c>
      <c r="J4055" s="47" t="n">
        <f aca="false">IF($A4055="",0,IF(COUNTIF($A$2:A4055,$A4055)=1,1,0))</f>
        <v>0</v>
      </c>
      <c r="K4055" s="47" t="n">
        <f aca="false">IF(J4055=1,N(I4055)+ROW()/10000000,0)</f>
        <v>0</v>
      </c>
      <c r="L4055" s="47" t="str">
        <f aca="false">IF(AND(J4055=1,N(I4055)&gt;0),SUMIF($K$2:$K$5001,"&gt;="&amp;K4055,$I$2:$I$5001)/MAX(1,SUM($H$2:$H$5001)),"")</f>
        <v/>
      </c>
      <c r="M4055" s="47" t="str">
        <f aca="false">IF($A4055="","",INDEX($L$2:$L$5001,MATCH($A4055,$A$2:$A$5001,0)))</f>
        <v/>
      </c>
      <c r="N4055" s="48" t="str">
        <f aca="false">IF($A4055="","",IF(N(M4055)=0,"–",IF(M4055&lt;=Start!$D$20,"A",IF(M4055&lt;=Start!$D$21,"B","C"))))</f>
        <v/>
      </c>
      <c r="O4055" s="48" t="str">
        <f aca="false">IF($A4055="","",IF(NOT(ISNUMBER(F4055)),"Wert fehlt; ",IF(F4055&lt;=0,"Wert ist 0; ",""))&amp;IF(NOT(ISNUMBER(E4055)),"Bestand fehlt; ",IF(E4055&lt;0,"Bestand negativ; ",IF(E4055=0,"Nullbestand; ","")))&amp;IF(D4055="","Warengruppe fehlt; ","")&amp;IF(B4055="","Bezeichnung fehlt; ","")&amp;IF(COUNTIFS($A$2:$A$5001,$A4055,$C$2:$C$5001,C4055)&gt;1,"Artikel doppelt im selben Lager; ",""))</f>
        <v/>
      </c>
      <c r="P4055" s="47" t="n">
        <f aca="false">IF(OR($A4055="",D4055=""),0,IF(COUNTIF($D$2:D4055,D4055)=1,SUMIF($D$2:$D$5001,D4055,$H$2:$H$5001)+ROW()/10000000,0))</f>
        <v>0</v>
      </c>
      <c r="Q4055" s="47" t="n">
        <f aca="false">IF(OR($A4055="",C4055=""),0,IF(COUNTIF($C$2:C4055,C4055)=1,SUMIF($C$2:$C$5001,C4055,$H$2:$H$5001)+ROW()/10000000,0))</f>
        <v>0</v>
      </c>
    </row>
    <row r="4056" customFormat="false" ht="15" hidden="false" customHeight="false" outlineLevel="0" collapsed="false">
      <c r="A4056" s="43"/>
      <c r="B4056" s="44"/>
      <c r="C4056" s="44"/>
      <c r="D4056" s="44"/>
      <c r="E4056" s="44"/>
      <c r="F4056" s="44"/>
      <c r="G4056" s="44"/>
      <c r="H4056" s="46" t="str">
        <f aca="false">IF($A4056="","",IF(OR(NOT(ISNUMBER(E4056)),NOT(ISNUMBER(F4056))),"",MAX(0,E4056)*F4056))</f>
        <v/>
      </c>
      <c r="I4056" s="46" t="str">
        <f aca="false">IF($A4056="","",SUMIF($A$2:$A$5001,$A4056,$H$2:$H$5001))</f>
        <v/>
      </c>
      <c r="J4056" s="47" t="n">
        <f aca="false">IF($A4056="",0,IF(COUNTIF($A$2:A4056,$A4056)=1,1,0))</f>
        <v>0</v>
      </c>
      <c r="K4056" s="47" t="n">
        <f aca="false">IF(J4056=1,N(I4056)+ROW()/10000000,0)</f>
        <v>0</v>
      </c>
      <c r="L4056" s="47" t="str">
        <f aca="false">IF(AND(J4056=1,N(I4056)&gt;0),SUMIF($K$2:$K$5001,"&gt;="&amp;K4056,$I$2:$I$5001)/MAX(1,SUM($H$2:$H$5001)),"")</f>
        <v/>
      </c>
      <c r="M4056" s="47" t="str">
        <f aca="false">IF($A4056="","",INDEX($L$2:$L$5001,MATCH($A4056,$A$2:$A$5001,0)))</f>
        <v/>
      </c>
      <c r="N4056" s="48" t="str">
        <f aca="false">IF($A4056="","",IF(N(M4056)=0,"–",IF(M4056&lt;=Start!$D$20,"A",IF(M4056&lt;=Start!$D$21,"B","C"))))</f>
        <v/>
      </c>
      <c r="O4056" s="48" t="str">
        <f aca="false">IF($A4056="","",IF(NOT(ISNUMBER(F4056)),"Wert fehlt; ",IF(F4056&lt;=0,"Wert ist 0; ",""))&amp;IF(NOT(ISNUMBER(E4056)),"Bestand fehlt; ",IF(E4056&lt;0,"Bestand negativ; ",IF(E4056=0,"Nullbestand; ","")))&amp;IF(D4056="","Warengruppe fehlt; ","")&amp;IF(B4056="","Bezeichnung fehlt; ","")&amp;IF(COUNTIFS($A$2:$A$5001,$A4056,$C$2:$C$5001,C4056)&gt;1,"Artikel doppelt im selben Lager; ",""))</f>
        <v/>
      </c>
      <c r="P4056" s="47" t="n">
        <f aca="false">IF(OR($A4056="",D4056=""),0,IF(COUNTIF($D$2:D4056,D4056)=1,SUMIF($D$2:$D$5001,D4056,$H$2:$H$5001)+ROW()/10000000,0))</f>
        <v>0</v>
      </c>
      <c r="Q4056" s="47" t="n">
        <f aca="false">IF(OR($A4056="",C4056=""),0,IF(COUNTIF($C$2:C4056,C4056)=1,SUMIF($C$2:$C$5001,C4056,$H$2:$H$5001)+ROW()/10000000,0))</f>
        <v>0</v>
      </c>
    </row>
    <row r="4057" customFormat="false" ht="15" hidden="false" customHeight="false" outlineLevel="0" collapsed="false">
      <c r="A4057" s="43"/>
      <c r="B4057" s="44"/>
      <c r="C4057" s="44"/>
      <c r="D4057" s="44"/>
      <c r="E4057" s="44"/>
      <c r="F4057" s="44"/>
      <c r="G4057" s="44"/>
      <c r="H4057" s="46" t="str">
        <f aca="false">IF($A4057="","",IF(OR(NOT(ISNUMBER(E4057)),NOT(ISNUMBER(F4057))),"",MAX(0,E4057)*F4057))</f>
        <v/>
      </c>
      <c r="I4057" s="46" t="str">
        <f aca="false">IF($A4057="","",SUMIF($A$2:$A$5001,$A4057,$H$2:$H$5001))</f>
        <v/>
      </c>
      <c r="J4057" s="47" t="n">
        <f aca="false">IF($A4057="",0,IF(COUNTIF($A$2:A4057,$A4057)=1,1,0))</f>
        <v>0</v>
      </c>
      <c r="K4057" s="47" t="n">
        <f aca="false">IF(J4057=1,N(I4057)+ROW()/10000000,0)</f>
        <v>0</v>
      </c>
      <c r="L4057" s="47" t="str">
        <f aca="false">IF(AND(J4057=1,N(I4057)&gt;0),SUMIF($K$2:$K$5001,"&gt;="&amp;K4057,$I$2:$I$5001)/MAX(1,SUM($H$2:$H$5001)),"")</f>
        <v/>
      </c>
      <c r="M4057" s="47" t="str">
        <f aca="false">IF($A4057="","",INDEX($L$2:$L$5001,MATCH($A4057,$A$2:$A$5001,0)))</f>
        <v/>
      </c>
      <c r="N4057" s="48" t="str">
        <f aca="false">IF($A4057="","",IF(N(M4057)=0,"–",IF(M4057&lt;=Start!$D$20,"A",IF(M4057&lt;=Start!$D$21,"B","C"))))</f>
        <v/>
      </c>
      <c r="O4057" s="48" t="str">
        <f aca="false">IF($A4057="","",IF(NOT(ISNUMBER(F4057)),"Wert fehlt; ",IF(F4057&lt;=0,"Wert ist 0; ",""))&amp;IF(NOT(ISNUMBER(E4057)),"Bestand fehlt; ",IF(E4057&lt;0,"Bestand negativ; ",IF(E4057=0,"Nullbestand; ","")))&amp;IF(D4057="","Warengruppe fehlt; ","")&amp;IF(B4057="","Bezeichnung fehlt; ","")&amp;IF(COUNTIFS($A$2:$A$5001,$A4057,$C$2:$C$5001,C4057)&gt;1,"Artikel doppelt im selben Lager; ",""))</f>
        <v/>
      </c>
      <c r="P4057" s="47" t="n">
        <f aca="false">IF(OR($A4057="",D4057=""),0,IF(COUNTIF($D$2:D4057,D4057)=1,SUMIF($D$2:$D$5001,D4057,$H$2:$H$5001)+ROW()/10000000,0))</f>
        <v>0</v>
      </c>
      <c r="Q4057" s="47" t="n">
        <f aca="false">IF(OR($A4057="",C4057=""),0,IF(COUNTIF($C$2:C4057,C4057)=1,SUMIF($C$2:$C$5001,C4057,$H$2:$H$5001)+ROW()/10000000,0))</f>
        <v>0</v>
      </c>
    </row>
    <row r="4058" customFormat="false" ht="15" hidden="false" customHeight="false" outlineLevel="0" collapsed="false">
      <c r="A4058" s="43"/>
      <c r="B4058" s="44"/>
      <c r="C4058" s="44"/>
      <c r="D4058" s="44"/>
      <c r="E4058" s="44"/>
      <c r="F4058" s="44"/>
      <c r="G4058" s="44"/>
      <c r="H4058" s="46" t="str">
        <f aca="false">IF($A4058="","",IF(OR(NOT(ISNUMBER(E4058)),NOT(ISNUMBER(F4058))),"",MAX(0,E4058)*F4058))</f>
        <v/>
      </c>
      <c r="I4058" s="46" t="str">
        <f aca="false">IF($A4058="","",SUMIF($A$2:$A$5001,$A4058,$H$2:$H$5001))</f>
        <v/>
      </c>
      <c r="J4058" s="47" t="n">
        <f aca="false">IF($A4058="",0,IF(COUNTIF($A$2:A4058,$A4058)=1,1,0))</f>
        <v>0</v>
      </c>
      <c r="K4058" s="47" t="n">
        <f aca="false">IF(J4058=1,N(I4058)+ROW()/10000000,0)</f>
        <v>0</v>
      </c>
      <c r="L4058" s="47" t="str">
        <f aca="false">IF(AND(J4058=1,N(I4058)&gt;0),SUMIF($K$2:$K$5001,"&gt;="&amp;K4058,$I$2:$I$5001)/MAX(1,SUM($H$2:$H$5001)),"")</f>
        <v/>
      </c>
      <c r="M4058" s="47" t="str">
        <f aca="false">IF($A4058="","",INDEX($L$2:$L$5001,MATCH($A4058,$A$2:$A$5001,0)))</f>
        <v/>
      </c>
      <c r="N4058" s="48" t="str">
        <f aca="false">IF($A4058="","",IF(N(M4058)=0,"–",IF(M4058&lt;=Start!$D$20,"A",IF(M4058&lt;=Start!$D$21,"B","C"))))</f>
        <v/>
      </c>
      <c r="O4058" s="48" t="str">
        <f aca="false">IF($A4058="","",IF(NOT(ISNUMBER(F4058)),"Wert fehlt; ",IF(F4058&lt;=0,"Wert ist 0; ",""))&amp;IF(NOT(ISNUMBER(E4058)),"Bestand fehlt; ",IF(E4058&lt;0,"Bestand negativ; ",IF(E4058=0,"Nullbestand; ","")))&amp;IF(D4058="","Warengruppe fehlt; ","")&amp;IF(B4058="","Bezeichnung fehlt; ","")&amp;IF(COUNTIFS($A$2:$A$5001,$A4058,$C$2:$C$5001,C4058)&gt;1,"Artikel doppelt im selben Lager; ",""))</f>
        <v/>
      </c>
      <c r="P4058" s="47" t="n">
        <f aca="false">IF(OR($A4058="",D4058=""),0,IF(COUNTIF($D$2:D4058,D4058)=1,SUMIF($D$2:$D$5001,D4058,$H$2:$H$5001)+ROW()/10000000,0))</f>
        <v>0</v>
      </c>
      <c r="Q4058" s="47" t="n">
        <f aca="false">IF(OR($A4058="",C4058=""),0,IF(COUNTIF($C$2:C4058,C4058)=1,SUMIF($C$2:$C$5001,C4058,$H$2:$H$5001)+ROW()/10000000,0))</f>
        <v>0</v>
      </c>
    </row>
    <row r="4059" customFormat="false" ht="15" hidden="false" customHeight="false" outlineLevel="0" collapsed="false">
      <c r="A4059" s="43"/>
      <c r="B4059" s="44"/>
      <c r="C4059" s="44"/>
      <c r="D4059" s="44"/>
      <c r="E4059" s="44"/>
      <c r="F4059" s="44"/>
      <c r="G4059" s="44"/>
      <c r="H4059" s="46" t="str">
        <f aca="false">IF($A4059="","",IF(OR(NOT(ISNUMBER(E4059)),NOT(ISNUMBER(F4059))),"",MAX(0,E4059)*F4059))</f>
        <v/>
      </c>
      <c r="I4059" s="46" t="str">
        <f aca="false">IF($A4059="","",SUMIF($A$2:$A$5001,$A4059,$H$2:$H$5001))</f>
        <v/>
      </c>
      <c r="J4059" s="47" t="n">
        <f aca="false">IF($A4059="",0,IF(COUNTIF($A$2:A4059,$A4059)=1,1,0))</f>
        <v>0</v>
      </c>
      <c r="K4059" s="47" t="n">
        <f aca="false">IF(J4059=1,N(I4059)+ROW()/10000000,0)</f>
        <v>0</v>
      </c>
      <c r="L4059" s="47" t="str">
        <f aca="false">IF(AND(J4059=1,N(I4059)&gt;0),SUMIF($K$2:$K$5001,"&gt;="&amp;K4059,$I$2:$I$5001)/MAX(1,SUM($H$2:$H$5001)),"")</f>
        <v/>
      </c>
      <c r="M4059" s="47" t="str">
        <f aca="false">IF($A4059="","",INDEX($L$2:$L$5001,MATCH($A4059,$A$2:$A$5001,0)))</f>
        <v/>
      </c>
      <c r="N4059" s="48" t="str">
        <f aca="false">IF($A4059="","",IF(N(M4059)=0,"–",IF(M4059&lt;=Start!$D$20,"A",IF(M4059&lt;=Start!$D$21,"B","C"))))</f>
        <v/>
      </c>
      <c r="O4059" s="48" t="str">
        <f aca="false">IF($A4059="","",IF(NOT(ISNUMBER(F4059)),"Wert fehlt; ",IF(F4059&lt;=0,"Wert ist 0; ",""))&amp;IF(NOT(ISNUMBER(E4059)),"Bestand fehlt; ",IF(E4059&lt;0,"Bestand negativ; ",IF(E4059=0,"Nullbestand; ","")))&amp;IF(D4059="","Warengruppe fehlt; ","")&amp;IF(B4059="","Bezeichnung fehlt; ","")&amp;IF(COUNTIFS($A$2:$A$5001,$A4059,$C$2:$C$5001,C4059)&gt;1,"Artikel doppelt im selben Lager; ",""))</f>
        <v/>
      </c>
      <c r="P4059" s="47" t="n">
        <f aca="false">IF(OR($A4059="",D4059=""),0,IF(COUNTIF($D$2:D4059,D4059)=1,SUMIF($D$2:$D$5001,D4059,$H$2:$H$5001)+ROW()/10000000,0))</f>
        <v>0</v>
      </c>
      <c r="Q4059" s="47" t="n">
        <f aca="false">IF(OR($A4059="",C4059=""),0,IF(COUNTIF($C$2:C4059,C4059)=1,SUMIF($C$2:$C$5001,C4059,$H$2:$H$5001)+ROW()/10000000,0))</f>
        <v>0</v>
      </c>
    </row>
    <row r="4060" customFormat="false" ht="15" hidden="false" customHeight="false" outlineLevel="0" collapsed="false">
      <c r="A4060" s="43"/>
      <c r="B4060" s="44"/>
      <c r="C4060" s="44"/>
      <c r="D4060" s="44"/>
      <c r="E4060" s="44"/>
      <c r="F4060" s="44"/>
      <c r="G4060" s="44"/>
      <c r="H4060" s="46" t="str">
        <f aca="false">IF($A4060="","",IF(OR(NOT(ISNUMBER(E4060)),NOT(ISNUMBER(F4060))),"",MAX(0,E4060)*F4060))</f>
        <v/>
      </c>
      <c r="I4060" s="46" t="str">
        <f aca="false">IF($A4060="","",SUMIF($A$2:$A$5001,$A4060,$H$2:$H$5001))</f>
        <v/>
      </c>
      <c r="J4060" s="47" t="n">
        <f aca="false">IF($A4060="",0,IF(COUNTIF($A$2:A4060,$A4060)=1,1,0))</f>
        <v>0</v>
      </c>
      <c r="K4060" s="47" t="n">
        <f aca="false">IF(J4060=1,N(I4060)+ROW()/10000000,0)</f>
        <v>0</v>
      </c>
      <c r="L4060" s="47" t="str">
        <f aca="false">IF(AND(J4060=1,N(I4060)&gt;0),SUMIF($K$2:$K$5001,"&gt;="&amp;K4060,$I$2:$I$5001)/MAX(1,SUM($H$2:$H$5001)),"")</f>
        <v/>
      </c>
      <c r="M4060" s="47" t="str">
        <f aca="false">IF($A4060="","",INDEX($L$2:$L$5001,MATCH($A4060,$A$2:$A$5001,0)))</f>
        <v/>
      </c>
      <c r="N4060" s="48" t="str">
        <f aca="false">IF($A4060="","",IF(N(M4060)=0,"–",IF(M4060&lt;=Start!$D$20,"A",IF(M4060&lt;=Start!$D$21,"B","C"))))</f>
        <v/>
      </c>
      <c r="O4060" s="48" t="str">
        <f aca="false">IF($A4060="","",IF(NOT(ISNUMBER(F4060)),"Wert fehlt; ",IF(F4060&lt;=0,"Wert ist 0; ",""))&amp;IF(NOT(ISNUMBER(E4060)),"Bestand fehlt; ",IF(E4060&lt;0,"Bestand negativ; ",IF(E4060=0,"Nullbestand; ","")))&amp;IF(D4060="","Warengruppe fehlt; ","")&amp;IF(B4060="","Bezeichnung fehlt; ","")&amp;IF(COUNTIFS($A$2:$A$5001,$A4060,$C$2:$C$5001,C4060)&gt;1,"Artikel doppelt im selben Lager; ",""))</f>
        <v/>
      </c>
      <c r="P4060" s="47" t="n">
        <f aca="false">IF(OR($A4060="",D4060=""),0,IF(COUNTIF($D$2:D4060,D4060)=1,SUMIF($D$2:$D$5001,D4060,$H$2:$H$5001)+ROW()/10000000,0))</f>
        <v>0</v>
      </c>
      <c r="Q4060" s="47" t="n">
        <f aca="false">IF(OR($A4060="",C4060=""),0,IF(COUNTIF($C$2:C4060,C4060)=1,SUMIF($C$2:$C$5001,C4060,$H$2:$H$5001)+ROW()/10000000,0))</f>
        <v>0</v>
      </c>
    </row>
    <row r="4061" customFormat="false" ht="15" hidden="false" customHeight="false" outlineLevel="0" collapsed="false">
      <c r="A4061" s="43"/>
      <c r="B4061" s="44"/>
      <c r="C4061" s="44"/>
      <c r="D4061" s="44"/>
      <c r="E4061" s="44"/>
      <c r="F4061" s="44"/>
      <c r="G4061" s="44"/>
      <c r="H4061" s="46" t="str">
        <f aca="false">IF($A4061="","",IF(OR(NOT(ISNUMBER(E4061)),NOT(ISNUMBER(F4061))),"",MAX(0,E4061)*F4061))</f>
        <v/>
      </c>
      <c r="I4061" s="46" t="str">
        <f aca="false">IF($A4061="","",SUMIF($A$2:$A$5001,$A4061,$H$2:$H$5001))</f>
        <v/>
      </c>
      <c r="J4061" s="47" t="n">
        <f aca="false">IF($A4061="",0,IF(COUNTIF($A$2:A4061,$A4061)=1,1,0))</f>
        <v>0</v>
      </c>
      <c r="K4061" s="47" t="n">
        <f aca="false">IF(J4061=1,N(I4061)+ROW()/10000000,0)</f>
        <v>0</v>
      </c>
      <c r="L4061" s="47" t="str">
        <f aca="false">IF(AND(J4061=1,N(I4061)&gt;0),SUMIF($K$2:$K$5001,"&gt;="&amp;K4061,$I$2:$I$5001)/MAX(1,SUM($H$2:$H$5001)),"")</f>
        <v/>
      </c>
      <c r="M4061" s="47" t="str">
        <f aca="false">IF($A4061="","",INDEX($L$2:$L$5001,MATCH($A4061,$A$2:$A$5001,0)))</f>
        <v/>
      </c>
      <c r="N4061" s="48" t="str">
        <f aca="false">IF($A4061="","",IF(N(M4061)=0,"–",IF(M4061&lt;=Start!$D$20,"A",IF(M4061&lt;=Start!$D$21,"B","C"))))</f>
        <v/>
      </c>
      <c r="O4061" s="48" t="str">
        <f aca="false">IF($A4061="","",IF(NOT(ISNUMBER(F4061)),"Wert fehlt; ",IF(F4061&lt;=0,"Wert ist 0; ",""))&amp;IF(NOT(ISNUMBER(E4061)),"Bestand fehlt; ",IF(E4061&lt;0,"Bestand negativ; ",IF(E4061=0,"Nullbestand; ","")))&amp;IF(D4061="","Warengruppe fehlt; ","")&amp;IF(B4061="","Bezeichnung fehlt; ","")&amp;IF(COUNTIFS($A$2:$A$5001,$A4061,$C$2:$C$5001,C4061)&gt;1,"Artikel doppelt im selben Lager; ",""))</f>
        <v/>
      </c>
      <c r="P4061" s="47" t="n">
        <f aca="false">IF(OR($A4061="",D4061=""),0,IF(COUNTIF($D$2:D4061,D4061)=1,SUMIF($D$2:$D$5001,D4061,$H$2:$H$5001)+ROW()/10000000,0))</f>
        <v>0</v>
      </c>
      <c r="Q4061" s="47" t="n">
        <f aca="false">IF(OR($A4061="",C4061=""),0,IF(COUNTIF($C$2:C4061,C4061)=1,SUMIF($C$2:$C$5001,C4061,$H$2:$H$5001)+ROW()/10000000,0))</f>
        <v>0</v>
      </c>
    </row>
    <row r="4062" customFormat="false" ht="15" hidden="false" customHeight="false" outlineLevel="0" collapsed="false">
      <c r="A4062" s="43"/>
      <c r="B4062" s="44"/>
      <c r="C4062" s="44"/>
      <c r="D4062" s="44"/>
      <c r="E4062" s="44"/>
      <c r="F4062" s="44"/>
      <c r="G4062" s="44"/>
      <c r="H4062" s="46" t="str">
        <f aca="false">IF($A4062="","",IF(OR(NOT(ISNUMBER(E4062)),NOT(ISNUMBER(F4062))),"",MAX(0,E4062)*F4062))</f>
        <v/>
      </c>
      <c r="I4062" s="46" t="str">
        <f aca="false">IF($A4062="","",SUMIF($A$2:$A$5001,$A4062,$H$2:$H$5001))</f>
        <v/>
      </c>
      <c r="J4062" s="47" t="n">
        <f aca="false">IF($A4062="",0,IF(COUNTIF($A$2:A4062,$A4062)=1,1,0))</f>
        <v>0</v>
      </c>
      <c r="K4062" s="47" t="n">
        <f aca="false">IF(J4062=1,N(I4062)+ROW()/10000000,0)</f>
        <v>0</v>
      </c>
      <c r="L4062" s="47" t="str">
        <f aca="false">IF(AND(J4062=1,N(I4062)&gt;0),SUMIF($K$2:$K$5001,"&gt;="&amp;K4062,$I$2:$I$5001)/MAX(1,SUM($H$2:$H$5001)),"")</f>
        <v/>
      </c>
      <c r="M4062" s="47" t="str">
        <f aca="false">IF($A4062="","",INDEX($L$2:$L$5001,MATCH($A4062,$A$2:$A$5001,0)))</f>
        <v/>
      </c>
      <c r="N4062" s="48" t="str">
        <f aca="false">IF($A4062="","",IF(N(M4062)=0,"–",IF(M4062&lt;=Start!$D$20,"A",IF(M4062&lt;=Start!$D$21,"B","C"))))</f>
        <v/>
      </c>
      <c r="O4062" s="48" t="str">
        <f aca="false">IF($A4062="","",IF(NOT(ISNUMBER(F4062)),"Wert fehlt; ",IF(F4062&lt;=0,"Wert ist 0; ",""))&amp;IF(NOT(ISNUMBER(E4062)),"Bestand fehlt; ",IF(E4062&lt;0,"Bestand negativ; ",IF(E4062=0,"Nullbestand; ","")))&amp;IF(D4062="","Warengruppe fehlt; ","")&amp;IF(B4062="","Bezeichnung fehlt; ","")&amp;IF(COUNTIFS($A$2:$A$5001,$A4062,$C$2:$C$5001,C4062)&gt;1,"Artikel doppelt im selben Lager; ",""))</f>
        <v/>
      </c>
      <c r="P4062" s="47" t="n">
        <f aca="false">IF(OR($A4062="",D4062=""),0,IF(COUNTIF($D$2:D4062,D4062)=1,SUMIF($D$2:$D$5001,D4062,$H$2:$H$5001)+ROW()/10000000,0))</f>
        <v>0</v>
      </c>
      <c r="Q4062" s="47" t="n">
        <f aca="false">IF(OR($A4062="",C4062=""),0,IF(COUNTIF($C$2:C4062,C4062)=1,SUMIF($C$2:$C$5001,C4062,$H$2:$H$5001)+ROW()/10000000,0))</f>
        <v>0</v>
      </c>
    </row>
    <row r="4063" customFormat="false" ht="15" hidden="false" customHeight="false" outlineLevel="0" collapsed="false">
      <c r="A4063" s="43"/>
      <c r="B4063" s="44"/>
      <c r="C4063" s="44"/>
      <c r="D4063" s="44"/>
      <c r="E4063" s="44"/>
      <c r="F4063" s="44"/>
      <c r="G4063" s="44"/>
      <c r="H4063" s="46" t="str">
        <f aca="false">IF($A4063="","",IF(OR(NOT(ISNUMBER(E4063)),NOT(ISNUMBER(F4063))),"",MAX(0,E4063)*F4063))</f>
        <v/>
      </c>
      <c r="I4063" s="46" t="str">
        <f aca="false">IF($A4063="","",SUMIF($A$2:$A$5001,$A4063,$H$2:$H$5001))</f>
        <v/>
      </c>
      <c r="J4063" s="47" t="n">
        <f aca="false">IF($A4063="",0,IF(COUNTIF($A$2:A4063,$A4063)=1,1,0))</f>
        <v>0</v>
      </c>
      <c r="K4063" s="47" t="n">
        <f aca="false">IF(J4063=1,N(I4063)+ROW()/10000000,0)</f>
        <v>0</v>
      </c>
      <c r="L4063" s="47" t="str">
        <f aca="false">IF(AND(J4063=1,N(I4063)&gt;0),SUMIF($K$2:$K$5001,"&gt;="&amp;K4063,$I$2:$I$5001)/MAX(1,SUM($H$2:$H$5001)),"")</f>
        <v/>
      </c>
      <c r="M4063" s="47" t="str">
        <f aca="false">IF($A4063="","",INDEX($L$2:$L$5001,MATCH($A4063,$A$2:$A$5001,0)))</f>
        <v/>
      </c>
      <c r="N4063" s="48" t="str">
        <f aca="false">IF($A4063="","",IF(N(M4063)=0,"–",IF(M4063&lt;=Start!$D$20,"A",IF(M4063&lt;=Start!$D$21,"B","C"))))</f>
        <v/>
      </c>
      <c r="O4063" s="48" t="str">
        <f aca="false">IF($A4063="","",IF(NOT(ISNUMBER(F4063)),"Wert fehlt; ",IF(F4063&lt;=0,"Wert ist 0; ",""))&amp;IF(NOT(ISNUMBER(E4063)),"Bestand fehlt; ",IF(E4063&lt;0,"Bestand negativ; ",IF(E4063=0,"Nullbestand; ","")))&amp;IF(D4063="","Warengruppe fehlt; ","")&amp;IF(B4063="","Bezeichnung fehlt; ","")&amp;IF(COUNTIFS($A$2:$A$5001,$A4063,$C$2:$C$5001,C4063)&gt;1,"Artikel doppelt im selben Lager; ",""))</f>
        <v/>
      </c>
      <c r="P4063" s="47" t="n">
        <f aca="false">IF(OR($A4063="",D4063=""),0,IF(COUNTIF($D$2:D4063,D4063)=1,SUMIF($D$2:$D$5001,D4063,$H$2:$H$5001)+ROW()/10000000,0))</f>
        <v>0</v>
      </c>
      <c r="Q4063" s="47" t="n">
        <f aca="false">IF(OR($A4063="",C4063=""),0,IF(COUNTIF($C$2:C4063,C4063)=1,SUMIF($C$2:$C$5001,C4063,$H$2:$H$5001)+ROW()/10000000,0))</f>
        <v>0</v>
      </c>
    </row>
    <row r="4064" customFormat="false" ht="15" hidden="false" customHeight="false" outlineLevel="0" collapsed="false">
      <c r="A4064" s="43"/>
      <c r="B4064" s="44"/>
      <c r="C4064" s="44"/>
      <c r="D4064" s="44"/>
      <c r="E4064" s="44"/>
      <c r="F4064" s="44"/>
      <c r="G4064" s="44"/>
      <c r="H4064" s="46" t="str">
        <f aca="false">IF($A4064="","",IF(OR(NOT(ISNUMBER(E4064)),NOT(ISNUMBER(F4064))),"",MAX(0,E4064)*F4064))</f>
        <v/>
      </c>
      <c r="I4064" s="46" t="str">
        <f aca="false">IF($A4064="","",SUMIF($A$2:$A$5001,$A4064,$H$2:$H$5001))</f>
        <v/>
      </c>
      <c r="J4064" s="47" t="n">
        <f aca="false">IF($A4064="",0,IF(COUNTIF($A$2:A4064,$A4064)=1,1,0))</f>
        <v>0</v>
      </c>
      <c r="K4064" s="47" t="n">
        <f aca="false">IF(J4064=1,N(I4064)+ROW()/10000000,0)</f>
        <v>0</v>
      </c>
      <c r="L4064" s="47" t="str">
        <f aca="false">IF(AND(J4064=1,N(I4064)&gt;0),SUMIF($K$2:$K$5001,"&gt;="&amp;K4064,$I$2:$I$5001)/MAX(1,SUM($H$2:$H$5001)),"")</f>
        <v/>
      </c>
      <c r="M4064" s="47" t="str">
        <f aca="false">IF($A4064="","",INDEX($L$2:$L$5001,MATCH($A4064,$A$2:$A$5001,0)))</f>
        <v/>
      </c>
      <c r="N4064" s="48" t="str">
        <f aca="false">IF($A4064="","",IF(N(M4064)=0,"–",IF(M4064&lt;=Start!$D$20,"A",IF(M4064&lt;=Start!$D$21,"B","C"))))</f>
        <v/>
      </c>
      <c r="O4064" s="48" t="str">
        <f aca="false">IF($A4064="","",IF(NOT(ISNUMBER(F4064)),"Wert fehlt; ",IF(F4064&lt;=0,"Wert ist 0; ",""))&amp;IF(NOT(ISNUMBER(E4064)),"Bestand fehlt; ",IF(E4064&lt;0,"Bestand negativ; ",IF(E4064=0,"Nullbestand; ","")))&amp;IF(D4064="","Warengruppe fehlt; ","")&amp;IF(B4064="","Bezeichnung fehlt; ","")&amp;IF(COUNTIFS($A$2:$A$5001,$A4064,$C$2:$C$5001,C4064)&gt;1,"Artikel doppelt im selben Lager; ",""))</f>
        <v/>
      </c>
      <c r="P4064" s="47" t="n">
        <f aca="false">IF(OR($A4064="",D4064=""),0,IF(COUNTIF($D$2:D4064,D4064)=1,SUMIF($D$2:$D$5001,D4064,$H$2:$H$5001)+ROW()/10000000,0))</f>
        <v>0</v>
      </c>
      <c r="Q4064" s="47" t="n">
        <f aca="false">IF(OR($A4064="",C4064=""),0,IF(COUNTIF($C$2:C4064,C4064)=1,SUMIF($C$2:$C$5001,C4064,$H$2:$H$5001)+ROW()/10000000,0))</f>
        <v>0</v>
      </c>
    </row>
    <row r="4065" customFormat="false" ht="15" hidden="false" customHeight="false" outlineLevel="0" collapsed="false">
      <c r="A4065" s="43"/>
      <c r="B4065" s="44"/>
      <c r="C4065" s="44"/>
      <c r="D4065" s="44"/>
      <c r="E4065" s="44"/>
      <c r="F4065" s="44"/>
      <c r="G4065" s="44"/>
      <c r="H4065" s="46" t="str">
        <f aca="false">IF($A4065="","",IF(OR(NOT(ISNUMBER(E4065)),NOT(ISNUMBER(F4065))),"",MAX(0,E4065)*F4065))</f>
        <v/>
      </c>
      <c r="I4065" s="46" t="str">
        <f aca="false">IF($A4065="","",SUMIF($A$2:$A$5001,$A4065,$H$2:$H$5001))</f>
        <v/>
      </c>
      <c r="J4065" s="47" t="n">
        <f aca="false">IF($A4065="",0,IF(COUNTIF($A$2:A4065,$A4065)=1,1,0))</f>
        <v>0</v>
      </c>
      <c r="K4065" s="47" t="n">
        <f aca="false">IF(J4065=1,N(I4065)+ROW()/10000000,0)</f>
        <v>0</v>
      </c>
      <c r="L4065" s="47" t="str">
        <f aca="false">IF(AND(J4065=1,N(I4065)&gt;0),SUMIF($K$2:$K$5001,"&gt;="&amp;K4065,$I$2:$I$5001)/MAX(1,SUM($H$2:$H$5001)),"")</f>
        <v/>
      </c>
      <c r="M4065" s="47" t="str">
        <f aca="false">IF($A4065="","",INDEX($L$2:$L$5001,MATCH($A4065,$A$2:$A$5001,0)))</f>
        <v/>
      </c>
      <c r="N4065" s="48" t="str">
        <f aca="false">IF($A4065="","",IF(N(M4065)=0,"–",IF(M4065&lt;=Start!$D$20,"A",IF(M4065&lt;=Start!$D$21,"B","C"))))</f>
        <v/>
      </c>
      <c r="O4065" s="48" t="str">
        <f aca="false">IF($A4065="","",IF(NOT(ISNUMBER(F4065)),"Wert fehlt; ",IF(F4065&lt;=0,"Wert ist 0; ",""))&amp;IF(NOT(ISNUMBER(E4065)),"Bestand fehlt; ",IF(E4065&lt;0,"Bestand negativ; ",IF(E4065=0,"Nullbestand; ","")))&amp;IF(D4065="","Warengruppe fehlt; ","")&amp;IF(B4065="","Bezeichnung fehlt; ","")&amp;IF(COUNTIFS($A$2:$A$5001,$A4065,$C$2:$C$5001,C4065)&gt;1,"Artikel doppelt im selben Lager; ",""))</f>
        <v/>
      </c>
      <c r="P4065" s="47" t="n">
        <f aca="false">IF(OR($A4065="",D4065=""),0,IF(COUNTIF($D$2:D4065,D4065)=1,SUMIF($D$2:$D$5001,D4065,$H$2:$H$5001)+ROW()/10000000,0))</f>
        <v>0</v>
      </c>
      <c r="Q4065" s="47" t="n">
        <f aca="false">IF(OR($A4065="",C4065=""),0,IF(COUNTIF($C$2:C4065,C4065)=1,SUMIF($C$2:$C$5001,C4065,$H$2:$H$5001)+ROW()/10000000,0))</f>
        <v>0</v>
      </c>
    </row>
    <row r="4066" customFormat="false" ht="15" hidden="false" customHeight="false" outlineLevel="0" collapsed="false">
      <c r="A4066" s="43"/>
      <c r="B4066" s="44"/>
      <c r="C4066" s="44"/>
      <c r="D4066" s="44"/>
      <c r="E4066" s="44"/>
      <c r="F4066" s="44"/>
      <c r="G4066" s="44"/>
      <c r="H4066" s="46" t="str">
        <f aca="false">IF($A4066="","",IF(OR(NOT(ISNUMBER(E4066)),NOT(ISNUMBER(F4066))),"",MAX(0,E4066)*F4066))</f>
        <v/>
      </c>
      <c r="I4066" s="46" t="str">
        <f aca="false">IF($A4066="","",SUMIF($A$2:$A$5001,$A4066,$H$2:$H$5001))</f>
        <v/>
      </c>
      <c r="J4066" s="47" t="n">
        <f aca="false">IF($A4066="",0,IF(COUNTIF($A$2:A4066,$A4066)=1,1,0))</f>
        <v>0</v>
      </c>
      <c r="K4066" s="47" t="n">
        <f aca="false">IF(J4066=1,N(I4066)+ROW()/10000000,0)</f>
        <v>0</v>
      </c>
      <c r="L4066" s="47" t="str">
        <f aca="false">IF(AND(J4066=1,N(I4066)&gt;0),SUMIF($K$2:$K$5001,"&gt;="&amp;K4066,$I$2:$I$5001)/MAX(1,SUM($H$2:$H$5001)),"")</f>
        <v/>
      </c>
      <c r="M4066" s="47" t="str">
        <f aca="false">IF($A4066="","",INDEX($L$2:$L$5001,MATCH($A4066,$A$2:$A$5001,0)))</f>
        <v/>
      </c>
      <c r="N4066" s="48" t="str">
        <f aca="false">IF($A4066="","",IF(N(M4066)=0,"–",IF(M4066&lt;=Start!$D$20,"A",IF(M4066&lt;=Start!$D$21,"B","C"))))</f>
        <v/>
      </c>
      <c r="O4066" s="48" t="str">
        <f aca="false">IF($A4066="","",IF(NOT(ISNUMBER(F4066)),"Wert fehlt; ",IF(F4066&lt;=0,"Wert ist 0; ",""))&amp;IF(NOT(ISNUMBER(E4066)),"Bestand fehlt; ",IF(E4066&lt;0,"Bestand negativ; ",IF(E4066=0,"Nullbestand; ","")))&amp;IF(D4066="","Warengruppe fehlt; ","")&amp;IF(B4066="","Bezeichnung fehlt; ","")&amp;IF(COUNTIFS($A$2:$A$5001,$A4066,$C$2:$C$5001,C4066)&gt;1,"Artikel doppelt im selben Lager; ",""))</f>
        <v/>
      </c>
      <c r="P4066" s="47" t="n">
        <f aca="false">IF(OR($A4066="",D4066=""),0,IF(COUNTIF($D$2:D4066,D4066)=1,SUMIF($D$2:$D$5001,D4066,$H$2:$H$5001)+ROW()/10000000,0))</f>
        <v>0</v>
      </c>
      <c r="Q4066" s="47" t="n">
        <f aca="false">IF(OR($A4066="",C4066=""),0,IF(COUNTIF($C$2:C4066,C4066)=1,SUMIF($C$2:$C$5001,C4066,$H$2:$H$5001)+ROW()/10000000,0))</f>
        <v>0</v>
      </c>
    </row>
    <row r="4067" customFormat="false" ht="15" hidden="false" customHeight="false" outlineLevel="0" collapsed="false">
      <c r="A4067" s="43"/>
      <c r="B4067" s="44"/>
      <c r="C4067" s="44"/>
      <c r="D4067" s="44"/>
      <c r="E4067" s="44"/>
      <c r="F4067" s="44"/>
      <c r="G4067" s="44"/>
      <c r="H4067" s="46" t="str">
        <f aca="false">IF($A4067="","",IF(OR(NOT(ISNUMBER(E4067)),NOT(ISNUMBER(F4067))),"",MAX(0,E4067)*F4067))</f>
        <v/>
      </c>
      <c r="I4067" s="46" t="str">
        <f aca="false">IF($A4067="","",SUMIF($A$2:$A$5001,$A4067,$H$2:$H$5001))</f>
        <v/>
      </c>
      <c r="J4067" s="47" t="n">
        <f aca="false">IF($A4067="",0,IF(COUNTIF($A$2:A4067,$A4067)=1,1,0))</f>
        <v>0</v>
      </c>
      <c r="K4067" s="47" t="n">
        <f aca="false">IF(J4067=1,N(I4067)+ROW()/10000000,0)</f>
        <v>0</v>
      </c>
      <c r="L4067" s="47" t="str">
        <f aca="false">IF(AND(J4067=1,N(I4067)&gt;0),SUMIF($K$2:$K$5001,"&gt;="&amp;K4067,$I$2:$I$5001)/MAX(1,SUM($H$2:$H$5001)),"")</f>
        <v/>
      </c>
      <c r="M4067" s="47" t="str">
        <f aca="false">IF($A4067="","",INDEX($L$2:$L$5001,MATCH($A4067,$A$2:$A$5001,0)))</f>
        <v/>
      </c>
      <c r="N4067" s="48" t="str">
        <f aca="false">IF($A4067="","",IF(N(M4067)=0,"–",IF(M4067&lt;=Start!$D$20,"A",IF(M4067&lt;=Start!$D$21,"B","C"))))</f>
        <v/>
      </c>
      <c r="O4067" s="48" t="str">
        <f aca="false">IF($A4067="","",IF(NOT(ISNUMBER(F4067)),"Wert fehlt; ",IF(F4067&lt;=0,"Wert ist 0; ",""))&amp;IF(NOT(ISNUMBER(E4067)),"Bestand fehlt; ",IF(E4067&lt;0,"Bestand negativ; ",IF(E4067=0,"Nullbestand; ","")))&amp;IF(D4067="","Warengruppe fehlt; ","")&amp;IF(B4067="","Bezeichnung fehlt; ","")&amp;IF(COUNTIFS($A$2:$A$5001,$A4067,$C$2:$C$5001,C4067)&gt;1,"Artikel doppelt im selben Lager; ",""))</f>
        <v/>
      </c>
      <c r="P4067" s="47" t="n">
        <f aca="false">IF(OR($A4067="",D4067=""),0,IF(COUNTIF($D$2:D4067,D4067)=1,SUMIF($D$2:$D$5001,D4067,$H$2:$H$5001)+ROW()/10000000,0))</f>
        <v>0</v>
      </c>
      <c r="Q4067" s="47" t="n">
        <f aca="false">IF(OR($A4067="",C4067=""),0,IF(COUNTIF($C$2:C4067,C4067)=1,SUMIF($C$2:$C$5001,C4067,$H$2:$H$5001)+ROW()/10000000,0))</f>
        <v>0</v>
      </c>
    </row>
    <row r="4068" customFormat="false" ht="15" hidden="false" customHeight="false" outlineLevel="0" collapsed="false">
      <c r="A4068" s="43"/>
      <c r="B4068" s="44"/>
      <c r="C4068" s="44"/>
      <c r="D4068" s="44"/>
      <c r="E4068" s="44"/>
      <c r="F4068" s="44"/>
      <c r="G4068" s="44"/>
      <c r="H4068" s="46" t="str">
        <f aca="false">IF($A4068="","",IF(OR(NOT(ISNUMBER(E4068)),NOT(ISNUMBER(F4068))),"",MAX(0,E4068)*F4068))</f>
        <v/>
      </c>
      <c r="I4068" s="46" t="str">
        <f aca="false">IF($A4068="","",SUMIF($A$2:$A$5001,$A4068,$H$2:$H$5001))</f>
        <v/>
      </c>
      <c r="J4068" s="47" t="n">
        <f aca="false">IF($A4068="",0,IF(COUNTIF($A$2:A4068,$A4068)=1,1,0))</f>
        <v>0</v>
      </c>
      <c r="K4068" s="47" t="n">
        <f aca="false">IF(J4068=1,N(I4068)+ROW()/10000000,0)</f>
        <v>0</v>
      </c>
      <c r="L4068" s="47" t="str">
        <f aca="false">IF(AND(J4068=1,N(I4068)&gt;0),SUMIF($K$2:$K$5001,"&gt;="&amp;K4068,$I$2:$I$5001)/MAX(1,SUM($H$2:$H$5001)),"")</f>
        <v/>
      </c>
      <c r="M4068" s="47" t="str">
        <f aca="false">IF($A4068="","",INDEX($L$2:$L$5001,MATCH($A4068,$A$2:$A$5001,0)))</f>
        <v/>
      </c>
      <c r="N4068" s="48" t="str">
        <f aca="false">IF($A4068="","",IF(N(M4068)=0,"–",IF(M4068&lt;=Start!$D$20,"A",IF(M4068&lt;=Start!$D$21,"B","C"))))</f>
        <v/>
      </c>
      <c r="O4068" s="48" t="str">
        <f aca="false">IF($A4068="","",IF(NOT(ISNUMBER(F4068)),"Wert fehlt; ",IF(F4068&lt;=0,"Wert ist 0; ",""))&amp;IF(NOT(ISNUMBER(E4068)),"Bestand fehlt; ",IF(E4068&lt;0,"Bestand negativ; ",IF(E4068=0,"Nullbestand; ","")))&amp;IF(D4068="","Warengruppe fehlt; ","")&amp;IF(B4068="","Bezeichnung fehlt; ","")&amp;IF(COUNTIFS($A$2:$A$5001,$A4068,$C$2:$C$5001,C4068)&gt;1,"Artikel doppelt im selben Lager; ",""))</f>
        <v/>
      </c>
      <c r="P4068" s="47" t="n">
        <f aca="false">IF(OR($A4068="",D4068=""),0,IF(COUNTIF($D$2:D4068,D4068)=1,SUMIF($D$2:$D$5001,D4068,$H$2:$H$5001)+ROW()/10000000,0))</f>
        <v>0</v>
      </c>
      <c r="Q4068" s="47" t="n">
        <f aca="false">IF(OR($A4068="",C4068=""),0,IF(COUNTIF($C$2:C4068,C4068)=1,SUMIF($C$2:$C$5001,C4068,$H$2:$H$5001)+ROW()/10000000,0))</f>
        <v>0</v>
      </c>
    </row>
    <row r="4069" customFormat="false" ht="15" hidden="false" customHeight="false" outlineLevel="0" collapsed="false">
      <c r="A4069" s="43"/>
      <c r="B4069" s="44"/>
      <c r="C4069" s="44"/>
      <c r="D4069" s="44"/>
      <c r="E4069" s="44"/>
      <c r="F4069" s="44"/>
      <c r="G4069" s="44"/>
      <c r="H4069" s="46" t="str">
        <f aca="false">IF($A4069="","",IF(OR(NOT(ISNUMBER(E4069)),NOT(ISNUMBER(F4069))),"",MAX(0,E4069)*F4069))</f>
        <v/>
      </c>
      <c r="I4069" s="46" t="str">
        <f aca="false">IF($A4069="","",SUMIF($A$2:$A$5001,$A4069,$H$2:$H$5001))</f>
        <v/>
      </c>
      <c r="J4069" s="47" t="n">
        <f aca="false">IF($A4069="",0,IF(COUNTIF($A$2:A4069,$A4069)=1,1,0))</f>
        <v>0</v>
      </c>
      <c r="K4069" s="47" t="n">
        <f aca="false">IF(J4069=1,N(I4069)+ROW()/10000000,0)</f>
        <v>0</v>
      </c>
      <c r="L4069" s="47" t="str">
        <f aca="false">IF(AND(J4069=1,N(I4069)&gt;0),SUMIF($K$2:$K$5001,"&gt;="&amp;K4069,$I$2:$I$5001)/MAX(1,SUM($H$2:$H$5001)),"")</f>
        <v/>
      </c>
      <c r="M4069" s="47" t="str">
        <f aca="false">IF($A4069="","",INDEX($L$2:$L$5001,MATCH($A4069,$A$2:$A$5001,0)))</f>
        <v/>
      </c>
      <c r="N4069" s="48" t="str">
        <f aca="false">IF($A4069="","",IF(N(M4069)=0,"–",IF(M4069&lt;=Start!$D$20,"A",IF(M4069&lt;=Start!$D$21,"B","C"))))</f>
        <v/>
      </c>
      <c r="O4069" s="48" t="str">
        <f aca="false">IF($A4069="","",IF(NOT(ISNUMBER(F4069)),"Wert fehlt; ",IF(F4069&lt;=0,"Wert ist 0; ",""))&amp;IF(NOT(ISNUMBER(E4069)),"Bestand fehlt; ",IF(E4069&lt;0,"Bestand negativ; ",IF(E4069=0,"Nullbestand; ","")))&amp;IF(D4069="","Warengruppe fehlt; ","")&amp;IF(B4069="","Bezeichnung fehlt; ","")&amp;IF(COUNTIFS($A$2:$A$5001,$A4069,$C$2:$C$5001,C4069)&gt;1,"Artikel doppelt im selben Lager; ",""))</f>
        <v/>
      </c>
      <c r="P4069" s="47" t="n">
        <f aca="false">IF(OR($A4069="",D4069=""),0,IF(COUNTIF($D$2:D4069,D4069)=1,SUMIF($D$2:$D$5001,D4069,$H$2:$H$5001)+ROW()/10000000,0))</f>
        <v>0</v>
      </c>
      <c r="Q4069" s="47" t="n">
        <f aca="false">IF(OR($A4069="",C4069=""),0,IF(COUNTIF($C$2:C4069,C4069)=1,SUMIF($C$2:$C$5001,C4069,$H$2:$H$5001)+ROW()/10000000,0))</f>
        <v>0</v>
      </c>
    </row>
    <row r="4070" customFormat="false" ht="15" hidden="false" customHeight="false" outlineLevel="0" collapsed="false">
      <c r="A4070" s="43"/>
      <c r="B4070" s="44"/>
      <c r="C4070" s="44"/>
      <c r="D4070" s="44"/>
      <c r="E4070" s="44"/>
      <c r="F4070" s="44"/>
      <c r="G4070" s="44"/>
      <c r="H4070" s="46" t="str">
        <f aca="false">IF($A4070="","",IF(OR(NOT(ISNUMBER(E4070)),NOT(ISNUMBER(F4070))),"",MAX(0,E4070)*F4070))</f>
        <v/>
      </c>
      <c r="I4070" s="46" t="str">
        <f aca="false">IF($A4070="","",SUMIF($A$2:$A$5001,$A4070,$H$2:$H$5001))</f>
        <v/>
      </c>
      <c r="J4070" s="47" t="n">
        <f aca="false">IF($A4070="",0,IF(COUNTIF($A$2:A4070,$A4070)=1,1,0))</f>
        <v>0</v>
      </c>
      <c r="K4070" s="47" t="n">
        <f aca="false">IF(J4070=1,N(I4070)+ROW()/10000000,0)</f>
        <v>0</v>
      </c>
      <c r="L4070" s="47" t="str">
        <f aca="false">IF(AND(J4070=1,N(I4070)&gt;0),SUMIF($K$2:$K$5001,"&gt;="&amp;K4070,$I$2:$I$5001)/MAX(1,SUM($H$2:$H$5001)),"")</f>
        <v/>
      </c>
      <c r="M4070" s="47" t="str">
        <f aca="false">IF($A4070="","",INDEX($L$2:$L$5001,MATCH($A4070,$A$2:$A$5001,0)))</f>
        <v/>
      </c>
      <c r="N4070" s="48" t="str">
        <f aca="false">IF($A4070="","",IF(N(M4070)=0,"–",IF(M4070&lt;=Start!$D$20,"A",IF(M4070&lt;=Start!$D$21,"B","C"))))</f>
        <v/>
      </c>
      <c r="O4070" s="48" t="str">
        <f aca="false">IF($A4070="","",IF(NOT(ISNUMBER(F4070)),"Wert fehlt; ",IF(F4070&lt;=0,"Wert ist 0; ",""))&amp;IF(NOT(ISNUMBER(E4070)),"Bestand fehlt; ",IF(E4070&lt;0,"Bestand negativ; ",IF(E4070=0,"Nullbestand; ","")))&amp;IF(D4070="","Warengruppe fehlt; ","")&amp;IF(B4070="","Bezeichnung fehlt; ","")&amp;IF(COUNTIFS($A$2:$A$5001,$A4070,$C$2:$C$5001,C4070)&gt;1,"Artikel doppelt im selben Lager; ",""))</f>
        <v/>
      </c>
      <c r="P4070" s="47" t="n">
        <f aca="false">IF(OR($A4070="",D4070=""),0,IF(COUNTIF($D$2:D4070,D4070)=1,SUMIF($D$2:$D$5001,D4070,$H$2:$H$5001)+ROW()/10000000,0))</f>
        <v>0</v>
      </c>
      <c r="Q4070" s="47" t="n">
        <f aca="false">IF(OR($A4070="",C4070=""),0,IF(COUNTIF($C$2:C4070,C4070)=1,SUMIF($C$2:$C$5001,C4070,$H$2:$H$5001)+ROW()/10000000,0))</f>
        <v>0</v>
      </c>
    </row>
    <row r="4071" customFormat="false" ht="15" hidden="false" customHeight="false" outlineLevel="0" collapsed="false">
      <c r="A4071" s="43"/>
      <c r="B4071" s="44"/>
      <c r="C4071" s="44"/>
      <c r="D4071" s="44"/>
      <c r="E4071" s="44"/>
      <c r="F4071" s="44"/>
      <c r="G4071" s="44"/>
      <c r="H4071" s="46" t="str">
        <f aca="false">IF($A4071="","",IF(OR(NOT(ISNUMBER(E4071)),NOT(ISNUMBER(F4071))),"",MAX(0,E4071)*F4071))</f>
        <v/>
      </c>
      <c r="I4071" s="46" t="str">
        <f aca="false">IF($A4071="","",SUMIF($A$2:$A$5001,$A4071,$H$2:$H$5001))</f>
        <v/>
      </c>
      <c r="J4071" s="47" t="n">
        <f aca="false">IF($A4071="",0,IF(COUNTIF($A$2:A4071,$A4071)=1,1,0))</f>
        <v>0</v>
      </c>
      <c r="K4071" s="47" t="n">
        <f aca="false">IF(J4071=1,N(I4071)+ROW()/10000000,0)</f>
        <v>0</v>
      </c>
      <c r="L4071" s="47" t="str">
        <f aca="false">IF(AND(J4071=1,N(I4071)&gt;0),SUMIF($K$2:$K$5001,"&gt;="&amp;K4071,$I$2:$I$5001)/MAX(1,SUM($H$2:$H$5001)),"")</f>
        <v/>
      </c>
      <c r="M4071" s="47" t="str">
        <f aca="false">IF($A4071="","",INDEX($L$2:$L$5001,MATCH($A4071,$A$2:$A$5001,0)))</f>
        <v/>
      </c>
      <c r="N4071" s="48" t="str">
        <f aca="false">IF($A4071="","",IF(N(M4071)=0,"–",IF(M4071&lt;=Start!$D$20,"A",IF(M4071&lt;=Start!$D$21,"B","C"))))</f>
        <v/>
      </c>
      <c r="O4071" s="48" t="str">
        <f aca="false">IF($A4071="","",IF(NOT(ISNUMBER(F4071)),"Wert fehlt; ",IF(F4071&lt;=0,"Wert ist 0; ",""))&amp;IF(NOT(ISNUMBER(E4071)),"Bestand fehlt; ",IF(E4071&lt;0,"Bestand negativ; ",IF(E4071=0,"Nullbestand; ","")))&amp;IF(D4071="","Warengruppe fehlt; ","")&amp;IF(B4071="","Bezeichnung fehlt; ","")&amp;IF(COUNTIFS($A$2:$A$5001,$A4071,$C$2:$C$5001,C4071)&gt;1,"Artikel doppelt im selben Lager; ",""))</f>
        <v/>
      </c>
      <c r="P4071" s="47" t="n">
        <f aca="false">IF(OR($A4071="",D4071=""),0,IF(COUNTIF($D$2:D4071,D4071)=1,SUMIF($D$2:$D$5001,D4071,$H$2:$H$5001)+ROW()/10000000,0))</f>
        <v>0</v>
      </c>
      <c r="Q4071" s="47" t="n">
        <f aca="false">IF(OR($A4071="",C4071=""),0,IF(COUNTIF($C$2:C4071,C4071)=1,SUMIF($C$2:$C$5001,C4071,$H$2:$H$5001)+ROW()/10000000,0))</f>
        <v>0</v>
      </c>
    </row>
    <row r="4072" customFormat="false" ht="15" hidden="false" customHeight="false" outlineLevel="0" collapsed="false">
      <c r="A4072" s="43"/>
      <c r="B4072" s="44"/>
      <c r="C4072" s="44"/>
      <c r="D4072" s="44"/>
      <c r="E4072" s="44"/>
      <c r="F4072" s="44"/>
      <c r="G4072" s="44"/>
      <c r="H4072" s="46" t="str">
        <f aca="false">IF($A4072="","",IF(OR(NOT(ISNUMBER(E4072)),NOT(ISNUMBER(F4072))),"",MAX(0,E4072)*F4072))</f>
        <v/>
      </c>
      <c r="I4072" s="46" t="str">
        <f aca="false">IF($A4072="","",SUMIF($A$2:$A$5001,$A4072,$H$2:$H$5001))</f>
        <v/>
      </c>
      <c r="J4072" s="47" t="n">
        <f aca="false">IF($A4072="",0,IF(COUNTIF($A$2:A4072,$A4072)=1,1,0))</f>
        <v>0</v>
      </c>
      <c r="K4072" s="47" t="n">
        <f aca="false">IF(J4072=1,N(I4072)+ROW()/10000000,0)</f>
        <v>0</v>
      </c>
      <c r="L4072" s="47" t="str">
        <f aca="false">IF(AND(J4072=1,N(I4072)&gt;0),SUMIF($K$2:$K$5001,"&gt;="&amp;K4072,$I$2:$I$5001)/MAX(1,SUM($H$2:$H$5001)),"")</f>
        <v/>
      </c>
      <c r="M4072" s="47" t="str">
        <f aca="false">IF($A4072="","",INDEX($L$2:$L$5001,MATCH($A4072,$A$2:$A$5001,0)))</f>
        <v/>
      </c>
      <c r="N4072" s="48" t="str">
        <f aca="false">IF($A4072="","",IF(N(M4072)=0,"–",IF(M4072&lt;=Start!$D$20,"A",IF(M4072&lt;=Start!$D$21,"B","C"))))</f>
        <v/>
      </c>
      <c r="O4072" s="48" t="str">
        <f aca="false">IF($A4072="","",IF(NOT(ISNUMBER(F4072)),"Wert fehlt; ",IF(F4072&lt;=0,"Wert ist 0; ",""))&amp;IF(NOT(ISNUMBER(E4072)),"Bestand fehlt; ",IF(E4072&lt;0,"Bestand negativ; ",IF(E4072=0,"Nullbestand; ","")))&amp;IF(D4072="","Warengruppe fehlt; ","")&amp;IF(B4072="","Bezeichnung fehlt; ","")&amp;IF(COUNTIFS($A$2:$A$5001,$A4072,$C$2:$C$5001,C4072)&gt;1,"Artikel doppelt im selben Lager; ",""))</f>
        <v/>
      </c>
      <c r="P4072" s="47" t="n">
        <f aca="false">IF(OR($A4072="",D4072=""),0,IF(COUNTIF($D$2:D4072,D4072)=1,SUMIF($D$2:$D$5001,D4072,$H$2:$H$5001)+ROW()/10000000,0))</f>
        <v>0</v>
      </c>
      <c r="Q4072" s="47" t="n">
        <f aca="false">IF(OR($A4072="",C4072=""),0,IF(COUNTIF($C$2:C4072,C4072)=1,SUMIF($C$2:$C$5001,C4072,$H$2:$H$5001)+ROW()/10000000,0))</f>
        <v>0</v>
      </c>
    </row>
    <row r="4073" customFormat="false" ht="15" hidden="false" customHeight="false" outlineLevel="0" collapsed="false">
      <c r="A4073" s="43"/>
      <c r="B4073" s="44"/>
      <c r="C4073" s="44"/>
      <c r="D4073" s="44"/>
      <c r="E4073" s="44"/>
      <c r="F4073" s="44"/>
      <c r="G4073" s="44"/>
      <c r="H4073" s="46" t="str">
        <f aca="false">IF($A4073="","",IF(OR(NOT(ISNUMBER(E4073)),NOT(ISNUMBER(F4073))),"",MAX(0,E4073)*F4073))</f>
        <v/>
      </c>
      <c r="I4073" s="46" t="str">
        <f aca="false">IF($A4073="","",SUMIF($A$2:$A$5001,$A4073,$H$2:$H$5001))</f>
        <v/>
      </c>
      <c r="J4073" s="47" t="n">
        <f aca="false">IF($A4073="",0,IF(COUNTIF($A$2:A4073,$A4073)=1,1,0))</f>
        <v>0</v>
      </c>
      <c r="K4073" s="47" t="n">
        <f aca="false">IF(J4073=1,N(I4073)+ROW()/10000000,0)</f>
        <v>0</v>
      </c>
      <c r="L4073" s="47" t="str">
        <f aca="false">IF(AND(J4073=1,N(I4073)&gt;0),SUMIF($K$2:$K$5001,"&gt;="&amp;K4073,$I$2:$I$5001)/MAX(1,SUM($H$2:$H$5001)),"")</f>
        <v/>
      </c>
      <c r="M4073" s="47" t="str">
        <f aca="false">IF($A4073="","",INDEX($L$2:$L$5001,MATCH($A4073,$A$2:$A$5001,0)))</f>
        <v/>
      </c>
      <c r="N4073" s="48" t="str">
        <f aca="false">IF($A4073="","",IF(N(M4073)=0,"–",IF(M4073&lt;=Start!$D$20,"A",IF(M4073&lt;=Start!$D$21,"B","C"))))</f>
        <v/>
      </c>
      <c r="O4073" s="48" t="str">
        <f aca="false">IF($A4073="","",IF(NOT(ISNUMBER(F4073)),"Wert fehlt; ",IF(F4073&lt;=0,"Wert ist 0; ",""))&amp;IF(NOT(ISNUMBER(E4073)),"Bestand fehlt; ",IF(E4073&lt;0,"Bestand negativ; ",IF(E4073=0,"Nullbestand; ","")))&amp;IF(D4073="","Warengruppe fehlt; ","")&amp;IF(B4073="","Bezeichnung fehlt; ","")&amp;IF(COUNTIFS($A$2:$A$5001,$A4073,$C$2:$C$5001,C4073)&gt;1,"Artikel doppelt im selben Lager; ",""))</f>
        <v/>
      </c>
      <c r="P4073" s="47" t="n">
        <f aca="false">IF(OR($A4073="",D4073=""),0,IF(COUNTIF($D$2:D4073,D4073)=1,SUMIF($D$2:$D$5001,D4073,$H$2:$H$5001)+ROW()/10000000,0))</f>
        <v>0</v>
      </c>
      <c r="Q4073" s="47" t="n">
        <f aca="false">IF(OR($A4073="",C4073=""),0,IF(COUNTIF($C$2:C4073,C4073)=1,SUMIF($C$2:$C$5001,C4073,$H$2:$H$5001)+ROW()/10000000,0))</f>
        <v>0</v>
      </c>
    </row>
    <row r="4074" customFormat="false" ht="15" hidden="false" customHeight="false" outlineLevel="0" collapsed="false">
      <c r="A4074" s="43"/>
      <c r="B4074" s="44"/>
      <c r="C4074" s="44"/>
      <c r="D4074" s="44"/>
      <c r="E4074" s="44"/>
      <c r="F4074" s="44"/>
      <c r="G4074" s="44"/>
      <c r="H4074" s="46" t="str">
        <f aca="false">IF($A4074="","",IF(OR(NOT(ISNUMBER(E4074)),NOT(ISNUMBER(F4074))),"",MAX(0,E4074)*F4074))</f>
        <v/>
      </c>
      <c r="I4074" s="46" t="str">
        <f aca="false">IF($A4074="","",SUMIF($A$2:$A$5001,$A4074,$H$2:$H$5001))</f>
        <v/>
      </c>
      <c r="J4074" s="47" t="n">
        <f aca="false">IF($A4074="",0,IF(COUNTIF($A$2:A4074,$A4074)=1,1,0))</f>
        <v>0</v>
      </c>
      <c r="K4074" s="47" t="n">
        <f aca="false">IF(J4074=1,N(I4074)+ROW()/10000000,0)</f>
        <v>0</v>
      </c>
      <c r="L4074" s="47" t="str">
        <f aca="false">IF(AND(J4074=1,N(I4074)&gt;0),SUMIF($K$2:$K$5001,"&gt;="&amp;K4074,$I$2:$I$5001)/MAX(1,SUM($H$2:$H$5001)),"")</f>
        <v/>
      </c>
      <c r="M4074" s="47" t="str">
        <f aca="false">IF($A4074="","",INDEX($L$2:$L$5001,MATCH($A4074,$A$2:$A$5001,0)))</f>
        <v/>
      </c>
      <c r="N4074" s="48" t="str">
        <f aca="false">IF($A4074="","",IF(N(M4074)=0,"–",IF(M4074&lt;=Start!$D$20,"A",IF(M4074&lt;=Start!$D$21,"B","C"))))</f>
        <v/>
      </c>
      <c r="O4074" s="48" t="str">
        <f aca="false">IF($A4074="","",IF(NOT(ISNUMBER(F4074)),"Wert fehlt; ",IF(F4074&lt;=0,"Wert ist 0; ",""))&amp;IF(NOT(ISNUMBER(E4074)),"Bestand fehlt; ",IF(E4074&lt;0,"Bestand negativ; ",IF(E4074=0,"Nullbestand; ","")))&amp;IF(D4074="","Warengruppe fehlt; ","")&amp;IF(B4074="","Bezeichnung fehlt; ","")&amp;IF(COUNTIFS($A$2:$A$5001,$A4074,$C$2:$C$5001,C4074)&gt;1,"Artikel doppelt im selben Lager; ",""))</f>
        <v/>
      </c>
      <c r="P4074" s="47" t="n">
        <f aca="false">IF(OR($A4074="",D4074=""),0,IF(COUNTIF($D$2:D4074,D4074)=1,SUMIF($D$2:$D$5001,D4074,$H$2:$H$5001)+ROW()/10000000,0))</f>
        <v>0</v>
      </c>
      <c r="Q4074" s="47" t="n">
        <f aca="false">IF(OR($A4074="",C4074=""),0,IF(COUNTIF($C$2:C4074,C4074)=1,SUMIF($C$2:$C$5001,C4074,$H$2:$H$5001)+ROW()/10000000,0))</f>
        <v>0</v>
      </c>
    </row>
    <row r="4075" customFormat="false" ht="15" hidden="false" customHeight="false" outlineLevel="0" collapsed="false">
      <c r="A4075" s="43"/>
      <c r="B4075" s="44"/>
      <c r="C4075" s="44"/>
      <c r="D4075" s="44"/>
      <c r="E4075" s="44"/>
      <c r="F4075" s="44"/>
      <c r="G4075" s="44"/>
      <c r="H4075" s="46" t="str">
        <f aca="false">IF($A4075="","",IF(OR(NOT(ISNUMBER(E4075)),NOT(ISNUMBER(F4075))),"",MAX(0,E4075)*F4075))</f>
        <v/>
      </c>
      <c r="I4075" s="46" t="str">
        <f aca="false">IF($A4075="","",SUMIF($A$2:$A$5001,$A4075,$H$2:$H$5001))</f>
        <v/>
      </c>
      <c r="J4075" s="47" t="n">
        <f aca="false">IF($A4075="",0,IF(COUNTIF($A$2:A4075,$A4075)=1,1,0))</f>
        <v>0</v>
      </c>
      <c r="K4075" s="47" t="n">
        <f aca="false">IF(J4075=1,N(I4075)+ROW()/10000000,0)</f>
        <v>0</v>
      </c>
      <c r="L4075" s="47" t="str">
        <f aca="false">IF(AND(J4075=1,N(I4075)&gt;0),SUMIF($K$2:$K$5001,"&gt;="&amp;K4075,$I$2:$I$5001)/MAX(1,SUM($H$2:$H$5001)),"")</f>
        <v/>
      </c>
      <c r="M4075" s="47" t="str">
        <f aca="false">IF($A4075="","",INDEX($L$2:$L$5001,MATCH($A4075,$A$2:$A$5001,0)))</f>
        <v/>
      </c>
      <c r="N4075" s="48" t="str">
        <f aca="false">IF($A4075="","",IF(N(M4075)=0,"–",IF(M4075&lt;=Start!$D$20,"A",IF(M4075&lt;=Start!$D$21,"B","C"))))</f>
        <v/>
      </c>
      <c r="O4075" s="48" t="str">
        <f aca="false">IF($A4075="","",IF(NOT(ISNUMBER(F4075)),"Wert fehlt; ",IF(F4075&lt;=0,"Wert ist 0; ",""))&amp;IF(NOT(ISNUMBER(E4075)),"Bestand fehlt; ",IF(E4075&lt;0,"Bestand negativ; ",IF(E4075=0,"Nullbestand; ","")))&amp;IF(D4075="","Warengruppe fehlt; ","")&amp;IF(B4075="","Bezeichnung fehlt; ","")&amp;IF(COUNTIFS($A$2:$A$5001,$A4075,$C$2:$C$5001,C4075)&gt;1,"Artikel doppelt im selben Lager; ",""))</f>
        <v/>
      </c>
      <c r="P4075" s="47" t="n">
        <f aca="false">IF(OR($A4075="",D4075=""),0,IF(COUNTIF($D$2:D4075,D4075)=1,SUMIF($D$2:$D$5001,D4075,$H$2:$H$5001)+ROW()/10000000,0))</f>
        <v>0</v>
      </c>
      <c r="Q4075" s="47" t="n">
        <f aca="false">IF(OR($A4075="",C4075=""),0,IF(COUNTIF($C$2:C4075,C4075)=1,SUMIF($C$2:$C$5001,C4075,$H$2:$H$5001)+ROW()/10000000,0))</f>
        <v>0</v>
      </c>
    </row>
    <row r="4076" customFormat="false" ht="15" hidden="false" customHeight="false" outlineLevel="0" collapsed="false">
      <c r="A4076" s="43"/>
      <c r="B4076" s="44"/>
      <c r="C4076" s="44"/>
      <c r="D4076" s="44"/>
      <c r="E4076" s="44"/>
      <c r="F4076" s="44"/>
      <c r="G4076" s="44"/>
      <c r="H4076" s="46" t="str">
        <f aca="false">IF($A4076="","",IF(OR(NOT(ISNUMBER(E4076)),NOT(ISNUMBER(F4076))),"",MAX(0,E4076)*F4076))</f>
        <v/>
      </c>
      <c r="I4076" s="46" t="str">
        <f aca="false">IF($A4076="","",SUMIF($A$2:$A$5001,$A4076,$H$2:$H$5001))</f>
        <v/>
      </c>
      <c r="J4076" s="47" t="n">
        <f aca="false">IF($A4076="",0,IF(COUNTIF($A$2:A4076,$A4076)=1,1,0))</f>
        <v>0</v>
      </c>
      <c r="K4076" s="47" t="n">
        <f aca="false">IF(J4076=1,N(I4076)+ROW()/10000000,0)</f>
        <v>0</v>
      </c>
      <c r="L4076" s="47" t="str">
        <f aca="false">IF(AND(J4076=1,N(I4076)&gt;0),SUMIF($K$2:$K$5001,"&gt;="&amp;K4076,$I$2:$I$5001)/MAX(1,SUM($H$2:$H$5001)),"")</f>
        <v/>
      </c>
      <c r="M4076" s="47" t="str">
        <f aca="false">IF($A4076="","",INDEX($L$2:$L$5001,MATCH($A4076,$A$2:$A$5001,0)))</f>
        <v/>
      </c>
      <c r="N4076" s="48" t="str">
        <f aca="false">IF($A4076="","",IF(N(M4076)=0,"–",IF(M4076&lt;=Start!$D$20,"A",IF(M4076&lt;=Start!$D$21,"B","C"))))</f>
        <v/>
      </c>
      <c r="O4076" s="48" t="str">
        <f aca="false">IF($A4076="","",IF(NOT(ISNUMBER(F4076)),"Wert fehlt; ",IF(F4076&lt;=0,"Wert ist 0; ",""))&amp;IF(NOT(ISNUMBER(E4076)),"Bestand fehlt; ",IF(E4076&lt;0,"Bestand negativ; ",IF(E4076=0,"Nullbestand; ","")))&amp;IF(D4076="","Warengruppe fehlt; ","")&amp;IF(B4076="","Bezeichnung fehlt; ","")&amp;IF(COUNTIFS($A$2:$A$5001,$A4076,$C$2:$C$5001,C4076)&gt;1,"Artikel doppelt im selben Lager; ",""))</f>
        <v/>
      </c>
      <c r="P4076" s="47" t="n">
        <f aca="false">IF(OR($A4076="",D4076=""),0,IF(COUNTIF($D$2:D4076,D4076)=1,SUMIF($D$2:$D$5001,D4076,$H$2:$H$5001)+ROW()/10000000,0))</f>
        <v>0</v>
      </c>
      <c r="Q4076" s="47" t="n">
        <f aca="false">IF(OR($A4076="",C4076=""),0,IF(COUNTIF($C$2:C4076,C4076)=1,SUMIF($C$2:$C$5001,C4076,$H$2:$H$5001)+ROW()/10000000,0))</f>
        <v>0</v>
      </c>
    </row>
    <row r="4077" customFormat="false" ht="15" hidden="false" customHeight="false" outlineLevel="0" collapsed="false">
      <c r="A4077" s="43"/>
      <c r="B4077" s="44"/>
      <c r="C4077" s="44"/>
      <c r="D4077" s="44"/>
      <c r="E4077" s="44"/>
      <c r="F4077" s="44"/>
      <c r="G4077" s="44"/>
      <c r="H4077" s="46" t="str">
        <f aca="false">IF($A4077="","",IF(OR(NOT(ISNUMBER(E4077)),NOT(ISNUMBER(F4077))),"",MAX(0,E4077)*F4077))</f>
        <v/>
      </c>
      <c r="I4077" s="46" t="str">
        <f aca="false">IF($A4077="","",SUMIF($A$2:$A$5001,$A4077,$H$2:$H$5001))</f>
        <v/>
      </c>
      <c r="J4077" s="47" t="n">
        <f aca="false">IF($A4077="",0,IF(COUNTIF($A$2:A4077,$A4077)=1,1,0))</f>
        <v>0</v>
      </c>
      <c r="K4077" s="47" t="n">
        <f aca="false">IF(J4077=1,N(I4077)+ROW()/10000000,0)</f>
        <v>0</v>
      </c>
      <c r="L4077" s="47" t="str">
        <f aca="false">IF(AND(J4077=1,N(I4077)&gt;0),SUMIF($K$2:$K$5001,"&gt;="&amp;K4077,$I$2:$I$5001)/MAX(1,SUM($H$2:$H$5001)),"")</f>
        <v/>
      </c>
      <c r="M4077" s="47" t="str">
        <f aca="false">IF($A4077="","",INDEX($L$2:$L$5001,MATCH($A4077,$A$2:$A$5001,0)))</f>
        <v/>
      </c>
      <c r="N4077" s="48" t="str">
        <f aca="false">IF($A4077="","",IF(N(M4077)=0,"–",IF(M4077&lt;=Start!$D$20,"A",IF(M4077&lt;=Start!$D$21,"B","C"))))</f>
        <v/>
      </c>
      <c r="O4077" s="48" t="str">
        <f aca="false">IF($A4077="","",IF(NOT(ISNUMBER(F4077)),"Wert fehlt; ",IF(F4077&lt;=0,"Wert ist 0; ",""))&amp;IF(NOT(ISNUMBER(E4077)),"Bestand fehlt; ",IF(E4077&lt;0,"Bestand negativ; ",IF(E4077=0,"Nullbestand; ","")))&amp;IF(D4077="","Warengruppe fehlt; ","")&amp;IF(B4077="","Bezeichnung fehlt; ","")&amp;IF(COUNTIFS($A$2:$A$5001,$A4077,$C$2:$C$5001,C4077)&gt;1,"Artikel doppelt im selben Lager; ",""))</f>
        <v/>
      </c>
      <c r="P4077" s="47" t="n">
        <f aca="false">IF(OR($A4077="",D4077=""),0,IF(COUNTIF($D$2:D4077,D4077)=1,SUMIF($D$2:$D$5001,D4077,$H$2:$H$5001)+ROW()/10000000,0))</f>
        <v>0</v>
      </c>
      <c r="Q4077" s="47" t="n">
        <f aca="false">IF(OR($A4077="",C4077=""),0,IF(COUNTIF($C$2:C4077,C4077)=1,SUMIF($C$2:$C$5001,C4077,$H$2:$H$5001)+ROW()/10000000,0))</f>
        <v>0</v>
      </c>
    </row>
    <row r="4078" customFormat="false" ht="15" hidden="false" customHeight="false" outlineLevel="0" collapsed="false">
      <c r="A4078" s="43"/>
      <c r="B4078" s="44"/>
      <c r="C4078" s="44"/>
      <c r="D4078" s="44"/>
      <c r="E4078" s="44"/>
      <c r="F4078" s="44"/>
      <c r="G4078" s="44"/>
      <c r="H4078" s="46" t="str">
        <f aca="false">IF($A4078="","",IF(OR(NOT(ISNUMBER(E4078)),NOT(ISNUMBER(F4078))),"",MAX(0,E4078)*F4078))</f>
        <v/>
      </c>
      <c r="I4078" s="46" t="str">
        <f aca="false">IF($A4078="","",SUMIF($A$2:$A$5001,$A4078,$H$2:$H$5001))</f>
        <v/>
      </c>
      <c r="J4078" s="47" t="n">
        <f aca="false">IF($A4078="",0,IF(COUNTIF($A$2:A4078,$A4078)=1,1,0))</f>
        <v>0</v>
      </c>
      <c r="K4078" s="47" t="n">
        <f aca="false">IF(J4078=1,N(I4078)+ROW()/10000000,0)</f>
        <v>0</v>
      </c>
      <c r="L4078" s="47" t="str">
        <f aca="false">IF(AND(J4078=1,N(I4078)&gt;0),SUMIF($K$2:$K$5001,"&gt;="&amp;K4078,$I$2:$I$5001)/MAX(1,SUM($H$2:$H$5001)),"")</f>
        <v/>
      </c>
      <c r="M4078" s="47" t="str">
        <f aca="false">IF($A4078="","",INDEX($L$2:$L$5001,MATCH($A4078,$A$2:$A$5001,0)))</f>
        <v/>
      </c>
      <c r="N4078" s="48" t="str">
        <f aca="false">IF($A4078="","",IF(N(M4078)=0,"–",IF(M4078&lt;=Start!$D$20,"A",IF(M4078&lt;=Start!$D$21,"B","C"))))</f>
        <v/>
      </c>
      <c r="O4078" s="48" t="str">
        <f aca="false">IF($A4078="","",IF(NOT(ISNUMBER(F4078)),"Wert fehlt; ",IF(F4078&lt;=0,"Wert ist 0; ",""))&amp;IF(NOT(ISNUMBER(E4078)),"Bestand fehlt; ",IF(E4078&lt;0,"Bestand negativ; ",IF(E4078=0,"Nullbestand; ","")))&amp;IF(D4078="","Warengruppe fehlt; ","")&amp;IF(B4078="","Bezeichnung fehlt; ","")&amp;IF(COUNTIFS($A$2:$A$5001,$A4078,$C$2:$C$5001,C4078)&gt;1,"Artikel doppelt im selben Lager; ",""))</f>
        <v/>
      </c>
      <c r="P4078" s="47" t="n">
        <f aca="false">IF(OR($A4078="",D4078=""),0,IF(COUNTIF($D$2:D4078,D4078)=1,SUMIF($D$2:$D$5001,D4078,$H$2:$H$5001)+ROW()/10000000,0))</f>
        <v>0</v>
      </c>
      <c r="Q4078" s="47" t="n">
        <f aca="false">IF(OR($A4078="",C4078=""),0,IF(COUNTIF($C$2:C4078,C4078)=1,SUMIF($C$2:$C$5001,C4078,$H$2:$H$5001)+ROW()/10000000,0))</f>
        <v>0</v>
      </c>
    </row>
    <row r="4079" customFormat="false" ht="15" hidden="false" customHeight="false" outlineLevel="0" collapsed="false">
      <c r="A4079" s="43"/>
      <c r="B4079" s="44"/>
      <c r="C4079" s="44"/>
      <c r="D4079" s="44"/>
      <c r="E4079" s="44"/>
      <c r="F4079" s="44"/>
      <c r="G4079" s="44"/>
      <c r="H4079" s="46" t="str">
        <f aca="false">IF($A4079="","",IF(OR(NOT(ISNUMBER(E4079)),NOT(ISNUMBER(F4079))),"",MAX(0,E4079)*F4079))</f>
        <v/>
      </c>
      <c r="I4079" s="46" t="str">
        <f aca="false">IF($A4079="","",SUMIF($A$2:$A$5001,$A4079,$H$2:$H$5001))</f>
        <v/>
      </c>
      <c r="J4079" s="47" t="n">
        <f aca="false">IF($A4079="",0,IF(COUNTIF($A$2:A4079,$A4079)=1,1,0))</f>
        <v>0</v>
      </c>
      <c r="K4079" s="47" t="n">
        <f aca="false">IF(J4079=1,N(I4079)+ROW()/10000000,0)</f>
        <v>0</v>
      </c>
      <c r="L4079" s="47" t="str">
        <f aca="false">IF(AND(J4079=1,N(I4079)&gt;0),SUMIF($K$2:$K$5001,"&gt;="&amp;K4079,$I$2:$I$5001)/MAX(1,SUM($H$2:$H$5001)),"")</f>
        <v/>
      </c>
      <c r="M4079" s="47" t="str">
        <f aca="false">IF($A4079="","",INDEX($L$2:$L$5001,MATCH($A4079,$A$2:$A$5001,0)))</f>
        <v/>
      </c>
      <c r="N4079" s="48" t="str">
        <f aca="false">IF($A4079="","",IF(N(M4079)=0,"–",IF(M4079&lt;=Start!$D$20,"A",IF(M4079&lt;=Start!$D$21,"B","C"))))</f>
        <v/>
      </c>
      <c r="O4079" s="48" t="str">
        <f aca="false">IF($A4079="","",IF(NOT(ISNUMBER(F4079)),"Wert fehlt; ",IF(F4079&lt;=0,"Wert ist 0; ",""))&amp;IF(NOT(ISNUMBER(E4079)),"Bestand fehlt; ",IF(E4079&lt;0,"Bestand negativ; ",IF(E4079=0,"Nullbestand; ","")))&amp;IF(D4079="","Warengruppe fehlt; ","")&amp;IF(B4079="","Bezeichnung fehlt; ","")&amp;IF(COUNTIFS($A$2:$A$5001,$A4079,$C$2:$C$5001,C4079)&gt;1,"Artikel doppelt im selben Lager; ",""))</f>
        <v/>
      </c>
      <c r="P4079" s="47" t="n">
        <f aca="false">IF(OR($A4079="",D4079=""),0,IF(COUNTIF($D$2:D4079,D4079)=1,SUMIF($D$2:$D$5001,D4079,$H$2:$H$5001)+ROW()/10000000,0))</f>
        <v>0</v>
      </c>
      <c r="Q4079" s="47" t="n">
        <f aca="false">IF(OR($A4079="",C4079=""),0,IF(COUNTIF($C$2:C4079,C4079)=1,SUMIF($C$2:$C$5001,C4079,$H$2:$H$5001)+ROW()/10000000,0))</f>
        <v>0</v>
      </c>
    </row>
    <row r="4080" customFormat="false" ht="15" hidden="false" customHeight="false" outlineLevel="0" collapsed="false">
      <c r="A4080" s="43"/>
      <c r="B4080" s="44"/>
      <c r="C4080" s="44"/>
      <c r="D4080" s="44"/>
      <c r="E4080" s="44"/>
      <c r="F4080" s="44"/>
      <c r="G4080" s="44"/>
      <c r="H4080" s="46" t="str">
        <f aca="false">IF($A4080="","",IF(OR(NOT(ISNUMBER(E4080)),NOT(ISNUMBER(F4080))),"",MAX(0,E4080)*F4080))</f>
        <v/>
      </c>
      <c r="I4080" s="46" t="str">
        <f aca="false">IF($A4080="","",SUMIF($A$2:$A$5001,$A4080,$H$2:$H$5001))</f>
        <v/>
      </c>
      <c r="J4080" s="47" t="n">
        <f aca="false">IF($A4080="",0,IF(COUNTIF($A$2:A4080,$A4080)=1,1,0))</f>
        <v>0</v>
      </c>
      <c r="K4080" s="47" t="n">
        <f aca="false">IF(J4080=1,N(I4080)+ROW()/10000000,0)</f>
        <v>0</v>
      </c>
      <c r="L4080" s="47" t="str">
        <f aca="false">IF(AND(J4080=1,N(I4080)&gt;0),SUMIF($K$2:$K$5001,"&gt;="&amp;K4080,$I$2:$I$5001)/MAX(1,SUM($H$2:$H$5001)),"")</f>
        <v/>
      </c>
      <c r="M4080" s="47" t="str">
        <f aca="false">IF($A4080="","",INDEX($L$2:$L$5001,MATCH($A4080,$A$2:$A$5001,0)))</f>
        <v/>
      </c>
      <c r="N4080" s="48" t="str">
        <f aca="false">IF($A4080="","",IF(N(M4080)=0,"–",IF(M4080&lt;=Start!$D$20,"A",IF(M4080&lt;=Start!$D$21,"B","C"))))</f>
        <v/>
      </c>
      <c r="O4080" s="48" t="str">
        <f aca="false">IF($A4080="","",IF(NOT(ISNUMBER(F4080)),"Wert fehlt; ",IF(F4080&lt;=0,"Wert ist 0; ",""))&amp;IF(NOT(ISNUMBER(E4080)),"Bestand fehlt; ",IF(E4080&lt;0,"Bestand negativ; ",IF(E4080=0,"Nullbestand; ","")))&amp;IF(D4080="","Warengruppe fehlt; ","")&amp;IF(B4080="","Bezeichnung fehlt; ","")&amp;IF(COUNTIFS($A$2:$A$5001,$A4080,$C$2:$C$5001,C4080)&gt;1,"Artikel doppelt im selben Lager; ",""))</f>
        <v/>
      </c>
      <c r="P4080" s="47" t="n">
        <f aca="false">IF(OR($A4080="",D4080=""),0,IF(COUNTIF($D$2:D4080,D4080)=1,SUMIF($D$2:$D$5001,D4080,$H$2:$H$5001)+ROW()/10000000,0))</f>
        <v>0</v>
      </c>
      <c r="Q4080" s="47" t="n">
        <f aca="false">IF(OR($A4080="",C4080=""),0,IF(COUNTIF($C$2:C4080,C4080)=1,SUMIF($C$2:$C$5001,C4080,$H$2:$H$5001)+ROW()/10000000,0))</f>
        <v>0</v>
      </c>
    </row>
    <row r="4081" customFormat="false" ht="15" hidden="false" customHeight="false" outlineLevel="0" collapsed="false">
      <c r="A4081" s="43"/>
      <c r="B4081" s="44"/>
      <c r="C4081" s="44"/>
      <c r="D4081" s="44"/>
      <c r="E4081" s="44"/>
      <c r="F4081" s="44"/>
      <c r="G4081" s="44"/>
      <c r="H4081" s="46" t="str">
        <f aca="false">IF($A4081="","",IF(OR(NOT(ISNUMBER(E4081)),NOT(ISNUMBER(F4081))),"",MAX(0,E4081)*F4081))</f>
        <v/>
      </c>
      <c r="I4081" s="46" t="str">
        <f aca="false">IF($A4081="","",SUMIF($A$2:$A$5001,$A4081,$H$2:$H$5001))</f>
        <v/>
      </c>
      <c r="J4081" s="47" t="n">
        <f aca="false">IF($A4081="",0,IF(COUNTIF($A$2:A4081,$A4081)=1,1,0))</f>
        <v>0</v>
      </c>
      <c r="K4081" s="47" t="n">
        <f aca="false">IF(J4081=1,N(I4081)+ROW()/10000000,0)</f>
        <v>0</v>
      </c>
      <c r="L4081" s="47" t="str">
        <f aca="false">IF(AND(J4081=1,N(I4081)&gt;0),SUMIF($K$2:$K$5001,"&gt;="&amp;K4081,$I$2:$I$5001)/MAX(1,SUM($H$2:$H$5001)),"")</f>
        <v/>
      </c>
      <c r="M4081" s="47" t="str">
        <f aca="false">IF($A4081="","",INDEX($L$2:$L$5001,MATCH($A4081,$A$2:$A$5001,0)))</f>
        <v/>
      </c>
      <c r="N4081" s="48" t="str">
        <f aca="false">IF($A4081="","",IF(N(M4081)=0,"–",IF(M4081&lt;=Start!$D$20,"A",IF(M4081&lt;=Start!$D$21,"B","C"))))</f>
        <v/>
      </c>
      <c r="O4081" s="48" t="str">
        <f aca="false">IF($A4081="","",IF(NOT(ISNUMBER(F4081)),"Wert fehlt; ",IF(F4081&lt;=0,"Wert ist 0; ",""))&amp;IF(NOT(ISNUMBER(E4081)),"Bestand fehlt; ",IF(E4081&lt;0,"Bestand negativ; ",IF(E4081=0,"Nullbestand; ","")))&amp;IF(D4081="","Warengruppe fehlt; ","")&amp;IF(B4081="","Bezeichnung fehlt; ","")&amp;IF(COUNTIFS($A$2:$A$5001,$A4081,$C$2:$C$5001,C4081)&gt;1,"Artikel doppelt im selben Lager; ",""))</f>
        <v/>
      </c>
      <c r="P4081" s="47" t="n">
        <f aca="false">IF(OR($A4081="",D4081=""),0,IF(COUNTIF($D$2:D4081,D4081)=1,SUMIF($D$2:$D$5001,D4081,$H$2:$H$5001)+ROW()/10000000,0))</f>
        <v>0</v>
      </c>
      <c r="Q4081" s="47" t="n">
        <f aca="false">IF(OR($A4081="",C4081=""),0,IF(COUNTIF($C$2:C4081,C4081)=1,SUMIF($C$2:$C$5001,C4081,$H$2:$H$5001)+ROW()/10000000,0))</f>
        <v>0</v>
      </c>
    </row>
    <row r="4082" customFormat="false" ht="15" hidden="false" customHeight="false" outlineLevel="0" collapsed="false">
      <c r="A4082" s="43"/>
      <c r="B4082" s="44"/>
      <c r="C4082" s="44"/>
      <c r="D4082" s="44"/>
      <c r="E4082" s="44"/>
      <c r="F4082" s="44"/>
      <c r="G4082" s="44"/>
      <c r="H4082" s="46" t="str">
        <f aca="false">IF($A4082="","",IF(OR(NOT(ISNUMBER(E4082)),NOT(ISNUMBER(F4082))),"",MAX(0,E4082)*F4082))</f>
        <v/>
      </c>
      <c r="I4082" s="46" t="str">
        <f aca="false">IF($A4082="","",SUMIF($A$2:$A$5001,$A4082,$H$2:$H$5001))</f>
        <v/>
      </c>
      <c r="J4082" s="47" t="n">
        <f aca="false">IF($A4082="",0,IF(COUNTIF($A$2:A4082,$A4082)=1,1,0))</f>
        <v>0</v>
      </c>
      <c r="K4082" s="47" t="n">
        <f aca="false">IF(J4082=1,N(I4082)+ROW()/10000000,0)</f>
        <v>0</v>
      </c>
      <c r="L4082" s="47" t="str">
        <f aca="false">IF(AND(J4082=1,N(I4082)&gt;0),SUMIF($K$2:$K$5001,"&gt;="&amp;K4082,$I$2:$I$5001)/MAX(1,SUM($H$2:$H$5001)),"")</f>
        <v/>
      </c>
      <c r="M4082" s="47" t="str">
        <f aca="false">IF($A4082="","",INDEX($L$2:$L$5001,MATCH($A4082,$A$2:$A$5001,0)))</f>
        <v/>
      </c>
      <c r="N4082" s="48" t="str">
        <f aca="false">IF($A4082="","",IF(N(M4082)=0,"–",IF(M4082&lt;=Start!$D$20,"A",IF(M4082&lt;=Start!$D$21,"B","C"))))</f>
        <v/>
      </c>
      <c r="O4082" s="48" t="str">
        <f aca="false">IF($A4082="","",IF(NOT(ISNUMBER(F4082)),"Wert fehlt; ",IF(F4082&lt;=0,"Wert ist 0; ",""))&amp;IF(NOT(ISNUMBER(E4082)),"Bestand fehlt; ",IF(E4082&lt;0,"Bestand negativ; ",IF(E4082=0,"Nullbestand; ","")))&amp;IF(D4082="","Warengruppe fehlt; ","")&amp;IF(B4082="","Bezeichnung fehlt; ","")&amp;IF(COUNTIFS($A$2:$A$5001,$A4082,$C$2:$C$5001,C4082)&gt;1,"Artikel doppelt im selben Lager; ",""))</f>
        <v/>
      </c>
      <c r="P4082" s="47" t="n">
        <f aca="false">IF(OR($A4082="",D4082=""),0,IF(COUNTIF($D$2:D4082,D4082)=1,SUMIF($D$2:$D$5001,D4082,$H$2:$H$5001)+ROW()/10000000,0))</f>
        <v>0</v>
      </c>
      <c r="Q4082" s="47" t="n">
        <f aca="false">IF(OR($A4082="",C4082=""),0,IF(COUNTIF($C$2:C4082,C4082)=1,SUMIF($C$2:$C$5001,C4082,$H$2:$H$5001)+ROW()/10000000,0))</f>
        <v>0</v>
      </c>
    </row>
    <row r="4083" customFormat="false" ht="15" hidden="false" customHeight="false" outlineLevel="0" collapsed="false">
      <c r="A4083" s="43"/>
      <c r="B4083" s="44"/>
      <c r="C4083" s="44"/>
      <c r="D4083" s="44"/>
      <c r="E4083" s="44"/>
      <c r="F4083" s="44"/>
      <c r="G4083" s="44"/>
      <c r="H4083" s="46" t="str">
        <f aca="false">IF($A4083="","",IF(OR(NOT(ISNUMBER(E4083)),NOT(ISNUMBER(F4083))),"",MAX(0,E4083)*F4083))</f>
        <v/>
      </c>
      <c r="I4083" s="46" t="str">
        <f aca="false">IF($A4083="","",SUMIF($A$2:$A$5001,$A4083,$H$2:$H$5001))</f>
        <v/>
      </c>
      <c r="J4083" s="47" t="n">
        <f aca="false">IF($A4083="",0,IF(COUNTIF($A$2:A4083,$A4083)=1,1,0))</f>
        <v>0</v>
      </c>
      <c r="K4083" s="47" t="n">
        <f aca="false">IF(J4083=1,N(I4083)+ROW()/10000000,0)</f>
        <v>0</v>
      </c>
      <c r="L4083" s="47" t="str">
        <f aca="false">IF(AND(J4083=1,N(I4083)&gt;0),SUMIF($K$2:$K$5001,"&gt;="&amp;K4083,$I$2:$I$5001)/MAX(1,SUM($H$2:$H$5001)),"")</f>
        <v/>
      </c>
      <c r="M4083" s="47" t="str">
        <f aca="false">IF($A4083="","",INDEX($L$2:$L$5001,MATCH($A4083,$A$2:$A$5001,0)))</f>
        <v/>
      </c>
      <c r="N4083" s="48" t="str">
        <f aca="false">IF($A4083="","",IF(N(M4083)=0,"–",IF(M4083&lt;=Start!$D$20,"A",IF(M4083&lt;=Start!$D$21,"B","C"))))</f>
        <v/>
      </c>
      <c r="O4083" s="48" t="str">
        <f aca="false">IF($A4083="","",IF(NOT(ISNUMBER(F4083)),"Wert fehlt; ",IF(F4083&lt;=0,"Wert ist 0; ",""))&amp;IF(NOT(ISNUMBER(E4083)),"Bestand fehlt; ",IF(E4083&lt;0,"Bestand negativ; ",IF(E4083=0,"Nullbestand; ","")))&amp;IF(D4083="","Warengruppe fehlt; ","")&amp;IF(B4083="","Bezeichnung fehlt; ","")&amp;IF(COUNTIFS($A$2:$A$5001,$A4083,$C$2:$C$5001,C4083)&gt;1,"Artikel doppelt im selben Lager; ",""))</f>
        <v/>
      </c>
      <c r="P4083" s="47" t="n">
        <f aca="false">IF(OR($A4083="",D4083=""),0,IF(COUNTIF($D$2:D4083,D4083)=1,SUMIF($D$2:$D$5001,D4083,$H$2:$H$5001)+ROW()/10000000,0))</f>
        <v>0</v>
      </c>
      <c r="Q4083" s="47" t="n">
        <f aca="false">IF(OR($A4083="",C4083=""),0,IF(COUNTIF($C$2:C4083,C4083)=1,SUMIF($C$2:$C$5001,C4083,$H$2:$H$5001)+ROW()/10000000,0))</f>
        <v>0</v>
      </c>
    </row>
    <row r="4084" customFormat="false" ht="15" hidden="false" customHeight="false" outlineLevel="0" collapsed="false">
      <c r="A4084" s="43"/>
      <c r="B4084" s="44"/>
      <c r="C4084" s="44"/>
      <c r="D4084" s="44"/>
      <c r="E4084" s="44"/>
      <c r="F4084" s="44"/>
      <c r="G4084" s="44"/>
      <c r="H4084" s="46" t="str">
        <f aca="false">IF($A4084="","",IF(OR(NOT(ISNUMBER(E4084)),NOT(ISNUMBER(F4084))),"",MAX(0,E4084)*F4084))</f>
        <v/>
      </c>
      <c r="I4084" s="46" t="str">
        <f aca="false">IF($A4084="","",SUMIF($A$2:$A$5001,$A4084,$H$2:$H$5001))</f>
        <v/>
      </c>
      <c r="J4084" s="47" t="n">
        <f aca="false">IF($A4084="",0,IF(COUNTIF($A$2:A4084,$A4084)=1,1,0))</f>
        <v>0</v>
      </c>
      <c r="K4084" s="47" t="n">
        <f aca="false">IF(J4084=1,N(I4084)+ROW()/10000000,0)</f>
        <v>0</v>
      </c>
      <c r="L4084" s="47" t="str">
        <f aca="false">IF(AND(J4084=1,N(I4084)&gt;0),SUMIF($K$2:$K$5001,"&gt;="&amp;K4084,$I$2:$I$5001)/MAX(1,SUM($H$2:$H$5001)),"")</f>
        <v/>
      </c>
      <c r="M4084" s="47" t="str">
        <f aca="false">IF($A4084="","",INDEX($L$2:$L$5001,MATCH($A4084,$A$2:$A$5001,0)))</f>
        <v/>
      </c>
      <c r="N4084" s="48" t="str">
        <f aca="false">IF($A4084="","",IF(N(M4084)=0,"–",IF(M4084&lt;=Start!$D$20,"A",IF(M4084&lt;=Start!$D$21,"B","C"))))</f>
        <v/>
      </c>
      <c r="O4084" s="48" t="str">
        <f aca="false">IF($A4084="","",IF(NOT(ISNUMBER(F4084)),"Wert fehlt; ",IF(F4084&lt;=0,"Wert ist 0; ",""))&amp;IF(NOT(ISNUMBER(E4084)),"Bestand fehlt; ",IF(E4084&lt;0,"Bestand negativ; ",IF(E4084=0,"Nullbestand; ","")))&amp;IF(D4084="","Warengruppe fehlt; ","")&amp;IF(B4084="","Bezeichnung fehlt; ","")&amp;IF(COUNTIFS($A$2:$A$5001,$A4084,$C$2:$C$5001,C4084)&gt;1,"Artikel doppelt im selben Lager; ",""))</f>
        <v/>
      </c>
      <c r="P4084" s="47" t="n">
        <f aca="false">IF(OR($A4084="",D4084=""),0,IF(COUNTIF($D$2:D4084,D4084)=1,SUMIF($D$2:$D$5001,D4084,$H$2:$H$5001)+ROW()/10000000,0))</f>
        <v>0</v>
      </c>
      <c r="Q4084" s="47" t="n">
        <f aca="false">IF(OR($A4084="",C4084=""),0,IF(COUNTIF($C$2:C4084,C4084)=1,SUMIF($C$2:$C$5001,C4084,$H$2:$H$5001)+ROW()/10000000,0))</f>
        <v>0</v>
      </c>
    </row>
    <row r="4085" customFormat="false" ht="15" hidden="false" customHeight="false" outlineLevel="0" collapsed="false">
      <c r="A4085" s="43"/>
      <c r="B4085" s="44"/>
      <c r="C4085" s="44"/>
      <c r="D4085" s="44"/>
      <c r="E4085" s="44"/>
      <c r="F4085" s="44"/>
      <c r="G4085" s="44"/>
      <c r="H4085" s="46" t="str">
        <f aca="false">IF($A4085="","",IF(OR(NOT(ISNUMBER(E4085)),NOT(ISNUMBER(F4085))),"",MAX(0,E4085)*F4085))</f>
        <v/>
      </c>
      <c r="I4085" s="46" t="str">
        <f aca="false">IF($A4085="","",SUMIF($A$2:$A$5001,$A4085,$H$2:$H$5001))</f>
        <v/>
      </c>
      <c r="J4085" s="47" t="n">
        <f aca="false">IF($A4085="",0,IF(COUNTIF($A$2:A4085,$A4085)=1,1,0))</f>
        <v>0</v>
      </c>
      <c r="K4085" s="47" t="n">
        <f aca="false">IF(J4085=1,N(I4085)+ROW()/10000000,0)</f>
        <v>0</v>
      </c>
      <c r="L4085" s="47" t="str">
        <f aca="false">IF(AND(J4085=1,N(I4085)&gt;0),SUMIF($K$2:$K$5001,"&gt;="&amp;K4085,$I$2:$I$5001)/MAX(1,SUM($H$2:$H$5001)),"")</f>
        <v/>
      </c>
      <c r="M4085" s="47" t="str">
        <f aca="false">IF($A4085="","",INDEX($L$2:$L$5001,MATCH($A4085,$A$2:$A$5001,0)))</f>
        <v/>
      </c>
      <c r="N4085" s="48" t="str">
        <f aca="false">IF($A4085="","",IF(N(M4085)=0,"–",IF(M4085&lt;=Start!$D$20,"A",IF(M4085&lt;=Start!$D$21,"B","C"))))</f>
        <v/>
      </c>
      <c r="O4085" s="48" t="str">
        <f aca="false">IF($A4085="","",IF(NOT(ISNUMBER(F4085)),"Wert fehlt; ",IF(F4085&lt;=0,"Wert ist 0; ",""))&amp;IF(NOT(ISNUMBER(E4085)),"Bestand fehlt; ",IF(E4085&lt;0,"Bestand negativ; ",IF(E4085=0,"Nullbestand; ","")))&amp;IF(D4085="","Warengruppe fehlt; ","")&amp;IF(B4085="","Bezeichnung fehlt; ","")&amp;IF(COUNTIFS($A$2:$A$5001,$A4085,$C$2:$C$5001,C4085)&gt;1,"Artikel doppelt im selben Lager; ",""))</f>
        <v/>
      </c>
      <c r="P4085" s="47" t="n">
        <f aca="false">IF(OR($A4085="",D4085=""),0,IF(COUNTIF($D$2:D4085,D4085)=1,SUMIF($D$2:$D$5001,D4085,$H$2:$H$5001)+ROW()/10000000,0))</f>
        <v>0</v>
      </c>
      <c r="Q4085" s="47" t="n">
        <f aca="false">IF(OR($A4085="",C4085=""),0,IF(COUNTIF($C$2:C4085,C4085)=1,SUMIF($C$2:$C$5001,C4085,$H$2:$H$5001)+ROW()/10000000,0))</f>
        <v>0</v>
      </c>
    </row>
    <row r="4086" customFormat="false" ht="15" hidden="false" customHeight="false" outlineLevel="0" collapsed="false">
      <c r="A4086" s="43"/>
      <c r="B4086" s="44"/>
      <c r="C4086" s="44"/>
      <c r="D4086" s="44"/>
      <c r="E4086" s="44"/>
      <c r="F4086" s="44"/>
      <c r="G4086" s="44"/>
      <c r="H4086" s="46" t="str">
        <f aca="false">IF($A4086="","",IF(OR(NOT(ISNUMBER(E4086)),NOT(ISNUMBER(F4086))),"",MAX(0,E4086)*F4086))</f>
        <v/>
      </c>
      <c r="I4086" s="46" t="str">
        <f aca="false">IF($A4086="","",SUMIF($A$2:$A$5001,$A4086,$H$2:$H$5001))</f>
        <v/>
      </c>
      <c r="J4086" s="47" t="n">
        <f aca="false">IF($A4086="",0,IF(COUNTIF($A$2:A4086,$A4086)=1,1,0))</f>
        <v>0</v>
      </c>
      <c r="K4086" s="47" t="n">
        <f aca="false">IF(J4086=1,N(I4086)+ROW()/10000000,0)</f>
        <v>0</v>
      </c>
      <c r="L4086" s="47" t="str">
        <f aca="false">IF(AND(J4086=1,N(I4086)&gt;0),SUMIF($K$2:$K$5001,"&gt;="&amp;K4086,$I$2:$I$5001)/MAX(1,SUM($H$2:$H$5001)),"")</f>
        <v/>
      </c>
      <c r="M4086" s="47" t="str">
        <f aca="false">IF($A4086="","",INDEX($L$2:$L$5001,MATCH($A4086,$A$2:$A$5001,0)))</f>
        <v/>
      </c>
      <c r="N4086" s="48" t="str">
        <f aca="false">IF($A4086="","",IF(N(M4086)=0,"–",IF(M4086&lt;=Start!$D$20,"A",IF(M4086&lt;=Start!$D$21,"B","C"))))</f>
        <v/>
      </c>
      <c r="O4086" s="48" t="str">
        <f aca="false">IF($A4086="","",IF(NOT(ISNUMBER(F4086)),"Wert fehlt; ",IF(F4086&lt;=0,"Wert ist 0; ",""))&amp;IF(NOT(ISNUMBER(E4086)),"Bestand fehlt; ",IF(E4086&lt;0,"Bestand negativ; ",IF(E4086=0,"Nullbestand; ","")))&amp;IF(D4086="","Warengruppe fehlt; ","")&amp;IF(B4086="","Bezeichnung fehlt; ","")&amp;IF(COUNTIFS($A$2:$A$5001,$A4086,$C$2:$C$5001,C4086)&gt;1,"Artikel doppelt im selben Lager; ",""))</f>
        <v/>
      </c>
      <c r="P4086" s="47" t="n">
        <f aca="false">IF(OR($A4086="",D4086=""),0,IF(COUNTIF($D$2:D4086,D4086)=1,SUMIF($D$2:$D$5001,D4086,$H$2:$H$5001)+ROW()/10000000,0))</f>
        <v>0</v>
      </c>
      <c r="Q4086" s="47" t="n">
        <f aca="false">IF(OR($A4086="",C4086=""),0,IF(COUNTIF($C$2:C4086,C4086)=1,SUMIF($C$2:$C$5001,C4086,$H$2:$H$5001)+ROW()/10000000,0))</f>
        <v>0</v>
      </c>
    </row>
    <row r="4087" customFormat="false" ht="15" hidden="false" customHeight="false" outlineLevel="0" collapsed="false">
      <c r="A4087" s="43"/>
      <c r="B4087" s="44"/>
      <c r="C4087" s="44"/>
      <c r="D4087" s="44"/>
      <c r="E4087" s="44"/>
      <c r="F4087" s="44"/>
      <c r="G4087" s="44"/>
      <c r="H4087" s="46" t="str">
        <f aca="false">IF($A4087="","",IF(OR(NOT(ISNUMBER(E4087)),NOT(ISNUMBER(F4087))),"",MAX(0,E4087)*F4087))</f>
        <v/>
      </c>
      <c r="I4087" s="46" t="str">
        <f aca="false">IF($A4087="","",SUMIF($A$2:$A$5001,$A4087,$H$2:$H$5001))</f>
        <v/>
      </c>
      <c r="J4087" s="47" t="n">
        <f aca="false">IF($A4087="",0,IF(COUNTIF($A$2:A4087,$A4087)=1,1,0))</f>
        <v>0</v>
      </c>
      <c r="K4087" s="47" t="n">
        <f aca="false">IF(J4087=1,N(I4087)+ROW()/10000000,0)</f>
        <v>0</v>
      </c>
      <c r="L4087" s="47" t="str">
        <f aca="false">IF(AND(J4087=1,N(I4087)&gt;0),SUMIF($K$2:$K$5001,"&gt;="&amp;K4087,$I$2:$I$5001)/MAX(1,SUM($H$2:$H$5001)),"")</f>
        <v/>
      </c>
      <c r="M4087" s="47" t="str">
        <f aca="false">IF($A4087="","",INDEX($L$2:$L$5001,MATCH($A4087,$A$2:$A$5001,0)))</f>
        <v/>
      </c>
      <c r="N4087" s="48" t="str">
        <f aca="false">IF($A4087="","",IF(N(M4087)=0,"–",IF(M4087&lt;=Start!$D$20,"A",IF(M4087&lt;=Start!$D$21,"B","C"))))</f>
        <v/>
      </c>
      <c r="O4087" s="48" t="str">
        <f aca="false">IF($A4087="","",IF(NOT(ISNUMBER(F4087)),"Wert fehlt; ",IF(F4087&lt;=0,"Wert ist 0; ",""))&amp;IF(NOT(ISNUMBER(E4087)),"Bestand fehlt; ",IF(E4087&lt;0,"Bestand negativ; ",IF(E4087=0,"Nullbestand; ","")))&amp;IF(D4087="","Warengruppe fehlt; ","")&amp;IF(B4087="","Bezeichnung fehlt; ","")&amp;IF(COUNTIFS($A$2:$A$5001,$A4087,$C$2:$C$5001,C4087)&gt;1,"Artikel doppelt im selben Lager; ",""))</f>
        <v/>
      </c>
      <c r="P4087" s="47" t="n">
        <f aca="false">IF(OR($A4087="",D4087=""),0,IF(COUNTIF($D$2:D4087,D4087)=1,SUMIF($D$2:$D$5001,D4087,$H$2:$H$5001)+ROW()/10000000,0))</f>
        <v>0</v>
      </c>
      <c r="Q4087" s="47" t="n">
        <f aca="false">IF(OR($A4087="",C4087=""),0,IF(COUNTIF($C$2:C4087,C4087)=1,SUMIF($C$2:$C$5001,C4087,$H$2:$H$5001)+ROW()/10000000,0))</f>
        <v>0</v>
      </c>
    </row>
    <row r="4088" customFormat="false" ht="15" hidden="false" customHeight="false" outlineLevel="0" collapsed="false">
      <c r="A4088" s="43"/>
      <c r="B4088" s="44"/>
      <c r="C4088" s="44"/>
      <c r="D4088" s="44"/>
      <c r="E4088" s="44"/>
      <c r="F4088" s="44"/>
      <c r="G4088" s="44"/>
      <c r="H4088" s="46" t="str">
        <f aca="false">IF($A4088="","",IF(OR(NOT(ISNUMBER(E4088)),NOT(ISNUMBER(F4088))),"",MAX(0,E4088)*F4088))</f>
        <v/>
      </c>
      <c r="I4088" s="46" t="str">
        <f aca="false">IF($A4088="","",SUMIF($A$2:$A$5001,$A4088,$H$2:$H$5001))</f>
        <v/>
      </c>
      <c r="J4088" s="47" t="n">
        <f aca="false">IF($A4088="",0,IF(COUNTIF($A$2:A4088,$A4088)=1,1,0))</f>
        <v>0</v>
      </c>
      <c r="K4088" s="47" t="n">
        <f aca="false">IF(J4088=1,N(I4088)+ROW()/10000000,0)</f>
        <v>0</v>
      </c>
      <c r="L4088" s="47" t="str">
        <f aca="false">IF(AND(J4088=1,N(I4088)&gt;0),SUMIF($K$2:$K$5001,"&gt;="&amp;K4088,$I$2:$I$5001)/MAX(1,SUM($H$2:$H$5001)),"")</f>
        <v/>
      </c>
      <c r="M4088" s="47" t="str">
        <f aca="false">IF($A4088="","",INDEX($L$2:$L$5001,MATCH($A4088,$A$2:$A$5001,0)))</f>
        <v/>
      </c>
      <c r="N4088" s="48" t="str">
        <f aca="false">IF($A4088="","",IF(N(M4088)=0,"–",IF(M4088&lt;=Start!$D$20,"A",IF(M4088&lt;=Start!$D$21,"B","C"))))</f>
        <v/>
      </c>
      <c r="O4088" s="48" t="str">
        <f aca="false">IF($A4088="","",IF(NOT(ISNUMBER(F4088)),"Wert fehlt; ",IF(F4088&lt;=0,"Wert ist 0; ",""))&amp;IF(NOT(ISNUMBER(E4088)),"Bestand fehlt; ",IF(E4088&lt;0,"Bestand negativ; ",IF(E4088=0,"Nullbestand; ","")))&amp;IF(D4088="","Warengruppe fehlt; ","")&amp;IF(B4088="","Bezeichnung fehlt; ","")&amp;IF(COUNTIFS($A$2:$A$5001,$A4088,$C$2:$C$5001,C4088)&gt;1,"Artikel doppelt im selben Lager; ",""))</f>
        <v/>
      </c>
      <c r="P4088" s="47" t="n">
        <f aca="false">IF(OR($A4088="",D4088=""),0,IF(COUNTIF($D$2:D4088,D4088)=1,SUMIF($D$2:$D$5001,D4088,$H$2:$H$5001)+ROW()/10000000,0))</f>
        <v>0</v>
      </c>
      <c r="Q4088" s="47" t="n">
        <f aca="false">IF(OR($A4088="",C4088=""),0,IF(COUNTIF($C$2:C4088,C4088)=1,SUMIF($C$2:$C$5001,C4088,$H$2:$H$5001)+ROW()/10000000,0))</f>
        <v>0</v>
      </c>
    </row>
    <row r="4089" customFormat="false" ht="15" hidden="false" customHeight="false" outlineLevel="0" collapsed="false">
      <c r="A4089" s="43"/>
      <c r="B4089" s="44"/>
      <c r="C4089" s="44"/>
      <c r="D4089" s="44"/>
      <c r="E4089" s="44"/>
      <c r="F4089" s="44"/>
      <c r="G4089" s="44"/>
      <c r="H4089" s="46" t="str">
        <f aca="false">IF($A4089="","",IF(OR(NOT(ISNUMBER(E4089)),NOT(ISNUMBER(F4089))),"",MAX(0,E4089)*F4089))</f>
        <v/>
      </c>
      <c r="I4089" s="46" t="str">
        <f aca="false">IF($A4089="","",SUMIF($A$2:$A$5001,$A4089,$H$2:$H$5001))</f>
        <v/>
      </c>
      <c r="J4089" s="47" t="n">
        <f aca="false">IF($A4089="",0,IF(COUNTIF($A$2:A4089,$A4089)=1,1,0))</f>
        <v>0</v>
      </c>
      <c r="K4089" s="47" t="n">
        <f aca="false">IF(J4089=1,N(I4089)+ROW()/10000000,0)</f>
        <v>0</v>
      </c>
      <c r="L4089" s="47" t="str">
        <f aca="false">IF(AND(J4089=1,N(I4089)&gt;0),SUMIF($K$2:$K$5001,"&gt;="&amp;K4089,$I$2:$I$5001)/MAX(1,SUM($H$2:$H$5001)),"")</f>
        <v/>
      </c>
      <c r="M4089" s="47" t="str">
        <f aca="false">IF($A4089="","",INDEX($L$2:$L$5001,MATCH($A4089,$A$2:$A$5001,0)))</f>
        <v/>
      </c>
      <c r="N4089" s="48" t="str">
        <f aca="false">IF($A4089="","",IF(N(M4089)=0,"–",IF(M4089&lt;=Start!$D$20,"A",IF(M4089&lt;=Start!$D$21,"B","C"))))</f>
        <v/>
      </c>
      <c r="O4089" s="48" t="str">
        <f aca="false">IF($A4089="","",IF(NOT(ISNUMBER(F4089)),"Wert fehlt; ",IF(F4089&lt;=0,"Wert ist 0; ",""))&amp;IF(NOT(ISNUMBER(E4089)),"Bestand fehlt; ",IF(E4089&lt;0,"Bestand negativ; ",IF(E4089=0,"Nullbestand; ","")))&amp;IF(D4089="","Warengruppe fehlt; ","")&amp;IF(B4089="","Bezeichnung fehlt; ","")&amp;IF(COUNTIFS($A$2:$A$5001,$A4089,$C$2:$C$5001,C4089)&gt;1,"Artikel doppelt im selben Lager; ",""))</f>
        <v/>
      </c>
      <c r="P4089" s="47" t="n">
        <f aca="false">IF(OR($A4089="",D4089=""),0,IF(COUNTIF($D$2:D4089,D4089)=1,SUMIF($D$2:$D$5001,D4089,$H$2:$H$5001)+ROW()/10000000,0))</f>
        <v>0</v>
      </c>
      <c r="Q4089" s="47" t="n">
        <f aca="false">IF(OR($A4089="",C4089=""),0,IF(COUNTIF($C$2:C4089,C4089)=1,SUMIF($C$2:$C$5001,C4089,$H$2:$H$5001)+ROW()/10000000,0))</f>
        <v>0</v>
      </c>
    </row>
    <row r="4090" customFormat="false" ht="15" hidden="false" customHeight="false" outlineLevel="0" collapsed="false">
      <c r="A4090" s="43"/>
      <c r="B4090" s="44"/>
      <c r="C4090" s="44"/>
      <c r="D4090" s="44"/>
      <c r="E4090" s="44"/>
      <c r="F4090" s="44"/>
      <c r="G4090" s="44"/>
      <c r="H4090" s="46" t="str">
        <f aca="false">IF($A4090="","",IF(OR(NOT(ISNUMBER(E4090)),NOT(ISNUMBER(F4090))),"",MAX(0,E4090)*F4090))</f>
        <v/>
      </c>
      <c r="I4090" s="46" t="str">
        <f aca="false">IF($A4090="","",SUMIF($A$2:$A$5001,$A4090,$H$2:$H$5001))</f>
        <v/>
      </c>
      <c r="J4090" s="47" t="n">
        <f aca="false">IF($A4090="",0,IF(COUNTIF($A$2:A4090,$A4090)=1,1,0))</f>
        <v>0</v>
      </c>
      <c r="K4090" s="47" t="n">
        <f aca="false">IF(J4090=1,N(I4090)+ROW()/10000000,0)</f>
        <v>0</v>
      </c>
      <c r="L4090" s="47" t="str">
        <f aca="false">IF(AND(J4090=1,N(I4090)&gt;0),SUMIF($K$2:$K$5001,"&gt;="&amp;K4090,$I$2:$I$5001)/MAX(1,SUM($H$2:$H$5001)),"")</f>
        <v/>
      </c>
      <c r="M4090" s="47" t="str">
        <f aca="false">IF($A4090="","",INDEX($L$2:$L$5001,MATCH($A4090,$A$2:$A$5001,0)))</f>
        <v/>
      </c>
      <c r="N4090" s="48" t="str">
        <f aca="false">IF($A4090="","",IF(N(M4090)=0,"–",IF(M4090&lt;=Start!$D$20,"A",IF(M4090&lt;=Start!$D$21,"B","C"))))</f>
        <v/>
      </c>
      <c r="O4090" s="48" t="str">
        <f aca="false">IF($A4090="","",IF(NOT(ISNUMBER(F4090)),"Wert fehlt; ",IF(F4090&lt;=0,"Wert ist 0; ",""))&amp;IF(NOT(ISNUMBER(E4090)),"Bestand fehlt; ",IF(E4090&lt;0,"Bestand negativ; ",IF(E4090=0,"Nullbestand; ","")))&amp;IF(D4090="","Warengruppe fehlt; ","")&amp;IF(B4090="","Bezeichnung fehlt; ","")&amp;IF(COUNTIFS($A$2:$A$5001,$A4090,$C$2:$C$5001,C4090)&gt;1,"Artikel doppelt im selben Lager; ",""))</f>
        <v/>
      </c>
      <c r="P4090" s="47" t="n">
        <f aca="false">IF(OR($A4090="",D4090=""),0,IF(COUNTIF($D$2:D4090,D4090)=1,SUMIF($D$2:$D$5001,D4090,$H$2:$H$5001)+ROW()/10000000,0))</f>
        <v>0</v>
      </c>
      <c r="Q4090" s="47" t="n">
        <f aca="false">IF(OR($A4090="",C4090=""),0,IF(COUNTIF($C$2:C4090,C4090)=1,SUMIF($C$2:$C$5001,C4090,$H$2:$H$5001)+ROW()/10000000,0))</f>
        <v>0</v>
      </c>
    </row>
    <row r="4091" customFormat="false" ht="15" hidden="false" customHeight="false" outlineLevel="0" collapsed="false">
      <c r="A4091" s="43"/>
      <c r="B4091" s="44"/>
      <c r="C4091" s="44"/>
      <c r="D4091" s="44"/>
      <c r="E4091" s="44"/>
      <c r="F4091" s="44"/>
      <c r="G4091" s="44"/>
      <c r="H4091" s="46" t="str">
        <f aca="false">IF($A4091="","",IF(OR(NOT(ISNUMBER(E4091)),NOT(ISNUMBER(F4091))),"",MAX(0,E4091)*F4091))</f>
        <v/>
      </c>
      <c r="I4091" s="46" t="str">
        <f aca="false">IF($A4091="","",SUMIF($A$2:$A$5001,$A4091,$H$2:$H$5001))</f>
        <v/>
      </c>
      <c r="J4091" s="47" t="n">
        <f aca="false">IF($A4091="",0,IF(COUNTIF($A$2:A4091,$A4091)=1,1,0))</f>
        <v>0</v>
      </c>
      <c r="K4091" s="47" t="n">
        <f aca="false">IF(J4091=1,N(I4091)+ROW()/10000000,0)</f>
        <v>0</v>
      </c>
      <c r="L4091" s="47" t="str">
        <f aca="false">IF(AND(J4091=1,N(I4091)&gt;0),SUMIF($K$2:$K$5001,"&gt;="&amp;K4091,$I$2:$I$5001)/MAX(1,SUM($H$2:$H$5001)),"")</f>
        <v/>
      </c>
      <c r="M4091" s="47" t="str">
        <f aca="false">IF($A4091="","",INDEX($L$2:$L$5001,MATCH($A4091,$A$2:$A$5001,0)))</f>
        <v/>
      </c>
      <c r="N4091" s="48" t="str">
        <f aca="false">IF($A4091="","",IF(N(M4091)=0,"–",IF(M4091&lt;=Start!$D$20,"A",IF(M4091&lt;=Start!$D$21,"B","C"))))</f>
        <v/>
      </c>
      <c r="O4091" s="48" t="str">
        <f aca="false">IF($A4091="","",IF(NOT(ISNUMBER(F4091)),"Wert fehlt; ",IF(F4091&lt;=0,"Wert ist 0; ",""))&amp;IF(NOT(ISNUMBER(E4091)),"Bestand fehlt; ",IF(E4091&lt;0,"Bestand negativ; ",IF(E4091=0,"Nullbestand; ","")))&amp;IF(D4091="","Warengruppe fehlt; ","")&amp;IF(B4091="","Bezeichnung fehlt; ","")&amp;IF(COUNTIFS($A$2:$A$5001,$A4091,$C$2:$C$5001,C4091)&gt;1,"Artikel doppelt im selben Lager; ",""))</f>
        <v/>
      </c>
      <c r="P4091" s="47" t="n">
        <f aca="false">IF(OR($A4091="",D4091=""),0,IF(COUNTIF($D$2:D4091,D4091)=1,SUMIF($D$2:$D$5001,D4091,$H$2:$H$5001)+ROW()/10000000,0))</f>
        <v>0</v>
      </c>
      <c r="Q4091" s="47" t="n">
        <f aca="false">IF(OR($A4091="",C4091=""),0,IF(COUNTIF($C$2:C4091,C4091)=1,SUMIF($C$2:$C$5001,C4091,$H$2:$H$5001)+ROW()/10000000,0))</f>
        <v>0</v>
      </c>
    </row>
    <row r="4092" customFormat="false" ht="15" hidden="false" customHeight="false" outlineLevel="0" collapsed="false">
      <c r="A4092" s="43"/>
      <c r="B4092" s="44"/>
      <c r="C4092" s="44"/>
      <c r="D4092" s="44"/>
      <c r="E4092" s="44"/>
      <c r="F4092" s="44"/>
      <c r="G4092" s="44"/>
      <c r="H4092" s="46" t="str">
        <f aca="false">IF($A4092="","",IF(OR(NOT(ISNUMBER(E4092)),NOT(ISNUMBER(F4092))),"",MAX(0,E4092)*F4092))</f>
        <v/>
      </c>
      <c r="I4092" s="46" t="str">
        <f aca="false">IF($A4092="","",SUMIF($A$2:$A$5001,$A4092,$H$2:$H$5001))</f>
        <v/>
      </c>
      <c r="J4092" s="47" t="n">
        <f aca="false">IF($A4092="",0,IF(COUNTIF($A$2:A4092,$A4092)=1,1,0))</f>
        <v>0</v>
      </c>
      <c r="K4092" s="47" t="n">
        <f aca="false">IF(J4092=1,N(I4092)+ROW()/10000000,0)</f>
        <v>0</v>
      </c>
      <c r="L4092" s="47" t="str">
        <f aca="false">IF(AND(J4092=1,N(I4092)&gt;0),SUMIF($K$2:$K$5001,"&gt;="&amp;K4092,$I$2:$I$5001)/MAX(1,SUM($H$2:$H$5001)),"")</f>
        <v/>
      </c>
      <c r="M4092" s="47" t="str">
        <f aca="false">IF($A4092="","",INDEX($L$2:$L$5001,MATCH($A4092,$A$2:$A$5001,0)))</f>
        <v/>
      </c>
      <c r="N4092" s="48" t="str">
        <f aca="false">IF($A4092="","",IF(N(M4092)=0,"–",IF(M4092&lt;=Start!$D$20,"A",IF(M4092&lt;=Start!$D$21,"B","C"))))</f>
        <v/>
      </c>
      <c r="O4092" s="48" t="str">
        <f aca="false">IF($A4092="","",IF(NOT(ISNUMBER(F4092)),"Wert fehlt; ",IF(F4092&lt;=0,"Wert ist 0; ",""))&amp;IF(NOT(ISNUMBER(E4092)),"Bestand fehlt; ",IF(E4092&lt;0,"Bestand negativ; ",IF(E4092=0,"Nullbestand; ","")))&amp;IF(D4092="","Warengruppe fehlt; ","")&amp;IF(B4092="","Bezeichnung fehlt; ","")&amp;IF(COUNTIFS($A$2:$A$5001,$A4092,$C$2:$C$5001,C4092)&gt;1,"Artikel doppelt im selben Lager; ",""))</f>
        <v/>
      </c>
      <c r="P4092" s="47" t="n">
        <f aca="false">IF(OR($A4092="",D4092=""),0,IF(COUNTIF($D$2:D4092,D4092)=1,SUMIF($D$2:$D$5001,D4092,$H$2:$H$5001)+ROW()/10000000,0))</f>
        <v>0</v>
      </c>
      <c r="Q4092" s="47" t="n">
        <f aca="false">IF(OR($A4092="",C4092=""),0,IF(COUNTIF($C$2:C4092,C4092)=1,SUMIF($C$2:$C$5001,C4092,$H$2:$H$5001)+ROW()/10000000,0))</f>
        <v>0</v>
      </c>
    </row>
    <row r="4093" customFormat="false" ht="15" hidden="false" customHeight="false" outlineLevel="0" collapsed="false">
      <c r="A4093" s="43"/>
      <c r="B4093" s="44"/>
      <c r="C4093" s="44"/>
      <c r="D4093" s="44"/>
      <c r="E4093" s="44"/>
      <c r="F4093" s="44"/>
      <c r="G4093" s="44"/>
      <c r="H4093" s="46" t="str">
        <f aca="false">IF($A4093="","",IF(OR(NOT(ISNUMBER(E4093)),NOT(ISNUMBER(F4093))),"",MAX(0,E4093)*F4093))</f>
        <v/>
      </c>
      <c r="I4093" s="46" t="str">
        <f aca="false">IF($A4093="","",SUMIF($A$2:$A$5001,$A4093,$H$2:$H$5001))</f>
        <v/>
      </c>
      <c r="J4093" s="47" t="n">
        <f aca="false">IF($A4093="",0,IF(COUNTIF($A$2:A4093,$A4093)=1,1,0))</f>
        <v>0</v>
      </c>
      <c r="K4093" s="47" t="n">
        <f aca="false">IF(J4093=1,N(I4093)+ROW()/10000000,0)</f>
        <v>0</v>
      </c>
      <c r="L4093" s="47" t="str">
        <f aca="false">IF(AND(J4093=1,N(I4093)&gt;0),SUMIF($K$2:$K$5001,"&gt;="&amp;K4093,$I$2:$I$5001)/MAX(1,SUM($H$2:$H$5001)),"")</f>
        <v/>
      </c>
      <c r="M4093" s="47" t="str">
        <f aca="false">IF($A4093="","",INDEX($L$2:$L$5001,MATCH($A4093,$A$2:$A$5001,0)))</f>
        <v/>
      </c>
      <c r="N4093" s="48" t="str">
        <f aca="false">IF($A4093="","",IF(N(M4093)=0,"–",IF(M4093&lt;=Start!$D$20,"A",IF(M4093&lt;=Start!$D$21,"B","C"))))</f>
        <v/>
      </c>
      <c r="O4093" s="48" t="str">
        <f aca="false">IF($A4093="","",IF(NOT(ISNUMBER(F4093)),"Wert fehlt; ",IF(F4093&lt;=0,"Wert ist 0; ",""))&amp;IF(NOT(ISNUMBER(E4093)),"Bestand fehlt; ",IF(E4093&lt;0,"Bestand negativ; ",IF(E4093=0,"Nullbestand; ","")))&amp;IF(D4093="","Warengruppe fehlt; ","")&amp;IF(B4093="","Bezeichnung fehlt; ","")&amp;IF(COUNTIFS($A$2:$A$5001,$A4093,$C$2:$C$5001,C4093)&gt;1,"Artikel doppelt im selben Lager; ",""))</f>
        <v/>
      </c>
      <c r="P4093" s="47" t="n">
        <f aca="false">IF(OR($A4093="",D4093=""),0,IF(COUNTIF($D$2:D4093,D4093)=1,SUMIF($D$2:$D$5001,D4093,$H$2:$H$5001)+ROW()/10000000,0))</f>
        <v>0</v>
      </c>
      <c r="Q4093" s="47" t="n">
        <f aca="false">IF(OR($A4093="",C4093=""),0,IF(COUNTIF($C$2:C4093,C4093)=1,SUMIF($C$2:$C$5001,C4093,$H$2:$H$5001)+ROW()/10000000,0))</f>
        <v>0</v>
      </c>
    </row>
    <row r="4094" customFormat="false" ht="15" hidden="false" customHeight="false" outlineLevel="0" collapsed="false">
      <c r="A4094" s="43"/>
      <c r="B4094" s="44"/>
      <c r="C4094" s="44"/>
      <c r="D4094" s="44"/>
      <c r="E4094" s="44"/>
      <c r="F4094" s="44"/>
      <c r="G4094" s="44"/>
      <c r="H4094" s="46" t="str">
        <f aca="false">IF($A4094="","",IF(OR(NOT(ISNUMBER(E4094)),NOT(ISNUMBER(F4094))),"",MAX(0,E4094)*F4094))</f>
        <v/>
      </c>
      <c r="I4094" s="46" t="str">
        <f aca="false">IF($A4094="","",SUMIF($A$2:$A$5001,$A4094,$H$2:$H$5001))</f>
        <v/>
      </c>
      <c r="J4094" s="47" t="n">
        <f aca="false">IF($A4094="",0,IF(COUNTIF($A$2:A4094,$A4094)=1,1,0))</f>
        <v>0</v>
      </c>
      <c r="K4094" s="47" t="n">
        <f aca="false">IF(J4094=1,N(I4094)+ROW()/10000000,0)</f>
        <v>0</v>
      </c>
      <c r="L4094" s="47" t="str">
        <f aca="false">IF(AND(J4094=1,N(I4094)&gt;0),SUMIF($K$2:$K$5001,"&gt;="&amp;K4094,$I$2:$I$5001)/MAX(1,SUM($H$2:$H$5001)),"")</f>
        <v/>
      </c>
      <c r="M4094" s="47" t="str">
        <f aca="false">IF($A4094="","",INDEX($L$2:$L$5001,MATCH($A4094,$A$2:$A$5001,0)))</f>
        <v/>
      </c>
      <c r="N4094" s="48" t="str">
        <f aca="false">IF($A4094="","",IF(N(M4094)=0,"–",IF(M4094&lt;=Start!$D$20,"A",IF(M4094&lt;=Start!$D$21,"B","C"))))</f>
        <v/>
      </c>
      <c r="O4094" s="48" t="str">
        <f aca="false">IF($A4094="","",IF(NOT(ISNUMBER(F4094)),"Wert fehlt; ",IF(F4094&lt;=0,"Wert ist 0; ",""))&amp;IF(NOT(ISNUMBER(E4094)),"Bestand fehlt; ",IF(E4094&lt;0,"Bestand negativ; ",IF(E4094=0,"Nullbestand; ","")))&amp;IF(D4094="","Warengruppe fehlt; ","")&amp;IF(B4094="","Bezeichnung fehlt; ","")&amp;IF(COUNTIFS($A$2:$A$5001,$A4094,$C$2:$C$5001,C4094)&gt;1,"Artikel doppelt im selben Lager; ",""))</f>
        <v/>
      </c>
      <c r="P4094" s="47" t="n">
        <f aca="false">IF(OR($A4094="",D4094=""),0,IF(COUNTIF($D$2:D4094,D4094)=1,SUMIF($D$2:$D$5001,D4094,$H$2:$H$5001)+ROW()/10000000,0))</f>
        <v>0</v>
      </c>
      <c r="Q4094" s="47" t="n">
        <f aca="false">IF(OR($A4094="",C4094=""),0,IF(COUNTIF($C$2:C4094,C4094)=1,SUMIF($C$2:$C$5001,C4094,$H$2:$H$5001)+ROW()/10000000,0))</f>
        <v>0</v>
      </c>
    </row>
    <row r="4095" customFormat="false" ht="15" hidden="false" customHeight="false" outlineLevel="0" collapsed="false">
      <c r="A4095" s="43"/>
      <c r="B4095" s="44"/>
      <c r="C4095" s="44"/>
      <c r="D4095" s="44"/>
      <c r="E4095" s="44"/>
      <c r="F4095" s="44"/>
      <c r="G4095" s="44"/>
      <c r="H4095" s="46" t="str">
        <f aca="false">IF($A4095="","",IF(OR(NOT(ISNUMBER(E4095)),NOT(ISNUMBER(F4095))),"",MAX(0,E4095)*F4095))</f>
        <v/>
      </c>
      <c r="I4095" s="46" t="str">
        <f aca="false">IF($A4095="","",SUMIF($A$2:$A$5001,$A4095,$H$2:$H$5001))</f>
        <v/>
      </c>
      <c r="J4095" s="47" t="n">
        <f aca="false">IF($A4095="",0,IF(COUNTIF($A$2:A4095,$A4095)=1,1,0))</f>
        <v>0</v>
      </c>
      <c r="K4095" s="47" t="n">
        <f aca="false">IF(J4095=1,N(I4095)+ROW()/10000000,0)</f>
        <v>0</v>
      </c>
      <c r="L4095" s="47" t="str">
        <f aca="false">IF(AND(J4095=1,N(I4095)&gt;0),SUMIF($K$2:$K$5001,"&gt;="&amp;K4095,$I$2:$I$5001)/MAX(1,SUM($H$2:$H$5001)),"")</f>
        <v/>
      </c>
      <c r="M4095" s="47" t="str">
        <f aca="false">IF($A4095="","",INDEX($L$2:$L$5001,MATCH($A4095,$A$2:$A$5001,0)))</f>
        <v/>
      </c>
      <c r="N4095" s="48" t="str">
        <f aca="false">IF($A4095="","",IF(N(M4095)=0,"–",IF(M4095&lt;=Start!$D$20,"A",IF(M4095&lt;=Start!$D$21,"B","C"))))</f>
        <v/>
      </c>
      <c r="O4095" s="48" t="str">
        <f aca="false">IF($A4095="","",IF(NOT(ISNUMBER(F4095)),"Wert fehlt; ",IF(F4095&lt;=0,"Wert ist 0; ",""))&amp;IF(NOT(ISNUMBER(E4095)),"Bestand fehlt; ",IF(E4095&lt;0,"Bestand negativ; ",IF(E4095=0,"Nullbestand; ","")))&amp;IF(D4095="","Warengruppe fehlt; ","")&amp;IF(B4095="","Bezeichnung fehlt; ","")&amp;IF(COUNTIFS($A$2:$A$5001,$A4095,$C$2:$C$5001,C4095)&gt;1,"Artikel doppelt im selben Lager; ",""))</f>
        <v/>
      </c>
      <c r="P4095" s="47" t="n">
        <f aca="false">IF(OR($A4095="",D4095=""),0,IF(COUNTIF($D$2:D4095,D4095)=1,SUMIF($D$2:$D$5001,D4095,$H$2:$H$5001)+ROW()/10000000,0))</f>
        <v>0</v>
      </c>
      <c r="Q4095" s="47" t="n">
        <f aca="false">IF(OR($A4095="",C4095=""),0,IF(COUNTIF($C$2:C4095,C4095)=1,SUMIF($C$2:$C$5001,C4095,$H$2:$H$5001)+ROW()/10000000,0))</f>
        <v>0</v>
      </c>
    </row>
    <row r="4096" customFormat="false" ht="15" hidden="false" customHeight="false" outlineLevel="0" collapsed="false">
      <c r="A4096" s="43"/>
      <c r="B4096" s="44"/>
      <c r="C4096" s="44"/>
      <c r="D4096" s="44"/>
      <c r="E4096" s="44"/>
      <c r="F4096" s="44"/>
      <c r="G4096" s="44"/>
      <c r="H4096" s="46" t="str">
        <f aca="false">IF($A4096="","",IF(OR(NOT(ISNUMBER(E4096)),NOT(ISNUMBER(F4096))),"",MAX(0,E4096)*F4096))</f>
        <v/>
      </c>
      <c r="I4096" s="46" t="str">
        <f aca="false">IF($A4096="","",SUMIF($A$2:$A$5001,$A4096,$H$2:$H$5001))</f>
        <v/>
      </c>
      <c r="J4096" s="47" t="n">
        <f aca="false">IF($A4096="",0,IF(COUNTIF($A$2:A4096,$A4096)=1,1,0))</f>
        <v>0</v>
      </c>
      <c r="K4096" s="47" t="n">
        <f aca="false">IF(J4096=1,N(I4096)+ROW()/10000000,0)</f>
        <v>0</v>
      </c>
      <c r="L4096" s="47" t="str">
        <f aca="false">IF(AND(J4096=1,N(I4096)&gt;0),SUMIF($K$2:$K$5001,"&gt;="&amp;K4096,$I$2:$I$5001)/MAX(1,SUM($H$2:$H$5001)),"")</f>
        <v/>
      </c>
      <c r="M4096" s="47" t="str">
        <f aca="false">IF($A4096="","",INDEX($L$2:$L$5001,MATCH($A4096,$A$2:$A$5001,0)))</f>
        <v/>
      </c>
      <c r="N4096" s="48" t="str">
        <f aca="false">IF($A4096="","",IF(N(M4096)=0,"–",IF(M4096&lt;=Start!$D$20,"A",IF(M4096&lt;=Start!$D$21,"B","C"))))</f>
        <v/>
      </c>
      <c r="O4096" s="48" t="str">
        <f aca="false">IF($A4096="","",IF(NOT(ISNUMBER(F4096)),"Wert fehlt; ",IF(F4096&lt;=0,"Wert ist 0; ",""))&amp;IF(NOT(ISNUMBER(E4096)),"Bestand fehlt; ",IF(E4096&lt;0,"Bestand negativ; ",IF(E4096=0,"Nullbestand; ","")))&amp;IF(D4096="","Warengruppe fehlt; ","")&amp;IF(B4096="","Bezeichnung fehlt; ","")&amp;IF(COUNTIFS($A$2:$A$5001,$A4096,$C$2:$C$5001,C4096)&gt;1,"Artikel doppelt im selben Lager; ",""))</f>
        <v/>
      </c>
      <c r="P4096" s="47" t="n">
        <f aca="false">IF(OR($A4096="",D4096=""),0,IF(COUNTIF($D$2:D4096,D4096)=1,SUMIF($D$2:$D$5001,D4096,$H$2:$H$5001)+ROW()/10000000,0))</f>
        <v>0</v>
      </c>
      <c r="Q4096" s="47" t="n">
        <f aca="false">IF(OR($A4096="",C4096=""),0,IF(COUNTIF($C$2:C4096,C4096)=1,SUMIF($C$2:$C$5001,C4096,$H$2:$H$5001)+ROW()/10000000,0))</f>
        <v>0</v>
      </c>
    </row>
    <row r="4097" customFormat="false" ht="15" hidden="false" customHeight="false" outlineLevel="0" collapsed="false">
      <c r="A4097" s="43"/>
      <c r="B4097" s="44"/>
      <c r="C4097" s="44"/>
      <c r="D4097" s="44"/>
      <c r="E4097" s="44"/>
      <c r="F4097" s="44"/>
      <c r="G4097" s="44"/>
      <c r="H4097" s="46" t="str">
        <f aca="false">IF($A4097="","",IF(OR(NOT(ISNUMBER(E4097)),NOT(ISNUMBER(F4097))),"",MAX(0,E4097)*F4097))</f>
        <v/>
      </c>
      <c r="I4097" s="46" t="str">
        <f aca="false">IF($A4097="","",SUMIF($A$2:$A$5001,$A4097,$H$2:$H$5001))</f>
        <v/>
      </c>
      <c r="J4097" s="47" t="n">
        <f aca="false">IF($A4097="",0,IF(COUNTIF($A$2:A4097,$A4097)=1,1,0))</f>
        <v>0</v>
      </c>
      <c r="K4097" s="47" t="n">
        <f aca="false">IF(J4097=1,N(I4097)+ROW()/10000000,0)</f>
        <v>0</v>
      </c>
      <c r="L4097" s="47" t="str">
        <f aca="false">IF(AND(J4097=1,N(I4097)&gt;0),SUMIF($K$2:$K$5001,"&gt;="&amp;K4097,$I$2:$I$5001)/MAX(1,SUM($H$2:$H$5001)),"")</f>
        <v/>
      </c>
      <c r="M4097" s="47" t="str">
        <f aca="false">IF($A4097="","",INDEX($L$2:$L$5001,MATCH($A4097,$A$2:$A$5001,0)))</f>
        <v/>
      </c>
      <c r="N4097" s="48" t="str">
        <f aca="false">IF($A4097="","",IF(N(M4097)=0,"–",IF(M4097&lt;=Start!$D$20,"A",IF(M4097&lt;=Start!$D$21,"B","C"))))</f>
        <v/>
      </c>
      <c r="O4097" s="48" t="str">
        <f aca="false">IF($A4097="","",IF(NOT(ISNUMBER(F4097)),"Wert fehlt; ",IF(F4097&lt;=0,"Wert ist 0; ",""))&amp;IF(NOT(ISNUMBER(E4097)),"Bestand fehlt; ",IF(E4097&lt;0,"Bestand negativ; ",IF(E4097=0,"Nullbestand; ","")))&amp;IF(D4097="","Warengruppe fehlt; ","")&amp;IF(B4097="","Bezeichnung fehlt; ","")&amp;IF(COUNTIFS($A$2:$A$5001,$A4097,$C$2:$C$5001,C4097)&gt;1,"Artikel doppelt im selben Lager; ",""))</f>
        <v/>
      </c>
      <c r="P4097" s="47" t="n">
        <f aca="false">IF(OR($A4097="",D4097=""),0,IF(COUNTIF($D$2:D4097,D4097)=1,SUMIF($D$2:$D$5001,D4097,$H$2:$H$5001)+ROW()/10000000,0))</f>
        <v>0</v>
      </c>
      <c r="Q4097" s="47" t="n">
        <f aca="false">IF(OR($A4097="",C4097=""),0,IF(COUNTIF($C$2:C4097,C4097)=1,SUMIF($C$2:$C$5001,C4097,$H$2:$H$5001)+ROW()/10000000,0))</f>
        <v>0</v>
      </c>
    </row>
    <row r="4098" customFormat="false" ht="15" hidden="false" customHeight="false" outlineLevel="0" collapsed="false">
      <c r="A4098" s="43"/>
      <c r="B4098" s="44"/>
      <c r="C4098" s="44"/>
      <c r="D4098" s="44"/>
      <c r="E4098" s="44"/>
      <c r="F4098" s="44"/>
      <c r="G4098" s="44"/>
      <c r="H4098" s="46" t="str">
        <f aca="false">IF($A4098="","",IF(OR(NOT(ISNUMBER(E4098)),NOT(ISNUMBER(F4098))),"",MAX(0,E4098)*F4098))</f>
        <v/>
      </c>
      <c r="I4098" s="46" t="str">
        <f aca="false">IF($A4098="","",SUMIF($A$2:$A$5001,$A4098,$H$2:$H$5001))</f>
        <v/>
      </c>
      <c r="J4098" s="47" t="n">
        <f aca="false">IF($A4098="",0,IF(COUNTIF($A$2:A4098,$A4098)=1,1,0))</f>
        <v>0</v>
      </c>
      <c r="K4098" s="47" t="n">
        <f aca="false">IF(J4098=1,N(I4098)+ROW()/10000000,0)</f>
        <v>0</v>
      </c>
      <c r="L4098" s="47" t="str">
        <f aca="false">IF(AND(J4098=1,N(I4098)&gt;0),SUMIF($K$2:$K$5001,"&gt;="&amp;K4098,$I$2:$I$5001)/MAX(1,SUM($H$2:$H$5001)),"")</f>
        <v/>
      </c>
      <c r="M4098" s="47" t="str">
        <f aca="false">IF($A4098="","",INDEX($L$2:$L$5001,MATCH($A4098,$A$2:$A$5001,0)))</f>
        <v/>
      </c>
      <c r="N4098" s="48" t="str">
        <f aca="false">IF($A4098="","",IF(N(M4098)=0,"–",IF(M4098&lt;=Start!$D$20,"A",IF(M4098&lt;=Start!$D$21,"B","C"))))</f>
        <v/>
      </c>
      <c r="O4098" s="48" t="str">
        <f aca="false">IF($A4098="","",IF(NOT(ISNUMBER(F4098)),"Wert fehlt; ",IF(F4098&lt;=0,"Wert ist 0; ",""))&amp;IF(NOT(ISNUMBER(E4098)),"Bestand fehlt; ",IF(E4098&lt;0,"Bestand negativ; ",IF(E4098=0,"Nullbestand; ","")))&amp;IF(D4098="","Warengruppe fehlt; ","")&amp;IF(B4098="","Bezeichnung fehlt; ","")&amp;IF(COUNTIFS($A$2:$A$5001,$A4098,$C$2:$C$5001,C4098)&gt;1,"Artikel doppelt im selben Lager; ",""))</f>
        <v/>
      </c>
      <c r="P4098" s="47" t="n">
        <f aca="false">IF(OR($A4098="",D4098=""),0,IF(COUNTIF($D$2:D4098,D4098)=1,SUMIF($D$2:$D$5001,D4098,$H$2:$H$5001)+ROW()/10000000,0))</f>
        <v>0</v>
      </c>
      <c r="Q4098" s="47" t="n">
        <f aca="false">IF(OR($A4098="",C4098=""),0,IF(COUNTIF($C$2:C4098,C4098)=1,SUMIF($C$2:$C$5001,C4098,$H$2:$H$5001)+ROW()/10000000,0))</f>
        <v>0</v>
      </c>
    </row>
    <row r="4099" customFormat="false" ht="15" hidden="false" customHeight="false" outlineLevel="0" collapsed="false">
      <c r="A4099" s="43"/>
      <c r="B4099" s="44"/>
      <c r="C4099" s="44"/>
      <c r="D4099" s="44"/>
      <c r="E4099" s="44"/>
      <c r="F4099" s="44"/>
      <c r="G4099" s="44"/>
      <c r="H4099" s="46" t="str">
        <f aca="false">IF($A4099="","",IF(OR(NOT(ISNUMBER(E4099)),NOT(ISNUMBER(F4099))),"",MAX(0,E4099)*F4099))</f>
        <v/>
      </c>
      <c r="I4099" s="46" t="str">
        <f aca="false">IF($A4099="","",SUMIF($A$2:$A$5001,$A4099,$H$2:$H$5001))</f>
        <v/>
      </c>
      <c r="J4099" s="47" t="n">
        <f aca="false">IF($A4099="",0,IF(COUNTIF($A$2:A4099,$A4099)=1,1,0))</f>
        <v>0</v>
      </c>
      <c r="K4099" s="47" t="n">
        <f aca="false">IF(J4099=1,N(I4099)+ROW()/10000000,0)</f>
        <v>0</v>
      </c>
      <c r="L4099" s="47" t="str">
        <f aca="false">IF(AND(J4099=1,N(I4099)&gt;0),SUMIF($K$2:$K$5001,"&gt;="&amp;K4099,$I$2:$I$5001)/MAX(1,SUM($H$2:$H$5001)),"")</f>
        <v/>
      </c>
      <c r="M4099" s="47" t="str">
        <f aca="false">IF($A4099="","",INDEX($L$2:$L$5001,MATCH($A4099,$A$2:$A$5001,0)))</f>
        <v/>
      </c>
      <c r="N4099" s="48" t="str">
        <f aca="false">IF($A4099="","",IF(N(M4099)=0,"–",IF(M4099&lt;=Start!$D$20,"A",IF(M4099&lt;=Start!$D$21,"B","C"))))</f>
        <v/>
      </c>
      <c r="O4099" s="48" t="str">
        <f aca="false">IF($A4099="","",IF(NOT(ISNUMBER(F4099)),"Wert fehlt; ",IF(F4099&lt;=0,"Wert ist 0; ",""))&amp;IF(NOT(ISNUMBER(E4099)),"Bestand fehlt; ",IF(E4099&lt;0,"Bestand negativ; ",IF(E4099=0,"Nullbestand; ","")))&amp;IF(D4099="","Warengruppe fehlt; ","")&amp;IF(B4099="","Bezeichnung fehlt; ","")&amp;IF(COUNTIFS($A$2:$A$5001,$A4099,$C$2:$C$5001,C4099)&gt;1,"Artikel doppelt im selben Lager; ",""))</f>
        <v/>
      </c>
      <c r="P4099" s="47" t="n">
        <f aca="false">IF(OR($A4099="",D4099=""),0,IF(COUNTIF($D$2:D4099,D4099)=1,SUMIF($D$2:$D$5001,D4099,$H$2:$H$5001)+ROW()/10000000,0))</f>
        <v>0</v>
      </c>
      <c r="Q4099" s="47" t="n">
        <f aca="false">IF(OR($A4099="",C4099=""),0,IF(COUNTIF($C$2:C4099,C4099)=1,SUMIF($C$2:$C$5001,C4099,$H$2:$H$5001)+ROW()/10000000,0))</f>
        <v>0</v>
      </c>
    </row>
    <row r="4100" customFormat="false" ht="15" hidden="false" customHeight="false" outlineLevel="0" collapsed="false">
      <c r="A4100" s="43"/>
      <c r="B4100" s="44"/>
      <c r="C4100" s="44"/>
      <c r="D4100" s="44"/>
      <c r="E4100" s="44"/>
      <c r="F4100" s="44"/>
      <c r="G4100" s="44"/>
      <c r="H4100" s="46" t="str">
        <f aca="false">IF($A4100="","",IF(OR(NOT(ISNUMBER(E4100)),NOT(ISNUMBER(F4100))),"",MAX(0,E4100)*F4100))</f>
        <v/>
      </c>
      <c r="I4100" s="46" t="str">
        <f aca="false">IF($A4100="","",SUMIF($A$2:$A$5001,$A4100,$H$2:$H$5001))</f>
        <v/>
      </c>
      <c r="J4100" s="47" t="n">
        <f aca="false">IF($A4100="",0,IF(COUNTIF($A$2:A4100,$A4100)=1,1,0))</f>
        <v>0</v>
      </c>
      <c r="K4100" s="47" t="n">
        <f aca="false">IF(J4100=1,N(I4100)+ROW()/10000000,0)</f>
        <v>0</v>
      </c>
      <c r="L4100" s="47" t="str">
        <f aca="false">IF(AND(J4100=1,N(I4100)&gt;0),SUMIF($K$2:$K$5001,"&gt;="&amp;K4100,$I$2:$I$5001)/MAX(1,SUM($H$2:$H$5001)),"")</f>
        <v/>
      </c>
      <c r="M4100" s="47" t="str">
        <f aca="false">IF($A4100="","",INDEX($L$2:$L$5001,MATCH($A4100,$A$2:$A$5001,0)))</f>
        <v/>
      </c>
      <c r="N4100" s="48" t="str">
        <f aca="false">IF($A4100="","",IF(N(M4100)=0,"–",IF(M4100&lt;=Start!$D$20,"A",IF(M4100&lt;=Start!$D$21,"B","C"))))</f>
        <v/>
      </c>
      <c r="O4100" s="48" t="str">
        <f aca="false">IF($A4100="","",IF(NOT(ISNUMBER(F4100)),"Wert fehlt; ",IF(F4100&lt;=0,"Wert ist 0; ",""))&amp;IF(NOT(ISNUMBER(E4100)),"Bestand fehlt; ",IF(E4100&lt;0,"Bestand negativ; ",IF(E4100=0,"Nullbestand; ","")))&amp;IF(D4100="","Warengruppe fehlt; ","")&amp;IF(B4100="","Bezeichnung fehlt; ","")&amp;IF(COUNTIFS($A$2:$A$5001,$A4100,$C$2:$C$5001,C4100)&gt;1,"Artikel doppelt im selben Lager; ",""))</f>
        <v/>
      </c>
      <c r="P4100" s="47" t="n">
        <f aca="false">IF(OR($A4100="",D4100=""),0,IF(COUNTIF($D$2:D4100,D4100)=1,SUMIF($D$2:$D$5001,D4100,$H$2:$H$5001)+ROW()/10000000,0))</f>
        <v>0</v>
      </c>
      <c r="Q4100" s="47" t="n">
        <f aca="false">IF(OR($A4100="",C4100=""),0,IF(COUNTIF($C$2:C4100,C4100)=1,SUMIF($C$2:$C$5001,C4100,$H$2:$H$5001)+ROW()/10000000,0))</f>
        <v>0</v>
      </c>
    </row>
    <row r="4101" customFormat="false" ht="15" hidden="false" customHeight="false" outlineLevel="0" collapsed="false">
      <c r="A4101" s="43"/>
      <c r="B4101" s="44"/>
      <c r="C4101" s="44"/>
      <c r="D4101" s="44"/>
      <c r="E4101" s="44"/>
      <c r="F4101" s="44"/>
      <c r="G4101" s="44"/>
      <c r="H4101" s="46" t="str">
        <f aca="false">IF($A4101="","",IF(OR(NOT(ISNUMBER(E4101)),NOT(ISNUMBER(F4101))),"",MAX(0,E4101)*F4101))</f>
        <v/>
      </c>
      <c r="I4101" s="46" t="str">
        <f aca="false">IF($A4101="","",SUMIF($A$2:$A$5001,$A4101,$H$2:$H$5001))</f>
        <v/>
      </c>
      <c r="J4101" s="47" t="n">
        <f aca="false">IF($A4101="",0,IF(COUNTIF($A$2:A4101,$A4101)=1,1,0))</f>
        <v>0</v>
      </c>
      <c r="K4101" s="47" t="n">
        <f aca="false">IF(J4101=1,N(I4101)+ROW()/10000000,0)</f>
        <v>0</v>
      </c>
      <c r="L4101" s="47" t="str">
        <f aca="false">IF(AND(J4101=1,N(I4101)&gt;0),SUMIF($K$2:$K$5001,"&gt;="&amp;K4101,$I$2:$I$5001)/MAX(1,SUM($H$2:$H$5001)),"")</f>
        <v/>
      </c>
      <c r="M4101" s="47" t="str">
        <f aca="false">IF($A4101="","",INDEX($L$2:$L$5001,MATCH($A4101,$A$2:$A$5001,0)))</f>
        <v/>
      </c>
      <c r="N4101" s="48" t="str">
        <f aca="false">IF($A4101="","",IF(N(M4101)=0,"–",IF(M4101&lt;=Start!$D$20,"A",IF(M4101&lt;=Start!$D$21,"B","C"))))</f>
        <v/>
      </c>
      <c r="O4101" s="48" t="str">
        <f aca="false">IF($A4101="","",IF(NOT(ISNUMBER(F4101)),"Wert fehlt; ",IF(F4101&lt;=0,"Wert ist 0; ",""))&amp;IF(NOT(ISNUMBER(E4101)),"Bestand fehlt; ",IF(E4101&lt;0,"Bestand negativ; ",IF(E4101=0,"Nullbestand; ","")))&amp;IF(D4101="","Warengruppe fehlt; ","")&amp;IF(B4101="","Bezeichnung fehlt; ","")&amp;IF(COUNTIFS($A$2:$A$5001,$A4101,$C$2:$C$5001,C4101)&gt;1,"Artikel doppelt im selben Lager; ",""))</f>
        <v/>
      </c>
      <c r="P4101" s="47" t="n">
        <f aca="false">IF(OR($A4101="",D4101=""),0,IF(COUNTIF($D$2:D4101,D4101)=1,SUMIF($D$2:$D$5001,D4101,$H$2:$H$5001)+ROW()/10000000,0))</f>
        <v>0</v>
      </c>
      <c r="Q4101" s="47" t="n">
        <f aca="false">IF(OR($A4101="",C4101=""),0,IF(COUNTIF($C$2:C4101,C4101)=1,SUMIF($C$2:$C$5001,C4101,$H$2:$H$5001)+ROW()/10000000,0))</f>
        <v>0</v>
      </c>
    </row>
    <row r="4102" customFormat="false" ht="15" hidden="false" customHeight="false" outlineLevel="0" collapsed="false">
      <c r="A4102" s="43"/>
      <c r="B4102" s="44"/>
      <c r="C4102" s="44"/>
      <c r="D4102" s="44"/>
      <c r="E4102" s="44"/>
      <c r="F4102" s="44"/>
      <c r="G4102" s="44"/>
      <c r="H4102" s="46" t="str">
        <f aca="false">IF($A4102="","",IF(OR(NOT(ISNUMBER(E4102)),NOT(ISNUMBER(F4102))),"",MAX(0,E4102)*F4102))</f>
        <v/>
      </c>
      <c r="I4102" s="46" t="str">
        <f aca="false">IF($A4102="","",SUMIF($A$2:$A$5001,$A4102,$H$2:$H$5001))</f>
        <v/>
      </c>
      <c r="J4102" s="47" t="n">
        <f aca="false">IF($A4102="",0,IF(COUNTIF($A$2:A4102,$A4102)=1,1,0))</f>
        <v>0</v>
      </c>
      <c r="K4102" s="47" t="n">
        <f aca="false">IF(J4102=1,N(I4102)+ROW()/10000000,0)</f>
        <v>0</v>
      </c>
      <c r="L4102" s="47" t="str">
        <f aca="false">IF(AND(J4102=1,N(I4102)&gt;0),SUMIF($K$2:$K$5001,"&gt;="&amp;K4102,$I$2:$I$5001)/MAX(1,SUM($H$2:$H$5001)),"")</f>
        <v/>
      </c>
      <c r="M4102" s="47" t="str">
        <f aca="false">IF($A4102="","",INDEX($L$2:$L$5001,MATCH($A4102,$A$2:$A$5001,0)))</f>
        <v/>
      </c>
      <c r="N4102" s="48" t="str">
        <f aca="false">IF($A4102="","",IF(N(M4102)=0,"–",IF(M4102&lt;=Start!$D$20,"A",IF(M4102&lt;=Start!$D$21,"B","C"))))</f>
        <v/>
      </c>
      <c r="O4102" s="48" t="str">
        <f aca="false">IF($A4102="","",IF(NOT(ISNUMBER(F4102)),"Wert fehlt; ",IF(F4102&lt;=0,"Wert ist 0; ",""))&amp;IF(NOT(ISNUMBER(E4102)),"Bestand fehlt; ",IF(E4102&lt;0,"Bestand negativ; ",IF(E4102=0,"Nullbestand; ","")))&amp;IF(D4102="","Warengruppe fehlt; ","")&amp;IF(B4102="","Bezeichnung fehlt; ","")&amp;IF(COUNTIFS($A$2:$A$5001,$A4102,$C$2:$C$5001,C4102)&gt;1,"Artikel doppelt im selben Lager; ",""))</f>
        <v/>
      </c>
      <c r="P4102" s="47" t="n">
        <f aca="false">IF(OR($A4102="",D4102=""),0,IF(COUNTIF($D$2:D4102,D4102)=1,SUMIF($D$2:$D$5001,D4102,$H$2:$H$5001)+ROW()/10000000,0))</f>
        <v>0</v>
      </c>
      <c r="Q4102" s="47" t="n">
        <f aca="false">IF(OR($A4102="",C4102=""),0,IF(COUNTIF($C$2:C4102,C4102)=1,SUMIF($C$2:$C$5001,C4102,$H$2:$H$5001)+ROW()/10000000,0))</f>
        <v>0</v>
      </c>
    </row>
    <row r="4103" customFormat="false" ht="15" hidden="false" customHeight="false" outlineLevel="0" collapsed="false">
      <c r="A4103" s="43"/>
      <c r="B4103" s="44"/>
      <c r="C4103" s="44"/>
      <c r="D4103" s="44"/>
      <c r="E4103" s="44"/>
      <c r="F4103" s="44"/>
      <c r="G4103" s="44"/>
      <c r="H4103" s="46" t="str">
        <f aca="false">IF($A4103="","",IF(OR(NOT(ISNUMBER(E4103)),NOT(ISNUMBER(F4103))),"",MAX(0,E4103)*F4103))</f>
        <v/>
      </c>
      <c r="I4103" s="46" t="str">
        <f aca="false">IF($A4103="","",SUMIF($A$2:$A$5001,$A4103,$H$2:$H$5001))</f>
        <v/>
      </c>
      <c r="J4103" s="47" t="n">
        <f aca="false">IF($A4103="",0,IF(COUNTIF($A$2:A4103,$A4103)=1,1,0))</f>
        <v>0</v>
      </c>
      <c r="K4103" s="47" t="n">
        <f aca="false">IF(J4103=1,N(I4103)+ROW()/10000000,0)</f>
        <v>0</v>
      </c>
      <c r="L4103" s="47" t="str">
        <f aca="false">IF(AND(J4103=1,N(I4103)&gt;0),SUMIF($K$2:$K$5001,"&gt;="&amp;K4103,$I$2:$I$5001)/MAX(1,SUM($H$2:$H$5001)),"")</f>
        <v/>
      </c>
      <c r="M4103" s="47" t="str">
        <f aca="false">IF($A4103="","",INDEX($L$2:$L$5001,MATCH($A4103,$A$2:$A$5001,0)))</f>
        <v/>
      </c>
      <c r="N4103" s="48" t="str">
        <f aca="false">IF($A4103="","",IF(N(M4103)=0,"–",IF(M4103&lt;=Start!$D$20,"A",IF(M4103&lt;=Start!$D$21,"B","C"))))</f>
        <v/>
      </c>
      <c r="O4103" s="48" t="str">
        <f aca="false">IF($A4103="","",IF(NOT(ISNUMBER(F4103)),"Wert fehlt; ",IF(F4103&lt;=0,"Wert ist 0; ",""))&amp;IF(NOT(ISNUMBER(E4103)),"Bestand fehlt; ",IF(E4103&lt;0,"Bestand negativ; ",IF(E4103=0,"Nullbestand; ","")))&amp;IF(D4103="","Warengruppe fehlt; ","")&amp;IF(B4103="","Bezeichnung fehlt; ","")&amp;IF(COUNTIFS($A$2:$A$5001,$A4103,$C$2:$C$5001,C4103)&gt;1,"Artikel doppelt im selben Lager; ",""))</f>
        <v/>
      </c>
      <c r="P4103" s="47" t="n">
        <f aca="false">IF(OR($A4103="",D4103=""),0,IF(COUNTIF($D$2:D4103,D4103)=1,SUMIF($D$2:$D$5001,D4103,$H$2:$H$5001)+ROW()/10000000,0))</f>
        <v>0</v>
      </c>
      <c r="Q4103" s="47" t="n">
        <f aca="false">IF(OR($A4103="",C4103=""),0,IF(COUNTIF($C$2:C4103,C4103)=1,SUMIF($C$2:$C$5001,C4103,$H$2:$H$5001)+ROW()/10000000,0))</f>
        <v>0</v>
      </c>
    </row>
    <row r="4104" customFormat="false" ht="15" hidden="false" customHeight="false" outlineLevel="0" collapsed="false">
      <c r="A4104" s="43"/>
      <c r="B4104" s="44"/>
      <c r="C4104" s="44"/>
      <c r="D4104" s="44"/>
      <c r="E4104" s="44"/>
      <c r="F4104" s="44"/>
      <c r="G4104" s="44"/>
      <c r="H4104" s="46" t="str">
        <f aca="false">IF($A4104="","",IF(OR(NOT(ISNUMBER(E4104)),NOT(ISNUMBER(F4104))),"",MAX(0,E4104)*F4104))</f>
        <v/>
      </c>
      <c r="I4104" s="46" t="str">
        <f aca="false">IF($A4104="","",SUMIF($A$2:$A$5001,$A4104,$H$2:$H$5001))</f>
        <v/>
      </c>
      <c r="J4104" s="47" t="n">
        <f aca="false">IF($A4104="",0,IF(COUNTIF($A$2:A4104,$A4104)=1,1,0))</f>
        <v>0</v>
      </c>
      <c r="K4104" s="47" t="n">
        <f aca="false">IF(J4104=1,N(I4104)+ROW()/10000000,0)</f>
        <v>0</v>
      </c>
      <c r="L4104" s="47" t="str">
        <f aca="false">IF(AND(J4104=1,N(I4104)&gt;0),SUMIF($K$2:$K$5001,"&gt;="&amp;K4104,$I$2:$I$5001)/MAX(1,SUM($H$2:$H$5001)),"")</f>
        <v/>
      </c>
      <c r="M4104" s="47" t="str">
        <f aca="false">IF($A4104="","",INDEX($L$2:$L$5001,MATCH($A4104,$A$2:$A$5001,0)))</f>
        <v/>
      </c>
      <c r="N4104" s="48" t="str">
        <f aca="false">IF($A4104="","",IF(N(M4104)=0,"–",IF(M4104&lt;=Start!$D$20,"A",IF(M4104&lt;=Start!$D$21,"B","C"))))</f>
        <v/>
      </c>
      <c r="O4104" s="48" t="str">
        <f aca="false">IF($A4104="","",IF(NOT(ISNUMBER(F4104)),"Wert fehlt; ",IF(F4104&lt;=0,"Wert ist 0; ",""))&amp;IF(NOT(ISNUMBER(E4104)),"Bestand fehlt; ",IF(E4104&lt;0,"Bestand negativ; ",IF(E4104=0,"Nullbestand; ","")))&amp;IF(D4104="","Warengruppe fehlt; ","")&amp;IF(B4104="","Bezeichnung fehlt; ","")&amp;IF(COUNTIFS($A$2:$A$5001,$A4104,$C$2:$C$5001,C4104)&gt;1,"Artikel doppelt im selben Lager; ",""))</f>
        <v/>
      </c>
      <c r="P4104" s="47" t="n">
        <f aca="false">IF(OR($A4104="",D4104=""),0,IF(COUNTIF($D$2:D4104,D4104)=1,SUMIF($D$2:$D$5001,D4104,$H$2:$H$5001)+ROW()/10000000,0))</f>
        <v>0</v>
      </c>
      <c r="Q4104" s="47" t="n">
        <f aca="false">IF(OR($A4104="",C4104=""),0,IF(COUNTIF($C$2:C4104,C4104)=1,SUMIF($C$2:$C$5001,C4104,$H$2:$H$5001)+ROW()/10000000,0))</f>
        <v>0</v>
      </c>
    </row>
    <row r="4105" customFormat="false" ht="15" hidden="false" customHeight="false" outlineLevel="0" collapsed="false">
      <c r="A4105" s="43"/>
      <c r="B4105" s="44"/>
      <c r="C4105" s="44"/>
      <c r="D4105" s="44"/>
      <c r="E4105" s="44"/>
      <c r="F4105" s="44"/>
      <c r="G4105" s="44"/>
      <c r="H4105" s="46" t="str">
        <f aca="false">IF($A4105="","",IF(OR(NOT(ISNUMBER(E4105)),NOT(ISNUMBER(F4105))),"",MAX(0,E4105)*F4105))</f>
        <v/>
      </c>
      <c r="I4105" s="46" t="str">
        <f aca="false">IF($A4105="","",SUMIF($A$2:$A$5001,$A4105,$H$2:$H$5001))</f>
        <v/>
      </c>
      <c r="J4105" s="47" t="n">
        <f aca="false">IF($A4105="",0,IF(COUNTIF($A$2:A4105,$A4105)=1,1,0))</f>
        <v>0</v>
      </c>
      <c r="K4105" s="47" t="n">
        <f aca="false">IF(J4105=1,N(I4105)+ROW()/10000000,0)</f>
        <v>0</v>
      </c>
      <c r="L4105" s="47" t="str">
        <f aca="false">IF(AND(J4105=1,N(I4105)&gt;0),SUMIF($K$2:$K$5001,"&gt;="&amp;K4105,$I$2:$I$5001)/MAX(1,SUM($H$2:$H$5001)),"")</f>
        <v/>
      </c>
      <c r="M4105" s="47" t="str">
        <f aca="false">IF($A4105="","",INDEX($L$2:$L$5001,MATCH($A4105,$A$2:$A$5001,0)))</f>
        <v/>
      </c>
      <c r="N4105" s="48" t="str">
        <f aca="false">IF($A4105="","",IF(N(M4105)=0,"–",IF(M4105&lt;=Start!$D$20,"A",IF(M4105&lt;=Start!$D$21,"B","C"))))</f>
        <v/>
      </c>
      <c r="O4105" s="48" t="str">
        <f aca="false">IF($A4105="","",IF(NOT(ISNUMBER(F4105)),"Wert fehlt; ",IF(F4105&lt;=0,"Wert ist 0; ",""))&amp;IF(NOT(ISNUMBER(E4105)),"Bestand fehlt; ",IF(E4105&lt;0,"Bestand negativ; ",IF(E4105=0,"Nullbestand; ","")))&amp;IF(D4105="","Warengruppe fehlt; ","")&amp;IF(B4105="","Bezeichnung fehlt; ","")&amp;IF(COUNTIFS($A$2:$A$5001,$A4105,$C$2:$C$5001,C4105)&gt;1,"Artikel doppelt im selben Lager; ",""))</f>
        <v/>
      </c>
      <c r="P4105" s="47" t="n">
        <f aca="false">IF(OR($A4105="",D4105=""),0,IF(COUNTIF($D$2:D4105,D4105)=1,SUMIF($D$2:$D$5001,D4105,$H$2:$H$5001)+ROW()/10000000,0))</f>
        <v>0</v>
      </c>
      <c r="Q4105" s="47" t="n">
        <f aca="false">IF(OR($A4105="",C4105=""),0,IF(COUNTIF($C$2:C4105,C4105)=1,SUMIF($C$2:$C$5001,C4105,$H$2:$H$5001)+ROW()/10000000,0))</f>
        <v>0</v>
      </c>
    </row>
    <row r="4106" customFormat="false" ht="15" hidden="false" customHeight="false" outlineLevel="0" collapsed="false">
      <c r="A4106" s="43"/>
      <c r="B4106" s="44"/>
      <c r="C4106" s="44"/>
      <c r="D4106" s="44"/>
      <c r="E4106" s="44"/>
      <c r="F4106" s="44"/>
      <c r="G4106" s="44"/>
      <c r="H4106" s="46" t="str">
        <f aca="false">IF($A4106="","",IF(OR(NOT(ISNUMBER(E4106)),NOT(ISNUMBER(F4106))),"",MAX(0,E4106)*F4106))</f>
        <v/>
      </c>
      <c r="I4106" s="46" t="str">
        <f aca="false">IF($A4106="","",SUMIF($A$2:$A$5001,$A4106,$H$2:$H$5001))</f>
        <v/>
      </c>
      <c r="J4106" s="47" t="n">
        <f aca="false">IF($A4106="",0,IF(COUNTIF($A$2:A4106,$A4106)=1,1,0))</f>
        <v>0</v>
      </c>
      <c r="K4106" s="47" t="n">
        <f aca="false">IF(J4106=1,N(I4106)+ROW()/10000000,0)</f>
        <v>0</v>
      </c>
      <c r="L4106" s="47" t="str">
        <f aca="false">IF(AND(J4106=1,N(I4106)&gt;0),SUMIF($K$2:$K$5001,"&gt;="&amp;K4106,$I$2:$I$5001)/MAX(1,SUM($H$2:$H$5001)),"")</f>
        <v/>
      </c>
      <c r="M4106" s="47" t="str">
        <f aca="false">IF($A4106="","",INDEX($L$2:$L$5001,MATCH($A4106,$A$2:$A$5001,0)))</f>
        <v/>
      </c>
      <c r="N4106" s="48" t="str">
        <f aca="false">IF($A4106="","",IF(N(M4106)=0,"–",IF(M4106&lt;=Start!$D$20,"A",IF(M4106&lt;=Start!$D$21,"B","C"))))</f>
        <v/>
      </c>
      <c r="O4106" s="48" t="str">
        <f aca="false">IF($A4106="","",IF(NOT(ISNUMBER(F4106)),"Wert fehlt; ",IF(F4106&lt;=0,"Wert ist 0; ",""))&amp;IF(NOT(ISNUMBER(E4106)),"Bestand fehlt; ",IF(E4106&lt;0,"Bestand negativ; ",IF(E4106=0,"Nullbestand; ","")))&amp;IF(D4106="","Warengruppe fehlt; ","")&amp;IF(B4106="","Bezeichnung fehlt; ","")&amp;IF(COUNTIFS($A$2:$A$5001,$A4106,$C$2:$C$5001,C4106)&gt;1,"Artikel doppelt im selben Lager; ",""))</f>
        <v/>
      </c>
      <c r="P4106" s="47" t="n">
        <f aca="false">IF(OR($A4106="",D4106=""),0,IF(COUNTIF($D$2:D4106,D4106)=1,SUMIF($D$2:$D$5001,D4106,$H$2:$H$5001)+ROW()/10000000,0))</f>
        <v>0</v>
      </c>
      <c r="Q4106" s="47" t="n">
        <f aca="false">IF(OR($A4106="",C4106=""),0,IF(COUNTIF($C$2:C4106,C4106)=1,SUMIF($C$2:$C$5001,C4106,$H$2:$H$5001)+ROW()/10000000,0))</f>
        <v>0</v>
      </c>
    </row>
    <row r="4107" customFormat="false" ht="15" hidden="false" customHeight="false" outlineLevel="0" collapsed="false">
      <c r="A4107" s="43"/>
      <c r="B4107" s="44"/>
      <c r="C4107" s="44"/>
      <c r="D4107" s="44"/>
      <c r="E4107" s="44"/>
      <c r="F4107" s="44"/>
      <c r="G4107" s="44"/>
      <c r="H4107" s="46" t="str">
        <f aca="false">IF($A4107="","",IF(OR(NOT(ISNUMBER(E4107)),NOT(ISNUMBER(F4107))),"",MAX(0,E4107)*F4107))</f>
        <v/>
      </c>
      <c r="I4107" s="46" t="str">
        <f aca="false">IF($A4107="","",SUMIF($A$2:$A$5001,$A4107,$H$2:$H$5001))</f>
        <v/>
      </c>
      <c r="J4107" s="47" t="n">
        <f aca="false">IF($A4107="",0,IF(COUNTIF($A$2:A4107,$A4107)=1,1,0))</f>
        <v>0</v>
      </c>
      <c r="K4107" s="47" t="n">
        <f aca="false">IF(J4107=1,N(I4107)+ROW()/10000000,0)</f>
        <v>0</v>
      </c>
      <c r="L4107" s="47" t="str">
        <f aca="false">IF(AND(J4107=1,N(I4107)&gt;0),SUMIF($K$2:$K$5001,"&gt;="&amp;K4107,$I$2:$I$5001)/MAX(1,SUM($H$2:$H$5001)),"")</f>
        <v/>
      </c>
      <c r="M4107" s="47" t="str">
        <f aca="false">IF($A4107="","",INDEX($L$2:$L$5001,MATCH($A4107,$A$2:$A$5001,0)))</f>
        <v/>
      </c>
      <c r="N4107" s="48" t="str">
        <f aca="false">IF($A4107="","",IF(N(M4107)=0,"–",IF(M4107&lt;=Start!$D$20,"A",IF(M4107&lt;=Start!$D$21,"B","C"))))</f>
        <v/>
      </c>
      <c r="O4107" s="48" t="str">
        <f aca="false">IF($A4107="","",IF(NOT(ISNUMBER(F4107)),"Wert fehlt; ",IF(F4107&lt;=0,"Wert ist 0; ",""))&amp;IF(NOT(ISNUMBER(E4107)),"Bestand fehlt; ",IF(E4107&lt;0,"Bestand negativ; ",IF(E4107=0,"Nullbestand; ","")))&amp;IF(D4107="","Warengruppe fehlt; ","")&amp;IF(B4107="","Bezeichnung fehlt; ","")&amp;IF(COUNTIFS($A$2:$A$5001,$A4107,$C$2:$C$5001,C4107)&gt;1,"Artikel doppelt im selben Lager; ",""))</f>
        <v/>
      </c>
      <c r="P4107" s="47" t="n">
        <f aca="false">IF(OR($A4107="",D4107=""),0,IF(COUNTIF($D$2:D4107,D4107)=1,SUMIF($D$2:$D$5001,D4107,$H$2:$H$5001)+ROW()/10000000,0))</f>
        <v>0</v>
      </c>
      <c r="Q4107" s="47" t="n">
        <f aca="false">IF(OR($A4107="",C4107=""),0,IF(COUNTIF($C$2:C4107,C4107)=1,SUMIF($C$2:$C$5001,C4107,$H$2:$H$5001)+ROW()/10000000,0))</f>
        <v>0</v>
      </c>
    </row>
    <row r="4108" customFormat="false" ht="15" hidden="false" customHeight="false" outlineLevel="0" collapsed="false">
      <c r="A4108" s="43"/>
      <c r="B4108" s="44"/>
      <c r="C4108" s="44"/>
      <c r="D4108" s="44"/>
      <c r="E4108" s="44"/>
      <c r="F4108" s="44"/>
      <c r="G4108" s="44"/>
      <c r="H4108" s="46" t="str">
        <f aca="false">IF($A4108="","",IF(OR(NOT(ISNUMBER(E4108)),NOT(ISNUMBER(F4108))),"",MAX(0,E4108)*F4108))</f>
        <v/>
      </c>
      <c r="I4108" s="46" t="str">
        <f aca="false">IF($A4108="","",SUMIF($A$2:$A$5001,$A4108,$H$2:$H$5001))</f>
        <v/>
      </c>
      <c r="J4108" s="47" t="n">
        <f aca="false">IF($A4108="",0,IF(COUNTIF($A$2:A4108,$A4108)=1,1,0))</f>
        <v>0</v>
      </c>
      <c r="K4108" s="47" t="n">
        <f aca="false">IF(J4108=1,N(I4108)+ROW()/10000000,0)</f>
        <v>0</v>
      </c>
      <c r="L4108" s="47" t="str">
        <f aca="false">IF(AND(J4108=1,N(I4108)&gt;0),SUMIF($K$2:$K$5001,"&gt;="&amp;K4108,$I$2:$I$5001)/MAX(1,SUM($H$2:$H$5001)),"")</f>
        <v/>
      </c>
      <c r="M4108" s="47" t="str">
        <f aca="false">IF($A4108="","",INDEX($L$2:$L$5001,MATCH($A4108,$A$2:$A$5001,0)))</f>
        <v/>
      </c>
      <c r="N4108" s="48" t="str">
        <f aca="false">IF($A4108="","",IF(N(M4108)=0,"–",IF(M4108&lt;=Start!$D$20,"A",IF(M4108&lt;=Start!$D$21,"B","C"))))</f>
        <v/>
      </c>
      <c r="O4108" s="48" t="str">
        <f aca="false">IF($A4108="","",IF(NOT(ISNUMBER(F4108)),"Wert fehlt; ",IF(F4108&lt;=0,"Wert ist 0; ",""))&amp;IF(NOT(ISNUMBER(E4108)),"Bestand fehlt; ",IF(E4108&lt;0,"Bestand negativ; ",IF(E4108=0,"Nullbestand; ","")))&amp;IF(D4108="","Warengruppe fehlt; ","")&amp;IF(B4108="","Bezeichnung fehlt; ","")&amp;IF(COUNTIFS($A$2:$A$5001,$A4108,$C$2:$C$5001,C4108)&gt;1,"Artikel doppelt im selben Lager; ",""))</f>
        <v/>
      </c>
      <c r="P4108" s="47" t="n">
        <f aca="false">IF(OR($A4108="",D4108=""),0,IF(COUNTIF($D$2:D4108,D4108)=1,SUMIF($D$2:$D$5001,D4108,$H$2:$H$5001)+ROW()/10000000,0))</f>
        <v>0</v>
      </c>
      <c r="Q4108" s="47" t="n">
        <f aca="false">IF(OR($A4108="",C4108=""),0,IF(COUNTIF($C$2:C4108,C4108)=1,SUMIF($C$2:$C$5001,C4108,$H$2:$H$5001)+ROW()/10000000,0))</f>
        <v>0</v>
      </c>
    </row>
    <row r="4109" customFormat="false" ht="15" hidden="false" customHeight="false" outlineLevel="0" collapsed="false">
      <c r="A4109" s="43"/>
      <c r="B4109" s="44"/>
      <c r="C4109" s="44"/>
      <c r="D4109" s="44"/>
      <c r="E4109" s="44"/>
      <c r="F4109" s="44"/>
      <c r="G4109" s="44"/>
      <c r="H4109" s="46" t="str">
        <f aca="false">IF($A4109="","",IF(OR(NOT(ISNUMBER(E4109)),NOT(ISNUMBER(F4109))),"",MAX(0,E4109)*F4109))</f>
        <v/>
      </c>
      <c r="I4109" s="46" t="str">
        <f aca="false">IF($A4109="","",SUMIF($A$2:$A$5001,$A4109,$H$2:$H$5001))</f>
        <v/>
      </c>
      <c r="J4109" s="47" t="n">
        <f aca="false">IF($A4109="",0,IF(COUNTIF($A$2:A4109,$A4109)=1,1,0))</f>
        <v>0</v>
      </c>
      <c r="K4109" s="47" t="n">
        <f aca="false">IF(J4109=1,N(I4109)+ROW()/10000000,0)</f>
        <v>0</v>
      </c>
      <c r="L4109" s="47" t="str">
        <f aca="false">IF(AND(J4109=1,N(I4109)&gt;0),SUMIF($K$2:$K$5001,"&gt;="&amp;K4109,$I$2:$I$5001)/MAX(1,SUM($H$2:$H$5001)),"")</f>
        <v/>
      </c>
      <c r="M4109" s="47" t="str">
        <f aca="false">IF($A4109="","",INDEX($L$2:$L$5001,MATCH($A4109,$A$2:$A$5001,0)))</f>
        <v/>
      </c>
      <c r="N4109" s="48" t="str">
        <f aca="false">IF($A4109="","",IF(N(M4109)=0,"–",IF(M4109&lt;=Start!$D$20,"A",IF(M4109&lt;=Start!$D$21,"B","C"))))</f>
        <v/>
      </c>
      <c r="O4109" s="48" t="str">
        <f aca="false">IF($A4109="","",IF(NOT(ISNUMBER(F4109)),"Wert fehlt; ",IF(F4109&lt;=0,"Wert ist 0; ",""))&amp;IF(NOT(ISNUMBER(E4109)),"Bestand fehlt; ",IF(E4109&lt;0,"Bestand negativ; ",IF(E4109=0,"Nullbestand; ","")))&amp;IF(D4109="","Warengruppe fehlt; ","")&amp;IF(B4109="","Bezeichnung fehlt; ","")&amp;IF(COUNTIFS($A$2:$A$5001,$A4109,$C$2:$C$5001,C4109)&gt;1,"Artikel doppelt im selben Lager; ",""))</f>
        <v/>
      </c>
      <c r="P4109" s="47" t="n">
        <f aca="false">IF(OR($A4109="",D4109=""),0,IF(COUNTIF($D$2:D4109,D4109)=1,SUMIF($D$2:$D$5001,D4109,$H$2:$H$5001)+ROW()/10000000,0))</f>
        <v>0</v>
      </c>
      <c r="Q4109" s="47" t="n">
        <f aca="false">IF(OR($A4109="",C4109=""),0,IF(COUNTIF($C$2:C4109,C4109)=1,SUMIF($C$2:$C$5001,C4109,$H$2:$H$5001)+ROW()/10000000,0))</f>
        <v>0</v>
      </c>
    </row>
    <row r="4110" customFormat="false" ht="15" hidden="false" customHeight="false" outlineLevel="0" collapsed="false">
      <c r="A4110" s="43"/>
      <c r="B4110" s="44"/>
      <c r="C4110" s="44"/>
      <c r="D4110" s="44"/>
      <c r="E4110" s="44"/>
      <c r="F4110" s="44"/>
      <c r="G4110" s="44"/>
      <c r="H4110" s="46" t="str">
        <f aca="false">IF($A4110="","",IF(OR(NOT(ISNUMBER(E4110)),NOT(ISNUMBER(F4110))),"",MAX(0,E4110)*F4110))</f>
        <v/>
      </c>
      <c r="I4110" s="46" t="str">
        <f aca="false">IF($A4110="","",SUMIF($A$2:$A$5001,$A4110,$H$2:$H$5001))</f>
        <v/>
      </c>
      <c r="J4110" s="47" t="n">
        <f aca="false">IF($A4110="",0,IF(COUNTIF($A$2:A4110,$A4110)=1,1,0))</f>
        <v>0</v>
      </c>
      <c r="K4110" s="47" t="n">
        <f aca="false">IF(J4110=1,N(I4110)+ROW()/10000000,0)</f>
        <v>0</v>
      </c>
      <c r="L4110" s="47" t="str">
        <f aca="false">IF(AND(J4110=1,N(I4110)&gt;0),SUMIF($K$2:$K$5001,"&gt;="&amp;K4110,$I$2:$I$5001)/MAX(1,SUM($H$2:$H$5001)),"")</f>
        <v/>
      </c>
      <c r="M4110" s="47" t="str">
        <f aca="false">IF($A4110="","",INDEX($L$2:$L$5001,MATCH($A4110,$A$2:$A$5001,0)))</f>
        <v/>
      </c>
      <c r="N4110" s="48" t="str">
        <f aca="false">IF($A4110="","",IF(N(M4110)=0,"–",IF(M4110&lt;=Start!$D$20,"A",IF(M4110&lt;=Start!$D$21,"B","C"))))</f>
        <v/>
      </c>
      <c r="O4110" s="48" t="str">
        <f aca="false">IF($A4110="","",IF(NOT(ISNUMBER(F4110)),"Wert fehlt; ",IF(F4110&lt;=0,"Wert ist 0; ",""))&amp;IF(NOT(ISNUMBER(E4110)),"Bestand fehlt; ",IF(E4110&lt;0,"Bestand negativ; ",IF(E4110=0,"Nullbestand; ","")))&amp;IF(D4110="","Warengruppe fehlt; ","")&amp;IF(B4110="","Bezeichnung fehlt; ","")&amp;IF(COUNTIFS($A$2:$A$5001,$A4110,$C$2:$C$5001,C4110)&gt;1,"Artikel doppelt im selben Lager; ",""))</f>
        <v/>
      </c>
      <c r="P4110" s="47" t="n">
        <f aca="false">IF(OR($A4110="",D4110=""),0,IF(COUNTIF($D$2:D4110,D4110)=1,SUMIF($D$2:$D$5001,D4110,$H$2:$H$5001)+ROW()/10000000,0))</f>
        <v>0</v>
      </c>
      <c r="Q4110" s="47" t="n">
        <f aca="false">IF(OR($A4110="",C4110=""),0,IF(COUNTIF($C$2:C4110,C4110)=1,SUMIF($C$2:$C$5001,C4110,$H$2:$H$5001)+ROW()/10000000,0))</f>
        <v>0</v>
      </c>
    </row>
    <row r="4111" customFormat="false" ht="15" hidden="false" customHeight="false" outlineLevel="0" collapsed="false">
      <c r="A4111" s="43"/>
      <c r="B4111" s="44"/>
      <c r="C4111" s="44"/>
      <c r="D4111" s="44"/>
      <c r="E4111" s="44"/>
      <c r="F4111" s="44"/>
      <c r="G4111" s="44"/>
      <c r="H4111" s="46" t="str">
        <f aca="false">IF($A4111="","",IF(OR(NOT(ISNUMBER(E4111)),NOT(ISNUMBER(F4111))),"",MAX(0,E4111)*F4111))</f>
        <v/>
      </c>
      <c r="I4111" s="46" t="str">
        <f aca="false">IF($A4111="","",SUMIF($A$2:$A$5001,$A4111,$H$2:$H$5001))</f>
        <v/>
      </c>
      <c r="J4111" s="47" t="n">
        <f aca="false">IF($A4111="",0,IF(COUNTIF($A$2:A4111,$A4111)=1,1,0))</f>
        <v>0</v>
      </c>
      <c r="K4111" s="47" t="n">
        <f aca="false">IF(J4111=1,N(I4111)+ROW()/10000000,0)</f>
        <v>0</v>
      </c>
      <c r="L4111" s="47" t="str">
        <f aca="false">IF(AND(J4111=1,N(I4111)&gt;0),SUMIF($K$2:$K$5001,"&gt;="&amp;K4111,$I$2:$I$5001)/MAX(1,SUM($H$2:$H$5001)),"")</f>
        <v/>
      </c>
      <c r="M4111" s="47" t="str">
        <f aca="false">IF($A4111="","",INDEX($L$2:$L$5001,MATCH($A4111,$A$2:$A$5001,0)))</f>
        <v/>
      </c>
      <c r="N4111" s="48" t="str">
        <f aca="false">IF($A4111="","",IF(N(M4111)=0,"–",IF(M4111&lt;=Start!$D$20,"A",IF(M4111&lt;=Start!$D$21,"B","C"))))</f>
        <v/>
      </c>
      <c r="O4111" s="48" t="str">
        <f aca="false">IF($A4111="","",IF(NOT(ISNUMBER(F4111)),"Wert fehlt; ",IF(F4111&lt;=0,"Wert ist 0; ",""))&amp;IF(NOT(ISNUMBER(E4111)),"Bestand fehlt; ",IF(E4111&lt;0,"Bestand negativ; ",IF(E4111=0,"Nullbestand; ","")))&amp;IF(D4111="","Warengruppe fehlt; ","")&amp;IF(B4111="","Bezeichnung fehlt; ","")&amp;IF(COUNTIFS($A$2:$A$5001,$A4111,$C$2:$C$5001,C4111)&gt;1,"Artikel doppelt im selben Lager; ",""))</f>
        <v/>
      </c>
      <c r="P4111" s="47" t="n">
        <f aca="false">IF(OR($A4111="",D4111=""),0,IF(COUNTIF($D$2:D4111,D4111)=1,SUMIF($D$2:$D$5001,D4111,$H$2:$H$5001)+ROW()/10000000,0))</f>
        <v>0</v>
      </c>
      <c r="Q4111" s="47" t="n">
        <f aca="false">IF(OR($A4111="",C4111=""),0,IF(COUNTIF($C$2:C4111,C4111)=1,SUMIF($C$2:$C$5001,C4111,$H$2:$H$5001)+ROW()/10000000,0))</f>
        <v>0</v>
      </c>
    </row>
    <row r="4112" customFormat="false" ht="15" hidden="false" customHeight="false" outlineLevel="0" collapsed="false">
      <c r="A4112" s="43"/>
      <c r="B4112" s="44"/>
      <c r="C4112" s="44"/>
      <c r="D4112" s="44"/>
      <c r="E4112" s="44"/>
      <c r="F4112" s="44"/>
      <c r="G4112" s="44"/>
      <c r="H4112" s="46" t="str">
        <f aca="false">IF($A4112="","",IF(OR(NOT(ISNUMBER(E4112)),NOT(ISNUMBER(F4112))),"",MAX(0,E4112)*F4112))</f>
        <v/>
      </c>
      <c r="I4112" s="46" t="str">
        <f aca="false">IF($A4112="","",SUMIF($A$2:$A$5001,$A4112,$H$2:$H$5001))</f>
        <v/>
      </c>
      <c r="J4112" s="47" t="n">
        <f aca="false">IF($A4112="",0,IF(COUNTIF($A$2:A4112,$A4112)=1,1,0))</f>
        <v>0</v>
      </c>
      <c r="K4112" s="47" t="n">
        <f aca="false">IF(J4112=1,N(I4112)+ROW()/10000000,0)</f>
        <v>0</v>
      </c>
      <c r="L4112" s="47" t="str">
        <f aca="false">IF(AND(J4112=1,N(I4112)&gt;0),SUMIF($K$2:$K$5001,"&gt;="&amp;K4112,$I$2:$I$5001)/MAX(1,SUM($H$2:$H$5001)),"")</f>
        <v/>
      </c>
      <c r="M4112" s="47" t="str">
        <f aca="false">IF($A4112="","",INDEX($L$2:$L$5001,MATCH($A4112,$A$2:$A$5001,0)))</f>
        <v/>
      </c>
      <c r="N4112" s="48" t="str">
        <f aca="false">IF($A4112="","",IF(N(M4112)=0,"–",IF(M4112&lt;=Start!$D$20,"A",IF(M4112&lt;=Start!$D$21,"B","C"))))</f>
        <v/>
      </c>
      <c r="O4112" s="48" t="str">
        <f aca="false">IF($A4112="","",IF(NOT(ISNUMBER(F4112)),"Wert fehlt; ",IF(F4112&lt;=0,"Wert ist 0; ",""))&amp;IF(NOT(ISNUMBER(E4112)),"Bestand fehlt; ",IF(E4112&lt;0,"Bestand negativ; ",IF(E4112=0,"Nullbestand; ","")))&amp;IF(D4112="","Warengruppe fehlt; ","")&amp;IF(B4112="","Bezeichnung fehlt; ","")&amp;IF(COUNTIFS($A$2:$A$5001,$A4112,$C$2:$C$5001,C4112)&gt;1,"Artikel doppelt im selben Lager; ",""))</f>
        <v/>
      </c>
      <c r="P4112" s="47" t="n">
        <f aca="false">IF(OR($A4112="",D4112=""),0,IF(COUNTIF($D$2:D4112,D4112)=1,SUMIF($D$2:$D$5001,D4112,$H$2:$H$5001)+ROW()/10000000,0))</f>
        <v>0</v>
      </c>
      <c r="Q4112" s="47" t="n">
        <f aca="false">IF(OR($A4112="",C4112=""),0,IF(COUNTIF($C$2:C4112,C4112)=1,SUMIF($C$2:$C$5001,C4112,$H$2:$H$5001)+ROW()/10000000,0))</f>
        <v>0</v>
      </c>
    </row>
    <row r="4113" customFormat="false" ht="15" hidden="false" customHeight="false" outlineLevel="0" collapsed="false">
      <c r="A4113" s="43"/>
      <c r="B4113" s="44"/>
      <c r="C4113" s="44"/>
      <c r="D4113" s="44"/>
      <c r="E4113" s="44"/>
      <c r="F4113" s="44"/>
      <c r="G4113" s="44"/>
      <c r="H4113" s="46" t="str">
        <f aca="false">IF($A4113="","",IF(OR(NOT(ISNUMBER(E4113)),NOT(ISNUMBER(F4113))),"",MAX(0,E4113)*F4113))</f>
        <v/>
      </c>
      <c r="I4113" s="46" t="str">
        <f aca="false">IF($A4113="","",SUMIF($A$2:$A$5001,$A4113,$H$2:$H$5001))</f>
        <v/>
      </c>
      <c r="J4113" s="47" t="n">
        <f aca="false">IF($A4113="",0,IF(COUNTIF($A$2:A4113,$A4113)=1,1,0))</f>
        <v>0</v>
      </c>
      <c r="K4113" s="47" t="n">
        <f aca="false">IF(J4113=1,N(I4113)+ROW()/10000000,0)</f>
        <v>0</v>
      </c>
      <c r="L4113" s="47" t="str">
        <f aca="false">IF(AND(J4113=1,N(I4113)&gt;0),SUMIF($K$2:$K$5001,"&gt;="&amp;K4113,$I$2:$I$5001)/MAX(1,SUM($H$2:$H$5001)),"")</f>
        <v/>
      </c>
      <c r="M4113" s="47" t="str">
        <f aca="false">IF($A4113="","",INDEX($L$2:$L$5001,MATCH($A4113,$A$2:$A$5001,0)))</f>
        <v/>
      </c>
      <c r="N4113" s="48" t="str">
        <f aca="false">IF($A4113="","",IF(N(M4113)=0,"–",IF(M4113&lt;=Start!$D$20,"A",IF(M4113&lt;=Start!$D$21,"B","C"))))</f>
        <v/>
      </c>
      <c r="O4113" s="48" t="str">
        <f aca="false">IF($A4113="","",IF(NOT(ISNUMBER(F4113)),"Wert fehlt; ",IF(F4113&lt;=0,"Wert ist 0; ",""))&amp;IF(NOT(ISNUMBER(E4113)),"Bestand fehlt; ",IF(E4113&lt;0,"Bestand negativ; ",IF(E4113=0,"Nullbestand; ","")))&amp;IF(D4113="","Warengruppe fehlt; ","")&amp;IF(B4113="","Bezeichnung fehlt; ","")&amp;IF(COUNTIFS($A$2:$A$5001,$A4113,$C$2:$C$5001,C4113)&gt;1,"Artikel doppelt im selben Lager; ",""))</f>
        <v/>
      </c>
      <c r="P4113" s="47" t="n">
        <f aca="false">IF(OR($A4113="",D4113=""),0,IF(COUNTIF($D$2:D4113,D4113)=1,SUMIF($D$2:$D$5001,D4113,$H$2:$H$5001)+ROW()/10000000,0))</f>
        <v>0</v>
      </c>
      <c r="Q4113" s="47" t="n">
        <f aca="false">IF(OR($A4113="",C4113=""),0,IF(COUNTIF($C$2:C4113,C4113)=1,SUMIF($C$2:$C$5001,C4113,$H$2:$H$5001)+ROW()/10000000,0))</f>
        <v>0</v>
      </c>
    </row>
    <row r="4114" customFormat="false" ht="15" hidden="false" customHeight="false" outlineLevel="0" collapsed="false">
      <c r="A4114" s="43"/>
      <c r="B4114" s="44"/>
      <c r="C4114" s="44"/>
      <c r="D4114" s="44"/>
      <c r="E4114" s="44"/>
      <c r="F4114" s="44"/>
      <c r="G4114" s="44"/>
      <c r="H4114" s="46" t="str">
        <f aca="false">IF($A4114="","",IF(OR(NOT(ISNUMBER(E4114)),NOT(ISNUMBER(F4114))),"",MAX(0,E4114)*F4114))</f>
        <v/>
      </c>
      <c r="I4114" s="46" t="str">
        <f aca="false">IF($A4114="","",SUMIF($A$2:$A$5001,$A4114,$H$2:$H$5001))</f>
        <v/>
      </c>
      <c r="J4114" s="47" t="n">
        <f aca="false">IF($A4114="",0,IF(COUNTIF($A$2:A4114,$A4114)=1,1,0))</f>
        <v>0</v>
      </c>
      <c r="K4114" s="47" t="n">
        <f aca="false">IF(J4114=1,N(I4114)+ROW()/10000000,0)</f>
        <v>0</v>
      </c>
      <c r="L4114" s="47" t="str">
        <f aca="false">IF(AND(J4114=1,N(I4114)&gt;0),SUMIF($K$2:$K$5001,"&gt;="&amp;K4114,$I$2:$I$5001)/MAX(1,SUM($H$2:$H$5001)),"")</f>
        <v/>
      </c>
      <c r="M4114" s="47" t="str">
        <f aca="false">IF($A4114="","",INDEX($L$2:$L$5001,MATCH($A4114,$A$2:$A$5001,0)))</f>
        <v/>
      </c>
      <c r="N4114" s="48" t="str">
        <f aca="false">IF($A4114="","",IF(N(M4114)=0,"–",IF(M4114&lt;=Start!$D$20,"A",IF(M4114&lt;=Start!$D$21,"B","C"))))</f>
        <v/>
      </c>
      <c r="O4114" s="48" t="str">
        <f aca="false">IF($A4114="","",IF(NOT(ISNUMBER(F4114)),"Wert fehlt; ",IF(F4114&lt;=0,"Wert ist 0; ",""))&amp;IF(NOT(ISNUMBER(E4114)),"Bestand fehlt; ",IF(E4114&lt;0,"Bestand negativ; ",IF(E4114=0,"Nullbestand; ","")))&amp;IF(D4114="","Warengruppe fehlt; ","")&amp;IF(B4114="","Bezeichnung fehlt; ","")&amp;IF(COUNTIFS($A$2:$A$5001,$A4114,$C$2:$C$5001,C4114)&gt;1,"Artikel doppelt im selben Lager; ",""))</f>
        <v/>
      </c>
      <c r="P4114" s="47" t="n">
        <f aca="false">IF(OR($A4114="",D4114=""),0,IF(COUNTIF($D$2:D4114,D4114)=1,SUMIF($D$2:$D$5001,D4114,$H$2:$H$5001)+ROW()/10000000,0))</f>
        <v>0</v>
      </c>
      <c r="Q4114" s="47" t="n">
        <f aca="false">IF(OR($A4114="",C4114=""),0,IF(COUNTIF($C$2:C4114,C4114)=1,SUMIF($C$2:$C$5001,C4114,$H$2:$H$5001)+ROW()/10000000,0))</f>
        <v>0</v>
      </c>
    </row>
    <row r="4115" customFormat="false" ht="15" hidden="false" customHeight="false" outlineLevel="0" collapsed="false">
      <c r="A4115" s="43"/>
      <c r="B4115" s="44"/>
      <c r="C4115" s="44"/>
      <c r="D4115" s="44"/>
      <c r="E4115" s="44"/>
      <c r="F4115" s="44"/>
      <c r="G4115" s="44"/>
      <c r="H4115" s="46" t="str">
        <f aca="false">IF($A4115="","",IF(OR(NOT(ISNUMBER(E4115)),NOT(ISNUMBER(F4115))),"",MAX(0,E4115)*F4115))</f>
        <v/>
      </c>
      <c r="I4115" s="46" t="str">
        <f aca="false">IF($A4115="","",SUMIF($A$2:$A$5001,$A4115,$H$2:$H$5001))</f>
        <v/>
      </c>
      <c r="J4115" s="47" t="n">
        <f aca="false">IF($A4115="",0,IF(COUNTIF($A$2:A4115,$A4115)=1,1,0))</f>
        <v>0</v>
      </c>
      <c r="K4115" s="47" t="n">
        <f aca="false">IF(J4115=1,N(I4115)+ROW()/10000000,0)</f>
        <v>0</v>
      </c>
      <c r="L4115" s="47" t="str">
        <f aca="false">IF(AND(J4115=1,N(I4115)&gt;0),SUMIF($K$2:$K$5001,"&gt;="&amp;K4115,$I$2:$I$5001)/MAX(1,SUM($H$2:$H$5001)),"")</f>
        <v/>
      </c>
      <c r="M4115" s="47" t="str">
        <f aca="false">IF($A4115="","",INDEX($L$2:$L$5001,MATCH($A4115,$A$2:$A$5001,0)))</f>
        <v/>
      </c>
      <c r="N4115" s="48" t="str">
        <f aca="false">IF($A4115="","",IF(N(M4115)=0,"–",IF(M4115&lt;=Start!$D$20,"A",IF(M4115&lt;=Start!$D$21,"B","C"))))</f>
        <v/>
      </c>
      <c r="O4115" s="48" t="str">
        <f aca="false">IF($A4115="","",IF(NOT(ISNUMBER(F4115)),"Wert fehlt; ",IF(F4115&lt;=0,"Wert ist 0; ",""))&amp;IF(NOT(ISNUMBER(E4115)),"Bestand fehlt; ",IF(E4115&lt;0,"Bestand negativ; ",IF(E4115=0,"Nullbestand; ","")))&amp;IF(D4115="","Warengruppe fehlt; ","")&amp;IF(B4115="","Bezeichnung fehlt; ","")&amp;IF(COUNTIFS($A$2:$A$5001,$A4115,$C$2:$C$5001,C4115)&gt;1,"Artikel doppelt im selben Lager; ",""))</f>
        <v/>
      </c>
      <c r="P4115" s="47" t="n">
        <f aca="false">IF(OR($A4115="",D4115=""),0,IF(COUNTIF($D$2:D4115,D4115)=1,SUMIF($D$2:$D$5001,D4115,$H$2:$H$5001)+ROW()/10000000,0))</f>
        <v>0</v>
      </c>
      <c r="Q4115" s="47" t="n">
        <f aca="false">IF(OR($A4115="",C4115=""),0,IF(COUNTIF($C$2:C4115,C4115)=1,SUMIF($C$2:$C$5001,C4115,$H$2:$H$5001)+ROW()/10000000,0))</f>
        <v>0</v>
      </c>
    </row>
    <row r="4116" customFormat="false" ht="15" hidden="false" customHeight="false" outlineLevel="0" collapsed="false">
      <c r="A4116" s="43"/>
      <c r="B4116" s="44"/>
      <c r="C4116" s="44"/>
      <c r="D4116" s="44"/>
      <c r="E4116" s="44"/>
      <c r="F4116" s="44"/>
      <c r="G4116" s="44"/>
      <c r="H4116" s="46" t="str">
        <f aca="false">IF($A4116="","",IF(OR(NOT(ISNUMBER(E4116)),NOT(ISNUMBER(F4116))),"",MAX(0,E4116)*F4116))</f>
        <v/>
      </c>
      <c r="I4116" s="46" t="str">
        <f aca="false">IF($A4116="","",SUMIF($A$2:$A$5001,$A4116,$H$2:$H$5001))</f>
        <v/>
      </c>
      <c r="J4116" s="47" t="n">
        <f aca="false">IF($A4116="",0,IF(COUNTIF($A$2:A4116,$A4116)=1,1,0))</f>
        <v>0</v>
      </c>
      <c r="K4116" s="47" t="n">
        <f aca="false">IF(J4116=1,N(I4116)+ROW()/10000000,0)</f>
        <v>0</v>
      </c>
      <c r="L4116" s="47" t="str">
        <f aca="false">IF(AND(J4116=1,N(I4116)&gt;0),SUMIF($K$2:$K$5001,"&gt;="&amp;K4116,$I$2:$I$5001)/MAX(1,SUM($H$2:$H$5001)),"")</f>
        <v/>
      </c>
      <c r="M4116" s="47" t="str">
        <f aca="false">IF($A4116="","",INDEX($L$2:$L$5001,MATCH($A4116,$A$2:$A$5001,0)))</f>
        <v/>
      </c>
      <c r="N4116" s="48" t="str">
        <f aca="false">IF($A4116="","",IF(N(M4116)=0,"–",IF(M4116&lt;=Start!$D$20,"A",IF(M4116&lt;=Start!$D$21,"B","C"))))</f>
        <v/>
      </c>
      <c r="O4116" s="48" t="str">
        <f aca="false">IF($A4116="","",IF(NOT(ISNUMBER(F4116)),"Wert fehlt; ",IF(F4116&lt;=0,"Wert ist 0; ",""))&amp;IF(NOT(ISNUMBER(E4116)),"Bestand fehlt; ",IF(E4116&lt;0,"Bestand negativ; ",IF(E4116=0,"Nullbestand; ","")))&amp;IF(D4116="","Warengruppe fehlt; ","")&amp;IF(B4116="","Bezeichnung fehlt; ","")&amp;IF(COUNTIFS($A$2:$A$5001,$A4116,$C$2:$C$5001,C4116)&gt;1,"Artikel doppelt im selben Lager; ",""))</f>
        <v/>
      </c>
      <c r="P4116" s="47" t="n">
        <f aca="false">IF(OR($A4116="",D4116=""),0,IF(COUNTIF($D$2:D4116,D4116)=1,SUMIF($D$2:$D$5001,D4116,$H$2:$H$5001)+ROW()/10000000,0))</f>
        <v>0</v>
      </c>
      <c r="Q4116" s="47" t="n">
        <f aca="false">IF(OR($A4116="",C4116=""),0,IF(COUNTIF($C$2:C4116,C4116)=1,SUMIF($C$2:$C$5001,C4116,$H$2:$H$5001)+ROW()/10000000,0))</f>
        <v>0</v>
      </c>
    </row>
    <row r="4117" customFormat="false" ht="15" hidden="false" customHeight="false" outlineLevel="0" collapsed="false">
      <c r="A4117" s="43"/>
      <c r="B4117" s="44"/>
      <c r="C4117" s="44"/>
      <c r="D4117" s="44"/>
      <c r="E4117" s="44"/>
      <c r="F4117" s="44"/>
      <c r="G4117" s="44"/>
      <c r="H4117" s="46" t="str">
        <f aca="false">IF($A4117="","",IF(OR(NOT(ISNUMBER(E4117)),NOT(ISNUMBER(F4117))),"",MAX(0,E4117)*F4117))</f>
        <v/>
      </c>
      <c r="I4117" s="46" t="str">
        <f aca="false">IF($A4117="","",SUMIF($A$2:$A$5001,$A4117,$H$2:$H$5001))</f>
        <v/>
      </c>
      <c r="J4117" s="47" t="n">
        <f aca="false">IF($A4117="",0,IF(COUNTIF($A$2:A4117,$A4117)=1,1,0))</f>
        <v>0</v>
      </c>
      <c r="K4117" s="47" t="n">
        <f aca="false">IF(J4117=1,N(I4117)+ROW()/10000000,0)</f>
        <v>0</v>
      </c>
      <c r="L4117" s="47" t="str">
        <f aca="false">IF(AND(J4117=1,N(I4117)&gt;0),SUMIF($K$2:$K$5001,"&gt;="&amp;K4117,$I$2:$I$5001)/MAX(1,SUM($H$2:$H$5001)),"")</f>
        <v/>
      </c>
      <c r="M4117" s="47" t="str">
        <f aca="false">IF($A4117="","",INDEX($L$2:$L$5001,MATCH($A4117,$A$2:$A$5001,0)))</f>
        <v/>
      </c>
      <c r="N4117" s="48" t="str">
        <f aca="false">IF($A4117="","",IF(N(M4117)=0,"–",IF(M4117&lt;=Start!$D$20,"A",IF(M4117&lt;=Start!$D$21,"B","C"))))</f>
        <v/>
      </c>
      <c r="O4117" s="48" t="str">
        <f aca="false">IF($A4117="","",IF(NOT(ISNUMBER(F4117)),"Wert fehlt; ",IF(F4117&lt;=0,"Wert ist 0; ",""))&amp;IF(NOT(ISNUMBER(E4117)),"Bestand fehlt; ",IF(E4117&lt;0,"Bestand negativ; ",IF(E4117=0,"Nullbestand; ","")))&amp;IF(D4117="","Warengruppe fehlt; ","")&amp;IF(B4117="","Bezeichnung fehlt; ","")&amp;IF(COUNTIFS($A$2:$A$5001,$A4117,$C$2:$C$5001,C4117)&gt;1,"Artikel doppelt im selben Lager; ",""))</f>
        <v/>
      </c>
      <c r="P4117" s="47" t="n">
        <f aca="false">IF(OR($A4117="",D4117=""),0,IF(COUNTIF($D$2:D4117,D4117)=1,SUMIF($D$2:$D$5001,D4117,$H$2:$H$5001)+ROW()/10000000,0))</f>
        <v>0</v>
      </c>
      <c r="Q4117" s="47" t="n">
        <f aca="false">IF(OR($A4117="",C4117=""),0,IF(COUNTIF($C$2:C4117,C4117)=1,SUMIF($C$2:$C$5001,C4117,$H$2:$H$5001)+ROW()/10000000,0))</f>
        <v>0</v>
      </c>
    </row>
    <row r="4118" customFormat="false" ht="15" hidden="false" customHeight="false" outlineLevel="0" collapsed="false">
      <c r="A4118" s="43"/>
      <c r="B4118" s="44"/>
      <c r="C4118" s="44"/>
      <c r="D4118" s="44"/>
      <c r="E4118" s="44"/>
      <c r="F4118" s="44"/>
      <c r="G4118" s="44"/>
      <c r="H4118" s="46" t="str">
        <f aca="false">IF($A4118="","",IF(OR(NOT(ISNUMBER(E4118)),NOT(ISNUMBER(F4118))),"",MAX(0,E4118)*F4118))</f>
        <v/>
      </c>
      <c r="I4118" s="46" t="str">
        <f aca="false">IF($A4118="","",SUMIF($A$2:$A$5001,$A4118,$H$2:$H$5001))</f>
        <v/>
      </c>
      <c r="J4118" s="47" t="n">
        <f aca="false">IF($A4118="",0,IF(COUNTIF($A$2:A4118,$A4118)=1,1,0))</f>
        <v>0</v>
      </c>
      <c r="K4118" s="47" t="n">
        <f aca="false">IF(J4118=1,N(I4118)+ROW()/10000000,0)</f>
        <v>0</v>
      </c>
      <c r="L4118" s="47" t="str">
        <f aca="false">IF(AND(J4118=1,N(I4118)&gt;0),SUMIF($K$2:$K$5001,"&gt;="&amp;K4118,$I$2:$I$5001)/MAX(1,SUM($H$2:$H$5001)),"")</f>
        <v/>
      </c>
      <c r="M4118" s="47" t="str">
        <f aca="false">IF($A4118="","",INDEX($L$2:$L$5001,MATCH($A4118,$A$2:$A$5001,0)))</f>
        <v/>
      </c>
      <c r="N4118" s="48" t="str">
        <f aca="false">IF($A4118="","",IF(N(M4118)=0,"–",IF(M4118&lt;=Start!$D$20,"A",IF(M4118&lt;=Start!$D$21,"B","C"))))</f>
        <v/>
      </c>
      <c r="O4118" s="48" t="str">
        <f aca="false">IF($A4118="","",IF(NOT(ISNUMBER(F4118)),"Wert fehlt; ",IF(F4118&lt;=0,"Wert ist 0; ",""))&amp;IF(NOT(ISNUMBER(E4118)),"Bestand fehlt; ",IF(E4118&lt;0,"Bestand negativ; ",IF(E4118=0,"Nullbestand; ","")))&amp;IF(D4118="","Warengruppe fehlt; ","")&amp;IF(B4118="","Bezeichnung fehlt; ","")&amp;IF(COUNTIFS($A$2:$A$5001,$A4118,$C$2:$C$5001,C4118)&gt;1,"Artikel doppelt im selben Lager; ",""))</f>
        <v/>
      </c>
      <c r="P4118" s="47" t="n">
        <f aca="false">IF(OR($A4118="",D4118=""),0,IF(COUNTIF($D$2:D4118,D4118)=1,SUMIF($D$2:$D$5001,D4118,$H$2:$H$5001)+ROW()/10000000,0))</f>
        <v>0</v>
      </c>
      <c r="Q4118" s="47" t="n">
        <f aca="false">IF(OR($A4118="",C4118=""),0,IF(COUNTIF($C$2:C4118,C4118)=1,SUMIF($C$2:$C$5001,C4118,$H$2:$H$5001)+ROW()/10000000,0))</f>
        <v>0</v>
      </c>
    </row>
    <row r="4119" customFormat="false" ht="15" hidden="false" customHeight="false" outlineLevel="0" collapsed="false">
      <c r="A4119" s="43"/>
      <c r="B4119" s="44"/>
      <c r="C4119" s="44"/>
      <c r="D4119" s="44"/>
      <c r="E4119" s="44"/>
      <c r="F4119" s="44"/>
      <c r="G4119" s="44"/>
      <c r="H4119" s="46" t="str">
        <f aca="false">IF($A4119="","",IF(OR(NOT(ISNUMBER(E4119)),NOT(ISNUMBER(F4119))),"",MAX(0,E4119)*F4119))</f>
        <v/>
      </c>
      <c r="I4119" s="46" t="str">
        <f aca="false">IF($A4119="","",SUMIF($A$2:$A$5001,$A4119,$H$2:$H$5001))</f>
        <v/>
      </c>
      <c r="J4119" s="47" t="n">
        <f aca="false">IF($A4119="",0,IF(COUNTIF($A$2:A4119,$A4119)=1,1,0))</f>
        <v>0</v>
      </c>
      <c r="K4119" s="47" t="n">
        <f aca="false">IF(J4119=1,N(I4119)+ROW()/10000000,0)</f>
        <v>0</v>
      </c>
      <c r="L4119" s="47" t="str">
        <f aca="false">IF(AND(J4119=1,N(I4119)&gt;0),SUMIF($K$2:$K$5001,"&gt;="&amp;K4119,$I$2:$I$5001)/MAX(1,SUM($H$2:$H$5001)),"")</f>
        <v/>
      </c>
      <c r="M4119" s="47" t="str">
        <f aca="false">IF($A4119="","",INDEX($L$2:$L$5001,MATCH($A4119,$A$2:$A$5001,0)))</f>
        <v/>
      </c>
      <c r="N4119" s="48" t="str">
        <f aca="false">IF($A4119="","",IF(N(M4119)=0,"–",IF(M4119&lt;=Start!$D$20,"A",IF(M4119&lt;=Start!$D$21,"B","C"))))</f>
        <v/>
      </c>
      <c r="O4119" s="48" t="str">
        <f aca="false">IF($A4119="","",IF(NOT(ISNUMBER(F4119)),"Wert fehlt; ",IF(F4119&lt;=0,"Wert ist 0; ",""))&amp;IF(NOT(ISNUMBER(E4119)),"Bestand fehlt; ",IF(E4119&lt;0,"Bestand negativ; ",IF(E4119=0,"Nullbestand; ","")))&amp;IF(D4119="","Warengruppe fehlt; ","")&amp;IF(B4119="","Bezeichnung fehlt; ","")&amp;IF(COUNTIFS($A$2:$A$5001,$A4119,$C$2:$C$5001,C4119)&gt;1,"Artikel doppelt im selben Lager; ",""))</f>
        <v/>
      </c>
      <c r="P4119" s="47" t="n">
        <f aca="false">IF(OR($A4119="",D4119=""),0,IF(COUNTIF($D$2:D4119,D4119)=1,SUMIF($D$2:$D$5001,D4119,$H$2:$H$5001)+ROW()/10000000,0))</f>
        <v>0</v>
      </c>
      <c r="Q4119" s="47" t="n">
        <f aca="false">IF(OR($A4119="",C4119=""),0,IF(COUNTIF($C$2:C4119,C4119)=1,SUMIF($C$2:$C$5001,C4119,$H$2:$H$5001)+ROW()/10000000,0))</f>
        <v>0</v>
      </c>
    </row>
    <row r="4120" customFormat="false" ht="15" hidden="false" customHeight="false" outlineLevel="0" collapsed="false">
      <c r="A4120" s="43"/>
      <c r="B4120" s="44"/>
      <c r="C4120" s="44"/>
      <c r="D4120" s="44"/>
      <c r="E4120" s="44"/>
      <c r="F4120" s="44"/>
      <c r="G4120" s="44"/>
      <c r="H4120" s="46" t="str">
        <f aca="false">IF($A4120="","",IF(OR(NOT(ISNUMBER(E4120)),NOT(ISNUMBER(F4120))),"",MAX(0,E4120)*F4120))</f>
        <v/>
      </c>
      <c r="I4120" s="46" t="str">
        <f aca="false">IF($A4120="","",SUMIF($A$2:$A$5001,$A4120,$H$2:$H$5001))</f>
        <v/>
      </c>
      <c r="J4120" s="47" t="n">
        <f aca="false">IF($A4120="",0,IF(COUNTIF($A$2:A4120,$A4120)=1,1,0))</f>
        <v>0</v>
      </c>
      <c r="K4120" s="47" t="n">
        <f aca="false">IF(J4120=1,N(I4120)+ROW()/10000000,0)</f>
        <v>0</v>
      </c>
      <c r="L4120" s="47" t="str">
        <f aca="false">IF(AND(J4120=1,N(I4120)&gt;0),SUMIF($K$2:$K$5001,"&gt;="&amp;K4120,$I$2:$I$5001)/MAX(1,SUM($H$2:$H$5001)),"")</f>
        <v/>
      </c>
      <c r="M4120" s="47" t="str">
        <f aca="false">IF($A4120="","",INDEX($L$2:$L$5001,MATCH($A4120,$A$2:$A$5001,0)))</f>
        <v/>
      </c>
      <c r="N4120" s="48" t="str">
        <f aca="false">IF($A4120="","",IF(N(M4120)=0,"–",IF(M4120&lt;=Start!$D$20,"A",IF(M4120&lt;=Start!$D$21,"B","C"))))</f>
        <v/>
      </c>
      <c r="O4120" s="48" t="str">
        <f aca="false">IF($A4120="","",IF(NOT(ISNUMBER(F4120)),"Wert fehlt; ",IF(F4120&lt;=0,"Wert ist 0; ",""))&amp;IF(NOT(ISNUMBER(E4120)),"Bestand fehlt; ",IF(E4120&lt;0,"Bestand negativ; ",IF(E4120=0,"Nullbestand; ","")))&amp;IF(D4120="","Warengruppe fehlt; ","")&amp;IF(B4120="","Bezeichnung fehlt; ","")&amp;IF(COUNTIFS($A$2:$A$5001,$A4120,$C$2:$C$5001,C4120)&gt;1,"Artikel doppelt im selben Lager; ",""))</f>
        <v/>
      </c>
      <c r="P4120" s="47" t="n">
        <f aca="false">IF(OR($A4120="",D4120=""),0,IF(COUNTIF($D$2:D4120,D4120)=1,SUMIF($D$2:$D$5001,D4120,$H$2:$H$5001)+ROW()/10000000,0))</f>
        <v>0</v>
      </c>
      <c r="Q4120" s="47" t="n">
        <f aca="false">IF(OR($A4120="",C4120=""),0,IF(COUNTIF($C$2:C4120,C4120)=1,SUMIF($C$2:$C$5001,C4120,$H$2:$H$5001)+ROW()/10000000,0))</f>
        <v>0</v>
      </c>
    </row>
    <row r="4121" customFormat="false" ht="15" hidden="false" customHeight="false" outlineLevel="0" collapsed="false">
      <c r="A4121" s="43"/>
      <c r="B4121" s="44"/>
      <c r="C4121" s="44"/>
      <c r="D4121" s="44"/>
      <c r="E4121" s="44"/>
      <c r="F4121" s="44"/>
      <c r="G4121" s="44"/>
      <c r="H4121" s="46" t="str">
        <f aca="false">IF($A4121="","",IF(OR(NOT(ISNUMBER(E4121)),NOT(ISNUMBER(F4121))),"",MAX(0,E4121)*F4121))</f>
        <v/>
      </c>
      <c r="I4121" s="46" t="str">
        <f aca="false">IF($A4121="","",SUMIF($A$2:$A$5001,$A4121,$H$2:$H$5001))</f>
        <v/>
      </c>
      <c r="J4121" s="47" t="n">
        <f aca="false">IF($A4121="",0,IF(COUNTIF($A$2:A4121,$A4121)=1,1,0))</f>
        <v>0</v>
      </c>
      <c r="K4121" s="47" t="n">
        <f aca="false">IF(J4121=1,N(I4121)+ROW()/10000000,0)</f>
        <v>0</v>
      </c>
      <c r="L4121" s="47" t="str">
        <f aca="false">IF(AND(J4121=1,N(I4121)&gt;0),SUMIF($K$2:$K$5001,"&gt;="&amp;K4121,$I$2:$I$5001)/MAX(1,SUM($H$2:$H$5001)),"")</f>
        <v/>
      </c>
      <c r="M4121" s="47" t="str">
        <f aca="false">IF($A4121="","",INDEX($L$2:$L$5001,MATCH($A4121,$A$2:$A$5001,0)))</f>
        <v/>
      </c>
      <c r="N4121" s="48" t="str">
        <f aca="false">IF($A4121="","",IF(N(M4121)=0,"–",IF(M4121&lt;=Start!$D$20,"A",IF(M4121&lt;=Start!$D$21,"B","C"))))</f>
        <v/>
      </c>
      <c r="O4121" s="48" t="str">
        <f aca="false">IF($A4121="","",IF(NOT(ISNUMBER(F4121)),"Wert fehlt; ",IF(F4121&lt;=0,"Wert ist 0; ",""))&amp;IF(NOT(ISNUMBER(E4121)),"Bestand fehlt; ",IF(E4121&lt;0,"Bestand negativ; ",IF(E4121=0,"Nullbestand; ","")))&amp;IF(D4121="","Warengruppe fehlt; ","")&amp;IF(B4121="","Bezeichnung fehlt; ","")&amp;IF(COUNTIFS($A$2:$A$5001,$A4121,$C$2:$C$5001,C4121)&gt;1,"Artikel doppelt im selben Lager; ",""))</f>
        <v/>
      </c>
      <c r="P4121" s="47" t="n">
        <f aca="false">IF(OR($A4121="",D4121=""),0,IF(COUNTIF($D$2:D4121,D4121)=1,SUMIF($D$2:$D$5001,D4121,$H$2:$H$5001)+ROW()/10000000,0))</f>
        <v>0</v>
      </c>
      <c r="Q4121" s="47" t="n">
        <f aca="false">IF(OR($A4121="",C4121=""),0,IF(COUNTIF($C$2:C4121,C4121)=1,SUMIF($C$2:$C$5001,C4121,$H$2:$H$5001)+ROW()/10000000,0))</f>
        <v>0</v>
      </c>
    </row>
    <row r="4122" customFormat="false" ht="15" hidden="false" customHeight="false" outlineLevel="0" collapsed="false">
      <c r="A4122" s="43"/>
      <c r="B4122" s="44"/>
      <c r="C4122" s="44"/>
      <c r="D4122" s="44"/>
      <c r="E4122" s="44"/>
      <c r="F4122" s="44"/>
      <c r="G4122" s="44"/>
      <c r="H4122" s="46" t="str">
        <f aca="false">IF($A4122="","",IF(OR(NOT(ISNUMBER(E4122)),NOT(ISNUMBER(F4122))),"",MAX(0,E4122)*F4122))</f>
        <v/>
      </c>
      <c r="I4122" s="46" t="str">
        <f aca="false">IF($A4122="","",SUMIF($A$2:$A$5001,$A4122,$H$2:$H$5001))</f>
        <v/>
      </c>
      <c r="J4122" s="47" t="n">
        <f aca="false">IF($A4122="",0,IF(COUNTIF($A$2:A4122,$A4122)=1,1,0))</f>
        <v>0</v>
      </c>
      <c r="K4122" s="47" t="n">
        <f aca="false">IF(J4122=1,N(I4122)+ROW()/10000000,0)</f>
        <v>0</v>
      </c>
      <c r="L4122" s="47" t="str">
        <f aca="false">IF(AND(J4122=1,N(I4122)&gt;0),SUMIF($K$2:$K$5001,"&gt;="&amp;K4122,$I$2:$I$5001)/MAX(1,SUM($H$2:$H$5001)),"")</f>
        <v/>
      </c>
      <c r="M4122" s="47" t="str">
        <f aca="false">IF($A4122="","",INDEX($L$2:$L$5001,MATCH($A4122,$A$2:$A$5001,0)))</f>
        <v/>
      </c>
      <c r="N4122" s="48" t="str">
        <f aca="false">IF($A4122="","",IF(N(M4122)=0,"–",IF(M4122&lt;=Start!$D$20,"A",IF(M4122&lt;=Start!$D$21,"B","C"))))</f>
        <v/>
      </c>
      <c r="O4122" s="48" t="str">
        <f aca="false">IF($A4122="","",IF(NOT(ISNUMBER(F4122)),"Wert fehlt; ",IF(F4122&lt;=0,"Wert ist 0; ",""))&amp;IF(NOT(ISNUMBER(E4122)),"Bestand fehlt; ",IF(E4122&lt;0,"Bestand negativ; ",IF(E4122=0,"Nullbestand; ","")))&amp;IF(D4122="","Warengruppe fehlt; ","")&amp;IF(B4122="","Bezeichnung fehlt; ","")&amp;IF(COUNTIFS($A$2:$A$5001,$A4122,$C$2:$C$5001,C4122)&gt;1,"Artikel doppelt im selben Lager; ",""))</f>
        <v/>
      </c>
      <c r="P4122" s="47" t="n">
        <f aca="false">IF(OR($A4122="",D4122=""),0,IF(COUNTIF($D$2:D4122,D4122)=1,SUMIF($D$2:$D$5001,D4122,$H$2:$H$5001)+ROW()/10000000,0))</f>
        <v>0</v>
      </c>
      <c r="Q4122" s="47" t="n">
        <f aca="false">IF(OR($A4122="",C4122=""),0,IF(COUNTIF($C$2:C4122,C4122)=1,SUMIF($C$2:$C$5001,C4122,$H$2:$H$5001)+ROW()/10000000,0))</f>
        <v>0</v>
      </c>
    </row>
    <row r="4123" customFormat="false" ht="15" hidden="false" customHeight="false" outlineLevel="0" collapsed="false">
      <c r="A4123" s="43"/>
      <c r="B4123" s="44"/>
      <c r="C4123" s="44"/>
      <c r="D4123" s="44"/>
      <c r="E4123" s="44"/>
      <c r="F4123" s="44"/>
      <c r="G4123" s="44"/>
      <c r="H4123" s="46" t="str">
        <f aca="false">IF($A4123="","",IF(OR(NOT(ISNUMBER(E4123)),NOT(ISNUMBER(F4123))),"",MAX(0,E4123)*F4123))</f>
        <v/>
      </c>
      <c r="I4123" s="46" t="str">
        <f aca="false">IF($A4123="","",SUMIF($A$2:$A$5001,$A4123,$H$2:$H$5001))</f>
        <v/>
      </c>
      <c r="J4123" s="47" t="n">
        <f aca="false">IF($A4123="",0,IF(COUNTIF($A$2:A4123,$A4123)=1,1,0))</f>
        <v>0</v>
      </c>
      <c r="K4123" s="47" t="n">
        <f aca="false">IF(J4123=1,N(I4123)+ROW()/10000000,0)</f>
        <v>0</v>
      </c>
      <c r="L4123" s="47" t="str">
        <f aca="false">IF(AND(J4123=1,N(I4123)&gt;0),SUMIF($K$2:$K$5001,"&gt;="&amp;K4123,$I$2:$I$5001)/MAX(1,SUM($H$2:$H$5001)),"")</f>
        <v/>
      </c>
      <c r="M4123" s="47" t="str">
        <f aca="false">IF($A4123="","",INDEX($L$2:$L$5001,MATCH($A4123,$A$2:$A$5001,0)))</f>
        <v/>
      </c>
      <c r="N4123" s="48" t="str">
        <f aca="false">IF($A4123="","",IF(N(M4123)=0,"–",IF(M4123&lt;=Start!$D$20,"A",IF(M4123&lt;=Start!$D$21,"B","C"))))</f>
        <v/>
      </c>
      <c r="O4123" s="48" t="str">
        <f aca="false">IF($A4123="","",IF(NOT(ISNUMBER(F4123)),"Wert fehlt; ",IF(F4123&lt;=0,"Wert ist 0; ",""))&amp;IF(NOT(ISNUMBER(E4123)),"Bestand fehlt; ",IF(E4123&lt;0,"Bestand negativ; ",IF(E4123=0,"Nullbestand; ","")))&amp;IF(D4123="","Warengruppe fehlt; ","")&amp;IF(B4123="","Bezeichnung fehlt; ","")&amp;IF(COUNTIFS($A$2:$A$5001,$A4123,$C$2:$C$5001,C4123)&gt;1,"Artikel doppelt im selben Lager; ",""))</f>
        <v/>
      </c>
      <c r="P4123" s="47" t="n">
        <f aca="false">IF(OR($A4123="",D4123=""),0,IF(COUNTIF($D$2:D4123,D4123)=1,SUMIF($D$2:$D$5001,D4123,$H$2:$H$5001)+ROW()/10000000,0))</f>
        <v>0</v>
      </c>
      <c r="Q4123" s="47" t="n">
        <f aca="false">IF(OR($A4123="",C4123=""),0,IF(COUNTIF($C$2:C4123,C4123)=1,SUMIF($C$2:$C$5001,C4123,$H$2:$H$5001)+ROW()/10000000,0))</f>
        <v>0</v>
      </c>
    </row>
    <row r="4124" customFormat="false" ht="15" hidden="false" customHeight="false" outlineLevel="0" collapsed="false">
      <c r="A4124" s="43"/>
      <c r="B4124" s="44"/>
      <c r="C4124" s="44"/>
      <c r="D4124" s="44"/>
      <c r="E4124" s="44"/>
      <c r="F4124" s="44"/>
      <c r="G4124" s="44"/>
      <c r="H4124" s="46" t="str">
        <f aca="false">IF($A4124="","",IF(OR(NOT(ISNUMBER(E4124)),NOT(ISNUMBER(F4124))),"",MAX(0,E4124)*F4124))</f>
        <v/>
      </c>
      <c r="I4124" s="46" t="str">
        <f aca="false">IF($A4124="","",SUMIF($A$2:$A$5001,$A4124,$H$2:$H$5001))</f>
        <v/>
      </c>
      <c r="J4124" s="47" t="n">
        <f aca="false">IF($A4124="",0,IF(COUNTIF($A$2:A4124,$A4124)=1,1,0))</f>
        <v>0</v>
      </c>
      <c r="K4124" s="47" t="n">
        <f aca="false">IF(J4124=1,N(I4124)+ROW()/10000000,0)</f>
        <v>0</v>
      </c>
      <c r="L4124" s="47" t="str">
        <f aca="false">IF(AND(J4124=1,N(I4124)&gt;0),SUMIF($K$2:$K$5001,"&gt;="&amp;K4124,$I$2:$I$5001)/MAX(1,SUM($H$2:$H$5001)),"")</f>
        <v/>
      </c>
      <c r="M4124" s="47" t="str">
        <f aca="false">IF($A4124="","",INDEX($L$2:$L$5001,MATCH($A4124,$A$2:$A$5001,0)))</f>
        <v/>
      </c>
      <c r="N4124" s="48" t="str">
        <f aca="false">IF($A4124="","",IF(N(M4124)=0,"–",IF(M4124&lt;=Start!$D$20,"A",IF(M4124&lt;=Start!$D$21,"B","C"))))</f>
        <v/>
      </c>
      <c r="O4124" s="48" t="str">
        <f aca="false">IF($A4124="","",IF(NOT(ISNUMBER(F4124)),"Wert fehlt; ",IF(F4124&lt;=0,"Wert ist 0; ",""))&amp;IF(NOT(ISNUMBER(E4124)),"Bestand fehlt; ",IF(E4124&lt;0,"Bestand negativ; ",IF(E4124=0,"Nullbestand; ","")))&amp;IF(D4124="","Warengruppe fehlt; ","")&amp;IF(B4124="","Bezeichnung fehlt; ","")&amp;IF(COUNTIFS($A$2:$A$5001,$A4124,$C$2:$C$5001,C4124)&gt;1,"Artikel doppelt im selben Lager; ",""))</f>
        <v/>
      </c>
      <c r="P4124" s="47" t="n">
        <f aca="false">IF(OR($A4124="",D4124=""),0,IF(COUNTIF($D$2:D4124,D4124)=1,SUMIF($D$2:$D$5001,D4124,$H$2:$H$5001)+ROW()/10000000,0))</f>
        <v>0</v>
      </c>
      <c r="Q4124" s="47" t="n">
        <f aca="false">IF(OR($A4124="",C4124=""),0,IF(COUNTIF($C$2:C4124,C4124)=1,SUMIF($C$2:$C$5001,C4124,$H$2:$H$5001)+ROW()/10000000,0))</f>
        <v>0</v>
      </c>
    </row>
    <row r="4125" customFormat="false" ht="15" hidden="false" customHeight="false" outlineLevel="0" collapsed="false">
      <c r="A4125" s="43"/>
      <c r="B4125" s="44"/>
      <c r="C4125" s="44"/>
      <c r="D4125" s="44"/>
      <c r="E4125" s="44"/>
      <c r="F4125" s="44"/>
      <c r="G4125" s="44"/>
      <c r="H4125" s="46" t="str">
        <f aca="false">IF($A4125="","",IF(OR(NOT(ISNUMBER(E4125)),NOT(ISNUMBER(F4125))),"",MAX(0,E4125)*F4125))</f>
        <v/>
      </c>
      <c r="I4125" s="46" t="str">
        <f aca="false">IF($A4125="","",SUMIF($A$2:$A$5001,$A4125,$H$2:$H$5001))</f>
        <v/>
      </c>
      <c r="J4125" s="47" t="n">
        <f aca="false">IF($A4125="",0,IF(COUNTIF($A$2:A4125,$A4125)=1,1,0))</f>
        <v>0</v>
      </c>
      <c r="K4125" s="47" t="n">
        <f aca="false">IF(J4125=1,N(I4125)+ROW()/10000000,0)</f>
        <v>0</v>
      </c>
      <c r="L4125" s="47" t="str">
        <f aca="false">IF(AND(J4125=1,N(I4125)&gt;0),SUMIF($K$2:$K$5001,"&gt;="&amp;K4125,$I$2:$I$5001)/MAX(1,SUM($H$2:$H$5001)),"")</f>
        <v/>
      </c>
      <c r="M4125" s="47" t="str">
        <f aca="false">IF($A4125="","",INDEX($L$2:$L$5001,MATCH($A4125,$A$2:$A$5001,0)))</f>
        <v/>
      </c>
      <c r="N4125" s="48" t="str">
        <f aca="false">IF($A4125="","",IF(N(M4125)=0,"–",IF(M4125&lt;=Start!$D$20,"A",IF(M4125&lt;=Start!$D$21,"B","C"))))</f>
        <v/>
      </c>
      <c r="O4125" s="48" t="str">
        <f aca="false">IF($A4125="","",IF(NOT(ISNUMBER(F4125)),"Wert fehlt; ",IF(F4125&lt;=0,"Wert ist 0; ",""))&amp;IF(NOT(ISNUMBER(E4125)),"Bestand fehlt; ",IF(E4125&lt;0,"Bestand negativ; ",IF(E4125=0,"Nullbestand; ","")))&amp;IF(D4125="","Warengruppe fehlt; ","")&amp;IF(B4125="","Bezeichnung fehlt; ","")&amp;IF(COUNTIFS($A$2:$A$5001,$A4125,$C$2:$C$5001,C4125)&gt;1,"Artikel doppelt im selben Lager; ",""))</f>
        <v/>
      </c>
      <c r="P4125" s="47" t="n">
        <f aca="false">IF(OR($A4125="",D4125=""),0,IF(COUNTIF($D$2:D4125,D4125)=1,SUMIF($D$2:$D$5001,D4125,$H$2:$H$5001)+ROW()/10000000,0))</f>
        <v>0</v>
      </c>
      <c r="Q4125" s="47" t="n">
        <f aca="false">IF(OR($A4125="",C4125=""),0,IF(COUNTIF($C$2:C4125,C4125)=1,SUMIF($C$2:$C$5001,C4125,$H$2:$H$5001)+ROW()/10000000,0))</f>
        <v>0</v>
      </c>
    </row>
    <row r="4126" customFormat="false" ht="15" hidden="false" customHeight="false" outlineLevel="0" collapsed="false">
      <c r="A4126" s="43"/>
      <c r="B4126" s="44"/>
      <c r="C4126" s="44"/>
      <c r="D4126" s="44"/>
      <c r="E4126" s="44"/>
      <c r="F4126" s="44"/>
      <c r="G4126" s="44"/>
      <c r="H4126" s="46" t="str">
        <f aca="false">IF($A4126="","",IF(OR(NOT(ISNUMBER(E4126)),NOT(ISNUMBER(F4126))),"",MAX(0,E4126)*F4126))</f>
        <v/>
      </c>
      <c r="I4126" s="46" t="str">
        <f aca="false">IF($A4126="","",SUMIF($A$2:$A$5001,$A4126,$H$2:$H$5001))</f>
        <v/>
      </c>
      <c r="J4126" s="47" t="n">
        <f aca="false">IF($A4126="",0,IF(COUNTIF($A$2:A4126,$A4126)=1,1,0))</f>
        <v>0</v>
      </c>
      <c r="K4126" s="47" t="n">
        <f aca="false">IF(J4126=1,N(I4126)+ROW()/10000000,0)</f>
        <v>0</v>
      </c>
      <c r="L4126" s="47" t="str">
        <f aca="false">IF(AND(J4126=1,N(I4126)&gt;0),SUMIF($K$2:$K$5001,"&gt;="&amp;K4126,$I$2:$I$5001)/MAX(1,SUM($H$2:$H$5001)),"")</f>
        <v/>
      </c>
      <c r="M4126" s="47" t="str">
        <f aca="false">IF($A4126="","",INDEX($L$2:$L$5001,MATCH($A4126,$A$2:$A$5001,0)))</f>
        <v/>
      </c>
      <c r="N4126" s="48" t="str">
        <f aca="false">IF($A4126="","",IF(N(M4126)=0,"–",IF(M4126&lt;=Start!$D$20,"A",IF(M4126&lt;=Start!$D$21,"B","C"))))</f>
        <v/>
      </c>
      <c r="O4126" s="48" t="str">
        <f aca="false">IF($A4126="","",IF(NOT(ISNUMBER(F4126)),"Wert fehlt; ",IF(F4126&lt;=0,"Wert ist 0; ",""))&amp;IF(NOT(ISNUMBER(E4126)),"Bestand fehlt; ",IF(E4126&lt;0,"Bestand negativ; ",IF(E4126=0,"Nullbestand; ","")))&amp;IF(D4126="","Warengruppe fehlt; ","")&amp;IF(B4126="","Bezeichnung fehlt; ","")&amp;IF(COUNTIFS($A$2:$A$5001,$A4126,$C$2:$C$5001,C4126)&gt;1,"Artikel doppelt im selben Lager; ",""))</f>
        <v/>
      </c>
      <c r="P4126" s="47" t="n">
        <f aca="false">IF(OR($A4126="",D4126=""),0,IF(COUNTIF($D$2:D4126,D4126)=1,SUMIF($D$2:$D$5001,D4126,$H$2:$H$5001)+ROW()/10000000,0))</f>
        <v>0</v>
      </c>
      <c r="Q4126" s="47" t="n">
        <f aca="false">IF(OR($A4126="",C4126=""),0,IF(COUNTIF($C$2:C4126,C4126)=1,SUMIF($C$2:$C$5001,C4126,$H$2:$H$5001)+ROW()/10000000,0))</f>
        <v>0</v>
      </c>
    </row>
    <row r="4127" customFormat="false" ht="15" hidden="false" customHeight="false" outlineLevel="0" collapsed="false">
      <c r="A4127" s="43"/>
      <c r="B4127" s="44"/>
      <c r="C4127" s="44"/>
      <c r="D4127" s="44"/>
      <c r="E4127" s="44"/>
      <c r="F4127" s="44"/>
      <c r="G4127" s="44"/>
      <c r="H4127" s="46" t="str">
        <f aca="false">IF($A4127="","",IF(OR(NOT(ISNUMBER(E4127)),NOT(ISNUMBER(F4127))),"",MAX(0,E4127)*F4127))</f>
        <v/>
      </c>
      <c r="I4127" s="46" t="str">
        <f aca="false">IF($A4127="","",SUMIF($A$2:$A$5001,$A4127,$H$2:$H$5001))</f>
        <v/>
      </c>
      <c r="J4127" s="47" t="n">
        <f aca="false">IF($A4127="",0,IF(COUNTIF($A$2:A4127,$A4127)=1,1,0))</f>
        <v>0</v>
      </c>
      <c r="K4127" s="47" t="n">
        <f aca="false">IF(J4127=1,N(I4127)+ROW()/10000000,0)</f>
        <v>0</v>
      </c>
      <c r="L4127" s="47" t="str">
        <f aca="false">IF(AND(J4127=1,N(I4127)&gt;0),SUMIF($K$2:$K$5001,"&gt;="&amp;K4127,$I$2:$I$5001)/MAX(1,SUM($H$2:$H$5001)),"")</f>
        <v/>
      </c>
      <c r="M4127" s="47" t="str">
        <f aca="false">IF($A4127="","",INDEX($L$2:$L$5001,MATCH($A4127,$A$2:$A$5001,0)))</f>
        <v/>
      </c>
      <c r="N4127" s="48" t="str">
        <f aca="false">IF($A4127="","",IF(N(M4127)=0,"–",IF(M4127&lt;=Start!$D$20,"A",IF(M4127&lt;=Start!$D$21,"B","C"))))</f>
        <v/>
      </c>
      <c r="O4127" s="48" t="str">
        <f aca="false">IF($A4127="","",IF(NOT(ISNUMBER(F4127)),"Wert fehlt; ",IF(F4127&lt;=0,"Wert ist 0; ",""))&amp;IF(NOT(ISNUMBER(E4127)),"Bestand fehlt; ",IF(E4127&lt;0,"Bestand negativ; ",IF(E4127=0,"Nullbestand; ","")))&amp;IF(D4127="","Warengruppe fehlt; ","")&amp;IF(B4127="","Bezeichnung fehlt; ","")&amp;IF(COUNTIFS($A$2:$A$5001,$A4127,$C$2:$C$5001,C4127)&gt;1,"Artikel doppelt im selben Lager; ",""))</f>
        <v/>
      </c>
      <c r="P4127" s="47" t="n">
        <f aca="false">IF(OR($A4127="",D4127=""),0,IF(COUNTIF($D$2:D4127,D4127)=1,SUMIF($D$2:$D$5001,D4127,$H$2:$H$5001)+ROW()/10000000,0))</f>
        <v>0</v>
      </c>
      <c r="Q4127" s="47" t="n">
        <f aca="false">IF(OR($A4127="",C4127=""),0,IF(COUNTIF($C$2:C4127,C4127)=1,SUMIF($C$2:$C$5001,C4127,$H$2:$H$5001)+ROW()/10000000,0))</f>
        <v>0</v>
      </c>
    </row>
    <row r="4128" customFormat="false" ht="15" hidden="false" customHeight="false" outlineLevel="0" collapsed="false">
      <c r="A4128" s="43"/>
      <c r="B4128" s="44"/>
      <c r="C4128" s="44"/>
      <c r="D4128" s="44"/>
      <c r="E4128" s="44"/>
      <c r="F4128" s="44"/>
      <c r="G4128" s="44"/>
      <c r="H4128" s="46" t="str">
        <f aca="false">IF($A4128="","",IF(OR(NOT(ISNUMBER(E4128)),NOT(ISNUMBER(F4128))),"",MAX(0,E4128)*F4128))</f>
        <v/>
      </c>
      <c r="I4128" s="46" t="str">
        <f aca="false">IF($A4128="","",SUMIF($A$2:$A$5001,$A4128,$H$2:$H$5001))</f>
        <v/>
      </c>
      <c r="J4128" s="47" t="n">
        <f aca="false">IF($A4128="",0,IF(COUNTIF($A$2:A4128,$A4128)=1,1,0))</f>
        <v>0</v>
      </c>
      <c r="K4128" s="47" t="n">
        <f aca="false">IF(J4128=1,N(I4128)+ROW()/10000000,0)</f>
        <v>0</v>
      </c>
      <c r="L4128" s="47" t="str">
        <f aca="false">IF(AND(J4128=1,N(I4128)&gt;0),SUMIF($K$2:$K$5001,"&gt;="&amp;K4128,$I$2:$I$5001)/MAX(1,SUM($H$2:$H$5001)),"")</f>
        <v/>
      </c>
      <c r="M4128" s="47" t="str">
        <f aca="false">IF($A4128="","",INDEX($L$2:$L$5001,MATCH($A4128,$A$2:$A$5001,0)))</f>
        <v/>
      </c>
      <c r="N4128" s="48" t="str">
        <f aca="false">IF($A4128="","",IF(N(M4128)=0,"–",IF(M4128&lt;=Start!$D$20,"A",IF(M4128&lt;=Start!$D$21,"B","C"))))</f>
        <v/>
      </c>
      <c r="O4128" s="48" t="str">
        <f aca="false">IF($A4128="","",IF(NOT(ISNUMBER(F4128)),"Wert fehlt; ",IF(F4128&lt;=0,"Wert ist 0; ",""))&amp;IF(NOT(ISNUMBER(E4128)),"Bestand fehlt; ",IF(E4128&lt;0,"Bestand negativ; ",IF(E4128=0,"Nullbestand; ","")))&amp;IF(D4128="","Warengruppe fehlt; ","")&amp;IF(B4128="","Bezeichnung fehlt; ","")&amp;IF(COUNTIFS($A$2:$A$5001,$A4128,$C$2:$C$5001,C4128)&gt;1,"Artikel doppelt im selben Lager; ",""))</f>
        <v/>
      </c>
      <c r="P4128" s="47" t="n">
        <f aca="false">IF(OR($A4128="",D4128=""),0,IF(COUNTIF($D$2:D4128,D4128)=1,SUMIF($D$2:$D$5001,D4128,$H$2:$H$5001)+ROW()/10000000,0))</f>
        <v>0</v>
      </c>
      <c r="Q4128" s="47" t="n">
        <f aca="false">IF(OR($A4128="",C4128=""),0,IF(COUNTIF($C$2:C4128,C4128)=1,SUMIF($C$2:$C$5001,C4128,$H$2:$H$5001)+ROW()/10000000,0))</f>
        <v>0</v>
      </c>
    </row>
    <row r="4129" customFormat="false" ht="15" hidden="false" customHeight="false" outlineLevel="0" collapsed="false">
      <c r="A4129" s="43"/>
      <c r="B4129" s="44"/>
      <c r="C4129" s="44"/>
      <c r="D4129" s="44"/>
      <c r="E4129" s="44"/>
      <c r="F4129" s="44"/>
      <c r="G4129" s="44"/>
      <c r="H4129" s="46" t="str">
        <f aca="false">IF($A4129="","",IF(OR(NOT(ISNUMBER(E4129)),NOT(ISNUMBER(F4129))),"",MAX(0,E4129)*F4129))</f>
        <v/>
      </c>
      <c r="I4129" s="46" t="str">
        <f aca="false">IF($A4129="","",SUMIF($A$2:$A$5001,$A4129,$H$2:$H$5001))</f>
        <v/>
      </c>
      <c r="J4129" s="47" t="n">
        <f aca="false">IF($A4129="",0,IF(COUNTIF($A$2:A4129,$A4129)=1,1,0))</f>
        <v>0</v>
      </c>
      <c r="K4129" s="47" t="n">
        <f aca="false">IF(J4129=1,N(I4129)+ROW()/10000000,0)</f>
        <v>0</v>
      </c>
      <c r="L4129" s="47" t="str">
        <f aca="false">IF(AND(J4129=1,N(I4129)&gt;0),SUMIF($K$2:$K$5001,"&gt;="&amp;K4129,$I$2:$I$5001)/MAX(1,SUM($H$2:$H$5001)),"")</f>
        <v/>
      </c>
      <c r="M4129" s="47" t="str">
        <f aca="false">IF($A4129="","",INDEX($L$2:$L$5001,MATCH($A4129,$A$2:$A$5001,0)))</f>
        <v/>
      </c>
      <c r="N4129" s="48" t="str">
        <f aca="false">IF($A4129="","",IF(N(M4129)=0,"–",IF(M4129&lt;=Start!$D$20,"A",IF(M4129&lt;=Start!$D$21,"B","C"))))</f>
        <v/>
      </c>
      <c r="O4129" s="48" t="str">
        <f aca="false">IF($A4129="","",IF(NOT(ISNUMBER(F4129)),"Wert fehlt; ",IF(F4129&lt;=0,"Wert ist 0; ",""))&amp;IF(NOT(ISNUMBER(E4129)),"Bestand fehlt; ",IF(E4129&lt;0,"Bestand negativ; ",IF(E4129=0,"Nullbestand; ","")))&amp;IF(D4129="","Warengruppe fehlt; ","")&amp;IF(B4129="","Bezeichnung fehlt; ","")&amp;IF(COUNTIFS($A$2:$A$5001,$A4129,$C$2:$C$5001,C4129)&gt;1,"Artikel doppelt im selben Lager; ",""))</f>
        <v/>
      </c>
      <c r="P4129" s="47" t="n">
        <f aca="false">IF(OR($A4129="",D4129=""),0,IF(COUNTIF($D$2:D4129,D4129)=1,SUMIF($D$2:$D$5001,D4129,$H$2:$H$5001)+ROW()/10000000,0))</f>
        <v>0</v>
      </c>
      <c r="Q4129" s="47" t="n">
        <f aca="false">IF(OR($A4129="",C4129=""),0,IF(COUNTIF($C$2:C4129,C4129)=1,SUMIF($C$2:$C$5001,C4129,$H$2:$H$5001)+ROW()/10000000,0))</f>
        <v>0</v>
      </c>
    </row>
    <row r="4130" customFormat="false" ht="15" hidden="false" customHeight="false" outlineLevel="0" collapsed="false">
      <c r="A4130" s="43"/>
      <c r="B4130" s="44"/>
      <c r="C4130" s="44"/>
      <c r="D4130" s="44"/>
      <c r="E4130" s="44"/>
      <c r="F4130" s="44"/>
      <c r="G4130" s="44"/>
      <c r="H4130" s="46" t="str">
        <f aca="false">IF($A4130="","",IF(OR(NOT(ISNUMBER(E4130)),NOT(ISNUMBER(F4130))),"",MAX(0,E4130)*F4130))</f>
        <v/>
      </c>
      <c r="I4130" s="46" t="str">
        <f aca="false">IF($A4130="","",SUMIF($A$2:$A$5001,$A4130,$H$2:$H$5001))</f>
        <v/>
      </c>
      <c r="J4130" s="47" t="n">
        <f aca="false">IF($A4130="",0,IF(COUNTIF($A$2:A4130,$A4130)=1,1,0))</f>
        <v>0</v>
      </c>
      <c r="K4130" s="47" t="n">
        <f aca="false">IF(J4130=1,N(I4130)+ROW()/10000000,0)</f>
        <v>0</v>
      </c>
      <c r="L4130" s="47" t="str">
        <f aca="false">IF(AND(J4130=1,N(I4130)&gt;0),SUMIF($K$2:$K$5001,"&gt;="&amp;K4130,$I$2:$I$5001)/MAX(1,SUM($H$2:$H$5001)),"")</f>
        <v/>
      </c>
      <c r="M4130" s="47" t="str">
        <f aca="false">IF($A4130="","",INDEX($L$2:$L$5001,MATCH($A4130,$A$2:$A$5001,0)))</f>
        <v/>
      </c>
      <c r="N4130" s="48" t="str">
        <f aca="false">IF($A4130="","",IF(N(M4130)=0,"–",IF(M4130&lt;=Start!$D$20,"A",IF(M4130&lt;=Start!$D$21,"B","C"))))</f>
        <v/>
      </c>
      <c r="O4130" s="48" t="str">
        <f aca="false">IF($A4130="","",IF(NOT(ISNUMBER(F4130)),"Wert fehlt; ",IF(F4130&lt;=0,"Wert ist 0; ",""))&amp;IF(NOT(ISNUMBER(E4130)),"Bestand fehlt; ",IF(E4130&lt;0,"Bestand negativ; ",IF(E4130=0,"Nullbestand; ","")))&amp;IF(D4130="","Warengruppe fehlt; ","")&amp;IF(B4130="","Bezeichnung fehlt; ","")&amp;IF(COUNTIFS($A$2:$A$5001,$A4130,$C$2:$C$5001,C4130)&gt;1,"Artikel doppelt im selben Lager; ",""))</f>
        <v/>
      </c>
      <c r="P4130" s="47" t="n">
        <f aca="false">IF(OR($A4130="",D4130=""),0,IF(COUNTIF($D$2:D4130,D4130)=1,SUMIF($D$2:$D$5001,D4130,$H$2:$H$5001)+ROW()/10000000,0))</f>
        <v>0</v>
      </c>
      <c r="Q4130" s="47" t="n">
        <f aca="false">IF(OR($A4130="",C4130=""),0,IF(COUNTIF($C$2:C4130,C4130)=1,SUMIF($C$2:$C$5001,C4130,$H$2:$H$5001)+ROW()/10000000,0))</f>
        <v>0</v>
      </c>
    </row>
    <row r="4131" customFormat="false" ht="15" hidden="false" customHeight="false" outlineLevel="0" collapsed="false">
      <c r="A4131" s="43"/>
      <c r="B4131" s="44"/>
      <c r="C4131" s="44"/>
      <c r="D4131" s="44"/>
      <c r="E4131" s="44"/>
      <c r="F4131" s="44"/>
      <c r="G4131" s="44"/>
      <c r="H4131" s="46" t="str">
        <f aca="false">IF($A4131="","",IF(OR(NOT(ISNUMBER(E4131)),NOT(ISNUMBER(F4131))),"",MAX(0,E4131)*F4131))</f>
        <v/>
      </c>
      <c r="I4131" s="46" t="str">
        <f aca="false">IF($A4131="","",SUMIF($A$2:$A$5001,$A4131,$H$2:$H$5001))</f>
        <v/>
      </c>
      <c r="J4131" s="47" t="n">
        <f aca="false">IF($A4131="",0,IF(COUNTIF($A$2:A4131,$A4131)=1,1,0))</f>
        <v>0</v>
      </c>
      <c r="K4131" s="47" t="n">
        <f aca="false">IF(J4131=1,N(I4131)+ROW()/10000000,0)</f>
        <v>0</v>
      </c>
      <c r="L4131" s="47" t="str">
        <f aca="false">IF(AND(J4131=1,N(I4131)&gt;0),SUMIF($K$2:$K$5001,"&gt;="&amp;K4131,$I$2:$I$5001)/MAX(1,SUM($H$2:$H$5001)),"")</f>
        <v/>
      </c>
      <c r="M4131" s="47" t="str">
        <f aca="false">IF($A4131="","",INDEX($L$2:$L$5001,MATCH($A4131,$A$2:$A$5001,0)))</f>
        <v/>
      </c>
      <c r="N4131" s="48" t="str">
        <f aca="false">IF($A4131="","",IF(N(M4131)=0,"–",IF(M4131&lt;=Start!$D$20,"A",IF(M4131&lt;=Start!$D$21,"B","C"))))</f>
        <v/>
      </c>
      <c r="O4131" s="48" t="str">
        <f aca="false">IF($A4131="","",IF(NOT(ISNUMBER(F4131)),"Wert fehlt; ",IF(F4131&lt;=0,"Wert ist 0; ",""))&amp;IF(NOT(ISNUMBER(E4131)),"Bestand fehlt; ",IF(E4131&lt;0,"Bestand negativ; ",IF(E4131=0,"Nullbestand; ","")))&amp;IF(D4131="","Warengruppe fehlt; ","")&amp;IF(B4131="","Bezeichnung fehlt; ","")&amp;IF(COUNTIFS($A$2:$A$5001,$A4131,$C$2:$C$5001,C4131)&gt;1,"Artikel doppelt im selben Lager; ",""))</f>
        <v/>
      </c>
      <c r="P4131" s="47" t="n">
        <f aca="false">IF(OR($A4131="",D4131=""),0,IF(COUNTIF($D$2:D4131,D4131)=1,SUMIF($D$2:$D$5001,D4131,$H$2:$H$5001)+ROW()/10000000,0))</f>
        <v>0</v>
      </c>
      <c r="Q4131" s="47" t="n">
        <f aca="false">IF(OR($A4131="",C4131=""),0,IF(COUNTIF($C$2:C4131,C4131)=1,SUMIF($C$2:$C$5001,C4131,$H$2:$H$5001)+ROW()/10000000,0))</f>
        <v>0</v>
      </c>
    </row>
    <row r="4132" customFormat="false" ht="15" hidden="false" customHeight="false" outlineLevel="0" collapsed="false">
      <c r="A4132" s="43"/>
      <c r="B4132" s="44"/>
      <c r="C4132" s="44"/>
      <c r="D4132" s="44"/>
      <c r="E4132" s="44"/>
      <c r="F4132" s="44"/>
      <c r="G4132" s="44"/>
      <c r="H4132" s="46" t="str">
        <f aca="false">IF($A4132="","",IF(OR(NOT(ISNUMBER(E4132)),NOT(ISNUMBER(F4132))),"",MAX(0,E4132)*F4132))</f>
        <v/>
      </c>
      <c r="I4132" s="46" t="str">
        <f aca="false">IF($A4132="","",SUMIF($A$2:$A$5001,$A4132,$H$2:$H$5001))</f>
        <v/>
      </c>
      <c r="J4132" s="47" t="n">
        <f aca="false">IF($A4132="",0,IF(COUNTIF($A$2:A4132,$A4132)=1,1,0))</f>
        <v>0</v>
      </c>
      <c r="K4132" s="47" t="n">
        <f aca="false">IF(J4132=1,N(I4132)+ROW()/10000000,0)</f>
        <v>0</v>
      </c>
      <c r="L4132" s="47" t="str">
        <f aca="false">IF(AND(J4132=1,N(I4132)&gt;0),SUMIF($K$2:$K$5001,"&gt;="&amp;K4132,$I$2:$I$5001)/MAX(1,SUM($H$2:$H$5001)),"")</f>
        <v/>
      </c>
      <c r="M4132" s="47" t="str">
        <f aca="false">IF($A4132="","",INDEX($L$2:$L$5001,MATCH($A4132,$A$2:$A$5001,0)))</f>
        <v/>
      </c>
      <c r="N4132" s="48" t="str">
        <f aca="false">IF($A4132="","",IF(N(M4132)=0,"–",IF(M4132&lt;=Start!$D$20,"A",IF(M4132&lt;=Start!$D$21,"B","C"))))</f>
        <v/>
      </c>
      <c r="O4132" s="48" t="str">
        <f aca="false">IF($A4132="","",IF(NOT(ISNUMBER(F4132)),"Wert fehlt; ",IF(F4132&lt;=0,"Wert ist 0; ",""))&amp;IF(NOT(ISNUMBER(E4132)),"Bestand fehlt; ",IF(E4132&lt;0,"Bestand negativ; ",IF(E4132=0,"Nullbestand; ","")))&amp;IF(D4132="","Warengruppe fehlt; ","")&amp;IF(B4132="","Bezeichnung fehlt; ","")&amp;IF(COUNTIFS($A$2:$A$5001,$A4132,$C$2:$C$5001,C4132)&gt;1,"Artikel doppelt im selben Lager; ",""))</f>
        <v/>
      </c>
      <c r="P4132" s="47" t="n">
        <f aca="false">IF(OR($A4132="",D4132=""),0,IF(COUNTIF($D$2:D4132,D4132)=1,SUMIF($D$2:$D$5001,D4132,$H$2:$H$5001)+ROW()/10000000,0))</f>
        <v>0</v>
      </c>
      <c r="Q4132" s="47" t="n">
        <f aca="false">IF(OR($A4132="",C4132=""),0,IF(COUNTIF($C$2:C4132,C4132)=1,SUMIF($C$2:$C$5001,C4132,$H$2:$H$5001)+ROW()/10000000,0))</f>
        <v>0</v>
      </c>
    </row>
    <row r="4133" customFormat="false" ht="15" hidden="false" customHeight="false" outlineLevel="0" collapsed="false">
      <c r="A4133" s="43"/>
      <c r="B4133" s="44"/>
      <c r="C4133" s="44"/>
      <c r="D4133" s="44"/>
      <c r="E4133" s="44"/>
      <c r="F4133" s="44"/>
      <c r="G4133" s="44"/>
      <c r="H4133" s="46" t="str">
        <f aca="false">IF($A4133="","",IF(OR(NOT(ISNUMBER(E4133)),NOT(ISNUMBER(F4133))),"",MAX(0,E4133)*F4133))</f>
        <v/>
      </c>
      <c r="I4133" s="46" t="str">
        <f aca="false">IF($A4133="","",SUMIF($A$2:$A$5001,$A4133,$H$2:$H$5001))</f>
        <v/>
      </c>
      <c r="J4133" s="47" t="n">
        <f aca="false">IF($A4133="",0,IF(COUNTIF($A$2:A4133,$A4133)=1,1,0))</f>
        <v>0</v>
      </c>
      <c r="K4133" s="47" t="n">
        <f aca="false">IF(J4133=1,N(I4133)+ROW()/10000000,0)</f>
        <v>0</v>
      </c>
      <c r="L4133" s="47" t="str">
        <f aca="false">IF(AND(J4133=1,N(I4133)&gt;0),SUMIF($K$2:$K$5001,"&gt;="&amp;K4133,$I$2:$I$5001)/MAX(1,SUM($H$2:$H$5001)),"")</f>
        <v/>
      </c>
      <c r="M4133" s="47" t="str">
        <f aca="false">IF($A4133="","",INDEX($L$2:$L$5001,MATCH($A4133,$A$2:$A$5001,0)))</f>
        <v/>
      </c>
      <c r="N4133" s="48" t="str">
        <f aca="false">IF($A4133="","",IF(N(M4133)=0,"–",IF(M4133&lt;=Start!$D$20,"A",IF(M4133&lt;=Start!$D$21,"B","C"))))</f>
        <v/>
      </c>
      <c r="O4133" s="48" t="str">
        <f aca="false">IF($A4133="","",IF(NOT(ISNUMBER(F4133)),"Wert fehlt; ",IF(F4133&lt;=0,"Wert ist 0; ",""))&amp;IF(NOT(ISNUMBER(E4133)),"Bestand fehlt; ",IF(E4133&lt;0,"Bestand negativ; ",IF(E4133=0,"Nullbestand; ","")))&amp;IF(D4133="","Warengruppe fehlt; ","")&amp;IF(B4133="","Bezeichnung fehlt; ","")&amp;IF(COUNTIFS($A$2:$A$5001,$A4133,$C$2:$C$5001,C4133)&gt;1,"Artikel doppelt im selben Lager; ",""))</f>
        <v/>
      </c>
      <c r="P4133" s="47" t="n">
        <f aca="false">IF(OR($A4133="",D4133=""),0,IF(COUNTIF($D$2:D4133,D4133)=1,SUMIF($D$2:$D$5001,D4133,$H$2:$H$5001)+ROW()/10000000,0))</f>
        <v>0</v>
      </c>
      <c r="Q4133" s="47" t="n">
        <f aca="false">IF(OR($A4133="",C4133=""),0,IF(COUNTIF($C$2:C4133,C4133)=1,SUMIF($C$2:$C$5001,C4133,$H$2:$H$5001)+ROW()/10000000,0))</f>
        <v>0</v>
      </c>
    </row>
    <row r="4134" customFormat="false" ht="15" hidden="false" customHeight="false" outlineLevel="0" collapsed="false">
      <c r="A4134" s="43"/>
      <c r="B4134" s="44"/>
      <c r="C4134" s="44"/>
      <c r="D4134" s="44"/>
      <c r="E4134" s="44"/>
      <c r="F4134" s="44"/>
      <c r="G4134" s="44"/>
      <c r="H4134" s="46" t="str">
        <f aca="false">IF($A4134="","",IF(OR(NOT(ISNUMBER(E4134)),NOT(ISNUMBER(F4134))),"",MAX(0,E4134)*F4134))</f>
        <v/>
      </c>
      <c r="I4134" s="46" t="str">
        <f aca="false">IF($A4134="","",SUMIF($A$2:$A$5001,$A4134,$H$2:$H$5001))</f>
        <v/>
      </c>
      <c r="J4134" s="47" t="n">
        <f aca="false">IF($A4134="",0,IF(COUNTIF($A$2:A4134,$A4134)=1,1,0))</f>
        <v>0</v>
      </c>
      <c r="K4134" s="47" t="n">
        <f aca="false">IF(J4134=1,N(I4134)+ROW()/10000000,0)</f>
        <v>0</v>
      </c>
      <c r="L4134" s="47" t="str">
        <f aca="false">IF(AND(J4134=1,N(I4134)&gt;0),SUMIF($K$2:$K$5001,"&gt;="&amp;K4134,$I$2:$I$5001)/MAX(1,SUM($H$2:$H$5001)),"")</f>
        <v/>
      </c>
      <c r="M4134" s="47" t="str">
        <f aca="false">IF($A4134="","",INDEX($L$2:$L$5001,MATCH($A4134,$A$2:$A$5001,0)))</f>
        <v/>
      </c>
      <c r="N4134" s="48" t="str">
        <f aca="false">IF($A4134="","",IF(N(M4134)=0,"–",IF(M4134&lt;=Start!$D$20,"A",IF(M4134&lt;=Start!$D$21,"B","C"))))</f>
        <v/>
      </c>
      <c r="O4134" s="48" t="str">
        <f aca="false">IF($A4134="","",IF(NOT(ISNUMBER(F4134)),"Wert fehlt; ",IF(F4134&lt;=0,"Wert ist 0; ",""))&amp;IF(NOT(ISNUMBER(E4134)),"Bestand fehlt; ",IF(E4134&lt;0,"Bestand negativ; ",IF(E4134=0,"Nullbestand; ","")))&amp;IF(D4134="","Warengruppe fehlt; ","")&amp;IF(B4134="","Bezeichnung fehlt; ","")&amp;IF(COUNTIFS($A$2:$A$5001,$A4134,$C$2:$C$5001,C4134)&gt;1,"Artikel doppelt im selben Lager; ",""))</f>
        <v/>
      </c>
      <c r="P4134" s="47" t="n">
        <f aca="false">IF(OR($A4134="",D4134=""),0,IF(COUNTIF($D$2:D4134,D4134)=1,SUMIF($D$2:$D$5001,D4134,$H$2:$H$5001)+ROW()/10000000,0))</f>
        <v>0</v>
      </c>
      <c r="Q4134" s="47" t="n">
        <f aca="false">IF(OR($A4134="",C4134=""),0,IF(COUNTIF($C$2:C4134,C4134)=1,SUMIF($C$2:$C$5001,C4134,$H$2:$H$5001)+ROW()/10000000,0))</f>
        <v>0</v>
      </c>
    </row>
    <row r="4135" customFormat="false" ht="15" hidden="false" customHeight="false" outlineLevel="0" collapsed="false">
      <c r="A4135" s="43"/>
      <c r="B4135" s="44"/>
      <c r="C4135" s="44"/>
      <c r="D4135" s="44"/>
      <c r="E4135" s="44"/>
      <c r="F4135" s="44"/>
      <c r="G4135" s="44"/>
      <c r="H4135" s="46" t="str">
        <f aca="false">IF($A4135="","",IF(OR(NOT(ISNUMBER(E4135)),NOT(ISNUMBER(F4135))),"",MAX(0,E4135)*F4135))</f>
        <v/>
      </c>
      <c r="I4135" s="46" t="str">
        <f aca="false">IF($A4135="","",SUMIF($A$2:$A$5001,$A4135,$H$2:$H$5001))</f>
        <v/>
      </c>
      <c r="J4135" s="47" t="n">
        <f aca="false">IF($A4135="",0,IF(COUNTIF($A$2:A4135,$A4135)=1,1,0))</f>
        <v>0</v>
      </c>
      <c r="K4135" s="47" t="n">
        <f aca="false">IF(J4135=1,N(I4135)+ROW()/10000000,0)</f>
        <v>0</v>
      </c>
      <c r="L4135" s="47" t="str">
        <f aca="false">IF(AND(J4135=1,N(I4135)&gt;0),SUMIF($K$2:$K$5001,"&gt;="&amp;K4135,$I$2:$I$5001)/MAX(1,SUM($H$2:$H$5001)),"")</f>
        <v/>
      </c>
      <c r="M4135" s="47" t="str">
        <f aca="false">IF($A4135="","",INDEX($L$2:$L$5001,MATCH($A4135,$A$2:$A$5001,0)))</f>
        <v/>
      </c>
      <c r="N4135" s="48" t="str">
        <f aca="false">IF($A4135="","",IF(N(M4135)=0,"–",IF(M4135&lt;=Start!$D$20,"A",IF(M4135&lt;=Start!$D$21,"B","C"))))</f>
        <v/>
      </c>
      <c r="O4135" s="48" t="str">
        <f aca="false">IF($A4135="","",IF(NOT(ISNUMBER(F4135)),"Wert fehlt; ",IF(F4135&lt;=0,"Wert ist 0; ",""))&amp;IF(NOT(ISNUMBER(E4135)),"Bestand fehlt; ",IF(E4135&lt;0,"Bestand negativ; ",IF(E4135=0,"Nullbestand; ","")))&amp;IF(D4135="","Warengruppe fehlt; ","")&amp;IF(B4135="","Bezeichnung fehlt; ","")&amp;IF(COUNTIFS($A$2:$A$5001,$A4135,$C$2:$C$5001,C4135)&gt;1,"Artikel doppelt im selben Lager; ",""))</f>
        <v/>
      </c>
      <c r="P4135" s="47" t="n">
        <f aca="false">IF(OR($A4135="",D4135=""),0,IF(COUNTIF($D$2:D4135,D4135)=1,SUMIF($D$2:$D$5001,D4135,$H$2:$H$5001)+ROW()/10000000,0))</f>
        <v>0</v>
      </c>
      <c r="Q4135" s="47" t="n">
        <f aca="false">IF(OR($A4135="",C4135=""),0,IF(COUNTIF($C$2:C4135,C4135)=1,SUMIF($C$2:$C$5001,C4135,$H$2:$H$5001)+ROW()/10000000,0))</f>
        <v>0</v>
      </c>
    </row>
    <row r="4136" customFormat="false" ht="15" hidden="false" customHeight="false" outlineLevel="0" collapsed="false">
      <c r="A4136" s="43"/>
      <c r="B4136" s="44"/>
      <c r="C4136" s="44"/>
      <c r="D4136" s="44"/>
      <c r="E4136" s="44"/>
      <c r="F4136" s="44"/>
      <c r="G4136" s="44"/>
      <c r="H4136" s="46" t="str">
        <f aca="false">IF($A4136="","",IF(OR(NOT(ISNUMBER(E4136)),NOT(ISNUMBER(F4136))),"",MAX(0,E4136)*F4136))</f>
        <v/>
      </c>
      <c r="I4136" s="46" t="str">
        <f aca="false">IF($A4136="","",SUMIF($A$2:$A$5001,$A4136,$H$2:$H$5001))</f>
        <v/>
      </c>
      <c r="J4136" s="47" t="n">
        <f aca="false">IF($A4136="",0,IF(COUNTIF($A$2:A4136,$A4136)=1,1,0))</f>
        <v>0</v>
      </c>
      <c r="K4136" s="47" t="n">
        <f aca="false">IF(J4136=1,N(I4136)+ROW()/10000000,0)</f>
        <v>0</v>
      </c>
      <c r="L4136" s="47" t="str">
        <f aca="false">IF(AND(J4136=1,N(I4136)&gt;0),SUMIF($K$2:$K$5001,"&gt;="&amp;K4136,$I$2:$I$5001)/MAX(1,SUM($H$2:$H$5001)),"")</f>
        <v/>
      </c>
      <c r="M4136" s="47" t="str">
        <f aca="false">IF($A4136="","",INDEX($L$2:$L$5001,MATCH($A4136,$A$2:$A$5001,0)))</f>
        <v/>
      </c>
      <c r="N4136" s="48" t="str">
        <f aca="false">IF($A4136="","",IF(N(M4136)=0,"–",IF(M4136&lt;=Start!$D$20,"A",IF(M4136&lt;=Start!$D$21,"B","C"))))</f>
        <v/>
      </c>
      <c r="O4136" s="48" t="str">
        <f aca="false">IF($A4136="","",IF(NOT(ISNUMBER(F4136)),"Wert fehlt; ",IF(F4136&lt;=0,"Wert ist 0; ",""))&amp;IF(NOT(ISNUMBER(E4136)),"Bestand fehlt; ",IF(E4136&lt;0,"Bestand negativ; ",IF(E4136=0,"Nullbestand; ","")))&amp;IF(D4136="","Warengruppe fehlt; ","")&amp;IF(B4136="","Bezeichnung fehlt; ","")&amp;IF(COUNTIFS($A$2:$A$5001,$A4136,$C$2:$C$5001,C4136)&gt;1,"Artikel doppelt im selben Lager; ",""))</f>
        <v/>
      </c>
      <c r="P4136" s="47" t="n">
        <f aca="false">IF(OR($A4136="",D4136=""),0,IF(COUNTIF($D$2:D4136,D4136)=1,SUMIF($D$2:$D$5001,D4136,$H$2:$H$5001)+ROW()/10000000,0))</f>
        <v>0</v>
      </c>
      <c r="Q4136" s="47" t="n">
        <f aca="false">IF(OR($A4136="",C4136=""),0,IF(COUNTIF($C$2:C4136,C4136)=1,SUMIF($C$2:$C$5001,C4136,$H$2:$H$5001)+ROW()/10000000,0))</f>
        <v>0</v>
      </c>
    </row>
    <row r="4137" customFormat="false" ht="15" hidden="false" customHeight="false" outlineLevel="0" collapsed="false">
      <c r="A4137" s="43"/>
      <c r="B4137" s="44"/>
      <c r="C4137" s="44"/>
      <c r="D4137" s="44"/>
      <c r="E4137" s="44"/>
      <c r="F4137" s="44"/>
      <c r="G4137" s="44"/>
      <c r="H4137" s="46" t="str">
        <f aca="false">IF($A4137="","",IF(OR(NOT(ISNUMBER(E4137)),NOT(ISNUMBER(F4137))),"",MAX(0,E4137)*F4137))</f>
        <v/>
      </c>
      <c r="I4137" s="46" t="str">
        <f aca="false">IF($A4137="","",SUMIF($A$2:$A$5001,$A4137,$H$2:$H$5001))</f>
        <v/>
      </c>
      <c r="J4137" s="47" t="n">
        <f aca="false">IF($A4137="",0,IF(COUNTIF($A$2:A4137,$A4137)=1,1,0))</f>
        <v>0</v>
      </c>
      <c r="K4137" s="47" t="n">
        <f aca="false">IF(J4137=1,N(I4137)+ROW()/10000000,0)</f>
        <v>0</v>
      </c>
      <c r="L4137" s="47" t="str">
        <f aca="false">IF(AND(J4137=1,N(I4137)&gt;0),SUMIF($K$2:$K$5001,"&gt;="&amp;K4137,$I$2:$I$5001)/MAX(1,SUM($H$2:$H$5001)),"")</f>
        <v/>
      </c>
      <c r="M4137" s="47" t="str">
        <f aca="false">IF($A4137="","",INDEX($L$2:$L$5001,MATCH($A4137,$A$2:$A$5001,0)))</f>
        <v/>
      </c>
      <c r="N4137" s="48" t="str">
        <f aca="false">IF($A4137="","",IF(N(M4137)=0,"–",IF(M4137&lt;=Start!$D$20,"A",IF(M4137&lt;=Start!$D$21,"B","C"))))</f>
        <v/>
      </c>
      <c r="O4137" s="48" t="str">
        <f aca="false">IF($A4137="","",IF(NOT(ISNUMBER(F4137)),"Wert fehlt; ",IF(F4137&lt;=0,"Wert ist 0; ",""))&amp;IF(NOT(ISNUMBER(E4137)),"Bestand fehlt; ",IF(E4137&lt;0,"Bestand negativ; ",IF(E4137=0,"Nullbestand; ","")))&amp;IF(D4137="","Warengruppe fehlt; ","")&amp;IF(B4137="","Bezeichnung fehlt; ","")&amp;IF(COUNTIFS($A$2:$A$5001,$A4137,$C$2:$C$5001,C4137)&gt;1,"Artikel doppelt im selben Lager; ",""))</f>
        <v/>
      </c>
      <c r="P4137" s="47" t="n">
        <f aca="false">IF(OR($A4137="",D4137=""),0,IF(COUNTIF($D$2:D4137,D4137)=1,SUMIF($D$2:$D$5001,D4137,$H$2:$H$5001)+ROW()/10000000,0))</f>
        <v>0</v>
      </c>
      <c r="Q4137" s="47" t="n">
        <f aca="false">IF(OR($A4137="",C4137=""),0,IF(COUNTIF($C$2:C4137,C4137)=1,SUMIF($C$2:$C$5001,C4137,$H$2:$H$5001)+ROW()/10000000,0))</f>
        <v>0</v>
      </c>
    </row>
    <row r="4138" customFormat="false" ht="15" hidden="false" customHeight="false" outlineLevel="0" collapsed="false">
      <c r="A4138" s="43"/>
      <c r="B4138" s="44"/>
      <c r="C4138" s="44"/>
      <c r="D4138" s="44"/>
      <c r="E4138" s="44"/>
      <c r="F4138" s="44"/>
      <c r="G4138" s="44"/>
      <c r="H4138" s="46" t="str">
        <f aca="false">IF($A4138="","",IF(OR(NOT(ISNUMBER(E4138)),NOT(ISNUMBER(F4138))),"",MAX(0,E4138)*F4138))</f>
        <v/>
      </c>
      <c r="I4138" s="46" t="str">
        <f aca="false">IF($A4138="","",SUMIF($A$2:$A$5001,$A4138,$H$2:$H$5001))</f>
        <v/>
      </c>
      <c r="J4138" s="47" t="n">
        <f aca="false">IF($A4138="",0,IF(COUNTIF($A$2:A4138,$A4138)=1,1,0))</f>
        <v>0</v>
      </c>
      <c r="K4138" s="47" t="n">
        <f aca="false">IF(J4138=1,N(I4138)+ROW()/10000000,0)</f>
        <v>0</v>
      </c>
      <c r="L4138" s="47" t="str">
        <f aca="false">IF(AND(J4138=1,N(I4138)&gt;0),SUMIF($K$2:$K$5001,"&gt;="&amp;K4138,$I$2:$I$5001)/MAX(1,SUM($H$2:$H$5001)),"")</f>
        <v/>
      </c>
      <c r="M4138" s="47" t="str">
        <f aca="false">IF($A4138="","",INDEX($L$2:$L$5001,MATCH($A4138,$A$2:$A$5001,0)))</f>
        <v/>
      </c>
      <c r="N4138" s="48" t="str">
        <f aca="false">IF($A4138="","",IF(N(M4138)=0,"–",IF(M4138&lt;=Start!$D$20,"A",IF(M4138&lt;=Start!$D$21,"B","C"))))</f>
        <v/>
      </c>
      <c r="O4138" s="48" t="str">
        <f aca="false">IF($A4138="","",IF(NOT(ISNUMBER(F4138)),"Wert fehlt; ",IF(F4138&lt;=0,"Wert ist 0; ",""))&amp;IF(NOT(ISNUMBER(E4138)),"Bestand fehlt; ",IF(E4138&lt;0,"Bestand negativ; ",IF(E4138=0,"Nullbestand; ","")))&amp;IF(D4138="","Warengruppe fehlt; ","")&amp;IF(B4138="","Bezeichnung fehlt; ","")&amp;IF(COUNTIFS($A$2:$A$5001,$A4138,$C$2:$C$5001,C4138)&gt;1,"Artikel doppelt im selben Lager; ",""))</f>
        <v/>
      </c>
      <c r="P4138" s="47" t="n">
        <f aca="false">IF(OR($A4138="",D4138=""),0,IF(COUNTIF($D$2:D4138,D4138)=1,SUMIF($D$2:$D$5001,D4138,$H$2:$H$5001)+ROW()/10000000,0))</f>
        <v>0</v>
      </c>
      <c r="Q4138" s="47" t="n">
        <f aca="false">IF(OR($A4138="",C4138=""),0,IF(COUNTIF($C$2:C4138,C4138)=1,SUMIF($C$2:$C$5001,C4138,$H$2:$H$5001)+ROW()/10000000,0))</f>
        <v>0</v>
      </c>
    </row>
    <row r="4139" customFormat="false" ht="15" hidden="false" customHeight="false" outlineLevel="0" collapsed="false">
      <c r="A4139" s="43"/>
      <c r="B4139" s="44"/>
      <c r="C4139" s="44"/>
      <c r="D4139" s="44"/>
      <c r="E4139" s="44"/>
      <c r="F4139" s="44"/>
      <c r="G4139" s="44"/>
      <c r="H4139" s="46" t="str">
        <f aca="false">IF($A4139="","",IF(OR(NOT(ISNUMBER(E4139)),NOT(ISNUMBER(F4139))),"",MAX(0,E4139)*F4139))</f>
        <v/>
      </c>
      <c r="I4139" s="46" t="str">
        <f aca="false">IF($A4139="","",SUMIF($A$2:$A$5001,$A4139,$H$2:$H$5001))</f>
        <v/>
      </c>
      <c r="J4139" s="47" t="n">
        <f aca="false">IF($A4139="",0,IF(COUNTIF($A$2:A4139,$A4139)=1,1,0))</f>
        <v>0</v>
      </c>
      <c r="K4139" s="47" t="n">
        <f aca="false">IF(J4139=1,N(I4139)+ROW()/10000000,0)</f>
        <v>0</v>
      </c>
      <c r="L4139" s="47" t="str">
        <f aca="false">IF(AND(J4139=1,N(I4139)&gt;0),SUMIF($K$2:$K$5001,"&gt;="&amp;K4139,$I$2:$I$5001)/MAX(1,SUM($H$2:$H$5001)),"")</f>
        <v/>
      </c>
      <c r="M4139" s="47" t="str">
        <f aca="false">IF($A4139="","",INDEX($L$2:$L$5001,MATCH($A4139,$A$2:$A$5001,0)))</f>
        <v/>
      </c>
      <c r="N4139" s="48" t="str">
        <f aca="false">IF($A4139="","",IF(N(M4139)=0,"–",IF(M4139&lt;=Start!$D$20,"A",IF(M4139&lt;=Start!$D$21,"B","C"))))</f>
        <v/>
      </c>
      <c r="O4139" s="48" t="str">
        <f aca="false">IF($A4139="","",IF(NOT(ISNUMBER(F4139)),"Wert fehlt; ",IF(F4139&lt;=0,"Wert ist 0; ",""))&amp;IF(NOT(ISNUMBER(E4139)),"Bestand fehlt; ",IF(E4139&lt;0,"Bestand negativ; ",IF(E4139=0,"Nullbestand; ","")))&amp;IF(D4139="","Warengruppe fehlt; ","")&amp;IF(B4139="","Bezeichnung fehlt; ","")&amp;IF(COUNTIFS($A$2:$A$5001,$A4139,$C$2:$C$5001,C4139)&gt;1,"Artikel doppelt im selben Lager; ",""))</f>
        <v/>
      </c>
      <c r="P4139" s="47" t="n">
        <f aca="false">IF(OR($A4139="",D4139=""),0,IF(COUNTIF($D$2:D4139,D4139)=1,SUMIF($D$2:$D$5001,D4139,$H$2:$H$5001)+ROW()/10000000,0))</f>
        <v>0</v>
      </c>
      <c r="Q4139" s="47" t="n">
        <f aca="false">IF(OR($A4139="",C4139=""),0,IF(COUNTIF($C$2:C4139,C4139)=1,SUMIF($C$2:$C$5001,C4139,$H$2:$H$5001)+ROW()/10000000,0))</f>
        <v>0</v>
      </c>
    </row>
    <row r="4140" customFormat="false" ht="15" hidden="false" customHeight="false" outlineLevel="0" collapsed="false">
      <c r="A4140" s="43"/>
      <c r="B4140" s="44"/>
      <c r="C4140" s="44"/>
      <c r="D4140" s="44"/>
      <c r="E4140" s="44"/>
      <c r="F4140" s="44"/>
      <c r="G4140" s="44"/>
      <c r="H4140" s="46" t="str">
        <f aca="false">IF($A4140="","",IF(OR(NOT(ISNUMBER(E4140)),NOT(ISNUMBER(F4140))),"",MAX(0,E4140)*F4140))</f>
        <v/>
      </c>
      <c r="I4140" s="46" t="str">
        <f aca="false">IF($A4140="","",SUMIF($A$2:$A$5001,$A4140,$H$2:$H$5001))</f>
        <v/>
      </c>
      <c r="J4140" s="47" t="n">
        <f aca="false">IF($A4140="",0,IF(COUNTIF($A$2:A4140,$A4140)=1,1,0))</f>
        <v>0</v>
      </c>
      <c r="K4140" s="47" t="n">
        <f aca="false">IF(J4140=1,N(I4140)+ROW()/10000000,0)</f>
        <v>0</v>
      </c>
      <c r="L4140" s="47" t="str">
        <f aca="false">IF(AND(J4140=1,N(I4140)&gt;0),SUMIF($K$2:$K$5001,"&gt;="&amp;K4140,$I$2:$I$5001)/MAX(1,SUM($H$2:$H$5001)),"")</f>
        <v/>
      </c>
      <c r="M4140" s="47" t="str">
        <f aca="false">IF($A4140="","",INDEX($L$2:$L$5001,MATCH($A4140,$A$2:$A$5001,0)))</f>
        <v/>
      </c>
      <c r="N4140" s="48" t="str">
        <f aca="false">IF($A4140="","",IF(N(M4140)=0,"–",IF(M4140&lt;=Start!$D$20,"A",IF(M4140&lt;=Start!$D$21,"B","C"))))</f>
        <v/>
      </c>
      <c r="O4140" s="48" t="str">
        <f aca="false">IF($A4140="","",IF(NOT(ISNUMBER(F4140)),"Wert fehlt; ",IF(F4140&lt;=0,"Wert ist 0; ",""))&amp;IF(NOT(ISNUMBER(E4140)),"Bestand fehlt; ",IF(E4140&lt;0,"Bestand negativ; ",IF(E4140=0,"Nullbestand; ","")))&amp;IF(D4140="","Warengruppe fehlt; ","")&amp;IF(B4140="","Bezeichnung fehlt; ","")&amp;IF(COUNTIFS($A$2:$A$5001,$A4140,$C$2:$C$5001,C4140)&gt;1,"Artikel doppelt im selben Lager; ",""))</f>
        <v/>
      </c>
      <c r="P4140" s="47" t="n">
        <f aca="false">IF(OR($A4140="",D4140=""),0,IF(COUNTIF($D$2:D4140,D4140)=1,SUMIF($D$2:$D$5001,D4140,$H$2:$H$5001)+ROW()/10000000,0))</f>
        <v>0</v>
      </c>
      <c r="Q4140" s="47" t="n">
        <f aca="false">IF(OR($A4140="",C4140=""),0,IF(COUNTIF($C$2:C4140,C4140)=1,SUMIF($C$2:$C$5001,C4140,$H$2:$H$5001)+ROW()/10000000,0))</f>
        <v>0</v>
      </c>
    </row>
    <row r="4141" customFormat="false" ht="15" hidden="false" customHeight="false" outlineLevel="0" collapsed="false">
      <c r="A4141" s="43"/>
      <c r="B4141" s="44"/>
      <c r="C4141" s="44"/>
      <c r="D4141" s="44"/>
      <c r="E4141" s="44"/>
      <c r="F4141" s="44"/>
      <c r="G4141" s="44"/>
      <c r="H4141" s="46" t="str">
        <f aca="false">IF($A4141="","",IF(OR(NOT(ISNUMBER(E4141)),NOT(ISNUMBER(F4141))),"",MAX(0,E4141)*F4141))</f>
        <v/>
      </c>
      <c r="I4141" s="46" t="str">
        <f aca="false">IF($A4141="","",SUMIF($A$2:$A$5001,$A4141,$H$2:$H$5001))</f>
        <v/>
      </c>
      <c r="J4141" s="47" t="n">
        <f aca="false">IF($A4141="",0,IF(COUNTIF($A$2:A4141,$A4141)=1,1,0))</f>
        <v>0</v>
      </c>
      <c r="K4141" s="47" t="n">
        <f aca="false">IF(J4141=1,N(I4141)+ROW()/10000000,0)</f>
        <v>0</v>
      </c>
      <c r="L4141" s="47" t="str">
        <f aca="false">IF(AND(J4141=1,N(I4141)&gt;0),SUMIF($K$2:$K$5001,"&gt;="&amp;K4141,$I$2:$I$5001)/MAX(1,SUM($H$2:$H$5001)),"")</f>
        <v/>
      </c>
      <c r="M4141" s="47" t="str">
        <f aca="false">IF($A4141="","",INDEX($L$2:$L$5001,MATCH($A4141,$A$2:$A$5001,0)))</f>
        <v/>
      </c>
      <c r="N4141" s="48" t="str">
        <f aca="false">IF($A4141="","",IF(N(M4141)=0,"–",IF(M4141&lt;=Start!$D$20,"A",IF(M4141&lt;=Start!$D$21,"B","C"))))</f>
        <v/>
      </c>
      <c r="O4141" s="48" t="str">
        <f aca="false">IF($A4141="","",IF(NOT(ISNUMBER(F4141)),"Wert fehlt; ",IF(F4141&lt;=0,"Wert ist 0; ",""))&amp;IF(NOT(ISNUMBER(E4141)),"Bestand fehlt; ",IF(E4141&lt;0,"Bestand negativ; ",IF(E4141=0,"Nullbestand; ","")))&amp;IF(D4141="","Warengruppe fehlt; ","")&amp;IF(B4141="","Bezeichnung fehlt; ","")&amp;IF(COUNTIFS($A$2:$A$5001,$A4141,$C$2:$C$5001,C4141)&gt;1,"Artikel doppelt im selben Lager; ",""))</f>
        <v/>
      </c>
      <c r="P4141" s="47" t="n">
        <f aca="false">IF(OR($A4141="",D4141=""),0,IF(COUNTIF($D$2:D4141,D4141)=1,SUMIF($D$2:$D$5001,D4141,$H$2:$H$5001)+ROW()/10000000,0))</f>
        <v>0</v>
      </c>
      <c r="Q4141" s="47" t="n">
        <f aca="false">IF(OR($A4141="",C4141=""),0,IF(COUNTIF($C$2:C4141,C4141)=1,SUMIF($C$2:$C$5001,C4141,$H$2:$H$5001)+ROW()/10000000,0))</f>
        <v>0</v>
      </c>
    </row>
    <row r="4142" customFormat="false" ht="15" hidden="false" customHeight="false" outlineLevel="0" collapsed="false">
      <c r="A4142" s="43"/>
      <c r="B4142" s="44"/>
      <c r="C4142" s="44"/>
      <c r="D4142" s="44"/>
      <c r="E4142" s="44"/>
      <c r="F4142" s="44"/>
      <c r="G4142" s="44"/>
      <c r="H4142" s="46" t="str">
        <f aca="false">IF($A4142="","",IF(OR(NOT(ISNUMBER(E4142)),NOT(ISNUMBER(F4142))),"",MAX(0,E4142)*F4142))</f>
        <v/>
      </c>
      <c r="I4142" s="46" t="str">
        <f aca="false">IF($A4142="","",SUMIF($A$2:$A$5001,$A4142,$H$2:$H$5001))</f>
        <v/>
      </c>
      <c r="J4142" s="47" t="n">
        <f aca="false">IF($A4142="",0,IF(COUNTIF($A$2:A4142,$A4142)=1,1,0))</f>
        <v>0</v>
      </c>
      <c r="K4142" s="47" t="n">
        <f aca="false">IF(J4142=1,N(I4142)+ROW()/10000000,0)</f>
        <v>0</v>
      </c>
      <c r="L4142" s="47" t="str">
        <f aca="false">IF(AND(J4142=1,N(I4142)&gt;0),SUMIF($K$2:$K$5001,"&gt;="&amp;K4142,$I$2:$I$5001)/MAX(1,SUM($H$2:$H$5001)),"")</f>
        <v/>
      </c>
      <c r="M4142" s="47" t="str">
        <f aca="false">IF($A4142="","",INDEX($L$2:$L$5001,MATCH($A4142,$A$2:$A$5001,0)))</f>
        <v/>
      </c>
      <c r="N4142" s="48" t="str">
        <f aca="false">IF($A4142="","",IF(N(M4142)=0,"–",IF(M4142&lt;=Start!$D$20,"A",IF(M4142&lt;=Start!$D$21,"B","C"))))</f>
        <v/>
      </c>
      <c r="O4142" s="48" t="str">
        <f aca="false">IF($A4142="","",IF(NOT(ISNUMBER(F4142)),"Wert fehlt; ",IF(F4142&lt;=0,"Wert ist 0; ",""))&amp;IF(NOT(ISNUMBER(E4142)),"Bestand fehlt; ",IF(E4142&lt;0,"Bestand negativ; ",IF(E4142=0,"Nullbestand; ","")))&amp;IF(D4142="","Warengruppe fehlt; ","")&amp;IF(B4142="","Bezeichnung fehlt; ","")&amp;IF(COUNTIFS($A$2:$A$5001,$A4142,$C$2:$C$5001,C4142)&gt;1,"Artikel doppelt im selben Lager; ",""))</f>
        <v/>
      </c>
      <c r="P4142" s="47" t="n">
        <f aca="false">IF(OR($A4142="",D4142=""),0,IF(COUNTIF($D$2:D4142,D4142)=1,SUMIF($D$2:$D$5001,D4142,$H$2:$H$5001)+ROW()/10000000,0))</f>
        <v>0</v>
      </c>
      <c r="Q4142" s="47" t="n">
        <f aca="false">IF(OR($A4142="",C4142=""),0,IF(COUNTIF($C$2:C4142,C4142)=1,SUMIF($C$2:$C$5001,C4142,$H$2:$H$5001)+ROW()/10000000,0))</f>
        <v>0</v>
      </c>
    </row>
    <row r="4143" customFormat="false" ht="15" hidden="false" customHeight="false" outlineLevel="0" collapsed="false">
      <c r="A4143" s="43"/>
      <c r="B4143" s="44"/>
      <c r="C4143" s="44"/>
      <c r="D4143" s="44"/>
      <c r="E4143" s="44"/>
      <c r="F4143" s="44"/>
      <c r="G4143" s="44"/>
      <c r="H4143" s="46" t="str">
        <f aca="false">IF($A4143="","",IF(OR(NOT(ISNUMBER(E4143)),NOT(ISNUMBER(F4143))),"",MAX(0,E4143)*F4143))</f>
        <v/>
      </c>
      <c r="I4143" s="46" t="str">
        <f aca="false">IF($A4143="","",SUMIF($A$2:$A$5001,$A4143,$H$2:$H$5001))</f>
        <v/>
      </c>
      <c r="J4143" s="47" t="n">
        <f aca="false">IF($A4143="",0,IF(COUNTIF($A$2:A4143,$A4143)=1,1,0))</f>
        <v>0</v>
      </c>
      <c r="K4143" s="47" t="n">
        <f aca="false">IF(J4143=1,N(I4143)+ROW()/10000000,0)</f>
        <v>0</v>
      </c>
      <c r="L4143" s="47" t="str">
        <f aca="false">IF(AND(J4143=1,N(I4143)&gt;0),SUMIF($K$2:$K$5001,"&gt;="&amp;K4143,$I$2:$I$5001)/MAX(1,SUM($H$2:$H$5001)),"")</f>
        <v/>
      </c>
      <c r="M4143" s="47" t="str">
        <f aca="false">IF($A4143="","",INDEX($L$2:$L$5001,MATCH($A4143,$A$2:$A$5001,0)))</f>
        <v/>
      </c>
      <c r="N4143" s="48" t="str">
        <f aca="false">IF($A4143="","",IF(N(M4143)=0,"–",IF(M4143&lt;=Start!$D$20,"A",IF(M4143&lt;=Start!$D$21,"B","C"))))</f>
        <v/>
      </c>
      <c r="O4143" s="48" t="str">
        <f aca="false">IF($A4143="","",IF(NOT(ISNUMBER(F4143)),"Wert fehlt; ",IF(F4143&lt;=0,"Wert ist 0; ",""))&amp;IF(NOT(ISNUMBER(E4143)),"Bestand fehlt; ",IF(E4143&lt;0,"Bestand negativ; ",IF(E4143=0,"Nullbestand; ","")))&amp;IF(D4143="","Warengruppe fehlt; ","")&amp;IF(B4143="","Bezeichnung fehlt; ","")&amp;IF(COUNTIFS($A$2:$A$5001,$A4143,$C$2:$C$5001,C4143)&gt;1,"Artikel doppelt im selben Lager; ",""))</f>
        <v/>
      </c>
      <c r="P4143" s="47" t="n">
        <f aca="false">IF(OR($A4143="",D4143=""),0,IF(COUNTIF($D$2:D4143,D4143)=1,SUMIF($D$2:$D$5001,D4143,$H$2:$H$5001)+ROW()/10000000,0))</f>
        <v>0</v>
      </c>
      <c r="Q4143" s="47" t="n">
        <f aca="false">IF(OR($A4143="",C4143=""),0,IF(COUNTIF($C$2:C4143,C4143)=1,SUMIF($C$2:$C$5001,C4143,$H$2:$H$5001)+ROW()/10000000,0))</f>
        <v>0</v>
      </c>
    </row>
    <row r="4144" customFormat="false" ht="15" hidden="false" customHeight="false" outlineLevel="0" collapsed="false">
      <c r="A4144" s="43"/>
      <c r="B4144" s="44"/>
      <c r="C4144" s="44"/>
      <c r="D4144" s="44"/>
      <c r="E4144" s="44"/>
      <c r="F4144" s="44"/>
      <c r="G4144" s="44"/>
      <c r="H4144" s="46" t="str">
        <f aca="false">IF($A4144="","",IF(OR(NOT(ISNUMBER(E4144)),NOT(ISNUMBER(F4144))),"",MAX(0,E4144)*F4144))</f>
        <v/>
      </c>
      <c r="I4144" s="46" t="str">
        <f aca="false">IF($A4144="","",SUMIF($A$2:$A$5001,$A4144,$H$2:$H$5001))</f>
        <v/>
      </c>
      <c r="J4144" s="47" t="n">
        <f aca="false">IF($A4144="",0,IF(COUNTIF($A$2:A4144,$A4144)=1,1,0))</f>
        <v>0</v>
      </c>
      <c r="K4144" s="47" t="n">
        <f aca="false">IF(J4144=1,N(I4144)+ROW()/10000000,0)</f>
        <v>0</v>
      </c>
      <c r="L4144" s="47" t="str">
        <f aca="false">IF(AND(J4144=1,N(I4144)&gt;0),SUMIF($K$2:$K$5001,"&gt;="&amp;K4144,$I$2:$I$5001)/MAX(1,SUM($H$2:$H$5001)),"")</f>
        <v/>
      </c>
      <c r="M4144" s="47" t="str">
        <f aca="false">IF($A4144="","",INDEX($L$2:$L$5001,MATCH($A4144,$A$2:$A$5001,0)))</f>
        <v/>
      </c>
      <c r="N4144" s="48" t="str">
        <f aca="false">IF($A4144="","",IF(N(M4144)=0,"–",IF(M4144&lt;=Start!$D$20,"A",IF(M4144&lt;=Start!$D$21,"B","C"))))</f>
        <v/>
      </c>
      <c r="O4144" s="48" t="str">
        <f aca="false">IF($A4144="","",IF(NOT(ISNUMBER(F4144)),"Wert fehlt; ",IF(F4144&lt;=0,"Wert ist 0; ",""))&amp;IF(NOT(ISNUMBER(E4144)),"Bestand fehlt; ",IF(E4144&lt;0,"Bestand negativ; ",IF(E4144=0,"Nullbestand; ","")))&amp;IF(D4144="","Warengruppe fehlt; ","")&amp;IF(B4144="","Bezeichnung fehlt; ","")&amp;IF(COUNTIFS($A$2:$A$5001,$A4144,$C$2:$C$5001,C4144)&gt;1,"Artikel doppelt im selben Lager; ",""))</f>
        <v/>
      </c>
      <c r="P4144" s="47" t="n">
        <f aca="false">IF(OR($A4144="",D4144=""),0,IF(COUNTIF($D$2:D4144,D4144)=1,SUMIF($D$2:$D$5001,D4144,$H$2:$H$5001)+ROW()/10000000,0))</f>
        <v>0</v>
      </c>
      <c r="Q4144" s="47" t="n">
        <f aca="false">IF(OR($A4144="",C4144=""),0,IF(COUNTIF($C$2:C4144,C4144)=1,SUMIF($C$2:$C$5001,C4144,$H$2:$H$5001)+ROW()/10000000,0))</f>
        <v>0</v>
      </c>
    </row>
    <row r="4145" customFormat="false" ht="15" hidden="false" customHeight="false" outlineLevel="0" collapsed="false">
      <c r="A4145" s="43"/>
      <c r="B4145" s="44"/>
      <c r="C4145" s="44"/>
      <c r="D4145" s="44"/>
      <c r="E4145" s="44"/>
      <c r="F4145" s="44"/>
      <c r="G4145" s="44"/>
      <c r="H4145" s="46" t="str">
        <f aca="false">IF($A4145="","",IF(OR(NOT(ISNUMBER(E4145)),NOT(ISNUMBER(F4145))),"",MAX(0,E4145)*F4145))</f>
        <v/>
      </c>
      <c r="I4145" s="46" t="str">
        <f aca="false">IF($A4145="","",SUMIF($A$2:$A$5001,$A4145,$H$2:$H$5001))</f>
        <v/>
      </c>
      <c r="J4145" s="47" t="n">
        <f aca="false">IF($A4145="",0,IF(COUNTIF($A$2:A4145,$A4145)=1,1,0))</f>
        <v>0</v>
      </c>
      <c r="K4145" s="47" t="n">
        <f aca="false">IF(J4145=1,N(I4145)+ROW()/10000000,0)</f>
        <v>0</v>
      </c>
      <c r="L4145" s="47" t="str">
        <f aca="false">IF(AND(J4145=1,N(I4145)&gt;0),SUMIF($K$2:$K$5001,"&gt;="&amp;K4145,$I$2:$I$5001)/MAX(1,SUM($H$2:$H$5001)),"")</f>
        <v/>
      </c>
      <c r="M4145" s="47" t="str">
        <f aca="false">IF($A4145="","",INDEX($L$2:$L$5001,MATCH($A4145,$A$2:$A$5001,0)))</f>
        <v/>
      </c>
      <c r="N4145" s="48" t="str">
        <f aca="false">IF($A4145="","",IF(N(M4145)=0,"–",IF(M4145&lt;=Start!$D$20,"A",IF(M4145&lt;=Start!$D$21,"B","C"))))</f>
        <v/>
      </c>
      <c r="O4145" s="48" t="str">
        <f aca="false">IF($A4145="","",IF(NOT(ISNUMBER(F4145)),"Wert fehlt; ",IF(F4145&lt;=0,"Wert ist 0; ",""))&amp;IF(NOT(ISNUMBER(E4145)),"Bestand fehlt; ",IF(E4145&lt;0,"Bestand negativ; ",IF(E4145=0,"Nullbestand; ","")))&amp;IF(D4145="","Warengruppe fehlt; ","")&amp;IF(B4145="","Bezeichnung fehlt; ","")&amp;IF(COUNTIFS($A$2:$A$5001,$A4145,$C$2:$C$5001,C4145)&gt;1,"Artikel doppelt im selben Lager; ",""))</f>
        <v/>
      </c>
      <c r="P4145" s="47" t="n">
        <f aca="false">IF(OR($A4145="",D4145=""),0,IF(COUNTIF($D$2:D4145,D4145)=1,SUMIF($D$2:$D$5001,D4145,$H$2:$H$5001)+ROW()/10000000,0))</f>
        <v>0</v>
      </c>
      <c r="Q4145" s="47" t="n">
        <f aca="false">IF(OR($A4145="",C4145=""),0,IF(COUNTIF($C$2:C4145,C4145)=1,SUMIF($C$2:$C$5001,C4145,$H$2:$H$5001)+ROW()/10000000,0))</f>
        <v>0</v>
      </c>
    </row>
    <row r="4146" customFormat="false" ht="15" hidden="false" customHeight="false" outlineLevel="0" collapsed="false">
      <c r="A4146" s="43"/>
      <c r="B4146" s="44"/>
      <c r="C4146" s="44"/>
      <c r="D4146" s="44"/>
      <c r="E4146" s="44"/>
      <c r="F4146" s="44"/>
      <c r="G4146" s="44"/>
      <c r="H4146" s="46" t="str">
        <f aca="false">IF($A4146="","",IF(OR(NOT(ISNUMBER(E4146)),NOT(ISNUMBER(F4146))),"",MAX(0,E4146)*F4146))</f>
        <v/>
      </c>
      <c r="I4146" s="46" t="str">
        <f aca="false">IF($A4146="","",SUMIF($A$2:$A$5001,$A4146,$H$2:$H$5001))</f>
        <v/>
      </c>
      <c r="J4146" s="47" t="n">
        <f aca="false">IF($A4146="",0,IF(COUNTIF($A$2:A4146,$A4146)=1,1,0))</f>
        <v>0</v>
      </c>
      <c r="K4146" s="47" t="n">
        <f aca="false">IF(J4146=1,N(I4146)+ROW()/10000000,0)</f>
        <v>0</v>
      </c>
      <c r="L4146" s="47" t="str">
        <f aca="false">IF(AND(J4146=1,N(I4146)&gt;0),SUMIF($K$2:$K$5001,"&gt;="&amp;K4146,$I$2:$I$5001)/MAX(1,SUM($H$2:$H$5001)),"")</f>
        <v/>
      </c>
      <c r="M4146" s="47" t="str">
        <f aca="false">IF($A4146="","",INDEX($L$2:$L$5001,MATCH($A4146,$A$2:$A$5001,0)))</f>
        <v/>
      </c>
      <c r="N4146" s="48" t="str">
        <f aca="false">IF($A4146="","",IF(N(M4146)=0,"–",IF(M4146&lt;=Start!$D$20,"A",IF(M4146&lt;=Start!$D$21,"B","C"))))</f>
        <v/>
      </c>
      <c r="O4146" s="48" t="str">
        <f aca="false">IF($A4146="","",IF(NOT(ISNUMBER(F4146)),"Wert fehlt; ",IF(F4146&lt;=0,"Wert ist 0; ",""))&amp;IF(NOT(ISNUMBER(E4146)),"Bestand fehlt; ",IF(E4146&lt;0,"Bestand negativ; ",IF(E4146=0,"Nullbestand; ","")))&amp;IF(D4146="","Warengruppe fehlt; ","")&amp;IF(B4146="","Bezeichnung fehlt; ","")&amp;IF(COUNTIFS($A$2:$A$5001,$A4146,$C$2:$C$5001,C4146)&gt;1,"Artikel doppelt im selben Lager; ",""))</f>
        <v/>
      </c>
      <c r="P4146" s="47" t="n">
        <f aca="false">IF(OR($A4146="",D4146=""),0,IF(COUNTIF($D$2:D4146,D4146)=1,SUMIF($D$2:$D$5001,D4146,$H$2:$H$5001)+ROW()/10000000,0))</f>
        <v>0</v>
      </c>
      <c r="Q4146" s="47" t="n">
        <f aca="false">IF(OR($A4146="",C4146=""),0,IF(COUNTIF($C$2:C4146,C4146)=1,SUMIF($C$2:$C$5001,C4146,$H$2:$H$5001)+ROW()/10000000,0))</f>
        <v>0</v>
      </c>
    </row>
    <row r="4147" customFormat="false" ht="15" hidden="false" customHeight="false" outlineLevel="0" collapsed="false">
      <c r="A4147" s="43"/>
      <c r="B4147" s="44"/>
      <c r="C4147" s="44"/>
      <c r="D4147" s="44"/>
      <c r="E4147" s="44"/>
      <c r="F4147" s="44"/>
      <c r="G4147" s="44"/>
      <c r="H4147" s="46" t="str">
        <f aca="false">IF($A4147="","",IF(OR(NOT(ISNUMBER(E4147)),NOT(ISNUMBER(F4147))),"",MAX(0,E4147)*F4147))</f>
        <v/>
      </c>
      <c r="I4147" s="46" t="str">
        <f aca="false">IF($A4147="","",SUMIF($A$2:$A$5001,$A4147,$H$2:$H$5001))</f>
        <v/>
      </c>
      <c r="J4147" s="47" t="n">
        <f aca="false">IF($A4147="",0,IF(COUNTIF($A$2:A4147,$A4147)=1,1,0))</f>
        <v>0</v>
      </c>
      <c r="K4147" s="47" t="n">
        <f aca="false">IF(J4147=1,N(I4147)+ROW()/10000000,0)</f>
        <v>0</v>
      </c>
      <c r="L4147" s="47" t="str">
        <f aca="false">IF(AND(J4147=1,N(I4147)&gt;0),SUMIF($K$2:$K$5001,"&gt;="&amp;K4147,$I$2:$I$5001)/MAX(1,SUM($H$2:$H$5001)),"")</f>
        <v/>
      </c>
      <c r="M4147" s="47" t="str">
        <f aca="false">IF($A4147="","",INDEX($L$2:$L$5001,MATCH($A4147,$A$2:$A$5001,0)))</f>
        <v/>
      </c>
      <c r="N4147" s="48" t="str">
        <f aca="false">IF($A4147="","",IF(N(M4147)=0,"–",IF(M4147&lt;=Start!$D$20,"A",IF(M4147&lt;=Start!$D$21,"B","C"))))</f>
        <v/>
      </c>
      <c r="O4147" s="48" t="str">
        <f aca="false">IF($A4147="","",IF(NOT(ISNUMBER(F4147)),"Wert fehlt; ",IF(F4147&lt;=0,"Wert ist 0; ",""))&amp;IF(NOT(ISNUMBER(E4147)),"Bestand fehlt; ",IF(E4147&lt;0,"Bestand negativ; ",IF(E4147=0,"Nullbestand; ","")))&amp;IF(D4147="","Warengruppe fehlt; ","")&amp;IF(B4147="","Bezeichnung fehlt; ","")&amp;IF(COUNTIFS($A$2:$A$5001,$A4147,$C$2:$C$5001,C4147)&gt;1,"Artikel doppelt im selben Lager; ",""))</f>
        <v/>
      </c>
      <c r="P4147" s="47" t="n">
        <f aca="false">IF(OR($A4147="",D4147=""),0,IF(COUNTIF($D$2:D4147,D4147)=1,SUMIF($D$2:$D$5001,D4147,$H$2:$H$5001)+ROW()/10000000,0))</f>
        <v>0</v>
      </c>
      <c r="Q4147" s="47" t="n">
        <f aca="false">IF(OR($A4147="",C4147=""),0,IF(COUNTIF($C$2:C4147,C4147)=1,SUMIF($C$2:$C$5001,C4147,$H$2:$H$5001)+ROW()/10000000,0))</f>
        <v>0</v>
      </c>
    </row>
    <row r="4148" customFormat="false" ht="15" hidden="false" customHeight="false" outlineLevel="0" collapsed="false">
      <c r="A4148" s="43"/>
      <c r="B4148" s="44"/>
      <c r="C4148" s="44"/>
      <c r="D4148" s="44"/>
      <c r="E4148" s="44"/>
      <c r="F4148" s="44"/>
      <c r="G4148" s="44"/>
      <c r="H4148" s="46" t="str">
        <f aca="false">IF($A4148="","",IF(OR(NOT(ISNUMBER(E4148)),NOT(ISNUMBER(F4148))),"",MAX(0,E4148)*F4148))</f>
        <v/>
      </c>
      <c r="I4148" s="46" t="str">
        <f aca="false">IF($A4148="","",SUMIF($A$2:$A$5001,$A4148,$H$2:$H$5001))</f>
        <v/>
      </c>
      <c r="J4148" s="47" t="n">
        <f aca="false">IF($A4148="",0,IF(COUNTIF($A$2:A4148,$A4148)=1,1,0))</f>
        <v>0</v>
      </c>
      <c r="K4148" s="47" t="n">
        <f aca="false">IF(J4148=1,N(I4148)+ROW()/10000000,0)</f>
        <v>0</v>
      </c>
      <c r="L4148" s="47" t="str">
        <f aca="false">IF(AND(J4148=1,N(I4148)&gt;0),SUMIF($K$2:$K$5001,"&gt;="&amp;K4148,$I$2:$I$5001)/MAX(1,SUM($H$2:$H$5001)),"")</f>
        <v/>
      </c>
      <c r="M4148" s="47" t="str">
        <f aca="false">IF($A4148="","",INDEX($L$2:$L$5001,MATCH($A4148,$A$2:$A$5001,0)))</f>
        <v/>
      </c>
      <c r="N4148" s="48" t="str">
        <f aca="false">IF($A4148="","",IF(N(M4148)=0,"–",IF(M4148&lt;=Start!$D$20,"A",IF(M4148&lt;=Start!$D$21,"B","C"))))</f>
        <v/>
      </c>
      <c r="O4148" s="48" t="str">
        <f aca="false">IF($A4148="","",IF(NOT(ISNUMBER(F4148)),"Wert fehlt; ",IF(F4148&lt;=0,"Wert ist 0; ",""))&amp;IF(NOT(ISNUMBER(E4148)),"Bestand fehlt; ",IF(E4148&lt;0,"Bestand negativ; ",IF(E4148=0,"Nullbestand; ","")))&amp;IF(D4148="","Warengruppe fehlt; ","")&amp;IF(B4148="","Bezeichnung fehlt; ","")&amp;IF(COUNTIFS($A$2:$A$5001,$A4148,$C$2:$C$5001,C4148)&gt;1,"Artikel doppelt im selben Lager; ",""))</f>
        <v/>
      </c>
      <c r="P4148" s="47" t="n">
        <f aca="false">IF(OR($A4148="",D4148=""),0,IF(COUNTIF($D$2:D4148,D4148)=1,SUMIF($D$2:$D$5001,D4148,$H$2:$H$5001)+ROW()/10000000,0))</f>
        <v>0</v>
      </c>
      <c r="Q4148" s="47" t="n">
        <f aca="false">IF(OR($A4148="",C4148=""),0,IF(COUNTIF($C$2:C4148,C4148)=1,SUMIF($C$2:$C$5001,C4148,$H$2:$H$5001)+ROW()/10000000,0))</f>
        <v>0</v>
      </c>
    </row>
    <row r="4149" customFormat="false" ht="15" hidden="false" customHeight="false" outlineLevel="0" collapsed="false">
      <c r="A4149" s="43"/>
      <c r="B4149" s="44"/>
      <c r="C4149" s="44"/>
      <c r="D4149" s="44"/>
      <c r="E4149" s="44"/>
      <c r="F4149" s="44"/>
      <c r="G4149" s="44"/>
      <c r="H4149" s="46" t="str">
        <f aca="false">IF($A4149="","",IF(OR(NOT(ISNUMBER(E4149)),NOT(ISNUMBER(F4149))),"",MAX(0,E4149)*F4149))</f>
        <v/>
      </c>
      <c r="I4149" s="46" t="str">
        <f aca="false">IF($A4149="","",SUMIF($A$2:$A$5001,$A4149,$H$2:$H$5001))</f>
        <v/>
      </c>
      <c r="J4149" s="47" t="n">
        <f aca="false">IF($A4149="",0,IF(COUNTIF($A$2:A4149,$A4149)=1,1,0))</f>
        <v>0</v>
      </c>
      <c r="K4149" s="47" t="n">
        <f aca="false">IF(J4149=1,N(I4149)+ROW()/10000000,0)</f>
        <v>0</v>
      </c>
      <c r="L4149" s="47" t="str">
        <f aca="false">IF(AND(J4149=1,N(I4149)&gt;0),SUMIF($K$2:$K$5001,"&gt;="&amp;K4149,$I$2:$I$5001)/MAX(1,SUM($H$2:$H$5001)),"")</f>
        <v/>
      </c>
      <c r="M4149" s="47" t="str">
        <f aca="false">IF($A4149="","",INDEX($L$2:$L$5001,MATCH($A4149,$A$2:$A$5001,0)))</f>
        <v/>
      </c>
      <c r="N4149" s="48" t="str">
        <f aca="false">IF($A4149="","",IF(N(M4149)=0,"–",IF(M4149&lt;=Start!$D$20,"A",IF(M4149&lt;=Start!$D$21,"B","C"))))</f>
        <v/>
      </c>
      <c r="O4149" s="48" t="str">
        <f aca="false">IF($A4149="","",IF(NOT(ISNUMBER(F4149)),"Wert fehlt; ",IF(F4149&lt;=0,"Wert ist 0; ",""))&amp;IF(NOT(ISNUMBER(E4149)),"Bestand fehlt; ",IF(E4149&lt;0,"Bestand negativ; ",IF(E4149=0,"Nullbestand; ","")))&amp;IF(D4149="","Warengruppe fehlt; ","")&amp;IF(B4149="","Bezeichnung fehlt; ","")&amp;IF(COUNTIFS($A$2:$A$5001,$A4149,$C$2:$C$5001,C4149)&gt;1,"Artikel doppelt im selben Lager; ",""))</f>
        <v/>
      </c>
      <c r="P4149" s="47" t="n">
        <f aca="false">IF(OR($A4149="",D4149=""),0,IF(COUNTIF($D$2:D4149,D4149)=1,SUMIF($D$2:$D$5001,D4149,$H$2:$H$5001)+ROW()/10000000,0))</f>
        <v>0</v>
      </c>
      <c r="Q4149" s="47" t="n">
        <f aca="false">IF(OR($A4149="",C4149=""),0,IF(COUNTIF($C$2:C4149,C4149)=1,SUMIF($C$2:$C$5001,C4149,$H$2:$H$5001)+ROW()/10000000,0))</f>
        <v>0</v>
      </c>
    </row>
    <row r="4150" customFormat="false" ht="15" hidden="false" customHeight="false" outlineLevel="0" collapsed="false">
      <c r="A4150" s="43"/>
      <c r="B4150" s="44"/>
      <c r="C4150" s="44"/>
      <c r="D4150" s="44"/>
      <c r="E4150" s="44"/>
      <c r="F4150" s="44"/>
      <c r="G4150" s="44"/>
      <c r="H4150" s="46" t="str">
        <f aca="false">IF($A4150="","",IF(OR(NOT(ISNUMBER(E4150)),NOT(ISNUMBER(F4150))),"",MAX(0,E4150)*F4150))</f>
        <v/>
      </c>
      <c r="I4150" s="46" t="str">
        <f aca="false">IF($A4150="","",SUMIF($A$2:$A$5001,$A4150,$H$2:$H$5001))</f>
        <v/>
      </c>
      <c r="J4150" s="47" t="n">
        <f aca="false">IF($A4150="",0,IF(COUNTIF($A$2:A4150,$A4150)=1,1,0))</f>
        <v>0</v>
      </c>
      <c r="K4150" s="47" t="n">
        <f aca="false">IF(J4150=1,N(I4150)+ROW()/10000000,0)</f>
        <v>0</v>
      </c>
      <c r="L4150" s="47" t="str">
        <f aca="false">IF(AND(J4150=1,N(I4150)&gt;0),SUMIF($K$2:$K$5001,"&gt;="&amp;K4150,$I$2:$I$5001)/MAX(1,SUM($H$2:$H$5001)),"")</f>
        <v/>
      </c>
      <c r="M4150" s="47" t="str">
        <f aca="false">IF($A4150="","",INDEX($L$2:$L$5001,MATCH($A4150,$A$2:$A$5001,0)))</f>
        <v/>
      </c>
      <c r="N4150" s="48" t="str">
        <f aca="false">IF($A4150="","",IF(N(M4150)=0,"–",IF(M4150&lt;=Start!$D$20,"A",IF(M4150&lt;=Start!$D$21,"B","C"))))</f>
        <v/>
      </c>
      <c r="O4150" s="48" t="str">
        <f aca="false">IF($A4150="","",IF(NOT(ISNUMBER(F4150)),"Wert fehlt; ",IF(F4150&lt;=0,"Wert ist 0; ",""))&amp;IF(NOT(ISNUMBER(E4150)),"Bestand fehlt; ",IF(E4150&lt;0,"Bestand negativ; ",IF(E4150=0,"Nullbestand; ","")))&amp;IF(D4150="","Warengruppe fehlt; ","")&amp;IF(B4150="","Bezeichnung fehlt; ","")&amp;IF(COUNTIFS($A$2:$A$5001,$A4150,$C$2:$C$5001,C4150)&gt;1,"Artikel doppelt im selben Lager; ",""))</f>
        <v/>
      </c>
      <c r="P4150" s="47" t="n">
        <f aca="false">IF(OR($A4150="",D4150=""),0,IF(COUNTIF($D$2:D4150,D4150)=1,SUMIF($D$2:$D$5001,D4150,$H$2:$H$5001)+ROW()/10000000,0))</f>
        <v>0</v>
      </c>
      <c r="Q4150" s="47" t="n">
        <f aca="false">IF(OR($A4150="",C4150=""),0,IF(COUNTIF($C$2:C4150,C4150)=1,SUMIF($C$2:$C$5001,C4150,$H$2:$H$5001)+ROW()/10000000,0))</f>
        <v>0</v>
      </c>
    </row>
    <row r="4151" customFormat="false" ht="15" hidden="false" customHeight="false" outlineLevel="0" collapsed="false">
      <c r="A4151" s="43"/>
      <c r="B4151" s="44"/>
      <c r="C4151" s="44"/>
      <c r="D4151" s="44"/>
      <c r="E4151" s="44"/>
      <c r="F4151" s="44"/>
      <c r="G4151" s="44"/>
      <c r="H4151" s="46" t="str">
        <f aca="false">IF($A4151="","",IF(OR(NOT(ISNUMBER(E4151)),NOT(ISNUMBER(F4151))),"",MAX(0,E4151)*F4151))</f>
        <v/>
      </c>
      <c r="I4151" s="46" t="str">
        <f aca="false">IF($A4151="","",SUMIF($A$2:$A$5001,$A4151,$H$2:$H$5001))</f>
        <v/>
      </c>
      <c r="J4151" s="47" t="n">
        <f aca="false">IF($A4151="",0,IF(COUNTIF($A$2:A4151,$A4151)=1,1,0))</f>
        <v>0</v>
      </c>
      <c r="K4151" s="47" t="n">
        <f aca="false">IF(J4151=1,N(I4151)+ROW()/10000000,0)</f>
        <v>0</v>
      </c>
      <c r="L4151" s="47" t="str">
        <f aca="false">IF(AND(J4151=1,N(I4151)&gt;0),SUMIF($K$2:$K$5001,"&gt;="&amp;K4151,$I$2:$I$5001)/MAX(1,SUM($H$2:$H$5001)),"")</f>
        <v/>
      </c>
      <c r="M4151" s="47" t="str">
        <f aca="false">IF($A4151="","",INDEX($L$2:$L$5001,MATCH($A4151,$A$2:$A$5001,0)))</f>
        <v/>
      </c>
      <c r="N4151" s="48" t="str">
        <f aca="false">IF($A4151="","",IF(N(M4151)=0,"–",IF(M4151&lt;=Start!$D$20,"A",IF(M4151&lt;=Start!$D$21,"B","C"))))</f>
        <v/>
      </c>
      <c r="O4151" s="48" t="str">
        <f aca="false">IF($A4151="","",IF(NOT(ISNUMBER(F4151)),"Wert fehlt; ",IF(F4151&lt;=0,"Wert ist 0; ",""))&amp;IF(NOT(ISNUMBER(E4151)),"Bestand fehlt; ",IF(E4151&lt;0,"Bestand negativ; ",IF(E4151=0,"Nullbestand; ","")))&amp;IF(D4151="","Warengruppe fehlt; ","")&amp;IF(B4151="","Bezeichnung fehlt; ","")&amp;IF(COUNTIFS($A$2:$A$5001,$A4151,$C$2:$C$5001,C4151)&gt;1,"Artikel doppelt im selben Lager; ",""))</f>
        <v/>
      </c>
      <c r="P4151" s="47" t="n">
        <f aca="false">IF(OR($A4151="",D4151=""),0,IF(COUNTIF($D$2:D4151,D4151)=1,SUMIF($D$2:$D$5001,D4151,$H$2:$H$5001)+ROW()/10000000,0))</f>
        <v>0</v>
      </c>
      <c r="Q4151" s="47" t="n">
        <f aca="false">IF(OR($A4151="",C4151=""),0,IF(COUNTIF($C$2:C4151,C4151)=1,SUMIF($C$2:$C$5001,C4151,$H$2:$H$5001)+ROW()/10000000,0))</f>
        <v>0</v>
      </c>
    </row>
    <row r="4152" customFormat="false" ht="15" hidden="false" customHeight="false" outlineLevel="0" collapsed="false">
      <c r="A4152" s="43"/>
      <c r="B4152" s="44"/>
      <c r="C4152" s="44"/>
      <c r="D4152" s="44"/>
      <c r="E4152" s="44"/>
      <c r="F4152" s="44"/>
      <c r="G4152" s="44"/>
      <c r="H4152" s="46" t="str">
        <f aca="false">IF($A4152="","",IF(OR(NOT(ISNUMBER(E4152)),NOT(ISNUMBER(F4152))),"",MAX(0,E4152)*F4152))</f>
        <v/>
      </c>
      <c r="I4152" s="46" t="str">
        <f aca="false">IF($A4152="","",SUMIF($A$2:$A$5001,$A4152,$H$2:$H$5001))</f>
        <v/>
      </c>
      <c r="J4152" s="47" t="n">
        <f aca="false">IF($A4152="",0,IF(COUNTIF($A$2:A4152,$A4152)=1,1,0))</f>
        <v>0</v>
      </c>
      <c r="K4152" s="47" t="n">
        <f aca="false">IF(J4152=1,N(I4152)+ROW()/10000000,0)</f>
        <v>0</v>
      </c>
      <c r="L4152" s="47" t="str">
        <f aca="false">IF(AND(J4152=1,N(I4152)&gt;0),SUMIF($K$2:$K$5001,"&gt;="&amp;K4152,$I$2:$I$5001)/MAX(1,SUM($H$2:$H$5001)),"")</f>
        <v/>
      </c>
      <c r="M4152" s="47" t="str">
        <f aca="false">IF($A4152="","",INDEX($L$2:$L$5001,MATCH($A4152,$A$2:$A$5001,0)))</f>
        <v/>
      </c>
      <c r="N4152" s="48" t="str">
        <f aca="false">IF($A4152="","",IF(N(M4152)=0,"–",IF(M4152&lt;=Start!$D$20,"A",IF(M4152&lt;=Start!$D$21,"B","C"))))</f>
        <v/>
      </c>
      <c r="O4152" s="48" t="str">
        <f aca="false">IF($A4152="","",IF(NOT(ISNUMBER(F4152)),"Wert fehlt; ",IF(F4152&lt;=0,"Wert ist 0; ",""))&amp;IF(NOT(ISNUMBER(E4152)),"Bestand fehlt; ",IF(E4152&lt;0,"Bestand negativ; ",IF(E4152=0,"Nullbestand; ","")))&amp;IF(D4152="","Warengruppe fehlt; ","")&amp;IF(B4152="","Bezeichnung fehlt; ","")&amp;IF(COUNTIFS($A$2:$A$5001,$A4152,$C$2:$C$5001,C4152)&gt;1,"Artikel doppelt im selben Lager; ",""))</f>
        <v/>
      </c>
      <c r="P4152" s="47" t="n">
        <f aca="false">IF(OR($A4152="",D4152=""),0,IF(COUNTIF($D$2:D4152,D4152)=1,SUMIF($D$2:$D$5001,D4152,$H$2:$H$5001)+ROW()/10000000,0))</f>
        <v>0</v>
      </c>
      <c r="Q4152" s="47" t="n">
        <f aca="false">IF(OR($A4152="",C4152=""),0,IF(COUNTIF($C$2:C4152,C4152)=1,SUMIF($C$2:$C$5001,C4152,$H$2:$H$5001)+ROW()/10000000,0))</f>
        <v>0</v>
      </c>
    </row>
    <row r="4153" customFormat="false" ht="15" hidden="false" customHeight="false" outlineLevel="0" collapsed="false">
      <c r="A4153" s="43"/>
      <c r="B4153" s="44"/>
      <c r="C4153" s="44"/>
      <c r="D4153" s="44"/>
      <c r="E4153" s="44"/>
      <c r="F4153" s="44"/>
      <c r="G4153" s="44"/>
      <c r="H4153" s="46" t="str">
        <f aca="false">IF($A4153="","",IF(OR(NOT(ISNUMBER(E4153)),NOT(ISNUMBER(F4153))),"",MAX(0,E4153)*F4153))</f>
        <v/>
      </c>
      <c r="I4153" s="46" t="str">
        <f aca="false">IF($A4153="","",SUMIF($A$2:$A$5001,$A4153,$H$2:$H$5001))</f>
        <v/>
      </c>
      <c r="J4153" s="47" t="n">
        <f aca="false">IF($A4153="",0,IF(COUNTIF($A$2:A4153,$A4153)=1,1,0))</f>
        <v>0</v>
      </c>
      <c r="K4153" s="47" t="n">
        <f aca="false">IF(J4153=1,N(I4153)+ROW()/10000000,0)</f>
        <v>0</v>
      </c>
      <c r="L4153" s="47" t="str">
        <f aca="false">IF(AND(J4153=1,N(I4153)&gt;0),SUMIF($K$2:$K$5001,"&gt;="&amp;K4153,$I$2:$I$5001)/MAX(1,SUM($H$2:$H$5001)),"")</f>
        <v/>
      </c>
      <c r="M4153" s="47" t="str">
        <f aca="false">IF($A4153="","",INDEX($L$2:$L$5001,MATCH($A4153,$A$2:$A$5001,0)))</f>
        <v/>
      </c>
      <c r="N4153" s="48" t="str">
        <f aca="false">IF($A4153="","",IF(N(M4153)=0,"–",IF(M4153&lt;=Start!$D$20,"A",IF(M4153&lt;=Start!$D$21,"B","C"))))</f>
        <v/>
      </c>
      <c r="O4153" s="48" t="str">
        <f aca="false">IF($A4153="","",IF(NOT(ISNUMBER(F4153)),"Wert fehlt; ",IF(F4153&lt;=0,"Wert ist 0; ",""))&amp;IF(NOT(ISNUMBER(E4153)),"Bestand fehlt; ",IF(E4153&lt;0,"Bestand negativ; ",IF(E4153=0,"Nullbestand; ","")))&amp;IF(D4153="","Warengruppe fehlt; ","")&amp;IF(B4153="","Bezeichnung fehlt; ","")&amp;IF(COUNTIFS($A$2:$A$5001,$A4153,$C$2:$C$5001,C4153)&gt;1,"Artikel doppelt im selben Lager; ",""))</f>
        <v/>
      </c>
      <c r="P4153" s="47" t="n">
        <f aca="false">IF(OR($A4153="",D4153=""),0,IF(COUNTIF($D$2:D4153,D4153)=1,SUMIF($D$2:$D$5001,D4153,$H$2:$H$5001)+ROW()/10000000,0))</f>
        <v>0</v>
      </c>
      <c r="Q4153" s="47" t="n">
        <f aca="false">IF(OR($A4153="",C4153=""),0,IF(COUNTIF($C$2:C4153,C4153)=1,SUMIF($C$2:$C$5001,C4153,$H$2:$H$5001)+ROW()/10000000,0))</f>
        <v>0</v>
      </c>
    </row>
    <row r="4154" customFormat="false" ht="15" hidden="false" customHeight="false" outlineLevel="0" collapsed="false">
      <c r="A4154" s="43"/>
      <c r="B4154" s="44"/>
      <c r="C4154" s="44"/>
      <c r="D4154" s="44"/>
      <c r="E4154" s="44"/>
      <c r="F4154" s="44"/>
      <c r="G4154" s="44"/>
      <c r="H4154" s="46" t="str">
        <f aca="false">IF($A4154="","",IF(OR(NOT(ISNUMBER(E4154)),NOT(ISNUMBER(F4154))),"",MAX(0,E4154)*F4154))</f>
        <v/>
      </c>
      <c r="I4154" s="46" t="str">
        <f aca="false">IF($A4154="","",SUMIF($A$2:$A$5001,$A4154,$H$2:$H$5001))</f>
        <v/>
      </c>
      <c r="J4154" s="47" t="n">
        <f aca="false">IF($A4154="",0,IF(COUNTIF($A$2:A4154,$A4154)=1,1,0))</f>
        <v>0</v>
      </c>
      <c r="K4154" s="47" t="n">
        <f aca="false">IF(J4154=1,N(I4154)+ROW()/10000000,0)</f>
        <v>0</v>
      </c>
      <c r="L4154" s="47" t="str">
        <f aca="false">IF(AND(J4154=1,N(I4154)&gt;0),SUMIF($K$2:$K$5001,"&gt;="&amp;K4154,$I$2:$I$5001)/MAX(1,SUM($H$2:$H$5001)),"")</f>
        <v/>
      </c>
      <c r="M4154" s="47" t="str">
        <f aca="false">IF($A4154="","",INDEX($L$2:$L$5001,MATCH($A4154,$A$2:$A$5001,0)))</f>
        <v/>
      </c>
      <c r="N4154" s="48" t="str">
        <f aca="false">IF($A4154="","",IF(N(M4154)=0,"–",IF(M4154&lt;=Start!$D$20,"A",IF(M4154&lt;=Start!$D$21,"B","C"))))</f>
        <v/>
      </c>
      <c r="O4154" s="48" t="str">
        <f aca="false">IF($A4154="","",IF(NOT(ISNUMBER(F4154)),"Wert fehlt; ",IF(F4154&lt;=0,"Wert ist 0; ",""))&amp;IF(NOT(ISNUMBER(E4154)),"Bestand fehlt; ",IF(E4154&lt;0,"Bestand negativ; ",IF(E4154=0,"Nullbestand; ","")))&amp;IF(D4154="","Warengruppe fehlt; ","")&amp;IF(B4154="","Bezeichnung fehlt; ","")&amp;IF(COUNTIFS($A$2:$A$5001,$A4154,$C$2:$C$5001,C4154)&gt;1,"Artikel doppelt im selben Lager; ",""))</f>
        <v/>
      </c>
      <c r="P4154" s="47" t="n">
        <f aca="false">IF(OR($A4154="",D4154=""),0,IF(COUNTIF($D$2:D4154,D4154)=1,SUMIF($D$2:$D$5001,D4154,$H$2:$H$5001)+ROW()/10000000,0))</f>
        <v>0</v>
      </c>
      <c r="Q4154" s="47" t="n">
        <f aca="false">IF(OR($A4154="",C4154=""),0,IF(COUNTIF($C$2:C4154,C4154)=1,SUMIF($C$2:$C$5001,C4154,$H$2:$H$5001)+ROW()/10000000,0))</f>
        <v>0</v>
      </c>
    </row>
    <row r="4155" customFormat="false" ht="15" hidden="false" customHeight="false" outlineLevel="0" collapsed="false">
      <c r="A4155" s="43"/>
      <c r="B4155" s="44"/>
      <c r="C4155" s="44"/>
      <c r="D4155" s="44"/>
      <c r="E4155" s="44"/>
      <c r="F4155" s="44"/>
      <c r="G4155" s="44"/>
      <c r="H4155" s="46" t="str">
        <f aca="false">IF($A4155="","",IF(OR(NOT(ISNUMBER(E4155)),NOT(ISNUMBER(F4155))),"",MAX(0,E4155)*F4155))</f>
        <v/>
      </c>
      <c r="I4155" s="46" t="str">
        <f aca="false">IF($A4155="","",SUMIF($A$2:$A$5001,$A4155,$H$2:$H$5001))</f>
        <v/>
      </c>
      <c r="J4155" s="47" t="n">
        <f aca="false">IF($A4155="",0,IF(COUNTIF($A$2:A4155,$A4155)=1,1,0))</f>
        <v>0</v>
      </c>
      <c r="K4155" s="47" t="n">
        <f aca="false">IF(J4155=1,N(I4155)+ROW()/10000000,0)</f>
        <v>0</v>
      </c>
      <c r="L4155" s="47" t="str">
        <f aca="false">IF(AND(J4155=1,N(I4155)&gt;0),SUMIF($K$2:$K$5001,"&gt;="&amp;K4155,$I$2:$I$5001)/MAX(1,SUM($H$2:$H$5001)),"")</f>
        <v/>
      </c>
      <c r="M4155" s="47" t="str">
        <f aca="false">IF($A4155="","",INDEX($L$2:$L$5001,MATCH($A4155,$A$2:$A$5001,0)))</f>
        <v/>
      </c>
      <c r="N4155" s="48" t="str">
        <f aca="false">IF($A4155="","",IF(N(M4155)=0,"–",IF(M4155&lt;=Start!$D$20,"A",IF(M4155&lt;=Start!$D$21,"B","C"))))</f>
        <v/>
      </c>
      <c r="O4155" s="48" t="str">
        <f aca="false">IF($A4155="","",IF(NOT(ISNUMBER(F4155)),"Wert fehlt; ",IF(F4155&lt;=0,"Wert ist 0; ",""))&amp;IF(NOT(ISNUMBER(E4155)),"Bestand fehlt; ",IF(E4155&lt;0,"Bestand negativ; ",IF(E4155=0,"Nullbestand; ","")))&amp;IF(D4155="","Warengruppe fehlt; ","")&amp;IF(B4155="","Bezeichnung fehlt; ","")&amp;IF(COUNTIFS($A$2:$A$5001,$A4155,$C$2:$C$5001,C4155)&gt;1,"Artikel doppelt im selben Lager; ",""))</f>
        <v/>
      </c>
      <c r="P4155" s="47" t="n">
        <f aca="false">IF(OR($A4155="",D4155=""),0,IF(COUNTIF($D$2:D4155,D4155)=1,SUMIF($D$2:$D$5001,D4155,$H$2:$H$5001)+ROW()/10000000,0))</f>
        <v>0</v>
      </c>
      <c r="Q4155" s="47" t="n">
        <f aca="false">IF(OR($A4155="",C4155=""),0,IF(COUNTIF($C$2:C4155,C4155)=1,SUMIF($C$2:$C$5001,C4155,$H$2:$H$5001)+ROW()/10000000,0))</f>
        <v>0</v>
      </c>
    </row>
    <row r="4156" customFormat="false" ht="15" hidden="false" customHeight="false" outlineLevel="0" collapsed="false">
      <c r="A4156" s="43"/>
      <c r="B4156" s="44"/>
      <c r="C4156" s="44"/>
      <c r="D4156" s="44"/>
      <c r="E4156" s="44"/>
      <c r="F4156" s="44"/>
      <c r="G4156" s="44"/>
      <c r="H4156" s="46" t="str">
        <f aca="false">IF($A4156="","",IF(OR(NOT(ISNUMBER(E4156)),NOT(ISNUMBER(F4156))),"",MAX(0,E4156)*F4156))</f>
        <v/>
      </c>
      <c r="I4156" s="46" t="str">
        <f aca="false">IF($A4156="","",SUMIF($A$2:$A$5001,$A4156,$H$2:$H$5001))</f>
        <v/>
      </c>
      <c r="J4156" s="47" t="n">
        <f aca="false">IF($A4156="",0,IF(COUNTIF($A$2:A4156,$A4156)=1,1,0))</f>
        <v>0</v>
      </c>
      <c r="K4156" s="47" t="n">
        <f aca="false">IF(J4156=1,N(I4156)+ROW()/10000000,0)</f>
        <v>0</v>
      </c>
      <c r="L4156" s="47" t="str">
        <f aca="false">IF(AND(J4156=1,N(I4156)&gt;0),SUMIF($K$2:$K$5001,"&gt;="&amp;K4156,$I$2:$I$5001)/MAX(1,SUM($H$2:$H$5001)),"")</f>
        <v/>
      </c>
      <c r="M4156" s="47" t="str">
        <f aca="false">IF($A4156="","",INDEX($L$2:$L$5001,MATCH($A4156,$A$2:$A$5001,0)))</f>
        <v/>
      </c>
      <c r="N4156" s="48" t="str">
        <f aca="false">IF($A4156="","",IF(N(M4156)=0,"–",IF(M4156&lt;=Start!$D$20,"A",IF(M4156&lt;=Start!$D$21,"B","C"))))</f>
        <v/>
      </c>
      <c r="O4156" s="48" t="str">
        <f aca="false">IF($A4156="","",IF(NOT(ISNUMBER(F4156)),"Wert fehlt; ",IF(F4156&lt;=0,"Wert ist 0; ",""))&amp;IF(NOT(ISNUMBER(E4156)),"Bestand fehlt; ",IF(E4156&lt;0,"Bestand negativ; ",IF(E4156=0,"Nullbestand; ","")))&amp;IF(D4156="","Warengruppe fehlt; ","")&amp;IF(B4156="","Bezeichnung fehlt; ","")&amp;IF(COUNTIFS($A$2:$A$5001,$A4156,$C$2:$C$5001,C4156)&gt;1,"Artikel doppelt im selben Lager; ",""))</f>
        <v/>
      </c>
      <c r="P4156" s="47" t="n">
        <f aca="false">IF(OR($A4156="",D4156=""),0,IF(COUNTIF($D$2:D4156,D4156)=1,SUMIF($D$2:$D$5001,D4156,$H$2:$H$5001)+ROW()/10000000,0))</f>
        <v>0</v>
      </c>
      <c r="Q4156" s="47" t="n">
        <f aca="false">IF(OR($A4156="",C4156=""),0,IF(COUNTIF($C$2:C4156,C4156)=1,SUMIF($C$2:$C$5001,C4156,$H$2:$H$5001)+ROW()/10000000,0))</f>
        <v>0</v>
      </c>
    </row>
    <row r="4157" customFormat="false" ht="15" hidden="false" customHeight="false" outlineLevel="0" collapsed="false">
      <c r="A4157" s="43"/>
      <c r="B4157" s="44"/>
      <c r="C4157" s="44"/>
      <c r="D4157" s="44"/>
      <c r="E4157" s="44"/>
      <c r="F4157" s="44"/>
      <c r="G4157" s="44"/>
      <c r="H4157" s="46" t="str">
        <f aca="false">IF($A4157="","",IF(OR(NOT(ISNUMBER(E4157)),NOT(ISNUMBER(F4157))),"",MAX(0,E4157)*F4157))</f>
        <v/>
      </c>
      <c r="I4157" s="46" t="str">
        <f aca="false">IF($A4157="","",SUMIF($A$2:$A$5001,$A4157,$H$2:$H$5001))</f>
        <v/>
      </c>
      <c r="J4157" s="47" t="n">
        <f aca="false">IF($A4157="",0,IF(COUNTIF($A$2:A4157,$A4157)=1,1,0))</f>
        <v>0</v>
      </c>
      <c r="K4157" s="47" t="n">
        <f aca="false">IF(J4157=1,N(I4157)+ROW()/10000000,0)</f>
        <v>0</v>
      </c>
      <c r="L4157" s="47" t="str">
        <f aca="false">IF(AND(J4157=1,N(I4157)&gt;0),SUMIF($K$2:$K$5001,"&gt;="&amp;K4157,$I$2:$I$5001)/MAX(1,SUM($H$2:$H$5001)),"")</f>
        <v/>
      </c>
      <c r="M4157" s="47" t="str">
        <f aca="false">IF($A4157="","",INDEX($L$2:$L$5001,MATCH($A4157,$A$2:$A$5001,0)))</f>
        <v/>
      </c>
      <c r="N4157" s="48" t="str">
        <f aca="false">IF($A4157="","",IF(N(M4157)=0,"–",IF(M4157&lt;=Start!$D$20,"A",IF(M4157&lt;=Start!$D$21,"B","C"))))</f>
        <v/>
      </c>
      <c r="O4157" s="48" t="str">
        <f aca="false">IF($A4157="","",IF(NOT(ISNUMBER(F4157)),"Wert fehlt; ",IF(F4157&lt;=0,"Wert ist 0; ",""))&amp;IF(NOT(ISNUMBER(E4157)),"Bestand fehlt; ",IF(E4157&lt;0,"Bestand negativ; ",IF(E4157=0,"Nullbestand; ","")))&amp;IF(D4157="","Warengruppe fehlt; ","")&amp;IF(B4157="","Bezeichnung fehlt; ","")&amp;IF(COUNTIFS($A$2:$A$5001,$A4157,$C$2:$C$5001,C4157)&gt;1,"Artikel doppelt im selben Lager; ",""))</f>
        <v/>
      </c>
      <c r="P4157" s="47" t="n">
        <f aca="false">IF(OR($A4157="",D4157=""),0,IF(COUNTIF($D$2:D4157,D4157)=1,SUMIF($D$2:$D$5001,D4157,$H$2:$H$5001)+ROW()/10000000,0))</f>
        <v>0</v>
      </c>
      <c r="Q4157" s="47" t="n">
        <f aca="false">IF(OR($A4157="",C4157=""),0,IF(COUNTIF($C$2:C4157,C4157)=1,SUMIF($C$2:$C$5001,C4157,$H$2:$H$5001)+ROW()/10000000,0))</f>
        <v>0</v>
      </c>
    </row>
    <row r="4158" customFormat="false" ht="15" hidden="false" customHeight="false" outlineLevel="0" collapsed="false">
      <c r="A4158" s="43"/>
      <c r="B4158" s="44"/>
      <c r="C4158" s="44"/>
      <c r="D4158" s="44"/>
      <c r="E4158" s="44"/>
      <c r="F4158" s="44"/>
      <c r="G4158" s="44"/>
      <c r="H4158" s="46" t="str">
        <f aca="false">IF($A4158="","",IF(OR(NOT(ISNUMBER(E4158)),NOT(ISNUMBER(F4158))),"",MAX(0,E4158)*F4158))</f>
        <v/>
      </c>
      <c r="I4158" s="46" t="str">
        <f aca="false">IF($A4158="","",SUMIF($A$2:$A$5001,$A4158,$H$2:$H$5001))</f>
        <v/>
      </c>
      <c r="J4158" s="47" t="n">
        <f aca="false">IF($A4158="",0,IF(COUNTIF($A$2:A4158,$A4158)=1,1,0))</f>
        <v>0</v>
      </c>
      <c r="K4158" s="47" t="n">
        <f aca="false">IF(J4158=1,N(I4158)+ROW()/10000000,0)</f>
        <v>0</v>
      </c>
      <c r="L4158" s="47" t="str">
        <f aca="false">IF(AND(J4158=1,N(I4158)&gt;0),SUMIF($K$2:$K$5001,"&gt;="&amp;K4158,$I$2:$I$5001)/MAX(1,SUM($H$2:$H$5001)),"")</f>
        <v/>
      </c>
      <c r="M4158" s="47" t="str">
        <f aca="false">IF($A4158="","",INDEX($L$2:$L$5001,MATCH($A4158,$A$2:$A$5001,0)))</f>
        <v/>
      </c>
      <c r="N4158" s="48" t="str">
        <f aca="false">IF($A4158="","",IF(N(M4158)=0,"–",IF(M4158&lt;=Start!$D$20,"A",IF(M4158&lt;=Start!$D$21,"B","C"))))</f>
        <v/>
      </c>
      <c r="O4158" s="48" t="str">
        <f aca="false">IF($A4158="","",IF(NOT(ISNUMBER(F4158)),"Wert fehlt; ",IF(F4158&lt;=0,"Wert ist 0; ",""))&amp;IF(NOT(ISNUMBER(E4158)),"Bestand fehlt; ",IF(E4158&lt;0,"Bestand negativ; ",IF(E4158=0,"Nullbestand; ","")))&amp;IF(D4158="","Warengruppe fehlt; ","")&amp;IF(B4158="","Bezeichnung fehlt; ","")&amp;IF(COUNTIFS($A$2:$A$5001,$A4158,$C$2:$C$5001,C4158)&gt;1,"Artikel doppelt im selben Lager; ",""))</f>
        <v/>
      </c>
      <c r="P4158" s="47" t="n">
        <f aca="false">IF(OR($A4158="",D4158=""),0,IF(COUNTIF($D$2:D4158,D4158)=1,SUMIF($D$2:$D$5001,D4158,$H$2:$H$5001)+ROW()/10000000,0))</f>
        <v>0</v>
      </c>
      <c r="Q4158" s="47" t="n">
        <f aca="false">IF(OR($A4158="",C4158=""),0,IF(COUNTIF($C$2:C4158,C4158)=1,SUMIF($C$2:$C$5001,C4158,$H$2:$H$5001)+ROW()/10000000,0))</f>
        <v>0</v>
      </c>
    </row>
    <row r="4159" customFormat="false" ht="15" hidden="false" customHeight="false" outlineLevel="0" collapsed="false">
      <c r="A4159" s="43"/>
      <c r="B4159" s="44"/>
      <c r="C4159" s="44"/>
      <c r="D4159" s="44"/>
      <c r="E4159" s="44"/>
      <c r="F4159" s="44"/>
      <c r="G4159" s="44"/>
      <c r="H4159" s="46" t="str">
        <f aca="false">IF($A4159="","",IF(OR(NOT(ISNUMBER(E4159)),NOT(ISNUMBER(F4159))),"",MAX(0,E4159)*F4159))</f>
        <v/>
      </c>
      <c r="I4159" s="46" t="str">
        <f aca="false">IF($A4159="","",SUMIF($A$2:$A$5001,$A4159,$H$2:$H$5001))</f>
        <v/>
      </c>
      <c r="J4159" s="47" t="n">
        <f aca="false">IF($A4159="",0,IF(COUNTIF($A$2:A4159,$A4159)=1,1,0))</f>
        <v>0</v>
      </c>
      <c r="K4159" s="47" t="n">
        <f aca="false">IF(J4159=1,N(I4159)+ROW()/10000000,0)</f>
        <v>0</v>
      </c>
      <c r="L4159" s="47" t="str">
        <f aca="false">IF(AND(J4159=1,N(I4159)&gt;0),SUMIF($K$2:$K$5001,"&gt;="&amp;K4159,$I$2:$I$5001)/MAX(1,SUM($H$2:$H$5001)),"")</f>
        <v/>
      </c>
      <c r="M4159" s="47" t="str">
        <f aca="false">IF($A4159="","",INDEX($L$2:$L$5001,MATCH($A4159,$A$2:$A$5001,0)))</f>
        <v/>
      </c>
      <c r="N4159" s="48" t="str">
        <f aca="false">IF($A4159="","",IF(N(M4159)=0,"–",IF(M4159&lt;=Start!$D$20,"A",IF(M4159&lt;=Start!$D$21,"B","C"))))</f>
        <v/>
      </c>
      <c r="O4159" s="48" t="str">
        <f aca="false">IF($A4159="","",IF(NOT(ISNUMBER(F4159)),"Wert fehlt; ",IF(F4159&lt;=0,"Wert ist 0; ",""))&amp;IF(NOT(ISNUMBER(E4159)),"Bestand fehlt; ",IF(E4159&lt;0,"Bestand negativ; ",IF(E4159=0,"Nullbestand; ","")))&amp;IF(D4159="","Warengruppe fehlt; ","")&amp;IF(B4159="","Bezeichnung fehlt; ","")&amp;IF(COUNTIFS($A$2:$A$5001,$A4159,$C$2:$C$5001,C4159)&gt;1,"Artikel doppelt im selben Lager; ",""))</f>
        <v/>
      </c>
      <c r="P4159" s="47" t="n">
        <f aca="false">IF(OR($A4159="",D4159=""),0,IF(COUNTIF($D$2:D4159,D4159)=1,SUMIF($D$2:$D$5001,D4159,$H$2:$H$5001)+ROW()/10000000,0))</f>
        <v>0</v>
      </c>
      <c r="Q4159" s="47" t="n">
        <f aca="false">IF(OR($A4159="",C4159=""),0,IF(COUNTIF($C$2:C4159,C4159)=1,SUMIF($C$2:$C$5001,C4159,$H$2:$H$5001)+ROW()/10000000,0))</f>
        <v>0</v>
      </c>
    </row>
    <row r="4160" customFormat="false" ht="15" hidden="false" customHeight="false" outlineLevel="0" collapsed="false">
      <c r="A4160" s="43"/>
      <c r="B4160" s="44"/>
      <c r="C4160" s="44"/>
      <c r="D4160" s="44"/>
      <c r="E4160" s="44"/>
      <c r="F4160" s="44"/>
      <c r="G4160" s="44"/>
      <c r="H4160" s="46" t="str">
        <f aca="false">IF($A4160="","",IF(OR(NOT(ISNUMBER(E4160)),NOT(ISNUMBER(F4160))),"",MAX(0,E4160)*F4160))</f>
        <v/>
      </c>
      <c r="I4160" s="46" t="str">
        <f aca="false">IF($A4160="","",SUMIF($A$2:$A$5001,$A4160,$H$2:$H$5001))</f>
        <v/>
      </c>
      <c r="J4160" s="47" t="n">
        <f aca="false">IF($A4160="",0,IF(COUNTIF($A$2:A4160,$A4160)=1,1,0))</f>
        <v>0</v>
      </c>
      <c r="K4160" s="47" t="n">
        <f aca="false">IF(J4160=1,N(I4160)+ROW()/10000000,0)</f>
        <v>0</v>
      </c>
      <c r="L4160" s="47" t="str">
        <f aca="false">IF(AND(J4160=1,N(I4160)&gt;0),SUMIF($K$2:$K$5001,"&gt;="&amp;K4160,$I$2:$I$5001)/MAX(1,SUM($H$2:$H$5001)),"")</f>
        <v/>
      </c>
      <c r="M4160" s="47" t="str">
        <f aca="false">IF($A4160="","",INDEX($L$2:$L$5001,MATCH($A4160,$A$2:$A$5001,0)))</f>
        <v/>
      </c>
      <c r="N4160" s="48" t="str">
        <f aca="false">IF($A4160="","",IF(N(M4160)=0,"–",IF(M4160&lt;=Start!$D$20,"A",IF(M4160&lt;=Start!$D$21,"B","C"))))</f>
        <v/>
      </c>
      <c r="O4160" s="48" t="str">
        <f aca="false">IF($A4160="","",IF(NOT(ISNUMBER(F4160)),"Wert fehlt; ",IF(F4160&lt;=0,"Wert ist 0; ",""))&amp;IF(NOT(ISNUMBER(E4160)),"Bestand fehlt; ",IF(E4160&lt;0,"Bestand negativ; ",IF(E4160=0,"Nullbestand; ","")))&amp;IF(D4160="","Warengruppe fehlt; ","")&amp;IF(B4160="","Bezeichnung fehlt; ","")&amp;IF(COUNTIFS($A$2:$A$5001,$A4160,$C$2:$C$5001,C4160)&gt;1,"Artikel doppelt im selben Lager; ",""))</f>
        <v/>
      </c>
      <c r="P4160" s="47" t="n">
        <f aca="false">IF(OR($A4160="",D4160=""),0,IF(COUNTIF($D$2:D4160,D4160)=1,SUMIF($D$2:$D$5001,D4160,$H$2:$H$5001)+ROW()/10000000,0))</f>
        <v>0</v>
      </c>
      <c r="Q4160" s="47" t="n">
        <f aca="false">IF(OR($A4160="",C4160=""),0,IF(COUNTIF($C$2:C4160,C4160)=1,SUMIF($C$2:$C$5001,C4160,$H$2:$H$5001)+ROW()/10000000,0))</f>
        <v>0</v>
      </c>
    </row>
    <row r="4161" customFormat="false" ht="15" hidden="false" customHeight="false" outlineLevel="0" collapsed="false">
      <c r="A4161" s="43"/>
      <c r="B4161" s="44"/>
      <c r="C4161" s="44"/>
      <c r="D4161" s="44"/>
      <c r="E4161" s="44"/>
      <c r="F4161" s="44"/>
      <c r="G4161" s="44"/>
      <c r="H4161" s="46" t="str">
        <f aca="false">IF($A4161="","",IF(OR(NOT(ISNUMBER(E4161)),NOT(ISNUMBER(F4161))),"",MAX(0,E4161)*F4161))</f>
        <v/>
      </c>
      <c r="I4161" s="46" t="str">
        <f aca="false">IF($A4161="","",SUMIF($A$2:$A$5001,$A4161,$H$2:$H$5001))</f>
        <v/>
      </c>
      <c r="J4161" s="47" t="n">
        <f aca="false">IF($A4161="",0,IF(COUNTIF($A$2:A4161,$A4161)=1,1,0))</f>
        <v>0</v>
      </c>
      <c r="K4161" s="47" t="n">
        <f aca="false">IF(J4161=1,N(I4161)+ROW()/10000000,0)</f>
        <v>0</v>
      </c>
      <c r="L4161" s="47" t="str">
        <f aca="false">IF(AND(J4161=1,N(I4161)&gt;0),SUMIF($K$2:$K$5001,"&gt;="&amp;K4161,$I$2:$I$5001)/MAX(1,SUM($H$2:$H$5001)),"")</f>
        <v/>
      </c>
      <c r="M4161" s="47" t="str">
        <f aca="false">IF($A4161="","",INDEX($L$2:$L$5001,MATCH($A4161,$A$2:$A$5001,0)))</f>
        <v/>
      </c>
      <c r="N4161" s="48" t="str">
        <f aca="false">IF($A4161="","",IF(N(M4161)=0,"–",IF(M4161&lt;=Start!$D$20,"A",IF(M4161&lt;=Start!$D$21,"B","C"))))</f>
        <v/>
      </c>
      <c r="O4161" s="48" t="str">
        <f aca="false">IF($A4161="","",IF(NOT(ISNUMBER(F4161)),"Wert fehlt; ",IF(F4161&lt;=0,"Wert ist 0; ",""))&amp;IF(NOT(ISNUMBER(E4161)),"Bestand fehlt; ",IF(E4161&lt;0,"Bestand negativ; ",IF(E4161=0,"Nullbestand; ","")))&amp;IF(D4161="","Warengruppe fehlt; ","")&amp;IF(B4161="","Bezeichnung fehlt; ","")&amp;IF(COUNTIFS($A$2:$A$5001,$A4161,$C$2:$C$5001,C4161)&gt;1,"Artikel doppelt im selben Lager; ",""))</f>
        <v/>
      </c>
      <c r="P4161" s="47" t="n">
        <f aca="false">IF(OR($A4161="",D4161=""),0,IF(COUNTIF($D$2:D4161,D4161)=1,SUMIF($D$2:$D$5001,D4161,$H$2:$H$5001)+ROW()/10000000,0))</f>
        <v>0</v>
      </c>
      <c r="Q4161" s="47" t="n">
        <f aca="false">IF(OR($A4161="",C4161=""),0,IF(COUNTIF($C$2:C4161,C4161)=1,SUMIF($C$2:$C$5001,C4161,$H$2:$H$5001)+ROW()/10000000,0))</f>
        <v>0</v>
      </c>
    </row>
    <row r="4162" customFormat="false" ht="15" hidden="false" customHeight="false" outlineLevel="0" collapsed="false">
      <c r="A4162" s="43"/>
      <c r="B4162" s="44"/>
      <c r="C4162" s="44"/>
      <c r="D4162" s="44"/>
      <c r="E4162" s="44"/>
      <c r="F4162" s="44"/>
      <c r="G4162" s="44"/>
      <c r="H4162" s="46" t="str">
        <f aca="false">IF($A4162="","",IF(OR(NOT(ISNUMBER(E4162)),NOT(ISNUMBER(F4162))),"",MAX(0,E4162)*F4162))</f>
        <v/>
      </c>
      <c r="I4162" s="46" t="str">
        <f aca="false">IF($A4162="","",SUMIF($A$2:$A$5001,$A4162,$H$2:$H$5001))</f>
        <v/>
      </c>
      <c r="J4162" s="47" t="n">
        <f aca="false">IF($A4162="",0,IF(COUNTIF($A$2:A4162,$A4162)=1,1,0))</f>
        <v>0</v>
      </c>
      <c r="K4162" s="47" t="n">
        <f aca="false">IF(J4162=1,N(I4162)+ROW()/10000000,0)</f>
        <v>0</v>
      </c>
      <c r="L4162" s="47" t="str">
        <f aca="false">IF(AND(J4162=1,N(I4162)&gt;0),SUMIF($K$2:$K$5001,"&gt;="&amp;K4162,$I$2:$I$5001)/MAX(1,SUM($H$2:$H$5001)),"")</f>
        <v/>
      </c>
      <c r="M4162" s="47" t="str">
        <f aca="false">IF($A4162="","",INDEX($L$2:$L$5001,MATCH($A4162,$A$2:$A$5001,0)))</f>
        <v/>
      </c>
      <c r="N4162" s="48" t="str">
        <f aca="false">IF($A4162="","",IF(N(M4162)=0,"–",IF(M4162&lt;=Start!$D$20,"A",IF(M4162&lt;=Start!$D$21,"B","C"))))</f>
        <v/>
      </c>
      <c r="O4162" s="48" t="str">
        <f aca="false">IF($A4162="","",IF(NOT(ISNUMBER(F4162)),"Wert fehlt; ",IF(F4162&lt;=0,"Wert ist 0; ",""))&amp;IF(NOT(ISNUMBER(E4162)),"Bestand fehlt; ",IF(E4162&lt;0,"Bestand negativ; ",IF(E4162=0,"Nullbestand; ","")))&amp;IF(D4162="","Warengruppe fehlt; ","")&amp;IF(B4162="","Bezeichnung fehlt; ","")&amp;IF(COUNTIFS($A$2:$A$5001,$A4162,$C$2:$C$5001,C4162)&gt;1,"Artikel doppelt im selben Lager; ",""))</f>
        <v/>
      </c>
      <c r="P4162" s="47" t="n">
        <f aca="false">IF(OR($A4162="",D4162=""),0,IF(COUNTIF($D$2:D4162,D4162)=1,SUMIF($D$2:$D$5001,D4162,$H$2:$H$5001)+ROW()/10000000,0))</f>
        <v>0</v>
      </c>
      <c r="Q4162" s="47" t="n">
        <f aca="false">IF(OR($A4162="",C4162=""),0,IF(COUNTIF($C$2:C4162,C4162)=1,SUMIF($C$2:$C$5001,C4162,$H$2:$H$5001)+ROW()/10000000,0))</f>
        <v>0</v>
      </c>
    </row>
    <row r="4163" customFormat="false" ht="15" hidden="false" customHeight="false" outlineLevel="0" collapsed="false">
      <c r="A4163" s="43"/>
      <c r="B4163" s="44"/>
      <c r="C4163" s="44"/>
      <c r="D4163" s="44"/>
      <c r="E4163" s="44"/>
      <c r="F4163" s="44"/>
      <c r="G4163" s="44"/>
      <c r="H4163" s="46" t="str">
        <f aca="false">IF($A4163="","",IF(OR(NOT(ISNUMBER(E4163)),NOT(ISNUMBER(F4163))),"",MAX(0,E4163)*F4163))</f>
        <v/>
      </c>
      <c r="I4163" s="46" t="str">
        <f aca="false">IF($A4163="","",SUMIF($A$2:$A$5001,$A4163,$H$2:$H$5001))</f>
        <v/>
      </c>
      <c r="J4163" s="47" t="n">
        <f aca="false">IF($A4163="",0,IF(COUNTIF($A$2:A4163,$A4163)=1,1,0))</f>
        <v>0</v>
      </c>
      <c r="K4163" s="47" t="n">
        <f aca="false">IF(J4163=1,N(I4163)+ROW()/10000000,0)</f>
        <v>0</v>
      </c>
      <c r="L4163" s="47" t="str">
        <f aca="false">IF(AND(J4163=1,N(I4163)&gt;0),SUMIF($K$2:$K$5001,"&gt;="&amp;K4163,$I$2:$I$5001)/MAX(1,SUM($H$2:$H$5001)),"")</f>
        <v/>
      </c>
      <c r="M4163" s="47" t="str">
        <f aca="false">IF($A4163="","",INDEX($L$2:$L$5001,MATCH($A4163,$A$2:$A$5001,0)))</f>
        <v/>
      </c>
      <c r="N4163" s="48" t="str">
        <f aca="false">IF($A4163="","",IF(N(M4163)=0,"–",IF(M4163&lt;=Start!$D$20,"A",IF(M4163&lt;=Start!$D$21,"B","C"))))</f>
        <v/>
      </c>
      <c r="O4163" s="48" t="str">
        <f aca="false">IF($A4163="","",IF(NOT(ISNUMBER(F4163)),"Wert fehlt; ",IF(F4163&lt;=0,"Wert ist 0; ",""))&amp;IF(NOT(ISNUMBER(E4163)),"Bestand fehlt; ",IF(E4163&lt;0,"Bestand negativ; ",IF(E4163=0,"Nullbestand; ","")))&amp;IF(D4163="","Warengruppe fehlt; ","")&amp;IF(B4163="","Bezeichnung fehlt; ","")&amp;IF(COUNTIFS($A$2:$A$5001,$A4163,$C$2:$C$5001,C4163)&gt;1,"Artikel doppelt im selben Lager; ",""))</f>
        <v/>
      </c>
      <c r="P4163" s="47" t="n">
        <f aca="false">IF(OR($A4163="",D4163=""),0,IF(COUNTIF($D$2:D4163,D4163)=1,SUMIF($D$2:$D$5001,D4163,$H$2:$H$5001)+ROW()/10000000,0))</f>
        <v>0</v>
      </c>
      <c r="Q4163" s="47" t="n">
        <f aca="false">IF(OR($A4163="",C4163=""),0,IF(COUNTIF($C$2:C4163,C4163)=1,SUMIF($C$2:$C$5001,C4163,$H$2:$H$5001)+ROW()/10000000,0))</f>
        <v>0</v>
      </c>
    </row>
    <row r="4164" customFormat="false" ht="15" hidden="false" customHeight="false" outlineLevel="0" collapsed="false">
      <c r="A4164" s="43"/>
      <c r="B4164" s="44"/>
      <c r="C4164" s="44"/>
      <c r="D4164" s="44"/>
      <c r="E4164" s="44"/>
      <c r="F4164" s="44"/>
      <c r="G4164" s="44"/>
      <c r="H4164" s="46" t="str">
        <f aca="false">IF($A4164="","",IF(OR(NOT(ISNUMBER(E4164)),NOT(ISNUMBER(F4164))),"",MAX(0,E4164)*F4164))</f>
        <v/>
      </c>
      <c r="I4164" s="46" t="str">
        <f aca="false">IF($A4164="","",SUMIF($A$2:$A$5001,$A4164,$H$2:$H$5001))</f>
        <v/>
      </c>
      <c r="J4164" s="47" t="n">
        <f aca="false">IF($A4164="",0,IF(COUNTIF($A$2:A4164,$A4164)=1,1,0))</f>
        <v>0</v>
      </c>
      <c r="K4164" s="47" t="n">
        <f aca="false">IF(J4164=1,N(I4164)+ROW()/10000000,0)</f>
        <v>0</v>
      </c>
      <c r="L4164" s="47" t="str">
        <f aca="false">IF(AND(J4164=1,N(I4164)&gt;0),SUMIF($K$2:$K$5001,"&gt;="&amp;K4164,$I$2:$I$5001)/MAX(1,SUM($H$2:$H$5001)),"")</f>
        <v/>
      </c>
      <c r="M4164" s="47" t="str">
        <f aca="false">IF($A4164="","",INDEX($L$2:$L$5001,MATCH($A4164,$A$2:$A$5001,0)))</f>
        <v/>
      </c>
      <c r="N4164" s="48" t="str">
        <f aca="false">IF($A4164="","",IF(N(M4164)=0,"–",IF(M4164&lt;=Start!$D$20,"A",IF(M4164&lt;=Start!$D$21,"B","C"))))</f>
        <v/>
      </c>
      <c r="O4164" s="48" t="str">
        <f aca="false">IF($A4164="","",IF(NOT(ISNUMBER(F4164)),"Wert fehlt; ",IF(F4164&lt;=0,"Wert ist 0; ",""))&amp;IF(NOT(ISNUMBER(E4164)),"Bestand fehlt; ",IF(E4164&lt;0,"Bestand negativ; ",IF(E4164=0,"Nullbestand; ","")))&amp;IF(D4164="","Warengruppe fehlt; ","")&amp;IF(B4164="","Bezeichnung fehlt; ","")&amp;IF(COUNTIFS($A$2:$A$5001,$A4164,$C$2:$C$5001,C4164)&gt;1,"Artikel doppelt im selben Lager; ",""))</f>
        <v/>
      </c>
      <c r="P4164" s="47" t="n">
        <f aca="false">IF(OR($A4164="",D4164=""),0,IF(COUNTIF($D$2:D4164,D4164)=1,SUMIF($D$2:$D$5001,D4164,$H$2:$H$5001)+ROW()/10000000,0))</f>
        <v>0</v>
      </c>
      <c r="Q4164" s="47" t="n">
        <f aca="false">IF(OR($A4164="",C4164=""),0,IF(COUNTIF($C$2:C4164,C4164)=1,SUMIF($C$2:$C$5001,C4164,$H$2:$H$5001)+ROW()/10000000,0))</f>
        <v>0</v>
      </c>
    </row>
    <row r="4165" customFormat="false" ht="15" hidden="false" customHeight="false" outlineLevel="0" collapsed="false">
      <c r="A4165" s="43"/>
      <c r="B4165" s="44"/>
      <c r="C4165" s="44"/>
      <c r="D4165" s="44"/>
      <c r="E4165" s="44"/>
      <c r="F4165" s="44"/>
      <c r="G4165" s="44"/>
      <c r="H4165" s="46" t="str">
        <f aca="false">IF($A4165="","",IF(OR(NOT(ISNUMBER(E4165)),NOT(ISNUMBER(F4165))),"",MAX(0,E4165)*F4165))</f>
        <v/>
      </c>
      <c r="I4165" s="46" t="str">
        <f aca="false">IF($A4165="","",SUMIF($A$2:$A$5001,$A4165,$H$2:$H$5001))</f>
        <v/>
      </c>
      <c r="J4165" s="47" t="n">
        <f aca="false">IF($A4165="",0,IF(COUNTIF($A$2:A4165,$A4165)=1,1,0))</f>
        <v>0</v>
      </c>
      <c r="K4165" s="47" t="n">
        <f aca="false">IF(J4165=1,N(I4165)+ROW()/10000000,0)</f>
        <v>0</v>
      </c>
      <c r="L4165" s="47" t="str">
        <f aca="false">IF(AND(J4165=1,N(I4165)&gt;0),SUMIF($K$2:$K$5001,"&gt;="&amp;K4165,$I$2:$I$5001)/MAX(1,SUM($H$2:$H$5001)),"")</f>
        <v/>
      </c>
      <c r="M4165" s="47" t="str">
        <f aca="false">IF($A4165="","",INDEX($L$2:$L$5001,MATCH($A4165,$A$2:$A$5001,0)))</f>
        <v/>
      </c>
      <c r="N4165" s="48" t="str">
        <f aca="false">IF($A4165="","",IF(N(M4165)=0,"–",IF(M4165&lt;=Start!$D$20,"A",IF(M4165&lt;=Start!$D$21,"B","C"))))</f>
        <v/>
      </c>
      <c r="O4165" s="48" t="str">
        <f aca="false">IF($A4165="","",IF(NOT(ISNUMBER(F4165)),"Wert fehlt; ",IF(F4165&lt;=0,"Wert ist 0; ",""))&amp;IF(NOT(ISNUMBER(E4165)),"Bestand fehlt; ",IF(E4165&lt;0,"Bestand negativ; ",IF(E4165=0,"Nullbestand; ","")))&amp;IF(D4165="","Warengruppe fehlt; ","")&amp;IF(B4165="","Bezeichnung fehlt; ","")&amp;IF(COUNTIFS($A$2:$A$5001,$A4165,$C$2:$C$5001,C4165)&gt;1,"Artikel doppelt im selben Lager; ",""))</f>
        <v/>
      </c>
      <c r="P4165" s="47" t="n">
        <f aca="false">IF(OR($A4165="",D4165=""),0,IF(COUNTIF($D$2:D4165,D4165)=1,SUMIF($D$2:$D$5001,D4165,$H$2:$H$5001)+ROW()/10000000,0))</f>
        <v>0</v>
      </c>
      <c r="Q4165" s="47" t="n">
        <f aca="false">IF(OR($A4165="",C4165=""),0,IF(COUNTIF($C$2:C4165,C4165)=1,SUMIF($C$2:$C$5001,C4165,$H$2:$H$5001)+ROW()/10000000,0))</f>
        <v>0</v>
      </c>
    </row>
    <row r="4166" customFormat="false" ht="15" hidden="false" customHeight="false" outlineLevel="0" collapsed="false">
      <c r="A4166" s="43"/>
      <c r="B4166" s="44"/>
      <c r="C4166" s="44"/>
      <c r="D4166" s="44"/>
      <c r="E4166" s="44"/>
      <c r="F4166" s="44"/>
      <c r="G4166" s="44"/>
      <c r="H4166" s="46" t="str">
        <f aca="false">IF($A4166="","",IF(OR(NOT(ISNUMBER(E4166)),NOT(ISNUMBER(F4166))),"",MAX(0,E4166)*F4166))</f>
        <v/>
      </c>
      <c r="I4166" s="46" t="str">
        <f aca="false">IF($A4166="","",SUMIF($A$2:$A$5001,$A4166,$H$2:$H$5001))</f>
        <v/>
      </c>
      <c r="J4166" s="47" t="n">
        <f aca="false">IF($A4166="",0,IF(COUNTIF($A$2:A4166,$A4166)=1,1,0))</f>
        <v>0</v>
      </c>
      <c r="K4166" s="47" t="n">
        <f aca="false">IF(J4166=1,N(I4166)+ROW()/10000000,0)</f>
        <v>0</v>
      </c>
      <c r="L4166" s="47" t="str">
        <f aca="false">IF(AND(J4166=1,N(I4166)&gt;0),SUMIF($K$2:$K$5001,"&gt;="&amp;K4166,$I$2:$I$5001)/MAX(1,SUM($H$2:$H$5001)),"")</f>
        <v/>
      </c>
      <c r="M4166" s="47" t="str">
        <f aca="false">IF($A4166="","",INDEX($L$2:$L$5001,MATCH($A4166,$A$2:$A$5001,0)))</f>
        <v/>
      </c>
      <c r="N4166" s="48" t="str">
        <f aca="false">IF($A4166="","",IF(N(M4166)=0,"–",IF(M4166&lt;=Start!$D$20,"A",IF(M4166&lt;=Start!$D$21,"B","C"))))</f>
        <v/>
      </c>
      <c r="O4166" s="48" t="str">
        <f aca="false">IF($A4166="","",IF(NOT(ISNUMBER(F4166)),"Wert fehlt; ",IF(F4166&lt;=0,"Wert ist 0; ",""))&amp;IF(NOT(ISNUMBER(E4166)),"Bestand fehlt; ",IF(E4166&lt;0,"Bestand negativ; ",IF(E4166=0,"Nullbestand; ","")))&amp;IF(D4166="","Warengruppe fehlt; ","")&amp;IF(B4166="","Bezeichnung fehlt; ","")&amp;IF(COUNTIFS($A$2:$A$5001,$A4166,$C$2:$C$5001,C4166)&gt;1,"Artikel doppelt im selben Lager; ",""))</f>
        <v/>
      </c>
      <c r="P4166" s="47" t="n">
        <f aca="false">IF(OR($A4166="",D4166=""),0,IF(COUNTIF($D$2:D4166,D4166)=1,SUMIF($D$2:$D$5001,D4166,$H$2:$H$5001)+ROW()/10000000,0))</f>
        <v>0</v>
      </c>
      <c r="Q4166" s="47" t="n">
        <f aca="false">IF(OR($A4166="",C4166=""),0,IF(COUNTIF($C$2:C4166,C4166)=1,SUMIF($C$2:$C$5001,C4166,$H$2:$H$5001)+ROW()/10000000,0))</f>
        <v>0</v>
      </c>
    </row>
    <row r="4167" customFormat="false" ht="15" hidden="false" customHeight="false" outlineLevel="0" collapsed="false">
      <c r="A4167" s="43"/>
      <c r="B4167" s="44"/>
      <c r="C4167" s="44"/>
      <c r="D4167" s="44"/>
      <c r="E4167" s="44"/>
      <c r="F4167" s="44"/>
      <c r="G4167" s="44"/>
      <c r="H4167" s="46" t="str">
        <f aca="false">IF($A4167="","",IF(OR(NOT(ISNUMBER(E4167)),NOT(ISNUMBER(F4167))),"",MAX(0,E4167)*F4167))</f>
        <v/>
      </c>
      <c r="I4167" s="46" t="str">
        <f aca="false">IF($A4167="","",SUMIF($A$2:$A$5001,$A4167,$H$2:$H$5001))</f>
        <v/>
      </c>
      <c r="J4167" s="47" t="n">
        <f aca="false">IF($A4167="",0,IF(COUNTIF($A$2:A4167,$A4167)=1,1,0))</f>
        <v>0</v>
      </c>
      <c r="K4167" s="47" t="n">
        <f aca="false">IF(J4167=1,N(I4167)+ROW()/10000000,0)</f>
        <v>0</v>
      </c>
      <c r="L4167" s="47" t="str">
        <f aca="false">IF(AND(J4167=1,N(I4167)&gt;0),SUMIF($K$2:$K$5001,"&gt;="&amp;K4167,$I$2:$I$5001)/MAX(1,SUM($H$2:$H$5001)),"")</f>
        <v/>
      </c>
      <c r="M4167" s="47" t="str">
        <f aca="false">IF($A4167="","",INDEX($L$2:$L$5001,MATCH($A4167,$A$2:$A$5001,0)))</f>
        <v/>
      </c>
      <c r="N4167" s="48" t="str">
        <f aca="false">IF($A4167="","",IF(N(M4167)=0,"–",IF(M4167&lt;=Start!$D$20,"A",IF(M4167&lt;=Start!$D$21,"B","C"))))</f>
        <v/>
      </c>
      <c r="O4167" s="48" t="str">
        <f aca="false">IF($A4167="","",IF(NOT(ISNUMBER(F4167)),"Wert fehlt; ",IF(F4167&lt;=0,"Wert ist 0; ",""))&amp;IF(NOT(ISNUMBER(E4167)),"Bestand fehlt; ",IF(E4167&lt;0,"Bestand negativ; ",IF(E4167=0,"Nullbestand; ","")))&amp;IF(D4167="","Warengruppe fehlt; ","")&amp;IF(B4167="","Bezeichnung fehlt; ","")&amp;IF(COUNTIFS($A$2:$A$5001,$A4167,$C$2:$C$5001,C4167)&gt;1,"Artikel doppelt im selben Lager; ",""))</f>
        <v/>
      </c>
      <c r="P4167" s="47" t="n">
        <f aca="false">IF(OR($A4167="",D4167=""),0,IF(COUNTIF($D$2:D4167,D4167)=1,SUMIF($D$2:$D$5001,D4167,$H$2:$H$5001)+ROW()/10000000,0))</f>
        <v>0</v>
      </c>
      <c r="Q4167" s="47" t="n">
        <f aca="false">IF(OR($A4167="",C4167=""),0,IF(COUNTIF($C$2:C4167,C4167)=1,SUMIF($C$2:$C$5001,C4167,$H$2:$H$5001)+ROW()/10000000,0))</f>
        <v>0</v>
      </c>
    </row>
    <row r="4168" customFormat="false" ht="15" hidden="false" customHeight="false" outlineLevel="0" collapsed="false">
      <c r="A4168" s="43"/>
      <c r="B4168" s="44"/>
      <c r="C4168" s="44"/>
      <c r="D4168" s="44"/>
      <c r="E4168" s="44"/>
      <c r="F4168" s="44"/>
      <c r="G4168" s="44"/>
      <c r="H4168" s="46" t="str">
        <f aca="false">IF($A4168="","",IF(OR(NOT(ISNUMBER(E4168)),NOT(ISNUMBER(F4168))),"",MAX(0,E4168)*F4168))</f>
        <v/>
      </c>
      <c r="I4168" s="46" t="str">
        <f aca="false">IF($A4168="","",SUMIF($A$2:$A$5001,$A4168,$H$2:$H$5001))</f>
        <v/>
      </c>
      <c r="J4168" s="47" t="n">
        <f aca="false">IF($A4168="",0,IF(COUNTIF($A$2:A4168,$A4168)=1,1,0))</f>
        <v>0</v>
      </c>
      <c r="K4168" s="47" t="n">
        <f aca="false">IF(J4168=1,N(I4168)+ROW()/10000000,0)</f>
        <v>0</v>
      </c>
      <c r="L4168" s="47" t="str">
        <f aca="false">IF(AND(J4168=1,N(I4168)&gt;0),SUMIF($K$2:$K$5001,"&gt;="&amp;K4168,$I$2:$I$5001)/MAX(1,SUM($H$2:$H$5001)),"")</f>
        <v/>
      </c>
      <c r="M4168" s="47" t="str">
        <f aca="false">IF($A4168="","",INDEX($L$2:$L$5001,MATCH($A4168,$A$2:$A$5001,0)))</f>
        <v/>
      </c>
      <c r="N4168" s="48" t="str">
        <f aca="false">IF($A4168="","",IF(N(M4168)=0,"–",IF(M4168&lt;=Start!$D$20,"A",IF(M4168&lt;=Start!$D$21,"B","C"))))</f>
        <v/>
      </c>
      <c r="O4168" s="48" t="str">
        <f aca="false">IF($A4168="","",IF(NOT(ISNUMBER(F4168)),"Wert fehlt; ",IF(F4168&lt;=0,"Wert ist 0; ",""))&amp;IF(NOT(ISNUMBER(E4168)),"Bestand fehlt; ",IF(E4168&lt;0,"Bestand negativ; ",IF(E4168=0,"Nullbestand; ","")))&amp;IF(D4168="","Warengruppe fehlt; ","")&amp;IF(B4168="","Bezeichnung fehlt; ","")&amp;IF(COUNTIFS($A$2:$A$5001,$A4168,$C$2:$C$5001,C4168)&gt;1,"Artikel doppelt im selben Lager; ",""))</f>
        <v/>
      </c>
      <c r="P4168" s="47" t="n">
        <f aca="false">IF(OR($A4168="",D4168=""),0,IF(COUNTIF($D$2:D4168,D4168)=1,SUMIF($D$2:$D$5001,D4168,$H$2:$H$5001)+ROW()/10000000,0))</f>
        <v>0</v>
      </c>
      <c r="Q4168" s="47" t="n">
        <f aca="false">IF(OR($A4168="",C4168=""),0,IF(COUNTIF($C$2:C4168,C4168)=1,SUMIF($C$2:$C$5001,C4168,$H$2:$H$5001)+ROW()/10000000,0))</f>
        <v>0</v>
      </c>
    </row>
    <row r="4169" customFormat="false" ht="15" hidden="false" customHeight="false" outlineLevel="0" collapsed="false">
      <c r="A4169" s="43"/>
      <c r="B4169" s="44"/>
      <c r="C4169" s="44"/>
      <c r="D4169" s="44"/>
      <c r="E4169" s="44"/>
      <c r="F4169" s="44"/>
      <c r="G4169" s="44"/>
      <c r="H4169" s="46" t="str">
        <f aca="false">IF($A4169="","",IF(OR(NOT(ISNUMBER(E4169)),NOT(ISNUMBER(F4169))),"",MAX(0,E4169)*F4169))</f>
        <v/>
      </c>
      <c r="I4169" s="46" t="str">
        <f aca="false">IF($A4169="","",SUMIF($A$2:$A$5001,$A4169,$H$2:$H$5001))</f>
        <v/>
      </c>
      <c r="J4169" s="47" t="n">
        <f aca="false">IF($A4169="",0,IF(COUNTIF($A$2:A4169,$A4169)=1,1,0))</f>
        <v>0</v>
      </c>
      <c r="K4169" s="47" t="n">
        <f aca="false">IF(J4169=1,N(I4169)+ROW()/10000000,0)</f>
        <v>0</v>
      </c>
      <c r="L4169" s="47" t="str">
        <f aca="false">IF(AND(J4169=1,N(I4169)&gt;0),SUMIF($K$2:$K$5001,"&gt;="&amp;K4169,$I$2:$I$5001)/MAX(1,SUM($H$2:$H$5001)),"")</f>
        <v/>
      </c>
      <c r="M4169" s="47" t="str">
        <f aca="false">IF($A4169="","",INDEX($L$2:$L$5001,MATCH($A4169,$A$2:$A$5001,0)))</f>
        <v/>
      </c>
      <c r="N4169" s="48" t="str">
        <f aca="false">IF($A4169="","",IF(N(M4169)=0,"–",IF(M4169&lt;=Start!$D$20,"A",IF(M4169&lt;=Start!$D$21,"B","C"))))</f>
        <v/>
      </c>
      <c r="O4169" s="48" t="str">
        <f aca="false">IF($A4169="","",IF(NOT(ISNUMBER(F4169)),"Wert fehlt; ",IF(F4169&lt;=0,"Wert ist 0; ",""))&amp;IF(NOT(ISNUMBER(E4169)),"Bestand fehlt; ",IF(E4169&lt;0,"Bestand negativ; ",IF(E4169=0,"Nullbestand; ","")))&amp;IF(D4169="","Warengruppe fehlt; ","")&amp;IF(B4169="","Bezeichnung fehlt; ","")&amp;IF(COUNTIFS($A$2:$A$5001,$A4169,$C$2:$C$5001,C4169)&gt;1,"Artikel doppelt im selben Lager; ",""))</f>
        <v/>
      </c>
      <c r="P4169" s="47" t="n">
        <f aca="false">IF(OR($A4169="",D4169=""),0,IF(COUNTIF($D$2:D4169,D4169)=1,SUMIF($D$2:$D$5001,D4169,$H$2:$H$5001)+ROW()/10000000,0))</f>
        <v>0</v>
      </c>
      <c r="Q4169" s="47" t="n">
        <f aca="false">IF(OR($A4169="",C4169=""),0,IF(COUNTIF($C$2:C4169,C4169)=1,SUMIF($C$2:$C$5001,C4169,$H$2:$H$5001)+ROW()/10000000,0))</f>
        <v>0</v>
      </c>
    </row>
    <row r="4170" customFormat="false" ht="15" hidden="false" customHeight="false" outlineLevel="0" collapsed="false">
      <c r="A4170" s="43"/>
      <c r="B4170" s="44"/>
      <c r="C4170" s="44"/>
      <c r="D4170" s="44"/>
      <c r="E4170" s="44"/>
      <c r="F4170" s="44"/>
      <c r="G4170" s="44"/>
      <c r="H4170" s="46" t="str">
        <f aca="false">IF($A4170="","",IF(OR(NOT(ISNUMBER(E4170)),NOT(ISNUMBER(F4170))),"",MAX(0,E4170)*F4170))</f>
        <v/>
      </c>
      <c r="I4170" s="46" t="str">
        <f aca="false">IF($A4170="","",SUMIF($A$2:$A$5001,$A4170,$H$2:$H$5001))</f>
        <v/>
      </c>
      <c r="J4170" s="47" t="n">
        <f aca="false">IF($A4170="",0,IF(COUNTIF($A$2:A4170,$A4170)=1,1,0))</f>
        <v>0</v>
      </c>
      <c r="K4170" s="47" t="n">
        <f aca="false">IF(J4170=1,N(I4170)+ROW()/10000000,0)</f>
        <v>0</v>
      </c>
      <c r="L4170" s="47" t="str">
        <f aca="false">IF(AND(J4170=1,N(I4170)&gt;0),SUMIF($K$2:$K$5001,"&gt;="&amp;K4170,$I$2:$I$5001)/MAX(1,SUM($H$2:$H$5001)),"")</f>
        <v/>
      </c>
      <c r="M4170" s="47" t="str">
        <f aca="false">IF($A4170="","",INDEX($L$2:$L$5001,MATCH($A4170,$A$2:$A$5001,0)))</f>
        <v/>
      </c>
      <c r="N4170" s="48" t="str">
        <f aca="false">IF($A4170="","",IF(N(M4170)=0,"–",IF(M4170&lt;=Start!$D$20,"A",IF(M4170&lt;=Start!$D$21,"B","C"))))</f>
        <v/>
      </c>
      <c r="O4170" s="48" t="str">
        <f aca="false">IF($A4170="","",IF(NOT(ISNUMBER(F4170)),"Wert fehlt; ",IF(F4170&lt;=0,"Wert ist 0; ",""))&amp;IF(NOT(ISNUMBER(E4170)),"Bestand fehlt; ",IF(E4170&lt;0,"Bestand negativ; ",IF(E4170=0,"Nullbestand; ","")))&amp;IF(D4170="","Warengruppe fehlt; ","")&amp;IF(B4170="","Bezeichnung fehlt; ","")&amp;IF(COUNTIFS($A$2:$A$5001,$A4170,$C$2:$C$5001,C4170)&gt;1,"Artikel doppelt im selben Lager; ",""))</f>
        <v/>
      </c>
      <c r="P4170" s="47" t="n">
        <f aca="false">IF(OR($A4170="",D4170=""),0,IF(COUNTIF($D$2:D4170,D4170)=1,SUMIF($D$2:$D$5001,D4170,$H$2:$H$5001)+ROW()/10000000,0))</f>
        <v>0</v>
      </c>
      <c r="Q4170" s="47" t="n">
        <f aca="false">IF(OR($A4170="",C4170=""),0,IF(COUNTIF($C$2:C4170,C4170)=1,SUMIF($C$2:$C$5001,C4170,$H$2:$H$5001)+ROW()/10000000,0))</f>
        <v>0</v>
      </c>
    </row>
    <row r="4171" customFormat="false" ht="15" hidden="false" customHeight="false" outlineLevel="0" collapsed="false">
      <c r="A4171" s="43"/>
      <c r="B4171" s="44"/>
      <c r="C4171" s="44"/>
      <c r="D4171" s="44"/>
      <c r="E4171" s="44"/>
      <c r="F4171" s="44"/>
      <c r="G4171" s="44"/>
      <c r="H4171" s="46" t="str">
        <f aca="false">IF($A4171="","",IF(OR(NOT(ISNUMBER(E4171)),NOT(ISNUMBER(F4171))),"",MAX(0,E4171)*F4171))</f>
        <v/>
      </c>
      <c r="I4171" s="46" t="str">
        <f aca="false">IF($A4171="","",SUMIF($A$2:$A$5001,$A4171,$H$2:$H$5001))</f>
        <v/>
      </c>
      <c r="J4171" s="47" t="n">
        <f aca="false">IF($A4171="",0,IF(COUNTIF($A$2:A4171,$A4171)=1,1,0))</f>
        <v>0</v>
      </c>
      <c r="K4171" s="47" t="n">
        <f aca="false">IF(J4171=1,N(I4171)+ROW()/10000000,0)</f>
        <v>0</v>
      </c>
      <c r="L4171" s="47" t="str">
        <f aca="false">IF(AND(J4171=1,N(I4171)&gt;0),SUMIF($K$2:$K$5001,"&gt;="&amp;K4171,$I$2:$I$5001)/MAX(1,SUM($H$2:$H$5001)),"")</f>
        <v/>
      </c>
      <c r="M4171" s="47" t="str">
        <f aca="false">IF($A4171="","",INDEX($L$2:$L$5001,MATCH($A4171,$A$2:$A$5001,0)))</f>
        <v/>
      </c>
      <c r="N4171" s="48" t="str">
        <f aca="false">IF($A4171="","",IF(N(M4171)=0,"–",IF(M4171&lt;=Start!$D$20,"A",IF(M4171&lt;=Start!$D$21,"B","C"))))</f>
        <v/>
      </c>
      <c r="O4171" s="48" t="str">
        <f aca="false">IF($A4171="","",IF(NOT(ISNUMBER(F4171)),"Wert fehlt; ",IF(F4171&lt;=0,"Wert ist 0; ",""))&amp;IF(NOT(ISNUMBER(E4171)),"Bestand fehlt; ",IF(E4171&lt;0,"Bestand negativ; ",IF(E4171=0,"Nullbestand; ","")))&amp;IF(D4171="","Warengruppe fehlt; ","")&amp;IF(B4171="","Bezeichnung fehlt; ","")&amp;IF(COUNTIFS($A$2:$A$5001,$A4171,$C$2:$C$5001,C4171)&gt;1,"Artikel doppelt im selben Lager; ",""))</f>
        <v/>
      </c>
      <c r="P4171" s="47" t="n">
        <f aca="false">IF(OR($A4171="",D4171=""),0,IF(COUNTIF($D$2:D4171,D4171)=1,SUMIF($D$2:$D$5001,D4171,$H$2:$H$5001)+ROW()/10000000,0))</f>
        <v>0</v>
      </c>
      <c r="Q4171" s="47" t="n">
        <f aca="false">IF(OR($A4171="",C4171=""),0,IF(COUNTIF($C$2:C4171,C4171)=1,SUMIF($C$2:$C$5001,C4171,$H$2:$H$5001)+ROW()/10000000,0))</f>
        <v>0</v>
      </c>
    </row>
    <row r="4172" customFormat="false" ht="15" hidden="false" customHeight="false" outlineLevel="0" collapsed="false">
      <c r="A4172" s="43"/>
      <c r="B4172" s="44"/>
      <c r="C4172" s="44"/>
      <c r="D4172" s="44"/>
      <c r="E4172" s="44"/>
      <c r="F4172" s="44"/>
      <c r="G4172" s="44"/>
      <c r="H4172" s="46" t="str">
        <f aca="false">IF($A4172="","",IF(OR(NOT(ISNUMBER(E4172)),NOT(ISNUMBER(F4172))),"",MAX(0,E4172)*F4172))</f>
        <v/>
      </c>
      <c r="I4172" s="46" t="str">
        <f aca="false">IF($A4172="","",SUMIF($A$2:$A$5001,$A4172,$H$2:$H$5001))</f>
        <v/>
      </c>
      <c r="J4172" s="47" t="n">
        <f aca="false">IF($A4172="",0,IF(COUNTIF($A$2:A4172,$A4172)=1,1,0))</f>
        <v>0</v>
      </c>
      <c r="K4172" s="47" t="n">
        <f aca="false">IF(J4172=1,N(I4172)+ROW()/10000000,0)</f>
        <v>0</v>
      </c>
      <c r="L4172" s="47" t="str">
        <f aca="false">IF(AND(J4172=1,N(I4172)&gt;0),SUMIF($K$2:$K$5001,"&gt;="&amp;K4172,$I$2:$I$5001)/MAX(1,SUM($H$2:$H$5001)),"")</f>
        <v/>
      </c>
      <c r="M4172" s="47" t="str">
        <f aca="false">IF($A4172="","",INDEX($L$2:$L$5001,MATCH($A4172,$A$2:$A$5001,0)))</f>
        <v/>
      </c>
      <c r="N4172" s="48" t="str">
        <f aca="false">IF($A4172="","",IF(N(M4172)=0,"–",IF(M4172&lt;=Start!$D$20,"A",IF(M4172&lt;=Start!$D$21,"B","C"))))</f>
        <v/>
      </c>
      <c r="O4172" s="48" t="str">
        <f aca="false">IF($A4172="","",IF(NOT(ISNUMBER(F4172)),"Wert fehlt; ",IF(F4172&lt;=0,"Wert ist 0; ",""))&amp;IF(NOT(ISNUMBER(E4172)),"Bestand fehlt; ",IF(E4172&lt;0,"Bestand negativ; ",IF(E4172=0,"Nullbestand; ","")))&amp;IF(D4172="","Warengruppe fehlt; ","")&amp;IF(B4172="","Bezeichnung fehlt; ","")&amp;IF(COUNTIFS($A$2:$A$5001,$A4172,$C$2:$C$5001,C4172)&gt;1,"Artikel doppelt im selben Lager; ",""))</f>
        <v/>
      </c>
      <c r="P4172" s="47" t="n">
        <f aca="false">IF(OR($A4172="",D4172=""),0,IF(COUNTIF($D$2:D4172,D4172)=1,SUMIF($D$2:$D$5001,D4172,$H$2:$H$5001)+ROW()/10000000,0))</f>
        <v>0</v>
      </c>
      <c r="Q4172" s="47" t="n">
        <f aca="false">IF(OR($A4172="",C4172=""),0,IF(COUNTIF($C$2:C4172,C4172)=1,SUMIF($C$2:$C$5001,C4172,$H$2:$H$5001)+ROW()/10000000,0))</f>
        <v>0</v>
      </c>
    </row>
    <row r="4173" customFormat="false" ht="15" hidden="false" customHeight="false" outlineLevel="0" collapsed="false">
      <c r="A4173" s="43"/>
      <c r="B4173" s="44"/>
      <c r="C4173" s="44"/>
      <c r="D4173" s="44"/>
      <c r="E4173" s="44"/>
      <c r="F4173" s="44"/>
      <c r="G4173" s="44"/>
      <c r="H4173" s="46" t="str">
        <f aca="false">IF($A4173="","",IF(OR(NOT(ISNUMBER(E4173)),NOT(ISNUMBER(F4173))),"",MAX(0,E4173)*F4173))</f>
        <v/>
      </c>
      <c r="I4173" s="46" t="str">
        <f aca="false">IF($A4173="","",SUMIF($A$2:$A$5001,$A4173,$H$2:$H$5001))</f>
        <v/>
      </c>
      <c r="J4173" s="47" t="n">
        <f aca="false">IF($A4173="",0,IF(COUNTIF($A$2:A4173,$A4173)=1,1,0))</f>
        <v>0</v>
      </c>
      <c r="K4173" s="47" t="n">
        <f aca="false">IF(J4173=1,N(I4173)+ROW()/10000000,0)</f>
        <v>0</v>
      </c>
      <c r="L4173" s="47" t="str">
        <f aca="false">IF(AND(J4173=1,N(I4173)&gt;0),SUMIF($K$2:$K$5001,"&gt;="&amp;K4173,$I$2:$I$5001)/MAX(1,SUM($H$2:$H$5001)),"")</f>
        <v/>
      </c>
      <c r="M4173" s="47" t="str">
        <f aca="false">IF($A4173="","",INDEX($L$2:$L$5001,MATCH($A4173,$A$2:$A$5001,0)))</f>
        <v/>
      </c>
      <c r="N4173" s="48" t="str">
        <f aca="false">IF($A4173="","",IF(N(M4173)=0,"–",IF(M4173&lt;=Start!$D$20,"A",IF(M4173&lt;=Start!$D$21,"B","C"))))</f>
        <v/>
      </c>
      <c r="O4173" s="48" t="str">
        <f aca="false">IF($A4173="","",IF(NOT(ISNUMBER(F4173)),"Wert fehlt; ",IF(F4173&lt;=0,"Wert ist 0; ",""))&amp;IF(NOT(ISNUMBER(E4173)),"Bestand fehlt; ",IF(E4173&lt;0,"Bestand negativ; ",IF(E4173=0,"Nullbestand; ","")))&amp;IF(D4173="","Warengruppe fehlt; ","")&amp;IF(B4173="","Bezeichnung fehlt; ","")&amp;IF(COUNTIFS($A$2:$A$5001,$A4173,$C$2:$C$5001,C4173)&gt;1,"Artikel doppelt im selben Lager; ",""))</f>
        <v/>
      </c>
      <c r="P4173" s="47" t="n">
        <f aca="false">IF(OR($A4173="",D4173=""),0,IF(COUNTIF($D$2:D4173,D4173)=1,SUMIF($D$2:$D$5001,D4173,$H$2:$H$5001)+ROW()/10000000,0))</f>
        <v>0</v>
      </c>
      <c r="Q4173" s="47" t="n">
        <f aca="false">IF(OR($A4173="",C4173=""),0,IF(COUNTIF($C$2:C4173,C4173)=1,SUMIF($C$2:$C$5001,C4173,$H$2:$H$5001)+ROW()/10000000,0))</f>
        <v>0</v>
      </c>
    </row>
    <row r="4174" customFormat="false" ht="15" hidden="false" customHeight="false" outlineLevel="0" collapsed="false">
      <c r="A4174" s="43"/>
      <c r="B4174" s="44"/>
      <c r="C4174" s="44"/>
      <c r="D4174" s="44"/>
      <c r="E4174" s="44"/>
      <c r="F4174" s="44"/>
      <c r="G4174" s="44"/>
      <c r="H4174" s="46" t="str">
        <f aca="false">IF($A4174="","",IF(OR(NOT(ISNUMBER(E4174)),NOT(ISNUMBER(F4174))),"",MAX(0,E4174)*F4174))</f>
        <v/>
      </c>
      <c r="I4174" s="46" t="str">
        <f aca="false">IF($A4174="","",SUMIF($A$2:$A$5001,$A4174,$H$2:$H$5001))</f>
        <v/>
      </c>
      <c r="J4174" s="47" t="n">
        <f aca="false">IF($A4174="",0,IF(COUNTIF($A$2:A4174,$A4174)=1,1,0))</f>
        <v>0</v>
      </c>
      <c r="K4174" s="47" t="n">
        <f aca="false">IF(J4174=1,N(I4174)+ROW()/10000000,0)</f>
        <v>0</v>
      </c>
      <c r="L4174" s="47" t="str">
        <f aca="false">IF(AND(J4174=1,N(I4174)&gt;0),SUMIF($K$2:$K$5001,"&gt;="&amp;K4174,$I$2:$I$5001)/MAX(1,SUM($H$2:$H$5001)),"")</f>
        <v/>
      </c>
      <c r="M4174" s="47" t="str">
        <f aca="false">IF($A4174="","",INDEX($L$2:$L$5001,MATCH($A4174,$A$2:$A$5001,0)))</f>
        <v/>
      </c>
      <c r="N4174" s="48" t="str">
        <f aca="false">IF($A4174="","",IF(N(M4174)=0,"–",IF(M4174&lt;=Start!$D$20,"A",IF(M4174&lt;=Start!$D$21,"B","C"))))</f>
        <v/>
      </c>
      <c r="O4174" s="48" t="str">
        <f aca="false">IF($A4174="","",IF(NOT(ISNUMBER(F4174)),"Wert fehlt; ",IF(F4174&lt;=0,"Wert ist 0; ",""))&amp;IF(NOT(ISNUMBER(E4174)),"Bestand fehlt; ",IF(E4174&lt;0,"Bestand negativ; ",IF(E4174=0,"Nullbestand; ","")))&amp;IF(D4174="","Warengruppe fehlt; ","")&amp;IF(B4174="","Bezeichnung fehlt; ","")&amp;IF(COUNTIFS($A$2:$A$5001,$A4174,$C$2:$C$5001,C4174)&gt;1,"Artikel doppelt im selben Lager; ",""))</f>
        <v/>
      </c>
      <c r="P4174" s="47" t="n">
        <f aca="false">IF(OR($A4174="",D4174=""),0,IF(COUNTIF($D$2:D4174,D4174)=1,SUMIF($D$2:$D$5001,D4174,$H$2:$H$5001)+ROW()/10000000,0))</f>
        <v>0</v>
      </c>
      <c r="Q4174" s="47" t="n">
        <f aca="false">IF(OR($A4174="",C4174=""),0,IF(COUNTIF($C$2:C4174,C4174)=1,SUMIF($C$2:$C$5001,C4174,$H$2:$H$5001)+ROW()/10000000,0))</f>
        <v>0</v>
      </c>
    </row>
    <row r="4175" customFormat="false" ht="15" hidden="false" customHeight="false" outlineLevel="0" collapsed="false">
      <c r="A4175" s="43"/>
      <c r="B4175" s="44"/>
      <c r="C4175" s="44"/>
      <c r="D4175" s="44"/>
      <c r="E4175" s="44"/>
      <c r="F4175" s="44"/>
      <c r="G4175" s="44"/>
      <c r="H4175" s="46" t="str">
        <f aca="false">IF($A4175="","",IF(OR(NOT(ISNUMBER(E4175)),NOT(ISNUMBER(F4175))),"",MAX(0,E4175)*F4175))</f>
        <v/>
      </c>
      <c r="I4175" s="46" t="str">
        <f aca="false">IF($A4175="","",SUMIF($A$2:$A$5001,$A4175,$H$2:$H$5001))</f>
        <v/>
      </c>
      <c r="J4175" s="47" t="n">
        <f aca="false">IF($A4175="",0,IF(COUNTIF($A$2:A4175,$A4175)=1,1,0))</f>
        <v>0</v>
      </c>
      <c r="K4175" s="47" t="n">
        <f aca="false">IF(J4175=1,N(I4175)+ROW()/10000000,0)</f>
        <v>0</v>
      </c>
      <c r="L4175" s="47" t="str">
        <f aca="false">IF(AND(J4175=1,N(I4175)&gt;0),SUMIF($K$2:$K$5001,"&gt;="&amp;K4175,$I$2:$I$5001)/MAX(1,SUM($H$2:$H$5001)),"")</f>
        <v/>
      </c>
      <c r="M4175" s="47" t="str">
        <f aca="false">IF($A4175="","",INDEX($L$2:$L$5001,MATCH($A4175,$A$2:$A$5001,0)))</f>
        <v/>
      </c>
      <c r="N4175" s="48" t="str">
        <f aca="false">IF($A4175="","",IF(N(M4175)=0,"–",IF(M4175&lt;=Start!$D$20,"A",IF(M4175&lt;=Start!$D$21,"B","C"))))</f>
        <v/>
      </c>
      <c r="O4175" s="48" t="str">
        <f aca="false">IF($A4175="","",IF(NOT(ISNUMBER(F4175)),"Wert fehlt; ",IF(F4175&lt;=0,"Wert ist 0; ",""))&amp;IF(NOT(ISNUMBER(E4175)),"Bestand fehlt; ",IF(E4175&lt;0,"Bestand negativ; ",IF(E4175=0,"Nullbestand; ","")))&amp;IF(D4175="","Warengruppe fehlt; ","")&amp;IF(B4175="","Bezeichnung fehlt; ","")&amp;IF(COUNTIFS($A$2:$A$5001,$A4175,$C$2:$C$5001,C4175)&gt;1,"Artikel doppelt im selben Lager; ",""))</f>
        <v/>
      </c>
      <c r="P4175" s="47" t="n">
        <f aca="false">IF(OR($A4175="",D4175=""),0,IF(COUNTIF($D$2:D4175,D4175)=1,SUMIF($D$2:$D$5001,D4175,$H$2:$H$5001)+ROW()/10000000,0))</f>
        <v>0</v>
      </c>
      <c r="Q4175" s="47" t="n">
        <f aca="false">IF(OR($A4175="",C4175=""),0,IF(COUNTIF($C$2:C4175,C4175)=1,SUMIF($C$2:$C$5001,C4175,$H$2:$H$5001)+ROW()/10000000,0))</f>
        <v>0</v>
      </c>
    </row>
    <row r="4176" customFormat="false" ht="15" hidden="false" customHeight="false" outlineLevel="0" collapsed="false">
      <c r="A4176" s="43"/>
      <c r="B4176" s="44"/>
      <c r="C4176" s="44"/>
      <c r="D4176" s="44"/>
      <c r="E4176" s="44"/>
      <c r="F4176" s="44"/>
      <c r="G4176" s="44"/>
      <c r="H4176" s="46" t="str">
        <f aca="false">IF($A4176="","",IF(OR(NOT(ISNUMBER(E4176)),NOT(ISNUMBER(F4176))),"",MAX(0,E4176)*F4176))</f>
        <v/>
      </c>
      <c r="I4176" s="46" t="str">
        <f aca="false">IF($A4176="","",SUMIF($A$2:$A$5001,$A4176,$H$2:$H$5001))</f>
        <v/>
      </c>
      <c r="J4176" s="47" t="n">
        <f aca="false">IF($A4176="",0,IF(COUNTIF($A$2:A4176,$A4176)=1,1,0))</f>
        <v>0</v>
      </c>
      <c r="K4176" s="47" t="n">
        <f aca="false">IF(J4176=1,N(I4176)+ROW()/10000000,0)</f>
        <v>0</v>
      </c>
      <c r="L4176" s="47" t="str">
        <f aca="false">IF(AND(J4176=1,N(I4176)&gt;0),SUMIF($K$2:$K$5001,"&gt;="&amp;K4176,$I$2:$I$5001)/MAX(1,SUM($H$2:$H$5001)),"")</f>
        <v/>
      </c>
      <c r="M4176" s="47" t="str">
        <f aca="false">IF($A4176="","",INDEX($L$2:$L$5001,MATCH($A4176,$A$2:$A$5001,0)))</f>
        <v/>
      </c>
      <c r="N4176" s="48" t="str">
        <f aca="false">IF($A4176="","",IF(N(M4176)=0,"–",IF(M4176&lt;=Start!$D$20,"A",IF(M4176&lt;=Start!$D$21,"B","C"))))</f>
        <v/>
      </c>
      <c r="O4176" s="48" t="str">
        <f aca="false">IF($A4176="","",IF(NOT(ISNUMBER(F4176)),"Wert fehlt; ",IF(F4176&lt;=0,"Wert ist 0; ",""))&amp;IF(NOT(ISNUMBER(E4176)),"Bestand fehlt; ",IF(E4176&lt;0,"Bestand negativ; ",IF(E4176=0,"Nullbestand; ","")))&amp;IF(D4176="","Warengruppe fehlt; ","")&amp;IF(B4176="","Bezeichnung fehlt; ","")&amp;IF(COUNTIFS($A$2:$A$5001,$A4176,$C$2:$C$5001,C4176)&gt;1,"Artikel doppelt im selben Lager; ",""))</f>
        <v/>
      </c>
      <c r="P4176" s="47" t="n">
        <f aca="false">IF(OR($A4176="",D4176=""),0,IF(COUNTIF($D$2:D4176,D4176)=1,SUMIF($D$2:$D$5001,D4176,$H$2:$H$5001)+ROW()/10000000,0))</f>
        <v>0</v>
      </c>
      <c r="Q4176" s="47" t="n">
        <f aca="false">IF(OR($A4176="",C4176=""),0,IF(COUNTIF($C$2:C4176,C4176)=1,SUMIF($C$2:$C$5001,C4176,$H$2:$H$5001)+ROW()/10000000,0))</f>
        <v>0</v>
      </c>
    </row>
    <row r="4177" customFormat="false" ht="15" hidden="false" customHeight="false" outlineLevel="0" collapsed="false">
      <c r="A4177" s="43"/>
      <c r="B4177" s="44"/>
      <c r="C4177" s="44"/>
      <c r="D4177" s="44"/>
      <c r="E4177" s="44"/>
      <c r="F4177" s="44"/>
      <c r="G4177" s="44"/>
      <c r="H4177" s="46" t="str">
        <f aca="false">IF($A4177="","",IF(OR(NOT(ISNUMBER(E4177)),NOT(ISNUMBER(F4177))),"",MAX(0,E4177)*F4177))</f>
        <v/>
      </c>
      <c r="I4177" s="46" t="str">
        <f aca="false">IF($A4177="","",SUMIF($A$2:$A$5001,$A4177,$H$2:$H$5001))</f>
        <v/>
      </c>
      <c r="J4177" s="47" t="n">
        <f aca="false">IF($A4177="",0,IF(COUNTIF($A$2:A4177,$A4177)=1,1,0))</f>
        <v>0</v>
      </c>
      <c r="K4177" s="47" t="n">
        <f aca="false">IF(J4177=1,N(I4177)+ROW()/10000000,0)</f>
        <v>0</v>
      </c>
      <c r="L4177" s="47" t="str">
        <f aca="false">IF(AND(J4177=1,N(I4177)&gt;0),SUMIF($K$2:$K$5001,"&gt;="&amp;K4177,$I$2:$I$5001)/MAX(1,SUM($H$2:$H$5001)),"")</f>
        <v/>
      </c>
      <c r="M4177" s="47" t="str">
        <f aca="false">IF($A4177="","",INDEX($L$2:$L$5001,MATCH($A4177,$A$2:$A$5001,0)))</f>
        <v/>
      </c>
      <c r="N4177" s="48" t="str">
        <f aca="false">IF($A4177="","",IF(N(M4177)=0,"–",IF(M4177&lt;=Start!$D$20,"A",IF(M4177&lt;=Start!$D$21,"B","C"))))</f>
        <v/>
      </c>
      <c r="O4177" s="48" t="str">
        <f aca="false">IF($A4177="","",IF(NOT(ISNUMBER(F4177)),"Wert fehlt; ",IF(F4177&lt;=0,"Wert ist 0; ",""))&amp;IF(NOT(ISNUMBER(E4177)),"Bestand fehlt; ",IF(E4177&lt;0,"Bestand negativ; ",IF(E4177=0,"Nullbestand; ","")))&amp;IF(D4177="","Warengruppe fehlt; ","")&amp;IF(B4177="","Bezeichnung fehlt; ","")&amp;IF(COUNTIFS($A$2:$A$5001,$A4177,$C$2:$C$5001,C4177)&gt;1,"Artikel doppelt im selben Lager; ",""))</f>
        <v/>
      </c>
      <c r="P4177" s="47" t="n">
        <f aca="false">IF(OR($A4177="",D4177=""),0,IF(COUNTIF($D$2:D4177,D4177)=1,SUMIF($D$2:$D$5001,D4177,$H$2:$H$5001)+ROW()/10000000,0))</f>
        <v>0</v>
      </c>
      <c r="Q4177" s="47" t="n">
        <f aca="false">IF(OR($A4177="",C4177=""),0,IF(COUNTIF($C$2:C4177,C4177)=1,SUMIF($C$2:$C$5001,C4177,$H$2:$H$5001)+ROW()/10000000,0))</f>
        <v>0</v>
      </c>
    </row>
    <row r="4178" customFormat="false" ht="15" hidden="false" customHeight="false" outlineLevel="0" collapsed="false">
      <c r="A4178" s="43"/>
      <c r="B4178" s="44"/>
      <c r="C4178" s="44"/>
      <c r="D4178" s="44"/>
      <c r="E4178" s="44"/>
      <c r="F4178" s="44"/>
      <c r="G4178" s="44"/>
      <c r="H4178" s="46" t="str">
        <f aca="false">IF($A4178="","",IF(OR(NOT(ISNUMBER(E4178)),NOT(ISNUMBER(F4178))),"",MAX(0,E4178)*F4178))</f>
        <v/>
      </c>
      <c r="I4178" s="46" t="str">
        <f aca="false">IF($A4178="","",SUMIF($A$2:$A$5001,$A4178,$H$2:$H$5001))</f>
        <v/>
      </c>
      <c r="J4178" s="47" t="n">
        <f aca="false">IF($A4178="",0,IF(COUNTIF($A$2:A4178,$A4178)=1,1,0))</f>
        <v>0</v>
      </c>
      <c r="K4178" s="47" t="n">
        <f aca="false">IF(J4178=1,N(I4178)+ROW()/10000000,0)</f>
        <v>0</v>
      </c>
      <c r="L4178" s="47" t="str">
        <f aca="false">IF(AND(J4178=1,N(I4178)&gt;0),SUMIF($K$2:$K$5001,"&gt;="&amp;K4178,$I$2:$I$5001)/MAX(1,SUM($H$2:$H$5001)),"")</f>
        <v/>
      </c>
      <c r="M4178" s="47" t="str">
        <f aca="false">IF($A4178="","",INDEX($L$2:$L$5001,MATCH($A4178,$A$2:$A$5001,0)))</f>
        <v/>
      </c>
      <c r="N4178" s="48" t="str">
        <f aca="false">IF($A4178="","",IF(N(M4178)=0,"–",IF(M4178&lt;=Start!$D$20,"A",IF(M4178&lt;=Start!$D$21,"B","C"))))</f>
        <v/>
      </c>
      <c r="O4178" s="48" t="str">
        <f aca="false">IF($A4178="","",IF(NOT(ISNUMBER(F4178)),"Wert fehlt; ",IF(F4178&lt;=0,"Wert ist 0; ",""))&amp;IF(NOT(ISNUMBER(E4178)),"Bestand fehlt; ",IF(E4178&lt;0,"Bestand negativ; ",IF(E4178=0,"Nullbestand; ","")))&amp;IF(D4178="","Warengruppe fehlt; ","")&amp;IF(B4178="","Bezeichnung fehlt; ","")&amp;IF(COUNTIFS($A$2:$A$5001,$A4178,$C$2:$C$5001,C4178)&gt;1,"Artikel doppelt im selben Lager; ",""))</f>
        <v/>
      </c>
      <c r="P4178" s="47" t="n">
        <f aca="false">IF(OR($A4178="",D4178=""),0,IF(COUNTIF($D$2:D4178,D4178)=1,SUMIF($D$2:$D$5001,D4178,$H$2:$H$5001)+ROW()/10000000,0))</f>
        <v>0</v>
      </c>
      <c r="Q4178" s="47" t="n">
        <f aca="false">IF(OR($A4178="",C4178=""),0,IF(COUNTIF($C$2:C4178,C4178)=1,SUMIF($C$2:$C$5001,C4178,$H$2:$H$5001)+ROW()/10000000,0))</f>
        <v>0</v>
      </c>
    </row>
    <row r="4179" customFormat="false" ht="15" hidden="false" customHeight="false" outlineLevel="0" collapsed="false">
      <c r="A4179" s="43"/>
      <c r="B4179" s="44"/>
      <c r="C4179" s="44"/>
      <c r="D4179" s="44"/>
      <c r="E4179" s="44"/>
      <c r="F4179" s="44"/>
      <c r="G4179" s="44"/>
      <c r="H4179" s="46" t="str">
        <f aca="false">IF($A4179="","",IF(OR(NOT(ISNUMBER(E4179)),NOT(ISNUMBER(F4179))),"",MAX(0,E4179)*F4179))</f>
        <v/>
      </c>
      <c r="I4179" s="46" t="str">
        <f aca="false">IF($A4179="","",SUMIF($A$2:$A$5001,$A4179,$H$2:$H$5001))</f>
        <v/>
      </c>
      <c r="J4179" s="47" t="n">
        <f aca="false">IF($A4179="",0,IF(COUNTIF($A$2:A4179,$A4179)=1,1,0))</f>
        <v>0</v>
      </c>
      <c r="K4179" s="47" t="n">
        <f aca="false">IF(J4179=1,N(I4179)+ROW()/10000000,0)</f>
        <v>0</v>
      </c>
      <c r="L4179" s="47" t="str">
        <f aca="false">IF(AND(J4179=1,N(I4179)&gt;0),SUMIF($K$2:$K$5001,"&gt;="&amp;K4179,$I$2:$I$5001)/MAX(1,SUM($H$2:$H$5001)),"")</f>
        <v/>
      </c>
      <c r="M4179" s="47" t="str">
        <f aca="false">IF($A4179="","",INDEX($L$2:$L$5001,MATCH($A4179,$A$2:$A$5001,0)))</f>
        <v/>
      </c>
      <c r="N4179" s="48" t="str">
        <f aca="false">IF($A4179="","",IF(N(M4179)=0,"–",IF(M4179&lt;=Start!$D$20,"A",IF(M4179&lt;=Start!$D$21,"B","C"))))</f>
        <v/>
      </c>
      <c r="O4179" s="48" t="str">
        <f aca="false">IF($A4179="","",IF(NOT(ISNUMBER(F4179)),"Wert fehlt; ",IF(F4179&lt;=0,"Wert ist 0; ",""))&amp;IF(NOT(ISNUMBER(E4179)),"Bestand fehlt; ",IF(E4179&lt;0,"Bestand negativ; ",IF(E4179=0,"Nullbestand; ","")))&amp;IF(D4179="","Warengruppe fehlt; ","")&amp;IF(B4179="","Bezeichnung fehlt; ","")&amp;IF(COUNTIFS($A$2:$A$5001,$A4179,$C$2:$C$5001,C4179)&gt;1,"Artikel doppelt im selben Lager; ",""))</f>
        <v/>
      </c>
      <c r="P4179" s="47" t="n">
        <f aca="false">IF(OR($A4179="",D4179=""),0,IF(COUNTIF($D$2:D4179,D4179)=1,SUMIF($D$2:$D$5001,D4179,$H$2:$H$5001)+ROW()/10000000,0))</f>
        <v>0</v>
      </c>
      <c r="Q4179" s="47" t="n">
        <f aca="false">IF(OR($A4179="",C4179=""),0,IF(COUNTIF($C$2:C4179,C4179)=1,SUMIF($C$2:$C$5001,C4179,$H$2:$H$5001)+ROW()/10000000,0))</f>
        <v>0</v>
      </c>
    </row>
    <row r="4180" customFormat="false" ht="15" hidden="false" customHeight="false" outlineLevel="0" collapsed="false">
      <c r="A4180" s="43"/>
      <c r="B4180" s="44"/>
      <c r="C4180" s="44"/>
      <c r="D4180" s="44"/>
      <c r="E4180" s="44"/>
      <c r="F4180" s="44"/>
      <c r="G4180" s="44"/>
      <c r="H4180" s="46" t="str">
        <f aca="false">IF($A4180="","",IF(OR(NOT(ISNUMBER(E4180)),NOT(ISNUMBER(F4180))),"",MAX(0,E4180)*F4180))</f>
        <v/>
      </c>
      <c r="I4180" s="46" t="str">
        <f aca="false">IF($A4180="","",SUMIF($A$2:$A$5001,$A4180,$H$2:$H$5001))</f>
        <v/>
      </c>
      <c r="J4180" s="47" t="n">
        <f aca="false">IF($A4180="",0,IF(COUNTIF($A$2:A4180,$A4180)=1,1,0))</f>
        <v>0</v>
      </c>
      <c r="K4180" s="47" t="n">
        <f aca="false">IF(J4180=1,N(I4180)+ROW()/10000000,0)</f>
        <v>0</v>
      </c>
      <c r="L4180" s="47" t="str">
        <f aca="false">IF(AND(J4180=1,N(I4180)&gt;0),SUMIF($K$2:$K$5001,"&gt;="&amp;K4180,$I$2:$I$5001)/MAX(1,SUM($H$2:$H$5001)),"")</f>
        <v/>
      </c>
      <c r="M4180" s="47" t="str">
        <f aca="false">IF($A4180="","",INDEX($L$2:$L$5001,MATCH($A4180,$A$2:$A$5001,0)))</f>
        <v/>
      </c>
      <c r="N4180" s="48" t="str">
        <f aca="false">IF($A4180="","",IF(N(M4180)=0,"–",IF(M4180&lt;=Start!$D$20,"A",IF(M4180&lt;=Start!$D$21,"B","C"))))</f>
        <v/>
      </c>
      <c r="O4180" s="48" t="str">
        <f aca="false">IF($A4180="","",IF(NOT(ISNUMBER(F4180)),"Wert fehlt; ",IF(F4180&lt;=0,"Wert ist 0; ",""))&amp;IF(NOT(ISNUMBER(E4180)),"Bestand fehlt; ",IF(E4180&lt;0,"Bestand negativ; ",IF(E4180=0,"Nullbestand; ","")))&amp;IF(D4180="","Warengruppe fehlt; ","")&amp;IF(B4180="","Bezeichnung fehlt; ","")&amp;IF(COUNTIFS($A$2:$A$5001,$A4180,$C$2:$C$5001,C4180)&gt;1,"Artikel doppelt im selben Lager; ",""))</f>
        <v/>
      </c>
      <c r="P4180" s="47" t="n">
        <f aca="false">IF(OR($A4180="",D4180=""),0,IF(COUNTIF($D$2:D4180,D4180)=1,SUMIF($D$2:$D$5001,D4180,$H$2:$H$5001)+ROW()/10000000,0))</f>
        <v>0</v>
      </c>
      <c r="Q4180" s="47" t="n">
        <f aca="false">IF(OR($A4180="",C4180=""),0,IF(COUNTIF($C$2:C4180,C4180)=1,SUMIF($C$2:$C$5001,C4180,$H$2:$H$5001)+ROW()/10000000,0))</f>
        <v>0</v>
      </c>
    </row>
    <row r="4181" customFormat="false" ht="15" hidden="false" customHeight="false" outlineLevel="0" collapsed="false">
      <c r="A4181" s="43"/>
      <c r="B4181" s="44"/>
      <c r="C4181" s="44"/>
      <c r="D4181" s="44"/>
      <c r="E4181" s="44"/>
      <c r="F4181" s="44"/>
      <c r="G4181" s="44"/>
      <c r="H4181" s="46" t="str">
        <f aca="false">IF($A4181="","",IF(OR(NOT(ISNUMBER(E4181)),NOT(ISNUMBER(F4181))),"",MAX(0,E4181)*F4181))</f>
        <v/>
      </c>
      <c r="I4181" s="46" t="str">
        <f aca="false">IF($A4181="","",SUMIF($A$2:$A$5001,$A4181,$H$2:$H$5001))</f>
        <v/>
      </c>
      <c r="J4181" s="47" t="n">
        <f aca="false">IF($A4181="",0,IF(COUNTIF($A$2:A4181,$A4181)=1,1,0))</f>
        <v>0</v>
      </c>
      <c r="K4181" s="47" t="n">
        <f aca="false">IF(J4181=1,N(I4181)+ROW()/10000000,0)</f>
        <v>0</v>
      </c>
      <c r="L4181" s="47" t="str">
        <f aca="false">IF(AND(J4181=1,N(I4181)&gt;0),SUMIF($K$2:$K$5001,"&gt;="&amp;K4181,$I$2:$I$5001)/MAX(1,SUM($H$2:$H$5001)),"")</f>
        <v/>
      </c>
      <c r="M4181" s="47" t="str">
        <f aca="false">IF($A4181="","",INDEX($L$2:$L$5001,MATCH($A4181,$A$2:$A$5001,0)))</f>
        <v/>
      </c>
      <c r="N4181" s="48" t="str">
        <f aca="false">IF($A4181="","",IF(N(M4181)=0,"–",IF(M4181&lt;=Start!$D$20,"A",IF(M4181&lt;=Start!$D$21,"B","C"))))</f>
        <v/>
      </c>
      <c r="O4181" s="48" t="str">
        <f aca="false">IF($A4181="","",IF(NOT(ISNUMBER(F4181)),"Wert fehlt; ",IF(F4181&lt;=0,"Wert ist 0; ",""))&amp;IF(NOT(ISNUMBER(E4181)),"Bestand fehlt; ",IF(E4181&lt;0,"Bestand negativ; ",IF(E4181=0,"Nullbestand; ","")))&amp;IF(D4181="","Warengruppe fehlt; ","")&amp;IF(B4181="","Bezeichnung fehlt; ","")&amp;IF(COUNTIFS($A$2:$A$5001,$A4181,$C$2:$C$5001,C4181)&gt;1,"Artikel doppelt im selben Lager; ",""))</f>
        <v/>
      </c>
      <c r="P4181" s="47" t="n">
        <f aca="false">IF(OR($A4181="",D4181=""),0,IF(COUNTIF($D$2:D4181,D4181)=1,SUMIF($D$2:$D$5001,D4181,$H$2:$H$5001)+ROW()/10000000,0))</f>
        <v>0</v>
      </c>
      <c r="Q4181" s="47" t="n">
        <f aca="false">IF(OR($A4181="",C4181=""),0,IF(COUNTIF($C$2:C4181,C4181)=1,SUMIF($C$2:$C$5001,C4181,$H$2:$H$5001)+ROW()/10000000,0))</f>
        <v>0</v>
      </c>
    </row>
    <row r="4182" customFormat="false" ht="15" hidden="false" customHeight="false" outlineLevel="0" collapsed="false">
      <c r="A4182" s="43"/>
      <c r="B4182" s="44"/>
      <c r="C4182" s="44"/>
      <c r="D4182" s="44"/>
      <c r="E4182" s="44"/>
      <c r="F4182" s="44"/>
      <c r="G4182" s="44"/>
      <c r="H4182" s="46" t="str">
        <f aca="false">IF($A4182="","",IF(OR(NOT(ISNUMBER(E4182)),NOT(ISNUMBER(F4182))),"",MAX(0,E4182)*F4182))</f>
        <v/>
      </c>
      <c r="I4182" s="46" t="str">
        <f aca="false">IF($A4182="","",SUMIF($A$2:$A$5001,$A4182,$H$2:$H$5001))</f>
        <v/>
      </c>
      <c r="J4182" s="47" t="n">
        <f aca="false">IF($A4182="",0,IF(COUNTIF($A$2:A4182,$A4182)=1,1,0))</f>
        <v>0</v>
      </c>
      <c r="K4182" s="47" t="n">
        <f aca="false">IF(J4182=1,N(I4182)+ROW()/10000000,0)</f>
        <v>0</v>
      </c>
      <c r="L4182" s="47" t="str">
        <f aca="false">IF(AND(J4182=1,N(I4182)&gt;0),SUMIF($K$2:$K$5001,"&gt;="&amp;K4182,$I$2:$I$5001)/MAX(1,SUM($H$2:$H$5001)),"")</f>
        <v/>
      </c>
      <c r="M4182" s="47" t="str">
        <f aca="false">IF($A4182="","",INDEX($L$2:$L$5001,MATCH($A4182,$A$2:$A$5001,0)))</f>
        <v/>
      </c>
      <c r="N4182" s="48" t="str">
        <f aca="false">IF($A4182="","",IF(N(M4182)=0,"–",IF(M4182&lt;=Start!$D$20,"A",IF(M4182&lt;=Start!$D$21,"B","C"))))</f>
        <v/>
      </c>
      <c r="O4182" s="48" t="str">
        <f aca="false">IF($A4182="","",IF(NOT(ISNUMBER(F4182)),"Wert fehlt; ",IF(F4182&lt;=0,"Wert ist 0; ",""))&amp;IF(NOT(ISNUMBER(E4182)),"Bestand fehlt; ",IF(E4182&lt;0,"Bestand negativ; ",IF(E4182=0,"Nullbestand; ","")))&amp;IF(D4182="","Warengruppe fehlt; ","")&amp;IF(B4182="","Bezeichnung fehlt; ","")&amp;IF(COUNTIFS($A$2:$A$5001,$A4182,$C$2:$C$5001,C4182)&gt;1,"Artikel doppelt im selben Lager; ",""))</f>
        <v/>
      </c>
      <c r="P4182" s="47" t="n">
        <f aca="false">IF(OR($A4182="",D4182=""),0,IF(COUNTIF($D$2:D4182,D4182)=1,SUMIF($D$2:$D$5001,D4182,$H$2:$H$5001)+ROW()/10000000,0))</f>
        <v>0</v>
      </c>
      <c r="Q4182" s="47" t="n">
        <f aca="false">IF(OR($A4182="",C4182=""),0,IF(COUNTIF($C$2:C4182,C4182)=1,SUMIF($C$2:$C$5001,C4182,$H$2:$H$5001)+ROW()/10000000,0))</f>
        <v>0</v>
      </c>
    </row>
    <row r="4183" customFormat="false" ht="15" hidden="false" customHeight="false" outlineLevel="0" collapsed="false">
      <c r="A4183" s="43"/>
      <c r="B4183" s="44"/>
      <c r="C4183" s="44"/>
      <c r="D4183" s="44"/>
      <c r="E4183" s="44"/>
      <c r="F4183" s="44"/>
      <c r="G4183" s="44"/>
      <c r="H4183" s="46" t="str">
        <f aca="false">IF($A4183="","",IF(OR(NOT(ISNUMBER(E4183)),NOT(ISNUMBER(F4183))),"",MAX(0,E4183)*F4183))</f>
        <v/>
      </c>
      <c r="I4183" s="46" t="str">
        <f aca="false">IF($A4183="","",SUMIF($A$2:$A$5001,$A4183,$H$2:$H$5001))</f>
        <v/>
      </c>
      <c r="J4183" s="47" t="n">
        <f aca="false">IF($A4183="",0,IF(COUNTIF($A$2:A4183,$A4183)=1,1,0))</f>
        <v>0</v>
      </c>
      <c r="K4183" s="47" t="n">
        <f aca="false">IF(J4183=1,N(I4183)+ROW()/10000000,0)</f>
        <v>0</v>
      </c>
      <c r="L4183" s="47" t="str">
        <f aca="false">IF(AND(J4183=1,N(I4183)&gt;0),SUMIF($K$2:$K$5001,"&gt;="&amp;K4183,$I$2:$I$5001)/MAX(1,SUM($H$2:$H$5001)),"")</f>
        <v/>
      </c>
      <c r="M4183" s="47" t="str">
        <f aca="false">IF($A4183="","",INDEX($L$2:$L$5001,MATCH($A4183,$A$2:$A$5001,0)))</f>
        <v/>
      </c>
      <c r="N4183" s="48" t="str">
        <f aca="false">IF($A4183="","",IF(N(M4183)=0,"–",IF(M4183&lt;=Start!$D$20,"A",IF(M4183&lt;=Start!$D$21,"B","C"))))</f>
        <v/>
      </c>
      <c r="O4183" s="48" t="str">
        <f aca="false">IF($A4183="","",IF(NOT(ISNUMBER(F4183)),"Wert fehlt; ",IF(F4183&lt;=0,"Wert ist 0; ",""))&amp;IF(NOT(ISNUMBER(E4183)),"Bestand fehlt; ",IF(E4183&lt;0,"Bestand negativ; ",IF(E4183=0,"Nullbestand; ","")))&amp;IF(D4183="","Warengruppe fehlt; ","")&amp;IF(B4183="","Bezeichnung fehlt; ","")&amp;IF(COUNTIFS($A$2:$A$5001,$A4183,$C$2:$C$5001,C4183)&gt;1,"Artikel doppelt im selben Lager; ",""))</f>
        <v/>
      </c>
      <c r="P4183" s="47" t="n">
        <f aca="false">IF(OR($A4183="",D4183=""),0,IF(COUNTIF($D$2:D4183,D4183)=1,SUMIF($D$2:$D$5001,D4183,$H$2:$H$5001)+ROW()/10000000,0))</f>
        <v>0</v>
      </c>
      <c r="Q4183" s="47" t="n">
        <f aca="false">IF(OR($A4183="",C4183=""),0,IF(COUNTIF($C$2:C4183,C4183)=1,SUMIF($C$2:$C$5001,C4183,$H$2:$H$5001)+ROW()/10000000,0))</f>
        <v>0</v>
      </c>
    </row>
    <row r="4184" customFormat="false" ht="15" hidden="false" customHeight="false" outlineLevel="0" collapsed="false">
      <c r="A4184" s="43"/>
      <c r="B4184" s="44"/>
      <c r="C4184" s="44"/>
      <c r="D4184" s="44"/>
      <c r="E4184" s="44"/>
      <c r="F4184" s="44"/>
      <c r="G4184" s="44"/>
      <c r="H4184" s="46" t="str">
        <f aca="false">IF($A4184="","",IF(OR(NOT(ISNUMBER(E4184)),NOT(ISNUMBER(F4184))),"",MAX(0,E4184)*F4184))</f>
        <v/>
      </c>
      <c r="I4184" s="46" t="str">
        <f aca="false">IF($A4184="","",SUMIF($A$2:$A$5001,$A4184,$H$2:$H$5001))</f>
        <v/>
      </c>
      <c r="J4184" s="47" t="n">
        <f aca="false">IF($A4184="",0,IF(COUNTIF($A$2:A4184,$A4184)=1,1,0))</f>
        <v>0</v>
      </c>
      <c r="K4184" s="47" t="n">
        <f aca="false">IF(J4184=1,N(I4184)+ROW()/10000000,0)</f>
        <v>0</v>
      </c>
      <c r="L4184" s="47" t="str">
        <f aca="false">IF(AND(J4184=1,N(I4184)&gt;0),SUMIF($K$2:$K$5001,"&gt;="&amp;K4184,$I$2:$I$5001)/MAX(1,SUM($H$2:$H$5001)),"")</f>
        <v/>
      </c>
      <c r="M4184" s="47" t="str">
        <f aca="false">IF($A4184="","",INDEX($L$2:$L$5001,MATCH($A4184,$A$2:$A$5001,0)))</f>
        <v/>
      </c>
      <c r="N4184" s="48" t="str">
        <f aca="false">IF($A4184="","",IF(N(M4184)=0,"–",IF(M4184&lt;=Start!$D$20,"A",IF(M4184&lt;=Start!$D$21,"B","C"))))</f>
        <v/>
      </c>
      <c r="O4184" s="48" t="str">
        <f aca="false">IF($A4184="","",IF(NOT(ISNUMBER(F4184)),"Wert fehlt; ",IF(F4184&lt;=0,"Wert ist 0; ",""))&amp;IF(NOT(ISNUMBER(E4184)),"Bestand fehlt; ",IF(E4184&lt;0,"Bestand negativ; ",IF(E4184=0,"Nullbestand; ","")))&amp;IF(D4184="","Warengruppe fehlt; ","")&amp;IF(B4184="","Bezeichnung fehlt; ","")&amp;IF(COUNTIFS($A$2:$A$5001,$A4184,$C$2:$C$5001,C4184)&gt;1,"Artikel doppelt im selben Lager; ",""))</f>
        <v/>
      </c>
      <c r="P4184" s="47" t="n">
        <f aca="false">IF(OR($A4184="",D4184=""),0,IF(COUNTIF($D$2:D4184,D4184)=1,SUMIF($D$2:$D$5001,D4184,$H$2:$H$5001)+ROW()/10000000,0))</f>
        <v>0</v>
      </c>
      <c r="Q4184" s="47" t="n">
        <f aca="false">IF(OR($A4184="",C4184=""),0,IF(COUNTIF($C$2:C4184,C4184)=1,SUMIF($C$2:$C$5001,C4184,$H$2:$H$5001)+ROW()/10000000,0))</f>
        <v>0</v>
      </c>
    </row>
    <row r="4185" customFormat="false" ht="15" hidden="false" customHeight="false" outlineLevel="0" collapsed="false">
      <c r="A4185" s="43"/>
      <c r="B4185" s="44"/>
      <c r="C4185" s="44"/>
      <c r="D4185" s="44"/>
      <c r="E4185" s="44"/>
      <c r="F4185" s="44"/>
      <c r="G4185" s="44"/>
      <c r="H4185" s="46" t="str">
        <f aca="false">IF($A4185="","",IF(OR(NOT(ISNUMBER(E4185)),NOT(ISNUMBER(F4185))),"",MAX(0,E4185)*F4185))</f>
        <v/>
      </c>
      <c r="I4185" s="46" t="str">
        <f aca="false">IF($A4185="","",SUMIF($A$2:$A$5001,$A4185,$H$2:$H$5001))</f>
        <v/>
      </c>
      <c r="J4185" s="47" t="n">
        <f aca="false">IF($A4185="",0,IF(COUNTIF($A$2:A4185,$A4185)=1,1,0))</f>
        <v>0</v>
      </c>
      <c r="K4185" s="47" t="n">
        <f aca="false">IF(J4185=1,N(I4185)+ROW()/10000000,0)</f>
        <v>0</v>
      </c>
      <c r="L4185" s="47" t="str">
        <f aca="false">IF(AND(J4185=1,N(I4185)&gt;0),SUMIF($K$2:$K$5001,"&gt;="&amp;K4185,$I$2:$I$5001)/MAX(1,SUM($H$2:$H$5001)),"")</f>
        <v/>
      </c>
      <c r="M4185" s="47" t="str">
        <f aca="false">IF($A4185="","",INDEX($L$2:$L$5001,MATCH($A4185,$A$2:$A$5001,0)))</f>
        <v/>
      </c>
      <c r="N4185" s="48" t="str">
        <f aca="false">IF($A4185="","",IF(N(M4185)=0,"–",IF(M4185&lt;=Start!$D$20,"A",IF(M4185&lt;=Start!$D$21,"B","C"))))</f>
        <v/>
      </c>
      <c r="O4185" s="48" t="str">
        <f aca="false">IF($A4185="","",IF(NOT(ISNUMBER(F4185)),"Wert fehlt; ",IF(F4185&lt;=0,"Wert ist 0; ",""))&amp;IF(NOT(ISNUMBER(E4185)),"Bestand fehlt; ",IF(E4185&lt;0,"Bestand negativ; ",IF(E4185=0,"Nullbestand; ","")))&amp;IF(D4185="","Warengruppe fehlt; ","")&amp;IF(B4185="","Bezeichnung fehlt; ","")&amp;IF(COUNTIFS($A$2:$A$5001,$A4185,$C$2:$C$5001,C4185)&gt;1,"Artikel doppelt im selben Lager; ",""))</f>
        <v/>
      </c>
      <c r="P4185" s="47" t="n">
        <f aca="false">IF(OR($A4185="",D4185=""),0,IF(COUNTIF($D$2:D4185,D4185)=1,SUMIF($D$2:$D$5001,D4185,$H$2:$H$5001)+ROW()/10000000,0))</f>
        <v>0</v>
      </c>
      <c r="Q4185" s="47" t="n">
        <f aca="false">IF(OR($A4185="",C4185=""),0,IF(COUNTIF($C$2:C4185,C4185)=1,SUMIF($C$2:$C$5001,C4185,$H$2:$H$5001)+ROW()/10000000,0))</f>
        <v>0</v>
      </c>
    </row>
    <row r="4186" customFormat="false" ht="15" hidden="false" customHeight="false" outlineLevel="0" collapsed="false">
      <c r="A4186" s="43"/>
      <c r="B4186" s="44"/>
      <c r="C4186" s="44"/>
      <c r="D4186" s="44"/>
      <c r="E4186" s="44"/>
      <c r="F4186" s="44"/>
      <c r="G4186" s="44"/>
      <c r="H4186" s="46" t="str">
        <f aca="false">IF($A4186="","",IF(OR(NOT(ISNUMBER(E4186)),NOT(ISNUMBER(F4186))),"",MAX(0,E4186)*F4186))</f>
        <v/>
      </c>
      <c r="I4186" s="46" t="str">
        <f aca="false">IF($A4186="","",SUMIF($A$2:$A$5001,$A4186,$H$2:$H$5001))</f>
        <v/>
      </c>
      <c r="J4186" s="47" t="n">
        <f aca="false">IF($A4186="",0,IF(COUNTIF($A$2:A4186,$A4186)=1,1,0))</f>
        <v>0</v>
      </c>
      <c r="K4186" s="47" t="n">
        <f aca="false">IF(J4186=1,N(I4186)+ROW()/10000000,0)</f>
        <v>0</v>
      </c>
      <c r="L4186" s="47" t="str">
        <f aca="false">IF(AND(J4186=1,N(I4186)&gt;0),SUMIF($K$2:$K$5001,"&gt;="&amp;K4186,$I$2:$I$5001)/MAX(1,SUM($H$2:$H$5001)),"")</f>
        <v/>
      </c>
      <c r="M4186" s="47" t="str">
        <f aca="false">IF($A4186="","",INDEX($L$2:$L$5001,MATCH($A4186,$A$2:$A$5001,0)))</f>
        <v/>
      </c>
      <c r="N4186" s="48" t="str">
        <f aca="false">IF($A4186="","",IF(N(M4186)=0,"–",IF(M4186&lt;=Start!$D$20,"A",IF(M4186&lt;=Start!$D$21,"B","C"))))</f>
        <v/>
      </c>
      <c r="O4186" s="48" t="str">
        <f aca="false">IF($A4186="","",IF(NOT(ISNUMBER(F4186)),"Wert fehlt; ",IF(F4186&lt;=0,"Wert ist 0; ",""))&amp;IF(NOT(ISNUMBER(E4186)),"Bestand fehlt; ",IF(E4186&lt;0,"Bestand negativ; ",IF(E4186=0,"Nullbestand; ","")))&amp;IF(D4186="","Warengruppe fehlt; ","")&amp;IF(B4186="","Bezeichnung fehlt; ","")&amp;IF(COUNTIFS($A$2:$A$5001,$A4186,$C$2:$C$5001,C4186)&gt;1,"Artikel doppelt im selben Lager; ",""))</f>
        <v/>
      </c>
      <c r="P4186" s="47" t="n">
        <f aca="false">IF(OR($A4186="",D4186=""),0,IF(COUNTIF($D$2:D4186,D4186)=1,SUMIF($D$2:$D$5001,D4186,$H$2:$H$5001)+ROW()/10000000,0))</f>
        <v>0</v>
      </c>
      <c r="Q4186" s="47" t="n">
        <f aca="false">IF(OR($A4186="",C4186=""),0,IF(COUNTIF($C$2:C4186,C4186)=1,SUMIF($C$2:$C$5001,C4186,$H$2:$H$5001)+ROW()/10000000,0))</f>
        <v>0</v>
      </c>
    </row>
    <row r="4187" customFormat="false" ht="15" hidden="false" customHeight="false" outlineLevel="0" collapsed="false">
      <c r="A4187" s="43"/>
      <c r="B4187" s="44"/>
      <c r="C4187" s="44"/>
      <c r="D4187" s="44"/>
      <c r="E4187" s="44"/>
      <c r="F4187" s="44"/>
      <c r="G4187" s="44"/>
      <c r="H4187" s="46" t="str">
        <f aca="false">IF($A4187="","",IF(OR(NOT(ISNUMBER(E4187)),NOT(ISNUMBER(F4187))),"",MAX(0,E4187)*F4187))</f>
        <v/>
      </c>
      <c r="I4187" s="46" t="str">
        <f aca="false">IF($A4187="","",SUMIF($A$2:$A$5001,$A4187,$H$2:$H$5001))</f>
        <v/>
      </c>
      <c r="J4187" s="47" t="n">
        <f aca="false">IF($A4187="",0,IF(COUNTIF($A$2:A4187,$A4187)=1,1,0))</f>
        <v>0</v>
      </c>
      <c r="K4187" s="47" t="n">
        <f aca="false">IF(J4187=1,N(I4187)+ROW()/10000000,0)</f>
        <v>0</v>
      </c>
      <c r="L4187" s="47" t="str">
        <f aca="false">IF(AND(J4187=1,N(I4187)&gt;0),SUMIF($K$2:$K$5001,"&gt;="&amp;K4187,$I$2:$I$5001)/MAX(1,SUM($H$2:$H$5001)),"")</f>
        <v/>
      </c>
      <c r="M4187" s="47" t="str">
        <f aca="false">IF($A4187="","",INDEX($L$2:$L$5001,MATCH($A4187,$A$2:$A$5001,0)))</f>
        <v/>
      </c>
      <c r="N4187" s="48" t="str">
        <f aca="false">IF($A4187="","",IF(N(M4187)=0,"–",IF(M4187&lt;=Start!$D$20,"A",IF(M4187&lt;=Start!$D$21,"B","C"))))</f>
        <v/>
      </c>
      <c r="O4187" s="48" t="str">
        <f aca="false">IF($A4187="","",IF(NOT(ISNUMBER(F4187)),"Wert fehlt; ",IF(F4187&lt;=0,"Wert ist 0; ",""))&amp;IF(NOT(ISNUMBER(E4187)),"Bestand fehlt; ",IF(E4187&lt;0,"Bestand negativ; ",IF(E4187=0,"Nullbestand; ","")))&amp;IF(D4187="","Warengruppe fehlt; ","")&amp;IF(B4187="","Bezeichnung fehlt; ","")&amp;IF(COUNTIFS($A$2:$A$5001,$A4187,$C$2:$C$5001,C4187)&gt;1,"Artikel doppelt im selben Lager; ",""))</f>
        <v/>
      </c>
      <c r="P4187" s="47" t="n">
        <f aca="false">IF(OR($A4187="",D4187=""),0,IF(COUNTIF($D$2:D4187,D4187)=1,SUMIF($D$2:$D$5001,D4187,$H$2:$H$5001)+ROW()/10000000,0))</f>
        <v>0</v>
      </c>
      <c r="Q4187" s="47" t="n">
        <f aca="false">IF(OR($A4187="",C4187=""),0,IF(COUNTIF($C$2:C4187,C4187)=1,SUMIF($C$2:$C$5001,C4187,$H$2:$H$5001)+ROW()/10000000,0))</f>
        <v>0</v>
      </c>
    </row>
    <row r="4188" customFormat="false" ht="15" hidden="false" customHeight="false" outlineLevel="0" collapsed="false">
      <c r="A4188" s="43"/>
      <c r="B4188" s="44"/>
      <c r="C4188" s="44"/>
      <c r="D4188" s="44"/>
      <c r="E4188" s="44"/>
      <c r="F4188" s="44"/>
      <c r="G4188" s="44"/>
      <c r="H4188" s="46" t="str">
        <f aca="false">IF($A4188="","",IF(OR(NOT(ISNUMBER(E4188)),NOT(ISNUMBER(F4188))),"",MAX(0,E4188)*F4188))</f>
        <v/>
      </c>
      <c r="I4188" s="46" t="str">
        <f aca="false">IF($A4188="","",SUMIF($A$2:$A$5001,$A4188,$H$2:$H$5001))</f>
        <v/>
      </c>
      <c r="J4188" s="47" t="n">
        <f aca="false">IF($A4188="",0,IF(COUNTIF($A$2:A4188,$A4188)=1,1,0))</f>
        <v>0</v>
      </c>
      <c r="K4188" s="47" t="n">
        <f aca="false">IF(J4188=1,N(I4188)+ROW()/10000000,0)</f>
        <v>0</v>
      </c>
      <c r="L4188" s="47" t="str">
        <f aca="false">IF(AND(J4188=1,N(I4188)&gt;0),SUMIF($K$2:$K$5001,"&gt;="&amp;K4188,$I$2:$I$5001)/MAX(1,SUM($H$2:$H$5001)),"")</f>
        <v/>
      </c>
      <c r="M4188" s="47" t="str">
        <f aca="false">IF($A4188="","",INDEX($L$2:$L$5001,MATCH($A4188,$A$2:$A$5001,0)))</f>
        <v/>
      </c>
      <c r="N4188" s="48" t="str">
        <f aca="false">IF($A4188="","",IF(N(M4188)=0,"–",IF(M4188&lt;=Start!$D$20,"A",IF(M4188&lt;=Start!$D$21,"B","C"))))</f>
        <v/>
      </c>
      <c r="O4188" s="48" t="str">
        <f aca="false">IF($A4188="","",IF(NOT(ISNUMBER(F4188)),"Wert fehlt; ",IF(F4188&lt;=0,"Wert ist 0; ",""))&amp;IF(NOT(ISNUMBER(E4188)),"Bestand fehlt; ",IF(E4188&lt;0,"Bestand negativ; ",IF(E4188=0,"Nullbestand; ","")))&amp;IF(D4188="","Warengruppe fehlt; ","")&amp;IF(B4188="","Bezeichnung fehlt; ","")&amp;IF(COUNTIFS($A$2:$A$5001,$A4188,$C$2:$C$5001,C4188)&gt;1,"Artikel doppelt im selben Lager; ",""))</f>
        <v/>
      </c>
      <c r="P4188" s="47" t="n">
        <f aca="false">IF(OR($A4188="",D4188=""),0,IF(COUNTIF($D$2:D4188,D4188)=1,SUMIF($D$2:$D$5001,D4188,$H$2:$H$5001)+ROW()/10000000,0))</f>
        <v>0</v>
      </c>
      <c r="Q4188" s="47" t="n">
        <f aca="false">IF(OR($A4188="",C4188=""),0,IF(COUNTIF($C$2:C4188,C4188)=1,SUMIF($C$2:$C$5001,C4188,$H$2:$H$5001)+ROW()/10000000,0))</f>
        <v>0</v>
      </c>
    </row>
    <row r="4189" customFormat="false" ht="15" hidden="false" customHeight="false" outlineLevel="0" collapsed="false">
      <c r="A4189" s="43"/>
      <c r="B4189" s="44"/>
      <c r="C4189" s="44"/>
      <c r="D4189" s="44"/>
      <c r="E4189" s="44"/>
      <c r="F4189" s="44"/>
      <c r="G4189" s="44"/>
      <c r="H4189" s="46" t="str">
        <f aca="false">IF($A4189="","",IF(OR(NOT(ISNUMBER(E4189)),NOT(ISNUMBER(F4189))),"",MAX(0,E4189)*F4189))</f>
        <v/>
      </c>
      <c r="I4189" s="46" t="str">
        <f aca="false">IF($A4189="","",SUMIF($A$2:$A$5001,$A4189,$H$2:$H$5001))</f>
        <v/>
      </c>
      <c r="J4189" s="47" t="n">
        <f aca="false">IF($A4189="",0,IF(COUNTIF($A$2:A4189,$A4189)=1,1,0))</f>
        <v>0</v>
      </c>
      <c r="K4189" s="47" t="n">
        <f aca="false">IF(J4189=1,N(I4189)+ROW()/10000000,0)</f>
        <v>0</v>
      </c>
      <c r="L4189" s="47" t="str">
        <f aca="false">IF(AND(J4189=1,N(I4189)&gt;0),SUMIF($K$2:$K$5001,"&gt;="&amp;K4189,$I$2:$I$5001)/MAX(1,SUM($H$2:$H$5001)),"")</f>
        <v/>
      </c>
      <c r="M4189" s="47" t="str">
        <f aca="false">IF($A4189="","",INDEX($L$2:$L$5001,MATCH($A4189,$A$2:$A$5001,0)))</f>
        <v/>
      </c>
      <c r="N4189" s="48" t="str">
        <f aca="false">IF($A4189="","",IF(N(M4189)=0,"–",IF(M4189&lt;=Start!$D$20,"A",IF(M4189&lt;=Start!$D$21,"B","C"))))</f>
        <v/>
      </c>
      <c r="O4189" s="48" t="str">
        <f aca="false">IF($A4189="","",IF(NOT(ISNUMBER(F4189)),"Wert fehlt; ",IF(F4189&lt;=0,"Wert ist 0; ",""))&amp;IF(NOT(ISNUMBER(E4189)),"Bestand fehlt; ",IF(E4189&lt;0,"Bestand negativ; ",IF(E4189=0,"Nullbestand; ","")))&amp;IF(D4189="","Warengruppe fehlt; ","")&amp;IF(B4189="","Bezeichnung fehlt; ","")&amp;IF(COUNTIFS($A$2:$A$5001,$A4189,$C$2:$C$5001,C4189)&gt;1,"Artikel doppelt im selben Lager; ",""))</f>
        <v/>
      </c>
      <c r="P4189" s="47" t="n">
        <f aca="false">IF(OR($A4189="",D4189=""),0,IF(COUNTIF($D$2:D4189,D4189)=1,SUMIF($D$2:$D$5001,D4189,$H$2:$H$5001)+ROW()/10000000,0))</f>
        <v>0</v>
      </c>
      <c r="Q4189" s="47" t="n">
        <f aca="false">IF(OR($A4189="",C4189=""),0,IF(COUNTIF($C$2:C4189,C4189)=1,SUMIF($C$2:$C$5001,C4189,$H$2:$H$5001)+ROW()/10000000,0))</f>
        <v>0</v>
      </c>
    </row>
    <row r="4190" customFormat="false" ht="15" hidden="false" customHeight="false" outlineLevel="0" collapsed="false">
      <c r="A4190" s="43"/>
      <c r="B4190" s="44"/>
      <c r="C4190" s="44"/>
      <c r="D4190" s="44"/>
      <c r="E4190" s="44"/>
      <c r="F4190" s="44"/>
      <c r="G4190" s="44"/>
      <c r="H4190" s="46" t="str">
        <f aca="false">IF($A4190="","",IF(OR(NOT(ISNUMBER(E4190)),NOT(ISNUMBER(F4190))),"",MAX(0,E4190)*F4190))</f>
        <v/>
      </c>
      <c r="I4190" s="46" t="str">
        <f aca="false">IF($A4190="","",SUMIF($A$2:$A$5001,$A4190,$H$2:$H$5001))</f>
        <v/>
      </c>
      <c r="J4190" s="47" t="n">
        <f aca="false">IF($A4190="",0,IF(COUNTIF($A$2:A4190,$A4190)=1,1,0))</f>
        <v>0</v>
      </c>
      <c r="K4190" s="47" t="n">
        <f aca="false">IF(J4190=1,N(I4190)+ROW()/10000000,0)</f>
        <v>0</v>
      </c>
      <c r="L4190" s="47" t="str">
        <f aca="false">IF(AND(J4190=1,N(I4190)&gt;0),SUMIF($K$2:$K$5001,"&gt;="&amp;K4190,$I$2:$I$5001)/MAX(1,SUM($H$2:$H$5001)),"")</f>
        <v/>
      </c>
      <c r="M4190" s="47" t="str">
        <f aca="false">IF($A4190="","",INDEX($L$2:$L$5001,MATCH($A4190,$A$2:$A$5001,0)))</f>
        <v/>
      </c>
      <c r="N4190" s="48" t="str">
        <f aca="false">IF($A4190="","",IF(N(M4190)=0,"–",IF(M4190&lt;=Start!$D$20,"A",IF(M4190&lt;=Start!$D$21,"B","C"))))</f>
        <v/>
      </c>
      <c r="O4190" s="48" t="str">
        <f aca="false">IF($A4190="","",IF(NOT(ISNUMBER(F4190)),"Wert fehlt; ",IF(F4190&lt;=0,"Wert ist 0; ",""))&amp;IF(NOT(ISNUMBER(E4190)),"Bestand fehlt; ",IF(E4190&lt;0,"Bestand negativ; ",IF(E4190=0,"Nullbestand; ","")))&amp;IF(D4190="","Warengruppe fehlt; ","")&amp;IF(B4190="","Bezeichnung fehlt; ","")&amp;IF(COUNTIFS($A$2:$A$5001,$A4190,$C$2:$C$5001,C4190)&gt;1,"Artikel doppelt im selben Lager; ",""))</f>
        <v/>
      </c>
      <c r="P4190" s="47" t="n">
        <f aca="false">IF(OR($A4190="",D4190=""),0,IF(COUNTIF($D$2:D4190,D4190)=1,SUMIF($D$2:$D$5001,D4190,$H$2:$H$5001)+ROW()/10000000,0))</f>
        <v>0</v>
      </c>
      <c r="Q4190" s="47" t="n">
        <f aca="false">IF(OR($A4190="",C4190=""),0,IF(COUNTIF($C$2:C4190,C4190)=1,SUMIF($C$2:$C$5001,C4190,$H$2:$H$5001)+ROW()/10000000,0))</f>
        <v>0</v>
      </c>
    </row>
    <row r="4191" customFormat="false" ht="15" hidden="false" customHeight="false" outlineLevel="0" collapsed="false">
      <c r="A4191" s="43"/>
      <c r="B4191" s="44"/>
      <c r="C4191" s="44"/>
      <c r="D4191" s="44"/>
      <c r="E4191" s="44"/>
      <c r="F4191" s="44"/>
      <c r="G4191" s="44"/>
      <c r="H4191" s="46" t="str">
        <f aca="false">IF($A4191="","",IF(OR(NOT(ISNUMBER(E4191)),NOT(ISNUMBER(F4191))),"",MAX(0,E4191)*F4191))</f>
        <v/>
      </c>
      <c r="I4191" s="46" t="str">
        <f aca="false">IF($A4191="","",SUMIF($A$2:$A$5001,$A4191,$H$2:$H$5001))</f>
        <v/>
      </c>
      <c r="J4191" s="47" t="n">
        <f aca="false">IF($A4191="",0,IF(COUNTIF($A$2:A4191,$A4191)=1,1,0))</f>
        <v>0</v>
      </c>
      <c r="K4191" s="47" t="n">
        <f aca="false">IF(J4191=1,N(I4191)+ROW()/10000000,0)</f>
        <v>0</v>
      </c>
      <c r="L4191" s="47" t="str">
        <f aca="false">IF(AND(J4191=1,N(I4191)&gt;0),SUMIF($K$2:$K$5001,"&gt;="&amp;K4191,$I$2:$I$5001)/MAX(1,SUM($H$2:$H$5001)),"")</f>
        <v/>
      </c>
      <c r="M4191" s="47" t="str">
        <f aca="false">IF($A4191="","",INDEX($L$2:$L$5001,MATCH($A4191,$A$2:$A$5001,0)))</f>
        <v/>
      </c>
      <c r="N4191" s="48" t="str">
        <f aca="false">IF($A4191="","",IF(N(M4191)=0,"–",IF(M4191&lt;=Start!$D$20,"A",IF(M4191&lt;=Start!$D$21,"B","C"))))</f>
        <v/>
      </c>
      <c r="O4191" s="48" t="str">
        <f aca="false">IF($A4191="","",IF(NOT(ISNUMBER(F4191)),"Wert fehlt; ",IF(F4191&lt;=0,"Wert ist 0; ",""))&amp;IF(NOT(ISNUMBER(E4191)),"Bestand fehlt; ",IF(E4191&lt;0,"Bestand negativ; ",IF(E4191=0,"Nullbestand; ","")))&amp;IF(D4191="","Warengruppe fehlt; ","")&amp;IF(B4191="","Bezeichnung fehlt; ","")&amp;IF(COUNTIFS($A$2:$A$5001,$A4191,$C$2:$C$5001,C4191)&gt;1,"Artikel doppelt im selben Lager; ",""))</f>
        <v/>
      </c>
      <c r="P4191" s="47" t="n">
        <f aca="false">IF(OR($A4191="",D4191=""),0,IF(COUNTIF($D$2:D4191,D4191)=1,SUMIF($D$2:$D$5001,D4191,$H$2:$H$5001)+ROW()/10000000,0))</f>
        <v>0</v>
      </c>
      <c r="Q4191" s="47" t="n">
        <f aca="false">IF(OR($A4191="",C4191=""),0,IF(COUNTIF($C$2:C4191,C4191)=1,SUMIF($C$2:$C$5001,C4191,$H$2:$H$5001)+ROW()/10000000,0))</f>
        <v>0</v>
      </c>
    </row>
    <row r="4192" customFormat="false" ht="15" hidden="false" customHeight="false" outlineLevel="0" collapsed="false">
      <c r="A4192" s="43"/>
      <c r="B4192" s="44"/>
      <c r="C4192" s="44"/>
      <c r="D4192" s="44"/>
      <c r="E4192" s="44"/>
      <c r="F4192" s="44"/>
      <c r="G4192" s="44"/>
      <c r="H4192" s="46" t="str">
        <f aca="false">IF($A4192="","",IF(OR(NOT(ISNUMBER(E4192)),NOT(ISNUMBER(F4192))),"",MAX(0,E4192)*F4192))</f>
        <v/>
      </c>
      <c r="I4192" s="46" t="str">
        <f aca="false">IF($A4192="","",SUMIF($A$2:$A$5001,$A4192,$H$2:$H$5001))</f>
        <v/>
      </c>
      <c r="J4192" s="47" t="n">
        <f aca="false">IF($A4192="",0,IF(COUNTIF($A$2:A4192,$A4192)=1,1,0))</f>
        <v>0</v>
      </c>
      <c r="K4192" s="47" t="n">
        <f aca="false">IF(J4192=1,N(I4192)+ROW()/10000000,0)</f>
        <v>0</v>
      </c>
      <c r="L4192" s="47" t="str">
        <f aca="false">IF(AND(J4192=1,N(I4192)&gt;0),SUMIF($K$2:$K$5001,"&gt;="&amp;K4192,$I$2:$I$5001)/MAX(1,SUM($H$2:$H$5001)),"")</f>
        <v/>
      </c>
      <c r="M4192" s="47" t="str">
        <f aca="false">IF($A4192="","",INDEX($L$2:$L$5001,MATCH($A4192,$A$2:$A$5001,0)))</f>
        <v/>
      </c>
      <c r="N4192" s="48" t="str">
        <f aca="false">IF($A4192="","",IF(N(M4192)=0,"–",IF(M4192&lt;=Start!$D$20,"A",IF(M4192&lt;=Start!$D$21,"B","C"))))</f>
        <v/>
      </c>
      <c r="O4192" s="48" t="str">
        <f aca="false">IF($A4192="","",IF(NOT(ISNUMBER(F4192)),"Wert fehlt; ",IF(F4192&lt;=0,"Wert ist 0; ",""))&amp;IF(NOT(ISNUMBER(E4192)),"Bestand fehlt; ",IF(E4192&lt;0,"Bestand negativ; ",IF(E4192=0,"Nullbestand; ","")))&amp;IF(D4192="","Warengruppe fehlt; ","")&amp;IF(B4192="","Bezeichnung fehlt; ","")&amp;IF(COUNTIFS($A$2:$A$5001,$A4192,$C$2:$C$5001,C4192)&gt;1,"Artikel doppelt im selben Lager; ",""))</f>
        <v/>
      </c>
      <c r="P4192" s="47" t="n">
        <f aca="false">IF(OR($A4192="",D4192=""),0,IF(COUNTIF($D$2:D4192,D4192)=1,SUMIF($D$2:$D$5001,D4192,$H$2:$H$5001)+ROW()/10000000,0))</f>
        <v>0</v>
      </c>
      <c r="Q4192" s="47" t="n">
        <f aca="false">IF(OR($A4192="",C4192=""),0,IF(COUNTIF($C$2:C4192,C4192)=1,SUMIF($C$2:$C$5001,C4192,$H$2:$H$5001)+ROW()/10000000,0))</f>
        <v>0</v>
      </c>
    </row>
    <row r="4193" customFormat="false" ht="15" hidden="false" customHeight="false" outlineLevel="0" collapsed="false">
      <c r="A4193" s="43"/>
      <c r="B4193" s="44"/>
      <c r="C4193" s="44"/>
      <c r="D4193" s="44"/>
      <c r="E4193" s="44"/>
      <c r="F4193" s="44"/>
      <c r="G4193" s="44"/>
      <c r="H4193" s="46" t="str">
        <f aca="false">IF($A4193="","",IF(OR(NOT(ISNUMBER(E4193)),NOT(ISNUMBER(F4193))),"",MAX(0,E4193)*F4193))</f>
        <v/>
      </c>
      <c r="I4193" s="46" t="str">
        <f aca="false">IF($A4193="","",SUMIF($A$2:$A$5001,$A4193,$H$2:$H$5001))</f>
        <v/>
      </c>
      <c r="J4193" s="47" t="n">
        <f aca="false">IF($A4193="",0,IF(COUNTIF($A$2:A4193,$A4193)=1,1,0))</f>
        <v>0</v>
      </c>
      <c r="K4193" s="47" t="n">
        <f aca="false">IF(J4193=1,N(I4193)+ROW()/10000000,0)</f>
        <v>0</v>
      </c>
      <c r="L4193" s="47" t="str">
        <f aca="false">IF(AND(J4193=1,N(I4193)&gt;0),SUMIF($K$2:$K$5001,"&gt;="&amp;K4193,$I$2:$I$5001)/MAX(1,SUM($H$2:$H$5001)),"")</f>
        <v/>
      </c>
      <c r="M4193" s="47" t="str">
        <f aca="false">IF($A4193="","",INDEX($L$2:$L$5001,MATCH($A4193,$A$2:$A$5001,0)))</f>
        <v/>
      </c>
      <c r="N4193" s="48" t="str">
        <f aca="false">IF($A4193="","",IF(N(M4193)=0,"–",IF(M4193&lt;=Start!$D$20,"A",IF(M4193&lt;=Start!$D$21,"B","C"))))</f>
        <v/>
      </c>
      <c r="O4193" s="48" t="str">
        <f aca="false">IF($A4193="","",IF(NOT(ISNUMBER(F4193)),"Wert fehlt; ",IF(F4193&lt;=0,"Wert ist 0; ",""))&amp;IF(NOT(ISNUMBER(E4193)),"Bestand fehlt; ",IF(E4193&lt;0,"Bestand negativ; ",IF(E4193=0,"Nullbestand; ","")))&amp;IF(D4193="","Warengruppe fehlt; ","")&amp;IF(B4193="","Bezeichnung fehlt; ","")&amp;IF(COUNTIFS($A$2:$A$5001,$A4193,$C$2:$C$5001,C4193)&gt;1,"Artikel doppelt im selben Lager; ",""))</f>
        <v/>
      </c>
      <c r="P4193" s="47" t="n">
        <f aca="false">IF(OR($A4193="",D4193=""),0,IF(COUNTIF($D$2:D4193,D4193)=1,SUMIF($D$2:$D$5001,D4193,$H$2:$H$5001)+ROW()/10000000,0))</f>
        <v>0</v>
      </c>
      <c r="Q4193" s="47" t="n">
        <f aca="false">IF(OR($A4193="",C4193=""),0,IF(COUNTIF($C$2:C4193,C4193)=1,SUMIF($C$2:$C$5001,C4193,$H$2:$H$5001)+ROW()/10000000,0))</f>
        <v>0</v>
      </c>
    </row>
    <row r="4194" customFormat="false" ht="15" hidden="false" customHeight="false" outlineLevel="0" collapsed="false">
      <c r="A4194" s="43"/>
      <c r="B4194" s="44"/>
      <c r="C4194" s="44"/>
      <c r="D4194" s="44"/>
      <c r="E4194" s="44"/>
      <c r="F4194" s="44"/>
      <c r="G4194" s="44"/>
      <c r="H4194" s="46" t="str">
        <f aca="false">IF($A4194="","",IF(OR(NOT(ISNUMBER(E4194)),NOT(ISNUMBER(F4194))),"",MAX(0,E4194)*F4194))</f>
        <v/>
      </c>
      <c r="I4194" s="46" t="str">
        <f aca="false">IF($A4194="","",SUMIF($A$2:$A$5001,$A4194,$H$2:$H$5001))</f>
        <v/>
      </c>
      <c r="J4194" s="47" t="n">
        <f aca="false">IF($A4194="",0,IF(COUNTIF($A$2:A4194,$A4194)=1,1,0))</f>
        <v>0</v>
      </c>
      <c r="K4194" s="47" t="n">
        <f aca="false">IF(J4194=1,N(I4194)+ROW()/10000000,0)</f>
        <v>0</v>
      </c>
      <c r="L4194" s="47" t="str">
        <f aca="false">IF(AND(J4194=1,N(I4194)&gt;0),SUMIF($K$2:$K$5001,"&gt;="&amp;K4194,$I$2:$I$5001)/MAX(1,SUM($H$2:$H$5001)),"")</f>
        <v/>
      </c>
      <c r="M4194" s="47" t="str">
        <f aca="false">IF($A4194="","",INDEX($L$2:$L$5001,MATCH($A4194,$A$2:$A$5001,0)))</f>
        <v/>
      </c>
      <c r="N4194" s="48" t="str">
        <f aca="false">IF($A4194="","",IF(N(M4194)=0,"–",IF(M4194&lt;=Start!$D$20,"A",IF(M4194&lt;=Start!$D$21,"B","C"))))</f>
        <v/>
      </c>
      <c r="O4194" s="48" t="str">
        <f aca="false">IF($A4194="","",IF(NOT(ISNUMBER(F4194)),"Wert fehlt; ",IF(F4194&lt;=0,"Wert ist 0; ",""))&amp;IF(NOT(ISNUMBER(E4194)),"Bestand fehlt; ",IF(E4194&lt;0,"Bestand negativ; ",IF(E4194=0,"Nullbestand; ","")))&amp;IF(D4194="","Warengruppe fehlt; ","")&amp;IF(B4194="","Bezeichnung fehlt; ","")&amp;IF(COUNTIFS($A$2:$A$5001,$A4194,$C$2:$C$5001,C4194)&gt;1,"Artikel doppelt im selben Lager; ",""))</f>
        <v/>
      </c>
      <c r="P4194" s="47" t="n">
        <f aca="false">IF(OR($A4194="",D4194=""),0,IF(COUNTIF($D$2:D4194,D4194)=1,SUMIF($D$2:$D$5001,D4194,$H$2:$H$5001)+ROW()/10000000,0))</f>
        <v>0</v>
      </c>
      <c r="Q4194" s="47" t="n">
        <f aca="false">IF(OR($A4194="",C4194=""),0,IF(COUNTIF($C$2:C4194,C4194)=1,SUMIF($C$2:$C$5001,C4194,$H$2:$H$5001)+ROW()/10000000,0))</f>
        <v>0</v>
      </c>
    </row>
    <row r="4195" customFormat="false" ht="15" hidden="false" customHeight="false" outlineLevel="0" collapsed="false">
      <c r="A4195" s="43"/>
      <c r="B4195" s="44"/>
      <c r="C4195" s="44"/>
      <c r="D4195" s="44"/>
      <c r="E4195" s="44"/>
      <c r="F4195" s="44"/>
      <c r="G4195" s="44"/>
      <c r="H4195" s="46" t="str">
        <f aca="false">IF($A4195="","",IF(OR(NOT(ISNUMBER(E4195)),NOT(ISNUMBER(F4195))),"",MAX(0,E4195)*F4195))</f>
        <v/>
      </c>
      <c r="I4195" s="46" t="str">
        <f aca="false">IF($A4195="","",SUMIF($A$2:$A$5001,$A4195,$H$2:$H$5001))</f>
        <v/>
      </c>
      <c r="J4195" s="47" t="n">
        <f aca="false">IF($A4195="",0,IF(COUNTIF($A$2:A4195,$A4195)=1,1,0))</f>
        <v>0</v>
      </c>
      <c r="K4195" s="47" t="n">
        <f aca="false">IF(J4195=1,N(I4195)+ROW()/10000000,0)</f>
        <v>0</v>
      </c>
      <c r="L4195" s="47" t="str">
        <f aca="false">IF(AND(J4195=1,N(I4195)&gt;0),SUMIF($K$2:$K$5001,"&gt;="&amp;K4195,$I$2:$I$5001)/MAX(1,SUM($H$2:$H$5001)),"")</f>
        <v/>
      </c>
      <c r="M4195" s="47" t="str">
        <f aca="false">IF($A4195="","",INDEX($L$2:$L$5001,MATCH($A4195,$A$2:$A$5001,0)))</f>
        <v/>
      </c>
      <c r="N4195" s="48" t="str">
        <f aca="false">IF($A4195="","",IF(N(M4195)=0,"–",IF(M4195&lt;=Start!$D$20,"A",IF(M4195&lt;=Start!$D$21,"B","C"))))</f>
        <v/>
      </c>
      <c r="O4195" s="48" t="str">
        <f aca="false">IF($A4195="","",IF(NOT(ISNUMBER(F4195)),"Wert fehlt; ",IF(F4195&lt;=0,"Wert ist 0; ",""))&amp;IF(NOT(ISNUMBER(E4195)),"Bestand fehlt; ",IF(E4195&lt;0,"Bestand negativ; ",IF(E4195=0,"Nullbestand; ","")))&amp;IF(D4195="","Warengruppe fehlt; ","")&amp;IF(B4195="","Bezeichnung fehlt; ","")&amp;IF(COUNTIFS($A$2:$A$5001,$A4195,$C$2:$C$5001,C4195)&gt;1,"Artikel doppelt im selben Lager; ",""))</f>
        <v/>
      </c>
      <c r="P4195" s="47" t="n">
        <f aca="false">IF(OR($A4195="",D4195=""),0,IF(COUNTIF($D$2:D4195,D4195)=1,SUMIF($D$2:$D$5001,D4195,$H$2:$H$5001)+ROW()/10000000,0))</f>
        <v>0</v>
      </c>
      <c r="Q4195" s="47" t="n">
        <f aca="false">IF(OR($A4195="",C4195=""),0,IF(COUNTIF($C$2:C4195,C4195)=1,SUMIF($C$2:$C$5001,C4195,$H$2:$H$5001)+ROW()/10000000,0))</f>
        <v>0</v>
      </c>
    </row>
    <row r="4196" customFormat="false" ht="15" hidden="false" customHeight="false" outlineLevel="0" collapsed="false">
      <c r="A4196" s="43"/>
      <c r="B4196" s="44"/>
      <c r="C4196" s="44"/>
      <c r="D4196" s="44"/>
      <c r="E4196" s="44"/>
      <c r="F4196" s="44"/>
      <c r="G4196" s="44"/>
      <c r="H4196" s="46" t="str">
        <f aca="false">IF($A4196="","",IF(OR(NOT(ISNUMBER(E4196)),NOT(ISNUMBER(F4196))),"",MAX(0,E4196)*F4196))</f>
        <v/>
      </c>
      <c r="I4196" s="46" t="str">
        <f aca="false">IF($A4196="","",SUMIF($A$2:$A$5001,$A4196,$H$2:$H$5001))</f>
        <v/>
      </c>
      <c r="J4196" s="47" t="n">
        <f aca="false">IF($A4196="",0,IF(COUNTIF($A$2:A4196,$A4196)=1,1,0))</f>
        <v>0</v>
      </c>
      <c r="K4196" s="47" t="n">
        <f aca="false">IF(J4196=1,N(I4196)+ROW()/10000000,0)</f>
        <v>0</v>
      </c>
      <c r="L4196" s="47" t="str">
        <f aca="false">IF(AND(J4196=1,N(I4196)&gt;0),SUMIF($K$2:$K$5001,"&gt;="&amp;K4196,$I$2:$I$5001)/MAX(1,SUM($H$2:$H$5001)),"")</f>
        <v/>
      </c>
      <c r="M4196" s="47" t="str">
        <f aca="false">IF($A4196="","",INDEX($L$2:$L$5001,MATCH($A4196,$A$2:$A$5001,0)))</f>
        <v/>
      </c>
      <c r="N4196" s="48" t="str">
        <f aca="false">IF($A4196="","",IF(N(M4196)=0,"–",IF(M4196&lt;=Start!$D$20,"A",IF(M4196&lt;=Start!$D$21,"B","C"))))</f>
        <v/>
      </c>
      <c r="O4196" s="48" t="str">
        <f aca="false">IF($A4196="","",IF(NOT(ISNUMBER(F4196)),"Wert fehlt; ",IF(F4196&lt;=0,"Wert ist 0; ",""))&amp;IF(NOT(ISNUMBER(E4196)),"Bestand fehlt; ",IF(E4196&lt;0,"Bestand negativ; ",IF(E4196=0,"Nullbestand; ","")))&amp;IF(D4196="","Warengruppe fehlt; ","")&amp;IF(B4196="","Bezeichnung fehlt; ","")&amp;IF(COUNTIFS($A$2:$A$5001,$A4196,$C$2:$C$5001,C4196)&gt;1,"Artikel doppelt im selben Lager; ",""))</f>
        <v/>
      </c>
      <c r="P4196" s="47" t="n">
        <f aca="false">IF(OR($A4196="",D4196=""),0,IF(COUNTIF($D$2:D4196,D4196)=1,SUMIF($D$2:$D$5001,D4196,$H$2:$H$5001)+ROW()/10000000,0))</f>
        <v>0</v>
      </c>
      <c r="Q4196" s="47" t="n">
        <f aca="false">IF(OR($A4196="",C4196=""),0,IF(COUNTIF($C$2:C4196,C4196)=1,SUMIF($C$2:$C$5001,C4196,$H$2:$H$5001)+ROW()/10000000,0))</f>
        <v>0</v>
      </c>
    </row>
    <row r="4197" customFormat="false" ht="15" hidden="false" customHeight="false" outlineLevel="0" collapsed="false">
      <c r="A4197" s="43"/>
      <c r="B4197" s="44"/>
      <c r="C4197" s="44"/>
      <c r="D4197" s="44"/>
      <c r="E4197" s="44"/>
      <c r="F4197" s="44"/>
      <c r="G4197" s="44"/>
      <c r="H4197" s="46" t="str">
        <f aca="false">IF($A4197="","",IF(OR(NOT(ISNUMBER(E4197)),NOT(ISNUMBER(F4197))),"",MAX(0,E4197)*F4197))</f>
        <v/>
      </c>
      <c r="I4197" s="46" t="str">
        <f aca="false">IF($A4197="","",SUMIF($A$2:$A$5001,$A4197,$H$2:$H$5001))</f>
        <v/>
      </c>
      <c r="J4197" s="47" t="n">
        <f aca="false">IF($A4197="",0,IF(COUNTIF($A$2:A4197,$A4197)=1,1,0))</f>
        <v>0</v>
      </c>
      <c r="K4197" s="47" t="n">
        <f aca="false">IF(J4197=1,N(I4197)+ROW()/10000000,0)</f>
        <v>0</v>
      </c>
      <c r="L4197" s="47" t="str">
        <f aca="false">IF(AND(J4197=1,N(I4197)&gt;0),SUMIF($K$2:$K$5001,"&gt;="&amp;K4197,$I$2:$I$5001)/MAX(1,SUM($H$2:$H$5001)),"")</f>
        <v/>
      </c>
      <c r="M4197" s="47" t="str">
        <f aca="false">IF($A4197="","",INDEX($L$2:$L$5001,MATCH($A4197,$A$2:$A$5001,0)))</f>
        <v/>
      </c>
      <c r="N4197" s="48" t="str">
        <f aca="false">IF($A4197="","",IF(N(M4197)=0,"–",IF(M4197&lt;=Start!$D$20,"A",IF(M4197&lt;=Start!$D$21,"B","C"))))</f>
        <v/>
      </c>
      <c r="O4197" s="48" t="str">
        <f aca="false">IF($A4197="","",IF(NOT(ISNUMBER(F4197)),"Wert fehlt; ",IF(F4197&lt;=0,"Wert ist 0; ",""))&amp;IF(NOT(ISNUMBER(E4197)),"Bestand fehlt; ",IF(E4197&lt;0,"Bestand negativ; ",IF(E4197=0,"Nullbestand; ","")))&amp;IF(D4197="","Warengruppe fehlt; ","")&amp;IF(B4197="","Bezeichnung fehlt; ","")&amp;IF(COUNTIFS($A$2:$A$5001,$A4197,$C$2:$C$5001,C4197)&gt;1,"Artikel doppelt im selben Lager; ",""))</f>
        <v/>
      </c>
      <c r="P4197" s="47" t="n">
        <f aca="false">IF(OR($A4197="",D4197=""),0,IF(COUNTIF($D$2:D4197,D4197)=1,SUMIF($D$2:$D$5001,D4197,$H$2:$H$5001)+ROW()/10000000,0))</f>
        <v>0</v>
      </c>
      <c r="Q4197" s="47" t="n">
        <f aca="false">IF(OR($A4197="",C4197=""),0,IF(COUNTIF($C$2:C4197,C4197)=1,SUMIF($C$2:$C$5001,C4197,$H$2:$H$5001)+ROW()/10000000,0))</f>
        <v>0</v>
      </c>
    </row>
    <row r="4198" customFormat="false" ht="15" hidden="false" customHeight="false" outlineLevel="0" collapsed="false">
      <c r="A4198" s="43"/>
      <c r="B4198" s="44"/>
      <c r="C4198" s="44"/>
      <c r="D4198" s="44"/>
      <c r="E4198" s="44"/>
      <c r="F4198" s="44"/>
      <c r="G4198" s="44"/>
      <c r="H4198" s="46" t="str">
        <f aca="false">IF($A4198="","",IF(OR(NOT(ISNUMBER(E4198)),NOT(ISNUMBER(F4198))),"",MAX(0,E4198)*F4198))</f>
        <v/>
      </c>
      <c r="I4198" s="46" t="str">
        <f aca="false">IF($A4198="","",SUMIF($A$2:$A$5001,$A4198,$H$2:$H$5001))</f>
        <v/>
      </c>
      <c r="J4198" s="47" t="n">
        <f aca="false">IF($A4198="",0,IF(COUNTIF($A$2:A4198,$A4198)=1,1,0))</f>
        <v>0</v>
      </c>
      <c r="K4198" s="47" t="n">
        <f aca="false">IF(J4198=1,N(I4198)+ROW()/10000000,0)</f>
        <v>0</v>
      </c>
      <c r="L4198" s="47" t="str">
        <f aca="false">IF(AND(J4198=1,N(I4198)&gt;0),SUMIF($K$2:$K$5001,"&gt;="&amp;K4198,$I$2:$I$5001)/MAX(1,SUM($H$2:$H$5001)),"")</f>
        <v/>
      </c>
      <c r="M4198" s="47" t="str">
        <f aca="false">IF($A4198="","",INDEX($L$2:$L$5001,MATCH($A4198,$A$2:$A$5001,0)))</f>
        <v/>
      </c>
      <c r="N4198" s="48" t="str">
        <f aca="false">IF($A4198="","",IF(N(M4198)=0,"–",IF(M4198&lt;=Start!$D$20,"A",IF(M4198&lt;=Start!$D$21,"B","C"))))</f>
        <v/>
      </c>
      <c r="O4198" s="48" t="str">
        <f aca="false">IF($A4198="","",IF(NOT(ISNUMBER(F4198)),"Wert fehlt; ",IF(F4198&lt;=0,"Wert ist 0; ",""))&amp;IF(NOT(ISNUMBER(E4198)),"Bestand fehlt; ",IF(E4198&lt;0,"Bestand negativ; ",IF(E4198=0,"Nullbestand; ","")))&amp;IF(D4198="","Warengruppe fehlt; ","")&amp;IF(B4198="","Bezeichnung fehlt; ","")&amp;IF(COUNTIFS($A$2:$A$5001,$A4198,$C$2:$C$5001,C4198)&gt;1,"Artikel doppelt im selben Lager; ",""))</f>
        <v/>
      </c>
      <c r="P4198" s="47" t="n">
        <f aca="false">IF(OR($A4198="",D4198=""),0,IF(COUNTIF($D$2:D4198,D4198)=1,SUMIF($D$2:$D$5001,D4198,$H$2:$H$5001)+ROW()/10000000,0))</f>
        <v>0</v>
      </c>
      <c r="Q4198" s="47" t="n">
        <f aca="false">IF(OR($A4198="",C4198=""),0,IF(COUNTIF($C$2:C4198,C4198)=1,SUMIF($C$2:$C$5001,C4198,$H$2:$H$5001)+ROW()/10000000,0))</f>
        <v>0</v>
      </c>
    </row>
    <row r="4199" customFormat="false" ht="15" hidden="false" customHeight="false" outlineLevel="0" collapsed="false">
      <c r="A4199" s="43"/>
      <c r="B4199" s="44"/>
      <c r="C4199" s="44"/>
      <c r="D4199" s="44"/>
      <c r="E4199" s="44"/>
      <c r="F4199" s="44"/>
      <c r="G4199" s="44"/>
      <c r="H4199" s="46" t="str">
        <f aca="false">IF($A4199="","",IF(OR(NOT(ISNUMBER(E4199)),NOT(ISNUMBER(F4199))),"",MAX(0,E4199)*F4199))</f>
        <v/>
      </c>
      <c r="I4199" s="46" t="str">
        <f aca="false">IF($A4199="","",SUMIF($A$2:$A$5001,$A4199,$H$2:$H$5001))</f>
        <v/>
      </c>
      <c r="J4199" s="47" t="n">
        <f aca="false">IF($A4199="",0,IF(COUNTIF($A$2:A4199,$A4199)=1,1,0))</f>
        <v>0</v>
      </c>
      <c r="K4199" s="47" t="n">
        <f aca="false">IF(J4199=1,N(I4199)+ROW()/10000000,0)</f>
        <v>0</v>
      </c>
      <c r="L4199" s="47" t="str">
        <f aca="false">IF(AND(J4199=1,N(I4199)&gt;0),SUMIF($K$2:$K$5001,"&gt;="&amp;K4199,$I$2:$I$5001)/MAX(1,SUM($H$2:$H$5001)),"")</f>
        <v/>
      </c>
      <c r="M4199" s="47" t="str">
        <f aca="false">IF($A4199="","",INDEX($L$2:$L$5001,MATCH($A4199,$A$2:$A$5001,0)))</f>
        <v/>
      </c>
      <c r="N4199" s="48" t="str">
        <f aca="false">IF($A4199="","",IF(N(M4199)=0,"–",IF(M4199&lt;=Start!$D$20,"A",IF(M4199&lt;=Start!$D$21,"B","C"))))</f>
        <v/>
      </c>
      <c r="O4199" s="48" t="str">
        <f aca="false">IF($A4199="","",IF(NOT(ISNUMBER(F4199)),"Wert fehlt; ",IF(F4199&lt;=0,"Wert ist 0; ",""))&amp;IF(NOT(ISNUMBER(E4199)),"Bestand fehlt; ",IF(E4199&lt;0,"Bestand negativ; ",IF(E4199=0,"Nullbestand; ","")))&amp;IF(D4199="","Warengruppe fehlt; ","")&amp;IF(B4199="","Bezeichnung fehlt; ","")&amp;IF(COUNTIFS($A$2:$A$5001,$A4199,$C$2:$C$5001,C4199)&gt;1,"Artikel doppelt im selben Lager; ",""))</f>
        <v/>
      </c>
      <c r="P4199" s="47" t="n">
        <f aca="false">IF(OR($A4199="",D4199=""),0,IF(COUNTIF($D$2:D4199,D4199)=1,SUMIF($D$2:$D$5001,D4199,$H$2:$H$5001)+ROW()/10000000,0))</f>
        <v>0</v>
      </c>
      <c r="Q4199" s="47" t="n">
        <f aca="false">IF(OR($A4199="",C4199=""),0,IF(COUNTIF($C$2:C4199,C4199)=1,SUMIF($C$2:$C$5001,C4199,$H$2:$H$5001)+ROW()/10000000,0))</f>
        <v>0</v>
      </c>
    </row>
    <row r="4200" customFormat="false" ht="15" hidden="false" customHeight="false" outlineLevel="0" collapsed="false">
      <c r="A4200" s="43"/>
      <c r="B4200" s="44"/>
      <c r="C4200" s="44"/>
      <c r="D4200" s="44"/>
      <c r="E4200" s="44"/>
      <c r="F4200" s="44"/>
      <c r="G4200" s="44"/>
      <c r="H4200" s="46" t="str">
        <f aca="false">IF($A4200="","",IF(OR(NOT(ISNUMBER(E4200)),NOT(ISNUMBER(F4200))),"",MAX(0,E4200)*F4200))</f>
        <v/>
      </c>
      <c r="I4200" s="46" t="str">
        <f aca="false">IF($A4200="","",SUMIF($A$2:$A$5001,$A4200,$H$2:$H$5001))</f>
        <v/>
      </c>
      <c r="J4200" s="47" t="n">
        <f aca="false">IF($A4200="",0,IF(COUNTIF($A$2:A4200,$A4200)=1,1,0))</f>
        <v>0</v>
      </c>
      <c r="K4200" s="47" t="n">
        <f aca="false">IF(J4200=1,N(I4200)+ROW()/10000000,0)</f>
        <v>0</v>
      </c>
      <c r="L4200" s="47" t="str">
        <f aca="false">IF(AND(J4200=1,N(I4200)&gt;0),SUMIF($K$2:$K$5001,"&gt;="&amp;K4200,$I$2:$I$5001)/MAX(1,SUM($H$2:$H$5001)),"")</f>
        <v/>
      </c>
      <c r="M4200" s="47" t="str">
        <f aca="false">IF($A4200="","",INDEX($L$2:$L$5001,MATCH($A4200,$A$2:$A$5001,0)))</f>
        <v/>
      </c>
      <c r="N4200" s="48" t="str">
        <f aca="false">IF($A4200="","",IF(N(M4200)=0,"–",IF(M4200&lt;=Start!$D$20,"A",IF(M4200&lt;=Start!$D$21,"B","C"))))</f>
        <v/>
      </c>
      <c r="O4200" s="48" t="str">
        <f aca="false">IF($A4200="","",IF(NOT(ISNUMBER(F4200)),"Wert fehlt; ",IF(F4200&lt;=0,"Wert ist 0; ",""))&amp;IF(NOT(ISNUMBER(E4200)),"Bestand fehlt; ",IF(E4200&lt;0,"Bestand negativ; ",IF(E4200=0,"Nullbestand; ","")))&amp;IF(D4200="","Warengruppe fehlt; ","")&amp;IF(B4200="","Bezeichnung fehlt; ","")&amp;IF(COUNTIFS($A$2:$A$5001,$A4200,$C$2:$C$5001,C4200)&gt;1,"Artikel doppelt im selben Lager; ",""))</f>
        <v/>
      </c>
      <c r="P4200" s="47" t="n">
        <f aca="false">IF(OR($A4200="",D4200=""),0,IF(COUNTIF($D$2:D4200,D4200)=1,SUMIF($D$2:$D$5001,D4200,$H$2:$H$5001)+ROW()/10000000,0))</f>
        <v>0</v>
      </c>
      <c r="Q4200" s="47" t="n">
        <f aca="false">IF(OR($A4200="",C4200=""),0,IF(COUNTIF($C$2:C4200,C4200)=1,SUMIF($C$2:$C$5001,C4200,$H$2:$H$5001)+ROW()/10000000,0))</f>
        <v>0</v>
      </c>
    </row>
    <row r="4201" customFormat="false" ht="15" hidden="false" customHeight="false" outlineLevel="0" collapsed="false">
      <c r="A4201" s="43"/>
      <c r="B4201" s="44"/>
      <c r="C4201" s="44"/>
      <c r="D4201" s="44"/>
      <c r="E4201" s="44"/>
      <c r="F4201" s="44"/>
      <c r="G4201" s="44"/>
      <c r="H4201" s="46" t="str">
        <f aca="false">IF($A4201="","",IF(OR(NOT(ISNUMBER(E4201)),NOT(ISNUMBER(F4201))),"",MAX(0,E4201)*F4201))</f>
        <v/>
      </c>
      <c r="I4201" s="46" t="str">
        <f aca="false">IF($A4201="","",SUMIF($A$2:$A$5001,$A4201,$H$2:$H$5001))</f>
        <v/>
      </c>
      <c r="J4201" s="47" t="n">
        <f aca="false">IF($A4201="",0,IF(COUNTIF($A$2:A4201,$A4201)=1,1,0))</f>
        <v>0</v>
      </c>
      <c r="K4201" s="47" t="n">
        <f aca="false">IF(J4201=1,N(I4201)+ROW()/10000000,0)</f>
        <v>0</v>
      </c>
      <c r="L4201" s="47" t="str">
        <f aca="false">IF(AND(J4201=1,N(I4201)&gt;0),SUMIF($K$2:$K$5001,"&gt;="&amp;K4201,$I$2:$I$5001)/MAX(1,SUM($H$2:$H$5001)),"")</f>
        <v/>
      </c>
      <c r="M4201" s="47" t="str">
        <f aca="false">IF($A4201="","",INDEX($L$2:$L$5001,MATCH($A4201,$A$2:$A$5001,0)))</f>
        <v/>
      </c>
      <c r="N4201" s="48" t="str">
        <f aca="false">IF($A4201="","",IF(N(M4201)=0,"–",IF(M4201&lt;=Start!$D$20,"A",IF(M4201&lt;=Start!$D$21,"B","C"))))</f>
        <v/>
      </c>
      <c r="O4201" s="48" t="str">
        <f aca="false">IF($A4201="","",IF(NOT(ISNUMBER(F4201)),"Wert fehlt; ",IF(F4201&lt;=0,"Wert ist 0; ",""))&amp;IF(NOT(ISNUMBER(E4201)),"Bestand fehlt; ",IF(E4201&lt;0,"Bestand negativ; ",IF(E4201=0,"Nullbestand; ","")))&amp;IF(D4201="","Warengruppe fehlt; ","")&amp;IF(B4201="","Bezeichnung fehlt; ","")&amp;IF(COUNTIFS($A$2:$A$5001,$A4201,$C$2:$C$5001,C4201)&gt;1,"Artikel doppelt im selben Lager; ",""))</f>
        <v/>
      </c>
      <c r="P4201" s="47" t="n">
        <f aca="false">IF(OR($A4201="",D4201=""),0,IF(COUNTIF($D$2:D4201,D4201)=1,SUMIF($D$2:$D$5001,D4201,$H$2:$H$5001)+ROW()/10000000,0))</f>
        <v>0</v>
      </c>
      <c r="Q4201" s="47" t="n">
        <f aca="false">IF(OR($A4201="",C4201=""),0,IF(COUNTIF($C$2:C4201,C4201)=1,SUMIF($C$2:$C$5001,C4201,$H$2:$H$5001)+ROW()/10000000,0))</f>
        <v>0</v>
      </c>
    </row>
    <row r="4202" customFormat="false" ht="15" hidden="false" customHeight="false" outlineLevel="0" collapsed="false">
      <c r="A4202" s="43"/>
      <c r="B4202" s="44"/>
      <c r="C4202" s="44"/>
      <c r="D4202" s="44"/>
      <c r="E4202" s="44"/>
      <c r="F4202" s="44"/>
      <c r="G4202" s="44"/>
      <c r="H4202" s="46" t="str">
        <f aca="false">IF($A4202="","",IF(OR(NOT(ISNUMBER(E4202)),NOT(ISNUMBER(F4202))),"",MAX(0,E4202)*F4202))</f>
        <v/>
      </c>
      <c r="I4202" s="46" t="str">
        <f aca="false">IF($A4202="","",SUMIF($A$2:$A$5001,$A4202,$H$2:$H$5001))</f>
        <v/>
      </c>
      <c r="J4202" s="47" t="n">
        <f aca="false">IF($A4202="",0,IF(COUNTIF($A$2:A4202,$A4202)=1,1,0))</f>
        <v>0</v>
      </c>
      <c r="K4202" s="47" t="n">
        <f aca="false">IF(J4202=1,N(I4202)+ROW()/10000000,0)</f>
        <v>0</v>
      </c>
      <c r="L4202" s="47" t="str">
        <f aca="false">IF(AND(J4202=1,N(I4202)&gt;0),SUMIF($K$2:$K$5001,"&gt;="&amp;K4202,$I$2:$I$5001)/MAX(1,SUM($H$2:$H$5001)),"")</f>
        <v/>
      </c>
      <c r="M4202" s="47" t="str">
        <f aca="false">IF($A4202="","",INDEX($L$2:$L$5001,MATCH($A4202,$A$2:$A$5001,0)))</f>
        <v/>
      </c>
      <c r="N4202" s="48" t="str">
        <f aca="false">IF($A4202="","",IF(N(M4202)=0,"–",IF(M4202&lt;=Start!$D$20,"A",IF(M4202&lt;=Start!$D$21,"B","C"))))</f>
        <v/>
      </c>
      <c r="O4202" s="48" t="str">
        <f aca="false">IF($A4202="","",IF(NOT(ISNUMBER(F4202)),"Wert fehlt; ",IF(F4202&lt;=0,"Wert ist 0; ",""))&amp;IF(NOT(ISNUMBER(E4202)),"Bestand fehlt; ",IF(E4202&lt;0,"Bestand negativ; ",IF(E4202=0,"Nullbestand; ","")))&amp;IF(D4202="","Warengruppe fehlt; ","")&amp;IF(B4202="","Bezeichnung fehlt; ","")&amp;IF(COUNTIFS($A$2:$A$5001,$A4202,$C$2:$C$5001,C4202)&gt;1,"Artikel doppelt im selben Lager; ",""))</f>
        <v/>
      </c>
      <c r="P4202" s="47" t="n">
        <f aca="false">IF(OR($A4202="",D4202=""),0,IF(COUNTIF($D$2:D4202,D4202)=1,SUMIF($D$2:$D$5001,D4202,$H$2:$H$5001)+ROW()/10000000,0))</f>
        <v>0</v>
      </c>
      <c r="Q4202" s="47" t="n">
        <f aca="false">IF(OR($A4202="",C4202=""),0,IF(COUNTIF($C$2:C4202,C4202)=1,SUMIF($C$2:$C$5001,C4202,$H$2:$H$5001)+ROW()/10000000,0))</f>
        <v>0</v>
      </c>
    </row>
    <row r="4203" customFormat="false" ht="15" hidden="false" customHeight="false" outlineLevel="0" collapsed="false">
      <c r="A4203" s="43"/>
      <c r="B4203" s="44"/>
      <c r="C4203" s="44"/>
      <c r="D4203" s="44"/>
      <c r="E4203" s="44"/>
      <c r="F4203" s="44"/>
      <c r="G4203" s="44"/>
      <c r="H4203" s="46" t="str">
        <f aca="false">IF($A4203="","",IF(OR(NOT(ISNUMBER(E4203)),NOT(ISNUMBER(F4203))),"",MAX(0,E4203)*F4203))</f>
        <v/>
      </c>
      <c r="I4203" s="46" t="str">
        <f aca="false">IF($A4203="","",SUMIF($A$2:$A$5001,$A4203,$H$2:$H$5001))</f>
        <v/>
      </c>
      <c r="J4203" s="47" t="n">
        <f aca="false">IF($A4203="",0,IF(COUNTIF($A$2:A4203,$A4203)=1,1,0))</f>
        <v>0</v>
      </c>
      <c r="K4203" s="47" t="n">
        <f aca="false">IF(J4203=1,N(I4203)+ROW()/10000000,0)</f>
        <v>0</v>
      </c>
      <c r="L4203" s="47" t="str">
        <f aca="false">IF(AND(J4203=1,N(I4203)&gt;0),SUMIF($K$2:$K$5001,"&gt;="&amp;K4203,$I$2:$I$5001)/MAX(1,SUM($H$2:$H$5001)),"")</f>
        <v/>
      </c>
      <c r="M4203" s="47" t="str">
        <f aca="false">IF($A4203="","",INDEX($L$2:$L$5001,MATCH($A4203,$A$2:$A$5001,0)))</f>
        <v/>
      </c>
      <c r="N4203" s="48" t="str">
        <f aca="false">IF($A4203="","",IF(N(M4203)=0,"–",IF(M4203&lt;=Start!$D$20,"A",IF(M4203&lt;=Start!$D$21,"B","C"))))</f>
        <v/>
      </c>
      <c r="O4203" s="48" t="str">
        <f aca="false">IF($A4203="","",IF(NOT(ISNUMBER(F4203)),"Wert fehlt; ",IF(F4203&lt;=0,"Wert ist 0; ",""))&amp;IF(NOT(ISNUMBER(E4203)),"Bestand fehlt; ",IF(E4203&lt;0,"Bestand negativ; ",IF(E4203=0,"Nullbestand; ","")))&amp;IF(D4203="","Warengruppe fehlt; ","")&amp;IF(B4203="","Bezeichnung fehlt; ","")&amp;IF(COUNTIFS($A$2:$A$5001,$A4203,$C$2:$C$5001,C4203)&gt;1,"Artikel doppelt im selben Lager; ",""))</f>
        <v/>
      </c>
      <c r="P4203" s="47" t="n">
        <f aca="false">IF(OR($A4203="",D4203=""),0,IF(COUNTIF($D$2:D4203,D4203)=1,SUMIF($D$2:$D$5001,D4203,$H$2:$H$5001)+ROW()/10000000,0))</f>
        <v>0</v>
      </c>
      <c r="Q4203" s="47" t="n">
        <f aca="false">IF(OR($A4203="",C4203=""),0,IF(COUNTIF($C$2:C4203,C4203)=1,SUMIF($C$2:$C$5001,C4203,$H$2:$H$5001)+ROW()/10000000,0))</f>
        <v>0</v>
      </c>
    </row>
    <row r="4204" customFormat="false" ht="15" hidden="false" customHeight="false" outlineLevel="0" collapsed="false">
      <c r="A4204" s="43"/>
      <c r="B4204" s="44"/>
      <c r="C4204" s="44"/>
      <c r="D4204" s="44"/>
      <c r="E4204" s="44"/>
      <c r="F4204" s="44"/>
      <c r="G4204" s="44"/>
      <c r="H4204" s="46" t="str">
        <f aca="false">IF($A4204="","",IF(OR(NOT(ISNUMBER(E4204)),NOT(ISNUMBER(F4204))),"",MAX(0,E4204)*F4204))</f>
        <v/>
      </c>
      <c r="I4204" s="46" t="str">
        <f aca="false">IF($A4204="","",SUMIF($A$2:$A$5001,$A4204,$H$2:$H$5001))</f>
        <v/>
      </c>
      <c r="J4204" s="47" t="n">
        <f aca="false">IF($A4204="",0,IF(COUNTIF($A$2:A4204,$A4204)=1,1,0))</f>
        <v>0</v>
      </c>
      <c r="K4204" s="47" t="n">
        <f aca="false">IF(J4204=1,N(I4204)+ROW()/10000000,0)</f>
        <v>0</v>
      </c>
      <c r="L4204" s="47" t="str">
        <f aca="false">IF(AND(J4204=1,N(I4204)&gt;0),SUMIF($K$2:$K$5001,"&gt;="&amp;K4204,$I$2:$I$5001)/MAX(1,SUM($H$2:$H$5001)),"")</f>
        <v/>
      </c>
      <c r="M4204" s="47" t="str">
        <f aca="false">IF($A4204="","",INDEX($L$2:$L$5001,MATCH($A4204,$A$2:$A$5001,0)))</f>
        <v/>
      </c>
      <c r="N4204" s="48" t="str">
        <f aca="false">IF($A4204="","",IF(N(M4204)=0,"–",IF(M4204&lt;=Start!$D$20,"A",IF(M4204&lt;=Start!$D$21,"B","C"))))</f>
        <v/>
      </c>
      <c r="O4204" s="48" t="str">
        <f aca="false">IF($A4204="","",IF(NOT(ISNUMBER(F4204)),"Wert fehlt; ",IF(F4204&lt;=0,"Wert ist 0; ",""))&amp;IF(NOT(ISNUMBER(E4204)),"Bestand fehlt; ",IF(E4204&lt;0,"Bestand negativ; ",IF(E4204=0,"Nullbestand; ","")))&amp;IF(D4204="","Warengruppe fehlt; ","")&amp;IF(B4204="","Bezeichnung fehlt; ","")&amp;IF(COUNTIFS($A$2:$A$5001,$A4204,$C$2:$C$5001,C4204)&gt;1,"Artikel doppelt im selben Lager; ",""))</f>
        <v/>
      </c>
      <c r="P4204" s="47" t="n">
        <f aca="false">IF(OR($A4204="",D4204=""),0,IF(COUNTIF($D$2:D4204,D4204)=1,SUMIF($D$2:$D$5001,D4204,$H$2:$H$5001)+ROW()/10000000,0))</f>
        <v>0</v>
      </c>
      <c r="Q4204" s="47" t="n">
        <f aca="false">IF(OR($A4204="",C4204=""),0,IF(COUNTIF($C$2:C4204,C4204)=1,SUMIF($C$2:$C$5001,C4204,$H$2:$H$5001)+ROW()/10000000,0))</f>
        <v>0</v>
      </c>
    </row>
    <row r="4205" customFormat="false" ht="15" hidden="false" customHeight="false" outlineLevel="0" collapsed="false">
      <c r="A4205" s="43"/>
      <c r="B4205" s="44"/>
      <c r="C4205" s="44"/>
      <c r="D4205" s="44"/>
      <c r="E4205" s="44"/>
      <c r="F4205" s="44"/>
      <c r="G4205" s="44"/>
      <c r="H4205" s="46" t="str">
        <f aca="false">IF($A4205="","",IF(OR(NOT(ISNUMBER(E4205)),NOT(ISNUMBER(F4205))),"",MAX(0,E4205)*F4205))</f>
        <v/>
      </c>
      <c r="I4205" s="46" t="str">
        <f aca="false">IF($A4205="","",SUMIF($A$2:$A$5001,$A4205,$H$2:$H$5001))</f>
        <v/>
      </c>
      <c r="J4205" s="47" t="n">
        <f aca="false">IF($A4205="",0,IF(COUNTIF($A$2:A4205,$A4205)=1,1,0))</f>
        <v>0</v>
      </c>
      <c r="K4205" s="47" t="n">
        <f aca="false">IF(J4205=1,N(I4205)+ROW()/10000000,0)</f>
        <v>0</v>
      </c>
      <c r="L4205" s="47" t="str">
        <f aca="false">IF(AND(J4205=1,N(I4205)&gt;0),SUMIF($K$2:$K$5001,"&gt;="&amp;K4205,$I$2:$I$5001)/MAX(1,SUM($H$2:$H$5001)),"")</f>
        <v/>
      </c>
      <c r="M4205" s="47" t="str">
        <f aca="false">IF($A4205="","",INDEX($L$2:$L$5001,MATCH($A4205,$A$2:$A$5001,0)))</f>
        <v/>
      </c>
      <c r="N4205" s="48" t="str">
        <f aca="false">IF($A4205="","",IF(N(M4205)=0,"–",IF(M4205&lt;=Start!$D$20,"A",IF(M4205&lt;=Start!$D$21,"B","C"))))</f>
        <v/>
      </c>
      <c r="O4205" s="48" t="str">
        <f aca="false">IF($A4205="","",IF(NOT(ISNUMBER(F4205)),"Wert fehlt; ",IF(F4205&lt;=0,"Wert ist 0; ",""))&amp;IF(NOT(ISNUMBER(E4205)),"Bestand fehlt; ",IF(E4205&lt;0,"Bestand negativ; ",IF(E4205=0,"Nullbestand; ","")))&amp;IF(D4205="","Warengruppe fehlt; ","")&amp;IF(B4205="","Bezeichnung fehlt; ","")&amp;IF(COUNTIFS($A$2:$A$5001,$A4205,$C$2:$C$5001,C4205)&gt;1,"Artikel doppelt im selben Lager; ",""))</f>
        <v/>
      </c>
      <c r="P4205" s="47" t="n">
        <f aca="false">IF(OR($A4205="",D4205=""),0,IF(COUNTIF($D$2:D4205,D4205)=1,SUMIF($D$2:$D$5001,D4205,$H$2:$H$5001)+ROW()/10000000,0))</f>
        <v>0</v>
      </c>
      <c r="Q4205" s="47" t="n">
        <f aca="false">IF(OR($A4205="",C4205=""),0,IF(COUNTIF($C$2:C4205,C4205)=1,SUMIF($C$2:$C$5001,C4205,$H$2:$H$5001)+ROW()/10000000,0))</f>
        <v>0</v>
      </c>
    </row>
    <row r="4206" customFormat="false" ht="15" hidden="false" customHeight="false" outlineLevel="0" collapsed="false">
      <c r="A4206" s="43"/>
      <c r="B4206" s="44"/>
      <c r="C4206" s="44"/>
      <c r="D4206" s="44"/>
      <c r="E4206" s="44"/>
      <c r="F4206" s="44"/>
      <c r="G4206" s="44"/>
      <c r="H4206" s="46" t="str">
        <f aca="false">IF($A4206="","",IF(OR(NOT(ISNUMBER(E4206)),NOT(ISNUMBER(F4206))),"",MAX(0,E4206)*F4206))</f>
        <v/>
      </c>
      <c r="I4206" s="46" t="str">
        <f aca="false">IF($A4206="","",SUMIF($A$2:$A$5001,$A4206,$H$2:$H$5001))</f>
        <v/>
      </c>
      <c r="J4206" s="47" t="n">
        <f aca="false">IF($A4206="",0,IF(COUNTIF($A$2:A4206,$A4206)=1,1,0))</f>
        <v>0</v>
      </c>
      <c r="K4206" s="47" t="n">
        <f aca="false">IF(J4206=1,N(I4206)+ROW()/10000000,0)</f>
        <v>0</v>
      </c>
      <c r="L4206" s="47" t="str">
        <f aca="false">IF(AND(J4206=1,N(I4206)&gt;0),SUMIF($K$2:$K$5001,"&gt;="&amp;K4206,$I$2:$I$5001)/MAX(1,SUM($H$2:$H$5001)),"")</f>
        <v/>
      </c>
      <c r="M4206" s="47" t="str">
        <f aca="false">IF($A4206="","",INDEX($L$2:$L$5001,MATCH($A4206,$A$2:$A$5001,0)))</f>
        <v/>
      </c>
      <c r="N4206" s="48" t="str">
        <f aca="false">IF($A4206="","",IF(N(M4206)=0,"–",IF(M4206&lt;=Start!$D$20,"A",IF(M4206&lt;=Start!$D$21,"B","C"))))</f>
        <v/>
      </c>
      <c r="O4206" s="48" t="str">
        <f aca="false">IF($A4206="","",IF(NOT(ISNUMBER(F4206)),"Wert fehlt; ",IF(F4206&lt;=0,"Wert ist 0; ",""))&amp;IF(NOT(ISNUMBER(E4206)),"Bestand fehlt; ",IF(E4206&lt;0,"Bestand negativ; ",IF(E4206=0,"Nullbestand; ","")))&amp;IF(D4206="","Warengruppe fehlt; ","")&amp;IF(B4206="","Bezeichnung fehlt; ","")&amp;IF(COUNTIFS($A$2:$A$5001,$A4206,$C$2:$C$5001,C4206)&gt;1,"Artikel doppelt im selben Lager; ",""))</f>
        <v/>
      </c>
      <c r="P4206" s="47" t="n">
        <f aca="false">IF(OR($A4206="",D4206=""),0,IF(COUNTIF($D$2:D4206,D4206)=1,SUMIF($D$2:$D$5001,D4206,$H$2:$H$5001)+ROW()/10000000,0))</f>
        <v>0</v>
      </c>
      <c r="Q4206" s="47" t="n">
        <f aca="false">IF(OR($A4206="",C4206=""),0,IF(COUNTIF($C$2:C4206,C4206)=1,SUMIF($C$2:$C$5001,C4206,$H$2:$H$5001)+ROW()/10000000,0))</f>
        <v>0</v>
      </c>
    </row>
    <row r="4207" customFormat="false" ht="15" hidden="false" customHeight="false" outlineLevel="0" collapsed="false">
      <c r="A4207" s="43"/>
      <c r="B4207" s="44"/>
      <c r="C4207" s="44"/>
      <c r="D4207" s="44"/>
      <c r="E4207" s="44"/>
      <c r="F4207" s="44"/>
      <c r="G4207" s="44"/>
      <c r="H4207" s="46" t="str">
        <f aca="false">IF($A4207="","",IF(OR(NOT(ISNUMBER(E4207)),NOT(ISNUMBER(F4207))),"",MAX(0,E4207)*F4207))</f>
        <v/>
      </c>
      <c r="I4207" s="46" t="str">
        <f aca="false">IF($A4207="","",SUMIF($A$2:$A$5001,$A4207,$H$2:$H$5001))</f>
        <v/>
      </c>
      <c r="J4207" s="47" t="n">
        <f aca="false">IF($A4207="",0,IF(COUNTIF($A$2:A4207,$A4207)=1,1,0))</f>
        <v>0</v>
      </c>
      <c r="K4207" s="47" t="n">
        <f aca="false">IF(J4207=1,N(I4207)+ROW()/10000000,0)</f>
        <v>0</v>
      </c>
      <c r="L4207" s="47" t="str">
        <f aca="false">IF(AND(J4207=1,N(I4207)&gt;0),SUMIF($K$2:$K$5001,"&gt;="&amp;K4207,$I$2:$I$5001)/MAX(1,SUM($H$2:$H$5001)),"")</f>
        <v/>
      </c>
      <c r="M4207" s="47" t="str">
        <f aca="false">IF($A4207="","",INDEX($L$2:$L$5001,MATCH($A4207,$A$2:$A$5001,0)))</f>
        <v/>
      </c>
      <c r="N4207" s="48" t="str">
        <f aca="false">IF($A4207="","",IF(N(M4207)=0,"–",IF(M4207&lt;=Start!$D$20,"A",IF(M4207&lt;=Start!$D$21,"B","C"))))</f>
        <v/>
      </c>
      <c r="O4207" s="48" t="str">
        <f aca="false">IF($A4207="","",IF(NOT(ISNUMBER(F4207)),"Wert fehlt; ",IF(F4207&lt;=0,"Wert ist 0; ",""))&amp;IF(NOT(ISNUMBER(E4207)),"Bestand fehlt; ",IF(E4207&lt;0,"Bestand negativ; ",IF(E4207=0,"Nullbestand; ","")))&amp;IF(D4207="","Warengruppe fehlt; ","")&amp;IF(B4207="","Bezeichnung fehlt; ","")&amp;IF(COUNTIFS($A$2:$A$5001,$A4207,$C$2:$C$5001,C4207)&gt;1,"Artikel doppelt im selben Lager; ",""))</f>
        <v/>
      </c>
      <c r="P4207" s="47" t="n">
        <f aca="false">IF(OR($A4207="",D4207=""),0,IF(COUNTIF($D$2:D4207,D4207)=1,SUMIF($D$2:$D$5001,D4207,$H$2:$H$5001)+ROW()/10000000,0))</f>
        <v>0</v>
      </c>
      <c r="Q4207" s="47" t="n">
        <f aca="false">IF(OR($A4207="",C4207=""),0,IF(COUNTIF($C$2:C4207,C4207)=1,SUMIF($C$2:$C$5001,C4207,$H$2:$H$5001)+ROW()/10000000,0))</f>
        <v>0</v>
      </c>
    </row>
    <row r="4208" customFormat="false" ht="15" hidden="false" customHeight="false" outlineLevel="0" collapsed="false">
      <c r="A4208" s="43"/>
      <c r="B4208" s="44"/>
      <c r="C4208" s="44"/>
      <c r="D4208" s="44"/>
      <c r="E4208" s="44"/>
      <c r="F4208" s="44"/>
      <c r="G4208" s="44"/>
      <c r="H4208" s="46" t="str">
        <f aca="false">IF($A4208="","",IF(OR(NOT(ISNUMBER(E4208)),NOT(ISNUMBER(F4208))),"",MAX(0,E4208)*F4208))</f>
        <v/>
      </c>
      <c r="I4208" s="46" t="str">
        <f aca="false">IF($A4208="","",SUMIF($A$2:$A$5001,$A4208,$H$2:$H$5001))</f>
        <v/>
      </c>
      <c r="J4208" s="47" t="n">
        <f aca="false">IF($A4208="",0,IF(COUNTIF($A$2:A4208,$A4208)=1,1,0))</f>
        <v>0</v>
      </c>
      <c r="K4208" s="47" t="n">
        <f aca="false">IF(J4208=1,N(I4208)+ROW()/10000000,0)</f>
        <v>0</v>
      </c>
      <c r="L4208" s="47" t="str">
        <f aca="false">IF(AND(J4208=1,N(I4208)&gt;0),SUMIF($K$2:$K$5001,"&gt;="&amp;K4208,$I$2:$I$5001)/MAX(1,SUM($H$2:$H$5001)),"")</f>
        <v/>
      </c>
      <c r="M4208" s="47" t="str">
        <f aca="false">IF($A4208="","",INDEX($L$2:$L$5001,MATCH($A4208,$A$2:$A$5001,0)))</f>
        <v/>
      </c>
      <c r="N4208" s="48" t="str">
        <f aca="false">IF($A4208="","",IF(N(M4208)=0,"–",IF(M4208&lt;=Start!$D$20,"A",IF(M4208&lt;=Start!$D$21,"B","C"))))</f>
        <v/>
      </c>
      <c r="O4208" s="48" t="str">
        <f aca="false">IF($A4208="","",IF(NOT(ISNUMBER(F4208)),"Wert fehlt; ",IF(F4208&lt;=0,"Wert ist 0; ",""))&amp;IF(NOT(ISNUMBER(E4208)),"Bestand fehlt; ",IF(E4208&lt;0,"Bestand negativ; ",IF(E4208=0,"Nullbestand; ","")))&amp;IF(D4208="","Warengruppe fehlt; ","")&amp;IF(B4208="","Bezeichnung fehlt; ","")&amp;IF(COUNTIFS($A$2:$A$5001,$A4208,$C$2:$C$5001,C4208)&gt;1,"Artikel doppelt im selben Lager; ",""))</f>
        <v/>
      </c>
      <c r="P4208" s="47" t="n">
        <f aca="false">IF(OR($A4208="",D4208=""),0,IF(COUNTIF($D$2:D4208,D4208)=1,SUMIF($D$2:$D$5001,D4208,$H$2:$H$5001)+ROW()/10000000,0))</f>
        <v>0</v>
      </c>
      <c r="Q4208" s="47" t="n">
        <f aca="false">IF(OR($A4208="",C4208=""),0,IF(COUNTIF($C$2:C4208,C4208)=1,SUMIF($C$2:$C$5001,C4208,$H$2:$H$5001)+ROW()/10000000,0))</f>
        <v>0</v>
      </c>
    </row>
    <row r="4209" customFormat="false" ht="15" hidden="false" customHeight="false" outlineLevel="0" collapsed="false">
      <c r="A4209" s="43"/>
      <c r="B4209" s="44"/>
      <c r="C4209" s="44"/>
      <c r="D4209" s="44"/>
      <c r="E4209" s="44"/>
      <c r="F4209" s="44"/>
      <c r="G4209" s="44"/>
      <c r="H4209" s="46" t="str">
        <f aca="false">IF($A4209="","",IF(OR(NOT(ISNUMBER(E4209)),NOT(ISNUMBER(F4209))),"",MAX(0,E4209)*F4209))</f>
        <v/>
      </c>
      <c r="I4209" s="46" t="str">
        <f aca="false">IF($A4209="","",SUMIF($A$2:$A$5001,$A4209,$H$2:$H$5001))</f>
        <v/>
      </c>
      <c r="J4209" s="47" t="n">
        <f aca="false">IF($A4209="",0,IF(COUNTIF($A$2:A4209,$A4209)=1,1,0))</f>
        <v>0</v>
      </c>
      <c r="K4209" s="47" t="n">
        <f aca="false">IF(J4209=1,N(I4209)+ROW()/10000000,0)</f>
        <v>0</v>
      </c>
      <c r="L4209" s="47" t="str">
        <f aca="false">IF(AND(J4209=1,N(I4209)&gt;0),SUMIF($K$2:$K$5001,"&gt;="&amp;K4209,$I$2:$I$5001)/MAX(1,SUM($H$2:$H$5001)),"")</f>
        <v/>
      </c>
      <c r="M4209" s="47" t="str">
        <f aca="false">IF($A4209="","",INDEX($L$2:$L$5001,MATCH($A4209,$A$2:$A$5001,0)))</f>
        <v/>
      </c>
      <c r="N4209" s="48" t="str">
        <f aca="false">IF($A4209="","",IF(N(M4209)=0,"–",IF(M4209&lt;=Start!$D$20,"A",IF(M4209&lt;=Start!$D$21,"B","C"))))</f>
        <v/>
      </c>
      <c r="O4209" s="48" t="str">
        <f aca="false">IF($A4209="","",IF(NOT(ISNUMBER(F4209)),"Wert fehlt; ",IF(F4209&lt;=0,"Wert ist 0; ",""))&amp;IF(NOT(ISNUMBER(E4209)),"Bestand fehlt; ",IF(E4209&lt;0,"Bestand negativ; ",IF(E4209=0,"Nullbestand; ","")))&amp;IF(D4209="","Warengruppe fehlt; ","")&amp;IF(B4209="","Bezeichnung fehlt; ","")&amp;IF(COUNTIFS($A$2:$A$5001,$A4209,$C$2:$C$5001,C4209)&gt;1,"Artikel doppelt im selben Lager; ",""))</f>
        <v/>
      </c>
      <c r="P4209" s="47" t="n">
        <f aca="false">IF(OR($A4209="",D4209=""),0,IF(COUNTIF($D$2:D4209,D4209)=1,SUMIF($D$2:$D$5001,D4209,$H$2:$H$5001)+ROW()/10000000,0))</f>
        <v>0</v>
      </c>
      <c r="Q4209" s="47" t="n">
        <f aca="false">IF(OR($A4209="",C4209=""),0,IF(COUNTIF($C$2:C4209,C4209)=1,SUMIF($C$2:$C$5001,C4209,$H$2:$H$5001)+ROW()/10000000,0))</f>
        <v>0</v>
      </c>
    </row>
    <row r="4210" customFormat="false" ht="15" hidden="false" customHeight="false" outlineLevel="0" collapsed="false">
      <c r="A4210" s="43"/>
      <c r="B4210" s="44"/>
      <c r="C4210" s="44"/>
      <c r="D4210" s="44"/>
      <c r="E4210" s="44"/>
      <c r="F4210" s="44"/>
      <c r="G4210" s="44"/>
      <c r="H4210" s="46" t="str">
        <f aca="false">IF($A4210="","",IF(OR(NOT(ISNUMBER(E4210)),NOT(ISNUMBER(F4210))),"",MAX(0,E4210)*F4210))</f>
        <v/>
      </c>
      <c r="I4210" s="46" t="str">
        <f aca="false">IF($A4210="","",SUMIF($A$2:$A$5001,$A4210,$H$2:$H$5001))</f>
        <v/>
      </c>
      <c r="J4210" s="47" t="n">
        <f aca="false">IF($A4210="",0,IF(COUNTIF($A$2:A4210,$A4210)=1,1,0))</f>
        <v>0</v>
      </c>
      <c r="K4210" s="47" t="n">
        <f aca="false">IF(J4210=1,N(I4210)+ROW()/10000000,0)</f>
        <v>0</v>
      </c>
      <c r="L4210" s="47" t="str">
        <f aca="false">IF(AND(J4210=1,N(I4210)&gt;0),SUMIF($K$2:$K$5001,"&gt;="&amp;K4210,$I$2:$I$5001)/MAX(1,SUM($H$2:$H$5001)),"")</f>
        <v/>
      </c>
      <c r="M4210" s="47" t="str">
        <f aca="false">IF($A4210="","",INDEX($L$2:$L$5001,MATCH($A4210,$A$2:$A$5001,0)))</f>
        <v/>
      </c>
      <c r="N4210" s="48" t="str">
        <f aca="false">IF($A4210="","",IF(N(M4210)=0,"–",IF(M4210&lt;=Start!$D$20,"A",IF(M4210&lt;=Start!$D$21,"B","C"))))</f>
        <v/>
      </c>
      <c r="O4210" s="48" t="str">
        <f aca="false">IF($A4210="","",IF(NOT(ISNUMBER(F4210)),"Wert fehlt; ",IF(F4210&lt;=0,"Wert ist 0; ",""))&amp;IF(NOT(ISNUMBER(E4210)),"Bestand fehlt; ",IF(E4210&lt;0,"Bestand negativ; ",IF(E4210=0,"Nullbestand; ","")))&amp;IF(D4210="","Warengruppe fehlt; ","")&amp;IF(B4210="","Bezeichnung fehlt; ","")&amp;IF(COUNTIFS($A$2:$A$5001,$A4210,$C$2:$C$5001,C4210)&gt;1,"Artikel doppelt im selben Lager; ",""))</f>
        <v/>
      </c>
      <c r="P4210" s="47" t="n">
        <f aca="false">IF(OR($A4210="",D4210=""),0,IF(COUNTIF($D$2:D4210,D4210)=1,SUMIF($D$2:$D$5001,D4210,$H$2:$H$5001)+ROW()/10000000,0))</f>
        <v>0</v>
      </c>
      <c r="Q4210" s="47" t="n">
        <f aca="false">IF(OR($A4210="",C4210=""),0,IF(COUNTIF($C$2:C4210,C4210)=1,SUMIF($C$2:$C$5001,C4210,$H$2:$H$5001)+ROW()/10000000,0))</f>
        <v>0</v>
      </c>
    </row>
    <row r="4211" customFormat="false" ht="15" hidden="false" customHeight="false" outlineLevel="0" collapsed="false">
      <c r="A4211" s="43"/>
      <c r="B4211" s="44"/>
      <c r="C4211" s="44"/>
      <c r="D4211" s="44"/>
      <c r="E4211" s="44"/>
      <c r="F4211" s="44"/>
      <c r="G4211" s="44"/>
      <c r="H4211" s="46" t="str">
        <f aca="false">IF($A4211="","",IF(OR(NOT(ISNUMBER(E4211)),NOT(ISNUMBER(F4211))),"",MAX(0,E4211)*F4211))</f>
        <v/>
      </c>
      <c r="I4211" s="46" t="str">
        <f aca="false">IF($A4211="","",SUMIF($A$2:$A$5001,$A4211,$H$2:$H$5001))</f>
        <v/>
      </c>
      <c r="J4211" s="47" t="n">
        <f aca="false">IF($A4211="",0,IF(COUNTIF($A$2:A4211,$A4211)=1,1,0))</f>
        <v>0</v>
      </c>
      <c r="K4211" s="47" t="n">
        <f aca="false">IF(J4211=1,N(I4211)+ROW()/10000000,0)</f>
        <v>0</v>
      </c>
      <c r="L4211" s="47" t="str">
        <f aca="false">IF(AND(J4211=1,N(I4211)&gt;0),SUMIF($K$2:$K$5001,"&gt;="&amp;K4211,$I$2:$I$5001)/MAX(1,SUM($H$2:$H$5001)),"")</f>
        <v/>
      </c>
      <c r="M4211" s="47" t="str">
        <f aca="false">IF($A4211="","",INDEX($L$2:$L$5001,MATCH($A4211,$A$2:$A$5001,0)))</f>
        <v/>
      </c>
      <c r="N4211" s="48" t="str">
        <f aca="false">IF($A4211="","",IF(N(M4211)=0,"–",IF(M4211&lt;=Start!$D$20,"A",IF(M4211&lt;=Start!$D$21,"B","C"))))</f>
        <v/>
      </c>
      <c r="O4211" s="48" t="str">
        <f aca="false">IF($A4211="","",IF(NOT(ISNUMBER(F4211)),"Wert fehlt; ",IF(F4211&lt;=0,"Wert ist 0; ",""))&amp;IF(NOT(ISNUMBER(E4211)),"Bestand fehlt; ",IF(E4211&lt;0,"Bestand negativ; ",IF(E4211=0,"Nullbestand; ","")))&amp;IF(D4211="","Warengruppe fehlt; ","")&amp;IF(B4211="","Bezeichnung fehlt; ","")&amp;IF(COUNTIFS($A$2:$A$5001,$A4211,$C$2:$C$5001,C4211)&gt;1,"Artikel doppelt im selben Lager; ",""))</f>
        <v/>
      </c>
      <c r="P4211" s="47" t="n">
        <f aca="false">IF(OR($A4211="",D4211=""),0,IF(COUNTIF($D$2:D4211,D4211)=1,SUMIF($D$2:$D$5001,D4211,$H$2:$H$5001)+ROW()/10000000,0))</f>
        <v>0</v>
      </c>
      <c r="Q4211" s="47" t="n">
        <f aca="false">IF(OR($A4211="",C4211=""),0,IF(COUNTIF($C$2:C4211,C4211)=1,SUMIF($C$2:$C$5001,C4211,$H$2:$H$5001)+ROW()/10000000,0))</f>
        <v>0</v>
      </c>
    </row>
    <row r="4212" customFormat="false" ht="15" hidden="false" customHeight="false" outlineLevel="0" collapsed="false">
      <c r="A4212" s="43"/>
      <c r="B4212" s="44"/>
      <c r="C4212" s="44"/>
      <c r="D4212" s="44"/>
      <c r="E4212" s="44"/>
      <c r="F4212" s="44"/>
      <c r="G4212" s="44"/>
      <c r="H4212" s="46" t="str">
        <f aca="false">IF($A4212="","",IF(OR(NOT(ISNUMBER(E4212)),NOT(ISNUMBER(F4212))),"",MAX(0,E4212)*F4212))</f>
        <v/>
      </c>
      <c r="I4212" s="46" t="str">
        <f aca="false">IF($A4212="","",SUMIF($A$2:$A$5001,$A4212,$H$2:$H$5001))</f>
        <v/>
      </c>
      <c r="J4212" s="47" t="n">
        <f aca="false">IF($A4212="",0,IF(COUNTIF($A$2:A4212,$A4212)=1,1,0))</f>
        <v>0</v>
      </c>
      <c r="K4212" s="47" t="n">
        <f aca="false">IF(J4212=1,N(I4212)+ROW()/10000000,0)</f>
        <v>0</v>
      </c>
      <c r="L4212" s="47" t="str">
        <f aca="false">IF(AND(J4212=1,N(I4212)&gt;0),SUMIF($K$2:$K$5001,"&gt;="&amp;K4212,$I$2:$I$5001)/MAX(1,SUM($H$2:$H$5001)),"")</f>
        <v/>
      </c>
      <c r="M4212" s="47" t="str">
        <f aca="false">IF($A4212="","",INDEX($L$2:$L$5001,MATCH($A4212,$A$2:$A$5001,0)))</f>
        <v/>
      </c>
      <c r="N4212" s="48" t="str">
        <f aca="false">IF($A4212="","",IF(N(M4212)=0,"–",IF(M4212&lt;=Start!$D$20,"A",IF(M4212&lt;=Start!$D$21,"B","C"))))</f>
        <v/>
      </c>
      <c r="O4212" s="48" t="str">
        <f aca="false">IF($A4212="","",IF(NOT(ISNUMBER(F4212)),"Wert fehlt; ",IF(F4212&lt;=0,"Wert ist 0; ",""))&amp;IF(NOT(ISNUMBER(E4212)),"Bestand fehlt; ",IF(E4212&lt;0,"Bestand negativ; ",IF(E4212=0,"Nullbestand; ","")))&amp;IF(D4212="","Warengruppe fehlt; ","")&amp;IF(B4212="","Bezeichnung fehlt; ","")&amp;IF(COUNTIFS($A$2:$A$5001,$A4212,$C$2:$C$5001,C4212)&gt;1,"Artikel doppelt im selben Lager; ",""))</f>
        <v/>
      </c>
      <c r="P4212" s="47" t="n">
        <f aca="false">IF(OR($A4212="",D4212=""),0,IF(COUNTIF($D$2:D4212,D4212)=1,SUMIF($D$2:$D$5001,D4212,$H$2:$H$5001)+ROW()/10000000,0))</f>
        <v>0</v>
      </c>
      <c r="Q4212" s="47" t="n">
        <f aca="false">IF(OR($A4212="",C4212=""),0,IF(COUNTIF($C$2:C4212,C4212)=1,SUMIF($C$2:$C$5001,C4212,$H$2:$H$5001)+ROW()/10000000,0))</f>
        <v>0</v>
      </c>
    </row>
    <row r="4213" customFormat="false" ht="15" hidden="false" customHeight="false" outlineLevel="0" collapsed="false">
      <c r="A4213" s="43"/>
      <c r="B4213" s="44"/>
      <c r="C4213" s="44"/>
      <c r="D4213" s="44"/>
      <c r="E4213" s="44"/>
      <c r="F4213" s="44"/>
      <c r="G4213" s="44"/>
      <c r="H4213" s="46" t="str">
        <f aca="false">IF($A4213="","",IF(OR(NOT(ISNUMBER(E4213)),NOT(ISNUMBER(F4213))),"",MAX(0,E4213)*F4213))</f>
        <v/>
      </c>
      <c r="I4213" s="46" t="str">
        <f aca="false">IF($A4213="","",SUMIF($A$2:$A$5001,$A4213,$H$2:$H$5001))</f>
        <v/>
      </c>
      <c r="J4213" s="47" t="n">
        <f aca="false">IF($A4213="",0,IF(COUNTIF($A$2:A4213,$A4213)=1,1,0))</f>
        <v>0</v>
      </c>
      <c r="K4213" s="47" t="n">
        <f aca="false">IF(J4213=1,N(I4213)+ROW()/10000000,0)</f>
        <v>0</v>
      </c>
      <c r="L4213" s="47" t="str">
        <f aca="false">IF(AND(J4213=1,N(I4213)&gt;0),SUMIF($K$2:$K$5001,"&gt;="&amp;K4213,$I$2:$I$5001)/MAX(1,SUM($H$2:$H$5001)),"")</f>
        <v/>
      </c>
      <c r="M4213" s="47" t="str">
        <f aca="false">IF($A4213="","",INDEX($L$2:$L$5001,MATCH($A4213,$A$2:$A$5001,0)))</f>
        <v/>
      </c>
      <c r="N4213" s="48" t="str">
        <f aca="false">IF($A4213="","",IF(N(M4213)=0,"–",IF(M4213&lt;=Start!$D$20,"A",IF(M4213&lt;=Start!$D$21,"B","C"))))</f>
        <v/>
      </c>
      <c r="O4213" s="48" t="str">
        <f aca="false">IF($A4213="","",IF(NOT(ISNUMBER(F4213)),"Wert fehlt; ",IF(F4213&lt;=0,"Wert ist 0; ",""))&amp;IF(NOT(ISNUMBER(E4213)),"Bestand fehlt; ",IF(E4213&lt;0,"Bestand negativ; ",IF(E4213=0,"Nullbestand; ","")))&amp;IF(D4213="","Warengruppe fehlt; ","")&amp;IF(B4213="","Bezeichnung fehlt; ","")&amp;IF(COUNTIFS($A$2:$A$5001,$A4213,$C$2:$C$5001,C4213)&gt;1,"Artikel doppelt im selben Lager; ",""))</f>
        <v/>
      </c>
      <c r="P4213" s="47" t="n">
        <f aca="false">IF(OR($A4213="",D4213=""),0,IF(COUNTIF($D$2:D4213,D4213)=1,SUMIF($D$2:$D$5001,D4213,$H$2:$H$5001)+ROW()/10000000,0))</f>
        <v>0</v>
      </c>
      <c r="Q4213" s="47" t="n">
        <f aca="false">IF(OR($A4213="",C4213=""),0,IF(COUNTIF($C$2:C4213,C4213)=1,SUMIF($C$2:$C$5001,C4213,$H$2:$H$5001)+ROW()/10000000,0))</f>
        <v>0</v>
      </c>
    </row>
    <row r="4214" customFormat="false" ht="15" hidden="false" customHeight="false" outlineLevel="0" collapsed="false">
      <c r="A4214" s="43"/>
      <c r="B4214" s="44"/>
      <c r="C4214" s="44"/>
      <c r="D4214" s="44"/>
      <c r="E4214" s="44"/>
      <c r="F4214" s="44"/>
      <c r="G4214" s="44"/>
      <c r="H4214" s="46" t="str">
        <f aca="false">IF($A4214="","",IF(OR(NOT(ISNUMBER(E4214)),NOT(ISNUMBER(F4214))),"",MAX(0,E4214)*F4214))</f>
        <v/>
      </c>
      <c r="I4214" s="46" t="str">
        <f aca="false">IF($A4214="","",SUMIF($A$2:$A$5001,$A4214,$H$2:$H$5001))</f>
        <v/>
      </c>
      <c r="J4214" s="47" t="n">
        <f aca="false">IF($A4214="",0,IF(COUNTIF($A$2:A4214,$A4214)=1,1,0))</f>
        <v>0</v>
      </c>
      <c r="K4214" s="47" t="n">
        <f aca="false">IF(J4214=1,N(I4214)+ROW()/10000000,0)</f>
        <v>0</v>
      </c>
      <c r="L4214" s="47" t="str">
        <f aca="false">IF(AND(J4214=1,N(I4214)&gt;0),SUMIF($K$2:$K$5001,"&gt;="&amp;K4214,$I$2:$I$5001)/MAX(1,SUM($H$2:$H$5001)),"")</f>
        <v/>
      </c>
      <c r="M4214" s="47" t="str">
        <f aca="false">IF($A4214="","",INDEX($L$2:$L$5001,MATCH($A4214,$A$2:$A$5001,0)))</f>
        <v/>
      </c>
      <c r="N4214" s="48" t="str">
        <f aca="false">IF($A4214="","",IF(N(M4214)=0,"–",IF(M4214&lt;=Start!$D$20,"A",IF(M4214&lt;=Start!$D$21,"B","C"))))</f>
        <v/>
      </c>
      <c r="O4214" s="48" t="str">
        <f aca="false">IF($A4214="","",IF(NOT(ISNUMBER(F4214)),"Wert fehlt; ",IF(F4214&lt;=0,"Wert ist 0; ",""))&amp;IF(NOT(ISNUMBER(E4214)),"Bestand fehlt; ",IF(E4214&lt;0,"Bestand negativ; ",IF(E4214=0,"Nullbestand; ","")))&amp;IF(D4214="","Warengruppe fehlt; ","")&amp;IF(B4214="","Bezeichnung fehlt; ","")&amp;IF(COUNTIFS($A$2:$A$5001,$A4214,$C$2:$C$5001,C4214)&gt;1,"Artikel doppelt im selben Lager; ",""))</f>
        <v/>
      </c>
      <c r="P4214" s="47" t="n">
        <f aca="false">IF(OR($A4214="",D4214=""),0,IF(COUNTIF($D$2:D4214,D4214)=1,SUMIF($D$2:$D$5001,D4214,$H$2:$H$5001)+ROW()/10000000,0))</f>
        <v>0</v>
      </c>
      <c r="Q4214" s="47" t="n">
        <f aca="false">IF(OR($A4214="",C4214=""),0,IF(COUNTIF($C$2:C4214,C4214)=1,SUMIF($C$2:$C$5001,C4214,$H$2:$H$5001)+ROW()/10000000,0))</f>
        <v>0</v>
      </c>
    </row>
    <row r="4215" customFormat="false" ht="15" hidden="false" customHeight="false" outlineLevel="0" collapsed="false">
      <c r="A4215" s="43"/>
      <c r="B4215" s="44"/>
      <c r="C4215" s="44"/>
      <c r="D4215" s="44"/>
      <c r="E4215" s="44"/>
      <c r="F4215" s="44"/>
      <c r="G4215" s="44"/>
      <c r="H4215" s="46" t="str">
        <f aca="false">IF($A4215="","",IF(OR(NOT(ISNUMBER(E4215)),NOT(ISNUMBER(F4215))),"",MAX(0,E4215)*F4215))</f>
        <v/>
      </c>
      <c r="I4215" s="46" t="str">
        <f aca="false">IF($A4215="","",SUMIF($A$2:$A$5001,$A4215,$H$2:$H$5001))</f>
        <v/>
      </c>
      <c r="J4215" s="47" t="n">
        <f aca="false">IF($A4215="",0,IF(COUNTIF($A$2:A4215,$A4215)=1,1,0))</f>
        <v>0</v>
      </c>
      <c r="K4215" s="47" t="n">
        <f aca="false">IF(J4215=1,N(I4215)+ROW()/10000000,0)</f>
        <v>0</v>
      </c>
      <c r="L4215" s="47" t="str">
        <f aca="false">IF(AND(J4215=1,N(I4215)&gt;0),SUMIF($K$2:$K$5001,"&gt;="&amp;K4215,$I$2:$I$5001)/MAX(1,SUM($H$2:$H$5001)),"")</f>
        <v/>
      </c>
      <c r="M4215" s="47" t="str">
        <f aca="false">IF($A4215="","",INDEX($L$2:$L$5001,MATCH($A4215,$A$2:$A$5001,0)))</f>
        <v/>
      </c>
      <c r="N4215" s="48" t="str">
        <f aca="false">IF($A4215="","",IF(N(M4215)=0,"–",IF(M4215&lt;=Start!$D$20,"A",IF(M4215&lt;=Start!$D$21,"B","C"))))</f>
        <v/>
      </c>
      <c r="O4215" s="48" t="str">
        <f aca="false">IF($A4215="","",IF(NOT(ISNUMBER(F4215)),"Wert fehlt; ",IF(F4215&lt;=0,"Wert ist 0; ",""))&amp;IF(NOT(ISNUMBER(E4215)),"Bestand fehlt; ",IF(E4215&lt;0,"Bestand negativ; ",IF(E4215=0,"Nullbestand; ","")))&amp;IF(D4215="","Warengruppe fehlt; ","")&amp;IF(B4215="","Bezeichnung fehlt; ","")&amp;IF(COUNTIFS($A$2:$A$5001,$A4215,$C$2:$C$5001,C4215)&gt;1,"Artikel doppelt im selben Lager; ",""))</f>
        <v/>
      </c>
      <c r="P4215" s="47" t="n">
        <f aca="false">IF(OR($A4215="",D4215=""),0,IF(COUNTIF($D$2:D4215,D4215)=1,SUMIF($D$2:$D$5001,D4215,$H$2:$H$5001)+ROW()/10000000,0))</f>
        <v>0</v>
      </c>
      <c r="Q4215" s="47" t="n">
        <f aca="false">IF(OR($A4215="",C4215=""),0,IF(COUNTIF($C$2:C4215,C4215)=1,SUMIF($C$2:$C$5001,C4215,$H$2:$H$5001)+ROW()/10000000,0))</f>
        <v>0</v>
      </c>
    </row>
    <row r="4216" customFormat="false" ht="15" hidden="false" customHeight="false" outlineLevel="0" collapsed="false">
      <c r="A4216" s="43"/>
      <c r="B4216" s="44"/>
      <c r="C4216" s="44"/>
      <c r="D4216" s="44"/>
      <c r="E4216" s="44"/>
      <c r="F4216" s="44"/>
      <c r="G4216" s="44"/>
      <c r="H4216" s="46" t="str">
        <f aca="false">IF($A4216="","",IF(OR(NOT(ISNUMBER(E4216)),NOT(ISNUMBER(F4216))),"",MAX(0,E4216)*F4216))</f>
        <v/>
      </c>
      <c r="I4216" s="46" t="str">
        <f aca="false">IF($A4216="","",SUMIF($A$2:$A$5001,$A4216,$H$2:$H$5001))</f>
        <v/>
      </c>
      <c r="J4216" s="47" t="n">
        <f aca="false">IF($A4216="",0,IF(COUNTIF($A$2:A4216,$A4216)=1,1,0))</f>
        <v>0</v>
      </c>
      <c r="K4216" s="47" t="n">
        <f aca="false">IF(J4216=1,N(I4216)+ROW()/10000000,0)</f>
        <v>0</v>
      </c>
      <c r="L4216" s="47" t="str">
        <f aca="false">IF(AND(J4216=1,N(I4216)&gt;0),SUMIF($K$2:$K$5001,"&gt;="&amp;K4216,$I$2:$I$5001)/MAX(1,SUM($H$2:$H$5001)),"")</f>
        <v/>
      </c>
      <c r="M4216" s="47" t="str">
        <f aca="false">IF($A4216="","",INDEX($L$2:$L$5001,MATCH($A4216,$A$2:$A$5001,0)))</f>
        <v/>
      </c>
      <c r="N4216" s="48" t="str">
        <f aca="false">IF($A4216="","",IF(N(M4216)=0,"–",IF(M4216&lt;=Start!$D$20,"A",IF(M4216&lt;=Start!$D$21,"B","C"))))</f>
        <v/>
      </c>
      <c r="O4216" s="48" t="str">
        <f aca="false">IF($A4216="","",IF(NOT(ISNUMBER(F4216)),"Wert fehlt; ",IF(F4216&lt;=0,"Wert ist 0; ",""))&amp;IF(NOT(ISNUMBER(E4216)),"Bestand fehlt; ",IF(E4216&lt;0,"Bestand negativ; ",IF(E4216=0,"Nullbestand; ","")))&amp;IF(D4216="","Warengruppe fehlt; ","")&amp;IF(B4216="","Bezeichnung fehlt; ","")&amp;IF(COUNTIFS($A$2:$A$5001,$A4216,$C$2:$C$5001,C4216)&gt;1,"Artikel doppelt im selben Lager; ",""))</f>
        <v/>
      </c>
      <c r="P4216" s="47" t="n">
        <f aca="false">IF(OR($A4216="",D4216=""),0,IF(COUNTIF($D$2:D4216,D4216)=1,SUMIF($D$2:$D$5001,D4216,$H$2:$H$5001)+ROW()/10000000,0))</f>
        <v>0</v>
      </c>
      <c r="Q4216" s="47" t="n">
        <f aca="false">IF(OR($A4216="",C4216=""),0,IF(COUNTIF($C$2:C4216,C4216)=1,SUMIF($C$2:$C$5001,C4216,$H$2:$H$5001)+ROW()/10000000,0))</f>
        <v>0</v>
      </c>
    </row>
    <row r="4217" customFormat="false" ht="15" hidden="false" customHeight="false" outlineLevel="0" collapsed="false">
      <c r="A4217" s="43"/>
      <c r="B4217" s="44"/>
      <c r="C4217" s="44"/>
      <c r="D4217" s="44"/>
      <c r="E4217" s="44"/>
      <c r="F4217" s="44"/>
      <c r="G4217" s="44"/>
      <c r="H4217" s="46" t="str">
        <f aca="false">IF($A4217="","",IF(OR(NOT(ISNUMBER(E4217)),NOT(ISNUMBER(F4217))),"",MAX(0,E4217)*F4217))</f>
        <v/>
      </c>
      <c r="I4217" s="46" t="str">
        <f aca="false">IF($A4217="","",SUMIF($A$2:$A$5001,$A4217,$H$2:$H$5001))</f>
        <v/>
      </c>
      <c r="J4217" s="47" t="n">
        <f aca="false">IF($A4217="",0,IF(COUNTIF($A$2:A4217,$A4217)=1,1,0))</f>
        <v>0</v>
      </c>
      <c r="K4217" s="47" t="n">
        <f aca="false">IF(J4217=1,N(I4217)+ROW()/10000000,0)</f>
        <v>0</v>
      </c>
      <c r="L4217" s="47" t="str">
        <f aca="false">IF(AND(J4217=1,N(I4217)&gt;0),SUMIF($K$2:$K$5001,"&gt;="&amp;K4217,$I$2:$I$5001)/MAX(1,SUM($H$2:$H$5001)),"")</f>
        <v/>
      </c>
      <c r="M4217" s="47" t="str">
        <f aca="false">IF($A4217="","",INDEX($L$2:$L$5001,MATCH($A4217,$A$2:$A$5001,0)))</f>
        <v/>
      </c>
      <c r="N4217" s="48" t="str">
        <f aca="false">IF($A4217="","",IF(N(M4217)=0,"–",IF(M4217&lt;=Start!$D$20,"A",IF(M4217&lt;=Start!$D$21,"B","C"))))</f>
        <v/>
      </c>
      <c r="O4217" s="48" t="str">
        <f aca="false">IF($A4217="","",IF(NOT(ISNUMBER(F4217)),"Wert fehlt; ",IF(F4217&lt;=0,"Wert ist 0; ",""))&amp;IF(NOT(ISNUMBER(E4217)),"Bestand fehlt; ",IF(E4217&lt;0,"Bestand negativ; ",IF(E4217=0,"Nullbestand; ","")))&amp;IF(D4217="","Warengruppe fehlt; ","")&amp;IF(B4217="","Bezeichnung fehlt; ","")&amp;IF(COUNTIFS($A$2:$A$5001,$A4217,$C$2:$C$5001,C4217)&gt;1,"Artikel doppelt im selben Lager; ",""))</f>
        <v/>
      </c>
      <c r="P4217" s="47" t="n">
        <f aca="false">IF(OR($A4217="",D4217=""),0,IF(COUNTIF($D$2:D4217,D4217)=1,SUMIF($D$2:$D$5001,D4217,$H$2:$H$5001)+ROW()/10000000,0))</f>
        <v>0</v>
      </c>
      <c r="Q4217" s="47" t="n">
        <f aca="false">IF(OR($A4217="",C4217=""),0,IF(COUNTIF($C$2:C4217,C4217)=1,SUMIF($C$2:$C$5001,C4217,$H$2:$H$5001)+ROW()/10000000,0))</f>
        <v>0</v>
      </c>
    </row>
    <row r="4218" customFormat="false" ht="15" hidden="false" customHeight="false" outlineLevel="0" collapsed="false">
      <c r="A4218" s="43"/>
      <c r="B4218" s="44"/>
      <c r="C4218" s="44"/>
      <c r="D4218" s="44"/>
      <c r="E4218" s="44"/>
      <c r="F4218" s="44"/>
      <c r="G4218" s="44"/>
      <c r="H4218" s="46" t="str">
        <f aca="false">IF($A4218="","",IF(OR(NOT(ISNUMBER(E4218)),NOT(ISNUMBER(F4218))),"",MAX(0,E4218)*F4218))</f>
        <v/>
      </c>
      <c r="I4218" s="46" t="str">
        <f aca="false">IF($A4218="","",SUMIF($A$2:$A$5001,$A4218,$H$2:$H$5001))</f>
        <v/>
      </c>
      <c r="J4218" s="47" t="n">
        <f aca="false">IF($A4218="",0,IF(COUNTIF($A$2:A4218,$A4218)=1,1,0))</f>
        <v>0</v>
      </c>
      <c r="K4218" s="47" t="n">
        <f aca="false">IF(J4218=1,N(I4218)+ROW()/10000000,0)</f>
        <v>0</v>
      </c>
      <c r="L4218" s="47" t="str">
        <f aca="false">IF(AND(J4218=1,N(I4218)&gt;0),SUMIF($K$2:$K$5001,"&gt;="&amp;K4218,$I$2:$I$5001)/MAX(1,SUM($H$2:$H$5001)),"")</f>
        <v/>
      </c>
      <c r="M4218" s="47" t="str">
        <f aca="false">IF($A4218="","",INDEX($L$2:$L$5001,MATCH($A4218,$A$2:$A$5001,0)))</f>
        <v/>
      </c>
      <c r="N4218" s="48" t="str">
        <f aca="false">IF($A4218="","",IF(N(M4218)=0,"–",IF(M4218&lt;=Start!$D$20,"A",IF(M4218&lt;=Start!$D$21,"B","C"))))</f>
        <v/>
      </c>
      <c r="O4218" s="48" t="str">
        <f aca="false">IF($A4218="","",IF(NOT(ISNUMBER(F4218)),"Wert fehlt; ",IF(F4218&lt;=0,"Wert ist 0; ",""))&amp;IF(NOT(ISNUMBER(E4218)),"Bestand fehlt; ",IF(E4218&lt;0,"Bestand negativ; ",IF(E4218=0,"Nullbestand; ","")))&amp;IF(D4218="","Warengruppe fehlt; ","")&amp;IF(B4218="","Bezeichnung fehlt; ","")&amp;IF(COUNTIFS($A$2:$A$5001,$A4218,$C$2:$C$5001,C4218)&gt;1,"Artikel doppelt im selben Lager; ",""))</f>
        <v/>
      </c>
      <c r="P4218" s="47" t="n">
        <f aca="false">IF(OR($A4218="",D4218=""),0,IF(COUNTIF($D$2:D4218,D4218)=1,SUMIF($D$2:$D$5001,D4218,$H$2:$H$5001)+ROW()/10000000,0))</f>
        <v>0</v>
      </c>
      <c r="Q4218" s="47" t="n">
        <f aca="false">IF(OR($A4218="",C4218=""),0,IF(COUNTIF($C$2:C4218,C4218)=1,SUMIF($C$2:$C$5001,C4218,$H$2:$H$5001)+ROW()/10000000,0))</f>
        <v>0</v>
      </c>
    </row>
    <row r="4219" customFormat="false" ht="15" hidden="false" customHeight="false" outlineLevel="0" collapsed="false">
      <c r="A4219" s="43"/>
      <c r="B4219" s="44"/>
      <c r="C4219" s="44"/>
      <c r="D4219" s="44"/>
      <c r="E4219" s="44"/>
      <c r="F4219" s="44"/>
      <c r="G4219" s="44"/>
      <c r="H4219" s="46" t="str">
        <f aca="false">IF($A4219="","",IF(OR(NOT(ISNUMBER(E4219)),NOT(ISNUMBER(F4219))),"",MAX(0,E4219)*F4219))</f>
        <v/>
      </c>
      <c r="I4219" s="46" t="str">
        <f aca="false">IF($A4219="","",SUMIF($A$2:$A$5001,$A4219,$H$2:$H$5001))</f>
        <v/>
      </c>
      <c r="J4219" s="47" t="n">
        <f aca="false">IF($A4219="",0,IF(COUNTIF($A$2:A4219,$A4219)=1,1,0))</f>
        <v>0</v>
      </c>
      <c r="K4219" s="47" t="n">
        <f aca="false">IF(J4219=1,N(I4219)+ROW()/10000000,0)</f>
        <v>0</v>
      </c>
      <c r="L4219" s="47" t="str">
        <f aca="false">IF(AND(J4219=1,N(I4219)&gt;0),SUMIF($K$2:$K$5001,"&gt;="&amp;K4219,$I$2:$I$5001)/MAX(1,SUM($H$2:$H$5001)),"")</f>
        <v/>
      </c>
      <c r="M4219" s="47" t="str">
        <f aca="false">IF($A4219="","",INDEX($L$2:$L$5001,MATCH($A4219,$A$2:$A$5001,0)))</f>
        <v/>
      </c>
      <c r="N4219" s="48" t="str">
        <f aca="false">IF($A4219="","",IF(N(M4219)=0,"–",IF(M4219&lt;=Start!$D$20,"A",IF(M4219&lt;=Start!$D$21,"B","C"))))</f>
        <v/>
      </c>
      <c r="O4219" s="48" t="str">
        <f aca="false">IF($A4219="","",IF(NOT(ISNUMBER(F4219)),"Wert fehlt; ",IF(F4219&lt;=0,"Wert ist 0; ",""))&amp;IF(NOT(ISNUMBER(E4219)),"Bestand fehlt; ",IF(E4219&lt;0,"Bestand negativ; ",IF(E4219=0,"Nullbestand; ","")))&amp;IF(D4219="","Warengruppe fehlt; ","")&amp;IF(B4219="","Bezeichnung fehlt; ","")&amp;IF(COUNTIFS($A$2:$A$5001,$A4219,$C$2:$C$5001,C4219)&gt;1,"Artikel doppelt im selben Lager; ",""))</f>
        <v/>
      </c>
      <c r="P4219" s="47" t="n">
        <f aca="false">IF(OR($A4219="",D4219=""),0,IF(COUNTIF($D$2:D4219,D4219)=1,SUMIF($D$2:$D$5001,D4219,$H$2:$H$5001)+ROW()/10000000,0))</f>
        <v>0</v>
      </c>
      <c r="Q4219" s="47" t="n">
        <f aca="false">IF(OR($A4219="",C4219=""),0,IF(COUNTIF($C$2:C4219,C4219)=1,SUMIF($C$2:$C$5001,C4219,$H$2:$H$5001)+ROW()/10000000,0))</f>
        <v>0</v>
      </c>
    </row>
    <row r="4220" customFormat="false" ht="15" hidden="false" customHeight="false" outlineLevel="0" collapsed="false">
      <c r="A4220" s="43"/>
      <c r="B4220" s="44"/>
      <c r="C4220" s="44"/>
      <c r="D4220" s="44"/>
      <c r="E4220" s="44"/>
      <c r="F4220" s="44"/>
      <c r="G4220" s="44"/>
      <c r="H4220" s="46" t="str">
        <f aca="false">IF($A4220="","",IF(OR(NOT(ISNUMBER(E4220)),NOT(ISNUMBER(F4220))),"",MAX(0,E4220)*F4220))</f>
        <v/>
      </c>
      <c r="I4220" s="46" t="str">
        <f aca="false">IF($A4220="","",SUMIF($A$2:$A$5001,$A4220,$H$2:$H$5001))</f>
        <v/>
      </c>
      <c r="J4220" s="47" t="n">
        <f aca="false">IF($A4220="",0,IF(COUNTIF($A$2:A4220,$A4220)=1,1,0))</f>
        <v>0</v>
      </c>
      <c r="K4220" s="47" t="n">
        <f aca="false">IF(J4220=1,N(I4220)+ROW()/10000000,0)</f>
        <v>0</v>
      </c>
      <c r="L4220" s="47" t="str">
        <f aca="false">IF(AND(J4220=1,N(I4220)&gt;0),SUMIF($K$2:$K$5001,"&gt;="&amp;K4220,$I$2:$I$5001)/MAX(1,SUM($H$2:$H$5001)),"")</f>
        <v/>
      </c>
      <c r="M4220" s="47" t="str">
        <f aca="false">IF($A4220="","",INDEX($L$2:$L$5001,MATCH($A4220,$A$2:$A$5001,0)))</f>
        <v/>
      </c>
      <c r="N4220" s="48" t="str">
        <f aca="false">IF($A4220="","",IF(N(M4220)=0,"–",IF(M4220&lt;=Start!$D$20,"A",IF(M4220&lt;=Start!$D$21,"B","C"))))</f>
        <v/>
      </c>
      <c r="O4220" s="48" t="str">
        <f aca="false">IF($A4220="","",IF(NOT(ISNUMBER(F4220)),"Wert fehlt; ",IF(F4220&lt;=0,"Wert ist 0; ",""))&amp;IF(NOT(ISNUMBER(E4220)),"Bestand fehlt; ",IF(E4220&lt;0,"Bestand negativ; ",IF(E4220=0,"Nullbestand; ","")))&amp;IF(D4220="","Warengruppe fehlt; ","")&amp;IF(B4220="","Bezeichnung fehlt; ","")&amp;IF(COUNTIFS($A$2:$A$5001,$A4220,$C$2:$C$5001,C4220)&gt;1,"Artikel doppelt im selben Lager; ",""))</f>
        <v/>
      </c>
      <c r="P4220" s="47" t="n">
        <f aca="false">IF(OR($A4220="",D4220=""),0,IF(COUNTIF($D$2:D4220,D4220)=1,SUMIF($D$2:$D$5001,D4220,$H$2:$H$5001)+ROW()/10000000,0))</f>
        <v>0</v>
      </c>
      <c r="Q4220" s="47" t="n">
        <f aca="false">IF(OR($A4220="",C4220=""),0,IF(COUNTIF($C$2:C4220,C4220)=1,SUMIF($C$2:$C$5001,C4220,$H$2:$H$5001)+ROW()/10000000,0))</f>
        <v>0</v>
      </c>
    </row>
    <row r="4221" customFormat="false" ht="15" hidden="false" customHeight="false" outlineLevel="0" collapsed="false">
      <c r="A4221" s="43"/>
      <c r="B4221" s="44"/>
      <c r="C4221" s="44"/>
      <c r="D4221" s="44"/>
      <c r="E4221" s="44"/>
      <c r="F4221" s="44"/>
      <c r="G4221" s="44"/>
      <c r="H4221" s="46" t="str">
        <f aca="false">IF($A4221="","",IF(OR(NOT(ISNUMBER(E4221)),NOT(ISNUMBER(F4221))),"",MAX(0,E4221)*F4221))</f>
        <v/>
      </c>
      <c r="I4221" s="46" t="str">
        <f aca="false">IF($A4221="","",SUMIF($A$2:$A$5001,$A4221,$H$2:$H$5001))</f>
        <v/>
      </c>
      <c r="J4221" s="47" t="n">
        <f aca="false">IF($A4221="",0,IF(COUNTIF($A$2:A4221,$A4221)=1,1,0))</f>
        <v>0</v>
      </c>
      <c r="K4221" s="47" t="n">
        <f aca="false">IF(J4221=1,N(I4221)+ROW()/10000000,0)</f>
        <v>0</v>
      </c>
      <c r="L4221" s="47" t="str">
        <f aca="false">IF(AND(J4221=1,N(I4221)&gt;0),SUMIF($K$2:$K$5001,"&gt;="&amp;K4221,$I$2:$I$5001)/MAX(1,SUM($H$2:$H$5001)),"")</f>
        <v/>
      </c>
      <c r="M4221" s="47" t="str">
        <f aca="false">IF($A4221="","",INDEX($L$2:$L$5001,MATCH($A4221,$A$2:$A$5001,0)))</f>
        <v/>
      </c>
      <c r="N4221" s="48" t="str">
        <f aca="false">IF($A4221="","",IF(N(M4221)=0,"–",IF(M4221&lt;=Start!$D$20,"A",IF(M4221&lt;=Start!$D$21,"B","C"))))</f>
        <v/>
      </c>
      <c r="O4221" s="48" t="str">
        <f aca="false">IF($A4221="","",IF(NOT(ISNUMBER(F4221)),"Wert fehlt; ",IF(F4221&lt;=0,"Wert ist 0; ",""))&amp;IF(NOT(ISNUMBER(E4221)),"Bestand fehlt; ",IF(E4221&lt;0,"Bestand negativ; ",IF(E4221=0,"Nullbestand; ","")))&amp;IF(D4221="","Warengruppe fehlt; ","")&amp;IF(B4221="","Bezeichnung fehlt; ","")&amp;IF(COUNTIFS($A$2:$A$5001,$A4221,$C$2:$C$5001,C4221)&gt;1,"Artikel doppelt im selben Lager; ",""))</f>
        <v/>
      </c>
      <c r="P4221" s="47" t="n">
        <f aca="false">IF(OR($A4221="",D4221=""),0,IF(COUNTIF($D$2:D4221,D4221)=1,SUMIF($D$2:$D$5001,D4221,$H$2:$H$5001)+ROW()/10000000,0))</f>
        <v>0</v>
      </c>
      <c r="Q4221" s="47" t="n">
        <f aca="false">IF(OR($A4221="",C4221=""),0,IF(COUNTIF($C$2:C4221,C4221)=1,SUMIF($C$2:$C$5001,C4221,$H$2:$H$5001)+ROW()/10000000,0))</f>
        <v>0</v>
      </c>
    </row>
    <row r="4222" customFormat="false" ht="15" hidden="false" customHeight="false" outlineLevel="0" collapsed="false">
      <c r="A4222" s="43"/>
      <c r="B4222" s="44"/>
      <c r="C4222" s="44"/>
      <c r="D4222" s="44"/>
      <c r="E4222" s="44"/>
      <c r="F4222" s="44"/>
      <c r="G4222" s="44"/>
      <c r="H4222" s="46" t="str">
        <f aca="false">IF($A4222="","",IF(OR(NOT(ISNUMBER(E4222)),NOT(ISNUMBER(F4222))),"",MAX(0,E4222)*F4222))</f>
        <v/>
      </c>
      <c r="I4222" s="46" t="str">
        <f aca="false">IF($A4222="","",SUMIF($A$2:$A$5001,$A4222,$H$2:$H$5001))</f>
        <v/>
      </c>
      <c r="J4222" s="47" t="n">
        <f aca="false">IF($A4222="",0,IF(COUNTIF($A$2:A4222,$A4222)=1,1,0))</f>
        <v>0</v>
      </c>
      <c r="K4222" s="47" t="n">
        <f aca="false">IF(J4222=1,N(I4222)+ROW()/10000000,0)</f>
        <v>0</v>
      </c>
      <c r="L4222" s="47" t="str">
        <f aca="false">IF(AND(J4222=1,N(I4222)&gt;0),SUMIF($K$2:$K$5001,"&gt;="&amp;K4222,$I$2:$I$5001)/MAX(1,SUM($H$2:$H$5001)),"")</f>
        <v/>
      </c>
      <c r="M4222" s="47" t="str">
        <f aca="false">IF($A4222="","",INDEX($L$2:$L$5001,MATCH($A4222,$A$2:$A$5001,0)))</f>
        <v/>
      </c>
      <c r="N4222" s="48" t="str">
        <f aca="false">IF($A4222="","",IF(N(M4222)=0,"–",IF(M4222&lt;=Start!$D$20,"A",IF(M4222&lt;=Start!$D$21,"B","C"))))</f>
        <v/>
      </c>
      <c r="O4222" s="48" t="str">
        <f aca="false">IF($A4222="","",IF(NOT(ISNUMBER(F4222)),"Wert fehlt; ",IF(F4222&lt;=0,"Wert ist 0; ",""))&amp;IF(NOT(ISNUMBER(E4222)),"Bestand fehlt; ",IF(E4222&lt;0,"Bestand negativ; ",IF(E4222=0,"Nullbestand; ","")))&amp;IF(D4222="","Warengruppe fehlt; ","")&amp;IF(B4222="","Bezeichnung fehlt; ","")&amp;IF(COUNTIFS($A$2:$A$5001,$A4222,$C$2:$C$5001,C4222)&gt;1,"Artikel doppelt im selben Lager; ",""))</f>
        <v/>
      </c>
      <c r="P4222" s="47" t="n">
        <f aca="false">IF(OR($A4222="",D4222=""),0,IF(COUNTIF($D$2:D4222,D4222)=1,SUMIF($D$2:$D$5001,D4222,$H$2:$H$5001)+ROW()/10000000,0))</f>
        <v>0</v>
      </c>
      <c r="Q4222" s="47" t="n">
        <f aca="false">IF(OR($A4222="",C4222=""),0,IF(COUNTIF($C$2:C4222,C4222)=1,SUMIF($C$2:$C$5001,C4222,$H$2:$H$5001)+ROW()/10000000,0))</f>
        <v>0</v>
      </c>
    </row>
    <row r="4223" customFormat="false" ht="15" hidden="false" customHeight="false" outlineLevel="0" collapsed="false">
      <c r="A4223" s="43"/>
      <c r="B4223" s="44"/>
      <c r="C4223" s="44"/>
      <c r="D4223" s="44"/>
      <c r="E4223" s="44"/>
      <c r="F4223" s="44"/>
      <c r="G4223" s="44"/>
      <c r="H4223" s="46" t="str">
        <f aca="false">IF($A4223="","",IF(OR(NOT(ISNUMBER(E4223)),NOT(ISNUMBER(F4223))),"",MAX(0,E4223)*F4223))</f>
        <v/>
      </c>
      <c r="I4223" s="46" t="str">
        <f aca="false">IF($A4223="","",SUMIF($A$2:$A$5001,$A4223,$H$2:$H$5001))</f>
        <v/>
      </c>
      <c r="J4223" s="47" t="n">
        <f aca="false">IF($A4223="",0,IF(COUNTIF($A$2:A4223,$A4223)=1,1,0))</f>
        <v>0</v>
      </c>
      <c r="K4223" s="47" t="n">
        <f aca="false">IF(J4223=1,N(I4223)+ROW()/10000000,0)</f>
        <v>0</v>
      </c>
      <c r="L4223" s="47" t="str">
        <f aca="false">IF(AND(J4223=1,N(I4223)&gt;0),SUMIF($K$2:$K$5001,"&gt;="&amp;K4223,$I$2:$I$5001)/MAX(1,SUM($H$2:$H$5001)),"")</f>
        <v/>
      </c>
      <c r="M4223" s="47" t="str">
        <f aca="false">IF($A4223="","",INDEX($L$2:$L$5001,MATCH($A4223,$A$2:$A$5001,0)))</f>
        <v/>
      </c>
      <c r="N4223" s="48" t="str">
        <f aca="false">IF($A4223="","",IF(N(M4223)=0,"–",IF(M4223&lt;=Start!$D$20,"A",IF(M4223&lt;=Start!$D$21,"B","C"))))</f>
        <v/>
      </c>
      <c r="O4223" s="48" t="str">
        <f aca="false">IF($A4223="","",IF(NOT(ISNUMBER(F4223)),"Wert fehlt; ",IF(F4223&lt;=0,"Wert ist 0; ",""))&amp;IF(NOT(ISNUMBER(E4223)),"Bestand fehlt; ",IF(E4223&lt;0,"Bestand negativ; ",IF(E4223=0,"Nullbestand; ","")))&amp;IF(D4223="","Warengruppe fehlt; ","")&amp;IF(B4223="","Bezeichnung fehlt; ","")&amp;IF(COUNTIFS($A$2:$A$5001,$A4223,$C$2:$C$5001,C4223)&gt;1,"Artikel doppelt im selben Lager; ",""))</f>
        <v/>
      </c>
      <c r="P4223" s="47" t="n">
        <f aca="false">IF(OR($A4223="",D4223=""),0,IF(COUNTIF($D$2:D4223,D4223)=1,SUMIF($D$2:$D$5001,D4223,$H$2:$H$5001)+ROW()/10000000,0))</f>
        <v>0</v>
      </c>
      <c r="Q4223" s="47" t="n">
        <f aca="false">IF(OR($A4223="",C4223=""),0,IF(COUNTIF($C$2:C4223,C4223)=1,SUMIF($C$2:$C$5001,C4223,$H$2:$H$5001)+ROW()/10000000,0))</f>
        <v>0</v>
      </c>
    </row>
    <row r="4224" customFormat="false" ht="15" hidden="false" customHeight="false" outlineLevel="0" collapsed="false">
      <c r="A4224" s="43"/>
      <c r="B4224" s="44"/>
      <c r="C4224" s="44"/>
      <c r="D4224" s="44"/>
      <c r="E4224" s="44"/>
      <c r="F4224" s="44"/>
      <c r="G4224" s="44"/>
      <c r="H4224" s="46" t="str">
        <f aca="false">IF($A4224="","",IF(OR(NOT(ISNUMBER(E4224)),NOT(ISNUMBER(F4224))),"",MAX(0,E4224)*F4224))</f>
        <v/>
      </c>
      <c r="I4224" s="46" t="str">
        <f aca="false">IF($A4224="","",SUMIF($A$2:$A$5001,$A4224,$H$2:$H$5001))</f>
        <v/>
      </c>
      <c r="J4224" s="47" t="n">
        <f aca="false">IF($A4224="",0,IF(COUNTIF($A$2:A4224,$A4224)=1,1,0))</f>
        <v>0</v>
      </c>
      <c r="K4224" s="47" t="n">
        <f aca="false">IF(J4224=1,N(I4224)+ROW()/10000000,0)</f>
        <v>0</v>
      </c>
      <c r="L4224" s="47" t="str">
        <f aca="false">IF(AND(J4224=1,N(I4224)&gt;0),SUMIF($K$2:$K$5001,"&gt;="&amp;K4224,$I$2:$I$5001)/MAX(1,SUM($H$2:$H$5001)),"")</f>
        <v/>
      </c>
      <c r="M4224" s="47" t="str">
        <f aca="false">IF($A4224="","",INDEX($L$2:$L$5001,MATCH($A4224,$A$2:$A$5001,0)))</f>
        <v/>
      </c>
      <c r="N4224" s="48" t="str">
        <f aca="false">IF($A4224="","",IF(N(M4224)=0,"–",IF(M4224&lt;=Start!$D$20,"A",IF(M4224&lt;=Start!$D$21,"B","C"))))</f>
        <v/>
      </c>
      <c r="O4224" s="48" t="str">
        <f aca="false">IF($A4224="","",IF(NOT(ISNUMBER(F4224)),"Wert fehlt; ",IF(F4224&lt;=0,"Wert ist 0; ",""))&amp;IF(NOT(ISNUMBER(E4224)),"Bestand fehlt; ",IF(E4224&lt;0,"Bestand negativ; ",IF(E4224=0,"Nullbestand; ","")))&amp;IF(D4224="","Warengruppe fehlt; ","")&amp;IF(B4224="","Bezeichnung fehlt; ","")&amp;IF(COUNTIFS($A$2:$A$5001,$A4224,$C$2:$C$5001,C4224)&gt;1,"Artikel doppelt im selben Lager; ",""))</f>
        <v/>
      </c>
      <c r="P4224" s="47" t="n">
        <f aca="false">IF(OR($A4224="",D4224=""),0,IF(COUNTIF($D$2:D4224,D4224)=1,SUMIF($D$2:$D$5001,D4224,$H$2:$H$5001)+ROW()/10000000,0))</f>
        <v>0</v>
      </c>
      <c r="Q4224" s="47" t="n">
        <f aca="false">IF(OR($A4224="",C4224=""),0,IF(COUNTIF($C$2:C4224,C4224)=1,SUMIF($C$2:$C$5001,C4224,$H$2:$H$5001)+ROW()/10000000,0))</f>
        <v>0</v>
      </c>
    </row>
    <row r="4225" customFormat="false" ht="15" hidden="false" customHeight="false" outlineLevel="0" collapsed="false">
      <c r="A4225" s="43"/>
      <c r="B4225" s="44"/>
      <c r="C4225" s="44"/>
      <c r="D4225" s="44"/>
      <c r="E4225" s="44"/>
      <c r="F4225" s="44"/>
      <c r="G4225" s="44"/>
      <c r="H4225" s="46" t="str">
        <f aca="false">IF($A4225="","",IF(OR(NOT(ISNUMBER(E4225)),NOT(ISNUMBER(F4225))),"",MAX(0,E4225)*F4225))</f>
        <v/>
      </c>
      <c r="I4225" s="46" t="str">
        <f aca="false">IF($A4225="","",SUMIF($A$2:$A$5001,$A4225,$H$2:$H$5001))</f>
        <v/>
      </c>
      <c r="J4225" s="47" t="n">
        <f aca="false">IF($A4225="",0,IF(COUNTIF($A$2:A4225,$A4225)=1,1,0))</f>
        <v>0</v>
      </c>
      <c r="K4225" s="47" t="n">
        <f aca="false">IF(J4225=1,N(I4225)+ROW()/10000000,0)</f>
        <v>0</v>
      </c>
      <c r="L4225" s="47" t="str">
        <f aca="false">IF(AND(J4225=1,N(I4225)&gt;0),SUMIF($K$2:$K$5001,"&gt;="&amp;K4225,$I$2:$I$5001)/MAX(1,SUM($H$2:$H$5001)),"")</f>
        <v/>
      </c>
      <c r="M4225" s="47" t="str">
        <f aca="false">IF($A4225="","",INDEX($L$2:$L$5001,MATCH($A4225,$A$2:$A$5001,0)))</f>
        <v/>
      </c>
      <c r="N4225" s="48" t="str">
        <f aca="false">IF($A4225="","",IF(N(M4225)=0,"–",IF(M4225&lt;=Start!$D$20,"A",IF(M4225&lt;=Start!$D$21,"B","C"))))</f>
        <v/>
      </c>
      <c r="O4225" s="48" t="str">
        <f aca="false">IF($A4225="","",IF(NOT(ISNUMBER(F4225)),"Wert fehlt; ",IF(F4225&lt;=0,"Wert ist 0; ",""))&amp;IF(NOT(ISNUMBER(E4225)),"Bestand fehlt; ",IF(E4225&lt;0,"Bestand negativ; ",IF(E4225=0,"Nullbestand; ","")))&amp;IF(D4225="","Warengruppe fehlt; ","")&amp;IF(B4225="","Bezeichnung fehlt; ","")&amp;IF(COUNTIFS($A$2:$A$5001,$A4225,$C$2:$C$5001,C4225)&gt;1,"Artikel doppelt im selben Lager; ",""))</f>
        <v/>
      </c>
      <c r="P4225" s="47" t="n">
        <f aca="false">IF(OR($A4225="",D4225=""),0,IF(COUNTIF($D$2:D4225,D4225)=1,SUMIF($D$2:$D$5001,D4225,$H$2:$H$5001)+ROW()/10000000,0))</f>
        <v>0</v>
      </c>
      <c r="Q4225" s="47" t="n">
        <f aca="false">IF(OR($A4225="",C4225=""),0,IF(COUNTIF($C$2:C4225,C4225)=1,SUMIF($C$2:$C$5001,C4225,$H$2:$H$5001)+ROW()/10000000,0))</f>
        <v>0</v>
      </c>
    </row>
    <row r="4226" customFormat="false" ht="15" hidden="false" customHeight="false" outlineLevel="0" collapsed="false">
      <c r="A4226" s="43"/>
      <c r="B4226" s="44"/>
      <c r="C4226" s="44"/>
      <c r="D4226" s="44"/>
      <c r="E4226" s="44"/>
      <c r="F4226" s="44"/>
      <c r="G4226" s="44"/>
      <c r="H4226" s="46" t="str">
        <f aca="false">IF($A4226="","",IF(OR(NOT(ISNUMBER(E4226)),NOT(ISNUMBER(F4226))),"",MAX(0,E4226)*F4226))</f>
        <v/>
      </c>
      <c r="I4226" s="46" t="str">
        <f aca="false">IF($A4226="","",SUMIF($A$2:$A$5001,$A4226,$H$2:$H$5001))</f>
        <v/>
      </c>
      <c r="J4226" s="47" t="n">
        <f aca="false">IF($A4226="",0,IF(COUNTIF($A$2:A4226,$A4226)=1,1,0))</f>
        <v>0</v>
      </c>
      <c r="K4226" s="47" t="n">
        <f aca="false">IF(J4226=1,N(I4226)+ROW()/10000000,0)</f>
        <v>0</v>
      </c>
      <c r="L4226" s="47" t="str">
        <f aca="false">IF(AND(J4226=1,N(I4226)&gt;0),SUMIF($K$2:$K$5001,"&gt;="&amp;K4226,$I$2:$I$5001)/MAX(1,SUM($H$2:$H$5001)),"")</f>
        <v/>
      </c>
      <c r="M4226" s="47" t="str">
        <f aca="false">IF($A4226="","",INDEX($L$2:$L$5001,MATCH($A4226,$A$2:$A$5001,0)))</f>
        <v/>
      </c>
      <c r="N4226" s="48" t="str">
        <f aca="false">IF($A4226="","",IF(N(M4226)=0,"–",IF(M4226&lt;=Start!$D$20,"A",IF(M4226&lt;=Start!$D$21,"B","C"))))</f>
        <v/>
      </c>
      <c r="O4226" s="48" t="str">
        <f aca="false">IF($A4226="","",IF(NOT(ISNUMBER(F4226)),"Wert fehlt; ",IF(F4226&lt;=0,"Wert ist 0; ",""))&amp;IF(NOT(ISNUMBER(E4226)),"Bestand fehlt; ",IF(E4226&lt;0,"Bestand negativ; ",IF(E4226=0,"Nullbestand; ","")))&amp;IF(D4226="","Warengruppe fehlt; ","")&amp;IF(B4226="","Bezeichnung fehlt; ","")&amp;IF(COUNTIFS($A$2:$A$5001,$A4226,$C$2:$C$5001,C4226)&gt;1,"Artikel doppelt im selben Lager; ",""))</f>
        <v/>
      </c>
      <c r="P4226" s="47" t="n">
        <f aca="false">IF(OR($A4226="",D4226=""),0,IF(COUNTIF($D$2:D4226,D4226)=1,SUMIF($D$2:$D$5001,D4226,$H$2:$H$5001)+ROW()/10000000,0))</f>
        <v>0</v>
      </c>
      <c r="Q4226" s="47" t="n">
        <f aca="false">IF(OR($A4226="",C4226=""),0,IF(COUNTIF($C$2:C4226,C4226)=1,SUMIF($C$2:$C$5001,C4226,$H$2:$H$5001)+ROW()/10000000,0))</f>
        <v>0</v>
      </c>
    </row>
    <row r="4227" customFormat="false" ht="15" hidden="false" customHeight="false" outlineLevel="0" collapsed="false">
      <c r="A4227" s="43"/>
      <c r="B4227" s="44"/>
      <c r="C4227" s="44"/>
      <c r="D4227" s="44"/>
      <c r="E4227" s="44"/>
      <c r="F4227" s="44"/>
      <c r="G4227" s="44"/>
      <c r="H4227" s="46" t="str">
        <f aca="false">IF($A4227="","",IF(OR(NOT(ISNUMBER(E4227)),NOT(ISNUMBER(F4227))),"",MAX(0,E4227)*F4227))</f>
        <v/>
      </c>
      <c r="I4227" s="46" t="str">
        <f aca="false">IF($A4227="","",SUMIF($A$2:$A$5001,$A4227,$H$2:$H$5001))</f>
        <v/>
      </c>
      <c r="J4227" s="47" t="n">
        <f aca="false">IF($A4227="",0,IF(COUNTIF($A$2:A4227,$A4227)=1,1,0))</f>
        <v>0</v>
      </c>
      <c r="K4227" s="47" t="n">
        <f aca="false">IF(J4227=1,N(I4227)+ROW()/10000000,0)</f>
        <v>0</v>
      </c>
      <c r="L4227" s="47" t="str">
        <f aca="false">IF(AND(J4227=1,N(I4227)&gt;0),SUMIF($K$2:$K$5001,"&gt;="&amp;K4227,$I$2:$I$5001)/MAX(1,SUM($H$2:$H$5001)),"")</f>
        <v/>
      </c>
      <c r="M4227" s="47" t="str">
        <f aca="false">IF($A4227="","",INDEX($L$2:$L$5001,MATCH($A4227,$A$2:$A$5001,0)))</f>
        <v/>
      </c>
      <c r="N4227" s="48" t="str">
        <f aca="false">IF($A4227="","",IF(N(M4227)=0,"–",IF(M4227&lt;=Start!$D$20,"A",IF(M4227&lt;=Start!$D$21,"B","C"))))</f>
        <v/>
      </c>
      <c r="O4227" s="48" t="str">
        <f aca="false">IF($A4227="","",IF(NOT(ISNUMBER(F4227)),"Wert fehlt; ",IF(F4227&lt;=0,"Wert ist 0; ",""))&amp;IF(NOT(ISNUMBER(E4227)),"Bestand fehlt; ",IF(E4227&lt;0,"Bestand negativ; ",IF(E4227=0,"Nullbestand; ","")))&amp;IF(D4227="","Warengruppe fehlt; ","")&amp;IF(B4227="","Bezeichnung fehlt; ","")&amp;IF(COUNTIFS($A$2:$A$5001,$A4227,$C$2:$C$5001,C4227)&gt;1,"Artikel doppelt im selben Lager; ",""))</f>
        <v/>
      </c>
      <c r="P4227" s="47" t="n">
        <f aca="false">IF(OR($A4227="",D4227=""),0,IF(COUNTIF($D$2:D4227,D4227)=1,SUMIF($D$2:$D$5001,D4227,$H$2:$H$5001)+ROW()/10000000,0))</f>
        <v>0</v>
      </c>
      <c r="Q4227" s="47" t="n">
        <f aca="false">IF(OR($A4227="",C4227=""),0,IF(COUNTIF($C$2:C4227,C4227)=1,SUMIF($C$2:$C$5001,C4227,$H$2:$H$5001)+ROW()/10000000,0))</f>
        <v>0</v>
      </c>
    </row>
    <row r="4228" customFormat="false" ht="15" hidden="false" customHeight="false" outlineLevel="0" collapsed="false">
      <c r="A4228" s="43"/>
      <c r="B4228" s="44"/>
      <c r="C4228" s="44"/>
      <c r="D4228" s="44"/>
      <c r="E4228" s="44"/>
      <c r="F4228" s="44"/>
      <c r="G4228" s="44"/>
      <c r="H4228" s="46" t="str">
        <f aca="false">IF($A4228="","",IF(OR(NOT(ISNUMBER(E4228)),NOT(ISNUMBER(F4228))),"",MAX(0,E4228)*F4228))</f>
        <v/>
      </c>
      <c r="I4228" s="46" t="str">
        <f aca="false">IF($A4228="","",SUMIF($A$2:$A$5001,$A4228,$H$2:$H$5001))</f>
        <v/>
      </c>
      <c r="J4228" s="47" t="n">
        <f aca="false">IF($A4228="",0,IF(COUNTIF($A$2:A4228,$A4228)=1,1,0))</f>
        <v>0</v>
      </c>
      <c r="K4228" s="47" t="n">
        <f aca="false">IF(J4228=1,N(I4228)+ROW()/10000000,0)</f>
        <v>0</v>
      </c>
      <c r="L4228" s="47" t="str">
        <f aca="false">IF(AND(J4228=1,N(I4228)&gt;0),SUMIF($K$2:$K$5001,"&gt;="&amp;K4228,$I$2:$I$5001)/MAX(1,SUM($H$2:$H$5001)),"")</f>
        <v/>
      </c>
      <c r="M4228" s="47" t="str">
        <f aca="false">IF($A4228="","",INDEX($L$2:$L$5001,MATCH($A4228,$A$2:$A$5001,0)))</f>
        <v/>
      </c>
      <c r="N4228" s="48" t="str">
        <f aca="false">IF($A4228="","",IF(N(M4228)=0,"–",IF(M4228&lt;=Start!$D$20,"A",IF(M4228&lt;=Start!$D$21,"B","C"))))</f>
        <v/>
      </c>
      <c r="O4228" s="48" t="str">
        <f aca="false">IF($A4228="","",IF(NOT(ISNUMBER(F4228)),"Wert fehlt; ",IF(F4228&lt;=0,"Wert ist 0; ",""))&amp;IF(NOT(ISNUMBER(E4228)),"Bestand fehlt; ",IF(E4228&lt;0,"Bestand negativ; ",IF(E4228=0,"Nullbestand; ","")))&amp;IF(D4228="","Warengruppe fehlt; ","")&amp;IF(B4228="","Bezeichnung fehlt; ","")&amp;IF(COUNTIFS($A$2:$A$5001,$A4228,$C$2:$C$5001,C4228)&gt;1,"Artikel doppelt im selben Lager; ",""))</f>
        <v/>
      </c>
      <c r="P4228" s="47" t="n">
        <f aca="false">IF(OR($A4228="",D4228=""),0,IF(COUNTIF($D$2:D4228,D4228)=1,SUMIF($D$2:$D$5001,D4228,$H$2:$H$5001)+ROW()/10000000,0))</f>
        <v>0</v>
      </c>
      <c r="Q4228" s="47" t="n">
        <f aca="false">IF(OR($A4228="",C4228=""),0,IF(COUNTIF($C$2:C4228,C4228)=1,SUMIF($C$2:$C$5001,C4228,$H$2:$H$5001)+ROW()/10000000,0))</f>
        <v>0</v>
      </c>
    </row>
    <row r="4229" customFormat="false" ht="15" hidden="false" customHeight="false" outlineLevel="0" collapsed="false">
      <c r="A4229" s="43"/>
      <c r="B4229" s="44"/>
      <c r="C4229" s="44"/>
      <c r="D4229" s="44"/>
      <c r="E4229" s="44"/>
      <c r="F4229" s="44"/>
      <c r="G4229" s="44"/>
      <c r="H4229" s="46" t="str">
        <f aca="false">IF($A4229="","",IF(OR(NOT(ISNUMBER(E4229)),NOT(ISNUMBER(F4229))),"",MAX(0,E4229)*F4229))</f>
        <v/>
      </c>
      <c r="I4229" s="46" t="str">
        <f aca="false">IF($A4229="","",SUMIF($A$2:$A$5001,$A4229,$H$2:$H$5001))</f>
        <v/>
      </c>
      <c r="J4229" s="47" t="n">
        <f aca="false">IF($A4229="",0,IF(COUNTIF($A$2:A4229,$A4229)=1,1,0))</f>
        <v>0</v>
      </c>
      <c r="K4229" s="47" t="n">
        <f aca="false">IF(J4229=1,N(I4229)+ROW()/10000000,0)</f>
        <v>0</v>
      </c>
      <c r="L4229" s="47" t="str">
        <f aca="false">IF(AND(J4229=1,N(I4229)&gt;0),SUMIF($K$2:$K$5001,"&gt;="&amp;K4229,$I$2:$I$5001)/MAX(1,SUM($H$2:$H$5001)),"")</f>
        <v/>
      </c>
      <c r="M4229" s="47" t="str">
        <f aca="false">IF($A4229="","",INDEX($L$2:$L$5001,MATCH($A4229,$A$2:$A$5001,0)))</f>
        <v/>
      </c>
      <c r="N4229" s="48" t="str">
        <f aca="false">IF($A4229="","",IF(N(M4229)=0,"–",IF(M4229&lt;=Start!$D$20,"A",IF(M4229&lt;=Start!$D$21,"B","C"))))</f>
        <v/>
      </c>
      <c r="O4229" s="48" t="str">
        <f aca="false">IF($A4229="","",IF(NOT(ISNUMBER(F4229)),"Wert fehlt; ",IF(F4229&lt;=0,"Wert ist 0; ",""))&amp;IF(NOT(ISNUMBER(E4229)),"Bestand fehlt; ",IF(E4229&lt;0,"Bestand negativ; ",IF(E4229=0,"Nullbestand; ","")))&amp;IF(D4229="","Warengruppe fehlt; ","")&amp;IF(B4229="","Bezeichnung fehlt; ","")&amp;IF(COUNTIFS($A$2:$A$5001,$A4229,$C$2:$C$5001,C4229)&gt;1,"Artikel doppelt im selben Lager; ",""))</f>
        <v/>
      </c>
      <c r="P4229" s="47" t="n">
        <f aca="false">IF(OR($A4229="",D4229=""),0,IF(COUNTIF($D$2:D4229,D4229)=1,SUMIF($D$2:$D$5001,D4229,$H$2:$H$5001)+ROW()/10000000,0))</f>
        <v>0</v>
      </c>
      <c r="Q4229" s="47" t="n">
        <f aca="false">IF(OR($A4229="",C4229=""),0,IF(COUNTIF($C$2:C4229,C4229)=1,SUMIF($C$2:$C$5001,C4229,$H$2:$H$5001)+ROW()/10000000,0))</f>
        <v>0</v>
      </c>
    </row>
    <row r="4230" customFormat="false" ht="15" hidden="false" customHeight="false" outlineLevel="0" collapsed="false">
      <c r="A4230" s="43"/>
      <c r="B4230" s="44"/>
      <c r="C4230" s="44"/>
      <c r="D4230" s="44"/>
      <c r="E4230" s="44"/>
      <c r="F4230" s="44"/>
      <c r="G4230" s="44"/>
      <c r="H4230" s="46" t="str">
        <f aca="false">IF($A4230="","",IF(OR(NOT(ISNUMBER(E4230)),NOT(ISNUMBER(F4230))),"",MAX(0,E4230)*F4230))</f>
        <v/>
      </c>
      <c r="I4230" s="46" t="str">
        <f aca="false">IF($A4230="","",SUMIF($A$2:$A$5001,$A4230,$H$2:$H$5001))</f>
        <v/>
      </c>
      <c r="J4230" s="47" t="n">
        <f aca="false">IF($A4230="",0,IF(COUNTIF($A$2:A4230,$A4230)=1,1,0))</f>
        <v>0</v>
      </c>
      <c r="K4230" s="47" t="n">
        <f aca="false">IF(J4230=1,N(I4230)+ROW()/10000000,0)</f>
        <v>0</v>
      </c>
      <c r="L4230" s="47" t="str">
        <f aca="false">IF(AND(J4230=1,N(I4230)&gt;0),SUMIF($K$2:$K$5001,"&gt;="&amp;K4230,$I$2:$I$5001)/MAX(1,SUM($H$2:$H$5001)),"")</f>
        <v/>
      </c>
      <c r="M4230" s="47" t="str">
        <f aca="false">IF($A4230="","",INDEX($L$2:$L$5001,MATCH($A4230,$A$2:$A$5001,0)))</f>
        <v/>
      </c>
      <c r="N4230" s="48" t="str">
        <f aca="false">IF($A4230="","",IF(N(M4230)=0,"–",IF(M4230&lt;=Start!$D$20,"A",IF(M4230&lt;=Start!$D$21,"B","C"))))</f>
        <v/>
      </c>
      <c r="O4230" s="48" t="str">
        <f aca="false">IF($A4230="","",IF(NOT(ISNUMBER(F4230)),"Wert fehlt; ",IF(F4230&lt;=0,"Wert ist 0; ",""))&amp;IF(NOT(ISNUMBER(E4230)),"Bestand fehlt; ",IF(E4230&lt;0,"Bestand negativ; ",IF(E4230=0,"Nullbestand; ","")))&amp;IF(D4230="","Warengruppe fehlt; ","")&amp;IF(B4230="","Bezeichnung fehlt; ","")&amp;IF(COUNTIFS($A$2:$A$5001,$A4230,$C$2:$C$5001,C4230)&gt;1,"Artikel doppelt im selben Lager; ",""))</f>
        <v/>
      </c>
      <c r="P4230" s="47" t="n">
        <f aca="false">IF(OR($A4230="",D4230=""),0,IF(COUNTIF($D$2:D4230,D4230)=1,SUMIF($D$2:$D$5001,D4230,$H$2:$H$5001)+ROW()/10000000,0))</f>
        <v>0</v>
      </c>
      <c r="Q4230" s="47" t="n">
        <f aca="false">IF(OR($A4230="",C4230=""),0,IF(COUNTIF($C$2:C4230,C4230)=1,SUMIF($C$2:$C$5001,C4230,$H$2:$H$5001)+ROW()/10000000,0))</f>
        <v>0</v>
      </c>
    </row>
    <row r="4231" customFormat="false" ht="15" hidden="false" customHeight="false" outlineLevel="0" collapsed="false">
      <c r="A4231" s="43"/>
      <c r="B4231" s="44"/>
      <c r="C4231" s="44"/>
      <c r="D4231" s="44"/>
      <c r="E4231" s="44"/>
      <c r="F4231" s="44"/>
      <c r="G4231" s="44"/>
      <c r="H4231" s="46" t="str">
        <f aca="false">IF($A4231="","",IF(OR(NOT(ISNUMBER(E4231)),NOT(ISNUMBER(F4231))),"",MAX(0,E4231)*F4231))</f>
        <v/>
      </c>
      <c r="I4231" s="46" t="str">
        <f aca="false">IF($A4231="","",SUMIF($A$2:$A$5001,$A4231,$H$2:$H$5001))</f>
        <v/>
      </c>
      <c r="J4231" s="47" t="n">
        <f aca="false">IF($A4231="",0,IF(COUNTIF($A$2:A4231,$A4231)=1,1,0))</f>
        <v>0</v>
      </c>
      <c r="K4231" s="47" t="n">
        <f aca="false">IF(J4231=1,N(I4231)+ROW()/10000000,0)</f>
        <v>0</v>
      </c>
      <c r="L4231" s="47" t="str">
        <f aca="false">IF(AND(J4231=1,N(I4231)&gt;0),SUMIF($K$2:$K$5001,"&gt;="&amp;K4231,$I$2:$I$5001)/MAX(1,SUM($H$2:$H$5001)),"")</f>
        <v/>
      </c>
      <c r="M4231" s="47" t="str">
        <f aca="false">IF($A4231="","",INDEX($L$2:$L$5001,MATCH($A4231,$A$2:$A$5001,0)))</f>
        <v/>
      </c>
      <c r="N4231" s="48" t="str">
        <f aca="false">IF($A4231="","",IF(N(M4231)=0,"–",IF(M4231&lt;=Start!$D$20,"A",IF(M4231&lt;=Start!$D$21,"B","C"))))</f>
        <v/>
      </c>
      <c r="O4231" s="48" t="str">
        <f aca="false">IF($A4231="","",IF(NOT(ISNUMBER(F4231)),"Wert fehlt; ",IF(F4231&lt;=0,"Wert ist 0; ",""))&amp;IF(NOT(ISNUMBER(E4231)),"Bestand fehlt; ",IF(E4231&lt;0,"Bestand negativ; ",IF(E4231=0,"Nullbestand; ","")))&amp;IF(D4231="","Warengruppe fehlt; ","")&amp;IF(B4231="","Bezeichnung fehlt; ","")&amp;IF(COUNTIFS($A$2:$A$5001,$A4231,$C$2:$C$5001,C4231)&gt;1,"Artikel doppelt im selben Lager; ",""))</f>
        <v/>
      </c>
      <c r="P4231" s="47" t="n">
        <f aca="false">IF(OR($A4231="",D4231=""),0,IF(COUNTIF($D$2:D4231,D4231)=1,SUMIF($D$2:$D$5001,D4231,$H$2:$H$5001)+ROW()/10000000,0))</f>
        <v>0</v>
      </c>
      <c r="Q4231" s="47" t="n">
        <f aca="false">IF(OR($A4231="",C4231=""),0,IF(COUNTIF($C$2:C4231,C4231)=1,SUMIF($C$2:$C$5001,C4231,$H$2:$H$5001)+ROW()/10000000,0))</f>
        <v>0</v>
      </c>
    </row>
    <row r="4232" customFormat="false" ht="15" hidden="false" customHeight="false" outlineLevel="0" collapsed="false">
      <c r="A4232" s="43"/>
      <c r="B4232" s="44"/>
      <c r="C4232" s="44"/>
      <c r="D4232" s="44"/>
      <c r="E4232" s="44"/>
      <c r="F4232" s="44"/>
      <c r="G4232" s="44"/>
      <c r="H4232" s="46" t="str">
        <f aca="false">IF($A4232="","",IF(OR(NOT(ISNUMBER(E4232)),NOT(ISNUMBER(F4232))),"",MAX(0,E4232)*F4232))</f>
        <v/>
      </c>
      <c r="I4232" s="46" t="str">
        <f aca="false">IF($A4232="","",SUMIF($A$2:$A$5001,$A4232,$H$2:$H$5001))</f>
        <v/>
      </c>
      <c r="J4232" s="47" t="n">
        <f aca="false">IF($A4232="",0,IF(COUNTIF($A$2:A4232,$A4232)=1,1,0))</f>
        <v>0</v>
      </c>
      <c r="K4232" s="47" t="n">
        <f aca="false">IF(J4232=1,N(I4232)+ROW()/10000000,0)</f>
        <v>0</v>
      </c>
      <c r="L4232" s="47" t="str">
        <f aca="false">IF(AND(J4232=1,N(I4232)&gt;0),SUMIF($K$2:$K$5001,"&gt;="&amp;K4232,$I$2:$I$5001)/MAX(1,SUM($H$2:$H$5001)),"")</f>
        <v/>
      </c>
      <c r="M4232" s="47" t="str">
        <f aca="false">IF($A4232="","",INDEX($L$2:$L$5001,MATCH($A4232,$A$2:$A$5001,0)))</f>
        <v/>
      </c>
      <c r="N4232" s="48" t="str">
        <f aca="false">IF($A4232="","",IF(N(M4232)=0,"–",IF(M4232&lt;=Start!$D$20,"A",IF(M4232&lt;=Start!$D$21,"B","C"))))</f>
        <v/>
      </c>
      <c r="O4232" s="48" t="str">
        <f aca="false">IF($A4232="","",IF(NOT(ISNUMBER(F4232)),"Wert fehlt; ",IF(F4232&lt;=0,"Wert ist 0; ",""))&amp;IF(NOT(ISNUMBER(E4232)),"Bestand fehlt; ",IF(E4232&lt;0,"Bestand negativ; ",IF(E4232=0,"Nullbestand; ","")))&amp;IF(D4232="","Warengruppe fehlt; ","")&amp;IF(B4232="","Bezeichnung fehlt; ","")&amp;IF(COUNTIFS($A$2:$A$5001,$A4232,$C$2:$C$5001,C4232)&gt;1,"Artikel doppelt im selben Lager; ",""))</f>
        <v/>
      </c>
      <c r="P4232" s="47" t="n">
        <f aca="false">IF(OR($A4232="",D4232=""),0,IF(COUNTIF($D$2:D4232,D4232)=1,SUMIF($D$2:$D$5001,D4232,$H$2:$H$5001)+ROW()/10000000,0))</f>
        <v>0</v>
      </c>
      <c r="Q4232" s="47" t="n">
        <f aca="false">IF(OR($A4232="",C4232=""),0,IF(COUNTIF($C$2:C4232,C4232)=1,SUMIF($C$2:$C$5001,C4232,$H$2:$H$5001)+ROW()/10000000,0))</f>
        <v>0</v>
      </c>
    </row>
    <row r="4233" customFormat="false" ht="15" hidden="false" customHeight="false" outlineLevel="0" collapsed="false">
      <c r="A4233" s="43"/>
      <c r="B4233" s="44"/>
      <c r="C4233" s="44"/>
      <c r="D4233" s="44"/>
      <c r="E4233" s="44"/>
      <c r="F4233" s="44"/>
      <c r="G4233" s="44"/>
      <c r="H4233" s="46" t="str">
        <f aca="false">IF($A4233="","",IF(OR(NOT(ISNUMBER(E4233)),NOT(ISNUMBER(F4233))),"",MAX(0,E4233)*F4233))</f>
        <v/>
      </c>
      <c r="I4233" s="46" t="str">
        <f aca="false">IF($A4233="","",SUMIF($A$2:$A$5001,$A4233,$H$2:$H$5001))</f>
        <v/>
      </c>
      <c r="J4233" s="47" t="n">
        <f aca="false">IF($A4233="",0,IF(COUNTIF($A$2:A4233,$A4233)=1,1,0))</f>
        <v>0</v>
      </c>
      <c r="K4233" s="47" t="n">
        <f aca="false">IF(J4233=1,N(I4233)+ROW()/10000000,0)</f>
        <v>0</v>
      </c>
      <c r="L4233" s="47" t="str">
        <f aca="false">IF(AND(J4233=1,N(I4233)&gt;0),SUMIF($K$2:$K$5001,"&gt;="&amp;K4233,$I$2:$I$5001)/MAX(1,SUM($H$2:$H$5001)),"")</f>
        <v/>
      </c>
      <c r="M4233" s="47" t="str">
        <f aca="false">IF($A4233="","",INDEX($L$2:$L$5001,MATCH($A4233,$A$2:$A$5001,0)))</f>
        <v/>
      </c>
      <c r="N4233" s="48" t="str">
        <f aca="false">IF($A4233="","",IF(N(M4233)=0,"–",IF(M4233&lt;=Start!$D$20,"A",IF(M4233&lt;=Start!$D$21,"B","C"))))</f>
        <v/>
      </c>
      <c r="O4233" s="48" t="str">
        <f aca="false">IF($A4233="","",IF(NOT(ISNUMBER(F4233)),"Wert fehlt; ",IF(F4233&lt;=0,"Wert ist 0; ",""))&amp;IF(NOT(ISNUMBER(E4233)),"Bestand fehlt; ",IF(E4233&lt;0,"Bestand negativ; ",IF(E4233=0,"Nullbestand; ","")))&amp;IF(D4233="","Warengruppe fehlt; ","")&amp;IF(B4233="","Bezeichnung fehlt; ","")&amp;IF(COUNTIFS($A$2:$A$5001,$A4233,$C$2:$C$5001,C4233)&gt;1,"Artikel doppelt im selben Lager; ",""))</f>
        <v/>
      </c>
      <c r="P4233" s="47" t="n">
        <f aca="false">IF(OR($A4233="",D4233=""),0,IF(COUNTIF($D$2:D4233,D4233)=1,SUMIF($D$2:$D$5001,D4233,$H$2:$H$5001)+ROW()/10000000,0))</f>
        <v>0</v>
      </c>
      <c r="Q4233" s="47" t="n">
        <f aca="false">IF(OR($A4233="",C4233=""),0,IF(COUNTIF($C$2:C4233,C4233)=1,SUMIF($C$2:$C$5001,C4233,$H$2:$H$5001)+ROW()/10000000,0))</f>
        <v>0</v>
      </c>
    </row>
    <row r="4234" customFormat="false" ht="15" hidden="false" customHeight="false" outlineLevel="0" collapsed="false">
      <c r="A4234" s="43"/>
      <c r="B4234" s="44"/>
      <c r="C4234" s="44"/>
      <c r="D4234" s="44"/>
      <c r="E4234" s="44"/>
      <c r="F4234" s="44"/>
      <c r="G4234" s="44"/>
      <c r="H4234" s="46" t="str">
        <f aca="false">IF($A4234="","",IF(OR(NOT(ISNUMBER(E4234)),NOT(ISNUMBER(F4234))),"",MAX(0,E4234)*F4234))</f>
        <v/>
      </c>
      <c r="I4234" s="46" t="str">
        <f aca="false">IF($A4234="","",SUMIF($A$2:$A$5001,$A4234,$H$2:$H$5001))</f>
        <v/>
      </c>
      <c r="J4234" s="47" t="n">
        <f aca="false">IF($A4234="",0,IF(COUNTIF($A$2:A4234,$A4234)=1,1,0))</f>
        <v>0</v>
      </c>
      <c r="K4234" s="47" t="n">
        <f aca="false">IF(J4234=1,N(I4234)+ROW()/10000000,0)</f>
        <v>0</v>
      </c>
      <c r="L4234" s="47" t="str">
        <f aca="false">IF(AND(J4234=1,N(I4234)&gt;0),SUMIF($K$2:$K$5001,"&gt;="&amp;K4234,$I$2:$I$5001)/MAX(1,SUM($H$2:$H$5001)),"")</f>
        <v/>
      </c>
      <c r="M4234" s="47" t="str">
        <f aca="false">IF($A4234="","",INDEX($L$2:$L$5001,MATCH($A4234,$A$2:$A$5001,0)))</f>
        <v/>
      </c>
      <c r="N4234" s="48" t="str">
        <f aca="false">IF($A4234="","",IF(N(M4234)=0,"–",IF(M4234&lt;=Start!$D$20,"A",IF(M4234&lt;=Start!$D$21,"B","C"))))</f>
        <v/>
      </c>
      <c r="O4234" s="48" t="str">
        <f aca="false">IF($A4234="","",IF(NOT(ISNUMBER(F4234)),"Wert fehlt; ",IF(F4234&lt;=0,"Wert ist 0; ",""))&amp;IF(NOT(ISNUMBER(E4234)),"Bestand fehlt; ",IF(E4234&lt;0,"Bestand negativ; ",IF(E4234=0,"Nullbestand; ","")))&amp;IF(D4234="","Warengruppe fehlt; ","")&amp;IF(B4234="","Bezeichnung fehlt; ","")&amp;IF(COUNTIFS($A$2:$A$5001,$A4234,$C$2:$C$5001,C4234)&gt;1,"Artikel doppelt im selben Lager; ",""))</f>
        <v/>
      </c>
      <c r="P4234" s="47" t="n">
        <f aca="false">IF(OR($A4234="",D4234=""),0,IF(COUNTIF($D$2:D4234,D4234)=1,SUMIF($D$2:$D$5001,D4234,$H$2:$H$5001)+ROW()/10000000,0))</f>
        <v>0</v>
      </c>
      <c r="Q4234" s="47" t="n">
        <f aca="false">IF(OR($A4234="",C4234=""),0,IF(COUNTIF($C$2:C4234,C4234)=1,SUMIF($C$2:$C$5001,C4234,$H$2:$H$5001)+ROW()/10000000,0))</f>
        <v>0</v>
      </c>
    </row>
    <row r="4235" customFormat="false" ht="15" hidden="false" customHeight="false" outlineLevel="0" collapsed="false">
      <c r="A4235" s="43"/>
      <c r="B4235" s="44"/>
      <c r="C4235" s="44"/>
      <c r="D4235" s="44"/>
      <c r="E4235" s="44"/>
      <c r="F4235" s="44"/>
      <c r="G4235" s="44"/>
      <c r="H4235" s="46" t="str">
        <f aca="false">IF($A4235="","",IF(OR(NOT(ISNUMBER(E4235)),NOT(ISNUMBER(F4235))),"",MAX(0,E4235)*F4235))</f>
        <v/>
      </c>
      <c r="I4235" s="46" t="str">
        <f aca="false">IF($A4235="","",SUMIF($A$2:$A$5001,$A4235,$H$2:$H$5001))</f>
        <v/>
      </c>
      <c r="J4235" s="47" t="n">
        <f aca="false">IF($A4235="",0,IF(COUNTIF($A$2:A4235,$A4235)=1,1,0))</f>
        <v>0</v>
      </c>
      <c r="K4235" s="47" t="n">
        <f aca="false">IF(J4235=1,N(I4235)+ROW()/10000000,0)</f>
        <v>0</v>
      </c>
      <c r="L4235" s="47" t="str">
        <f aca="false">IF(AND(J4235=1,N(I4235)&gt;0),SUMIF($K$2:$K$5001,"&gt;="&amp;K4235,$I$2:$I$5001)/MAX(1,SUM($H$2:$H$5001)),"")</f>
        <v/>
      </c>
      <c r="M4235" s="47" t="str">
        <f aca="false">IF($A4235="","",INDEX($L$2:$L$5001,MATCH($A4235,$A$2:$A$5001,0)))</f>
        <v/>
      </c>
      <c r="N4235" s="48" t="str">
        <f aca="false">IF($A4235="","",IF(N(M4235)=0,"–",IF(M4235&lt;=Start!$D$20,"A",IF(M4235&lt;=Start!$D$21,"B","C"))))</f>
        <v/>
      </c>
      <c r="O4235" s="48" t="str">
        <f aca="false">IF($A4235="","",IF(NOT(ISNUMBER(F4235)),"Wert fehlt; ",IF(F4235&lt;=0,"Wert ist 0; ",""))&amp;IF(NOT(ISNUMBER(E4235)),"Bestand fehlt; ",IF(E4235&lt;0,"Bestand negativ; ",IF(E4235=0,"Nullbestand; ","")))&amp;IF(D4235="","Warengruppe fehlt; ","")&amp;IF(B4235="","Bezeichnung fehlt; ","")&amp;IF(COUNTIFS($A$2:$A$5001,$A4235,$C$2:$C$5001,C4235)&gt;1,"Artikel doppelt im selben Lager; ",""))</f>
        <v/>
      </c>
      <c r="P4235" s="47" t="n">
        <f aca="false">IF(OR($A4235="",D4235=""),0,IF(COUNTIF($D$2:D4235,D4235)=1,SUMIF($D$2:$D$5001,D4235,$H$2:$H$5001)+ROW()/10000000,0))</f>
        <v>0</v>
      </c>
      <c r="Q4235" s="47" t="n">
        <f aca="false">IF(OR($A4235="",C4235=""),0,IF(COUNTIF($C$2:C4235,C4235)=1,SUMIF($C$2:$C$5001,C4235,$H$2:$H$5001)+ROW()/10000000,0))</f>
        <v>0</v>
      </c>
    </row>
    <row r="4236" customFormat="false" ht="15" hidden="false" customHeight="false" outlineLevel="0" collapsed="false">
      <c r="A4236" s="43"/>
      <c r="B4236" s="44"/>
      <c r="C4236" s="44"/>
      <c r="D4236" s="44"/>
      <c r="E4236" s="44"/>
      <c r="F4236" s="44"/>
      <c r="G4236" s="44"/>
      <c r="H4236" s="46" t="str">
        <f aca="false">IF($A4236="","",IF(OR(NOT(ISNUMBER(E4236)),NOT(ISNUMBER(F4236))),"",MAX(0,E4236)*F4236))</f>
        <v/>
      </c>
      <c r="I4236" s="46" t="str">
        <f aca="false">IF($A4236="","",SUMIF($A$2:$A$5001,$A4236,$H$2:$H$5001))</f>
        <v/>
      </c>
      <c r="J4236" s="47" t="n">
        <f aca="false">IF($A4236="",0,IF(COUNTIF($A$2:A4236,$A4236)=1,1,0))</f>
        <v>0</v>
      </c>
      <c r="K4236" s="47" t="n">
        <f aca="false">IF(J4236=1,N(I4236)+ROW()/10000000,0)</f>
        <v>0</v>
      </c>
      <c r="L4236" s="47" t="str">
        <f aca="false">IF(AND(J4236=1,N(I4236)&gt;0),SUMIF($K$2:$K$5001,"&gt;="&amp;K4236,$I$2:$I$5001)/MAX(1,SUM($H$2:$H$5001)),"")</f>
        <v/>
      </c>
      <c r="M4236" s="47" t="str">
        <f aca="false">IF($A4236="","",INDEX($L$2:$L$5001,MATCH($A4236,$A$2:$A$5001,0)))</f>
        <v/>
      </c>
      <c r="N4236" s="48" t="str">
        <f aca="false">IF($A4236="","",IF(N(M4236)=0,"–",IF(M4236&lt;=Start!$D$20,"A",IF(M4236&lt;=Start!$D$21,"B","C"))))</f>
        <v/>
      </c>
      <c r="O4236" s="48" t="str">
        <f aca="false">IF($A4236="","",IF(NOT(ISNUMBER(F4236)),"Wert fehlt; ",IF(F4236&lt;=0,"Wert ist 0; ",""))&amp;IF(NOT(ISNUMBER(E4236)),"Bestand fehlt; ",IF(E4236&lt;0,"Bestand negativ; ",IF(E4236=0,"Nullbestand; ","")))&amp;IF(D4236="","Warengruppe fehlt; ","")&amp;IF(B4236="","Bezeichnung fehlt; ","")&amp;IF(COUNTIFS($A$2:$A$5001,$A4236,$C$2:$C$5001,C4236)&gt;1,"Artikel doppelt im selben Lager; ",""))</f>
        <v/>
      </c>
      <c r="P4236" s="47" t="n">
        <f aca="false">IF(OR($A4236="",D4236=""),0,IF(COUNTIF($D$2:D4236,D4236)=1,SUMIF($D$2:$D$5001,D4236,$H$2:$H$5001)+ROW()/10000000,0))</f>
        <v>0</v>
      </c>
      <c r="Q4236" s="47" t="n">
        <f aca="false">IF(OR($A4236="",C4236=""),0,IF(COUNTIF($C$2:C4236,C4236)=1,SUMIF($C$2:$C$5001,C4236,$H$2:$H$5001)+ROW()/10000000,0))</f>
        <v>0</v>
      </c>
    </row>
    <row r="4237" customFormat="false" ht="15" hidden="false" customHeight="false" outlineLevel="0" collapsed="false">
      <c r="A4237" s="43"/>
      <c r="B4237" s="44"/>
      <c r="C4237" s="44"/>
      <c r="D4237" s="44"/>
      <c r="E4237" s="44"/>
      <c r="F4237" s="44"/>
      <c r="G4237" s="44"/>
      <c r="H4237" s="46" t="str">
        <f aca="false">IF($A4237="","",IF(OR(NOT(ISNUMBER(E4237)),NOT(ISNUMBER(F4237))),"",MAX(0,E4237)*F4237))</f>
        <v/>
      </c>
      <c r="I4237" s="46" t="str">
        <f aca="false">IF($A4237="","",SUMIF($A$2:$A$5001,$A4237,$H$2:$H$5001))</f>
        <v/>
      </c>
      <c r="J4237" s="47" t="n">
        <f aca="false">IF($A4237="",0,IF(COUNTIF($A$2:A4237,$A4237)=1,1,0))</f>
        <v>0</v>
      </c>
      <c r="K4237" s="47" t="n">
        <f aca="false">IF(J4237=1,N(I4237)+ROW()/10000000,0)</f>
        <v>0</v>
      </c>
      <c r="L4237" s="47" t="str">
        <f aca="false">IF(AND(J4237=1,N(I4237)&gt;0),SUMIF($K$2:$K$5001,"&gt;="&amp;K4237,$I$2:$I$5001)/MAX(1,SUM($H$2:$H$5001)),"")</f>
        <v/>
      </c>
      <c r="M4237" s="47" t="str">
        <f aca="false">IF($A4237="","",INDEX($L$2:$L$5001,MATCH($A4237,$A$2:$A$5001,0)))</f>
        <v/>
      </c>
      <c r="N4237" s="48" t="str">
        <f aca="false">IF($A4237="","",IF(N(M4237)=0,"–",IF(M4237&lt;=Start!$D$20,"A",IF(M4237&lt;=Start!$D$21,"B","C"))))</f>
        <v/>
      </c>
      <c r="O4237" s="48" t="str">
        <f aca="false">IF($A4237="","",IF(NOT(ISNUMBER(F4237)),"Wert fehlt; ",IF(F4237&lt;=0,"Wert ist 0; ",""))&amp;IF(NOT(ISNUMBER(E4237)),"Bestand fehlt; ",IF(E4237&lt;0,"Bestand negativ; ",IF(E4237=0,"Nullbestand; ","")))&amp;IF(D4237="","Warengruppe fehlt; ","")&amp;IF(B4237="","Bezeichnung fehlt; ","")&amp;IF(COUNTIFS($A$2:$A$5001,$A4237,$C$2:$C$5001,C4237)&gt;1,"Artikel doppelt im selben Lager; ",""))</f>
        <v/>
      </c>
      <c r="P4237" s="47" t="n">
        <f aca="false">IF(OR($A4237="",D4237=""),0,IF(COUNTIF($D$2:D4237,D4237)=1,SUMIF($D$2:$D$5001,D4237,$H$2:$H$5001)+ROW()/10000000,0))</f>
        <v>0</v>
      </c>
      <c r="Q4237" s="47" t="n">
        <f aca="false">IF(OR($A4237="",C4237=""),0,IF(COUNTIF($C$2:C4237,C4237)=1,SUMIF($C$2:$C$5001,C4237,$H$2:$H$5001)+ROW()/10000000,0))</f>
        <v>0</v>
      </c>
    </row>
    <row r="4238" customFormat="false" ht="15" hidden="false" customHeight="false" outlineLevel="0" collapsed="false">
      <c r="A4238" s="43"/>
      <c r="B4238" s="44"/>
      <c r="C4238" s="44"/>
      <c r="D4238" s="44"/>
      <c r="E4238" s="44"/>
      <c r="F4238" s="44"/>
      <c r="G4238" s="44"/>
      <c r="H4238" s="46" t="str">
        <f aca="false">IF($A4238="","",IF(OR(NOT(ISNUMBER(E4238)),NOT(ISNUMBER(F4238))),"",MAX(0,E4238)*F4238))</f>
        <v/>
      </c>
      <c r="I4238" s="46" t="str">
        <f aca="false">IF($A4238="","",SUMIF($A$2:$A$5001,$A4238,$H$2:$H$5001))</f>
        <v/>
      </c>
      <c r="J4238" s="47" t="n">
        <f aca="false">IF($A4238="",0,IF(COUNTIF($A$2:A4238,$A4238)=1,1,0))</f>
        <v>0</v>
      </c>
      <c r="K4238" s="47" t="n">
        <f aca="false">IF(J4238=1,N(I4238)+ROW()/10000000,0)</f>
        <v>0</v>
      </c>
      <c r="L4238" s="47" t="str">
        <f aca="false">IF(AND(J4238=1,N(I4238)&gt;0),SUMIF($K$2:$K$5001,"&gt;="&amp;K4238,$I$2:$I$5001)/MAX(1,SUM($H$2:$H$5001)),"")</f>
        <v/>
      </c>
      <c r="M4238" s="47" t="str">
        <f aca="false">IF($A4238="","",INDEX($L$2:$L$5001,MATCH($A4238,$A$2:$A$5001,0)))</f>
        <v/>
      </c>
      <c r="N4238" s="48" t="str">
        <f aca="false">IF($A4238="","",IF(N(M4238)=0,"–",IF(M4238&lt;=Start!$D$20,"A",IF(M4238&lt;=Start!$D$21,"B","C"))))</f>
        <v/>
      </c>
      <c r="O4238" s="48" t="str">
        <f aca="false">IF($A4238="","",IF(NOT(ISNUMBER(F4238)),"Wert fehlt; ",IF(F4238&lt;=0,"Wert ist 0; ",""))&amp;IF(NOT(ISNUMBER(E4238)),"Bestand fehlt; ",IF(E4238&lt;0,"Bestand negativ; ",IF(E4238=0,"Nullbestand; ","")))&amp;IF(D4238="","Warengruppe fehlt; ","")&amp;IF(B4238="","Bezeichnung fehlt; ","")&amp;IF(COUNTIFS($A$2:$A$5001,$A4238,$C$2:$C$5001,C4238)&gt;1,"Artikel doppelt im selben Lager; ",""))</f>
        <v/>
      </c>
      <c r="P4238" s="47" t="n">
        <f aca="false">IF(OR($A4238="",D4238=""),0,IF(COUNTIF($D$2:D4238,D4238)=1,SUMIF($D$2:$D$5001,D4238,$H$2:$H$5001)+ROW()/10000000,0))</f>
        <v>0</v>
      </c>
      <c r="Q4238" s="47" t="n">
        <f aca="false">IF(OR($A4238="",C4238=""),0,IF(COUNTIF($C$2:C4238,C4238)=1,SUMIF($C$2:$C$5001,C4238,$H$2:$H$5001)+ROW()/10000000,0))</f>
        <v>0</v>
      </c>
    </row>
    <row r="4239" customFormat="false" ht="15" hidden="false" customHeight="false" outlineLevel="0" collapsed="false">
      <c r="A4239" s="43"/>
      <c r="B4239" s="44"/>
      <c r="C4239" s="44"/>
      <c r="D4239" s="44"/>
      <c r="E4239" s="44"/>
      <c r="F4239" s="44"/>
      <c r="G4239" s="44"/>
      <c r="H4239" s="46" t="str">
        <f aca="false">IF($A4239="","",IF(OR(NOT(ISNUMBER(E4239)),NOT(ISNUMBER(F4239))),"",MAX(0,E4239)*F4239))</f>
        <v/>
      </c>
      <c r="I4239" s="46" t="str">
        <f aca="false">IF($A4239="","",SUMIF($A$2:$A$5001,$A4239,$H$2:$H$5001))</f>
        <v/>
      </c>
      <c r="J4239" s="47" t="n">
        <f aca="false">IF($A4239="",0,IF(COUNTIF($A$2:A4239,$A4239)=1,1,0))</f>
        <v>0</v>
      </c>
      <c r="K4239" s="47" t="n">
        <f aca="false">IF(J4239=1,N(I4239)+ROW()/10000000,0)</f>
        <v>0</v>
      </c>
      <c r="L4239" s="47" t="str">
        <f aca="false">IF(AND(J4239=1,N(I4239)&gt;0),SUMIF($K$2:$K$5001,"&gt;="&amp;K4239,$I$2:$I$5001)/MAX(1,SUM($H$2:$H$5001)),"")</f>
        <v/>
      </c>
      <c r="M4239" s="47" t="str">
        <f aca="false">IF($A4239="","",INDEX($L$2:$L$5001,MATCH($A4239,$A$2:$A$5001,0)))</f>
        <v/>
      </c>
      <c r="N4239" s="48" t="str">
        <f aca="false">IF($A4239="","",IF(N(M4239)=0,"–",IF(M4239&lt;=Start!$D$20,"A",IF(M4239&lt;=Start!$D$21,"B","C"))))</f>
        <v/>
      </c>
      <c r="O4239" s="48" t="str">
        <f aca="false">IF($A4239="","",IF(NOT(ISNUMBER(F4239)),"Wert fehlt; ",IF(F4239&lt;=0,"Wert ist 0; ",""))&amp;IF(NOT(ISNUMBER(E4239)),"Bestand fehlt; ",IF(E4239&lt;0,"Bestand negativ; ",IF(E4239=0,"Nullbestand; ","")))&amp;IF(D4239="","Warengruppe fehlt; ","")&amp;IF(B4239="","Bezeichnung fehlt; ","")&amp;IF(COUNTIFS($A$2:$A$5001,$A4239,$C$2:$C$5001,C4239)&gt;1,"Artikel doppelt im selben Lager; ",""))</f>
        <v/>
      </c>
      <c r="P4239" s="47" t="n">
        <f aca="false">IF(OR($A4239="",D4239=""),0,IF(COUNTIF($D$2:D4239,D4239)=1,SUMIF($D$2:$D$5001,D4239,$H$2:$H$5001)+ROW()/10000000,0))</f>
        <v>0</v>
      </c>
      <c r="Q4239" s="47" t="n">
        <f aca="false">IF(OR($A4239="",C4239=""),0,IF(COUNTIF($C$2:C4239,C4239)=1,SUMIF($C$2:$C$5001,C4239,$H$2:$H$5001)+ROW()/10000000,0))</f>
        <v>0</v>
      </c>
    </row>
    <row r="4240" customFormat="false" ht="15" hidden="false" customHeight="false" outlineLevel="0" collapsed="false">
      <c r="A4240" s="43"/>
      <c r="B4240" s="44"/>
      <c r="C4240" s="44"/>
      <c r="D4240" s="44"/>
      <c r="E4240" s="44"/>
      <c r="F4240" s="44"/>
      <c r="G4240" s="44"/>
      <c r="H4240" s="46" t="str">
        <f aca="false">IF($A4240="","",IF(OR(NOT(ISNUMBER(E4240)),NOT(ISNUMBER(F4240))),"",MAX(0,E4240)*F4240))</f>
        <v/>
      </c>
      <c r="I4240" s="46" t="str">
        <f aca="false">IF($A4240="","",SUMIF($A$2:$A$5001,$A4240,$H$2:$H$5001))</f>
        <v/>
      </c>
      <c r="J4240" s="47" t="n">
        <f aca="false">IF($A4240="",0,IF(COUNTIF($A$2:A4240,$A4240)=1,1,0))</f>
        <v>0</v>
      </c>
      <c r="K4240" s="47" t="n">
        <f aca="false">IF(J4240=1,N(I4240)+ROW()/10000000,0)</f>
        <v>0</v>
      </c>
      <c r="L4240" s="47" t="str">
        <f aca="false">IF(AND(J4240=1,N(I4240)&gt;0),SUMIF($K$2:$K$5001,"&gt;="&amp;K4240,$I$2:$I$5001)/MAX(1,SUM($H$2:$H$5001)),"")</f>
        <v/>
      </c>
      <c r="M4240" s="47" t="str">
        <f aca="false">IF($A4240="","",INDEX($L$2:$L$5001,MATCH($A4240,$A$2:$A$5001,0)))</f>
        <v/>
      </c>
      <c r="N4240" s="48" t="str">
        <f aca="false">IF($A4240="","",IF(N(M4240)=0,"–",IF(M4240&lt;=Start!$D$20,"A",IF(M4240&lt;=Start!$D$21,"B","C"))))</f>
        <v/>
      </c>
      <c r="O4240" s="48" t="str">
        <f aca="false">IF($A4240="","",IF(NOT(ISNUMBER(F4240)),"Wert fehlt; ",IF(F4240&lt;=0,"Wert ist 0; ",""))&amp;IF(NOT(ISNUMBER(E4240)),"Bestand fehlt; ",IF(E4240&lt;0,"Bestand negativ; ",IF(E4240=0,"Nullbestand; ","")))&amp;IF(D4240="","Warengruppe fehlt; ","")&amp;IF(B4240="","Bezeichnung fehlt; ","")&amp;IF(COUNTIFS($A$2:$A$5001,$A4240,$C$2:$C$5001,C4240)&gt;1,"Artikel doppelt im selben Lager; ",""))</f>
        <v/>
      </c>
      <c r="P4240" s="47" t="n">
        <f aca="false">IF(OR($A4240="",D4240=""),0,IF(COUNTIF($D$2:D4240,D4240)=1,SUMIF($D$2:$D$5001,D4240,$H$2:$H$5001)+ROW()/10000000,0))</f>
        <v>0</v>
      </c>
      <c r="Q4240" s="47" t="n">
        <f aca="false">IF(OR($A4240="",C4240=""),0,IF(COUNTIF($C$2:C4240,C4240)=1,SUMIF($C$2:$C$5001,C4240,$H$2:$H$5001)+ROW()/10000000,0))</f>
        <v>0</v>
      </c>
    </row>
    <row r="4241" customFormat="false" ht="15" hidden="false" customHeight="false" outlineLevel="0" collapsed="false">
      <c r="A4241" s="43"/>
      <c r="B4241" s="44"/>
      <c r="C4241" s="44"/>
      <c r="D4241" s="44"/>
      <c r="E4241" s="44"/>
      <c r="F4241" s="44"/>
      <c r="G4241" s="44"/>
      <c r="H4241" s="46" t="str">
        <f aca="false">IF($A4241="","",IF(OR(NOT(ISNUMBER(E4241)),NOT(ISNUMBER(F4241))),"",MAX(0,E4241)*F4241))</f>
        <v/>
      </c>
      <c r="I4241" s="46" t="str">
        <f aca="false">IF($A4241="","",SUMIF($A$2:$A$5001,$A4241,$H$2:$H$5001))</f>
        <v/>
      </c>
      <c r="J4241" s="47" t="n">
        <f aca="false">IF($A4241="",0,IF(COUNTIF($A$2:A4241,$A4241)=1,1,0))</f>
        <v>0</v>
      </c>
      <c r="K4241" s="47" t="n">
        <f aca="false">IF(J4241=1,N(I4241)+ROW()/10000000,0)</f>
        <v>0</v>
      </c>
      <c r="L4241" s="47" t="str">
        <f aca="false">IF(AND(J4241=1,N(I4241)&gt;0),SUMIF($K$2:$K$5001,"&gt;="&amp;K4241,$I$2:$I$5001)/MAX(1,SUM($H$2:$H$5001)),"")</f>
        <v/>
      </c>
      <c r="M4241" s="47" t="str">
        <f aca="false">IF($A4241="","",INDEX($L$2:$L$5001,MATCH($A4241,$A$2:$A$5001,0)))</f>
        <v/>
      </c>
      <c r="N4241" s="48" t="str">
        <f aca="false">IF($A4241="","",IF(N(M4241)=0,"–",IF(M4241&lt;=Start!$D$20,"A",IF(M4241&lt;=Start!$D$21,"B","C"))))</f>
        <v/>
      </c>
      <c r="O4241" s="48" t="str">
        <f aca="false">IF($A4241="","",IF(NOT(ISNUMBER(F4241)),"Wert fehlt; ",IF(F4241&lt;=0,"Wert ist 0; ",""))&amp;IF(NOT(ISNUMBER(E4241)),"Bestand fehlt; ",IF(E4241&lt;0,"Bestand negativ; ",IF(E4241=0,"Nullbestand; ","")))&amp;IF(D4241="","Warengruppe fehlt; ","")&amp;IF(B4241="","Bezeichnung fehlt; ","")&amp;IF(COUNTIFS($A$2:$A$5001,$A4241,$C$2:$C$5001,C4241)&gt;1,"Artikel doppelt im selben Lager; ",""))</f>
        <v/>
      </c>
      <c r="P4241" s="47" t="n">
        <f aca="false">IF(OR($A4241="",D4241=""),0,IF(COUNTIF($D$2:D4241,D4241)=1,SUMIF($D$2:$D$5001,D4241,$H$2:$H$5001)+ROW()/10000000,0))</f>
        <v>0</v>
      </c>
      <c r="Q4241" s="47" t="n">
        <f aca="false">IF(OR($A4241="",C4241=""),0,IF(COUNTIF($C$2:C4241,C4241)=1,SUMIF($C$2:$C$5001,C4241,$H$2:$H$5001)+ROW()/10000000,0))</f>
        <v>0</v>
      </c>
    </row>
    <row r="4242" customFormat="false" ht="15" hidden="false" customHeight="false" outlineLevel="0" collapsed="false">
      <c r="A4242" s="43"/>
      <c r="B4242" s="44"/>
      <c r="C4242" s="44"/>
      <c r="D4242" s="44"/>
      <c r="E4242" s="44"/>
      <c r="F4242" s="44"/>
      <c r="G4242" s="44"/>
      <c r="H4242" s="46" t="str">
        <f aca="false">IF($A4242="","",IF(OR(NOT(ISNUMBER(E4242)),NOT(ISNUMBER(F4242))),"",MAX(0,E4242)*F4242))</f>
        <v/>
      </c>
      <c r="I4242" s="46" t="str">
        <f aca="false">IF($A4242="","",SUMIF($A$2:$A$5001,$A4242,$H$2:$H$5001))</f>
        <v/>
      </c>
      <c r="J4242" s="47" t="n">
        <f aca="false">IF($A4242="",0,IF(COUNTIF($A$2:A4242,$A4242)=1,1,0))</f>
        <v>0</v>
      </c>
      <c r="K4242" s="47" t="n">
        <f aca="false">IF(J4242=1,N(I4242)+ROW()/10000000,0)</f>
        <v>0</v>
      </c>
      <c r="L4242" s="47" t="str">
        <f aca="false">IF(AND(J4242=1,N(I4242)&gt;0),SUMIF($K$2:$K$5001,"&gt;="&amp;K4242,$I$2:$I$5001)/MAX(1,SUM($H$2:$H$5001)),"")</f>
        <v/>
      </c>
      <c r="M4242" s="47" t="str">
        <f aca="false">IF($A4242="","",INDEX($L$2:$L$5001,MATCH($A4242,$A$2:$A$5001,0)))</f>
        <v/>
      </c>
      <c r="N4242" s="48" t="str">
        <f aca="false">IF($A4242="","",IF(N(M4242)=0,"–",IF(M4242&lt;=Start!$D$20,"A",IF(M4242&lt;=Start!$D$21,"B","C"))))</f>
        <v/>
      </c>
      <c r="O4242" s="48" t="str">
        <f aca="false">IF($A4242="","",IF(NOT(ISNUMBER(F4242)),"Wert fehlt; ",IF(F4242&lt;=0,"Wert ist 0; ",""))&amp;IF(NOT(ISNUMBER(E4242)),"Bestand fehlt; ",IF(E4242&lt;0,"Bestand negativ; ",IF(E4242=0,"Nullbestand; ","")))&amp;IF(D4242="","Warengruppe fehlt; ","")&amp;IF(B4242="","Bezeichnung fehlt; ","")&amp;IF(COUNTIFS($A$2:$A$5001,$A4242,$C$2:$C$5001,C4242)&gt;1,"Artikel doppelt im selben Lager; ",""))</f>
        <v/>
      </c>
      <c r="P4242" s="47" t="n">
        <f aca="false">IF(OR($A4242="",D4242=""),0,IF(COUNTIF($D$2:D4242,D4242)=1,SUMIF($D$2:$D$5001,D4242,$H$2:$H$5001)+ROW()/10000000,0))</f>
        <v>0</v>
      </c>
      <c r="Q4242" s="47" t="n">
        <f aca="false">IF(OR($A4242="",C4242=""),0,IF(COUNTIF($C$2:C4242,C4242)=1,SUMIF($C$2:$C$5001,C4242,$H$2:$H$5001)+ROW()/10000000,0))</f>
        <v>0</v>
      </c>
    </row>
    <row r="4243" customFormat="false" ht="15" hidden="false" customHeight="false" outlineLevel="0" collapsed="false">
      <c r="A4243" s="43"/>
      <c r="B4243" s="44"/>
      <c r="C4243" s="44"/>
      <c r="D4243" s="44"/>
      <c r="E4243" s="44"/>
      <c r="F4243" s="44"/>
      <c r="G4243" s="44"/>
      <c r="H4243" s="46" t="str">
        <f aca="false">IF($A4243="","",IF(OR(NOT(ISNUMBER(E4243)),NOT(ISNUMBER(F4243))),"",MAX(0,E4243)*F4243))</f>
        <v/>
      </c>
      <c r="I4243" s="46" t="str">
        <f aca="false">IF($A4243="","",SUMIF($A$2:$A$5001,$A4243,$H$2:$H$5001))</f>
        <v/>
      </c>
      <c r="J4243" s="47" t="n">
        <f aca="false">IF($A4243="",0,IF(COUNTIF($A$2:A4243,$A4243)=1,1,0))</f>
        <v>0</v>
      </c>
      <c r="K4243" s="47" t="n">
        <f aca="false">IF(J4243=1,N(I4243)+ROW()/10000000,0)</f>
        <v>0</v>
      </c>
      <c r="L4243" s="47" t="str">
        <f aca="false">IF(AND(J4243=1,N(I4243)&gt;0),SUMIF($K$2:$K$5001,"&gt;="&amp;K4243,$I$2:$I$5001)/MAX(1,SUM($H$2:$H$5001)),"")</f>
        <v/>
      </c>
      <c r="M4243" s="47" t="str">
        <f aca="false">IF($A4243="","",INDEX($L$2:$L$5001,MATCH($A4243,$A$2:$A$5001,0)))</f>
        <v/>
      </c>
      <c r="N4243" s="48" t="str">
        <f aca="false">IF($A4243="","",IF(N(M4243)=0,"–",IF(M4243&lt;=Start!$D$20,"A",IF(M4243&lt;=Start!$D$21,"B","C"))))</f>
        <v/>
      </c>
      <c r="O4243" s="48" t="str">
        <f aca="false">IF($A4243="","",IF(NOT(ISNUMBER(F4243)),"Wert fehlt; ",IF(F4243&lt;=0,"Wert ist 0; ",""))&amp;IF(NOT(ISNUMBER(E4243)),"Bestand fehlt; ",IF(E4243&lt;0,"Bestand negativ; ",IF(E4243=0,"Nullbestand; ","")))&amp;IF(D4243="","Warengruppe fehlt; ","")&amp;IF(B4243="","Bezeichnung fehlt; ","")&amp;IF(COUNTIFS($A$2:$A$5001,$A4243,$C$2:$C$5001,C4243)&gt;1,"Artikel doppelt im selben Lager; ",""))</f>
        <v/>
      </c>
      <c r="P4243" s="47" t="n">
        <f aca="false">IF(OR($A4243="",D4243=""),0,IF(COUNTIF($D$2:D4243,D4243)=1,SUMIF($D$2:$D$5001,D4243,$H$2:$H$5001)+ROW()/10000000,0))</f>
        <v>0</v>
      </c>
      <c r="Q4243" s="47" t="n">
        <f aca="false">IF(OR($A4243="",C4243=""),0,IF(COUNTIF($C$2:C4243,C4243)=1,SUMIF($C$2:$C$5001,C4243,$H$2:$H$5001)+ROW()/10000000,0))</f>
        <v>0</v>
      </c>
    </row>
    <row r="4244" customFormat="false" ht="15" hidden="false" customHeight="false" outlineLevel="0" collapsed="false">
      <c r="A4244" s="43"/>
      <c r="B4244" s="44"/>
      <c r="C4244" s="44"/>
      <c r="D4244" s="44"/>
      <c r="E4244" s="44"/>
      <c r="F4244" s="44"/>
      <c r="G4244" s="44"/>
      <c r="H4244" s="46" t="str">
        <f aca="false">IF($A4244="","",IF(OR(NOT(ISNUMBER(E4244)),NOT(ISNUMBER(F4244))),"",MAX(0,E4244)*F4244))</f>
        <v/>
      </c>
      <c r="I4244" s="46" t="str">
        <f aca="false">IF($A4244="","",SUMIF($A$2:$A$5001,$A4244,$H$2:$H$5001))</f>
        <v/>
      </c>
      <c r="J4244" s="47" t="n">
        <f aca="false">IF($A4244="",0,IF(COUNTIF($A$2:A4244,$A4244)=1,1,0))</f>
        <v>0</v>
      </c>
      <c r="K4244" s="47" t="n">
        <f aca="false">IF(J4244=1,N(I4244)+ROW()/10000000,0)</f>
        <v>0</v>
      </c>
      <c r="L4244" s="47" t="str">
        <f aca="false">IF(AND(J4244=1,N(I4244)&gt;0),SUMIF($K$2:$K$5001,"&gt;="&amp;K4244,$I$2:$I$5001)/MAX(1,SUM($H$2:$H$5001)),"")</f>
        <v/>
      </c>
      <c r="M4244" s="47" t="str">
        <f aca="false">IF($A4244="","",INDEX($L$2:$L$5001,MATCH($A4244,$A$2:$A$5001,0)))</f>
        <v/>
      </c>
      <c r="N4244" s="48" t="str">
        <f aca="false">IF($A4244="","",IF(N(M4244)=0,"–",IF(M4244&lt;=Start!$D$20,"A",IF(M4244&lt;=Start!$D$21,"B","C"))))</f>
        <v/>
      </c>
      <c r="O4244" s="48" t="str">
        <f aca="false">IF($A4244="","",IF(NOT(ISNUMBER(F4244)),"Wert fehlt; ",IF(F4244&lt;=0,"Wert ist 0; ",""))&amp;IF(NOT(ISNUMBER(E4244)),"Bestand fehlt; ",IF(E4244&lt;0,"Bestand negativ; ",IF(E4244=0,"Nullbestand; ","")))&amp;IF(D4244="","Warengruppe fehlt; ","")&amp;IF(B4244="","Bezeichnung fehlt; ","")&amp;IF(COUNTIFS($A$2:$A$5001,$A4244,$C$2:$C$5001,C4244)&gt;1,"Artikel doppelt im selben Lager; ",""))</f>
        <v/>
      </c>
      <c r="P4244" s="47" t="n">
        <f aca="false">IF(OR($A4244="",D4244=""),0,IF(COUNTIF($D$2:D4244,D4244)=1,SUMIF($D$2:$D$5001,D4244,$H$2:$H$5001)+ROW()/10000000,0))</f>
        <v>0</v>
      </c>
      <c r="Q4244" s="47" t="n">
        <f aca="false">IF(OR($A4244="",C4244=""),0,IF(COUNTIF($C$2:C4244,C4244)=1,SUMIF($C$2:$C$5001,C4244,$H$2:$H$5001)+ROW()/10000000,0))</f>
        <v>0</v>
      </c>
    </row>
    <row r="4245" customFormat="false" ht="15" hidden="false" customHeight="false" outlineLevel="0" collapsed="false">
      <c r="A4245" s="43"/>
      <c r="B4245" s="44"/>
      <c r="C4245" s="44"/>
      <c r="D4245" s="44"/>
      <c r="E4245" s="44"/>
      <c r="F4245" s="44"/>
      <c r="G4245" s="44"/>
      <c r="H4245" s="46" t="str">
        <f aca="false">IF($A4245="","",IF(OR(NOT(ISNUMBER(E4245)),NOT(ISNUMBER(F4245))),"",MAX(0,E4245)*F4245))</f>
        <v/>
      </c>
      <c r="I4245" s="46" t="str">
        <f aca="false">IF($A4245="","",SUMIF($A$2:$A$5001,$A4245,$H$2:$H$5001))</f>
        <v/>
      </c>
      <c r="J4245" s="47" t="n">
        <f aca="false">IF($A4245="",0,IF(COUNTIF($A$2:A4245,$A4245)=1,1,0))</f>
        <v>0</v>
      </c>
      <c r="K4245" s="47" t="n">
        <f aca="false">IF(J4245=1,N(I4245)+ROW()/10000000,0)</f>
        <v>0</v>
      </c>
      <c r="L4245" s="47" t="str">
        <f aca="false">IF(AND(J4245=1,N(I4245)&gt;0),SUMIF($K$2:$K$5001,"&gt;="&amp;K4245,$I$2:$I$5001)/MAX(1,SUM($H$2:$H$5001)),"")</f>
        <v/>
      </c>
      <c r="M4245" s="47" t="str">
        <f aca="false">IF($A4245="","",INDEX($L$2:$L$5001,MATCH($A4245,$A$2:$A$5001,0)))</f>
        <v/>
      </c>
      <c r="N4245" s="48" t="str">
        <f aca="false">IF($A4245="","",IF(N(M4245)=0,"–",IF(M4245&lt;=Start!$D$20,"A",IF(M4245&lt;=Start!$D$21,"B","C"))))</f>
        <v/>
      </c>
      <c r="O4245" s="48" t="str">
        <f aca="false">IF($A4245="","",IF(NOT(ISNUMBER(F4245)),"Wert fehlt; ",IF(F4245&lt;=0,"Wert ist 0; ",""))&amp;IF(NOT(ISNUMBER(E4245)),"Bestand fehlt; ",IF(E4245&lt;0,"Bestand negativ; ",IF(E4245=0,"Nullbestand; ","")))&amp;IF(D4245="","Warengruppe fehlt; ","")&amp;IF(B4245="","Bezeichnung fehlt; ","")&amp;IF(COUNTIFS($A$2:$A$5001,$A4245,$C$2:$C$5001,C4245)&gt;1,"Artikel doppelt im selben Lager; ",""))</f>
        <v/>
      </c>
      <c r="P4245" s="47" t="n">
        <f aca="false">IF(OR($A4245="",D4245=""),0,IF(COUNTIF($D$2:D4245,D4245)=1,SUMIF($D$2:$D$5001,D4245,$H$2:$H$5001)+ROW()/10000000,0))</f>
        <v>0</v>
      </c>
      <c r="Q4245" s="47" t="n">
        <f aca="false">IF(OR($A4245="",C4245=""),0,IF(COUNTIF($C$2:C4245,C4245)=1,SUMIF($C$2:$C$5001,C4245,$H$2:$H$5001)+ROW()/10000000,0))</f>
        <v>0</v>
      </c>
    </row>
    <row r="4246" customFormat="false" ht="15" hidden="false" customHeight="false" outlineLevel="0" collapsed="false">
      <c r="A4246" s="43"/>
      <c r="B4246" s="44"/>
      <c r="C4246" s="44"/>
      <c r="D4246" s="44"/>
      <c r="E4246" s="44"/>
      <c r="F4246" s="44"/>
      <c r="G4246" s="44"/>
      <c r="H4246" s="46" t="str">
        <f aca="false">IF($A4246="","",IF(OR(NOT(ISNUMBER(E4246)),NOT(ISNUMBER(F4246))),"",MAX(0,E4246)*F4246))</f>
        <v/>
      </c>
      <c r="I4246" s="46" t="str">
        <f aca="false">IF($A4246="","",SUMIF($A$2:$A$5001,$A4246,$H$2:$H$5001))</f>
        <v/>
      </c>
      <c r="J4246" s="47" t="n">
        <f aca="false">IF($A4246="",0,IF(COUNTIF($A$2:A4246,$A4246)=1,1,0))</f>
        <v>0</v>
      </c>
      <c r="K4246" s="47" t="n">
        <f aca="false">IF(J4246=1,N(I4246)+ROW()/10000000,0)</f>
        <v>0</v>
      </c>
      <c r="L4246" s="47" t="str">
        <f aca="false">IF(AND(J4246=1,N(I4246)&gt;0),SUMIF($K$2:$K$5001,"&gt;="&amp;K4246,$I$2:$I$5001)/MAX(1,SUM($H$2:$H$5001)),"")</f>
        <v/>
      </c>
      <c r="M4246" s="47" t="str">
        <f aca="false">IF($A4246="","",INDEX($L$2:$L$5001,MATCH($A4246,$A$2:$A$5001,0)))</f>
        <v/>
      </c>
      <c r="N4246" s="48" t="str">
        <f aca="false">IF($A4246="","",IF(N(M4246)=0,"–",IF(M4246&lt;=Start!$D$20,"A",IF(M4246&lt;=Start!$D$21,"B","C"))))</f>
        <v/>
      </c>
      <c r="O4246" s="48" t="str">
        <f aca="false">IF($A4246="","",IF(NOT(ISNUMBER(F4246)),"Wert fehlt; ",IF(F4246&lt;=0,"Wert ist 0; ",""))&amp;IF(NOT(ISNUMBER(E4246)),"Bestand fehlt; ",IF(E4246&lt;0,"Bestand negativ; ",IF(E4246=0,"Nullbestand; ","")))&amp;IF(D4246="","Warengruppe fehlt; ","")&amp;IF(B4246="","Bezeichnung fehlt; ","")&amp;IF(COUNTIFS($A$2:$A$5001,$A4246,$C$2:$C$5001,C4246)&gt;1,"Artikel doppelt im selben Lager; ",""))</f>
        <v/>
      </c>
      <c r="P4246" s="47" t="n">
        <f aca="false">IF(OR($A4246="",D4246=""),0,IF(COUNTIF($D$2:D4246,D4246)=1,SUMIF($D$2:$D$5001,D4246,$H$2:$H$5001)+ROW()/10000000,0))</f>
        <v>0</v>
      </c>
      <c r="Q4246" s="47" t="n">
        <f aca="false">IF(OR($A4246="",C4246=""),0,IF(COUNTIF($C$2:C4246,C4246)=1,SUMIF($C$2:$C$5001,C4246,$H$2:$H$5001)+ROW()/10000000,0))</f>
        <v>0</v>
      </c>
    </row>
    <row r="4247" customFormat="false" ht="15" hidden="false" customHeight="false" outlineLevel="0" collapsed="false">
      <c r="A4247" s="43"/>
      <c r="B4247" s="44"/>
      <c r="C4247" s="44"/>
      <c r="D4247" s="44"/>
      <c r="E4247" s="44"/>
      <c r="F4247" s="44"/>
      <c r="G4247" s="44"/>
      <c r="H4247" s="46" t="str">
        <f aca="false">IF($A4247="","",IF(OR(NOT(ISNUMBER(E4247)),NOT(ISNUMBER(F4247))),"",MAX(0,E4247)*F4247))</f>
        <v/>
      </c>
      <c r="I4247" s="46" t="str">
        <f aca="false">IF($A4247="","",SUMIF($A$2:$A$5001,$A4247,$H$2:$H$5001))</f>
        <v/>
      </c>
      <c r="J4247" s="47" t="n">
        <f aca="false">IF($A4247="",0,IF(COUNTIF($A$2:A4247,$A4247)=1,1,0))</f>
        <v>0</v>
      </c>
      <c r="K4247" s="47" t="n">
        <f aca="false">IF(J4247=1,N(I4247)+ROW()/10000000,0)</f>
        <v>0</v>
      </c>
      <c r="L4247" s="47" t="str">
        <f aca="false">IF(AND(J4247=1,N(I4247)&gt;0),SUMIF($K$2:$K$5001,"&gt;="&amp;K4247,$I$2:$I$5001)/MAX(1,SUM($H$2:$H$5001)),"")</f>
        <v/>
      </c>
      <c r="M4247" s="47" t="str">
        <f aca="false">IF($A4247="","",INDEX($L$2:$L$5001,MATCH($A4247,$A$2:$A$5001,0)))</f>
        <v/>
      </c>
      <c r="N4247" s="48" t="str">
        <f aca="false">IF($A4247="","",IF(N(M4247)=0,"–",IF(M4247&lt;=Start!$D$20,"A",IF(M4247&lt;=Start!$D$21,"B","C"))))</f>
        <v/>
      </c>
      <c r="O4247" s="48" t="str">
        <f aca="false">IF($A4247="","",IF(NOT(ISNUMBER(F4247)),"Wert fehlt; ",IF(F4247&lt;=0,"Wert ist 0; ",""))&amp;IF(NOT(ISNUMBER(E4247)),"Bestand fehlt; ",IF(E4247&lt;0,"Bestand negativ; ",IF(E4247=0,"Nullbestand; ","")))&amp;IF(D4247="","Warengruppe fehlt; ","")&amp;IF(B4247="","Bezeichnung fehlt; ","")&amp;IF(COUNTIFS($A$2:$A$5001,$A4247,$C$2:$C$5001,C4247)&gt;1,"Artikel doppelt im selben Lager; ",""))</f>
        <v/>
      </c>
      <c r="P4247" s="47" t="n">
        <f aca="false">IF(OR($A4247="",D4247=""),0,IF(COUNTIF($D$2:D4247,D4247)=1,SUMIF($D$2:$D$5001,D4247,$H$2:$H$5001)+ROW()/10000000,0))</f>
        <v>0</v>
      </c>
      <c r="Q4247" s="47" t="n">
        <f aca="false">IF(OR($A4247="",C4247=""),0,IF(COUNTIF($C$2:C4247,C4247)=1,SUMIF($C$2:$C$5001,C4247,$H$2:$H$5001)+ROW()/10000000,0))</f>
        <v>0</v>
      </c>
    </row>
    <row r="4248" customFormat="false" ht="15" hidden="false" customHeight="false" outlineLevel="0" collapsed="false">
      <c r="A4248" s="43"/>
      <c r="B4248" s="44"/>
      <c r="C4248" s="44"/>
      <c r="D4248" s="44"/>
      <c r="E4248" s="44"/>
      <c r="F4248" s="44"/>
      <c r="G4248" s="44"/>
      <c r="H4248" s="46" t="str">
        <f aca="false">IF($A4248="","",IF(OR(NOT(ISNUMBER(E4248)),NOT(ISNUMBER(F4248))),"",MAX(0,E4248)*F4248))</f>
        <v/>
      </c>
      <c r="I4248" s="46" t="str">
        <f aca="false">IF($A4248="","",SUMIF($A$2:$A$5001,$A4248,$H$2:$H$5001))</f>
        <v/>
      </c>
      <c r="J4248" s="47" t="n">
        <f aca="false">IF($A4248="",0,IF(COUNTIF($A$2:A4248,$A4248)=1,1,0))</f>
        <v>0</v>
      </c>
      <c r="K4248" s="47" t="n">
        <f aca="false">IF(J4248=1,N(I4248)+ROW()/10000000,0)</f>
        <v>0</v>
      </c>
      <c r="L4248" s="47" t="str">
        <f aca="false">IF(AND(J4248=1,N(I4248)&gt;0),SUMIF($K$2:$K$5001,"&gt;="&amp;K4248,$I$2:$I$5001)/MAX(1,SUM($H$2:$H$5001)),"")</f>
        <v/>
      </c>
      <c r="M4248" s="47" t="str">
        <f aca="false">IF($A4248="","",INDEX($L$2:$L$5001,MATCH($A4248,$A$2:$A$5001,0)))</f>
        <v/>
      </c>
      <c r="N4248" s="48" t="str">
        <f aca="false">IF($A4248="","",IF(N(M4248)=0,"–",IF(M4248&lt;=Start!$D$20,"A",IF(M4248&lt;=Start!$D$21,"B","C"))))</f>
        <v/>
      </c>
      <c r="O4248" s="48" t="str">
        <f aca="false">IF($A4248="","",IF(NOT(ISNUMBER(F4248)),"Wert fehlt; ",IF(F4248&lt;=0,"Wert ist 0; ",""))&amp;IF(NOT(ISNUMBER(E4248)),"Bestand fehlt; ",IF(E4248&lt;0,"Bestand negativ; ",IF(E4248=0,"Nullbestand; ","")))&amp;IF(D4248="","Warengruppe fehlt; ","")&amp;IF(B4248="","Bezeichnung fehlt; ","")&amp;IF(COUNTIFS($A$2:$A$5001,$A4248,$C$2:$C$5001,C4248)&gt;1,"Artikel doppelt im selben Lager; ",""))</f>
        <v/>
      </c>
      <c r="P4248" s="47" t="n">
        <f aca="false">IF(OR($A4248="",D4248=""),0,IF(COUNTIF($D$2:D4248,D4248)=1,SUMIF($D$2:$D$5001,D4248,$H$2:$H$5001)+ROW()/10000000,0))</f>
        <v>0</v>
      </c>
      <c r="Q4248" s="47" t="n">
        <f aca="false">IF(OR($A4248="",C4248=""),0,IF(COUNTIF($C$2:C4248,C4248)=1,SUMIF($C$2:$C$5001,C4248,$H$2:$H$5001)+ROW()/10000000,0))</f>
        <v>0</v>
      </c>
    </row>
    <row r="4249" customFormat="false" ht="15" hidden="false" customHeight="false" outlineLevel="0" collapsed="false">
      <c r="A4249" s="43"/>
      <c r="B4249" s="44"/>
      <c r="C4249" s="44"/>
      <c r="D4249" s="44"/>
      <c r="E4249" s="44"/>
      <c r="F4249" s="44"/>
      <c r="G4249" s="44"/>
      <c r="H4249" s="46" t="str">
        <f aca="false">IF($A4249="","",IF(OR(NOT(ISNUMBER(E4249)),NOT(ISNUMBER(F4249))),"",MAX(0,E4249)*F4249))</f>
        <v/>
      </c>
      <c r="I4249" s="46" t="str">
        <f aca="false">IF($A4249="","",SUMIF($A$2:$A$5001,$A4249,$H$2:$H$5001))</f>
        <v/>
      </c>
      <c r="J4249" s="47" t="n">
        <f aca="false">IF($A4249="",0,IF(COUNTIF($A$2:A4249,$A4249)=1,1,0))</f>
        <v>0</v>
      </c>
      <c r="K4249" s="47" t="n">
        <f aca="false">IF(J4249=1,N(I4249)+ROW()/10000000,0)</f>
        <v>0</v>
      </c>
      <c r="L4249" s="47" t="str">
        <f aca="false">IF(AND(J4249=1,N(I4249)&gt;0),SUMIF($K$2:$K$5001,"&gt;="&amp;K4249,$I$2:$I$5001)/MAX(1,SUM($H$2:$H$5001)),"")</f>
        <v/>
      </c>
      <c r="M4249" s="47" t="str">
        <f aca="false">IF($A4249="","",INDEX($L$2:$L$5001,MATCH($A4249,$A$2:$A$5001,0)))</f>
        <v/>
      </c>
      <c r="N4249" s="48" t="str">
        <f aca="false">IF($A4249="","",IF(N(M4249)=0,"–",IF(M4249&lt;=Start!$D$20,"A",IF(M4249&lt;=Start!$D$21,"B","C"))))</f>
        <v/>
      </c>
      <c r="O4249" s="48" t="str">
        <f aca="false">IF($A4249="","",IF(NOT(ISNUMBER(F4249)),"Wert fehlt; ",IF(F4249&lt;=0,"Wert ist 0; ",""))&amp;IF(NOT(ISNUMBER(E4249)),"Bestand fehlt; ",IF(E4249&lt;0,"Bestand negativ; ",IF(E4249=0,"Nullbestand; ","")))&amp;IF(D4249="","Warengruppe fehlt; ","")&amp;IF(B4249="","Bezeichnung fehlt; ","")&amp;IF(COUNTIFS($A$2:$A$5001,$A4249,$C$2:$C$5001,C4249)&gt;1,"Artikel doppelt im selben Lager; ",""))</f>
        <v/>
      </c>
      <c r="P4249" s="47" t="n">
        <f aca="false">IF(OR($A4249="",D4249=""),0,IF(COUNTIF($D$2:D4249,D4249)=1,SUMIF($D$2:$D$5001,D4249,$H$2:$H$5001)+ROW()/10000000,0))</f>
        <v>0</v>
      </c>
      <c r="Q4249" s="47" t="n">
        <f aca="false">IF(OR($A4249="",C4249=""),0,IF(COUNTIF($C$2:C4249,C4249)=1,SUMIF($C$2:$C$5001,C4249,$H$2:$H$5001)+ROW()/10000000,0))</f>
        <v>0</v>
      </c>
    </row>
    <row r="4250" customFormat="false" ht="15" hidden="false" customHeight="false" outlineLevel="0" collapsed="false">
      <c r="A4250" s="43"/>
      <c r="B4250" s="44"/>
      <c r="C4250" s="44"/>
      <c r="D4250" s="44"/>
      <c r="E4250" s="44"/>
      <c r="F4250" s="44"/>
      <c r="G4250" s="44"/>
      <c r="H4250" s="46" t="str">
        <f aca="false">IF($A4250="","",IF(OR(NOT(ISNUMBER(E4250)),NOT(ISNUMBER(F4250))),"",MAX(0,E4250)*F4250))</f>
        <v/>
      </c>
      <c r="I4250" s="46" t="str">
        <f aca="false">IF($A4250="","",SUMIF($A$2:$A$5001,$A4250,$H$2:$H$5001))</f>
        <v/>
      </c>
      <c r="J4250" s="47" t="n">
        <f aca="false">IF($A4250="",0,IF(COUNTIF($A$2:A4250,$A4250)=1,1,0))</f>
        <v>0</v>
      </c>
      <c r="K4250" s="47" t="n">
        <f aca="false">IF(J4250=1,N(I4250)+ROW()/10000000,0)</f>
        <v>0</v>
      </c>
      <c r="L4250" s="47" t="str">
        <f aca="false">IF(AND(J4250=1,N(I4250)&gt;0),SUMIF($K$2:$K$5001,"&gt;="&amp;K4250,$I$2:$I$5001)/MAX(1,SUM($H$2:$H$5001)),"")</f>
        <v/>
      </c>
      <c r="M4250" s="47" t="str">
        <f aca="false">IF($A4250="","",INDEX($L$2:$L$5001,MATCH($A4250,$A$2:$A$5001,0)))</f>
        <v/>
      </c>
      <c r="N4250" s="48" t="str">
        <f aca="false">IF($A4250="","",IF(N(M4250)=0,"–",IF(M4250&lt;=Start!$D$20,"A",IF(M4250&lt;=Start!$D$21,"B","C"))))</f>
        <v/>
      </c>
      <c r="O4250" s="48" t="str">
        <f aca="false">IF($A4250="","",IF(NOT(ISNUMBER(F4250)),"Wert fehlt; ",IF(F4250&lt;=0,"Wert ist 0; ",""))&amp;IF(NOT(ISNUMBER(E4250)),"Bestand fehlt; ",IF(E4250&lt;0,"Bestand negativ; ",IF(E4250=0,"Nullbestand; ","")))&amp;IF(D4250="","Warengruppe fehlt; ","")&amp;IF(B4250="","Bezeichnung fehlt; ","")&amp;IF(COUNTIFS($A$2:$A$5001,$A4250,$C$2:$C$5001,C4250)&gt;1,"Artikel doppelt im selben Lager; ",""))</f>
        <v/>
      </c>
      <c r="P4250" s="47" t="n">
        <f aca="false">IF(OR($A4250="",D4250=""),0,IF(COUNTIF($D$2:D4250,D4250)=1,SUMIF($D$2:$D$5001,D4250,$H$2:$H$5001)+ROW()/10000000,0))</f>
        <v>0</v>
      </c>
      <c r="Q4250" s="47" t="n">
        <f aca="false">IF(OR($A4250="",C4250=""),0,IF(COUNTIF($C$2:C4250,C4250)=1,SUMIF($C$2:$C$5001,C4250,$H$2:$H$5001)+ROW()/10000000,0))</f>
        <v>0</v>
      </c>
    </row>
    <row r="4251" customFormat="false" ht="15" hidden="false" customHeight="false" outlineLevel="0" collapsed="false">
      <c r="A4251" s="43"/>
      <c r="B4251" s="44"/>
      <c r="C4251" s="44"/>
      <c r="D4251" s="44"/>
      <c r="E4251" s="44"/>
      <c r="F4251" s="44"/>
      <c r="G4251" s="44"/>
      <c r="H4251" s="46" t="str">
        <f aca="false">IF($A4251="","",IF(OR(NOT(ISNUMBER(E4251)),NOT(ISNUMBER(F4251))),"",MAX(0,E4251)*F4251))</f>
        <v/>
      </c>
      <c r="I4251" s="46" t="str">
        <f aca="false">IF($A4251="","",SUMIF($A$2:$A$5001,$A4251,$H$2:$H$5001))</f>
        <v/>
      </c>
      <c r="J4251" s="47" t="n">
        <f aca="false">IF($A4251="",0,IF(COUNTIF($A$2:A4251,$A4251)=1,1,0))</f>
        <v>0</v>
      </c>
      <c r="K4251" s="47" t="n">
        <f aca="false">IF(J4251=1,N(I4251)+ROW()/10000000,0)</f>
        <v>0</v>
      </c>
      <c r="L4251" s="47" t="str">
        <f aca="false">IF(AND(J4251=1,N(I4251)&gt;0),SUMIF($K$2:$K$5001,"&gt;="&amp;K4251,$I$2:$I$5001)/MAX(1,SUM($H$2:$H$5001)),"")</f>
        <v/>
      </c>
      <c r="M4251" s="47" t="str">
        <f aca="false">IF($A4251="","",INDEX($L$2:$L$5001,MATCH($A4251,$A$2:$A$5001,0)))</f>
        <v/>
      </c>
      <c r="N4251" s="48" t="str">
        <f aca="false">IF($A4251="","",IF(N(M4251)=0,"–",IF(M4251&lt;=Start!$D$20,"A",IF(M4251&lt;=Start!$D$21,"B","C"))))</f>
        <v/>
      </c>
      <c r="O4251" s="48" t="str">
        <f aca="false">IF($A4251="","",IF(NOT(ISNUMBER(F4251)),"Wert fehlt; ",IF(F4251&lt;=0,"Wert ist 0; ",""))&amp;IF(NOT(ISNUMBER(E4251)),"Bestand fehlt; ",IF(E4251&lt;0,"Bestand negativ; ",IF(E4251=0,"Nullbestand; ","")))&amp;IF(D4251="","Warengruppe fehlt; ","")&amp;IF(B4251="","Bezeichnung fehlt; ","")&amp;IF(COUNTIFS($A$2:$A$5001,$A4251,$C$2:$C$5001,C4251)&gt;1,"Artikel doppelt im selben Lager; ",""))</f>
        <v/>
      </c>
      <c r="P4251" s="47" t="n">
        <f aca="false">IF(OR($A4251="",D4251=""),0,IF(COUNTIF($D$2:D4251,D4251)=1,SUMIF($D$2:$D$5001,D4251,$H$2:$H$5001)+ROW()/10000000,0))</f>
        <v>0</v>
      </c>
      <c r="Q4251" s="47" t="n">
        <f aca="false">IF(OR($A4251="",C4251=""),0,IF(COUNTIF($C$2:C4251,C4251)=1,SUMIF($C$2:$C$5001,C4251,$H$2:$H$5001)+ROW()/10000000,0))</f>
        <v>0</v>
      </c>
    </row>
    <row r="4252" customFormat="false" ht="15" hidden="false" customHeight="false" outlineLevel="0" collapsed="false">
      <c r="A4252" s="43"/>
      <c r="B4252" s="44"/>
      <c r="C4252" s="44"/>
      <c r="D4252" s="44"/>
      <c r="E4252" s="44"/>
      <c r="F4252" s="44"/>
      <c r="G4252" s="44"/>
      <c r="H4252" s="46" t="str">
        <f aca="false">IF($A4252="","",IF(OR(NOT(ISNUMBER(E4252)),NOT(ISNUMBER(F4252))),"",MAX(0,E4252)*F4252))</f>
        <v/>
      </c>
      <c r="I4252" s="46" t="str">
        <f aca="false">IF($A4252="","",SUMIF($A$2:$A$5001,$A4252,$H$2:$H$5001))</f>
        <v/>
      </c>
      <c r="J4252" s="47" t="n">
        <f aca="false">IF($A4252="",0,IF(COUNTIF($A$2:A4252,$A4252)=1,1,0))</f>
        <v>0</v>
      </c>
      <c r="K4252" s="47" t="n">
        <f aca="false">IF(J4252=1,N(I4252)+ROW()/10000000,0)</f>
        <v>0</v>
      </c>
      <c r="L4252" s="47" t="str">
        <f aca="false">IF(AND(J4252=1,N(I4252)&gt;0),SUMIF($K$2:$K$5001,"&gt;="&amp;K4252,$I$2:$I$5001)/MAX(1,SUM($H$2:$H$5001)),"")</f>
        <v/>
      </c>
      <c r="M4252" s="47" t="str">
        <f aca="false">IF($A4252="","",INDEX($L$2:$L$5001,MATCH($A4252,$A$2:$A$5001,0)))</f>
        <v/>
      </c>
      <c r="N4252" s="48" t="str">
        <f aca="false">IF($A4252="","",IF(N(M4252)=0,"–",IF(M4252&lt;=Start!$D$20,"A",IF(M4252&lt;=Start!$D$21,"B","C"))))</f>
        <v/>
      </c>
      <c r="O4252" s="48" t="str">
        <f aca="false">IF($A4252="","",IF(NOT(ISNUMBER(F4252)),"Wert fehlt; ",IF(F4252&lt;=0,"Wert ist 0; ",""))&amp;IF(NOT(ISNUMBER(E4252)),"Bestand fehlt; ",IF(E4252&lt;0,"Bestand negativ; ",IF(E4252=0,"Nullbestand; ","")))&amp;IF(D4252="","Warengruppe fehlt; ","")&amp;IF(B4252="","Bezeichnung fehlt; ","")&amp;IF(COUNTIFS($A$2:$A$5001,$A4252,$C$2:$C$5001,C4252)&gt;1,"Artikel doppelt im selben Lager; ",""))</f>
        <v/>
      </c>
      <c r="P4252" s="47" t="n">
        <f aca="false">IF(OR($A4252="",D4252=""),0,IF(COUNTIF($D$2:D4252,D4252)=1,SUMIF($D$2:$D$5001,D4252,$H$2:$H$5001)+ROW()/10000000,0))</f>
        <v>0</v>
      </c>
      <c r="Q4252" s="47" t="n">
        <f aca="false">IF(OR($A4252="",C4252=""),0,IF(COUNTIF($C$2:C4252,C4252)=1,SUMIF($C$2:$C$5001,C4252,$H$2:$H$5001)+ROW()/10000000,0))</f>
        <v>0</v>
      </c>
    </row>
    <row r="4253" customFormat="false" ht="15" hidden="false" customHeight="false" outlineLevel="0" collapsed="false">
      <c r="A4253" s="43"/>
      <c r="B4253" s="44"/>
      <c r="C4253" s="44"/>
      <c r="D4253" s="44"/>
      <c r="E4253" s="44"/>
      <c r="F4253" s="44"/>
      <c r="G4253" s="44"/>
      <c r="H4253" s="46" t="str">
        <f aca="false">IF($A4253="","",IF(OR(NOT(ISNUMBER(E4253)),NOT(ISNUMBER(F4253))),"",MAX(0,E4253)*F4253))</f>
        <v/>
      </c>
      <c r="I4253" s="46" t="str">
        <f aca="false">IF($A4253="","",SUMIF($A$2:$A$5001,$A4253,$H$2:$H$5001))</f>
        <v/>
      </c>
      <c r="J4253" s="47" t="n">
        <f aca="false">IF($A4253="",0,IF(COUNTIF($A$2:A4253,$A4253)=1,1,0))</f>
        <v>0</v>
      </c>
      <c r="K4253" s="47" t="n">
        <f aca="false">IF(J4253=1,N(I4253)+ROW()/10000000,0)</f>
        <v>0</v>
      </c>
      <c r="L4253" s="47" t="str">
        <f aca="false">IF(AND(J4253=1,N(I4253)&gt;0),SUMIF($K$2:$K$5001,"&gt;="&amp;K4253,$I$2:$I$5001)/MAX(1,SUM($H$2:$H$5001)),"")</f>
        <v/>
      </c>
      <c r="M4253" s="47" t="str">
        <f aca="false">IF($A4253="","",INDEX($L$2:$L$5001,MATCH($A4253,$A$2:$A$5001,0)))</f>
        <v/>
      </c>
      <c r="N4253" s="48" t="str">
        <f aca="false">IF($A4253="","",IF(N(M4253)=0,"–",IF(M4253&lt;=Start!$D$20,"A",IF(M4253&lt;=Start!$D$21,"B","C"))))</f>
        <v/>
      </c>
      <c r="O4253" s="48" t="str">
        <f aca="false">IF($A4253="","",IF(NOT(ISNUMBER(F4253)),"Wert fehlt; ",IF(F4253&lt;=0,"Wert ist 0; ",""))&amp;IF(NOT(ISNUMBER(E4253)),"Bestand fehlt; ",IF(E4253&lt;0,"Bestand negativ; ",IF(E4253=0,"Nullbestand; ","")))&amp;IF(D4253="","Warengruppe fehlt; ","")&amp;IF(B4253="","Bezeichnung fehlt; ","")&amp;IF(COUNTIFS($A$2:$A$5001,$A4253,$C$2:$C$5001,C4253)&gt;1,"Artikel doppelt im selben Lager; ",""))</f>
        <v/>
      </c>
      <c r="P4253" s="47" t="n">
        <f aca="false">IF(OR($A4253="",D4253=""),0,IF(COUNTIF($D$2:D4253,D4253)=1,SUMIF($D$2:$D$5001,D4253,$H$2:$H$5001)+ROW()/10000000,0))</f>
        <v>0</v>
      </c>
      <c r="Q4253" s="47" t="n">
        <f aca="false">IF(OR($A4253="",C4253=""),0,IF(COUNTIF($C$2:C4253,C4253)=1,SUMIF($C$2:$C$5001,C4253,$H$2:$H$5001)+ROW()/10000000,0))</f>
        <v>0</v>
      </c>
    </row>
    <row r="4254" customFormat="false" ht="15" hidden="false" customHeight="false" outlineLevel="0" collapsed="false">
      <c r="A4254" s="43"/>
      <c r="B4254" s="44"/>
      <c r="C4254" s="44"/>
      <c r="D4254" s="44"/>
      <c r="E4254" s="44"/>
      <c r="F4254" s="44"/>
      <c r="G4254" s="44"/>
      <c r="H4254" s="46" t="str">
        <f aca="false">IF($A4254="","",IF(OR(NOT(ISNUMBER(E4254)),NOT(ISNUMBER(F4254))),"",MAX(0,E4254)*F4254))</f>
        <v/>
      </c>
      <c r="I4254" s="46" t="str">
        <f aca="false">IF($A4254="","",SUMIF($A$2:$A$5001,$A4254,$H$2:$H$5001))</f>
        <v/>
      </c>
      <c r="J4254" s="47" t="n">
        <f aca="false">IF($A4254="",0,IF(COUNTIF($A$2:A4254,$A4254)=1,1,0))</f>
        <v>0</v>
      </c>
      <c r="K4254" s="47" t="n">
        <f aca="false">IF(J4254=1,N(I4254)+ROW()/10000000,0)</f>
        <v>0</v>
      </c>
      <c r="L4254" s="47" t="str">
        <f aca="false">IF(AND(J4254=1,N(I4254)&gt;0),SUMIF($K$2:$K$5001,"&gt;="&amp;K4254,$I$2:$I$5001)/MAX(1,SUM($H$2:$H$5001)),"")</f>
        <v/>
      </c>
      <c r="M4254" s="47" t="str">
        <f aca="false">IF($A4254="","",INDEX($L$2:$L$5001,MATCH($A4254,$A$2:$A$5001,0)))</f>
        <v/>
      </c>
      <c r="N4254" s="48" t="str">
        <f aca="false">IF($A4254="","",IF(N(M4254)=0,"–",IF(M4254&lt;=Start!$D$20,"A",IF(M4254&lt;=Start!$D$21,"B","C"))))</f>
        <v/>
      </c>
      <c r="O4254" s="48" t="str">
        <f aca="false">IF($A4254="","",IF(NOT(ISNUMBER(F4254)),"Wert fehlt; ",IF(F4254&lt;=0,"Wert ist 0; ",""))&amp;IF(NOT(ISNUMBER(E4254)),"Bestand fehlt; ",IF(E4254&lt;0,"Bestand negativ; ",IF(E4254=0,"Nullbestand; ","")))&amp;IF(D4254="","Warengruppe fehlt; ","")&amp;IF(B4254="","Bezeichnung fehlt; ","")&amp;IF(COUNTIFS($A$2:$A$5001,$A4254,$C$2:$C$5001,C4254)&gt;1,"Artikel doppelt im selben Lager; ",""))</f>
        <v/>
      </c>
      <c r="P4254" s="47" t="n">
        <f aca="false">IF(OR($A4254="",D4254=""),0,IF(COUNTIF($D$2:D4254,D4254)=1,SUMIF($D$2:$D$5001,D4254,$H$2:$H$5001)+ROW()/10000000,0))</f>
        <v>0</v>
      </c>
      <c r="Q4254" s="47" t="n">
        <f aca="false">IF(OR($A4254="",C4254=""),0,IF(COUNTIF($C$2:C4254,C4254)=1,SUMIF($C$2:$C$5001,C4254,$H$2:$H$5001)+ROW()/10000000,0))</f>
        <v>0</v>
      </c>
    </row>
    <row r="4255" customFormat="false" ht="15" hidden="false" customHeight="false" outlineLevel="0" collapsed="false">
      <c r="A4255" s="43"/>
      <c r="B4255" s="44"/>
      <c r="C4255" s="44"/>
      <c r="D4255" s="44"/>
      <c r="E4255" s="44"/>
      <c r="F4255" s="44"/>
      <c r="G4255" s="44"/>
      <c r="H4255" s="46" t="str">
        <f aca="false">IF($A4255="","",IF(OR(NOT(ISNUMBER(E4255)),NOT(ISNUMBER(F4255))),"",MAX(0,E4255)*F4255))</f>
        <v/>
      </c>
      <c r="I4255" s="46" t="str">
        <f aca="false">IF($A4255="","",SUMIF($A$2:$A$5001,$A4255,$H$2:$H$5001))</f>
        <v/>
      </c>
      <c r="J4255" s="47" t="n">
        <f aca="false">IF($A4255="",0,IF(COUNTIF($A$2:A4255,$A4255)=1,1,0))</f>
        <v>0</v>
      </c>
      <c r="K4255" s="47" t="n">
        <f aca="false">IF(J4255=1,N(I4255)+ROW()/10000000,0)</f>
        <v>0</v>
      </c>
      <c r="L4255" s="47" t="str">
        <f aca="false">IF(AND(J4255=1,N(I4255)&gt;0),SUMIF($K$2:$K$5001,"&gt;="&amp;K4255,$I$2:$I$5001)/MAX(1,SUM($H$2:$H$5001)),"")</f>
        <v/>
      </c>
      <c r="M4255" s="47" t="str">
        <f aca="false">IF($A4255="","",INDEX($L$2:$L$5001,MATCH($A4255,$A$2:$A$5001,0)))</f>
        <v/>
      </c>
      <c r="N4255" s="48" t="str">
        <f aca="false">IF($A4255="","",IF(N(M4255)=0,"–",IF(M4255&lt;=Start!$D$20,"A",IF(M4255&lt;=Start!$D$21,"B","C"))))</f>
        <v/>
      </c>
      <c r="O4255" s="48" t="str">
        <f aca="false">IF($A4255="","",IF(NOT(ISNUMBER(F4255)),"Wert fehlt; ",IF(F4255&lt;=0,"Wert ist 0; ",""))&amp;IF(NOT(ISNUMBER(E4255)),"Bestand fehlt; ",IF(E4255&lt;0,"Bestand negativ; ",IF(E4255=0,"Nullbestand; ","")))&amp;IF(D4255="","Warengruppe fehlt; ","")&amp;IF(B4255="","Bezeichnung fehlt; ","")&amp;IF(COUNTIFS($A$2:$A$5001,$A4255,$C$2:$C$5001,C4255)&gt;1,"Artikel doppelt im selben Lager; ",""))</f>
        <v/>
      </c>
      <c r="P4255" s="47" t="n">
        <f aca="false">IF(OR($A4255="",D4255=""),0,IF(COUNTIF($D$2:D4255,D4255)=1,SUMIF($D$2:$D$5001,D4255,$H$2:$H$5001)+ROW()/10000000,0))</f>
        <v>0</v>
      </c>
      <c r="Q4255" s="47" t="n">
        <f aca="false">IF(OR($A4255="",C4255=""),0,IF(COUNTIF($C$2:C4255,C4255)=1,SUMIF($C$2:$C$5001,C4255,$H$2:$H$5001)+ROW()/10000000,0))</f>
        <v>0</v>
      </c>
    </row>
    <row r="4256" customFormat="false" ht="15" hidden="false" customHeight="false" outlineLevel="0" collapsed="false">
      <c r="A4256" s="43"/>
      <c r="B4256" s="44"/>
      <c r="C4256" s="44"/>
      <c r="D4256" s="44"/>
      <c r="E4256" s="44"/>
      <c r="F4256" s="44"/>
      <c r="G4256" s="44"/>
      <c r="H4256" s="46" t="str">
        <f aca="false">IF($A4256="","",IF(OR(NOT(ISNUMBER(E4256)),NOT(ISNUMBER(F4256))),"",MAX(0,E4256)*F4256))</f>
        <v/>
      </c>
      <c r="I4256" s="46" t="str">
        <f aca="false">IF($A4256="","",SUMIF($A$2:$A$5001,$A4256,$H$2:$H$5001))</f>
        <v/>
      </c>
      <c r="J4256" s="47" t="n">
        <f aca="false">IF($A4256="",0,IF(COUNTIF($A$2:A4256,$A4256)=1,1,0))</f>
        <v>0</v>
      </c>
      <c r="K4256" s="47" t="n">
        <f aca="false">IF(J4256=1,N(I4256)+ROW()/10000000,0)</f>
        <v>0</v>
      </c>
      <c r="L4256" s="47" t="str">
        <f aca="false">IF(AND(J4256=1,N(I4256)&gt;0),SUMIF($K$2:$K$5001,"&gt;="&amp;K4256,$I$2:$I$5001)/MAX(1,SUM($H$2:$H$5001)),"")</f>
        <v/>
      </c>
      <c r="M4256" s="47" t="str">
        <f aca="false">IF($A4256="","",INDEX($L$2:$L$5001,MATCH($A4256,$A$2:$A$5001,0)))</f>
        <v/>
      </c>
      <c r="N4256" s="48" t="str">
        <f aca="false">IF($A4256="","",IF(N(M4256)=0,"–",IF(M4256&lt;=Start!$D$20,"A",IF(M4256&lt;=Start!$D$21,"B","C"))))</f>
        <v/>
      </c>
      <c r="O4256" s="48" t="str">
        <f aca="false">IF($A4256="","",IF(NOT(ISNUMBER(F4256)),"Wert fehlt; ",IF(F4256&lt;=0,"Wert ist 0; ",""))&amp;IF(NOT(ISNUMBER(E4256)),"Bestand fehlt; ",IF(E4256&lt;0,"Bestand negativ; ",IF(E4256=0,"Nullbestand; ","")))&amp;IF(D4256="","Warengruppe fehlt; ","")&amp;IF(B4256="","Bezeichnung fehlt; ","")&amp;IF(COUNTIFS($A$2:$A$5001,$A4256,$C$2:$C$5001,C4256)&gt;1,"Artikel doppelt im selben Lager; ",""))</f>
        <v/>
      </c>
      <c r="P4256" s="47" t="n">
        <f aca="false">IF(OR($A4256="",D4256=""),0,IF(COUNTIF($D$2:D4256,D4256)=1,SUMIF($D$2:$D$5001,D4256,$H$2:$H$5001)+ROW()/10000000,0))</f>
        <v>0</v>
      </c>
      <c r="Q4256" s="47" t="n">
        <f aca="false">IF(OR($A4256="",C4256=""),0,IF(COUNTIF($C$2:C4256,C4256)=1,SUMIF($C$2:$C$5001,C4256,$H$2:$H$5001)+ROW()/10000000,0))</f>
        <v>0</v>
      </c>
    </row>
    <row r="4257" customFormat="false" ht="15" hidden="false" customHeight="false" outlineLevel="0" collapsed="false">
      <c r="A4257" s="43"/>
      <c r="B4257" s="44"/>
      <c r="C4257" s="44"/>
      <c r="D4257" s="44"/>
      <c r="E4257" s="44"/>
      <c r="F4257" s="44"/>
      <c r="G4257" s="44"/>
      <c r="H4257" s="46" t="str">
        <f aca="false">IF($A4257="","",IF(OR(NOT(ISNUMBER(E4257)),NOT(ISNUMBER(F4257))),"",MAX(0,E4257)*F4257))</f>
        <v/>
      </c>
      <c r="I4257" s="46" t="str">
        <f aca="false">IF($A4257="","",SUMIF($A$2:$A$5001,$A4257,$H$2:$H$5001))</f>
        <v/>
      </c>
      <c r="J4257" s="47" t="n">
        <f aca="false">IF($A4257="",0,IF(COUNTIF($A$2:A4257,$A4257)=1,1,0))</f>
        <v>0</v>
      </c>
      <c r="K4257" s="47" t="n">
        <f aca="false">IF(J4257=1,N(I4257)+ROW()/10000000,0)</f>
        <v>0</v>
      </c>
      <c r="L4257" s="47" t="str">
        <f aca="false">IF(AND(J4257=1,N(I4257)&gt;0),SUMIF($K$2:$K$5001,"&gt;="&amp;K4257,$I$2:$I$5001)/MAX(1,SUM($H$2:$H$5001)),"")</f>
        <v/>
      </c>
      <c r="M4257" s="47" t="str">
        <f aca="false">IF($A4257="","",INDEX($L$2:$L$5001,MATCH($A4257,$A$2:$A$5001,0)))</f>
        <v/>
      </c>
      <c r="N4257" s="48" t="str">
        <f aca="false">IF($A4257="","",IF(N(M4257)=0,"–",IF(M4257&lt;=Start!$D$20,"A",IF(M4257&lt;=Start!$D$21,"B","C"))))</f>
        <v/>
      </c>
      <c r="O4257" s="48" t="str">
        <f aca="false">IF($A4257="","",IF(NOT(ISNUMBER(F4257)),"Wert fehlt; ",IF(F4257&lt;=0,"Wert ist 0; ",""))&amp;IF(NOT(ISNUMBER(E4257)),"Bestand fehlt; ",IF(E4257&lt;0,"Bestand negativ; ",IF(E4257=0,"Nullbestand; ","")))&amp;IF(D4257="","Warengruppe fehlt; ","")&amp;IF(B4257="","Bezeichnung fehlt; ","")&amp;IF(COUNTIFS($A$2:$A$5001,$A4257,$C$2:$C$5001,C4257)&gt;1,"Artikel doppelt im selben Lager; ",""))</f>
        <v/>
      </c>
      <c r="P4257" s="47" t="n">
        <f aca="false">IF(OR($A4257="",D4257=""),0,IF(COUNTIF($D$2:D4257,D4257)=1,SUMIF($D$2:$D$5001,D4257,$H$2:$H$5001)+ROW()/10000000,0))</f>
        <v>0</v>
      </c>
      <c r="Q4257" s="47" t="n">
        <f aca="false">IF(OR($A4257="",C4257=""),0,IF(COUNTIF($C$2:C4257,C4257)=1,SUMIF($C$2:$C$5001,C4257,$H$2:$H$5001)+ROW()/10000000,0))</f>
        <v>0</v>
      </c>
    </row>
    <row r="4258" customFormat="false" ht="15" hidden="false" customHeight="false" outlineLevel="0" collapsed="false">
      <c r="A4258" s="43"/>
      <c r="B4258" s="44"/>
      <c r="C4258" s="44"/>
      <c r="D4258" s="44"/>
      <c r="E4258" s="44"/>
      <c r="F4258" s="44"/>
      <c r="G4258" s="44"/>
      <c r="H4258" s="46" t="str">
        <f aca="false">IF($A4258="","",IF(OR(NOT(ISNUMBER(E4258)),NOT(ISNUMBER(F4258))),"",MAX(0,E4258)*F4258))</f>
        <v/>
      </c>
      <c r="I4258" s="46" t="str">
        <f aca="false">IF($A4258="","",SUMIF($A$2:$A$5001,$A4258,$H$2:$H$5001))</f>
        <v/>
      </c>
      <c r="J4258" s="47" t="n">
        <f aca="false">IF($A4258="",0,IF(COUNTIF($A$2:A4258,$A4258)=1,1,0))</f>
        <v>0</v>
      </c>
      <c r="K4258" s="47" t="n">
        <f aca="false">IF(J4258=1,N(I4258)+ROW()/10000000,0)</f>
        <v>0</v>
      </c>
      <c r="L4258" s="47" t="str">
        <f aca="false">IF(AND(J4258=1,N(I4258)&gt;0),SUMIF($K$2:$K$5001,"&gt;="&amp;K4258,$I$2:$I$5001)/MAX(1,SUM($H$2:$H$5001)),"")</f>
        <v/>
      </c>
      <c r="M4258" s="47" t="str">
        <f aca="false">IF($A4258="","",INDEX($L$2:$L$5001,MATCH($A4258,$A$2:$A$5001,0)))</f>
        <v/>
      </c>
      <c r="N4258" s="48" t="str">
        <f aca="false">IF($A4258="","",IF(N(M4258)=0,"–",IF(M4258&lt;=Start!$D$20,"A",IF(M4258&lt;=Start!$D$21,"B","C"))))</f>
        <v/>
      </c>
      <c r="O4258" s="48" t="str">
        <f aca="false">IF($A4258="","",IF(NOT(ISNUMBER(F4258)),"Wert fehlt; ",IF(F4258&lt;=0,"Wert ist 0; ",""))&amp;IF(NOT(ISNUMBER(E4258)),"Bestand fehlt; ",IF(E4258&lt;0,"Bestand negativ; ",IF(E4258=0,"Nullbestand; ","")))&amp;IF(D4258="","Warengruppe fehlt; ","")&amp;IF(B4258="","Bezeichnung fehlt; ","")&amp;IF(COUNTIFS($A$2:$A$5001,$A4258,$C$2:$C$5001,C4258)&gt;1,"Artikel doppelt im selben Lager; ",""))</f>
        <v/>
      </c>
      <c r="P4258" s="47" t="n">
        <f aca="false">IF(OR($A4258="",D4258=""),0,IF(COUNTIF($D$2:D4258,D4258)=1,SUMIF($D$2:$D$5001,D4258,$H$2:$H$5001)+ROW()/10000000,0))</f>
        <v>0</v>
      </c>
      <c r="Q4258" s="47" t="n">
        <f aca="false">IF(OR($A4258="",C4258=""),0,IF(COUNTIF($C$2:C4258,C4258)=1,SUMIF($C$2:$C$5001,C4258,$H$2:$H$5001)+ROW()/10000000,0))</f>
        <v>0</v>
      </c>
    </row>
    <row r="4259" customFormat="false" ht="15" hidden="false" customHeight="false" outlineLevel="0" collapsed="false">
      <c r="A4259" s="43"/>
      <c r="B4259" s="44"/>
      <c r="C4259" s="44"/>
      <c r="D4259" s="44"/>
      <c r="E4259" s="44"/>
      <c r="F4259" s="44"/>
      <c r="G4259" s="44"/>
      <c r="H4259" s="46" t="str">
        <f aca="false">IF($A4259="","",IF(OR(NOT(ISNUMBER(E4259)),NOT(ISNUMBER(F4259))),"",MAX(0,E4259)*F4259))</f>
        <v/>
      </c>
      <c r="I4259" s="46" t="str">
        <f aca="false">IF($A4259="","",SUMIF($A$2:$A$5001,$A4259,$H$2:$H$5001))</f>
        <v/>
      </c>
      <c r="J4259" s="47" t="n">
        <f aca="false">IF($A4259="",0,IF(COUNTIF($A$2:A4259,$A4259)=1,1,0))</f>
        <v>0</v>
      </c>
      <c r="K4259" s="47" t="n">
        <f aca="false">IF(J4259=1,N(I4259)+ROW()/10000000,0)</f>
        <v>0</v>
      </c>
      <c r="L4259" s="47" t="str">
        <f aca="false">IF(AND(J4259=1,N(I4259)&gt;0),SUMIF($K$2:$K$5001,"&gt;="&amp;K4259,$I$2:$I$5001)/MAX(1,SUM($H$2:$H$5001)),"")</f>
        <v/>
      </c>
      <c r="M4259" s="47" t="str">
        <f aca="false">IF($A4259="","",INDEX($L$2:$L$5001,MATCH($A4259,$A$2:$A$5001,0)))</f>
        <v/>
      </c>
      <c r="N4259" s="48" t="str">
        <f aca="false">IF($A4259="","",IF(N(M4259)=0,"–",IF(M4259&lt;=Start!$D$20,"A",IF(M4259&lt;=Start!$D$21,"B","C"))))</f>
        <v/>
      </c>
      <c r="O4259" s="48" t="str">
        <f aca="false">IF($A4259="","",IF(NOT(ISNUMBER(F4259)),"Wert fehlt; ",IF(F4259&lt;=0,"Wert ist 0; ",""))&amp;IF(NOT(ISNUMBER(E4259)),"Bestand fehlt; ",IF(E4259&lt;0,"Bestand negativ; ",IF(E4259=0,"Nullbestand; ","")))&amp;IF(D4259="","Warengruppe fehlt; ","")&amp;IF(B4259="","Bezeichnung fehlt; ","")&amp;IF(COUNTIFS($A$2:$A$5001,$A4259,$C$2:$C$5001,C4259)&gt;1,"Artikel doppelt im selben Lager; ",""))</f>
        <v/>
      </c>
      <c r="P4259" s="47" t="n">
        <f aca="false">IF(OR($A4259="",D4259=""),0,IF(COUNTIF($D$2:D4259,D4259)=1,SUMIF($D$2:$D$5001,D4259,$H$2:$H$5001)+ROW()/10000000,0))</f>
        <v>0</v>
      </c>
      <c r="Q4259" s="47" t="n">
        <f aca="false">IF(OR($A4259="",C4259=""),0,IF(COUNTIF($C$2:C4259,C4259)=1,SUMIF($C$2:$C$5001,C4259,$H$2:$H$5001)+ROW()/10000000,0))</f>
        <v>0</v>
      </c>
    </row>
    <row r="4260" customFormat="false" ht="15" hidden="false" customHeight="false" outlineLevel="0" collapsed="false">
      <c r="A4260" s="43"/>
      <c r="B4260" s="44"/>
      <c r="C4260" s="44"/>
      <c r="D4260" s="44"/>
      <c r="E4260" s="44"/>
      <c r="F4260" s="44"/>
      <c r="G4260" s="44"/>
      <c r="H4260" s="46" t="str">
        <f aca="false">IF($A4260="","",IF(OR(NOT(ISNUMBER(E4260)),NOT(ISNUMBER(F4260))),"",MAX(0,E4260)*F4260))</f>
        <v/>
      </c>
      <c r="I4260" s="46" t="str">
        <f aca="false">IF($A4260="","",SUMIF($A$2:$A$5001,$A4260,$H$2:$H$5001))</f>
        <v/>
      </c>
      <c r="J4260" s="47" t="n">
        <f aca="false">IF($A4260="",0,IF(COUNTIF($A$2:A4260,$A4260)=1,1,0))</f>
        <v>0</v>
      </c>
      <c r="K4260" s="47" t="n">
        <f aca="false">IF(J4260=1,N(I4260)+ROW()/10000000,0)</f>
        <v>0</v>
      </c>
      <c r="L4260" s="47" t="str">
        <f aca="false">IF(AND(J4260=1,N(I4260)&gt;0),SUMIF($K$2:$K$5001,"&gt;="&amp;K4260,$I$2:$I$5001)/MAX(1,SUM($H$2:$H$5001)),"")</f>
        <v/>
      </c>
      <c r="M4260" s="47" t="str">
        <f aca="false">IF($A4260="","",INDEX($L$2:$L$5001,MATCH($A4260,$A$2:$A$5001,0)))</f>
        <v/>
      </c>
      <c r="N4260" s="48" t="str">
        <f aca="false">IF($A4260="","",IF(N(M4260)=0,"–",IF(M4260&lt;=Start!$D$20,"A",IF(M4260&lt;=Start!$D$21,"B","C"))))</f>
        <v/>
      </c>
      <c r="O4260" s="48" t="str">
        <f aca="false">IF($A4260="","",IF(NOT(ISNUMBER(F4260)),"Wert fehlt; ",IF(F4260&lt;=0,"Wert ist 0; ",""))&amp;IF(NOT(ISNUMBER(E4260)),"Bestand fehlt; ",IF(E4260&lt;0,"Bestand negativ; ",IF(E4260=0,"Nullbestand; ","")))&amp;IF(D4260="","Warengruppe fehlt; ","")&amp;IF(B4260="","Bezeichnung fehlt; ","")&amp;IF(COUNTIFS($A$2:$A$5001,$A4260,$C$2:$C$5001,C4260)&gt;1,"Artikel doppelt im selben Lager; ",""))</f>
        <v/>
      </c>
      <c r="P4260" s="47" t="n">
        <f aca="false">IF(OR($A4260="",D4260=""),0,IF(COUNTIF($D$2:D4260,D4260)=1,SUMIF($D$2:$D$5001,D4260,$H$2:$H$5001)+ROW()/10000000,0))</f>
        <v>0</v>
      </c>
      <c r="Q4260" s="47" t="n">
        <f aca="false">IF(OR($A4260="",C4260=""),0,IF(COUNTIF($C$2:C4260,C4260)=1,SUMIF($C$2:$C$5001,C4260,$H$2:$H$5001)+ROW()/10000000,0))</f>
        <v>0</v>
      </c>
    </row>
    <row r="4261" customFormat="false" ht="15" hidden="false" customHeight="false" outlineLevel="0" collapsed="false">
      <c r="A4261" s="43"/>
      <c r="B4261" s="44"/>
      <c r="C4261" s="44"/>
      <c r="D4261" s="44"/>
      <c r="E4261" s="44"/>
      <c r="F4261" s="44"/>
      <c r="G4261" s="44"/>
      <c r="H4261" s="46" t="str">
        <f aca="false">IF($A4261="","",IF(OR(NOT(ISNUMBER(E4261)),NOT(ISNUMBER(F4261))),"",MAX(0,E4261)*F4261))</f>
        <v/>
      </c>
      <c r="I4261" s="46" t="str">
        <f aca="false">IF($A4261="","",SUMIF($A$2:$A$5001,$A4261,$H$2:$H$5001))</f>
        <v/>
      </c>
      <c r="J4261" s="47" t="n">
        <f aca="false">IF($A4261="",0,IF(COUNTIF($A$2:A4261,$A4261)=1,1,0))</f>
        <v>0</v>
      </c>
      <c r="K4261" s="47" t="n">
        <f aca="false">IF(J4261=1,N(I4261)+ROW()/10000000,0)</f>
        <v>0</v>
      </c>
      <c r="L4261" s="47" t="str">
        <f aca="false">IF(AND(J4261=1,N(I4261)&gt;0),SUMIF($K$2:$K$5001,"&gt;="&amp;K4261,$I$2:$I$5001)/MAX(1,SUM($H$2:$H$5001)),"")</f>
        <v/>
      </c>
      <c r="M4261" s="47" t="str">
        <f aca="false">IF($A4261="","",INDEX($L$2:$L$5001,MATCH($A4261,$A$2:$A$5001,0)))</f>
        <v/>
      </c>
      <c r="N4261" s="48" t="str">
        <f aca="false">IF($A4261="","",IF(N(M4261)=0,"–",IF(M4261&lt;=Start!$D$20,"A",IF(M4261&lt;=Start!$D$21,"B","C"))))</f>
        <v/>
      </c>
      <c r="O4261" s="48" t="str">
        <f aca="false">IF($A4261="","",IF(NOT(ISNUMBER(F4261)),"Wert fehlt; ",IF(F4261&lt;=0,"Wert ist 0; ",""))&amp;IF(NOT(ISNUMBER(E4261)),"Bestand fehlt; ",IF(E4261&lt;0,"Bestand negativ; ",IF(E4261=0,"Nullbestand; ","")))&amp;IF(D4261="","Warengruppe fehlt; ","")&amp;IF(B4261="","Bezeichnung fehlt; ","")&amp;IF(COUNTIFS($A$2:$A$5001,$A4261,$C$2:$C$5001,C4261)&gt;1,"Artikel doppelt im selben Lager; ",""))</f>
        <v/>
      </c>
      <c r="P4261" s="47" t="n">
        <f aca="false">IF(OR($A4261="",D4261=""),0,IF(COUNTIF($D$2:D4261,D4261)=1,SUMIF($D$2:$D$5001,D4261,$H$2:$H$5001)+ROW()/10000000,0))</f>
        <v>0</v>
      </c>
      <c r="Q4261" s="47" t="n">
        <f aca="false">IF(OR($A4261="",C4261=""),0,IF(COUNTIF($C$2:C4261,C4261)=1,SUMIF($C$2:$C$5001,C4261,$H$2:$H$5001)+ROW()/10000000,0))</f>
        <v>0</v>
      </c>
    </row>
    <row r="4262" customFormat="false" ht="15" hidden="false" customHeight="false" outlineLevel="0" collapsed="false">
      <c r="A4262" s="43"/>
      <c r="B4262" s="44"/>
      <c r="C4262" s="44"/>
      <c r="D4262" s="44"/>
      <c r="E4262" s="44"/>
      <c r="F4262" s="44"/>
      <c r="G4262" s="44"/>
      <c r="H4262" s="46" t="str">
        <f aca="false">IF($A4262="","",IF(OR(NOT(ISNUMBER(E4262)),NOT(ISNUMBER(F4262))),"",MAX(0,E4262)*F4262))</f>
        <v/>
      </c>
      <c r="I4262" s="46" t="str">
        <f aca="false">IF($A4262="","",SUMIF($A$2:$A$5001,$A4262,$H$2:$H$5001))</f>
        <v/>
      </c>
      <c r="J4262" s="47" t="n">
        <f aca="false">IF($A4262="",0,IF(COUNTIF($A$2:A4262,$A4262)=1,1,0))</f>
        <v>0</v>
      </c>
      <c r="K4262" s="47" t="n">
        <f aca="false">IF(J4262=1,N(I4262)+ROW()/10000000,0)</f>
        <v>0</v>
      </c>
      <c r="L4262" s="47" t="str">
        <f aca="false">IF(AND(J4262=1,N(I4262)&gt;0),SUMIF($K$2:$K$5001,"&gt;="&amp;K4262,$I$2:$I$5001)/MAX(1,SUM($H$2:$H$5001)),"")</f>
        <v/>
      </c>
      <c r="M4262" s="47" t="str">
        <f aca="false">IF($A4262="","",INDEX($L$2:$L$5001,MATCH($A4262,$A$2:$A$5001,0)))</f>
        <v/>
      </c>
      <c r="N4262" s="48" t="str">
        <f aca="false">IF($A4262="","",IF(N(M4262)=0,"–",IF(M4262&lt;=Start!$D$20,"A",IF(M4262&lt;=Start!$D$21,"B","C"))))</f>
        <v/>
      </c>
      <c r="O4262" s="48" t="str">
        <f aca="false">IF($A4262="","",IF(NOT(ISNUMBER(F4262)),"Wert fehlt; ",IF(F4262&lt;=0,"Wert ist 0; ",""))&amp;IF(NOT(ISNUMBER(E4262)),"Bestand fehlt; ",IF(E4262&lt;0,"Bestand negativ; ",IF(E4262=0,"Nullbestand; ","")))&amp;IF(D4262="","Warengruppe fehlt; ","")&amp;IF(B4262="","Bezeichnung fehlt; ","")&amp;IF(COUNTIFS($A$2:$A$5001,$A4262,$C$2:$C$5001,C4262)&gt;1,"Artikel doppelt im selben Lager; ",""))</f>
        <v/>
      </c>
      <c r="P4262" s="47" t="n">
        <f aca="false">IF(OR($A4262="",D4262=""),0,IF(COUNTIF($D$2:D4262,D4262)=1,SUMIF($D$2:$D$5001,D4262,$H$2:$H$5001)+ROW()/10000000,0))</f>
        <v>0</v>
      </c>
      <c r="Q4262" s="47" t="n">
        <f aca="false">IF(OR($A4262="",C4262=""),0,IF(COUNTIF($C$2:C4262,C4262)=1,SUMIF($C$2:$C$5001,C4262,$H$2:$H$5001)+ROW()/10000000,0))</f>
        <v>0</v>
      </c>
    </row>
    <row r="4263" customFormat="false" ht="15" hidden="false" customHeight="false" outlineLevel="0" collapsed="false">
      <c r="A4263" s="43"/>
      <c r="B4263" s="44"/>
      <c r="C4263" s="44"/>
      <c r="D4263" s="44"/>
      <c r="E4263" s="44"/>
      <c r="F4263" s="44"/>
      <c r="G4263" s="44"/>
      <c r="H4263" s="46" t="str">
        <f aca="false">IF($A4263="","",IF(OR(NOT(ISNUMBER(E4263)),NOT(ISNUMBER(F4263))),"",MAX(0,E4263)*F4263))</f>
        <v/>
      </c>
      <c r="I4263" s="46" t="str">
        <f aca="false">IF($A4263="","",SUMIF($A$2:$A$5001,$A4263,$H$2:$H$5001))</f>
        <v/>
      </c>
      <c r="J4263" s="47" t="n">
        <f aca="false">IF($A4263="",0,IF(COUNTIF($A$2:A4263,$A4263)=1,1,0))</f>
        <v>0</v>
      </c>
      <c r="K4263" s="47" t="n">
        <f aca="false">IF(J4263=1,N(I4263)+ROW()/10000000,0)</f>
        <v>0</v>
      </c>
      <c r="L4263" s="47" t="str">
        <f aca="false">IF(AND(J4263=1,N(I4263)&gt;0),SUMIF($K$2:$K$5001,"&gt;="&amp;K4263,$I$2:$I$5001)/MAX(1,SUM($H$2:$H$5001)),"")</f>
        <v/>
      </c>
      <c r="M4263" s="47" t="str">
        <f aca="false">IF($A4263="","",INDEX($L$2:$L$5001,MATCH($A4263,$A$2:$A$5001,0)))</f>
        <v/>
      </c>
      <c r="N4263" s="48" t="str">
        <f aca="false">IF($A4263="","",IF(N(M4263)=0,"–",IF(M4263&lt;=Start!$D$20,"A",IF(M4263&lt;=Start!$D$21,"B","C"))))</f>
        <v/>
      </c>
      <c r="O4263" s="48" t="str">
        <f aca="false">IF($A4263="","",IF(NOT(ISNUMBER(F4263)),"Wert fehlt; ",IF(F4263&lt;=0,"Wert ist 0; ",""))&amp;IF(NOT(ISNUMBER(E4263)),"Bestand fehlt; ",IF(E4263&lt;0,"Bestand negativ; ",IF(E4263=0,"Nullbestand; ","")))&amp;IF(D4263="","Warengruppe fehlt; ","")&amp;IF(B4263="","Bezeichnung fehlt; ","")&amp;IF(COUNTIFS($A$2:$A$5001,$A4263,$C$2:$C$5001,C4263)&gt;1,"Artikel doppelt im selben Lager; ",""))</f>
        <v/>
      </c>
      <c r="P4263" s="47" t="n">
        <f aca="false">IF(OR($A4263="",D4263=""),0,IF(COUNTIF($D$2:D4263,D4263)=1,SUMIF($D$2:$D$5001,D4263,$H$2:$H$5001)+ROW()/10000000,0))</f>
        <v>0</v>
      </c>
      <c r="Q4263" s="47" t="n">
        <f aca="false">IF(OR($A4263="",C4263=""),0,IF(COUNTIF($C$2:C4263,C4263)=1,SUMIF($C$2:$C$5001,C4263,$H$2:$H$5001)+ROW()/10000000,0))</f>
        <v>0</v>
      </c>
    </row>
    <row r="4264" customFormat="false" ht="15" hidden="false" customHeight="false" outlineLevel="0" collapsed="false">
      <c r="A4264" s="43"/>
      <c r="B4264" s="44"/>
      <c r="C4264" s="44"/>
      <c r="D4264" s="44"/>
      <c r="E4264" s="44"/>
      <c r="F4264" s="44"/>
      <c r="G4264" s="44"/>
      <c r="H4264" s="46" t="str">
        <f aca="false">IF($A4264="","",IF(OR(NOT(ISNUMBER(E4264)),NOT(ISNUMBER(F4264))),"",MAX(0,E4264)*F4264))</f>
        <v/>
      </c>
      <c r="I4264" s="46" t="str">
        <f aca="false">IF($A4264="","",SUMIF($A$2:$A$5001,$A4264,$H$2:$H$5001))</f>
        <v/>
      </c>
      <c r="J4264" s="47" t="n">
        <f aca="false">IF($A4264="",0,IF(COUNTIF($A$2:A4264,$A4264)=1,1,0))</f>
        <v>0</v>
      </c>
      <c r="K4264" s="47" t="n">
        <f aca="false">IF(J4264=1,N(I4264)+ROW()/10000000,0)</f>
        <v>0</v>
      </c>
      <c r="L4264" s="47" t="str">
        <f aca="false">IF(AND(J4264=1,N(I4264)&gt;0),SUMIF($K$2:$K$5001,"&gt;="&amp;K4264,$I$2:$I$5001)/MAX(1,SUM($H$2:$H$5001)),"")</f>
        <v/>
      </c>
      <c r="M4264" s="47" t="str">
        <f aca="false">IF($A4264="","",INDEX($L$2:$L$5001,MATCH($A4264,$A$2:$A$5001,0)))</f>
        <v/>
      </c>
      <c r="N4264" s="48" t="str">
        <f aca="false">IF($A4264="","",IF(N(M4264)=0,"–",IF(M4264&lt;=Start!$D$20,"A",IF(M4264&lt;=Start!$D$21,"B","C"))))</f>
        <v/>
      </c>
      <c r="O4264" s="48" t="str">
        <f aca="false">IF($A4264="","",IF(NOT(ISNUMBER(F4264)),"Wert fehlt; ",IF(F4264&lt;=0,"Wert ist 0; ",""))&amp;IF(NOT(ISNUMBER(E4264)),"Bestand fehlt; ",IF(E4264&lt;0,"Bestand negativ; ",IF(E4264=0,"Nullbestand; ","")))&amp;IF(D4264="","Warengruppe fehlt; ","")&amp;IF(B4264="","Bezeichnung fehlt; ","")&amp;IF(COUNTIFS($A$2:$A$5001,$A4264,$C$2:$C$5001,C4264)&gt;1,"Artikel doppelt im selben Lager; ",""))</f>
        <v/>
      </c>
      <c r="P4264" s="47" t="n">
        <f aca="false">IF(OR($A4264="",D4264=""),0,IF(COUNTIF($D$2:D4264,D4264)=1,SUMIF($D$2:$D$5001,D4264,$H$2:$H$5001)+ROW()/10000000,0))</f>
        <v>0</v>
      </c>
      <c r="Q4264" s="47" t="n">
        <f aca="false">IF(OR($A4264="",C4264=""),0,IF(COUNTIF($C$2:C4264,C4264)=1,SUMIF($C$2:$C$5001,C4264,$H$2:$H$5001)+ROW()/10000000,0))</f>
        <v>0</v>
      </c>
    </row>
    <row r="4265" customFormat="false" ht="15" hidden="false" customHeight="false" outlineLevel="0" collapsed="false">
      <c r="A4265" s="43"/>
      <c r="B4265" s="44"/>
      <c r="C4265" s="44"/>
      <c r="D4265" s="44"/>
      <c r="E4265" s="44"/>
      <c r="F4265" s="44"/>
      <c r="G4265" s="44"/>
      <c r="H4265" s="46" t="str">
        <f aca="false">IF($A4265="","",IF(OR(NOT(ISNUMBER(E4265)),NOT(ISNUMBER(F4265))),"",MAX(0,E4265)*F4265))</f>
        <v/>
      </c>
      <c r="I4265" s="46" t="str">
        <f aca="false">IF($A4265="","",SUMIF($A$2:$A$5001,$A4265,$H$2:$H$5001))</f>
        <v/>
      </c>
      <c r="J4265" s="47" t="n">
        <f aca="false">IF($A4265="",0,IF(COUNTIF($A$2:A4265,$A4265)=1,1,0))</f>
        <v>0</v>
      </c>
      <c r="K4265" s="47" t="n">
        <f aca="false">IF(J4265=1,N(I4265)+ROW()/10000000,0)</f>
        <v>0</v>
      </c>
      <c r="L4265" s="47" t="str">
        <f aca="false">IF(AND(J4265=1,N(I4265)&gt;0),SUMIF($K$2:$K$5001,"&gt;="&amp;K4265,$I$2:$I$5001)/MAX(1,SUM($H$2:$H$5001)),"")</f>
        <v/>
      </c>
      <c r="M4265" s="47" t="str">
        <f aca="false">IF($A4265="","",INDEX($L$2:$L$5001,MATCH($A4265,$A$2:$A$5001,0)))</f>
        <v/>
      </c>
      <c r="N4265" s="48" t="str">
        <f aca="false">IF($A4265="","",IF(N(M4265)=0,"–",IF(M4265&lt;=Start!$D$20,"A",IF(M4265&lt;=Start!$D$21,"B","C"))))</f>
        <v/>
      </c>
      <c r="O4265" s="48" t="str">
        <f aca="false">IF($A4265="","",IF(NOT(ISNUMBER(F4265)),"Wert fehlt; ",IF(F4265&lt;=0,"Wert ist 0; ",""))&amp;IF(NOT(ISNUMBER(E4265)),"Bestand fehlt; ",IF(E4265&lt;0,"Bestand negativ; ",IF(E4265=0,"Nullbestand; ","")))&amp;IF(D4265="","Warengruppe fehlt; ","")&amp;IF(B4265="","Bezeichnung fehlt; ","")&amp;IF(COUNTIFS($A$2:$A$5001,$A4265,$C$2:$C$5001,C4265)&gt;1,"Artikel doppelt im selben Lager; ",""))</f>
        <v/>
      </c>
      <c r="P4265" s="47" t="n">
        <f aca="false">IF(OR($A4265="",D4265=""),0,IF(COUNTIF($D$2:D4265,D4265)=1,SUMIF($D$2:$D$5001,D4265,$H$2:$H$5001)+ROW()/10000000,0))</f>
        <v>0</v>
      </c>
      <c r="Q4265" s="47" t="n">
        <f aca="false">IF(OR($A4265="",C4265=""),0,IF(COUNTIF($C$2:C4265,C4265)=1,SUMIF($C$2:$C$5001,C4265,$H$2:$H$5001)+ROW()/10000000,0))</f>
        <v>0</v>
      </c>
    </row>
    <row r="4266" customFormat="false" ht="15" hidden="false" customHeight="false" outlineLevel="0" collapsed="false">
      <c r="A4266" s="43"/>
      <c r="B4266" s="44"/>
      <c r="C4266" s="44"/>
      <c r="D4266" s="44"/>
      <c r="E4266" s="44"/>
      <c r="F4266" s="44"/>
      <c r="G4266" s="44"/>
      <c r="H4266" s="46" t="str">
        <f aca="false">IF($A4266="","",IF(OR(NOT(ISNUMBER(E4266)),NOT(ISNUMBER(F4266))),"",MAX(0,E4266)*F4266))</f>
        <v/>
      </c>
      <c r="I4266" s="46" t="str">
        <f aca="false">IF($A4266="","",SUMIF($A$2:$A$5001,$A4266,$H$2:$H$5001))</f>
        <v/>
      </c>
      <c r="J4266" s="47" t="n">
        <f aca="false">IF($A4266="",0,IF(COUNTIF($A$2:A4266,$A4266)=1,1,0))</f>
        <v>0</v>
      </c>
      <c r="K4266" s="47" t="n">
        <f aca="false">IF(J4266=1,N(I4266)+ROW()/10000000,0)</f>
        <v>0</v>
      </c>
      <c r="L4266" s="47" t="str">
        <f aca="false">IF(AND(J4266=1,N(I4266)&gt;0),SUMIF($K$2:$K$5001,"&gt;="&amp;K4266,$I$2:$I$5001)/MAX(1,SUM($H$2:$H$5001)),"")</f>
        <v/>
      </c>
      <c r="M4266" s="47" t="str">
        <f aca="false">IF($A4266="","",INDEX($L$2:$L$5001,MATCH($A4266,$A$2:$A$5001,0)))</f>
        <v/>
      </c>
      <c r="N4266" s="48" t="str">
        <f aca="false">IF($A4266="","",IF(N(M4266)=0,"–",IF(M4266&lt;=Start!$D$20,"A",IF(M4266&lt;=Start!$D$21,"B","C"))))</f>
        <v/>
      </c>
      <c r="O4266" s="48" t="str">
        <f aca="false">IF($A4266="","",IF(NOT(ISNUMBER(F4266)),"Wert fehlt; ",IF(F4266&lt;=0,"Wert ist 0; ",""))&amp;IF(NOT(ISNUMBER(E4266)),"Bestand fehlt; ",IF(E4266&lt;0,"Bestand negativ; ",IF(E4266=0,"Nullbestand; ","")))&amp;IF(D4266="","Warengruppe fehlt; ","")&amp;IF(B4266="","Bezeichnung fehlt; ","")&amp;IF(COUNTIFS($A$2:$A$5001,$A4266,$C$2:$C$5001,C4266)&gt;1,"Artikel doppelt im selben Lager; ",""))</f>
        <v/>
      </c>
      <c r="P4266" s="47" t="n">
        <f aca="false">IF(OR($A4266="",D4266=""),0,IF(COUNTIF($D$2:D4266,D4266)=1,SUMIF($D$2:$D$5001,D4266,$H$2:$H$5001)+ROW()/10000000,0))</f>
        <v>0</v>
      </c>
      <c r="Q4266" s="47" t="n">
        <f aca="false">IF(OR($A4266="",C4266=""),0,IF(COUNTIF($C$2:C4266,C4266)=1,SUMIF($C$2:$C$5001,C4266,$H$2:$H$5001)+ROW()/10000000,0))</f>
        <v>0</v>
      </c>
    </row>
    <row r="4267" customFormat="false" ht="15" hidden="false" customHeight="false" outlineLevel="0" collapsed="false">
      <c r="A4267" s="43"/>
      <c r="B4267" s="44"/>
      <c r="C4267" s="44"/>
      <c r="D4267" s="44"/>
      <c r="E4267" s="44"/>
      <c r="F4267" s="44"/>
      <c r="G4267" s="44"/>
      <c r="H4267" s="46" t="str">
        <f aca="false">IF($A4267="","",IF(OR(NOT(ISNUMBER(E4267)),NOT(ISNUMBER(F4267))),"",MAX(0,E4267)*F4267))</f>
        <v/>
      </c>
      <c r="I4267" s="46" t="str">
        <f aca="false">IF($A4267="","",SUMIF($A$2:$A$5001,$A4267,$H$2:$H$5001))</f>
        <v/>
      </c>
      <c r="J4267" s="47" t="n">
        <f aca="false">IF($A4267="",0,IF(COUNTIF($A$2:A4267,$A4267)=1,1,0))</f>
        <v>0</v>
      </c>
      <c r="K4267" s="47" t="n">
        <f aca="false">IF(J4267=1,N(I4267)+ROW()/10000000,0)</f>
        <v>0</v>
      </c>
      <c r="L4267" s="47" t="str">
        <f aca="false">IF(AND(J4267=1,N(I4267)&gt;0),SUMIF($K$2:$K$5001,"&gt;="&amp;K4267,$I$2:$I$5001)/MAX(1,SUM($H$2:$H$5001)),"")</f>
        <v/>
      </c>
      <c r="M4267" s="47" t="str">
        <f aca="false">IF($A4267="","",INDEX($L$2:$L$5001,MATCH($A4267,$A$2:$A$5001,0)))</f>
        <v/>
      </c>
      <c r="N4267" s="48" t="str">
        <f aca="false">IF($A4267="","",IF(N(M4267)=0,"–",IF(M4267&lt;=Start!$D$20,"A",IF(M4267&lt;=Start!$D$21,"B","C"))))</f>
        <v/>
      </c>
      <c r="O4267" s="48" t="str">
        <f aca="false">IF($A4267="","",IF(NOT(ISNUMBER(F4267)),"Wert fehlt; ",IF(F4267&lt;=0,"Wert ist 0; ",""))&amp;IF(NOT(ISNUMBER(E4267)),"Bestand fehlt; ",IF(E4267&lt;0,"Bestand negativ; ",IF(E4267=0,"Nullbestand; ","")))&amp;IF(D4267="","Warengruppe fehlt; ","")&amp;IF(B4267="","Bezeichnung fehlt; ","")&amp;IF(COUNTIFS($A$2:$A$5001,$A4267,$C$2:$C$5001,C4267)&gt;1,"Artikel doppelt im selben Lager; ",""))</f>
        <v/>
      </c>
      <c r="P4267" s="47" t="n">
        <f aca="false">IF(OR($A4267="",D4267=""),0,IF(COUNTIF($D$2:D4267,D4267)=1,SUMIF($D$2:$D$5001,D4267,$H$2:$H$5001)+ROW()/10000000,0))</f>
        <v>0</v>
      </c>
      <c r="Q4267" s="47" t="n">
        <f aca="false">IF(OR($A4267="",C4267=""),0,IF(COUNTIF($C$2:C4267,C4267)=1,SUMIF($C$2:$C$5001,C4267,$H$2:$H$5001)+ROW()/10000000,0))</f>
        <v>0</v>
      </c>
    </row>
    <row r="4268" customFormat="false" ht="15" hidden="false" customHeight="false" outlineLevel="0" collapsed="false">
      <c r="A4268" s="43"/>
      <c r="B4268" s="44"/>
      <c r="C4268" s="44"/>
      <c r="D4268" s="44"/>
      <c r="E4268" s="44"/>
      <c r="F4268" s="44"/>
      <c r="G4268" s="44"/>
      <c r="H4268" s="46" t="str">
        <f aca="false">IF($A4268="","",IF(OR(NOT(ISNUMBER(E4268)),NOT(ISNUMBER(F4268))),"",MAX(0,E4268)*F4268))</f>
        <v/>
      </c>
      <c r="I4268" s="46" t="str">
        <f aca="false">IF($A4268="","",SUMIF($A$2:$A$5001,$A4268,$H$2:$H$5001))</f>
        <v/>
      </c>
      <c r="J4268" s="47" t="n">
        <f aca="false">IF($A4268="",0,IF(COUNTIF($A$2:A4268,$A4268)=1,1,0))</f>
        <v>0</v>
      </c>
      <c r="K4268" s="47" t="n">
        <f aca="false">IF(J4268=1,N(I4268)+ROW()/10000000,0)</f>
        <v>0</v>
      </c>
      <c r="L4268" s="47" t="str">
        <f aca="false">IF(AND(J4268=1,N(I4268)&gt;0),SUMIF($K$2:$K$5001,"&gt;="&amp;K4268,$I$2:$I$5001)/MAX(1,SUM($H$2:$H$5001)),"")</f>
        <v/>
      </c>
      <c r="M4268" s="47" t="str">
        <f aca="false">IF($A4268="","",INDEX($L$2:$L$5001,MATCH($A4268,$A$2:$A$5001,0)))</f>
        <v/>
      </c>
      <c r="N4268" s="48" t="str">
        <f aca="false">IF($A4268="","",IF(N(M4268)=0,"–",IF(M4268&lt;=Start!$D$20,"A",IF(M4268&lt;=Start!$D$21,"B","C"))))</f>
        <v/>
      </c>
      <c r="O4268" s="48" t="str">
        <f aca="false">IF($A4268="","",IF(NOT(ISNUMBER(F4268)),"Wert fehlt; ",IF(F4268&lt;=0,"Wert ist 0; ",""))&amp;IF(NOT(ISNUMBER(E4268)),"Bestand fehlt; ",IF(E4268&lt;0,"Bestand negativ; ",IF(E4268=0,"Nullbestand; ","")))&amp;IF(D4268="","Warengruppe fehlt; ","")&amp;IF(B4268="","Bezeichnung fehlt; ","")&amp;IF(COUNTIFS($A$2:$A$5001,$A4268,$C$2:$C$5001,C4268)&gt;1,"Artikel doppelt im selben Lager; ",""))</f>
        <v/>
      </c>
      <c r="P4268" s="47" t="n">
        <f aca="false">IF(OR($A4268="",D4268=""),0,IF(COUNTIF($D$2:D4268,D4268)=1,SUMIF($D$2:$D$5001,D4268,$H$2:$H$5001)+ROW()/10000000,0))</f>
        <v>0</v>
      </c>
      <c r="Q4268" s="47" t="n">
        <f aca="false">IF(OR($A4268="",C4268=""),0,IF(COUNTIF($C$2:C4268,C4268)=1,SUMIF($C$2:$C$5001,C4268,$H$2:$H$5001)+ROW()/10000000,0))</f>
        <v>0</v>
      </c>
    </row>
    <row r="4269" customFormat="false" ht="15" hidden="false" customHeight="false" outlineLevel="0" collapsed="false">
      <c r="A4269" s="43"/>
      <c r="B4269" s="44"/>
      <c r="C4269" s="44"/>
      <c r="D4269" s="44"/>
      <c r="E4269" s="44"/>
      <c r="F4269" s="44"/>
      <c r="G4269" s="44"/>
      <c r="H4269" s="46" t="str">
        <f aca="false">IF($A4269="","",IF(OR(NOT(ISNUMBER(E4269)),NOT(ISNUMBER(F4269))),"",MAX(0,E4269)*F4269))</f>
        <v/>
      </c>
      <c r="I4269" s="46" t="str">
        <f aca="false">IF($A4269="","",SUMIF($A$2:$A$5001,$A4269,$H$2:$H$5001))</f>
        <v/>
      </c>
      <c r="J4269" s="47" t="n">
        <f aca="false">IF($A4269="",0,IF(COUNTIF($A$2:A4269,$A4269)=1,1,0))</f>
        <v>0</v>
      </c>
      <c r="K4269" s="47" t="n">
        <f aca="false">IF(J4269=1,N(I4269)+ROW()/10000000,0)</f>
        <v>0</v>
      </c>
      <c r="L4269" s="47" t="str">
        <f aca="false">IF(AND(J4269=1,N(I4269)&gt;0),SUMIF($K$2:$K$5001,"&gt;="&amp;K4269,$I$2:$I$5001)/MAX(1,SUM($H$2:$H$5001)),"")</f>
        <v/>
      </c>
      <c r="M4269" s="47" t="str">
        <f aca="false">IF($A4269="","",INDEX($L$2:$L$5001,MATCH($A4269,$A$2:$A$5001,0)))</f>
        <v/>
      </c>
      <c r="N4269" s="48" t="str">
        <f aca="false">IF($A4269="","",IF(N(M4269)=0,"–",IF(M4269&lt;=Start!$D$20,"A",IF(M4269&lt;=Start!$D$21,"B","C"))))</f>
        <v/>
      </c>
      <c r="O4269" s="48" t="str">
        <f aca="false">IF($A4269="","",IF(NOT(ISNUMBER(F4269)),"Wert fehlt; ",IF(F4269&lt;=0,"Wert ist 0; ",""))&amp;IF(NOT(ISNUMBER(E4269)),"Bestand fehlt; ",IF(E4269&lt;0,"Bestand negativ; ",IF(E4269=0,"Nullbestand; ","")))&amp;IF(D4269="","Warengruppe fehlt; ","")&amp;IF(B4269="","Bezeichnung fehlt; ","")&amp;IF(COUNTIFS($A$2:$A$5001,$A4269,$C$2:$C$5001,C4269)&gt;1,"Artikel doppelt im selben Lager; ",""))</f>
        <v/>
      </c>
      <c r="P4269" s="47" t="n">
        <f aca="false">IF(OR($A4269="",D4269=""),0,IF(COUNTIF($D$2:D4269,D4269)=1,SUMIF($D$2:$D$5001,D4269,$H$2:$H$5001)+ROW()/10000000,0))</f>
        <v>0</v>
      </c>
      <c r="Q4269" s="47" t="n">
        <f aca="false">IF(OR($A4269="",C4269=""),0,IF(COUNTIF($C$2:C4269,C4269)=1,SUMIF($C$2:$C$5001,C4269,$H$2:$H$5001)+ROW()/10000000,0))</f>
        <v>0</v>
      </c>
    </row>
    <row r="4270" customFormat="false" ht="15" hidden="false" customHeight="false" outlineLevel="0" collapsed="false">
      <c r="A4270" s="43"/>
      <c r="B4270" s="44"/>
      <c r="C4270" s="44"/>
      <c r="D4270" s="44"/>
      <c r="E4270" s="44"/>
      <c r="F4270" s="44"/>
      <c r="G4270" s="44"/>
      <c r="H4270" s="46" t="str">
        <f aca="false">IF($A4270="","",IF(OR(NOT(ISNUMBER(E4270)),NOT(ISNUMBER(F4270))),"",MAX(0,E4270)*F4270))</f>
        <v/>
      </c>
      <c r="I4270" s="46" t="str">
        <f aca="false">IF($A4270="","",SUMIF($A$2:$A$5001,$A4270,$H$2:$H$5001))</f>
        <v/>
      </c>
      <c r="J4270" s="47" t="n">
        <f aca="false">IF($A4270="",0,IF(COUNTIF($A$2:A4270,$A4270)=1,1,0))</f>
        <v>0</v>
      </c>
      <c r="K4270" s="47" t="n">
        <f aca="false">IF(J4270=1,N(I4270)+ROW()/10000000,0)</f>
        <v>0</v>
      </c>
      <c r="L4270" s="47" t="str">
        <f aca="false">IF(AND(J4270=1,N(I4270)&gt;0),SUMIF($K$2:$K$5001,"&gt;="&amp;K4270,$I$2:$I$5001)/MAX(1,SUM($H$2:$H$5001)),"")</f>
        <v/>
      </c>
      <c r="M4270" s="47" t="str">
        <f aca="false">IF($A4270="","",INDEX($L$2:$L$5001,MATCH($A4270,$A$2:$A$5001,0)))</f>
        <v/>
      </c>
      <c r="N4270" s="48" t="str">
        <f aca="false">IF($A4270="","",IF(N(M4270)=0,"–",IF(M4270&lt;=Start!$D$20,"A",IF(M4270&lt;=Start!$D$21,"B","C"))))</f>
        <v/>
      </c>
      <c r="O4270" s="48" t="str">
        <f aca="false">IF($A4270="","",IF(NOT(ISNUMBER(F4270)),"Wert fehlt; ",IF(F4270&lt;=0,"Wert ist 0; ",""))&amp;IF(NOT(ISNUMBER(E4270)),"Bestand fehlt; ",IF(E4270&lt;0,"Bestand negativ; ",IF(E4270=0,"Nullbestand; ","")))&amp;IF(D4270="","Warengruppe fehlt; ","")&amp;IF(B4270="","Bezeichnung fehlt; ","")&amp;IF(COUNTIFS($A$2:$A$5001,$A4270,$C$2:$C$5001,C4270)&gt;1,"Artikel doppelt im selben Lager; ",""))</f>
        <v/>
      </c>
      <c r="P4270" s="47" t="n">
        <f aca="false">IF(OR($A4270="",D4270=""),0,IF(COUNTIF($D$2:D4270,D4270)=1,SUMIF($D$2:$D$5001,D4270,$H$2:$H$5001)+ROW()/10000000,0))</f>
        <v>0</v>
      </c>
      <c r="Q4270" s="47" t="n">
        <f aca="false">IF(OR($A4270="",C4270=""),0,IF(COUNTIF($C$2:C4270,C4270)=1,SUMIF($C$2:$C$5001,C4270,$H$2:$H$5001)+ROW()/10000000,0))</f>
        <v>0</v>
      </c>
    </row>
    <row r="4271" customFormat="false" ht="15" hidden="false" customHeight="false" outlineLevel="0" collapsed="false">
      <c r="A4271" s="43"/>
      <c r="B4271" s="44"/>
      <c r="C4271" s="44"/>
      <c r="D4271" s="44"/>
      <c r="E4271" s="44"/>
      <c r="F4271" s="44"/>
      <c r="G4271" s="44"/>
      <c r="H4271" s="46" t="str">
        <f aca="false">IF($A4271="","",IF(OR(NOT(ISNUMBER(E4271)),NOT(ISNUMBER(F4271))),"",MAX(0,E4271)*F4271))</f>
        <v/>
      </c>
      <c r="I4271" s="46" t="str">
        <f aca="false">IF($A4271="","",SUMIF($A$2:$A$5001,$A4271,$H$2:$H$5001))</f>
        <v/>
      </c>
      <c r="J4271" s="47" t="n">
        <f aca="false">IF($A4271="",0,IF(COUNTIF($A$2:A4271,$A4271)=1,1,0))</f>
        <v>0</v>
      </c>
      <c r="K4271" s="47" t="n">
        <f aca="false">IF(J4271=1,N(I4271)+ROW()/10000000,0)</f>
        <v>0</v>
      </c>
      <c r="L4271" s="47" t="str">
        <f aca="false">IF(AND(J4271=1,N(I4271)&gt;0),SUMIF($K$2:$K$5001,"&gt;="&amp;K4271,$I$2:$I$5001)/MAX(1,SUM($H$2:$H$5001)),"")</f>
        <v/>
      </c>
      <c r="M4271" s="47" t="str">
        <f aca="false">IF($A4271="","",INDEX($L$2:$L$5001,MATCH($A4271,$A$2:$A$5001,0)))</f>
        <v/>
      </c>
      <c r="N4271" s="48" t="str">
        <f aca="false">IF($A4271="","",IF(N(M4271)=0,"–",IF(M4271&lt;=Start!$D$20,"A",IF(M4271&lt;=Start!$D$21,"B","C"))))</f>
        <v/>
      </c>
      <c r="O4271" s="48" t="str">
        <f aca="false">IF($A4271="","",IF(NOT(ISNUMBER(F4271)),"Wert fehlt; ",IF(F4271&lt;=0,"Wert ist 0; ",""))&amp;IF(NOT(ISNUMBER(E4271)),"Bestand fehlt; ",IF(E4271&lt;0,"Bestand negativ; ",IF(E4271=0,"Nullbestand; ","")))&amp;IF(D4271="","Warengruppe fehlt; ","")&amp;IF(B4271="","Bezeichnung fehlt; ","")&amp;IF(COUNTIFS($A$2:$A$5001,$A4271,$C$2:$C$5001,C4271)&gt;1,"Artikel doppelt im selben Lager; ",""))</f>
        <v/>
      </c>
      <c r="P4271" s="47" t="n">
        <f aca="false">IF(OR($A4271="",D4271=""),0,IF(COUNTIF($D$2:D4271,D4271)=1,SUMIF($D$2:$D$5001,D4271,$H$2:$H$5001)+ROW()/10000000,0))</f>
        <v>0</v>
      </c>
      <c r="Q4271" s="47" t="n">
        <f aca="false">IF(OR($A4271="",C4271=""),0,IF(COUNTIF($C$2:C4271,C4271)=1,SUMIF($C$2:$C$5001,C4271,$H$2:$H$5001)+ROW()/10000000,0))</f>
        <v>0</v>
      </c>
    </row>
    <row r="4272" customFormat="false" ht="15" hidden="false" customHeight="false" outlineLevel="0" collapsed="false">
      <c r="A4272" s="43"/>
      <c r="B4272" s="44"/>
      <c r="C4272" s="44"/>
      <c r="D4272" s="44"/>
      <c r="E4272" s="44"/>
      <c r="F4272" s="44"/>
      <c r="G4272" s="44"/>
      <c r="H4272" s="46" t="str">
        <f aca="false">IF($A4272="","",IF(OR(NOT(ISNUMBER(E4272)),NOT(ISNUMBER(F4272))),"",MAX(0,E4272)*F4272))</f>
        <v/>
      </c>
      <c r="I4272" s="46" t="str">
        <f aca="false">IF($A4272="","",SUMIF($A$2:$A$5001,$A4272,$H$2:$H$5001))</f>
        <v/>
      </c>
      <c r="J4272" s="47" t="n">
        <f aca="false">IF($A4272="",0,IF(COUNTIF($A$2:A4272,$A4272)=1,1,0))</f>
        <v>0</v>
      </c>
      <c r="K4272" s="47" t="n">
        <f aca="false">IF(J4272=1,N(I4272)+ROW()/10000000,0)</f>
        <v>0</v>
      </c>
      <c r="L4272" s="47" t="str">
        <f aca="false">IF(AND(J4272=1,N(I4272)&gt;0),SUMIF($K$2:$K$5001,"&gt;="&amp;K4272,$I$2:$I$5001)/MAX(1,SUM($H$2:$H$5001)),"")</f>
        <v/>
      </c>
      <c r="M4272" s="47" t="str">
        <f aca="false">IF($A4272="","",INDEX($L$2:$L$5001,MATCH($A4272,$A$2:$A$5001,0)))</f>
        <v/>
      </c>
      <c r="N4272" s="48" t="str">
        <f aca="false">IF($A4272="","",IF(N(M4272)=0,"–",IF(M4272&lt;=Start!$D$20,"A",IF(M4272&lt;=Start!$D$21,"B","C"))))</f>
        <v/>
      </c>
      <c r="O4272" s="48" t="str">
        <f aca="false">IF($A4272="","",IF(NOT(ISNUMBER(F4272)),"Wert fehlt; ",IF(F4272&lt;=0,"Wert ist 0; ",""))&amp;IF(NOT(ISNUMBER(E4272)),"Bestand fehlt; ",IF(E4272&lt;0,"Bestand negativ; ",IF(E4272=0,"Nullbestand; ","")))&amp;IF(D4272="","Warengruppe fehlt; ","")&amp;IF(B4272="","Bezeichnung fehlt; ","")&amp;IF(COUNTIFS($A$2:$A$5001,$A4272,$C$2:$C$5001,C4272)&gt;1,"Artikel doppelt im selben Lager; ",""))</f>
        <v/>
      </c>
      <c r="P4272" s="47" t="n">
        <f aca="false">IF(OR($A4272="",D4272=""),0,IF(COUNTIF($D$2:D4272,D4272)=1,SUMIF($D$2:$D$5001,D4272,$H$2:$H$5001)+ROW()/10000000,0))</f>
        <v>0</v>
      </c>
      <c r="Q4272" s="47" t="n">
        <f aca="false">IF(OR($A4272="",C4272=""),0,IF(COUNTIF($C$2:C4272,C4272)=1,SUMIF($C$2:$C$5001,C4272,$H$2:$H$5001)+ROW()/10000000,0))</f>
        <v>0</v>
      </c>
    </row>
    <row r="4273" customFormat="false" ht="15" hidden="false" customHeight="false" outlineLevel="0" collapsed="false">
      <c r="A4273" s="43"/>
      <c r="B4273" s="44"/>
      <c r="C4273" s="44"/>
      <c r="D4273" s="44"/>
      <c r="E4273" s="44"/>
      <c r="F4273" s="44"/>
      <c r="G4273" s="44"/>
      <c r="H4273" s="46" t="str">
        <f aca="false">IF($A4273="","",IF(OR(NOT(ISNUMBER(E4273)),NOT(ISNUMBER(F4273))),"",MAX(0,E4273)*F4273))</f>
        <v/>
      </c>
      <c r="I4273" s="46" t="str">
        <f aca="false">IF($A4273="","",SUMIF($A$2:$A$5001,$A4273,$H$2:$H$5001))</f>
        <v/>
      </c>
      <c r="J4273" s="47" t="n">
        <f aca="false">IF($A4273="",0,IF(COUNTIF($A$2:A4273,$A4273)=1,1,0))</f>
        <v>0</v>
      </c>
      <c r="K4273" s="47" t="n">
        <f aca="false">IF(J4273=1,N(I4273)+ROW()/10000000,0)</f>
        <v>0</v>
      </c>
      <c r="L4273" s="47" t="str">
        <f aca="false">IF(AND(J4273=1,N(I4273)&gt;0),SUMIF($K$2:$K$5001,"&gt;="&amp;K4273,$I$2:$I$5001)/MAX(1,SUM($H$2:$H$5001)),"")</f>
        <v/>
      </c>
      <c r="M4273" s="47" t="str">
        <f aca="false">IF($A4273="","",INDEX($L$2:$L$5001,MATCH($A4273,$A$2:$A$5001,0)))</f>
        <v/>
      </c>
      <c r="N4273" s="48" t="str">
        <f aca="false">IF($A4273="","",IF(N(M4273)=0,"–",IF(M4273&lt;=Start!$D$20,"A",IF(M4273&lt;=Start!$D$21,"B","C"))))</f>
        <v/>
      </c>
      <c r="O4273" s="48" t="str">
        <f aca="false">IF($A4273="","",IF(NOT(ISNUMBER(F4273)),"Wert fehlt; ",IF(F4273&lt;=0,"Wert ist 0; ",""))&amp;IF(NOT(ISNUMBER(E4273)),"Bestand fehlt; ",IF(E4273&lt;0,"Bestand negativ; ",IF(E4273=0,"Nullbestand; ","")))&amp;IF(D4273="","Warengruppe fehlt; ","")&amp;IF(B4273="","Bezeichnung fehlt; ","")&amp;IF(COUNTIFS($A$2:$A$5001,$A4273,$C$2:$C$5001,C4273)&gt;1,"Artikel doppelt im selben Lager; ",""))</f>
        <v/>
      </c>
      <c r="P4273" s="47" t="n">
        <f aca="false">IF(OR($A4273="",D4273=""),0,IF(COUNTIF($D$2:D4273,D4273)=1,SUMIF($D$2:$D$5001,D4273,$H$2:$H$5001)+ROW()/10000000,0))</f>
        <v>0</v>
      </c>
      <c r="Q4273" s="47" t="n">
        <f aca="false">IF(OR($A4273="",C4273=""),0,IF(COUNTIF($C$2:C4273,C4273)=1,SUMIF($C$2:$C$5001,C4273,$H$2:$H$5001)+ROW()/10000000,0))</f>
        <v>0</v>
      </c>
    </row>
    <row r="4274" customFormat="false" ht="15" hidden="false" customHeight="false" outlineLevel="0" collapsed="false">
      <c r="A4274" s="43"/>
      <c r="B4274" s="44"/>
      <c r="C4274" s="44"/>
      <c r="D4274" s="44"/>
      <c r="E4274" s="44"/>
      <c r="F4274" s="44"/>
      <c r="G4274" s="44"/>
      <c r="H4274" s="46" t="str">
        <f aca="false">IF($A4274="","",IF(OR(NOT(ISNUMBER(E4274)),NOT(ISNUMBER(F4274))),"",MAX(0,E4274)*F4274))</f>
        <v/>
      </c>
      <c r="I4274" s="46" t="str">
        <f aca="false">IF($A4274="","",SUMIF($A$2:$A$5001,$A4274,$H$2:$H$5001))</f>
        <v/>
      </c>
      <c r="J4274" s="47" t="n">
        <f aca="false">IF($A4274="",0,IF(COUNTIF($A$2:A4274,$A4274)=1,1,0))</f>
        <v>0</v>
      </c>
      <c r="K4274" s="47" t="n">
        <f aca="false">IF(J4274=1,N(I4274)+ROW()/10000000,0)</f>
        <v>0</v>
      </c>
      <c r="L4274" s="47" t="str">
        <f aca="false">IF(AND(J4274=1,N(I4274)&gt;0),SUMIF($K$2:$K$5001,"&gt;="&amp;K4274,$I$2:$I$5001)/MAX(1,SUM($H$2:$H$5001)),"")</f>
        <v/>
      </c>
      <c r="M4274" s="47" t="str">
        <f aca="false">IF($A4274="","",INDEX($L$2:$L$5001,MATCH($A4274,$A$2:$A$5001,0)))</f>
        <v/>
      </c>
      <c r="N4274" s="48" t="str">
        <f aca="false">IF($A4274="","",IF(N(M4274)=0,"–",IF(M4274&lt;=Start!$D$20,"A",IF(M4274&lt;=Start!$D$21,"B","C"))))</f>
        <v/>
      </c>
      <c r="O4274" s="48" t="str">
        <f aca="false">IF($A4274="","",IF(NOT(ISNUMBER(F4274)),"Wert fehlt; ",IF(F4274&lt;=0,"Wert ist 0; ",""))&amp;IF(NOT(ISNUMBER(E4274)),"Bestand fehlt; ",IF(E4274&lt;0,"Bestand negativ; ",IF(E4274=0,"Nullbestand; ","")))&amp;IF(D4274="","Warengruppe fehlt; ","")&amp;IF(B4274="","Bezeichnung fehlt; ","")&amp;IF(COUNTIFS($A$2:$A$5001,$A4274,$C$2:$C$5001,C4274)&gt;1,"Artikel doppelt im selben Lager; ",""))</f>
        <v/>
      </c>
      <c r="P4274" s="47" t="n">
        <f aca="false">IF(OR($A4274="",D4274=""),0,IF(COUNTIF($D$2:D4274,D4274)=1,SUMIF($D$2:$D$5001,D4274,$H$2:$H$5001)+ROW()/10000000,0))</f>
        <v>0</v>
      </c>
      <c r="Q4274" s="47" t="n">
        <f aca="false">IF(OR($A4274="",C4274=""),0,IF(COUNTIF($C$2:C4274,C4274)=1,SUMIF($C$2:$C$5001,C4274,$H$2:$H$5001)+ROW()/10000000,0))</f>
        <v>0</v>
      </c>
    </row>
    <row r="4275" customFormat="false" ht="15" hidden="false" customHeight="false" outlineLevel="0" collapsed="false">
      <c r="A4275" s="43"/>
      <c r="B4275" s="44"/>
      <c r="C4275" s="44"/>
      <c r="D4275" s="44"/>
      <c r="E4275" s="44"/>
      <c r="F4275" s="44"/>
      <c r="G4275" s="44"/>
      <c r="H4275" s="46" t="str">
        <f aca="false">IF($A4275="","",IF(OR(NOT(ISNUMBER(E4275)),NOT(ISNUMBER(F4275))),"",MAX(0,E4275)*F4275))</f>
        <v/>
      </c>
      <c r="I4275" s="46" t="str">
        <f aca="false">IF($A4275="","",SUMIF($A$2:$A$5001,$A4275,$H$2:$H$5001))</f>
        <v/>
      </c>
      <c r="J4275" s="47" t="n">
        <f aca="false">IF($A4275="",0,IF(COUNTIF($A$2:A4275,$A4275)=1,1,0))</f>
        <v>0</v>
      </c>
      <c r="K4275" s="47" t="n">
        <f aca="false">IF(J4275=1,N(I4275)+ROW()/10000000,0)</f>
        <v>0</v>
      </c>
      <c r="L4275" s="47" t="str">
        <f aca="false">IF(AND(J4275=1,N(I4275)&gt;0),SUMIF($K$2:$K$5001,"&gt;="&amp;K4275,$I$2:$I$5001)/MAX(1,SUM($H$2:$H$5001)),"")</f>
        <v/>
      </c>
      <c r="M4275" s="47" t="str">
        <f aca="false">IF($A4275="","",INDEX($L$2:$L$5001,MATCH($A4275,$A$2:$A$5001,0)))</f>
        <v/>
      </c>
      <c r="N4275" s="48" t="str">
        <f aca="false">IF($A4275="","",IF(N(M4275)=0,"–",IF(M4275&lt;=Start!$D$20,"A",IF(M4275&lt;=Start!$D$21,"B","C"))))</f>
        <v/>
      </c>
      <c r="O4275" s="48" t="str">
        <f aca="false">IF($A4275="","",IF(NOT(ISNUMBER(F4275)),"Wert fehlt; ",IF(F4275&lt;=0,"Wert ist 0; ",""))&amp;IF(NOT(ISNUMBER(E4275)),"Bestand fehlt; ",IF(E4275&lt;0,"Bestand negativ; ",IF(E4275=0,"Nullbestand; ","")))&amp;IF(D4275="","Warengruppe fehlt; ","")&amp;IF(B4275="","Bezeichnung fehlt; ","")&amp;IF(COUNTIFS($A$2:$A$5001,$A4275,$C$2:$C$5001,C4275)&gt;1,"Artikel doppelt im selben Lager; ",""))</f>
        <v/>
      </c>
      <c r="P4275" s="47" t="n">
        <f aca="false">IF(OR($A4275="",D4275=""),0,IF(COUNTIF($D$2:D4275,D4275)=1,SUMIF($D$2:$D$5001,D4275,$H$2:$H$5001)+ROW()/10000000,0))</f>
        <v>0</v>
      </c>
      <c r="Q4275" s="47" t="n">
        <f aca="false">IF(OR($A4275="",C4275=""),0,IF(COUNTIF($C$2:C4275,C4275)=1,SUMIF($C$2:$C$5001,C4275,$H$2:$H$5001)+ROW()/10000000,0))</f>
        <v>0</v>
      </c>
    </row>
    <row r="4276" customFormat="false" ht="15" hidden="false" customHeight="false" outlineLevel="0" collapsed="false">
      <c r="A4276" s="43"/>
      <c r="B4276" s="44"/>
      <c r="C4276" s="44"/>
      <c r="D4276" s="44"/>
      <c r="E4276" s="44"/>
      <c r="F4276" s="44"/>
      <c r="G4276" s="44"/>
      <c r="H4276" s="46" t="str">
        <f aca="false">IF($A4276="","",IF(OR(NOT(ISNUMBER(E4276)),NOT(ISNUMBER(F4276))),"",MAX(0,E4276)*F4276))</f>
        <v/>
      </c>
      <c r="I4276" s="46" t="str">
        <f aca="false">IF($A4276="","",SUMIF($A$2:$A$5001,$A4276,$H$2:$H$5001))</f>
        <v/>
      </c>
      <c r="J4276" s="47" t="n">
        <f aca="false">IF($A4276="",0,IF(COUNTIF($A$2:A4276,$A4276)=1,1,0))</f>
        <v>0</v>
      </c>
      <c r="K4276" s="47" t="n">
        <f aca="false">IF(J4276=1,N(I4276)+ROW()/10000000,0)</f>
        <v>0</v>
      </c>
      <c r="L4276" s="47" t="str">
        <f aca="false">IF(AND(J4276=1,N(I4276)&gt;0),SUMIF($K$2:$K$5001,"&gt;="&amp;K4276,$I$2:$I$5001)/MAX(1,SUM($H$2:$H$5001)),"")</f>
        <v/>
      </c>
      <c r="M4276" s="47" t="str">
        <f aca="false">IF($A4276="","",INDEX($L$2:$L$5001,MATCH($A4276,$A$2:$A$5001,0)))</f>
        <v/>
      </c>
      <c r="N4276" s="48" t="str">
        <f aca="false">IF($A4276="","",IF(N(M4276)=0,"–",IF(M4276&lt;=Start!$D$20,"A",IF(M4276&lt;=Start!$D$21,"B","C"))))</f>
        <v/>
      </c>
      <c r="O4276" s="48" t="str">
        <f aca="false">IF($A4276="","",IF(NOT(ISNUMBER(F4276)),"Wert fehlt; ",IF(F4276&lt;=0,"Wert ist 0; ",""))&amp;IF(NOT(ISNUMBER(E4276)),"Bestand fehlt; ",IF(E4276&lt;0,"Bestand negativ; ",IF(E4276=0,"Nullbestand; ","")))&amp;IF(D4276="","Warengruppe fehlt; ","")&amp;IF(B4276="","Bezeichnung fehlt; ","")&amp;IF(COUNTIFS($A$2:$A$5001,$A4276,$C$2:$C$5001,C4276)&gt;1,"Artikel doppelt im selben Lager; ",""))</f>
        <v/>
      </c>
      <c r="P4276" s="47" t="n">
        <f aca="false">IF(OR($A4276="",D4276=""),0,IF(COUNTIF($D$2:D4276,D4276)=1,SUMIF($D$2:$D$5001,D4276,$H$2:$H$5001)+ROW()/10000000,0))</f>
        <v>0</v>
      </c>
      <c r="Q4276" s="47" t="n">
        <f aca="false">IF(OR($A4276="",C4276=""),0,IF(COUNTIF($C$2:C4276,C4276)=1,SUMIF($C$2:$C$5001,C4276,$H$2:$H$5001)+ROW()/10000000,0))</f>
        <v>0</v>
      </c>
    </row>
    <row r="4277" customFormat="false" ht="15" hidden="false" customHeight="false" outlineLevel="0" collapsed="false">
      <c r="A4277" s="43"/>
      <c r="B4277" s="44"/>
      <c r="C4277" s="44"/>
      <c r="D4277" s="44"/>
      <c r="E4277" s="44"/>
      <c r="F4277" s="44"/>
      <c r="G4277" s="44"/>
      <c r="H4277" s="46" t="str">
        <f aca="false">IF($A4277="","",IF(OR(NOT(ISNUMBER(E4277)),NOT(ISNUMBER(F4277))),"",MAX(0,E4277)*F4277))</f>
        <v/>
      </c>
      <c r="I4277" s="46" t="str">
        <f aca="false">IF($A4277="","",SUMIF($A$2:$A$5001,$A4277,$H$2:$H$5001))</f>
        <v/>
      </c>
      <c r="J4277" s="47" t="n">
        <f aca="false">IF($A4277="",0,IF(COUNTIF($A$2:A4277,$A4277)=1,1,0))</f>
        <v>0</v>
      </c>
      <c r="K4277" s="47" t="n">
        <f aca="false">IF(J4277=1,N(I4277)+ROW()/10000000,0)</f>
        <v>0</v>
      </c>
      <c r="L4277" s="47" t="str">
        <f aca="false">IF(AND(J4277=1,N(I4277)&gt;0),SUMIF($K$2:$K$5001,"&gt;="&amp;K4277,$I$2:$I$5001)/MAX(1,SUM($H$2:$H$5001)),"")</f>
        <v/>
      </c>
      <c r="M4277" s="47" t="str">
        <f aca="false">IF($A4277="","",INDEX($L$2:$L$5001,MATCH($A4277,$A$2:$A$5001,0)))</f>
        <v/>
      </c>
      <c r="N4277" s="48" t="str">
        <f aca="false">IF($A4277="","",IF(N(M4277)=0,"–",IF(M4277&lt;=Start!$D$20,"A",IF(M4277&lt;=Start!$D$21,"B","C"))))</f>
        <v/>
      </c>
      <c r="O4277" s="48" t="str">
        <f aca="false">IF($A4277="","",IF(NOT(ISNUMBER(F4277)),"Wert fehlt; ",IF(F4277&lt;=0,"Wert ist 0; ",""))&amp;IF(NOT(ISNUMBER(E4277)),"Bestand fehlt; ",IF(E4277&lt;0,"Bestand negativ; ",IF(E4277=0,"Nullbestand; ","")))&amp;IF(D4277="","Warengruppe fehlt; ","")&amp;IF(B4277="","Bezeichnung fehlt; ","")&amp;IF(COUNTIFS($A$2:$A$5001,$A4277,$C$2:$C$5001,C4277)&gt;1,"Artikel doppelt im selben Lager; ",""))</f>
        <v/>
      </c>
      <c r="P4277" s="47" t="n">
        <f aca="false">IF(OR($A4277="",D4277=""),0,IF(COUNTIF($D$2:D4277,D4277)=1,SUMIF($D$2:$D$5001,D4277,$H$2:$H$5001)+ROW()/10000000,0))</f>
        <v>0</v>
      </c>
      <c r="Q4277" s="47" t="n">
        <f aca="false">IF(OR($A4277="",C4277=""),0,IF(COUNTIF($C$2:C4277,C4277)=1,SUMIF($C$2:$C$5001,C4277,$H$2:$H$5001)+ROW()/10000000,0))</f>
        <v>0</v>
      </c>
    </row>
    <row r="4278" customFormat="false" ht="15" hidden="false" customHeight="false" outlineLevel="0" collapsed="false">
      <c r="A4278" s="43"/>
      <c r="B4278" s="44"/>
      <c r="C4278" s="44"/>
      <c r="D4278" s="44"/>
      <c r="E4278" s="44"/>
      <c r="F4278" s="44"/>
      <c r="G4278" s="44"/>
      <c r="H4278" s="46" t="str">
        <f aca="false">IF($A4278="","",IF(OR(NOT(ISNUMBER(E4278)),NOT(ISNUMBER(F4278))),"",MAX(0,E4278)*F4278))</f>
        <v/>
      </c>
      <c r="I4278" s="46" t="str">
        <f aca="false">IF($A4278="","",SUMIF($A$2:$A$5001,$A4278,$H$2:$H$5001))</f>
        <v/>
      </c>
      <c r="J4278" s="47" t="n">
        <f aca="false">IF($A4278="",0,IF(COUNTIF($A$2:A4278,$A4278)=1,1,0))</f>
        <v>0</v>
      </c>
      <c r="K4278" s="47" t="n">
        <f aca="false">IF(J4278=1,N(I4278)+ROW()/10000000,0)</f>
        <v>0</v>
      </c>
      <c r="L4278" s="47" t="str">
        <f aca="false">IF(AND(J4278=1,N(I4278)&gt;0),SUMIF($K$2:$K$5001,"&gt;="&amp;K4278,$I$2:$I$5001)/MAX(1,SUM($H$2:$H$5001)),"")</f>
        <v/>
      </c>
      <c r="M4278" s="47" t="str">
        <f aca="false">IF($A4278="","",INDEX($L$2:$L$5001,MATCH($A4278,$A$2:$A$5001,0)))</f>
        <v/>
      </c>
      <c r="N4278" s="48" t="str">
        <f aca="false">IF($A4278="","",IF(N(M4278)=0,"–",IF(M4278&lt;=Start!$D$20,"A",IF(M4278&lt;=Start!$D$21,"B","C"))))</f>
        <v/>
      </c>
      <c r="O4278" s="48" t="str">
        <f aca="false">IF($A4278="","",IF(NOT(ISNUMBER(F4278)),"Wert fehlt; ",IF(F4278&lt;=0,"Wert ist 0; ",""))&amp;IF(NOT(ISNUMBER(E4278)),"Bestand fehlt; ",IF(E4278&lt;0,"Bestand negativ; ",IF(E4278=0,"Nullbestand; ","")))&amp;IF(D4278="","Warengruppe fehlt; ","")&amp;IF(B4278="","Bezeichnung fehlt; ","")&amp;IF(COUNTIFS($A$2:$A$5001,$A4278,$C$2:$C$5001,C4278)&gt;1,"Artikel doppelt im selben Lager; ",""))</f>
        <v/>
      </c>
      <c r="P4278" s="47" t="n">
        <f aca="false">IF(OR($A4278="",D4278=""),0,IF(COUNTIF($D$2:D4278,D4278)=1,SUMIF($D$2:$D$5001,D4278,$H$2:$H$5001)+ROW()/10000000,0))</f>
        <v>0</v>
      </c>
      <c r="Q4278" s="47" t="n">
        <f aca="false">IF(OR($A4278="",C4278=""),0,IF(COUNTIF($C$2:C4278,C4278)=1,SUMIF($C$2:$C$5001,C4278,$H$2:$H$5001)+ROW()/10000000,0))</f>
        <v>0</v>
      </c>
    </row>
    <row r="4279" customFormat="false" ht="15" hidden="false" customHeight="false" outlineLevel="0" collapsed="false">
      <c r="A4279" s="43"/>
      <c r="B4279" s="44"/>
      <c r="C4279" s="44"/>
      <c r="D4279" s="44"/>
      <c r="E4279" s="44"/>
      <c r="F4279" s="44"/>
      <c r="G4279" s="44"/>
      <c r="H4279" s="46" t="str">
        <f aca="false">IF($A4279="","",IF(OR(NOT(ISNUMBER(E4279)),NOT(ISNUMBER(F4279))),"",MAX(0,E4279)*F4279))</f>
        <v/>
      </c>
      <c r="I4279" s="46" t="str">
        <f aca="false">IF($A4279="","",SUMIF($A$2:$A$5001,$A4279,$H$2:$H$5001))</f>
        <v/>
      </c>
      <c r="J4279" s="47" t="n">
        <f aca="false">IF($A4279="",0,IF(COUNTIF($A$2:A4279,$A4279)=1,1,0))</f>
        <v>0</v>
      </c>
      <c r="K4279" s="47" t="n">
        <f aca="false">IF(J4279=1,N(I4279)+ROW()/10000000,0)</f>
        <v>0</v>
      </c>
      <c r="L4279" s="47" t="str">
        <f aca="false">IF(AND(J4279=1,N(I4279)&gt;0),SUMIF($K$2:$K$5001,"&gt;="&amp;K4279,$I$2:$I$5001)/MAX(1,SUM($H$2:$H$5001)),"")</f>
        <v/>
      </c>
      <c r="M4279" s="47" t="str">
        <f aca="false">IF($A4279="","",INDEX($L$2:$L$5001,MATCH($A4279,$A$2:$A$5001,0)))</f>
        <v/>
      </c>
      <c r="N4279" s="48" t="str">
        <f aca="false">IF($A4279="","",IF(N(M4279)=0,"–",IF(M4279&lt;=Start!$D$20,"A",IF(M4279&lt;=Start!$D$21,"B","C"))))</f>
        <v/>
      </c>
      <c r="O4279" s="48" t="str">
        <f aca="false">IF($A4279="","",IF(NOT(ISNUMBER(F4279)),"Wert fehlt; ",IF(F4279&lt;=0,"Wert ist 0; ",""))&amp;IF(NOT(ISNUMBER(E4279)),"Bestand fehlt; ",IF(E4279&lt;0,"Bestand negativ; ",IF(E4279=0,"Nullbestand; ","")))&amp;IF(D4279="","Warengruppe fehlt; ","")&amp;IF(B4279="","Bezeichnung fehlt; ","")&amp;IF(COUNTIFS($A$2:$A$5001,$A4279,$C$2:$C$5001,C4279)&gt;1,"Artikel doppelt im selben Lager; ",""))</f>
        <v/>
      </c>
      <c r="P4279" s="47" t="n">
        <f aca="false">IF(OR($A4279="",D4279=""),0,IF(COUNTIF($D$2:D4279,D4279)=1,SUMIF($D$2:$D$5001,D4279,$H$2:$H$5001)+ROW()/10000000,0))</f>
        <v>0</v>
      </c>
      <c r="Q4279" s="47" t="n">
        <f aca="false">IF(OR($A4279="",C4279=""),0,IF(COUNTIF($C$2:C4279,C4279)=1,SUMIF($C$2:$C$5001,C4279,$H$2:$H$5001)+ROW()/10000000,0))</f>
        <v>0</v>
      </c>
    </row>
    <row r="4280" customFormat="false" ht="15" hidden="false" customHeight="false" outlineLevel="0" collapsed="false">
      <c r="A4280" s="43"/>
      <c r="B4280" s="44"/>
      <c r="C4280" s="44"/>
      <c r="D4280" s="44"/>
      <c r="E4280" s="44"/>
      <c r="F4280" s="44"/>
      <c r="G4280" s="44"/>
      <c r="H4280" s="46" t="str">
        <f aca="false">IF($A4280="","",IF(OR(NOT(ISNUMBER(E4280)),NOT(ISNUMBER(F4280))),"",MAX(0,E4280)*F4280))</f>
        <v/>
      </c>
      <c r="I4280" s="46" t="str">
        <f aca="false">IF($A4280="","",SUMIF($A$2:$A$5001,$A4280,$H$2:$H$5001))</f>
        <v/>
      </c>
      <c r="J4280" s="47" t="n">
        <f aca="false">IF($A4280="",0,IF(COUNTIF($A$2:A4280,$A4280)=1,1,0))</f>
        <v>0</v>
      </c>
      <c r="K4280" s="47" t="n">
        <f aca="false">IF(J4280=1,N(I4280)+ROW()/10000000,0)</f>
        <v>0</v>
      </c>
      <c r="L4280" s="47" t="str">
        <f aca="false">IF(AND(J4280=1,N(I4280)&gt;0),SUMIF($K$2:$K$5001,"&gt;="&amp;K4280,$I$2:$I$5001)/MAX(1,SUM($H$2:$H$5001)),"")</f>
        <v/>
      </c>
      <c r="M4280" s="47" t="str">
        <f aca="false">IF($A4280="","",INDEX($L$2:$L$5001,MATCH($A4280,$A$2:$A$5001,0)))</f>
        <v/>
      </c>
      <c r="N4280" s="48" t="str">
        <f aca="false">IF($A4280="","",IF(N(M4280)=0,"–",IF(M4280&lt;=Start!$D$20,"A",IF(M4280&lt;=Start!$D$21,"B","C"))))</f>
        <v/>
      </c>
      <c r="O4280" s="48" t="str">
        <f aca="false">IF($A4280="","",IF(NOT(ISNUMBER(F4280)),"Wert fehlt; ",IF(F4280&lt;=0,"Wert ist 0; ",""))&amp;IF(NOT(ISNUMBER(E4280)),"Bestand fehlt; ",IF(E4280&lt;0,"Bestand negativ; ",IF(E4280=0,"Nullbestand; ","")))&amp;IF(D4280="","Warengruppe fehlt; ","")&amp;IF(B4280="","Bezeichnung fehlt; ","")&amp;IF(COUNTIFS($A$2:$A$5001,$A4280,$C$2:$C$5001,C4280)&gt;1,"Artikel doppelt im selben Lager; ",""))</f>
        <v/>
      </c>
      <c r="P4280" s="47" t="n">
        <f aca="false">IF(OR($A4280="",D4280=""),0,IF(COUNTIF($D$2:D4280,D4280)=1,SUMIF($D$2:$D$5001,D4280,$H$2:$H$5001)+ROW()/10000000,0))</f>
        <v>0</v>
      </c>
      <c r="Q4280" s="47" t="n">
        <f aca="false">IF(OR($A4280="",C4280=""),0,IF(COUNTIF($C$2:C4280,C4280)=1,SUMIF($C$2:$C$5001,C4280,$H$2:$H$5001)+ROW()/10000000,0))</f>
        <v>0</v>
      </c>
    </row>
    <row r="4281" customFormat="false" ht="15" hidden="false" customHeight="false" outlineLevel="0" collapsed="false">
      <c r="A4281" s="43"/>
      <c r="B4281" s="44"/>
      <c r="C4281" s="44"/>
      <c r="D4281" s="44"/>
      <c r="E4281" s="44"/>
      <c r="F4281" s="44"/>
      <c r="G4281" s="44"/>
      <c r="H4281" s="46" t="str">
        <f aca="false">IF($A4281="","",IF(OR(NOT(ISNUMBER(E4281)),NOT(ISNUMBER(F4281))),"",MAX(0,E4281)*F4281))</f>
        <v/>
      </c>
      <c r="I4281" s="46" t="str">
        <f aca="false">IF($A4281="","",SUMIF($A$2:$A$5001,$A4281,$H$2:$H$5001))</f>
        <v/>
      </c>
      <c r="J4281" s="47" t="n">
        <f aca="false">IF($A4281="",0,IF(COUNTIF($A$2:A4281,$A4281)=1,1,0))</f>
        <v>0</v>
      </c>
      <c r="K4281" s="47" t="n">
        <f aca="false">IF(J4281=1,N(I4281)+ROW()/10000000,0)</f>
        <v>0</v>
      </c>
      <c r="L4281" s="47" t="str">
        <f aca="false">IF(AND(J4281=1,N(I4281)&gt;0),SUMIF($K$2:$K$5001,"&gt;="&amp;K4281,$I$2:$I$5001)/MAX(1,SUM($H$2:$H$5001)),"")</f>
        <v/>
      </c>
      <c r="M4281" s="47" t="str">
        <f aca="false">IF($A4281="","",INDEX($L$2:$L$5001,MATCH($A4281,$A$2:$A$5001,0)))</f>
        <v/>
      </c>
      <c r="N4281" s="48" t="str">
        <f aca="false">IF($A4281="","",IF(N(M4281)=0,"–",IF(M4281&lt;=Start!$D$20,"A",IF(M4281&lt;=Start!$D$21,"B","C"))))</f>
        <v/>
      </c>
      <c r="O4281" s="48" t="str">
        <f aca="false">IF($A4281="","",IF(NOT(ISNUMBER(F4281)),"Wert fehlt; ",IF(F4281&lt;=0,"Wert ist 0; ",""))&amp;IF(NOT(ISNUMBER(E4281)),"Bestand fehlt; ",IF(E4281&lt;0,"Bestand negativ; ",IF(E4281=0,"Nullbestand; ","")))&amp;IF(D4281="","Warengruppe fehlt; ","")&amp;IF(B4281="","Bezeichnung fehlt; ","")&amp;IF(COUNTIFS($A$2:$A$5001,$A4281,$C$2:$C$5001,C4281)&gt;1,"Artikel doppelt im selben Lager; ",""))</f>
        <v/>
      </c>
      <c r="P4281" s="47" t="n">
        <f aca="false">IF(OR($A4281="",D4281=""),0,IF(COUNTIF($D$2:D4281,D4281)=1,SUMIF($D$2:$D$5001,D4281,$H$2:$H$5001)+ROW()/10000000,0))</f>
        <v>0</v>
      </c>
      <c r="Q4281" s="47" t="n">
        <f aca="false">IF(OR($A4281="",C4281=""),0,IF(COUNTIF($C$2:C4281,C4281)=1,SUMIF($C$2:$C$5001,C4281,$H$2:$H$5001)+ROW()/10000000,0))</f>
        <v>0</v>
      </c>
    </row>
    <row r="4282" customFormat="false" ht="15" hidden="false" customHeight="false" outlineLevel="0" collapsed="false">
      <c r="A4282" s="43"/>
      <c r="B4282" s="44"/>
      <c r="C4282" s="44"/>
      <c r="D4282" s="44"/>
      <c r="E4282" s="44"/>
      <c r="F4282" s="44"/>
      <c r="G4282" s="44"/>
      <c r="H4282" s="46" t="str">
        <f aca="false">IF($A4282="","",IF(OR(NOT(ISNUMBER(E4282)),NOT(ISNUMBER(F4282))),"",MAX(0,E4282)*F4282))</f>
        <v/>
      </c>
      <c r="I4282" s="46" t="str">
        <f aca="false">IF($A4282="","",SUMIF($A$2:$A$5001,$A4282,$H$2:$H$5001))</f>
        <v/>
      </c>
      <c r="J4282" s="47" t="n">
        <f aca="false">IF($A4282="",0,IF(COUNTIF($A$2:A4282,$A4282)=1,1,0))</f>
        <v>0</v>
      </c>
      <c r="K4282" s="47" t="n">
        <f aca="false">IF(J4282=1,N(I4282)+ROW()/10000000,0)</f>
        <v>0</v>
      </c>
      <c r="L4282" s="47" t="str">
        <f aca="false">IF(AND(J4282=1,N(I4282)&gt;0),SUMIF($K$2:$K$5001,"&gt;="&amp;K4282,$I$2:$I$5001)/MAX(1,SUM($H$2:$H$5001)),"")</f>
        <v/>
      </c>
      <c r="M4282" s="47" t="str">
        <f aca="false">IF($A4282="","",INDEX($L$2:$L$5001,MATCH($A4282,$A$2:$A$5001,0)))</f>
        <v/>
      </c>
      <c r="N4282" s="48" t="str">
        <f aca="false">IF($A4282="","",IF(N(M4282)=0,"–",IF(M4282&lt;=Start!$D$20,"A",IF(M4282&lt;=Start!$D$21,"B","C"))))</f>
        <v/>
      </c>
      <c r="O4282" s="48" t="str">
        <f aca="false">IF($A4282="","",IF(NOT(ISNUMBER(F4282)),"Wert fehlt; ",IF(F4282&lt;=0,"Wert ist 0; ",""))&amp;IF(NOT(ISNUMBER(E4282)),"Bestand fehlt; ",IF(E4282&lt;0,"Bestand negativ; ",IF(E4282=0,"Nullbestand; ","")))&amp;IF(D4282="","Warengruppe fehlt; ","")&amp;IF(B4282="","Bezeichnung fehlt; ","")&amp;IF(COUNTIFS($A$2:$A$5001,$A4282,$C$2:$C$5001,C4282)&gt;1,"Artikel doppelt im selben Lager; ",""))</f>
        <v/>
      </c>
      <c r="P4282" s="47" t="n">
        <f aca="false">IF(OR($A4282="",D4282=""),0,IF(COUNTIF($D$2:D4282,D4282)=1,SUMIF($D$2:$D$5001,D4282,$H$2:$H$5001)+ROW()/10000000,0))</f>
        <v>0</v>
      </c>
      <c r="Q4282" s="47" t="n">
        <f aca="false">IF(OR($A4282="",C4282=""),0,IF(COUNTIF($C$2:C4282,C4282)=1,SUMIF($C$2:$C$5001,C4282,$H$2:$H$5001)+ROW()/10000000,0))</f>
        <v>0</v>
      </c>
    </row>
    <row r="4283" customFormat="false" ht="15" hidden="false" customHeight="false" outlineLevel="0" collapsed="false">
      <c r="A4283" s="43"/>
      <c r="B4283" s="44"/>
      <c r="C4283" s="44"/>
      <c r="D4283" s="44"/>
      <c r="E4283" s="44"/>
      <c r="F4283" s="44"/>
      <c r="G4283" s="44"/>
      <c r="H4283" s="46" t="str">
        <f aca="false">IF($A4283="","",IF(OR(NOT(ISNUMBER(E4283)),NOT(ISNUMBER(F4283))),"",MAX(0,E4283)*F4283))</f>
        <v/>
      </c>
      <c r="I4283" s="46" t="str">
        <f aca="false">IF($A4283="","",SUMIF($A$2:$A$5001,$A4283,$H$2:$H$5001))</f>
        <v/>
      </c>
      <c r="J4283" s="47" t="n">
        <f aca="false">IF($A4283="",0,IF(COUNTIF($A$2:A4283,$A4283)=1,1,0))</f>
        <v>0</v>
      </c>
      <c r="K4283" s="47" t="n">
        <f aca="false">IF(J4283=1,N(I4283)+ROW()/10000000,0)</f>
        <v>0</v>
      </c>
      <c r="L4283" s="47" t="str">
        <f aca="false">IF(AND(J4283=1,N(I4283)&gt;0),SUMIF($K$2:$K$5001,"&gt;="&amp;K4283,$I$2:$I$5001)/MAX(1,SUM($H$2:$H$5001)),"")</f>
        <v/>
      </c>
      <c r="M4283" s="47" t="str">
        <f aca="false">IF($A4283="","",INDEX($L$2:$L$5001,MATCH($A4283,$A$2:$A$5001,0)))</f>
        <v/>
      </c>
      <c r="N4283" s="48" t="str">
        <f aca="false">IF($A4283="","",IF(N(M4283)=0,"–",IF(M4283&lt;=Start!$D$20,"A",IF(M4283&lt;=Start!$D$21,"B","C"))))</f>
        <v/>
      </c>
      <c r="O4283" s="48" t="str">
        <f aca="false">IF($A4283="","",IF(NOT(ISNUMBER(F4283)),"Wert fehlt; ",IF(F4283&lt;=0,"Wert ist 0; ",""))&amp;IF(NOT(ISNUMBER(E4283)),"Bestand fehlt; ",IF(E4283&lt;0,"Bestand negativ; ",IF(E4283=0,"Nullbestand; ","")))&amp;IF(D4283="","Warengruppe fehlt; ","")&amp;IF(B4283="","Bezeichnung fehlt; ","")&amp;IF(COUNTIFS($A$2:$A$5001,$A4283,$C$2:$C$5001,C4283)&gt;1,"Artikel doppelt im selben Lager; ",""))</f>
        <v/>
      </c>
      <c r="P4283" s="47" t="n">
        <f aca="false">IF(OR($A4283="",D4283=""),0,IF(COUNTIF($D$2:D4283,D4283)=1,SUMIF($D$2:$D$5001,D4283,$H$2:$H$5001)+ROW()/10000000,0))</f>
        <v>0</v>
      </c>
      <c r="Q4283" s="47" t="n">
        <f aca="false">IF(OR($A4283="",C4283=""),0,IF(COUNTIF($C$2:C4283,C4283)=1,SUMIF($C$2:$C$5001,C4283,$H$2:$H$5001)+ROW()/10000000,0))</f>
        <v>0</v>
      </c>
    </row>
    <row r="4284" customFormat="false" ht="15" hidden="false" customHeight="false" outlineLevel="0" collapsed="false">
      <c r="A4284" s="43"/>
      <c r="B4284" s="44"/>
      <c r="C4284" s="44"/>
      <c r="D4284" s="44"/>
      <c r="E4284" s="44"/>
      <c r="F4284" s="44"/>
      <c r="G4284" s="44"/>
      <c r="H4284" s="46" t="str">
        <f aca="false">IF($A4284="","",IF(OR(NOT(ISNUMBER(E4284)),NOT(ISNUMBER(F4284))),"",MAX(0,E4284)*F4284))</f>
        <v/>
      </c>
      <c r="I4284" s="46" t="str">
        <f aca="false">IF($A4284="","",SUMIF($A$2:$A$5001,$A4284,$H$2:$H$5001))</f>
        <v/>
      </c>
      <c r="J4284" s="47" t="n">
        <f aca="false">IF($A4284="",0,IF(COUNTIF($A$2:A4284,$A4284)=1,1,0))</f>
        <v>0</v>
      </c>
      <c r="K4284" s="47" t="n">
        <f aca="false">IF(J4284=1,N(I4284)+ROW()/10000000,0)</f>
        <v>0</v>
      </c>
      <c r="L4284" s="47" t="str">
        <f aca="false">IF(AND(J4284=1,N(I4284)&gt;0),SUMIF($K$2:$K$5001,"&gt;="&amp;K4284,$I$2:$I$5001)/MAX(1,SUM($H$2:$H$5001)),"")</f>
        <v/>
      </c>
      <c r="M4284" s="47" t="str">
        <f aca="false">IF($A4284="","",INDEX($L$2:$L$5001,MATCH($A4284,$A$2:$A$5001,0)))</f>
        <v/>
      </c>
      <c r="N4284" s="48" t="str">
        <f aca="false">IF($A4284="","",IF(N(M4284)=0,"–",IF(M4284&lt;=Start!$D$20,"A",IF(M4284&lt;=Start!$D$21,"B","C"))))</f>
        <v/>
      </c>
      <c r="O4284" s="48" t="str">
        <f aca="false">IF($A4284="","",IF(NOT(ISNUMBER(F4284)),"Wert fehlt; ",IF(F4284&lt;=0,"Wert ist 0; ",""))&amp;IF(NOT(ISNUMBER(E4284)),"Bestand fehlt; ",IF(E4284&lt;0,"Bestand negativ; ",IF(E4284=0,"Nullbestand; ","")))&amp;IF(D4284="","Warengruppe fehlt; ","")&amp;IF(B4284="","Bezeichnung fehlt; ","")&amp;IF(COUNTIFS($A$2:$A$5001,$A4284,$C$2:$C$5001,C4284)&gt;1,"Artikel doppelt im selben Lager; ",""))</f>
        <v/>
      </c>
      <c r="P4284" s="47" t="n">
        <f aca="false">IF(OR($A4284="",D4284=""),0,IF(COUNTIF($D$2:D4284,D4284)=1,SUMIF($D$2:$D$5001,D4284,$H$2:$H$5001)+ROW()/10000000,0))</f>
        <v>0</v>
      </c>
      <c r="Q4284" s="47" t="n">
        <f aca="false">IF(OR($A4284="",C4284=""),0,IF(COUNTIF($C$2:C4284,C4284)=1,SUMIF($C$2:$C$5001,C4284,$H$2:$H$5001)+ROW()/10000000,0))</f>
        <v>0</v>
      </c>
    </row>
    <row r="4285" customFormat="false" ht="15" hidden="false" customHeight="false" outlineLevel="0" collapsed="false">
      <c r="A4285" s="43"/>
      <c r="B4285" s="44"/>
      <c r="C4285" s="44"/>
      <c r="D4285" s="44"/>
      <c r="E4285" s="44"/>
      <c r="F4285" s="44"/>
      <c r="G4285" s="44"/>
      <c r="H4285" s="46" t="str">
        <f aca="false">IF($A4285="","",IF(OR(NOT(ISNUMBER(E4285)),NOT(ISNUMBER(F4285))),"",MAX(0,E4285)*F4285))</f>
        <v/>
      </c>
      <c r="I4285" s="46" t="str">
        <f aca="false">IF($A4285="","",SUMIF($A$2:$A$5001,$A4285,$H$2:$H$5001))</f>
        <v/>
      </c>
      <c r="J4285" s="47" t="n">
        <f aca="false">IF($A4285="",0,IF(COUNTIF($A$2:A4285,$A4285)=1,1,0))</f>
        <v>0</v>
      </c>
      <c r="K4285" s="47" t="n">
        <f aca="false">IF(J4285=1,N(I4285)+ROW()/10000000,0)</f>
        <v>0</v>
      </c>
      <c r="L4285" s="47" t="str">
        <f aca="false">IF(AND(J4285=1,N(I4285)&gt;0),SUMIF($K$2:$K$5001,"&gt;="&amp;K4285,$I$2:$I$5001)/MAX(1,SUM($H$2:$H$5001)),"")</f>
        <v/>
      </c>
      <c r="M4285" s="47" t="str">
        <f aca="false">IF($A4285="","",INDEX($L$2:$L$5001,MATCH($A4285,$A$2:$A$5001,0)))</f>
        <v/>
      </c>
      <c r="N4285" s="48" t="str">
        <f aca="false">IF($A4285="","",IF(N(M4285)=0,"–",IF(M4285&lt;=Start!$D$20,"A",IF(M4285&lt;=Start!$D$21,"B","C"))))</f>
        <v/>
      </c>
      <c r="O4285" s="48" t="str">
        <f aca="false">IF($A4285="","",IF(NOT(ISNUMBER(F4285)),"Wert fehlt; ",IF(F4285&lt;=0,"Wert ist 0; ",""))&amp;IF(NOT(ISNUMBER(E4285)),"Bestand fehlt; ",IF(E4285&lt;0,"Bestand negativ; ",IF(E4285=0,"Nullbestand; ","")))&amp;IF(D4285="","Warengruppe fehlt; ","")&amp;IF(B4285="","Bezeichnung fehlt; ","")&amp;IF(COUNTIFS($A$2:$A$5001,$A4285,$C$2:$C$5001,C4285)&gt;1,"Artikel doppelt im selben Lager; ",""))</f>
        <v/>
      </c>
      <c r="P4285" s="47" t="n">
        <f aca="false">IF(OR($A4285="",D4285=""),0,IF(COUNTIF($D$2:D4285,D4285)=1,SUMIF($D$2:$D$5001,D4285,$H$2:$H$5001)+ROW()/10000000,0))</f>
        <v>0</v>
      </c>
      <c r="Q4285" s="47" t="n">
        <f aca="false">IF(OR($A4285="",C4285=""),0,IF(COUNTIF($C$2:C4285,C4285)=1,SUMIF($C$2:$C$5001,C4285,$H$2:$H$5001)+ROW()/10000000,0))</f>
        <v>0</v>
      </c>
    </row>
    <row r="4286" customFormat="false" ht="15" hidden="false" customHeight="false" outlineLevel="0" collapsed="false">
      <c r="A4286" s="43"/>
      <c r="B4286" s="44"/>
      <c r="C4286" s="44"/>
      <c r="D4286" s="44"/>
      <c r="E4286" s="44"/>
      <c r="F4286" s="44"/>
      <c r="G4286" s="44"/>
      <c r="H4286" s="46" t="str">
        <f aca="false">IF($A4286="","",IF(OR(NOT(ISNUMBER(E4286)),NOT(ISNUMBER(F4286))),"",MAX(0,E4286)*F4286))</f>
        <v/>
      </c>
      <c r="I4286" s="46" t="str">
        <f aca="false">IF($A4286="","",SUMIF($A$2:$A$5001,$A4286,$H$2:$H$5001))</f>
        <v/>
      </c>
      <c r="J4286" s="47" t="n">
        <f aca="false">IF($A4286="",0,IF(COUNTIF($A$2:A4286,$A4286)=1,1,0))</f>
        <v>0</v>
      </c>
      <c r="K4286" s="47" t="n">
        <f aca="false">IF(J4286=1,N(I4286)+ROW()/10000000,0)</f>
        <v>0</v>
      </c>
      <c r="L4286" s="47" t="str">
        <f aca="false">IF(AND(J4286=1,N(I4286)&gt;0),SUMIF($K$2:$K$5001,"&gt;="&amp;K4286,$I$2:$I$5001)/MAX(1,SUM($H$2:$H$5001)),"")</f>
        <v/>
      </c>
      <c r="M4286" s="47" t="str">
        <f aca="false">IF($A4286="","",INDEX($L$2:$L$5001,MATCH($A4286,$A$2:$A$5001,0)))</f>
        <v/>
      </c>
      <c r="N4286" s="48" t="str">
        <f aca="false">IF($A4286="","",IF(N(M4286)=0,"–",IF(M4286&lt;=Start!$D$20,"A",IF(M4286&lt;=Start!$D$21,"B","C"))))</f>
        <v/>
      </c>
      <c r="O4286" s="48" t="str">
        <f aca="false">IF($A4286="","",IF(NOT(ISNUMBER(F4286)),"Wert fehlt; ",IF(F4286&lt;=0,"Wert ist 0; ",""))&amp;IF(NOT(ISNUMBER(E4286)),"Bestand fehlt; ",IF(E4286&lt;0,"Bestand negativ; ",IF(E4286=0,"Nullbestand; ","")))&amp;IF(D4286="","Warengruppe fehlt; ","")&amp;IF(B4286="","Bezeichnung fehlt; ","")&amp;IF(COUNTIFS($A$2:$A$5001,$A4286,$C$2:$C$5001,C4286)&gt;1,"Artikel doppelt im selben Lager; ",""))</f>
        <v/>
      </c>
      <c r="P4286" s="47" t="n">
        <f aca="false">IF(OR($A4286="",D4286=""),0,IF(COUNTIF($D$2:D4286,D4286)=1,SUMIF($D$2:$D$5001,D4286,$H$2:$H$5001)+ROW()/10000000,0))</f>
        <v>0</v>
      </c>
      <c r="Q4286" s="47" t="n">
        <f aca="false">IF(OR($A4286="",C4286=""),0,IF(COUNTIF($C$2:C4286,C4286)=1,SUMIF($C$2:$C$5001,C4286,$H$2:$H$5001)+ROW()/10000000,0))</f>
        <v>0</v>
      </c>
    </row>
    <row r="4287" customFormat="false" ht="15" hidden="false" customHeight="false" outlineLevel="0" collapsed="false">
      <c r="A4287" s="43"/>
      <c r="B4287" s="44"/>
      <c r="C4287" s="44"/>
      <c r="D4287" s="44"/>
      <c r="E4287" s="44"/>
      <c r="F4287" s="44"/>
      <c r="G4287" s="44"/>
      <c r="H4287" s="46" t="str">
        <f aca="false">IF($A4287="","",IF(OR(NOT(ISNUMBER(E4287)),NOT(ISNUMBER(F4287))),"",MAX(0,E4287)*F4287))</f>
        <v/>
      </c>
      <c r="I4287" s="46" t="str">
        <f aca="false">IF($A4287="","",SUMIF($A$2:$A$5001,$A4287,$H$2:$H$5001))</f>
        <v/>
      </c>
      <c r="J4287" s="47" t="n">
        <f aca="false">IF($A4287="",0,IF(COUNTIF($A$2:A4287,$A4287)=1,1,0))</f>
        <v>0</v>
      </c>
      <c r="K4287" s="47" t="n">
        <f aca="false">IF(J4287=1,N(I4287)+ROW()/10000000,0)</f>
        <v>0</v>
      </c>
      <c r="L4287" s="47" t="str">
        <f aca="false">IF(AND(J4287=1,N(I4287)&gt;0),SUMIF($K$2:$K$5001,"&gt;="&amp;K4287,$I$2:$I$5001)/MAX(1,SUM($H$2:$H$5001)),"")</f>
        <v/>
      </c>
      <c r="M4287" s="47" t="str">
        <f aca="false">IF($A4287="","",INDEX($L$2:$L$5001,MATCH($A4287,$A$2:$A$5001,0)))</f>
        <v/>
      </c>
      <c r="N4287" s="48" t="str">
        <f aca="false">IF($A4287="","",IF(N(M4287)=0,"–",IF(M4287&lt;=Start!$D$20,"A",IF(M4287&lt;=Start!$D$21,"B","C"))))</f>
        <v/>
      </c>
      <c r="O4287" s="48" t="str">
        <f aca="false">IF($A4287="","",IF(NOT(ISNUMBER(F4287)),"Wert fehlt; ",IF(F4287&lt;=0,"Wert ist 0; ",""))&amp;IF(NOT(ISNUMBER(E4287)),"Bestand fehlt; ",IF(E4287&lt;0,"Bestand negativ; ",IF(E4287=0,"Nullbestand; ","")))&amp;IF(D4287="","Warengruppe fehlt; ","")&amp;IF(B4287="","Bezeichnung fehlt; ","")&amp;IF(COUNTIFS($A$2:$A$5001,$A4287,$C$2:$C$5001,C4287)&gt;1,"Artikel doppelt im selben Lager; ",""))</f>
        <v/>
      </c>
      <c r="P4287" s="47" t="n">
        <f aca="false">IF(OR($A4287="",D4287=""),0,IF(COUNTIF($D$2:D4287,D4287)=1,SUMIF($D$2:$D$5001,D4287,$H$2:$H$5001)+ROW()/10000000,0))</f>
        <v>0</v>
      </c>
      <c r="Q4287" s="47" t="n">
        <f aca="false">IF(OR($A4287="",C4287=""),0,IF(COUNTIF($C$2:C4287,C4287)=1,SUMIF($C$2:$C$5001,C4287,$H$2:$H$5001)+ROW()/10000000,0))</f>
        <v>0</v>
      </c>
    </row>
    <row r="4288" customFormat="false" ht="15" hidden="false" customHeight="false" outlineLevel="0" collapsed="false">
      <c r="A4288" s="43"/>
      <c r="B4288" s="44"/>
      <c r="C4288" s="44"/>
      <c r="D4288" s="44"/>
      <c r="E4288" s="44"/>
      <c r="F4288" s="44"/>
      <c r="G4288" s="44"/>
      <c r="H4288" s="46" t="str">
        <f aca="false">IF($A4288="","",IF(OR(NOT(ISNUMBER(E4288)),NOT(ISNUMBER(F4288))),"",MAX(0,E4288)*F4288))</f>
        <v/>
      </c>
      <c r="I4288" s="46" t="str">
        <f aca="false">IF($A4288="","",SUMIF($A$2:$A$5001,$A4288,$H$2:$H$5001))</f>
        <v/>
      </c>
      <c r="J4288" s="47" t="n">
        <f aca="false">IF($A4288="",0,IF(COUNTIF($A$2:A4288,$A4288)=1,1,0))</f>
        <v>0</v>
      </c>
      <c r="K4288" s="47" t="n">
        <f aca="false">IF(J4288=1,N(I4288)+ROW()/10000000,0)</f>
        <v>0</v>
      </c>
      <c r="L4288" s="47" t="str">
        <f aca="false">IF(AND(J4288=1,N(I4288)&gt;0),SUMIF($K$2:$K$5001,"&gt;="&amp;K4288,$I$2:$I$5001)/MAX(1,SUM($H$2:$H$5001)),"")</f>
        <v/>
      </c>
      <c r="M4288" s="47" t="str">
        <f aca="false">IF($A4288="","",INDEX($L$2:$L$5001,MATCH($A4288,$A$2:$A$5001,0)))</f>
        <v/>
      </c>
      <c r="N4288" s="48" t="str">
        <f aca="false">IF($A4288="","",IF(N(M4288)=0,"–",IF(M4288&lt;=Start!$D$20,"A",IF(M4288&lt;=Start!$D$21,"B","C"))))</f>
        <v/>
      </c>
      <c r="O4288" s="48" t="str">
        <f aca="false">IF($A4288="","",IF(NOT(ISNUMBER(F4288)),"Wert fehlt; ",IF(F4288&lt;=0,"Wert ist 0; ",""))&amp;IF(NOT(ISNUMBER(E4288)),"Bestand fehlt; ",IF(E4288&lt;0,"Bestand negativ; ",IF(E4288=0,"Nullbestand; ","")))&amp;IF(D4288="","Warengruppe fehlt; ","")&amp;IF(B4288="","Bezeichnung fehlt; ","")&amp;IF(COUNTIFS($A$2:$A$5001,$A4288,$C$2:$C$5001,C4288)&gt;1,"Artikel doppelt im selben Lager; ",""))</f>
        <v/>
      </c>
      <c r="P4288" s="47" t="n">
        <f aca="false">IF(OR($A4288="",D4288=""),0,IF(COUNTIF($D$2:D4288,D4288)=1,SUMIF($D$2:$D$5001,D4288,$H$2:$H$5001)+ROW()/10000000,0))</f>
        <v>0</v>
      </c>
      <c r="Q4288" s="47" t="n">
        <f aca="false">IF(OR($A4288="",C4288=""),0,IF(COUNTIF($C$2:C4288,C4288)=1,SUMIF($C$2:$C$5001,C4288,$H$2:$H$5001)+ROW()/10000000,0))</f>
        <v>0</v>
      </c>
    </row>
    <row r="4289" customFormat="false" ht="15" hidden="false" customHeight="false" outlineLevel="0" collapsed="false">
      <c r="A4289" s="43"/>
      <c r="B4289" s="44"/>
      <c r="C4289" s="44"/>
      <c r="D4289" s="44"/>
      <c r="E4289" s="44"/>
      <c r="F4289" s="44"/>
      <c r="G4289" s="44"/>
      <c r="H4289" s="46" t="str">
        <f aca="false">IF($A4289="","",IF(OR(NOT(ISNUMBER(E4289)),NOT(ISNUMBER(F4289))),"",MAX(0,E4289)*F4289))</f>
        <v/>
      </c>
      <c r="I4289" s="46" t="str">
        <f aca="false">IF($A4289="","",SUMIF($A$2:$A$5001,$A4289,$H$2:$H$5001))</f>
        <v/>
      </c>
      <c r="J4289" s="47" t="n">
        <f aca="false">IF($A4289="",0,IF(COUNTIF($A$2:A4289,$A4289)=1,1,0))</f>
        <v>0</v>
      </c>
      <c r="K4289" s="47" t="n">
        <f aca="false">IF(J4289=1,N(I4289)+ROW()/10000000,0)</f>
        <v>0</v>
      </c>
      <c r="L4289" s="47" t="str">
        <f aca="false">IF(AND(J4289=1,N(I4289)&gt;0),SUMIF($K$2:$K$5001,"&gt;="&amp;K4289,$I$2:$I$5001)/MAX(1,SUM($H$2:$H$5001)),"")</f>
        <v/>
      </c>
      <c r="M4289" s="47" t="str">
        <f aca="false">IF($A4289="","",INDEX($L$2:$L$5001,MATCH($A4289,$A$2:$A$5001,0)))</f>
        <v/>
      </c>
      <c r="N4289" s="48" t="str">
        <f aca="false">IF($A4289="","",IF(N(M4289)=0,"–",IF(M4289&lt;=Start!$D$20,"A",IF(M4289&lt;=Start!$D$21,"B","C"))))</f>
        <v/>
      </c>
      <c r="O4289" s="48" t="str">
        <f aca="false">IF($A4289="","",IF(NOT(ISNUMBER(F4289)),"Wert fehlt; ",IF(F4289&lt;=0,"Wert ist 0; ",""))&amp;IF(NOT(ISNUMBER(E4289)),"Bestand fehlt; ",IF(E4289&lt;0,"Bestand negativ; ",IF(E4289=0,"Nullbestand; ","")))&amp;IF(D4289="","Warengruppe fehlt; ","")&amp;IF(B4289="","Bezeichnung fehlt; ","")&amp;IF(COUNTIFS($A$2:$A$5001,$A4289,$C$2:$C$5001,C4289)&gt;1,"Artikel doppelt im selben Lager; ",""))</f>
        <v/>
      </c>
      <c r="P4289" s="47" t="n">
        <f aca="false">IF(OR($A4289="",D4289=""),0,IF(COUNTIF($D$2:D4289,D4289)=1,SUMIF($D$2:$D$5001,D4289,$H$2:$H$5001)+ROW()/10000000,0))</f>
        <v>0</v>
      </c>
      <c r="Q4289" s="47" t="n">
        <f aca="false">IF(OR($A4289="",C4289=""),0,IF(COUNTIF($C$2:C4289,C4289)=1,SUMIF($C$2:$C$5001,C4289,$H$2:$H$5001)+ROW()/10000000,0))</f>
        <v>0</v>
      </c>
    </row>
    <row r="4290" customFormat="false" ht="15" hidden="false" customHeight="false" outlineLevel="0" collapsed="false">
      <c r="A4290" s="43"/>
      <c r="B4290" s="44"/>
      <c r="C4290" s="44"/>
      <c r="D4290" s="44"/>
      <c r="E4290" s="44"/>
      <c r="F4290" s="44"/>
      <c r="G4290" s="44"/>
      <c r="H4290" s="46" t="str">
        <f aca="false">IF($A4290="","",IF(OR(NOT(ISNUMBER(E4290)),NOT(ISNUMBER(F4290))),"",MAX(0,E4290)*F4290))</f>
        <v/>
      </c>
      <c r="I4290" s="46" t="str">
        <f aca="false">IF($A4290="","",SUMIF($A$2:$A$5001,$A4290,$H$2:$H$5001))</f>
        <v/>
      </c>
      <c r="J4290" s="47" t="n">
        <f aca="false">IF($A4290="",0,IF(COUNTIF($A$2:A4290,$A4290)=1,1,0))</f>
        <v>0</v>
      </c>
      <c r="K4290" s="47" t="n">
        <f aca="false">IF(J4290=1,N(I4290)+ROW()/10000000,0)</f>
        <v>0</v>
      </c>
      <c r="L4290" s="47" t="str">
        <f aca="false">IF(AND(J4290=1,N(I4290)&gt;0),SUMIF($K$2:$K$5001,"&gt;="&amp;K4290,$I$2:$I$5001)/MAX(1,SUM($H$2:$H$5001)),"")</f>
        <v/>
      </c>
      <c r="M4290" s="47" t="str">
        <f aca="false">IF($A4290="","",INDEX($L$2:$L$5001,MATCH($A4290,$A$2:$A$5001,0)))</f>
        <v/>
      </c>
      <c r="N4290" s="48" t="str">
        <f aca="false">IF($A4290="","",IF(N(M4290)=0,"–",IF(M4290&lt;=Start!$D$20,"A",IF(M4290&lt;=Start!$D$21,"B","C"))))</f>
        <v/>
      </c>
      <c r="O4290" s="48" t="str">
        <f aca="false">IF($A4290="","",IF(NOT(ISNUMBER(F4290)),"Wert fehlt; ",IF(F4290&lt;=0,"Wert ist 0; ",""))&amp;IF(NOT(ISNUMBER(E4290)),"Bestand fehlt; ",IF(E4290&lt;0,"Bestand negativ; ",IF(E4290=0,"Nullbestand; ","")))&amp;IF(D4290="","Warengruppe fehlt; ","")&amp;IF(B4290="","Bezeichnung fehlt; ","")&amp;IF(COUNTIFS($A$2:$A$5001,$A4290,$C$2:$C$5001,C4290)&gt;1,"Artikel doppelt im selben Lager; ",""))</f>
        <v/>
      </c>
      <c r="P4290" s="47" t="n">
        <f aca="false">IF(OR($A4290="",D4290=""),0,IF(COUNTIF($D$2:D4290,D4290)=1,SUMIF($D$2:$D$5001,D4290,$H$2:$H$5001)+ROW()/10000000,0))</f>
        <v>0</v>
      </c>
      <c r="Q4290" s="47" t="n">
        <f aca="false">IF(OR($A4290="",C4290=""),0,IF(COUNTIF($C$2:C4290,C4290)=1,SUMIF($C$2:$C$5001,C4290,$H$2:$H$5001)+ROW()/10000000,0))</f>
        <v>0</v>
      </c>
    </row>
    <row r="4291" customFormat="false" ht="15" hidden="false" customHeight="false" outlineLevel="0" collapsed="false">
      <c r="A4291" s="43"/>
      <c r="B4291" s="44"/>
      <c r="C4291" s="44"/>
      <c r="D4291" s="44"/>
      <c r="E4291" s="44"/>
      <c r="F4291" s="44"/>
      <c r="G4291" s="44"/>
      <c r="H4291" s="46" t="str">
        <f aca="false">IF($A4291="","",IF(OR(NOT(ISNUMBER(E4291)),NOT(ISNUMBER(F4291))),"",MAX(0,E4291)*F4291))</f>
        <v/>
      </c>
      <c r="I4291" s="46" t="str">
        <f aca="false">IF($A4291="","",SUMIF($A$2:$A$5001,$A4291,$H$2:$H$5001))</f>
        <v/>
      </c>
      <c r="J4291" s="47" t="n">
        <f aca="false">IF($A4291="",0,IF(COUNTIF($A$2:A4291,$A4291)=1,1,0))</f>
        <v>0</v>
      </c>
      <c r="K4291" s="47" t="n">
        <f aca="false">IF(J4291=1,N(I4291)+ROW()/10000000,0)</f>
        <v>0</v>
      </c>
      <c r="L4291" s="47" t="str">
        <f aca="false">IF(AND(J4291=1,N(I4291)&gt;0),SUMIF($K$2:$K$5001,"&gt;="&amp;K4291,$I$2:$I$5001)/MAX(1,SUM($H$2:$H$5001)),"")</f>
        <v/>
      </c>
      <c r="M4291" s="47" t="str">
        <f aca="false">IF($A4291="","",INDEX($L$2:$L$5001,MATCH($A4291,$A$2:$A$5001,0)))</f>
        <v/>
      </c>
      <c r="N4291" s="48" t="str">
        <f aca="false">IF($A4291="","",IF(N(M4291)=0,"–",IF(M4291&lt;=Start!$D$20,"A",IF(M4291&lt;=Start!$D$21,"B","C"))))</f>
        <v/>
      </c>
      <c r="O4291" s="48" t="str">
        <f aca="false">IF($A4291="","",IF(NOT(ISNUMBER(F4291)),"Wert fehlt; ",IF(F4291&lt;=0,"Wert ist 0; ",""))&amp;IF(NOT(ISNUMBER(E4291)),"Bestand fehlt; ",IF(E4291&lt;0,"Bestand negativ; ",IF(E4291=0,"Nullbestand; ","")))&amp;IF(D4291="","Warengruppe fehlt; ","")&amp;IF(B4291="","Bezeichnung fehlt; ","")&amp;IF(COUNTIFS($A$2:$A$5001,$A4291,$C$2:$C$5001,C4291)&gt;1,"Artikel doppelt im selben Lager; ",""))</f>
        <v/>
      </c>
      <c r="P4291" s="47" t="n">
        <f aca="false">IF(OR($A4291="",D4291=""),0,IF(COUNTIF($D$2:D4291,D4291)=1,SUMIF($D$2:$D$5001,D4291,$H$2:$H$5001)+ROW()/10000000,0))</f>
        <v>0</v>
      </c>
      <c r="Q4291" s="47" t="n">
        <f aca="false">IF(OR($A4291="",C4291=""),0,IF(COUNTIF($C$2:C4291,C4291)=1,SUMIF($C$2:$C$5001,C4291,$H$2:$H$5001)+ROW()/10000000,0))</f>
        <v>0</v>
      </c>
    </row>
    <row r="4292" customFormat="false" ht="15" hidden="false" customHeight="false" outlineLevel="0" collapsed="false">
      <c r="A4292" s="43"/>
      <c r="B4292" s="44"/>
      <c r="C4292" s="44"/>
      <c r="D4292" s="44"/>
      <c r="E4292" s="44"/>
      <c r="F4292" s="44"/>
      <c r="G4292" s="44"/>
      <c r="H4292" s="46" t="str">
        <f aca="false">IF($A4292="","",IF(OR(NOT(ISNUMBER(E4292)),NOT(ISNUMBER(F4292))),"",MAX(0,E4292)*F4292))</f>
        <v/>
      </c>
      <c r="I4292" s="46" t="str">
        <f aca="false">IF($A4292="","",SUMIF($A$2:$A$5001,$A4292,$H$2:$H$5001))</f>
        <v/>
      </c>
      <c r="J4292" s="47" t="n">
        <f aca="false">IF($A4292="",0,IF(COUNTIF($A$2:A4292,$A4292)=1,1,0))</f>
        <v>0</v>
      </c>
      <c r="K4292" s="47" t="n">
        <f aca="false">IF(J4292=1,N(I4292)+ROW()/10000000,0)</f>
        <v>0</v>
      </c>
      <c r="L4292" s="47" t="str">
        <f aca="false">IF(AND(J4292=1,N(I4292)&gt;0),SUMIF($K$2:$K$5001,"&gt;="&amp;K4292,$I$2:$I$5001)/MAX(1,SUM($H$2:$H$5001)),"")</f>
        <v/>
      </c>
      <c r="M4292" s="47" t="str">
        <f aca="false">IF($A4292="","",INDEX($L$2:$L$5001,MATCH($A4292,$A$2:$A$5001,0)))</f>
        <v/>
      </c>
      <c r="N4292" s="48" t="str">
        <f aca="false">IF($A4292="","",IF(N(M4292)=0,"–",IF(M4292&lt;=Start!$D$20,"A",IF(M4292&lt;=Start!$D$21,"B","C"))))</f>
        <v/>
      </c>
      <c r="O4292" s="48" t="str">
        <f aca="false">IF($A4292="","",IF(NOT(ISNUMBER(F4292)),"Wert fehlt; ",IF(F4292&lt;=0,"Wert ist 0; ",""))&amp;IF(NOT(ISNUMBER(E4292)),"Bestand fehlt; ",IF(E4292&lt;0,"Bestand negativ; ",IF(E4292=0,"Nullbestand; ","")))&amp;IF(D4292="","Warengruppe fehlt; ","")&amp;IF(B4292="","Bezeichnung fehlt; ","")&amp;IF(COUNTIFS($A$2:$A$5001,$A4292,$C$2:$C$5001,C4292)&gt;1,"Artikel doppelt im selben Lager; ",""))</f>
        <v/>
      </c>
      <c r="P4292" s="47" t="n">
        <f aca="false">IF(OR($A4292="",D4292=""),0,IF(COUNTIF($D$2:D4292,D4292)=1,SUMIF($D$2:$D$5001,D4292,$H$2:$H$5001)+ROW()/10000000,0))</f>
        <v>0</v>
      </c>
      <c r="Q4292" s="47" t="n">
        <f aca="false">IF(OR($A4292="",C4292=""),0,IF(COUNTIF($C$2:C4292,C4292)=1,SUMIF($C$2:$C$5001,C4292,$H$2:$H$5001)+ROW()/10000000,0))</f>
        <v>0</v>
      </c>
    </row>
    <row r="4293" customFormat="false" ht="15" hidden="false" customHeight="false" outlineLevel="0" collapsed="false">
      <c r="A4293" s="43"/>
      <c r="B4293" s="44"/>
      <c r="C4293" s="44"/>
      <c r="D4293" s="44"/>
      <c r="E4293" s="44"/>
      <c r="F4293" s="44"/>
      <c r="G4293" s="44"/>
      <c r="H4293" s="46" t="str">
        <f aca="false">IF($A4293="","",IF(OR(NOT(ISNUMBER(E4293)),NOT(ISNUMBER(F4293))),"",MAX(0,E4293)*F4293))</f>
        <v/>
      </c>
      <c r="I4293" s="46" t="str">
        <f aca="false">IF($A4293="","",SUMIF($A$2:$A$5001,$A4293,$H$2:$H$5001))</f>
        <v/>
      </c>
      <c r="J4293" s="47" t="n">
        <f aca="false">IF($A4293="",0,IF(COUNTIF($A$2:A4293,$A4293)=1,1,0))</f>
        <v>0</v>
      </c>
      <c r="K4293" s="47" t="n">
        <f aca="false">IF(J4293=1,N(I4293)+ROW()/10000000,0)</f>
        <v>0</v>
      </c>
      <c r="L4293" s="47" t="str">
        <f aca="false">IF(AND(J4293=1,N(I4293)&gt;0),SUMIF($K$2:$K$5001,"&gt;="&amp;K4293,$I$2:$I$5001)/MAX(1,SUM($H$2:$H$5001)),"")</f>
        <v/>
      </c>
      <c r="M4293" s="47" t="str">
        <f aca="false">IF($A4293="","",INDEX($L$2:$L$5001,MATCH($A4293,$A$2:$A$5001,0)))</f>
        <v/>
      </c>
      <c r="N4293" s="48" t="str">
        <f aca="false">IF($A4293="","",IF(N(M4293)=0,"–",IF(M4293&lt;=Start!$D$20,"A",IF(M4293&lt;=Start!$D$21,"B","C"))))</f>
        <v/>
      </c>
      <c r="O4293" s="48" t="str">
        <f aca="false">IF($A4293="","",IF(NOT(ISNUMBER(F4293)),"Wert fehlt; ",IF(F4293&lt;=0,"Wert ist 0; ",""))&amp;IF(NOT(ISNUMBER(E4293)),"Bestand fehlt; ",IF(E4293&lt;0,"Bestand negativ; ",IF(E4293=0,"Nullbestand; ","")))&amp;IF(D4293="","Warengruppe fehlt; ","")&amp;IF(B4293="","Bezeichnung fehlt; ","")&amp;IF(COUNTIFS($A$2:$A$5001,$A4293,$C$2:$C$5001,C4293)&gt;1,"Artikel doppelt im selben Lager; ",""))</f>
        <v/>
      </c>
      <c r="P4293" s="47" t="n">
        <f aca="false">IF(OR($A4293="",D4293=""),0,IF(COUNTIF($D$2:D4293,D4293)=1,SUMIF($D$2:$D$5001,D4293,$H$2:$H$5001)+ROW()/10000000,0))</f>
        <v>0</v>
      </c>
      <c r="Q4293" s="47" t="n">
        <f aca="false">IF(OR($A4293="",C4293=""),0,IF(COUNTIF($C$2:C4293,C4293)=1,SUMIF($C$2:$C$5001,C4293,$H$2:$H$5001)+ROW()/10000000,0))</f>
        <v>0</v>
      </c>
    </row>
    <row r="4294" customFormat="false" ht="15" hidden="false" customHeight="false" outlineLevel="0" collapsed="false">
      <c r="A4294" s="43"/>
      <c r="B4294" s="44"/>
      <c r="C4294" s="44"/>
      <c r="D4294" s="44"/>
      <c r="E4294" s="44"/>
      <c r="F4294" s="44"/>
      <c r="G4294" s="44"/>
      <c r="H4294" s="46" t="str">
        <f aca="false">IF($A4294="","",IF(OR(NOT(ISNUMBER(E4294)),NOT(ISNUMBER(F4294))),"",MAX(0,E4294)*F4294))</f>
        <v/>
      </c>
      <c r="I4294" s="46" t="str">
        <f aca="false">IF($A4294="","",SUMIF($A$2:$A$5001,$A4294,$H$2:$H$5001))</f>
        <v/>
      </c>
      <c r="J4294" s="47" t="n">
        <f aca="false">IF($A4294="",0,IF(COUNTIF($A$2:A4294,$A4294)=1,1,0))</f>
        <v>0</v>
      </c>
      <c r="K4294" s="47" t="n">
        <f aca="false">IF(J4294=1,N(I4294)+ROW()/10000000,0)</f>
        <v>0</v>
      </c>
      <c r="L4294" s="47" t="str">
        <f aca="false">IF(AND(J4294=1,N(I4294)&gt;0),SUMIF($K$2:$K$5001,"&gt;="&amp;K4294,$I$2:$I$5001)/MAX(1,SUM($H$2:$H$5001)),"")</f>
        <v/>
      </c>
      <c r="M4294" s="47" t="str">
        <f aca="false">IF($A4294="","",INDEX($L$2:$L$5001,MATCH($A4294,$A$2:$A$5001,0)))</f>
        <v/>
      </c>
      <c r="N4294" s="48" t="str">
        <f aca="false">IF($A4294="","",IF(N(M4294)=0,"–",IF(M4294&lt;=Start!$D$20,"A",IF(M4294&lt;=Start!$D$21,"B","C"))))</f>
        <v/>
      </c>
      <c r="O4294" s="48" t="str">
        <f aca="false">IF($A4294="","",IF(NOT(ISNUMBER(F4294)),"Wert fehlt; ",IF(F4294&lt;=0,"Wert ist 0; ",""))&amp;IF(NOT(ISNUMBER(E4294)),"Bestand fehlt; ",IF(E4294&lt;0,"Bestand negativ; ",IF(E4294=0,"Nullbestand; ","")))&amp;IF(D4294="","Warengruppe fehlt; ","")&amp;IF(B4294="","Bezeichnung fehlt; ","")&amp;IF(COUNTIFS($A$2:$A$5001,$A4294,$C$2:$C$5001,C4294)&gt;1,"Artikel doppelt im selben Lager; ",""))</f>
        <v/>
      </c>
      <c r="P4294" s="47" t="n">
        <f aca="false">IF(OR($A4294="",D4294=""),0,IF(COUNTIF($D$2:D4294,D4294)=1,SUMIF($D$2:$D$5001,D4294,$H$2:$H$5001)+ROW()/10000000,0))</f>
        <v>0</v>
      </c>
      <c r="Q4294" s="47" t="n">
        <f aca="false">IF(OR($A4294="",C4294=""),0,IF(COUNTIF($C$2:C4294,C4294)=1,SUMIF($C$2:$C$5001,C4294,$H$2:$H$5001)+ROW()/10000000,0))</f>
        <v>0</v>
      </c>
    </row>
    <row r="4295" customFormat="false" ht="15" hidden="false" customHeight="false" outlineLevel="0" collapsed="false">
      <c r="A4295" s="43"/>
      <c r="B4295" s="44"/>
      <c r="C4295" s="44"/>
      <c r="D4295" s="44"/>
      <c r="E4295" s="44"/>
      <c r="F4295" s="44"/>
      <c r="G4295" s="44"/>
      <c r="H4295" s="46" t="str">
        <f aca="false">IF($A4295="","",IF(OR(NOT(ISNUMBER(E4295)),NOT(ISNUMBER(F4295))),"",MAX(0,E4295)*F4295))</f>
        <v/>
      </c>
      <c r="I4295" s="46" t="str">
        <f aca="false">IF($A4295="","",SUMIF($A$2:$A$5001,$A4295,$H$2:$H$5001))</f>
        <v/>
      </c>
      <c r="J4295" s="47" t="n">
        <f aca="false">IF($A4295="",0,IF(COUNTIF($A$2:A4295,$A4295)=1,1,0))</f>
        <v>0</v>
      </c>
      <c r="K4295" s="47" t="n">
        <f aca="false">IF(J4295=1,N(I4295)+ROW()/10000000,0)</f>
        <v>0</v>
      </c>
      <c r="L4295" s="47" t="str">
        <f aca="false">IF(AND(J4295=1,N(I4295)&gt;0),SUMIF($K$2:$K$5001,"&gt;="&amp;K4295,$I$2:$I$5001)/MAX(1,SUM($H$2:$H$5001)),"")</f>
        <v/>
      </c>
      <c r="M4295" s="47" t="str">
        <f aca="false">IF($A4295="","",INDEX($L$2:$L$5001,MATCH($A4295,$A$2:$A$5001,0)))</f>
        <v/>
      </c>
      <c r="N4295" s="48" t="str">
        <f aca="false">IF($A4295="","",IF(N(M4295)=0,"–",IF(M4295&lt;=Start!$D$20,"A",IF(M4295&lt;=Start!$D$21,"B","C"))))</f>
        <v/>
      </c>
      <c r="O4295" s="48" t="str">
        <f aca="false">IF($A4295="","",IF(NOT(ISNUMBER(F4295)),"Wert fehlt; ",IF(F4295&lt;=0,"Wert ist 0; ",""))&amp;IF(NOT(ISNUMBER(E4295)),"Bestand fehlt; ",IF(E4295&lt;0,"Bestand negativ; ",IF(E4295=0,"Nullbestand; ","")))&amp;IF(D4295="","Warengruppe fehlt; ","")&amp;IF(B4295="","Bezeichnung fehlt; ","")&amp;IF(COUNTIFS($A$2:$A$5001,$A4295,$C$2:$C$5001,C4295)&gt;1,"Artikel doppelt im selben Lager; ",""))</f>
        <v/>
      </c>
      <c r="P4295" s="47" t="n">
        <f aca="false">IF(OR($A4295="",D4295=""),0,IF(COUNTIF($D$2:D4295,D4295)=1,SUMIF($D$2:$D$5001,D4295,$H$2:$H$5001)+ROW()/10000000,0))</f>
        <v>0</v>
      </c>
      <c r="Q4295" s="47" t="n">
        <f aca="false">IF(OR($A4295="",C4295=""),0,IF(COUNTIF($C$2:C4295,C4295)=1,SUMIF($C$2:$C$5001,C4295,$H$2:$H$5001)+ROW()/10000000,0))</f>
        <v>0</v>
      </c>
    </row>
    <row r="4296" customFormat="false" ht="15" hidden="false" customHeight="false" outlineLevel="0" collapsed="false">
      <c r="A4296" s="43"/>
      <c r="B4296" s="44"/>
      <c r="C4296" s="44"/>
      <c r="D4296" s="44"/>
      <c r="E4296" s="44"/>
      <c r="F4296" s="44"/>
      <c r="G4296" s="44"/>
      <c r="H4296" s="46" t="str">
        <f aca="false">IF($A4296="","",IF(OR(NOT(ISNUMBER(E4296)),NOT(ISNUMBER(F4296))),"",MAX(0,E4296)*F4296))</f>
        <v/>
      </c>
      <c r="I4296" s="46" t="str">
        <f aca="false">IF($A4296="","",SUMIF($A$2:$A$5001,$A4296,$H$2:$H$5001))</f>
        <v/>
      </c>
      <c r="J4296" s="47" t="n">
        <f aca="false">IF($A4296="",0,IF(COUNTIF($A$2:A4296,$A4296)=1,1,0))</f>
        <v>0</v>
      </c>
      <c r="K4296" s="47" t="n">
        <f aca="false">IF(J4296=1,N(I4296)+ROW()/10000000,0)</f>
        <v>0</v>
      </c>
      <c r="L4296" s="47" t="str">
        <f aca="false">IF(AND(J4296=1,N(I4296)&gt;0),SUMIF($K$2:$K$5001,"&gt;="&amp;K4296,$I$2:$I$5001)/MAX(1,SUM($H$2:$H$5001)),"")</f>
        <v/>
      </c>
      <c r="M4296" s="47" t="str">
        <f aca="false">IF($A4296="","",INDEX($L$2:$L$5001,MATCH($A4296,$A$2:$A$5001,0)))</f>
        <v/>
      </c>
      <c r="N4296" s="48" t="str">
        <f aca="false">IF($A4296="","",IF(N(M4296)=0,"–",IF(M4296&lt;=Start!$D$20,"A",IF(M4296&lt;=Start!$D$21,"B","C"))))</f>
        <v/>
      </c>
      <c r="O4296" s="48" t="str">
        <f aca="false">IF($A4296="","",IF(NOT(ISNUMBER(F4296)),"Wert fehlt; ",IF(F4296&lt;=0,"Wert ist 0; ",""))&amp;IF(NOT(ISNUMBER(E4296)),"Bestand fehlt; ",IF(E4296&lt;0,"Bestand negativ; ",IF(E4296=0,"Nullbestand; ","")))&amp;IF(D4296="","Warengruppe fehlt; ","")&amp;IF(B4296="","Bezeichnung fehlt; ","")&amp;IF(COUNTIFS($A$2:$A$5001,$A4296,$C$2:$C$5001,C4296)&gt;1,"Artikel doppelt im selben Lager; ",""))</f>
        <v/>
      </c>
      <c r="P4296" s="47" t="n">
        <f aca="false">IF(OR($A4296="",D4296=""),0,IF(COUNTIF($D$2:D4296,D4296)=1,SUMIF($D$2:$D$5001,D4296,$H$2:$H$5001)+ROW()/10000000,0))</f>
        <v>0</v>
      </c>
      <c r="Q4296" s="47" t="n">
        <f aca="false">IF(OR($A4296="",C4296=""),0,IF(COUNTIF($C$2:C4296,C4296)=1,SUMIF($C$2:$C$5001,C4296,$H$2:$H$5001)+ROW()/10000000,0))</f>
        <v>0</v>
      </c>
    </row>
    <row r="4297" customFormat="false" ht="15" hidden="false" customHeight="false" outlineLevel="0" collapsed="false">
      <c r="A4297" s="43"/>
      <c r="B4297" s="44"/>
      <c r="C4297" s="44"/>
      <c r="D4297" s="44"/>
      <c r="E4297" s="44"/>
      <c r="F4297" s="44"/>
      <c r="G4297" s="44"/>
      <c r="H4297" s="46" t="str">
        <f aca="false">IF($A4297="","",IF(OR(NOT(ISNUMBER(E4297)),NOT(ISNUMBER(F4297))),"",MAX(0,E4297)*F4297))</f>
        <v/>
      </c>
      <c r="I4297" s="46" t="str">
        <f aca="false">IF($A4297="","",SUMIF($A$2:$A$5001,$A4297,$H$2:$H$5001))</f>
        <v/>
      </c>
      <c r="J4297" s="47" t="n">
        <f aca="false">IF($A4297="",0,IF(COUNTIF($A$2:A4297,$A4297)=1,1,0))</f>
        <v>0</v>
      </c>
      <c r="K4297" s="47" t="n">
        <f aca="false">IF(J4297=1,N(I4297)+ROW()/10000000,0)</f>
        <v>0</v>
      </c>
      <c r="L4297" s="47" t="str">
        <f aca="false">IF(AND(J4297=1,N(I4297)&gt;0),SUMIF($K$2:$K$5001,"&gt;="&amp;K4297,$I$2:$I$5001)/MAX(1,SUM($H$2:$H$5001)),"")</f>
        <v/>
      </c>
      <c r="M4297" s="47" t="str">
        <f aca="false">IF($A4297="","",INDEX($L$2:$L$5001,MATCH($A4297,$A$2:$A$5001,0)))</f>
        <v/>
      </c>
      <c r="N4297" s="48" t="str">
        <f aca="false">IF($A4297="","",IF(N(M4297)=0,"–",IF(M4297&lt;=Start!$D$20,"A",IF(M4297&lt;=Start!$D$21,"B","C"))))</f>
        <v/>
      </c>
      <c r="O4297" s="48" t="str">
        <f aca="false">IF($A4297="","",IF(NOT(ISNUMBER(F4297)),"Wert fehlt; ",IF(F4297&lt;=0,"Wert ist 0; ",""))&amp;IF(NOT(ISNUMBER(E4297)),"Bestand fehlt; ",IF(E4297&lt;0,"Bestand negativ; ",IF(E4297=0,"Nullbestand; ","")))&amp;IF(D4297="","Warengruppe fehlt; ","")&amp;IF(B4297="","Bezeichnung fehlt; ","")&amp;IF(COUNTIFS($A$2:$A$5001,$A4297,$C$2:$C$5001,C4297)&gt;1,"Artikel doppelt im selben Lager; ",""))</f>
        <v/>
      </c>
      <c r="P4297" s="47" t="n">
        <f aca="false">IF(OR($A4297="",D4297=""),0,IF(COUNTIF($D$2:D4297,D4297)=1,SUMIF($D$2:$D$5001,D4297,$H$2:$H$5001)+ROW()/10000000,0))</f>
        <v>0</v>
      </c>
      <c r="Q4297" s="47" t="n">
        <f aca="false">IF(OR($A4297="",C4297=""),0,IF(COUNTIF($C$2:C4297,C4297)=1,SUMIF($C$2:$C$5001,C4297,$H$2:$H$5001)+ROW()/10000000,0))</f>
        <v>0</v>
      </c>
    </row>
    <row r="4298" customFormat="false" ht="15" hidden="false" customHeight="false" outlineLevel="0" collapsed="false">
      <c r="A4298" s="43"/>
      <c r="B4298" s="44"/>
      <c r="C4298" s="44"/>
      <c r="D4298" s="44"/>
      <c r="E4298" s="44"/>
      <c r="F4298" s="44"/>
      <c r="G4298" s="44"/>
      <c r="H4298" s="46" t="str">
        <f aca="false">IF($A4298="","",IF(OR(NOT(ISNUMBER(E4298)),NOT(ISNUMBER(F4298))),"",MAX(0,E4298)*F4298))</f>
        <v/>
      </c>
      <c r="I4298" s="46" t="str">
        <f aca="false">IF($A4298="","",SUMIF($A$2:$A$5001,$A4298,$H$2:$H$5001))</f>
        <v/>
      </c>
      <c r="J4298" s="47" t="n">
        <f aca="false">IF($A4298="",0,IF(COUNTIF($A$2:A4298,$A4298)=1,1,0))</f>
        <v>0</v>
      </c>
      <c r="K4298" s="47" t="n">
        <f aca="false">IF(J4298=1,N(I4298)+ROW()/10000000,0)</f>
        <v>0</v>
      </c>
      <c r="L4298" s="47" t="str">
        <f aca="false">IF(AND(J4298=1,N(I4298)&gt;0),SUMIF($K$2:$K$5001,"&gt;="&amp;K4298,$I$2:$I$5001)/MAX(1,SUM($H$2:$H$5001)),"")</f>
        <v/>
      </c>
      <c r="M4298" s="47" t="str">
        <f aca="false">IF($A4298="","",INDEX($L$2:$L$5001,MATCH($A4298,$A$2:$A$5001,0)))</f>
        <v/>
      </c>
      <c r="N4298" s="48" t="str">
        <f aca="false">IF($A4298="","",IF(N(M4298)=0,"–",IF(M4298&lt;=Start!$D$20,"A",IF(M4298&lt;=Start!$D$21,"B","C"))))</f>
        <v/>
      </c>
      <c r="O4298" s="48" t="str">
        <f aca="false">IF($A4298="","",IF(NOT(ISNUMBER(F4298)),"Wert fehlt; ",IF(F4298&lt;=0,"Wert ist 0; ",""))&amp;IF(NOT(ISNUMBER(E4298)),"Bestand fehlt; ",IF(E4298&lt;0,"Bestand negativ; ",IF(E4298=0,"Nullbestand; ","")))&amp;IF(D4298="","Warengruppe fehlt; ","")&amp;IF(B4298="","Bezeichnung fehlt; ","")&amp;IF(COUNTIFS($A$2:$A$5001,$A4298,$C$2:$C$5001,C4298)&gt;1,"Artikel doppelt im selben Lager; ",""))</f>
        <v/>
      </c>
      <c r="P4298" s="47" t="n">
        <f aca="false">IF(OR($A4298="",D4298=""),0,IF(COUNTIF($D$2:D4298,D4298)=1,SUMIF($D$2:$D$5001,D4298,$H$2:$H$5001)+ROW()/10000000,0))</f>
        <v>0</v>
      </c>
      <c r="Q4298" s="47" t="n">
        <f aca="false">IF(OR($A4298="",C4298=""),0,IF(COUNTIF($C$2:C4298,C4298)=1,SUMIF($C$2:$C$5001,C4298,$H$2:$H$5001)+ROW()/10000000,0))</f>
        <v>0</v>
      </c>
    </row>
    <row r="4299" customFormat="false" ht="15" hidden="false" customHeight="false" outlineLevel="0" collapsed="false">
      <c r="A4299" s="43"/>
      <c r="B4299" s="44"/>
      <c r="C4299" s="44"/>
      <c r="D4299" s="44"/>
      <c r="E4299" s="44"/>
      <c r="F4299" s="44"/>
      <c r="G4299" s="44"/>
      <c r="H4299" s="46" t="str">
        <f aca="false">IF($A4299="","",IF(OR(NOT(ISNUMBER(E4299)),NOT(ISNUMBER(F4299))),"",MAX(0,E4299)*F4299))</f>
        <v/>
      </c>
      <c r="I4299" s="46" t="str">
        <f aca="false">IF($A4299="","",SUMIF($A$2:$A$5001,$A4299,$H$2:$H$5001))</f>
        <v/>
      </c>
      <c r="J4299" s="47" t="n">
        <f aca="false">IF($A4299="",0,IF(COUNTIF($A$2:A4299,$A4299)=1,1,0))</f>
        <v>0</v>
      </c>
      <c r="K4299" s="47" t="n">
        <f aca="false">IF(J4299=1,N(I4299)+ROW()/10000000,0)</f>
        <v>0</v>
      </c>
      <c r="L4299" s="47" t="str">
        <f aca="false">IF(AND(J4299=1,N(I4299)&gt;0),SUMIF($K$2:$K$5001,"&gt;="&amp;K4299,$I$2:$I$5001)/MAX(1,SUM($H$2:$H$5001)),"")</f>
        <v/>
      </c>
      <c r="M4299" s="47" t="str">
        <f aca="false">IF($A4299="","",INDEX($L$2:$L$5001,MATCH($A4299,$A$2:$A$5001,0)))</f>
        <v/>
      </c>
      <c r="N4299" s="48" t="str">
        <f aca="false">IF($A4299="","",IF(N(M4299)=0,"–",IF(M4299&lt;=Start!$D$20,"A",IF(M4299&lt;=Start!$D$21,"B","C"))))</f>
        <v/>
      </c>
      <c r="O4299" s="48" t="str">
        <f aca="false">IF($A4299="","",IF(NOT(ISNUMBER(F4299)),"Wert fehlt; ",IF(F4299&lt;=0,"Wert ist 0; ",""))&amp;IF(NOT(ISNUMBER(E4299)),"Bestand fehlt; ",IF(E4299&lt;0,"Bestand negativ; ",IF(E4299=0,"Nullbestand; ","")))&amp;IF(D4299="","Warengruppe fehlt; ","")&amp;IF(B4299="","Bezeichnung fehlt; ","")&amp;IF(COUNTIFS($A$2:$A$5001,$A4299,$C$2:$C$5001,C4299)&gt;1,"Artikel doppelt im selben Lager; ",""))</f>
        <v/>
      </c>
      <c r="P4299" s="47" t="n">
        <f aca="false">IF(OR($A4299="",D4299=""),0,IF(COUNTIF($D$2:D4299,D4299)=1,SUMIF($D$2:$D$5001,D4299,$H$2:$H$5001)+ROW()/10000000,0))</f>
        <v>0</v>
      </c>
      <c r="Q4299" s="47" t="n">
        <f aca="false">IF(OR($A4299="",C4299=""),0,IF(COUNTIF($C$2:C4299,C4299)=1,SUMIF($C$2:$C$5001,C4299,$H$2:$H$5001)+ROW()/10000000,0))</f>
        <v>0</v>
      </c>
    </row>
    <row r="4300" customFormat="false" ht="15" hidden="false" customHeight="false" outlineLevel="0" collapsed="false">
      <c r="A4300" s="43"/>
      <c r="B4300" s="44"/>
      <c r="C4300" s="44"/>
      <c r="D4300" s="44"/>
      <c r="E4300" s="44"/>
      <c r="F4300" s="44"/>
      <c r="G4300" s="44"/>
      <c r="H4300" s="46" t="str">
        <f aca="false">IF($A4300="","",IF(OR(NOT(ISNUMBER(E4300)),NOT(ISNUMBER(F4300))),"",MAX(0,E4300)*F4300))</f>
        <v/>
      </c>
      <c r="I4300" s="46" t="str">
        <f aca="false">IF($A4300="","",SUMIF($A$2:$A$5001,$A4300,$H$2:$H$5001))</f>
        <v/>
      </c>
      <c r="J4300" s="47" t="n">
        <f aca="false">IF($A4300="",0,IF(COUNTIF($A$2:A4300,$A4300)=1,1,0))</f>
        <v>0</v>
      </c>
      <c r="K4300" s="47" t="n">
        <f aca="false">IF(J4300=1,N(I4300)+ROW()/10000000,0)</f>
        <v>0</v>
      </c>
      <c r="L4300" s="47" t="str">
        <f aca="false">IF(AND(J4300=1,N(I4300)&gt;0),SUMIF($K$2:$K$5001,"&gt;="&amp;K4300,$I$2:$I$5001)/MAX(1,SUM($H$2:$H$5001)),"")</f>
        <v/>
      </c>
      <c r="M4300" s="47" t="str">
        <f aca="false">IF($A4300="","",INDEX($L$2:$L$5001,MATCH($A4300,$A$2:$A$5001,0)))</f>
        <v/>
      </c>
      <c r="N4300" s="48" t="str">
        <f aca="false">IF($A4300="","",IF(N(M4300)=0,"–",IF(M4300&lt;=Start!$D$20,"A",IF(M4300&lt;=Start!$D$21,"B","C"))))</f>
        <v/>
      </c>
      <c r="O4300" s="48" t="str">
        <f aca="false">IF($A4300="","",IF(NOT(ISNUMBER(F4300)),"Wert fehlt; ",IF(F4300&lt;=0,"Wert ist 0; ",""))&amp;IF(NOT(ISNUMBER(E4300)),"Bestand fehlt; ",IF(E4300&lt;0,"Bestand negativ; ",IF(E4300=0,"Nullbestand; ","")))&amp;IF(D4300="","Warengruppe fehlt; ","")&amp;IF(B4300="","Bezeichnung fehlt; ","")&amp;IF(COUNTIFS($A$2:$A$5001,$A4300,$C$2:$C$5001,C4300)&gt;1,"Artikel doppelt im selben Lager; ",""))</f>
        <v/>
      </c>
      <c r="P4300" s="47" t="n">
        <f aca="false">IF(OR($A4300="",D4300=""),0,IF(COUNTIF($D$2:D4300,D4300)=1,SUMIF($D$2:$D$5001,D4300,$H$2:$H$5001)+ROW()/10000000,0))</f>
        <v>0</v>
      </c>
      <c r="Q4300" s="47" t="n">
        <f aca="false">IF(OR($A4300="",C4300=""),0,IF(COUNTIF($C$2:C4300,C4300)=1,SUMIF($C$2:$C$5001,C4300,$H$2:$H$5001)+ROW()/10000000,0))</f>
        <v>0</v>
      </c>
    </row>
    <row r="4301" customFormat="false" ht="15" hidden="false" customHeight="false" outlineLevel="0" collapsed="false">
      <c r="A4301" s="43"/>
      <c r="B4301" s="44"/>
      <c r="C4301" s="44"/>
      <c r="D4301" s="44"/>
      <c r="E4301" s="44"/>
      <c r="F4301" s="44"/>
      <c r="G4301" s="44"/>
      <c r="H4301" s="46" t="str">
        <f aca="false">IF($A4301="","",IF(OR(NOT(ISNUMBER(E4301)),NOT(ISNUMBER(F4301))),"",MAX(0,E4301)*F4301))</f>
        <v/>
      </c>
      <c r="I4301" s="46" t="str">
        <f aca="false">IF($A4301="","",SUMIF($A$2:$A$5001,$A4301,$H$2:$H$5001))</f>
        <v/>
      </c>
      <c r="J4301" s="47" t="n">
        <f aca="false">IF($A4301="",0,IF(COUNTIF($A$2:A4301,$A4301)=1,1,0))</f>
        <v>0</v>
      </c>
      <c r="K4301" s="47" t="n">
        <f aca="false">IF(J4301=1,N(I4301)+ROW()/10000000,0)</f>
        <v>0</v>
      </c>
      <c r="L4301" s="47" t="str">
        <f aca="false">IF(AND(J4301=1,N(I4301)&gt;0),SUMIF($K$2:$K$5001,"&gt;="&amp;K4301,$I$2:$I$5001)/MAX(1,SUM($H$2:$H$5001)),"")</f>
        <v/>
      </c>
      <c r="M4301" s="47" t="str">
        <f aca="false">IF($A4301="","",INDEX($L$2:$L$5001,MATCH($A4301,$A$2:$A$5001,0)))</f>
        <v/>
      </c>
      <c r="N4301" s="48" t="str">
        <f aca="false">IF($A4301="","",IF(N(M4301)=0,"–",IF(M4301&lt;=Start!$D$20,"A",IF(M4301&lt;=Start!$D$21,"B","C"))))</f>
        <v/>
      </c>
      <c r="O4301" s="48" t="str">
        <f aca="false">IF($A4301="","",IF(NOT(ISNUMBER(F4301)),"Wert fehlt; ",IF(F4301&lt;=0,"Wert ist 0; ",""))&amp;IF(NOT(ISNUMBER(E4301)),"Bestand fehlt; ",IF(E4301&lt;0,"Bestand negativ; ",IF(E4301=0,"Nullbestand; ","")))&amp;IF(D4301="","Warengruppe fehlt; ","")&amp;IF(B4301="","Bezeichnung fehlt; ","")&amp;IF(COUNTIFS($A$2:$A$5001,$A4301,$C$2:$C$5001,C4301)&gt;1,"Artikel doppelt im selben Lager; ",""))</f>
        <v/>
      </c>
      <c r="P4301" s="47" t="n">
        <f aca="false">IF(OR($A4301="",D4301=""),0,IF(COUNTIF($D$2:D4301,D4301)=1,SUMIF($D$2:$D$5001,D4301,$H$2:$H$5001)+ROW()/10000000,0))</f>
        <v>0</v>
      </c>
      <c r="Q4301" s="47" t="n">
        <f aca="false">IF(OR($A4301="",C4301=""),0,IF(COUNTIF($C$2:C4301,C4301)=1,SUMIF($C$2:$C$5001,C4301,$H$2:$H$5001)+ROW()/10000000,0))</f>
        <v>0</v>
      </c>
    </row>
    <row r="4302" customFormat="false" ht="15" hidden="false" customHeight="false" outlineLevel="0" collapsed="false">
      <c r="A4302" s="43"/>
      <c r="B4302" s="44"/>
      <c r="C4302" s="44"/>
      <c r="D4302" s="44"/>
      <c r="E4302" s="44"/>
      <c r="F4302" s="44"/>
      <c r="G4302" s="44"/>
      <c r="H4302" s="46" t="str">
        <f aca="false">IF($A4302="","",IF(OR(NOT(ISNUMBER(E4302)),NOT(ISNUMBER(F4302))),"",MAX(0,E4302)*F4302))</f>
        <v/>
      </c>
      <c r="I4302" s="46" t="str">
        <f aca="false">IF($A4302="","",SUMIF($A$2:$A$5001,$A4302,$H$2:$H$5001))</f>
        <v/>
      </c>
      <c r="J4302" s="47" t="n">
        <f aca="false">IF($A4302="",0,IF(COUNTIF($A$2:A4302,$A4302)=1,1,0))</f>
        <v>0</v>
      </c>
      <c r="K4302" s="47" t="n">
        <f aca="false">IF(J4302=1,N(I4302)+ROW()/10000000,0)</f>
        <v>0</v>
      </c>
      <c r="L4302" s="47" t="str">
        <f aca="false">IF(AND(J4302=1,N(I4302)&gt;0),SUMIF($K$2:$K$5001,"&gt;="&amp;K4302,$I$2:$I$5001)/MAX(1,SUM($H$2:$H$5001)),"")</f>
        <v/>
      </c>
      <c r="M4302" s="47" t="str">
        <f aca="false">IF($A4302="","",INDEX($L$2:$L$5001,MATCH($A4302,$A$2:$A$5001,0)))</f>
        <v/>
      </c>
      <c r="N4302" s="48" t="str">
        <f aca="false">IF($A4302="","",IF(N(M4302)=0,"–",IF(M4302&lt;=Start!$D$20,"A",IF(M4302&lt;=Start!$D$21,"B","C"))))</f>
        <v/>
      </c>
      <c r="O4302" s="48" t="str">
        <f aca="false">IF($A4302="","",IF(NOT(ISNUMBER(F4302)),"Wert fehlt; ",IF(F4302&lt;=0,"Wert ist 0; ",""))&amp;IF(NOT(ISNUMBER(E4302)),"Bestand fehlt; ",IF(E4302&lt;0,"Bestand negativ; ",IF(E4302=0,"Nullbestand; ","")))&amp;IF(D4302="","Warengruppe fehlt; ","")&amp;IF(B4302="","Bezeichnung fehlt; ","")&amp;IF(COUNTIFS($A$2:$A$5001,$A4302,$C$2:$C$5001,C4302)&gt;1,"Artikel doppelt im selben Lager; ",""))</f>
        <v/>
      </c>
      <c r="P4302" s="47" t="n">
        <f aca="false">IF(OR($A4302="",D4302=""),0,IF(COUNTIF($D$2:D4302,D4302)=1,SUMIF($D$2:$D$5001,D4302,$H$2:$H$5001)+ROW()/10000000,0))</f>
        <v>0</v>
      </c>
      <c r="Q4302" s="47" t="n">
        <f aca="false">IF(OR($A4302="",C4302=""),0,IF(COUNTIF($C$2:C4302,C4302)=1,SUMIF($C$2:$C$5001,C4302,$H$2:$H$5001)+ROW()/10000000,0))</f>
        <v>0</v>
      </c>
    </row>
    <row r="4303" customFormat="false" ht="15" hidden="false" customHeight="false" outlineLevel="0" collapsed="false">
      <c r="A4303" s="43"/>
      <c r="B4303" s="44"/>
      <c r="C4303" s="44"/>
      <c r="D4303" s="44"/>
      <c r="E4303" s="44"/>
      <c r="F4303" s="44"/>
      <c r="G4303" s="44"/>
      <c r="H4303" s="46" t="str">
        <f aca="false">IF($A4303="","",IF(OR(NOT(ISNUMBER(E4303)),NOT(ISNUMBER(F4303))),"",MAX(0,E4303)*F4303))</f>
        <v/>
      </c>
      <c r="I4303" s="46" t="str">
        <f aca="false">IF($A4303="","",SUMIF($A$2:$A$5001,$A4303,$H$2:$H$5001))</f>
        <v/>
      </c>
      <c r="J4303" s="47" t="n">
        <f aca="false">IF($A4303="",0,IF(COUNTIF($A$2:A4303,$A4303)=1,1,0))</f>
        <v>0</v>
      </c>
      <c r="K4303" s="47" t="n">
        <f aca="false">IF(J4303=1,N(I4303)+ROW()/10000000,0)</f>
        <v>0</v>
      </c>
      <c r="L4303" s="47" t="str">
        <f aca="false">IF(AND(J4303=1,N(I4303)&gt;0),SUMIF($K$2:$K$5001,"&gt;="&amp;K4303,$I$2:$I$5001)/MAX(1,SUM($H$2:$H$5001)),"")</f>
        <v/>
      </c>
      <c r="M4303" s="47" t="str">
        <f aca="false">IF($A4303="","",INDEX($L$2:$L$5001,MATCH($A4303,$A$2:$A$5001,0)))</f>
        <v/>
      </c>
      <c r="N4303" s="48" t="str">
        <f aca="false">IF($A4303="","",IF(N(M4303)=0,"–",IF(M4303&lt;=Start!$D$20,"A",IF(M4303&lt;=Start!$D$21,"B","C"))))</f>
        <v/>
      </c>
      <c r="O4303" s="48" t="str">
        <f aca="false">IF($A4303="","",IF(NOT(ISNUMBER(F4303)),"Wert fehlt; ",IF(F4303&lt;=0,"Wert ist 0; ",""))&amp;IF(NOT(ISNUMBER(E4303)),"Bestand fehlt; ",IF(E4303&lt;0,"Bestand negativ; ",IF(E4303=0,"Nullbestand; ","")))&amp;IF(D4303="","Warengruppe fehlt; ","")&amp;IF(B4303="","Bezeichnung fehlt; ","")&amp;IF(COUNTIFS($A$2:$A$5001,$A4303,$C$2:$C$5001,C4303)&gt;1,"Artikel doppelt im selben Lager; ",""))</f>
        <v/>
      </c>
      <c r="P4303" s="47" t="n">
        <f aca="false">IF(OR($A4303="",D4303=""),0,IF(COUNTIF($D$2:D4303,D4303)=1,SUMIF($D$2:$D$5001,D4303,$H$2:$H$5001)+ROW()/10000000,0))</f>
        <v>0</v>
      </c>
      <c r="Q4303" s="47" t="n">
        <f aca="false">IF(OR($A4303="",C4303=""),0,IF(COUNTIF($C$2:C4303,C4303)=1,SUMIF($C$2:$C$5001,C4303,$H$2:$H$5001)+ROW()/10000000,0))</f>
        <v>0</v>
      </c>
    </row>
    <row r="4304" customFormat="false" ht="15" hidden="false" customHeight="false" outlineLevel="0" collapsed="false">
      <c r="A4304" s="43"/>
      <c r="B4304" s="44"/>
      <c r="C4304" s="44"/>
      <c r="D4304" s="44"/>
      <c r="E4304" s="44"/>
      <c r="F4304" s="44"/>
      <c r="G4304" s="44"/>
      <c r="H4304" s="46" t="str">
        <f aca="false">IF($A4304="","",IF(OR(NOT(ISNUMBER(E4304)),NOT(ISNUMBER(F4304))),"",MAX(0,E4304)*F4304))</f>
        <v/>
      </c>
      <c r="I4304" s="46" t="str">
        <f aca="false">IF($A4304="","",SUMIF($A$2:$A$5001,$A4304,$H$2:$H$5001))</f>
        <v/>
      </c>
      <c r="J4304" s="47" t="n">
        <f aca="false">IF($A4304="",0,IF(COUNTIF($A$2:A4304,$A4304)=1,1,0))</f>
        <v>0</v>
      </c>
      <c r="K4304" s="47" t="n">
        <f aca="false">IF(J4304=1,N(I4304)+ROW()/10000000,0)</f>
        <v>0</v>
      </c>
      <c r="L4304" s="47" t="str">
        <f aca="false">IF(AND(J4304=1,N(I4304)&gt;0),SUMIF($K$2:$K$5001,"&gt;="&amp;K4304,$I$2:$I$5001)/MAX(1,SUM($H$2:$H$5001)),"")</f>
        <v/>
      </c>
      <c r="M4304" s="47" t="str">
        <f aca="false">IF($A4304="","",INDEX($L$2:$L$5001,MATCH($A4304,$A$2:$A$5001,0)))</f>
        <v/>
      </c>
      <c r="N4304" s="48" t="str">
        <f aca="false">IF($A4304="","",IF(N(M4304)=0,"–",IF(M4304&lt;=Start!$D$20,"A",IF(M4304&lt;=Start!$D$21,"B","C"))))</f>
        <v/>
      </c>
      <c r="O4304" s="48" t="str">
        <f aca="false">IF($A4304="","",IF(NOT(ISNUMBER(F4304)),"Wert fehlt; ",IF(F4304&lt;=0,"Wert ist 0; ",""))&amp;IF(NOT(ISNUMBER(E4304)),"Bestand fehlt; ",IF(E4304&lt;0,"Bestand negativ; ",IF(E4304=0,"Nullbestand; ","")))&amp;IF(D4304="","Warengruppe fehlt; ","")&amp;IF(B4304="","Bezeichnung fehlt; ","")&amp;IF(COUNTIFS($A$2:$A$5001,$A4304,$C$2:$C$5001,C4304)&gt;1,"Artikel doppelt im selben Lager; ",""))</f>
        <v/>
      </c>
      <c r="P4304" s="47" t="n">
        <f aca="false">IF(OR($A4304="",D4304=""),0,IF(COUNTIF($D$2:D4304,D4304)=1,SUMIF($D$2:$D$5001,D4304,$H$2:$H$5001)+ROW()/10000000,0))</f>
        <v>0</v>
      </c>
      <c r="Q4304" s="47" t="n">
        <f aca="false">IF(OR($A4304="",C4304=""),0,IF(COUNTIF($C$2:C4304,C4304)=1,SUMIF($C$2:$C$5001,C4304,$H$2:$H$5001)+ROW()/10000000,0))</f>
        <v>0</v>
      </c>
    </row>
    <row r="4305" customFormat="false" ht="15" hidden="false" customHeight="false" outlineLevel="0" collapsed="false">
      <c r="A4305" s="43"/>
      <c r="B4305" s="44"/>
      <c r="C4305" s="44"/>
      <c r="D4305" s="44"/>
      <c r="E4305" s="44"/>
      <c r="F4305" s="44"/>
      <c r="G4305" s="44"/>
      <c r="H4305" s="46" t="str">
        <f aca="false">IF($A4305="","",IF(OR(NOT(ISNUMBER(E4305)),NOT(ISNUMBER(F4305))),"",MAX(0,E4305)*F4305))</f>
        <v/>
      </c>
      <c r="I4305" s="46" t="str">
        <f aca="false">IF($A4305="","",SUMIF($A$2:$A$5001,$A4305,$H$2:$H$5001))</f>
        <v/>
      </c>
      <c r="J4305" s="47" t="n">
        <f aca="false">IF($A4305="",0,IF(COUNTIF($A$2:A4305,$A4305)=1,1,0))</f>
        <v>0</v>
      </c>
      <c r="K4305" s="47" t="n">
        <f aca="false">IF(J4305=1,N(I4305)+ROW()/10000000,0)</f>
        <v>0</v>
      </c>
      <c r="L4305" s="47" t="str">
        <f aca="false">IF(AND(J4305=1,N(I4305)&gt;0),SUMIF($K$2:$K$5001,"&gt;="&amp;K4305,$I$2:$I$5001)/MAX(1,SUM($H$2:$H$5001)),"")</f>
        <v/>
      </c>
      <c r="M4305" s="47" t="str">
        <f aca="false">IF($A4305="","",INDEX($L$2:$L$5001,MATCH($A4305,$A$2:$A$5001,0)))</f>
        <v/>
      </c>
      <c r="N4305" s="48" t="str">
        <f aca="false">IF($A4305="","",IF(N(M4305)=0,"–",IF(M4305&lt;=Start!$D$20,"A",IF(M4305&lt;=Start!$D$21,"B","C"))))</f>
        <v/>
      </c>
      <c r="O4305" s="48" t="str">
        <f aca="false">IF($A4305="","",IF(NOT(ISNUMBER(F4305)),"Wert fehlt; ",IF(F4305&lt;=0,"Wert ist 0; ",""))&amp;IF(NOT(ISNUMBER(E4305)),"Bestand fehlt; ",IF(E4305&lt;0,"Bestand negativ; ",IF(E4305=0,"Nullbestand; ","")))&amp;IF(D4305="","Warengruppe fehlt; ","")&amp;IF(B4305="","Bezeichnung fehlt; ","")&amp;IF(COUNTIFS($A$2:$A$5001,$A4305,$C$2:$C$5001,C4305)&gt;1,"Artikel doppelt im selben Lager; ",""))</f>
        <v/>
      </c>
      <c r="P4305" s="47" t="n">
        <f aca="false">IF(OR($A4305="",D4305=""),0,IF(COUNTIF($D$2:D4305,D4305)=1,SUMIF($D$2:$D$5001,D4305,$H$2:$H$5001)+ROW()/10000000,0))</f>
        <v>0</v>
      </c>
      <c r="Q4305" s="47" t="n">
        <f aca="false">IF(OR($A4305="",C4305=""),0,IF(COUNTIF($C$2:C4305,C4305)=1,SUMIF($C$2:$C$5001,C4305,$H$2:$H$5001)+ROW()/10000000,0))</f>
        <v>0</v>
      </c>
    </row>
    <row r="4306" customFormat="false" ht="15" hidden="false" customHeight="false" outlineLevel="0" collapsed="false">
      <c r="A4306" s="43"/>
      <c r="B4306" s="44"/>
      <c r="C4306" s="44"/>
      <c r="D4306" s="44"/>
      <c r="E4306" s="44"/>
      <c r="F4306" s="44"/>
      <c r="G4306" s="44"/>
      <c r="H4306" s="46" t="str">
        <f aca="false">IF($A4306="","",IF(OR(NOT(ISNUMBER(E4306)),NOT(ISNUMBER(F4306))),"",MAX(0,E4306)*F4306))</f>
        <v/>
      </c>
      <c r="I4306" s="46" t="str">
        <f aca="false">IF($A4306="","",SUMIF($A$2:$A$5001,$A4306,$H$2:$H$5001))</f>
        <v/>
      </c>
      <c r="J4306" s="47" t="n">
        <f aca="false">IF($A4306="",0,IF(COUNTIF($A$2:A4306,$A4306)=1,1,0))</f>
        <v>0</v>
      </c>
      <c r="K4306" s="47" t="n">
        <f aca="false">IF(J4306=1,N(I4306)+ROW()/10000000,0)</f>
        <v>0</v>
      </c>
      <c r="L4306" s="47" t="str">
        <f aca="false">IF(AND(J4306=1,N(I4306)&gt;0),SUMIF($K$2:$K$5001,"&gt;="&amp;K4306,$I$2:$I$5001)/MAX(1,SUM($H$2:$H$5001)),"")</f>
        <v/>
      </c>
      <c r="M4306" s="47" t="str">
        <f aca="false">IF($A4306="","",INDEX($L$2:$L$5001,MATCH($A4306,$A$2:$A$5001,0)))</f>
        <v/>
      </c>
      <c r="N4306" s="48" t="str">
        <f aca="false">IF($A4306="","",IF(N(M4306)=0,"–",IF(M4306&lt;=Start!$D$20,"A",IF(M4306&lt;=Start!$D$21,"B","C"))))</f>
        <v/>
      </c>
      <c r="O4306" s="48" t="str">
        <f aca="false">IF($A4306="","",IF(NOT(ISNUMBER(F4306)),"Wert fehlt; ",IF(F4306&lt;=0,"Wert ist 0; ",""))&amp;IF(NOT(ISNUMBER(E4306)),"Bestand fehlt; ",IF(E4306&lt;0,"Bestand negativ; ",IF(E4306=0,"Nullbestand; ","")))&amp;IF(D4306="","Warengruppe fehlt; ","")&amp;IF(B4306="","Bezeichnung fehlt; ","")&amp;IF(COUNTIFS($A$2:$A$5001,$A4306,$C$2:$C$5001,C4306)&gt;1,"Artikel doppelt im selben Lager; ",""))</f>
        <v/>
      </c>
      <c r="P4306" s="47" t="n">
        <f aca="false">IF(OR($A4306="",D4306=""),0,IF(COUNTIF($D$2:D4306,D4306)=1,SUMIF($D$2:$D$5001,D4306,$H$2:$H$5001)+ROW()/10000000,0))</f>
        <v>0</v>
      </c>
      <c r="Q4306" s="47" t="n">
        <f aca="false">IF(OR($A4306="",C4306=""),0,IF(COUNTIF($C$2:C4306,C4306)=1,SUMIF($C$2:$C$5001,C4306,$H$2:$H$5001)+ROW()/10000000,0))</f>
        <v>0</v>
      </c>
    </row>
    <row r="4307" customFormat="false" ht="15" hidden="false" customHeight="false" outlineLevel="0" collapsed="false">
      <c r="A4307" s="43"/>
      <c r="B4307" s="44"/>
      <c r="C4307" s="44"/>
      <c r="D4307" s="44"/>
      <c r="E4307" s="44"/>
      <c r="F4307" s="44"/>
      <c r="G4307" s="44"/>
      <c r="H4307" s="46" t="str">
        <f aca="false">IF($A4307="","",IF(OR(NOT(ISNUMBER(E4307)),NOT(ISNUMBER(F4307))),"",MAX(0,E4307)*F4307))</f>
        <v/>
      </c>
      <c r="I4307" s="46" t="str">
        <f aca="false">IF($A4307="","",SUMIF($A$2:$A$5001,$A4307,$H$2:$H$5001))</f>
        <v/>
      </c>
      <c r="J4307" s="47" t="n">
        <f aca="false">IF($A4307="",0,IF(COUNTIF($A$2:A4307,$A4307)=1,1,0))</f>
        <v>0</v>
      </c>
      <c r="K4307" s="47" t="n">
        <f aca="false">IF(J4307=1,N(I4307)+ROW()/10000000,0)</f>
        <v>0</v>
      </c>
      <c r="L4307" s="47" t="str">
        <f aca="false">IF(AND(J4307=1,N(I4307)&gt;0),SUMIF($K$2:$K$5001,"&gt;="&amp;K4307,$I$2:$I$5001)/MAX(1,SUM($H$2:$H$5001)),"")</f>
        <v/>
      </c>
      <c r="M4307" s="47" t="str">
        <f aca="false">IF($A4307="","",INDEX($L$2:$L$5001,MATCH($A4307,$A$2:$A$5001,0)))</f>
        <v/>
      </c>
      <c r="N4307" s="48" t="str">
        <f aca="false">IF($A4307="","",IF(N(M4307)=0,"–",IF(M4307&lt;=Start!$D$20,"A",IF(M4307&lt;=Start!$D$21,"B","C"))))</f>
        <v/>
      </c>
      <c r="O4307" s="48" t="str">
        <f aca="false">IF($A4307="","",IF(NOT(ISNUMBER(F4307)),"Wert fehlt; ",IF(F4307&lt;=0,"Wert ist 0; ",""))&amp;IF(NOT(ISNUMBER(E4307)),"Bestand fehlt; ",IF(E4307&lt;0,"Bestand negativ; ",IF(E4307=0,"Nullbestand; ","")))&amp;IF(D4307="","Warengruppe fehlt; ","")&amp;IF(B4307="","Bezeichnung fehlt; ","")&amp;IF(COUNTIFS($A$2:$A$5001,$A4307,$C$2:$C$5001,C4307)&gt;1,"Artikel doppelt im selben Lager; ",""))</f>
        <v/>
      </c>
      <c r="P4307" s="47" t="n">
        <f aca="false">IF(OR($A4307="",D4307=""),0,IF(COUNTIF($D$2:D4307,D4307)=1,SUMIF($D$2:$D$5001,D4307,$H$2:$H$5001)+ROW()/10000000,0))</f>
        <v>0</v>
      </c>
      <c r="Q4307" s="47" t="n">
        <f aca="false">IF(OR($A4307="",C4307=""),0,IF(COUNTIF($C$2:C4307,C4307)=1,SUMIF($C$2:$C$5001,C4307,$H$2:$H$5001)+ROW()/10000000,0))</f>
        <v>0</v>
      </c>
    </row>
    <row r="4308" customFormat="false" ht="15" hidden="false" customHeight="false" outlineLevel="0" collapsed="false">
      <c r="A4308" s="43"/>
      <c r="B4308" s="44"/>
      <c r="C4308" s="44"/>
      <c r="D4308" s="44"/>
      <c r="E4308" s="44"/>
      <c r="F4308" s="44"/>
      <c r="G4308" s="44"/>
      <c r="H4308" s="46" t="str">
        <f aca="false">IF($A4308="","",IF(OR(NOT(ISNUMBER(E4308)),NOT(ISNUMBER(F4308))),"",MAX(0,E4308)*F4308))</f>
        <v/>
      </c>
      <c r="I4308" s="46" t="str">
        <f aca="false">IF($A4308="","",SUMIF($A$2:$A$5001,$A4308,$H$2:$H$5001))</f>
        <v/>
      </c>
      <c r="J4308" s="47" t="n">
        <f aca="false">IF($A4308="",0,IF(COUNTIF($A$2:A4308,$A4308)=1,1,0))</f>
        <v>0</v>
      </c>
      <c r="K4308" s="47" t="n">
        <f aca="false">IF(J4308=1,N(I4308)+ROW()/10000000,0)</f>
        <v>0</v>
      </c>
      <c r="L4308" s="47" t="str">
        <f aca="false">IF(AND(J4308=1,N(I4308)&gt;0),SUMIF($K$2:$K$5001,"&gt;="&amp;K4308,$I$2:$I$5001)/MAX(1,SUM($H$2:$H$5001)),"")</f>
        <v/>
      </c>
      <c r="M4308" s="47" t="str">
        <f aca="false">IF($A4308="","",INDEX($L$2:$L$5001,MATCH($A4308,$A$2:$A$5001,0)))</f>
        <v/>
      </c>
      <c r="N4308" s="48" t="str">
        <f aca="false">IF($A4308="","",IF(N(M4308)=0,"–",IF(M4308&lt;=Start!$D$20,"A",IF(M4308&lt;=Start!$D$21,"B","C"))))</f>
        <v/>
      </c>
      <c r="O4308" s="48" t="str">
        <f aca="false">IF($A4308="","",IF(NOT(ISNUMBER(F4308)),"Wert fehlt; ",IF(F4308&lt;=0,"Wert ist 0; ",""))&amp;IF(NOT(ISNUMBER(E4308)),"Bestand fehlt; ",IF(E4308&lt;0,"Bestand negativ; ",IF(E4308=0,"Nullbestand; ","")))&amp;IF(D4308="","Warengruppe fehlt; ","")&amp;IF(B4308="","Bezeichnung fehlt; ","")&amp;IF(COUNTIFS($A$2:$A$5001,$A4308,$C$2:$C$5001,C4308)&gt;1,"Artikel doppelt im selben Lager; ",""))</f>
        <v/>
      </c>
      <c r="P4308" s="47" t="n">
        <f aca="false">IF(OR($A4308="",D4308=""),0,IF(COUNTIF($D$2:D4308,D4308)=1,SUMIF($D$2:$D$5001,D4308,$H$2:$H$5001)+ROW()/10000000,0))</f>
        <v>0</v>
      </c>
      <c r="Q4308" s="47" t="n">
        <f aca="false">IF(OR($A4308="",C4308=""),0,IF(COUNTIF($C$2:C4308,C4308)=1,SUMIF($C$2:$C$5001,C4308,$H$2:$H$5001)+ROW()/10000000,0))</f>
        <v>0</v>
      </c>
    </row>
    <row r="4309" customFormat="false" ht="15" hidden="false" customHeight="false" outlineLevel="0" collapsed="false">
      <c r="A4309" s="43"/>
      <c r="B4309" s="44"/>
      <c r="C4309" s="44"/>
      <c r="D4309" s="44"/>
      <c r="E4309" s="44"/>
      <c r="F4309" s="44"/>
      <c r="G4309" s="44"/>
      <c r="H4309" s="46" t="str">
        <f aca="false">IF($A4309="","",IF(OR(NOT(ISNUMBER(E4309)),NOT(ISNUMBER(F4309))),"",MAX(0,E4309)*F4309))</f>
        <v/>
      </c>
      <c r="I4309" s="46" t="str">
        <f aca="false">IF($A4309="","",SUMIF($A$2:$A$5001,$A4309,$H$2:$H$5001))</f>
        <v/>
      </c>
      <c r="J4309" s="47" t="n">
        <f aca="false">IF($A4309="",0,IF(COUNTIF($A$2:A4309,$A4309)=1,1,0))</f>
        <v>0</v>
      </c>
      <c r="K4309" s="47" t="n">
        <f aca="false">IF(J4309=1,N(I4309)+ROW()/10000000,0)</f>
        <v>0</v>
      </c>
      <c r="L4309" s="47" t="str">
        <f aca="false">IF(AND(J4309=1,N(I4309)&gt;0),SUMIF($K$2:$K$5001,"&gt;="&amp;K4309,$I$2:$I$5001)/MAX(1,SUM($H$2:$H$5001)),"")</f>
        <v/>
      </c>
      <c r="M4309" s="47" t="str">
        <f aca="false">IF($A4309="","",INDEX($L$2:$L$5001,MATCH($A4309,$A$2:$A$5001,0)))</f>
        <v/>
      </c>
      <c r="N4309" s="48" t="str">
        <f aca="false">IF($A4309="","",IF(N(M4309)=0,"–",IF(M4309&lt;=Start!$D$20,"A",IF(M4309&lt;=Start!$D$21,"B","C"))))</f>
        <v/>
      </c>
      <c r="O4309" s="48" t="str">
        <f aca="false">IF($A4309="","",IF(NOT(ISNUMBER(F4309)),"Wert fehlt; ",IF(F4309&lt;=0,"Wert ist 0; ",""))&amp;IF(NOT(ISNUMBER(E4309)),"Bestand fehlt; ",IF(E4309&lt;0,"Bestand negativ; ",IF(E4309=0,"Nullbestand; ","")))&amp;IF(D4309="","Warengruppe fehlt; ","")&amp;IF(B4309="","Bezeichnung fehlt; ","")&amp;IF(COUNTIFS($A$2:$A$5001,$A4309,$C$2:$C$5001,C4309)&gt;1,"Artikel doppelt im selben Lager; ",""))</f>
        <v/>
      </c>
      <c r="P4309" s="47" t="n">
        <f aca="false">IF(OR($A4309="",D4309=""),0,IF(COUNTIF($D$2:D4309,D4309)=1,SUMIF($D$2:$D$5001,D4309,$H$2:$H$5001)+ROW()/10000000,0))</f>
        <v>0</v>
      </c>
      <c r="Q4309" s="47" t="n">
        <f aca="false">IF(OR($A4309="",C4309=""),0,IF(COUNTIF($C$2:C4309,C4309)=1,SUMIF($C$2:$C$5001,C4309,$H$2:$H$5001)+ROW()/10000000,0))</f>
        <v>0</v>
      </c>
    </row>
    <row r="4310" customFormat="false" ht="15" hidden="false" customHeight="false" outlineLevel="0" collapsed="false">
      <c r="A4310" s="43"/>
      <c r="B4310" s="44"/>
      <c r="C4310" s="44"/>
      <c r="D4310" s="44"/>
      <c r="E4310" s="44"/>
      <c r="F4310" s="44"/>
      <c r="G4310" s="44"/>
      <c r="H4310" s="46" t="str">
        <f aca="false">IF($A4310="","",IF(OR(NOT(ISNUMBER(E4310)),NOT(ISNUMBER(F4310))),"",MAX(0,E4310)*F4310))</f>
        <v/>
      </c>
      <c r="I4310" s="46" t="str">
        <f aca="false">IF($A4310="","",SUMIF($A$2:$A$5001,$A4310,$H$2:$H$5001))</f>
        <v/>
      </c>
      <c r="J4310" s="47" t="n">
        <f aca="false">IF($A4310="",0,IF(COUNTIF($A$2:A4310,$A4310)=1,1,0))</f>
        <v>0</v>
      </c>
      <c r="K4310" s="47" t="n">
        <f aca="false">IF(J4310=1,N(I4310)+ROW()/10000000,0)</f>
        <v>0</v>
      </c>
      <c r="L4310" s="47" t="str">
        <f aca="false">IF(AND(J4310=1,N(I4310)&gt;0),SUMIF($K$2:$K$5001,"&gt;="&amp;K4310,$I$2:$I$5001)/MAX(1,SUM($H$2:$H$5001)),"")</f>
        <v/>
      </c>
      <c r="M4310" s="47" t="str">
        <f aca="false">IF($A4310="","",INDEX($L$2:$L$5001,MATCH($A4310,$A$2:$A$5001,0)))</f>
        <v/>
      </c>
      <c r="N4310" s="48" t="str">
        <f aca="false">IF($A4310="","",IF(N(M4310)=0,"–",IF(M4310&lt;=Start!$D$20,"A",IF(M4310&lt;=Start!$D$21,"B","C"))))</f>
        <v/>
      </c>
      <c r="O4310" s="48" t="str">
        <f aca="false">IF($A4310="","",IF(NOT(ISNUMBER(F4310)),"Wert fehlt; ",IF(F4310&lt;=0,"Wert ist 0; ",""))&amp;IF(NOT(ISNUMBER(E4310)),"Bestand fehlt; ",IF(E4310&lt;0,"Bestand negativ; ",IF(E4310=0,"Nullbestand; ","")))&amp;IF(D4310="","Warengruppe fehlt; ","")&amp;IF(B4310="","Bezeichnung fehlt; ","")&amp;IF(COUNTIFS($A$2:$A$5001,$A4310,$C$2:$C$5001,C4310)&gt;1,"Artikel doppelt im selben Lager; ",""))</f>
        <v/>
      </c>
      <c r="P4310" s="47" t="n">
        <f aca="false">IF(OR($A4310="",D4310=""),0,IF(COUNTIF($D$2:D4310,D4310)=1,SUMIF($D$2:$D$5001,D4310,$H$2:$H$5001)+ROW()/10000000,0))</f>
        <v>0</v>
      </c>
      <c r="Q4310" s="47" t="n">
        <f aca="false">IF(OR($A4310="",C4310=""),0,IF(COUNTIF($C$2:C4310,C4310)=1,SUMIF($C$2:$C$5001,C4310,$H$2:$H$5001)+ROW()/10000000,0))</f>
        <v>0</v>
      </c>
    </row>
    <row r="4311" customFormat="false" ht="15" hidden="false" customHeight="false" outlineLevel="0" collapsed="false">
      <c r="A4311" s="43"/>
      <c r="B4311" s="44"/>
      <c r="C4311" s="44"/>
      <c r="D4311" s="44"/>
      <c r="E4311" s="44"/>
      <c r="F4311" s="44"/>
      <c r="G4311" s="44"/>
      <c r="H4311" s="46" t="str">
        <f aca="false">IF($A4311="","",IF(OR(NOT(ISNUMBER(E4311)),NOT(ISNUMBER(F4311))),"",MAX(0,E4311)*F4311))</f>
        <v/>
      </c>
      <c r="I4311" s="46" t="str">
        <f aca="false">IF($A4311="","",SUMIF($A$2:$A$5001,$A4311,$H$2:$H$5001))</f>
        <v/>
      </c>
      <c r="J4311" s="47" t="n">
        <f aca="false">IF($A4311="",0,IF(COUNTIF($A$2:A4311,$A4311)=1,1,0))</f>
        <v>0</v>
      </c>
      <c r="K4311" s="47" t="n">
        <f aca="false">IF(J4311=1,N(I4311)+ROW()/10000000,0)</f>
        <v>0</v>
      </c>
      <c r="L4311" s="47" t="str">
        <f aca="false">IF(AND(J4311=1,N(I4311)&gt;0),SUMIF($K$2:$K$5001,"&gt;="&amp;K4311,$I$2:$I$5001)/MAX(1,SUM($H$2:$H$5001)),"")</f>
        <v/>
      </c>
      <c r="M4311" s="47" t="str">
        <f aca="false">IF($A4311="","",INDEX($L$2:$L$5001,MATCH($A4311,$A$2:$A$5001,0)))</f>
        <v/>
      </c>
      <c r="N4311" s="48" t="str">
        <f aca="false">IF($A4311="","",IF(N(M4311)=0,"–",IF(M4311&lt;=Start!$D$20,"A",IF(M4311&lt;=Start!$D$21,"B","C"))))</f>
        <v/>
      </c>
      <c r="O4311" s="48" t="str">
        <f aca="false">IF($A4311="","",IF(NOT(ISNUMBER(F4311)),"Wert fehlt; ",IF(F4311&lt;=0,"Wert ist 0; ",""))&amp;IF(NOT(ISNUMBER(E4311)),"Bestand fehlt; ",IF(E4311&lt;0,"Bestand negativ; ",IF(E4311=0,"Nullbestand; ","")))&amp;IF(D4311="","Warengruppe fehlt; ","")&amp;IF(B4311="","Bezeichnung fehlt; ","")&amp;IF(COUNTIFS($A$2:$A$5001,$A4311,$C$2:$C$5001,C4311)&gt;1,"Artikel doppelt im selben Lager; ",""))</f>
        <v/>
      </c>
      <c r="P4311" s="47" t="n">
        <f aca="false">IF(OR($A4311="",D4311=""),0,IF(COUNTIF($D$2:D4311,D4311)=1,SUMIF($D$2:$D$5001,D4311,$H$2:$H$5001)+ROW()/10000000,0))</f>
        <v>0</v>
      </c>
      <c r="Q4311" s="47" t="n">
        <f aca="false">IF(OR($A4311="",C4311=""),0,IF(COUNTIF($C$2:C4311,C4311)=1,SUMIF($C$2:$C$5001,C4311,$H$2:$H$5001)+ROW()/10000000,0))</f>
        <v>0</v>
      </c>
    </row>
    <row r="4312" customFormat="false" ht="15" hidden="false" customHeight="false" outlineLevel="0" collapsed="false">
      <c r="A4312" s="43"/>
      <c r="B4312" s="44"/>
      <c r="C4312" s="44"/>
      <c r="D4312" s="44"/>
      <c r="E4312" s="44"/>
      <c r="F4312" s="44"/>
      <c r="G4312" s="44"/>
      <c r="H4312" s="46" t="str">
        <f aca="false">IF($A4312="","",IF(OR(NOT(ISNUMBER(E4312)),NOT(ISNUMBER(F4312))),"",MAX(0,E4312)*F4312))</f>
        <v/>
      </c>
      <c r="I4312" s="46" t="str">
        <f aca="false">IF($A4312="","",SUMIF($A$2:$A$5001,$A4312,$H$2:$H$5001))</f>
        <v/>
      </c>
      <c r="J4312" s="47" t="n">
        <f aca="false">IF($A4312="",0,IF(COUNTIF($A$2:A4312,$A4312)=1,1,0))</f>
        <v>0</v>
      </c>
      <c r="K4312" s="47" t="n">
        <f aca="false">IF(J4312=1,N(I4312)+ROW()/10000000,0)</f>
        <v>0</v>
      </c>
      <c r="L4312" s="47" t="str">
        <f aca="false">IF(AND(J4312=1,N(I4312)&gt;0),SUMIF($K$2:$K$5001,"&gt;="&amp;K4312,$I$2:$I$5001)/MAX(1,SUM($H$2:$H$5001)),"")</f>
        <v/>
      </c>
      <c r="M4312" s="47" t="str">
        <f aca="false">IF($A4312="","",INDEX($L$2:$L$5001,MATCH($A4312,$A$2:$A$5001,0)))</f>
        <v/>
      </c>
      <c r="N4312" s="48" t="str">
        <f aca="false">IF($A4312="","",IF(N(M4312)=0,"–",IF(M4312&lt;=Start!$D$20,"A",IF(M4312&lt;=Start!$D$21,"B","C"))))</f>
        <v/>
      </c>
      <c r="O4312" s="48" t="str">
        <f aca="false">IF($A4312="","",IF(NOT(ISNUMBER(F4312)),"Wert fehlt; ",IF(F4312&lt;=0,"Wert ist 0; ",""))&amp;IF(NOT(ISNUMBER(E4312)),"Bestand fehlt; ",IF(E4312&lt;0,"Bestand negativ; ",IF(E4312=0,"Nullbestand; ","")))&amp;IF(D4312="","Warengruppe fehlt; ","")&amp;IF(B4312="","Bezeichnung fehlt; ","")&amp;IF(COUNTIFS($A$2:$A$5001,$A4312,$C$2:$C$5001,C4312)&gt;1,"Artikel doppelt im selben Lager; ",""))</f>
        <v/>
      </c>
      <c r="P4312" s="47" t="n">
        <f aca="false">IF(OR($A4312="",D4312=""),0,IF(COUNTIF($D$2:D4312,D4312)=1,SUMIF($D$2:$D$5001,D4312,$H$2:$H$5001)+ROW()/10000000,0))</f>
        <v>0</v>
      </c>
      <c r="Q4312" s="47" t="n">
        <f aca="false">IF(OR($A4312="",C4312=""),0,IF(COUNTIF($C$2:C4312,C4312)=1,SUMIF($C$2:$C$5001,C4312,$H$2:$H$5001)+ROW()/10000000,0))</f>
        <v>0</v>
      </c>
    </row>
    <row r="4313" customFormat="false" ht="15" hidden="false" customHeight="false" outlineLevel="0" collapsed="false">
      <c r="A4313" s="43"/>
      <c r="B4313" s="44"/>
      <c r="C4313" s="44"/>
      <c r="D4313" s="44"/>
      <c r="E4313" s="44"/>
      <c r="F4313" s="44"/>
      <c r="G4313" s="44"/>
      <c r="H4313" s="46" t="str">
        <f aca="false">IF($A4313="","",IF(OR(NOT(ISNUMBER(E4313)),NOT(ISNUMBER(F4313))),"",MAX(0,E4313)*F4313))</f>
        <v/>
      </c>
      <c r="I4313" s="46" t="str">
        <f aca="false">IF($A4313="","",SUMIF($A$2:$A$5001,$A4313,$H$2:$H$5001))</f>
        <v/>
      </c>
      <c r="J4313" s="47" t="n">
        <f aca="false">IF($A4313="",0,IF(COUNTIF($A$2:A4313,$A4313)=1,1,0))</f>
        <v>0</v>
      </c>
      <c r="K4313" s="47" t="n">
        <f aca="false">IF(J4313=1,N(I4313)+ROW()/10000000,0)</f>
        <v>0</v>
      </c>
      <c r="L4313" s="47" t="str">
        <f aca="false">IF(AND(J4313=1,N(I4313)&gt;0),SUMIF($K$2:$K$5001,"&gt;="&amp;K4313,$I$2:$I$5001)/MAX(1,SUM($H$2:$H$5001)),"")</f>
        <v/>
      </c>
      <c r="M4313" s="47" t="str">
        <f aca="false">IF($A4313="","",INDEX($L$2:$L$5001,MATCH($A4313,$A$2:$A$5001,0)))</f>
        <v/>
      </c>
      <c r="N4313" s="48" t="str">
        <f aca="false">IF($A4313="","",IF(N(M4313)=0,"–",IF(M4313&lt;=Start!$D$20,"A",IF(M4313&lt;=Start!$D$21,"B","C"))))</f>
        <v/>
      </c>
      <c r="O4313" s="48" t="str">
        <f aca="false">IF($A4313="","",IF(NOT(ISNUMBER(F4313)),"Wert fehlt; ",IF(F4313&lt;=0,"Wert ist 0; ",""))&amp;IF(NOT(ISNUMBER(E4313)),"Bestand fehlt; ",IF(E4313&lt;0,"Bestand negativ; ",IF(E4313=0,"Nullbestand; ","")))&amp;IF(D4313="","Warengruppe fehlt; ","")&amp;IF(B4313="","Bezeichnung fehlt; ","")&amp;IF(COUNTIFS($A$2:$A$5001,$A4313,$C$2:$C$5001,C4313)&gt;1,"Artikel doppelt im selben Lager; ",""))</f>
        <v/>
      </c>
      <c r="P4313" s="47" t="n">
        <f aca="false">IF(OR($A4313="",D4313=""),0,IF(COUNTIF($D$2:D4313,D4313)=1,SUMIF($D$2:$D$5001,D4313,$H$2:$H$5001)+ROW()/10000000,0))</f>
        <v>0</v>
      </c>
      <c r="Q4313" s="47" t="n">
        <f aca="false">IF(OR($A4313="",C4313=""),0,IF(COUNTIF($C$2:C4313,C4313)=1,SUMIF($C$2:$C$5001,C4313,$H$2:$H$5001)+ROW()/10000000,0))</f>
        <v>0</v>
      </c>
    </row>
    <row r="4314" customFormat="false" ht="15" hidden="false" customHeight="false" outlineLevel="0" collapsed="false">
      <c r="A4314" s="43"/>
      <c r="B4314" s="44"/>
      <c r="C4314" s="44"/>
      <c r="D4314" s="44"/>
      <c r="E4314" s="44"/>
      <c r="F4314" s="44"/>
      <c r="G4314" s="44"/>
      <c r="H4314" s="46" t="str">
        <f aca="false">IF($A4314="","",IF(OR(NOT(ISNUMBER(E4314)),NOT(ISNUMBER(F4314))),"",MAX(0,E4314)*F4314))</f>
        <v/>
      </c>
      <c r="I4314" s="46" t="str">
        <f aca="false">IF($A4314="","",SUMIF($A$2:$A$5001,$A4314,$H$2:$H$5001))</f>
        <v/>
      </c>
      <c r="J4314" s="47" t="n">
        <f aca="false">IF($A4314="",0,IF(COUNTIF($A$2:A4314,$A4314)=1,1,0))</f>
        <v>0</v>
      </c>
      <c r="K4314" s="47" t="n">
        <f aca="false">IF(J4314=1,N(I4314)+ROW()/10000000,0)</f>
        <v>0</v>
      </c>
      <c r="L4314" s="47" t="str">
        <f aca="false">IF(AND(J4314=1,N(I4314)&gt;0),SUMIF($K$2:$K$5001,"&gt;="&amp;K4314,$I$2:$I$5001)/MAX(1,SUM($H$2:$H$5001)),"")</f>
        <v/>
      </c>
      <c r="M4314" s="47" t="str">
        <f aca="false">IF($A4314="","",INDEX($L$2:$L$5001,MATCH($A4314,$A$2:$A$5001,0)))</f>
        <v/>
      </c>
      <c r="N4314" s="48" t="str">
        <f aca="false">IF($A4314="","",IF(N(M4314)=0,"–",IF(M4314&lt;=Start!$D$20,"A",IF(M4314&lt;=Start!$D$21,"B","C"))))</f>
        <v/>
      </c>
      <c r="O4314" s="48" t="str">
        <f aca="false">IF($A4314="","",IF(NOT(ISNUMBER(F4314)),"Wert fehlt; ",IF(F4314&lt;=0,"Wert ist 0; ",""))&amp;IF(NOT(ISNUMBER(E4314)),"Bestand fehlt; ",IF(E4314&lt;0,"Bestand negativ; ",IF(E4314=0,"Nullbestand; ","")))&amp;IF(D4314="","Warengruppe fehlt; ","")&amp;IF(B4314="","Bezeichnung fehlt; ","")&amp;IF(COUNTIFS($A$2:$A$5001,$A4314,$C$2:$C$5001,C4314)&gt;1,"Artikel doppelt im selben Lager; ",""))</f>
        <v/>
      </c>
      <c r="P4314" s="47" t="n">
        <f aca="false">IF(OR($A4314="",D4314=""),0,IF(COUNTIF($D$2:D4314,D4314)=1,SUMIF($D$2:$D$5001,D4314,$H$2:$H$5001)+ROW()/10000000,0))</f>
        <v>0</v>
      </c>
      <c r="Q4314" s="47" t="n">
        <f aca="false">IF(OR($A4314="",C4314=""),0,IF(COUNTIF($C$2:C4314,C4314)=1,SUMIF($C$2:$C$5001,C4314,$H$2:$H$5001)+ROW()/10000000,0))</f>
        <v>0</v>
      </c>
    </row>
    <row r="4315" customFormat="false" ht="15" hidden="false" customHeight="false" outlineLevel="0" collapsed="false">
      <c r="A4315" s="43"/>
      <c r="B4315" s="44"/>
      <c r="C4315" s="44"/>
      <c r="D4315" s="44"/>
      <c r="E4315" s="44"/>
      <c r="F4315" s="44"/>
      <c r="G4315" s="44"/>
      <c r="H4315" s="46" t="str">
        <f aca="false">IF($A4315="","",IF(OR(NOT(ISNUMBER(E4315)),NOT(ISNUMBER(F4315))),"",MAX(0,E4315)*F4315))</f>
        <v/>
      </c>
      <c r="I4315" s="46" t="str">
        <f aca="false">IF($A4315="","",SUMIF($A$2:$A$5001,$A4315,$H$2:$H$5001))</f>
        <v/>
      </c>
      <c r="J4315" s="47" t="n">
        <f aca="false">IF($A4315="",0,IF(COUNTIF($A$2:A4315,$A4315)=1,1,0))</f>
        <v>0</v>
      </c>
      <c r="K4315" s="47" t="n">
        <f aca="false">IF(J4315=1,N(I4315)+ROW()/10000000,0)</f>
        <v>0</v>
      </c>
      <c r="L4315" s="47" t="str">
        <f aca="false">IF(AND(J4315=1,N(I4315)&gt;0),SUMIF($K$2:$K$5001,"&gt;="&amp;K4315,$I$2:$I$5001)/MAX(1,SUM($H$2:$H$5001)),"")</f>
        <v/>
      </c>
      <c r="M4315" s="47" t="str">
        <f aca="false">IF($A4315="","",INDEX($L$2:$L$5001,MATCH($A4315,$A$2:$A$5001,0)))</f>
        <v/>
      </c>
      <c r="N4315" s="48" t="str">
        <f aca="false">IF($A4315="","",IF(N(M4315)=0,"–",IF(M4315&lt;=Start!$D$20,"A",IF(M4315&lt;=Start!$D$21,"B","C"))))</f>
        <v/>
      </c>
      <c r="O4315" s="48" t="str">
        <f aca="false">IF($A4315="","",IF(NOT(ISNUMBER(F4315)),"Wert fehlt; ",IF(F4315&lt;=0,"Wert ist 0; ",""))&amp;IF(NOT(ISNUMBER(E4315)),"Bestand fehlt; ",IF(E4315&lt;0,"Bestand negativ; ",IF(E4315=0,"Nullbestand; ","")))&amp;IF(D4315="","Warengruppe fehlt; ","")&amp;IF(B4315="","Bezeichnung fehlt; ","")&amp;IF(COUNTIFS($A$2:$A$5001,$A4315,$C$2:$C$5001,C4315)&gt;1,"Artikel doppelt im selben Lager; ",""))</f>
        <v/>
      </c>
      <c r="P4315" s="47" t="n">
        <f aca="false">IF(OR($A4315="",D4315=""),0,IF(COUNTIF($D$2:D4315,D4315)=1,SUMIF($D$2:$D$5001,D4315,$H$2:$H$5001)+ROW()/10000000,0))</f>
        <v>0</v>
      </c>
      <c r="Q4315" s="47" t="n">
        <f aca="false">IF(OR($A4315="",C4315=""),0,IF(COUNTIF($C$2:C4315,C4315)=1,SUMIF($C$2:$C$5001,C4315,$H$2:$H$5001)+ROW()/10000000,0))</f>
        <v>0</v>
      </c>
    </row>
    <row r="4316" customFormat="false" ht="15" hidden="false" customHeight="false" outlineLevel="0" collapsed="false">
      <c r="A4316" s="43"/>
      <c r="B4316" s="44"/>
      <c r="C4316" s="44"/>
      <c r="D4316" s="44"/>
      <c r="E4316" s="44"/>
      <c r="F4316" s="44"/>
      <c r="G4316" s="44"/>
      <c r="H4316" s="46" t="str">
        <f aca="false">IF($A4316="","",IF(OR(NOT(ISNUMBER(E4316)),NOT(ISNUMBER(F4316))),"",MAX(0,E4316)*F4316))</f>
        <v/>
      </c>
      <c r="I4316" s="46" t="str">
        <f aca="false">IF($A4316="","",SUMIF($A$2:$A$5001,$A4316,$H$2:$H$5001))</f>
        <v/>
      </c>
      <c r="J4316" s="47" t="n">
        <f aca="false">IF($A4316="",0,IF(COUNTIF($A$2:A4316,$A4316)=1,1,0))</f>
        <v>0</v>
      </c>
      <c r="K4316" s="47" t="n">
        <f aca="false">IF(J4316=1,N(I4316)+ROW()/10000000,0)</f>
        <v>0</v>
      </c>
      <c r="L4316" s="47" t="str">
        <f aca="false">IF(AND(J4316=1,N(I4316)&gt;0),SUMIF($K$2:$K$5001,"&gt;="&amp;K4316,$I$2:$I$5001)/MAX(1,SUM($H$2:$H$5001)),"")</f>
        <v/>
      </c>
      <c r="M4316" s="47" t="str">
        <f aca="false">IF($A4316="","",INDEX($L$2:$L$5001,MATCH($A4316,$A$2:$A$5001,0)))</f>
        <v/>
      </c>
      <c r="N4316" s="48" t="str">
        <f aca="false">IF($A4316="","",IF(N(M4316)=0,"–",IF(M4316&lt;=Start!$D$20,"A",IF(M4316&lt;=Start!$D$21,"B","C"))))</f>
        <v/>
      </c>
      <c r="O4316" s="48" t="str">
        <f aca="false">IF($A4316="","",IF(NOT(ISNUMBER(F4316)),"Wert fehlt; ",IF(F4316&lt;=0,"Wert ist 0; ",""))&amp;IF(NOT(ISNUMBER(E4316)),"Bestand fehlt; ",IF(E4316&lt;0,"Bestand negativ; ",IF(E4316=0,"Nullbestand; ","")))&amp;IF(D4316="","Warengruppe fehlt; ","")&amp;IF(B4316="","Bezeichnung fehlt; ","")&amp;IF(COUNTIFS($A$2:$A$5001,$A4316,$C$2:$C$5001,C4316)&gt;1,"Artikel doppelt im selben Lager; ",""))</f>
        <v/>
      </c>
      <c r="P4316" s="47" t="n">
        <f aca="false">IF(OR($A4316="",D4316=""),0,IF(COUNTIF($D$2:D4316,D4316)=1,SUMIF($D$2:$D$5001,D4316,$H$2:$H$5001)+ROW()/10000000,0))</f>
        <v>0</v>
      </c>
      <c r="Q4316" s="47" t="n">
        <f aca="false">IF(OR($A4316="",C4316=""),0,IF(COUNTIF($C$2:C4316,C4316)=1,SUMIF($C$2:$C$5001,C4316,$H$2:$H$5001)+ROW()/10000000,0))</f>
        <v>0</v>
      </c>
    </row>
    <row r="4317" customFormat="false" ht="15" hidden="false" customHeight="false" outlineLevel="0" collapsed="false">
      <c r="A4317" s="43"/>
      <c r="B4317" s="44"/>
      <c r="C4317" s="44"/>
      <c r="D4317" s="44"/>
      <c r="E4317" s="44"/>
      <c r="F4317" s="44"/>
      <c r="G4317" s="44"/>
      <c r="H4317" s="46" t="str">
        <f aca="false">IF($A4317="","",IF(OR(NOT(ISNUMBER(E4317)),NOT(ISNUMBER(F4317))),"",MAX(0,E4317)*F4317))</f>
        <v/>
      </c>
      <c r="I4317" s="46" t="str">
        <f aca="false">IF($A4317="","",SUMIF($A$2:$A$5001,$A4317,$H$2:$H$5001))</f>
        <v/>
      </c>
      <c r="J4317" s="47" t="n">
        <f aca="false">IF($A4317="",0,IF(COUNTIF($A$2:A4317,$A4317)=1,1,0))</f>
        <v>0</v>
      </c>
      <c r="K4317" s="47" t="n">
        <f aca="false">IF(J4317=1,N(I4317)+ROW()/10000000,0)</f>
        <v>0</v>
      </c>
      <c r="L4317" s="47" t="str">
        <f aca="false">IF(AND(J4317=1,N(I4317)&gt;0),SUMIF($K$2:$K$5001,"&gt;="&amp;K4317,$I$2:$I$5001)/MAX(1,SUM($H$2:$H$5001)),"")</f>
        <v/>
      </c>
      <c r="M4317" s="47" t="str">
        <f aca="false">IF($A4317="","",INDEX($L$2:$L$5001,MATCH($A4317,$A$2:$A$5001,0)))</f>
        <v/>
      </c>
      <c r="N4317" s="48" t="str">
        <f aca="false">IF($A4317="","",IF(N(M4317)=0,"–",IF(M4317&lt;=Start!$D$20,"A",IF(M4317&lt;=Start!$D$21,"B","C"))))</f>
        <v/>
      </c>
      <c r="O4317" s="48" t="str">
        <f aca="false">IF($A4317="","",IF(NOT(ISNUMBER(F4317)),"Wert fehlt; ",IF(F4317&lt;=0,"Wert ist 0; ",""))&amp;IF(NOT(ISNUMBER(E4317)),"Bestand fehlt; ",IF(E4317&lt;0,"Bestand negativ; ",IF(E4317=0,"Nullbestand; ","")))&amp;IF(D4317="","Warengruppe fehlt; ","")&amp;IF(B4317="","Bezeichnung fehlt; ","")&amp;IF(COUNTIFS($A$2:$A$5001,$A4317,$C$2:$C$5001,C4317)&gt;1,"Artikel doppelt im selben Lager; ",""))</f>
        <v/>
      </c>
      <c r="P4317" s="47" t="n">
        <f aca="false">IF(OR($A4317="",D4317=""),0,IF(COUNTIF($D$2:D4317,D4317)=1,SUMIF($D$2:$D$5001,D4317,$H$2:$H$5001)+ROW()/10000000,0))</f>
        <v>0</v>
      </c>
      <c r="Q4317" s="47" t="n">
        <f aca="false">IF(OR($A4317="",C4317=""),0,IF(COUNTIF($C$2:C4317,C4317)=1,SUMIF($C$2:$C$5001,C4317,$H$2:$H$5001)+ROW()/10000000,0))</f>
        <v>0</v>
      </c>
    </row>
    <row r="4318" customFormat="false" ht="15" hidden="false" customHeight="false" outlineLevel="0" collapsed="false">
      <c r="A4318" s="43"/>
      <c r="B4318" s="44"/>
      <c r="C4318" s="44"/>
      <c r="D4318" s="44"/>
      <c r="E4318" s="44"/>
      <c r="F4318" s="44"/>
      <c r="G4318" s="44"/>
      <c r="H4318" s="46" t="str">
        <f aca="false">IF($A4318="","",IF(OR(NOT(ISNUMBER(E4318)),NOT(ISNUMBER(F4318))),"",MAX(0,E4318)*F4318))</f>
        <v/>
      </c>
      <c r="I4318" s="46" t="str">
        <f aca="false">IF($A4318="","",SUMIF($A$2:$A$5001,$A4318,$H$2:$H$5001))</f>
        <v/>
      </c>
      <c r="J4318" s="47" t="n">
        <f aca="false">IF($A4318="",0,IF(COUNTIF($A$2:A4318,$A4318)=1,1,0))</f>
        <v>0</v>
      </c>
      <c r="K4318" s="47" t="n">
        <f aca="false">IF(J4318=1,N(I4318)+ROW()/10000000,0)</f>
        <v>0</v>
      </c>
      <c r="L4318" s="47" t="str">
        <f aca="false">IF(AND(J4318=1,N(I4318)&gt;0),SUMIF($K$2:$K$5001,"&gt;="&amp;K4318,$I$2:$I$5001)/MAX(1,SUM($H$2:$H$5001)),"")</f>
        <v/>
      </c>
      <c r="M4318" s="47" t="str">
        <f aca="false">IF($A4318="","",INDEX($L$2:$L$5001,MATCH($A4318,$A$2:$A$5001,0)))</f>
        <v/>
      </c>
      <c r="N4318" s="48" t="str">
        <f aca="false">IF($A4318="","",IF(N(M4318)=0,"–",IF(M4318&lt;=Start!$D$20,"A",IF(M4318&lt;=Start!$D$21,"B","C"))))</f>
        <v/>
      </c>
      <c r="O4318" s="48" t="str">
        <f aca="false">IF($A4318="","",IF(NOT(ISNUMBER(F4318)),"Wert fehlt; ",IF(F4318&lt;=0,"Wert ist 0; ",""))&amp;IF(NOT(ISNUMBER(E4318)),"Bestand fehlt; ",IF(E4318&lt;0,"Bestand negativ; ",IF(E4318=0,"Nullbestand; ","")))&amp;IF(D4318="","Warengruppe fehlt; ","")&amp;IF(B4318="","Bezeichnung fehlt; ","")&amp;IF(COUNTIFS($A$2:$A$5001,$A4318,$C$2:$C$5001,C4318)&gt;1,"Artikel doppelt im selben Lager; ",""))</f>
        <v/>
      </c>
      <c r="P4318" s="47" t="n">
        <f aca="false">IF(OR($A4318="",D4318=""),0,IF(COUNTIF($D$2:D4318,D4318)=1,SUMIF($D$2:$D$5001,D4318,$H$2:$H$5001)+ROW()/10000000,0))</f>
        <v>0</v>
      </c>
      <c r="Q4318" s="47" t="n">
        <f aca="false">IF(OR($A4318="",C4318=""),0,IF(COUNTIF($C$2:C4318,C4318)=1,SUMIF($C$2:$C$5001,C4318,$H$2:$H$5001)+ROW()/10000000,0))</f>
        <v>0</v>
      </c>
    </row>
    <row r="4319" customFormat="false" ht="15" hidden="false" customHeight="false" outlineLevel="0" collapsed="false">
      <c r="A4319" s="43"/>
      <c r="B4319" s="44"/>
      <c r="C4319" s="44"/>
      <c r="D4319" s="44"/>
      <c r="E4319" s="44"/>
      <c r="F4319" s="44"/>
      <c r="G4319" s="44"/>
      <c r="H4319" s="46" t="str">
        <f aca="false">IF($A4319="","",IF(OR(NOT(ISNUMBER(E4319)),NOT(ISNUMBER(F4319))),"",MAX(0,E4319)*F4319))</f>
        <v/>
      </c>
      <c r="I4319" s="46" t="str">
        <f aca="false">IF($A4319="","",SUMIF($A$2:$A$5001,$A4319,$H$2:$H$5001))</f>
        <v/>
      </c>
      <c r="J4319" s="47" t="n">
        <f aca="false">IF($A4319="",0,IF(COUNTIF($A$2:A4319,$A4319)=1,1,0))</f>
        <v>0</v>
      </c>
      <c r="K4319" s="47" t="n">
        <f aca="false">IF(J4319=1,N(I4319)+ROW()/10000000,0)</f>
        <v>0</v>
      </c>
      <c r="L4319" s="47" t="str">
        <f aca="false">IF(AND(J4319=1,N(I4319)&gt;0),SUMIF($K$2:$K$5001,"&gt;="&amp;K4319,$I$2:$I$5001)/MAX(1,SUM($H$2:$H$5001)),"")</f>
        <v/>
      </c>
      <c r="M4319" s="47" t="str">
        <f aca="false">IF($A4319="","",INDEX($L$2:$L$5001,MATCH($A4319,$A$2:$A$5001,0)))</f>
        <v/>
      </c>
      <c r="N4319" s="48" t="str">
        <f aca="false">IF($A4319="","",IF(N(M4319)=0,"–",IF(M4319&lt;=Start!$D$20,"A",IF(M4319&lt;=Start!$D$21,"B","C"))))</f>
        <v/>
      </c>
      <c r="O4319" s="48" t="str">
        <f aca="false">IF($A4319="","",IF(NOT(ISNUMBER(F4319)),"Wert fehlt; ",IF(F4319&lt;=0,"Wert ist 0; ",""))&amp;IF(NOT(ISNUMBER(E4319)),"Bestand fehlt; ",IF(E4319&lt;0,"Bestand negativ; ",IF(E4319=0,"Nullbestand; ","")))&amp;IF(D4319="","Warengruppe fehlt; ","")&amp;IF(B4319="","Bezeichnung fehlt; ","")&amp;IF(COUNTIFS($A$2:$A$5001,$A4319,$C$2:$C$5001,C4319)&gt;1,"Artikel doppelt im selben Lager; ",""))</f>
        <v/>
      </c>
      <c r="P4319" s="47" t="n">
        <f aca="false">IF(OR($A4319="",D4319=""),0,IF(COUNTIF($D$2:D4319,D4319)=1,SUMIF($D$2:$D$5001,D4319,$H$2:$H$5001)+ROW()/10000000,0))</f>
        <v>0</v>
      </c>
      <c r="Q4319" s="47" t="n">
        <f aca="false">IF(OR($A4319="",C4319=""),0,IF(COUNTIF($C$2:C4319,C4319)=1,SUMIF($C$2:$C$5001,C4319,$H$2:$H$5001)+ROW()/10000000,0))</f>
        <v>0</v>
      </c>
    </row>
    <row r="4320" customFormat="false" ht="15" hidden="false" customHeight="false" outlineLevel="0" collapsed="false">
      <c r="A4320" s="43"/>
      <c r="B4320" s="44"/>
      <c r="C4320" s="44"/>
      <c r="D4320" s="44"/>
      <c r="E4320" s="44"/>
      <c r="F4320" s="44"/>
      <c r="G4320" s="44"/>
      <c r="H4320" s="46" t="str">
        <f aca="false">IF($A4320="","",IF(OR(NOT(ISNUMBER(E4320)),NOT(ISNUMBER(F4320))),"",MAX(0,E4320)*F4320))</f>
        <v/>
      </c>
      <c r="I4320" s="46" t="str">
        <f aca="false">IF($A4320="","",SUMIF($A$2:$A$5001,$A4320,$H$2:$H$5001))</f>
        <v/>
      </c>
      <c r="J4320" s="47" t="n">
        <f aca="false">IF($A4320="",0,IF(COUNTIF($A$2:A4320,$A4320)=1,1,0))</f>
        <v>0</v>
      </c>
      <c r="K4320" s="47" t="n">
        <f aca="false">IF(J4320=1,N(I4320)+ROW()/10000000,0)</f>
        <v>0</v>
      </c>
      <c r="L4320" s="47" t="str">
        <f aca="false">IF(AND(J4320=1,N(I4320)&gt;0),SUMIF($K$2:$K$5001,"&gt;="&amp;K4320,$I$2:$I$5001)/MAX(1,SUM($H$2:$H$5001)),"")</f>
        <v/>
      </c>
      <c r="M4320" s="47" t="str">
        <f aca="false">IF($A4320="","",INDEX($L$2:$L$5001,MATCH($A4320,$A$2:$A$5001,0)))</f>
        <v/>
      </c>
      <c r="N4320" s="48" t="str">
        <f aca="false">IF($A4320="","",IF(N(M4320)=0,"–",IF(M4320&lt;=Start!$D$20,"A",IF(M4320&lt;=Start!$D$21,"B","C"))))</f>
        <v/>
      </c>
      <c r="O4320" s="48" t="str">
        <f aca="false">IF($A4320="","",IF(NOT(ISNUMBER(F4320)),"Wert fehlt; ",IF(F4320&lt;=0,"Wert ist 0; ",""))&amp;IF(NOT(ISNUMBER(E4320)),"Bestand fehlt; ",IF(E4320&lt;0,"Bestand negativ; ",IF(E4320=0,"Nullbestand; ","")))&amp;IF(D4320="","Warengruppe fehlt; ","")&amp;IF(B4320="","Bezeichnung fehlt; ","")&amp;IF(COUNTIFS($A$2:$A$5001,$A4320,$C$2:$C$5001,C4320)&gt;1,"Artikel doppelt im selben Lager; ",""))</f>
        <v/>
      </c>
      <c r="P4320" s="47" t="n">
        <f aca="false">IF(OR($A4320="",D4320=""),0,IF(COUNTIF($D$2:D4320,D4320)=1,SUMIF($D$2:$D$5001,D4320,$H$2:$H$5001)+ROW()/10000000,0))</f>
        <v>0</v>
      </c>
      <c r="Q4320" s="47" t="n">
        <f aca="false">IF(OR($A4320="",C4320=""),0,IF(COUNTIF($C$2:C4320,C4320)=1,SUMIF($C$2:$C$5001,C4320,$H$2:$H$5001)+ROW()/10000000,0))</f>
        <v>0</v>
      </c>
    </row>
    <row r="4321" customFormat="false" ht="15" hidden="false" customHeight="false" outlineLevel="0" collapsed="false">
      <c r="A4321" s="43"/>
      <c r="B4321" s="44"/>
      <c r="C4321" s="44"/>
      <c r="D4321" s="44"/>
      <c r="E4321" s="44"/>
      <c r="F4321" s="44"/>
      <c r="G4321" s="44"/>
      <c r="H4321" s="46" t="str">
        <f aca="false">IF($A4321="","",IF(OR(NOT(ISNUMBER(E4321)),NOT(ISNUMBER(F4321))),"",MAX(0,E4321)*F4321))</f>
        <v/>
      </c>
      <c r="I4321" s="46" t="str">
        <f aca="false">IF($A4321="","",SUMIF($A$2:$A$5001,$A4321,$H$2:$H$5001))</f>
        <v/>
      </c>
      <c r="J4321" s="47" t="n">
        <f aca="false">IF($A4321="",0,IF(COUNTIF($A$2:A4321,$A4321)=1,1,0))</f>
        <v>0</v>
      </c>
      <c r="K4321" s="47" t="n">
        <f aca="false">IF(J4321=1,N(I4321)+ROW()/10000000,0)</f>
        <v>0</v>
      </c>
      <c r="L4321" s="47" t="str">
        <f aca="false">IF(AND(J4321=1,N(I4321)&gt;0),SUMIF($K$2:$K$5001,"&gt;="&amp;K4321,$I$2:$I$5001)/MAX(1,SUM($H$2:$H$5001)),"")</f>
        <v/>
      </c>
      <c r="M4321" s="47" t="str">
        <f aca="false">IF($A4321="","",INDEX($L$2:$L$5001,MATCH($A4321,$A$2:$A$5001,0)))</f>
        <v/>
      </c>
      <c r="N4321" s="48" t="str">
        <f aca="false">IF($A4321="","",IF(N(M4321)=0,"–",IF(M4321&lt;=Start!$D$20,"A",IF(M4321&lt;=Start!$D$21,"B","C"))))</f>
        <v/>
      </c>
      <c r="O4321" s="48" t="str">
        <f aca="false">IF($A4321="","",IF(NOT(ISNUMBER(F4321)),"Wert fehlt; ",IF(F4321&lt;=0,"Wert ist 0; ",""))&amp;IF(NOT(ISNUMBER(E4321)),"Bestand fehlt; ",IF(E4321&lt;0,"Bestand negativ; ",IF(E4321=0,"Nullbestand; ","")))&amp;IF(D4321="","Warengruppe fehlt; ","")&amp;IF(B4321="","Bezeichnung fehlt; ","")&amp;IF(COUNTIFS($A$2:$A$5001,$A4321,$C$2:$C$5001,C4321)&gt;1,"Artikel doppelt im selben Lager; ",""))</f>
        <v/>
      </c>
      <c r="P4321" s="47" t="n">
        <f aca="false">IF(OR($A4321="",D4321=""),0,IF(COUNTIF($D$2:D4321,D4321)=1,SUMIF($D$2:$D$5001,D4321,$H$2:$H$5001)+ROW()/10000000,0))</f>
        <v>0</v>
      </c>
      <c r="Q4321" s="47" t="n">
        <f aca="false">IF(OR($A4321="",C4321=""),0,IF(COUNTIF($C$2:C4321,C4321)=1,SUMIF($C$2:$C$5001,C4321,$H$2:$H$5001)+ROW()/10000000,0))</f>
        <v>0</v>
      </c>
    </row>
    <row r="4322" customFormat="false" ht="15" hidden="false" customHeight="false" outlineLevel="0" collapsed="false">
      <c r="A4322" s="43"/>
      <c r="B4322" s="44"/>
      <c r="C4322" s="44"/>
      <c r="D4322" s="44"/>
      <c r="E4322" s="44"/>
      <c r="F4322" s="44"/>
      <c r="G4322" s="44"/>
      <c r="H4322" s="46" t="str">
        <f aca="false">IF($A4322="","",IF(OR(NOT(ISNUMBER(E4322)),NOT(ISNUMBER(F4322))),"",MAX(0,E4322)*F4322))</f>
        <v/>
      </c>
      <c r="I4322" s="46" t="str">
        <f aca="false">IF($A4322="","",SUMIF($A$2:$A$5001,$A4322,$H$2:$H$5001))</f>
        <v/>
      </c>
      <c r="J4322" s="47" t="n">
        <f aca="false">IF($A4322="",0,IF(COUNTIF($A$2:A4322,$A4322)=1,1,0))</f>
        <v>0</v>
      </c>
      <c r="K4322" s="47" t="n">
        <f aca="false">IF(J4322=1,N(I4322)+ROW()/10000000,0)</f>
        <v>0</v>
      </c>
      <c r="L4322" s="47" t="str">
        <f aca="false">IF(AND(J4322=1,N(I4322)&gt;0),SUMIF($K$2:$K$5001,"&gt;="&amp;K4322,$I$2:$I$5001)/MAX(1,SUM($H$2:$H$5001)),"")</f>
        <v/>
      </c>
      <c r="M4322" s="47" t="str">
        <f aca="false">IF($A4322="","",INDEX($L$2:$L$5001,MATCH($A4322,$A$2:$A$5001,0)))</f>
        <v/>
      </c>
      <c r="N4322" s="48" t="str">
        <f aca="false">IF($A4322="","",IF(N(M4322)=0,"–",IF(M4322&lt;=Start!$D$20,"A",IF(M4322&lt;=Start!$D$21,"B","C"))))</f>
        <v/>
      </c>
      <c r="O4322" s="48" t="str">
        <f aca="false">IF($A4322="","",IF(NOT(ISNUMBER(F4322)),"Wert fehlt; ",IF(F4322&lt;=0,"Wert ist 0; ",""))&amp;IF(NOT(ISNUMBER(E4322)),"Bestand fehlt; ",IF(E4322&lt;0,"Bestand negativ; ",IF(E4322=0,"Nullbestand; ","")))&amp;IF(D4322="","Warengruppe fehlt; ","")&amp;IF(B4322="","Bezeichnung fehlt; ","")&amp;IF(COUNTIFS($A$2:$A$5001,$A4322,$C$2:$C$5001,C4322)&gt;1,"Artikel doppelt im selben Lager; ",""))</f>
        <v/>
      </c>
      <c r="P4322" s="47" t="n">
        <f aca="false">IF(OR($A4322="",D4322=""),0,IF(COUNTIF($D$2:D4322,D4322)=1,SUMIF($D$2:$D$5001,D4322,$H$2:$H$5001)+ROW()/10000000,0))</f>
        <v>0</v>
      </c>
      <c r="Q4322" s="47" t="n">
        <f aca="false">IF(OR($A4322="",C4322=""),0,IF(COUNTIF($C$2:C4322,C4322)=1,SUMIF($C$2:$C$5001,C4322,$H$2:$H$5001)+ROW()/10000000,0))</f>
        <v>0</v>
      </c>
    </row>
    <row r="4323" customFormat="false" ht="15" hidden="false" customHeight="false" outlineLevel="0" collapsed="false">
      <c r="A4323" s="43"/>
      <c r="B4323" s="44"/>
      <c r="C4323" s="44"/>
      <c r="D4323" s="44"/>
      <c r="E4323" s="44"/>
      <c r="F4323" s="44"/>
      <c r="G4323" s="44"/>
      <c r="H4323" s="46" t="str">
        <f aca="false">IF($A4323="","",IF(OR(NOT(ISNUMBER(E4323)),NOT(ISNUMBER(F4323))),"",MAX(0,E4323)*F4323))</f>
        <v/>
      </c>
      <c r="I4323" s="46" t="str">
        <f aca="false">IF($A4323="","",SUMIF($A$2:$A$5001,$A4323,$H$2:$H$5001))</f>
        <v/>
      </c>
      <c r="J4323" s="47" t="n">
        <f aca="false">IF($A4323="",0,IF(COUNTIF($A$2:A4323,$A4323)=1,1,0))</f>
        <v>0</v>
      </c>
      <c r="K4323" s="47" t="n">
        <f aca="false">IF(J4323=1,N(I4323)+ROW()/10000000,0)</f>
        <v>0</v>
      </c>
      <c r="L4323" s="47" t="str">
        <f aca="false">IF(AND(J4323=1,N(I4323)&gt;0),SUMIF($K$2:$K$5001,"&gt;="&amp;K4323,$I$2:$I$5001)/MAX(1,SUM($H$2:$H$5001)),"")</f>
        <v/>
      </c>
      <c r="M4323" s="47" t="str">
        <f aca="false">IF($A4323="","",INDEX($L$2:$L$5001,MATCH($A4323,$A$2:$A$5001,0)))</f>
        <v/>
      </c>
      <c r="N4323" s="48" t="str">
        <f aca="false">IF($A4323="","",IF(N(M4323)=0,"–",IF(M4323&lt;=Start!$D$20,"A",IF(M4323&lt;=Start!$D$21,"B","C"))))</f>
        <v/>
      </c>
      <c r="O4323" s="48" t="str">
        <f aca="false">IF($A4323="","",IF(NOT(ISNUMBER(F4323)),"Wert fehlt; ",IF(F4323&lt;=0,"Wert ist 0; ",""))&amp;IF(NOT(ISNUMBER(E4323)),"Bestand fehlt; ",IF(E4323&lt;0,"Bestand negativ; ",IF(E4323=0,"Nullbestand; ","")))&amp;IF(D4323="","Warengruppe fehlt; ","")&amp;IF(B4323="","Bezeichnung fehlt; ","")&amp;IF(COUNTIFS($A$2:$A$5001,$A4323,$C$2:$C$5001,C4323)&gt;1,"Artikel doppelt im selben Lager; ",""))</f>
        <v/>
      </c>
      <c r="P4323" s="47" t="n">
        <f aca="false">IF(OR($A4323="",D4323=""),0,IF(COUNTIF($D$2:D4323,D4323)=1,SUMIF($D$2:$D$5001,D4323,$H$2:$H$5001)+ROW()/10000000,0))</f>
        <v>0</v>
      </c>
      <c r="Q4323" s="47" t="n">
        <f aca="false">IF(OR($A4323="",C4323=""),0,IF(COUNTIF($C$2:C4323,C4323)=1,SUMIF($C$2:$C$5001,C4323,$H$2:$H$5001)+ROW()/10000000,0))</f>
        <v>0</v>
      </c>
    </row>
    <row r="4324" customFormat="false" ht="15" hidden="false" customHeight="false" outlineLevel="0" collapsed="false">
      <c r="A4324" s="43"/>
      <c r="B4324" s="44"/>
      <c r="C4324" s="44"/>
      <c r="D4324" s="44"/>
      <c r="E4324" s="44"/>
      <c r="F4324" s="44"/>
      <c r="G4324" s="44"/>
      <c r="H4324" s="46" t="str">
        <f aca="false">IF($A4324="","",IF(OR(NOT(ISNUMBER(E4324)),NOT(ISNUMBER(F4324))),"",MAX(0,E4324)*F4324))</f>
        <v/>
      </c>
      <c r="I4324" s="46" t="str">
        <f aca="false">IF($A4324="","",SUMIF($A$2:$A$5001,$A4324,$H$2:$H$5001))</f>
        <v/>
      </c>
      <c r="J4324" s="47" t="n">
        <f aca="false">IF($A4324="",0,IF(COUNTIF($A$2:A4324,$A4324)=1,1,0))</f>
        <v>0</v>
      </c>
      <c r="K4324" s="47" t="n">
        <f aca="false">IF(J4324=1,N(I4324)+ROW()/10000000,0)</f>
        <v>0</v>
      </c>
      <c r="L4324" s="47" t="str">
        <f aca="false">IF(AND(J4324=1,N(I4324)&gt;0),SUMIF($K$2:$K$5001,"&gt;="&amp;K4324,$I$2:$I$5001)/MAX(1,SUM($H$2:$H$5001)),"")</f>
        <v/>
      </c>
      <c r="M4324" s="47" t="str">
        <f aca="false">IF($A4324="","",INDEX($L$2:$L$5001,MATCH($A4324,$A$2:$A$5001,0)))</f>
        <v/>
      </c>
      <c r="N4324" s="48" t="str">
        <f aca="false">IF($A4324="","",IF(N(M4324)=0,"–",IF(M4324&lt;=Start!$D$20,"A",IF(M4324&lt;=Start!$D$21,"B","C"))))</f>
        <v/>
      </c>
      <c r="O4324" s="48" t="str">
        <f aca="false">IF($A4324="","",IF(NOT(ISNUMBER(F4324)),"Wert fehlt; ",IF(F4324&lt;=0,"Wert ist 0; ",""))&amp;IF(NOT(ISNUMBER(E4324)),"Bestand fehlt; ",IF(E4324&lt;0,"Bestand negativ; ",IF(E4324=0,"Nullbestand; ","")))&amp;IF(D4324="","Warengruppe fehlt; ","")&amp;IF(B4324="","Bezeichnung fehlt; ","")&amp;IF(COUNTIFS($A$2:$A$5001,$A4324,$C$2:$C$5001,C4324)&gt;1,"Artikel doppelt im selben Lager; ",""))</f>
        <v/>
      </c>
      <c r="P4324" s="47" t="n">
        <f aca="false">IF(OR($A4324="",D4324=""),0,IF(COUNTIF($D$2:D4324,D4324)=1,SUMIF($D$2:$D$5001,D4324,$H$2:$H$5001)+ROW()/10000000,0))</f>
        <v>0</v>
      </c>
      <c r="Q4324" s="47" t="n">
        <f aca="false">IF(OR($A4324="",C4324=""),0,IF(COUNTIF($C$2:C4324,C4324)=1,SUMIF($C$2:$C$5001,C4324,$H$2:$H$5001)+ROW()/10000000,0))</f>
        <v>0</v>
      </c>
    </row>
    <row r="4325" customFormat="false" ht="15" hidden="false" customHeight="false" outlineLevel="0" collapsed="false">
      <c r="A4325" s="43"/>
      <c r="B4325" s="44"/>
      <c r="C4325" s="44"/>
      <c r="D4325" s="44"/>
      <c r="E4325" s="44"/>
      <c r="F4325" s="44"/>
      <c r="G4325" s="44"/>
      <c r="H4325" s="46" t="str">
        <f aca="false">IF($A4325="","",IF(OR(NOT(ISNUMBER(E4325)),NOT(ISNUMBER(F4325))),"",MAX(0,E4325)*F4325))</f>
        <v/>
      </c>
      <c r="I4325" s="46" t="str">
        <f aca="false">IF($A4325="","",SUMIF($A$2:$A$5001,$A4325,$H$2:$H$5001))</f>
        <v/>
      </c>
      <c r="J4325" s="47" t="n">
        <f aca="false">IF($A4325="",0,IF(COUNTIF($A$2:A4325,$A4325)=1,1,0))</f>
        <v>0</v>
      </c>
      <c r="K4325" s="47" t="n">
        <f aca="false">IF(J4325=1,N(I4325)+ROW()/10000000,0)</f>
        <v>0</v>
      </c>
      <c r="L4325" s="47" t="str">
        <f aca="false">IF(AND(J4325=1,N(I4325)&gt;0),SUMIF($K$2:$K$5001,"&gt;="&amp;K4325,$I$2:$I$5001)/MAX(1,SUM($H$2:$H$5001)),"")</f>
        <v/>
      </c>
      <c r="M4325" s="47" t="str">
        <f aca="false">IF($A4325="","",INDEX($L$2:$L$5001,MATCH($A4325,$A$2:$A$5001,0)))</f>
        <v/>
      </c>
      <c r="N4325" s="48" t="str">
        <f aca="false">IF($A4325="","",IF(N(M4325)=0,"–",IF(M4325&lt;=Start!$D$20,"A",IF(M4325&lt;=Start!$D$21,"B","C"))))</f>
        <v/>
      </c>
      <c r="O4325" s="48" t="str">
        <f aca="false">IF($A4325="","",IF(NOT(ISNUMBER(F4325)),"Wert fehlt; ",IF(F4325&lt;=0,"Wert ist 0; ",""))&amp;IF(NOT(ISNUMBER(E4325)),"Bestand fehlt; ",IF(E4325&lt;0,"Bestand negativ; ",IF(E4325=0,"Nullbestand; ","")))&amp;IF(D4325="","Warengruppe fehlt; ","")&amp;IF(B4325="","Bezeichnung fehlt; ","")&amp;IF(COUNTIFS($A$2:$A$5001,$A4325,$C$2:$C$5001,C4325)&gt;1,"Artikel doppelt im selben Lager; ",""))</f>
        <v/>
      </c>
      <c r="P4325" s="47" t="n">
        <f aca="false">IF(OR($A4325="",D4325=""),0,IF(COUNTIF($D$2:D4325,D4325)=1,SUMIF($D$2:$D$5001,D4325,$H$2:$H$5001)+ROW()/10000000,0))</f>
        <v>0</v>
      </c>
      <c r="Q4325" s="47" t="n">
        <f aca="false">IF(OR($A4325="",C4325=""),0,IF(COUNTIF($C$2:C4325,C4325)=1,SUMIF($C$2:$C$5001,C4325,$H$2:$H$5001)+ROW()/10000000,0))</f>
        <v>0</v>
      </c>
    </row>
    <row r="4326" customFormat="false" ht="15" hidden="false" customHeight="false" outlineLevel="0" collapsed="false">
      <c r="A4326" s="43"/>
      <c r="B4326" s="44"/>
      <c r="C4326" s="44"/>
      <c r="D4326" s="44"/>
      <c r="E4326" s="44"/>
      <c r="F4326" s="44"/>
      <c r="G4326" s="44"/>
      <c r="H4326" s="46" t="str">
        <f aca="false">IF($A4326="","",IF(OR(NOT(ISNUMBER(E4326)),NOT(ISNUMBER(F4326))),"",MAX(0,E4326)*F4326))</f>
        <v/>
      </c>
      <c r="I4326" s="46" t="str">
        <f aca="false">IF($A4326="","",SUMIF($A$2:$A$5001,$A4326,$H$2:$H$5001))</f>
        <v/>
      </c>
      <c r="J4326" s="47" t="n">
        <f aca="false">IF($A4326="",0,IF(COUNTIF($A$2:A4326,$A4326)=1,1,0))</f>
        <v>0</v>
      </c>
      <c r="K4326" s="47" t="n">
        <f aca="false">IF(J4326=1,N(I4326)+ROW()/10000000,0)</f>
        <v>0</v>
      </c>
      <c r="L4326" s="47" t="str">
        <f aca="false">IF(AND(J4326=1,N(I4326)&gt;0),SUMIF($K$2:$K$5001,"&gt;="&amp;K4326,$I$2:$I$5001)/MAX(1,SUM($H$2:$H$5001)),"")</f>
        <v/>
      </c>
      <c r="M4326" s="47" t="str">
        <f aca="false">IF($A4326="","",INDEX($L$2:$L$5001,MATCH($A4326,$A$2:$A$5001,0)))</f>
        <v/>
      </c>
      <c r="N4326" s="48" t="str">
        <f aca="false">IF($A4326="","",IF(N(M4326)=0,"–",IF(M4326&lt;=Start!$D$20,"A",IF(M4326&lt;=Start!$D$21,"B","C"))))</f>
        <v/>
      </c>
      <c r="O4326" s="48" t="str">
        <f aca="false">IF($A4326="","",IF(NOT(ISNUMBER(F4326)),"Wert fehlt; ",IF(F4326&lt;=0,"Wert ist 0; ",""))&amp;IF(NOT(ISNUMBER(E4326)),"Bestand fehlt; ",IF(E4326&lt;0,"Bestand negativ; ",IF(E4326=0,"Nullbestand; ","")))&amp;IF(D4326="","Warengruppe fehlt; ","")&amp;IF(B4326="","Bezeichnung fehlt; ","")&amp;IF(COUNTIFS($A$2:$A$5001,$A4326,$C$2:$C$5001,C4326)&gt;1,"Artikel doppelt im selben Lager; ",""))</f>
        <v/>
      </c>
      <c r="P4326" s="47" t="n">
        <f aca="false">IF(OR($A4326="",D4326=""),0,IF(COUNTIF($D$2:D4326,D4326)=1,SUMIF($D$2:$D$5001,D4326,$H$2:$H$5001)+ROW()/10000000,0))</f>
        <v>0</v>
      </c>
      <c r="Q4326" s="47" t="n">
        <f aca="false">IF(OR($A4326="",C4326=""),0,IF(COUNTIF($C$2:C4326,C4326)=1,SUMIF($C$2:$C$5001,C4326,$H$2:$H$5001)+ROW()/10000000,0))</f>
        <v>0</v>
      </c>
    </row>
    <row r="4327" customFormat="false" ht="15" hidden="false" customHeight="false" outlineLevel="0" collapsed="false">
      <c r="A4327" s="43"/>
      <c r="B4327" s="44"/>
      <c r="C4327" s="44"/>
      <c r="D4327" s="44"/>
      <c r="E4327" s="44"/>
      <c r="F4327" s="44"/>
      <c r="G4327" s="44"/>
      <c r="H4327" s="46" t="str">
        <f aca="false">IF($A4327="","",IF(OR(NOT(ISNUMBER(E4327)),NOT(ISNUMBER(F4327))),"",MAX(0,E4327)*F4327))</f>
        <v/>
      </c>
      <c r="I4327" s="46" t="str">
        <f aca="false">IF($A4327="","",SUMIF($A$2:$A$5001,$A4327,$H$2:$H$5001))</f>
        <v/>
      </c>
      <c r="J4327" s="47" t="n">
        <f aca="false">IF($A4327="",0,IF(COUNTIF($A$2:A4327,$A4327)=1,1,0))</f>
        <v>0</v>
      </c>
      <c r="K4327" s="47" t="n">
        <f aca="false">IF(J4327=1,N(I4327)+ROW()/10000000,0)</f>
        <v>0</v>
      </c>
      <c r="L4327" s="47" t="str">
        <f aca="false">IF(AND(J4327=1,N(I4327)&gt;0),SUMIF($K$2:$K$5001,"&gt;="&amp;K4327,$I$2:$I$5001)/MAX(1,SUM($H$2:$H$5001)),"")</f>
        <v/>
      </c>
      <c r="M4327" s="47" t="str">
        <f aca="false">IF($A4327="","",INDEX($L$2:$L$5001,MATCH($A4327,$A$2:$A$5001,0)))</f>
        <v/>
      </c>
      <c r="N4327" s="48" t="str">
        <f aca="false">IF($A4327="","",IF(N(M4327)=0,"–",IF(M4327&lt;=Start!$D$20,"A",IF(M4327&lt;=Start!$D$21,"B","C"))))</f>
        <v/>
      </c>
      <c r="O4327" s="48" t="str">
        <f aca="false">IF($A4327="","",IF(NOT(ISNUMBER(F4327)),"Wert fehlt; ",IF(F4327&lt;=0,"Wert ist 0; ",""))&amp;IF(NOT(ISNUMBER(E4327)),"Bestand fehlt; ",IF(E4327&lt;0,"Bestand negativ; ",IF(E4327=0,"Nullbestand; ","")))&amp;IF(D4327="","Warengruppe fehlt; ","")&amp;IF(B4327="","Bezeichnung fehlt; ","")&amp;IF(COUNTIFS($A$2:$A$5001,$A4327,$C$2:$C$5001,C4327)&gt;1,"Artikel doppelt im selben Lager; ",""))</f>
        <v/>
      </c>
      <c r="P4327" s="47" t="n">
        <f aca="false">IF(OR($A4327="",D4327=""),0,IF(COUNTIF($D$2:D4327,D4327)=1,SUMIF($D$2:$D$5001,D4327,$H$2:$H$5001)+ROW()/10000000,0))</f>
        <v>0</v>
      </c>
      <c r="Q4327" s="47" t="n">
        <f aca="false">IF(OR($A4327="",C4327=""),0,IF(COUNTIF($C$2:C4327,C4327)=1,SUMIF($C$2:$C$5001,C4327,$H$2:$H$5001)+ROW()/10000000,0))</f>
        <v>0</v>
      </c>
    </row>
    <row r="4328" customFormat="false" ht="15" hidden="false" customHeight="false" outlineLevel="0" collapsed="false">
      <c r="A4328" s="43"/>
      <c r="B4328" s="44"/>
      <c r="C4328" s="44"/>
      <c r="D4328" s="44"/>
      <c r="E4328" s="44"/>
      <c r="F4328" s="44"/>
      <c r="G4328" s="44"/>
      <c r="H4328" s="46" t="str">
        <f aca="false">IF($A4328="","",IF(OR(NOT(ISNUMBER(E4328)),NOT(ISNUMBER(F4328))),"",MAX(0,E4328)*F4328))</f>
        <v/>
      </c>
      <c r="I4328" s="46" t="str">
        <f aca="false">IF($A4328="","",SUMIF($A$2:$A$5001,$A4328,$H$2:$H$5001))</f>
        <v/>
      </c>
      <c r="J4328" s="47" t="n">
        <f aca="false">IF($A4328="",0,IF(COUNTIF($A$2:A4328,$A4328)=1,1,0))</f>
        <v>0</v>
      </c>
      <c r="K4328" s="47" t="n">
        <f aca="false">IF(J4328=1,N(I4328)+ROW()/10000000,0)</f>
        <v>0</v>
      </c>
      <c r="L4328" s="47" t="str">
        <f aca="false">IF(AND(J4328=1,N(I4328)&gt;0),SUMIF($K$2:$K$5001,"&gt;="&amp;K4328,$I$2:$I$5001)/MAX(1,SUM($H$2:$H$5001)),"")</f>
        <v/>
      </c>
      <c r="M4328" s="47" t="str">
        <f aca="false">IF($A4328="","",INDEX($L$2:$L$5001,MATCH($A4328,$A$2:$A$5001,0)))</f>
        <v/>
      </c>
      <c r="N4328" s="48" t="str">
        <f aca="false">IF($A4328="","",IF(N(M4328)=0,"–",IF(M4328&lt;=Start!$D$20,"A",IF(M4328&lt;=Start!$D$21,"B","C"))))</f>
        <v/>
      </c>
      <c r="O4328" s="48" t="str">
        <f aca="false">IF($A4328="","",IF(NOT(ISNUMBER(F4328)),"Wert fehlt; ",IF(F4328&lt;=0,"Wert ist 0; ",""))&amp;IF(NOT(ISNUMBER(E4328)),"Bestand fehlt; ",IF(E4328&lt;0,"Bestand negativ; ",IF(E4328=0,"Nullbestand; ","")))&amp;IF(D4328="","Warengruppe fehlt; ","")&amp;IF(B4328="","Bezeichnung fehlt; ","")&amp;IF(COUNTIFS($A$2:$A$5001,$A4328,$C$2:$C$5001,C4328)&gt;1,"Artikel doppelt im selben Lager; ",""))</f>
        <v/>
      </c>
      <c r="P4328" s="47" t="n">
        <f aca="false">IF(OR($A4328="",D4328=""),0,IF(COUNTIF($D$2:D4328,D4328)=1,SUMIF($D$2:$D$5001,D4328,$H$2:$H$5001)+ROW()/10000000,0))</f>
        <v>0</v>
      </c>
      <c r="Q4328" s="47" t="n">
        <f aca="false">IF(OR($A4328="",C4328=""),0,IF(COUNTIF($C$2:C4328,C4328)=1,SUMIF($C$2:$C$5001,C4328,$H$2:$H$5001)+ROW()/10000000,0))</f>
        <v>0</v>
      </c>
    </row>
    <row r="4329" customFormat="false" ht="15" hidden="false" customHeight="false" outlineLevel="0" collapsed="false">
      <c r="A4329" s="43"/>
      <c r="B4329" s="44"/>
      <c r="C4329" s="44"/>
      <c r="D4329" s="44"/>
      <c r="E4329" s="44"/>
      <c r="F4329" s="44"/>
      <c r="G4329" s="44"/>
      <c r="H4329" s="46" t="str">
        <f aca="false">IF($A4329="","",IF(OR(NOT(ISNUMBER(E4329)),NOT(ISNUMBER(F4329))),"",MAX(0,E4329)*F4329))</f>
        <v/>
      </c>
      <c r="I4329" s="46" t="str">
        <f aca="false">IF($A4329="","",SUMIF($A$2:$A$5001,$A4329,$H$2:$H$5001))</f>
        <v/>
      </c>
      <c r="J4329" s="47" t="n">
        <f aca="false">IF($A4329="",0,IF(COUNTIF($A$2:A4329,$A4329)=1,1,0))</f>
        <v>0</v>
      </c>
      <c r="K4329" s="47" t="n">
        <f aca="false">IF(J4329=1,N(I4329)+ROW()/10000000,0)</f>
        <v>0</v>
      </c>
      <c r="L4329" s="47" t="str">
        <f aca="false">IF(AND(J4329=1,N(I4329)&gt;0),SUMIF($K$2:$K$5001,"&gt;="&amp;K4329,$I$2:$I$5001)/MAX(1,SUM($H$2:$H$5001)),"")</f>
        <v/>
      </c>
      <c r="M4329" s="47" t="str">
        <f aca="false">IF($A4329="","",INDEX($L$2:$L$5001,MATCH($A4329,$A$2:$A$5001,0)))</f>
        <v/>
      </c>
      <c r="N4329" s="48" t="str">
        <f aca="false">IF($A4329="","",IF(N(M4329)=0,"–",IF(M4329&lt;=Start!$D$20,"A",IF(M4329&lt;=Start!$D$21,"B","C"))))</f>
        <v/>
      </c>
      <c r="O4329" s="48" t="str">
        <f aca="false">IF($A4329="","",IF(NOT(ISNUMBER(F4329)),"Wert fehlt; ",IF(F4329&lt;=0,"Wert ist 0; ",""))&amp;IF(NOT(ISNUMBER(E4329)),"Bestand fehlt; ",IF(E4329&lt;0,"Bestand negativ; ",IF(E4329=0,"Nullbestand; ","")))&amp;IF(D4329="","Warengruppe fehlt; ","")&amp;IF(B4329="","Bezeichnung fehlt; ","")&amp;IF(COUNTIFS($A$2:$A$5001,$A4329,$C$2:$C$5001,C4329)&gt;1,"Artikel doppelt im selben Lager; ",""))</f>
        <v/>
      </c>
      <c r="P4329" s="47" t="n">
        <f aca="false">IF(OR($A4329="",D4329=""),0,IF(COUNTIF($D$2:D4329,D4329)=1,SUMIF($D$2:$D$5001,D4329,$H$2:$H$5001)+ROW()/10000000,0))</f>
        <v>0</v>
      </c>
      <c r="Q4329" s="47" t="n">
        <f aca="false">IF(OR($A4329="",C4329=""),0,IF(COUNTIF($C$2:C4329,C4329)=1,SUMIF($C$2:$C$5001,C4329,$H$2:$H$5001)+ROW()/10000000,0))</f>
        <v>0</v>
      </c>
    </row>
    <row r="4330" customFormat="false" ht="15" hidden="false" customHeight="false" outlineLevel="0" collapsed="false">
      <c r="A4330" s="43"/>
      <c r="B4330" s="44"/>
      <c r="C4330" s="44"/>
      <c r="D4330" s="44"/>
      <c r="E4330" s="44"/>
      <c r="F4330" s="44"/>
      <c r="G4330" s="44"/>
      <c r="H4330" s="46" t="str">
        <f aca="false">IF($A4330="","",IF(OR(NOT(ISNUMBER(E4330)),NOT(ISNUMBER(F4330))),"",MAX(0,E4330)*F4330))</f>
        <v/>
      </c>
      <c r="I4330" s="46" t="str">
        <f aca="false">IF($A4330="","",SUMIF($A$2:$A$5001,$A4330,$H$2:$H$5001))</f>
        <v/>
      </c>
      <c r="J4330" s="47" t="n">
        <f aca="false">IF($A4330="",0,IF(COUNTIF($A$2:A4330,$A4330)=1,1,0))</f>
        <v>0</v>
      </c>
      <c r="K4330" s="47" t="n">
        <f aca="false">IF(J4330=1,N(I4330)+ROW()/10000000,0)</f>
        <v>0</v>
      </c>
      <c r="L4330" s="47" t="str">
        <f aca="false">IF(AND(J4330=1,N(I4330)&gt;0),SUMIF($K$2:$K$5001,"&gt;="&amp;K4330,$I$2:$I$5001)/MAX(1,SUM($H$2:$H$5001)),"")</f>
        <v/>
      </c>
      <c r="M4330" s="47" t="str">
        <f aca="false">IF($A4330="","",INDEX($L$2:$L$5001,MATCH($A4330,$A$2:$A$5001,0)))</f>
        <v/>
      </c>
      <c r="N4330" s="48" t="str">
        <f aca="false">IF($A4330="","",IF(N(M4330)=0,"–",IF(M4330&lt;=Start!$D$20,"A",IF(M4330&lt;=Start!$D$21,"B","C"))))</f>
        <v/>
      </c>
      <c r="O4330" s="48" t="str">
        <f aca="false">IF($A4330="","",IF(NOT(ISNUMBER(F4330)),"Wert fehlt; ",IF(F4330&lt;=0,"Wert ist 0; ",""))&amp;IF(NOT(ISNUMBER(E4330)),"Bestand fehlt; ",IF(E4330&lt;0,"Bestand negativ; ",IF(E4330=0,"Nullbestand; ","")))&amp;IF(D4330="","Warengruppe fehlt; ","")&amp;IF(B4330="","Bezeichnung fehlt; ","")&amp;IF(COUNTIFS($A$2:$A$5001,$A4330,$C$2:$C$5001,C4330)&gt;1,"Artikel doppelt im selben Lager; ",""))</f>
        <v/>
      </c>
      <c r="P4330" s="47" t="n">
        <f aca="false">IF(OR($A4330="",D4330=""),0,IF(COUNTIF($D$2:D4330,D4330)=1,SUMIF($D$2:$D$5001,D4330,$H$2:$H$5001)+ROW()/10000000,0))</f>
        <v>0</v>
      </c>
      <c r="Q4330" s="47" t="n">
        <f aca="false">IF(OR($A4330="",C4330=""),0,IF(COUNTIF($C$2:C4330,C4330)=1,SUMIF($C$2:$C$5001,C4330,$H$2:$H$5001)+ROW()/10000000,0))</f>
        <v>0</v>
      </c>
    </row>
    <row r="4331" customFormat="false" ht="15" hidden="false" customHeight="false" outlineLevel="0" collapsed="false">
      <c r="A4331" s="43"/>
      <c r="B4331" s="44"/>
      <c r="C4331" s="44"/>
      <c r="D4331" s="44"/>
      <c r="E4331" s="44"/>
      <c r="F4331" s="44"/>
      <c r="G4331" s="44"/>
      <c r="H4331" s="46" t="str">
        <f aca="false">IF($A4331="","",IF(OR(NOT(ISNUMBER(E4331)),NOT(ISNUMBER(F4331))),"",MAX(0,E4331)*F4331))</f>
        <v/>
      </c>
      <c r="I4331" s="46" t="str">
        <f aca="false">IF($A4331="","",SUMIF($A$2:$A$5001,$A4331,$H$2:$H$5001))</f>
        <v/>
      </c>
      <c r="J4331" s="47" t="n">
        <f aca="false">IF($A4331="",0,IF(COUNTIF($A$2:A4331,$A4331)=1,1,0))</f>
        <v>0</v>
      </c>
      <c r="K4331" s="47" t="n">
        <f aca="false">IF(J4331=1,N(I4331)+ROW()/10000000,0)</f>
        <v>0</v>
      </c>
      <c r="L4331" s="47" t="str">
        <f aca="false">IF(AND(J4331=1,N(I4331)&gt;0),SUMIF($K$2:$K$5001,"&gt;="&amp;K4331,$I$2:$I$5001)/MAX(1,SUM($H$2:$H$5001)),"")</f>
        <v/>
      </c>
      <c r="M4331" s="47" t="str">
        <f aca="false">IF($A4331="","",INDEX($L$2:$L$5001,MATCH($A4331,$A$2:$A$5001,0)))</f>
        <v/>
      </c>
      <c r="N4331" s="48" t="str">
        <f aca="false">IF($A4331="","",IF(N(M4331)=0,"–",IF(M4331&lt;=Start!$D$20,"A",IF(M4331&lt;=Start!$D$21,"B","C"))))</f>
        <v/>
      </c>
      <c r="O4331" s="48" t="str">
        <f aca="false">IF($A4331="","",IF(NOT(ISNUMBER(F4331)),"Wert fehlt; ",IF(F4331&lt;=0,"Wert ist 0; ",""))&amp;IF(NOT(ISNUMBER(E4331)),"Bestand fehlt; ",IF(E4331&lt;0,"Bestand negativ; ",IF(E4331=0,"Nullbestand; ","")))&amp;IF(D4331="","Warengruppe fehlt; ","")&amp;IF(B4331="","Bezeichnung fehlt; ","")&amp;IF(COUNTIFS($A$2:$A$5001,$A4331,$C$2:$C$5001,C4331)&gt;1,"Artikel doppelt im selben Lager; ",""))</f>
        <v/>
      </c>
      <c r="P4331" s="47" t="n">
        <f aca="false">IF(OR($A4331="",D4331=""),0,IF(COUNTIF($D$2:D4331,D4331)=1,SUMIF($D$2:$D$5001,D4331,$H$2:$H$5001)+ROW()/10000000,0))</f>
        <v>0</v>
      </c>
      <c r="Q4331" s="47" t="n">
        <f aca="false">IF(OR($A4331="",C4331=""),0,IF(COUNTIF($C$2:C4331,C4331)=1,SUMIF($C$2:$C$5001,C4331,$H$2:$H$5001)+ROW()/10000000,0))</f>
        <v>0</v>
      </c>
    </row>
    <row r="4332" customFormat="false" ht="15" hidden="false" customHeight="false" outlineLevel="0" collapsed="false">
      <c r="A4332" s="43"/>
      <c r="B4332" s="44"/>
      <c r="C4332" s="44"/>
      <c r="D4332" s="44"/>
      <c r="E4332" s="44"/>
      <c r="F4332" s="44"/>
      <c r="G4332" s="44"/>
      <c r="H4332" s="46" t="str">
        <f aca="false">IF($A4332="","",IF(OR(NOT(ISNUMBER(E4332)),NOT(ISNUMBER(F4332))),"",MAX(0,E4332)*F4332))</f>
        <v/>
      </c>
      <c r="I4332" s="46" t="str">
        <f aca="false">IF($A4332="","",SUMIF($A$2:$A$5001,$A4332,$H$2:$H$5001))</f>
        <v/>
      </c>
      <c r="J4332" s="47" t="n">
        <f aca="false">IF($A4332="",0,IF(COUNTIF($A$2:A4332,$A4332)=1,1,0))</f>
        <v>0</v>
      </c>
      <c r="K4332" s="47" t="n">
        <f aca="false">IF(J4332=1,N(I4332)+ROW()/10000000,0)</f>
        <v>0</v>
      </c>
      <c r="L4332" s="47" t="str">
        <f aca="false">IF(AND(J4332=1,N(I4332)&gt;0),SUMIF($K$2:$K$5001,"&gt;="&amp;K4332,$I$2:$I$5001)/MAX(1,SUM($H$2:$H$5001)),"")</f>
        <v/>
      </c>
      <c r="M4332" s="47" t="str">
        <f aca="false">IF($A4332="","",INDEX($L$2:$L$5001,MATCH($A4332,$A$2:$A$5001,0)))</f>
        <v/>
      </c>
      <c r="N4332" s="48" t="str">
        <f aca="false">IF($A4332="","",IF(N(M4332)=0,"–",IF(M4332&lt;=Start!$D$20,"A",IF(M4332&lt;=Start!$D$21,"B","C"))))</f>
        <v/>
      </c>
      <c r="O4332" s="48" t="str">
        <f aca="false">IF($A4332="","",IF(NOT(ISNUMBER(F4332)),"Wert fehlt; ",IF(F4332&lt;=0,"Wert ist 0; ",""))&amp;IF(NOT(ISNUMBER(E4332)),"Bestand fehlt; ",IF(E4332&lt;0,"Bestand negativ; ",IF(E4332=0,"Nullbestand; ","")))&amp;IF(D4332="","Warengruppe fehlt; ","")&amp;IF(B4332="","Bezeichnung fehlt; ","")&amp;IF(COUNTIFS($A$2:$A$5001,$A4332,$C$2:$C$5001,C4332)&gt;1,"Artikel doppelt im selben Lager; ",""))</f>
        <v/>
      </c>
      <c r="P4332" s="47" t="n">
        <f aca="false">IF(OR($A4332="",D4332=""),0,IF(COUNTIF($D$2:D4332,D4332)=1,SUMIF($D$2:$D$5001,D4332,$H$2:$H$5001)+ROW()/10000000,0))</f>
        <v>0</v>
      </c>
      <c r="Q4332" s="47" t="n">
        <f aca="false">IF(OR($A4332="",C4332=""),0,IF(COUNTIF($C$2:C4332,C4332)=1,SUMIF($C$2:$C$5001,C4332,$H$2:$H$5001)+ROW()/10000000,0))</f>
        <v>0</v>
      </c>
    </row>
    <row r="4333" customFormat="false" ht="15" hidden="false" customHeight="false" outlineLevel="0" collapsed="false">
      <c r="A4333" s="43"/>
      <c r="B4333" s="44"/>
      <c r="C4333" s="44"/>
      <c r="D4333" s="44"/>
      <c r="E4333" s="44"/>
      <c r="F4333" s="44"/>
      <c r="G4333" s="44"/>
      <c r="H4333" s="46" t="str">
        <f aca="false">IF($A4333="","",IF(OR(NOT(ISNUMBER(E4333)),NOT(ISNUMBER(F4333))),"",MAX(0,E4333)*F4333))</f>
        <v/>
      </c>
      <c r="I4333" s="46" t="str">
        <f aca="false">IF($A4333="","",SUMIF($A$2:$A$5001,$A4333,$H$2:$H$5001))</f>
        <v/>
      </c>
      <c r="J4333" s="47" t="n">
        <f aca="false">IF($A4333="",0,IF(COUNTIF($A$2:A4333,$A4333)=1,1,0))</f>
        <v>0</v>
      </c>
      <c r="K4333" s="47" t="n">
        <f aca="false">IF(J4333=1,N(I4333)+ROW()/10000000,0)</f>
        <v>0</v>
      </c>
      <c r="L4333" s="47" t="str">
        <f aca="false">IF(AND(J4333=1,N(I4333)&gt;0),SUMIF($K$2:$K$5001,"&gt;="&amp;K4333,$I$2:$I$5001)/MAX(1,SUM($H$2:$H$5001)),"")</f>
        <v/>
      </c>
      <c r="M4333" s="47" t="str">
        <f aca="false">IF($A4333="","",INDEX($L$2:$L$5001,MATCH($A4333,$A$2:$A$5001,0)))</f>
        <v/>
      </c>
      <c r="N4333" s="48" t="str">
        <f aca="false">IF($A4333="","",IF(N(M4333)=0,"–",IF(M4333&lt;=Start!$D$20,"A",IF(M4333&lt;=Start!$D$21,"B","C"))))</f>
        <v/>
      </c>
      <c r="O4333" s="48" t="str">
        <f aca="false">IF($A4333="","",IF(NOT(ISNUMBER(F4333)),"Wert fehlt; ",IF(F4333&lt;=0,"Wert ist 0; ",""))&amp;IF(NOT(ISNUMBER(E4333)),"Bestand fehlt; ",IF(E4333&lt;0,"Bestand negativ; ",IF(E4333=0,"Nullbestand; ","")))&amp;IF(D4333="","Warengruppe fehlt; ","")&amp;IF(B4333="","Bezeichnung fehlt; ","")&amp;IF(COUNTIFS($A$2:$A$5001,$A4333,$C$2:$C$5001,C4333)&gt;1,"Artikel doppelt im selben Lager; ",""))</f>
        <v/>
      </c>
      <c r="P4333" s="47" t="n">
        <f aca="false">IF(OR($A4333="",D4333=""),0,IF(COUNTIF($D$2:D4333,D4333)=1,SUMIF($D$2:$D$5001,D4333,$H$2:$H$5001)+ROW()/10000000,0))</f>
        <v>0</v>
      </c>
      <c r="Q4333" s="47" t="n">
        <f aca="false">IF(OR($A4333="",C4333=""),0,IF(COUNTIF($C$2:C4333,C4333)=1,SUMIF($C$2:$C$5001,C4333,$H$2:$H$5001)+ROW()/10000000,0))</f>
        <v>0</v>
      </c>
    </row>
    <row r="4334" customFormat="false" ht="15" hidden="false" customHeight="false" outlineLevel="0" collapsed="false">
      <c r="A4334" s="43"/>
      <c r="B4334" s="44"/>
      <c r="C4334" s="44"/>
      <c r="D4334" s="44"/>
      <c r="E4334" s="44"/>
      <c r="F4334" s="44"/>
      <c r="G4334" s="44"/>
      <c r="H4334" s="46" t="str">
        <f aca="false">IF($A4334="","",IF(OR(NOT(ISNUMBER(E4334)),NOT(ISNUMBER(F4334))),"",MAX(0,E4334)*F4334))</f>
        <v/>
      </c>
      <c r="I4334" s="46" t="str">
        <f aca="false">IF($A4334="","",SUMIF($A$2:$A$5001,$A4334,$H$2:$H$5001))</f>
        <v/>
      </c>
      <c r="J4334" s="47" t="n">
        <f aca="false">IF($A4334="",0,IF(COUNTIF($A$2:A4334,$A4334)=1,1,0))</f>
        <v>0</v>
      </c>
      <c r="K4334" s="47" t="n">
        <f aca="false">IF(J4334=1,N(I4334)+ROW()/10000000,0)</f>
        <v>0</v>
      </c>
      <c r="L4334" s="47" t="str">
        <f aca="false">IF(AND(J4334=1,N(I4334)&gt;0),SUMIF($K$2:$K$5001,"&gt;="&amp;K4334,$I$2:$I$5001)/MAX(1,SUM($H$2:$H$5001)),"")</f>
        <v/>
      </c>
      <c r="M4334" s="47" t="str">
        <f aca="false">IF($A4334="","",INDEX($L$2:$L$5001,MATCH($A4334,$A$2:$A$5001,0)))</f>
        <v/>
      </c>
      <c r="N4334" s="48" t="str">
        <f aca="false">IF($A4334="","",IF(N(M4334)=0,"–",IF(M4334&lt;=Start!$D$20,"A",IF(M4334&lt;=Start!$D$21,"B","C"))))</f>
        <v/>
      </c>
      <c r="O4334" s="48" t="str">
        <f aca="false">IF($A4334="","",IF(NOT(ISNUMBER(F4334)),"Wert fehlt; ",IF(F4334&lt;=0,"Wert ist 0; ",""))&amp;IF(NOT(ISNUMBER(E4334)),"Bestand fehlt; ",IF(E4334&lt;0,"Bestand negativ; ",IF(E4334=0,"Nullbestand; ","")))&amp;IF(D4334="","Warengruppe fehlt; ","")&amp;IF(B4334="","Bezeichnung fehlt; ","")&amp;IF(COUNTIFS($A$2:$A$5001,$A4334,$C$2:$C$5001,C4334)&gt;1,"Artikel doppelt im selben Lager; ",""))</f>
        <v/>
      </c>
      <c r="P4334" s="47" t="n">
        <f aca="false">IF(OR($A4334="",D4334=""),0,IF(COUNTIF($D$2:D4334,D4334)=1,SUMIF($D$2:$D$5001,D4334,$H$2:$H$5001)+ROW()/10000000,0))</f>
        <v>0</v>
      </c>
      <c r="Q4334" s="47" t="n">
        <f aca="false">IF(OR($A4334="",C4334=""),0,IF(COUNTIF($C$2:C4334,C4334)=1,SUMIF($C$2:$C$5001,C4334,$H$2:$H$5001)+ROW()/10000000,0))</f>
        <v>0</v>
      </c>
    </row>
    <row r="4335" customFormat="false" ht="15" hidden="false" customHeight="false" outlineLevel="0" collapsed="false">
      <c r="A4335" s="43"/>
      <c r="B4335" s="44"/>
      <c r="C4335" s="44"/>
      <c r="D4335" s="44"/>
      <c r="E4335" s="44"/>
      <c r="F4335" s="44"/>
      <c r="G4335" s="44"/>
      <c r="H4335" s="46" t="str">
        <f aca="false">IF($A4335="","",IF(OR(NOT(ISNUMBER(E4335)),NOT(ISNUMBER(F4335))),"",MAX(0,E4335)*F4335))</f>
        <v/>
      </c>
      <c r="I4335" s="46" t="str">
        <f aca="false">IF($A4335="","",SUMIF($A$2:$A$5001,$A4335,$H$2:$H$5001))</f>
        <v/>
      </c>
      <c r="J4335" s="47" t="n">
        <f aca="false">IF($A4335="",0,IF(COUNTIF($A$2:A4335,$A4335)=1,1,0))</f>
        <v>0</v>
      </c>
      <c r="K4335" s="47" t="n">
        <f aca="false">IF(J4335=1,N(I4335)+ROW()/10000000,0)</f>
        <v>0</v>
      </c>
      <c r="L4335" s="47" t="str">
        <f aca="false">IF(AND(J4335=1,N(I4335)&gt;0),SUMIF($K$2:$K$5001,"&gt;="&amp;K4335,$I$2:$I$5001)/MAX(1,SUM($H$2:$H$5001)),"")</f>
        <v/>
      </c>
      <c r="M4335" s="47" t="str">
        <f aca="false">IF($A4335="","",INDEX($L$2:$L$5001,MATCH($A4335,$A$2:$A$5001,0)))</f>
        <v/>
      </c>
      <c r="N4335" s="48" t="str">
        <f aca="false">IF($A4335="","",IF(N(M4335)=0,"–",IF(M4335&lt;=Start!$D$20,"A",IF(M4335&lt;=Start!$D$21,"B","C"))))</f>
        <v/>
      </c>
      <c r="O4335" s="48" t="str">
        <f aca="false">IF($A4335="","",IF(NOT(ISNUMBER(F4335)),"Wert fehlt; ",IF(F4335&lt;=0,"Wert ist 0; ",""))&amp;IF(NOT(ISNUMBER(E4335)),"Bestand fehlt; ",IF(E4335&lt;0,"Bestand negativ; ",IF(E4335=0,"Nullbestand; ","")))&amp;IF(D4335="","Warengruppe fehlt; ","")&amp;IF(B4335="","Bezeichnung fehlt; ","")&amp;IF(COUNTIFS($A$2:$A$5001,$A4335,$C$2:$C$5001,C4335)&gt;1,"Artikel doppelt im selben Lager; ",""))</f>
        <v/>
      </c>
      <c r="P4335" s="47" t="n">
        <f aca="false">IF(OR($A4335="",D4335=""),0,IF(COUNTIF($D$2:D4335,D4335)=1,SUMIF($D$2:$D$5001,D4335,$H$2:$H$5001)+ROW()/10000000,0))</f>
        <v>0</v>
      </c>
      <c r="Q4335" s="47" t="n">
        <f aca="false">IF(OR($A4335="",C4335=""),0,IF(COUNTIF($C$2:C4335,C4335)=1,SUMIF($C$2:$C$5001,C4335,$H$2:$H$5001)+ROW()/10000000,0))</f>
        <v>0</v>
      </c>
    </row>
    <row r="4336" customFormat="false" ht="15" hidden="false" customHeight="false" outlineLevel="0" collapsed="false">
      <c r="A4336" s="43"/>
      <c r="B4336" s="44"/>
      <c r="C4336" s="44"/>
      <c r="D4336" s="44"/>
      <c r="E4336" s="44"/>
      <c r="F4336" s="44"/>
      <c r="G4336" s="44"/>
      <c r="H4336" s="46" t="str">
        <f aca="false">IF($A4336="","",IF(OR(NOT(ISNUMBER(E4336)),NOT(ISNUMBER(F4336))),"",MAX(0,E4336)*F4336))</f>
        <v/>
      </c>
      <c r="I4336" s="46" t="str">
        <f aca="false">IF($A4336="","",SUMIF($A$2:$A$5001,$A4336,$H$2:$H$5001))</f>
        <v/>
      </c>
      <c r="J4336" s="47" t="n">
        <f aca="false">IF($A4336="",0,IF(COUNTIF($A$2:A4336,$A4336)=1,1,0))</f>
        <v>0</v>
      </c>
      <c r="K4336" s="47" t="n">
        <f aca="false">IF(J4336=1,N(I4336)+ROW()/10000000,0)</f>
        <v>0</v>
      </c>
      <c r="L4336" s="47" t="str">
        <f aca="false">IF(AND(J4336=1,N(I4336)&gt;0),SUMIF($K$2:$K$5001,"&gt;="&amp;K4336,$I$2:$I$5001)/MAX(1,SUM($H$2:$H$5001)),"")</f>
        <v/>
      </c>
      <c r="M4336" s="47" t="str">
        <f aca="false">IF($A4336="","",INDEX($L$2:$L$5001,MATCH($A4336,$A$2:$A$5001,0)))</f>
        <v/>
      </c>
      <c r="N4336" s="48" t="str">
        <f aca="false">IF($A4336="","",IF(N(M4336)=0,"–",IF(M4336&lt;=Start!$D$20,"A",IF(M4336&lt;=Start!$D$21,"B","C"))))</f>
        <v/>
      </c>
      <c r="O4336" s="48" t="str">
        <f aca="false">IF($A4336="","",IF(NOT(ISNUMBER(F4336)),"Wert fehlt; ",IF(F4336&lt;=0,"Wert ist 0; ",""))&amp;IF(NOT(ISNUMBER(E4336)),"Bestand fehlt; ",IF(E4336&lt;0,"Bestand negativ; ",IF(E4336=0,"Nullbestand; ","")))&amp;IF(D4336="","Warengruppe fehlt; ","")&amp;IF(B4336="","Bezeichnung fehlt; ","")&amp;IF(COUNTIFS($A$2:$A$5001,$A4336,$C$2:$C$5001,C4336)&gt;1,"Artikel doppelt im selben Lager; ",""))</f>
        <v/>
      </c>
      <c r="P4336" s="47" t="n">
        <f aca="false">IF(OR($A4336="",D4336=""),0,IF(COUNTIF($D$2:D4336,D4336)=1,SUMIF($D$2:$D$5001,D4336,$H$2:$H$5001)+ROW()/10000000,0))</f>
        <v>0</v>
      </c>
      <c r="Q4336" s="47" t="n">
        <f aca="false">IF(OR($A4336="",C4336=""),0,IF(COUNTIF($C$2:C4336,C4336)=1,SUMIF($C$2:$C$5001,C4336,$H$2:$H$5001)+ROW()/10000000,0))</f>
        <v>0</v>
      </c>
    </row>
    <row r="4337" customFormat="false" ht="15" hidden="false" customHeight="false" outlineLevel="0" collapsed="false">
      <c r="A4337" s="43"/>
      <c r="B4337" s="44"/>
      <c r="C4337" s="44"/>
      <c r="D4337" s="44"/>
      <c r="E4337" s="44"/>
      <c r="F4337" s="44"/>
      <c r="G4337" s="44"/>
      <c r="H4337" s="46" t="str">
        <f aca="false">IF($A4337="","",IF(OR(NOT(ISNUMBER(E4337)),NOT(ISNUMBER(F4337))),"",MAX(0,E4337)*F4337))</f>
        <v/>
      </c>
      <c r="I4337" s="46" t="str">
        <f aca="false">IF($A4337="","",SUMIF($A$2:$A$5001,$A4337,$H$2:$H$5001))</f>
        <v/>
      </c>
      <c r="J4337" s="47" t="n">
        <f aca="false">IF($A4337="",0,IF(COUNTIF($A$2:A4337,$A4337)=1,1,0))</f>
        <v>0</v>
      </c>
      <c r="K4337" s="47" t="n">
        <f aca="false">IF(J4337=1,N(I4337)+ROW()/10000000,0)</f>
        <v>0</v>
      </c>
      <c r="L4337" s="47" t="str">
        <f aca="false">IF(AND(J4337=1,N(I4337)&gt;0),SUMIF($K$2:$K$5001,"&gt;="&amp;K4337,$I$2:$I$5001)/MAX(1,SUM($H$2:$H$5001)),"")</f>
        <v/>
      </c>
      <c r="M4337" s="47" t="str">
        <f aca="false">IF($A4337="","",INDEX($L$2:$L$5001,MATCH($A4337,$A$2:$A$5001,0)))</f>
        <v/>
      </c>
      <c r="N4337" s="48" t="str">
        <f aca="false">IF($A4337="","",IF(N(M4337)=0,"–",IF(M4337&lt;=Start!$D$20,"A",IF(M4337&lt;=Start!$D$21,"B","C"))))</f>
        <v/>
      </c>
      <c r="O4337" s="48" t="str">
        <f aca="false">IF($A4337="","",IF(NOT(ISNUMBER(F4337)),"Wert fehlt; ",IF(F4337&lt;=0,"Wert ist 0; ",""))&amp;IF(NOT(ISNUMBER(E4337)),"Bestand fehlt; ",IF(E4337&lt;0,"Bestand negativ; ",IF(E4337=0,"Nullbestand; ","")))&amp;IF(D4337="","Warengruppe fehlt; ","")&amp;IF(B4337="","Bezeichnung fehlt; ","")&amp;IF(COUNTIFS($A$2:$A$5001,$A4337,$C$2:$C$5001,C4337)&gt;1,"Artikel doppelt im selben Lager; ",""))</f>
        <v/>
      </c>
      <c r="P4337" s="47" t="n">
        <f aca="false">IF(OR($A4337="",D4337=""),0,IF(COUNTIF($D$2:D4337,D4337)=1,SUMIF($D$2:$D$5001,D4337,$H$2:$H$5001)+ROW()/10000000,0))</f>
        <v>0</v>
      </c>
      <c r="Q4337" s="47" t="n">
        <f aca="false">IF(OR($A4337="",C4337=""),0,IF(COUNTIF($C$2:C4337,C4337)=1,SUMIF($C$2:$C$5001,C4337,$H$2:$H$5001)+ROW()/10000000,0))</f>
        <v>0</v>
      </c>
    </row>
    <row r="4338" customFormat="false" ht="15" hidden="false" customHeight="false" outlineLevel="0" collapsed="false">
      <c r="A4338" s="43"/>
      <c r="B4338" s="44"/>
      <c r="C4338" s="44"/>
      <c r="D4338" s="44"/>
      <c r="E4338" s="44"/>
      <c r="F4338" s="44"/>
      <c r="G4338" s="44"/>
      <c r="H4338" s="46" t="str">
        <f aca="false">IF($A4338="","",IF(OR(NOT(ISNUMBER(E4338)),NOT(ISNUMBER(F4338))),"",MAX(0,E4338)*F4338))</f>
        <v/>
      </c>
      <c r="I4338" s="46" t="str">
        <f aca="false">IF($A4338="","",SUMIF($A$2:$A$5001,$A4338,$H$2:$H$5001))</f>
        <v/>
      </c>
      <c r="J4338" s="47" t="n">
        <f aca="false">IF($A4338="",0,IF(COUNTIF($A$2:A4338,$A4338)=1,1,0))</f>
        <v>0</v>
      </c>
      <c r="K4338" s="47" t="n">
        <f aca="false">IF(J4338=1,N(I4338)+ROW()/10000000,0)</f>
        <v>0</v>
      </c>
      <c r="L4338" s="47" t="str">
        <f aca="false">IF(AND(J4338=1,N(I4338)&gt;0),SUMIF($K$2:$K$5001,"&gt;="&amp;K4338,$I$2:$I$5001)/MAX(1,SUM($H$2:$H$5001)),"")</f>
        <v/>
      </c>
      <c r="M4338" s="47" t="str">
        <f aca="false">IF($A4338="","",INDEX($L$2:$L$5001,MATCH($A4338,$A$2:$A$5001,0)))</f>
        <v/>
      </c>
      <c r="N4338" s="48" t="str">
        <f aca="false">IF($A4338="","",IF(N(M4338)=0,"–",IF(M4338&lt;=Start!$D$20,"A",IF(M4338&lt;=Start!$D$21,"B","C"))))</f>
        <v/>
      </c>
      <c r="O4338" s="48" t="str">
        <f aca="false">IF($A4338="","",IF(NOT(ISNUMBER(F4338)),"Wert fehlt; ",IF(F4338&lt;=0,"Wert ist 0; ",""))&amp;IF(NOT(ISNUMBER(E4338)),"Bestand fehlt; ",IF(E4338&lt;0,"Bestand negativ; ",IF(E4338=0,"Nullbestand; ","")))&amp;IF(D4338="","Warengruppe fehlt; ","")&amp;IF(B4338="","Bezeichnung fehlt; ","")&amp;IF(COUNTIFS($A$2:$A$5001,$A4338,$C$2:$C$5001,C4338)&gt;1,"Artikel doppelt im selben Lager; ",""))</f>
        <v/>
      </c>
      <c r="P4338" s="47" t="n">
        <f aca="false">IF(OR($A4338="",D4338=""),0,IF(COUNTIF($D$2:D4338,D4338)=1,SUMIF($D$2:$D$5001,D4338,$H$2:$H$5001)+ROW()/10000000,0))</f>
        <v>0</v>
      </c>
      <c r="Q4338" s="47" t="n">
        <f aca="false">IF(OR($A4338="",C4338=""),0,IF(COUNTIF($C$2:C4338,C4338)=1,SUMIF($C$2:$C$5001,C4338,$H$2:$H$5001)+ROW()/10000000,0))</f>
        <v>0</v>
      </c>
    </row>
    <row r="4339" customFormat="false" ht="15" hidden="false" customHeight="false" outlineLevel="0" collapsed="false">
      <c r="A4339" s="43"/>
      <c r="B4339" s="44"/>
      <c r="C4339" s="44"/>
      <c r="D4339" s="44"/>
      <c r="E4339" s="44"/>
      <c r="F4339" s="44"/>
      <c r="G4339" s="44"/>
      <c r="H4339" s="46" t="str">
        <f aca="false">IF($A4339="","",IF(OR(NOT(ISNUMBER(E4339)),NOT(ISNUMBER(F4339))),"",MAX(0,E4339)*F4339))</f>
        <v/>
      </c>
      <c r="I4339" s="46" t="str">
        <f aca="false">IF($A4339="","",SUMIF($A$2:$A$5001,$A4339,$H$2:$H$5001))</f>
        <v/>
      </c>
      <c r="J4339" s="47" t="n">
        <f aca="false">IF($A4339="",0,IF(COUNTIF($A$2:A4339,$A4339)=1,1,0))</f>
        <v>0</v>
      </c>
      <c r="K4339" s="47" t="n">
        <f aca="false">IF(J4339=1,N(I4339)+ROW()/10000000,0)</f>
        <v>0</v>
      </c>
      <c r="L4339" s="47" t="str">
        <f aca="false">IF(AND(J4339=1,N(I4339)&gt;0),SUMIF($K$2:$K$5001,"&gt;="&amp;K4339,$I$2:$I$5001)/MAX(1,SUM($H$2:$H$5001)),"")</f>
        <v/>
      </c>
      <c r="M4339" s="47" t="str">
        <f aca="false">IF($A4339="","",INDEX($L$2:$L$5001,MATCH($A4339,$A$2:$A$5001,0)))</f>
        <v/>
      </c>
      <c r="N4339" s="48" t="str">
        <f aca="false">IF($A4339="","",IF(N(M4339)=0,"–",IF(M4339&lt;=Start!$D$20,"A",IF(M4339&lt;=Start!$D$21,"B","C"))))</f>
        <v/>
      </c>
      <c r="O4339" s="48" t="str">
        <f aca="false">IF($A4339="","",IF(NOT(ISNUMBER(F4339)),"Wert fehlt; ",IF(F4339&lt;=0,"Wert ist 0; ",""))&amp;IF(NOT(ISNUMBER(E4339)),"Bestand fehlt; ",IF(E4339&lt;0,"Bestand negativ; ",IF(E4339=0,"Nullbestand; ","")))&amp;IF(D4339="","Warengruppe fehlt; ","")&amp;IF(B4339="","Bezeichnung fehlt; ","")&amp;IF(COUNTIFS($A$2:$A$5001,$A4339,$C$2:$C$5001,C4339)&gt;1,"Artikel doppelt im selben Lager; ",""))</f>
        <v/>
      </c>
      <c r="P4339" s="47" t="n">
        <f aca="false">IF(OR($A4339="",D4339=""),0,IF(COUNTIF($D$2:D4339,D4339)=1,SUMIF($D$2:$D$5001,D4339,$H$2:$H$5001)+ROW()/10000000,0))</f>
        <v>0</v>
      </c>
      <c r="Q4339" s="47" t="n">
        <f aca="false">IF(OR($A4339="",C4339=""),0,IF(COUNTIF($C$2:C4339,C4339)=1,SUMIF($C$2:$C$5001,C4339,$H$2:$H$5001)+ROW()/10000000,0))</f>
        <v>0</v>
      </c>
    </row>
    <row r="4340" customFormat="false" ht="15" hidden="false" customHeight="false" outlineLevel="0" collapsed="false">
      <c r="A4340" s="43"/>
      <c r="B4340" s="44"/>
      <c r="C4340" s="44"/>
      <c r="D4340" s="44"/>
      <c r="E4340" s="44"/>
      <c r="F4340" s="44"/>
      <c r="G4340" s="44"/>
      <c r="H4340" s="46" t="str">
        <f aca="false">IF($A4340="","",IF(OR(NOT(ISNUMBER(E4340)),NOT(ISNUMBER(F4340))),"",MAX(0,E4340)*F4340))</f>
        <v/>
      </c>
      <c r="I4340" s="46" t="str">
        <f aca="false">IF($A4340="","",SUMIF($A$2:$A$5001,$A4340,$H$2:$H$5001))</f>
        <v/>
      </c>
      <c r="J4340" s="47" t="n">
        <f aca="false">IF($A4340="",0,IF(COUNTIF($A$2:A4340,$A4340)=1,1,0))</f>
        <v>0</v>
      </c>
      <c r="K4340" s="47" t="n">
        <f aca="false">IF(J4340=1,N(I4340)+ROW()/10000000,0)</f>
        <v>0</v>
      </c>
      <c r="L4340" s="47" t="str">
        <f aca="false">IF(AND(J4340=1,N(I4340)&gt;0),SUMIF($K$2:$K$5001,"&gt;="&amp;K4340,$I$2:$I$5001)/MAX(1,SUM($H$2:$H$5001)),"")</f>
        <v/>
      </c>
      <c r="M4340" s="47" t="str">
        <f aca="false">IF($A4340="","",INDEX($L$2:$L$5001,MATCH($A4340,$A$2:$A$5001,0)))</f>
        <v/>
      </c>
      <c r="N4340" s="48" t="str">
        <f aca="false">IF($A4340="","",IF(N(M4340)=0,"–",IF(M4340&lt;=Start!$D$20,"A",IF(M4340&lt;=Start!$D$21,"B","C"))))</f>
        <v/>
      </c>
      <c r="O4340" s="48" t="str">
        <f aca="false">IF($A4340="","",IF(NOT(ISNUMBER(F4340)),"Wert fehlt; ",IF(F4340&lt;=0,"Wert ist 0; ",""))&amp;IF(NOT(ISNUMBER(E4340)),"Bestand fehlt; ",IF(E4340&lt;0,"Bestand negativ; ",IF(E4340=0,"Nullbestand; ","")))&amp;IF(D4340="","Warengruppe fehlt; ","")&amp;IF(B4340="","Bezeichnung fehlt; ","")&amp;IF(COUNTIFS($A$2:$A$5001,$A4340,$C$2:$C$5001,C4340)&gt;1,"Artikel doppelt im selben Lager; ",""))</f>
        <v/>
      </c>
      <c r="P4340" s="47" t="n">
        <f aca="false">IF(OR($A4340="",D4340=""),0,IF(COUNTIF($D$2:D4340,D4340)=1,SUMIF($D$2:$D$5001,D4340,$H$2:$H$5001)+ROW()/10000000,0))</f>
        <v>0</v>
      </c>
      <c r="Q4340" s="47" t="n">
        <f aca="false">IF(OR($A4340="",C4340=""),0,IF(COUNTIF($C$2:C4340,C4340)=1,SUMIF($C$2:$C$5001,C4340,$H$2:$H$5001)+ROW()/10000000,0))</f>
        <v>0</v>
      </c>
    </row>
    <row r="4341" customFormat="false" ht="15" hidden="false" customHeight="false" outlineLevel="0" collapsed="false">
      <c r="A4341" s="43"/>
      <c r="B4341" s="44"/>
      <c r="C4341" s="44"/>
      <c r="D4341" s="44"/>
      <c r="E4341" s="44"/>
      <c r="F4341" s="44"/>
      <c r="G4341" s="44"/>
      <c r="H4341" s="46" t="str">
        <f aca="false">IF($A4341="","",IF(OR(NOT(ISNUMBER(E4341)),NOT(ISNUMBER(F4341))),"",MAX(0,E4341)*F4341))</f>
        <v/>
      </c>
      <c r="I4341" s="46" t="str">
        <f aca="false">IF($A4341="","",SUMIF($A$2:$A$5001,$A4341,$H$2:$H$5001))</f>
        <v/>
      </c>
      <c r="J4341" s="47" t="n">
        <f aca="false">IF($A4341="",0,IF(COUNTIF($A$2:A4341,$A4341)=1,1,0))</f>
        <v>0</v>
      </c>
      <c r="K4341" s="47" t="n">
        <f aca="false">IF(J4341=1,N(I4341)+ROW()/10000000,0)</f>
        <v>0</v>
      </c>
      <c r="L4341" s="47" t="str">
        <f aca="false">IF(AND(J4341=1,N(I4341)&gt;0),SUMIF($K$2:$K$5001,"&gt;="&amp;K4341,$I$2:$I$5001)/MAX(1,SUM($H$2:$H$5001)),"")</f>
        <v/>
      </c>
      <c r="M4341" s="47" t="str">
        <f aca="false">IF($A4341="","",INDEX($L$2:$L$5001,MATCH($A4341,$A$2:$A$5001,0)))</f>
        <v/>
      </c>
      <c r="N4341" s="48" t="str">
        <f aca="false">IF($A4341="","",IF(N(M4341)=0,"–",IF(M4341&lt;=Start!$D$20,"A",IF(M4341&lt;=Start!$D$21,"B","C"))))</f>
        <v/>
      </c>
      <c r="O4341" s="48" t="str">
        <f aca="false">IF($A4341="","",IF(NOT(ISNUMBER(F4341)),"Wert fehlt; ",IF(F4341&lt;=0,"Wert ist 0; ",""))&amp;IF(NOT(ISNUMBER(E4341)),"Bestand fehlt; ",IF(E4341&lt;0,"Bestand negativ; ",IF(E4341=0,"Nullbestand; ","")))&amp;IF(D4341="","Warengruppe fehlt; ","")&amp;IF(B4341="","Bezeichnung fehlt; ","")&amp;IF(COUNTIFS($A$2:$A$5001,$A4341,$C$2:$C$5001,C4341)&gt;1,"Artikel doppelt im selben Lager; ",""))</f>
        <v/>
      </c>
      <c r="P4341" s="47" t="n">
        <f aca="false">IF(OR($A4341="",D4341=""),0,IF(COUNTIF($D$2:D4341,D4341)=1,SUMIF($D$2:$D$5001,D4341,$H$2:$H$5001)+ROW()/10000000,0))</f>
        <v>0</v>
      </c>
      <c r="Q4341" s="47" t="n">
        <f aca="false">IF(OR($A4341="",C4341=""),0,IF(COUNTIF($C$2:C4341,C4341)=1,SUMIF($C$2:$C$5001,C4341,$H$2:$H$5001)+ROW()/10000000,0))</f>
        <v>0</v>
      </c>
    </row>
    <row r="4342" customFormat="false" ht="15" hidden="false" customHeight="false" outlineLevel="0" collapsed="false">
      <c r="A4342" s="43"/>
      <c r="B4342" s="44"/>
      <c r="C4342" s="44"/>
      <c r="D4342" s="44"/>
      <c r="E4342" s="44"/>
      <c r="F4342" s="44"/>
      <c r="G4342" s="44"/>
      <c r="H4342" s="46" t="str">
        <f aca="false">IF($A4342="","",IF(OR(NOT(ISNUMBER(E4342)),NOT(ISNUMBER(F4342))),"",MAX(0,E4342)*F4342))</f>
        <v/>
      </c>
      <c r="I4342" s="46" t="str">
        <f aca="false">IF($A4342="","",SUMIF($A$2:$A$5001,$A4342,$H$2:$H$5001))</f>
        <v/>
      </c>
      <c r="J4342" s="47" t="n">
        <f aca="false">IF($A4342="",0,IF(COUNTIF($A$2:A4342,$A4342)=1,1,0))</f>
        <v>0</v>
      </c>
      <c r="K4342" s="47" t="n">
        <f aca="false">IF(J4342=1,N(I4342)+ROW()/10000000,0)</f>
        <v>0</v>
      </c>
      <c r="L4342" s="47" t="str">
        <f aca="false">IF(AND(J4342=1,N(I4342)&gt;0),SUMIF($K$2:$K$5001,"&gt;="&amp;K4342,$I$2:$I$5001)/MAX(1,SUM($H$2:$H$5001)),"")</f>
        <v/>
      </c>
      <c r="M4342" s="47" t="str">
        <f aca="false">IF($A4342="","",INDEX($L$2:$L$5001,MATCH($A4342,$A$2:$A$5001,0)))</f>
        <v/>
      </c>
      <c r="N4342" s="48" t="str">
        <f aca="false">IF($A4342="","",IF(N(M4342)=0,"–",IF(M4342&lt;=Start!$D$20,"A",IF(M4342&lt;=Start!$D$21,"B","C"))))</f>
        <v/>
      </c>
      <c r="O4342" s="48" t="str">
        <f aca="false">IF($A4342="","",IF(NOT(ISNUMBER(F4342)),"Wert fehlt; ",IF(F4342&lt;=0,"Wert ist 0; ",""))&amp;IF(NOT(ISNUMBER(E4342)),"Bestand fehlt; ",IF(E4342&lt;0,"Bestand negativ; ",IF(E4342=0,"Nullbestand; ","")))&amp;IF(D4342="","Warengruppe fehlt; ","")&amp;IF(B4342="","Bezeichnung fehlt; ","")&amp;IF(COUNTIFS($A$2:$A$5001,$A4342,$C$2:$C$5001,C4342)&gt;1,"Artikel doppelt im selben Lager; ",""))</f>
        <v/>
      </c>
      <c r="P4342" s="47" t="n">
        <f aca="false">IF(OR($A4342="",D4342=""),0,IF(COUNTIF($D$2:D4342,D4342)=1,SUMIF($D$2:$D$5001,D4342,$H$2:$H$5001)+ROW()/10000000,0))</f>
        <v>0</v>
      </c>
      <c r="Q4342" s="47" t="n">
        <f aca="false">IF(OR($A4342="",C4342=""),0,IF(COUNTIF($C$2:C4342,C4342)=1,SUMIF($C$2:$C$5001,C4342,$H$2:$H$5001)+ROW()/10000000,0))</f>
        <v>0</v>
      </c>
    </row>
    <row r="4343" customFormat="false" ht="15" hidden="false" customHeight="false" outlineLevel="0" collapsed="false">
      <c r="A4343" s="43"/>
      <c r="B4343" s="44"/>
      <c r="C4343" s="44"/>
      <c r="D4343" s="44"/>
      <c r="E4343" s="44"/>
      <c r="F4343" s="44"/>
      <c r="G4343" s="44"/>
      <c r="H4343" s="46" t="str">
        <f aca="false">IF($A4343="","",IF(OR(NOT(ISNUMBER(E4343)),NOT(ISNUMBER(F4343))),"",MAX(0,E4343)*F4343))</f>
        <v/>
      </c>
      <c r="I4343" s="46" t="str">
        <f aca="false">IF($A4343="","",SUMIF($A$2:$A$5001,$A4343,$H$2:$H$5001))</f>
        <v/>
      </c>
      <c r="J4343" s="47" t="n">
        <f aca="false">IF($A4343="",0,IF(COUNTIF($A$2:A4343,$A4343)=1,1,0))</f>
        <v>0</v>
      </c>
      <c r="K4343" s="47" t="n">
        <f aca="false">IF(J4343=1,N(I4343)+ROW()/10000000,0)</f>
        <v>0</v>
      </c>
      <c r="L4343" s="47" t="str">
        <f aca="false">IF(AND(J4343=1,N(I4343)&gt;0),SUMIF($K$2:$K$5001,"&gt;="&amp;K4343,$I$2:$I$5001)/MAX(1,SUM($H$2:$H$5001)),"")</f>
        <v/>
      </c>
      <c r="M4343" s="47" t="str">
        <f aca="false">IF($A4343="","",INDEX($L$2:$L$5001,MATCH($A4343,$A$2:$A$5001,0)))</f>
        <v/>
      </c>
      <c r="N4343" s="48" t="str">
        <f aca="false">IF($A4343="","",IF(N(M4343)=0,"–",IF(M4343&lt;=Start!$D$20,"A",IF(M4343&lt;=Start!$D$21,"B","C"))))</f>
        <v/>
      </c>
      <c r="O4343" s="48" t="str">
        <f aca="false">IF($A4343="","",IF(NOT(ISNUMBER(F4343)),"Wert fehlt; ",IF(F4343&lt;=0,"Wert ist 0; ",""))&amp;IF(NOT(ISNUMBER(E4343)),"Bestand fehlt; ",IF(E4343&lt;0,"Bestand negativ; ",IF(E4343=0,"Nullbestand; ","")))&amp;IF(D4343="","Warengruppe fehlt; ","")&amp;IF(B4343="","Bezeichnung fehlt; ","")&amp;IF(COUNTIFS($A$2:$A$5001,$A4343,$C$2:$C$5001,C4343)&gt;1,"Artikel doppelt im selben Lager; ",""))</f>
        <v/>
      </c>
      <c r="P4343" s="47" t="n">
        <f aca="false">IF(OR($A4343="",D4343=""),0,IF(COUNTIF($D$2:D4343,D4343)=1,SUMIF($D$2:$D$5001,D4343,$H$2:$H$5001)+ROW()/10000000,0))</f>
        <v>0</v>
      </c>
      <c r="Q4343" s="47" t="n">
        <f aca="false">IF(OR($A4343="",C4343=""),0,IF(COUNTIF($C$2:C4343,C4343)=1,SUMIF($C$2:$C$5001,C4343,$H$2:$H$5001)+ROW()/10000000,0))</f>
        <v>0</v>
      </c>
    </row>
    <row r="4344" customFormat="false" ht="15" hidden="false" customHeight="false" outlineLevel="0" collapsed="false">
      <c r="A4344" s="43"/>
      <c r="B4344" s="44"/>
      <c r="C4344" s="44"/>
      <c r="D4344" s="44"/>
      <c r="E4344" s="44"/>
      <c r="F4344" s="44"/>
      <c r="G4344" s="44"/>
      <c r="H4344" s="46" t="str">
        <f aca="false">IF($A4344="","",IF(OR(NOT(ISNUMBER(E4344)),NOT(ISNUMBER(F4344))),"",MAX(0,E4344)*F4344))</f>
        <v/>
      </c>
      <c r="I4344" s="46" t="str">
        <f aca="false">IF($A4344="","",SUMIF($A$2:$A$5001,$A4344,$H$2:$H$5001))</f>
        <v/>
      </c>
      <c r="J4344" s="47" t="n">
        <f aca="false">IF($A4344="",0,IF(COUNTIF($A$2:A4344,$A4344)=1,1,0))</f>
        <v>0</v>
      </c>
      <c r="K4344" s="47" t="n">
        <f aca="false">IF(J4344=1,N(I4344)+ROW()/10000000,0)</f>
        <v>0</v>
      </c>
      <c r="L4344" s="47" t="str">
        <f aca="false">IF(AND(J4344=1,N(I4344)&gt;0),SUMIF($K$2:$K$5001,"&gt;="&amp;K4344,$I$2:$I$5001)/MAX(1,SUM($H$2:$H$5001)),"")</f>
        <v/>
      </c>
      <c r="M4344" s="47" t="str">
        <f aca="false">IF($A4344="","",INDEX($L$2:$L$5001,MATCH($A4344,$A$2:$A$5001,0)))</f>
        <v/>
      </c>
      <c r="N4344" s="48" t="str">
        <f aca="false">IF($A4344="","",IF(N(M4344)=0,"–",IF(M4344&lt;=Start!$D$20,"A",IF(M4344&lt;=Start!$D$21,"B","C"))))</f>
        <v/>
      </c>
      <c r="O4344" s="48" t="str">
        <f aca="false">IF($A4344="","",IF(NOT(ISNUMBER(F4344)),"Wert fehlt; ",IF(F4344&lt;=0,"Wert ist 0; ",""))&amp;IF(NOT(ISNUMBER(E4344)),"Bestand fehlt; ",IF(E4344&lt;0,"Bestand negativ; ",IF(E4344=0,"Nullbestand; ","")))&amp;IF(D4344="","Warengruppe fehlt; ","")&amp;IF(B4344="","Bezeichnung fehlt; ","")&amp;IF(COUNTIFS($A$2:$A$5001,$A4344,$C$2:$C$5001,C4344)&gt;1,"Artikel doppelt im selben Lager; ",""))</f>
        <v/>
      </c>
      <c r="P4344" s="47" t="n">
        <f aca="false">IF(OR($A4344="",D4344=""),0,IF(COUNTIF($D$2:D4344,D4344)=1,SUMIF($D$2:$D$5001,D4344,$H$2:$H$5001)+ROW()/10000000,0))</f>
        <v>0</v>
      </c>
      <c r="Q4344" s="47" t="n">
        <f aca="false">IF(OR($A4344="",C4344=""),0,IF(COUNTIF($C$2:C4344,C4344)=1,SUMIF($C$2:$C$5001,C4344,$H$2:$H$5001)+ROW()/10000000,0))</f>
        <v>0</v>
      </c>
    </row>
    <row r="4345" customFormat="false" ht="15" hidden="false" customHeight="false" outlineLevel="0" collapsed="false">
      <c r="A4345" s="43"/>
      <c r="B4345" s="44"/>
      <c r="C4345" s="44"/>
      <c r="D4345" s="44"/>
      <c r="E4345" s="44"/>
      <c r="F4345" s="44"/>
      <c r="G4345" s="44"/>
      <c r="H4345" s="46" t="str">
        <f aca="false">IF($A4345="","",IF(OR(NOT(ISNUMBER(E4345)),NOT(ISNUMBER(F4345))),"",MAX(0,E4345)*F4345))</f>
        <v/>
      </c>
      <c r="I4345" s="46" t="str">
        <f aca="false">IF($A4345="","",SUMIF($A$2:$A$5001,$A4345,$H$2:$H$5001))</f>
        <v/>
      </c>
      <c r="J4345" s="47" t="n">
        <f aca="false">IF($A4345="",0,IF(COUNTIF($A$2:A4345,$A4345)=1,1,0))</f>
        <v>0</v>
      </c>
      <c r="K4345" s="47" t="n">
        <f aca="false">IF(J4345=1,N(I4345)+ROW()/10000000,0)</f>
        <v>0</v>
      </c>
      <c r="L4345" s="47" t="str">
        <f aca="false">IF(AND(J4345=1,N(I4345)&gt;0),SUMIF($K$2:$K$5001,"&gt;="&amp;K4345,$I$2:$I$5001)/MAX(1,SUM($H$2:$H$5001)),"")</f>
        <v/>
      </c>
      <c r="M4345" s="47" t="str">
        <f aca="false">IF($A4345="","",INDEX($L$2:$L$5001,MATCH($A4345,$A$2:$A$5001,0)))</f>
        <v/>
      </c>
      <c r="N4345" s="48" t="str">
        <f aca="false">IF($A4345="","",IF(N(M4345)=0,"–",IF(M4345&lt;=Start!$D$20,"A",IF(M4345&lt;=Start!$D$21,"B","C"))))</f>
        <v/>
      </c>
      <c r="O4345" s="48" t="str">
        <f aca="false">IF($A4345="","",IF(NOT(ISNUMBER(F4345)),"Wert fehlt; ",IF(F4345&lt;=0,"Wert ist 0; ",""))&amp;IF(NOT(ISNUMBER(E4345)),"Bestand fehlt; ",IF(E4345&lt;0,"Bestand negativ; ",IF(E4345=0,"Nullbestand; ","")))&amp;IF(D4345="","Warengruppe fehlt; ","")&amp;IF(B4345="","Bezeichnung fehlt; ","")&amp;IF(COUNTIFS($A$2:$A$5001,$A4345,$C$2:$C$5001,C4345)&gt;1,"Artikel doppelt im selben Lager; ",""))</f>
        <v/>
      </c>
      <c r="P4345" s="47" t="n">
        <f aca="false">IF(OR($A4345="",D4345=""),0,IF(COUNTIF($D$2:D4345,D4345)=1,SUMIF($D$2:$D$5001,D4345,$H$2:$H$5001)+ROW()/10000000,0))</f>
        <v>0</v>
      </c>
      <c r="Q4345" s="47" t="n">
        <f aca="false">IF(OR($A4345="",C4345=""),0,IF(COUNTIF($C$2:C4345,C4345)=1,SUMIF($C$2:$C$5001,C4345,$H$2:$H$5001)+ROW()/10000000,0))</f>
        <v>0</v>
      </c>
    </row>
    <row r="4346" customFormat="false" ht="15" hidden="false" customHeight="false" outlineLevel="0" collapsed="false">
      <c r="A4346" s="43"/>
      <c r="B4346" s="44"/>
      <c r="C4346" s="44"/>
      <c r="D4346" s="44"/>
      <c r="E4346" s="44"/>
      <c r="F4346" s="44"/>
      <c r="G4346" s="44"/>
      <c r="H4346" s="46" t="str">
        <f aca="false">IF($A4346="","",IF(OR(NOT(ISNUMBER(E4346)),NOT(ISNUMBER(F4346))),"",MAX(0,E4346)*F4346))</f>
        <v/>
      </c>
      <c r="I4346" s="46" t="str">
        <f aca="false">IF($A4346="","",SUMIF($A$2:$A$5001,$A4346,$H$2:$H$5001))</f>
        <v/>
      </c>
      <c r="J4346" s="47" t="n">
        <f aca="false">IF($A4346="",0,IF(COUNTIF($A$2:A4346,$A4346)=1,1,0))</f>
        <v>0</v>
      </c>
      <c r="K4346" s="47" t="n">
        <f aca="false">IF(J4346=1,N(I4346)+ROW()/10000000,0)</f>
        <v>0</v>
      </c>
      <c r="L4346" s="47" t="str">
        <f aca="false">IF(AND(J4346=1,N(I4346)&gt;0),SUMIF($K$2:$K$5001,"&gt;="&amp;K4346,$I$2:$I$5001)/MAX(1,SUM($H$2:$H$5001)),"")</f>
        <v/>
      </c>
      <c r="M4346" s="47" t="str">
        <f aca="false">IF($A4346="","",INDEX($L$2:$L$5001,MATCH($A4346,$A$2:$A$5001,0)))</f>
        <v/>
      </c>
      <c r="N4346" s="48" t="str">
        <f aca="false">IF($A4346="","",IF(N(M4346)=0,"–",IF(M4346&lt;=Start!$D$20,"A",IF(M4346&lt;=Start!$D$21,"B","C"))))</f>
        <v/>
      </c>
      <c r="O4346" s="48" t="str">
        <f aca="false">IF($A4346="","",IF(NOT(ISNUMBER(F4346)),"Wert fehlt; ",IF(F4346&lt;=0,"Wert ist 0; ",""))&amp;IF(NOT(ISNUMBER(E4346)),"Bestand fehlt; ",IF(E4346&lt;0,"Bestand negativ; ",IF(E4346=0,"Nullbestand; ","")))&amp;IF(D4346="","Warengruppe fehlt; ","")&amp;IF(B4346="","Bezeichnung fehlt; ","")&amp;IF(COUNTIFS($A$2:$A$5001,$A4346,$C$2:$C$5001,C4346)&gt;1,"Artikel doppelt im selben Lager; ",""))</f>
        <v/>
      </c>
      <c r="P4346" s="47" t="n">
        <f aca="false">IF(OR($A4346="",D4346=""),0,IF(COUNTIF($D$2:D4346,D4346)=1,SUMIF($D$2:$D$5001,D4346,$H$2:$H$5001)+ROW()/10000000,0))</f>
        <v>0</v>
      </c>
      <c r="Q4346" s="47" t="n">
        <f aca="false">IF(OR($A4346="",C4346=""),0,IF(COUNTIF($C$2:C4346,C4346)=1,SUMIF($C$2:$C$5001,C4346,$H$2:$H$5001)+ROW()/10000000,0))</f>
        <v>0</v>
      </c>
    </row>
    <row r="4347" customFormat="false" ht="15" hidden="false" customHeight="false" outlineLevel="0" collapsed="false">
      <c r="A4347" s="43"/>
      <c r="B4347" s="44"/>
      <c r="C4347" s="44"/>
      <c r="D4347" s="44"/>
      <c r="E4347" s="44"/>
      <c r="F4347" s="44"/>
      <c r="G4347" s="44"/>
      <c r="H4347" s="46" t="str">
        <f aca="false">IF($A4347="","",IF(OR(NOT(ISNUMBER(E4347)),NOT(ISNUMBER(F4347))),"",MAX(0,E4347)*F4347))</f>
        <v/>
      </c>
      <c r="I4347" s="46" t="str">
        <f aca="false">IF($A4347="","",SUMIF($A$2:$A$5001,$A4347,$H$2:$H$5001))</f>
        <v/>
      </c>
      <c r="J4347" s="47" t="n">
        <f aca="false">IF($A4347="",0,IF(COUNTIF($A$2:A4347,$A4347)=1,1,0))</f>
        <v>0</v>
      </c>
      <c r="K4347" s="47" t="n">
        <f aca="false">IF(J4347=1,N(I4347)+ROW()/10000000,0)</f>
        <v>0</v>
      </c>
      <c r="L4347" s="47" t="str">
        <f aca="false">IF(AND(J4347=1,N(I4347)&gt;0),SUMIF($K$2:$K$5001,"&gt;="&amp;K4347,$I$2:$I$5001)/MAX(1,SUM($H$2:$H$5001)),"")</f>
        <v/>
      </c>
      <c r="M4347" s="47" t="str">
        <f aca="false">IF($A4347="","",INDEX($L$2:$L$5001,MATCH($A4347,$A$2:$A$5001,0)))</f>
        <v/>
      </c>
      <c r="N4347" s="48" t="str">
        <f aca="false">IF($A4347="","",IF(N(M4347)=0,"–",IF(M4347&lt;=Start!$D$20,"A",IF(M4347&lt;=Start!$D$21,"B","C"))))</f>
        <v/>
      </c>
      <c r="O4347" s="48" t="str">
        <f aca="false">IF($A4347="","",IF(NOT(ISNUMBER(F4347)),"Wert fehlt; ",IF(F4347&lt;=0,"Wert ist 0; ",""))&amp;IF(NOT(ISNUMBER(E4347)),"Bestand fehlt; ",IF(E4347&lt;0,"Bestand negativ; ",IF(E4347=0,"Nullbestand; ","")))&amp;IF(D4347="","Warengruppe fehlt; ","")&amp;IF(B4347="","Bezeichnung fehlt; ","")&amp;IF(COUNTIFS($A$2:$A$5001,$A4347,$C$2:$C$5001,C4347)&gt;1,"Artikel doppelt im selben Lager; ",""))</f>
        <v/>
      </c>
      <c r="P4347" s="47" t="n">
        <f aca="false">IF(OR($A4347="",D4347=""),0,IF(COUNTIF($D$2:D4347,D4347)=1,SUMIF($D$2:$D$5001,D4347,$H$2:$H$5001)+ROW()/10000000,0))</f>
        <v>0</v>
      </c>
      <c r="Q4347" s="47" t="n">
        <f aca="false">IF(OR($A4347="",C4347=""),0,IF(COUNTIF($C$2:C4347,C4347)=1,SUMIF($C$2:$C$5001,C4347,$H$2:$H$5001)+ROW()/10000000,0))</f>
        <v>0</v>
      </c>
    </row>
    <row r="4348" customFormat="false" ht="15" hidden="false" customHeight="false" outlineLevel="0" collapsed="false">
      <c r="A4348" s="43"/>
      <c r="B4348" s="44"/>
      <c r="C4348" s="44"/>
      <c r="D4348" s="44"/>
      <c r="E4348" s="44"/>
      <c r="F4348" s="44"/>
      <c r="G4348" s="44"/>
      <c r="H4348" s="46" t="str">
        <f aca="false">IF($A4348="","",IF(OR(NOT(ISNUMBER(E4348)),NOT(ISNUMBER(F4348))),"",MAX(0,E4348)*F4348))</f>
        <v/>
      </c>
      <c r="I4348" s="46" t="str">
        <f aca="false">IF($A4348="","",SUMIF($A$2:$A$5001,$A4348,$H$2:$H$5001))</f>
        <v/>
      </c>
      <c r="J4348" s="47" t="n">
        <f aca="false">IF($A4348="",0,IF(COUNTIF($A$2:A4348,$A4348)=1,1,0))</f>
        <v>0</v>
      </c>
      <c r="K4348" s="47" t="n">
        <f aca="false">IF(J4348=1,N(I4348)+ROW()/10000000,0)</f>
        <v>0</v>
      </c>
      <c r="L4348" s="47" t="str">
        <f aca="false">IF(AND(J4348=1,N(I4348)&gt;0),SUMIF($K$2:$K$5001,"&gt;="&amp;K4348,$I$2:$I$5001)/MAX(1,SUM($H$2:$H$5001)),"")</f>
        <v/>
      </c>
      <c r="M4348" s="47" t="str">
        <f aca="false">IF($A4348="","",INDEX($L$2:$L$5001,MATCH($A4348,$A$2:$A$5001,0)))</f>
        <v/>
      </c>
      <c r="N4348" s="48" t="str">
        <f aca="false">IF($A4348="","",IF(N(M4348)=0,"–",IF(M4348&lt;=Start!$D$20,"A",IF(M4348&lt;=Start!$D$21,"B","C"))))</f>
        <v/>
      </c>
      <c r="O4348" s="48" t="str">
        <f aca="false">IF($A4348="","",IF(NOT(ISNUMBER(F4348)),"Wert fehlt; ",IF(F4348&lt;=0,"Wert ist 0; ",""))&amp;IF(NOT(ISNUMBER(E4348)),"Bestand fehlt; ",IF(E4348&lt;0,"Bestand negativ; ",IF(E4348=0,"Nullbestand; ","")))&amp;IF(D4348="","Warengruppe fehlt; ","")&amp;IF(B4348="","Bezeichnung fehlt; ","")&amp;IF(COUNTIFS($A$2:$A$5001,$A4348,$C$2:$C$5001,C4348)&gt;1,"Artikel doppelt im selben Lager; ",""))</f>
        <v/>
      </c>
      <c r="P4348" s="47" t="n">
        <f aca="false">IF(OR($A4348="",D4348=""),0,IF(COUNTIF($D$2:D4348,D4348)=1,SUMIF($D$2:$D$5001,D4348,$H$2:$H$5001)+ROW()/10000000,0))</f>
        <v>0</v>
      </c>
      <c r="Q4348" s="47" t="n">
        <f aca="false">IF(OR($A4348="",C4348=""),0,IF(COUNTIF($C$2:C4348,C4348)=1,SUMIF($C$2:$C$5001,C4348,$H$2:$H$5001)+ROW()/10000000,0))</f>
        <v>0</v>
      </c>
    </row>
    <row r="4349" customFormat="false" ht="15" hidden="false" customHeight="false" outlineLevel="0" collapsed="false">
      <c r="A4349" s="43"/>
      <c r="B4349" s="44"/>
      <c r="C4349" s="44"/>
      <c r="D4349" s="44"/>
      <c r="E4349" s="44"/>
      <c r="F4349" s="44"/>
      <c r="G4349" s="44"/>
      <c r="H4349" s="46" t="str">
        <f aca="false">IF($A4349="","",IF(OR(NOT(ISNUMBER(E4349)),NOT(ISNUMBER(F4349))),"",MAX(0,E4349)*F4349))</f>
        <v/>
      </c>
      <c r="I4349" s="46" t="str">
        <f aca="false">IF($A4349="","",SUMIF($A$2:$A$5001,$A4349,$H$2:$H$5001))</f>
        <v/>
      </c>
      <c r="J4349" s="47" t="n">
        <f aca="false">IF($A4349="",0,IF(COUNTIF($A$2:A4349,$A4349)=1,1,0))</f>
        <v>0</v>
      </c>
      <c r="K4349" s="47" t="n">
        <f aca="false">IF(J4349=1,N(I4349)+ROW()/10000000,0)</f>
        <v>0</v>
      </c>
      <c r="L4349" s="47" t="str">
        <f aca="false">IF(AND(J4349=1,N(I4349)&gt;0),SUMIF($K$2:$K$5001,"&gt;="&amp;K4349,$I$2:$I$5001)/MAX(1,SUM($H$2:$H$5001)),"")</f>
        <v/>
      </c>
      <c r="M4349" s="47" t="str">
        <f aca="false">IF($A4349="","",INDEX($L$2:$L$5001,MATCH($A4349,$A$2:$A$5001,0)))</f>
        <v/>
      </c>
      <c r="N4349" s="48" t="str">
        <f aca="false">IF($A4349="","",IF(N(M4349)=0,"–",IF(M4349&lt;=Start!$D$20,"A",IF(M4349&lt;=Start!$D$21,"B","C"))))</f>
        <v/>
      </c>
      <c r="O4349" s="48" t="str">
        <f aca="false">IF($A4349="","",IF(NOT(ISNUMBER(F4349)),"Wert fehlt; ",IF(F4349&lt;=0,"Wert ist 0; ",""))&amp;IF(NOT(ISNUMBER(E4349)),"Bestand fehlt; ",IF(E4349&lt;0,"Bestand negativ; ",IF(E4349=0,"Nullbestand; ","")))&amp;IF(D4349="","Warengruppe fehlt; ","")&amp;IF(B4349="","Bezeichnung fehlt; ","")&amp;IF(COUNTIFS($A$2:$A$5001,$A4349,$C$2:$C$5001,C4349)&gt;1,"Artikel doppelt im selben Lager; ",""))</f>
        <v/>
      </c>
      <c r="P4349" s="47" t="n">
        <f aca="false">IF(OR($A4349="",D4349=""),0,IF(COUNTIF($D$2:D4349,D4349)=1,SUMIF($D$2:$D$5001,D4349,$H$2:$H$5001)+ROW()/10000000,0))</f>
        <v>0</v>
      </c>
      <c r="Q4349" s="47" t="n">
        <f aca="false">IF(OR($A4349="",C4349=""),0,IF(COUNTIF($C$2:C4349,C4349)=1,SUMIF($C$2:$C$5001,C4349,$H$2:$H$5001)+ROW()/10000000,0))</f>
        <v>0</v>
      </c>
    </row>
    <row r="4350" customFormat="false" ht="15" hidden="false" customHeight="false" outlineLevel="0" collapsed="false">
      <c r="A4350" s="43"/>
      <c r="B4350" s="44"/>
      <c r="C4350" s="44"/>
      <c r="D4350" s="44"/>
      <c r="E4350" s="44"/>
      <c r="F4350" s="44"/>
      <c r="G4350" s="44"/>
      <c r="H4350" s="46" t="str">
        <f aca="false">IF($A4350="","",IF(OR(NOT(ISNUMBER(E4350)),NOT(ISNUMBER(F4350))),"",MAX(0,E4350)*F4350))</f>
        <v/>
      </c>
      <c r="I4350" s="46" t="str">
        <f aca="false">IF($A4350="","",SUMIF($A$2:$A$5001,$A4350,$H$2:$H$5001))</f>
        <v/>
      </c>
      <c r="J4350" s="47" t="n">
        <f aca="false">IF($A4350="",0,IF(COUNTIF($A$2:A4350,$A4350)=1,1,0))</f>
        <v>0</v>
      </c>
      <c r="K4350" s="47" t="n">
        <f aca="false">IF(J4350=1,N(I4350)+ROW()/10000000,0)</f>
        <v>0</v>
      </c>
      <c r="L4350" s="47" t="str">
        <f aca="false">IF(AND(J4350=1,N(I4350)&gt;0),SUMIF($K$2:$K$5001,"&gt;="&amp;K4350,$I$2:$I$5001)/MAX(1,SUM($H$2:$H$5001)),"")</f>
        <v/>
      </c>
      <c r="M4350" s="47" t="str">
        <f aca="false">IF($A4350="","",INDEX($L$2:$L$5001,MATCH($A4350,$A$2:$A$5001,0)))</f>
        <v/>
      </c>
      <c r="N4350" s="48" t="str">
        <f aca="false">IF($A4350="","",IF(N(M4350)=0,"–",IF(M4350&lt;=Start!$D$20,"A",IF(M4350&lt;=Start!$D$21,"B","C"))))</f>
        <v/>
      </c>
      <c r="O4350" s="48" t="str">
        <f aca="false">IF($A4350="","",IF(NOT(ISNUMBER(F4350)),"Wert fehlt; ",IF(F4350&lt;=0,"Wert ist 0; ",""))&amp;IF(NOT(ISNUMBER(E4350)),"Bestand fehlt; ",IF(E4350&lt;0,"Bestand negativ; ",IF(E4350=0,"Nullbestand; ","")))&amp;IF(D4350="","Warengruppe fehlt; ","")&amp;IF(B4350="","Bezeichnung fehlt; ","")&amp;IF(COUNTIFS($A$2:$A$5001,$A4350,$C$2:$C$5001,C4350)&gt;1,"Artikel doppelt im selben Lager; ",""))</f>
        <v/>
      </c>
      <c r="P4350" s="47" t="n">
        <f aca="false">IF(OR($A4350="",D4350=""),0,IF(COUNTIF($D$2:D4350,D4350)=1,SUMIF($D$2:$D$5001,D4350,$H$2:$H$5001)+ROW()/10000000,0))</f>
        <v>0</v>
      </c>
      <c r="Q4350" s="47" t="n">
        <f aca="false">IF(OR($A4350="",C4350=""),0,IF(COUNTIF($C$2:C4350,C4350)=1,SUMIF($C$2:$C$5001,C4350,$H$2:$H$5001)+ROW()/10000000,0))</f>
        <v>0</v>
      </c>
    </row>
    <row r="4351" customFormat="false" ht="15" hidden="false" customHeight="false" outlineLevel="0" collapsed="false">
      <c r="A4351" s="43"/>
      <c r="B4351" s="44"/>
      <c r="C4351" s="44"/>
      <c r="D4351" s="44"/>
      <c r="E4351" s="44"/>
      <c r="F4351" s="44"/>
      <c r="G4351" s="44"/>
      <c r="H4351" s="46" t="str">
        <f aca="false">IF($A4351="","",IF(OR(NOT(ISNUMBER(E4351)),NOT(ISNUMBER(F4351))),"",MAX(0,E4351)*F4351))</f>
        <v/>
      </c>
      <c r="I4351" s="46" t="str">
        <f aca="false">IF($A4351="","",SUMIF($A$2:$A$5001,$A4351,$H$2:$H$5001))</f>
        <v/>
      </c>
      <c r="J4351" s="47" t="n">
        <f aca="false">IF($A4351="",0,IF(COUNTIF($A$2:A4351,$A4351)=1,1,0))</f>
        <v>0</v>
      </c>
      <c r="K4351" s="47" t="n">
        <f aca="false">IF(J4351=1,N(I4351)+ROW()/10000000,0)</f>
        <v>0</v>
      </c>
      <c r="L4351" s="47" t="str">
        <f aca="false">IF(AND(J4351=1,N(I4351)&gt;0),SUMIF($K$2:$K$5001,"&gt;="&amp;K4351,$I$2:$I$5001)/MAX(1,SUM($H$2:$H$5001)),"")</f>
        <v/>
      </c>
      <c r="M4351" s="47" t="str">
        <f aca="false">IF($A4351="","",INDEX($L$2:$L$5001,MATCH($A4351,$A$2:$A$5001,0)))</f>
        <v/>
      </c>
      <c r="N4351" s="48" t="str">
        <f aca="false">IF($A4351="","",IF(N(M4351)=0,"–",IF(M4351&lt;=Start!$D$20,"A",IF(M4351&lt;=Start!$D$21,"B","C"))))</f>
        <v/>
      </c>
      <c r="O4351" s="48" t="str">
        <f aca="false">IF($A4351="","",IF(NOT(ISNUMBER(F4351)),"Wert fehlt; ",IF(F4351&lt;=0,"Wert ist 0; ",""))&amp;IF(NOT(ISNUMBER(E4351)),"Bestand fehlt; ",IF(E4351&lt;0,"Bestand negativ; ",IF(E4351=0,"Nullbestand; ","")))&amp;IF(D4351="","Warengruppe fehlt; ","")&amp;IF(B4351="","Bezeichnung fehlt; ","")&amp;IF(COUNTIFS($A$2:$A$5001,$A4351,$C$2:$C$5001,C4351)&gt;1,"Artikel doppelt im selben Lager; ",""))</f>
        <v/>
      </c>
      <c r="P4351" s="47" t="n">
        <f aca="false">IF(OR($A4351="",D4351=""),0,IF(COUNTIF($D$2:D4351,D4351)=1,SUMIF($D$2:$D$5001,D4351,$H$2:$H$5001)+ROW()/10000000,0))</f>
        <v>0</v>
      </c>
      <c r="Q4351" s="47" t="n">
        <f aca="false">IF(OR($A4351="",C4351=""),0,IF(COUNTIF($C$2:C4351,C4351)=1,SUMIF($C$2:$C$5001,C4351,$H$2:$H$5001)+ROW()/10000000,0))</f>
        <v>0</v>
      </c>
    </row>
    <row r="4352" customFormat="false" ht="15" hidden="false" customHeight="false" outlineLevel="0" collapsed="false">
      <c r="A4352" s="43"/>
      <c r="B4352" s="44"/>
      <c r="C4352" s="44"/>
      <c r="D4352" s="44"/>
      <c r="E4352" s="44"/>
      <c r="F4352" s="44"/>
      <c r="G4352" s="44"/>
      <c r="H4352" s="46" t="str">
        <f aca="false">IF($A4352="","",IF(OR(NOT(ISNUMBER(E4352)),NOT(ISNUMBER(F4352))),"",MAX(0,E4352)*F4352))</f>
        <v/>
      </c>
      <c r="I4352" s="46" t="str">
        <f aca="false">IF($A4352="","",SUMIF($A$2:$A$5001,$A4352,$H$2:$H$5001))</f>
        <v/>
      </c>
      <c r="J4352" s="47" t="n">
        <f aca="false">IF($A4352="",0,IF(COUNTIF($A$2:A4352,$A4352)=1,1,0))</f>
        <v>0</v>
      </c>
      <c r="K4352" s="47" t="n">
        <f aca="false">IF(J4352=1,N(I4352)+ROW()/10000000,0)</f>
        <v>0</v>
      </c>
      <c r="L4352" s="47" t="str">
        <f aca="false">IF(AND(J4352=1,N(I4352)&gt;0),SUMIF($K$2:$K$5001,"&gt;="&amp;K4352,$I$2:$I$5001)/MAX(1,SUM($H$2:$H$5001)),"")</f>
        <v/>
      </c>
      <c r="M4352" s="47" t="str">
        <f aca="false">IF($A4352="","",INDEX($L$2:$L$5001,MATCH($A4352,$A$2:$A$5001,0)))</f>
        <v/>
      </c>
      <c r="N4352" s="48" t="str">
        <f aca="false">IF($A4352="","",IF(N(M4352)=0,"–",IF(M4352&lt;=Start!$D$20,"A",IF(M4352&lt;=Start!$D$21,"B","C"))))</f>
        <v/>
      </c>
      <c r="O4352" s="48" t="str">
        <f aca="false">IF($A4352="","",IF(NOT(ISNUMBER(F4352)),"Wert fehlt; ",IF(F4352&lt;=0,"Wert ist 0; ",""))&amp;IF(NOT(ISNUMBER(E4352)),"Bestand fehlt; ",IF(E4352&lt;0,"Bestand negativ; ",IF(E4352=0,"Nullbestand; ","")))&amp;IF(D4352="","Warengruppe fehlt; ","")&amp;IF(B4352="","Bezeichnung fehlt; ","")&amp;IF(COUNTIFS($A$2:$A$5001,$A4352,$C$2:$C$5001,C4352)&gt;1,"Artikel doppelt im selben Lager; ",""))</f>
        <v/>
      </c>
      <c r="P4352" s="47" t="n">
        <f aca="false">IF(OR($A4352="",D4352=""),0,IF(COUNTIF($D$2:D4352,D4352)=1,SUMIF($D$2:$D$5001,D4352,$H$2:$H$5001)+ROW()/10000000,0))</f>
        <v>0</v>
      </c>
      <c r="Q4352" s="47" t="n">
        <f aca="false">IF(OR($A4352="",C4352=""),0,IF(COUNTIF($C$2:C4352,C4352)=1,SUMIF($C$2:$C$5001,C4352,$H$2:$H$5001)+ROW()/10000000,0))</f>
        <v>0</v>
      </c>
    </row>
    <row r="4353" customFormat="false" ht="15" hidden="false" customHeight="false" outlineLevel="0" collapsed="false">
      <c r="A4353" s="43"/>
      <c r="B4353" s="44"/>
      <c r="C4353" s="44"/>
      <c r="D4353" s="44"/>
      <c r="E4353" s="44"/>
      <c r="F4353" s="44"/>
      <c r="G4353" s="44"/>
      <c r="H4353" s="46" t="str">
        <f aca="false">IF($A4353="","",IF(OR(NOT(ISNUMBER(E4353)),NOT(ISNUMBER(F4353))),"",MAX(0,E4353)*F4353))</f>
        <v/>
      </c>
      <c r="I4353" s="46" t="str">
        <f aca="false">IF($A4353="","",SUMIF($A$2:$A$5001,$A4353,$H$2:$H$5001))</f>
        <v/>
      </c>
      <c r="J4353" s="47" t="n">
        <f aca="false">IF($A4353="",0,IF(COUNTIF($A$2:A4353,$A4353)=1,1,0))</f>
        <v>0</v>
      </c>
      <c r="K4353" s="47" t="n">
        <f aca="false">IF(J4353=1,N(I4353)+ROW()/10000000,0)</f>
        <v>0</v>
      </c>
      <c r="L4353" s="47" t="str">
        <f aca="false">IF(AND(J4353=1,N(I4353)&gt;0),SUMIF($K$2:$K$5001,"&gt;="&amp;K4353,$I$2:$I$5001)/MAX(1,SUM($H$2:$H$5001)),"")</f>
        <v/>
      </c>
      <c r="M4353" s="47" t="str">
        <f aca="false">IF($A4353="","",INDEX($L$2:$L$5001,MATCH($A4353,$A$2:$A$5001,0)))</f>
        <v/>
      </c>
      <c r="N4353" s="48" t="str">
        <f aca="false">IF($A4353="","",IF(N(M4353)=0,"–",IF(M4353&lt;=Start!$D$20,"A",IF(M4353&lt;=Start!$D$21,"B","C"))))</f>
        <v/>
      </c>
      <c r="O4353" s="48" t="str">
        <f aca="false">IF($A4353="","",IF(NOT(ISNUMBER(F4353)),"Wert fehlt; ",IF(F4353&lt;=0,"Wert ist 0; ",""))&amp;IF(NOT(ISNUMBER(E4353)),"Bestand fehlt; ",IF(E4353&lt;0,"Bestand negativ; ",IF(E4353=0,"Nullbestand; ","")))&amp;IF(D4353="","Warengruppe fehlt; ","")&amp;IF(B4353="","Bezeichnung fehlt; ","")&amp;IF(COUNTIFS($A$2:$A$5001,$A4353,$C$2:$C$5001,C4353)&gt;1,"Artikel doppelt im selben Lager; ",""))</f>
        <v/>
      </c>
      <c r="P4353" s="47" t="n">
        <f aca="false">IF(OR($A4353="",D4353=""),0,IF(COUNTIF($D$2:D4353,D4353)=1,SUMIF($D$2:$D$5001,D4353,$H$2:$H$5001)+ROW()/10000000,0))</f>
        <v>0</v>
      </c>
      <c r="Q4353" s="47" t="n">
        <f aca="false">IF(OR($A4353="",C4353=""),0,IF(COUNTIF($C$2:C4353,C4353)=1,SUMIF($C$2:$C$5001,C4353,$H$2:$H$5001)+ROW()/10000000,0))</f>
        <v>0</v>
      </c>
    </row>
    <row r="4354" customFormat="false" ht="15" hidden="false" customHeight="false" outlineLevel="0" collapsed="false">
      <c r="A4354" s="43"/>
      <c r="B4354" s="44"/>
      <c r="C4354" s="44"/>
      <c r="D4354" s="44"/>
      <c r="E4354" s="44"/>
      <c r="F4354" s="44"/>
      <c r="G4354" s="44"/>
      <c r="H4354" s="46" t="str">
        <f aca="false">IF($A4354="","",IF(OR(NOT(ISNUMBER(E4354)),NOT(ISNUMBER(F4354))),"",MAX(0,E4354)*F4354))</f>
        <v/>
      </c>
      <c r="I4354" s="46" t="str">
        <f aca="false">IF($A4354="","",SUMIF($A$2:$A$5001,$A4354,$H$2:$H$5001))</f>
        <v/>
      </c>
      <c r="J4354" s="47" t="n">
        <f aca="false">IF($A4354="",0,IF(COUNTIF($A$2:A4354,$A4354)=1,1,0))</f>
        <v>0</v>
      </c>
      <c r="K4354" s="47" t="n">
        <f aca="false">IF(J4354=1,N(I4354)+ROW()/10000000,0)</f>
        <v>0</v>
      </c>
      <c r="L4354" s="47" t="str">
        <f aca="false">IF(AND(J4354=1,N(I4354)&gt;0),SUMIF($K$2:$K$5001,"&gt;="&amp;K4354,$I$2:$I$5001)/MAX(1,SUM($H$2:$H$5001)),"")</f>
        <v/>
      </c>
      <c r="M4354" s="47" t="str">
        <f aca="false">IF($A4354="","",INDEX($L$2:$L$5001,MATCH($A4354,$A$2:$A$5001,0)))</f>
        <v/>
      </c>
      <c r="N4354" s="48" t="str">
        <f aca="false">IF($A4354="","",IF(N(M4354)=0,"–",IF(M4354&lt;=Start!$D$20,"A",IF(M4354&lt;=Start!$D$21,"B","C"))))</f>
        <v/>
      </c>
      <c r="O4354" s="48" t="str">
        <f aca="false">IF($A4354="","",IF(NOT(ISNUMBER(F4354)),"Wert fehlt; ",IF(F4354&lt;=0,"Wert ist 0; ",""))&amp;IF(NOT(ISNUMBER(E4354)),"Bestand fehlt; ",IF(E4354&lt;0,"Bestand negativ; ",IF(E4354=0,"Nullbestand; ","")))&amp;IF(D4354="","Warengruppe fehlt; ","")&amp;IF(B4354="","Bezeichnung fehlt; ","")&amp;IF(COUNTIFS($A$2:$A$5001,$A4354,$C$2:$C$5001,C4354)&gt;1,"Artikel doppelt im selben Lager; ",""))</f>
        <v/>
      </c>
      <c r="P4354" s="47" t="n">
        <f aca="false">IF(OR($A4354="",D4354=""),0,IF(COUNTIF($D$2:D4354,D4354)=1,SUMIF($D$2:$D$5001,D4354,$H$2:$H$5001)+ROW()/10000000,0))</f>
        <v>0</v>
      </c>
      <c r="Q4354" s="47" t="n">
        <f aca="false">IF(OR($A4354="",C4354=""),0,IF(COUNTIF($C$2:C4354,C4354)=1,SUMIF($C$2:$C$5001,C4354,$H$2:$H$5001)+ROW()/10000000,0))</f>
        <v>0</v>
      </c>
    </row>
    <row r="4355" customFormat="false" ht="15" hidden="false" customHeight="false" outlineLevel="0" collapsed="false">
      <c r="A4355" s="43"/>
      <c r="B4355" s="44"/>
      <c r="C4355" s="44"/>
      <c r="D4355" s="44"/>
      <c r="E4355" s="44"/>
      <c r="F4355" s="44"/>
      <c r="G4355" s="44"/>
      <c r="H4355" s="46" t="str">
        <f aca="false">IF($A4355="","",IF(OR(NOT(ISNUMBER(E4355)),NOT(ISNUMBER(F4355))),"",MAX(0,E4355)*F4355))</f>
        <v/>
      </c>
      <c r="I4355" s="46" t="str">
        <f aca="false">IF($A4355="","",SUMIF($A$2:$A$5001,$A4355,$H$2:$H$5001))</f>
        <v/>
      </c>
      <c r="J4355" s="47" t="n">
        <f aca="false">IF($A4355="",0,IF(COUNTIF($A$2:A4355,$A4355)=1,1,0))</f>
        <v>0</v>
      </c>
      <c r="K4355" s="47" t="n">
        <f aca="false">IF(J4355=1,N(I4355)+ROW()/10000000,0)</f>
        <v>0</v>
      </c>
      <c r="L4355" s="47" t="str">
        <f aca="false">IF(AND(J4355=1,N(I4355)&gt;0),SUMIF($K$2:$K$5001,"&gt;="&amp;K4355,$I$2:$I$5001)/MAX(1,SUM($H$2:$H$5001)),"")</f>
        <v/>
      </c>
      <c r="M4355" s="47" t="str">
        <f aca="false">IF($A4355="","",INDEX($L$2:$L$5001,MATCH($A4355,$A$2:$A$5001,0)))</f>
        <v/>
      </c>
      <c r="N4355" s="48" t="str">
        <f aca="false">IF($A4355="","",IF(N(M4355)=0,"–",IF(M4355&lt;=Start!$D$20,"A",IF(M4355&lt;=Start!$D$21,"B","C"))))</f>
        <v/>
      </c>
      <c r="O4355" s="48" t="str">
        <f aca="false">IF($A4355="","",IF(NOT(ISNUMBER(F4355)),"Wert fehlt; ",IF(F4355&lt;=0,"Wert ist 0; ",""))&amp;IF(NOT(ISNUMBER(E4355)),"Bestand fehlt; ",IF(E4355&lt;0,"Bestand negativ; ",IF(E4355=0,"Nullbestand; ","")))&amp;IF(D4355="","Warengruppe fehlt; ","")&amp;IF(B4355="","Bezeichnung fehlt; ","")&amp;IF(COUNTIFS($A$2:$A$5001,$A4355,$C$2:$C$5001,C4355)&gt;1,"Artikel doppelt im selben Lager; ",""))</f>
        <v/>
      </c>
      <c r="P4355" s="47" t="n">
        <f aca="false">IF(OR($A4355="",D4355=""),0,IF(COUNTIF($D$2:D4355,D4355)=1,SUMIF($D$2:$D$5001,D4355,$H$2:$H$5001)+ROW()/10000000,0))</f>
        <v>0</v>
      </c>
      <c r="Q4355" s="47" t="n">
        <f aca="false">IF(OR($A4355="",C4355=""),0,IF(COUNTIF($C$2:C4355,C4355)=1,SUMIF($C$2:$C$5001,C4355,$H$2:$H$5001)+ROW()/10000000,0))</f>
        <v>0</v>
      </c>
    </row>
    <row r="4356" customFormat="false" ht="15" hidden="false" customHeight="false" outlineLevel="0" collapsed="false">
      <c r="A4356" s="43"/>
      <c r="B4356" s="44"/>
      <c r="C4356" s="44"/>
      <c r="D4356" s="44"/>
      <c r="E4356" s="44"/>
      <c r="F4356" s="44"/>
      <c r="G4356" s="44"/>
      <c r="H4356" s="46" t="str">
        <f aca="false">IF($A4356="","",IF(OR(NOT(ISNUMBER(E4356)),NOT(ISNUMBER(F4356))),"",MAX(0,E4356)*F4356))</f>
        <v/>
      </c>
      <c r="I4356" s="46" t="str">
        <f aca="false">IF($A4356="","",SUMIF($A$2:$A$5001,$A4356,$H$2:$H$5001))</f>
        <v/>
      </c>
      <c r="J4356" s="47" t="n">
        <f aca="false">IF($A4356="",0,IF(COUNTIF($A$2:A4356,$A4356)=1,1,0))</f>
        <v>0</v>
      </c>
      <c r="K4356" s="47" t="n">
        <f aca="false">IF(J4356=1,N(I4356)+ROW()/10000000,0)</f>
        <v>0</v>
      </c>
      <c r="L4356" s="47" t="str">
        <f aca="false">IF(AND(J4356=1,N(I4356)&gt;0),SUMIF($K$2:$K$5001,"&gt;="&amp;K4356,$I$2:$I$5001)/MAX(1,SUM($H$2:$H$5001)),"")</f>
        <v/>
      </c>
      <c r="M4356" s="47" t="str">
        <f aca="false">IF($A4356="","",INDEX($L$2:$L$5001,MATCH($A4356,$A$2:$A$5001,0)))</f>
        <v/>
      </c>
      <c r="N4356" s="48" t="str">
        <f aca="false">IF($A4356="","",IF(N(M4356)=0,"–",IF(M4356&lt;=Start!$D$20,"A",IF(M4356&lt;=Start!$D$21,"B","C"))))</f>
        <v/>
      </c>
      <c r="O4356" s="48" t="str">
        <f aca="false">IF($A4356="","",IF(NOT(ISNUMBER(F4356)),"Wert fehlt; ",IF(F4356&lt;=0,"Wert ist 0; ",""))&amp;IF(NOT(ISNUMBER(E4356)),"Bestand fehlt; ",IF(E4356&lt;0,"Bestand negativ; ",IF(E4356=0,"Nullbestand; ","")))&amp;IF(D4356="","Warengruppe fehlt; ","")&amp;IF(B4356="","Bezeichnung fehlt; ","")&amp;IF(COUNTIFS($A$2:$A$5001,$A4356,$C$2:$C$5001,C4356)&gt;1,"Artikel doppelt im selben Lager; ",""))</f>
        <v/>
      </c>
      <c r="P4356" s="47" t="n">
        <f aca="false">IF(OR($A4356="",D4356=""),0,IF(COUNTIF($D$2:D4356,D4356)=1,SUMIF($D$2:$D$5001,D4356,$H$2:$H$5001)+ROW()/10000000,0))</f>
        <v>0</v>
      </c>
      <c r="Q4356" s="47" t="n">
        <f aca="false">IF(OR($A4356="",C4356=""),0,IF(COUNTIF($C$2:C4356,C4356)=1,SUMIF($C$2:$C$5001,C4356,$H$2:$H$5001)+ROW()/10000000,0))</f>
        <v>0</v>
      </c>
    </row>
    <row r="4357" customFormat="false" ht="15" hidden="false" customHeight="false" outlineLevel="0" collapsed="false">
      <c r="A4357" s="43"/>
      <c r="B4357" s="44"/>
      <c r="C4357" s="44"/>
      <c r="D4357" s="44"/>
      <c r="E4357" s="44"/>
      <c r="F4357" s="44"/>
      <c r="G4357" s="44"/>
      <c r="H4357" s="46" t="str">
        <f aca="false">IF($A4357="","",IF(OR(NOT(ISNUMBER(E4357)),NOT(ISNUMBER(F4357))),"",MAX(0,E4357)*F4357))</f>
        <v/>
      </c>
      <c r="I4357" s="46" t="str">
        <f aca="false">IF($A4357="","",SUMIF($A$2:$A$5001,$A4357,$H$2:$H$5001))</f>
        <v/>
      </c>
      <c r="J4357" s="47" t="n">
        <f aca="false">IF($A4357="",0,IF(COUNTIF($A$2:A4357,$A4357)=1,1,0))</f>
        <v>0</v>
      </c>
      <c r="K4357" s="47" t="n">
        <f aca="false">IF(J4357=1,N(I4357)+ROW()/10000000,0)</f>
        <v>0</v>
      </c>
      <c r="L4357" s="47" t="str">
        <f aca="false">IF(AND(J4357=1,N(I4357)&gt;0),SUMIF($K$2:$K$5001,"&gt;="&amp;K4357,$I$2:$I$5001)/MAX(1,SUM($H$2:$H$5001)),"")</f>
        <v/>
      </c>
      <c r="M4357" s="47" t="str">
        <f aca="false">IF($A4357="","",INDEX($L$2:$L$5001,MATCH($A4357,$A$2:$A$5001,0)))</f>
        <v/>
      </c>
      <c r="N4357" s="48" t="str">
        <f aca="false">IF($A4357="","",IF(N(M4357)=0,"–",IF(M4357&lt;=Start!$D$20,"A",IF(M4357&lt;=Start!$D$21,"B","C"))))</f>
        <v/>
      </c>
      <c r="O4357" s="48" t="str">
        <f aca="false">IF($A4357="","",IF(NOT(ISNUMBER(F4357)),"Wert fehlt; ",IF(F4357&lt;=0,"Wert ist 0; ",""))&amp;IF(NOT(ISNUMBER(E4357)),"Bestand fehlt; ",IF(E4357&lt;0,"Bestand negativ; ",IF(E4357=0,"Nullbestand; ","")))&amp;IF(D4357="","Warengruppe fehlt; ","")&amp;IF(B4357="","Bezeichnung fehlt; ","")&amp;IF(COUNTIFS($A$2:$A$5001,$A4357,$C$2:$C$5001,C4357)&gt;1,"Artikel doppelt im selben Lager; ",""))</f>
        <v/>
      </c>
      <c r="P4357" s="47" t="n">
        <f aca="false">IF(OR($A4357="",D4357=""),0,IF(COUNTIF($D$2:D4357,D4357)=1,SUMIF($D$2:$D$5001,D4357,$H$2:$H$5001)+ROW()/10000000,0))</f>
        <v>0</v>
      </c>
      <c r="Q4357" s="47" t="n">
        <f aca="false">IF(OR($A4357="",C4357=""),0,IF(COUNTIF($C$2:C4357,C4357)=1,SUMIF($C$2:$C$5001,C4357,$H$2:$H$5001)+ROW()/10000000,0))</f>
        <v>0</v>
      </c>
    </row>
    <row r="4358" customFormat="false" ht="15" hidden="false" customHeight="false" outlineLevel="0" collapsed="false">
      <c r="A4358" s="43"/>
      <c r="B4358" s="44"/>
      <c r="C4358" s="44"/>
      <c r="D4358" s="44"/>
      <c r="E4358" s="44"/>
      <c r="F4358" s="44"/>
      <c r="G4358" s="44"/>
      <c r="H4358" s="46" t="str">
        <f aca="false">IF($A4358="","",IF(OR(NOT(ISNUMBER(E4358)),NOT(ISNUMBER(F4358))),"",MAX(0,E4358)*F4358))</f>
        <v/>
      </c>
      <c r="I4358" s="46" t="str">
        <f aca="false">IF($A4358="","",SUMIF($A$2:$A$5001,$A4358,$H$2:$H$5001))</f>
        <v/>
      </c>
      <c r="J4358" s="47" t="n">
        <f aca="false">IF($A4358="",0,IF(COUNTIF($A$2:A4358,$A4358)=1,1,0))</f>
        <v>0</v>
      </c>
      <c r="K4358" s="47" t="n">
        <f aca="false">IF(J4358=1,N(I4358)+ROW()/10000000,0)</f>
        <v>0</v>
      </c>
      <c r="L4358" s="47" t="str">
        <f aca="false">IF(AND(J4358=1,N(I4358)&gt;0),SUMIF($K$2:$K$5001,"&gt;="&amp;K4358,$I$2:$I$5001)/MAX(1,SUM($H$2:$H$5001)),"")</f>
        <v/>
      </c>
      <c r="M4358" s="47" t="str">
        <f aca="false">IF($A4358="","",INDEX($L$2:$L$5001,MATCH($A4358,$A$2:$A$5001,0)))</f>
        <v/>
      </c>
      <c r="N4358" s="48" t="str">
        <f aca="false">IF($A4358="","",IF(N(M4358)=0,"–",IF(M4358&lt;=Start!$D$20,"A",IF(M4358&lt;=Start!$D$21,"B","C"))))</f>
        <v/>
      </c>
      <c r="O4358" s="48" t="str">
        <f aca="false">IF($A4358="","",IF(NOT(ISNUMBER(F4358)),"Wert fehlt; ",IF(F4358&lt;=0,"Wert ist 0; ",""))&amp;IF(NOT(ISNUMBER(E4358)),"Bestand fehlt; ",IF(E4358&lt;0,"Bestand negativ; ",IF(E4358=0,"Nullbestand; ","")))&amp;IF(D4358="","Warengruppe fehlt; ","")&amp;IF(B4358="","Bezeichnung fehlt; ","")&amp;IF(COUNTIFS($A$2:$A$5001,$A4358,$C$2:$C$5001,C4358)&gt;1,"Artikel doppelt im selben Lager; ",""))</f>
        <v/>
      </c>
      <c r="P4358" s="47" t="n">
        <f aca="false">IF(OR($A4358="",D4358=""),0,IF(COUNTIF($D$2:D4358,D4358)=1,SUMIF($D$2:$D$5001,D4358,$H$2:$H$5001)+ROW()/10000000,0))</f>
        <v>0</v>
      </c>
      <c r="Q4358" s="47" t="n">
        <f aca="false">IF(OR($A4358="",C4358=""),0,IF(COUNTIF($C$2:C4358,C4358)=1,SUMIF($C$2:$C$5001,C4358,$H$2:$H$5001)+ROW()/10000000,0))</f>
        <v>0</v>
      </c>
    </row>
    <row r="4359" customFormat="false" ht="15" hidden="false" customHeight="false" outlineLevel="0" collapsed="false">
      <c r="A4359" s="43"/>
      <c r="B4359" s="44"/>
      <c r="C4359" s="44"/>
      <c r="D4359" s="44"/>
      <c r="E4359" s="44"/>
      <c r="F4359" s="44"/>
      <c r="G4359" s="44"/>
      <c r="H4359" s="46" t="str">
        <f aca="false">IF($A4359="","",IF(OR(NOT(ISNUMBER(E4359)),NOT(ISNUMBER(F4359))),"",MAX(0,E4359)*F4359))</f>
        <v/>
      </c>
      <c r="I4359" s="46" t="str">
        <f aca="false">IF($A4359="","",SUMIF($A$2:$A$5001,$A4359,$H$2:$H$5001))</f>
        <v/>
      </c>
      <c r="J4359" s="47" t="n">
        <f aca="false">IF($A4359="",0,IF(COUNTIF($A$2:A4359,$A4359)=1,1,0))</f>
        <v>0</v>
      </c>
      <c r="K4359" s="47" t="n">
        <f aca="false">IF(J4359=1,N(I4359)+ROW()/10000000,0)</f>
        <v>0</v>
      </c>
      <c r="L4359" s="47" t="str">
        <f aca="false">IF(AND(J4359=1,N(I4359)&gt;0),SUMIF($K$2:$K$5001,"&gt;="&amp;K4359,$I$2:$I$5001)/MAX(1,SUM($H$2:$H$5001)),"")</f>
        <v/>
      </c>
      <c r="M4359" s="47" t="str">
        <f aca="false">IF($A4359="","",INDEX($L$2:$L$5001,MATCH($A4359,$A$2:$A$5001,0)))</f>
        <v/>
      </c>
      <c r="N4359" s="48" t="str">
        <f aca="false">IF($A4359="","",IF(N(M4359)=0,"–",IF(M4359&lt;=Start!$D$20,"A",IF(M4359&lt;=Start!$D$21,"B","C"))))</f>
        <v/>
      </c>
      <c r="O4359" s="48" t="str">
        <f aca="false">IF($A4359="","",IF(NOT(ISNUMBER(F4359)),"Wert fehlt; ",IF(F4359&lt;=0,"Wert ist 0; ",""))&amp;IF(NOT(ISNUMBER(E4359)),"Bestand fehlt; ",IF(E4359&lt;0,"Bestand negativ; ",IF(E4359=0,"Nullbestand; ","")))&amp;IF(D4359="","Warengruppe fehlt; ","")&amp;IF(B4359="","Bezeichnung fehlt; ","")&amp;IF(COUNTIFS($A$2:$A$5001,$A4359,$C$2:$C$5001,C4359)&gt;1,"Artikel doppelt im selben Lager; ",""))</f>
        <v/>
      </c>
      <c r="P4359" s="47" t="n">
        <f aca="false">IF(OR($A4359="",D4359=""),0,IF(COUNTIF($D$2:D4359,D4359)=1,SUMIF($D$2:$D$5001,D4359,$H$2:$H$5001)+ROW()/10000000,0))</f>
        <v>0</v>
      </c>
      <c r="Q4359" s="47" t="n">
        <f aca="false">IF(OR($A4359="",C4359=""),0,IF(COUNTIF($C$2:C4359,C4359)=1,SUMIF($C$2:$C$5001,C4359,$H$2:$H$5001)+ROW()/10000000,0))</f>
        <v>0</v>
      </c>
    </row>
    <row r="4360" customFormat="false" ht="15" hidden="false" customHeight="false" outlineLevel="0" collapsed="false">
      <c r="A4360" s="43"/>
      <c r="B4360" s="44"/>
      <c r="C4360" s="44"/>
      <c r="D4360" s="44"/>
      <c r="E4360" s="44"/>
      <c r="F4360" s="44"/>
      <c r="G4360" s="44"/>
      <c r="H4360" s="46" t="str">
        <f aca="false">IF($A4360="","",IF(OR(NOT(ISNUMBER(E4360)),NOT(ISNUMBER(F4360))),"",MAX(0,E4360)*F4360))</f>
        <v/>
      </c>
      <c r="I4360" s="46" t="str">
        <f aca="false">IF($A4360="","",SUMIF($A$2:$A$5001,$A4360,$H$2:$H$5001))</f>
        <v/>
      </c>
      <c r="J4360" s="47" t="n">
        <f aca="false">IF($A4360="",0,IF(COUNTIF($A$2:A4360,$A4360)=1,1,0))</f>
        <v>0</v>
      </c>
      <c r="K4360" s="47" t="n">
        <f aca="false">IF(J4360=1,N(I4360)+ROW()/10000000,0)</f>
        <v>0</v>
      </c>
      <c r="L4360" s="47" t="str">
        <f aca="false">IF(AND(J4360=1,N(I4360)&gt;0),SUMIF($K$2:$K$5001,"&gt;="&amp;K4360,$I$2:$I$5001)/MAX(1,SUM($H$2:$H$5001)),"")</f>
        <v/>
      </c>
      <c r="M4360" s="47" t="str">
        <f aca="false">IF($A4360="","",INDEX($L$2:$L$5001,MATCH($A4360,$A$2:$A$5001,0)))</f>
        <v/>
      </c>
      <c r="N4360" s="48" t="str">
        <f aca="false">IF($A4360="","",IF(N(M4360)=0,"–",IF(M4360&lt;=Start!$D$20,"A",IF(M4360&lt;=Start!$D$21,"B","C"))))</f>
        <v/>
      </c>
      <c r="O4360" s="48" t="str">
        <f aca="false">IF($A4360="","",IF(NOT(ISNUMBER(F4360)),"Wert fehlt; ",IF(F4360&lt;=0,"Wert ist 0; ",""))&amp;IF(NOT(ISNUMBER(E4360)),"Bestand fehlt; ",IF(E4360&lt;0,"Bestand negativ; ",IF(E4360=0,"Nullbestand; ","")))&amp;IF(D4360="","Warengruppe fehlt; ","")&amp;IF(B4360="","Bezeichnung fehlt; ","")&amp;IF(COUNTIFS($A$2:$A$5001,$A4360,$C$2:$C$5001,C4360)&gt;1,"Artikel doppelt im selben Lager; ",""))</f>
        <v/>
      </c>
      <c r="P4360" s="47" t="n">
        <f aca="false">IF(OR($A4360="",D4360=""),0,IF(COUNTIF($D$2:D4360,D4360)=1,SUMIF($D$2:$D$5001,D4360,$H$2:$H$5001)+ROW()/10000000,0))</f>
        <v>0</v>
      </c>
      <c r="Q4360" s="47" t="n">
        <f aca="false">IF(OR($A4360="",C4360=""),0,IF(COUNTIF($C$2:C4360,C4360)=1,SUMIF($C$2:$C$5001,C4360,$H$2:$H$5001)+ROW()/10000000,0))</f>
        <v>0</v>
      </c>
    </row>
    <row r="4361" customFormat="false" ht="15" hidden="false" customHeight="false" outlineLevel="0" collapsed="false">
      <c r="A4361" s="43"/>
      <c r="B4361" s="44"/>
      <c r="C4361" s="44"/>
      <c r="D4361" s="44"/>
      <c r="E4361" s="44"/>
      <c r="F4361" s="44"/>
      <c r="G4361" s="44"/>
      <c r="H4361" s="46" t="str">
        <f aca="false">IF($A4361="","",IF(OR(NOT(ISNUMBER(E4361)),NOT(ISNUMBER(F4361))),"",MAX(0,E4361)*F4361))</f>
        <v/>
      </c>
      <c r="I4361" s="46" t="str">
        <f aca="false">IF($A4361="","",SUMIF($A$2:$A$5001,$A4361,$H$2:$H$5001))</f>
        <v/>
      </c>
      <c r="J4361" s="47" t="n">
        <f aca="false">IF($A4361="",0,IF(COUNTIF($A$2:A4361,$A4361)=1,1,0))</f>
        <v>0</v>
      </c>
      <c r="K4361" s="47" t="n">
        <f aca="false">IF(J4361=1,N(I4361)+ROW()/10000000,0)</f>
        <v>0</v>
      </c>
      <c r="L4361" s="47" t="str">
        <f aca="false">IF(AND(J4361=1,N(I4361)&gt;0),SUMIF($K$2:$K$5001,"&gt;="&amp;K4361,$I$2:$I$5001)/MAX(1,SUM($H$2:$H$5001)),"")</f>
        <v/>
      </c>
      <c r="M4361" s="47" t="str">
        <f aca="false">IF($A4361="","",INDEX($L$2:$L$5001,MATCH($A4361,$A$2:$A$5001,0)))</f>
        <v/>
      </c>
      <c r="N4361" s="48" t="str">
        <f aca="false">IF($A4361="","",IF(N(M4361)=0,"–",IF(M4361&lt;=Start!$D$20,"A",IF(M4361&lt;=Start!$D$21,"B","C"))))</f>
        <v/>
      </c>
      <c r="O4361" s="48" t="str">
        <f aca="false">IF($A4361="","",IF(NOT(ISNUMBER(F4361)),"Wert fehlt; ",IF(F4361&lt;=0,"Wert ist 0; ",""))&amp;IF(NOT(ISNUMBER(E4361)),"Bestand fehlt; ",IF(E4361&lt;0,"Bestand negativ; ",IF(E4361=0,"Nullbestand; ","")))&amp;IF(D4361="","Warengruppe fehlt; ","")&amp;IF(B4361="","Bezeichnung fehlt; ","")&amp;IF(COUNTIFS($A$2:$A$5001,$A4361,$C$2:$C$5001,C4361)&gt;1,"Artikel doppelt im selben Lager; ",""))</f>
        <v/>
      </c>
      <c r="P4361" s="47" t="n">
        <f aca="false">IF(OR($A4361="",D4361=""),0,IF(COUNTIF($D$2:D4361,D4361)=1,SUMIF($D$2:$D$5001,D4361,$H$2:$H$5001)+ROW()/10000000,0))</f>
        <v>0</v>
      </c>
      <c r="Q4361" s="47" t="n">
        <f aca="false">IF(OR($A4361="",C4361=""),0,IF(COUNTIF($C$2:C4361,C4361)=1,SUMIF($C$2:$C$5001,C4361,$H$2:$H$5001)+ROW()/10000000,0))</f>
        <v>0</v>
      </c>
    </row>
    <row r="4362" customFormat="false" ht="15" hidden="false" customHeight="false" outlineLevel="0" collapsed="false">
      <c r="A4362" s="43"/>
      <c r="B4362" s="44"/>
      <c r="C4362" s="44"/>
      <c r="D4362" s="44"/>
      <c r="E4362" s="44"/>
      <c r="F4362" s="44"/>
      <c r="G4362" s="44"/>
      <c r="H4362" s="46" t="str">
        <f aca="false">IF($A4362="","",IF(OR(NOT(ISNUMBER(E4362)),NOT(ISNUMBER(F4362))),"",MAX(0,E4362)*F4362))</f>
        <v/>
      </c>
      <c r="I4362" s="46" t="str">
        <f aca="false">IF($A4362="","",SUMIF($A$2:$A$5001,$A4362,$H$2:$H$5001))</f>
        <v/>
      </c>
      <c r="J4362" s="47" t="n">
        <f aca="false">IF($A4362="",0,IF(COUNTIF($A$2:A4362,$A4362)=1,1,0))</f>
        <v>0</v>
      </c>
      <c r="K4362" s="47" t="n">
        <f aca="false">IF(J4362=1,N(I4362)+ROW()/10000000,0)</f>
        <v>0</v>
      </c>
      <c r="L4362" s="47" t="str">
        <f aca="false">IF(AND(J4362=1,N(I4362)&gt;0),SUMIF($K$2:$K$5001,"&gt;="&amp;K4362,$I$2:$I$5001)/MAX(1,SUM($H$2:$H$5001)),"")</f>
        <v/>
      </c>
      <c r="M4362" s="47" t="str">
        <f aca="false">IF($A4362="","",INDEX($L$2:$L$5001,MATCH($A4362,$A$2:$A$5001,0)))</f>
        <v/>
      </c>
      <c r="N4362" s="48" t="str">
        <f aca="false">IF($A4362="","",IF(N(M4362)=0,"–",IF(M4362&lt;=Start!$D$20,"A",IF(M4362&lt;=Start!$D$21,"B","C"))))</f>
        <v/>
      </c>
      <c r="O4362" s="48" t="str">
        <f aca="false">IF($A4362="","",IF(NOT(ISNUMBER(F4362)),"Wert fehlt; ",IF(F4362&lt;=0,"Wert ist 0; ",""))&amp;IF(NOT(ISNUMBER(E4362)),"Bestand fehlt; ",IF(E4362&lt;0,"Bestand negativ; ",IF(E4362=0,"Nullbestand; ","")))&amp;IF(D4362="","Warengruppe fehlt; ","")&amp;IF(B4362="","Bezeichnung fehlt; ","")&amp;IF(COUNTIFS($A$2:$A$5001,$A4362,$C$2:$C$5001,C4362)&gt;1,"Artikel doppelt im selben Lager; ",""))</f>
        <v/>
      </c>
      <c r="P4362" s="47" t="n">
        <f aca="false">IF(OR($A4362="",D4362=""),0,IF(COUNTIF($D$2:D4362,D4362)=1,SUMIF($D$2:$D$5001,D4362,$H$2:$H$5001)+ROW()/10000000,0))</f>
        <v>0</v>
      </c>
      <c r="Q4362" s="47" t="n">
        <f aca="false">IF(OR($A4362="",C4362=""),0,IF(COUNTIF($C$2:C4362,C4362)=1,SUMIF($C$2:$C$5001,C4362,$H$2:$H$5001)+ROW()/10000000,0))</f>
        <v>0</v>
      </c>
    </row>
    <row r="4363" customFormat="false" ht="15" hidden="false" customHeight="false" outlineLevel="0" collapsed="false">
      <c r="A4363" s="43"/>
      <c r="B4363" s="44"/>
      <c r="C4363" s="44"/>
      <c r="D4363" s="44"/>
      <c r="E4363" s="44"/>
      <c r="F4363" s="44"/>
      <c r="G4363" s="44"/>
      <c r="H4363" s="46" t="str">
        <f aca="false">IF($A4363="","",IF(OR(NOT(ISNUMBER(E4363)),NOT(ISNUMBER(F4363))),"",MAX(0,E4363)*F4363))</f>
        <v/>
      </c>
      <c r="I4363" s="46" t="str">
        <f aca="false">IF($A4363="","",SUMIF($A$2:$A$5001,$A4363,$H$2:$H$5001))</f>
        <v/>
      </c>
      <c r="J4363" s="47" t="n">
        <f aca="false">IF($A4363="",0,IF(COUNTIF($A$2:A4363,$A4363)=1,1,0))</f>
        <v>0</v>
      </c>
      <c r="K4363" s="47" t="n">
        <f aca="false">IF(J4363=1,N(I4363)+ROW()/10000000,0)</f>
        <v>0</v>
      </c>
      <c r="L4363" s="47" t="str">
        <f aca="false">IF(AND(J4363=1,N(I4363)&gt;0),SUMIF($K$2:$K$5001,"&gt;="&amp;K4363,$I$2:$I$5001)/MAX(1,SUM($H$2:$H$5001)),"")</f>
        <v/>
      </c>
      <c r="M4363" s="47" t="str">
        <f aca="false">IF($A4363="","",INDEX($L$2:$L$5001,MATCH($A4363,$A$2:$A$5001,0)))</f>
        <v/>
      </c>
      <c r="N4363" s="48" t="str">
        <f aca="false">IF($A4363="","",IF(N(M4363)=0,"–",IF(M4363&lt;=Start!$D$20,"A",IF(M4363&lt;=Start!$D$21,"B","C"))))</f>
        <v/>
      </c>
      <c r="O4363" s="48" t="str">
        <f aca="false">IF($A4363="","",IF(NOT(ISNUMBER(F4363)),"Wert fehlt; ",IF(F4363&lt;=0,"Wert ist 0; ",""))&amp;IF(NOT(ISNUMBER(E4363)),"Bestand fehlt; ",IF(E4363&lt;0,"Bestand negativ; ",IF(E4363=0,"Nullbestand; ","")))&amp;IF(D4363="","Warengruppe fehlt; ","")&amp;IF(B4363="","Bezeichnung fehlt; ","")&amp;IF(COUNTIFS($A$2:$A$5001,$A4363,$C$2:$C$5001,C4363)&gt;1,"Artikel doppelt im selben Lager; ",""))</f>
        <v/>
      </c>
      <c r="P4363" s="47" t="n">
        <f aca="false">IF(OR($A4363="",D4363=""),0,IF(COUNTIF($D$2:D4363,D4363)=1,SUMIF($D$2:$D$5001,D4363,$H$2:$H$5001)+ROW()/10000000,0))</f>
        <v>0</v>
      </c>
      <c r="Q4363" s="47" t="n">
        <f aca="false">IF(OR($A4363="",C4363=""),0,IF(COUNTIF($C$2:C4363,C4363)=1,SUMIF($C$2:$C$5001,C4363,$H$2:$H$5001)+ROW()/10000000,0))</f>
        <v>0</v>
      </c>
    </row>
    <row r="4364" customFormat="false" ht="15" hidden="false" customHeight="false" outlineLevel="0" collapsed="false">
      <c r="A4364" s="43"/>
      <c r="B4364" s="44"/>
      <c r="C4364" s="44"/>
      <c r="D4364" s="44"/>
      <c r="E4364" s="44"/>
      <c r="F4364" s="44"/>
      <c r="G4364" s="44"/>
      <c r="H4364" s="46" t="str">
        <f aca="false">IF($A4364="","",IF(OR(NOT(ISNUMBER(E4364)),NOT(ISNUMBER(F4364))),"",MAX(0,E4364)*F4364))</f>
        <v/>
      </c>
      <c r="I4364" s="46" t="str">
        <f aca="false">IF($A4364="","",SUMIF($A$2:$A$5001,$A4364,$H$2:$H$5001))</f>
        <v/>
      </c>
      <c r="J4364" s="47" t="n">
        <f aca="false">IF($A4364="",0,IF(COUNTIF($A$2:A4364,$A4364)=1,1,0))</f>
        <v>0</v>
      </c>
      <c r="K4364" s="47" t="n">
        <f aca="false">IF(J4364=1,N(I4364)+ROW()/10000000,0)</f>
        <v>0</v>
      </c>
      <c r="L4364" s="47" t="str">
        <f aca="false">IF(AND(J4364=1,N(I4364)&gt;0),SUMIF($K$2:$K$5001,"&gt;="&amp;K4364,$I$2:$I$5001)/MAX(1,SUM($H$2:$H$5001)),"")</f>
        <v/>
      </c>
      <c r="M4364" s="47" t="str">
        <f aca="false">IF($A4364="","",INDEX($L$2:$L$5001,MATCH($A4364,$A$2:$A$5001,0)))</f>
        <v/>
      </c>
      <c r="N4364" s="48" t="str">
        <f aca="false">IF($A4364="","",IF(N(M4364)=0,"–",IF(M4364&lt;=Start!$D$20,"A",IF(M4364&lt;=Start!$D$21,"B","C"))))</f>
        <v/>
      </c>
      <c r="O4364" s="48" t="str">
        <f aca="false">IF($A4364="","",IF(NOT(ISNUMBER(F4364)),"Wert fehlt; ",IF(F4364&lt;=0,"Wert ist 0; ",""))&amp;IF(NOT(ISNUMBER(E4364)),"Bestand fehlt; ",IF(E4364&lt;0,"Bestand negativ; ",IF(E4364=0,"Nullbestand; ","")))&amp;IF(D4364="","Warengruppe fehlt; ","")&amp;IF(B4364="","Bezeichnung fehlt; ","")&amp;IF(COUNTIFS($A$2:$A$5001,$A4364,$C$2:$C$5001,C4364)&gt;1,"Artikel doppelt im selben Lager; ",""))</f>
        <v/>
      </c>
      <c r="P4364" s="47" t="n">
        <f aca="false">IF(OR($A4364="",D4364=""),0,IF(COUNTIF($D$2:D4364,D4364)=1,SUMIF($D$2:$D$5001,D4364,$H$2:$H$5001)+ROW()/10000000,0))</f>
        <v>0</v>
      </c>
      <c r="Q4364" s="47" t="n">
        <f aca="false">IF(OR($A4364="",C4364=""),0,IF(COUNTIF($C$2:C4364,C4364)=1,SUMIF($C$2:$C$5001,C4364,$H$2:$H$5001)+ROW()/10000000,0))</f>
        <v>0</v>
      </c>
    </row>
    <row r="4365" customFormat="false" ht="15" hidden="false" customHeight="false" outlineLevel="0" collapsed="false">
      <c r="A4365" s="43"/>
      <c r="B4365" s="44"/>
      <c r="C4365" s="44"/>
      <c r="D4365" s="44"/>
      <c r="E4365" s="44"/>
      <c r="F4365" s="44"/>
      <c r="G4365" s="44"/>
      <c r="H4365" s="46" t="str">
        <f aca="false">IF($A4365="","",IF(OR(NOT(ISNUMBER(E4365)),NOT(ISNUMBER(F4365))),"",MAX(0,E4365)*F4365))</f>
        <v/>
      </c>
      <c r="I4365" s="46" t="str">
        <f aca="false">IF($A4365="","",SUMIF($A$2:$A$5001,$A4365,$H$2:$H$5001))</f>
        <v/>
      </c>
      <c r="J4365" s="47" t="n">
        <f aca="false">IF($A4365="",0,IF(COUNTIF($A$2:A4365,$A4365)=1,1,0))</f>
        <v>0</v>
      </c>
      <c r="K4365" s="47" t="n">
        <f aca="false">IF(J4365=1,N(I4365)+ROW()/10000000,0)</f>
        <v>0</v>
      </c>
      <c r="L4365" s="47" t="str">
        <f aca="false">IF(AND(J4365=1,N(I4365)&gt;0),SUMIF($K$2:$K$5001,"&gt;="&amp;K4365,$I$2:$I$5001)/MAX(1,SUM($H$2:$H$5001)),"")</f>
        <v/>
      </c>
      <c r="M4365" s="47" t="str">
        <f aca="false">IF($A4365="","",INDEX($L$2:$L$5001,MATCH($A4365,$A$2:$A$5001,0)))</f>
        <v/>
      </c>
      <c r="N4365" s="48" t="str">
        <f aca="false">IF($A4365="","",IF(N(M4365)=0,"–",IF(M4365&lt;=Start!$D$20,"A",IF(M4365&lt;=Start!$D$21,"B","C"))))</f>
        <v/>
      </c>
      <c r="O4365" s="48" t="str">
        <f aca="false">IF($A4365="","",IF(NOT(ISNUMBER(F4365)),"Wert fehlt; ",IF(F4365&lt;=0,"Wert ist 0; ",""))&amp;IF(NOT(ISNUMBER(E4365)),"Bestand fehlt; ",IF(E4365&lt;0,"Bestand negativ; ",IF(E4365=0,"Nullbestand; ","")))&amp;IF(D4365="","Warengruppe fehlt; ","")&amp;IF(B4365="","Bezeichnung fehlt; ","")&amp;IF(COUNTIFS($A$2:$A$5001,$A4365,$C$2:$C$5001,C4365)&gt;1,"Artikel doppelt im selben Lager; ",""))</f>
        <v/>
      </c>
      <c r="P4365" s="47" t="n">
        <f aca="false">IF(OR($A4365="",D4365=""),0,IF(COUNTIF($D$2:D4365,D4365)=1,SUMIF($D$2:$D$5001,D4365,$H$2:$H$5001)+ROW()/10000000,0))</f>
        <v>0</v>
      </c>
      <c r="Q4365" s="47" t="n">
        <f aca="false">IF(OR($A4365="",C4365=""),0,IF(COUNTIF($C$2:C4365,C4365)=1,SUMIF($C$2:$C$5001,C4365,$H$2:$H$5001)+ROW()/10000000,0))</f>
        <v>0</v>
      </c>
    </row>
    <row r="4366" customFormat="false" ht="15" hidden="false" customHeight="false" outlineLevel="0" collapsed="false">
      <c r="A4366" s="43"/>
      <c r="B4366" s="44"/>
      <c r="C4366" s="44"/>
      <c r="D4366" s="44"/>
      <c r="E4366" s="44"/>
      <c r="F4366" s="44"/>
      <c r="G4366" s="44"/>
      <c r="H4366" s="46" t="str">
        <f aca="false">IF($A4366="","",IF(OR(NOT(ISNUMBER(E4366)),NOT(ISNUMBER(F4366))),"",MAX(0,E4366)*F4366))</f>
        <v/>
      </c>
      <c r="I4366" s="46" t="str">
        <f aca="false">IF($A4366="","",SUMIF($A$2:$A$5001,$A4366,$H$2:$H$5001))</f>
        <v/>
      </c>
      <c r="J4366" s="47" t="n">
        <f aca="false">IF($A4366="",0,IF(COUNTIF($A$2:A4366,$A4366)=1,1,0))</f>
        <v>0</v>
      </c>
      <c r="K4366" s="47" t="n">
        <f aca="false">IF(J4366=1,N(I4366)+ROW()/10000000,0)</f>
        <v>0</v>
      </c>
      <c r="L4366" s="47" t="str">
        <f aca="false">IF(AND(J4366=1,N(I4366)&gt;0),SUMIF($K$2:$K$5001,"&gt;="&amp;K4366,$I$2:$I$5001)/MAX(1,SUM($H$2:$H$5001)),"")</f>
        <v/>
      </c>
      <c r="M4366" s="47" t="str">
        <f aca="false">IF($A4366="","",INDEX($L$2:$L$5001,MATCH($A4366,$A$2:$A$5001,0)))</f>
        <v/>
      </c>
      <c r="N4366" s="48" t="str">
        <f aca="false">IF($A4366="","",IF(N(M4366)=0,"–",IF(M4366&lt;=Start!$D$20,"A",IF(M4366&lt;=Start!$D$21,"B","C"))))</f>
        <v/>
      </c>
      <c r="O4366" s="48" t="str">
        <f aca="false">IF($A4366="","",IF(NOT(ISNUMBER(F4366)),"Wert fehlt; ",IF(F4366&lt;=0,"Wert ist 0; ",""))&amp;IF(NOT(ISNUMBER(E4366)),"Bestand fehlt; ",IF(E4366&lt;0,"Bestand negativ; ",IF(E4366=0,"Nullbestand; ","")))&amp;IF(D4366="","Warengruppe fehlt; ","")&amp;IF(B4366="","Bezeichnung fehlt; ","")&amp;IF(COUNTIFS($A$2:$A$5001,$A4366,$C$2:$C$5001,C4366)&gt;1,"Artikel doppelt im selben Lager; ",""))</f>
        <v/>
      </c>
      <c r="P4366" s="47" t="n">
        <f aca="false">IF(OR($A4366="",D4366=""),0,IF(COUNTIF($D$2:D4366,D4366)=1,SUMIF($D$2:$D$5001,D4366,$H$2:$H$5001)+ROW()/10000000,0))</f>
        <v>0</v>
      </c>
      <c r="Q4366" s="47" t="n">
        <f aca="false">IF(OR($A4366="",C4366=""),0,IF(COUNTIF($C$2:C4366,C4366)=1,SUMIF($C$2:$C$5001,C4366,$H$2:$H$5001)+ROW()/10000000,0))</f>
        <v>0</v>
      </c>
    </row>
    <row r="4367" customFormat="false" ht="15" hidden="false" customHeight="false" outlineLevel="0" collapsed="false">
      <c r="A4367" s="43"/>
      <c r="B4367" s="44"/>
      <c r="C4367" s="44"/>
      <c r="D4367" s="44"/>
      <c r="E4367" s="44"/>
      <c r="F4367" s="44"/>
      <c r="G4367" s="44"/>
      <c r="H4367" s="46" t="str">
        <f aca="false">IF($A4367="","",IF(OR(NOT(ISNUMBER(E4367)),NOT(ISNUMBER(F4367))),"",MAX(0,E4367)*F4367))</f>
        <v/>
      </c>
      <c r="I4367" s="46" t="str">
        <f aca="false">IF($A4367="","",SUMIF($A$2:$A$5001,$A4367,$H$2:$H$5001))</f>
        <v/>
      </c>
      <c r="J4367" s="47" t="n">
        <f aca="false">IF($A4367="",0,IF(COUNTIF($A$2:A4367,$A4367)=1,1,0))</f>
        <v>0</v>
      </c>
      <c r="K4367" s="47" t="n">
        <f aca="false">IF(J4367=1,N(I4367)+ROW()/10000000,0)</f>
        <v>0</v>
      </c>
      <c r="L4367" s="47" t="str">
        <f aca="false">IF(AND(J4367=1,N(I4367)&gt;0),SUMIF($K$2:$K$5001,"&gt;="&amp;K4367,$I$2:$I$5001)/MAX(1,SUM($H$2:$H$5001)),"")</f>
        <v/>
      </c>
      <c r="M4367" s="47" t="str">
        <f aca="false">IF($A4367="","",INDEX($L$2:$L$5001,MATCH($A4367,$A$2:$A$5001,0)))</f>
        <v/>
      </c>
      <c r="N4367" s="48" t="str">
        <f aca="false">IF($A4367="","",IF(N(M4367)=0,"–",IF(M4367&lt;=Start!$D$20,"A",IF(M4367&lt;=Start!$D$21,"B","C"))))</f>
        <v/>
      </c>
      <c r="O4367" s="48" t="str">
        <f aca="false">IF($A4367="","",IF(NOT(ISNUMBER(F4367)),"Wert fehlt; ",IF(F4367&lt;=0,"Wert ist 0; ",""))&amp;IF(NOT(ISNUMBER(E4367)),"Bestand fehlt; ",IF(E4367&lt;0,"Bestand negativ; ",IF(E4367=0,"Nullbestand; ","")))&amp;IF(D4367="","Warengruppe fehlt; ","")&amp;IF(B4367="","Bezeichnung fehlt; ","")&amp;IF(COUNTIFS($A$2:$A$5001,$A4367,$C$2:$C$5001,C4367)&gt;1,"Artikel doppelt im selben Lager; ",""))</f>
        <v/>
      </c>
      <c r="P4367" s="47" t="n">
        <f aca="false">IF(OR($A4367="",D4367=""),0,IF(COUNTIF($D$2:D4367,D4367)=1,SUMIF($D$2:$D$5001,D4367,$H$2:$H$5001)+ROW()/10000000,0))</f>
        <v>0</v>
      </c>
      <c r="Q4367" s="47" t="n">
        <f aca="false">IF(OR($A4367="",C4367=""),0,IF(COUNTIF($C$2:C4367,C4367)=1,SUMIF($C$2:$C$5001,C4367,$H$2:$H$5001)+ROW()/10000000,0))</f>
        <v>0</v>
      </c>
    </row>
    <row r="4368" customFormat="false" ht="15" hidden="false" customHeight="false" outlineLevel="0" collapsed="false">
      <c r="A4368" s="43"/>
      <c r="B4368" s="44"/>
      <c r="C4368" s="44"/>
      <c r="D4368" s="44"/>
      <c r="E4368" s="44"/>
      <c r="F4368" s="44"/>
      <c r="G4368" s="44"/>
      <c r="H4368" s="46" t="str">
        <f aca="false">IF($A4368="","",IF(OR(NOT(ISNUMBER(E4368)),NOT(ISNUMBER(F4368))),"",MAX(0,E4368)*F4368))</f>
        <v/>
      </c>
      <c r="I4368" s="46" t="str">
        <f aca="false">IF($A4368="","",SUMIF($A$2:$A$5001,$A4368,$H$2:$H$5001))</f>
        <v/>
      </c>
      <c r="J4368" s="47" t="n">
        <f aca="false">IF($A4368="",0,IF(COUNTIF($A$2:A4368,$A4368)=1,1,0))</f>
        <v>0</v>
      </c>
      <c r="K4368" s="47" t="n">
        <f aca="false">IF(J4368=1,N(I4368)+ROW()/10000000,0)</f>
        <v>0</v>
      </c>
      <c r="L4368" s="47" t="str">
        <f aca="false">IF(AND(J4368=1,N(I4368)&gt;0),SUMIF($K$2:$K$5001,"&gt;="&amp;K4368,$I$2:$I$5001)/MAX(1,SUM($H$2:$H$5001)),"")</f>
        <v/>
      </c>
      <c r="M4368" s="47" t="str">
        <f aca="false">IF($A4368="","",INDEX($L$2:$L$5001,MATCH($A4368,$A$2:$A$5001,0)))</f>
        <v/>
      </c>
      <c r="N4368" s="48" t="str">
        <f aca="false">IF($A4368="","",IF(N(M4368)=0,"–",IF(M4368&lt;=Start!$D$20,"A",IF(M4368&lt;=Start!$D$21,"B","C"))))</f>
        <v/>
      </c>
      <c r="O4368" s="48" t="str">
        <f aca="false">IF($A4368="","",IF(NOT(ISNUMBER(F4368)),"Wert fehlt; ",IF(F4368&lt;=0,"Wert ist 0; ",""))&amp;IF(NOT(ISNUMBER(E4368)),"Bestand fehlt; ",IF(E4368&lt;0,"Bestand negativ; ",IF(E4368=0,"Nullbestand; ","")))&amp;IF(D4368="","Warengruppe fehlt; ","")&amp;IF(B4368="","Bezeichnung fehlt; ","")&amp;IF(COUNTIFS($A$2:$A$5001,$A4368,$C$2:$C$5001,C4368)&gt;1,"Artikel doppelt im selben Lager; ",""))</f>
        <v/>
      </c>
      <c r="P4368" s="47" t="n">
        <f aca="false">IF(OR($A4368="",D4368=""),0,IF(COUNTIF($D$2:D4368,D4368)=1,SUMIF($D$2:$D$5001,D4368,$H$2:$H$5001)+ROW()/10000000,0))</f>
        <v>0</v>
      </c>
      <c r="Q4368" s="47" t="n">
        <f aca="false">IF(OR($A4368="",C4368=""),0,IF(COUNTIF($C$2:C4368,C4368)=1,SUMIF($C$2:$C$5001,C4368,$H$2:$H$5001)+ROW()/10000000,0))</f>
        <v>0</v>
      </c>
    </row>
    <row r="4369" customFormat="false" ht="15" hidden="false" customHeight="false" outlineLevel="0" collapsed="false">
      <c r="A4369" s="43"/>
      <c r="B4369" s="44"/>
      <c r="C4369" s="44"/>
      <c r="D4369" s="44"/>
      <c r="E4369" s="44"/>
      <c r="F4369" s="44"/>
      <c r="G4369" s="44"/>
      <c r="H4369" s="46" t="str">
        <f aca="false">IF($A4369="","",IF(OR(NOT(ISNUMBER(E4369)),NOT(ISNUMBER(F4369))),"",MAX(0,E4369)*F4369))</f>
        <v/>
      </c>
      <c r="I4369" s="46" t="str">
        <f aca="false">IF($A4369="","",SUMIF($A$2:$A$5001,$A4369,$H$2:$H$5001))</f>
        <v/>
      </c>
      <c r="J4369" s="47" t="n">
        <f aca="false">IF($A4369="",0,IF(COUNTIF($A$2:A4369,$A4369)=1,1,0))</f>
        <v>0</v>
      </c>
      <c r="K4369" s="47" t="n">
        <f aca="false">IF(J4369=1,N(I4369)+ROW()/10000000,0)</f>
        <v>0</v>
      </c>
      <c r="L4369" s="47" t="str">
        <f aca="false">IF(AND(J4369=1,N(I4369)&gt;0),SUMIF($K$2:$K$5001,"&gt;="&amp;K4369,$I$2:$I$5001)/MAX(1,SUM($H$2:$H$5001)),"")</f>
        <v/>
      </c>
      <c r="M4369" s="47" t="str">
        <f aca="false">IF($A4369="","",INDEX($L$2:$L$5001,MATCH($A4369,$A$2:$A$5001,0)))</f>
        <v/>
      </c>
      <c r="N4369" s="48" t="str">
        <f aca="false">IF($A4369="","",IF(N(M4369)=0,"–",IF(M4369&lt;=Start!$D$20,"A",IF(M4369&lt;=Start!$D$21,"B","C"))))</f>
        <v/>
      </c>
      <c r="O4369" s="48" t="str">
        <f aca="false">IF($A4369="","",IF(NOT(ISNUMBER(F4369)),"Wert fehlt; ",IF(F4369&lt;=0,"Wert ist 0; ",""))&amp;IF(NOT(ISNUMBER(E4369)),"Bestand fehlt; ",IF(E4369&lt;0,"Bestand negativ; ",IF(E4369=0,"Nullbestand; ","")))&amp;IF(D4369="","Warengruppe fehlt; ","")&amp;IF(B4369="","Bezeichnung fehlt; ","")&amp;IF(COUNTIFS($A$2:$A$5001,$A4369,$C$2:$C$5001,C4369)&gt;1,"Artikel doppelt im selben Lager; ",""))</f>
        <v/>
      </c>
      <c r="P4369" s="47" t="n">
        <f aca="false">IF(OR($A4369="",D4369=""),0,IF(COUNTIF($D$2:D4369,D4369)=1,SUMIF($D$2:$D$5001,D4369,$H$2:$H$5001)+ROW()/10000000,0))</f>
        <v>0</v>
      </c>
      <c r="Q4369" s="47" t="n">
        <f aca="false">IF(OR($A4369="",C4369=""),0,IF(COUNTIF($C$2:C4369,C4369)=1,SUMIF($C$2:$C$5001,C4369,$H$2:$H$5001)+ROW()/10000000,0))</f>
        <v>0</v>
      </c>
    </row>
    <row r="4370" customFormat="false" ht="15" hidden="false" customHeight="false" outlineLevel="0" collapsed="false">
      <c r="A4370" s="43"/>
      <c r="B4370" s="44"/>
      <c r="C4370" s="44"/>
      <c r="D4370" s="44"/>
      <c r="E4370" s="44"/>
      <c r="F4370" s="44"/>
      <c r="G4370" s="44"/>
      <c r="H4370" s="46" t="str">
        <f aca="false">IF($A4370="","",IF(OR(NOT(ISNUMBER(E4370)),NOT(ISNUMBER(F4370))),"",MAX(0,E4370)*F4370))</f>
        <v/>
      </c>
      <c r="I4370" s="46" t="str">
        <f aca="false">IF($A4370="","",SUMIF($A$2:$A$5001,$A4370,$H$2:$H$5001))</f>
        <v/>
      </c>
      <c r="J4370" s="47" t="n">
        <f aca="false">IF($A4370="",0,IF(COUNTIF($A$2:A4370,$A4370)=1,1,0))</f>
        <v>0</v>
      </c>
      <c r="K4370" s="47" t="n">
        <f aca="false">IF(J4370=1,N(I4370)+ROW()/10000000,0)</f>
        <v>0</v>
      </c>
      <c r="L4370" s="47" t="str">
        <f aca="false">IF(AND(J4370=1,N(I4370)&gt;0),SUMIF($K$2:$K$5001,"&gt;="&amp;K4370,$I$2:$I$5001)/MAX(1,SUM($H$2:$H$5001)),"")</f>
        <v/>
      </c>
      <c r="M4370" s="47" t="str">
        <f aca="false">IF($A4370="","",INDEX($L$2:$L$5001,MATCH($A4370,$A$2:$A$5001,0)))</f>
        <v/>
      </c>
      <c r="N4370" s="48" t="str">
        <f aca="false">IF($A4370="","",IF(N(M4370)=0,"–",IF(M4370&lt;=Start!$D$20,"A",IF(M4370&lt;=Start!$D$21,"B","C"))))</f>
        <v/>
      </c>
      <c r="O4370" s="48" t="str">
        <f aca="false">IF($A4370="","",IF(NOT(ISNUMBER(F4370)),"Wert fehlt; ",IF(F4370&lt;=0,"Wert ist 0; ",""))&amp;IF(NOT(ISNUMBER(E4370)),"Bestand fehlt; ",IF(E4370&lt;0,"Bestand negativ; ",IF(E4370=0,"Nullbestand; ","")))&amp;IF(D4370="","Warengruppe fehlt; ","")&amp;IF(B4370="","Bezeichnung fehlt; ","")&amp;IF(COUNTIFS($A$2:$A$5001,$A4370,$C$2:$C$5001,C4370)&gt;1,"Artikel doppelt im selben Lager; ",""))</f>
        <v/>
      </c>
      <c r="P4370" s="47" t="n">
        <f aca="false">IF(OR($A4370="",D4370=""),0,IF(COUNTIF($D$2:D4370,D4370)=1,SUMIF($D$2:$D$5001,D4370,$H$2:$H$5001)+ROW()/10000000,0))</f>
        <v>0</v>
      </c>
      <c r="Q4370" s="47" t="n">
        <f aca="false">IF(OR($A4370="",C4370=""),0,IF(COUNTIF($C$2:C4370,C4370)=1,SUMIF($C$2:$C$5001,C4370,$H$2:$H$5001)+ROW()/10000000,0))</f>
        <v>0</v>
      </c>
    </row>
    <row r="4371" customFormat="false" ht="15" hidden="false" customHeight="false" outlineLevel="0" collapsed="false">
      <c r="A4371" s="43"/>
      <c r="B4371" s="44"/>
      <c r="C4371" s="44"/>
      <c r="D4371" s="44"/>
      <c r="E4371" s="44"/>
      <c r="F4371" s="44"/>
      <c r="G4371" s="44"/>
      <c r="H4371" s="46" t="str">
        <f aca="false">IF($A4371="","",IF(OR(NOT(ISNUMBER(E4371)),NOT(ISNUMBER(F4371))),"",MAX(0,E4371)*F4371))</f>
        <v/>
      </c>
      <c r="I4371" s="46" t="str">
        <f aca="false">IF($A4371="","",SUMIF($A$2:$A$5001,$A4371,$H$2:$H$5001))</f>
        <v/>
      </c>
      <c r="J4371" s="47" t="n">
        <f aca="false">IF($A4371="",0,IF(COUNTIF($A$2:A4371,$A4371)=1,1,0))</f>
        <v>0</v>
      </c>
      <c r="K4371" s="47" t="n">
        <f aca="false">IF(J4371=1,N(I4371)+ROW()/10000000,0)</f>
        <v>0</v>
      </c>
      <c r="L4371" s="47" t="str">
        <f aca="false">IF(AND(J4371=1,N(I4371)&gt;0),SUMIF($K$2:$K$5001,"&gt;="&amp;K4371,$I$2:$I$5001)/MAX(1,SUM($H$2:$H$5001)),"")</f>
        <v/>
      </c>
      <c r="M4371" s="47" t="str">
        <f aca="false">IF($A4371="","",INDEX($L$2:$L$5001,MATCH($A4371,$A$2:$A$5001,0)))</f>
        <v/>
      </c>
      <c r="N4371" s="48" t="str">
        <f aca="false">IF($A4371="","",IF(N(M4371)=0,"–",IF(M4371&lt;=Start!$D$20,"A",IF(M4371&lt;=Start!$D$21,"B","C"))))</f>
        <v/>
      </c>
      <c r="O4371" s="48" t="str">
        <f aca="false">IF($A4371="","",IF(NOT(ISNUMBER(F4371)),"Wert fehlt; ",IF(F4371&lt;=0,"Wert ist 0; ",""))&amp;IF(NOT(ISNUMBER(E4371)),"Bestand fehlt; ",IF(E4371&lt;0,"Bestand negativ; ",IF(E4371=0,"Nullbestand; ","")))&amp;IF(D4371="","Warengruppe fehlt; ","")&amp;IF(B4371="","Bezeichnung fehlt; ","")&amp;IF(COUNTIFS($A$2:$A$5001,$A4371,$C$2:$C$5001,C4371)&gt;1,"Artikel doppelt im selben Lager; ",""))</f>
        <v/>
      </c>
      <c r="P4371" s="47" t="n">
        <f aca="false">IF(OR($A4371="",D4371=""),0,IF(COUNTIF($D$2:D4371,D4371)=1,SUMIF($D$2:$D$5001,D4371,$H$2:$H$5001)+ROW()/10000000,0))</f>
        <v>0</v>
      </c>
      <c r="Q4371" s="47" t="n">
        <f aca="false">IF(OR($A4371="",C4371=""),0,IF(COUNTIF($C$2:C4371,C4371)=1,SUMIF($C$2:$C$5001,C4371,$H$2:$H$5001)+ROW()/10000000,0))</f>
        <v>0</v>
      </c>
    </row>
    <row r="4372" customFormat="false" ht="15" hidden="false" customHeight="false" outlineLevel="0" collapsed="false">
      <c r="A4372" s="43"/>
      <c r="B4372" s="44"/>
      <c r="C4372" s="44"/>
      <c r="D4372" s="44"/>
      <c r="E4372" s="44"/>
      <c r="F4372" s="44"/>
      <c r="G4372" s="44"/>
      <c r="H4372" s="46" t="str">
        <f aca="false">IF($A4372="","",IF(OR(NOT(ISNUMBER(E4372)),NOT(ISNUMBER(F4372))),"",MAX(0,E4372)*F4372))</f>
        <v/>
      </c>
      <c r="I4372" s="46" t="str">
        <f aca="false">IF($A4372="","",SUMIF($A$2:$A$5001,$A4372,$H$2:$H$5001))</f>
        <v/>
      </c>
      <c r="J4372" s="47" t="n">
        <f aca="false">IF($A4372="",0,IF(COUNTIF($A$2:A4372,$A4372)=1,1,0))</f>
        <v>0</v>
      </c>
      <c r="K4372" s="47" t="n">
        <f aca="false">IF(J4372=1,N(I4372)+ROW()/10000000,0)</f>
        <v>0</v>
      </c>
      <c r="L4372" s="47" t="str">
        <f aca="false">IF(AND(J4372=1,N(I4372)&gt;0),SUMIF($K$2:$K$5001,"&gt;="&amp;K4372,$I$2:$I$5001)/MAX(1,SUM($H$2:$H$5001)),"")</f>
        <v/>
      </c>
      <c r="M4372" s="47" t="str">
        <f aca="false">IF($A4372="","",INDEX($L$2:$L$5001,MATCH($A4372,$A$2:$A$5001,0)))</f>
        <v/>
      </c>
      <c r="N4372" s="48" t="str">
        <f aca="false">IF($A4372="","",IF(N(M4372)=0,"–",IF(M4372&lt;=Start!$D$20,"A",IF(M4372&lt;=Start!$D$21,"B","C"))))</f>
        <v/>
      </c>
      <c r="O4372" s="48" t="str">
        <f aca="false">IF($A4372="","",IF(NOT(ISNUMBER(F4372)),"Wert fehlt; ",IF(F4372&lt;=0,"Wert ist 0; ",""))&amp;IF(NOT(ISNUMBER(E4372)),"Bestand fehlt; ",IF(E4372&lt;0,"Bestand negativ; ",IF(E4372=0,"Nullbestand; ","")))&amp;IF(D4372="","Warengruppe fehlt; ","")&amp;IF(B4372="","Bezeichnung fehlt; ","")&amp;IF(COUNTIFS($A$2:$A$5001,$A4372,$C$2:$C$5001,C4372)&gt;1,"Artikel doppelt im selben Lager; ",""))</f>
        <v/>
      </c>
      <c r="P4372" s="47" t="n">
        <f aca="false">IF(OR($A4372="",D4372=""),0,IF(COUNTIF($D$2:D4372,D4372)=1,SUMIF($D$2:$D$5001,D4372,$H$2:$H$5001)+ROW()/10000000,0))</f>
        <v>0</v>
      </c>
      <c r="Q4372" s="47" t="n">
        <f aca="false">IF(OR($A4372="",C4372=""),0,IF(COUNTIF($C$2:C4372,C4372)=1,SUMIF($C$2:$C$5001,C4372,$H$2:$H$5001)+ROW()/10000000,0))</f>
        <v>0</v>
      </c>
    </row>
    <row r="4373" customFormat="false" ht="15" hidden="false" customHeight="false" outlineLevel="0" collapsed="false">
      <c r="A4373" s="43"/>
      <c r="B4373" s="44"/>
      <c r="C4373" s="44"/>
      <c r="D4373" s="44"/>
      <c r="E4373" s="44"/>
      <c r="F4373" s="44"/>
      <c r="G4373" s="44"/>
      <c r="H4373" s="46" t="str">
        <f aca="false">IF($A4373="","",IF(OR(NOT(ISNUMBER(E4373)),NOT(ISNUMBER(F4373))),"",MAX(0,E4373)*F4373))</f>
        <v/>
      </c>
      <c r="I4373" s="46" t="str">
        <f aca="false">IF($A4373="","",SUMIF($A$2:$A$5001,$A4373,$H$2:$H$5001))</f>
        <v/>
      </c>
      <c r="J4373" s="47" t="n">
        <f aca="false">IF($A4373="",0,IF(COUNTIF($A$2:A4373,$A4373)=1,1,0))</f>
        <v>0</v>
      </c>
      <c r="K4373" s="47" t="n">
        <f aca="false">IF(J4373=1,N(I4373)+ROW()/10000000,0)</f>
        <v>0</v>
      </c>
      <c r="L4373" s="47" t="str">
        <f aca="false">IF(AND(J4373=1,N(I4373)&gt;0),SUMIF($K$2:$K$5001,"&gt;="&amp;K4373,$I$2:$I$5001)/MAX(1,SUM($H$2:$H$5001)),"")</f>
        <v/>
      </c>
      <c r="M4373" s="47" t="str">
        <f aca="false">IF($A4373="","",INDEX($L$2:$L$5001,MATCH($A4373,$A$2:$A$5001,0)))</f>
        <v/>
      </c>
      <c r="N4373" s="48" t="str">
        <f aca="false">IF($A4373="","",IF(N(M4373)=0,"–",IF(M4373&lt;=Start!$D$20,"A",IF(M4373&lt;=Start!$D$21,"B","C"))))</f>
        <v/>
      </c>
      <c r="O4373" s="48" t="str">
        <f aca="false">IF($A4373="","",IF(NOT(ISNUMBER(F4373)),"Wert fehlt; ",IF(F4373&lt;=0,"Wert ist 0; ",""))&amp;IF(NOT(ISNUMBER(E4373)),"Bestand fehlt; ",IF(E4373&lt;0,"Bestand negativ; ",IF(E4373=0,"Nullbestand; ","")))&amp;IF(D4373="","Warengruppe fehlt; ","")&amp;IF(B4373="","Bezeichnung fehlt; ","")&amp;IF(COUNTIFS($A$2:$A$5001,$A4373,$C$2:$C$5001,C4373)&gt;1,"Artikel doppelt im selben Lager; ",""))</f>
        <v/>
      </c>
      <c r="P4373" s="47" t="n">
        <f aca="false">IF(OR($A4373="",D4373=""),0,IF(COUNTIF($D$2:D4373,D4373)=1,SUMIF($D$2:$D$5001,D4373,$H$2:$H$5001)+ROW()/10000000,0))</f>
        <v>0</v>
      </c>
      <c r="Q4373" s="47" t="n">
        <f aca="false">IF(OR($A4373="",C4373=""),0,IF(COUNTIF($C$2:C4373,C4373)=1,SUMIF($C$2:$C$5001,C4373,$H$2:$H$5001)+ROW()/10000000,0))</f>
        <v>0</v>
      </c>
    </row>
    <row r="4374" customFormat="false" ht="15" hidden="false" customHeight="false" outlineLevel="0" collapsed="false">
      <c r="A4374" s="43"/>
      <c r="B4374" s="44"/>
      <c r="C4374" s="44"/>
      <c r="D4374" s="44"/>
      <c r="E4374" s="44"/>
      <c r="F4374" s="44"/>
      <c r="G4374" s="44"/>
      <c r="H4374" s="46" t="str">
        <f aca="false">IF($A4374="","",IF(OR(NOT(ISNUMBER(E4374)),NOT(ISNUMBER(F4374))),"",MAX(0,E4374)*F4374))</f>
        <v/>
      </c>
      <c r="I4374" s="46" t="str">
        <f aca="false">IF($A4374="","",SUMIF($A$2:$A$5001,$A4374,$H$2:$H$5001))</f>
        <v/>
      </c>
      <c r="J4374" s="47" t="n">
        <f aca="false">IF($A4374="",0,IF(COUNTIF($A$2:A4374,$A4374)=1,1,0))</f>
        <v>0</v>
      </c>
      <c r="K4374" s="47" t="n">
        <f aca="false">IF(J4374=1,N(I4374)+ROW()/10000000,0)</f>
        <v>0</v>
      </c>
      <c r="L4374" s="47" t="str">
        <f aca="false">IF(AND(J4374=1,N(I4374)&gt;0),SUMIF($K$2:$K$5001,"&gt;="&amp;K4374,$I$2:$I$5001)/MAX(1,SUM($H$2:$H$5001)),"")</f>
        <v/>
      </c>
      <c r="M4374" s="47" t="str">
        <f aca="false">IF($A4374="","",INDEX($L$2:$L$5001,MATCH($A4374,$A$2:$A$5001,0)))</f>
        <v/>
      </c>
      <c r="N4374" s="48" t="str">
        <f aca="false">IF($A4374="","",IF(N(M4374)=0,"–",IF(M4374&lt;=Start!$D$20,"A",IF(M4374&lt;=Start!$D$21,"B","C"))))</f>
        <v/>
      </c>
      <c r="O4374" s="48" t="str">
        <f aca="false">IF($A4374="","",IF(NOT(ISNUMBER(F4374)),"Wert fehlt; ",IF(F4374&lt;=0,"Wert ist 0; ",""))&amp;IF(NOT(ISNUMBER(E4374)),"Bestand fehlt; ",IF(E4374&lt;0,"Bestand negativ; ",IF(E4374=0,"Nullbestand; ","")))&amp;IF(D4374="","Warengruppe fehlt; ","")&amp;IF(B4374="","Bezeichnung fehlt; ","")&amp;IF(COUNTIFS($A$2:$A$5001,$A4374,$C$2:$C$5001,C4374)&gt;1,"Artikel doppelt im selben Lager; ",""))</f>
        <v/>
      </c>
      <c r="P4374" s="47" t="n">
        <f aca="false">IF(OR($A4374="",D4374=""),0,IF(COUNTIF($D$2:D4374,D4374)=1,SUMIF($D$2:$D$5001,D4374,$H$2:$H$5001)+ROW()/10000000,0))</f>
        <v>0</v>
      </c>
      <c r="Q4374" s="47" t="n">
        <f aca="false">IF(OR($A4374="",C4374=""),0,IF(COUNTIF($C$2:C4374,C4374)=1,SUMIF($C$2:$C$5001,C4374,$H$2:$H$5001)+ROW()/10000000,0))</f>
        <v>0</v>
      </c>
    </row>
    <row r="4375" customFormat="false" ht="15" hidden="false" customHeight="false" outlineLevel="0" collapsed="false">
      <c r="A4375" s="43"/>
      <c r="B4375" s="44"/>
      <c r="C4375" s="44"/>
      <c r="D4375" s="44"/>
      <c r="E4375" s="44"/>
      <c r="F4375" s="44"/>
      <c r="G4375" s="44"/>
      <c r="H4375" s="46" t="str">
        <f aca="false">IF($A4375="","",IF(OR(NOT(ISNUMBER(E4375)),NOT(ISNUMBER(F4375))),"",MAX(0,E4375)*F4375))</f>
        <v/>
      </c>
      <c r="I4375" s="46" t="str">
        <f aca="false">IF($A4375="","",SUMIF($A$2:$A$5001,$A4375,$H$2:$H$5001))</f>
        <v/>
      </c>
      <c r="J4375" s="47" t="n">
        <f aca="false">IF($A4375="",0,IF(COUNTIF($A$2:A4375,$A4375)=1,1,0))</f>
        <v>0</v>
      </c>
      <c r="K4375" s="47" t="n">
        <f aca="false">IF(J4375=1,N(I4375)+ROW()/10000000,0)</f>
        <v>0</v>
      </c>
      <c r="L4375" s="47" t="str">
        <f aca="false">IF(AND(J4375=1,N(I4375)&gt;0),SUMIF($K$2:$K$5001,"&gt;="&amp;K4375,$I$2:$I$5001)/MAX(1,SUM($H$2:$H$5001)),"")</f>
        <v/>
      </c>
      <c r="M4375" s="47" t="str">
        <f aca="false">IF($A4375="","",INDEX($L$2:$L$5001,MATCH($A4375,$A$2:$A$5001,0)))</f>
        <v/>
      </c>
      <c r="N4375" s="48" t="str">
        <f aca="false">IF($A4375="","",IF(N(M4375)=0,"–",IF(M4375&lt;=Start!$D$20,"A",IF(M4375&lt;=Start!$D$21,"B","C"))))</f>
        <v/>
      </c>
      <c r="O4375" s="48" t="str">
        <f aca="false">IF($A4375="","",IF(NOT(ISNUMBER(F4375)),"Wert fehlt; ",IF(F4375&lt;=0,"Wert ist 0; ",""))&amp;IF(NOT(ISNUMBER(E4375)),"Bestand fehlt; ",IF(E4375&lt;0,"Bestand negativ; ",IF(E4375=0,"Nullbestand; ","")))&amp;IF(D4375="","Warengruppe fehlt; ","")&amp;IF(B4375="","Bezeichnung fehlt; ","")&amp;IF(COUNTIFS($A$2:$A$5001,$A4375,$C$2:$C$5001,C4375)&gt;1,"Artikel doppelt im selben Lager; ",""))</f>
        <v/>
      </c>
      <c r="P4375" s="47" t="n">
        <f aca="false">IF(OR($A4375="",D4375=""),0,IF(COUNTIF($D$2:D4375,D4375)=1,SUMIF($D$2:$D$5001,D4375,$H$2:$H$5001)+ROW()/10000000,0))</f>
        <v>0</v>
      </c>
      <c r="Q4375" s="47" t="n">
        <f aca="false">IF(OR($A4375="",C4375=""),0,IF(COUNTIF($C$2:C4375,C4375)=1,SUMIF($C$2:$C$5001,C4375,$H$2:$H$5001)+ROW()/10000000,0))</f>
        <v>0</v>
      </c>
    </row>
    <row r="4376" customFormat="false" ht="15" hidden="false" customHeight="false" outlineLevel="0" collapsed="false">
      <c r="A4376" s="43"/>
      <c r="B4376" s="44"/>
      <c r="C4376" s="44"/>
      <c r="D4376" s="44"/>
      <c r="E4376" s="44"/>
      <c r="F4376" s="44"/>
      <c r="G4376" s="44"/>
      <c r="H4376" s="46" t="str">
        <f aca="false">IF($A4376="","",IF(OR(NOT(ISNUMBER(E4376)),NOT(ISNUMBER(F4376))),"",MAX(0,E4376)*F4376))</f>
        <v/>
      </c>
      <c r="I4376" s="46" t="str">
        <f aca="false">IF($A4376="","",SUMIF($A$2:$A$5001,$A4376,$H$2:$H$5001))</f>
        <v/>
      </c>
      <c r="J4376" s="47" t="n">
        <f aca="false">IF($A4376="",0,IF(COUNTIF($A$2:A4376,$A4376)=1,1,0))</f>
        <v>0</v>
      </c>
      <c r="K4376" s="47" t="n">
        <f aca="false">IF(J4376=1,N(I4376)+ROW()/10000000,0)</f>
        <v>0</v>
      </c>
      <c r="L4376" s="47" t="str">
        <f aca="false">IF(AND(J4376=1,N(I4376)&gt;0),SUMIF($K$2:$K$5001,"&gt;="&amp;K4376,$I$2:$I$5001)/MAX(1,SUM($H$2:$H$5001)),"")</f>
        <v/>
      </c>
      <c r="M4376" s="47" t="str">
        <f aca="false">IF($A4376="","",INDEX($L$2:$L$5001,MATCH($A4376,$A$2:$A$5001,0)))</f>
        <v/>
      </c>
      <c r="N4376" s="48" t="str">
        <f aca="false">IF($A4376="","",IF(N(M4376)=0,"–",IF(M4376&lt;=Start!$D$20,"A",IF(M4376&lt;=Start!$D$21,"B","C"))))</f>
        <v/>
      </c>
      <c r="O4376" s="48" t="str">
        <f aca="false">IF($A4376="","",IF(NOT(ISNUMBER(F4376)),"Wert fehlt; ",IF(F4376&lt;=0,"Wert ist 0; ",""))&amp;IF(NOT(ISNUMBER(E4376)),"Bestand fehlt; ",IF(E4376&lt;0,"Bestand negativ; ",IF(E4376=0,"Nullbestand; ","")))&amp;IF(D4376="","Warengruppe fehlt; ","")&amp;IF(B4376="","Bezeichnung fehlt; ","")&amp;IF(COUNTIFS($A$2:$A$5001,$A4376,$C$2:$C$5001,C4376)&gt;1,"Artikel doppelt im selben Lager; ",""))</f>
        <v/>
      </c>
      <c r="P4376" s="47" t="n">
        <f aca="false">IF(OR($A4376="",D4376=""),0,IF(COUNTIF($D$2:D4376,D4376)=1,SUMIF($D$2:$D$5001,D4376,$H$2:$H$5001)+ROW()/10000000,0))</f>
        <v>0</v>
      </c>
      <c r="Q4376" s="47" t="n">
        <f aca="false">IF(OR($A4376="",C4376=""),0,IF(COUNTIF($C$2:C4376,C4376)=1,SUMIF($C$2:$C$5001,C4376,$H$2:$H$5001)+ROW()/10000000,0))</f>
        <v>0</v>
      </c>
    </row>
    <row r="4377" customFormat="false" ht="15" hidden="false" customHeight="false" outlineLevel="0" collapsed="false">
      <c r="A4377" s="43"/>
      <c r="B4377" s="44"/>
      <c r="C4377" s="44"/>
      <c r="D4377" s="44"/>
      <c r="E4377" s="44"/>
      <c r="F4377" s="44"/>
      <c r="G4377" s="44"/>
      <c r="H4377" s="46" t="str">
        <f aca="false">IF($A4377="","",IF(OR(NOT(ISNUMBER(E4377)),NOT(ISNUMBER(F4377))),"",MAX(0,E4377)*F4377))</f>
        <v/>
      </c>
      <c r="I4377" s="46" t="str">
        <f aca="false">IF($A4377="","",SUMIF($A$2:$A$5001,$A4377,$H$2:$H$5001))</f>
        <v/>
      </c>
      <c r="J4377" s="47" t="n">
        <f aca="false">IF($A4377="",0,IF(COUNTIF($A$2:A4377,$A4377)=1,1,0))</f>
        <v>0</v>
      </c>
      <c r="K4377" s="47" t="n">
        <f aca="false">IF(J4377=1,N(I4377)+ROW()/10000000,0)</f>
        <v>0</v>
      </c>
      <c r="L4377" s="47" t="str">
        <f aca="false">IF(AND(J4377=1,N(I4377)&gt;0),SUMIF($K$2:$K$5001,"&gt;="&amp;K4377,$I$2:$I$5001)/MAX(1,SUM($H$2:$H$5001)),"")</f>
        <v/>
      </c>
      <c r="M4377" s="47" t="str">
        <f aca="false">IF($A4377="","",INDEX($L$2:$L$5001,MATCH($A4377,$A$2:$A$5001,0)))</f>
        <v/>
      </c>
      <c r="N4377" s="48" t="str">
        <f aca="false">IF($A4377="","",IF(N(M4377)=0,"–",IF(M4377&lt;=Start!$D$20,"A",IF(M4377&lt;=Start!$D$21,"B","C"))))</f>
        <v/>
      </c>
      <c r="O4377" s="48" t="str">
        <f aca="false">IF($A4377="","",IF(NOT(ISNUMBER(F4377)),"Wert fehlt; ",IF(F4377&lt;=0,"Wert ist 0; ",""))&amp;IF(NOT(ISNUMBER(E4377)),"Bestand fehlt; ",IF(E4377&lt;0,"Bestand negativ; ",IF(E4377=0,"Nullbestand; ","")))&amp;IF(D4377="","Warengruppe fehlt; ","")&amp;IF(B4377="","Bezeichnung fehlt; ","")&amp;IF(COUNTIFS($A$2:$A$5001,$A4377,$C$2:$C$5001,C4377)&gt;1,"Artikel doppelt im selben Lager; ",""))</f>
        <v/>
      </c>
      <c r="P4377" s="47" t="n">
        <f aca="false">IF(OR($A4377="",D4377=""),0,IF(COUNTIF($D$2:D4377,D4377)=1,SUMIF($D$2:$D$5001,D4377,$H$2:$H$5001)+ROW()/10000000,0))</f>
        <v>0</v>
      </c>
      <c r="Q4377" s="47" t="n">
        <f aca="false">IF(OR($A4377="",C4377=""),0,IF(COUNTIF($C$2:C4377,C4377)=1,SUMIF($C$2:$C$5001,C4377,$H$2:$H$5001)+ROW()/10000000,0))</f>
        <v>0</v>
      </c>
    </row>
    <row r="4378" customFormat="false" ht="15" hidden="false" customHeight="false" outlineLevel="0" collapsed="false">
      <c r="A4378" s="43"/>
      <c r="B4378" s="44"/>
      <c r="C4378" s="44"/>
      <c r="D4378" s="44"/>
      <c r="E4378" s="44"/>
      <c r="F4378" s="44"/>
      <c r="G4378" s="44"/>
      <c r="H4378" s="46" t="str">
        <f aca="false">IF($A4378="","",IF(OR(NOT(ISNUMBER(E4378)),NOT(ISNUMBER(F4378))),"",MAX(0,E4378)*F4378))</f>
        <v/>
      </c>
      <c r="I4378" s="46" t="str">
        <f aca="false">IF($A4378="","",SUMIF($A$2:$A$5001,$A4378,$H$2:$H$5001))</f>
        <v/>
      </c>
      <c r="J4378" s="47" t="n">
        <f aca="false">IF($A4378="",0,IF(COUNTIF($A$2:A4378,$A4378)=1,1,0))</f>
        <v>0</v>
      </c>
      <c r="K4378" s="47" t="n">
        <f aca="false">IF(J4378=1,N(I4378)+ROW()/10000000,0)</f>
        <v>0</v>
      </c>
      <c r="L4378" s="47" t="str">
        <f aca="false">IF(AND(J4378=1,N(I4378)&gt;0),SUMIF($K$2:$K$5001,"&gt;="&amp;K4378,$I$2:$I$5001)/MAX(1,SUM($H$2:$H$5001)),"")</f>
        <v/>
      </c>
      <c r="M4378" s="47" t="str">
        <f aca="false">IF($A4378="","",INDEX($L$2:$L$5001,MATCH($A4378,$A$2:$A$5001,0)))</f>
        <v/>
      </c>
      <c r="N4378" s="48" t="str">
        <f aca="false">IF($A4378="","",IF(N(M4378)=0,"–",IF(M4378&lt;=Start!$D$20,"A",IF(M4378&lt;=Start!$D$21,"B","C"))))</f>
        <v/>
      </c>
      <c r="O4378" s="48" t="str">
        <f aca="false">IF($A4378="","",IF(NOT(ISNUMBER(F4378)),"Wert fehlt; ",IF(F4378&lt;=0,"Wert ist 0; ",""))&amp;IF(NOT(ISNUMBER(E4378)),"Bestand fehlt; ",IF(E4378&lt;0,"Bestand negativ; ",IF(E4378=0,"Nullbestand; ","")))&amp;IF(D4378="","Warengruppe fehlt; ","")&amp;IF(B4378="","Bezeichnung fehlt; ","")&amp;IF(COUNTIFS($A$2:$A$5001,$A4378,$C$2:$C$5001,C4378)&gt;1,"Artikel doppelt im selben Lager; ",""))</f>
        <v/>
      </c>
      <c r="P4378" s="47" t="n">
        <f aca="false">IF(OR($A4378="",D4378=""),0,IF(COUNTIF($D$2:D4378,D4378)=1,SUMIF($D$2:$D$5001,D4378,$H$2:$H$5001)+ROW()/10000000,0))</f>
        <v>0</v>
      </c>
      <c r="Q4378" s="47" t="n">
        <f aca="false">IF(OR($A4378="",C4378=""),0,IF(COUNTIF($C$2:C4378,C4378)=1,SUMIF($C$2:$C$5001,C4378,$H$2:$H$5001)+ROW()/10000000,0))</f>
        <v>0</v>
      </c>
    </row>
    <row r="4379" customFormat="false" ht="15" hidden="false" customHeight="false" outlineLevel="0" collapsed="false">
      <c r="A4379" s="43"/>
      <c r="B4379" s="44"/>
      <c r="C4379" s="44"/>
      <c r="D4379" s="44"/>
      <c r="E4379" s="44"/>
      <c r="F4379" s="44"/>
      <c r="G4379" s="44"/>
      <c r="H4379" s="46" t="str">
        <f aca="false">IF($A4379="","",IF(OR(NOT(ISNUMBER(E4379)),NOT(ISNUMBER(F4379))),"",MAX(0,E4379)*F4379))</f>
        <v/>
      </c>
      <c r="I4379" s="46" t="str">
        <f aca="false">IF($A4379="","",SUMIF($A$2:$A$5001,$A4379,$H$2:$H$5001))</f>
        <v/>
      </c>
      <c r="J4379" s="47" t="n">
        <f aca="false">IF($A4379="",0,IF(COUNTIF($A$2:A4379,$A4379)=1,1,0))</f>
        <v>0</v>
      </c>
      <c r="K4379" s="47" t="n">
        <f aca="false">IF(J4379=1,N(I4379)+ROW()/10000000,0)</f>
        <v>0</v>
      </c>
      <c r="L4379" s="47" t="str">
        <f aca="false">IF(AND(J4379=1,N(I4379)&gt;0),SUMIF($K$2:$K$5001,"&gt;="&amp;K4379,$I$2:$I$5001)/MAX(1,SUM($H$2:$H$5001)),"")</f>
        <v/>
      </c>
      <c r="M4379" s="47" t="str">
        <f aca="false">IF($A4379="","",INDEX($L$2:$L$5001,MATCH($A4379,$A$2:$A$5001,0)))</f>
        <v/>
      </c>
      <c r="N4379" s="48" t="str">
        <f aca="false">IF($A4379="","",IF(N(M4379)=0,"–",IF(M4379&lt;=Start!$D$20,"A",IF(M4379&lt;=Start!$D$21,"B","C"))))</f>
        <v/>
      </c>
      <c r="O4379" s="48" t="str">
        <f aca="false">IF($A4379="","",IF(NOT(ISNUMBER(F4379)),"Wert fehlt; ",IF(F4379&lt;=0,"Wert ist 0; ",""))&amp;IF(NOT(ISNUMBER(E4379)),"Bestand fehlt; ",IF(E4379&lt;0,"Bestand negativ; ",IF(E4379=0,"Nullbestand; ","")))&amp;IF(D4379="","Warengruppe fehlt; ","")&amp;IF(B4379="","Bezeichnung fehlt; ","")&amp;IF(COUNTIFS($A$2:$A$5001,$A4379,$C$2:$C$5001,C4379)&gt;1,"Artikel doppelt im selben Lager; ",""))</f>
        <v/>
      </c>
      <c r="P4379" s="47" t="n">
        <f aca="false">IF(OR($A4379="",D4379=""),0,IF(COUNTIF($D$2:D4379,D4379)=1,SUMIF($D$2:$D$5001,D4379,$H$2:$H$5001)+ROW()/10000000,0))</f>
        <v>0</v>
      </c>
      <c r="Q4379" s="47" t="n">
        <f aca="false">IF(OR($A4379="",C4379=""),0,IF(COUNTIF($C$2:C4379,C4379)=1,SUMIF($C$2:$C$5001,C4379,$H$2:$H$5001)+ROW()/10000000,0))</f>
        <v>0</v>
      </c>
    </row>
    <row r="4380" customFormat="false" ht="15" hidden="false" customHeight="false" outlineLevel="0" collapsed="false">
      <c r="A4380" s="43"/>
      <c r="B4380" s="44"/>
      <c r="C4380" s="44"/>
      <c r="D4380" s="44"/>
      <c r="E4380" s="44"/>
      <c r="F4380" s="44"/>
      <c r="G4380" s="44"/>
      <c r="H4380" s="46" t="str">
        <f aca="false">IF($A4380="","",IF(OR(NOT(ISNUMBER(E4380)),NOT(ISNUMBER(F4380))),"",MAX(0,E4380)*F4380))</f>
        <v/>
      </c>
      <c r="I4380" s="46" t="str">
        <f aca="false">IF($A4380="","",SUMIF($A$2:$A$5001,$A4380,$H$2:$H$5001))</f>
        <v/>
      </c>
      <c r="J4380" s="47" t="n">
        <f aca="false">IF($A4380="",0,IF(COUNTIF($A$2:A4380,$A4380)=1,1,0))</f>
        <v>0</v>
      </c>
      <c r="K4380" s="47" t="n">
        <f aca="false">IF(J4380=1,N(I4380)+ROW()/10000000,0)</f>
        <v>0</v>
      </c>
      <c r="L4380" s="47" t="str">
        <f aca="false">IF(AND(J4380=1,N(I4380)&gt;0),SUMIF($K$2:$K$5001,"&gt;="&amp;K4380,$I$2:$I$5001)/MAX(1,SUM($H$2:$H$5001)),"")</f>
        <v/>
      </c>
      <c r="M4380" s="47" t="str">
        <f aca="false">IF($A4380="","",INDEX($L$2:$L$5001,MATCH($A4380,$A$2:$A$5001,0)))</f>
        <v/>
      </c>
      <c r="N4380" s="48" t="str">
        <f aca="false">IF($A4380="","",IF(N(M4380)=0,"–",IF(M4380&lt;=Start!$D$20,"A",IF(M4380&lt;=Start!$D$21,"B","C"))))</f>
        <v/>
      </c>
      <c r="O4380" s="48" t="str">
        <f aca="false">IF($A4380="","",IF(NOT(ISNUMBER(F4380)),"Wert fehlt; ",IF(F4380&lt;=0,"Wert ist 0; ",""))&amp;IF(NOT(ISNUMBER(E4380)),"Bestand fehlt; ",IF(E4380&lt;0,"Bestand negativ; ",IF(E4380=0,"Nullbestand; ","")))&amp;IF(D4380="","Warengruppe fehlt; ","")&amp;IF(B4380="","Bezeichnung fehlt; ","")&amp;IF(COUNTIFS($A$2:$A$5001,$A4380,$C$2:$C$5001,C4380)&gt;1,"Artikel doppelt im selben Lager; ",""))</f>
        <v/>
      </c>
      <c r="P4380" s="47" t="n">
        <f aca="false">IF(OR($A4380="",D4380=""),0,IF(COUNTIF($D$2:D4380,D4380)=1,SUMIF($D$2:$D$5001,D4380,$H$2:$H$5001)+ROW()/10000000,0))</f>
        <v>0</v>
      </c>
      <c r="Q4380" s="47" t="n">
        <f aca="false">IF(OR($A4380="",C4380=""),0,IF(COUNTIF($C$2:C4380,C4380)=1,SUMIF($C$2:$C$5001,C4380,$H$2:$H$5001)+ROW()/10000000,0))</f>
        <v>0</v>
      </c>
    </row>
    <row r="4381" customFormat="false" ht="15" hidden="false" customHeight="false" outlineLevel="0" collapsed="false">
      <c r="A4381" s="43"/>
      <c r="B4381" s="44"/>
      <c r="C4381" s="44"/>
      <c r="D4381" s="44"/>
      <c r="E4381" s="44"/>
      <c r="F4381" s="44"/>
      <c r="G4381" s="44"/>
      <c r="H4381" s="46" t="str">
        <f aca="false">IF($A4381="","",IF(OR(NOT(ISNUMBER(E4381)),NOT(ISNUMBER(F4381))),"",MAX(0,E4381)*F4381))</f>
        <v/>
      </c>
      <c r="I4381" s="46" t="str">
        <f aca="false">IF($A4381="","",SUMIF($A$2:$A$5001,$A4381,$H$2:$H$5001))</f>
        <v/>
      </c>
      <c r="J4381" s="47" t="n">
        <f aca="false">IF($A4381="",0,IF(COUNTIF($A$2:A4381,$A4381)=1,1,0))</f>
        <v>0</v>
      </c>
      <c r="K4381" s="47" t="n">
        <f aca="false">IF(J4381=1,N(I4381)+ROW()/10000000,0)</f>
        <v>0</v>
      </c>
      <c r="L4381" s="47" t="str">
        <f aca="false">IF(AND(J4381=1,N(I4381)&gt;0),SUMIF($K$2:$K$5001,"&gt;="&amp;K4381,$I$2:$I$5001)/MAX(1,SUM($H$2:$H$5001)),"")</f>
        <v/>
      </c>
      <c r="M4381" s="47" t="str">
        <f aca="false">IF($A4381="","",INDEX($L$2:$L$5001,MATCH($A4381,$A$2:$A$5001,0)))</f>
        <v/>
      </c>
      <c r="N4381" s="48" t="str">
        <f aca="false">IF($A4381="","",IF(N(M4381)=0,"–",IF(M4381&lt;=Start!$D$20,"A",IF(M4381&lt;=Start!$D$21,"B","C"))))</f>
        <v/>
      </c>
      <c r="O4381" s="48" t="str">
        <f aca="false">IF($A4381="","",IF(NOT(ISNUMBER(F4381)),"Wert fehlt; ",IF(F4381&lt;=0,"Wert ist 0; ",""))&amp;IF(NOT(ISNUMBER(E4381)),"Bestand fehlt; ",IF(E4381&lt;0,"Bestand negativ; ",IF(E4381=0,"Nullbestand; ","")))&amp;IF(D4381="","Warengruppe fehlt; ","")&amp;IF(B4381="","Bezeichnung fehlt; ","")&amp;IF(COUNTIFS($A$2:$A$5001,$A4381,$C$2:$C$5001,C4381)&gt;1,"Artikel doppelt im selben Lager; ",""))</f>
        <v/>
      </c>
      <c r="P4381" s="47" t="n">
        <f aca="false">IF(OR($A4381="",D4381=""),0,IF(COUNTIF($D$2:D4381,D4381)=1,SUMIF($D$2:$D$5001,D4381,$H$2:$H$5001)+ROW()/10000000,0))</f>
        <v>0</v>
      </c>
      <c r="Q4381" s="47" t="n">
        <f aca="false">IF(OR($A4381="",C4381=""),0,IF(COUNTIF($C$2:C4381,C4381)=1,SUMIF($C$2:$C$5001,C4381,$H$2:$H$5001)+ROW()/10000000,0))</f>
        <v>0</v>
      </c>
    </row>
    <row r="4382" customFormat="false" ht="15" hidden="false" customHeight="false" outlineLevel="0" collapsed="false">
      <c r="A4382" s="43"/>
      <c r="B4382" s="44"/>
      <c r="C4382" s="44"/>
      <c r="D4382" s="44"/>
      <c r="E4382" s="44"/>
      <c r="F4382" s="44"/>
      <c r="G4382" s="44"/>
      <c r="H4382" s="46" t="str">
        <f aca="false">IF($A4382="","",IF(OR(NOT(ISNUMBER(E4382)),NOT(ISNUMBER(F4382))),"",MAX(0,E4382)*F4382))</f>
        <v/>
      </c>
      <c r="I4382" s="46" t="str">
        <f aca="false">IF($A4382="","",SUMIF($A$2:$A$5001,$A4382,$H$2:$H$5001))</f>
        <v/>
      </c>
      <c r="J4382" s="47" t="n">
        <f aca="false">IF($A4382="",0,IF(COUNTIF($A$2:A4382,$A4382)=1,1,0))</f>
        <v>0</v>
      </c>
      <c r="K4382" s="47" t="n">
        <f aca="false">IF(J4382=1,N(I4382)+ROW()/10000000,0)</f>
        <v>0</v>
      </c>
      <c r="L4382" s="47" t="str">
        <f aca="false">IF(AND(J4382=1,N(I4382)&gt;0),SUMIF($K$2:$K$5001,"&gt;="&amp;K4382,$I$2:$I$5001)/MAX(1,SUM($H$2:$H$5001)),"")</f>
        <v/>
      </c>
      <c r="M4382" s="47" t="str">
        <f aca="false">IF($A4382="","",INDEX($L$2:$L$5001,MATCH($A4382,$A$2:$A$5001,0)))</f>
        <v/>
      </c>
      <c r="N4382" s="48" t="str">
        <f aca="false">IF($A4382="","",IF(N(M4382)=0,"–",IF(M4382&lt;=Start!$D$20,"A",IF(M4382&lt;=Start!$D$21,"B","C"))))</f>
        <v/>
      </c>
      <c r="O4382" s="48" t="str">
        <f aca="false">IF($A4382="","",IF(NOT(ISNUMBER(F4382)),"Wert fehlt; ",IF(F4382&lt;=0,"Wert ist 0; ",""))&amp;IF(NOT(ISNUMBER(E4382)),"Bestand fehlt; ",IF(E4382&lt;0,"Bestand negativ; ",IF(E4382=0,"Nullbestand; ","")))&amp;IF(D4382="","Warengruppe fehlt; ","")&amp;IF(B4382="","Bezeichnung fehlt; ","")&amp;IF(COUNTIFS($A$2:$A$5001,$A4382,$C$2:$C$5001,C4382)&gt;1,"Artikel doppelt im selben Lager; ",""))</f>
        <v/>
      </c>
      <c r="P4382" s="47" t="n">
        <f aca="false">IF(OR($A4382="",D4382=""),0,IF(COUNTIF($D$2:D4382,D4382)=1,SUMIF($D$2:$D$5001,D4382,$H$2:$H$5001)+ROW()/10000000,0))</f>
        <v>0</v>
      </c>
      <c r="Q4382" s="47" t="n">
        <f aca="false">IF(OR($A4382="",C4382=""),0,IF(COUNTIF($C$2:C4382,C4382)=1,SUMIF($C$2:$C$5001,C4382,$H$2:$H$5001)+ROW()/10000000,0))</f>
        <v>0</v>
      </c>
    </row>
    <row r="4383" customFormat="false" ht="15" hidden="false" customHeight="false" outlineLevel="0" collapsed="false">
      <c r="A4383" s="43"/>
      <c r="B4383" s="44"/>
      <c r="C4383" s="44"/>
      <c r="D4383" s="44"/>
      <c r="E4383" s="44"/>
      <c r="F4383" s="44"/>
      <c r="G4383" s="44"/>
      <c r="H4383" s="46" t="str">
        <f aca="false">IF($A4383="","",IF(OR(NOT(ISNUMBER(E4383)),NOT(ISNUMBER(F4383))),"",MAX(0,E4383)*F4383))</f>
        <v/>
      </c>
      <c r="I4383" s="46" t="str">
        <f aca="false">IF($A4383="","",SUMIF($A$2:$A$5001,$A4383,$H$2:$H$5001))</f>
        <v/>
      </c>
      <c r="J4383" s="47" t="n">
        <f aca="false">IF($A4383="",0,IF(COUNTIF($A$2:A4383,$A4383)=1,1,0))</f>
        <v>0</v>
      </c>
      <c r="K4383" s="47" t="n">
        <f aca="false">IF(J4383=1,N(I4383)+ROW()/10000000,0)</f>
        <v>0</v>
      </c>
      <c r="L4383" s="47" t="str">
        <f aca="false">IF(AND(J4383=1,N(I4383)&gt;0),SUMIF($K$2:$K$5001,"&gt;="&amp;K4383,$I$2:$I$5001)/MAX(1,SUM($H$2:$H$5001)),"")</f>
        <v/>
      </c>
      <c r="M4383" s="47" t="str">
        <f aca="false">IF($A4383="","",INDEX($L$2:$L$5001,MATCH($A4383,$A$2:$A$5001,0)))</f>
        <v/>
      </c>
      <c r="N4383" s="48" t="str">
        <f aca="false">IF($A4383="","",IF(N(M4383)=0,"–",IF(M4383&lt;=Start!$D$20,"A",IF(M4383&lt;=Start!$D$21,"B","C"))))</f>
        <v/>
      </c>
      <c r="O4383" s="48" t="str">
        <f aca="false">IF($A4383="","",IF(NOT(ISNUMBER(F4383)),"Wert fehlt; ",IF(F4383&lt;=0,"Wert ist 0; ",""))&amp;IF(NOT(ISNUMBER(E4383)),"Bestand fehlt; ",IF(E4383&lt;0,"Bestand negativ; ",IF(E4383=0,"Nullbestand; ","")))&amp;IF(D4383="","Warengruppe fehlt; ","")&amp;IF(B4383="","Bezeichnung fehlt; ","")&amp;IF(COUNTIFS($A$2:$A$5001,$A4383,$C$2:$C$5001,C4383)&gt;1,"Artikel doppelt im selben Lager; ",""))</f>
        <v/>
      </c>
      <c r="P4383" s="47" t="n">
        <f aca="false">IF(OR($A4383="",D4383=""),0,IF(COUNTIF($D$2:D4383,D4383)=1,SUMIF($D$2:$D$5001,D4383,$H$2:$H$5001)+ROW()/10000000,0))</f>
        <v>0</v>
      </c>
      <c r="Q4383" s="47" t="n">
        <f aca="false">IF(OR($A4383="",C4383=""),0,IF(COUNTIF($C$2:C4383,C4383)=1,SUMIF($C$2:$C$5001,C4383,$H$2:$H$5001)+ROW()/10000000,0))</f>
        <v>0</v>
      </c>
    </row>
    <row r="4384" customFormat="false" ht="15" hidden="false" customHeight="false" outlineLevel="0" collapsed="false">
      <c r="A4384" s="43"/>
      <c r="B4384" s="44"/>
      <c r="C4384" s="44"/>
      <c r="D4384" s="44"/>
      <c r="E4384" s="44"/>
      <c r="F4384" s="44"/>
      <c r="G4384" s="44"/>
      <c r="H4384" s="46" t="str">
        <f aca="false">IF($A4384="","",IF(OR(NOT(ISNUMBER(E4384)),NOT(ISNUMBER(F4384))),"",MAX(0,E4384)*F4384))</f>
        <v/>
      </c>
      <c r="I4384" s="46" t="str">
        <f aca="false">IF($A4384="","",SUMIF($A$2:$A$5001,$A4384,$H$2:$H$5001))</f>
        <v/>
      </c>
      <c r="J4384" s="47" t="n">
        <f aca="false">IF($A4384="",0,IF(COUNTIF($A$2:A4384,$A4384)=1,1,0))</f>
        <v>0</v>
      </c>
      <c r="K4384" s="47" t="n">
        <f aca="false">IF(J4384=1,N(I4384)+ROW()/10000000,0)</f>
        <v>0</v>
      </c>
      <c r="L4384" s="47" t="str">
        <f aca="false">IF(AND(J4384=1,N(I4384)&gt;0),SUMIF($K$2:$K$5001,"&gt;="&amp;K4384,$I$2:$I$5001)/MAX(1,SUM($H$2:$H$5001)),"")</f>
        <v/>
      </c>
      <c r="M4384" s="47" t="str">
        <f aca="false">IF($A4384="","",INDEX($L$2:$L$5001,MATCH($A4384,$A$2:$A$5001,0)))</f>
        <v/>
      </c>
      <c r="N4384" s="48" t="str">
        <f aca="false">IF($A4384="","",IF(N(M4384)=0,"–",IF(M4384&lt;=Start!$D$20,"A",IF(M4384&lt;=Start!$D$21,"B","C"))))</f>
        <v/>
      </c>
      <c r="O4384" s="48" t="str">
        <f aca="false">IF($A4384="","",IF(NOT(ISNUMBER(F4384)),"Wert fehlt; ",IF(F4384&lt;=0,"Wert ist 0; ",""))&amp;IF(NOT(ISNUMBER(E4384)),"Bestand fehlt; ",IF(E4384&lt;0,"Bestand negativ; ",IF(E4384=0,"Nullbestand; ","")))&amp;IF(D4384="","Warengruppe fehlt; ","")&amp;IF(B4384="","Bezeichnung fehlt; ","")&amp;IF(COUNTIFS($A$2:$A$5001,$A4384,$C$2:$C$5001,C4384)&gt;1,"Artikel doppelt im selben Lager; ",""))</f>
        <v/>
      </c>
      <c r="P4384" s="47" t="n">
        <f aca="false">IF(OR($A4384="",D4384=""),0,IF(COUNTIF($D$2:D4384,D4384)=1,SUMIF($D$2:$D$5001,D4384,$H$2:$H$5001)+ROW()/10000000,0))</f>
        <v>0</v>
      </c>
      <c r="Q4384" s="47" t="n">
        <f aca="false">IF(OR($A4384="",C4384=""),0,IF(COUNTIF($C$2:C4384,C4384)=1,SUMIF($C$2:$C$5001,C4384,$H$2:$H$5001)+ROW()/10000000,0))</f>
        <v>0</v>
      </c>
    </row>
    <row r="4385" customFormat="false" ht="15" hidden="false" customHeight="false" outlineLevel="0" collapsed="false">
      <c r="A4385" s="43"/>
      <c r="B4385" s="44"/>
      <c r="C4385" s="44"/>
      <c r="D4385" s="44"/>
      <c r="E4385" s="44"/>
      <c r="F4385" s="44"/>
      <c r="G4385" s="44"/>
      <c r="H4385" s="46" t="str">
        <f aca="false">IF($A4385="","",IF(OR(NOT(ISNUMBER(E4385)),NOT(ISNUMBER(F4385))),"",MAX(0,E4385)*F4385))</f>
        <v/>
      </c>
      <c r="I4385" s="46" t="str">
        <f aca="false">IF($A4385="","",SUMIF($A$2:$A$5001,$A4385,$H$2:$H$5001))</f>
        <v/>
      </c>
      <c r="J4385" s="47" t="n">
        <f aca="false">IF($A4385="",0,IF(COUNTIF($A$2:A4385,$A4385)=1,1,0))</f>
        <v>0</v>
      </c>
      <c r="K4385" s="47" t="n">
        <f aca="false">IF(J4385=1,N(I4385)+ROW()/10000000,0)</f>
        <v>0</v>
      </c>
      <c r="L4385" s="47" t="str">
        <f aca="false">IF(AND(J4385=1,N(I4385)&gt;0),SUMIF($K$2:$K$5001,"&gt;="&amp;K4385,$I$2:$I$5001)/MAX(1,SUM($H$2:$H$5001)),"")</f>
        <v/>
      </c>
      <c r="M4385" s="47" t="str">
        <f aca="false">IF($A4385="","",INDEX($L$2:$L$5001,MATCH($A4385,$A$2:$A$5001,0)))</f>
        <v/>
      </c>
      <c r="N4385" s="48" t="str">
        <f aca="false">IF($A4385="","",IF(N(M4385)=0,"–",IF(M4385&lt;=Start!$D$20,"A",IF(M4385&lt;=Start!$D$21,"B","C"))))</f>
        <v/>
      </c>
      <c r="O4385" s="48" t="str">
        <f aca="false">IF($A4385="","",IF(NOT(ISNUMBER(F4385)),"Wert fehlt; ",IF(F4385&lt;=0,"Wert ist 0; ",""))&amp;IF(NOT(ISNUMBER(E4385)),"Bestand fehlt; ",IF(E4385&lt;0,"Bestand negativ; ",IF(E4385=0,"Nullbestand; ","")))&amp;IF(D4385="","Warengruppe fehlt; ","")&amp;IF(B4385="","Bezeichnung fehlt; ","")&amp;IF(COUNTIFS($A$2:$A$5001,$A4385,$C$2:$C$5001,C4385)&gt;1,"Artikel doppelt im selben Lager; ",""))</f>
        <v/>
      </c>
      <c r="P4385" s="47" t="n">
        <f aca="false">IF(OR($A4385="",D4385=""),0,IF(COUNTIF($D$2:D4385,D4385)=1,SUMIF($D$2:$D$5001,D4385,$H$2:$H$5001)+ROW()/10000000,0))</f>
        <v>0</v>
      </c>
      <c r="Q4385" s="47" t="n">
        <f aca="false">IF(OR($A4385="",C4385=""),0,IF(COUNTIF($C$2:C4385,C4385)=1,SUMIF($C$2:$C$5001,C4385,$H$2:$H$5001)+ROW()/10000000,0))</f>
        <v>0</v>
      </c>
    </row>
    <row r="4386" customFormat="false" ht="15" hidden="false" customHeight="false" outlineLevel="0" collapsed="false">
      <c r="A4386" s="43"/>
      <c r="B4386" s="44"/>
      <c r="C4386" s="44"/>
      <c r="D4386" s="44"/>
      <c r="E4386" s="44"/>
      <c r="F4386" s="44"/>
      <c r="G4386" s="44"/>
      <c r="H4386" s="46" t="str">
        <f aca="false">IF($A4386="","",IF(OR(NOT(ISNUMBER(E4386)),NOT(ISNUMBER(F4386))),"",MAX(0,E4386)*F4386))</f>
        <v/>
      </c>
      <c r="I4386" s="46" t="str">
        <f aca="false">IF($A4386="","",SUMIF($A$2:$A$5001,$A4386,$H$2:$H$5001))</f>
        <v/>
      </c>
      <c r="J4386" s="47" t="n">
        <f aca="false">IF($A4386="",0,IF(COUNTIF($A$2:A4386,$A4386)=1,1,0))</f>
        <v>0</v>
      </c>
      <c r="K4386" s="47" t="n">
        <f aca="false">IF(J4386=1,N(I4386)+ROW()/10000000,0)</f>
        <v>0</v>
      </c>
      <c r="L4386" s="47" t="str">
        <f aca="false">IF(AND(J4386=1,N(I4386)&gt;0),SUMIF($K$2:$K$5001,"&gt;="&amp;K4386,$I$2:$I$5001)/MAX(1,SUM($H$2:$H$5001)),"")</f>
        <v/>
      </c>
      <c r="M4386" s="47" t="str">
        <f aca="false">IF($A4386="","",INDEX($L$2:$L$5001,MATCH($A4386,$A$2:$A$5001,0)))</f>
        <v/>
      </c>
      <c r="N4386" s="48" t="str">
        <f aca="false">IF($A4386="","",IF(N(M4386)=0,"–",IF(M4386&lt;=Start!$D$20,"A",IF(M4386&lt;=Start!$D$21,"B","C"))))</f>
        <v/>
      </c>
      <c r="O4386" s="48" t="str">
        <f aca="false">IF($A4386="","",IF(NOT(ISNUMBER(F4386)),"Wert fehlt; ",IF(F4386&lt;=0,"Wert ist 0; ",""))&amp;IF(NOT(ISNUMBER(E4386)),"Bestand fehlt; ",IF(E4386&lt;0,"Bestand negativ; ",IF(E4386=0,"Nullbestand; ","")))&amp;IF(D4386="","Warengruppe fehlt; ","")&amp;IF(B4386="","Bezeichnung fehlt; ","")&amp;IF(COUNTIFS($A$2:$A$5001,$A4386,$C$2:$C$5001,C4386)&gt;1,"Artikel doppelt im selben Lager; ",""))</f>
        <v/>
      </c>
      <c r="P4386" s="47" t="n">
        <f aca="false">IF(OR($A4386="",D4386=""),0,IF(COUNTIF($D$2:D4386,D4386)=1,SUMIF($D$2:$D$5001,D4386,$H$2:$H$5001)+ROW()/10000000,0))</f>
        <v>0</v>
      </c>
      <c r="Q4386" s="47" t="n">
        <f aca="false">IF(OR($A4386="",C4386=""),0,IF(COUNTIF($C$2:C4386,C4386)=1,SUMIF($C$2:$C$5001,C4386,$H$2:$H$5001)+ROW()/10000000,0))</f>
        <v>0</v>
      </c>
    </row>
    <row r="4387" customFormat="false" ht="15" hidden="false" customHeight="false" outlineLevel="0" collapsed="false">
      <c r="A4387" s="43"/>
      <c r="B4387" s="44"/>
      <c r="C4387" s="44"/>
      <c r="D4387" s="44"/>
      <c r="E4387" s="44"/>
      <c r="F4387" s="44"/>
      <c r="G4387" s="44"/>
      <c r="H4387" s="46" t="str">
        <f aca="false">IF($A4387="","",IF(OR(NOT(ISNUMBER(E4387)),NOT(ISNUMBER(F4387))),"",MAX(0,E4387)*F4387))</f>
        <v/>
      </c>
      <c r="I4387" s="46" t="str">
        <f aca="false">IF($A4387="","",SUMIF($A$2:$A$5001,$A4387,$H$2:$H$5001))</f>
        <v/>
      </c>
      <c r="J4387" s="47" t="n">
        <f aca="false">IF($A4387="",0,IF(COUNTIF($A$2:A4387,$A4387)=1,1,0))</f>
        <v>0</v>
      </c>
      <c r="K4387" s="47" t="n">
        <f aca="false">IF(J4387=1,N(I4387)+ROW()/10000000,0)</f>
        <v>0</v>
      </c>
      <c r="L4387" s="47" t="str">
        <f aca="false">IF(AND(J4387=1,N(I4387)&gt;0),SUMIF($K$2:$K$5001,"&gt;="&amp;K4387,$I$2:$I$5001)/MAX(1,SUM($H$2:$H$5001)),"")</f>
        <v/>
      </c>
      <c r="M4387" s="47" t="str">
        <f aca="false">IF($A4387="","",INDEX($L$2:$L$5001,MATCH($A4387,$A$2:$A$5001,0)))</f>
        <v/>
      </c>
      <c r="N4387" s="48" t="str">
        <f aca="false">IF($A4387="","",IF(N(M4387)=0,"–",IF(M4387&lt;=Start!$D$20,"A",IF(M4387&lt;=Start!$D$21,"B","C"))))</f>
        <v/>
      </c>
      <c r="O4387" s="48" t="str">
        <f aca="false">IF($A4387="","",IF(NOT(ISNUMBER(F4387)),"Wert fehlt; ",IF(F4387&lt;=0,"Wert ist 0; ",""))&amp;IF(NOT(ISNUMBER(E4387)),"Bestand fehlt; ",IF(E4387&lt;0,"Bestand negativ; ",IF(E4387=0,"Nullbestand; ","")))&amp;IF(D4387="","Warengruppe fehlt; ","")&amp;IF(B4387="","Bezeichnung fehlt; ","")&amp;IF(COUNTIFS($A$2:$A$5001,$A4387,$C$2:$C$5001,C4387)&gt;1,"Artikel doppelt im selben Lager; ",""))</f>
        <v/>
      </c>
      <c r="P4387" s="47" t="n">
        <f aca="false">IF(OR($A4387="",D4387=""),0,IF(COUNTIF($D$2:D4387,D4387)=1,SUMIF($D$2:$D$5001,D4387,$H$2:$H$5001)+ROW()/10000000,0))</f>
        <v>0</v>
      </c>
      <c r="Q4387" s="47" t="n">
        <f aca="false">IF(OR($A4387="",C4387=""),0,IF(COUNTIF($C$2:C4387,C4387)=1,SUMIF($C$2:$C$5001,C4387,$H$2:$H$5001)+ROW()/10000000,0))</f>
        <v>0</v>
      </c>
    </row>
    <row r="4388" customFormat="false" ht="15" hidden="false" customHeight="false" outlineLevel="0" collapsed="false">
      <c r="A4388" s="43"/>
      <c r="B4388" s="44"/>
      <c r="C4388" s="44"/>
      <c r="D4388" s="44"/>
      <c r="E4388" s="44"/>
      <c r="F4388" s="44"/>
      <c r="G4388" s="44"/>
      <c r="H4388" s="46" t="str">
        <f aca="false">IF($A4388="","",IF(OR(NOT(ISNUMBER(E4388)),NOT(ISNUMBER(F4388))),"",MAX(0,E4388)*F4388))</f>
        <v/>
      </c>
      <c r="I4388" s="46" t="str">
        <f aca="false">IF($A4388="","",SUMIF($A$2:$A$5001,$A4388,$H$2:$H$5001))</f>
        <v/>
      </c>
      <c r="J4388" s="47" t="n">
        <f aca="false">IF($A4388="",0,IF(COUNTIF($A$2:A4388,$A4388)=1,1,0))</f>
        <v>0</v>
      </c>
      <c r="K4388" s="47" t="n">
        <f aca="false">IF(J4388=1,N(I4388)+ROW()/10000000,0)</f>
        <v>0</v>
      </c>
      <c r="L4388" s="47" t="str">
        <f aca="false">IF(AND(J4388=1,N(I4388)&gt;0),SUMIF($K$2:$K$5001,"&gt;="&amp;K4388,$I$2:$I$5001)/MAX(1,SUM($H$2:$H$5001)),"")</f>
        <v/>
      </c>
      <c r="M4388" s="47" t="str">
        <f aca="false">IF($A4388="","",INDEX($L$2:$L$5001,MATCH($A4388,$A$2:$A$5001,0)))</f>
        <v/>
      </c>
      <c r="N4388" s="48" t="str">
        <f aca="false">IF($A4388="","",IF(N(M4388)=0,"–",IF(M4388&lt;=Start!$D$20,"A",IF(M4388&lt;=Start!$D$21,"B","C"))))</f>
        <v/>
      </c>
      <c r="O4388" s="48" t="str">
        <f aca="false">IF($A4388="","",IF(NOT(ISNUMBER(F4388)),"Wert fehlt; ",IF(F4388&lt;=0,"Wert ist 0; ",""))&amp;IF(NOT(ISNUMBER(E4388)),"Bestand fehlt; ",IF(E4388&lt;0,"Bestand negativ; ",IF(E4388=0,"Nullbestand; ","")))&amp;IF(D4388="","Warengruppe fehlt; ","")&amp;IF(B4388="","Bezeichnung fehlt; ","")&amp;IF(COUNTIFS($A$2:$A$5001,$A4388,$C$2:$C$5001,C4388)&gt;1,"Artikel doppelt im selben Lager; ",""))</f>
        <v/>
      </c>
      <c r="P4388" s="47" t="n">
        <f aca="false">IF(OR($A4388="",D4388=""),0,IF(COUNTIF($D$2:D4388,D4388)=1,SUMIF($D$2:$D$5001,D4388,$H$2:$H$5001)+ROW()/10000000,0))</f>
        <v>0</v>
      </c>
      <c r="Q4388" s="47" t="n">
        <f aca="false">IF(OR($A4388="",C4388=""),0,IF(COUNTIF($C$2:C4388,C4388)=1,SUMIF($C$2:$C$5001,C4388,$H$2:$H$5001)+ROW()/10000000,0))</f>
        <v>0</v>
      </c>
    </row>
    <row r="4389" customFormat="false" ht="15" hidden="false" customHeight="false" outlineLevel="0" collapsed="false">
      <c r="A4389" s="43"/>
      <c r="B4389" s="44"/>
      <c r="C4389" s="44"/>
      <c r="D4389" s="44"/>
      <c r="E4389" s="44"/>
      <c r="F4389" s="44"/>
      <c r="G4389" s="44"/>
      <c r="H4389" s="46" t="str">
        <f aca="false">IF($A4389="","",IF(OR(NOT(ISNUMBER(E4389)),NOT(ISNUMBER(F4389))),"",MAX(0,E4389)*F4389))</f>
        <v/>
      </c>
      <c r="I4389" s="46" t="str">
        <f aca="false">IF($A4389="","",SUMIF($A$2:$A$5001,$A4389,$H$2:$H$5001))</f>
        <v/>
      </c>
      <c r="J4389" s="47" t="n">
        <f aca="false">IF($A4389="",0,IF(COUNTIF($A$2:A4389,$A4389)=1,1,0))</f>
        <v>0</v>
      </c>
      <c r="K4389" s="47" t="n">
        <f aca="false">IF(J4389=1,N(I4389)+ROW()/10000000,0)</f>
        <v>0</v>
      </c>
      <c r="L4389" s="47" t="str">
        <f aca="false">IF(AND(J4389=1,N(I4389)&gt;0),SUMIF($K$2:$K$5001,"&gt;="&amp;K4389,$I$2:$I$5001)/MAX(1,SUM($H$2:$H$5001)),"")</f>
        <v/>
      </c>
      <c r="M4389" s="47" t="str">
        <f aca="false">IF($A4389="","",INDEX($L$2:$L$5001,MATCH($A4389,$A$2:$A$5001,0)))</f>
        <v/>
      </c>
      <c r="N4389" s="48" t="str">
        <f aca="false">IF($A4389="","",IF(N(M4389)=0,"–",IF(M4389&lt;=Start!$D$20,"A",IF(M4389&lt;=Start!$D$21,"B","C"))))</f>
        <v/>
      </c>
      <c r="O4389" s="48" t="str">
        <f aca="false">IF($A4389="","",IF(NOT(ISNUMBER(F4389)),"Wert fehlt; ",IF(F4389&lt;=0,"Wert ist 0; ",""))&amp;IF(NOT(ISNUMBER(E4389)),"Bestand fehlt; ",IF(E4389&lt;0,"Bestand negativ; ",IF(E4389=0,"Nullbestand; ","")))&amp;IF(D4389="","Warengruppe fehlt; ","")&amp;IF(B4389="","Bezeichnung fehlt; ","")&amp;IF(COUNTIFS($A$2:$A$5001,$A4389,$C$2:$C$5001,C4389)&gt;1,"Artikel doppelt im selben Lager; ",""))</f>
        <v/>
      </c>
      <c r="P4389" s="47" t="n">
        <f aca="false">IF(OR($A4389="",D4389=""),0,IF(COUNTIF($D$2:D4389,D4389)=1,SUMIF($D$2:$D$5001,D4389,$H$2:$H$5001)+ROW()/10000000,0))</f>
        <v>0</v>
      </c>
      <c r="Q4389" s="47" t="n">
        <f aca="false">IF(OR($A4389="",C4389=""),0,IF(COUNTIF($C$2:C4389,C4389)=1,SUMIF($C$2:$C$5001,C4389,$H$2:$H$5001)+ROW()/10000000,0))</f>
        <v>0</v>
      </c>
    </row>
    <row r="4390" customFormat="false" ht="15" hidden="false" customHeight="false" outlineLevel="0" collapsed="false">
      <c r="A4390" s="43"/>
      <c r="B4390" s="44"/>
      <c r="C4390" s="44"/>
      <c r="D4390" s="44"/>
      <c r="E4390" s="44"/>
      <c r="F4390" s="44"/>
      <c r="G4390" s="44"/>
      <c r="H4390" s="46" t="str">
        <f aca="false">IF($A4390="","",IF(OR(NOT(ISNUMBER(E4390)),NOT(ISNUMBER(F4390))),"",MAX(0,E4390)*F4390))</f>
        <v/>
      </c>
      <c r="I4390" s="46" t="str">
        <f aca="false">IF($A4390="","",SUMIF($A$2:$A$5001,$A4390,$H$2:$H$5001))</f>
        <v/>
      </c>
      <c r="J4390" s="47" t="n">
        <f aca="false">IF($A4390="",0,IF(COUNTIF($A$2:A4390,$A4390)=1,1,0))</f>
        <v>0</v>
      </c>
      <c r="K4390" s="47" t="n">
        <f aca="false">IF(J4390=1,N(I4390)+ROW()/10000000,0)</f>
        <v>0</v>
      </c>
      <c r="L4390" s="47" t="str">
        <f aca="false">IF(AND(J4390=1,N(I4390)&gt;0),SUMIF($K$2:$K$5001,"&gt;="&amp;K4390,$I$2:$I$5001)/MAX(1,SUM($H$2:$H$5001)),"")</f>
        <v/>
      </c>
      <c r="M4390" s="47" t="str">
        <f aca="false">IF($A4390="","",INDEX($L$2:$L$5001,MATCH($A4390,$A$2:$A$5001,0)))</f>
        <v/>
      </c>
      <c r="N4390" s="48" t="str">
        <f aca="false">IF($A4390="","",IF(N(M4390)=0,"–",IF(M4390&lt;=Start!$D$20,"A",IF(M4390&lt;=Start!$D$21,"B","C"))))</f>
        <v/>
      </c>
      <c r="O4390" s="48" t="str">
        <f aca="false">IF($A4390="","",IF(NOT(ISNUMBER(F4390)),"Wert fehlt; ",IF(F4390&lt;=0,"Wert ist 0; ",""))&amp;IF(NOT(ISNUMBER(E4390)),"Bestand fehlt; ",IF(E4390&lt;0,"Bestand negativ; ",IF(E4390=0,"Nullbestand; ","")))&amp;IF(D4390="","Warengruppe fehlt; ","")&amp;IF(B4390="","Bezeichnung fehlt; ","")&amp;IF(COUNTIFS($A$2:$A$5001,$A4390,$C$2:$C$5001,C4390)&gt;1,"Artikel doppelt im selben Lager; ",""))</f>
        <v/>
      </c>
      <c r="P4390" s="47" t="n">
        <f aca="false">IF(OR($A4390="",D4390=""),0,IF(COUNTIF($D$2:D4390,D4390)=1,SUMIF($D$2:$D$5001,D4390,$H$2:$H$5001)+ROW()/10000000,0))</f>
        <v>0</v>
      </c>
      <c r="Q4390" s="47" t="n">
        <f aca="false">IF(OR($A4390="",C4390=""),0,IF(COUNTIF($C$2:C4390,C4390)=1,SUMIF($C$2:$C$5001,C4390,$H$2:$H$5001)+ROW()/10000000,0))</f>
        <v>0</v>
      </c>
    </row>
    <row r="4391" customFormat="false" ht="15" hidden="false" customHeight="false" outlineLevel="0" collapsed="false">
      <c r="A4391" s="43"/>
      <c r="B4391" s="44"/>
      <c r="C4391" s="44"/>
      <c r="D4391" s="44"/>
      <c r="E4391" s="44"/>
      <c r="F4391" s="44"/>
      <c r="G4391" s="44"/>
      <c r="H4391" s="46" t="str">
        <f aca="false">IF($A4391="","",IF(OR(NOT(ISNUMBER(E4391)),NOT(ISNUMBER(F4391))),"",MAX(0,E4391)*F4391))</f>
        <v/>
      </c>
      <c r="I4391" s="46" t="str">
        <f aca="false">IF($A4391="","",SUMIF($A$2:$A$5001,$A4391,$H$2:$H$5001))</f>
        <v/>
      </c>
      <c r="J4391" s="47" t="n">
        <f aca="false">IF($A4391="",0,IF(COUNTIF($A$2:A4391,$A4391)=1,1,0))</f>
        <v>0</v>
      </c>
      <c r="K4391" s="47" t="n">
        <f aca="false">IF(J4391=1,N(I4391)+ROW()/10000000,0)</f>
        <v>0</v>
      </c>
      <c r="L4391" s="47" t="str">
        <f aca="false">IF(AND(J4391=1,N(I4391)&gt;0),SUMIF($K$2:$K$5001,"&gt;="&amp;K4391,$I$2:$I$5001)/MAX(1,SUM($H$2:$H$5001)),"")</f>
        <v/>
      </c>
      <c r="M4391" s="47" t="str">
        <f aca="false">IF($A4391="","",INDEX($L$2:$L$5001,MATCH($A4391,$A$2:$A$5001,0)))</f>
        <v/>
      </c>
      <c r="N4391" s="48" t="str">
        <f aca="false">IF($A4391="","",IF(N(M4391)=0,"–",IF(M4391&lt;=Start!$D$20,"A",IF(M4391&lt;=Start!$D$21,"B","C"))))</f>
        <v/>
      </c>
      <c r="O4391" s="48" t="str">
        <f aca="false">IF($A4391="","",IF(NOT(ISNUMBER(F4391)),"Wert fehlt; ",IF(F4391&lt;=0,"Wert ist 0; ",""))&amp;IF(NOT(ISNUMBER(E4391)),"Bestand fehlt; ",IF(E4391&lt;0,"Bestand negativ; ",IF(E4391=0,"Nullbestand; ","")))&amp;IF(D4391="","Warengruppe fehlt; ","")&amp;IF(B4391="","Bezeichnung fehlt; ","")&amp;IF(COUNTIFS($A$2:$A$5001,$A4391,$C$2:$C$5001,C4391)&gt;1,"Artikel doppelt im selben Lager; ",""))</f>
        <v/>
      </c>
      <c r="P4391" s="47" t="n">
        <f aca="false">IF(OR($A4391="",D4391=""),0,IF(COUNTIF($D$2:D4391,D4391)=1,SUMIF($D$2:$D$5001,D4391,$H$2:$H$5001)+ROW()/10000000,0))</f>
        <v>0</v>
      </c>
      <c r="Q4391" s="47" t="n">
        <f aca="false">IF(OR($A4391="",C4391=""),0,IF(COUNTIF($C$2:C4391,C4391)=1,SUMIF($C$2:$C$5001,C4391,$H$2:$H$5001)+ROW()/10000000,0))</f>
        <v>0</v>
      </c>
    </row>
    <row r="4392" customFormat="false" ht="15" hidden="false" customHeight="false" outlineLevel="0" collapsed="false">
      <c r="A4392" s="43"/>
      <c r="B4392" s="44"/>
      <c r="C4392" s="44"/>
      <c r="D4392" s="44"/>
      <c r="E4392" s="44"/>
      <c r="F4392" s="44"/>
      <c r="G4392" s="44"/>
      <c r="H4392" s="46" t="str">
        <f aca="false">IF($A4392="","",IF(OR(NOT(ISNUMBER(E4392)),NOT(ISNUMBER(F4392))),"",MAX(0,E4392)*F4392))</f>
        <v/>
      </c>
      <c r="I4392" s="46" t="str">
        <f aca="false">IF($A4392="","",SUMIF($A$2:$A$5001,$A4392,$H$2:$H$5001))</f>
        <v/>
      </c>
      <c r="J4392" s="47" t="n">
        <f aca="false">IF($A4392="",0,IF(COUNTIF($A$2:A4392,$A4392)=1,1,0))</f>
        <v>0</v>
      </c>
      <c r="K4392" s="47" t="n">
        <f aca="false">IF(J4392=1,N(I4392)+ROW()/10000000,0)</f>
        <v>0</v>
      </c>
      <c r="L4392" s="47" t="str">
        <f aca="false">IF(AND(J4392=1,N(I4392)&gt;0),SUMIF($K$2:$K$5001,"&gt;="&amp;K4392,$I$2:$I$5001)/MAX(1,SUM($H$2:$H$5001)),"")</f>
        <v/>
      </c>
      <c r="M4392" s="47" t="str">
        <f aca="false">IF($A4392="","",INDEX($L$2:$L$5001,MATCH($A4392,$A$2:$A$5001,0)))</f>
        <v/>
      </c>
      <c r="N4392" s="48" t="str">
        <f aca="false">IF($A4392="","",IF(N(M4392)=0,"–",IF(M4392&lt;=Start!$D$20,"A",IF(M4392&lt;=Start!$D$21,"B","C"))))</f>
        <v/>
      </c>
      <c r="O4392" s="48" t="str">
        <f aca="false">IF($A4392="","",IF(NOT(ISNUMBER(F4392)),"Wert fehlt; ",IF(F4392&lt;=0,"Wert ist 0; ",""))&amp;IF(NOT(ISNUMBER(E4392)),"Bestand fehlt; ",IF(E4392&lt;0,"Bestand negativ; ",IF(E4392=0,"Nullbestand; ","")))&amp;IF(D4392="","Warengruppe fehlt; ","")&amp;IF(B4392="","Bezeichnung fehlt; ","")&amp;IF(COUNTIFS($A$2:$A$5001,$A4392,$C$2:$C$5001,C4392)&gt;1,"Artikel doppelt im selben Lager; ",""))</f>
        <v/>
      </c>
      <c r="P4392" s="47" t="n">
        <f aca="false">IF(OR($A4392="",D4392=""),0,IF(COUNTIF($D$2:D4392,D4392)=1,SUMIF($D$2:$D$5001,D4392,$H$2:$H$5001)+ROW()/10000000,0))</f>
        <v>0</v>
      </c>
      <c r="Q4392" s="47" t="n">
        <f aca="false">IF(OR($A4392="",C4392=""),0,IF(COUNTIF($C$2:C4392,C4392)=1,SUMIF($C$2:$C$5001,C4392,$H$2:$H$5001)+ROW()/10000000,0))</f>
        <v>0</v>
      </c>
    </row>
    <row r="4393" customFormat="false" ht="15" hidden="false" customHeight="false" outlineLevel="0" collapsed="false">
      <c r="A4393" s="43"/>
      <c r="B4393" s="44"/>
      <c r="C4393" s="44"/>
      <c r="D4393" s="44"/>
      <c r="E4393" s="44"/>
      <c r="F4393" s="44"/>
      <c r="G4393" s="44"/>
      <c r="H4393" s="46" t="str">
        <f aca="false">IF($A4393="","",IF(OR(NOT(ISNUMBER(E4393)),NOT(ISNUMBER(F4393))),"",MAX(0,E4393)*F4393))</f>
        <v/>
      </c>
      <c r="I4393" s="46" t="str">
        <f aca="false">IF($A4393="","",SUMIF($A$2:$A$5001,$A4393,$H$2:$H$5001))</f>
        <v/>
      </c>
      <c r="J4393" s="47" t="n">
        <f aca="false">IF($A4393="",0,IF(COUNTIF($A$2:A4393,$A4393)=1,1,0))</f>
        <v>0</v>
      </c>
      <c r="K4393" s="47" t="n">
        <f aca="false">IF(J4393=1,N(I4393)+ROW()/10000000,0)</f>
        <v>0</v>
      </c>
      <c r="L4393" s="47" t="str">
        <f aca="false">IF(AND(J4393=1,N(I4393)&gt;0),SUMIF($K$2:$K$5001,"&gt;="&amp;K4393,$I$2:$I$5001)/MAX(1,SUM($H$2:$H$5001)),"")</f>
        <v/>
      </c>
      <c r="M4393" s="47" t="str">
        <f aca="false">IF($A4393="","",INDEX($L$2:$L$5001,MATCH($A4393,$A$2:$A$5001,0)))</f>
        <v/>
      </c>
      <c r="N4393" s="48" t="str">
        <f aca="false">IF($A4393="","",IF(N(M4393)=0,"–",IF(M4393&lt;=Start!$D$20,"A",IF(M4393&lt;=Start!$D$21,"B","C"))))</f>
        <v/>
      </c>
      <c r="O4393" s="48" t="str">
        <f aca="false">IF($A4393="","",IF(NOT(ISNUMBER(F4393)),"Wert fehlt; ",IF(F4393&lt;=0,"Wert ist 0; ",""))&amp;IF(NOT(ISNUMBER(E4393)),"Bestand fehlt; ",IF(E4393&lt;0,"Bestand negativ; ",IF(E4393=0,"Nullbestand; ","")))&amp;IF(D4393="","Warengruppe fehlt; ","")&amp;IF(B4393="","Bezeichnung fehlt; ","")&amp;IF(COUNTIFS($A$2:$A$5001,$A4393,$C$2:$C$5001,C4393)&gt;1,"Artikel doppelt im selben Lager; ",""))</f>
        <v/>
      </c>
      <c r="P4393" s="47" t="n">
        <f aca="false">IF(OR($A4393="",D4393=""),0,IF(COUNTIF($D$2:D4393,D4393)=1,SUMIF($D$2:$D$5001,D4393,$H$2:$H$5001)+ROW()/10000000,0))</f>
        <v>0</v>
      </c>
      <c r="Q4393" s="47" t="n">
        <f aca="false">IF(OR($A4393="",C4393=""),0,IF(COUNTIF($C$2:C4393,C4393)=1,SUMIF($C$2:$C$5001,C4393,$H$2:$H$5001)+ROW()/10000000,0))</f>
        <v>0</v>
      </c>
    </row>
    <row r="4394" customFormat="false" ht="15" hidden="false" customHeight="false" outlineLevel="0" collapsed="false">
      <c r="A4394" s="43"/>
      <c r="B4394" s="44"/>
      <c r="C4394" s="44"/>
      <c r="D4394" s="44"/>
      <c r="E4394" s="44"/>
      <c r="F4394" s="44"/>
      <c r="G4394" s="44"/>
      <c r="H4394" s="46" t="str">
        <f aca="false">IF($A4394="","",IF(OR(NOT(ISNUMBER(E4394)),NOT(ISNUMBER(F4394))),"",MAX(0,E4394)*F4394))</f>
        <v/>
      </c>
      <c r="I4394" s="46" t="str">
        <f aca="false">IF($A4394="","",SUMIF($A$2:$A$5001,$A4394,$H$2:$H$5001))</f>
        <v/>
      </c>
      <c r="J4394" s="47" t="n">
        <f aca="false">IF($A4394="",0,IF(COUNTIF($A$2:A4394,$A4394)=1,1,0))</f>
        <v>0</v>
      </c>
      <c r="K4394" s="47" t="n">
        <f aca="false">IF(J4394=1,N(I4394)+ROW()/10000000,0)</f>
        <v>0</v>
      </c>
      <c r="L4394" s="47" t="str">
        <f aca="false">IF(AND(J4394=1,N(I4394)&gt;0),SUMIF($K$2:$K$5001,"&gt;="&amp;K4394,$I$2:$I$5001)/MAX(1,SUM($H$2:$H$5001)),"")</f>
        <v/>
      </c>
      <c r="M4394" s="47" t="str">
        <f aca="false">IF($A4394="","",INDEX($L$2:$L$5001,MATCH($A4394,$A$2:$A$5001,0)))</f>
        <v/>
      </c>
      <c r="N4394" s="48" t="str">
        <f aca="false">IF($A4394="","",IF(N(M4394)=0,"–",IF(M4394&lt;=Start!$D$20,"A",IF(M4394&lt;=Start!$D$21,"B","C"))))</f>
        <v/>
      </c>
      <c r="O4394" s="48" t="str">
        <f aca="false">IF($A4394="","",IF(NOT(ISNUMBER(F4394)),"Wert fehlt; ",IF(F4394&lt;=0,"Wert ist 0; ",""))&amp;IF(NOT(ISNUMBER(E4394)),"Bestand fehlt; ",IF(E4394&lt;0,"Bestand negativ; ",IF(E4394=0,"Nullbestand; ","")))&amp;IF(D4394="","Warengruppe fehlt; ","")&amp;IF(B4394="","Bezeichnung fehlt; ","")&amp;IF(COUNTIFS($A$2:$A$5001,$A4394,$C$2:$C$5001,C4394)&gt;1,"Artikel doppelt im selben Lager; ",""))</f>
        <v/>
      </c>
      <c r="P4394" s="47" t="n">
        <f aca="false">IF(OR($A4394="",D4394=""),0,IF(COUNTIF($D$2:D4394,D4394)=1,SUMIF($D$2:$D$5001,D4394,$H$2:$H$5001)+ROW()/10000000,0))</f>
        <v>0</v>
      </c>
      <c r="Q4394" s="47" t="n">
        <f aca="false">IF(OR($A4394="",C4394=""),0,IF(COUNTIF($C$2:C4394,C4394)=1,SUMIF($C$2:$C$5001,C4394,$H$2:$H$5001)+ROW()/10000000,0))</f>
        <v>0</v>
      </c>
    </row>
    <row r="4395" customFormat="false" ht="15" hidden="false" customHeight="false" outlineLevel="0" collapsed="false">
      <c r="A4395" s="43"/>
      <c r="B4395" s="44"/>
      <c r="C4395" s="44"/>
      <c r="D4395" s="44"/>
      <c r="E4395" s="44"/>
      <c r="F4395" s="44"/>
      <c r="G4395" s="44"/>
      <c r="H4395" s="46" t="str">
        <f aca="false">IF($A4395="","",IF(OR(NOT(ISNUMBER(E4395)),NOT(ISNUMBER(F4395))),"",MAX(0,E4395)*F4395))</f>
        <v/>
      </c>
      <c r="I4395" s="46" t="str">
        <f aca="false">IF($A4395="","",SUMIF($A$2:$A$5001,$A4395,$H$2:$H$5001))</f>
        <v/>
      </c>
      <c r="J4395" s="47" t="n">
        <f aca="false">IF($A4395="",0,IF(COUNTIF($A$2:A4395,$A4395)=1,1,0))</f>
        <v>0</v>
      </c>
      <c r="K4395" s="47" t="n">
        <f aca="false">IF(J4395=1,N(I4395)+ROW()/10000000,0)</f>
        <v>0</v>
      </c>
      <c r="L4395" s="47" t="str">
        <f aca="false">IF(AND(J4395=1,N(I4395)&gt;0),SUMIF($K$2:$K$5001,"&gt;="&amp;K4395,$I$2:$I$5001)/MAX(1,SUM($H$2:$H$5001)),"")</f>
        <v/>
      </c>
      <c r="M4395" s="47" t="str">
        <f aca="false">IF($A4395="","",INDEX($L$2:$L$5001,MATCH($A4395,$A$2:$A$5001,0)))</f>
        <v/>
      </c>
      <c r="N4395" s="48" t="str">
        <f aca="false">IF($A4395="","",IF(N(M4395)=0,"–",IF(M4395&lt;=Start!$D$20,"A",IF(M4395&lt;=Start!$D$21,"B","C"))))</f>
        <v/>
      </c>
      <c r="O4395" s="48" t="str">
        <f aca="false">IF($A4395="","",IF(NOT(ISNUMBER(F4395)),"Wert fehlt; ",IF(F4395&lt;=0,"Wert ist 0; ",""))&amp;IF(NOT(ISNUMBER(E4395)),"Bestand fehlt; ",IF(E4395&lt;0,"Bestand negativ; ",IF(E4395=0,"Nullbestand; ","")))&amp;IF(D4395="","Warengruppe fehlt; ","")&amp;IF(B4395="","Bezeichnung fehlt; ","")&amp;IF(COUNTIFS($A$2:$A$5001,$A4395,$C$2:$C$5001,C4395)&gt;1,"Artikel doppelt im selben Lager; ",""))</f>
        <v/>
      </c>
      <c r="P4395" s="47" t="n">
        <f aca="false">IF(OR($A4395="",D4395=""),0,IF(COUNTIF($D$2:D4395,D4395)=1,SUMIF($D$2:$D$5001,D4395,$H$2:$H$5001)+ROW()/10000000,0))</f>
        <v>0</v>
      </c>
      <c r="Q4395" s="47" t="n">
        <f aca="false">IF(OR($A4395="",C4395=""),0,IF(COUNTIF($C$2:C4395,C4395)=1,SUMIF($C$2:$C$5001,C4395,$H$2:$H$5001)+ROW()/10000000,0))</f>
        <v>0</v>
      </c>
    </row>
    <row r="4396" customFormat="false" ht="15" hidden="false" customHeight="false" outlineLevel="0" collapsed="false">
      <c r="A4396" s="43"/>
      <c r="B4396" s="44"/>
      <c r="C4396" s="44"/>
      <c r="D4396" s="44"/>
      <c r="E4396" s="44"/>
      <c r="F4396" s="44"/>
      <c r="G4396" s="44"/>
      <c r="H4396" s="46" t="str">
        <f aca="false">IF($A4396="","",IF(OR(NOT(ISNUMBER(E4396)),NOT(ISNUMBER(F4396))),"",MAX(0,E4396)*F4396))</f>
        <v/>
      </c>
      <c r="I4396" s="46" t="str">
        <f aca="false">IF($A4396="","",SUMIF($A$2:$A$5001,$A4396,$H$2:$H$5001))</f>
        <v/>
      </c>
      <c r="J4396" s="47" t="n">
        <f aca="false">IF($A4396="",0,IF(COUNTIF($A$2:A4396,$A4396)=1,1,0))</f>
        <v>0</v>
      </c>
      <c r="K4396" s="47" t="n">
        <f aca="false">IF(J4396=1,N(I4396)+ROW()/10000000,0)</f>
        <v>0</v>
      </c>
      <c r="L4396" s="47" t="str">
        <f aca="false">IF(AND(J4396=1,N(I4396)&gt;0),SUMIF($K$2:$K$5001,"&gt;="&amp;K4396,$I$2:$I$5001)/MAX(1,SUM($H$2:$H$5001)),"")</f>
        <v/>
      </c>
      <c r="M4396" s="47" t="str">
        <f aca="false">IF($A4396="","",INDEX($L$2:$L$5001,MATCH($A4396,$A$2:$A$5001,0)))</f>
        <v/>
      </c>
      <c r="N4396" s="48" t="str">
        <f aca="false">IF($A4396="","",IF(N(M4396)=0,"–",IF(M4396&lt;=Start!$D$20,"A",IF(M4396&lt;=Start!$D$21,"B","C"))))</f>
        <v/>
      </c>
      <c r="O4396" s="48" t="str">
        <f aca="false">IF($A4396="","",IF(NOT(ISNUMBER(F4396)),"Wert fehlt; ",IF(F4396&lt;=0,"Wert ist 0; ",""))&amp;IF(NOT(ISNUMBER(E4396)),"Bestand fehlt; ",IF(E4396&lt;0,"Bestand negativ; ",IF(E4396=0,"Nullbestand; ","")))&amp;IF(D4396="","Warengruppe fehlt; ","")&amp;IF(B4396="","Bezeichnung fehlt; ","")&amp;IF(COUNTIFS($A$2:$A$5001,$A4396,$C$2:$C$5001,C4396)&gt;1,"Artikel doppelt im selben Lager; ",""))</f>
        <v/>
      </c>
      <c r="P4396" s="47" t="n">
        <f aca="false">IF(OR($A4396="",D4396=""),0,IF(COUNTIF($D$2:D4396,D4396)=1,SUMIF($D$2:$D$5001,D4396,$H$2:$H$5001)+ROW()/10000000,0))</f>
        <v>0</v>
      </c>
      <c r="Q4396" s="47" t="n">
        <f aca="false">IF(OR($A4396="",C4396=""),0,IF(COUNTIF($C$2:C4396,C4396)=1,SUMIF($C$2:$C$5001,C4396,$H$2:$H$5001)+ROW()/10000000,0))</f>
        <v>0</v>
      </c>
    </row>
    <row r="4397" customFormat="false" ht="15" hidden="false" customHeight="false" outlineLevel="0" collapsed="false">
      <c r="A4397" s="43"/>
      <c r="B4397" s="44"/>
      <c r="C4397" s="44"/>
      <c r="D4397" s="44"/>
      <c r="E4397" s="44"/>
      <c r="F4397" s="44"/>
      <c r="G4397" s="44"/>
      <c r="H4397" s="46" t="str">
        <f aca="false">IF($A4397="","",IF(OR(NOT(ISNUMBER(E4397)),NOT(ISNUMBER(F4397))),"",MAX(0,E4397)*F4397))</f>
        <v/>
      </c>
      <c r="I4397" s="46" t="str">
        <f aca="false">IF($A4397="","",SUMIF($A$2:$A$5001,$A4397,$H$2:$H$5001))</f>
        <v/>
      </c>
      <c r="J4397" s="47" t="n">
        <f aca="false">IF($A4397="",0,IF(COUNTIF($A$2:A4397,$A4397)=1,1,0))</f>
        <v>0</v>
      </c>
      <c r="K4397" s="47" t="n">
        <f aca="false">IF(J4397=1,N(I4397)+ROW()/10000000,0)</f>
        <v>0</v>
      </c>
      <c r="L4397" s="47" t="str">
        <f aca="false">IF(AND(J4397=1,N(I4397)&gt;0),SUMIF($K$2:$K$5001,"&gt;="&amp;K4397,$I$2:$I$5001)/MAX(1,SUM($H$2:$H$5001)),"")</f>
        <v/>
      </c>
      <c r="M4397" s="47" t="str">
        <f aca="false">IF($A4397="","",INDEX($L$2:$L$5001,MATCH($A4397,$A$2:$A$5001,0)))</f>
        <v/>
      </c>
      <c r="N4397" s="48" t="str">
        <f aca="false">IF($A4397="","",IF(N(M4397)=0,"–",IF(M4397&lt;=Start!$D$20,"A",IF(M4397&lt;=Start!$D$21,"B","C"))))</f>
        <v/>
      </c>
      <c r="O4397" s="48" t="str">
        <f aca="false">IF($A4397="","",IF(NOT(ISNUMBER(F4397)),"Wert fehlt; ",IF(F4397&lt;=0,"Wert ist 0; ",""))&amp;IF(NOT(ISNUMBER(E4397)),"Bestand fehlt; ",IF(E4397&lt;0,"Bestand negativ; ",IF(E4397=0,"Nullbestand; ","")))&amp;IF(D4397="","Warengruppe fehlt; ","")&amp;IF(B4397="","Bezeichnung fehlt; ","")&amp;IF(COUNTIFS($A$2:$A$5001,$A4397,$C$2:$C$5001,C4397)&gt;1,"Artikel doppelt im selben Lager; ",""))</f>
        <v/>
      </c>
      <c r="P4397" s="47" t="n">
        <f aca="false">IF(OR($A4397="",D4397=""),0,IF(COUNTIF($D$2:D4397,D4397)=1,SUMIF($D$2:$D$5001,D4397,$H$2:$H$5001)+ROW()/10000000,0))</f>
        <v>0</v>
      </c>
      <c r="Q4397" s="47" t="n">
        <f aca="false">IF(OR($A4397="",C4397=""),0,IF(COUNTIF($C$2:C4397,C4397)=1,SUMIF($C$2:$C$5001,C4397,$H$2:$H$5001)+ROW()/10000000,0))</f>
        <v>0</v>
      </c>
    </row>
    <row r="4398" customFormat="false" ht="15" hidden="false" customHeight="false" outlineLevel="0" collapsed="false">
      <c r="A4398" s="43"/>
      <c r="B4398" s="44"/>
      <c r="C4398" s="44"/>
      <c r="D4398" s="44"/>
      <c r="E4398" s="44"/>
      <c r="F4398" s="44"/>
      <c r="G4398" s="44"/>
      <c r="H4398" s="46" t="str">
        <f aca="false">IF($A4398="","",IF(OR(NOT(ISNUMBER(E4398)),NOT(ISNUMBER(F4398))),"",MAX(0,E4398)*F4398))</f>
        <v/>
      </c>
      <c r="I4398" s="46" t="str">
        <f aca="false">IF($A4398="","",SUMIF($A$2:$A$5001,$A4398,$H$2:$H$5001))</f>
        <v/>
      </c>
      <c r="J4398" s="47" t="n">
        <f aca="false">IF($A4398="",0,IF(COUNTIF($A$2:A4398,$A4398)=1,1,0))</f>
        <v>0</v>
      </c>
      <c r="K4398" s="47" t="n">
        <f aca="false">IF(J4398=1,N(I4398)+ROW()/10000000,0)</f>
        <v>0</v>
      </c>
      <c r="L4398" s="47" t="str">
        <f aca="false">IF(AND(J4398=1,N(I4398)&gt;0),SUMIF($K$2:$K$5001,"&gt;="&amp;K4398,$I$2:$I$5001)/MAX(1,SUM($H$2:$H$5001)),"")</f>
        <v/>
      </c>
      <c r="M4398" s="47" t="str">
        <f aca="false">IF($A4398="","",INDEX($L$2:$L$5001,MATCH($A4398,$A$2:$A$5001,0)))</f>
        <v/>
      </c>
      <c r="N4398" s="48" t="str">
        <f aca="false">IF($A4398="","",IF(N(M4398)=0,"–",IF(M4398&lt;=Start!$D$20,"A",IF(M4398&lt;=Start!$D$21,"B","C"))))</f>
        <v/>
      </c>
      <c r="O4398" s="48" t="str">
        <f aca="false">IF($A4398="","",IF(NOT(ISNUMBER(F4398)),"Wert fehlt; ",IF(F4398&lt;=0,"Wert ist 0; ",""))&amp;IF(NOT(ISNUMBER(E4398)),"Bestand fehlt; ",IF(E4398&lt;0,"Bestand negativ; ",IF(E4398=0,"Nullbestand; ","")))&amp;IF(D4398="","Warengruppe fehlt; ","")&amp;IF(B4398="","Bezeichnung fehlt; ","")&amp;IF(COUNTIFS($A$2:$A$5001,$A4398,$C$2:$C$5001,C4398)&gt;1,"Artikel doppelt im selben Lager; ",""))</f>
        <v/>
      </c>
      <c r="P4398" s="47" t="n">
        <f aca="false">IF(OR($A4398="",D4398=""),0,IF(COUNTIF($D$2:D4398,D4398)=1,SUMIF($D$2:$D$5001,D4398,$H$2:$H$5001)+ROW()/10000000,0))</f>
        <v>0</v>
      </c>
      <c r="Q4398" s="47" t="n">
        <f aca="false">IF(OR($A4398="",C4398=""),0,IF(COUNTIF($C$2:C4398,C4398)=1,SUMIF($C$2:$C$5001,C4398,$H$2:$H$5001)+ROW()/10000000,0))</f>
        <v>0</v>
      </c>
    </row>
    <row r="4399" customFormat="false" ht="15" hidden="false" customHeight="false" outlineLevel="0" collapsed="false">
      <c r="A4399" s="43"/>
      <c r="B4399" s="44"/>
      <c r="C4399" s="44"/>
      <c r="D4399" s="44"/>
      <c r="E4399" s="44"/>
      <c r="F4399" s="44"/>
      <c r="G4399" s="44"/>
      <c r="H4399" s="46" t="str">
        <f aca="false">IF($A4399="","",IF(OR(NOT(ISNUMBER(E4399)),NOT(ISNUMBER(F4399))),"",MAX(0,E4399)*F4399))</f>
        <v/>
      </c>
      <c r="I4399" s="46" t="str">
        <f aca="false">IF($A4399="","",SUMIF($A$2:$A$5001,$A4399,$H$2:$H$5001))</f>
        <v/>
      </c>
      <c r="J4399" s="47" t="n">
        <f aca="false">IF($A4399="",0,IF(COUNTIF($A$2:A4399,$A4399)=1,1,0))</f>
        <v>0</v>
      </c>
      <c r="K4399" s="47" t="n">
        <f aca="false">IF(J4399=1,N(I4399)+ROW()/10000000,0)</f>
        <v>0</v>
      </c>
      <c r="L4399" s="47" t="str">
        <f aca="false">IF(AND(J4399=1,N(I4399)&gt;0),SUMIF($K$2:$K$5001,"&gt;="&amp;K4399,$I$2:$I$5001)/MAX(1,SUM($H$2:$H$5001)),"")</f>
        <v/>
      </c>
      <c r="M4399" s="47" t="str">
        <f aca="false">IF($A4399="","",INDEX($L$2:$L$5001,MATCH($A4399,$A$2:$A$5001,0)))</f>
        <v/>
      </c>
      <c r="N4399" s="48" t="str">
        <f aca="false">IF($A4399="","",IF(N(M4399)=0,"–",IF(M4399&lt;=Start!$D$20,"A",IF(M4399&lt;=Start!$D$21,"B","C"))))</f>
        <v/>
      </c>
      <c r="O4399" s="48" t="str">
        <f aca="false">IF($A4399="","",IF(NOT(ISNUMBER(F4399)),"Wert fehlt; ",IF(F4399&lt;=0,"Wert ist 0; ",""))&amp;IF(NOT(ISNUMBER(E4399)),"Bestand fehlt; ",IF(E4399&lt;0,"Bestand negativ; ",IF(E4399=0,"Nullbestand; ","")))&amp;IF(D4399="","Warengruppe fehlt; ","")&amp;IF(B4399="","Bezeichnung fehlt; ","")&amp;IF(COUNTIFS($A$2:$A$5001,$A4399,$C$2:$C$5001,C4399)&gt;1,"Artikel doppelt im selben Lager; ",""))</f>
        <v/>
      </c>
      <c r="P4399" s="47" t="n">
        <f aca="false">IF(OR($A4399="",D4399=""),0,IF(COUNTIF($D$2:D4399,D4399)=1,SUMIF($D$2:$D$5001,D4399,$H$2:$H$5001)+ROW()/10000000,0))</f>
        <v>0</v>
      </c>
      <c r="Q4399" s="47" t="n">
        <f aca="false">IF(OR($A4399="",C4399=""),0,IF(COUNTIF($C$2:C4399,C4399)=1,SUMIF($C$2:$C$5001,C4399,$H$2:$H$5001)+ROW()/10000000,0))</f>
        <v>0</v>
      </c>
    </row>
    <row r="4400" customFormat="false" ht="15" hidden="false" customHeight="false" outlineLevel="0" collapsed="false">
      <c r="A4400" s="43"/>
      <c r="B4400" s="44"/>
      <c r="C4400" s="44"/>
      <c r="D4400" s="44"/>
      <c r="E4400" s="44"/>
      <c r="F4400" s="44"/>
      <c r="G4400" s="44"/>
      <c r="H4400" s="46" t="str">
        <f aca="false">IF($A4400="","",IF(OR(NOT(ISNUMBER(E4400)),NOT(ISNUMBER(F4400))),"",MAX(0,E4400)*F4400))</f>
        <v/>
      </c>
      <c r="I4400" s="46" t="str">
        <f aca="false">IF($A4400="","",SUMIF($A$2:$A$5001,$A4400,$H$2:$H$5001))</f>
        <v/>
      </c>
      <c r="J4400" s="47" t="n">
        <f aca="false">IF($A4400="",0,IF(COUNTIF($A$2:A4400,$A4400)=1,1,0))</f>
        <v>0</v>
      </c>
      <c r="K4400" s="47" t="n">
        <f aca="false">IF(J4400=1,N(I4400)+ROW()/10000000,0)</f>
        <v>0</v>
      </c>
      <c r="L4400" s="47" t="str">
        <f aca="false">IF(AND(J4400=1,N(I4400)&gt;0),SUMIF($K$2:$K$5001,"&gt;="&amp;K4400,$I$2:$I$5001)/MAX(1,SUM($H$2:$H$5001)),"")</f>
        <v/>
      </c>
      <c r="M4400" s="47" t="str">
        <f aca="false">IF($A4400="","",INDEX($L$2:$L$5001,MATCH($A4400,$A$2:$A$5001,0)))</f>
        <v/>
      </c>
      <c r="N4400" s="48" t="str">
        <f aca="false">IF($A4400="","",IF(N(M4400)=0,"–",IF(M4400&lt;=Start!$D$20,"A",IF(M4400&lt;=Start!$D$21,"B","C"))))</f>
        <v/>
      </c>
      <c r="O4400" s="48" t="str">
        <f aca="false">IF($A4400="","",IF(NOT(ISNUMBER(F4400)),"Wert fehlt; ",IF(F4400&lt;=0,"Wert ist 0; ",""))&amp;IF(NOT(ISNUMBER(E4400)),"Bestand fehlt; ",IF(E4400&lt;0,"Bestand negativ; ",IF(E4400=0,"Nullbestand; ","")))&amp;IF(D4400="","Warengruppe fehlt; ","")&amp;IF(B4400="","Bezeichnung fehlt; ","")&amp;IF(COUNTIFS($A$2:$A$5001,$A4400,$C$2:$C$5001,C4400)&gt;1,"Artikel doppelt im selben Lager; ",""))</f>
        <v/>
      </c>
      <c r="P4400" s="47" t="n">
        <f aca="false">IF(OR($A4400="",D4400=""),0,IF(COUNTIF($D$2:D4400,D4400)=1,SUMIF($D$2:$D$5001,D4400,$H$2:$H$5001)+ROW()/10000000,0))</f>
        <v>0</v>
      </c>
      <c r="Q4400" s="47" t="n">
        <f aca="false">IF(OR($A4400="",C4400=""),0,IF(COUNTIF($C$2:C4400,C4400)=1,SUMIF($C$2:$C$5001,C4400,$H$2:$H$5001)+ROW()/10000000,0))</f>
        <v>0</v>
      </c>
    </row>
    <row r="4401" customFormat="false" ht="15" hidden="false" customHeight="false" outlineLevel="0" collapsed="false">
      <c r="A4401" s="43"/>
      <c r="B4401" s="44"/>
      <c r="C4401" s="44"/>
      <c r="D4401" s="44"/>
      <c r="E4401" s="44"/>
      <c r="F4401" s="44"/>
      <c r="G4401" s="44"/>
      <c r="H4401" s="46" t="str">
        <f aca="false">IF($A4401="","",IF(OR(NOT(ISNUMBER(E4401)),NOT(ISNUMBER(F4401))),"",MAX(0,E4401)*F4401))</f>
        <v/>
      </c>
      <c r="I4401" s="46" t="str">
        <f aca="false">IF($A4401="","",SUMIF($A$2:$A$5001,$A4401,$H$2:$H$5001))</f>
        <v/>
      </c>
      <c r="J4401" s="47" t="n">
        <f aca="false">IF($A4401="",0,IF(COUNTIF($A$2:A4401,$A4401)=1,1,0))</f>
        <v>0</v>
      </c>
      <c r="K4401" s="47" t="n">
        <f aca="false">IF(J4401=1,N(I4401)+ROW()/10000000,0)</f>
        <v>0</v>
      </c>
      <c r="L4401" s="47" t="str">
        <f aca="false">IF(AND(J4401=1,N(I4401)&gt;0),SUMIF($K$2:$K$5001,"&gt;="&amp;K4401,$I$2:$I$5001)/MAX(1,SUM($H$2:$H$5001)),"")</f>
        <v/>
      </c>
      <c r="M4401" s="47" t="str">
        <f aca="false">IF($A4401="","",INDEX($L$2:$L$5001,MATCH($A4401,$A$2:$A$5001,0)))</f>
        <v/>
      </c>
      <c r="N4401" s="48" t="str">
        <f aca="false">IF($A4401="","",IF(N(M4401)=0,"–",IF(M4401&lt;=Start!$D$20,"A",IF(M4401&lt;=Start!$D$21,"B","C"))))</f>
        <v/>
      </c>
      <c r="O4401" s="48" t="str">
        <f aca="false">IF($A4401="","",IF(NOT(ISNUMBER(F4401)),"Wert fehlt; ",IF(F4401&lt;=0,"Wert ist 0; ",""))&amp;IF(NOT(ISNUMBER(E4401)),"Bestand fehlt; ",IF(E4401&lt;0,"Bestand negativ; ",IF(E4401=0,"Nullbestand; ","")))&amp;IF(D4401="","Warengruppe fehlt; ","")&amp;IF(B4401="","Bezeichnung fehlt; ","")&amp;IF(COUNTIFS($A$2:$A$5001,$A4401,$C$2:$C$5001,C4401)&gt;1,"Artikel doppelt im selben Lager; ",""))</f>
        <v/>
      </c>
      <c r="P4401" s="47" t="n">
        <f aca="false">IF(OR($A4401="",D4401=""),0,IF(COUNTIF($D$2:D4401,D4401)=1,SUMIF($D$2:$D$5001,D4401,$H$2:$H$5001)+ROW()/10000000,0))</f>
        <v>0</v>
      </c>
      <c r="Q4401" s="47" t="n">
        <f aca="false">IF(OR($A4401="",C4401=""),0,IF(COUNTIF($C$2:C4401,C4401)=1,SUMIF($C$2:$C$5001,C4401,$H$2:$H$5001)+ROW()/10000000,0))</f>
        <v>0</v>
      </c>
    </row>
    <row r="4402" customFormat="false" ht="15" hidden="false" customHeight="false" outlineLevel="0" collapsed="false">
      <c r="A4402" s="43"/>
      <c r="B4402" s="44"/>
      <c r="C4402" s="44"/>
      <c r="D4402" s="44"/>
      <c r="E4402" s="44"/>
      <c r="F4402" s="44"/>
      <c r="G4402" s="44"/>
      <c r="H4402" s="46" t="str">
        <f aca="false">IF($A4402="","",IF(OR(NOT(ISNUMBER(E4402)),NOT(ISNUMBER(F4402))),"",MAX(0,E4402)*F4402))</f>
        <v/>
      </c>
      <c r="I4402" s="46" t="str">
        <f aca="false">IF($A4402="","",SUMIF($A$2:$A$5001,$A4402,$H$2:$H$5001))</f>
        <v/>
      </c>
      <c r="J4402" s="47" t="n">
        <f aca="false">IF($A4402="",0,IF(COUNTIF($A$2:A4402,$A4402)=1,1,0))</f>
        <v>0</v>
      </c>
      <c r="K4402" s="47" t="n">
        <f aca="false">IF(J4402=1,N(I4402)+ROW()/10000000,0)</f>
        <v>0</v>
      </c>
      <c r="L4402" s="47" t="str">
        <f aca="false">IF(AND(J4402=1,N(I4402)&gt;0),SUMIF($K$2:$K$5001,"&gt;="&amp;K4402,$I$2:$I$5001)/MAX(1,SUM($H$2:$H$5001)),"")</f>
        <v/>
      </c>
      <c r="M4402" s="47" t="str">
        <f aca="false">IF($A4402="","",INDEX($L$2:$L$5001,MATCH($A4402,$A$2:$A$5001,0)))</f>
        <v/>
      </c>
      <c r="N4402" s="48" t="str">
        <f aca="false">IF($A4402="","",IF(N(M4402)=0,"–",IF(M4402&lt;=Start!$D$20,"A",IF(M4402&lt;=Start!$D$21,"B","C"))))</f>
        <v/>
      </c>
      <c r="O4402" s="48" t="str">
        <f aca="false">IF($A4402="","",IF(NOT(ISNUMBER(F4402)),"Wert fehlt; ",IF(F4402&lt;=0,"Wert ist 0; ",""))&amp;IF(NOT(ISNUMBER(E4402)),"Bestand fehlt; ",IF(E4402&lt;0,"Bestand negativ; ",IF(E4402=0,"Nullbestand; ","")))&amp;IF(D4402="","Warengruppe fehlt; ","")&amp;IF(B4402="","Bezeichnung fehlt; ","")&amp;IF(COUNTIFS($A$2:$A$5001,$A4402,$C$2:$C$5001,C4402)&gt;1,"Artikel doppelt im selben Lager; ",""))</f>
        <v/>
      </c>
      <c r="P4402" s="47" t="n">
        <f aca="false">IF(OR($A4402="",D4402=""),0,IF(COUNTIF($D$2:D4402,D4402)=1,SUMIF($D$2:$D$5001,D4402,$H$2:$H$5001)+ROW()/10000000,0))</f>
        <v>0</v>
      </c>
      <c r="Q4402" s="47" t="n">
        <f aca="false">IF(OR($A4402="",C4402=""),0,IF(COUNTIF($C$2:C4402,C4402)=1,SUMIF($C$2:$C$5001,C4402,$H$2:$H$5001)+ROW()/10000000,0))</f>
        <v>0</v>
      </c>
    </row>
    <row r="4403" customFormat="false" ht="15" hidden="false" customHeight="false" outlineLevel="0" collapsed="false">
      <c r="A4403" s="43"/>
      <c r="B4403" s="44"/>
      <c r="C4403" s="44"/>
      <c r="D4403" s="44"/>
      <c r="E4403" s="44"/>
      <c r="F4403" s="44"/>
      <c r="G4403" s="44"/>
      <c r="H4403" s="46" t="str">
        <f aca="false">IF($A4403="","",IF(OR(NOT(ISNUMBER(E4403)),NOT(ISNUMBER(F4403))),"",MAX(0,E4403)*F4403))</f>
        <v/>
      </c>
      <c r="I4403" s="46" t="str">
        <f aca="false">IF($A4403="","",SUMIF($A$2:$A$5001,$A4403,$H$2:$H$5001))</f>
        <v/>
      </c>
      <c r="J4403" s="47" t="n">
        <f aca="false">IF($A4403="",0,IF(COUNTIF($A$2:A4403,$A4403)=1,1,0))</f>
        <v>0</v>
      </c>
      <c r="K4403" s="47" t="n">
        <f aca="false">IF(J4403=1,N(I4403)+ROW()/10000000,0)</f>
        <v>0</v>
      </c>
      <c r="L4403" s="47" t="str">
        <f aca="false">IF(AND(J4403=1,N(I4403)&gt;0),SUMIF($K$2:$K$5001,"&gt;="&amp;K4403,$I$2:$I$5001)/MAX(1,SUM($H$2:$H$5001)),"")</f>
        <v/>
      </c>
      <c r="M4403" s="47" t="str">
        <f aca="false">IF($A4403="","",INDEX($L$2:$L$5001,MATCH($A4403,$A$2:$A$5001,0)))</f>
        <v/>
      </c>
      <c r="N4403" s="48" t="str">
        <f aca="false">IF($A4403="","",IF(N(M4403)=0,"–",IF(M4403&lt;=Start!$D$20,"A",IF(M4403&lt;=Start!$D$21,"B","C"))))</f>
        <v/>
      </c>
      <c r="O4403" s="48" t="str">
        <f aca="false">IF($A4403="","",IF(NOT(ISNUMBER(F4403)),"Wert fehlt; ",IF(F4403&lt;=0,"Wert ist 0; ",""))&amp;IF(NOT(ISNUMBER(E4403)),"Bestand fehlt; ",IF(E4403&lt;0,"Bestand negativ; ",IF(E4403=0,"Nullbestand; ","")))&amp;IF(D4403="","Warengruppe fehlt; ","")&amp;IF(B4403="","Bezeichnung fehlt; ","")&amp;IF(COUNTIFS($A$2:$A$5001,$A4403,$C$2:$C$5001,C4403)&gt;1,"Artikel doppelt im selben Lager; ",""))</f>
        <v/>
      </c>
      <c r="P4403" s="47" t="n">
        <f aca="false">IF(OR($A4403="",D4403=""),0,IF(COUNTIF($D$2:D4403,D4403)=1,SUMIF($D$2:$D$5001,D4403,$H$2:$H$5001)+ROW()/10000000,0))</f>
        <v>0</v>
      </c>
      <c r="Q4403" s="47" t="n">
        <f aca="false">IF(OR($A4403="",C4403=""),0,IF(COUNTIF($C$2:C4403,C4403)=1,SUMIF($C$2:$C$5001,C4403,$H$2:$H$5001)+ROW()/10000000,0))</f>
        <v>0</v>
      </c>
    </row>
    <row r="4404" customFormat="false" ht="15" hidden="false" customHeight="false" outlineLevel="0" collapsed="false">
      <c r="A4404" s="43"/>
      <c r="B4404" s="44"/>
      <c r="C4404" s="44"/>
      <c r="D4404" s="44"/>
      <c r="E4404" s="44"/>
      <c r="F4404" s="44"/>
      <c r="G4404" s="44"/>
      <c r="H4404" s="46" t="str">
        <f aca="false">IF($A4404="","",IF(OR(NOT(ISNUMBER(E4404)),NOT(ISNUMBER(F4404))),"",MAX(0,E4404)*F4404))</f>
        <v/>
      </c>
      <c r="I4404" s="46" t="str">
        <f aca="false">IF($A4404="","",SUMIF($A$2:$A$5001,$A4404,$H$2:$H$5001))</f>
        <v/>
      </c>
      <c r="J4404" s="47" t="n">
        <f aca="false">IF($A4404="",0,IF(COUNTIF($A$2:A4404,$A4404)=1,1,0))</f>
        <v>0</v>
      </c>
      <c r="K4404" s="47" t="n">
        <f aca="false">IF(J4404=1,N(I4404)+ROW()/10000000,0)</f>
        <v>0</v>
      </c>
      <c r="L4404" s="47" t="str">
        <f aca="false">IF(AND(J4404=1,N(I4404)&gt;0),SUMIF($K$2:$K$5001,"&gt;="&amp;K4404,$I$2:$I$5001)/MAX(1,SUM($H$2:$H$5001)),"")</f>
        <v/>
      </c>
      <c r="M4404" s="47" t="str">
        <f aca="false">IF($A4404="","",INDEX($L$2:$L$5001,MATCH($A4404,$A$2:$A$5001,0)))</f>
        <v/>
      </c>
      <c r="N4404" s="48" t="str">
        <f aca="false">IF($A4404="","",IF(N(M4404)=0,"–",IF(M4404&lt;=Start!$D$20,"A",IF(M4404&lt;=Start!$D$21,"B","C"))))</f>
        <v/>
      </c>
      <c r="O4404" s="48" t="str">
        <f aca="false">IF($A4404="","",IF(NOT(ISNUMBER(F4404)),"Wert fehlt; ",IF(F4404&lt;=0,"Wert ist 0; ",""))&amp;IF(NOT(ISNUMBER(E4404)),"Bestand fehlt; ",IF(E4404&lt;0,"Bestand negativ; ",IF(E4404=0,"Nullbestand; ","")))&amp;IF(D4404="","Warengruppe fehlt; ","")&amp;IF(B4404="","Bezeichnung fehlt; ","")&amp;IF(COUNTIFS($A$2:$A$5001,$A4404,$C$2:$C$5001,C4404)&gt;1,"Artikel doppelt im selben Lager; ",""))</f>
        <v/>
      </c>
      <c r="P4404" s="47" t="n">
        <f aca="false">IF(OR($A4404="",D4404=""),0,IF(COUNTIF($D$2:D4404,D4404)=1,SUMIF($D$2:$D$5001,D4404,$H$2:$H$5001)+ROW()/10000000,0))</f>
        <v>0</v>
      </c>
      <c r="Q4404" s="47" t="n">
        <f aca="false">IF(OR($A4404="",C4404=""),0,IF(COUNTIF($C$2:C4404,C4404)=1,SUMIF($C$2:$C$5001,C4404,$H$2:$H$5001)+ROW()/10000000,0))</f>
        <v>0</v>
      </c>
    </row>
    <row r="4405" customFormat="false" ht="15" hidden="false" customHeight="false" outlineLevel="0" collapsed="false">
      <c r="A4405" s="43"/>
      <c r="B4405" s="44"/>
      <c r="C4405" s="44"/>
      <c r="D4405" s="44"/>
      <c r="E4405" s="44"/>
      <c r="F4405" s="44"/>
      <c r="G4405" s="44"/>
      <c r="H4405" s="46" t="str">
        <f aca="false">IF($A4405="","",IF(OR(NOT(ISNUMBER(E4405)),NOT(ISNUMBER(F4405))),"",MAX(0,E4405)*F4405))</f>
        <v/>
      </c>
      <c r="I4405" s="46" t="str">
        <f aca="false">IF($A4405="","",SUMIF($A$2:$A$5001,$A4405,$H$2:$H$5001))</f>
        <v/>
      </c>
      <c r="J4405" s="47" t="n">
        <f aca="false">IF($A4405="",0,IF(COUNTIF($A$2:A4405,$A4405)=1,1,0))</f>
        <v>0</v>
      </c>
      <c r="K4405" s="47" t="n">
        <f aca="false">IF(J4405=1,N(I4405)+ROW()/10000000,0)</f>
        <v>0</v>
      </c>
      <c r="L4405" s="47" t="str">
        <f aca="false">IF(AND(J4405=1,N(I4405)&gt;0),SUMIF($K$2:$K$5001,"&gt;="&amp;K4405,$I$2:$I$5001)/MAX(1,SUM($H$2:$H$5001)),"")</f>
        <v/>
      </c>
      <c r="M4405" s="47" t="str">
        <f aca="false">IF($A4405="","",INDEX($L$2:$L$5001,MATCH($A4405,$A$2:$A$5001,0)))</f>
        <v/>
      </c>
      <c r="N4405" s="48" t="str">
        <f aca="false">IF($A4405="","",IF(N(M4405)=0,"–",IF(M4405&lt;=Start!$D$20,"A",IF(M4405&lt;=Start!$D$21,"B","C"))))</f>
        <v/>
      </c>
      <c r="O4405" s="48" t="str">
        <f aca="false">IF($A4405="","",IF(NOT(ISNUMBER(F4405)),"Wert fehlt; ",IF(F4405&lt;=0,"Wert ist 0; ",""))&amp;IF(NOT(ISNUMBER(E4405)),"Bestand fehlt; ",IF(E4405&lt;0,"Bestand negativ; ",IF(E4405=0,"Nullbestand; ","")))&amp;IF(D4405="","Warengruppe fehlt; ","")&amp;IF(B4405="","Bezeichnung fehlt; ","")&amp;IF(COUNTIFS($A$2:$A$5001,$A4405,$C$2:$C$5001,C4405)&gt;1,"Artikel doppelt im selben Lager; ",""))</f>
        <v/>
      </c>
      <c r="P4405" s="47" t="n">
        <f aca="false">IF(OR($A4405="",D4405=""),0,IF(COUNTIF($D$2:D4405,D4405)=1,SUMIF($D$2:$D$5001,D4405,$H$2:$H$5001)+ROW()/10000000,0))</f>
        <v>0</v>
      </c>
      <c r="Q4405" s="47" t="n">
        <f aca="false">IF(OR($A4405="",C4405=""),0,IF(COUNTIF($C$2:C4405,C4405)=1,SUMIF($C$2:$C$5001,C4405,$H$2:$H$5001)+ROW()/10000000,0))</f>
        <v>0</v>
      </c>
    </row>
    <row r="4406" customFormat="false" ht="15" hidden="false" customHeight="false" outlineLevel="0" collapsed="false">
      <c r="A4406" s="43"/>
      <c r="B4406" s="44"/>
      <c r="C4406" s="44"/>
      <c r="D4406" s="44"/>
      <c r="E4406" s="44"/>
      <c r="F4406" s="44"/>
      <c r="G4406" s="44"/>
      <c r="H4406" s="46" t="str">
        <f aca="false">IF($A4406="","",IF(OR(NOT(ISNUMBER(E4406)),NOT(ISNUMBER(F4406))),"",MAX(0,E4406)*F4406))</f>
        <v/>
      </c>
      <c r="I4406" s="46" t="str">
        <f aca="false">IF($A4406="","",SUMIF($A$2:$A$5001,$A4406,$H$2:$H$5001))</f>
        <v/>
      </c>
      <c r="J4406" s="47" t="n">
        <f aca="false">IF($A4406="",0,IF(COUNTIF($A$2:A4406,$A4406)=1,1,0))</f>
        <v>0</v>
      </c>
      <c r="K4406" s="47" t="n">
        <f aca="false">IF(J4406=1,N(I4406)+ROW()/10000000,0)</f>
        <v>0</v>
      </c>
      <c r="L4406" s="47" t="str">
        <f aca="false">IF(AND(J4406=1,N(I4406)&gt;0),SUMIF($K$2:$K$5001,"&gt;="&amp;K4406,$I$2:$I$5001)/MAX(1,SUM($H$2:$H$5001)),"")</f>
        <v/>
      </c>
      <c r="M4406" s="47" t="str">
        <f aca="false">IF($A4406="","",INDEX($L$2:$L$5001,MATCH($A4406,$A$2:$A$5001,0)))</f>
        <v/>
      </c>
      <c r="N4406" s="48" t="str">
        <f aca="false">IF($A4406="","",IF(N(M4406)=0,"–",IF(M4406&lt;=Start!$D$20,"A",IF(M4406&lt;=Start!$D$21,"B","C"))))</f>
        <v/>
      </c>
      <c r="O4406" s="48" t="str">
        <f aca="false">IF($A4406="","",IF(NOT(ISNUMBER(F4406)),"Wert fehlt; ",IF(F4406&lt;=0,"Wert ist 0; ",""))&amp;IF(NOT(ISNUMBER(E4406)),"Bestand fehlt; ",IF(E4406&lt;0,"Bestand negativ; ",IF(E4406=0,"Nullbestand; ","")))&amp;IF(D4406="","Warengruppe fehlt; ","")&amp;IF(B4406="","Bezeichnung fehlt; ","")&amp;IF(COUNTIFS($A$2:$A$5001,$A4406,$C$2:$C$5001,C4406)&gt;1,"Artikel doppelt im selben Lager; ",""))</f>
        <v/>
      </c>
      <c r="P4406" s="47" t="n">
        <f aca="false">IF(OR($A4406="",D4406=""),0,IF(COUNTIF($D$2:D4406,D4406)=1,SUMIF($D$2:$D$5001,D4406,$H$2:$H$5001)+ROW()/10000000,0))</f>
        <v>0</v>
      </c>
      <c r="Q4406" s="47" t="n">
        <f aca="false">IF(OR($A4406="",C4406=""),0,IF(COUNTIF($C$2:C4406,C4406)=1,SUMIF($C$2:$C$5001,C4406,$H$2:$H$5001)+ROW()/10000000,0))</f>
        <v>0</v>
      </c>
    </row>
    <row r="4407" customFormat="false" ht="15" hidden="false" customHeight="false" outlineLevel="0" collapsed="false">
      <c r="A4407" s="43"/>
      <c r="B4407" s="44"/>
      <c r="C4407" s="44"/>
      <c r="D4407" s="44"/>
      <c r="E4407" s="44"/>
      <c r="F4407" s="44"/>
      <c r="G4407" s="44"/>
      <c r="H4407" s="46" t="str">
        <f aca="false">IF($A4407="","",IF(OR(NOT(ISNUMBER(E4407)),NOT(ISNUMBER(F4407))),"",MAX(0,E4407)*F4407))</f>
        <v/>
      </c>
      <c r="I4407" s="46" t="str">
        <f aca="false">IF($A4407="","",SUMIF($A$2:$A$5001,$A4407,$H$2:$H$5001))</f>
        <v/>
      </c>
      <c r="J4407" s="47" t="n">
        <f aca="false">IF($A4407="",0,IF(COUNTIF($A$2:A4407,$A4407)=1,1,0))</f>
        <v>0</v>
      </c>
      <c r="K4407" s="47" t="n">
        <f aca="false">IF(J4407=1,N(I4407)+ROW()/10000000,0)</f>
        <v>0</v>
      </c>
      <c r="L4407" s="47" t="str">
        <f aca="false">IF(AND(J4407=1,N(I4407)&gt;0),SUMIF($K$2:$K$5001,"&gt;="&amp;K4407,$I$2:$I$5001)/MAX(1,SUM($H$2:$H$5001)),"")</f>
        <v/>
      </c>
      <c r="M4407" s="47" t="str">
        <f aca="false">IF($A4407="","",INDEX($L$2:$L$5001,MATCH($A4407,$A$2:$A$5001,0)))</f>
        <v/>
      </c>
      <c r="N4407" s="48" t="str">
        <f aca="false">IF($A4407="","",IF(N(M4407)=0,"–",IF(M4407&lt;=Start!$D$20,"A",IF(M4407&lt;=Start!$D$21,"B","C"))))</f>
        <v/>
      </c>
      <c r="O4407" s="48" t="str">
        <f aca="false">IF($A4407="","",IF(NOT(ISNUMBER(F4407)),"Wert fehlt; ",IF(F4407&lt;=0,"Wert ist 0; ",""))&amp;IF(NOT(ISNUMBER(E4407)),"Bestand fehlt; ",IF(E4407&lt;0,"Bestand negativ; ",IF(E4407=0,"Nullbestand; ","")))&amp;IF(D4407="","Warengruppe fehlt; ","")&amp;IF(B4407="","Bezeichnung fehlt; ","")&amp;IF(COUNTIFS($A$2:$A$5001,$A4407,$C$2:$C$5001,C4407)&gt;1,"Artikel doppelt im selben Lager; ",""))</f>
        <v/>
      </c>
      <c r="P4407" s="47" t="n">
        <f aca="false">IF(OR($A4407="",D4407=""),0,IF(COUNTIF($D$2:D4407,D4407)=1,SUMIF($D$2:$D$5001,D4407,$H$2:$H$5001)+ROW()/10000000,0))</f>
        <v>0</v>
      </c>
      <c r="Q4407" s="47" t="n">
        <f aca="false">IF(OR($A4407="",C4407=""),0,IF(COUNTIF($C$2:C4407,C4407)=1,SUMIF($C$2:$C$5001,C4407,$H$2:$H$5001)+ROW()/10000000,0))</f>
        <v>0</v>
      </c>
    </row>
    <row r="4408" customFormat="false" ht="15" hidden="false" customHeight="false" outlineLevel="0" collapsed="false">
      <c r="A4408" s="43"/>
      <c r="B4408" s="44"/>
      <c r="C4408" s="44"/>
      <c r="D4408" s="44"/>
      <c r="E4408" s="44"/>
      <c r="F4408" s="44"/>
      <c r="G4408" s="44"/>
      <c r="H4408" s="46" t="str">
        <f aca="false">IF($A4408="","",IF(OR(NOT(ISNUMBER(E4408)),NOT(ISNUMBER(F4408))),"",MAX(0,E4408)*F4408))</f>
        <v/>
      </c>
      <c r="I4408" s="46" t="str">
        <f aca="false">IF($A4408="","",SUMIF($A$2:$A$5001,$A4408,$H$2:$H$5001))</f>
        <v/>
      </c>
      <c r="J4408" s="47" t="n">
        <f aca="false">IF($A4408="",0,IF(COUNTIF($A$2:A4408,$A4408)=1,1,0))</f>
        <v>0</v>
      </c>
      <c r="K4408" s="47" t="n">
        <f aca="false">IF(J4408=1,N(I4408)+ROW()/10000000,0)</f>
        <v>0</v>
      </c>
      <c r="L4408" s="47" t="str">
        <f aca="false">IF(AND(J4408=1,N(I4408)&gt;0),SUMIF($K$2:$K$5001,"&gt;="&amp;K4408,$I$2:$I$5001)/MAX(1,SUM($H$2:$H$5001)),"")</f>
        <v/>
      </c>
      <c r="M4408" s="47" t="str">
        <f aca="false">IF($A4408="","",INDEX($L$2:$L$5001,MATCH($A4408,$A$2:$A$5001,0)))</f>
        <v/>
      </c>
      <c r="N4408" s="48" t="str">
        <f aca="false">IF($A4408="","",IF(N(M4408)=0,"–",IF(M4408&lt;=Start!$D$20,"A",IF(M4408&lt;=Start!$D$21,"B","C"))))</f>
        <v/>
      </c>
      <c r="O4408" s="48" t="str">
        <f aca="false">IF($A4408="","",IF(NOT(ISNUMBER(F4408)),"Wert fehlt; ",IF(F4408&lt;=0,"Wert ist 0; ",""))&amp;IF(NOT(ISNUMBER(E4408)),"Bestand fehlt; ",IF(E4408&lt;0,"Bestand negativ; ",IF(E4408=0,"Nullbestand; ","")))&amp;IF(D4408="","Warengruppe fehlt; ","")&amp;IF(B4408="","Bezeichnung fehlt; ","")&amp;IF(COUNTIFS($A$2:$A$5001,$A4408,$C$2:$C$5001,C4408)&gt;1,"Artikel doppelt im selben Lager; ",""))</f>
        <v/>
      </c>
      <c r="P4408" s="47" t="n">
        <f aca="false">IF(OR($A4408="",D4408=""),0,IF(COUNTIF($D$2:D4408,D4408)=1,SUMIF($D$2:$D$5001,D4408,$H$2:$H$5001)+ROW()/10000000,0))</f>
        <v>0</v>
      </c>
      <c r="Q4408" s="47" t="n">
        <f aca="false">IF(OR($A4408="",C4408=""),0,IF(COUNTIF($C$2:C4408,C4408)=1,SUMIF($C$2:$C$5001,C4408,$H$2:$H$5001)+ROW()/10000000,0))</f>
        <v>0</v>
      </c>
    </row>
    <row r="4409" customFormat="false" ht="15" hidden="false" customHeight="false" outlineLevel="0" collapsed="false">
      <c r="A4409" s="43"/>
      <c r="B4409" s="44"/>
      <c r="C4409" s="44"/>
      <c r="D4409" s="44"/>
      <c r="E4409" s="44"/>
      <c r="F4409" s="44"/>
      <c r="G4409" s="44"/>
      <c r="H4409" s="46" t="str">
        <f aca="false">IF($A4409="","",IF(OR(NOT(ISNUMBER(E4409)),NOT(ISNUMBER(F4409))),"",MAX(0,E4409)*F4409))</f>
        <v/>
      </c>
      <c r="I4409" s="46" t="str">
        <f aca="false">IF($A4409="","",SUMIF($A$2:$A$5001,$A4409,$H$2:$H$5001))</f>
        <v/>
      </c>
      <c r="J4409" s="47" t="n">
        <f aca="false">IF($A4409="",0,IF(COUNTIF($A$2:A4409,$A4409)=1,1,0))</f>
        <v>0</v>
      </c>
      <c r="K4409" s="47" t="n">
        <f aca="false">IF(J4409=1,N(I4409)+ROW()/10000000,0)</f>
        <v>0</v>
      </c>
      <c r="L4409" s="47" t="str">
        <f aca="false">IF(AND(J4409=1,N(I4409)&gt;0),SUMIF($K$2:$K$5001,"&gt;="&amp;K4409,$I$2:$I$5001)/MAX(1,SUM($H$2:$H$5001)),"")</f>
        <v/>
      </c>
      <c r="M4409" s="47" t="str">
        <f aca="false">IF($A4409="","",INDEX($L$2:$L$5001,MATCH($A4409,$A$2:$A$5001,0)))</f>
        <v/>
      </c>
      <c r="N4409" s="48" t="str">
        <f aca="false">IF($A4409="","",IF(N(M4409)=0,"–",IF(M4409&lt;=Start!$D$20,"A",IF(M4409&lt;=Start!$D$21,"B","C"))))</f>
        <v/>
      </c>
      <c r="O4409" s="48" t="str">
        <f aca="false">IF($A4409="","",IF(NOT(ISNUMBER(F4409)),"Wert fehlt; ",IF(F4409&lt;=0,"Wert ist 0; ",""))&amp;IF(NOT(ISNUMBER(E4409)),"Bestand fehlt; ",IF(E4409&lt;0,"Bestand negativ; ",IF(E4409=0,"Nullbestand; ","")))&amp;IF(D4409="","Warengruppe fehlt; ","")&amp;IF(B4409="","Bezeichnung fehlt; ","")&amp;IF(COUNTIFS($A$2:$A$5001,$A4409,$C$2:$C$5001,C4409)&gt;1,"Artikel doppelt im selben Lager; ",""))</f>
        <v/>
      </c>
      <c r="P4409" s="47" t="n">
        <f aca="false">IF(OR($A4409="",D4409=""),0,IF(COUNTIF($D$2:D4409,D4409)=1,SUMIF($D$2:$D$5001,D4409,$H$2:$H$5001)+ROW()/10000000,0))</f>
        <v>0</v>
      </c>
      <c r="Q4409" s="47" t="n">
        <f aca="false">IF(OR($A4409="",C4409=""),0,IF(COUNTIF($C$2:C4409,C4409)=1,SUMIF($C$2:$C$5001,C4409,$H$2:$H$5001)+ROW()/10000000,0))</f>
        <v>0</v>
      </c>
    </row>
    <row r="4410" customFormat="false" ht="15" hidden="false" customHeight="false" outlineLevel="0" collapsed="false">
      <c r="A4410" s="43"/>
      <c r="B4410" s="44"/>
      <c r="C4410" s="44"/>
      <c r="D4410" s="44"/>
      <c r="E4410" s="44"/>
      <c r="F4410" s="44"/>
      <c r="G4410" s="44"/>
      <c r="H4410" s="46" t="str">
        <f aca="false">IF($A4410="","",IF(OR(NOT(ISNUMBER(E4410)),NOT(ISNUMBER(F4410))),"",MAX(0,E4410)*F4410))</f>
        <v/>
      </c>
      <c r="I4410" s="46" t="str">
        <f aca="false">IF($A4410="","",SUMIF($A$2:$A$5001,$A4410,$H$2:$H$5001))</f>
        <v/>
      </c>
      <c r="J4410" s="47" t="n">
        <f aca="false">IF($A4410="",0,IF(COUNTIF($A$2:A4410,$A4410)=1,1,0))</f>
        <v>0</v>
      </c>
      <c r="K4410" s="47" t="n">
        <f aca="false">IF(J4410=1,N(I4410)+ROW()/10000000,0)</f>
        <v>0</v>
      </c>
      <c r="L4410" s="47" t="str">
        <f aca="false">IF(AND(J4410=1,N(I4410)&gt;0),SUMIF($K$2:$K$5001,"&gt;="&amp;K4410,$I$2:$I$5001)/MAX(1,SUM($H$2:$H$5001)),"")</f>
        <v/>
      </c>
      <c r="M4410" s="47" t="str">
        <f aca="false">IF($A4410="","",INDEX($L$2:$L$5001,MATCH($A4410,$A$2:$A$5001,0)))</f>
        <v/>
      </c>
      <c r="N4410" s="48" t="str">
        <f aca="false">IF($A4410="","",IF(N(M4410)=0,"–",IF(M4410&lt;=Start!$D$20,"A",IF(M4410&lt;=Start!$D$21,"B","C"))))</f>
        <v/>
      </c>
      <c r="O4410" s="48" t="str">
        <f aca="false">IF($A4410="","",IF(NOT(ISNUMBER(F4410)),"Wert fehlt; ",IF(F4410&lt;=0,"Wert ist 0; ",""))&amp;IF(NOT(ISNUMBER(E4410)),"Bestand fehlt; ",IF(E4410&lt;0,"Bestand negativ; ",IF(E4410=0,"Nullbestand; ","")))&amp;IF(D4410="","Warengruppe fehlt; ","")&amp;IF(B4410="","Bezeichnung fehlt; ","")&amp;IF(COUNTIFS($A$2:$A$5001,$A4410,$C$2:$C$5001,C4410)&gt;1,"Artikel doppelt im selben Lager; ",""))</f>
        <v/>
      </c>
      <c r="P4410" s="47" t="n">
        <f aca="false">IF(OR($A4410="",D4410=""),0,IF(COUNTIF($D$2:D4410,D4410)=1,SUMIF($D$2:$D$5001,D4410,$H$2:$H$5001)+ROW()/10000000,0))</f>
        <v>0</v>
      </c>
      <c r="Q4410" s="47" t="n">
        <f aca="false">IF(OR($A4410="",C4410=""),0,IF(COUNTIF($C$2:C4410,C4410)=1,SUMIF($C$2:$C$5001,C4410,$H$2:$H$5001)+ROW()/10000000,0))</f>
        <v>0</v>
      </c>
    </row>
    <row r="4411" customFormat="false" ht="15" hidden="false" customHeight="false" outlineLevel="0" collapsed="false">
      <c r="A4411" s="43"/>
      <c r="B4411" s="44"/>
      <c r="C4411" s="44"/>
      <c r="D4411" s="44"/>
      <c r="E4411" s="44"/>
      <c r="F4411" s="44"/>
      <c r="G4411" s="44"/>
      <c r="H4411" s="46" t="str">
        <f aca="false">IF($A4411="","",IF(OR(NOT(ISNUMBER(E4411)),NOT(ISNUMBER(F4411))),"",MAX(0,E4411)*F4411))</f>
        <v/>
      </c>
      <c r="I4411" s="46" t="str">
        <f aca="false">IF($A4411="","",SUMIF($A$2:$A$5001,$A4411,$H$2:$H$5001))</f>
        <v/>
      </c>
      <c r="J4411" s="47" t="n">
        <f aca="false">IF($A4411="",0,IF(COUNTIF($A$2:A4411,$A4411)=1,1,0))</f>
        <v>0</v>
      </c>
      <c r="K4411" s="47" t="n">
        <f aca="false">IF(J4411=1,N(I4411)+ROW()/10000000,0)</f>
        <v>0</v>
      </c>
      <c r="L4411" s="47" t="str">
        <f aca="false">IF(AND(J4411=1,N(I4411)&gt;0),SUMIF($K$2:$K$5001,"&gt;="&amp;K4411,$I$2:$I$5001)/MAX(1,SUM($H$2:$H$5001)),"")</f>
        <v/>
      </c>
      <c r="M4411" s="47" t="str">
        <f aca="false">IF($A4411="","",INDEX($L$2:$L$5001,MATCH($A4411,$A$2:$A$5001,0)))</f>
        <v/>
      </c>
      <c r="N4411" s="48" t="str">
        <f aca="false">IF($A4411="","",IF(N(M4411)=0,"–",IF(M4411&lt;=Start!$D$20,"A",IF(M4411&lt;=Start!$D$21,"B","C"))))</f>
        <v/>
      </c>
      <c r="O4411" s="48" t="str">
        <f aca="false">IF($A4411="","",IF(NOT(ISNUMBER(F4411)),"Wert fehlt; ",IF(F4411&lt;=0,"Wert ist 0; ",""))&amp;IF(NOT(ISNUMBER(E4411)),"Bestand fehlt; ",IF(E4411&lt;0,"Bestand negativ; ",IF(E4411=0,"Nullbestand; ","")))&amp;IF(D4411="","Warengruppe fehlt; ","")&amp;IF(B4411="","Bezeichnung fehlt; ","")&amp;IF(COUNTIFS($A$2:$A$5001,$A4411,$C$2:$C$5001,C4411)&gt;1,"Artikel doppelt im selben Lager; ",""))</f>
        <v/>
      </c>
      <c r="P4411" s="47" t="n">
        <f aca="false">IF(OR($A4411="",D4411=""),0,IF(COUNTIF($D$2:D4411,D4411)=1,SUMIF($D$2:$D$5001,D4411,$H$2:$H$5001)+ROW()/10000000,0))</f>
        <v>0</v>
      </c>
      <c r="Q4411" s="47" t="n">
        <f aca="false">IF(OR($A4411="",C4411=""),0,IF(COUNTIF($C$2:C4411,C4411)=1,SUMIF($C$2:$C$5001,C4411,$H$2:$H$5001)+ROW()/10000000,0))</f>
        <v>0</v>
      </c>
    </row>
    <row r="4412" customFormat="false" ht="15" hidden="false" customHeight="false" outlineLevel="0" collapsed="false">
      <c r="A4412" s="43"/>
      <c r="B4412" s="44"/>
      <c r="C4412" s="44"/>
      <c r="D4412" s="44"/>
      <c r="E4412" s="44"/>
      <c r="F4412" s="44"/>
      <c r="G4412" s="44"/>
      <c r="H4412" s="46" t="str">
        <f aca="false">IF($A4412="","",IF(OR(NOT(ISNUMBER(E4412)),NOT(ISNUMBER(F4412))),"",MAX(0,E4412)*F4412))</f>
        <v/>
      </c>
      <c r="I4412" s="46" t="str">
        <f aca="false">IF($A4412="","",SUMIF($A$2:$A$5001,$A4412,$H$2:$H$5001))</f>
        <v/>
      </c>
      <c r="J4412" s="47" t="n">
        <f aca="false">IF($A4412="",0,IF(COUNTIF($A$2:A4412,$A4412)=1,1,0))</f>
        <v>0</v>
      </c>
      <c r="K4412" s="47" t="n">
        <f aca="false">IF(J4412=1,N(I4412)+ROW()/10000000,0)</f>
        <v>0</v>
      </c>
      <c r="L4412" s="47" t="str">
        <f aca="false">IF(AND(J4412=1,N(I4412)&gt;0),SUMIF($K$2:$K$5001,"&gt;="&amp;K4412,$I$2:$I$5001)/MAX(1,SUM($H$2:$H$5001)),"")</f>
        <v/>
      </c>
      <c r="M4412" s="47" t="str">
        <f aca="false">IF($A4412="","",INDEX($L$2:$L$5001,MATCH($A4412,$A$2:$A$5001,0)))</f>
        <v/>
      </c>
      <c r="N4412" s="48" t="str">
        <f aca="false">IF($A4412="","",IF(N(M4412)=0,"–",IF(M4412&lt;=Start!$D$20,"A",IF(M4412&lt;=Start!$D$21,"B","C"))))</f>
        <v/>
      </c>
      <c r="O4412" s="48" t="str">
        <f aca="false">IF($A4412="","",IF(NOT(ISNUMBER(F4412)),"Wert fehlt; ",IF(F4412&lt;=0,"Wert ist 0; ",""))&amp;IF(NOT(ISNUMBER(E4412)),"Bestand fehlt; ",IF(E4412&lt;0,"Bestand negativ; ",IF(E4412=0,"Nullbestand; ","")))&amp;IF(D4412="","Warengruppe fehlt; ","")&amp;IF(B4412="","Bezeichnung fehlt; ","")&amp;IF(COUNTIFS($A$2:$A$5001,$A4412,$C$2:$C$5001,C4412)&gt;1,"Artikel doppelt im selben Lager; ",""))</f>
        <v/>
      </c>
      <c r="P4412" s="47" t="n">
        <f aca="false">IF(OR($A4412="",D4412=""),0,IF(COUNTIF($D$2:D4412,D4412)=1,SUMIF($D$2:$D$5001,D4412,$H$2:$H$5001)+ROW()/10000000,0))</f>
        <v>0</v>
      </c>
      <c r="Q4412" s="47" t="n">
        <f aca="false">IF(OR($A4412="",C4412=""),0,IF(COUNTIF($C$2:C4412,C4412)=1,SUMIF($C$2:$C$5001,C4412,$H$2:$H$5001)+ROW()/10000000,0))</f>
        <v>0</v>
      </c>
    </row>
    <row r="4413" customFormat="false" ht="15" hidden="false" customHeight="false" outlineLevel="0" collapsed="false">
      <c r="A4413" s="43"/>
      <c r="B4413" s="44"/>
      <c r="C4413" s="44"/>
      <c r="D4413" s="44"/>
      <c r="E4413" s="44"/>
      <c r="F4413" s="44"/>
      <c r="G4413" s="44"/>
      <c r="H4413" s="46" t="str">
        <f aca="false">IF($A4413="","",IF(OR(NOT(ISNUMBER(E4413)),NOT(ISNUMBER(F4413))),"",MAX(0,E4413)*F4413))</f>
        <v/>
      </c>
      <c r="I4413" s="46" t="str">
        <f aca="false">IF($A4413="","",SUMIF($A$2:$A$5001,$A4413,$H$2:$H$5001))</f>
        <v/>
      </c>
      <c r="J4413" s="47" t="n">
        <f aca="false">IF($A4413="",0,IF(COUNTIF($A$2:A4413,$A4413)=1,1,0))</f>
        <v>0</v>
      </c>
      <c r="K4413" s="47" t="n">
        <f aca="false">IF(J4413=1,N(I4413)+ROW()/10000000,0)</f>
        <v>0</v>
      </c>
      <c r="L4413" s="47" t="str">
        <f aca="false">IF(AND(J4413=1,N(I4413)&gt;0),SUMIF($K$2:$K$5001,"&gt;="&amp;K4413,$I$2:$I$5001)/MAX(1,SUM($H$2:$H$5001)),"")</f>
        <v/>
      </c>
      <c r="M4413" s="47" t="str">
        <f aca="false">IF($A4413="","",INDEX($L$2:$L$5001,MATCH($A4413,$A$2:$A$5001,0)))</f>
        <v/>
      </c>
      <c r="N4413" s="48" t="str">
        <f aca="false">IF($A4413="","",IF(N(M4413)=0,"–",IF(M4413&lt;=Start!$D$20,"A",IF(M4413&lt;=Start!$D$21,"B","C"))))</f>
        <v/>
      </c>
      <c r="O4413" s="48" t="str">
        <f aca="false">IF($A4413="","",IF(NOT(ISNUMBER(F4413)),"Wert fehlt; ",IF(F4413&lt;=0,"Wert ist 0; ",""))&amp;IF(NOT(ISNUMBER(E4413)),"Bestand fehlt; ",IF(E4413&lt;0,"Bestand negativ; ",IF(E4413=0,"Nullbestand; ","")))&amp;IF(D4413="","Warengruppe fehlt; ","")&amp;IF(B4413="","Bezeichnung fehlt; ","")&amp;IF(COUNTIFS($A$2:$A$5001,$A4413,$C$2:$C$5001,C4413)&gt;1,"Artikel doppelt im selben Lager; ",""))</f>
        <v/>
      </c>
      <c r="P4413" s="47" t="n">
        <f aca="false">IF(OR($A4413="",D4413=""),0,IF(COUNTIF($D$2:D4413,D4413)=1,SUMIF($D$2:$D$5001,D4413,$H$2:$H$5001)+ROW()/10000000,0))</f>
        <v>0</v>
      </c>
      <c r="Q4413" s="47" t="n">
        <f aca="false">IF(OR($A4413="",C4413=""),0,IF(COUNTIF($C$2:C4413,C4413)=1,SUMIF($C$2:$C$5001,C4413,$H$2:$H$5001)+ROW()/10000000,0))</f>
        <v>0</v>
      </c>
    </row>
    <row r="4414" customFormat="false" ht="15" hidden="false" customHeight="false" outlineLevel="0" collapsed="false">
      <c r="A4414" s="43"/>
      <c r="B4414" s="44"/>
      <c r="C4414" s="44"/>
      <c r="D4414" s="44"/>
      <c r="E4414" s="44"/>
      <c r="F4414" s="44"/>
      <c r="G4414" s="44"/>
      <c r="H4414" s="46" t="str">
        <f aca="false">IF($A4414="","",IF(OR(NOT(ISNUMBER(E4414)),NOT(ISNUMBER(F4414))),"",MAX(0,E4414)*F4414))</f>
        <v/>
      </c>
      <c r="I4414" s="46" t="str">
        <f aca="false">IF($A4414="","",SUMIF($A$2:$A$5001,$A4414,$H$2:$H$5001))</f>
        <v/>
      </c>
      <c r="J4414" s="47" t="n">
        <f aca="false">IF($A4414="",0,IF(COUNTIF($A$2:A4414,$A4414)=1,1,0))</f>
        <v>0</v>
      </c>
      <c r="K4414" s="47" t="n">
        <f aca="false">IF(J4414=1,N(I4414)+ROW()/10000000,0)</f>
        <v>0</v>
      </c>
      <c r="L4414" s="47" t="str">
        <f aca="false">IF(AND(J4414=1,N(I4414)&gt;0),SUMIF($K$2:$K$5001,"&gt;="&amp;K4414,$I$2:$I$5001)/MAX(1,SUM($H$2:$H$5001)),"")</f>
        <v/>
      </c>
      <c r="M4414" s="47" t="str">
        <f aca="false">IF($A4414="","",INDEX($L$2:$L$5001,MATCH($A4414,$A$2:$A$5001,0)))</f>
        <v/>
      </c>
      <c r="N4414" s="48" t="str">
        <f aca="false">IF($A4414="","",IF(N(M4414)=0,"–",IF(M4414&lt;=Start!$D$20,"A",IF(M4414&lt;=Start!$D$21,"B","C"))))</f>
        <v/>
      </c>
      <c r="O4414" s="48" t="str">
        <f aca="false">IF($A4414="","",IF(NOT(ISNUMBER(F4414)),"Wert fehlt; ",IF(F4414&lt;=0,"Wert ist 0; ",""))&amp;IF(NOT(ISNUMBER(E4414)),"Bestand fehlt; ",IF(E4414&lt;0,"Bestand negativ; ",IF(E4414=0,"Nullbestand; ","")))&amp;IF(D4414="","Warengruppe fehlt; ","")&amp;IF(B4414="","Bezeichnung fehlt; ","")&amp;IF(COUNTIFS($A$2:$A$5001,$A4414,$C$2:$C$5001,C4414)&gt;1,"Artikel doppelt im selben Lager; ",""))</f>
        <v/>
      </c>
      <c r="P4414" s="47" t="n">
        <f aca="false">IF(OR($A4414="",D4414=""),0,IF(COUNTIF($D$2:D4414,D4414)=1,SUMIF($D$2:$D$5001,D4414,$H$2:$H$5001)+ROW()/10000000,0))</f>
        <v>0</v>
      </c>
      <c r="Q4414" s="47" t="n">
        <f aca="false">IF(OR($A4414="",C4414=""),0,IF(COUNTIF($C$2:C4414,C4414)=1,SUMIF($C$2:$C$5001,C4414,$H$2:$H$5001)+ROW()/10000000,0))</f>
        <v>0</v>
      </c>
    </row>
    <row r="4415" customFormat="false" ht="15" hidden="false" customHeight="false" outlineLevel="0" collapsed="false">
      <c r="A4415" s="43"/>
      <c r="B4415" s="44"/>
      <c r="C4415" s="44"/>
      <c r="D4415" s="44"/>
      <c r="E4415" s="44"/>
      <c r="F4415" s="44"/>
      <c r="G4415" s="44"/>
      <c r="H4415" s="46" t="str">
        <f aca="false">IF($A4415="","",IF(OR(NOT(ISNUMBER(E4415)),NOT(ISNUMBER(F4415))),"",MAX(0,E4415)*F4415))</f>
        <v/>
      </c>
      <c r="I4415" s="46" t="str">
        <f aca="false">IF($A4415="","",SUMIF($A$2:$A$5001,$A4415,$H$2:$H$5001))</f>
        <v/>
      </c>
      <c r="J4415" s="47" t="n">
        <f aca="false">IF($A4415="",0,IF(COUNTIF($A$2:A4415,$A4415)=1,1,0))</f>
        <v>0</v>
      </c>
      <c r="K4415" s="47" t="n">
        <f aca="false">IF(J4415=1,N(I4415)+ROW()/10000000,0)</f>
        <v>0</v>
      </c>
      <c r="L4415" s="47" t="str">
        <f aca="false">IF(AND(J4415=1,N(I4415)&gt;0),SUMIF($K$2:$K$5001,"&gt;="&amp;K4415,$I$2:$I$5001)/MAX(1,SUM($H$2:$H$5001)),"")</f>
        <v/>
      </c>
      <c r="M4415" s="47" t="str">
        <f aca="false">IF($A4415="","",INDEX($L$2:$L$5001,MATCH($A4415,$A$2:$A$5001,0)))</f>
        <v/>
      </c>
      <c r="N4415" s="48" t="str">
        <f aca="false">IF($A4415="","",IF(N(M4415)=0,"–",IF(M4415&lt;=Start!$D$20,"A",IF(M4415&lt;=Start!$D$21,"B","C"))))</f>
        <v/>
      </c>
      <c r="O4415" s="48" t="str">
        <f aca="false">IF($A4415="","",IF(NOT(ISNUMBER(F4415)),"Wert fehlt; ",IF(F4415&lt;=0,"Wert ist 0; ",""))&amp;IF(NOT(ISNUMBER(E4415)),"Bestand fehlt; ",IF(E4415&lt;0,"Bestand negativ; ",IF(E4415=0,"Nullbestand; ","")))&amp;IF(D4415="","Warengruppe fehlt; ","")&amp;IF(B4415="","Bezeichnung fehlt; ","")&amp;IF(COUNTIFS($A$2:$A$5001,$A4415,$C$2:$C$5001,C4415)&gt;1,"Artikel doppelt im selben Lager; ",""))</f>
        <v/>
      </c>
      <c r="P4415" s="47" t="n">
        <f aca="false">IF(OR($A4415="",D4415=""),0,IF(COUNTIF($D$2:D4415,D4415)=1,SUMIF($D$2:$D$5001,D4415,$H$2:$H$5001)+ROW()/10000000,0))</f>
        <v>0</v>
      </c>
      <c r="Q4415" s="47" t="n">
        <f aca="false">IF(OR($A4415="",C4415=""),0,IF(COUNTIF($C$2:C4415,C4415)=1,SUMIF($C$2:$C$5001,C4415,$H$2:$H$5001)+ROW()/10000000,0))</f>
        <v>0</v>
      </c>
    </row>
    <row r="4416" customFormat="false" ht="15" hidden="false" customHeight="false" outlineLevel="0" collapsed="false">
      <c r="A4416" s="43"/>
      <c r="B4416" s="44"/>
      <c r="C4416" s="44"/>
      <c r="D4416" s="44"/>
      <c r="E4416" s="44"/>
      <c r="F4416" s="44"/>
      <c r="G4416" s="44"/>
      <c r="H4416" s="46" t="str">
        <f aca="false">IF($A4416="","",IF(OR(NOT(ISNUMBER(E4416)),NOT(ISNUMBER(F4416))),"",MAX(0,E4416)*F4416))</f>
        <v/>
      </c>
      <c r="I4416" s="46" t="str">
        <f aca="false">IF($A4416="","",SUMIF($A$2:$A$5001,$A4416,$H$2:$H$5001))</f>
        <v/>
      </c>
      <c r="J4416" s="47" t="n">
        <f aca="false">IF($A4416="",0,IF(COUNTIF($A$2:A4416,$A4416)=1,1,0))</f>
        <v>0</v>
      </c>
      <c r="K4416" s="47" t="n">
        <f aca="false">IF(J4416=1,N(I4416)+ROW()/10000000,0)</f>
        <v>0</v>
      </c>
      <c r="L4416" s="47" t="str">
        <f aca="false">IF(AND(J4416=1,N(I4416)&gt;0),SUMIF($K$2:$K$5001,"&gt;="&amp;K4416,$I$2:$I$5001)/MAX(1,SUM($H$2:$H$5001)),"")</f>
        <v/>
      </c>
      <c r="M4416" s="47" t="str">
        <f aca="false">IF($A4416="","",INDEX($L$2:$L$5001,MATCH($A4416,$A$2:$A$5001,0)))</f>
        <v/>
      </c>
      <c r="N4416" s="48" t="str">
        <f aca="false">IF($A4416="","",IF(N(M4416)=0,"–",IF(M4416&lt;=Start!$D$20,"A",IF(M4416&lt;=Start!$D$21,"B","C"))))</f>
        <v/>
      </c>
      <c r="O4416" s="48" t="str">
        <f aca="false">IF($A4416="","",IF(NOT(ISNUMBER(F4416)),"Wert fehlt; ",IF(F4416&lt;=0,"Wert ist 0; ",""))&amp;IF(NOT(ISNUMBER(E4416)),"Bestand fehlt; ",IF(E4416&lt;0,"Bestand negativ; ",IF(E4416=0,"Nullbestand; ","")))&amp;IF(D4416="","Warengruppe fehlt; ","")&amp;IF(B4416="","Bezeichnung fehlt; ","")&amp;IF(COUNTIFS($A$2:$A$5001,$A4416,$C$2:$C$5001,C4416)&gt;1,"Artikel doppelt im selben Lager; ",""))</f>
        <v/>
      </c>
      <c r="P4416" s="47" t="n">
        <f aca="false">IF(OR($A4416="",D4416=""),0,IF(COUNTIF($D$2:D4416,D4416)=1,SUMIF($D$2:$D$5001,D4416,$H$2:$H$5001)+ROW()/10000000,0))</f>
        <v>0</v>
      </c>
      <c r="Q4416" s="47" t="n">
        <f aca="false">IF(OR($A4416="",C4416=""),0,IF(COUNTIF($C$2:C4416,C4416)=1,SUMIF($C$2:$C$5001,C4416,$H$2:$H$5001)+ROW()/10000000,0))</f>
        <v>0</v>
      </c>
    </row>
    <row r="4417" customFormat="false" ht="15" hidden="false" customHeight="false" outlineLevel="0" collapsed="false">
      <c r="A4417" s="43"/>
      <c r="B4417" s="44"/>
      <c r="C4417" s="44"/>
      <c r="D4417" s="44"/>
      <c r="E4417" s="44"/>
      <c r="F4417" s="44"/>
      <c r="G4417" s="44"/>
      <c r="H4417" s="46" t="str">
        <f aca="false">IF($A4417="","",IF(OR(NOT(ISNUMBER(E4417)),NOT(ISNUMBER(F4417))),"",MAX(0,E4417)*F4417))</f>
        <v/>
      </c>
      <c r="I4417" s="46" t="str">
        <f aca="false">IF($A4417="","",SUMIF($A$2:$A$5001,$A4417,$H$2:$H$5001))</f>
        <v/>
      </c>
      <c r="J4417" s="47" t="n">
        <f aca="false">IF($A4417="",0,IF(COUNTIF($A$2:A4417,$A4417)=1,1,0))</f>
        <v>0</v>
      </c>
      <c r="K4417" s="47" t="n">
        <f aca="false">IF(J4417=1,N(I4417)+ROW()/10000000,0)</f>
        <v>0</v>
      </c>
      <c r="L4417" s="47" t="str">
        <f aca="false">IF(AND(J4417=1,N(I4417)&gt;0),SUMIF($K$2:$K$5001,"&gt;="&amp;K4417,$I$2:$I$5001)/MAX(1,SUM($H$2:$H$5001)),"")</f>
        <v/>
      </c>
      <c r="M4417" s="47" t="str">
        <f aca="false">IF($A4417="","",INDEX($L$2:$L$5001,MATCH($A4417,$A$2:$A$5001,0)))</f>
        <v/>
      </c>
      <c r="N4417" s="48" t="str">
        <f aca="false">IF($A4417="","",IF(N(M4417)=0,"–",IF(M4417&lt;=Start!$D$20,"A",IF(M4417&lt;=Start!$D$21,"B","C"))))</f>
        <v/>
      </c>
      <c r="O4417" s="48" t="str">
        <f aca="false">IF($A4417="","",IF(NOT(ISNUMBER(F4417)),"Wert fehlt; ",IF(F4417&lt;=0,"Wert ist 0; ",""))&amp;IF(NOT(ISNUMBER(E4417)),"Bestand fehlt; ",IF(E4417&lt;0,"Bestand negativ; ",IF(E4417=0,"Nullbestand; ","")))&amp;IF(D4417="","Warengruppe fehlt; ","")&amp;IF(B4417="","Bezeichnung fehlt; ","")&amp;IF(COUNTIFS($A$2:$A$5001,$A4417,$C$2:$C$5001,C4417)&gt;1,"Artikel doppelt im selben Lager; ",""))</f>
        <v/>
      </c>
      <c r="P4417" s="47" t="n">
        <f aca="false">IF(OR($A4417="",D4417=""),0,IF(COUNTIF($D$2:D4417,D4417)=1,SUMIF($D$2:$D$5001,D4417,$H$2:$H$5001)+ROW()/10000000,0))</f>
        <v>0</v>
      </c>
      <c r="Q4417" s="47" t="n">
        <f aca="false">IF(OR($A4417="",C4417=""),0,IF(COUNTIF($C$2:C4417,C4417)=1,SUMIF($C$2:$C$5001,C4417,$H$2:$H$5001)+ROW()/10000000,0))</f>
        <v>0</v>
      </c>
    </row>
    <row r="4418" customFormat="false" ht="15" hidden="false" customHeight="false" outlineLevel="0" collapsed="false">
      <c r="A4418" s="43"/>
      <c r="B4418" s="44"/>
      <c r="C4418" s="44"/>
      <c r="D4418" s="44"/>
      <c r="E4418" s="44"/>
      <c r="F4418" s="44"/>
      <c r="G4418" s="44"/>
      <c r="H4418" s="46" t="str">
        <f aca="false">IF($A4418="","",IF(OR(NOT(ISNUMBER(E4418)),NOT(ISNUMBER(F4418))),"",MAX(0,E4418)*F4418))</f>
        <v/>
      </c>
      <c r="I4418" s="46" t="str">
        <f aca="false">IF($A4418="","",SUMIF($A$2:$A$5001,$A4418,$H$2:$H$5001))</f>
        <v/>
      </c>
      <c r="J4418" s="47" t="n">
        <f aca="false">IF($A4418="",0,IF(COUNTIF($A$2:A4418,$A4418)=1,1,0))</f>
        <v>0</v>
      </c>
      <c r="K4418" s="47" t="n">
        <f aca="false">IF(J4418=1,N(I4418)+ROW()/10000000,0)</f>
        <v>0</v>
      </c>
      <c r="L4418" s="47" t="str">
        <f aca="false">IF(AND(J4418=1,N(I4418)&gt;0),SUMIF($K$2:$K$5001,"&gt;="&amp;K4418,$I$2:$I$5001)/MAX(1,SUM($H$2:$H$5001)),"")</f>
        <v/>
      </c>
      <c r="M4418" s="47" t="str">
        <f aca="false">IF($A4418="","",INDEX($L$2:$L$5001,MATCH($A4418,$A$2:$A$5001,0)))</f>
        <v/>
      </c>
      <c r="N4418" s="48" t="str">
        <f aca="false">IF($A4418="","",IF(N(M4418)=0,"–",IF(M4418&lt;=Start!$D$20,"A",IF(M4418&lt;=Start!$D$21,"B","C"))))</f>
        <v/>
      </c>
      <c r="O4418" s="48" t="str">
        <f aca="false">IF($A4418="","",IF(NOT(ISNUMBER(F4418)),"Wert fehlt; ",IF(F4418&lt;=0,"Wert ist 0; ",""))&amp;IF(NOT(ISNUMBER(E4418)),"Bestand fehlt; ",IF(E4418&lt;0,"Bestand negativ; ",IF(E4418=0,"Nullbestand; ","")))&amp;IF(D4418="","Warengruppe fehlt; ","")&amp;IF(B4418="","Bezeichnung fehlt; ","")&amp;IF(COUNTIFS($A$2:$A$5001,$A4418,$C$2:$C$5001,C4418)&gt;1,"Artikel doppelt im selben Lager; ",""))</f>
        <v/>
      </c>
      <c r="P4418" s="47" t="n">
        <f aca="false">IF(OR($A4418="",D4418=""),0,IF(COUNTIF($D$2:D4418,D4418)=1,SUMIF($D$2:$D$5001,D4418,$H$2:$H$5001)+ROW()/10000000,0))</f>
        <v>0</v>
      </c>
      <c r="Q4418" s="47" t="n">
        <f aca="false">IF(OR($A4418="",C4418=""),0,IF(COUNTIF($C$2:C4418,C4418)=1,SUMIF($C$2:$C$5001,C4418,$H$2:$H$5001)+ROW()/10000000,0))</f>
        <v>0</v>
      </c>
    </row>
    <row r="4419" customFormat="false" ht="15" hidden="false" customHeight="false" outlineLevel="0" collapsed="false">
      <c r="A4419" s="43"/>
      <c r="B4419" s="44"/>
      <c r="C4419" s="44"/>
      <c r="D4419" s="44"/>
      <c r="E4419" s="44"/>
      <c r="F4419" s="44"/>
      <c r="G4419" s="44"/>
      <c r="H4419" s="46" t="str">
        <f aca="false">IF($A4419="","",IF(OR(NOT(ISNUMBER(E4419)),NOT(ISNUMBER(F4419))),"",MAX(0,E4419)*F4419))</f>
        <v/>
      </c>
      <c r="I4419" s="46" t="str">
        <f aca="false">IF($A4419="","",SUMIF($A$2:$A$5001,$A4419,$H$2:$H$5001))</f>
        <v/>
      </c>
      <c r="J4419" s="47" t="n">
        <f aca="false">IF($A4419="",0,IF(COUNTIF($A$2:A4419,$A4419)=1,1,0))</f>
        <v>0</v>
      </c>
      <c r="K4419" s="47" t="n">
        <f aca="false">IF(J4419=1,N(I4419)+ROW()/10000000,0)</f>
        <v>0</v>
      </c>
      <c r="L4419" s="47" t="str">
        <f aca="false">IF(AND(J4419=1,N(I4419)&gt;0),SUMIF($K$2:$K$5001,"&gt;="&amp;K4419,$I$2:$I$5001)/MAX(1,SUM($H$2:$H$5001)),"")</f>
        <v/>
      </c>
      <c r="M4419" s="47" t="str">
        <f aca="false">IF($A4419="","",INDEX($L$2:$L$5001,MATCH($A4419,$A$2:$A$5001,0)))</f>
        <v/>
      </c>
      <c r="N4419" s="48" t="str">
        <f aca="false">IF($A4419="","",IF(N(M4419)=0,"–",IF(M4419&lt;=Start!$D$20,"A",IF(M4419&lt;=Start!$D$21,"B","C"))))</f>
        <v/>
      </c>
      <c r="O4419" s="48" t="str">
        <f aca="false">IF($A4419="","",IF(NOT(ISNUMBER(F4419)),"Wert fehlt; ",IF(F4419&lt;=0,"Wert ist 0; ",""))&amp;IF(NOT(ISNUMBER(E4419)),"Bestand fehlt; ",IF(E4419&lt;0,"Bestand negativ; ",IF(E4419=0,"Nullbestand; ","")))&amp;IF(D4419="","Warengruppe fehlt; ","")&amp;IF(B4419="","Bezeichnung fehlt; ","")&amp;IF(COUNTIFS($A$2:$A$5001,$A4419,$C$2:$C$5001,C4419)&gt;1,"Artikel doppelt im selben Lager; ",""))</f>
        <v/>
      </c>
      <c r="P4419" s="47" t="n">
        <f aca="false">IF(OR($A4419="",D4419=""),0,IF(COUNTIF($D$2:D4419,D4419)=1,SUMIF($D$2:$D$5001,D4419,$H$2:$H$5001)+ROW()/10000000,0))</f>
        <v>0</v>
      </c>
      <c r="Q4419" s="47" t="n">
        <f aca="false">IF(OR($A4419="",C4419=""),0,IF(COUNTIF($C$2:C4419,C4419)=1,SUMIF($C$2:$C$5001,C4419,$H$2:$H$5001)+ROW()/10000000,0))</f>
        <v>0</v>
      </c>
    </row>
    <row r="4420" customFormat="false" ht="15" hidden="false" customHeight="false" outlineLevel="0" collapsed="false">
      <c r="A4420" s="43"/>
      <c r="B4420" s="44"/>
      <c r="C4420" s="44"/>
      <c r="D4420" s="44"/>
      <c r="E4420" s="44"/>
      <c r="F4420" s="44"/>
      <c r="G4420" s="44"/>
      <c r="H4420" s="46" t="str">
        <f aca="false">IF($A4420="","",IF(OR(NOT(ISNUMBER(E4420)),NOT(ISNUMBER(F4420))),"",MAX(0,E4420)*F4420))</f>
        <v/>
      </c>
      <c r="I4420" s="46" t="str">
        <f aca="false">IF($A4420="","",SUMIF($A$2:$A$5001,$A4420,$H$2:$H$5001))</f>
        <v/>
      </c>
      <c r="J4420" s="47" t="n">
        <f aca="false">IF($A4420="",0,IF(COUNTIF($A$2:A4420,$A4420)=1,1,0))</f>
        <v>0</v>
      </c>
      <c r="K4420" s="47" t="n">
        <f aca="false">IF(J4420=1,N(I4420)+ROW()/10000000,0)</f>
        <v>0</v>
      </c>
      <c r="L4420" s="47" t="str">
        <f aca="false">IF(AND(J4420=1,N(I4420)&gt;0),SUMIF($K$2:$K$5001,"&gt;="&amp;K4420,$I$2:$I$5001)/MAX(1,SUM($H$2:$H$5001)),"")</f>
        <v/>
      </c>
      <c r="M4420" s="47" t="str">
        <f aca="false">IF($A4420="","",INDEX($L$2:$L$5001,MATCH($A4420,$A$2:$A$5001,0)))</f>
        <v/>
      </c>
      <c r="N4420" s="48" t="str">
        <f aca="false">IF($A4420="","",IF(N(M4420)=0,"–",IF(M4420&lt;=Start!$D$20,"A",IF(M4420&lt;=Start!$D$21,"B","C"))))</f>
        <v/>
      </c>
      <c r="O4420" s="48" t="str">
        <f aca="false">IF($A4420="","",IF(NOT(ISNUMBER(F4420)),"Wert fehlt; ",IF(F4420&lt;=0,"Wert ist 0; ",""))&amp;IF(NOT(ISNUMBER(E4420)),"Bestand fehlt; ",IF(E4420&lt;0,"Bestand negativ; ",IF(E4420=0,"Nullbestand; ","")))&amp;IF(D4420="","Warengruppe fehlt; ","")&amp;IF(B4420="","Bezeichnung fehlt; ","")&amp;IF(COUNTIFS($A$2:$A$5001,$A4420,$C$2:$C$5001,C4420)&gt;1,"Artikel doppelt im selben Lager; ",""))</f>
        <v/>
      </c>
      <c r="P4420" s="47" t="n">
        <f aca="false">IF(OR($A4420="",D4420=""),0,IF(COUNTIF($D$2:D4420,D4420)=1,SUMIF($D$2:$D$5001,D4420,$H$2:$H$5001)+ROW()/10000000,0))</f>
        <v>0</v>
      </c>
      <c r="Q4420" s="47" t="n">
        <f aca="false">IF(OR($A4420="",C4420=""),0,IF(COUNTIF($C$2:C4420,C4420)=1,SUMIF($C$2:$C$5001,C4420,$H$2:$H$5001)+ROW()/10000000,0))</f>
        <v>0</v>
      </c>
    </row>
    <row r="4421" customFormat="false" ht="15" hidden="false" customHeight="false" outlineLevel="0" collapsed="false">
      <c r="A4421" s="43"/>
      <c r="B4421" s="44"/>
      <c r="C4421" s="44"/>
      <c r="D4421" s="44"/>
      <c r="E4421" s="44"/>
      <c r="F4421" s="44"/>
      <c r="G4421" s="44"/>
      <c r="H4421" s="46" t="str">
        <f aca="false">IF($A4421="","",IF(OR(NOT(ISNUMBER(E4421)),NOT(ISNUMBER(F4421))),"",MAX(0,E4421)*F4421))</f>
        <v/>
      </c>
      <c r="I4421" s="46" t="str">
        <f aca="false">IF($A4421="","",SUMIF($A$2:$A$5001,$A4421,$H$2:$H$5001))</f>
        <v/>
      </c>
      <c r="J4421" s="47" t="n">
        <f aca="false">IF($A4421="",0,IF(COUNTIF($A$2:A4421,$A4421)=1,1,0))</f>
        <v>0</v>
      </c>
      <c r="K4421" s="47" t="n">
        <f aca="false">IF(J4421=1,N(I4421)+ROW()/10000000,0)</f>
        <v>0</v>
      </c>
      <c r="L4421" s="47" t="str">
        <f aca="false">IF(AND(J4421=1,N(I4421)&gt;0),SUMIF($K$2:$K$5001,"&gt;="&amp;K4421,$I$2:$I$5001)/MAX(1,SUM($H$2:$H$5001)),"")</f>
        <v/>
      </c>
      <c r="M4421" s="47" t="str">
        <f aca="false">IF($A4421="","",INDEX($L$2:$L$5001,MATCH($A4421,$A$2:$A$5001,0)))</f>
        <v/>
      </c>
      <c r="N4421" s="48" t="str">
        <f aca="false">IF($A4421="","",IF(N(M4421)=0,"–",IF(M4421&lt;=Start!$D$20,"A",IF(M4421&lt;=Start!$D$21,"B","C"))))</f>
        <v/>
      </c>
      <c r="O4421" s="48" t="str">
        <f aca="false">IF($A4421="","",IF(NOT(ISNUMBER(F4421)),"Wert fehlt; ",IF(F4421&lt;=0,"Wert ist 0; ",""))&amp;IF(NOT(ISNUMBER(E4421)),"Bestand fehlt; ",IF(E4421&lt;0,"Bestand negativ; ",IF(E4421=0,"Nullbestand; ","")))&amp;IF(D4421="","Warengruppe fehlt; ","")&amp;IF(B4421="","Bezeichnung fehlt; ","")&amp;IF(COUNTIFS($A$2:$A$5001,$A4421,$C$2:$C$5001,C4421)&gt;1,"Artikel doppelt im selben Lager; ",""))</f>
        <v/>
      </c>
      <c r="P4421" s="47" t="n">
        <f aca="false">IF(OR($A4421="",D4421=""),0,IF(COUNTIF($D$2:D4421,D4421)=1,SUMIF($D$2:$D$5001,D4421,$H$2:$H$5001)+ROW()/10000000,0))</f>
        <v>0</v>
      </c>
      <c r="Q4421" s="47" t="n">
        <f aca="false">IF(OR($A4421="",C4421=""),0,IF(COUNTIF($C$2:C4421,C4421)=1,SUMIF($C$2:$C$5001,C4421,$H$2:$H$5001)+ROW()/10000000,0))</f>
        <v>0</v>
      </c>
    </row>
    <row r="4422" customFormat="false" ht="15" hidden="false" customHeight="false" outlineLevel="0" collapsed="false">
      <c r="A4422" s="43"/>
      <c r="B4422" s="44"/>
      <c r="C4422" s="44"/>
      <c r="D4422" s="44"/>
      <c r="E4422" s="44"/>
      <c r="F4422" s="44"/>
      <c r="G4422" s="44"/>
      <c r="H4422" s="46" t="str">
        <f aca="false">IF($A4422="","",IF(OR(NOT(ISNUMBER(E4422)),NOT(ISNUMBER(F4422))),"",MAX(0,E4422)*F4422))</f>
        <v/>
      </c>
      <c r="I4422" s="46" t="str">
        <f aca="false">IF($A4422="","",SUMIF($A$2:$A$5001,$A4422,$H$2:$H$5001))</f>
        <v/>
      </c>
      <c r="J4422" s="47" t="n">
        <f aca="false">IF($A4422="",0,IF(COUNTIF($A$2:A4422,$A4422)=1,1,0))</f>
        <v>0</v>
      </c>
      <c r="K4422" s="47" t="n">
        <f aca="false">IF(J4422=1,N(I4422)+ROW()/10000000,0)</f>
        <v>0</v>
      </c>
      <c r="L4422" s="47" t="str">
        <f aca="false">IF(AND(J4422=1,N(I4422)&gt;0),SUMIF($K$2:$K$5001,"&gt;="&amp;K4422,$I$2:$I$5001)/MAX(1,SUM($H$2:$H$5001)),"")</f>
        <v/>
      </c>
      <c r="M4422" s="47" t="str">
        <f aca="false">IF($A4422="","",INDEX($L$2:$L$5001,MATCH($A4422,$A$2:$A$5001,0)))</f>
        <v/>
      </c>
      <c r="N4422" s="48" t="str">
        <f aca="false">IF($A4422="","",IF(N(M4422)=0,"–",IF(M4422&lt;=Start!$D$20,"A",IF(M4422&lt;=Start!$D$21,"B","C"))))</f>
        <v/>
      </c>
      <c r="O4422" s="48" t="str">
        <f aca="false">IF($A4422="","",IF(NOT(ISNUMBER(F4422)),"Wert fehlt; ",IF(F4422&lt;=0,"Wert ist 0; ",""))&amp;IF(NOT(ISNUMBER(E4422)),"Bestand fehlt; ",IF(E4422&lt;0,"Bestand negativ; ",IF(E4422=0,"Nullbestand; ","")))&amp;IF(D4422="","Warengruppe fehlt; ","")&amp;IF(B4422="","Bezeichnung fehlt; ","")&amp;IF(COUNTIFS($A$2:$A$5001,$A4422,$C$2:$C$5001,C4422)&gt;1,"Artikel doppelt im selben Lager; ",""))</f>
        <v/>
      </c>
      <c r="P4422" s="47" t="n">
        <f aca="false">IF(OR($A4422="",D4422=""),0,IF(COUNTIF($D$2:D4422,D4422)=1,SUMIF($D$2:$D$5001,D4422,$H$2:$H$5001)+ROW()/10000000,0))</f>
        <v>0</v>
      </c>
      <c r="Q4422" s="47" t="n">
        <f aca="false">IF(OR($A4422="",C4422=""),0,IF(COUNTIF($C$2:C4422,C4422)=1,SUMIF($C$2:$C$5001,C4422,$H$2:$H$5001)+ROW()/10000000,0))</f>
        <v>0</v>
      </c>
    </row>
    <row r="4423" customFormat="false" ht="15" hidden="false" customHeight="false" outlineLevel="0" collapsed="false">
      <c r="A4423" s="43"/>
      <c r="B4423" s="44"/>
      <c r="C4423" s="44"/>
      <c r="D4423" s="44"/>
      <c r="E4423" s="44"/>
      <c r="F4423" s="44"/>
      <c r="G4423" s="44"/>
      <c r="H4423" s="46" t="str">
        <f aca="false">IF($A4423="","",IF(OR(NOT(ISNUMBER(E4423)),NOT(ISNUMBER(F4423))),"",MAX(0,E4423)*F4423))</f>
        <v/>
      </c>
      <c r="I4423" s="46" t="str">
        <f aca="false">IF($A4423="","",SUMIF($A$2:$A$5001,$A4423,$H$2:$H$5001))</f>
        <v/>
      </c>
      <c r="J4423" s="47" t="n">
        <f aca="false">IF($A4423="",0,IF(COUNTIF($A$2:A4423,$A4423)=1,1,0))</f>
        <v>0</v>
      </c>
      <c r="K4423" s="47" t="n">
        <f aca="false">IF(J4423=1,N(I4423)+ROW()/10000000,0)</f>
        <v>0</v>
      </c>
      <c r="L4423" s="47" t="str">
        <f aca="false">IF(AND(J4423=1,N(I4423)&gt;0),SUMIF($K$2:$K$5001,"&gt;="&amp;K4423,$I$2:$I$5001)/MAX(1,SUM($H$2:$H$5001)),"")</f>
        <v/>
      </c>
      <c r="M4423" s="47" t="str">
        <f aca="false">IF($A4423="","",INDEX($L$2:$L$5001,MATCH($A4423,$A$2:$A$5001,0)))</f>
        <v/>
      </c>
      <c r="N4423" s="48" t="str">
        <f aca="false">IF($A4423="","",IF(N(M4423)=0,"–",IF(M4423&lt;=Start!$D$20,"A",IF(M4423&lt;=Start!$D$21,"B","C"))))</f>
        <v/>
      </c>
      <c r="O4423" s="48" t="str">
        <f aca="false">IF($A4423="","",IF(NOT(ISNUMBER(F4423)),"Wert fehlt; ",IF(F4423&lt;=0,"Wert ist 0; ",""))&amp;IF(NOT(ISNUMBER(E4423)),"Bestand fehlt; ",IF(E4423&lt;0,"Bestand negativ; ",IF(E4423=0,"Nullbestand; ","")))&amp;IF(D4423="","Warengruppe fehlt; ","")&amp;IF(B4423="","Bezeichnung fehlt; ","")&amp;IF(COUNTIFS($A$2:$A$5001,$A4423,$C$2:$C$5001,C4423)&gt;1,"Artikel doppelt im selben Lager; ",""))</f>
        <v/>
      </c>
      <c r="P4423" s="47" t="n">
        <f aca="false">IF(OR($A4423="",D4423=""),0,IF(COUNTIF($D$2:D4423,D4423)=1,SUMIF($D$2:$D$5001,D4423,$H$2:$H$5001)+ROW()/10000000,0))</f>
        <v>0</v>
      </c>
      <c r="Q4423" s="47" t="n">
        <f aca="false">IF(OR($A4423="",C4423=""),0,IF(COUNTIF($C$2:C4423,C4423)=1,SUMIF($C$2:$C$5001,C4423,$H$2:$H$5001)+ROW()/10000000,0))</f>
        <v>0</v>
      </c>
    </row>
    <row r="4424" customFormat="false" ht="15" hidden="false" customHeight="false" outlineLevel="0" collapsed="false">
      <c r="A4424" s="43"/>
      <c r="B4424" s="44"/>
      <c r="C4424" s="44"/>
      <c r="D4424" s="44"/>
      <c r="E4424" s="44"/>
      <c r="F4424" s="44"/>
      <c r="G4424" s="44"/>
      <c r="H4424" s="46" t="str">
        <f aca="false">IF($A4424="","",IF(OR(NOT(ISNUMBER(E4424)),NOT(ISNUMBER(F4424))),"",MAX(0,E4424)*F4424))</f>
        <v/>
      </c>
      <c r="I4424" s="46" t="str">
        <f aca="false">IF($A4424="","",SUMIF($A$2:$A$5001,$A4424,$H$2:$H$5001))</f>
        <v/>
      </c>
      <c r="J4424" s="47" t="n">
        <f aca="false">IF($A4424="",0,IF(COUNTIF($A$2:A4424,$A4424)=1,1,0))</f>
        <v>0</v>
      </c>
      <c r="K4424" s="47" t="n">
        <f aca="false">IF(J4424=1,N(I4424)+ROW()/10000000,0)</f>
        <v>0</v>
      </c>
      <c r="L4424" s="47" t="str">
        <f aca="false">IF(AND(J4424=1,N(I4424)&gt;0),SUMIF($K$2:$K$5001,"&gt;="&amp;K4424,$I$2:$I$5001)/MAX(1,SUM($H$2:$H$5001)),"")</f>
        <v/>
      </c>
      <c r="M4424" s="47" t="str">
        <f aca="false">IF($A4424="","",INDEX($L$2:$L$5001,MATCH($A4424,$A$2:$A$5001,0)))</f>
        <v/>
      </c>
      <c r="N4424" s="48" t="str">
        <f aca="false">IF($A4424="","",IF(N(M4424)=0,"–",IF(M4424&lt;=Start!$D$20,"A",IF(M4424&lt;=Start!$D$21,"B","C"))))</f>
        <v/>
      </c>
      <c r="O4424" s="48" t="str">
        <f aca="false">IF($A4424="","",IF(NOT(ISNUMBER(F4424)),"Wert fehlt; ",IF(F4424&lt;=0,"Wert ist 0; ",""))&amp;IF(NOT(ISNUMBER(E4424)),"Bestand fehlt; ",IF(E4424&lt;0,"Bestand negativ; ",IF(E4424=0,"Nullbestand; ","")))&amp;IF(D4424="","Warengruppe fehlt; ","")&amp;IF(B4424="","Bezeichnung fehlt; ","")&amp;IF(COUNTIFS($A$2:$A$5001,$A4424,$C$2:$C$5001,C4424)&gt;1,"Artikel doppelt im selben Lager; ",""))</f>
        <v/>
      </c>
      <c r="P4424" s="47" t="n">
        <f aca="false">IF(OR($A4424="",D4424=""),0,IF(COUNTIF($D$2:D4424,D4424)=1,SUMIF($D$2:$D$5001,D4424,$H$2:$H$5001)+ROW()/10000000,0))</f>
        <v>0</v>
      </c>
      <c r="Q4424" s="47" t="n">
        <f aca="false">IF(OR($A4424="",C4424=""),0,IF(COUNTIF($C$2:C4424,C4424)=1,SUMIF($C$2:$C$5001,C4424,$H$2:$H$5001)+ROW()/10000000,0))</f>
        <v>0</v>
      </c>
    </row>
    <row r="4425" customFormat="false" ht="15" hidden="false" customHeight="false" outlineLevel="0" collapsed="false">
      <c r="A4425" s="43"/>
      <c r="B4425" s="44"/>
      <c r="C4425" s="44"/>
      <c r="D4425" s="44"/>
      <c r="E4425" s="44"/>
      <c r="F4425" s="44"/>
      <c r="G4425" s="44"/>
      <c r="H4425" s="46" t="str">
        <f aca="false">IF($A4425="","",IF(OR(NOT(ISNUMBER(E4425)),NOT(ISNUMBER(F4425))),"",MAX(0,E4425)*F4425))</f>
        <v/>
      </c>
      <c r="I4425" s="46" t="str">
        <f aca="false">IF($A4425="","",SUMIF($A$2:$A$5001,$A4425,$H$2:$H$5001))</f>
        <v/>
      </c>
      <c r="J4425" s="47" t="n">
        <f aca="false">IF($A4425="",0,IF(COUNTIF($A$2:A4425,$A4425)=1,1,0))</f>
        <v>0</v>
      </c>
      <c r="K4425" s="47" t="n">
        <f aca="false">IF(J4425=1,N(I4425)+ROW()/10000000,0)</f>
        <v>0</v>
      </c>
      <c r="L4425" s="47" t="str">
        <f aca="false">IF(AND(J4425=1,N(I4425)&gt;0),SUMIF($K$2:$K$5001,"&gt;="&amp;K4425,$I$2:$I$5001)/MAX(1,SUM($H$2:$H$5001)),"")</f>
        <v/>
      </c>
      <c r="M4425" s="47" t="str">
        <f aca="false">IF($A4425="","",INDEX($L$2:$L$5001,MATCH($A4425,$A$2:$A$5001,0)))</f>
        <v/>
      </c>
      <c r="N4425" s="48" t="str">
        <f aca="false">IF($A4425="","",IF(N(M4425)=0,"–",IF(M4425&lt;=Start!$D$20,"A",IF(M4425&lt;=Start!$D$21,"B","C"))))</f>
        <v/>
      </c>
      <c r="O4425" s="48" t="str">
        <f aca="false">IF($A4425="","",IF(NOT(ISNUMBER(F4425)),"Wert fehlt; ",IF(F4425&lt;=0,"Wert ist 0; ",""))&amp;IF(NOT(ISNUMBER(E4425)),"Bestand fehlt; ",IF(E4425&lt;0,"Bestand negativ; ",IF(E4425=0,"Nullbestand; ","")))&amp;IF(D4425="","Warengruppe fehlt; ","")&amp;IF(B4425="","Bezeichnung fehlt; ","")&amp;IF(COUNTIFS($A$2:$A$5001,$A4425,$C$2:$C$5001,C4425)&gt;1,"Artikel doppelt im selben Lager; ",""))</f>
        <v/>
      </c>
      <c r="P4425" s="47" t="n">
        <f aca="false">IF(OR($A4425="",D4425=""),0,IF(COUNTIF($D$2:D4425,D4425)=1,SUMIF($D$2:$D$5001,D4425,$H$2:$H$5001)+ROW()/10000000,0))</f>
        <v>0</v>
      </c>
      <c r="Q4425" s="47" t="n">
        <f aca="false">IF(OR($A4425="",C4425=""),0,IF(COUNTIF($C$2:C4425,C4425)=1,SUMIF($C$2:$C$5001,C4425,$H$2:$H$5001)+ROW()/10000000,0))</f>
        <v>0</v>
      </c>
    </row>
    <row r="4426" customFormat="false" ht="15" hidden="false" customHeight="false" outlineLevel="0" collapsed="false">
      <c r="A4426" s="43"/>
      <c r="B4426" s="44"/>
      <c r="C4426" s="44"/>
      <c r="D4426" s="44"/>
      <c r="E4426" s="44"/>
      <c r="F4426" s="44"/>
      <c r="G4426" s="44"/>
      <c r="H4426" s="46" t="str">
        <f aca="false">IF($A4426="","",IF(OR(NOT(ISNUMBER(E4426)),NOT(ISNUMBER(F4426))),"",MAX(0,E4426)*F4426))</f>
        <v/>
      </c>
      <c r="I4426" s="46" t="str">
        <f aca="false">IF($A4426="","",SUMIF($A$2:$A$5001,$A4426,$H$2:$H$5001))</f>
        <v/>
      </c>
      <c r="J4426" s="47" t="n">
        <f aca="false">IF($A4426="",0,IF(COUNTIF($A$2:A4426,$A4426)=1,1,0))</f>
        <v>0</v>
      </c>
      <c r="K4426" s="47" t="n">
        <f aca="false">IF(J4426=1,N(I4426)+ROW()/10000000,0)</f>
        <v>0</v>
      </c>
      <c r="L4426" s="47" t="str">
        <f aca="false">IF(AND(J4426=1,N(I4426)&gt;0),SUMIF($K$2:$K$5001,"&gt;="&amp;K4426,$I$2:$I$5001)/MAX(1,SUM($H$2:$H$5001)),"")</f>
        <v/>
      </c>
      <c r="M4426" s="47" t="str">
        <f aca="false">IF($A4426="","",INDEX($L$2:$L$5001,MATCH($A4426,$A$2:$A$5001,0)))</f>
        <v/>
      </c>
      <c r="N4426" s="48" t="str">
        <f aca="false">IF($A4426="","",IF(N(M4426)=0,"–",IF(M4426&lt;=Start!$D$20,"A",IF(M4426&lt;=Start!$D$21,"B","C"))))</f>
        <v/>
      </c>
      <c r="O4426" s="48" t="str">
        <f aca="false">IF($A4426="","",IF(NOT(ISNUMBER(F4426)),"Wert fehlt; ",IF(F4426&lt;=0,"Wert ist 0; ",""))&amp;IF(NOT(ISNUMBER(E4426)),"Bestand fehlt; ",IF(E4426&lt;0,"Bestand negativ; ",IF(E4426=0,"Nullbestand; ","")))&amp;IF(D4426="","Warengruppe fehlt; ","")&amp;IF(B4426="","Bezeichnung fehlt; ","")&amp;IF(COUNTIFS($A$2:$A$5001,$A4426,$C$2:$C$5001,C4426)&gt;1,"Artikel doppelt im selben Lager; ",""))</f>
        <v/>
      </c>
      <c r="P4426" s="47" t="n">
        <f aca="false">IF(OR($A4426="",D4426=""),0,IF(COUNTIF($D$2:D4426,D4426)=1,SUMIF($D$2:$D$5001,D4426,$H$2:$H$5001)+ROW()/10000000,0))</f>
        <v>0</v>
      </c>
      <c r="Q4426" s="47" t="n">
        <f aca="false">IF(OR($A4426="",C4426=""),0,IF(COUNTIF($C$2:C4426,C4426)=1,SUMIF($C$2:$C$5001,C4426,$H$2:$H$5001)+ROW()/10000000,0))</f>
        <v>0</v>
      </c>
    </row>
    <row r="4427" customFormat="false" ht="15" hidden="false" customHeight="false" outlineLevel="0" collapsed="false">
      <c r="A4427" s="43"/>
      <c r="B4427" s="44"/>
      <c r="C4427" s="44"/>
      <c r="D4427" s="44"/>
      <c r="E4427" s="44"/>
      <c r="F4427" s="44"/>
      <c r="G4427" s="44"/>
      <c r="H4427" s="46" t="str">
        <f aca="false">IF($A4427="","",IF(OR(NOT(ISNUMBER(E4427)),NOT(ISNUMBER(F4427))),"",MAX(0,E4427)*F4427))</f>
        <v/>
      </c>
      <c r="I4427" s="46" t="str">
        <f aca="false">IF($A4427="","",SUMIF($A$2:$A$5001,$A4427,$H$2:$H$5001))</f>
        <v/>
      </c>
      <c r="J4427" s="47" t="n">
        <f aca="false">IF($A4427="",0,IF(COUNTIF($A$2:A4427,$A4427)=1,1,0))</f>
        <v>0</v>
      </c>
      <c r="K4427" s="47" t="n">
        <f aca="false">IF(J4427=1,N(I4427)+ROW()/10000000,0)</f>
        <v>0</v>
      </c>
      <c r="L4427" s="47" t="str">
        <f aca="false">IF(AND(J4427=1,N(I4427)&gt;0),SUMIF($K$2:$K$5001,"&gt;="&amp;K4427,$I$2:$I$5001)/MAX(1,SUM($H$2:$H$5001)),"")</f>
        <v/>
      </c>
      <c r="M4427" s="47" t="str">
        <f aca="false">IF($A4427="","",INDEX($L$2:$L$5001,MATCH($A4427,$A$2:$A$5001,0)))</f>
        <v/>
      </c>
      <c r="N4427" s="48" t="str">
        <f aca="false">IF($A4427="","",IF(N(M4427)=0,"–",IF(M4427&lt;=Start!$D$20,"A",IF(M4427&lt;=Start!$D$21,"B","C"))))</f>
        <v/>
      </c>
      <c r="O4427" s="48" t="str">
        <f aca="false">IF($A4427="","",IF(NOT(ISNUMBER(F4427)),"Wert fehlt; ",IF(F4427&lt;=0,"Wert ist 0; ",""))&amp;IF(NOT(ISNUMBER(E4427)),"Bestand fehlt; ",IF(E4427&lt;0,"Bestand negativ; ",IF(E4427=0,"Nullbestand; ","")))&amp;IF(D4427="","Warengruppe fehlt; ","")&amp;IF(B4427="","Bezeichnung fehlt; ","")&amp;IF(COUNTIFS($A$2:$A$5001,$A4427,$C$2:$C$5001,C4427)&gt;1,"Artikel doppelt im selben Lager; ",""))</f>
        <v/>
      </c>
      <c r="P4427" s="47" t="n">
        <f aca="false">IF(OR($A4427="",D4427=""),0,IF(COUNTIF($D$2:D4427,D4427)=1,SUMIF($D$2:$D$5001,D4427,$H$2:$H$5001)+ROW()/10000000,0))</f>
        <v>0</v>
      </c>
      <c r="Q4427" s="47" t="n">
        <f aca="false">IF(OR($A4427="",C4427=""),0,IF(COUNTIF($C$2:C4427,C4427)=1,SUMIF($C$2:$C$5001,C4427,$H$2:$H$5001)+ROW()/10000000,0))</f>
        <v>0</v>
      </c>
    </row>
    <row r="4428" customFormat="false" ht="15" hidden="false" customHeight="false" outlineLevel="0" collapsed="false">
      <c r="A4428" s="43"/>
      <c r="B4428" s="44"/>
      <c r="C4428" s="44"/>
      <c r="D4428" s="44"/>
      <c r="E4428" s="44"/>
      <c r="F4428" s="44"/>
      <c r="G4428" s="44"/>
      <c r="H4428" s="46" t="str">
        <f aca="false">IF($A4428="","",IF(OR(NOT(ISNUMBER(E4428)),NOT(ISNUMBER(F4428))),"",MAX(0,E4428)*F4428))</f>
        <v/>
      </c>
      <c r="I4428" s="46" t="str">
        <f aca="false">IF($A4428="","",SUMIF($A$2:$A$5001,$A4428,$H$2:$H$5001))</f>
        <v/>
      </c>
      <c r="J4428" s="47" t="n">
        <f aca="false">IF($A4428="",0,IF(COUNTIF($A$2:A4428,$A4428)=1,1,0))</f>
        <v>0</v>
      </c>
      <c r="K4428" s="47" t="n">
        <f aca="false">IF(J4428=1,N(I4428)+ROW()/10000000,0)</f>
        <v>0</v>
      </c>
      <c r="L4428" s="47" t="str">
        <f aca="false">IF(AND(J4428=1,N(I4428)&gt;0),SUMIF($K$2:$K$5001,"&gt;="&amp;K4428,$I$2:$I$5001)/MAX(1,SUM($H$2:$H$5001)),"")</f>
        <v/>
      </c>
      <c r="M4428" s="47" t="str">
        <f aca="false">IF($A4428="","",INDEX($L$2:$L$5001,MATCH($A4428,$A$2:$A$5001,0)))</f>
        <v/>
      </c>
      <c r="N4428" s="48" t="str">
        <f aca="false">IF($A4428="","",IF(N(M4428)=0,"–",IF(M4428&lt;=Start!$D$20,"A",IF(M4428&lt;=Start!$D$21,"B","C"))))</f>
        <v/>
      </c>
      <c r="O4428" s="48" t="str">
        <f aca="false">IF($A4428="","",IF(NOT(ISNUMBER(F4428)),"Wert fehlt; ",IF(F4428&lt;=0,"Wert ist 0; ",""))&amp;IF(NOT(ISNUMBER(E4428)),"Bestand fehlt; ",IF(E4428&lt;0,"Bestand negativ; ",IF(E4428=0,"Nullbestand; ","")))&amp;IF(D4428="","Warengruppe fehlt; ","")&amp;IF(B4428="","Bezeichnung fehlt; ","")&amp;IF(COUNTIFS($A$2:$A$5001,$A4428,$C$2:$C$5001,C4428)&gt;1,"Artikel doppelt im selben Lager; ",""))</f>
        <v/>
      </c>
      <c r="P4428" s="47" t="n">
        <f aca="false">IF(OR($A4428="",D4428=""),0,IF(COUNTIF($D$2:D4428,D4428)=1,SUMIF($D$2:$D$5001,D4428,$H$2:$H$5001)+ROW()/10000000,0))</f>
        <v>0</v>
      </c>
      <c r="Q4428" s="47" t="n">
        <f aca="false">IF(OR($A4428="",C4428=""),0,IF(COUNTIF($C$2:C4428,C4428)=1,SUMIF($C$2:$C$5001,C4428,$H$2:$H$5001)+ROW()/10000000,0))</f>
        <v>0</v>
      </c>
    </row>
    <row r="4429" customFormat="false" ht="15" hidden="false" customHeight="false" outlineLevel="0" collapsed="false">
      <c r="A4429" s="43"/>
      <c r="B4429" s="44"/>
      <c r="C4429" s="44"/>
      <c r="D4429" s="44"/>
      <c r="E4429" s="44"/>
      <c r="F4429" s="44"/>
      <c r="G4429" s="44"/>
      <c r="H4429" s="46" t="str">
        <f aca="false">IF($A4429="","",IF(OR(NOT(ISNUMBER(E4429)),NOT(ISNUMBER(F4429))),"",MAX(0,E4429)*F4429))</f>
        <v/>
      </c>
      <c r="I4429" s="46" t="str">
        <f aca="false">IF($A4429="","",SUMIF($A$2:$A$5001,$A4429,$H$2:$H$5001))</f>
        <v/>
      </c>
      <c r="J4429" s="47" t="n">
        <f aca="false">IF($A4429="",0,IF(COUNTIF($A$2:A4429,$A4429)=1,1,0))</f>
        <v>0</v>
      </c>
      <c r="K4429" s="47" t="n">
        <f aca="false">IF(J4429=1,N(I4429)+ROW()/10000000,0)</f>
        <v>0</v>
      </c>
      <c r="L4429" s="47" t="str">
        <f aca="false">IF(AND(J4429=1,N(I4429)&gt;0),SUMIF($K$2:$K$5001,"&gt;="&amp;K4429,$I$2:$I$5001)/MAX(1,SUM($H$2:$H$5001)),"")</f>
        <v/>
      </c>
      <c r="M4429" s="47" t="str">
        <f aca="false">IF($A4429="","",INDEX($L$2:$L$5001,MATCH($A4429,$A$2:$A$5001,0)))</f>
        <v/>
      </c>
      <c r="N4429" s="48" t="str">
        <f aca="false">IF($A4429="","",IF(N(M4429)=0,"–",IF(M4429&lt;=Start!$D$20,"A",IF(M4429&lt;=Start!$D$21,"B","C"))))</f>
        <v/>
      </c>
      <c r="O4429" s="48" t="str">
        <f aca="false">IF($A4429="","",IF(NOT(ISNUMBER(F4429)),"Wert fehlt; ",IF(F4429&lt;=0,"Wert ist 0; ",""))&amp;IF(NOT(ISNUMBER(E4429)),"Bestand fehlt; ",IF(E4429&lt;0,"Bestand negativ; ",IF(E4429=0,"Nullbestand; ","")))&amp;IF(D4429="","Warengruppe fehlt; ","")&amp;IF(B4429="","Bezeichnung fehlt; ","")&amp;IF(COUNTIFS($A$2:$A$5001,$A4429,$C$2:$C$5001,C4429)&gt;1,"Artikel doppelt im selben Lager; ",""))</f>
        <v/>
      </c>
      <c r="P4429" s="47" t="n">
        <f aca="false">IF(OR($A4429="",D4429=""),0,IF(COUNTIF($D$2:D4429,D4429)=1,SUMIF($D$2:$D$5001,D4429,$H$2:$H$5001)+ROW()/10000000,0))</f>
        <v>0</v>
      </c>
      <c r="Q4429" s="47" t="n">
        <f aca="false">IF(OR($A4429="",C4429=""),0,IF(COUNTIF($C$2:C4429,C4429)=1,SUMIF($C$2:$C$5001,C4429,$H$2:$H$5001)+ROW()/10000000,0))</f>
        <v>0</v>
      </c>
    </row>
    <row r="4430" customFormat="false" ht="15" hidden="false" customHeight="false" outlineLevel="0" collapsed="false">
      <c r="A4430" s="43"/>
      <c r="B4430" s="44"/>
      <c r="C4430" s="44"/>
      <c r="D4430" s="44"/>
      <c r="E4430" s="44"/>
      <c r="F4430" s="44"/>
      <c r="G4430" s="44"/>
      <c r="H4430" s="46" t="str">
        <f aca="false">IF($A4430="","",IF(OR(NOT(ISNUMBER(E4430)),NOT(ISNUMBER(F4430))),"",MAX(0,E4430)*F4430))</f>
        <v/>
      </c>
      <c r="I4430" s="46" t="str">
        <f aca="false">IF($A4430="","",SUMIF($A$2:$A$5001,$A4430,$H$2:$H$5001))</f>
        <v/>
      </c>
      <c r="J4430" s="47" t="n">
        <f aca="false">IF($A4430="",0,IF(COUNTIF($A$2:A4430,$A4430)=1,1,0))</f>
        <v>0</v>
      </c>
      <c r="K4430" s="47" t="n">
        <f aca="false">IF(J4430=1,N(I4430)+ROW()/10000000,0)</f>
        <v>0</v>
      </c>
      <c r="L4430" s="47" t="str">
        <f aca="false">IF(AND(J4430=1,N(I4430)&gt;0),SUMIF($K$2:$K$5001,"&gt;="&amp;K4430,$I$2:$I$5001)/MAX(1,SUM($H$2:$H$5001)),"")</f>
        <v/>
      </c>
      <c r="M4430" s="47" t="str">
        <f aca="false">IF($A4430="","",INDEX($L$2:$L$5001,MATCH($A4430,$A$2:$A$5001,0)))</f>
        <v/>
      </c>
      <c r="N4430" s="48" t="str">
        <f aca="false">IF($A4430="","",IF(N(M4430)=0,"–",IF(M4430&lt;=Start!$D$20,"A",IF(M4430&lt;=Start!$D$21,"B","C"))))</f>
        <v/>
      </c>
      <c r="O4430" s="48" t="str">
        <f aca="false">IF($A4430="","",IF(NOT(ISNUMBER(F4430)),"Wert fehlt; ",IF(F4430&lt;=0,"Wert ist 0; ",""))&amp;IF(NOT(ISNUMBER(E4430)),"Bestand fehlt; ",IF(E4430&lt;0,"Bestand negativ; ",IF(E4430=0,"Nullbestand; ","")))&amp;IF(D4430="","Warengruppe fehlt; ","")&amp;IF(B4430="","Bezeichnung fehlt; ","")&amp;IF(COUNTIFS($A$2:$A$5001,$A4430,$C$2:$C$5001,C4430)&gt;1,"Artikel doppelt im selben Lager; ",""))</f>
        <v/>
      </c>
      <c r="P4430" s="47" t="n">
        <f aca="false">IF(OR($A4430="",D4430=""),0,IF(COUNTIF($D$2:D4430,D4430)=1,SUMIF($D$2:$D$5001,D4430,$H$2:$H$5001)+ROW()/10000000,0))</f>
        <v>0</v>
      </c>
      <c r="Q4430" s="47" t="n">
        <f aca="false">IF(OR($A4430="",C4430=""),0,IF(COUNTIF($C$2:C4430,C4430)=1,SUMIF($C$2:$C$5001,C4430,$H$2:$H$5001)+ROW()/10000000,0))</f>
        <v>0</v>
      </c>
    </row>
    <row r="4431" customFormat="false" ht="15" hidden="false" customHeight="false" outlineLevel="0" collapsed="false">
      <c r="A4431" s="43"/>
      <c r="B4431" s="44"/>
      <c r="C4431" s="44"/>
      <c r="D4431" s="44"/>
      <c r="E4431" s="44"/>
      <c r="F4431" s="44"/>
      <c r="G4431" s="44"/>
      <c r="H4431" s="46" t="str">
        <f aca="false">IF($A4431="","",IF(OR(NOT(ISNUMBER(E4431)),NOT(ISNUMBER(F4431))),"",MAX(0,E4431)*F4431))</f>
        <v/>
      </c>
      <c r="I4431" s="46" t="str">
        <f aca="false">IF($A4431="","",SUMIF($A$2:$A$5001,$A4431,$H$2:$H$5001))</f>
        <v/>
      </c>
      <c r="J4431" s="47" t="n">
        <f aca="false">IF($A4431="",0,IF(COUNTIF($A$2:A4431,$A4431)=1,1,0))</f>
        <v>0</v>
      </c>
      <c r="K4431" s="47" t="n">
        <f aca="false">IF(J4431=1,N(I4431)+ROW()/10000000,0)</f>
        <v>0</v>
      </c>
      <c r="L4431" s="47" t="str">
        <f aca="false">IF(AND(J4431=1,N(I4431)&gt;0),SUMIF($K$2:$K$5001,"&gt;="&amp;K4431,$I$2:$I$5001)/MAX(1,SUM($H$2:$H$5001)),"")</f>
        <v/>
      </c>
      <c r="M4431" s="47" t="str">
        <f aca="false">IF($A4431="","",INDEX($L$2:$L$5001,MATCH($A4431,$A$2:$A$5001,0)))</f>
        <v/>
      </c>
      <c r="N4431" s="48" t="str">
        <f aca="false">IF($A4431="","",IF(N(M4431)=0,"–",IF(M4431&lt;=Start!$D$20,"A",IF(M4431&lt;=Start!$D$21,"B","C"))))</f>
        <v/>
      </c>
      <c r="O4431" s="48" t="str">
        <f aca="false">IF($A4431="","",IF(NOT(ISNUMBER(F4431)),"Wert fehlt; ",IF(F4431&lt;=0,"Wert ist 0; ",""))&amp;IF(NOT(ISNUMBER(E4431)),"Bestand fehlt; ",IF(E4431&lt;0,"Bestand negativ; ",IF(E4431=0,"Nullbestand; ","")))&amp;IF(D4431="","Warengruppe fehlt; ","")&amp;IF(B4431="","Bezeichnung fehlt; ","")&amp;IF(COUNTIFS($A$2:$A$5001,$A4431,$C$2:$C$5001,C4431)&gt;1,"Artikel doppelt im selben Lager; ",""))</f>
        <v/>
      </c>
      <c r="P4431" s="47" t="n">
        <f aca="false">IF(OR($A4431="",D4431=""),0,IF(COUNTIF($D$2:D4431,D4431)=1,SUMIF($D$2:$D$5001,D4431,$H$2:$H$5001)+ROW()/10000000,0))</f>
        <v>0</v>
      </c>
      <c r="Q4431" s="47" t="n">
        <f aca="false">IF(OR($A4431="",C4431=""),0,IF(COUNTIF($C$2:C4431,C4431)=1,SUMIF($C$2:$C$5001,C4431,$H$2:$H$5001)+ROW()/10000000,0))</f>
        <v>0</v>
      </c>
    </row>
    <row r="4432" customFormat="false" ht="15" hidden="false" customHeight="false" outlineLevel="0" collapsed="false">
      <c r="A4432" s="43"/>
      <c r="B4432" s="44"/>
      <c r="C4432" s="44"/>
      <c r="D4432" s="44"/>
      <c r="E4432" s="44"/>
      <c r="F4432" s="44"/>
      <c r="G4432" s="44"/>
      <c r="H4432" s="46" t="str">
        <f aca="false">IF($A4432="","",IF(OR(NOT(ISNUMBER(E4432)),NOT(ISNUMBER(F4432))),"",MAX(0,E4432)*F4432))</f>
        <v/>
      </c>
      <c r="I4432" s="46" t="str">
        <f aca="false">IF($A4432="","",SUMIF($A$2:$A$5001,$A4432,$H$2:$H$5001))</f>
        <v/>
      </c>
      <c r="J4432" s="47" t="n">
        <f aca="false">IF($A4432="",0,IF(COUNTIF($A$2:A4432,$A4432)=1,1,0))</f>
        <v>0</v>
      </c>
      <c r="K4432" s="47" t="n">
        <f aca="false">IF(J4432=1,N(I4432)+ROW()/10000000,0)</f>
        <v>0</v>
      </c>
      <c r="L4432" s="47" t="str">
        <f aca="false">IF(AND(J4432=1,N(I4432)&gt;0),SUMIF($K$2:$K$5001,"&gt;="&amp;K4432,$I$2:$I$5001)/MAX(1,SUM($H$2:$H$5001)),"")</f>
        <v/>
      </c>
      <c r="M4432" s="47" t="str">
        <f aca="false">IF($A4432="","",INDEX($L$2:$L$5001,MATCH($A4432,$A$2:$A$5001,0)))</f>
        <v/>
      </c>
      <c r="N4432" s="48" t="str">
        <f aca="false">IF($A4432="","",IF(N(M4432)=0,"–",IF(M4432&lt;=Start!$D$20,"A",IF(M4432&lt;=Start!$D$21,"B","C"))))</f>
        <v/>
      </c>
      <c r="O4432" s="48" t="str">
        <f aca="false">IF($A4432="","",IF(NOT(ISNUMBER(F4432)),"Wert fehlt; ",IF(F4432&lt;=0,"Wert ist 0; ",""))&amp;IF(NOT(ISNUMBER(E4432)),"Bestand fehlt; ",IF(E4432&lt;0,"Bestand negativ; ",IF(E4432=0,"Nullbestand; ","")))&amp;IF(D4432="","Warengruppe fehlt; ","")&amp;IF(B4432="","Bezeichnung fehlt; ","")&amp;IF(COUNTIFS($A$2:$A$5001,$A4432,$C$2:$C$5001,C4432)&gt;1,"Artikel doppelt im selben Lager; ",""))</f>
        <v/>
      </c>
      <c r="P4432" s="47" t="n">
        <f aca="false">IF(OR($A4432="",D4432=""),0,IF(COUNTIF($D$2:D4432,D4432)=1,SUMIF($D$2:$D$5001,D4432,$H$2:$H$5001)+ROW()/10000000,0))</f>
        <v>0</v>
      </c>
      <c r="Q4432" s="47" t="n">
        <f aca="false">IF(OR($A4432="",C4432=""),0,IF(COUNTIF($C$2:C4432,C4432)=1,SUMIF($C$2:$C$5001,C4432,$H$2:$H$5001)+ROW()/10000000,0))</f>
        <v>0</v>
      </c>
    </row>
    <row r="4433" customFormat="false" ht="15" hidden="false" customHeight="false" outlineLevel="0" collapsed="false">
      <c r="A4433" s="43"/>
      <c r="B4433" s="44"/>
      <c r="C4433" s="44"/>
      <c r="D4433" s="44"/>
      <c r="E4433" s="44"/>
      <c r="F4433" s="44"/>
      <c r="G4433" s="44"/>
      <c r="H4433" s="46" t="str">
        <f aca="false">IF($A4433="","",IF(OR(NOT(ISNUMBER(E4433)),NOT(ISNUMBER(F4433))),"",MAX(0,E4433)*F4433))</f>
        <v/>
      </c>
      <c r="I4433" s="46" t="str">
        <f aca="false">IF($A4433="","",SUMIF($A$2:$A$5001,$A4433,$H$2:$H$5001))</f>
        <v/>
      </c>
      <c r="J4433" s="47" t="n">
        <f aca="false">IF($A4433="",0,IF(COUNTIF($A$2:A4433,$A4433)=1,1,0))</f>
        <v>0</v>
      </c>
      <c r="K4433" s="47" t="n">
        <f aca="false">IF(J4433=1,N(I4433)+ROW()/10000000,0)</f>
        <v>0</v>
      </c>
      <c r="L4433" s="47" t="str">
        <f aca="false">IF(AND(J4433=1,N(I4433)&gt;0),SUMIF($K$2:$K$5001,"&gt;="&amp;K4433,$I$2:$I$5001)/MAX(1,SUM($H$2:$H$5001)),"")</f>
        <v/>
      </c>
      <c r="M4433" s="47" t="str">
        <f aca="false">IF($A4433="","",INDEX($L$2:$L$5001,MATCH($A4433,$A$2:$A$5001,0)))</f>
        <v/>
      </c>
      <c r="N4433" s="48" t="str">
        <f aca="false">IF($A4433="","",IF(N(M4433)=0,"–",IF(M4433&lt;=Start!$D$20,"A",IF(M4433&lt;=Start!$D$21,"B","C"))))</f>
        <v/>
      </c>
      <c r="O4433" s="48" t="str">
        <f aca="false">IF($A4433="","",IF(NOT(ISNUMBER(F4433)),"Wert fehlt; ",IF(F4433&lt;=0,"Wert ist 0; ",""))&amp;IF(NOT(ISNUMBER(E4433)),"Bestand fehlt; ",IF(E4433&lt;0,"Bestand negativ; ",IF(E4433=0,"Nullbestand; ","")))&amp;IF(D4433="","Warengruppe fehlt; ","")&amp;IF(B4433="","Bezeichnung fehlt; ","")&amp;IF(COUNTIFS($A$2:$A$5001,$A4433,$C$2:$C$5001,C4433)&gt;1,"Artikel doppelt im selben Lager; ",""))</f>
        <v/>
      </c>
      <c r="P4433" s="47" t="n">
        <f aca="false">IF(OR($A4433="",D4433=""),0,IF(COUNTIF($D$2:D4433,D4433)=1,SUMIF($D$2:$D$5001,D4433,$H$2:$H$5001)+ROW()/10000000,0))</f>
        <v>0</v>
      </c>
      <c r="Q4433" s="47" t="n">
        <f aca="false">IF(OR($A4433="",C4433=""),0,IF(COUNTIF($C$2:C4433,C4433)=1,SUMIF($C$2:$C$5001,C4433,$H$2:$H$5001)+ROW()/10000000,0))</f>
        <v>0</v>
      </c>
    </row>
    <row r="4434" customFormat="false" ht="15" hidden="false" customHeight="false" outlineLevel="0" collapsed="false">
      <c r="A4434" s="43"/>
      <c r="B4434" s="44"/>
      <c r="C4434" s="44"/>
      <c r="D4434" s="44"/>
      <c r="E4434" s="44"/>
      <c r="F4434" s="44"/>
      <c r="G4434" s="44"/>
      <c r="H4434" s="46" t="str">
        <f aca="false">IF($A4434="","",IF(OR(NOT(ISNUMBER(E4434)),NOT(ISNUMBER(F4434))),"",MAX(0,E4434)*F4434))</f>
        <v/>
      </c>
      <c r="I4434" s="46" t="str">
        <f aca="false">IF($A4434="","",SUMIF($A$2:$A$5001,$A4434,$H$2:$H$5001))</f>
        <v/>
      </c>
      <c r="J4434" s="47" t="n">
        <f aca="false">IF($A4434="",0,IF(COUNTIF($A$2:A4434,$A4434)=1,1,0))</f>
        <v>0</v>
      </c>
      <c r="K4434" s="47" t="n">
        <f aca="false">IF(J4434=1,N(I4434)+ROW()/10000000,0)</f>
        <v>0</v>
      </c>
      <c r="L4434" s="47" t="str">
        <f aca="false">IF(AND(J4434=1,N(I4434)&gt;0),SUMIF($K$2:$K$5001,"&gt;="&amp;K4434,$I$2:$I$5001)/MAX(1,SUM($H$2:$H$5001)),"")</f>
        <v/>
      </c>
      <c r="M4434" s="47" t="str">
        <f aca="false">IF($A4434="","",INDEX($L$2:$L$5001,MATCH($A4434,$A$2:$A$5001,0)))</f>
        <v/>
      </c>
      <c r="N4434" s="48" t="str">
        <f aca="false">IF($A4434="","",IF(N(M4434)=0,"–",IF(M4434&lt;=Start!$D$20,"A",IF(M4434&lt;=Start!$D$21,"B","C"))))</f>
        <v/>
      </c>
      <c r="O4434" s="48" t="str">
        <f aca="false">IF($A4434="","",IF(NOT(ISNUMBER(F4434)),"Wert fehlt; ",IF(F4434&lt;=0,"Wert ist 0; ",""))&amp;IF(NOT(ISNUMBER(E4434)),"Bestand fehlt; ",IF(E4434&lt;0,"Bestand negativ; ",IF(E4434=0,"Nullbestand; ","")))&amp;IF(D4434="","Warengruppe fehlt; ","")&amp;IF(B4434="","Bezeichnung fehlt; ","")&amp;IF(COUNTIFS($A$2:$A$5001,$A4434,$C$2:$C$5001,C4434)&gt;1,"Artikel doppelt im selben Lager; ",""))</f>
        <v/>
      </c>
      <c r="P4434" s="47" t="n">
        <f aca="false">IF(OR($A4434="",D4434=""),0,IF(COUNTIF($D$2:D4434,D4434)=1,SUMIF($D$2:$D$5001,D4434,$H$2:$H$5001)+ROW()/10000000,0))</f>
        <v>0</v>
      </c>
      <c r="Q4434" s="47" t="n">
        <f aca="false">IF(OR($A4434="",C4434=""),0,IF(COUNTIF($C$2:C4434,C4434)=1,SUMIF($C$2:$C$5001,C4434,$H$2:$H$5001)+ROW()/10000000,0))</f>
        <v>0</v>
      </c>
    </row>
    <row r="4435" customFormat="false" ht="15" hidden="false" customHeight="false" outlineLevel="0" collapsed="false">
      <c r="A4435" s="43"/>
      <c r="B4435" s="44"/>
      <c r="C4435" s="44"/>
      <c r="D4435" s="44"/>
      <c r="E4435" s="44"/>
      <c r="F4435" s="44"/>
      <c r="G4435" s="44"/>
      <c r="H4435" s="46" t="str">
        <f aca="false">IF($A4435="","",IF(OR(NOT(ISNUMBER(E4435)),NOT(ISNUMBER(F4435))),"",MAX(0,E4435)*F4435))</f>
        <v/>
      </c>
      <c r="I4435" s="46" t="str">
        <f aca="false">IF($A4435="","",SUMIF($A$2:$A$5001,$A4435,$H$2:$H$5001))</f>
        <v/>
      </c>
      <c r="J4435" s="47" t="n">
        <f aca="false">IF($A4435="",0,IF(COUNTIF($A$2:A4435,$A4435)=1,1,0))</f>
        <v>0</v>
      </c>
      <c r="K4435" s="47" t="n">
        <f aca="false">IF(J4435=1,N(I4435)+ROW()/10000000,0)</f>
        <v>0</v>
      </c>
      <c r="L4435" s="47" t="str">
        <f aca="false">IF(AND(J4435=1,N(I4435)&gt;0),SUMIF($K$2:$K$5001,"&gt;="&amp;K4435,$I$2:$I$5001)/MAX(1,SUM($H$2:$H$5001)),"")</f>
        <v/>
      </c>
      <c r="M4435" s="47" t="str">
        <f aca="false">IF($A4435="","",INDEX($L$2:$L$5001,MATCH($A4435,$A$2:$A$5001,0)))</f>
        <v/>
      </c>
      <c r="N4435" s="48" t="str">
        <f aca="false">IF($A4435="","",IF(N(M4435)=0,"–",IF(M4435&lt;=Start!$D$20,"A",IF(M4435&lt;=Start!$D$21,"B","C"))))</f>
        <v/>
      </c>
      <c r="O4435" s="48" t="str">
        <f aca="false">IF($A4435="","",IF(NOT(ISNUMBER(F4435)),"Wert fehlt; ",IF(F4435&lt;=0,"Wert ist 0; ",""))&amp;IF(NOT(ISNUMBER(E4435)),"Bestand fehlt; ",IF(E4435&lt;0,"Bestand negativ; ",IF(E4435=0,"Nullbestand; ","")))&amp;IF(D4435="","Warengruppe fehlt; ","")&amp;IF(B4435="","Bezeichnung fehlt; ","")&amp;IF(COUNTIFS($A$2:$A$5001,$A4435,$C$2:$C$5001,C4435)&gt;1,"Artikel doppelt im selben Lager; ",""))</f>
        <v/>
      </c>
      <c r="P4435" s="47" t="n">
        <f aca="false">IF(OR($A4435="",D4435=""),0,IF(COUNTIF($D$2:D4435,D4435)=1,SUMIF($D$2:$D$5001,D4435,$H$2:$H$5001)+ROW()/10000000,0))</f>
        <v>0</v>
      </c>
      <c r="Q4435" s="47" t="n">
        <f aca="false">IF(OR($A4435="",C4435=""),0,IF(COUNTIF($C$2:C4435,C4435)=1,SUMIF($C$2:$C$5001,C4435,$H$2:$H$5001)+ROW()/10000000,0))</f>
        <v>0</v>
      </c>
    </row>
    <row r="4436" customFormat="false" ht="15" hidden="false" customHeight="false" outlineLevel="0" collapsed="false">
      <c r="A4436" s="43"/>
      <c r="B4436" s="44"/>
      <c r="C4436" s="44"/>
      <c r="D4436" s="44"/>
      <c r="E4436" s="44"/>
      <c r="F4436" s="44"/>
      <c r="G4436" s="44"/>
      <c r="H4436" s="46" t="str">
        <f aca="false">IF($A4436="","",IF(OR(NOT(ISNUMBER(E4436)),NOT(ISNUMBER(F4436))),"",MAX(0,E4436)*F4436))</f>
        <v/>
      </c>
      <c r="I4436" s="46" t="str">
        <f aca="false">IF($A4436="","",SUMIF($A$2:$A$5001,$A4436,$H$2:$H$5001))</f>
        <v/>
      </c>
      <c r="J4436" s="47" t="n">
        <f aca="false">IF($A4436="",0,IF(COUNTIF($A$2:A4436,$A4436)=1,1,0))</f>
        <v>0</v>
      </c>
      <c r="K4436" s="47" t="n">
        <f aca="false">IF(J4436=1,N(I4436)+ROW()/10000000,0)</f>
        <v>0</v>
      </c>
      <c r="L4436" s="47" t="str">
        <f aca="false">IF(AND(J4436=1,N(I4436)&gt;0),SUMIF($K$2:$K$5001,"&gt;="&amp;K4436,$I$2:$I$5001)/MAX(1,SUM($H$2:$H$5001)),"")</f>
        <v/>
      </c>
      <c r="M4436" s="47" t="str">
        <f aca="false">IF($A4436="","",INDEX($L$2:$L$5001,MATCH($A4436,$A$2:$A$5001,0)))</f>
        <v/>
      </c>
      <c r="N4436" s="48" t="str">
        <f aca="false">IF($A4436="","",IF(N(M4436)=0,"–",IF(M4436&lt;=Start!$D$20,"A",IF(M4436&lt;=Start!$D$21,"B","C"))))</f>
        <v/>
      </c>
      <c r="O4436" s="48" t="str">
        <f aca="false">IF($A4436="","",IF(NOT(ISNUMBER(F4436)),"Wert fehlt; ",IF(F4436&lt;=0,"Wert ist 0; ",""))&amp;IF(NOT(ISNUMBER(E4436)),"Bestand fehlt; ",IF(E4436&lt;0,"Bestand negativ; ",IF(E4436=0,"Nullbestand; ","")))&amp;IF(D4436="","Warengruppe fehlt; ","")&amp;IF(B4436="","Bezeichnung fehlt; ","")&amp;IF(COUNTIFS($A$2:$A$5001,$A4436,$C$2:$C$5001,C4436)&gt;1,"Artikel doppelt im selben Lager; ",""))</f>
        <v/>
      </c>
      <c r="P4436" s="47" t="n">
        <f aca="false">IF(OR($A4436="",D4436=""),0,IF(COUNTIF($D$2:D4436,D4436)=1,SUMIF($D$2:$D$5001,D4436,$H$2:$H$5001)+ROW()/10000000,0))</f>
        <v>0</v>
      </c>
      <c r="Q4436" s="47" t="n">
        <f aca="false">IF(OR($A4436="",C4436=""),0,IF(COUNTIF($C$2:C4436,C4436)=1,SUMIF($C$2:$C$5001,C4436,$H$2:$H$5001)+ROW()/10000000,0))</f>
        <v>0</v>
      </c>
    </row>
    <row r="4437" customFormat="false" ht="15" hidden="false" customHeight="false" outlineLevel="0" collapsed="false">
      <c r="A4437" s="43"/>
      <c r="B4437" s="44"/>
      <c r="C4437" s="44"/>
      <c r="D4437" s="44"/>
      <c r="E4437" s="44"/>
      <c r="F4437" s="44"/>
      <c r="G4437" s="44"/>
      <c r="H4437" s="46" t="str">
        <f aca="false">IF($A4437="","",IF(OR(NOT(ISNUMBER(E4437)),NOT(ISNUMBER(F4437))),"",MAX(0,E4437)*F4437))</f>
        <v/>
      </c>
      <c r="I4437" s="46" t="str">
        <f aca="false">IF($A4437="","",SUMIF($A$2:$A$5001,$A4437,$H$2:$H$5001))</f>
        <v/>
      </c>
      <c r="J4437" s="47" t="n">
        <f aca="false">IF($A4437="",0,IF(COUNTIF($A$2:A4437,$A4437)=1,1,0))</f>
        <v>0</v>
      </c>
      <c r="K4437" s="47" t="n">
        <f aca="false">IF(J4437=1,N(I4437)+ROW()/10000000,0)</f>
        <v>0</v>
      </c>
      <c r="L4437" s="47" t="str">
        <f aca="false">IF(AND(J4437=1,N(I4437)&gt;0),SUMIF($K$2:$K$5001,"&gt;="&amp;K4437,$I$2:$I$5001)/MAX(1,SUM($H$2:$H$5001)),"")</f>
        <v/>
      </c>
      <c r="M4437" s="47" t="str">
        <f aca="false">IF($A4437="","",INDEX($L$2:$L$5001,MATCH($A4437,$A$2:$A$5001,0)))</f>
        <v/>
      </c>
      <c r="N4437" s="48" t="str">
        <f aca="false">IF($A4437="","",IF(N(M4437)=0,"–",IF(M4437&lt;=Start!$D$20,"A",IF(M4437&lt;=Start!$D$21,"B","C"))))</f>
        <v/>
      </c>
      <c r="O4437" s="48" t="str">
        <f aca="false">IF($A4437="","",IF(NOT(ISNUMBER(F4437)),"Wert fehlt; ",IF(F4437&lt;=0,"Wert ist 0; ",""))&amp;IF(NOT(ISNUMBER(E4437)),"Bestand fehlt; ",IF(E4437&lt;0,"Bestand negativ; ",IF(E4437=0,"Nullbestand; ","")))&amp;IF(D4437="","Warengruppe fehlt; ","")&amp;IF(B4437="","Bezeichnung fehlt; ","")&amp;IF(COUNTIFS($A$2:$A$5001,$A4437,$C$2:$C$5001,C4437)&gt;1,"Artikel doppelt im selben Lager; ",""))</f>
        <v/>
      </c>
      <c r="P4437" s="47" t="n">
        <f aca="false">IF(OR($A4437="",D4437=""),0,IF(COUNTIF($D$2:D4437,D4437)=1,SUMIF($D$2:$D$5001,D4437,$H$2:$H$5001)+ROW()/10000000,0))</f>
        <v>0</v>
      </c>
      <c r="Q4437" s="47" t="n">
        <f aca="false">IF(OR($A4437="",C4437=""),0,IF(COUNTIF($C$2:C4437,C4437)=1,SUMIF($C$2:$C$5001,C4437,$H$2:$H$5001)+ROW()/10000000,0))</f>
        <v>0</v>
      </c>
    </row>
    <row r="4438" customFormat="false" ht="15" hidden="false" customHeight="false" outlineLevel="0" collapsed="false">
      <c r="A4438" s="43"/>
      <c r="B4438" s="44"/>
      <c r="C4438" s="44"/>
      <c r="D4438" s="44"/>
      <c r="E4438" s="44"/>
      <c r="F4438" s="44"/>
      <c r="G4438" s="44"/>
      <c r="H4438" s="46" t="str">
        <f aca="false">IF($A4438="","",IF(OR(NOT(ISNUMBER(E4438)),NOT(ISNUMBER(F4438))),"",MAX(0,E4438)*F4438))</f>
        <v/>
      </c>
      <c r="I4438" s="46" t="str">
        <f aca="false">IF($A4438="","",SUMIF($A$2:$A$5001,$A4438,$H$2:$H$5001))</f>
        <v/>
      </c>
      <c r="J4438" s="47" t="n">
        <f aca="false">IF($A4438="",0,IF(COUNTIF($A$2:A4438,$A4438)=1,1,0))</f>
        <v>0</v>
      </c>
      <c r="K4438" s="47" t="n">
        <f aca="false">IF(J4438=1,N(I4438)+ROW()/10000000,0)</f>
        <v>0</v>
      </c>
      <c r="L4438" s="47" t="str">
        <f aca="false">IF(AND(J4438=1,N(I4438)&gt;0),SUMIF($K$2:$K$5001,"&gt;="&amp;K4438,$I$2:$I$5001)/MAX(1,SUM($H$2:$H$5001)),"")</f>
        <v/>
      </c>
      <c r="M4438" s="47" t="str">
        <f aca="false">IF($A4438="","",INDEX($L$2:$L$5001,MATCH($A4438,$A$2:$A$5001,0)))</f>
        <v/>
      </c>
      <c r="N4438" s="48" t="str">
        <f aca="false">IF($A4438="","",IF(N(M4438)=0,"–",IF(M4438&lt;=Start!$D$20,"A",IF(M4438&lt;=Start!$D$21,"B","C"))))</f>
        <v/>
      </c>
      <c r="O4438" s="48" t="str">
        <f aca="false">IF($A4438="","",IF(NOT(ISNUMBER(F4438)),"Wert fehlt; ",IF(F4438&lt;=0,"Wert ist 0; ",""))&amp;IF(NOT(ISNUMBER(E4438)),"Bestand fehlt; ",IF(E4438&lt;0,"Bestand negativ; ",IF(E4438=0,"Nullbestand; ","")))&amp;IF(D4438="","Warengruppe fehlt; ","")&amp;IF(B4438="","Bezeichnung fehlt; ","")&amp;IF(COUNTIFS($A$2:$A$5001,$A4438,$C$2:$C$5001,C4438)&gt;1,"Artikel doppelt im selben Lager; ",""))</f>
        <v/>
      </c>
      <c r="P4438" s="47" t="n">
        <f aca="false">IF(OR($A4438="",D4438=""),0,IF(COUNTIF($D$2:D4438,D4438)=1,SUMIF($D$2:$D$5001,D4438,$H$2:$H$5001)+ROW()/10000000,0))</f>
        <v>0</v>
      </c>
      <c r="Q4438" s="47" t="n">
        <f aca="false">IF(OR($A4438="",C4438=""),0,IF(COUNTIF($C$2:C4438,C4438)=1,SUMIF($C$2:$C$5001,C4438,$H$2:$H$5001)+ROW()/10000000,0))</f>
        <v>0</v>
      </c>
    </row>
    <row r="4439" customFormat="false" ht="15" hidden="false" customHeight="false" outlineLevel="0" collapsed="false">
      <c r="A4439" s="43"/>
      <c r="B4439" s="44"/>
      <c r="C4439" s="44"/>
      <c r="D4439" s="44"/>
      <c r="E4439" s="44"/>
      <c r="F4439" s="44"/>
      <c r="G4439" s="44"/>
      <c r="H4439" s="46" t="str">
        <f aca="false">IF($A4439="","",IF(OR(NOT(ISNUMBER(E4439)),NOT(ISNUMBER(F4439))),"",MAX(0,E4439)*F4439))</f>
        <v/>
      </c>
      <c r="I4439" s="46" t="str">
        <f aca="false">IF($A4439="","",SUMIF($A$2:$A$5001,$A4439,$H$2:$H$5001))</f>
        <v/>
      </c>
      <c r="J4439" s="47" t="n">
        <f aca="false">IF($A4439="",0,IF(COUNTIF($A$2:A4439,$A4439)=1,1,0))</f>
        <v>0</v>
      </c>
      <c r="K4439" s="47" t="n">
        <f aca="false">IF(J4439=1,N(I4439)+ROW()/10000000,0)</f>
        <v>0</v>
      </c>
      <c r="L4439" s="47" t="str">
        <f aca="false">IF(AND(J4439=1,N(I4439)&gt;0),SUMIF($K$2:$K$5001,"&gt;="&amp;K4439,$I$2:$I$5001)/MAX(1,SUM($H$2:$H$5001)),"")</f>
        <v/>
      </c>
      <c r="M4439" s="47" t="str">
        <f aca="false">IF($A4439="","",INDEX($L$2:$L$5001,MATCH($A4439,$A$2:$A$5001,0)))</f>
        <v/>
      </c>
      <c r="N4439" s="48" t="str">
        <f aca="false">IF($A4439="","",IF(N(M4439)=0,"–",IF(M4439&lt;=Start!$D$20,"A",IF(M4439&lt;=Start!$D$21,"B","C"))))</f>
        <v/>
      </c>
      <c r="O4439" s="48" t="str">
        <f aca="false">IF($A4439="","",IF(NOT(ISNUMBER(F4439)),"Wert fehlt; ",IF(F4439&lt;=0,"Wert ist 0; ",""))&amp;IF(NOT(ISNUMBER(E4439)),"Bestand fehlt; ",IF(E4439&lt;0,"Bestand negativ; ",IF(E4439=0,"Nullbestand; ","")))&amp;IF(D4439="","Warengruppe fehlt; ","")&amp;IF(B4439="","Bezeichnung fehlt; ","")&amp;IF(COUNTIFS($A$2:$A$5001,$A4439,$C$2:$C$5001,C4439)&gt;1,"Artikel doppelt im selben Lager; ",""))</f>
        <v/>
      </c>
      <c r="P4439" s="47" t="n">
        <f aca="false">IF(OR($A4439="",D4439=""),0,IF(COUNTIF($D$2:D4439,D4439)=1,SUMIF($D$2:$D$5001,D4439,$H$2:$H$5001)+ROW()/10000000,0))</f>
        <v>0</v>
      </c>
      <c r="Q4439" s="47" t="n">
        <f aca="false">IF(OR($A4439="",C4439=""),0,IF(COUNTIF($C$2:C4439,C4439)=1,SUMIF($C$2:$C$5001,C4439,$H$2:$H$5001)+ROW()/10000000,0))</f>
        <v>0</v>
      </c>
    </row>
    <row r="4440" customFormat="false" ht="15" hidden="false" customHeight="false" outlineLevel="0" collapsed="false">
      <c r="A4440" s="43"/>
      <c r="B4440" s="44"/>
      <c r="C4440" s="44"/>
      <c r="D4440" s="44"/>
      <c r="E4440" s="44"/>
      <c r="F4440" s="44"/>
      <c r="G4440" s="44"/>
      <c r="H4440" s="46" t="str">
        <f aca="false">IF($A4440="","",IF(OR(NOT(ISNUMBER(E4440)),NOT(ISNUMBER(F4440))),"",MAX(0,E4440)*F4440))</f>
        <v/>
      </c>
      <c r="I4440" s="46" t="str">
        <f aca="false">IF($A4440="","",SUMIF($A$2:$A$5001,$A4440,$H$2:$H$5001))</f>
        <v/>
      </c>
      <c r="J4440" s="47" t="n">
        <f aca="false">IF($A4440="",0,IF(COUNTIF($A$2:A4440,$A4440)=1,1,0))</f>
        <v>0</v>
      </c>
      <c r="K4440" s="47" t="n">
        <f aca="false">IF(J4440=1,N(I4440)+ROW()/10000000,0)</f>
        <v>0</v>
      </c>
      <c r="L4440" s="47" t="str">
        <f aca="false">IF(AND(J4440=1,N(I4440)&gt;0),SUMIF($K$2:$K$5001,"&gt;="&amp;K4440,$I$2:$I$5001)/MAX(1,SUM($H$2:$H$5001)),"")</f>
        <v/>
      </c>
      <c r="M4440" s="47" t="str">
        <f aca="false">IF($A4440="","",INDEX($L$2:$L$5001,MATCH($A4440,$A$2:$A$5001,0)))</f>
        <v/>
      </c>
      <c r="N4440" s="48" t="str">
        <f aca="false">IF($A4440="","",IF(N(M4440)=0,"–",IF(M4440&lt;=Start!$D$20,"A",IF(M4440&lt;=Start!$D$21,"B","C"))))</f>
        <v/>
      </c>
      <c r="O4440" s="48" t="str">
        <f aca="false">IF($A4440="","",IF(NOT(ISNUMBER(F4440)),"Wert fehlt; ",IF(F4440&lt;=0,"Wert ist 0; ",""))&amp;IF(NOT(ISNUMBER(E4440)),"Bestand fehlt; ",IF(E4440&lt;0,"Bestand negativ; ",IF(E4440=0,"Nullbestand; ","")))&amp;IF(D4440="","Warengruppe fehlt; ","")&amp;IF(B4440="","Bezeichnung fehlt; ","")&amp;IF(COUNTIFS($A$2:$A$5001,$A4440,$C$2:$C$5001,C4440)&gt;1,"Artikel doppelt im selben Lager; ",""))</f>
        <v/>
      </c>
      <c r="P4440" s="47" t="n">
        <f aca="false">IF(OR($A4440="",D4440=""),0,IF(COUNTIF($D$2:D4440,D4440)=1,SUMIF($D$2:$D$5001,D4440,$H$2:$H$5001)+ROW()/10000000,0))</f>
        <v>0</v>
      </c>
      <c r="Q4440" s="47" t="n">
        <f aca="false">IF(OR($A4440="",C4440=""),0,IF(COUNTIF($C$2:C4440,C4440)=1,SUMIF($C$2:$C$5001,C4440,$H$2:$H$5001)+ROW()/10000000,0))</f>
        <v>0</v>
      </c>
    </row>
    <row r="4441" customFormat="false" ht="15" hidden="false" customHeight="false" outlineLevel="0" collapsed="false">
      <c r="A4441" s="43"/>
      <c r="B4441" s="44"/>
      <c r="C4441" s="44"/>
      <c r="D4441" s="44"/>
      <c r="E4441" s="44"/>
      <c r="F4441" s="44"/>
      <c r="G4441" s="44"/>
      <c r="H4441" s="46" t="str">
        <f aca="false">IF($A4441="","",IF(OR(NOT(ISNUMBER(E4441)),NOT(ISNUMBER(F4441))),"",MAX(0,E4441)*F4441))</f>
        <v/>
      </c>
      <c r="I4441" s="46" t="str">
        <f aca="false">IF($A4441="","",SUMIF($A$2:$A$5001,$A4441,$H$2:$H$5001))</f>
        <v/>
      </c>
      <c r="J4441" s="47" t="n">
        <f aca="false">IF($A4441="",0,IF(COUNTIF($A$2:A4441,$A4441)=1,1,0))</f>
        <v>0</v>
      </c>
      <c r="K4441" s="47" t="n">
        <f aca="false">IF(J4441=1,N(I4441)+ROW()/10000000,0)</f>
        <v>0</v>
      </c>
      <c r="L4441" s="47" t="str">
        <f aca="false">IF(AND(J4441=1,N(I4441)&gt;0),SUMIF($K$2:$K$5001,"&gt;="&amp;K4441,$I$2:$I$5001)/MAX(1,SUM($H$2:$H$5001)),"")</f>
        <v/>
      </c>
      <c r="M4441" s="47" t="str">
        <f aca="false">IF($A4441="","",INDEX($L$2:$L$5001,MATCH($A4441,$A$2:$A$5001,0)))</f>
        <v/>
      </c>
      <c r="N4441" s="48" t="str">
        <f aca="false">IF($A4441="","",IF(N(M4441)=0,"–",IF(M4441&lt;=Start!$D$20,"A",IF(M4441&lt;=Start!$D$21,"B","C"))))</f>
        <v/>
      </c>
      <c r="O4441" s="48" t="str">
        <f aca="false">IF($A4441="","",IF(NOT(ISNUMBER(F4441)),"Wert fehlt; ",IF(F4441&lt;=0,"Wert ist 0; ",""))&amp;IF(NOT(ISNUMBER(E4441)),"Bestand fehlt; ",IF(E4441&lt;0,"Bestand negativ; ",IF(E4441=0,"Nullbestand; ","")))&amp;IF(D4441="","Warengruppe fehlt; ","")&amp;IF(B4441="","Bezeichnung fehlt; ","")&amp;IF(COUNTIFS($A$2:$A$5001,$A4441,$C$2:$C$5001,C4441)&gt;1,"Artikel doppelt im selben Lager; ",""))</f>
        <v/>
      </c>
      <c r="P4441" s="47" t="n">
        <f aca="false">IF(OR($A4441="",D4441=""),0,IF(COUNTIF($D$2:D4441,D4441)=1,SUMIF($D$2:$D$5001,D4441,$H$2:$H$5001)+ROW()/10000000,0))</f>
        <v>0</v>
      </c>
      <c r="Q4441" s="47" t="n">
        <f aca="false">IF(OR($A4441="",C4441=""),0,IF(COUNTIF($C$2:C4441,C4441)=1,SUMIF($C$2:$C$5001,C4441,$H$2:$H$5001)+ROW()/10000000,0))</f>
        <v>0</v>
      </c>
    </row>
    <row r="4442" customFormat="false" ht="15" hidden="false" customHeight="false" outlineLevel="0" collapsed="false">
      <c r="A4442" s="43"/>
      <c r="B4442" s="44"/>
      <c r="C4442" s="44"/>
      <c r="D4442" s="44"/>
      <c r="E4442" s="44"/>
      <c r="F4442" s="44"/>
      <c r="G4442" s="44"/>
      <c r="H4442" s="46" t="str">
        <f aca="false">IF($A4442="","",IF(OR(NOT(ISNUMBER(E4442)),NOT(ISNUMBER(F4442))),"",MAX(0,E4442)*F4442))</f>
        <v/>
      </c>
      <c r="I4442" s="46" t="str">
        <f aca="false">IF($A4442="","",SUMIF($A$2:$A$5001,$A4442,$H$2:$H$5001))</f>
        <v/>
      </c>
      <c r="J4442" s="47" t="n">
        <f aca="false">IF($A4442="",0,IF(COUNTIF($A$2:A4442,$A4442)=1,1,0))</f>
        <v>0</v>
      </c>
      <c r="K4442" s="47" t="n">
        <f aca="false">IF(J4442=1,N(I4442)+ROW()/10000000,0)</f>
        <v>0</v>
      </c>
      <c r="L4442" s="47" t="str">
        <f aca="false">IF(AND(J4442=1,N(I4442)&gt;0),SUMIF($K$2:$K$5001,"&gt;="&amp;K4442,$I$2:$I$5001)/MAX(1,SUM($H$2:$H$5001)),"")</f>
        <v/>
      </c>
      <c r="M4442" s="47" t="str">
        <f aca="false">IF($A4442="","",INDEX($L$2:$L$5001,MATCH($A4442,$A$2:$A$5001,0)))</f>
        <v/>
      </c>
      <c r="N4442" s="48" t="str">
        <f aca="false">IF($A4442="","",IF(N(M4442)=0,"–",IF(M4442&lt;=Start!$D$20,"A",IF(M4442&lt;=Start!$D$21,"B","C"))))</f>
        <v/>
      </c>
      <c r="O4442" s="48" t="str">
        <f aca="false">IF($A4442="","",IF(NOT(ISNUMBER(F4442)),"Wert fehlt; ",IF(F4442&lt;=0,"Wert ist 0; ",""))&amp;IF(NOT(ISNUMBER(E4442)),"Bestand fehlt; ",IF(E4442&lt;0,"Bestand negativ; ",IF(E4442=0,"Nullbestand; ","")))&amp;IF(D4442="","Warengruppe fehlt; ","")&amp;IF(B4442="","Bezeichnung fehlt; ","")&amp;IF(COUNTIFS($A$2:$A$5001,$A4442,$C$2:$C$5001,C4442)&gt;1,"Artikel doppelt im selben Lager; ",""))</f>
        <v/>
      </c>
      <c r="P4442" s="47" t="n">
        <f aca="false">IF(OR($A4442="",D4442=""),0,IF(COUNTIF($D$2:D4442,D4442)=1,SUMIF($D$2:$D$5001,D4442,$H$2:$H$5001)+ROW()/10000000,0))</f>
        <v>0</v>
      </c>
      <c r="Q4442" s="47" t="n">
        <f aca="false">IF(OR($A4442="",C4442=""),0,IF(COUNTIF($C$2:C4442,C4442)=1,SUMIF($C$2:$C$5001,C4442,$H$2:$H$5001)+ROW()/10000000,0))</f>
        <v>0</v>
      </c>
    </row>
    <row r="4443" customFormat="false" ht="15" hidden="false" customHeight="false" outlineLevel="0" collapsed="false">
      <c r="A4443" s="43"/>
      <c r="B4443" s="44"/>
      <c r="C4443" s="44"/>
      <c r="D4443" s="44"/>
      <c r="E4443" s="44"/>
      <c r="F4443" s="44"/>
      <c r="G4443" s="44"/>
      <c r="H4443" s="46" t="str">
        <f aca="false">IF($A4443="","",IF(OR(NOT(ISNUMBER(E4443)),NOT(ISNUMBER(F4443))),"",MAX(0,E4443)*F4443))</f>
        <v/>
      </c>
      <c r="I4443" s="46" t="str">
        <f aca="false">IF($A4443="","",SUMIF($A$2:$A$5001,$A4443,$H$2:$H$5001))</f>
        <v/>
      </c>
      <c r="J4443" s="47" t="n">
        <f aca="false">IF($A4443="",0,IF(COUNTIF($A$2:A4443,$A4443)=1,1,0))</f>
        <v>0</v>
      </c>
      <c r="K4443" s="47" t="n">
        <f aca="false">IF(J4443=1,N(I4443)+ROW()/10000000,0)</f>
        <v>0</v>
      </c>
      <c r="L4443" s="47" t="str">
        <f aca="false">IF(AND(J4443=1,N(I4443)&gt;0),SUMIF($K$2:$K$5001,"&gt;="&amp;K4443,$I$2:$I$5001)/MAX(1,SUM($H$2:$H$5001)),"")</f>
        <v/>
      </c>
      <c r="M4443" s="47" t="str">
        <f aca="false">IF($A4443="","",INDEX($L$2:$L$5001,MATCH($A4443,$A$2:$A$5001,0)))</f>
        <v/>
      </c>
      <c r="N4443" s="48" t="str">
        <f aca="false">IF($A4443="","",IF(N(M4443)=0,"–",IF(M4443&lt;=Start!$D$20,"A",IF(M4443&lt;=Start!$D$21,"B","C"))))</f>
        <v/>
      </c>
      <c r="O4443" s="48" t="str">
        <f aca="false">IF($A4443="","",IF(NOT(ISNUMBER(F4443)),"Wert fehlt; ",IF(F4443&lt;=0,"Wert ist 0; ",""))&amp;IF(NOT(ISNUMBER(E4443)),"Bestand fehlt; ",IF(E4443&lt;0,"Bestand negativ; ",IF(E4443=0,"Nullbestand; ","")))&amp;IF(D4443="","Warengruppe fehlt; ","")&amp;IF(B4443="","Bezeichnung fehlt; ","")&amp;IF(COUNTIFS($A$2:$A$5001,$A4443,$C$2:$C$5001,C4443)&gt;1,"Artikel doppelt im selben Lager; ",""))</f>
        <v/>
      </c>
      <c r="P4443" s="47" t="n">
        <f aca="false">IF(OR($A4443="",D4443=""),0,IF(COUNTIF($D$2:D4443,D4443)=1,SUMIF($D$2:$D$5001,D4443,$H$2:$H$5001)+ROW()/10000000,0))</f>
        <v>0</v>
      </c>
      <c r="Q4443" s="47" t="n">
        <f aca="false">IF(OR($A4443="",C4443=""),0,IF(COUNTIF($C$2:C4443,C4443)=1,SUMIF($C$2:$C$5001,C4443,$H$2:$H$5001)+ROW()/10000000,0))</f>
        <v>0</v>
      </c>
    </row>
    <row r="4444" customFormat="false" ht="15" hidden="false" customHeight="false" outlineLevel="0" collapsed="false">
      <c r="A4444" s="43"/>
      <c r="B4444" s="44"/>
      <c r="C4444" s="44"/>
      <c r="D4444" s="44"/>
      <c r="E4444" s="44"/>
      <c r="F4444" s="44"/>
      <c r="G4444" s="44"/>
      <c r="H4444" s="46" t="str">
        <f aca="false">IF($A4444="","",IF(OR(NOT(ISNUMBER(E4444)),NOT(ISNUMBER(F4444))),"",MAX(0,E4444)*F4444))</f>
        <v/>
      </c>
      <c r="I4444" s="46" t="str">
        <f aca="false">IF($A4444="","",SUMIF($A$2:$A$5001,$A4444,$H$2:$H$5001))</f>
        <v/>
      </c>
      <c r="J4444" s="47" t="n">
        <f aca="false">IF($A4444="",0,IF(COUNTIF($A$2:A4444,$A4444)=1,1,0))</f>
        <v>0</v>
      </c>
      <c r="K4444" s="47" t="n">
        <f aca="false">IF(J4444=1,N(I4444)+ROW()/10000000,0)</f>
        <v>0</v>
      </c>
      <c r="L4444" s="47" t="str">
        <f aca="false">IF(AND(J4444=1,N(I4444)&gt;0),SUMIF($K$2:$K$5001,"&gt;="&amp;K4444,$I$2:$I$5001)/MAX(1,SUM($H$2:$H$5001)),"")</f>
        <v/>
      </c>
      <c r="M4444" s="47" t="str">
        <f aca="false">IF($A4444="","",INDEX($L$2:$L$5001,MATCH($A4444,$A$2:$A$5001,0)))</f>
        <v/>
      </c>
      <c r="N4444" s="48" t="str">
        <f aca="false">IF($A4444="","",IF(N(M4444)=0,"–",IF(M4444&lt;=Start!$D$20,"A",IF(M4444&lt;=Start!$D$21,"B","C"))))</f>
        <v/>
      </c>
      <c r="O4444" s="48" t="str">
        <f aca="false">IF($A4444="","",IF(NOT(ISNUMBER(F4444)),"Wert fehlt; ",IF(F4444&lt;=0,"Wert ist 0; ",""))&amp;IF(NOT(ISNUMBER(E4444)),"Bestand fehlt; ",IF(E4444&lt;0,"Bestand negativ; ",IF(E4444=0,"Nullbestand; ","")))&amp;IF(D4444="","Warengruppe fehlt; ","")&amp;IF(B4444="","Bezeichnung fehlt; ","")&amp;IF(COUNTIFS($A$2:$A$5001,$A4444,$C$2:$C$5001,C4444)&gt;1,"Artikel doppelt im selben Lager; ",""))</f>
        <v/>
      </c>
      <c r="P4444" s="47" t="n">
        <f aca="false">IF(OR($A4444="",D4444=""),0,IF(COUNTIF($D$2:D4444,D4444)=1,SUMIF($D$2:$D$5001,D4444,$H$2:$H$5001)+ROW()/10000000,0))</f>
        <v>0</v>
      </c>
      <c r="Q4444" s="47" t="n">
        <f aca="false">IF(OR($A4444="",C4444=""),0,IF(COUNTIF($C$2:C4444,C4444)=1,SUMIF($C$2:$C$5001,C4444,$H$2:$H$5001)+ROW()/10000000,0))</f>
        <v>0</v>
      </c>
    </row>
    <row r="4445" customFormat="false" ht="15" hidden="false" customHeight="false" outlineLevel="0" collapsed="false">
      <c r="A4445" s="43"/>
      <c r="B4445" s="44"/>
      <c r="C4445" s="44"/>
      <c r="D4445" s="44"/>
      <c r="E4445" s="44"/>
      <c r="F4445" s="44"/>
      <c r="G4445" s="44"/>
      <c r="H4445" s="46" t="str">
        <f aca="false">IF($A4445="","",IF(OR(NOT(ISNUMBER(E4445)),NOT(ISNUMBER(F4445))),"",MAX(0,E4445)*F4445))</f>
        <v/>
      </c>
      <c r="I4445" s="46" t="str">
        <f aca="false">IF($A4445="","",SUMIF($A$2:$A$5001,$A4445,$H$2:$H$5001))</f>
        <v/>
      </c>
      <c r="J4445" s="47" t="n">
        <f aca="false">IF($A4445="",0,IF(COUNTIF($A$2:A4445,$A4445)=1,1,0))</f>
        <v>0</v>
      </c>
      <c r="K4445" s="47" t="n">
        <f aca="false">IF(J4445=1,N(I4445)+ROW()/10000000,0)</f>
        <v>0</v>
      </c>
      <c r="L4445" s="47" t="str">
        <f aca="false">IF(AND(J4445=1,N(I4445)&gt;0),SUMIF($K$2:$K$5001,"&gt;="&amp;K4445,$I$2:$I$5001)/MAX(1,SUM($H$2:$H$5001)),"")</f>
        <v/>
      </c>
      <c r="M4445" s="47" t="str">
        <f aca="false">IF($A4445="","",INDEX($L$2:$L$5001,MATCH($A4445,$A$2:$A$5001,0)))</f>
        <v/>
      </c>
      <c r="N4445" s="48" t="str">
        <f aca="false">IF($A4445="","",IF(N(M4445)=0,"–",IF(M4445&lt;=Start!$D$20,"A",IF(M4445&lt;=Start!$D$21,"B","C"))))</f>
        <v/>
      </c>
      <c r="O4445" s="48" t="str">
        <f aca="false">IF($A4445="","",IF(NOT(ISNUMBER(F4445)),"Wert fehlt; ",IF(F4445&lt;=0,"Wert ist 0; ",""))&amp;IF(NOT(ISNUMBER(E4445)),"Bestand fehlt; ",IF(E4445&lt;0,"Bestand negativ; ",IF(E4445=0,"Nullbestand; ","")))&amp;IF(D4445="","Warengruppe fehlt; ","")&amp;IF(B4445="","Bezeichnung fehlt; ","")&amp;IF(COUNTIFS($A$2:$A$5001,$A4445,$C$2:$C$5001,C4445)&gt;1,"Artikel doppelt im selben Lager; ",""))</f>
        <v/>
      </c>
      <c r="P4445" s="47" t="n">
        <f aca="false">IF(OR($A4445="",D4445=""),0,IF(COUNTIF($D$2:D4445,D4445)=1,SUMIF($D$2:$D$5001,D4445,$H$2:$H$5001)+ROW()/10000000,0))</f>
        <v>0</v>
      </c>
      <c r="Q4445" s="47" t="n">
        <f aca="false">IF(OR($A4445="",C4445=""),0,IF(COUNTIF($C$2:C4445,C4445)=1,SUMIF($C$2:$C$5001,C4445,$H$2:$H$5001)+ROW()/10000000,0))</f>
        <v>0</v>
      </c>
    </row>
    <row r="4446" customFormat="false" ht="15" hidden="false" customHeight="false" outlineLevel="0" collapsed="false">
      <c r="A4446" s="43"/>
      <c r="B4446" s="44"/>
      <c r="C4446" s="44"/>
      <c r="D4446" s="44"/>
      <c r="E4446" s="44"/>
      <c r="F4446" s="44"/>
      <c r="G4446" s="44"/>
      <c r="H4446" s="46" t="str">
        <f aca="false">IF($A4446="","",IF(OR(NOT(ISNUMBER(E4446)),NOT(ISNUMBER(F4446))),"",MAX(0,E4446)*F4446))</f>
        <v/>
      </c>
      <c r="I4446" s="46" t="str">
        <f aca="false">IF($A4446="","",SUMIF($A$2:$A$5001,$A4446,$H$2:$H$5001))</f>
        <v/>
      </c>
      <c r="J4446" s="47" t="n">
        <f aca="false">IF($A4446="",0,IF(COUNTIF($A$2:A4446,$A4446)=1,1,0))</f>
        <v>0</v>
      </c>
      <c r="K4446" s="47" t="n">
        <f aca="false">IF(J4446=1,N(I4446)+ROW()/10000000,0)</f>
        <v>0</v>
      </c>
      <c r="L4446" s="47" t="str">
        <f aca="false">IF(AND(J4446=1,N(I4446)&gt;0),SUMIF($K$2:$K$5001,"&gt;="&amp;K4446,$I$2:$I$5001)/MAX(1,SUM($H$2:$H$5001)),"")</f>
        <v/>
      </c>
      <c r="M4446" s="47" t="str">
        <f aca="false">IF($A4446="","",INDEX($L$2:$L$5001,MATCH($A4446,$A$2:$A$5001,0)))</f>
        <v/>
      </c>
      <c r="N4446" s="48" t="str">
        <f aca="false">IF($A4446="","",IF(N(M4446)=0,"–",IF(M4446&lt;=Start!$D$20,"A",IF(M4446&lt;=Start!$D$21,"B","C"))))</f>
        <v/>
      </c>
      <c r="O4446" s="48" t="str">
        <f aca="false">IF($A4446="","",IF(NOT(ISNUMBER(F4446)),"Wert fehlt; ",IF(F4446&lt;=0,"Wert ist 0; ",""))&amp;IF(NOT(ISNUMBER(E4446)),"Bestand fehlt; ",IF(E4446&lt;0,"Bestand negativ; ",IF(E4446=0,"Nullbestand; ","")))&amp;IF(D4446="","Warengruppe fehlt; ","")&amp;IF(B4446="","Bezeichnung fehlt; ","")&amp;IF(COUNTIFS($A$2:$A$5001,$A4446,$C$2:$C$5001,C4446)&gt;1,"Artikel doppelt im selben Lager; ",""))</f>
        <v/>
      </c>
      <c r="P4446" s="47" t="n">
        <f aca="false">IF(OR($A4446="",D4446=""),0,IF(COUNTIF($D$2:D4446,D4446)=1,SUMIF($D$2:$D$5001,D4446,$H$2:$H$5001)+ROW()/10000000,0))</f>
        <v>0</v>
      </c>
      <c r="Q4446" s="47" t="n">
        <f aca="false">IF(OR($A4446="",C4446=""),0,IF(COUNTIF($C$2:C4446,C4446)=1,SUMIF($C$2:$C$5001,C4446,$H$2:$H$5001)+ROW()/10000000,0))</f>
        <v>0</v>
      </c>
    </row>
    <row r="4447" customFormat="false" ht="15" hidden="false" customHeight="false" outlineLevel="0" collapsed="false">
      <c r="A4447" s="43"/>
      <c r="B4447" s="44"/>
      <c r="C4447" s="44"/>
      <c r="D4447" s="44"/>
      <c r="E4447" s="44"/>
      <c r="F4447" s="44"/>
      <c r="G4447" s="44"/>
      <c r="H4447" s="46" t="str">
        <f aca="false">IF($A4447="","",IF(OR(NOT(ISNUMBER(E4447)),NOT(ISNUMBER(F4447))),"",MAX(0,E4447)*F4447))</f>
        <v/>
      </c>
      <c r="I4447" s="46" t="str">
        <f aca="false">IF($A4447="","",SUMIF($A$2:$A$5001,$A4447,$H$2:$H$5001))</f>
        <v/>
      </c>
      <c r="J4447" s="47" t="n">
        <f aca="false">IF($A4447="",0,IF(COUNTIF($A$2:A4447,$A4447)=1,1,0))</f>
        <v>0</v>
      </c>
      <c r="K4447" s="47" t="n">
        <f aca="false">IF(J4447=1,N(I4447)+ROW()/10000000,0)</f>
        <v>0</v>
      </c>
      <c r="L4447" s="47" t="str">
        <f aca="false">IF(AND(J4447=1,N(I4447)&gt;0),SUMIF($K$2:$K$5001,"&gt;="&amp;K4447,$I$2:$I$5001)/MAX(1,SUM($H$2:$H$5001)),"")</f>
        <v/>
      </c>
      <c r="M4447" s="47" t="str">
        <f aca="false">IF($A4447="","",INDEX($L$2:$L$5001,MATCH($A4447,$A$2:$A$5001,0)))</f>
        <v/>
      </c>
      <c r="N4447" s="48" t="str">
        <f aca="false">IF($A4447="","",IF(N(M4447)=0,"–",IF(M4447&lt;=Start!$D$20,"A",IF(M4447&lt;=Start!$D$21,"B","C"))))</f>
        <v/>
      </c>
      <c r="O4447" s="48" t="str">
        <f aca="false">IF($A4447="","",IF(NOT(ISNUMBER(F4447)),"Wert fehlt; ",IF(F4447&lt;=0,"Wert ist 0; ",""))&amp;IF(NOT(ISNUMBER(E4447)),"Bestand fehlt; ",IF(E4447&lt;0,"Bestand negativ; ",IF(E4447=0,"Nullbestand; ","")))&amp;IF(D4447="","Warengruppe fehlt; ","")&amp;IF(B4447="","Bezeichnung fehlt; ","")&amp;IF(COUNTIFS($A$2:$A$5001,$A4447,$C$2:$C$5001,C4447)&gt;1,"Artikel doppelt im selben Lager; ",""))</f>
        <v/>
      </c>
      <c r="P4447" s="47" t="n">
        <f aca="false">IF(OR($A4447="",D4447=""),0,IF(COUNTIF($D$2:D4447,D4447)=1,SUMIF($D$2:$D$5001,D4447,$H$2:$H$5001)+ROW()/10000000,0))</f>
        <v>0</v>
      </c>
      <c r="Q4447" s="47" t="n">
        <f aca="false">IF(OR($A4447="",C4447=""),0,IF(COUNTIF($C$2:C4447,C4447)=1,SUMIF($C$2:$C$5001,C4447,$H$2:$H$5001)+ROW()/10000000,0))</f>
        <v>0</v>
      </c>
    </row>
    <row r="4448" customFormat="false" ht="15" hidden="false" customHeight="false" outlineLevel="0" collapsed="false">
      <c r="A4448" s="43"/>
      <c r="B4448" s="44"/>
      <c r="C4448" s="44"/>
      <c r="D4448" s="44"/>
      <c r="E4448" s="44"/>
      <c r="F4448" s="44"/>
      <c r="G4448" s="44"/>
      <c r="H4448" s="46" t="str">
        <f aca="false">IF($A4448="","",IF(OR(NOT(ISNUMBER(E4448)),NOT(ISNUMBER(F4448))),"",MAX(0,E4448)*F4448))</f>
        <v/>
      </c>
      <c r="I4448" s="46" t="str">
        <f aca="false">IF($A4448="","",SUMIF($A$2:$A$5001,$A4448,$H$2:$H$5001))</f>
        <v/>
      </c>
      <c r="J4448" s="47" t="n">
        <f aca="false">IF($A4448="",0,IF(COUNTIF($A$2:A4448,$A4448)=1,1,0))</f>
        <v>0</v>
      </c>
      <c r="K4448" s="47" t="n">
        <f aca="false">IF(J4448=1,N(I4448)+ROW()/10000000,0)</f>
        <v>0</v>
      </c>
      <c r="L4448" s="47" t="str">
        <f aca="false">IF(AND(J4448=1,N(I4448)&gt;0),SUMIF($K$2:$K$5001,"&gt;="&amp;K4448,$I$2:$I$5001)/MAX(1,SUM($H$2:$H$5001)),"")</f>
        <v/>
      </c>
      <c r="M4448" s="47" t="str">
        <f aca="false">IF($A4448="","",INDEX($L$2:$L$5001,MATCH($A4448,$A$2:$A$5001,0)))</f>
        <v/>
      </c>
      <c r="N4448" s="48" t="str">
        <f aca="false">IF($A4448="","",IF(N(M4448)=0,"–",IF(M4448&lt;=Start!$D$20,"A",IF(M4448&lt;=Start!$D$21,"B","C"))))</f>
        <v/>
      </c>
      <c r="O4448" s="48" t="str">
        <f aca="false">IF($A4448="","",IF(NOT(ISNUMBER(F4448)),"Wert fehlt; ",IF(F4448&lt;=0,"Wert ist 0; ",""))&amp;IF(NOT(ISNUMBER(E4448)),"Bestand fehlt; ",IF(E4448&lt;0,"Bestand negativ; ",IF(E4448=0,"Nullbestand; ","")))&amp;IF(D4448="","Warengruppe fehlt; ","")&amp;IF(B4448="","Bezeichnung fehlt; ","")&amp;IF(COUNTIFS($A$2:$A$5001,$A4448,$C$2:$C$5001,C4448)&gt;1,"Artikel doppelt im selben Lager; ",""))</f>
        <v/>
      </c>
      <c r="P4448" s="47" t="n">
        <f aca="false">IF(OR($A4448="",D4448=""),0,IF(COUNTIF($D$2:D4448,D4448)=1,SUMIF($D$2:$D$5001,D4448,$H$2:$H$5001)+ROW()/10000000,0))</f>
        <v>0</v>
      </c>
      <c r="Q4448" s="47" t="n">
        <f aca="false">IF(OR($A4448="",C4448=""),0,IF(COUNTIF($C$2:C4448,C4448)=1,SUMIF($C$2:$C$5001,C4448,$H$2:$H$5001)+ROW()/10000000,0))</f>
        <v>0</v>
      </c>
    </row>
    <row r="4449" customFormat="false" ht="15" hidden="false" customHeight="false" outlineLevel="0" collapsed="false">
      <c r="A4449" s="43"/>
      <c r="B4449" s="44"/>
      <c r="C4449" s="44"/>
      <c r="D4449" s="44"/>
      <c r="E4449" s="44"/>
      <c r="F4449" s="44"/>
      <c r="G4449" s="44"/>
      <c r="H4449" s="46" t="str">
        <f aca="false">IF($A4449="","",IF(OR(NOT(ISNUMBER(E4449)),NOT(ISNUMBER(F4449))),"",MAX(0,E4449)*F4449))</f>
        <v/>
      </c>
      <c r="I4449" s="46" t="str">
        <f aca="false">IF($A4449="","",SUMIF($A$2:$A$5001,$A4449,$H$2:$H$5001))</f>
        <v/>
      </c>
      <c r="J4449" s="47" t="n">
        <f aca="false">IF($A4449="",0,IF(COUNTIF($A$2:A4449,$A4449)=1,1,0))</f>
        <v>0</v>
      </c>
      <c r="K4449" s="47" t="n">
        <f aca="false">IF(J4449=1,N(I4449)+ROW()/10000000,0)</f>
        <v>0</v>
      </c>
      <c r="L4449" s="47" t="str">
        <f aca="false">IF(AND(J4449=1,N(I4449)&gt;0),SUMIF($K$2:$K$5001,"&gt;="&amp;K4449,$I$2:$I$5001)/MAX(1,SUM($H$2:$H$5001)),"")</f>
        <v/>
      </c>
      <c r="M4449" s="47" t="str">
        <f aca="false">IF($A4449="","",INDEX($L$2:$L$5001,MATCH($A4449,$A$2:$A$5001,0)))</f>
        <v/>
      </c>
      <c r="N4449" s="48" t="str">
        <f aca="false">IF($A4449="","",IF(N(M4449)=0,"–",IF(M4449&lt;=Start!$D$20,"A",IF(M4449&lt;=Start!$D$21,"B","C"))))</f>
        <v/>
      </c>
      <c r="O4449" s="48" t="str">
        <f aca="false">IF($A4449="","",IF(NOT(ISNUMBER(F4449)),"Wert fehlt; ",IF(F4449&lt;=0,"Wert ist 0; ",""))&amp;IF(NOT(ISNUMBER(E4449)),"Bestand fehlt; ",IF(E4449&lt;0,"Bestand negativ; ",IF(E4449=0,"Nullbestand; ","")))&amp;IF(D4449="","Warengruppe fehlt; ","")&amp;IF(B4449="","Bezeichnung fehlt; ","")&amp;IF(COUNTIFS($A$2:$A$5001,$A4449,$C$2:$C$5001,C4449)&gt;1,"Artikel doppelt im selben Lager; ",""))</f>
        <v/>
      </c>
      <c r="P4449" s="47" t="n">
        <f aca="false">IF(OR($A4449="",D4449=""),0,IF(COUNTIF($D$2:D4449,D4449)=1,SUMIF($D$2:$D$5001,D4449,$H$2:$H$5001)+ROW()/10000000,0))</f>
        <v>0</v>
      </c>
      <c r="Q4449" s="47" t="n">
        <f aca="false">IF(OR($A4449="",C4449=""),0,IF(COUNTIF($C$2:C4449,C4449)=1,SUMIF($C$2:$C$5001,C4449,$H$2:$H$5001)+ROW()/10000000,0))</f>
        <v>0</v>
      </c>
    </row>
    <row r="4450" customFormat="false" ht="15" hidden="false" customHeight="false" outlineLevel="0" collapsed="false">
      <c r="A4450" s="43"/>
      <c r="B4450" s="44"/>
      <c r="C4450" s="44"/>
      <c r="D4450" s="44"/>
      <c r="E4450" s="44"/>
      <c r="F4450" s="44"/>
      <c r="G4450" s="44"/>
      <c r="H4450" s="46" t="str">
        <f aca="false">IF($A4450="","",IF(OR(NOT(ISNUMBER(E4450)),NOT(ISNUMBER(F4450))),"",MAX(0,E4450)*F4450))</f>
        <v/>
      </c>
      <c r="I4450" s="46" t="str">
        <f aca="false">IF($A4450="","",SUMIF($A$2:$A$5001,$A4450,$H$2:$H$5001))</f>
        <v/>
      </c>
      <c r="J4450" s="47" t="n">
        <f aca="false">IF($A4450="",0,IF(COUNTIF($A$2:A4450,$A4450)=1,1,0))</f>
        <v>0</v>
      </c>
      <c r="K4450" s="47" t="n">
        <f aca="false">IF(J4450=1,N(I4450)+ROW()/10000000,0)</f>
        <v>0</v>
      </c>
      <c r="L4450" s="47" t="str">
        <f aca="false">IF(AND(J4450=1,N(I4450)&gt;0),SUMIF($K$2:$K$5001,"&gt;="&amp;K4450,$I$2:$I$5001)/MAX(1,SUM($H$2:$H$5001)),"")</f>
        <v/>
      </c>
      <c r="M4450" s="47" t="str">
        <f aca="false">IF($A4450="","",INDEX($L$2:$L$5001,MATCH($A4450,$A$2:$A$5001,0)))</f>
        <v/>
      </c>
      <c r="N4450" s="48" t="str">
        <f aca="false">IF($A4450="","",IF(N(M4450)=0,"–",IF(M4450&lt;=Start!$D$20,"A",IF(M4450&lt;=Start!$D$21,"B","C"))))</f>
        <v/>
      </c>
      <c r="O4450" s="48" t="str">
        <f aca="false">IF($A4450="","",IF(NOT(ISNUMBER(F4450)),"Wert fehlt; ",IF(F4450&lt;=0,"Wert ist 0; ",""))&amp;IF(NOT(ISNUMBER(E4450)),"Bestand fehlt; ",IF(E4450&lt;0,"Bestand negativ; ",IF(E4450=0,"Nullbestand; ","")))&amp;IF(D4450="","Warengruppe fehlt; ","")&amp;IF(B4450="","Bezeichnung fehlt; ","")&amp;IF(COUNTIFS($A$2:$A$5001,$A4450,$C$2:$C$5001,C4450)&gt;1,"Artikel doppelt im selben Lager; ",""))</f>
        <v/>
      </c>
      <c r="P4450" s="47" t="n">
        <f aca="false">IF(OR($A4450="",D4450=""),0,IF(COUNTIF($D$2:D4450,D4450)=1,SUMIF($D$2:$D$5001,D4450,$H$2:$H$5001)+ROW()/10000000,0))</f>
        <v>0</v>
      </c>
      <c r="Q4450" s="47" t="n">
        <f aca="false">IF(OR($A4450="",C4450=""),0,IF(COUNTIF($C$2:C4450,C4450)=1,SUMIF($C$2:$C$5001,C4450,$H$2:$H$5001)+ROW()/10000000,0))</f>
        <v>0</v>
      </c>
    </row>
    <row r="4451" customFormat="false" ht="15" hidden="false" customHeight="false" outlineLevel="0" collapsed="false">
      <c r="A4451" s="43"/>
      <c r="B4451" s="44"/>
      <c r="C4451" s="44"/>
      <c r="D4451" s="44"/>
      <c r="E4451" s="44"/>
      <c r="F4451" s="44"/>
      <c r="G4451" s="44"/>
      <c r="H4451" s="46" t="str">
        <f aca="false">IF($A4451="","",IF(OR(NOT(ISNUMBER(E4451)),NOT(ISNUMBER(F4451))),"",MAX(0,E4451)*F4451))</f>
        <v/>
      </c>
      <c r="I4451" s="46" t="str">
        <f aca="false">IF($A4451="","",SUMIF($A$2:$A$5001,$A4451,$H$2:$H$5001))</f>
        <v/>
      </c>
      <c r="J4451" s="47" t="n">
        <f aca="false">IF($A4451="",0,IF(COUNTIF($A$2:A4451,$A4451)=1,1,0))</f>
        <v>0</v>
      </c>
      <c r="K4451" s="47" t="n">
        <f aca="false">IF(J4451=1,N(I4451)+ROW()/10000000,0)</f>
        <v>0</v>
      </c>
      <c r="L4451" s="47" t="str">
        <f aca="false">IF(AND(J4451=1,N(I4451)&gt;0),SUMIF($K$2:$K$5001,"&gt;="&amp;K4451,$I$2:$I$5001)/MAX(1,SUM($H$2:$H$5001)),"")</f>
        <v/>
      </c>
      <c r="M4451" s="47" t="str">
        <f aca="false">IF($A4451="","",INDEX($L$2:$L$5001,MATCH($A4451,$A$2:$A$5001,0)))</f>
        <v/>
      </c>
      <c r="N4451" s="48" t="str">
        <f aca="false">IF($A4451="","",IF(N(M4451)=0,"–",IF(M4451&lt;=Start!$D$20,"A",IF(M4451&lt;=Start!$D$21,"B","C"))))</f>
        <v/>
      </c>
      <c r="O4451" s="48" t="str">
        <f aca="false">IF($A4451="","",IF(NOT(ISNUMBER(F4451)),"Wert fehlt; ",IF(F4451&lt;=0,"Wert ist 0; ",""))&amp;IF(NOT(ISNUMBER(E4451)),"Bestand fehlt; ",IF(E4451&lt;0,"Bestand negativ; ",IF(E4451=0,"Nullbestand; ","")))&amp;IF(D4451="","Warengruppe fehlt; ","")&amp;IF(B4451="","Bezeichnung fehlt; ","")&amp;IF(COUNTIFS($A$2:$A$5001,$A4451,$C$2:$C$5001,C4451)&gt;1,"Artikel doppelt im selben Lager; ",""))</f>
        <v/>
      </c>
      <c r="P4451" s="47" t="n">
        <f aca="false">IF(OR($A4451="",D4451=""),0,IF(COUNTIF($D$2:D4451,D4451)=1,SUMIF($D$2:$D$5001,D4451,$H$2:$H$5001)+ROW()/10000000,0))</f>
        <v>0</v>
      </c>
      <c r="Q4451" s="47" t="n">
        <f aca="false">IF(OR($A4451="",C4451=""),0,IF(COUNTIF($C$2:C4451,C4451)=1,SUMIF($C$2:$C$5001,C4451,$H$2:$H$5001)+ROW()/10000000,0))</f>
        <v>0</v>
      </c>
    </row>
    <row r="4452" customFormat="false" ht="15" hidden="false" customHeight="false" outlineLevel="0" collapsed="false">
      <c r="A4452" s="43"/>
      <c r="B4452" s="44"/>
      <c r="C4452" s="44"/>
      <c r="D4452" s="44"/>
      <c r="E4452" s="44"/>
      <c r="F4452" s="44"/>
      <c r="G4452" s="44"/>
      <c r="H4452" s="46" t="str">
        <f aca="false">IF($A4452="","",IF(OR(NOT(ISNUMBER(E4452)),NOT(ISNUMBER(F4452))),"",MAX(0,E4452)*F4452))</f>
        <v/>
      </c>
      <c r="I4452" s="46" t="str">
        <f aca="false">IF($A4452="","",SUMIF($A$2:$A$5001,$A4452,$H$2:$H$5001))</f>
        <v/>
      </c>
      <c r="J4452" s="47" t="n">
        <f aca="false">IF($A4452="",0,IF(COUNTIF($A$2:A4452,$A4452)=1,1,0))</f>
        <v>0</v>
      </c>
      <c r="K4452" s="47" t="n">
        <f aca="false">IF(J4452=1,N(I4452)+ROW()/10000000,0)</f>
        <v>0</v>
      </c>
      <c r="L4452" s="47" t="str">
        <f aca="false">IF(AND(J4452=1,N(I4452)&gt;0),SUMIF($K$2:$K$5001,"&gt;="&amp;K4452,$I$2:$I$5001)/MAX(1,SUM($H$2:$H$5001)),"")</f>
        <v/>
      </c>
      <c r="M4452" s="47" t="str">
        <f aca="false">IF($A4452="","",INDEX($L$2:$L$5001,MATCH($A4452,$A$2:$A$5001,0)))</f>
        <v/>
      </c>
      <c r="N4452" s="48" t="str">
        <f aca="false">IF($A4452="","",IF(N(M4452)=0,"–",IF(M4452&lt;=Start!$D$20,"A",IF(M4452&lt;=Start!$D$21,"B","C"))))</f>
        <v/>
      </c>
      <c r="O4452" s="48" t="str">
        <f aca="false">IF($A4452="","",IF(NOT(ISNUMBER(F4452)),"Wert fehlt; ",IF(F4452&lt;=0,"Wert ist 0; ",""))&amp;IF(NOT(ISNUMBER(E4452)),"Bestand fehlt; ",IF(E4452&lt;0,"Bestand negativ; ",IF(E4452=0,"Nullbestand; ","")))&amp;IF(D4452="","Warengruppe fehlt; ","")&amp;IF(B4452="","Bezeichnung fehlt; ","")&amp;IF(COUNTIFS($A$2:$A$5001,$A4452,$C$2:$C$5001,C4452)&gt;1,"Artikel doppelt im selben Lager; ",""))</f>
        <v/>
      </c>
      <c r="P4452" s="47" t="n">
        <f aca="false">IF(OR($A4452="",D4452=""),0,IF(COUNTIF($D$2:D4452,D4452)=1,SUMIF($D$2:$D$5001,D4452,$H$2:$H$5001)+ROW()/10000000,0))</f>
        <v>0</v>
      </c>
      <c r="Q4452" s="47" t="n">
        <f aca="false">IF(OR($A4452="",C4452=""),0,IF(COUNTIF($C$2:C4452,C4452)=1,SUMIF($C$2:$C$5001,C4452,$H$2:$H$5001)+ROW()/10000000,0))</f>
        <v>0</v>
      </c>
    </row>
    <row r="4453" customFormat="false" ht="15" hidden="false" customHeight="false" outlineLevel="0" collapsed="false">
      <c r="A4453" s="43"/>
      <c r="B4453" s="44"/>
      <c r="C4453" s="44"/>
      <c r="D4453" s="44"/>
      <c r="E4453" s="44"/>
      <c r="F4453" s="44"/>
      <c r="G4453" s="44"/>
      <c r="H4453" s="46" t="str">
        <f aca="false">IF($A4453="","",IF(OR(NOT(ISNUMBER(E4453)),NOT(ISNUMBER(F4453))),"",MAX(0,E4453)*F4453))</f>
        <v/>
      </c>
      <c r="I4453" s="46" t="str">
        <f aca="false">IF($A4453="","",SUMIF($A$2:$A$5001,$A4453,$H$2:$H$5001))</f>
        <v/>
      </c>
      <c r="J4453" s="47" t="n">
        <f aca="false">IF($A4453="",0,IF(COUNTIF($A$2:A4453,$A4453)=1,1,0))</f>
        <v>0</v>
      </c>
      <c r="K4453" s="47" t="n">
        <f aca="false">IF(J4453=1,N(I4453)+ROW()/10000000,0)</f>
        <v>0</v>
      </c>
      <c r="L4453" s="47" t="str">
        <f aca="false">IF(AND(J4453=1,N(I4453)&gt;0),SUMIF($K$2:$K$5001,"&gt;="&amp;K4453,$I$2:$I$5001)/MAX(1,SUM($H$2:$H$5001)),"")</f>
        <v/>
      </c>
      <c r="M4453" s="47" t="str">
        <f aca="false">IF($A4453="","",INDEX($L$2:$L$5001,MATCH($A4453,$A$2:$A$5001,0)))</f>
        <v/>
      </c>
      <c r="N4453" s="48" t="str">
        <f aca="false">IF($A4453="","",IF(N(M4453)=0,"–",IF(M4453&lt;=Start!$D$20,"A",IF(M4453&lt;=Start!$D$21,"B","C"))))</f>
        <v/>
      </c>
      <c r="O4453" s="48" t="str">
        <f aca="false">IF($A4453="","",IF(NOT(ISNUMBER(F4453)),"Wert fehlt; ",IF(F4453&lt;=0,"Wert ist 0; ",""))&amp;IF(NOT(ISNUMBER(E4453)),"Bestand fehlt; ",IF(E4453&lt;0,"Bestand negativ; ",IF(E4453=0,"Nullbestand; ","")))&amp;IF(D4453="","Warengruppe fehlt; ","")&amp;IF(B4453="","Bezeichnung fehlt; ","")&amp;IF(COUNTIFS($A$2:$A$5001,$A4453,$C$2:$C$5001,C4453)&gt;1,"Artikel doppelt im selben Lager; ",""))</f>
        <v/>
      </c>
      <c r="P4453" s="47" t="n">
        <f aca="false">IF(OR($A4453="",D4453=""),0,IF(COUNTIF($D$2:D4453,D4453)=1,SUMIF($D$2:$D$5001,D4453,$H$2:$H$5001)+ROW()/10000000,0))</f>
        <v>0</v>
      </c>
      <c r="Q4453" s="47" t="n">
        <f aca="false">IF(OR($A4453="",C4453=""),0,IF(COUNTIF($C$2:C4453,C4453)=1,SUMIF($C$2:$C$5001,C4453,$H$2:$H$5001)+ROW()/10000000,0))</f>
        <v>0</v>
      </c>
    </row>
    <row r="4454" customFormat="false" ht="15" hidden="false" customHeight="false" outlineLevel="0" collapsed="false">
      <c r="A4454" s="43"/>
      <c r="B4454" s="44"/>
      <c r="C4454" s="44"/>
      <c r="D4454" s="44"/>
      <c r="E4454" s="44"/>
      <c r="F4454" s="44"/>
      <c r="G4454" s="44"/>
      <c r="H4454" s="46" t="str">
        <f aca="false">IF($A4454="","",IF(OR(NOT(ISNUMBER(E4454)),NOT(ISNUMBER(F4454))),"",MAX(0,E4454)*F4454))</f>
        <v/>
      </c>
      <c r="I4454" s="46" t="str">
        <f aca="false">IF($A4454="","",SUMIF($A$2:$A$5001,$A4454,$H$2:$H$5001))</f>
        <v/>
      </c>
      <c r="J4454" s="47" t="n">
        <f aca="false">IF($A4454="",0,IF(COUNTIF($A$2:A4454,$A4454)=1,1,0))</f>
        <v>0</v>
      </c>
      <c r="K4454" s="47" t="n">
        <f aca="false">IF(J4454=1,N(I4454)+ROW()/10000000,0)</f>
        <v>0</v>
      </c>
      <c r="L4454" s="47" t="str">
        <f aca="false">IF(AND(J4454=1,N(I4454)&gt;0),SUMIF($K$2:$K$5001,"&gt;="&amp;K4454,$I$2:$I$5001)/MAX(1,SUM($H$2:$H$5001)),"")</f>
        <v/>
      </c>
      <c r="M4454" s="47" t="str">
        <f aca="false">IF($A4454="","",INDEX($L$2:$L$5001,MATCH($A4454,$A$2:$A$5001,0)))</f>
        <v/>
      </c>
      <c r="N4454" s="48" t="str">
        <f aca="false">IF($A4454="","",IF(N(M4454)=0,"–",IF(M4454&lt;=Start!$D$20,"A",IF(M4454&lt;=Start!$D$21,"B","C"))))</f>
        <v/>
      </c>
      <c r="O4454" s="48" t="str">
        <f aca="false">IF($A4454="","",IF(NOT(ISNUMBER(F4454)),"Wert fehlt; ",IF(F4454&lt;=0,"Wert ist 0; ",""))&amp;IF(NOT(ISNUMBER(E4454)),"Bestand fehlt; ",IF(E4454&lt;0,"Bestand negativ; ",IF(E4454=0,"Nullbestand; ","")))&amp;IF(D4454="","Warengruppe fehlt; ","")&amp;IF(B4454="","Bezeichnung fehlt; ","")&amp;IF(COUNTIFS($A$2:$A$5001,$A4454,$C$2:$C$5001,C4454)&gt;1,"Artikel doppelt im selben Lager; ",""))</f>
        <v/>
      </c>
      <c r="P4454" s="47" t="n">
        <f aca="false">IF(OR($A4454="",D4454=""),0,IF(COUNTIF($D$2:D4454,D4454)=1,SUMIF($D$2:$D$5001,D4454,$H$2:$H$5001)+ROW()/10000000,0))</f>
        <v>0</v>
      </c>
      <c r="Q4454" s="47" t="n">
        <f aca="false">IF(OR($A4454="",C4454=""),0,IF(COUNTIF($C$2:C4454,C4454)=1,SUMIF($C$2:$C$5001,C4454,$H$2:$H$5001)+ROW()/10000000,0))</f>
        <v>0</v>
      </c>
    </row>
    <row r="4455" customFormat="false" ht="15" hidden="false" customHeight="false" outlineLevel="0" collapsed="false">
      <c r="A4455" s="43"/>
      <c r="B4455" s="44"/>
      <c r="C4455" s="44"/>
      <c r="D4455" s="44"/>
      <c r="E4455" s="44"/>
      <c r="F4455" s="44"/>
      <c r="G4455" s="44"/>
      <c r="H4455" s="46" t="str">
        <f aca="false">IF($A4455="","",IF(OR(NOT(ISNUMBER(E4455)),NOT(ISNUMBER(F4455))),"",MAX(0,E4455)*F4455))</f>
        <v/>
      </c>
      <c r="I4455" s="46" t="str">
        <f aca="false">IF($A4455="","",SUMIF($A$2:$A$5001,$A4455,$H$2:$H$5001))</f>
        <v/>
      </c>
      <c r="J4455" s="47" t="n">
        <f aca="false">IF($A4455="",0,IF(COUNTIF($A$2:A4455,$A4455)=1,1,0))</f>
        <v>0</v>
      </c>
      <c r="K4455" s="47" t="n">
        <f aca="false">IF(J4455=1,N(I4455)+ROW()/10000000,0)</f>
        <v>0</v>
      </c>
      <c r="L4455" s="47" t="str">
        <f aca="false">IF(AND(J4455=1,N(I4455)&gt;0),SUMIF($K$2:$K$5001,"&gt;="&amp;K4455,$I$2:$I$5001)/MAX(1,SUM($H$2:$H$5001)),"")</f>
        <v/>
      </c>
      <c r="M4455" s="47" t="str">
        <f aca="false">IF($A4455="","",INDEX($L$2:$L$5001,MATCH($A4455,$A$2:$A$5001,0)))</f>
        <v/>
      </c>
      <c r="N4455" s="48" t="str">
        <f aca="false">IF($A4455="","",IF(N(M4455)=0,"–",IF(M4455&lt;=Start!$D$20,"A",IF(M4455&lt;=Start!$D$21,"B","C"))))</f>
        <v/>
      </c>
      <c r="O4455" s="48" t="str">
        <f aca="false">IF($A4455="","",IF(NOT(ISNUMBER(F4455)),"Wert fehlt; ",IF(F4455&lt;=0,"Wert ist 0; ",""))&amp;IF(NOT(ISNUMBER(E4455)),"Bestand fehlt; ",IF(E4455&lt;0,"Bestand negativ; ",IF(E4455=0,"Nullbestand; ","")))&amp;IF(D4455="","Warengruppe fehlt; ","")&amp;IF(B4455="","Bezeichnung fehlt; ","")&amp;IF(COUNTIFS($A$2:$A$5001,$A4455,$C$2:$C$5001,C4455)&gt;1,"Artikel doppelt im selben Lager; ",""))</f>
        <v/>
      </c>
      <c r="P4455" s="47" t="n">
        <f aca="false">IF(OR($A4455="",D4455=""),0,IF(COUNTIF($D$2:D4455,D4455)=1,SUMIF($D$2:$D$5001,D4455,$H$2:$H$5001)+ROW()/10000000,0))</f>
        <v>0</v>
      </c>
      <c r="Q4455" s="47" t="n">
        <f aca="false">IF(OR($A4455="",C4455=""),0,IF(COUNTIF($C$2:C4455,C4455)=1,SUMIF($C$2:$C$5001,C4455,$H$2:$H$5001)+ROW()/10000000,0))</f>
        <v>0</v>
      </c>
    </row>
    <row r="4456" customFormat="false" ht="15" hidden="false" customHeight="false" outlineLevel="0" collapsed="false">
      <c r="A4456" s="43"/>
      <c r="B4456" s="44"/>
      <c r="C4456" s="44"/>
      <c r="D4456" s="44"/>
      <c r="E4456" s="44"/>
      <c r="F4456" s="44"/>
      <c r="G4456" s="44"/>
      <c r="H4456" s="46" t="str">
        <f aca="false">IF($A4456="","",IF(OR(NOT(ISNUMBER(E4456)),NOT(ISNUMBER(F4456))),"",MAX(0,E4456)*F4456))</f>
        <v/>
      </c>
      <c r="I4456" s="46" t="str">
        <f aca="false">IF($A4456="","",SUMIF($A$2:$A$5001,$A4456,$H$2:$H$5001))</f>
        <v/>
      </c>
      <c r="J4456" s="47" t="n">
        <f aca="false">IF($A4456="",0,IF(COUNTIF($A$2:A4456,$A4456)=1,1,0))</f>
        <v>0</v>
      </c>
      <c r="K4456" s="47" t="n">
        <f aca="false">IF(J4456=1,N(I4456)+ROW()/10000000,0)</f>
        <v>0</v>
      </c>
      <c r="L4456" s="47" t="str">
        <f aca="false">IF(AND(J4456=1,N(I4456)&gt;0),SUMIF($K$2:$K$5001,"&gt;="&amp;K4456,$I$2:$I$5001)/MAX(1,SUM($H$2:$H$5001)),"")</f>
        <v/>
      </c>
      <c r="M4456" s="47" t="str">
        <f aca="false">IF($A4456="","",INDEX($L$2:$L$5001,MATCH($A4456,$A$2:$A$5001,0)))</f>
        <v/>
      </c>
      <c r="N4456" s="48" t="str">
        <f aca="false">IF($A4456="","",IF(N(M4456)=0,"–",IF(M4456&lt;=Start!$D$20,"A",IF(M4456&lt;=Start!$D$21,"B","C"))))</f>
        <v/>
      </c>
      <c r="O4456" s="48" t="str">
        <f aca="false">IF($A4456="","",IF(NOT(ISNUMBER(F4456)),"Wert fehlt; ",IF(F4456&lt;=0,"Wert ist 0; ",""))&amp;IF(NOT(ISNUMBER(E4456)),"Bestand fehlt; ",IF(E4456&lt;0,"Bestand negativ; ",IF(E4456=0,"Nullbestand; ","")))&amp;IF(D4456="","Warengruppe fehlt; ","")&amp;IF(B4456="","Bezeichnung fehlt; ","")&amp;IF(COUNTIFS($A$2:$A$5001,$A4456,$C$2:$C$5001,C4456)&gt;1,"Artikel doppelt im selben Lager; ",""))</f>
        <v/>
      </c>
      <c r="P4456" s="47" t="n">
        <f aca="false">IF(OR($A4456="",D4456=""),0,IF(COUNTIF($D$2:D4456,D4456)=1,SUMIF($D$2:$D$5001,D4456,$H$2:$H$5001)+ROW()/10000000,0))</f>
        <v>0</v>
      </c>
      <c r="Q4456" s="47" t="n">
        <f aca="false">IF(OR($A4456="",C4456=""),0,IF(COUNTIF($C$2:C4456,C4456)=1,SUMIF($C$2:$C$5001,C4456,$H$2:$H$5001)+ROW()/10000000,0))</f>
        <v>0</v>
      </c>
    </row>
    <row r="4457" customFormat="false" ht="15" hidden="false" customHeight="false" outlineLevel="0" collapsed="false">
      <c r="A4457" s="43"/>
      <c r="B4457" s="44"/>
      <c r="C4457" s="44"/>
      <c r="D4457" s="44"/>
      <c r="E4457" s="44"/>
      <c r="F4457" s="44"/>
      <c r="G4457" s="44"/>
      <c r="H4457" s="46" t="str">
        <f aca="false">IF($A4457="","",IF(OR(NOT(ISNUMBER(E4457)),NOT(ISNUMBER(F4457))),"",MAX(0,E4457)*F4457))</f>
        <v/>
      </c>
      <c r="I4457" s="46" t="str">
        <f aca="false">IF($A4457="","",SUMIF($A$2:$A$5001,$A4457,$H$2:$H$5001))</f>
        <v/>
      </c>
      <c r="J4457" s="47" t="n">
        <f aca="false">IF($A4457="",0,IF(COUNTIF($A$2:A4457,$A4457)=1,1,0))</f>
        <v>0</v>
      </c>
      <c r="K4457" s="47" t="n">
        <f aca="false">IF(J4457=1,N(I4457)+ROW()/10000000,0)</f>
        <v>0</v>
      </c>
      <c r="L4457" s="47" t="str">
        <f aca="false">IF(AND(J4457=1,N(I4457)&gt;0),SUMIF($K$2:$K$5001,"&gt;="&amp;K4457,$I$2:$I$5001)/MAX(1,SUM($H$2:$H$5001)),"")</f>
        <v/>
      </c>
      <c r="M4457" s="47" t="str">
        <f aca="false">IF($A4457="","",INDEX($L$2:$L$5001,MATCH($A4457,$A$2:$A$5001,0)))</f>
        <v/>
      </c>
      <c r="N4457" s="48" t="str">
        <f aca="false">IF($A4457="","",IF(N(M4457)=0,"–",IF(M4457&lt;=Start!$D$20,"A",IF(M4457&lt;=Start!$D$21,"B","C"))))</f>
        <v/>
      </c>
      <c r="O4457" s="48" t="str">
        <f aca="false">IF($A4457="","",IF(NOT(ISNUMBER(F4457)),"Wert fehlt; ",IF(F4457&lt;=0,"Wert ist 0; ",""))&amp;IF(NOT(ISNUMBER(E4457)),"Bestand fehlt; ",IF(E4457&lt;0,"Bestand negativ; ",IF(E4457=0,"Nullbestand; ","")))&amp;IF(D4457="","Warengruppe fehlt; ","")&amp;IF(B4457="","Bezeichnung fehlt; ","")&amp;IF(COUNTIFS($A$2:$A$5001,$A4457,$C$2:$C$5001,C4457)&gt;1,"Artikel doppelt im selben Lager; ",""))</f>
        <v/>
      </c>
      <c r="P4457" s="47" t="n">
        <f aca="false">IF(OR($A4457="",D4457=""),0,IF(COUNTIF($D$2:D4457,D4457)=1,SUMIF($D$2:$D$5001,D4457,$H$2:$H$5001)+ROW()/10000000,0))</f>
        <v>0</v>
      </c>
      <c r="Q4457" s="47" t="n">
        <f aca="false">IF(OR($A4457="",C4457=""),0,IF(COUNTIF($C$2:C4457,C4457)=1,SUMIF($C$2:$C$5001,C4457,$H$2:$H$5001)+ROW()/10000000,0))</f>
        <v>0</v>
      </c>
    </row>
    <row r="4458" customFormat="false" ht="15" hidden="false" customHeight="false" outlineLevel="0" collapsed="false">
      <c r="A4458" s="43"/>
      <c r="B4458" s="44"/>
      <c r="C4458" s="44"/>
      <c r="D4458" s="44"/>
      <c r="E4458" s="44"/>
      <c r="F4458" s="44"/>
      <c r="G4458" s="44"/>
      <c r="H4458" s="46" t="str">
        <f aca="false">IF($A4458="","",IF(OR(NOT(ISNUMBER(E4458)),NOT(ISNUMBER(F4458))),"",MAX(0,E4458)*F4458))</f>
        <v/>
      </c>
      <c r="I4458" s="46" t="str">
        <f aca="false">IF($A4458="","",SUMIF($A$2:$A$5001,$A4458,$H$2:$H$5001))</f>
        <v/>
      </c>
      <c r="J4458" s="47" t="n">
        <f aca="false">IF($A4458="",0,IF(COUNTIF($A$2:A4458,$A4458)=1,1,0))</f>
        <v>0</v>
      </c>
      <c r="K4458" s="47" t="n">
        <f aca="false">IF(J4458=1,N(I4458)+ROW()/10000000,0)</f>
        <v>0</v>
      </c>
      <c r="L4458" s="47" t="str">
        <f aca="false">IF(AND(J4458=1,N(I4458)&gt;0),SUMIF($K$2:$K$5001,"&gt;="&amp;K4458,$I$2:$I$5001)/MAX(1,SUM($H$2:$H$5001)),"")</f>
        <v/>
      </c>
      <c r="M4458" s="47" t="str">
        <f aca="false">IF($A4458="","",INDEX($L$2:$L$5001,MATCH($A4458,$A$2:$A$5001,0)))</f>
        <v/>
      </c>
      <c r="N4458" s="48" t="str">
        <f aca="false">IF($A4458="","",IF(N(M4458)=0,"–",IF(M4458&lt;=Start!$D$20,"A",IF(M4458&lt;=Start!$D$21,"B","C"))))</f>
        <v/>
      </c>
      <c r="O4458" s="48" t="str">
        <f aca="false">IF($A4458="","",IF(NOT(ISNUMBER(F4458)),"Wert fehlt; ",IF(F4458&lt;=0,"Wert ist 0; ",""))&amp;IF(NOT(ISNUMBER(E4458)),"Bestand fehlt; ",IF(E4458&lt;0,"Bestand negativ; ",IF(E4458=0,"Nullbestand; ","")))&amp;IF(D4458="","Warengruppe fehlt; ","")&amp;IF(B4458="","Bezeichnung fehlt; ","")&amp;IF(COUNTIFS($A$2:$A$5001,$A4458,$C$2:$C$5001,C4458)&gt;1,"Artikel doppelt im selben Lager; ",""))</f>
        <v/>
      </c>
      <c r="P4458" s="47" t="n">
        <f aca="false">IF(OR($A4458="",D4458=""),0,IF(COUNTIF($D$2:D4458,D4458)=1,SUMIF($D$2:$D$5001,D4458,$H$2:$H$5001)+ROW()/10000000,0))</f>
        <v>0</v>
      </c>
      <c r="Q4458" s="47" t="n">
        <f aca="false">IF(OR($A4458="",C4458=""),0,IF(COUNTIF($C$2:C4458,C4458)=1,SUMIF($C$2:$C$5001,C4458,$H$2:$H$5001)+ROW()/10000000,0))</f>
        <v>0</v>
      </c>
    </row>
    <row r="4459" customFormat="false" ht="15" hidden="false" customHeight="false" outlineLevel="0" collapsed="false">
      <c r="A4459" s="43"/>
      <c r="B4459" s="44"/>
      <c r="C4459" s="44"/>
      <c r="D4459" s="44"/>
      <c r="E4459" s="44"/>
      <c r="F4459" s="44"/>
      <c r="G4459" s="44"/>
      <c r="H4459" s="46" t="str">
        <f aca="false">IF($A4459="","",IF(OR(NOT(ISNUMBER(E4459)),NOT(ISNUMBER(F4459))),"",MAX(0,E4459)*F4459))</f>
        <v/>
      </c>
      <c r="I4459" s="46" t="str">
        <f aca="false">IF($A4459="","",SUMIF($A$2:$A$5001,$A4459,$H$2:$H$5001))</f>
        <v/>
      </c>
      <c r="J4459" s="47" t="n">
        <f aca="false">IF($A4459="",0,IF(COUNTIF($A$2:A4459,$A4459)=1,1,0))</f>
        <v>0</v>
      </c>
      <c r="K4459" s="47" t="n">
        <f aca="false">IF(J4459=1,N(I4459)+ROW()/10000000,0)</f>
        <v>0</v>
      </c>
      <c r="L4459" s="47" t="str">
        <f aca="false">IF(AND(J4459=1,N(I4459)&gt;0),SUMIF($K$2:$K$5001,"&gt;="&amp;K4459,$I$2:$I$5001)/MAX(1,SUM($H$2:$H$5001)),"")</f>
        <v/>
      </c>
      <c r="M4459" s="47" t="str">
        <f aca="false">IF($A4459="","",INDEX($L$2:$L$5001,MATCH($A4459,$A$2:$A$5001,0)))</f>
        <v/>
      </c>
      <c r="N4459" s="48" t="str">
        <f aca="false">IF($A4459="","",IF(N(M4459)=0,"–",IF(M4459&lt;=Start!$D$20,"A",IF(M4459&lt;=Start!$D$21,"B","C"))))</f>
        <v/>
      </c>
      <c r="O4459" s="48" t="str">
        <f aca="false">IF($A4459="","",IF(NOT(ISNUMBER(F4459)),"Wert fehlt; ",IF(F4459&lt;=0,"Wert ist 0; ",""))&amp;IF(NOT(ISNUMBER(E4459)),"Bestand fehlt; ",IF(E4459&lt;0,"Bestand negativ; ",IF(E4459=0,"Nullbestand; ","")))&amp;IF(D4459="","Warengruppe fehlt; ","")&amp;IF(B4459="","Bezeichnung fehlt; ","")&amp;IF(COUNTIFS($A$2:$A$5001,$A4459,$C$2:$C$5001,C4459)&gt;1,"Artikel doppelt im selben Lager; ",""))</f>
        <v/>
      </c>
      <c r="P4459" s="47" t="n">
        <f aca="false">IF(OR($A4459="",D4459=""),0,IF(COUNTIF($D$2:D4459,D4459)=1,SUMIF($D$2:$D$5001,D4459,$H$2:$H$5001)+ROW()/10000000,0))</f>
        <v>0</v>
      </c>
      <c r="Q4459" s="47" t="n">
        <f aca="false">IF(OR($A4459="",C4459=""),0,IF(COUNTIF($C$2:C4459,C4459)=1,SUMIF($C$2:$C$5001,C4459,$H$2:$H$5001)+ROW()/10000000,0))</f>
        <v>0</v>
      </c>
    </row>
    <row r="4460" customFormat="false" ht="15" hidden="false" customHeight="false" outlineLevel="0" collapsed="false">
      <c r="A4460" s="43"/>
      <c r="B4460" s="44"/>
      <c r="C4460" s="44"/>
      <c r="D4460" s="44"/>
      <c r="E4460" s="44"/>
      <c r="F4460" s="44"/>
      <c r="G4460" s="44"/>
      <c r="H4460" s="46" t="str">
        <f aca="false">IF($A4460="","",IF(OR(NOT(ISNUMBER(E4460)),NOT(ISNUMBER(F4460))),"",MAX(0,E4460)*F4460))</f>
        <v/>
      </c>
      <c r="I4460" s="46" t="str">
        <f aca="false">IF($A4460="","",SUMIF($A$2:$A$5001,$A4460,$H$2:$H$5001))</f>
        <v/>
      </c>
      <c r="J4460" s="47" t="n">
        <f aca="false">IF($A4460="",0,IF(COUNTIF($A$2:A4460,$A4460)=1,1,0))</f>
        <v>0</v>
      </c>
      <c r="K4460" s="47" t="n">
        <f aca="false">IF(J4460=1,N(I4460)+ROW()/10000000,0)</f>
        <v>0</v>
      </c>
      <c r="L4460" s="47" t="str">
        <f aca="false">IF(AND(J4460=1,N(I4460)&gt;0),SUMIF($K$2:$K$5001,"&gt;="&amp;K4460,$I$2:$I$5001)/MAX(1,SUM($H$2:$H$5001)),"")</f>
        <v/>
      </c>
      <c r="M4460" s="47" t="str">
        <f aca="false">IF($A4460="","",INDEX($L$2:$L$5001,MATCH($A4460,$A$2:$A$5001,0)))</f>
        <v/>
      </c>
      <c r="N4460" s="48" t="str">
        <f aca="false">IF($A4460="","",IF(N(M4460)=0,"–",IF(M4460&lt;=Start!$D$20,"A",IF(M4460&lt;=Start!$D$21,"B","C"))))</f>
        <v/>
      </c>
      <c r="O4460" s="48" t="str">
        <f aca="false">IF($A4460="","",IF(NOT(ISNUMBER(F4460)),"Wert fehlt; ",IF(F4460&lt;=0,"Wert ist 0; ",""))&amp;IF(NOT(ISNUMBER(E4460)),"Bestand fehlt; ",IF(E4460&lt;0,"Bestand negativ; ",IF(E4460=0,"Nullbestand; ","")))&amp;IF(D4460="","Warengruppe fehlt; ","")&amp;IF(B4460="","Bezeichnung fehlt; ","")&amp;IF(COUNTIFS($A$2:$A$5001,$A4460,$C$2:$C$5001,C4460)&gt;1,"Artikel doppelt im selben Lager; ",""))</f>
        <v/>
      </c>
      <c r="P4460" s="47" t="n">
        <f aca="false">IF(OR($A4460="",D4460=""),0,IF(COUNTIF($D$2:D4460,D4460)=1,SUMIF($D$2:$D$5001,D4460,$H$2:$H$5001)+ROW()/10000000,0))</f>
        <v>0</v>
      </c>
      <c r="Q4460" s="47" t="n">
        <f aca="false">IF(OR($A4460="",C4460=""),0,IF(COUNTIF($C$2:C4460,C4460)=1,SUMIF($C$2:$C$5001,C4460,$H$2:$H$5001)+ROW()/10000000,0))</f>
        <v>0</v>
      </c>
    </row>
    <row r="4461" customFormat="false" ht="15" hidden="false" customHeight="false" outlineLevel="0" collapsed="false">
      <c r="A4461" s="43"/>
      <c r="B4461" s="44"/>
      <c r="C4461" s="44"/>
      <c r="D4461" s="44"/>
      <c r="E4461" s="44"/>
      <c r="F4461" s="44"/>
      <c r="G4461" s="44"/>
      <c r="H4461" s="46" t="str">
        <f aca="false">IF($A4461="","",IF(OR(NOT(ISNUMBER(E4461)),NOT(ISNUMBER(F4461))),"",MAX(0,E4461)*F4461))</f>
        <v/>
      </c>
      <c r="I4461" s="46" t="str">
        <f aca="false">IF($A4461="","",SUMIF($A$2:$A$5001,$A4461,$H$2:$H$5001))</f>
        <v/>
      </c>
      <c r="J4461" s="47" t="n">
        <f aca="false">IF($A4461="",0,IF(COUNTIF($A$2:A4461,$A4461)=1,1,0))</f>
        <v>0</v>
      </c>
      <c r="K4461" s="47" t="n">
        <f aca="false">IF(J4461=1,N(I4461)+ROW()/10000000,0)</f>
        <v>0</v>
      </c>
      <c r="L4461" s="47" t="str">
        <f aca="false">IF(AND(J4461=1,N(I4461)&gt;0),SUMIF($K$2:$K$5001,"&gt;="&amp;K4461,$I$2:$I$5001)/MAX(1,SUM($H$2:$H$5001)),"")</f>
        <v/>
      </c>
      <c r="M4461" s="47" t="str">
        <f aca="false">IF($A4461="","",INDEX($L$2:$L$5001,MATCH($A4461,$A$2:$A$5001,0)))</f>
        <v/>
      </c>
      <c r="N4461" s="48" t="str">
        <f aca="false">IF($A4461="","",IF(N(M4461)=0,"–",IF(M4461&lt;=Start!$D$20,"A",IF(M4461&lt;=Start!$D$21,"B","C"))))</f>
        <v/>
      </c>
      <c r="O4461" s="48" t="str">
        <f aca="false">IF($A4461="","",IF(NOT(ISNUMBER(F4461)),"Wert fehlt; ",IF(F4461&lt;=0,"Wert ist 0; ",""))&amp;IF(NOT(ISNUMBER(E4461)),"Bestand fehlt; ",IF(E4461&lt;0,"Bestand negativ; ",IF(E4461=0,"Nullbestand; ","")))&amp;IF(D4461="","Warengruppe fehlt; ","")&amp;IF(B4461="","Bezeichnung fehlt; ","")&amp;IF(COUNTIFS($A$2:$A$5001,$A4461,$C$2:$C$5001,C4461)&gt;1,"Artikel doppelt im selben Lager; ",""))</f>
        <v/>
      </c>
      <c r="P4461" s="47" t="n">
        <f aca="false">IF(OR($A4461="",D4461=""),0,IF(COUNTIF($D$2:D4461,D4461)=1,SUMIF($D$2:$D$5001,D4461,$H$2:$H$5001)+ROW()/10000000,0))</f>
        <v>0</v>
      </c>
      <c r="Q4461" s="47" t="n">
        <f aca="false">IF(OR($A4461="",C4461=""),0,IF(COUNTIF($C$2:C4461,C4461)=1,SUMIF($C$2:$C$5001,C4461,$H$2:$H$5001)+ROW()/10000000,0))</f>
        <v>0</v>
      </c>
    </row>
    <row r="4462" customFormat="false" ht="15" hidden="false" customHeight="false" outlineLevel="0" collapsed="false">
      <c r="A4462" s="43"/>
      <c r="B4462" s="44"/>
      <c r="C4462" s="44"/>
      <c r="D4462" s="44"/>
      <c r="E4462" s="44"/>
      <c r="F4462" s="44"/>
      <c r="G4462" s="44"/>
      <c r="H4462" s="46" t="str">
        <f aca="false">IF($A4462="","",IF(OR(NOT(ISNUMBER(E4462)),NOT(ISNUMBER(F4462))),"",MAX(0,E4462)*F4462))</f>
        <v/>
      </c>
      <c r="I4462" s="46" t="str">
        <f aca="false">IF($A4462="","",SUMIF($A$2:$A$5001,$A4462,$H$2:$H$5001))</f>
        <v/>
      </c>
      <c r="J4462" s="47" t="n">
        <f aca="false">IF($A4462="",0,IF(COUNTIF($A$2:A4462,$A4462)=1,1,0))</f>
        <v>0</v>
      </c>
      <c r="K4462" s="47" t="n">
        <f aca="false">IF(J4462=1,N(I4462)+ROW()/10000000,0)</f>
        <v>0</v>
      </c>
      <c r="L4462" s="47" t="str">
        <f aca="false">IF(AND(J4462=1,N(I4462)&gt;0),SUMIF($K$2:$K$5001,"&gt;="&amp;K4462,$I$2:$I$5001)/MAX(1,SUM($H$2:$H$5001)),"")</f>
        <v/>
      </c>
      <c r="M4462" s="47" t="str">
        <f aca="false">IF($A4462="","",INDEX($L$2:$L$5001,MATCH($A4462,$A$2:$A$5001,0)))</f>
        <v/>
      </c>
      <c r="N4462" s="48" t="str">
        <f aca="false">IF($A4462="","",IF(N(M4462)=0,"–",IF(M4462&lt;=Start!$D$20,"A",IF(M4462&lt;=Start!$D$21,"B","C"))))</f>
        <v/>
      </c>
      <c r="O4462" s="48" t="str">
        <f aca="false">IF($A4462="","",IF(NOT(ISNUMBER(F4462)),"Wert fehlt; ",IF(F4462&lt;=0,"Wert ist 0; ",""))&amp;IF(NOT(ISNUMBER(E4462)),"Bestand fehlt; ",IF(E4462&lt;0,"Bestand negativ; ",IF(E4462=0,"Nullbestand; ","")))&amp;IF(D4462="","Warengruppe fehlt; ","")&amp;IF(B4462="","Bezeichnung fehlt; ","")&amp;IF(COUNTIFS($A$2:$A$5001,$A4462,$C$2:$C$5001,C4462)&gt;1,"Artikel doppelt im selben Lager; ",""))</f>
        <v/>
      </c>
      <c r="P4462" s="47" t="n">
        <f aca="false">IF(OR($A4462="",D4462=""),0,IF(COUNTIF($D$2:D4462,D4462)=1,SUMIF($D$2:$D$5001,D4462,$H$2:$H$5001)+ROW()/10000000,0))</f>
        <v>0</v>
      </c>
      <c r="Q4462" s="47" t="n">
        <f aca="false">IF(OR($A4462="",C4462=""),0,IF(COUNTIF($C$2:C4462,C4462)=1,SUMIF($C$2:$C$5001,C4462,$H$2:$H$5001)+ROW()/10000000,0))</f>
        <v>0</v>
      </c>
    </row>
    <row r="4463" customFormat="false" ht="15" hidden="false" customHeight="false" outlineLevel="0" collapsed="false">
      <c r="A4463" s="43"/>
      <c r="B4463" s="44"/>
      <c r="C4463" s="44"/>
      <c r="D4463" s="44"/>
      <c r="E4463" s="44"/>
      <c r="F4463" s="44"/>
      <c r="G4463" s="44"/>
      <c r="H4463" s="46" t="str">
        <f aca="false">IF($A4463="","",IF(OR(NOT(ISNUMBER(E4463)),NOT(ISNUMBER(F4463))),"",MAX(0,E4463)*F4463))</f>
        <v/>
      </c>
      <c r="I4463" s="46" t="str">
        <f aca="false">IF($A4463="","",SUMIF($A$2:$A$5001,$A4463,$H$2:$H$5001))</f>
        <v/>
      </c>
      <c r="J4463" s="47" t="n">
        <f aca="false">IF($A4463="",0,IF(COUNTIF($A$2:A4463,$A4463)=1,1,0))</f>
        <v>0</v>
      </c>
      <c r="K4463" s="47" t="n">
        <f aca="false">IF(J4463=1,N(I4463)+ROW()/10000000,0)</f>
        <v>0</v>
      </c>
      <c r="L4463" s="47" t="str">
        <f aca="false">IF(AND(J4463=1,N(I4463)&gt;0),SUMIF($K$2:$K$5001,"&gt;="&amp;K4463,$I$2:$I$5001)/MAX(1,SUM($H$2:$H$5001)),"")</f>
        <v/>
      </c>
      <c r="M4463" s="47" t="str">
        <f aca="false">IF($A4463="","",INDEX($L$2:$L$5001,MATCH($A4463,$A$2:$A$5001,0)))</f>
        <v/>
      </c>
      <c r="N4463" s="48" t="str">
        <f aca="false">IF($A4463="","",IF(N(M4463)=0,"–",IF(M4463&lt;=Start!$D$20,"A",IF(M4463&lt;=Start!$D$21,"B","C"))))</f>
        <v/>
      </c>
      <c r="O4463" s="48" t="str">
        <f aca="false">IF($A4463="","",IF(NOT(ISNUMBER(F4463)),"Wert fehlt; ",IF(F4463&lt;=0,"Wert ist 0; ",""))&amp;IF(NOT(ISNUMBER(E4463)),"Bestand fehlt; ",IF(E4463&lt;0,"Bestand negativ; ",IF(E4463=0,"Nullbestand; ","")))&amp;IF(D4463="","Warengruppe fehlt; ","")&amp;IF(B4463="","Bezeichnung fehlt; ","")&amp;IF(COUNTIFS($A$2:$A$5001,$A4463,$C$2:$C$5001,C4463)&gt;1,"Artikel doppelt im selben Lager; ",""))</f>
        <v/>
      </c>
      <c r="P4463" s="47" t="n">
        <f aca="false">IF(OR($A4463="",D4463=""),0,IF(COUNTIF($D$2:D4463,D4463)=1,SUMIF($D$2:$D$5001,D4463,$H$2:$H$5001)+ROW()/10000000,0))</f>
        <v>0</v>
      </c>
      <c r="Q4463" s="47" t="n">
        <f aca="false">IF(OR($A4463="",C4463=""),0,IF(COUNTIF($C$2:C4463,C4463)=1,SUMIF($C$2:$C$5001,C4463,$H$2:$H$5001)+ROW()/10000000,0))</f>
        <v>0</v>
      </c>
    </row>
    <row r="4464" customFormat="false" ht="15" hidden="false" customHeight="false" outlineLevel="0" collapsed="false">
      <c r="A4464" s="43"/>
      <c r="B4464" s="44"/>
      <c r="C4464" s="44"/>
      <c r="D4464" s="44"/>
      <c r="E4464" s="44"/>
      <c r="F4464" s="44"/>
      <c r="G4464" s="44"/>
      <c r="H4464" s="46" t="str">
        <f aca="false">IF($A4464="","",IF(OR(NOT(ISNUMBER(E4464)),NOT(ISNUMBER(F4464))),"",MAX(0,E4464)*F4464))</f>
        <v/>
      </c>
      <c r="I4464" s="46" t="str">
        <f aca="false">IF($A4464="","",SUMIF($A$2:$A$5001,$A4464,$H$2:$H$5001))</f>
        <v/>
      </c>
      <c r="J4464" s="47" t="n">
        <f aca="false">IF($A4464="",0,IF(COUNTIF($A$2:A4464,$A4464)=1,1,0))</f>
        <v>0</v>
      </c>
      <c r="K4464" s="47" t="n">
        <f aca="false">IF(J4464=1,N(I4464)+ROW()/10000000,0)</f>
        <v>0</v>
      </c>
      <c r="L4464" s="47" t="str">
        <f aca="false">IF(AND(J4464=1,N(I4464)&gt;0),SUMIF($K$2:$K$5001,"&gt;="&amp;K4464,$I$2:$I$5001)/MAX(1,SUM($H$2:$H$5001)),"")</f>
        <v/>
      </c>
      <c r="M4464" s="47" t="str">
        <f aca="false">IF($A4464="","",INDEX($L$2:$L$5001,MATCH($A4464,$A$2:$A$5001,0)))</f>
        <v/>
      </c>
      <c r="N4464" s="48" t="str">
        <f aca="false">IF($A4464="","",IF(N(M4464)=0,"–",IF(M4464&lt;=Start!$D$20,"A",IF(M4464&lt;=Start!$D$21,"B","C"))))</f>
        <v/>
      </c>
      <c r="O4464" s="48" t="str">
        <f aca="false">IF($A4464="","",IF(NOT(ISNUMBER(F4464)),"Wert fehlt; ",IF(F4464&lt;=0,"Wert ist 0; ",""))&amp;IF(NOT(ISNUMBER(E4464)),"Bestand fehlt; ",IF(E4464&lt;0,"Bestand negativ; ",IF(E4464=0,"Nullbestand; ","")))&amp;IF(D4464="","Warengruppe fehlt; ","")&amp;IF(B4464="","Bezeichnung fehlt; ","")&amp;IF(COUNTIFS($A$2:$A$5001,$A4464,$C$2:$C$5001,C4464)&gt;1,"Artikel doppelt im selben Lager; ",""))</f>
        <v/>
      </c>
      <c r="P4464" s="47" t="n">
        <f aca="false">IF(OR($A4464="",D4464=""),0,IF(COUNTIF($D$2:D4464,D4464)=1,SUMIF($D$2:$D$5001,D4464,$H$2:$H$5001)+ROW()/10000000,0))</f>
        <v>0</v>
      </c>
      <c r="Q4464" s="47" t="n">
        <f aca="false">IF(OR($A4464="",C4464=""),0,IF(COUNTIF($C$2:C4464,C4464)=1,SUMIF($C$2:$C$5001,C4464,$H$2:$H$5001)+ROW()/10000000,0))</f>
        <v>0</v>
      </c>
    </row>
    <row r="4465" customFormat="false" ht="15" hidden="false" customHeight="false" outlineLevel="0" collapsed="false">
      <c r="A4465" s="43"/>
      <c r="B4465" s="44"/>
      <c r="C4465" s="44"/>
      <c r="D4465" s="44"/>
      <c r="E4465" s="44"/>
      <c r="F4465" s="44"/>
      <c r="G4465" s="44"/>
      <c r="H4465" s="46" t="str">
        <f aca="false">IF($A4465="","",IF(OR(NOT(ISNUMBER(E4465)),NOT(ISNUMBER(F4465))),"",MAX(0,E4465)*F4465))</f>
        <v/>
      </c>
      <c r="I4465" s="46" t="str">
        <f aca="false">IF($A4465="","",SUMIF($A$2:$A$5001,$A4465,$H$2:$H$5001))</f>
        <v/>
      </c>
      <c r="J4465" s="47" t="n">
        <f aca="false">IF($A4465="",0,IF(COUNTIF($A$2:A4465,$A4465)=1,1,0))</f>
        <v>0</v>
      </c>
      <c r="K4465" s="47" t="n">
        <f aca="false">IF(J4465=1,N(I4465)+ROW()/10000000,0)</f>
        <v>0</v>
      </c>
      <c r="L4465" s="47" t="str">
        <f aca="false">IF(AND(J4465=1,N(I4465)&gt;0),SUMIF($K$2:$K$5001,"&gt;="&amp;K4465,$I$2:$I$5001)/MAX(1,SUM($H$2:$H$5001)),"")</f>
        <v/>
      </c>
      <c r="M4465" s="47" t="str">
        <f aca="false">IF($A4465="","",INDEX($L$2:$L$5001,MATCH($A4465,$A$2:$A$5001,0)))</f>
        <v/>
      </c>
      <c r="N4465" s="48" t="str">
        <f aca="false">IF($A4465="","",IF(N(M4465)=0,"–",IF(M4465&lt;=Start!$D$20,"A",IF(M4465&lt;=Start!$D$21,"B","C"))))</f>
        <v/>
      </c>
      <c r="O4465" s="48" t="str">
        <f aca="false">IF($A4465="","",IF(NOT(ISNUMBER(F4465)),"Wert fehlt; ",IF(F4465&lt;=0,"Wert ist 0; ",""))&amp;IF(NOT(ISNUMBER(E4465)),"Bestand fehlt; ",IF(E4465&lt;0,"Bestand negativ; ",IF(E4465=0,"Nullbestand; ","")))&amp;IF(D4465="","Warengruppe fehlt; ","")&amp;IF(B4465="","Bezeichnung fehlt; ","")&amp;IF(COUNTIFS($A$2:$A$5001,$A4465,$C$2:$C$5001,C4465)&gt;1,"Artikel doppelt im selben Lager; ",""))</f>
        <v/>
      </c>
      <c r="P4465" s="47" t="n">
        <f aca="false">IF(OR($A4465="",D4465=""),0,IF(COUNTIF($D$2:D4465,D4465)=1,SUMIF($D$2:$D$5001,D4465,$H$2:$H$5001)+ROW()/10000000,0))</f>
        <v>0</v>
      </c>
      <c r="Q4465" s="47" t="n">
        <f aca="false">IF(OR($A4465="",C4465=""),0,IF(COUNTIF($C$2:C4465,C4465)=1,SUMIF($C$2:$C$5001,C4465,$H$2:$H$5001)+ROW()/10000000,0))</f>
        <v>0</v>
      </c>
    </row>
    <row r="4466" customFormat="false" ht="15" hidden="false" customHeight="false" outlineLevel="0" collapsed="false">
      <c r="A4466" s="43"/>
      <c r="B4466" s="44"/>
      <c r="C4466" s="44"/>
      <c r="D4466" s="44"/>
      <c r="E4466" s="44"/>
      <c r="F4466" s="44"/>
      <c r="G4466" s="44"/>
      <c r="H4466" s="46" t="str">
        <f aca="false">IF($A4466="","",IF(OR(NOT(ISNUMBER(E4466)),NOT(ISNUMBER(F4466))),"",MAX(0,E4466)*F4466))</f>
        <v/>
      </c>
      <c r="I4466" s="46" t="str">
        <f aca="false">IF($A4466="","",SUMIF($A$2:$A$5001,$A4466,$H$2:$H$5001))</f>
        <v/>
      </c>
      <c r="J4466" s="47" t="n">
        <f aca="false">IF($A4466="",0,IF(COUNTIF($A$2:A4466,$A4466)=1,1,0))</f>
        <v>0</v>
      </c>
      <c r="K4466" s="47" t="n">
        <f aca="false">IF(J4466=1,N(I4466)+ROW()/10000000,0)</f>
        <v>0</v>
      </c>
      <c r="L4466" s="47" t="str">
        <f aca="false">IF(AND(J4466=1,N(I4466)&gt;0),SUMIF($K$2:$K$5001,"&gt;="&amp;K4466,$I$2:$I$5001)/MAX(1,SUM($H$2:$H$5001)),"")</f>
        <v/>
      </c>
      <c r="M4466" s="47" t="str">
        <f aca="false">IF($A4466="","",INDEX($L$2:$L$5001,MATCH($A4466,$A$2:$A$5001,0)))</f>
        <v/>
      </c>
      <c r="N4466" s="48" t="str">
        <f aca="false">IF($A4466="","",IF(N(M4466)=0,"–",IF(M4466&lt;=Start!$D$20,"A",IF(M4466&lt;=Start!$D$21,"B","C"))))</f>
        <v/>
      </c>
      <c r="O4466" s="48" t="str">
        <f aca="false">IF($A4466="","",IF(NOT(ISNUMBER(F4466)),"Wert fehlt; ",IF(F4466&lt;=0,"Wert ist 0; ",""))&amp;IF(NOT(ISNUMBER(E4466)),"Bestand fehlt; ",IF(E4466&lt;0,"Bestand negativ; ",IF(E4466=0,"Nullbestand; ","")))&amp;IF(D4466="","Warengruppe fehlt; ","")&amp;IF(B4466="","Bezeichnung fehlt; ","")&amp;IF(COUNTIFS($A$2:$A$5001,$A4466,$C$2:$C$5001,C4466)&gt;1,"Artikel doppelt im selben Lager; ",""))</f>
        <v/>
      </c>
      <c r="P4466" s="47" t="n">
        <f aca="false">IF(OR($A4466="",D4466=""),0,IF(COUNTIF($D$2:D4466,D4466)=1,SUMIF($D$2:$D$5001,D4466,$H$2:$H$5001)+ROW()/10000000,0))</f>
        <v>0</v>
      </c>
      <c r="Q4466" s="47" t="n">
        <f aca="false">IF(OR($A4466="",C4466=""),0,IF(COUNTIF($C$2:C4466,C4466)=1,SUMIF($C$2:$C$5001,C4466,$H$2:$H$5001)+ROW()/10000000,0))</f>
        <v>0</v>
      </c>
    </row>
    <row r="4467" customFormat="false" ht="15" hidden="false" customHeight="false" outlineLevel="0" collapsed="false">
      <c r="A4467" s="43"/>
      <c r="B4467" s="44"/>
      <c r="C4467" s="44"/>
      <c r="D4467" s="44"/>
      <c r="E4467" s="44"/>
      <c r="F4467" s="44"/>
      <c r="G4467" s="44"/>
      <c r="H4467" s="46" t="str">
        <f aca="false">IF($A4467="","",IF(OR(NOT(ISNUMBER(E4467)),NOT(ISNUMBER(F4467))),"",MAX(0,E4467)*F4467))</f>
        <v/>
      </c>
      <c r="I4467" s="46" t="str">
        <f aca="false">IF($A4467="","",SUMIF($A$2:$A$5001,$A4467,$H$2:$H$5001))</f>
        <v/>
      </c>
      <c r="J4467" s="47" t="n">
        <f aca="false">IF($A4467="",0,IF(COUNTIF($A$2:A4467,$A4467)=1,1,0))</f>
        <v>0</v>
      </c>
      <c r="K4467" s="47" t="n">
        <f aca="false">IF(J4467=1,N(I4467)+ROW()/10000000,0)</f>
        <v>0</v>
      </c>
      <c r="L4467" s="47" t="str">
        <f aca="false">IF(AND(J4467=1,N(I4467)&gt;0),SUMIF($K$2:$K$5001,"&gt;="&amp;K4467,$I$2:$I$5001)/MAX(1,SUM($H$2:$H$5001)),"")</f>
        <v/>
      </c>
      <c r="M4467" s="47" t="str">
        <f aca="false">IF($A4467="","",INDEX($L$2:$L$5001,MATCH($A4467,$A$2:$A$5001,0)))</f>
        <v/>
      </c>
      <c r="N4467" s="48" t="str">
        <f aca="false">IF($A4467="","",IF(N(M4467)=0,"–",IF(M4467&lt;=Start!$D$20,"A",IF(M4467&lt;=Start!$D$21,"B","C"))))</f>
        <v/>
      </c>
      <c r="O4467" s="48" t="str">
        <f aca="false">IF($A4467="","",IF(NOT(ISNUMBER(F4467)),"Wert fehlt; ",IF(F4467&lt;=0,"Wert ist 0; ",""))&amp;IF(NOT(ISNUMBER(E4467)),"Bestand fehlt; ",IF(E4467&lt;0,"Bestand negativ; ",IF(E4467=0,"Nullbestand; ","")))&amp;IF(D4467="","Warengruppe fehlt; ","")&amp;IF(B4467="","Bezeichnung fehlt; ","")&amp;IF(COUNTIFS($A$2:$A$5001,$A4467,$C$2:$C$5001,C4467)&gt;1,"Artikel doppelt im selben Lager; ",""))</f>
        <v/>
      </c>
      <c r="P4467" s="47" t="n">
        <f aca="false">IF(OR($A4467="",D4467=""),0,IF(COUNTIF($D$2:D4467,D4467)=1,SUMIF($D$2:$D$5001,D4467,$H$2:$H$5001)+ROW()/10000000,0))</f>
        <v>0</v>
      </c>
      <c r="Q4467" s="47" t="n">
        <f aca="false">IF(OR($A4467="",C4467=""),0,IF(COUNTIF($C$2:C4467,C4467)=1,SUMIF($C$2:$C$5001,C4467,$H$2:$H$5001)+ROW()/10000000,0))</f>
        <v>0</v>
      </c>
    </row>
    <row r="4468" customFormat="false" ht="15" hidden="false" customHeight="false" outlineLevel="0" collapsed="false">
      <c r="A4468" s="43"/>
      <c r="B4468" s="44"/>
      <c r="C4468" s="44"/>
      <c r="D4468" s="44"/>
      <c r="E4468" s="44"/>
      <c r="F4468" s="44"/>
      <c r="G4468" s="44"/>
      <c r="H4468" s="46" t="str">
        <f aca="false">IF($A4468="","",IF(OR(NOT(ISNUMBER(E4468)),NOT(ISNUMBER(F4468))),"",MAX(0,E4468)*F4468))</f>
        <v/>
      </c>
      <c r="I4468" s="46" t="str">
        <f aca="false">IF($A4468="","",SUMIF($A$2:$A$5001,$A4468,$H$2:$H$5001))</f>
        <v/>
      </c>
      <c r="J4468" s="47" t="n">
        <f aca="false">IF($A4468="",0,IF(COUNTIF($A$2:A4468,$A4468)=1,1,0))</f>
        <v>0</v>
      </c>
      <c r="K4468" s="47" t="n">
        <f aca="false">IF(J4468=1,N(I4468)+ROW()/10000000,0)</f>
        <v>0</v>
      </c>
      <c r="L4468" s="47" t="str">
        <f aca="false">IF(AND(J4468=1,N(I4468)&gt;0),SUMIF($K$2:$K$5001,"&gt;="&amp;K4468,$I$2:$I$5001)/MAX(1,SUM($H$2:$H$5001)),"")</f>
        <v/>
      </c>
      <c r="M4468" s="47" t="str">
        <f aca="false">IF($A4468="","",INDEX($L$2:$L$5001,MATCH($A4468,$A$2:$A$5001,0)))</f>
        <v/>
      </c>
      <c r="N4468" s="48" t="str">
        <f aca="false">IF($A4468="","",IF(N(M4468)=0,"–",IF(M4468&lt;=Start!$D$20,"A",IF(M4468&lt;=Start!$D$21,"B","C"))))</f>
        <v/>
      </c>
      <c r="O4468" s="48" t="str">
        <f aca="false">IF($A4468="","",IF(NOT(ISNUMBER(F4468)),"Wert fehlt; ",IF(F4468&lt;=0,"Wert ist 0; ",""))&amp;IF(NOT(ISNUMBER(E4468)),"Bestand fehlt; ",IF(E4468&lt;0,"Bestand negativ; ",IF(E4468=0,"Nullbestand; ","")))&amp;IF(D4468="","Warengruppe fehlt; ","")&amp;IF(B4468="","Bezeichnung fehlt; ","")&amp;IF(COUNTIFS($A$2:$A$5001,$A4468,$C$2:$C$5001,C4468)&gt;1,"Artikel doppelt im selben Lager; ",""))</f>
        <v/>
      </c>
      <c r="P4468" s="47" t="n">
        <f aca="false">IF(OR($A4468="",D4468=""),0,IF(COUNTIF($D$2:D4468,D4468)=1,SUMIF($D$2:$D$5001,D4468,$H$2:$H$5001)+ROW()/10000000,0))</f>
        <v>0</v>
      </c>
      <c r="Q4468" s="47" t="n">
        <f aca="false">IF(OR($A4468="",C4468=""),0,IF(COUNTIF($C$2:C4468,C4468)=1,SUMIF($C$2:$C$5001,C4468,$H$2:$H$5001)+ROW()/10000000,0))</f>
        <v>0</v>
      </c>
    </row>
    <row r="4469" customFormat="false" ht="15" hidden="false" customHeight="false" outlineLevel="0" collapsed="false">
      <c r="A4469" s="43"/>
      <c r="B4469" s="44"/>
      <c r="C4469" s="44"/>
      <c r="D4469" s="44"/>
      <c r="E4469" s="44"/>
      <c r="F4469" s="44"/>
      <c r="G4469" s="44"/>
      <c r="H4469" s="46" t="str">
        <f aca="false">IF($A4469="","",IF(OR(NOT(ISNUMBER(E4469)),NOT(ISNUMBER(F4469))),"",MAX(0,E4469)*F4469))</f>
        <v/>
      </c>
      <c r="I4469" s="46" t="str">
        <f aca="false">IF($A4469="","",SUMIF($A$2:$A$5001,$A4469,$H$2:$H$5001))</f>
        <v/>
      </c>
      <c r="J4469" s="47" t="n">
        <f aca="false">IF($A4469="",0,IF(COUNTIF($A$2:A4469,$A4469)=1,1,0))</f>
        <v>0</v>
      </c>
      <c r="K4469" s="47" t="n">
        <f aca="false">IF(J4469=1,N(I4469)+ROW()/10000000,0)</f>
        <v>0</v>
      </c>
      <c r="L4469" s="47" t="str">
        <f aca="false">IF(AND(J4469=1,N(I4469)&gt;0),SUMIF($K$2:$K$5001,"&gt;="&amp;K4469,$I$2:$I$5001)/MAX(1,SUM($H$2:$H$5001)),"")</f>
        <v/>
      </c>
      <c r="M4469" s="47" t="str">
        <f aca="false">IF($A4469="","",INDEX($L$2:$L$5001,MATCH($A4469,$A$2:$A$5001,0)))</f>
        <v/>
      </c>
      <c r="N4469" s="48" t="str">
        <f aca="false">IF($A4469="","",IF(N(M4469)=0,"–",IF(M4469&lt;=Start!$D$20,"A",IF(M4469&lt;=Start!$D$21,"B","C"))))</f>
        <v/>
      </c>
      <c r="O4469" s="48" t="str">
        <f aca="false">IF($A4469="","",IF(NOT(ISNUMBER(F4469)),"Wert fehlt; ",IF(F4469&lt;=0,"Wert ist 0; ",""))&amp;IF(NOT(ISNUMBER(E4469)),"Bestand fehlt; ",IF(E4469&lt;0,"Bestand negativ; ",IF(E4469=0,"Nullbestand; ","")))&amp;IF(D4469="","Warengruppe fehlt; ","")&amp;IF(B4469="","Bezeichnung fehlt; ","")&amp;IF(COUNTIFS($A$2:$A$5001,$A4469,$C$2:$C$5001,C4469)&gt;1,"Artikel doppelt im selben Lager; ",""))</f>
        <v/>
      </c>
      <c r="P4469" s="47" t="n">
        <f aca="false">IF(OR($A4469="",D4469=""),0,IF(COUNTIF($D$2:D4469,D4469)=1,SUMIF($D$2:$D$5001,D4469,$H$2:$H$5001)+ROW()/10000000,0))</f>
        <v>0</v>
      </c>
      <c r="Q4469" s="47" t="n">
        <f aca="false">IF(OR($A4469="",C4469=""),0,IF(COUNTIF($C$2:C4469,C4469)=1,SUMIF($C$2:$C$5001,C4469,$H$2:$H$5001)+ROW()/10000000,0))</f>
        <v>0</v>
      </c>
    </row>
    <row r="4470" customFormat="false" ht="15" hidden="false" customHeight="false" outlineLevel="0" collapsed="false">
      <c r="A4470" s="43"/>
      <c r="B4470" s="44"/>
      <c r="C4470" s="44"/>
      <c r="D4470" s="44"/>
      <c r="E4470" s="44"/>
      <c r="F4470" s="44"/>
      <c r="G4470" s="44"/>
      <c r="H4470" s="46" t="str">
        <f aca="false">IF($A4470="","",IF(OR(NOT(ISNUMBER(E4470)),NOT(ISNUMBER(F4470))),"",MAX(0,E4470)*F4470))</f>
        <v/>
      </c>
      <c r="I4470" s="46" t="str">
        <f aca="false">IF($A4470="","",SUMIF($A$2:$A$5001,$A4470,$H$2:$H$5001))</f>
        <v/>
      </c>
      <c r="J4470" s="47" t="n">
        <f aca="false">IF($A4470="",0,IF(COUNTIF($A$2:A4470,$A4470)=1,1,0))</f>
        <v>0</v>
      </c>
      <c r="K4470" s="47" t="n">
        <f aca="false">IF(J4470=1,N(I4470)+ROW()/10000000,0)</f>
        <v>0</v>
      </c>
      <c r="L4470" s="47" t="str">
        <f aca="false">IF(AND(J4470=1,N(I4470)&gt;0),SUMIF($K$2:$K$5001,"&gt;="&amp;K4470,$I$2:$I$5001)/MAX(1,SUM($H$2:$H$5001)),"")</f>
        <v/>
      </c>
      <c r="M4470" s="47" t="str">
        <f aca="false">IF($A4470="","",INDEX($L$2:$L$5001,MATCH($A4470,$A$2:$A$5001,0)))</f>
        <v/>
      </c>
      <c r="N4470" s="48" t="str">
        <f aca="false">IF($A4470="","",IF(N(M4470)=0,"–",IF(M4470&lt;=Start!$D$20,"A",IF(M4470&lt;=Start!$D$21,"B","C"))))</f>
        <v/>
      </c>
      <c r="O4470" s="48" t="str">
        <f aca="false">IF($A4470="","",IF(NOT(ISNUMBER(F4470)),"Wert fehlt; ",IF(F4470&lt;=0,"Wert ist 0; ",""))&amp;IF(NOT(ISNUMBER(E4470)),"Bestand fehlt; ",IF(E4470&lt;0,"Bestand negativ; ",IF(E4470=0,"Nullbestand; ","")))&amp;IF(D4470="","Warengruppe fehlt; ","")&amp;IF(B4470="","Bezeichnung fehlt; ","")&amp;IF(COUNTIFS($A$2:$A$5001,$A4470,$C$2:$C$5001,C4470)&gt;1,"Artikel doppelt im selben Lager; ",""))</f>
        <v/>
      </c>
      <c r="P4470" s="47" t="n">
        <f aca="false">IF(OR($A4470="",D4470=""),0,IF(COUNTIF($D$2:D4470,D4470)=1,SUMIF($D$2:$D$5001,D4470,$H$2:$H$5001)+ROW()/10000000,0))</f>
        <v>0</v>
      </c>
      <c r="Q4470" s="47" t="n">
        <f aca="false">IF(OR($A4470="",C4470=""),0,IF(COUNTIF($C$2:C4470,C4470)=1,SUMIF($C$2:$C$5001,C4470,$H$2:$H$5001)+ROW()/10000000,0))</f>
        <v>0</v>
      </c>
    </row>
    <row r="4471" customFormat="false" ht="15" hidden="false" customHeight="false" outlineLevel="0" collapsed="false">
      <c r="A4471" s="43"/>
      <c r="B4471" s="44"/>
      <c r="C4471" s="44"/>
      <c r="D4471" s="44"/>
      <c r="E4471" s="44"/>
      <c r="F4471" s="44"/>
      <c r="G4471" s="44"/>
      <c r="H4471" s="46" t="str">
        <f aca="false">IF($A4471="","",IF(OR(NOT(ISNUMBER(E4471)),NOT(ISNUMBER(F4471))),"",MAX(0,E4471)*F4471))</f>
        <v/>
      </c>
      <c r="I4471" s="46" t="str">
        <f aca="false">IF($A4471="","",SUMIF($A$2:$A$5001,$A4471,$H$2:$H$5001))</f>
        <v/>
      </c>
      <c r="J4471" s="47" t="n">
        <f aca="false">IF($A4471="",0,IF(COUNTIF($A$2:A4471,$A4471)=1,1,0))</f>
        <v>0</v>
      </c>
      <c r="K4471" s="47" t="n">
        <f aca="false">IF(J4471=1,N(I4471)+ROW()/10000000,0)</f>
        <v>0</v>
      </c>
      <c r="L4471" s="47" t="str">
        <f aca="false">IF(AND(J4471=1,N(I4471)&gt;0),SUMIF($K$2:$K$5001,"&gt;="&amp;K4471,$I$2:$I$5001)/MAX(1,SUM($H$2:$H$5001)),"")</f>
        <v/>
      </c>
      <c r="M4471" s="47" t="str">
        <f aca="false">IF($A4471="","",INDEX($L$2:$L$5001,MATCH($A4471,$A$2:$A$5001,0)))</f>
        <v/>
      </c>
      <c r="N4471" s="48" t="str">
        <f aca="false">IF($A4471="","",IF(N(M4471)=0,"–",IF(M4471&lt;=Start!$D$20,"A",IF(M4471&lt;=Start!$D$21,"B","C"))))</f>
        <v/>
      </c>
      <c r="O4471" s="48" t="str">
        <f aca="false">IF($A4471="","",IF(NOT(ISNUMBER(F4471)),"Wert fehlt; ",IF(F4471&lt;=0,"Wert ist 0; ",""))&amp;IF(NOT(ISNUMBER(E4471)),"Bestand fehlt; ",IF(E4471&lt;0,"Bestand negativ; ",IF(E4471=0,"Nullbestand; ","")))&amp;IF(D4471="","Warengruppe fehlt; ","")&amp;IF(B4471="","Bezeichnung fehlt; ","")&amp;IF(COUNTIFS($A$2:$A$5001,$A4471,$C$2:$C$5001,C4471)&gt;1,"Artikel doppelt im selben Lager; ",""))</f>
        <v/>
      </c>
      <c r="P4471" s="47" t="n">
        <f aca="false">IF(OR($A4471="",D4471=""),0,IF(COUNTIF($D$2:D4471,D4471)=1,SUMIF($D$2:$D$5001,D4471,$H$2:$H$5001)+ROW()/10000000,0))</f>
        <v>0</v>
      </c>
      <c r="Q4471" s="47" t="n">
        <f aca="false">IF(OR($A4471="",C4471=""),0,IF(COUNTIF($C$2:C4471,C4471)=1,SUMIF($C$2:$C$5001,C4471,$H$2:$H$5001)+ROW()/10000000,0))</f>
        <v>0</v>
      </c>
    </row>
    <row r="4472" customFormat="false" ht="15" hidden="false" customHeight="false" outlineLevel="0" collapsed="false">
      <c r="A4472" s="43"/>
      <c r="B4472" s="44"/>
      <c r="C4472" s="44"/>
      <c r="D4472" s="44"/>
      <c r="E4472" s="44"/>
      <c r="F4472" s="44"/>
      <c r="G4472" s="44"/>
      <c r="H4472" s="46" t="str">
        <f aca="false">IF($A4472="","",IF(OR(NOT(ISNUMBER(E4472)),NOT(ISNUMBER(F4472))),"",MAX(0,E4472)*F4472))</f>
        <v/>
      </c>
      <c r="I4472" s="46" t="str">
        <f aca="false">IF($A4472="","",SUMIF($A$2:$A$5001,$A4472,$H$2:$H$5001))</f>
        <v/>
      </c>
      <c r="J4472" s="47" t="n">
        <f aca="false">IF($A4472="",0,IF(COUNTIF($A$2:A4472,$A4472)=1,1,0))</f>
        <v>0</v>
      </c>
      <c r="K4472" s="47" t="n">
        <f aca="false">IF(J4472=1,N(I4472)+ROW()/10000000,0)</f>
        <v>0</v>
      </c>
      <c r="L4472" s="47" t="str">
        <f aca="false">IF(AND(J4472=1,N(I4472)&gt;0),SUMIF($K$2:$K$5001,"&gt;="&amp;K4472,$I$2:$I$5001)/MAX(1,SUM($H$2:$H$5001)),"")</f>
        <v/>
      </c>
      <c r="M4472" s="47" t="str">
        <f aca="false">IF($A4472="","",INDEX($L$2:$L$5001,MATCH($A4472,$A$2:$A$5001,0)))</f>
        <v/>
      </c>
      <c r="N4472" s="48" t="str">
        <f aca="false">IF($A4472="","",IF(N(M4472)=0,"–",IF(M4472&lt;=Start!$D$20,"A",IF(M4472&lt;=Start!$D$21,"B","C"))))</f>
        <v/>
      </c>
      <c r="O4472" s="48" t="str">
        <f aca="false">IF($A4472="","",IF(NOT(ISNUMBER(F4472)),"Wert fehlt; ",IF(F4472&lt;=0,"Wert ist 0; ",""))&amp;IF(NOT(ISNUMBER(E4472)),"Bestand fehlt; ",IF(E4472&lt;0,"Bestand negativ; ",IF(E4472=0,"Nullbestand; ","")))&amp;IF(D4472="","Warengruppe fehlt; ","")&amp;IF(B4472="","Bezeichnung fehlt; ","")&amp;IF(COUNTIFS($A$2:$A$5001,$A4472,$C$2:$C$5001,C4472)&gt;1,"Artikel doppelt im selben Lager; ",""))</f>
        <v/>
      </c>
      <c r="P4472" s="47" t="n">
        <f aca="false">IF(OR($A4472="",D4472=""),0,IF(COUNTIF($D$2:D4472,D4472)=1,SUMIF($D$2:$D$5001,D4472,$H$2:$H$5001)+ROW()/10000000,0))</f>
        <v>0</v>
      </c>
      <c r="Q4472" s="47" t="n">
        <f aca="false">IF(OR($A4472="",C4472=""),0,IF(COUNTIF($C$2:C4472,C4472)=1,SUMIF($C$2:$C$5001,C4472,$H$2:$H$5001)+ROW()/10000000,0))</f>
        <v>0</v>
      </c>
    </row>
    <row r="4473" customFormat="false" ht="15" hidden="false" customHeight="false" outlineLevel="0" collapsed="false">
      <c r="A4473" s="43"/>
      <c r="B4473" s="44"/>
      <c r="C4473" s="44"/>
      <c r="D4473" s="44"/>
      <c r="E4473" s="44"/>
      <c r="F4473" s="44"/>
      <c r="G4473" s="44"/>
      <c r="H4473" s="46" t="str">
        <f aca="false">IF($A4473="","",IF(OR(NOT(ISNUMBER(E4473)),NOT(ISNUMBER(F4473))),"",MAX(0,E4473)*F4473))</f>
        <v/>
      </c>
      <c r="I4473" s="46" t="str">
        <f aca="false">IF($A4473="","",SUMIF($A$2:$A$5001,$A4473,$H$2:$H$5001))</f>
        <v/>
      </c>
      <c r="J4473" s="47" t="n">
        <f aca="false">IF($A4473="",0,IF(COUNTIF($A$2:A4473,$A4473)=1,1,0))</f>
        <v>0</v>
      </c>
      <c r="K4473" s="47" t="n">
        <f aca="false">IF(J4473=1,N(I4473)+ROW()/10000000,0)</f>
        <v>0</v>
      </c>
      <c r="L4473" s="47" t="str">
        <f aca="false">IF(AND(J4473=1,N(I4473)&gt;0),SUMIF($K$2:$K$5001,"&gt;="&amp;K4473,$I$2:$I$5001)/MAX(1,SUM($H$2:$H$5001)),"")</f>
        <v/>
      </c>
      <c r="M4473" s="47" t="str">
        <f aca="false">IF($A4473="","",INDEX($L$2:$L$5001,MATCH($A4473,$A$2:$A$5001,0)))</f>
        <v/>
      </c>
      <c r="N4473" s="48" t="str">
        <f aca="false">IF($A4473="","",IF(N(M4473)=0,"–",IF(M4473&lt;=Start!$D$20,"A",IF(M4473&lt;=Start!$D$21,"B","C"))))</f>
        <v/>
      </c>
      <c r="O4473" s="48" t="str">
        <f aca="false">IF($A4473="","",IF(NOT(ISNUMBER(F4473)),"Wert fehlt; ",IF(F4473&lt;=0,"Wert ist 0; ",""))&amp;IF(NOT(ISNUMBER(E4473)),"Bestand fehlt; ",IF(E4473&lt;0,"Bestand negativ; ",IF(E4473=0,"Nullbestand; ","")))&amp;IF(D4473="","Warengruppe fehlt; ","")&amp;IF(B4473="","Bezeichnung fehlt; ","")&amp;IF(COUNTIFS($A$2:$A$5001,$A4473,$C$2:$C$5001,C4473)&gt;1,"Artikel doppelt im selben Lager; ",""))</f>
        <v/>
      </c>
      <c r="P4473" s="47" t="n">
        <f aca="false">IF(OR($A4473="",D4473=""),0,IF(COUNTIF($D$2:D4473,D4473)=1,SUMIF($D$2:$D$5001,D4473,$H$2:$H$5001)+ROW()/10000000,0))</f>
        <v>0</v>
      </c>
      <c r="Q4473" s="47" t="n">
        <f aca="false">IF(OR($A4473="",C4473=""),0,IF(COUNTIF($C$2:C4473,C4473)=1,SUMIF($C$2:$C$5001,C4473,$H$2:$H$5001)+ROW()/10000000,0))</f>
        <v>0</v>
      </c>
    </row>
    <row r="4474" customFormat="false" ht="15" hidden="false" customHeight="false" outlineLevel="0" collapsed="false">
      <c r="A4474" s="43"/>
      <c r="B4474" s="44"/>
      <c r="C4474" s="44"/>
      <c r="D4474" s="44"/>
      <c r="E4474" s="44"/>
      <c r="F4474" s="44"/>
      <c r="G4474" s="44"/>
      <c r="H4474" s="46" t="str">
        <f aca="false">IF($A4474="","",IF(OR(NOT(ISNUMBER(E4474)),NOT(ISNUMBER(F4474))),"",MAX(0,E4474)*F4474))</f>
        <v/>
      </c>
      <c r="I4474" s="46" t="str">
        <f aca="false">IF($A4474="","",SUMIF($A$2:$A$5001,$A4474,$H$2:$H$5001))</f>
        <v/>
      </c>
      <c r="J4474" s="47" t="n">
        <f aca="false">IF($A4474="",0,IF(COUNTIF($A$2:A4474,$A4474)=1,1,0))</f>
        <v>0</v>
      </c>
      <c r="K4474" s="47" t="n">
        <f aca="false">IF(J4474=1,N(I4474)+ROW()/10000000,0)</f>
        <v>0</v>
      </c>
      <c r="L4474" s="47" t="str">
        <f aca="false">IF(AND(J4474=1,N(I4474)&gt;0),SUMIF($K$2:$K$5001,"&gt;="&amp;K4474,$I$2:$I$5001)/MAX(1,SUM($H$2:$H$5001)),"")</f>
        <v/>
      </c>
      <c r="M4474" s="47" t="str">
        <f aca="false">IF($A4474="","",INDEX($L$2:$L$5001,MATCH($A4474,$A$2:$A$5001,0)))</f>
        <v/>
      </c>
      <c r="N4474" s="48" t="str">
        <f aca="false">IF($A4474="","",IF(N(M4474)=0,"–",IF(M4474&lt;=Start!$D$20,"A",IF(M4474&lt;=Start!$D$21,"B","C"))))</f>
        <v/>
      </c>
      <c r="O4474" s="48" t="str">
        <f aca="false">IF($A4474="","",IF(NOT(ISNUMBER(F4474)),"Wert fehlt; ",IF(F4474&lt;=0,"Wert ist 0; ",""))&amp;IF(NOT(ISNUMBER(E4474)),"Bestand fehlt; ",IF(E4474&lt;0,"Bestand negativ; ",IF(E4474=0,"Nullbestand; ","")))&amp;IF(D4474="","Warengruppe fehlt; ","")&amp;IF(B4474="","Bezeichnung fehlt; ","")&amp;IF(COUNTIFS($A$2:$A$5001,$A4474,$C$2:$C$5001,C4474)&gt;1,"Artikel doppelt im selben Lager; ",""))</f>
        <v/>
      </c>
      <c r="P4474" s="47" t="n">
        <f aca="false">IF(OR($A4474="",D4474=""),0,IF(COUNTIF($D$2:D4474,D4474)=1,SUMIF($D$2:$D$5001,D4474,$H$2:$H$5001)+ROW()/10000000,0))</f>
        <v>0</v>
      </c>
      <c r="Q4474" s="47" t="n">
        <f aca="false">IF(OR($A4474="",C4474=""),0,IF(COUNTIF($C$2:C4474,C4474)=1,SUMIF($C$2:$C$5001,C4474,$H$2:$H$5001)+ROW()/10000000,0))</f>
        <v>0</v>
      </c>
    </row>
    <row r="4475" customFormat="false" ht="15" hidden="false" customHeight="false" outlineLevel="0" collapsed="false">
      <c r="A4475" s="43"/>
      <c r="B4475" s="44"/>
      <c r="C4475" s="44"/>
      <c r="D4475" s="44"/>
      <c r="E4475" s="44"/>
      <c r="F4475" s="44"/>
      <c r="G4475" s="44"/>
      <c r="H4475" s="46" t="str">
        <f aca="false">IF($A4475="","",IF(OR(NOT(ISNUMBER(E4475)),NOT(ISNUMBER(F4475))),"",MAX(0,E4475)*F4475))</f>
        <v/>
      </c>
      <c r="I4475" s="46" t="str">
        <f aca="false">IF($A4475="","",SUMIF($A$2:$A$5001,$A4475,$H$2:$H$5001))</f>
        <v/>
      </c>
      <c r="J4475" s="47" t="n">
        <f aca="false">IF($A4475="",0,IF(COUNTIF($A$2:A4475,$A4475)=1,1,0))</f>
        <v>0</v>
      </c>
      <c r="K4475" s="47" t="n">
        <f aca="false">IF(J4475=1,N(I4475)+ROW()/10000000,0)</f>
        <v>0</v>
      </c>
      <c r="L4475" s="47" t="str">
        <f aca="false">IF(AND(J4475=1,N(I4475)&gt;0),SUMIF($K$2:$K$5001,"&gt;="&amp;K4475,$I$2:$I$5001)/MAX(1,SUM($H$2:$H$5001)),"")</f>
        <v/>
      </c>
      <c r="M4475" s="47" t="str">
        <f aca="false">IF($A4475="","",INDEX($L$2:$L$5001,MATCH($A4475,$A$2:$A$5001,0)))</f>
        <v/>
      </c>
      <c r="N4475" s="48" t="str">
        <f aca="false">IF($A4475="","",IF(N(M4475)=0,"–",IF(M4475&lt;=Start!$D$20,"A",IF(M4475&lt;=Start!$D$21,"B","C"))))</f>
        <v/>
      </c>
      <c r="O4475" s="48" t="str">
        <f aca="false">IF($A4475="","",IF(NOT(ISNUMBER(F4475)),"Wert fehlt; ",IF(F4475&lt;=0,"Wert ist 0; ",""))&amp;IF(NOT(ISNUMBER(E4475)),"Bestand fehlt; ",IF(E4475&lt;0,"Bestand negativ; ",IF(E4475=0,"Nullbestand; ","")))&amp;IF(D4475="","Warengruppe fehlt; ","")&amp;IF(B4475="","Bezeichnung fehlt; ","")&amp;IF(COUNTIFS($A$2:$A$5001,$A4475,$C$2:$C$5001,C4475)&gt;1,"Artikel doppelt im selben Lager; ",""))</f>
        <v/>
      </c>
      <c r="P4475" s="47" t="n">
        <f aca="false">IF(OR($A4475="",D4475=""),0,IF(COUNTIF($D$2:D4475,D4475)=1,SUMIF($D$2:$D$5001,D4475,$H$2:$H$5001)+ROW()/10000000,0))</f>
        <v>0</v>
      </c>
      <c r="Q4475" s="47" t="n">
        <f aca="false">IF(OR($A4475="",C4475=""),0,IF(COUNTIF($C$2:C4475,C4475)=1,SUMIF($C$2:$C$5001,C4475,$H$2:$H$5001)+ROW()/10000000,0))</f>
        <v>0</v>
      </c>
    </row>
    <row r="4476" customFormat="false" ht="15" hidden="false" customHeight="false" outlineLevel="0" collapsed="false">
      <c r="A4476" s="43"/>
      <c r="B4476" s="44"/>
      <c r="C4476" s="44"/>
      <c r="D4476" s="44"/>
      <c r="E4476" s="44"/>
      <c r="F4476" s="44"/>
      <c r="G4476" s="44"/>
      <c r="H4476" s="46" t="str">
        <f aca="false">IF($A4476="","",IF(OR(NOT(ISNUMBER(E4476)),NOT(ISNUMBER(F4476))),"",MAX(0,E4476)*F4476))</f>
        <v/>
      </c>
      <c r="I4476" s="46" t="str">
        <f aca="false">IF($A4476="","",SUMIF($A$2:$A$5001,$A4476,$H$2:$H$5001))</f>
        <v/>
      </c>
      <c r="J4476" s="47" t="n">
        <f aca="false">IF($A4476="",0,IF(COUNTIF($A$2:A4476,$A4476)=1,1,0))</f>
        <v>0</v>
      </c>
      <c r="K4476" s="47" t="n">
        <f aca="false">IF(J4476=1,N(I4476)+ROW()/10000000,0)</f>
        <v>0</v>
      </c>
      <c r="L4476" s="47" t="str">
        <f aca="false">IF(AND(J4476=1,N(I4476)&gt;0),SUMIF($K$2:$K$5001,"&gt;="&amp;K4476,$I$2:$I$5001)/MAX(1,SUM($H$2:$H$5001)),"")</f>
        <v/>
      </c>
      <c r="M4476" s="47" t="str">
        <f aca="false">IF($A4476="","",INDEX($L$2:$L$5001,MATCH($A4476,$A$2:$A$5001,0)))</f>
        <v/>
      </c>
      <c r="N4476" s="48" t="str">
        <f aca="false">IF($A4476="","",IF(N(M4476)=0,"–",IF(M4476&lt;=Start!$D$20,"A",IF(M4476&lt;=Start!$D$21,"B","C"))))</f>
        <v/>
      </c>
      <c r="O4476" s="48" t="str">
        <f aca="false">IF($A4476="","",IF(NOT(ISNUMBER(F4476)),"Wert fehlt; ",IF(F4476&lt;=0,"Wert ist 0; ",""))&amp;IF(NOT(ISNUMBER(E4476)),"Bestand fehlt; ",IF(E4476&lt;0,"Bestand negativ; ",IF(E4476=0,"Nullbestand; ","")))&amp;IF(D4476="","Warengruppe fehlt; ","")&amp;IF(B4476="","Bezeichnung fehlt; ","")&amp;IF(COUNTIFS($A$2:$A$5001,$A4476,$C$2:$C$5001,C4476)&gt;1,"Artikel doppelt im selben Lager; ",""))</f>
        <v/>
      </c>
      <c r="P4476" s="47" t="n">
        <f aca="false">IF(OR($A4476="",D4476=""),0,IF(COUNTIF($D$2:D4476,D4476)=1,SUMIF($D$2:$D$5001,D4476,$H$2:$H$5001)+ROW()/10000000,0))</f>
        <v>0</v>
      </c>
      <c r="Q4476" s="47" t="n">
        <f aca="false">IF(OR($A4476="",C4476=""),0,IF(COUNTIF($C$2:C4476,C4476)=1,SUMIF($C$2:$C$5001,C4476,$H$2:$H$5001)+ROW()/10000000,0))</f>
        <v>0</v>
      </c>
    </row>
    <row r="4477" customFormat="false" ht="15" hidden="false" customHeight="false" outlineLevel="0" collapsed="false">
      <c r="A4477" s="43"/>
      <c r="B4477" s="44"/>
      <c r="C4477" s="44"/>
      <c r="D4477" s="44"/>
      <c r="E4477" s="44"/>
      <c r="F4477" s="44"/>
      <c r="G4477" s="44"/>
      <c r="H4477" s="46" t="str">
        <f aca="false">IF($A4477="","",IF(OR(NOT(ISNUMBER(E4477)),NOT(ISNUMBER(F4477))),"",MAX(0,E4477)*F4477))</f>
        <v/>
      </c>
      <c r="I4477" s="46" t="str">
        <f aca="false">IF($A4477="","",SUMIF($A$2:$A$5001,$A4477,$H$2:$H$5001))</f>
        <v/>
      </c>
      <c r="J4477" s="47" t="n">
        <f aca="false">IF($A4477="",0,IF(COUNTIF($A$2:A4477,$A4477)=1,1,0))</f>
        <v>0</v>
      </c>
      <c r="K4477" s="47" t="n">
        <f aca="false">IF(J4477=1,N(I4477)+ROW()/10000000,0)</f>
        <v>0</v>
      </c>
      <c r="L4477" s="47" t="str">
        <f aca="false">IF(AND(J4477=1,N(I4477)&gt;0),SUMIF($K$2:$K$5001,"&gt;="&amp;K4477,$I$2:$I$5001)/MAX(1,SUM($H$2:$H$5001)),"")</f>
        <v/>
      </c>
      <c r="M4477" s="47" t="str">
        <f aca="false">IF($A4477="","",INDEX($L$2:$L$5001,MATCH($A4477,$A$2:$A$5001,0)))</f>
        <v/>
      </c>
      <c r="N4477" s="48" t="str">
        <f aca="false">IF($A4477="","",IF(N(M4477)=0,"–",IF(M4477&lt;=Start!$D$20,"A",IF(M4477&lt;=Start!$D$21,"B","C"))))</f>
        <v/>
      </c>
      <c r="O4477" s="48" t="str">
        <f aca="false">IF($A4477="","",IF(NOT(ISNUMBER(F4477)),"Wert fehlt; ",IF(F4477&lt;=0,"Wert ist 0; ",""))&amp;IF(NOT(ISNUMBER(E4477)),"Bestand fehlt; ",IF(E4477&lt;0,"Bestand negativ; ",IF(E4477=0,"Nullbestand; ","")))&amp;IF(D4477="","Warengruppe fehlt; ","")&amp;IF(B4477="","Bezeichnung fehlt; ","")&amp;IF(COUNTIFS($A$2:$A$5001,$A4477,$C$2:$C$5001,C4477)&gt;1,"Artikel doppelt im selben Lager; ",""))</f>
        <v/>
      </c>
      <c r="P4477" s="47" t="n">
        <f aca="false">IF(OR($A4477="",D4477=""),0,IF(COUNTIF($D$2:D4477,D4477)=1,SUMIF($D$2:$D$5001,D4477,$H$2:$H$5001)+ROW()/10000000,0))</f>
        <v>0</v>
      </c>
      <c r="Q4477" s="47" t="n">
        <f aca="false">IF(OR($A4477="",C4477=""),0,IF(COUNTIF($C$2:C4477,C4477)=1,SUMIF($C$2:$C$5001,C4477,$H$2:$H$5001)+ROW()/10000000,0))</f>
        <v>0</v>
      </c>
    </row>
    <row r="4478" customFormat="false" ht="15" hidden="false" customHeight="false" outlineLevel="0" collapsed="false">
      <c r="A4478" s="43"/>
      <c r="B4478" s="44"/>
      <c r="C4478" s="44"/>
      <c r="D4478" s="44"/>
      <c r="E4478" s="44"/>
      <c r="F4478" s="44"/>
      <c r="G4478" s="44"/>
      <c r="H4478" s="46" t="str">
        <f aca="false">IF($A4478="","",IF(OR(NOT(ISNUMBER(E4478)),NOT(ISNUMBER(F4478))),"",MAX(0,E4478)*F4478))</f>
        <v/>
      </c>
      <c r="I4478" s="46" t="str">
        <f aca="false">IF($A4478="","",SUMIF($A$2:$A$5001,$A4478,$H$2:$H$5001))</f>
        <v/>
      </c>
      <c r="J4478" s="47" t="n">
        <f aca="false">IF($A4478="",0,IF(COUNTIF($A$2:A4478,$A4478)=1,1,0))</f>
        <v>0</v>
      </c>
      <c r="K4478" s="47" t="n">
        <f aca="false">IF(J4478=1,N(I4478)+ROW()/10000000,0)</f>
        <v>0</v>
      </c>
      <c r="L4478" s="47" t="str">
        <f aca="false">IF(AND(J4478=1,N(I4478)&gt;0),SUMIF($K$2:$K$5001,"&gt;="&amp;K4478,$I$2:$I$5001)/MAX(1,SUM($H$2:$H$5001)),"")</f>
        <v/>
      </c>
      <c r="M4478" s="47" t="str">
        <f aca="false">IF($A4478="","",INDEX($L$2:$L$5001,MATCH($A4478,$A$2:$A$5001,0)))</f>
        <v/>
      </c>
      <c r="N4478" s="48" t="str">
        <f aca="false">IF($A4478="","",IF(N(M4478)=0,"–",IF(M4478&lt;=Start!$D$20,"A",IF(M4478&lt;=Start!$D$21,"B","C"))))</f>
        <v/>
      </c>
      <c r="O4478" s="48" t="str">
        <f aca="false">IF($A4478="","",IF(NOT(ISNUMBER(F4478)),"Wert fehlt; ",IF(F4478&lt;=0,"Wert ist 0; ",""))&amp;IF(NOT(ISNUMBER(E4478)),"Bestand fehlt; ",IF(E4478&lt;0,"Bestand negativ; ",IF(E4478=0,"Nullbestand; ","")))&amp;IF(D4478="","Warengruppe fehlt; ","")&amp;IF(B4478="","Bezeichnung fehlt; ","")&amp;IF(COUNTIFS($A$2:$A$5001,$A4478,$C$2:$C$5001,C4478)&gt;1,"Artikel doppelt im selben Lager; ",""))</f>
        <v/>
      </c>
      <c r="P4478" s="47" t="n">
        <f aca="false">IF(OR($A4478="",D4478=""),0,IF(COUNTIF($D$2:D4478,D4478)=1,SUMIF($D$2:$D$5001,D4478,$H$2:$H$5001)+ROW()/10000000,0))</f>
        <v>0</v>
      </c>
      <c r="Q4478" s="47" t="n">
        <f aca="false">IF(OR($A4478="",C4478=""),0,IF(COUNTIF($C$2:C4478,C4478)=1,SUMIF($C$2:$C$5001,C4478,$H$2:$H$5001)+ROW()/10000000,0))</f>
        <v>0</v>
      </c>
    </row>
    <row r="4479" customFormat="false" ht="15" hidden="false" customHeight="false" outlineLevel="0" collapsed="false">
      <c r="A4479" s="43"/>
      <c r="B4479" s="44"/>
      <c r="C4479" s="44"/>
      <c r="D4479" s="44"/>
      <c r="E4479" s="44"/>
      <c r="F4479" s="44"/>
      <c r="G4479" s="44"/>
      <c r="H4479" s="46" t="str">
        <f aca="false">IF($A4479="","",IF(OR(NOT(ISNUMBER(E4479)),NOT(ISNUMBER(F4479))),"",MAX(0,E4479)*F4479))</f>
        <v/>
      </c>
      <c r="I4479" s="46" t="str">
        <f aca="false">IF($A4479="","",SUMIF($A$2:$A$5001,$A4479,$H$2:$H$5001))</f>
        <v/>
      </c>
      <c r="J4479" s="47" t="n">
        <f aca="false">IF($A4479="",0,IF(COUNTIF($A$2:A4479,$A4479)=1,1,0))</f>
        <v>0</v>
      </c>
      <c r="K4479" s="47" t="n">
        <f aca="false">IF(J4479=1,N(I4479)+ROW()/10000000,0)</f>
        <v>0</v>
      </c>
      <c r="L4479" s="47" t="str">
        <f aca="false">IF(AND(J4479=1,N(I4479)&gt;0),SUMIF($K$2:$K$5001,"&gt;="&amp;K4479,$I$2:$I$5001)/MAX(1,SUM($H$2:$H$5001)),"")</f>
        <v/>
      </c>
      <c r="M4479" s="47" t="str">
        <f aca="false">IF($A4479="","",INDEX($L$2:$L$5001,MATCH($A4479,$A$2:$A$5001,0)))</f>
        <v/>
      </c>
      <c r="N4479" s="48" t="str">
        <f aca="false">IF($A4479="","",IF(N(M4479)=0,"–",IF(M4479&lt;=Start!$D$20,"A",IF(M4479&lt;=Start!$D$21,"B","C"))))</f>
        <v/>
      </c>
      <c r="O4479" s="48" t="str">
        <f aca="false">IF($A4479="","",IF(NOT(ISNUMBER(F4479)),"Wert fehlt; ",IF(F4479&lt;=0,"Wert ist 0; ",""))&amp;IF(NOT(ISNUMBER(E4479)),"Bestand fehlt; ",IF(E4479&lt;0,"Bestand negativ; ",IF(E4479=0,"Nullbestand; ","")))&amp;IF(D4479="","Warengruppe fehlt; ","")&amp;IF(B4479="","Bezeichnung fehlt; ","")&amp;IF(COUNTIFS($A$2:$A$5001,$A4479,$C$2:$C$5001,C4479)&gt;1,"Artikel doppelt im selben Lager; ",""))</f>
        <v/>
      </c>
      <c r="P4479" s="47" t="n">
        <f aca="false">IF(OR($A4479="",D4479=""),0,IF(COUNTIF($D$2:D4479,D4479)=1,SUMIF($D$2:$D$5001,D4479,$H$2:$H$5001)+ROW()/10000000,0))</f>
        <v>0</v>
      </c>
      <c r="Q4479" s="47" t="n">
        <f aca="false">IF(OR($A4479="",C4479=""),0,IF(COUNTIF($C$2:C4479,C4479)=1,SUMIF($C$2:$C$5001,C4479,$H$2:$H$5001)+ROW()/10000000,0))</f>
        <v>0</v>
      </c>
    </row>
    <row r="4480" customFormat="false" ht="15" hidden="false" customHeight="false" outlineLevel="0" collapsed="false">
      <c r="A4480" s="43"/>
      <c r="B4480" s="44"/>
      <c r="C4480" s="44"/>
      <c r="D4480" s="44"/>
      <c r="E4480" s="44"/>
      <c r="F4480" s="44"/>
      <c r="G4480" s="44"/>
      <c r="H4480" s="46" t="str">
        <f aca="false">IF($A4480="","",IF(OR(NOT(ISNUMBER(E4480)),NOT(ISNUMBER(F4480))),"",MAX(0,E4480)*F4480))</f>
        <v/>
      </c>
      <c r="I4480" s="46" t="str">
        <f aca="false">IF($A4480="","",SUMIF($A$2:$A$5001,$A4480,$H$2:$H$5001))</f>
        <v/>
      </c>
      <c r="J4480" s="47" t="n">
        <f aca="false">IF($A4480="",0,IF(COUNTIF($A$2:A4480,$A4480)=1,1,0))</f>
        <v>0</v>
      </c>
      <c r="K4480" s="47" t="n">
        <f aca="false">IF(J4480=1,N(I4480)+ROW()/10000000,0)</f>
        <v>0</v>
      </c>
      <c r="L4480" s="47" t="str">
        <f aca="false">IF(AND(J4480=1,N(I4480)&gt;0),SUMIF($K$2:$K$5001,"&gt;="&amp;K4480,$I$2:$I$5001)/MAX(1,SUM($H$2:$H$5001)),"")</f>
        <v/>
      </c>
      <c r="M4480" s="47" t="str">
        <f aca="false">IF($A4480="","",INDEX($L$2:$L$5001,MATCH($A4480,$A$2:$A$5001,0)))</f>
        <v/>
      </c>
      <c r="N4480" s="48" t="str">
        <f aca="false">IF($A4480="","",IF(N(M4480)=0,"–",IF(M4480&lt;=Start!$D$20,"A",IF(M4480&lt;=Start!$D$21,"B","C"))))</f>
        <v/>
      </c>
      <c r="O4480" s="48" t="str">
        <f aca="false">IF($A4480="","",IF(NOT(ISNUMBER(F4480)),"Wert fehlt; ",IF(F4480&lt;=0,"Wert ist 0; ",""))&amp;IF(NOT(ISNUMBER(E4480)),"Bestand fehlt; ",IF(E4480&lt;0,"Bestand negativ; ",IF(E4480=0,"Nullbestand; ","")))&amp;IF(D4480="","Warengruppe fehlt; ","")&amp;IF(B4480="","Bezeichnung fehlt; ","")&amp;IF(COUNTIFS($A$2:$A$5001,$A4480,$C$2:$C$5001,C4480)&gt;1,"Artikel doppelt im selben Lager; ",""))</f>
        <v/>
      </c>
      <c r="P4480" s="47" t="n">
        <f aca="false">IF(OR($A4480="",D4480=""),0,IF(COUNTIF($D$2:D4480,D4480)=1,SUMIF($D$2:$D$5001,D4480,$H$2:$H$5001)+ROW()/10000000,0))</f>
        <v>0</v>
      </c>
      <c r="Q4480" s="47" t="n">
        <f aca="false">IF(OR($A4480="",C4480=""),0,IF(COUNTIF($C$2:C4480,C4480)=1,SUMIF($C$2:$C$5001,C4480,$H$2:$H$5001)+ROW()/10000000,0))</f>
        <v>0</v>
      </c>
    </row>
    <row r="4481" customFormat="false" ht="15" hidden="false" customHeight="false" outlineLevel="0" collapsed="false">
      <c r="A4481" s="43"/>
      <c r="B4481" s="44"/>
      <c r="C4481" s="44"/>
      <c r="D4481" s="44"/>
      <c r="E4481" s="44"/>
      <c r="F4481" s="44"/>
      <c r="G4481" s="44"/>
      <c r="H4481" s="46" t="str">
        <f aca="false">IF($A4481="","",IF(OR(NOT(ISNUMBER(E4481)),NOT(ISNUMBER(F4481))),"",MAX(0,E4481)*F4481))</f>
        <v/>
      </c>
      <c r="I4481" s="46" t="str">
        <f aca="false">IF($A4481="","",SUMIF($A$2:$A$5001,$A4481,$H$2:$H$5001))</f>
        <v/>
      </c>
      <c r="J4481" s="47" t="n">
        <f aca="false">IF($A4481="",0,IF(COUNTIF($A$2:A4481,$A4481)=1,1,0))</f>
        <v>0</v>
      </c>
      <c r="K4481" s="47" t="n">
        <f aca="false">IF(J4481=1,N(I4481)+ROW()/10000000,0)</f>
        <v>0</v>
      </c>
      <c r="L4481" s="47" t="str">
        <f aca="false">IF(AND(J4481=1,N(I4481)&gt;0),SUMIF($K$2:$K$5001,"&gt;="&amp;K4481,$I$2:$I$5001)/MAX(1,SUM($H$2:$H$5001)),"")</f>
        <v/>
      </c>
      <c r="M4481" s="47" t="str">
        <f aca="false">IF($A4481="","",INDEX($L$2:$L$5001,MATCH($A4481,$A$2:$A$5001,0)))</f>
        <v/>
      </c>
      <c r="N4481" s="48" t="str">
        <f aca="false">IF($A4481="","",IF(N(M4481)=0,"–",IF(M4481&lt;=Start!$D$20,"A",IF(M4481&lt;=Start!$D$21,"B","C"))))</f>
        <v/>
      </c>
      <c r="O4481" s="48" t="str">
        <f aca="false">IF($A4481="","",IF(NOT(ISNUMBER(F4481)),"Wert fehlt; ",IF(F4481&lt;=0,"Wert ist 0; ",""))&amp;IF(NOT(ISNUMBER(E4481)),"Bestand fehlt; ",IF(E4481&lt;0,"Bestand negativ; ",IF(E4481=0,"Nullbestand; ","")))&amp;IF(D4481="","Warengruppe fehlt; ","")&amp;IF(B4481="","Bezeichnung fehlt; ","")&amp;IF(COUNTIFS($A$2:$A$5001,$A4481,$C$2:$C$5001,C4481)&gt;1,"Artikel doppelt im selben Lager; ",""))</f>
        <v/>
      </c>
      <c r="P4481" s="47" t="n">
        <f aca="false">IF(OR($A4481="",D4481=""),0,IF(COUNTIF($D$2:D4481,D4481)=1,SUMIF($D$2:$D$5001,D4481,$H$2:$H$5001)+ROW()/10000000,0))</f>
        <v>0</v>
      </c>
      <c r="Q4481" s="47" t="n">
        <f aca="false">IF(OR($A4481="",C4481=""),0,IF(COUNTIF($C$2:C4481,C4481)=1,SUMIF($C$2:$C$5001,C4481,$H$2:$H$5001)+ROW()/10000000,0))</f>
        <v>0</v>
      </c>
    </row>
    <row r="4482" customFormat="false" ht="15" hidden="false" customHeight="false" outlineLevel="0" collapsed="false">
      <c r="A4482" s="43"/>
      <c r="B4482" s="44"/>
      <c r="C4482" s="44"/>
      <c r="D4482" s="44"/>
      <c r="E4482" s="44"/>
      <c r="F4482" s="44"/>
      <c r="G4482" s="44"/>
      <c r="H4482" s="46" t="str">
        <f aca="false">IF($A4482="","",IF(OR(NOT(ISNUMBER(E4482)),NOT(ISNUMBER(F4482))),"",MAX(0,E4482)*F4482))</f>
        <v/>
      </c>
      <c r="I4482" s="46" t="str">
        <f aca="false">IF($A4482="","",SUMIF($A$2:$A$5001,$A4482,$H$2:$H$5001))</f>
        <v/>
      </c>
      <c r="J4482" s="47" t="n">
        <f aca="false">IF($A4482="",0,IF(COUNTIF($A$2:A4482,$A4482)=1,1,0))</f>
        <v>0</v>
      </c>
      <c r="K4482" s="47" t="n">
        <f aca="false">IF(J4482=1,N(I4482)+ROW()/10000000,0)</f>
        <v>0</v>
      </c>
      <c r="L4482" s="47" t="str">
        <f aca="false">IF(AND(J4482=1,N(I4482)&gt;0),SUMIF($K$2:$K$5001,"&gt;="&amp;K4482,$I$2:$I$5001)/MAX(1,SUM($H$2:$H$5001)),"")</f>
        <v/>
      </c>
      <c r="M4482" s="47" t="str">
        <f aca="false">IF($A4482="","",INDEX($L$2:$L$5001,MATCH($A4482,$A$2:$A$5001,0)))</f>
        <v/>
      </c>
      <c r="N4482" s="48" t="str">
        <f aca="false">IF($A4482="","",IF(N(M4482)=0,"–",IF(M4482&lt;=Start!$D$20,"A",IF(M4482&lt;=Start!$D$21,"B","C"))))</f>
        <v/>
      </c>
      <c r="O4482" s="48" t="str">
        <f aca="false">IF($A4482="","",IF(NOT(ISNUMBER(F4482)),"Wert fehlt; ",IF(F4482&lt;=0,"Wert ist 0; ",""))&amp;IF(NOT(ISNUMBER(E4482)),"Bestand fehlt; ",IF(E4482&lt;0,"Bestand negativ; ",IF(E4482=0,"Nullbestand; ","")))&amp;IF(D4482="","Warengruppe fehlt; ","")&amp;IF(B4482="","Bezeichnung fehlt; ","")&amp;IF(COUNTIFS($A$2:$A$5001,$A4482,$C$2:$C$5001,C4482)&gt;1,"Artikel doppelt im selben Lager; ",""))</f>
        <v/>
      </c>
      <c r="P4482" s="47" t="n">
        <f aca="false">IF(OR($A4482="",D4482=""),0,IF(COUNTIF($D$2:D4482,D4482)=1,SUMIF($D$2:$D$5001,D4482,$H$2:$H$5001)+ROW()/10000000,0))</f>
        <v>0</v>
      </c>
      <c r="Q4482" s="47" t="n">
        <f aca="false">IF(OR($A4482="",C4482=""),0,IF(COUNTIF($C$2:C4482,C4482)=1,SUMIF($C$2:$C$5001,C4482,$H$2:$H$5001)+ROW()/10000000,0))</f>
        <v>0</v>
      </c>
    </row>
    <row r="4483" customFormat="false" ht="15" hidden="false" customHeight="false" outlineLevel="0" collapsed="false">
      <c r="A4483" s="43"/>
      <c r="B4483" s="44"/>
      <c r="C4483" s="44"/>
      <c r="D4483" s="44"/>
      <c r="E4483" s="44"/>
      <c r="F4483" s="44"/>
      <c r="G4483" s="44"/>
      <c r="H4483" s="46" t="str">
        <f aca="false">IF($A4483="","",IF(OR(NOT(ISNUMBER(E4483)),NOT(ISNUMBER(F4483))),"",MAX(0,E4483)*F4483))</f>
        <v/>
      </c>
      <c r="I4483" s="46" t="str">
        <f aca="false">IF($A4483="","",SUMIF($A$2:$A$5001,$A4483,$H$2:$H$5001))</f>
        <v/>
      </c>
      <c r="J4483" s="47" t="n">
        <f aca="false">IF($A4483="",0,IF(COUNTIF($A$2:A4483,$A4483)=1,1,0))</f>
        <v>0</v>
      </c>
      <c r="K4483" s="47" t="n">
        <f aca="false">IF(J4483=1,N(I4483)+ROW()/10000000,0)</f>
        <v>0</v>
      </c>
      <c r="L4483" s="47" t="str">
        <f aca="false">IF(AND(J4483=1,N(I4483)&gt;0),SUMIF($K$2:$K$5001,"&gt;="&amp;K4483,$I$2:$I$5001)/MAX(1,SUM($H$2:$H$5001)),"")</f>
        <v/>
      </c>
      <c r="M4483" s="47" t="str">
        <f aca="false">IF($A4483="","",INDEX($L$2:$L$5001,MATCH($A4483,$A$2:$A$5001,0)))</f>
        <v/>
      </c>
      <c r="N4483" s="48" t="str">
        <f aca="false">IF($A4483="","",IF(N(M4483)=0,"–",IF(M4483&lt;=Start!$D$20,"A",IF(M4483&lt;=Start!$D$21,"B","C"))))</f>
        <v/>
      </c>
      <c r="O4483" s="48" t="str">
        <f aca="false">IF($A4483="","",IF(NOT(ISNUMBER(F4483)),"Wert fehlt; ",IF(F4483&lt;=0,"Wert ist 0; ",""))&amp;IF(NOT(ISNUMBER(E4483)),"Bestand fehlt; ",IF(E4483&lt;0,"Bestand negativ; ",IF(E4483=0,"Nullbestand; ","")))&amp;IF(D4483="","Warengruppe fehlt; ","")&amp;IF(B4483="","Bezeichnung fehlt; ","")&amp;IF(COUNTIFS($A$2:$A$5001,$A4483,$C$2:$C$5001,C4483)&gt;1,"Artikel doppelt im selben Lager; ",""))</f>
        <v/>
      </c>
      <c r="P4483" s="47" t="n">
        <f aca="false">IF(OR($A4483="",D4483=""),0,IF(COUNTIF($D$2:D4483,D4483)=1,SUMIF($D$2:$D$5001,D4483,$H$2:$H$5001)+ROW()/10000000,0))</f>
        <v>0</v>
      </c>
      <c r="Q4483" s="47" t="n">
        <f aca="false">IF(OR($A4483="",C4483=""),0,IF(COUNTIF($C$2:C4483,C4483)=1,SUMIF($C$2:$C$5001,C4483,$H$2:$H$5001)+ROW()/10000000,0))</f>
        <v>0</v>
      </c>
    </row>
    <row r="4484" customFormat="false" ht="15" hidden="false" customHeight="false" outlineLevel="0" collapsed="false">
      <c r="A4484" s="43"/>
      <c r="B4484" s="44"/>
      <c r="C4484" s="44"/>
      <c r="D4484" s="44"/>
      <c r="E4484" s="44"/>
      <c r="F4484" s="44"/>
      <c r="G4484" s="44"/>
      <c r="H4484" s="46" t="str">
        <f aca="false">IF($A4484="","",IF(OR(NOT(ISNUMBER(E4484)),NOT(ISNUMBER(F4484))),"",MAX(0,E4484)*F4484))</f>
        <v/>
      </c>
      <c r="I4484" s="46" t="str">
        <f aca="false">IF($A4484="","",SUMIF($A$2:$A$5001,$A4484,$H$2:$H$5001))</f>
        <v/>
      </c>
      <c r="J4484" s="47" t="n">
        <f aca="false">IF($A4484="",0,IF(COUNTIF($A$2:A4484,$A4484)=1,1,0))</f>
        <v>0</v>
      </c>
      <c r="K4484" s="47" t="n">
        <f aca="false">IF(J4484=1,N(I4484)+ROW()/10000000,0)</f>
        <v>0</v>
      </c>
      <c r="L4484" s="47" t="str">
        <f aca="false">IF(AND(J4484=1,N(I4484)&gt;0),SUMIF($K$2:$K$5001,"&gt;="&amp;K4484,$I$2:$I$5001)/MAX(1,SUM($H$2:$H$5001)),"")</f>
        <v/>
      </c>
      <c r="M4484" s="47" t="str">
        <f aca="false">IF($A4484="","",INDEX($L$2:$L$5001,MATCH($A4484,$A$2:$A$5001,0)))</f>
        <v/>
      </c>
      <c r="N4484" s="48" t="str">
        <f aca="false">IF($A4484="","",IF(N(M4484)=0,"–",IF(M4484&lt;=Start!$D$20,"A",IF(M4484&lt;=Start!$D$21,"B","C"))))</f>
        <v/>
      </c>
      <c r="O4484" s="48" t="str">
        <f aca="false">IF($A4484="","",IF(NOT(ISNUMBER(F4484)),"Wert fehlt; ",IF(F4484&lt;=0,"Wert ist 0; ",""))&amp;IF(NOT(ISNUMBER(E4484)),"Bestand fehlt; ",IF(E4484&lt;0,"Bestand negativ; ",IF(E4484=0,"Nullbestand; ","")))&amp;IF(D4484="","Warengruppe fehlt; ","")&amp;IF(B4484="","Bezeichnung fehlt; ","")&amp;IF(COUNTIFS($A$2:$A$5001,$A4484,$C$2:$C$5001,C4484)&gt;1,"Artikel doppelt im selben Lager; ",""))</f>
        <v/>
      </c>
      <c r="P4484" s="47" t="n">
        <f aca="false">IF(OR($A4484="",D4484=""),0,IF(COUNTIF($D$2:D4484,D4484)=1,SUMIF($D$2:$D$5001,D4484,$H$2:$H$5001)+ROW()/10000000,0))</f>
        <v>0</v>
      </c>
      <c r="Q4484" s="47" t="n">
        <f aca="false">IF(OR($A4484="",C4484=""),0,IF(COUNTIF($C$2:C4484,C4484)=1,SUMIF($C$2:$C$5001,C4484,$H$2:$H$5001)+ROW()/10000000,0))</f>
        <v>0</v>
      </c>
    </row>
    <row r="4485" customFormat="false" ht="15" hidden="false" customHeight="false" outlineLevel="0" collapsed="false">
      <c r="A4485" s="43"/>
      <c r="B4485" s="44"/>
      <c r="C4485" s="44"/>
      <c r="D4485" s="44"/>
      <c r="E4485" s="44"/>
      <c r="F4485" s="44"/>
      <c r="G4485" s="44"/>
      <c r="H4485" s="46" t="str">
        <f aca="false">IF($A4485="","",IF(OR(NOT(ISNUMBER(E4485)),NOT(ISNUMBER(F4485))),"",MAX(0,E4485)*F4485))</f>
        <v/>
      </c>
      <c r="I4485" s="46" t="str">
        <f aca="false">IF($A4485="","",SUMIF($A$2:$A$5001,$A4485,$H$2:$H$5001))</f>
        <v/>
      </c>
      <c r="J4485" s="47" t="n">
        <f aca="false">IF($A4485="",0,IF(COUNTIF($A$2:A4485,$A4485)=1,1,0))</f>
        <v>0</v>
      </c>
      <c r="K4485" s="47" t="n">
        <f aca="false">IF(J4485=1,N(I4485)+ROW()/10000000,0)</f>
        <v>0</v>
      </c>
      <c r="L4485" s="47" t="str">
        <f aca="false">IF(AND(J4485=1,N(I4485)&gt;0),SUMIF($K$2:$K$5001,"&gt;="&amp;K4485,$I$2:$I$5001)/MAX(1,SUM($H$2:$H$5001)),"")</f>
        <v/>
      </c>
      <c r="M4485" s="47" t="str">
        <f aca="false">IF($A4485="","",INDEX($L$2:$L$5001,MATCH($A4485,$A$2:$A$5001,0)))</f>
        <v/>
      </c>
      <c r="N4485" s="48" t="str">
        <f aca="false">IF($A4485="","",IF(N(M4485)=0,"–",IF(M4485&lt;=Start!$D$20,"A",IF(M4485&lt;=Start!$D$21,"B","C"))))</f>
        <v/>
      </c>
      <c r="O4485" s="48" t="str">
        <f aca="false">IF($A4485="","",IF(NOT(ISNUMBER(F4485)),"Wert fehlt; ",IF(F4485&lt;=0,"Wert ist 0; ",""))&amp;IF(NOT(ISNUMBER(E4485)),"Bestand fehlt; ",IF(E4485&lt;0,"Bestand negativ; ",IF(E4485=0,"Nullbestand; ","")))&amp;IF(D4485="","Warengruppe fehlt; ","")&amp;IF(B4485="","Bezeichnung fehlt; ","")&amp;IF(COUNTIFS($A$2:$A$5001,$A4485,$C$2:$C$5001,C4485)&gt;1,"Artikel doppelt im selben Lager; ",""))</f>
        <v/>
      </c>
      <c r="P4485" s="47" t="n">
        <f aca="false">IF(OR($A4485="",D4485=""),0,IF(COUNTIF($D$2:D4485,D4485)=1,SUMIF($D$2:$D$5001,D4485,$H$2:$H$5001)+ROW()/10000000,0))</f>
        <v>0</v>
      </c>
      <c r="Q4485" s="47" t="n">
        <f aca="false">IF(OR($A4485="",C4485=""),0,IF(COUNTIF($C$2:C4485,C4485)=1,SUMIF($C$2:$C$5001,C4485,$H$2:$H$5001)+ROW()/10000000,0))</f>
        <v>0</v>
      </c>
    </row>
    <row r="4486" customFormat="false" ht="15" hidden="false" customHeight="false" outlineLevel="0" collapsed="false">
      <c r="A4486" s="43"/>
      <c r="B4486" s="44"/>
      <c r="C4486" s="44"/>
      <c r="D4486" s="44"/>
      <c r="E4486" s="44"/>
      <c r="F4486" s="44"/>
      <c r="G4486" s="44"/>
      <c r="H4486" s="46" t="str">
        <f aca="false">IF($A4486="","",IF(OR(NOT(ISNUMBER(E4486)),NOT(ISNUMBER(F4486))),"",MAX(0,E4486)*F4486))</f>
        <v/>
      </c>
      <c r="I4486" s="46" t="str">
        <f aca="false">IF($A4486="","",SUMIF($A$2:$A$5001,$A4486,$H$2:$H$5001))</f>
        <v/>
      </c>
      <c r="J4486" s="47" t="n">
        <f aca="false">IF($A4486="",0,IF(COUNTIF($A$2:A4486,$A4486)=1,1,0))</f>
        <v>0</v>
      </c>
      <c r="K4486" s="47" t="n">
        <f aca="false">IF(J4486=1,N(I4486)+ROW()/10000000,0)</f>
        <v>0</v>
      </c>
      <c r="L4486" s="47" t="str">
        <f aca="false">IF(AND(J4486=1,N(I4486)&gt;0),SUMIF($K$2:$K$5001,"&gt;="&amp;K4486,$I$2:$I$5001)/MAX(1,SUM($H$2:$H$5001)),"")</f>
        <v/>
      </c>
      <c r="M4486" s="47" t="str">
        <f aca="false">IF($A4486="","",INDEX($L$2:$L$5001,MATCH($A4486,$A$2:$A$5001,0)))</f>
        <v/>
      </c>
      <c r="N4486" s="48" t="str">
        <f aca="false">IF($A4486="","",IF(N(M4486)=0,"–",IF(M4486&lt;=Start!$D$20,"A",IF(M4486&lt;=Start!$D$21,"B","C"))))</f>
        <v/>
      </c>
      <c r="O4486" s="48" t="str">
        <f aca="false">IF($A4486="","",IF(NOT(ISNUMBER(F4486)),"Wert fehlt; ",IF(F4486&lt;=0,"Wert ist 0; ",""))&amp;IF(NOT(ISNUMBER(E4486)),"Bestand fehlt; ",IF(E4486&lt;0,"Bestand negativ; ",IF(E4486=0,"Nullbestand; ","")))&amp;IF(D4486="","Warengruppe fehlt; ","")&amp;IF(B4486="","Bezeichnung fehlt; ","")&amp;IF(COUNTIFS($A$2:$A$5001,$A4486,$C$2:$C$5001,C4486)&gt;1,"Artikel doppelt im selben Lager; ",""))</f>
        <v/>
      </c>
      <c r="P4486" s="47" t="n">
        <f aca="false">IF(OR($A4486="",D4486=""),0,IF(COUNTIF($D$2:D4486,D4486)=1,SUMIF($D$2:$D$5001,D4486,$H$2:$H$5001)+ROW()/10000000,0))</f>
        <v>0</v>
      </c>
      <c r="Q4486" s="47" t="n">
        <f aca="false">IF(OR($A4486="",C4486=""),0,IF(COUNTIF($C$2:C4486,C4486)=1,SUMIF($C$2:$C$5001,C4486,$H$2:$H$5001)+ROW()/10000000,0))</f>
        <v>0</v>
      </c>
    </row>
    <row r="4487" customFormat="false" ht="15" hidden="false" customHeight="false" outlineLevel="0" collapsed="false">
      <c r="A4487" s="43"/>
      <c r="B4487" s="44"/>
      <c r="C4487" s="44"/>
      <c r="D4487" s="44"/>
      <c r="E4487" s="44"/>
      <c r="F4487" s="44"/>
      <c r="G4487" s="44"/>
      <c r="H4487" s="46" t="str">
        <f aca="false">IF($A4487="","",IF(OR(NOT(ISNUMBER(E4487)),NOT(ISNUMBER(F4487))),"",MAX(0,E4487)*F4487))</f>
        <v/>
      </c>
      <c r="I4487" s="46" t="str">
        <f aca="false">IF($A4487="","",SUMIF($A$2:$A$5001,$A4487,$H$2:$H$5001))</f>
        <v/>
      </c>
      <c r="J4487" s="47" t="n">
        <f aca="false">IF($A4487="",0,IF(COUNTIF($A$2:A4487,$A4487)=1,1,0))</f>
        <v>0</v>
      </c>
      <c r="K4487" s="47" t="n">
        <f aca="false">IF(J4487=1,N(I4487)+ROW()/10000000,0)</f>
        <v>0</v>
      </c>
      <c r="L4487" s="47" t="str">
        <f aca="false">IF(AND(J4487=1,N(I4487)&gt;0),SUMIF($K$2:$K$5001,"&gt;="&amp;K4487,$I$2:$I$5001)/MAX(1,SUM($H$2:$H$5001)),"")</f>
        <v/>
      </c>
      <c r="M4487" s="47" t="str">
        <f aca="false">IF($A4487="","",INDEX($L$2:$L$5001,MATCH($A4487,$A$2:$A$5001,0)))</f>
        <v/>
      </c>
      <c r="N4487" s="48" t="str">
        <f aca="false">IF($A4487="","",IF(N(M4487)=0,"–",IF(M4487&lt;=Start!$D$20,"A",IF(M4487&lt;=Start!$D$21,"B","C"))))</f>
        <v/>
      </c>
      <c r="O4487" s="48" t="str">
        <f aca="false">IF($A4487="","",IF(NOT(ISNUMBER(F4487)),"Wert fehlt; ",IF(F4487&lt;=0,"Wert ist 0; ",""))&amp;IF(NOT(ISNUMBER(E4487)),"Bestand fehlt; ",IF(E4487&lt;0,"Bestand negativ; ",IF(E4487=0,"Nullbestand; ","")))&amp;IF(D4487="","Warengruppe fehlt; ","")&amp;IF(B4487="","Bezeichnung fehlt; ","")&amp;IF(COUNTIFS($A$2:$A$5001,$A4487,$C$2:$C$5001,C4487)&gt;1,"Artikel doppelt im selben Lager; ",""))</f>
        <v/>
      </c>
      <c r="P4487" s="47" t="n">
        <f aca="false">IF(OR($A4487="",D4487=""),0,IF(COUNTIF($D$2:D4487,D4487)=1,SUMIF($D$2:$D$5001,D4487,$H$2:$H$5001)+ROW()/10000000,0))</f>
        <v>0</v>
      </c>
      <c r="Q4487" s="47" t="n">
        <f aca="false">IF(OR($A4487="",C4487=""),0,IF(COUNTIF($C$2:C4487,C4487)=1,SUMIF($C$2:$C$5001,C4487,$H$2:$H$5001)+ROW()/10000000,0))</f>
        <v>0</v>
      </c>
    </row>
    <row r="4488" customFormat="false" ht="15" hidden="false" customHeight="false" outlineLevel="0" collapsed="false">
      <c r="A4488" s="43"/>
      <c r="B4488" s="44"/>
      <c r="C4488" s="44"/>
      <c r="D4488" s="44"/>
      <c r="E4488" s="44"/>
      <c r="F4488" s="44"/>
      <c r="G4488" s="44"/>
      <c r="H4488" s="46" t="str">
        <f aca="false">IF($A4488="","",IF(OR(NOT(ISNUMBER(E4488)),NOT(ISNUMBER(F4488))),"",MAX(0,E4488)*F4488))</f>
        <v/>
      </c>
      <c r="I4488" s="46" t="str">
        <f aca="false">IF($A4488="","",SUMIF($A$2:$A$5001,$A4488,$H$2:$H$5001))</f>
        <v/>
      </c>
      <c r="J4488" s="47" t="n">
        <f aca="false">IF($A4488="",0,IF(COUNTIF($A$2:A4488,$A4488)=1,1,0))</f>
        <v>0</v>
      </c>
      <c r="K4488" s="47" t="n">
        <f aca="false">IF(J4488=1,N(I4488)+ROW()/10000000,0)</f>
        <v>0</v>
      </c>
      <c r="L4488" s="47" t="str">
        <f aca="false">IF(AND(J4488=1,N(I4488)&gt;0),SUMIF($K$2:$K$5001,"&gt;="&amp;K4488,$I$2:$I$5001)/MAX(1,SUM($H$2:$H$5001)),"")</f>
        <v/>
      </c>
      <c r="M4488" s="47" t="str">
        <f aca="false">IF($A4488="","",INDEX($L$2:$L$5001,MATCH($A4488,$A$2:$A$5001,0)))</f>
        <v/>
      </c>
      <c r="N4488" s="48" t="str">
        <f aca="false">IF($A4488="","",IF(N(M4488)=0,"–",IF(M4488&lt;=Start!$D$20,"A",IF(M4488&lt;=Start!$D$21,"B","C"))))</f>
        <v/>
      </c>
      <c r="O4488" s="48" t="str">
        <f aca="false">IF($A4488="","",IF(NOT(ISNUMBER(F4488)),"Wert fehlt; ",IF(F4488&lt;=0,"Wert ist 0; ",""))&amp;IF(NOT(ISNUMBER(E4488)),"Bestand fehlt; ",IF(E4488&lt;0,"Bestand negativ; ",IF(E4488=0,"Nullbestand; ","")))&amp;IF(D4488="","Warengruppe fehlt; ","")&amp;IF(B4488="","Bezeichnung fehlt; ","")&amp;IF(COUNTIFS($A$2:$A$5001,$A4488,$C$2:$C$5001,C4488)&gt;1,"Artikel doppelt im selben Lager; ",""))</f>
        <v/>
      </c>
      <c r="P4488" s="47" t="n">
        <f aca="false">IF(OR($A4488="",D4488=""),0,IF(COUNTIF($D$2:D4488,D4488)=1,SUMIF($D$2:$D$5001,D4488,$H$2:$H$5001)+ROW()/10000000,0))</f>
        <v>0</v>
      </c>
      <c r="Q4488" s="47" t="n">
        <f aca="false">IF(OR($A4488="",C4488=""),0,IF(COUNTIF($C$2:C4488,C4488)=1,SUMIF($C$2:$C$5001,C4488,$H$2:$H$5001)+ROW()/10000000,0))</f>
        <v>0</v>
      </c>
    </row>
    <row r="4489" customFormat="false" ht="15" hidden="false" customHeight="false" outlineLevel="0" collapsed="false">
      <c r="A4489" s="43"/>
      <c r="B4489" s="44"/>
      <c r="C4489" s="44"/>
      <c r="D4489" s="44"/>
      <c r="E4489" s="44"/>
      <c r="F4489" s="44"/>
      <c r="G4489" s="44"/>
      <c r="H4489" s="46" t="str">
        <f aca="false">IF($A4489="","",IF(OR(NOT(ISNUMBER(E4489)),NOT(ISNUMBER(F4489))),"",MAX(0,E4489)*F4489))</f>
        <v/>
      </c>
      <c r="I4489" s="46" t="str">
        <f aca="false">IF($A4489="","",SUMIF($A$2:$A$5001,$A4489,$H$2:$H$5001))</f>
        <v/>
      </c>
      <c r="J4489" s="47" t="n">
        <f aca="false">IF($A4489="",0,IF(COUNTIF($A$2:A4489,$A4489)=1,1,0))</f>
        <v>0</v>
      </c>
      <c r="K4489" s="47" t="n">
        <f aca="false">IF(J4489=1,N(I4489)+ROW()/10000000,0)</f>
        <v>0</v>
      </c>
      <c r="L4489" s="47" t="str">
        <f aca="false">IF(AND(J4489=1,N(I4489)&gt;0),SUMIF($K$2:$K$5001,"&gt;="&amp;K4489,$I$2:$I$5001)/MAX(1,SUM($H$2:$H$5001)),"")</f>
        <v/>
      </c>
      <c r="M4489" s="47" t="str">
        <f aca="false">IF($A4489="","",INDEX($L$2:$L$5001,MATCH($A4489,$A$2:$A$5001,0)))</f>
        <v/>
      </c>
      <c r="N4489" s="48" t="str">
        <f aca="false">IF($A4489="","",IF(N(M4489)=0,"–",IF(M4489&lt;=Start!$D$20,"A",IF(M4489&lt;=Start!$D$21,"B","C"))))</f>
        <v/>
      </c>
      <c r="O4489" s="48" t="str">
        <f aca="false">IF($A4489="","",IF(NOT(ISNUMBER(F4489)),"Wert fehlt; ",IF(F4489&lt;=0,"Wert ist 0; ",""))&amp;IF(NOT(ISNUMBER(E4489)),"Bestand fehlt; ",IF(E4489&lt;0,"Bestand negativ; ",IF(E4489=0,"Nullbestand; ","")))&amp;IF(D4489="","Warengruppe fehlt; ","")&amp;IF(B4489="","Bezeichnung fehlt; ","")&amp;IF(COUNTIFS($A$2:$A$5001,$A4489,$C$2:$C$5001,C4489)&gt;1,"Artikel doppelt im selben Lager; ",""))</f>
        <v/>
      </c>
      <c r="P4489" s="47" t="n">
        <f aca="false">IF(OR($A4489="",D4489=""),0,IF(COUNTIF($D$2:D4489,D4489)=1,SUMIF($D$2:$D$5001,D4489,$H$2:$H$5001)+ROW()/10000000,0))</f>
        <v>0</v>
      </c>
      <c r="Q4489" s="47" t="n">
        <f aca="false">IF(OR($A4489="",C4489=""),0,IF(COUNTIF($C$2:C4489,C4489)=1,SUMIF($C$2:$C$5001,C4489,$H$2:$H$5001)+ROW()/10000000,0))</f>
        <v>0</v>
      </c>
    </row>
    <row r="4490" customFormat="false" ht="15" hidden="false" customHeight="false" outlineLevel="0" collapsed="false">
      <c r="A4490" s="43"/>
      <c r="B4490" s="44"/>
      <c r="C4490" s="44"/>
      <c r="D4490" s="44"/>
      <c r="E4490" s="44"/>
      <c r="F4490" s="44"/>
      <c r="G4490" s="44"/>
      <c r="H4490" s="46" t="str">
        <f aca="false">IF($A4490="","",IF(OR(NOT(ISNUMBER(E4490)),NOT(ISNUMBER(F4490))),"",MAX(0,E4490)*F4490))</f>
        <v/>
      </c>
      <c r="I4490" s="46" t="str">
        <f aca="false">IF($A4490="","",SUMIF($A$2:$A$5001,$A4490,$H$2:$H$5001))</f>
        <v/>
      </c>
      <c r="J4490" s="47" t="n">
        <f aca="false">IF($A4490="",0,IF(COUNTIF($A$2:A4490,$A4490)=1,1,0))</f>
        <v>0</v>
      </c>
      <c r="K4490" s="47" t="n">
        <f aca="false">IF(J4490=1,N(I4490)+ROW()/10000000,0)</f>
        <v>0</v>
      </c>
      <c r="L4490" s="47" t="str">
        <f aca="false">IF(AND(J4490=1,N(I4490)&gt;0),SUMIF($K$2:$K$5001,"&gt;="&amp;K4490,$I$2:$I$5001)/MAX(1,SUM($H$2:$H$5001)),"")</f>
        <v/>
      </c>
      <c r="M4490" s="47" t="str">
        <f aca="false">IF($A4490="","",INDEX($L$2:$L$5001,MATCH($A4490,$A$2:$A$5001,0)))</f>
        <v/>
      </c>
      <c r="N4490" s="48" t="str">
        <f aca="false">IF($A4490="","",IF(N(M4490)=0,"–",IF(M4490&lt;=Start!$D$20,"A",IF(M4490&lt;=Start!$D$21,"B","C"))))</f>
        <v/>
      </c>
      <c r="O4490" s="48" t="str">
        <f aca="false">IF($A4490="","",IF(NOT(ISNUMBER(F4490)),"Wert fehlt; ",IF(F4490&lt;=0,"Wert ist 0; ",""))&amp;IF(NOT(ISNUMBER(E4490)),"Bestand fehlt; ",IF(E4490&lt;0,"Bestand negativ; ",IF(E4490=0,"Nullbestand; ","")))&amp;IF(D4490="","Warengruppe fehlt; ","")&amp;IF(B4490="","Bezeichnung fehlt; ","")&amp;IF(COUNTIFS($A$2:$A$5001,$A4490,$C$2:$C$5001,C4490)&gt;1,"Artikel doppelt im selben Lager; ",""))</f>
        <v/>
      </c>
      <c r="P4490" s="47" t="n">
        <f aca="false">IF(OR($A4490="",D4490=""),0,IF(COUNTIF($D$2:D4490,D4490)=1,SUMIF($D$2:$D$5001,D4490,$H$2:$H$5001)+ROW()/10000000,0))</f>
        <v>0</v>
      </c>
      <c r="Q4490" s="47" t="n">
        <f aca="false">IF(OR($A4490="",C4490=""),0,IF(COUNTIF($C$2:C4490,C4490)=1,SUMIF($C$2:$C$5001,C4490,$H$2:$H$5001)+ROW()/10000000,0))</f>
        <v>0</v>
      </c>
    </row>
    <row r="4491" customFormat="false" ht="15" hidden="false" customHeight="false" outlineLevel="0" collapsed="false">
      <c r="A4491" s="43"/>
      <c r="B4491" s="44"/>
      <c r="C4491" s="44"/>
      <c r="D4491" s="44"/>
      <c r="E4491" s="44"/>
      <c r="F4491" s="44"/>
      <c r="G4491" s="44"/>
      <c r="H4491" s="46" t="str">
        <f aca="false">IF($A4491="","",IF(OR(NOT(ISNUMBER(E4491)),NOT(ISNUMBER(F4491))),"",MAX(0,E4491)*F4491))</f>
        <v/>
      </c>
      <c r="I4491" s="46" t="str">
        <f aca="false">IF($A4491="","",SUMIF($A$2:$A$5001,$A4491,$H$2:$H$5001))</f>
        <v/>
      </c>
      <c r="J4491" s="47" t="n">
        <f aca="false">IF($A4491="",0,IF(COUNTIF($A$2:A4491,$A4491)=1,1,0))</f>
        <v>0</v>
      </c>
      <c r="K4491" s="47" t="n">
        <f aca="false">IF(J4491=1,N(I4491)+ROW()/10000000,0)</f>
        <v>0</v>
      </c>
      <c r="L4491" s="47" t="str">
        <f aca="false">IF(AND(J4491=1,N(I4491)&gt;0),SUMIF($K$2:$K$5001,"&gt;="&amp;K4491,$I$2:$I$5001)/MAX(1,SUM($H$2:$H$5001)),"")</f>
        <v/>
      </c>
      <c r="M4491" s="47" t="str">
        <f aca="false">IF($A4491="","",INDEX($L$2:$L$5001,MATCH($A4491,$A$2:$A$5001,0)))</f>
        <v/>
      </c>
      <c r="N4491" s="48" t="str">
        <f aca="false">IF($A4491="","",IF(N(M4491)=0,"–",IF(M4491&lt;=Start!$D$20,"A",IF(M4491&lt;=Start!$D$21,"B","C"))))</f>
        <v/>
      </c>
      <c r="O4491" s="48" t="str">
        <f aca="false">IF($A4491="","",IF(NOT(ISNUMBER(F4491)),"Wert fehlt; ",IF(F4491&lt;=0,"Wert ist 0; ",""))&amp;IF(NOT(ISNUMBER(E4491)),"Bestand fehlt; ",IF(E4491&lt;0,"Bestand negativ; ",IF(E4491=0,"Nullbestand; ","")))&amp;IF(D4491="","Warengruppe fehlt; ","")&amp;IF(B4491="","Bezeichnung fehlt; ","")&amp;IF(COUNTIFS($A$2:$A$5001,$A4491,$C$2:$C$5001,C4491)&gt;1,"Artikel doppelt im selben Lager; ",""))</f>
        <v/>
      </c>
      <c r="P4491" s="47" t="n">
        <f aca="false">IF(OR($A4491="",D4491=""),0,IF(COUNTIF($D$2:D4491,D4491)=1,SUMIF($D$2:$D$5001,D4491,$H$2:$H$5001)+ROW()/10000000,0))</f>
        <v>0</v>
      </c>
      <c r="Q4491" s="47" t="n">
        <f aca="false">IF(OR($A4491="",C4491=""),0,IF(COUNTIF($C$2:C4491,C4491)=1,SUMIF($C$2:$C$5001,C4491,$H$2:$H$5001)+ROW()/10000000,0))</f>
        <v>0</v>
      </c>
    </row>
    <row r="4492" customFormat="false" ht="15" hidden="false" customHeight="false" outlineLevel="0" collapsed="false">
      <c r="A4492" s="43"/>
      <c r="B4492" s="44"/>
      <c r="C4492" s="44"/>
      <c r="D4492" s="44"/>
      <c r="E4492" s="44"/>
      <c r="F4492" s="44"/>
      <c r="G4492" s="44"/>
      <c r="H4492" s="46" t="str">
        <f aca="false">IF($A4492="","",IF(OR(NOT(ISNUMBER(E4492)),NOT(ISNUMBER(F4492))),"",MAX(0,E4492)*F4492))</f>
        <v/>
      </c>
      <c r="I4492" s="46" t="str">
        <f aca="false">IF($A4492="","",SUMIF($A$2:$A$5001,$A4492,$H$2:$H$5001))</f>
        <v/>
      </c>
      <c r="J4492" s="47" t="n">
        <f aca="false">IF($A4492="",0,IF(COUNTIF($A$2:A4492,$A4492)=1,1,0))</f>
        <v>0</v>
      </c>
      <c r="K4492" s="47" t="n">
        <f aca="false">IF(J4492=1,N(I4492)+ROW()/10000000,0)</f>
        <v>0</v>
      </c>
      <c r="L4492" s="47" t="str">
        <f aca="false">IF(AND(J4492=1,N(I4492)&gt;0),SUMIF($K$2:$K$5001,"&gt;="&amp;K4492,$I$2:$I$5001)/MAX(1,SUM($H$2:$H$5001)),"")</f>
        <v/>
      </c>
      <c r="M4492" s="47" t="str">
        <f aca="false">IF($A4492="","",INDEX($L$2:$L$5001,MATCH($A4492,$A$2:$A$5001,0)))</f>
        <v/>
      </c>
      <c r="N4492" s="48" t="str">
        <f aca="false">IF($A4492="","",IF(N(M4492)=0,"–",IF(M4492&lt;=Start!$D$20,"A",IF(M4492&lt;=Start!$D$21,"B","C"))))</f>
        <v/>
      </c>
      <c r="O4492" s="48" t="str">
        <f aca="false">IF($A4492="","",IF(NOT(ISNUMBER(F4492)),"Wert fehlt; ",IF(F4492&lt;=0,"Wert ist 0; ",""))&amp;IF(NOT(ISNUMBER(E4492)),"Bestand fehlt; ",IF(E4492&lt;0,"Bestand negativ; ",IF(E4492=0,"Nullbestand; ","")))&amp;IF(D4492="","Warengruppe fehlt; ","")&amp;IF(B4492="","Bezeichnung fehlt; ","")&amp;IF(COUNTIFS($A$2:$A$5001,$A4492,$C$2:$C$5001,C4492)&gt;1,"Artikel doppelt im selben Lager; ",""))</f>
        <v/>
      </c>
      <c r="P4492" s="47" t="n">
        <f aca="false">IF(OR($A4492="",D4492=""),0,IF(COUNTIF($D$2:D4492,D4492)=1,SUMIF($D$2:$D$5001,D4492,$H$2:$H$5001)+ROW()/10000000,0))</f>
        <v>0</v>
      </c>
      <c r="Q4492" s="47" t="n">
        <f aca="false">IF(OR($A4492="",C4492=""),0,IF(COUNTIF($C$2:C4492,C4492)=1,SUMIF($C$2:$C$5001,C4492,$H$2:$H$5001)+ROW()/10000000,0))</f>
        <v>0</v>
      </c>
    </row>
    <row r="4493" customFormat="false" ht="15" hidden="false" customHeight="false" outlineLevel="0" collapsed="false">
      <c r="A4493" s="43"/>
      <c r="B4493" s="44"/>
      <c r="C4493" s="44"/>
      <c r="D4493" s="44"/>
      <c r="E4493" s="44"/>
      <c r="F4493" s="44"/>
      <c r="G4493" s="44"/>
      <c r="H4493" s="46" t="str">
        <f aca="false">IF($A4493="","",IF(OR(NOT(ISNUMBER(E4493)),NOT(ISNUMBER(F4493))),"",MAX(0,E4493)*F4493))</f>
        <v/>
      </c>
      <c r="I4493" s="46" t="str">
        <f aca="false">IF($A4493="","",SUMIF($A$2:$A$5001,$A4493,$H$2:$H$5001))</f>
        <v/>
      </c>
      <c r="J4493" s="47" t="n">
        <f aca="false">IF($A4493="",0,IF(COUNTIF($A$2:A4493,$A4493)=1,1,0))</f>
        <v>0</v>
      </c>
      <c r="K4493" s="47" t="n">
        <f aca="false">IF(J4493=1,N(I4493)+ROW()/10000000,0)</f>
        <v>0</v>
      </c>
      <c r="L4493" s="47" t="str">
        <f aca="false">IF(AND(J4493=1,N(I4493)&gt;0),SUMIF($K$2:$K$5001,"&gt;="&amp;K4493,$I$2:$I$5001)/MAX(1,SUM($H$2:$H$5001)),"")</f>
        <v/>
      </c>
      <c r="M4493" s="47" t="str">
        <f aca="false">IF($A4493="","",INDEX($L$2:$L$5001,MATCH($A4493,$A$2:$A$5001,0)))</f>
        <v/>
      </c>
      <c r="N4493" s="48" t="str">
        <f aca="false">IF($A4493="","",IF(N(M4493)=0,"–",IF(M4493&lt;=Start!$D$20,"A",IF(M4493&lt;=Start!$D$21,"B","C"))))</f>
        <v/>
      </c>
      <c r="O4493" s="48" t="str">
        <f aca="false">IF($A4493="","",IF(NOT(ISNUMBER(F4493)),"Wert fehlt; ",IF(F4493&lt;=0,"Wert ist 0; ",""))&amp;IF(NOT(ISNUMBER(E4493)),"Bestand fehlt; ",IF(E4493&lt;0,"Bestand negativ; ",IF(E4493=0,"Nullbestand; ","")))&amp;IF(D4493="","Warengruppe fehlt; ","")&amp;IF(B4493="","Bezeichnung fehlt; ","")&amp;IF(COUNTIFS($A$2:$A$5001,$A4493,$C$2:$C$5001,C4493)&gt;1,"Artikel doppelt im selben Lager; ",""))</f>
        <v/>
      </c>
      <c r="P4493" s="47" t="n">
        <f aca="false">IF(OR($A4493="",D4493=""),0,IF(COUNTIF($D$2:D4493,D4493)=1,SUMIF($D$2:$D$5001,D4493,$H$2:$H$5001)+ROW()/10000000,0))</f>
        <v>0</v>
      </c>
      <c r="Q4493" s="47" t="n">
        <f aca="false">IF(OR($A4493="",C4493=""),0,IF(COUNTIF($C$2:C4493,C4493)=1,SUMIF($C$2:$C$5001,C4493,$H$2:$H$5001)+ROW()/10000000,0))</f>
        <v>0</v>
      </c>
    </row>
    <row r="4494" customFormat="false" ht="15" hidden="false" customHeight="false" outlineLevel="0" collapsed="false">
      <c r="A4494" s="43"/>
      <c r="B4494" s="44"/>
      <c r="C4494" s="44"/>
      <c r="D4494" s="44"/>
      <c r="E4494" s="44"/>
      <c r="F4494" s="44"/>
      <c r="G4494" s="44"/>
      <c r="H4494" s="46" t="str">
        <f aca="false">IF($A4494="","",IF(OR(NOT(ISNUMBER(E4494)),NOT(ISNUMBER(F4494))),"",MAX(0,E4494)*F4494))</f>
        <v/>
      </c>
      <c r="I4494" s="46" t="str">
        <f aca="false">IF($A4494="","",SUMIF($A$2:$A$5001,$A4494,$H$2:$H$5001))</f>
        <v/>
      </c>
      <c r="J4494" s="47" t="n">
        <f aca="false">IF($A4494="",0,IF(COUNTIF($A$2:A4494,$A4494)=1,1,0))</f>
        <v>0</v>
      </c>
      <c r="K4494" s="47" t="n">
        <f aca="false">IF(J4494=1,N(I4494)+ROW()/10000000,0)</f>
        <v>0</v>
      </c>
      <c r="L4494" s="47" t="str">
        <f aca="false">IF(AND(J4494=1,N(I4494)&gt;0),SUMIF($K$2:$K$5001,"&gt;="&amp;K4494,$I$2:$I$5001)/MAX(1,SUM($H$2:$H$5001)),"")</f>
        <v/>
      </c>
      <c r="M4494" s="47" t="str">
        <f aca="false">IF($A4494="","",INDEX($L$2:$L$5001,MATCH($A4494,$A$2:$A$5001,0)))</f>
        <v/>
      </c>
      <c r="N4494" s="48" t="str">
        <f aca="false">IF($A4494="","",IF(N(M4494)=0,"–",IF(M4494&lt;=Start!$D$20,"A",IF(M4494&lt;=Start!$D$21,"B","C"))))</f>
        <v/>
      </c>
      <c r="O4494" s="48" t="str">
        <f aca="false">IF($A4494="","",IF(NOT(ISNUMBER(F4494)),"Wert fehlt; ",IF(F4494&lt;=0,"Wert ist 0; ",""))&amp;IF(NOT(ISNUMBER(E4494)),"Bestand fehlt; ",IF(E4494&lt;0,"Bestand negativ; ",IF(E4494=0,"Nullbestand; ","")))&amp;IF(D4494="","Warengruppe fehlt; ","")&amp;IF(B4494="","Bezeichnung fehlt; ","")&amp;IF(COUNTIFS($A$2:$A$5001,$A4494,$C$2:$C$5001,C4494)&gt;1,"Artikel doppelt im selben Lager; ",""))</f>
        <v/>
      </c>
      <c r="P4494" s="47" t="n">
        <f aca="false">IF(OR($A4494="",D4494=""),0,IF(COUNTIF($D$2:D4494,D4494)=1,SUMIF($D$2:$D$5001,D4494,$H$2:$H$5001)+ROW()/10000000,0))</f>
        <v>0</v>
      </c>
      <c r="Q4494" s="47" t="n">
        <f aca="false">IF(OR($A4494="",C4494=""),0,IF(COUNTIF($C$2:C4494,C4494)=1,SUMIF($C$2:$C$5001,C4494,$H$2:$H$5001)+ROW()/10000000,0))</f>
        <v>0</v>
      </c>
    </row>
    <row r="4495" customFormat="false" ht="15" hidden="false" customHeight="false" outlineLevel="0" collapsed="false">
      <c r="A4495" s="43"/>
      <c r="B4495" s="44"/>
      <c r="C4495" s="44"/>
      <c r="D4495" s="44"/>
      <c r="E4495" s="44"/>
      <c r="F4495" s="44"/>
      <c r="G4495" s="44"/>
      <c r="H4495" s="46" t="str">
        <f aca="false">IF($A4495="","",IF(OR(NOT(ISNUMBER(E4495)),NOT(ISNUMBER(F4495))),"",MAX(0,E4495)*F4495))</f>
        <v/>
      </c>
      <c r="I4495" s="46" t="str">
        <f aca="false">IF($A4495="","",SUMIF($A$2:$A$5001,$A4495,$H$2:$H$5001))</f>
        <v/>
      </c>
      <c r="J4495" s="47" t="n">
        <f aca="false">IF($A4495="",0,IF(COUNTIF($A$2:A4495,$A4495)=1,1,0))</f>
        <v>0</v>
      </c>
      <c r="K4495" s="47" t="n">
        <f aca="false">IF(J4495=1,N(I4495)+ROW()/10000000,0)</f>
        <v>0</v>
      </c>
      <c r="L4495" s="47" t="str">
        <f aca="false">IF(AND(J4495=1,N(I4495)&gt;0),SUMIF($K$2:$K$5001,"&gt;="&amp;K4495,$I$2:$I$5001)/MAX(1,SUM($H$2:$H$5001)),"")</f>
        <v/>
      </c>
      <c r="M4495" s="47" t="str">
        <f aca="false">IF($A4495="","",INDEX($L$2:$L$5001,MATCH($A4495,$A$2:$A$5001,0)))</f>
        <v/>
      </c>
      <c r="N4495" s="48" t="str">
        <f aca="false">IF($A4495="","",IF(N(M4495)=0,"–",IF(M4495&lt;=Start!$D$20,"A",IF(M4495&lt;=Start!$D$21,"B","C"))))</f>
        <v/>
      </c>
      <c r="O4495" s="48" t="str">
        <f aca="false">IF($A4495="","",IF(NOT(ISNUMBER(F4495)),"Wert fehlt; ",IF(F4495&lt;=0,"Wert ist 0; ",""))&amp;IF(NOT(ISNUMBER(E4495)),"Bestand fehlt; ",IF(E4495&lt;0,"Bestand negativ; ",IF(E4495=0,"Nullbestand; ","")))&amp;IF(D4495="","Warengruppe fehlt; ","")&amp;IF(B4495="","Bezeichnung fehlt; ","")&amp;IF(COUNTIFS($A$2:$A$5001,$A4495,$C$2:$C$5001,C4495)&gt;1,"Artikel doppelt im selben Lager; ",""))</f>
        <v/>
      </c>
      <c r="P4495" s="47" t="n">
        <f aca="false">IF(OR($A4495="",D4495=""),0,IF(COUNTIF($D$2:D4495,D4495)=1,SUMIF($D$2:$D$5001,D4495,$H$2:$H$5001)+ROW()/10000000,0))</f>
        <v>0</v>
      </c>
      <c r="Q4495" s="47" t="n">
        <f aca="false">IF(OR($A4495="",C4495=""),0,IF(COUNTIF($C$2:C4495,C4495)=1,SUMIF($C$2:$C$5001,C4495,$H$2:$H$5001)+ROW()/10000000,0))</f>
        <v>0</v>
      </c>
    </row>
    <row r="4496" customFormat="false" ht="15" hidden="false" customHeight="false" outlineLevel="0" collapsed="false">
      <c r="A4496" s="43"/>
      <c r="B4496" s="44"/>
      <c r="C4496" s="44"/>
      <c r="D4496" s="44"/>
      <c r="E4496" s="44"/>
      <c r="F4496" s="44"/>
      <c r="G4496" s="44"/>
      <c r="H4496" s="46" t="str">
        <f aca="false">IF($A4496="","",IF(OR(NOT(ISNUMBER(E4496)),NOT(ISNUMBER(F4496))),"",MAX(0,E4496)*F4496))</f>
        <v/>
      </c>
      <c r="I4496" s="46" t="str">
        <f aca="false">IF($A4496="","",SUMIF($A$2:$A$5001,$A4496,$H$2:$H$5001))</f>
        <v/>
      </c>
      <c r="J4496" s="47" t="n">
        <f aca="false">IF($A4496="",0,IF(COUNTIF($A$2:A4496,$A4496)=1,1,0))</f>
        <v>0</v>
      </c>
      <c r="K4496" s="47" t="n">
        <f aca="false">IF(J4496=1,N(I4496)+ROW()/10000000,0)</f>
        <v>0</v>
      </c>
      <c r="L4496" s="47" t="str">
        <f aca="false">IF(AND(J4496=1,N(I4496)&gt;0),SUMIF($K$2:$K$5001,"&gt;="&amp;K4496,$I$2:$I$5001)/MAX(1,SUM($H$2:$H$5001)),"")</f>
        <v/>
      </c>
      <c r="M4496" s="47" t="str">
        <f aca="false">IF($A4496="","",INDEX($L$2:$L$5001,MATCH($A4496,$A$2:$A$5001,0)))</f>
        <v/>
      </c>
      <c r="N4496" s="48" t="str">
        <f aca="false">IF($A4496="","",IF(N(M4496)=0,"–",IF(M4496&lt;=Start!$D$20,"A",IF(M4496&lt;=Start!$D$21,"B","C"))))</f>
        <v/>
      </c>
      <c r="O4496" s="48" t="str">
        <f aca="false">IF($A4496="","",IF(NOT(ISNUMBER(F4496)),"Wert fehlt; ",IF(F4496&lt;=0,"Wert ist 0; ",""))&amp;IF(NOT(ISNUMBER(E4496)),"Bestand fehlt; ",IF(E4496&lt;0,"Bestand negativ; ",IF(E4496=0,"Nullbestand; ","")))&amp;IF(D4496="","Warengruppe fehlt; ","")&amp;IF(B4496="","Bezeichnung fehlt; ","")&amp;IF(COUNTIFS($A$2:$A$5001,$A4496,$C$2:$C$5001,C4496)&gt;1,"Artikel doppelt im selben Lager; ",""))</f>
        <v/>
      </c>
      <c r="P4496" s="47" t="n">
        <f aca="false">IF(OR($A4496="",D4496=""),0,IF(COUNTIF($D$2:D4496,D4496)=1,SUMIF($D$2:$D$5001,D4496,$H$2:$H$5001)+ROW()/10000000,0))</f>
        <v>0</v>
      </c>
      <c r="Q4496" s="47" t="n">
        <f aca="false">IF(OR($A4496="",C4496=""),0,IF(COUNTIF($C$2:C4496,C4496)=1,SUMIF($C$2:$C$5001,C4496,$H$2:$H$5001)+ROW()/10000000,0))</f>
        <v>0</v>
      </c>
    </row>
    <row r="4497" customFormat="false" ht="15" hidden="false" customHeight="false" outlineLevel="0" collapsed="false">
      <c r="A4497" s="43"/>
      <c r="B4497" s="44"/>
      <c r="C4497" s="44"/>
      <c r="D4497" s="44"/>
      <c r="E4497" s="44"/>
      <c r="F4497" s="44"/>
      <c r="G4497" s="44"/>
      <c r="H4497" s="46" t="str">
        <f aca="false">IF($A4497="","",IF(OR(NOT(ISNUMBER(E4497)),NOT(ISNUMBER(F4497))),"",MAX(0,E4497)*F4497))</f>
        <v/>
      </c>
      <c r="I4497" s="46" t="str">
        <f aca="false">IF($A4497="","",SUMIF($A$2:$A$5001,$A4497,$H$2:$H$5001))</f>
        <v/>
      </c>
      <c r="J4497" s="47" t="n">
        <f aca="false">IF($A4497="",0,IF(COUNTIF($A$2:A4497,$A4497)=1,1,0))</f>
        <v>0</v>
      </c>
      <c r="K4497" s="47" t="n">
        <f aca="false">IF(J4497=1,N(I4497)+ROW()/10000000,0)</f>
        <v>0</v>
      </c>
      <c r="L4497" s="47" t="str">
        <f aca="false">IF(AND(J4497=1,N(I4497)&gt;0),SUMIF($K$2:$K$5001,"&gt;="&amp;K4497,$I$2:$I$5001)/MAX(1,SUM($H$2:$H$5001)),"")</f>
        <v/>
      </c>
      <c r="M4497" s="47" t="str">
        <f aca="false">IF($A4497="","",INDEX($L$2:$L$5001,MATCH($A4497,$A$2:$A$5001,0)))</f>
        <v/>
      </c>
      <c r="N4497" s="48" t="str">
        <f aca="false">IF($A4497="","",IF(N(M4497)=0,"–",IF(M4497&lt;=Start!$D$20,"A",IF(M4497&lt;=Start!$D$21,"B","C"))))</f>
        <v/>
      </c>
      <c r="O4497" s="48" t="str">
        <f aca="false">IF($A4497="","",IF(NOT(ISNUMBER(F4497)),"Wert fehlt; ",IF(F4497&lt;=0,"Wert ist 0; ",""))&amp;IF(NOT(ISNUMBER(E4497)),"Bestand fehlt; ",IF(E4497&lt;0,"Bestand negativ; ",IF(E4497=0,"Nullbestand; ","")))&amp;IF(D4497="","Warengruppe fehlt; ","")&amp;IF(B4497="","Bezeichnung fehlt; ","")&amp;IF(COUNTIFS($A$2:$A$5001,$A4497,$C$2:$C$5001,C4497)&gt;1,"Artikel doppelt im selben Lager; ",""))</f>
        <v/>
      </c>
      <c r="P4497" s="47" t="n">
        <f aca="false">IF(OR($A4497="",D4497=""),0,IF(COUNTIF($D$2:D4497,D4497)=1,SUMIF($D$2:$D$5001,D4497,$H$2:$H$5001)+ROW()/10000000,0))</f>
        <v>0</v>
      </c>
      <c r="Q4497" s="47" t="n">
        <f aca="false">IF(OR($A4497="",C4497=""),0,IF(COUNTIF($C$2:C4497,C4497)=1,SUMIF($C$2:$C$5001,C4497,$H$2:$H$5001)+ROW()/10000000,0))</f>
        <v>0</v>
      </c>
    </row>
    <row r="4498" customFormat="false" ht="15" hidden="false" customHeight="false" outlineLevel="0" collapsed="false">
      <c r="A4498" s="43"/>
      <c r="B4498" s="44"/>
      <c r="C4498" s="44"/>
      <c r="D4498" s="44"/>
      <c r="E4498" s="44"/>
      <c r="F4498" s="44"/>
      <c r="G4498" s="44"/>
      <c r="H4498" s="46" t="str">
        <f aca="false">IF($A4498="","",IF(OR(NOT(ISNUMBER(E4498)),NOT(ISNUMBER(F4498))),"",MAX(0,E4498)*F4498))</f>
        <v/>
      </c>
      <c r="I4498" s="46" t="str">
        <f aca="false">IF($A4498="","",SUMIF($A$2:$A$5001,$A4498,$H$2:$H$5001))</f>
        <v/>
      </c>
      <c r="J4498" s="47" t="n">
        <f aca="false">IF($A4498="",0,IF(COUNTIF($A$2:A4498,$A4498)=1,1,0))</f>
        <v>0</v>
      </c>
      <c r="K4498" s="47" t="n">
        <f aca="false">IF(J4498=1,N(I4498)+ROW()/10000000,0)</f>
        <v>0</v>
      </c>
      <c r="L4498" s="47" t="str">
        <f aca="false">IF(AND(J4498=1,N(I4498)&gt;0),SUMIF($K$2:$K$5001,"&gt;="&amp;K4498,$I$2:$I$5001)/MAX(1,SUM($H$2:$H$5001)),"")</f>
        <v/>
      </c>
      <c r="M4498" s="47" t="str">
        <f aca="false">IF($A4498="","",INDEX($L$2:$L$5001,MATCH($A4498,$A$2:$A$5001,0)))</f>
        <v/>
      </c>
      <c r="N4498" s="48" t="str">
        <f aca="false">IF($A4498="","",IF(N(M4498)=0,"–",IF(M4498&lt;=Start!$D$20,"A",IF(M4498&lt;=Start!$D$21,"B","C"))))</f>
        <v/>
      </c>
      <c r="O4498" s="48" t="str">
        <f aca="false">IF($A4498="","",IF(NOT(ISNUMBER(F4498)),"Wert fehlt; ",IF(F4498&lt;=0,"Wert ist 0; ",""))&amp;IF(NOT(ISNUMBER(E4498)),"Bestand fehlt; ",IF(E4498&lt;0,"Bestand negativ; ",IF(E4498=0,"Nullbestand; ","")))&amp;IF(D4498="","Warengruppe fehlt; ","")&amp;IF(B4498="","Bezeichnung fehlt; ","")&amp;IF(COUNTIFS($A$2:$A$5001,$A4498,$C$2:$C$5001,C4498)&gt;1,"Artikel doppelt im selben Lager; ",""))</f>
        <v/>
      </c>
      <c r="P4498" s="47" t="n">
        <f aca="false">IF(OR($A4498="",D4498=""),0,IF(COUNTIF($D$2:D4498,D4498)=1,SUMIF($D$2:$D$5001,D4498,$H$2:$H$5001)+ROW()/10000000,0))</f>
        <v>0</v>
      </c>
      <c r="Q4498" s="47" t="n">
        <f aca="false">IF(OR($A4498="",C4498=""),0,IF(COUNTIF($C$2:C4498,C4498)=1,SUMIF($C$2:$C$5001,C4498,$H$2:$H$5001)+ROW()/10000000,0))</f>
        <v>0</v>
      </c>
    </row>
    <row r="4499" customFormat="false" ht="15" hidden="false" customHeight="false" outlineLevel="0" collapsed="false">
      <c r="A4499" s="43"/>
      <c r="B4499" s="44"/>
      <c r="C4499" s="44"/>
      <c r="D4499" s="44"/>
      <c r="E4499" s="44"/>
      <c r="F4499" s="44"/>
      <c r="G4499" s="44"/>
      <c r="H4499" s="46" t="str">
        <f aca="false">IF($A4499="","",IF(OR(NOT(ISNUMBER(E4499)),NOT(ISNUMBER(F4499))),"",MAX(0,E4499)*F4499))</f>
        <v/>
      </c>
      <c r="I4499" s="46" t="str">
        <f aca="false">IF($A4499="","",SUMIF($A$2:$A$5001,$A4499,$H$2:$H$5001))</f>
        <v/>
      </c>
      <c r="J4499" s="47" t="n">
        <f aca="false">IF($A4499="",0,IF(COUNTIF($A$2:A4499,$A4499)=1,1,0))</f>
        <v>0</v>
      </c>
      <c r="K4499" s="47" t="n">
        <f aca="false">IF(J4499=1,N(I4499)+ROW()/10000000,0)</f>
        <v>0</v>
      </c>
      <c r="L4499" s="47" t="str">
        <f aca="false">IF(AND(J4499=1,N(I4499)&gt;0),SUMIF($K$2:$K$5001,"&gt;="&amp;K4499,$I$2:$I$5001)/MAX(1,SUM($H$2:$H$5001)),"")</f>
        <v/>
      </c>
      <c r="M4499" s="47" t="str">
        <f aca="false">IF($A4499="","",INDEX($L$2:$L$5001,MATCH($A4499,$A$2:$A$5001,0)))</f>
        <v/>
      </c>
      <c r="N4499" s="48" t="str">
        <f aca="false">IF($A4499="","",IF(N(M4499)=0,"–",IF(M4499&lt;=Start!$D$20,"A",IF(M4499&lt;=Start!$D$21,"B","C"))))</f>
        <v/>
      </c>
      <c r="O4499" s="48" t="str">
        <f aca="false">IF($A4499="","",IF(NOT(ISNUMBER(F4499)),"Wert fehlt; ",IF(F4499&lt;=0,"Wert ist 0; ",""))&amp;IF(NOT(ISNUMBER(E4499)),"Bestand fehlt; ",IF(E4499&lt;0,"Bestand negativ; ",IF(E4499=0,"Nullbestand; ","")))&amp;IF(D4499="","Warengruppe fehlt; ","")&amp;IF(B4499="","Bezeichnung fehlt; ","")&amp;IF(COUNTIFS($A$2:$A$5001,$A4499,$C$2:$C$5001,C4499)&gt;1,"Artikel doppelt im selben Lager; ",""))</f>
        <v/>
      </c>
      <c r="P4499" s="47" t="n">
        <f aca="false">IF(OR($A4499="",D4499=""),0,IF(COUNTIF($D$2:D4499,D4499)=1,SUMIF($D$2:$D$5001,D4499,$H$2:$H$5001)+ROW()/10000000,0))</f>
        <v>0</v>
      </c>
      <c r="Q4499" s="47" t="n">
        <f aca="false">IF(OR($A4499="",C4499=""),0,IF(COUNTIF($C$2:C4499,C4499)=1,SUMIF($C$2:$C$5001,C4499,$H$2:$H$5001)+ROW()/10000000,0))</f>
        <v>0</v>
      </c>
    </row>
    <row r="4500" customFormat="false" ht="15" hidden="false" customHeight="false" outlineLevel="0" collapsed="false">
      <c r="A4500" s="43"/>
      <c r="B4500" s="44"/>
      <c r="C4500" s="44"/>
      <c r="D4500" s="44"/>
      <c r="E4500" s="44"/>
      <c r="F4500" s="44"/>
      <c r="G4500" s="44"/>
      <c r="H4500" s="46" t="str">
        <f aca="false">IF($A4500="","",IF(OR(NOT(ISNUMBER(E4500)),NOT(ISNUMBER(F4500))),"",MAX(0,E4500)*F4500))</f>
        <v/>
      </c>
      <c r="I4500" s="46" t="str">
        <f aca="false">IF($A4500="","",SUMIF($A$2:$A$5001,$A4500,$H$2:$H$5001))</f>
        <v/>
      </c>
      <c r="J4500" s="47" t="n">
        <f aca="false">IF($A4500="",0,IF(COUNTIF($A$2:A4500,$A4500)=1,1,0))</f>
        <v>0</v>
      </c>
      <c r="K4500" s="47" t="n">
        <f aca="false">IF(J4500=1,N(I4500)+ROW()/10000000,0)</f>
        <v>0</v>
      </c>
      <c r="L4500" s="47" t="str">
        <f aca="false">IF(AND(J4500=1,N(I4500)&gt;0),SUMIF($K$2:$K$5001,"&gt;="&amp;K4500,$I$2:$I$5001)/MAX(1,SUM($H$2:$H$5001)),"")</f>
        <v/>
      </c>
      <c r="M4500" s="47" t="str">
        <f aca="false">IF($A4500="","",INDEX($L$2:$L$5001,MATCH($A4500,$A$2:$A$5001,0)))</f>
        <v/>
      </c>
      <c r="N4500" s="48" t="str">
        <f aca="false">IF($A4500="","",IF(N(M4500)=0,"–",IF(M4500&lt;=Start!$D$20,"A",IF(M4500&lt;=Start!$D$21,"B","C"))))</f>
        <v/>
      </c>
      <c r="O4500" s="48" t="str">
        <f aca="false">IF($A4500="","",IF(NOT(ISNUMBER(F4500)),"Wert fehlt; ",IF(F4500&lt;=0,"Wert ist 0; ",""))&amp;IF(NOT(ISNUMBER(E4500)),"Bestand fehlt; ",IF(E4500&lt;0,"Bestand negativ; ",IF(E4500=0,"Nullbestand; ","")))&amp;IF(D4500="","Warengruppe fehlt; ","")&amp;IF(B4500="","Bezeichnung fehlt; ","")&amp;IF(COUNTIFS($A$2:$A$5001,$A4500,$C$2:$C$5001,C4500)&gt;1,"Artikel doppelt im selben Lager; ",""))</f>
        <v/>
      </c>
      <c r="P4500" s="47" t="n">
        <f aca="false">IF(OR($A4500="",D4500=""),0,IF(COUNTIF($D$2:D4500,D4500)=1,SUMIF($D$2:$D$5001,D4500,$H$2:$H$5001)+ROW()/10000000,0))</f>
        <v>0</v>
      </c>
      <c r="Q4500" s="47" t="n">
        <f aca="false">IF(OR($A4500="",C4500=""),0,IF(COUNTIF($C$2:C4500,C4500)=1,SUMIF($C$2:$C$5001,C4500,$H$2:$H$5001)+ROW()/10000000,0))</f>
        <v>0</v>
      </c>
    </row>
    <row r="4501" customFormat="false" ht="15" hidden="false" customHeight="false" outlineLevel="0" collapsed="false">
      <c r="A4501" s="43"/>
      <c r="B4501" s="44"/>
      <c r="C4501" s="44"/>
      <c r="D4501" s="44"/>
      <c r="E4501" s="44"/>
      <c r="F4501" s="44"/>
      <c r="G4501" s="44"/>
      <c r="H4501" s="46" t="str">
        <f aca="false">IF($A4501="","",IF(OR(NOT(ISNUMBER(E4501)),NOT(ISNUMBER(F4501))),"",MAX(0,E4501)*F4501))</f>
        <v/>
      </c>
      <c r="I4501" s="46" t="str">
        <f aca="false">IF($A4501="","",SUMIF($A$2:$A$5001,$A4501,$H$2:$H$5001))</f>
        <v/>
      </c>
      <c r="J4501" s="47" t="n">
        <f aca="false">IF($A4501="",0,IF(COUNTIF($A$2:A4501,$A4501)=1,1,0))</f>
        <v>0</v>
      </c>
      <c r="K4501" s="47" t="n">
        <f aca="false">IF(J4501=1,N(I4501)+ROW()/10000000,0)</f>
        <v>0</v>
      </c>
      <c r="L4501" s="47" t="str">
        <f aca="false">IF(AND(J4501=1,N(I4501)&gt;0),SUMIF($K$2:$K$5001,"&gt;="&amp;K4501,$I$2:$I$5001)/MAX(1,SUM($H$2:$H$5001)),"")</f>
        <v/>
      </c>
      <c r="M4501" s="47" t="str">
        <f aca="false">IF($A4501="","",INDEX($L$2:$L$5001,MATCH($A4501,$A$2:$A$5001,0)))</f>
        <v/>
      </c>
      <c r="N4501" s="48" t="str">
        <f aca="false">IF($A4501="","",IF(N(M4501)=0,"–",IF(M4501&lt;=Start!$D$20,"A",IF(M4501&lt;=Start!$D$21,"B","C"))))</f>
        <v/>
      </c>
      <c r="O4501" s="48" t="str">
        <f aca="false">IF($A4501="","",IF(NOT(ISNUMBER(F4501)),"Wert fehlt; ",IF(F4501&lt;=0,"Wert ist 0; ",""))&amp;IF(NOT(ISNUMBER(E4501)),"Bestand fehlt; ",IF(E4501&lt;0,"Bestand negativ; ",IF(E4501=0,"Nullbestand; ","")))&amp;IF(D4501="","Warengruppe fehlt; ","")&amp;IF(B4501="","Bezeichnung fehlt; ","")&amp;IF(COUNTIFS($A$2:$A$5001,$A4501,$C$2:$C$5001,C4501)&gt;1,"Artikel doppelt im selben Lager; ",""))</f>
        <v/>
      </c>
      <c r="P4501" s="47" t="n">
        <f aca="false">IF(OR($A4501="",D4501=""),0,IF(COUNTIF($D$2:D4501,D4501)=1,SUMIF($D$2:$D$5001,D4501,$H$2:$H$5001)+ROW()/10000000,0))</f>
        <v>0</v>
      </c>
      <c r="Q4501" s="47" t="n">
        <f aca="false">IF(OR($A4501="",C4501=""),0,IF(COUNTIF($C$2:C4501,C4501)=1,SUMIF($C$2:$C$5001,C4501,$H$2:$H$5001)+ROW()/10000000,0))</f>
        <v>0</v>
      </c>
    </row>
    <row r="4502" customFormat="false" ht="15" hidden="false" customHeight="false" outlineLevel="0" collapsed="false">
      <c r="A4502" s="43"/>
      <c r="B4502" s="44"/>
      <c r="C4502" s="44"/>
      <c r="D4502" s="44"/>
      <c r="E4502" s="44"/>
      <c r="F4502" s="44"/>
      <c r="G4502" s="44"/>
      <c r="H4502" s="46" t="str">
        <f aca="false">IF($A4502="","",IF(OR(NOT(ISNUMBER(E4502)),NOT(ISNUMBER(F4502))),"",MAX(0,E4502)*F4502))</f>
        <v/>
      </c>
      <c r="I4502" s="46" t="str">
        <f aca="false">IF($A4502="","",SUMIF($A$2:$A$5001,$A4502,$H$2:$H$5001))</f>
        <v/>
      </c>
      <c r="J4502" s="47" t="n">
        <f aca="false">IF($A4502="",0,IF(COUNTIF($A$2:A4502,$A4502)=1,1,0))</f>
        <v>0</v>
      </c>
      <c r="K4502" s="47" t="n">
        <f aca="false">IF(J4502=1,N(I4502)+ROW()/10000000,0)</f>
        <v>0</v>
      </c>
      <c r="L4502" s="47" t="str">
        <f aca="false">IF(AND(J4502=1,N(I4502)&gt;0),SUMIF($K$2:$K$5001,"&gt;="&amp;K4502,$I$2:$I$5001)/MAX(1,SUM($H$2:$H$5001)),"")</f>
        <v/>
      </c>
      <c r="M4502" s="47" t="str">
        <f aca="false">IF($A4502="","",INDEX($L$2:$L$5001,MATCH($A4502,$A$2:$A$5001,0)))</f>
        <v/>
      </c>
      <c r="N4502" s="48" t="str">
        <f aca="false">IF($A4502="","",IF(N(M4502)=0,"–",IF(M4502&lt;=Start!$D$20,"A",IF(M4502&lt;=Start!$D$21,"B","C"))))</f>
        <v/>
      </c>
      <c r="O4502" s="48" t="str">
        <f aca="false">IF($A4502="","",IF(NOT(ISNUMBER(F4502)),"Wert fehlt; ",IF(F4502&lt;=0,"Wert ist 0; ",""))&amp;IF(NOT(ISNUMBER(E4502)),"Bestand fehlt; ",IF(E4502&lt;0,"Bestand negativ; ",IF(E4502=0,"Nullbestand; ","")))&amp;IF(D4502="","Warengruppe fehlt; ","")&amp;IF(B4502="","Bezeichnung fehlt; ","")&amp;IF(COUNTIFS($A$2:$A$5001,$A4502,$C$2:$C$5001,C4502)&gt;1,"Artikel doppelt im selben Lager; ",""))</f>
        <v/>
      </c>
      <c r="P4502" s="47" t="n">
        <f aca="false">IF(OR($A4502="",D4502=""),0,IF(COUNTIF($D$2:D4502,D4502)=1,SUMIF($D$2:$D$5001,D4502,$H$2:$H$5001)+ROW()/10000000,0))</f>
        <v>0</v>
      </c>
      <c r="Q4502" s="47" t="n">
        <f aca="false">IF(OR($A4502="",C4502=""),0,IF(COUNTIF($C$2:C4502,C4502)=1,SUMIF($C$2:$C$5001,C4502,$H$2:$H$5001)+ROW()/10000000,0))</f>
        <v>0</v>
      </c>
    </row>
    <row r="4503" customFormat="false" ht="15" hidden="false" customHeight="false" outlineLevel="0" collapsed="false">
      <c r="A4503" s="43"/>
      <c r="B4503" s="44"/>
      <c r="C4503" s="44"/>
      <c r="D4503" s="44"/>
      <c r="E4503" s="44"/>
      <c r="F4503" s="44"/>
      <c r="G4503" s="44"/>
      <c r="H4503" s="46" t="str">
        <f aca="false">IF($A4503="","",IF(OR(NOT(ISNUMBER(E4503)),NOT(ISNUMBER(F4503))),"",MAX(0,E4503)*F4503))</f>
        <v/>
      </c>
      <c r="I4503" s="46" t="str">
        <f aca="false">IF($A4503="","",SUMIF($A$2:$A$5001,$A4503,$H$2:$H$5001))</f>
        <v/>
      </c>
      <c r="J4503" s="47" t="n">
        <f aca="false">IF($A4503="",0,IF(COUNTIF($A$2:A4503,$A4503)=1,1,0))</f>
        <v>0</v>
      </c>
      <c r="K4503" s="47" t="n">
        <f aca="false">IF(J4503=1,N(I4503)+ROW()/10000000,0)</f>
        <v>0</v>
      </c>
      <c r="L4503" s="47" t="str">
        <f aca="false">IF(AND(J4503=1,N(I4503)&gt;0),SUMIF($K$2:$K$5001,"&gt;="&amp;K4503,$I$2:$I$5001)/MAX(1,SUM($H$2:$H$5001)),"")</f>
        <v/>
      </c>
      <c r="M4503" s="47" t="str">
        <f aca="false">IF($A4503="","",INDEX($L$2:$L$5001,MATCH($A4503,$A$2:$A$5001,0)))</f>
        <v/>
      </c>
      <c r="N4503" s="48" t="str">
        <f aca="false">IF($A4503="","",IF(N(M4503)=0,"–",IF(M4503&lt;=Start!$D$20,"A",IF(M4503&lt;=Start!$D$21,"B","C"))))</f>
        <v/>
      </c>
      <c r="O4503" s="48" t="str">
        <f aca="false">IF($A4503="","",IF(NOT(ISNUMBER(F4503)),"Wert fehlt; ",IF(F4503&lt;=0,"Wert ist 0; ",""))&amp;IF(NOT(ISNUMBER(E4503)),"Bestand fehlt; ",IF(E4503&lt;0,"Bestand negativ; ",IF(E4503=0,"Nullbestand; ","")))&amp;IF(D4503="","Warengruppe fehlt; ","")&amp;IF(B4503="","Bezeichnung fehlt; ","")&amp;IF(COUNTIFS($A$2:$A$5001,$A4503,$C$2:$C$5001,C4503)&gt;1,"Artikel doppelt im selben Lager; ",""))</f>
        <v/>
      </c>
      <c r="P4503" s="47" t="n">
        <f aca="false">IF(OR($A4503="",D4503=""),0,IF(COUNTIF($D$2:D4503,D4503)=1,SUMIF($D$2:$D$5001,D4503,$H$2:$H$5001)+ROW()/10000000,0))</f>
        <v>0</v>
      </c>
      <c r="Q4503" s="47" t="n">
        <f aca="false">IF(OR($A4503="",C4503=""),0,IF(COUNTIF($C$2:C4503,C4503)=1,SUMIF($C$2:$C$5001,C4503,$H$2:$H$5001)+ROW()/10000000,0))</f>
        <v>0</v>
      </c>
    </row>
    <row r="4504" customFormat="false" ht="15" hidden="false" customHeight="false" outlineLevel="0" collapsed="false">
      <c r="A4504" s="43"/>
      <c r="B4504" s="44"/>
      <c r="C4504" s="44"/>
      <c r="D4504" s="44"/>
      <c r="E4504" s="44"/>
      <c r="F4504" s="44"/>
      <c r="G4504" s="44"/>
      <c r="H4504" s="46" t="str">
        <f aca="false">IF($A4504="","",IF(OR(NOT(ISNUMBER(E4504)),NOT(ISNUMBER(F4504))),"",MAX(0,E4504)*F4504))</f>
        <v/>
      </c>
      <c r="I4504" s="46" t="str">
        <f aca="false">IF($A4504="","",SUMIF($A$2:$A$5001,$A4504,$H$2:$H$5001))</f>
        <v/>
      </c>
      <c r="J4504" s="47" t="n">
        <f aca="false">IF($A4504="",0,IF(COUNTIF($A$2:A4504,$A4504)=1,1,0))</f>
        <v>0</v>
      </c>
      <c r="K4504" s="47" t="n">
        <f aca="false">IF(J4504=1,N(I4504)+ROW()/10000000,0)</f>
        <v>0</v>
      </c>
      <c r="L4504" s="47" t="str">
        <f aca="false">IF(AND(J4504=1,N(I4504)&gt;0),SUMIF($K$2:$K$5001,"&gt;="&amp;K4504,$I$2:$I$5001)/MAX(1,SUM($H$2:$H$5001)),"")</f>
        <v/>
      </c>
      <c r="M4504" s="47" t="str">
        <f aca="false">IF($A4504="","",INDEX($L$2:$L$5001,MATCH($A4504,$A$2:$A$5001,0)))</f>
        <v/>
      </c>
      <c r="N4504" s="48" t="str">
        <f aca="false">IF($A4504="","",IF(N(M4504)=0,"–",IF(M4504&lt;=Start!$D$20,"A",IF(M4504&lt;=Start!$D$21,"B","C"))))</f>
        <v/>
      </c>
      <c r="O4504" s="48" t="str">
        <f aca="false">IF($A4504="","",IF(NOT(ISNUMBER(F4504)),"Wert fehlt; ",IF(F4504&lt;=0,"Wert ist 0; ",""))&amp;IF(NOT(ISNUMBER(E4504)),"Bestand fehlt; ",IF(E4504&lt;0,"Bestand negativ; ",IF(E4504=0,"Nullbestand; ","")))&amp;IF(D4504="","Warengruppe fehlt; ","")&amp;IF(B4504="","Bezeichnung fehlt; ","")&amp;IF(COUNTIFS($A$2:$A$5001,$A4504,$C$2:$C$5001,C4504)&gt;1,"Artikel doppelt im selben Lager; ",""))</f>
        <v/>
      </c>
      <c r="P4504" s="47" t="n">
        <f aca="false">IF(OR($A4504="",D4504=""),0,IF(COUNTIF($D$2:D4504,D4504)=1,SUMIF($D$2:$D$5001,D4504,$H$2:$H$5001)+ROW()/10000000,0))</f>
        <v>0</v>
      </c>
      <c r="Q4504" s="47" t="n">
        <f aca="false">IF(OR($A4504="",C4504=""),0,IF(COUNTIF($C$2:C4504,C4504)=1,SUMIF($C$2:$C$5001,C4504,$H$2:$H$5001)+ROW()/10000000,0))</f>
        <v>0</v>
      </c>
    </row>
    <row r="4505" customFormat="false" ht="15" hidden="false" customHeight="false" outlineLevel="0" collapsed="false">
      <c r="A4505" s="43"/>
      <c r="B4505" s="44"/>
      <c r="C4505" s="44"/>
      <c r="D4505" s="44"/>
      <c r="E4505" s="44"/>
      <c r="F4505" s="44"/>
      <c r="G4505" s="44"/>
      <c r="H4505" s="46" t="str">
        <f aca="false">IF($A4505="","",IF(OR(NOT(ISNUMBER(E4505)),NOT(ISNUMBER(F4505))),"",MAX(0,E4505)*F4505))</f>
        <v/>
      </c>
      <c r="I4505" s="46" t="str">
        <f aca="false">IF($A4505="","",SUMIF($A$2:$A$5001,$A4505,$H$2:$H$5001))</f>
        <v/>
      </c>
      <c r="J4505" s="47" t="n">
        <f aca="false">IF($A4505="",0,IF(COUNTIF($A$2:A4505,$A4505)=1,1,0))</f>
        <v>0</v>
      </c>
      <c r="K4505" s="47" t="n">
        <f aca="false">IF(J4505=1,N(I4505)+ROW()/10000000,0)</f>
        <v>0</v>
      </c>
      <c r="L4505" s="47" t="str">
        <f aca="false">IF(AND(J4505=1,N(I4505)&gt;0),SUMIF($K$2:$K$5001,"&gt;="&amp;K4505,$I$2:$I$5001)/MAX(1,SUM($H$2:$H$5001)),"")</f>
        <v/>
      </c>
      <c r="M4505" s="47" t="str">
        <f aca="false">IF($A4505="","",INDEX($L$2:$L$5001,MATCH($A4505,$A$2:$A$5001,0)))</f>
        <v/>
      </c>
      <c r="N4505" s="48" t="str">
        <f aca="false">IF($A4505="","",IF(N(M4505)=0,"–",IF(M4505&lt;=Start!$D$20,"A",IF(M4505&lt;=Start!$D$21,"B","C"))))</f>
        <v/>
      </c>
      <c r="O4505" s="48" t="str">
        <f aca="false">IF($A4505="","",IF(NOT(ISNUMBER(F4505)),"Wert fehlt; ",IF(F4505&lt;=0,"Wert ist 0; ",""))&amp;IF(NOT(ISNUMBER(E4505)),"Bestand fehlt; ",IF(E4505&lt;0,"Bestand negativ; ",IF(E4505=0,"Nullbestand; ","")))&amp;IF(D4505="","Warengruppe fehlt; ","")&amp;IF(B4505="","Bezeichnung fehlt; ","")&amp;IF(COUNTIFS($A$2:$A$5001,$A4505,$C$2:$C$5001,C4505)&gt;1,"Artikel doppelt im selben Lager; ",""))</f>
        <v/>
      </c>
      <c r="P4505" s="47" t="n">
        <f aca="false">IF(OR($A4505="",D4505=""),0,IF(COUNTIF($D$2:D4505,D4505)=1,SUMIF($D$2:$D$5001,D4505,$H$2:$H$5001)+ROW()/10000000,0))</f>
        <v>0</v>
      </c>
      <c r="Q4505" s="47" t="n">
        <f aca="false">IF(OR($A4505="",C4505=""),0,IF(COUNTIF($C$2:C4505,C4505)=1,SUMIF($C$2:$C$5001,C4505,$H$2:$H$5001)+ROW()/10000000,0))</f>
        <v>0</v>
      </c>
    </row>
    <row r="4506" customFormat="false" ht="15" hidden="false" customHeight="false" outlineLevel="0" collapsed="false">
      <c r="A4506" s="43"/>
      <c r="B4506" s="44"/>
      <c r="C4506" s="44"/>
      <c r="D4506" s="44"/>
      <c r="E4506" s="44"/>
      <c r="F4506" s="44"/>
      <c r="G4506" s="44"/>
      <c r="H4506" s="46" t="str">
        <f aca="false">IF($A4506="","",IF(OR(NOT(ISNUMBER(E4506)),NOT(ISNUMBER(F4506))),"",MAX(0,E4506)*F4506))</f>
        <v/>
      </c>
      <c r="I4506" s="46" t="str">
        <f aca="false">IF($A4506="","",SUMIF($A$2:$A$5001,$A4506,$H$2:$H$5001))</f>
        <v/>
      </c>
      <c r="J4506" s="47" t="n">
        <f aca="false">IF($A4506="",0,IF(COUNTIF($A$2:A4506,$A4506)=1,1,0))</f>
        <v>0</v>
      </c>
      <c r="K4506" s="47" t="n">
        <f aca="false">IF(J4506=1,N(I4506)+ROW()/10000000,0)</f>
        <v>0</v>
      </c>
      <c r="L4506" s="47" t="str">
        <f aca="false">IF(AND(J4506=1,N(I4506)&gt;0),SUMIF($K$2:$K$5001,"&gt;="&amp;K4506,$I$2:$I$5001)/MAX(1,SUM($H$2:$H$5001)),"")</f>
        <v/>
      </c>
      <c r="M4506" s="47" t="str">
        <f aca="false">IF($A4506="","",INDEX($L$2:$L$5001,MATCH($A4506,$A$2:$A$5001,0)))</f>
        <v/>
      </c>
      <c r="N4506" s="48" t="str">
        <f aca="false">IF($A4506="","",IF(N(M4506)=0,"–",IF(M4506&lt;=Start!$D$20,"A",IF(M4506&lt;=Start!$D$21,"B","C"))))</f>
        <v/>
      </c>
      <c r="O4506" s="48" t="str">
        <f aca="false">IF($A4506="","",IF(NOT(ISNUMBER(F4506)),"Wert fehlt; ",IF(F4506&lt;=0,"Wert ist 0; ",""))&amp;IF(NOT(ISNUMBER(E4506)),"Bestand fehlt; ",IF(E4506&lt;0,"Bestand negativ; ",IF(E4506=0,"Nullbestand; ","")))&amp;IF(D4506="","Warengruppe fehlt; ","")&amp;IF(B4506="","Bezeichnung fehlt; ","")&amp;IF(COUNTIFS($A$2:$A$5001,$A4506,$C$2:$C$5001,C4506)&gt;1,"Artikel doppelt im selben Lager; ",""))</f>
        <v/>
      </c>
      <c r="P4506" s="47" t="n">
        <f aca="false">IF(OR($A4506="",D4506=""),0,IF(COUNTIF($D$2:D4506,D4506)=1,SUMIF($D$2:$D$5001,D4506,$H$2:$H$5001)+ROW()/10000000,0))</f>
        <v>0</v>
      </c>
      <c r="Q4506" s="47" t="n">
        <f aca="false">IF(OR($A4506="",C4506=""),0,IF(COUNTIF($C$2:C4506,C4506)=1,SUMIF($C$2:$C$5001,C4506,$H$2:$H$5001)+ROW()/10000000,0))</f>
        <v>0</v>
      </c>
    </row>
    <row r="4507" customFormat="false" ht="15" hidden="false" customHeight="false" outlineLevel="0" collapsed="false">
      <c r="A4507" s="43"/>
      <c r="B4507" s="44"/>
      <c r="C4507" s="44"/>
      <c r="D4507" s="44"/>
      <c r="E4507" s="44"/>
      <c r="F4507" s="44"/>
      <c r="G4507" s="44"/>
      <c r="H4507" s="46" t="str">
        <f aca="false">IF($A4507="","",IF(OR(NOT(ISNUMBER(E4507)),NOT(ISNUMBER(F4507))),"",MAX(0,E4507)*F4507))</f>
        <v/>
      </c>
      <c r="I4507" s="46" t="str">
        <f aca="false">IF($A4507="","",SUMIF($A$2:$A$5001,$A4507,$H$2:$H$5001))</f>
        <v/>
      </c>
      <c r="J4507" s="47" t="n">
        <f aca="false">IF($A4507="",0,IF(COUNTIF($A$2:A4507,$A4507)=1,1,0))</f>
        <v>0</v>
      </c>
      <c r="K4507" s="47" t="n">
        <f aca="false">IF(J4507=1,N(I4507)+ROW()/10000000,0)</f>
        <v>0</v>
      </c>
      <c r="L4507" s="47" t="str">
        <f aca="false">IF(AND(J4507=1,N(I4507)&gt;0),SUMIF($K$2:$K$5001,"&gt;="&amp;K4507,$I$2:$I$5001)/MAX(1,SUM($H$2:$H$5001)),"")</f>
        <v/>
      </c>
      <c r="M4507" s="47" t="str">
        <f aca="false">IF($A4507="","",INDEX($L$2:$L$5001,MATCH($A4507,$A$2:$A$5001,0)))</f>
        <v/>
      </c>
      <c r="N4507" s="48" t="str">
        <f aca="false">IF($A4507="","",IF(N(M4507)=0,"–",IF(M4507&lt;=Start!$D$20,"A",IF(M4507&lt;=Start!$D$21,"B","C"))))</f>
        <v/>
      </c>
      <c r="O4507" s="48" t="str">
        <f aca="false">IF($A4507="","",IF(NOT(ISNUMBER(F4507)),"Wert fehlt; ",IF(F4507&lt;=0,"Wert ist 0; ",""))&amp;IF(NOT(ISNUMBER(E4507)),"Bestand fehlt; ",IF(E4507&lt;0,"Bestand negativ; ",IF(E4507=0,"Nullbestand; ","")))&amp;IF(D4507="","Warengruppe fehlt; ","")&amp;IF(B4507="","Bezeichnung fehlt; ","")&amp;IF(COUNTIFS($A$2:$A$5001,$A4507,$C$2:$C$5001,C4507)&gt;1,"Artikel doppelt im selben Lager; ",""))</f>
        <v/>
      </c>
      <c r="P4507" s="47" t="n">
        <f aca="false">IF(OR($A4507="",D4507=""),0,IF(COUNTIF($D$2:D4507,D4507)=1,SUMIF($D$2:$D$5001,D4507,$H$2:$H$5001)+ROW()/10000000,0))</f>
        <v>0</v>
      </c>
      <c r="Q4507" s="47" t="n">
        <f aca="false">IF(OR($A4507="",C4507=""),0,IF(COUNTIF($C$2:C4507,C4507)=1,SUMIF($C$2:$C$5001,C4507,$H$2:$H$5001)+ROW()/10000000,0))</f>
        <v>0</v>
      </c>
    </row>
    <row r="4508" customFormat="false" ht="15" hidden="false" customHeight="false" outlineLevel="0" collapsed="false">
      <c r="A4508" s="43"/>
      <c r="B4508" s="44"/>
      <c r="C4508" s="44"/>
      <c r="D4508" s="44"/>
      <c r="E4508" s="44"/>
      <c r="F4508" s="44"/>
      <c r="G4508" s="44"/>
      <c r="H4508" s="46" t="str">
        <f aca="false">IF($A4508="","",IF(OR(NOT(ISNUMBER(E4508)),NOT(ISNUMBER(F4508))),"",MAX(0,E4508)*F4508))</f>
        <v/>
      </c>
      <c r="I4508" s="46" t="str">
        <f aca="false">IF($A4508="","",SUMIF($A$2:$A$5001,$A4508,$H$2:$H$5001))</f>
        <v/>
      </c>
      <c r="J4508" s="47" t="n">
        <f aca="false">IF($A4508="",0,IF(COUNTIF($A$2:A4508,$A4508)=1,1,0))</f>
        <v>0</v>
      </c>
      <c r="K4508" s="47" t="n">
        <f aca="false">IF(J4508=1,N(I4508)+ROW()/10000000,0)</f>
        <v>0</v>
      </c>
      <c r="L4508" s="47" t="str">
        <f aca="false">IF(AND(J4508=1,N(I4508)&gt;0),SUMIF($K$2:$K$5001,"&gt;="&amp;K4508,$I$2:$I$5001)/MAX(1,SUM($H$2:$H$5001)),"")</f>
        <v/>
      </c>
      <c r="M4508" s="47" t="str">
        <f aca="false">IF($A4508="","",INDEX($L$2:$L$5001,MATCH($A4508,$A$2:$A$5001,0)))</f>
        <v/>
      </c>
      <c r="N4508" s="48" t="str">
        <f aca="false">IF($A4508="","",IF(N(M4508)=0,"–",IF(M4508&lt;=Start!$D$20,"A",IF(M4508&lt;=Start!$D$21,"B","C"))))</f>
        <v/>
      </c>
      <c r="O4508" s="48" t="str">
        <f aca="false">IF($A4508="","",IF(NOT(ISNUMBER(F4508)),"Wert fehlt; ",IF(F4508&lt;=0,"Wert ist 0; ",""))&amp;IF(NOT(ISNUMBER(E4508)),"Bestand fehlt; ",IF(E4508&lt;0,"Bestand negativ; ",IF(E4508=0,"Nullbestand; ","")))&amp;IF(D4508="","Warengruppe fehlt; ","")&amp;IF(B4508="","Bezeichnung fehlt; ","")&amp;IF(COUNTIFS($A$2:$A$5001,$A4508,$C$2:$C$5001,C4508)&gt;1,"Artikel doppelt im selben Lager; ",""))</f>
        <v/>
      </c>
      <c r="P4508" s="47" t="n">
        <f aca="false">IF(OR($A4508="",D4508=""),0,IF(COUNTIF($D$2:D4508,D4508)=1,SUMIF($D$2:$D$5001,D4508,$H$2:$H$5001)+ROW()/10000000,0))</f>
        <v>0</v>
      </c>
      <c r="Q4508" s="47" t="n">
        <f aca="false">IF(OR($A4508="",C4508=""),0,IF(COUNTIF($C$2:C4508,C4508)=1,SUMIF($C$2:$C$5001,C4508,$H$2:$H$5001)+ROW()/10000000,0))</f>
        <v>0</v>
      </c>
    </row>
    <row r="4509" customFormat="false" ht="15" hidden="false" customHeight="false" outlineLevel="0" collapsed="false">
      <c r="A4509" s="43"/>
      <c r="B4509" s="44"/>
      <c r="C4509" s="44"/>
      <c r="D4509" s="44"/>
      <c r="E4509" s="44"/>
      <c r="F4509" s="44"/>
      <c r="G4509" s="44"/>
      <c r="H4509" s="46" t="str">
        <f aca="false">IF($A4509="","",IF(OR(NOT(ISNUMBER(E4509)),NOT(ISNUMBER(F4509))),"",MAX(0,E4509)*F4509))</f>
        <v/>
      </c>
      <c r="I4509" s="46" t="str">
        <f aca="false">IF($A4509="","",SUMIF($A$2:$A$5001,$A4509,$H$2:$H$5001))</f>
        <v/>
      </c>
      <c r="J4509" s="47" t="n">
        <f aca="false">IF($A4509="",0,IF(COUNTIF($A$2:A4509,$A4509)=1,1,0))</f>
        <v>0</v>
      </c>
      <c r="K4509" s="47" t="n">
        <f aca="false">IF(J4509=1,N(I4509)+ROW()/10000000,0)</f>
        <v>0</v>
      </c>
      <c r="L4509" s="47" t="str">
        <f aca="false">IF(AND(J4509=1,N(I4509)&gt;0),SUMIF($K$2:$K$5001,"&gt;="&amp;K4509,$I$2:$I$5001)/MAX(1,SUM($H$2:$H$5001)),"")</f>
        <v/>
      </c>
      <c r="M4509" s="47" t="str">
        <f aca="false">IF($A4509="","",INDEX($L$2:$L$5001,MATCH($A4509,$A$2:$A$5001,0)))</f>
        <v/>
      </c>
      <c r="N4509" s="48" t="str">
        <f aca="false">IF($A4509="","",IF(N(M4509)=0,"–",IF(M4509&lt;=Start!$D$20,"A",IF(M4509&lt;=Start!$D$21,"B","C"))))</f>
        <v/>
      </c>
      <c r="O4509" s="48" t="str">
        <f aca="false">IF($A4509="","",IF(NOT(ISNUMBER(F4509)),"Wert fehlt; ",IF(F4509&lt;=0,"Wert ist 0; ",""))&amp;IF(NOT(ISNUMBER(E4509)),"Bestand fehlt; ",IF(E4509&lt;0,"Bestand negativ; ",IF(E4509=0,"Nullbestand; ","")))&amp;IF(D4509="","Warengruppe fehlt; ","")&amp;IF(B4509="","Bezeichnung fehlt; ","")&amp;IF(COUNTIFS($A$2:$A$5001,$A4509,$C$2:$C$5001,C4509)&gt;1,"Artikel doppelt im selben Lager; ",""))</f>
        <v/>
      </c>
      <c r="P4509" s="47" t="n">
        <f aca="false">IF(OR($A4509="",D4509=""),0,IF(COUNTIF($D$2:D4509,D4509)=1,SUMIF($D$2:$D$5001,D4509,$H$2:$H$5001)+ROW()/10000000,0))</f>
        <v>0</v>
      </c>
      <c r="Q4509" s="47" t="n">
        <f aca="false">IF(OR($A4509="",C4509=""),0,IF(COUNTIF($C$2:C4509,C4509)=1,SUMIF($C$2:$C$5001,C4509,$H$2:$H$5001)+ROW()/10000000,0))</f>
        <v>0</v>
      </c>
    </row>
    <row r="4510" customFormat="false" ht="15" hidden="false" customHeight="false" outlineLevel="0" collapsed="false">
      <c r="A4510" s="43"/>
      <c r="B4510" s="44"/>
      <c r="C4510" s="44"/>
      <c r="D4510" s="44"/>
      <c r="E4510" s="44"/>
      <c r="F4510" s="44"/>
      <c r="G4510" s="44"/>
      <c r="H4510" s="46" t="str">
        <f aca="false">IF($A4510="","",IF(OR(NOT(ISNUMBER(E4510)),NOT(ISNUMBER(F4510))),"",MAX(0,E4510)*F4510))</f>
        <v/>
      </c>
      <c r="I4510" s="46" t="str">
        <f aca="false">IF($A4510="","",SUMIF($A$2:$A$5001,$A4510,$H$2:$H$5001))</f>
        <v/>
      </c>
      <c r="J4510" s="47" t="n">
        <f aca="false">IF($A4510="",0,IF(COUNTIF($A$2:A4510,$A4510)=1,1,0))</f>
        <v>0</v>
      </c>
      <c r="K4510" s="47" t="n">
        <f aca="false">IF(J4510=1,N(I4510)+ROW()/10000000,0)</f>
        <v>0</v>
      </c>
      <c r="L4510" s="47" t="str">
        <f aca="false">IF(AND(J4510=1,N(I4510)&gt;0),SUMIF($K$2:$K$5001,"&gt;="&amp;K4510,$I$2:$I$5001)/MAX(1,SUM($H$2:$H$5001)),"")</f>
        <v/>
      </c>
      <c r="M4510" s="47" t="str">
        <f aca="false">IF($A4510="","",INDEX($L$2:$L$5001,MATCH($A4510,$A$2:$A$5001,0)))</f>
        <v/>
      </c>
      <c r="N4510" s="48" t="str">
        <f aca="false">IF($A4510="","",IF(N(M4510)=0,"–",IF(M4510&lt;=Start!$D$20,"A",IF(M4510&lt;=Start!$D$21,"B","C"))))</f>
        <v/>
      </c>
      <c r="O4510" s="48" t="str">
        <f aca="false">IF($A4510="","",IF(NOT(ISNUMBER(F4510)),"Wert fehlt; ",IF(F4510&lt;=0,"Wert ist 0; ",""))&amp;IF(NOT(ISNUMBER(E4510)),"Bestand fehlt; ",IF(E4510&lt;0,"Bestand negativ; ",IF(E4510=0,"Nullbestand; ","")))&amp;IF(D4510="","Warengruppe fehlt; ","")&amp;IF(B4510="","Bezeichnung fehlt; ","")&amp;IF(COUNTIFS($A$2:$A$5001,$A4510,$C$2:$C$5001,C4510)&gt;1,"Artikel doppelt im selben Lager; ",""))</f>
        <v/>
      </c>
      <c r="P4510" s="47" t="n">
        <f aca="false">IF(OR($A4510="",D4510=""),0,IF(COUNTIF($D$2:D4510,D4510)=1,SUMIF($D$2:$D$5001,D4510,$H$2:$H$5001)+ROW()/10000000,0))</f>
        <v>0</v>
      </c>
      <c r="Q4510" s="47" t="n">
        <f aca="false">IF(OR($A4510="",C4510=""),0,IF(COUNTIF($C$2:C4510,C4510)=1,SUMIF($C$2:$C$5001,C4510,$H$2:$H$5001)+ROW()/10000000,0))</f>
        <v>0</v>
      </c>
    </row>
    <row r="4511" customFormat="false" ht="15" hidden="false" customHeight="false" outlineLevel="0" collapsed="false">
      <c r="A4511" s="43"/>
      <c r="B4511" s="44"/>
      <c r="C4511" s="44"/>
      <c r="D4511" s="44"/>
      <c r="E4511" s="44"/>
      <c r="F4511" s="44"/>
      <c r="G4511" s="44"/>
      <c r="H4511" s="46" t="str">
        <f aca="false">IF($A4511="","",IF(OR(NOT(ISNUMBER(E4511)),NOT(ISNUMBER(F4511))),"",MAX(0,E4511)*F4511))</f>
        <v/>
      </c>
      <c r="I4511" s="46" t="str">
        <f aca="false">IF($A4511="","",SUMIF($A$2:$A$5001,$A4511,$H$2:$H$5001))</f>
        <v/>
      </c>
      <c r="J4511" s="47" t="n">
        <f aca="false">IF($A4511="",0,IF(COUNTIF($A$2:A4511,$A4511)=1,1,0))</f>
        <v>0</v>
      </c>
      <c r="K4511" s="47" t="n">
        <f aca="false">IF(J4511=1,N(I4511)+ROW()/10000000,0)</f>
        <v>0</v>
      </c>
      <c r="L4511" s="47" t="str">
        <f aca="false">IF(AND(J4511=1,N(I4511)&gt;0),SUMIF($K$2:$K$5001,"&gt;="&amp;K4511,$I$2:$I$5001)/MAX(1,SUM($H$2:$H$5001)),"")</f>
        <v/>
      </c>
      <c r="M4511" s="47" t="str">
        <f aca="false">IF($A4511="","",INDEX($L$2:$L$5001,MATCH($A4511,$A$2:$A$5001,0)))</f>
        <v/>
      </c>
      <c r="N4511" s="48" t="str">
        <f aca="false">IF($A4511="","",IF(N(M4511)=0,"–",IF(M4511&lt;=Start!$D$20,"A",IF(M4511&lt;=Start!$D$21,"B","C"))))</f>
        <v/>
      </c>
      <c r="O4511" s="48" t="str">
        <f aca="false">IF($A4511="","",IF(NOT(ISNUMBER(F4511)),"Wert fehlt; ",IF(F4511&lt;=0,"Wert ist 0; ",""))&amp;IF(NOT(ISNUMBER(E4511)),"Bestand fehlt; ",IF(E4511&lt;0,"Bestand negativ; ",IF(E4511=0,"Nullbestand; ","")))&amp;IF(D4511="","Warengruppe fehlt; ","")&amp;IF(B4511="","Bezeichnung fehlt; ","")&amp;IF(COUNTIFS($A$2:$A$5001,$A4511,$C$2:$C$5001,C4511)&gt;1,"Artikel doppelt im selben Lager; ",""))</f>
        <v/>
      </c>
      <c r="P4511" s="47" t="n">
        <f aca="false">IF(OR($A4511="",D4511=""),0,IF(COUNTIF($D$2:D4511,D4511)=1,SUMIF($D$2:$D$5001,D4511,$H$2:$H$5001)+ROW()/10000000,0))</f>
        <v>0</v>
      </c>
      <c r="Q4511" s="47" t="n">
        <f aca="false">IF(OR($A4511="",C4511=""),0,IF(COUNTIF($C$2:C4511,C4511)=1,SUMIF($C$2:$C$5001,C4511,$H$2:$H$5001)+ROW()/10000000,0))</f>
        <v>0</v>
      </c>
    </row>
    <row r="4512" customFormat="false" ht="15" hidden="false" customHeight="false" outlineLevel="0" collapsed="false">
      <c r="A4512" s="43"/>
      <c r="B4512" s="44"/>
      <c r="C4512" s="44"/>
      <c r="D4512" s="44"/>
      <c r="E4512" s="44"/>
      <c r="F4512" s="44"/>
      <c r="G4512" s="44"/>
      <c r="H4512" s="46" t="str">
        <f aca="false">IF($A4512="","",IF(OR(NOT(ISNUMBER(E4512)),NOT(ISNUMBER(F4512))),"",MAX(0,E4512)*F4512))</f>
        <v/>
      </c>
      <c r="I4512" s="46" t="str">
        <f aca="false">IF($A4512="","",SUMIF($A$2:$A$5001,$A4512,$H$2:$H$5001))</f>
        <v/>
      </c>
      <c r="J4512" s="47" t="n">
        <f aca="false">IF($A4512="",0,IF(COUNTIF($A$2:A4512,$A4512)=1,1,0))</f>
        <v>0</v>
      </c>
      <c r="K4512" s="47" t="n">
        <f aca="false">IF(J4512=1,N(I4512)+ROW()/10000000,0)</f>
        <v>0</v>
      </c>
      <c r="L4512" s="47" t="str">
        <f aca="false">IF(AND(J4512=1,N(I4512)&gt;0),SUMIF($K$2:$K$5001,"&gt;="&amp;K4512,$I$2:$I$5001)/MAX(1,SUM($H$2:$H$5001)),"")</f>
        <v/>
      </c>
      <c r="M4512" s="47" t="str">
        <f aca="false">IF($A4512="","",INDEX($L$2:$L$5001,MATCH($A4512,$A$2:$A$5001,0)))</f>
        <v/>
      </c>
      <c r="N4512" s="48" t="str">
        <f aca="false">IF($A4512="","",IF(N(M4512)=0,"–",IF(M4512&lt;=Start!$D$20,"A",IF(M4512&lt;=Start!$D$21,"B","C"))))</f>
        <v/>
      </c>
      <c r="O4512" s="48" t="str">
        <f aca="false">IF($A4512="","",IF(NOT(ISNUMBER(F4512)),"Wert fehlt; ",IF(F4512&lt;=0,"Wert ist 0; ",""))&amp;IF(NOT(ISNUMBER(E4512)),"Bestand fehlt; ",IF(E4512&lt;0,"Bestand negativ; ",IF(E4512=0,"Nullbestand; ","")))&amp;IF(D4512="","Warengruppe fehlt; ","")&amp;IF(B4512="","Bezeichnung fehlt; ","")&amp;IF(COUNTIFS($A$2:$A$5001,$A4512,$C$2:$C$5001,C4512)&gt;1,"Artikel doppelt im selben Lager; ",""))</f>
        <v/>
      </c>
      <c r="P4512" s="47" t="n">
        <f aca="false">IF(OR($A4512="",D4512=""),0,IF(COUNTIF($D$2:D4512,D4512)=1,SUMIF($D$2:$D$5001,D4512,$H$2:$H$5001)+ROW()/10000000,0))</f>
        <v>0</v>
      </c>
      <c r="Q4512" s="47" t="n">
        <f aca="false">IF(OR($A4512="",C4512=""),0,IF(COUNTIF($C$2:C4512,C4512)=1,SUMIF($C$2:$C$5001,C4512,$H$2:$H$5001)+ROW()/10000000,0))</f>
        <v>0</v>
      </c>
    </row>
    <row r="4513" customFormat="false" ht="15" hidden="false" customHeight="false" outlineLevel="0" collapsed="false">
      <c r="A4513" s="43"/>
      <c r="B4513" s="44"/>
      <c r="C4513" s="44"/>
      <c r="D4513" s="44"/>
      <c r="E4513" s="44"/>
      <c r="F4513" s="44"/>
      <c r="G4513" s="44"/>
      <c r="H4513" s="46" t="str">
        <f aca="false">IF($A4513="","",IF(OR(NOT(ISNUMBER(E4513)),NOT(ISNUMBER(F4513))),"",MAX(0,E4513)*F4513))</f>
        <v/>
      </c>
      <c r="I4513" s="46" t="str">
        <f aca="false">IF($A4513="","",SUMIF($A$2:$A$5001,$A4513,$H$2:$H$5001))</f>
        <v/>
      </c>
      <c r="J4513" s="47" t="n">
        <f aca="false">IF($A4513="",0,IF(COUNTIF($A$2:A4513,$A4513)=1,1,0))</f>
        <v>0</v>
      </c>
      <c r="K4513" s="47" t="n">
        <f aca="false">IF(J4513=1,N(I4513)+ROW()/10000000,0)</f>
        <v>0</v>
      </c>
      <c r="L4513" s="47" t="str">
        <f aca="false">IF(AND(J4513=1,N(I4513)&gt;0),SUMIF($K$2:$K$5001,"&gt;="&amp;K4513,$I$2:$I$5001)/MAX(1,SUM($H$2:$H$5001)),"")</f>
        <v/>
      </c>
      <c r="M4513" s="47" t="str">
        <f aca="false">IF($A4513="","",INDEX($L$2:$L$5001,MATCH($A4513,$A$2:$A$5001,0)))</f>
        <v/>
      </c>
      <c r="N4513" s="48" t="str">
        <f aca="false">IF($A4513="","",IF(N(M4513)=0,"–",IF(M4513&lt;=Start!$D$20,"A",IF(M4513&lt;=Start!$D$21,"B","C"))))</f>
        <v/>
      </c>
      <c r="O4513" s="48" t="str">
        <f aca="false">IF($A4513="","",IF(NOT(ISNUMBER(F4513)),"Wert fehlt; ",IF(F4513&lt;=0,"Wert ist 0; ",""))&amp;IF(NOT(ISNUMBER(E4513)),"Bestand fehlt; ",IF(E4513&lt;0,"Bestand negativ; ",IF(E4513=0,"Nullbestand; ","")))&amp;IF(D4513="","Warengruppe fehlt; ","")&amp;IF(B4513="","Bezeichnung fehlt; ","")&amp;IF(COUNTIFS($A$2:$A$5001,$A4513,$C$2:$C$5001,C4513)&gt;1,"Artikel doppelt im selben Lager; ",""))</f>
        <v/>
      </c>
      <c r="P4513" s="47" t="n">
        <f aca="false">IF(OR($A4513="",D4513=""),0,IF(COUNTIF($D$2:D4513,D4513)=1,SUMIF($D$2:$D$5001,D4513,$H$2:$H$5001)+ROW()/10000000,0))</f>
        <v>0</v>
      </c>
      <c r="Q4513" s="47" t="n">
        <f aca="false">IF(OR($A4513="",C4513=""),0,IF(COUNTIF($C$2:C4513,C4513)=1,SUMIF($C$2:$C$5001,C4513,$H$2:$H$5001)+ROW()/10000000,0))</f>
        <v>0</v>
      </c>
    </row>
    <row r="4514" customFormat="false" ht="15" hidden="false" customHeight="false" outlineLevel="0" collapsed="false">
      <c r="A4514" s="43"/>
      <c r="B4514" s="44"/>
      <c r="C4514" s="44"/>
      <c r="D4514" s="44"/>
      <c r="E4514" s="44"/>
      <c r="F4514" s="44"/>
      <c r="G4514" s="44"/>
      <c r="H4514" s="46" t="str">
        <f aca="false">IF($A4514="","",IF(OR(NOT(ISNUMBER(E4514)),NOT(ISNUMBER(F4514))),"",MAX(0,E4514)*F4514))</f>
        <v/>
      </c>
      <c r="I4514" s="46" t="str">
        <f aca="false">IF($A4514="","",SUMIF($A$2:$A$5001,$A4514,$H$2:$H$5001))</f>
        <v/>
      </c>
      <c r="J4514" s="47" t="n">
        <f aca="false">IF($A4514="",0,IF(COUNTIF($A$2:A4514,$A4514)=1,1,0))</f>
        <v>0</v>
      </c>
      <c r="K4514" s="47" t="n">
        <f aca="false">IF(J4514=1,N(I4514)+ROW()/10000000,0)</f>
        <v>0</v>
      </c>
      <c r="L4514" s="47" t="str">
        <f aca="false">IF(AND(J4514=1,N(I4514)&gt;0),SUMIF($K$2:$K$5001,"&gt;="&amp;K4514,$I$2:$I$5001)/MAX(1,SUM($H$2:$H$5001)),"")</f>
        <v/>
      </c>
      <c r="M4514" s="47" t="str">
        <f aca="false">IF($A4514="","",INDEX($L$2:$L$5001,MATCH($A4514,$A$2:$A$5001,0)))</f>
        <v/>
      </c>
      <c r="N4514" s="48" t="str">
        <f aca="false">IF($A4514="","",IF(N(M4514)=0,"–",IF(M4514&lt;=Start!$D$20,"A",IF(M4514&lt;=Start!$D$21,"B","C"))))</f>
        <v/>
      </c>
      <c r="O4514" s="48" t="str">
        <f aca="false">IF($A4514="","",IF(NOT(ISNUMBER(F4514)),"Wert fehlt; ",IF(F4514&lt;=0,"Wert ist 0; ",""))&amp;IF(NOT(ISNUMBER(E4514)),"Bestand fehlt; ",IF(E4514&lt;0,"Bestand negativ; ",IF(E4514=0,"Nullbestand; ","")))&amp;IF(D4514="","Warengruppe fehlt; ","")&amp;IF(B4514="","Bezeichnung fehlt; ","")&amp;IF(COUNTIFS($A$2:$A$5001,$A4514,$C$2:$C$5001,C4514)&gt;1,"Artikel doppelt im selben Lager; ",""))</f>
        <v/>
      </c>
      <c r="P4514" s="47" t="n">
        <f aca="false">IF(OR($A4514="",D4514=""),0,IF(COUNTIF($D$2:D4514,D4514)=1,SUMIF($D$2:$D$5001,D4514,$H$2:$H$5001)+ROW()/10000000,0))</f>
        <v>0</v>
      </c>
      <c r="Q4514" s="47" t="n">
        <f aca="false">IF(OR($A4514="",C4514=""),0,IF(COUNTIF($C$2:C4514,C4514)=1,SUMIF($C$2:$C$5001,C4514,$H$2:$H$5001)+ROW()/10000000,0))</f>
        <v>0</v>
      </c>
    </row>
    <row r="4515" customFormat="false" ht="15" hidden="false" customHeight="false" outlineLevel="0" collapsed="false">
      <c r="A4515" s="43"/>
      <c r="B4515" s="44"/>
      <c r="C4515" s="44"/>
      <c r="D4515" s="44"/>
      <c r="E4515" s="44"/>
      <c r="F4515" s="44"/>
      <c r="G4515" s="44"/>
      <c r="H4515" s="46" t="str">
        <f aca="false">IF($A4515="","",IF(OR(NOT(ISNUMBER(E4515)),NOT(ISNUMBER(F4515))),"",MAX(0,E4515)*F4515))</f>
        <v/>
      </c>
      <c r="I4515" s="46" t="str">
        <f aca="false">IF($A4515="","",SUMIF($A$2:$A$5001,$A4515,$H$2:$H$5001))</f>
        <v/>
      </c>
      <c r="J4515" s="47" t="n">
        <f aca="false">IF($A4515="",0,IF(COUNTIF($A$2:A4515,$A4515)=1,1,0))</f>
        <v>0</v>
      </c>
      <c r="K4515" s="47" t="n">
        <f aca="false">IF(J4515=1,N(I4515)+ROW()/10000000,0)</f>
        <v>0</v>
      </c>
      <c r="L4515" s="47" t="str">
        <f aca="false">IF(AND(J4515=1,N(I4515)&gt;0),SUMIF($K$2:$K$5001,"&gt;="&amp;K4515,$I$2:$I$5001)/MAX(1,SUM($H$2:$H$5001)),"")</f>
        <v/>
      </c>
      <c r="M4515" s="47" t="str">
        <f aca="false">IF($A4515="","",INDEX($L$2:$L$5001,MATCH($A4515,$A$2:$A$5001,0)))</f>
        <v/>
      </c>
      <c r="N4515" s="48" t="str">
        <f aca="false">IF($A4515="","",IF(N(M4515)=0,"–",IF(M4515&lt;=Start!$D$20,"A",IF(M4515&lt;=Start!$D$21,"B","C"))))</f>
        <v/>
      </c>
      <c r="O4515" s="48" t="str">
        <f aca="false">IF($A4515="","",IF(NOT(ISNUMBER(F4515)),"Wert fehlt; ",IF(F4515&lt;=0,"Wert ist 0; ",""))&amp;IF(NOT(ISNUMBER(E4515)),"Bestand fehlt; ",IF(E4515&lt;0,"Bestand negativ; ",IF(E4515=0,"Nullbestand; ","")))&amp;IF(D4515="","Warengruppe fehlt; ","")&amp;IF(B4515="","Bezeichnung fehlt; ","")&amp;IF(COUNTIFS($A$2:$A$5001,$A4515,$C$2:$C$5001,C4515)&gt;1,"Artikel doppelt im selben Lager; ",""))</f>
        <v/>
      </c>
      <c r="P4515" s="47" t="n">
        <f aca="false">IF(OR($A4515="",D4515=""),0,IF(COUNTIF($D$2:D4515,D4515)=1,SUMIF($D$2:$D$5001,D4515,$H$2:$H$5001)+ROW()/10000000,0))</f>
        <v>0</v>
      </c>
      <c r="Q4515" s="47" t="n">
        <f aca="false">IF(OR($A4515="",C4515=""),0,IF(COUNTIF($C$2:C4515,C4515)=1,SUMIF($C$2:$C$5001,C4515,$H$2:$H$5001)+ROW()/10000000,0))</f>
        <v>0</v>
      </c>
    </row>
    <row r="4516" customFormat="false" ht="15" hidden="false" customHeight="false" outlineLevel="0" collapsed="false">
      <c r="A4516" s="43"/>
      <c r="B4516" s="44"/>
      <c r="C4516" s="44"/>
      <c r="D4516" s="44"/>
      <c r="E4516" s="44"/>
      <c r="F4516" s="44"/>
      <c r="G4516" s="44"/>
      <c r="H4516" s="46" t="str">
        <f aca="false">IF($A4516="","",IF(OR(NOT(ISNUMBER(E4516)),NOT(ISNUMBER(F4516))),"",MAX(0,E4516)*F4516))</f>
        <v/>
      </c>
      <c r="I4516" s="46" t="str">
        <f aca="false">IF($A4516="","",SUMIF($A$2:$A$5001,$A4516,$H$2:$H$5001))</f>
        <v/>
      </c>
      <c r="J4516" s="47" t="n">
        <f aca="false">IF($A4516="",0,IF(COUNTIF($A$2:A4516,$A4516)=1,1,0))</f>
        <v>0</v>
      </c>
      <c r="K4516" s="47" t="n">
        <f aca="false">IF(J4516=1,N(I4516)+ROW()/10000000,0)</f>
        <v>0</v>
      </c>
      <c r="L4516" s="47" t="str">
        <f aca="false">IF(AND(J4516=1,N(I4516)&gt;0),SUMIF($K$2:$K$5001,"&gt;="&amp;K4516,$I$2:$I$5001)/MAX(1,SUM($H$2:$H$5001)),"")</f>
        <v/>
      </c>
      <c r="M4516" s="47" t="str">
        <f aca="false">IF($A4516="","",INDEX($L$2:$L$5001,MATCH($A4516,$A$2:$A$5001,0)))</f>
        <v/>
      </c>
      <c r="N4516" s="48" t="str">
        <f aca="false">IF($A4516="","",IF(N(M4516)=0,"–",IF(M4516&lt;=Start!$D$20,"A",IF(M4516&lt;=Start!$D$21,"B","C"))))</f>
        <v/>
      </c>
      <c r="O4516" s="48" t="str">
        <f aca="false">IF($A4516="","",IF(NOT(ISNUMBER(F4516)),"Wert fehlt; ",IF(F4516&lt;=0,"Wert ist 0; ",""))&amp;IF(NOT(ISNUMBER(E4516)),"Bestand fehlt; ",IF(E4516&lt;0,"Bestand negativ; ",IF(E4516=0,"Nullbestand; ","")))&amp;IF(D4516="","Warengruppe fehlt; ","")&amp;IF(B4516="","Bezeichnung fehlt; ","")&amp;IF(COUNTIFS($A$2:$A$5001,$A4516,$C$2:$C$5001,C4516)&gt;1,"Artikel doppelt im selben Lager; ",""))</f>
        <v/>
      </c>
      <c r="P4516" s="47" t="n">
        <f aca="false">IF(OR($A4516="",D4516=""),0,IF(COUNTIF($D$2:D4516,D4516)=1,SUMIF($D$2:$D$5001,D4516,$H$2:$H$5001)+ROW()/10000000,0))</f>
        <v>0</v>
      </c>
      <c r="Q4516" s="47" t="n">
        <f aca="false">IF(OR($A4516="",C4516=""),0,IF(COUNTIF($C$2:C4516,C4516)=1,SUMIF($C$2:$C$5001,C4516,$H$2:$H$5001)+ROW()/10000000,0))</f>
        <v>0</v>
      </c>
    </row>
    <row r="4517" customFormat="false" ht="15" hidden="false" customHeight="false" outlineLevel="0" collapsed="false">
      <c r="A4517" s="43"/>
      <c r="B4517" s="44"/>
      <c r="C4517" s="44"/>
      <c r="D4517" s="44"/>
      <c r="E4517" s="44"/>
      <c r="F4517" s="44"/>
      <c r="G4517" s="44"/>
      <c r="H4517" s="46" t="str">
        <f aca="false">IF($A4517="","",IF(OR(NOT(ISNUMBER(E4517)),NOT(ISNUMBER(F4517))),"",MAX(0,E4517)*F4517))</f>
        <v/>
      </c>
      <c r="I4517" s="46" t="str">
        <f aca="false">IF($A4517="","",SUMIF($A$2:$A$5001,$A4517,$H$2:$H$5001))</f>
        <v/>
      </c>
      <c r="J4517" s="47" t="n">
        <f aca="false">IF($A4517="",0,IF(COUNTIF($A$2:A4517,$A4517)=1,1,0))</f>
        <v>0</v>
      </c>
      <c r="K4517" s="47" t="n">
        <f aca="false">IF(J4517=1,N(I4517)+ROW()/10000000,0)</f>
        <v>0</v>
      </c>
      <c r="L4517" s="47" t="str">
        <f aca="false">IF(AND(J4517=1,N(I4517)&gt;0),SUMIF($K$2:$K$5001,"&gt;="&amp;K4517,$I$2:$I$5001)/MAX(1,SUM($H$2:$H$5001)),"")</f>
        <v/>
      </c>
      <c r="M4517" s="47" t="str">
        <f aca="false">IF($A4517="","",INDEX($L$2:$L$5001,MATCH($A4517,$A$2:$A$5001,0)))</f>
        <v/>
      </c>
      <c r="N4517" s="48" t="str">
        <f aca="false">IF($A4517="","",IF(N(M4517)=0,"–",IF(M4517&lt;=Start!$D$20,"A",IF(M4517&lt;=Start!$D$21,"B","C"))))</f>
        <v/>
      </c>
      <c r="O4517" s="48" t="str">
        <f aca="false">IF($A4517="","",IF(NOT(ISNUMBER(F4517)),"Wert fehlt; ",IF(F4517&lt;=0,"Wert ist 0; ",""))&amp;IF(NOT(ISNUMBER(E4517)),"Bestand fehlt; ",IF(E4517&lt;0,"Bestand negativ; ",IF(E4517=0,"Nullbestand; ","")))&amp;IF(D4517="","Warengruppe fehlt; ","")&amp;IF(B4517="","Bezeichnung fehlt; ","")&amp;IF(COUNTIFS($A$2:$A$5001,$A4517,$C$2:$C$5001,C4517)&gt;1,"Artikel doppelt im selben Lager; ",""))</f>
        <v/>
      </c>
      <c r="P4517" s="47" t="n">
        <f aca="false">IF(OR($A4517="",D4517=""),0,IF(COUNTIF($D$2:D4517,D4517)=1,SUMIF($D$2:$D$5001,D4517,$H$2:$H$5001)+ROW()/10000000,0))</f>
        <v>0</v>
      </c>
      <c r="Q4517" s="47" t="n">
        <f aca="false">IF(OR($A4517="",C4517=""),0,IF(COUNTIF($C$2:C4517,C4517)=1,SUMIF($C$2:$C$5001,C4517,$H$2:$H$5001)+ROW()/10000000,0))</f>
        <v>0</v>
      </c>
    </row>
    <row r="4518" customFormat="false" ht="15" hidden="false" customHeight="false" outlineLevel="0" collapsed="false">
      <c r="A4518" s="43"/>
      <c r="B4518" s="44"/>
      <c r="C4518" s="44"/>
      <c r="D4518" s="44"/>
      <c r="E4518" s="44"/>
      <c r="F4518" s="44"/>
      <c r="G4518" s="44"/>
      <c r="H4518" s="46" t="str">
        <f aca="false">IF($A4518="","",IF(OR(NOT(ISNUMBER(E4518)),NOT(ISNUMBER(F4518))),"",MAX(0,E4518)*F4518))</f>
        <v/>
      </c>
      <c r="I4518" s="46" t="str">
        <f aca="false">IF($A4518="","",SUMIF($A$2:$A$5001,$A4518,$H$2:$H$5001))</f>
        <v/>
      </c>
      <c r="J4518" s="47" t="n">
        <f aca="false">IF($A4518="",0,IF(COUNTIF($A$2:A4518,$A4518)=1,1,0))</f>
        <v>0</v>
      </c>
      <c r="K4518" s="47" t="n">
        <f aca="false">IF(J4518=1,N(I4518)+ROW()/10000000,0)</f>
        <v>0</v>
      </c>
      <c r="L4518" s="47" t="str">
        <f aca="false">IF(AND(J4518=1,N(I4518)&gt;0),SUMIF($K$2:$K$5001,"&gt;="&amp;K4518,$I$2:$I$5001)/MAX(1,SUM($H$2:$H$5001)),"")</f>
        <v/>
      </c>
      <c r="M4518" s="47" t="str">
        <f aca="false">IF($A4518="","",INDEX($L$2:$L$5001,MATCH($A4518,$A$2:$A$5001,0)))</f>
        <v/>
      </c>
      <c r="N4518" s="48" t="str">
        <f aca="false">IF($A4518="","",IF(N(M4518)=0,"–",IF(M4518&lt;=Start!$D$20,"A",IF(M4518&lt;=Start!$D$21,"B","C"))))</f>
        <v/>
      </c>
      <c r="O4518" s="48" t="str">
        <f aca="false">IF($A4518="","",IF(NOT(ISNUMBER(F4518)),"Wert fehlt; ",IF(F4518&lt;=0,"Wert ist 0; ",""))&amp;IF(NOT(ISNUMBER(E4518)),"Bestand fehlt; ",IF(E4518&lt;0,"Bestand negativ; ",IF(E4518=0,"Nullbestand; ","")))&amp;IF(D4518="","Warengruppe fehlt; ","")&amp;IF(B4518="","Bezeichnung fehlt; ","")&amp;IF(COUNTIFS($A$2:$A$5001,$A4518,$C$2:$C$5001,C4518)&gt;1,"Artikel doppelt im selben Lager; ",""))</f>
        <v/>
      </c>
      <c r="P4518" s="47" t="n">
        <f aca="false">IF(OR($A4518="",D4518=""),0,IF(COUNTIF($D$2:D4518,D4518)=1,SUMIF($D$2:$D$5001,D4518,$H$2:$H$5001)+ROW()/10000000,0))</f>
        <v>0</v>
      </c>
      <c r="Q4518" s="47" t="n">
        <f aca="false">IF(OR($A4518="",C4518=""),0,IF(COUNTIF($C$2:C4518,C4518)=1,SUMIF($C$2:$C$5001,C4518,$H$2:$H$5001)+ROW()/10000000,0))</f>
        <v>0</v>
      </c>
    </row>
    <row r="4519" customFormat="false" ht="15" hidden="false" customHeight="false" outlineLevel="0" collapsed="false">
      <c r="A4519" s="43"/>
      <c r="B4519" s="44"/>
      <c r="C4519" s="44"/>
      <c r="D4519" s="44"/>
      <c r="E4519" s="44"/>
      <c r="F4519" s="44"/>
      <c r="G4519" s="44"/>
      <c r="H4519" s="46" t="str">
        <f aca="false">IF($A4519="","",IF(OR(NOT(ISNUMBER(E4519)),NOT(ISNUMBER(F4519))),"",MAX(0,E4519)*F4519))</f>
        <v/>
      </c>
      <c r="I4519" s="46" t="str">
        <f aca="false">IF($A4519="","",SUMIF($A$2:$A$5001,$A4519,$H$2:$H$5001))</f>
        <v/>
      </c>
      <c r="J4519" s="47" t="n">
        <f aca="false">IF($A4519="",0,IF(COUNTIF($A$2:A4519,$A4519)=1,1,0))</f>
        <v>0</v>
      </c>
      <c r="K4519" s="47" t="n">
        <f aca="false">IF(J4519=1,N(I4519)+ROW()/10000000,0)</f>
        <v>0</v>
      </c>
      <c r="L4519" s="47" t="str">
        <f aca="false">IF(AND(J4519=1,N(I4519)&gt;0),SUMIF($K$2:$K$5001,"&gt;="&amp;K4519,$I$2:$I$5001)/MAX(1,SUM($H$2:$H$5001)),"")</f>
        <v/>
      </c>
      <c r="M4519" s="47" t="str">
        <f aca="false">IF($A4519="","",INDEX($L$2:$L$5001,MATCH($A4519,$A$2:$A$5001,0)))</f>
        <v/>
      </c>
      <c r="N4519" s="48" t="str">
        <f aca="false">IF($A4519="","",IF(N(M4519)=0,"–",IF(M4519&lt;=Start!$D$20,"A",IF(M4519&lt;=Start!$D$21,"B","C"))))</f>
        <v/>
      </c>
      <c r="O4519" s="48" t="str">
        <f aca="false">IF($A4519="","",IF(NOT(ISNUMBER(F4519)),"Wert fehlt; ",IF(F4519&lt;=0,"Wert ist 0; ",""))&amp;IF(NOT(ISNUMBER(E4519)),"Bestand fehlt; ",IF(E4519&lt;0,"Bestand negativ; ",IF(E4519=0,"Nullbestand; ","")))&amp;IF(D4519="","Warengruppe fehlt; ","")&amp;IF(B4519="","Bezeichnung fehlt; ","")&amp;IF(COUNTIFS($A$2:$A$5001,$A4519,$C$2:$C$5001,C4519)&gt;1,"Artikel doppelt im selben Lager; ",""))</f>
        <v/>
      </c>
      <c r="P4519" s="47" t="n">
        <f aca="false">IF(OR($A4519="",D4519=""),0,IF(COUNTIF($D$2:D4519,D4519)=1,SUMIF($D$2:$D$5001,D4519,$H$2:$H$5001)+ROW()/10000000,0))</f>
        <v>0</v>
      </c>
      <c r="Q4519" s="47" t="n">
        <f aca="false">IF(OR($A4519="",C4519=""),0,IF(COUNTIF($C$2:C4519,C4519)=1,SUMIF($C$2:$C$5001,C4519,$H$2:$H$5001)+ROW()/10000000,0))</f>
        <v>0</v>
      </c>
    </row>
    <row r="4520" customFormat="false" ht="15" hidden="false" customHeight="false" outlineLevel="0" collapsed="false">
      <c r="A4520" s="43"/>
      <c r="B4520" s="44"/>
      <c r="C4520" s="44"/>
      <c r="D4520" s="44"/>
      <c r="E4520" s="44"/>
      <c r="F4520" s="44"/>
      <c r="G4520" s="44"/>
      <c r="H4520" s="46" t="str">
        <f aca="false">IF($A4520="","",IF(OR(NOT(ISNUMBER(E4520)),NOT(ISNUMBER(F4520))),"",MAX(0,E4520)*F4520))</f>
        <v/>
      </c>
      <c r="I4520" s="46" t="str">
        <f aca="false">IF($A4520="","",SUMIF($A$2:$A$5001,$A4520,$H$2:$H$5001))</f>
        <v/>
      </c>
      <c r="J4520" s="47" t="n">
        <f aca="false">IF($A4520="",0,IF(COUNTIF($A$2:A4520,$A4520)=1,1,0))</f>
        <v>0</v>
      </c>
      <c r="K4520" s="47" t="n">
        <f aca="false">IF(J4520=1,N(I4520)+ROW()/10000000,0)</f>
        <v>0</v>
      </c>
      <c r="L4520" s="47" t="str">
        <f aca="false">IF(AND(J4520=1,N(I4520)&gt;0),SUMIF($K$2:$K$5001,"&gt;="&amp;K4520,$I$2:$I$5001)/MAX(1,SUM($H$2:$H$5001)),"")</f>
        <v/>
      </c>
      <c r="M4520" s="47" t="str">
        <f aca="false">IF($A4520="","",INDEX($L$2:$L$5001,MATCH($A4520,$A$2:$A$5001,0)))</f>
        <v/>
      </c>
      <c r="N4520" s="48" t="str">
        <f aca="false">IF($A4520="","",IF(N(M4520)=0,"–",IF(M4520&lt;=Start!$D$20,"A",IF(M4520&lt;=Start!$D$21,"B","C"))))</f>
        <v/>
      </c>
      <c r="O4520" s="48" t="str">
        <f aca="false">IF($A4520="","",IF(NOT(ISNUMBER(F4520)),"Wert fehlt; ",IF(F4520&lt;=0,"Wert ist 0; ",""))&amp;IF(NOT(ISNUMBER(E4520)),"Bestand fehlt; ",IF(E4520&lt;0,"Bestand negativ; ",IF(E4520=0,"Nullbestand; ","")))&amp;IF(D4520="","Warengruppe fehlt; ","")&amp;IF(B4520="","Bezeichnung fehlt; ","")&amp;IF(COUNTIFS($A$2:$A$5001,$A4520,$C$2:$C$5001,C4520)&gt;1,"Artikel doppelt im selben Lager; ",""))</f>
        <v/>
      </c>
      <c r="P4520" s="47" t="n">
        <f aca="false">IF(OR($A4520="",D4520=""),0,IF(COUNTIF($D$2:D4520,D4520)=1,SUMIF($D$2:$D$5001,D4520,$H$2:$H$5001)+ROW()/10000000,0))</f>
        <v>0</v>
      </c>
      <c r="Q4520" s="47" t="n">
        <f aca="false">IF(OR($A4520="",C4520=""),0,IF(COUNTIF($C$2:C4520,C4520)=1,SUMIF($C$2:$C$5001,C4520,$H$2:$H$5001)+ROW()/10000000,0))</f>
        <v>0</v>
      </c>
    </row>
    <row r="4521" customFormat="false" ht="15" hidden="false" customHeight="false" outlineLevel="0" collapsed="false">
      <c r="A4521" s="43"/>
      <c r="B4521" s="44"/>
      <c r="C4521" s="44"/>
      <c r="D4521" s="44"/>
      <c r="E4521" s="44"/>
      <c r="F4521" s="44"/>
      <c r="G4521" s="44"/>
      <c r="H4521" s="46" t="str">
        <f aca="false">IF($A4521="","",IF(OR(NOT(ISNUMBER(E4521)),NOT(ISNUMBER(F4521))),"",MAX(0,E4521)*F4521))</f>
        <v/>
      </c>
      <c r="I4521" s="46" t="str">
        <f aca="false">IF($A4521="","",SUMIF($A$2:$A$5001,$A4521,$H$2:$H$5001))</f>
        <v/>
      </c>
      <c r="J4521" s="47" t="n">
        <f aca="false">IF($A4521="",0,IF(COUNTIF($A$2:A4521,$A4521)=1,1,0))</f>
        <v>0</v>
      </c>
      <c r="K4521" s="47" t="n">
        <f aca="false">IF(J4521=1,N(I4521)+ROW()/10000000,0)</f>
        <v>0</v>
      </c>
      <c r="L4521" s="47" t="str">
        <f aca="false">IF(AND(J4521=1,N(I4521)&gt;0),SUMIF($K$2:$K$5001,"&gt;="&amp;K4521,$I$2:$I$5001)/MAX(1,SUM($H$2:$H$5001)),"")</f>
        <v/>
      </c>
      <c r="M4521" s="47" t="str">
        <f aca="false">IF($A4521="","",INDEX($L$2:$L$5001,MATCH($A4521,$A$2:$A$5001,0)))</f>
        <v/>
      </c>
      <c r="N4521" s="48" t="str">
        <f aca="false">IF($A4521="","",IF(N(M4521)=0,"–",IF(M4521&lt;=Start!$D$20,"A",IF(M4521&lt;=Start!$D$21,"B","C"))))</f>
        <v/>
      </c>
      <c r="O4521" s="48" t="str">
        <f aca="false">IF($A4521="","",IF(NOT(ISNUMBER(F4521)),"Wert fehlt; ",IF(F4521&lt;=0,"Wert ist 0; ",""))&amp;IF(NOT(ISNUMBER(E4521)),"Bestand fehlt; ",IF(E4521&lt;0,"Bestand negativ; ",IF(E4521=0,"Nullbestand; ","")))&amp;IF(D4521="","Warengruppe fehlt; ","")&amp;IF(B4521="","Bezeichnung fehlt; ","")&amp;IF(COUNTIFS($A$2:$A$5001,$A4521,$C$2:$C$5001,C4521)&gt;1,"Artikel doppelt im selben Lager; ",""))</f>
        <v/>
      </c>
      <c r="P4521" s="47" t="n">
        <f aca="false">IF(OR($A4521="",D4521=""),0,IF(COUNTIF($D$2:D4521,D4521)=1,SUMIF($D$2:$D$5001,D4521,$H$2:$H$5001)+ROW()/10000000,0))</f>
        <v>0</v>
      </c>
      <c r="Q4521" s="47" t="n">
        <f aca="false">IF(OR($A4521="",C4521=""),0,IF(COUNTIF($C$2:C4521,C4521)=1,SUMIF($C$2:$C$5001,C4521,$H$2:$H$5001)+ROW()/10000000,0))</f>
        <v>0</v>
      </c>
    </row>
    <row r="4522" customFormat="false" ht="15" hidden="false" customHeight="false" outlineLevel="0" collapsed="false">
      <c r="A4522" s="43"/>
      <c r="B4522" s="44"/>
      <c r="C4522" s="44"/>
      <c r="D4522" s="44"/>
      <c r="E4522" s="44"/>
      <c r="F4522" s="44"/>
      <c r="G4522" s="44"/>
      <c r="H4522" s="46" t="str">
        <f aca="false">IF($A4522="","",IF(OR(NOT(ISNUMBER(E4522)),NOT(ISNUMBER(F4522))),"",MAX(0,E4522)*F4522))</f>
        <v/>
      </c>
      <c r="I4522" s="46" t="str">
        <f aca="false">IF($A4522="","",SUMIF($A$2:$A$5001,$A4522,$H$2:$H$5001))</f>
        <v/>
      </c>
      <c r="J4522" s="47" t="n">
        <f aca="false">IF($A4522="",0,IF(COUNTIF($A$2:A4522,$A4522)=1,1,0))</f>
        <v>0</v>
      </c>
      <c r="K4522" s="47" t="n">
        <f aca="false">IF(J4522=1,N(I4522)+ROW()/10000000,0)</f>
        <v>0</v>
      </c>
      <c r="L4522" s="47" t="str">
        <f aca="false">IF(AND(J4522=1,N(I4522)&gt;0),SUMIF($K$2:$K$5001,"&gt;="&amp;K4522,$I$2:$I$5001)/MAX(1,SUM($H$2:$H$5001)),"")</f>
        <v/>
      </c>
      <c r="M4522" s="47" t="str">
        <f aca="false">IF($A4522="","",INDEX($L$2:$L$5001,MATCH($A4522,$A$2:$A$5001,0)))</f>
        <v/>
      </c>
      <c r="N4522" s="48" t="str">
        <f aca="false">IF($A4522="","",IF(N(M4522)=0,"–",IF(M4522&lt;=Start!$D$20,"A",IF(M4522&lt;=Start!$D$21,"B","C"))))</f>
        <v/>
      </c>
      <c r="O4522" s="48" t="str">
        <f aca="false">IF($A4522="","",IF(NOT(ISNUMBER(F4522)),"Wert fehlt; ",IF(F4522&lt;=0,"Wert ist 0; ",""))&amp;IF(NOT(ISNUMBER(E4522)),"Bestand fehlt; ",IF(E4522&lt;0,"Bestand negativ; ",IF(E4522=0,"Nullbestand; ","")))&amp;IF(D4522="","Warengruppe fehlt; ","")&amp;IF(B4522="","Bezeichnung fehlt; ","")&amp;IF(COUNTIFS($A$2:$A$5001,$A4522,$C$2:$C$5001,C4522)&gt;1,"Artikel doppelt im selben Lager; ",""))</f>
        <v/>
      </c>
      <c r="P4522" s="47" t="n">
        <f aca="false">IF(OR($A4522="",D4522=""),0,IF(COUNTIF($D$2:D4522,D4522)=1,SUMIF($D$2:$D$5001,D4522,$H$2:$H$5001)+ROW()/10000000,0))</f>
        <v>0</v>
      </c>
      <c r="Q4522" s="47" t="n">
        <f aca="false">IF(OR($A4522="",C4522=""),0,IF(COUNTIF($C$2:C4522,C4522)=1,SUMIF($C$2:$C$5001,C4522,$H$2:$H$5001)+ROW()/10000000,0))</f>
        <v>0</v>
      </c>
    </row>
    <row r="4523" customFormat="false" ht="15" hidden="false" customHeight="false" outlineLevel="0" collapsed="false">
      <c r="A4523" s="43"/>
      <c r="B4523" s="44"/>
      <c r="C4523" s="44"/>
      <c r="D4523" s="44"/>
      <c r="E4523" s="44"/>
      <c r="F4523" s="44"/>
      <c r="G4523" s="44"/>
      <c r="H4523" s="46" t="str">
        <f aca="false">IF($A4523="","",IF(OR(NOT(ISNUMBER(E4523)),NOT(ISNUMBER(F4523))),"",MAX(0,E4523)*F4523))</f>
        <v/>
      </c>
      <c r="I4523" s="46" t="str">
        <f aca="false">IF($A4523="","",SUMIF($A$2:$A$5001,$A4523,$H$2:$H$5001))</f>
        <v/>
      </c>
      <c r="J4523" s="47" t="n">
        <f aca="false">IF($A4523="",0,IF(COUNTIF($A$2:A4523,$A4523)=1,1,0))</f>
        <v>0</v>
      </c>
      <c r="K4523" s="47" t="n">
        <f aca="false">IF(J4523=1,N(I4523)+ROW()/10000000,0)</f>
        <v>0</v>
      </c>
      <c r="L4523" s="47" t="str">
        <f aca="false">IF(AND(J4523=1,N(I4523)&gt;0),SUMIF($K$2:$K$5001,"&gt;="&amp;K4523,$I$2:$I$5001)/MAX(1,SUM($H$2:$H$5001)),"")</f>
        <v/>
      </c>
      <c r="M4523" s="47" t="str">
        <f aca="false">IF($A4523="","",INDEX($L$2:$L$5001,MATCH($A4523,$A$2:$A$5001,0)))</f>
        <v/>
      </c>
      <c r="N4523" s="48" t="str">
        <f aca="false">IF($A4523="","",IF(N(M4523)=0,"–",IF(M4523&lt;=Start!$D$20,"A",IF(M4523&lt;=Start!$D$21,"B","C"))))</f>
        <v/>
      </c>
      <c r="O4523" s="48" t="str">
        <f aca="false">IF($A4523="","",IF(NOT(ISNUMBER(F4523)),"Wert fehlt; ",IF(F4523&lt;=0,"Wert ist 0; ",""))&amp;IF(NOT(ISNUMBER(E4523)),"Bestand fehlt; ",IF(E4523&lt;0,"Bestand negativ; ",IF(E4523=0,"Nullbestand; ","")))&amp;IF(D4523="","Warengruppe fehlt; ","")&amp;IF(B4523="","Bezeichnung fehlt; ","")&amp;IF(COUNTIFS($A$2:$A$5001,$A4523,$C$2:$C$5001,C4523)&gt;1,"Artikel doppelt im selben Lager; ",""))</f>
        <v/>
      </c>
      <c r="P4523" s="47" t="n">
        <f aca="false">IF(OR($A4523="",D4523=""),0,IF(COUNTIF($D$2:D4523,D4523)=1,SUMIF($D$2:$D$5001,D4523,$H$2:$H$5001)+ROW()/10000000,0))</f>
        <v>0</v>
      </c>
      <c r="Q4523" s="47" t="n">
        <f aca="false">IF(OR($A4523="",C4523=""),0,IF(COUNTIF($C$2:C4523,C4523)=1,SUMIF($C$2:$C$5001,C4523,$H$2:$H$5001)+ROW()/10000000,0))</f>
        <v>0</v>
      </c>
    </row>
    <row r="4524" customFormat="false" ht="15" hidden="false" customHeight="false" outlineLevel="0" collapsed="false">
      <c r="A4524" s="43"/>
      <c r="B4524" s="44"/>
      <c r="C4524" s="44"/>
      <c r="D4524" s="44"/>
      <c r="E4524" s="44"/>
      <c r="F4524" s="44"/>
      <c r="G4524" s="44"/>
      <c r="H4524" s="46" t="str">
        <f aca="false">IF($A4524="","",IF(OR(NOT(ISNUMBER(E4524)),NOT(ISNUMBER(F4524))),"",MAX(0,E4524)*F4524))</f>
        <v/>
      </c>
      <c r="I4524" s="46" t="str">
        <f aca="false">IF($A4524="","",SUMIF($A$2:$A$5001,$A4524,$H$2:$H$5001))</f>
        <v/>
      </c>
      <c r="J4524" s="47" t="n">
        <f aca="false">IF($A4524="",0,IF(COUNTIF($A$2:A4524,$A4524)=1,1,0))</f>
        <v>0</v>
      </c>
      <c r="K4524" s="47" t="n">
        <f aca="false">IF(J4524=1,N(I4524)+ROW()/10000000,0)</f>
        <v>0</v>
      </c>
      <c r="L4524" s="47" t="str">
        <f aca="false">IF(AND(J4524=1,N(I4524)&gt;0),SUMIF($K$2:$K$5001,"&gt;="&amp;K4524,$I$2:$I$5001)/MAX(1,SUM($H$2:$H$5001)),"")</f>
        <v/>
      </c>
      <c r="M4524" s="47" t="str">
        <f aca="false">IF($A4524="","",INDEX($L$2:$L$5001,MATCH($A4524,$A$2:$A$5001,0)))</f>
        <v/>
      </c>
      <c r="N4524" s="48" t="str">
        <f aca="false">IF($A4524="","",IF(N(M4524)=0,"–",IF(M4524&lt;=Start!$D$20,"A",IF(M4524&lt;=Start!$D$21,"B","C"))))</f>
        <v/>
      </c>
      <c r="O4524" s="48" t="str">
        <f aca="false">IF($A4524="","",IF(NOT(ISNUMBER(F4524)),"Wert fehlt; ",IF(F4524&lt;=0,"Wert ist 0; ",""))&amp;IF(NOT(ISNUMBER(E4524)),"Bestand fehlt; ",IF(E4524&lt;0,"Bestand negativ; ",IF(E4524=0,"Nullbestand; ","")))&amp;IF(D4524="","Warengruppe fehlt; ","")&amp;IF(B4524="","Bezeichnung fehlt; ","")&amp;IF(COUNTIFS($A$2:$A$5001,$A4524,$C$2:$C$5001,C4524)&gt;1,"Artikel doppelt im selben Lager; ",""))</f>
        <v/>
      </c>
      <c r="P4524" s="47" t="n">
        <f aca="false">IF(OR($A4524="",D4524=""),0,IF(COUNTIF($D$2:D4524,D4524)=1,SUMIF($D$2:$D$5001,D4524,$H$2:$H$5001)+ROW()/10000000,0))</f>
        <v>0</v>
      </c>
      <c r="Q4524" s="47" t="n">
        <f aca="false">IF(OR($A4524="",C4524=""),0,IF(COUNTIF($C$2:C4524,C4524)=1,SUMIF($C$2:$C$5001,C4524,$H$2:$H$5001)+ROW()/10000000,0))</f>
        <v>0</v>
      </c>
    </row>
    <row r="4525" customFormat="false" ht="15" hidden="false" customHeight="false" outlineLevel="0" collapsed="false">
      <c r="A4525" s="43"/>
      <c r="B4525" s="44"/>
      <c r="C4525" s="44"/>
      <c r="D4525" s="44"/>
      <c r="E4525" s="44"/>
      <c r="F4525" s="44"/>
      <c r="G4525" s="44"/>
      <c r="H4525" s="46" t="str">
        <f aca="false">IF($A4525="","",IF(OR(NOT(ISNUMBER(E4525)),NOT(ISNUMBER(F4525))),"",MAX(0,E4525)*F4525))</f>
        <v/>
      </c>
      <c r="I4525" s="46" t="str">
        <f aca="false">IF($A4525="","",SUMIF($A$2:$A$5001,$A4525,$H$2:$H$5001))</f>
        <v/>
      </c>
      <c r="J4525" s="47" t="n">
        <f aca="false">IF($A4525="",0,IF(COUNTIF($A$2:A4525,$A4525)=1,1,0))</f>
        <v>0</v>
      </c>
      <c r="K4525" s="47" t="n">
        <f aca="false">IF(J4525=1,N(I4525)+ROW()/10000000,0)</f>
        <v>0</v>
      </c>
      <c r="L4525" s="47" t="str">
        <f aca="false">IF(AND(J4525=1,N(I4525)&gt;0),SUMIF($K$2:$K$5001,"&gt;="&amp;K4525,$I$2:$I$5001)/MAX(1,SUM($H$2:$H$5001)),"")</f>
        <v/>
      </c>
      <c r="M4525" s="47" t="str">
        <f aca="false">IF($A4525="","",INDEX($L$2:$L$5001,MATCH($A4525,$A$2:$A$5001,0)))</f>
        <v/>
      </c>
      <c r="N4525" s="48" t="str">
        <f aca="false">IF($A4525="","",IF(N(M4525)=0,"–",IF(M4525&lt;=Start!$D$20,"A",IF(M4525&lt;=Start!$D$21,"B","C"))))</f>
        <v/>
      </c>
      <c r="O4525" s="48" t="str">
        <f aca="false">IF($A4525="","",IF(NOT(ISNUMBER(F4525)),"Wert fehlt; ",IF(F4525&lt;=0,"Wert ist 0; ",""))&amp;IF(NOT(ISNUMBER(E4525)),"Bestand fehlt; ",IF(E4525&lt;0,"Bestand negativ; ",IF(E4525=0,"Nullbestand; ","")))&amp;IF(D4525="","Warengruppe fehlt; ","")&amp;IF(B4525="","Bezeichnung fehlt; ","")&amp;IF(COUNTIFS($A$2:$A$5001,$A4525,$C$2:$C$5001,C4525)&gt;1,"Artikel doppelt im selben Lager; ",""))</f>
        <v/>
      </c>
      <c r="P4525" s="47" t="n">
        <f aca="false">IF(OR($A4525="",D4525=""),0,IF(COUNTIF($D$2:D4525,D4525)=1,SUMIF($D$2:$D$5001,D4525,$H$2:$H$5001)+ROW()/10000000,0))</f>
        <v>0</v>
      </c>
      <c r="Q4525" s="47" t="n">
        <f aca="false">IF(OR($A4525="",C4525=""),0,IF(COUNTIF($C$2:C4525,C4525)=1,SUMIF($C$2:$C$5001,C4525,$H$2:$H$5001)+ROW()/10000000,0))</f>
        <v>0</v>
      </c>
    </row>
    <row r="4526" customFormat="false" ht="15" hidden="false" customHeight="false" outlineLevel="0" collapsed="false">
      <c r="A4526" s="43"/>
      <c r="B4526" s="44"/>
      <c r="C4526" s="44"/>
      <c r="D4526" s="44"/>
      <c r="E4526" s="44"/>
      <c r="F4526" s="44"/>
      <c r="G4526" s="44"/>
      <c r="H4526" s="46" t="str">
        <f aca="false">IF($A4526="","",IF(OR(NOT(ISNUMBER(E4526)),NOT(ISNUMBER(F4526))),"",MAX(0,E4526)*F4526))</f>
        <v/>
      </c>
      <c r="I4526" s="46" t="str">
        <f aca="false">IF($A4526="","",SUMIF($A$2:$A$5001,$A4526,$H$2:$H$5001))</f>
        <v/>
      </c>
      <c r="J4526" s="47" t="n">
        <f aca="false">IF($A4526="",0,IF(COUNTIF($A$2:A4526,$A4526)=1,1,0))</f>
        <v>0</v>
      </c>
      <c r="K4526" s="47" t="n">
        <f aca="false">IF(J4526=1,N(I4526)+ROW()/10000000,0)</f>
        <v>0</v>
      </c>
      <c r="L4526" s="47" t="str">
        <f aca="false">IF(AND(J4526=1,N(I4526)&gt;0),SUMIF($K$2:$K$5001,"&gt;="&amp;K4526,$I$2:$I$5001)/MAX(1,SUM($H$2:$H$5001)),"")</f>
        <v/>
      </c>
      <c r="M4526" s="47" t="str">
        <f aca="false">IF($A4526="","",INDEX($L$2:$L$5001,MATCH($A4526,$A$2:$A$5001,0)))</f>
        <v/>
      </c>
      <c r="N4526" s="48" t="str">
        <f aca="false">IF($A4526="","",IF(N(M4526)=0,"–",IF(M4526&lt;=Start!$D$20,"A",IF(M4526&lt;=Start!$D$21,"B","C"))))</f>
        <v/>
      </c>
      <c r="O4526" s="48" t="str">
        <f aca="false">IF($A4526="","",IF(NOT(ISNUMBER(F4526)),"Wert fehlt; ",IF(F4526&lt;=0,"Wert ist 0; ",""))&amp;IF(NOT(ISNUMBER(E4526)),"Bestand fehlt; ",IF(E4526&lt;0,"Bestand negativ; ",IF(E4526=0,"Nullbestand; ","")))&amp;IF(D4526="","Warengruppe fehlt; ","")&amp;IF(B4526="","Bezeichnung fehlt; ","")&amp;IF(COUNTIFS($A$2:$A$5001,$A4526,$C$2:$C$5001,C4526)&gt;1,"Artikel doppelt im selben Lager; ",""))</f>
        <v/>
      </c>
      <c r="P4526" s="47" t="n">
        <f aca="false">IF(OR($A4526="",D4526=""),0,IF(COUNTIF($D$2:D4526,D4526)=1,SUMIF($D$2:$D$5001,D4526,$H$2:$H$5001)+ROW()/10000000,0))</f>
        <v>0</v>
      </c>
      <c r="Q4526" s="47" t="n">
        <f aca="false">IF(OR($A4526="",C4526=""),0,IF(COUNTIF($C$2:C4526,C4526)=1,SUMIF($C$2:$C$5001,C4526,$H$2:$H$5001)+ROW()/10000000,0))</f>
        <v>0</v>
      </c>
    </row>
    <row r="4527" customFormat="false" ht="15" hidden="false" customHeight="false" outlineLevel="0" collapsed="false">
      <c r="A4527" s="43"/>
      <c r="B4527" s="44"/>
      <c r="C4527" s="44"/>
      <c r="D4527" s="44"/>
      <c r="E4527" s="44"/>
      <c r="F4527" s="44"/>
      <c r="G4527" s="44"/>
      <c r="H4527" s="46" t="str">
        <f aca="false">IF($A4527="","",IF(OR(NOT(ISNUMBER(E4527)),NOT(ISNUMBER(F4527))),"",MAX(0,E4527)*F4527))</f>
        <v/>
      </c>
      <c r="I4527" s="46" t="str">
        <f aca="false">IF($A4527="","",SUMIF($A$2:$A$5001,$A4527,$H$2:$H$5001))</f>
        <v/>
      </c>
      <c r="J4527" s="47" t="n">
        <f aca="false">IF($A4527="",0,IF(COUNTIF($A$2:A4527,$A4527)=1,1,0))</f>
        <v>0</v>
      </c>
      <c r="K4527" s="47" t="n">
        <f aca="false">IF(J4527=1,N(I4527)+ROW()/10000000,0)</f>
        <v>0</v>
      </c>
      <c r="L4527" s="47" t="str">
        <f aca="false">IF(AND(J4527=1,N(I4527)&gt;0),SUMIF($K$2:$K$5001,"&gt;="&amp;K4527,$I$2:$I$5001)/MAX(1,SUM($H$2:$H$5001)),"")</f>
        <v/>
      </c>
      <c r="M4527" s="47" t="str">
        <f aca="false">IF($A4527="","",INDEX($L$2:$L$5001,MATCH($A4527,$A$2:$A$5001,0)))</f>
        <v/>
      </c>
      <c r="N4527" s="48" t="str">
        <f aca="false">IF($A4527="","",IF(N(M4527)=0,"–",IF(M4527&lt;=Start!$D$20,"A",IF(M4527&lt;=Start!$D$21,"B","C"))))</f>
        <v/>
      </c>
      <c r="O4527" s="48" t="str">
        <f aca="false">IF($A4527="","",IF(NOT(ISNUMBER(F4527)),"Wert fehlt; ",IF(F4527&lt;=0,"Wert ist 0; ",""))&amp;IF(NOT(ISNUMBER(E4527)),"Bestand fehlt; ",IF(E4527&lt;0,"Bestand negativ; ",IF(E4527=0,"Nullbestand; ","")))&amp;IF(D4527="","Warengruppe fehlt; ","")&amp;IF(B4527="","Bezeichnung fehlt; ","")&amp;IF(COUNTIFS($A$2:$A$5001,$A4527,$C$2:$C$5001,C4527)&gt;1,"Artikel doppelt im selben Lager; ",""))</f>
        <v/>
      </c>
      <c r="P4527" s="47" t="n">
        <f aca="false">IF(OR($A4527="",D4527=""),0,IF(COUNTIF($D$2:D4527,D4527)=1,SUMIF($D$2:$D$5001,D4527,$H$2:$H$5001)+ROW()/10000000,0))</f>
        <v>0</v>
      </c>
      <c r="Q4527" s="47" t="n">
        <f aca="false">IF(OR($A4527="",C4527=""),0,IF(COUNTIF($C$2:C4527,C4527)=1,SUMIF($C$2:$C$5001,C4527,$H$2:$H$5001)+ROW()/10000000,0))</f>
        <v>0</v>
      </c>
    </row>
    <row r="4528" customFormat="false" ht="15" hidden="false" customHeight="false" outlineLevel="0" collapsed="false">
      <c r="A4528" s="43"/>
      <c r="B4528" s="44"/>
      <c r="C4528" s="44"/>
      <c r="D4528" s="44"/>
      <c r="E4528" s="44"/>
      <c r="F4528" s="44"/>
      <c r="G4528" s="44"/>
      <c r="H4528" s="46" t="str">
        <f aca="false">IF($A4528="","",IF(OR(NOT(ISNUMBER(E4528)),NOT(ISNUMBER(F4528))),"",MAX(0,E4528)*F4528))</f>
        <v/>
      </c>
      <c r="I4528" s="46" t="str">
        <f aca="false">IF($A4528="","",SUMIF($A$2:$A$5001,$A4528,$H$2:$H$5001))</f>
        <v/>
      </c>
      <c r="J4528" s="47" t="n">
        <f aca="false">IF($A4528="",0,IF(COUNTIF($A$2:A4528,$A4528)=1,1,0))</f>
        <v>0</v>
      </c>
      <c r="K4528" s="47" t="n">
        <f aca="false">IF(J4528=1,N(I4528)+ROW()/10000000,0)</f>
        <v>0</v>
      </c>
      <c r="L4528" s="47" t="str">
        <f aca="false">IF(AND(J4528=1,N(I4528)&gt;0),SUMIF($K$2:$K$5001,"&gt;="&amp;K4528,$I$2:$I$5001)/MAX(1,SUM($H$2:$H$5001)),"")</f>
        <v/>
      </c>
      <c r="M4528" s="47" t="str">
        <f aca="false">IF($A4528="","",INDEX($L$2:$L$5001,MATCH($A4528,$A$2:$A$5001,0)))</f>
        <v/>
      </c>
      <c r="N4528" s="48" t="str">
        <f aca="false">IF($A4528="","",IF(N(M4528)=0,"–",IF(M4528&lt;=Start!$D$20,"A",IF(M4528&lt;=Start!$D$21,"B","C"))))</f>
        <v/>
      </c>
      <c r="O4528" s="48" t="str">
        <f aca="false">IF($A4528="","",IF(NOT(ISNUMBER(F4528)),"Wert fehlt; ",IF(F4528&lt;=0,"Wert ist 0; ",""))&amp;IF(NOT(ISNUMBER(E4528)),"Bestand fehlt; ",IF(E4528&lt;0,"Bestand negativ; ",IF(E4528=0,"Nullbestand; ","")))&amp;IF(D4528="","Warengruppe fehlt; ","")&amp;IF(B4528="","Bezeichnung fehlt; ","")&amp;IF(COUNTIFS($A$2:$A$5001,$A4528,$C$2:$C$5001,C4528)&gt;1,"Artikel doppelt im selben Lager; ",""))</f>
        <v/>
      </c>
      <c r="P4528" s="47" t="n">
        <f aca="false">IF(OR($A4528="",D4528=""),0,IF(COUNTIF($D$2:D4528,D4528)=1,SUMIF($D$2:$D$5001,D4528,$H$2:$H$5001)+ROW()/10000000,0))</f>
        <v>0</v>
      </c>
      <c r="Q4528" s="47" t="n">
        <f aca="false">IF(OR($A4528="",C4528=""),0,IF(COUNTIF($C$2:C4528,C4528)=1,SUMIF($C$2:$C$5001,C4528,$H$2:$H$5001)+ROW()/10000000,0))</f>
        <v>0</v>
      </c>
    </row>
    <row r="4529" customFormat="false" ht="15" hidden="false" customHeight="false" outlineLevel="0" collapsed="false">
      <c r="A4529" s="43"/>
      <c r="B4529" s="44"/>
      <c r="C4529" s="44"/>
      <c r="D4529" s="44"/>
      <c r="E4529" s="44"/>
      <c r="F4529" s="44"/>
      <c r="G4529" s="44"/>
      <c r="H4529" s="46" t="str">
        <f aca="false">IF($A4529="","",IF(OR(NOT(ISNUMBER(E4529)),NOT(ISNUMBER(F4529))),"",MAX(0,E4529)*F4529))</f>
        <v/>
      </c>
      <c r="I4529" s="46" t="str">
        <f aca="false">IF($A4529="","",SUMIF($A$2:$A$5001,$A4529,$H$2:$H$5001))</f>
        <v/>
      </c>
      <c r="J4529" s="47" t="n">
        <f aca="false">IF($A4529="",0,IF(COUNTIF($A$2:A4529,$A4529)=1,1,0))</f>
        <v>0</v>
      </c>
      <c r="K4529" s="47" t="n">
        <f aca="false">IF(J4529=1,N(I4529)+ROW()/10000000,0)</f>
        <v>0</v>
      </c>
      <c r="L4529" s="47" t="str">
        <f aca="false">IF(AND(J4529=1,N(I4529)&gt;0),SUMIF($K$2:$K$5001,"&gt;="&amp;K4529,$I$2:$I$5001)/MAX(1,SUM($H$2:$H$5001)),"")</f>
        <v/>
      </c>
      <c r="M4529" s="47" t="str">
        <f aca="false">IF($A4529="","",INDEX($L$2:$L$5001,MATCH($A4529,$A$2:$A$5001,0)))</f>
        <v/>
      </c>
      <c r="N4529" s="48" t="str">
        <f aca="false">IF($A4529="","",IF(N(M4529)=0,"–",IF(M4529&lt;=Start!$D$20,"A",IF(M4529&lt;=Start!$D$21,"B","C"))))</f>
        <v/>
      </c>
      <c r="O4529" s="48" t="str">
        <f aca="false">IF($A4529="","",IF(NOT(ISNUMBER(F4529)),"Wert fehlt; ",IF(F4529&lt;=0,"Wert ist 0; ",""))&amp;IF(NOT(ISNUMBER(E4529)),"Bestand fehlt; ",IF(E4529&lt;0,"Bestand negativ; ",IF(E4529=0,"Nullbestand; ","")))&amp;IF(D4529="","Warengruppe fehlt; ","")&amp;IF(B4529="","Bezeichnung fehlt; ","")&amp;IF(COUNTIFS($A$2:$A$5001,$A4529,$C$2:$C$5001,C4529)&gt;1,"Artikel doppelt im selben Lager; ",""))</f>
        <v/>
      </c>
      <c r="P4529" s="47" t="n">
        <f aca="false">IF(OR($A4529="",D4529=""),0,IF(COUNTIF($D$2:D4529,D4529)=1,SUMIF($D$2:$D$5001,D4529,$H$2:$H$5001)+ROW()/10000000,0))</f>
        <v>0</v>
      </c>
      <c r="Q4529" s="47" t="n">
        <f aca="false">IF(OR($A4529="",C4529=""),0,IF(COUNTIF($C$2:C4529,C4529)=1,SUMIF($C$2:$C$5001,C4529,$H$2:$H$5001)+ROW()/10000000,0))</f>
        <v>0</v>
      </c>
    </row>
    <row r="4530" customFormat="false" ht="15" hidden="false" customHeight="false" outlineLevel="0" collapsed="false">
      <c r="A4530" s="43"/>
      <c r="B4530" s="44"/>
      <c r="C4530" s="44"/>
      <c r="D4530" s="44"/>
      <c r="E4530" s="44"/>
      <c r="F4530" s="44"/>
      <c r="G4530" s="44"/>
      <c r="H4530" s="46" t="str">
        <f aca="false">IF($A4530="","",IF(OR(NOT(ISNUMBER(E4530)),NOT(ISNUMBER(F4530))),"",MAX(0,E4530)*F4530))</f>
        <v/>
      </c>
      <c r="I4530" s="46" t="str">
        <f aca="false">IF($A4530="","",SUMIF($A$2:$A$5001,$A4530,$H$2:$H$5001))</f>
        <v/>
      </c>
      <c r="J4530" s="47" t="n">
        <f aca="false">IF($A4530="",0,IF(COUNTIF($A$2:A4530,$A4530)=1,1,0))</f>
        <v>0</v>
      </c>
      <c r="K4530" s="47" t="n">
        <f aca="false">IF(J4530=1,N(I4530)+ROW()/10000000,0)</f>
        <v>0</v>
      </c>
      <c r="L4530" s="47" t="str">
        <f aca="false">IF(AND(J4530=1,N(I4530)&gt;0),SUMIF($K$2:$K$5001,"&gt;="&amp;K4530,$I$2:$I$5001)/MAX(1,SUM($H$2:$H$5001)),"")</f>
        <v/>
      </c>
      <c r="M4530" s="47" t="str">
        <f aca="false">IF($A4530="","",INDEX($L$2:$L$5001,MATCH($A4530,$A$2:$A$5001,0)))</f>
        <v/>
      </c>
      <c r="N4530" s="48" t="str">
        <f aca="false">IF($A4530="","",IF(N(M4530)=0,"–",IF(M4530&lt;=Start!$D$20,"A",IF(M4530&lt;=Start!$D$21,"B","C"))))</f>
        <v/>
      </c>
      <c r="O4530" s="48" t="str">
        <f aca="false">IF($A4530="","",IF(NOT(ISNUMBER(F4530)),"Wert fehlt; ",IF(F4530&lt;=0,"Wert ist 0; ",""))&amp;IF(NOT(ISNUMBER(E4530)),"Bestand fehlt; ",IF(E4530&lt;0,"Bestand negativ; ",IF(E4530=0,"Nullbestand; ","")))&amp;IF(D4530="","Warengruppe fehlt; ","")&amp;IF(B4530="","Bezeichnung fehlt; ","")&amp;IF(COUNTIFS($A$2:$A$5001,$A4530,$C$2:$C$5001,C4530)&gt;1,"Artikel doppelt im selben Lager; ",""))</f>
        <v/>
      </c>
      <c r="P4530" s="47" t="n">
        <f aca="false">IF(OR($A4530="",D4530=""),0,IF(COUNTIF($D$2:D4530,D4530)=1,SUMIF($D$2:$D$5001,D4530,$H$2:$H$5001)+ROW()/10000000,0))</f>
        <v>0</v>
      </c>
      <c r="Q4530" s="47" t="n">
        <f aca="false">IF(OR($A4530="",C4530=""),0,IF(COUNTIF($C$2:C4530,C4530)=1,SUMIF($C$2:$C$5001,C4530,$H$2:$H$5001)+ROW()/10000000,0))</f>
        <v>0</v>
      </c>
    </row>
    <row r="4531" customFormat="false" ht="15" hidden="false" customHeight="false" outlineLevel="0" collapsed="false">
      <c r="A4531" s="43"/>
      <c r="B4531" s="44"/>
      <c r="C4531" s="44"/>
      <c r="D4531" s="44"/>
      <c r="E4531" s="44"/>
      <c r="F4531" s="44"/>
      <c r="G4531" s="44"/>
      <c r="H4531" s="46" t="str">
        <f aca="false">IF($A4531="","",IF(OR(NOT(ISNUMBER(E4531)),NOT(ISNUMBER(F4531))),"",MAX(0,E4531)*F4531))</f>
        <v/>
      </c>
      <c r="I4531" s="46" t="str">
        <f aca="false">IF($A4531="","",SUMIF($A$2:$A$5001,$A4531,$H$2:$H$5001))</f>
        <v/>
      </c>
      <c r="J4531" s="47" t="n">
        <f aca="false">IF($A4531="",0,IF(COUNTIF($A$2:A4531,$A4531)=1,1,0))</f>
        <v>0</v>
      </c>
      <c r="K4531" s="47" t="n">
        <f aca="false">IF(J4531=1,N(I4531)+ROW()/10000000,0)</f>
        <v>0</v>
      </c>
      <c r="L4531" s="47" t="str">
        <f aca="false">IF(AND(J4531=1,N(I4531)&gt;0),SUMIF($K$2:$K$5001,"&gt;="&amp;K4531,$I$2:$I$5001)/MAX(1,SUM($H$2:$H$5001)),"")</f>
        <v/>
      </c>
      <c r="M4531" s="47" t="str">
        <f aca="false">IF($A4531="","",INDEX($L$2:$L$5001,MATCH($A4531,$A$2:$A$5001,0)))</f>
        <v/>
      </c>
      <c r="N4531" s="48" t="str">
        <f aca="false">IF($A4531="","",IF(N(M4531)=0,"–",IF(M4531&lt;=Start!$D$20,"A",IF(M4531&lt;=Start!$D$21,"B","C"))))</f>
        <v/>
      </c>
      <c r="O4531" s="48" t="str">
        <f aca="false">IF($A4531="","",IF(NOT(ISNUMBER(F4531)),"Wert fehlt; ",IF(F4531&lt;=0,"Wert ist 0; ",""))&amp;IF(NOT(ISNUMBER(E4531)),"Bestand fehlt; ",IF(E4531&lt;0,"Bestand negativ; ",IF(E4531=0,"Nullbestand; ","")))&amp;IF(D4531="","Warengruppe fehlt; ","")&amp;IF(B4531="","Bezeichnung fehlt; ","")&amp;IF(COUNTIFS($A$2:$A$5001,$A4531,$C$2:$C$5001,C4531)&gt;1,"Artikel doppelt im selben Lager; ",""))</f>
        <v/>
      </c>
      <c r="P4531" s="47" t="n">
        <f aca="false">IF(OR($A4531="",D4531=""),0,IF(COUNTIF($D$2:D4531,D4531)=1,SUMIF($D$2:$D$5001,D4531,$H$2:$H$5001)+ROW()/10000000,0))</f>
        <v>0</v>
      </c>
      <c r="Q4531" s="47" t="n">
        <f aca="false">IF(OR($A4531="",C4531=""),0,IF(COUNTIF($C$2:C4531,C4531)=1,SUMIF($C$2:$C$5001,C4531,$H$2:$H$5001)+ROW()/10000000,0))</f>
        <v>0</v>
      </c>
    </row>
    <row r="4532" customFormat="false" ht="15" hidden="false" customHeight="false" outlineLevel="0" collapsed="false">
      <c r="A4532" s="43"/>
      <c r="B4532" s="44"/>
      <c r="C4532" s="44"/>
      <c r="D4532" s="44"/>
      <c r="E4532" s="44"/>
      <c r="F4532" s="44"/>
      <c r="G4532" s="44"/>
      <c r="H4532" s="46" t="str">
        <f aca="false">IF($A4532="","",IF(OR(NOT(ISNUMBER(E4532)),NOT(ISNUMBER(F4532))),"",MAX(0,E4532)*F4532))</f>
        <v/>
      </c>
      <c r="I4532" s="46" t="str">
        <f aca="false">IF($A4532="","",SUMIF($A$2:$A$5001,$A4532,$H$2:$H$5001))</f>
        <v/>
      </c>
      <c r="J4532" s="47" t="n">
        <f aca="false">IF($A4532="",0,IF(COUNTIF($A$2:A4532,$A4532)=1,1,0))</f>
        <v>0</v>
      </c>
      <c r="K4532" s="47" t="n">
        <f aca="false">IF(J4532=1,N(I4532)+ROW()/10000000,0)</f>
        <v>0</v>
      </c>
      <c r="L4532" s="47" t="str">
        <f aca="false">IF(AND(J4532=1,N(I4532)&gt;0),SUMIF($K$2:$K$5001,"&gt;="&amp;K4532,$I$2:$I$5001)/MAX(1,SUM($H$2:$H$5001)),"")</f>
        <v/>
      </c>
      <c r="M4532" s="47" t="str">
        <f aca="false">IF($A4532="","",INDEX($L$2:$L$5001,MATCH($A4532,$A$2:$A$5001,0)))</f>
        <v/>
      </c>
      <c r="N4532" s="48" t="str">
        <f aca="false">IF($A4532="","",IF(N(M4532)=0,"–",IF(M4532&lt;=Start!$D$20,"A",IF(M4532&lt;=Start!$D$21,"B","C"))))</f>
        <v/>
      </c>
      <c r="O4532" s="48" t="str">
        <f aca="false">IF($A4532="","",IF(NOT(ISNUMBER(F4532)),"Wert fehlt; ",IF(F4532&lt;=0,"Wert ist 0; ",""))&amp;IF(NOT(ISNUMBER(E4532)),"Bestand fehlt; ",IF(E4532&lt;0,"Bestand negativ; ",IF(E4532=0,"Nullbestand; ","")))&amp;IF(D4532="","Warengruppe fehlt; ","")&amp;IF(B4532="","Bezeichnung fehlt; ","")&amp;IF(COUNTIFS($A$2:$A$5001,$A4532,$C$2:$C$5001,C4532)&gt;1,"Artikel doppelt im selben Lager; ",""))</f>
        <v/>
      </c>
      <c r="P4532" s="47" t="n">
        <f aca="false">IF(OR($A4532="",D4532=""),0,IF(COUNTIF($D$2:D4532,D4532)=1,SUMIF($D$2:$D$5001,D4532,$H$2:$H$5001)+ROW()/10000000,0))</f>
        <v>0</v>
      </c>
      <c r="Q4532" s="47" t="n">
        <f aca="false">IF(OR($A4532="",C4532=""),0,IF(COUNTIF($C$2:C4532,C4532)=1,SUMIF($C$2:$C$5001,C4532,$H$2:$H$5001)+ROW()/10000000,0))</f>
        <v>0</v>
      </c>
    </row>
    <row r="4533" customFormat="false" ht="15" hidden="false" customHeight="false" outlineLevel="0" collapsed="false">
      <c r="A4533" s="43"/>
      <c r="B4533" s="44"/>
      <c r="C4533" s="44"/>
      <c r="D4533" s="44"/>
      <c r="E4533" s="44"/>
      <c r="F4533" s="44"/>
      <c r="G4533" s="44"/>
      <c r="H4533" s="46" t="str">
        <f aca="false">IF($A4533="","",IF(OR(NOT(ISNUMBER(E4533)),NOT(ISNUMBER(F4533))),"",MAX(0,E4533)*F4533))</f>
        <v/>
      </c>
      <c r="I4533" s="46" t="str">
        <f aca="false">IF($A4533="","",SUMIF($A$2:$A$5001,$A4533,$H$2:$H$5001))</f>
        <v/>
      </c>
      <c r="J4533" s="47" t="n">
        <f aca="false">IF($A4533="",0,IF(COUNTIF($A$2:A4533,$A4533)=1,1,0))</f>
        <v>0</v>
      </c>
      <c r="K4533" s="47" t="n">
        <f aca="false">IF(J4533=1,N(I4533)+ROW()/10000000,0)</f>
        <v>0</v>
      </c>
      <c r="L4533" s="47" t="str">
        <f aca="false">IF(AND(J4533=1,N(I4533)&gt;0),SUMIF($K$2:$K$5001,"&gt;="&amp;K4533,$I$2:$I$5001)/MAX(1,SUM($H$2:$H$5001)),"")</f>
        <v/>
      </c>
      <c r="M4533" s="47" t="str">
        <f aca="false">IF($A4533="","",INDEX($L$2:$L$5001,MATCH($A4533,$A$2:$A$5001,0)))</f>
        <v/>
      </c>
      <c r="N4533" s="48" t="str">
        <f aca="false">IF($A4533="","",IF(N(M4533)=0,"–",IF(M4533&lt;=Start!$D$20,"A",IF(M4533&lt;=Start!$D$21,"B","C"))))</f>
        <v/>
      </c>
      <c r="O4533" s="48" t="str">
        <f aca="false">IF($A4533="","",IF(NOT(ISNUMBER(F4533)),"Wert fehlt; ",IF(F4533&lt;=0,"Wert ist 0; ",""))&amp;IF(NOT(ISNUMBER(E4533)),"Bestand fehlt; ",IF(E4533&lt;0,"Bestand negativ; ",IF(E4533=0,"Nullbestand; ","")))&amp;IF(D4533="","Warengruppe fehlt; ","")&amp;IF(B4533="","Bezeichnung fehlt; ","")&amp;IF(COUNTIFS($A$2:$A$5001,$A4533,$C$2:$C$5001,C4533)&gt;1,"Artikel doppelt im selben Lager; ",""))</f>
        <v/>
      </c>
      <c r="P4533" s="47" t="n">
        <f aca="false">IF(OR($A4533="",D4533=""),0,IF(COUNTIF($D$2:D4533,D4533)=1,SUMIF($D$2:$D$5001,D4533,$H$2:$H$5001)+ROW()/10000000,0))</f>
        <v>0</v>
      </c>
      <c r="Q4533" s="47" t="n">
        <f aca="false">IF(OR($A4533="",C4533=""),0,IF(COUNTIF($C$2:C4533,C4533)=1,SUMIF($C$2:$C$5001,C4533,$H$2:$H$5001)+ROW()/10000000,0))</f>
        <v>0</v>
      </c>
    </row>
    <row r="4534" customFormat="false" ht="15" hidden="false" customHeight="false" outlineLevel="0" collapsed="false">
      <c r="A4534" s="43"/>
      <c r="B4534" s="44"/>
      <c r="C4534" s="44"/>
      <c r="D4534" s="44"/>
      <c r="E4534" s="44"/>
      <c r="F4534" s="44"/>
      <c r="G4534" s="44"/>
      <c r="H4534" s="46" t="str">
        <f aca="false">IF($A4534="","",IF(OR(NOT(ISNUMBER(E4534)),NOT(ISNUMBER(F4534))),"",MAX(0,E4534)*F4534))</f>
        <v/>
      </c>
      <c r="I4534" s="46" t="str">
        <f aca="false">IF($A4534="","",SUMIF($A$2:$A$5001,$A4534,$H$2:$H$5001))</f>
        <v/>
      </c>
      <c r="J4534" s="47" t="n">
        <f aca="false">IF($A4534="",0,IF(COUNTIF($A$2:A4534,$A4534)=1,1,0))</f>
        <v>0</v>
      </c>
      <c r="K4534" s="47" t="n">
        <f aca="false">IF(J4534=1,N(I4534)+ROW()/10000000,0)</f>
        <v>0</v>
      </c>
      <c r="L4534" s="47" t="str">
        <f aca="false">IF(AND(J4534=1,N(I4534)&gt;0),SUMIF($K$2:$K$5001,"&gt;="&amp;K4534,$I$2:$I$5001)/MAX(1,SUM($H$2:$H$5001)),"")</f>
        <v/>
      </c>
      <c r="M4534" s="47" t="str">
        <f aca="false">IF($A4534="","",INDEX($L$2:$L$5001,MATCH($A4534,$A$2:$A$5001,0)))</f>
        <v/>
      </c>
      <c r="N4534" s="48" t="str">
        <f aca="false">IF($A4534="","",IF(N(M4534)=0,"–",IF(M4534&lt;=Start!$D$20,"A",IF(M4534&lt;=Start!$D$21,"B","C"))))</f>
        <v/>
      </c>
      <c r="O4534" s="48" t="str">
        <f aca="false">IF($A4534="","",IF(NOT(ISNUMBER(F4534)),"Wert fehlt; ",IF(F4534&lt;=0,"Wert ist 0; ",""))&amp;IF(NOT(ISNUMBER(E4534)),"Bestand fehlt; ",IF(E4534&lt;0,"Bestand negativ; ",IF(E4534=0,"Nullbestand; ","")))&amp;IF(D4534="","Warengruppe fehlt; ","")&amp;IF(B4534="","Bezeichnung fehlt; ","")&amp;IF(COUNTIFS($A$2:$A$5001,$A4534,$C$2:$C$5001,C4534)&gt;1,"Artikel doppelt im selben Lager; ",""))</f>
        <v/>
      </c>
      <c r="P4534" s="47" t="n">
        <f aca="false">IF(OR($A4534="",D4534=""),0,IF(COUNTIF($D$2:D4534,D4534)=1,SUMIF($D$2:$D$5001,D4534,$H$2:$H$5001)+ROW()/10000000,0))</f>
        <v>0</v>
      </c>
      <c r="Q4534" s="47" t="n">
        <f aca="false">IF(OR($A4534="",C4534=""),0,IF(COUNTIF($C$2:C4534,C4534)=1,SUMIF($C$2:$C$5001,C4534,$H$2:$H$5001)+ROW()/10000000,0))</f>
        <v>0</v>
      </c>
    </row>
    <row r="4535" customFormat="false" ht="15" hidden="false" customHeight="false" outlineLevel="0" collapsed="false">
      <c r="A4535" s="43"/>
      <c r="B4535" s="44"/>
      <c r="C4535" s="44"/>
      <c r="D4535" s="44"/>
      <c r="E4535" s="44"/>
      <c r="F4535" s="44"/>
      <c r="G4535" s="44"/>
      <c r="H4535" s="46" t="str">
        <f aca="false">IF($A4535="","",IF(OR(NOT(ISNUMBER(E4535)),NOT(ISNUMBER(F4535))),"",MAX(0,E4535)*F4535))</f>
        <v/>
      </c>
      <c r="I4535" s="46" t="str">
        <f aca="false">IF($A4535="","",SUMIF($A$2:$A$5001,$A4535,$H$2:$H$5001))</f>
        <v/>
      </c>
      <c r="J4535" s="47" t="n">
        <f aca="false">IF($A4535="",0,IF(COUNTIF($A$2:A4535,$A4535)=1,1,0))</f>
        <v>0</v>
      </c>
      <c r="K4535" s="47" t="n">
        <f aca="false">IF(J4535=1,N(I4535)+ROW()/10000000,0)</f>
        <v>0</v>
      </c>
      <c r="L4535" s="47" t="str">
        <f aca="false">IF(AND(J4535=1,N(I4535)&gt;0),SUMIF($K$2:$K$5001,"&gt;="&amp;K4535,$I$2:$I$5001)/MAX(1,SUM($H$2:$H$5001)),"")</f>
        <v/>
      </c>
      <c r="M4535" s="47" t="str">
        <f aca="false">IF($A4535="","",INDEX($L$2:$L$5001,MATCH($A4535,$A$2:$A$5001,0)))</f>
        <v/>
      </c>
      <c r="N4535" s="48" t="str">
        <f aca="false">IF($A4535="","",IF(N(M4535)=0,"–",IF(M4535&lt;=Start!$D$20,"A",IF(M4535&lt;=Start!$D$21,"B","C"))))</f>
        <v/>
      </c>
      <c r="O4535" s="48" t="str">
        <f aca="false">IF($A4535="","",IF(NOT(ISNUMBER(F4535)),"Wert fehlt; ",IF(F4535&lt;=0,"Wert ist 0; ",""))&amp;IF(NOT(ISNUMBER(E4535)),"Bestand fehlt; ",IF(E4535&lt;0,"Bestand negativ; ",IF(E4535=0,"Nullbestand; ","")))&amp;IF(D4535="","Warengruppe fehlt; ","")&amp;IF(B4535="","Bezeichnung fehlt; ","")&amp;IF(COUNTIFS($A$2:$A$5001,$A4535,$C$2:$C$5001,C4535)&gt;1,"Artikel doppelt im selben Lager; ",""))</f>
        <v/>
      </c>
      <c r="P4535" s="47" t="n">
        <f aca="false">IF(OR($A4535="",D4535=""),0,IF(COUNTIF($D$2:D4535,D4535)=1,SUMIF($D$2:$D$5001,D4535,$H$2:$H$5001)+ROW()/10000000,0))</f>
        <v>0</v>
      </c>
      <c r="Q4535" s="47" t="n">
        <f aca="false">IF(OR($A4535="",C4535=""),0,IF(COUNTIF($C$2:C4535,C4535)=1,SUMIF($C$2:$C$5001,C4535,$H$2:$H$5001)+ROW()/10000000,0))</f>
        <v>0</v>
      </c>
    </row>
    <row r="4536" customFormat="false" ht="15" hidden="false" customHeight="false" outlineLevel="0" collapsed="false">
      <c r="A4536" s="43"/>
      <c r="B4536" s="44"/>
      <c r="C4536" s="44"/>
      <c r="D4536" s="44"/>
      <c r="E4536" s="44"/>
      <c r="F4536" s="44"/>
      <c r="G4536" s="44"/>
      <c r="H4536" s="46" t="str">
        <f aca="false">IF($A4536="","",IF(OR(NOT(ISNUMBER(E4536)),NOT(ISNUMBER(F4536))),"",MAX(0,E4536)*F4536))</f>
        <v/>
      </c>
      <c r="I4536" s="46" t="str">
        <f aca="false">IF($A4536="","",SUMIF($A$2:$A$5001,$A4536,$H$2:$H$5001))</f>
        <v/>
      </c>
      <c r="J4536" s="47" t="n">
        <f aca="false">IF($A4536="",0,IF(COUNTIF($A$2:A4536,$A4536)=1,1,0))</f>
        <v>0</v>
      </c>
      <c r="K4536" s="47" t="n">
        <f aca="false">IF(J4536=1,N(I4536)+ROW()/10000000,0)</f>
        <v>0</v>
      </c>
      <c r="L4536" s="47" t="str">
        <f aca="false">IF(AND(J4536=1,N(I4536)&gt;0),SUMIF($K$2:$K$5001,"&gt;="&amp;K4536,$I$2:$I$5001)/MAX(1,SUM($H$2:$H$5001)),"")</f>
        <v/>
      </c>
      <c r="M4536" s="47" t="str">
        <f aca="false">IF($A4536="","",INDEX($L$2:$L$5001,MATCH($A4536,$A$2:$A$5001,0)))</f>
        <v/>
      </c>
      <c r="N4536" s="48" t="str">
        <f aca="false">IF($A4536="","",IF(N(M4536)=0,"–",IF(M4536&lt;=Start!$D$20,"A",IF(M4536&lt;=Start!$D$21,"B","C"))))</f>
        <v/>
      </c>
      <c r="O4536" s="48" t="str">
        <f aca="false">IF($A4536="","",IF(NOT(ISNUMBER(F4536)),"Wert fehlt; ",IF(F4536&lt;=0,"Wert ist 0; ",""))&amp;IF(NOT(ISNUMBER(E4536)),"Bestand fehlt; ",IF(E4536&lt;0,"Bestand negativ; ",IF(E4536=0,"Nullbestand; ","")))&amp;IF(D4536="","Warengruppe fehlt; ","")&amp;IF(B4536="","Bezeichnung fehlt; ","")&amp;IF(COUNTIFS($A$2:$A$5001,$A4536,$C$2:$C$5001,C4536)&gt;1,"Artikel doppelt im selben Lager; ",""))</f>
        <v/>
      </c>
      <c r="P4536" s="47" t="n">
        <f aca="false">IF(OR($A4536="",D4536=""),0,IF(COUNTIF($D$2:D4536,D4536)=1,SUMIF($D$2:$D$5001,D4536,$H$2:$H$5001)+ROW()/10000000,0))</f>
        <v>0</v>
      </c>
      <c r="Q4536" s="47" t="n">
        <f aca="false">IF(OR($A4536="",C4536=""),0,IF(COUNTIF($C$2:C4536,C4536)=1,SUMIF($C$2:$C$5001,C4536,$H$2:$H$5001)+ROW()/10000000,0))</f>
        <v>0</v>
      </c>
    </row>
    <row r="4537" customFormat="false" ht="15" hidden="false" customHeight="false" outlineLevel="0" collapsed="false">
      <c r="A4537" s="43"/>
      <c r="B4537" s="44"/>
      <c r="C4537" s="44"/>
      <c r="D4537" s="44"/>
      <c r="E4537" s="44"/>
      <c r="F4537" s="44"/>
      <c r="G4537" s="44"/>
      <c r="H4537" s="46" t="str">
        <f aca="false">IF($A4537="","",IF(OR(NOT(ISNUMBER(E4537)),NOT(ISNUMBER(F4537))),"",MAX(0,E4537)*F4537))</f>
        <v/>
      </c>
      <c r="I4537" s="46" t="str">
        <f aca="false">IF($A4537="","",SUMIF($A$2:$A$5001,$A4537,$H$2:$H$5001))</f>
        <v/>
      </c>
      <c r="J4537" s="47" t="n">
        <f aca="false">IF($A4537="",0,IF(COUNTIF($A$2:A4537,$A4537)=1,1,0))</f>
        <v>0</v>
      </c>
      <c r="K4537" s="47" t="n">
        <f aca="false">IF(J4537=1,N(I4537)+ROW()/10000000,0)</f>
        <v>0</v>
      </c>
      <c r="L4537" s="47" t="str">
        <f aca="false">IF(AND(J4537=1,N(I4537)&gt;0),SUMIF($K$2:$K$5001,"&gt;="&amp;K4537,$I$2:$I$5001)/MAX(1,SUM($H$2:$H$5001)),"")</f>
        <v/>
      </c>
      <c r="M4537" s="47" t="str">
        <f aca="false">IF($A4537="","",INDEX($L$2:$L$5001,MATCH($A4537,$A$2:$A$5001,0)))</f>
        <v/>
      </c>
      <c r="N4537" s="48" t="str">
        <f aca="false">IF($A4537="","",IF(N(M4537)=0,"–",IF(M4537&lt;=Start!$D$20,"A",IF(M4537&lt;=Start!$D$21,"B","C"))))</f>
        <v/>
      </c>
      <c r="O4537" s="48" t="str">
        <f aca="false">IF($A4537="","",IF(NOT(ISNUMBER(F4537)),"Wert fehlt; ",IF(F4537&lt;=0,"Wert ist 0; ",""))&amp;IF(NOT(ISNUMBER(E4537)),"Bestand fehlt; ",IF(E4537&lt;0,"Bestand negativ; ",IF(E4537=0,"Nullbestand; ","")))&amp;IF(D4537="","Warengruppe fehlt; ","")&amp;IF(B4537="","Bezeichnung fehlt; ","")&amp;IF(COUNTIFS($A$2:$A$5001,$A4537,$C$2:$C$5001,C4537)&gt;1,"Artikel doppelt im selben Lager; ",""))</f>
        <v/>
      </c>
      <c r="P4537" s="47" t="n">
        <f aca="false">IF(OR($A4537="",D4537=""),0,IF(COUNTIF($D$2:D4537,D4537)=1,SUMIF($D$2:$D$5001,D4537,$H$2:$H$5001)+ROW()/10000000,0))</f>
        <v>0</v>
      </c>
      <c r="Q4537" s="47" t="n">
        <f aca="false">IF(OR($A4537="",C4537=""),0,IF(COUNTIF($C$2:C4537,C4537)=1,SUMIF($C$2:$C$5001,C4537,$H$2:$H$5001)+ROW()/10000000,0))</f>
        <v>0</v>
      </c>
    </row>
    <row r="4538" customFormat="false" ht="15" hidden="false" customHeight="false" outlineLevel="0" collapsed="false">
      <c r="A4538" s="43"/>
      <c r="B4538" s="44"/>
      <c r="C4538" s="44"/>
      <c r="D4538" s="44"/>
      <c r="E4538" s="44"/>
      <c r="F4538" s="44"/>
      <c r="G4538" s="44"/>
      <c r="H4538" s="46" t="str">
        <f aca="false">IF($A4538="","",IF(OR(NOT(ISNUMBER(E4538)),NOT(ISNUMBER(F4538))),"",MAX(0,E4538)*F4538))</f>
        <v/>
      </c>
      <c r="I4538" s="46" t="str">
        <f aca="false">IF($A4538="","",SUMIF($A$2:$A$5001,$A4538,$H$2:$H$5001))</f>
        <v/>
      </c>
      <c r="J4538" s="47" t="n">
        <f aca="false">IF($A4538="",0,IF(COUNTIF($A$2:A4538,$A4538)=1,1,0))</f>
        <v>0</v>
      </c>
      <c r="K4538" s="47" t="n">
        <f aca="false">IF(J4538=1,N(I4538)+ROW()/10000000,0)</f>
        <v>0</v>
      </c>
      <c r="L4538" s="47" t="str">
        <f aca="false">IF(AND(J4538=1,N(I4538)&gt;0),SUMIF($K$2:$K$5001,"&gt;="&amp;K4538,$I$2:$I$5001)/MAX(1,SUM($H$2:$H$5001)),"")</f>
        <v/>
      </c>
      <c r="M4538" s="47" t="str">
        <f aca="false">IF($A4538="","",INDEX($L$2:$L$5001,MATCH($A4538,$A$2:$A$5001,0)))</f>
        <v/>
      </c>
      <c r="N4538" s="48" t="str">
        <f aca="false">IF($A4538="","",IF(N(M4538)=0,"–",IF(M4538&lt;=Start!$D$20,"A",IF(M4538&lt;=Start!$D$21,"B","C"))))</f>
        <v/>
      </c>
      <c r="O4538" s="48" t="str">
        <f aca="false">IF($A4538="","",IF(NOT(ISNUMBER(F4538)),"Wert fehlt; ",IF(F4538&lt;=0,"Wert ist 0; ",""))&amp;IF(NOT(ISNUMBER(E4538)),"Bestand fehlt; ",IF(E4538&lt;0,"Bestand negativ; ",IF(E4538=0,"Nullbestand; ","")))&amp;IF(D4538="","Warengruppe fehlt; ","")&amp;IF(B4538="","Bezeichnung fehlt; ","")&amp;IF(COUNTIFS($A$2:$A$5001,$A4538,$C$2:$C$5001,C4538)&gt;1,"Artikel doppelt im selben Lager; ",""))</f>
        <v/>
      </c>
      <c r="P4538" s="47" t="n">
        <f aca="false">IF(OR($A4538="",D4538=""),0,IF(COUNTIF($D$2:D4538,D4538)=1,SUMIF($D$2:$D$5001,D4538,$H$2:$H$5001)+ROW()/10000000,0))</f>
        <v>0</v>
      </c>
      <c r="Q4538" s="47" t="n">
        <f aca="false">IF(OR($A4538="",C4538=""),0,IF(COUNTIF($C$2:C4538,C4538)=1,SUMIF($C$2:$C$5001,C4538,$H$2:$H$5001)+ROW()/10000000,0))</f>
        <v>0</v>
      </c>
    </row>
    <row r="4539" customFormat="false" ht="15" hidden="false" customHeight="false" outlineLevel="0" collapsed="false">
      <c r="A4539" s="43"/>
      <c r="B4539" s="44"/>
      <c r="C4539" s="44"/>
      <c r="D4539" s="44"/>
      <c r="E4539" s="44"/>
      <c r="F4539" s="44"/>
      <c r="G4539" s="44"/>
      <c r="H4539" s="46" t="str">
        <f aca="false">IF($A4539="","",IF(OR(NOT(ISNUMBER(E4539)),NOT(ISNUMBER(F4539))),"",MAX(0,E4539)*F4539))</f>
        <v/>
      </c>
      <c r="I4539" s="46" t="str">
        <f aca="false">IF($A4539="","",SUMIF($A$2:$A$5001,$A4539,$H$2:$H$5001))</f>
        <v/>
      </c>
      <c r="J4539" s="47" t="n">
        <f aca="false">IF($A4539="",0,IF(COUNTIF($A$2:A4539,$A4539)=1,1,0))</f>
        <v>0</v>
      </c>
      <c r="K4539" s="47" t="n">
        <f aca="false">IF(J4539=1,N(I4539)+ROW()/10000000,0)</f>
        <v>0</v>
      </c>
      <c r="L4539" s="47" t="str">
        <f aca="false">IF(AND(J4539=1,N(I4539)&gt;0),SUMIF($K$2:$K$5001,"&gt;="&amp;K4539,$I$2:$I$5001)/MAX(1,SUM($H$2:$H$5001)),"")</f>
        <v/>
      </c>
      <c r="M4539" s="47" t="str">
        <f aca="false">IF($A4539="","",INDEX($L$2:$L$5001,MATCH($A4539,$A$2:$A$5001,0)))</f>
        <v/>
      </c>
      <c r="N4539" s="48" t="str">
        <f aca="false">IF($A4539="","",IF(N(M4539)=0,"–",IF(M4539&lt;=Start!$D$20,"A",IF(M4539&lt;=Start!$D$21,"B","C"))))</f>
        <v/>
      </c>
      <c r="O4539" s="48" t="str">
        <f aca="false">IF($A4539="","",IF(NOT(ISNUMBER(F4539)),"Wert fehlt; ",IF(F4539&lt;=0,"Wert ist 0; ",""))&amp;IF(NOT(ISNUMBER(E4539)),"Bestand fehlt; ",IF(E4539&lt;0,"Bestand negativ; ",IF(E4539=0,"Nullbestand; ","")))&amp;IF(D4539="","Warengruppe fehlt; ","")&amp;IF(B4539="","Bezeichnung fehlt; ","")&amp;IF(COUNTIFS($A$2:$A$5001,$A4539,$C$2:$C$5001,C4539)&gt;1,"Artikel doppelt im selben Lager; ",""))</f>
        <v/>
      </c>
      <c r="P4539" s="47" t="n">
        <f aca="false">IF(OR($A4539="",D4539=""),0,IF(COUNTIF($D$2:D4539,D4539)=1,SUMIF($D$2:$D$5001,D4539,$H$2:$H$5001)+ROW()/10000000,0))</f>
        <v>0</v>
      </c>
      <c r="Q4539" s="47" t="n">
        <f aca="false">IF(OR($A4539="",C4539=""),0,IF(COUNTIF($C$2:C4539,C4539)=1,SUMIF($C$2:$C$5001,C4539,$H$2:$H$5001)+ROW()/10000000,0))</f>
        <v>0</v>
      </c>
    </row>
    <row r="4540" customFormat="false" ht="15" hidden="false" customHeight="false" outlineLevel="0" collapsed="false">
      <c r="A4540" s="43"/>
      <c r="B4540" s="44"/>
      <c r="C4540" s="44"/>
      <c r="D4540" s="44"/>
      <c r="E4540" s="44"/>
      <c r="F4540" s="44"/>
      <c r="G4540" s="44"/>
      <c r="H4540" s="46" t="str">
        <f aca="false">IF($A4540="","",IF(OR(NOT(ISNUMBER(E4540)),NOT(ISNUMBER(F4540))),"",MAX(0,E4540)*F4540))</f>
        <v/>
      </c>
      <c r="I4540" s="46" t="str">
        <f aca="false">IF($A4540="","",SUMIF($A$2:$A$5001,$A4540,$H$2:$H$5001))</f>
        <v/>
      </c>
      <c r="J4540" s="47" t="n">
        <f aca="false">IF($A4540="",0,IF(COUNTIF($A$2:A4540,$A4540)=1,1,0))</f>
        <v>0</v>
      </c>
      <c r="K4540" s="47" t="n">
        <f aca="false">IF(J4540=1,N(I4540)+ROW()/10000000,0)</f>
        <v>0</v>
      </c>
      <c r="L4540" s="47" t="str">
        <f aca="false">IF(AND(J4540=1,N(I4540)&gt;0),SUMIF($K$2:$K$5001,"&gt;="&amp;K4540,$I$2:$I$5001)/MAX(1,SUM($H$2:$H$5001)),"")</f>
        <v/>
      </c>
      <c r="M4540" s="47" t="str">
        <f aca="false">IF($A4540="","",INDEX($L$2:$L$5001,MATCH($A4540,$A$2:$A$5001,0)))</f>
        <v/>
      </c>
      <c r="N4540" s="48" t="str">
        <f aca="false">IF($A4540="","",IF(N(M4540)=0,"–",IF(M4540&lt;=Start!$D$20,"A",IF(M4540&lt;=Start!$D$21,"B","C"))))</f>
        <v/>
      </c>
      <c r="O4540" s="48" t="str">
        <f aca="false">IF($A4540="","",IF(NOT(ISNUMBER(F4540)),"Wert fehlt; ",IF(F4540&lt;=0,"Wert ist 0; ",""))&amp;IF(NOT(ISNUMBER(E4540)),"Bestand fehlt; ",IF(E4540&lt;0,"Bestand negativ; ",IF(E4540=0,"Nullbestand; ","")))&amp;IF(D4540="","Warengruppe fehlt; ","")&amp;IF(B4540="","Bezeichnung fehlt; ","")&amp;IF(COUNTIFS($A$2:$A$5001,$A4540,$C$2:$C$5001,C4540)&gt;1,"Artikel doppelt im selben Lager; ",""))</f>
        <v/>
      </c>
      <c r="P4540" s="47" t="n">
        <f aca="false">IF(OR($A4540="",D4540=""),0,IF(COUNTIF($D$2:D4540,D4540)=1,SUMIF($D$2:$D$5001,D4540,$H$2:$H$5001)+ROW()/10000000,0))</f>
        <v>0</v>
      </c>
      <c r="Q4540" s="47" t="n">
        <f aca="false">IF(OR($A4540="",C4540=""),0,IF(COUNTIF($C$2:C4540,C4540)=1,SUMIF($C$2:$C$5001,C4540,$H$2:$H$5001)+ROW()/10000000,0))</f>
        <v>0</v>
      </c>
    </row>
    <row r="4541" customFormat="false" ht="15" hidden="false" customHeight="false" outlineLevel="0" collapsed="false">
      <c r="A4541" s="43"/>
      <c r="B4541" s="44"/>
      <c r="C4541" s="44"/>
      <c r="D4541" s="44"/>
      <c r="E4541" s="44"/>
      <c r="F4541" s="44"/>
      <c r="G4541" s="44"/>
      <c r="H4541" s="46" t="str">
        <f aca="false">IF($A4541="","",IF(OR(NOT(ISNUMBER(E4541)),NOT(ISNUMBER(F4541))),"",MAX(0,E4541)*F4541))</f>
        <v/>
      </c>
      <c r="I4541" s="46" t="str">
        <f aca="false">IF($A4541="","",SUMIF($A$2:$A$5001,$A4541,$H$2:$H$5001))</f>
        <v/>
      </c>
      <c r="J4541" s="47" t="n">
        <f aca="false">IF($A4541="",0,IF(COUNTIF($A$2:A4541,$A4541)=1,1,0))</f>
        <v>0</v>
      </c>
      <c r="K4541" s="47" t="n">
        <f aca="false">IF(J4541=1,N(I4541)+ROW()/10000000,0)</f>
        <v>0</v>
      </c>
      <c r="L4541" s="47" t="str">
        <f aca="false">IF(AND(J4541=1,N(I4541)&gt;0),SUMIF($K$2:$K$5001,"&gt;="&amp;K4541,$I$2:$I$5001)/MAX(1,SUM($H$2:$H$5001)),"")</f>
        <v/>
      </c>
      <c r="M4541" s="47" t="str">
        <f aca="false">IF($A4541="","",INDEX($L$2:$L$5001,MATCH($A4541,$A$2:$A$5001,0)))</f>
        <v/>
      </c>
      <c r="N4541" s="48" t="str">
        <f aca="false">IF($A4541="","",IF(N(M4541)=0,"–",IF(M4541&lt;=Start!$D$20,"A",IF(M4541&lt;=Start!$D$21,"B","C"))))</f>
        <v/>
      </c>
      <c r="O4541" s="48" t="str">
        <f aca="false">IF($A4541="","",IF(NOT(ISNUMBER(F4541)),"Wert fehlt; ",IF(F4541&lt;=0,"Wert ist 0; ",""))&amp;IF(NOT(ISNUMBER(E4541)),"Bestand fehlt; ",IF(E4541&lt;0,"Bestand negativ; ",IF(E4541=0,"Nullbestand; ","")))&amp;IF(D4541="","Warengruppe fehlt; ","")&amp;IF(B4541="","Bezeichnung fehlt; ","")&amp;IF(COUNTIFS($A$2:$A$5001,$A4541,$C$2:$C$5001,C4541)&gt;1,"Artikel doppelt im selben Lager; ",""))</f>
        <v/>
      </c>
      <c r="P4541" s="47" t="n">
        <f aca="false">IF(OR($A4541="",D4541=""),0,IF(COUNTIF($D$2:D4541,D4541)=1,SUMIF($D$2:$D$5001,D4541,$H$2:$H$5001)+ROW()/10000000,0))</f>
        <v>0</v>
      </c>
      <c r="Q4541" s="47" t="n">
        <f aca="false">IF(OR($A4541="",C4541=""),0,IF(COUNTIF($C$2:C4541,C4541)=1,SUMIF($C$2:$C$5001,C4541,$H$2:$H$5001)+ROW()/10000000,0))</f>
        <v>0</v>
      </c>
    </row>
    <row r="4542" customFormat="false" ht="15" hidden="false" customHeight="false" outlineLevel="0" collapsed="false">
      <c r="A4542" s="43"/>
      <c r="B4542" s="44"/>
      <c r="C4542" s="44"/>
      <c r="D4542" s="44"/>
      <c r="E4542" s="44"/>
      <c r="F4542" s="44"/>
      <c r="G4542" s="44"/>
      <c r="H4542" s="46" t="str">
        <f aca="false">IF($A4542="","",IF(OR(NOT(ISNUMBER(E4542)),NOT(ISNUMBER(F4542))),"",MAX(0,E4542)*F4542))</f>
        <v/>
      </c>
      <c r="I4542" s="46" t="str">
        <f aca="false">IF($A4542="","",SUMIF($A$2:$A$5001,$A4542,$H$2:$H$5001))</f>
        <v/>
      </c>
      <c r="J4542" s="47" t="n">
        <f aca="false">IF($A4542="",0,IF(COUNTIF($A$2:A4542,$A4542)=1,1,0))</f>
        <v>0</v>
      </c>
      <c r="K4542" s="47" t="n">
        <f aca="false">IF(J4542=1,N(I4542)+ROW()/10000000,0)</f>
        <v>0</v>
      </c>
      <c r="L4542" s="47" t="str">
        <f aca="false">IF(AND(J4542=1,N(I4542)&gt;0),SUMIF($K$2:$K$5001,"&gt;="&amp;K4542,$I$2:$I$5001)/MAX(1,SUM($H$2:$H$5001)),"")</f>
        <v/>
      </c>
      <c r="M4542" s="47" t="str">
        <f aca="false">IF($A4542="","",INDEX($L$2:$L$5001,MATCH($A4542,$A$2:$A$5001,0)))</f>
        <v/>
      </c>
      <c r="N4542" s="48" t="str">
        <f aca="false">IF($A4542="","",IF(N(M4542)=0,"–",IF(M4542&lt;=Start!$D$20,"A",IF(M4542&lt;=Start!$D$21,"B","C"))))</f>
        <v/>
      </c>
      <c r="O4542" s="48" t="str">
        <f aca="false">IF($A4542="","",IF(NOT(ISNUMBER(F4542)),"Wert fehlt; ",IF(F4542&lt;=0,"Wert ist 0; ",""))&amp;IF(NOT(ISNUMBER(E4542)),"Bestand fehlt; ",IF(E4542&lt;0,"Bestand negativ; ",IF(E4542=0,"Nullbestand; ","")))&amp;IF(D4542="","Warengruppe fehlt; ","")&amp;IF(B4542="","Bezeichnung fehlt; ","")&amp;IF(COUNTIFS($A$2:$A$5001,$A4542,$C$2:$C$5001,C4542)&gt;1,"Artikel doppelt im selben Lager; ",""))</f>
        <v/>
      </c>
      <c r="P4542" s="47" t="n">
        <f aca="false">IF(OR($A4542="",D4542=""),0,IF(COUNTIF($D$2:D4542,D4542)=1,SUMIF($D$2:$D$5001,D4542,$H$2:$H$5001)+ROW()/10000000,0))</f>
        <v>0</v>
      </c>
      <c r="Q4542" s="47" t="n">
        <f aca="false">IF(OR($A4542="",C4542=""),0,IF(COUNTIF($C$2:C4542,C4542)=1,SUMIF($C$2:$C$5001,C4542,$H$2:$H$5001)+ROW()/10000000,0))</f>
        <v>0</v>
      </c>
    </row>
    <row r="4543" customFormat="false" ht="15" hidden="false" customHeight="false" outlineLevel="0" collapsed="false">
      <c r="A4543" s="43"/>
      <c r="B4543" s="44"/>
      <c r="C4543" s="44"/>
      <c r="D4543" s="44"/>
      <c r="E4543" s="44"/>
      <c r="F4543" s="44"/>
      <c r="G4543" s="44"/>
      <c r="H4543" s="46" t="str">
        <f aca="false">IF($A4543="","",IF(OR(NOT(ISNUMBER(E4543)),NOT(ISNUMBER(F4543))),"",MAX(0,E4543)*F4543))</f>
        <v/>
      </c>
      <c r="I4543" s="46" t="str">
        <f aca="false">IF($A4543="","",SUMIF($A$2:$A$5001,$A4543,$H$2:$H$5001))</f>
        <v/>
      </c>
      <c r="J4543" s="47" t="n">
        <f aca="false">IF($A4543="",0,IF(COUNTIF($A$2:A4543,$A4543)=1,1,0))</f>
        <v>0</v>
      </c>
      <c r="K4543" s="47" t="n">
        <f aca="false">IF(J4543=1,N(I4543)+ROW()/10000000,0)</f>
        <v>0</v>
      </c>
      <c r="L4543" s="47" t="str">
        <f aca="false">IF(AND(J4543=1,N(I4543)&gt;0),SUMIF($K$2:$K$5001,"&gt;="&amp;K4543,$I$2:$I$5001)/MAX(1,SUM($H$2:$H$5001)),"")</f>
        <v/>
      </c>
      <c r="M4543" s="47" t="str">
        <f aca="false">IF($A4543="","",INDEX($L$2:$L$5001,MATCH($A4543,$A$2:$A$5001,0)))</f>
        <v/>
      </c>
      <c r="N4543" s="48" t="str">
        <f aca="false">IF($A4543="","",IF(N(M4543)=0,"–",IF(M4543&lt;=Start!$D$20,"A",IF(M4543&lt;=Start!$D$21,"B","C"))))</f>
        <v/>
      </c>
      <c r="O4543" s="48" t="str">
        <f aca="false">IF($A4543="","",IF(NOT(ISNUMBER(F4543)),"Wert fehlt; ",IF(F4543&lt;=0,"Wert ist 0; ",""))&amp;IF(NOT(ISNUMBER(E4543)),"Bestand fehlt; ",IF(E4543&lt;0,"Bestand negativ; ",IF(E4543=0,"Nullbestand; ","")))&amp;IF(D4543="","Warengruppe fehlt; ","")&amp;IF(B4543="","Bezeichnung fehlt; ","")&amp;IF(COUNTIFS($A$2:$A$5001,$A4543,$C$2:$C$5001,C4543)&gt;1,"Artikel doppelt im selben Lager; ",""))</f>
        <v/>
      </c>
      <c r="P4543" s="47" t="n">
        <f aca="false">IF(OR($A4543="",D4543=""),0,IF(COUNTIF($D$2:D4543,D4543)=1,SUMIF($D$2:$D$5001,D4543,$H$2:$H$5001)+ROW()/10000000,0))</f>
        <v>0</v>
      </c>
      <c r="Q4543" s="47" t="n">
        <f aca="false">IF(OR($A4543="",C4543=""),0,IF(COUNTIF($C$2:C4543,C4543)=1,SUMIF($C$2:$C$5001,C4543,$H$2:$H$5001)+ROW()/10000000,0))</f>
        <v>0</v>
      </c>
    </row>
    <row r="4544" customFormat="false" ht="15" hidden="false" customHeight="false" outlineLevel="0" collapsed="false">
      <c r="A4544" s="43"/>
      <c r="B4544" s="44"/>
      <c r="C4544" s="44"/>
      <c r="D4544" s="44"/>
      <c r="E4544" s="44"/>
      <c r="F4544" s="44"/>
      <c r="G4544" s="44"/>
      <c r="H4544" s="46" t="str">
        <f aca="false">IF($A4544="","",IF(OR(NOT(ISNUMBER(E4544)),NOT(ISNUMBER(F4544))),"",MAX(0,E4544)*F4544))</f>
        <v/>
      </c>
      <c r="I4544" s="46" t="str">
        <f aca="false">IF($A4544="","",SUMIF($A$2:$A$5001,$A4544,$H$2:$H$5001))</f>
        <v/>
      </c>
      <c r="J4544" s="47" t="n">
        <f aca="false">IF($A4544="",0,IF(COUNTIF($A$2:A4544,$A4544)=1,1,0))</f>
        <v>0</v>
      </c>
      <c r="K4544" s="47" t="n">
        <f aca="false">IF(J4544=1,N(I4544)+ROW()/10000000,0)</f>
        <v>0</v>
      </c>
      <c r="L4544" s="47" t="str">
        <f aca="false">IF(AND(J4544=1,N(I4544)&gt;0),SUMIF($K$2:$K$5001,"&gt;="&amp;K4544,$I$2:$I$5001)/MAX(1,SUM($H$2:$H$5001)),"")</f>
        <v/>
      </c>
      <c r="M4544" s="47" t="str">
        <f aca="false">IF($A4544="","",INDEX($L$2:$L$5001,MATCH($A4544,$A$2:$A$5001,0)))</f>
        <v/>
      </c>
      <c r="N4544" s="48" t="str">
        <f aca="false">IF($A4544="","",IF(N(M4544)=0,"–",IF(M4544&lt;=Start!$D$20,"A",IF(M4544&lt;=Start!$D$21,"B","C"))))</f>
        <v/>
      </c>
      <c r="O4544" s="48" t="str">
        <f aca="false">IF($A4544="","",IF(NOT(ISNUMBER(F4544)),"Wert fehlt; ",IF(F4544&lt;=0,"Wert ist 0; ",""))&amp;IF(NOT(ISNUMBER(E4544)),"Bestand fehlt; ",IF(E4544&lt;0,"Bestand negativ; ",IF(E4544=0,"Nullbestand; ","")))&amp;IF(D4544="","Warengruppe fehlt; ","")&amp;IF(B4544="","Bezeichnung fehlt; ","")&amp;IF(COUNTIFS($A$2:$A$5001,$A4544,$C$2:$C$5001,C4544)&gt;1,"Artikel doppelt im selben Lager; ",""))</f>
        <v/>
      </c>
      <c r="P4544" s="47" t="n">
        <f aca="false">IF(OR($A4544="",D4544=""),0,IF(COUNTIF($D$2:D4544,D4544)=1,SUMIF($D$2:$D$5001,D4544,$H$2:$H$5001)+ROW()/10000000,0))</f>
        <v>0</v>
      </c>
      <c r="Q4544" s="47" t="n">
        <f aca="false">IF(OR($A4544="",C4544=""),0,IF(COUNTIF($C$2:C4544,C4544)=1,SUMIF($C$2:$C$5001,C4544,$H$2:$H$5001)+ROW()/10000000,0))</f>
        <v>0</v>
      </c>
    </row>
    <row r="4545" customFormat="false" ht="15" hidden="false" customHeight="false" outlineLevel="0" collapsed="false">
      <c r="A4545" s="43"/>
      <c r="B4545" s="44"/>
      <c r="C4545" s="44"/>
      <c r="D4545" s="44"/>
      <c r="E4545" s="44"/>
      <c r="F4545" s="44"/>
      <c r="G4545" s="44"/>
      <c r="H4545" s="46" t="str">
        <f aca="false">IF($A4545="","",IF(OR(NOT(ISNUMBER(E4545)),NOT(ISNUMBER(F4545))),"",MAX(0,E4545)*F4545))</f>
        <v/>
      </c>
      <c r="I4545" s="46" t="str">
        <f aca="false">IF($A4545="","",SUMIF($A$2:$A$5001,$A4545,$H$2:$H$5001))</f>
        <v/>
      </c>
      <c r="J4545" s="47" t="n">
        <f aca="false">IF($A4545="",0,IF(COUNTIF($A$2:A4545,$A4545)=1,1,0))</f>
        <v>0</v>
      </c>
      <c r="K4545" s="47" t="n">
        <f aca="false">IF(J4545=1,N(I4545)+ROW()/10000000,0)</f>
        <v>0</v>
      </c>
      <c r="L4545" s="47" t="str">
        <f aca="false">IF(AND(J4545=1,N(I4545)&gt;0),SUMIF($K$2:$K$5001,"&gt;="&amp;K4545,$I$2:$I$5001)/MAX(1,SUM($H$2:$H$5001)),"")</f>
        <v/>
      </c>
      <c r="M4545" s="47" t="str">
        <f aca="false">IF($A4545="","",INDEX($L$2:$L$5001,MATCH($A4545,$A$2:$A$5001,0)))</f>
        <v/>
      </c>
      <c r="N4545" s="48" t="str">
        <f aca="false">IF($A4545="","",IF(N(M4545)=0,"–",IF(M4545&lt;=Start!$D$20,"A",IF(M4545&lt;=Start!$D$21,"B","C"))))</f>
        <v/>
      </c>
      <c r="O4545" s="48" t="str">
        <f aca="false">IF($A4545="","",IF(NOT(ISNUMBER(F4545)),"Wert fehlt; ",IF(F4545&lt;=0,"Wert ist 0; ",""))&amp;IF(NOT(ISNUMBER(E4545)),"Bestand fehlt; ",IF(E4545&lt;0,"Bestand negativ; ",IF(E4545=0,"Nullbestand; ","")))&amp;IF(D4545="","Warengruppe fehlt; ","")&amp;IF(B4545="","Bezeichnung fehlt; ","")&amp;IF(COUNTIFS($A$2:$A$5001,$A4545,$C$2:$C$5001,C4545)&gt;1,"Artikel doppelt im selben Lager; ",""))</f>
        <v/>
      </c>
      <c r="P4545" s="47" t="n">
        <f aca="false">IF(OR($A4545="",D4545=""),0,IF(COUNTIF($D$2:D4545,D4545)=1,SUMIF($D$2:$D$5001,D4545,$H$2:$H$5001)+ROW()/10000000,0))</f>
        <v>0</v>
      </c>
      <c r="Q4545" s="47" t="n">
        <f aca="false">IF(OR($A4545="",C4545=""),0,IF(COUNTIF($C$2:C4545,C4545)=1,SUMIF($C$2:$C$5001,C4545,$H$2:$H$5001)+ROW()/10000000,0))</f>
        <v>0</v>
      </c>
    </row>
    <row r="4546" customFormat="false" ht="15" hidden="false" customHeight="false" outlineLevel="0" collapsed="false">
      <c r="A4546" s="43"/>
      <c r="B4546" s="44"/>
      <c r="C4546" s="44"/>
      <c r="D4546" s="44"/>
      <c r="E4546" s="44"/>
      <c r="F4546" s="44"/>
      <c r="G4546" s="44"/>
      <c r="H4546" s="46" t="str">
        <f aca="false">IF($A4546="","",IF(OR(NOT(ISNUMBER(E4546)),NOT(ISNUMBER(F4546))),"",MAX(0,E4546)*F4546))</f>
        <v/>
      </c>
      <c r="I4546" s="46" t="str">
        <f aca="false">IF($A4546="","",SUMIF($A$2:$A$5001,$A4546,$H$2:$H$5001))</f>
        <v/>
      </c>
      <c r="J4546" s="47" t="n">
        <f aca="false">IF($A4546="",0,IF(COUNTIF($A$2:A4546,$A4546)=1,1,0))</f>
        <v>0</v>
      </c>
      <c r="K4546" s="47" t="n">
        <f aca="false">IF(J4546=1,N(I4546)+ROW()/10000000,0)</f>
        <v>0</v>
      </c>
      <c r="L4546" s="47" t="str">
        <f aca="false">IF(AND(J4546=1,N(I4546)&gt;0),SUMIF($K$2:$K$5001,"&gt;="&amp;K4546,$I$2:$I$5001)/MAX(1,SUM($H$2:$H$5001)),"")</f>
        <v/>
      </c>
      <c r="M4546" s="47" t="str">
        <f aca="false">IF($A4546="","",INDEX($L$2:$L$5001,MATCH($A4546,$A$2:$A$5001,0)))</f>
        <v/>
      </c>
      <c r="N4546" s="48" t="str">
        <f aca="false">IF($A4546="","",IF(N(M4546)=0,"–",IF(M4546&lt;=Start!$D$20,"A",IF(M4546&lt;=Start!$D$21,"B","C"))))</f>
        <v/>
      </c>
      <c r="O4546" s="48" t="str">
        <f aca="false">IF($A4546="","",IF(NOT(ISNUMBER(F4546)),"Wert fehlt; ",IF(F4546&lt;=0,"Wert ist 0; ",""))&amp;IF(NOT(ISNUMBER(E4546)),"Bestand fehlt; ",IF(E4546&lt;0,"Bestand negativ; ",IF(E4546=0,"Nullbestand; ","")))&amp;IF(D4546="","Warengruppe fehlt; ","")&amp;IF(B4546="","Bezeichnung fehlt; ","")&amp;IF(COUNTIFS($A$2:$A$5001,$A4546,$C$2:$C$5001,C4546)&gt;1,"Artikel doppelt im selben Lager; ",""))</f>
        <v/>
      </c>
      <c r="P4546" s="47" t="n">
        <f aca="false">IF(OR($A4546="",D4546=""),0,IF(COUNTIF($D$2:D4546,D4546)=1,SUMIF($D$2:$D$5001,D4546,$H$2:$H$5001)+ROW()/10000000,0))</f>
        <v>0</v>
      </c>
      <c r="Q4546" s="47" t="n">
        <f aca="false">IF(OR($A4546="",C4546=""),0,IF(COUNTIF($C$2:C4546,C4546)=1,SUMIF($C$2:$C$5001,C4546,$H$2:$H$5001)+ROW()/10000000,0))</f>
        <v>0</v>
      </c>
    </row>
    <row r="4547" customFormat="false" ht="15" hidden="false" customHeight="false" outlineLevel="0" collapsed="false">
      <c r="A4547" s="43"/>
      <c r="B4547" s="44"/>
      <c r="C4547" s="44"/>
      <c r="D4547" s="44"/>
      <c r="E4547" s="44"/>
      <c r="F4547" s="44"/>
      <c r="G4547" s="44"/>
      <c r="H4547" s="46" t="str">
        <f aca="false">IF($A4547="","",IF(OR(NOT(ISNUMBER(E4547)),NOT(ISNUMBER(F4547))),"",MAX(0,E4547)*F4547))</f>
        <v/>
      </c>
      <c r="I4547" s="46" t="str">
        <f aca="false">IF($A4547="","",SUMIF($A$2:$A$5001,$A4547,$H$2:$H$5001))</f>
        <v/>
      </c>
      <c r="J4547" s="47" t="n">
        <f aca="false">IF($A4547="",0,IF(COUNTIF($A$2:A4547,$A4547)=1,1,0))</f>
        <v>0</v>
      </c>
      <c r="K4547" s="47" t="n">
        <f aca="false">IF(J4547=1,N(I4547)+ROW()/10000000,0)</f>
        <v>0</v>
      </c>
      <c r="L4547" s="47" t="str">
        <f aca="false">IF(AND(J4547=1,N(I4547)&gt;0),SUMIF($K$2:$K$5001,"&gt;="&amp;K4547,$I$2:$I$5001)/MAX(1,SUM($H$2:$H$5001)),"")</f>
        <v/>
      </c>
      <c r="M4547" s="47" t="str">
        <f aca="false">IF($A4547="","",INDEX($L$2:$L$5001,MATCH($A4547,$A$2:$A$5001,0)))</f>
        <v/>
      </c>
      <c r="N4547" s="48" t="str">
        <f aca="false">IF($A4547="","",IF(N(M4547)=0,"–",IF(M4547&lt;=Start!$D$20,"A",IF(M4547&lt;=Start!$D$21,"B","C"))))</f>
        <v/>
      </c>
      <c r="O4547" s="48" t="str">
        <f aca="false">IF($A4547="","",IF(NOT(ISNUMBER(F4547)),"Wert fehlt; ",IF(F4547&lt;=0,"Wert ist 0; ",""))&amp;IF(NOT(ISNUMBER(E4547)),"Bestand fehlt; ",IF(E4547&lt;0,"Bestand negativ; ",IF(E4547=0,"Nullbestand; ","")))&amp;IF(D4547="","Warengruppe fehlt; ","")&amp;IF(B4547="","Bezeichnung fehlt; ","")&amp;IF(COUNTIFS($A$2:$A$5001,$A4547,$C$2:$C$5001,C4547)&gt;1,"Artikel doppelt im selben Lager; ",""))</f>
        <v/>
      </c>
      <c r="P4547" s="47" t="n">
        <f aca="false">IF(OR($A4547="",D4547=""),0,IF(COUNTIF($D$2:D4547,D4547)=1,SUMIF($D$2:$D$5001,D4547,$H$2:$H$5001)+ROW()/10000000,0))</f>
        <v>0</v>
      </c>
      <c r="Q4547" s="47" t="n">
        <f aca="false">IF(OR($A4547="",C4547=""),0,IF(COUNTIF($C$2:C4547,C4547)=1,SUMIF($C$2:$C$5001,C4547,$H$2:$H$5001)+ROW()/10000000,0))</f>
        <v>0</v>
      </c>
    </row>
    <row r="4548" customFormat="false" ht="15" hidden="false" customHeight="false" outlineLevel="0" collapsed="false">
      <c r="A4548" s="43"/>
      <c r="B4548" s="44"/>
      <c r="C4548" s="44"/>
      <c r="D4548" s="44"/>
      <c r="E4548" s="44"/>
      <c r="F4548" s="44"/>
      <c r="G4548" s="44"/>
      <c r="H4548" s="46" t="str">
        <f aca="false">IF($A4548="","",IF(OR(NOT(ISNUMBER(E4548)),NOT(ISNUMBER(F4548))),"",MAX(0,E4548)*F4548))</f>
        <v/>
      </c>
      <c r="I4548" s="46" t="str">
        <f aca="false">IF($A4548="","",SUMIF($A$2:$A$5001,$A4548,$H$2:$H$5001))</f>
        <v/>
      </c>
      <c r="J4548" s="47" t="n">
        <f aca="false">IF($A4548="",0,IF(COUNTIF($A$2:A4548,$A4548)=1,1,0))</f>
        <v>0</v>
      </c>
      <c r="K4548" s="47" t="n">
        <f aca="false">IF(J4548=1,N(I4548)+ROW()/10000000,0)</f>
        <v>0</v>
      </c>
      <c r="L4548" s="47" t="str">
        <f aca="false">IF(AND(J4548=1,N(I4548)&gt;0),SUMIF($K$2:$K$5001,"&gt;="&amp;K4548,$I$2:$I$5001)/MAX(1,SUM($H$2:$H$5001)),"")</f>
        <v/>
      </c>
      <c r="M4548" s="47" t="str">
        <f aca="false">IF($A4548="","",INDEX($L$2:$L$5001,MATCH($A4548,$A$2:$A$5001,0)))</f>
        <v/>
      </c>
      <c r="N4548" s="48" t="str">
        <f aca="false">IF($A4548="","",IF(N(M4548)=0,"–",IF(M4548&lt;=Start!$D$20,"A",IF(M4548&lt;=Start!$D$21,"B","C"))))</f>
        <v/>
      </c>
      <c r="O4548" s="48" t="str">
        <f aca="false">IF($A4548="","",IF(NOT(ISNUMBER(F4548)),"Wert fehlt; ",IF(F4548&lt;=0,"Wert ist 0; ",""))&amp;IF(NOT(ISNUMBER(E4548)),"Bestand fehlt; ",IF(E4548&lt;0,"Bestand negativ; ",IF(E4548=0,"Nullbestand; ","")))&amp;IF(D4548="","Warengruppe fehlt; ","")&amp;IF(B4548="","Bezeichnung fehlt; ","")&amp;IF(COUNTIFS($A$2:$A$5001,$A4548,$C$2:$C$5001,C4548)&gt;1,"Artikel doppelt im selben Lager; ",""))</f>
        <v/>
      </c>
      <c r="P4548" s="47" t="n">
        <f aca="false">IF(OR($A4548="",D4548=""),0,IF(COUNTIF($D$2:D4548,D4548)=1,SUMIF($D$2:$D$5001,D4548,$H$2:$H$5001)+ROW()/10000000,0))</f>
        <v>0</v>
      </c>
      <c r="Q4548" s="47" t="n">
        <f aca="false">IF(OR($A4548="",C4548=""),0,IF(COUNTIF($C$2:C4548,C4548)=1,SUMIF($C$2:$C$5001,C4548,$H$2:$H$5001)+ROW()/10000000,0))</f>
        <v>0</v>
      </c>
    </row>
    <row r="4549" customFormat="false" ht="15" hidden="false" customHeight="false" outlineLevel="0" collapsed="false">
      <c r="A4549" s="43"/>
      <c r="B4549" s="44"/>
      <c r="C4549" s="44"/>
      <c r="D4549" s="44"/>
      <c r="E4549" s="44"/>
      <c r="F4549" s="44"/>
      <c r="G4549" s="44"/>
      <c r="H4549" s="46" t="str">
        <f aca="false">IF($A4549="","",IF(OR(NOT(ISNUMBER(E4549)),NOT(ISNUMBER(F4549))),"",MAX(0,E4549)*F4549))</f>
        <v/>
      </c>
      <c r="I4549" s="46" t="str">
        <f aca="false">IF($A4549="","",SUMIF($A$2:$A$5001,$A4549,$H$2:$H$5001))</f>
        <v/>
      </c>
      <c r="J4549" s="47" t="n">
        <f aca="false">IF($A4549="",0,IF(COUNTIF($A$2:A4549,$A4549)=1,1,0))</f>
        <v>0</v>
      </c>
      <c r="K4549" s="47" t="n">
        <f aca="false">IF(J4549=1,N(I4549)+ROW()/10000000,0)</f>
        <v>0</v>
      </c>
      <c r="L4549" s="47" t="str">
        <f aca="false">IF(AND(J4549=1,N(I4549)&gt;0),SUMIF($K$2:$K$5001,"&gt;="&amp;K4549,$I$2:$I$5001)/MAX(1,SUM($H$2:$H$5001)),"")</f>
        <v/>
      </c>
      <c r="M4549" s="47" t="str">
        <f aca="false">IF($A4549="","",INDEX($L$2:$L$5001,MATCH($A4549,$A$2:$A$5001,0)))</f>
        <v/>
      </c>
      <c r="N4549" s="48" t="str">
        <f aca="false">IF($A4549="","",IF(N(M4549)=0,"–",IF(M4549&lt;=Start!$D$20,"A",IF(M4549&lt;=Start!$D$21,"B","C"))))</f>
        <v/>
      </c>
      <c r="O4549" s="48" t="str">
        <f aca="false">IF($A4549="","",IF(NOT(ISNUMBER(F4549)),"Wert fehlt; ",IF(F4549&lt;=0,"Wert ist 0; ",""))&amp;IF(NOT(ISNUMBER(E4549)),"Bestand fehlt; ",IF(E4549&lt;0,"Bestand negativ; ",IF(E4549=0,"Nullbestand; ","")))&amp;IF(D4549="","Warengruppe fehlt; ","")&amp;IF(B4549="","Bezeichnung fehlt; ","")&amp;IF(COUNTIFS($A$2:$A$5001,$A4549,$C$2:$C$5001,C4549)&gt;1,"Artikel doppelt im selben Lager; ",""))</f>
        <v/>
      </c>
      <c r="P4549" s="47" t="n">
        <f aca="false">IF(OR($A4549="",D4549=""),0,IF(COUNTIF($D$2:D4549,D4549)=1,SUMIF($D$2:$D$5001,D4549,$H$2:$H$5001)+ROW()/10000000,0))</f>
        <v>0</v>
      </c>
      <c r="Q4549" s="47" t="n">
        <f aca="false">IF(OR($A4549="",C4549=""),0,IF(COUNTIF($C$2:C4549,C4549)=1,SUMIF($C$2:$C$5001,C4549,$H$2:$H$5001)+ROW()/10000000,0))</f>
        <v>0</v>
      </c>
    </row>
    <row r="4550" customFormat="false" ht="15" hidden="false" customHeight="false" outlineLevel="0" collapsed="false">
      <c r="A4550" s="43"/>
      <c r="B4550" s="44"/>
      <c r="C4550" s="44"/>
      <c r="D4550" s="44"/>
      <c r="E4550" s="44"/>
      <c r="F4550" s="44"/>
      <c r="G4550" s="44"/>
      <c r="H4550" s="46" t="str">
        <f aca="false">IF($A4550="","",IF(OR(NOT(ISNUMBER(E4550)),NOT(ISNUMBER(F4550))),"",MAX(0,E4550)*F4550))</f>
        <v/>
      </c>
      <c r="I4550" s="46" t="str">
        <f aca="false">IF($A4550="","",SUMIF($A$2:$A$5001,$A4550,$H$2:$H$5001))</f>
        <v/>
      </c>
      <c r="J4550" s="47" t="n">
        <f aca="false">IF($A4550="",0,IF(COUNTIF($A$2:A4550,$A4550)=1,1,0))</f>
        <v>0</v>
      </c>
      <c r="K4550" s="47" t="n">
        <f aca="false">IF(J4550=1,N(I4550)+ROW()/10000000,0)</f>
        <v>0</v>
      </c>
      <c r="L4550" s="47" t="str">
        <f aca="false">IF(AND(J4550=1,N(I4550)&gt;0),SUMIF($K$2:$K$5001,"&gt;="&amp;K4550,$I$2:$I$5001)/MAX(1,SUM($H$2:$H$5001)),"")</f>
        <v/>
      </c>
      <c r="M4550" s="47" t="str">
        <f aca="false">IF($A4550="","",INDEX($L$2:$L$5001,MATCH($A4550,$A$2:$A$5001,0)))</f>
        <v/>
      </c>
      <c r="N4550" s="48" t="str">
        <f aca="false">IF($A4550="","",IF(N(M4550)=0,"–",IF(M4550&lt;=Start!$D$20,"A",IF(M4550&lt;=Start!$D$21,"B","C"))))</f>
        <v/>
      </c>
      <c r="O4550" s="48" t="str">
        <f aca="false">IF($A4550="","",IF(NOT(ISNUMBER(F4550)),"Wert fehlt; ",IF(F4550&lt;=0,"Wert ist 0; ",""))&amp;IF(NOT(ISNUMBER(E4550)),"Bestand fehlt; ",IF(E4550&lt;0,"Bestand negativ; ",IF(E4550=0,"Nullbestand; ","")))&amp;IF(D4550="","Warengruppe fehlt; ","")&amp;IF(B4550="","Bezeichnung fehlt; ","")&amp;IF(COUNTIFS($A$2:$A$5001,$A4550,$C$2:$C$5001,C4550)&gt;1,"Artikel doppelt im selben Lager; ",""))</f>
        <v/>
      </c>
      <c r="P4550" s="47" t="n">
        <f aca="false">IF(OR($A4550="",D4550=""),0,IF(COUNTIF($D$2:D4550,D4550)=1,SUMIF($D$2:$D$5001,D4550,$H$2:$H$5001)+ROW()/10000000,0))</f>
        <v>0</v>
      </c>
      <c r="Q4550" s="47" t="n">
        <f aca="false">IF(OR($A4550="",C4550=""),0,IF(COUNTIF($C$2:C4550,C4550)=1,SUMIF($C$2:$C$5001,C4550,$H$2:$H$5001)+ROW()/10000000,0))</f>
        <v>0</v>
      </c>
    </row>
    <row r="4551" customFormat="false" ht="15" hidden="false" customHeight="false" outlineLevel="0" collapsed="false">
      <c r="A4551" s="43"/>
      <c r="B4551" s="44"/>
      <c r="C4551" s="44"/>
      <c r="D4551" s="44"/>
      <c r="E4551" s="44"/>
      <c r="F4551" s="44"/>
      <c r="G4551" s="44"/>
      <c r="H4551" s="46" t="str">
        <f aca="false">IF($A4551="","",IF(OR(NOT(ISNUMBER(E4551)),NOT(ISNUMBER(F4551))),"",MAX(0,E4551)*F4551))</f>
        <v/>
      </c>
      <c r="I4551" s="46" t="str">
        <f aca="false">IF($A4551="","",SUMIF($A$2:$A$5001,$A4551,$H$2:$H$5001))</f>
        <v/>
      </c>
      <c r="J4551" s="47" t="n">
        <f aca="false">IF($A4551="",0,IF(COUNTIF($A$2:A4551,$A4551)=1,1,0))</f>
        <v>0</v>
      </c>
      <c r="K4551" s="47" t="n">
        <f aca="false">IF(J4551=1,N(I4551)+ROW()/10000000,0)</f>
        <v>0</v>
      </c>
      <c r="L4551" s="47" t="str">
        <f aca="false">IF(AND(J4551=1,N(I4551)&gt;0),SUMIF($K$2:$K$5001,"&gt;="&amp;K4551,$I$2:$I$5001)/MAX(1,SUM($H$2:$H$5001)),"")</f>
        <v/>
      </c>
      <c r="M4551" s="47" t="str">
        <f aca="false">IF($A4551="","",INDEX($L$2:$L$5001,MATCH($A4551,$A$2:$A$5001,0)))</f>
        <v/>
      </c>
      <c r="N4551" s="48" t="str">
        <f aca="false">IF($A4551="","",IF(N(M4551)=0,"–",IF(M4551&lt;=Start!$D$20,"A",IF(M4551&lt;=Start!$D$21,"B","C"))))</f>
        <v/>
      </c>
      <c r="O4551" s="48" t="str">
        <f aca="false">IF($A4551="","",IF(NOT(ISNUMBER(F4551)),"Wert fehlt; ",IF(F4551&lt;=0,"Wert ist 0; ",""))&amp;IF(NOT(ISNUMBER(E4551)),"Bestand fehlt; ",IF(E4551&lt;0,"Bestand negativ; ",IF(E4551=0,"Nullbestand; ","")))&amp;IF(D4551="","Warengruppe fehlt; ","")&amp;IF(B4551="","Bezeichnung fehlt; ","")&amp;IF(COUNTIFS($A$2:$A$5001,$A4551,$C$2:$C$5001,C4551)&gt;1,"Artikel doppelt im selben Lager; ",""))</f>
        <v/>
      </c>
      <c r="P4551" s="47" t="n">
        <f aca="false">IF(OR($A4551="",D4551=""),0,IF(COUNTIF($D$2:D4551,D4551)=1,SUMIF($D$2:$D$5001,D4551,$H$2:$H$5001)+ROW()/10000000,0))</f>
        <v>0</v>
      </c>
      <c r="Q4551" s="47" t="n">
        <f aca="false">IF(OR($A4551="",C4551=""),0,IF(COUNTIF($C$2:C4551,C4551)=1,SUMIF($C$2:$C$5001,C4551,$H$2:$H$5001)+ROW()/10000000,0))</f>
        <v>0</v>
      </c>
    </row>
    <row r="4552" customFormat="false" ht="15" hidden="false" customHeight="false" outlineLevel="0" collapsed="false">
      <c r="A4552" s="43"/>
      <c r="B4552" s="44"/>
      <c r="C4552" s="44"/>
      <c r="D4552" s="44"/>
      <c r="E4552" s="44"/>
      <c r="F4552" s="44"/>
      <c r="G4552" s="44"/>
      <c r="H4552" s="46" t="str">
        <f aca="false">IF($A4552="","",IF(OR(NOT(ISNUMBER(E4552)),NOT(ISNUMBER(F4552))),"",MAX(0,E4552)*F4552))</f>
        <v/>
      </c>
      <c r="I4552" s="46" t="str">
        <f aca="false">IF($A4552="","",SUMIF($A$2:$A$5001,$A4552,$H$2:$H$5001))</f>
        <v/>
      </c>
      <c r="J4552" s="47" t="n">
        <f aca="false">IF($A4552="",0,IF(COUNTIF($A$2:A4552,$A4552)=1,1,0))</f>
        <v>0</v>
      </c>
      <c r="K4552" s="47" t="n">
        <f aca="false">IF(J4552=1,N(I4552)+ROW()/10000000,0)</f>
        <v>0</v>
      </c>
      <c r="L4552" s="47" t="str">
        <f aca="false">IF(AND(J4552=1,N(I4552)&gt;0),SUMIF($K$2:$K$5001,"&gt;="&amp;K4552,$I$2:$I$5001)/MAX(1,SUM($H$2:$H$5001)),"")</f>
        <v/>
      </c>
      <c r="M4552" s="47" t="str">
        <f aca="false">IF($A4552="","",INDEX($L$2:$L$5001,MATCH($A4552,$A$2:$A$5001,0)))</f>
        <v/>
      </c>
      <c r="N4552" s="48" t="str">
        <f aca="false">IF($A4552="","",IF(N(M4552)=0,"–",IF(M4552&lt;=Start!$D$20,"A",IF(M4552&lt;=Start!$D$21,"B","C"))))</f>
        <v/>
      </c>
      <c r="O4552" s="48" t="str">
        <f aca="false">IF($A4552="","",IF(NOT(ISNUMBER(F4552)),"Wert fehlt; ",IF(F4552&lt;=0,"Wert ist 0; ",""))&amp;IF(NOT(ISNUMBER(E4552)),"Bestand fehlt; ",IF(E4552&lt;0,"Bestand negativ; ",IF(E4552=0,"Nullbestand; ","")))&amp;IF(D4552="","Warengruppe fehlt; ","")&amp;IF(B4552="","Bezeichnung fehlt; ","")&amp;IF(COUNTIFS($A$2:$A$5001,$A4552,$C$2:$C$5001,C4552)&gt;1,"Artikel doppelt im selben Lager; ",""))</f>
        <v/>
      </c>
      <c r="P4552" s="47" t="n">
        <f aca="false">IF(OR($A4552="",D4552=""),0,IF(COUNTIF($D$2:D4552,D4552)=1,SUMIF($D$2:$D$5001,D4552,$H$2:$H$5001)+ROW()/10000000,0))</f>
        <v>0</v>
      </c>
      <c r="Q4552" s="47" t="n">
        <f aca="false">IF(OR($A4552="",C4552=""),0,IF(COUNTIF($C$2:C4552,C4552)=1,SUMIF($C$2:$C$5001,C4552,$H$2:$H$5001)+ROW()/10000000,0))</f>
        <v>0</v>
      </c>
    </row>
    <row r="4553" customFormat="false" ht="15" hidden="false" customHeight="false" outlineLevel="0" collapsed="false">
      <c r="A4553" s="43"/>
      <c r="B4553" s="44"/>
      <c r="C4553" s="44"/>
      <c r="D4553" s="44"/>
      <c r="E4553" s="44"/>
      <c r="F4553" s="44"/>
      <c r="G4553" s="44"/>
      <c r="H4553" s="46" t="str">
        <f aca="false">IF($A4553="","",IF(OR(NOT(ISNUMBER(E4553)),NOT(ISNUMBER(F4553))),"",MAX(0,E4553)*F4553))</f>
        <v/>
      </c>
      <c r="I4553" s="46" t="str">
        <f aca="false">IF($A4553="","",SUMIF($A$2:$A$5001,$A4553,$H$2:$H$5001))</f>
        <v/>
      </c>
      <c r="J4553" s="47" t="n">
        <f aca="false">IF($A4553="",0,IF(COUNTIF($A$2:A4553,$A4553)=1,1,0))</f>
        <v>0</v>
      </c>
      <c r="K4553" s="47" t="n">
        <f aca="false">IF(J4553=1,N(I4553)+ROW()/10000000,0)</f>
        <v>0</v>
      </c>
      <c r="L4553" s="47" t="str">
        <f aca="false">IF(AND(J4553=1,N(I4553)&gt;0),SUMIF($K$2:$K$5001,"&gt;="&amp;K4553,$I$2:$I$5001)/MAX(1,SUM($H$2:$H$5001)),"")</f>
        <v/>
      </c>
      <c r="M4553" s="47" t="str">
        <f aca="false">IF($A4553="","",INDEX($L$2:$L$5001,MATCH($A4553,$A$2:$A$5001,0)))</f>
        <v/>
      </c>
      <c r="N4553" s="48" t="str">
        <f aca="false">IF($A4553="","",IF(N(M4553)=0,"–",IF(M4553&lt;=Start!$D$20,"A",IF(M4553&lt;=Start!$D$21,"B","C"))))</f>
        <v/>
      </c>
      <c r="O4553" s="48" t="str">
        <f aca="false">IF($A4553="","",IF(NOT(ISNUMBER(F4553)),"Wert fehlt; ",IF(F4553&lt;=0,"Wert ist 0; ",""))&amp;IF(NOT(ISNUMBER(E4553)),"Bestand fehlt; ",IF(E4553&lt;0,"Bestand negativ; ",IF(E4553=0,"Nullbestand; ","")))&amp;IF(D4553="","Warengruppe fehlt; ","")&amp;IF(B4553="","Bezeichnung fehlt; ","")&amp;IF(COUNTIFS($A$2:$A$5001,$A4553,$C$2:$C$5001,C4553)&gt;1,"Artikel doppelt im selben Lager; ",""))</f>
        <v/>
      </c>
      <c r="P4553" s="47" t="n">
        <f aca="false">IF(OR($A4553="",D4553=""),0,IF(COUNTIF($D$2:D4553,D4553)=1,SUMIF($D$2:$D$5001,D4553,$H$2:$H$5001)+ROW()/10000000,0))</f>
        <v>0</v>
      </c>
      <c r="Q4553" s="47" t="n">
        <f aca="false">IF(OR($A4553="",C4553=""),0,IF(COUNTIF($C$2:C4553,C4553)=1,SUMIF($C$2:$C$5001,C4553,$H$2:$H$5001)+ROW()/10000000,0))</f>
        <v>0</v>
      </c>
    </row>
    <row r="4554" customFormat="false" ht="15" hidden="false" customHeight="false" outlineLevel="0" collapsed="false">
      <c r="A4554" s="43"/>
      <c r="B4554" s="44"/>
      <c r="C4554" s="44"/>
      <c r="D4554" s="44"/>
      <c r="E4554" s="44"/>
      <c r="F4554" s="44"/>
      <c r="G4554" s="44"/>
      <c r="H4554" s="46" t="str">
        <f aca="false">IF($A4554="","",IF(OR(NOT(ISNUMBER(E4554)),NOT(ISNUMBER(F4554))),"",MAX(0,E4554)*F4554))</f>
        <v/>
      </c>
      <c r="I4554" s="46" t="str">
        <f aca="false">IF($A4554="","",SUMIF($A$2:$A$5001,$A4554,$H$2:$H$5001))</f>
        <v/>
      </c>
      <c r="J4554" s="47" t="n">
        <f aca="false">IF($A4554="",0,IF(COUNTIF($A$2:A4554,$A4554)=1,1,0))</f>
        <v>0</v>
      </c>
      <c r="K4554" s="47" t="n">
        <f aca="false">IF(J4554=1,N(I4554)+ROW()/10000000,0)</f>
        <v>0</v>
      </c>
      <c r="L4554" s="47" t="str">
        <f aca="false">IF(AND(J4554=1,N(I4554)&gt;0),SUMIF($K$2:$K$5001,"&gt;="&amp;K4554,$I$2:$I$5001)/MAX(1,SUM($H$2:$H$5001)),"")</f>
        <v/>
      </c>
      <c r="M4554" s="47" t="str">
        <f aca="false">IF($A4554="","",INDEX($L$2:$L$5001,MATCH($A4554,$A$2:$A$5001,0)))</f>
        <v/>
      </c>
      <c r="N4554" s="48" t="str">
        <f aca="false">IF($A4554="","",IF(N(M4554)=0,"–",IF(M4554&lt;=Start!$D$20,"A",IF(M4554&lt;=Start!$D$21,"B","C"))))</f>
        <v/>
      </c>
      <c r="O4554" s="48" t="str">
        <f aca="false">IF($A4554="","",IF(NOT(ISNUMBER(F4554)),"Wert fehlt; ",IF(F4554&lt;=0,"Wert ist 0; ",""))&amp;IF(NOT(ISNUMBER(E4554)),"Bestand fehlt; ",IF(E4554&lt;0,"Bestand negativ; ",IF(E4554=0,"Nullbestand; ","")))&amp;IF(D4554="","Warengruppe fehlt; ","")&amp;IF(B4554="","Bezeichnung fehlt; ","")&amp;IF(COUNTIFS($A$2:$A$5001,$A4554,$C$2:$C$5001,C4554)&gt;1,"Artikel doppelt im selben Lager; ",""))</f>
        <v/>
      </c>
      <c r="P4554" s="47" t="n">
        <f aca="false">IF(OR($A4554="",D4554=""),0,IF(COUNTIF($D$2:D4554,D4554)=1,SUMIF($D$2:$D$5001,D4554,$H$2:$H$5001)+ROW()/10000000,0))</f>
        <v>0</v>
      </c>
      <c r="Q4554" s="47" t="n">
        <f aca="false">IF(OR($A4554="",C4554=""),0,IF(COUNTIF($C$2:C4554,C4554)=1,SUMIF($C$2:$C$5001,C4554,$H$2:$H$5001)+ROW()/10000000,0))</f>
        <v>0</v>
      </c>
    </row>
    <row r="4555" customFormat="false" ht="15" hidden="false" customHeight="false" outlineLevel="0" collapsed="false">
      <c r="A4555" s="43"/>
      <c r="B4555" s="44"/>
      <c r="C4555" s="44"/>
      <c r="D4555" s="44"/>
      <c r="E4555" s="44"/>
      <c r="F4555" s="44"/>
      <c r="G4555" s="44"/>
      <c r="H4555" s="46" t="str">
        <f aca="false">IF($A4555="","",IF(OR(NOT(ISNUMBER(E4555)),NOT(ISNUMBER(F4555))),"",MAX(0,E4555)*F4555))</f>
        <v/>
      </c>
      <c r="I4555" s="46" t="str">
        <f aca="false">IF($A4555="","",SUMIF($A$2:$A$5001,$A4555,$H$2:$H$5001))</f>
        <v/>
      </c>
      <c r="J4555" s="47" t="n">
        <f aca="false">IF($A4555="",0,IF(COUNTIF($A$2:A4555,$A4555)=1,1,0))</f>
        <v>0</v>
      </c>
      <c r="K4555" s="47" t="n">
        <f aca="false">IF(J4555=1,N(I4555)+ROW()/10000000,0)</f>
        <v>0</v>
      </c>
      <c r="L4555" s="47" t="str">
        <f aca="false">IF(AND(J4555=1,N(I4555)&gt;0),SUMIF($K$2:$K$5001,"&gt;="&amp;K4555,$I$2:$I$5001)/MAX(1,SUM($H$2:$H$5001)),"")</f>
        <v/>
      </c>
      <c r="M4555" s="47" t="str">
        <f aca="false">IF($A4555="","",INDEX($L$2:$L$5001,MATCH($A4555,$A$2:$A$5001,0)))</f>
        <v/>
      </c>
      <c r="N4555" s="48" t="str">
        <f aca="false">IF($A4555="","",IF(N(M4555)=0,"–",IF(M4555&lt;=Start!$D$20,"A",IF(M4555&lt;=Start!$D$21,"B","C"))))</f>
        <v/>
      </c>
      <c r="O4555" s="48" t="str">
        <f aca="false">IF($A4555="","",IF(NOT(ISNUMBER(F4555)),"Wert fehlt; ",IF(F4555&lt;=0,"Wert ist 0; ",""))&amp;IF(NOT(ISNUMBER(E4555)),"Bestand fehlt; ",IF(E4555&lt;0,"Bestand negativ; ",IF(E4555=0,"Nullbestand; ","")))&amp;IF(D4555="","Warengruppe fehlt; ","")&amp;IF(B4555="","Bezeichnung fehlt; ","")&amp;IF(COUNTIFS($A$2:$A$5001,$A4555,$C$2:$C$5001,C4555)&gt;1,"Artikel doppelt im selben Lager; ",""))</f>
        <v/>
      </c>
      <c r="P4555" s="47" t="n">
        <f aca="false">IF(OR($A4555="",D4555=""),0,IF(COUNTIF($D$2:D4555,D4555)=1,SUMIF($D$2:$D$5001,D4555,$H$2:$H$5001)+ROW()/10000000,0))</f>
        <v>0</v>
      </c>
      <c r="Q4555" s="47" t="n">
        <f aca="false">IF(OR($A4555="",C4555=""),0,IF(COUNTIF($C$2:C4555,C4555)=1,SUMIF($C$2:$C$5001,C4555,$H$2:$H$5001)+ROW()/10000000,0))</f>
        <v>0</v>
      </c>
    </row>
    <row r="4556" customFormat="false" ht="15" hidden="false" customHeight="false" outlineLevel="0" collapsed="false">
      <c r="A4556" s="43"/>
      <c r="B4556" s="44"/>
      <c r="C4556" s="44"/>
      <c r="D4556" s="44"/>
      <c r="E4556" s="44"/>
      <c r="F4556" s="44"/>
      <c r="G4556" s="44"/>
      <c r="H4556" s="46" t="str">
        <f aca="false">IF($A4556="","",IF(OR(NOT(ISNUMBER(E4556)),NOT(ISNUMBER(F4556))),"",MAX(0,E4556)*F4556))</f>
        <v/>
      </c>
      <c r="I4556" s="46" t="str">
        <f aca="false">IF($A4556="","",SUMIF($A$2:$A$5001,$A4556,$H$2:$H$5001))</f>
        <v/>
      </c>
      <c r="J4556" s="47" t="n">
        <f aca="false">IF($A4556="",0,IF(COUNTIF($A$2:A4556,$A4556)=1,1,0))</f>
        <v>0</v>
      </c>
      <c r="K4556" s="47" t="n">
        <f aca="false">IF(J4556=1,N(I4556)+ROW()/10000000,0)</f>
        <v>0</v>
      </c>
      <c r="L4556" s="47" t="str">
        <f aca="false">IF(AND(J4556=1,N(I4556)&gt;0),SUMIF($K$2:$K$5001,"&gt;="&amp;K4556,$I$2:$I$5001)/MAX(1,SUM($H$2:$H$5001)),"")</f>
        <v/>
      </c>
      <c r="M4556" s="47" t="str">
        <f aca="false">IF($A4556="","",INDEX($L$2:$L$5001,MATCH($A4556,$A$2:$A$5001,0)))</f>
        <v/>
      </c>
      <c r="N4556" s="48" t="str">
        <f aca="false">IF($A4556="","",IF(N(M4556)=0,"–",IF(M4556&lt;=Start!$D$20,"A",IF(M4556&lt;=Start!$D$21,"B","C"))))</f>
        <v/>
      </c>
      <c r="O4556" s="48" t="str">
        <f aca="false">IF($A4556="","",IF(NOT(ISNUMBER(F4556)),"Wert fehlt; ",IF(F4556&lt;=0,"Wert ist 0; ",""))&amp;IF(NOT(ISNUMBER(E4556)),"Bestand fehlt; ",IF(E4556&lt;0,"Bestand negativ; ",IF(E4556=0,"Nullbestand; ","")))&amp;IF(D4556="","Warengruppe fehlt; ","")&amp;IF(B4556="","Bezeichnung fehlt; ","")&amp;IF(COUNTIFS($A$2:$A$5001,$A4556,$C$2:$C$5001,C4556)&gt;1,"Artikel doppelt im selben Lager; ",""))</f>
        <v/>
      </c>
      <c r="P4556" s="47" t="n">
        <f aca="false">IF(OR($A4556="",D4556=""),0,IF(COUNTIF($D$2:D4556,D4556)=1,SUMIF($D$2:$D$5001,D4556,$H$2:$H$5001)+ROW()/10000000,0))</f>
        <v>0</v>
      </c>
      <c r="Q4556" s="47" t="n">
        <f aca="false">IF(OR($A4556="",C4556=""),0,IF(COUNTIF($C$2:C4556,C4556)=1,SUMIF($C$2:$C$5001,C4556,$H$2:$H$5001)+ROW()/10000000,0))</f>
        <v>0</v>
      </c>
    </row>
    <row r="4557" customFormat="false" ht="15" hidden="false" customHeight="false" outlineLevel="0" collapsed="false">
      <c r="A4557" s="43"/>
      <c r="B4557" s="44"/>
      <c r="C4557" s="44"/>
      <c r="D4557" s="44"/>
      <c r="E4557" s="44"/>
      <c r="F4557" s="44"/>
      <c r="G4557" s="44"/>
      <c r="H4557" s="46" t="str">
        <f aca="false">IF($A4557="","",IF(OR(NOT(ISNUMBER(E4557)),NOT(ISNUMBER(F4557))),"",MAX(0,E4557)*F4557))</f>
        <v/>
      </c>
      <c r="I4557" s="46" t="str">
        <f aca="false">IF($A4557="","",SUMIF($A$2:$A$5001,$A4557,$H$2:$H$5001))</f>
        <v/>
      </c>
      <c r="J4557" s="47" t="n">
        <f aca="false">IF($A4557="",0,IF(COUNTIF($A$2:A4557,$A4557)=1,1,0))</f>
        <v>0</v>
      </c>
      <c r="K4557" s="47" t="n">
        <f aca="false">IF(J4557=1,N(I4557)+ROW()/10000000,0)</f>
        <v>0</v>
      </c>
      <c r="L4557" s="47" t="str">
        <f aca="false">IF(AND(J4557=1,N(I4557)&gt;0),SUMIF($K$2:$K$5001,"&gt;="&amp;K4557,$I$2:$I$5001)/MAX(1,SUM($H$2:$H$5001)),"")</f>
        <v/>
      </c>
      <c r="M4557" s="47" t="str">
        <f aca="false">IF($A4557="","",INDEX($L$2:$L$5001,MATCH($A4557,$A$2:$A$5001,0)))</f>
        <v/>
      </c>
      <c r="N4557" s="48" t="str">
        <f aca="false">IF($A4557="","",IF(N(M4557)=0,"–",IF(M4557&lt;=Start!$D$20,"A",IF(M4557&lt;=Start!$D$21,"B","C"))))</f>
        <v/>
      </c>
      <c r="O4557" s="48" t="str">
        <f aca="false">IF($A4557="","",IF(NOT(ISNUMBER(F4557)),"Wert fehlt; ",IF(F4557&lt;=0,"Wert ist 0; ",""))&amp;IF(NOT(ISNUMBER(E4557)),"Bestand fehlt; ",IF(E4557&lt;0,"Bestand negativ; ",IF(E4557=0,"Nullbestand; ","")))&amp;IF(D4557="","Warengruppe fehlt; ","")&amp;IF(B4557="","Bezeichnung fehlt; ","")&amp;IF(COUNTIFS($A$2:$A$5001,$A4557,$C$2:$C$5001,C4557)&gt;1,"Artikel doppelt im selben Lager; ",""))</f>
        <v/>
      </c>
      <c r="P4557" s="47" t="n">
        <f aca="false">IF(OR($A4557="",D4557=""),0,IF(COUNTIF($D$2:D4557,D4557)=1,SUMIF($D$2:$D$5001,D4557,$H$2:$H$5001)+ROW()/10000000,0))</f>
        <v>0</v>
      </c>
      <c r="Q4557" s="47" t="n">
        <f aca="false">IF(OR($A4557="",C4557=""),0,IF(COUNTIF($C$2:C4557,C4557)=1,SUMIF($C$2:$C$5001,C4557,$H$2:$H$5001)+ROW()/10000000,0))</f>
        <v>0</v>
      </c>
    </row>
    <row r="4558" customFormat="false" ht="15" hidden="false" customHeight="false" outlineLevel="0" collapsed="false">
      <c r="A4558" s="43"/>
      <c r="B4558" s="44"/>
      <c r="C4558" s="44"/>
      <c r="D4558" s="44"/>
      <c r="E4558" s="44"/>
      <c r="F4558" s="44"/>
      <c r="G4558" s="44"/>
      <c r="H4558" s="46" t="str">
        <f aca="false">IF($A4558="","",IF(OR(NOT(ISNUMBER(E4558)),NOT(ISNUMBER(F4558))),"",MAX(0,E4558)*F4558))</f>
        <v/>
      </c>
      <c r="I4558" s="46" t="str">
        <f aca="false">IF($A4558="","",SUMIF($A$2:$A$5001,$A4558,$H$2:$H$5001))</f>
        <v/>
      </c>
      <c r="J4558" s="47" t="n">
        <f aca="false">IF($A4558="",0,IF(COUNTIF($A$2:A4558,$A4558)=1,1,0))</f>
        <v>0</v>
      </c>
      <c r="K4558" s="47" t="n">
        <f aca="false">IF(J4558=1,N(I4558)+ROW()/10000000,0)</f>
        <v>0</v>
      </c>
      <c r="L4558" s="47" t="str">
        <f aca="false">IF(AND(J4558=1,N(I4558)&gt;0),SUMIF($K$2:$K$5001,"&gt;="&amp;K4558,$I$2:$I$5001)/MAX(1,SUM($H$2:$H$5001)),"")</f>
        <v/>
      </c>
      <c r="M4558" s="47" t="str">
        <f aca="false">IF($A4558="","",INDEX($L$2:$L$5001,MATCH($A4558,$A$2:$A$5001,0)))</f>
        <v/>
      </c>
      <c r="N4558" s="48" t="str">
        <f aca="false">IF($A4558="","",IF(N(M4558)=0,"–",IF(M4558&lt;=Start!$D$20,"A",IF(M4558&lt;=Start!$D$21,"B","C"))))</f>
        <v/>
      </c>
      <c r="O4558" s="48" t="str">
        <f aca="false">IF($A4558="","",IF(NOT(ISNUMBER(F4558)),"Wert fehlt; ",IF(F4558&lt;=0,"Wert ist 0; ",""))&amp;IF(NOT(ISNUMBER(E4558)),"Bestand fehlt; ",IF(E4558&lt;0,"Bestand negativ; ",IF(E4558=0,"Nullbestand; ","")))&amp;IF(D4558="","Warengruppe fehlt; ","")&amp;IF(B4558="","Bezeichnung fehlt; ","")&amp;IF(COUNTIFS($A$2:$A$5001,$A4558,$C$2:$C$5001,C4558)&gt;1,"Artikel doppelt im selben Lager; ",""))</f>
        <v/>
      </c>
      <c r="P4558" s="47" t="n">
        <f aca="false">IF(OR($A4558="",D4558=""),0,IF(COUNTIF($D$2:D4558,D4558)=1,SUMIF($D$2:$D$5001,D4558,$H$2:$H$5001)+ROW()/10000000,0))</f>
        <v>0</v>
      </c>
      <c r="Q4558" s="47" t="n">
        <f aca="false">IF(OR($A4558="",C4558=""),0,IF(COUNTIF($C$2:C4558,C4558)=1,SUMIF($C$2:$C$5001,C4558,$H$2:$H$5001)+ROW()/10000000,0))</f>
        <v>0</v>
      </c>
    </row>
    <row r="4559" customFormat="false" ht="15" hidden="false" customHeight="false" outlineLevel="0" collapsed="false">
      <c r="A4559" s="43"/>
      <c r="B4559" s="44"/>
      <c r="C4559" s="44"/>
      <c r="D4559" s="44"/>
      <c r="E4559" s="44"/>
      <c r="F4559" s="44"/>
      <c r="G4559" s="44"/>
      <c r="H4559" s="46" t="str">
        <f aca="false">IF($A4559="","",IF(OR(NOT(ISNUMBER(E4559)),NOT(ISNUMBER(F4559))),"",MAX(0,E4559)*F4559))</f>
        <v/>
      </c>
      <c r="I4559" s="46" t="str">
        <f aca="false">IF($A4559="","",SUMIF($A$2:$A$5001,$A4559,$H$2:$H$5001))</f>
        <v/>
      </c>
      <c r="J4559" s="47" t="n">
        <f aca="false">IF($A4559="",0,IF(COUNTIF($A$2:A4559,$A4559)=1,1,0))</f>
        <v>0</v>
      </c>
      <c r="K4559" s="47" t="n">
        <f aca="false">IF(J4559=1,N(I4559)+ROW()/10000000,0)</f>
        <v>0</v>
      </c>
      <c r="L4559" s="47" t="str">
        <f aca="false">IF(AND(J4559=1,N(I4559)&gt;0),SUMIF($K$2:$K$5001,"&gt;="&amp;K4559,$I$2:$I$5001)/MAX(1,SUM($H$2:$H$5001)),"")</f>
        <v/>
      </c>
      <c r="M4559" s="47" t="str">
        <f aca="false">IF($A4559="","",INDEX($L$2:$L$5001,MATCH($A4559,$A$2:$A$5001,0)))</f>
        <v/>
      </c>
      <c r="N4559" s="48" t="str">
        <f aca="false">IF($A4559="","",IF(N(M4559)=0,"–",IF(M4559&lt;=Start!$D$20,"A",IF(M4559&lt;=Start!$D$21,"B","C"))))</f>
        <v/>
      </c>
      <c r="O4559" s="48" t="str">
        <f aca="false">IF($A4559="","",IF(NOT(ISNUMBER(F4559)),"Wert fehlt; ",IF(F4559&lt;=0,"Wert ist 0; ",""))&amp;IF(NOT(ISNUMBER(E4559)),"Bestand fehlt; ",IF(E4559&lt;0,"Bestand negativ; ",IF(E4559=0,"Nullbestand; ","")))&amp;IF(D4559="","Warengruppe fehlt; ","")&amp;IF(B4559="","Bezeichnung fehlt; ","")&amp;IF(COUNTIFS($A$2:$A$5001,$A4559,$C$2:$C$5001,C4559)&gt;1,"Artikel doppelt im selben Lager; ",""))</f>
        <v/>
      </c>
      <c r="P4559" s="47" t="n">
        <f aca="false">IF(OR($A4559="",D4559=""),0,IF(COUNTIF($D$2:D4559,D4559)=1,SUMIF($D$2:$D$5001,D4559,$H$2:$H$5001)+ROW()/10000000,0))</f>
        <v>0</v>
      </c>
      <c r="Q4559" s="47" t="n">
        <f aca="false">IF(OR($A4559="",C4559=""),0,IF(COUNTIF($C$2:C4559,C4559)=1,SUMIF($C$2:$C$5001,C4559,$H$2:$H$5001)+ROW()/10000000,0))</f>
        <v>0</v>
      </c>
    </row>
    <row r="4560" customFormat="false" ht="15" hidden="false" customHeight="false" outlineLevel="0" collapsed="false">
      <c r="A4560" s="43"/>
      <c r="B4560" s="44"/>
      <c r="C4560" s="44"/>
      <c r="D4560" s="44"/>
      <c r="E4560" s="44"/>
      <c r="F4560" s="44"/>
      <c r="G4560" s="44"/>
      <c r="H4560" s="46" t="str">
        <f aca="false">IF($A4560="","",IF(OR(NOT(ISNUMBER(E4560)),NOT(ISNUMBER(F4560))),"",MAX(0,E4560)*F4560))</f>
        <v/>
      </c>
      <c r="I4560" s="46" t="str">
        <f aca="false">IF($A4560="","",SUMIF($A$2:$A$5001,$A4560,$H$2:$H$5001))</f>
        <v/>
      </c>
      <c r="J4560" s="47" t="n">
        <f aca="false">IF($A4560="",0,IF(COUNTIF($A$2:A4560,$A4560)=1,1,0))</f>
        <v>0</v>
      </c>
      <c r="K4560" s="47" t="n">
        <f aca="false">IF(J4560=1,N(I4560)+ROW()/10000000,0)</f>
        <v>0</v>
      </c>
      <c r="L4560" s="47" t="str">
        <f aca="false">IF(AND(J4560=1,N(I4560)&gt;0),SUMIF($K$2:$K$5001,"&gt;="&amp;K4560,$I$2:$I$5001)/MAX(1,SUM($H$2:$H$5001)),"")</f>
        <v/>
      </c>
      <c r="M4560" s="47" t="str">
        <f aca="false">IF($A4560="","",INDEX($L$2:$L$5001,MATCH($A4560,$A$2:$A$5001,0)))</f>
        <v/>
      </c>
      <c r="N4560" s="48" t="str">
        <f aca="false">IF($A4560="","",IF(N(M4560)=0,"–",IF(M4560&lt;=Start!$D$20,"A",IF(M4560&lt;=Start!$D$21,"B","C"))))</f>
        <v/>
      </c>
      <c r="O4560" s="48" t="str">
        <f aca="false">IF($A4560="","",IF(NOT(ISNUMBER(F4560)),"Wert fehlt; ",IF(F4560&lt;=0,"Wert ist 0; ",""))&amp;IF(NOT(ISNUMBER(E4560)),"Bestand fehlt; ",IF(E4560&lt;0,"Bestand negativ; ",IF(E4560=0,"Nullbestand; ","")))&amp;IF(D4560="","Warengruppe fehlt; ","")&amp;IF(B4560="","Bezeichnung fehlt; ","")&amp;IF(COUNTIFS($A$2:$A$5001,$A4560,$C$2:$C$5001,C4560)&gt;1,"Artikel doppelt im selben Lager; ",""))</f>
        <v/>
      </c>
      <c r="P4560" s="47" t="n">
        <f aca="false">IF(OR($A4560="",D4560=""),0,IF(COUNTIF($D$2:D4560,D4560)=1,SUMIF($D$2:$D$5001,D4560,$H$2:$H$5001)+ROW()/10000000,0))</f>
        <v>0</v>
      </c>
      <c r="Q4560" s="47" t="n">
        <f aca="false">IF(OR($A4560="",C4560=""),0,IF(COUNTIF($C$2:C4560,C4560)=1,SUMIF($C$2:$C$5001,C4560,$H$2:$H$5001)+ROW()/10000000,0))</f>
        <v>0</v>
      </c>
    </row>
    <row r="4561" customFormat="false" ht="15" hidden="false" customHeight="false" outlineLevel="0" collapsed="false">
      <c r="A4561" s="43"/>
      <c r="B4561" s="44"/>
      <c r="C4561" s="44"/>
      <c r="D4561" s="44"/>
      <c r="E4561" s="44"/>
      <c r="F4561" s="44"/>
      <c r="G4561" s="44"/>
      <c r="H4561" s="46" t="str">
        <f aca="false">IF($A4561="","",IF(OR(NOT(ISNUMBER(E4561)),NOT(ISNUMBER(F4561))),"",MAX(0,E4561)*F4561))</f>
        <v/>
      </c>
      <c r="I4561" s="46" t="str">
        <f aca="false">IF($A4561="","",SUMIF($A$2:$A$5001,$A4561,$H$2:$H$5001))</f>
        <v/>
      </c>
      <c r="J4561" s="47" t="n">
        <f aca="false">IF($A4561="",0,IF(COUNTIF($A$2:A4561,$A4561)=1,1,0))</f>
        <v>0</v>
      </c>
      <c r="K4561" s="47" t="n">
        <f aca="false">IF(J4561=1,N(I4561)+ROW()/10000000,0)</f>
        <v>0</v>
      </c>
      <c r="L4561" s="47" t="str">
        <f aca="false">IF(AND(J4561=1,N(I4561)&gt;0),SUMIF($K$2:$K$5001,"&gt;="&amp;K4561,$I$2:$I$5001)/MAX(1,SUM($H$2:$H$5001)),"")</f>
        <v/>
      </c>
      <c r="M4561" s="47" t="str">
        <f aca="false">IF($A4561="","",INDEX($L$2:$L$5001,MATCH($A4561,$A$2:$A$5001,0)))</f>
        <v/>
      </c>
      <c r="N4561" s="48" t="str">
        <f aca="false">IF($A4561="","",IF(N(M4561)=0,"–",IF(M4561&lt;=Start!$D$20,"A",IF(M4561&lt;=Start!$D$21,"B","C"))))</f>
        <v/>
      </c>
      <c r="O4561" s="48" t="str">
        <f aca="false">IF($A4561="","",IF(NOT(ISNUMBER(F4561)),"Wert fehlt; ",IF(F4561&lt;=0,"Wert ist 0; ",""))&amp;IF(NOT(ISNUMBER(E4561)),"Bestand fehlt; ",IF(E4561&lt;0,"Bestand negativ; ",IF(E4561=0,"Nullbestand; ","")))&amp;IF(D4561="","Warengruppe fehlt; ","")&amp;IF(B4561="","Bezeichnung fehlt; ","")&amp;IF(COUNTIFS($A$2:$A$5001,$A4561,$C$2:$C$5001,C4561)&gt;1,"Artikel doppelt im selben Lager; ",""))</f>
        <v/>
      </c>
      <c r="P4561" s="47" t="n">
        <f aca="false">IF(OR($A4561="",D4561=""),0,IF(COUNTIF($D$2:D4561,D4561)=1,SUMIF($D$2:$D$5001,D4561,$H$2:$H$5001)+ROW()/10000000,0))</f>
        <v>0</v>
      </c>
      <c r="Q4561" s="47" t="n">
        <f aca="false">IF(OR($A4561="",C4561=""),0,IF(COUNTIF($C$2:C4561,C4561)=1,SUMIF($C$2:$C$5001,C4561,$H$2:$H$5001)+ROW()/10000000,0))</f>
        <v>0</v>
      </c>
    </row>
    <row r="4562" customFormat="false" ht="15" hidden="false" customHeight="false" outlineLevel="0" collapsed="false">
      <c r="A4562" s="43"/>
      <c r="B4562" s="44"/>
      <c r="C4562" s="44"/>
      <c r="D4562" s="44"/>
      <c r="E4562" s="44"/>
      <c r="F4562" s="44"/>
      <c r="G4562" s="44"/>
      <c r="H4562" s="46" t="str">
        <f aca="false">IF($A4562="","",IF(OR(NOT(ISNUMBER(E4562)),NOT(ISNUMBER(F4562))),"",MAX(0,E4562)*F4562))</f>
        <v/>
      </c>
      <c r="I4562" s="46" t="str">
        <f aca="false">IF($A4562="","",SUMIF($A$2:$A$5001,$A4562,$H$2:$H$5001))</f>
        <v/>
      </c>
      <c r="J4562" s="47" t="n">
        <f aca="false">IF($A4562="",0,IF(COUNTIF($A$2:A4562,$A4562)=1,1,0))</f>
        <v>0</v>
      </c>
      <c r="K4562" s="47" t="n">
        <f aca="false">IF(J4562=1,N(I4562)+ROW()/10000000,0)</f>
        <v>0</v>
      </c>
      <c r="L4562" s="47" t="str">
        <f aca="false">IF(AND(J4562=1,N(I4562)&gt;0),SUMIF($K$2:$K$5001,"&gt;="&amp;K4562,$I$2:$I$5001)/MAX(1,SUM($H$2:$H$5001)),"")</f>
        <v/>
      </c>
      <c r="M4562" s="47" t="str">
        <f aca="false">IF($A4562="","",INDEX($L$2:$L$5001,MATCH($A4562,$A$2:$A$5001,0)))</f>
        <v/>
      </c>
      <c r="N4562" s="48" t="str">
        <f aca="false">IF($A4562="","",IF(N(M4562)=0,"–",IF(M4562&lt;=Start!$D$20,"A",IF(M4562&lt;=Start!$D$21,"B","C"))))</f>
        <v/>
      </c>
      <c r="O4562" s="48" t="str">
        <f aca="false">IF($A4562="","",IF(NOT(ISNUMBER(F4562)),"Wert fehlt; ",IF(F4562&lt;=0,"Wert ist 0; ",""))&amp;IF(NOT(ISNUMBER(E4562)),"Bestand fehlt; ",IF(E4562&lt;0,"Bestand negativ; ",IF(E4562=0,"Nullbestand; ","")))&amp;IF(D4562="","Warengruppe fehlt; ","")&amp;IF(B4562="","Bezeichnung fehlt; ","")&amp;IF(COUNTIFS($A$2:$A$5001,$A4562,$C$2:$C$5001,C4562)&gt;1,"Artikel doppelt im selben Lager; ",""))</f>
        <v/>
      </c>
      <c r="P4562" s="47" t="n">
        <f aca="false">IF(OR($A4562="",D4562=""),0,IF(COUNTIF($D$2:D4562,D4562)=1,SUMIF($D$2:$D$5001,D4562,$H$2:$H$5001)+ROW()/10000000,0))</f>
        <v>0</v>
      </c>
      <c r="Q4562" s="47" t="n">
        <f aca="false">IF(OR($A4562="",C4562=""),0,IF(COUNTIF($C$2:C4562,C4562)=1,SUMIF($C$2:$C$5001,C4562,$H$2:$H$5001)+ROW()/10000000,0))</f>
        <v>0</v>
      </c>
    </row>
    <row r="4563" customFormat="false" ht="15" hidden="false" customHeight="false" outlineLevel="0" collapsed="false">
      <c r="A4563" s="43"/>
      <c r="B4563" s="44"/>
      <c r="C4563" s="44"/>
      <c r="D4563" s="44"/>
      <c r="E4563" s="44"/>
      <c r="F4563" s="44"/>
      <c r="G4563" s="44"/>
      <c r="H4563" s="46" t="str">
        <f aca="false">IF($A4563="","",IF(OR(NOT(ISNUMBER(E4563)),NOT(ISNUMBER(F4563))),"",MAX(0,E4563)*F4563))</f>
        <v/>
      </c>
      <c r="I4563" s="46" t="str">
        <f aca="false">IF($A4563="","",SUMIF($A$2:$A$5001,$A4563,$H$2:$H$5001))</f>
        <v/>
      </c>
      <c r="J4563" s="47" t="n">
        <f aca="false">IF($A4563="",0,IF(COUNTIF($A$2:A4563,$A4563)=1,1,0))</f>
        <v>0</v>
      </c>
      <c r="K4563" s="47" t="n">
        <f aca="false">IF(J4563=1,N(I4563)+ROW()/10000000,0)</f>
        <v>0</v>
      </c>
      <c r="L4563" s="47" t="str">
        <f aca="false">IF(AND(J4563=1,N(I4563)&gt;0),SUMIF($K$2:$K$5001,"&gt;="&amp;K4563,$I$2:$I$5001)/MAX(1,SUM($H$2:$H$5001)),"")</f>
        <v/>
      </c>
      <c r="M4563" s="47" t="str">
        <f aca="false">IF($A4563="","",INDEX($L$2:$L$5001,MATCH($A4563,$A$2:$A$5001,0)))</f>
        <v/>
      </c>
      <c r="N4563" s="48" t="str">
        <f aca="false">IF($A4563="","",IF(N(M4563)=0,"–",IF(M4563&lt;=Start!$D$20,"A",IF(M4563&lt;=Start!$D$21,"B","C"))))</f>
        <v/>
      </c>
      <c r="O4563" s="48" t="str">
        <f aca="false">IF($A4563="","",IF(NOT(ISNUMBER(F4563)),"Wert fehlt; ",IF(F4563&lt;=0,"Wert ist 0; ",""))&amp;IF(NOT(ISNUMBER(E4563)),"Bestand fehlt; ",IF(E4563&lt;0,"Bestand negativ; ",IF(E4563=0,"Nullbestand; ","")))&amp;IF(D4563="","Warengruppe fehlt; ","")&amp;IF(B4563="","Bezeichnung fehlt; ","")&amp;IF(COUNTIFS($A$2:$A$5001,$A4563,$C$2:$C$5001,C4563)&gt;1,"Artikel doppelt im selben Lager; ",""))</f>
        <v/>
      </c>
      <c r="P4563" s="47" t="n">
        <f aca="false">IF(OR($A4563="",D4563=""),0,IF(COUNTIF($D$2:D4563,D4563)=1,SUMIF($D$2:$D$5001,D4563,$H$2:$H$5001)+ROW()/10000000,0))</f>
        <v>0</v>
      </c>
      <c r="Q4563" s="47" t="n">
        <f aca="false">IF(OR($A4563="",C4563=""),0,IF(COUNTIF($C$2:C4563,C4563)=1,SUMIF($C$2:$C$5001,C4563,$H$2:$H$5001)+ROW()/10000000,0))</f>
        <v>0</v>
      </c>
    </row>
    <row r="4564" customFormat="false" ht="15" hidden="false" customHeight="false" outlineLevel="0" collapsed="false">
      <c r="A4564" s="43"/>
      <c r="B4564" s="44"/>
      <c r="C4564" s="44"/>
      <c r="D4564" s="44"/>
      <c r="E4564" s="44"/>
      <c r="F4564" s="44"/>
      <c r="G4564" s="44"/>
      <c r="H4564" s="46" t="str">
        <f aca="false">IF($A4564="","",IF(OR(NOT(ISNUMBER(E4564)),NOT(ISNUMBER(F4564))),"",MAX(0,E4564)*F4564))</f>
        <v/>
      </c>
      <c r="I4564" s="46" t="str">
        <f aca="false">IF($A4564="","",SUMIF($A$2:$A$5001,$A4564,$H$2:$H$5001))</f>
        <v/>
      </c>
      <c r="J4564" s="47" t="n">
        <f aca="false">IF($A4564="",0,IF(COUNTIF($A$2:A4564,$A4564)=1,1,0))</f>
        <v>0</v>
      </c>
      <c r="K4564" s="47" t="n">
        <f aca="false">IF(J4564=1,N(I4564)+ROW()/10000000,0)</f>
        <v>0</v>
      </c>
      <c r="L4564" s="47" t="str">
        <f aca="false">IF(AND(J4564=1,N(I4564)&gt;0),SUMIF($K$2:$K$5001,"&gt;="&amp;K4564,$I$2:$I$5001)/MAX(1,SUM($H$2:$H$5001)),"")</f>
        <v/>
      </c>
      <c r="M4564" s="47" t="str">
        <f aca="false">IF($A4564="","",INDEX($L$2:$L$5001,MATCH($A4564,$A$2:$A$5001,0)))</f>
        <v/>
      </c>
      <c r="N4564" s="48" t="str">
        <f aca="false">IF($A4564="","",IF(N(M4564)=0,"–",IF(M4564&lt;=Start!$D$20,"A",IF(M4564&lt;=Start!$D$21,"B","C"))))</f>
        <v/>
      </c>
      <c r="O4564" s="48" t="str">
        <f aca="false">IF($A4564="","",IF(NOT(ISNUMBER(F4564)),"Wert fehlt; ",IF(F4564&lt;=0,"Wert ist 0; ",""))&amp;IF(NOT(ISNUMBER(E4564)),"Bestand fehlt; ",IF(E4564&lt;0,"Bestand negativ; ",IF(E4564=0,"Nullbestand; ","")))&amp;IF(D4564="","Warengruppe fehlt; ","")&amp;IF(B4564="","Bezeichnung fehlt; ","")&amp;IF(COUNTIFS($A$2:$A$5001,$A4564,$C$2:$C$5001,C4564)&gt;1,"Artikel doppelt im selben Lager; ",""))</f>
        <v/>
      </c>
      <c r="P4564" s="47" t="n">
        <f aca="false">IF(OR($A4564="",D4564=""),0,IF(COUNTIF($D$2:D4564,D4564)=1,SUMIF($D$2:$D$5001,D4564,$H$2:$H$5001)+ROW()/10000000,0))</f>
        <v>0</v>
      </c>
      <c r="Q4564" s="47" t="n">
        <f aca="false">IF(OR($A4564="",C4564=""),0,IF(COUNTIF($C$2:C4564,C4564)=1,SUMIF($C$2:$C$5001,C4564,$H$2:$H$5001)+ROW()/10000000,0))</f>
        <v>0</v>
      </c>
    </row>
    <row r="4565" customFormat="false" ht="15" hidden="false" customHeight="false" outlineLevel="0" collapsed="false">
      <c r="A4565" s="43"/>
      <c r="B4565" s="44"/>
      <c r="C4565" s="44"/>
      <c r="D4565" s="44"/>
      <c r="E4565" s="44"/>
      <c r="F4565" s="44"/>
      <c r="G4565" s="44"/>
      <c r="H4565" s="46" t="str">
        <f aca="false">IF($A4565="","",IF(OR(NOT(ISNUMBER(E4565)),NOT(ISNUMBER(F4565))),"",MAX(0,E4565)*F4565))</f>
        <v/>
      </c>
      <c r="I4565" s="46" t="str">
        <f aca="false">IF($A4565="","",SUMIF($A$2:$A$5001,$A4565,$H$2:$H$5001))</f>
        <v/>
      </c>
      <c r="J4565" s="47" t="n">
        <f aca="false">IF($A4565="",0,IF(COUNTIF($A$2:A4565,$A4565)=1,1,0))</f>
        <v>0</v>
      </c>
      <c r="K4565" s="47" t="n">
        <f aca="false">IF(J4565=1,N(I4565)+ROW()/10000000,0)</f>
        <v>0</v>
      </c>
      <c r="L4565" s="47" t="str">
        <f aca="false">IF(AND(J4565=1,N(I4565)&gt;0),SUMIF($K$2:$K$5001,"&gt;="&amp;K4565,$I$2:$I$5001)/MAX(1,SUM($H$2:$H$5001)),"")</f>
        <v/>
      </c>
      <c r="M4565" s="47" t="str">
        <f aca="false">IF($A4565="","",INDEX($L$2:$L$5001,MATCH($A4565,$A$2:$A$5001,0)))</f>
        <v/>
      </c>
      <c r="N4565" s="48" t="str">
        <f aca="false">IF($A4565="","",IF(N(M4565)=0,"–",IF(M4565&lt;=Start!$D$20,"A",IF(M4565&lt;=Start!$D$21,"B","C"))))</f>
        <v/>
      </c>
      <c r="O4565" s="48" t="str">
        <f aca="false">IF($A4565="","",IF(NOT(ISNUMBER(F4565)),"Wert fehlt; ",IF(F4565&lt;=0,"Wert ist 0; ",""))&amp;IF(NOT(ISNUMBER(E4565)),"Bestand fehlt; ",IF(E4565&lt;0,"Bestand negativ; ",IF(E4565=0,"Nullbestand; ","")))&amp;IF(D4565="","Warengruppe fehlt; ","")&amp;IF(B4565="","Bezeichnung fehlt; ","")&amp;IF(COUNTIFS($A$2:$A$5001,$A4565,$C$2:$C$5001,C4565)&gt;1,"Artikel doppelt im selben Lager; ",""))</f>
        <v/>
      </c>
      <c r="P4565" s="47" t="n">
        <f aca="false">IF(OR($A4565="",D4565=""),0,IF(COUNTIF($D$2:D4565,D4565)=1,SUMIF($D$2:$D$5001,D4565,$H$2:$H$5001)+ROW()/10000000,0))</f>
        <v>0</v>
      </c>
      <c r="Q4565" s="47" t="n">
        <f aca="false">IF(OR($A4565="",C4565=""),0,IF(COUNTIF($C$2:C4565,C4565)=1,SUMIF($C$2:$C$5001,C4565,$H$2:$H$5001)+ROW()/10000000,0))</f>
        <v>0</v>
      </c>
    </row>
    <row r="4566" customFormat="false" ht="15" hidden="false" customHeight="false" outlineLevel="0" collapsed="false">
      <c r="A4566" s="43"/>
      <c r="B4566" s="44"/>
      <c r="C4566" s="44"/>
      <c r="D4566" s="44"/>
      <c r="E4566" s="44"/>
      <c r="F4566" s="44"/>
      <c r="G4566" s="44"/>
      <c r="H4566" s="46" t="str">
        <f aca="false">IF($A4566="","",IF(OR(NOT(ISNUMBER(E4566)),NOT(ISNUMBER(F4566))),"",MAX(0,E4566)*F4566))</f>
        <v/>
      </c>
      <c r="I4566" s="46" t="str">
        <f aca="false">IF($A4566="","",SUMIF($A$2:$A$5001,$A4566,$H$2:$H$5001))</f>
        <v/>
      </c>
      <c r="J4566" s="47" t="n">
        <f aca="false">IF($A4566="",0,IF(COUNTIF($A$2:A4566,$A4566)=1,1,0))</f>
        <v>0</v>
      </c>
      <c r="K4566" s="47" t="n">
        <f aca="false">IF(J4566=1,N(I4566)+ROW()/10000000,0)</f>
        <v>0</v>
      </c>
      <c r="L4566" s="47" t="str">
        <f aca="false">IF(AND(J4566=1,N(I4566)&gt;0),SUMIF($K$2:$K$5001,"&gt;="&amp;K4566,$I$2:$I$5001)/MAX(1,SUM($H$2:$H$5001)),"")</f>
        <v/>
      </c>
      <c r="M4566" s="47" t="str">
        <f aca="false">IF($A4566="","",INDEX($L$2:$L$5001,MATCH($A4566,$A$2:$A$5001,0)))</f>
        <v/>
      </c>
      <c r="N4566" s="48" t="str">
        <f aca="false">IF($A4566="","",IF(N(M4566)=0,"–",IF(M4566&lt;=Start!$D$20,"A",IF(M4566&lt;=Start!$D$21,"B","C"))))</f>
        <v/>
      </c>
      <c r="O4566" s="48" t="str">
        <f aca="false">IF($A4566="","",IF(NOT(ISNUMBER(F4566)),"Wert fehlt; ",IF(F4566&lt;=0,"Wert ist 0; ",""))&amp;IF(NOT(ISNUMBER(E4566)),"Bestand fehlt; ",IF(E4566&lt;0,"Bestand negativ; ",IF(E4566=0,"Nullbestand; ","")))&amp;IF(D4566="","Warengruppe fehlt; ","")&amp;IF(B4566="","Bezeichnung fehlt; ","")&amp;IF(COUNTIFS($A$2:$A$5001,$A4566,$C$2:$C$5001,C4566)&gt;1,"Artikel doppelt im selben Lager; ",""))</f>
        <v/>
      </c>
      <c r="P4566" s="47" t="n">
        <f aca="false">IF(OR($A4566="",D4566=""),0,IF(COUNTIF($D$2:D4566,D4566)=1,SUMIF($D$2:$D$5001,D4566,$H$2:$H$5001)+ROW()/10000000,0))</f>
        <v>0</v>
      </c>
      <c r="Q4566" s="47" t="n">
        <f aca="false">IF(OR($A4566="",C4566=""),0,IF(COUNTIF($C$2:C4566,C4566)=1,SUMIF($C$2:$C$5001,C4566,$H$2:$H$5001)+ROW()/10000000,0))</f>
        <v>0</v>
      </c>
    </row>
    <row r="4567" customFormat="false" ht="15" hidden="false" customHeight="false" outlineLevel="0" collapsed="false">
      <c r="A4567" s="43"/>
      <c r="B4567" s="44"/>
      <c r="C4567" s="44"/>
      <c r="D4567" s="44"/>
      <c r="E4567" s="44"/>
      <c r="F4567" s="44"/>
      <c r="G4567" s="44"/>
      <c r="H4567" s="46" t="str">
        <f aca="false">IF($A4567="","",IF(OR(NOT(ISNUMBER(E4567)),NOT(ISNUMBER(F4567))),"",MAX(0,E4567)*F4567))</f>
        <v/>
      </c>
      <c r="I4567" s="46" t="str">
        <f aca="false">IF($A4567="","",SUMIF($A$2:$A$5001,$A4567,$H$2:$H$5001))</f>
        <v/>
      </c>
      <c r="J4567" s="47" t="n">
        <f aca="false">IF($A4567="",0,IF(COUNTIF($A$2:A4567,$A4567)=1,1,0))</f>
        <v>0</v>
      </c>
      <c r="K4567" s="47" t="n">
        <f aca="false">IF(J4567=1,N(I4567)+ROW()/10000000,0)</f>
        <v>0</v>
      </c>
      <c r="L4567" s="47" t="str">
        <f aca="false">IF(AND(J4567=1,N(I4567)&gt;0),SUMIF($K$2:$K$5001,"&gt;="&amp;K4567,$I$2:$I$5001)/MAX(1,SUM($H$2:$H$5001)),"")</f>
        <v/>
      </c>
      <c r="M4567" s="47" t="str">
        <f aca="false">IF($A4567="","",INDEX($L$2:$L$5001,MATCH($A4567,$A$2:$A$5001,0)))</f>
        <v/>
      </c>
      <c r="N4567" s="48" t="str">
        <f aca="false">IF($A4567="","",IF(N(M4567)=0,"–",IF(M4567&lt;=Start!$D$20,"A",IF(M4567&lt;=Start!$D$21,"B","C"))))</f>
        <v/>
      </c>
      <c r="O4567" s="48" t="str">
        <f aca="false">IF($A4567="","",IF(NOT(ISNUMBER(F4567)),"Wert fehlt; ",IF(F4567&lt;=0,"Wert ist 0; ",""))&amp;IF(NOT(ISNUMBER(E4567)),"Bestand fehlt; ",IF(E4567&lt;0,"Bestand negativ; ",IF(E4567=0,"Nullbestand; ","")))&amp;IF(D4567="","Warengruppe fehlt; ","")&amp;IF(B4567="","Bezeichnung fehlt; ","")&amp;IF(COUNTIFS($A$2:$A$5001,$A4567,$C$2:$C$5001,C4567)&gt;1,"Artikel doppelt im selben Lager; ",""))</f>
        <v/>
      </c>
      <c r="P4567" s="47" t="n">
        <f aca="false">IF(OR($A4567="",D4567=""),0,IF(COUNTIF($D$2:D4567,D4567)=1,SUMIF($D$2:$D$5001,D4567,$H$2:$H$5001)+ROW()/10000000,0))</f>
        <v>0</v>
      </c>
      <c r="Q4567" s="47" t="n">
        <f aca="false">IF(OR($A4567="",C4567=""),0,IF(COUNTIF($C$2:C4567,C4567)=1,SUMIF($C$2:$C$5001,C4567,$H$2:$H$5001)+ROW()/10000000,0))</f>
        <v>0</v>
      </c>
    </row>
    <row r="4568" customFormat="false" ht="15" hidden="false" customHeight="false" outlineLevel="0" collapsed="false">
      <c r="A4568" s="43"/>
      <c r="B4568" s="44"/>
      <c r="C4568" s="44"/>
      <c r="D4568" s="44"/>
      <c r="E4568" s="44"/>
      <c r="F4568" s="44"/>
      <c r="G4568" s="44"/>
      <c r="H4568" s="46" t="str">
        <f aca="false">IF($A4568="","",IF(OR(NOT(ISNUMBER(E4568)),NOT(ISNUMBER(F4568))),"",MAX(0,E4568)*F4568))</f>
        <v/>
      </c>
      <c r="I4568" s="46" t="str">
        <f aca="false">IF($A4568="","",SUMIF($A$2:$A$5001,$A4568,$H$2:$H$5001))</f>
        <v/>
      </c>
      <c r="J4568" s="47" t="n">
        <f aca="false">IF($A4568="",0,IF(COUNTIF($A$2:A4568,$A4568)=1,1,0))</f>
        <v>0</v>
      </c>
      <c r="K4568" s="47" t="n">
        <f aca="false">IF(J4568=1,N(I4568)+ROW()/10000000,0)</f>
        <v>0</v>
      </c>
      <c r="L4568" s="47" t="str">
        <f aca="false">IF(AND(J4568=1,N(I4568)&gt;0),SUMIF($K$2:$K$5001,"&gt;="&amp;K4568,$I$2:$I$5001)/MAX(1,SUM($H$2:$H$5001)),"")</f>
        <v/>
      </c>
      <c r="M4568" s="47" t="str">
        <f aca="false">IF($A4568="","",INDEX($L$2:$L$5001,MATCH($A4568,$A$2:$A$5001,0)))</f>
        <v/>
      </c>
      <c r="N4568" s="48" t="str">
        <f aca="false">IF($A4568="","",IF(N(M4568)=0,"–",IF(M4568&lt;=Start!$D$20,"A",IF(M4568&lt;=Start!$D$21,"B","C"))))</f>
        <v/>
      </c>
      <c r="O4568" s="48" t="str">
        <f aca="false">IF($A4568="","",IF(NOT(ISNUMBER(F4568)),"Wert fehlt; ",IF(F4568&lt;=0,"Wert ist 0; ",""))&amp;IF(NOT(ISNUMBER(E4568)),"Bestand fehlt; ",IF(E4568&lt;0,"Bestand negativ; ",IF(E4568=0,"Nullbestand; ","")))&amp;IF(D4568="","Warengruppe fehlt; ","")&amp;IF(B4568="","Bezeichnung fehlt; ","")&amp;IF(COUNTIFS($A$2:$A$5001,$A4568,$C$2:$C$5001,C4568)&gt;1,"Artikel doppelt im selben Lager; ",""))</f>
        <v/>
      </c>
      <c r="P4568" s="47" t="n">
        <f aca="false">IF(OR($A4568="",D4568=""),0,IF(COUNTIF($D$2:D4568,D4568)=1,SUMIF($D$2:$D$5001,D4568,$H$2:$H$5001)+ROW()/10000000,0))</f>
        <v>0</v>
      </c>
      <c r="Q4568" s="47" t="n">
        <f aca="false">IF(OR($A4568="",C4568=""),0,IF(COUNTIF($C$2:C4568,C4568)=1,SUMIF($C$2:$C$5001,C4568,$H$2:$H$5001)+ROW()/10000000,0))</f>
        <v>0</v>
      </c>
    </row>
    <row r="4569" customFormat="false" ht="15" hidden="false" customHeight="false" outlineLevel="0" collapsed="false">
      <c r="A4569" s="43"/>
      <c r="B4569" s="44"/>
      <c r="C4569" s="44"/>
      <c r="D4569" s="44"/>
      <c r="E4569" s="44"/>
      <c r="F4569" s="44"/>
      <c r="G4569" s="44"/>
      <c r="H4569" s="46" t="str">
        <f aca="false">IF($A4569="","",IF(OR(NOT(ISNUMBER(E4569)),NOT(ISNUMBER(F4569))),"",MAX(0,E4569)*F4569))</f>
        <v/>
      </c>
      <c r="I4569" s="46" t="str">
        <f aca="false">IF($A4569="","",SUMIF($A$2:$A$5001,$A4569,$H$2:$H$5001))</f>
        <v/>
      </c>
      <c r="J4569" s="47" t="n">
        <f aca="false">IF($A4569="",0,IF(COUNTIF($A$2:A4569,$A4569)=1,1,0))</f>
        <v>0</v>
      </c>
      <c r="K4569" s="47" t="n">
        <f aca="false">IF(J4569=1,N(I4569)+ROW()/10000000,0)</f>
        <v>0</v>
      </c>
      <c r="L4569" s="47" t="str">
        <f aca="false">IF(AND(J4569=1,N(I4569)&gt;0),SUMIF($K$2:$K$5001,"&gt;="&amp;K4569,$I$2:$I$5001)/MAX(1,SUM($H$2:$H$5001)),"")</f>
        <v/>
      </c>
      <c r="M4569" s="47" t="str">
        <f aca="false">IF($A4569="","",INDEX($L$2:$L$5001,MATCH($A4569,$A$2:$A$5001,0)))</f>
        <v/>
      </c>
      <c r="N4569" s="48" t="str">
        <f aca="false">IF($A4569="","",IF(N(M4569)=0,"–",IF(M4569&lt;=Start!$D$20,"A",IF(M4569&lt;=Start!$D$21,"B","C"))))</f>
        <v/>
      </c>
      <c r="O4569" s="48" t="str">
        <f aca="false">IF($A4569="","",IF(NOT(ISNUMBER(F4569)),"Wert fehlt; ",IF(F4569&lt;=0,"Wert ist 0; ",""))&amp;IF(NOT(ISNUMBER(E4569)),"Bestand fehlt; ",IF(E4569&lt;0,"Bestand negativ; ",IF(E4569=0,"Nullbestand; ","")))&amp;IF(D4569="","Warengruppe fehlt; ","")&amp;IF(B4569="","Bezeichnung fehlt; ","")&amp;IF(COUNTIFS($A$2:$A$5001,$A4569,$C$2:$C$5001,C4569)&gt;1,"Artikel doppelt im selben Lager; ",""))</f>
        <v/>
      </c>
      <c r="P4569" s="47" t="n">
        <f aca="false">IF(OR($A4569="",D4569=""),0,IF(COUNTIF($D$2:D4569,D4569)=1,SUMIF($D$2:$D$5001,D4569,$H$2:$H$5001)+ROW()/10000000,0))</f>
        <v>0</v>
      </c>
      <c r="Q4569" s="47" t="n">
        <f aca="false">IF(OR($A4569="",C4569=""),0,IF(COUNTIF($C$2:C4569,C4569)=1,SUMIF($C$2:$C$5001,C4569,$H$2:$H$5001)+ROW()/10000000,0))</f>
        <v>0</v>
      </c>
    </row>
    <row r="4570" customFormat="false" ht="15" hidden="false" customHeight="false" outlineLevel="0" collapsed="false">
      <c r="A4570" s="43"/>
      <c r="B4570" s="44"/>
      <c r="C4570" s="44"/>
      <c r="D4570" s="44"/>
      <c r="E4570" s="44"/>
      <c r="F4570" s="44"/>
      <c r="G4570" s="44"/>
      <c r="H4570" s="46" t="str">
        <f aca="false">IF($A4570="","",IF(OR(NOT(ISNUMBER(E4570)),NOT(ISNUMBER(F4570))),"",MAX(0,E4570)*F4570))</f>
        <v/>
      </c>
      <c r="I4570" s="46" t="str">
        <f aca="false">IF($A4570="","",SUMIF($A$2:$A$5001,$A4570,$H$2:$H$5001))</f>
        <v/>
      </c>
      <c r="J4570" s="47" t="n">
        <f aca="false">IF($A4570="",0,IF(COUNTIF($A$2:A4570,$A4570)=1,1,0))</f>
        <v>0</v>
      </c>
      <c r="K4570" s="47" t="n">
        <f aca="false">IF(J4570=1,N(I4570)+ROW()/10000000,0)</f>
        <v>0</v>
      </c>
      <c r="L4570" s="47" t="str">
        <f aca="false">IF(AND(J4570=1,N(I4570)&gt;0),SUMIF($K$2:$K$5001,"&gt;="&amp;K4570,$I$2:$I$5001)/MAX(1,SUM($H$2:$H$5001)),"")</f>
        <v/>
      </c>
      <c r="M4570" s="47" t="str">
        <f aca="false">IF($A4570="","",INDEX($L$2:$L$5001,MATCH($A4570,$A$2:$A$5001,0)))</f>
        <v/>
      </c>
      <c r="N4570" s="48" t="str">
        <f aca="false">IF($A4570="","",IF(N(M4570)=0,"–",IF(M4570&lt;=Start!$D$20,"A",IF(M4570&lt;=Start!$D$21,"B","C"))))</f>
        <v/>
      </c>
      <c r="O4570" s="48" t="str">
        <f aca="false">IF($A4570="","",IF(NOT(ISNUMBER(F4570)),"Wert fehlt; ",IF(F4570&lt;=0,"Wert ist 0; ",""))&amp;IF(NOT(ISNUMBER(E4570)),"Bestand fehlt; ",IF(E4570&lt;0,"Bestand negativ; ",IF(E4570=0,"Nullbestand; ","")))&amp;IF(D4570="","Warengruppe fehlt; ","")&amp;IF(B4570="","Bezeichnung fehlt; ","")&amp;IF(COUNTIFS($A$2:$A$5001,$A4570,$C$2:$C$5001,C4570)&gt;1,"Artikel doppelt im selben Lager; ",""))</f>
        <v/>
      </c>
      <c r="P4570" s="47" t="n">
        <f aca="false">IF(OR($A4570="",D4570=""),0,IF(COUNTIF($D$2:D4570,D4570)=1,SUMIF($D$2:$D$5001,D4570,$H$2:$H$5001)+ROW()/10000000,0))</f>
        <v>0</v>
      </c>
      <c r="Q4570" s="47" t="n">
        <f aca="false">IF(OR($A4570="",C4570=""),0,IF(COUNTIF($C$2:C4570,C4570)=1,SUMIF($C$2:$C$5001,C4570,$H$2:$H$5001)+ROW()/10000000,0))</f>
        <v>0</v>
      </c>
    </row>
    <row r="4571" customFormat="false" ht="15" hidden="false" customHeight="false" outlineLevel="0" collapsed="false">
      <c r="A4571" s="43"/>
      <c r="B4571" s="44"/>
      <c r="C4571" s="44"/>
      <c r="D4571" s="44"/>
      <c r="E4571" s="44"/>
      <c r="F4571" s="44"/>
      <c r="G4571" s="44"/>
      <c r="H4571" s="46" t="str">
        <f aca="false">IF($A4571="","",IF(OR(NOT(ISNUMBER(E4571)),NOT(ISNUMBER(F4571))),"",MAX(0,E4571)*F4571))</f>
        <v/>
      </c>
      <c r="I4571" s="46" t="str">
        <f aca="false">IF($A4571="","",SUMIF($A$2:$A$5001,$A4571,$H$2:$H$5001))</f>
        <v/>
      </c>
      <c r="J4571" s="47" t="n">
        <f aca="false">IF($A4571="",0,IF(COUNTIF($A$2:A4571,$A4571)=1,1,0))</f>
        <v>0</v>
      </c>
      <c r="K4571" s="47" t="n">
        <f aca="false">IF(J4571=1,N(I4571)+ROW()/10000000,0)</f>
        <v>0</v>
      </c>
      <c r="L4571" s="47" t="str">
        <f aca="false">IF(AND(J4571=1,N(I4571)&gt;0),SUMIF($K$2:$K$5001,"&gt;="&amp;K4571,$I$2:$I$5001)/MAX(1,SUM($H$2:$H$5001)),"")</f>
        <v/>
      </c>
      <c r="M4571" s="47" t="str">
        <f aca="false">IF($A4571="","",INDEX($L$2:$L$5001,MATCH($A4571,$A$2:$A$5001,0)))</f>
        <v/>
      </c>
      <c r="N4571" s="48" t="str">
        <f aca="false">IF($A4571="","",IF(N(M4571)=0,"–",IF(M4571&lt;=Start!$D$20,"A",IF(M4571&lt;=Start!$D$21,"B","C"))))</f>
        <v/>
      </c>
      <c r="O4571" s="48" t="str">
        <f aca="false">IF($A4571="","",IF(NOT(ISNUMBER(F4571)),"Wert fehlt; ",IF(F4571&lt;=0,"Wert ist 0; ",""))&amp;IF(NOT(ISNUMBER(E4571)),"Bestand fehlt; ",IF(E4571&lt;0,"Bestand negativ; ",IF(E4571=0,"Nullbestand; ","")))&amp;IF(D4571="","Warengruppe fehlt; ","")&amp;IF(B4571="","Bezeichnung fehlt; ","")&amp;IF(COUNTIFS($A$2:$A$5001,$A4571,$C$2:$C$5001,C4571)&gt;1,"Artikel doppelt im selben Lager; ",""))</f>
        <v/>
      </c>
      <c r="P4571" s="47" t="n">
        <f aca="false">IF(OR($A4571="",D4571=""),0,IF(COUNTIF($D$2:D4571,D4571)=1,SUMIF($D$2:$D$5001,D4571,$H$2:$H$5001)+ROW()/10000000,0))</f>
        <v>0</v>
      </c>
      <c r="Q4571" s="47" t="n">
        <f aca="false">IF(OR($A4571="",C4571=""),0,IF(COUNTIF($C$2:C4571,C4571)=1,SUMIF($C$2:$C$5001,C4571,$H$2:$H$5001)+ROW()/10000000,0))</f>
        <v>0</v>
      </c>
    </row>
    <row r="4572" customFormat="false" ht="15" hidden="false" customHeight="false" outlineLevel="0" collapsed="false">
      <c r="A4572" s="43"/>
      <c r="B4572" s="44"/>
      <c r="C4572" s="44"/>
      <c r="D4572" s="44"/>
      <c r="E4572" s="44"/>
      <c r="F4572" s="44"/>
      <c r="G4572" s="44"/>
      <c r="H4572" s="46" t="str">
        <f aca="false">IF($A4572="","",IF(OR(NOT(ISNUMBER(E4572)),NOT(ISNUMBER(F4572))),"",MAX(0,E4572)*F4572))</f>
        <v/>
      </c>
      <c r="I4572" s="46" t="str">
        <f aca="false">IF($A4572="","",SUMIF($A$2:$A$5001,$A4572,$H$2:$H$5001))</f>
        <v/>
      </c>
      <c r="J4572" s="47" t="n">
        <f aca="false">IF($A4572="",0,IF(COUNTIF($A$2:A4572,$A4572)=1,1,0))</f>
        <v>0</v>
      </c>
      <c r="K4572" s="47" t="n">
        <f aca="false">IF(J4572=1,N(I4572)+ROW()/10000000,0)</f>
        <v>0</v>
      </c>
      <c r="L4572" s="47" t="str">
        <f aca="false">IF(AND(J4572=1,N(I4572)&gt;0),SUMIF($K$2:$K$5001,"&gt;="&amp;K4572,$I$2:$I$5001)/MAX(1,SUM($H$2:$H$5001)),"")</f>
        <v/>
      </c>
      <c r="M4572" s="47" t="str">
        <f aca="false">IF($A4572="","",INDEX($L$2:$L$5001,MATCH($A4572,$A$2:$A$5001,0)))</f>
        <v/>
      </c>
      <c r="N4572" s="48" t="str">
        <f aca="false">IF($A4572="","",IF(N(M4572)=0,"–",IF(M4572&lt;=Start!$D$20,"A",IF(M4572&lt;=Start!$D$21,"B","C"))))</f>
        <v/>
      </c>
      <c r="O4572" s="48" t="str">
        <f aca="false">IF($A4572="","",IF(NOT(ISNUMBER(F4572)),"Wert fehlt; ",IF(F4572&lt;=0,"Wert ist 0; ",""))&amp;IF(NOT(ISNUMBER(E4572)),"Bestand fehlt; ",IF(E4572&lt;0,"Bestand negativ; ",IF(E4572=0,"Nullbestand; ","")))&amp;IF(D4572="","Warengruppe fehlt; ","")&amp;IF(B4572="","Bezeichnung fehlt; ","")&amp;IF(COUNTIFS($A$2:$A$5001,$A4572,$C$2:$C$5001,C4572)&gt;1,"Artikel doppelt im selben Lager; ",""))</f>
        <v/>
      </c>
      <c r="P4572" s="47" t="n">
        <f aca="false">IF(OR($A4572="",D4572=""),0,IF(COUNTIF($D$2:D4572,D4572)=1,SUMIF($D$2:$D$5001,D4572,$H$2:$H$5001)+ROW()/10000000,0))</f>
        <v>0</v>
      </c>
      <c r="Q4572" s="47" t="n">
        <f aca="false">IF(OR($A4572="",C4572=""),0,IF(COUNTIF($C$2:C4572,C4572)=1,SUMIF($C$2:$C$5001,C4572,$H$2:$H$5001)+ROW()/10000000,0))</f>
        <v>0</v>
      </c>
    </row>
    <row r="4573" customFormat="false" ht="15" hidden="false" customHeight="false" outlineLevel="0" collapsed="false">
      <c r="A4573" s="43"/>
      <c r="B4573" s="44"/>
      <c r="C4573" s="44"/>
      <c r="D4573" s="44"/>
      <c r="E4573" s="44"/>
      <c r="F4573" s="44"/>
      <c r="G4573" s="44"/>
      <c r="H4573" s="46" t="str">
        <f aca="false">IF($A4573="","",IF(OR(NOT(ISNUMBER(E4573)),NOT(ISNUMBER(F4573))),"",MAX(0,E4573)*F4573))</f>
        <v/>
      </c>
      <c r="I4573" s="46" t="str">
        <f aca="false">IF($A4573="","",SUMIF($A$2:$A$5001,$A4573,$H$2:$H$5001))</f>
        <v/>
      </c>
      <c r="J4573" s="47" t="n">
        <f aca="false">IF($A4573="",0,IF(COUNTIF($A$2:A4573,$A4573)=1,1,0))</f>
        <v>0</v>
      </c>
      <c r="K4573" s="47" t="n">
        <f aca="false">IF(J4573=1,N(I4573)+ROW()/10000000,0)</f>
        <v>0</v>
      </c>
      <c r="L4573" s="47" t="str">
        <f aca="false">IF(AND(J4573=1,N(I4573)&gt;0),SUMIF($K$2:$K$5001,"&gt;="&amp;K4573,$I$2:$I$5001)/MAX(1,SUM($H$2:$H$5001)),"")</f>
        <v/>
      </c>
      <c r="M4573" s="47" t="str">
        <f aca="false">IF($A4573="","",INDEX($L$2:$L$5001,MATCH($A4573,$A$2:$A$5001,0)))</f>
        <v/>
      </c>
      <c r="N4573" s="48" t="str">
        <f aca="false">IF($A4573="","",IF(N(M4573)=0,"–",IF(M4573&lt;=Start!$D$20,"A",IF(M4573&lt;=Start!$D$21,"B","C"))))</f>
        <v/>
      </c>
      <c r="O4573" s="48" t="str">
        <f aca="false">IF($A4573="","",IF(NOT(ISNUMBER(F4573)),"Wert fehlt; ",IF(F4573&lt;=0,"Wert ist 0; ",""))&amp;IF(NOT(ISNUMBER(E4573)),"Bestand fehlt; ",IF(E4573&lt;0,"Bestand negativ; ",IF(E4573=0,"Nullbestand; ","")))&amp;IF(D4573="","Warengruppe fehlt; ","")&amp;IF(B4573="","Bezeichnung fehlt; ","")&amp;IF(COUNTIFS($A$2:$A$5001,$A4573,$C$2:$C$5001,C4573)&gt;1,"Artikel doppelt im selben Lager; ",""))</f>
        <v/>
      </c>
      <c r="P4573" s="47" t="n">
        <f aca="false">IF(OR($A4573="",D4573=""),0,IF(COUNTIF($D$2:D4573,D4573)=1,SUMIF($D$2:$D$5001,D4573,$H$2:$H$5001)+ROW()/10000000,0))</f>
        <v>0</v>
      </c>
      <c r="Q4573" s="47" t="n">
        <f aca="false">IF(OR($A4573="",C4573=""),0,IF(COUNTIF($C$2:C4573,C4573)=1,SUMIF($C$2:$C$5001,C4573,$H$2:$H$5001)+ROW()/10000000,0))</f>
        <v>0</v>
      </c>
    </row>
    <row r="4574" customFormat="false" ht="15" hidden="false" customHeight="false" outlineLevel="0" collapsed="false">
      <c r="A4574" s="43"/>
      <c r="B4574" s="44"/>
      <c r="C4574" s="44"/>
      <c r="D4574" s="44"/>
      <c r="E4574" s="44"/>
      <c r="F4574" s="44"/>
      <c r="G4574" s="44"/>
      <c r="H4574" s="46" t="str">
        <f aca="false">IF($A4574="","",IF(OR(NOT(ISNUMBER(E4574)),NOT(ISNUMBER(F4574))),"",MAX(0,E4574)*F4574))</f>
        <v/>
      </c>
      <c r="I4574" s="46" t="str">
        <f aca="false">IF($A4574="","",SUMIF($A$2:$A$5001,$A4574,$H$2:$H$5001))</f>
        <v/>
      </c>
      <c r="J4574" s="47" t="n">
        <f aca="false">IF($A4574="",0,IF(COUNTIF($A$2:A4574,$A4574)=1,1,0))</f>
        <v>0</v>
      </c>
      <c r="K4574" s="47" t="n">
        <f aca="false">IF(J4574=1,N(I4574)+ROW()/10000000,0)</f>
        <v>0</v>
      </c>
      <c r="L4574" s="47" t="str">
        <f aca="false">IF(AND(J4574=1,N(I4574)&gt;0),SUMIF($K$2:$K$5001,"&gt;="&amp;K4574,$I$2:$I$5001)/MAX(1,SUM($H$2:$H$5001)),"")</f>
        <v/>
      </c>
      <c r="M4574" s="47" t="str">
        <f aca="false">IF($A4574="","",INDEX($L$2:$L$5001,MATCH($A4574,$A$2:$A$5001,0)))</f>
        <v/>
      </c>
      <c r="N4574" s="48" t="str">
        <f aca="false">IF($A4574="","",IF(N(M4574)=0,"–",IF(M4574&lt;=Start!$D$20,"A",IF(M4574&lt;=Start!$D$21,"B","C"))))</f>
        <v/>
      </c>
      <c r="O4574" s="48" t="str">
        <f aca="false">IF($A4574="","",IF(NOT(ISNUMBER(F4574)),"Wert fehlt; ",IF(F4574&lt;=0,"Wert ist 0; ",""))&amp;IF(NOT(ISNUMBER(E4574)),"Bestand fehlt; ",IF(E4574&lt;0,"Bestand negativ; ",IF(E4574=0,"Nullbestand; ","")))&amp;IF(D4574="","Warengruppe fehlt; ","")&amp;IF(B4574="","Bezeichnung fehlt; ","")&amp;IF(COUNTIFS($A$2:$A$5001,$A4574,$C$2:$C$5001,C4574)&gt;1,"Artikel doppelt im selben Lager; ",""))</f>
        <v/>
      </c>
      <c r="P4574" s="47" t="n">
        <f aca="false">IF(OR($A4574="",D4574=""),0,IF(COUNTIF($D$2:D4574,D4574)=1,SUMIF($D$2:$D$5001,D4574,$H$2:$H$5001)+ROW()/10000000,0))</f>
        <v>0</v>
      </c>
      <c r="Q4574" s="47" t="n">
        <f aca="false">IF(OR($A4574="",C4574=""),0,IF(COUNTIF($C$2:C4574,C4574)=1,SUMIF($C$2:$C$5001,C4574,$H$2:$H$5001)+ROW()/10000000,0))</f>
        <v>0</v>
      </c>
    </row>
    <row r="4575" customFormat="false" ht="15" hidden="false" customHeight="false" outlineLevel="0" collapsed="false">
      <c r="A4575" s="43"/>
      <c r="B4575" s="44"/>
      <c r="C4575" s="44"/>
      <c r="D4575" s="44"/>
      <c r="E4575" s="44"/>
      <c r="F4575" s="44"/>
      <c r="G4575" s="44"/>
      <c r="H4575" s="46" t="str">
        <f aca="false">IF($A4575="","",IF(OR(NOT(ISNUMBER(E4575)),NOT(ISNUMBER(F4575))),"",MAX(0,E4575)*F4575))</f>
        <v/>
      </c>
      <c r="I4575" s="46" t="str">
        <f aca="false">IF($A4575="","",SUMIF($A$2:$A$5001,$A4575,$H$2:$H$5001))</f>
        <v/>
      </c>
      <c r="J4575" s="47" t="n">
        <f aca="false">IF($A4575="",0,IF(COUNTIF($A$2:A4575,$A4575)=1,1,0))</f>
        <v>0</v>
      </c>
      <c r="K4575" s="47" t="n">
        <f aca="false">IF(J4575=1,N(I4575)+ROW()/10000000,0)</f>
        <v>0</v>
      </c>
      <c r="L4575" s="47" t="str">
        <f aca="false">IF(AND(J4575=1,N(I4575)&gt;0),SUMIF($K$2:$K$5001,"&gt;="&amp;K4575,$I$2:$I$5001)/MAX(1,SUM($H$2:$H$5001)),"")</f>
        <v/>
      </c>
      <c r="M4575" s="47" t="str">
        <f aca="false">IF($A4575="","",INDEX($L$2:$L$5001,MATCH($A4575,$A$2:$A$5001,0)))</f>
        <v/>
      </c>
      <c r="N4575" s="48" t="str">
        <f aca="false">IF($A4575="","",IF(N(M4575)=0,"–",IF(M4575&lt;=Start!$D$20,"A",IF(M4575&lt;=Start!$D$21,"B","C"))))</f>
        <v/>
      </c>
      <c r="O4575" s="48" t="str">
        <f aca="false">IF($A4575="","",IF(NOT(ISNUMBER(F4575)),"Wert fehlt; ",IF(F4575&lt;=0,"Wert ist 0; ",""))&amp;IF(NOT(ISNUMBER(E4575)),"Bestand fehlt; ",IF(E4575&lt;0,"Bestand negativ; ",IF(E4575=0,"Nullbestand; ","")))&amp;IF(D4575="","Warengruppe fehlt; ","")&amp;IF(B4575="","Bezeichnung fehlt; ","")&amp;IF(COUNTIFS($A$2:$A$5001,$A4575,$C$2:$C$5001,C4575)&gt;1,"Artikel doppelt im selben Lager; ",""))</f>
        <v/>
      </c>
      <c r="P4575" s="47" t="n">
        <f aca="false">IF(OR($A4575="",D4575=""),0,IF(COUNTIF($D$2:D4575,D4575)=1,SUMIF($D$2:$D$5001,D4575,$H$2:$H$5001)+ROW()/10000000,0))</f>
        <v>0</v>
      </c>
      <c r="Q4575" s="47" t="n">
        <f aca="false">IF(OR($A4575="",C4575=""),0,IF(COUNTIF($C$2:C4575,C4575)=1,SUMIF($C$2:$C$5001,C4575,$H$2:$H$5001)+ROW()/10000000,0))</f>
        <v>0</v>
      </c>
    </row>
    <row r="4576" customFormat="false" ht="15" hidden="false" customHeight="false" outlineLevel="0" collapsed="false">
      <c r="A4576" s="43"/>
      <c r="B4576" s="44"/>
      <c r="C4576" s="44"/>
      <c r="D4576" s="44"/>
      <c r="E4576" s="44"/>
      <c r="F4576" s="44"/>
      <c r="G4576" s="44"/>
      <c r="H4576" s="46" t="str">
        <f aca="false">IF($A4576="","",IF(OR(NOT(ISNUMBER(E4576)),NOT(ISNUMBER(F4576))),"",MAX(0,E4576)*F4576))</f>
        <v/>
      </c>
      <c r="I4576" s="46" t="str">
        <f aca="false">IF($A4576="","",SUMIF($A$2:$A$5001,$A4576,$H$2:$H$5001))</f>
        <v/>
      </c>
      <c r="J4576" s="47" t="n">
        <f aca="false">IF($A4576="",0,IF(COUNTIF($A$2:A4576,$A4576)=1,1,0))</f>
        <v>0</v>
      </c>
      <c r="K4576" s="47" t="n">
        <f aca="false">IF(J4576=1,N(I4576)+ROW()/10000000,0)</f>
        <v>0</v>
      </c>
      <c r="L4576" s="47" t="str">
        <f aca="false">IF(AND(J4576=1,N(I4576)&gt;0),SUMIF($K$2:$K$5001,"&gt;="&amp;K4576,$I$2:$I$5001)/MAX(1,SUM($H$2:$H$5001)),"")</f>
        <v/>
      </c>
      <c r="M4576" s="47" t="str">
        <f aca="false">IF($A4576="","",INDEX($L$2:$L$5001,MATCH($A4576,$A$2:$A$5001,0)))</f>
        <v/>
      </c>
      <c r="N4576" s="48" t="str">
        <f aca="false">IF($A4576="","",IF(N(M4576)=0,"–",IF(M4576&lt;=Start!$D$20,"A",IF(M4576&lt;=Start!$D$21,"B","C"))))</f>
        <v/>
      </c>
      <c r="O4576" s="48" t="str">
        <f aca="false">IF($A4576="","",IF(NOT(ISNUMBER(F4576)),"Wert fehlt; ",IF(F4576&lt;=0,"Wert ist 0; ",""))&amp;IF(NOT(ISNUMBER(E4576)),"Bestand fehlt; ",IF(E4576&lt;0,"Bestand negativ; ",IF(E4576=0,"Nullbestand; ","")))&amp;IF(D4576="","Warengruppe fehlt; ","")&amp;IF(B4576="","Bezeichnung fehlt; ","")&amp;IF(COUNTIFS($A$2:$A$5001,$A4576,$C$2:$C$5001,C4576)&gt;1,"Artikel doppelt im selben Lager; ",""))</f>
        <v/>
      </c>
      <c r="P4576" s="47" t="n">
        <f aca="false">IF(OR($A4576="",D4576=""),0,IF(COUNTIF($D$2:D4576,D4576)=1,SUMIF($D$2:$D$5001,D4576,$H$2:$H$5001)+ROW()/10000000,0))</f>
        <v>0</v>
      </c>
      <c r="Q4576" s="47" t="n">
        <f aca="false">IF(OR($A4576="",C4576=""),0,IF(COUNTIF($C$2:C4576,C4576)=1,SUMIF($C$2:$C$5001,C4576,$H$2:$H$5001)+ROW()/10000000,0))</f>
        <v>0</v>
      </c>
    </row>
    <row r="4577" customFormat="false" ht="15" hidden="false" customHeight="false" outlineLevel="0" collapsed="false">
      <c r="A4577" s="43"/>
      <c r="B4577" s="44"/>
      <c r="C4577" s="44"/>
      <c r="D4577" s="44"/>
      <c r="E4577" s="44"/>
      <c r="F4577" s="44"/>
      <c r="G4577" s="44"/>
      <c r="H4577" s="46" t="str">
        <f aca="false">IF($A4577="","",IF(OR(NOT(ISNUMBER(E4577)),NOT(ISNUMBER(F4577))),"",MAX(0,E4577)*F4577))</f>
        <v/>
      </c>
      <c r="I4577" s="46" t="str">
        <f aca="false">IF($A4577="","",SUMIF($A$2:$A$5001,$A4577,$H$2:$H$5001))</f>
        <v/>
      </c>
      <c r="J4577" s="47" t="n">
        <f aca="false">IF($A4577="",0,IF(COUNTIF($A$2:A4577,$A4577)=1,1,0))</f>
        <v>0</v>
      </c>
      <c r="K4577" s="47" t="n">
        <f aca="false">IF(J4577=1,N(I4577)+ROW()/10000000,0)</f>
        <v>0</v>
      </c>
      <c r="L4577" s="47" t="str">
        <f aca="false">IF(AND(J4577=1,N(I4577)&gt;0),SUMIF($K$2:$K$5001,"&gt;="&amp;K4577,$I$2:$I$5001)/MAX(1,SUM($H$2:$H$5001)),"")</f>
        <v/>
      </c>
      <c r="M4577" s="47" t="str">
        <f aca="false">IF($A4577="","",INDEX($L$2:$L$5001,MATCH($A4577,$A$2:$A$5001,0)))</f>
        <v/>
      </c>
      <c r="N4577" s="48" t="str">
        <f aca="false">IF($A4577="","",IF(N(M4577)=0,"–",IF(M4577&lt;=Start!$D$20,"A",IF(M4577&lt;=Start!$D$21,"B","C"))))</f>
        <v/>
      </c>
      <c r="O4577" s="48" t="str">
        <f aca="false">IF($A4577="","",IF(NOT(ISNUMBER(F4577)),"Wert fehlt; ",IF(F4577&lt;=0,"Wert ist 0; ",""))&amp;IF(NOT(ISNUMBER(E4577)),"Bestand fehlt; ",IF(E4577&lt;0,"Bestand negativ; ",IF(E4577=0,"Nullbestand; ","")))&amp;IF(D4577="","Warengruppe fehlt; ","")&amp;IF(B4577="","Bezeichnung fehlt; ","")&amp;IF(COUNTIFS($A$2:$A$5001,$A4577,$C$2:$C$5001,C4577)&gt;1,"Artikel doppelt im selben Lager; ",""))</f>
        <v/>
      </c>
      <c r="P4577" s="47" t="n">
        <f aca="false">IF(OR($A4577="",D4577=""),0,IF(COUNTIF($D$2:D4577,D4577)=1,SUMIF($D$2:$D$5001,D4577,$H$2:$H$5001)+ROW()/10000000,0))</f>
        <v>0</v>
      </c>
      <c r="Q4577" s="47" t="n">
        <f aca="false">IF(OR($A4577="",C4577=""),0,IF(COUNTIF($C$2:C4577,C4577)=1,SUMIF($C$2:$C$5001,C4577,$H$2:$H$5001)+ROW()/10000000,0))</f>
        <v>0</v>
      </c>
    </row>
    <row r="4578" customFormat="false" ht="15" hidden="false" customHeight="false" outlineLevel="0" collapsed="false">
      <c r="A4578" s="43"/>
      <c r="B4578" s="44"/>
      <c r="C4578" s="44"/>
      <c r="D4578" s="44"/>
      <c r="E4578" s="44"/>
      <c r="F4578" s="44"/>
      <c r="G4578" s="44"/>
      <c r="H4578" s="46" t="str">
        <f aca="false">IF($A4578="","",IF(OR(NOT(ISNUMBER(E4578)),NOT(ISNUMBER(F4578))),"",MAX(0,E4578)*F4578))</f>
        <v/>
      </c>
      <c r="I4578" s="46" t="str">
        <f aca="false">IF($A4578="","",SUMIF($A$2:$A$5001,$A4578,$H$2:$H$5001))</f>
        <v/>
      </c>
      <c r="J4578" s="47" t="n">
        <f aca="false">IF($A4578="",0,IF(COUNTIF($A$2:A4578,$A4578)=1,1,0))</f>
        <v>0</v>
      </c>
      <c r="K4578" s="47" t="n">
        <f aca="false">IF(J4578=1,N(I4578)+ROW()/10000000,0)</f>
        <v>0</v>
      </c>
      <c r="L4578" s="47" t="str">
        <f aca="false">IF(AND(J4578=1,N(I4578)&gt;0),SUMIF($K$2:$K$5001,"&gt;="&amp;K4578,$I$2:$I$5001)/MAX(1,SUM($H$2:$H$5001)),"")</f>
        <v/>
      </c>
      <c r="M4578" s="47" t="str">
        <f aca="false">IF($A4578="","",INDEX($L$2:$L$5001,MATCH($A4578,$A$2:$A$5001,0)))</f>
        <v/>
      </c>
      <c r="N4578" s="48" t="str">
        <f aca="false">IF($A4578="","",IF(N(M4578)=0,"–",IF(M4578&lt;=Start!$D$20,"A",IF(M4578&lt;=Start!$D$21,"B","C"))))</f>
        <v/>
      </c>
      <c r="O4578" s="48" t="str">
        <f aca="false">IF($A4578="","",IF(NOT(ISNUMBER(F4578)),"Wert fehlt; ",IF(F4578&lt;=0,"Wert ist 0; ",""))&amp;IF(NOT(ISNUMBER(E4578)),"Bestand fehlt; ",IF(E4578&lt;0,"Bestand negativ; ",IF(E4578=0,"Nullbestand; ","")))&amp;IF(D4578="","Warengruppe fehlt; ","")&amp;IF(B4578="","Bezeichnung fehlt; ","")&amp;IF(COUNTIFS($A$2:$A$5001,$A4578,$C$2:$C$5001,C4578)&gt;1,"Artikel doppelt im selben Lager; ",""))</f>
        <v/>
      </c>
      <c r="P4578" s="47" t="n">
        <f aca="false">IF(OR($A4578="",D4578=""),0,IF(COUNTIF($D$2:D4578,D4578)=1,SUMIF($D$2:$D$5001,D4578,$H$2:$H$5001)+ROW()/10000000,0))</f>
        <v>0</v>
      </c>
      <c r="Q4578" s="47" t="n">
        <f aca="false">IF(OR($A4578="",C4578=""),0,IF(COUNTIF($C$2:C4578,C4578)=1,SUMIF($C$2:$C$5001,C4578,$H$2:$H$5001)+ROW()/10000000,0))</f>
        <v>0</v>
      </c>
    </row>
    <row r="4579" customFormat="false" ht="15" hidden="false" customHeight="false" outlineLevel="0" collapsed="false">
      <c r="A4579" s="43"/>
      <c r="B4579" s="44"/>
      <c r="C4579" s="44"/>
      <c r="D4579" s="44"/>
      <c r="E4579" s="44"/>
      <c r="F4579" s="44"/>
      <c r="G4579" s="44"/>
      <c r="H4579" s="46" t="str">
        <f aca="false">IF($A4579="","",IF(OR(NOT(ISNUMBER(E4579)),NOT(ISNUMBER(F4579))),"",MAX(0,E4579)*F4579))</f>
        <v/>
      </c>
      <c r="I4579" s="46" t="str">
        <f aca="false">IF($A4579="","",SUMIF($A$2:$A$5001,$A4579,$H$2:$H$5001))</f>
        <v/>
      </c>
      <c r="J4579" s="47" t="n">
        <f aca="false">IF($A4579="",0,IF(COUNTIF($A$2:A4579,$A4579)=1,1,0))</f>
        <v>0</v>
      </c>
      <c r="K4579" s="47" t="n">
        <f aca="false">IF(J4579=1,N(I4579)+ROW()/10000000,0)</f>
        <v>0</v>
      </c>
      <c r="L4579" s="47" t="str">
        <f aca="false">IF(AND(J4579=1,N(I4579)&gt;0),SUMIF($K$2:$K$5001,"&gt;="&amp;K4579,$I$2:$I$5001)/MAX(1,SUM($H$2:$H$5001)),"")</f>
        <v/>
      </c>
      <c r="M4579" s="47" t="str">
        <f aca="false">IF($A4579="","",INDEX($L$2:$L$5001,MATCH($A4579,$A$2:$A$5001,0)))</f>
        <v/>
      </c>
      <c r="N4579" s="48" t="str">
        <f aca="false">IF($A4579="","",IF(N(M4579)=0,"–",IF(M4579&lt;=Start!$D$20,"A",IF(M4579&lt;=Start!$D$21,"B","C"))))</f>
        <v/>
      </c>
      <c r="O4579" s="48" t="str">
        <f aca="false">IF($A4579="","",IF(NOT(ISNUMBER(F4579)),"Wert fehlt; ",IF(F4579&lt;=0,"Wert ist 0; ",""))&amp;IF(NOT(ISNUMBER(E4579)),"Bestand fehlt; ",IF(E4579&lt;0,"Bestand negativ; ",IF(E4579=0,"Nullbestand; ","")))&amp;IF(D4579="","Warengruppe fehlt; ","")&amp;IF(B4579="","Bezeichnung fehlt; ","")&amp;IF(COUNTIFS($A$2:$A$5001,$A4579,$C$2:$C$5001,C4579)&gt;1,"Artikel doppelt im selben Lager; ",""))</f>
        <v/>
      </c>
      <c r="P4579" s="47" t="n">
        <f aca="false">IF(OR($A4579="",D4579=""),0,IF(COUNTIF($D$2:D4579,D4579)=1,SUMIF($D$2:$D$5001,D4579,$H$2:$H$5001)+ROW()/10000000,0))</f>
        <v>0</v>
      </c>
      <c r="Q4579" s="47" t="n">
        <f aca="false">IF(OR($A4579="",C4579=""),0,IF(COUNTIF($C$2:C4579,C4579)=1,SUMIF($C$2:$C$5001,C4579,$H$2:$H$5001)+ROW()/10000000,0))</f>
        <v>0</v>
      </c>
    </row>
    <row r="4580" customFormat="false" ht="15" hidden="false" customHeight="false" outlineLevel="0" collapsed="false">
      <c r="A4580" s="43"/>
      <c r="B4580" s="44"/>
      <c r="C4580" s="44"/>
      <c r="D4580" s="44"/>
      <c r="E4580" s="44"/>
      <c r="F4580" s="44"/>
      <c r="G4580" s="44"/>
      <c r="H4580" s="46" t="str">
        <f aca="false">IF($A4580="","",IF(OR(NOT(ISNUMBER(E4580)),NOT(ISNUMBER(F4580))),"",MAX(0,E4580)*F4580))</f>
        <v/>
      </c>
      <c r="I4580" s="46" t="str">
        <f aca="false">IF($A4580="","",SUMIF($A$2:$A$5001,$A4580,$H$2:$H$5001))</f>
        <v/>
      </c>
      <c r="J4580" s="47" t="n">
        <f aca="false">IF($A4580="",0,IF(COUNTIF($A$2:A4580,$A4580)=1,1,0))</f>
        <v>0</v>
      </c>
      <c r="K4580" s="47" t="n">
        <f aca="false">IF(J4580=1,N(I4580)+ROW()/10000000,0)</f>
        <v>0</v>
      </c>
      <c r="L4580" s="47" t="str">
        <f aca="false">IF(AND(J4580=1,N(I4580)&gt;0),SUMIF($K$2:$K$5001,"&gt;="&amp;K4580,$I$2:$I$5001)/MAX(1,SUM($H$2:$H$5001)),"")</f>
        <v/>
      </c>
      <c r="M4580" s="47" t="str">
        <f aca="false">IF($A4580="","",INDEX($L$2:$L$5001,MATCH($A4580,$A$2:$A$5001,0)))</f>
        <v/>
      </c>
      <c r="N4580" s="48" t="str">
        <f aca="false">IF($A4580="","",IF(N(M4580)=0,"–",IF(M4580&lt;=Start!$D$20,"A",IF(M4580&lt;=Start!$D$21,"B","C"))))</f>
        <v/>
      </c>
      <c r="O4580" s="48" t="str">
        <f aca="false">IF($A4580="","",IF(NOT(ISNUMBER(F4580)),"Wert fehlt; ",IF(F4580&lt;=0,"Wert ist 0; ",""))&amp;IF(NOT(ISNUMBER(E4580)),"Bestand fehlt; ",IF(E4580&lt;0,"Bestand negativ; ",IF(E4580=0,"Nullbestand; ","")))&amp;IF(D4580="","Warengruppe fehlt; ","")&amp;IF(B4580="","Bezeichnung fehlt; ","")&amp;IF(COUNTIFS($A$2:$A$5001,$A4580,$C$2:$C$5001,C4580)&gt;1,"Artikel doppelt im selben Lager; ",""))</f>
        <v/>
      </c>
      <c r="P4580" s="47" t="n">
        <f aca="false">IF(OR($A4580="",D4580=""),0,IF(COUNTIF($D$2:D4580,D4580)=1,SUMIF($D$2:$D$5001,D4580,$H$2:$H$5001)+ROW()/10000000,0))</f>
        <v>0</v>
      </c>
      <c r="Q4580" s="47" t="n">
        <f aca="false">IF(OR($A4580="",C4580=""),0,IF(COUNTIF($C$2:C4580,C4580)=1,SUMIF($C$2:$C$5001,C4580,$H$2:$H$5001)+ROW()/10000000,0))</f>
        <v>0</v>
      </c>
    </row>
    <row r="4581" customFormat="false" ht="15" hidden="false" customHeight="false" outlineLevel="0" collapsed="false">
      <c r="A4581" s="43"/>
      <c r="B4581" s="44"/>
      <c r="C4581" s="44"/>
      <c r="D4581" s="44"/>
      <c r="E4581" s="44"/>
      <c r="F4581" s="44"/>
      <c r="G4581" s="44"/>
      <c r="H4581" s="46" t="str">
        <f aca="false">IF($A4581="","",IF(OR(NOT(ISNUMBER(E4581)),NOT(ISNUMBER(F4581))),"",MAX(0,E4581)*F4581))</f>
        <v/>
      </c>
      <c r="I4581" s="46" t="str">
        <f aca="false">IF($A4581="","",SUMIF($A$2:$A$5001,$A4581,$H$2:$H$5001))</f>
        <v/>
      </c>
      <c r="J4581" s="47" t="n">
        <f aca="false">IF($A4581="",0,IF(COUNTIF($A$2:A4581,$A4581)=1,1,0))</f>
        <v>0</v>
      </c>
      <c r="K4581" s="47" t="n">
        <f aca="false">IF(J4581=1,N(I4581)+ROW()/10000000,0)</f>
        <v>0</v>
      </c>
      <c r="L4581" s="47" t="str">
        <f aca="false">IF(AND(J4581=1,N(I4581)&gt;0),SUMIF($K$2:$K$5001,"&gt;="&amp;K4581,$I$2:$I$5001)/MAX(1,SUM($H$2:$H$5001)),"")</f>
        <v/>
      </c>
      <c r="M4581" s="47" t="str">
        <f aca="false">IF($A4581="","",INDEX($L$2:$L$5001,MATCH($A4581,$A$2:$A$5001,0)))</f>
        <v/>
      </c>
      <c r="N4581" s="48" t="str">
        <f aca="false">IF($A4581="","",IF(N(M4581)=0,"–",IF(M4581&lt;=Start!$D$20,"A",IF(M4581&lt;=Start!$D$21,"B","C"))))</f>
        <v/>
      </c>
      <c r="O4581" s="48" t="str">
        <f aca="false">IF($A4581="","",IF(NOT(ISNUMBER(F4581)),"Wert fehlt; ",IF(F4581&lt;=0,"Wert ist 0; ",""))&amp;IF(NOT(ISNUMBER(E4581)),"Bestand fehlt; ",IF(E4581&lt;0,"Bestand negativ; ",IF(E4581=0,"Nullbestand; ","")))&amp;IF(D4581="","Warengruppe fehlt; ","")&amp;IF(B4581="","Bezeichnung fehlt; ","")&amp;IF(COUNTIFS($A$2:$A$5001,$A4581,$C$2:$C$5001,C4581)&gt;1,"Artikel doppelt im selben Lager; ",""))</f>
        <v/>
      </c>
      <c r="P4581" s="47" t="n">
        <f aca="false">IF(OR($A4581="",D4581=""),0,IF(COUNTIF($D$2:D4581,D4581)=1,SUMIF($D$2:$D$5001,D4581,$H$2:$H$5001)+ROW()/10000000,0))</f>
        <v>0</v>
      </c>
      <c r="Q4581" s="47" t="n">
        <f aca="false">IF(OR($A4581="",C4581=""),0,IF(COUNTIF($C$2:C4581,C4581)=1,SUMIF($C$2:$C$5001,C4581,$H$2:$H$5001)+ROW()/10000000,0))</f>
        <v>0</v>
      </c>
    </row>
    <row r="4582" customFormat="false" ht="15" hidden="false" customHeight="false" outlineLevel="0" collapsed="false">
      <c r="A4582" s="43"/>
      <c r="B4582" s="44"/>
      <c r="C4582" s="44"/>
      <c r="D4582" s="44"/>
      <c r="E4582" s="44"/>
      <c r="F4582" s="44"/>
      <c r="G4582" s="44"/>
      <c r="H4582" s="46" t="str">
        <f aca="false">IF($A4582="","",IF(OR(NOT(ISNUMBER(E4582)),NOT(ISNUMBER(F4582))),"",MAX(0,E4582)*F4582))</f>
        <v/>
      </c>
      <c r="I4582" s="46" t="str">
        <f aca="false">IF($A4582="","",SUMIF($A$2:$A$5001,$A4582,$H$2:$H$5001))</f>
        <v/>
      </c>
      <c r="J4582" s="47" t="n">
        <f aca="false">IF($A4582="",0,IF(COUNTIF($A$2:A4582,$A4582)=1,1,0))</f>
        <v>0</v>
      </c>
      <c r="K4582" s="47" t="n">
        <f aca="false">IF(J4582=1,N(I4582)+ROW()/10000000,0)</f>
        <v>0</v>
      </c>
      <c r="L4582" s="47" t="str">
        <f aca="false">IF(AND(J4582=1,N(I4582)&gt;0),SUMIF($K$2:$K$5001,"&gt;="&amp;K4582,$I$2:$I$5001)/MAX(1,SUM($H$2:$H$5001)),"")</f>
        <v/>
      </c>
      <c r="M4582" s="47" t="str">
        <f aca="false">IF($A4582="","",INDEX($L$2:$L$5001,MATCH($A4582,$A$2:$A$5001,0)))</f>
        <v/>
      </c>
      <c r="N4582" s="48" t="str">
        <f aca="false">IF($A4582="","",IF(N(M4582)=0,"–",IF(M4582&lt;=Start!$D$20,"A",IF(M4582&lt;=Start!$D$21,"B","C"))))</f>
        <v/>
      </c>
      <c r="O4582" s="48" t="str">
        <f aca="false">IF($A4582="","",IF(NOT(ISNUMBER(F4582)),"Wert fehlt; ",IF(F4582&lt;=0,"Wert ist 0; ",""))&amp;IF(NOT(ISNUMBER(E4582)),"Bestand fehlt; ",IF(E4582&lt;0,"Bestand negativ; ",IF(E4582=0,"Nullbestand; ","")))&amp;IF(D4582="","Warengruppe fehlt; ","")&amp;IF(B4582="","Bezeichnung fehlt; ","")&amp;IF(COUNTIFS($A$2:$A$5001,$A4582,$C$2:$C$5001,C4582)&gt;1,"Artikel doppelt im selben Lager; ",""))</f>
        <v/>
      </c>
      <c r="P4582" s="47" t="n">
        <f aca="false">IF(OR($A4582="",D4582=""),0,IF(COUNTIF($D$2:D4582,D4582)=1,SUMIF($D$2:$D$5001,D4582,$H$2:$H$5001)+ROW()/10000000,0))</f>
        <v>0</v>
      </c>
      <c r="Q4582" s="47" t="n">
        <f aca="false">IF(OR($A4582="",C4582=""),0,IF(COUNTIF($C$2:C4582,C4582)=1,SUMIF($C$2:$C$5001,C4582,$H$2:$H$5001)+ROW()/10000000,0))</f>
        <v>0</v>
      </c>
    </row>
    <row r="4583" customFormat="false" ht="15" hidden="false" customHeight="false" outlineLevel="0" collapsed="false">
      <c r="A4583" s="43"/>
      <c r="B4583" s="44"/>
      <c r="C4583" s="44"/>
      <c r="D4583" s="44"/>
      <c r="E4583" s="44"/>
      <c r="F4583" s="44"/>
      <c r="G4583" s="44"/>
      <c r="H4583" s="46" t="str">
        <f aca="false">IF($A4583="","",IF(OR(NOT(ISNUMBER(E4583)),NOT(ISNUMBER(F4583))),"",MAX(0,E4583)*F4583))</f>
        <v/>
      </c>
      <c r="I4583" s="46" t="str">
        <f aca="false">IF($A4583="","",SUMIF($A$2:$A$5001,$A4583,$H$2:$H$5001))</f>
        <v/>
      </c>
      <c r="J4583" s="47" t="n">
        <f aca="false">IF($A4583="",0,IF(COUNTIF($A$2:A4583,$A4583)=1,1,0))</f>
        <v>0</v>
      </c>
      <c r="K4583" s="47" t="n">
        <f aca="false">IF(J4583=1,N(I4583)+ROW()/10000000,0)</f>
        <v>0</v>
      </c>
      <c r="L4583" s="47" t="str">
        <f aca="false">IF(AND(J4583=1,N(I4583)&gt;0),SUMIF($K$2:$K$5001,"&gt;="&amp;K4583,$I$2:$I$5001)/MAX(1,SUM($H$2:$H$5001)),"")</f>
        <v/>
      </c>
      <c r="M4583" s="47" t="str">
        <f aca="false">IF($A4583="","",INDEX($L$2:$L$5001,MATCH($A4583,$A$2:$A$5001,0)))</f>
        <v/>
      </c>
      <c r="N4583" s="48" t="str">
        <f aca="false">IF($A4583="","",IF(N(M4583)=0,"–",IF(M4583&lt;=Start!$D$20,"A",IF(M4583&lt;=Start!$D$21,"B","C"))))</f>
        <v/>
      </c>
      <c r="O4583" s="48" t="str">
        <f aca="false">IF($A4583="","",IF(NOT(ISNUMBER(F4583)),"Wert fehlt; ",IF(F4583&lt;=0,"Wert ist 0; ",""))&amp;IF(NOT(ISNUMBER(E4583)),"Bestand fehlt; ",IF(E4583&lt;0,"Bestand negativ; ",IF(E4583=0,"Nullbestand; ","")))&amp;IF(D4583="","Warengruppe fehlt; ","")&amp;IF(B4583="","Bezeichnung fehlt; ","")&amp;IF(COUNTIFS($A$2:$A$5001,$A4583,$C$2:$C$5001,C4583)&gt;1,"Artikel doppelt im selben Lager; ",""))</f>
        <v/>
      </c>
      <c r="P4583" s="47" t="n">
        <f aca="false">IF(OR($A4583="",D4583=""),0,IF(COUNTIF($D$2:D4583,D4583)=1,SUMIF($D$2:$D$5001,D4583,$H$2:$H$5001)+ROW()/10000000,0))</f>
        <v>0</v>
      </c>
      <c r="Q4583" s="47" t="n">
        <f aca="false">IF(OR($A4583="",C4583=""),0,IF(COUNTIF($C$2:C4583,C4583)=1,SUMIF($C$2:$C$5001,C4583,$H$2:$H$5001)+ROW()/10000000,0))</f>
        <v>0</v>
      </c>
    </row>
    <row r="4584" customFormat="false" ht="15" hidden="false" customHeight="false" outlineLevel="0" collapsed="false">
      <c r="A4584" s="43"/>
      <c r="B4584" s="44"/>
      <c r="C4584" s="44"/>
      <c r="D4584" s="44"/>
      <c r="E4584" s="44"/>
      <c r="F4584" s="44"/>
      <c r="G4584" s="44"/>
      <c r="H4584" s="46" t="str">
        <f aca="false">IF($A4584="","",IF(OR(NOT(ISNUMBER(E4584)),NOT(ISNUMBER(F4584))),"",MAX(0,E4584)*F4584))</f>
        <v/>
      </c>
      <c r="I4584" s="46" t="str">
        <f aca="false">IF($A4584="","",SUMIF($A$2:$A$5001,$A4584,$H$2:$H$5001))</f>
        <v/>
      </c>
      <c r="J4584" s="47" t="n">
        <f aca="false">IF($A4584="",0,IF(COUNTIF($A$2:A4584,$A4584)=1,1,0))</f>
        <v>0</v>
      </c>
      <c r="K4584" s="47" t="n">
        <f aca="false">IF(J4584=1,N(I4584)+ROW()/10000000,0)</f>
        <v>0</v>
      </c>
      <c r="L4584" s="47" t="str">
        <f aca="false">IF(AND(J4584=1,N(I4584)&gt;0),SUMIF($K$2:$K$5001,"&gt;="&amp;K4584,$I$2:$I$5001)/MAX(1,SUM($H$2:$H$5001)),"")</f>
        <v/>
      </c>
      <c r="M4584" s="47" t="str">
        <f aca="false">IF($A4584="","",INDEX($L$2:$L$5001,MATCH($A4584,$A$2:$A$5001,0)))</f>
        <v/>
      </c>
      <c r="N4584" s="48" t="str">
        <f aca="false">IF($A4584="","",IF(N(M4584)=0,"–",IF(M4584&lt;=Start!$D$20,"A",IF(M4584&lt;=Start!$D$21,"B","C"))))</f>
        <v/>
      </c>
      <c r="O4584" s="48" t="str">
        <f aca="false">IF($A4584="","",IF(NOT(ISNUMBER(F4584)),"Wert fehlt; ",IF(F4584&lt;=0,"Wert ist 0; ",""))&amp;IF(NOT(ISNUMBER(E4584)),"Bestand fehlt; ",IF(E4584&lt;0,"Bestand negativ; ",IF(E4584=0,"Nullbestand; ","")))&amp;IF(D4584="","Warengruppe fehlt; ","")&amp;IF(B4584="","Bezeichnung fehlt; ","")&amp;IF(COUNTIFS($A$2:$A$5001,$A4584,$C$2:$C$5001,C4584)&gt;1,"Artikel doppelt im selben Lager; ",""))</f>
        <v/>
      </c>
      <c r="P4584" s="47" t="n">
        <f aca="false">IF(OR($A4584="",D4584=""),0,IF(COUNTIF($D$2:D4584,D4584)=1,SUMIF($D$2:$D$5001,D4584,$H$2:$H$5001)+ROW()/10000000,0))</f>
        <v>0</v>
      </c>
      <c r="Q4584" s="47" t="n">
        <f aca="false">IF(OR($A4584="",C4584=""),0,IF(COUNTIF($C$2:C4584,C4584)=1,SUMIF($C$2:$C$5001,C4584,$H$2:$H$5001)+ROW()/10000000,0))</f>
        <v>0</v>
      </c>
    </row>
    <row r="4585" customFormat="false" ht="15" hidden="false" customHeight="false" outlineLevel="0" collapsed="false">
      <c r="A4585" s="43"/>
      <c r="B4585" s="44"/>
      <c r="C4585" s="44"/>
      <c r="D4585" s="44"/>
      <c r="E4585" s="44"/>
      <c r="F4585" s="44"/>
      <c r="G4585" s="44"/>
      <c r="H4585" s="46" t="str">
        <f aca="false">IF($A4585="","",IF(OR(NOT(ISNUMBER(E4585)),NOT(ISNUMBER(F4585))),"",MAX(0,E4585)*F4585))</f>
        <v/>
      </c>
      <c r="I4585" s="46" t="str">
        <f aca="false">IF($A4585="","",SUMIF($A$2:$A$5001,$A4585,$H$2:$H$5001))</f>
        <v/>
      </c>
      <c r="J4585" s="47" t="n">
        <f aca="false">IF($A4585="",0,IF(COUNTIF($A$2:A4585,$A4585)=1,1,0))</f>
        <v>0</v>
      </c>
      <c r="K4585" s="47" t="n">
        <f aca="false">IF(J4585=1,N(I4585)+ROW()/10000000,0)</f>
        <v>0</v>
      </c>
      <c r="L4585" s="47" t="str">
        <f aca="false">IF(AND(J4585=1,N(I4585)&gt;0),SUMIF($K$2:$K$5001,"&gt;="&amp;K4585,$I$2:$I$5001)/MAX(1,SUM($H$2:$H$5001)),"")</f>
        <v/>
      </c>
      <c r="M4585" s="47" t="str">
        <f aca="false">IF($A4585="","",INDEX($L$2:$L$5001,MATCH($A4585,$A$2:$A$5001,0)))</f>
        <v/>
      </c>
      <c r="N4585" s="48" t="str">
        <f aca="false">IF($A4585="","",IF(N(M4585)=0,"–",IF(M4585&lt;=Start!$D$20,"A",IF(M4585&lt;=Start!$D$21,"B","C"))))</f>
        <v/>
      </c>
      <c r="O4585" s="48" t="str">
        <f aca="false">IF($A4585="","",IF(NOT(ISNUMBER(F4585)),"Wert fehlt; ",IF(F4585&lt;=0,"Wert ist 0; ",""))&amp;IF(NOT(ISNUMBER(E4585)),"Bestand fehlt; ",IF(E4585&lt;0,"Bestand negativ; ",IF(E4585=0,"Nullbestand; ","")))&amp;IF(D4585="","Warengruppe fehlt; ","")&amp;IF(B4585="","Bezeichnung fehlt; ","")&amp;IF(COUNTIFS($A$2:$A$5001,$A4585,$C$2:$C$5001,C4585)&gt;1,"Artikel doppelt im selben Lager; ",""))</f>
        <v/>
      </c>
      <c r="P4585" s="47" t="n">
        <f aca="false">IF(OR($A4585="",D4585=""),0,IF(COUNTIF($D$2:D4585,D4585)=1,SUMIF($D$2:$D$5001,D4585,$H$2:$H$5001)+ROW()/10000000,0))</f>
        <v>0</v>
      </c>
      <c r="Q4585" s="47" t="n">
        <f aca="false">IF(OR($A4585="",C4585=""),0,IF(COUNTIF($C$2:C4585,C4585)=1,SUMIF($C$2:$C$5001,C4585,$H$2:$H$5001)+ROW()/10000000,0))</f>
        <v>0</v>
      </c>
    </row>
    <row r="4586" customFormat="false" ht="15" hidden="false" customHeight="false" outlineLevel="0" collapsed="false">
      <c r="A4586" s="43"/>
      <c r="B4586" s="44"/>
      <c r="C4586" s="44"/>
      <c r="D4586" s="44"/>
      <c r="E4586" s="44"/>
      <c r="F4586" s="44"/>
      <c r="G4586" s="44"/>
      <c r="H4586" s="46" t="str">
        <f aca="false">IF($A4586="","",IF(OR(NOT(ISNUMBER(E4586)),NOT(ISNUMBER(F4586))),"",MAX(0,E4586)*F4586))</f>
        <v/>
      </c>
      <c r="I4586" s="46" t="str">
        <f aca="false">IF($A4586="","",SUMIF($A$2:$A$5001,$A4586,$H$2:$H$5001))</f>
        <v/>
      </c>
      <c r="J4586" s="47" t="n">
        <f aca="false">IF($A4586="",0,IF(COUNTIF($A$2:A4586,$A4586)=1,1,0))</f>
        <v>0</v>
      </c>
      <c r="K4586" s="47" t="n">
        <f aca="false">IF(J4586=1,N(I4586)+ROW()/10000000,0)</f>
        <v>0</v>
      </c>
      <c r="L4586" s="47" t="str">
        <f aca="false">IF(AND(J4586=1,N(I4586)&gt;0),SUMIF($K$2:$K$5001,"&gt;="&amp;K4586,$I$2:$I$5001)/MAX(1,SUM($H$2:$H$5001)),"")</f>
        <v/>
      </c>
      <c r="M4586" s="47" t="str">
        <f aca="false">IF($A4586="","",INDEX($L$2:$L$5001,MATCH($A4586,$A$2:$A$5001,0)))</f>
        <v/>
      </c>
      <c r="N4586" s="48" t="str">
        <f aca="false">IF($A4586="","",IF(N(M4586)=0,"–",IF(M4586&lt;=Start!$D$20,"A",IF(M4586&lt;=Start!$D$21,"B","C"))))</f>
        <v/>
      </c>
      <c r="O4586" s="48" t="str">
        <f aca="false">IF($A4586="","",IF(NOT(ISNUMBER(F4586)),"Wert fehlt; ",IF(F4586&lt;=0,"Wert ist 0; ",""))&amp;IF(NOT(ISNUMBER(E4586)),"Bestand fehlt; ",IF(E4586&lt;0,"Bestand negativ; ",IF(E4586=0,"Nullbestand; ","")))&amp;IF(D4586="","Warengruppe fehlt; ","")&amp;IF(B4586="","Bezeichnung fehlt; ","")&amp;IF(COUNTIFS($A$2:$A$5001,$A4586,$C$2:$C$5001,C4586)&gt;1,"Artikel doppelt im selben Lager; ",""))</f>
        <v/>
      </c>
      <c r="P4586" s="47" t="n">
        <f aca="false">IF(OR($A4586="",D4586=""),0,IF(COUNTIF($D$2:D4586,D4586)=1,SUMIF($D$2:$D$5001,D4586,$H$2:$H$5001)+ROW()/10000000,0))</f>
        <v>0</v>
      </c>
      <c r="Q4586" s="47" t="n">
        <f aca="false">IF(OR($A4586="",C4586=""),0,IF(COUNTIF($C$2:C4586,C4586)=1,SUMIF($C$2:$C$5001,C4586,$H$2:$H$5001)+ROW()/10000000,0))</f>
        <v>0</v>
      </c>
    </row>
    <row r="4587" customFormat="false" ht="15" hidden="false" customHeight="false" outlineLevel="0" collapsed="false">
      <c r="A4587" s="43"/>
      <c r="B4587" s="44"/>
      <c r="C4587" s="44"/>
      <c r="D4587" s="44"/>
      <c r="E4587" s="44"/>
      <c r="F4587" s="44"/>
      <c r="G4587" s="44"/>
      <c r="H4587" s="46" t="str">
        <f aca="false">IF($A4587="","",IF(OR(NOT(ISNUMBER(E4587)),NOT(ISNUMBER(F4587))),"",MAX(0,E4587)*F4587))</f>
        <v/>
      </c>
      <c r="I4587" s="46" t="str">
        <f aca="false">IF($A4587="","",SUMIF($A$2:$A$5001,$A4587,$H$2:$H$5001))</f>
        <v/>
      </c>
      <c r="J4587" s="47" t="n">
        <f aca="false">IF($A4587="",0,IF(COUNTIF($A$2:A4587,$A4587)=1,1,0))</f>
        <v>0</v>
      </c>
      <c r="K4587" s="47" t="n">
        <f aca="false">IF(J4587=1,N(I4587)+ROW()/10000000,0)</f>
        <v>0</v>
      </c>
      <c r="L4587" s="47" t="str">
        <f aca="false">IF(AND(J4587=1,N(I4587)&gt;0),SUMIF($K$2:$K$5001,"&gt;="&amp;K4587,$I$2:$I$5001)/MAX(1,SUM($H$2:$H$5001)),"")</f>
        <v/>
      </c>
      <c r="M4587" s="47" t="str">
        <f aca="false">IF($A4587="","",INDEX($L$2:$L$5001,MATCH($A4587,$A$2:$A$5001,0)))</f>
        <v/>
      </c>
      <c r="N4587" s="48" t="str">
        <f aca="false">IF($A4587="","",IF(N(M4587)=0,"–",IF(M4587&lt;=Start!$D$20,"A",IF(M4587&lt;=Start!$D$21,"B","C"))))</f>
        <v/>
      </c>
      <c r="O4587" s="48" t="str">
        <f aca="false">IF($A4587="","",IF(NOT(ISNUMBER(F4587)),"Wert fehlt; ",IF(F4587&lt;=0,"Wert ist 0; ",""))&amp;IF(NOT(ISNUMBER(E4587)),"Bestand fehlt; ",IF(E4587&lt;0,"Bestand negativ; ",IF(E4587=0,"Nullbestand; ","")))&amp;IF(D4587="","Warengruppe fehlt; ","")&amp;IF(B4587="","Bezeichnung fehlt; ","")&amp;IF(COUNTIFS($A$2:$A$5001,$A4587,$C$2:$C$5001,C4587)&gt;1,"Artikel doppelt im selben Lager; ",""))</f>
        <v/>
      </c>
      <c r="P4587" s="47" t="n">
        <f aca="false">IF(OR($A4587="",D4587=""),0,IF(COUNTIF($D$2:D4587,D4587)=1,SUMIF($D$2:$D$5001,D4587,$H$2:$H$5001)+ROW()/10000000,0))</f>
        <v>0</v>
      </c>
      <c r="Q4587" s="47" t="n">
        <f aca="false">IF(OR($A4587="",C4587=""),0,IF(COUNTIF($C$2:C4587,C4587)=1,SUMIF($C$2:$C$5001,C4587,$H$2:$H$5001)+ROW()/10000000,0))</f>
        <v>0</v>
      </c>
    </row>
    <row r="4588" customFormat="false" ht="15" hidden="false" customHeight="false" outlineLevel="0" collapsed="false">
      <c r="A4588" s="43"/>
      <c r="B4588" s="44"/>
      <c r="C4588" s="44"/>
      <c r="D4588" s="44"/>
      <c r="E4588" s="44"/>
      <c r="F4588" s="44"/>
      <c r="G4588" s="44"/>
      <c r="H4588" s="46" t="str">
        <f aca="false">IF($A4588="","",IF(OR(NOT(ISNUMBER(E4588)),NOT(ISNUMBER(F4588))),"",MAX(0,E4588)*F4588))</f>
        <v/>
      </c>
      <c r="I4588" s="46" t="str">
        <f aca="false">IF($A4588="","",SUMIF($A$2:$A$5001,$A4588,$H$2:$H$5001))</f>
        <v/>
      </c>
      <c r="J4588" s="47" t="n">
        <f aca="false">IF($A4588="",0,IF(COUNTIF($A$2:A4588,$A4588)=1,1,0))</f>
        <v>0</v>
      </c>
      <c r="K4588" s="47" t="n">
        <f aca="false">IF(J4588=1,N(I4588)+ROW()/10000000,0)</f>
        <v>0</v>
      </c>
      <c r="L4588" s="47" t="str">
        <f aca="false">IF(AND(J4588=1,N(I4588)&gt;0),SUMIF($K$2:$K$5001,"&gt;="&amp;K4588,$I$2:$I$5001)/MAX(1,SUM($H$2:$H$5001)),"")</f>
        <v/>
      </c>
      <c r="M4588" s="47" t="str">
        <f aca="false">IF($A4588="","",INDEX($L$2:$L$5001,MATCH($A4588,$A$2:$A$5001,0)))</f>
        <v/>
      </c>
      <c r="N4588" s="48" t="str">
        <f aca="false">IF($A4588="","",IF(N(M4588)=0,"–",IF(M4588&lt;=Start!$D$20,"A",IF(M4588&lt;=Start!$D$21,"B","C"))))</f>
        <v/>
      </c>
      <c r="O4588" s="48" t="str">
        <f aca="false">IF($A4588="","",IF(NOT(ISNUMBER(F4588)),"Wert fehlt; ",IF(F4588&lt;=0,"Wert ist 0; ",""))&amp;IF(NOT(ISNUMBER(E4588)),"Bestand fehlt; ",IF(E4588&lt;0,"Bestand negativ; ",IF(E4588=0,"Nullbestand; ","")))&amp;IF(D4588="","Warengruppe fehlt; ","")&amp;IF(B4588="","Bezeichnung fehlt; ","")&amp;IF(COUNTIFS($A$2:$A$5001,$A4588,$C$2:$C$5001,C4588)&gt;1,"Artikel doppelt im selben Lager; ",""))</f>
        <v/>
      </c>
      <c r="P4588" s="47" t="n">
        <f aca="false">IF(OR($A4588="",D4588=""),0,IF(COUNTIF($D$2:D4588,D4588)=1,SUMIF($D$2:$D$5001,D4588,$H$2:$H$5001)+ROW()/10000000,0))</f>
        <v>0</v>
      </c>
      <c r="Q4588" s="47" t="n">
        <f aca="false">IF(OR($A4588="",C4588=""),0,IF(COUNTIF($C$2:C4588,C4588)=1,SUMIF($C$2:$C$5001,C4588,$H$2:$H$5001)+ROW()/10000000,0))</f>
        <v>0</v>
      </c>
    </row>
    <row r="4589" customFormat="false" ht="15" hidden="false" customHeight="false" outlineLevel="0" collapsed="false">
      <c r="A4589" s="43"/>
      <c r="B4589" s="44"/>
      <c r="C4589" s="44"/>
      <c r="D4589" s="44"/>
      <c r="E4589" s="44"/>
      <c r="F4589" s="44"/>
      <c r="G4589" s="44"/>
      <c r="H4589" s="46" t="str">
        <f aca="false">IF($A4589="","",IF(OR(NOT(ISNUMBER(E4589)),NOT(ISNUMBER(F4589))),"",MAX(0,E4589)*F4589))</f>
        <v/>
      </c>
      <c r="I4589" s="46" t="str">
        <f aca="false">IF($A4589="","",SUMIF($A$2:$A$5001,$A4589,$H$2:$H$5001))</f>
        <v/>
      </c>
      <c r="J4589" s="47" t="n">
        <f aca="false">IF($A4589="",0,IF(COUNTIF($A$2:A4589,$A4589)=1,1,0))</f>
        <v>0</v>
      </c>
      <c r="K4589" s="47" t="n">
        <f aca="false">IF(J4589=1,N(I4589)+ROW()/10000000,0)</f>
        <v>0</v>
      </c>
      <c r="L4589" s="47" t="str">
        <f aca="false">IF(AND(J4589=1,N(I4589)&gt;0),SUMIF($K$2:$K$5001,"&gt;="&amp;K4589,$I$2:$I$5001)/MAX(1,SUM($H$2:$H$5001)),"")</f>
        <v/>
      </c>
      <c r="M4589" s="47" t="str">
        <f aca="false">IF($A4589="","",INDEX($L$2:$L$5001,MATCH($A4589,$A$2:$A$5001,0)))</f>
        <v/>
      </c>
      <c r="N4589" s="48" t="str">
        <f aca="false">IF($A4589="","",IF(N(M4589)=0,"–",IF(M4589&lt;=Start!$D$20,"A",IF(M4589&lt;=Start!$D$21,"B","C"))))</f>
        <v/>
      </c>
      <c r="O4589" s="48" t="str">
        <f aca="false">IF($A4589="","",IF(NOT(ISNUMBER(F4589)),"Wert fehlt; ",IF(F4589&lt;=0,"Wert ist 0; ",""))&amp;IF(NOT(ISNUMBER(E4589)),"Bestand fehlt; ",IF(E4589&lt;0,"Bestand negativ; ",IF(E4589=0,"Nullbestand; ","")))&amp;IF(D4589="","Warengruppe fehlt; ","")&amp;IF(B4589="","Bezeichnung fehlt; ","")&amp;IF(COUNTIFS($A$2:$A$5001,$A4589,$C$2:$C$5001,C4589)&gt;1,"Artikel doppelt im selben Lager; ",""))</f>
        <v/>
      </c>
      <c r="P4589" s="47" t="n">
        <f aca="false">IF(OR($A4589="",D4589=""),0,IF(COUNTIF($D$2:D4589,D4589)=1,SUMIF($D$2:$D$5001,D4589,$H$2:$H$5001)+ROW()/10000000,0))</f>
        <v>0</v>
      </c>
      <c r="Q4589" s="47" t="n">
        <f aca="false">IF(OR($A4589="",C4589=""),0,IF(COUNTIF($C$2:C4589,C4589)=1,SUMIF($C$2:$C$5001,C4589,$H$2:$H$5001)+ROW()/10000000,0))</f>
        <v>0</v>
      </c>
    </row>
    <row r="4590" customFormat="false" ht="15" hidden="false" customHeight="false" outlineLevel="0" collapsed="false">
      <c r="A4590" s="43"/>
      <c r="B4590" s="44"/>
      <c r="C4590" s="44"/>
      <c r="D4590" s="44"/>
      <c r="E4590" s="44"/>
      <c r="F4590" s="44"/>
      <c r="G4590" s="44"/>
      <c r="H4590" s="46" t="str">
        <f aca="false">IF($A4590="","",IF(OR(NOT(ISNUMBER(E4590)),NOT(ISNUMBER(F4590))),"",MAX(0,E4590)*F4590))</f>
        <v/>
      </c>
      <c r="I4590" s="46" t="str">
        <f aca="false">IF($A4590="","",SUMIF($A$2:$A$5001,$A4590,$H$2:$H$5001))</f>
        <v/>
      </c>
      <c r="J4590" s="47" t="n">
        <f aca="false">IF($A4590="",0,IF(COUNTIF($A$2:A4590,$A4590)=1,1,0))</f>
        <v>0</v>
      </c>
      <c r="K4590" s="47" t="n">
        <f aca="false">IF(J4590=1,N(I4590)+ROW()/10000000,0)</f>
        <v>0</v>
      </c>
      <c r="L4590" s="47" t="str">
        <f aca="false">IF(AND(J4590=1,N(I4590)&gt;0),SUMIF($K$2:$K$5001,"&gt;="&amp;K4590,$I$2:$I$5001)/MAX(1,SUM($H$2:$H$5001)),"")</f>
        <v/>
      </c>
      <c r="M4590" s="47" t="str">
        <f aca="false">IF($A4590="","",INDEX($L$2:$L$5001,MATCH($A4590,$A$2:$A$5001,0)))</f>
        <v/>
      </c>
      <c r="N4590" s="48" t="str">
        <f aca="false">IF($A4590="","",IF(N(M4590)=0,"–",IF(M4590&lt;=Start!$D$20,"A",IF(M4590&lt;=Start!$D$21,"B","C"))))</f>
        <v/>
      </c>
      <c r="O4590" s="48" t="str">
        <f aca="false">IF($A4590="","",IF(NOT(ISNUMBER(F4590)),"Wert fehlt; ",IF(F4590&lt;=0,"Wert ist 0; ",""))&amp;IF(NOT(ISNUMBER(E4590)),"Bestand fehlt; ",IF(E4590&lt;0,"Bestand negativ; ",IF(E4590=0,"Nullbestand; ","")))&amp;IF(D4590="","Warengruppe fehlt; ","")&amp;IF(B4590="","Bezeichnung fehlt; ","")&amp;IF(COUNTIFS($A$2:$A$5001,$A4590,$C$2:$C$5001,C4590)&gt;1,"Artikel doppelt im selben Lager; ",""))</f>
        <v/>
      </c>
      <c r="P4590" s="47" t="n">
        <f aca="false">IF(OR($A4590="",D4590=""),0,IF(COUNTIF($D$2:D4590,D4590)=1,SUMIF($D$2:$D$5001,D4590,$H$2:$H$5001)+ROW()/10000000,0))</f>
        <v>0</v>
      </c>
      <c r="Q4590" s="47" t="n">
        <f aca="false">IF(OR($A4590="",C4590=""),0,IF(COUNTIF($C$2:C4590,C4590)=1,SUMIF($C$2:$C$5001,C4590,$H$2:$H$5001)+ROW()/10000000,0))</f>
        <v>0</v>
      </c>
    </row>
    <row r="4591" customFormat="false" ht="15" hidden="false" customHeight="false" outlineLevel="0" collapsed="false">
      <c r="A4591" s="43"/>
      <c r="B4591" s="44"/>
      <c r="C4591" s="44"/>
      <c r="D4591" s="44"/>
      <c r="E4591" s="44"/>
      <c r="F4591" s="44"/>
      <c r="G4591" s="44"/>
      <c r="H4591" s="46" t="str">
        <f aca="false">IF($A4591="","",IF(OR(NOT(ISNUMBER(E4591)),NOT(ISNUMBER(F4591))),"",MAX(0,E4591)*F4591))</f>
        <v/>
      </c>
      <c r="I4591" s="46" t="str">
        <f aca="false">IF($A4591="","",SUMIF($A$2:$A$5001,$A4591,$H$2:$H$5001))</f>
        <v/>
      </c>
      <c r="J4591" s="47" t="n">
        <f aca="false">IF($A4591="",0,IF(COUNTIF($A$2:A4591,$A4591)=1,1,0))</f>
        <v>0</v>
      </c>
      <c r="K4591" s="47" t="n">
        <f aca="false">IF(J4591=1,N(I4591)+ROW()/10000000,0)</f>
        <v>0</v>
      </c>
      <c r="L4591" s="47" t="str">
        <f aca="false">IF(AND(J4591=1,N(I4591)&gt;0),SUMIF($K$2:$K$5001,"&gt;="&amp;K4591,$I$2:$I$5001)/MAX(1,SUM($H$2:$H$5001)),"")</f>
        <v/>
      </c>
      <c r="M4591" s="47" t="str">
        <f aca="false">IF($A4591="","",INDEX($L$2:$L$5001,MATCH($A4591,$A$2:$A$5001,0)))</f>
        <v/>
      </c>
      <c r="N4591" s="48" t="str">
        <f aca="false">IF($A4591="","",IF(N(M4591)=0,"–",IF(M4591&lt;=Start!$D$20,"A",IF(M4591&lt;=Start!$D$21,"B","C"))))</f>
        <v/>
      </c>
      <c r="O4591" s="48" t="str">
        <f aca="false">IF($A4591="","",IF(NOT(ISNUMBER(F4591)),"Wert fehlt; ",IF(F4591&lt;=0,"Wert ist 0; ",""))&amp;IF(NOT(ISNUMBER(E4591)),"Bestand fehlt; ",IF(E4591&lt;0,"Bestand negativ; ",IF(E4591=0,"Nullbestand; ","")))&amp;IF(D4591="","Warengruppe fehlt; ","")&amp;IF(B4591="","Bezeichnung fehlt; ","")&amp;IF(COUNTIFS($A$2:$A$5001,$A4591,$C$2:$C$5001,C4591)&gt;1,"Artikel doppelt im selben Lager; ",""))</f>
        <v/>
      </c>
      <c r="P4591" s="47" t="n">
        <f aca="false">IF(OR($A4591="",D4591=""),0,IF(COUNTIF($D$2:D4591,D4591)=1,SUMIF($D$2:$D$5001,D4591,$H$2:$H$5001)+ROW()/10000000,0))</f>
        <v>0</v>
      </c>
      <c r="Q4591" s="47" t="n">
        <f aca="false">IF(OR($A4591="",C4591=""),0,IF(COUNTIF($C$2:C4591,C4591)=1,SUMIF($C$2:$C$5001,C4591,$H$2:$H$5001)+ROW()/10000000,0))</f>
        <v>0</v>
      </c>
    </row>
    <row r="4592" customFormat="false" ht="15" hidden="false" customHeight="false" outlineLevel="0" collapsed="false">
      <c r="A4592" s="43"/>
      <c r="B4592" s="44"/>
      <c r="C4592" s="44"/>
      <c r="D4592" s="44"/>
      <c r="E4592" s="44"/>
      <c r="F4592" s="44"/>
      <c r="G4592" s="44"/>
      <c r="H4592" s="46" t="str">
        <f aca="false">IF($A4592="","",IF(OR(NOT(ISNUMBER(E4592)),NOT(ISNUMBER(F4592))),"",MAX(0,E4592)*F4592))</f>
        <v/>
      </c>
      <c r="I4592" s="46" t="str">
        <f aca="false">IF($A4592="","",SUMIF($A$2:$A$5001,$A4592,$H$2:$H$5001))</f>
        <v/>
      </c>
      <c r="J4592" s="47" t="n">
        <f aca="false">IF($A4592="",0,IF(COUNTIF($A$2:A4592,$A4592)=1,1,0))</f>
        <v>0</v>
      </c>
      <c r="K4592" s="47" t="n">
        <f aca="false">IF(J4592=1,N(I4592)+ROW()/10000000,0)</f>
        <v>0</v>
      </c>
      <c r="L4592" s="47" t="str">
        <f aca="false">IF(AND(J4592=1,N(I4592)&gt;0),SUMIF($K$2:$K$5001,"&gt;="&amp;K4592,$I$2:$I$5001)/MAX(1,SUM($H$2:$H$5001)),"")</f>
        <v/>
      </c>
      <c r="M4592" s="47" t="str">
        <f aca="false">IF($A4592="","",INDEX($L$2:$L$5001,MATCH($A4592,$A$2:$A$5001,0)))</f>
        <v/>
      </c>
      <c r="N4592" s="48" t="str">
        <f aca="false">IF($A4592="","",IF(N(M4592)=0,"–",IF(M4592&lt;=Start!$D$20,"A",IF(M4592&lt;=Start!$D$21,"B","C"))))</f>
        <v/>
      </c>
      <c r="O4592" s="48" t="str">
        <f aca="false">IF($A4592="","",IF(NOT(ISNUMBER(F4592)),"Wert fehlt; ",IF(F4592&lt;=0,"Wert ist 0; ",""))&amp;IF(NOT(ISNUMBER(E4592)),"Bestand fehlt; ",IF(E4592&lt;0,"Bestand negativ; ",IF(E4592=0,"Nullbestand; ","")))&amp;IF(D4592="","Warengruppe fehlt; ","")&amp;IF(B4592="","Bezeichnung fehlt; ","")&amp;IF(COUNTIFS($A$2:$A$5001,$A4592,$C$2:$C$5001,C4592)&gt;1,"Artikel doppelt im selben Lager; ",""))</f>
        <v/>
      </c>
      <c r="P4592" s="47" t="n">
        <f aca="false">IF(OR($A4592="",D4592=""),0,IF(COUNTIF($D$2:D4592,D4592)=1,SUMIF($D$2:$D$5001,D4592,$H$2:$H$5001)+ROW()/10000000,0))</f>
        <v>0</v>
      </c>
      <c r="Q4592" s="47" t="n">
        <f aca="false">IF(OR($A4592="",C4592=""),0,IF(COUNTIF($C$2:C4592,C4592)=1,SUMIF($C$2:$C$5001,C4592,$H$2:$H$5001)+ROW()/10000000,0))</f>
        <v>0</v>
      </c>
    </row>
    <row r="4593" customFormat="false" ht="15" hidden="false" customHeight="false" outlineLevel="0" collapsed="false">
      <c r="A4593" s="43"/>
      <c r="B4593" s="44"/>
      <c r="C4593" s="44"/>
      <c r="D4593" s="44"/>
      <c r="E4593" s="44"/>
      <c r="F4593" s="44"/>
      <c r="G4593" s="44"/>
      <c r="H4593" s="46" t="str">
        <f aca="false">IF($A4593="","",IF(OR(NOT(ISNUMBER(E4593)),NOT(ISNUMBER(F4593))),"",MAX(0,E4593)*F4593))</f>
        <v/>
      </c>
      <c r="I4593" s="46" t="str">
        <f aca="false">IF($A4593="","",SUMIF($A$2:$A$5001,$A4593,$H$2:$H$5001))</f>
        <v/>
      </c>
      <c r="J4593" s="47" t="n">
        <f aca="false">IF($A4593="",0,IF(COUNTIF($A$2:A4593,$A4593)=1,1,0))</f>
        <v>0</v>
      </c>
      <c r="K4593" s="47" t="n">
        <f aca="false">IF(J4593=1,N(I4593)+ROW()/10000000,0)</f>
        <v>0</v>
      </c>
      <c r="L4593" s="47" t="str">
        <f aca="false">IF(AND(J4593=1,N(I4593)&gt;0),SUMIF($K$2:$K$5001,"&gt;="&amp;K4593,$I$2:$I$5001)/MAX(1,SUM($H$2:$H$5001)),"")</f>
        <v/>
      </c>
      <c r="M4593" s="47" t="str">
        <f aca="false">IF($A4593="","",INDEX($L$2:$L$5001,MATCH($A4593,$A$2:$A$5001,0)))</f>
        <v/>
      </c>
      <c r="N4593" s="48" t="str">
        <f aca="false">IF($A4593="","",IF(N(M4593)=0,"–",IF(M4593&lt;=Start!$D$20,"A",IF(M4593&lt;=Start!$D$21,"B","C"))))</f>
        <v/>
      </c>
      <c r="O4593" s="48" t="str">
        <f aca="false">IF($A4593="","",IF(NOT(ISNUMBER(F4593)),"Wert fehlt; ",IF(F4593&lt;=0,"Wert ist 0; ",""))&amp;IF(NOT(ISNUMBER(E4593)),"Bestand fehlt; ",IF(E4593&lt;0,"Bestand negativ; ",IF(E4593=0,"Nullbestand; ","")))&amp;IF(D4593="","Warengruppe fehlt; ","")&amp;IF(B4593="","Bezeichnung fehlt; ","")&amp;IF(COUNTIFS($A$2:$A$5001,$A4593,$C$2:$C$5001,C4593)&gt;1,"Artikel doppelt im selben Lager; ",""))</f>
        <v/>
      </c>
      <c r="P4593" s="47" t="n">
        <f aca="false">IF(OR($A4593="",D4593=""),0,IF(COUNTIF($D$2:D4593,D4593)=1,SUMIF($D$2:$D$5001,D4593,$H$2:$H$5001)+ROW()/10000000,0))</f>
        <v>0</v>
      </c>
      <c r="Q4593" s="47" t="n">
        <f aca="false">IF(OR($A4593="",C4593=""),0,IF(COUNTIF($C$2:C4593,C4593)=1,SUMIF($C$2:$C$5001,C4593,$H$2:$H$5001)+ROW()/10000000,0))</f>
        <v>0</v>
      </c>
    </row>
    <row r="4594" customFormat="false" ht="15" hidden="false" customHeight="false" outlineLevel="0" collapsed="false">
      <c r="A4594" s="43"/>
      <c r="B4594" s="44"/>
      <c r="C4594" s="44"/>
      <c r="D4594" s="44"/>
      <c r="E4594" s="44"/>
      <c r="F4594" s="44"/>
      <c r="G4594" s="44"/>
      <c r="H4594" s="46" t="str">
        <f aca="false">IF($A4594="","",IF(OR(NOT(ISNUMBER(E4594)),NOT(ISNUMBER(F4594))),"",MAX(0,E4594)*F4594))</f>
        <v/>
      </c>
      <c r="I4594" s="46" t="str">
        <f aca="false">IF($A4594="","",SUMIF($A$2:$A$5001,$A4594,$H$2:$H$5001))</f>
        <v/>
      </c>
      <c r="J4594" s="47" t="n">
        <f aca="false">IF($A4594="",0,IF(COUNTIF($A$2:A4594,$A4594)=1,1,0))</f>
        <v>0</v>
      </c>
      <c r="K4594" s="47" t="n">
        <f aca="false">IF(J4594=1,N(I4594)+ROW()/10000000,0)</f>
        <v>0</v>
      </c>
      <c r="L4594" s="47" t="str">
        <f aca="false">IF(AND(J4594=1,N(I4594)&gt;0),SUMIF($K$2:$K$5001,"&gt;="&amp;K4594,$I$2:$I$5001)/MAX(1,SUM($H$2:$H$5001)),"")</f>
        <v/>
      </c>
      <c r="M4594" s="47" t="str">
        <f aca="false">IF($A4594="","",INDEX($L$2:$L$5001,MATCH($A4594,$A$2:$A$5001,0)))</f>
        <v/>
      </c>
      <c r="N4594" s="48" t="str">
        <f aca="false">IF($A4594="","",IF(N(M4594)=0,"–",IF(M4594&lt;=Start!$D$20,"A",IF(M4594&lt;=Start!$D$21,"B","C"))))</f>
        <v/>
      </c>
      <c r="O4594" s="48" t="str">
        <f aca="false">IF($A4594="","",IF(NOT(ISNUMBER(F4594)),"Wert fehlt; ",IF(F4594&lt;=0,"Wert ist 0; ",""))&amp;IF(NOT(ISNUMBER(E4594)),"Bestand fehlt; ",IF(E4594&lt;0,"Bestand negativ; ",IF(E4594=0,"Nullbestand; ","")))&amp;IF(D4594="","Warengruppe fehlt; ","")&amp;IF(B4594="","Bezeichnung fehlt; ","")&amp;IF(COUNTIFS($A$2:$A$5001,$A4594,$C$2:$C$5001,C4594)&gt;1,"Artikel doppelt im selben Lager; ",""))</f>
        <v/>
      </c>
      <c r="P4594" s="47" t="n">
        <f aca="false">IF(OR($A4594="",D4594=""),0,IF(COUNTIF($D$2:D4594,D4594)=1,SUMIF($D$2:$D$5001,D4594,$H$2:$H$5001)+ROW()/10000000,0))</f>
        <v>0</v>
      </c>
      <c r="Q4594" s="47" t="n">
        <f aca="false">IF(OR($A4594="",C4594=""),0,IF(COUNTIF($C$2:C4594,C4594)=1,SUMIF($C$2:$C$5001,C4594,$H$2:$H$5001)+ROW()/10000000,0))</f>
        <v>0</v>
      </c>
    </row>
    <row r="4595" customFormat="false" ht="15" hidden="false" customHeight="false" outlineLevel="0" collapsed="false">
      <c r="A4595" s="43"/>
      <c r="B4595" s="44"/>
      <c r="C4595" s="44"/>
      <c r="D4595" s="44"/>
      <c r="E4595" s="44"/>
      <c r="F4595" s="44"/>
      <c r="G4595" s="44"/>
      <c r="H4595" s="46" t="str">
        <f aca="false">IF($A4595="","",IF(OR(NOT(ISNUMBER(E4595)),NOT(ISNUMBER(F4595))),"",MAX(0,E4595)*F4595))</f>
        <v/>
      </c>
      <c r="I4595" s="46" t="str">
        <f aca="false">IF($A4595="","",SUMIF($A$2:$A$5001,$A4595,$H$2:$H$5001))</f>
        <v/>
      </c>
      <c r="J4595" s="47" t="n">
        <f aca="false">IF($A4595="",0,IF(COUNTIF($A$2:A4595,$A4595)=1,1,0))</f>
        <v>0</v>
      </c>
      <c r="K4595" s="47" t="n">
        <f aca="false">IF(J4595=1,N(I4595)+ROW()/10000000,0)</f>
        <v>0</v>
      </c>
      <c r="L4595" s="47" t="str">
        <f aca="false">IF(AND(J4595=1,N(I4595)&gt;0),SUMIF($K$2:$K$5001,"&gt;="&amp;K4595,$I$2:$I$5001)/MAX(1,SUM($H$2:$H$5001)),"")</f>
        <v/>
      </c>
      <c r="M4595" s="47" t="str">
        <f aca="false">IF($A4595="","",INDEX($L$2:$L$5001,MATCH($A4595,$A$2:$A$5001,0)))</f>
        <v/>
      </c>
      <c r="N4595" s="48" t="str">
        <f aca="false">IF($A4595="","",IF(N(M4595)=0,"–",IF(M4595&lt;=Start!$D$20,"A",IF(M4595&lt;=Start!$D$21,"B","C"))))</f>
        <v/>
      </c>
      <c r="O4595" s="48" t="str">
        <f aca="false">IF($A4595="","",IF(NOT(ISNUMBER(F4595)),"Wert fehlt; ",IF(F4595&lt;=0,"Wert ist 0; ",""))&amp;IF(NOT(ISNUMBER(E4595)),"Bestand fehlt; ",IF(E4595&lt;0,"Bestand negativ; ",IF(E4595=0,"Nullbestand; ","")))&amp;IF(D4595="","Warengruppe fehlt; ","")&amp;IF(B4595="","Bezeichnung fehlt; ","")&amp;IF(COUNTIFS($A$2:$A$5001,$A4595,$C$2:$C$5001,C4595)&gt;1,"Artikel doppelt im selben Lager; ",""))</f>
        <v/>
      </c>
      <c r="P4595" s="47" t="n">
        <f aca="false">IF(OR($A4595="",D4595=""),0,IF(COUNTIF($D$2:D4595,D4595)=1,SUMIF($D$2:$D$5001,D4595,$H$2:$H$5001)+ROW()/10000000,0))</f>
        <v>0</v>
      </c>
      <c r="Q4595" s="47" t="n">
        <f aca="false">IF(OR($A4595="",C4595=""),0,IF(COUNTIF($C$2:C4595,C4595)=1,SUMIF($C$2:$C$5001,C4595,$H$2:$H$5001)+ROW()/10000000,0))</f>
        <v>0</v>
      </c>
    </row>
    <row r="4596" customFormat="false" ht="15" hidden="false" customHeight="false" outlineLevel="0" collapsed="false">
      <c r="A4596" s="43"/>
      <c r="B4596" s="44"/>
      <c r="C4596" s="44"/>
      <c r="D4596" s="44"/>
      <c r="E4596" s="44"/>
      <c r="F4596" s="44"/>
      <c r="G4596" s="44"/>
      <c r="H4596" s="46" t="str">
        <f aca="false">IF($A4596="","",IF(OR(NOT(ISNUMBER(E4596)),NOT(ISNUMBER(F4596))),"",MAX(0,E4596)*F4596))</f>
        <v/>
      </c>
      <c r="I4596" s="46" t="str">
        <f aca="false">IF($A4596="","",SUMIF($A$2:$A$5001,$A4596,$H$2:$H$5001))</f>
        <v/>
      </c>
      <c r="J4596" s="47" t="n">
        <f aca="false">IF($A4596="",0,IF(COUNTIF($A$2:A4596,$A4596)=1,1,0))</f>
        <v>0</v>
      </c>
      <c r="K4596" s="47" t="n">
        <f aca="false">IF(J4596=1,N(I4596)+ROW()/10000000,0)</f>
        <v>0</v>
      </c>
      <c r="L4596" s="47" t="str">
        <f aca="false">IF(AND(J4596=1,N(I4596)&gt;0),SUMIF($K$2:$K$5001,"&gt;="&amp;K4596,$I$2:$I$5001)/MAX(1,SUM($H$2:$H$5001)),"")</f>
        <v/>
      </c>
      <c r="M4596" s="47" t="str">
        <f aca="false">IF($A4596="","",INDEX($L$2:$L$5001,MATCH($A4596,$A$2:$A$5001,0)))</f>
        <v/>
      </c>
      <c r="N4596" s="48" t="str">
        <f aca="false">IF($A4596="","",IF(N(M4596)=0,"–",IF(M4596&lt;=Start!$D$20,"A",IF(M4596&lt;=Start!$D$21,"B","C"))))</f>
        <v/>
      </c>
      <c r="O4596" s="48" t="str">
        <f aca="false">IF($A4596="","",IF(NOT(ISNUMBER(F4596)),"Wert fehlt; ",IF(F4596&lt;=0,"Wert ist 0; ",""))&amp;IF(NOT(ISNUMBER(E4596)),"Bestand fehlt; ",IF(E4596&lt;0,"Bestand negativ; ",IF(E4596=0,"Nullbestand; ","")))&amp;IF(D4596="","Warengruppe fehlt; ","")&amp;IF(B4596="","Bezeichnung fehlt; ","")&amp;IF(COUNTIFS($A$2:$A$5001,$A4596,$C$2:$C$5001,C4596)&gt;1,"Artikel doppelt im selben Lager; ",""))</f>
        <v/>
      </c>
      <c r="P4596" s="47" t="n">
        <f aca="false">IF(OR($A4596="",D4596=""),0,IF(COUNTIF($D$2:D4596,D4596)=1,SUMIF($D$2:$D$5001,D4596,$H$2:$H$5001)+ROW()/10000000,0))</f>
        <v>0</v>
      </c>
      <c r="Q4596" s="47" t="n">
        <f aca="false">IF(OR($A4596="",C4596=""),0,IF(COUNTIF($C$2:C4596,C4596)=1,SUMIF($C$2:$C$5001,C4596,$H$2:$H$5001)+ROW()/10000000,0))</f>
        <v>0</v>
      </c>
    </row>
    <row r="4597" customFormat="false" ht="15" hidden="false" customHeight="false" outlineLevel="0" collapsed="false">
      <c r="A4597" s="43"/>
      <c r="B4597" s="44"/>
      <c r="C4597" s="44"/>
      <c r="D4597" s="44"/>
      <c r="E4597" s="44"/>
      <c r="F4597" s="44"/>
      <c r="G4597" s="44"/>
      <c r="H4597" s="46" t="str">
        <f aca="false">IF($A4597="","",IF(OR(NOT(ISNUMBER(E4597)),NOT(ISNUMBER(F4597))),"",MAX(0,E4597)*F4597))</f>
        <v/>
      </c>
      <c r="I4597" s="46" t="str">
        <f aca="false">IF($A4597="","",SUMIF($A$2:$A$5001,$A4597,$H$2:$H$5001))</f>
        <v/>
      </c>
      <c r="J4597" s="47" t="n">
        <f aca="false">IF($A4597="",0,IF(COUNTIF($A$2:A4597,$A4597)=1,1,0))</f>
        <v>0</v>
      </c>
      <c r="K4597" s="47" t="n">
        <f aca="false">IF(J4597=1,N(I4597)+ROW()/10000000,0)</f>
        <v>0</v>
      </c>
      <c r="L4597" s="47" t="str">
        <f aca="false">IF(AND(J4597=1,N(I4597)&gt;0),SUMIF($K$2:$K$5001,"&gt;="&amp;K4597,$I$2:$I$5001)/MAX(1,SUM($H$2:$H$5001)),"")</f>
        <v/>
      </c>
      <c r="M4597" s="47" t="str">
        <f aca="false">IF($A4597="","",INDEX($L$2:$L$5001,MATCH($A4597,$A$2:$A$5001,0)))</f>
        <v/>
      </c>
      <c r="N4597" s="48" t="str">
        <f aca="false">IF($A4597="","",IF(N(M4597)=0,"–",IF(M4597&lt;=Start!$D$20,"A",IF(M4597&lt;=Start!$D$21,"B","C"))))</f>
        <v/>
      </c>
      <c r="O4597" s="48" t="str">
        <f aca="false">IF($A4597="","",IF(NOT(ISNUMBER(F4597)),"Wert fehlt; ",IF(F4597&lt;=0,"Wert ist 0; ",""))&amp;IF(NOT(ISNUMBER(E4597)),"Bestand fehlt; ",IF(E4597&lt;0,"Bestand negativ; ",IF(E4597=0,"Nullbestand; ","")))&amp;IF(D4597="","Warengruppe fehlt; ","")&amp;IF(B4597="","Bezeichnung fehlt; ","")&amp;IF(COUNTIFS($A$2:$A$5001,$A4597,$C$2:$C$5001,C4597)&gt;1,"Artikel doppelt im selben Lager; ",""))</f>
        <v/>
      </c>
      <c r="P4597" s="47" t="n">
        <f aca="false">IF(OR($A4597="",D4597=""),0,IF(COUNTIF($D$2:D4597,D4597)=1,SUMIF($D$2:$D$5001,D4597,$H$2:$H$5001)+ROW()/10000000,0))</f>
        <v>0</v>
      </c>
      <c r="Q4597" s="47" t="n">
        <f aca="false">IF(OR($A4597="",C4597=""),0,IF(COUNTIF($C$2:C4597,C4597)=1,SUMIF($C$2:$C$5001,C4597,$H$2:$H$5001)+ROW()/10000000,0))</f>
        <v>0</v>
      </c>
    </row>
    <row r="4598" customFormat="false" ht="15" hidden="false" customHeight="false" outlineLevel="0" collapsed="false">
      <c r="A4598" s="43"/>
      <c r="B4598" s="44"/>
      <c r="C4598" s="44"/>
      <c r="D4598" s="44"/>
      <c r="E4598" s="44"/>
      <c r="F4598" s="44"/>
      <c r="G4598" s="44"/>
      <c r="H4598" s="46" t="str">
        <f aca="false">IF($A4598="","",IF(OR(NOT(ISNUMBER(E4598)),NOT(ISNUMBER(F4598))),"",MAX(0,E4598)*F4598))</f>
        <v/>
      </c>
      <c r="I4598" s="46" t="str">
        <f aca="false">IF($A4598="","",SUMIF($A$2:$A$5001,$A4598,$H$2:$H$5001))</f>
        <v/>
      </c>
      <c r="J4598" s="47" t="n">
        <f aca="false">IF($A4598="",0,IF(COUNTIF($A$2:A4598,$A4598)=1,1,0))</f>
        <v>0</v>
      </c>
      <c r="K4598" s="47" t="n">
        <f aca="false">IF(J4598=1,N(I4598)+ROW()/10000000,0)</f>
        <v>0</v>
      </c>
      <c r="L4598" s="47" t="str">
        <f aca="false">IF(AND(J4598=1,N(I4598)&gt;0),SUMIF($K$2:$K$5001,"&gt;="&amp;K4598,$I$2:$I$5001)/MAX(1,SUM($H$2:$H$5001)),"")</f>
        <v/>
      </c>
      <c r="M4598" s="47" t="str">
        <f aca="false">IF($A4598="","",INDEX($L$2:$L$5001,MATCH($A4598,$A$2:$A$5001,0)))</f>
        <v/>
      </c>
      <c r="N4598" s="48" t="str">
        <f aca="false">IF($A4598="","",IF(N(M4598)=0,"–",IF(M4598&lt;=Start!$D$20,"A",IF(M4598&lt;=Start!$D$21,"B","C"))))</f>
        <v/>
      </c>
      <c r="O4598" s="48" t="str">
        <f aca="false">IF($A4598="","",IF(NOT(ISNUMBER(F4598)),"Wert fehlt; ",IF(F4598&lt;=0,"Wert ist 0; ",""))&amp;IF(NOT(ISNUMBER(E4598)),"Bestand fehlt; ",IF(E4598&lt;0,"Bestand negativ; ",IF(E4598=0,"Nullbestand; ","")))&amp;IF(D4598="","Warengruppe fehlt; ","")&amp;IF(B4598="","Bezeichnung fehlt; ","")&amp;IF(COUNTIFS($A$2:$A$5001,$A4598,$C$2:$C$5001,C4598)&gt;1,"Artikel doppelt im selben Lager; ",""))</f>
        <v/>
      </c>
      <c r="P4598" s="47" t="n">
        <f aca="false">IF(OR($A4598="",D4598=""),0,IF(COUNTIF($D$2:D4598,D4598)=1,SUMIF($D$2:$D$5001,D4598,$H$2:$H$5001)+ROW()/10000000,0))</f>
        <v>0</v>
      </c>
      <c r="Q4598" s="47" t="n">
        <f aca="false">IF(OR($A4598="",C4598=""),0,IF(COUNTIF($C$2:C4598,C4598)=1,SUMIF($C$2:$C$5001,C4598,$H$2:$H$5001)+ROW()/10000000,0))</f>
        <v>0</v>
      </c>
    </row>
    <row r="4599" customFormat="false" ht="15" hidden="false" customHeight="false" outlineLevel="0" collapsed="false">
      <c r="A4599" s="43"/>
      <c r="B4599" s="44"/>
      <c r="C4599" s="44"/>
      <c r="D4599" s="44"/>
      <c r="E4599" s="44"/>
      <c r="F4599" s="44"/>
      <c r="G4599" s="44"/>
      <c r="H4599" s="46" t="str">
        <f aca="false">IF($A4599="","",IF(OR(NOT(ISNUMBER(E4599)),NOT(ISNUMBER(F4599))),"",MAX(0,E4599)*F4599))</f>
        <v/>
      </c>
      <c r="I4599" s="46" t="str">
        <f aca="false">IF($A4599="","",SUMIF($A$2:$A$5001,$A4599,$H$2:$H$5001))</f>
        <v/>
      </c>
      <c r="J4599" s="47" t="n">
        <f aca="false">IF($A4599="",0,IF(COUNTIF($A$2:A4599,$A4599)=1,1,0))</f>
        <v>0</v>
      </c>
      <c r="K4599" s="47" t="n">
        <f aca="false">IF(J4599=1,N(I4599)+ROW()/10000000,0)</f>
        <v>0</v>
      </c>
      <c r="L4599" s="47" t="str">
        <f aca="false">IF(AND(J4599=1,N(I4599)&gt;0),SUMIF($K$2:$K$5001,"&gt;="&amp;K4599,$I$2:$I$5001)/MAX(1,SUM($H$2:$H$5001)),"")</f>
        <v/>
      </c>
      <c r="M4599" s="47" t="str">
        <f aca="false">IF($A4599="","",INDEX($L$2:$L$5001,MATCH($A4599,$A$2:$A$5001,0)))</f>
        <v/>
      </c>
      <c r="N4599" s="48" t="str">
        <f aca="false">IF($A4599="","",IF(N(M4599)=0,"–",IF(M4599&lt;=Start!$D$20,"A",IF(M4599&lt;=Start!$D$21,"B","C"))))</f>
        <v/>
      </c>
      <c r="O4599" s="48" t="str">
        <f aca="false">IF($A4599="","",IF(NOT(ISNUMBER(F4599)),"Wert fehlt; ",IF(F4599&lt;=0,"Wert ist 0; ",""))&amp;IF(NOT(ISNUMBER(E4599)),"Bestand fehlt; ",IF(E4599&lt;0,"Bestand negativ; ",IF(E4599=0,"Nullbestand; ","")))&amp;IF(D4599="","Warengruppe fehlt; ","")&amp;IF(B4599="","Bezeichnung fehlt; ","")&amp;IF(COUNTIFS($A$2:$A$5001,$A4599,$C$2:$C$5001,C4599)&gt;1,"Artikel doppelt im selben Lager; ",""))</f>
        <v/>
      </c>
      <c r="P4599" s="47" t="n">
        <f aca="false">IF(OR($A4599="",D4599=""),0,IF(COUNTIF($D$2:D4599,D4599)=1,SUMIF($D$2:$D$5001,D4599,$H$2:$H$5001)+ROW()/10000000,0))</f>
        <v>0</v>
      </c>
      <c r="Q4599" s="47" t="n">
        <f aca="false">IF(OR($A4599="",C4599=""),0,IF(COUNTIF($C$2:C4599,C4599)=1,SUMIF($C$2:$C$5001,C4599,$H$2:$H$5001)+ROW()/10000000,0))</f>
        <v>0</v>
      </c>
    </row>
    <row r="4600" customFormat="false" ht="15" hidden="false" customHeight="false" outlineLevel="0" collapsed="false">
      <c r="A4600" s="43"/>
      <c r="B4600" s="44"/>
      <c r="C4600" s="44"/>
      <c r="D4600" s="44"/>
      <c r="E4600" s="44"/>
      <c r="F4600" s="44"/>
      <c r="G4600" s="44"/>
      <c r="H4600" s="46" t="str">
        <f aca="false">IF($A4600="","",IF(OR(NOT(ISNUMBER(E4600)),NOT(ISNUMBER(F4600))),"",MAX(0,E4600)*F4600))</f>
        <v/>
      </c>
      <c r="I4600" s="46" t="str">
        <f aca="false">IF($A4600="","",SUMIF($A$2:$A$5001,$A4600,$H$2:$H$5001))</f>
        <v/>
      </c>
      <c r="J4600" s="47" t="n">
        <f aca="false">IF($A4600="",0,IF(COUNTIF($A$2:A4600,$A4600)=1,1,0))</f>
        <v>0</v>
      </c>
      <c r="K4600" s="47" t="n">
        <f aca="false">IF(J4600=1,N(I4600)+ROW()/10000000,0)</f>
        <v>0</v>
      </c>
      <c r="L4600" s="47" t="str">
        <f aca="false">IF(AND(J4600=1,N(I4600)&gt;0),SUMIF($K$2:$K$5001,"&gt;="&amp;K4600,$I$2:$I$5001)/MAX(1,SUM($H$2:$H$5001)),"")</f>
        <v/>
      </c>
      <c r="M4600" s="47" t="str">
        <f aca="false">IF($A4600="","",INDEX($L$2:$L$5001,MATCH($A4600,$A$2:$A$5001,0)))</f>
        <v/>
      </c>
      <c r="N4600" s="48" t="str">
        <f aca="false">IF($A4600="","",IF(N(M4600)=0,"–",IF(M4600&lt;=Start!$D$20,"A",IF(M4600&lt;=Start!$D$21,"B","C"))))</f>
        <v/>
      </c>
      <c r="O4600" s="48" t="str">
        <f aca="false">IF($A4600="","",IF(NOT(ISNUMBER(F4600)),"Wert fehlt; ",IF(F4600&lt;=0,"Wert ist 0; ",""))&amp;IF(NOT(ISNUMBER(E4600)),"Bestand fehlt; ",IF(E4600&lt;0,"Bestand negativ; ",IF(E4600=0,"Nullbestand; ","")))&amp;IF(D4600="","Warengruppe fehlt; ","")&amp;IF(B4600="","Bezeichnung fehlt; ","")&amp;IF(COUNTIFS($A$2:$A$5001,$A4600,$C$2:$C$5001,C4600)&gt;1,"Artikel doppelt im selben Lager; ",""))</f>
        <v/>
      </c>
      <c r="P4600" s="47" t="n">
        <f aca="false">IF(OR($A4600="",D4600=""),0,IF(COUNTIF($D$2:D4600,D4600)=1,SUMIF($D$2:$D$5001,D4600,$H$2:$H$5001)+ROW()/10000000,0))</f>
        <v>0</v>
      </c>
      <c r="Q4600" s="47" t="n">
        <f aca="false">IF(OR($A4600="",C4600=""),0,IF(COUNTIF($C$2:C4600,C4600)=1,SUMIF($C$2:$C$5001,C4600,$H$2:$H$5001)+ROW()/10000000,0))</f>
        <v>0</v>
      </c>
    </row>
    <row r="4601" customFormat="false" ht="15" hidden="false" customHeight="false" outlineLevel="0" collapsed="false">
      <c r="A4601" s="43"/>
      <c r="B4601" s="44"/>
      <c r="C4601" s="44"/>
      <c r="D4601" s="44"/>
      <c r="E4601" s="44"/>
      <c r="F4601" s="44"/>
      <c r="G4601" s="44"/>
      <c r="H4601" s="46" t="str">
        <f aca="false">IF($A4601="","",IF(OR(NOT(ISNUMBER(E4601)),NOT(ISNUMBER(F4601))),"",MAX(0,E4601)*F4601))</f>
        <v/>
      </c>
      <c r="I4601" s="46" t="str">
        <f aca="false">IF($A4601="","",SUMIF($A$2:$A$5001,$A4601,$H$2:$H$5001))</f>
        <v/>
      </c>
      <c r="J4601" s="47" t="n">
        <f aca="false">IF($A4601="",0,IF(COUNTIF($A$2:A4601,$A4601)=1,1,0))</f>
        <v>0</v>
      </c>
      <c r="K4601" s="47" t="n">
        <f aca="false">IF(J4601=1,N(I4601)+ROW()/10000000,0)</f>
        <v>0</v>
      </c>
      <c r="L4601" s="47" t="str">
        <f aca="false">IF(AND(J4601=1,N(I4601)&gt;0),SUMIF($K$2:$K$5001,"&gt;="&amp;K4601,$I$2:$I$5001)/MAX(1,SUM($H$2:$H$5001)),"")</f>
        <v/>
      </c>
      <c r="M4601" s="47" t="str">
        <f aca="false">IF($A4601="","",INDEX($L$2:$L$5001,MATCH($A4601,$A$2:$A$5001,0)))</f>
        <v/>
      </c>
      <c r="N4601" s="48" t="str">
        <f aca="false">IF($A4601="","",IF(N(M4601)=0,"–",IF(M4601&lt;=Start!$D$20,"A",IF(M4601&lt;=Start!$D$21,"B","C"))))</f>
        <v/>
      </c>
      <c r="O4601" s="48" t="str">
        <f aca="false">IF($A4601="","",IF(NOT(ISNUMBER(F4601)),"Wert fehlt; ",IF(F4601&lt;=0,"Wert ist 0; ",""))&amp;IF(NOT(ISNUMBER(E4601)),"Bestand fehlt; ",IF(E4601&lt;0,"Bestand negativ; ",IF(E4601=0,"Nullbestand; ","")))&amp;IF(D4601="","Warengruppe fehlt; ","")&amp;IF(B4601="","Bezeichnung fehlt; ","")&amp;IF(COUNTIFS($A$2:$A$5001,$A4601,$C$2:$C$5001,C4601)&gt;1,"Artikel doppelt im selben Lager; ",""))</f>
        <v/>
      </c>
      <c r="P4601" s="47" t="n">
        <f aca="false">IF(OR($A4601="",D4601=""),0,IF(COUNTIF($D$2:D4601,D4601)=1,SUMIF($D$2:$D$5001,D4601,$H$2:$H$5001)+ROW()/10000000,0))</f>
        <v>0</v>
      </c>
      <c r="Q4601" s="47" t="n">
        <f aca="false">IF(OR($A4601="",C4601=""),0,IF(COUNTIF($C$2:C4601,C4601)=1,SUMIF($C$2:$C$5001,C4601,$H$2:$H$5001)+ROW()/10000000,0))</f>
        <v>0</v>
      </c>
    </row>
    <row r="4602" customFormat="false" ht="15" hidden="false" customHeight="false" outlineLevel="0" collapsed="false">
      <c r="A4602" s="43"/>
      <c r="B4602" s="44"/>
      <c r="C4602" s="44"/>
      <c r="D4602" s="44"/>
      <c r="E4602" s="44"/>
      <c r="F4602" s="44"/>
      <c r="G4602" s="44"/>
      <c r="H4602" s="46" t="str">
        <f aca="false">IF($A4602="","",IF(OR(NOT(ISNUMBER(E4602)),NOT(ISNUMBER(F4602))),"",MAX(0,E4602)*F4602))</f>
        <v/>
      </c>
      <c r="I4602" s="46" t="str">
        <f aca="false">IF($A4602="","",SUMIF($A$2:$A$5001,$A4602,$H$2:$H$5001))</f>
        <v/>
      </c>
      <c r="J4602" s="47" t="n">
        <f aca="false">IF($A4602="",0,IF(COUNTIF($A$2:A4602,$A4602)=1,1,0))</f>
        <v>0</v>
      </c>
      <c r="K4602" s="47" t="n">
        <f aca="false">IF(J4602=1,N(I4602)+ROW()/10000000,0)</f>
        <v>0</v>
      </c>
      <c r="L4602" s="47" t="str">
        <f aca="false">IF(AND(J4602=1,N(I4602)&gt;0),SUMIF($K$2:$K$5001,"&gt;="&amp;K4602,$I$2:$I$5001)/MAX(1,SUM($H$2:$H$5001)),"")</f>
        <v/>
      </c>
      <c r="M4602" s="47" t="str">
        <f aca="false">IF($A4602="","",INDEX($L$2:$L$5001,MATCH($A4602,$A$2:$A$5001,0)))</f>
        <v/>
      </c>
      <c r="N4602" s="48" t="str">
        <f aca="false">IF($A4602="","",IF(N(M4602)=0,"–",IF(M4602&lt;=Start!$D$20,"A",IF(M4602&lt;=Start!$D$21,"B","C"))))</f>
        <v/>
      </c>
      <c r="O4602" s="48" t="str">
        <f aca="false">IF($A4602="","",IF(NOT(ISNUMBER(F4602)),"Wert fehlt; ",IF(F4602&lt;=0,"Wert ist 0; ",""))&amp;IF(NOT(ISNUMBER(E4602)),"Bestand fehlt; ",IF(E4602&lt;0,"Bestand negativ; ",IF(E4602=0,"Nullbestand; ","")))&amp;IF(D4602="","Warengruppe fehlt; ","")&amp;IF(B4602="","Bezeichnung fehlt; ","")&amp;IF(COUNTIFS($A$2:$A$5001,$A4602,$C$2:$C$5001,C4602)&gt;1,"Artikel doppelt im selben Lager; ",""))</f>
        <v/>
      </c>
      <c r="P4602" s="47" t="n">
        <f aca="false">IF(OR($A4602="",D4602=""),0,IF(COUNTIF($D$2:D4602,D4602)=1,SUMIF($D$2:$D$5001,D4602,$H$2:$H$5001)+ROW()/10000000,0))</f>
        <v>0</v>
      </c>
      <c r="Q4602" s="47" t="n">
        <f aca="false">IF(OR($A4602="",C4602=""),0,IF(COUNTIF($C$2:C4602,C4602)=1,SUMIF($C$2:$C$5001,C4602,$H$2:$H$5001)+ROW()/10000000,0))</f>
        <v>0</v>
      </c>
    </row>
    <row r="4603" customFormat="false" ht="15" hidden="false" customHeight="false" outlineLevel="0" collapsed="false">
      <c r="A4603" s="43"/>
      <c r="B4603" s="44"/>
      <c r="C4603" s="44"/>
      <c r="D4603" s="44"/>
      <c r="E4603" s="44"/>
      <c r="F4603" s="44"/>
      <c r="G4603" s="44"/>
      <c r="H4603" s="46" t="str">
        <f aca="false">IF($A4603="","",IF(OR(NOT(ISNUMBER(E4603)),NOT(ISNUMBER(F4603))),"",MAX(0,E4603)*F4603))</f>
        <v/>
      </c>
      <c r="I4603" s="46" t="str">
        <f aca="false">IF($A4603="","",SUMIF($A$2:$A$5001,$A4603,$H$2:$H$5001))</f>
        <v/>
      </c>
      <c r="J4603" s="47" t="n">
        <f aca="false">IF($A4603="",0,IF(COUNTIF($A$2:A4603,$A4603)=1,1,0))</f>
        <v>0</v>
      </c>
      <c r="K4603" s="47" t="n">
        <f aca="false">IF(J4603=1,N(I4603)+ROW()/10000000,0)</f>
        <v>0</v>
      </c>
      <c r="L4603" s="47" t="str">
        <f aca="false">IF(AND(J4603=1,N(I4603)&gt;0),SUMIF($K$2:$K$5001,"&gt;="&amp;K4603,$I$2:$I$5001)/MAX(1,SUM($H$2:$H$5001)),"")</f>
        <v/>
      </c>
      <c r="M4603" s="47" t="str">
        <f aca="false">IF($A4603="","",INDEX($L$2:$L$5001,MATCH($A4603,$A$2:$A$5001,0)))</f>
        <v/>
      </c>
      <c r="N4603" s="48" t="str">
        <f aca="false">IF($A4603="","",IF(N(M4603)=0,"–",IF(M4603&lt;=Start!$D$20,"A",IF(M4603&lt;=Start!$D$21,"B","C"))))</f>
        <v/>
      </c>
      <c r="O4603" s="48" t="str">
        <f aca="false">IF($A4603="","",IF(NOT(ISNUMBER(F4603)),"Wert fehlt; ",IF(F4603&lt;=0,"Wert ist 0; ",""))&amp;IF(NOT(ISNUMBER(E4603)),"Bestand fehlt; ",IF(E4603&lt;0,"Bestand negativ; ",IF(E4603=0,"Nullbestand; ","")))&amp;IF(D4603="","Warengruppe fehlt; ","")&amp;IF(B4603="","Bezeichnung fehlt; ","")&amp;IF(COUNTIFS($A$2:$A$5001,$A4603,$C$2:$C$5001,C4603)&gt;1,"Artikel doppelt im selben Lager; ",""))</f>
        <v/>
      </c>
      <c r="P4603" s="47" t="n">
        <f aca="false">IF(OR($A4603="",D4603=""),0,IF(COUNTIF($D$2:D4603,D4603)=1,SUMIF($D$2:$D$5001,D4603,$H$2:$H$5001)+ROW()/10000000,0))</f>
        <v>0</v>
      </c>
      <c r="Q4603" s="47" t="n">
        <f aca="false">IF(OR($A4603="",C4603=""),0,IF(COUNTIF($C$2:C4603,C4603)=1,SUMIF($C$2:$C$5001,C4603,$H$2:$H$5001)+ROW()/10000000,0))</f>
        <v>0</v>
      </c>
    </row>
    <row r="4604" customFormat="false" ht="15" hidden="false" customHeight="false" outlineLevel="0" collapsed="false">
      <c r="A4604" s="43"/>
      <c r="B4604" s="44"/>
      <c r="C4604" s="44"/>
      <c r="D4604" s="44"/>
      <c r="E4604" s="44"/>
      <c r="F4604" s="44"/>
      <c r="G4604" s="44"/>
      <c r="H4604" s="46" t="str">
        <f aca="false">IF($A4604="","",IF(OR(NOT(ISNUMBER(E4604)),NOT(ISNUMBER(F4604))),"",MAX(0,E4604)*F4604))</f>
        <v/>
      </c>
      <c r="I4604" s="46" t="str">
        <f aca="false">IF($A4604="","",SUMIF($A$2:$A$5001,$A4604,$H$2:$H$5001))</f>
        <v/>
      </c>
      <c r="J4604" s="47" t="n">
        <f aca="false">IF($A4604="",0,IF(COUNTIF($A$2:A4604,$A4604)=1,1,0))</f>
        <v>0</v>
      </c>
      <c r="K4604" s="47" t="n">
        <f aca="false">IF(J4604=1,N(I4604)+ROW()/10000000,0)</f>
        <v>0</v>
      </c>
      <c r="L4604" s="47" t="str">
        <f aca="false">IF(AND(J4604=1,N(I4604)&gt;0),SUMIF($K$2:$K$5001,"&gt;="&amp;K4604,$I$2:$I$5001)/MAX(1,SUM($H$2:$H$5001)),"")</f>
        <v/>
      </c>
      <c r="M4604" s="47" t="str">
        <f aca="false">IF($A4604="","",INDEX($L$2:$L$5001,MATCH($A4604,$A$2:$A$5001,0)))</f>
        <v/>
      </c>
      <c r="N4604" s="48" t="str">
        <f aca="false">IF($A4604="","",IF(N(M4604)=0,"–",IF(M4604&lt;=Start!$D$20,"A",IF(M4604&lt;=Start!$D$21,"B","C"))))</f>
        <v/>
      </c>
      <c r="O4604" s="48" t="str">
        <f aca="false">IF($A4604="","",IF(NOT(ISNUMBER(F4604)),"Wert fehlt; ",IF(F4604&lt;=0,"Wert ist 0; ",""))&amp;IF(NOT(ISNUMBER(E4604)),"Bestand fehlt; ",IF(E4604&lt;0,"Bestand negativ; ",IF(E4604=0,"Nullbestand; ","")))&amp;IF(D4604="","Warengruppe fehlt; ","")&amp;IF(B4604="","Bezeichnung fehlt; ","")&amp;IF(COUNTIFS($A$2:$A$5001,$A4604,$C$2:$C$5001,C4604)&gt;1,"Artikel doppelt im selben Lager; ",""))</f>
        <v/>
      </c>
      <c r="P4604" s="47" t="n">
        <f aca="false">IF(OR($A4604="",D4604=""),0,IF(COUNTIF($D$2:D4604,D4604)=1,SUMIF($D$2:$D$5001,D4604,$H$2:$H$5001)+ROW()/10000000,0))</f>
        <v>0</v>
      </c>
      <c r="Q4604" s="47" t="n">
        <f aca="false">IF(OR($A4604="",C4604=""),0,IF(COUNTIF($C$2:C4604,C4604)=1,SUMIF($C$2:$C$5001,C4604,$H$2:$H$5001)+ROW()/10000000,0))</f>
        <v>0</v>
      </c>
    </row>
    <row r="4605" customFormat="false" ht="15" hidden="false" customHeight="false" outlineLevel="0" collapsed="false">
      <c r="A4605" s="43"/>
      <c r="B4605" s="44"/>
      <c r="C4605" s="44"/>
      <c r="D4605" s="44"/>
      <c r="E4605" s="44"/>
      <c r="F4605" s="44"/>
      <c r="G4605" s="44"/>
      <c r="H4605" s="46" t="str">
        <f aca="false">IF($A4605="","",IF(OR(NOT(ISNUMBER(E4605)),NOT(ISNUMBER(F4605))),"",MAX(0,E4605)*F4605))</f>
        <v/>
      </c>
      <c r="I4605" s="46" t="str">
        <f aca="false">IF($A4605="","",SUMIF($A$2:$A$5001,$A4605,$H$2:$H$5001))</f>
        <v/>
      </c>
      <c r="J4605" s="47" t="n">
        <f aca="false">IF($A4605="",0,IF(COUNTIF($A$2:A4605,$A4605)=1,1,0))</f>
        <v>0</v>
      </c>
      <c r="K4605" s="47" t="n">
        <f aca="false">IF(J4605=1,N(I4605)+ROW()/10000000,0)</f>
        <v>0</v>
      </c>
      <c r="L4605" s="47" t="str">
        <f aca="false">IF(AND(J4605=1,N(I4605)&gt;0),SUMIF($K$2:$K$5001,"&gt;="&amp;K4605,$I$2:$I$5001)/MAX(1,SUM($H$2:$H$5001)),"")</f>
        <v/>
      </c>
      <c r="M4605" s="47" t="str">
        <f aca="false">IF($A4605="","",INDEX($L$2:$L$5001,MATCH($A4605,$A$2:$A$5001,0)))</f>
        <v/>
      </c>
      <c r="N4605" s="48" t="str">
        <f aca="false">IF($A4605="","",IF(N(M4605)=0,"–",IF(M4605&lt;=Start!$D$20,"A",IF(M4605&lt;=Start!$D$21,"B","C"))))</f>
        <v/>
      </c>
      <c r="O4605" s="48" t="str">
        <f aca="false">IF($A4605="","",IF(NOT(ISNUMBER(F4605)),"Wert fehlt; ",IF(F4605&lt;=0,"Wert ist 0; ",""))&amp;IF(NOT(ISNUMBER(E4605)),"Bestand fehlt; ",IF(E4605&lt;0,"Bestand negativ; ",IF(E4605=0,"Nullbestand; ","")))&amp;IF(D4605="","Warengruppe fehlt; ","")&amp;IF(B4605="","Bezeichnung fehlt; ","")&amp;IF(COUNTIFS($A$2:$A$5001,$A4605,$C$2:$C$5001,C4605)&gt;1,"Artikel doppelt im selben Lager; ",""))</f>
        <v/>
      </c>
      <c r="P4605" s="47" t="n">
        <f aca="false">IF(OR($A4605="",D4605=""),0,IF(COUNTIF($D$2:D4605,D4605)=1,SUMIF($D$2:$D$5001,D4605,$H$2:$H$5001)+ROW()/10000000,0))</f>
        <v>0</v>
      </c>
      <c r="Q4605" s="47" t="n">
        <f aca="false">IF(OR($A4605="",C4605=""),0,IF(COUNTIF($C$2:C4605,C4605)=1,SUMIF($C$2:$C$5001,C4605,$H$2:$H$5001)+ROW()/10000000,0))</f>
        <v>0</v>
      </c>
    </row>
    <row r="4606" customFormat="false" ht="15" hidden="false" customHeight="false" outlineLevel="0" collapsed="false">
      <c r="A4606" s="43"/>
      <c r="B4606" s="44"/>
      <c r="C4606" s="44"/>
      <c r="D4606" s="44"/>
      <c r="E4606" s="44"/>
      <c r="F4606" s="44"/>
      <c r="G4606" s="44"/>
      <c r="H4606" s="46" t="str">
        <f aca="false">IF($A4606="","",IF(OR(NOT(ISNUMBER(E4606)),NOT(ISNUMBER(F4606))),"",MAX(0,E4606)*F4606))</f>
        <v/>
      </c>
      <c r="I4606" s="46" t="str">
        <f aca="false">IF($A4606="","",SUMIF($A$2:$A$5001,$A4606,$H$2:$H$5001))</f>
        <v/>
      </c>
      <c r="J4606" s="47" t="n">
        <f aca="false">IF($A4606="",0,IF(COUNTIF($A$2:A4606,$A4606)=1,1,0))</f>
        <v>0</v>
      </c>
      <c r="K4606" s="47" t="n">
        <f aca="false">IF(J4606=1,N(I4606)+ROW()/10000000,0)</f>
        <v>0</v>
      </c>
      <c r="L4606" s="47" t="str">
        <f aca="false">IF(AND(J4606=1,N(I4606)&gt;0),SUMIF($K$2:$K$5001,"&gt;="&amp;K4606,$I$2:$I$5001)/MAX(1,SUM($H$2:$H$5001)),"")</f>
        <v/>
      </c>
      <c r="M4606" s="47" t="str">
        <f aca="false">IF($A4606="","",INDEX($L$2:$L$5001,MATCH($A4606,$A$2:$A$5001,0)))</f>
        <v/>
      </c>
      <c r="N4606" s="48" t="str">
        <f aca="false">IF($A4606="","",IF(N(M4606)=0,"–",IF(M4606&lt;=Start!$D$20,"A",IF(M4606&lt;=Start!$D$21,"B","C"))))</f>
        <v/>
      </c>
      <c r="O4606" s="48" t="str">
        <f aca="false">IF($A4606="","",IF(NOT(ISNUMBER(F4606)),"Wert fehlt; ",IF(F4606&lt;=0,"Wert ist 0; ",""))&amp;IF(NOT(ISNUMBER(E4606)),"Bestand fehlt; ",IF(E4606&lt;0,"Bestand negativ; ",IF(E4606=0,"Nullbestand; ","")))&amp;IF(D4606="","Warengruppe fehlt; ","")&amp;IF(B4606="","Bezeichnung fehlt; ","")&amp;IF(COUNTIFS($A$2:$A$5001,$A4606,$C$2:$C$5001,C4606)&gt;1,"Artikel doppelt im selben Lager; ",""))</f>
        <v/>
      </c>
      <c r="P4606" s="47" t="n">
        <f aca="false">IF(OR($A4606="",D4606=""),0,IF(COUNTIF($D$2:D4606,D4606)=1,SUMIF($D$2:$D$5001,D4606,$H$2:$H$5001)+ROW()/10000000,0))</f>
        <v>0</v>
      </c>
      <c r="Q4606" s="47" t="n">
        <f aca="false">IF(OR($A4606="",C4606=""),0,IF(COUNTIF($C$2:C4606,C4606)=1,SUMIF($C$2:$C$5001,C4606,$H$2:$H$5001)+ROW()/10000000,0))</f>
        <v>0</v>
      </c>
    </row>
    <row r="4607" customFormat="false" ht="15" hidden="false" customHeight="false" outlineLevel="0" collapsed="false">
      <c r="A4607" s="43"/>
      <c r="B4607" s="44"/>
      <c r="C4607" s="44"/>
      <c r="D4607" s="44"/>
      <c r="E4607" s="44"/>
      <c r="F4607" s="44"/>
      <c r="G4607" s="44"/>
      <c r="H4607" s="46" t="str">
        <f aca="false">IF($A4607="","",IF(OR(NOT(ISNUMBER(E4607)),NOT(ISNUMBER(F4607))),"",MAX(0,E4607)*F4607))</f>
        <v/>
      </c>
      <c r="I4607" s="46" t="str">
        <f aca="false">IF($A4607="","",SUMIF($A$2:$A$5001,$A4607,$H$2:$H$5001))</f>
        <v/>
      </c>
      <c r="J4607" s="47" t="n">
        <f aca="false">IF($A4607="",0,IF(COUNTIF($A$2:A4607,$A4607)=1,1,0))</f>
        <v>0</v>
      </c>
      <c r="K4607" s="47" t="n">
        <f aca="false">IF(J4607=1,N(I4607)+ROW()/10000000,0)</f>
        <v>0</v>
      </c>
      <c r="L4607" s="47" t="str">
        <f aca="false">IF(AND(J4607=1,N(I4607)&gt;0),SUMIF($K$2:$K$5001,"&gt;="&amp;K4607,$I$2:$I$5001)/MAX(1,SUM($H$2:$H$5001)),"")</f>
        <v/>
      </c>
      <c r="M4607" s="47" t="str">
        <f aca="false">IF($A4607="","",INDEX($L$2:$L$5001,MATCH($A4607,$A$2:$A$5001,0)))</f>
        <v/>
      </c>
      <c r="N4607" s="48" t="str">
        <f aca="false">IF($A4607="","",IF(N(M4607)=0,"–",IF(M4607&lt;=Start!$D$20,"A",IF(M4607&lt;=Start!$D$21,"B","C"))))</f>
        <v/>
      </c>
      <c r="O4607" s="48" t="str">
        <f aca="false">IF($A4607="","",IF(NOT(ISNUMBER(F4607)),"Wert fehlt; ",IF(F4607&lt;=0,"Wert ist 0; ",""))&amp;IF(NOT(ISNUMBER(E4607)),"Bestand fehlt; ",IF(E4607&lt;0,"Bestand negativ; ",IF(E4607=0,"Nullbestand; ","")))&amp;IF(D4607="","Warengruppe fehlt; ","")&amp;IF(B4607="","Bezeichnung fehlt; ","")&amp;IF(COUNTIFS($A$2:$A$5001,$A4607,$C$2:$C$5001,C4607)&gt;1,"Artikel doppelt im selben Lager; ",""))</f>
        <v/>
      </c>
      <c r="P4607" s="47" t="n">
        <f aca="false">IF(OR($A4607="",D4607=""),0,IF(COUNTIF($D$2:D4607,D4607)=1,SUMIF($D$2:$D$5001,D4607,$H$2:$H$5001)+ROW()/10000000,0))</f>
        <v>0</v>
      </c>
      <c r="Q4607" s="47" t="n">
        <f aca="false">IF(OR($A4607="",C4607=""),0,IF(COUNTIF($C$2:C4607,C4607)=1,SUMIF($C$2:$C$5001,C4607,$H$2:$H$5001)+ROW()/10000000,0))</f>
        <v>0</v>
      </c>
    </row>
    <row r="4608" customFormat="false" ht="15" hidden="false" customHeight="false" outlineLevel="0" collapsed="false">
      <c r="A4608" s="43"/>
      <c r="B4608" s="44"/>
      <c r="C4608" s="44"/>
      <c r="D4608" s="44"/>
      <c r="E4608" s="44"/>
      <c r="F4608" s="44"/>
      <c r="G4608" s="44"/>
      <c r="H4608" s="46" t="str">
        <f aca="false">IF($A4608="","",IF(OR(NOT(ISNUMBER(E4608)),NOT(ISNUMBER(F4608))),"",MAX(0,E4608)*F4608))</f>
        <v/>
      </c>
      <c r="I4608" s="46" t="str">
        <f aca="false">IF($A4608="","",SUMIF($A$2:$A$5001,$A4608,$H$2:$H$5001))</f>
        <v/>
      </c>
      <c r="J4608" s="47" t="n">
        <f aca="false">IF($A4608="",0,IF(COUNTIF($A$2:A4608,$A4608)=1,1,0))</f>
        <v>0</v>
      </c>
      <c r="K4608" s="47" t="n">
        <f aca="false">IF(J4608=1,N(I4608)+ROW()/10000000,0)</f>
        <v>0</v>
      </c>
      <c r="L4608" s="47" t="str">
        <f aca="false">IF(AND(J4608=1,N(I4608)&gt;0),SUMIF($K$2:$K$5001,"&gt;="&amp;K4608,$I$2:$I$5001)/MAX(1,SUM($H$2:$H$5001)),"")</f>
        <v/>
      </c>
      <c r="M4608" s="47" t="str">
        <f aca="false">IF($A4608="","",INDEX($L$2:$L$5001,MATCH($A4608,$A$2:$A$5001,0)))</f>
        <v/>
      </c>
      <c r="N4608" s="48" t="str">
        <f aca="false">IF($A4608="","",IF(N(M4608)=0,"–",IF(M4608&lt;=Start!$D$20,"A",IF(M4608&lt;=Start!$D$21,"B","C"))))</f>
        <v/>
      </c>
      <c r="O4608" s="48" t="str">
        <f aca="false">IF($A4608="","",IF(NOT(ISNUMBER(F4608)),"Wert fehlt; ",IF(F4608&lt;=0,"Wert ist 0; ",""))&amp;IF(NOT(ISNUMBER(E4608)),"Bestand fehlt; ",IF(E4608&lt;0,"Bestand negativ; ",IF(E4608=0,"Nullbestand; ","")))&amp;IF(D4608="","Warengruppe fehlt; ","")&amp;IF(B4608="","Bezeichnung fehlt; ","")&amp;IF(COUNTIFS($A$2:$A$5001,$A4608,$C$2:$C$5001,C4608)&gt;1,"Artikel doppelt im selben Lager; ",""))</f>
        <v/>
      </c>
      <c r="P4608" s="47" t="n">
        <f aca="false">IF(OR($A4608="",D4608=""),0,IF(COUNTIF($D$2:D4608,D4608)=1,SUMIF($D$2:$D$5001,D4608,$H$2:$H$5001)+ROW()/10000000,0))</f>
        <v>0</v>
      </c>
      <c r="Q4608" s="47" t="n">
        <f aca="false">IF(OR($A4608="",C4608=""),0,IF(COUNTIF($C$2:C4608,C4608)=1,SUMIF($C$2:$C$5001,C4608,$H$2:$H$5001)+ROW()/10000000,0))</f>
        <v>0</v>
      </c>
    </row>
    <row r="4609" customFormat="false" ht="15" hidden="false" customHeight="false" outlineLevel="0" collapsed="false">
      <c r="A4609" s="43"/>
      <c r="B4609" s="44"/>
      <c r="C4609" s="44"/>
      <c r="D4609" s="44"/>
      <c r="E4609" s="44"/>
      <c r="F4609" s="44"/>
      <c r="G4609" s="44"/>
      <c r="H4609" s="46" t="str">
        <f aca="false">IF($A4609="","",IF(OR(NOT(ISNUMBER(E4609)),NOT(ISNUMBER(F4609))),"",MAX(0,E4609)*F4609))</f>
        <v/>
      </c>
      <c r="I4609" s="46" t="str">
        <f aca="false">IF($A4609="","",SUMIF($A$2:$A$5001,$A4609,$H$2:$H$5001))</f>
        <v/>
      </c>
      <c r="J4609" s="47" t="n">
        <f aca="false">IF($A4609="",0,IF(COUNTIF($A$2:A4609,$A4609)=1,1,0))</f>
        <v>0</v>
      </c>
      <c r="K4609" s="47" t="n">
        <f aca="false">IF(J4609=1,N(I4609)+ROW()/10000000,0)</f>
        <v>0</v>
      </c>
      <c r="L4609" s="47" t="str">
        <f aca="false">IF(AND(J4609=1,N(I4609)&gt;0),SUMIF($K$2:$K$5001,"&gt;="&amp;K4609,$I$2:$I$5001)/MAX(1,SUM($H$2:$H$5001)),"")</f>
        <v/>
      </c>
      <c r="M4609" s="47" t="str">
        <f aca="false">IF($A4609="","",INDEX($L$2:$L$5001,MATCH($A4609,$A$2:$A$5001,0)))</f>
        <v/>
      </c>
      <c r="N4609" s="48" t="str">
        <f aca="false">IF($A4609="","",IF(N(M4609)=0,"–",IF(M4609&lt;=Start!$D$20,"A",IF(M4609&lt;=Start!$D$21,"B","C"))))</f>
        <v/>
      </c>
      <c r="O4609" s="48" t="str">
        <f aca="false">IF($A4609="","",IF(NOT(ISNUMBER(F4609)),"Wert fehlt; ",IF(F4609&lt;=0,"Wert ist 0; ",""))&amp;IF(NOT(ISNUMBER(E4609)),"Bestand fehlt; ",IF(E4609&lt;0,"Bestand negativ; ",IF(E4609=0,"Nullbestand; ","")))&amp;IF(D4609="","Warengruppe fehlt; ","")&amp;IF(B4609="","Bezeichnung fehlt; ","")&amp;IF(COUNTIFS($A$2:$A$5001,$A4609,$C$2:$C$5001,C4609)&gt;1,"Artikel doppelt im selben Lager; ",""))</f>
        <v/>
      </c>
      <c r="P4609" s="47" t="n">
        <f aca="false">IF(OR($A4609="",D4609=""),0,IF(COUNTIF($D$2:D4609,D4609)=1,SUMIF($D$2:$D$5001,D4609,$H$2:$H$5001)+ROW()/10000000,0))</f>
        <v>0</v>
      </c>
      <c r="Q4609" s="47" t="n">
        <f aca="false">IF(OR($A4609="",C4609=""),0,IF(COUNTIF($C$2:C4609,C4609)=1,SUMIF($C$2:$C$5001,C4609,$H$2:$H$5001)+ROW()/10000000,0))</f>
        <v>0</v>
      </c>
    </row>
    <row r="4610" customFormat="false" ht="15" hidden="false" customHeight="false" outlineLevel="0" collapsed="false">
      <c r="A4610" s="43"/>
      <c r="B4610" s="44"/>
      <c r="C4610" s="44"/>
      <c r="D4610" s="44"/>
      <c r="E4610" s="44"/>
      <c r="F4610" s="44"/>
      <c r="G4610" s="44"/>
      <c r="H4610" s="46" t="str">
        <f aca="false">IF($A4610="","",IF(OR(NOT(ISNUMBER(E4610)),NOT(ISNUMBER(F4610))),"",MAX(0,E4610)*F4610))</f>
        <v/>
      </c>
      <c r="I4610" s="46" t="str">
        <f aca="false">IF($A4610="","",SUMIF($A$2:$A$5001,$A4610,$H$2:$H$5001))</f>
        <v/>
      </c>
      <c r="J4610" s="47" t="n">
        <f aca="false">IF($A4610="",0,IF(COUNTIF($A$2:A4610,$A4610)=1,1,0))</f>
        <v>0</v>
      </c>
      <c r="K4610" s="47" t="n">
        <f aca="false">IF(J4610=1,N(I4610)+ROW()/10000000,0)</f>
        <v>0</v>
      </c>
      <c r="L4610" s="47" t="str">
        <f aca="false">IF(AND(J4610=1,N(I4610)&gt;0),SUMIF($K$2:$K$5001,"&gt;="&amp;K4610,$I$2:$I$5001)/MAX(1,SUM($H$2:$H$5001)),"")</f>
        <v/>
      </c>
      <c r="M4610" s="47" t="str">
        <f aca="false">IF($A4610="","",INDEX($L$2:$L$5001,MATCH($A4610,$A$2:$A$5001,0)))</f>
        <v/>
      </c>
      <c r="N4610" s="48" t="str">
        <f aca="false">IF($A4610="","",IF(N(M4610)=0,"–",IF(M4610&lt;=Start!$D$20,"A",IF(M4610&lt;=Start!$D$21,"B","C"))))</f>
        <v/>
      </c>
      <c r="O4610" s="48" t="str">
        <f aca="false">IF($A4610="","",IF(NOT(ISNUMBER(F4610)),"Wert fehlt; ",IF(F4610&lt;=0,"Wert ist 0; ",""))&amp;IF(NOT(ISNUMBER(E4610)),"Bestand fehlt; ",IF(E4610&lt;0,"Bestand negativ; ",IF(E4610=0,"Nullbestand; ","")))&amp;IF(D4610="","Warengruppe fehlt; ","")&amp;IF(B4610="","Bezeichnung fehlt; ","")&amp;IF(COUNTIFS($A$2:$A$5001,$A4610,$C$2:$C$5001,C4610)&gt;1,"Artikel doppelt im selben Lager; ",""))</f>
        <v/>
      </c>
      <c r="P4610" s="47" t="n">
        <f aca="false">IF(OR($A4610="",D4610=""),0,IF(COUNTIF($D$2:D4610,D4610)=1,SUMIF($D$2:$D$5001,D4610,$H$2:$H$5001)+ROW()/10000000,0))</f>
        <v>0</v>
      </c>
      <c r="Q4610" s="47" t="n">
        <f aca="false">IF(OR($A4610="",C4610=""),0,IF(COUNTIF($C$2:C4610,C4610)=1,SUMIF($C$2:$C$5001,C4610,$H$2:$H$5001)+ROW()/10000000,0))</f>
        <v>0</v>
      </c>
    </row>
    <row r="4611" customFormat="false" ht="15" hidden="false" customHeight="false" outlineLevel="0" collapsed="false">
      <c r="A4611" s="43"/>
      <c r="B4611" s="44"/>
      <c r="C4611" s="44"/>
      <c r="D4611" s="44"/>
      <c r="E4611" s="44"/>
      <c r="F4611" s="44"/>
      <c r="G4611" s="44"/>
      <c r="H4611" s="46" t="str">
        <f aca="false">IF($A4611="","",IF(OR(NOT(ISNUMBER(E4611)),NOT(ISNUMBER(F4611))),"",MAX(0,E4611)*F4611))</f>
        <v/>
      </c>
      <c r="I4611" s="46" t="str">
        <f aca="false">IF($A4611="","",SUMIF($A$2:$A$5001,$A4611,$H$2:$H$5001))</f>
        <v/>
      </c>
      <c r="J4611" s="47" t="n">
        <f aca="false">IF($A4611="",0,IF(COUNTIF($A$2:A4611,$A4611)=1,1,0))</f>
        <v>0</v>
      </c>
      <c r="K4611" s="47" t="n">
        <f aca="false">IF(J4611=1,N(I4611)+ROW()/10000000,0)</f>
        <v>0</v>
      </c>
      <c r="L4611" s="47" t="str">
        <f aca="false">IF(AND(J4611=1,N(I4611)&gt;0),SUMIF($K$2:$K$5001,"&gt;="&amp;K4611,$I$2:$I$5001)/MAX(1,SUM($H$2:$H$5001)),"")</f>
        <v/>
      </c>
      <c r="M4611" s="47" t="str">
        <f aca="false">IF($A4611="","",INDEX($L$2:$L$5001,MATCH($A4611,$A$2:$A$5001,0)))</f>
        <v/>
      </c>
      <c r="N4611" s="48" t="str">
        <f aca="false">IF($A4611="","",IF(N(M4611)=0,"–",IF(M4611&lt;=Start!$D$20,"A",IF(M4611&lt;=Start!$D$21,"B","C"))))</f>
        <v/>
      </c>
      <c r="O4611" s="48" t="str">
        <f aca="false">IF($A4611="","",IF(NOT(ISNUMBER(F4611)),"Wert fehlt; ",IF(F4611&lt;=0,"Wert ist 0; ",""))&amp;IF(NOT(ISNUMBER(E4611)),"Bestand fehlt; ",IF(E4611&lt;0,"Bestand negativ; ",IF(E4611=0,"Nullbestand; ","")))&amp;IF(D4611="","Warengruppe fehlt; ","")&amp;IF(B4611="","Bezeichnung fehlt; ","")&amp;IF(COUNTIFS($A$2:$A$5001,$A4611,$C$2:$C$5001,C4611)&gt;1,"Artikel doppelt im selben Lager; ",""))</f>
        <v/>
      </c>
      <c r="P4611" s="47" t="n">
        <f aca="false">IF(OR($A4611="",D4611=""),0,IF(COUNTIF($D$2:D4611,D4611)=1,SUMIF($D$2:$D$5001,D4611,$H$2:$H$5001)+ROW()/10000000,0))</f>
        <v>0</v>
      </c>
      <c r="Q4611" s="47" t="n">
        <f aca="false">IF(OR($A4611="",C4611=""),0,IF(COUNTIF($C$2:C4611,C4611)=1,SUMIF($C$2:$C$5001,C4611,$H$2:$H$5001)+ROW()/10000000,0))</f>
        <v>0</v>
      </c>
    </row>
    <row r="4612" customFormat="false" ht="15" hidden="false" customHeight="false" outlineLevel="0" collapsed="false">
      <c r="A4612" s="43"/>
      <c r="B4612" s="44"/>
      <c r="C4612" s="44"/>
      <c r="D4612" s="44"/>
      <c r="E4612" s="44"/>
      <c r="F4612" s="44"/>
      <c r="G4612" s="44"/>
      <c r="H4612" s="46" t="str">
        <f aca="false">IF($A4612="","",IF(OR(NOT(ISNUMBER(E4612)),NOT(ISNUMBER(F4612))),"",MAX(0,E4612)*F4612))</f>
        <v/>
      </c>
      <c r="I4612" s="46" t="str">
        <f aca="false">IF($A4612="","",SUMIF($A$2:$A$5001,$A4612,$H$2:$H$5001))</f>
        <v/>
      </c>
      <c r="J4612" s="47" t="n">
        <f aca="false">IF($A4612="",0,IF(COUNTIF($A$2:A4612,$A4612)=1,1,0))</f>
        <v>0</v>
      </c>
      <c r="K4612" s="47" t="n">
        <f aca="false">IF(J4612=1,N(I4612)+ROW()/10000000,0)</f>
        <v>0</v>
      </c>
      <c r="L4612" s="47" t="str">
        <f aca="false">IF(AND(J4612=1,N(I4612)&gt;0),SUMIF($K$2:$K$5001,"&gt;="&amp;K4612,$I$2:$I$5001)/MAX(1,SUM($H$2:$H$5001)),"")</f>
        <v/>
      </c>
      <c r="M4612" s="47" t="str">
        <f aca="false">IF($A4612="","",INDEX($L$2:$L$5001,MATCH($A4612,$A$2:$A$5001,0)))</f>
        <v/>
      </c>
      <c r="N4612" s="48" t="str">
        <f aca="false">IF($A4612="","",IF(N(M4612)=0,"–",IF(M4612&lt;=Start!$D$20,"A",IF(M4612&lt;=Start!$D$21,"B","C"))))</f>
        <v/>
      </c>
      <c r="O4612" s="48" t="str">
        <f aca="false">IF($A4612="","",IF(NOT(ISNUMBER(F4612)),"Wert fehlt; ",IF(F4612&lt;=0,"Wert ist 0; ",""))&amp;IF(NOT(ISNUMBER(E4612)),"Bestand fehlt; ",IF(E4612&lt;0,"Bestand negativ; ",IF(E4612=0,"Nullbestand; ","")))&amp;IF(D4612="","Warengruppe fehlt; ","")&amp;IF(B4612="","Bezeichnung fehlt; ","")&amp;IF(COUNTIFS($A$2:$A$5001,$A4612,$C$2:$C$5001,C4612)&gt;1,"Artikel doppelt im selben Lager; ",""))</f>
        <v/>
      </c>
      <c r="P4612" s="47" t="n">
        <f aca="false">IF(OR($A4612="",D4612=""),0,IF(COUNTIF($D$2:D4612,D4612)=1,SUMIF($D$2:$D$5001,D4612,$H$2:$H$5001)+ROW()/10000000,0))</f>
        <v>0</v>
      </c>
      <c r="Q4612" s="47" t="n">
        <f aca="false">IF(OR($A4612="",C4612=""),0,IF(COUNTIF($C$2:C4612,C4612)=1,SUMIF($C$2:$C$5001,C4612,$H$2:$H$5001)+ROW()/10000000,0))</f>
        <v>0</v>
      </c>
    </row>
    <row r="4613" customFormat="false" ht="15" hidden="false" customHeight="false" outlineLevel="0" collapsed="false">
      <c r="A4613" s="43"/>
      <c r="B4613" s="44"/>
      <c r="C4613" s="44"/>
      <c r="D4613" s="44"/>
      <c r="E4613" s="44"/>
      <c r="F4613" s="44"/>
      <c r="G4613" s="44"/>
      <c r="H4613" s="46" t="str">
        <f aca="false">IF($A4613="","",IF(OR(NOT(ISNUMBER(E4613)),NOT(ISNUMBER(F4613))),"",MAX(0,E4613)*F4613))</f>
        <v/>
      </c>
      <c r="I4613" s="46" t="str">
        <f aca="false">IF($A4613="","",SUMIF($A$2:$A$5001,$A4613,$H$2:$H$5001))</f>
        <v/>
      </c>
      <c r="J4613" s="47" t="n">
        <f aca="false">IF($A4613="",0,IF(COUNTIF($A$2:A4613,$A4613)=1,1,0))</f>
        <v>0</v>
      </c>
      <c r="K4613" s="47" t="n">
        <f aca="false">IF(J4613=1,N(I4613)+ROW()/10000000,0)</f>
        <v>0</v>
      </c>
      <c r="L4613" s="47" t="str">
        <f aca="false">IF(AND(J4613=1,N(I4613)&gt;0),SUMIF($K$2:$K$5001,"&gt;="&amp;K4613,$I$2:$I$5001)/MAX(1,SUM($H$2:$H$5001)),"")</f>
        <v/>
      </c>
      <c r="M4613" s="47" t="str">
        <f aca="false">IF($A4613="","",INDEX($L$2:$L$5001,MATCH($A4613,$A$2:$A$5001,0)))</f>
        <v/>
      </c>
      <c r="N4613" s="48" t="str">
        <f aca="false">IF($A4613="","",IF(N(M4613)=0,"–",IF(M4613&lt;=Start!$D$20,"A",IF(M4613&lt;=Start!$D$21,"B","C"))))</f>
        <v/>
      </c>
      <c r="O4613" s="48" t="str">
        <f aca="false">IF($A4613="","",IF(NOT(ISNUMBER(F4613)),"Wert fehlt; ",IF(F4613&lt;=0,"Wert ist 0; ",""))&amp;IF(NOT(ISNUMBER(E4613)),"Bestand fehlt; ",IF(E4613&lt;0,"Bestand negativ; ",IF(E4613=0,"Nullbestand; ","")))&amp;IF(D4613="","Warengruppe fehlt; ","")&amp;IF(B4613="","Bezeichnung fehlt; ","")&amp;IF(COUNTIFS($A$2:$A$5001,$A4613,$C$2:$C$5001,C4613)&gt;1,"Artikel doppelt im selben Lager; ",""))</f>
        <v/>
      </c>
      <c r="P4613" s="47" t="n">
        <f aca="false">IF(OR($A4613="",D4613=""),0,IF(COUNTIF($D$2:D4613,D4613)=1,SUMIF($D$2:$D$5001,D4613,$H$2:$H$5001)+ROW()/10000000,0))</f>
        <v>0</v>
      </c>
      <c r="Q4613" s="47" t="n">
        <f aca="false">IF(OR($A4613="",C4613=""),0,IF(COUNTIF($C$2:C4613,C4613)=1,SUMIF($C$2:$C$5001,C4613,$H$2:$H$5001)+ROW()/10000000,0))</f>
        <v>0</v>
      </c>
    </row>
    <row r="4614" customFormat="false" ht="15" hidden="false" customHeight="false" outlineLevel="0" collapsed="false">
      <c r="A4614" s="43"/>
      <c r="B4614" s="44"/>
      <c r="C4614" s="44"/>
      <c r="D4614" s="44"/>
      <c r="E4614" s="44"/>
      <c r="F4614" s="44"/>
      <c r="G4614" s="44"/>
      <c r="H4614" s="46" t="str">
        <f aca="false">IF($A4614="","",IF(OR(NOT(ISNUMBER(E4614)),NOT(ISNUMBER(F4614))),"",MAX(0,E4614)*F4614))</f>
        <v/>
      </c>
      <c r="I4614" s="46" t="str">
        <f aca="false">IF($A4614="","",SUMIF($A$2:$A$5001,$A4614,$H$2:$H$5001))</f>
        <v/>
      </c>
      <c r="J4614" s="47" t="n">
        <f aca="false">IF($A4614="",0,IF(COUNTIF($A$2:A4614,$A4614)=1,1,0))</f>
        <v>0</v>
      </c>
      <c r="K4614" s="47" t="n">
        <f aca="false">IF(J4614=1,N(I4614)+ROW()/10000000,0)</f>
        <v>0</v>
      </c>
      <c r="L4614" s="47" t="str">
        <f aca="false">IF(AND(J4614=1,N(I4614)&gt;0),SUMIF($K$2:$K$5001,"&gt;="&amp;K4614,$I$2:$I$5001)/MAX(1,SUM($H$2:$H$5001)),"")</f>
        <v/>
      </c>
      <c r="M4614" s="47" t="str">
        <f aca="false">IF($A4614="","",INDEX($L$2:$L$5001,MATCH($A4614,$A$2:$A$5001,0)))</f>
        <v/>
      </c>
      <c r="N4614" s="48" t="str">
        <f aca="false">IF($A4614="","",IF(N(M4614)=0,"–",IF(M4614&lt;=Start!$D$20,"A",IF(M4614&lt;=Start!$D$21,"B","C"))))</f>
        <v/>
      </c>
      <c r="O4614" s="48" t="str">
        <f aca="false">IF($A4614="","",IF(NOT(ISNUMBER(F4614)),"Wert fehlt; ",IF(F4614&lt;=0,"Wert ist 0; ",""))&amp;IF(NOT(ISNUMBER(E4614)),"Bestand fehlt; ",IF(E4614&lt;0,"Bestand negativ; ",IF(E4614=0,"Nullbestand; ","")))&amp;IF(D4614="","Warengruppe fehlt; ","")&amp;IF(B4614="","Bezeichnung fehlt; ","")&amp;IF(COUNTIFS($A$2:$A$5001,$A4614,$C$2:$C$5001,C4614)&gt;1,"Artikel doppelt im selben Lager; ",""))</f>
        <v/>
      </c>
      <c r="P4614" s="47" t="n">
        <f aca="false">IF(OR($A4614="",D4614=""),0,IF(COUNTIF($D$2:D4614,D4614)=1,SUMIF($D$2:$D$5001,D4614,$H$2:$H$5001)+ROW()/10000000,0))</f>
        <v>0</v>
      </c>
      <c r="Q4614" s="47" t="n">
        <f aca="false">IF(OR($A4614="",C4614=""),0,IF(COUNTIF($C$2:C4614,C4614)=1,SUMIF($C$2:$C$5001,C4614,$H$2:$H$5001)+ROW()/10000000,0))</f>
        <v>0</v>
      </c>
    </row>
    <row r="4615" customFormat="false" ht="15" hidden="false" customHeight="false" outlineLevel="0" collapsed="false">
      <c r="A4615" s="43"/>
      <c r="B4615" s="44"/>
      <c r="C4615" s="44"/>
      <c r="D4615" s="44"/>
      <c r="E4615" s="44"/>
      <c r="F4615" s="44"/>
      <c r="G4615" s="44"/>
      <c r="H4615" s="46" t="str">
        <f aca="false">IF($A4615="","",IF(OR(NOT(ISNUMBER(E4615)),NOT(ISNUMBER(F4615))),"",MAX(0,E4615)*F4615))</f>
        <v/>
      </c>
      <c r="I4615" s="46" t="str">
        <f aca="false">IF($A4615="","",SUMIF($A$2:$A$5001,$A4615,$H$2:$H$5001))</f>
        <v/>
      </c>
      <c r="J4615" s="47" t="n">
        <f aca="false">IF($A4615="",0,IF(COUNTIF($A$2:A4615,$A4615)=1,1,0))</f>
        <v>0</v>
      </c>
      <c r="K4615" s="47" t="n">
        <f aca="false">IF(J4615=1,N(I4615)+ROW()/10000000,0)</f>
        <v>0</v>
      </c>
      <c r="L4615" s="47" t="str">
        <f aca="false">IF(AND(J4615=1,N(I4615)&gt;0),SUMIF($K$2:$K$5001,"&gt;="&amp;K4615,$I$2:$I$5001)/MAX(1,SUM($H$2:$H$5001)),"")</f>
        <v/>
      </c>
      <c r="M4615" s="47" t="str">
        <f aca="false">IF($A4615="","",INDEX($L$2:$L$5001,MATCH($A4615,$A$2:$A$5001,0)))</f>
        <v/>
      </c>
      <c r="N4615" s="48" t="str">
        <f aca="false">IF($A4615="","",IF(N(M4615)=0,"–",IF(M4615&lt;=Start!$D$20,"A",IF(M4615&lt;=Start!$D$21,"B","C"))))</f>
        <v/>
      </c>
      <c r="O4615" s="48" t="str">
        <f aca="false">IF($A4615="","",IF(NOT(ISNUMBER(F4615)),"Wert fehlt; ",IF(F4615&lt;=0,"Wert ist 0; ",""))&amp;IF(NOT(ISNUMBER(E4615)),"Bestand fehlt; ",IF(E4615&lt;0,"Bestand negativ; ",IF(E4615=0,"Nullbestand; ","")))&amp;IF(D4615="","Warengruppe fehlt; ","")&amp;IF(B4615="","Bezeichnung fehlt; ","")&amp;IF(COUNTIFS($A$2:$A$5001,$A4615,$C$2:$C$5001,C4615)&gt;1,"Artikel doppelt im selben Lager; ",""))</f>
        <v/>
      </c>
      <c r="P4615" s="47" t="n">
        <f aca="false">IF(OR($A4615="",D4615=""),0,IF(COUNTIF($D$2:D4615,D4615)=1,SUMIF($D$2:$D$5001,D4615,$H$2:$H$5001)+ROW()/10000000,0))</f>
        <v>0</v>
      </c>
      <c r="Q4615" s="47" t="n">
        <f aca="false">IF(OR($A4615="",C4615=""),0,IF(COUNTIF($C$2:C4615,C4615)=1,SUMIF($C$2:$C$5001,C4615,$H$2:$H$5001)+ROW()/10000000,0))</f>
        <v>0</v>
      </c>
    </row>
    <row r="4616" customFormat="false" ht="15" hidden="false" customHeight="false" outlineLevel="0" collapsed="false">
      <c r="A4616" s="43"/>
      <c r="B4616" s="44"/>
      <c r="C4616" s="44"/>
      <c r="D4616" s="44"/>
      <c r="E4616" s="44"/>
      <c r="F4616" s="44"/>
      <c r="G4616" s="44"/>
      <c r="H4616" s="46" t="str">
        <f aca="false">IF($A4616="","",IF(OR(NOT(ISNUMBER(E4616)),NOT(ISNUMBER(F4616))),"",MAX(0,E4616)*F4616))</f>
        <v/>
      </c>
      <c r="I4616" s="46" t="str">
        <f aca="false">IF($A4616="","",SUMIF($A$2:$A$5001,$A4616,$H$2:$H$5001))</f>
        <v/>
      </c>
      <c r="J4616" s="47" t="n">
        <f aca="false">IF($A4616="",0,IF(COUNTIF($A$2:A4616,$A4616)=1,1,0))</f>
        <v>0</v>
      </c>
      <c r="K4616" s="47" t="n">
        <f aca="false">IF(J4616=1,N(I4616)+ROW()/10000000,0)</f>
        <v>0</v>
      </c>
      <c r="L4616" s="47" t="str">
        <f aca="false">IF(AND(J4616=1,N(I4616)&gt;0),SUMIF($K$2:$K$5001,"&gt;="&amp;K4616,$I$2:$I$5001)/MAX(1,SUM($H$2:$H$5001)),"")</f>
        <v/>
      </c>
      <c r="M4616" s="47" t="str">
        <f aca="false">IF($A4616="","",INDEX($L$2:$L$5001,MATCH($A4616,$A$2:$A$5001,0)))</f>
        <v/>
      </c>
      <c r="N4616" s="48" t="str">
        <f aca="false">IF($A4616="","",IF(N(M4616)=0,"–",IF(M4616&lt;=Start!$D$20,"A",IF(M4616&lt;=Start!$D$21,"B","C"))))</f>
        <v/>
      </c>
      <c r="O4616" s="48" t="str">
        <f aca="false">IF($A4616="","",IF(NOT(ISNUMBER(F4616)),"Wert fehlt; ",IF(F4616&lt;=0,"Wert ist 0; ",""))&amp;IF(NOT(ISNUMBER(E4616)),"Bestand fehlt; ",IF(E4616&lt;0,"Bestand negativ; ",IF(E4616=0,"Nullbestand; ","")))&amp;IF(D4616="","Warengruppe fehlt; ","")&amp;IF(B4616="","Bezeichnung fehlt; ","")&amp;IF(COUNTIFS($A$2:$A$5001,$A4616,$C$2:$C$5001,C4616)&gt;1,"Artikel doppelt im selben Lager; ",""))</f>
        <v/>
      </c>
      <c r="P4616" s="47" t="n">
        <f aca="false">IF(OR($A4616="",D4616=""),0,IF(COUNTIF($D$2:D4616,D4616)=1,SUMIF($D$2:$D$5001,D4616,$H$2:$H$5001)+ROW()/10000000,0))</f>
        <v>0</v>
      </c>
      <c r="Q4616" s="47" t="n">
        <f aca="false">IF(OR($A4616="",C4616=""),0,IF(COUNTIF($C$2:C4616,C4616)=1,SUMIF($C$2:$C$5001,C4616,$H$2:$H$5001)+ROW()/10000000,0))</f>
        <v>0</v>
      </c>
    </row>
    <row r="4617" customFormat="false" ht="15" hidden="false" customHeight="false" outlineLevel="0" collapsed="false">
      <c r="A4617" s="43"/>
      <c r="B4617" s="44"/>
      <c r="C4617" s="44"/>
      <c r="D4617" s="44"/>
      <c r="E4617" s="44"/>
      <c r="F4617" s="44"/>
      <c r="G4617" s="44"/>
      <c r="H4617" s="46" t="str">
        <f aca="false">IF($A4617="","",IF(OR(NOT(ISNUMBER(E4617)),NOT(ISNUMBER(F4617))),"",MAX(0,E4617)*F4617))</f>
        <v/>
      </c>
      <c r="I4617" s="46" t="str">
        <f aca="false">IF($A4617="","",SUMIF($A$2:$A$5001,$A4617,$H$2:$H$5001))</f>
        <v/>
      </c>
      <c r="J4617" s="47" t="n">
        <f aca="false">IF($A4617="",0,IF(COUNTIF($A$2:A4617,$A4617)=1,1,0))</f>
        <v>0</v>
      </c>
      <c r="K4617" s="47" t="n">
        <f aca="false">IF(J4617=1,N(I4617)+ROW()/10000000,0)</f>
        <v>0</v>
      </c>
      <c r="L4617" s="47" t="str">
        <f aca="false">IF(AND(J4617=1,N(I4617)&gt;0),SUMIF($K$2:$K$5001,"&gt;="&amp;K4617,$I$2:$I$5001)/MAX(1,SUM($H$2:$H$5001)),"")</f>
        <v/>
      </c>
      <c r="M4617" s="47" t="str">
        <f aca="false">IF($A4617="","",INDEX($L$2:$L$5001,MATCH($A4617,$A$2:$A$5001,0)))</f>
        <v/>
      </c>
      <c r="N4617" s="48" t="str">
        <f aca="false">IF($A4617="","",IF(N(M4617)=0,"–",IF(M4617&lt;=Start!$D$20,"A",IF(M4617&lt;=Start!$D$21,"B","C"))))</f>
        <v/>
      </c>
      <c r="O4617" s="48" t="str">
        <f aca="false">IF($A4617="","",IF(NOT(ISNUMBER(F4617)),"Wert fehlt; ",IF(F4617&lt;=0,"Wert ist 0; ",""))&amp;IF(NOT(ISNUMBER(E4617)),"Bestand fehlt; ",IF(E4617&lt;0,"Bestand negativ; ",IF(E4617=0,"Nullbestand; ","")))&amp;IF(D4617="","Warengruppe fehlt; ","")&amp;IF(B4617="","Bezeichnung fehlt; ","")&amp;IF(COUNTIFS($A$2:$A$5001,$A4617,$C$2:$C$5001,C4617)&gt;1,"Artikel doppelt im selben Lager; ",""))</f>
        <v/>
      </c>
      <c r="P4617" s="47" t="n">
        <f aca="false">IF(OR($A4617="",D4617=""),0,IF(COUNTIF($D$2:D4617,D4617)=1,SUMIF($D$2:$D$5001,D4617,$H$2:$H$5001)+ROW()/10000000,0))</f>
        <v>0</v>
      </c>
      <c r="Q4617" s="47" t="n">
        <f aca="false">IF(OR($A4617="",C4617=""),0,IF(COUNTIF($C$2:C4617,C4617)=1,SUMIF($C$2:$C$5001,C4617,$H$2:$H$5001)+ROW()/10000000,0))</f>
        <v>0</v>
      </c>
    </row>
    <row r="4618" customFormat="false" ht="15" hidden="false" customHeight="false" outlineLevel="0" collapsed="false">
      <c r="A4618" s="43"/>
      <c r="B4618" s="44"/>
      <c r="C4618" s="44"/>
      <c r="D4618" s="44"/>
      <c r="E4618" s="44"/>
      <c r="F4618" s="44"/>
      <c r="G4618" s="44"/>
      <c r="H4618" s="46" t="str">
        <f aca="false">IF($A4618="","",IF(OR(NOT(ISNUMBER(E4618)),NOT(ISNUMBER(F4618))),"",MAX(0,E4618)*F4618))</f>
        <v/>
      </c>
      <c r="I4618" s="46" t="str">
        <f aca="false">IF($A4618="","",SUMIF($A$2:$A$5001,$A4618,$H$2:$H$5001))</f>
        <v/>
      </c>
      <c r="J4618" s="47" t="n">
        <f aca="false">IF($A4618="",0,IF(COUNTIF($A$2:A4618,$A4618)=1,1,0))</f>
        <v>0</v>
      </c>
      <c r="K4618" s="47" t="n">
        <f aca="false">IF(J4618=1,N(I4618)+ROW()/10000000,0)</f>
        <v>0</v>
      </c>
      <c r="L4618" s="47" t="str">
        <f aca="false">IF(AND(J4618=1,N(I4618)&gt;0),SUMIF($K$2:$K$5001,"&gt;="&amp;K4618,$I$2:$I$5001)/MAX(1,SUM($H$2:$H$5001)),"")</f>
        <v/>
      </c>
      <c r="M4618" s="47" t="str">
        <f aca="false">IF($A4618="","",INDEX($L$2:$L$5001,MATCH($A4618,$A$2:$A$5001,0)))</f>
        <v/>
      </c>
      <c r="N4618" s="48" t="str">
        <f aca="false">IF($A4618="","",IF(N(M4618)=0,"–",IF(M4618&lt;=Start!$D$20,"A",IF(M4618&lt;=Start!$D$21,"B","C"))))</f>
        <v/>
      </c>
      <c r="O4618" s="48" t="str">
        <f aca="false">IF($A4618="","",IF(NOT(ISNUMBER(F4618)),"Wert fehlt; ",IF(F4618&lt;=0,"Wert ist 0; ",""))&amp;IF(NOT(ISNUMBER(E4618)),"Bestand fehlt; ",IF(E4618&lt;0,"Bestand negativ; ",IF(E4618=0,"Nullbestand; ","")))&amp;IF(D4618="","Warengruppe fehlt; ","")&amp;IF(B4618="","Bezeichnung fehlt; ","")&amp;IF(COUNTIFS($A$2:$A$5001,$A4618,$C$2:$C$5001,C4618)&gt;1,"Artikel doppelt im selben Lager; ",""))</f>
        <v/>
      </c>
      <c r="P4618" s="47" t="n">
        <f aca="false">IF(OR($A4618="",D4618=""),0,IF(COUNTIF($D$2:D4618,D4618)=1,SUMIF($D$2:$D$5001,D4618,$H$2:$H$5001)+ROW()/10000000,0))</f>
        <v>0</v>
      </c>
      <c r="Q4618" s="47" t="n">
        <f aca="false">IF(OR($A4618="",C4618=""),0,IF(COUNTIF($C$2:C4618,C4618)=1,SUMIF($C$2:$C$5001,C4618,$H$2:$H$5001)+ROW()/10000000,0))</f>
        <v>0</v>
      </c>
    </row>
    <row r="4619" customFormat="false" ht="15" hidden="false" customHeight="false" outlineLevel="0" collapsed="false">
      <c r="A4619" s="43"/>
      <c r="B4619" s="44"/>
      <c r="C4619" s="44"/>
      <c r="D4619" s="44"/>
      <c r="E4619" s="44"/>
      <c r="F4619" s="44"/>
      <c r="G4619" s="44"/>
      <c r="H4619" s="46" t="str">
        <f aca="false">IF($A4619="","",IF(OR(NOT(ISNUMBER(E4619)),NOT(ISNUMBER(F4619))),"",MAX(0,E4619)*F4619))</f>
        <v/>
      </c>
      <c r="I4619" s="46" t="str">
        <f aca="false">IF($A4619="","",SUMIF($A$2:$A$5001,$A4619,$H$2:$H$5001))</f>
        <v/>
      </c>
      <c r="J4619" s="47" t="n">
        <f aca="false">IF($A4619="",0,IF(COUNTIF($A$2:A4619,$A4619)=1,1,0))</f>
        <v>0</v>
      </c>
      <c r="K4619" s="47" t="n">
        <f aca="false">IF(J4619=1,N(I4619)+ROW()/10000000,0)</f>
        <v>0</v>
      </c>
      <c r="L4619" s="47" t="str">
        <f aca="false">IF(AND(J4619=1,N(I4619)&gt;0),SUMIF($K$2:$K$5001,"&gt;="&amp;K4619,$I$2:$I$5001)/MAX(1,SUM($H$2:$H$5001)),"")</f>
        <v/>
      </c>
      <c r="M4619" s="47" t="str">
        <f aca="false">IF($A4619="","",INDEX($L$2:$L$5001,MATCH($A4619,$A$2:$A$5001,0)))</f>
        <v/>
      </c>
      <c r="N4619" s="48" t="str">
        <f aca="false">IF($A4619="","",IF(N(M4619)=0,"–",IF(M4619&lt;=Start!$D$20,"A",IF(M4619&lt;=Start!$D$21,"B","C"))))</f>
        <v/>
      </c>
      <c r="O4619" s="48" t="str">
        <f aca="false">IF($A4619="","",IF(NOT(ISNUMBER(F4619)),"Wert fehlt; ",IF(F4619&lt;=0,"Wert ist 0; ",""))&amp;IF(NOT(ISNUMBER(E4619)),"Bestand fehlt; ",IF(E4619&lt;0,"Bestand negativ; ",IF(E4619=0,"Nullbestand; ","")))&amp;IF(D4619="","Warengruppe fehlt; ","")&amp;IF(B4619="","Bezeichnung fehlt; ","")&amp;IF(COUNTIFS($A$2:$A$5001,$A4619,$C$2:$C$5001,C4619)&gt;1,"Artikel doppelt im selben Lager; ",""))</f>
        <v/>
      </c>
      <c r="P4619" s="47" t="n">
        <f aca="false">IF(OR($A4619="",D4619=""),0,IF(COUNTIF($D$2:D4619,D4619)=1,SUMIF($D$2:$D$5001,D4619,$H$2:$H$5001)+ROW()/10000000,0))</f>
        <v>0</v>
      </c>
      <c r="Q4619" s="47" t="n">
        <f aca="false">IF(OR($A4619="",C4619=""),0,IF(COUNTIF($C$2:C4619,C4619)=1,SUMIF($C$2:$C$5001,C4619,$H$2:$H$5001)+ROW()/10000000,0))</f>
        <v>0</v>
      </c>
    </row>
    <row r="4620" customFormat="false" ht="15" hidden="false" customHeight="false" outlineLevel="0" collapsed="false">
      <c r="A4620" s="43"/>
      <c r="B4620" s="44"/>
      <c r="C4620" s="44"/>
      <c r="D4620" s="44"/>
      <c r="E4620" s="44"/>
      <c r="F4620" s="44"/>
      <c r="G4620" s="44"/>
      <c r="H4620" s="46" t="str">
        <f aca="false">IF($A4620="","",IF(OR(NOT(ISNUMBER(E4620)),NOT(ISNUMBER(F4620))),"",MAX(0,E4620)*F4620))</f>
        <v/>
      </c>
      <c r="I4620" s="46" t="str">
        <f aca="false">IF($A4620="","",SUMIF($A$2:$A$5001,$A4620,$H$2:$H$5001))</f>
        <v/>
      </c>
      <c r="J4620" s="47" t="n">
        <f aca="false">IF($A4620="",0,IF(COUNTIF($A$2:A4620,$A4620)=1,1,0))</f>
        <v>0</v>
      </c>
      <c r="K4620" s="47" t="n">
        <f aca="false">IF(J4620=1,N(I4620)+ROW()/10000000,0)</f>
        <v>0</v>
      </c>
      <c r="L4620" s="47" t="str">
        <f aca="false">IF(AND(J4620=1,N(I4620)&gt;0),SUMIF($K$2:$K$5001,"&gt;="&amp;K4620,$I$2:$I$5001)/MAX(1,SUM($H$2:$H$5001)),"")</f>
        <v/>
      </c>
      <c r="M4620" s="47" t="str">
        <f aca="false">IF($A4620="","",INDEX($L$2:$L$5001,MATCH($A4620,$A$2:$A$5001,0)))</f>
        <v/>
      </c>
      <c r="N4620" s="48" t="str">
        <f aca="false">IF($A4620="","",IF(N(M4620)=0,"–",IF(M4620&lt;=Start!$D$20,"A",IF(M4620&lt;=Start!$D$21,"B","C"))))</f>
        <v/>
      </c>
      <c r="O4620" s="48" t="str">
        <f aca="false">IF($A4620="","",IF(NOT(ISNUMBER(F4620)),"Wert fehlt; ",IF(F4620&lt;=0,"Wert ist 0; ",""))&amp;IF(NOT(ISNUMBER(E4620)),"Bestand fehlt; ",IF(E4620&lt;0,"Bestand negativ; ",IF(E4620=0,"Nullbestand; ","")))&amp;IF(D4620="","Warengruppe fehlt; ","")&amp;IF(B4620="","Bezeichnung fehlt; ","")&amp;IF(COUNTIFS($A$2:$A$5001,$A4620,$C$2:$C$5001,C4620)&gt;1,"Artikel doppelt im selben Lager; ",""))</f>
        <v/>
      </c>
      <c r="P4620" s="47" t="n">
        <f aca="false">IF(OR($A4620="",D4620=""),0,IF(COUNTIF($D$2:D4620,D4620)=1,SUMIF($D$2:$D$5001,D4620,$H$2:$H$5001)+ROW()/10000000,0))</f>
        <v>0</v>
      </c>
      <c r="Q4620" s="47" t="n">
        <f aca="false">IF(OR($A4620="",C4620=""),0,IF(COUNTIF($C$2:C4620,C4620)=1,SUMIF($C$2:$C$5001,C4620,$H$2:$H$5001)+ROW()/10000000,0))</f>
        <v>0</v>
      </c>
    </row>
    <row r="4621" customFormat="false" ht="15" hidden="false" customHeight="false" outlineLevel="0" collapsed="false">
      <c r="A4621" s="43"/>
      <c r="B4621" s="44"/>
      <c r="C4621" s="44"/>
      <c r="D4621" s="44"/>
      <c r="E4621" s="44"/>
      <c r="F4621" s="44"/>
      <c r="G4621" s="44"/>
      <c r="H4621" s="46" t="str">
        <f aca="false">IF($A4621="","",IF(OR(NOT(ISNUMBER(E4621)),NOT(ISNUMBER(F4621))),"",MAX(0,E4621)*F4621))</f>
        <v/>
      </c>
      <c r="I4621" s="46" t="str">
        <f aca="false">IF($A4621="","",SUMIF($A$2:$A$5001,$A4621,$H$2:$H$5001))</f>
        <v/>
      </c>
      <c r="J4621" s="47" t="n">
        <f aca="false">IF($A4621="",0,IF(COUNTIF($A$2:A4621,$A4621)=1,1,0))</f>
        <v>0</v>
      </c>
      <c r="K4621" s="47" t="n">
        <f aca="false">IF(J4621=1,N(I4621)+ROW()/10000000,0)</f>
        <v>0</v>
      </c>
      <c r="L4621" s="47" t="str">
        <f aca="false">IF(AND(J4621=1,N(I4621)&gt;0),SUMIF($K$2:$K$5001,"&gt;="&amp;K4621,$I$2:$I$5001)/MAX(1,SUM($H$2:$H$5001)),"")</f>
        <v/>
      </c>
      <c r="M4621" s="47" t="str">
        <f aca="false">IF($A4621="","",INDEX($L$2:$L$5001,MATCH($A4621,$A$2:$A$5001,0)))</f>
        <v/>
      </c>
      <c r="N4621" s="48" t="str">
        <f aca="false">IF($A4621="","",IF(N(M4621)=0,"–",IF(M4621&lt;=Start!$D$20,"A",IF(M4621&lt;=Start!$D$21,"B","C"))))</f>
        <v/>
      </c>
      <c r="O4621" s="48" t="str">
        <f aca="false">IF($A4621="","",IF(NOT(ISNUMBER(F4621)),"Wert fehlt; ",IF(F4621&lt;=0,"Wert ist 0; ",""))&amp;IF(NOT(ISNUMBER(E4621)),"Bestand fehlt; ",IF(E4621&lt;0,"Bestand negativ; ",IF(E4621=0,"Nullbestand; ","")))&amp;IF(D4621="","Warengruppe fehlt; ","")&amp;IF(B4621="","Bezeichnung fehlt; ","")&amp;IF(COUNTIFS($A$2:$A$5001,$A4621,$C$2:$C$5001,C4621)&gt;1,"Artikel doppelt im selben Lager; ",""))</f>
        <v/>
      </c>
      <c r="P4621" s="47" t="n">
        <f aca="false">IF(OR($A4621="",D4621=""),0,IF(COUNTIF($D$2:D4621,D4621)=1,SUMIF($D$2:$D$5001,D4621,$H$2:$H$5001)+ROW()/10000000,0))</f>
        <v>0</v>
      </c>
      <c r="Q4621" s="47" t="n">
        <f aca="false">IF(OR($A4621="",C4621=""),0,IF(COUNTIF($C$2:C4621,C4621)=1,SUMIF($C$2:$C$5001,C4621,$H$2:$H$5001)+ROW()/10000000,0))</f>
        <v>0</v>
      </c>
    </row>
    <row r="4622" customFormat="false" ht="15" hidden="false" customHeight="false" outlineLevel="0" collapsed="false">
      <c r="A4622" s="43"/>
      <c r="B4622" s="44"/>
      <c r="C4622" s="44"/>
      <c r="D4622" s="44"/>
      <c r="E4622" s="44"/>
      <c r="F4622" s="44"/>
      <c r="G4622" s="44"/>
      <c r="H4622" s="46" t="str">
        <f aca="false">IF($A4622="","",IF(OR(NOT(ISNUMBER(E4622)),NOT(ISNUMBER(F4622))),"",MAX(0,E4622)*F4622))</f>
        <v/>
      </c>
      <c r="I4622" s="46" t="str">
        <f aca="false">IF($A4622="","",SUMIF($A$2:$A$5001,$A4622,$H$2:$H$5001))</f>
        <v/>
      </c>
      <c r="J4622" s="47" t="n">
        <f aca="false">IF($A4622="",0,IF(COUNTIF($A$2:A4622,$A4622)=1,1,0))</f>
        <v>0</v>
      </c>
      <c r="K4622" s="47" t="n">
        <f aca="false">IF(J4622=1,N(I4622)+ROW()/10000000,0)</f>
        <v>0</v>
      </c>
      <c r="L4622" s="47" t="str">
        <f aca="false">IF(AND(J4622=1,N(I4622)&gt;0),SUMIF($K$2:$K$5001,"&gt;="&amp;K4622,$I$2:$I$5001)/MAX(1,SUM($H$2:$H$5001)),"")</f>
        <v/>
      </c>
      <c r="M4622" s="47" t="str">
        <f aca="false">IF($A4622="","",INDEX($L$2:$L$5001,MATCH($A4622,$A$2:$A$5001,0)))</f>
        <v/>
      </c>
      <c r="N4622" s="48" t="str">
        <f aca="false">IF($A4622="","",IF(N(M4622)=0,"–",IF(M4622&lt;=Start!$D$20,"A",IF(M4622&lt;=Start!$D$21,"B","C"))))</f>
        <v/>
      </c>
      <c r="O4622" s="48" t="str">
        <f aca="false">IF($A4622="","",IF(NOT(ISNUMBER(F4622)),"Wert fehlt; ",IF(F4622&lt;=0,"Wert ist 0; ",""))&amp;IF(NOT(ISNUMBER(E4622)),"Bestand fehlt; ",IF(E4622&lt;0,"Bestand negativ; ",IF(E4622=0,"Nullbestand; ","")))&amp;IF(D4622="","Warengruppe fehlt; ","")&amp;IF(B4622="","Bezeichnung fehlt; ","")&amp;IF(COUNTIFS($A$2:$A$5001,$A4622,$C$2:$C$5001,C4622)&gt;1,"Artikel doppelt im selben Lager; ",""))</f>
        <v/>
      </c>
      <c r="P4622" s="47" t="n">
        <f aca="false">IF(OR($A4622="",D4622=""),0,IF(COUNTIF($D$2:D4622,D4622)=1,SUMIF($D$2:$D$5001,D4622,$H$2:$H$5001)+ROW()/10000000,0))</f>
        <v>0</v>
      </c>
      <c r="Q4622" s="47" t="n">
        <f aca="false">IF(OR($A4622="",C4622=""),0,IF(COUNTIF($C$2:C4622,C4622)=1,SUMIF($C$2:$C$5001,C4622,$H$2:$H$5001)+ROW()/10000000,0))</f>
        <v>0</v>
      </c>
    </row>
    <row r="4623" customFormat="false" ht="15" hidden="false" customHeight="false" outlineLevel="0" collapsed="false">
      <c r="A4623" s="43"/>
      <c r="B4623" s="44"/>
      <c r="C4623" s="44"/>
      <c r="D4623" s="44"/>
      <c r="E4623" s="44"/>
      <c r="F4623" s="44"/>
      <c r="G4623" s="44"/>
      <c r="H4623" s="46" t="str">
        <f aca="false">IF($A4623="","",IF(OR(NOT(ISNUMBER(E4623)),NOT(ISNUMBER(F4623))),"",MAX(0,E4623)*F4623))</f>
        <v/>
      </c>
      <c r="I4623" s="46" t="str">
        <f aca="false">IF($A4623="","",SUMIF($A$2:$A$5001,$A4623,$H$2:$H$5001))</f>
        <v/>
      </c>
      <c r="J4623" s="47" t="n">
        <f aca="false">IF($A4623="",0,IF(COUNTIF($A$2:A4623,$A4623)=1,1,0))</f>
        <v>0</v>
      </c>
      <c r="K4623" s="47" t="n">
        <f aca="false">IF(J4623=1,N(I4623)+ROW()/10000000,0)</f>
        <v>0</v>
      </c>
      <c r="L4623" s="47" t="str">
        <f aca="false">IF(AND(J4623=1,N(I4623)&gt;0),SUMIF($K$2:$K$5001,"&gt;="&amp;K4623,$I$2:$I$5001)/MAX(1,SUM($H$2:$H$5001)),"")</f>
        <v/>
      </c>
      <c r="M4623" s="47" t="str">
        <f aca="false">IF($A4623="","",INDEX($L$2:$L$5001,MATCH($A4623,$A$2:$A$5001,0)))</f>
        <v/>
      </c>
      <c r="N4623" s="48" t="str">
        <f aca="false">IF($A4623="","",IF(N(M4623)=0,"–",IF(M4623&lt;=Start!$D$20,"A",IF(M4623&lt;=Start!$D$21,"B","C"))))</f>
        <v/>
      </c>
      <c r="O4623" s="48" t="str">
        <f aca="false">IF($A4623="","",IF(NOT(ISNUMBER(F4623)),"Wert fehlt; ",IF(F4623&lt;=0,"Wert ist 0; ",""))&amp;IF(NOT(ISNUMBER(E4623)),"Bestand fehlt; ",IF(E4623&lt;0,"Bestand negativ; ",IF(E4623=0,"Nullbestand; ","")))&amp;IF(D4623="","Warengruppe fehlt; ","")&amp;IF(B4623="","Bezeichnung fehlt; ","")&amp;IF(COUNTIFS($A$2:$A$5001,$A4623,$C$2:$C$5001,C4623)&gt;1,"Artikel doppelt im selben Lager; ",""))</f>
        <v/>
      </c>
      <c r="P4623" s="47" t="n">
        <f aca="false">IF(OR($A4623="",D4623=""),0,IF(COUNTIF($D$2:D4623,D4623)=1,SUMIF($D$2:$D$5001,D4623,$H$2:$H$5001)+ROW()/10000000,0))</f>
        <v>0</v>
      </c>
      <c r="Q4623" s="47" t="n">
        <f aca="false">IF(OR($A4623="",C4623=""),0,IF(COUNTIF($C$2:C4623,C4623)=1,SUMIF($C$2:$C$5001,C4623,$H$2:$H$5001)+ROW()/10000000,0))</f>
        <v>0</v>
      </c>
    </row>
    <row r="4624" customFormat="false" ht="15" hidden="false" customHeight="false" outlineLevel="0" collapsed="false">
      <c r="A4624" s="43"/>
      <c r="B4624" s="44"/>
      <c r="C4624" s="44"/>
      <c r="D4624" s="44"/>
      <c r="E4624" s="44"/>
      <c r="F4624" s="44"/>
      <c r="G4624" s="44"/>
      <c r="H4624" s="46" t="str">
        <f aca="false">IF($A4624="","",IF(OR(NOT(ISNUMBER(E4624)),NOT(ISNUMBER(F4624))),"",MAX(0,E4624)*F4624))</f>
        <v/>
      </c>
      <c r="I4624" s="46" t="str">
        <f aca="false">IF($A4624="","",SUMIF($A$2:$A$5001,$A4624,$H$2:$H$5001))</f>
        <v/>
      </c>
      <c r="J4624" s="47" t="n">
        <f aca="false">IF($A4624="",0,IF(COUNTIF($A$2:A4624,$A4624)=1,1,0))</f>
        <v>0</v>
      </c>
      <c r="K4624" s="47" t="n">
        <f aca="false">IF(J4624=1,N(I4624)+ROW()/10000000,0)</f>
        <v>0</v>
      </c>
      <c r="L4624" s="47" t="str">
        <f aca="false">IF(AND(J4624=1,N(I4624)&gt;0),SUMIF($K$2:$K$5001,"&gt;="&amp;K4624,$I$2:$I$5001)/MAX(1,SUM($H$2:$H$5001)),"")</f>
        <v/>
      </c>
      <c r="M4624" s="47" t="str">
        <f aca="false">IF($A4624="","",INDEX($L$2:$L$5001,MATCH($A4624,$A$2:$A$5001,0)))</f>
        <v/>
      </c>
      <c r="N4624" s="48" t="str">
        <f aca="false">IF($A4624="","",IF(N(M4624)=0,"–",IF(M4624&lt;=Start!$D$20,"A",IF(M4624&lt;=Start!$D$21,"B","C"))))</f>
        <v/>
      </c>
      <c r="O4624" s="48" t="str">
        <f aca="false">IF($A4624="","",IF(NOT(ISNUMBER(F4624)),"Wert fehlt; ",IF(F4624&lt;=0,"Wert ist 0; ",""))&amp;IF(NOT(ISNUMBER(E4624)),"Bestand fehlt; ",IF(E4624&lt;0,"Bestand negativ; ",IF(E4624=0,"Nullbestand; ","")))&amp;IF(D4624="","Warengruppe fehlt; ","")&amp;IF(B4624="","Bezeichnung fehlt; ","")&amp;IF(COUNTIFS($A$2:$A$5001,$A4624,$C$2:$C$5001,C4624)&gt;1,"Artikel doppelt im selben Lager; ",""))</f>
        <v/>
      </c>
      <c r="P4624" s="47" t="n">
        <f aca="false">IF(OR($A4624="",D4624=""),0,IF(COUNTIF($D$2:D4624,D4624)=1,SUMIF($D$2:$D$5001,D4624,$H$2:$H$5001)+ROW()/10000000,0))</f>
        <v>0</v>
      </c>
      <c r="Q4624" s="47" t="n">
        <f aca="false">IF(OR($A4624="",C4624=""),0,IF(COUNTIF($C$2:C4624,C4624)=1,SUMIF($C$2:$C$5001,C4624,$H$2:$H$5001)+ROW()/10000000,0))</f>
        <v>0</v>
      </c>
    </row>
    <row r="4625" customFormat="false" ht="15" hidden="false" customHeight="false" outlineLevel="0" collapsed="false">
      <c r="A4625" s="43"/>
      <c r="B4625" s="44"/>
      <c r="C4625" s="44"/>
      <c r="D4625" s="44"/>
      <c r="E4625" s="44"/>
      <c r="F4625" s="44"/>
      <c r="G4625" s="44"/>
      <c r="H4625" s="46" t="str">
        <f aca="false">IF($A4625="","",IF(OR(NOT(ISNUMBER(E4625)),NOT(ISNUMBER(F4625))),"",MAX(0,E4625)*F4625))</f>
        <v/>
      </c>
      <c r="I4625" s="46" t="str">
        <f aca="false">IF($A4625="","",SUMIF($A$2:$A$5001,$A4625,$H$2:$H$5001))</f>
        <v/>
      </c>
      <c r="J4625" s="47" t="n">
        <f aca="false">IF($A4625="",0,IF(COUNTIF($A$2:A4625,$A4625)=1,1,0))</f>
        <v>0</v>
      </c>
      <c r="K4625" s="47" t="n">
        <f aca="false">IF(J4625=1,N(I4625)+ROW()/10000000,0)</f>
        <v>0</v>
      </c>
      <c r="L4625" s="47" t="str">
        <f aca="false">IF(AND(J4625=1,N(I4625)&gt;0),SUMIF($K$2:$K$5001,"&gt;="&amp;K4625,$I$2:$I$5001)/MAX(1,SUM($H$2:$H$5001)),"")</f>
        <v/>
      </c>
      <c r="M4625" s="47" t="str">
        <f aca="false">IF($A4625="","",INDEX($L$2:$L$5001,MATCH($A4625,$A$2:$A$5001,0)))</f>
        <v/>
      </c>
      <c r="N4625" s="48" t="str">
        <f aca="false">IF($A4625="","",IF(N(M4625)=0,"–",IF(M4625&lt;=Start!$D$20,"A",IF(M4625&lt;=Start!$D$21,"B","C"))))</f>
        <v/>
      </c>
      <c r="O4625" s="48" t="str">
        <f aca="false">IF($A4625="","",IF(NOT(ISNUMBER(F4625)),"Wert fehlt; ",IF(F4625&lt;=0,"Wert ist 0; ",""))&amp;IF(NOT(ISNUMBER(E4625)),"Bestand fehlt; ",IF(E4625&lt;0,"Bestand negativ; ",IF(E4625=0,"Nullbestand; ","")))&amp;IF(D4625="","Warengruppe fehlt; ","")&amp;IF(B4625="","Bezeichnung fehlt; ","")&amp;IF(COUNTIFS($A$2:$A$5001,$A4625,$C$2:$C$5001,C4625)&gt;1,"Artikel doppelt im selben Lager; ",""))</f>
        <v/>
      </c>
      <c r="P4625" s="47" t="n">
        <f aca="false">IF(OR($A4625="",D4625=""),0,IF(COUNTIF($D$2:D4625,D4625)=1,SUMIF($D$2:$D$5001,D4625,$H$2:$H$5001)+ROW()/10000000,0))</f>
        <v>0</v>
      </c>
      <c r="Q4625" s="47" t="n">
        <f aca="false">IF(OR($A4625="",C4625=""),0,IF(COUNTIF($C$2:C4625,C4625)=1,SUMIF($C$2:$C$5001,C4625,$H$2:$H$5001)+ROW()/10000000,0))</f>
        <v>0</v>
      </c>
    </row>
    <row r="4626" customFormat="false" ht="15" hidden="false" customHeight="false" outlineLevel="0" collapsed="false">
      <c r="A4626" s="43"/>
      <c r="B4626" s="44"/>
      <c r="C4626" s="44"/>
      <c r="D4626" s="44"/>
      <c r="E4626" s="44"/>
      <c r="F4626" s="44"/>
      <c r="G4626" s="44"/>
      <c r="H4626" s="46" t="str">
        <f aca="false">IF($A4626="","",IF(OR(NOT(ISNUMBER(E4626)),NOT(ISNUMBER(F4626))),"",MAX(0,E4626)*F4626))</f>
        <v/>
      </c>
      <c r="I4626" s="46" t="str">
        <f aca="false">IF($A4626="","",SUMIF($A$2:$A$5001,$A4626,$H$2:$H$5001))</f>
        <v/>
      </c>
      <c r="J4626" s="47" t="n">
        <f aca="false">IF($A4626="",0,IF(COUNTIF($A$2:A4626,$A4626)=1,1,0))</f>
        <v>0</v>
      </c>
      <c r="K4626" s="47" t="n">
        <f aca="false">IF(J4626=1,N(I4626)+ROW()/10000000,0)</f>
        <v>0</v>
      </c>
      <c r="L4626" s="47" t="str">
        <f aca="false">IF(AND(J4626=1,N(I4626)&gt;0),SUMIF($K$2:$K$5001,"&gt;="&amp;K4626,$I$2:$I$5001)/MAX(1,SUM($H$2:$H$5001)),"")</f>
        <v/>
      </c>
      <c r="M4626" s="47" t="str">
        <f aca="false">IF($A4626="","",INDEX($L$2:$L$5001,MATCH($A4626,$A$2:$A$5001,0)))</f>
        <v/>
      </c>
      <c r="N4626" s="48" t="str">
        <f aca="false">IF($A4626="","",IF(N(M4626)=0,"–",IF(M4626&lt;=Start!$D$20,"A",IF(M4626&lt;=Start!$D$21,"B","C"))))</f>
        <v/>
      </c>
      <c r="O4626" s="48" t="str">
        <f aca="false">IF($A4626="","",IF(NOT(ISNUMBER(F4626)),"Wert fehlt; ",IF(F4626&lt;=0,"Wert ist 0; ",""))&amp;IF(NOT(ISNUMBER(E4626)),"Bestand fehlt; ",IF(E4626&lt;0,"Bestand negativ; ",IF(E4626=0,"Nullbestand; ","")))&amp;IF(D4626="","Warengruppe fehlt; ","")&amp;IF(B4626="","Bezeichnung fehlt; ","")&amp;IF(COUNTIFS($A$2:$A$5001,$A4626,$C$2:$C$5001,C4626)&gt;1,"Artikel doppelt im selben Lager; ",""))</f>
        <v/>
      </c>
      <c r="P4626" s="47" t="n">
        <f aca="false">IF(OR($A4626="",D4626=""),0,IF(COUNTIF($D$2:D4626,D4626)=1,SUMIF($D$2:$D$5001,D4626,$H$2:$H$5001)+ROW()/10000000,0))</f>
        <v>0</v>
      </c>
      <c r="Q4626" s="47" t="n">
        <f aca="false">IF(OR($A4626="",C4626=""),0,IF(COUNTIF($C$2:C4626,C4626)=1,SUMIF($C$2:$C$5001,C4626,$H$2:$H$5001)+ROW()/10000000,0))</f>
        <v>0</v>
      </c>
    </row>
    <row r="4627" customFormat="false" ht="15" hidden="false" customHeight="false" outlineLevel="0" collapsed="false">
      <c r="A4627" s="43"/>
      <c r="B4627" s="44"/>
      <c r="C4627" s="44"/>
      <c r="D4627" s="44"/>
      <c r="E4627" s="44"/>
      <c r="F4627" s="44"/>
      <c r="G4627" s="44"/>
      <c r="H4627" s="46" t="str">
        <f aca="false">IF($A4627="","",IF(OR(NOT(ISNUMBER(E4627)),NOT(ISNUMBER(F4627))),"",MAX(0,E4627)*F4627))</f>
        <v/>
      </c>
      <c r="I4627" s="46" t="str">
        <f aca="false">IF($A4627="","",SUMIF($A$2:$A$5001,$A4627,$H$2:$H$5001))</f>
        <v/>
      </c>
      <c r="J4627" s="47" t="n">
        <f aca="false">IF($A4627="",0,IF(COUNTIF($A$2:A4627,$A4627)=1,1,0))</f>
        <v>0</v>
      </c>
      <c r="K4627" s="47" t="n">
        <f aca="false">IF(J4627=1,N(I4627)+ROW()/10000000,0)</f>
        <v>0</v>
      </c>
      <c r="L4627" s="47" t="str">
        <f aca="false">IF(AND(J4627=1,N(I4627)&gt;0),SUMIF($K$2:$K$5001,"&gt;="&amp;K4627,$I$2:$I$5001)/MAX(1,SUM($H$2:$H$5001)),"")</f>
        <v/>
      </c>
      <c r="M4627" s="47" t="str">
        <f aca="false">IF($A4627="","",INDEX($L$2:$L$5001,MATCH($A4627,$A$2:$A$5001,0)))</f>
        <v/>
      </c>
      <c r="N4627" s="48" t="str">
        <f aca="false">IF($A4627="","",IF(N(M4627)=0,"–",IF(M4627&lt;=Start!$D$20,"A",IF(M4627&lt;=Start!$D$21,"B","C"))))</f>
        <v/>
      </c>
      <c r="O4627" s="48" t="str">
        <f aca="false">IF($A4627="","",IF(NOT(ISNUMBER(F4627)),"Wert fehlt; ",IF(F4627&lt;=0,"Wert ist 0; ",""))&amp;IF(NOT(ISNUMBER(E4627)),"Bestand fehlt; ",IF(E4627&lt;0,"Bestand negativ; ",IF(E4627=0,"Nullbestand; ","")))&amp;IF(D4627="","Warengruppe fehlt; ","")&amp;IF(B4627="","Bezeichnung fehlt; ","")&amp;IF(COUNTIFS($A$2:$A$5001,$A4627,$C$2:$C$5001,C4627)&gt;1,"Artikel doppelt im selben Lager; ",""))</f>
        <v/>
      </c>
      <c r="P4627" s="47" t="n">
        <f aca="false">IF(OR($A4627="",D4627=""),0,IF(COUNTIF($D$2:D4627,D4627)=1,SUMIF($D$2:$D$5001,D4627,$H$2:$H$5001)+ROW()/10000000,0))</f>
        <v>0</v>
      </c>
      <c r="Q4627" s="47" t="n">
        <f aca="false">IF(OR($A4627="",C4627=""),0,IF(COUNTIF($C$2:C4627,C4627)=1,SUMIF($C$2:$C$5001,C4627,$H$2:$H$5001)+ROW()/10000000,0))</f>
        <v>0</v>
      </c>
    </row>
    <row r="4628" customFormat="false" ht="15" hidden="false" customHeight="false" outlineLevel="0" collapsed="false">
      <c r="A4628" s="43"/>
      <c r="B4628" s="44"/>
      <c r="C4628" s="44"/>
      <c r="D4628" s="44"/>
      <c r="E4628" s="44"/>
      <c r="F4628" s="44"/>
      <c r="G4628" s="44"/>
      <c r="H4628" s="46" t="str">
        <f aca="false">IF($A4628="","",IF(OR(NOT(ISNUMBER(E4628)),NOT(ISNUMBER(F4628))),"",MAX(0,E4628)*F4628))</f>
        <v/>
      </c>
      <c r="I4628" s="46" t="str">
        <f aca="false">IF($A4628="","",SUMIF($A$2:$A$5001,$A4628,$H$2:$H$5001))</f>
        <v/>
      </c>
      <c r="J4628" s="47" t="n">
        <f aca="false">IF($A4628="",0,IF(COUNTIF($A$2:A4628,$A4628)=1,1,0))</f>
        <v>0</v>
      </c>
      <c r="K4628" s="47" t="n">
        <f aca="false">IF(J4628=1,N(I4628)+ROW()/10000000,0)</f>
        <v>0</v>
      </c>
      <c r="L4628" s="47" t="str">
        <f aca="false">IF(AND(J4628=1,N(I4628)&gt;0),SUMIF($K$2:$K$5001,"&gt;="&amp;K4628,$I$2:$I$5001)/MAX(1,SUM($H$2:$H$5001)),"")</f>
        <v/>
      </c>
      <c r="M4628" s="47" t="str">
        <f aca="false">IF($A4628="","",INDEX($L$2:$L$5001,MATCH($A4628,$A$2:$A$5001,0)))</f>
        <v/>
      </c>
      <c r="N4628" s="48" t="str">
        <f aca="false">IF($A4628="","",IF(N(M4628)=0,"–",IF(M4628&lt;=Start!$D$20,"A",IF(M4628&lt;=Start!$D$21,"B","C"))))</f>
        <v/>
      </c>
      <c r="O4628" s="48" t="str">
        <f aca="false">IF($A4628="","",IF(NOT(ISNUMBER(F4628)),"Wert fehlt; ",IF(F4628&lt;=0,"Wert ist 0; ",""))&amp;IF(NOT(ISNUMBER(E4628)),"Bestand fehlt; ",IF(E4628&lt;0,"Bestand negativ; ",IF(E4628=0,"Nullbestand; ","")))&amp;IF(D4628="","Warengruppe fehlt; ","")&amp;IF(B4628="","Bezeichnung fehlt; ","")&amp;IF(COUNTIFS($A$2:$A$5001,$A4628,$C$2:$C$5001,C4628)&gt;1,"Artikel doppelt im selben Lager; ",""))</f>
        <v/>
      </c>
      <c r="P4628" s="47" t="n">
        <f aca="false">IF(OR($A4628="",D4628=""),0,IF(COUNTIF($D$2:D4628,D4628)=1,SUMIF($D$2:$D$5001,D4628,$H$2:$H$5001)+ROW()/10000000,0))</f>
        <v>0</v>
      </c>
      <c r="Q4628" s="47" t="n">
        <f aca="false">IF(OR($A4628="",C4628=""),0,IF(COUNTIF($C$2:C4628,C4628)=1,SUMIF($C$2:$C$5001,C4628,$H$2:$H$5001)+ROW()/10000000,0))</f>
        <v>0</v>
      </c>
    </row>
    <row r="4629" customFormat="false" ht="15" hidden="false" customHeight="false" outlineLevel="0" collapsed="false">
      <c r="A4629" s="43"/>
      <c r="B4629" s="44"/>
      <c r="C4629" s="44"/>
      <c r="D4629" s="44"/>
      <c r="E4629" s="44"/>
      <c r="F4629" s="44"/>
      <c r="G4629" s="44"/>
      <c r="H4629" s="46" t="str">
        <f aca="false">IF($A4629="","",IF(OR(NOT(ISNUMBER(E4629)),NOT(ISNUMBER(F4629))),"",MAX(0,E4629)*F4629))</f>
        <v/>
      </c>
      <c r="I4629" s="46" t="str">
        <f aca="false">IF($A4629="","",SUMIF($A$2:$A$5001,$A4629,$H$2:$H$5001))</f>
        <v/>
      </c>
      <c r="J4629" s="47" t="n">
        <f aca="false">IF($A4629="",0,IF(COUNTIF($A$2:A4629,$A4629)=1,1,0))</f>
        <v>0</v>
      </c>
      <c r="K4629" s="47" t="n">
        <f aca="false">IF(J4629=1,N(I4629)+ROW()/10000000,0)</f>
        <v>0</v>
      </c>
      <c r="L4629" s="47" t="str">
        <f aca="false">IF(AND(J4629=1,N(I4629)&gt;0),SUMIF($K$2:$K$5001,"&gt;="&amp;K4629,$I$2:$I$5001)/MAX(1,SUM($H$2:$H$5001)),"")</f>
        <v/>
      </c>
      <c r="M4629" s="47" t="str">
        <f aca="false">IF($A4629="","",INDEX($L$2:$L$5001,MATCH($A4629,$A$2:$A$5001,0)))</f>
        <v/>
      </c>
      <c r="N4629" s="48" t="str">
        <f aca="false">IF($A4629="","",IF(N(M4629)=0,"–",IF(M4629&lt;=Start!$D$20,"A",IF(M4629&lt;=Start!$D$21,"B","C"))))</f>
        <v/>
      </c>
      <c r="O4629" s="48" t="str">
        <f aca="false">IF($A4629="","",IF(NOT(ISNUMBER(F4629)),"Wert fehlt; ",IF(F4629&lt;=0,"Wert ist 0; ",""))&amp;IF(NOT(ISNUMBER(E4629)),"Bestand fehlt; ",IF(E4629&lt;0,"Bestand negativ; ",IF(E4629=0,"Nullbestand; ","")))&amp;IF(D4629="","Warengruppe fehlt; ","")&amp;IF(B4629="","Bezeichnung fehlt; ","")&amp;IF(COUNTIFS($A$2:$A$5001,$A4629,$C$2:$C$5001,C4629)&gt;1,"Artikel doppelt im selben Lager; ",""))</f>
        <v/>
      </c>
      <c r="P4629" s="47" t="n">
        <f aca="false">IF(OR($A4629="",D4629=""),0,IF(COUNTIF($D$2:D4629,D4629)=1,SUMIF($D$2:$D$5001,D4629,$H$2:$H$5001)+ROW()/10000000,0))</f>
        <v>0</v>
      </c>
      <c r="Q4629" s="47" t="n">
        <f aca="false">IF(OR($A4629="",C4629=""),0,IF(COUNTIF($C$2:C4629,C4629)=1,SUMIF($C$2:$C$5001,C4629,$H$2:$H$5001)+ROW()/10000000,0))</f>
        <v>0</v>
      </c>
    </row>
    <row r="4630" customFormat="false" ht="15" hidden="false" customHeight="false" outlineLevel="0" collapsed="false">
      <c r="A4630" s="43"/>
      <c r="B4630" s="44"/>
      <c r="C4630" s="44"/>
      <c r="D4630" s="44"/>
      <c r="E4630" s="44"/>
      <c r="F4630" s="44"/>
      <c r="G4630" s="44"/>
      <c r="H4630" s="46" t="str">
        <f aca="false">IF($A4630="","",IF(OR(NOT(ISNUMBER(E4630)),NOT(ISNUMBER(F4630))),"",MAX(0,E4630)*F4630))</f>
        <v/>
      </c>
      <c r="I4630" s="46" t="str">
        <f aca="false">IF($A4630="","",SUMIF($A$2:$A$5001,$A4630,$H$2:$H$5001))</f>
        <v/>
      </c>
      <c r="J4630" s="47" t="n">
        <f aca="false">IF($A4630="",0,IF(COUNTIF($A$2:A4630,$A4630)=1,1,0))</f>
        <v>0</v>
      </c>
      <c r="K4630" s="47" t="n">
        <f aca="false">IF(J4630=1,N(I4630)+ROW()/10000000,0)</f>
        <v>0</v>
      </c>
      <c r="L4630" s="47" t="str">
        <f aca="false">IF(AND(J4630=1,N(I4630)&gt;0),SUMIF($K$2:$K$5001,"&gt;="&amp;K4630,$I$2:$I$5001)/MAX(1,SUM($H$2:$H$5001)),"")</f>
        <v/>
      </c>
      <c r="M4630" s="47" t="str">
        <f aca="false">IF($A4630="","",INDEX($L$2:$L$5001,MATCH($A4630,$A$2:$A$5001,0)))</f>
        <v/>
      </c>
      <c r="N4630" s="48" t="str">
        <f aca="false">IF($A4630="","",IF(N(M4630)=0,"–",IF(M4630&lt;=Start!$D$20,"A",IF(M4630&lt;=Start!$D$21,"B","C"))))</f>
        <v/>
      </c>
      <c r="O4630" s="48" t="str">
        <f aca="false">IF($A4630="","",IF(NOT(ISNUMBER(F4630)),"Wert fehlt; ",IF(F4630&lt;=0,"Wert ist 0; ",""))&amp;IF(NOT(ISNUMBER(E4630)),"Bestand fehlt; ",IF(E4630&lt;0,"Bestand negativ; ",IF(E4630=0,"Nullbestand; ","")))&amp;IF(D4630="","Warengruppe fehlt; ","")&amp;IF(B4630="","Bezeichnung fehlt; ","")&amp;IF(COUNTIFS($A$2:$A$5001,$A4630,$C$2:$C$5001,C4630)&gt;1,"Artikel doppelt im selben Lager; ",""))</f>
        <v/>
      </c>
      <c r="P4630" s="47" t="n">
        <f aca="false">IF(OR($A4630="",D4630=""),0,IF(COUNTIF($D$2:D4630,D4630)=1,SUMIF($D$2:$D$5001,D4630,$H$2:$H$5001)+ROW()/10000000,0))</f>
        <v>0</v>
      </c>
      <c r="Q4630" s="47" t="n">
        <f aca="false">IF(OR($A4630="",C4630=""),0,IF(COUNTIF($C$2:C4630,C4630)=1,SUMIF($C$2:$C$5001,C4630,$H$2:$H$5001)+ROW()/10000000,0))</f>
        <v>0</v>
      </c>
    </row>
    <row r="4631" customFormat="false" ht="15" hidden="false" customHeight="false" outlineLevel="0" collapsed="false">
      <c r="A4631" s="43"/>
      <c r="B4631" s="44"/>
      <c r="C4631" s="44"/>
      <c r="D4631" s="44"/>
      <c r="E4631" s="44"/>
      <c r="F4631" s="44"/>
      <c r="G4631" s="44"/>
      <c r="H4631" s="46" t="str">
        <f aca="false">IF($A4631="","",IF(OR(NOT(ISNUMBER(E4631)),NOT(ISNUMBER(F4631))),"",MAX(0,E4631)*F4631))</f>
        <v/>
      </c>
      <c r="I4631" s="46" t="str">
        <f aca="false">IF($A4631="","",SUMIF($A$2:$A$5001,$A4631,$H$2:$H$5001))</f>
        <v/>
      </c>
      <c r="J4631" s="47" t="n">
        <f aca="false">IF($A4631="",0,IF(COUNTIF($A$2:A4631,$A4631)=1,1,0))</f>
        <v>0</v>
      </c>
      <c r="K4631" s="47" t="n">
        <f aca="false">IF(J4631=1,N(I4631)+ROW()/10000000,0)</f>
        <v>0</v>
      </c>
      <c r="L4631" s="47" t="str">
        <f aca="false">IF(AND(J4631=1,N(I4631)&gt;0),SUMIF($K$2:$K$5001,"&gt;="&amp;K4631,$I$2:$I$5001)/MAX(1,SUM($H$2:$H$5001)),"")</f>
        <v/>
      </c>
      <c r="M4631" s="47" t="str">
        <f aca="false">IF($A4631="","",INDEX($L$2:$L$5001,MATCH($A4631,$A$2:$A$5001,0)))</f>
        <v/>
      </c>
      <c r="N4631" s="48" t="str">
        <f aca="false">IF($A4631="","",IF(N(M4631)=0,"–",IF(M4631&lt;=Start!$D$20,"A",IF(M4631&lt;=Start!$D$21,"B","C"))))</f>
        <v/>
      </c>
      <c r="O4631" s="48" t="str">
        <f aca="false">IF($A4631="","",IF(NOT(ISNUMBER(F4631)),"Wert fehlt; ",IF(F4631&lt;=0,"Wert ist 0; ",""))&amp;IF(NOT(ISNUMBER(E4631)),"Bestand fehlt; ",IF(E4631&lt;0,"Bestand negativ; ",IF(E4631=0,"Nullbestand; ","")))&amp;IF(D4631="","Warengruppe fehlt; ","")&amp;IF(B4631="","Bezeichnung fehlt; ","")&amp;IF(COUNTIFS($A$2:$A$5001,$A4631,$C$2:$C$5001,C4631)&gt;1,"Artikel doppelt im selben Lager; ",""))</f>
        <v/>
      </c>
      <c r="P4631" s="47" t="n">
        <f aca="false">IF(OR($A4631="",D4631=""),0,IF(COUNTIF($D$2:D4631,D4631)=1,SUMIF($D$2:$D$5001,D4631,$H$2:$H$5001)+ROW()/10000000,0))</f>
        <v>0</v>
      </c>
      <c r="Q4631" s="47" t="n">
        <f aca="false">IF(OR($A4631="",C4631=""),0,IF(COUNTIF($C$2:C4631,C4631)=1,SUMIF($C$2:$C$5001,C4631,$H$2:$H$5001)+ROW()/10000000,0))</f>
        <v>0</v>
      </c>
    </row>
    <row r="4632" customFormat="false" ht="15" hidden="false" customHeight="false" outlineLevel="0" collapsed="false">
      <c r="A4632" s="43"/>
      <c r="B4632" s="44"/>
      <c r="C4632" s="44"/>
      <c r="D4632" s="44"/>
      <c r="E4632" s="44"/>
      <c r="F4632" s="44"/>
      <c r="G4632" s="44"/>
      <c r="H4632" s="46" t="str">
        <f aca="false">IF($A4632="","",IF(OR(NOT(ISNUMBER(E4632)),NOT(ISNUMBER(F4632))),"",MAX(0,E4632)*F4632))</f>
        <v/>
      </c>
      <c r="I4632" s="46" t="str">
        <f aca="false">IF($A4632="","",SUMIF($A$2:$A$5001,$A4632,$H$2:$H$5001))</f>
        <v/>
      </c>
      <c r="J4632" s="47" t="n">
        <f aca="false">IF($A4632="",0,IF(COUNTIF($A$2:A4632,$A4632)=1,1,0))</f>
        <v>0</v>
      </c>
      <c r="K4632" s="47" t="n">
        <f aca="false">IF(J4632=1,N(I4632)+ROW()/10000000,0)</f>
        <v>0</v>
      </c>
      <c r="L4632" s="47" t="str">
        <f aca="false">IF(AND(J4632=1,N(I4632)&gt;0),SUMIF($K$2:$K$5001,"&gt;="&amp;K4632,$I$2:$I$5001)/MAX(1,SUM($H$2:$H$5001)),"")</f>
        <v/>
      </c>
      <c r="M4632" s="47" t="str">
        <f aca="false">IF($A4632="","",INDEX($L$2:$L$5001,MATCH($A4632,$A$2:$A$5001,0)))</f>
        <v/>
      </c>
      <c r="N4632" s="48" t="str">
        <f aca="false">IF($A4632="","",IF(N(M4632)=0,"–",IF(M4632&lt;=Start!$D$20,"A",IF(M4632&lt;=Start!$D$21,"B","C"))))</f>
        <v/>
      </c>
      <c r="O4632" s="48" t="str">
        <f aca="false">IF($A4632="","",IF(NOT(ISNUMBER(F4632)),"Wert fehlt; ",IF(F4632&lt;=0,"Wert ist 0; ",""))&amp;IF(NOT(ISNUMBER(E4632)),"Bestand fehlt; ",IF(E4632&lt;0,"Bestand negativ; ",IF(E4632=0,"Nullbestand; ","")))&amp;IF(D4632="","Warengruppe fehlt; ","")&amp;IF(B4632="","Bezeichnung fehlt; ","")&amp;IF(COUNTIFS($A$2:$A$5001,$A4632,$C$2:$C$5001,C4632)&gt;1,"Artikel doppelt im selben Lager; ",""))</f>
        <v/>
      </c>
      <c r="P4632" s="47" t="n">
        <f aca="false">IF(OR($A4632="",D4632=""),0,IF(COUNTIF($D$2:D4632,D4632)=1,SUMIF($D$2:$D$5001,D4632,$H$2:$H$5001)+ROW()/10000000,0))</f>
        <v>0</v>
      </c>
      <c r="Q4632" s="47" t="n">
        <f aca="false">IF(OR($A4632="",C4632=""),0,IF(COUNTIF($C$2:C4632,C4632)=1,SUMIF($C$2:$C$5001,C4632,$H$2:$H$5001)+ROW()/10000000,0))</f>
        <v>0</v>
      </c>
    </row>
    <row r="4633" customFormat="false" ht="15" hidden="false" customHeight="false" outlineLevel="0" collapsed="false">
      <c r="A4633" s="43"/>
      <c r="B4633" s="44"/>
      <c r="C4633" s="44"/>
      <c r="D4633" s="44"/>
      <c r="E4633" s="44"/>
      <c r="F4633" s="44"/>
      <c r="G4633" s="44"/>
      <c r="H4633" s="46" t="str">
        <f aca="false">IF($A4633="","",IF(OR(NOT(ISNUMBER(E4633)),NOT(ISNUMBER(F4633))),"",MAX(0,E4633)*F4633))</f>
        <v/>
      </c>
      <c r="I4633" s="46" t="str">
        <f aca="false">IF($A4633="","",SUMIF($A$2:$A$5001,$A4633,$H$2:$H$5001))</f>
        <v/>
      </c>
      <c r="J4633" s="47" t="n">
        <f aca="false">IF($A4633="",0,IF(COUNTIF($A$2:A4633,$A4633)=1,1,0))</f>
        <v>0</v>
      </c>
      <c r="K4633" s="47" t="n">
        <f aca="false">IF(J4633=1,N(I4633)+ROW()/10000000,0)</f>
        <v>0</v>
      </c>
      <c r="L4633" s="47" t="str">
        <f aca="false">IF(AND(J4633=1,N(I4633)&gt;0),SUMIF($K$2:$K$5001,"&gt;="&amp;K4633,$I$2:$I$5001)/MAX(1,SUM($H$2:$H$5001)),"")</f>
        <v/>
      </c>
      <c r="M4633" s="47" t="str">
        <f aca="false">IF($A4633="","",INDEX($L$2:$L$5001,MATCH($A4633,$A$2:$A$5001,0)))</f>
        <v/>
      </c>
      <c r="N4633" s="48" t="str">
        <f aca="false">IF($A4633="","",IF(N(M4633)=0,"–",IF(M4633&lt;=Start!$D$20,"A",IF(M4633&lt;=Start!$D$21,"B","C"))))</f>
        <v/>
      </c>
      <c r="O4633" s="48" t="str">
        <f aca="false">IF($A4633="","",IF(NOT(ISNUMBER(F4633)),"Wert fehlt; ",IF(F4633&lt;=0,"Wert ist 0; ",""))&amp;IF(NOT(ISNUMBER(E4633)),"Bestand fehlt; ",IF(E4633&lt;0,"Bestand negativ; ",IF(E4633=0,"Nullbestand; ","")))&amp;IF(D4633="","Warengruppe fehlt; ","")&amp;IF(B4633="","Bezeichnung fehlt; ","")&amp;IF(COUNTIFS($A$2:$A$5001,$A4633,$C$2:$C$5001,C4633)&gt;1,"Artikel doppelt im selben Lager; ",""))</f>
        <v/>
      </c>
      <c r="P4633" s="47" t="n">
        <f aca="false">IF(OR($A4633="",D4633=""),0,IF(COUNTIF($D$2:D4633,D4633)=1,SUMIF($D$2:$D$5001,D4633,$H$2:$H$5001)+ROW()/10000000,0))</f>
        <v>0</v>
      </c>
      <c r="Q4633" s="47" t="n">
        <f aca="false">IF(OR($A4633="",C4633=""),0,IF(COUNTIF($C$2:C4633,C4633)=1,SUMIF($C$2:$C$5001,C4633,$H$2:$H$5001)+ROW()/10000000,0))</f>
        <v>0</v>
      </c>
    </row>
    <row r="4634" customFormat="false" ht="15" hidden="false" customHeight="false" outlineLevel="0" collapsed="false">
      <c r="A4634" s="43"/>
      <c r="B4634" s="44"/>
      <c r="C4634" s="44"/>
      <c r="D4634" s="44"/>
      <c r="E4634" s="44"/>
      <c r="F4634" s="44"/>
      <c r="G4634" s="44"/>
      <c r="H4634" s="46" t="str">
        <f aca="false">IF($A4634="","",IF(OR(NOT(ISNUMBER(E4634)),NOT(ISNUMBER(F4634))),"",MAX(0,E4634)*F4634))</f>
        <v/>
      </c>
      <c r="I4634" s="46" t="str">
        <f aca="false">IF($A4634="","",SUMIF($A$2:$A$5001,$A4634,$H$2:$H$5001))</f>
        <v/>
      </c>
      <c r="J4634" s="47" t="n">
        <f aca="false">IF($A4634="",0,IF(COUNTIF($A$2:A4634,$A4634)=1,1,0))</f>
        <v>0</v>
      </c>
      <c r="K4634" s="47" t="n">
        <f aca="false">IF(J4634=1,N(I4634)+ROW()/10000000,0)</f>
        <v>0</v>
      </c>
      <c r="L4634" s="47" t="str">
        <f aca="false">IF(AND(J4634=1,N(I4634)&gt;0),SUMIF($K$2:$K$5001,"&gt;="&amp;K4634,$I$2:$I$5001)/MAX(1,SUM($H$2:$H$5001)),"")</f>
        <v/>
      </c>
      <c r="M4634" s="47" t="str">
        <f aca="false">IF($A4634="","",INDEX($L$2:$L$5001,MATCH($A4634,$A$2:$A$5001,0)))</f>
        <v/>
      </c>
      <c r="N4634" s="48" t="str">
        <f aca="false">IF($A4634="","",IF(N(M4634)=0,"–",IF(M4634&lt;=Start!$D$20,"A",IF(M4634&lt;=Start!$D$21,"B","C"))))</f>
        <v/>
      </c>
      <c r="O4634" s="48" t="str">
        <f aca="false">IF($A4634="","",IF(NOT(ISNUMBER(F4634)),"Wert fehlt; ",IF(F4634&lt;=0,"Wert ist 0; ",""))&amp;IF(NOT(ISNUMBER(E4634)),"Bestand fehlt; ",IF(E4634&lt;0,"Bestand negativ; ",IF(E4634=0,"Nullbestand; ","")))&amp;IF(D4634="","Warengruppe fehlt; ","")&amp;IF(B4634="","Bezeichnung fehlt; ","")&amp;IF(COUNTIFS($A$2:$A$5001,$A4634,$C$2:$C$5001,C4634)&gt;1,"Artikel doppelt im selben Lager; ",""))</f>
        <v/>
      </c>
      <c r="P4634" s="47" t="n">
        <f aca="false">IF(OR($A4634="",D4634=""),0,IF(COUNTIF($D$2:D4634,D4634)=1,SUMIF($D$2:$D$5001,D4634,$H$2:$H$5001)+ROW()/10000000,0))</f>
        <v>0</v>
      </c>
      <c r="Q4634" s="47" t="n">
        <f aca="false">IF(OR($A4634="",C4634=""),0,IF(COUNTIF($C$2:C4634,C4634)=1,SUMIF($C$2:$C$5001,C4634,$H$2:$H$5001)+ROW()/10000000,0))</f>
        <v>0</v>
      </c>
    </row>
    <row r="4635" customFormat="false" ht="15" hidden="false" customHeight="false" outlineLevel="0" collapsed="false">
      <c r="A4635" s="43"/>
      <c r="B4635" s="44"/>
      <c r="C4635" s="44"/>
      <c r="D4635" s="44"/>
      <c r="E4635" s="44"/>
      <c r="F4635" s="44"/>
      <c r="G4635" s="44"/>
      <c r="H4635" s="46" t="str">
        <f aca="false">IF($A4635="","",IF(OR(NOT(ISNUMBER(E4635)),NOT(ISNUMBER(F4635))),"",MAX(0,E4635)*F4635))</f>
        <v/>
      </c>
      <c r="I4635" s="46" t="str">
        <f aca="false">IF($A4635="","",SUMIF($A$2:$A$5001,$A4635,$H$2:$H$5001))</f>
        <v/>
      </c>
      <c r="J4635" s="47" t="n">
        <f aca="false">IF($A4635="",0,IF(COUNTIF($A$2:A4635,$A4635)=1,1,0))</f>
        <v>0</v>
      </c>
      <c r="K4635" s="47" t="n">
        <f aca="false">IF(J4635=1,N(I4635)+ROW()/10000000,0)</f>
        <v>0</v>
      </c>
      <c r="L4635" s="47" t="str">
        <f aca="false">IF(AND(J4635=1,N(I4635)&gt;0),SUMIF($K$2:$K$5001,"&gt;="&amp;K4635,$I$2:$I$5001)/MAX(1,SUM($H$2:$H$5001)),"")</f>
        <v/>
      </c>
      <c r="M4635" s="47" t="str">
        <f aca="false">IF($A4635="","",INDEX($L$2:$L$5001,MATCH($A4635,$A$2:$A$5001,0)))</f>
        <v/>
      </c>
      <c r="N4635" s="48" t="str">
        <f aca="false">IF($A4635="","",IF(N(M4635)=0,"–",IF(M4635&lt;=Start!$D$20,"A",IF(M4635&lt;=Start!$D$21,"B","C"))))</f>
        <v/>
      </c>
      <c r="O4635" s="48" t="str">
        <f aca="false">IF($A4635="","",IF(NOT(ISNUMBER(F4635)),"Wert fehlt; ",IF(F4635&lt;=0,"Wert ist 0; ",""))&amp;IF(NOT(ISNUMBER(E4635)),"Bestand fehlt; ",IF(E4635&lt;0,"Bestand negativ; ",IF(E4635=0,"Nullbestand; ","")))&amp;IF(D4635="","Warengruppe fehlt; ","")&amp;IF(B4635="","Bezeichnung fehlt; ","")&amp;IF(COUNTIFS($A$2:$A$5001,$A4635,$C$2:$C$5001,C4635)&gt;1,"Artikel doppelt im selben Lager; ",""))</f>
        <v/>
      </c>
      <c r="P4635" s="47" t="n">
        <f aca="false">IF(OR($A4635="",D4635=""),0,IF(COUNTIF($D$2:D4635,D4635)=1,SUMIF($D$2:$D$5001,D4635,$H$2:$H$5001)+ROW()/10000000,0))</f>
        <v>0</v>
      </c>
      <c r="Q4635" s="47" t="n">
        <f aca="false">IF(OR($A4635="",C4635=""),0,IF(COUNTIF($C$2:C4635,C4635)=1,SUMIF($C$2:$C$5001,C4635,$H$2:$H$5001)+ROW()/10000000,0))</f>
        <v>0</v>
      </c>
    </row>
    <row r="4636" customFormat="false" ht="15" hidden="false" customHeight="false" outlineLevel="0" collapsed="false">
      <c r="A4636" s="43"/>
      <c r="B4636" s="44"/>
      <c r="C4636" s="44"/>
      <c r="D4636" s="44"/>
      <c r="E4636" s="44"/>
      <c r="F4636" s="44"/>
      <c r="G4636" s="44"/>
      <c r="H4636" s="46" t="str">
        <f aca="false">IF($A4636="","",IF(OR(NOT(ISNUMBER(E4636)),NOT(ISNUMBER(F4636))),"",MAX(0,E4636)*F4636))</f>
        <v/>
      </c>
      <c r="I4636" s="46" t="str">
        <f aca="false">IF($A4636="","",SUMIF($A$2:$A$5001,$A4636,$H$2:$H$5001))</f>
        <v/>
      </c>
      <c r="J4636" s="47" t="n">
        <f aca="false">IF($A4636="",0,IF(COUNTIF($A$2:A4636,$A4636)=1,1,0))</f>
        <v>0</v>
      </c>
      <c r="K4636" s="47" t="n">
        <f aca="false">IF(J4636=1,N(I4636)+ROW()/10000000,0)</f>
        <v>0</v>
      </c>
      <c r="L4636" s="47" t="str">
        <f aca="false">IF(AND(J4636=1,N(I4636)&gt;0),SUMIF($K$2:$K$5001,"&gt;="&amp;K4636,$I$2:$I$5001)/MAX(1,SUM($H$2:$H$5001)),"")</f>
        <v/>
      </c>
      <c r="M4636" s="47" t="str">
        <f aca="false">IF($A4636="","",INDEX($L$2:$L$5001,MATCH($A4636,$A$2:$A$5001,0)))</f>
        <v/>
      </c>
      <c r="N4636" s="48" t="str">
        <f aca="false">IF($A4636="","",IF(N(M4636)=0,"–",IF(M4636&lt;=Start!$D$20,"A",IF(M4636&lt;=Start!$D$21,"B","C"))))</f>
        <v/>
      </c>
      <c r="O4636" s="48" t="str">
        <f aca="false">IF($A4636="","",IF(NOT(ISNUMBER(F4636)),"Wert fehlt; ",IF(F4636&lt;=0,"Wert ist 0; ",""))&amp;IF(NOT(ISNUMBER(E4636)),"Bestand fehlt; ",IF(E4636&lt;0,"Bestand negativ; ",IF(E4636=0,"Nullbestand; ","")))&amp;IF(D4636="","Warengruppe fehlt; ","")&amp;IF(B4636="","Bezeichnung fehlt; ","")&amp;IF(COUNTIFS($A$2:$A$5001,$A4636,$C$2:$C$5001,C4636)&gt;1,"Artikel doppelt im selben Lager; ",""))</f>
        <v/>
      </c>
      <c r="P4636" s="47" t="n">
        <f aca="false">IF(OR($A4636="",D4636=""),0,IF(COUNTIF($D$2:D4636,D4636)=1,SUMIF($D$2:$D$5001,D4636,$H$2:$H$5001)+ROW()/10000000,0))</f>
        <v>0</v>
      </c>
      <c r="Q4636" s="47" t="n">
        <f aca="false">IF(OR($A4636="",C4636=""),0,IF(COUNTIF($C$2:C4636,C4636)=1,SUMIF($C$2:$C$5001,C4636,$H$2:$H$5001)+ROW()/10000000,0))</f>
        <v>0</v>
      </c>
    </row>
    <row r="4637" customFormat="false" ht="15" hidden="false" customHeight="false" outlineLevel="0" collapsed="false">
      <c r="A4637" s="43"/>
      <c r="B4637" s="44"/>
      <c r="C4637" s="44"/>
      <c r="D4637" s="44"/>
      <c r="E4637" s="44"/>
      <c r="F4637" s="44"/>
      <c r="G4637" s="44"/>
      <c r="H4637" s="46" t="str">
        <f aca="false">IF($A4637="","",IF(OR(NOT(ISNUMBER(E4637)),NOT(ISNUMBER(F4637))),"",MAX(0,E4637)*F4637))</f>
        <v/>
      </c>
      <c r="I4637" s="46" t="str">
        <f aca="false">IF($A4637="","",SUMIF($A$2:$A$5001,$A4637,$H$2:$H$5001))</f>
        <v/>
      </c>
      <c r="J4637" s="47" t="n">
        <f aca="false">IF($A4637="",0,IF(COUNTIF($A$2:A4637,$A4637)=1,1,0))</f>
        <v>0</v>
      </c>
      <c r="K4637" s="47" t="n">
        <f aca="false">IF(J4637=1,N(I4637)+ROW()/10000000,0)</f>
        <v>0</v>
      </c>
      <c r="L4637" s="47" t="str">
        <f aca="false">IF(AND(J4637=1,N(I4637)&gt;0),SUMIF($K$2:$K$5001,"&gt;="&amp;K4637,$I$2:$I$5001)/MAX(1,SUM($H$2:$H$5001)),"")</f>
        <v/>
      </c>
      <c r="M4637" s="47" t="str">
        <f aca="false">IF($A4637="","",INDEX($L$2:$L$5001,MATCH($A4637,$A$2:$A$5001,0)))</f>
        <v/>
      </c>
      <c r="N4637" s="48" t="str">
        <f aca="false">IF($A4637="","",IF(N(M4637)=0,"–",IF(M4637&lt;=Start!$D$20,"A",IF(M4637&lt;=Start!$D$21,"B","C"))))</f>
        <v/>
      </c>
      <c r="O4637" s="48" t="str">
        <f aca="false">IF($A4637="","",IF(NOT(ISNUMBER(F4637)),"Wert fehlt; ",IF(F4637&lt;=0,"Wert ist 0; ",""))&amp;IF(NOT(ISNUMBER(E4637)),"Bestand fehlt; ",IF(E4637&lt;0,"Bestand negativ; ",IF(E4637=0,"Nullbestand; ","")))&amp;IF(D4637="","Warengruppe fehlt; ","")&amp;IF(B4637="","Bezeichnung fehlt; ","")&amp;IF(COUNTIFS($A$2:$A$5001,$A4637,$C$2:$C$5001,C4637)&gt;1,"Artikel doppelt im selben Lager; ",""))</f>
        <v/>
      </c>
      <c r="P4637" s="47" t="n">
        <f aca="false">IF(OR($A4637="",D4637=""),0,IF(COUNTIF($D$2:D4637,D4637)=1,SUMIF($D$2:$D$5001,D4637,$H$2:$H$5001)+ROW()/10000000,0))</f>
        <v>0</v>
      </c>
      <c r="Q4637" s="47" t="n">
        <f aca="false">IF(OR($A4637="",C4637=""),0,IF(COUNTIF($C$2:C4637,C4637)=1,SUMIF($C$2:$C$5001,C4637,$H$2:$H$5001)+ROW()/10000000,0))</f>
        <v>0</v>
      </c>
    </row>
    <row r="4638" customFormat="false" ht="15" hidden="false" customHeight="false" outlineLevel="0" collapsed="false">
      <c r="A4638" s="43"/>
      <c r="B4638" s="44"/>
      <c r="C4638" s="44"/>
      <c r="D4638" s="44"/>
      <c r="E4638" s="44"/>
      <c r="F4638" s="44"/>
      <c r="G4638" s="44"/>
      <c r="H4638" s="46" t="str">
        <f aca="false">IF($A4638="","",IF(OR(NOT(ISNUMBER(E4638)),NOT(ISNUMBER(F4638))),"",MAX(0,E4638)*F4638))</f>
        <v/>
      </c>
      <c r="I4638" s="46" t="str">
        <f aca="false">IF($A4638="","",SUMIF($A$2:$A$5001,$A4638,$H$2:$H$5001))</f>
        <v/>
      </c>
      <c r="J4638" s="47" t="n">
        <f aca="false">IF($A4638="",0,IF(COUNTIF($A$2:A4638,$A4638)=1,1,0))</f>
        <v>0</v>
      </c>
      <c r="K4638" s="47" t="n">
        <f aca="false">IF(J4638=1,N(I4638)+ROW()/10000000,0)</f>
        <v>0</v>
      </c>
      <c r="L4638" s="47" t="str">
        <f aca="false">IF(AND(J4638=1,N(I4638)&gt;0),SUMIF($K$2:$K$5001,"&gt;="&amp;K4638,$I$2:$I$5001)/MAX(1,SUM($H$2:$H$5001)),"")</f>
        <v/>
      </c>
      <c r="M4638" s="47" t="str">
        <f aca="false">IF($A4638="","",INDEX($L$2:$L$5001,MATCH($A4638,$A$2:$A$5001,0)))</f>
        <v/>
      </c>
      <c r="N4638" s="48" t="str">
        <f aca="false">IF($A4638="","",IF(N(M4638)=0,"–",IF(M4638&lt;=Start!$D$20,"A",IF(M4638&lt;=Start!$D$21,"B","C"))))</f>
        <v/>
      </c>
      <c r="O4638" s="48" t="str">
        <f aca="false">IF($A4638="","",IF(NOT(ISNUMBER(F4638)),"Wert fehlt; ",IF(F4638&lt;=0,"Wert ist 0; ",""))&amp;IF(NOT(ISNUMBER(E4638)),"Bestand fehlt; ",IF(E4638&lt;0,"Bestand negativ; ",IF(E4638=0,"Nullbestand; ","")))&amp;IF(D4638="","Warengruppe fehlt; ","")&amp;IF(B4638="","Bezeichnung fehlt; ","")&amp;IF(COUNTIFS($A$2:$A$5001,$A4638,$C$2:$C$5001,C4638)&gt;1,"Artikel doppelt im selben Lager; ",""))</f>
        <v/>
      </c>
      <c r="P4638" s="47" t="n">
        <f aca="false">IF(OR($A4638="",D4638=""),0,IF(COUNTIF($D$2:D4638,D4638)=1,SUMIF($D$2:$D$5001,D4638,$H$2:$H$5001)+ROW()/10000000,0))</f>
        <v>0</v>
      </c>
      <c r="Q4638" s="47" t="n">
        <f aca="false">IF(OR($A4638="",C4638=""),0,IF(COUNTIF($C$2:C4638,C4638)=1,SUMIF($C$2:$C$5001,C4638,$H$2:$H$5001)+ROW()/10000000,0))</f>
        <v>0</v>
      </c>
    </row>
    <row r="4639" customFormat="false" ht="15" hidden="false" customHeight="false" outlineLevel="0" collapsed="false">
      <c r="A4639" s="43"/>
      <c r="B4639" s="44"/>
      <c r="C4639" s="44"/>
      <c r="D4639" s="44"/>
      <c r="E4639" s="44"/>
      <c r="F4639" s="44"/>
      <c r="G4639" s="44"/>
      <c r="H4639" s="46" t="str">
        <f aca="false">IF($A4639="","",IF(OR(NOT(ISNUMBER(E4639)),NOT(ISNUMBER(F4639))),"",MAX(0,E4639)*F4639))</f>
        <v/>
      </c>
      <c r="I4639" s="46" t="str">
        <f aca="false">IF($A4639="","",SUMIF($A$2:$A$5001,$A4639,$H$2:$H$5001))</f>
        <v/>
      </c>
      <c r="J4639" s="47" t="n">
        <f aca="false">IF($A4639="",0,IF(COUNTIF($A$2:A4639,$A4639)=1,1,0))</f>
        <v>0</v>
      </c>
      <c r="K4639" s="47" t="n">
        <f aca="false">IF(J4639=1,N(I4639)+ROW()/10000000,0)</f>
        <v>0</v>
      </c>
      <c r="L4639" s="47" t="str">
        <f aca="false">IF(AND(J4639=1,N(I4639)&gt;0),SUMIF($K$2:$K$5001,"&gt;="&amp;K4639,$I$2:$I$5001)/MAX(1,SUM($H$2:$H$5001)),"")</f>
        <v/>
      </c>
      <c r="M4639" s="47" t="str">
        <f aca="false">IF($A4639="","",INDEX($L$2:$L$5001,MATCH($A4639,$A$2:$A$5001,0)))</f>
        <v/>
      </c>
      <c r="N4639" s="48" t="str">
        <f aca="false">IF($A4639="","",IF(N(M4639)=0,"–",IF(M4639&lt;=Start!$D$20,"A",IF(M4639&lt;=Start!$D$21,"B","C"))))</f>
        <v/>
      </c>
      <c r="O4639" s="48" t="str">
        <f aca="false">IF($A4639="","",IF(NOT(ISNUMBER(F4639)),"Wert fehlt; ",IF(F4639&lt;=0,"Wert ist 0; ",""))&amp;IF(NOT(ISNUMBER(E4639)),"Bestand fehlt; ",IF(E4639&lt;0,"Bestand negativ; ",IF(E4639=0,"Nullbestand; ","")))&amp;IF(D4639="","Warengruppe fehlt; ","")&amp;IF(B4639="","Bezeichnung fehlt; ","")&amp;IF(COUNTIFS($A$2:$A$5001,$A4639,$C$2:$C$5001,C4639)&gt;1,"Artikel doppelt im selben Lager; ",""))</f>
        <v/>
      </c>
      <c r="P4639" s="47" t="n">
        <f aca="false">IF(OR($A4639="",D4639=""),0,IF(COUNTIF($D$2:D4639,D4639)=1,SUMIF($D$2:$D$5001,D4639,$H$2:$H$5001)+ROW()/10000000,0))</f>
        <v>0</v>
      </c>
      <c r="Q4639" s="47" t="n">
        <f aca="false">IF(OR($A4639="",C4639=""),0,IF(COUNTIF($C$2:C4639,C4639)=1,SUMIF($C$2:$C$5001,C4639,$H$2:$H$5001)+ROW()/10000000,0))</f>
        <v>0</v>
      </c>
    </row>
    <row r="4640" customFormat="false" ht="15" hidden="false" customHeight="false" outlineLevel="0" collapsed="false">
      <c r="A4640" s="43"/>
      <c r="B4640" s="44"/>
      <c r="C4640" s="44"/>
      <c r="D4640" s="44"/>
      <c r="E4640" s="44"/>
      <c r="F4640" s="44"/>
      <c r="G4640" s="44"/>
      <c r="H4640" s="46" t="str">
        <f aca="false">IF($A4640="","",IF(OR(NOT(ISNUMBER(E4640)),NOT(ISNUMBER(F4640))),"",MAX(0,E4640)*F4640))</f>
        <v/>
      </c>
      <c r="I4640" s="46" t="str">
        <f aca="false">IF($A4640="","",SUMIF($A$2:$A$5001,$A4640,$H$2:$H$5001))</f>
        <v/>
      </c>
      <c r="J4640" s="47" t="n">
        <f aca="false">IF($A4640="",0,IF(COUNTIF($A$2:A4640,$A4640)=1,1,0))</f>
        <v>0</v>
      </c>
      <c r="K4640" s="47" t="n">
        <f aca="false">IF(J4640=1,N(I4640)+ROW()/10000000,0)</f>
        <v>0</v>
      </c>
      <c r="L4640" s="47" t="str">
        <f aca="false">IF(AND(J4640=1,N(I4640)&gt;0),SUMIF($K$2:$K$5001,"&gt;="&amp;K4640,$I$2:$I$5001)/MAX(1,SUM($H$2:$H$5001)),"")</f>
        <v/>
      </c>
      <c r="M4640" s="47" t="str">
        <f aca="false">IF($A4640="","",INDEX($L$2:$L$5001,MATCH($A4640,$A$2:$A$5001,0)))</f>
        <v/>
      </c>
      <c r="N4640" s="48" t="str">
        <f aca="false">IF($A4640="","",IF(N(M4640)=0,"–",IF(M4640&lt;=Start!$D$20,"A",IF(M4640&lt;=Start!$D$21,"B","C"))))</f>
        <v/>
      </c>
      <c r="O4640" s="48" t="str">
        <f aca="false">IF($A4640="","",IF(NOT(ISNUMBER(F4640)),"Wert fehlt; ",IF(F4640&lt;=0,"Wert ist 0; ",""))&amp;IF(NOT(ISNUMBER(E4640)),"Bestand fehlt; ",IF(E4640&lt;0,"Bestand negativ; ",IF(E4640=0,"Nullbestand; ","")))&amp;IF(D4640="","Warengruppe fehlt; ","")&amp;IF(B4640="","Bezeichnung fehlt; ","")&amp;IF(COUNTIFS($A$2:$A$5001,$A4640,$C$2:$C$5001,C4640)&gt;1,"Artikel doppelt im selben Lager; ",""))</f>
        <v/>
      </c>
      <c r="P4640" s="47" t="n">
        <f aca="false">IF(OR($A4640="",D4640=""),0,IF(COUNTIF($D$2:D4640,D4640)=1,SUMIF($D$2:$D$5001,D4640,$H$2:$H$5001)+ROW()/10000000,0))</f>
        <v>0</v>
      </c>
      <c r="Q4640" s="47" t="n">
        <f aca="false">IF(OR($A4640="",C4640=""),0,IF(COUNTIF($C$2:C4640,C4640)=1,SUMIF($C$2:$C$5001,C4640,$H$2:$H$5001)+ROW()/10000000,0))</f>
        <v>0</v>
      </c>
    </row>
    <row r="4641" customFormat="false" ht="15" hidden="false" customHeight="false" outlineLevel="0" collapsed="false">
      <c r="A4641" s="43"/>
      <c r="B4641" s="44"/>
      <c r="C4641" s="44"/>
      <c r="D4641" s="44"/>
      <c r="E4641" s="44"/>
      <c r="F4641" s="44"/>
      <c r="G4641" s="44"/>
      <c r="H4641" s="46" t="str">
        <f aca="false">IF($A4641="","",IF(OR(NOT(ISNUMBER(E4641)),NOT(ISNUMBER(F4641))),"",MAX(0,E4641)*F4641))</f>
        <v/>
      </c>
      <c r="I4641" s="46" t="str">
        <f aca="false">IF($A4641="","",SUMIF($A$2:$A$5001,$A4641,$H$2:$H$5001))</f>
        <v/>
      </c>
      <c r="J4641" s="47" t="n">
        <f aca="false">IF($A4641="",0,IF(COUNTIF($A$2:A4641,$A4641)=1,1,0))</f>
        <v>0</v>
      </c>
      <c r="K4641" s="47" t="n">
        <f aca="false">IF(J4641=1,N(I4641)+ROW()/10000000,0)</f>
        <v>0</v>
      </c>
      <c r="L4641" s="47" t="str">
        <f aca="false">IF(AND(J4641=1,N(I4641)&gt;0),SUMIF($K$2:$K$5001,"&gt;="&amp;K4641,$I$2:$I$5001)/MAX(1,SUM($H$2:$H$5001)),"")</f>
        <v/>
      </c>
      <c r="M4641" s="47" t="str">
        <f aca="false">IF($A4641="","",INDEX($L$2:$L$5001,MATCH($A4641,$A$2:$A$5001,0)))</f>
        <v/>
      </c>
      <c r="N4641" s="48" t="str">
        <f aca="false">IF($A4641="","",IF(N(M4641)=0,"–",IF(M4641&lt;=Start!$D$20,"A",IF(M4641&lt;=Start!$D$21,"B","C"))))</f>
        <v/>
      </c>
      <c r="O4641" s="48" t="str">
        <f aca="false">IF($A4641="","",IF(NOT(ISNUMBER(F4641)),"Wert fehlt; ",IF(F4641&lt;=0,"Wert ist 0; ",""))&amp;IF(NOT(ISNUMBER(E4641)),"Bestand fehlt; ",IF(E4641&lt;0,"Bestand negativ; ",IF(E4641=0,"Nullbestand; ","")))&amp;IF(D4641="","Warengruppe fehlt; ","")&amp;IF(B4641="","Bezeichnung fehlt; ","")&amp;IF(COUNTIFS($A$2:$A$5001,$A4641,$C$2:$C$5001,C4641)&gt;1,"Artikel doppelt im selben Lager; ",""))</f>
        <v/>
      </c>
      <c r="P4641" s="47" t="n">
        <f aca="false">IF(OR($A4641="",D4641=""),0,IF(COUNTIF($D$2:D4641,D4641)=1,SUMIF($D$2:$D$5001,D4641,$H$2:$H$5001)+ROW()/10000000,0))</f>
        <v>0</v>
      </c>
      <c r="Q4641" s="47" t="n">
        <f aca="false">IF(OR($A4641="",C4641=""),0,IF(COUNTIF($C$2:C4641,C4641)=1,SUMIF($C$2:$C$5001,C4641,$H$2:$H$5001)+ROW()/10000000,0))</f>
        <v>0</v>
      </c>
    </row>
    <row r="4642" customFormat="false" ht="15" hidden="false" customHeight="false" outlineLevel="0" collapsed="false">
      <c r="A4642" s="43"/>
      <c r="B4642" s="44"/>
      <c r="C4642" s="44"/>
      <c r="D4642" s="44"/>
      <c r="E4642" s="44"/>
      <c r="F4642" s="44"/>
      <c r="G4642" s="44"/>
      <c r="H4642" s="46" t="str">
        <f aca="false">IF($A4642="","",IF(OR(NOT(ISNUMBER(E4642)),NOT(ISNUMBER(F4642))),"",MAX(0,E4642)*F4642))</f>
        <v/>
      </c>
      <c r="I4642" s="46" t="str">
        <f aca="false">IF($A4642="","",SUMIF($A$2:$A$5001,$A4642,$H$2:$H$5001))</f>
        <v/>
      </c>
      <c r="J4642" s="47" t="n">
        <f aca="false">IF($A4642="",0,IF(COUNTIF($A$2:A4642,$A4642)=1,1,0))</f>
        <v>0</v>
      </c>
      <c r="K4642" s="47" t="n">
        <f aca="false">IF(J4642=1,N(I4642)+ROW()/10000000,0)</f>
        <v>0</v>
      </c>
      <c r="L4642" s="47" t="str">
        <f aca="false">IF(AND(J4642=1,N(I4642)&gt;0),SUMIF($K$2:$K$5001,"&gt;="&amp;K4642,$I$2:$I$5001)/MAX(1,SUM($H$2:$H$5001)),"")</f>
        <v/>
      </c>
      <c r="M4642" s="47" t="str">
        <f aca="false">IF($A4642="","",INDEX($L$2:$L$5001,MATCH($A4642,$A$2:$A$5001,0)))</f>
        <v/>
      </c>
      <c r="N4642" s="48" t="str">
        <f aca="false">IF($A4642="","",IF(N(M4642)=0,"–",IF(M4642&lt;=Start!$D$20,"A",IF(M4642&lt;=Start!$D$21,"B","C"))))</f>
        <v/>
      </c>
      <c r="O4642" s="48" t="str">
        <f aca="false">IF($A4642="","",IF(NOT(ISNUMBER(F4642)),"Wert fehlt; ",IF(F4642&lt;=0,"Wert ist 0; ",""))&amp;IF(NOT(ISNUMBER(E4642)),"Bestand fehlt; ",IF(E4642&lt;0,"Bestand negativ; ",IF(E4642=0,"Nullbestand; ","")))&amp;IF(D4642="","Warengruppe fehlt; ","")&amp;IF(B4642="","Bezeichnung fehlt; ","")&amp;IF(COUNTIFS($A$2:$A$5001,$A4642,$C$2:$C$5001,C4642)&gt;1,"Artikel doppelt im selben Lager; ",""))</f>
        <v/>
      </c>
      <c r="P4642" s="47" t="n">
        <f aca="false">IF(OR($A4642="",D4642=""),0,IF(COUNTIF($D$2:D4642,D4642)=1,SUMIF($D$2:$D$5001,D4642,$H$2:$H$5001)+ROW()/10000000,0))</f>
        <v>0</v>
      </c>
      <c r="Q4642" s="47" t="n">
        <f aca="false">IF(OR($A4642="",C4642=""),0,IF(COUNTIF($C$2:C4642,C4642)=1,SUMIF($C$2:$C$5001,C4642,$H$2:$H$5001)+ROW()/10000000,0))</f>
        <v>0</v>
      </c>
    </row>
    <row r="4643" customFormat="false" ht="15" hidden="false" customHeight="false" outlineLevel="0" collapsed="false">
      <c r="A4643" s="43"/>
      <c r="B4643" s="44"/>
      <c r="C4643" s="44"/>
      <c r="D4643" s="44"/>
      <c r="E4643" s="44"/>
      <c r="F4643" s="44"/>
      <c r="G4643" s="44"/>
      <c r="H4643" s="46" t="str">
        <f aca="false">IF($A4643="","",IF(OR(NOT(ISNUMBER(E4643)),NOT(ISNUMBER(F4643))),"",MAX(0,E4643)*F4643))</f>
        <v/>
      </c>
      <c r="I4643" s="46" t="str">
        <f aca="false">IF($A4643="","",SUMIF($A$2:$A$5001,$A4643,$H$2:$H$5001))</f>
        <v/>
      </c>
      <c r="J4643" s="47" t="n">
        <f aca="false">IF($A4643="",0,IF(COUNTIF($A$2:A4643,$A4643)=1,1,0))</f>
        <v>0</v>
      </c>
      <c r="K4643" s="47" t="n">
        <f aca="false">IF(J4643=1,N(I4643)+ROW()/10000000,0)</f>
        <v>0</v>
      </c>
      <c r="L4643" s="47" t="str">
        <f aca="false">IF(AND(J4643=1,N(I4643)&gt;0),SUMIF($K$2:$K$5001,"&gt;="&amp;K4643,$I$2:$I$5001)/MAX(1,SUM($H$2:$H$5001)),"")</f>
        <v/>
      </c>
      <c r="M4643" s="47" t="str">
        <f aca="false">IF($A4643="","",INDEX($L$2:$L$5001,MATCH($A4643,$A$2:$A$5001,0)))</f>
        <v/>
      </c>
      <c r="N4643" s="48" t="str">
        <f aca="false">IF($A4643="","",IF(N(M4643)=0,"–",IF(M4643&lt;=Start!$D$20,"A",IF(M4643&lt;=Start!$D$21,"B","C"))))</f>
        <v/>
      </c>
      <c r="O4643" s="48" t="str">
        <f aca="false">IF($A4643="","",IF(NOT(ISNUMBER(F4643)),"Wert fehlt; ",IF(F4643&lt;=0,"Wert ist 0; ",""))&amp;IF(NOT(ISNUMBER(E4643)),"Bestand fehlt; ",IF(E4643&lt;0,"Bestand negativ; ",IF(E4643=0,"Nullbestand; ","")))&amp;IF(D4643="","Warengruppe fehlt; ","")&amp;IF(B4643="","Bezeichnung fehlt; ","")&amp;IF(COUNTIFS($A$2:$A$5001,$A4643,$C$2:$C$5001,C4643)&gt;1,"Artikel doppelt im selben Lager; ",""))</f>
        <v/>
      </c>
      <c r="P4643" s="47" t="n">
        <f aca="false">IF(OR($A4643="",D4643=""),0,IF(COUNTIF($D$2:D4643,D4643)=1,SUMIF($D$2:$D$5001,D4643,$H$2:$H$5001)+ROW()/10000000,0))</f>
        <v>0</v>
      </c>
      <c r="Q4643" s="47" t="n">
        <f aca="false">IF(OR($A4643="",C4643=""),0,IF(COUNTIF($C$2:C4643,C4643)=1,SUMIF($C$2:$C$5001,C4643,$H$2:$H$5001)+ROW()/10000000,0))</f>
        <v>0</v>
      </c>
    </row>
    <row r="4644" customFormat="false" ht="15" hidden="false" customHeight="false" outlineLevel="0" collapsed="false">
      <c r="A4644" s="43"/>
      <c r="B4644" s="44"/>
      <c r="C4644" s="44"/>
      <c r="D4644" s="44"/>
      <c r="E4644" s="44"/>
      <c r="F4644" s="44"/>
      <c r="G4644" s="44"/>
      <c r="H4644" s="46" t="str">
        <f aca="false">IF($A4644="","",IF(OR(NOT(ISNUMBER(E4644)),NOT(ISNUMBER(F4644))),"",MAX(0,E4644)*F4644))</f>
        <v/>
      </c>
      <c r="I4644" s="46" t="str">
        <f aca="false">IF($A4644="","",SUMIF($A$2:$A$5001,$A4644,$H$2:$H$5001))</f>
        <v/>
      </c>
      <c r="J4644" s="47" t="n">
        <f aca="false">IF($A4644="",0,IF(COUNTIF($A$2:A4644,$A4644)=1,1,0))</f>
        <v>0</v>
      </c>
      <c r="K4644" s="47" t="n">
        <f aca="false">IF(J4644=1,N(I4644)+ROW()/10000000,0)</f>
        <v>0</v>
      </c>
      <c r="L4644" s="47" t="str">
        <f aca="false">IF(AND(J4644=1,N(I4644)&gt;0),SUMIF($K$2:$K$5001,"&gt;="&amp;K4644,$I$2:$I$5001)/MAX(1,SUM($H$2:$H$5001)),"")</f>
        <v/>
      </c>
      <c r="M4644" s="47" t="str">
        <f aca="false">IF($A4644="","",INDEX($L$2:$L$5001,MATCH($A4644,$A$2:$A$5001,0)))</f>
        <v/>
      </c>
      <c r="N4644" s="48" t="str">
        <f aca="false">IF($A4644="","",IF(N(M4644)=0,"–",IF(M4644&lt;=Start!$D$20,"A",IF(M4644&lt;=Start!$D$21,"B","C"))))</f>
        <v/>
      </c>
      <c r="O4644" s="48" t="str">
        <f aca="false">IF($A4644="","",IF(NOT(ISNUMBER(F4644)),"Wert fehlt; ",IF(F4644&lt;=0,"Wert ist 0; ",""))&amp;IF(NOT(ISNUMBER(E4644)),"Bestand fehlt; ",IF(E4644&lt;0,"Bestand negativ; ",IF(E4644=0,"Nullbestand; ","")))&amp;IF(D4644="","Warengruppe fehlt; ","")&amp;IF(B4644="","Bezeichnung fehlt; ","")&amp;IF(COUNTIFS($A$2:$A$5001,$A4644,$C$2:$C$5001,C4644)&gt;1,"Artikel doppelt im selben Lager; ",""))</f>
        <v/>
      </c>
      <c r="P4644" s="47" t="n">
        <f aca="false">IF(OR($A4644="",D4644=""),0,IF(COUNTIF($D$2:D4644,D4644)=1,SUMIF($D$2:$D$5001,D4644,$H$2:$H$5001)+ROW()/10000000,0))</f>
        <v>0</v>
      </c>
      <c r="Q4644" s="47" t="n">
        <f aca="false">IF(OR($A4644="",C4644=""),0,IF(COUNTIF($C$2:C4644,C4644)=1,SUMIF($C$2:$C$5001,C4644,$H$2:$H$5001)+ROW()/10000000,0))</f>
        <v>0</v>
      </c>
    </row>
    <row r="4645" customFormat="false" ht="15" hidden="false" customHeight="false" outlineLevel="0" collapsed="false">
      <c r="A4645" s="43"/>
      <c r="B4645" s="44"/>
      <c r="C4645" s="44"/>
      <c r="D4645" s="44"/>
      <c r="E4645" s="44"/>
      <c r="F4645" s="44"/>
      <c r="G4645" s="44"/>
      <c r="H4645" s="46" t="str">
        <f aca="false">IF($A4645="","",IF(OR(NOT(ISNUMBER(E4645)),NOT(ISNUMBER(F4645))),"",MAX(0,E4645)*F4645))</f>
        <v/>
      </c>
      <c r="I4645" s="46" t="str">
        <f aca="false">IF($A4645="","",SUMIF($A$2:$A$5001,$A4645,$H$2:$H$5001))</f>
        <v/>
      </c>
      <c r="J4645" s="47" t="n">
        <f aca="false">IF($A4645="",0,IF(COUNTIF($A$2:A4645,$A4645)=1,1,0))</f>
        <v>0</v>
      </c>
      <c r="K4645" s="47" t="n">
        <f aca="false">IF(J4645=1,N(I4645)+ROW()/10000000,0)</f>
        <v>0</v>
      </c>
      <c r="L4645" s="47" t="str">
        <f aca="false">IF(AND(J4645=1,N(I4645)&gt;0),SUMIF($K$2:$K$5001,"&gt;="&amp;K4645,$I$2:$I$5001)/MAX(1,SUM($H$2:$H$5001)),"")</f>
        <v/>
      </c>
      <c r="M4645" s="47" t="str">
        <f aca="false">IF($A4645="","",INDEX($L$2:$L$5001,MATCH($A4645,$A$2:$A$5001,0)))</f>
        <v/>
      </c>
      <c r="N4645" s="48" t="str">
        <f aca="false">IF($A4645="","",IF(N(M4645)=0,"–",IF(M4645&lt;=Start!$D$20,"A",IF(M4645&lt;=Start!$D$21,"B","C"))))</f>
        <v/>
      </c>
      <c r="O4645" s="48" t="str">
        <f aca="false">IF($A4645="","",IF(NOT(ISNUMBER(F4645)),"Wert fehlt; ",IF(F4645&lt;=0,"Wert ist 0; ",""))&amp;IF(NOT(ISNUMBER(E4645)),"Bestand fehlt; ",IF(E4645&lt;0,"Bestand negativ; ",IF(E4645=0,"Nullbestand; ","")))&amp;IF(D4645="","Warengruppe fehlt; ","")&amp;IF(B4645="","Bezeichnung fehlt; ","")&amp;IF(COUNTIFS($A$2:$A$5001,$A4645,$C$2:$C$5001,C4645)&gt;1,"Artikel doppelt im selben Lager; ",""))</f>
        <v/>
      </c>
      <c r="P4645" s="47" t="n">
        <f aca="false">IF(OR($A4645="",D4645=""),0,IF(COUNTIF($D$2:D4645,D4645)=1,SUMIF($D$2:$D$5001,D4645,$H$2:$H$5001)+ROW()/10000000,0))</f>
        <v>0</v>
      </c>
      <c r="Q4645" s="47" t="n">
        <f aca="false">IF(OR($A4645="",C4645=""),0,IF(COUNTIF($C$2:C4645,C4645)=1,SUMIF($C$2:$C$5001,C4645,$H$2:$H$5001)+ROW()/10000000,0))</f>
        <v>0</v>
      </c>
    </row>
    <row r="4646" customFormat="false" ht="15" hidden="false" customHeight="false" outlineLevel="0" collapsed="false">
      <c r="A4646" s="43"/>
      <c r="B4646" s="44"/>
      <c r="C4646" s="44"/>
      <c r="D4646" s="44"/>
      <c r="E4646" s="44"/>
      <c r="F4646" s="44"/>
      <c r="G4646" s="44"/>
      <c r="H4646" s="46" t="str">
        <f aca="false">IF($A4646="","",IF(OR(NOT(ISNUMBER(E4646)),NOT(ISNUMBER(F4646))),"",MAX(0,E4646)*F4646))</f>
        <v/>
      </c>
      <c r="I4646" s="46" t="str">
        <f aca="false">IF($A4646="","",SUMIF($A$2:$A$5001,$A4646,$H$2:$H$5001))</f>
        <v/>
      </c>
      <c r="J4646" s="47" t="n">
        <f aca="false">IF($A4646="",0,IF(COUNTIF($A$2:A4646,$A4646)=1,1,0))</f>
        <v>0</v>
      </c>
      <c r="K4646" s="47" t="n">
        <f aca="false">IF(J4646=1,N(I4646)+ROW()/10000000,0)</f>
        <v>0</v>
      </c>
      <c r="L4646" s="47" t="str">
        <f aca="false">IF(AND(J4646=1,N(I4646)&gt;0),SUMIF($K$2:$K$5001,"&gt;="&amp;K4646,$I$2:$I$5001)/MAX(1,SUM($H$2:$H$5001)),"")</f>
        <v/>
      </c>
      <c r="M4646" s="47" t="str">
        <f aca="false">IF($A4646="","",INDEX($L$2:$L$5001,MATCH($A4646,$A$2:$A$5001,0)))</f>
        <v/>
      </c>
      <c r="N4646" s="48" t="str">
        <f aca="false">IF($A4646="","",IF(N(M4646)=0,"–",IF(M4646&lt;=Start!$D$20,"A",IF(M4646&lt;=Start!$D$21,"B","C"))))</f>
        <v/>
      </c>
      <c r="O4646" s="48" t="str">
        <f aca="false">IF($A4646="","",IF(NOT(ISNUMBER(F4646)),"Wert fehlt; ",IF(F4646&lt;=0,"Wert ist 0; ",""))&amp;IF(NOT(ISNUMBER(E4646)),"Bestand fehlt; ",IF(E4646&lt;0,"Bestand negativ; ",IF(E4646=0,"Nullbestand; ","")))&amp;IF(D4646="","Warengruppe fehlt; ","")&amp;IF(B4646="","Bezeichnung fehlt; ","")&amp;IF(COUNTIFS($A$2:$A$5001,$A4646,$C$2:$C$5001,C4646)&gt;1,"Artikel doppelt im selben Lager; ",""))</f>
        <v/>
      </c>
      <c r="P4646" s="47" t="n">
        <f aca="false">IF(OR($A4646="",D4646=""),0,IF(COUNTIF($D$2:D4646,D4646)=1,SUMIF($D$2:$D$5001,D4646,$H$2:$H$5001)+ROW()/10000000,0))</f>
        <v>0</v>
      </c>
      <c r="Q4646" s="47" t="n">
        <f aca="false">IF(OR($A4646="",C4646=""),0,IF(COUNTIF($C$2:C4646,C4646)=1,SUMIF($C$2:$C$5001,C4646,$H$2:$H$5001)+ROW()/10000000,0))</f>
        <v>0</v>
      </c>
    </row>
    <row r="4647" customFormat="false" ht="15" hidden="false" customHeight="false" outlineLevel="0" collapsed="false">
      <c r="A4647" s="43"/>
      <c r="B4647" s="44"/>
      <c r="C4647" s="44"/>
      <c r="D4647" s="44"/>
      <c r="E4647" s="44"/>
      <c r="F4647" s="44"/>
      <c r="G4647" s="44"/>
      <c r="H4647" s="46" t="str">
        <f aca="false">IF($A4647="","",IF(OR(NOT(ISNUMBER(E4647)),NOT(ISNUMBER(F4647))),"",MAX(0,E4647)*F4647))</f>
        <v/>
      </c>
      <c r="I4647" s="46" t="str">
        <f aca="false">IF($A4647="","",SUMIF($A$2:$A$5001,$A4647,$H$2:$H$5001))</f>
        <v/>
      </c>
      <c r="J4647" s="47" t="n">
        <f aca="false">IF($A4647="",0,IF(COUNTIF($A$2:A4647,$A4647)=1,1,0))</f>
        <v>0</v>
      </c>
      <c r="K4647" s="47" t="n">
        <f aca="false">IF(J4647=1,N(I4647)+ROW()/10000000,0)</f>
        <v>0</v>
      </c>
      <c r="L4647" s="47" t="str">
        <f aca="false">IF(AND(J4647=1,N(I4647)&gt;0),SUMIF($K$2:$K$5001,"&gt;="&amp;K4647,$I$2:$I$5001)/MAX(1,SUM($H$2:$H$5001)),"")</f>
        <v/>
      </c>
      <c r="M4647" s="47" t="str">
        <f aca="false">IF($A4647="","",INDEX($L$2:$L$5001,MATCH($A4647,$A$2:$A$5001,0)))</f>
        <v/>
      </c>
      <c r="N4647" s="48" t="str">
        <f aca="false">IF($A4647="","",IF(N(M4647)=0,"–",IF(M4647&lt;=Start!$D$20,"A",IF(M4647&lt;=Start!$D$21,"B","C"))))</f>
        <v/>
      </c>
      <c r="O4647" s="48" t="str">
        <f aca="false">IF($A4647="","",IF(NOT(ISNUMBER(F4647)),"Wert fehlt; ",IF(F4647&lt;=0,"Wert ist 0; ",""))&amp;IF(NOT(ISNUMBER(E4647)),"Bestand fehlt; ",IF(E4647&lt;0,"Bestand negativ; ",IF(E4647=0,"Nullbestand; ","")))&amp;IF(D4647="","Warengruppe fehlt; ","")&amp;IF(B4647="","Bezeichnung fehlt; ","")&amp;IF(COUNTIFS($A$2:$A$5001,$A4647,$C$2:$C$5001,C4647)&gt;1,"Artikel doppelt im selben Lager; ",""))</f>
        <v/>
      </c>
      <c r="P4647" s="47" t="n">
        <f aca="false">IF(OR($A4647="",D4647=""),0,IF(COUNTIF($D$2:D4647,D4647)=1,SUMIF($D$2:$D$5001,D4647,$H$2:$H$5001)+ROW()/10000000,0))</f>
        <v>0</v>
      </c>
      <c r="Q4647" s="47" t="n">
        <f aca="false">IF(OR($A4647="",C4647=""),0,IF(COUNTIF($C$2:C4647,C4647)=1,SUMIF($C$2:$C$5001,C4647,$H$2:$H$5001)+ROW()/10000000,0))</f>
        <v>0</v>
      </c>
    </row>
    <row r="4648" customFormat="false" ht="15" hidden="false" customHeight="false" outlineLevel="0" collapsed="false">
      <c r="A4648" s="43"/>
      <c r="B4648" s="44"/>
      <c r="C4648" s="44"/>
      <c r="D4648" s="44"/>
      <c r="E4648" s="44"/>
      <c r="F4648" s="44"/>
      <c r="G4648" s="44"/>
      <c r="H4648" s="46" t="str">
        <f aca="false">IF($A4648="","",IF(OR(NOT(ISNUMBER(E4648)),NOT(ISNUMBER(F4648))),"",MAX(0,E4648)*F4648))</f>
        <v/>
      </c>
      <c r="I4648" s="46" t="str">
        <f aca="false">IF($A4648="","",SUMIF($A$2:$A$5001,$A4648,$H$2:$H$5001))</f>
        <v/>
      </c>
      <c r="J4648" s="47" t="n">
        <f aca="false">IF($A4648="",0,IF(COUNTIF($A$2:A4648,$A4648)=1,1,0))</f>
        <v>0</v>
      </c>
      <c r="K4648" s="47" t="n">
        <f aca="false">IF(J4648=1,N(I4648)+ROW()/10000000,0)</f>
        <v>0</v>
      </c>
      <c r="L4648" s="47" t="str">
        <f aca="false">IF(AND(J4648=1,N(I4648)&gt;0),SUMIF($K$2:$K$5001,"&gt;="&amp;K4648,$I$2:$I$5001)/MAX(1,SUM($H$2:$H$5001)),"")</f>
        <v/>
      </c>
      <c r="M4648" s="47" t="str">
        <f aca="false">IF($A4648="","",INDEX($L$2:$L$5001,MATCH($A4648,$A$2:$A$5001,0)))</f>
        <v/>
      </c>
      <c r="N4648" s="48" t="str">
        <f aca="false">IF($A4648="","",IF(N(M4648)=0,"–",IF(M4648&lt;=Start!$D$20,"A",IF(M4648&lt;=Start!$D$21,"B","C"))))</f>
        <v/>
      </c>
      <c r="O4648" s="48" t="str">
        <f aca="false">IF($A4648="","",IF(NOT(ISNUMBER(F4648)),"Wert fehlt; ",IF(F4648&lt;=0,"Wert ist 0; ",""))&amp;IF(NOT(ISNUMBER(E4648)),"Bestand fehlt; ",IF(E4648&lt;0,"Bestand negativ; ",IF(E4648=0,"Nullbestand; ","")))&amp;IF(D4648="","Warengruppe fehlt; ","")&amp;IF(B4648="","Bezeichnung fehlt; ","")&amp;IF(COUNTIFS($A$2:$A$5001,$A4648,$C$2:$C$5001,C4648)&gt;1,"Artikel doppelt im selben Lager; ",""))</f>
        <v/>
      </c>
      <c r="P4648" s="47" t="n">
        <f aca="false">IF(OR($A4648="",D4648=""),0,IF(COUNTIF($D$2:D4648,D4648)=1,SUMIF($D$2:$D$5001,D4648,$H$2:$H$5001)+ROW()/10000000,0))</f>
        <v>0</v>
      </c>
      <c r="Q4648" s="47" t="n">
        <f aca="false">IF(OR($A4648="",C4648=""),0,IF(COUNTIF($C$2:C4648,C4648)=1,SUMIF($C$2:$C$5001,C4648,$H$2:$H$5001)+ROW()/10000000,0))</f>
        <v>0</v>
      </c>
    </row>
    <row r="4649" customFormat="false" ht="15" hidden="false" customHeight="false" outlineLevel="0" collapsed="false">
      <c r="A4649" s="43"/>
      <c r="B4649" s="44"/>
      <c r="C4649" s="44"/>
      <c r="D4649" s="44"/>
      <c r="E4649" s="44"/>
      <c r="F4649" s="44"/>
      <c r="G4649" s="44"/>
      <c r="H4649" s="46" t="str">
        <f aca="false">IF($A4649="","",IF(OR(NOT(ISNUMBER(E4649)),NOT(ISNUMBER(F4649))),"",MAX(0,E4649)*F4649))</f>
        <v/>
      </c>
      <c r="I4649" s="46" t="str">
        <f aca="false">IF($A4649="","",SUMIF($A$2:$A$5001,$A4649,$H$2:$H$5001))</f>
        <v/>
      </c>
      <c r="J4649" s="47" t="n">
        <f aca="false">IF($A4649="",0,IF(COUNTIF($A$2:A4649,$A4649)=1,1,0))</f>
        <v>0</v>
      </c>
      <c r="K4649" s="47" t="n">
        <f aca="false">IF(J4649=1,N(I4649)+ROW()/10000000,0)</f>
        <v>0</v>
      </c>
      <c r="L4649" s="47" t="str">
        <f aca="false">IF(AND(J4649=1,N(I4649)&gt;0),SUMIF($K$2:$K$5001,"&gt;="&amp;K4649,$I$2:$I$5001)/MAX(1,SUM($H$2:$H$5001)),"")</f>
        <v/>
      </c>
      <c r="M4649" s="47" t="str">
        <f aca="false">IF($A4649="","",INDEX($L$2:$L$5001,MATCH($A4649,$A$2:$A$5001,0)))</f>
        <v/>
      </c>
      <c r="N4649" s="48" t="str">
        <f aca="false">IF($A4649="","",IF(N(M4649)=0,"–",IF(M4649&lt;=Start!$D$20,"A",IF(M4649&lt;=Start!$D$21,"B","C"))))</f>
        <v/>
      </c>
      <c r="O4649" s="48" t="str">
        <f aca="false">IF($A4649="","",IF(NOT(ISNUMBER(F4649)),"Wert fehlt; ",IF(F4649&lt;=0,"Wert ist 0; ",""))&amp;IF(NOT(ISNUMBER(E4649)),"Bestand fehlt; ",IF(E4649&lt;0,"Bestand negativ; ",IF(E4649=0,"Nullbestand; ","")))&amp;IF(D4649="","Warengruppe fehlt; ","")&amp;IF(B4649="","Bezeichnung fehlt; ","")&amp;IF(COUNTIFS($A$2:$A$5001,$A4649,$C$2:$C$5001,C4649)&gt;1,"Artikel doppelt im selben Lager; ",""))</f>
        <v/>
      </c>
      <c r="P4649" s="47" t="n">
        <f aca="false">IF(OR($A4649="",D4649=""),0,IF(COUNTIF($D$2:D4649,D4649)=1,SUMIF($D$2:$D$5001,D4649,$H$2:$H$5001)+ROW()/10000000,0))</f>
        <v>0</v>
      </c>
      <c r="Q4649" s="47" t="n">
        <f aca="false">IF(OR($A4649="",C4649=""),0,IF(COUNTIF($C$2:C4649,C4649)=1,SUMIF($C$2:$C$5001,C4649,$H$2:$H$5001)+ROW()/10000000,0))</f>
        <v>0</v>
      </c>
    </row>
    <row r="4650" customFormat="false" ht="15" hidden="false" customHeight="false" outlineLevel="0" collapsed="false">
      <c r="A4650" s="43"/>
      <c r="B4650" s="44"/>
      <c r="C4650" s="44"/>
      <c r="D4650" s="44"/>
      <c r="E4650" s="44"/>
      <c r="F4650" s="44"/>
      <c r="G4650" s="44"/>
      <c r="H4650" s="46" t="str">
        <f aca="false">IF($A4650="","",IF(OR(NOT(ISNUMBER(E4650)),NOT(ISNUMBER(F4650))),"",MAX(0,E4650)*F4650))</f>
        <v/>
      </c>
      <c r="I4650" s="46" t="str">
        <f aca="false">IF($A4650="","",SUMIF($A$2:$A$5001,$A4650,$H$2:$H$5001))</f>
        <v/>
      </c>
      <c r="J4650" s="47" t="n">
        <f aca="false">IF($A4650="",0,IF(COUNTIF($A$2:A4650,$A4650)=1,1,0))</f>
        <v>0</v>
      </c>
      <c r="K4650" s="47" t="n">
        <f aca="false">IF(J4650=1,N(I4650)+ROW()/10000000,0)</f>
        <v>0</v>
      </c>
      <c r="L4650" s="47" t="str">
        <f aca="false">IF(AND(J4650=1,N(I4650)&gt;0),SUMIF($K$2:$K$5001,"&gt;="&amp;K4650,$I$2:$I$5001)/MAX(1,SUM($H$2:$H$5001)),"")</f>
        <v/>
      </c>
      <c r="M4650" s="47" t="str">
        <f aca="false">IF($A4650="","",INDEX($L$2:$L$5001,MATCH($A4650,$A$2:$A$5001,0)))</f>
        <v/>
      </c>
      <c r="N4650" s="48" t="str">
        <f aca="false">IF($A4650="","",IF(N(M4650)=0,"–",IF(M4650&lt;=Start!$D$20,"A",IF(M4650&lt;=Start!$D$21,"B","C"))))</f>
        <v/>
      </c>
      <c r="O4650" s="48" t="str">
        <f aca="false">IF($A4650="","",IF(NOT(ISNUMBER(F4650)),"Wert fehlt; ",IF(F4650&lt;=0,"Wert ist 0; ",""))&amp;IF(NOT(ISNUMBER(E4650)),"Bestand fehlt; ",IF(E4650&lt;0,"Bestand negativ; ",IF(E4650=0,"Nullbestand; ","")))&amp;IF(D4650="","Warengruppe fehlt; ","")&amp;IF(B4650="","Bezeichnung fehlt; ","")&amp;IF(COUNTIFS($A$2:$A$5001,$A4650,$C$2:$C$5001,C4650)&gt;1,"Artikel doppelt im selben Lager; ",""))</f>
        <v/>
      </c>
      <c r="P4650" s="47" t="n">
        <f aca="false">IF(OR($A4650="",D4650=""),0,IF(COUNTIF($D$2:D4650,D4650)=1,SUMIF($D$2:$D$5001,D4650,$H$2:$H$5001)+ROW()/10000000,0))</f>
        <v>0</v>
      </c>
      <c r="Q4650" s="47" t="n">
        <f aca="false">IF(OR($A4650="",C4650=""),0,IF(COUNTIF($C$2:C4650,C4650)=1,SUMIF($C$2:$C$5001,C4650,$H$2:$H$5001)+ROW()/10000000,0))</f>
        <v>0</v>
      </c>
    </row>
    <row r="4651" customFormat="false" ht="15" hidden="false" customHeight="false" outlineLevel="0" collapsed="false">
      <c r="A4651" s="43"/>
      <c r="B4651" s="44"/>
      <c r="C4651" s="44"/>
      <c r="D4651" s="44"/>
      <c r="E4651" s="44"/>
      <c r="F4651" s="44"/>
      <c r="G4651" s="44"/>
      <c r="H4651" s="46" t="str">
        <f aca="false">IF($A4651="","",IF(OR(NOT(ISNUMBER(E4651)),NOT(ISNUMBER(F4651))),"",MAX(0,E4651)*F4651))</f>
        <v/>
      </c>
      <c r="I4651" s="46" t="str">
        <f aca="false">IF($A4651="","",SUMIF($A$2:$A$5001,$A4651,$H$2:$H$5001))</f>
        <v/>
      </c>
      <c r="J4651" s="47" t="n">
        <f aca="false">IF($A4651="",0,IF(COUNTIF($A$2:A4651,$A4651)=1,1,0))</f>
        <v>0</v>
      </c>
      <c r="K4651" s="47" t="n">
        <f aca="false">IF(J4651=1,N(I4651)+ROW()/10000000,0)</f>
        <v>0</v>
      </c>
      <c r="L4651" s="47" t="str">
        <f aca="false">IF(AND(J4651=1,N(I4651)&gt;0),SUMIF($K$2:$K$5001,"&gt;="&amp;K4651,$I$2:$I$5001)/MAX(1,SUM($H$2:$H$5001)),"")</f>
        <v/>
      </c>
      <c r="M4651" s="47" t="str">
        <f aca="false">IF($A4651="","",INDEX($L$2:$L$5001,MATCH($A4651,$A$2:$A$5001,0)))</f>
        <v/>
      </c>
      <c r="N4651" s="48" t="str">
        <f aca="false">IF($A4651="","",IF(N(M4651)=0,"–",IF(M4651&lt;=Start!$D$20,"A",IF(M4651&lt;=Start!$D$21,"B","C"))))</f>
        <v/>
      </c>
      <c r="O4651" s="48" t="str">
        <f aca="false">IF($A4651="","",IF(NOT(ISNUMBER(F4651)),"Wert fehlt; ",IF(F4651&lt;=0,"Wert ist 0; ",""))&amp;IF(NOT(ISNUMBER(E4651)),"Bestand fehlt; ",IF(E4651&lt;0,"Bestand negativ; ",IF(E4651=0,"Nullbestand; ","")))&amp;IF(D4651="","Warengruppe fehlt; ","")&amp;IF(B4651="","Bezeichnung fehlt; ","")&amp;IF(COUNTIFS($A$2:$A$5001,$A4651,$C$2:$C$5001,C4651)&gt;1,"Artikel doppelt im selben Lager; ",""))</f>
        <v/>
      </c>
      <c r="P4651" s="47" t="n">
        <f aca="false">IF(OR($A4651="",D4651=""),0,IF(COUNTIF($D$2:D4651,D4651)=1,SUMIF($D$2:$D$5001,D4651,$H$2:$H$5001)+ROW()/10000000,0))</f>
        <v>0</v>
      </c>
      <c r="Q4651" s="47" t="n">
        <f aca="false">IF(OR($A4651="",C4651=""),0,IF(COUNTIF($C$2:C4651,C4651)=1,SUMIF($C$2:$C$5001,C4651,$H$2:$H$5001)+ROW()/10000000,0))</f>
        <v>0</v>
      </c>
    </row>
    <row r="4652" customFormat="false" ht="15" hidden="false" customHeight="false" outlineLevel="0" collapsed="false">
      <c r="A4652" s="43"/>
      <c r="B4652" s="44"/>
      <c r="C4652" s="44"/>
      <c r="D4652" s="44"/>
      <c r="E4652" s="44"/>
      <c r="F4652" s="44"/>
      <c r="G4652" s="44"/>
      <c r="H4652" s="46" t="str">
        <f aca="false">IF($A4652="","",IF(OR(NOT(ISNUMBER(E4652)),NOT(ISNUMBER(F4652))),"",MAX(0,E4652)*F4652))</f>
        <v/>
      </c>
      <c r="I4652" s="46" t="str">
        <f aca="false">IF($A4652="","",SUMIF($A$2:$A$5001,$A4652,$H$2:$H$5001))</f>
        <v/>
      </c>
      <c r="J4652" s="47" t="n">
        <f aca="false">IF($A4652="",0,IF(COUNTIF($A$2:A4652,$A4652)=1,1,0))</f>
        <v>0</v>
      </c>
      <c r="K4652" s="47" t="n">
        <f aca="false">IF(J4652=1,N(I4652)+ROW()/10000000,0)</f>
        <v>0</v>
      </c>
      <c r="L4652" s="47" t="str">
        <f aca="false">IF(AND(J4652=1,N(I4652)&gt;0),SUMIF($K$2:$K$5001,"&gt;="&amp;K4652,$I$2:$I$5001)/MAX(1,SUM($H$2:$H$5001)),"")</f>
        <v/>
      </c>
      <c r="M4652" s="47" t="str">
        <f aca="false">IF($A4652="","",INDEX($L$2:$L$5001,MATCH($A4652,$A$2:$A$5001,0)))</f>
        <v/>
      </c>
      <c r="N4652" s="48" t="str">
        <f aca="false">IF($A4652="","",IF(N(M4652)=0,"–",IF(M4652&lt;=Start!$D$20,"A",IF(M4652&lt;=Start!$D$21,"B","C"))))</f>
        <v/>
      </c>
      <c r="O4652" s="48" t="str">
        <f aca="false">IF($A4652="","",IF(NOT(ISNUMBER(F4652)),"Wert fehlt; ",IF(F4652&lt;=0,"Wert ist 0; ",""))&amp;IF(NOT(ISNUMBER(E4652)),"Bestand fehlt; ",IF(E4652&lt;0,"Bestand negativ; ",IF(E4652=0,"Nullbestand; ","")))&amp;IF(D4652="","Warengruppe fehlt; ","")&amp;IF(B4652="","Bezeichnung fehlt; ","")&amp;IF(COUNTIFS($A$2:$A$5001,$A4652,$C$2:$C$5001,C4652)&gt;1,"Artikel doppelt im selben Lager; ",""))</f>
        <v/>
      </c>
      <c r="P4652" s="47" t="n">
        <f aca="false">IF(OR($A4652="",D4652=""),0,IF(COUNTIF($D$2:D4652,D4652)=1,SUMIF($D$2:$D$5001,D4652,$H$2:$H$5001)+ROW()/10000000,0))</f>
        <v>0</v>
      </c>
      <c r="Q4652" s="47" t="n">
        <f aca="false">IF(OR($A4652="",C4652=""),0,IF(COUNTIF($C$2:C4652,C4652)=1,SUMIF($C$2:$C$5001,C4652,$H$2:$H$5001)+ROW()/10000000,0))</f>
        <v>0</v>
      </c>
    </row>
    <row r="4653" customFormat="false" ht="15" hidden="false" customHeight="false" outlineLevel="0" collapsed="false">
      <c r="A4653" s="43"/>
      <c r="B4653" s="44"/>
      <c r="C4653" s="44"/>
      <c r="D4653" s="44"/>
      <c r="E4653" s="44"/>
      <c r="F4653" s="44"/>
      <c r="G4653" s="44"/>
      <c r="H4653" s="46" t="str">
        <f aca="false">IF($A4653="","",IF(OR(NOT(ISNUMBER(E4653)),NOT(ISNUMBER(F4653))),"",MAX(0,E4653)*F4653))</f>
        <v/>
      </c>
      <c r="I4653" s="46" t="str">
        <f aca="false">IF($A4653="","",SUMIF($A$2:$A$5001,$A4653,$H$2:$H$5001))</f>
        <v/>
      </c>
      <c r="J4653" s="47" t="n">
        <f aca="false">IF($A4653="",0,IF(COUNTIF($A$2:A4653,$A4653)=1,1,0))</f>
        <v>0</v>
      </c>
      <c r="K4653" s="47" t="n">
        <f aca="false">IF(J4653=1,N(I4653)+ROW()/10000000,0)</f>
        <v>0</v>
      </c>
      <c r="L4653" s="47" t="str">
        <f aca="false">IF(AND(J4653=1,N(I4653)&gt;0),SUMIF($K$2:$K$5001,"&gt;="&amp;K4653,$I$2:$I$5001)/MAX(1,SUM($H$2:$H$5001)),"")</f>
        <v/>
      </c>
      <c r="M4653" s="47" t="str">
        <f aca="false">IF($A4653="","",INDEX($L$2:$L$5001,MATCH($A4653,$A$2:$A$5001,0)))</f>
        <v/>
      </c>
      <c r="N4653" s="48" t="str">
        <f aca="false">IF($A4653="","",IF(N(M4653)=0,"–",IF(M4653&lt;=Start!$D$20,"A",IF(M4653&lt;=Start!$D$21,"B","C"))))</f>
        <v/>
      </c>
      <c r="O4653" s="48" t="str">
        <f aca="false">IF($A4653="","",IF(NOT(ISNUMBER(F4653)),"Wert fehlt; ",IF(F4653&lt;=0,"Wert ist 0; ",""))&amp;IF(NOT(ISNUMBER(E4653)),"Bestand fehlt; ",IF(E4653&lt;0,"Bestand negativ; ",IF(E4653=0,"Nullbestand; ","")))&amp;IF(D4653="","Warengruppe fehlt; ","")&amp;IF(B4653="","Bezeichnung fehlt; ","")&amp;IF(COUNTIFS($A$2:$A$5001,$A4653,$C$2:$C$5001,C4653)&gt;1,"Artikel doppelt im selben Lager; ",""))</f>
        <v/>
      </c>
      <c r="P4653" s="47" t="n">
        <f aca="false">IF(OR($A4653="",D4653=""),0,IF(COUNTIF($D$2:D4653,D4653)=1,SUMIF($D$2:$D$5001,D4653,$H$2:$H$5001)+ROW()/10000000,0))</f>
        <v>0</v>
      </c>
      <c r="Q4653" s="47" t="n">
        <f aca="false">IF(OR($A4653="",C4653=""),0,IF(COUNTIF($C$2:C4653,C4653)=1,SUMIF($C$2:$C$5001,C4653,$H$2:$H$5001)+ROW()/10000000,0))</f>
        <v>0</v>
      </c>
    </row>
    <row r="4654" customFormat="false" ht="15" hidden="false" customHeight="false" outlineLevel="0" collapsed="false">
      <c r="A4654" s="43"/>
      <c r="B4654" s="44"/>
      <c r="C4654" s="44"/>
      <c r="D4654" s="44"/>
      <c r="E4654" s="44"/>
      <c r="F4654" s="44"/>
      <c r="G4654" s="44"/>
      <c r="H4654" s="46" t="str">
        <f aca="false">IF($A4654="","",IF(OR(NOT(ISNUMBER(E4654)),NOT(ISNUMBER(F4654))),"",MAX(0,E4654)*F4654))</f>
        <v/>
      </c>
      <c r="I4654" s="46" t="str">
        <f aca="false">IF($A4654="","",SUMIF($A$2:$A$5001,$A4654,$H$2:$H$5001))</f>
        <v/>
      </c>
      <c r="J4654" s="47" t="n">
        <f aca="false">IF($A4654="",0,IF(COUNTIF($A$2:A4654,$A4654)=1,1,0))</f>
        <v>0</v>
      </c>
      <c r="K4654" s="47" t="n">
        <f aca="false">IF(J4654=1,N(I4654)+ROW()/10000000,0)</f>
        <v>0</v>
      </c>
      <c r="L4654" s="47" t="str">
        <f aca="false">IF(AND(J4654=1,N(I4654)&gt;0),SUMIF($K$2:$K$5001,"&gt;="&amp;K4654,$I$2:$I$5001)/MAX(1,SUM($H$2:$H$5001)),"")</f>
        <v/>
      </c>
      <c r="M4654" s="47" t="str">
        <f aca="false">IF($A4654="","",INDEX($L$2:$L$5001,MATCH($A4654,$A$2:$A$5001,0)))</f>
        <v/>
      </c>
      <c r="N4654" s="48" t="str">
        <f aca="false">IF($A4654="","",IF(N(M4654)=0,"–",IF(M4654&lt;=Start!$D$20,"A",IF(M4654&lt;=Start!$D$21,"B","C"))))</f>
        <v/>
      </c>
      <c r="O4654" s="48" t="str">
        <f aca="false">IF($A4654="","",IF(NOT(ISNUMBER(F4654)),"Wert fehlt; ",IF(F4654&lt;=0,"Wert ist 0; ",""))&amp;IF(NOT(ISNUMBER(E4654)),"Bestand fehlt; ",IF(E4654&lt;0,"Bestand negativ; ",IF(E4654=0,"Nullbestand; ","")))&amp;IF(D4654="","Warengruppe fehlt; ","")&amp;IF(B4654="","Bezeichnung fehlt; ","")&amp;IF(COUNTIFS($A$2:$A$5001,$A4654,$C$2:$C$5001,C4654)&gt;1,"Artikel doppelt im selben Lager; ",""))</f>
        <v/>
      </c>
      <c r="P4654" s="47" t="n">
        <f aca="false">IF(OR($A4654="",D4654=""),0,IF(COUNTIF($D$2:D4654,D4654)=1,SUMIF($D$2:$D$5001,D4654,$H$2:$H$5001)+ROW()/10000000,0))</f>
        <v>0</v>
      </c>
      <c r="Q4654" s="47" t="n">
        <f aca="false">IF(OR($A4654="",C4654=""),0,IF(COUNTIF($C$2:C4654,C4654)=1,SUMIF($C$2:$C$5001,C4654,$H$2:$H$5001)+ROW()/10000000,0))</f>
        <v>0</v>
      </c>
    </row>
    <row r="4655" customFormat="false" ht="15" hidden="false" customHeight="false" outlineLevel="0" collapsed="false">
      <c r="A4655" s="43"/>
      <c r="B4655" s="44"/>
      <c r="C4655" s="44"/>
      <c r="D4655" s="44"/>
      <c r="E4655" s="44"/>
      <c r="F4655" s="44"/>
      <c r="G4655" s="44"/>
      <c r="H4655" s="46" t="str">
        <f aca="false">IF($A4655="","",IF(OR(NOT(ISNUMBER(E4655)),NOT(ISNUMBER(F4655))),"",MAX(0,E4655)*F4655))</f>
        <v/>
      </c>
      <c r="I4655" s="46" t="str">
        <f aca="false">IF($A4655="","",SUMIF($A$2:$A$5001,$A4655,$H$2:$H$5001))</f>
        <v/>
      </c>
      <c r="J4655" s="47" t="n">
        <f aca="false">IF($A4655="",0,IF(COUNTIF($A$2:A4655,$A4655)=1,1,0))</f>
        <v>0</v>
      </c>
      <c r="K4655" s="47" t="n">
        <f aca="false">IF(J4655=1,N(I4655)+ROW()/10000000,0)</f>
        <v>0</v>
      </c>
      <c r="L4655" s="47" t="str">
        <f aca="false">IF(AND(J4655=1,N(I4655)&gt;0),SUMIF($K$2:$K$5001,"&gt;="&amp;K4655,$I$2:$I$5001)/MAX(1,SUM($H$2:$H$5001)),"")</f>
        <v/>
      </c>
      <c r="M4655" s="47" t="str">
        <f aca="false">IF($A4655="","",INDEX($L$2:$L$5001,MATCH($A4655,$A$2:$A$5001,0)))</f>
        <v/>
      </c>
      <c r="N4655" s="48" t="str">
        <f aca="false">IF($A4655="","",IF(N(M4655)=0,"–",IF(M4655&lt;=Start!$D$20,"A",IF(M4655&lt;=Start!$D$21,"B","C"))))</f>
        <v/>
      </c>
      <c r="O4655" s="48" t="str">
        <f aca="false">IF($A4655="","",IF(NOT(ISNUMBER(F4655)),"Wert fehlt; ",IF(F4655&lt;=0,"Wert ist 0; ",""))&amp;IF(NOT(ISNUMBER(E4655)),"Bestand fehlt; ",IF(E4655&lt;0,"Bestand negativ; ",IF(E4655=0,"Nullbestand; ","")))&amp;IF(D4655="","Warengruppe fehlt; ","")&amp;IF(B4655="","Bezeichnung fehlt; ","")&amp;IF(COUNTIFS($A$2:$A$5001,$A4655,$C$2:$C$5001,C4655)&gt;1,"Artikel doppelt im selben Lager; ",""))</f>
        <v/>
      </c>
      <c r="P4655" s="47" t="n">
        <f aca="false">IF(OR($A4655="",D4655=""),0,IF(COUNTIF($D$2:D4655,D4655)=1,SUMIF($D$2:$D$5001,D4655,$H$2:$H$5001)+ROW()/10000000,0))</f>
        <v>0</v>
      </c>
      <c r="Q4655" s="47" t="n">
        <f aca="false">IF(OR($A4655="",C4655=""),0,IF(COUNTIF($C$2:C4655,C4655)=1,SUMIF($C$2:$C$5001,C4655,$H$2:$H$5001)+ROW()/10000000,0))</f>
        <v>0</v>
      </c>
    </row>
    <row r="4656" customFormat="false" ht="15" hidden="false" customHeight="false" outlineLevel="0" collapsed="false">
      <c r="A4656" s="43"/>
      <c r="B4656" s="44"/>
      <c r="C4656" s="44"/>
      <c r="D4656" s="44"/>
      <c r="E4656" s="44"/>
      <c r="F4656" s="44"/>
      <c r="G4656" s="44"/>
      <c r="H4656" s="46" t="str">
        <f aca="false">IF($A4656="","",IF(OR(NOT(ISNUMBER(E4656)),NOT(ISNUMBER(F4656))),"",MAX(0,E4656)*F4656))</f>
        <v/>
      </c>
      <c r="I4656" s="46" t="str">
        <f aca="false">IF($A4656="","",SUMIF($A$2:$A$5001,$A4656,$H$2:$H$5001))</f>
        <v/>
      </c>
      <c r="J4656" s="47" t="n">
        <f aca="false">IF($A4656="",0,IF(COUNTIF($A$2:A4656,$A4656)=1,1,0))</f>
        <v>0</v>
      </c>
      <c r="K4656" s="47" t="n">
        <f aca="false">IF(J4656=1,N(I4656)+ROW()/10000000,0)</f>
        <v>0</v>
      </c>
      <c r="L4656" s="47" t="str">
        <f aca="false">IF(AND(J4656=1,N(I4656)&gt;0),SUMIF($K$2:$K$5001,"&gt;="&amp;K4656,$I$2:$I$5001)/MAX(1,SUM($H$2:$H$5001)),"")</f>
        <v/>
      </c>
      <c r="M4656" s="47" t="str">
        <f aca="false">IF($A4656="","",INDEX($L$2:$L$5001,MATCH($A4656,$A$2:$A$5001,0)))</f>
        <v/>
      </c>
      <c r="N4656" s="48" t="str">
        <f aca="false">IF($A4656="","",IF(N(M4656)=0,"–",IF(M4656&lt;=Start!$D$20,"A",IF(M4656&lt;=Start!$D$21,"B","C"))))</f>
        <v/>
      </c>
      <c r="O4656" s="48" t="str">
        <f aca="false">IF($A4656="","",IF(NOT(ISNUMBER(F4656)),"Wert fehlt; ",IF(F4656&lt;=0,"Wert ist 0; ",""))&amp;IF(NOT(ISNUMBER(E4656)),"Bestand fehlt; ",IF(E4656&lt;0,"Bestand negativ; ",IF(E4656=0,"Nullbestand; ","")))&amp;IF(D4656="","Warengruppe fehlt; ","")&amp;IF(B4656="","Bezeichnung fehlt; ","")&amp;IF(COUNTIFS($A$2:$A$5001,$A4656,$C$2:$C$5001,C4656)&gt;1,"Artikel doppelt im selben Lager; ",""))</f>
        <v/>
      </c>
      <c r="P4656" s="47" t="n">
        <f aca="false">IF(OR($A4656="",D4656=""),0,IF(COUNTIF($D$2:D4656,D4656)=1,SUMIF($D$2:$D$5001,D4656,$H$2:$H$5001)+ROW()/10000000,0))</f>
        <v>0</v>
      </c>
      <c r="Q4656" s="47" t="n">
        <f aca="false">IF(OR($A4656="",C4656=""),0,IF(COUNTIF($C$2:C4656,C4656)=1,SUMIF($C$2:$C$5001,C4656,$H$2:$H$5001)+ROW()/10000000,0))</f>
        <v>0</v>
      </c>
    </row>
    <row r="4657" customFormat="false" ht="15" hidden="false" customHeight="false" outlineLevel="0" collapsed="false">
      <c r="A4657" s="43"/>
      <c r="B4657" s="44"/>
      <c r="C4657" s="44"/>
      <c r="D4657" s="44"/>
      <c r="E4657" s="44"/>
      <c r="F4657" s="44"/>
      <c r="G4657" s="44"/>
      <c r="H4657" s="46" t="str">
        <f aca="false">IF($A4657="","",IF(OR(NOT(ISNUMBER(E4657)),NOT(ISNUMBER(F4657))),"",MAX(0,E4657)*F4657))</f>
        <v/>
      </c>
      <c r="I4657" s="46" t="str">
        <f aca="false">IF($A4657="","",SUMIF($A$2:$A$5001,$A4657,$H$2:$H$5001))</f>
        <v/>
      </c>
      <c r="J4657" s="47" t="n">
        <f aca="false">IF($A4657="",0,IF(COUNTIF($A$2:A4657,$A4657)=1,1,0))</f>
        <v>0</v>
      </c>
      <c r="K4657" s="47" t="n">
        <f aca="false">IF(J4657=1,N(I4657)+ROW()/10000000,0)</f>
        <v>0</v>
      </c>
      <c r="L4657" s="47" t="str">
        <f aca="false">IF(AND(J4657=1,N(I4657)&gt;0),SUMIF($K$2:$K$5001,"&gt;="&amp;K4657,$I$2:$I$5001)/MAX(1,SUM($H$2:$H$5001)),"")</f>
        <v/>
      </c>
      <c r="M4657" s="47" t="str">
        <f aca="false">IF($A4657="","",INDEX($L$2:$L$5001,MATCH($A4657,$A$2:$A$5001,0)))</f>
        <v/>
      </c>
      <c r="N4657" s="48" t="str">
        <f aca="false">IF($A4657="","",IF(N(M4657)=0,"–",IF(M4657&lt;=Start!$D$20,"A",IF(M4657&lt;=Start!$D$21,"B","C"))))</f>
        <v/>
      </c>
      <c r="O4657" s="48" t="str">
        <f aca="false">IF($A4657="","",IF(NOT(ISNUMBER(F4657)),"Wert fehlt; ",IF(F4657&lt;=0,"Wert ist 0; ",""))&amp;IF(NOT(ISNUMBER(E4657)),"Bestand fehlt; ",IF(E4657&lt;0,"Bestand negativ; ",IF(E4657=0,"Nullbestand; ","")))&amp;IF(D4657="","Warengruppe fehlt; ","")&amp;IF(B4657="","Bezeichnung fehlt; ","")&amp;IF(COUNTIFS($A$2:$A$5001,$A4657,$C$2:$C$5001,C4657)&gt;1,"Artikel doppelt im selben Lager; ",""))</f>
        <v/>
      </c>
      <c r="P4657" s="47" t="n">
        <f aca="false">IF(OR($A4657="",D4657=""),0,IF(COUNTIF($D$2:D4657,D4657)=1,SUMIF($D$2:$D$5001,D4657,$H$2:$H$5001)+ROW()/10000000,0))</f>
        <v>0</v>
      </c>
      <c r="Q4657" s="47" t="n">
        <f aca="false">IF(OR($A4657="",C4657=""),0,IF(COUNTIF($C$2:C4657,C4657)=1,SUMIF($C$2:$C$5001,C4657,$H$2:$H$5001)+ROW()/10000000,0))</f>
        <v>0</v>
      </c>
    </row>
    <row r="4658" customFormat="false" ht="15" hidden="false" customHeight="false" outlineLevel="0" collapsed="false">
      <c r="A4658" s="43"/>
      <c r="B4658" s="44"/>
      <c r="C4658" s="44"/>
      <c r="D4658" s="44"/>
      <c r="E4658" s="44"/>
      <c r="F4658" s="44"/>
      <c r="G4658" s="44"/>
      <c r="H4658" s="46" t="str">
        <f aca="false">IF($A4658="","",IF(OR(NOT(ISNUMBER(E4658)),NOT(ISNUMBER(F4658))),"",MAX(0,E4658)*F4658))</f>
        <v/>
      </c>
      <c r="I4658" s="46" t="str">
        <f aca="false">IF($A4658="","",SUMIF($A$2:$A$5001,$A4658,$H$2:$H$5001))</f>
        <v/>
      </c>
      <c r="J4658" s="47" t="n">
        <f aca="false">IF($A4658="",0,IF(COUNTIF($A$2:A4658,$A4658)=1,1,0))</f>
        <v>0</v>
      </c>
      <c r="K4658" s="47" t="n">
        <f aca="false">IF(J4658=1,N(I4658)+ROW()/10000000,0)</f>
        <v>0</v>
      </c>
      <c r="L4658" s="47" t="str">
        <f aca="false">IF(AND(J4658=1,N(I4658)&gt;0),SUMIF($K$2:$K$5001,"&gt;="&amp;K4658,$I$2:$I$5001)/MAX(1,SUM($H$2:$H$5001)),"")</f>
        <v/>
      </c>
      <c r="M4658" s="47" t="str">
        <f aca="false">IF($A4658="","",INDEX($L$2:$L$5001,MATCH($A4658,$A$2:$A$5001,0)))</f>
        <v/>
      </c>
      <c r="N4658" s="48" t="str">
        <f aca="false">IF($A4658="","",IF(N(M4658)=0,"–",IF(M4658&lt;=Start!$D$20,"A",IF(M4658&lt;=Start!$D$21,"B","C"))))</f>
        <v/>
      </c>
      <c r="O4658" s="48" t="str">
        <f aca="false">IF($A4658="","",IF(NOT(ISNUMBER(F4658)),"Wert fehlt; ",IF(F4658&lt;=0,"Wert ist 0; ",""))&amp;IF(NOT(ISNUMBER(E4658)),"Bestand fehlt; ",IF(E4658&lt;0,"Bestand negativ; ",IF(E4658=0,"Nullbestand; ","")))&amp;IF(D4658="","Warengruppe fehlt; ","")&amp;IF(B4658="","Bezeichnung fehlt; ","")&amp;IF(COUNTIFS($A$2:$A$5001,$A4658,$C$2:$C$5001,C4658)&gt;1,"Artikel doppelt im selben Lager; ",""))</f>
        <v/>
      </c>
      <c r="P4658" s="47" t="n">
        <f aca="false">IF(OR($A4658="",D4658=""),0,IF(COUNTIF($D$2:D4658,D4658)=1,SUMIF($D$2:$D$5001,D4658,$H$2:$H$5001)+ROW()/10000000,0))</f>
        <v>0</v>
      </c>
      <c r="Q4658" s="47" t="n">
        <f aca="false">IF(OR($A4658="",C4658=""),0,IF(COUNTIF($C$2:C4658,C4658)=1,SUMIF($C$2:$C$5001,C4658,$H$2:$H$5001)+ROW()/10000000,0))</f>
        <v>0</v>
      </c>
    </row>
    <row r="4659" customFormat="false" ht="15" hidden="false" customHeight="false" outlineLevel="0" collapsed="false">
      <c r="A4659" s="43"/>
      <c r="B4659" s="44"/>
      <c r="C4659" s="44"/>
      <c r="D4659" s="44"/>
      <c r="E4659" s="44"/>
      <c r="F4659" s="44"/>
      <c r="G4659" s="44"/>
      <c r="H4659" s="46" t="str">
        <f aca="false">IF($A4659="","",IF(OR(NOT(ISNUMBER(E4659)),NOT(ISNUMBER(F4659))),"",MAX(0,E4659)*F4659))</f>
        <v/>
      </c>
      <c r="I4659" s="46" t="str">
        <f aca="false">IF($A4659="","",SUMIF($A$2:$A$5001,$A4659,$H$2:$H$5001))</f>
        <v/>
      </c>
      <c r="J4659" s="47" t="n">
        <f aca="false">IF($A4659="",0,IF(COUNTIF($A$2:A4659,$A4659)=1,1,0))</f>
        <v>0</v>
      </c>
      <c r="K4659" s="47" t="n">
        <f aca="false">IF(J4659=1,N(I4659)+ROW()/10000000,0)</f>
        <v>0</v>
      </c>
      <c r="L4659" s="47" t="str">
        <f aca="false">IF(AND(J4659=1,N(I4659)&gt;0),SUMIF($K$2:$K$5001,"&gt;="&amp;K4659,$I$2:$I$5001)/MAX(1,SUM($H$2:$H$5001)),"")</f>
        <v/>
      </c>
      <c r="M4659" s="47" t="str">
        <f aca="false">IF($A4659="","",INDEX($L$2:$L$5001,MATCH($A4659,$A$2:$A$5001,0)))</f>
        <v/>
      </c>
      <c r="N4659" s="48" t="str">
        <f aca="false">IF($A4659="","",IF(N(M4659)=0,"–",IF(M4659&lt;=Start!$D$20,"A",IF(M4659&lt;=Start!$D$21,"B","C"))))</f>
        <v/>
      </c>
      <c r="O4659" s="48" t="str">
        <f aca="false">IF($A4659="","",IF(NOT(ISNUMBER(F4659)),"Wert fehlt; ",IF(F4659&lt;=0,"Wert ist 0; ",""))&amp;IF(NOT(ISNUMBER(E4659)),"Bestand fehlt; ",IF(E4659&lt;0,"Bestand negativ; ",IF(E4659=0,"Nullbestand; ","")))&amp;IF(D4659="","Warengruppe fehlt; ","")&amp;IF(B4659="","Bezeichnung fehlt; ","")&amp;IF(COUNTIFS($A$2:$A$5001,$A4659,$C$2:$C$5001,C4659)&gt;1,"Artikel doppelt im selben Lager; ",""))</f>
        <v/>
      </c>
      <c r="P4659" s="47" t="n">
        <f aca="false">IF(OR($A4659="",D4659=""),0,IF(COUNTIF($D$2:D4659,D4659)=1,SUMIF($D$2:$D$5001,D4659,$H$2:$H$5001)+ROW()/10000000,0))</f>
        <v>0</v>
      </c>
      <c r="Q4659" s="47" t="n">
        <f aca="false">IF(OR($A4659="",C4659=""),0,IF(COUNTIF($C$2:C4659,C4659)=1,SUMIF($C$2:$C$5001,C4659,$H$2:$H$5001)+ROW()/10000000,0))</f>
        <v>0</v>
      </c>
    </row>
    <row r="4660" customFormat="false" ht="15" hidden="false" customHeight="false" outlineLevel="0" collapsed="false">
      <c r="A4660" s="43"/>
      <c r="B4660" s="44"/>
      <c r="C4660" s="44"/>
      <c r="D4660" s="44"/>
      <c r="E4660" s="44"/>
      <c r="F4660" s="44"/>
      <c r="G4660" s="44"/>
      <c r="H4660" s="46" t="str">
        <f aca="false">IF($A4660="","",IF(OR(NOT(ISNUMBER(E4660)),NOT(ISNUMBER(F4660))),"",MAX(0,E4660)*F4660))</f>
        <v/>
      </c>
      <c r="I4660" s="46" t="str">
        <f aca="false">IF($A4660="","",SUMIF($A$2:$A$5001,$A4660,$H$2:$H$5001))</f>
        <v/>
      </c>
      <c r="J4660" s="47" t="n">
        <f aca="false">IF($A4660="",0,IF(COUNTIF($A$2:A4660,$A4660)=1,1,0))</f>
        <v>0</v>
      </c>
      <c r="K4660" s="47" t="n">
        <f aca="false">IF(J4660=1,N(I4660)+ROW()/10000000,0)</f>
        <v>0</v>
      </c>
      <c r="L4660" s="47" t="str">
        <f aca="false">IF(AND(J4660=1,N(I4660)&gt;0),SUMIF($K$2:$K$5001,"&gt;="&amp;K4660,$I$2:$I$5001)/MAX(1,SUM($H$2:$H$5001)),"")</f>
        <v/>
      </c>
      <c r="M4660" s="47" t="str">
        <f aca="false">IF($A4660="","",INDEX($L$2:$L$5001,MATCH($A4660,$A$2:$A$5001,0)))</f>
        <v/>
      </c>
      <c r="N4660" s="48" t="str">
        <f aca="false">IF($A4660="","",IF(N(M4660)=0,"–",IF(M4660&lt;=Start!$D$20,"A",IF(M4660&lt;=Start!$D$21,"B","C"))))</f>
        <v/>
      </c>
      <c r="O4660" s="48" t="str">
        <f aca="false">IF($A4660="","",IF(NOT(ISNUMBER(F4660)),"Wert fehlt; ",IF(F4660&lt;=0,"Wert ist 0; ",""))&amp;IF(NOT(ISNUMBER(E4660)),"Bestand fehlt; ",IF(E4660&lt;0,"Bestand negativ; ",IF(E4660=0,"Nullbestand; ","")))&amp;IF(D4660="","Warengruppe fehlt; ","")&amp;IF(B4660="","Bezeichnung fehlt; ","")&amp;IF(COUNTIFS($A$2:$A$5001,$A4660,$C$2:$C$5001,C4660)&gt;1,"Artikel doppelt im selben Lager; ",""))</f>
        <v/>
      </c>
      <c r="P4660" s="47" t="n">
        <f aca="false">IF(OR($A4660="",D4660=""),0,IF(COUNTIF($D$2:D4660,D4660)=1,SUMIF($D$2:$D$5001,D4660,$H$2:$H$5001)+ROW()/10000000,0))</f>
        <v>0</v>
      </c>
      <c r="Q4660" s="47" t="n">
        <f aca="false">IF(OR($A4660="",C4660=""),0,IF(COUNTIF($C$2:C4660,C4660)=1,SUMIF($C$2:$C$5001,C4660,$H$2:$H$5001)+ROW()/10000000,0))</f>
        <v>0</v>
      </c>
    </row>
    <row r="4661" customFormat="false" ht="15" hidden="false" customHeight="false" outlineLevel="0" collapsed="false">
      <c r="A4661" s="43"/>
      <c r="B4661" s="44"/>
      <c r="C4661" s="44"/>
      <c r="D4661" s="44"/>
      <c r="E4661" s="44"/>
      <c r="F4661" s="44"/>
      <c r="G4661" s="44"/>
      <c r="H4661" s="46" t="str">
        <f aca="false">IF($A4661="","",IF(OR(NOT(ISNUMBER(E4661)),NOT(ISNUMBER(F4661))),"",MAX(0,E4661)*F4661))</f>
        <v/>
      </c>
      <c r="I4661" s="46" t="str">
        <f aca="false">IF($A4661="","",SUMIF($A$2:$A$5001,$A4661,$H$2:$H$5001))</f>
        <v/>
      </c>
      <c r="J4661" s="47" t="n">
        <f aca="false">IF($A4661="",0,IF(COUNTIF($A$2:A4661,$A4661)=1,1,0))</f>
        <v>0</v>
      </c>
      <c r="K4661" s="47" t="n">
        <f aca="false">IF(J4661=1,N(I4661)+ROW()/10000000,0)</f>
        <v>0</v>
      </c>
      <c r="L4661" s="47" t="str">
        <f aca="false">IF(AND(J4661=1,N(I4661)&gt;0),SUMIF($K$2:$K$5001,"&gt;="&amp;K4661,$I$2:$I$5001)/MAX(1,SUM($H$2:$H$5001)),"")</f>
        <v/>
      </c>
      <c r="M4661" s="47" t="str">
        <f aca="false">IF($A4661="","",INDEX($L$2:$L$5001,MATCH($A4661,$A$2:$A$5001,0)))</f>
        <v/>
      </c>
      <c r="N4661" s="48" t="str">
        <f aca="false">IF($A4661="","",IF(N(M4661)=0,"–",IF(M4661&lt;=Start!$D$20,"A",IF(M4661&lt;=Start!$D$21,"B","C"))))</f>
        <v/>
      </c>
      <c r="O4661" s="48" t="str">
        <f aca="false">IF($A4661="","",IF(NOT(ISNUMBER(F4661)),"Wert fehlt; ",IF(F4661&lt;=0,"Wert ist 0; ",""))&amp;IF(NOT(ISNUMBER(E4661)),"Bestand fehlt; ",IF(E4661&lt;0,"Bestand negativ; ",IF(E4661=0,"Nullbestand; ","")))&amp;IF(D4661="","Warengruppe fehlt; ","")&amp;IF(B4661="","Bezeichnung fehlt; ","")&amp;IF(COUNTIFS($A$2:$A$5001,$A4661,$C$2:$C$5001,C4661)&gt;1,"Artikel doppelt im selben Lager; ",""))</f>
        <v/>
      </c>
      <c r="P4661" s="47" t="n">
        <f aca="false">IF(OR($A4661="",D4661=""),0,IF(COUNTIF($D$2:D4661,D4661)=1,SUMIF($D$2:$D$5001,D4661,$H$2:$H$5001)+ROW()/10000000,0))</f>
        <v>0</v>
      </c>
      <c r="Q4661" s="47" t="n">
        <f aca="false">IF(OR($A4661="",C4661=""),0,IF(COUNTIF($C$2:C4661,C4661)=1,SUMIF($C$2:$C$5001,C4661,$H$2:$H$5001)+ROW()/10000000,0))</f>
        <v>0</v>
      </c>
    </row>
    <row r="4662" customFormat="false" ht="15" hidden="false" customHeight="false" outlineLevel="0" collapsed="false">
      <c r="A4662" s="43"/>
      <c r="B4662" s="44"/>
      <c r="C4662" s="44"/>
      <c r="D4662" s="44"/>
      <c r="E4662" s="44"/>
      <c r="F4662" s="44"/>
      <c r="G4662" s="44"/>
      <c r="H4662" s="46" t="str">
        <f aca="false">IF($A4662="","",IF(OR(NOT(ISNUMBER(E4662)),NOT(ISNUMBER(F4662))),"",MAX(0,E4662)*F4662))</f>
        <v/>
      </c>
      <c r="I4662" s="46" t="str">
        <f aca="false">IF($A4662="","",SUMIF($A$2:$A$5001,$A4662,$H$2:$H$5001))</f>
        <v/>
      </c>
      <c r="J4662" s="47" t="n">
        <f aca="false">IF($A4662="",0,IF(COUNTIF($A$2:A4662,$A4662)=1,1,0))</f>
        <v>0</v>
      </c>
      <c r="K4662" s="47" t="n">
        <f aca="false">IF(J4662=1,N(I4662)+ROW()/10000000,0)</f>
        <v>0</v>
      </c>
      <c r="L4662" s="47" t="str">
        <f aca="false">IF(AND(J4662=1,N(I4662)&gt;0),SUMIF($K$2:$K$5001,"&gt;="&amp;K4662,$I$2:$I$5001)/MAX(1,SUM($H$2:$H$5001)),"")</f>
        <v/>
      </c>
      <c r="M4662" s="47" t="str">
        <f aca="false">IF($A4662="","",INDEX($L$2:$L$5001,MATCH($A4662,$A$2:$A$5001,0)))</f>
        <v/>
      </c>
      <c r="N4662" s="48" t="str">
        <f aca="false">IF($A4662="","",IF(N(M4662)=0,"–",IF(M4662&lt;=Start!$D$20,"A",IF(M4662&lt;=Start!$D$21,"B","C"))))</f>
        <v/>
      </c>
      <c r="O4662" s="48" t="str">
        <f aca="false">IF($A4662="","",IF(NOT(ISNUMBER(F4662)),"Wert fehlt; ",IF(F4662&lt;=0,"Wert ist 0; ",""))&amp;IF(NOT(ISNUMBER(E4662)),"Bestand fehlt; ",IF(E4662&lt;0,"Bestand negativ; ",IF(E4662=0,"Nullbestand; ","")))&amp;IF(D4662="","Warengruppe fehlt; ","")&amp;IF(B4662="","Bezeichnung fehlt; ","")&amp;IF(COUNTIFS($A$2:$A$5001,$A4662,$C$2:$C$5001,C4662)&gt;1,"Artikel doppelt im selben Lager; ",""))</f>
        <v/>
      </c>
      <c r="P4662" s="47" t="n">
        <f aca="false">IF(OR($A4662="",D4662=""),0,IF(COUNTIF($D$2:D4662,D4662)=1,SUMIF($D$2:$D$5001,D4662,$H$2:$H$5001)+ROW()/10000000,0))</f>
        <v>0</v>
      </c>
      <c r="Q4662" s="47" t="n">
        <f aca="false">IF(OR($A4662="",C4662=""),0,IF(COUNTIF($C$2:C4662,C4662)=1,SUMIF($C$2:$C$5001,C4662,$H$2:$H$5001)+ROW()/10000000,0))</f>
        <v>0</v>
      </c>
    </row>
    <row r="4663" customFormat="false" ht="15" hidden="false" customHeight="false" outlineLevel="0" collapsed="false">
      <c r="A4663" s="43"/>
      <c r="B4663" s="44"/>
      <c r="C4663" s="44"/>
      <c r="D4663" s="44"/>
      <c r="E4663" s="44"/>
      <c r="F4663" s="44"/>
      <c r="G4663" s="44"/>
      <c r="H4663" s="46" t="str">
        <f aca="false">IF($A4663="","",IF(OR(NOT(ISNUMBER(E4663)),NOT(ISNUMBER(F4663))),"",MAX(0,E4663)*F4663))</f>
        <v/>
      </c>
      <c r="I4663" s="46" t="str">
        <f aca="false">IF($A4663="","",SUMIF($A$2:$A$5001,$A4663,$H$2:$H$5001))</f>
        <v/>
      </c>
      <c r="J4663" s="47" t="n">
        <f aca="false">IF($A4663="",0,IF(COUNTIF($A$2:A4663,$A4663)=1,1,0))</f>
        <v>0</v>
      </c>
      <c r="K4663" s="47" t="n">
        <f aca="false">IF(J4663=1,N(I4663)+ROW()/10000000,0)</f>
        <v>0</v>
      </c>
      <c r="L4663" s="47" t="str">
        <f aca="false">IF(AND(J4663=1,N(I4663)&gt;0),SUMIF($K$2:$K$5001,"&gt;="&amp;K4663,$I$2:$I$5001)/MAX(1,SUM($H$2:$H$5001)),"")</f>
        <v/>
      </c>
      <c r="M4663" s="47" t="str">
        <f aca="false">IF($A4663="","",INDEX($L$2:$L$5001,MATCH($A4663,$A$2:$A$5001,0)))</f>
        <v/>
      </c>
      <c r="N4663" s="48" t="str">
        <f aca="false">IF($A4663="","",IF(N(M4663)=0,"–",IF(M4663&lt;=Start!$D$20,"A",IF(M4663&lt;=Start!$D$21,"B","C"))))</f>
        <v/>
      </c>
      <c r="O4663" s="48" t="str">
        <f aca="false">IF($A4663="","",IF(NOT(ISNUMBER(F4663)),"Wert fehlt; ",IF(F4663&lt;=0,"Wert ist 0; ",""))&amp;IF(NOT(ISNUMBER(E4663)),"Bestand fehlt; ",IF(E4663&lt;0,"Bestand negativ; ",IF(E4663=0,"Nullbestand; ","")))&amp;IF(D4663="","Warengruppe fehlt; ","")&amp;IF(B4663="","Bezeichnung fehlt; ","")&amp;IF(COUNTIFS($A$2:$A$5001,$A4663,$C$2:$C$5001,C4663)&gt;1,"Artikel doppelt im selben Lager; ",""))</f>
        <v/>
      </c>
      <c r="P4663" s="47" t="n">
        <f aca="false">IF(OR($A4663="",D4663=""),0,IF(COUNTIF($D$2:D4663,D4663)=1,SUMIF($D$2:$D$5001,D4663,$H$2:$H$5001)+ROW()/10000000,0))</f>
        <v>0</v>
      </c>
      <c r="Q4663" s="47" t="n">
        <f aca="false">IF(OR($A4663="",C4663=""),0,IF(COUNTIF($C$2:C4663,C4663)=1,SUMIF($C$2:$C$5001,C4663,$H$2:$H$5001)+ROW()/10000000,0))</f>
        <v>0</v>
      </c>
    </row>
    <row r="4664" customFormat="false" ht="15" hidden="false" customHeight="false" outlineLevel="0" collapsed="false">
      <c r="A4664" s="43"/>
      <c r="B4664" s="44"/>
      <c r="C4664" s="44"/>
      <c r="D4664" s="44"/>
      <c r="E4664" s="44"/>
      <c r="F4664" s="44"/>
      <c r="G4664" s="44"/>
      <c r="H4664" s="46" t="str">
        <f aca="false">IF($A4664="","",IF(OR(NOT(ISNUMBER(E4664)),NOT(ISNUMBER(F4664))),"",MAX(0,E4664)*F4664))</f>
        <v/>
      </c>
      <c r="I4664" s="46" t="str">
        <f aca="false">IF($A4664="","",SUMIF($A$2:$A$5001,$A4664,$H$2:$H$5001))</f>
        <v/>
      </c>
      <c r="J4664" s="47" t="n">
        <f aca="false">IF($A4664="",0,IF(COUNTIF($A$2:A4664,$A4664)=1,1,0))</f>
        <v>0</v>
      </c>
      <c r="K4664" s="47" t="n">
        <f aca="false">IF(J4664=1,N(I4664)+ROW()/10000000,0)</f>
        <v>0</v>
      </c>
      <c r="L4664" s="47" t="str">
        <f aca="false">IF(AND(J4664=1,N(I4664)&gt;0),SUMIF($K$2:$K$5001,"&gt;="&amp;K4664,$I$2:$I$5001)/MAX(1,SUM($H$2:$H$5001)),"")</f>
        <v/>
      </c>
      <c r="M4664" s="47" t="str">
        <f aca="false">IF($A4664="","",INDEX($L$2:$L$5001,MATCH($A4664,$A$2:$A$5001,0)))</f>
        <v/>
      </c>
      <c r="N4664" s="48" t="str">
        <f aca="false">IF($A4664="","",IF(N(M4664)=0,"–",IF(M4664&lt;=Start!$D$20,"A",IF(M4664&lt;=Start!$D$21,"B","C"))))</f>
        <v/>
      </c>
      <c r="O4664" s="48" t="str">
        <f aca="false">IF($A4664="","",IF(NOT(ISNUMBER(F4664)),"Wert fehlt; ",IF(F4664&lt;=0,"Wert ist 0; ",""))&amp;IF(NOT(ISNUMBER(E4664)),"Bestand fehlt; ",IF(E4664&lt;0,"Bestand negativ; ",IF(E4664=0,"Nullbestand; ","")))&amp;IF(D4664="","Warengruppe fehlt; ","")&amp;IF(B4664="","Bezeichnung fehlt; ","")&amp;IF(COUNTIFS($A$2:$A$5001,$A4664,$C$2:$C$5001,C4664)&gt;1,"Artikel doppelt im selben Lager; ",""))</f>
        <v/>
      </c>
      <c r="P4664" s="47" t="n">
        <f aca="false">IF(OR($A4664="",D4664=""),0,IF(COUNTIF($D$2:D4664,D4664)=1,SUMIF($D$2:$D$5001,D4664,$H$2:$H$5001)+ROW()/10000000,0))</f>
        <v>0</v>
      </c>
      <c r="Q4664" s="47" t="n">
        <f aca="false">IF(OR($A4664="",C4664=""),0,IF(COUNTIF($C$2:C4664,C4664)=1,SUMIF($C$2:$C$5001,C4664,$H$2:$H$5001)+ROW()/10000000,0))</f>
        <v>0</v>
      </c>
    </row>
    <row r="4665" customFormat="false" ht="15" hidden="false" customHeight="false" outlineLevel="0" collapsed="false">
      <c r="A4665" s="43"/>
      <c r="B4665" s="44"/>
      <c r="C4665" s="44"/>
      <c r="D4665" s="44"/>
      <c r="E4665" s="44"/>
      <c r="F4665" s="44"/>
      <c r="G4665" s="44"/>
      <c r="H4665" s="46" t="str">
        <f aca="false">IF($A4665="","",IF(OR(NOT(ISNUMBER(E4665)),NOT(ISNUMBER(F4665))),"",MAX(0,E4665)*F4665))</f>
        <v/>
      </c>
      <c r="I4665" s="46" t="str">
        <f aca="false">IF($A4665="","",SUMIF($A$2:$A$5001,$A4665,$H$2:$H$5001))</f>
        <v/>
      </c>
      <c r="J4665" s="47" t="n">
        <f aca="false">IF($A4665="",0,IF(COUNTIF($A$2:A4665,$A4665)=1,1,0))</f>
        <v>0</v>
      </c>
      <c r="K4665" s="47" t="n">
        <f aca="false">IF(J4665=1,N(I4665)+ROW()/10000000,0)</f>
        <v>0</v>
      </c>
      <c r="L4665" s="47" t="str">
        <f aca="false">IF(AND(J4665=1,N(I4665)&gt;0),SUMIF($K$2:$K$5001,"&gt;="&amp;K4665,$I$2:$I$5001)/MAX(1,SUM($H$2:$H$5001)),"")</f>
        <v/>
      </c>
      <c r="M4665" s="47" t="str">
        <f aca="false">IF($A4665="","",INDEX($L$2:$L$5001,MATCH($A4665,$A$2:$A$5001,0)))</f>
        <v/>
      </c>
      <c r="N4665" s="48" t="str">
        <f aca="false">IF($A4665="","",IF(N(M4665)=0,"–",IF(M4665&lt;=Start!$D$20,"A",IF(M4665&lt;=Start!$D$21,"B","C"))))</f>
        <v/>
      </c>
      <c r="O4665" s="48" t="str">
        <f aca="false">IF($A4665="","",IF(NOT(ISNUMBER(F4665)),"Wert fehlt; ",IF(F4665&lt;=0,"Wert ist 0; ",""))&amp;IF(NOT(ISNUMBER(E4665)),"Bestand fehlt; ",IF(E4665&lt;0,"Bestand negativ; ",IF(E4665=0,"Nullbestand; ","")))&amp;IF(D4665="","Warengruppe fehlt; ","")&amp;IF(B4665="","Bezeichnung fehlt; ","")&amp;IF(COUNTIFS($A$2:$A$5001,$A4665,$C$2:$C$5001,C4665)&gt;1,"Artikel doppelt im selben Lager; ",""))</f>
        <v/>
      </c>
      <c r="P4665" s="47" t="n">
        <f aca="false">IF(OR($A4665="",D4665=""),0,IF(COUNTIF($D$2:D4665,D4665)=1,SUMIF($D$2:$D$5001,D4665,$H$2:$H$5001)+ROW()/10000000,0))</f>
        <v>0</v>
      </c>
      <c r="Q4665" s="47" t="n">
        <f aca="false">IF(OR($A4665="",C4665=""),0,IF(COUNTIF($C$2:C4665,C4665)=1,SUMIF($C$2:$C$5001,C4665,$H$2:$H$5001)+ROW()/10000000,0))</f>
        <v>0</v>
      </c>
    </row>
    <row r="4666" customFormat="false" ht="15" hidden="false" customHeight="false" outlineLevel="0" collapsed="false">
      <c r="A4666" s="43"/>
      <c r="B4666" s="44"/>
      <c r="C4666" s="44"/>
      <c r="D4666" s="44"/>
      <c r="E4666" s="44"/>
      <c r="F4666" s="44"/>
      <c r="G4666" s="44"/>
      <c r="H4666" s="46" t="str">
        <f aca="false">IF($A4666="","",IF(OR(NOT(ISNUMBER(E4666)),NOT(ISNUMBER(F4666))),"",MAX(0,E4666)*F4666))</f>
        <v/>
      </c>
      <c r="I4666" s="46" t="str">
        <f aca="false">IF($A4666="","",SUMIF($A$2:$A$5001,$A4666,$H$2:$H$5001))</f>
        <v/>
      </c>
      <c r="J4666" s="47" t="n">
        <f aca="false">IF($A4666="",0,IF(COUNTIF($A$2:A4666,$A4666)=1,1,0))</f>
        <v>0</v>
      </c>
      <c r="K4666" s="47" t="n">
        <f aca="false">IF(J4666=1,N(I4666)+ROW()/10000000,0)</f>
        <v>0</v>
      </c>
      <c r="L4666" s="47" t="str">
        <f aca="false">IF(AND(J4666=1,N(I4666)&gt;0),SUMIF($K$2:$K$5001,"&gt;="&amp;K4666,$I$2:$I$5001)/MAX(1,SUM($H$2:$H$5001)),"")</f>
        <v/>
      </c>
      <c r="M4666" s="47" t="str">
        <f aca="false">IF($A4666="","",INDEX($L$2:$L$5001,MATCH($A4666,$A$2:$A$5001,0)))</f>
        <v/>
      </c>
      <c r="N4666" s="48" t="str">
        <f aca="false">IF($A4666="","",IF(N(M4666)=0,"–",IF(M4666&lt;=Start!$D$20,"A",IF(M4666&lt;=Start!$D$21,"B","C"))))</f>
        <v/>
      </c>
      <c r="O4666" s="48" t="str">
        <f aca="false">IF($A4666="","",IF(NOT(ISNUMBER(F4666)),"Wert fehlt; ",IF(F4666&lt;=0,"Wert ist 0; ",""))&amp;IF(NOT(ISNUMBER(E4666)),"Bestand fehlt; ",IF(E4666&lt;0,"Bestand negativ; ",IF(E4666=0,"Nullbestand; ","")))&amp;IF(D4666="","Warengruppe fehlt; ","")&amp;IF(B4666="","Bezeichnung fehlt; ","")&amp;IF(COUNTIFS($A$2:$A$5001,$A4666,$C$2:$C$5001,C4666)&gt;1,"Artikel doppelt im selben Lager; ",""))</f>
        <v/>
      </c>
      <c r="P4666" s="47" t="n">
        <f aca="false">IF(OR($A4666="",D4666=""),0,IF(COUNTIF($D$2:D4666,D4666)=1,SUMIF($D$2:$D$5001,D4666,$H$2:$H$5001)+ROW()/10000000,0))</f>
        <v>0</v>
      </c>
      <c r="Q4666" s="47" t="n">
        <f aca="false">IF(OR($A4666="",C4666=""),0,IF(COUNTIF($C$2:C4666,C4666)=1,SUMIF($C$2:$C$5001,C4666,$H$2:$H$5001)+ROW()/10000000,0))</f>
        <v>0</v>
      </c>
    </row>
    <row r="4667" customFormat="false" ht="15" hidden="false" customHeight="false" outlineLevel="0" collapsed="false">
      <c r="A4667" s="43"/>
      <c r="B4667" s="44"/>
      <c r="C4667" s="44"/>
      <c r="D4667" s="44"/>
      <c r="E4667" s="44"/>
      <c r="F4667" s="44"/>
      <c r="G4667" s="44"/>
      <c r="H4667" s="46" t="str">
        <f aca="false">IF($A4667="","",IF(OR(NOT(ISNUMBER(E4667)),NOT(ISNUMBER(F4667))),"",MAX(0,E4667)*F4667))</f>
        <v/>
      </c>
      <c r="I4667" s="46" t="str">
        <f aca="false">IF($A4667="","",SUMIF($A$2:$A$5001,$A4667,$H$2:$H$5001))</f>
        <v/>
      </c>
      <c r="J4667" s="47" t="n">
        <f aca="false">IF($A4667="",0,IF(COUNTIF($A$2:A4667,$A4667)=1,1,0))</f>
        <v>0</v>
      </c>
      <c r="K4667" s="47" t="n">
        <f aca="false">IF(J4667=1,N(I4667)+ROW()/10000000,0)</f>
        <v>0</v>
      </c>
      <c r="L4667" s="47" t="str">
        <f aca="false">IF(AND(J4667=1,N(I4667)&gt;0),SUMIF($K$2:$K$5001,"&gt;="&amp;K4667,$I$2:$I$5001)/MAX(1,SUM($H$2:$H$5001)),"")</f>
        <v/>
      </c>
      <c r="M4667" s="47" t="str">
        <f aca="false">IF($A4667="","",INDEX($L$2:$L$5001,MATCH($A4667,$A$2:$A$5001,0)))</f>
        <v/>
      </c>
      <c r="N4667" s="48" t="str">
        <f aca="false">IF($A4667="","",IF(N(M4667)=0,"–",IF(M4667&lt;=Start!$D$20,"A",IF(M4667&lt;=Start!$D$21,"B","C"))))</f>
        <v/>
      </c>
      <c r="O4667" s="48" t="str">
        <f aca="false">IF($A4667="","",IF(NOT(ISNUMBER(F4667)),"Wert fehlt; ",IF(F4667&lt;=0,"Wert ist 0; ",""))&amp;IF(NOT(ISNUMBER(E4667)),"Bestand fehlt; ",IF(E4667&lt;0,"Bestand negativ; ",IF(E4667=0,"Nullbestand; ","")))&amp;IF(D4667="","Warengruppe fehlt; ","")&amp;IF(B4667="","Bezeichnung fehlt; ","")&amp;IF(COUNTIFS($A$2:$A$5001,$A4667,$C$2:$C$5001,C4667)&gt;1,"Artikel doppelt im selben Lager; ",""))</f>
        <v/>
      </c>
      <c r="P4667" s="47" t="n">
        <f aca="false">IF(OR($A4667="",D4667=""),0,IF(COUNTIF($D$2:D4667,D4667)=1,SUMIF($D$2:$D$5001,D4667,$H$2:$H$5001)+ROW()/10000000,0))</f>
        <v>0</v>
      </c>
      <c r="Q4667" s="47" t="n">
        <f aca="false">IF(OR($A4667="",C4667=""),0,IF(COUNTIF($C$2:C4667,C4667)=1,SUMIF($C$2:$C$5001,C4667,$H$2:$H$5001)+ROW()/10000000,0))</f>
        <v>0</v>
      </c>
    </row>
    <row r="4668" customFormat="false" ht="15" hidden="false" customHeight="false" outlineLevel="0" collapsed="false">
      <c r="A4668" s="43"/>
      <c r="B4668" s="44"/>
      <c r="C4668" s="44"/>
      <c r="D4668" s="44"/>
      <c r="E4668" s="44"/>
      <c r="F4668" s="44"/>
      <c r="G4668" s="44"/>
      <c r="H4668" s="46" t="str">
        <f aca="false">IF($A4668="","",IF(OR(NOT(ISNUMBER(E4668)),NOT(ISNUMBER(F4668))),"",MAX(0,E4668)*F4668))</f>
        <v/>
      </c>
      <c r="I4668" s="46" t="str">
        <f aca="false">IF($A4668="","",SUMIF($A$2:$A$5001,$A4668,$H$2:$H$5001))</f>
        <v/>
      </c>
      <c r="J4668" s="47" t="n">
        <f aca="false">IF($A4668="",0,IF(COUNTIF($A$2:A4668,$A4668)=1,1,0))</f>
        <v>0</v>
      </c>
      <c r="K4668" s="47" t="n">
        <f aca="false">IF(J4668=1,N(I4668)+ROW()/10000000,0)</f>
        <v>0</v>
      </c>
      <c r="L4668" s="47" t="str">
        <f aca="false">IF(AND(J4668=1,N(I4668)&gt;0),SUMIF($K$2:$K$5001,"&gt;="&amp;K4668,$I$2:$I$5001)/MAX(1,SUM($H$2:$H$5001)),"")</f>
        <v/>
      </c>
      <c r="M4668" s="47" t="str">
        <f aca="false">IF($A4668="","",INDEX($L$2:$L$5001,MATCH($A4668,$A$2:$A$5001,0)))</f>
        <v/>
      </c>
      <c r="N4668" s="48" t="str">
        <f aca="false">IF($A4668="","",IF(N(M4668)=0,"–",IF(M4668&lt;=Start!$D$20,"A",IF(M4668&lt;=Start!$D$21,"B","C"))))</f>
        <v/>
      </c>
      <c r="O4668" s="48" t="str">
        <f aca="false">IF($A4668="","",IF(NOT(ISNUMBER(F4668)),"Wert fehlt; ",IF(F4668&lt;=0,"Wert ist 0; ",""))&amp;IF(NOT(ISNUMBER(E4668)),"Bestand fehlt; ",IF(E4668&lt;0,"Bestand negativ; ",IF(E4668=0,"Nullbestand; ","")))&amp;IF(D4668="","Warengruppe fehlt; ","")&amp;IF(B4668="","Bezeichnung fehlt; ","")&amp;IF(COUNTIFS($A$2:$A$5001,$A4668,$C$2:$C$5001,C4668)&gt;1,"Artikel doppelt im selben Lager; ",""))</f>
        <v/>
      </c>
      <c r="P4668" s="47" t="n">
        <f aca="false">IF(OR($A4668="",D4668=""),0,IF(COUNTIF($D$2:D4668,D4668)=1,SUMIF($D$2:$D$5001,D4668,$H$2:$H$5001)+ROW()/10000000,0))</f>
        <v>0</v>
      </c>
      <c r="Q4668" s="47" t="n">
        <f aca="false">IF(OR($A4668="",C4668=""),0,IF(COUNTIF($C$2:C4668,C4668)=1,SUMIF($C$2:$C$5001,C4668,$H$2:$H$5001)+ROW()/10000000,0))</f>
        <v>0</v>
      </c>
    </row>
    <row r="4669" customFormat="false" ht="15" hidden="false" customHeight="false" outlineLevel="0" collapsed="false">
      <c r="A4669" s="43"/>
      <c r="B4669" s="44"/>
      <c r="C4669" s="44"/>
      <c r="D4669" s="44"/>
      <c r="E4669" s="44"/>
      <c r="F4669" s="44"/>
      <c r="G4669" s="44"/>
      <c r="H4669" s="46" t="str">
        <f aca="false">IF($A4669="","",IF(OR(NOT(ISNUMBER(E4669)),NOT(ISNUMBER(F4669))),"",MAX(0,E4669)*F4669))</f>
        <v/>
      </c>
      <c r="I4669" s="46" t="str">
        <f aca="false">IF($A4669="","",SUMIF($A$2:$A$5001,$A4669,$H$2:$H$5001))</f>
        <v/>
      </c>
      <c r="J4669" s="47" t="n">
        <f aca="false">IF($A4669="",0,IF(COUNTIF($A$2:A4669,$A4669)=1,1,0))</f>
        <v>0</v>
      </c>
      <c r="K4669" s="47" t="n">
        <f aca="false">IF(J4669=1,N(I4669)+ROW()/10000000,0)</f>
        <v>0</v>
      </c>
      <c r="L4669" s="47" t="str">
        <f aca="false">IF(AND(J4669=1,N(I4669)&gt;0),SUMIF($K$2:$K$5001,"&gt;="&amp;K4669,$I$2:$I$5001)/MAX(1,SUM($H$2:$H$5001)),"")</f>
        <v/>
      </c>
      <c r="M4669" s="47" t="str">
        <f aca="false">IF($A4669="","",INDEX($L$2:$L$5001,MATCH($A4669,$A$2:$A$5001,0)))</f>
        <v/>
      </c>
      <c r="N4669" s="48" t="str">
        <f aca="false">IF($A4669="","",IF(N(M4669)=0,"–",IF(M4669&lt;=Start!$D$20,"A",IF(M4669&lt;=Start!$D$21,"B","C"))))</f>
        <v/>
      </c>
      <c r="O4669" s="48" t="str">
        <f aca="false">IF($A4669="","",IF(NOT(ISNUMBER(F4669)),"Wert fehlt; ",IF(F4669&lt;=0,"Wert ist 0; ",""))&amp;IF(NOT(ISNUMBER(E4669)),"Bestand fehlt; ",IF(E4669&lt;0,"Bestand negativ; ",IF(E4669=0,"Nullbestand; ","")))&amp;IF(D4669="","Warengruppe fehlt; ","")&amp;IF(B4669="","Bezeichnung fehlt; ","")&amp;IF(COUNTIFS($A$2:$A$5001,$A4669,$C$2:$C$5001,C4669)&gt;1,"Artikel doppelt im selben Lager; ",""))</f>
        <v/>
      </c>
      <c r="P4669" s="47" t="n">
        <f aca="false">IF(OR($A4669="",D4669=""),0,IF(COUNTIF($D$2:D4669,D4669)=1,SUMIF($D$2:$D$5001,D4669,$H$2:$H$5001)+ROW()/10000000,0))</f>
        <v>0</v>
      </c>
      <c r="Q4669" s="47" t="n">
        <f aca="false">IF(OR($A4669="",C4669=""),0,IF(COUNTIF($C$2:C4669,C4669)=1,SUMIF($C$2:$C$5001,C4669,$H$2:$H$5001)+ROW()/10000000,0))</f>
        <v>0</v>
      </c>
    </row>
    <row r="4670" customFormat="false" ht="15" hidden="false" customHeight="false" outlineLevel="0" collapsed="false">
      <c r="A4670" s="43"/>
      <c r="B4670" s="44"/>
      <c r="C4670" s="44"/>
      <c r="D4670" s="44"/>
      <c r="E4670" s="44"/>
      <c r="F4670" s="44"/>
      <c r="G4670" s="44"/>
      <c r="H4670" s="46" t="str">
        <f aca="false">IF($A4670="","",IF(OR(NOT(ISNUMBER(E4670)),NOT(ISNUMBER(F4670))),"",MAX(0,E4670)*F4670))</f>
        <v/>
      </c>
      <c r="I4670" s="46" t="str">
        <f aca="false">IF($A4670="","",SUMIF($A$2:$A$5001,$A4670,$H$2:$H$5001))</f>
        <v/>
      </c>
      <c r="J4670" s="47" t="n">
        <f aca="false">IF($A4670="",0,IF(COUNTIF($A$2:A4670,$A4670)=1,1,0))</f>
        <v>0</v>
      </c>
      <c r="K4670" s="47" t="n">
        <f aca="false">IF(J4670=1,N(I4670)+ROW()/10000000,0)</f>
        <v>0</v>
      </c>
      <c r="L4670" s="47" t="str">
        <f aca="false">IF(AND(J4670=1,N(I4670)&gt;0),SUMIF($K$2:$K$5001,"&gt;="&amp;K4670,$I$2:$I$5001)/MAX(1,SUM($H$2:$H$5001)),"")</f>
        <v/>
      </c>
      <c r="M4670" s="47" t="str">
        <f aca="false">IF($A4670="","",INDEX($L$2:$L$5001,MATCH($A4670,$A$2:$A$5001,0)))</f>
        <v/>
      </c>
      <c r="N4670" s="48" t="str">
        <f aca="false">IF($A4670="","",IF(N(M4670)=0,"–",IF(M4670&lt;=Start!$D$20,"A",IF(M4670&lt;=Start!$D$21,"B","C"))))</f>
        <v/>
      </c>
      <c r="O4670" s="48" t="str">
        <f aca="false">IF($A4670="","",IF(NOT(ISNUMBER(F4670)),"Wert fehlt; ",IF(F4670&lt;=0,"Wert ist 0; ",""))&amp;IF(NOT(ISNUMBER(E4670)),"Bestand fehlt; ",IF(E4670&lt;0,"Bestand negativ; ",IF(E4670=0,"Nullbestand; ","")))&amp;IF(D4670="","Warengruppe fehlt; ","")&amp;IF(B4670="","Bezeichnung fehlt; ","")&amp;IF(COUNTIFS($A$2:$A$5001,$A4670,$C$2:$C$5001,C4670)&gt;1,"Artikel doppelt im selben Lager; ",""))</f>
        <v/>
      </c>
      <c r="P4670" s="47" t="n">
        <f aca="false">IF(OR($A4670="",D4670=""),0,IF(COUNTIF($D$2:D4670,D4670)=1,SUMIF($D$2:$D$5001,D4670,$H$2:$H$5001)+ROW()/10000000,0))</f>
        <v>0</v>
      </c>
      <c r="Q4670" s="47" t="n">
        <f aca="false">IF(OR($A4670="",C4670=""),0,IF(COUNTIF($C$2:C4670,C4670)=1,SUMIF($C$2:$C$5001,C4670,$H$2:$H$5001)+ROW()/10000000,0))</f>
        <v>0</v>
      </c>
    </row>
    <row r="4671" customFormat="false" ht="15" hidden="false" customHeight="false" outlineLevel="0" collapsed="false">
      <c r="A4671" s="43"/>
      <c r="B4671" s="44"/>
      <c r="C4671" s="44"/>
      <c r="D4671" s="44"/>
      <c r="E4671" s="44"/>
      <c r="F4671" s="44"/>
      <c r="G4671" s="44"/>
      <c r="H4671" s="46" t="str">
        <f aca="false">IF($A4671="","",IF(OR(NOT(ISNUMBER(E4671)),NOT(ISNUMBER(F4671))),"",MAX(0,E4671)*F4671))</f>
        <v/>
      </c>
      <c r="I4671" s="46" t="str">
        <f aca="false">IF($A4671="","",SUMIF($A$2:$A$5001,$A4671,$H$2:$H$5001))</f>
        <v/>
      </c>
      <c r="J4671" s="47" t="n">
        <f aca="false">IF($A4671="",0,IF(COUNTIF($A$2:A4671,$A4671)=1,1,0))</f>
        <v>0</v>
      </c>
      <c r="K4671" s="47" t="n">
        <f aca="false">IF(J4671=1,N(I4671)+ROW()/10000000,0)</f>
        <v>0</v>
      </c>
      <c r="L4671" s="47" t="str">
        <f aca="false">IF(AND(J4671=1,N(I4671)&gt;0),SUMIF($K$2:$K$5001,"&gt;="&amp;K4671,$I$2:$I$5001)/MAX(1,SUM($H$2:$H$5001)),"")</f>
        <v/>
      </c>
      <c r="M4671" s="47" t="str">
        <f aca="false">IF($A4671="","",INDEX($L$2:$L$5001,MATCH($A4671,$A$2:$A$5001,0)))</f>
        <v/>
      </c>
      <c r="N4671" s="48" t="str">
        <f aca="false">IF($A4671="","",IF(N(M4671)=0,"–",IF(M4671&lt;=Start!$D$20,"A",IF(M4671&lt;=Start!$D$21,"B","C"))))</f>
        <v/>
      </c>
      <c r="O4671" s="48" t="str">
        <f aca="false">IF($A4671="","",IF(NOT(ISNUMBER(F4671)),"Wert fehlt; ",IF(F4671&lt;=0,"Wert ist 0; ",""))&amp;IF(NOT(ISNUMBER(E4671)),"Bestand fehlt; ",IF(E4671&lt;0,"Bestand negativ; ",IF(E4671=0,"Nullbestand; ","")))&amp;IF(D4671="","Warengruppe fehlt; ","")&amp;IF(B4671="","Bezeichnung fehlt; ","")&amp;IF(COUNTIFS($A$2:$A$5001,$A4671,$C$2:$C$5001,C4671)&gt;1,"Artikel doppelt im selben Lager; ",""))</f>
        <v/>
      </c>
      <c r="P4671" s="47" t="n">
        <f aca="false">IF(OR($A4671="",D4671=""),0,IF(COUNTIF($D$2:D4671,D4671)=1,SUMIF($D$2:$D$5001,D4671,$H$2:$H$5001)+ROW()/10000000,0))</f>
        <v>0</v>
      </c>
      <c r="Q4671" s="47" t="n">
        <f aca="false">IF(OR($A4671="",C4671=""),0,IF(COUNTIF($C$2:C4671,C4671)=1,SUMIF($C$2:$C$5001,C4671,$H$2:$H$5001)+ROW()/10000000,0))</f>
        <v>0</v>
      </c>
    </row>
    <row r="4672" customFormat="false" ht="15" hidden="false" customHeight="false" outlineLevel="0" collapsed="false">
      <c r="A4672" s="43"/>
      <c r="B4672" s="44"/>
      <c r="C4672" s="44"/>
      <c r="D4672" s="44"/>
      <c r="E4672" s="44"/>
      <c r="F4672" s="44"/>
      <c r="G4672" s="44"/>
      <c r="H4672" s="46" t="str">
        <f aca="false">IF($A4672="","",IF(OR(NOT(ISNUMBER(E4672)),NOT(ISNUMBER(F4672))),"",MAX(0,E4672)*F4672))</f>
        <v/>
      </c>
      <c r="I4672" s="46" t="str">
        <f aca="false">IF($A4672="","",SUMIF($A$2:$A$5001,$A4672,$H$2:$H$5001))</f>
        <v/>
      </c>
      <c r="J4672" s="47" t="n">
        <f aca="false">IF($A4672="",0,IF(COUNTIF($A$2:A4672,$A4672)=1,1,0))</f>
        <v>0</v>
      </c>
      <c r="K4672" s="47" t="n">
        <f aca="false">IF(J4672=1,N(I4672)+ROW()/10000000,0)</f>
        <v>0</v>
      </c>
      <c r="L4672" s="47" t="str">
        <f aca="false">IF(AND(J4672=1,N(I4672)&gt;0),SUMIF($K$2:$K$5001,"&gt;="&amp;K4672,$I$2:$I$5001)/MAX(1,SUM($H$2:$H$5001)),"")</f>
        <v/>
      </c>
      <c r="M4672" s="47" t="str">
        <f aca="false">IF($A4672="","",INDEX($L$2:$L$5001,MATCH($A4672,$A$2:$A$5001,0)))</f>
        <v/>
      </c>
      <c r="N4672" s="48" t="str">
        <f aca="false">IF($A4672="","",IF(N(M4672)=0,"–",IF(M4672&lt;=Start!$D$20,"A",IF(M4672&lt;=Start!$D$21,"B","C"))))</f>
        <v/>
      </c>
      <c r="O4672" s="48" t="str">
        <f aca="false">IF($A4672="","",IF(NOT(ISNUMBER(F4672)),"Wert fehlt; ",IF(F4672&lt;=0,"Wert ist 0; ",""))&amp;IF(NOT(ISNUMBER(E4672)),"Bestand fehlt; ",IF(E4672&lt;0,"Bestand negativ; ",IF(E4672=0,"Nullbestand; ","")))&amp;IF(D4672="","Warengruppe fehlt; ","")&amp;IF(B4672="","Bezeichnung fehlt; ","")&amp;IF(COUNTIFS($A$2:$A$5001,$A4672,$C$2:$C$5001,C4672)&gt;1,"Artikel doppelt im selben Lager; ",""))</f>
        <v/>
      </c>
      <c r="P4672" s="47" t="n">
        <f aca="false">IF(OR($A4672="",D4672=""),0,IF(COUNTIF($D$2:D4672,D4672)=1,SUMIF($D$2:$D$5001,D4672,$H$2:$H$5001)+ROW()/10000000,0))</f>
        <v>0</v>
      </c>
      <c r="Q4672" s="47" t="n">
        <f aca="false">IF(OR($A4672="",C4672=""),0,IF(COUNTIF($C$2:C4672,C4672)=1,SUMIF($C$2:$C$5001,C4672,$H$2:$H$5001)+ROW()/10000000,0))</f>
        <v>0</v>
      </c>
    </row>
    <row r="4673" customFormat="false" ht="15" hidden="false" customHeight="false" outlineLevel="0" collapsed="false">
      <c r="A4673" s="43"/>
      <c r="B4673" s="44"/>
      <c r="C4673" s="44"/>
      <c r="D4673" s="44"/>
      <c r="E4673" s="44"/>
      <c r="F4673" s="44"/>
      <c r="G4673" s="44"/>
      <c r="H4673" s="46" t="str">
        <f aca="false">IF($A4673="","",IF(OR(NOT(ISNUMBER(E4673)),NOT(ISNUMBER(F4673))),"",MAX(0,E4673)*F4673))</f>
        <v/>
      </c>
      <c r="I4673" s="46" t="str">
        <f aca="false">IF($A4673="","",SUMIF($A$2:$A$5001,$A4673,$H$2:$H$5001))</f>
        <v/>
      </c>
      <c r="J4673" s="47" t="n">
        <f aca="false">IF($A4673="",0,IF(COUNTIF($A$2:A4673,$A4673)=1,1,0))</f>
        <v>0</v>
      </c>
      <c r="K4673" s="47" t="n">
        <f aca="false">IF(J4673=1,N(I4673)+ROW()/10000000,0)</f>
        <v>0</v>
      </c>
      <c r="L4673" s="47" t="str">
        <f aca="false">IF(AND(J4673=1,N(I4673)&gt;0),SUMIF($K$2:$K$5001,"&gt;="&amp;K4673,$I$2:$I$5001)/MAX(1,SUM($H$2:$H$5001)),"")</f>
        <v/>
      </c>
      <c r="M4673" s="47" t="str">
        <f aca="false">IF($A4673="","",INDEX($L$2:$L$5001,MATCH($A4673,$A$2:$A$5001,0)))</f>
        <v/>
      </c>
      <c r="N4673" s="48" t="str">
        <f aca="false">IF($A4673="","",IF(N(M4673)=0,"–",IF(M4673&lt;=Start!$D$20,"A",IF(M4673&lt;=Start!$D$21,"B","C"))))</f>
        <v/>
      </c>
      <c r="O4673" s="48" t="str">
        <f aca="false">IF($A4673="","",IF(NOT(ISNUMBER(F4673)),"Wert fehlt; ",IF(F4673&lt;=0,"Wert ist 0; ",""))&amp;IF(NOT(ISNUMBER(E4673)),"Bestand fehlt; ",IF(E4673&lt;0,"Bestand negativ; ",IF(E4673=0,"Nullbestand; ","")))&amp;IF(D4673="","Warengruppe fehlt; ","")&amp;IF(B4673="","Bezeichnung fehlt; ","")&amp;IF(COUNTIFS($A$2:$A$5001,$A4673,$C$2:$C$5001,C4673)&gt;1,"Artikel doppelt im selben Lager; ",""))</f>
        <v/>
      </c>
      <c r="P4673" s="47" t="n">
        <f aca="false">IF(OR($A4673="",D4673=""),0,IF(COUNTIF($D$2:D4673,D4673)=1,SUMIF($D$2:$D$5001,D4673,$H$2:$H$5001)+ROW()/10000000,0))</f>
        <v>0</v>
      </c>
      <c r="Q4673" s="47" t="n">
        <f aca="false">IF(OR($A4673="",C4673=""),0,IF(COUNTIF($C$2:C4673,C4673)=1,SUMIF($C$2:$C$5001,C4673,$H$2:$H$5001)+ROW()/10000000,0))</f>
        <v>0</v>
      </c>
    </row>
    <row r="4674" customFormat="false" ht="15" hidden="false" customHeight="false" outlineLevel="0" collapsed="false">
      <c r="A4674" s="43"/>
      <c r="B4674" s="44"/>
      <c r="C4674" s="44"/>
      <c r="D4674" s="44"/>
      <c r="E4674" s="44"/>
      <c r="F4674" s="44"/>
      <c r="G4674" s="44"/>
      <c r="H4674" s="46" t="str">
        <f aca="false">IF($A4674="","",IF(OR(NOT(ISNUMBER(E4674)),NOT(ISNUMBER(F4674))),"",MAX(0,E4674)*F4674))</f>
        <v/>
      </c>
      <c r="I4674" s="46" t="str">
        <f aca="false">IF($A4674="","",SUMIF($A$2:$A$5001,$A4674,$H$2:$H$5001))</f>
        <v/>
      </c>
      <c r="J4674" s="47" t="n">
        <f aca="false">IF($A4674="",0,IF(COUNTIF($A$2:A4674,$A4674)=1,1,0))</f>
        <v>0</v>
      </c>
      <c r="K4674" s="47" t="n">
        <f aca="false">IF(J4674=1,N(I4674)+ROW()/10000000,0)</f>
        <v>0</v>
      </c>
      <c r="L4674" s="47" t="str">
        <f aca="false">IF(AND(J4674=1,N(I4674)&gt;0),SUMIF($K$2:$K$5001,"&gt;="&amp;K4674,$I$2:$I$5001)/MAX(1,SUM($H$2:$H$5001)),"")</f>
        <v/>
      </c>
      <c r="M4674" s="47" t="str">
        <f aca="false">IF($A4674="","",INDEX($L$2:$L$5001,MATCH($A4674,$A$2:$A$5001,0)))</f>
        <v/>
      </c>
      <c r="N4674" s="48" t="str">
        <f aca="false">IF($A4674="","",IF(N(M4674)=0,"–",IF(M4674&lt;=Start!$D$20,"A",IF(M4674&lt;=Start!$D$21,"B","C"))))</f>
        <v/>
      </c>
      <c r="O4674" s="48" t="str">
        <f aca="false">IF($A4674="","",IF(NOT(ISNUMBER(F4674)),"Wert fehlt; ",IF(F4674&lt;=0,"Wert ist 0; ",""))&amp;IF(NOT(ISNUMBER(E4674)),"Bestand fehlt; ",IF(E4674&lt;0,"Bestand negativ; ",IF(E4674=0,"Nullbestand; ","")))&amp;IF(D4674="","Warengruppe fehlt; ","")&amp;IF(B4674="","Bezeichnung fehlt; ","")&amp;IF(COUNTIFS($A$2:$A$5001,$A4674,$C$2:$C$5001,C4674)&gt;1,"Artikel doppelt im selben Lager; ",""))</f>
        <v/>
      </c>
      <c r="P4674" s="47" t="n">
        <f aca="false">IF(OR($A4674="",D4674=""),0,IF(COUNTIF($D$2:D4674,D4674)=1,SUMIF($D$2:$D$5001,D4674,$H$2:$H$5001)+ROW()/10000000,0))</f>
        <v>0</v>
      </c>
      <c r="Q4674" s="47" t="n">
        <f aca="false">IF(OR($A4674="",C4674=""),0,IF(COUNTIF($C$2:C4674,C4674)=1,SUMIF($C$2:$C$5001,C4674,$H$2:$H$5001)+ROW()/10000000,0))</f>
        <v>0</v>
      </c>
    </row>
    <row r="4675" customFormat="false" ht="15" hidden="false" customHeight="false" outlineLevel="0" collapsed="false">
      <c r="A4675" s="43"/>
      <c r="B4675" s="44"/>
      <c r="C4675" s="44"/>
      <c r="D4675" s="44"/>
      <c r="E4675" s="44"/>
      <c r="F4675" s="44"/>
      <c r="G4675" s="44"/>
      <c r="H4675" s="46" t="str">
        <f aca="false">IF($A4675="","",IF(OR(NOT(ISNUMBER(E4675)),NOT(ISNUMBER(F4675))),"",MAX(0,E4675)*F4675))</f>
        <v/>
      </c>
      <c r="I4675" s="46" t="str">
        <f aca="false">IF($A4675="","",SUMIF($A$2:$A$5001,$A4675,$H$2:$H$5001))</f>
        <v/>
      </c>
      <c r="J4675" s="47" t="n">
        <f aca="false">IF($A4675="",0,IF(COUNTIF($A$2:A4675,$A4675)=1,1,0))</f>
        <v>0</v>
      </c>
      <c r="K4675" s="47" t="n">
        <f aca="false">IF(J4675=1,N(I4675)+ROW()/10000000,0)</f>
        <v>0</v>
      </c>
      <c r="L4675" s="47" t="str">
        <f aca="false">IF(AND(J4675=1,N(I4675)&gt;0),SUMIF($K$2:$K$5001,"&gt;="&amp;K4675,$I$2:$I$5001)/MAX(1,SUM($H$2:$H$5001)),"")</f>
        <v/>
      </c>
      <c r="M4675" s="47" t="str">
        <f aca="false">IF($A4675="","",INDEX($L$2:$L$5001,MATCH($A4675,$A$2:$A$5001,0)))</f>
        <v/>
      </c>
      <c r="N4675" s="48" t="str">
        <f aca="false">IF($A4675="","",IF(N(M4675)=0,"–",IF(M4675&lt;=Start!$D$20,"A",IF(M4675&lt;=Start!$D$21,"B","C"))))</f>
        <v/>
      </c>
      <c r="O4675" s="48" t="str">
        <f aca="false">IF($A4675="","",IF(NOT(ISNUMBER(F4675)),"Wert fehlt; ",IF(F4675&lt;=0,"Wert ist 0; ",""))&amp;IF(NOT(ISNUMBER(E4675)),"Bestand fehlt; ",IF(E4675&lt;0,"Bestand negativ; ",IF(E4675=0,"Nullbestand; ","")))&amp;IF(D4675="","Warengruppe fehlt; ","")&amp;IF(B4675="","Bezeichnung fehlt; ","")&amp;IF(COUNTIFS($A$2:$A$5001,$A4675,$C$2:$C$5001,C4675)&gt;1,"Artikel doppelt im selben Lager; ",""))</f>
        <v/>
      </c>
      <c r="P4675" s="47" t="n">
        <f aca="false">IF(OR($A4675="",D4675=""),0,IF(COUNTIF($D$2:D4675,D4675)=1,SUMIF($D$2:$D$5001,D4675,$H$2:$H$5001)+ROW()/10000000,0))</f>
        <v>0</v>
      </c>
      <c r="Q4675" s="47" t="n">
        <f aca="false">IF(OR($A4675="",C4675=""),0,IF(COUNTIF($C$2:C4675,C4675)=1,SUMIF($C$2:$C$5001,C4675,$H$2:$H$5001)+ROW()/10000000,0))</f>
        <v>0</v>
      </c>
    </row>
    <row r="4676" customFormat="false" ht="15" hidden="false" customHeight="false" outlineLevel="0" collapsed="false">
      <c r="A4676" s="43"/>
      <c r="B4676" s="44"/>
      <c r="C4676" s="44"/>
      <c r="D4676" s="44"/>
      <c r="E4676" s="44"/>
      <c r="F4676" s="44"/>
      <c r="G4676" s="44"/>
      <c r="H4676" s="46" t="str">
        <f aca="false">IF($A4676="","",IF(OR(NOT(ISNUMBER(E4676)),NOT(ISNUMBER(F4676))),"",MAX(0,E4676)*F4676))</f>
        <v/>
      </c>
      <c r="I4676" s="46" t="str">
        <f aca="false">IF($A4676="","",SUMIF($A$2:$A$5001,$A4676,$H$2:$H$5001))</f>
        <v/>
      </c>
      <c r="J4676" s="47" t="n">
        <f aca="false">IF($A4676="",0,IF(COUNTIF($A$2:A4676,$A4676)=1,1,0))</f>
        <v>0</v>
      </c>
      <c r="K4676" s="47" t="n">
        <f aca="false">IF(J4676=1,N(I4676)+ROW()/10000000,0)</f>
        <v>0</v>
      </c>
      <c r="L4676" s="47" t="str">
        <f aca="false">IF(AND(J4676=1,N(I4676)&gt;0),SUMIF($K$2:$K$5001,"&gt;="&amp;K4676,$I$2:$I$5001)/MAX(1,SUM($H$2:$H$5001)),"")</f>
        <v/>
      </c>
      <c r="M4676" s="47" t="str">
        <f aca="false">IF($A4676="","",INDEX($L$2:$L$5001,MATCH($A4676,$A$2:$A$5001,0)))</f>
        <v/>
      </c>
      <c r="N4676" s="48" t="str">
        <f aca="false">IF($A4676="","",IF(N(M4676)=0,"–",IF(M4676&lt;=Start!$D$20,"A",IF(M4676&lt;=Start!$D$21,"B","C"))))</f>
        <v/>
      </c>
      <c r="O4676" s="48" t="str">
        <f aca="false">IF($A4676="","",IF(NOT(ISNUMBER(F4676)),"Wert fehlt; ",IF(F4676&lt;=0,"Wert ist 0; ",""))&amp;IF(NOT(ISNUMBER(E4676)),"Bestand fehlt; ",IF(E4676&lt;0,"Bestand negativ; ",IF(E4676=0,"Nullbestand; ","")))&amp;IF(D4676="","Warengruppe fehlt; ","")&amp;IF(B4676="","Bezeichnung fehlt; ","")&amp;IF(COUNTIFS($A$2:$A$5001,$A4676,$C$2:$C$5001,C4676)&gt;1,"Artikel doppelt im selben Lager; ",""))</f>
        <v/>
      </c>
      <c r="P4676" s="47" t="n">
        <f aca="false">IF(OR($A4676="",D4676=""),0,IF(COUNTIF($D$2:D4676,D4676)=1,SUMIF($D$2:$D$5001,D4676,$H$2:$H$5001)+ROW()/10000000,0))</f>
        <v>0</v>
      </c>
      <c r="Q4676" s="47" t="n">
        <f aca="false">IF(OR($A4676="",C4676=""),0,IF(COUNTIF($C$2:C4676,C4676)=1,SUMIF($C$2:$C$5001,C4676,$H$2:$H$5001)+ROW()/10000000,0))</f>
        <v>0</v>
      </c>
    </row>
    <row r="4677" customFormat="false" ht="15" hidden="false" customHeight="false" outlineLevel="0" collapsed="false">
      <c r="A4677" s="43"/>
      <c r="B4677" s="44"/>
      <c r="C4677" s="44"/>
      <c r="D4677" s="44"/>
      <c r="E4677" s="44"/>
      <c r="F4677" s="44"/>
      <c r="G4677" s="44"/>
      <c r="H4677" s="46" t="str">
        <f aca="false">IF($A4677="","",IF(OR(NOT(ISNUMBER(E4677)),NOT(ISNUMBER(F4677))),"",MAX(0,E4677)*F4677))</f>
        <v/>
      </c>
      <c r="I4677" s="46" t="str">
        <f aca="false">IF($A4677="","",SUMIF($A$2:$A$5001,$A4677,$H$2:$H$5001))</f>
        <v/>
      </c>
      <c r="J4677" s="47" t="n">
        <f aca="false">IF($A4677="",0,IF(COUNTIF($A$2:A4677,$A4677)=1,1,0))</f>
        <v>0</v>
      </c>
      <c r="K4677" s="47" t="n">
        <f aca="false">IF(J4677=1,N(I4677)+ROW()/10000000,0)</f>
        <v>0</v>
      </c>
      <c r="L4677" s="47" t="str">
        <f aca="false">IF(AND(J4677=1,N(I4677)&gt;0),SUMIF($K$2:$K$5001,"&gt;="&amp;K4677,$I$2:$I$5001)/MAX(1,SUM($H$2:$H$5001)),"")</f>
        <v/>
      </c>
      <c r="M4677" s="47" t="str">
        <f aca="false">IF($A4677="","",INDEX($L$2:$L$5001,MATCH($A4677,$A$2:$A$5001,0)))</f>
        <v/>
      </c>
      <c r="N4677" s="48" t="str">
        <f aca="false">IF($A4677="","",IF(N(M4677)=0,"–",IF(M4677&lt;=Start!$D$20,"A",IF(M4677&lt;=Start!$D$21,"B","C"))))</f>
        <v/>
      </c>
      <c r="O4677" s="48" t="str">
        <f aca="false">IF($A4677="","",IF(NOT(ISNUMBER(F4677)),"Wert fehlt; ",IF(F4677&lt;=0,"Wert ist 0; ",""))&amp;IF(NOT(ISNUMBER(E4677)),"Bestand fehlt; ",IF(E4677&lt;0,"Bestand negativ; ",IF(E4677=0,"Nullbestand; ","")))&amp;IF(D4677="","Warengruppe fehlt; ","")&amp;IF(B4677="","Bezeichnung fehlt; ","")&amp;IF(COUNTIFS($A$2:$A$5001,$A4677,$C$2:$C$5001,C4677)&gt;1,"Artikel doppelt im selben Lager; ",""))</f>
        <v/>
      </c>
      <c r="P4677" s="47" t="n">
        <f aca="false">IF(OR($A4677="",D4677=""),0,IF(COUNTIF($D$2:D4677,D4677)=1,SUMIF($D$2:$D$5001,D4677,$H$2:$H$5001)+ROW()/10000000,0))</f>
        <v>0</v>
      </c>
      <c r="Q4677" s="47" t="n">
        <f aca="false">IF(OR($A4677="",C4677=""),0,IF(COUNTIF($C$2:C4677,C4677)=1,SUMIF($C$2:$C$5001,C4677,$H$2:$H$5001)+ROW()/10000000,0))</f>
        <v>0</v>
      </c>
    </row>
    <row r="4678" customFormat="false" ht="15" hidden="false" customHeight="false" outlineLevel="0" collapsed="false">
      <c r="A4678" s="43"/>
      <c r="B4678" s="44"/>
      <c r="C4678" s="44"/>
      <c r="D4678" s="44"/>
      <c r="E4678" s="44"/>
      <c r="F4678" s="44"/>
      <c r="G4678" s="44"/>
      <c r="H4678" s="46" t="str">
        <f aca="false">IF($A4678="","",IF(OR(NOT(ISNUMBER(E4678)),NOT(ISNUMBER(F4678))),"",MAX(0,E4678)*F4678))</f>
        <v/>
      </c>
      <c r="I4678" s="46" t="str">
        <f aca="false">IF($A4678="","",SUMIF($A$2:$A$5001,$A4678,$H$2:$H$5001))</f>
        <v/>
      </c>
      <c r="J4678" s="47" t="n">
        <f aca="false">IF($A4678="",0,IF(COUNTIF($A$2:A4678,$A4678)=1,1,0))</f>
        <v>0</v>
      </c>
      <c r="K4678" s="47" t="n">
        <f aca="false">IF(J4678=1,N(I4678)+ROW()/10000000,0)</f>
        <v>0</v>
      </c>
      <c r="L4678" s="47" t="str">
        <f aca="false">IF(AND(J4678=1,N(I4678)&gt;0),SUMIF($K$2:$K$5001,"&gt;="&amp;K4678,$I$2:$I$5001)/MAX(1,SUM($H$2:$H$5001)),"")</f>
        <v/>
      </c>
      <c r="M4678" s="47" t="str">
        <f aca="false">IF($A4678="","",INDEX($L$2:$L$5001,MATCH($A4678,$A$2:$A$5001,0)))</f>
        <v/>
      </c>
      <c r="N4678" s="48" t="str">
        <f aca="false">IF($A4678="","",IF(N(M4678)=0,"–",IF(M4678&lt;=Start!$D$20,"A",IF(M4678&lt;=Start!$D$21,"B","C"))))</f>
        <v/>
      </c>
      <c r="O4678" s="48" t="str">
        <f aca="false">IF($A4678="","",IF(NOT(ISNUMBER(F4678)),"Wert fehlt; ",IF(F4678&lt;=0,"Wert ist 0; ",""))&amp;IF(NOT(ISNUMBER(E4678)),"Bestand fehlt; ",IF(E4678&lt;0,"Bestand negativ; ",IF(E4678=0,"Nullbestand; ","")))&amp;IF(D4678="","Warengruppe fehlt; ","")&amp;IF(B4678="","Bezeichnung fehlt; ","")&amp;IF(COUNTIFS($A$2:$A$5001,$A4678,$C$2:$C$5001,C4678)&gt;1,"Artikel doppelt im selben Lager; ",""))</f>
        <v/>
      </c>
      <c r="P4678" s="47" t="n">
        <f aca="false">IF(OR($A4678="",D4678=""),0,IF(COUNTIF($D$2:D4678,D4678)=1,SUMIF($D$2:$D$5001,D4678,$H$2:$H$5001)+ROW()/10000000,0))</f>
        <v>0</v>
      </c>
      <c r="Q4678" s="47" t="n">
        <f aca="false">IF(OR($A4678="",C4678=""),0,IF(COUNTIF($C$2:C4678,C4678)=1,SUMIF($C$2:$C$5001,C4678,$H$2:$H$5001)+ROW()/10000000,0))</f>
        <v>0</v>
      </c>
    </row>
    <row r="4679" customFormat="false" ht="15" hidden="false" customHeight="false" outlineLevel="0" collapsed="false">
      <c r="A4679" s="43"/>
      <c r="B4679" s="44"/>
      <c r="C4679" s="44"/>
      <c r="D4679" s="44"/>
      <c r="E4679" s="44"/>
      <c r="F4679" s="44"/>
      <c r="G4679" s="44"/>
      <c r="H4679" s="46" t="str">
        <f aca="false">IF($A4679="","",IF(OR(NOT(ISNUMBER(E4679)),NOT(ISNUMBER(F4679))),"",MAX(0,E4679)*F4679))</f>
        <v/>
      </c>
      <c r="I4679" s="46" t="str">
        <f aca="false">IF($A4679="","",SUMIF($A$2:$A$5001,$A4679,$H$2:$H$5001))</f>
        <v/>
      </c>
      <c r="J4679" s="47" t="n">
        <f aca="false">IF($A4679="",0,IF(COUNTIF($A$2:A4679,$A4679)=1,1,0))</f>
        <v>0</v>
      </c>
      <c r="K4679" s="47" t="n">
        <f aca="false">IF(J4679=1,N(I4679)+ROW()/10000000,0)</f>
        <v>0</v>
      </c>
      <c r="L4679" s="47" t="str">
        <f aca="false">IF(AND(J4679=1,N(I4679)&gt;0),SUMIF($K$2:$K$5001,"&gt;="&amp;K4679,$I$2:$I$5001)/MAX(1,SUM($H$2:$H$5001)),"")</f>
        <v/>
      </c>
      <c r="M4679" s="47" t="str">
        <f aca="false">IF($A4679="","",INDEX($L$2:$L$5001,MATCH($A4679,$A$2:$A$5001,0)))</f>
        <v/>
      </c>
      <c r="N4679" s="48" t="str">
        <f aca="false">IF($A4679="","",IF(N(M4679)=0,"–",IF(M4679&lt;=Start!$D$20,"A",IF(M4679&lt;=Start!$D$21,"B","C"))))</f>
        <v/>
      </c>
      <c r="O4679" s="48" t="str">
        <f aca="false">IF($A4679="","",IF(NOT(ISNUMBER(F4679)),"Wert fehlt; ",IF(F4679&lt;=0,"Wert ist 0; ",""))&amp;IF(NOT(ISNUMBER(E4679)),"Bestand fehlt; ",IF(E4679&lt;0,"Bestand negativ; ",IF(E4679=0,"Nullbestand; ","")))&amp;IF(D4679="","Warengruppe fehlt; ","")&amp;IF(B4679="","Bezeichnung fehlt; ","")&amp;IF(COUNTIFS($A$2:$A$5001,$A4679,$C$2:$C$5001,C4679)&gt;1,"Artikel doppelt im selben Lager; ",""))</f>
        <v/>
      </c>
      <c r="P4679" s="47" t="n">
        <f aca="false">IF(OR($A4679="",D4679=""),0,IF(COUNTIF($D$2:D4679,D4679)=1,SUMIF($D$2:$D$5001,D4679,$H$2:$H$5001)+ROW()/10000000,0))</f>
        <v>0</v>
      </c>
      <c r="Q4679" s="47" t="n">
        <f aca="false">IF(OR($A4679="",C4679=""),0,IF(COUNTIF($C$2:C4679,C4679)=1,SUMIF($C$2:$C$5001,C4679,$H$2:$H$5001)+ROW()/10000000,0))</f>
        <v>0</v>
      </c>
    </row>
    <row r="4680" customFormat="false" ht="15" hidden="false" customHeight="false" outlineLevel="0" collapsed="false">
      <c r="A4680" s="43"/>
      <c r="B4680" s="44"/>
      <c r="C4680" s="44"/>
      <c r="D4680" s="44"/>
      <c r="E4680" s="44"/>
      <c r="F4680" s="44"/>
      <c r="G4680" s="44"/>
      <c r="H4680" s="46" t="str">
        <f aca="false">IF($A4680="","",IF(OR(NOT(ISNUMBER(E4680)),NOT(ISNUMBER(F4680))),"",MAX(0,E4680)*F4680))</f>
        <v/>
      </c>
      <c r="I4680" s="46" t="str">
        <f aca="false">IF($A4680="","",SUMIF($A$2:$A$5001,$A4680,$H$2:$H$5001))</f>
        <v/>
      </c>
      <c r="J4680" s="47" t="n">
        <f aca="false">IF($A4680="",0,IF(COUNTIF($A$2:A4680,$A4680)=1,1,0))</f>
        <v>0</v>
      </c>
      <c r="K4680" s="47" t="n">
        <f aca="false">IF(J4680=1,N(I4680)+ROW()/10000000,0)</f>
        <v>0</v>
      </c>
      <c r="L4680" s="47" t="str">
        <f aca="false">IF(AND(J4680=1,N(I4680)&gt;0),SUMIF($K$2:$K$5001,"&gt;="&amp;K4680,$I$2:$I$5001)/MAX(1,SUM($H$2:$H$5001)),"")</f>
        <v/>
      </c>
      <c r="M4680" s="47" t="str">
        <f aca="false">IF($A4680="","",INDEX($L$2:$L$5001,MATCH($A4680,$A$2:$A$5001,0)))</f>
        <v/>
      </c>
      <c r="N4680" s="48" t="str">
        <f aca="false">IF($A4680="","",IF(N(M4680)=0,"–",IF(M4680&lt;=Start!$D$20,"A",IF(M4680&lt;=Start!$D$21,"B","C"))))</f>
        <v/>
      </c>
      <c r="O4680" s="48" t="str">
        <f aca="false">IF($A4680="","",IF(NOT(ISNUMBER(F4680)),"Wert fehlt; ",IF(F4680&lt;=0,"Wert ist 0; ",""))&amp;IF(NOT(ISNUMBER(E4680)),"Bestand fehlt; ",IF(E4680&lt;0,"Bestand negativ; ",IF(E4680=0,"Nullbestand; ","")))&amp;IF(D4680="","Warengruppe fehlt; ","")&amp;IF(B4680="","Bezeichnung fehlt; ","")&amp;IF(COUNTIFS($A$2:$A$5001,$A4680,$C$2:$C$5001,C4680)&gt;1,"Artikel doppelt im selben Lager; ",""))</f>
        <v/>
      </c>
      <c r="P4680" s="47" t="n">
        <f aca="false">IF(OR($A4680="",D4680=""),0,IF(COUNTIF($D$2:D4680,D4680)=1,SUMIF($D$2:$D$5001,D4680,$H$2:$H$5001)+ROW()/10000000,0))</f>
        <v>0</v>
      </c>
      <c r="Q4680" s="47" t="n">
        <f aca="false">IF(OR($A4680="",C4680=""),0,IF(COUNTIF($C$2:C4680,C4680)=1,SUMIF($C$2:$C$5001,C4680,$H$2:$H$5001)+ROW()/10000000,0))</f>
        <v>0</v>
      </c>
    </row>
    <row r="4681" customFormat="false" ht="15" hidden="false" customHeight="false" outlineLevel="0" collapsed="false">
      <c r="A4681" s="43"/>
      <c r="B4681" s="44"/>
      <c r="C4681" s="44"/>
      <c r="D4681" s="44"/>
      <c r="E4681" s="44"/>
      <c r="F4681" s="44"/>
      <c r="G4681" s="44"/>
      <c r="H4681" s="46" t="str">
        <f aca="false">IF($A4681="","",IF(OR(NOT(ISNUMBER(E4681)),NOT(ISNUMBER(F4681))),"",MAX(0,E4681)*F4681))</f>
        <v/>
      </c>
      <c r="I4681" s="46" t="str">
        <f aca="false">IF($A4681="","",SUMIF($A$2:$A$5001,$A4681,$H$2:$H$5001))</f>
        <v/>
      </c>
      <c r="J4681" s="47" t="n">
        <f aca="false">IF($A4681="",0,IF(COUNTIF($A$2:A4681,$A4681)=1,1,0))</f>
        <v>0</v>
      </c>
      <c r="K4681" s="47" t="n">
        <f aca="false">IF(J4681=1,N(I4681)+ROW()/10000000,0)</f>
        <v>0</v>
      </c>
      <c r="L4681" s="47" t="str">
        <f aca="false">IF(AND(J4681=1,N(I4681)&gt;0),SUMIF($K$2:$K$5001,"&gt;="&amp;K4681,$I$2:$I$5001)/MAX(1,SUM($H$2:$H$5001)),"")</f>
        <v/>
      </c>
      <c r="M4681" s="47" t="str">
        <f aca="false">IF($A4681="","",INDEX($L$2:$L$5001,MATCH($A4681,$A$2:$A$5001,0)))</f>
        <v/>
      </c>
      <c r="N4681" s="48" t="str">
        <f aca="false">IF($A4681="","",IF(N(M4681)=0,"–",IF(M4681&lt;=Start!$D$20,"A",IF(M4681&lt;=Start!$D$21,"B","C"))))</f>
        <v/>
      </c>
      <c r="O4681" s="48" t="str">
        <f aca="false">IF($A4681="","",IF(NOT(ISNUMBER(F4681)),"Wert fehlt; ",IF(F4681&lt;=0,"Wert ist 0; ",""))&amp;IF(NOT(ISNUMBER(E4681)),"Bestand fehlt; ",IF(E4681&lt;0,"Bestand negativ; ",IF(E4681=0,"Nullbestand; ","")))&amp;IF(D4681="","Warengruppe fehlt; ","")&amp;IF(B4681="","Bezeichnung fehlt; ","")&amp;IF(COUNTIFS($A$2:$A$5001,$A4681,$C$2:$C$5001,C4681)&gt;1,"Artikel doppelt im selben Lager; ",""))</f>
        <v/>
      </c>
      <c r="P4681" s="47" t="n">
        <f aca="false">IF(OR($A4681="",D4681=""),0,IF(COUNTIF($D$2:D4681,D4681)=1,SUMIF($D$2:$D$5001,D4681,$H$2:$H$5001)+ROW()/10000000,0))</f>
        <v>0</v>
      </c>
      <c r="Q4681" s="47" t="n">
        <f aca="false">IF(OR($A4681="",C4681=""),0,IF(COUNTIF($C$2:C4681,C4681)=1,SUMIF($C$2:$C$5001,C4681,$H$2:$H$5001)+ROW()/10000000,0))</f>
        <v>0</v>
      </c>
    </row>
    <row r="4682" customFormat="false" ht="15" hidden="false" customHeight="false" outlineLevel="0" collapsed="false">
      <c r="A4682" s="43"/>
      <c r="B4682" s="44"/>
      <c r="C4682" s="44"/>
      <c r="D4682" s="44"/>
      <c r="E4682" s="44"/>
      <c r="F4682" s="44"/>
      <c r="G4682" s="44"/>
      <c r="H4682" s="46" t="str">
        <f aca="false">IF($A4682="","",IF(OR(NOT(ISNUMBER(E4682)),NOT(ISNUMBER(F4682))),"",MAX(0,E4682)*F4682))</f>
        <v/>
      </c>
      <c r="I4682" s="46" t="str">
        <f aca="false">IF($A4682="","",SUMIF($A$2:$A$5001,$A4682,$H$2:$H$5001))</f>
        <v/>
      </c>
      <c r="J4682" s="47" t="n">
        <f aca="false">IF($A4682="",0,IF(COUNTIF($A$2:A4682,$A4682)=1,1,0))</f>
        <v>0</v>
      </c>
      <c r="K4682" s="47" t="n">
        <f aca="false">IF(J4682=1,N(I4682)+ROW()/10000000,0)</f>
        <v>0</v>
      </c>
      <c r="L4682" s="47" t="str">
        <f aca="false">IF(AND(J4682=1,N(I4682)&gt;0),SUMIF($K$2:$K$5001,"&gt;="&amp;K4682,$I$2:$I$5001)/MAX(1,SUM($H$2:$H$5001)),"")</f>
        <v/>
      </c>
      <c r="M4682" s="47" t="str">
        <f aca="false">IF($A4682="","",INDEX($L$2:$L$5001,MATCH($A4682,$A$2:$A$5001,0)))</f>
        <v/>
      </c>
      <c r="N4682" s="48" t="str">
        <f aca="false">IF($A4682="","",IF(N(M4682)=0,"–",IF(M4682&lt;=Start!$D$20,"A",IF(M4682&lt;=Start!$D$21,"B","C"))))</f>
        <v/>
      </c>
      <c r="O4682" s="48" t="str">
        <f aca="false">IF($A4682="","",IF(NOT(ISNUMBER(F4682)),"Wert fehlt; ",IF(F4682&lt;=0,"Wert ist 0; ",""))&amp;IF(NOT(ISNUMBER(E4682)),"Bestand fehlt; ",IF(E4682&lt;0,"Bestand negativ; ",IF(E4682=0,"Nullbestand; ","")))&amp;IF(D4682="","Warengruppe fehlt; ","")&amp;IF(B4682="","Bezeichnung fehlt; ","")&amp;IF(COUNTIFS($A$2:$A$5001,$A4682,$C$2:$C$5001,C4682)&gt;1,"Artikel doppelt im selben Lager; ",""))</f>
        <v/>
      </c>
      <c r="P4682" s="47" t="n">
        <f aca="false">IF(OR($A4682="",D4682=""),0,IF(COUNTIF($D$2:D4682,D4682)=1,SUMIF($D$2:$D$5001,D4682,$H$2:$H$5001)+ROW()/10000000,0))</f>
        <v>0</v>
      </c>
      <c r="Q4682" s="47" t="n">
        <f aca="false">IF(OR($A4682="",C4682=""),0,IF(COUNTIF($C$2:C4682,C4682)=1,SUMIF($C$2:$C$5001,C4682,$H$2:$H$5001)+ROW()/10000000,0))</f>
        <v>0</v>
      </c>
    </row>
    <row r="4683" customFormat="false" ht="15" hidden="false" customHeight="false" outlineLevel="0" collapsed="false">
      <c r="A4683" s="43"/>
      <c r="B4683" s="44"/>
      <c r="C4683" s="44"/>
      <c r="D4683" s="44"/>
      <c r="E4683" s="44"/>
      <c r="F4683" s="44"/>
      <c r="G4683" s="44"/>
      <c r="H4683" s="46" t="str">
        <f aca="false">IF($A4683="","",IF(OR(NOT(ISNUMBER(E4683)),NOT(ISNUMBER(F4683))),"",MAX(0,E4683)*F4683))</f>
        <v/>
      </c>
      <c r="I4683" s="46" t="str">
        <f aca="false">IF($A4683="","",SUMIF($A$2:$A$5001,$A4683,$H$2:$H$5001))</f>
        <v/>
      </c>
      <c r="J4683" s="47" t="n">
        <f aca="false">IF($A4683="",0,IF(COUNTIF($A$2:A4683,$A4683)=1,1,0))</f>
        <v>0</v>
      </c>
      <c r="K4683" s="47" t="n">
        <f aca="false">IF(J4683=1,N(I4683)+ROW()/10000000,0)</f>
        <v>0</v>
      </c>
      <c r="L4683" s="47" t="str">
        <f aca="false">IF(AND(J4683=1,N(I4683)&gt;0),SUMIF($K$2:$K$5001,"&gt;="&amp;K4683,$I$2:$I$5001)/MAX(1,SUM($H$2:$H$5001)),"")</f>
        <v/>
      </c>
      <c r="M4683" s="47" t="str">
        <f aca="false">IF($A4683="","",INDEX($L$2:$L$5001,MATCH($A4683,$A$2:$A$5001,0)))</f>
        <v/>
      </c>
      <c r="N4683" s="48" t="str">
        <f aca="false">IF($A4683="","",IF(N(M4683)=0,"–",IF(M4683&lt;=Start!$D$20,"A",IF(M4683&lt;=Start!$D$21,"B","C"))))</f>
        <v/>
      </c>
      <c r="O4683" s="48" t="str">
        <f aca="false">IF($A4683="","",IF(NOT(ISNUMBER(F4683)),"Wert fehlt; ",IF(F4683&lt;=0,"Wert ist 0; ",""))&amp;IF(NOT(ISNUMBER(E4683)),"Bestand fehlt; ",IF(E4683&lt;0,"Bestand negativ; ",IF(E4683=0,"Nullbestand; ","")))&amp;IF(D4683="","Warengruppe fehlt; ","")&amp;IF(B4683="","Bezeichnung fehlt; ","")&amp;IF(COUNTIFS($A$2:$A$5001,$A4683,$C$2:$C$5001,C4683)&gt;1,"Artikel doppelt im selben Lager; ",""))</f>
        <v/>
      </c>
      <c r="P4683" s="47" t="n">
        <f aca="false">IF(OR($A4683="",D4683=""),0,IF(COUNTIF($D$2:D4683,D4683)=1,SUMIF($D$2:$D$5001,D4683,$H$2:$H$5001)+ROW()/10000000,0))</f>
        <v>0</v>
      </c>
      <c r="Q4683" s="47" t="n">
        <f aca="false">IF(OR($A4683="",C4683=""),0,IF(COUNTIF($C$2:C4683,C4683)=1,SUMIF($C$2:$C$5001,C4683,$H$2:$H$5001)+ROW()/10000000,0))</f>
        <v>0</v>
      </c>
    </row>
    <row r="4684" customFormat="false" ht="15" hidden="false" customHeight="false" outlineLevel="0" collapsed="false">
      <c r="A4684" s="43"/>
      <c r="B4684" s="44"/>
      <c r="C4684" s="44"/>
      <c r="D4684" s="44"/>
      <c r="E4684" s="44"/>
      <c r="F4684" s="44"/>
      <c r="G4684" s="44"/>
      <c r="H4684" s="46" t="str">
        <f aca="false">IF($A4684="","",IF(OR(NOT(ISNUMBER(E4684)),NOT(ISNUMBER(F4684))),"",MAX(0,E4684)*F4684))</f>
        <v/>
      </c>
      <c r="I4684" s="46" t="str">
        <f aca="false">IF($A4684="","",SUMIF($A$2:$A$5001,$A4684,$H$2:$H$5001))</f>
        <v/>
      </c>
      <c r="J4684" s="47" t="n">
        <f aca="false">IF($A4684="",0,IF(COUNTIF($A$2:A4684,$A4684)=1,1,0))</f>
        <v>0</v>
      </c>
      <c r="K4684" s="47" t="n">
        <f aca="false">IF(J4684=1,N(I4684)+ROW()/10000000,0)</f>
        <v>0</v>
      </c>
      <c r="L4684" s="47" t="str">
        <f aca="false">IF(AND(J4684=1,N(I4684)&gt;0),SUMIF($K$2:$K$5001,"&gt;="&amp;K4684,$I$2:$I$5001)/MAX(1,SUM($H$2:$H$5001)),"")</f>
        <v/>
      </c>
      <c r="M4684" s="47" t="str">
        <f aca="false">IF($A4684="","",INDEX($L$2:$L$5001,MATCH($A4684,$A$2:$A$5001,0)))</f>
        <v/>
      </c>
      <c r="N4684" s="48" t="str">
        <f aca="false">IF($A4684="","",IF(N(M4684)=0,"–",IF(M4684&lt;=Start!$D$20,"A",IF(M4684&lt;=Start!$D$21,"B","C"))))</f>
        <v/>
      </c>
      <c r="O4684" s="48" t="str">
        <f aca="false">IF($A4684="","",IF(NOT(ISNUMBER(F4684)),"Wert fehlt; ",IF(F4684&lt;=0,"Wert ist 0; ",""))&amp;IF(NOT(ISNUMBER(E4684)),"Bestand fehlt; ",IF(E4684&lt;0,"Bestand negativ; ",IF(E4684=0,"Nullbestand; ","")))&amp;IF(D4684="","Warengruppe fehlt; ","")&amp;IF(B4684="","Bezeichnung fehlt; ","")&amp;IF(COUNTIFS($A$2:$A$5001,$A4684,$C$2:$C$5001,C4684)&gt;1,"Artikel doppelt im selben Lager; ",""))</f>
        <v/>
      </c>
      <c r="P4684" s="47" t="n">
        <f aca="false">IF(OR($A4684="",D4684=""),0,IF(COUNTIF($D$2:D4684,D4684)=1,SUMIF($D$2:$D$5001,D4684,$H$2:$H$5001)+ROW()/10000000,0))</f>
        <v>0</v>
      </c>
      <c r="Q4684" s="47" t="n">
        <f aca="false">IF(OR($A4684="",C4684=""),0,IF(COUNTIF($C$2:C4684,C4684)=1,SUMIF($C$2:$C$5001,C4684,$H$2:$H$5001)+ROW()/10000000,0))</f>
        <v>0</v>
      </c>
    </row>
    <row r="4685" customFormat="false" ht="15" hidden="false" customHeight="false" outlineLevel="0" collapsed="false">
      <c r="A4685" s="43"/>
      <c r="B4685" s="44"/>
      <c r="C4685" s="44"/>
      <c r="D4685" s="44"/>
      <c r="E4685" s="44"/>
      <c r="F4685" s="44"/>
      <c r="G4685" s="44"/>
      <c r="H4685" s="46" t="str">
        <f aca="false">IF($A4685="","",IF(OR(NOT(ISNUMBER(E4685)),NOT(ISNUMBER(F4685))),"",MAX(0,E4685)*F4685))</f>
        <v/>
      </c>
      <c r="I4685" s="46" t="str">
        <f aca="false">IF($A4685="","",SUMIF($A$2:$A$5001,$A4685,$H$2:$H$5001))</f>
        <v/>
      </c>
      <c r="J4685" s="47" t="n">
        <f aca="false">IF($A4685="",0,IF(COUNTIF($A$2:A4685,$A4685)=1,1,0))</f>
        <v>0</v>
      </c>
      <c r="K4685" s="47" t="n">
        <f aca="false">IF(J4685=1,N(I4685)+ROW()/10000000,0)</f>
        <v>0</v>
      </c>
      <c r="L4685" s="47" t="str">
        <f aca="false">IF(AND(J4685=1,N(I4685)&gt;0),SUMIF($K$2:$K$5001,"&gt;="&amp;K4685,$I$2:$I$5001)/MAX(1,SUM($H$2:$H$5001)),"")</f>
        <v/>
      </c>
      <c r="M4685" s="47" t="str">
        <f aca="false">IF($A4685="","",INDEX($L$2:$L$5001,MATCH($A4685,$A$2:$A$5001,0)))</f>
        <v/>
      </c>
      <c r="N4685" s="48" t="str">
        <f aca="false">IF($A4685="","",IF(N(M4685)=0,"–",IF(M4685&lt;=Start!$D$20,"A",IF(M4685&lt;=Start!$D$21,"B","C"))))</f>
        <v/>
      </c>
      <c r="O4685" s="48" t="str">
        <f aca="false">IF($A4685="","",IF(NOT(ISNUMBER(F4685)),"Wert fehlt; ",IF(F4685&lt;=0,"Wert ist 0; ",""))&amp;IF(NOT(ISNUMBER(E4685)),"Bestand fehlt; ",IF(E4685&lt;0,"Bestand negativ; ",IF(E4685=0,"Nullbestand; ","")))&amp;IF(D4685="","Warengruppe fehlt; ","")&amp;IF(B4685="","Bezeichnung fehlt; ","")&amp;IF(COUNTIFS($A$2:$A$5001,$A4685,$C$2:$C$5001,C4685)&gt;1,"Artikel doppelt im selben Lager; ",""))</f>
        <v/>
      </c>
      <c r="P4685" s="47" t="n">
        <f aca="false">IF(OR($A4685="",D4685=""),0,IF(COUNTIF($D$2:D4685,D4685)=1,SUMIF($D$2:$D$5001,D4685,$H$2:$H$5001)+ROW()/10000000,0))</f>
        <v>0</v>
      </c>
      <c r="Q4685" s="47" t="n">
        <f aca="false">IF(OR($A4685="",C4685=""),0,IF(COUNTIF($C$2:C4685,C4685)=1,SUMIF($C$2:$C$5001,C4685,$H$2:$H$5001)+ROW()/10000000,0))</f>
        <v>0</v>
      </c>
    </row>
    <row r="4686" customFormat="false" ht="15" hidden="false" customHeight="false" outlineLevel="0" collapsed="false">
      <c r="A4686" s="43"/>
      <c r="B4686" s="44"/>
      <c r="C4686" s="44"/>
      <c r="D4686" s="44"/>
      <c r="E4686" s="44"/>
      <c r="F4686" s="44"/>
      <c r="G4686" s="44"/>
      <c r="H4686" s="46" t="str">
        <f aca="false">IF($A4686="","",IF(OR(NOT(ISNUMBER(E4686)),NOT(ISNUMBER(F4686))),"",MAX(0,E4686)*F4686))</f>
        <v/>
      </c>
      <c r="I4686" s="46" t="str">
        <f aca="false">IF($A4686="","",SUMIF($A$2:$A$5001,$A4686,$H$2:$H$5001))</f>
        <v/>
      </c>
      <c r="J4686" s="47" t="n">
        <f aca="false">IF($A4686="",0,IF(COUNTIF($A$2:A4686,$A4686)=1,1,0))</f>
        <v>0</v>
      </c>
      <c r="K4686" s="47" t="n">
        <f aca="false">IF(J4686=1,N(I4686)+ROW()/10000000,0)</f>
        <v>0</v>
      </c>
      <c r="L4686" s="47" t="str">
        <f aca="false">IF(AND(J4686=1,N(I4686)&gt;0),SUMIF($K$2:$K$5001,"&gt;="&amp;K4686,$I$2:$I$5001)/MAX(1,SUM($H$2:$H$5001)),"")</f>
        <v/>
      </c>
      <c r="M4686" s="47" t="str">
        <f aca="false">IF($A4686="","",INDEX($L$2:$L$5001,MATCH($A4686,$A$2:$A$5001,0)))</f>
        <v/>
      </c>
      <c r="N4686" s="48" t="str">
        <f aca="false">IF($A4686="","",IF(N(M4686)=0,"–",IF(M4686&lt;=Start!$D$20,"A",IF(M4686&lt;=Start!$D$21,"B","C"))))</f>
        <v/>
      </c>
      <c r="O4686" s="48" t="str">
        <f aca="false">IF($A4686="","",IF(NOT(ISNUMBER(F4686)),"Wert fehlt; ",IF(F4686&lt;=0,"Wert ist 0; ",""))&amp;IF(NOT(ISNUMBER(E4686)),"Bestand fehlt; ",IF(E4686&lt;0,"Bestand negativ; ",IF(E4686=0,"Nullbestand; ","")))&amp;IF(D4686="","Warengruppe fehlt; ","")&amp;IF(B4686="","Bezeichnung fehlt; ","")&amp;IF(COUNTIFS($A$2:$A$5001,$A4686,$C$2:$C$5001,C4686)&gt;1,"Artikel doppelt im selben Lager; ",""))</f>
        <v/>
      </c>
      <c r="P4686" s="47" t="n">
        <f aca="false">IF(OR($A4686="",D4686=""),0,IF(COUNTIF($D$2:D4686,D4686)=1,SUMIF($D$2:$D$5001,D4686,$H$2:$H$5001)+ROW()/10000000,0))</f>
        <v>0</v>
      </c>
      <c r="Q4686" s="47" t="n">
        <f aca="false">IF(OR($A4686="",C4686=""),0,IF(COUNTIF($C$2:C4686,C4686)=1,SUMIF($C$2:$C$5001,C4686,$H$2:$H$5001)+ROW()/10000000,0))</f>
        <v>0</v>
      </c>
    </row>
    <row r="4687" customFormat="false" ht="15" hidden="false" customHeight="false" outlineLevel="0" collapsed="false">
      <c r="A4687" s="43"/>
      <c r="B4687" s="44"/>
      <c r="C4687" s="44"/>
      <c r="D4687" s="44"/>
      <c r="E4687" s="44"/>
      <c r="F4687" s="44"/>
      <c r="G4687" s="44"/>
      <c r="H4687" s="46" t="str">
        <f aca="false">IF($A4687="","",IF(OR(NOT(ISNUMBER(E4687)),NOT(ISNUMBER(F4687))),"",MAX(0,E4687)*F4687))</f>
        <v/>
      </c>
      <c r="I4687" s="46" t="str">
        <f aca="false">IF($A4687="","",SUMIF($A$2:$A$5001,$A4687,$H$2:$H$5001))</f>
        <v/>
      </c>
      <c r="J4687" s="47" t="n">
        <f aca="false">IF($A4687="",0,IF(COUNTIF($A$2:A4687,$A4687)=1,1,0))</f>
        <v>0</v>
      </c>
      <c r="K4687" s="47" t="n">
        <f aca="false">IF(J4687=1,N(I4687)+ROW()/10000000,0)</f>
        <v>0</v>
      </c>
      <c r="L4687" s="47" t="str">
        <f aca="false">IF(AND(J4687=1,N(I4687)&gt;0),SUMIF($K$2:$K$5001,"&gt;="&amp;K4687,$I$2:$I$5001)/MAX(1,SUM($H$2:$H$5001)),"")</f>
        <v/>
      </c>
      <c r="M4687" s="47" t="str">
        <f aca="false">IF($A4687="","",INDEX($L$2:$L$5001,MATCH($A4687,$A$2:$A$5001,0)))</f>
        <v/>
      </c>
      <c r="N4687" s="48" t="str">
        <f aca="false">IF($A4687="","",IF(N(M4687)=0,"–",IF(M4687&lt;=Start!$D$20,"A",IF(M4687&lt;=Start!$D$21,"B","C"))))</f>
        <v/>
      </c>
      <c r="O4687" s="48" t="str">
        <f aca="false">IF($A4687="","",IF(NOT(ISNUMBER(F4687)),"Wert fehlt; ",IF(F4687&lt;=0,"Wert ist 0; ",""))&amp;IF(NOT(ISNUMBER(E4687)),"Bestand fehlt; ",IF(E4687&lt;0,"Bestand negativ; ",IF(E4687=0,"Nullbestand; ","")))&amp;IF(D4687="","Warengruppe fehlt; ","")&amp;IF(B4687="","Bezeichnung fehlt; ","")&amp;IF(COUNTIFS($A$2:$A$5001,$A4687,$C$2:$C$5001,C4687)&gt;1,"Artikel doppelt im selben Lager; ",""))</f>
        <v/>
      </c>
      <c r="P4687" s="47" t="n">
        <f aca="false">IF(OR($A4687="",D4687=""),0,IF(COUNTIF($D$2:D4687,D4687)=1,SUMIF($D$2:$D$5001,D4687,$H$2:$H$5001)+ROW()/10000000,0))</f>
        <v>0</v>
      </c>
      <c r="Q4687" s="47" t="n">
        <f aca="false">IF(OR($A4687="",C4687=""),0,IF(COUNTIF($C$2:C4687,C4687)=1,SUMIF($C$2:$C$5001,C4687,$H$2:$H$5001)+ROW()/10000000,0))</f>
        <v>0</v>
      </c>
    </row>
    <row r="4688" customFormat="false" ht="15" hidden="false" customHeight="false" outlineLevel="0" collapsed="false">
      <c r="A4688" s="43"/>
      <c r="B4688" s="44"/>
      <c r="C4688" s="44"/>
      <c r="D4688" s="44"/>
      <c r="E4688" s="44"/>
      <c r="F4688" s="44"/>
      <c r="G4688" s="44"/>
      <c r="H4688" s="46" t="str">
        <f aca="false">IF($A4688="","",IF(OR(NOT(ISNUMBER(E4688)),NOT(ISNUMBER(F4688))),"",MAX(0,E4688)*F4688))</f>
        <v/>
      </c>
      <c r="I4688" s="46" t="str">
        <f aca="false">IF($A4688="","",SUMIF($A$2:$A$5001,$A4688,$H$2:$H$5001))</f>
        <v/>
      </c>
      <c r="J4688" s="47" t="n">
        <f aca="false">IF($A4688="",0,IF(COUNTIF($A$2:A4688,$A4688)=1,1,0))</f>
        <v>0</v>
      </c>
      <c r="K4688" s="47" t="n">
        <f aca="false">IF(J4688=1,N(I4688)+ROW()/10000000,0)</f>
        <v>0</v>
      </c>
      <c r="L4688" s="47" t="str">
        <f aca="false">IF(AND(J4688=1,N(I4688)&gt;0),SUMIF($K$2:$K$5001,"&gt;="&amp;K4688,$I$2:$I$5001)/MAX(1,SUM($H$2:$H$5001)),"")</f>
        <v/>
      </c>
      <c r="M4688" s="47" t="str">
        <f aca="false">IF($A4688="","",INDEX($L$2:$L$5001,MATCH($A4688,$A$2:$A$5001,0)))</f>
        <v/>
      </c>
      <c r="N4688" s="48" t="str">
        <f aca="false">IF($A4688="","",IF(N(M4688)=0,"–",IF(M4688&lt;=Start!$D$20,"A",IF(M4688&lt;=Start!$D$21,"B","C"))))</f>
        <v/>
      </c>
      <c r="O4688" s="48" t="str">
        <f aca="false">IF($A4688="","",IF(NOT(ISNUMBER(F4688)),"Wert fehlt; ",IF(F4688&lt;=0,"Wert ist 0; ",""))&amp;IF(NOT(ISNUMBER(E4688)),"Bestand fehlt; ",IF(E4688&lt;0,"Bestand negativ; ",IF(E4688=0,"Nullbestand; ","")))&amp;IF(D4688="","Warengruppe fehlt; ","")&amp;IF(B4688="","Bezeichnung fehlt; ","")&amp;IF(COUNTIFS($A$2:$A$5001,$A4688,$C$2:$C$5001,C4688)&gt;1,"Artikel doppelt im selben Lager; ",""))</f>
        <v/>
      </c>
      <c r="P4688" s="47" t="n">
        <f aca="false">IF(OR($A4688="",D4688=""),0,IF(COUNTIF($D$2:D4688,D4688)=1,SUMIF($D$2:$D$5001,D4688,$H$2:$H$5001)+ROW()/10000000,0))</f>
        <v>0</v>
      </c>
      <c r="Q4688" s="47" t="n">
        <f aca="false">IF(OR($A4688="",C4688=""),0,IF(COUNTIF($C$2:C4688,C4688)=1,SUMIF($C$2:$C$5001,C4688,$H$2:$H$5001)+ROW()/10000000,0))</f>
        <v>0</v>
      </c>
    </row>
    <row r="4689" customFormat="false" ht="15" hidden="false" customHeight="false" outlineLevel="0" collapsed="false">
      <c r="A4689" s="43"/>
      <c r="B4689" s="44"/>
      <c r="C4689" s="44"/>
      <c r="D4689" s="44"/>
      <c r="E4689" s="44"/>
      <c r="F4689" s="44"/>
      <c r="G4689" s="44"/>
      <c r="H4689" s="46" t="str">
        <f aca="false">IF($A4689="","",IF(OR(NOT(ISNUMBER(E4689)),NOT(ISNUMBER(F4689))),"",MAX(0,E4689)*F4689))</f>
        <v/>
      </c>
      <c r="I4689" s="46" t="str">
        <f aca="false">IF($A4689="","",SUMIF($A$2:$A$5001,$A4689,$H$2:$H$5001))</f>
        <v/>
      </c>
      <c r="J4689" s="47" t="n">
        <f aca="false">IF($A4689="",0,IF(COUNTIF($A$2:A4689,$A4689)=1,1,0))</f>
        <v>0</v>
      </c>
      <c r="K4689" s="47" t="n">
        <f aca="false">IF(J4689=1,N(I4689)+ROW()/10000000,0)</f>
        <v>0</v>
      </c>
      <c r="L4689" s="47" t="str">
        <f aca="false">IF(AND(J4689=1,N(I4689)&gt;0),SUMIF($K$2:$K$5001,"&gt;="&amp;K4689,$I$2:$I$5001)/MAX(1,SUM($H$2:$H$5001)),"")</f>
        <v/>
      </c>
      <c r="M4689" s="47" t="str">
        <f aca="false">IF($A4689="","",INDEX($L$2:$L$5001,MATCH($A4689,$A$2:$A$5001,0)))</f>
        <v/>
      </c>
      <c r="N4689" s="48" t="str">
        <f aca="false">IF($A4689="","",IF(N(M4689)=0,"–",IF(M4689&lt;=Start!$D$20,"A",IF(M4689&lt;=Start!$D$21,"B","C"))))</f>
        <v/>
      </c>
      <c r="O4689" s="48" t="str">
        <f aca="false">IF($A4689="","",IF(NOT(ISNUMBER(F4689)),"Wert fehlt; ",IF(F4689&lt;=0,"Wert ist 0; ",""))&amp;IF(NOT(ISNUMBER(E4689)),"Bestand fehlt; ",IF(E4689&lt;0,"Bestand negativ; ",IF(E4689=0,"Nullbestand; ","")))&amp;IF(D4689="","Warengruppe fehlt; ","")&amp;IF(B4689="","Bezeichnung fehlt; ","")&amp;IF(COUNTIFS($A$2:$A$5001,$A4689,$C$2:$C$5001,C4689)&gt;1,"Artikel doppelt im selben Lager; ",""))</f>
        <v/>
      </c>
      <c r="P4689" s="47" t="n">
        <f aca="false">IF(OR($A4689="",D4689=""),0,IF(COUNTIF($D$2:D4689,D4689)=1,SUMIF($D$2:$D$5001,D4689,$H$2:$H$5001)+ROW()/10000000,0))</f>
        <v>0</v>
      </c>
      <c r="Q4689" s="47" t="n">
        <f aca="false">IF(OR($A4689="",C4689=""),0,IF(COUNTIF($C$2:C4689,C4689)=1,SUMIF($C$2:$C$5001,C4689,$H$2:$H$5001)+ROW()/10000000,0))</f>
        <v>0</v>
      </c>
    </row>
    <row r="4690" customFormat="false" ht="15" hidden="false" customHeight="false" outlineLevel="0" collapsed="false">
      <c r="A4690" s="43"/>
      <c r="B4690" s="44"/>
      <c r="C4690" s="44"/>
      <c r="D4690" s="44"/>
      <c r="E4690" s="44"/>
      <c r="F4690" s="44"/>
      <c r="G4690" s="44"/>
      <c r="H4690" s="46" t="str">
        <f aca="false">IF($A4690="","",IF(OR(NOT(ISNUMBER(E4690)),NOT(ISNUMBER(F4690))),"",MAX(0,E4690)*F4690))</f>
        <v/>
      </c>
      <c r="I4690" s="46" t="str">
        <f aca="false">IF($A4690="","",SUMIF($A$2:$A$5001,$A4690,$H$2:$H$5001))</f>
        <v/>
      </c>
      <c r="J4690" s="47" t="n">
        <f aca="false">IF($A4690="",0,IF(COUNTIF($A$2:A4690,$A4690)=1,1,0))</f>
        <v>0</v>
      </c>
      <c r="K4690" s="47" t="n">
        <f aca="false">IF(J4690=1,N(I4690)+ROW()/10000000,0)</f>
        <v>0</v>
      </c>
      <c r="L4690" s="47" t="str">
        <f aca="false">IF(AND(J4690=1,N(I4690)&gt;0),SUMIF($K$2:$K$5001,"&gt;="&amp;K4690,$I$2:$I$5001)/MAX(1,SUM($H$2:$H$5001)),"")</f>
        <v/>
      </c>
      <c r="M4690" s="47" t="str">
        <f aca="false">IF($A4690="","",INDEX($L$2:$L$5001,MATCH($A4690,$A$2:$A$5001,0)))</f>
        <v/>
      </c>
      <c r="N4690" s="48" t="str">
        <f aca="false">IF($A4690="","",IF(N(M4690)=0,"–",IF(M4690&lt;=Start!$D$20,"A",IF(M4690&lt;=Start!$D$21,"B","C"))))</f>
        <v/>
      </c>
      <c r="O4690" s="48" t="str">
        <f aca="false">IF($A4690="","",IF(NOT(ISNUMBER(F4690)),"Wert fehlt; ",IF(F4690&lt;=0,"Wert ist 0; ",""))&amp;IF(NOT(ISNUMBER(E4690)),"Bestand fehlt; ",IF(E4690&lt;0,"Bestand negativ; ",IF(E4690=0,"Nullbestand; ","")))&amp;IF(D4690="","Warengruppe fehlt; ","")&amp;IF(B4690="","Bezeichnung fehlt; ","")&amp;IF(COUNTIFS($A$2:$A$5001,$A4690,$C$2:$C$5001,C4690)&gt;1,"Artikel doppelt im selben Lager; ",""))</f>
        <v/>
      </c>
      <c r="P4690" s="47" t="n">
        <f aca="false">IF(OR($A4690="",D4690=""),0,IF(COUNTIF($D$2:D4690,D4690)=1,SUMIF($D$2:$D$5001,D4690,$H$2:$H$5001)+ROW()/10000000,0))</f>
        <v>0</v>
      </c>
      <c r="Q4690" s="47" t="n">
        <f aca="false">IF(OR($A4690="",C4690=""),0,IF(COUNTIF($C$2:C4690,C4690)=1,SUMIF($C$2:$C$5001,C4690,$H$2:$H$5001)+ROW()/10000000,0))</f>
        <v>0</v>
      </c>
    </row>
    <row r="4691" customFormat="false" ht="15" hidden="false" customHeight="false" outlineLevel="0" collapsed="false">
      <c r="A4691" s="43"/>
      <c r="B4691" s="44"/>
      <c r="C4691" s="44"/>
      <c r="D4691" s="44"/>
      <c r="E4691" s="44"/>
      <c r="F4691" s="44"/>
      <c r="G4691" s="44"/>
      <c r="H4691" s="46" t="str">
        <f aca="false">IF($A4691="","",IF(OR(NOT(ISNUMBER(E4691)),NOT(ISNUMBER(F4691))),"",MAX(0,E4691)*F4691))</f>
        <v/>
      </c>
      <c r="I4691" s="46" t="str">
        <f aca="false">IF($A4691="","",SUMIF($A$2:$A$5001,$A4691,$H$2:$H$5001))</f>
        <v/>
      </c>
      <c r="J4691" s="47" t="n">
        <f aca="false">IF($A4691="",0,IF(COUNTIF($A$2:A4691,$A4691)=1,1,0))</f>
        <v>0</v>
      </c>
      <c r="K4691" s="47" t="n">
        <f aca="false">IF(J4691=1,N(I4691)+ROW()/10000000,0)</f>
        <v>0</v>
      </c>
      <c r="L4691" s="47" t="str">
        <f aca="false">IF(AND(J4691=1,N(I4691)&gt;0),SUMIF($K$2:$K$5001,"&gt;="&amp;K4691,$I$2:$I$5001)/MAX(1,SUM($H$2:$H$5001)),"")</f>
        <v/>
      </c>
      <c r="M4691" s="47" t="str">
        <f aca="false">IF($A4691="","",INDEX($L$2:$L$5001,MATCH($A4691,$A$2:$A$5001,0)))</f>
        <v/>
      </c>
      <c r="N4691" s="48" t="str">
        <f aca="false">IF($A4691="","",IF(N(M4691)=0,"–",IF(M4691&lt;=Start!$D$20,"A",IF(M4691&lt;=Start!$D$21,"B","C"))))</f>
        <v/>
      </c>
      <c r="O4691" s="48" t="str">
        <f aca="false">IF($A4691="","",IF(NOT(ISNUMBER(F4691)),"Wert fehlt; ",IF(F4691&lt;=0,"Wert ist 0; ",""))&amp;IF(NOT(ISNUMBER(E4691)),"Bestand fehlt; ",IF(E4691&lt;0,"Bestand negativ; ",IF(E4691=0,"Nullbestand; ","")))&amp;IF(D4691="","Warengruppe fehlt; ","")&amp;IF(B4691="","Bezeichnung fehlt; ","")&amp;IF(COUNTIFS($A$2:$A$5001,$A4691,$C$2:$C$5001,C4691)&gt;1,"Artikel doppelt im selben Lager; ",""))</f>
        <v/>
      </c>
      <c r="P4691" s="47" t="n">
        <f aca="false">IF(OR($A4691="",D4691=""),0,IF(COUNTIF($D$2:D4691,D4691)=1,SUMIF($D$2:$D$5001,D4691,$H$2:$H$5001)+ROW()/10000000,0))</f>
        <v>0</v>
      </c>
      <c r="Q4691" s="47" t="n">
        <f aca="false">IF(OR($A4691="",C4691=""),0,IF(COUNTIF($C$2:C4691,C4691)=1,SUMIF($C$2:$C$5001,C4691,$H$2:$H$5001)+ROW()/10000000,0))</f>
        <v>0</v>
      </c>
    </row>
    <row r="4692" customFormat="false" ht="15" hidden="false" customHeight="false" outlineLevel="0" collapsed="false">
      <c r="A4692" s="43"/>
      <c r="B4692" s="44"/>
      <c r="C4692" s="44"/>
      <c r="D4692" s="44"/>
      <c r="E4692" s="44"/>
      <c r="F4692" s="44"/>
      <c r="G4692" s="44"/>
      <c r="H4692" s="46" t="str">
        <f aca="false">IF($A4692="","",IF(OR(NOT(ISNUMBER(E4692)),NOT(ISNUMBER(F4692))),"",MAX(0,E4692)*F4692))</f>
        <v/>
      </c>
      <c r="I4692" s="46" t="str">
        <f aca="false">IF($A4692="","",SUMIF($A$2:$A$5001,$A4692,$H$2:$H$5001))</f>
        <v/>
      </c>
      <c r="J4692" s="47" t="n">
        <f aca="false">IF($A4692="",0,IF(COUNTIF($A$2:A4692,$A4692)=1,1,0))</f>
        <v>0</v>
      </c>
      <c r="K4692" s="47" t="n">
        <f aca="false">IF(J4692=1,N(I4692)+ROW()/10000000,0)</f>
        <v>0</v>
      </c>
      <c r="L4692" s="47" t="str">
        <f aca="false">IF(AND(J4692=1,N(I4692)&gt;0),SUMIF($K$2:$K$5001,"&gt;="&amp;K4692,$I$2:$I$5001)/MAX(1,SUM($H$2:$H$5001)),"")</f>
        <v/>
      </c>
      <c r="M4692" s="47" t="str">
        <f aca="false">IF($A4692="","",INDEX($L$2:$L$5001,MATCH($A4692,$A$2:$A$5001,0)))</f>
        <v/>
      </c>
      <c r="N4692" s="48" t="str">
        <f aca="false">IF($A4692="","",IF(N(M4692)=0,"–",IF(M4692&lt;=Start!$D$20,"A",IF(M4692&lt;=Start!$D$21,"B","C"))))</f>
        <v/>
      </c>
      <c r="O4692" s="48" t="str">
        <f aca="false">IF($A4692="","",IF(NOT(ISNUMBER(F4692)),"Wert fehlt; ",IF(F4692&lt;=0,"Wert ist 0; ",""))&amp;IF(NOT(ISNUMBER(E4692)),"Bestand fehlt; ",IF(E4692&lt;0,"Bestand negativ; ",IF(E4692=0,"Nullbestand; ","")))&amp;IF(D4692="","Warengruppe fehlt; ","")&amp;IF(B4692="","Bezeichnung fehlt; ","")&amp;IF(COUNTIFS($A$2:$A$5001,$A4692,$C$2:$C$5001,C4692)&gt;1,"Artikel doppelt im selben Lager; ",""))</f>
        <v/>
      </c>
      <c r="P4692" s="47" t="n">
        <f aca="false">IF(OR($A4692="",D4692=""),0,IF(COUNTIF($D$2:D4692,D4692)=1,SUMIF($D$2:$D$5001,D4692,$H$2:$H$5001)+ROW()/10000000,0))</f>
        <v>0</v>
      </c>
      <c r="Q4692" s="47" t="n">
        <f aca="false">IF(OR($A4692="",C4692=""),0,IF(COUNTIF($C$2:C4692,C4692)=1,SUMIF($C$2:$C$5001,C4692,$H$2:$H$5001)+ROW()/10000000,0))</f>
        <v>0</v>
      </c>
    </row>
    <row r="4693" customFormat="false" ht="15" hidden="false" customHeight="false" outlineLevel="0" collapsed="false">
      <c r="A4693" s="43"/>
      <c r="B4693" s="44"/>
      <c r="C4693" s="44"/>
      <c r="D4693" s="44"/>
      <c r="E4693" s="44"/>
      <c r="F4693" s="44"/>
      <c r="G4693" s="44"/>
      <c r="H4693" s="46" t="str">
        <f aca="false">IF($A4693="","",IF(OR(NOT(ISNUMBER(E4693)),NOT(ISNUMBER(F4693))),"",MAX(0,E4693)*F4693))</f>
        <v/>
      </c>
      <c r="I4693" s="46" t="str">
        <f aca="false">IF($A4693="","",SUMIF($A$2:$A$5001,$A4693,$H$2:$H$5001))</f>
        <v/>
      </c>
      <c r="J4693" s="47" t="n">
        <f aca="false">IF($A4693="",0,IF(COUNTIF($A$2:A4693,$A4693)=1,1,0))</f>
        <v>0</v>
      </c>
      <c r="K4693" s="47" t="n">
        <f aca="false">IF(J4693=1,N(I4693)+ROW()/10000000,0)</f>
        <v>0</v>
      </c>
      <c r="L4693" s="47" t="str">
        <f aca="false">IF(AND(J4693=1,N(I4693)&gt;0),SUMIF($K$2:$K$5001,"&gt;="&amp;K4693,$I$2:$I$5001)/MAX(1,SUM($H$2:$H$5001)),"")</f>
        <v/>
      </c>
      <c r="M4693" s="47" t="str">
        <f aca="false">IF($A4693="","",INDEX($L$2:$L$5001,MATCH($A4693,$A$2:$A$5001,0)))</f>
        <v/>
      </c>
      <c r="N4693" s="48" t="str">
        <f aca="false">IF($A4693="","",IF(N(M4693)=0,"–",IF(M4693&lt;=Start!$D$20,"A",IF(M4693&lt;=Start!$D$21,"B","C"))))</f>
        <v/>
      </c>
      <c r="O4693" s="48" t="str">
        <f aca="false">IF($A4693="","",IF(NOT(ISNUMBER(F4693)),"Wert fehlt; ",IF(F4693&lt;=0,"Wert ist 0; ",""))&amp;IF(NOT(ISNUMBER(E4693)),"Bestand fehlt; ",IF(E4693&lt;0,"Bestand negativ; ",IF(E4693=0,"Nullbestand; ","")))&amp;IF(D4693="","Warengruppe fehlt; ","")&amp;IF(B4693="","Bezeichnung fehlt; ","")&amp;IF(COUNTIFS($A$2:$A$5001,$A4693,$C$2:$C$5001,C4693)&gt;1,"Artikel doppelt im selben Lager; ",""))</f>
        <v/>
      </c>
      <c r="P4693" s="47" t="n">
        <f aca="false">IF(OR($A4693="",D4693=""),0,IF(COUNTIF($D$2:D4693,D4693)=1,SUMIF($D$2:$D$5001,D4693,$H$2:$H$5001)+ROW()/10000000,0))</f>
        <v>0</v>
      </c>
      <c r="Q4693" s="47" t="n">
        <f aca="false">IF(OR($A4693="",C4693=""),0,IF(COUNTIF($C$2:C4693,C4693)=1,SUMIF($C$2:$C$5001,C4693,$H$2:$H$5001)+ROW()/10000000,0))</f>
        <v>0</v>
      </c>
    </row>
    <row r="4694" customFormat="false" ht="15" hidden="false" customHeight="false" outlineLevel="0" collapsed="false">
      <c r="A4694" s="43"/>
      <c r="B4694" s="44"/>
      <c r="C4694" s="44"/>
      <c r="D4694" s="44"/>
      <c r="E4694" s="44"/>
      <c r="F4694" s="44"/>
      <c r="G4694" s="44"/>
      <c r="H4694" s="46" t="str">
        <f aca="false">IF($A4694="","",IF(OR(NOT(ISNUMBER(E4694)),NOT(ISNUMBER(F4694))),"",MAX(0,E4694)*F4694))</f>
        <v/>
      </c>
      <c r="I4694" s="46" t="str">
        <f aca="false">IF($A4694="","",SUMIF($A$2:$A$5001,$A4694,$H$2:$H$5001))</f>
        <v/>
      </c>
      <c r="J4694" s="47" t="n">
        <f aca="false">IF($A4694="",0,IF(COUNTIF($A$2:A4694,$A4694)=1,1,0))</f>
        <v>0</v>
      </c>
      <c r="K4694" s="47" t="n">
        <f aca="false">IF(J4694=1,N(I4694)+ROW()/10000000,0)</f>
        <v>0</v>
      </c>
      <c r="L4694" s="47" t="str">
        <f aca="false">IF(AND(J4694=1,N(I4694)&gt;0),SUMIF($K$2:$K$5001,"&gt;="&amp;K4694,$I$2:$I$5001)/MAX(1,SUM($H$2:$H$5001)),"")</f>
        <v/>
      </c>
      <c r="M4694" s="47" t="str">
        <f aca="false">IF($A4694="","",INDEX($L$2:$L$5001,MATCH($A4694,$A$2:$A$5001,0)))</f>
        <v/>
      </c>
      <c r="N4694" s="48" t="str">
        <f aca="false">IF($A4694="","",IF(N(M4694)=0,"–",IF(M4694&lt;=Start!$D$20,"A",IF(M4694&lt;=Start!$D$21,"B","C"))))</f>
        <v/>
      </c>
      <c r="O4694" s="48" t="str">
        <f aca="false">IF($A4694="","",IF(NOT(ISNUMBER(F4694)),"Wert fehlt; ",IF(F4694&lt;=0,"Wert ist 0; ",""))&amp;IF(NOT(ISNUMBER(E4694)),"Bestand fehlt; ",IF(E4694&lt;0,"Bestand negativ; ",IF(E4694=0,"Nullbestand; ","")))&amp;IF(D4694="","Warengruppe fehlt; ","")&amp;IF(B4694="","Bezeichnung fehlt; ","")&amp;IF(COUNTIFS($A$2:$A$5001,$A4694,$C$2:$C$5001,C4694)&gt;1,"Artikel doppelt im selben Lager; ",""))</f>
        <v/>
      </c>
      <c r="P4694" s="47" t="n">
        <f aca="false">IF(OR($A4694="",D4694=""),0,IF(COUNTIF($D$2:D4694,D4694)=1,SUMIF($D$2:$D$5001,D4694,$H$2:$H$5001)+ROW()/10000000,0))</f>
        <v>0</v>
      </c>
      <c r="Q4694" s="47" t="n">
        <f aca="false">IF(OR($A4694="",C4694=""),0,IF(COUNTIF($C$2:C4694,C4694)=1,SUMIF($C$2:$C$5001,C4694,$H$2:$H$5001)+ROW()/10000000,0))</f>
        <v>0</v>
      </c>
    </row>
    <row r="4695" customFormat="false" ht="15" hidden="false" customHeight="false" outlineLevel="0" collapsed="false">
      <c r="A4695" s="43"/>
      <c r="B4695" s="44"/>
      <c r="C4695" s="44"/>
      <c r="D4695" s="44"/>
      <c r="E4695" s="44"/>
      <c r="F4695" s="44"/>
      <c r="G4695" s="44"/>
      <c r="H4695" s="46" t="str">
        <f aca="false">IF($A4695="","",IF(OR(NOT(ISNUMBER(E4695)),NOT(ISNUMBER(F4695))),"",MAX(0,E4695)*F4695))</f>
        <v/>
      </c>
      <c r="I4695" s="46" t="str">
        <f aca="false">IF($A4695="","",SUMIF($A$2:$A$5001,$A4695,$H$2:$H$5001))</f>
        <v/>
      </c>
      <c r="J4695" s="47" t="n">
        <f aca="false">IF($A4695="",0,IF(COUNTIF($A$2:A4695,$A4695)=1,1,0))</f>
        <v>0</v>
      </c>
      <c r="K4695" s="47" t="n">
        <f aca="false">IF(J4695=1,N(I4695)+ROW()/10000000,0)</f>
        <v>0</v>
      </c>
      <c r="L4695" s="47" t="str">
        <f aca="false">IF(AND(J4695=1,N(I4695)&gt;0),SUMIF($K$2:$K$5001,"&gt;="&amp;K4695,$I$2:$I$5001)/MAX(1,SUM($H$2:$H$5001)),"")</f>
        <v/>
      </c>
      <c r="M4695" s="47" t="str">
        <f aca="false">IF($A4695="","",INDEX($L$2:$L$5001,MATCH($A4695,$A$2:$A$5001,0)))</f>
        <v/>
      </c>
      <c r="N4695" s="48" t="str">
        <f aca="false">IF($A4695="","",IF(N(M4695)=0,"–",IF(M4695&lt;=Start!$D$20,"A",IF(M4695&lt;=Start!$D$21,"B","C"))))</f>
        <v/>
      </c>
      <c r="O4695" s="48" t="str">
        <f aca="false">IF($A4695="","",IF(NOT(ISNUMBER(F4695)),"Wert fehlt; ",IF(F4695&lt;=0,"Wert ist 0; ",""))&amp;IF(NOT(ISNUMBER(E4695)),"Bestand fehlt; ",IF(E4695&lt;0,"Bestand negativ; ",IF(E4695=0,"Nullbestand; ","")))&amp;IF(D4695="","Warengruppe fehlt; ","")&amp;IF(B4695="","Bezeichnung fehlt; ","")&amp;IF(COUNTIFS($A$2:$A$5001,$A4695,$C$2:$C$5001,C4695)&gt;1,"Artikel doppelt im selben Lager; ",""))</f>
        <v/>
      </c>
      <c r="P4695" s="47" t="n">
        <f aca="false">IF(OR($A4695="",D4695=""),0,IF(COUNTIF($D$2:D4695,D4695)=1,SUMIF($D$2:$D$5001,D4695,$H$2:$H$5001)+ROW()/10000000,0))</f>
        <v>0</v>
      </c>
      <c r="Q4695" s="47" t="n">
        <f aca="false">IF(OR($A4695="",C4695=""),0,IF(COUNTIF($C$2:C4695,C4695)=1,SUMIF($C$2:$C$5001,C4695,$H$2:$H$5001)+ROW()/10000000,0))</f>
        <v>0</v>
      </c>
    </row>
    <row r="4696" customFormat="false" ht="15" hidden="false" customHeight="false" outlineLevel="0" collapsed="false">
      <c r="A4696" s="43"/>
      <c r="B4696" s="44"/>
      <c r="C4696" s="44"/>
      <c r="D4696" s="44"/>
      <c r="E4696" s="44"/>
      <c r="F4696" s="44"/>
      <c r="G4696" s="44"/>
      <c r="H4696" s="46" t="str">
        <f aca="false">IF($A4696="","",IF(OR(NOT(ISNUMBER(E4696)),NOT(ISNUMBER(F4696))),"",MAX(0,E4696)*F4696))</f>
        <v/>
      </c>
      <c r="I4696" s="46" t="str">
        <f aca="false">IF($A4696="","",SUMIF($A$2:$A$5001,$A4696,$H$2:$H$5001))</f>
        <v/>
      </c>
      <c r="J4696" s="47" t="n">
        <f aca="false">IF($A4696="",0,IF(COUNTIF($A$2:A4696,$A4696)=1,1,0))</f>
        <v>0</v>
      </c>
      <c r="K4696" s="47" t="n">
        <f aca="false">IF(J4696=1,N(I4696)+ROW()/10000000,0)</f>
        <v>0</v>
      </c>
      <c r="L4696" s="47" t="str">
        <f aca="false">IF(AND(J4696=1,N(I4696)&gt;0),SUMIF($K$2:$K$5001,"&gt;="&amp;K4696,$I$2:$I$5001)/MAX(1,SUM($H$2:$H$5001)),"")</f>
        <v/>
      </c>
      <c r="M4696" s="47" t="str">
        <f aca="false">IF($A4696="","",INDEX($L$2:$L$5001,MATCH($A4696,$A$2:$A$5001,0)))</f>
        <v/>
      </c>
      <c r="N4696" s="48" t="str">
        <f aca="false">IF($A4696="","",IF(N(M4696)=0,"–",IF(M4696&lt;=Start!$D$20,"A",IF(M4696&lt;=Start!$D$21,"B","C"))))</f>
        <v/>
      </c>
      <c r="O4696" s="48" t="str">
        <f aca="false">IF($A4696="","",IF(NOT(ISNUMBER(F4696)),"Wert fehlt; ",IF(F4696&lt;=0,"Wert ist 0; ",""))&amp;IF(NOT(ISNUMBER(E4696)),"Bestand fehlt; ",IF(E4696&lt;0,"Bestand negativ; ",IF(E4696=0,"Nullbestand; ","")))&amp;IF(D4696="","Warengruppe fehlt; ","")&amp;IF(B4696="","Bezeichnung fehlt; ","")&amp;IF(COUNTIFS($A$2:$A$5001,$A4696,$C$2:$C$5001,C4696)&gt;1,"Artikel doppelt im selben Lager; ",""))</f>
        <v/>
      </c>
      <c r="P4696" s="47" t="n">
        <f aca="false">IF(OR($A4696="",D4696=""),0,IF(COUNTIF($D$2:D4696,D4696)=1,SUMIF($D$2:$D$5001,D4696,$H$2:$H$5001)+ROW()/10000000,0))</f>
        <v>0</v>
      </c>
      <c r="Q4696" s="47" t="n">
        <f aca="false">IF(OR($A4696="",C4696=""),0,IF(COUNTIF($C$2:C4696,C4696)=1,SUMIF($C$2:$C$5001,C4696,$H$2:$H$5001)+ROW()/10000000,0))</f>
        <v>0</v>
      </c>
    </row>
    <row r="4697" customFormat="false" ht="15" hidden="false" customHeight="false" outlineLevel="0" collapsed="false">
      <c r="A4697" s="43"/>
      <c r="B4697" s="44"/>
      <c r="C4697" s="44"/>
      <c r="D4697" s="44"/>
      <c r="E4697" s="44"/>
      <c r="F4697" s="44"/>
      <c r="G4697" s="44"/>
      <c r="H4697" s="46" t="str">
        <f aca="false">IF($A4697="","",IF(OR(NOT(ISNUMBER(E4697)),NOT(ISNUMBER(F4697))),"",MAX(0,E4697)*F4697))</f>
        <v/>
      </c>
      <c r="I4697" s="46" t="str">
        <f aca="false">IF($A4697="","",SUMIF($A$2:$A$5001,$A4697,$H$2:$H$5001))</f>
        <v/>
      </c>
      <c r="J4697" s="47" t="n">
        <f aca="false">IF($A4697="",0,IF(COUNTIF($A$2:A4697,$A4697)=1,1,0))</f>
        <v>0</v>
      </c>
      <c r="K4697" s="47" t="n">
        <f aca="false">IF(J4697=1,N(I4697)+ROW()/10000000,0)</f>
        <v>0</v>
      </c>
      <c r="L4697" s="47" t="str">
        <f aca="false">IF(AND(J4697=1,N(I4697)&gt;0),SUMIF($K$2:$K$5001,"&gt;="&amp;K4697,$I$2:$I$5001)/MAX(1,SUM($H$2:$H$5001)),"")</f>
        <v/>
      </c>
      <c r="M4697" s="47" t="str">
        <f aca="false">IF($A4697="","",INDEX($L$2:$L$5001,MATCH($A4697,$A$2:$A$5001,0)))</f>
        <v/>
      </c>
      <c r="N4697" s="48" t="str">
        <f aca="false">IF($A4697="","",IF(N(M4697)=0,"–",IF(M4697&lt;=Start!$D$20,"A",IF(M4697&lt;=Start!$D$21,"B","C"))))</f>
        <v/>
      </c>
      <c r="O4697" s="48" t="str">
        <f aca="false">IF($A4697="","",IF(NOT(ISNUMBER(F4697)),"Wert fehlt; ",IF(F4697&lt;=0,"Wert ist 0; ",""))&amp;IF(NOT(ISNUMBER(E4697)),"Bestand fehlt; ",IF(E4697&lt;0,"Bestand negativ; ",IF(E4697=0,"Nullbestand; ","")))&amp;IF(D4697="","Warengruppe fehlt; ","")&amp;IF(B4697="","Bezeichnung fehlt; ","")&amp;IF(COUNTIFS($A$2:$A$5001,$A4697,$C$2:$C$5001,C4697)&gt;1,"Artikel doppelt im selben Lager; ",""))</f>
        <v/>
      </c>
      <c r="P4697" s="47" t="n">
        <f aca="false">IF(OR($A4697="",D4697=""),0,IF(COUNTIF($D$2:D4697,D4697)=1,SUMIF($D$2:$D$5001,D4697,$H$2:$H$5001)+ROW()/10000000,0))</f>
        <v>0</v>
      </c>
      <c r="Q4697" s="47" t="n">
        <f aca="false">IF(OR($A4697="",C4697=""),0,IF(COUNTIF($C$2:C4697,C4697)=1,SUMIF($C$2:$C$5001,C4697,$H$2:$H$5001)+ROW()/10000000,0))</f>
        <v>0</v>
      </c>
    </row>
    <row r="4698" customFormat="false" ht="15" hidden="false" customHeight="false" outlineLevel="0" collapsed="false">
      <c r="A4698" s="43"/>
      <c r="B4698" s="44"/>
      <c r="C4698" s="44"/>
      <c r="D4698" s="44"/>
      <c r="E4698" s="44"/>
      <c r="F4698" s="44"/>
      <c r="G4698" s="44"/>
      <c r="H4698" s="46" t="str">
        <f aca="false">IF($A4698="","",IF(OR(NOT(ISNUMBER(E4698)),NOT(ISNUMBER(F4698))),"",MAX(0,E4698)*F4698))</f>
        <v/>
      </c>
      <c r="I4698" s="46" t="str">
        <f aca="false">IF($A4698="","",SUMIF($A$2:$A$5001,$A4698,$H$2:$H$5001))</f>
        <v/>
      </c>
      <c r="J4698" s="47" t="n">
        <f aca="false">IF($A4698="",0,IF(COUNTIF($A$2:A4698,$A4698)=1,1,0))</f>
        <v>0</v>
      </c>
      <c r="K4698" s="47" t="n">
        <f aca="false">IF(J4698=1,N(I4698)+ROW()/10000000,0)</f>
        <v>0</v>
      </c>
      <c r="L4698" s="47" t="str">
        <f aca="false">IF(AND(J4698=1,N(I4698)&gt;0),SUMIF($K$2:$K$5001,"&gt;="&amp;K4698,$I$2:$I$5001)/MAX(1,SUM($H$2:$H$5001)),"")</f>
        <v/>
      </c>
      <c r="M4698" s="47" t="str">
        <f aca="false">IF($A4698="","",INDEX($L$2:$L$5001,MATCH($A4698,$A$2:$A$5001,0)))</f>
        <v/>
      </c>
      <c r="N4698" s="48" t="str">
        <f aca="false">IF($A4698="","",IF(N(M4698)=0,"–",IF(M4698&lt;=Start!$D$20,"A",IF(M4698&lt;=Start!$D$21,"B","C"))))</f>
        <v/>
      </c>
      <c r="O4698" s="48" t="str">
        <f aca="false">IF($A4698="","",IF(NOT(ISNUMBER(F4698)),"Wert fehlt; ",IF(F4698&lt;=0,"Wert ist 0; ",""))&amp;IF(NOT(ISNUMBER(E4698)),"Bestand fehlt; ",IF(E4698&lt;0,"Bestand negativ; ",IF(E4698=0,"Nullbestand; ","")))&amp;IF(D4698="","Warengruppe fehlt; ","")&amp;IF(B4698="","Bezeichnung fehlt; ","")&amp;IF(COUNTIFS($A$2:$A$5001,$A4698,$C$2:$C$5001,C4698)&gt;1,"Artikel doppelt im selben Lager; ",""))</f>
        <v/>
      </c>
      <c r="P4698" s="47" t="n">
        <f aca="false">IF(OR($A4698="",D4698=""),0,IF(COUNTIF($D$2:D4698,D4698)=1,SUMIF($D$2:$D$5001,D4698,$H$2:$H$5001)+ROW()/10000000,0))</f>
        <v>0</v>
      </c>
      <c r="Q4698" s="47" t="n">
        <f aca="false">IF(OR($A4698="",C4698=""),0,IF(COUNTIF($C$2:C4698,C4698)=1,SUMIF($C$2:$C$5001,C4698,$H$2:$H$5001)+ROW()/10000000,0))</f>
        <v>0</v>
      </c>
    </row>
    <row r="4699" customFormat="false" ht="15" hidden="false" customHeight="false" outlineLevel="0" collapsed="false">
      <c r="A4699" s="43"/>
      <c r="B4699" s="44"/>
      <c r="C4699" s="44"/>
      <c r="D4699" s="44"/>
      <c r="E4699" s="44"/>
      <c r="F4699" s="44"/>
      <c r="G4699" s="44"/>
      <c r="H4699" s="46" t="str">
        <f aca="false">IF($A4699="","",IF(OR(NOT(ISNUMBER(E4699)),NOT(ISNUMBER(F4699))),"",MAX(0,E4699)*F4699))</f>
        <v/>
      </c>
      <c r="I4699" s="46" t="str">
        <f aca="false">IF($A4699="","",SUMIF($A$2:$A$5001,$A4699,$H$2:$H$5001))</f>
        <v/>
      </c>
      <c r="J4699" s="47" t="n">
        <f aca="false">IF($A4699="",0,IF(COUNTIF($A$2:A4699,$A4699)=1,1,0))</f>
        <v>0</v>
      </c>
      <c r="K4699" s="47" t="n">
        <f aca="false">IF(J4699=1,N(I4699)+ROW()/10000000,0)</f>
        <v>0</v>
      </c>
      <c r="L4699" s="47" t="str">
        <f aca="false">IF(AND(J4699=1,N(I4699)&gt;0),SUMIF($K$2:$K$5001,"&gt;="&amp;K4699,$I$2:$I$5001)/MAX(1,SUM($H$2:$H$5001)),"")</f>
        <v/>
      </c>
      <c r="M4699" s="47" t="str">
        <f aca="false">IF($A4699="","",INDEX($L$2:$L$5001,MATCH($A4699,$A$2:$A$5001,0)))</f>
        <v/>
      </c>
      <c r="N4699" s="48" t="str">
        <f aca="false">IF($A4699="","",IF(N(M4699)=0,"–",IF(M4699&lt;=Start!$D$20,"A",IF(M4699&lt;=Start!$D$21,"B","C"))))</f>
        <v/>
      </c>
      <c r="O4699" s="48" t="str">
        <f aca="false">IF($A4699="","",IF(NOT(ISNUMBER(F4699)),"Wert fehlt; ",IF(F4699&lt;=0,"Wert ist 0; ",""))&amp;IF(NOT(ISNUMBER(E4699)),"Bestand fehlt; ",IF(E4699&lt;0,"Bestand negativ; ",IF(E4699=0,"Nullbestand; ","")))&amp;IF(D4699="","Warengruppe fehlt; ","")&amp;IF(B4699="","Bezeichnung fehlt; ","")&amp;IF(COUNTIFS($A$2:$A$5001,$A4699,$C$2:$C$5001,C4699)&gt;1,"Artikel doppelt im selben Lager; ",""))</f>
        <v/>
      </c>
      <c r="P4699" s="47" t="n">
        <f aca="false">IF(OR($A4699="",D4699=""),0,IF(COUNTIF($D$2:D4699,D4699)=1,SUMIF($D$2:$D$5001,D4699,$H$2:$H$5001)+ROW()/10000000,0))</f>
        <v>0</v>
      </c>
      <c r="Q4699" s="47" t="n">
        <f aca="false">IF(OR($A4699="",C4699=""),0,IF(COUNTIF($C$2:C4699,C4699)=1,SUMIF($C$2:$C$5001,C4699,$H$2:$H$5001)+ROW()/10000000,0))</f>
        <v>0</v>
      </c>
    </row>
    <row r="4700" customFormat="false" ht="15" hidden="false" customHeight="false" outlineLevel="0" collapsed="false">
      <c r="A4700" s="43"/>
      <c r="B4700" s="44"/>
      <c r="C4700" s="44"/>
      <c r="D4700" s="44"/>
      <c r="E4700" s="44"/>
      <c r="F4700" s="44"/>
      <c r="G4700" s="44"/>
      <c r="H4700" s="46" t="str">
        <f aca="false">IF($A4700="","",IF(OR(NOT(ISNUMBER(E4700)),NOT(ISNUMBER(F4700))),"",MAX(0,E4700)*F4700))</f>
        <v/>
      </c>
      <c r="I4700" s="46" t="str">
        <f aca="false">IF($A4700="","",SUMIF($A$2:$A$5001,$A4700,$H$2:$H$5001))</f>
        <v/>
      </c>
      <c r="J4700" s="47" t="n">
        <f aca="false">IF($A4700="",0,IF(COUNTIF($A$2:A4700,$A4700)=1,1,0))</f>
        <v>0</v>
      </c>
      <c r="K4700" s="47" t="n">
        <f aca="false">IF(J4700=1,N(I4700)+ROW()/10000000,0)</f>
        <v>0</v>
      </c>
      <c r="L4700" s="47" t="str">
        <f aca="false">IF(AND(J4700=1,N(I4700)&gt;0),SUMIF($K$2:$K$5001,"&gt;="&amp;K4700,$I$2:$I$5001)/MAX(1,SUM($H$2:$H$5001)),"")</f>
        <v/>
      </c>
      <c r="M4700" s="47" t="str">
        <f aca="false">IF($A4700="","",INDEX($L$2:$L$5001,MATCH($A4700,$A$2:$A$5001,0)))</f>
        <v/>
      </c>
      <c r="N4700" s="48" t="str">
        <f aca="false">IF($A4700="","",IF(N(M4700)=0,"–",IF(M4700&lt;=Start!$D$20,"A",IF(M4700&lt;=Start!$D$21,"B","C"))))</f>
        <v/>
      </c>
      <c r="O4700" s="48" t="str">
        <f aca="false">IF($A4700="","",IF(NOT(ISNUMBER(F4700)),"Wert fehlt; ",IF(F4700&lt;=0,"Wert ist 0; ",""))&amp;IF(NOT(ISNUMBER(E4700)),"Bestand fehlt; ",IF(E4700&lt;0,"Bestand negativ; ",IF(E4700=0,"Nullbestand; ","")))&amp;IF(D4700="","Warengruppe fehlt; ","")&amp;IF(B4700="","Bezeichnung fehlt; ","")&amp;IF(COUNTIFS($A$2:$A$5001,$A4700,$C$2:$C$5001,C4700)&gt;1,"Artikel doppelt im selben Lager; ",""))</f>
        <v/>
      </c>
      <c r="P4700" s="47" t="n">
        <f aca="false">IF(OR($A4700="",D4700=""),0,IF(COUNTIF($D$2:D4700,D4700)=1,SUMIF($D$2:$D$5001,D4700,$H$2:$H$5001)+ROW()/10000000,0))</f>
        <v>0</v>
      </c>
      <c r="Q4700" s="47" t="n">
        <f aca="false">IF(OR($A4700="",C4700=""),0,IF(COUNTIF($C$2:C4700,C4700)=1,SUMIF($C$2:$C$5001,C4700,$H$2:$H$5001)+ROW()/10000000,0))</f>
        <v>0</v>
      </c>
    </row>
    <row r="4701" customFormat="false" ht="15" hidden="false" customHeight="false" outlineLevel="0" collapsed="false">
      <c r="A4701" s="43"/>
      <c r="B4701" s="44"/>
      <c r="C4701" s="44"/>
      <c r="D4701" s="44"/>
      <c r="E4701" s="44"/>
      <c r="F4701" s="44"/>
      <c r="G4701" s="44"/>
      <c r="H4701" s="46" t="str">
        <f aca="false">IF($A4701="","",IF(OR(NOT(ISNUMBER(E4701)),NOT(ISNUMBER(F4701))),"",MAX(0,E4701)*F4701))</f>
        <v/>
      </c>
      <c r="I4701" s="46" t="str">
        <f aca="false">IF($A4701="","",SUMIF($A$2:$A$5001,$A4701,$H$2:$H$5001))</f>
        <v/>
      </c>
      <c r="J4701" s="47" t="n">
        <f aca="false">IF($A4701="",0,IF(COUNTIF($A$2:A4701,$A4701)=1,1,0))</f>
        <v>0</v>
      </c>
      <c r="K4701" s="47" t="n">
        <f aca="false">IF(J4701=1,N(I4701)+ROW()/10000000,0)</f>
        <v>0</v>
      </c>
      <c r="L4701" s="47" t="str">
        <f aca="false">IF(AND(J4701=1,N(I4701)&gt;0),SUMIF($K$2:$K$5001,"&gt;="&amp;K4701,$I$2:$I$5001)/MAX(1,SUM($H$2:$H$5001)),"")</f>
        <v/>
      </c>
      <c r="M4701" s="47" t="str">
        <f aca="false">IF($A4701="","",INDEX($L$2:$L$5001,MATCH($A4701,$A$2:$A$5001,0)))</f>
        <v/>
      </c>
      <c r="N4701" s="48" t="str">
        <f aca="false">IF($A4701="","",IF(N(M4701)=0,"–",IF(M4701&lt;=Start!$D$20,"A",IF(M4701&lt;=Start!$D$21,"B","C"))))</f>
        <v/>
      </c>
      <c r="O4701" s="48" t="str">
        <f aca="false">IF($A4701="","",IF(NOT(ISNUMBER(F4701)),"Wert fehlt; ",IF(F4701&lt;=0,"Wert ist 0; ",""))&amp;IF(NOT(ISNUMBER(E4701)),"Bestand fehlt; ",IF(E4701&lt;0,"Bestand negativ; ",IF(E4701=0,"Nullbestand; ","")))&amp;IF(D4701="","Warengruppe fehlt; ","")&amp;IF(B4701="","Bezeichnung fehlt; ","")&amp;IF(COUNTIFS($A$2:$A$5001,$A4701,$C$2:$C$5001,C4701)&gt;1,"Artikel doppelt im selben Lager; ",""))</f>
        <v/>
      </c>
      <c r="P4701" s="47" t="n">
        <f aca="false">IF(OR($A4701="",D4701=""),0,IF(COUNTIF($D$2:D4701,D4701)=1,SUMIF($D$2:$D$5001,D4701,$H$2:$H$5001)+ROW()/10000000,0))</f>
        <v>0</v>
      </c>
      <c r="Q4701" s="47" t="n">
        <f aca="false">IF(OR($A4701="",C4701=""),0,IF(COUNTIF($C$2:C4701,C4701)=1,SUMIF($C$2:$C$5001,C4701,$H$2:$H$5001)+ROW()/10000000,0))</f>
        <v>0</v>
      </c>
    </row>
    <row r="4702" customFormat="false" ht="15" hidden="false" customHeight="false" outlineLevel="0" collapsed="false">
      <c r="A4702" s="43"/>
      <c r="B4702" s="44"/>
      <c r="C4702" s="44"/>
      <c r="D4702" s="44"/>
      <c r="E4702" s="44"/>
      <c r="F4702" s="44"/>
      <c r="G4702" s="44"/>
      <c r="H4702" s="46" t="str">
        <f aca="false">IF($A4702="","",IF(OR(NOT(ISNUMBER(E4702)),NOT(ISNUMBER(F4702))),"",MAX(0,E4702)*F4702))</f>
        <v/>
      </c>
      <c r="I4702" s="46" t="str">
        <f aca="false">IF($A4702="","",SUMIF($A$2:$A$5001,$A4702,$H$2:$H$5001))</f>
        <v/>
      </c>
      <c r="J4702" s="47" t="n">
        <f aca="false">IF($A4702="",0,IF(COUNTIF($A$2:A4702,$A4702)=1,1,0))</f>
        <v>0</v>
      </c>
      <c r="K4702" s="47" t="n">
        <f aca="false">IF(J4702=1,N(I4702)+ROW()/10000000,0)</f>
        <v>0</v>
      </c>
      <c r="L4702" s="47" t="str">
        <f aca="false">IF(AND(J4702=1,N(I4702)&gt;0),SUMIF($K$2:$K$5001,"&gt;="&amp;K4702,$I$2:$I$5001)/MAX(1,SUM($H$2:$H$5001)),"")</f>
        <v/>
      </c>
      <c r="M4702" s="47" t="str">
        <f aca="false">IF($A4702="","",INDEX($L$2:$L$5001,MATCH($A4702,$A$2:$A$5001,0)))</f>
        <v/>
      </c>
      <c r="N4702" s="48" t="str">
        <f aca="false">IF($A4702="","",IF(N(M4702)=0,"–",IF(M4702&lt;=Start!$D$20,"A",IF(M4702&lt;=Start!$D$21,"B","C"))))</f>
        <v/>
      </c>
      <c r="O4702" s="48" t="str">
        <f aca="false">IF($A4702="","",IF(NOT(ISNUMBER(F4702)),"Wert fehlt; ",IF(F4702&lt;=0,"Wert ist 0; ",""))&amp;IF(NOT(ISNUMBER(E4702)),"Bestand fehlt; ",IF(E4702&lt;0,"Bestand negativ; ",IF(E4702=0,"Nullbestand; ","")))&amp;IF(D4702="","Warengruppe fehlt; ","")&amp;IF(B4702="","Bezeichnung fehlt; ","")&amp;IF(COUNTIFS($A$2:$A$5001,$A4702,$C$2:$C$5001,C4702)&gt;1,"Artikel doppelt im selben Lager; ",""))</f>
        <v/>
      </c>
      <c r="P4702" s="47" t="n">
        <f aca="false">IF(OR($A4702="",D4702=""),0,IF(COUNTIF($D$2:D4702,D4702)=1,SUMIF($D$2:$D$5001,D4702,$H$2:$H$5001)+ROW()/10000000,0))</f>
        <v>0</v>
      </c>
      <c r="Q4702" s="47" t="n">
        <f aca="false">IF(OR($A4702="",C4702=""),0,IF(COUNTIF($C$2:C4702,C4702)=1,SUMIF($C$2:$C$5001,C4702,$H$2:$H$5001)+ROW()/10000000,0))</f>
        <v>0</v>
      </c>
    </row>
    <row r="4703" customFormat="false" ht="15" hidden="false" customHeight="false" outlineLevel="0" collapsed="false">
      <c r="A4703" s="43"/>
      <c r="B4703" s="44"/>
      <c r="C4703" s="44"/>
      <c r="D4703" s="44"/>
      <c r="E4703" s="44"/>
      <c r="F4703" s="44"/>
      <c r="G4703" s="44"/>
      <c r="H4703" s="46" t="str">
        <f aca="false">IF($A4703="","",IF(OR(NOT(ISNUMBER(E4703)),NOT(ISNUMBER(F4703))),"",MAX(0,E4703)*F4703))</f>
        <v/>
      </c>
      <c r="I4703" s="46" t="str">
        <f aca="false">IF($A4703="","",SUMIF($A$2:$A$5001,$A4703,$H$2:$H$5001))</f>
        <v/>
      </c>
      <c r="J4703" s="47" t="n">
        <f aca="false">IF($A4703="",0,IF(COUNTIF($A$2:A4703,$A4703)=1,1,0))</f>
        <v>0</v>
      </c>
      <c r="K4703" s="47" t="n">
        <f aca="false">IF(J4703=1,N(I4703)+ROW()/10000000,0)</f>
        <v>0</v>
      </c>
      <c r="L4703" s="47" t="str">
        <f aca="false">IF(AND(J4703=1,N(I4703)&gt;0),SUMIF($K$2:$K$5001,"&gt;="&amp;K4703,$I$2:$I$5001)/MAX(1,SUM($H$2:$H$5001)),"")</f>
        <v/>
      </c>
      <c r="M4703" s="47" t="str">
        <f aca="false">IF($A4703="","",INDEX($L$2:$L$5001,MATCH($A4703,$A$2:$A$5001,0)))</f>
        <v/>
      </c>
      <c r="N4703" s="48" t="str">
        <f aca="false">IF($A4703="","",IF(N(M4703)=0,"–",IF(M4703&lt;=Start!$D$20,"A",IF(M4703&lt;=Start!$D$21,"B","C"))))</f>
        <v/>
      </c>
      <c r="O4703" s="48" t="str">
        <f aca="false">IF($A4703="","",IF(NOT(ISNUMBER(F4703)),"Wert fehlt; ",IF(F4703&lt;=0,"Wert ist 0; ",""))&amp;IF(NOT(ISNUMBER(E4703)),"Bestand fehlt; ",IF(E4703&lt;0,"Bestand negativ; ",IF(E4703=0,"Nullbestand; ","")))&amp;IF(D4703="","Warengruppe fehlt; ","")&amp;IF(B4703="","Bezeichnung fehlt; ","")&amp;IF(COUNTIFS($A$2:$A$5001,$A4703,$C$2:$C$5001,C4703)&gt;1,"Artikel doppelt im selben Lager; ",""))</f>
        <v/>
      </c>
      <c r="P4703" s="47" t="n">
        <f aca="false">IF(OR($A4703="",D4703=""),0,IF(COUNTIF($D$2:D4703,D4703)=1,SUMIF($D$2:$D$5001,D4703,$H$2:$H$5001)+ROW()/10000000,0))</f>
        <v>0</v>
      </c>
      <c r="Q4703" s="47" t="n">
        <f aca="false">IF(OR($A4703="",C4703=""),0,IF(COUNTIF($C$2:C4703,C4703)=1,SUMIF($C$2:$C$5001,C4703,$H$2:$H$5001)+ROW()/10000000,0))</f>
        <v>0</v>
      </c>
    </row>
    <row r="4704" customFormat="false" ht="15" hidden="false" customHeight="false" outlineLevel="0" collapsed="false">
      <c r="A4704" s="43"/>
      <c r="B4704" s="44"/>
      <c r="C4704" s="44"/>
      <c r="D4704" s="44"/>
      <c r="E4704" s="44"/>
      <c r="F4704" s="44"/>
      <c r="G4704" s="44"/>
      <c r="H4704" s="46" t="str">
        <f aca="false">IF($A4704="","",IF(OR(NOT(ISNUMBER(E4704)),NOT(ISNUMBER(F4704))),"",MAX(0,E4704)*F4704))</f>
        <v/>
      </c>
      <c r="I4704" s="46" t="str">
        <f aca="false">IF($A4704="","",SUMIF($A$2:$A$5001,$A4704,$H$2:$H$5001))</f>
        <v/>
      </c>
      <c r="J4704" s="47" t="n">
        <f aca="false">IF($A4704="",0,IF(COUNTIF($A$2:A4704,$A4704)=1,1,0))</f>
        <v>0</v>
      </c>
      <c r="K4704" s="47" t="n">
        <f aca="false">IF(J4704=1,N(I4704)+ROW()/10000000,0)</f>
        <v>0</v>
      </c>
      <c r="L4704" s="47" t="str">
        <f aca="false">IF(AND(J4704=1,N(I4704)&gt;0),SUMIF($K$2:$K$5001,"&gt;="&amp;K4704,$I$2:$I$5001)/MAX(1,SUM($H$2:$H$5001)),"")</f>
        <v/>
      </c>
      <c r="M4704" s="47" t="str">
        <f aca="false">IF($A4704="","",INDEX($L$2:$L$5001,MATCH($A4704,$A$2:$A$5001,0)))</f>
        <v/>
      </c>
      <c r="N4704" s="48" t="str">
        <f aca="false">IF($A4704="","",IF(N(M4704)=0,"–",IF(M4704&lt;=Start!$D$20,"A",IF(M4704&lt;=Start!$D$21,"B","C"))))</f>
        <v/>
      </c>
      <c r="O4704" s="48" t="str">
        <f aca="false">IF($A4704="","",IF(NOT(ISNUMBER(F4704)),"Wert fehlt; ",IF(F4704&lt;=0,"Wert ist 0; ",""))&amp;IF(NOT(ISNUMBER(E4704)),"Bestand fehlt; ",IF(E4704&lt;0,"Bestand negativ; ",IF(E4704=0,"Nullbestand; ","")))&amp;IF(D4704="","Warengruppe fehlt; ","")&amp;IF(B4704="","Bezeichnung fehlt; ","")&amp;IF(COUNTIFS($A$2:$A$5001,$A4704,$C$2:$C$5001,C4704)&gt;1,"Artikel doppelt im selben Lager; ",""))</f>
        <v/>
      </c>
      <c r="P4704" s="47" t="n">
        <f aca="false">IF(OR($A4704="",D4704=""),0,IF(COUNTIF($D$2:D4704,D4704)=1,SUMIF($D$2:$D$5001,D4704,$H$2:$H$5001)+ROW()/10000000,0))</f>
        <v>0</v>
      </c>
      <c r="Q4704" s="47" t="n">
        <f aca="false">IF(OR($A4704="",C4704=""),0,IF(COUNTIF($C$2:C4704,C4704)=1,SUMIF($C$2:$C$5001,C4704,$H$2:$H$5001)+ROW()/10000000,0))</f>
        <v>0</v>
      </c>
    </row>
    <row r="4705" customFormat="false" ht="15" hidden="false" customHeight="false" outlineLevel="0" collapsed="false">
      <c r="A4705" s="43"/>
      <c r="B4705" s="44"/>
      <c r="C4705" s="44"/>
      <c r="D4705" s="44"/>
      <c r="E4705" s="44"/>
      <c r="F4705" s="44"/>
      <c r="G4705" s="44"/>
      <c r="H4705" s="46" t="str">
        <f aca="false">IF($A4705="","",IF(OR(NOT(ISNUMBER(E4705)),NOT(ISNUMBER(F4705))),"",MAX(0,E4705)*F4705))</f>
        <v/>
      </c>
      <c r="I4705" s="46" t="str">
        <f aca="false">IF($A4705="","",SUMIF($A$2:$A$5001,$A4705,$H$2:$H$5001))</f>
        <v/>
      </c>
      <c r="J4705" s="47" t="n">
        <f aca="false">IF($A4705="",0,IF(COUNTIF($A$2:A4705,$A4705)=1,1,0))</f>
        <v>0</v>
      </c>
      <c r="K4705" s="47" t="n">
        <f aca="false">IF(J4705=1,N(I4705)+ROW()/10000000,0)</f>
        <v>0</v>
      </c>
      <c r="L4705" s="47" t="str">
        <f aca="false">IF(AND(J4705=1,N(I4705)&gt;0),SUMIF($K$2:$K$5001,"&gt;="&amp;K4705,$I$2:$I$5001)/MAX(1,SUM($H$2:$H$5001)),"")</f>
        <v/>
      </c>
      <c r="M4705" s="47" t="str">
        <f aca="false">IF($A4705="","",INDEX($L$2:$L$5001,MATCH($A4705,$A$2:$A$5001,0)))</f>
        <v/>
      </c>
      <c r="N4705" s="48" t="str">
        <f aca="false">IF($A4705="","",IF(N(M4705)=0,"–",IF(M4705&lt;=Start!$D$20,"A",IF(M4705&lt;=Start!$D$21,"B","C"))))</f>
        <v/>
      </c>
      <c r="O4705" s="48" t="str">
        <f aca="false">IF($A4705="","",IF(NOT(ISNUMBER(F4705)),"Wert fehlt; ",IF(F4705&lt;=0,"Wert ist 0; ",""))&amp;IF(NOT(ISNUMBER(E4705)),"Bestand fehlt; ",IF(E4705&lt;0,"Bestand negativ; ",IF(E4705=0,"Nullbestand; ","")))&amp;IF(D4705="","Warengruppe fehlt; ","")&amp;IF(B4705="","Bezeichnung fehlt; ","")&amp;IF(COUNTIFS($A$2:$A$5001,$A4705,$C$2:$C$5001,C4705)&gt;1,"Artikel doppelt im selben Lager; ",""))</f>
        <v/>
      </c>
      <c r="P4705" s="47" t="n">
        <f aca="false">IF(OR($A4705="",D4705=""),0,IF(COUNTIF($D$2:D4705,D4705)=1,SUMIF($D$2:$D$5001,D4705,$H$2:$H$5001)+ROW()/10000000,0))</f>
        <v>0</v>
      </c>
      <c r="Q4705" s="47" t="n">
        <f aca="false">IF(OR($A4705="",C4705=""),0,IF(COUNTIF($C$2:C4705,C4705)=1,SUMIF($C$2:$C$5001,C4705,$H$2:$H$5001)+ROW()/10000000,0))</f>
        <v>0</v>
      </c>
    </row>
    <row r="4706" customFormat="false" ht="15" hidden="false" customHeight="false" outlineLevel="0" collapsed="false">
      <c r="A4706" s="43"/>
      <c r="B4706" s="44"/>
      <c r="C4706" s="44"/>
      <c r="D4706" s="44"/>
      <c r="E4706" s="44"/>
      <c r="F4706" s="44"/>
      <c r="G4706" s="44"/>
      <c r="H4706" s="46" t="str">
        <f aca="false">IF($A4706="","",IF(OR(NOT(ISNUMBER(E4706)),NOT(ISNUMBER(F4706))),"",MAX(0,E4706)*F4706))</f>
        <v/>
      </c>
      <c r="I4706" s="46" t="str">
        <f aca="false">IF($A4706="","",SUMIF($A$2:$A$5001,$A4706,$H$2:$H$5001))</f>
        <v/>
      </c>
      <c r="J4706" s="47" t="n">
        <f aca="false">IF($A4706="",0,IF(COUNTIF($A$2:A4706,$A4706)=1,1,0))</f>
        <v>0</v>
      </c>
      <c r="K4706" s="47" t="n">
        <f aca="false">IF(J4706=1,N(I4706)+ROW()/10000000,0)</f>
        <v>0</v>
      </c>
      <c r="L4706" s="47" t="str">
        <f aca="false">IF(AND(J4706=1,N(I4706)&gt;0),SUMIF($K$2:$K$5001,"&gt;="&amp;K4706,$I$2:$I$5001)/MAX(1,SUM($H$2:$H$5001)),"")</f>
        <v/>
      </c>
      <c r="M4706" s="47" t="str">
        <f aca="false">IF($A4706="","",INDEX($L$2:$L$5001,MATCH($A4706,$A$2:$A$5001,0)))</f>
        <v/>
      </c>
      <c r="N4706" s="48" t="str">
        <f aca="false">IF($A4706="","",IF(N(M4706)=0,"–",IF(M4706&lt;=Start!$D$20,"A",IF(M4706&lt;=Start!$D$21,"B","C"))))</f>
        <v/>
      </c>
      <c r="O4706" s="48" t="str">
        <f aca="false">IF($A4706="","",IF(NOT(ISNUMBER(F4706)),"Wert fehlt; ",IF(F4706&lt;=0,"Wert ist 0; ",""))&amp;IF(NOT(ISNUMBER(E4706)),"Bestand fehlt; ",IF(E4706&lt;0,"Bestand negativ; ",IF(E4706=0,"Nullbestand; ","")))&amp;IF(D4706="","Warengruppe fehlt; ","")&amp;IF(B4706="","Bezeichnung fehlt; ","")&amp;IF(COUNTIFS($A$2:$A$5001,$A4706,$C$2:$C$5001,C4706)&gt;1,"Artikel doppelt im selben Lager; ",""))</f>
        <v/>
      </c>
      <c r="P4706" s="47" t="n">
        <f aca="false">IF(OR($A4706="",D4706=""),0,IF(COUNTIF($D$2:D4706,D4706)=1,SUMIF($D$2:$D$5001,D4706,$H$2:$H$5001)+ROW()/10000000,0))</f>
        <v>0</v>
      </c>
      <c r="Q4706" s="47" t="n">
        <f aca="false">IF(OR($A4706="",C4706=""),0,IF(COUNTIF($C$2:C4706,C4706)=1,SUMIF($C$2:$C$5001,C4706,$H$2:$H$5001)+ROW()/10000000,0))</f>
        <v>0</v>
      </c>
    </row>
    <row r="4707" customFormat="false" ht="15" hidden="false" customHeight="false" outlineLevel="0" collapsed="false">
      <c r="A4707" s="43"/>
      <c r="B4707" s="44"/>
      <c r="C4707" s="44"/>
      <c r="D4707" s="44"/>
      <c r="E4707" s="44"/>
      <c r="F4707" s="44"/>
      <c r="G4707" s="44"/>
      <c r="H4707" s="46" t="str">
        <f aca="false">IF($A4707="","",IF(OR(NOT(ISNUMBER(E4707)),NOT(ISNUMBER(F4707))),"",MAX(0,E4707)*F4707))</f>
        <v/>
      </c>
      <c r="I4707" s="46" t="str">
        <f aca="false">IF($A4707="","",SUMIF($A$2:$A$5001,$A4707,$H$2:$H$5001))</f>
        <v/>
      </c>
      <c r="J4707" s="47" t="n">
        <f aca="false">IF($A4707="",0,IF(COUNTIF($A$2:A4707,$A4707)=1,1,0))</f>
        <v>0</v>
      </c>
      <c r="K4707" s="47" t="n">
        <f aca="false">IF(J4707=1,N(I4707)+ROW()/10000000,0)</f>
        <v>0</v>
      </c>
      <c r="L4707" s="47" t="str">
        <f aca="false">IF(AND(J4707=1,N(I4707)&gt;0),SUMIF($K$2:$K$5001,"&gt;="&amp;K4707,$I$2:$I$5001)/MAX(1,SUM($H$2:$H$5001)),"")</f>
        <v/>
      </c>
      <c r="M4707" s="47" t="str">
        <f aca="false">IF($A4707="","",INDEX($L$2:$L$5001,MATCH($A4707,$A$2:$A$5001,0)))</f>
        <v/>
      </c>
      <c r="N4707" s="48" t="str">
        <f aca="false">IF($A4707="","",IF(N(M4707)=0,"–",IF(M4707&lt;=Start!$D$20,"A",IF(M4707&lt;=Start!$D$21,"B","C"))))</f>
        <v/>
      </c>
      <c r="O4707" s="48" t="str">
        <f aca="false">IF($A4707="","",IF(NOT(ISNUMBER(F4707)),"Wert fehlt; ",IF(F4707&lt;=0,"Wert ist 0; ",""))&amp;IF(NOT(ISNUMBER(E4707)),"Bestand fehlt; ",IF(E4707&lt;0,"Bestand negativ; ",IF(E4707=0,"Nullbestand; ","")))&amp;IF(D4707="","Warengruppe fehlt; ","")&amp;IF(B4707="","Bezeichnung fehlt; ","")&amp;IF(COUNTIFS($A$2:$A$5001,$A4707,$C$2:$C$5001,C4707)&gt;1,"Artikel doppelt im selben Lager; ",""))</f>
        <v/>
      </c>
      <c r="P4707" s="47" t="n">
        <f aca="false">IF(OR($A4707="",D4707=""),0,IF(COUNTIF($D$2:D4707,D4707)=1,SUMIF($D$2:$D$5001,D4707,$H$2:$H$5001)+ROW()/10000000,0))</f>
        <v>0</v>
      </c>
      <c r="Q4707" s="47" t="n">
        <f aca="false">IF(OR($A4707="",C4707=""),0,IF(COUNTIF($C$2:C4707,C4707)=1,SUMIF($C$2:$C$5001,C4707,$H$2:$H$5001)+ROW()/10000000,0))</f>
        <v>0</v>
      </c>
    </row>
    <row r="4708" customFormat="false" ht="15" hidden="false" customHeight="false" outlineLevel="0" collapsed="false">
      <c r="A4708" s="43"/>
      <c r="B4708" s="44"/>
      <c r="C4708" s="44"/>
      <c r="D4708" s="44"/>
      <c r="E4708" s="44"/>
      <c r="F4708" s="44"/>
      <c r="G4708" s="44"/>
      <c r="H4708" s="46" t="str">
        <f aca="false">IF($A4708="","",IF(OR(NOT(ISNUMBER(E4708)),NOT(ISNUMBER(F4708))),"",MAX(0,E4708)*F4708))</f>
        <v/>
      </c>
      <c r="I4708" s="46" t="str">
        <f aca="false">IF($A4708="","",SUMIF($A$2:$A$5001,$A4708,$H$2:$H$5001))</f>
        <v/>
      </c>
      <c r="J4708" s="47" t="n">
        <f aca="false">IF($A4708="",0,IF(COUNTIF($A$2:A4708,$A4708)=1,1,0))</f>
        <v>0</v>
      </c>
      <c r="K4708" s="47" t="n">
        <f aca="false">IF(J4708=1,N(I4708)+ROW()/10000000,0)</f>
        <v>0</v>
      </c>
      <c r="L4708" s="47" t="str">
        <f aca="false">IF(AND(J4708=1,N(I4708)&gt;0),SUMIF($K$2:$K$5001,"&gt;="&amp;K4708,$I$2:$I$5001)/MAX(1,SUM($H$2:$H$5001)),"")</f>
        <v/>
      </c>
      <c r="M4708" s="47" t="str">
        <f aca="false">IF($A4708="","",INDEX($L$2:$L$5001,MATCH($A4708,$A$2:$A$5001,0)))</f>
        <v/>
      </c>
      <c r="N4708" s="48" t="str">
        <f aca="false">IF($A4708="","",IF(N(M4708)=0,"–",IF(M4708&lt;=Start!$D$20,"A",IF(M4708&lt;=Start!$D$21,"B","C"))))</f>
        <v/>
      </c>
      <c r="O4708" s="48" t="str">
        <f aca="false">IF($A4708="","",IF(NOT(ISNUMBER(F4708)),"Wert fehlt; ",IF(F4708&lt;=0,"Wert ist 0; ",""))&amp;IF(NOT(ISNUMBER(E4708)),"Bestand fehlt; ",IF(E4708&lt;0,"Bestand negativ; ",IF(E4708=0,"Nullbestand; ","")))&amp;IF(D4708="","Warengruppe fehlt; ","")&amp;IF(B4708="","Bezeichnung fehlt; ","")&amp;IF(COUNTIFS($A$2:$A$5001,$A4708,$C$2:$C$5001,C4708)&gt;1,"Artikel doppelt im selben Lager; ",""))</f>
        <v/>
      </c>
      <c r="P4708" s="47" t="n">
        <f aca="false">IF(OR($A4708="",D4708=""),0,IF(COUNTIF($D$2:D4708,D4708)=1,SUMIF($D$2:$D$5001,D4708,$H$2:$H$5001)+ROW()/10000000,0))</f>
        <v>0</v>
      </c>
      <c r="Q4708" s="47" t="n">
        <f aca="false">IF(OR($A4708="",C4708=""),0,IF(COUNTIF($C$2:C4708,C4708)=1,SUMIF($C$2:$C$5001,C4708,$H$2:$H$5001)+ROW()/10000000,0))</f>
        <v>0</v>
      </c>
    </row>
    <row r="4709" customFormat="false" ht="15" hidden="false" customHeight="false" outlineLevel="0" collapsed="false">
      <c r="A4709" s="43"/>
      <c r="B4709" s="44"/>
      <c r="C4709" s="44"/>
      <c r="D4709" s="44"/>
      <c r="E4709" s="44"/>
      <c r="F4709" s="44"/>
      <c r="G4709" s="44"/>
      <c r="H4709" s="46" t="str">
        <f aca="false">IF($A4709="","",IF(OR(NOT(ISNUMBER(E4709)),NOT(ISNUMBER(F4709))),"",MAX(0,E4709)*F4709))</f>
        <v/>
      </c>
      <c r="I4709" s="46" t="str">
        <f aca="false">IF($A4709="","",SUMIF($A$2:$A$5001,$A4709,$H$2:$H$5001))</f>
        <v/>
      </c>
      <c r="J4709" s="47" t="n">
        <f aca="false">IF($A4709="",0,IF(COUNTIF($A$2:A4709,$A4709)=1,1,0))</f>
        <v>0</v>
      </c>
      <c r="K4709" s="47" t="n">
        <f aca="false">IF(J4709=1,N(I4709)+ROW()/10000000,0)</f>
        <v>0</v>
      </c>
      <c r="L4709" s="47" t="str">
        <f aca="false">IF(AND(J4709=1,N(I4709)&gt;0),SUMIF($K$2:$K$5001,"&gt;="&amp;K4709,$I$2:$I$5001)/MAX(1,SUM($H$2:$H$5001)),"")</f>
        <v/>
      </c>
      <c r="M4709" s="47" t="str">
        <f aca="false">IF($A4709="","",INDEX($L$2:$L$5001,MATCH($A4709,$A$2:$A$5001,0)))</f>
        <v/>
      </c>
      <c r="N4709" s="48" t="str">
        <f aca="false">IF($A4709="","",IF(N(M4709)=0,"–",IF(M4709&lt;=Start!$D$20,"A",IF(M4709&lt;=Start!$D$21,"B","C"))))</f>
        <v/>
      </c>
      <c r="O4709" s="48" t="str">
        <f aca="false">IF($A4709="","",IF(NOT(ISNUMBER(F4709)),"Wert fehlt; ",IF(F4709&lt;=0,"Wert ist 0; ",""))&amp;IF(NOT(ISNUMBER(E4709)),"Bestand fehlt; ",IF(E4709&lt;0,"Bestand negativ; ",IF(E4709=0,"Nullbestand; ","")))&amp;IF(D4709="","Warengruppe fehlt; ","")&amp;IF(B4709="","Bezeichnung fehlt; ","")&amp;IF(COUNTIFS($A$2:$A$5001,$A4709,$C$2:$C$5001,C4709)&gt;1,"Artikel doppelt im selben Lager; ",""))</f>
        <v/>
      </c>
      <c r="P4709" s="47" t="n">
        <f aca="false">IF(OR($A4709="",D4709=""),0,IF(COUNTIF($D$2:D4709,D4709)=1,SUMIF($D$2:$D$5001,D4709,$H$2:$H$5001)+ROW()/10000000,0))</f>
        <v>0</v>
      </c>
      <c r="Q4709" s="47" t="n">
        <f aca="false">IF(OR($A4709="",C4709=""),0,IF(COUNTIF($C$2:C4709,C4709)=1,SUMIF($C$2:$C$5001,C4709,$H$2:$H$5001)+ROW()/10000000,0))</f>
        <v>0</v>
      </c>
    </row>
    <row r="4710" customFormat="false" ht="15" hidden="false" customHeight="false" outlineLevel="0" collapsed="false">
      <c r="A4710" s="43"/>
      <c r="B4710" s="44"/>
      <c r="C4710" s="44"/>
      <c r="D4710" s="44"/>
      <c r="E4710" s="44"/>
      <c r="F4710" s="44"/>
      <c r="G4710" s="44"/>
      <c r="H4710" s="46" t="str">
        <f aca="false">IF($A4710="","",IF(OR(NOT(ISNUMBER(E4710)),NOT(ISNUMBER(F4710))),"",MAX(0,E4710)*F4710))</f>
        <v/>
      </c>
      <c r="I4710" s="46" t="str">
        <f aca="false">IF($A4710="","",SUMIF($A$2:$A$5001,$A4710,$H$2:$H$5001))</f>
        <v/>
      </c>
      <c r="J4710" s="47" t="n">
        <f aca="false">IF($A4710="",0,IF(COUNTIF($A$2:A4710,$A4710)=1,1,0))</f>
        <v>0</v>
      </c>
      <c r="K4710" s="47" t="n">
        <f aca="false">IF(J4710=1,N(I4710)+ROW()/10000000,0)</f>
        <v>0</v>
      </c>
      <c r="L4710" s="47" t="str">
        <f aca="false">IF(AND(J4710=1,N(I4710)&gt;0),SUMIF($K$2:$K$5001,"&gt;="&amp;K4710,$I$2:$I$5001)/MAX(1,SUM($H$2:$H$5001)),"")</f>
        <v/>
      </c>
      <c r="M4710" s="47" t="str">
        <f aca="false">IF($A4710="","",INDEX($L$2:$L$5001,MATCH($A4710,$A$2:$A$5001,0)))</f>
        <v/>
      </c>
      <c r="N4710" s="48" t="str">
        <f aca="false">IF($A4710="","",IF(N(M4710)=0,"–",IF(M4710&lt;=Start!$D$20,"A",IF(M4710&lt;=Start!$D$21,"B","C"))))</f>
        <v/>
      </c>
      <c r="O4710" s="48" t="str">
        <f aca="false">IF($A4710="","",IF(NOT(ISNUMBER(F4710)),"Wert fehlt; ",IF(F4710&lt;=0,"Wert ist 0; ",""))&amp;IF(NOT(ISNUMBER(E4710)),"Bestand fehlt; ",IF(E4710&lt;0,"Bestand negativ; ",IF(E4710=0,"Nullbestand; ","")))&amp;IF(D4710="","Warengruppe fehlt; ","")&amp;IF(B4710="","Bezeichnung fehlt; ","")&amp;IF(COUNTIFS($A$2:$A$5001,$A4710,$C$2:$C$5001,C4710)&gt;1,"Artikel doppelt im selben Lager; ",""))</f>
        <v/>
      </c>
      <c r="P4710" s="47" t="n">
        <f aca="false">IF(OR($A4710="",D4710=""),0,IF(COUNTIF($D$2:D4710,D4710)=1,SUMIF($D$2:$D$5001,D4710,$H$2:$H$5001)+ROW()/10000000,0))</f>
        <v>0</v>
      </c>
      <c r="Q4710" s="47" t="n">
        <f aca="false">IF(OR($A4710="",C4710=""),0,IF(COUNTIF($C$2:C4710,C4710)=1,SUMIF($C$2:$C$5001,C4710,$H$2:$H$5001)+ROW()/10000000,0))</f>
        <v>0</v>
      </c>
    </row>
    <row r="4711" customFormat="false" ht="15" hidden="false" customHeight="false" outlineLevel="0" collapsed="false">
      <c r="A4711" s="43"/>
      <c r="B4711" s="44"/>
      <c r="C4711" s="44"/>
      <c r="D4711" s="44"/>
      <c r="E4711" s="44"/>
      <c r="F4711" s="44"/>
      <c r="G4711" s="44"/>
      <c r="H4711" s="46" t="str">
        <f aca="false">IF($A4711="","",IF(OR(NOT(ISNUMBER(E4711)),NOT(ISNUMBER(F4711))),"",MAX(0,E4711)*F4711))</f>
        <v/>
      </c>
      <c r="I4711" s="46" t="str">
        <f aca="false">IF($A4711="","",SUMIF($A$2:$A$5001,$A4711,$H$2:$H$5001))</f>
        <v/>
      </c>
      <c r="J4711" s="47" t="n">
        <f aca="false">IF($A4711="",0,IF(COUNTIF($A$2:A4711,$A4711)=1,1,0))</f>
        <v>0</v>
      </c>
      <c r="K4711" s="47" t="n">
        <f aca="false">IF(J4711=1,N(I4711)+ROW()/10000000,0)</f>
        <v>0</v>
      </c>
      <c r="L4711" s="47" t="str">
        <f aca="false">IF(AND(J4711=1,N(I4711)&gt;0),SUMIF($K$2:$K$5001,"&gt;="&amp;K4711,$I$2:$I$5001)/MAX(1,SUM($H$2:$H$5001)),"")</f>
        <v/>
      </c>
      <c r="M4711" s="47" t="str">
        <f aca="false">IF($A4711="","",INDEX($L$2:$L$5001,MATCH($A4711,$A$2:$A$5001,0)))</f>
        <v/>
      </c>
      <c r="N4711" s="48" t="str">
        <f aca="false">IF($A4711="","",IF(N(M4711)=0,"–",IF(M4711&lt;=Start!$D$20,"A",IF(M4711&lt;=Start!$D$21,"B","C"))))</f>
        <v/>
      </c>
      <c r="O4711" s="48" t="str">
        <f aca="false">IF($A4711="","",IF(NOT(ISNUMBER(F4711)),"Wert fehlt; ",IF(F4711&lt;=0,"Wert ist 0; ",""))&amp;IF(NOT(ISNUMBER(E4711)),"Bestand fehlt; ",IF(E4711&lt;0,"Bestand negativ; ",IF(E4711=0,"Nullbestand; ","")))&amp;IF(D4711="","Warengruppe fehlt; ","")&amp;IF(B4711="","Bezeichnung fehlt; ","")&amp;IF(COUNTIFS($A$2:$A$5001,$A4711,$C$2:$C$5001,C4711)&gt;1,"Artikel doppelt im selben Lager; ",""))</f>
        <v/>
      </c>
      <c r="P4711" s="47" t="n">
        <f aca="false">IF(OR($A4711="",D4711=""),0,IF(COUNTIF($D$2:D4711,D4711)=1,SUMIF($D$2:$D$5001,D4711,$H$2:$H$5001)+ROW()/10000000,0))</f>
        <v>0</v>
      </c>
      <c r="Q4711" s="47" t="n">
        <f aca="false">IF(OR($A4711="",C4711=""),0,IF(COUNTIF($C$2:C4711,C4711)=1,SUMIF($C$2:$C$5001,C4711,$H$2:$H$5001)+ROW()/10000000,0))</f>
        <v>0</v>
      </c>
    </row>
    <row r="4712" customFormat="false" ht="15" hidden="false" customHeight="false" outlineLevel="0" collapsed="false">
      <c r="A4712" s="43"/>
      <c r="B4712" s="44"/>
      <c r="C4712" s="44"/>
      <c r="D4712" s="44"/>
      <c r="E4712" s="44"/>
      <c r="F4712" s="44"/>
      <c r="G4712" s="44"/>
      <c r="H4712" s="46" t="str">
        <f aca="false">IF($A4712="","",IF(OR(NOT(ISNUMBER(E4712)),NOT(ISNUMBER(F4712))),"",MAX(0,E4712)*F4712))</f>
        <v/>
      </c>
      <c r="I4712" s="46" t="str">
        <f aca="false">IF($A4712="","",SUMIF($A$2:$A$5001,$A4712,$H$2:$H$5001))</f>
        <v/>
      </c>
      <c r="J4712" s="47" t="n">
        <f aca="false">IF($A4712="",0,IF(COUNTIF($A$2:A4712,$A4712)=1,1,0))</f>
        <v>0</v>
      </c>
      <c r="K4712" s="47" t="n">
        <f aca="false">IF(J4712=1,N(I4712)+ROW()/10000000,0)</f>
        <v>0</v>
      </c>
      <c r="L4712" s="47" t="str">
        <f aca="false">IF(AND(J4712=1,N(I4712)&gt;0),SUMIF($K$2:$K$5001,"&gt;="&amp;K4712,$I$2:$I$5001)/MAX(1,SUM($H$2:$H$5001)),"")</f>
        <v/>
      </c>
      <c r="M4712" s="47" t="str">
        <f aca="false">IF($A4712="","",INDEX($L$2:$L$5001,MATCH($A4712,$A$2:$A$5001,0)))</f>
        <v/>
      </c>
      <c r="N4712" s="48" t="str">
        <f aca="false">IF($A4712="","",IF(N(M4712)=0,"–",IF(M4712&lt;=Start!$D$20,"A",IF(M4712&lt;=Start!$D$21,"B","C"))))</f>
        <v/>
      </c>
      <c r="O4712" s="48" t="str">
        <f aca="false">IF($A4712="","",IF(NOT(ISNUMBER(F4712)),"Wert fehlt; ",IF(F4712&lt;=0,"Wert ist 0; ",""))&amp;IF(NOT(ISNUMBER(E4712)),"Bestand fehlt; ",IF(E4712&lt;0,"Bestand negativ; ",IF(E4712=0,"Nullbestand; ","")))&amp;IF(D4712="","Warengruppe fehlt; ","")&amp;IF(B4712="","Bezeichnung fehlt; ","")&amp;IF(COUNTIFS($A$2:$A$5001,$A4712,$C$2:$C$5001,C4712)&gt;1,"Artikel doppelt im selben Lager; ",""))</f>
        <v/>
      </c>
      <c r="P4712" s="47" t="n">
        <f aca="false">IF(OR($A4712="",D4712=""),0,IF(COUNTIF($D$2:D4712,D4712)=1,SUMIF($D$2:$D$5001,D4712,$H$2:$H$5001)+ROW()/10000000,0))</f>
        <v>0</v>
      </c>
      <c r="Q4712" s="47" t="n">
        <f aca="false">IF(OR($A4712="",C4712=""),0,IF(COUNTIF($C$2:C4712,C4712)=1,SUMIF($C$2:$C$5001,C4712,$H$2:$H$5001)+ROW()/10000000,0))</f>
        <v>0</v>
      </c>
    </row>
    <row r="4713" customFormat="false" ht="15" hidden="false" customHeight="false" outlineLevel="0" collapsed="false">
      <c r="A4713" s="43"/>
      <c r="B4713" s="44"/>
      <c r="C4713" s="44"/>
      <c r="D4713" s="44"/>
      <c r="E4713" s="44"/>
      <c r="F4713" s="44"/>
      <c r="G4713" s="44"/>
      <c r="H4713" s="46" t="str">
        <f aca="false">IF($A4713="","",IF(OR(NOT(ISNUMBER(E4713)),NOT(ISNUMBER(F4713))),"",MAX(0,E4713)*F4713))</f>
        <v/>
      </c>
      <c r="I4713" s="46" t="str">
        <f aca="false">IF($A4713="","",SUMIF($A$2:$A$5001,$A4713,$H$2:$H$5001))</f>
        <v/>
      </c>
      <c r="J4713" s="47" t="n">
        <f aca="false">IF($A4713="",0,IF(COUNTIF($A$2:A4713,$A4713)=1,1,0))</f>
        <v>0</v>
      </c>
      <c r="K4713" s="47" t="n">
        <f aca="false">IF(J4713=1,N(I4713)+ROW()/10000000,0)</f>
        <v>0</v>
      </c>
      <c r="L4713" s="47" t="str">
        <f aca="false">IF(AND(J4713=1,N(I4713)&gt;0),SUMIF($K$2:$K$5001,"&gt;="&amp;K4713,$I$2:$I$5001)/MAX(1,SUM($H$2:$H$5001)),"")</f>
        <v/>
      </c>
      <c r="M4713" s="47" t="str">
        <f aca="false">IF($A4713="","",INDEX($L$2:$L$5001,MATCH($A4713,$A$2:$A$5001,0)))</f>
        <v/>
      </c>
      <c r="N4713" s="48" t="str">
        <f aca="false">IF($A4713="","",IF(N(M4713)=0,"–",IF(M4713&lt;=Start!$D$20,"A",IF(M4713&lt;=Start!$D$21,"B","C"))))</f>
        <v/>
      </c>
      <c r="O4713" s="48" t="str">
        <f aca="false">IF($A4713="","",IF(NOT(ISNUMBER(F4713)),"Wert fehlt; ",IF(F4713&lt;=0,"Wert ist 0; ",""))&amp;IF(NOT(ISNUMBER(E4713)),"Bestand fehlt; ",IF(E4713&lt;0,"Bestand negativ; ",IF(E4713=0,"Nullbestand; ","")))&amp;IF(D4713="","Warengruppe fehlt; ","")&amp;IF(B4713="","Bezeichnung fehlt; ","")&amp;IF(COUNTIFS($A$2:$A$5001,$A4713,$C$2:$C$5001,C4713)&gt;1,"Artikel doppelt im selben Lager; ",""))</f>
        <v/>
      </c>
      <c r="P4713" s="47" t="n">
        <f aca="false">IF(OR($A4713="",D4713=""),0,IF(COUNTIF($D$2:D4713,D4713)=1,SUMIF($D$2:$D$5001,D4713,$H$2:$H$5001)+ROW()/10000000,0))</f>
        <v>0</v>
      </c>
      <c r="Q4713" s="47" t="n">
        <f aca="false">IF(OR($A4713="",C4713=""),0,IF(COUNTIF($C$2:C4713,C4713)=1,SUMIF($C$2:$C$5001,C4713,$H$2:$H$5001)+ROW()/10000000,0))</f>
        <v>0</v>
      </c>
    </row>
    <row r="4714" customFormat="false" ht="15" hidden="false" customHeight="false" outlineLevel="0" collapsed="false">
      <c r="A4714" s="43"/>
      <c r="B4714" s="44"/>
      <c r="C4714" s="44"/>
      <c r="D4714" s="44"/>
      <c r="E4714" s="44"/>
      <c r="F4714" s="44"/>
      <c r="G4714" s="44"/>
      <c r="H4714" s="46" t="str">
        <f aca="false">IF($A4714="","",IF(OR(NOT(ISNUMBER(E4714)),NOT(ISNUMBER(F4714))),"",MAX(0,E4714)*F4714))</f>
        <v/>
      </c>
      <c r="I4714" s="46" t="str">
        <f aca="false">IF($A4714="","",SUMIF($A$2:$A$5001,$A4714,$H$2:$H$5001))</f>
        <v/>
      </c>
      <c r="J4714" s="47" t="n">
        <f aca="false">IF($A4714="",0,IF(COUNTIF($A$2:A4714,$A4714)=1,1,0))</f>
        <v>0</v>
      </c>
      <c r="K4714" s="47" t="n">
        <f aca="false">IF(J4714=1,N(I4714)+ROW()/10000000,0)</f>
        <v>0</v>
      </c>
      <c r="L4714" s="47" t="str">
        <f aca="false">IF(AND(J4714=1,N(I4714)&gt;0),SUMIF($K$2:$K$5001,"&gt;="&amp;K4714,$I$2:$I$5001)/MAX(1,SUM($H$2:$H$5001)),"")</f>
        <v/>
      </c>
      <c r="M4714" s="47" t="str">
        <f aca="false">IF($A4714="","",INDEX($L$2:$L$5001,MATCH($A4714,$A$2:$A$5001,0)))</f>
        <v/>
      </c>
      <c r="N4714" s="48" t="str">
        <f aca="false">IF($A4714="","",IF(N(M4714)=0,"–",IF(M4714&lt;=Start!$D$20,"A",IF(M4714&lt;=Start!$D$21,"B","C"))))</f>
        <v/>
      </c>
      <c r="O4714" s="48" t="str">
        <f aca="false">IF($A4714="","",IF(NOT(ISNUMBER(F4714)),"Wert fehlt; ",IF(F4714&lt;=0,"Wert ist 0; ",""))&amp;IF(NOT(ISNUMBER(E4714)),"Bestand fehlt; ",IF(E4714&lt;0,"Bestand negativ; ",IF(E4714=0,"Nullbestand; ","")))&amp;IF(D4714="","Warengruppe fehlt; ","")&amp;IF(B4714="","Bezeichnung fehlt; ","")&amp;IF(COUNTIFS($A$2:$A$5001,$A4714,$C$2:$C$5001,C4714)&gt;1,"Artikel doppelt im selben Lager; ",""))</f>
        <v/>
      </c>
      <c r="P4714" s="47" t="n">
        <f aca="false">IF(OR($A4714="",D4714=""),0,IF(COUNTIF($D$2:D4714,D4714)=1,SUMIF($D$2:$D$5001,D4714,$H$2:$H$5001)+ROW()/10000000,0))</f>
        <v>0</v>
      </c>
      <c r="Q4714" s="47" t="n">
        <f aca="false">IF(OR($A4714="",C4714=""),0,IF(COUNTIF($C$2:C4714,C4714)=1,SUMIF($C$2:$C$5001,C4714,$H$2:$H$5001)+ROW()/10000000,0))</f>
        <v>0</v>
      </c>
    </row>
    <row r="4715" customFormat="false" ht="15" hidden="false" customHeight="false" outlineLevel="0" collapsed="false">
      <c r="A4715" s="43"/>
      <c r="B4715" s="44"/>
      <c r="C4715" s="44"/>
      <c r="D4715" s="44"/>
      <c r="E4715" s="44"/>
      <c r="F4715" s="44"/>
      <c r="G4715" s="44"/>
      <c r="H4715" s="46" t="str">
        <f aca="false">IF($A4715="","",IF(OR(NOT(ISNUMBER(E4715)),NOT(ISNUMBER(F4715))),"",MAX(0,E4715)*F4715))</f>
        <v/>
      </c>
      <c r="I4715" s="46" t="str">
        <f aca="false">IF($A4715="","",SUMIF($A$2:$A$5001,$A4715,$H$2:$H$5001))</f>
        <v/>
      </c>
      <c r="J4715" s="47" t="n">
        <f aca="false">IF($A4715="",0,IF(COUNTIF($A$2:A4715,$A4715)=1,1,0))</f>
        <v>0</v>
      </c>
      <c r="K4715" s="47" t="n">
        <f aca="false">IF(J4715=1,N(I4715)+ROW()/10000000,0)</f>
        <v>0</v>
      </c>
      <c r="L4715" s="47" t="str">
        <f aca="false">IF(AND(J4715=1,N(I4715)&gt;0),SUMIF($K$2:$K$5001,"&gt;="&amp;K4715,$I$2:$I$5001)/MAX(1,SUM($H$2:$H$5001)),"")</f>
        <v/>
      </c>
      <c r="M4715" s="47" t="str">
        <f aca="false">IF($A4715="","",INDEX($L$2:$L$5001,MATCH($A4715,$A$2:$A$5001,0)))</f>
        <v/>
      </c>
      <c r="N4715" s="48" t="str">
        <f aca="false">IF($A4715="","",IF(N(M4715)=0,"–",IF(M4715&lt;=Start!$D$20,"A",IF(M4715&lt;=Start!$D$21,"B","C"))))</f>
        <v/>
      </c>
      <c r="O4715" s="48" t="str">
        <f aca="false">IF($A4715="","",IF(NOT(ISNUMBER(F4715)),"Wert fehlt; ",IF(F4715&lt;=0,"Wert ist 0; ",""))&amp;IF(NOT(ISNUMBER(E4715)),"Bestand fehlt; ",IF(E4715&lt;0,"Bestand negativ; ",IF(E4715=0,"Nullbestand; ","")))&amp;IF(D4715="","Warengruppe fehlt; ","")&amp;IF(B4715="","Bezeichnung fehlt; ","")&amp;IF(COUNTIFS($A$2:$A$5001,$A4715,$C$2:$C$5001,C4715)&gt;1,"Artikel doppelt im selben Lager; ",""))</f>
        <v/>
      </c>
      <c r="P4715" s="47" t="n">
        <f aca="false">IF(OR($A4715="",D4715=""),0,IF(COUNTIF($D$2:D4715,D4715)=1,SUMIF($D$2:$D$5001,D4715,$H$2:$H$5001)+ROW()/10000000,0))</f>
        <v>0</v>
      </c>
      <c r="Q4715" s="47" t="n">
        <f aca="false">IF(OR($A4715="",C4715=""),0,IF(COUNTIF($C$2:C4715,C4715)=1,SUMIF($C$2:$C$5001,C4715,$H$2:$H$5001)+ROW()/10000000,0))</f>
        <v>0</v>
      </c>
    </row>
    <row r="4716" customFormat="false" ht="15" hidden="false" customHeight="false" outlineLevel="0" collapsed="false">
      <c r="A4716" s="43"/>
      <c r="B4716" s="44"/>
      <c r="C4716" s="44"/>
      <c r="D4716" s="44"/>
      <c r="E4716" s="44"/>
      <c r="F4716" s="44"/>
      <c r="G4716" s="44"/>
      <c r="H4716" s="46" t="str">
        <f aca="false">IF($A4716="","",IF(OR(NOT(ISNUMBER(E4716)),NOT(ISNUMBER(F4716))),"",MAX(0,E4716)*F4716))</f>
        <v/>
      </c>
      <c r="I4716" s="46" t="str">
        <f aca="false">IF($A4716="","",SUMIF($A$2:$A$5001,$A4716,$H$2:$H$5001))</f>
        <v/>
      </c>
      <c r="J4716" s="47" t="n">
        <f aca="false">IF($A4716="",0,IF(COUNTIF($A$2:A4716,$A4716)=1,1,0))</f>
        <v>0</v>
      </c>
      <c r="K4716" s="47" t="n">
        <f aca="false">IF(J4716=1,N(I4716)+ROW()/10000000,0)</f>
        <v>0</v>
      </c>
      <c r="L4716" s="47" t="str">
        <f aca="false">IF(AND(J4716=1,N(I4716)&gt;0),SUMIF($K$2:$K$5001,"&gt;="&amp;K4716,$I$2:$I$5001)/MAX(1,SUM($H$2:$H$5001)),"")</f>
        <v/>
      </c>
      <c r="M4716" s="47" t="str">
        <f aca="false">IF($A4716="","",INDEX($L$2:$L$5001,MATCH($A4716,$A$2:$A$5001,0)))</f>
        <v/>
      </c>
      <c r="N4716" s="48" t="str">
        <f aca="false">IF($A4716="","",IF(N(M4716)=0,"–",IF(M4716&lt;=Start!$D$20,"A",IF(M4716&lt;=Start!$D$21,"B","C"))))</f>
        <v/>
      </c>
      <c r="O4716" s="48" t="str">
        <f aca="false">IF($A4716="","",IF(NOT(ISNUMBER(F4716)),"Wert fehlt; ",IF(F4716&lt;=0,"Wert ist 0; ",""))&amp;IF(NOT(ISNUMBER(E4716)),"Bestand fehlt; ",IF(E4716&lt;0,"Bestand negativ; ",IF(E4716=0,"Nullbestand; ","")))&amp;IF(D4716="","Warengruppe fehlt; ","")&amp;IF(B4716="","Bezeichnung fehlt; ","")&amp;IF(COUNTIFS($A$2:$A$5001,$A4716,$C$2:$C$5001,C4716)&gt;1,"Artikel doppelt im selben Lager; ",""))</f>
        <v/>
      </c>
      <c r="P4716" s="47" t="n">
        <f aca="false">IF(OR($A4716="",D4716=""),0,IF(COUNTIF($D$2:D4716,D4716)=1,SUMIF($D$2:$D$5001,D4716,$H$2:$H$5001)+ROW()/10000000,0))</f>
        <v>0</v>
      </c>
      <c r="Q4716" s="47" t="n">
        <f aca="false">IF(OR($A4716="",C4716=""),0,IF(COUNTIF($C$2:C4716,C4716)=1,SUMIF($C$2:$C$5001,C4716,$H$2:$H$5001)+ROW()/10000000,0))</f>
        <v>0</v>
      </c>
    </row>
    <row r="4717" customFormat="false" ht="15" hidden="false" customHeight="false" outlineLevel="0" collapsed="false">
      <c r="A4717" s="43"/>
      <c r="B4717" s="44"/>
      <c r="C4717" s="44"/>
      <c r="D4717" s="44"/>
      <c r="E4717" s="44"/>
      <c r="F4717" s="44"/>
      <c r="G4717" s="44"/>
      <c r="H4717" s="46" t="str">
        <f aca="false">IF($A4717="","",IF(OR(NOT(ISNUMBER(E4717)),NOT(ISNUMBER(F4717))),"",MAX(0,E4717)*F4717))</f>
        <v/>
      </c>
      <c r="I4717" s="46" t="str">
        <f aca="false">IF($A4717="","",SUMIF($A$2:$A$5001,$A4717,$H$2:$H$5001))</f>
        <v/>
      </c>
      <c r="J4717" s="47" t="n">
        <f aca="false">IF($A4717="",0,IF(COUNTIF($A$2:A4717,$A4717)=1,1,0))</f>
        <v>0</v>
      </c>
      <c r="K4717" s="47" t="n">
        <f aca="false">IF(J4717=1,N(I4717)+ROW()/10000000,0)</f>
        <v>0</v>
      </c>
      <c r="L4717" s="47" t="str">
        <f aca="false">IF(AND(J4717=1,N(I4717)&gt;0),SUMIF($K$2:$K$5001,"&gt;="&amp;K4717,$I$2:$I$5001)/MAX(1,SUM($H$2:$H$5001)),"")</f>
        <v/>
      </c>
      <c r="M4717" s="47" t="str">
        <f aca="false">IF($A4717="","",INDEX($L$2:$L$5001,MATCH($A4717,$A$2:$A$5001,0)))</f>
        <v/>
      </c>
      <c r="N4717" s="48" t="str">
        <f aca="false">IF($A4717="","",IF(N(M4717)=0,"–",IF(M4717&lt;=Start!$D$20,"A",IF(M4717&lt;=Start!$D$21,"B","C"))))</f>
        <v/>
      </c>
      <c r="O4717" s="48" t="str">
        <f aca="false">IF($A4717="","",IF(NOT(ISNUMBER(F4717)),"Wert fehlt; ",IF(F4717&lt;=0,"Wert ist 0; ",""))&amp;IF(NOT(ISNUMBER(E4717)),"Bestand fehlt; ",IF(E4717&lt;0,"Bestand negativ; ",IF(E4717=0,"Nullbestand; ","")))&amp;IF(D4717="","Warengruppe fehlt; ","")&amp;IF(B4717="","Bezeichnung fehlt; ","")&amp;IF(COUNTIFS($A$2:$A$5001,$A4717,$C$2:$C$5001,C4717)&gt;1,"Artikel doppelt im selben Lager; ",""))</f>
        <v/>
      </c>
      <c r="P4717" s="47" t="n">
        <f aca="false">IF(OR($A4717="",D4717=""),0,IF(COUNTIF($D$2:D4717,D4717)=1,SUMIF($D$2:$D$5001,D4717,$H$2:$H$5001)+ROW()/10000000,0))</f>
        <v>0</v>
      </c>
      <c r="Q4717" s="47" t="n">
        <f aca="false">IF(OR($A4717="",C4717=""),0,IF(COUNTIF($C$2:C4717,C4717)=1,SUMIF($C$2:$C$5001,C4717,$H$2:$H$5001)+ROW()/10000000,0))</f>
        <v>0</v>
      </c>
    </row>
    <row r="4718" customFormat="false" ht="15" hidden="false" customHeight="false" outlineLevel="0" collapsed="false">
      <c r="A4718" s="43"/>
      <c r="B4718" s="44"/>
      <c r="C4718" s="44"/>
      <c r="D4718" s="44"/>
      <c r="E4718" s="44"/>
      <c r="F4718" s="44"/>
      <c r="G4718" s="44"/>
      <c r="H4718" s="46" t="str">
        <f aca="false">IF($A4718="","",IF(OR(NOT(ISNUMBER(E4718)),NOT(ISNUMBER(F4718))),"",MAX(0,E4718)*F4718))</f>
        <v/>
      </c>
      <c r="I4718" s="46" t="str">
        <f aca="false">IF($A4718="","",SUMIF($A$2:$A$5001,$A4718,$H$2:$H$5001))</f>
        <v/>
      </c>
      <c r="J4718" s="47" t="n">
        <f aca="false">IF($A4718="",0,IF(COUNTIF($A$2:A4718,$A4718)=1,1,0))</f>
        <v>0</v>
      </c>
      <c r="K4718" s="47" t="n">
        <f aca="false">IF(J4718=1,N(I4718)+ROW()/10000000,0)</f>
        <v>0</v>
      </c>
      <c r="L4718" s="47" t="str">
        <f aca="false">IF(AND(J4718=1,N(I4718)&gt;0),SUMIF($K$2:$K$5001,"&gt;="&amp;K4718,$I$2:$I$5001)/MAX(1,SUM($H$2:$H$5001)),"")</f>
        <v/>
      </c>
      <c r="M4718" s="47" t="str">
        <f aca="false">IF($A4718="","",INDEX($L$2:$L$5001,MATCH($A4718,$A$2:$A$5001,0)))</f>
        <v/>
      </c>
      <c r="N4718" s="48" t="str">
        <f aca="false">IF($A4718="","",IF(N(M4718)=0,"–",IF(M4718&lt;=Start!$D$20,"A",IF(M4718&lt;=Start!$D$21,"B","C"))))</f>
        <v/>
      </c>
      <c r="O4718" s="48" t="str">
        <f aca="false">IF($A4718="","",IF(NOT(ISNUMBER(F4718)),"Wert fehlt; ",IF(F4718&lt;=0,"Wert ist 0; ",""))&amp;IF(NOT(ISNUMBER(E4718)),"Bestand fehlt; ",IF(E4718&lt;0,"Bestand negativ; ",IF(E4718=0,"Nullbestand; ","")))&amp;IF(D4718="","Warengruppe fehlt; ","")&amp;IF(B4718="","Bezeichnung fehlt; ","")&amp;IF(COUNTIFS($A$2:$A$5001,$A4718,$C$2:$C$5001,C4718)&gt;1,"Artikel doppelt im selben Lager; ",""))</f>
        <v/>
      </c>
      <c r="P4718" s="47" t="n">
        <f aca="false">IF(OR($A4718="",D4718=""),0,IF(COUNTIF($D$2:D4718,D4718)=1,SUMIF($D$2:$D$5001,D4718,$H$2:$H$5001)+ROW()/10000000,0))</f>
        <v>0</v>
      </c>
      <c r="Q4718" s="47" t="n">
        <f aca="false">IF(OR($A4718="",C4718=""),0,IF(COUNTIF($C$2:C4718,C4718)=1,SUMIF($C$2:$C$5001,C4718,$H$2:$H$5001)+ROW()/10000000,0))</f>
        <v>0</v>
      </c>
    </row>
    <row r="4719" customFormat="false" ht="15" hidden="false" customHeight="false" outlineLevel="0" collapsed="false">
      <c r="A4719" s="43"/>
      <c r="B4719" s="44"/>
      <c r="C4719" s="44"/>
      <c r="D4719" s="44"/>
      <c r="E4719" s="44"/>
      <c r="F4719" s="44"/>
      <c r="G4719" s="44"/>
      <c r="H4719" s="46" t="str">
        <f aca="false">IF($A4719="","",IF(OR(NOT(ISNUMBER(E4719)),NOT(ISNUMBER(F4719))),"",MAX(0,E4719)*F4719))</f>
        <v/>
      </c>
      <c r="I4719" s="46" t="str">
        <f aca="false">IF($A4719="","",SUMIF($A$2:$A$5001,$A4719,$H$2:$H$5001))</f>
        <v/>
      </c>
      <c r="J4719" s="47" t="n">
        <f aca="false">IF($A4719="",0,IF(COUNTIF($A$2:A4719,$A4719)=1,1,0))</f>
        <v>0</v>
      </c>
      <c r="K4719" s="47" t="n">
        <f aca="false">IF(J4719=1,N(I4719)+ROW()/10000000,0)</f>
        <v>0</v>
      </c>
      <c r="L4719" s="47" t="str">
        <f aca="false">IF(AND(J4719=1,N(I4719)&gt;0),SUMIF($K$2:$K$5001,"&gt;="&amp;K4719,$I$2:$I$5001)/MAX(1,SUM($H$2:$H$5001)),"")</f>
        <v/>
      </c>
      <c r="M4719" s="47" t="str">
        <f aca="false">IF($A4719="","",INDEX($L$2:$L$5001,MATCH($A4719,$A$2:$A$5001,0)))</f>
        <v/>
      </c>
      <c r="N4719" s="48" t="str">
        <f aca="false">IF($A4719="","",IF(N(M4719)=0,"–",IF(M4719&lt;=Start!$D$20,"A",IF(M4719&lt;=Start!$D$21,"B","C"))))</f>
        <v/>
      </c>
      <c r="O4719" s="48" t="str">
        <f aca="false">IF($A4719="","",IF(NOT(ISNUMBER(F4719)),"Wert fehlt; ",IF(F4719&lt;=0,"Wert ist 0; ",""))&amp;IF(NOT(ISNUMBER(E4719)),"Bestand fehlt; ",IF(E4719&lt;0,"Bestand negativ; ",IF(E4719=0,"Nullbestand; ","")))&amp;IF(D4719="","Warengruppe fehlt; ","")&amp;IF(B4719="","Bezeichnung fehlt; ","")&amp;IF(COUNTIFS($A$2:$A$5001,$A4719,$C$2:$C$5001,C4719)&gt;1,"Artikel doppelt im selben Lager; ",""))</f>
        <v/>
      </c>
      <c r="P4719" s="47" t="n">
        <f aca="false">IF(OR($A4719="",D4719=""),0,IF(COUNTIF($D$2:D4719,D4719)=1,SUMIF($D$2:$D$5001,D4719,$H$2:$H$5001)+ROW()/10000000,0))</f>
        <v>0</v>
      </c>
      <c r="Q4719" s="47" t="n">
        <f aca="false">IF(OR($A4719="",C4719=""),0,IF(COUNTIF($C$2:C4719,C4719)=1,SUMIF($C$2:$C$5001,C4719,$H$2:$H$5001)+ROW()/10000000,0))</f>
        <v>0</v>
      </c>
    </row>
    <row r="4720" customFormat="false" ht="15" hidden="false" customHeight="false" outlineLevel="0" collapsed="false">
      <c r="A4720" s="43"/>
      <c r="B4720" s="44"/>
      <c r="C4720" s="44"/>
      <c r="D4720" s="44"/>
      <c r="E4720" s="44"/>
      <c r="F4720" s="44"/>
      <c r="G4720" s="44"/>
      <c r="H4720" s="46" t="str">
        <f aca="false">IF($A4720="","",IF(OR(NOT(ISNUMBER(E4720)),NOT(ISNUMBER(F4720))),"",MAX(0,E4720)*F4720))</f>
        <v/>
      </c>
      <c r="I4720" s="46" t="str">
        <f aca="false">IF($A4720="","",SUMIF($A$2:$A$5001,$A4720,$H$2:$H$5001))</f>
        <v/>
      </c>
      <c r="J4720" s="47" t="n">
        <f aca="false">IF($A4720="",0,IF(COUNTIF($A$2:A4720,$A4720)=1,1,0))</f>
        <v>0</v>
      </c>
      <c r="K4720" s="47" t="n">
        <f aca="false">IF(J4720=1,N(I4720)+ROW()/10000000,0)</f>
        <v>0</v>
      </c>
      <c r="L4720" s="47" t="str">
        <f aca="false">IF(AND(J4720=1,N(I4720)&gt;0),SUMIF($K$2:$K$5001,"&gt;="&amp;K4720,$I$2:$I$5001)/MAX(1,SUM($H$2:$H$5001)),"")</f>
        <v/>
      </c>
      <c r="M4720" s="47" t="str">
        <f aca="false">IF($A4720="","",INDEX($L$2:$L$5001,MATCH($A4720,$A$2:$A$5001,0)))</f>
        <v/>
      </c>
      <c r="N4720" s="48" t="str">
        <f aca="false">IF($A4720="","",IF(N(M4720)=0,"–",IF(M4720&lt;=Start!$D$20,"A",IF(M4720&lt;=Start!$D$21,"B","C"))))</f>
        <v/>
      </c>
      <c r="O4720" s="48" t="str">
        <f aca="false">IF($A4720="","",IF(NOT(ISNUMBER(F4720)),"Wert fehlt; ",IF(F4720&lt;=0,"Wert ist 0; ",""))&amp;IF(NOT(ISNUMBER(E4720)),"Bestand fehlt; ",IF(E4720&lt;0,"Bestand negativ; ",IF(E4720=0,"Nullbestand; ","")))&amp;IF(D4720="","Warengruppe fehlt; ","")&amp;IF(B4720="","Bezeichnung fehlt; ","")&amp;IF(COUNTIFS($A$2:$A$5001,$A4720,$C$2:$C$5001,C4720)&gt;1,"Artikel doppelt im selben Lager; ",""))</f>
        <v/>
      </c>
      <c r="P4720" s="47" t="n">
        <f aca="false">IF(OR($A4720="",D4720=""),0,IF(COUNTIF($D$2:D4720,D4720)=1,SUMIF($D$2:$D$5001,D4720,$H$2:$H$5001)+ROW()/10000000,0))</f>
        <v>0</v>
      </c>
      <c r="Q4720" s="47" t="n">
        <f aca="false">IF(OR($A4720="",C4720=""),0,IF(COUNTIF($C$2:C4720,C4720)=1,SUMIF($C$2:$C$5001,C4720,$H$2:$H$5001)+ROW()/10000000,0))</f>
        <v>0</v>
      </c>
    </row>
    <row r="4721" customFormat="false" ht="15" hidden="false" customHeight="false" outlineLevel="0" collapsed="false">
      <c r="A4721" s="43"/>
      <c r="B4721" s="44"/>
      <c r="C4721" s="44"/>
      <c r="D4721" s="44"/>
      <c r="E4721" s="44"/>
      <c r="F4721" s="44"/>
      <c r="G4721" s="44"/>
      <c r="H4721" s="46" t="str">
        <f aca="false">IF($A4721="","",IF(OR(NOT(ISNUMBER(E4721)),NOT(ISNUMBER(F4721))),"",MAX(0,E4721)*F4721))</f>
        <v/>
      </c>
      <c r="I4721" s="46" t="str">
        <f aca="false">IF($A4721="","",SUMIF($A$2:$A$5001,$A4721,$H$2:$H$5001))</f>
        <v/>
      </c>
      <c r="J4721" s="47" t="n">
        <f aca="false">IF($A4721="",0,IF(COUNTIF($A$2:A4721,$A4721)=1,1,0))</f>
        <v>0</v>
      </c>
      <c r="K4721" s="47" t="n">
        <f aca="false">IF(J4721=1,N(I4721)+ROW()/10000000,0)</f>
        <v>0</v>
      </c>
      <c r="L4721" s="47" t="str">
        <f aca="false">IF(AND(J4721=1,N(I4721)&gt;0),SUMIF($K$2:$K$5001,"&gt;="&amp;K4721,$I$2:$I$5001)/MAX(1,SUM($H$2:$H$5001)),"")</f>
        <v/>
      </c>
      <c r="M4721" s="47" t="str">
        <f aca="false">IF($A4721="","",INDEX($L$2:$L$5001,MATCH($A4721,$A$2:$A$5001,0)))</f>
        <v/>
      </c>
      <c r="N4721" s="48" t="str">
        <f aca="false">IF($A4721="","",IF(N(M4721)=0,"–",IF(M4721&lt;=Start!$D$20,"A",IF(M4721&lt;=Start!$D$21,"B","C"))))</f>
        <v/>
      </c>
      <c r="O4721" s="48" t="str">
        <f aca="false">IF($A4721="","",IF(NOT(ISNUMBER(F4721)),"Wert fehlt; ",IF(F4721&lt;=0,"Wert ist 0; ",""))&amp;IF(NOT(ISNUMBER(E4721)),"Bestand fehlt; ",IF(E4721&lt;0,"Bestand negativ; ",IF(E4721=0,"Nullbestand; ","")))&amp;IF(D4721="","Warengruppe fehlt; ","")&amp;IF(B4721="","Bezeichnung fehlt; ","")&amp;IF(COUNTIFS($A$2:$A$5001,$A4721,$C$2:$C$5001,C4721)&gt;1,"Artikel doppelt im selben Lager; ",""))</f>
        <v/>
      </c>
      <c r="P4721" s="47" t="n">
        <f aca="false">IF(OR($A4721="",D4721=""),0,IF(COUNTIF($D$2:D4721,D4721)=1,SUMIF($D$2:$D$5001,D4721,$H$2:$H$5001)+ROW()/10000000,0))</f>
        <v>0</v>
      </c>
      <c r="Q4721" s="47" t="n">
        <f aca="false">IF(OR($A4721="",C4721=""),0,IF(COUNTIF($C$2:C4721,C4721)=1,SUMIF($C$2:$C$5001,C4721,$H$2:$H$5001)+ROW()/10000000,0))</f>
        <v>0</v>
      </c>
    </row>
    <row r="4722" customFormat="false" ht="15" hidden="false" customHeight="false" outlineLevel="0" collapsed="false">
      <c r="A4722" s="43"/>
      <c r="B4722" s="44"/>
      <c r="C4722" s="44"/>
      <c r="D4722" s="44"/>
      <c r="E4722" s="44"/>
      <c r="F4722" s="44"/>
      <c r="G4722" s="44"/>
      <c r="H4722" s="46" t="str">
        <f aca="false">IF($A4722="","",IF(OR(NOT(ISNUMBER(E4722)),NOT(ISNUMBER(F4722))),"",MAX(0,E4722)*F4722))</f>
        <v/>
      </c>
      <c r="I4722" s="46" t="str">
        <f aca="false">IF($A4722="","",SUMIF($A$2:$A$5001,$A4722,$H$2:$H$5001))</f>
        <v/>
      </c>
      <c r="J4722" s="47" t="n">
        <f aca="false">IF($A4722="",0,IF(COUNTIF($A$2:A4722,$A4722)=1,1,0))</f>
        <v>0</v>
      </c>
      <c r="K4722" s="47" t="n">
        <f aca="false">IF(J4722=1,N(I4722)+ROW()/10000000,0)</f>
        <v>0</v>
      </c>
      <c r="L4722" s="47" t="str">
        <f aca="false">IF(AND(J4722=1,N(I4722)&gt;0),SUMIF($K$2:$K$5001,"&gt;="&amp;K4722,$I$2:$I$5001)/MAX(1,SUM($H$2:$H$5001)),"")</f>
        <v/>
      </c>
      <c r="M4722" s="47" t="str">
        <f aca="false">IF($A4722="","",INDEX($L$2:$L$5001,MATCH($A4722,$A$2:$A$5001,0)))</f>
        <v/>
      </c>
      <c r="N4722" s="48" t="str">
        <f aca="false">IF($A4722="","",IF(N(M4722)=0,"–",IF(M4722&lt;=Start!$D$20,"A",IF(M4722&lt;=Start!$D$21,"B","C"))))</f>
        <v/>
      </c>
      <c r="O4722" s="48" t="str">
        <f aca="false">IF($A4722="","",IF(NOT(ISNUMBER(F4722)),"Wert fehlt; ",IF(F4722&lt;=0,"Wert ist 0; ",""))&amp;IF(NOT(ISNUMBER(E4722)),"Bestand fehlt; ",IF(E4722&lt;0,"Bestand negativ; ",IF(E4722=0,"Nullbestand; ","")))&amp;IF(D4722="","Warengruppe fehlt; ","")&amp;IF(B4722="","Bezeichnung fehlt; ","")&amp;IF(COUNTIFS($A$2:$A$5001,$A4722,$C$2:$C$5001,C4722)&gt;1,"Artikel doppelt im selben Lager; ",""))</f>
        <v/>
      </c>
      <c r="P4722" s="47" t="n">
        <f aca="false">IF(OR($A4722="",D4722=""),0,IF(COUNTIF($D$2:D4722,D4722)=1,SUMIF($D$2:$D$5001,D4722,$H$2:$H$5001)+ROW()/10000000,0))</f>
        <v>0</v>
      </c>
      <c r="Q4722" s="47" t="n">
        <f aca="false">IF(OR($A4722="",C4722=""),0,IF(COUNTIF($C$2:C4722,C4722)=1,SUMIF($C$2:$C$5001,C4722,$H$2:$H$5001)+ROW()/10000000,0))</f>
        <v>0</v>
      </c>
    </row>
    <row r="4723" customFormat="false" ht="15" hidden="false" customHeight="false" outlineLevel="0" collapsed="false">
      <c r="A4723" s="43"/>
      <c r="B4723" s="44"/>
      <c r="C4723" s="44"/>
      <c r="D4723" s="44"/>
      <c r="E4723" s="44"/>
      <c r="F4723" s="44"/>
      <c r="G4723" s="44"/>
      <c r="H4723" s="46" t="str">
        <f aca="false">IF($A4723="","",IF(OR(NOT(ISNUMBER(E4723)),NOT(ISNUMBER(F4723))),"",MAX(0,E4723)*F4723))</f>
        <v/>
      </c>
      <c r="I4723" s="46" t="str">
        <f aca="false">IF($A4723="","",SUMIF($A$2:$A$5001,$A4723,$H$2:$H$5001))</f>
        <v/>
      </c>
      <c r="J4723" s="47" t="n">
        <f aca="false">IF($A4723="",0,IF(COUNTIF($A$2:A4723,$A4723)=1,1,0))</f>
        <v>0</v>
      </c>
      <c r="K4723" s="47" t="n">
        <f aca="false">IF(J4723=1,N(I4723)+ROW()/10000000,0)</f>
        <v>0</v>
      </c>
      <c r="L4723" s="47" t="str">
        <f aca="false">IF(AND(J4723=1,N(I4723)&gt;0),SUMIF($K$2:$K$5001,"&gt;="&amp;K4723,$I$2:$I$5001)/MAX(1,SUM($H$2:$H$5001)),"")</f>
        <v/>
      </c>
      <c r="M4723" s="47" t="str">
        <f aca="false">IF($A4723="","",INDEX($L$2:$L$5001,MATCH($A4723,$A$2:$A$5001,0)))</f>
        <v/>
      </c>
      <c r="N4723" s="48" t="str">
        <f aca="false">IF($A4723="","",IF(N(M4723)=0,"–",IF(M4723&lt;=Start!$D$20,"A",IF(M4723&lt;=Start!$D$21,"B","C"))))</f>
        <v/>
      </c>
      <c r="O4723" s="48" t="str">
        <f aca="false">IF($A4723="","",IF(NOT(ISNUMBER(F4723)),"Wert fehlt; ",IF(F4723&lt;=0,"Wert ist 0; ",""))&amp;IF(NOT(ISNUMBER(E4723)),"Bestand fehlt; ",IF(E4723&lt;0,"Bestand negativ; ",IF(E4723=0,"Nullbestand; ","")))&amp;IF(D4723="","Warengruppe fehlt; ","")&amp;IF(B4723="","Bezeichnung fehlt; ","")&amp;IF(COUNTIFS($A$2:$A$5001,$A4723,$C$2:$C$5001,C4723)&gt;1,"Artikel doppelt im selben Lager; ",""))</f>
        <v/>
      </c>
      <c r="P4723" s="47" t="n">
        <f aca="false">IF(OR($A4723="",D4723=""),0,IF(COUNTIF($D$2:D4723,D4723)=1,SUMIF($D$2:$D$5001,D4723,$H$2:$H$5001)+ROW()/10000000,0))</f>
        <v>0</v>
      </c>
      <c r="Q4723" s="47" t="n">
        <f aca="false">IF(OR($A4723="",C4723=""),0,IF(COUNTIF($C$2:C4723,C4723)=1,SUMIF($C$2:$C$5001,C4723,$H$2:$H$5001)+ROW()/10000000,0))</f>
        <v>0</v>
      </c>
    </row>
    <row r="4724" customFormat="false" ht="15" hidden="false" customHeight="false" outlineLevel="0" collapsed="false">
      <c r="A4724" s="43"/>
      <c r="B4724" s="44"/>
      <c r="C4724" s="44"/>
      <c r="D4724" s="44"/>
      <c r="E4724" s="44"/>
      <c r="F4724" s="44"/>
      <c r="G4724" s="44"/>
      <c r="H4724" s="46" t="str">
        <f aca="false">IF($A4724="","",IF(OR(NOT(ISNUMBER(E4724)),NOT(ISNUMBER(F4724))),"",MAX(0,E4724)*F4724))</f>
        <v/>
      </c>
      <c r="I4724" s="46" t="str">
        <f aca="false">IF($A4724="","",SUMIF($A$2:$A$5001,$A4724,$H$2:$H$5001))</f>
        <v/>
      </c>
      <c r="J4724" s="47" t="n">
        <f aca="false">IF($A4724="",0,IF(COUNTIF($A$2:A4724,$A4724)=1,1,0))</f>
        <v>0</v>
      </c>
      <c r="K4724" s="47" t="n">
        <f aca="false">IF(J4724=1,N(I4724)+ROW()/10000000,0)</f>
        <v>0</v>
      </c>
      <c r="L4724" s="47" t="str">
        <f aca="false">IF(AND(J4724=1,N(I4724)&gt;0),SUMIF($K$2:$K$5001,"&gt;="&amp;K4724,$I$2:$I$5001)/MAX(1,SUM($H$2:$H$5001)),"")</f>
        <v/>
      </c>
      <c r="M4724" s="47" t="str">
        <f aca="false">IF($A4724="","",INDEX($L$2:$L$5001,MATCH($A4724,$A$2:$A$5001,0)))</f>
        <v/>
      </c>
      <c r="N4724" s="48" t="str">
        <f aca="false">IF($A4724="","",IF(N(M4724)=0,"–",IF(M4724&lt;=Start!$D$20,"A",IF(M4724&lt;=Start!$D$21,"B","C"))))</f>
        <v/>
      </c>
      <c r="O4724" s="48" t="str">
        <f aca="false">IF($A4724="","",IF(NOT(ISNUMBER(F4724)),"Wert fehlt; ",IF(F4724&lt;=0,"Wert ist 0; ",""))&amp;IF(NOT(ISNUMBER(E4724)),"Bestand fehlt; ",IF(E4724&lt;0,"Bestand negativ; ",IF(E4724=0,"Nullbestand; ","")))&amp;IF(D4724="","Warengruppe fehlt; ","")&amp;IF(B4724="","Bezeichnung fehlt; ","")&amp;IF(COUNTIFS($A$2:$A$5001,$A4724,$C$2:$C$5001,C4724)&gt;1,"Artikel doppelt im selben Lager; ",""))</f>
        <v/>
      </c>
      <c r="P4724" s="47" t="n">
        <f aca="false">IF(OR($A4724="",D4724=""),0,IF(COUNTIF($D$2:D4724,D4724)=1,SUMIF($D$2:$D$5001,D4724,$H$2:$H$5001)+ROW()/10000000,0))</f>
        <v>0</v>
      </c>
      <c r="Q4724" s="47" t="n">
        <f aca="false">IF(OR($A4724="",C4724=""),0,IF(COUNTIF($C$2:C4724,C4724)=1,SUMIF($C$2:$C$5001,C4724,$H$2:$H$5001)+ROW()/10000000,0))</f>
        <v>0</v>
      </c>
    </row>
    <row r="4725" customFormat="false" ht="15" hidden="false" customHeight="false" outlineLevel="0" collapsed="false">
      <c r="A4725" s="43"/>
      <c r="B4725" s="44"/>
      <c r="C4725" s="44"/>
      <c r="D4725" s="44"/>
      <c r="E4725" s="44"/>
      <c r="F4725" s="44"/>
      <c r="G4725" s="44"/>
      <c r="H4725" s="46" t="str">
        <f aca="false">IF($A4725="","",IF(OR(NOT(ISNUMBER(E4725)),NOT(ISNUMBER(F4725))),"",MAX(0,E4725)*F4725))</f>
        <v/>
      </c>
      <c r="I4725" s="46" t="str">
        <f aca="false">IF($A4725="","",SUMIF($A$2:$A$5001,$A4725,$H$2:$H$5001))</f>
        <v/>
      </c>
      <c r="J4725" s="47" t="n">
        <f aca="false">IF($A4725="",0,IF(COUNTIF($A$2:A4725,$A4725)=1,1,0))</f>
        <v>0</v>
      </c>
      <c r="K4725" s="47" t="n">
        <f aca="false">IF(J4725=1,N(I4725)+ROW()/10000000,0)</f>
        <v>0</v>
      </c>
      <c r="L4725" s="47" t="str">
        <f aca="false">IF(AND(J4725=1,N(I4725)&gt;0),SUMIF($K$2:$K$5001,"&gt;="&amp;K4725,$I$2:$I$5001)/MAX(1,SUM($H$2:$H$5001)),"")</f>
        <v/>
      </c>
      <c r="M4725" s="47" t="str">
        <f aca="false">IF($A4725="","",INDEX($L$2:$L$5001,MATCH($A4725,$A$2:$A$5001,0)))</f>
        <v/>
      </c>
      <c r="N4725" s="48" t="str">
        <f aca="false">IF($A4725="","",IF(N(M4725)=0,"–",IF(M4725&lt;=Start!$D$20,"A",IF(M4725&lt;=Start!$D$21,"B","C"))))</f>
        <v/>
      </c>
      <c r="O4725" s="48" t="str">
        <f aca="false">IF($A4725="","",IF(NOT(ISNUMBER(F4725)),"Wert fehlt; ",IF(F4725&lt;=0,"Wert ist 0; ",""))&amp;IF(NOT(ISNUMBER(E4725)),"Bestand fehlt; ",IF(E4725&lt;0,"Bestand negativ; ",IF(E4725=0,"Nullbestand; ","")))&amp;IF(D4725="","Warengruppe fehlt; ","")&amp;IF(B4725="","Bezeichnung fehlt; ","")&amp;IF(COUNTIFS($A$2:$A$5001,$A4725,$C$2:$C$5001,C4725)&gt;1,"Artikel doppelt im selben Lager; ",""))</f>
        <v/>
      </c>
      <c r="P4725" s="47" t="n">
        <f aca="false">IF(OR($A4725="",D4725=""),0,IF(COUNTIF($D$2:D4725,D4725)=1,SUMIF($D$2:$D$5001,D4725,$H$2:$H$5001)+ROW()/10000000,0))</f>
        <v>0</v>
      </c>
      <c r="Q4725" s="47" t="n">
        <f aca="false">IF(OR($A4725="",C4725=""),0,IF(COUNTIF($C$2:C4725,C4725)=1,SUMIF($C$2:$C$5001,C4725,$H$2:$H$5001)+ROW()/10000000,0))</f>
        <v>0</v>
      </c>
    </row>
    <row r="4726" customFormat="false" ht="15" hidden="false" customHeight="false" outlineLevel="0" collapsed="false">
      <c r="A4726" s="43"/>
      <c r="B4726" s="44"/>
      <c r="C4726" s="44"/>
      <c r="D4726" s="44"/>
      <c r="E4726" s="44"/>
      <c r="F4726" s="44"/>
      <c r="G4726" s="44"/>
      <c r="H4726" s="46" t="str">
        <f aca="false">IF($A4726="","",IF(OR(NOT(ISNUMBER(E4726)),NOT(ISNUMBER(F4726))),"",MAX(0,E4726)*F4726))</f>
        <v/>
      </c>
      <c r="I4726" s="46" t="str">
        <f aca="false">IF($A4726="","",SUMIF($A$2:$A$5001,$A4726,$H$2:$H$5001))</f>
        <v/>
      </c>
      <c r="J4726" s="47" t="n">
        <f aca="false">IF($A4726="",0,IF(COUNTIF($A$2:A4726,$A4726)=1,1,0))</f>
        <v>0</v>
      </c>
      <c r="K4726" s="47" t="n">
        <f aca="false">IF(J4726=1,N(I4726)+ROW()/10000000,0)</f>
        <v>0</v>
      </c>
      <c r="L4726" s="47" t="str">
        <f aca="false">IF(AND(J4726=1,N(I4726)&gt;0),SUMIF($K$2:$K$5001,"&gt;="&amp;K4726,$I$2:$I$5001)/MAX(1,SUM($H$2:$H$5001)),"")</f>
        <v/>
      </c>
      <c r="M4726" s="47" t="str">
        <f aca="false">IF($A4726="","",INDEX($L$2:$L$5001,MATCH($A4726,$A$2:$A$5001,0)))</f>
        <v/>
      </c>
      <c r="N4726" s="48" t="str">
        <f aca="false">IF($A4726="","",IF(N(M4726)=0,"–",IF(M4726&lt;=Start!$D$20,"A",IF(M4726&lt;=Start!$D$21,"B","C"))))</f>
        <v/>
      </c>
      <c r="O4726" s="48" t="str">
        <f aca="false">IF($A4726="","",IF(NOT(ISNUMBER(F4726)),"Wert fehlt; ",IF(F4726&lt;=0,"Wert ist 0; ",""))&amp;IF(NOT(ISNUMBER(E4726)),"Bestand fehlt; ",IF(E4726&lt;0,"Bestand negativ; ",IF(E4726=0,"Nullbestand; ","")))&amp;IF(D4726="","Warengruppe fehlt; ","")&amp;IF(B4726="","Bezeichnung fehlt; ","")&amp;IF(COUNTIFS($A$2:$A$5001,$A4726,$C$2:$C$5001,C4726)&gt;1,"Artikel doppelt im selben Lager; ",""))</f>
        <v/>
      </c>
      <c r="P4726" s="47" t="n">
        <f aca="false">IF(OR($A4726="",D4726=""),0,IF(COUNTIF($D$2:D4726,D4726)=1,SUMIF($D$2:$D$5001,D4726,$H$2:$H$5001)+ROW()/10000000,0))</f>
        <v>0</v>
      </c>
      <c r="Q4726" s="47" t="n">
        <f aca="false">IF(OR($A4726="",C4726=""),0,IF(COUNTIF($C$2:C4726,C4726)=1,SUMIF($C$2:$C$5001,C4726,$H$2:$H$5001)+ROW()/10000000,0))</f>
        <v>0</v>
      </c>
    </row>
    <row r="4727" customFormat="false" ht="15" hidden="false" customHeight="false" outlineLevel="0" collapsed="false">
      <c r="A4727" s="43"/>
      <c r="B4727" s="44"/>
      <c r="C4727" s="44"/>
      <c r="D4727" s="44"/>
      <c r="E4727" s="44"/>
      <c r="F4727" s="44"/>
      <c r="G4727" s="44"/>
      <c r="H4727" s="46" t="str">
        <f aca="false">IF($A4727="","",IF(OR(NOT(ISNUMBER(E4727)),NOT(ISNUMBER(F4727))),"",MAX(0,E4727)*F4727))</f>
        <v/>
      </c>
      <c r="I4727" s="46" t="str">
        <f aca="false">IF($A4727="","",SUMIF($A$2:$A$5001,$A4727,$H$2:$H$5001))</f>
        <v/>
      </c>
      <c r="J4727" s="47" t="n">
        <f aca="false">IF($A4727="",0,IF(COUNTIF($A$2:A4727,$A4727)=1,1,0))</f>
        <v>0</v>
      </c>
      <c r="K4727" s="47" t="n">
        <f aca="false">IF(J4727=1,N(I4727)+ROW()/10000000,0)</f>
        <v>0</v>
      </c>
      <c r="L4727" s="47" t="str">
        <f aca="false">IF(AND(J4727=1,N(I4727)&gt;0),SUMIF($K$2:$K$5001,"&gt;="&amp;K4727,$I$2:$I$5001)/MAX(1,SUM($H$2:$H$5001)),"")</f>
        <v/>
      </c>
      <c r="M4727" s="47" t="str">
        <f aca="false">IF($A4727="","",INDEX($L$2:$L$5001,MATCH($A4727,$A$2:$A$5001,0)))</f>
        <v/>
      </c>
      <c r="N4727" s="48" t="str">
        <f aca="false">IF($A4727="","",IF(N(M4727)=0,"–",IF(M4727&lt;=Start!$D$20,"A",IF(M4727&lt;=Start!$D$21,"B","C"))))</f>
        <v/>
      </c>
      <c r="O4727" s="48" t="str">
        <f aca="false">IF($A4727="","",IF(NOT(ISNUMBER(F4727)),"Wert fehlt; ",IF(F4727&lt;=0,"Wert ist 0; ",""))&amp;IF(NOT(ISNUMBER(E4727)),"Bestand fehlt; ",IF(E4727&lt;0,"Bestand negativ; ",IF(E4727=0,"Nullbestand; ","")))&amp;IF(D4727="","Warengruppe fehlt; ","")&amp;IF(B4727="","Bezeichnung fehlt; ","")&amp;IF(COUNTIFS($A$2:$A$5001,$A4727,$C$2:$C$5001,C4727)&gt;1,"Artikel doppelt im selben Lager; ",""))</f>
        <v/>
      </c>
      <c r="P4727" s="47" t="n">
        <f aca="false">IF(OR($A4727="",D4727=""),0,IF(COUNTIF($D$2:D4727,D4727)=1,SUMIF($D$2:$D$5001,D4727,$H$2:$H$5001)+ROW()/10000000,0))</f>
        <v>0</v>
      </c>
      <c r="Q4727" s="47" t="n">
        <f aca="false">IF(OR($A4727="",C4727=""),0,IF(COUNTIF($C$2:C4727,C4727)=1,SUMIF($C$2:$C$5001,C4727,$H$2:$H$5001)+ROW()/10000000,0))</f>
        <v>0</v>
      </c>
    </row>
    <row r="4728" customFormat="false" ht="15" hidden="false" customHeight="false" outlineLevel="0" collapsed="false">
      <c r="A4728" s="43"/>
      <c r="B4728" s="44"/>
      <c r="C4728" s="44"/>
      <c r="D4728" s="44"/>
      <c r="E4728" s="44"/>
      <c r="F4728" s="44"/>
      <c r="G4728" s="44"/>
      <c r="H4728" s="46" t="str">
        <f aca="false">IF($A4728="","",IF(OR(NOT(ISNUMBER(E4728)),NOT(ISNUMBER(F4728))),"",MAX(0,E4728)*F4728))</f>
        <v/>
      </c>
      <c r="I4728" s="46" t="str">
        <f aca="false">IF($A4728="","",SUMIF($A$2:$A$5001,$A4728,$H$2:$H$5001))</f>
        <v/>
      </c>
      <c r="J4728" s="47" t="n">
        <f aca="false">IF($A4728="",0,IF(COUNTIF($A$2:A4728,$A4728)=1,1,0))</f>
        <v>0</v>
      </c>
      <c r="K4728" s="47" t="n">
        <f aca="false">IF(J4728=1,N(I4728)+ROW()/10000000,0)</f>
        <v>0</v>
      </c>
      <c r="L4728" s="47" t="str">
        <f aca="false">IF(AND(J4728=1,N(I4728)&gt;0),SUMIF($K$2:$K$5001,"&gt;="&amp;K4728,$I$2:$I$5001)/MAX(1,SUM($H$2:$H$5001)),"")</f>
        <v/>
      </c>
      <c r="M4728" s="47" t="str">
        <f aca="false">IF($A4728="","",INDEX($L$2:$L$5001,MATCH($A4728,$A$2:$A$5001,0)))</f>
        <v/>
      </c>
      <c r="N4728" s="48" t="str">
        <f aca="false">IF($A4728="","",IF(N(M4728)=0,"–",IF(M4728&lt;=Start!$D$20,"A",IF(M4728&lt;=Start!$D$21,"B","C"))))</f>
        <v/>
      </c>
      <c r="O4728" s="48" t="str">
        <f aca="false">IF($A4728="","",IF(NOT(ISNUMBER(F4728)),"Wert fehlt; ",IF(F4728&lt;=0,"Wert ist 0; ",""))&amp;IF(NOT(ISNUMBER(E4728)),"Bestand fehlt; ",IF(E4728&lt;0,"Bestand negativ; ",IF(E4728=0,"Nullbestand; ","")))&amp;IF(D4728="","Warengruppe fehlt; ","")&amp;IF(B4728="","Bezeichnung fehlt; ","")&amp;IF(COUNTIFS($A$2:$A$5001,$A4728,$C$2:$C$5001,C4728)&gt;1,"Artikel doppelt im selben Lager; ",""))</f>
        <v/>
      </c>
      <c r="P4728" s="47" t="n">
        <f aca="false">IF(OR($A4728="",D4728=""),0,IF(COUNTIF($D$2:D4728,D4728)=1,SUMIF($D$2:$D$5001,D4728,$H$2:$H$5001)+ROW()/10000000,0))</f>
        <v>0</v>
      </c>
      <c r="Q4728" s="47" t="n">
        <f aca="false">IF(OR($A4728="",C4728=""),0,IF(COUNTIF($C$2:C4728,C4728)=1,SUMIF($C$2:$C$5001,C4728,$H$2:$H$5001)+ROW()/10000000,0))</f>
        <v>0</v>
      </c>
    </row>
    <row r="4729" customFormat="false" ht="15" hidden="false" customHeight="false" outlineLevel="0" collapsed="false">
      <c r="A4729" s="43"/>
      <c r="B4729" s="44"/>
      <c r="C4729" s="44"/>
      <c r="D4729" s="44"/>
      <c r="E4729" s="44"/>
      <c r="F4729" s="44"/>
      <c r="G4729" s="44"/>
      <c r="H4729" s="46" t="str">
        <f aca="false">IF($A4729="","",IF(OR(NOT(ISNUMBER(E4729)),NOT(ISNUMBER(F4729))),"",MAX(0,E4729)*F4729))</f>
        <v/>
      </c>
      <c r="I4729" s="46" t="str">
        <f aca="false">IF($A4729="","",SUMIF($A$2:$A$5001,$A4729,$H$2:$H$5001))</f>
        <v/>
      </c>
      <c r="J4729" s="47" t="n">
        <f aca="false">IF($A4729="",0,IF(COUNTIF($A$2:A4729,$A4729)=1,1,0))</f>
        <v>0</v>
      </c>
      <c r="K4729" s="47" t="n">
        <f aca="false">IF(J4729=1,N(I4729)+ROW()/10000000,0)</f>
        <v>0</v>
      </c>
      <c r="L4729" s="47" t="str">
        <f aca="false">IF(AND(J4729=1,N(I4729)&gt;0),SUMIF($K$2:$K$5001,"&gt;="&amp;K4729,$I$2:$I$5001)/MAX(1,SUM($H$2:$H$5001)),"")</f>
        <v/>
      </c>
      <c r="M4729" s="47" t="str">
        <f aca="false">IF($A4729="","",INDEX($L$2:$L$5001,MATCH($A4729,$A$2:$A$5001,0)))</f>
        <v/>
      </c>
      <c r="N4729" s="48" t="str">
        <f aca="false">IF($A4729="","",IF(N(M4729)=0,"–",IF(M4729&lt;=Start!$D$20,"A",IF(M4729&lt;=Start!$D$21,"B","C"))))</f>
        <v/>
      </c>
      <c r="O4729" s="48" t="str">
        <f aca="false">IF($A4729="","",IF(NOT(ISNUMBER(F4729)),"Wert fehlt; ",IF(F4729&lt;=0,"Wert ist 0; ",""))&amp;IF(NOT(ISNUMBER(E4729)),"Bestand fehlt; ",IF(E4729&lt;0,"Bestand negativ; ",IF(E4729=0,"Nullbestand; ","")))&amp;IF(D4729="","Warengruppe fehlt; ","")&amp;IF(B4729="","Bezeichnung fehlt; ","")&amp;IF(COUNTIFS($A$2:$A$5001,$A4729,$C$2:$C$5001,C4729)&gt;1,"Artikel doppelt im selben Lager; ",""))</f>
        <v/>
      </c>
      <c r="P4729" s="47" t="n">
        <f aca="false">IF(OR($A4729="",D4729=""),0,IF(COUNTIF($D$2:D4729,D4729)=1,SUMIF($D$2:$D$5001,D4729,$H$2:$H$5001)+ROW()/10000000,0))</f>
        <v>0</v>
      </c>
      <c r="Q4729" s="47" t="n">
        <f aca="false">IF(OR($A4729="",C4729=""),0,IF(COUNTIF($C$2:C4729,C4729)=1,SUMIF($C$2:$C$5001,C4729,$H$2:$H$5001)+ROW()/10000000,0))</f>
        <v>0</v>
      </c>
    </row>
    <row r="4730" customFormat="false" ht="15" hidden="false" customHeight="false" outlineLevel="0" collapsed="false">
      <c r="A4730" s="43"/>
      <c r="B4730" s="44"/>
      <c r="C4730" s="44"/>
      <c r="D4730" s="44"/>
      <c r="E4730" s="44"/>
      <c r="F4730" s="44"/>
      <c r="G4730" s="44"/>
      <c r="H4730" s="46" t="str">
        <f aca="false">IF($A4730="","",IF(OR(NOT(ISNUMBER(E4730)),NOT(ISNUMBER(F4730))),"",MAX(0,E4730)*F4730))</f>
        <v/>
      </c>
      <c r="I4730" s="46" t="str">
        <f aca="false">IF($A4730="","",SUMIF($A$2:$A$5001,$A4730,$H$2:$H$5001))</f>
        <v/>
      </c>
      <c r="J4730" s="47" t="n">
        <f aca="false">IF($A4730="",0,IF(COUNTIF($A$2:A4730,$A4730)=1,1,0))</f>
        <v>0</v>
      </c>
      <c r="K4730" s="47" t="n">
        <f aca="false">IF(J4730=1,N(I4730)+ROW()/10000000,0)</f>
        <v>0</v>
      </c>
      <c r="L4730" s="47" t="str">
        <f aca="false">IF(AND(J4730=1,N(I4730)&gt;0),SUMIF($K$2:$K$5001,"&gt;="&amp;K4730,$I$2:$I$5001)/MAX(1,SUM($H$2:$H$5001)),"")</f>
        <v/>
      </c>
      <c r="M4730" s="47" t="str">
        <f aca="false">IF($A4730="","",INDEX($L$2:$L$5001,MATCH($A4730,$A$2:$A$5001,0)))</f>
        <v/>
      </c>
      <c r="N4730" s="48" t="str">
        <f aca="false">IF($A4730="","",IF(N(M4730)=0,"–",IF(M4730&lt;=Start!$D$20,"A",IF(M4730&lt;=Start!$D$21,"B","C"))))</f>
        <v/>
      </c>
      <c r="O4730" s="48" t="str">
        <f aca="false">IF($A4730="","",IF(NOT(ISNUMBER(F4730)),"Wert fehlt; ",IF(F4730&lt;=0,"Wert ist 0; ",""))&amp;IF(NOT(ISNUMBER(E4730)),"Bestand fehlt; ",IF(E4730&lt;0,"Bestand negativ; ",IF(E4730=0,"Nullbestand; ","")))&amp;IF(D4730="","Warengruppe fehlt; ","")&amp;IF(B4730="","Bezeichnung fehlt; ","")&amp;IF(COUNTIFS($A$2:$A$5001,$A4730,$C$2:$C$5001,C4730)&gt;1,"Artikel doppelt im selben Lager; ",""))</f>
        <v/>
      </c>
      <c r="P4730" s="47" t="n">
        <f aca="false">IF(OR($A4730="",D4730=""),0,IF(COUNTIF($D$2:D4730,D4730)=1,SUMIF($D$2:$D$5001,D4730,$H$2:$H$5001)+ROW()/10000000,0))</f>
        <v>0</v>
      </c>
      <c r="Q4730" s="47" t="n">
        <f aca="false">IF(OR($A4730="",C4730=""),0,IF(COUNTIF($C$2:C4730,C4730)=1,SUMIF($C$2:$C$5001,C4730,$H$2:$H$5001)+ROW()/10000000,0))</f>
        <v>0</v>
      </c>
    </row>
    <row r="4731" customFormat="false" ht="15" hidden="false" customHeight="false" outlineLevel="0" collapsed="false">
      <c r="A4731" s="43"/>
      <c r="B4731" s="44"/>
      <c r="C4731" s="44"/>
      <c r="D4731" s="44"/>
      <c r="E4731" s="44"/>
      <c r="F4731" s="44"/>
      <c r="G4731" s="44"/>
      <c r="H4731" s="46" t="str">
        <f aca="false">IF($A4731="","",IF(OR(NOT(ISNUMBER(E4731)),NOT(ISNUMBER(F4731))),"",MAX(0,E4731)*F4731))</f>
        <v/>
      </c>
      <c r="I4731" s="46" t="str">
        <f aca="false">IF($A4731="","",SUMIF($A$2:$A$5001,$A4731,$H$2:$H$5001))</f>
        <v/>
      </c>
      <c r="J4731" s="47" t="n">
        <f aca="false">IF($A4731="",0,IF(COUNTIF($A$2:A4731,$A4731)=1,1,0))</f>
        <v>0</v>
      </c>
      <c r="K4731" s="47" t="n">
        <f aca="false">IF(J4731=1,N(I4731)+ROW()/10000000,0)</f>
        <v>0</v>
      </c>
      <c r="L4731" s="47" t="str">
        <f aca="false">IF(AND(J4731=1,N(I4731)&gt;0),SUMIF($K$2:$K$5001,"&gt;="&amp;K4731,$I$2:$I$5001)/MAX(1,SUM($H$2:$H$5001)),"")</f>
        <v/>
      </c>
      <c r="M4731" s="47" t="str">
        <f aca="false">IF($A4731="","",INDEX($L$2:$L$5001,MATCH($A4731,$A$2:$A$5001,0)))</f>
        <v/>
      </c>
      <c r="N4731" s="48" t="str">
        <f aca="false">IF($A4731="","",IF(N(M4731)=0,"–",IF(M4731&lt;=Start!$D$20,"A",IF(M4731&lt;=Start!$D$21,"B","C"))))</f>
        <v/>
      </c>
      <c r="O4731" s="48" t="str">
        <f aca="false">IF($A4731="","",IF(NOT(ISNUMBER(F4731)),"Wert fehlt; ",IF(F4731&lt;=0,"Wert ist 0; ",""))&amp;IF(NOT(ISNUMBER(E4731)),"Bestand fehlt; ",IF(E4731&lt;0,"Bestand negativ; ",IF(E4731=0,"Nullbestand; ","")))&amp;IF(D4731="","Warengruppe fehlt; ","")&amp;IF(B4731="","Bezeichnung fehlt; ","")&amp;IF(COUNTIFS($A$2:$A$5001,$A4731,$C$2:$C$5001,C4731)&gt;1,"Artikel doppelt im selben Lager; ",""))</f>
        <v/>
      </c>
      <c r="P4731" s="47" t="n">
        <f aca="false">IF(OR($A4731="",D4731=""),0,IF(COUNTIF($D$2:D4731,D4731)=1,SUMIF($D$2:$D$5001,D4731,$H$2:$H$5001)+ROW()/10000000,0))</f>
        <v>0</v>
      </c>
      <c r="Q4731" s="47" t="n">
        <f aca="false">IF(OR($A4731="",C4731=""),0,IF(COUNTIF($C$2:C4731,C4731)=1,SUMIF($C$2:$C$5001,C4731,$H$2:$H$5001)+ROW()/10000000,0))</f>
        <v>0</v>
      </c>
    </row>
    <row r="4732" customFormat="false" ht="15" hidden="false" customHeight="false" outlineLevel="0" collapsed="false">
      <c r="A4732" s="43"/>
      <c r="B4732" s="44"/>
      <c r="C4732" s="44"/>
      <c r="D4732" s="44"/>
      <c r="E4732" s="44"/>
      <c r="F4732" s="44"/>
      <c r="G4732" s="44"/>
      <c r="H4732" s="46" t="str">
        <f aca="false">IF($A4732="","",IF(OR(NOT(ISNUMBER(E4732)),NOT(ISNUMBER(F4732))),"",MAX(0,E4732)*F4732))</f>
        <v/>
      </c>
      <c r="I4732" s="46" t="str">
        <f aca="false">IF($A4732="","",SUMIF($A$2:$A$5001,$A4732,$H$2:$H$5001))</f>
        <v/>
      </c>
      <c r="J4732" s="47" t="n">
        <f aca="false">IF($A4732="",0,IF(COUNTIF($A$2:A4732,$A4732)=1,1,0))</f>
        <v>0</v>
      </c>
      <c r="K4732" s="47" t="n">
        <f aca="false">IF(J4732=1,N(I4732)+ROW()/10000000,0)</f>
        <v>0</v>
      </c>
      <c r="L4732" s="47" t="str">
        <f aca="false">IF(AND(J4732=1,N(I4732)&gt;0),SUMIF($K$2:$K$5001,"&gt;="&amp;K4732,$I$2:$I$5001)/MAX(1,SUM($H$2:$H$5001)),"")</f>
        <v/>
      </c>
      <c r="M4732" s="47" t="str">
        <f aca="false">IF($A4732="","",INDEX($L$2:$L$5001,MATCH($A4732,$A$2:$A$5001,0)))</f>
        <v/>
      </c>
      <c r="N4732" s="48" t="str">
        <f aca="false">IF($A4732="","",IF(N(M4732)=0,"–",IF(M4732&lt;=Start!$D$20,"A",IF(M4732&lt;=Start!$D$21,"B","C"))))</f>
        <v/>
      </c>
      <c r="O4732" s="48" t="str">
        <f aca="false">IF($A4732="","",IF(NOT(ISNUMBER(F4732)),"Wert fehlt; ",IF(F4732&lt;=0,"Wert ist 0; ",""))&amp;IF(NOT(ISNUMBER(E4732)),"Bestand fehlt; ",IF(E4732&lt;0,"Bestand negativ; ",IF(E4732=0,"Nullbestand; ","")))&amp;IF(D4732="","Warengruppe fehlt; ","")&amp;IF(B4732="","Bezeichnung fehlt; ","")&amp;IF(COUNTIFS($A$2:$A$5001,$A4732,$C$2:$C$5001,C4732)&gt;1,"Artikel doppelt im selben Lager; ",""))</f>
        <v/>
      </c>
      <c r="P4732" s="47" t="n">
        <f aca="false">IF(OR($A4732="",D4732=""),0,IF(COUNTIF($D$2:D4732,D4732)=1,SUMIF($D$2:$D$5001,D4732,$H$2:$H$5001)+ROW()/10000000,0))</f>
        <v>0</v>
      </c>
      <c r="Q4732" s="47" t="n">
        <f aca="false">IF(OR($A4732="",C4732=""),0,IF(COUNTIF($C$2:C4732,C4732)=1,SUMIF($C$2:$C$5001,C4732,$H$2:$H$5001)+ROW()/10000000,0))</f>
        <v>0</v>
      </c>
    </row>
    <row r="4733" customFormat="false" ht="15" hidden="false" customHeight="false" outlineLevel="0" collapsed="false">
      <c r="A4733" s="43"/>
      <c r="B4733" s="44"/>
      <c r="C4733" s="44"/>
      <c r="D4733" s="44"/>
      <c r="E4733" s="44"/>
      <c r="F4733" s="44"/>
      <c r="G4733" s="44"/>
      <c r="H4733" s="46" t="str">
        <f aca="false">IF($A4733="","",IF(OR(NOT(ISNUMBER(E4733)),NOT(ISNUMBER(F4733))),"",MAX(0,E4733)*F4733))</f>
        <v/>
      </c>
      <c r="I4733" s="46" t="str">
        <f aca="false">IF($A4733="","",SUMIF($A$2:$A$5001,$A4733,$H$2:$H$5001))</f>
        <v/>
      </c>
      <c r="J4733" s="47" t="n">
        <f aca="false">IF($A4733="",0,IF(COUNTIF($A$2:A4733,$A4733)=1,1,0))</f>
        <v>0</v>
      </c>
      <c r="K4733" s="47" t="n">
        <f aca="false">IF(J4733=1,N(I4733)+ROW()/10000000,0)</f>
        <v>0</v>
      </c>
      <c r="L4733" s="47" t="str">
        <f aca="false">IF(AND(J4733=1,N(I4733)&gt;0),SUMIF($K$2:$K$5001,"&gt;="&amp;K4733,$I$2:$I$5001)/MAX(1,SUM($H$2:$H$5001)),"")</f>
        <v/>
      </c>
      <c r="M4733" s="47" t="str">
        <f aca="false">IF($A4733="","",INDEX($L$2:$L$5001,MATCH($A4733,$A$2:$A$5001,0)))</f>
        <v/>
      </c>
      <c r="N4733" s="48" t="str">
        <f aca="false">IF($A4733="","",IF(N(M4733)=0,"–",IF(M4733&lt;=Start!$D$20,"A",IF(M4733&lt;=Start!$D$21,"B","C"))))</f>
        <v/>
      </c>
      <c r="O4733" s="48" t="str">
        <f aca="false">IF($A4733="","",IF(NOT(ISNUMBER(F4733)),"Wert fehlt; ",IF(F4733&lt;=0,"Wert ist 0; ",""))&amp;IF(NOT(ISNUMBER(E4733)),"Bestand fehlt; ",IF(E4733&lt;0,"Bestand negativ; ",IF(E4733=0,"Nullbestand; ","")))&amp;IF(D4733="","Warengruppe fehlt; ","")&amp;IF(B4733="","Bezeichnung fehlt; ","")&amp;IF(COUNTIFS($A$2:$A$5001,$A4733,$C$2:$C$5001,C4733)&gt;1,"Artikel doppelt im selben Lager; ",""))</f>
        <v/>
      </c>
      <c r="P4733" s="47" t="n">
        <f aca="false">IF(OR($A4733="",D4733=""),0,IF(COUNTIF($D$2:D4733,D4733)=1,SUMIF($D$2:$D$5001,D4733,$H$2:$H$5001)+ROW()/10000000,0))</f>
        <v>0</v>
      </c>
      <c r="Q4733" s="47" t="n">
        <f aca="false">IF(OR($A4733="",C4733=""),0,IF(COUNTIF($C$2:C4733,C4733)=1,SUMIF($C$2:$C$5001,C4733,$H$2:$H$5001)+ROW()/10000000,0))</f>
        <v>0</v>
      </c>
    </row>
    <row r="4734" customFormat="false" ht="15" hidden="false" customHeight="false" outlineLevel="0" collapsed="false">
      <c r="A4734" s="43"/>
      <c r="B4734" s="44"/>
      <c r="C4734" s="44"/>
      <c r="D4734" s="44"/>
      <c r="E4734" s="44"/>
      <c r="F4734" s="44"/>
      <c r="G4734" s="44"/>
      <c r="H4734" s="46" t="str">
        <f aca="false">IF($A4734="","",IF(OR(NOT(ISNUMBER(E4734)),NOT(ISNUMBER(F4734))),"",MAX(0,E4734)*F4734))</f>
        <v/>
      </c>
      <c r="I4734" s="46" t="str">
        <f aca="false">IF($A4734="","",SUMIF($A$2:$A$5001,$A4734,$H$2:$H$5001))</f>
        <v/>
      </c>
      <c r="J4734" s="47" t="n">
        <f aca="false">IF($A4734="",0,IF(COUNTIF($A$2:A4734,$A4734)=1,1,0))</f>
        <v>0</v>
      </c>
      <c r="K4734" s="47" t="n">
        <f aca="false">IF(J4734=1,N(I4734)+ROW()/10000000,0)</f>
        <v>0</v>
      </c>
      <c r="L4734" s="47" t="str">
        <f aca="false">IF(AND(J4734=1,N(I4734)&gt;0),SUMIF($K$2:$K$5001,"&gt;="&amp;K4734,$I$2:$I$5001)/MAX(1,SUM($H$2:$H$5001)),"")</f>
        <v/>
      </c>
      <c r="M4734" s="47" t="str">
        <f aca="false">IF($A4734="","",INDEX($L$2:$L$5001,MATCH($A4734,$A$2:$A$5001,0)))</f>
        <v/>
      </c>
      <c r="N4734" s="48" t="str">
        <f aca="false">IF($A4734="","",IF(N(M4734)=0,"–",IF(M4734&lt;=Start!$D$20,"A",IF(M4734&lt;=Start!$D$21,"B","C"))))</f>
        <v/>
      </c>
      <c r="O4734" s="48" t="str">
        <f aca="false">IF($A4734="","",IF(NOT(ISNUMBER(F4734)),"Wert fehlt; ",IF(F4734&lt;=0,"Wert ist 0; ",""))&amp;IF(NOT(ISNUMBER(E4734)),"Bestand fehlt; ",IF(E4734&lt;0,"Bestand negativ; ",IF(E4734=0,"Nullbestand; ","")))&amp;IF(D4734="","Warengruppe fehlt; ","")&amp;IF(B4734="","Bezeichnung fehlt; ","")&amp;IF(COUNTIFS($A$2:$A$5001,$A4734,$C$2:$C$5001,C4734)&gt;1,"Artikel doppelt im selben Lager; ",""))</f>
        <v/>
      </c>
      <c r="P4734" s="47" t="n">
        <f aca="false">IF(OR($A4734="",D4734=""),0,IF(COUNTIF($D$2:D4734,D4734)=1,SUMIF($D$2:$D$5001,D4734,$H$2:$H$5001)+ROW()/10000000,0))</f>
        <v>0</v>
      </c>
      <c r="Q4734" s="47" t="n">
        <f aca="false">IF(OR($A4734="",C4734=""),0,IF(COUNTIF($C$2:C4734,C4734)=1,SUMIF($C$2:$C$5001,C4734,$H$2:$H$5001)+ROW()/10000000,0))</f>
        <v>0</v>
      </c>
    </row>
    <row r="4735" customFormat="false" ht="15" hidden="false" customHeight="false" outlineLevel="0" collapsed="false">
      <c r="A4735" s="43"/>
      <c r="B4735" s="44"/>
      <c r="C4735" s="44"/>
      <c r="D4735" s="44"/>
      <c r="E4735" s="44"/>
      <c r="F4735" s="44"/>
      <c r="G4735" s="44"/>
      <c r="H4735" s="46" t="str">
        <f aca="false">IF($A4735="","",IF(OR(NOT(ISNUMBER(E4735)),NOT(ISNUMBER(F4735))),"",MAX(0,E4735)*F4735))</f>
        <v/>
      </c>
      <c r="I4735" s="46" t="str">
        <f aca="false">IF($A4735="","",SUMIF($A$2:$A$5001,$A4735,$H$2:$H$5001))</f>
        <v/>
      </c>
      <c r="J4735" s="47" t="n">
        <f aca="false">IF($A4735="",0,IF(COUNTIF($A$2:A4735,$A4735)=1,1,0))</f>
        <v>0</v>
      </c>
      <c r="K4735" s="47" t="n">
        <f aca="false">IF(J4735=1,N(I4735)+ROW()/10000000,0)</f>
        <v>0</v>
      </c>
      <c r="L4735" s="47" t="str">
        <f aca="false">IF(AND(J4735=1,N(I4735)&gt;0),SUMIF($K$2:$K$5001,"&gt;="&amp;K4735,$I$2:$I$5001)/MAX(1,SUM($H$2:$H$5001)),"")</f>
        <v/>
      </c>
      <c r="M4735" s="47" t="str">
        <f aca="false">IF($A4735="","",INDEX($L$2:$L$5001,MATCH($A4735,$A$2:$A$5001,0)))</f>
        <v/>
      </c>
      <c r="N4735" s="48" t="str">
        <f aca="false">IF($A4735="","",IF(N(M4735)=0,"–",IF(M4735&lt;=Start!$D$20,"A",IF(M4735&lt;=Start!$D$21,"B","C"))))</f>
        <v/>
      </c>
      <c r="O4735" s="48" t="str">
        <f aca="false">IF($A4735="","",IF(NOT(ISNUMBER(F4735)),"Wert fehlt; ",IF(F4735&lt;=0,"Wert ist 0; ",""))&amp;IF(NOT(ISNUMBER(E4735)),"Bestand fehlt; ",IF(E4735&lt;0,"Bestand negativ; ",IF(E4735=0,"Nullbestand; ","")))&amp;IF(D4735="","Warengruppe fehlt; ","")&amp;IF(B4735="","Bezeichnung fehlt; ","")&amp;IF(COUNTIFS($A$2:$A$5001,$A4735,$C$2:$C$5001,C4735)&gt;1,"Artikel doppelt im selben Lager; ",""))</f>
        <v/>
      </c>
      <c r="P4735" s="47" t="n">
        <f aca="false">IF(OR($A4735="",D4735=""),0,IF(COUNTIF($D$2:D4735,D4735)=1,SUMIF($D$2:$D$5001,D4735,$H$2:$H$5001)+ROW()/10000000,0))</f>
        <v>0</v>
      </c>
      <c r="Q4735" s="47" t="n">
        <f aca="false">IF(OR($A4735="",C4735=""),0,IF(COUNTIF($C$2:C4735,C4735)=1,SUMIF($C$2:$C$5001,C4735,$H$2:$H$5001)+ROW()/10000000,0))</f>
        <v>0</v>
      </c>
    </row>
    <row r="4736" customFormat="false" ht="15" hidden="false" customHeight="false" outlineLevel="0" collapsed="false">
      <c r="A4736" s="43"/>
      <c r="B4736" s="44"/>
      <c r="C4736" s="44"/>
      <c r="D4736" s="44"/>
      <c r="E4736" s="44"/>
      <c r="F4736" s="44"/>
      <c r="G4736" s="44"/>
      <c r="H4736" s="46" t="str">
        <f aca="false">IF($A4736="","",IF(OR(NOT(ISNUMBER(E4736)),NOT(ISNUMBER(F4736))),"",MAX(0,E4736)*F4736))</f>
        <v/>
      </c>
      <c r="I4736" s="46" t="str">
        <f aca="false">IF($A4736="","",SUMIF($A$2:$A$5001,$A4736,$H$2:$H$5001))</f>
        <v/>
      </c>
      <c r="J4736" s="47" t="n">
        <f aca="false">IF($A4736="",0,IF(COUNTIF($A$2:A4736,$A4736)=1,1,0))</f>
        <v>0</v>
      </c>
      <c r="K4736" s="47" t="n">
        <f aca="false">IF(J4736=1,N(I4736)+ROW()/10000000,0)</f>
        <v>0</v>
      </c>
      <c r="L4736" s="47" t="str">
        <f aca="false">IF(AND(J4736=1,N(I4736)&gt;0),SUMIF($K$2:$K$5001,"&gt;="&amp;K4736,$I$2:$I$5001)/MAX(1,SUM($H$2:$H$5001)),"")</f>
        <v/>
      </c>
      <c r="M4736" s="47" t="str">
        <f aca="false">IF($A4736="","",INDEX($L$2:$L$5001,MATCH($A4736,$A$2:$A$5001,0)))</f>
        <v/>
      </c>
      <c r="N4736" s="48" t="str">
        <f aca="false">IF($A4736="","",IF(N(M4736)=0,"–",IF(M4736&lt;=Start!$D$20,"A",IF(M4736&lt;=Start!$D$21,"B","C"))))</f>
        <v/>
      </c>
      <c r="O4736" s="48" t="str">
        <f aca="false">IF($A4736="","",IF(NOT(ISNUMBER(F4736)),"Wert fehlt; ",IF(F4736&lt;=0,"Wert ist 0; ",""))&amp;IF(NOT(ISNUMBER(E4736)),"Bestand fehlt; ",IF(E4736&lt;0,"Bestand negativ; ",IF(E4736=0,"Nullbestand; ","")))&amp;IF(D4736="","Warengruppe fehlt; ","")&amp;IF(B4736="","Bezeichnung fehlt; ","")&amp;IF(COUNTIFS($A$2:$A$5001,$A4736,$C$2:$C$5001,C4736)&gt;1,"Artikel doppelt im selben Lager; ",""))</f>
        <v/>
      </c>
      <c r="P4736" s="47" t="n">
        <f aca="false">IF(OR($A4736="",D4736=""),0,IF(COUNTIF($D$2:D4736,D4736)=1,SUMIF($D$2:$D$5001,D4736,$H$2:$H$5001)+ROW()/10000000,0))</f>
        <v>0</v>
      </c>
      <c r="Q4736" s="47" t="n">
        <f aca="false">IF(OR($A4736="",C4736=""),0,IF(COUNTIF($C$2:C4736,C4736)=1,SUMIF($C$2:$C$5001,C4736,$H$2:$H$5001)+ROW()/10000000,0))</f>
        <v>0</v>
      </c>
    </row>
    <row r="4737" customFormat="false" ht="15" hidden="false" customHeight="false" outlineLevel="0" collapsed="false">
      <c r="A4737" s="43"/>
      <c r="B4737" s="44"/>
      <c r="C4737" s="44"/>
      <c r="D4737" s="44"/>
      <c r="E4737" s="44"/>
      <c r="F4737" s="44"/>
      <c r="G4737" s="44"/>
      <c r="H4737" s="46" t="str">
        <f aca="false">IF($A4737="","",IF(OR(NOT(ISNUMBER(E4737)),NOT(ISNUMBER(F4737))),"",MAX(0,E4737)*F4737))</f>
        <v/>
      </c>
      <c r="I4737" s="46" t="str">
        <f aca="false">IF($A4737="","",SUMIF($A$2:$A$5001,$A4737,$H$2:$H$5001))</f>
        <v/>
      </c>
      <c r="J4737" s="47" t="n">
        <f aca="false">IF($A4737="",0,IF(COUNTIF($A$2:A4737,$A4737)=1,1,0))</f>
        <v>0</v>
      </c>
      <c r="K4737" s="47" t="n">
        <f aca="false">IF(J4737=1,N(I4737)+ROW()/10000000,0)</f>
        <v>0</v>
      </c>
      <c r="L4737" s="47" t="str">
        <f aca="false">IF(AND(J4737=1,N(I4737)&gt;0),SUMIF($K$2:$K$5001,"&gt;="&amp;K4737,$I$2:$I$5001)/MAX(1,SUM($H$2:$H$5001)),"")</f>
        <v/>
      </c>
      <c r="M4737" s="47" t="str">
        <f aca="false">IF($A4737="","",INDEX($L$2:$L$5001,MATCH($A4737,$A$2:$A$5001,0)))</f>
        <v/>
      </c>
      <c r="N4737" s="48" t="str">
        <f aca="false">IF($A4737="","",IF(N(M4737)=0,"–",IF(M4737&lt;=Start!$D$20,"A",IF(M4737&lt;=Start!$D$21,"B","C"))))</f>
        <v/>
      </c>
      <c r="O4737" s="48" t="str">
        <f aca="false">IF($A4737="","",IF(NOT(ISNUMBER(F4737)),"Wert fehlt; ",IF(F4737&lt;=0,"Wert ist 0; ",""))&amp;IF(NOT(ISNUMBER(E4737)),"Bestand fehlt; ",IF(E4737&lt;0,"Bestand negativ; ",IF(E4737=0,"Nullbestand; ","")))&amp;IF(D4737="","Warengruppe fehlt; ","")&amp;IF(B4737="","Bezeichnung fehlt; ","")&amp;IF(COUNTIFS($A$2:$A$5001,$A4737,$C$2:$C$5001,C4737)&gt;1,"Artikel doppelt im selben Lager; ",""))</f>
        <v/>
      </c>
      <c r="P4737" s="47" t="n">
        <f aca="false">IF(OR($A4737="",D4737=""),0,IF(COUNTIF($D$2:D4737,D4737)=1,SUMIF($D$2:$D$5001,D4737,$H$2:$H$5001)+ROW()/10000000,0))</f>
        <v>0</v>
      </c>
      <c r="Q4737" s="47" t="n">
        <f aca="false">IF(OR($A4737="",C4737=""),0,IF(COUNTIF($C$2:C4737,C4737)=1,SUMIF($C$2:$C$5001,C4737,$H$2:$H$5001)+ROW()/10000000,0))</f>
        <v>0</v>
      </c>
    </row>
    <row r="4738" customFormat="false" ht="15" hidden="false" customHeight="false" outlineLevel="0" collapsed="false">
      <c r="A4738" s="43"/>
      <c r="B4738" s="44"/>
      <c r="C4738" s="44"/>
      <c r="D4738" s="44"/>
      <c r="E4738" s="44"/>
      <c r="F4738" s="44"/>
      <c r="G4738" s="44"/>
      <c r="H4738" s="46" t="str">
        <f aca="false">IF($A4738="","",IF(OR(NOT(ISNUMBER(E4738)),NOT(ISNUMBER(F4738))),"",MAX(0,E4738)*F4738))</f>
        <v/>
      </c>
      <c r="I4738" s="46" t="str">
        <f aca="false">IF($A4738="","",SUMIF($A$2:$A$5001,$A4738,$H$2:$H$5001))</f>
        <v/>
      </c>
      <c r="J4738" s="47" t="n">
        <f aca="false">IF($A4738="",0,IF(COUNTIF($A$2:A4738,$A4738)=1,1,0))</f>
        <v>0</v>
      </c>
      <c r="K4738" s="47" t="n">
        <f aca="false">IF(J4738=1,N(I4738)+ROW()/10000000,0)</f>
        <v>0</v>
      </c>
      <c r="L4738" s="47" t="str">
        <f aca="false">IF(AND(J4738=1,N(I4738)&gt;0),SUMIF($K$2:$K$5001,"&gt;="&amp;K4738,$I$2:$I$5001)/MAX(1,SUM($H$2:$H$5001)),"")</f>
        <v/>
      </c>
      <c r="M4738" s="47" t="str">
        <f aca="false">IF($A4738="","",INDEX($L$2:$L$5001,MATCH($A4738,$A$2:$A$5001,0)))</f>
        <v/>
      </c>
      <c r="N4738" s="48" t="str">
        <f aca="false">IF($A4738="","",IF(N(M4738)=0,"–",IF(M4738&lt;=Start!$D$20,"A",IF(M4738&lt;=Start!$D$21,"B","C"))))</f>
        <v/>
      </c>
      <c r="O4738" s="48" t="str">
        <f aca="false">IF($A4738="","",IF(NOT(ISNUMBER(F4738)),"Wert fehlt; ",IF(F4738&lt;=0,"Wert ist 0; ",""))&amp;IF(NOT(ISNUMBER(E4738)),"Bestand fehlt; ",IF(E4738&lt;0,"Bestand negativ; ",IF(E4738=0,"Nullbestand; ","")))&amp;IF(D4738="","Warengruppe fehlt; ","")&amp;IF(B4738="","Bezeichnung fehlt; ","")&amp;IF(COUNTIFS($A$2:$A$5001,$A4738,$C$2:$C$5001,C4738)&gt;1,"Artikel doppelt im selben Lager; ",""))</f>
        <v/>
      </c>
      <c r="P4738" s="47" t="n">
        <f aca="false">IF(OR($A4738="",D4738=""),0,IF(COUNTIF($D$2:D4738,D4738)=1,SUMIF($D$2:$D$5001,D4738,$H$2:$H$5001)+ROW()/10000000,0))</f>
        <v>0</v>
      </c>
      <c r="Q4738" s="47" t="n">
        <f aca="false">IF(OR($A4738="",C4738=""),0,IF(COUNTIF($C$2:C4738,C4738)=1,SUMIF($C$2:$C$5001,C4738,$H$2:$H$5001)+ROW()/10000000,0))</f>
        <v>0</v>
      </c>
    </row>
    <row r="4739" customFormat="false" ht="15" hidden="false" customHeight="false" outlineLevel="0" collapsed="false">
      <c r="A4739" s="43"/>
      <c r="B4739" s="44"/>
      <c r="C4739" s="44"/>
      <c r="D4739" s="44"/>
      <c r="E4739" s="44"/>
      <c r="F4739" s="44"/>
      <c r="G4739" s="44"/>
      <c r="H4739" s="46" t="str">
        <f aca="false">IF($A4739="","",IF(OR(NOT(ISNUMBER(E4739)),NOT(ISNUMBER(F4739))),"",MAX(0,E4739)*F4739))</f>
        <v/>
      </c>
      <c r="I4739" s="46" t="str">
        <f aca="false">IF($A4739="","",SUMIF($A$2:$A$5001,$A4739,$H$2:$H$5001))</f>
        <v/>
      </c>
      <c r="J4739" s="47" t="n">
        <f aca="false">IF($A4739="",0,IF(COUNTIF($A$2:A4739,$A4739)=1,1,0))</f>
        <v>0</v>
      </c>
      <c r="K4739" s="47" t="n">
        <f aca="false">IF(J4739=1,N(I4739)+ROW()/10000000,0)</f>
        <v>0</v>
      </c>
      <c r="L4739" s="47" t="str">
        <f aca="false">IF(AND(J4739=1,N(I4739)&gt;0),SUMIF($K$2:$K$5001,"&gt;="&amp;K4739,$I$2:$I$5001)/MAX(1,SUM($H$2:$H$5001)),"")</f>
        <v/>
      </c>
      <c r="M4739" s="47" t="str">
        <f aca="false">IF($A4739="","",INDEX($L$2:$L$5001,MATCH($A4739,$A$2:$A$5001,0)))</f>
        <v/>
      </c>
      <c r="N4739" s="48" t="str">
        <f aca="false">IF($A4739="","",IF(N(M4739)=0,"–",IF(M4739&lt;=Start!$D$20,"A",IF(M4739&lt;=Start!$D$21,"B","C"))))</f>
        <v/>
      </c>
      <c r="O4739" s="48" t="str">
        <f aca="false">IF($A4739="","",IF(NOT(ISNUMBER(F4739)),"Wert fehlt; ",IF(F4739&lt;=0,"Wert ist 0; ",""))&amp;IF(NOT(ISNUMBER(E4739)),"Bestand fehlt; ",IF(E4739&lt;0,"Bestand negativ; ",IF(E4739=0,"Nullbestand; ","")))&amp;IF(D4739="","Warengruppe fehlt; ","")&amp;IF(B4739="","Bezeichnung fehlt; ","")&amp;IF(COUNTIFS($A$2:$A$5001,$A4739,$C$2:$C$5001,C4739)&gt;1,"Artikel doppelt im selben Lager; ",""))</f>
        <v/>
      </c>
      <c r="P4739" s="47" t="n">
        <f aca="false">IF(OR($A4739="",D4739=""),0,IF(COUNTIF($D$2:D4739,D4739)=1,SUMIF($D$2:$D$5001,D4739,$H$2:$H$5001)+ROW()/10000000,0))</f>
        <v>0</v>
      </c>
      <c r="Q4739" s="47" t="n">
        <f aca="false">IF(OR($A4739="",C4739=""),0,IF(COUNTIF($C$2:C4739,C4739)=1,SUMIF($C$2:$C$5001,C4739,$H$2:$H$5001)+ROW()/10000000,0))</f>
        <v>0</v>
      </c>
    </row>
    <row r="4740" customFormat="false" ht="15" hidden="false" customHeight="false" outlineLevel="0" collapsed="false">
      <c r="A4740" s="43"/>
      <c r="B4740" s="44"/>
      <c r="C4740" s="44"/>
      <c r="D4740" s="44"/>
      <c r="E4740" s="44"/>
      <c r="F4740" s="44"/>
      <c r="G4740" s="44"/>
      <c r="H4740" s="46" t="str">
        <f aca="false">IF($A4740="","",IF(OR(NOT(ISNUMBER(E4740)),NOT(ISNUMBER(F4740))),"",MAX(0,E4740)*F4740))</f>
        <v/>
      </c>
      <c r="I4740" s="46" t="str">
        <f aca="false">IF($A4740="","",SUMIF($A$2:$A$5001,$A4740,$H$2:$H$5001))</f>
        <v/>
      </c>
      <c r="J4740" s="47" t="n">
        <f aca="false">IF($A4740="",0,IF(COUNTIF($A$2:A4740,$A4740)=1,1,0))</f>
        <v>0</v>
      </c>
      <c r="K4740" s="47" t="n">
        <f aca="false">IF(J4740=1,N(I4740)+ROW()/10000000,0)</f>
        <v>0</v>
      </c>
      <c r="L4740" s="47" t="str">
        <f aca="false">IF(AND(J4740=1,N(I4740)&gt;0),SUMIF($K$2:$K$5001,"&gt;="&amp;K4740,$I$2:$I$5001)/MAX(1,SUM($H$2:$H$5001)),"")</f>
        <v/>
      </c>
      <c r="M4740" s="47" t="str">
        <f aca="false">IF($A4740="","",INDEX($L$2:$L$5001,MATCH($A4740,$A$2:$A$5001,0)))</f>
        <v/>
      </c>
      <c r="N4740" s="48" t="str">
        <f aca="false">IF($A4740="","",IF(N(M4740)=0,"–",IF(M4740&lt;=Start!$D$20,"A",IF(M4740&lt;=Start!$D$21,"B","C"))))</f>
        <v/>
      </c>
      <c r="O4740" s="48" t="str">
        <f aca="false">IF($A4740="","",IF(NOT(ISNUMBER(F4740)),"Wert fehlt; ",IF(F4740&lt;=0,"Wert ist 0; ",""))&amp;IF(NOT(ISNUMBER(E4740)),"Bestand fehlt; ",IF(E4740&lt;0,"Bestand negativ; ",IF(E4740=0,"Nullbestand; ","")))&amp;IF(D4740="","Warengruppe fehlt; ","")&amp;IF(B4740="","Bezeichnung fehlt; ","")&amp;IF(COUNTIFS($A$2:$A$5001,$A4740,$C$2:$C$5001,C4740)&gt;1,"Artikel doppelt im selben Lager; ",""))</f>
        <v/>
      </c>
      <c r="P4740" s="47" t="n">
        <f aca="false">IF(OR($A4740="",D4740=""),0,IF(COUNTIF($D$2:D4740,D4740)=1,SUMIF($D$2:$D$5001,D4740,$H$2:$H$5001)+ROW()/10000000,0))</f>
        <v>0</v>
      </c>
      <c r="Q4740" s="47" t="n">
        <f aca="false">IF(OR($A4740="",C4740=""),0,IF(COUNTIF($C$2:C4740,C4740)=1,SUMIF($C$2:$C$5001,C4740,$H$2:$H$5001)+ROW()/10000000,0))</f>
        <v>0</v>
      </c>
    </row>
    <row r="4741" customFormat="false" ht="15" hidden="false" customHeight="false" outlineLevel="0" collapsed="false">
      <c r="A4741" s="43"/>
      <c r="B4741" s="44"/>
      <c r="C4741" s="44"/>
      <c r="D4741" s="44"/>
      <c r="E4741" s="44"/>
      <c r="F4741" s="44"/>
      <c r="G4741" s="44"/>
      <c r="H4741" s="46" t="str">
        <f aca="false">IF($A4741="","",IF(OR(NOT(ISNUMBER(E4741)),NOT(ISNUMBER(F4741))),"",MAX(0,E4741)*F4741))</f>
        <v/>
      </c>
      <c r="I4741" s="46" t="str">
        <f aca="false">IF($A4741="","",SUMIF($A$2:$A$5001,$A4741,$H$2:$H$5001))</f>
        <v/>
      </c>
      <c r="J4741" s="47" t="n">
        <f aca="false">IF($A4741="",0,IF(COUNTIF($A$2:A4741,$A4741)=1,1,0))</f>
        <v>0</v>
      </c>
      <c r="K4741" s="47" t="n">
        <f aca="false">IF(J4741=1,N(I4741)+ROW()/10000000,0)</f>
        <v>0</v>
      </c>
      <c r="L4741" s="47" t="str">
        <f aca="false">IF(AND(J4741=1,N(I4741)&gt;0),SUMIF($K$2:$K$5001,"&gt;="&amp;K4741,$I$2:$I$5001)/MAX(1,SUM($H$2:$H$5001)),"")</f>
        <v/>
      </c>
      <c r="M4741" s="47" t="str">
        <f aca="false">IF($A4741="","",INDEX($L$2:$L$5001,MATCH($A4741,$A$2:$A$5001,0)))</f>
        <v/>
      </c>
      <c r="N4741" s="48" t="str">
        <f aca="false">IF($A4741="","",IF(N(M4741)=0,"–",IF(M4741&lt;=Start!$D$20,"A",IF(M4741&lt;=Start!$D$21,"B","C"))))</f>
        <v/>
      </c>
      <c r="O4741" s="48" t="str">
        <f aca="false">IF($A4741="","",IF(NOT(ISNUMBER(F4741)),"Wert fehlt; ",IF(F4741&lt;=0,"Wert ist 0; ",""))&amp;IF(NOT(ISNUMBER(E4741)),"Bestand fehlt; ",IF(E4741&lt;0,"Bestand negativ; ",IF(E4741=0,"Nullbestand; ","")))&amp;IF(D4741="","Warengruppe fehlt; ","")&amp;IF(B4741="","Bezeichnung fehlt; ","")&amp;IF(COUNTIFS($A$2:$A$5001,$A4741,$C$2:$C$5001,C4741)&gt;1,"Artikel doppelt im selben Lager; ",""))</f>
        <v/>
      </c>
      <c r="P4741" s="47" t="n">
        <f aca="false">IF(OR($A4741="",D4741=""),0,IF(COUNTIF($D$2:D4741,D4741)=1,SUMIF($D$2:$D$5001,D4741,$H$2:$H$5001)+ROW()/10000000,0))</f>
        <v>0</v>
      </c>
      <c r="Q4741" s="47" t="n">
        <f aca="false">IF(OR($A4741="",C4741=""),0,IF(COUNTIF($C$2:C4741,C4741)=1,SUMIF($C$2:$C$5001,C4741,$H$2:$H$5001)+ROW()/10000000,0))</f>
        <v>0</v>
      </c>
    </row>
    <row r="4742" customFormat="false" ht="15" hidden="false" customHeight="false" outlineLevel="0" collapsed="false">
      <c r="A4742" s="43"/>
      <c r="B4742" s="44"/>
      <c r="C4742" s="44"/>
      <c r="D4742" s="44"/>
      <c r="E4742" s="44"/>
      <c r="F4742" s="44"/>
      <c r="G4742" s="44"/>
      <c r="H4742" s="46" t="str">
        <f aca="false">IF($A4742="","",IF(OR(NOT(ISNUMBER(E4742)),NOT(ISNUMBER(F4742))),"",MAX(0,E4742)*F4742))</f>
        <v/>
      </c>
      <c r="I4742" s="46" t="str">
        <f aca="false">IF($A4742="","",SUMIF($A$2:$A$5001,$A4742,$H$2:$H$5001))</f>
        <v/>
      </c>
      <c r="J4742" s="47" t="n">
        <f aca="false">IF($A4742="",0,IF(COUNTIF($A$2:A4742,$A4742)=1,1,0))</f>
        <v>0</v>
      </c>
      <c r="K4742" s="47" t="n">
        <f aca="false">IF(J4742=1,N(I4742)+ROW()/10000000,0)</f>
        <v>0</v>
      </c>
      <c r="L4742" s="47" t="str">
        <f aca="false">IF(AND(J4742=1,N(I4742)&gt;0),SUMIF($K$2:$K$5001,"&gt;="&amp;K4742,$I$2:$I$5001)/MAX(1,SUM($H$2:$H$5001)),"")</f>
        <v/>
      </c>
      <c r="M4742" s="47" t="str">
        <f aca="false">IF($A4742="","",INDEX($L$2:$L$5001,MATCH($A4742,$A$2:$A$5001,0)))</f>
        <v/>
      </c>
      <c r="N4742" s="48" t="str">
        <f aca="false">IF($A4742="","",IF(N(M4742)=0,"–",IF(M4742&lt;=Start!$D$20,"A",IF(M4742&lt;=Start!$D$21,"B","C"))))</f>
        <v/>
      </c>
      <c r="O4742" s="48" t="str">
        <f aca="false">IF($A4742="","",IF(NOT(ISNUMBER(F4742)),"Wert fehlt; ",IF(F4742&lt;=0,"Wert ist 0; ",""))&amp;IF(NOT(ISNUMBER(E4742)),"Bestand fehlt; ",IF(E4742&lt;0,"Bestand negativ; ",IF(E4742=0,"Nullbestand; ","")))&amp;IF(D4742="","Warengruppe fehlt; ","")&amp;IF(B4742="","Bezeichnung fehlt; ","")&amp;IF(COUNTIFS($A$2:$A$5001,$A4742,$C$2:$C$5001,C4742)&gt;1,"Artikel doppelt im selben Lager; ",""))</f>
        <v/>
      </c>
      <c r="P4742" s="47" t="n">
        <f aca="false">IF(OR($A4742="",D4742=""),0,IF(COUNTIF($D$2:D4742,D4742)=1,SUMIF($D$2:$D$5001,D4742,$H$2:$H$5001)+ROW()/10000000,0))</f>
        <v>0</v>
      </c>
      <c r="Q4742" s="47" t="n">
        <f aca="false">IF(OR($A4742="",C4742=""),0,IF(COUNTIF($C$2:C4742,C4742)=1,SUMIF($C$2:$C$5001,C4742,$H$2:$H$5001)+ROW()/10000000,0))</f>
        <v>0</v>
      </c>
    </row>
    <row r="4743" customFormat="false" ht="15" hidden="false" customHeight="false" outlineLevel="0" collapsed="false">
      <c r="A4743" s="43"/>
      <c r="B4743" s="44"/>
      <c r="C4743" s="44"/>
      <c r="D4743" s="44"/>
      <c r="E4743" s="44"/>
      <c r="F4743" s="44"/>
      <c r="G4743" s="44"/>
      <c r="H4743" s="46" t="str">
        <f aca="false">IF($A4743="","",IF(OR(NOT(ISNUMBER(E4743)),NOT(ISNUMBER(F4743))),"",MAX(0,E4743)*F4743))</f>
        <v/>
      </c>
      <c r="I4743" s="46" t="str">
        <f aca="false">IF($A4743="","",SUMIF($A$2:$A$5001,$A4743,$H$2:$H$5001))</f>
        <v/>
      </c>
      <c r="J4743" s="47" t="n">
        <f aca="false">IF($A4743="",0,IF(COUNTIF($A$2:A4743,$A4743)=1,1,0))</f>
        <v>0</v>
      </c>
      <c r="K4743" s="47" t="n">
        <f aca="false">IF(J4743=1,N(I4743)+ROW()/10000000,0)</f>
        <v>0</v>
      </c>
      <c r="L4743" s="47" t="str">
        <f aca="false">IF(AND(J4743=1,N(I4743)&gt;0),SUMIF($K$2:$K$5001,"&gt;="&amp;K4743,$I$2:$I$5001)/MAX(1,SUM($H$2:$H$5001)),"")</f>
        <v/>
      </c>
      <c r="M4743" s="47" t="str">
        <f aca="false">IF($A4743="","",INDEX($L$2:$L$5001,MATCH($A4743,$A$2:$A$5001,0)))</f>
        <v/>
      </c>
      <c r="N4743" s="48" t="str">
        <f aca="false">IF($A4743="","",IF(N(M4743)=0,"–",IF(M4743&lt;=Start!$D$20,"A",IF(M4743&lt;=Start!$D$21,"B","C"))))</f>
        <v/>
      </c>
      <c r="O4743" s="48" t="str">
        <f aca="false">IF($A4743="","",IF(NOT(ISNUMBER(F4743)),"Wert fehlt; ",IF(F4743&lt;=0,"Wert ist 0; ",""))&amp;IF(NOT(ISNUMBER(E4743)),"Bestand fehlt; ",IF(E4743&lt;0,"Bestand negativ; ",IF(E4743=0,"Nullbestand; ","")))&amp;IF(D4743="","Warengruppe fehlt; ","")&amp;IF(B4743="","Bezeichnung fehlt; ","")&amp;IF(COUNTIFS($A$2:$A$5001,$A4743,$C$2:$C$5001,C4743)&gt;1,"Artikel doppelt im selben Lager; ",""))</f>
        <v/>
      </c>
      <c r="P4743" s="47" t="n">
        <f aca="false">IF(OR($A4743="",D4743=""),0,IF(COUNTIF($D$2:D4743,D4743)=1,SUMIF($D$2:$D$5001,D4743,$H$2:$H$5001)+ROW()/10000000,0))</f>
        <v>0</v>
      </c>
      <c r="Q4743" s="47" t="n">
        <f aca="false">IF(OR($A4743="",C4743=""),0,IF(COUNTIF($C$2:C4743,C4743)=1,SUMIF($C$2:$C$5001,C4743,$H$2:$H$5001)+ROW()/10000000,0))</f>
        <v>0</v>
      </c>
    </row>
    <row r="4744" customFormat="false" ht="15" hidden="false" customHeight="false" outlineLevel="0" collapsed="false">
      <c r="A4744" s="43"/>
      <c r="B4744" s="44"/>
      <c r="C4744" s="44"/>
      <c r="D4744" s="44"/>
      <c r="E4744" s="44"/>
      <c r="F4744" s="44"/>
      <c r="G4744" s="44"/>
      <c r="H4744" s="46" t="str">
        <f aca="false">IF($A4744="","",IF(OR(NOT(ISNUMBER(E4744)),NOT(ISNUMBER(F4744))),"",MAX(0,E4744)*F4744))</f>
        <v/>
      </c>
      <c r="I4744" s="46" t="str">
        <f aca="false">IF($A4744="","",SUMIF($A$2:$A$5001,$A4744,$H$2:$H$5001))</f>
        <v/>
      </c>
      <c r="J4744" s="47" t="n">
        <f aca="false">IF($A4744="",0,IF(COUNTIF($A$2:A4744,$A4744)=1,1,0))</f>
        <v>0</v>
      </c>
      <c r="K4744" s="47" t="n">
        <f aca="false">IF(J4744=1,N(I4744)+ROW()/10000000,0)</f>
        <v>0</v>
      </c>
      <c r="L4744" s="47" t="str">
        <f aca="false">IF(AND(J4744=1,N(I4744)&gt;0),SUMIF($K$2:$K$5001,"&gt;="&amp;K4744,$I$2:$I$5001)/MAX(1,SUM($H$2:$H$5001)),"")</f>
        <v/>
      </c>
      <c r="M4744" s="47" t="str">
        <f aca="false">IF($A4744="","",INDEX($L$2:$L$5001,MATCH($A4744,$A$2:$A$5001,0)))</f>
        <v/>
      </c>
      <c r="N4744" s="48" t="str">
        <f aca="false">IF($A4744="","",IF(N(M4744)=0,"–",IF(M4744&lt;=Start!$D$20,"A",IF(M4744&lt;=Start!$D$21,"B","C"))))</f>
        <v/>
      </c>
      <c r="O4744" s="48" t="str">
        <f aca="false">IF($A4744="","",IF(NOT(ISNUMBER(F4744)),"Wert fehlt; ",IF(F4744&lt;=0,"Wert ist 0; ",""))&amp;IF(NOT(ISNUMBER(E4744)),"Bestand fehlt; ",IF(E4744&lt;0,"Bestand negativ; ",IF(E4744=0,"Nullbestand; ","")))&amp;IF(D4744="","Warengruppe fehlt; ","")&amp;IF(B4744="","Bezeichnung fehlt; ","")&amp;IF(COUNTIFS($A$2:$A$5001,$A4744,$C$2:$C$5001,C4744)&gt;1,"Artikel doppelt im selben Lager; ",""))</f>
        <v/>
      </c>
      <c r="P4744" s="47" t="n">
        <f aca="false">IF(OR($A4744="",D4744=""),0,IF(COUNTIF($D$2:D4744,D4744)=1,SUMIF($D$2:$D$5001,D4744,$H$2:$H$5001)+ROW()/10000000,0))</f>
        <v>0</v>
      </c>
      <c r="Q4744" s="47" t="n">
        <f aca="false">IF(OR($A4744="",C4744=""),0,IF(COUNTIF($C$2:C4744,C4744)=1,SUMIF($C$2:$C$5001,C4744,$H$2:$H$5001)+ROW()/10000000,0))</f>
        <v>0</v>
      </c>
    </row>
    <row r="4745" customFormat="false" ht="15" hidden="false" customHeight="false" outlineLevel="0" collapsed="false">
      <c r="A4745" s="43"/>
      <c r="B4745" s="44"/>
      <c r="C4745" s="44"/>
      <c r="D4745" s="44"/>
      <c r="E4745" s="44"/>
      <c r="F4745" s="44"/>
      <c r="G4745" s="44"/>
      <c r="H4745" s="46" t="str">
        <f aca="false">IF($A4745="","",IF(OR(NOT(ISNUMBER(E4745)),NOT(ISNUMBER(F4745))),"",MAX(0,E4745)*F4745))</f>
        <v/>
      </c>
      <c r="I4745" s="46" t="str">
        <f aca="false">IF($A4745="","",SUMIF($A$2:$A$5001,$A4745,$H$2:$H$5001))</f>
        <v/>
      </c>
      <c r="J4745" s="47" t="n">
        <f aca="false">IF($A4745="",0,IF(COUNTIF($A$2:A4745,$A4745)=1,1,0))</f>
        <v>0</v>
      </c>
      <c r="K4745" s="47" t="n">
        <f aca="false">IF(J4745=1,N(I4745)+ROW()/10000000,0)</f>
        <v>0</v>
      </c>
      <c r="L4745" s="47" t="str">
        <f aca="false">IF(AND(J4745=1,N(I4745)&gt;0),SUMIF($K$2:$K$5001,"&gt;="&amp;K4745,$I$2:$I$5001)/MAX(1,SUM($H$2:$H$5001)),"")</f>
        <v/>
      </c>
      <c r="M4745" s="47" t="str">
        <f aca="false">IF($A4745="","",INDEX($L$2:$L$5001,MATCH($A4745,$A$2:$A$5001,0)))</f>
        <v/>
      </c>
      <c r="N4745" s="48" t="str">
        <f aca="false">IF($A4745="","",IF(N(M4745)=0,"–",IF(M4745&lt;=Start!$D$20,"A",IF(M4745&lt;=Start!$D$21,"B","C"))))</f>
        <v/>
      </c>
      <c r="O4745" s="48" t="str">
        <f aca="false">IF($A4745="","",IF(NOT(ISNUMBER(F4745)),"Wert fehlt; ",IF(F4745&lt;=0,"Wert ist 0; ",""))&amp;IF(NOT(ISNUMBER(E4745)),"Bestand fehlt; ",IF(E4745&lt;0,"Bestand negativ; ",IF(E4745=0,"Nullbestand; ","")))&amp;IF(D4745="","Warengruppe fehlt; ","")&amp;IF(B4745="","Bezeichnung fehlt; ","")&amp;IF(COUNTIFS($A$2:$A$5001,$A4745,$C$2:$C$5001,C4745)&gt;1,"Artikel doppelt im selben Lager; ",""))</f>
        <v/>
      </c>
      <c r="P4745" s="47" t="n">
        <f aca="false">IF(OR($A4745="",D4745=""),0,IF(COUNTIF($D$2:D4745,D4745)=1,SUMIF($D$2:$D$5001,D4745,$H$2:$H$5001)+ROW()/10000000,0))</f>
        <v>0</v>
      </c>
      <c r="Q4745" s="47" t="n">
        <f aca="false">IF(OR($A4745="",C4745=""),0,IF(COUNTIF($C$2:C4745,C4745)=1,SUMIF($C$2:$C$5001,C4745,$H$2:$H$5001)+ROW()/10000000,0))</f>
        <v>0</v>
      </c>
    </row>
    <row r="4746" customFormat="false" ht="15" hidden="false" customHeight="false" outlineLevel="0" collapsed="false">
      <c r="A4746" s="43"/>
      <c r="B4746" s="44"/>
      <c r="C4746" s="44"/>
      <c r="D4746" s="44"/>
      <c r="E4746" s="44"/>
      <c r="F4746" s="44"/>
      <c r="G4746" s="44"/>
      <c r="H4746" s="46" t="str">
        <f aca="false">IF($A4746="","",IF(OR(NOT(ISNUMBER(E4746)),NOT(ISNUMBER(F4746))),"",MAX(0,E4746)*F4746))</f>
        <v/>
      </c>
      <c r="I4746" s="46" t="str">
        <f aca="false">IF($A4746="","",SUMIF($A$2:$A$5001,$A4746,$H$2:$H$5001))</f>
        <v/>
      </c>
      <c r="J4746" s="47" t="n">
        <f aca="false">IF($A4746="",0,IF(COUNTIF($A$2:A4746,$A4746)=1,1,0))</f>
        <v>0</v>
      </c>
      <c r="K4746" s="47" t="n">
        <f aca="false">IF(J4746=1,N(I4746)+ROW()/10000000,0)</f>
        <v>0</v>
      </c>
      <c r="L4746" s="47" t="str">
        <f aca="false">IF(AND(J4746=1,N(I4746)&gt;0),SUMIF($K$2:$K$5001,"&gt;="&amp;K4746,$I$2:$I$5001)/MAX(1,SUM($H$2:$H$5001)),"")</f>
        <v/>
      </c>
      <c r="M4746" s="47" t="str">
        <f aca="false">IF($A4746="","",INDEX($L$2:$L$5001,MATCH($A4746,$A$2:$A$5001,0)))</f>
        <v/>
      </c>
      <c r="N4746" s="48" t="str">
        <f aca="false">IF($A4746="","",IF(N(M4746)=0,"–",IF(M4746&lt;=Start!$D$20,"A",IF(M4746&lt;=Start!$D$21,"B","C"))))</f>
        <v/>
      </c>
      <c r="O4746" s="48" t="str">
        <f aca="false">IF($A4746="","",IF(NOT(ISNUMBER(F4746)),"Wert fehlt; ",IF(F4746&lt;=0,"Wert ist 0; ",""))&amp;IF(NOT(ISNUMBER(E4746)),"Bestand fehlt; ",IF(E4746&lt;0,"Bestand negativ; ",IF(E4746=0,"Nullbestand; ","")))&amp;IF(D4746="","Warengruppe fehlt; ","")&amp;IF(B4746="","Bezeichnung fehlt; ","")&amp;IF(COUNTIFS($A$2:$A$5001,$A4746,$C$2:$C$5001,C4746)&gt;1,"Artikel doppelt im selben Lager; ",""))</f>
        <v/>
      </c>
      <c r="P4746" s="47" t="n">
        <f aca="false">IF(OR($A4746="",D4746=""),0,IF(COUNTIF($D$2:D4746,D4746)=1,SUMIF($D$2:$D$5001,D4746,$H$2:$H$5001)+ROW()/10000000,0))</f>
        <v>0</v>
      </c>
      <c r="Q4746" s="47" t="n">
        <f aca="false">IF(OR($A4746="",C4746=""),0,IF(COUNTIF($C$2:C4746,C4746)=1,SUMIF($C$2:$C$5001,C4746,$H$2:$H$5001)+ROW()/10000000,0))</f>
        <v>0</v>
      </c>
    </row>
    <row r="4747" customFormat="false" ht="15" hidden="false" customHeight="false" outlineLevel="0" collapsed="false">
      <c r="A4747" s="43"/>
      <c r="B4747" s="44"/>
      <c r="C4747" s="44"/>
      <c r="D4747" s="44"/>
      <c r="E4747" s="44"/>
      <c r="F4747" s="44"/>
      <c r="G4747" s="44"/>
      <c r="H4747" s="46" t="str">
        <f aca="false">IF($A4747="","",IF(OR(NOT(ISNUMBER(E4747)),NOT(ISNUMBER(F4747))),"",MAX(0,E4747)*F4747))</f>
        <v/>
      </c>
      <c r="I4747" s="46" t="str">
        <f aca="false">IF($A4747="","",SUMIF($A$2:$A$5001,$A4747,$H$2:$H$5001))</f>
        <v/>
      </c>
      <c r="J4747" s="47" t="n">
        <f aca="false">IF($A4747="",0,IF(COUNTIF($A$2:A4747,$A4747)=1,1,0))</f>
        <v>0</v>
      </c>
      <c r="K4747" s="47" t="n">
        <f aca="false">IF(J4747=1,N(I4747)+ROW()/10000000,0)</f>
        <v>0</v>
      </c>
      <c r="L4747" s="47" t="str">
        <f aca="false">IF(AND(J4747=1,N(I4747)&gt;0),SUMIF($K$2:$K$5001,"&gt;="&amp;K4747,$I$2:$I$5001)/MAX(1,SUM($H$2:$H$5001)),"")</f>
        <v/>
      </c>
      <c r="M4747" s="47" t="str">
        <f aca="false">IF($A4747="","",INDEX($L$2:$L$5001,MATCH($A4747,$A$2:$A$5001,0)))</f>
        <v/>
      </c>
      <c r="N4747" s="48" t="str">
        <f aca="false">IF($A4747="","",IF(N(M4747)=0,"–",IF(M4747&lt;=Start!$D$20,"A",IF(M4747&lt;=Start!$D$21,"B","C"))))</f>
        <v/>
      </c>
      <c r="O4747" s="48" t="str">
        <f aca="false">IF($A4747="","",IF(NOT(ISNUMBER(F4747)),"Wert fehlt; ",IF(F4747&lt;=0,"Wert ist 0; ",""))&amp;IF(NOT(ISNUMBER(E4747)),"Bestand fehlt; ",IF(E4747&lt;0,"Bestand negativ; ",IF(E4747=0,"Nullbestand; ","")))&amp;IF(D4747="","Warengruppe fehlt; ","")&amp;IF(B4747="","Bezeichnung fehlt; ","")&amp;IF(COUNTIFS($A$2:$A$5001,$A4747,$C$2:$C$5001,C4747)&gt;1,"Artikel doppelt im selben Lager; ",""))</f>
        <v/>
      </c>
      <c r="P4747" s="47" t="n">
        <f aca="false">IF(OR($A4747="",D4747=""),0,IF(COUNTIF($D$2:D4747,D4747)=1,SUMIF($D$2:$D$5001,D4747,$H$2:$H$5001)+ROW()/10000000,0))</f>
        <v>0</v>
      </c>
      <c r="Q4747" s="47" t="n">
        <f aca="false">IF(OR($A4747="",C4747=""),0,IF(COUNTIF($C$2:C4747,C4747)=1,SUMIF($C$2:$C$5001,C4747,$H$2:$H$5001)+ROW()/10000000,0))</f>
        <v>0</v>
      </c>
    </row>
    <row r="4748" customFormat="false" ht="15" hidden="false" customHeight="false" outlineLevel="0" collapsed="false">
      <c r="A4748" s="43"/>
      <c r="B4748" s="44"/>
      <c r="C4748" s="44"/>
      <c r="D4748" s="44"/>
      <c r="E4748" s="44"/>
      <c r="F4748" s="44"/>
      <c r="G4748" s="44"/>
      <c r="H4748" s="46" t="str">
        <f aca="false">IF($A4748="","",IF(OR(NOT(ISNUMBER(E4748)),NOT(ISNUMBER(F4748))),"",MAX(0,E4748)*F4748))</f>
        <v/>
      </c>
      <c r="I4748" s="46" t="str">
        <f aca="false">IF($A4748="","",SUMIF($A$2:$A$5001,$A4748,$H$2:$H$5001))</f>
        <v/>
      </c>
      <c r="J4748" s="47" t="n">
        <f aca="false">IF($A4748="",0,IF(COUNTIF($A$2:A4748,$A4748)=1,1,0))</f>
        <v>0</v>
      </c>
      <c r="K4748" s="47" t="n">
        <f aca="false">IF(J4748=1,N(I4748)+ROW()/10000000,0)</f>
        <v>0</v>
      </c>
      <c r="L4748" s="47" t="str">
        <f aca="false">IF(AND(J4748=1,N(I4748)&gt;0),SUMIF($K$2:$K$5001,"&gt;="&amp;K4748,$I$2:$I$5001)/MAX(1,SUM($H$2:$H$5001)),"")</f>
        <v/>
      </c>
      <c r="M4748" s="47" t="str">
        <f aca="false">IF($A4748="","",INDEX($L$2:$L$5001,MATCH($A4748,$A$2:$A$5001,0)))</f>
        <v/>
      </c>
      <c r="N4748" s="48" t="str">
        <f aca="false">IF($A4748="","",IF(N(M4748)=0,"–",IF(M4748&lt;=Start!$D$20,"A",IF(M4748&lt;=Start!$D$21,"B","C"))))</f>
        <v/>
      </c>
      <c r="O4748" s="48" t="str">
        <f aca="false">IF($A4748="","",IF(NOT(ISNUMBER(F4748)),"Wert fehlt; ",IF(F4748&lt;=0,"Wert ist 0; ",""))&amp;IF(NOT(ISNUMBER(E4748)),"Bestand fehlt; ",IF(E4748&lt;0,"Bestand negativ; ",IF(E4748=0,"Nullbestand; ","")))&amp;IF(D4748="","Warengruppe fehlt; ","")&amp;IF(B4748="","Bezeichnung fehlt; ","")&amp;IF(COUNTIFS($A$2:$A$5001,$A4748,$C$2:$C$5001,C4748)&gt;1,"Artikel doppelt im selben Lager; ",""))</f>
        <v/>
      </c>
      <c r="P4748" s="47" t="n">
        <f aca="false">IF(OR($A4748="",D4748=""),0,IF(COUNTIF($D$2:D4748,D4748)=1,SUMIF($D$2:$D$5001,D4748,$H$2:$H$5001)+ROW()/10000000,0))</f>
        <v>0</v>
      </c>
      <c r="Q4748" s="47" t="n">
        <f aca="false">IF(OR($A4748="",C4748=""),0,IF(COUNTIF($C$2:C4748,C4748)=1,SUMIF($C$2:$C$5001,C4748,$H$2:$H$5001)+ROW()/10000000,0))</f>
        <v>0</v>
      </c>
    </row>
    <row r="4749" customFormat="false" ht="15" hidden="false" customHeight="false" outlineLevel="0" collapsed="false">
      <c r="A4749" s="43"/>
      <c r="B4749" s="44"/>
      <c r="C4749" s="44"/>
      <c r="D4749" s="44"/>
      <c r="E4749" s="44"/>
      <c r="F4749" s="44"/>
      <c r="G4749" s="44"/>
      <c r="H4749" s="46" t="str">
        <f aca="false">IF($A4749="","",IF(OR(NOT(ISNUMBER(E4749)),NOT(ISNUMBER(F4749))),"",MAX(0,E4749)*F4749))</f>
        <v/>
      </c>
      <c r="I4749" s="46" t="str">
        <f aca="false">IF($A4749="","",SUMIF($A$2:$A$5001,$A4749,$H$2:$H$5001))</f>
        <v/>
      </c>
      <c r="J4749" s="47" t="n">
        <f aca="false">IF($A4749="",0,IF(COUNTIF($A$2:A4749,$A4749)=1,1,0))</f>
        <v>0</v>
      </c>
      <c r="K4749" s="47" t="n">
        <f aca="false">IF(J4749=1,N(I4749)+ROW()/10000000,0)</f>
        <v>0</v>
      </c>
      <c r="L4749" s="47" t="str">
        <f aca="false">IF(AND(J4749=1,N(I4749)&gt;0),SUMIF($K$2:$K$5001,"&gt;="&amp;K4749,$I$2:$I$5001)/MAX(1,SUM($H$2:$H$5001)),"")</f>
        <v/>
      </c>
      <c r="M4749" s="47" t="str">
        <f aca="false">IF($A4749="","",INDEX($L$2:$L$5001,MATCH($A4749,$A$2:$A$5001,0)))</f>
        <v/>
      </c>
      <c r="N4749" s="48" t="str">
        <f aca="false">IF($A4749="","",IF(N(M4749)=0,"–",IF(M4749&lt;=Start!$D$20,"A",IF(M4749&lt;=Start!$D$21,"B","C"))))</f>
        <v/>
      </c>
      <c r="O4749" s="48" t="str">
        <f aca="false">IF($A4749="","",IF(NOT(ISNUMBER(F4749)),"Wert fehlt; ",IF(F4749&lt;=0,"Wert ist 0; ",""))&amp;IF(NOT(ISNUMBER(E4749)),"Bestand fehlt; ",IF(E4749&lt;0,"Bestand negativ; ",IF(E4749=0,"Nullbestand; ","")))&amp;IF(D4749="","Warengruppe fehlt; ","")&amp;IF(B4749="","Bezeichnung fehlt; ","")&amp;IF(COUNTIFS($A$2:$A$5001,$A4749,$C$2:$C$5001,C4749)&gt;1,"Artikel doppelt im selben Lager; ",""))</f>
        <v/>
      </c>
      <c r="P4749" s="47" t="n">
        <f aca="false">IF(OR($A4749="",D4749=""),0,IF(COUNTIF($D$2:D4749,D4749)=1,SUMIF($D$2:$D$5001,D4749,$H$2:$H$5001)+ROW()/10000000,0))</f>
        <v>0</v>
      </c>
      <c r="Q4749" s="47" t="n">
        <f aca="false">IF(OR($A4749="",C4749=""),0,IF(COUNTIF($C$2:C4749,C4749)=1,SUMIF($C$2:$C$5001,C4749,$H$2:$H$5001)+ROW()/10000000,0))</f>
        <v>0</v>
      </c>
    </row>
    <row r="4750" customFormat="false" ht="15" hidden="false" customHeight="false" outlineLevel="0" collapsed="false">
      <c r="A4750" s="43"/>
      <c r="B4750" s="44"/>
      <c r="C4750" s="44"/>
      <c r="D4750" s="44"/>
      <c r="E4750" s="44"/>
      <c r="F4750" s="44"/>
      <c r="G4750" s="44"/>
      <c r="H4750" s="46" t="str">
        <f aca="false">IF($A4750="","",IF(OR(NOT(ISNUMBER(E4750)),NOT(ISNUMBER(F4750))),"",MAX(0,E4750)*F4750))</f>
        <v/>
      </c>
      <c r="I4750" s="46" t="str">
        <f aca="false">IF($A4750="","",SUMIF($A$2:$A$5001,$A4750,$H$2:$H$5001))</f>
        <v/>
      </c>
      <c r="J4750" s="47" t="n">
        <f aca="false">IF($A4750="",0,IF(COUNTIF($A$2:A4750,$A4750)=1,1,0))</f>
        <v>0</v>
      </c>
      <c r="K4750" s="47" t="n">
        <f aca="false">IF(J4750=1,N(I4750)+ROW()/10000000,0)</f>
        <v>0</v>
      </c>
      <c r="L4750" s="47" t="str">
        <f aca="false">IF(AND(J4750=1,N(I4750)&gt;0),SUMIF($K$2:$K$5001,"&gt;="&amp;K4750,$I$2:$I$5001)/MAX(1,SUM($H$2:$H$5001)),"")</f>
        <v/>
      </c>
      <c r="M4750" s="47" t="str">
        <f aca="false">IF($A4750="","",INDEX($L$2:$L$5001,MATCH($A4750,$A$2:$A$5001,0)))</f>
        <v/>
      </c>
      <c r="N4750" s="48" t="str">
        <f aca="false">IF($A4750="","",IF(N(M4750)=0,"–",IF(M4750&lt;=Start!$D$20,"A",IF(M4750&lt;=Start!$D$21,"B","C"))))</f>
        <v/>
      </c>
      <c r="O4750" s="48" t="str">
        <f aca="false">IF($A4750="","",IF(NOT(ISNUMBER(F4750)),"Wert fehlt; ",IF(F4750&lt;=0,"Wert ist 0; ",""))&amp;IF(NOT(ISNUMBER(E4750)),"Bestand fehlt; ",IF(E4750&lt;0,"Bestand negativ; ",IF(E4750=0,"Nullbestand; ","")))&amp;IF(D4750="","Warengruppe fehlt; ","")&amp;IF(B4750="","Bezeichnung fehlt; ","")&amp;IF(COUNTIFS($A$2:$A$5001,$A4750,$C$2:$C$5001,C4750)&gt;1,"Artikel doppelt im selben Lager; ",""))</f>
        <v/>
      </c>
      <c r="P4750" s="47" t="n">
        <f aca="false">IF(OR($A4750="",D4750=""),0,IF(COUNTIF($D$2:D4750,D4750)=1,SUMIF($D$2:$D$5001,D4750,$H$2:$H$5001)+ROW()/10000000,0))</f>
        <v>0</v>
      </c>
      <c r="Q4750" s="47" t="n">
        <f aca="false">IF(OR($A4750="",C4750=""),0,IF(COUNTIF($C$2:C4750,C4750)=1,SUMIF($C$2:$C$5001,C4750,$H$2:$H$5001)+ROW()/10000000,0))</f>
        <v>0</v>
      </c>
    </row>
    <row r="4751" customFormat="false" ht="15" hidden="false" customHeight="false" outlineLevel="0" collapsed="false">
      <c r="A4751" s="43"/>
      <c r="B4751" s="44"/>
      <c r="C4751" s="44"/>
      <c r="D4751" s="44"/>
      <c r="E4751" s="44"/>
      <c r="F4751" s="44"/>
      <c r="G4751" s="44"/>
      <c r="H4751" s="46" t="str">
        <f aca="false">IF($A4751="","",IF(OR(NOT(ISNUMBER(E4751)),NOT(ISNUMBER(F4751))),"",MAX(0,E4751)*F4751))</f>
        <v/>
      </c>
      <c r="I4751" s="46" t="str">
        <f aca="false">IF($A4751="","",SUMIF($A$2:$A$5001,$A4751,$H$2:$H$5001))</f>
        <v/>
      </c>
      <c r="J4751" s="47" t="n">
        <f aca="false">IF($A4751="",0,IF(COUNTIF($A$2:A4751,$A4751)=1,1,0))</f>
        <v>0</v>
      </c>
      <c r="K4751" s="47" t="n">
        <f aca="false">IF(J4751=1,N(I4751)+ROW()/10000000,0)</f>
        <v>0</v>
      </c>
      <c r="L4751" s="47" t="str">
        <f aca="false">IF(AND(J4751=1,N(I4751)&gt;0),SUMIF($K$2:$K$5001,"&gt;="&amp;K4751,$I$2:$I$5001)/MAX(1,SUM($H$2:$H$5001)),"")</f>
        <v/>
      </c>
      <c r="M4751" s="47" t="str">
        <f aca="false">IF($A4751="","",INDEX($L$2:$L$5001,MATCH($A4751,$A$2:$A$5001,0)))</f>
        <v/>
      </c>
      <c r="N4751" s="48" t="str">
        <f aca="false">IF($A4751="","",IF(N(M4751)=0,"–",IF(M4751&lt;=Start!$D$20,"A",IF(M4751&lt;=Start!$D$21,"B","C"))))</f>
        <v/>
      </c>
      <c r="O4751" s="48" t="str">
        <f aca="false">IF($A4751="","",IF(NOT(ISNUMBER(F4751)),"Wert fehlt; ",IF(F4751&lt;=0,"Wert ist 0; ",""))&amp;IF(NOT(ISNUMBER(E4751)),"Bestand fehlt; ",IF(E4751&lt;0,"Bestand negativ; ",IF(E4751=0,"Nullbestand; ","")))&amp;IF(D4751="","Warengruppe fehlt; ","")&amp;IF(B4751="","Bezeichnung fehlt; ","")&amp;IF(COUNTIFS($A$2:$A$5001,$A4751,$C$2:$C$5001,C4751)&gt;1,"Artikel doppelt im selben Lager; ",""))</f>
        <v/>
      </c>
      <c r="P4751" s="47" t="n">
        <f aca="false">IF(OR($A4751="",D4751=""),0,IF(COUNTIF($D$2:D4751,D4751)=1,SUMIF($D$2:$D$5001,D4751,$H$2:$H$5001)+ROW()/10000000,0))</f>
        <v>0</v>
      </c>
      <c r="Q4751" s="47" t="n">
        <f aca="false">IF(OR($A4751="",C4751=""),0,IF(COUNTIF($C$2:C4751,C4751)=1,SUMIF($C$2:$C$5001,C4751,$H$2:$H$5001)+ROW()/10000000,0))</f>
        <v>0</v>
      </c>
    </row>
    <row r="4752" customFormat="false" ht="15" hidden="false" customHeight="false" outlineLevel="0" collapsed="false">
      <c r="A4752" s="43"/>
      <c r="B4752" s="44"/>
      <c r="C4752" s="44"/>
      <c r="D4752" s="44"/>
      <c r="E4752" s="44"/>
      <c r="F4752" s="44"/>
      <c r="G4752" s="44"/>
      <c r="H4752" s="46" t="str">
        <f aca="false">IF($A4752="","",IF(OR(NOT(ISNUMBER(E4752)),NOT(ISNUMBER(F4752))),"",MAX(0,E4752)*F4752))</f>
        <v/>
      </c>
      <c r="I4752" s="46" t="str">
        <f aca="false">IF($A4752="","",SUMIF($A$2:$A$5001,$A4752,$H$2:$H$5001))</f>
        <v/>
      </c>
      <c r="J4752" s="47" t="n">
        <f aca="false">IF($A4752="",0,IF(COUNTIF($A$2:A4752,$A4752)=1,1,0))</f>
        <v>0</v>
      </c>
      <c r="K4752" s="47" t="n">
        <f aca="false">IF(J4752=1,N(I4752)+ROW()/10000000,0)</f>
        <v>0</v>
      </c>
      <c r="L4752" s="47" t="str">
        <f aca="false">IF(AND(J4752=1,N(I4752)&gt;0),SUMIF($K$2:$K$5001,"&gt;="&amp;K4752,$I$2:$I$5001)/MAX(1,SUM($H$2:$H$5001)),"")</f>
        <v/>
      </c>
      <c r="M4752" s="47" t="str">
        <f aca="false">IF($A4752="","",INDEX($L$2:$L$5001,MATCH($A4752,$A$2:$A$5001,0)))</f>
        <v/>
      </c>
      <c r="N4752" s="48" t="str">
        <f aca="false">IF($A4752="","",IF(N(M4752)=0,"–",IF(M4752&lt;=Start!$D$20,"A",IF(M4752&lt;=Start!$D$21,"B","C"))))</f>
        <v/>
      </c>
      <c r="O4752" s="48" t="str">
        <f aca="false">IF($A4752="","",IF(NOT(ISNUMBER(F4752)),"Wert fehlt; ",IF(F4752&lt;=0,"Wert ist 0; ",""))&amp;IF(NOT(ISNUMBER(E4752)),"Bestand fehlt; ",IF(E4752&lt;0,"Bestand negativ; ",IF(E4752=0,"Nullbestand; ","")))&amp;IF(D4752="","Warengruppe fehlt; ","")&amp;IF(B4752="","Bezeichnung fehlt; ","")&amp;IF(COUNTIFS($A$2:$A$5001,$A4752,$C$2:$C$5001,C4752)&gt;1,"Artikel doppelt im selben Lager; ",""))</f>
        <v/>
      </c>
      <c r="P4752" s="47" t="n">
        <f aca="false">IF(OR($A4752="",D4752=""),0,IF(COUNTIF($D$2:D4752,D4752)=1,SUMIF($D$2:$D$5001,D4752,$H$2:$H$5001)+ROW()/10000000,0))</f>
        <v>0</v>
      </c>
      <c r="Q4752" s="47" t="n">
        <f aca="false">IF(OR($A4752="",C4752=""),0,IF(COUNTIF($C$2:C4752,C4752)=1,SUMIF($C$2:$C$5001,C4752,$H$2:$H$5001)+ROW()/10000000,0))</f>
        <v>0</v>
      </c>
    </row>
    <row r="4753" customFormat="false" ht="15" hidden="false" customHeight="false" outlineLevel="0" collapsed="false">
      <c r="A4753" s="43"/>
      <c r="B4753" s="44"/>
      <c r="C4753" s="44"/>
      <c r="D4753" s="44"/>
      <c r="E4753" s="44"/>
      <c r="F4753" s="44"/>
      <c r="G4753" s="44"/>
      <c r="H4753" s="46" t="str">
        <f aca="false">IF($A4753="","",IF(OR(NOT(ISNUMBER(E4753)),NOT(ISNUMBER(F4753))),"",MAX(0,E4753)*F4753))</f>
        <v/>
      </c>
      <c r="I4753" s="46" t="str">
        <f aca="false">IF($A4753="","",SUMIF($A$2:$A$5001,$A4753,$H$2:$H$5001))</f>
        <v/>
      </c>
      <c r="J4753" s="47" t="n">
        <f aca="false">IF($A4753="",0,IF(COUNTIF($A$2:A4753,$A4753)=1,1,0))</f>
        <v>0</v>
      </c>
      <c r="K4753" s="47" t="n">
        <f aca="false">IF(J4753=1,N(I4753)+ROW()/10000000,0)</f>
        <v>0</v>
      </c>
      <c r="L4753" s="47" t="str">
        <f aca="false">IF(AND(J4753=1,N(I4753)&gt;0),SUMIF($K$2:$K$5001,"&gt;="&amp;K4753,$I$2:$I$5001)/MAX(1,SUM($H$2:$H$5001)),"")</f>
        <v/>
      </c>
      <c r="M4753" s="47" t="str">
        <f aca="false">IF($A4753="","",INDEX($L$2:$L$5001,MATCH($A4753,$A$2:$A$5001,0)))</f>
        <v/>
      </c>
      <c r="N4753" s="48" t="str">
        <f aca="false">IF($A4753="","",IF(N(M4753)=0,"–",IF(M4753&lt;=Start!$D$20,"A",IF(M4753&lt;=Start!$D$21,"B","C"))))</f>
        <v/>
      </c>
      <c r="O4753" s="48" t="str">
        <f aca="false">IF($A4753="","",IF(NOT(ISNUMBER(F4753)),"Wert fehlt; ",IF(F4753&lt;=0,"Wert ist 0; ",""))&amp;IF(NOT(ISNUMBER(E4753)),"Bestand fehlt; ",IF(E4753&lt;0,"Bestand negativ; ",IF(E4753=0,"Nullbestand; ","")))&amp;IF(D4753="","Warengruppe fehlt; ","")&amp;IF(B4753="","Bezeichnung fehlt; ","")&amp;IF(COUNTIFS($A$2:$A$5001,$A4753,$C$2:$C$5001,C4753)&gt;1,"Artikel doppelt im selben Lager; ",""))</f>
        <v/>
      </c>
      <c r="P4753" s="47" t="n">
        <f aca="false">IF(OR($A4753="",D4753=""),0,IF(COUNTIF($D$2:D4753,D4753)=1,SUMIF($D$2:$D$5001,D4753,$H$2:$H$5001)+ROW()/10000000,0))</f>
        <v>0</v>
      </c>
      <c r="Q4753" s="47" t="n">
        <f aca="false">IF(OR($A4753="",C4753=""),0,IF(COUNTIF($C$2:C4753,C4753)=1,SUMIF($C$2:$C$5001,C4753,$H$2:$H$5001)+ROW()/10000000,0))</f>
        <v>0</v>
      </c>
    </row>
    <row r="4754" customFormat="false" ht="15" hidden="false" customHeight="false" outlineLevel="0" collapsed="false">
      <c r="A4754" s="43"/>
      <c r="B4754" s="44"/>
      <c r="C4754" s="44"/>
      <c r="D4754" s="44"/>
      <c r="E4754" s="44"/>
      <c r="F4754" s="44"/>
      <c r="G4754" s="44"/>
      <c r="H4754" s="46" t="str">
        <f aca="false">IF($A4754="","",IF(OR(NOT(ISNUMBER(E4754)),NOT(ISNUMBER(F4754))),"",MAX(0,E4754)*F4754))</f>
        <v/>
      </c>
      <c r="I4754" s="46" t="str">
        <f aca="false">IF($A4754="","",SUMIF($A$2:$A$5001,$A4754,$H$2:$H$5001))</f>
        <v/>
      </c>
      <c r="J4754" s="47" t="n">
        <f aca="false">IF($A4754="",0,IF(COUNTIF($A$2:A4754,$A4754)=1,1,0))</f>
        <v>0</v>
      </c>
      <c r="K4754" s="47" t="n">
        <f aca="false">IF(J4754=1,N(I4754)+ROW()/10000000,0)</f>
        <v>0</v>
      </c>
      <c r="L4754" s="47" t="str">
        <f aca="false">IF(AND(J4754=1,N(I4754)&gt;0),SUMIF($K$2:$K$5001,"&gt;="&amp;K4754,$I$2:$I$5001)/MAX(1,SUM($H$2:$H$5001)),"")</f>
        <v/>
      </c>
      <c r="M4754" s="47" t="str">
        <f aca="false">IF($A4754="","",INDEX($L$2:$L$5001,MATCH($A4754,$A$2:$A$5001,0)))</f>
        <v/>
      </c>
      <c r="N4754" s="48" t="str">
        <f aca="false">IF($A4754="","",IF(N(M4754)=0,"–",IF(M4754&lt;=Start!$D$20,"A",IF(M4754&lt;=Start!$D$21,"B","C"))))</f>
        <v/>
      </c>
      <c r="O4754" s="48" t="str">
        <f aca="false">IF($A4754="","",IF(NOT(ISNUMBER(F4754)),"Wert fehlt; ",IF(F4754&lt;=0,"Wert ist 0; ",""))&amp;IF(NOT(ISNUMBER(E4754)),"Bestand fehlt; ",IF(E4754&lt;0,"Bestand negativ; ",IF(E4754=0,"Nullbestand; ","")))&amp;IF(D4754="","Warengruppe fehlt; ","")&amp;IF(B4754="","Bezeichnung fehlt; ","")&amp;IF(COUNTIFS($A$2:$A$5001,$A4754,$C$2:$C$5001,C4754)&gt;1,"Artikel doppelt im selben Lager; ",""))</f>
        <v/>
      </c>
      <c r="P4754" s="47" t="n">
        <f aca="false">IF(OR($A4754="",D4754=""),0,IF(COUNTIF($D$2:D4754,D4754)=1,SUMIF($D$2:$D$5001,D4754,$H$2:$H$5001)+ROW()/10000000,0))</f>
        <v>0</v>
      </c>
      <c r="Q4754" s="47" t="n">
        <f aca="false">IF(OR($A4754="",C4754=""),0,IF(COUNTIF($C$2:C4754,C4754)=1,SUMIF($C$2:$C$5001,C4754,$H$2:$H$5001)+ROW()/10000000,0))</f>
        <v>0</v>
      </c>
    </row>
    <row r="4755" customFormat="false" ht="15" hidden="false" customHeight="false" outlineLevel="0" collapsed="false">
      <c r="A4755" s="43"/>
      <c r="B4755" s="44"/>
      <c r="C4755" s="44"/>
      <c r="D4755" s="44"/>
      <c r="E4755" s="44"/>
      <c r="F4755" s="44"/>
      <c r="G4755" s="44"/>
      <c r="H4755" s="46" t="str">
        <f aca="false">IF($A4755="","",IF(OR(NOT(ISNUMBER(E4755)),NOT(ISNUMBER(F4755))),"",MAX(0,E4755)*F4755))</f>
        <v/>
      </c>
      <c r="I4755" s="46" t="str">
        <f aca="false">IF($A4755="","",SUMIF($A$2:$A$5001,$A4755,$H$2:$H$5001))</f>
        <v/>
      </c>
      <c r="J4755" s="47" t="n">
        <f aca="false">IF($A4755="",0,IF(COUNTIF($A$2:A4755,$A4755)=1,1,0))</f>
        <v>0</v>
      </c>
      <c r="K4755" s="47" t="n">
        <f aca="false">IF(J4755=1,N(I4755)+ROW()/10000000,0)</f>
        <v>0</v>
      </c>
      <c r="L4755" s="47" t="str">
        <f aca="false">IF(AND(J4755=1,N(I4755)&gt;0),SUMIF($K$2:$K$5001,"&gt;="&amp;K4755,$I$2:$I$5001)/MAX(1,SUM($H$2:$H$5001)),"")</f>
        <v/>
      </c>
      <c r="M4755" s="47" t="str">
        <f aca="false">IF($A4755="","",INDEX($L$2:$L$5001,MATCH($A4755,$A$2:$A$5001,0)))</f>
        <v/>
      </c>
      <c r="N4755" s="48" t="str">
        <f aca="false">IF($A4755="","",IF(N(M4755)=0,"–",IF(M4755&lt;=Start!$D$20,"A",IF(M4755&lt;=Start!$D$21,"B","C"))))</f>
        <v/>
      </c>
      <c r="O4755" s="48" t="str">
        <f aca="false">IF($A4755="","",IF(NOT(ISNUMBER(F4755)),"Wert fehlt; ",IF(F4755&lt;=0,"Wert ist 0; ",""))&amp;IF(NOT(ISNUMBER(E4755)),"Bestand fehlt; ",IF(E4755&lt;0,"Bestand negativ; ",IF(E4755=0,"Nullbestand; ","")))&amp;IF(D4755="","Warengruppe fehlt; ","")&amp;IF(B4755="","Bezeichnung fehlt; ","")&amp;IF(COUNTIFS($A$2:$A$5001,$A4755,$C$2:$C$5001,C4755)&gt;1,"Artikel doppelt im selben Lager; ",""))</f>
        <v/>
      </c>
      <c r="P4755" s="47" t="n">
        <f aca="false">IF(OR($A4755="",D4755=""),0,IF(COUNTIF($D$2:D4755,D4755)=1,SUMIF($D$2:$D$5001,D4755,$H$2:$H$5001)+ROW()/10000000,0))</f>
        <v>0</v>
      </c>
      <c r="Q4755" s="47" t="n">
        <f aca="false">IF(OR($A4755="",C4755=""),0,IF(COUNTIF($C$2:C4755,C4755)=1,SUMIF($C$2:$C$5001,C4755,$H$2:$H$5001)+ROW()/10000000,0))</f>
        <v>0</v>
      </c>
    </row>
    <row r="4756" customFormat="false" ht="15" hidden="false" customHeight="false" outlineLevel="0" collapsed="false">
      <c r="A4756" s="43"/>
      <c r="B4756" s="44"/>
      <c r="C4756" s="44"/>
      <c r="D4756" s="44"/>
      <c r="E4756" s="44"/>
      <c r="F4756" s="44"/>
      <c r="G4756" s="44"/>
      <c r="H4756" s="46" t="str">
        <f aca="false">IF($A4756="","",IF(OR(NOT(ISNUMBER(E4756)),NOT(ISNUMBER(F4756))),"",MAX(0,E4756)*F4756))</f>
        <v/>
      </c>
      <c r="I4756" s="46" t="str">
        <f aca="false">IF($A4756="","",SUMIF($A$2:$A$5001,$A4756,$H$2:$H$5001))</f>
        <v/>
      </c>
      <c r="J4756" s="47" t="n">
        <f aca="false">IF($A4756="",0,IF(COUNTIF($A$2:A4756,$A4756)=1,1,0))</f>
        <v>0</v>
      </c>
      <c r="K4756" s="47" t="n">
        <f aca="false">IF(J4756=1,N(I4756)+ROW()/10000000,0)</f>
        <v>0</v>
      </c>
      <c r="L4756" s="47" t="str">
        <f aca="false">IF(AND(J4756=1,N(I4756)&gt;0),SUMIF($K$2:$K$5001,"&gt;="&amp;K4756,$I$2:$I$5001)/MAX(1,SUM($H$2:$H$5001)),"")</f>
        <v/>
      </c>
      <c r="M4756" s="47" t="str">
        <f aca="false">IF($A4756="","",INDEX($L$2:$L$5001,MATCH($A4756,$A$2:$A$5001,0)))</f>
        <v/>
      </c>
      <c r="N4756" s="48" t="str">
        <f aca="false">IF($A4756="","",IF(N(M4756)=0,"–",IF(M4756&lt;=Start!$D$20,"A",IF(M4756&lt;=Start!$D$21,"B","C"))))</f>
        <v/>
      </c>
      <c r="O4756" s="48" t="str">
        <f aca="false">IF($A4756="","",IF(NOT(ISNUMBER(F4756)),"Wert fehlt; ",IF(F4756&lt;=0,"Wert ist 0; ",""))&amp;IF(NOT(ISNUMBER(E4756)),"Bestand fehlt; ",IF(E4756&lt;0,"Bestand negativ; ",IF(E4756=0,"Nullbestand; ","")))&amp;IF(D4756="","Warengruppe fehlt; ","")&amp;IF(B4756="","Bezeichnung fehlt; ","")&amp;IF(COUNTIFS($A$2:$A$5001,$A4756,$C$2:$C$5001,C4756)&gt;1,"Artikel doppelt im selben Lager; ",""))</f>
        <v/>
      </c>
      <c r="P4756" s="47" t="n">
        <f aca="false">IF(OR($A4756="",D4756=""),0,IF(COUNTIF($D$2:D4756,D4756)=1,SUMIF($D$2:$D$5001,D4756,$H$2:$H$5001)+ROW()/10000000,0))</f>
        <v>0</v>
      </c>
      <c r="Q4756" s="47" t="n">
        <f aca="false">IF(OR($A4756="",C4756=""),0,IF(COUNTIF($C$2:C4756,C4756)=1,SUMIF($C$2:$C$5001,C4756,$H$2:$H$5001)+ROW()/10000000,0))</f>
        <v>0</v>
      </c>
    </row>
    <row r="4757" customFormat="false" ht="15" hidden="false" customHeight="false" outlineLevel="0" collapsed="false">
      <c r="A4757" s="43"/>
      <c r="B4757" s="44"/>
      <c r="C4757" s="44"/>
      <c r="D4757" s="44"/>
      <c r="E4757" s="44"/>
      <c r="F4757" s="44"/>
      <c r="G4757" s="44"/>
      <c r="H4757" s="46" t="str">
        <f aca="false">IF($A4757="","",IF(OR(NOT(ISNUMBER(E4757)),NOT(ISNUMBER(F4757))),"",MAX(0,E4757)*F4757))</f>
        <v/>
      </c>
      <c r="I4757" s="46" t="str">
        <f aca="false">IF($A4757="","",SUMIF($A$2:$A$5001,$A4757,$H$2:$H$5001))</f>
        <v/>
      </c>
      <c r="J4757" s="47" t="n">
        <f aca="false">IF($A4757="",0,IF(COUNTIF($A$2:A4757,$A4757)=1,1,0))</f>
        <v>0</v>
      </c>
      <c r="K4757" s="47" t="n">
        <f aca="false">IF(J4757=1,N(I4757)+ROW()/10000000,0)</f>
        <v>0</v>
      </c>
      <c r="L4757" s="47" t="str">
        <f aca="false">IF(AND(J4757=1,N(I4757)&gt;0),SUMIF($K$2:$K$5001,"&gt;="&amp;K4757,$I$2:$I$5001)/MAX(1,SUM($H$2:$H$5001)),"")</f>
        <v/>
      </c>
      <c r="M4757" s="47" t="str">
        <f aca="false">IF($A4757="","",INDEX($L$2:$L$5001,MATCH($A4757,$A$2:$A$5001,0)))</f>
        <v/>
      </c>
      <c r="N4757" s="48" t="str">
        <f aca="false">IF($A4757="","",IF(N(M4757)=0,"–",IF(M4757&lt;=Start!$D$20,"A",IF(M4757&lt;=Start!$D$21,"B","C"))))</f>
        <v/>
      </c>
      <c r="O4757" s="48" t="str">
        <f aca="false">IF($A4757="","",IF(NOT(ISNUMBER(F4757)),"Wert fehlt; ",IF(F4757&lt;=0,"Wert ist 0; ",""))&amp;IF(NOT(ISNUMBER(E4757)),"Bestand fehlt; ",IF(E4757&lt;0,"Bestand negativ; ",IF(E4757=0,"Nullbestand; ","")))&amp;IF(D4757="","Warengruppe fehlt; ","")&amp;IF(B4757="","Bezeichnung fehlt; ","")&amp;IF(COUNTIFS($A$2:$A$5001,$A4757,$C$2:$C$5001,C4757)&gt;1,"Artikel doppelt im selben Lager; ",""))</f>
        <v/>
      </c>
      <c r="P4757" s="47" t="n">
        <f aca="false">IF(OR($A4757="",D4757=""),0,IF(COUNTIF($D$2:D4757,D4757)=1,SUMIF($D$2:$D$5001,D4757,$H$2:$H$5001)+ROW()/10000000,0))</f>
        <v>0</v>
      </c>
      <c r="Q4757" s="47" t="n">
        <f aca="false">IF(OR($A4757="",C4757=""),0,IF(COUNTIF($C$2:C4757,C4757)=1,SUMIF($C$2:$C$5001,C4757,$H$2:$H$5001)+ROW()/10000000,0))</f>
        <v>0</v>
      </c>
    </row>
    <row r="4758" customFormat="false" ht="15" hidden="false" customHeight="false" outlineLevel="0" collapsed="false">
      <c r="A4758" s="43"/>
      <c r="B4758" s="44"/>
      <c r="C4758" s="44"/>
      <c r="D4758" s="44"/>
      <c r="E4758" s="44"/>
      <c r="F4758" s="44"/>
      <c r="G4758" s="44"/>
      <c r="H4758" s="46" t="str">
        <f aca="false">IF($A4758="","",IF(OR(NOT(ISNUMBER(E4758)),NOT(ISNUMBER(F4758))),"",MAX(0,E4758)*F4758))</f>
        <v/>
      </c>
      <c r="I4758" s="46" t="str">
        <f aca="false">IF($A4758="","",SUMIF($A$2:$A$5001,$A4758,$H$2:$H$5001))</f>
        <v/>
      </c>
      <c r="J4758" s="47" t="n">
        <f aca="false">IF($A4758="",0,IF(COUNTIF($A$2:A4758,$A4758)=1,1,0))</f>
        <v>0</v>
      </c>
      <c r="K4758" s="47" t="n">
        <f aca="false">IF(J4758=1,N(I4758)+ROW()/10000000,0)</f>
        <v>0</v>
      </c>
      <c r="L4758" s="47" t="str">
        <f aca="false">IF(AND(J4758=1,N(I4758)&gt;0),SUMIF($K$2:$K$5001,"&gt;="&amp;K4758,$I$2:$I$5001)/MAX(1,SUM($H$2:$H$5001)),"")</f>
        <v/>
      </c>
      <c r="M4758" s="47" t="str">
        <f aca="false">IF($A4758="","",INDEX($L$2:$L$5001,MATCH($A4758,$A$2:$A$5001,0)))</f>
        <v/>
      </c>
      <c r="N4758" s="48" t="str">
        <f aca="false">IF($A4758="","",IF(N(M4758)=0,"–",IF(M4758&lt;=Start!$D$20,"A",IF(M4758&lt;=Start!$D$21,"B","C"))))</f>
        <v/>
      </c>
      <c r="O4758" s="48" t="str">
        <f aca="false">IF($A4758="","",IF(NOT(ISNUMBER(F4758)),"Wert fehlt; ",IF(F4758&lt;=0,"Wert ist 0; ",""))&amp;IF(NOT(ISNUMBER(E4758)),"Bestand fehlt; ",IF(E4758&lt;0,"Bestand negativ; ",IF(E4758=0,"Nullbestand; ","")))&amp;IF(D4758="","Warengruppe fehlt; ","")&amp;IF(B4758="","Bezeichnung fehlt; ","")&amp;IF(COUNTIFS($A$2:$A$5001,$A4758,$C$2:$C$5001,C4758)&gt;1,"Artikel doppelt im selben Lager; ",""))</f>
        <v/>
      </c>
      <c r="P4758" s="47" t="n">
        <f aca="false">IF(OR($A4758="",D4758=""),0,IF(COUNTIF($D$2:D4758,D4758)=1,SUMIF($D$2:$D$5001,D4758,$H$2:$H$5001)+ROW()/10000000,0))</f>
        <v>0</v>
      </c>
      <c r="Q4758" s="47" t="n">
        <f aca="false">IF(OR($A4758="",C4758=""),0,IF(COUNTIF($C$2:C4758,C4758)=1,SUMIF($C$2:$C$5001,C4758,$H$2:$H$5001)+ROW()/10000000,0))</f>
        <v>0</v>
      </c>
    </row>
    <row r="4759" customFormat="false" ht="15" hidden="false" customHeight="false" outlineLevel="0" collapsed="false">
      <c r="A4759" s="43"/>
      <c r="B4759" s="44"/>
      <c r="C4759" s="44"/>
      <c r="D4759" s="44"/>
      <c r="E4759" s="44"/>
      <c r="F4759" s="44"/>
      <c r="G4759" s="44"/>
      <c r="H4759" s="46" t="str">
        <f aca="false">IF($A4759="","",IF(OR(NOT(ISNUMBER(E4759)),NOT(ISNUMBER(F4759))),"",MAX(0,E4759)*F4759))</f>
        <v/>
      </c>
      <c r="I4759" s="46" t="str">
        <f aca="false">IF($A4759="","",SUMIF($A$2:$A$5001,$A4759,$H$2:$H$5001))</f>
        <v/>
      </c>
      <c r="J4759" s="47" t="n">
        <f aca="false">IF($A4759="",0,IF(COUNTIF($A$2:A4759,$A4759)=1,1,0))</f>
        <v>0</v>
      </c>
      <c r="K4759" s="47" t="n">
        <f aca="false">IF(J4759=1,N(I4759)+ROW()/10000000,0)</f>
        <v>0</v>
      </c>
      <c r="L4759" s="47" t="str">
        <f aca="false">IF(AND(J4759=1,N(I4759)&gt;0),SUMIF($K$2:$K$5001,"&gt;="&amp;K4759,$I$2:$I$5001)/MAX(1,SUM($H$2:$H$5001)),"")</f>
        <v/>
      </c>
      <c r="M4759" s="47" t="str">
        <f aca="false">IF($A4759="","",INDEX($L$2:$L$5001,MATCH($A4759,$A$2:$A$5001,0)))</f>
        <v/>
      </c>
      <c r="N4759" s="48" t="str">
        <f aca="false">IF($A4759="","",IF(N(M4759)=0,"–",IF(M4759&lt;=Start!$D$20,"A",IF(M4759&lt;=Start!$D$21,"B","C"))))</f>
        <v/>
      </c>
      <c r="O4759" s="48" t="str">
        <f aca="false">IF($A4759="","",IF(NOT(ISNUMBER(F4759)),"Wert fehlt; ",IF(F4759&lt;=0,"Wert ist 0; ",""))&amp;IF(NOT(ISNUMBER(E4759)),"Bestand fehlt; ",IF(E4759&lt;0,"Bestand negativ; ",IF(E4759=0,"Nullbestand; ","")))&amp;IF(D4759="","Warengruppe fehlt; ","")&amp;IF(B4759="","Bezeichnung fehlt; ","")&amp;IF(COUNTIFS($A$2:$A$5001,$A4759,$C$2:$C$5001,C4759)&gt;1,"Artikel doppelt im selben Lager; ",""))</f>
        <v/>
      </c>
      <c r="P4759" s="47" t="n">
        <f aca="false">IF(OR($A4759="",D4759=""),0,IF(COUNTIF($D$2:D4759,D4759)=1,SUMIF($D$2:$D$5001,D4759,$H$2:$H$5001)+ROW()/10000000,0))</f>
        <v>0</v>
      </c>
      <c r="Q4759" s="47" t="n">
        <f aca="false">IF(OR($A4759="",C4759=""),0,IF(COUNTIF($C$2:C4759,C4759)=1,SUMIF($C$2:$C$5001,C4759,$H$2:$H$5001)+ROW()/10000000,0))</f>
        <v>0</v>
      </c>
    </row>
    <row r="4760" customFormat="false" ht="15" hidden="false" customHeight="false" outlineLevel="0" collapsed="false">
      <c r="A4760" s="43"/>
      <c r="B4760" s="44"/>
      <c r="C4760" s="44"/>
      <c r="D4760" s="44"/>
      <c r="E4760" s="44"/>
      <c r="F4760" s="44"/>
      <c r="G4760" s="44"/>
      <c r="H4760" s="46" t="str">
        <f aca="false">IF($A4760="","",IF(OR(NOT(ISNUMBER(E4760)),NOT(ISNUMBER(F4760))),"",MAX(0,E4760)*F4760))</f>
        <v/>
      </c>
      <c r="I4760" s="46" t="str">
        <f aca="false">IF($A4760="","",SUMIF($A$2:$A$5001,$A4760,$H$2:$H$5001))</f>
        <v/>
      </c>
      <c r="J4760" s="47" t="n">
        <f aca="false">IF($A4760="",0,IF(COUNTIF($A$2:A4760,$A4760)=1,1,0))</f>
        <v>0</v>
      </c>
      <c r="K4760" s="47" t="n">
        <f aca="false">IF(J4760=1,N(I4760)+ROW()/10000000,0)</f>
        <v>0</v>
      </c>
      <c r="L4760" s="47" t="str">
        <f aca="false">IF(AND(J4760=1,N(I4760)&gt;0),SUMIF($K$2:$K$5001,"&gt;="&amp;K4760,$I$2:$I$5001)/MAX(1,SUM($H$2:$H$5001)),"")</f>
        <v/>
      </c>
      <c r="M4760" s="47" t="str">
        <f aca="false">IF($A4760="","",INDEX($L$2:$L$5001,MATCH($A4760,$A$2:$A$5001,0)))</f>
        <v/>
      </c>
      <c r="N4760" s="48" t="str">
        <f aca="false">IF($A4760="","",IF(N(M4760)=0,"–",IF(M4760&lt;=Start!$D$20,"A",IF(M4760&lt;=Start!$D$21,"B","C"))))</f>
        <v/>
      </c>
      <c r="O4760" s="48" t="str">
        <f aca="false">IF($A4760="","",IF(NOT(ISNUMBER(F4760)),"Wert fehlt; ",IF(F4760&lt;=0,"Wert ist 0; ",""))&amp;IF(NOT(ISNUMBER(E4760)),"Bestand fehlt; ",IF(E4760&lt;0,"Bestand negativ; ",IF(E4760=0,"Nullbestand; ","")))&amp;IF(D4760="","Warengruppe fehlt; ","")&amp;IF(B4760="","Bezeichnung fehlt; ","")&amp;IF(COUNTIFS($A$2:$A$5001,$A4760,$C$2:$C$5001,C4760)&gt;1,"Artikel doppelt im selben Lager; ",""))</f>
        <v/>
      </c>
      <c r="P4760" s="47" t="n">
        <f aca="false">IF(OR($A4760="",D4760=""),0,IF(COUNTIF($D$2:D4760,D4760)=1,SUMIF($D$2:$D$5001,D4760,$H$2:$H$5001)+ROW()/10000000,0))</f>
        <v>0</v>
      </c>
      <c r="Q4760" s="47" t="n">
        <f aca="false">IF(OR($A4760="",C4760=""),0,IF(COUNTIF($C$2:C4760,C4760)=1,SUMIF($C$2:$C$5001,C4760,$H$2:$H$5001)+ROW()/10000000,0))</f>
        <v>0</v>
      </c>
    </row>
    <row r="4761" customFormat="false" ht="15" hidden="false" customHeight="false" outlineLevel="0" collapsed="false">
      <c r="A4761" s="43"/>
      <c r="B4761" s="44"/>
      <c r="C4761" s="44"/>
      <c r="D4761" s="44"/>
      <c r="E4761" s="44"/>
      <c r="F4761" s="44"/>
      <c r="G4761" s="44"/>
      <c r="H4761" s="46" t="str">
        <f aca="false">IF($A4761="","",IF(OR(NOT(ISNUMBER(E4761)),NOT(ISNUMBER(F4761))),"",MAX(0,E4761)*F4761))</f>
        <v/>
      </c>
      <c r="I4761" s="46" t="str">
        <f aca="false">IF($A4761="","",SUMIF($A$2:$A$5001,$A4761,$H$2:$H$5001))</f>
        <v/>
      </c>
      <c r="J4761" s="47" t="n">
        <f aca="false">IF($A4761="",0,IF(COUNTIF($A$2:A4761,$A4761)=1,1,0))</f>
        <v>0</v>
      </c>
      <c r="K4761" s="47" t="n">
        <f aca="false">IF(J4761=1,N(I4761)+ROW()/10000000,0)</f>
        <v>0</v>
      </c>
      <c r="L4761" s="47" t="str">
        <f aca="false">IF(AND(J4761=1,N(I4761)&gt;0),SUMIF($K$2:$K$5001,"&gt;="&amp;K4761,$I$2:$I$5001)/MAX(1,SUM($H$2:$H$5001)),"")</f>
        <v/>
      </c>
      <c r="M4761" s="47" t="str">
        <f aca="false">IF($A4761="","",INDEX($L$2:$L$5001,MATCH($A4761,$A$2:$A$5001,0)))</f>
        <v/>
      </c>
      <c r="N4761" s="48" t="str">
        <f aca="false">IF($A4761="","",IF(N(M4761)=0,"–",IF(M4761&lt;=Start!$D$20,"A",IF(M4761&lt;=Start!$D$21,"B","C"))))</f>
        <v/>
      </c>
      <c r="O4761" s="48" t="str">
        <f aca="false">IF($A4761="","",IF(NOT(ISNUMBER(F4761)),"Wert fehlt; ",IF(F4761&lt;=0,"Wert ist 0; ",""))&amp;IF(NOT(ISNUMBER(E4761)),"Bestand fehlt; ",IF(E4761&lt;0,"Bestand negativ; ",IF(E4761=0,"Nullbestand; ","")))&amp;IF(D4761="","Warengruppe fehlt; ","")&amp;IF(B4761="","Bezeichnung fehlt; ","")&amp;IF(COUNTIFS($A$2:$A$5001,$A4761,$C$2:$C$5001,C4761)&gt;1,"Artikel doppelt im selben Lager; ",""))</f>
        <v/>
      </c>
      <c r="P4761" s="47" t="n">
        <f aca="false">IF(OR($A4761="",D4761=""),0,IF(COUNTIF($D$2:D4761,D4761)=1,SUMIF($D$2:$D$5001,D4761,$H$2:$H$5001)+ROW()/10000000,0))</f>
        <v>0</v>
      </c>
      <c r="Q4761" s="47" t="n">
        <f aca="false">IF(OR($A4761="",C4761=""),0,IF(COUNTIF($C$2:C4761,C4761)=1,SUMIF($C$2:$C$5001,C4761,$H$2:$H$5001)+ROW()/10000000,0))</f>
        <v>0</v>
      </c>
    </row>
    <row r="4762" customFormat="false" ht="15" hidden="false" customHeight="false" outlineLevel="0" collapsed="false">
      <c r="A4762" s="43"/>
      <c r="B4762" s="44"/>
      <c r="C4762" s="44"/>
      <c r="D4762" s="44"/>
      <c r="E4762" s="44"/>
      <c r="F4762" s="44"/>
      <c r="G4762" s="44"/>
      <c r="H4762" s="46" t="str">
        <f aca="false">IF($A4762="","",IF(OR(NOT(ISNUMBER(E4762)),NOT(ISNUMBER(F4762))),"",MAX(0,E4762)*F4762))</f>
        <v/>
      </c>
      <c r="I4762" s="46" t="str">
        <f aca="false">IF($A4762="","",SUMIF($A$2:$A$5001,$A4762,$H$2:$H$5001))</f>
        <v/>
      </c>
      <c r="J4762" s="47" t="n">
        <f aca="false">IF($A4762="",0,IF(COUNTIF($A$2:A4762,$A4762)=1,1,0))</f>
        <v>0</v>
      </c>
      <c r="K4762" s="47" t="n">
        <f aca="false">IF(J4762=1,N(I4762)+ROW()/10000000,0)</f>
        <v>0</v>
      </c>
      <c r="L4762" s="47" t="str">
        <f aca="false">IF(AND(J4762=1,N(I4762)&gt;0),SUMIF($K$2:$K$5001,"&gt;="&amp;K4762,$I$2:$I$5001)/MAX(1,SUM($H$2:$H$5001)),"")</f>
        <v/>
      </c>
      <c r="M4762" s="47" t="str">
        <f aca="false">IF($A4762="","",INDEX($L$2:$L$5001,MATCH($A4762,$A$2:$A$5001,0)))</f>
        <v/>
      </c>
      <c r="N4762" s="48" t="str">
        <f aca="false">IF($A4762="","",IF(N(M4762)=0,"–",IF(M4762&lt;=Start!$D$20,"A",IF(M4762&lt;=Start!$D$21,"B","C"))))</f>
        <v/>
      </c>
      <c r="O4762" s="48" t="str">
        <f aca="false">IF($A4762="","",IF(NOT(ISNUMBER(F4762)),"Wert fehlt; ",IF(F4762&lt;=0,"Wert ist 0; ",""))&amp;IF(NOT(ISNUMBER(E4762)),"Bestand fehlt; ",IF(E4762&lt;0,"Bestand negativ; ",IF(E4762=0,"Nullbestand; ","")))&amp;IF(D4762="","Warengruppe fehlt; ","")&amp;IF(B4762="","Bezeichnung fehlt; ","")&amp;IF(COUNTIFS($A$2:$A$5001,$A4762,$C$2:$C$5001,C4762)&gt;1,"Artikel doppelt im selben Lager; ",""))</f>
        <v/>
      </c>
      <c r="P4762" s="47" t="n">
        <f aca="false">IF(OR($A4762="",D4762=""),0,IF(COUNTIF($D$2:D4762,D4762)=1,SUMIF($D$2:$D$5001,D4762,$H$2:$H$5001)+ROW()/10000000,0))</f>
        <v>0</v>
      </c>
      <c r="Q4762" s="47" t="n">
        <f aca="false">IF(OR($A4762="",C4762=""),0,IF(COUNTIF($C$2:C4762,C4762)=1,SUMIF($C$2:$C$5001,C4762,$H$2:$H$5001)+ROW()/10000000,0))</f>
        <v>0</v>
      </c>
    </row>
    <row r="4763" customFormat="false" ht="15" hidden="false" customHeight="false" outlineLevel="0" collapsed="false">
      <c r="A4763" s="43"/>
      <c r="B4763" s="44"/>
      <c r="C4763" s="44"/>
      <c r="D4763" s="44"/>
      <c r="E4763" s="44"/>
      <c r="F4763" s="44"/>
      <c r="G4763" s="44"/>
      <c r="H4763" s="46" t="str">
        <f aca="false">IF($A4763="","",IF(OR(NOT(ISNUMBER(E4763)),NOT(ISNUMBER(F4763))),"",MAX(0,E4763)*F4763))</f>
        <v/>
      </c>
      <c r="I4763" s="46" t="str">
        <f aca="false">IF($A4763="","",SUMIF($A$2:$A$5001,$A4763,$H$2:$H$5001))</f>
        <v/>
      </c>
      <c r="J4763" s="47" t="n">
        <f aca="false">IF($A4763="",0,IF(COUNTIF($A$2:A4763,$A4763)=1,1,0))</f>
        <v>0</v>
      </c>
      <c r="K4763" s="47" t="n">
        <f aca="false">IF(J4763=1,N(I4763)+ROW()/10000000,0)</f>
        <v>0</v>
      </c>
      <c r="L4763" s="47" t="str">
        <f aca="false">IF(AND(J4763=1,N(I4763)&gt;0),SUMIF($K$2:$K$5001,"&gt;="&amp;K4763,$I$2:$I$5001)/MAX(1,SUM($H$2:$H$5001)),"")</f>
        <v/>
      </c>
      <c r="M4763" s="47" t="str">
        <f aca="false">IF($A4763="","",INDEX($L$2:$L$5001,MATCH($A4763,$A$2:$A$5001,0)))</f>
        <v/>
      </c>
      <c r="N4763" s="48" t="str">
        <f aca="false">IF($A4763="","",IF(N(M4763)=0,"–",IF(M4763&lt;=Start!$D$20,"A",IF(M4763&lt;=Start!$D$21,"B","C"))))</f>
        <v/>
      </c>
      <c r="O4763" s="48" t="str">
        <f aca="false">IF($A4763="","",IF(NOT(ISNUMBER(F4763)),"Wert fehlt; ",IF(F4763&lt;=0,"Wert ist 0; ",""))&amp;IF(NOT(ISNUMBER(E4763)),"Bestand fehlt; ",IF(E4763&lt;0,"Bestand negativ; ",IF(E4763=0,"Nullbestand; ","")))&amp;IF(D4763="","Warengruppe fehlt; ","")&amp;IF(B4763="","Bezeichnung fehlt; ","")&amp;IF(COUNTIFS($A$2:$A$5001,$A4763,$C$2:$C$5001,C4763)&gt;1,"Artikel doppelt im selben Lager; ",""))</f>
        <v/>
      </c>
      <c r="P4763" s="47" t="n">
        <f aca="false">IF(OR($A4763="",D4763=""),0,IF(COUNTIF($D$2:D4763,D4763)=1,SUMIF($D$2:$D$5001,D4763,$H$2:$H$5001)+ROW()/10000000,0))</f>
        <v>0</v>
      </c>
      <c r="Q4763" s="47" t="n">
        <f aca="false">IF(OR($A4763="",C4763=""),0,IF(COUNTIF($C$2:C4763,C4763)=1,SUMIF($C$2:$C$5001,C4763,$H$2:$H$5001)+ROW()/10000000,0))</f>
        <v>0</v>
      </c>
    </row>
    <row r="4764" customFormat="false" ht="15" hidden="false" customHeight="false" outlineLevel="0" collapsed="false">
      <c r="A4764" s="43"/>
      <c r="B4764" s="44"/>
      <c r="C4764" s="44"/>
      <c r="D4764" s="44"/>
      <c r="E4764" s="44"/>
      <c r="F4764" s="44"/>
      <c r="G4764" s="44"/>
      <c r="H4764" s="46" t="str">
        <f aca="false">IF($A4764="","",IF(OR(NOT(ISNUMBER(E4764)),NOT(ISNUMBER(F4764))),"",MAX(0,E4764)*F4764))</f>
        <v/>
      </c>
      <c r="I4764" s="46" t="str">
        <f aca="false">IF($A4764="","",SUMIF($A$2:$A$5001,$A4764,$H$2:$H$5001))</f>
        <v/>
      </c>
      <c r="J4764" s="47" t="n">
        <f aca="false">IF($A4764="",0,IF(COUNTIF($A$2:A4764,$A4764)=1,1,0))</f>
        <v>0</v>
      </c>
      <c r="K4764" s="47" t="n">
        <f aca="false">IF(J4764=1,N(I4764)+ROW()/10000000,0)</f>
        <v>0</v>
      </c>
      <c r="L4764" s="47" t="str">
        <f aca="false">IF(AND(J4764=1,N(I4764)&gt;0),SUMIF($K$2:$K$5001,"&gt;="&amp;K4764,$I$2:$I$5001)/MAX(1,SUM($H$2:$H$5001)),"")</f>
        <v/>
      </c>
      <c r="M4764" s="47" t="str">
        <f aca="false">IF($A4764="","",INDEX($L$2:$L$5001,MATCH($A4764,$A$2:$A$5001,0)))</f>
        <v/>
      </c>
      <c r="N4764" s="48" t="str">
        <f aca="false">IF($A4764="","",IF(N(M4764)=0,"–",IF(M4764&lt;=Start!$D$20,"A",IF(M4764&lt;=Start!$D$21,"B","C"))))</f>
        <v/>
      </c>
      <c r="O4764" s="48" t="str">
        <f aca="false">IF($A4764="","",IF(NOT(ISNUMBER(F4764)),"Wert fehlt; ",IF(F4764&lt;=0,"Wert ist 0; ",""))&amp;IF(NOT(ISNUMBER(E4764)),"Bestand fehlt; ",IF(E4764&lt;0,"Bestand negativ; ",IF(E4764=0,"Nullbestand; ","")))&amp;IF(D4764="","Warengruppe fehlt; ","")&amp;IF(B4764="","Bezeichnung fehlt; ","")&amp;IF(COUNTIFS($A$2:$A$5001,$A4764,$C$2:$C$5001,C4764)&gt;1,"Artikel doppelt im selben Lager; ",""))</f>
        <v/>
      </c>
      <c r="P4764" s="47" t="n">
        <f aca="false">IF(OR($A4764="",D4764=""),0,IF(COUNTIF($D$2:D4764,D4764)=1,SUMIF($D$2:$D$5001,D4764,$H$2:$H$5001)+ROW()/10000000,0))</f>
        <v>0</v>
      </c>
      <c r="Q4764" s="47" t="n">
        <f aca="false">IF(OR($A4764="",C4764=""),0,IF(COUNTIF($C$2:C4764,C4764)=1,SUMIF($C$2:$C$5001,C4764,$H$2:$H$5001)+ROW()/10000000,0))</f>
        <v>0</v>
      </c>
    </row>
    <row r="4765" customFormat="false" ht="15" hidden="false" customHeight="false" outlineLevel="0" collapsed="false">
      <c r="A4765" s="43"/>
      <c r="B4765" s="44"/>
      <c r="C4765" s="44"/>
      <c r="D4765" s="44"/>
      <c r="E4765" s="44"/>
      <c r="F4765" s="44"/>
      <c r="G4765" s="44"/>
      <c r="H4765" s="46" t="str">
        <f aca="false">IF($A4765="","",IF(OR(NOT(ISNUMBER(E4765)),NOT(ISNUMBER(F4765))),"",MAX(0,E4765)*F4765))</f>
        <v/>
      </c>
      <c r="I4765" s="46" t="str">
        <f aca="false">IF($A4765="","",SUMIF($A$2:$A$5001,$A4765,$H$2:$H$5001))</f>
        <v/>
      </c>
      <c r="J4765" s="47" t="n">
        <f aca="false">IF($A4765="",0,IF(COUNTIF($A$2:A4765,$A4765)=1,1,0))</f>
        <v>0</v>
      </c>
      <c r="K4765" s="47" t="n">
        <f aca="false">IF(J4765=1,N(I4765)+ROW()/10000000,0)</f>
        <v>0</v>
      </c>
      <c r="L4765" s="47" t="str">
        <f aca="false">IF(AND(J4765=1,N(I4765)&gt;0),SUMIF($K$2:$K$5001,"&gt;="&amp;K4765,$I$2:$I$5001)/MAX(1,SUM($H$2:$H$5001)),"")</f>
        <v/>
      </c>
      <c r="M4765" s="47" t="str">
        <f aca="false">IF($A4765="","",INDEX($L$2:$L$5001,MATCH($A4765,$A$2:$A$5001,0)))</f>
        <v/>
      </c>
      <c r="N4765" s="48" t="str">
        <f aca="false">IF($A4765="","",IF(N(M4765)=0,"–",IF(M4765&lt;=Start!$D$20,"A",IF(M4765&lt;=Start!$D$21,"B","C"))))</f>
        <v/>
      </c>
      <c r="O4765" s="48" t="str">
        <f aca="false">IF($A4765="","",IF(NOT(ISNUMBER(F4765)),"Wert fehlt; ",IF(F4765&lt;=0,"Wert ist 0; ",""))&amp;IF(NOT(ISNUMBER(E4765)),"Bestand fehlt; ",IF(E4765&lt;0,"Bestand negativ; ",IF(E4765=0,"Nullbestand; ","")))&amp;IF(D4765="","Warengruppe fehlt; ","")&amp;IF(B4765="","Bezeichnung fehlt; ","")&amp;IF(COUNTIFS($A$2:$A$5001,$A4765,$C$2:$C$5001,C4765)&gt;1,"Artikel doppelt im selben Lager; ",""))</f>
        <v/>
      </c>
      <c r="P4765" s="47" t="n">
        <f aca="false">IF(OR($A4765="",D4765=""),0,IF(COUNTIF($D$2:D4765,D4765)=1,SUMIF($D$2:$D$5001,D4765,$H$2:$H$5001)+ROW()/10000000,0))</f>
        <v>0</v>
      </c>
      <c r="Q4765" s="47" t="n">
        <f aca="false">IF(OR($A4765="",C4765=""),0,IF(COUNTIF($C$2:C4765,C4765)=1,SUMIF($C$2:$C$5001,C4765,$H$2:$H$5001)+ROW()/10000000,0))</f>
        <v>0</v>
      </c>
    </row>
    <row r="4766" customFormat="false" ht="15" hidden="false" customHeight="false" outlineLevel="0" collapsed="false">
      <c r="A4766" s="43"/>
      <c r="B4766" s="44"/>
      <c r="C4766" s="44"/>
      <c r="D4766" s="44"/>
      <c r="E4766" s="44"/>
      <c r="F4766" s="44"/>
      <c r="G4766" s="44"/>
      <c r="H4766" s="46" t="str">
        <f aca="false">IF($A4766="","",IF(OR(NOT(ISNUMBER(E4766)),NOT(ISNUMBER(F4766))),"",MAX(0,E4766)*F4766))</f>
        <v/>
      </c>
      <c r="I4766" s="46" t="str">
        <f aca="false">IF($A4766="","",SUMIF($A$2:$A$5001,$A4766,$H$2:$H$5001))</f>
        <v/>
      </c>
      <c r="J4766" s="47" t="n">
        <f aca="false">IF($A4766="",0,IF(COUNTIF($A$2:A4766,$A4766)=1,1,0))</f>
        <v>0</v>
      </c>
      <c r="K4766" s="47" t="n">
        <f aca="false">IF(J4766=1,N(I4766)+ROW()/10000000,0)</f>
        <v>0</v>
      </c>
      <c r="L4766" s="47" t="str">
        <f aca="false">IF(AND(J4766=1,N(I4766)&gt;0),SUMIF($K$2:$K$5001,"&gt;="&amp;K4766,$I$2:$I$5001)/MAX(1,SUM($H$2:$H$5001)),"")</f>
        <v/>
      </c>
      <c r="M4766" s="47" t="str">
        <f aca="false">IF($A4766="","",INDEX($L$2:$L$5001,MATCH($A4766,$A$2:$A$5001,0)))</f>
        <v/>
      </c>
      <c r="N4766" s="48" t="str">
        <f aca="false">IF($A4766="","",IF(N(M4766)=0,"–",IF(M4766&lt;=Start!$D$20,"A",IF(M4766&lt;=Start!$D$21,"B","C"))))</f>
        <v/>
      </c>
      <c r="O4766" s="48" t="str">
        <f aca="false">IF($A4766="","",IF(NOT(ISNUMBER(F4766)),"Wert fehlt; ",IF(F4766&lt;=0,"Wert ist 0; ",""))&amp;IF(NOT(ISNUMBER(E4766)),"Bestand fehlt; ",IF(E4766&lt;0,"Bestand negativ; ",IF(E4766=0,"Nullbestand; ","")))&amp;IF(D4766="","Warengruppe fehlt; ","")&amp;IF(B4766="","Bezeichnung fehlt; ","")&amp;IF(COUNTIFS($A$2:$A$5001,$A4766,$C$2:$C$5001,C4766)&gt;1,"Artikel doppelt im selben Lager; ",""))</f>
        <v/>
      </c>
      <c r="P4766" s="47" t="n">
        <f aca="false">IF(OR($A4766="",D4766=""),0,IF(COUNTIF($D$2:D4766,D4766)=1,SUMIF($D$2:$D$5001,D4766,$H$2:$H$5001)+ROW()/10000000,0))</f>
        <v>0</v>
      </c>
      <c r="Q4766" s="47" t="n">
        <f aca="false">IF(OR($A4766="",C4766=""),0,IF(COUNTIF($C$2:C4766,C4766)=1,SUMIF($C$2:$C$5001,C4766,$H$2:$H$5001)+ROW()/10000000,0))</f>
        <v>0</v>
      </c>
    </row>
    <row r="4767" customFormat="false" ht="15" hidden="false" customHeight="false" outlineLevel="0" collapsed="false">
      <c r="A4767" s="43"/>
      <c r="B4767" s="44"/>
      <c r="C4767" s="44"/>
      <c r="D4767" s="44"/>
      <c r="E4767" s="44"/>
      <c r="F4767" s="44"/>
      <c r="G4767" s="44"/>
      <c r="H4767" s="46" t="str">
        <f aca="false">IF($A4767="","",IF(OR(NOT(ISNUMBER(E4767)),NOT(ISNUMBER(F4767))),"",MAX(0,E4767)*F4767))</f>
        <v/>
      </c>
      <c r="I4767" s="46" t="str">
        <f aca="false">IF($A4767="","",SUMIF($A$2:$A$5001,$A4767,$H$2:$H$5001))</f>
        <v/>
      </c>
      <c r="J4767" s="47" t="n">
        <f aca="false">IF($A4767="",0,IF(COUNTIF($A$2:A4767,$A4767)=1,1,0))</f>
        <v>0</v>
      </c>
      <c r="K4767" s="47" t="n">
        <f aca="false">IF(J4767=1,N(I4767)+ROW()/10000000,0)</f>
        <v>0</v>
      </c>
      <c r="L4767" s="47" t="str">
        <f aca="false">IF(AND(J4767=1,N(I4767)&gt;0),SUMIF($K$2:$K$5001,"&gt;="&amp;K4767,$I$2:$I$5001)/MAX(1,SUM($H$2:$H$5001)),"")</f>
        <v/>
      </c>
      <c r="M4767" s="47" t="str">
        <f aca="false">IF($A4767="","",INDEX($L$2:$L$5001,MATCH($A4767,$A$2:$A$5001,0)))</f>
        <v/>
      </c>
      <c r="N4767" s="48" t="str">
        <f aca="false">IF($A4767="","",IF(N(M4767)=0,"–",IF(M4767&lt;=Start!$D$20,"A",IF(M4767&lt;=Start!$D$21,"B","C"))))</f>
        <v/>
      </c>
      <c r="O4767" s="48" t="str">
        <f aca="false">IF($A4767="","",IF(NOT(ISNUMBER(F4767)),"Wert fehlt; ",IF(F4767&lt;=0,"Wert ist 0; ",""))&amp;IF(NOT(ISNUMBER(E4767)),"Bestand fehlt; ",IF(E4767&lt;0,"Bestand negativ; ",IF(E4767=0,"Nullbestand; ","")))&amp;IF(D4767="","Warengruppe fehlt; ","")&amp;IF(B4767="","Bezeichnung fehlt; ","")&amp;IF(COUNTIFS($A$2:$A$5001,$A4767,$C$2:$C$5001,C4767)&gt;1,"Artikel doppelt im selben Lager; ",""))</f>
        <v/>
      </c>
      <c r="P4767" s="47" t="n">
        <f aca="false">IF(OR($A4767="",D4767=""),0,IF(COUNTIF($D$2:D4767,D4767)=1,SUMIF($D$2:$D$5001,D4767,$H$2:$H$5001)+ROW()/10000000,0))</f>
        <v>0</v>
      </c>
      <c r="Q4767" s="47" t="n">
        <f aca="false">IF(OR($A4767="",C4767=""),0,IF(COUNTIF($C$2:C4767,C4767)=1,SUMIF($C$2:$C$5001,C4767,$H$2:$H$5001)+ROW()/10000000,0))</f>
        <v>0</v>
      </c>
    </row>
    <row r="4768" customFormat="false" ht="15" hidden="false" customHeight="false" outlineLevel="0" collapsed="false">
      <c r="A4768" s="43"/>
      <c r="B4768" s="44"/>
      <c r="C4768" s="44"/>
      <c r="D4768" s="44"/>
      <c r="E4768" s="44"/>
      <c r="F4768" s="44"/>
      <c r="G4768" s="44"/>
      <c r="H4768" s="46" t="str">
        <f aca="false">IF($A4768="","",IF(OR(NOT(ISNUMBER(E4768)),NOT(ISNUMBER(F4768))),"",MAX(0,E4768)*F4768))</f>
        <v/>
      </c>
      <c r="I4768" s="46" t="str">
        <f aca="false">IF($A4768="","",SUMIF($A$2:$A$5001,$A4768,$H$2:$H$5001))</f>
        <v/>
      </c>
      <c r="J4768" s="47" t="n">
        <f aca="false">IF($A4768="",0,IF(COUNTIF($A$2:A4768,$A4768)=1,1,0))</f>
        <v>0</v>
      </c>
      <c r="K4768" s="47" t="n">
        <f aca="false">IF(J4768=1,N(I4768)+ROW()/10000000,0)</f>
        <v>0</v>
      </c>
      <c r="L4768" s="47" t="str">
        <f aca="false">IF(AND(J4768=1,N(I4768)&gt;0),SUMIF($K$2:$K$5001,"&gt;="&amp;K4768,$I$2:$I$5001)/MAX(1,SUM($H$2:$H$5001)),"")</f>
        <v/>
      </c>
      <c r="M4768" s="47" t="str">
        <f aca="false">IF($A4768="","",INDEX($L$2:$L$5001,MATCH($A4768,$A$2:$A$5001,0)))</f>
        <v/>
      </c>
      <c r="N4768" s="48" t="str">
        <f aca="false">IF($A4768="","",IF(N(M4768)=0,"–",IF(M4768&lt;=Start!$D$20,"A",IF(M4768&lt;=Start!$D$21,"B","C"))))</f>
        <v/>
      </c>
      <c r="O4768" s="48" t="str">
        <f aca="false">IF($A4768="","",IF(NOT(ISNUMBER(F4768)),"Wert fehlt; ",IF(F4768&lt;=0,"Wert ist 0; ",""))&amp;IF(NOT(ISNUMBER(E4768)),"Bestand fehlt; ",IF(E4768&lt;0,"Bestand negativ; ",IF(E4768=0,"Nullbestand; ","")))&amp;IF(D4768="","Warengruppe fehlt; ","")&amp;IF(B4768="","Bezeichnung fehlt; ","")&amp;IF(COUNTIFS($A$2:$A$5001,$A4768,$C$2:$C$5001,C4768)&gt;1,"Artikel doppelt im selben Lager; ",""))</f>
        <v/>
      </c>
      <c r="P4768" s="47" t="n">
        <f aca="false">IF(OR($A4768="",D4768=""),0,IF(COUNTIF($D$2:D4768,D4768)=1,SUMIF($D$2:$D$5001,D4768,$H$2:$H$5001)+ROW()/10000000,0))</f>
        <v>0</v>
      </c>
      <c r="Q4768" s="47" t="n">
        <f aca="false">IF(OR($A4768="",C4768=""),0,IF(COUNTIF($C$2:C4768,C4768)=1,SUMIF($C$2:$C$5001,C4768,$H$2:$H$5001)+ROW()/10000000,0))</f>
        <v>0</v>
      </c>
    </row>
    <row r="4769" customFormat="false" ht="15" hidden="false" customHeight="false" outlineLevel="0" collapsed="false">
      <c r="A4769" s="43"/>
      <c r="B4769" s="44"/>
      <c r="C4769" s="44"/>
      <c r="D4769" s="44"/>
      <c r="E4769" s="44"/>
      <c r="F4769" s="44"/>
      <c r="G4769" s="44"/>
      <c r="H4769" s="46" t="str">
        <f aca="false">IF($A4769="","",IF(OR(NOT(ISNUMBER(E4769)),NOT(ISNUMBER(F4769))),"",MAX(0,E4769)*F4769))</f>
        <v/>
      </c>
      <c r="I4769" s="46" t="str">
        <f aca="false">IF($A4769="","",SUMIF($A$2:$A$5001,$A4769,$H$2:$H$5001))</f>
        <v/>
      </c>
      <c r="J4769" s="47" t="n">
        <f aca="false">IF($A4769="",0,IF(COUNTIF($A$2:A4769,$A4769)=1,1,0))</f>
        <v>0</v>
      </c>
      <c r="K4769" s="47" t="n">
        <f aca="false">IF(J4769=1,N(I4769)+ROW()/10000000,0)</f>
        <v>0</v>
      </c>
      <c r="L4769" s="47" t="str">
        <f aca="false">IF(AND(J4769=1,N(I4769)&gt;0),SUMIF($K$2:$K$5001,"&gt;="&amp;K4769,$I$2:$I$5001)/MAX(1,SUM($H$2:$H$5001)),"")</f>
        <v/>
      </c>
      <c r="M4769" s="47" t="str">
        <f aca="false">IF($A4769="","",INDEX($L$2:$L$5001,MATCH($A4769,$A$2:$A$5001,0)))</f>
        <v/>
      </c>
      <c r="N4769" s="48" t="str">
        <f aca="false">IF($A4769="","",IF(N(M4769)=0,"–",IF(M4769&lt;=Start!$D$20,"A",IF(M4769&lt;=Start!$D$21,"B","C"))))</f>
        <v/>
      </c>
      <c r="O4769" s="48" t="str">
        <f aca="false">IF($A4769="","",IF(NOT(ISNUMBER(F4769)),"Wert fehlt; ",IF(F4769&lt;=0,"Wert ist 0; ",""))&amp;IF(NOT(ISNUMBER(E4769)),"Bestand fehlt; ",IF(E4769&lt;0,"Bestand negativ; ",IF(E4769=0,"Nullbestand; ","")))&amp;IF(D4769="","Warengruppe fehlt; ","")&amp;IF(B4769="","Bezeichnung fehlt; ","")&amp;IF(COUNTIFS($A$2:$A$5001,$A4769,$C$2:$C$5001,C4769)&gt;1,"Artikel doppelt im selben Lager; ",""))</f>
        <v/>
      </c>
      <c r="P4769" s="47" t="n">
        <f aca="false">IF(OR($A4769="",D4769=""),0,IF(COUNTIF($D$2:D4769,D4769)=1,SUMIF($D$2:$D$5001,D4769,$H$2:$H$5001)+ROW()/10000000,0))</f>
        <v>0</v>
      </c>
      <c r="Q4769" s="47" t="n">
        <f aca="false">IF(OR($A4769="",C4769=""),0,IF(COUNTIF($C$2:C4769,C4769)=1,SUMIF($C$2:$C$5001,C4769,$H$2:$H$5001)+ROW()/10000000,0))</f>
        <v>0</v>
      </c>
    </row>
    <row r="4770" customFormat="false" ht="15" hidden="false" customHeight="false" outlineLevel="0" collapsed="false">
      <c r="A4770" s="43"/>
      <c r="B4770" s="44"/>
      <c r="C4770" s="44"/>
      <c r="D4770" s="44"/>
      <c r="E4770" s="44"/>
      <c r="F4770" s="44"/>
      <c r="G4770" s="44"/>
      <c r="H4770" s="46" t="str">
        <f aca="false">IF($A4770="","",IF(OR(NOT(ISNUMBER(E4770)),NOT(ISNUMBER(F4770))),"",MAX(0,E4770)*F4770))</f>
        <v/>
      </c>
      <c r="I4770" s="46" t="str">
        <f aca="false">IF($A4770="","",SUMIF($A$2:$A$5001,$A4770,$H$2:$H$5001))</f>
        <v/>
      </c>
      <c r="J4770" s="47" t="n">
        <f aca="false">IF($A4770="",0,IF(COUNTIF($A$2:A4770,$A4770)=1,1,0))</f>
        <v>0</v>
      </c>
      <c r="K4770" s="47" t="n">
        <f aca="false">IF(J4770=1,N(I4770)+ROW()/10000000,0)</f>
        <v>0</v>
      </c>
      <c r="L4770" s="47" t="str">
        <f aca="false">IF(AND(J4770=1,N(I4770)&gt;0),SUMIF($K$2:$K$5001,"&gt;="&amp;K4770,$I$2:$I$5001)/MAX(1,SUM($H$2:$H$5001)),"")</f>
        <v/>
      </c>
      <c r="M4770" s="47" t="str">
        <f aca="false">IF($A4770="","",INDEX($L$2:$L$5001,MATCH($A4770,$A$2:$A$5001,0)))</f>
        <v/>
      </c>
      <c r="N4770" s="48" t="str">
        <f aca="false">IF($A4770="","",IF(N(M4770)=0,"–",IF(M4770&lt;=Start!$D$20,"A",IF(M4770&lt;=Start!$D$21,"B","C"))))</f>
        <v/>
      </c>
      <c r="O4770" s="48" t="str">
        <f aca="false">IF($A4770="","",IF(NOT(ISNUMBER(F4770)),"Wert fehlt; ",IF(F4770&lt;=0,"Wert ist 0; ",""))&amp;IF(NOT(ISNUMBER(E4770)),"Bestand fehlt; ",IF(E4770&lt;0,"Bestand negativ; ",IF(E4770=0,"Nullbestand; ","")))&amp;IF(D4770="","Warengruppe fehlt; ","")&amp;IF(B4770="","Bezeichnung fehlt; ","")&amp;IF(COUNTIFS($A$2:$A$5001,$A4770,$C$2:$C$5001,C4770)&gt;1,"Artikel doppelt im selben Lager; ",""))</f>
        <v/>
      </c>
      <c r="P4770" s="47" t="n">
        <f aca="false">IF(OR($A4770="",D4770=""),0,IF(COUNTIF($D$2:D4770,D4770)=1,SUMIF($D$2:$D$5001,D4770,$H$2:$H$5001)+ROW()/10000000,0))</f>
        <v>0</v>
      </c>
      <c r="Q4770" s="47" t="n">
        <f aca="false">IF(OR($A4770="",C4770=""),0,IF(COUNTIF($C$2:C4770,C4770)=1,SUMIF($C$2:$C$5001,C4770,$H$2:$H$5001)+ROW()/10000000,0))</f>
        <v>0</v>
      </c>
    </row>
    <row r="4771" customFormat="false" ht="15" hidden="false" customHeight="false" outlineLevel="0" collapsed="false">
      <c r="A4771" s="43"/>
      <c r="B4771" s="44"/>
      <c r="C4771" s="44"/>
      <c r="D4771" s="44"/>
      <c r="E4771" s="44"/>
      <c r="F4771" s="44"/>
      <c r="G4771" s="44"/>
      <c r="H4771" s="46" t="str">
        <f aca="false">IF($A4771="","",IF(OR(NOT(ISNUMBER(E4771)),NOT(ISNUMBER(F4771))),"",MAX(0,E4771)*F4771))</f>
        <v/>
      </c>
      <c r="I4771" s="46" t="str">
        <f aca="false">IF($A4771="","",SUMIF($A$2:$A$5001,$A4771,$H$2:$H$5001))</f>
        <v/>
      </c>
      <c r="J4771" s="47" t="n">
        <f aca="false">IF($A4771="",0,IF(COUNTIF($A$2:A4771,$A4771)=1,1,0))</f>
        <v>0</v>
      </c>
      <c r="K4771" s="47" t="n">
        <f aca="false">IF(J4771=1,N(I4771)+ROW()/10000000,0)</f>
        <v>0</v>
      </c>
      <c r="L4771" s="47" t="str">
        <f aca="false">IF(AND(J4771=1,N(I4771)&gt;0),SUMIF($K$2:$K$5001,"&gt;="&amp;K4771,$I$2:$I$5001)/MAX(1,SUM($H$2:$H$5001)),"")</f>
        <v/>
      </c>
      <c r="M4771" s="47" t="str">
        <f aca="false">IF($A4771="","",INDEX($L$2:$L$5001,MATCH($A4771,$A$2:$A$5001,0)))</f>
        <v/>
      </c>
      <c r="N4771" s="48" t="str">
        <f aca="false">IF($A4771="","",IF(N(M4771)=0,"–",IF(M4771&lt;=Start!$D$20,"A",IF(M4771&lt;=Start!$D$21,"B","C"))))</f>
        <v/>
      </c>
      <c r="O4771" s="48" t="str">
        <f aca="false">IF($A4771="","",IF(NOT(ISNUMBER(F4771)),"Wert fehlt; ",IF(F4771&lt;=0,"Wert ist 0; ",""))&amp;IF(NOT(ISNUMBER(E4771)),"Bestand fehlt; ",IF(E4771&lt;0,"Bestand negativ; ",IF(E4771=0,"Nullbestand; ","")))&amp;IF(D4771="","Warengruppe fehlt; ","")&amp;IF(B4771="","Bezeichnung fehlt; ","")&amp;IF(COUNTIFS($A$2:$A$5001,$A4771,$C$2:$C$5001,C4771)&gt;1,"Artikel doppelt im selben Lager; ",""))</f>
        <v/>
      </c>
      <c r="P4771" s="47" t="n">
        <f aca="false">IF(OR($A4771="",D4771=""),0,IF(COUNTIF($D$2:D4771,D4771)=1,SUMIF($D$2:$D$5001,D4771,$H$2:$H$5001)+ROW()/10000000,0))</f>
        <v>0</v>
      </c>
      <c r="Q4771" s="47" t="n">
        <f aca="false">IF(OR($A4771="",C4771=""),0,IF(COUNTIF($C$2:C4771,C4771)=1,SUMIF($C$2:$C$5001,C4771,$H$2:$H$5001)+ROW()/10000000,0))</f>
        <v>0</v>
      </c>
    </row>
    <row r="4772" customFormat="false" ht="15" hidden="false" customHeight="false" outlineLevel="0" collapsed="false">
      <c r="A4772" s="43"/>
      <c r="B4772" s="44"/>
      <c r="C4772" s="44"/>
      <c r="D4772" s="44"/>
      <c r="E4772" s="44"/>
      <c r="F4772" s="44"/>
      <c r="G4772" s="44"/>
      <c r="H4772" s="46" t="str">
        <f aca="false">IF($A4772="","",IF(OR(NOT(ISNUMBER(E4772)),NOT(ISNUMBER(F4772))),"",MAX(0,E4772)*F4772))</f>
        <v/>
      </c>
      <c r="I4772" s="46" t="str">
        <f aca="false">IF($A4772="","",SUMIF($A$2:$A$5001,$A4772,$H$2:$H$5001))</f>
        <v/>
      </c>
      <c r="J4772" s="47" t="n">
        <f aca="false">IF($A4772="",0,IF(COUNTIF($A$2:A4772,$A4772)=1,1,0))</f>
        <v>0</v>
      </c>
      <c r="K4772" s="47" t="n">
        <f aca="false">IF(J4772=1,N(I4772)+ROW()/10000000,0)</f>
        <v>0</v>
      </c>
      <c r="L4772" s="47" t="str">
        <f aca="false">IF(AND(J4772=1,N(I4772)&gt;0),SUMIF($K$2:$K$5001,"&gt;="&amp;K4772,$I$2:$I$5001)/MAX(1,SUM($H$2:$H$5001)),"")</f>
        <v/>
      </c>
      <c r="M4772" s="47" t="str">
        <f aca="false">IF($A4772="","",INDEX($L$2:$L$5001,MATCH($A4772,$A$2:$A$5001,0)))</f>
        <v/>
      </c>
      <c r="N4772" s="48" t="str">
        <f aca="false">IF($A4772="","",IF(N(M4772)=0,"–",IF(M4772&lt;=Start!$D$20,"A",IF(M4772&lt;=Start!$D$21,"B","C"))))</f>
        <v/>
      </c>
      <c r="O4772" s="48" t="str">
        <f aca="false">IF($A4772="","",IF(NOT(ISNUMBER(F4772)),"Wert fehlt; ",IF(F4772&lt;=0,"Wert ist 0; ",""))&amp;IF(NOT(ISNUMBER(E4772)),"Bestand fehlt; ",IF(E4772&lt;0,"Bestand negativ; ",IF(E4772=0,"Nullbestand; ","")))&amp;IF(D4772="","Warengruppe fehlt; ","")&amp;IF(B4772="","Bezeichnung fehlt; ","")&amp;IF(COUNTIFS($A$2:$A$5001,$A4772,$C$2:$C$5001,C4772)&gt;1,"Artikel doppelt im selben Lager; ",""))</f>
        <v/>
      </c>
      <c r="P4772" s="47" t="n">
        <f aca="false">IF(OR($A4772="",D4772=""),0,IF(COUNTIF($D$2:D4772,D4772)=1,SUMIF($D$2:$D$5001,D4772,$H$2:$H$5001)+ROW()/10000000,0))</f>
        <v>0</v>
      </c>
      <c r="Q4772" s="47" t="n">
        <f aca="false">IF(OR($A4772="",C4772=""),0,IF(COUNTIF($C$2:C4772,C4772)=1,SUMIF($C$2:$C$5001,C4772,$H$2:$H$5001)+ROW()/10000000,0))</f>
        <v>0</v>
      </c>
    </row>
    <row r="4773" customFormat="false" ht="15" hidden="false" customHeight="false" outlineLevel="0" collapsed="false">
      <c r="A4773" s="43"/>
      <c r="B4773" s="44"/>
      <c r="C4773" s="44"/>
      <c r="D4773" s="44"/>
      <c r="E4773" s="44"/>
      <c r="F4773" s="44"/>
      <c r="G4773" s="44"/>
      <c r="H4773" s="46" t="str">
        <f aca="false">IF($A4773="","",IF(OR(NOT(ISNUMBER(E4773)),NOT(ISNUMBER(F4773))),"",MAX(0,E4773)*F4773))</f>
        <v/>
      </c>
      <c r="I4773" s="46" t="str">
        <f aca="false">IF($A4773="","",SUMIF($A$2:$A$5001,$A4773,$H$2:$H$5001))</f>
        <v/>
      </c>
      <c r="J4773" s="47" t="n">
        <f aca="false">IF($A4773="",0,IF(COUNTIF($A$2:A4773,$A4773)=1,1,0))</f>
        <v>0</v>
      </c>
      <c r="K4773" s="47" t="n">
        <f aca="false">IF(J4773=1,N(I4773)+ROW()/10000000,0)</f>
        <v>0</v>
      </c>
      <c r="L4773" s="47" t="str">
        <f aca="false">IF(AND(J4773=1,N(I4773)&gt;0),SUMIF($K$2:$K$5001,"&gt;="&amp;K4773,$I$2:$I$5001)/MAX(1,SUM($H$2:$H$5001)),"")</f>
        <v/>
      </c>
      <c r="M4773" s="47" t="str">
        <f aca="false">IF($A4773="","",INDEX($L$2:$L$5001,MATCH($A4773,$A$2:$A$5001,0)))</f>
        <v/>
      </c>
      <c r="N4773" s="48" t="str">
        <f aca="false">IF($A4773="","",IF(N(M4773)=0,"–",IF(M4773&lt;=Start!$D$20,"A",IF(M4773&lt;=Start!$D$21,"B","C"))))</f>
        <v/>
      </c>
      <c r="O4773" s="48" t="str">
        <f aca="false">IF($A4773="","",IF(NOT(ISNUMBER(F4773)),"Wert fehlt; ",IF(F4773&lt;=0,"Wert ist 0; ",""))&amp;IF(NOT(ISNUMBER(E4773)),"Bestand fehlt; ",IF(E4773&lt;0,"Bestand negativ; ",IF(E4773=0,"Nullbestand; ","")))&amp;IF(D4773="","Warengruppe fehlt; ","")&amp;IF(B4773="","Bezeichnung fehlt; ","")&amp;IF(COUNTIFS($A$2:$A$5001,$A4773,$C$2:$C$5001,C4773)&gt;1,"Artikel doppelt im selben Lager; ",""))</f>
        <v/>
      </c>
      <c r="P4773" s="47" t="n">
        <f aca="false">IF(OR($A4773="",D4773=""),0,IF(COUNTIF($D$2:D4773,D4773)=1,SUMIF($D$2:$D$5001,D4773,$H$2:$H$5001)+ROW()/10000000,0))</f>
        <v>0</v>
      </c>
      <c r="Q4773" s="47" t="n">
        <f aca="false">IF(OR($A4773="",C4773=""),0,IF(COUNTIF($C$2:C4773,C4773)=1,SUMIF($C$2:$C$5001,C4773,$H$2:$H$5001)+ROW()/10000000,0))</f>
        <v>0</v>
      </c>
    </row>
    <row r="4774" customFormat="false" ht="15" hidden="false" customHeight="false" outlineLevel="0" collapsed="false">
      <c r="A4774" s="43"/>
      <c r="B4774" s="44"/>
      <c r="C4774" s="44"/>
      <c r="D4774" s="44"/>
      <c r="E4774" s="44"/>
      <c r="F4774" s="44"/>
      <c r="G4774" s="44"/>
      <c r="H4774" s="46" t="str">
        <f aca="false">IF($A4774="","",IF(OR(NOT(ISNUMBER(E4774)),NOT(ISNUMBER(F4774))),"",MAX(0,E4774)*F4774))</f>
        <v/>
      </c>
      <c r="I4774" s="46" t="str">
        <f aca="false">IF($A4774="","",SUMIF($A$2:$A$5001,$A4774,$H$2:$H$5001))</f>
        <v/>
      </c>
      <c r="J4774" s="47" t="n">
        <f aca="false">IF($A4774="",0,IF(COUNTIF($A$2:A4774,$A4774)=1,1,0))</f>
        <v>0</v>
      </c>
      <c r="K4774" s="47" t="n">
        <f aca="false">IF(J4774=1,N(I4774)+ROW()/10000000,0)</f>
        <v>0</v>
      </c>
      <c r="L4774" s="47" t="str">
        <f aca="false">IF(AND(J4774=1,N(I4774)&gt;0),SUMIF($K$2:$K$5001,"&gt;="&amp;K4774,$I$2:$I$5001)/MAX(1,SUM($H$2:$H$5001)),"")</f>
        <v/>
      </c>
      <c r="M4774" s="47" t="str">
        <f aca="false">IF($A4774="","",INDEX($L$2:$L$5001,MATCH($A4774,$A$2:$A$5001,0)))</f>
        <v/>
      </c>
      <c r="N4774" s="48" t="str">
        <f aca="false">IF($A4774="","",IF(N(M4774)=0,"–",IF(M4774&lt;=Start!$D$20,"A",IF(M4774&lt;=Start!$D$21,"B","C"))))</f>
        <v/>
      </c>
      <c r="O4774" s="48" t="str">
        <f aca="false">IF($A4774="","",IF(NOT(ISNUMBER(F4774)),"Wert fehlt; ",IF(F4774&lt;=0,"Wert ist 0; ",""))&amp;IF(NOT(ISNUMBER(E4774)),"Bestand fehlt; ",IF(E4774&lt;0,"Bestand negativ; ",IF(E4774=0,"Nullbestand; ","")))&amp;IF(D4774="","Warengruppe fehlt; ","")&amp;IF(B4774="","Bezeichnung fehlt; ","")&amp;IF(COUNTIFS($A$2:$A$5001,$A4774,$C$2:$C$5001,C4774)&gt;1,"Artikel doppelt im selben Lager; ",""))</f>
        <v/>
      </c>
      <c r="P4774" s="47" t="n">
        <f aca="false">IF(OR($A4774="",D4774=""),0,IF(COUNTIF($D$2:D4774,D4774)=1,SUMIF($D$2:$D$5001,D4774,$H$2:$H$5001)+ROW()/10000000,0))</f>
        <v>0</v>
      </c>
      <c r="Q4774" s="47" t="n">
        <f aca="false">IF(OR($A4774="",C4774=""),0,IF(COUNTIF($C$2:C4774,C4774)=1,SUMIF($C$2:$C$5001,C4774,$H$2:$H$5001)+ROW()/10000000,0))</f>
        <v>0</v>
      </c>
    </row>
    <row r="4775" customFormat="false" ht="15" hidden="false" customHeight="false" outlineLevel="0" collapsed="false">
      <c r="A4775" s="43"/>
      <c r="B4775" s="44"/>
      <c r="C4775" s="44"/>
      <c r="D4775" s="44"/>
      <c r="E4775" s="44"/>
      <c r="F4775" s="44"/>
      <c r="G4775" s="44"/>
      <c r="H4775" s="46" t="str">
        <f aca="false">IF($A4775="","",IF(OR(NOT(ISNUMBER(E4775)),NOT(ISNUMBER(F4775))),"",MAX(0,E4775)*F4775))</f>
        <v/>
      </c>
      <c r="I4775" s="46" t="str">
        <f aca="false">IF($A4775="","",SUMIF($A$2:$A$5001,$A4775,$H$2:$H$5001))</f>
        <v/>
      </c>
      <c r="J4775" s="47" t="n">
        <f aca="false">IF($A4775="",0,IF(COUNTIF($A$2:A4775,$A4775)=1,1,0))</f>
        <v>0</v>
      </c>
      <c r="K4775" s="47" t="n">
        <f aca="false">IF(J4775=1,N(I4775)+ROW()/10000000,0)</f>
        <v>0</v>
      </c>
      <c r="L4775" s="47" t="str">
        <f aca="false">IF(AND(J4775=1,N(I4775)&gt;0),SUMIF($K$2:$K$5001,"&gt;="&amp;K4775,$I$2:$I$5001)/MAX(1,SUM($H$2:$H$5001)),"")</f>
        <v/>
      </c>
      <c r="M4775" s="47" t="str">
        <f aca="false">IF($A4775="","",INDEX($L$2:$L$5001,MATCH($A4775,$A$2:$A$5001,0)))</f>
        <v/>
      </c>
      <c r="N4775" s="48" t="str">
        <f aca="false">IF($A4775="","",IF(N(M4775)=0,"–",IF(M4775&lt;=Start!$D$20,"A",IF(M4775&lt;=Start!$D$21,"B","C"))))</f>
        <v/>
      </c>
      <c r="O4775" s="48" t="str">
        <f aca="false">IF($A4775="","",IF(NOT(ISNUMBER(F4775)),"Wert fehlt; ",IF(F4775&lt;=0,"Wert ist 0; ",""))&amp;IF(NOT(ISNUMBER(E4775)),"Bestand fehlt; ",IF(E4775&lt;0,"Bestand negativ; ",IF(E4775=0,"Nullbestand; ","")))&amp;IF(D4775="","Warengruppe fehlt; ","")&amp;IF(B4775="","Bezeichnung fehlt; ","")&amp;IF(COUNTIFS($A$2:$A$5001,$A4775,$C$2:$C$5001,C4775)&gt;1,"Artikel doppelt im selben Lager; ",""))</f>
        <v/>
      </c>
      <c r="P4775" s="47" t="n">
        <f aca="false">IF(OR($A4775="",D4775=""),0,IF(COUNTIF($D$2:D4775,D4775)=1,SUMIF($D$2:$D$5001,D4775,$H$2:$H$5001)+ROW()/10000000,0))</f>
        <v>0</v>
      </c>
      <c r="Q4775" s="47" t="n">
        <f aca="false">IF(OR($A4775="",C4775=""),0,IF(COUNTIF($C$2:C4775,C4775)=1,SUMIF($C$2:$C$5001,C4775,$H$2:$H$5001)+ROW()/10000000,0))</f>
        <v>0</v>
      </c>
    </row>
    <row r="4776" customFormat="false" ht="15" hidden="false" customHeight="false" outlineLevel="0" collapsed="false">
      <c r="A4776" s="43"/>
      <c r="B4776" s="44"/>
      <c r="C4776" s="44"/>
      <c r="D4776" s="44"/>
      <c r="E4776" s="44"/>
      <c r="F4776" s="44"/>
      <c r="G4776" s="44"/>
      <c r="H4776" s="46" t="str">
        <f aca="false">IF($A4776="","",IF(OR(NOT(ISNUMBER(E4776)),NOT(ISNUMBER(F4776))),"",MAX(0,E4776)*F4776))</f>
        <v/>
      </c>
      <c r="I4776" s="46" t="str">
        <f aca="false">IF($A4776="","",SUMIF($A$2:$A$5001,$A4776,$H$2:$H$5001))</f>
        <v/>
      </c>
      <c r="J4776" s="47" t="n">
        <f aca="false">IF($A4776="",0,IF(COUNTIF($A$2:A4776,$A4776)=1,1,0))</f>
        <v>0</v>
      </c>
      <c r="K4776" s="47" t="n">
        <f aca="false">IF(J4776=1,N(I4776)+ROW()/10000000,0)</f>
        <v>0</v>
      </c>
      <c r="L4776" s="47" t="str">
        <f aca="false">IF(AND(J4776=1,N(I4776)&gt;0),SUMIF($K$2:$K$5001,"&gt;="&amp;K4776,$I$2:$I$5001)/MAX(1,SUM($H$2:$H$5001)),"")</f>
        <v/>
      </c>
      <c r="M4776" s="47" t="str">
        <f aca="false">IF($A4776="","",INDEX($L$2:$L$5001,MATCH($A4776,$A$2:$A$5001,0)))</f>
        <v/>
      </c>
      <c r="N4776" s="48" t="str">
        <f aca="false">IF($A4776="","",IF(N(M4776)=0,"–",IF(M4776&lt;=Start!$D$20,"A",IF(M4776&lt;=Start!$D$21,"B","C"))))</f>
        <v/>
      </c>
      <c r="O4776" s="48" t="str">
        <f aca="false">IF($A4776="","",IF(NOT(ISNUMBER(F4776)),"Wert fehlt; ",IF(F4776&lt;=0,"Wert ist 0; ",""))&amp;IF(NOT(ISNUMBER(E4776)),"Bestand fehlt; ",IF(E4776&lt;0,"Bestand negativ; ",IF(E4776=0,"Nullbestand; ","")))&amp;IF(D4776="","Warengruppe fehlt; ","")&amp;IF(B4776="","Bezeichnung fehlt; ","")&amp;IF(COUNTIFS($A$2:$A$5001,$A4776,$C$2:$C$5001,C4776)&gt;1,"Artikel doppelt im selben Lager; ",""))</f>
        <v/>
      </c>
      <c r="P4776" s="47" t="n">
        <f aca="false">IF(OR($A4776="",D4776=""),0,IF(COUNTIF($D$2:D4776,D4776)=1,SUMIF($D$2:$D$5001,D4776,$H$2:$H$5001)+ROW()/10000000,0))</f>
        <v>0</v>
      </c>
      <c r="Q4776" s="47" t="n">
        <f aca="false">IF(OR($A4776="",C4776=""),0,IF(COUNTIF($C$2:C4776,C4776)=1,SUMIF($C$2:$C$5001,C4776,$H$2:$H$5001)+ROW()/10000000,0))</f>
        <v>0</v>
      </c>
    </row>
    <row r="4777" customFormat="false" ht="15" hidden="false" customHeight="false" outlineLevel="0" collapsed="false">
      <c r="A4777" s="43"/>
      <c r="B4777" s="44"/>
      <c r="C4777" s="44"/>
      <c r="D4777" s="44"/>
      <c r="E4777" s="44"/>
      <c r="F4777" s="44"/>
      <c r="G4777" s="44"/>
      <c r="H4777" s="46" t="str">
        <f aca="false">IF($A4777="","",IF(OR(NOT(ISNUMBER(E4777)),NOT(ISNUMBER(F4777))),"",MAX(0,E4777)*F4777))</f>
        <v/>
      </c>
      <c r="I4777" s="46" t="str">
        <f aca="false">IF($A4777="","",SUMIF($A$2:$A$5001,$A4777,$H$2:$H$5001))</f>
        <v/>
      </c>
      <c r="J4777" s="47" t="n">
        <f aca="false">IF($A4777="",0,IF(COUNTIF($A$2:A4777,$A4777)=1,1,0))</f>
        <v>0</v>
      </c>
      <c r="K4777" s="47" t="n">
        <f aca="false">IF(J4777=1,N(I4777)+ROW()/10000000,0)</f>
        <v>0</v>
      </c>
      <c r="L4777" s="47" t="str">
        <f aca="false">IF(AND(J4777=1,N(I4777)&gt;0),SUMIF($K$2:$K$5001,"&gt;="&amp;K4777,$I$2:$I$5001)/MAX(1,SUM($H$2:$H$5001)),"")</f>
        <v/>
      </c>
      <c r="M4777" s="47" t="str">
        <f aca="false">IF($A4777="","",INDEX($L$2:$L$5001,MATCH($A4777,$A$2:$A$5001,0)))</f>
        <v/>
      </c>
      <c r="N4777" s="48" t="str">
        <f aca="false">IF($A4777="","",IF(N(M4777)=0,"–",IF(M4777&lt;=Start!$D$20,"A",IF(M4777&lt;=Start!$D$21,"B","C"))))</f>
        <v/>
      </c>
      <c r="O4777" s="48" t="str">
        <f aca="false">IF($A4777="","",IF(NOT(ISNUMBER(F4777)),"Wert fehlt; ",IF(F4777&lt;=0,"Wert ist 0; ",""))&amp;IF(NOT(ISNUMBER(E4777)),"Bestand fehlt; ",IF(E4777&lt;0,"Bestand negativ; ",IF(E4777=0,"Nullbestand; ","")))&amp;IF(D4777="","Warengruppe fehlt; ","")&amp;IF(B4777="","Bezeichnung fehlt; ","")&amp;IF(COUNTIFS($A$2:$A$5001,$A4777,$C$2:$C$5001,C4777)&gt;1,"Artikel doppelt im selben Lager; ",""))</f>
        <v/>
      </c>
      <c r="P4777" s="47" t="n">
        <f aca="false">IF(OR($A4777="",D4777=""),0,IF(COUNTIF($D$2:D4777,D4777)=1,SUMIF($D$2:$D$5001,D4777,$H$2:$H$5001)+ROW()/10000000,0))</f>
        <v>0</v>
      </c>
      <c r="Q4777" s="47" t="n">
        <f aca="false">IF(OR($A4777="",C4777=""),0,IF(COUNTIF($C$2:C4777,C4777)=1,SUMIF($C$2:$C$5001,C4777,$H$2:$H$5001)+ROW()/10000000,0))</f>
        <v>0</v>
      </c>
    </row>
    <row r="4778" customFormat="false" ht="15" hidden="false" customHeight="false" outlineLevel="0" collapsed="false">
      <c r="A4778" s="43"/>
      <c r="B4778" s="44"/>
      <c r="C4778" s="44"/>
      <c r="D4778" s="44"/>
      <c r="E4778" s="44"/>
      <c r="F4778" s="44"/>
      <c r="G4778" s="44"/>
      <c r="H4778" s="46" t="str">
        <f aca="false">IF($A4778="","",IF(OR(NOT(ISNUMBER(E4778)),NOT(ISNUMBER(F4778))),"",MAX(0,E4778)*F4778))</f>
        <v/>
      </c>
      <c r="I4778" s="46" t="str">
        <f aca="false">IF($A4778="","",SUMIF($A$2:$A$5001,$A4778,$H$2:$H$5001))</f>
        <v/>
      </c>
      <c r="J4778" s="47" t="n">
        <f aca="false">IF($A4778="",0,IF(COUNTIF($A$2:A4778,$A4778)=1,1,0))</f>
        <v>0</v>
      </c>
      <c r="K4778" s="47" t="n">
        <f aca="false">IF(J4778=1,N(I4778)+ROW()/10000000,0)</f>
        <v>0</v>
      </c>
      <c r="L4778" s="47" t="str">
        <f aca="false">IF(AND(J4778=1,N(I4778)&gt;0),SUMIF($K$2:$K$5001,"&gt;="&amp;K4778,$I$2:$I$5001)/MAX(1,SUM($H$2:$H$5001)),"")</f>
        <v/>
      </c>
      <c r="M4778" s="47" t="str">
        <f aca="false">IF($A4778="","",INDEX($L$2:$L$5001,MATCH($A4778,$A$2:$A$5001,0)))</f>
        <v/>
      </c>
      <c r="N4778" s="48" t="str">
        <f aca="false">IF($A4778="","",IF(N(M4778)=0,"–",IF(M4778&lt;=Start!$D$20,"A",IF(M4778&lt;=Start!$D$21,"B","C"))))</f>
        <v/>
      </c>
      <c r="O4778" s="48" t="str">
        <f aca="false">IF($A4778="","",IF(NOT(ISNUMBER(F4778)),"Wert fehlt; ",IF(F4778&lt;=0,"Wert ist 0; ",""))&amp;IF(NOT(ISNUMBER(E4778)),"Bestand fehlt; ",IF(E4778&lt;0,"Bestand negativ; ",IF(E4778=0,"Nullbestand; ","")))&amp;IF(D4778="","Warengruppe fehlt; ","")&amp;IF(B4778="","Bezeichnung fehlt; ","")&amp;IF(COUNTIFS($A$2:$A$5001,$A4778,$C$2:$C$5001,C4778)&gt;1,"Artikel doppelt im selben Lager; ",""))</f>
        <v/>
      </c>
      <c r="P4778" s="47" t="n">
        <f aca="false">IF(OR($A4778="",D4778=""),0,IF(COUNTIF($D$2:D4778,D4778)=1,SUMIF($D$2:$D$5001,D4778,$H$2:$H$5001)+ROW()/10000000,0))</f>
        <v>0</v>
      </c>
      <c r="Q4778" s="47" t="n">
        <f aca="false">IF(OR($A4778="",C4778=""),0,IF(COUNTIF($C$2:C4778,C4778)=1,SUMIF($C$2:$C$5001,C4778,$H$2:$H$5001)+ROW()/10000000,0))</f>
        <v>0</v>
      </c>
    </row>
    <row r="4779" customFormat="false" ht="15" hidden="false" customHeight="false" outlineLevel="0" collapsed="false">
      <c r="A4779" s="43"/>
      <c r="B4779" s="44"/>
      <c r="C4779" s="44"/>
      <c r="D4779" s="44"/>
      <c r="E4779" s="44"/>
      <c r="F4779" s="44"/>
      <c r="G4779" s="44"/>
      <c r="H4779" s="46" t="str">
        <f aca="false">IF($A4779="","",IF(OR(NOT(ISNUMBER(E4779)),NOT(ISNUMBER(F4779))),"",MAX(0,E4779)*F4779))</f>
        <v/>
      </c>
      <c r="I4779" s="46" t="str">
        <f aca="false">IF($A4779="","",SUMIF($A$2:$A$5001,$A4779,$H$2:$H$5001))</f>
        <v/>
      </c>
      <c r="J4779" s="47" t="n">
        <f aca="false">IF($A4779="",0,IF(COUNTIF($A$2:A4779,$A4779)=1,1,0))</f>
        <v>0</v>
      </c>
      <c r="K4779" s="47" t="n">
        <f aca="false">IF(J4779=1,N(I4779)+ROW()/10000000,0)</f>
        <v>0</v>
      </c>
      <c r="L4779" s="47" t="str">
        <f aca="false">IF(AND(J4779=1,N(I4779)&gt;0),SUMIF($K$2:$K$5001,"&gt;="&amp;K4779,$I$2:$I$5001)/MAX(1,SUM($H$2:$H$5001)),"")</f>
        <v/>
      </c>
      <c r="M4779" s="47" t="str">
        <f aca="false">IF($A4779="","",INDEX($L$2:$L$5001,MATCH($A4779,$A$2:$A$5001,0)))</f>
        <v/>
      </c>
      <c r="N4779" s="48" t="str">
        <f aca="false">IF($A4779="","",IF(N(M4779)=0,"–",IF(M4779&lt;=Start!$D$20,"A",IF(M4779&lt;=Start!$D$21,"B","C"))))</f>
        <v/>
      </c>
      <c r="O4779" s="48" t="str">
        <f aca="false">IF($A4779="","",IF(NOT(ISNUMBER(F4779)),"Wert fehlt; ",IF(F4779&lt;=0,"Wert ist 0; ",""))&amp;IF(NOT(ISNUMBER(E4779)),"Bestand fehlt; ",IF(E4779&lt;0,"Bestand negativ; ",IF(E4779=0,"Nullbestand; ","")))&amp;IF(D4779="","Warengruppe fehlt; ","")&amp;IF(B4779="","Bezeichnung fehlt; ","")&amp;IF(COUNTIFS($A$2:$A$5001,$A4779,$C$2:$C$5001,C4779)&gt;1,"Artikel doppelt im selben Lager; ",""))</f>
        <v/>
      </c>
      <c r="P4779" s="47" t="n">
        <f aca="false">IF(OR($A4779="",D4779=""),0,IF(COUNTIF($D$2:D4779,D4779)=1,SUMIF($D$2:$D$5001,D4779,$H$2:$H$5001)+ROW()/10000000,0))</f>
        <v>0</v>
      </c>
      <c r="Q4779" s="47" t="n">
        <f aca="false">IF(OR($A4779="",C4779=""),0,IF(COUNTIF($C$2:C4779,C4779)=1,SUMIF($C$2:$C$5001,C4779,$H$2:$H$5001)+ROW()/10000000,0))</f>
        <v>0</v>
      </c>
    </row>
    <row r="4780" customFormat="false" ht="15" hidden="false" customHeight="false" outlineLevel="0" collapsed="false">
      <c r="A4780" s="43"/>
      <c r="B4780" s="44"/>
      <c r="C4780" s="44"/>
      <c r="D4780" s="44"/>
      <c r="E4780" s="44"/>
      <c r="F4780" s="44"/>
      <c r="G4780" s="44"/>
      <c r="H4780" s="46" t="str">
        <f aca="false">IF($A4780="","",IF(OR(NOT(ISNUMBER(E4780)),NOT(ISNUMBER(F4780))),"",MAX(0,E4780)*F4780))</f>
        <v/>
      </c>
      <c r="I4780" s="46" t="str">
        <f aca="false">IF($A4780="","",SUMIF($A$2:$A$5001,$A4780,$H$2:$H$5001))</f>
        <v/>
      </c>
      <c r="J4780" s="47" t="n">
        <f aca="false">IF($A4780="",0,IF(COUNTIF($A$2:A4780,$A4780)=1,1,0))</f>
        <v>0</v>
      </c>
      <c r="K4780" s="47" t="n">
        <f aca="false">IF(J4780=1,N(I4780)+ROW()/10000000,0)</f>
        <v>0</v>
      </c>
      <c r="L4780" s="47" t="str">
        <f aca="false">IF(AND(J4780=1,N(I4780)&gt;0),SUMIF($K$2:$K$5001,"&gt;="&amp;K4780,$I$2:$I$5001)/MAX(1,SUM($H$2:$H$5001)),"")</f>
        <v/>
      </c>
      <c r="M4780" s="47" t="str">
        <f aca="false">IF($A4780="","",INDEX($L$2:$L$5001,MATCH($A4780,$A$2:$A$5001,0)))</f>
        <v/>
      </c>
      <c r="N4780" s="48" t="str">
        <f aca="false">IF($A4780="","",IF(N(M4780)=0,"–",IF(M4780&lt;=Start!$D$20,"A",IF(M4780&lt;=Start!$D$21,"B","C"))))</f>
        <v/>
      </c>
      <c r="O4780" s="48" t="str">
        <f aca="false">IF($A4780="","",IF(NOT(ISNUMBER(F4780)),"Wert fehlt; ",IF(F4780&lt;=0,"Wert ist 0; ",""))&amp;IF(NOT(ISNUMBER(E4780)),"Bestand fehlt; ",IF(E4780&lt;0,"Bestand negativ; ",IF(E4780=0,"Nullbestand; ","")))&amp;IF(D4780="","Warengruppe fehlt; ","")&amp;IF(B4780="","Bezeichnung fehlt; ","")&amp;IF(COUNTIFS($A$2:$A$5001,$A4780,$C$2:$C$5001,C4780)&gt;1,"Artikel doppelt im selben Lager; ",""))</f>
        <v/>
      </c>
      <c r="P4780" s="47" t="n">
        <f aca="false">IF(OR($A4780="",D4780=""),0,IF(COUNTIF($D$2:D4780,D4780)=1,SUMIF($D$2:$D$5001,D4780,$H$2:$H$5001)+ROW()/10000000,0))</f>
        <v>0</v>
      </c>
      <c r="Q4780" s="47" t="n">
        <f aca="false">IF(OR($A4780="",C4780=""),0,IF(COUNTIF($C$2:C4780,C4780)=1,SUMIF($C$2:$C$5001,C4780,$H$2:$H$5001)+ROW()/10000000,0))</f>
        <v>0</v>
      </c>
    </row>
    <row r="4781" customFormat="false" ht="15" hidden="false" customHeight="false" outlineLevel="0" collapsed="false">
      <c r="A4781" s="43"/>
      <c r="B4781" s="44"/>
      <c r="C4781" s="44"/>
      <c r="D4781" s="44"/>
      <c r="E4781" s="44"/>
      <c r="F4781" s="44"/>
      <c r="G4781" s="44"/>
      <c r="H4781" s="46" t="str">
        <f aca="false">IF($A4781="","",IF(OR(NOT(ISNUMBER(E4781)),NOT(ISNUMBER(F4781))),"",MAX(0,E4781)*F4781))</f>
        <v/>
      </c>
      <c r="I4781" s="46" t="str">
        <f aca="false">IF($A4781="","",SUMIF($A$2:$A$5001,$A4781,$H$2:$H$5001))</f>
        <v/>
      </c>
      <c r="J4781" s="47" t="n">
        <f aca="false">IF($A4781="",0,IF(COUNTIF($A$2:A4781,$A4781)=1,1,0))</f>
        <v>0</v>
      </c>
      <c r="K4781" s="47" t="n">
        <f aca="false">IF(J4781=1,N(I4781)+ROW()/10000000,0)</f>
        <v>0</v>
      </c>
      <c r="L4781" s="47" t="str">
        <f aca="false">IF(AND(J4781=1,N(I4781)&gt;0),SUMIF($K$2:$K$5001,"&gt;="&amp;K4781,$I$2:$I$5001)/MAX(1,SUM($H$2:$H$5001)),"")</f>
        <v/>
      </c>
      <c r="M4781" s="47" t="str">
        <f aca="false">IF($A4781="","",INDEX($L$2:$L$5001,MATCH($A4781,$A$2:$A$5001,0)))</f>
        <v/>
      </c>
      <c r="N4781" s="48" t="str">
        <f aca="false">IF($A4781="","",IF(N(M4781)=0,"–",IF(M4781&lt;=Start!$D$20,"A",IF(M4781&lt;=Start!$D$21,"B","C"))))</f>
        <v/>
      </c>
      <c r="O4781" s="48" t="str">
        <f aca="false">IF($A4781="","",IF(NOT(ISNUMBER(F4781)),"Wert fehlt; ",IF(F4781&lt;=0,"Wert ist 0; ",""))&amp;IF(NOT(ISNUMBER(E4781)),"Bestand fehlt; ",IF(E4781&lt;0,"Bestand negativ; ",IF(E4781=0,"Nullbestand; ","")))&amp;IF(D4781="","Warengruppe fehlt; ","")&amp;IF(B4781="","Bezeichnung fehlt; ","")&amp;IF(COUNTIFS($A$2:$A$5001,$A4781,$C$2:$C$5001,C4781)&gt;1,"Artikel doppelt im selben Lager; ",""))</f>
        <v/>
      </c>
      <c r="P4781" s="47" t="n">
        <f aca="false">IF(OR($A4781="",D4781=""),0,IF(COUNTIF($D$2:D4781,D4781)=1,SUMIF($D$2:$D$5001,D4781,$H$2:$H$5001)+ROW()/10000000,0))</f>
        <v>0</v>
      </c>
      <c r="Q4781" s="47" t="n">
        <f aca="false">IF(OR($A4781="",C4781=""),0,IF(COUNTIF($C$2:C4781,C4781)=1,SUMIF($C$2:$C$5001,C4781,$H$2:$H$5001)+ROW()/10000000,0))</f>
        <v>0</v>
      </c>
    </row>
    <row r="4782" customFormat="false" ht="15" hidden="false" customHeight="false" outlineLevel="0" collapsed="false">
      <c r="A4782" s="43"/>
      <c r="B4782" s="44"/>
      <c r="C4782" s="44"/>
      <c r="D4782" s="44"/>
      <c r="E4782" s="44"/>
      <c r="F4782" s="44"/>
      <c r="G4782" s="44"/>
      <c r="H4782" s="46" t="str">
        <f aca="false">IF($A4782="","",IF(OR(NOT(ISNUMBER(E4782)),NOT(ISNUMBER(F4782))),"",MAX(0,E4782)*F4782))</f>
        <v/>
      </c>
      <c r="I4782" s="46" t="str">
        <f aca="false">IF($A4782="","",SUMIF($A$2:$A$5001,$A4782,$H$2:$H$5001))</f>
        <v/>
      </c>
      <c r="J4782" s="47" t="n">
        <f aca="false">IF($A4782="",0,IF(COUNTIF($A$2:A4782,$A4782)=1,1,0))</f>
        <v>0</v>
      </c>
      <c r="K4782" s="47" t="n">
        <f aca="false">IF(J4782=1,N(I4782)+ROW()/10000000,0)</f>
        <v>0</v>
      </c>
      <c r="L4782" s="47" t="str">
        <f aca="false">IF(AND(J4782=1,N(I4782)&gt;0),SUMIF($K$2:$K$5001,"&gt;="&amp;K4782,$I$2:$I$5001)/MAX(1,SUM($H$2:$H$5001)),"")</f>
        <v/>
      </c>
      <c r="M4782" s="47" t="str">
        <f aca="false">IF($A4782="","",INDEX($L$2:$L$5001,MATCH($A4782,$A$2:$A$5001,0)))</f>
        <v/>
      </c>
      <c r="N4782" s="48" t="str">
        <f aca="false">IF($A4782="","",IF(N(M4782)=0,"–",IF(M4782&lt;=Start!$D$20,"A",IF(M4782&lt;=Start!$D$21,"B","C"))))</f>
        <v/>
      </c>
      <c r="O4782" s="48" t="str">
        <f aca="false">IF($A4782="","",IF(NOT(ISNUMBER(F4782)),"Wert fehlt; ",IF(F4782&lt;=0,"Wert ist 0; ",""))&amp;IF(NOT(ISNUMBER(E4782)),"Bestand fehlt; ",IF(E4782&lt;0,"Bestand negativ; ",IF(E4782=0,"Nullbestand; ","")))&amp;IF(D4782="","Warengruppe fehlt; ","")&amp;IF(B4782="","Bezeichnung fehlt; ","")&amp;IF(COUNTIFS($A$2:$A$5001,$A4782,$C$2:$C$5001,C4782)&gt;1,"Artikel doppelt im selben Lager; ",""))</f>
        <v/>
      </c>
      <c r="P4782" s="47" t="n">
        <f aca="false">IF(OR($A4782="",D4782=""),0,IF(COUNTIF($D$2:D4782,D4782)=1,SUMIF($D$2:$D$5001,D4782,$H$2:$H$5001)+ROW()/10000000,0))</f>
        <v>0</v>
      </c>
      <c r="Q4782" s="47" t="n">
        <f aca="false">IF(OR($A4782="",C4782=""),0,IF(COUNTIF($C$2:C4782,C4782)=1,SUMIF($C$2:$C$5001,C4782,$H$2:$H$5001)+ROW()/10000000,0))</f>
        <v>0</v>
      </c>
    </row>
    <row r="4783" customFormat="false" ht="15" hidden="false" customHeight="false" outlineLevel="0" collapsed="false">
      <c r="A4783" s="43"/>
      <c r="B4783" s="44"/>
      <c r="C4783" s="44"/>
      <c r="D4783" s="44"/>
      <c r="E4783" s="44"/>
      <c r="F4783" s="44"/>
      <c r="G4783" s="44"/>
      <c r="H4783" s="46" t="str">
        <f aca="false">IF($A4783="","",IF(OR(NOT(ISNUMBER(E4783)),NOT(ISNUMBER(F4783))),"",MAX(0,E4783)*F4783))</f>
        <v/>
      </c>
      <c r="I4783" s="46" t="str">
        <f aca="false">IF($A4783="","",SUMIF($A$2:$A$5001,$A4783,$H$2:$H$5001))</f>
        <v/>
      </c>
      <c r="J4783" s="47" t="n">
        <f aca="false">IF($A4783="",0,IF(COUNTIF($A$2:A4783,$A4783)=1,1,0))</f>
        <v>0</v>
      </c>
      <c r="K4783" s="47" t="n">
        <f aca="false">IF(J4783=1,N(I4783)+ROW()/10000000,0)</f>
        <v>0</v>
      </c>
      <c r="L4783" s="47" t="str">
        <f aca="false">IF(AND(J4783=1,N(I4783)&gt;0),SUMIF($K$2:$K$5001,"&gt;="&amp;K4783,$I$2:$I$5001)/MAX(1,SUM($H$2:$H$5001)),"")</f>
        <v/>
      </c>
      <c r="M4783" s="47" t="str">
        <f aca="false">IF($A4783="","",INDEX($L$2:$L$5001,MATCH($A4783,$A$2:$A$5001,0)))</f>
        <v/>
      </c>
      <c r="N4783" s="48" t="str">
        <f aca="false">IF($A4783="","",IF(N(M4783)=0,"–",IF(M4783&lt;=Start!$D$20,"A",IF(M4783&lt;=Start!$D$21,"B","C"))))</f>
        <v/>
      </c>
      <c r="O4783" s="48" t="str">
        <f aca="false">IF($A4783="","",IF(NOT(ISNUMBER(F4783)),"Wert fehlt; ",IF(F4783&lt;=0,"Wert ist 0; ",""))&amp;IF(NOT(ISNUMBER(E4783)),"Bestand fehlt; ",IF(E4783&lt;0,"Bestand negativ; ",IF(E4783=0,"Nullbestand; ","")))&amp;IF(D4783="","Warengruppe fehlt; ","")&amp;IF(B4783="","Bezeichnung fehlt; ","")&amp;IF(COUNTIFS($A$2:$A$5001,$A4783,$C$2:$C$5001,C4783)&gt;1,"Artikel doppelt im selben Lager; ",""))</f>
        <v/>
      </c>
      <c r="P4783" s="47" t="n">
        <f aca="false">IF(OR($A4783="",D4783=""),0,IF(COUNTIF($D$2:D4783,D4783)=1,SUMIF($D$2:$D$5001,D4783,$H$2:$H$5001)+ROW()/10000000,0))</f>
        <v>0</v>
      </c>
      <c r="Q4783" s="47" t="n">
        <f aca="false">IF(OR($A4783="",C4783=""),0,IF(COUNTIF($C$2:C4783,C4783)=1,SUMIF($C$2:$C$5001,C4783,$H$2:$H$5001)+ROW()/10000000,0))</f>
        <v>0</v>
      </c>
    </row>
    <row r="4784" customFormat="false" ht="15" hidden="false" customHeight="false" outlineLevel="0" collapsed="false">
      <c r="A4784" s="43"/>
      <c r="B4784" s="44"/>
      <c r="C4784" s="44"/>
      <c r="D4784" s="44"/>
      <c r="E4784" s="44"/>
      <c r="F4784" s="44"/>
      <c r="G4784" s="44"/>
      <c r="H4784" s="46" t="str">
        <f aca="false">IF($A4784="","",IF(OR(NOT(ISNUMBER(E4784)),NOT(ISNUMBER(F4784))),"",MAX(0,E4784)*F4784))</f>
        <v/>
      </c>
      <c r="I4784" s="46" t="str">
        <f aca="false">IF($A4784="","",SUMIF($A$2:$A$5001,$A4784,$H$2:$H$5001))</f>
        <v/>
      </c>
      <c r="J4784" s="47" t="n">
        <f aca="false">IF($A4784="",0,IF(COUNTIF($A$2:A4784,$A4784)=1,1,0))</f>
        <v>0</v>
      </c>
      <c r="K4784" s="47" t="n">
        <f aca="false">IF(J4784=1,N(I4784)+ROW()/10000000,0)</f>
        <v>0</v>
      </c>
      <c r="L4784" s="47" t="str">
        <f aca="false">IF(AND(J4784=1,N(I4784)&gt;0),SUMIF($K$2:$K$5001,"&gt;="&amp;K4784,$I$2:$I$5001)/MAX(1,SUM($H$2:$H$5001)),"")</f>
        <v/>
      </c>
      <c r="M4784" s="47" t="str">
        <f aca="false">IF($A4784="","",INDEX($L$2:$L$5001,MATCH($A4784,$A$2:$A$5001,0)))</f>
        <v/>
      </c>
      <c r="N4784" s="48" t="str">
        <f aca="false">IF($A4784="","",IF(N(M4784)=0,"–",IF(M4784&lt;=Start!$D$20,"A",IF(M4784&lt;=Start!$D$21,"B","C"))))</f>
        <v/>
      </c>
      <c r="O4784" s="48" t="str">
        <f aca="false">IF($A4784="","",IF(NOT(ISNUMBER(F4784)),"Wert fehlt; ",IF(F4784&lt;=0,"Wert ist 0; ",""))&amp;IF(NOT(ISNUMBER(E4784)),"Bestand fehlt; ",IF(E4784&lt;0,"Bestand negativ; ",IF(E4784=0,"Nullbestand; ","")))&amp;IF(D4784="","Warengruppe fehlt; ","")&amp;IF(B4784="","Bezeichnung fehlt; ","")&amp;IF(COUNTIFS($A$2:$A$5001,$A4784,$C$2:$C$5001,C4784)&gt;1,"Artikel doppelt im selben Lager; ",""))</f>
        <v/>
      </c>
      <c r="P4784" s="47" t="n">
        <f aca="false">IF(OR($A4784="",D4784=""),0,IF(COUNTIF($D$2:D4784,D4784)=1,SUMIF($D$2:$D$5001,D4784,$H$2:$H$5001)+ROW()/10000000,0))</f>
        <v>0</v>
      </c>
      <c r="Q4784" s="47" t="n">
        <f aca="false">IF(OR($A4784="",C4784=""),0,IF(COUNTIF($C$2:C4784,C4784)=1,SUMIF($C$2:$C$5001,C4784,$H$2:$H$5001)+ROW()/10000000,0))</f>
        <v>0</v>
      </c>
    </row>
    <row r="4785" customFormat="false" ht="15" hidden="false" customHeight="false" outlineLevel="0" collapsed="false">
      <c r="A4785" s="43"/>
      <c r="B4785" s="44"/>
      <c r="C4785" s="44"/>
      <c r="D4785" s="44"/>
      <c r="E4785" s="44"/>
      <c r="F4785" s="44"/>
      <c r="G4785" s="44"/>
      <c r="H4785" s="46" t="str">
        <f aca="false">IF($A4785="","",IF(OR(NOT(ISNUMBER(E4785)),NOT(ISNUMBER(F4785))),"",MAX(0,E4785)*F4785))</f>
        <v/>
      </c>
      <c r="I4785" s="46" t="str">
        <f aca="false">IF($A4785="","",SUMIF($A$2:$A$5001,$A4785,$H$2:$H$5001))</f>
        <v/>
      </c>
      <c r="J4785" s="47" t="n">
        <f aca="false">IF($A4785="",0,IF(COUNTIF($A$2:A4785,$A4785)=1,1,0))</f>
        <v>0</v>
      </c>
      <c r="K4785" s="47" t="n">
        <f aca="false">IF(J4785=1,N(I4785)+ROW()/10000000,0)</f>
        <v>0</v>
      </c>
      <c r="L4785" s="47" t="str">
        <f aca="false">IF(AND(J4785=1,N(I4785)&gt;0),SUMIF($K$2:$K$5001,"&gt;="&amp;K4785,$I$2:$I$5001)/MAX(1,SUM($H$2:$H$5001)),"")</f>
        <v/>
      </c>
      <c r="M4785" s="47" t="str">
        <f aca="false">IF($A4785="","",INDEX($L$2:$L$5001,MATCH($A4785,$A$2:$A$5001,0)))</f>
        <v/>
      </c>
      <c r="N4785" s="48" t="str">
        <f aca="false">IF($A4785="","",IF(N(M4785)=0,"–",IF(M4785&lt;=Start!$D$20,"A",IF(M4785&lt;=Start!$D$21,"B","C"))))</f>
        <v/>
      </c>
      <c r="O4785" s="48" t="str">
        <f aca="false">IF($A4785="","",IF(NOT(ISNUMBER(F4785)),"Wert fehlt; ",IF(F4785&lt;=0,"Wert ist 0; ",""))&amp;IF(NOT(ISNUMBER(E4785)),"Bestand fehlt; ",IF(E4785&lt;0,"Bestand negativ; ",IF(E4785=0,"Nullbestand; ","")))&amp;IF(D4785="","Warengruppe fehlt; ","")&amp;IF(B4785="","Bezeichnung fehlt; ","")&amp;IF(COUNTIFS($A$2:$A$5001,$A4785,$C$2:$C$5001,C4785)&gt;1,"Artikel doppelt im selben Lager; ",""))</f>
        <v/>
      </c>
      <c r="P4785" s="47" t="n">
        <f aca="false">IF(OR($A4785="",D4785=""),0,IF(COUNTIF($D$2:D4785,D4785)=1,SUMIF($D$2:$D$5001,D4785,$H$2:$H$5001)+ROW()/10000000,0))</f>
        <v>0</v>
      </c>
      <c r="Q4785" s="47" t="n">
        <f aca="false">IF(OR($A4785="",C4785=""),0,IF(COUNTIF($C$2:C4785,C4785)=1,SUMIF($C$2:$C$5001,C4785,$H$2:$H$5001)+ROW()/10000000,0))</f>
        <v>0</v>
      </c>
    </row>
    <row r="4786" customFormat="false" ht="15" hidden="false" customHeight="false" outlineLevel="0" collapsed="false">
      <c r="A4786" s="43"/>
      <c r="B4786" s="44"/>
      <c r="C4786" s="44"/>
      <c r="D4786" s="44"/>
      <c r="E4786" s="44"/>
      <c r="F4786" s="44"/>
      <c r="G4786" s="44"/>
      <c r="H4786" s="46" t="str">
        <f aca="false">IF($A4786="","",IF(OR(NOT(ISNUMBER(E4786)),NOT(ISNUMBER(F4786))),"",MAX(0,E4786)*F4786))</f>
        <v/>
      </c>
      <c r="I4786" s="46" t="str">
        <f aca="false">IF($A4786="","",SUMIF($A$2:$A$5001,$A4786,$H$2:$H$5001))</f>
        <v/>
      </c>
      <c r="J4786" s="47" t="n">
        <f aca="false">IF($A4786="",0,IF(COUNTIF($A$2:A4786,$A4786)=1,1,0))</f>
        <v>0</v>
      </c>
      <c r="K4786" s="47" t="n">
        <f aca="false">IF(J4786=1,N(I4786)+ROW()/10000000,0)</f>
        <v>0</v>
      </c>
      <c r="L4786" s="47" t="str">
        <f aca="false">IF(AND(J4786=1,N(I4786)&gt;0),SUMIF($K$2:$K$5001,"&gt;="&amp;K4786,$I$2:$I$5001)/MAX(1,SUM($H$2:$H$5001)),"")</f>
        <v/>
      </c>
      <c r="M4786" s="47" t="str">
        <f aca="false">IF($A4786="","",INDEX($L$2:$L$5001,MATCH($A4786,$A$2:$A$5001,0)))</f>
        <v/>
      </c>
      <c r="N4786" s="48" t="str">
        <f aca="false">IF($A4786="","",IF(N(M4786)=0,"–",IF(M4786&lt;=Start!$D$20,"A",IF(M4786&lt;=Start!$D$21,"B","C"))))</f>
        <v/>
      </c>
      <c r="O4786" s="48" t="str">
        <f aca="false">IF($A4786="","",IF(NOT(ISNUMBER(F4786)),"Wert fehlt; ",IF(F4786&lt;=0,"Wert ist 0; ",""))&amp;IF(NOT(ISNUMBER(E4786)),"Bestand fehlt; ",IF(E4786&lt;0,"Bestand negativ; ",IF(E4786=0,"Nullbestand; ","")))&amp;IF(D4786="","Warengruppe fehlt; ","")&amp;IF(B4786="","Bezeichnung fehlt; ","")&amp;IF(COUNTIFS($A$2:$A$5001,$A4786,$C$2:$C$5001,C4786)&gt;1,"Artikel doppelt im selben Lager; ",""))</f>
        <v/>
      </c>
      <c r="P4786" s="47" t="n">
        <f aca="false">IF(OR($A4786="",D4786=""),0,IF(COUNTIF($D$2:D4786,D4786)=1,SUMIF($D$2:$D$5001,D4786,$H$2:$H$5001)+ROW()/10000000,0))</f>
        <v>0</v>
      </c>
      <c r="Q4786" s="47" t="n">
        <f aca="false">IF(OR($A4786="",C4786=""),0,IF(COUNTIF($C$2:C4786,C4786)=1,SUMIF($C$2:$C$5001,C4786,$H$2:$H$5001)+ROW()/10000000,0))</f>
        <v>0</v>
      </c>
    </row>
    <row r="4787" customFormat="false" ht="15" hidden="false" customHeight="false" outlineLevel="0" collapsed="false">
      <c r="A4787" s="43"/>
      <c r="B4787" s="44"/>
      <c r="C4787" s="44"/>
      <c r="D4787" s="44"/>
      <c r="E4787" s="44"/>
      <c r="F4787" s="44"/>
      <c r="G4787" s="44"/>
      <c r="H4787" s="46" t="str">
        <f aca="false">IF($A4787="","",IF(OR(NOT(ISNUMBER(E4787)),NOT(ISNUMBER(F4787))),"",MAX(0,E4787)*F4787))</f>
        <v/>
      </c>
      <c r="I4787" s="46" t="str">
        <f aca="false">IF($A4787="","",SUMIF($A$2:$A$5001,$A4787,$H$2:$H$5001))</f>
        <v/>
      </c>
      <c r="J4787" s="47" t="n">
        <f aca="false">IF($A4787="",0,IF(COUNTIF($A$2:A4787,$A4787)=1,1,0))</f>
        <v>0</v>
      </c>
      <c r="K4787" s="47" t="n">
        <f aca="false">IF(J4787=1,N(I4787)+ROW()/10000000,0)</f>
        <v>0</v>
      </c>
      <c r="L4787" s="47" t="str">
        <f aca="false">IF(AND(J4787=1,N(I4787)&gt;0),SUMIF($K$2:$K$5001,"&gt;="&amp;K4787,$I$2:$I$5001)/MAX(1,SUM($H$2:$H$5001)),"")</f>
        <v/>
      </c>
      <c r="M4787" s="47" t="str">
        <f aca="false">IF($A4787="","",INDEX($L$2:$L$5001,MATCH($A4787,$A$2:$A$5001,0)))</f>
        <v/>
      </c>
      <c r="N4787" s="48" t="str">
        <f aca="false">IF($A4787="","",IF(N(M4787)=0,"–",IF(M4787&lt;=Start!$D$20,"A",IF(M4787&lt;=Start!$D$21,"B","C"))))</f>
        <v/>
      </c>
      <c r="O4787" s="48" t="str">
        <f aca="false">IF($A4787="","",IF(NOT(ISNUMBER(F4787)),"Wert fehlt; ",IF(F4787&lt;=0,"Wert ist 0; ",""))&amp;IF(NOT(ISNUMBER(E4787)),"Bestand fehlt; ",IF(E4787&lt;0,"Bestand negativ; ",IF(E4787=0,"Nullbestand; ","")))&amp;IF(D4787="","Warengruppe fehlt; ","")&amp;IF(B4787="","Bezeichnung fehlt; ","")&amp;IF(COUNTIFS($A$2:$A$5001,$A4787,$C$2:$C$5001,C4787)&gt;1,"Artikel doppelt im selben Lager; ",""))</f>
        <v/>
      </c>
      <c r="P4787" s="47" t="n">
        <f aca="false">IF(OR($A4787="",D4787=""),0,IF(COUNTIF($D$2:D4787,D4787)=1,SUMIF($D$2:$D$5001,D4787,$H$2:$H$5001)+ROW()/10000000,0))</f>
        <v>0</v>
      </c>
      <c r="Q4787" s="47" t="n">
        <f aca="false">IF(OR($A4787="",C4787=""),0,IF(COUNTIF($C$2:C4787,C4787)=1,SUMIF($C$2:$C$5001,C4787,$H$2:$H$5001)+ROW()/10000000,0))</f>
        <v>0</v>
      </c>
    </row>
    <row r="4788" customFormat="false" ht="15" hidden="false" customHeight="false" outlineLevel="0" collapsed="false">
      <c r="A4788" s="43"/>
      <c r="B4788" s="44"/>
      <c r="C4788" s="44"/>
      <c r="D4788" s="44"/>
      <c r="E4788" s="44"/>
      <c r="F4788" s="44"/>
      <c r="G4788" s="44"/>
      <c r="H4788" s="46" t="str">
        <f aca="false">IF($A4788="","",IF(OR(NOT(ISNUMBER(E4788)),NOT(ISNUMBER(F4788))),"",MAX(0,E4788)*F4788))</f>
        <v/>
      </c>
      <c r="I4788" s="46" t="str">
        <f aca="false">IF($A4788="","",SUMIF($A$2:$A$5001,$A4788,$H$2:$H$5001))</f>
        <v/>
      </c>
      <c r="J4788" s="47" t="n">
        <f aca="false">IF($A4788="",0,IF(COUNTIF($A$2:A4788,$A4788)=1,1,0))</f>
        <v>0</v>
      </c>
      <c r="K4788" s="47" t="n">
        <f aca="false">IF(J4788=1,N(I4788)+ROW()/10000000,0)</f>
        <v>0</v>
      </c>
      <c r="L4788" s="47" t="str">
        <f aca="false">IF(AND(J4788=1,N(I4788)&gt;0),SUMIF($K$2:$K$5001,"&gt;="&amp;K4788,$I$2:$I$5001)/MAX(1,SUM($H$2:$H$5001)),"")</f>
        <v/>
      </c>
      <c r="M4788" s="47" t="str">
        <f aca="false">IF($A4788="","",INDEX($L$2:$L$5001,MATCH($A4788,$A$2:$A$5001,0)))</f>
        <v/>
      </c>
      <c r="N4788" s="48" t="str">
        <f aca="false">IF($A4788="","",IF(N(M4788)=0,"–",IF(M4788&lt;=Start!$D$20,"A",IF(M4788&lt;=Start!$D$21,"B","C"))))</f>
        <v/>
      </c>
      <c r="O4788" s="48" t="str">
        <f aca="false">IF($A4788="","",IF(NOT(ISNUMBER(F4788)),"Wert fehlt; ",IF(F4788&lt;=0,"Wert ist 0; ",""))&amp;IF(NOT(ISNUMBER(E4788)),"Bestand fehlt; ",IF(E4788&lt;0,"Bestand negativ; ",IF(E4788=0,"Nullbestand; ","")))&amp;IF(D4788="","Warengruppe fehlt; ","")&amp;IF(B4788="","Bezeichnung fehlt; ","")&amp;IF(COUNTIFS($A$2:$A$5001,$A4788,$C$2:$C$5001,C4788)&gt;1,"Artikel doppelt im selben Lager; ",""))</f>
        <v/>
      </c>
      <c r="P4788" s="47" t="n">
        <f aca="false">IF(OR($A4788="",D4788=""),0,IF(COUNTIF($D$2:D4788,D4788)=1,SUMIF($D$2:$D$5001,D4788,$H$2:$H$5001)+ROW()/10000000,0))</f>
        <v>0</v>
      </c>
      <c r="Q4788" s="47" t="n">
        <f aca="false">IF(OR($A4788="",C4788=""),0,IF(COUNTIF($C$2:C4788,C4788)=1,SUMIF($C$2:$C$5001,C4788,$H$2:$H$5001)+ROW()/10000000,0))</f>
        <v>0</v>
      </c>
    </row>
    <row r="4789" customFormat="false" ht="15" hidden="false" customHeight="false" outlineLevel="0" collapsed="false">
      <c r="A4789" s="43"/>
      <c r="B4789" s="44"/>
      <c r="C4789" s="44"/>
      <c r="D4789" s="44"/>
      <c r="E4789" s="44"/>
      <c r="F4789" s="44"/>
      <c r="G4789" s="44"/>
      <c r="H4789" s="46" t="str">
        <f aca="false">IF($A4789="","",IF(OR(NOT(ISNUMBER(E4789)),NOT(ISNUMBER(F4789))),"",MAX(0,E4789)*F4789))</f>
        <v/>
      </c>
      <c r="I4789" s="46" t="str">
        <f aca="false">IF($A4789="","",SUMIF($A$2:$A$5001,$A4789,$H$2:$H$5001))</f>
        <v/>
      </c>
      <c r="J4789" s="47" t="n">
        <f aca="false">IF($A4789="",0,IF(COUNTIF($A$2:A4789,$A4789)=1,1,0))</f>
        <v>0</v>
      </c>
      <c r="K4789" s="47" t="n">
        <f aca="false">IF(J4789=1,N(I4789)+ROW()/10000000,0)</f>
        <v>0</v>
      </c>
      <c r="L4789" s="47" t="str">
        <f aca="false">IF(AND(J4789=1,N(I4789)&gt;0),SUMIF($K$2:$K$5001,"&gt;="&amp;K4789,$I$2:$I$5001)/MAX(1,SUM($H$2:$H$5001)),"")</f>
        <v/>
      </c>
      <c r="M4789" s="47" t="str">
        <f aca="false">IF($A4789="","",INDEX($L$2:$L$5001,MATCH($A4789,$A$2:$A$5001,0)))</f>
        <v/>
      </c>
      <c r="N4789" s="48" t="str">
        <f aca="false">IF($A4789="","",IF(N(M4789)=0,"–",IF(M4789&lt;=Start!$D$20,"A",IF(M4789&lt;=Start!$D$21,"B","C"))))</f>
        <v/>
      </c>
      <c r="O4789" s="48" t="str">
        <f aca="false">IF($A4789="","",IF(NOT(ISNUMBER(F4789)),"Wert fehlt; ",IF(F4789&lt;=0,"Wert ist 0; ",""))&amp;IF(NOT(ISNUMBER(E4789)),"Bestand fehlt; ",IF(E4789&lt;0,"Bestand negativ; ",IF(E4789=0,"Nullbestand; ","")))&amp;IF(D4789="","Warengruppe fehlt; ","")&amp;IF(B4789="","Bezeichnung fehlt; ","")&amp;IF(COUNTIFS($A$2:$A$5001,$A4789,$C$2:$C$5001,C4789)&gt;1,"Artikel doppelt im selben Lager; ",""))</f>
        <v/>
      </c>
      <c r="P4789" s="47" t="n">
        <f aca="false">IF(OR($A4789="",D4789=""),0,IF(COUNTIF($D$2:D4789,D4789)=1,SUMIF($D$2:$D$5001,D4789,$H$2:$H$5001)+ROW()/10000000,0))</f>
        <v>0</v>
      </c>
      <c r="Q4789" s="47" t="n">
        <f aca="false">IF(OR($A4789="",C4789=""),0,IF(COUNTIF($C$2:C4789,C4789)=1,SUMIF($C$2:$C$5001,C4789,$H$2:$H$5001)+ROW()/10000000,0))</f>
        <v>0</v>
      </c>
    </row>
    <row r="4790" customFormat="false" ht="15" hidden="false" customHeight="false" outlineLevel="0" collapsed="false">
      <c r="A4790" s="43"/>
      <c r="B4790" s="44"/>
      <c r="C4790" s="44"/>
      <c r="D4790" s="44"/>
      <c r="E4790" s="44"/>
      <c r="F4790" s="44"/>
      <c r="G4790" s="44"/>
      <c r="H4790" s="46" t="str">
        <f aca="false">IF($A4790="","",IF(OR(NOT(ISNUMBER(E4790)),NOT(ISNUMBER(F4790))),"",MAX(0,E4790)*F4790))</f>
        <v/>
      </c>
      <c r="I4790" s="46" t="str">
        <f aca="false">IF($A4790="","",SUMIF($A$2:$A$5001,$A4790,$H$2:$H$5001))</f>
        <v/>
      </c>
      <c r="J4790" s="47" t="n">
        <f aca="false">IF($A4790="",0,IF(COUNTIF($A$2:A4790,$A4790)=1,1,0))</f>
        <v>0</v>
      </c>
      <c r="K4790" s="47" t="n">
        <f aca="false">IF(J4790=1,N(I4790)+ROW()/10000000,0)</f>
        <v>0</v>
      </c>
      <c r="L4790" s="47" t="str">
        <f aca="false">IF(AND(J4790=1,N(I4790)&gt;0),SUMIF($K$2:$K$5001,"&gt;="&amp;K4790,$I$2:$I$5001)/MAX(1,SUM($H$2:$H$5001)),"")</f>
        <v/>
      </c>
      <c r="M4790" s="47" t="str">
        <f aca="false">IF($A4790="","",INDEX($L$2:$L$5001,MATCH($A4790,$A$2:$A$5001,0)))</f>
        <v/>
      </c>
      <c r="N4790" s="48" t="str">
        <f aca="false">IF($A4790="","",IF(N(M4790)=0,"–",IF(M4790&lt;=Start!$D$20,"A",IF(M4790&lt;=Start!$D$21,"B","C"))))</f>
        <v/>
      </c>
      <c r="O4790" s="48" t="str">
        <f aca="false">IF($A4790="","",IF(NOT(ISNUMBER(F4790)),"Wert fehlt; ",IF(F4790&lt;=0,"Wert ist 0; ",""))&amp;IF(NOT(ISNUMBER(E4790)),"Bestand fehlt; ",IF(E4790&lt;0,"Bestand negativ; ",IF(E4790=0,"Nullbestand; ","")))&amp;IF(D4790="","Warengruppe fehlt; ","")&amp;IF(B4790="","Bezeichnung fehlt; ","")&amp;IF(COUNTIFS($A$2:$A$5001,$A4790,$C$2:$C$5001,C4790)&gt;1,"Artikel doppelt im selben Lager; ",""))</f>
        <v/>
      </c>
      <c r="P4790" s="47" t="n">
        <f aca="false">IF(OR($A4790="",D4790=""),0,IF(COUNTIF($D$2:D4790,D4790)=1,SUMIF($D$2:$D$5001,D4790,$H$2:$H$5001)+ROW()/10000000,0))</f>
        <v>0</v>
      </c>
      <c r="Q4790" s="47" t="n">
        <f aca="false">IF(OR($A4790="",C4790=""),0,IF(COUNTIF($C$2:C4790,C4790)=1,SUMIF($C$2:$C$5001,C4790,$H$2:$H$5001)+ROW()/10000000,0))</f>
        <v>0</v>
      </c>
    </row>
    <row r="4791" customFormat="false" ht="15" hidden="false" customHeight="false" outlineLevel="0" collapsed="false">
      <c r="A4791" s="43"/>
      <c r="B4791" s="44"/>
      <c r="C4791" s="44"/>
      <c r="D4791" s="44"/>
      <c r="E4791" s="44"/>
      <c r="F4791" s="44"/>
      <c r="G4791" s="44"/>
      <c r="H4791" s="46" t="str">
        <f aca="false">IF($A4791="","",IF(OR(NOT(ISNUMBER(E4791)),NOT(ISNUMBER(F4791))),"",MAX(0,E4791)*F4791))</f>
        <v/>
      </c>
      <c r="I4791" s="46" t="str">
        <f aca="false">IF($A4791="","",SUMIF($A$2:$A$5001,$A4791,$H$2:$H$5001))</f>
        <v/>
      </c>
      <c r="J4791" s="47" t="n">
        <f aca="false">IF($A4791="",0,IF(COUNTIF($A$2:A4791,$A4791)=1,1,0))</f>
        <v>0</v>
      </c>
      <c r="K4791" s="47" t="n">
        <f aca="false">IF(J4791=1,N(I4791)+ROW()/10000000,0)</f>
        <v>0</v>
      </c>
      <c r="L4791" s="47" t="str">
        <f aca="false">IF(AND(J4791=1,N(I4791)&gt;0),SUMIF($K$2:$K$5001,"&gt;="&amp;K4791,$I$2:$I$5001)/MAX(1,SUM($H$2:$H$5001)),"")</f>
        <v/>
      </c>
      <c r="M4791" s="47" t="str">
        <f aca="false">IF($A4791="","",INDEX($L$2:$L$5001,MATCH($A4791,$A$2:$A$5001,0)))</f>
        <v/>
      </c>
      <c r="N4791" s="48" t="str">
        <f aca="false">IF($A4791="","",IF(N(M4791)=0,"–",IF(M4791&lt;=Start!$D$20,"A",IF(M4791&lt;=Start!$D$21,"B","C"))))</f>
        <v/>
      </c>
      <c r="O4791" s="48" t="str">
        <f aca="false">IF($A4791="","",IF(NOT(ISNUMBER(F4791)),"Wert fehlt; ",IF(F4791&lt;=0,"Wert ist 0; ",""))&amp;IF(NOT(ISNUMBER(E4791)),"Bestand fehlt; ",IF(E4791&lt;0,"Bestand negativ; ",IF(E4791=0,"Nullbestand; ","")))&amp;IF(D4791="","Warengruppe fehlt; ","")&amp;IF(B4791="","Bezeichnung fehlt; ","")&amp;IF(COUNTIFS($A$2:$A$5001,$A4791,$C$2:$C$5001,C4791)&gt;1,"Artikel doppelt im selben Lager; ",""))</f>
        <v/>
      </c>
      <c r="P4791" s="47" t="n">
        <f aca="false">IF(OR($A4791="",D4791=""),0,IF(COUNTIF($D$2:D4791,D4791)=1,SUMIF($D$2:$D$5001,D4791,$H$2:$H$5001)+ROW()/10000000,0))</f>
        <v>0</v>
      </c>
      <c r="Q4791" s="47" t="n">
        <f aca="false">IF(OR($A4791="",C4791=""),0,IF(COUNTIF($C$2:C4791,C4791)=1,SUMIF($C$2:$C$5001,C4791,$H$2:$H$5001)+ROW()/10000000,0))</f>
        <v>0</v>
      </c>
    </row>
    <row r="4792" customFormat="false" ht="15" hidden="false" customHeight="false" outlineLevel="0" collapsed="false">
      <c r="A4792" s="43"/>
      <c r="B4792" s="44"/>
      <c r="C4792" s="44"/>
      <c r="D4792" s="44"/>
      <c r="E4792" s="44"/>
      <c r="F4792" s="44"/>
      <c r="G4792" s="44"/>
      <c r="H4792" s="46" t="str">
        <f aca="false">IF($A4792="","",IF(OR(NOT(ISNUMBER(E4792)),NOT(ISNUMBER(F4792))),"",MAX(0,E4792)*F4792))</f>
        <v/>
      </c>
      <c r="I4792" s="46" t="str">
        <f aca="false">IF($A4792="","",SUMIF($A$2:$A$5001,$A4792,$H$2:$H$5001))</f>
        <v/>
      </c>
      <c r="J4792" s="47" t="n">
        <f aca="false">IF($A4792="",0,IF(COUNTIF($A$2:A4792,$A4792)=1,1,0))</f>
        <v>0</v>
      </c>
      <c r="K4792" s="47" t="n">
        <f aca="false">IF(J4792=1,N(I4792)+ROW()/10000000,0)</f>
        <v>0</v>
      </c>
      <c r="L4792" s="47" t="str">
        <f aca="false">IF(AND(J4792=1,N(I4792)&gt;0),SUMIF($K$2:$K$5001,"&gt;="&amp;K4792,$I$2:$I$5001)/MAX(1,SUM($H$2:$H$5001)),"")</f>
        <v/>
      </c>
      <c r="M4792" s="47" t="str">
        <f aca="false">IF($A4792="","",INDEX($L$2:$L$5001,MATCH($A4792,$A$2:$A$5001,0)))</f>
        <v/>
      </c>
      <c r="N4792" s="48" t="str">
        <f aca="false">IF($A4792="","",IF(N(M4792)=0,"–",IF(M4792&lt;=Start!$D$20,"A",IF(M4792&lt;=Start!$D$21,"B","C"))))</f>
        <v/>
      </c>
      <c r="O4792" s="48" t="str">
        <f aca="false">IF($A4792="","",IF(NOT(ISNUMBER(F4792)),"Wert fehlt; ",IF(F4792&lt;=0,"Wert ist 0; ",""))&amp;IF(NOT(ISNUMBER(E4792)),"Bestand fehlt; ",IF(E4792&lt;0,"Bestand negativ; ",IF(E4792=0,"Nullbestand; ","")))&amp;IF(D4792="","Warengruppe fehlt; ","")&amp;IF(B4792="","Bezeichnung fehlt; ","")&amp;IF(COUNTIFS($A$2:$A$5001,$A4792,$C$2:$C$5001,C4792)&gt;1,"Artikel doppelt im selben Lager; ",""))</f>
        <v/>
      </c>
      <c r="P4792" s="47" t="n">
        <f aca="false">IF(OR($A4792="",D4792=""),0,IF(COUNTIF($D$2:D4792,D4792)=1,SUMIF($D$2:$D$5001,D4792,$H$2:$H$5001)+ROW()/10000000,0))</f>
        <v>0</v>
      </c>
      <c r="Q4792" s="47" t="n">
        <f aca="false">IF(OR($A4792="",C4792=""),0,IF(COUNTIF($C$2:C4792,C4792)=1,SUMIF($C$2:$C$5001,C4792,$H$2:$H$5001)+ROW()/10000000,0))</f>
        <v>0</v>
      </c>
    </row>
    <row r="4793" customFormat="false" ht="15" hidden="false" customHeight="false" outlineLevel="0" collapsed="false">
      <c r="A4793" s="43"/>
      <c r="B4793" s="44"/>
      <c r="C4793" s="44"/>
      <c r="D4793" s="44"/>
      <c r="E4793" s="44"/>
      <c r="F4793" s="44"/>
      <c r="G4793" s="44"/>
      <c r="H4793" s="46" t="str">
        <f aca="false">IF($A4793="","",IF(OR(NOT(ISNUMBER(E4793)),NOT(ISNUMBER(F4793))),"",MAX(0,E4793)*F4793))</f>
        <v/>
      </c>
      <c r="I4793" s="46" t="str">
        <f aca="false">IF($A4793="","",SUMIF($A$2:$A$5001,$A4793,$H$2:$H$5001))</f>
        <v/>
      </c>
      <c r="J4793" s="47" t="n">
        <f aca="false">IF($A4793="",0,IF(COUNTIF($A$2:A4793,$A4793)=1,1,0))</f>
        <v>0</v>
      </c>
      <c r="K4793" s="47" t="n">
        <f aca="false">IF(J4793=1,N(I4793)+ROW()/10000000,0)</f>
        <v>0</v>
      </c>
      <c r="L4793" s="47" t="str">
        <f aca="false">IF(AND(J4793=1,N(I4793)&gt;0),SUMIF($K$2:$K$5001,"&gt;="&amp;K4793,$I$2:$I$5001)/MAX(1,SUM($H$2:$H$5001)),"")</f>
        <v/>
      </c>
      <c r="M4793" s="47" t="str">
        <f aca="false">IF($A4793="","",INDEX($L$2:$L$5001,MATCH($A4793,$A$2:$A$5001,0)))</f>
        <v/>
      </c>
      <c r="N4793" s="48" t="str">
        <f aca="false">IF($A4793="","",IF(N(M4793)=0,"–",IF(M4793&lt;=Start!$D$20,"A",IF(M4793&lt;=Start!$D$21,"B","C"))))</f>
        <v/>
      </c>
      <c r="O4793" s="48" t="str">
        <f aca="false">IF($A4793="","",IF(NOT(ISNUMBER(F4793)),"Wert fehlt; ",IF(F4793&lt;=0,"Wert ist 0; ",""))&amp;IF(NOT(ISNUMBER(E4793)),"Bestand fehlt; ",IF(E4793&lt;0,"Bestand negativ; ",IF(E4793=0,"Nullbestand; ","")))&amp;IF(D4793="","Warengruppe fehlt; ","")&amp;IF(B4793="","Bezeichnung fehlt; ","")&amp;IF(COUNTIFS($A$2:$A$5001,$A4793,$C$2:$C$5001,C4793)&gt;1,"Artikel doppelt im selben Lager; ",""))</f>
        <v/>
      </c>
      <c r="P4793" s="47" t="n">
        <f aca="false">IF(OR($A4793="",D4793=""),0,IF(COUNTIF($D$2:D4793,D4793)=1,SUMIF($D$2:$D$5001,D4793,$H$2:$H$5001)+ROW()/10000000,0))</f>
        <v>0</v>
      </c>
      <c r="Q4793" s="47" t="n">
        <f aca="false">IF(OR($A4793="",C4793=""),0,IF(COUNTIF($C$2:C4793,C4793)=1,SUMIF($C$2:$C$5001,C4793,$H$2:$H$5001)+ROW()/10000000,0))</f>
        <v>0</v>
      </c>
    </row>
    <row r="4794" customFormat="false" ht="15" hidden="false" customHeight="false" outlineLevel="0" collapsed="false">
      <c r="A4794" s="43"/>
      <c r="B4794" s="44"/>
      <c r="C4794" s="44"/>
      <c r="D4794" s="44"/>
      <c r="E4794" s="44"/>
      <c r="F4794" s="44"/>
      <c r="G4794" s="44"/>
      <c r="H4794" s="46" t="str">
        <f aca="false">IF($A4794="","",IF(OR(NOT(ISNUMBER(E4794)),NOT(ISNUMBER(F4794))),"",MAX(0,E4794)*F4794))</f>
        <v/>
      </c>
      <c r="I4794" s="46" t="str">
        <f aca="false">IF($A4794="","",SUMIF($A$2:$A$5001,$A4794,$H$2:$H$5001))</f>
        <v/>
      </c>
      <c r="J4794" s="47" t="n">
        <f aca="false">IF($A4794="",0,IF(COUNTIF($A$2:A4794,$A4794)=1,1,0))</f>
        <v>0</v>
      </c>
      <c r="K4794" s="47" t="n">
        <f aca="false">IF(J4794=1,N(I4794)+ROW()/10000000,0)</f>
        <v>0</v>
      </c>
      <c r="L4794" s="47" t="str">
        <f aca="false">IF(AND(J4794=1,N(I4794)&gt;0),SUMIF($K$2:$K$5001,"&gt;="&amp;K4794,$I$2:$I$5001)/MAX(1,SUM($H$2:$H$5001)),"")</f>
        <v/>
      </c>
      <c r="M4794" s="47" t="str">
        <f aca="false">IF($A4794="","",INDEX($L$2:$L$5001,MATCH($A4794,$A$2:$A$5001,0)))</f>
        <v/>
      </c>
      <c r="N4794" s="48" t="str">
        <f aca="false">IF($A4794="","",IF(N(M4794)=0,"–",IF(M4794&lt;=Start!$D$20,"A",IF(M4794&lt;=Start!$D$21,"B","C"))))</f>
        <v/>
      </c>
      <c r="O4794" s="48" t="str">
        <f aca="false">IF($A4794="","",IF(NOT(ISNUMBER(F4794)),"Wert fehlt; ",IF(F4794&lt;=0,"Wert ist 0; ",""))&amp;IF(NOT(ISNUMBER(E4794)),"Bestand fehlt; ",IF(E4794&lt;0,"Bestand negativ; ",IF(E4794=0,"Nullbestand; ","")))&amp;IF(D4794="","Warengruppe fehlt; ","")&amp;IF(B4794="","Bezeichnung fehlt; ","")&amp;IF(COUNTIFS($A$2:$A$5001,$A4794,$C$2:$C$5001,C4794)&gt;1,"Artikel doppelt im selben Lager; ",""))</f>
        <v/>
      </c>
      <c r="P4794" s="47" t="n">
        <f aca="false">IF(OR($A4794="",D4794=""),0,IF(COUNTIF($D$2:D4794,D4794)=1,SUMIF($D$2:$D$5001,D4794,$H$2:$H$5001)+ROW()/10000000,0))</f>
        <v>0</v>
      </c>
      <c r="Q4794" s="47" t="n">
        <f aca="false">IF(OR($A4794="",C4794=""),0,IF(COUNTIF($C$2:C4794,C4794)=1,SUMIF($C$2:$C$5001,C4794,$H$2:$H$5001)+ROW()/10000000,0))</f>
        <v>0</v>
      </c>
    </row>
    <row r="4795" customFormat="false" ht="15" hidden="false" customHeight="false" outlineLevel="0" collapsed="false">
      <c r="A4795" s="43"/>
      <c r="B4795" s="44"/>
      <c r="C4795" s="44"/>
      <c r="D4795" s="44"/>
      <c r="E4795" s="44"/>
      <c r="F4795" s="44"/>
      <c r="G4795" s="44"/>
      <c r="H4795" s="46" t="str">
        <f aca="false">IF($A4795="","",IF(OR(NOT(ISNUMBER(E4795)),NOT(ISNUMBER(F4795))),"",MAX(0,E4795)*F4795))</f>
        <v/>
      </c>
      <c r="I4795" s="46" t="str">
        <f aca="false">IF($A4795="","",SUMIF($A$2:$A$5001,$A4795,$H$2:$H$5001))</f>
        <v/>
      </c>
      <c r="J4795" s="47" t="n">
        <f aca="false">IF($A4795="",0,IF(COUNTIF($A$2:A4795,$A4795)=1,1,0))</f>
        <v>0</v>
      </c>
      <c r="K4795" s="47" t="n">
        <f aca="false">IF(J4795=1,N(I4795)+ROW()/10000000,0)</f>
        <v>0</v>
      </c>
      <c r="L4795" s="47" t="str">
        <f aca="false">IF(AND(J4795=1,N(I4795)&gt;0),SUMIF($K$2:$K$5001,"&gt;="&amp;K4795,$I$2:$I$5001)/MAX(1,SUM($H$2:$H$5001)),"")</f>
        <v/>
      </c>
      <c r="M4795" s="47" t="str">
        <f aca="false">IF($A4795="","",INDEX($L$2:$L$5001,MATCH($A4795,$A$2:$A$5001,0)))</f>
        <v/>
      </c>
      <c r="N4795" s="48" t="str">
        <f aca="false">IF($A4795="","",IF(N(M4795)=0,"–",IF(M4795&lt;=Start!$D$20,"A",IF(M4795&lt;=Start!$D$21,"B","C"))))</f>
        <v/>
      </c>
      <c r="O4795" s="48" t="str">
        <f aca="false">IF($A4795="","",IF(NOT(ISNUMBER(F4795)),"Wert fehlt; ",IF(F4795&lt;=0,"Wert ist 0; ",""))&amp;IF(NOT(ISNUMBER(E4795)),"Bestand fehlt; ",IF(E4795&lt;0,"Bestand negativ; ",IF(E4795=0,"Nullbestand; ","")))&amp;IF(D4795="","Warengruppe fehlt; ","")&amp;IF(B4795="","Bezeichnung fehlt; ","")&amp;IF(COUNTIFS($A$2:$A$5001,$A4795,$C$2:$C$5001,C4795)&gt;1,"Artikel doppelt im selben Lager; ",""))</f>
        <v/>
      </c>
      <c r="P4795" s="47" t="n">
        <f aca="false">IF(OR($A4795="",D4795=""),0,IF(COUNTIF($D$2:D4795,D4795)=1,SUMIF($D$2:$D$5001,D4795,$H$2:$H$5001)+ROW()/10000000,0))</f>
        <v>0</v>
      </c>
      <c r="Q4795" s="47" t="n">
        <f aca="false">IF(OR($A4795="",C4795=""),0,IF(COUNTIF($C$2:C4795,C4795)=1,SUMIF($C$2:$C$5001,C4795,$H$2:$H$5001)+ROW()/10000000,0))</f>
        <v>0</v>
      </c>
    </row>
    <row r="4796" customFormat="false" ht="15" hidden="false" customHeight="false" outlineLevel="0" collapsed="false">
      <c r="A4796" s="43"/>
      <c r="B4796" s="44"/>
      <c r="C4796" s="44"/>
      <c r="D4796" s="44"/>
      <c r="E4796" s="44"/>
      <c r="F4796" s="44"/>
      <c r="G4796" s="44"/>
      <c r="H4796" s="46" t="str">
        <f aca="false">IF($A4796="","",IF(OR(NOT(ISNUMBER(E4796)),NOT(ISNUMBER(F4796))),"",MAX(0,E4796)*F4796))</f>
        <v/>
      </c>
      <c r="I4796" s="46" t="str">
        <f aca="false">IF($A4796="","",SUMIF($A$2:$A$5001,$A4796,$H$2:$H$5001))</f>
        <v/>
      </c>
      <c r="J4796" s="47" t="n">
        <f aca="false">IF($A4796="",0,IF(COUNTIF($A$2:A4796,$A4796)=1,1,0))</f>
        <v>0</v>
      </c>
      <c r="K4796" s="47" t="n">
        <f aca="false">IF(J4796=1,N(I4796)+ROW()/10000000,0)</f>
        <v>0</v>
      </c>
      <c r="L4796" s="47" t="str">
        <f aca="false">IF(AND(J4796=1,N(I4796)&gt;0),SUMIF($K$2:$K$5001,"&gt;="&amp;K4796,$I$2:$I$5001)/MAX(1,SUM($H$2:$H$5001)),"")</f>
        <v/>
      </c>
      <c r="M4796" s="47" t="str">
        <f aca="false">IF($A4796="","",INDEX($L$2:$L$5001,MATCH($A4796,$A$2:$A$5001,0)))</f>
        <v/>
      </c>
      <c r="N4796" s="48" t="str">
        <f aca="false">IF($A4796="","",IF(N(M4796)=0,"–",IF(M4796&lt;=Start!$D$20,"A",IF(M4796&lt;=Start!$D$21,"B","C"))))</f>
        <v/>
      </c>
      <c r="O4796" s="48" t="str">
        <f aca="false">IF($A4796="","",IF(NOT(ISNUMBER(F4796)),"Wert fehlt; ",IF(F4796&lt;=0,"Wert ist 0; ",""))&amp;IF(NOT(ISNUMBER(E4796)),"Bestand fehlt; ",IF(E4796&lt;0,"Bestand negativ; ",IF(E4796=0,"Nullbestand; ","")))&amp;IF(D4796="","Warengruppe fehlt; ","")&amp;IF(B4796="","Bezeichnung fehlt; ","")&amp;IF(COUNTIFS($A$2:$A$5001,$A4796,$C$2:$C$5001,C4796)&gt;1,"Artikel doppelt im selben Lager; ",""))</f>
        <v/>
      </c>
      <c r="P4796" s="47" t="n">
        <f aca="false">IF(OR($A4796="",D4796=""),0,IF(COUNTIF($D$2:D4796,D4796)=1,SUMIF($D$2:$D$5001,D4796,$H$2:$H$5001)+ROW()/10000000,0))</f>
        <v>0</v>
      </c>
      <c r="Q4796" s="47" t="n">
        <f aca="false">IF(OR($A4796="",C4796=""),0,IF(COUNTIF($C$2:C4796,C4796)=1,SUMIF($C$2:$C$5001,C4796,$H$2:$H$5001)+ROW()/10000000,0))</f>
        <v>0</v>
      </c>
    </row>
    <row r="4797" customFormat="false" ht="15" hidden="false" customHeight="false" outlineLevel="0" collapsed="false">
      <c r="A4797" s="43"/>
      <c r="B4797" s="44"/>
      <c r="C4797" s="44"/>
      <c r="D4797" s="44"/>
      <c r="E4797" s="44"/>
      <c r="F4797" s="44"/>
      <c r="G4797" s="44"/>
      <c r="H4797" s="46" t="str">
        <f aca="false">IF($A4797="","",IF(OR(NOT(ISNUMBER(E4797)),NOT(ISNUMBER(F4797))),"",MAX(0,E4797)*F4797))</f>
        <v/>
      </c>
      <c r="I4797" s="46" t="str">
        <f aca="false">IF($A4797="","",SUMIF($A$2:$A$5001,$A4797,$H$2:$H$5001))</f>
        <v/>
      </c>
      <c r="J4797" s="47" t="n">
        <f aca="false">IF($A4797="",0,IF(COUNTIF($A$2:A4797,$A4797)=1,1,0))</f>
        <v>0</v>
      </c>
      <c r="K4797" s="47" t="n">
        <f aca="false">IF(J4797=1,N(I4797)+ROW()/10000000,0)</f>
        <v>0</v>
      </c>
      <c r="L4797" s="47" t="str">
        <f aca="false">IF(AND(J4797=1,N(I4797)&gt;0),SUMIF($K$2:$K$5001,"&gt;="&amp;K4797,$I$2:$I$5001)/MAX(1,SUM($H$2:$H$5001)),"")</f>
        <v/>
      </c>
      <c r="M4797" s="47" t="str">
        <f aca="false">IF($A4797="","",INDEX($L$2:$L$5001,MATCH($A4797,$A$2:$A$5001,0)))</f>
        <v/>
      </c>
      <c r="N4797" s="48" t="str">
        <f aca="false">IF($A4797="","",IF(N(M4797)=0,"–",IF(M4797&lt;=Start!$D$20,"A",IF(M4797&lt;=Start!$D$21,"B","C"))))</f>
        <v/>
      </c>
      <c r="O4797" s="48" t="str">
        <f aca="false">IF($A4797="","",IF(NOT(ISNUMBER(F4797)),"Wert fehlt; ",IF(F4797&lt;=0,"Wert ist 0; ",""))&amp;IF(NOT(ISNUMBER(E4797)),"Bestand fehlt; ",IF(E4797&lt;0,"Bestand negativ; ",IF(E4797=0,"Nullbestand; ","")))&amp;IF(D4797="","Warengruppe fehlt; ","")&amp;IF(B4797="","Bezeichnung fehlt; ","")&amp;IF(COUNTIFS($A$2:$A$5001,$A4797,$C$2:$C$5001,C4797)&gt;1,"Artikel doppelt im selben Lager; ",""))</f>
        <v/>
      </c>
      <c r="P4797" s="47" t="n">
        <f aca="false">IF(OR($A4797="",D4797=""),0,IF(COUNTIF($D$2:D4797,D4797)=1,SUMIF($D$2:$D$5001,D4797,$H$2:$H$5001)+ROW()/10000000,0))</f>
        <v>0</v>
      </c>
      <c r="Q4797" s="47" t="n">
        <f aca="false">IF(OR($A4797="",C4797=""),0,IF(COUNTIF($C$2:C4797,C4797)=1,SUMIF($C$2:$C$5001,C4797,$H$2:$H$5001)+ROW()/10000000,0))</f>
        <v>0</v>
      </c>
    </row>
    <row r="4798" customFormat="false" ht="15" hidden="false" customHeight="false" outlineLevel="0" collapsed="false">
      <c r="A4798" s="43"/>
      <c r="B4798" s="44"/>
      <c r="C4798" s="44"/>
      <c r="D4798" s="44"/>
      <c r="E4798" s="44"/>
      <c r="F4798" s="44"/>
      <c r="G4798" s="44"/>
      <c r="H4798" s="46" t="str">
        <f aca="false">IF($A4798="","",IF(OR(NOT(ISNUMBER(E4798)),NOT(ISNUMBER(F4798))),"",MAX(0,E4798)*F4798))</f>
        <v/>
      </c>
      <c r="I4798" s="46" t="str">
        <f aca="false">IF($A4798="","",SUMIF($A$2:$A$5001,$A4798,$H$2:$H$5001))</f>
        <v/>
      </c>
      <c r="J4798" s="47" t="n">
        <f aca="false">IF($A4798="",0,IF(COUNTIF($A$2:A4798,$A4798)=1,1,0))</f>
        <v>0</v>
      </c>
      <c r="K4798" s="47" t="n">
        <f aca="false">IF(J4798=1,N(I4798)+ROW()/10000000,0)</f>
        <v>0</v>
      </c>
      <c r="L4798" s="47" t="str">
        <f aca="false">IF(AND(J4798=1,N(I4798)&gt;0),SUMIF($K$2:$K$5001,"&gt;="&amp;K4798,$I$2:$I$5001)/MAX(1,SUM($H$2:$H$5001)),"")</f>
        <v/>
      </c>
      <c r="M4798" s="47" t="str">
        <f aca="false">IF($A4798="","",INDEX($L$2:$L$5001,MATCH($A4798,$A$2:$A$5001,0)))</f>
        <v/>
      </c>
      <c r="N4798" s="48" t="str">
        <f aca="false">IF($A4798="","",IF(N(M4798)=0,"–",IF(M4798&lt;=Start!$D$20,"A",IF(M4798&lt;=Start!$D$21,"B","C"))))</f>
        <v/>
      </c>
      <c r="O4798" s="48" t="str">
        <f aca="false">IF($A4798="","",IF(NOT(ISNUMBER(F4798)),"Wert fehlt; ",IF(F4798&lt;=0,"Wert ist 0; ",""))&amp;IF(NOT(ISNUMBER(E4798)),"Bestand fehlt; ",IF(E4798&lt;0,"Bestand negativ; ",IF(E4798=0,"Nullbestand; ","")))&amp;IF(D4798="","Warengruppe fehlt; ","")&amp;IF(B4798="","Bezeichnung fehlt; ","")&amp;IF(COUNTIFS($A$2:$A$5001,$A4798,$C$2:$C$5001,C4798)&gt;1,"Artikel doppelt im selben Lager; ",""))</f>
        <v/>
      </c>
      <c r="P4798" s="47" t="n">
        <f aca="false">IF(OR($A4798="",D4798=""),0,IF(COUNTIF($D$2:D4798,D4798)=1,SUMIF($D$2:$D$5001,D4798,$H$2:$H$5001)+ROW()/10000000,0))</f>
        <v>0</v>
      </c>
      <c r="Q4798" s="47" t="n">
        <f aca="false">IF(OR($A4798="",C4798=""),0,IF(COUNTIF($C$2:C4798,C4798)=1,SUMIF($C$2:$C$5001,C4798,$H$2:$H$5001)+ROW()/10000000,0))</f>
        <v>0</v>
      </c>
    </row>
    <row r="4799" customFormat="false" ht="15" hidden="false" customHeight="false" outlineLevel="0" collapsed="false">
      <c r="A4799" s="43"/>
      <c r="B4799" s="44"/>
      <c r="C4799" s="44"/>
      <c r="D4799" s="44"/>
      <c r="E4799" s="44"/>
      <c r="F4799" s="44"/>
      <c r="G4799" s="44"/>
      <c r="H4799" s="46" t="str">
        <f aca="false">IF($A4799="","",IF(OR(NOT(ISNUMBER(E4799)),NOT(ISNUMBER(F4799))),"",MAX(0,E4799)*F4799))</f>
        <v/>
      </c>
      <c r="I4799" s="46" t="str">
        <f aca="false">IF($A4799="","",SUMIF($A$2:$A$5001,$A4799,$H$2:$H$5001))</f>
        <v/>
      </c>
      <c r="J4799" s="47" t="n">
        <f aca="false">IF($A4799="",0,IF(COUNTIF($A$2:A4799,$A4799)=1,1,0))</f>
        <v>0</v>
      </c>
      <c r="K4799" s="47" t="n">
        <f aca="false">IF(J4799=1,N(I4799)+ROW()/10000000,0)</f>
        <v>0</v>
      </c>
      <c r="L4799" s="47" t="str">
        <f aca="false">IF(AND(J4799=1,N(I4799)&gt;0),SUMIF($K$2:$K$5001,"&gt;="&amp;K4799,$I$2:$I$5001)/MAX(1,SUM($H$2:$H$5001)),"")</f>
        <v/>
      </c>
      <c r="M4799" s="47" t="str">
        <f aca="false">IF($A4799="","",INDEX($L$2:$L$5001,MATCH($A4799,$A$2:$A$5001,0)))</f>
        <v/>
      </c>
      <c r="N4799" s="48" t="str">
        <f aca="false">IF($A4799="","",IF(N(M4799)=0,"–",IF(M4799&lt;=Start!$D$20,"A",IF(M4799&lt;=Start!$D$21,"B","C"))))</f>
        <v/>
      </c>
      <c r="O4799" s="48" t="str">
        <f aca="false">IF($A4799="","",IF(NOT(ISNUMBER(F4799)),"Wert fehlt; ",IF(F4799&lt;=0,"Wert ist 0; ",""))&amp;IF(NOT(ISNUMBER(E4799)),"Bestand fehlt; ",IF(E4799&lt;0,"Bestand negativ; ",IF(E4799=0,"Nullbestand; ","")))&amp;IF(D4799="","Warengruppe fehlt; ","")&amp;IF(B4799="","Bezeichnung fehlt; ","")&amp;IF(COUNTIFS($A$2:$A$5001,$A4799,$C$2:$C$5001,C4799)&gt;1,"Artikel doppelt im selben Lager; ",""))</f>
        <v/>
      </c>
      <c r="P4799" s="47" t="n">
        <f aca="false">IF(OR($A4799="",D4799=""),0,IF(COUNTIF($D$2:D4799,D4799)=1,SUMIF($D$2:$D$5001,D4799,$H$2:$H$5001)+ROW()/10000000,0))</f>
        <v>0</v>
      </c>
      <c r="Q4799" s="47" t="n">
        <f aca="false">IF(OR($A4799="",C4799=""),0,IF(COUNTIF($C$2:C4799,C4799)=1,SUMIF($C$2:$C$5001,C4799,$H$2:$H$5001)+ROW()/10000000,0))</f>
        <v>0</v>
      </c>
    </row>
    <row r="4800" customFormat="false" ht="15" hidden="false" customHeight="false" outlineLevel="0" collapsed="false">
      <c r="A4800" s="43"/>
      <c r="B4800" s="44"/>
      <c r="C4800" s="44"/>
      <c r="D4800" s="44"/>
      <c r="E4800" s="44"/>
      <c r="F4800" s="44"/>
      <c r="G4800" s="44"/>
      <c r="H4800" s="46" t="str">
        <f aca="false">IF($A4800="","",IF(OR(NOT(ISNUMBER(E4800)),NOT(ISNUMBER(F4800))),"",MAX(0,E4800)*F4800))</f>
        <v/>
      </c>
      <c r="I4800" s="46" t="str">
        <f aca="false">IF($A4800="","",SUMIF($A$2:$A$5001,$A4800,$H$2:$H$5001))</f>
        <v/>
      </c>
      <c r="J4800" s="47" t="n">
        <f aca="false">IF($A4800="",0,IF(COUNTIF($A$2:A4800,$A4800)=1,1,0))</f>
        <v>0</v>
      </c>
      <c r="K4800" s="47" t="n">
        <f aca="false">IF(J4800=1,N(I4800)+ROW()/10000000,0)</f>
        <v>0</v>
      </c>
      <c r="L4800" s="47" t="str">
        <f aca="false">IF(AND(J4800=1,N(I4800)&gt;0),SUMIF($K$2:$K$5001,"&gt;="&amp;K4800,$I$2:$I$5001)/MAX(1,SUM($H$2:$H$5001)),"")</f>
        <v/>
      </c>
      <c r="M4800" s="47" t="str">
        <f aca="false">IF($A4800="","",INDEX($L$2:$L$5001,MATCH($A4800,$A$2:$A$5001,0)))</f>
        <v/>
      </c>
      <c r="N4800" s="48" t="str">
        <f aca="false">IF($A4800="","",IF(N(M4800)=0,"–",IF(M4800&lt;=Start!$D$20,"A",IF(M4800&lt;=Start!$D$21,"B","C"))))</f>
        <v/>
      </c>
      <c r="O4800" s="48" t="str">
        <f aca="false">IF($A4800="","",IF(NOT(ISNUMBER(F4800)),"Wert fehlt; ",IF(F4800&lt;=0,"Wert ist 0; ",""))&amp;IF(NOT(ISNUMBER(E4800)),"Bestand fehlt; ",IF(E4800&lt;0,"Bestand negativ; ",IF(E4800=0,"Nullbestand; ","")))&amp;IF(D4800="","Warengruppe fehlt; ","")&amp;IF(B4800="","Bezeichnung fehlt; ","")&amp;IF(COUNTIFS($A$2:$A$5001,$A4800,$C$2:$C$5001,C4800)&gt;1,"Artikel doppelt im selben Lager; ",""))</f>
        <v/>
      </c>
      <c r="P4800" s="47" t="n">
        <f aca="false">IF(OR($A4800="",D4800=""),0,IF(COUNTIF($D$2:D4800,D4800)=1,SUMIF($D$2:$D$5001,D4800,$H$2:$H$5001)+ROW()/10000000,0))</f>
        <v>0</v>
      </c>
      <c r="Q4800" s="47" t="n">
        <f aca="false">IF(OR($A4800="",C4800=""),0,IF(COUNTIF($C$2:C4800,C4800)=1,SUMIF($C$2:$C$5001,C4800,$H$2:$H$5001)+ROW()/10000000,0))</f>
        <v>0</v>
      </c>
    </row>
    <row r="4801" customFormat="false" ht="15" hidden="false" customHeight="false" outlineLevel="0" collapsed="false">
      <c r="A4801" s="43"/>
      <c r="B4801" s="44"/>
      <c r="C4801" s="44"/>
      <c r="D4801" s="44"/>
      <c r="E4801" s="44"/>
      <c r="F4801" s="44"/>
      <c r="G4801" s="44"/>
      <c r="H4801" s="46" t="str">
        <f aca="false">IF($A4801="","",IF(OR(NOT(ISNUMBER(E4801)),NOT(ISNUMBER(F4801))),"",MAX(0,E4801)*F4801))</f>
        <v/>
      </c>
      <c r="I4801" s="46" t="str">
        <f aca="false">IF($A4801="","",SUMIF($A$2:$A$5001,$A4801,$H$2:$H$5001))</f>
        <v/>
      </c>
      <c r="J4801" s="47" t="n">
        <f aca="false">IF($A4801="",0,IF(COUNTIF($A$2:A4801,$A4801)=1,1,0))</f>
        <v>0</v>
      </c>
      <c r="K4801" s="47" t="n">
        <f aca="false">IF(J4801=1,N(I4801)+ROW()/10000000,0)</f>
        <v>0</v>
      </c>
      <c r="L4801" s="47" t="str">
        <f aca="false">IF(AND(J4801=1,N(I4801)&gt;0),SUMIF($K$2:$K$5001,"&gt;="&amp;K4801,$I$2:$I$5001)/MAX(1,SUM($H$2:$H$5001)),"")</f>
        <v/>
      </c>
      <c r="M4801" s="47" t="str">
        <f aca="false">IF($A4801="","",INDEX($L$2:$L$5001,MATCH($A4801,$A$2:$A$5001,0)))</f>
        <v/>
      </c>
      <c r="N4801" s="48" t="str">
        <f aca="false">IF($A4801="","",IF(N(M4801)=0,"–",IF(M4801&lt;=Start!$D$20,"A",IF(M4801&lt;=Start!$D$21,"B","C"))))</f>
        <v/>
      </c>
      <c r="O4801" s="48" t="str">
        <f aca="false">IF($A4801="","",IF(NOT(ISNUMBER(F4801)),"Wert fehlt; ",IF(F4801&lt;=0,"Wert ist 0; ",""))&amp;IF(NOT(ISNUMBER(E4801)),"Bestand fehlt; ",IF(E4801&lt;0,"Bestand negativ; ",IF(E4801=0,"Nullbestand; ","")))&amp;IF(D4801="","Warengruppe fehlt; ","")&amp;IF(B4801="","Bezeichnung fehlt; ","")&amp;IF(COUNTIFS($A$2:$A$5001,$A4801,$C$2:$C$5001,C4801)&gt;1,"Artikel doppelt im selben Lager; ",""))</f>
        <v/>
      </c>
      <c r="P4801" s="47" t="n">
        <f aca="false">IF(OR($A4801="",D4801=""),0,IF(COUNTIF($D$2:D4801,D4801)=1,SUMIF($D$2:$D$5001,D4801,$H$2:$H$5001)+ROW()/10000000,0))</f>
        <v>0</v>
      </c>
      <c r="Q4801" s="47" t="n">
        <f aca="false">IF(OR($A4801="",C4801=""),0,IF(COUNTIF($C$2:C4801,C4801)=1,SUMIF($C$2:$C$5001,C4801,$H$2:$H$5001)+ROW()/10000000,0))</f>
        <v>0</v>
      </c>
    </row>
    <row r="4802" customFormat="false" ht="15" hidden="false" customHeight="false" outlineLevel="0" collapsed="false">
      <c r="A4802" s="43"/>
      <c r="B4802" s="44"/>
      <c r="C4802" s="44"/>
      <c r="D4802" s="44"/>
      <c r="E4802" s="44"/>
      <c r="F4802" s="44"/>
      <c r="G4802" s="44"/>
      <c r="H4802" s="46" t="str">
        <f aca="false">IF($A4802="","",IF(OR(NOT(ISNUMBER(E4802)),NOT(ISNUMBER(F4802))),"",MAX(0,E4802)*F4802))</f>
        <v/>
      </c>
      <c r="I4802" s="46" t="str">
        <f aca="false">IF($A4802="","",SUMIF($A$2:$A$5001,$A4802,$H$2:$H$5001))</f>
        <v/>
      </c>
      <c r="J4802" s="47" t="n">
        <f aca="false">IF($A4802="",0,IF(COUNTIF($A$2:A4802,$A4802)=1,1,0))</f>
        <v>0</v>
      </c>
      <c r="K4802" s="47" t="n">
        <f aca="false">IF(J4802=1,N(I4802)+ROW()/10000000,0)</f>
        <v>0</v>
      </c>
      <c r="L4802" s="47" t="str">
        <f aca="false">IF(AND(J4802=1,N(I4802)&gt;0),SUMIF($K$2:$K$5001,"&gt;="&amp;K4802,$I$2:$I$5001)/MAX(1,SUM($H$2:$H$5001)),"")</f>
        <v/>
      </c>
      <c r="M4802" s="47" t="str">
        <f aca="false">IF($A4802="","",INDEX($L$2:$L$5001,MATCH($A4802,$A$2:$A$5001,0)))</f>
        <v/>
      </c>
      <c r="N4802" s="48" t="str">
        <f aca="false">IF($A4802="","",IF(N(M4802)=0,"–",IF(M4802&lt;=Start!$D$20,"A",IF(M4802&lt;=Start!$D$21,"B","C"))))</f>
        <v/>
      </c>
      <c r="O4802" s="48" t="str">
        <f aca="false">IF($A4802="","",IF(NOT(ISNUMBER(F4802)),"Wert fehlt; ",IF(F4802&lt;=0,"Wert ist 0; ",""))&amp;IF(NOT(ISNUMBER(E4802)),"Bestand fehlt; ",IF(E4802&lt;0,"Bestand negativ; ",IF(E4802=0,"Nullbestand; ","")))&amp;IF(D4802="","Warengruppe fehlt; ","")&amp;IF(B4802="","Bezeichnung fehlt; ","")&amp;IF(COUNTIFS($A$2:$A$5001,$A4802,$C$2:$C$5001,C4802)&gt;1,"Artikel doppelt im selben Lager; ",""))</f>
        <v/>
      </c>
      <c r="P4802" s="47" t="n">
        <f aca="false">IF(OR($A4802="",D4802=""),0,IF(COUNTIF($D$2:D4802,D4802)=1,SUMIF($D$2:$D$5001,D4802,$H$2:$H$5001)+ROW()/10000000,0))</f>
        <v>0</v>
      </c>
      <c r="Q4802" s="47" t="n">
        <f aca="false">IF(OR($A4802="",C4802=""),0,IF(COUNTIF($C$2:C4802,C4802)=1,SUMIF($C$2:$C$5001,C4802,$H$2:$H$5001)+ROW()/10000000,0))</f>
        <v>0</v>
      </c>
    </row>
    <row r="4803" customFormat="false" ht="15" hidden="false" customHeight="false" outlineLevel="0" collapsed="false">
      <c r="A4803" s="43"/>
      <c r="B4803" s="44"/>
      <c r="C4803" s="44"/>
      <c r="D4803" s="44"/>
      <c r="E4803" s="44"/>
      <c r="F4803" s="44"/>
      <c r="G4803" s="44"/>
      <c r="H4803" s="46" t="str">
        <f aca="false">IF($A4803="","",IF(OR(NOT(ISNUMBER(E4803)),NOT(ISNUMBER(F4803))),"",MAX(0,E4803)*F4803))</f>
        <v/>
      </c>
      <c r="I4803" s="46" t="str">
        <f aca="false">IF($A4803="","",SUMIF($A$2:$A$5001,$A4803,$H$2:$H$5001))</f>
        <v/>
      </c>
      <c r="J4803" s="47" t="n">
        <f aca="false">IF($A4803="",0,IF(COUNTIF($A$2:A4803,$A4803)=1,1,0))</f>
        <v>0</v>
      </c>
      <c r="K4803" s="47" t="n">
        <f aca="false">IF(J4803=1,N(I4803)+ROW()/10000000,0)</f>
        <v>0</v>
      </c>
      <c r="L4803" s="47" t="str">
        <f aca="false">IF(AND(J4803=1,N(I4803)&gt;0),SUMIF($K$2:$K$5001,"&gt;="&amp;K4803,$I$2:$I$5001)/MAX(1,SUM($H$2:$H$5001)),"")</f>
        <v/>
      </c>
      <c r="M4803" s="47" t="str">
        <f aca="false">IF($A4803="","",INDEX($L$2:$L$5001,MATCH($A4803,$A$2:$A$5001,0)))</f>
        <v/>
      </c>
      <c r="N4803" s="48" t="str">
        <f aca="false">IF($A4803="","",IF(N(M4803)=0,"–",IF(M4803&lt;=Start!$D$20,"A",IF(M4803&lt;=Start!$D$21,"B","C"))))</f>
        <v/>
      </c>
      <c r="O4803" s="48" t="str">
        <f aca="false">IF($A4803="","",IF(NOT(ISNUMBER(F4803)),"Wert fehlt; ",IF(F4803&lt;=0,"Wert ist 0; ",""))&amp;IF(NOT(ISNUMBER(E4803)),"Bestand fehlt; ",IF(E4803&lt;0,"Bestand negativ; ",IF(E4803=0,"Nullbestand; ","")))&amp;IF(D4803="","Warengruppe fehlt; ","")&amp;IF(B4803="","Bezeichnung fehlt; ","")&amp;IF(COUNTIFS($A$2:$A$5001,$A4803,$C$2:$C$5001,C4803)&gt;1,"Artikel doppelt im selben Lager; ",""))</f>
        <v/>
      </c>
      <c r="P4803" s="47" t="n">
        <f aca="false">IF(OR($A4803="",D4803=""),0,IF(COUNTIF($D$2:D4803,D4803)=1,SUMIF($D$2:$D$5001,D4803,$H$2:$H$5001)+ROW()/10000000,0))</f>
        <v>0</v>
      </c>
      <c r="Q4803" s="47" t="n">
        <f aca="false">IF(OR($A4803="",C4803=""),0,IF(COUNTIF($C$2:C4803,C4803)=1,SUMIF($C$2:$C$5001,C4803,$H$2:$H$5001)+ROW()/10000000,0))</f>
        <v>0</v>
      </c>
    </row>
    <row r="4804" customFormat="false" ht="15" hidden="false" customHeight="false" outlineLevel="0" collapsed="false">
      <c r="A4804" s="43"/>
      <c r="B4804" s="44"/>
      <c r="C4804" s="44"/>
      <c r="D4804" s="44"/>
      <c r="E4804" s="44"/>
      <c r="F4804" s="44"/>
      <c r="G4804" s="44"/>
      <c r="H4804" s="46" t="str">
        <f aca="false">IF($A4804="","",IF(OR(NOT(ISNUMBER(E4804)),NOT(ISNUMBER(F4804))),"",MAX(0,E4804)*F4804))</f>
        <v/>
      </c>
      <c r="I4804" s="46" t="str">
        <f aca="false">IF($A4804="","",SUMIF($A$2:$A$5001,$A4804,$H$2:$H$5001))</f>
        <v/>
      </c>
      <c r="J4804" s="47" t="n">
        <f aca="false">IF($A4804="",0,IF(COUNTIF($A$2:A4804,$A4804)=1,1,0))</f>
        <v>0</v>
      </c>
      <c r="K4804" s="47" t="n">
        <f aca="false">IF(J4804=1,N(I4804)+ROW()/10000000,0)</f>
        <v>0</v>
      </c>
      <c r="L4804" s="47" t="str">
        <f aca="false">IF(AND(J4804=1,N(I4804)&gt;0),SUMIF($K$2:$K$5001,"&gt;="&amp;K4804,$I$2:$I$5001)/MAX(1,SUM($H$2:$H$5001)),"")</f>
        <v/>
      </c>
      <c r="M4804" s="47" t="str">
        <f aca="false">IF($A4804="","",INDEX($L$2:$L$5001,MATCH($A4804,$A$2:$A$5001,0)))</f>
        <v/>
      </c>
      <c r="N4804" s="48" t="str">
        <f aca="false">IF($A4804="","",IF(N(M4804)=0,"–",IF(M4804&lt;=Start!$D$20,"A",IF(M4804&lt;=Start!$D$21,"B","C"))))</f>
        <v/>
      </c>
      <c r="O4804" s="48" t="str">
        <f aca="false">IF($A4804="","",IF(NOT(ISNUMBER(F4804)),"Wert fehlt; ",IF(F4804&lt;=0,"Wert ist 0; ",""))&amp;IF(NOT(ISNUMBER(E4804)),"Bestand fehlt; ",IF(E4804&lt;0,"Bestand negativ; ",IF(E4804=0,"Nullbestand; ","")))&amp;IF(D4804="","Warengruppe fehlt; ","")&amp;IF(B4804="","Bezeichnung fehlt; ","")&amp;IF(COUNTIFS($A$2:$A$5001,$A4804,$C$2:$C$5001,C4804)&gt;1,"Artikel doppelt im selben Lager; ",""))</f>
        <v/>
      </c>
      <c r="P4804" s="47" t="n">
        <f aca="false">IF(OR($A4804="",D4804=""),0,IF(COUNTIF($D$2:D4804,D4804)=1,SUMIF($D$2:$D$5001,D4804,$H$2:$H$5001)+ROW()/10000000,0))</f>
        <v>0</v>
      </c>
      <c r="Q4804" s="47" t="n">
        <f aca="false">IF(OR($A4804="",C4804=""),0,IF(COUNTIF($C$2:C4804,C4804)=1,SUMIF($C$2:$C$5001,C4804,$H$2:$H$5001)+ROW()/10000000,0))</f>
        <v>0</v>
      </c>
    </row>
    <row r="4805" customFormat="false" ht="15" hidden="false" customHeight="false" outlineLevel="0" collapsed="false">
      <c r="A4805" s="43"/>
      <c r="B4805" s="44"/>
      <c r="C4805" s="44"/>
      <c r="D4805" s="44"/>
      <c r="E4805" s="44"/>
      <c r="F4805" s="44"/>
      <c r="G4805" s="44"/>
      <c r="H4805" s="46" t="str">
        <f aca="false">IF($A4805="","",IF(OR(NOT(ISNUMBER(E4805)),NOT(ISNUMBER(F4805))),"",MAX(0,E4805)*F4805))</f>
        <v/>
      </c>
      <c r="I4805" s="46" t="str">
        <f aca="false">IF($A4805="","",SUMIF($A$2:$A$5001,$A4805,$H$2:$H$5001))</f>
        <v/>
      </c>
      <c r="J4805" s="47" t="n">
        <f aca="false">IF($A4805="",0,IF(COUNTIF($A$2:A4805,$A4805)=1,1,0))</f>
        <v>0</v>
      </c>
      <c r="K4805" s="47" t="n">
        <f aca="false">IF(J4805=1,N(I4805)+ROW()/10000000,0)</f>
        <v>0</v>
      </c>
      <c r="L4805" s="47" t="str">
        <f aca="false">IF(AND(J4805=1,N(I4805)&gt;0),SUMIF($K$2:$K$5001,"&gt;="&amp;K4805,$I$2:$I$5001)/MAX(1,SUM($H$2:$H$5001)),"")</f>
        <v/>
      </c>
      <c r="M4805" s="47" t="str">
        <f aca="false">IF($A4805="","",INDEX($L$2:$L$5001,MATCH($A4805,$A$2:$A$5001,0)))</f>
        <v/>
      </c>
      <c r="N4805" s="48" t="str">
        <f aca="false">IF($A4805="","",IF(N(M4805)=0,"–",IF(M4805&lt;=Start!$D$20,"A",IF(M4805&lt;=Start!$D$21,"B","C"))))</f>
        <v/>
      </c>
      <c r="O4805" s="48" t="str">
        <f aca="false">IF($A4805="","",IF(NOT(ISNUMBER(F4805)),"Wert fehlt; ",IF(F4805&lt;=0,"Wert ist 0; ",""))&amp;IF(NOT(ISNUMBER(E4805)),"Bestand fehlt; ",IF(E4805&lt;0,"Bestand negativ; ",IF(E4805=0,"Nullbestand; ","")))&amp;IF(D4805="","Warengruppe fehlt; ","")&amp;IF(B4805="","Bezeichnung fehlt; ","")&amp;IF(COUNTIFS($A$2:$A$5001,$A4805,$C$2:$C$5001,C4805)&gt;1,"Artikel doppelt im selben Lager; ",""))</f>
        <v/>
      </c>
      <c r="P4805" s="47" t="n">
        <f aca="false">IF(OR($A4805="",D4805=""),0,IF(COUNTIF($D$2:D4805,D4805)=1,SUMIF($D$2:$D$5001,D4805,$H$2:$H$5001)+ROW()/10000000,0))</f>
        <v>0</v>
      </c>
      <c r="Q4805" s="47" t="n">
        <f aca="false">IF(OR($A4805="",C4805=""),0,IF(COUNTIF($C$2:C4805,C4805)=1,SUMIF($C$2:$C$5001,C4805,$H$2:$H$5001)+ROW()/10000000,0))</f>
        <v>0</v>
      </c>
    </row>
    <row r="4806" customFormat="false" ht="15" hidden="false" customHeight="false" outlineLevel="0" collapsed="false">
      <c r="A4806" s="43"/>
      <c r="B4806" s="44"/>
      <c r="C4806" s="44"/>
      <c r="D4806" s="44"/>
      <c r="E4806" s="44"/>
      <c r="F4806" s="44"/>
      <c r="G4806" s="44"/>
      <c r="H4806" s="46" t="str">
        <f aca="false">IF($A4806="","",IF(OR(NOT(ISNUMBER(E4806)),NOT(ISNUMBER(F4806))),"",MAX(0,E4806)*F4806))</f>
        <v/>
      </c>
      <c r="I4806" s="46" t="str">
        <f aca="false">IF($A4806="","",SUMIF($A$2:$A$5001,$A4806,$H$2:$H$5001))</f>
        <v/>
      </c>
      <c r="J4806" s="47" t="n">
        <f aca="false">IF($A4806="",0,IF(COUNTIF($A$2:A4806,$A4806)=1,1,0))</f>
        <v>0</v>
      </c>
      <c r="K4806" s="47" t="n">
        <f aca="false">IF(J4806=1,N(I4806)+ROW()/10000000,0)</f>
        <v>0</v>
      </c>
      <c r="L4806" s="47" t="str">
        <f aca="false">IF(AND(J4806=1,N(I4806)&gt;0),SUMIF($K$2:$K$5001,"&gt;="&amp;K4806,$I$2:$I$5001)/MAX(1,SUM($H$2:$H$5001)),"")</f>
        <v/>
      </c>
      <c r="M4806" s="47" t="str">
        <f aca="false">IF($A4806="","",INDEX($L$2:$L$5001,MATCH($A4806,$A$2:$A$5001,0)))</f>
        <v/>
      </c>
      <c r="N4806" s="48" t="str">
        <f aca="false">IF($A4806="","",IF(N(M4806)=0,"–",IF(M4806&lt;=Start!$D$20,"A",IF(M4806&lt;=Start!$D$21,"B","C"))))</f>
        <v/>
      </c>
      <c r="O4806" s="48" t="str">
        <f aca="false">IF($A4806="","",IF(NOT(ISNUMBER(F4806)),"Wert fehlt; ",IF(F4806&lt;=0,"Wert ist 0; ",""))&amp;IF(NOT(ISNUMBER(E4806)),"Bestand fehlt; ",IF(E4806&lt;0,"Bestand negativ; ",IF(E4806=0,"Nullbestand; ","")))&amp;IF(D4806="","Warengruppe fehlt; ","")&amp;IF(B4806="","Bezeichnung fehlt; ","")&amp;IF(COUNTIFS($A$2:$A$5001,$A4806,$C$2:$C$5001,C4806)&gt;1,"Artikel doppelt im selben Lager; ",""))</f>
        <v/>
      </c>
      <c r="P4806" s="47" t="n">
        <f aca="false">IF(OR($A4806="",D4806=""),0,IF(COUNTIF($D$2:D4806,D4806)=1,SUMIF($D$2:$D$5001,D4806,$H$2:$H$5001)+ROW()/10000000,0))</f>
        <v>0</v>
      </c>
      <c r="Q4806" s="47" t="n">
        <f aca="false">IF(OR($A4806="",C4806=""),0,IF(COUNTIF($C$2:C4806,C4806)=1,SUMIF($C$2:$C$5001,C4806,$H$2:$H$5001)+ROW()/10000000,0))</f>
        <v>0</v>
      </c>
    </row>
    <row r="4807" customFormat="false" ht="15" hidden="false" customHeight="false" outlineLevel="0" collapsed="false">
      <c r="A4807" s="43"/>
      <c r="B4807" s="44"/>
      <c r="C4807" s="44"/>
      <c r="D4807" s="44"/>
      <c r="E4807" s="44"/>
      <c r="F4807" s="44"/>
      <c r="G4807" s="44"/>
      <c r="H4807" s="46" t="str">
        <f aca="false">IF($A4807="","",IF(OR(NOT(ISNUMBER(E4807)),NOT(ISNUMBER(F4807))),"",MAX(0,E4807)*F4807))</f>
        <v/>
      </c>
      <c r="I4807" s="46" t="str">
        <f aca="false">IF($A4807="","",SUMIF($A$2:$A$5001,$A4807,$H$2:$H$5001))</f>
        <v/>
      </c>
      <c r="J4807" s="47" t="n">
        <f aca="false">IF($A4807="",0,IF(COUNTIF($A$2:A4807,$A4807)=1,1,0))</f>
        <v>0</v>
      </c>
      <c r="K4807" s="47" t="n">
        <f aca="false">IF(J4807=1,N(I4807)+ROW()/10000000,0)</f>
        <v>0</v>
      </c>
      <c r="L4807" s="47" t="str">
        <f aca="false">IF(AND(J4807=1,N(I4807)&gt;0),SUMIF($K$2:$K$5001,"&gt;="&amp;K4807,$I$2:$I$5001)/MAX(1,SUM($H$2:$H$5001)),"")</f>
        <v/>
      </c>
      <c r="M4807" s="47" t="str">
        <f aca="false">IF($A4807="","",INDEX($L$2:$L$5001,MATCH($A4807,$A$2:$A$5001,0)))</f>
        <v/>
      </c>
      <c r="N4807" s="48" t="str">
        <f aca="false">IF($A4807="","",IF(N(M4807)=0,"–",IF(M4807&lt;=Start!$D$20,"A",IF(M4807&lt;=Start!$D$21,"B","C"))))</f>
        <v/>
      </c>
      <c r="O4807" s="48" t="str">
        <f aca="false">IF($A4807="","",IF(NOT(ISNUMBER(F4807)),"Wert fehlt; ",IF(F4807&lt;=0,"Wert ist 0; ",""))&amp;IF(NOT(ISNUMBER(E4807)),"Bestand fehlt; ",IF(E4807&lt;0,"Bestand negativ; ",IF(E4807=0,"Nullbestand; ","")))&amp;IF(D4807="","Warengruppe fehlt; ","")&amp;IF(B4807="","Bezeichnung fehlt; ","")&amp;IF(COUNTIFS($A$2:$A$5001,$A4807,$C$2:$C$5001,C4807)&gt;1,"Artikel doppelt im selben Lager; ",""))</f>
        <v/>
      </c>
      <c r="P4807" s="47" t="n">
        <f aca="false">IF(OR($A4807="",D4807=""),0,IF(COUNTIF($D$2:D4807,D4807)=1,SUMIF($D$2:$D$5001,D4807,$H$2:$H$5001)+ROW()/10000000,0))</f>
        <v>0</v>
      </c>
      <c r="Q4807" s="47" t="n">
        <f aca="false">IF(OR($A4807="",C4807=""),0,IF(COUNTIF($C$2:C4807,C4807)=1,SUMIF($C$2:$C$5001,C4807,$H$2:$H$5001)+ROW()/10000000,0))</f>
        <v>0</v>
      </c>
    </row>
    <row r="4808" customFormat="false" ht="15" hidden="false" customHeight="false" outlineLevel="0" collapsed="false">
      <c r="A4808" s="43"/>
      <c r="B4808" s="44"/>
      <c r="C4808" s="44"/>
      <c r="D4808" s="44"/>
      <c r="E4808" s="44"/>
      <c r="F4808" s="44"/>
      <c r="G4808" s="44"/>
      <c r="H4808" s="46" t="str">
        <f aca="false">IF($A4808="","",IF(OR(NOT(ISNUMBER(E4808)),NOT(ISNUMBER(F4808))),"",MAX(0,E4808)*F4808))</f>
        <v/>
      </c>
      <c r="I4808" s="46" t="str">
        <f aca="false">IF($A4808="","",SUMIF($A$2:$A$5001,$A4808,$H$2:$H$5001))</f>
        <v/>
      </c>
      <c r="J4808" s="47" t="n">
        <f aca="false">IF($A4808="",0,IF(COUNTIF($A$2:A4808,$A4808)=1,1,0))</f>
        <v>0</v>
      </c>
      <c r="K4808" s="47" t="n">
        <f aca="false">IF(J4808=1,N(I4808)+ROW()/10000000,0)</f>
        <v>0</v>
      </c>
      <c r="L4808" s="47" t="str">
        <f aca="false">IF(AND(J4808=1,N(I4808)&gt;0),SUMIF($K$2:$K$5001,"&gt;="&amp;K4808,$I$2:$I$5001)/MAX(1,SUM($H$2:$H$5001)),"")</f>
        <v/>
      </c>
      <c r="M4808" s="47" t="str">
        <f aca="false">IF($A4808="","",INDEX($L$2:$L$5001,MATCH($A4808,$A$2:$A$5001,0)))</f>
        <v/>
      </c>
      <c r="N4808" s="48" t="str">
        <f aca="false">IF($A4808="","",IF(N(M4808)=0,"–",IF(M4808&lt;=Start!$D$20,"A",IF(M4808&lt;=Start!$D$21,"B","C"))))</f>
        <v/>
      </c>
      <c r="O4808" s="48" t="str">
        <f aca="false">IF($A4808="","",IF(NOT(ISNUMBER(F4808)),"Wert fehlt; ",IF(F4808&lt;=0,"Wert ist 0; ",""))&amp;IF(NOT(ISNUMBER(E4808)),"Bestand fehlt; ",IF(E4808&lt;0,"Bestand negativ; ",IF(E4808=0,"Nullbestand; ","")))&amp;IF(D4808="","Warengruppe fehlt; ","")&amp;IF(B4808="","Bezeichnung fehlt; ","")&amp;IF(COUNTIFS($A$2:$A$5001,$A4808,$C$2:$C$5001,C4808)&gt;1,"Artikel doppelt im selben Lager; ",""))</f>
        <v/>
      </c>
      <c r="P4808" s="47" t="n">
        <f aca="false">IF(OR($A4808="",D4808=""),0,IF(COUNTIF($D$2:D4808,D4808)=1,SUMIF($D$2:$D$5001,D4808,$H$2:$H$5001)+ROW()/10000000,0))</f>
        <v>0</v>
      </c>
      <c r="Q4808" s="47" t="n">
        <f aca="false">IF(OR($A4808="",C4808=""),0,IF(COUNTIF($C$2:C4808,C4808)=1,SUMIF($C$2:$C$5001,C4808,$H$2:$H$5001)+ROW()/10000000,0))</f>
        <v>0</v>
      </c>
    </row>
    <row r="4809" customFormat="false" ht="15" hidden="false" customHeight="false" outlineLevel="0" collapsed="false">
      <c r="A4809" s="43"/>
      <c r="B4809" s="44"/>
      <c r="C4809" s="44"/>
      <c r="D4809" s="44"/>
      <c r="E4809" s="44"/>
      <c r="F4809" s="44"/>
      <c r="G4809" s="44"/>
      <c r="H4809" s="46" t="str">
        <f aca="false">IF($A4809="","",IF(OR(NOT(ISNUMBER(E4809)),NOT(ISNUMBER(F4809))),"",MAX(0,E4809)*F4809))</f>
        <v/>
      </c>
      <c r="I4809" s="46" t="str">
        <f aca="false">IF($A4809="","",SUMIF($A$2:$A$5001,$A4809,$H$2:$H$5001))</f>
        <v/>
      </c>
      <c r="J4809" s="47" t="n">
        <f aca="false">IF($A4809="",0,IF(COUNTIF($A$2:A4809,$A4809)=1,1,0))</f>
        <v>0</v>
      </c>
      <c r="K4809" s="47" t="n">
        <f aca="false">IF(J4809=1,N(I4809)+ROW()/10000000,0)</f>
        <v>0</v>
      </c>
      <c r="L4809" s="47" t="str">
        <f aca="false">IF(AND(J4809=1,N(I4809)&gt;0),SUMIF($K$2:$K$5001,"&gt;="&amp;K4809,$I$2:$I$5001)/MAX(1,SUM($H$2:$H$5001)),"")</f>
        <v/>
      </c>
      <c r="M4809" s="47" t="str">
        <f aca="false">IF($A4809="","",INDEX($L$2:$L$5001,MATCH($A4809,$A$2:$A$5001,0)))</f>
        <v/>
      </c>
      <c r="N4809" s="48" t="str">
        <f aca="false">IF($A4809="","",IF(N(M4809)=0,"–",IF(M4809&lt;=Start!$D$20,"A",IF(M4809&lt;=Start!$D$21,"B","C"))))</f>
        <v/>
      </c>
      <c r="O4809" s="48" t="str">
        <f aca="false">IF($A4809="","",IF(NOT(ISNUMBER(F4809)),"Wert fehlt; ",IF(F4809&lt;=0,"Wert ist 0; ",""))&amp;IF(NOT(ISNUMBER(E4809)),"Bestand fehlt; ",IF(E4809&lt;0,"Bestand negativ; ",IF(E4809=0,"Nullbestand; ","")))&amp;IF(D4809="","Warengruppe fehlt; ","")&amp;IF(B4809="","Bezeichnung fehlt; ","")&amp;IF(COUNTIFS($A$2:$A$5001,$A4809,$C$2:$C$5001,C4809)&gt;1,"Artikel doppelt im selben Lager; ",""))</f>
        <v/>
      </c>
      <c r="P4809" s="47" t="n">
        <f aca="false">IF(OR($A4809="",D4809=""),0,IF(COUNTIF($D$2:D4809,D4809)=1,SUMIF($D$2:$D$5001,D4809,$H$2:$H$5001)+ROW()/10000000,0))</f>
        <v>0</v>
      </c>
      <c r="Q4809" s="47" t="n">
        <f aca="false">IF(OR($A4809="",C4809=""),0,IF(COUNTIF($C$2:C4809,C4809)=1,SUMIF($C$2:$C$5001,C4809,$H$2:$H$5001)+ROW()/10000000,0))</f>
        <v>0</v>
      </c>
    </row>
    <row r="4810" customFormat="false" ht="15" hidden="false" customHeight="false" outlineLevel="0" collapsed="false">
      <c r="A4810" s="43"/>
      <c r="B4810" s="44"/>
      <c r="C4810" s="44"/>
      <c r="D4810" s="44"/>
      <c r="E4810" s="44"/>
      <c r="F4810" s="44"/>
      <c r="G4810" s="44"/>
      <c r="H4810" s="46" t="str">
        <f aca="false">IF($A4810="","",IF(OR(NOT(ISNUMBER(E4810)),NOT(ISNUMBER(F4810))),"",MAX(0,E4810)*F4810))</f>
        <v/>
      </c>
      <c r="I4810" s="46" t="str">
        <f aca="false">IF($A4810="","",SUMIF($A$2:$A$5001,$A4810,$H$2:$H$5001))</f>
        <v/>
      </c>
      <c r="J4810" s="47" t="n">
        <f aca="false">IF($A4810="",0,IF(COUNTIF($A$2:A4810,$A4810)=1,1,0))</f>
        <v>0</v>
      </c>
      <c r="K4810" s="47" t="n">
        <f aca="false">IF(J4810=1,N(I4810)+ROW()/10000000,0)</f>
        <v>0</v>
      </c>
      <c r="L4810" s="47" t="str">
        <f aca="false">IF(AND(J4810=1,N(I4810)&gt;0),SUMIF($K$2:$K$5001,"&gt;="&amp;K4810,$I$2:$I$5001)/MAX(1,SUM($H$2:$H$5001)),"")</f>
        <v/>
      </c>
      <c r="M4810" s="47" t="str">
        <f aca="false">IF($A4810="","",INDEX($L$2:$L$5001,MATCH($A4810,$A$2:$A$5001,0)))</f>
        <v/>
      </c>
      <c r="N4810" s="48" t="str">
        <f aca="false">IF($A4810="","",IF(N(M4810)=0,"–",IF(M4810&lt;=Start!$D$20,"A",IF(M4810&lt;=Start!$D$21,"B","C"))))</f>
        <v/>
      </c>
      <c r="O4810" s="48" t="str">
        <f aca="false">IF($A4810="","",IF(NOT(ISNUMBER(F4810)),"Wert fehlt; ",IF(F4810&lt;=0,"Wert ist 0; ",""))&amp;IF(NOT(ISNUMBER(E4810)),"Bestand fehlt; ",IF(E4810&lt;0,"Bestand negativ; ",IF(E4810=0,"Nullbestand; ","")))&amp;IF(D4810="","Warengruppe fehlt; ","")&amp;IF(B4810="","Bezeichnung fehlt; ","")&amp;IF(COUNTIFS($A$2:$A$5001,$A4810,$C$2:$C$5001,C4810)&gt;1,"Artikel doppelt im selben Lager; ",""))</f>
        <v/>
      </c>
      <c r="P4810" s="47" t="n">
        <f aca="false">IF(OR($A4810="",D4810=""),0,IF(COUNTIF($D$2:D4810,D4810)=1,SUMIF($D$2:$D$5001,D4810,$H$2:$H$5001)+ROW()/10000000,0))</f>
        <v>0</v>
      </c>
      <c r="Q4810" s="47" t="n">
        <f aca="false">IF(OR($A4810="",C4810=""),0,IF(COUNTIF($C$2:C4810,C4810)=1,SUMIF($C$2:$C$5001,C4810,$H$2:$H$5001)+ROW()/10000000,0))</f>
        <v>0</v>
      </c>
    </row>
    <row r="4811" customFormat="false" ht="15" hidden="false" customHeight="false" outlineLevel="0" collapsed="false">
      <c r="A4811" s="43"/>
      <c r="B4811" s="44"/>
      <c r="C4811" s="44"/>
      <c r="D4811" s="44"/>
      <c r="E4811" s="44"/>
      <c r="F4811" s="44"/>
      <c r="G4811" s="44"/>
      <c r="H4811" s="46" t="str">
        <f aca="false">IF($A4811="","",IF(OR(NOT(ISNUMBER(E4811)),NOT(ISNUMBER(F4811))),"",MAX(0,E4811)*F4811))</f>
        <v/>
      </c>
      <c r="I4811" s="46" t="str">
        <f aca="false">IF($A4811="","",SUMIF($A$2:$A$5001,$A4811,$H$2:$H$5001))</f>
        <v/>
      </c>
      <c r="J4811" s="47" t="n">
        <f aca="false">IF($A4811="",0,IF(COUNTIF($A$2:A4811,$A4811)=1,1,0))</f>
        <v>0</v>
      </c>
      <c r="K4811" s="47" t="n">
        <f aca="false">IF(J4811=1,N(I4811)+ROW()/10000000,0)</f>
        <v>0</v>
      </c>
      <c r="L4811" s="47" t="str">
        <f aca="false">IF(AND(J4811=1,N(I4811)&gt;0),SUMIF($K$2:$K$5001,"&gt;="&amp;K4811,$I$2:$I$5001)/MAX(1,SUM($H$2:$H$5001)),"")</f>
        <v/>
      </c>
      <c r="M4811" s="47" t="str">
        <f aca="false">IF($A4811="","",INDEX($L$2:$L$5001,MATCH($A4811,$A$2:$A$5001,0)))</f>
        <v/>
      </c>
      <c r="N4811" s="48" t="str">
        <f aca="false">IF($A4811="","",IF(N(M4811)=0,"–",IF(M4811&lt;=Start!$D$20,"A",IF(M4811&lt;=Start!$D$21,"B","C"))))</f>
        <v/>
      </c>
      <c r="O4811" s="48" t="str">
        <f aca="false">IF($A4811="","",IF(NOT(ISNUMBER(F4811)),"Wert fehlt; ",IF(F4811&lt;=0,"Wert ist 0; ",""))&amp;IF(NOT(ISNUMBER(E4811)),"Bestand fehlt; ",IF(E4811&lt;0,"Bestand negativ; ",IF(E4811=0,"Nullbestand; ","")))&amp;IF(D4811="","Warengruppe fehlt; ","")&amp;IF(B4811="","Bezeichnung fehlt; ","")&amp;IF(COUNTIFS($A$2:$A$5001,$A4811,$C$2:$C$5001,C4811)&gt;1,"Artikel doppelt im selben Lager; ",""))</f>
        <v/>
      </c>
      <c r="P4811" s="47" t="n">
        <f aca="false">IF(OR($A4811="",D4811=""),0,IF(COUNTIF($D$2:D4811,D4811)=1,SUMIF($D$2:$D$5001,D4811,$H$2:$H$5001)+ROW()/10000000,0))</f>
        <v>0</v>
      </c>
      <c r="Q4811" s="47" t="n">
        <f aca="false">IF(OR($A4811="",C4811=""),0,IF(COUNTIF($C$2:C4811,C4811)=1,SUMIF($C$2:$C$5001,C4811,$H$2:$H$5001)+ROW()/10000000,0))</f>
        <v>0</v>
      </c>
    </row>
    <row r="4812" customFormat="false" ht="15" hidden="false" customHeight="false" outlineLevel="0" collapsed="false">
      <c r="A4812" s="43"/>
      <c r="B4812" s="44"/>
      <c r="C4812" s="44"/>
      <c r="D4812" s="44"/>
      <c r="E4812" s="44"/>
      <c r="F4812" s="44"/>
      <c r="G4812" s="44"/>
      <c r="H4812" s="46" t="str">
        <f aca="false">IF($A4812="","",IF(OR(NOT(ISNUMBER(E4812)),NOT(ISNUMBER(F4812))),"",MAX(0,E4812)*F4812))</f>
        <v/>
      </c>
      <c r="I4812" s="46" t="str">
        <f aca="false">IF($A4812="","",SUMIF($A$2:$A$5001,$A4812,$H$2:$H$5001))</f>
        <v/>
      </c>
      <c r="J4812" s="47" t="n">
        <f aca="false">IF($A4812="",0,IF(COUNTIF($A$2:A4812,$A4812)=1,1,0))</f>
        <v>0</v>
      </c>
      <c r="K4812" s="47" t="n">
        <f aca="false">IF(J4812=1,N(I4812)+ROW()/10000000,0)</f>
        <v>0</v>
      </c>
      <c r="L4812" s="47" t="str">
        <f aca="false">IF(AND(J4812=1,N(I4812)&gt;0),SUMIF($K$2:$K$5001,"&gt;="&amp;K4812,$I$2:$I$5001)/MAX(1,SUM($H$2:$H$5001)),"")</f>
        <v/>
      </c>
      <c r="M4812" s="47" t="str">
        <f aca="false">IF($A4812="","",INDEX($L$2:$L$5001,MATCH($A4812,$A$2:$A$5001,0)))</f>
        <v/>
      </c>
      <c r="N4812" s="48" t="str">
        <f aca="false">IF($A4812="","",IF(N(M4812)=0,"–",IF(M4812&lt;=Start!$D$20,"A",IF(M4812&lt;=Start!$D$21,"B","C"))))</f>
        <v/>
      </c>
      <c r="O4812" s="48" t="str">
        <f aca="false">IF($A4812="","",IF(NOT(ISNUMBER(F4812)),"Wert fehlt; ",IF(F4812&lt;=0,"Wert ist 0; ",""))&amp;IF(NOT(ISNUMBER(E4812)),"Bestand fehlt; ",IF(E4812&lt;0,"Bestand negativ; ",IF(E4812=0,"Nullbestand; ","")))&amp;IF(D4812="","Warengruppe fehlt; ","")&amp;IF(B4812="","Bezeichnung fehlt; ","")&amp;IF(COUNTIFS($A$2:$A$5001,$A4812,$C$2:$C$5001,C4812)&gt;1,"Artikel doppelt im selben Lager; ",""))</f>
        <v/>
      </c>
      <c r="P4812" s="47" t="n">
        <f aca="false">IF(OR($A4812="",D4812=""),0,IF(COUNTIF($D$2:D4812,D4812)=1,SUMIF($D$2:$D$5001,D4812,$H$2:$H$5001)+ROW()/10000000,0))</f>
        <v>0</v>
      </c>
      <c r="Q4812" s="47" t="n">
        <f aca="false">IF(OR($A4812="",C4812=""),0,IF(COUNTIF($C$2:C4812,C4812)=1,SUMIF($C$2:$C$5001,C4812,$H$2:$H$5001)+ROW()/10000000,0))</f>
        <v>0</v>
      </c>
    </row>
    <row r="4813" customFormat="false" ht="15" hidden="false" customHeight="false" outlineLevel="0" collapsed="false">
      <c r="A4813" s="43"/>
      <c r="B4813" s="44"/>
      <c r="C4813" s="44"/>
      <c r="D4813" s="44"/>
      <c r="E4813" s="44"/>
      <c r="F4813" s="44"/>
      <c r="G4813" s="44"/>
      <c r="H4813" s="46" t="str">
        <f aca="false">IF($A4813="","",IF(OR(NOT(ISNUMBER(E4813)),NOT(ISNUMBER(F4813))),"",MAX(0,E4813)*F4813))</f>
        <v/>
      </c>
      <c r="I4813" s="46" t="str">
        <f aca="false">IF($A4813="","",SUMIF($A$2:$A$5001,$A4813,$H$2:$H$5001))</f>
        <v/>
      </c>
      <c r="J4813" s="47" t="n">
        <f aca="false">IF($A4813="",0,IF(COUNTIF($A$2:A4813,$A4813)=1,1,0))</f>
        <v>0</v>
      </c>
      <c r="K4813" s="47" t="n">
        <f aca="false">IF(J4813=1,N(I4813)+ROW()/10000000,0)</f>
        <v>0</v>
      </c>
      <c r="L4813" s="47" t="str">
        <f aca="false">IF(AND(J4813=1,N(I4813)&gt;0),SUMIF($K$2:$K$5001,"&gt;="&amp;K4813,$I$2:$I$5001)/MAX(1,SUM($H$2:$H$5001)),"")</f>
        <v/>
      </c>
      <c r="M4813" s="47" t="str">
        <f aca="false">IF($A4813="","",INDEX($L$2:$L$5001,MATCH($A4813,$A$2:$A$5001,0)))</f>
        <v/>
      </c>
      <c r="N4813" s="48" t="str">
        <f aca="false">IF($A4813="","",IF(N(M4813)=0,"–",IF(M4813&lt;=Start!$D$20,"A",IF(M4813&lt;=Start!$D$21,"B","C"))))</f>
        <v/>
      </c>
      <c r="O4813" s="48" t="str">
        <f aca="false">IF($A4813="","",IF(NOT(ISNUMBER(F4813)),"Wert fehlt; ",IF(F4813&lt;=0,"Wert ist 0; ",""))&amp;IF(NOT(ISNUMBER(E4813)),"Bestand fehlt; ",IF(E4813&lt;0,"Bestand negativ; ",IF(E4813=0,"Nullbestand; ","")))&amp;IF(D4813="","Warengruppe fehlt; ","")&amp;IF(B4813="","Bezeichnung fehlt; ","")&amp;IF(COUNTIFS($A$2:$A$5001,$A4813,$C$2:$C$5001,C4813)&gt;1,"Artikel doppelt im selben Lager; ",""))</f>
        <v/>
      </c>
      <c r="P4813" s="47" t="n">
        <f aca="false">IF(OR($A4813="",D4813=""),0,IF(COUNTIF($D$2:D4813,D4813)=1,SUMIF($D$2:$D$5001,D4813,$H$2:$H$5001)+ROW()/10000000,0))</f>
        <v>0</v>
      </c>
      <c r="Q4813" s="47" t="n">
        <f aca="false">IF(OR($A4813="",C4813=""),0,IF(COUNTIF($C$2:C4813,C4813)=1,SUMIF($C$2:$C$5001,C4813,$H$2:$H$5001)+ROW()/10000000,0))</f>
        <v>0</v>
      </c>
    </row>
    <row r="4814" customFormat="false" ht="15" hidden="false" customHeight="false" outlineLevel="0" collapsed="false">
      <c r="A4814" s="43"/>
      <c r="B4814" s="44"/>
      <c r="C4814" s="44"/>
      <c r="D4814" s="44"/>
      <c r="E4814" s="44"/>
      <c r="F4814" s="44"/>
      <c r="G4814" s="44"/>
      <c r="H4814" s="46" t="str">
        <f aca="false">IF($A4814="","",IF(OR(NOT(ISNUMBER(E4814)),NOT(ISNUMBER(F4814))),"",MAX(0,E4814)*F4814))</f>
        <v/>
      </c>
      <c r="I4814" s="46" t="str">
        <f aca="false">IF($A4814="","",SUMIF($A$2:$A$5001,$A4814,$H$2:$H$5001))</f>
        <v/>
      </c>
      <c r="J4814" s="47" t="n">
        <f aca="false">IF($A4814="",0,IF(COUNTIF($A$2:A4814,$A4814)=1,1,0))</f>
        <v>0</v>
      </c>
      <c r="K4814" s="47" t="n">
        <f aca="false">IF(J4814=1,N(I4814)+ROW()/10000000,0)</f>
        <v>0</v>
      </c>
      <c r="L4814" s="47" t="str">
        <f aca="false">IF(AND(J4814=1,N(I4814)&gt;0),SUMIF($K$2:$K$5001,"&gt;="&amp;K4814,$I$2:$I$5001)/MAX(1,SUM($H$2:$H$5001)),"")</f>
        <v/>
      </c>
      <c r="M4814" s="47" t="str">
        <f aca="false">IF($A4814="","",INDEX($L$2:$L$5001,MATCH($A4814,$A$2:$A$5001,0)))</f>
        <v/>
      </c>
      <c r="N4814" s="48" t="str">
        <f aca="false">IF($A4814="","",IF(N(M4814)=0,"–",IF(M4814&lt;=Start!$D$20,"A",IF(M4814&lt;=Start!$D$21,"B","C"))))</f>
        <v/>
      </c>
      <c r="O4814" s="48" t="str">
        <f aca="false">IF($A4814="","",IF(NOT(ISNUMBER(F4814)),"Wert fehlt; ",IF(F4814&lt;=0,"Wert ist 0; ",""))&amp;IF(NOT(ISNUMBER(E4814)),"Bestand fehlt; ",IF(E4814&lt;0,"Bestand negativ; ",IF(E4814=0,"Nullbestand; ","")))&amp;IF(D4814="","Warengruppe fehlt; ","")&amp;IF(B4814="","Bezeichnung fehlt; ","")&amp;IF(COUNTIFS($A$2:$A$5001,$A4814,$C$2:$C$5001,C4814)&gt;1,"Artikel doppelt im selben Lager; ",""))</f>
        <v/>
      </c>
      <c r="P4814" s="47" t="n">
        <f aca="false">IF(OR($A4814="",D4814=""),0,IF(COUNTIF($D$2:D4814,D4814)=1,SUMIF($D$2:$D$5001,D4814,$H$2:$H$5001)+ROW()/10000000,0))</f>
        <v>0</v>
      </c>
      <c r="Q4814" s="47" t="n">
        <f aca="false">IF(OR($A4814="",C4814=""),0,IF(COUNTIF($C$2:C4814,C4814)=1,SUMIF($C$2:$C$5001,C4814,$H$2:$H$5001)+ROW()/10000000,0))</f>
        <v>0</v>
      </c>
    </row>
    <row r="4815" customFormat="false" ht="15" hidden="false" customHeight="false" outlineLevel="0" collapsed="false">
      <c r="A4815" s="43"/>
      <c r="B4815" s="44"/>
      <c r="C4815" s="44"/>
      <c r="D4815" s="44"/>
      <c r="E4815" s="44"/>
      <c r="F4815" s="44"/>
      <c r="G4815" s="44"/>
      <c r="H4815" s="46" t="str">
        <f aca="false">IF($A4815="","",IF(OR(NOT(ISNUMBER(E4815)),NOT(ISNUMBER(F4815))),"",MAX(0,E4815)*F4815))</f>
        <v/>
      </c>
      <c r="I4815" s="46" t="str">
        <f aca="false">IF($A4815="","",SUMIF($A$2:$A$5001,$A4815,$H$2:$H$5001))</f>
        <v/>
      </c>
      <c r="J4815" s="47" t="n">
        <f aca="false">IF($A4815="",0,IF(COUNTIF($A$2:A4815,$A4815)=1,1,0))</f>
        <v>0</v>
      </c>
      <c r="K4815" s="47" t="n">
        <f aca="false">IF(J4815=1,N(I4815)+ROW()/10000000,0)</f>
        <v>0</v>
      </c>
      <c r="L4815" s="47" t="str">
        <f aca="false">IF(AND(J4815=1,N(I4815)&gt;0),SUMIF($K$2:$K$5001,"&gt;="&amp;K4815,$I$2:$I$5001)/MAX(1,SUM($H$2:$H$5001)),"")</f>
        <v/>
      </c>
      <c r="M4815" s="47" t="str">
        <f aca="false">IF($A4815="","",INDEX($L$2:$L$5001,MATCH($A4815,$A$2:$A$5001,0)))</f>
        <v/>
      </c>
      <c r="N4815" s="48" t="str">
        <f aca="false">IF($A4815="","",IF(N(M4815)=0,"–",IF(M4815&lt;=Start!$D$20,"A",IF(M4815&lt;=Start!$D$21,"B","C"))))</f>
        <v/>
      </c>
      <c r="O4815" s="48" t="str">
        <f aca="false">IF($A4815="","",IF(NOT(ISNUMBER(F4815)),"Wert fehlt; ",IF(F4815&lt;=0,"Wert ist 0; ",""))&amp;IF(NOT(ISNUMBER(E4815)),"Bestand fehlt; ",IF(E4815&lt;0,"Bestand negativ; ",IF(E4815=0,"Nullbestand; ","")))&amp;IF(D4815="","Warengruppe fehlt; ","")&amp;IF(B4815="","Bezeichnung fehlt; ","")&amp;IF(COUNTIFS($A$2:$A$5001,$A4815,$C$2:$C$5001,C4815)&gt;1,"Artikel doppelt im selben Lager; ",""))</f>
        <v/>
      </c>
      <c r="P4815" s="47" t="n">
        <f aca="false">IF(OR($A4815="",D4815=""),0,IF(COUNTIF($D$2:D4815,D4815)=1,SUMIF($D$2:$D$5001,D4815,$H$2:$H$5001)+ROW()/10000000,0))</f>
        <v>0</v>
      </c>
      <c r="Q4815" s="47" t="n">
        <f aca="false">IF(OR($A4815="",C4815=""),0,IF(COUNTIF($C$2:C4815,C4815)=1,SUMIF($C$2:$C$5001,C4815,$H$2:$H$5001)+ROW()/10000000,0))</f>
        <v>0</v>
      </c>
    </row>
    <row r="4816" customFormat="false" ht="15" hidden="false" customHeight="false" outlineLevel="0" collapsed="false">
      <c r="A4816" s="43"/>
      <c r="B4816" s="44"/>
      <c r="C4816" s="44"/>
      <c r="D4816" s="44"/>
      <c r="E4816" s="44"/>
      <c r="F4816" s="44"/>
      <c r="G4816" s="44"/>
      <c r="H4816" s="46" t="str">
        <f aca="false">IF($A4816="","",IF(OR(NOT(ISNUMBER(E4816)),NOT(ISNUMBER(F4816))),"",MAX(0,E4816)*F4816))</f>
        <v/>
      </c>
      <c r="I4816" s="46" t="str">
        <f aca="false">IF($A4816="","",SUMIF($A$2:$A$5001,$A4816,$H$2:$H$5001))</f>
        <v/>
      </c>
      <c r="J4816" s="47" t="n">
        <f aca="false">IF($A4816="",0,IF(COUNTIF($A$2:A4816,$A4816)=1,1,0))</f>
        <v>0</v>
      </c>
      <c r="K4816" s="47" t="n">
        <f aca="false">IF(J4816=1,N(I4816)+ROW()/10000000,0)</f>
        <v>0</v>
      </c>
      <c r="L4816" s="47" t="str">
        <f aca="false">IF(AND(J4816=1,N(I4816)&gt;0),SUMIF($K$2:$K$5001,"&gt;="&amp;K4816,$I$2:$I$5001)/MAX(1,SUM($H$2:$H$5001)),"")</f>
        <v/>
      </c>
      <c r="M4816" s="47" t="str">
        <f aca="false">IF($A4816="","",INDEX($L$2:$L$5001,MATCH($A4816,$A$2:$A$5001,0)))</f>
        <v/>
      </c>
      <c r="N4816" s="48" t="str">
        <f aca="false">IF($A4816="","",IF(N(M4816)=0,"–",IF(M4816&lt;=Start!$D$20,"A",IF(M4816&lt;=Start!$D$21,"B","C"))))</f>
        <v/>
      </c>
      <c r="O4816" s="48" t="str">
        <f aca="false">IF($A4816="","",IF(NOT(ISNUMBER(F4816)),"Wert fehlt; ",IF(F4816&lt;=0,"Wert ist 0; ",""))&amp;IF(NOT(ISNUMBER(E4816)),"Bestand fehlt; ",IF(E4816&lt;0,"Bestand negativ; ",IF(E4816=0,"Nullbestand; ","")))&amp;IF(D4816="","Warengruppe fehlt; ","")&amp;IF(B4816="","Bezeichnung fehlt; ","")&amp;IF(COUNTIFS($A$2:$A$5001,$A4816,$C$2:$C$5001,C4816)&gt;1,"Artikel doppelt im selben Lager; ",""))</f>
        <v/>
      </c>
      <c r="P4816" s="47" t="n">
        <f aca="false">IF(OR($A4816="",D4816=""),0,IF(COUNTIF($D$2:D4816,D4816)=1,SUMIF($D$2:$D$5001,D4816,$H$2:$H$5001)+ROW()/10000000,0))</f>
        <v>0</v>
      </c>
      <c r="Q4816" s="47" t="n">
        <f aca="false">IF(OR($A4816="",C4816=""),0,IF(COUNTIF($C$2:C4816,C4816)=1,SUMIF($C$2:$C$5001,C4816,$H$2:$H$5001)+ROW()/10000000,0))</f>
        <v>0</v>
      </c>
    </row>
    <row r="4817" customFormat="false" ht="15" hidden="false" customHeight="false" outlineLevel="0" collapsed="false">
      <c r="A4817" s="43"/>
      <c r="B4817" s="44"/>
      <c r="C4817" s="44"/>
      <c r="D4817" s="44"/>
      <c r="E4817" s="44"/>
      <c r="F4817" s="44"/>
      <c r="G4817" s="44"/>
      <c r="H4817" s="46" t="str">
        <f aca="false">IF($A4817="","",IF(OR(NOT(ISNUMBER(E4817)),NOT(ISNUMBER(F4817))),"",MAX(0,E4817)*F4817))</f>
        <v/>
      </c>
      <c r="I4817" s="46" t="str">
        <f aca="false">IF($A4817="","",SUMIF($A$2:$A$5001,$A4817,$H$2:$H$5001))</f>
        <v/>
      </c>
      <c r="J4817" s="47" t="n">
        <f aca="false">IF($A4817="",0,IF(COUNTIF($A$2:A4817,$A4817)=1,1,0))</f>
        <v>0</v>
      </c>
      <c r="K4817" s="47" t="n">
        <f aca="false">IF(J4817=1,N(I4817)+ROW()/10000000,0)</f>
        <v>0</v>
      </c>
      <c r="L4817" s="47" t="str">
        <f aca="false">IF(AND(J4817=1,N(I4817)&gt;0),SUMIF($K$2:$K$5001,"&gt;="&amp;K4817,$I$2:$I$5001)/MAX(1,SUM($H$2:$H$5001)),"")</f>
        <v/>
      </c>
      <c r="M4817" s="47" t="str">
        <f aca="false">IF($A4817="","",INDEX($L$2:$L$5001,MATCH($A4817,$A$2:$A$5001,0)))</f>
        <v/>
      </c>
      <c r="N4817" s="48" t="str">
        <f aca="false">IF($A4817="","",IF(N(M4817)=0,"–",IF(M4817&lt;=Start!$D$20,"A",IF(M4817&lt;=Start!$D$21,"B","C"))))</f>
        <v/>
      </c>
      <c r="O4817" s="48" t="str">
        <f aca="false">IF($A4817="","",IF(NOT(ISNUMBER(F4817)),"Wert fehlt; ",IF(F4817&lt;=0,"Wert ist 0; ",""))&amp;IF(NOT(ISNUMBER(E4817)),"Bestand fehlt; ",IF(E4817&lt;0,"Bestand negativ; ",IF(E4817=0,"Nullbestand; ","")))&amp;IF(D4817="","Warengruppe fehlt; ","")&amp;IF(B4817="","Bezeichnung fehlt; ","")&amp;IF(COUNTIFS($A$2:$A$5001,$A4817,$C$2:$C$5001,C4817)&gt;1,"Artikel doppelt im selben Lager; ",""))</f>
        <v/>
      </c>
      <c r="P4817" s="47" t="n">
        <f aca="false">IF(OR($A4817="",D4817=""),0,IF(COUNTIF($D$2:D4817,D4817)=1,SUMIF($D$2:$D$5001,D4817,$H$2:$H$5001)+ROW()/10000000,0))</f>
        <v>0</v>
      </c>
      <c r="Q4817" s="47" t="n">
        <f aca="false">IF(OR($A4817="",C4817=""),0,IF(COUNTIF($C$2:C4817,C4817)=1,SUMIF($C$2:$C$5001,C4817,$H$2:$H$5001)+ROW()/10000000,0))</f>
        <v>0</v>
      </c>
    </row>
    <row r="4818" customFormat="false" ht="15" hidden="false" customHeight="false" outlineLevel="0" collapsed="false">
      <c r="A4818" s="43"/>
      <c r="B4818" s="44"/>
      <c r="C4818" s="44"/>
      <c r="D4818" s="44"/>
      <c r="E4818" s="44"/>
      <c r="F4818" s="44"/>
      <c r="G4818" s="44"/>
      <c r="H4818" s="46" t="str">
        <f aca="false">IF($A4818="","",IF(OR(NOT(ISNUMBER(E4818)),NOT(ISNUMBER(F4818))),"",MAX(0,E4818)*F4818))</f>
        <v/>
      </c>
      <c r="I4818" s="46" t="str">
        <f aca="false">IF($A4818="","",SUMIF($A$2:$A$5001,$A4818,$H$2:$H$5001))</f>
        <v/>
      </c>
      <c r="J4818" s="47" t="n">
        <f aca="false">IF($A4818="",0,IF(COUNTIF($A$2:A4818,$A4818)=1,1,0))</f>
        <v>0</v>
      </c>
      <c r="K4818" s="47" t="n">
        <f aca="false">IF(J4818=1,N(I4818)+ROW()/10000000,0)</f>
        <v>0</v>
      </c>
      <c r="L4818" s="47" t="str">
        <f aca="false">IF(AND(J4818=1,N(I4818)&gt;0),SUMIF($K$2:$K$5001,"&gt;="&amp;K4818,$I$2:$I$5001)/MAX(1,SUM($H$2:$H$5001)),"")</f>
        <v/>
      </c>
      <c r="M4818" s="47" t="str">
        <f aca="false">IF($A4818="","",INDEX($L$2:$L$5001,MATCH($A4818,$A$2:$A$5001,0)))</f>
        <v/>
      </c>
      <c r="N4818" s="48" t="str">
        <f aca="false">IF($A4818="","",IF(N(M4818)=0,"–",IF(M4818&lt;=Start!$D$20,"A",IF(M4818&lt;=Start!$D$21,"B","C"))))</f>
        <v/>
      </c>
      <c r="O4818" s="48" t="str">
        <f aca="false">IF($A4818="","",IF(NOT(ISNUMBER(F4818)),"Wert fehlt; ",IF(F4818&lt;=0,"Wert ist 0; ",""))&amp;IF(NOT(ISNUMBER(E4818)),"Bestand fehlt; ",IF(E4818&lt;0,"Bestand negativ; ",IF(E4818=0,"Nullbestand; ","")))&amp;IF(D4818="","Warengruppe fehlt; ","")&amp;IF(B4818="","Bezeichnung fehlt; ","")&amp;IF(COUNTIFS($A$2:$A$5001,$A4818,$C$2:$C$5001,C4818)&gt;1,"Artikel doppelt im selben Lager; ",""))</f>
        <v/>
      </c>
      <c r="P4818" s="47" t="n">
        <f aca="false">IF(OR($A4818="",D4818=""),0,IF(COUNTIF($D$2:D4818,D4818)=1,SUMIF($D$2:$D$5001,D4818,$H$2:$H$5001)+ROW()/10000000,0))</f>
        <v>0</v>
      </c>
      <c r="Q4818" s="47" t="n">
        <f aca="false">IF(OR($A4818="",C4818=""),0,IF(COUNTIF($C$2:C4818,C4818)=1,SUMIF($C$2:$C$5001,C4818,$H$2:$H$5001)+ROW()/10000000,0))</f>
        <v>0</v>
      </c>
    </row>
    <row r="4819" customFormat="false" ht="15" hidden="false" customHeight="false" outlineLevel="0" collapsed="false">
      <c r="A4819" s="43"/>
      <c r="B4819" s="44"/>
      <c r="C4819" s="44"/>
      <c r="D4819" s="44"/>
      <c r="E4819" s="44"/>
      <c r="F4819" s="44"/>
      <c r="G4819" s="44"/>
      <c r="H4819" s="46" t="str">
        <f aca="false">IF($A4819="","",IF(OR(NOT(ISNUMBER(E4819)),NOT(ISNUMBER(F4819))),"",MAX(0,E4819)*F4819))</f>
        <v/>
      </c>
      <c r="I4819" s="46" t="str">
        <f aca="false">IF($A4819="","",SUMIF($A$2:$A$5001,$A4819,$H$2:$H$5001))</f>
        <v/>
      </c>
      <c r="J4819" s="47" t="n">
        <f aca="false">IF($A4819="",0,IF(COUNTIF($A$2:A4819,$A4819)=1,1,0))</f>
        <v>0</v>
      </c>
      <c r="K4819" s="47" t="n">
        <f aca="false">IF(J4819=1,N(I4819)+ROW()/10000000,0)</f>
        <v>0</v>
      </c>
      <c r="L4819" s="47" t="str">
        <f aca="false">IF(AND(J4819=1,N(I4819)&gt;0),SUMIF($K$2:$K$5001,"&gt;="&amp;K4819,$I$2:$I$5001)/MAX(1,SUM($H$2:$H$5001)),"")</f>
        <v/>
      </c>
      <c r="M4819" s="47" t="str">
        <f aca="false">IF($A4819="","",INDEX($L$2:$L$5001,MATCH($A4819,$A$2:$A$5001,0)))</f>
        <v/>
      </c>
      <c r="N4819" s="48" t="str">
        <f aca="false">IF($A4819="","",IF(N(M4819)=0,"–",IF(M4819&lt;=Start!$D$20,"A",IF(M4819&lt;=Start!$D$21,"B","C"))))</f>
        <v/>
      </c>
      <c r="O4819" s="48" t="str">
        <f aca="false">IF($A4819="","",IF(NOT(ISNUMBER(F4819)),"Wert fehlt; ",IF(F4819&lt;=0,"Wert ist 0; ",""))&amp;IF(NOT(ISNUMBER(E4819)),"Bestand fehlt; ",IF(E4819&lt;0,"Bestand negativ; ",IF(E4819=0,"Nullbestand; ","")))&amp;IF(D4819="","Warengruppe fehlt; ","")&amp;IF(B4819="","Bezeichnung fehlt; ","")&amp;IF(COUNTIFS($A$2:$A$5001,$A4819,$C$2:$C$5001,C4819)&gt;1,"Artikel doppelt im selben Lager; ",""))</f>
        <v/>
      </c>
      <c r="P4819" s="47" t="n">
        <f aca="false">IF(OR($A4819="",D4819=""),0,IF(COUNTIF($D$2:D4819,D4819)=1,SUMIF($D$2:$D$5001,D4819,$H$2:$H$5001)+ROW()/10000000,0))</f>
        <v>0</v>
      </c>
      <c r="Q4819" s="47" t="n">
        <f aca="false">IF(OR($A4819="",C4819=""),0,IF(COUNTIF($C$2:C4819,C4819)=1,SUMIF($C$2:$C$5001,C4819,$H$2:$H$5001)+ROW()/10000000,0))</f>
        <v>0</v>
      </c>
    </row>
    <row r="4820" customFormat="false" ht="15" hidden="false" customHeight="false" outlineLevel="0" collapsed="false">
      <c r="A4820" s="43"/>
      <c r="B4820" s="44"/>
      <c r="C4820" s="44"/>
      <c r="D4820" s="44"/>
      <c r="E4820" s="44"/>
      <c r="F4820" s="44"/>
      <c r="G4820" s="44"/>
      <c r="H4820" s="46" t="str">
        <f aca="false">IF($A4820="","",IF(OR(NOT(ISNUMBER(E4820)),NOT(ISNUMBER(F4820))),"",MAX(0,E4820)*F4820))</f>
        <v/>
      </c>
      <c r="I4820" s="46" t="str">
        <f aca="false">IF($A4820="","",SUMIF($A$2:$A$5001,$A4820,$H$2:$H$5001))</f>
        <v/>
      </c>
      <c r="J4820" s="47" t="n">
        <f aca="false">IF($A4820="",0,IF(COUNTIF($A$2:A4820,$A4820)=1,1,0))</f>
        <v>0</v>
      </c>
      <c r="K4820" s="47" t="n">
        <f aca="false">IF(J4820=1,N(I4820)+ROW()/10000000,0)</f>
        <v>0</v>
      </c>
      <c r="L4820" s="47" t="str">
        <f aca="false">IF(AND(J4820=1,N(I4820)&gt;0),SUMIF($K$2:$K$5001,"&gt;="&amp;K4820,$I$2:$I$5001)/MAX(1,SUM($H$2:$H$5001)),"")</f>
        <v/>
      </c>
      <c r="M4820" s="47" t="str">
        <f aca="false">IF($A4820="","",INDEX($L$2:$L$5001,MATCH($A4820,$A$2:$A$5001,0)))</f>
        <v/>
      </c>
      <c r="N4820" s="48" t="str">
        <f aca="false">IF($A4820="","",IF(N(M4820)=0,"–",IF(M4820&lt;=Start!$D$20,"A",IF(M4820&lt;=Start!$D$21,"B","C"))))</f>
        <v/>
      </c>
      <c r="O4820" s="48" t="str">
        <f aca="false">IF($A4820="","",IF(NOT(ISNUMBER(F4820)),"Wert fehlt; ",IF(F4820&lt;=0,"Wert ist 0; ",""))&amp;IF(NOT(ISNUMBER(E4820)),"Bestand fehlt; ",IF(E4820&lt;0,"Bestand negativ; ",IF(E4820=0,"Nullbestand; ","")))&amp;IF(D4820="","Warengruppe fehlt; ","")&amp;IF(B4820="","Bezeichnung fehlt; ","")&amp;IF(COUNTIFS($A$2:$A$5001,$A4820,$C$2:$C$5001,C4820)&gt;1,"Artikel doppelt im selben Lager; ",""))</f>
        <v/>
      </c>
      <c r="P4820" s="47" t="n">
        <f aca="false">IF(OR($A4820="",D4820=""),0,IF(COUNTIF($D$2:D4820,D4820)=1,SUMIF($D$2:$D$5001,D4820,$H$2:$H$5001)+ROW()/10000000,0))</f>
        <v>0</v>
      </c>
      <c r="Q4820" s="47" t="n">
        <f aca="false">IF(OR($A4820="",C4820=""),0,IF(COUNTIF($C$2:C4820,C4820)=1,SUMIF($C$2:$C$5001,C4820,$H$2:$H$5001)+ROW()/10000000,0))</f>
        <v>0</v>
      </c>
    </row>
    <row r="4821" customFormat="false" ht="15" hidden="false" customHeight="false" outlineLevel="0" collapsed="false">
      <c r="A4821" s="43"/>
      <c r="B4821" s="44"/>
      <c r="C4821" s="44"/>
      <c r="D4821" s="44"/>
      <c r="E4821" s="44"/>
      <c r="F4821" s="44"/>
      <c r="G4821" s="44"/>
      <c r="H4821" s="46" t="str">
        <f aca="false">IF($A4821="","",IF(OR(NOT(ISNUMBER(E4821)),NOT(ISNUMBER(F4821))),"",MAX(0,E4821)*F4821))</f>
        <v/>
      </c>
      <c r="I4821" s="46" t="str">
        <f aca="false">IF($A4821="","",SUMIF($A$2:$A$5001,$A4821,$H$2:$H$5001))</f>
        <v/>
      </c>
      <c r="J4821" s="47" t="n">
        <f aca="false">IF($A4821="",0,IF(COUNTIF($A$2:A4821,$A4821)=1,1,0))</f>
        <v>0</v>
      </c>
      <c r="K4821" s="47" t="n">
        <f aca="false">IF(J4821=1,N(I4821)+ROW()/10000000,0)</f>
        <v>0</v>
      </c>
      <c r="L4821" s="47" t="str">
        <f aca="false">IF(AND(J4821=1,N(I4821)&gt;0),SUMIF($K$2:$K$5001,"&gt;="&amp;K4821,$I$2:$I$5001)/MAX(1,SUM($H$2:$H$5001)),"")</f>
        <v/>
      </c>
      <c r="M4821" s="47" t="str">
        <f aca="false">IF($A4821="","",INDEX($L$2:$L$5001,MATCH($A4821,$A$2:$A$5001,0)))</f>
        <v/>
      </c>
      <c r="N4821" s="48" t="str">
        <f aca="false">IF($A4821="","",IF(N(M4821)=0,"–",IF(M4821&lt;=Start!$D$20,"A",IF(M4821&lt;=Start!$D$21,"B","C"))))</f>
        <v/>
      </c>
      <c r="O4821" s="48" t="str">
        <f aca="false">IF($A4821="","",IF(NOT(ISNUMBER(F4821)),"Wert fehlt; ",IF(F4821&lt;=0,"Wert ist 0; ",""))&amp;IF(NOT(ISNUMBER(E4821)),"Bestand fehlt; ",IF(E4821&lt;0,"Bestand negativ; ",IF(E4821=0,"Nullbestand; ","")))&amp;IF(D4821="","Warengruppe fehlt; ","")&amp;IF(B4821="","Bezeichnung fehlt; ","")&amp;IF(COUNTIFS($A$2:$A$5001,$A4821,$C$2:$C$5001,C4821)&gt;1,"Artikel doppelt im selben Lager; ",""))</f>
        <v/>
      </c>
      <c r="P4821" s="47" t="n">
        <f aca="false">IF(OR($A4821="",D4821=""),0,IF(COUNTIF($D$2:D4821,D4821)=1,SUMIF($D$2:$D$5001,D4821,$H$2:$H$5001)+ROW()/10000000,0))</f>
        <v>0</v>
      </c>
      <c r="Q4821" s="47" t="n">
        <f aca="false">IF(OR($A4821="",C4821=""),0,IF(COUNTIF($C$2:C4821,C4821)=1,SUMIF($C$2:$C$5001,C4821,$H$2:$H$5001)+ROW()/10000000,0))</f>
        <v>0</v>
      </c>
    </row>
    <row r="4822" customFormat="false" ht="15" hidden="false" customHeight="false" outlineLevel="0" collapsed="false">
      <c r="A4822" s="43"/>
      <c r="B4822" s="44"/>
      <c r="C4822" s="44"/>
      <c r="D4822" s="44"/>
      <c r="E4822" s="44"/>
      <c r="F4822" s="44"/>
      <c r="G4822" s="44"/>
      <c r="H4822" s="46" t="str">
        <f aca="false">IF($A4822="","",IF(OR(NOT(ISNUMBER(E4822)),NOT(ISNUMBER(F4822))),"",MAX(0,E4822)*F4822))</f>
        <v/>
      </c>
      <c r="I4822" s="46" t="str">
        <f aca="false">IF($A4822="","",SUMIF($A$2:$A$5001,$A4822,$H$2:$H$5001))</f>
        <v/>
      </c>
      <c r="J4822" s="47" t="n">
        <f aca="false">IF($A4822="",0,IF(COUNTIF($A$2:A4822,$A4822)=1,1,0))</f>
        <v>0</v>
      </c>
      <c r="K4822" s="47" t="n">
        <f aca="false">IF(J4822=1,N(I4822)+ROW()/10000000,0)</f>
        <v>0</v>
      </c>
      <c r="L4822" s="47" t="str">
        <f aca="false">IF(AND(J4822=1,N(I4822)&gt;0),SUMIF($K$2:$K$5001,"&gt;="&amp;K4822,$I$2:$I$5001)/MAX(1,SUM($H$2:$H$5001)),"")</f>
        <v/>
      </c>
      <c r="M4822" s="47" t="str">
        <f aca="false">IF($A4822="","",INDEX($L$2:$L$5001,MATCH($A4822,$A$2:$A$5001,0)))</f>
        <v/>
      </c>
      <c r="N4822" s="48" t="str">
        <f aca="false">IF($A4822="","",IF(N(M4822)=0,"–",IF(M4822&lt;=Start!$D$20,"A",IF(M4822&lt;=Start!$D$21,"B","C"))))</f>
        <v/>
      </c>
      <c r="O4822" s="48" t="str">
        <f aca="false">IF($A4822="","",IF(NOT(ISNUMBER(F4822)),"Wert fehlt; ",IF(F4822&lt;=0,"Wert ist 0; ",""))&amp;IF(NOT(ISNUMBER(E4822)),"Bestand fehlt; ",IF(E4822&lt;0,"Bestand negativ; ",IF(E4822=0,"Nullbestand; ","")))&amp;IF(D4822="","Warengruppe fehlt; ","")&amp;IF(B4822="","Bezeichnung fehlt; ","")&amp;IF(COUNTIFS($A$2:$A$5001,$A4822,$C$2:$C$5001,C4822)&gt;1,"Artikel doppelt im selben Lager; ",""))</f>
        <v/>
      </c>
      <c r="P4822" s="47" t="n">
        <f aca="false">IF(OR($A4822="",D4822=""),0,IF(COUNTIF($D$2:D4822,D4822)=1,SUMIF($D$2:$D$5001,D4822,$H$2:$H$5001)+ROW()/10000000,0))</f>
        <v>0</v>
      </c>
      <c r="Q4822" s="47" t="n">
        <f aca="false">IF(OR($A4822="",C4822=""),0,IF(COUNTIF($C$2:C4822,C4822)=1,SUMIF($C$2:$C$5001,C4822,$H$2:$H$5001)+ROW()/10000000,0))</f>
        <v>0</v>
      </c>
    </row>
    <row r="4823" customFormat="false" ht="15" hidden="false" customHeight="false" outlineLevel="0" collapsed="false">
      <c r="A4823" s="43"/>
      <c r="B4823" s="44"/>
      <c r="C4823" s="44"/>
      <c r="D4823" s="44"/>
      <c r="E4823" s="44"/>
      <c r="F4823" s="44"/>
      <c r="G4823" s="44"/>
      <c r="H4823" s="46" t="str">
        <f aca="false">IF($A4823="","",IF(OR(NOT(ISNUMBER(E4823)),NOT(ISNUMBER(F4823))),"",MAX(0,E4823)*F4823))</f>
        <v/>
      </c>
      <c r="I4823" s="46" t="str">
        <f aca="false">IF($A4823="","",SUMIF($A$2:$A$5001,$A4823,$H$2:$H$5001))</f>
        <v/>
      </c>
      <c r="J4823" s="47" t="n">
        <f aca="false">IF($A4823="",0,IF(COUNTIF($A$2:A4823,$A4823)=1,1,0))</f>
        <v>0</v>
      </c>
      <c r="K4823" s="47" t="n">
        <f aca="false">IF(J4823=1,N(I4823)+ROW()/10000000,0)</f>
        <v>0</v>
      </c>
      <c r="L4823" s="47" t="str">
        <f aca="false">IF(AND(J4823=1,N(I4823)&gt;0),SUMIF($K$2:$K$5001,"&gt;="&amp;K4823,$I$2:$I$5001)/MAX(1,SUM($H$2:$H$5001)),"")</f>
        <v/>
      </c>
      <c r="M4823" s="47" t="str">
        <f aca="false">IF($A4823="","",INDEX($L$2:$L$5001,MATCH($A4823,$A$2:$A$5001,0)))</f>
        <v/>
      </c>
      <c r="N4823" s="48" t="str">
        <f aca="false">IF($A4823="","",IF(N(M4823)=0,"–",IF(M4823&lt;=Start!$D$20,"A",IF(M4823&lt;=Start!$D$21,"B","C"))))</f>
        <v/>
      </c>
      <c r="O4823" s="48" t="str">
        <f aca="false">IF($A4823="","",IF(NOT(ISNUMBER(F4823)),"Wert fehlt; ",IF(F4823&lt;=0,"Wert ist 0; ",""))&amp;IF(NOT(ISNUMBER(E4823)),"Bestand fehlt; ",IF(E4823&lt;0,"Bestand negativ; ",IF(E4823=0,"Nullbestand; ","")))&amp;IF(D4823="","Warengruppe fehlt; ","")&amp;IF(B4823="","Bezeichnung fehlt; ","")&amp;IF(COUNTIFS($A$2:$A$5001,$A4823,$C$2:$C$5001,C4823)&gt;1,"Artikel doppelt im selben Lager; ",""))</f>
        <v/>
      </c>
      <c r="P4823" s="47" t="n">
        <f aca="false">IF(OR($A4823="",D4823=""),0,IF(COUNTIF($D$2:D4823,D4823)=1,SUMIF($D$2:$D$5001,D4823,$H$2:$H$5001)+ROW()/10000000,0))</f>
        <v>0</v>
      </c>
      <c r="Q4823" s="47" t="n">
        <f aca="false">IF(OR($A4823="",C4823=""),0,IF(COUNTIF($C$2:C4823,C4823)=1,SUMIF($C$2:$C$5001,C4823,$H$2:$H$5001)+ROW()/10000000,0))</f>
        <v>0</v>
      </c>
    </row>
    <row r="4824" customFormat="false" ht="15" hidden="false" customHeight="false" outlineLevel="0" collapsed="false">
      <c r="A4824" s="43"/>
      <c r="B4824" s="44"/>
      <c r="C4824" s="44"/>
      <c r="D4824" s="44"/>
      <c r="E4824" s="44"/>
      <c r="F4824" s="44"/>
      <c r="G4824" s="44"/>
      <c r="H4824" s="46" t="str">
        <f aca="false">IF($A4824="","",IF(OR(NOT(ISNUMBER(E4824)),NOT(ISNUMBER(F4824))),"",MAX(0,E4824)*F4824))</f>
        <v/>
      </c>
      <c r="I4824" s="46" t="str">
        <f aca="false">IF($A4824="","",SUMIF($A$2:$A$5001,$A4824,$H$2:$H$5001))</f>
        <v/>
      </c>
      <c r="J4824" s="47" t="n">
        <f aca="false">IF($A4824="",0,IF(COUNTIF($A$2:A4824,$A4824)=1,1,0))</f>
        <v>0</v>
      </c>
      <c r="K4824" s="47" t="n">
        <f aca="false">IF(J4824=1,N(I4824)+ROW()/10000000,0)</f>
        <v>0</v>
      </c>
      <c r="L4824" s="47" t="str">
        <f aca="false">IF(AND(J4824=1,N(I4824)&gt;0),SUMIF($K$2:$K$5001,"&gt;="&amp;K4824,$I$2:$I$5001)/MAX(1,SUM($H$2:$H$5001)),"")</f>
        <v/>
      </c>
      <c r="M4824" s="47" t="str">
        <f aca="false">IF($A4824="","",INDEX($L$2:$L$5001,MATCH($A4824,$A$2:$A$5001,0)))</f>
        <v/>
      </c>
      <c r="N4824" s="48" t="str">
        <f aca="false">IF($A4824="","",IF(N(M4824)=0,"–",IF(M4824&lt;=Start!$D$20,"A",IF(M4824&lt;=Start!$D$21,"B","C"))))</f>
        <v/>
      </c>
      <c r="O4824" s="48" t="str">
        <f aca="false">IF($A4824="","",IF(NOT(ISNUMBER(F4824)),"Wert fehlt; ",IF(F4824&lt;=0,"Wert ist 0; ",""))&amp;IF(NOT(ISNUMBER(E4824)),"Bestand fehlt; ",IF(E4824&lt;0,"Bestand negativ; ",IF(E4824=0,"Nullbestand; ","")))&amp;IF(D4824="","Warengruppe fehlt; ","")&amp;IF(B4824="","Bezeichnung fehlt; ","")&amp;IF(COUNTIFS($A$2:$A$5001,$A4824,$C$2:$C$5001,C4824)&gt;1,"Artikel doppelt im selben Lager; ",""))</f>
        <v/>
      </c>
      <c r="P4824" s="47" t="n">
        <f aca="false">IF(OR($A4824="",D4824=""),0,IF(COUNTIF($D$2:D4824,D4824)=1,SUMIF($D$2:$D$5001,D4824,$H$2:$H$5001)+ROW()/10000000,0))</f>
        <v>0</v>
      </c>
      <c r="Q4824" s="47" t="n">
        <f aca="false">IF(OR($A4824="",C4824=""),0,IF(COUNTIF($C$2:C4824,C4824)=1,SUMIF($C$2:$C$5001,C4824,$H$2:$H$5001)+ROW()/10000000,0))</f>
        <v>0</v>
      </c>
    </row>
    <row r="4825" customFormat="false" ht="15" hidden="false" customHeight="false" outlineLevel="0" collapsed="false">
      <c r="A4825" s="43"/>
      <c r="B4825" s="44"/>
      <c r="C4825" s="44"/>
      <c r="D4825" s="44"/>
      <c r="E4825" s="44"/>
      <c r="F4825" s="44"/>
      <c r="G4825" s="44"/>
      <c r="H4825" s="46" t="str">
        <f aca="false">IF($A4825="","",IF(OR(NOT(ISNUMBER(E4825)),NOT(ISNUMBER(F4825))),"",MAX(0,E4825)*F4825))</f>
        <v/>
      </c>
      <c r="I4825" s="46" t="str">
        <f aca="false">IF($A4825="","",SUMIF($A$2:$A$5001,$A4825,$H$2:$H$5001))</f>
        <v/>
      </c>
      <c r="J4825" s="47" t="n">
        <f aca="false">IF($A4825="",0,IF(COUNTIF($A$2:A4825,$A4825)=1,1,0))</f>
        <v>0</v>
      </c>
      <c r="K4825" s="47" t="n">
        <f aca="false">IF(J4825=1,N(I4825)+ROW()/10000000,0)</f>
        <v>0</v>
      </c>
      <c r="L4825" s="47" t="str">
        <f aca="false">IF(AND(J4825=1,N(I4825)&gt;0),SUMIF($K$2:$K$5001,"&gt;="&amp;K4825,$I$2:$I$5001)/MAX(1,SUM($H$2:$H$5001)),"")</f>
        <v/>
      </c>
      <c r="M4825" s="47" t="str">
        <f aca="false">IF($A4825="","",INDEX($L$2:$L$5001,MATCH($A4825,$A$2:$A$5001,0)))</f>
        <v/>
      </c>
      <c r="N4825" s="48" t="str">
        <f aca="false">IF($A4825="","",IF(N(M4825)=0,"–",IF(M4825&lt;=Start!$D$20,"A",IF(M4825&lt;=Start!$D$21,"B","C"))))</f>
        <v/>
      </c>
      <c r="O4825" s="48" t="str">
        <f aca="false">IF($A4825="","",IF(NOT(ISNUMBER(F4825)),"Wert fehlt; ",IF(F4825&lt;=0,"Wert ist 0; ",""))&amp;IF(NOT(ISNUMBER(E4825)),"Bestand fehlt; ",IF(E4825&lt;0,"Bestand negativ; ",IF(E4825=0,"Nullbestand; ","")))&amp;IF(D4825="","Warengruppe fehlt; ","")&amp;IF(B4825="","Bezeichnung fehlt; ","")&amp;IF(COUNTIFS($A$2:$A$5001,$A4825,$C$2:$C$5001,C4825)&gt;1,"Artikel doppelt im selben Lager; ",""))</f>
        <v/>
      </c>
      <c r="P4825" s="47" t="n">
        <f aca="false">IF(OR($A4825="",D4825=""),0,IF(COUNTIF($D$2:D4825,D4825)=1,SUMIF($D$2:$D$5001,D4825,$H$2:$H$5001)+ROW()/10000000,0))</f>
        <v>0</v>
      </c>
      <c r="Q4825" s="47" t="n">
        <f aca="false">IF(OR($A4825="",C4825=""),0,IF(COUNTIF($C$2:C4825,C4825)=1,SUMIF($C$2:$C$5001,C4825,$H$2:$H$5001)+ROW()/10000000,0))</f>
        <v>0</v>
      </c>
    </row>
    <row r="4826" customFormat="false" ht="15" hidden="false" customHeight="false" outlineLevel="0" collapsed="false">
      <c r="A4826" s="43"/>
      <c r="B4826" s="44"/>
      <c r="C4826" s="44"/>
      <c r="D4826" s="44"/>
      <c r="E4826" s="44"/>
      <c r="F4826" s="44"/>
      <c r="G4826" s="44"/>
      <c r="H4826" s="46" t="str">
        <f aca="false">IF($A4826="","",IF(OR(NOT(ISNUMBER(E4826)),NOT(ISNUMBER(F4826))),"",MAX(0,E4826)*F4826))</f>
        <v/>
      </c>
      <c r="I4826" s="46" t="str">
        <f aca="false">IF($A4826="","",SUMIF($A$2:$A$5001,$A4826,$H$2:$H$5001))</f>
        <v/>
      </c>
      <c r="J4826" s="47" t="n">
        <f aca="false">IF($A4826="",0,IF(COUNTIF($A$2:A4826,$A4826)=1,1,0))</f>
        <v>0</v>
      </c>
      <c r="K4826" s="47" t="n">
        <f aca="false">IF(J4826=1,N(I4826)+ROW()/10000000,0)</f>
        <v>0</v>
      </c>
      <c r="L4826" s="47" t="str">
        <f aca="false">IF(AND(J4826=1,N(I4826)&gt;0),SUMIF($K$2:$K$5001,"&gt;="&amp;K4826,$I$2:$I$5001)/MAX(1,SUM($H$2:$H$5001)),"")</f>
        <v/>
      </c>
      <c r="M4826" s="47" t="str">
        <f aca="false">IF($A4826="","",INDEX($L$2:$L$5001,MATCH($A4826,$A$2:$A$5001,0)))</f>
        <v/>
      </c>
      <c r="N4826" s="48" t="str">
        <f aca="false">IF($A4826="","",IF(N(M4826)=0,"–",IF(M4826&lt;=Start!$D$20,"A",IF(M4826&lt;=Start!$D$21,"B","C"))))</f>
        <v/>
      </c>
      <c r="O4826" s="48" t="str">
        <f aca="false">IF($A4826="","",IF(NOT(ISNUMBER(F4826)),"Wert fehlt; ",IF(F4826&lt;=0,"Wert ist 0; ",""))&amp;IF(NOT(ISNUMBER(E4826)),"Bestand fehlt; ",IF(E4826&lt;0,"Bestand negativ; ",IF(E4826=0,"Nullbestand; ","")))&amp;IF(D4826="","Warengruppe fehlt; ","")&amp;IF(B4826="","Bezeichnung fehlt; ","")&amp;IF(COUNTIFS($A$2:$A$5001,$A4826,$C$2:$C$5001,C4826)&gt;1,"Artikel doppelt im selben Lager; ",""))</f>
        <v/>
      </c>
      <c r="P4826" s="47" t="n">
        <f aca="false">IF(OR($A4826="",D4826=""),0,IF(COUNTIF($D$2:D4826,D4826)=1,SUMIF($D$2:$D$5001,D4826,$H$2:$H$5001)+ROW()/10000000,0))</f>
        <v>0</v>
      </c>
      <c r="Q4826" s="47" t="n">
        <f aca="false">IF(OR($A4826="",C4826=""),0,IF(COUNTIF($C$2:C4826,C4826)=1,SUMIF($C$2:$C$5001,C4826,$H$2:$H$5001)+ROW()/10000000,0))</f>
        <v>0</v>
      </c>
    </row>
    <row r="4827" customFormat="false" ht="15" hidden="false" customHeight="false" outlineLevel="0" collapsed="false">
      <c r="A4827" s="43"/>
      <c r="B4827" s="44"/>
      <c r="C4827" s="44"/>
      <c r="D4827" s="44"/>
      <c r="E4827" s="44"/>
      <c r="F4827" s="44"/>
      <c r="G4827" s="44"/>
      <c r="H4827" s="46" t="str">
        <f aca="false">IF($A4827="","",IF(OR(NOT(ISNUMBER(E4827)),NOT(ISNUMBER(F4827))),"",MAX(0,E4827)*F4827))</f>
        <v/>
      </c>
      <c r="I4827" s="46" t="str">
        <f aca="false">IF($A4827="","",SUMIF($A$2:$A$5001,$A4827,$H$2:$H$5001))</f>
        <v/>
      </c>
      <c r="J4827" s="47" t="n">
        <f aca="false">IF($A4827="",0,IF(COUNTIF($A$2:A4827,$A4827)=1,1,0))</f>
        <v>0</v>
      </c>
      <c r="K4827" s="47" t="n">
        <f aca="false">IF(J4827=1,N(I4827)+ROW()/10000000,0)</f>
        <v>0</v>
      </c>
      <c r="L4827" s="47" t="str">
        <f aca="false">IF(AND(J4827=1,N(I4827)&gt;0),SUMIF($K$2:$K$5001,"&gt;="&amp;K4827,$I$2:$I$5001)/MAX(1,SUM($H$2:$H$5001)),"")</f>
        <v/>
      </c>
      <c r="M4827" s="47" t="str">
        <f aca="false">IF($A4827="","",INDEX($L$2:$L$5001,MATCH($A4827,$A$2:$A$5001,0)))</f>
        <v/>
      </c>
      <c r="N4827" s="48" t="str">
        <f aca="false">IF($A4827="","",IF(N(M4827)=0,"–",IF(M4827&lt;=Start!$D$20,"A",IF(M4827&lt;=Start!$D$21,"B","C"))))</f>
        <v/>
      </c>
      <c r="O4827" s="48" t="str">
        <f aca="false">IF($A4827="","",IF(NOT(ISNUMBER(F4827)),"Wert fehlt; ",IF(F4827&lt;=0,"Wert ist 0; ",""))&amp;IF(NOT(ISNUMBER(E4827)),"Bestand fehlt; ",IF(E4827&lt;0,"Bestand negativ; ",IF(E4827=0,"Nullbestand; ","")))&amp;IF(D4827="","Warengruppe fehlt; ","")&amp;IF(B4827="","Bezeichnung fehlt; ","")&amp;IF(COUNTIFS($A$2:$A$5001,$A4827,$C$2:$C$5001,C4827)&gt;1,"Artikel doppelt im selben Lager; ",""))</f>
        <v/>
      </c>
      <c r="P4827" s="47" t="n">
        <f aca="false">IF(OR($A4827="",D4827=""),0,IF(COUNTIF($D$2:D4827,D4827)=1,SUMIF($D$2:$D$5001,D4827,$H$2:$H$5001)+ROW()/10000000,0))</f>
        <v>0</v>
      </c>
      <c r="Q4827" s="47" t="n">
        <f aca="false">IF(OR($A4827="",C4827=""),0,IF(COUNTIF($C$2:C4827,C4827)=1,SUMIF($C$2:$C$5001,C4827,$H$2:$H$5001)+ROW()/10000000,0))</f>
        <v>0</v>
      </c>
    </row>
    <row r="4828" customFormat="false" ht="15" hidden="false" customHeight="false" outlineLevel="0" collapsed="false">
      <c r="A4828" s="43"/>
      <c r="B4828" s="44"/>
      <c r="C4828" s="44"/>
      <c r="D4828" s="44"/>
      <c r="E4828" s="44"/>
      <c r="F4828" s="44"/>
      <c r="G4828" s="44"/>
      <c r="H4828" s="46" t="str">
        <f aca="false">IF($A4828="","",IF(OR(NOT(ISNUMBER(E4828)),NOT(ISNUMBER(F4828))),"",MAX(0,E4828)*F4828))</f>
        <v/>
      </c>
      <c r="I4828" s="46" t="str">
        <f aca="false">IF($A4828="","",SUMIF($A$2:$A$5001,$A4828,$H$2:$H$5001))</f>
        <v/>
      </c>
      <c r="J4828" s="47" t="n">
        <f aca="false">IF($A4828="",0,IF(COUNTIF($A$2:A4828,$A4828)=1,1,0))</f>
        <v>0</v>
      </c>
      <c r="K4828" s="47" t="n">
        <f aca="false">IF(J4828=1,N(I4828)+ROW()/10000000,0)</f>
        <v>0</v>
      </c>
      <c r="L4828" s="47" t="str">
        <f aca="false">IF(AND(J4828=1,N(I4828)&gt;0),SUMIF($K$2:$K$5001,"&gt;="&amp;K4828,$I$2:$I$5001)/MAX(1,SUM($H$2:$H$5001)),"")</f>
        <v/>
      </c>
      <c r="M4828" s="47" t="str">
        <f aca="false">IF($A4828="","",INDEX($L$2:$L$5001,MATCH($A4828,$A$2:$A$5001,0)))</f>
        <v/>
      </c>
      <c r="N4828" s="48" t="str">
        <f aca="false">IF($A4828="","",IF(N(M4828)=0,"–",IF(M4828&lt;=Start!$D$20,"A",IF(M4828&lt;=Start!$D$21,"B","C"))))</f>
        <v/>
      </c>
      <c r="O4828" s="48" t="str">
        <f aca="false">IF($A4828="","",IF(NOT(ISNUMBER(F4828)),"Wert fehlt; ",IF(F4828&lt;=0,"Wert ist 0; ",""))&amp;IF(NOT(ISNUMBER(E4828)),"Bestand fehlt; ",IF(E4828&lt;0,"Bestand negativ; ",IF(E4828=0,"Nullbestand; ","")))&amp;IF(D4828="","Warengruppe fehlt; ","")&amp;IF(B4828="","Bezeichnung fehlt; ","")&amp;IF(COUNTIFS($A$2:$A$5001,$A4828,$C$2:$C$5001,C4828)&gt;1,"Artikel doppelt im selben Lager; ",""))</f>
        <v/>
      </c>
      <c r="P4828" s="47" t="n">
        <f aca="false">IF(OR($A4828="",D4828=""),0,IF(COUNTIF($D$2:D4828,D4828)=1,SUMIF($D$2:$D$5001,D4828,$H$2:$H$5001)+ROW()/10000000,0))</f>
        <v>0</v>
      </c>
      <c r="Q4828" s="47" t="n">
        <f aca="false">IF(OR($A4828="",C4828=""),0,IF(COUNTIF($C$2:C4828,C4828)=1,SUMIF($C$2:$C$5001,C4828,$H$2:$H$5001)+ROW()/10000000,0))</f>
        <v>0</v>
      </c>
    </row>
    <row r="4829" customFormat="false" ht="15" hidden="false" customHeight="false" outlineLevel="0" collapsed="false">
      <c r="A4829" s="43"/>
      <c r="B4829" s="44"/>
      <c r="C4829" s="44"/>
      <c r="D4829" s="44"/>
      <c r="E4829" s="44"/>
      <c r="F4829" s="44"/>
      <c r="G4829" s="44"/>
      <c r="H4829" s="46" t="str">
        <f aca="false">IF($A4829="","",IF(OR(NOT(ISNUMBER(E4829)),NOT(ISNUMBER(F4829))),"",MAX(0,E4829)*F4829))</f>
        <v/>
      </c>
      <c r="I4829" s="46" t="str">
        <f aca="false">IF($A4829="","",SUMIF($A$2:$A$5001,$A4829,$H$2:$H$5001))</f>
        <v/>
      </c>
      <c r="J4829" s="47" t="n">
        <f aca="false">IF($A4829="",0,IF(COUNTIF($A$2:A4829,$A4829)=1,1,0))</f>
        <v>0</v>
      </c>
      <c r="K4829" s="47" t="n">
        <f aca="false">IF(J4829=1,N(I4829)+ROW()/10000000,0)</f>
        <v>0</v>
      </c>
      <c r="L4829" s="47" t="str">
        <f aca="false">IF(AND(J4829=1,N(I4829)&gt;0),SUMIF($K$2:$K$5001,"&gt;="&amp;K4829,$I$2:$I$5001)/MAX(1,SUM($H$2:$H$5001)),"")</f>
        <v/>
      </c>
      <c r="M4829" s="47" t="str">
        <f aca="false">IF($A4829="","",INDEX($L$2:$L$5001,MATCH($A4829,$A$2:$A$5001,0)))</f>
        <v/>
      </c>
      <c r="N4829" s="48" t="str">
        <f aca="false">IF($A4829="","",IF(N(M4829)=0,"–",IF(M4829&lt;=Start!$D$20,"A",IF(M4829&lt;=Start!$D$21,"B","C"))))</f>
        <v/>
      </c>
      <c r="O4829" s="48" t="str">
        <f aca="false">IF($A4829="","",IF(NOT(ISNUMBER(F4829)),"Wert fehlt; ",IF(F4829&lt;=0,"Wert ist 0; ",""))&amp;IF(NOT(ISNUMBER(E4829)),"Bestand fehlt; ",IF(E4829&lt;0,"Bestand negativ; ",IF(E4829=0,"Nullbestand; ","")))&amp;IF(D4829="","Warengruppe fehlt; ","")&amp;IF(B4829="","Bezeichnung fehlt; ","")&amp;IF(COUNTIFS($A$2:$A$5001,$A4829,$C$2:$C$5001,C4829)&gt;1,"Artikel doppelt im selben Lager; ",""))</f>
        <v/>
      </c>
      <c r="P4829" s="47" t="n">
        <f aca="false">IF(OR($A4829="",D4829=""),0,IF(COUNTIF($D$2:D4829,D4829)=1,SUMIF($D$2:$D$5001,D4829,$H$2:$H$5001)+ROW()/10000000,0))</f>
        <v>0</v>
      </c>
      <c r="Q4829" s="47" t="n">
        <f aca="false">IF(OR($A4829="",C4829=""),0,IF(COUNTIF($C$2:C4829,C4829)=1,SUMIF($C$2:$C$5001,C4829,$H$2:$H$5001)+ROW()/10000000,0))</f>
        <v>0</v>
      </c>
    </row>
    <row r="4830" customFormat="false" ht="15" hidden="false" customHeight="false" outlineLevel="0" collapsed="false">
      <c r="A4830" s="43"/>
      <c r="B4830" s="44"/>
      <c r="C4830" s="44"/>
      <c r="D4830" s="44"/>
      <c r="E4830" s="44"/>
      <c r="F4830" s="44"/>
      <c r="G4830" s="44"/>
      <c r="H4830" s="46" t="str">
        <f aca="false">IF($A4830="","",IF(OR(NOT(ISNUMBER(E4830)),NOT(ISNUMBER(F4830))),"",MAX(0,E4830)*F4830))</f>
        <v/>
      </c>
      <c r="I4830" s="46" t="str">
        <f aca="false">IF($A4830="","",SUMIF($A$2:$A$5001,$A4830,$H$2:$H$5001))</f>
        <v/>
      </c>
      <c r="J4830" s="47" t="n">
        <f aca="false">IF($A4830="",0,IF(COUNTIF($A$2:A4830,$A4830)=1,1,0))</f>
        <v>0</v>
      </c>
      <c r="K4830" s="47" t="n">
        <f aca="false">IF(J4830=1,N(I4830)+ROW()/10000000,0)</f>
        <v>0</v>
      </c>
      <c r="L4830" s="47" t="str">
        <f aca="false">IF(AND(J4830=1,N(I4830)&gt;0),SUMIF($K$2:$K$5001,"&gt;="&amp;K4830,$I$2:$I$5001)/MAX(1,SUM($H$2:$H$5001)),"")</f>
        <v/>
      </c>
      <c r="M4830" s="47" t="str">
        <f aca="false">IF($A4830="","",INDEX($L$2:$L$5001,MATCH($A4830,$A$2:$A$5001,0)))</f>
        <v/>
      </c>
      <c r="N4830" s="48" t="str">
        <f aca="false">IF($A4830="","",IF(N(M4830)=0,"–",IF(M4830&lt;=Start!$D$20,"A",IF(M4830&lt;=Start!$D$21,"B","C"))))</f>
        <v/>
      </c>
      <c r="O4830" s="48" t="str">
        <f aca="false">IF($A4830="","",IF(NOT(ISNUMBER(F4830)),"Wert fehlt; ",IF(F4830&lt;=0,"Wert ist 0; ",""))&amp;IF(NOT(ISNUMBER(E4830)),"Bestand fehlt; ",IF(E4830&lt;0,"Bestand negativ; ",IF(E4830=0,"Nullbestand; ","")))&amp;IF(D4830="","Warengruppe fehlt; ","")&amp;IF(B4830="","Bezeichnung fehlt; ","")&amp;IF(COUNTIFS($A$2:$A$5001,$A4830,$C$2:$C$5001,C4830)&gt;1,"Artikel doppelt im selben Lager; ",""))</f>
        <v/>
      </c>
      <c r="P4830" s="47" t="n">
        <f aca="false">IF(OR($A4830="",D4830=""),0,IF(COUNTIF($D$2:D4830,D4830)=1,SUMIF($D$2:$D$5001,D4830,$H$2:$H$5001)+ROW()/10000000,0))</f>
        <v>0</v>
      </c>
      <c r="Q4830" s="47" t="n">
        <f aca="false">IF(OR($A4830="",C4830=""),0,IF(COUNTIF($C$2:C4830,C4830)=1,SUMIF($C$2:$C$5001,C4830,$H$2:$H$5001)+ROW()/10000000,0))</f>
        <v>0</v>
      </c>
    </row>
    <row r="4831" customFormat="false" ht="15" hidden="false" customHeight="false" outlineLevel="0" collapsed="false">
      <c r="A4831" s="43"/>
      <c r="B4831" s="44"/>
      <c r="C4831" s="44"/>
      <c r="D4831" s="44"/>
      <c r="E4831" s="44"/>
      <c r="F4831" s="44"/>
      <c r="G4831" s="44"/>
      <c r="H4831" s="46" t="str">
        <f aca="false">IF($A4831="","",IF(OR(NOT(ISNUMBER(E4831)),NOT(ISNUMBER(F4831))),"",MAX(0,E4831)*F4831))</f>
        <v/>
      </c>
      <c r="I4831" s="46" t="str">
        <f aca="false">IF($A4831="","",SUMIF($A$2:$A$5001,$A4831,$H$2:$H$5001))</f>
        <v/>
      </c>
      <c r="J4831" s="47" t="n">
        <f aca="false">IF($A4831="",0,IF(COUNTIF($A$2:A4831,$A4831)=1,1,0))</f>
        <v>0</v>
      </c>
      <c r="K4831" s="47" t="n">
        <f aca="false">IF(J4831=1,N(I4831)+ROW()/10000000,0)</f>
        <v>0</v>
      </c>
      <c r="L4831" s="47" t="str">
        <f aca="false">IF(AND(J4831=1,N(I4831)&gt;0),SUMIF($K$2:$K$5001,"&gt;="&amp;K4831,$I$2:$I$5001)/MAX(1,SUM($H$2:$H$5001)),"")</f>
        <v/>
      </c>
      <c r="M4831" s="47" t="str">
        <f aca="false">IF($A4831="","",INDEX($L$2:$L$5001,MATCH($A4831,$A$2:$A$5001,0)))</f>
        <v/>
      </c>
      <c r="N4831" s="48" t="str">
        <f aca="false">IF($A4831="","",IF(N(M4831)=0,"–",IF(M4831&lt;=Start!$D$20,"A",IF(M4831&lt;=Start!$D$21,"B","C"))))</f>
        <v/>
      </c>
      <c r="O4831" s="48" t="str">
        <f aca="false">IF($A4831="","",IF(NOT(ISNUMBER(F4831)),"Wert fehlt; ",IF(F4831&lt;=0,"Wert ist 0; ",""))&amp;IF(NOT(ISNUMBER(E4831)),"Bestand fehlt; ",IF(E4831&lt;0,"Bestand negativ; ",IF(E4831=0,"Nullbestand; ","")))&amp;IF(D4831="","Warengruppe fehlt; ","")&amp;IF(B4831="","Bezeichnung fehlt; ","")&amp;IF(COUNTIFS($A$2:$A$5001,$A4831,$C$2:$C$5001,C4831)&gt;1,"Artikel doppelt im selben Lager; ",""))</f>
        <v/>
      </c>
      <c r="P4831" s="47" t="n">
        <f aca="false">IF(OR($A4831="",D4831=""),0,IF(COUNTIF($D$2:D4831,D4831)=1,SUMIF($D$2:$D$5001,D4831,$H$2:$H$5001)+ROW()/10000000,0))</f>
        <v>0</v>
      </c>
      <c r="Q4831" s="47" t="n">
        <f aca="false">IF(OR($A4831="",C4831=""),0,IF(COUNTIF($C$2:C4831,C4831)=1,SUMIF($C$2:$C$5001,C4831,$H$2:$H$5001)+ROW()/10000000,0))</f>
        <v>0</v>
      </c>
    </row>
    <row r="4832" customFormat="false" ht="15" hidden="false" customHeight="false" outlineLevel="0" collapsed="false">
      <c r="A4832" s="43"/>
      <c r="B4832" s="44"/>
      <c r="C4832" s="44"/>
      <c r="D4832" s="44"/>
      <c r="E4832" s="44"/>
      <c r="F4832" s="44"/>
      <c r="G4832" s="44"/>
      <c r="H4832" s="46" t="str">
        <f aca="false">IF($A4832="","",IF(OR(NOT(ISNUMBER(E4832)),NOT(ISNUMBER(F4832))),"",MAX(0,E4832)*F4832))</f>
        <v/>
      </c>
      <c r="I4832" s="46" t="str">
        <f aca="false">IF($A4832="","",SUMIF($A$2:$A$5001,$A4832,$H$2:$H$5001))</f>
        <v/>
      </c>
      <c r="J4832" s="47" t="n">
        <f aca="false">IF($A4832="",0,IF(COUNTIF($A$2:A4832,$A4832)=1,1,0))</f>
        <v>0</v>
      </c>
      <c r="K4832" s="47" t="n">
        <f aca="false">IF(J4832=1,N(I4832)+ROW()/10000000,0)</f>
        <v>0</v>
      </c>
      <c r="L4832" s="47" t="str">
        <f aca="false">IF(AND(J4832=1,N(I4832)&gt;0),SUMIF($K$2:$K$5001,"&gt;="&amp;K4832,$I$2:$I$5001)/MAX(1,SUM($H$2:$H$5001)),"")</f>
        <v/>
      </c>
      <c r="M4832" s="47" t="str">
        <f aca="false">IF($A4832="","",INDEX($L$2:$L$5001,MATCH($A4832,$A$2:$A$5001,0)))</f>
        <v/>
      </c>
      <c r="N4832" s="48" t="str">
        <f aca="false">IF($A4832="","",IF(N(M4832)=0,"–",IF(M4832&lt;=Start!$D$20,"A",IF(M4832&lt;=Start!$D$21,"B","C"))))</f>
        <v/>
      </c>
      <c r="O4832" s="48" t="str">
        <f aca="false">IF($A4832="","",IF(NOT(ISNUMBER(F4832)),"Wert fehlt; ",IF(F4832&lt;=0,"Wert ist 0; ",""))&amp;IF(NOT(ISNUMBER(E4832)),"Bestand fehlt; ",IF(E4832&lt;0,"Bestand negativ; ",IF(E4832=0,"Nullbestand; ","")))&amp;IF(D4832="","Warengruppe fehlt; ","")&amp;IF(B4832="","Bezeichnung fehlt; ","")&amp;IF(COUNTIFS($A$2:$A$5001,$A4832,$C$2:$C$5001,C4832)&gt;1,"Artikel doppelt im selben Lager; ",""))</f>
        <v/>
      </c>
      <c r="P4832" s="47" t="n">
        <f aca="false">IF(OR($A4832="",D4832=""),0,IF(COUNTIF($D$2:D4832,D4832)=1,SUMIF($D$2:$D$5001,D4832,$H$2:$H$5001)+ROW()/10000000,0))</f>
        <v>0</v>
      </c>
      <c r="Q4832" s="47" t="n">
        <f aca="false">IF(OR($A4832="",C4832=""),0,IF(COUNTIF($C$2:C4832,C4832)=1,SUMIF($C$2:$C$5001,C4832,$H$2:$H$5001)+ROW()/10000000,0))</f>
        <v>0</v>
      </c>
    </row>
    <row r="4833" customFormat="false" ht="15" hidden="false" customHeight="false" outlineLevel="0" collapsed="false">
      <c r="A4833" s="43"/>
      <c r="B4833" s="44"/>
      <c r="C4833" s="44"/>
      <c r="D4833" s="44"/>
      <c r="E4833" s="44"/>
      <c r="F4833" s="44"/>
      <c r="G4833" s="44"/>
      <c r="H4833" s="46" t="str">
        <f aca="false">IF($A4833="","",IF(OR(NOT(ISNUMBER(E4833)),NOT(ISNUMBER(F4833))),"",MAX(0,E4833)*F4833))</f>
        <v/>
      </c>
      <c r="I4833" s="46" t="str">
        <f aca="false">IF($A4833="","",SUMIF($A$2:$A$5001,$A4833,$H$2:$H$5001))</f>
        <v/>
      </c>
      <c r="J4833" s="47" t="n">
        <f aca="false">IF($A4833="",0,IF(COUNTIF($A$2:A4833,$A4833)=1,1,0))</f>
        <v>0</v>
      </c>
      <c r="K4833" s="47" t="n">
        <f aca="false">IF(J4833=1,N(I4833)+ROW()/10000000,0)</f>
        <v>0</v>
      </c>
      <c r="L4833" s="47" t="str">
        <f aca="false">IF(AND(J4833=1,N(I4833)&gt;0),SUMIF($K$2:$K$5001,"&gt;="&amp;K4833,$I$2:$I$5001)/MAX(1,SUM($H$2:$H$5001)),"")</f>
        <v/>
      </c>
      <c r="M4833" s="47" t="str">
        <f aca="false">IF($A4833="","",INDEX($L$2:$L$5001,MATCH($A4833,$A$2:$A$5001,0)))</f>
        <v/>
      </c>
      <c r="N4833" s="48" t="str">
        <f aca="false">IF($A4833="","",IF(N(M4833)=0,"–",IF(M4833&lt;=Start!$D$20,"A",IF(M4833&lt;=Start!$D$21,"B","C"))))</f>
        <v/>
      </c>
      <c r="O4833" s="48" t="str">
        <f aca="false">IF($A4833="","",IF(NOT(ISNUMBER(F4833)),"Wert fehlt; ",IF(F4833&lt;=0,"Wert ist 0; ",""))&amp;IF(NOT(ISNUMBER(E4833)),"Bestand fehlt; ",IF(E4833&lt;0,"Bestand negativ; ",IF(E4833=0,"Nullbestand; ","")))&amp;IF(D4833="","Warengruppe fehlt; ","")&amp;IF(B4833="","Bezeichnung fehlt; ","")&amp;IF(COUNTIFS($A$2:$A$5001,$A4833,$C$2:$C$5001,C4833)&gt;1,"Artikel doppelt im selben Lager; ",""))</f>
        <v/>
      </c>
      <c r="P4833" s="47" t="n">
        <f aca="false">IF(OR($A4833="",D4833=""),0,IF(COUNTIF($D$2:D4833,D4833)=1,SUMIF($D$2:$D$5001,D4833,$H$2:$H$5001)+ROW()/10000000,0))</f>
        <v>0</v>
      </c>
      <c r="Q4833" s="47" t="n">
        <f aca="false">IF(OR($A4833="",C4833=""),0,IF(COUNTIF($C$2:C4833,C4833)=1,SUMIF($C$2:$C$5001,C4833,$H$2:$H$5001)+ROW()/10000000,0))</f>
        <v>0</v>
      </c>
    </row>
    <row r="4834" customFormat="false" ht="15" hidden="false" customHeight="false" outlineLevel="0" collapsed="false">
      <c r="A4834" s="43"/>
      <c r="B4834" s="44"/>
      <c r="C4834" s="44"/>
      <c r="D4834" s="44"/>
      <c r="E4834" s="44"/>
      <c r="F4834" s="44"/>
      <c r="G4834" s="44"/>
      <c r="H4834" s="46" t="str">
        <f aca="false">IF($A4834="","",IF(OR(NOT(ISNUMBER(E4834)),NOT(ISNUMBER(F4834))),"",MAX(0,E4834)*F4834))</f>
        <v/>
      </c>
      <c r="I4834" s="46" t="str">
        <f aca="false">IF($A4834="","",SUMIF($A$2:$A$5001,$A4834,$H$2:$H$5001))</f>
        <v/>
      </c>
      <c r="J4834" s="47" t="n">
        <f aca="false">IF($A4834="",0,IF(COUNTIF($A$2:A4834,$A4834)=1,1,0))</f>
        <v>0</v>
      </c>
      <c r="K4834" s="47" t="n">
        <f aca="false">IF(J4834=1,N(I4834)+ROW()/10000000,0)</f>
        <v>0</v>
      </c>
      <c r="L4834" s="47" t="str">
        <f aca="false">IF(AND(J4834=1,N(I4834)&gt;0),SUMIF($K$2:$K$5001,"&gt;="&amp;K4834,$I$2:$I$5001)/MAX(1,SUM($H$2:$H$5001)),"")</f>
        <v/>
      </c>
      <c r="M4834" s="47" t="str">
        <f aca="false">IF($A4834="","",INDEX($L$2:$L$5001,MATCH($A4834,$A$2:$A$5001,0)))</f>
        <v/>
      </c>
      <c r="N4834" s="48" t="str">
        <f aca="false">IF($A4834="","",IF(N(M4834)=0,"–",IF(M4834&lt;=Start!$D$20,"A",IF(M4834&lt;=Start!$D$21,"B","C"))))</f>
        <v/>
      </c>
      <c r="O4834" s="48" t="str">
        <f aca="false">IF($A4834="","",IF(NOT(ISNUMBER(F4834)),"Wert fehlt; ",IF(F4834&lt;=0,"Wert ist 0; ",""))&amp;IF(NOT(ISNUMBER(E4834)),"Bestand fehlt; ",IF(E4834&lt;0,"Bestand negativ; ",IF(E4834=0,"Nullbestand; ","")))&amp;IF(D4834="","Warengruppe fehlt; ","")&amp;IF(B4834="","Bezeichnung fehlt; ","")&amp;IF(COUNTIFS($A$2:$A$5001,$A4834,$C$2:$C$5001,C4834)&gt;1,"Artikel doppelt im selben Lager; ",""))</f>
        <v/>
      </c>
      <c r="P4834" s="47" t="n">
        <f aca="false">IF(OR($A4834="",D4834=""),0,IF(COUNTIF($D$2:D4834,D4834)=1,SUMIF($D$2:$D$5001,D4834,$H$2:$H$5001)+ROW()/10000000,0))</f>
        <v>0</v>
      </c>
      <c r="Q4834" s="47" t="n">
        <f aca="false">IF(OR($A4834="",C4834=""),0,IF(COUNTIF($C$2:C4834,C4834)=1,SUMIF($C$2:$C$5001,C4834,$H$2:$H$5001)+ROW()/10000000,0))</f>
        <v>0</v>
      </c>
    </row>
    <row r="4835" customFormat="false" ht="15" hidden="false" customHeight="false" outlineLevel="0" collapsed="false">
      <c r="A4835" s="43"/>
      <c r="B4835" s="44"/>
      <c r="C4835" s="44"/>
      <c r="D4835" s="44"/>
      <c r="E4835" s="44"/>
      <c r="F4835" s="44"/>
      <c r="G4835" s="44"/>
      <c r="H4835" s="46" t="str">
        <f aca="false">IF($A4835="","",IF(OR(NOT(ISNUMBER(E4835)),NOT(ISNUMBER(F4835))),"",MAX(0,E4835)*F4835))</f>
        <v/>
      </c>
      <c r="I4835" s="46" t="str">
        <f aca="false">IF($A4835="","",SUMIF($A$2:$A$5001,$A4835,$H$2:$H$5001))</f>
        <v/>
      </c>
      <c r="J4835" s="47" t="n">
        <f aca="false">IF($A4835="",0,IF(COUNTIF($A$2:A4835,$A4835)=1,1,0))</f>
        <v>0</v>
      </c>
      <c r="K4835" s="47" t="n">
        <f aca="false">IF(J4835=1,N(I4835)+ROW()/10000000,0)</f>
        <v>0</v>
      </c>
      <c r="L4835" s="47" t="str">
        <f aca="false">IF(AND(J4835=1,N(I4835)&gt;0),SUMIF($K$2:$K$5001,"&gt;="&amp;K4835,$I$2:$I$5001)/MAX(1,SUM($H$2:$H$5001)),"")</f>
        <v/>
      </c>
      <c r="M4835" s="47" t="str">
        <f aca="false">IF($A4835="","",INDEX($L$2:$L$5001,MATCH($A4835,$A$2:$A$5001,0)))</f>
        <v/>
      </c>
      <c r="N4835" s="48" t="str">
        <f aca="false">IF($A4835="","",IF(N(M4835)=0,"–",IF(M4835&lt;=Start!$D$20,"A",IF(M4835&lt;=Start!$D$21,"B","C"))))</f>
        <v/>
      </c>
      <c r="O4835" s="48" t="str">
        <f aca="false">IF($A4835="","",IF(NOT(ISNUMBER(F4835)),"Wert fehlt; ",IF(F4835&lt;=0,"Wert ist 0; ",""))&amp;IF(NOT(ISNUMBER(E4835)),"Bestand fehlt; ",IF(E4835&lt;0,"Bestand negativ; ",IF(E4835=0,"Nullbestand; ","")))&amp;IF(D4835="","Warengruppe fehlt; ","")&amp;IF(B4835="","Bezeichnung fehlt; ","")&amp;IF(COUNTIFS($A$2:$A$5001,$A4835,$C$2:$C$5001,C4835)&gt;1,"Artikel doppelt im selben Lager; ",""))</f>
        <v/>
      </c>
      <c r="P4835" s="47" t="n">
        <f aca="false">IF(OR($A4835="",D4835=""),0,IF(COUNTIF($D$2:D4835,D4835)=1,SUMIF($D$2:$D$5001,D4835,$H$2:$H$5001)+ROW()/10000000,0))</f>
        <v>0</v>
      </c>
      <c r="Q4835" s="47" t="n">
        <f aca="false">IF(OR($A4835="",C4835=""),0,IF(COUNTIF($C$2:C4835,C4835)=1,SUMIF($C$2:$C$5001,C4835,$H$2:$H$5001)+ROW()/10000000,0))</f>
        <v>0</v>
      </c>
    </row>
    <row r="4836" customFormat="false" ht="15" hidden="false" customHeight="false" outlineLevel="0" collapsed="false">
      <c r="A4836" s="43"/>
      <c r="B4836" s="44"/>
      <c r="C4836" s="44"/>
      <c r="D4836" s="44"/>
      <c r="E4836" s="44"/>
      <c r="F4836" s="44"/>
      <c r="G4836" s="44"/>
      <c r="H4836" s="46" t="str">
        <f aca="false">IF($A4836="","",IF(OR(NOT(ISNUMBER(E4836)),NOT(ISNUMBER(F4836))),"",MAX(0,E4836)*F4836))</f>
        <v/>
      </c>
      <c r="I4836" s="46" t="str">
        <f aca="false">IF($A4836="","",SUMIF($A$2:$A$5001,$A4836,$H$2:$H$5001))</f>
        <v/>
      </c>
      <c r="J4836" s="47" t="n">
        <f aca="false">IF($A4836="",0,IF(COUNTIF($A$2:A4836,$A4836)=1,1,0))</f>
        <v>0</v>
      </c>
      <c r="K4836" s="47" t="n">
        <f aca="false">IF(J4836=1,N(I4836)+ROW()/10000000,0)</f>
        <v>0</v>
      </c>
      <c r="L4836" s="47" t="str">
        <f aca="false">IF(AND(J4836=1,N(I4836)&gt;0),SUMIF($K$2:$K$5001,"&gt;="&amp;K4836,$I$2:$I$5001)/MAX(1,SUM($H$2:$H$5001)),"")</f>
        <v/>
      </c>
      <c r="M4836" s="47" t="str">
        <f aca="false">IF($A4836="","",INDEX($L$2:$L$5001,MATCH($A4836,$A$2:$A$5001,0)))</f>
        <v/>
      </c>
      <c r="N4836" s="48" t="str">
        <f aca="false">IF($A4836="","",IF(N(M4836)=0,"–",IF(M4836&lt;=Start!$D$20,"A",IF(M4836&lt;=Start!$D$21,"B","C"))))</f>
        <v/>
      </c>
      <c r="O4836" s="48" t="str">
        <f aca="false">IF($A4836="","",IF(NOT(ISNUMBER(F4836)),"Wert fehlt; ",IF(F4836&lt;=0,"Wert ist 0; ",""))&amp;IF(NOT(ISNUMBER(E4836)),"Bestand fehlt; ",IF(E4836&lt;0,"Bestand negativ; ",IF(E4836=0,"Nullbestand; ","")))&amp;IF(D4836="","Warengruppe fehlt; ","")&amp;IF(B4836="","Bezeichnung fehlt; ","")&amp;IF(COUNTIFS($A$2:$A$5001,$A4836,$C$2:$C$5001,C4836)&gt;1,"Artikel doppelt im selben Lager; ",""))</f>
        <v/>
      </c>
      <c r="P4836" s="47" t="n">
        <f aca="false">IF(OR($A4836="",D4836=""),0,IF(COUNTIF($D$2:D4836,D4836)=1,SUMIF($D$2:$D$5001,D4836,$H$2:$H$5001)+ROW()/10000000,0))</f>
        <v>0</v>
      </c>
      <c r="Q4836" s="47" t="n">
        <f aca="false">IF(OR($A4836="",C4836=""),0,IF(COUNTIF($C$2:C4836,C4836)=1,SUMIF($C$2:$C$5001,C4836,$H$2:$H$5001)+ROW()/10000000,0))</f>
        <v>0</v>
      </c>
    </row>
    <row r="4837" customFormat="false" ht="15" hidden="false" customHeight="false" outlineLevel="0" collapsed="false">
      <c r="A4837" s="43"/>
      <c r="B4837" s="44"/>
      <c r="C4837" s="44"/>
      <c r="D4837" s="44"/>
      <c r="E4837" s="44"/>
      <c r="F4837" s="44"/>
      <c r="G4837" s="44"/>
      <c r="H4837" s="46" t="str">
        <f aca="false">IF($A4837="","",IF(OR(NOT(ISNUMBER(E4837)),NOT(ISNUMBER(F4837))),"",MAX(0,E4837)*F4837))</f>
        <v/>
      </c>
      <c r="I4837" s="46" t="str">
        <f aca="false">IF($A4837="","",SUMIF($A$2:$A$5001,$A4837,$H$2:$H$5001))</f>
        <v/>
      </c>
      <c r="J4837" s="47" t="n">
        <f aca="false">IF($A4837="",0,IF(COUNTIF($A$2:A4837,$A4837)=1,1,0))</f>
        <v>0</v>
      </c>
      <c r="K4837" s="47" t="n">
        <f aca="false">IF(J4837=1,N(I4837)+ROW()/10000000,0)</f>
        <v>0</v>
      </c>
      <c r="L4837" s="47" t="str">
        <f aca="false">IF(AND(J4837=1,N(I4837)&gt;0),SUMIF($K$2:$K$5001,"&gt;="&amp;K4837,$I$2:$I$5001)/MAX(1,SUM($H$2:$H$5001)),"")</f>
        <v/>
      </c>
      <c r="M4837" s="47" t="str">
        <f aca="false">IF($A4837="","",INDEX($L$2:$L$5001,MATCH($A4837,$A$2:$A$5001,0)))</f>
        <v/>
      </c>
      <c r="N4837" s="48" t="str">
        <f aca="false">IF($A4837="","",IF(N(M4837)=0,"–",IF(M4837&lt;=Start!$D$20,"A",IF(M4837&lt;=Start!$D$21,"B","C"))))</f>
        <v/>
      </c>
      <c r="O4837" s="48" t="str">
        <f aca="false">IF($A4837="","",IF(NOT(ISNUMBER(F4837)),"Wert fehlt; ",IF(F4837&lt;=0,"Wert ist 0; ",""))&amp;IF(NOT(ISNUMBER(E4837)),"Bestand fehlt; ",IF(E4837&lt;0,"Bestand negativ; ",IF(E4837=0,"Nullbestand; ","")))&amp;IF(D4837="","Warengruppe fehlt; ","")&amp;IF(B4837="","Bezeichnung fehlt; ","")&amp;IF(COUNTIFS($A$2:$A$5001,$A4837,$C$2:$C$5001,C4837)&gt;1,"Artikel doppelt im selben Lager; ",""))</f>
        <v/>
      </c>
      <c r="P4837" s="47" t="n">
        <f aca="false">IF(OR($A4837="",D4837=""),0,IF(COUNTIF($D$2:D4837,D4837)=1,SUMIF($D$2:$D$5001,D4837,$H$2:$H$5001)+ROW()/10000000,0))</f>
        <v>0</v>
      </c>
      <c r="Q4837" s="47" t="n">
        <f aca="false">IF(OR($A4837="",C4837=""),0,IF(COUNTIF($C$2:C4837,C4837)=1,SUMIF($C$2:$C$5001,C4837,$H$2:$H$5001)+ROW()/10000000,0))</f>
        <v>0</v>
      </c>
    </row>
    <row r="4838" customFormat="false" ht="15" hidden="false" customHeight="false" outlineLevel="0" collapsed="false">
      <c r="A4838" s="43"/>
      <c r="B4838" s="44"/>
      <c r="C4838" s="44"/>
      <c r="D4838" s="44"/>
      <c r="E4838" s="44"/>
      <c r="F4838" s="44"/>
      <c r="G4838" s="44"/>
      <c r="H4838" s="46" t="str">
        <f aca="false">IF($A4838="","",IF(OR(NOT(ISNUMBER(E4838)),NOT(ISNUMBER(F4838))),"",MAX(0,E4838)*F4838))</f>
        <v/>
      </c>
      <c r="I4838" s="46" t="str">
        <f aca="false">IF($A4838="","",SUMIF($A$2:$A$5001,$A4838,$H$2:$H$5001))</f>
        <v/>
      </c>
      <c r="J4838" s="47" t="n">
        <f aca="false">IF($A4838="",0,IF(COUNTIF($A$2:A4838,$A4838)=1,1,0))</f>
        <v>0</v>
      </c>
      <c r="K4838" s="47" t="n">
        <f aca="false">IF(J4838=1,N(I4838)+ROW()/10000000,0)</f>
        <v>0</v>
      </c>
      <c r="L4838" s="47" t="str">
        <f aca="false">IF(AND(J4838=1,N(I4838)&gt;0),SUMIF($K$2:$K$5001,"&gt;="&amp;K4838,$I$2:$I$5001)/MAX(1,SUM($H$2:$H$5001)),"")</f>
        <v/>
      </c>
      <c r="M4838" s="47" t="str">
        <f aca="false">IF($A4838="","",INDEX($L$2:$L$5001,MATCH($A4838,$A$2:$A$5001,0)))</f>
        <v/>
      </c>
      <c r="N4838" s="48" t="str">
        <f aca="false">IF($A4838="","",IF(N(M4838)=0,"–",IF(M4838&lt;=Start!$D$20,"A",IF(M4838&lt;=Start!$D$21,"B","C"))))</f>
        <v/>
      </c>
      <c r="O4838" s="48" t="str">
        <f aca="false">IF($A4838="","",IF(NOT(ISNUMBER(F4838)),"Wert fehlt; ",IF(F4838&lt;=0,"Wert ist 0; ",""))&amp;IF(NOT(ISNUMBER(E4838)),"Bestand fehlt; ",IF(E4838&lt;0,"Bestand negativ; ",IF(E4838=0,"Nullbestand; ","")))&amp;IF(D4838="","Warengruppe fehlt; ","")&amp;IF(B4838="","Bezeichnung fehlt; ","")&amp;IF(COUNTIFS($A$2:$A$5001,$A4838,$C$2:$C$5001,C4838)&gt;1,"Artikel doppelt im selben Lager; ",""))</f>
        <v/>
      </c>
      <c r="P4838" s="47" t="n">
        <f aca="false">IF(OR($A4838="",D4838=""),0,IF(COUNTIF($D$2:D4838,D4838)=1,SUMIF($D$2:$D$5001,D4838,$H$2:$H$5001)+ROW()/10000000,0))</f>
        <v>0</v>
      </c>
      <c r="Q4838" s="47" t="n">
        <f aca="false">IF(OR($A4838="",C4838=""),0,IF(COUNTIF($C$2:C4838,C4838)=1,SUMIF($C$2:$C$5001,C4838,$H$2:$H$5001)+ROW()/10000000,0))</f>
        <v>0</v>
      </c>
    </row>
    <row r="4839" customFormat="false" ht="15" hidden="false" customHeight="false" outlineLevel="0" collapsed="false">
      <c r="A4839" s="43"/>
      <c r="B4839" s="44"/>
      <c r="C4839" s="44"/>
      <c r="D4839" s="44"/>
      <c r="E4839" s="44"/>
      <c r="F4839" s="44"/>
      <c r="G4839" s="44"/>
      <c r="H4839" s="46" t="str">
        <f aca="false">IF($A4839="","",IF(OR(NOT(ISNUMBER(E4839)),NOT(ISNUMBER(F4839))),"",MAX(0,E4839)*F4839))</f>
        <v/>
      </c>
      <c r="I4839" s="46" t="str">
        <f aca="false">IF($A4839="","",SUMIF($A$2:$A$5001,$A4839,$H$2:$H$5001))</f>
        <v/>
      </c>
      <c r="J4839" s="47" t="n">
        <f aca="false">IF($A4839="",0,IF(COUNTIF($A$2:A4839,$A4839)=1,1,0))</f>
        <v>0</v>
      </c>
      <c r="K4839" s="47" t="n">
        <f aca="false">IF(J4839=1,N(I4839)+ROW()/10000000,0)</f>
        <v>0</v>
      </c>
      <c r="L4839" s="47" t="str">
        <f aca="false">IF(AND(J4839=1,N(I4839)&gt;0),SUMIF($K$2:$K$5001,"&gt;="&amp;K4839,$I$2:$I$5001)/MAX(1,SUM($H$2:$H$5001)),"")</f>
        <v/>
      </c>
      <c r="M4839" s="47" t="str">
        <f aca="false">IF($A4839="","",INDEX($L$2:$L$5001,MATCH($A4839,$A$2:$A$5001,0)))</f>
        <v/>
      </c>
      <c r="N4839" s="48" t="str">
        <f aca="false">IF($A4839="","",IF(N(M4839)=0,"–",IF(M4839&lt;=Start!$D$20,"A",IF(M4839&lt;=Start!$D$21,"B","C"))))</f>
        <v/>
      </c>
      <c r="O4839" s="48" t="str">
        <f aca="false">IF($A4839="","",IF(NOT(ISNUMBER(F4839)),"Wert fehlt; ",IF(F4839&lt;=0,"Wert ist 0; ",""))&amp;IF(NOT(ISNUMBER(E4839)),"Bestand fehlt; ",IF(E4839&lt;0,"Bestand negativ; ",IF(E4839=0,"Nullbestand; ","")))&amp;IF(D4839="","Warengruppe fehlt; ","")&amp;IF(B4839="","Bezeichnung fehlt; ","")&amp;IF(COUNTIFS($A$2:$A$5001,$A4839,$C$2:$C$5001,C4839)&gt;1,"Artikel doppelt im selben Lager; ",""))</f>
        <v/>
      </c>
      <c r="P4839" s="47" t="n">
        <f aca="false">IF(OR($A4839="",D4839=""),0,IF(COUNTIF($D$2:D4839,D4839)=1,SUMIF($D$2:$D$5001,D4839,$H$2:$H$5001)+ROW()/10000000,0))</f>
        <v>0</v>
      </c>
      <c r="Q4839" s="47" t="n">
        <f aca="false">IF(OR($A4839="",C4839=""),0,IF(COUNTIF($C$2:C4839,C4839)=1,SUMIF($C$2:$C$5001,C4839,$H$2:$H$5001)+ROW()/10000000,0))</f>
        <v>0</v>
      </c>
    </row>
    <row r="4840" customFormat="false" ht="15" hidden="false" customHeight="false" outlineLevel="0" collapsed="false">
      <c r="A4840" s="43"/>
      <c r="B4840" s="44"/>
      <c r="C4840" s="44"/>
      <c r="D4840" s="44"/>
      <c r="E4840" s="44"/>
      <c r="F4840" s="44"/>
      <c r="G4840" s="44"/>
      <c r="H4840" s="46" t="str">
        <f aca="false">IF($A4840="","",IF(OR(NOT(ISNUMBER(E4840)),NOT(ISNUMBER(F4840))),"",MAX(0,E4840)*F4840))</f>
        <v/>
      </c>
      <c r="I4840" s="46" t="str">
        <f aca="false">IF($A4840="","",SUMIF($A$2:$A$5001,$A4840,$H$2:$H$5001))</f>
        <v/>
      </c>
      <c r="J4840" s="47" t="n">
        <f aca="false">IF($A4840="",0,IF(COUNTIF($A$2:A4840,$A4840)=1,1,0))</f>
        <v>0</v>
      </c>
      <c r="K4840" s="47" t="n">
        <f aca="false">IF(J4840=1,N(I4840)+ROW()/10000000,0)</f>
        <v>0</v>
      </c>
      <c r="L4840" s="47" t="str">
        <f aca="false">IF(AND(J4840=1,N(I4840)&gt;0),SUMIF($K$2:$K$5001,"&gt;="&amp;K4840,$I$2:$I$5001)/MAX(1,SUM($H$2:$H$5001)),"")</f>
        <v/>
      </c>
      <c r="M4840" s="47" t="str">
        <f aca="false">IF($A4840="","",INDEX($L$2:$L$5001,MATCH($A4840,$A$2:$A$5001,0)))</f>
        <v/>
      </c>
      <c r="N4840" s="48" t="str">
        <f aca="false">IF($A4840="","",IF(N(M4840)=0,"–",IF(M4840&lt;=Start!$D$20,"A",IF(M4840&lt;=Start!$D$21,"B","C"))))</f>
        <v/>
      </c>
      <c r="O4840" s="48" t="str">
        <f aca="false">IF($A4840="","",IF(NOT(ISNUMBER(F4840)),"Wert fehlt; ",IF(F4840&lt;=0,"Wert ist 0; ",""))&amp;IF(NOT(ISNUMBER(E4840)),"Bestand fehlt; ",IF(E4840&lt;0,"Bestand negativ; ",IF(E4840=0,"Nullbestand; ","")))&amp;IF(D4840="","Warengruppe fehlt; ","")&amp;IF(B4840="","Bezeichnung fehlt; ","")&amp;IF(COUNTIFS($A$2:$A$5001,$A4840,$C$2:$C$5001,C4840)&gt;1,"Artikel doppelt im selben Lager; ",""))</f>
        <v/>
      </c>
      <c r="P4840" s="47" t="n">
        <f aca="false">IF(OR($A4840="",D4840=""),0,IF(COUNTIF($D$2:D4840,D4840)=1,SUMIF($D$2:$D$5001,D4840,$H$2:$H$5001)+ROW()/10000000,0))</f>
        <v>0</v>
      </c>
      <c r="Q4840" s="47" t="n">
        <f aca="false">IF(OR($A4840="",C4840=""),0,IF(COUNTIF($C$2:C4840,C4840)=1,SUMIF($C$2:$C$5001,C4840,$H$2:$H$5001)+ROW()/10000000,0))</f>
        <v>0</v>
      </c>
    </row>
    <row r="4841" customFormat="false" ht="15" hidden="false" customHeight="false" outlineLevel="0" collapsed="false">
      <c r="A4841" s="43"/>
      <c r="B4841" s="44"/>
      <c r="C4841" s="44"/>
      <c r="D4841" s="44"/>
      <c r="E4841" s="44"/>
      <c r="F4841" s="44"/>
      <c r="G4841" s="44"/>
      <c r="H4841" s="46" t="str">
        <f aca="false">IF($A4841="","",IF(OR(NOT(ISNUMBER(E4841)),NOT(ISNUMBER(F4841))),"",MAX(0,E4841)*F4841))</f>
        <v/>
      </c>
      <c r="I4841" s="46" t="str">
        <f aca="false">IF($A4841="","",SUMIF($A$2:$A$5001,$A4841,$H$2:$H$5001))</f>
        <v/>
      </c>
      <c r="J4841" s="47" t="n">
        <f aca="false">IF($A4841="",0,IF(COUNTIF($A$2:A4841,$A4841)=1,1,0))</f>
        <v>0</v>
      </c>
      <c r="K4841" s="47" t="n">
        <f aca="false">IF(J4841=1,N(I4841)+ROW()/10000000,0)</f>
        <v>0</v>
      </c>
      <c r="L4841" s="47" t="str">
        <f aca="false">IF(AND(J4841=1,N(I4841)&gt;0),SUMIF($K$2:$K$5001,"&gt;="&amp;K4841,$I$2:$I$5001)/MAX(1,SUM($H$2:$H$5001)),"")</f>
        <v/>
      </c>
      <c r="M4841" s="47" t="str">
        <f aca="false">IF($A4841="","",INDEX($L$2:$L$5001,MATCH($A4841,$A$2:$A$5001,0)))</f>
        <v/>
      </c>
      <c r="N4841" s="48" t="str">
        <f aca="false">IF($A4841="","",IF(N(M4841)=0,"–",IF(M4841&lt;=Start!$D$20,"A",IF(M4841&lt;=Start!$D$21,"B","C"))))</f>
        <v/>
      </c>
      <c r="O4841" s="48" t="str">
        <f aca="false">IF($A4841="","",IF(NOT(ISNUMBER(F4841)),"Wert fehlt; ",IF(F4841&lt;=0,"Wert ist 0; ",""))&amp;IF(NOT(ISNUMBER(E4841)),"Bestand fehlt; ",IF(E4841&lt;0,"Bestand negativ; ",IF(E4841=0,"Nullbestand; ","")))&amp;IF(D4841="","Warengruppe fehlt; ","")&amp;IF(B4841="","Bezeichnung fehlt; ","")&amp;IF(COUNTIFS($A$2:$A$5001,$A4841,$C$2:$C$5001,C4841)&gt;1,"Artikel doppelt im selben Lager; ",""))</f>
        <v/>
      </c>
      <c r="P4841" s="47" t="n">
        <f aca="false">IF(OR($A4841="",D4841=""),0,IF(COUNTIF($D$2:D4841,D4841)=1,SUMIF($D$2:$D$5001,D4841,$H$2:$H$5001)+ROW()/10000000,0))</f>
        <v>0</v>
      </c>
      <c r="Q4841" s="47" t="n">
        <f aca="false">IF(OR($A4841="",C4841=""),0,IF(COUNTIF($C$2:C4841,C4841)=1,SUMIF($C$2:$C$5001,C4841,$H$2:$H$5001)+ROW()/10000000,0))</f>
        <v>0</v>
      </c>
    </row>
    <row r="4842" customFormat="false" ht="15" hidden="false" customHeight="false" outlineLevel="0" collapsed="false">
      <c r="A4842" s="43"/>
      <c r="B4842" s="44"/>
      <c r="C4842" s="44"/>
      <c r="D4842" s="44"/>
      <c r="E4842" s="44"/>
      <c r="F4842" s="44"/>
      <c r="G4842" s="44"/>
      <c r="H4842" s="46" t="str">
        <f aca="false">IF($A4842="","",IF(OR(NOT(ISNUMBER(E4842)),NOT(ISNUMBER(F4842))),"",MAX(0,E4842)*F4842))</f>
        <v/>
      </c>
      <c r="I4842" s="46" t="str">
        <f aca="false">IF($A4842="","",SUMIF($A$2:$A$5001,$A4842,$H$2:$H$5001))</f>
        <v/>
      </c>
      <c r="J4842" s="47" t="n">
        <f aca="false">IF($A4842="",0,IF(COUNTIF($A$2:A4842,$A4842)=1,1,0))</f>
        <v>0</v>
      </c>
      <c r="K4842" s="47" t="n">
        <f aca="false">IF(J4842=1,N(I4842)+ROW()/10000000,0)</f>
        <v>0</v>
      </c>
      <c r="L4842" s="47" t="str">
        <f aca="false">IF(AND(J4842=1,N(I4842)&gt;0),SUMIF($K$2:$K$5001,"&gt;="&amp;K4842,$I$2:$I$5001)/MAX(1,SUM($H$2:$H$5001)),"")</f>
        <v/>
      </c>
      <c r="M4842" s="47" t="str">
        <f aca="false">IF($A4842="","",INDEX($L$2:$L$5001,MATCH($A4842,$A$2:$A$5001,0)))</f>
        <v/>
      </c>
      <c r="N4842" s="48" t="str">
        <f aca="false">IF($A4842="","",IF(N(M4842)=0,"–",IF(M4842&lt;=Start!$D$20,"A",IF(M4842&lt;=Start!$D$21,"B","C"))))</f>
        <v/>
      </c>
      <c r="O4842" s="48" t="str">
        <f aca="false">IF($A4842="","",IF(NOT(ISNUMBER(F4842)),"Wert fehlt; ",IF(F4842&lt;=0,"Wert ist 0; ",""))&amp;IF(NOT(ISNUMBER(E4842)),"Bestand fehlt; ",IF(E4842&lt;0,"Bestand negativ; ",IF(E4842=0,"Nullbestand; ","")))&amp;IF(D4842="","Warengruppe fehlt; ","")&amp;IF(B4842="","Bezeichnung fehlt; ","")&amp;IF(COUNTIFS($A$2:$A$5001,$A4842,$C$2:$C$5001,C4842)&gt;1,"Artikel doppelt im selben Lager; ",""))</f>
        <v/>
      </c>
      <c r="P4842" s="47" t="n">
        <f aca="false">IF(OR($A4842="",D4842=""),0,IF(COUNTIF($D$2:D4842,D4842)=1,SUMIF($D$2:$D$5001,D4842,$H$2:$H$5001)+ROW()/10000000,0))</f>
        <v>0</v>
      </c>
      <c r="Q4842" s="47" t="n">
        <f aca="false">IF(OR($A4842="",C4842=""),0,IF(COUNTIF($C$2:C4842,C4842)=1,SUMIF($C$2:$C$5001,C4842,$H$2:$H$5001)+ROW()/10000000,0))</f>
        <v>0</v>
      </c>
    </row>
    <row r="4843" customFormat="false" ht="15" hidden="false" customHeight="false" outlineLevel="0" collapsed="false">
      <c r="A4843" s="43"/>
      <c r="B4843" s="44"/>
      <c r="C4843" s="44"/>
      <c r="D4843" s="44"/>
      <c r="E4843" s="44"/>
      <c r="F4843" s="44"/>
      <c r="G4843" s="44"/>
      <c r="H4843" s="46" t="str">
        <f aca="false">IF($A4843="","",IF(OR(NOT(ISNUMBER(E4843)),NOT(ISNUMBER(F4843))),"",MAX(0,E4843)*F4843))</f>
        <v/>
      </c>
      <c r="I4843" s="46" t="str">
        <f aca="false">IF($A4843="","",SUMIF($A$2:$A$5001,$A4843,$H$2:$H$5001))</f>
        <v/>
      </c>
      <c r="J4843" s="47" t="n">
        <f aca="false">IF($A4843="",0,IF(COUNTIF($A$2:A4843,$A4843)=1,1,0))</f>
        <v>0</v>
      </c>
      <c r="K4843" s="47" t="n">
        <f aca="false">IF(J4843=1,N(I4843)+ROW()/10000000,0)</f>
        <v>0</v>
      </c>
      <c r="L4843" s="47" t="str">
        <f aca="false">IF(AND(J4843=1,N(I4843)&gt;0),SUMIF($K$2:$K$5001,"&gt;="&amp;K4843,$I$2:$I$5001)/MAX(1,SUM($H$2:$H$5001)),"")</f>
        <v/>
      </c>
      <c r="M4843" s="47" t="str">
        <f aca="false">IF($A4843="","",INDEX($L$2:$L$5001,MATCH($A4843,$A$2:$A$5001,0)))</f>
        <v/>
      </c>
      <c r="N4843" s="48" t="str">
        <f aca="false">IF($A4843="","",IF(N(M4843)=0,"–",IF(M4843&lt;=Start!$D$20,"A",IF(M4843&lt;=Start!$D$21,"B","C"))))</f>
        <v/>
      </c>
      <c r="O4843" s="48" t="str">
        <f aca="false">IF($A4843="","",IF(NOT(ISNUMBER(F4843)),"Wert fehlt; ",IF(F4843&lt;=0,"Wert ist 0; ",""))&amp;IF(NOT(ISNUMBER(E4843)),"Bestand fehlt; ",IF(E4843&lt;0,"Bestand negativ; ",IF(E4843=0,"Nullbestand; ","")))&amp;IF(D4843="","Warengruppe fehlt; ","")&amp;IF(B4843="","Bezeichnung fehlt; ","")&amp;IF(COUNTIFS($A$2:$A$5001,$A4843,$C$2:$C$5001,C4843)&gt;1,"Artikel doppelt im selben Lager; ",""))</f>
        <v/>
      </c>
      <c r="P4843" s="47" t="n">
        <f aca="false">IF(OR($A4843="",D4843=""),0,IF(COUNTIF($D$2:D4843,D4843)=1,SUMIF($D$2:$D$5001,D4843,$H$2:$H$5001)+ROW()/10000000,0))</f>
        <v>0</v>
      </c>
      <c r="Q4843" s="47" t="n">
        <f aca="false">IF(OR($A4843="",C4843=""),0,IF(COUNTIF($C$2:C4843,C4843)=1,SUMIF($C$2:$C$5001,C4843,$H$2:$H$5001)+ROW()/10000000,0))</f>
        <v>0</v>
      </c>
    </row>
    <row r="4844" customFormat="false" ht="15" hidden="false" customHeight="false" outlineLevel="0" collapsed="false">
      <c r="A4844" s="43"/>
      <c r="B4844" s="44"/>
      <c r="C4844" s="44"/>
      <c r="D4844" s="44"/>
      <c r="E4844" s="44"/>
      <c r="F4844" s="44"/>
      <c r="G4844" s="44"/>
      <c r="H4844" s="46" t="str">
        <f aca="false">IF($A4844="","",IF(OR(NOT(ISNUMBER(E4844)),NOT(ISNUMBER(F4844))),"",MAX(0,E4844)*F4844))</f>
        <v/>
      </c>
      <c r="I4844" s="46" t="str">
        <f aca="false">IF($A4844="","",SUMIF($A$2:$A$5001,$A4844,$H$2:$H$5001))</f>
        <v/>
      </c>
      <c r="J4844" s="47" t="n">
        <f aca="false">IF($A4844="",0,IF(COUNTIF($A$2:A4844,$A4844)=1,1,0))</f>
        <v>0</v>
      </c>
      <c r="K4844" s="47" t="n">
        <f aca="false">IF(J4844=1,N(I4844)+ROW()/10000000,0)</f>
        <v>0</v>
      </c>
      <c r="L4844" s="47" t="str">
        <f aca="false">IF(AND(J4844=1,N(I4844)&gt;0),SUMIF($K$2:$K$5001,"&gt;="&amp;K4844,$I$2:$I$5001)/MAX(1,SUM($H$2:$H$5001)),"")</f>
        <v/>
      </c>
      <c r="M4844" s="47" t="str">
        <f aca="false">IF($A4844="","",INDEX($L$2:$L$5001,MATCH($A4844,$A$2:$A$5001,0)))</f>
        <v/>
      </c>
      <c r="N4844" s="48" t="str">
        <f aca="false">IF($A4844="","",IF(N(M4844)=0,"–",IF(M4844&lt;=Start!$D$20,"A",IF(M4844&lt;=Start!$D$21,"B","C"))))</f>
        <v/>
      </c>
      <c r="O4844" s="48" t="str">
        <f aca="false">IF($A4844="","",IF(NOT(ISNUMBER(F4844)),"Wert fehlt; ",IF(F4844&lt;=0,"Wert ist 0; ",""))&amp;IF(NOT(ISNUMBER(E4844)),"Bestand fehlt; ",IF(E4844&lt;0,"Bestand negativ; ",IF(E4844=0,"Nullbestand; ","")))&amp;IF(D4844="","Warengruppe fehlt; ","")&amp;IF(B4844="","Bezeichnung fehlt; ","")&amp;IF(COUNTIFS($A$2:$A$5001,$A4844,$C$2:$C$5001,C4844)&gt;1,"Artikel doppelt im selben Lager; ",""))</f>
        <v/>
      </c>
      <c r="P4844" s="47" t="n">
        <f aca="false">IF(OR($A4844="",D4844=""),0,IF(COUNTIF($D$2:D4844,D4844)=1,SUMIF($D$2:$D$5001,D4844,$H$2:$H$5001)+ROW()/10000000,0))</f>
        <v>0</v>
      </c>
      <c r="Q4844" s="47" t="n">
        <f aca="false">IF(OR($A4844="",C4844=""),0,IF(COUNTIF($C$2:C4844,C4844)=1,SUMIF($C$2:$C$5001,C4844,$H$2:$H$5001)+ROW()/10000000,0))</f>
        <v>0</v>
      </c>
    </row>
    <row r="4845" customFormat="false" ht="15" hidden="false" customHeight="false" outlineLevel="0" collapsed="false">
      <c r="A4845" s="43"/>
      <c r="B4845" s="44"/>
      <c r="C4845" s="44"/>
      <c r="D4845" s="44"/>
      <c r="E4845" s="44"/>
      <c r="F4845" s="44"/>
      <c r="G4845" s="44"/>
      <c r="H4845" s="46" t="str">
        <f aca="false">IF($A4845="","",IF(OR(NOT(ISNUMBER(E4845)),NOT(ISNUMBER(F4845))),"",MAX(0,E4845)*F4845))</f>
        <v/>
      </c>
      <c r="I4845" s="46" t="str">
        <f aca="false">IF($A4845="","",SUMIF($A$2:$A$5001,$A4845,$H$2:$H$5001))</f>
        <v/>
      </c>
      <c r="J4845" s="47" t="n">
        <f aca="false">IF($A4845="",0,IF(COUNTIF($A$2:A4845,$A4845)=1,1,0))</f>
        <v>0</v>
      </c>
      <c r="K4845" s="47" t="n">
        <f aca="false">IF(J4845=1,N(I4845)+ROW()/10000000,0)</f>
        <v>0</v>
      </c>
      <c r="L4845" s="47" t="str">
        <f aca="false">IF(AND(J4845=1,N(I4845)&gt;0),SUMIF($K$2:$K$5001,"&gt;="&amp;K4845,$I$2:$I$5001)/MAX(1,SUM($H$2:$H$5001)),"")</f>
        <v/>
      </c>
      <c r="M4845" s="47" t="str">
        <f aca="false">IF($A4845="","",INDEX($L$2:$L$5001,MATCH($A4845,$A$2:$A$5001,0)))</f>
        <v/>
      </c>
      <c r="N4845" s="48" t="str">
        <f aca="false">IF($A4845="","",IF(N(M4845)=0,"–",IF(M4845&lt;=Start!$D$20,"A",IF(M4845&lt;=Start!$D$21,"B","C"))))</f>
        <v/>
      </c>
      <c r="O4845" s="48" t="str">
        <f aca="false">IF($A4845="","",IF(NOT(ISNUMBER(F4845)),"Wert fehlt; ",IF(F4845&lt;=0,"Wert ist 0; ",""))&amp;IF(NOT(ISNUMBER(E4845)),"Bestand fehlt; ",IF(E4845&lt;0,"Bestand negativ; ",IF(E4845=0,"Nullbestand; ","")))&amp;IF(D4845="","Warengruppe fehlt; ","")&amp;IF(B4845="","Bezeichnung fehlt; ","")&amp;IF(COUNTIFS($A$2:$A$5001,$A4845,$C$2:$C$5001,C4845)&gt;1,"Artikel doppelt im selben Lager; ",""))</f>
        <v/>
      </c>
      <c r="P4845" s="47" t="n">
        <f aca="false">IF(OR($A4845="",D4845=""),0,IF(COUNTIF($D$2:D4845,D4845)=1,SUMIF($D$2:$D$5001,D4845,$H$2:$H$5001)+ROW()/10000000,0))</f>
        <v>0</v>
      </c>
      <c r="Q4845" s="47" t="n">
        <f aca="false">IF(OR($A4845="",C4845=""),0,IF(COUNTIF($C$2:C4845,C4845)=1,SUMIF($C$2:$C$5001,C4845,$H$2:$H$5001)+ROW()/10000000,0))</f>
        <v>0</v>
      </c>
    </row>
    <row r="4846" customFormat="false" ht="15" hidden="false" customHeight="false" outlineLevel="0" collapsed="false">
      <c r="A4846" s="43"/>
      <c r="B4846" s="44"/>
      <c r="C4846" s="44"/>
      <c r="D4846" s="44"/>
      <c r="E4846" s="44"/>
      <c r="F4846" s="44"/>
      <c r="G4846" s="44"/>
      <c r="H4846" s="46" t="str">
        <f aca="false">IF($A4846="","",IF(OR(NOT(ISNUMBER(E4846)),NOT(ISNUMBER(F4846))),"",MAX(0,E4846)*F4846))</f>
        <v/>
      </c>
      <c r="I4846" s="46" t="str">
        <f aca="false">IF($A4846="","",SUMIF($A$2:$A$5001,$A4846,$H$2:$H$5001))</f>
        <v/>
      </c>
      <c r="J4846" s="47" t="n">
        <f aca="false">IF($A4846="",0,IF(COUNTIF($A$2:A4846,$A4846)=1,1,0))</f>
        <v>0</v>
      </c>
      <c r="K4846" s="47" t="n">
        <f aca="false">IF(J4846=1,N(I4846)+ROW()/10000000,0)</f>
        <v>0</v>
      </c>
      <c r="L4846" s="47" t="str">
        <f aca="false">IF(AND(J4846=1,N(I4846)&gt;0),SUMIF($K$2:$K$5001,"&gt;="&amp;K4846,$I$2:$I$5001)/MAX(1,SUM($H$2:$H$5001)),"")</f>
        <v/>
      </c>
      <c r="M4846" s="47" t="str">
        <f aca="false">IF($A4846="","",INDEX($L$2:$L$5001,MATCH($A4846,$A$2:$A$5001,0)))</f>
        <v/>
      </c>
      <c r="N4846" s="48" t="str">
        <f aca="false">IF($A4846="","",IF(N(M4846)=0,"–",IF(M4846&lt;=Start!$D$20,"A",IF(M4846&lt;=Start!$D$21,"B","C"))))</f>
        <v/>
      </c>
      <c r="O4846" s="48" t="str">
        <f aca="false">IF($A4846="","",IF(NOT(ISNUMBER(F4846)),"Wert fehlt; ",IF(F4846&lt;=0,"Wert ist 0; ",""))&amp;IF(NOT(ISNUMBER(E4846)),"Bestand fehlt; ",IF(E4846&lt;0,"Bestand negativ; ",IF(E4846=0,"Nullbestand; ","")))&amp;IF(D4846="","Warengruppe fehlt; ","")&amp;IF(B4846="","Bezeichnung fehlt; ","")&amp;IF(COUNTIFS($A$2:$A$5001,$A4846,$C$2:$C$5001,C4846)&gt;1,"Artikel doppelt im selben Lager; ",""))</f>
        <v/>
      </c>
      <c r="P4846" s="47" t="n">
        <f aca="false">IF(OR($A4846="",D4846=""),0,IF(COUNTIF($D$2:D4846,D4846)=1,SUMIF($D$2:$D$5001,D4846,$H$2:$H$5001)+ROW()/10000000,0))</f>
        <v>0</v>
      </c>
      <c r="Q4846" s="47" t="n">
        <f aca="false">IF(OR($A4846="",C4846=""),0,IF(COUNTIF($C$2:C4846,C4846)=1,SUMIF($C$2:$C$5001,C4846,$H$2:$H$5001)+ROW()/10000000,0))</f>
        <v>0</v>
      </c>
    </row>
    <row r="4847" customFormat="false" ht="15" hidden="false" customHeight="false" outlineLevel="0" collapsed="false">
      <c r="A4847" s="43"/>
      <c r="B4847" s="44"/>
      <c r="C4847" s="44"/>
      <c r="D4847" s="44"/>
      <c r="E4847" s="44"/>
      <c r="F4847" s="44"/>
      <c r="G4847" s="44"/>
      <c r="H4847" s="46" t="str">
        <f aca="false">IF($A4847="","",IF(OR(NOT(ISNUMBER(E4847)),NOT(ISNUMBER(F4847))),"",MAX(0,E4847)*F4847))</f>
        <v/>
      </c>
      <c r="I4847" s="46" t="str">
        <f aca="false">IF($A4847="","",SUMIF($A$2:$A$5001,$A4847,$H$2:$H$5001))</f>
        <v/>
      </c>
      <c r="J4847" s="47" t="n">
        <f aca="false">IF($A4847="",0,IF(COUNTIF($A$2:A4847,$A4847)=1,1,0))</f>
        <v>0</v>
      </c>
      <c r="K4847" s="47" t="n">
        <f aca="false">IF(J4847=1,N(I4847)+ROW()/10000000,0)</f>
        <v>0</v>
      </c>
      <c r="L4847" s="47" t="str">
        <f aca="false">IF(AND(J4847=1,N(I4847)&gt;0),SUMIF($K$2:$K$5001,"&gt;="&amp;K4847,$I$2:$I$5001)/MAX(1,SUM($H$2:$H$5001)),"")</f>
        <v/>
      </c>
      <c r="M4847" s="47" t="str">
        <f aca="false">IF($A4847="","",INDEX($L$2:$L$5001,MATCH($A4847,$A$2:$A$5001,0)))</f>
        <v/>
      </c>
      <c r="N4847" s="48" t="str">
        <f aca="false">IF($A4847="","",IF(N(M4847)=0,"–",IF(M4847&lt;=Start!$D$20,"A",IF(M4847&lt;=Start!$D$21,"B","C"))))</f>
        <v/>
      </c>
      <c r="O4847" s="48" t="str">
        <f aca="false">IF($A4847="","",IF(NOT(ISNUMBER(F4847)),"Wert fehlt; ",IF(F4847&lt;=0,"Wert ist 0; ",""))&amp;IF(NOT(ISNUMBER(E4847)),"Bestand fehlt; ",IF(E4847&lt;0,"Bestand negativ; ",IF(E4847=0,"Nullbestand; ","")))&amp;IF(D4847="","Warengruppe fehlt; ","")&amp;IF(B4847="","Bezeichnung fehlt; ","")&amp;IF(COUNTIFS($A$2:$A$5001,$A4847,$C$2:$C$5001,C4847)&gt;1,"Artikel doppelt im selben Lager; ",""))</f>
        <v/>
      </c>
      <c r="P4847" s="47" t="n">
        <f aca="false">IF(OR($A4847="",D4847=""),0,IF(COUNTIF($D$2:D4847,D4847)=1,SUMIF($D$2:$D$5001,D4847,$H$2:$H$5001)+ROW()/10000000,0))</f>
        <v>0</v>
      </c>
      <c r="Q4847" s="47" t="n">
        <f aca="false">IF(OR($A4847="",C4847=""),0,IF(COUNTIF($C$2:C4847,C4847)=1,SUMIF($C$2:$C$5001,C4847,$H$2:$H$5001)+ROW()/10000000,0))</f>
        <v>0</v>
      </c>
    </row>
    <row r="4848" customFormat="false" ht="15" hidden="false" customHeight="false" outlineLevel="0" collapsed="false">
      <c r="A4848" s="43"/>
      <c r="B4848" s="44"/>
      <c r="C4848" s="44"/>
      <c r="D4848" s="44"/>
      <c r="E4848" s="44"/>
      <c r="F4848" s="44"/>
      <c r="G4848" s="44"/>
      <c r="H4848" s="46" t="str">
        <f aca="false">IF($A4848="","",IF(OR(NOT(ISNUMBER(E4848)),NOT(ISNUMBER(F4848))),"",MAX(0,E4848)*F4848))</f>
        <v/>
      </c>
      <c r="I4848" s="46" t="str">
        <f aca="false">IF($A4848="","",SUMIF($A$2:$A$5001,$A4848,$H$2:$H$5001))</f>
        <v/>
      </c>
      <c r="J4848" s="47" t="n">
        <f aca="false">IF($A4848="",0,IF(COUNTIF($A$2:A4848,$A4848)=1,1,0))</f>
        <v>0</v>
      </c>
      <c r="K4848" s="47" t="n">
        <f aca="false">IF(J4848=1,N(I4848)+ROW()/10000000,0)</f>
        <v>0</v>
      </c>
      <c r="L4848" s="47" t="str">
        <f aca="false">IF(AND(J4848=1,N(I4848)&gt;0),SUMIF($K$2:$K$5001,"&gt;="&amp;K4848,$I$2:$I$5001)/MAX(1,SUM($H$2:$H$5001)),"")</f>
        <v/>
      </c>
      <c r="M4848" s="47" t="str">
        <f aca="false">IF($A4848="","",INDEX($L$2:$L$5001,MATCH($A4848,$A$2:$A$5001,0)))</f>
        <v/>
      </c>
      <c r="N4848" s="48" t="str">
        <f aca="false">IF($A4848="","",IF(N(M4848)=0,"–",IF(M4848&lt;=Start!$D$20,"A",IF(M4848&lt;=Start!$D$21,"B","C"))))</f>
        <v/>
      </c>
      <c r="O4848" s="48" t="str">
        <f aca="false">IF($A4848="","",IF(NOT(ISNUMBER(F4848)),"Wert fehlt; ",IF(F4848&lt;=0,"Wert ist 0; ",""))&amp;IF(NOT(ISNUMBER(E4848)),"Bestand fehlt; ",IF(E4848&lt;0,"Bestand negativ; ",IF(E4848=0,"Nullbestand; ","")))&amp;IF(D4848="","Warengruppe fehlt; ","")&amp;IF(B4848="","Bezeichnung fehlt; ","")&amp;IF(COUNTIFS($A$2:$A$5001,$A4848,$C$2:$C$5001,C4848)&gt;1,"Artikel doppelt im selben Lager; ",""))</f>
        <v/>
      </c>
      <c r="P4848" s="47" t="n">
        <f aca="false">IF(OR($A4848="",D4848=""),0,IF(COUNTIF($D$2:D4848,D4848)=1,SUMIF($D$2:$D$5001,D4848,$H$2:$H$5001)+ROW()/10000000,0))</f>
        <v>0</v>
      </c>
      <c r="Q4848" s="47" t="n">
        <f aca="false">IF(OR($A4848="",C4848=""),0,IF(COUNTIF($C$2:C4848,C4848)=1,SUMIF($C$2:$C$5001,C4848,$H$2:$H$5001)+ROW()/10000000,0))</f>
        <v>0</v>
      </c>
    </row>
    <row r="4849" customFormat="false" ht="15" hidden="false" customHeight="false" outlineLevel="0" collapsed="false">
      <c r="A4849" s="43"/>
      <c r="B4849" s="44"/>
      <c r="C4849" s="44"/>
      <c r="D4849" s="44"/>
      <c r="E4849" s="44"/>
      <c r="F4849" s="44"/>
      <c r="G4849" s="44"/>
      <c r="H4849" s="46" t="str">
        <f aca="false">IF($A4849="","",IF(OR(NOT(ISNUMBER(E4849)),NOT(ISNUMBER(F4849))),"",MAX(0,E4849)*F4849))</f>
        <v/>
      </c>
      <c r="I4849" s="46" t="str">
        <f aca="false">IF($A4849="","",SUMIF($A$2:$A$5001,$A4849,$H$2:$H$5001))</f>
        <v/>
      </c>
      <c r="J4849" s="47" t="n">
        <f aca="false">IF($A4849="",0,IF(COUNTIF($A$2:A4849,$A4849)=1,1,0))</f>
        <v>0</v>
      </c>
      <c r="K4849" s="47" t="n">
        <f aca="false">IF(J4849=1,N(I4849)+ROW()/10000000,0)</f>
        <v>0</v>
      </c>
      <c r="L4849" s="47" t="str">
        <f aca="false">IF(AND(J4849=1,N(I4849)&gt;0),SUMIF($K$2:$K$5001,"&gt;="&amp;K4849,$I$2:$I$5001)/MAX(1,SUM($H$2:$H$5001)),"")</f>
        <v/>
      </c>
      <c r="M4849" s="47" t="str">
        <f aca="false">IF($A4849="","",INDEX($L$2:$L$5001,MATCH($A4849,$A$2:$A$5001,0)))</f>
        <v/>
      </c>
      <c r="N4849" s="48" t="str">
        <f aca="false">IF($A4849="","",IF(N(M4849)=0,"–",IF(M4849&lt;=Start!$D$20,"A",IF(M4849&lt;=Start!$D$21,"B","C"))))</f>
        <v/>
      </c>
      <c r="O4849" s="48" t="str">
        <f aca="false">IF($A4849="","",IF(NOT(ISNUMBER(F4849)),"Wert fehlt; ",IF(F4849&lt;=0,"Wert ist 0; ",""))&amp;IF(NOT(ISNUMBER(E4849)),"Bestand fehlt; ",IF(E4849&lt;0,"Bestand negativ; ",IF(E4849=0,"Nullbestand; ","")))&amp;IF(D4849="","Warengruppe fehlt; ","")&amp;IF(B4849="","Bezeichnung fehlt; ","")&amp;IF(COUNTIFS($A$2:$A$5001,$A4849,$C$2:$C$5001,C4849)&gt;1,"Artikel doppelt im selben Lager; ",""))</f>
        <v/>
      </c>
      <c r="P4849" s="47" t="n">
        <f aca="false">IF(OR($A4849="",D4849=""),0,IF(COUNTIF($D$2:D4849,D4849)=1,SUMIF($D$2:$D$5001,D4849,$H$2:$H$5001)+ROW()/10000000,0))</f>
        <v>0</v>
      </c>
      <c r="Q4849" s="47" t="n">
        <f aca="false">IF(OR($A4849="",C4849=""),0,IF(COUNTIF($C$2:C4849,C4849)=1,SUMIF($C$2:$C$5001,C4849,$H$2:$H$5001)+ROW()/10000000,0))</f>
        <v>0</v>
      </c>
    </row>
    <row r="4850" customFormat="false" ht="15" hidden="false" customHeight="false" outlineLevel="0" collapsed="false">
      <c r="A4850" s="43"/>
      <c r="B4850" s="44"/>
      <c r="C4850" s="44"/>
      <c r="D4850" s="44"/>
      <c r="E4850" s="44"/>
      <c r="F4850" s="44"/>
      <c r="G4850" s="44"/>
      <c r="H4850" s="46" t="str">
        <f aca="false">IF($A4850="","",IF(OR(NOT(ISNUMBER(E4850)),NOT(ISNUMBER(F4850))),"",MAX(0,E4850)*F4850))</f>
        <v/>
      </c>
      <c r="I4850" s="46" t="str">
        <f aca="false">IF($A4850="","",SUMIF($A$2:$A$5001,$A4850,$H$2:$H$5001))</f>
        <v/>
      </c>
      <c r="J4850" s="47" t="n">
        <f aca="false">IF($A4850="",0,IF(COUNTIF($A$2:A4850,$A4850)=1,1,0))</f>
        <v>0</v>
      </c>
      <c r="K4850" s="47" t="n">
        <f aca="false">IF(J4850=1,N(I4850)+ROW()/10000000,0)</f>
        <v>0</v>
      </c>
      <c r="L4850" s="47" t="str">
        <f aca="false">IF(AND(J4850=1,N(I4850)&gt;0),SUMIF($K$2:$K$5001,"&gt;="&amp;K4850,$I$2:$I$5001)/MAX(1,SUM($H$2:$H$5001)),"")</f>
        <v/>
      </c>
      <c r="M4850" s="47" t="str">
        <f aca="false">IF($A4850="","",INDEX($L$2:$L$5001,MATCH($A4850,$A$2:$A$5001,0)))</f>
        <v/>
      </c>
      <c r="N4850" s="48" t="str">
        <f aca="false">IF($A4850="","",IF(N(M4850)=0,"–",IF(M4850&lt;=Start!$D$20,"A",IF(M4850&lt;=Start!$D$21,"B","C"))))</f>
        <v/>
      </c>
      <c r="O4850" s="48" t="str">
        <f aca="false">IF($A4850="","",IF(NOT(ISNUMBER(F4850)),"Wert fehlt; ",IF(F4850&lt;=0,"Wert ist 0; ",""))&amp;IF(NOT(ISNUMBER(E4850)),"Bestand fehlt; ",IF(E4850&lt;0,"Bestand negativ; ",IF(E4850=0,"Nullbestand; ","")))&amp;IF(D4850="","Warengruppe fehlt; ","")&amp;IF(B4850="","Bezeichnung fehlt; ","")&amp;IF(COUNTIFS($A$2:$A$5001,$A4850,$C$2:$C$5001,C4850)&gt;1,"Artikel doppelt im selben Lager; ",""))</f>
        <v/>
      </c>
      <c r="P4850" s="47" t="n">
        <f aca="false">IF(OR($A4850="",D4850=""),0,IF(COUNTIF($D$2:D4850,D4850)=1,SUMIF($D$2:$D$5001,D4850,$H$2:$H$5001)+ROW()/10000000,0))</f>
        <v>0</v>
      </c>
      <c r="Q4850" s="47" t="n">
        <f aca="false">IF(OR($A4850="",C4850=""),0,IF(COUNTIF($C$2:C4850,C4850)=1,SUMIF($C$2:$C$5001,C4850,$H$2:$H$5001)+ROW()/10000000,0))</f>
        <v>0</v>
      </c>
    </row>
    <row r="4851" customFormat="false" ht="15" hidden="false" customHeight="false" outlineLevel="0" collapsed="false">
      <c r="A4851" s="43"/>
      <c r="B4851" s="44"/>
      <c r="C4851" s="44"/>
      <c r="D4851" s="44"/>
      <c r="E4851" s="44"/>
      <c r="F4851" s="44"/>
      <c r="G4851" s="44"/>
      <c r="H4851" s="46" t="str">
        <f aca="false">IF($A4851="","",IF(OR(NOT(ISNUMBER(E4851)),NOT(ISNUMBER(F4851))),"",MAX(0,E4851)*F4851))</f>
        <v/>
      </c>
      <c r="I4851" s="46" t="str">
        <f aca="false">IF($A4851="","",SUMIF($A$2:$A$5001,$A4851,$H$2:$H$5001))</f>
        <v/>
      </c>
      <c r="J4851" s="47" t="n">
        <f aca="false">IF($A4851="",0,IF(COUNTIF($A$2:A4851,$A4851)=1,1,0))</f>
        <v>0</v>
      </c>
      <c r="K4851" s="47" t="n">
        <f aca="false">IF(J4851=1,N(I4851)+ROW()/10000000,0)</f>
        <v>0</v>
      </c>
      <c r="L4851" s="47" t="str">
        <f aca="false">IF(AND(J4851=1,N(I4851)&gt;0),SUMIF($K$2:$K$5001,"&gt;="&amp;K4851,$I$2:$I$5001)/MAX(1,SUM($H$2:$H$5001)),"")</f>
        <v/>
      </c>
      <c r="M4851" s="47" t="str">
        <f aca="false">IF($A4851="","",INDEX($L$2:$L$5001,MATCH($A4851,$A$2:$A$5001,0)))</f>
        <v/>
      </c>
      <c r="N4851" s="48" t="str">
        <f aca="false">IF($A4851="","",IF(N(M4851)=0,"–",IF(M4851&lt;=Start!$D$20,"A",IF(M4851&lt;=Start!$D$21,"B","C"))))</f>
        <v/>
      </c>
      <c r="O4851" s="48" t="str">
        <f aca="false">IF($A4851="","",IF(NOT(ISNUMBER(F4851)),"Wert fehlt; ",IF(F4851&lt;=0,"Wert ist 0; ",""))&amp;IF(NOT(ISNUMBER(E4851)),"Bestand fehlt; ",IF(E4851&lt;0,"Bestand negativ; ",IF(E4851=0,"Nullbestand; ","")))&amp;IF(D4851="","Warengruppe fehlt; ","")&amp;IF(B4851="","Bezeichnung fehlt; ","")&amp;IF(COUNTIFS($A$2:$A$5001,$A4851,$C$2:$C$5001,C4851)&gt;1,"Artikel doppelt im selben Lager; ",""))</f>
        <v/>
      </c>
      <c r="P4851" s="47" t="n">
        <f aca="false">IF(OR($A4851="",D4851=""),0,IF(COUNTIF($D$2:D4851,D4851)=1,SUMIF($D$2:$D$5001,D4851,$H$2:$H$5001)+ROW()/10000000,0))</f>
        <v>0</v>
      </c>
      <c r="Q4851" s="47" t="n">
        <f aca="false">IF(OR($A4851="",C4851=""),0,IF(COUNTIF($C$2:C4851,C4851)=1,SUMIF($C$2:$C$5001,C4851,$H$2:$H$5001)+ROW()/10000000,0))</f>
        <v>0</v>
      </c>
    </row>
    <row r="4852" customFormat="false" ht="15" hidden="false" customHeight="false" outlineLevel="0" collapsed="false">
      <c r="A4852" s="43"/>
      <c r="B4852" s="44"/>
      <c r="C4852" s="44"/>
      <c r="D4852" s="44"/>
      <c r="E4852" s="44"/>
      <c r="F4852" s="44"/>
      <c r="G4852" s="44"/>
      <c r="H4852" s="46" t="str">
        <f aca="false">IF($A4852="","",IF(OR(NOT(ISNUMBER(E4852)),NOT(ISNUMBER(F4852))),"",MAX(0,E4852)*F4852))</f>
        <v/>
      </c>
      <c r="I4852" s="46" t="str">
        <f aca="false">IF($A4852="","",SUMIF($A$2:$A$5001,$A4852,$H$2:$H$5001))</f>
        <v/>
      </c>
      <c r="J4852" s="47" t="n">
        <f aca="false">IF($A4852="",0,IF(COUNTIF($A$2:A4852,$A4852)=1,1,0))</f>
        <v>0</v>
      </c>
      <c r="K4852" s="47" t="n">
        <f aca="false">IF(J4852=1,N(I4852)+ROW()/10000000,0)</f>
        <v>0</v>
      </c>
      <c r="L4852" s="47" t="str">
        <f aca="false">IF(AND(J4852=1,N(I4852)&gt;0),SUMIF($K$2:$K$5001,"&gt;="&amp;K4852,$I$2:$I$5001)/MAX(1,SUM($H$2:$H$5001)),"")</f>
        <v/>
      </c>
      <c r="M4852" s="47" t="str">
        <f aca="false">IF($A4852="","",INDEX($L$2:$L$5001,MATCH($A4852,$A$2:$A$5001,0)))</f>
        <v/>
      </c>
      <c r="N4852" s="48" t="str">
        <f aca="false">IF($A4852="","",IF(N(M4852)=0,"–",IF(M4852&lt;=Start!$D$20,"A",IF(M4852&lt;=Start!$D$21,"B","C"))))</f>
        <v/>
      </c>
      <c r="O4852" s="48" t="str">
        <f aca="false">IF($A4852="","",IF(NOT(ISNUMBER(F4852)),"Wert fehlt; ",IF(F4852&lt;=0,"Wert ist 0; ",""))&amp;IF(NOT(ISNUMBER(E4852)),"Bestand fehlt; ",IF(E4852&lt;0,"Bestand negativ; ",IF(E4852=0,"Nullbestand; ","")))&amp;IF(D4852="","Warengruppe fehlt; ","")&amp;IF(B4852="","Bezeichnung fehlt; ","")&amp;IF(COUNTIFS($A$2:$A$5001,$A4852,$C$2:$C$5001,C4852)&gt;1,"Artikel doppelt im selben Lager; ",""))</f>
        <v/>
      </c>
      <c r="P4852" s="47" t="n">
        <f aca="false">IF(OR($A4852="",D4852=""),0,IF(COUNTIF($D$2:D4852,D4852)=1,SUMIF($D$2:$D$5001,D4852,$H$2:$H$5001)+ROW()/10000000,0))</f>
        <v>0</v>
      </c>
      <c r="Q4852" s="47" t="n">
        <f aca="false">IF(OR($A4852="",C4852=""),0,IF(COUNTIF($C$2:C4852,C4852)=1,SUMIF($C$2:$C$5001,C4852,$H$2:$H$5001)+ROW()/10000000,0))</f>
        <v>0</v>
      </c>
    </row>
    <row r="4853" customFormat="false" ht="15" hidden="false" customHeight="false" outlineLevel="0" collapsed="false">
      <c r="A4853" s="43"/>
      <c r="B4853" s="44"/>
      <c r="C4853" s="44"/>
      <c r="D4853" s="44"/>
      <c r="E4853" s="44"/>
      <c r="F4853" s="44"/>
      <c r="G4853" s="44"/>
      <c r="H4853" s="46" t="str">
        <f aca="false">IF($A4853="","",IF(OR(NOT(ISNUMBER(E4853)),NOT(ISNUMBER(F4853))),"",MAX(0,E4853)*F4853))</f>
        <v/>
      </c>
      <c r="I4853" s="46" t="str">
        <f aca="false">IF($A4853="","",SUMIF($A$2:$A$5001,$A4853,$H$2:$H$5001))</f>
        <v/>
      </c>
      <c r="J4853" s="47" t="n">
        <f aca="false">IF($A4853="",0,IF(COUNTIF($A$2:A4853,$A4853)=1,1,0))</f>
        <v>0</v>
      </c>
      <c r="K4853" s="47" t="n">
        <f aca="false">IF(J4853=1,N(I4853)+ROW()/10000000,0)</f>
        <v>0</v>
      </c>
      <c r="L4853" s="47" t="str">
        <f aca="false">IF(AND(J4853=1,N(I4853)&gt;0),SUMIF($K$2:$K$5001,"&gt;="&amp;K4853,$I$2:$I$5001)/MAX(1,SUM($H$2:$H$5001)),"")</f>
        <v/>
      </c>
      <c r="M4853" s="47" t="str">
        <f aca="false">IF($A4853="","",INDEX($L$2:$L$5001,MATCH($A4853,$A$2:$A$5001,0)))</f>
        <v/>
      </c>
      <c r="N4853" s="48" t="str">
        <f aca="false">IF($A4853="","",IF(N(M4853)=0,"–",IF(M4853&lt;=Start!$D$20,"A",IF(M4853&lt;=Start!$D$21,"B","C"))))</f>
        <v/>
      </c>
      <c r="O4853" s="48" t="str">
        <f aca="false">IF($A4853="","",IF(NOT(ISNUMBER(F4853)),"Wert fehlt; ",IF(F4853&lt;=0,"Wert ist 0; ",""))&amp;IF(NOT(ISNUMBER(E4853)),"Bestand fehlt; ",IF(E4853&lt;0,"Bestand negativ; ",IF(E4853=0,"Nullbestand; ","")))&amp;IF(D4853="","Warengruppe fehlt; ","")&amp;IF(B4853="","Bezeichnung fehlt; ","")&amp;IF(COUNTIFS($A$2:$A$5001,$A4853,$C$2:$C$5001,C4853)&gt;1,"Artikel doppelt im selben Lager; ",""))</f>
        <v/>
      </c>
      <c r="P4853" s="47" t="n">
        <f aca="false">IF(OR($A4853="",D4853=""),0,IF(COUNTIF($D$2:D4853,D4853)=1,SUMIF($D$2:$D$5001,D4853,$H$2:$H$5001)+ROW()/10000000,0))</f>
        <v>0</v>
      </c>
      <c r="Q4853" s="47" t="n">
        <f aca="false">IF(OR($A4853="",C4853=""),0,IF(COUNTIF($C$2:C4853,C4853)=1,SUMIF($C$2:$C$5001,C4853,$H$2:$H$5001)+ROW()/10000000,0))</f>
        <v>0</v>
      </c>
    </row>
    <row r="4854" customFormat="false" ht="15" hidden="false" customHeight="false" outlineLevel="0" collapsed="false">
      <c r="A4854" s="43"/>
      <c r="B4854" s="44"/>
      <c r="C4854" s="44"/>
      <c r="D4854" s="44"/>
      <c r="E4854" s="44"/>
      <c r="F4854" s="44"/>
      <c r="G4854" s="44"/>
      <c r="H4854" s="46" t="str">
        <f aca="false">IF($A4854="","",IF(OR(NOT(ISNUMBER(E4854)),NOT(ISNUMBER(F4854))),"",MAX(0,E4854)*F4854))</f>
        <v/>
      </c>
      <c r="I4854" s="46" t="str">
        <f aca="false">IF($A4854="","",SUMIF($A$2:$A$5001,$A4854,$H$2:$H$5001))</f>
        <v/>
      </c>
      <c r="J4854" s="47" t="n">
        <f aca="false">IF($A4854="",0,IF(COUNTIF($A$2:A4854,$A4854)=1,1,0))</f>
        <v>0</v>
      </c>
      <c r="K4854" s="47" t="n">
        <f aca="false">IF(J4854=1,N(I4854)+ROW()/10000000,0)</f>
        <v>0</v>
      </c>
      <c r="L4854" s="47" t="str">
        <f aca="false">IF(AND(J4854=1,N(I4854)&gt;0),SUMIF($K$2:$K$5001,"&gt;="&amp;K4854,$I$2:$I$5001)/MAX(1,SUM($H$2:$H$5001)),"")</f>
        <v/>
      </c>
      <c r="M4854" s="47" t="str">
        <f aca="false">IF($A4854="","",INDEX($L$2:$L$5001,MATCH($A4854,$A$2:$A$5001,0)))</f>
        <v/>
      </c>
      <c r="N4854" s="48" t="str">
        <f aca="false">IF($A4854="","",IF(N(M4854)=0,"–",IF(M4854&lt;=Start!$D$20,"A",IF(M4854&lt;=Start!$D$21,"B","C"))))</f>
        <v/>
      </c>
      <c r="O4854" s="48" t="str">
        <f aca="false">IF($A4854="","",IF(NOT(ISNUMBER(F4854)),"Wert fehlt; ",IF(F4854&lt;=0,"Wert ist 0; ",""))&amp;IF(NOT(ISNUMBER(E4854)),"Bestand fehlt; ",IF(E4854&lt;0,"Bestand negativ; ",IF(E4854=0,"Nullbestand; ","")))&amp;IF(D4854="","Warengruppe fehlt; ","")&amp;IF(B4854="","Bezeichnung fehlt; ","")&amp;IF(COUNTIFS($A$2:$A$5001,$A4854,$C$2:$C$5001,C4854)&gt;1,"Artikel doppelt im selben Lager; ",""))</f>
        <v/>
      </c>
      <c r="P4854" s="47" t="n">
        <f aca="false">IF(OR($A4854="",D4854=""),0,IF(COUNTIF($D$2:D4854,D4854)=1,SUMIF($D$2:$D$5001,D4854,$H$2:$H$5001)+ROW()/10000000,0))</f>
        <v>0</v>
      </c>
      <c r="Q4854" s="47" t="n">
        <f aca="false">IF(OR($A4854="",C4854=""),0,IF(COUNTIF($C$2:C4854,C4854)=1,SUMIF($C$2:$C$5001,C4854,$H$2:$H$5001)+ROW()/10000000,0))</f>
        <v>0</v>
      </c>
    </row>
    <row r="4855" customFormat="false" ht="15" hidden="false" customHeight="false" outlineLevel="0" collapsed="false">
      <c r="A4855" s="43"/>
      <c r="B4855" s="44"/>
      <c r="C4855" s="44"/>
      <c r="D4855" s="44"/>
      <c r="E4855" s="44"/>
      <c r="F4855" s="44"/>
      <c r="G4855" s="44"/>
      <c r="H4855" s="46" t="str">
        <f aca="false">IF($A4855="","",IF(OR(NOT(ISNUMBER(E4855)),NOT(ISNUMBER(F4855))),"",MAX(0,E4855)*F4855))</f>
        <v/>
      </c>
      <c r="I4855" s="46" t="str">
        <f aca="false">IF($A4855="","",SUMIF($A$2:$A$5001,$A4855,$H$2:$H$5001))</f>
        <v/>
      </c>
      <c r="J4855" s="47" t="n">
        <f aca="false">IF($A4855="",0,IF(COUNTIF($A$2:A4855,$A4855)=1,1,0))</f>
        <v>0</v>
      </c>
      <c r="K4855" s="47" t="n">
        <f aca="false">IF(J4855=1,N(I4855)+ROW()/10000000,0)</f>
        <v>0</v>
      </c>
      <c r="L4855" s="47" t="str">
        <f aca="false">IF(AND(J4855=1,N(I4855)&gt;0),SUMIF($K$2:$K$5001,"&gt;="&amp;K4855,$I$2:$I$5001)/MAX(1,SUM($H$2:$H$5001)),"")</f>
        <v/>
      </c>
      <c r="M4855" s="47" t="str">
        <f aca="false">IF($A4855="","",INDEX($L$2:$L$5001,MATCH($A4855,$A$2:$A$5001,0)))</f>
        <v/>
      </c>
      <c r="N4855" s="48" t="str">
        <f aca="false">IF($A4855="","",IF(N(M4855)=0,"–",IF(M4855&lt;=Start!$D$20,"A",IF(M4855&lt;=Start!$D$21,"B","C"))))</f>
        <v/>
      </c>
      <c r="O4855" s="48" t="str">
        <f aca="false">IF($A4855="","",IF(NOT(ISNUMBER(F4855)),"Wert fehlt; ",IF(F4855&lt;=0,"Wert ist 0; ",""))&amp;IF(NOT(ISNUMBER(E4855)),"Bestand fehlt; ",IF(E4855&lt;0,"Bestand negativ; ",IF(E4855=0,"Nullbestand; ","")))&amp;IF(D4855="","Warengruppe fehlt; ","")&amp;IF(B4855="","Bezeichnung fehlt; ","")&amp;IF(COUNTIFS($A$2:$A$5001,$A4855,$C$2:$C$5001,C4855)&gt;1,"Artikel doppelt im selben Lager; ",""))</f>
        <v/>
      </c>
      <c r="P4855" s="47" t="n">
        <f aca="false">IF(OR($A4855="",D4855=""),0,IF(COUNTIF($D$2:D4855,D4855)=1,SUMIF($D$2:$D$5001,D4855,$H$2:$H$5001)+ROW()/10000000,0))</f>
        <v>0</v>
      </c>
      <c r="Q4855" s="47" t="n">
        <f aca="false">IF(OR($A4855="",C4855=""),0,IF(COUNTIF($C$2:C4855,C4855)=1,SUMIF($C$2:$C$5001,C4855,$H$2:$H$5001)+ROW()/10000000,0))</f>
        <v>0</v>
      </c>
    </row>
    <row r="4856" customFormat="false" ht="15" hidden="false" customHeight="false" outlineLevel="0" collapsed="false">
      <c r="A4856" s="43"/>
      <c r="B4856" s="44"/>
      <c r="C4856" s="44"/>
      <c r="D4856" s="44"/>
      <c r="E4856" s="44"/>
      <c r="F4856" s="44"/>
      <c r="G4856" s="44"/>
      <c r="H4856" s="46" t="str">
        <f aca="false">IF($A4856="","",IF(OR(NOT(ISNUMBER(E4856)),NOT(ISNUMBER(F4856))),"",MAX(0,E4856)*F4856))</f>
        <v/>
      </c>
      <c r="I4856" s="46" t="str">
        <f aca="false">IF($A4856="","",SUMIF($A$2:$A$5001,$A4856,$H$2:$H$5001))</f>
        <v/>
      </c>
      <c r="J4856" s="47" t="n">
        <f aca="false">IF($A4856="",0,IF(COUNTIF($A$2:A4856,$A4856)=1,1,0))</f>
        <v>0</v>
      </c>
      <c r="K4856" s="47" t="n">
        <f aca="false">IF(J4856=1,N(I4856)+ROW()/10000000,0)</f>
        <v>0</v>
      </c>
      <c r="L4856" s="47" t="str">
        <f aca="false">IF(AND(J4856=1,N(I4856)&gt;0),SUMIF($K$2:$K$5001,"&gt;="&amp;K4856,$I$2:$I$5001)/MAX(1,SUM($H$2:$H$5001)),"")</f>
        <v/>
      </c>
      <c r="M4856" s="47" t="str">
        <f aca="false">IF($A4856="","",INDEX($L$2:$L$5001,MATCH($A4856,$A$2:$A$5001,0)))</f>
        <v/>
      </c>
      <c r="N4856" s="48" t="str">
        <f aca="false">IF($A4856="","",IF(N(M4856)=0,"–",IF(M4856&lt;=Start!$D$20,"A",IF(M4856&lt;=Start!$D$21,"B","C"))))</f>
        <v/>
      </c>
      <c r="O4856" s="48" t="str">
        <f aca="false">IF($A4856="","",IF(NOT(ISNUMBER(F4856)),"Wert fehlt; ",IF(F4856&lt;=0,"Wert ist 0; ",""))&amp;IF(NOT(ISNUMBER(E4856)),"Bestand fehlt; ",IF(E4856&lt;0,"Bestand negativ; ",IF(E4856=0,"Nullbestand; ","")))&amp;IF(D4856="","Warengruppe fehlt; ","")&amp;IF(B4856="","Bezeichnung fehlt; ","")&amp;IF(COUNTIFS($A$2:$A$5001,$A4856,$C$2:$C$5001,C4856)&gt;1,"Artikel doppelt im selben Lager; ",""))</f>
        <v/>
      </c>
      <c r="P4856" s="47" t="n">
        <f aca="false">IF(OR($A4856="",D4856=""),0,IF(COUNTIF($D$2:D4856,D4856)=1,SUMIF($D$2:$D$5001,D4856,$H$2:$H$5001)+ROW()/10000000,0))</f>
        <v>0</v>
      </c>
      <c r="Q4856" s="47" t="n">
        <f aca="false">IF(OR($A4856="",C4856=""),0,IF(COUNTIF($C$2:C4856,C4856)=1,SUMIF($C$2:$C$5001,C4856,$H$2:$H$5001)+ROW()/10000000,0))</f>
        <v>0</v>
      </c>
    </row>
    <row r="4857" customFormat="false" ht="15" hidden="false" customHeight="false" outlineLevel="0" collapsed="false">
      <c r="A4857" s="43"/>
      <c r="B4857" s="44"/>
      <c r="C4857" s="44"/>
      <c r="D4857" s="44"/>
      <c r="E4857" s="44"/>
      <c r="F4857" s="44"/>
      <c r="G4857" s="44"/>
      <c r="H4857" s="46" t="str">
        <f aca="false">IF($A4857="","",IF(OR(NOT(ISNUMBER(E4857)),NOT(ISNUMBER(F4857))),"",MAX(0,E4857)*F4857))</f>
        <v/>
      </c>
      <c r="I4857" s="46" t="str">
        <f aca="false">IF($A4857="","",SUMIF($A$2:$A$5001,$A4857,$H$2:$H$5001))</f>
        <v/>
      </c>
      <c r="J4857" s="47" t="n">
        <f aca="false">IF($A4857="",0,IF(COUNTIF($A$2:A4857,$A4857)=1,1,0))</f>
        <v>0</v>
      </c>
      <c r="K4857" s="47" t="n">
        <f aca="false">IF(J4857=1,N(I4857)+ROW()/10000000,0)</f>
        <v>0</v>
      </c>
      <c r="L4857" s="47" t="str">
        <f aca="false">IF(AND(J4857=1,N(I4857)&gt;0),SUMIF($K$2:$K$5001,"&gt;="&amp;K4857,$I$2:$I$5001)/MAX(1,SUM($H$2:$H$5001)),"")</f>
        <v/>
      </c>
      <c r="M4857" s="47" t="str">
        <f aca="false">IF($A4857="","",INDEX($L$2:$L$5001,MATCH($A4857,$A$2:$A$5001,0)))</f>
        <v/>
      </c>
      <c r="N4857" s="48" t="str">
        <f aca="false">IF($A4857="","",IF(N(M4857)=0,"–",IF(M4857&lt;=Start!$D$20,"A",IF(M4857&lt;=Start!$D$21,"B","C"))))</f>
        <v/>
      </c>
      <c r="O4857" s="48" t="str">
        <f aca="false">IF($A4857="","",IF(NOT(ISNUMBER(F4857)),"Wert fehlt; ",IF(F4857&lt;=0,"Wert ist 0; ",""))&amp;IF(NOT(ISNUMBER(E4857)),"Bestand fehlt; ",IF(E4857&lt;0,"Bestand negativ; ",IF(E4857=0,"Nullbestand; ","")))&amp;IF(D4857="","Warengruppe fehlt; ","")&amp;IF(B4857="","Bezeichnung fehlt; ","")&amp;IF(COUNTIFS($A$2:$A$5001,$A4857,$C$2:$C$5001,C4857)&gt;1,"Artikel doppelt im selben Lager; ",""))</f>
        <v/>
      </c>
      <c r="P4857" s="47" t="n">
        <f aca="false">IF(OR($A4857="",D4857=""),0,IF(COUNTIF($D$2:D4857,D4857)=1,SUMIF($D$2:$D$5001,D4857,$H$2:$H$5001)+ROW()/10000000,0))</f>
        <v>0</v>
      </c>
      <c r="Q4857" s="47" t="n">
        <f aca="false">IF(OR($A4857="",C4857=""),0,IF(COUNTIF($C$2:C4857,C4857)=1,SUMIF($C$2:$C$5001,C4857,$H$2:$H$5001)+ROW()/10000000,0))</f>
        <v>0</v>
      </c>
    </row>
    <row r="4858" customFormat="false" ht="15" hidden="false" customHeight="false" outlineLevel="0" collapsed="false">
      <c r="A4858" s="43"/>
      <c r="B4858" s="44"/>
      <c r="C4858" s="44"/>
      <c r="D4858" s="44"/>
      <c r="E4858" s="44"/>
      <c r="F4858" s="44"/>
      <c r="G4858" s="44"/>
      <c r="H4858" s="46" t="str">
        <f aca="false">IF($A4858="","",IF(OR(NOT(ISNUMBER(E4858)),NOT(ISNUMBER(F4858))),"",MAX(0,E4858)*F4858))</f>
        <v/>
      </c>
      <c r="I4858" s="46" t="str">
        <f aca="false">IF($A4858="","",SUMIF($A$2:$A$5001,$A4858,$H$2:$H$5001))</f>
        <v/>
      </c>
      <c r="J4858" s="47" t="n">
        <f aca="false">IF($A4858="",0,IF(COUNTIF($A$2:A4858,$A4858)=1,1,0))</f>
        <v>0</v>
      </c>
      <c r="K4858" s="47" t="n">
        <f aca="false">IF(J4858=1,N(I4858)+ROW()/10000000,0)</f>
        <v>0</v>
      </c>
      <c r="L4858" s="47" t="str">
        <f aca="false">IF(AND(J4858=1,N(I4858)&gt;0),SUMIF($K$2:$K$5001,"&gt;="&amp;K4858,$I$2:$I$5001)/MAX(1,SUM($H$2:$H$5001)),"")</f>
        <v/>
      </c>
      <c r="M4858" s="47" t="str">
        <f aca="false">IF($A4858="","",INDEX($L$2:$L$5001,MATCH($A4858,$A$2:$A$5001,0)))</f>
        <v/>
      </c>
      <c r="N4858" s="48" t="str">
        <f aca="false">IF($A4858="","",IF(N(M4858)=0,"–",IF(M4858&lt;=Start!$D$20,"A",IF(M4858&lt;=Start!$D$21,"B","C"))))</f>
        <v/>
      </c>
      <c r="O4858" s="48" t="str">
        <f aca="false">IF($A4858="","",IF(NOT(ISNUMBER(F4858)),"Wert fehlt; ",IF(F4858&lt;=0,"Wert ist 0; ",""))&amp;IF(NOT(ISNUMBER(E4858)),"Bestand fehlt; ",IF(E4858&lt;0,"Bestand negativ; ",IF(E4858=0,"Nullbestand; ","")))&amp;IF(D4858="","Warengruppe fehlt; ","")&amp;IF(B4858="","Bezeichnung fehlt; ","")&amp;IF(COUNTIFS($A$2:$A$5001,$A4858,$C$2:$C$5001,C4858)&gt;1,"Artikel doppelt im selben Lager; ",""))</f>
        <v/>
      </c>
      <c r="P4858" s="47" t="n">
        <f aca="false">IF(OR($A4858="",D4858=""),0,IF(COUNTIF($D$2:D4858,D4858)=1,SUMIF($D$2:$D$5001,D4858,$H$2:$H$5001)+ROW()/10000000,0))</f>
        <v>0</v>
      </c>
      <c r="Q4858" s="47" t="n">
        <f aca="false">IF(OR($A4858="",C4858=""),0,IF(COUNTIF($C$2:C4858,C4858)=1,SUMIF($C$2:$C$5001,C4858,$H$2:$H$5001)+ROW()/10000000,0))</f>
        <v>0</v>
      </c>
    </row>
    <row r="4859" customFormat="false" ht="15" hidden="false" customHeight="false" outlineLevel="0" collapsed="false">
      <c r="A4859" s="43"/>
      <c r="B4859" s="44"/>
      <c r="C4859" s="44"/>
      <c r="D4859" s="44"/>
      <c r="E4859" s="44"/>
      <c r="F4859" s="44"/>
      <c r="G4859" s="44"/>
      <c r="H4859" s="46" t="str">
        <f aca="false">IF($A4859="","",IF(OR(NOT(ISNUMBER(E4859)),NOT(ISNUMBER(F4859))),"",MAX(0,E4859)*F4859))</f>
        <v/>
      </c>
      <c r="I4859" s="46" t="str">
        <f aca="false">IF($A4859="","",SUMIF($A$2:$A$5001,$A4859,$H$2:$H$5001))</f>
        <v/>
      </c>
      <c r="J4859" s="47" t="n">
        <f aca="false">IF($A4859="",0,IF(COUNTIF($A$2:A4859,$A4859)=1,1,0))</f>
        <v>0</v>
      </c>
      <c r="K4859" s="47" t="n">
        <f aca="false">IF(J4859=1,N(I4859)+ROW()/10000000,0)</f>
        <v>0</v>
      </c>
      <c r="L4859" s="47" t="str">
        <f aca="false">IF(AND(J4859=1,N(I4859)&gt;0),SUMIF($K$2:$K$5001,"&gt;="&amp;K4859,$I$2:$I$5001)/MAX(1,SUM($H$2:$H$5001)),"")</f>
        <v/>
      </c>
      <c r="M4859" s="47" t="str">
        <f aca="false">IF($A4859="","",INDEX($L$2:$L$5001,MATCH($A4859,$A$2:$A$5001,0)))</f>
        <v/>
      </c>
      <c r="N4859" s="48" t="str">
        <f aca="false">IF($A4859="","",IF(N(M4859)=0,"–",IF(M4859&lt;=Start!$D$20,"A",IF(M4859&lt;=Start!$D$21,"B","C"))))</f>
        <v/>
      </c>
      <c r="O4859" s="48" t="str">
        <f aca="false">IF($A4859="","",IF(NOT(ISNUMBER(F4859)),"Wert fehlt; ",IF(F4859&lt;=0,"Wert ist 0; ",""))&amp;IF(NOT(ISNUMBER(E4859)),"Bestand fehlt; ",IF(E4859&lt;0,"Bestand negativ; ",IF(E4859=0,"Nullbestand; ","")))&amp;IF(D4859="","Warengruppe fehlt; ","")&amp;IF(B4859="","Bezeichnung fehlt; ","")&amp;IF(COUNTIFS($A$2:$A$5001,$A4859,$C$2:$C$5001,C4859)&gt;1,"Artikel doppelt im selben Lager; ",""))</f>
        <v/>
      </c>
      <c r="P4859" s="47" t="n">
        <f aca="false">IF(OR($A4859="",D4859=""),0,IF(COUNTIF($D$2:D4859,D4859)=1,SUMIF($D$2:$D$5001,D4859,$H$2:$H$5001)+ROW()/10000000,0))</f>
        <v>0</v>
      </c>
      <c r="Q4859" s="47" t="n">
        <f aca="false">IF(OR($A4859="",C4859=""),0,IF(COUNTIF($C$2:C4859,C4859)=1,SUMIF($C$2:$C$5001,C4859,$H$2:$H$5001)+ROW()/10000000,0))</f>
        <v>0</v>
      </c>
    </row>
    <row r="4860" customFormat="false" ht="15" hidden="false" customHeight="false" outlineLevel="0" collapsed="false">
      <c r="A4860" s="43"/>
      <c r="B4860" s="44"/>
      <c r="C4860" s="44"/>
      <c r="D4860" s="44"/>
      <c r="E4860" s="44"/>
      <c r="F4860" s="44"/>
      <c r="G4860" s="44"/>
      <c r="H4860" s="46" t="str">
        <f aca="false">IF($A4860="","",IF(OR(NOT(ISNUMBER(E4860)),NOT(ISNUMBER(F4860))),"",MAX(0,E4860)*F4860))</f>
        <v/>
      </c>
      <c r="I4860" s="46" t="str">
        <f aca="false">IF($A4860="","",SUMIF($A$2:$A$5001,$A4860,$H$2:$H$5001))</f>
        <v/>
      </c>
      <c r="J4860" s="47" t="n">
        <f aca="false">IF($A4860="",0,IF(COUNTIF($A$2:A4860,$A4860)=1,1,0))</f>
        <v>0</v>
      </c>
      <c r="K4860" s="47" t="n">
        <f aca="false">IF(J4860=1,N(I4860)+ROW()/10000000,0)</f>
        <v>0</v>
      </c>
      <c r="L4860" s="47" t="str">
        <f aca="false">IF(AND(J4860=1,N(I4860)&gt;0),SUMIF($K$2:$K$5001,"&gt;="&amp;K4860,$I$2:$I$5001)/MAX(1,SUM($H$2:$H$5001)),"")</f>
        <v/>
      </c>
      <c r="M4860" s="47" t="str">
        <f aca="false">IF($A4860="","",INDEX($L$2:$L$5001,MATCH($A4860,$A$2:$A$5001,0)))</f>
        <v/>
      </c>
      <c r="N4860" s="48" t="str">
        <f aca="false">IF($A4860="","",IF(N(M4860)=0,"–",IF(M4860&lt;=Start!$D$20,"A",IF(M4860&lt;=Start!$D$21,"B","C"))))</f>
        <v/>
      </c>
      <c r="O4860" s="48" t="str">
        <f aca="false">IF($A4860="","",IF(NOT(ISNUMBER(F4860)),"Wert fehlt; ",IF(F4860&lt;=0,"Wert ist 0; ",""))&amp;IF(NOT(ISNUMBER(E4860)),"Bestand fehlt; ",IF(E4860&lt;0,"Bestand negativ; ",IF(E4860=0,"Nullbestand; ","")))&amp;IF(D4860="","Warengruppe fehlt; ","")&amp;IF(B4860="","Bezeichnung fehlt; ","")&amp;IF(COUNTIFS($A$2:$A$5001,$A4860,$C$2:$C$5001,C4860)&gt;1,"Artikel doppelt im selben Lager; ",""))</f>
        <v/>
      </c>
      <c r="P4860" s="47" t="n">
        <f aca="false">IF(OR($A4860="",D4860=""),0,IF(COUNTIF($D$2:D4860,D4860)=1,SUMIF($D$2:$D$5001,D4860,$H$2:$H$5001)+ROW()/10000000,0))</f>
        <v>0</v>
      </c>
      <c r="Q4860" s="47" t="n">
        <f aca="false">IF(OR($A4860="",C4860=""),0,IF(COUNTIF($C$2:C4860,C4860)=1,SUMIF($C$2:$C$5001,C4860,$H$2:$H$5001)+ROW()/10000000,0))</f>
        <v>0</v>
      </c>
    </row>
    <row r="4861" customFormat="false" ht="15" hidden="false" customHeight="false" outlineLevel="0" collapsed="false">
      <c r="A4861" s="43"/>
      <c r="B4861" s="44"/>
      <c r="C4861" s="44"/>
      <c r="D4861" s="44"/>
      <c r="E4861" s="44"/>
      <c r="F4861" s="44"/>
      <c r="G4861" s="44"/>
      <c r="H4861" s="46" t="str">
        <f aca="false">IF($A4861="","",IF(OR(NOT(ISNUMBER(E4861)),NOT(ISNUMBER(F4861))),"",MAX(0,E4861)*F4861))</f>
        <v/>
      </c>
      <c r="I4861" s="46" t="str">
        <f aca="false">IF($A4861="","",SUMIF($A$2:$A$5001,$A4861,$H$2:$H$5001))</f>
        <v/>
      </c>
      <c r="J4861" s="47" t="n">
        <f aca="false">IF($A4861="",0,IF(COUNTIF($A$2:A4861,$A4861)=1,1,0))</f>
        <v>0</v>
      </c>
      <c r="K4861" s="47" t="n">
        <f aca="false">IF(J4861=1,N(I4861)+ROW()/10000000,0)</f>
        <v>0</v>
      </c>
      <c r="L4861" s="47" t="str">
        <f aca="false">IF(AND(J4861=1,N(I4861)&gt;0),SUMIF($K$2:$K$5001,"&gt;="&amp;K4861,$I$2:$I$5001)/MAX(1,SUM($H$2:$H$5001)),"")</f>
        <v/>
      </c>
      <c r="M4861" s="47" t="str">
        <f aca="false">IF($A4861="","",INDEX($L$2:$L$5001,MATCH($A4861,$A$2:$A$5001,0)))</f>
        <v/>
      </c>
      <c r="N4861" s="48" t="str">
        <f aca="false">IF($A4861="","",IF(N(M4861)=0,"–",IF(M4861&lt;=Start!$D$20,"A",IF(M4861&lt;=Start!$D$21,"B","C"))))</f>
        <v/>
      </c>
      <c r="O4861" s="48" t="str">
        <f aca="false">IF($A4861="","",IF(NOT(ISNUMBER(F4861)),"Wert fehlt; ",IF(F4861&lt;=0,"Wert ist 0; ",""))&amp;IF(NOT(ISNUMBER(E4861)),"Bestand fehlt; ",IF(E4861&lt;0,"Bestand negativ; ",IF(E4861=0,"Nullbestand; ","")))&amp;IF(D4861="","Warengruppe fehlt; ","")&amp;IF(B4861="","Bezeichnung fehlt; ","")&amp;IF(COUNTIFS($A$2:$A$5001,$A4861,$C$2:$C$5001,C4861)&gt;1,"Artikel doppelt im selben Lager; ",""))</f>
        <v/>
      </c>
      <c r="P4861" s="47" t="n">
        <f aca="false">IF(OR($A4861="",D4861=""),0,IF(COUNTIF($D$2:D4861,D4861)=1,SUMIF($D$2:$D$5001,D4861,$H$2:$H$5001)+ROW()/10000000,0))</f>
        <v>0</v>
      </c>
      <c r="Q4861" s="47" t="n">
        <f aca="false">IF(OR($A4861="",C4861=""),0,IF(COUNTIF($C$2:C4861,C4861)=1,SUMIF($C$2:$C$5001,C4861,$H$2:$H$5001)+ROW()/10000000,0))</f>
        <v>0</v>
      </c>
    </row>
    <row r="4862" customFormat="false" ht="15" hidden="false" customHeight="false" outlineLevel="0" collapsed="false">
      <c r="A4862" s="43"/>
      <c r="B4862" s="44"/>
      <c r="C4862" s="44"/>
      <c r="D4862" s="44"/>
      <c r="E4862" s="44"/>
      <c r="F4862" s="44"/>
      <c r="G4862" s="44"/>
      <c r="H4862" s="46" t="str">
        <f aca="false">IF($A4862="","",IF(OR(NOT(ISNUMBER(E4862)),NOT(ISNUMBER(F4862))),"",MAX(0,E4862)*F4862))</f>
        <v/>
      </c>
      <c r="I4862" s="46" t="str">
        <f aca="false">IF($A4862="","",SUMIF($A$2:$A$5001,$A4862,$H$2:$H$5001))</f>
        <v/>
      </c>
      <c r="J4862" s="47" t="n">
        <f aca="false">IF($A4862="",0,IF(COUNTIF($A$2:A4862,$A4862)=1,1,0))</f>
        <v>0</v>
      </c>
      <c r="K4862" s="47" t="n">
        <f aca="false">IF(J4862=1,N(I4862)+ROW()/10000000,0)</f>
        <v>0</v>
      </c>
      <c r="L4862" s="47" t="str">
        <f aca="false">IF(AND(J4862=1,N(I4862)&gt;0),SUMIF($K$2:$K$5001,"&gt;="&amp;K4862,$I$2:$I$5001)/MAX(1,SUM($H$2:$H$5001)),"")</f>
        <v/>
      </c>
      <c r="M4862" s="47" t="str">
        <f aca="false">IF($A4862="","",INDEX($L$2:$L$5001,MATCH($A4862,$A$2:$A$5001,0)))</f>
        <v/>
      </c>
      <c r="N4862" s="48" t="str">
        <f aca="false">IF($A4862="","",IF(N(M4862)=0,"–",IF(M4862&lt;=Start!$D$20,"A",IF(M4862&lt;=Start!$D$21,"B","C"))))</f>
        <v/>
      </c>
      <c r="O4862" s="48" t="str">
        <f aca="false">IF($A4862="","",IF(NOT(ISNUMBER(F4862)),"Wert fehlt; ",IF(F4862&lt;=0,"Wert ist 0; ",""))&amp;IF(NOT(ISNUMBER(E4862)),"Bestand fehlt; ",IF(E4862&lt;0,"Bestand negativ; ",IF(E4862=0,"Nullbestand; ","")))&amp;IF(D4862="","Warengruppe fehlt; ","")&amp;IF(B4862="","Bezeichnung fehlt; ","")&amp;IF(COUNTIFS($A$2:$A$5001,$A4862,$C$2:$C$5001,C4862)&gt;1,"Artikel doppelt im selben Lager; ",""))</f>
        <v/>
      </c>
      <c r="P4862" s="47" t="n">
        <f aca="false">IF(OR($A4862="",D4862=""),0,IF(COUNTIF($D$2:D4862,D4862)=1,SUMIF($D$2:$D$5001,D4862,$H$2:$H$5001)+ROW()/10000000,0))</f>
        <v>0</v>
      </c>
      <c r="Q4862" s="47" t="n">
        <f aca="false">IF(OR($A4862="",C4862=""),0,IF(COUNTIF($C$2:C4862,C4862)=1,SUMIF($C$2:$C$5001,C4862,$H$2:$H$5001)+ROW()/10000000,0))</f>
        <v>0</v>
      </c>
    </row>
    <row r="4863" customFormat="false" ht="15" hidden="false" customHeight="false" outlineLevel="0" collapsed="false">
      <c r="A4863" s="43"/>
      <c r="B4863" s="44"/>
      <c r="C4863" s="44"/>
      <c r="D4863" s="44"/>
      <c r="E4863" s="44"/>
      <c r="F4863" s="44"/>
      <c r="G4863" s="44"/>
      <c r="H4863" s="46" t="str">
        <f aca="false">IF($A4863="","",IF(OR(NOT(ISNUMBER(E4863)),NOT(ISNUMBER(F4863))),"",MAX(0,E4863)*F4863))</f>
        <v/>
      </c>
      <c r="I4863" s="46" t="str">
        <f aca="false">IF($A4863="","",SUMIF($A$2:$A$5001,$A4863,$H$2:$H$5001))</f>
        <v/>
      </c>
      <c r="J4863" s="47" t="n">
        <f aca="false">IF($A4863="",0,IF(COUNTIF($A$2:A4863,$A4863)=1,1,0))</f>
        <v>0</v>
      </c>
      <c r="K4863" s="47" t="n">
        <f aca="false">IF(J4863=1,N(I4863)+ROW()/10000000,0)</f>
        <v>0</v>
      </c>
      <c r="L4863" s="47" t="str">
        <f aca="false">IF(AND(J4863=1,N(I4863)&gt;0),SUMIF($K$2:$K$5001,"&gt;="&amp;K4863,$I$2:$I$5001)/MAX(1,SUM($H$2:$H$5001)),"")</f>
        <v/>
      </c>
      <c r="M4863" s="47" t="str">
        <f aca="false">IF($A4863="","",INDEX($L$2:$L$5001,MATCH($A4863,$A$2:$A$5001,0)))</f>
        <v/>
      </c>
      <c r="N4863" s="48" t="str">
        <f aca="false">IF($A4863="","",IF(N(M4863)=0,"–",IF(M4863&lt;=Start!$D$20,"A",IF(M4863&lt;=Start!$D$21,"B","C"))))</f>
        <v/>
      </c>
      <c r="O4863" s="48" t="str">
        <f aca="false">IF($A4863="","",IF(NOT(ISNUMBER(F4863)),"Wert fehlt; ",IF(F4863&lt;=0,"Wert ist 0; ",""))&amp;IF(NOT(ISNUMBER(E4863)),"Bestand fehlt; ",IF(E4863&lt;0,"Bestand negativ; ",IF(E4863=0,"Nullbestand; ","")))&amp;IF(D4863="","Warengruppe fehlt; ","")&amp;IF(B4863="","Bezeichnung fehlt; ","")&amp;IF(COUNTIFS($A$2:$A$5001,$A4863,$C$2:$C$5001,C4863)&gt;1,"Artikel doppelt im selben Lager; ",""))</f>
        <v/>
      </c>
      <c r="P4863" s="47" t="n">
        <f aca="false">IF(OR($A4863="",D4863=""),0,IF(COUNTIF($D$2:D4863,D4863)=1,SUMIF($D$2:$D$5001,D4863,$H$2:$H$5001)+ROW()/10000000,0))</f>
        <v>0</v>
      </c>
      <c r="Q4863" s="47" t="n">
        <f aca="false">IF(OR($A4863="",C4863=""),0,IF(COUNTIF($C$2:C4863,C4863)=1,SUMIF($C$2:$C$5001,C4863,$H$2:$H$5001)+ROW()/10000000,0))</f>
        <v>0</v>
      </c>
    </row>
    <row r="4864" customFormat="false" ht="15" hidden="false" customHeight="false" outlineLevel="0" collapsed="false">
      <c r="A4864" s="43"/>
      <c r="B4864" s="44"/>
      <c r="C4864" s="44"/>
      <c r="D4864" s="44"/>
      <c r="E4864" s="44"/>
      <c r="F4864" s="44"/>
      <c r="G4864" s="44"/>
      <c r="H4864" s="46" t="str">
        <f aca="false">IF($A4864="","",IF(OR(NOT(ISNUMBER(E4864)),NOT(ISNUMBER(F4864))),"",MAX(0,E4864)*F4864))</f>
        <v/>
      </c>
      <c r="I4864" s="46" t="str">
        <f aca="false">IF($A4864="","",SUMIF($A$2:$A$5001,$A4864,$H$2:$H$5001))</f>
        <v/>
      </c>
      <c r="J4864" s="47" t="n">
        <f aca="false">IF($A4864="",0,IF(COUNTIF($A$2:A4864,$A4864)=1,1,0))</f>
        <v>0</v>
      </c>
      <c r="K4864" s="47" t="n">
        <f aca="false">IF(J4864=1,N(I4864)+ROW()/10000000,0)</f>
        <v>0</v>
      </c>
      <c r="L4864" s="47" t="str">
        <f aca="false">IF(AND(J4864=1,N(I4864)&gt;0),SUMIF($K$2:$K$5001,"&gt;="&amp;K4864,$I$2:$I$5001)/MAX(1,SUM($H$2:$H$5001)),"")</f>
        <v/>
      </c>
      <c r="M4864" s="47" t="str">
        <f aca="false">IF($A4864="","",INDEX($L$2:$L$5001,MATCH($A4864,$A$2:$A$5001,0)))</f>
        <v/>
      </c>
      <c r="N4864" s="48" t="str">
        <f aca="false">IF($A4864="","",IF(N(M4864)=0,"–",IF(M4864&lt;=Start!$D$20,"A",IF(M4864&lt;=Start!$D$21,"B","C"))))</f>
        <v/>
      </c>
      <c r="O4864" s="48" t="str">
        <f aca="false">IF($A4864="","",IF(NOT(ISNUMBER(F4864)),"Wert fehlt; ",IF(F4864&lt;=0,"Wert ist 0; ",""))&amp;IF(NOT(ISNUMBER(E4864)),"Bestand fehlt; ",IF(E4864&lt;0,"Bestand negativ; ",IF(E4864=0,"Nullbestand; ","")))&amp;IF(D4864="","Warengruppe fehlt; ","")&amp;IF(B4864="","Bezeichnung fehlt; ","")&amp;IF(COUNTIFS($A$2:$A$5001,$A4864,$C$2:$C$5001,C4864)&gt;1,"Artikel doppelt im selben Lager; ",""))</f>
        <v/>
      </c>
      <c r="P4864" s="47" t="n">
        <f aca="false">IF(OR($A4864="",D4864=""),0,IF(COUNTIF($D$2:D4864,D4864)=1,SUMIF($D$2:$D$5001,D4864,$H$2:$H$5001)+ROW()/10000000,0))</f>
        <v>0</v>
      </c>
      <c r="Q4864" s="47" t="n">
        <f aca="false">IF(OR($A4864="",C4864=""),0,IF(COUNTIF($C$2:C4864,C4864)=1,SUMIF($C$2:$C$5001,C4864,$H$2:$H$5001)+ROW()/10000000,0))</f>
        <v>0</v>
      </c>
    </row>
    <row r="4865" customFormat="false" ht="15" hidden="false" customHeight="false" outlineLevel="0" collapsed="false">
      <c r="A4865" s="43"/>
      <c r="B4865" s="44"/>
      <c r="C4865" s="44"/>
      <c r="D4865" s="44"/>
      <c r="E4865" s="44"/>
      <c r="F4865" s="44"/>
      <c r="G4865" s="44"/>
      <c r="H4865" s="46" t="str">
        <f aca="false">IF($A4865="","",IF(OR(NOT(ISNUMBER(E4865)),NOT(ISNUMBER(F4865))),"",MAX(0,E4865)*F4865))</f>
        <v/>
      </c>
      <c r="I4865" s="46" t="str">
        <f aca="false">IF($A4865="","",SUMIF($A$2:$A$5001,$A4865,$H$2:$H$5001))</f>
        <v/>
      </c>
      <c r="J4865" s="47" t="n">
        <f aca="false">IF($A4865="",0,IF(COUNTIF($A$2:A4865,$A4865)=1,1,0))</f>
        <v>0</v>
      </c>
      <c r="K4865" s="47" t="n">
        <f aca="false">IF(J4865=1,N(I4865)+ROW()/10000000,0)</f>
        <v>0</v>
      </c>
      <c r="L4865" s="47" t="str">
        <f aca="false">IF(AND(J4865=1,N(I4865)&gt;0),SUMIF($K$2:$K$5001,"&gt;="&amp;K4865,$I$2:$I$5001)/MAX(1,SUM($H$2:$H$5001)),"")</f>
        <v/>
      </c>
      <c r="M4865" s="47" t="str">
        <f aca="false">IF($A4865="","",INDEX($L$2:$L$5001,MATCH($A4865,$A$2:$A$5001,0)))</f>
        <v/>
      </c>
      <c r="N4865" s="48" t="str">
        <f aca="false">IF($A4865="","",IF(N(M4865)=0,"–",IF(M4865&lt;=Start!$D$20,"A",IF(M4865&lt;=Start!$D$21,"B","C"))))</f>
        <v/>
      </c>
      <c r="O4865" s="48" t="str">
        <f aca="false">IF($A4865="","",IF(NOT(ISNUMBER(F4865)),"Wert fehlt; ",IF(F4865&lt;=0,"Wert ist 0; ",""))&amp;IF(NOT(ISNUMBER(E4865)),"Bestand fehlt; ",IF(E4865&lt;0,"Bestand negativ; ",IF(E4865=0,"Nullbestand; ","")))&amp;IF(D4865="","Warengruppe fehlt; ","")&amp;IF(B4865="","Bezeichnung fehlt; ","")&amp;IF(COUNTIFS($A$2:$A$5001,$A4865,$C$2:$C$5001,C4865)&gt;1,"Artikel doppelt im selben Lager; ",""))</f>
        <v/>
      </c>
      <c r="P4865" s="47" t="n">
        <f aca="false">IF(OR($A4865="",D4865=""),0,IF(COUNTIF($D$2:D4865,D4865)=1,SUMIF($D$2:$D$5001,D4865,$H$2:$H$5001)+ROW()/10000000,0))</f>
        <v>0</v>
      </c>
      <c r="Q4865" s="47" t="n">
        <f aca="false">IF(OR($A4865="",C4865=""),0,IF(COUNTIF($C$2:C4865,C4865)=1,SUMIF($C$2:$C$5001,C4865,$H$2:$H$5001)+ROW()/10000000,0))</f>
        <v>0</v>
      </c>
    </row>
    <row r="4866" customFormat="false" ht="15" hidden="false" customHeight="false" outlineLevel="0" collapsed="false">
      <c r="A4866" s="43"/>
      <c r="B4866" s="44"/>
      <c r="C4866" s="44"/>
      <c r="D4866" s="44"/>
      <c r="E4866" s="44"/>
      <c r="F4866" s="44"/>
      <c r="G4866" s="44"/>
      <c r="H4866" s="46" t="str">
        <f aca="false">IF($A4866="","",IF(OR(NOT(ISNUMBER(E4866)),NOT(ISNUMBER(F4866))),"",MAX(0,E4866)*F4866))</f>
        <v/>
      </c>
      <c r="I4866" s="46" t="str">
        <f aca="false">IF($A4866="","",SUMIF($A$2:$A$5001,$A4866,$H$2:$H$5001))</f>
        <v/>
      </c>
      <c r="J4866" s="47" t="n">
        <f aca="false">IF($A4866="",0,IF(COUNTIF($A$2:A4866,$A4866)=1,1,0))</f>
        <v>0</v>
      </c>
      <c r="K4866" s="47" t="n">
        <f aca="false">IF(J4866=1,N(I4866)+ROW()/10000000,0)</f>
        <v>0</v>
      </c>
      <c r="L4866" s="47" t="str">
        <f aca="false">IF(AND(J4866=1,N(I4866)&gt;0),SUMIF($K$2:$K$5001,"&gt;="&amp;K4866,$I$2:$I$5001)/MAX(1,SUM($H$2:$H$5001)),"")</f>
        <v/>
      </c>
      <c r="M4866" s="47" t="str">
        <f aca="false">IF($A4866="","",INDEX($L$2:$L$5001,MATCH($A4866,$A$2:$A$5001,0)))</f>
        <v/>
      </c>
      <c r="N4866" s="48" t="str">
        <f aca="false">IF($A4866="","",IF(N(M4866)=0,"–",IF(M4866&lt;=Start!$D$20,"A",IF(M4866&lt;=Start!$D$21,"B","C"))))</f>
        <v/>
      </c>
      <c r="O4866" s="48" t="str">
        <f aca="false">IF($A4866="","",IF(NOT(ISNUMBER(F4866)),"Wert fehlt; ",IF(F4866&lt;=0,"Wert ist 0; ",""))&amp;IF(NOT(ISNUMBER(E4866)),"Bestand fehlt; ",IF(E4866&lt;0,"Bestand negativ; ",IF(E4866=0,"Nullbestand; ","")))&amp;IF(D4866="","Warengruppe fehlt; ","")&amp;IF(B4866="","Bezeichnung fehlt; ","")&amp;IF(COUNTIFS($A$2:$A$5001,$A4866,$C$2:$C$5001,C4866)&gt;1,"Artikel doppelt im selben Lager; ",""))</f>
        <v/>
      </c>
      <c r="P4866" s="47" t="n">
        <f aca="false">IF(OR($A4866="",D4866=""),0,IF(COUNTIF($D$2:D4866,D4866)=1,SUMIF($D$2:$D$5001,D4866,$H$2:$H$5001)+ROW()/10000000,0))</f>
        <v>0</v>
      </c>
      <c r="Q4866" s="47" t="n">
        <f aca="false">IF(OR($A4866="",C4866=""),0,IF(COUNTIF($C$2:C4866,C4866)=1,SUMIF($C$2:$C$5001,C4866,$H$2:$H$5001)+ROW()/10000000,0))</f>
        <v>0</v>
      </c>
    </row>
    <row r="4867" customFormat="false" ht="15" hidden="false" customHeight="false" outlineLevel="0" collapsed="false">
      <c r="A4867" s="43"/>
      <c r="B4867" s="44"/>
      <c r="C4867" s="44"/>
      <c r="D4867" s="44"/>
      <c r="E4867" s="44"/>
      <c r="F4867" s="44"/>
      <c r="G4867" s="44"/>
      <c r="H4867" s="46" t="str">
        <f aca="false">IF($A4867="","",IF(OR(NOT(ISNUMBER(E4867)),NOT(ISNUMBER(F4867))),"",MAX(0,E4867)*F4867))</f>
        <v/>
      </c>
      <c r="I4867" s="46" t="str">
        <f aca="false">IF($A4867="","",SUMIF($A$2:$A$5001,$A4867,$H$2:$H$5001))</f>
        <v/>
      </c>
      <c r="J4867" s="47" t="n">
        <f aca="false">IF($A4867="",0,IF(COUNTIF($A$2:A4867,$A4867)=1,1,0))</f>
        <v>0</v>
      </c>
      <c r="K4867" s="47" t="n">
        <f aca="false">IF(J4867=1,N(I4867)+ROW()/10000000,0)</f>
        <v>0</v>
      </c>
      <c r="L4867" s="47" t="str">
        <f aca="false">IF(AND(J4867=1,N(I4867)&gt;0),SUMIF($K$2:$K$5001,"&gt;="&amp;K4867,$I$2:$I$5001)/MAX(1,SUM($H$2:$H$5001)),"")</f>
        <v/>
      </c>
      <c r="M4867" s="47" t="str">
        <f aca="false">IF($A4867="","",INDEX($L$2:$L$5001,MATCH($A4867,$A$2:$A$5001,0)))</f>
        <v/>
      </c>
      <c r="N4867" s="48" t="str">
        <f aca="false">IF($A4867="","",IF(N(M4867)=0,"–",IF(M4867&lt;=Start!$D$20,"A",IF(M4867&lt;=Start!$D$21,"B","C"))))</f>
        <v/>
      </c>
      <c r="O4867" s="48" t="str">
        <f aca="false">IF($A4867="","",IF(NOT(ISNUMBER(F4867)),"Wert fehlt; ",IF(F4867&lt;=0,"Wert ist 0; ",""))&amp;IF(NOT(ISNUMBER(E4867)),"Bestand fehlt; ",IF(E4867&lt;0,"Bestand negativ; ",IF(E4867=0,"Nullbestand; ","")))&amp;IF(D4867="","Warengruppe fehlt; ","")&amp;IF(B4867="","Bezeichnung fehlt; ","")&amp;IF(COUNTIFS($A$2:$A$5001,$A4867,$C$2:$C$5001,C4867)&gt;1,"Artikel doppelt im selben Lager; ",""))</f>
        <v/>
      </c>
      <c r="P4867" s="47" t="n">
        <f aca="false">IF(OR($A4867="",D4867=""),0,IF(COUNTIF($D$2:D4867,D4867)=1,SUMIF($D$2:$D$5001,D4867,$H$2:$H$5001)+ROW()/10000000,0))</f>
        <v>0</v>
      </c>
      <c r="Q4867" s="47" t="n">
        <f aca="false">IF(OR($A4867="",C4867=""),0,IF(COUNTIF($C$2:C4867,C4867)=1,SUMIF($C$2:$C$5001,C4867,$H$2:$H$5001)+ROW()/10000000,0))</f>
        <v>0</v>
      </c>
    </row>
    <row r="4868" customFormat="false" ht="15" hidden="false" customHeight="false" outlineLevel="0" collapsed="false">
      <c r="A4868" s="43"/>
      <c r="B4868" s="44"/>
      <c r="C4868" s="44"/>
      <c r="D4868" s="44"/>
      <c r="E4868" s="44"/>
      <c r="F4868" s="44"/>
      <c r="G4868" s="44"/>
      <c r="H4868" s="46" t="str">
        <f aca="false">IF($A4868="","",IF(OR(NOT(ISNUMBER(E4868)),NOT(ISNUMBER(F4868))),"",MAX(0,E4868)*F4868))</f>
        <v/>
      </c>
      <c r="I4868" s="46" t="str">
        <f aca="false">IF($A4868="","",SUMIF($A$2:$A$5001,$A4868,$H$2:$H$5001))</f>
        <v/>
      </c>
      <c r="J4868" s="47" t="n">
        <f aca="false">IF($A4868="",0,IF(COUNTIF($A$2:A4868,$A4868)=1,1,0))</f>
        <v>0</v>
      </c>
      <c r="K4868" s="47" t="n">
        <f aca="false">IF(J4868=1,N(I4868)+ROW()/10000000,0)</f>
        <v>0</v>
      </c>
      <c r="L4868" s="47" t="str">
        <f aca="false">IF(AND(J4868=1,N(I4868)&gt;0),SUMIF($K$2:$K$5001,"&gt;="&amp;K4868,$I$2:$I$5001)/MAX(1,SUM($H$2:$H$5001)),"")</f>
        <v/>
      </c>
      <c r="M4868" s="47" t="str">
        <f aca="false">IF($A4868="","",INDEX($L$2:$L$5001,MATCH($A4868,$A$2:$A$5001,0)))</f>
        <v/>
      </c>
      <c r="N4868" s="48" t="str">
        <f aca="false">IF($A4868="","",IF(N(M4868)=0,"–",IF(M4868&lt;=Start!$D$20,"A",IF(M4868&lt;=Start!$D$21,"B","C"))))</f>
        <v/>
      </c>
      <c r="O4868" s="48" t="str">
        <f aca="false">IF($A4868="","",IF(NOT(ISNUMBER(F4868)),"Wert fehlt; ",IF(F4868&lt;=0,"Wert ist 0; ",""))&amp;IF(NOT(ISNUMBER(E4868)),"Bestand fehlt; ",IF(E4868&lt;0,"Bestand negativ; ",IF(E4868=0,"Nullbestand; ","")))&amp;IF(D4868="","Warengruppe fehlt; ","")&amp;IF(B4868="","Bezeichnung fehlt; ","")&amp;IF(COUNTIFS($A$2:$A$5001,$A4868,$C$2:$C$5001,C4868)&gt;1,"Artikel doppelt im selben Lager; ",""))</f>
        <v/>
      </c>
      <c r="P4868" s="47" t="n">
        <f aca="false">IF(OR($A4868="",D4868=""),0,IF(COUNTIF($D$2:D4868,D4868)=1,SUMIF($D$2:$D$5001,D4868,$H$2:$H$5001)+ROW()/10000000,0))</f>
        <v>0</v>
      </c>
      <c r="Q4868" s="47" t="n">
        <f aca="false">IF(OR($A4868="",C4868=""),0,IF(COUNTIF($C$2:C4868,C4868)=1,SUMIF($C$2:$C$5001,C4868,$H$2:$H$5001)+ROW()/10000000,0))</f>
        <v>0</v>
      </c>
    </row>
    <row r="4869" customFormat="false" ht="15" hidden="false" customHeight="false" outlineLevel="0" collapsed="false">
      <c r="A4869" s="43"/>
      <c r="B4869" s="44"/>
      <c r="C4869" s="44"/>
      <c r="D4869" s="44"/>
      <c r="E4869" s="44"/>
      <c r="F4869" s="44"/>
      <c r="G4869" s="44"/>
      <c r="H4869" s="46" t="str">
        <f aca="false">IF($A4869="","",IF(OR(NOT(ISNUMBER(E4869)),NOT(ISNUMBER(F4869))),"",MAX(0,E4869)*F4869))</f>
        <v/>
      </c>
      <c r="I4869" s="46" t="str">
        <f aca="false">IF($A4869="","",SUMIF($A$2:$A$5001,$A4869,$H$2:$H$5001))</f>
        <v/>
      </c>
      <c r="J4869" s="47" t="n">
        <f aca="false">IF($A4869="",0,IF(COUNTIF($A$2:A4869,$A4869)=1,1,0))</f>
        <v>0</v>
      </c>
      <c r="K4869" s="47" t="n">
        <f aca="false">IF(J4869=1,N(I4869)+ROW()/10000000,0)</f>
        <v>0</v>
      </c>
      <c r="L4869" s="47" t="str">
        <f aca="false">IF(AND(J4869=1,N(I4869)&gt;0),SUMIF($K$2:$K$5001,"&gt;="&amp;K4869,$I$2:$I$5001)/MAX(1,SUM($H$2:$H$5001)),"")</f>
        <v/>
      </c>
      <c r="M4869" s="47" t="str">
        <f aca="false">IF($A4869="","",INDEX($L$2:$L$5001,MATCH($A4869,$A$2:$A$5001,0)))</f>
        <v/>
      </c>
      <c r="N4869" s="48" t="str">
        <f aca="false">IF($A4869="","",IF(N(M4869)=0,"–",IF(M4869&lt;=Start!$D$20,"A",IF(M4869&lt;=Start!$D$21,"B","C"))))</f>
        <v/>
      </c>
      <c r="O4869" s="48" t="str">
        <f aca="false">IF($A4869="","",IF(NOT(ISNUMBER(F4869)),"Wert fehlt; ",IF(F4869&lt;=0,"Wert ist 0; ",""))&amp;IF(NOT(ISNUMBER(E4869)),"Bestand fehlt; ",IF(E4869&lt;0,"Bestand negativ; ",IF(E4869=0,"Nullbestand; ","")))&amp;IF(D4869="","Warengruppe fehlt; ","")&amp;IF(B4869="","Bezeichnung fehlt; ","")&amp;IF(COUNTIFS($A$2:$A$5001,$A4869,$C$2:$C$5001,C4869)&gt;1,"Artikel doppelt im selben Lager; ",""))</f>
        <v/>
      </c>
      <c r="P4869" s="47" t="n">
        <f aca="false">IF(OR($A4869="",D4869=""),0,IF(COUNTIF($D$2:D4869,D4869)=1,SUMIF($D$2:$D$5001,D4869,$H$2:$H$5001)+ROW()/10000000,0))</f>
        <v>0</v>
      </c>
      <c r="Q4869" s="47" t="n">
        <f aca="false">IF(OR($A4869="",C4869=""),0,IF(COUNTIF($C$2:C4869,C4869)=1,SUMIF($C$2:$C$5001,C4869,$H$2:$H$5001)+ROW()/10000000,0))</f>
        <v>0</v>
      </c>
    </row>
    <row r="4870" customFormat="false" ht="15" hidden="false" customHeight="false" outlineLevel="0" collapsed="false">
      <c r="A4870" s="43"/>
      <c r="B4870" s="44"/>
      <c r="C4870" s="44"/>
      <c r="D4870" s="44"/>
      <c r="E4870" s="44"/>
      <c r="F4870" s="44"/>
      <c r="G4870" s="44"/>
      <c r="H4870" s="46" t="str">
        <f aca="false">IF($A4870="","",IF(OR(NOT(ISNUMBER(E4870)),NOT(ISNUMBER(F4870))),"",MAX(0,E4870)*F4870))</f>
        <v/>
      </c>
      <c r="I4870" s="46" t="str">
        <f aca="false">IF($A4870="","",SUMIF($A$2:$A$5001,$A4870,$H$2:$H$5001))</f>
        <v/>
      </c>
      <c r="J4870" s="47" t="n">
        <f aca="false">IF($A4870="",0,IF(COUNTIF($A$2:A4870,$A4870)=1,1,0))</f>
        <v>0</v>
      </c>
      <c r="K4870" s="47" t="n">
        <f aca="false">IF(J4870=1,N(I4870)+ROW()/10000000,0)</f>
        <v>0</v>
      </c>
      <c r="L4870" s="47" t="str">
        <f aca="false">IF(AND(J4870=1,N(I4870)&gt;0),SUMIF($K$2:$K$5001,"&gt;="&amp;K4870,$I$2:$I$5001)/MAX(1,SUM($H$2:$H$5001)),"")</f>
        <v/>
      </c>
      <c r="M4870" s="47" t="str">
        <f aca="false">IF($A4870="","",INDEX($L$2:$L$5001,MATCH($A4870,$A$2:$A$5001,0)))</f>
        <v/>
      </c>
      <c r="N4870" s="48" t="str">
        <f aca="false">IF($A4870="","",IF(N(M4870)=0,"–",IF(M4870&lt;=Start!$D$20,"A",IF(M4870&lt;=Start!$D$21,"B","C"))))</f>
        <v/>
      </c>
      <c r="O4870" s="48" t="str">
        <f aca="false">IF($A4870="","",IF(NOT(ISNUMBER(F4870)),"Wert fehlt; ",IF(F4870&lt;=0,"Wert ist 0; ",""))&amp;IF(NOT(ISNUMBER(E4870)),"Bestand fehlt; ",IF(E4870&lt;0,"Bestand negativ; ",IF(E4870=0,"Nullbestand; ","")))&amp;IF(D4870="","Warengruppe fehlt; ","")&amp;IF(B4870="","Bezeichnung fehlt; ","")&amp;IF(COUNTIFS($A$2:$A$5001,$A4870,$C$2:$C$5001,C4870)&gt;1,"Artikel doppelt im selben Lager; ",""))</f>
        <v/>
      </c>
      <c r="P4870" s="47" t="n">
        <f aca="false">IF(OR($A4870="",D4870=""),0,IF(COUNTIF($D$2:D4870,D4870)=1,SUMIF($D$2:$D$5001,D4870,$H$2:$H$5001)+ROW()/10000000,0))</f>
        <v>0</v>
      </c>
      <c r="Q4870" s="47" t="n">
        <f aca="false">IF(OR($A4870="",C4870=""),0,IF(COUNTIF($C$2:C4870,C4870)=1,SUMIF($C$2:$C$5001,C4870,$H$2:$H$5001)+ROW()/10000000,0))</f>
        <v>0</v>
      </c>
    </row>
    <row r="4871" customFormat="false" ht="15" hidden="false" customHeight="false" outlineLevel="0" collapsed="false">
      <c r="A4871" s="43"/>
      <c r="B4871" s="44"/>
      <c r="C4871" s="44"/>
      <c r="D4871" s="44"/>
      <c r="E4871" s="44"/>
      <c r="F4871" s="44"/>
      <c r="G4871" s="44"/>
      <c r="H4871" s="46" t="str">
        <f aca="false">IF($A4871="","",IF(OR(NOT(ISNUMBER(E4871)),NOT(ISNUMBER(F4871))),"",MAX(0,E4871)*F4871))</f>
        <v/>
      </c>
      <c r="I4871" s="46" t="str">
        <f aca="false">IF($A4871="","",SUMIF($A$2:$A$5001,$A4871,$H$2:$H$5001))</f>
        <v/>
      </c>
      <c r="J4871" s="47" t="n">
        <f aca="false">IF($A4871="",0,IF(COUNTIF($A$2:A4871,$A4871)=1,1,0))</f>
        <v>0</v>
      </c>
      <c r="K4871" s="47" t="n">
        <f aca="false">IF(J4871=1,N(I4871)+ROW()/10000000,0)</f>
        <v>0</v>
      </c>
      <c r="L4871" s="47" t="str">
        <f aca="false">IF(AND(J4871=1,N(I4871)&gt;0),SUMIF($K$2:$K$5001,"&gt;="&amp;K4871,$I$2:$I$5001)/MAX(1,SUM($H$2:$H$5001)),"")</f>
        <v/>
      </c>
      <c r="M4871" s="47" t="str">
        <f aca="false">IF($A4871="","",INDEX($L$2:$L$5001,MATCH($A4871,$A$2:$A$5001,0)))</f>
        <v/>
      </c>
      <c r="N4871" s="48" t="str">
        <f aca="false">IF($A4871="","",IF(N(M4871)=0,"–",IF(M4871&lt;=Start!$D$20,"A",IF(M4871&lt;=Start!$D$21,"B","C"))))</f>
        <v/>
      </c>
      <c r="O4871" s="48" t="str">
        <f aca="false">IF($A4871="","",IF(NOT(ISNUMBER(F4871)),"Wert fehlt; ",IF(F4871&lt;=0,"Wert ist 0; ",""))&amp;IF(NOT(ISNUMBER(E4871)),"Bestand fehlt; ",IF(E4871&lt;0,"Bestand negativ; ",IF(E4871=0,"Nullbestand; ","")))&amp;IF(D4871="","Warengruppe fehlt; ","")&amp;IF(B4871="","Bezeichnung fehlt; ","")&amp;IF(COUNTIFS($A$2:$A$5001,$A4871,$C$2:$C$5001,C4871)&gt;1,"Artikel doppelt im selben Lager; ",""))</f>
        <v/>
      </c>
      <c r="P4871" s="47" t="n">
        <f aca="false">IF(OR($A4871="",D4871=""),0,IF(COUNTIF($D$2:D4871,D4871)=1,SUMIF($D$2:$D$5001,D4871,$H$2:$H$5001)+ROW()/10000000,0))</f>
        <v>0</v>
      </c>
      <c r="Q4871" s="47" t="n">
        <f aca="false">IF(OR($A4871="",C4871=""),0,IF(COUNTIF($C$2:C4871,C4871)=1,SUMIF($C$2:$C$5001,C4871,$H$2:$H$5001)+ROW()/10000000,0))</f>
        <v>0</v>
      </c>
    </row>
    <row r="4872" customFormat="false" ht="15" hidden="false" customHeight="false" outlineLevel="0" collapsed="false">
      <c r="A4872" s="43"/>
      <c r="B4872" s="44"/>
      <c r="C4872" s="44"/>
      <c r="D4872" s="44"/>
      <c r="E4872" s="44"/>
      <c r="F4872" s="44"/>
      <c r="G4872" s="44"/>
      <c r="H4872" s="46" t="str">
        <f aca="false">IF($A4872="","",IF(OR(NOT(ISNUMBER(E4872)),NOT(ISNUMBER(F4872))),"",MAX(0,E4872)*F4872))</f>
        <v/>
      </c>
      <c r="I4872" s="46" t="str">
        <f aca="false">IF($A4872="","",SUMIF($A$2:$A$5001,$A4872,$H$2:$H$5001))</f>
        <v/>
      </c>
      <c r="J4872" s="47" t="n">
        <f aca="false">IF($A4872="",0,IF(COUNTIF($A$2:A4872,$A4872)=1,1,0))</f>
        <v>0</v>
      </c>
      <c r="K4872" s="47" t="n">
        <f aca="false">IF(J4872=1,N(I4872)+ROW()/10000000,0)</f>
        <v>0</v>
      </c>
      <c r="L4872" s="47" t="str">
        <f aca="false">IF(AND(J4872=1,N(I4872)&gt;0),SUMIF($K$2:$K$5001,"&gt;="&amp;K4872,$I$2:$I$5001)/MAX(1,SUM($H$2:$H$5001)),"")</f>
        <v/>
      </c>
      <c r="M4872" s="47" t="str">
        <f aca="false">IF($A4872="","",INDEX($L$2:$L$5001,MATCH($A4872,$A$2:$A$5001,0)))</f>
        <v/>
      </c>
      <c r="N4872" s="48" t="str">
        <f aca="false">IF($A4872="","",IF(N(M4872)=0,"–",IF(M4872&lt;=Start!$D$20,"A",IF(M4872&lt;=Start!$D$21,"B","C"))))</f>
        <v/>
      </c>
      <c r="O4872" s="48" t="str">
        <f aca="false">IF($A4872="","",IF(NOT(ISNUMBER(F4872)),"Wert fehlt; ",IF(F4872&lt;=0,"Wert ist 0; ",""))&amp;IF(NOT(ISNUMBER(E4872)),"Bestand fehlt; ",IF(E4872&lt;0,"Bestand negativ; ",IF(E4872=0,"Nullbestand; ","")))&amp;IF(D4872="","Warengruppe fehlt; ","")&amp;IF(B4872="","Bezeichnung fehlt; ","")&amp;IF(COUNTIFS($A$2:$A$5001,$A4872,$C$2:$C$5001,C4872)&gt;1,"Artikel doppelt im selben Lager; ",""))</f>
        <v/>
      </c>
      <c r="P4872" s="47" t="n">
        <f aca="false">IF(OR($A4872="",D4872=""),0,IF(COUNTIF($D$2:D4872,D4872)=1,SUMIF($D$2:$D$5001,D4872,$H$2:$H$5001)+ROW()/10000000,0))</f>
        <v>0</v>
      </c>
      <c r="Q4872" s="47" t="n">
        <f aca="false">IF(OR($A4872="",C4872=""),0,IF(COUNTIF($C$2:C4872,C4872)=1,SUMIF($C$2:$C$5001,C4872,$H$2:$H$5001)+ROW()/10000000,0))</f>
        <v>0</v>
      </c>
    </row>
    <row r="4873" customFormat="false" ht="15" hidden="false" customHeight="false" outlineLevel="0" collapsed="false">
      <c r="A4873" s="43"/>
      <c r="B4873" s="44"/>
      <c r="C4873" s="44"/>
      <c r="D4873" s="44"/>
      <c r="E4873" s="44"/>
      <c r="F4873" s="44"/>
      <c r="G4873" s="44"/>
      <c r="H4873" s="46" t="str">
        <f aca="false">IF($A4873="","",IF(OR(NOT(ISNUMBER(E4873)),NOT(ISNUMBER(F4873))),"",MAX(0,E4873)*F4873))</f>
        <v/>
      </c>
      <c r="I4873" s="46" t="str">
        <f aca="false">IF($A4873="","",SUMIF($A$2:$A$5001,$A4873,$H$2:$H$5001))</f>
        <v/>
      </c>
      <c r="J4873" s="47" t="n">
        <f aca="false">IF($A4873="",0,IF(COUNTIF($A$2:A4873,$A4873)=1,1,0))</f>
        <v>0</v>
      </c>
      <c r="K4873" s="47" t="n">
        <f aca="false">IF(J4873=1,N(I4873)+ROW()/10000000,0)</f>
        <v>0</v>
      </c>
      <c r="L4873" s="47" t="str">
        <f aca="false">IF(AND(J4873=1,N(I4873)&gt;0),SUMIF($K$2:$K$5001,"&gt;="&amp;K4873,$I$2:$I$5001)/MAX(1,SUM($H$2:$H$5001)),"")</f>
        <v/>
      </c>
      <c r="M4873" s="47" t="str">
        <f aca="false">IF($A4873="","",INDEX($L$2:$L$5001,MATCH($A4873,$A$2:$A$5001,0)))</f>
        <v/>
      </c>
      <c r="N4873" s="48" t="str">
        <f aca="false">IF($A4873="","",IF(N(M4873)=0,"–",IF(M4873&lt;=Start!$D$20,"A",IF(M4873&lt;=Start!$D$21,"B","C"))))</f>
        <v/>
      </c>
      <c r="O4873" s="48" t="str">
        <f aca="false">IF($A4873="","",IF(NOT(ISNUMBER(F4873)),"Wert fehlt; ",IF(F4873&lt;=0,"Wert ist 0; ",""))&amp;IF(NOT(ISNUMBER(E4873)),"Bestand fehlt; ",IF(E4873&lt;0,"Bestand negativ; ",IF(E4873=0,"Nullbestand; ","")))&amp;IF(D4873="","Warengruppe fehlt; ","")&amp;IF(B4873="","Bezeichnung fehlt; ","")&amp;IF(COUNTIFS($A$2:$A$5001,$A4873,$C$2:$C$5001,C4873)&gt;1,"Artikel doppelt im selben Lager; ",""))</f>
        <v/>
      </c>
      <c r="P4873" s="47" t="n">
        <f aca="false">IF(OR($A4873="",D4873=""),0,IF(COUNTIF($D$2:D4873,D4873)=1,SUMIF($D$2:$D$5001,D4873,$H$2:$H$5001)+ROW()/10000000,0))</f>
        <v>0</v>
      </c>
      <c r="Q4873" s="47" t="n">
        <f aca="false">IF(OR($A4873="",C4873=""),0,IF(COUNTIF($C$2:C4873,C4873)=1,SUMIF($C$2:$C$5001,C4873,$H$2:$H$5001)+ROW()/10000000,0))</f>
        <v>0</v>
      </c>
    </row>
    <row r="4874" customFormat="false" ht="15" hidden="false" customHeight="false" outlineLevel="0" collapsed="false">
      <c r="A4874" s="43"/>
      <c r="B4874" s="44"/>
      <c r="C4874" s="44"/>
      <c r="D4874" s="44"/>
      <c r="E4874" s="44"/>
      <c r="F4874" s="44"/>
      <c r="G4874" s="44"/>
      <c r="H4874" s="46" t="str">
        <f aca="false">IF($A4874="","",IF(OR(NOT(ISNUMBER(E4874)),NOT(ISNUMBER(F4874))),"",MAX(0,E4874)*F4874))</f>
        <v/>
      </c>
      <c r="I4874" s="46" t="str">
        <f aca="false">IF($A4874="","",SUMIF($A$2:$A$5001,$A4874,$H$2:$H$5001))</f>
        <v/>
      </c>
      <c r="J4874" s="47" t="n">
        <f aca="false">IF($A4874="",0,IF(COUNTIF($A$2:A4874,$A4874)=1,1,0))</f>
        <v>0</v>
      </c>
      <c r="K4874" s="47" t="n">
        <f aca="false">IF(J4874=1,N(I4874)+ROW()/10000000,0)</f>
        <v>0</v>
      </c>
      <c r="L4874" s="47" t="str">
        <f aca="false">IF(AND(J4874=1,N(I4874)&gt;0),SUMIF($K$2:$K$5001,"&gt;="&amp;K4874,$I$2:$I$5001)/MAX(1,SUM($H$2:$H$5001)),"")</f>
        <v/>
      </c>
      <c r="M4874" s="47" t="str">
        <f aca="false">IF($A4874="","",INDEX($L$2:$L$5001,MATCH($A4874,$A$2:$A$5001,0)))</f>
        <v/>
      </c>
      <c r="N4874" s="48" t="str">
        <f aca="false">IF($A4874="","",IF(N(M4874)=0,"–",IF(M4874&lt;=Start!$D$20,"A",IF(M4874&lt;=Start!$D$21,"B","C"))))</f>
        <v/>
      </c>
      <c r="O4874" s="48" t="str">
        <f aca="false">IF($A4874="","",IF(NOT(ISNUMBER(F4874)),"Wert fehlt; ",IF(F4874&lt;=0,"Wert ist 0; ",""))&amp;IF(NOT(ISNUMBER(E4874)),"Bestand fehlt; ",IF(E4874&lt;0,"Bestand negativ; ",IF(E4874=0,"Nullbestand; ","")))&amp;IF(D4874="","Warengruppe fehlt; ","")&amp;IF(B4874="","Bezeichnung fehlt; ","")&amp;IF(COUNTIFS($A$2:$A$5001,$A4874,$C$2:$C$5001,C4874)&gt;1,"Artikel doppelt im selben Lager; ",""))</f>
        <v/>
      </c>
      <c r="P4874" s="47" t="n">
        <f aca="false">IF(OR($A4874="",D4874=""),0,IF(COUNTIF($D$2:D4874,D4874)=1,SUMIF($D$2:$D$5001,D4874,$H$2:$H$5001)+ROW()/10000000,0))</f>
        <v>0</v>
      </c>
      <c r="Q4874" s="47" t="n">
        <f aca="false">IF(OR($A4874="",C4874=""),0,IF(COUNTIF($C$2:C4874,C4874)=1,SUMIF($C$2:$C$5001,C4874,$H$2:$H$5001)+ROW()/10000000,0))</f>
        <v>0</v>
      </c>
    </row>
    <row r="4875" customFormat="false" ht="15" hidden="false" customHeight="false" outlineLevel="0" collapsed="false">
      <c r="A4875" s="43"/>
      <c r="B4875" s="44"/>
      <c r="C4875" s="44"/>
      <c r="D4875" s="44"/>
      <c r="E4875" s="44"/>
      <c r="F4875" s="44"/>
      <c r="G4875" s="44"/>
      <c r="H4875" s="46" t="str">
        <f aca="false">IF($A4875="","",IF(OR(NOT(ISNUMBER(E4875)),NOT(ISNUMBER(F4875))),"",MAX(0,E4875)*F4875))</f>
        <v/>
      </c>
      <c r="I4875" s="46" t="str">
        <f aca="false">IF($A4875="","",SUMIF($A$2:$A$5001,$A4875,$H$2:$H$5001))</f>
        <v/>
      </c>
      <c r="J4875" s="47" t="n">
        <f aca="false">IF($A4875="",0,IF(COUNTIF($A$2:A4875,$A4875)=1,1,0))</f>
        <v>0</v>
      </c>
      <c r="K4875" s="47" t="n">
        <f aca="false">IF(J4875=1,N(I4875)+ROW()/10000000,0)</f>
        <v>0</v>
      </c>
      <c r="L4875" s="47" t="str">
        <f aca="false">IF(AND(J4875=1,N(I4875)&gt;0),SUMIF($K$2:$K$5001,"&gt;="&amp;K4875,$I$2:$I$5001)/MAX(1,SUM($H$2:$H$5001)),"")</f>
        <v/>
      </c>
      <c r="M4875" s="47" t="str">
        <f aca="false">IF($A4875="","",INDEX($L$2:$L$5001,MATCH($A4875,$A$2:$A$5001,0)))</f>
        <v/>
      </c>
      <c r="N4875" s="48" t="str">
        <f aca="false">IF($A4875="","",IF(N(M4875)=0,"–",IF(M4875&lt;=Start!$D$20,"A",IF(M4875&lt;=Start!$D$21,"B","C"))))</f>
        <v/>
      </c>
      <c r="O4875" s="48" t="str">
        <f aca="false">IF($A4875="","",IF(NOT(ISNUMBER(F4875)),"Wert fehlt; ",IF(F4875&lt;=0,"Wert ist 0; ",""))&amp;IF(NOT(ISNUMBER(E4875)),"Bestand fehlt; ",IF(E4875&lt;0,"Bestand negativ; ",IF(E4875=0,"Nullbestand; ","")))&amp;IF(D4875="","Warengruppe fehlt; ","")&amp;IF(B4875="","Bezeichnung fehlt; ","")&amp;IF(COUNTIFS($A$2:$A$5001,$A4875,$C$2:$C$5001,C4875)&gt;1,"Artikel doppelt im selben Lager; ",""))</f>
        <v/>
      </c>
      <c r="P4875" s="47" t="n">
        <f aca="false">IF(OR($A4875="",D4875=""),0,IF(COUNTIF($D$2:D4875,D4875)=1,SUMIF($D$2:$D$5001,D4875,$H$2:$H$5001)+ROW()/10000000,0))</f>
        <v>0</v>
      </c>
      <c r="Q4875" s="47" t="n">
        <f aca="false">IF(OR($A4875="",C4875=""),0,IF(COUNTIF($C$2:C4875,C4875)=1,SUMIF($C$2:$C$5001,C4875,$H$2:$H$5001)+ROW()/10000000,0))</f>
        <v>0</v>
      </c>
    </row>
    <row r="4876" customFormat="false" ht="15" hidden="false" customHeight="false" outlineLevel="0" collapsed="false">
      <c r="A4876" s="43"/>
      <c r="B4876" s="44"/>
      <c r="C4876" s="44"/>
      <c r="D4876" s="44"/>
      <c r="E4876" s="44"/>
      <c r="F4876" s="44"/>
      <c r="G4876" s="44"/>
      <c r="H4876" s="46" t="str">
        <f aca="false">IF($A4876="","",IF(OR(NOT(ISNUMBER(E4876)),NOT(ISNUMBER(F4876))),"",MAX(0,E4876)*F4876))</f>
        <v/>
      </c>
      <c r="I4876" s="46" t="str">
        <f aca="false">IF($A4876="","",SUMIF($A$2:$A$5001,$A4876,$H$2:$H$5001))</f>
        <v/>
      </c>
      <c r="J4876" s="47" t="n">
        <f aca="false">IF($A4876="",0,IF(COUNTIF($A$2:A4876,$A4876)=1,1,0))</f>
        <v>0</v>
      </c>
      <c r="K4876" s="47" t="n">
        <f aca="false">IF(J4876=1,N(I4876)+ROW()/10000000,0)</f>
        <v>0</v>
      </c>
      <c r="L4876" s="47" t="str">
        <f aca="false">IF(AND(J4876=1,N(I4876)&gt;0),SUMIF($K$2:$K$5001,"&gt;="&amp;K4876,$I$2:$I$5001)/MAX(1,SUM($H$2:$H$5001)),"")</f>
        <v/>
      </c>
      <c r="M4876" s="47" t="str">
        <f aca="false">IF($A4876="","",INDEX($L$2:$L$5001,MATCH($A4876,$A$2:$A$5001,0)))</f>
        <v/>
      </c>
      <c r="N4876" s="48" t="str">
        <f aca="false">IF($A4876="","",IF(N(M4876)=0,"–",IF(M4876&lt;=Start!$D$20,"A",IF(M4876&lt;=Start!$D$21,"B","C"))))</f>
        <v/>
      </c>
      <c r="O4876" s="48" t="str">
        <f aca="false">IF($A4876="","",IF(NOT(ISNUMBER(F4876)),"Wert fehlt; ",IF(F4876&lt;=0,"Wert ist 0; ",""))&amp;IF(NOT(ISNUMBER(E4876)),"Bestand fehlt; ",IF(E4876&lt;0,"Bestand negativ; ",IF(E4876=0,"Nullbestand; ","")))&amp;IF(D4876="","Warengruppe fehlt; ","")&amp;IF(B4876="","Bezeichnung fehlt; ","")&amp;IF(COUNTIFS($A$2:$A$5001,$A4876,$C$2:$C$5001,C4876)&gt;1,"Artikel doppelt im selben Lager; ",""))</f>
        <v/>
      </c>
      <c r="P4876" s="47" t="n">
        <f aca="false">IF(OR($A4876="",D4876=""),0,IF(COUNTIF($D$2:D4876,D4876)=1,SUMIF($D$2:$D$5001,D4876,$H$2:$H$5001)+ROW()/10000000,0))</f>
        <v>0</v>
      </c>
      <c r="Q4876" s="47" t="n">
        <f aca="false">IF(OR($A4876="",C4876=""),0,IF(COUNTIF($C$2:C4876,C4876)=1,SUMIF($C$2:$C$5001,C4876,$H$2:$H$5001)+ROW()/10000000,0))</f>
        <v>0</v>
      </c>
    </row>
    <row r="4877" customFormat="false" ht="15" hidden="false" customHeight="false" outlineLevel="0" collapsed="false">
      <c r="A4877" s="43"/>
      <c r="B4877" s="44"/>
      <c r="C4877" s="44"/>
      <c r="D4877" s="44"/>
      <c r="E4877" s="44"/>
      <c r="F4877" s="44"/>
      <c r="G4877" s="44"/>
      <c r="H4877" s="46" t="str">
        <f aca="false">IF($A4877="","",IF(OR(NOT(ISNUMBER(E4877)),NOT(ISNUMBER(F4877))),"",MAX(0,E4877)*F4877))</f>
        <v/>
      </c>
      <c r="I4877" s="46" t="str">
        <f aca="false">IF($A4877="","",SUMIF($A$2:$A$5001,$A4877,$H$2:$H$5001))</f>
        <v/>
      </c>
      <c r="J4877" s="47" t="n">
        <f aca="false">IF($A4877="",0,IF(COUNTIF($A$2:A4877,$A4877)=1,1,0))</f>
        <v>0</v>
      </c>
      <c r="K4877" s="47" t="n">
        <f aca="false">IF(J4877=1,N(I4877)+ROW()/10000000,0)</f>
        <v>0</v>
      </c>
      <c r="L4877" s="47" t="str">
        <f aca="false">IF(AND(J4877=1,N(I4877)&gt;0),SUMIF($K$2:$K$5001,"&gt;="&amp;K4877,$I$2:$I$5001)/MAX(1,SUM($H$2:$H$5001)),"")</f>
        <v/>
      </c>
      <c r="M4877" s="47" t="str">
        <f aca="false">IF($A4877="","",INDEX($L$2:$L$5001,MATCH($A4877,$A$2:$A$5001,0)))</f>
        <v/>
      </c>
      <c r="N4877" s="48" t="str">
        <f aca="false">IF($A4877="","",IF(N(M4877)=0,"–",IF(M4877&lt;=Start!$D$20,"A",IF(M4877&lt;=Start!$D$21,"B","C"))))</f>
        <v/>
      </c>
      <c r="O4877" s="48" t="str">
        <f aca="false">IF($A4877="","",IF(NOT(ISNUMBER(F4877)),"Wert fehlt; ",IF(F4877&lt;=0,"Wert ist 0; ",""))&amp;IF(NOT(ISNUMBER(E4877)),"Bestand fehlt; ",IF(E4877&lt;0,"Bestand negativ; ",IF(E4877=0,"Nullbestand; ","")))&amp;IF(D4877="","Warengruppe fehlt; ","")&amp;IF(B4877="","Bezeichnung fehlt; ","")&amp;IF(COUNTIFS($A$2:$A$5001,$A4877,$C$2:$C$5001,C4877)&gt;1,"Artikel doppelt im selben Lager; ",""))</f>
        <v/>
      </c>
      <c r="P4877" s="47" t="n">
        <f aca="false">IF(OR($A4877="",D4877=""),0,IF(COUNTIF($D$2:D4877,D4877)=1,SUMIF($D$2:$D$5001,D4877,$H$2:$H$5001)+ROW()/10000000,0))</f>
        <v>0</v>
      </c>
      <c r="Q4877" s="47" t="n">
        <f aca="false">IF(OR($A4877="",C4877=""),0,IF(COUNTIF($C$2:C4877,C4877)=1,SUMIF($C$2:$C$5001,C4877,$H$2:$H$5001)+ROW()/10000000,0))</f>
        <v>0</v>
      </c>
    </row>
    <row r="4878" customFormat="false" ht="15" hidden="false" customHeight="false" outlineLevel="0" collapsed="false">
      <c r="A4878" s="43"/>
      <c r="B4878" s="44"/>
      <c r="C4878" s="44"/>
      <c r="D4878" s="44"/>
      <c r="E4878" s="44"/>
      <c r="F4878" s="44"/>
      <c r="G4878" s="44"/>
      <c r="H4878" s="46" t="str">
        <f aca="false">IF($A4878="","",IF(OR(NOT(ISNUMBER(E4878)),NOT(ISNUMBER(F4878))),"",MAX(0,E4878)*F4878))</f>
        <v/>
      </c>
      <c r="I4878" s="46" t="str">
        <f aca="false">IF($A4878="","",SUMIF($A$2:$A$5001,$A4878,$H$2:$H$5001))</f>
        <v/>
      </c>
      <c r="J4878" s="47" t="n">
        <f aca="false">IF($A4878="",0,IF(COUNTIF($A$2:A4878,$A4878)=1,1,0))</f>
        <v>0</v>
      </c>
      <c r="K4878" s="47" t="n">
        <f aca="false">IF(J4878=1,N(I4878)+ROW()/10000000,0)</f>
        <v>0</v>
      </c>
      <c r="L4878" s="47" t="str">
        <f aca="false">IF(AND(J4878=1,N(I4878)&gt;0),SUMIF($K$2:$K$5001,"&gt;="&amp;K4878,$I$2:$I$5001)/MAX(1,SUM($H$2:$H$5001)),"")</f>
        <v/>
      </c>
      <c r="M4878" s="47" t="str">
        <f aca="false">IF($A4878="","",INDEX($L$2:$L$5001,MATCH($A4878,$A$2:$A$5001,0)))</f>
        <v/>
      </c>
      <c r="N4878" s="48" t="str">
        <f aca="false">IF($A4878="","",IF(N(M4878)=0,"–",IF(M4878&lt;=Start!$D$20,"A",IF(M4878&lt;=Start!$D$21,"B","C"))))</f>
        <v/>
      </c>
      <c r="O4878" s="48" t="str">
        <f aca="false">IF($A4878="","",IF(NOT(ISNUMBER(F4878)),"Wert fehlt; ",IF(F4878&lt;=0,"Wert ist 0; ",""))&amp;IF(NOT(ISNUMBER(E4878)),"Bestand fehlt; ",IF(E4878&lt;0,"Bestand negativ; ",IF(E4878=0,"Nullbestand; ","")))&amp;IF(D4878="","Warengruppe fehlt; ","")&amp;IF(B4878="","Bezeichnung fehlt; ","")&amp;IF(COUNTIFS($A$2:$A$5001,$A4878,$C$2:$C$5001,C4878)&gt;1,"Artikel doppelt im selben Lager; ",""))</f>
        <v/>
      </c>
      <c r="P4878" s="47" t="n">
        <f aca="false">IF(OR($A4878="",D4878=""),0,IF(COUNTIF($D$2:D4878,D4878)=1,SUMIF($D$2:$D$5001,D4878,$H$2:$H$5001)+ROW()/10000000,0))</f>
        <v>0</v>
      </c>
      <c r="Q4878" s="47" t="n">
        <f aca="false">IF(OR($A4878="",C4878=""),0,IF(COUNTIF($C$2:C4878,C4878)=1,SUMIF($C$2:$C$5001,C4878,$H$2:$H$5001)+ROW()/10000000,0))</f>
        <v>0</v>
      </c>
    </row>
    <row r="4879" customFormat="false" ht="15" hidden="false" customHeight="false" outlineLevel="0" collapsed="false">
      <c r="A4879" s="43"/>
      <c r="B4879" s="44"/>
      <c r="C4879" s="44"/>
      <c r="D4879" s="44"/>
      <c r="E4879" s="44"/>
      <c r="F4879" s="44"/>
      <c r="G4879" s="44"/>
      <c r="H4879" s="46" t="str">
        <f aca="false">IF($A4879="","",IF(OR(NOT(ISNUMBER(E4879)),NOT(ISNUMBER(F4879))),"",MAX(0,E4879)*F4879))</f>
        <v/>
      </c>
      <c r="I4879" s="46" t="str">
        <f aca="false">IF($A4879="","",SUMIF($A$2:$A$5001,$A4879,$H$2:$H$5001))</f>
        <v/>
      </c>
      <c r="J4879" s="47" t="n">
        <f aca="false">IF($A4879="",0,IF(COUNTIF($A$2:A4879,$A4879)=1,1,0))</f>
        <v>0</v>
      </c>
      <c r="K4879" s="47" t="n">
        <f aca="false">IF(J4879=1,N(I4879)+ROW()/10000000,0)</f>
        <v>0</v>
      </c>
      <c r="L4879" s="47" t="str">
        <f aca="false">IF(AND(J4879=1,N(I4879)&gt;0),SUMIF($K$2:$K$5001,"&gt;="&amp;K4879,$I$2:$I$5001)/MAX(1,SUM($H$2:$H$5001)),"")</f>
        <v/>
      </c>
      <c r="M4879" s="47" t="str">
        <f aca="false">IF($A4879="","",INDEX($L$2:$L$5001,MATCH($A4879,$A$2:$A$5001,0)))</f>
        <v/>
      </c>
      <c r="N4879" s="48" t="str">
        <f aca="false">IF($A4879="","",IF(N(M4879)=0,"–",IF(M4879&lt;=Start!$D$20,"A",IF(M4879&lt;=Start!$D$21,"B","C"))))</f>
        <v/>
      </c>
      <c r="O4879" s="48" t="str">
        <f aca="false">IF($A4879="","",IF(NOT(ISNUMBER(F4879)),"Wert fehlt; ",IF(F4879&lt;=0,"Wert ist 0; ",""))&amp;IF(NOT(ISNUMBER(E4879)),"Bestand fehlt; ",IF(E4879&lt;0,"Bestand negativ; ",IF(E4879=0,"Nullbestand; ","")))&amp;IF(D4879="","Warengruppe fehlt; ","")&amp;IF(B4879="","Bezeichnung fehlt; ","")&amp;IF(COUNTIFS($A$2:$A$5001,$A4879,$C$2:$C$5001,C4879)&gt;1,"Artikel doppelt im selben Lager; ",""))</f>
        <v/>
      </c>
      <c r="P4879" s="47" t="n">
        <f aca="false">IF(OR($A4879="",D4879=""),0,IF(COUNTIF($D$2:D4879,D4879)=1,SUMIF($D$2:$D$5001,D4879,$H$2:$H$5001)+ROW()/10000000,0))</f>
        <v>0</v>
      </c>
      <c r="Q4879" s="47" t="n">
        <f aca="false">IF(OR($A4879="",C4879=""),0,IF(COUNTIF($C$2:C4879,C4879)=1,SUMIF($C$2:$C$5001,C4879,$H$2:$H$5001)+ROW()/10000000,0))</f>
        <v>0</v>
      </c>
    </row>
    <row r="4880" customFormat="false" ht="15" hidden="false" customHeight="false" outlineLevel="0" collapsed="false">
      <c r="A4880" s="43"/>
      <c r="B4880" s="44"/>
      <c r="C4880" s="44"/>
      <c r="D4880" s="44"/>
      <c r="E4880" s="44"/>
      <c r="F4880" s="44"/>
      <c r="G4880" s="44"/>
      <c r="H4880" s="46" t="str">
        <f aca="false">IF($A4880="","",IF(OR(NOT(ISNUMBER(E4880)),NOT(ISNUMBER(F4880))),"",MAX(0,E4880)*F4880))</f>
        <v/>
      </c>
      <c r="I4880" s="46" t="str">
        <f aca="false">IF($A4880="","",SUMIF($A$2:$A$5001,$A4880,$H$2:$H$5001))</f>
        <v/>
      </c>
      <c r="J4880" s="47" t="n">
        <f aca="false">IF($A4880="",0,IF(COUNTIF($A$2:A4880,$A4880)=1,1,0))</f>
        <v>0</v>
      </c>
      <c r="K4880" s="47" t="n">
        <f aca="false">IF(J4880=1,N(I4880)+ROW()/10000000,0)</f>
        <v>0</v>
      </c>
      <c r="L4880" s="47" t="str">
        <f aca="false">IF(AND(J4880=1,N(I4880)&gt;0),SUMIF($K$2:$K$5001,"&gt;="&amp;K4880,$I$2:$I$5001)/MAX(1,SUM($H$2:$H$5001)),"")</f>
        <v/>
      </c>
      <c r="M4880" s="47" t="str">
        <f aca="false">IF($A4880="","",INDEX($L$2:$L$5001,MATCH($A4880,$A$2:$A$5001,0)))</f>
        <v/>
      </c>
      <c r="N4880" s="48" t="str">
        <f aca="false">IF($A4880="","",IF(N(M4880)=0,"–",IF(M4880&lt;=Start!$D$20,"A",IF(M4880&lt;=Start!$D$21,"B","C"))))</f>
        <v/>
      </c>
      <c r="O4880" s="48" t="str">
        <f aca="false">IF($A4880="","",IF(NOT(ISNUMBER(F4880)),"Wert fehlt; ",IF(F4880&lt;=0,"Wert ist 0; ",""))&amp;IF(NOT(ISNUMBER(E4880)),"Bestand fehlt; ",IF(E4880&lt;0,"Bestand negativ; ",IF(E4880=0,"Nullbestand; ","")))&amp;IF(D4880="","Warengruppe fehlt; ","")&amp;IF(B4880="","Bezeichnung fehlt; ","")&amp;IF(COUNTIFS($A$2:$A$5001,$A4880,$C$2:$C$5001,C4880)&gt;1,"Artikel doppelt im selben Lager; ",""))</f>
        <v/>
      </c>
      <c r="P4880" s="47" t="n">
        <f aca="false">IF(OR($A4880="",D4880=""),0,IF(COUNTIF($D$2:D4880,D4880)=1,SUMIF($D$2:$D$5001,D4880,$H$2:$H$5001)+ROW()/10000000,0))</f>
        <v>0</v>
      </c>
      <c r="Q4880" s="47" t="n">
        <f aca="false">IF(OR($A4880="",C4880=""),0,IF(COUNTIF($C$2:C4880,C4880)=1,SUMIF($C$2:$C$5001,C4880,$H$2:$H$5001)+ROW()/10000000,0))</f>
        <v>0</v>
      </c>
    </row>
    <row r="4881" customFormat="false" ht="15" hidden="false" customHeight="false" outlineLevel="0" collapsed="false">
      <c r="A4881" s="43"/>
      <c r="B4881" s="44"/>
      <c r="C4881" s="44"/>
      <c r="D4881" s="44"/>
      <c r="E4881" s="44"/>
      <c r="F4881" s="44"/>
      <c r="G4881" s="44"/>
      <c r="H4881" s="46" t="str">
        <f aca="false">IF($A4881="","",IF(OR(NOT(ISNUMBER(E4881)),NOT(ISNUMBER(F4881))),"",MAX(0,E4881)*F4881))</f>
        <v/>
      </c>
      <c r="I4881" s="46" t="str">
        <f aca="false">IF($A4881="","",SUMIF($A$2:$A$5001,$A4881,$H$2:$H$5001))</f>
        <v/>
      </c>
      <c r="J4881" s="47" t="n">
        <f aca="false">IF($A4881="",0,IF(COUNTIF($A$2:A4881,$A4881)=1,1,0))</f>
        <v>0</v>
      </c>
      <c r="K4881" s="47" t="n">
        <f aca="false">IF(J4881=1,N(I4881)+ROW()/10000000,0)</f>
        <v>0</v>
      </c>
      <c r="L4881" s="47" t="str">
        <f aca="false">IF(AND(J4881=1,N(I4881)&gt;0),SUMIF($K$2:$K$5001,"&gt;="&amp;K4881,$I$2:$I$5001)/MAX(1,SUM($H$2:$H$5001)),"")</f>
        <v/>
      </c>
      <c r="M4881" s="47" t="str">
        <f aca="false">IF($A4881="","",INDEX($L$2:$L$5001,MATCH($A4881,$A$2:$A$5001,0)))</f>
        <v/>
      </c>
      <c r="N4881" s="48" t="str">
        <f aca="false">IF($A4881="","",IF(N(M4881)=0,"–",IF(M4881&lt;=Start!$D$20,"A",IF(M4881&lt;=Start!$D$21,"B","C"))))</f>
        <v/>
      </c>
      <c r="O4881" s="48" t="str">
        <f aca="false">IF($A4881="","",IF(NOT(ISNUMBER(F4881)),"Wert fehlt; ",IF(F4881&lt;=0,"Wert ist 0; ",""))&amp;IF(NOT(ISNUMBER(E4881)),"Bestand fehlt; ",IF(E4881&lt;0,"Bestand negativ; ",IF(E4881=0,"Nullbestand; ","")))&amp;IF(D4881="","Warengruppe fehlt; ","")&amp;IF(B4881="","Bezeichnung fehlt; ","")&amp;IF(COUNTIFS($A$2:$A$5001,$A4881,$C$2:$C$5001,C4881)&gt;1,"Artikel doppelt im selben Lager; ",""))</f>
        <v/>
      </c>
      <c r="P4881" s="47" t="n">
        <f aca="false">IF(OR($A4881="",D4881=""),0,IF(COUNTIF($D$2:D4881,D4881)=1,SUMIF($D$2:$D$5001,D4881,$H$2:$H$5001)+ROW()/10000000,0))</f>
        <v>0</v>
      </c>
      <c r="Q4881" s="47" t="n">
        <f aca="false">IF(OR($A4881="",C4881=""),0,IF(COUNTIF($C$2:C4881,C4881)=1,SUMIF($C$2:$C$5001,C4881,$H$2:$H$5001)+ROW()/10000000,0))</f>
        <v>0</v>
      </c>
    </row>
    <row r="4882" customFormat="false" ht="15" hidden="false" customHeight="false" outlineLevel="0" collapsed="false">
      <c r="A4882" s="43"/>
      <c r="B4882" s="44"/>
      <c r="C4882" s="44"/>
      <c r="D4882" s="44"/>
      <c r="E4882" s="44"/>
      <c r="F4882" s="44"/>
      <c r="G4882" s="44"/>
      <c r="H4882" s="46" t="str">
        <f aca="false">IF($A4882="","",IF(OR(NOT(ISNUMBER(E4882)),NOT(ISNUMBER(F4882))),"",MAX(0,E4882)*F4882))</f>
        <v/>
      </c>
      <c r="I4882" s="46" t="str">
        <f aca="false">IF($A4882="","",SUMIF($A$2:$A$5001,$A4882,$H$2:$H$5001))</f>
        <v/>
      </c>
      <c r="J4882" s="47" t="n">
        <f aca="false">IF($A4882="",0,IF(COUNTIF($A$2:A4882,$A4882)=1,1,0))</f>
        <v>0</v>
      </c>
      <c r="K4882" s="47" t="n">
        <f aca="false">IF(J4882=1,N(I4882)+ROW()/10000000,0)</f>
        <v>0</v>
      </c>
      <c r="L4882" s="47" t="str">
        <f aca="false">IF(AND(J4882=1,N(I4882)&gt;0),SUMIF($K$2:$K$5001,"&gt;="&amp;K4882,$I$2:$I$5001)/MAX(1,SUM($H$2:$H$5001)),"")</f>
        <v/>
      </c>
      <c r="M4882" s="47" t="str">
        <f aca="false">IF($A4882="","",INDEX($L$2:$L$5001,MATCH($A4882,$A$2:$A$5001,0)))</f>
        <v/>
      </c>
      <c r="N4882" s="48" t="str">
        <f aca="false">IF($A4882="","",IF(N(M4882)=0,"–",IF(M4882&lt;=Start!$D$20,"A",IF(M4882&lt;=Start!$D$21,"B","C"))))</f>
        <v/>
      </c>
      <c r="O4882" s="48" t="str">
        <f aca="false">IF($A4882="","",IF(NOT(ISNUMBER(F4882)),"Wert fehlt; ",IF(F4882&lt;=0,"Wert ist 0; ",""))&amp;IF(NOT(ISNUMBER(E4882)),"Bestand fehlt; ",IF(E4882&lt;0,"Bestand negativ; ",IF(E4882=0,"Nullbestand; ","")))&amp;IF(D4882="","Warengruppe fehlt; ","")&amp;IF(B4882="","Bezeichnung fehlt; ","")&amp;IF(COUNTIFS($A$2:$A$5001,$A4882,$C$2:$C$5001,C4882)&gt;1,"Artikel doppelt im selben Lager; ",""))</f>
        <v/>
      </c>
      <c r="P4882" s="47" t="n">
        <f aca="false">IF(OR($A4882="",D4882=""),0,IF(COUNTIF($D$2:D4882,D4882)=1,SUMIF($D$2:$D$5001,D4882,$H$2:$H$5001)+ROW()/10000000,0))</f>
        <v>0</v>
      </c>
      <c r="Q4882" s="47" t="n">
        <f aca="false">IF(OR($A4882="",C4882=""),0,IF(COUNTIF($C$2:C4882,C4882)=1,SUMIF($C$2:$C$5001,C4882,$H$2:$H$5001)+ROW()/10000000,0))</f>
        <v>0</v>
      </c>
    </row>
    <row r="4883" customFormat="false" ht="15" hidden="false" customHeight="false" outlineLevel="0" collapsed="false">
      <c r="A4883" s="43"/>
      <c r="B4883" s="44"/>
      <c r="C4883" s="44"/>
      <c r="D4883" s="44"/>
      <c r="E4883" s="44"/>
      <c r="F4883" s="44"/>
      <c r="G4883" s="44"/>
      <c r="H4883" s="46" t="str">
        <f aca="false">IF($A4883="","",IF(OR(NOT(ISNUMBER(E4883)),NOT(ISNUMBER(F4883))),"",MAX(0,E4883)*F4883))</f>
        <v/>
      </c>
      <c r="I4883" s="46" t="str">
        <f aca="false">IF($A4883="","",SUMIF($A$2:$A$5001,$A4883,$H$2:$H$5001))</f>
        <v/>
      </c>
      <c r="J4883" s="47" t="n">
        <f aca="false">IF($A4883="",0,IF(COUNTIF($A$2:A4883,$A4883)=1,1,0))</f>
        <v>0</v>
      </c>
      <c r="K4883" s="47" t="n">
        <f aca="false">IF(J4883=1,N(I4883)+ROW()/10000000,0)</f>
        <v>0</v>
      </c>
      <c r="L4883" s="47" t="str">
        <f aca="false">IF(AND(J4883=1,N(I4883)&gt;0),SUMIF($K$2:$K$5001,"&gt;="&amp;K4883,$I$2:$I$5001)/MAX(1,SUM($H$2:$H$5001)),"")</f>
        <v/>
      </c>
      <c r="M4883" s="47" t="str">
        <f aca="false">IF($A4883="","",INDEX($L$2:$L$5001,MATCH($A4883,$A$2:$A$5001,0)))</f>
        <v/>
      </c>
      <c r="N4883" s="48" t="str">
        <f aca="false">IF($A4883="","",IF(N(M4883)=0,"–",IF(M4883&lt;=Start!$D$20,"A",IF(M4883&lt;=Start!$D$21,"B","C"))))</f>
        <v/>
      </c>
      <c r="O4883" s="48" t="str">
        <f aca="false">IF($A4883="","",IF(NOT(ISNUMBER(F4883)),"Wert fehlt; ",IF(F4883&lt;=0,"Wert ist 0; ",""))&amp;IF(NOT(ISNUMBER(E4883)),"Bestand fehlt; ",IF(E4883&lt;0,"Bestand negativ; ",IF(E4883=0,"Nullbestand; ","")))&amp;IF(D4883="","Warengruppe fehlt; ","")&amp;IF(B4883="","Bezeichnung fehlt; ","")&amp;IF(COUNTIFS($A$2:$A$5001,$A4883,$C$2:$C$5001,C4883)&gt;1,"Artikel doppelt im selben Lager; ",""))</f>
        <v/>
      </c>
      <c r="P4883" s="47" t="n">
        <f aca="false">IF(OR($A4883="",D4883=""),0,IF(COUNTIF($D$2:D4883,D4883)=1,SUMIF($D$2:$D$5001,D4883,$H$2:$H$5001)+ROW()/10000000,0))</f>
        <v>0</v>
      </c>
      <c r="Q4883" s="47" t="n">
        <f aca="false">IF(OR($A4883="",C4883=""),0,IF(COUNTIF($C$2:C4883,C4883)=1,SUMIF($C$2:$C$5001,C4883,$H$2:$H$5001)+ROW()/10000000,0))</f>
        <v>0</v>
      </c>
    </row>
    <row r="4884" customFormat="false" ht="15" hidden="false" customHeight="false" outlineLevel="0" collapsed="false">
      <c r="A4884" s="43"/>
      <c r="B4884" s="44"/>
      <c r="C4884" s="44"/>
      <c r="D4884" s="44"/>
      <c r="E4884" s="44"/>
      <c r="F4884" s="44"/>
      <c r="G4884" s="44"/>
      <c r="H4884" s="46" t="str">
        <f aca="false">IF($A4884="","",IF(OR(NOT(ISNUMBER(E4884)),NOT(ISNUMBER(F4884))),"",MAX(0,E4884)*F4884))</f>
        <v/>
      </c>
      <c r="I4884" s="46" t="str">
        <f aca="false">IF($A4884="","",SUMIF($A$2:$A$5001,$A4884,$H$2:$H$5001))</f>
        <v/>
      </c>
      <c r="J4884" s="47" t="n">
        <f aca="false">IF($A4884="",0,IF(COUNTIF($A$2:A4884,$A4884)=1,1,0))</f>
        <v>0</v>
      </c>
      <c r="K4884" s="47" t="n">
        <f aca="false">IF(J4884=1,N(I4884)+ROW()/10000000,0)</f>
        <v>0</v>
      </c>
      <c r="L4884" s="47" t="str">
        <f aca="false">IF(AND(J4884=1,N(I4884)&gt;0),SUMIF($K$2:$K$5001,"&gt;="&amp;K4884,$I$2:$I$5001)/MAX(1,SUM($H$2:$H$5001)),"")</f>
        <v/>
      </c>
      <c r="M4884" s="47" t="str">
        <f aca="false">IF($A4884="","",INDEX($L$2:$L$5001,MATCH($A4884,$A$2:$A$5001,0)))</f>
        <v/>
      </c>
      <c r="N4884" s="48" t="str">
        <f aca="false">IF($A4884="","",IF(N(M4884)=0,"–",IF(M4884&lt;=Start!$D$20,"A",IF(M4884&lt;=Start!$D$21,"B","C"))))</f>
        <v/>
      </c>
      <c r="O4884" s="48" t="str">
        <f aca="false">IF($A4884="","",IF(NOT(ISNUMBER(F4884)),"Wert fehlt; ",IF(F4884&lt;=0,"Wert ist 0; ",""))&amp;IF(NOT(ISNUMBER(E4884)),"Bestand fehlt; ",IF(E4884&lt;0,"Bestand negativ; ",IF(E4884=0,"Nullbestand; ","")))&amp;IF(D4884="","Warengruppe fehlt; ","")&amp;IF(B4884="","Bezeichnung fehlt; ","")&amp;IF(COUNTIFS($A$2:$A$5001,$A4884,$C$2:$C$5001,C4884)&gt;1,"Artikel doppelt im selben Lager; ",""))</f>
        <v/>
      </c>
      <c r="P4884" s="47" t="n">
        <f aca="false">IF(OR($A4884="",D4884=""),0,IF(COUNTIF($D$2:D4884,D4884)=1,SUMIF($D$2:$D$5001,D4884,$H$2:$H$5001)+ROW()/10000000,0))</f>
        <v>0</v>
      </c>
      <c r="Q4884" s="47" t="n">
        <f aca="false">IF(OR($A4884="",C4884=""),0,IF(COUNTIF($C$2:C4884,C4884)=1,SUMIF($C$2:$C$5001,C4884,$H$2:$H$5001)+ROW()/10000000,0))</f>
        <v>0</v>
      </c>
    </row>
    <row r="4885" customFormat="false" ht="15" hidden="false" customHeight="false" outlineLevel="0" collapsed="false">
      <c r="A4885" s="43"/>
      <c r="B4885" s="44"/>
      <c r="C4885" s="44"/>
      <c r="D4885" s="44"/>
      <c r="E4885" s="44"/>
      <c r="F4885" s="44"/>
      <c r="G4885" s="44"/>
      <c r="H4885" s="46" t="str">
        <f aca="false">IF($A4885="","",IF(OR(NOT(ISNUMBER(E4885)),NOT(ISNUMBER(F4885))),"",MAX(0,E4885)*F4885))</f>
        <v/>
      </c>
      <c r="I4885" s="46" t="str">
        <f aca="false">IF($A4885="","",SUMIF($A$2:$A$5001,$A4885,$H$2:$H$5001))</f>
        <v/>
      </c>
      <c r="J4885" s="47" t="n">
        <f aca="false">IF($A4885="",0,IF(COUNTIF($A$2:A4885,$A4885)=1,1,0))</f>
        <v>0</v>
      </c>
      <c r="K4885" s="47" t="n">
        <f aca="false">IF(J4885=1,N(I4885)+ROW()/10000000,0)</f>
        <v>0</v>
      </c>
      <c r="L4885" s="47" t="str">
        <f aca="false">IF(AND(J4885=1,N(I4885)&gt;0),SUMIF($K$2:$K$5001,"&gt;="&amp;K4885,$I$2:$I$5001)/MAX(1,SUM($H$2:$H$5001)),"")</f>
        <v/>
      </c>
      <c r="M4885" s="47" t="str">
        <f aca="false">IF($A4885="","",INDEX($L$2:$L$5001,MATCH($A4885,$A$2:$A$5001,0)))</f>
        <v/>
      </c>
      <c r="N4885" s="48" t="str">
        <f aca="false">IF($A4885="","",IF(N(M4885)=0,"–",IF(M4885&lt;=Start!$D$20,"A",IF(M4885&lt;=Start!$D$21,"B","C"))))</f>
        <v/>
      </c>
      <c r="O4885" s="48" t="str">
        <f aca="false">IF($A4885="","",IF(NOT(ISNUMBER(F4885)),"Wert fehlt; ",IF(F4885&lt;=0,"Wert ist 0; ",""))&amp;IF(NOT(ISNUMBER(E4885)),"Bestand fehlt; ",IF(E4885&lt;0,"Bestand negativ; ",IF(E4885=0,"Nullbestand; ","")))&amp;IF(D4885="","Warengruppe fehlt; ","")&amp;IF(B4885="","Bezeichnung fehlt; ","")&amp;IF(COUNTIFS($A$2:$A$5001,$A4885,$C$2:$C$5001,C4885)&gt;1,"Artikel doppelt im selben Lager; ",""))</f>
        <v/>
      </c>
      <c r="P4885" s="47" t="n">
        <f aca="false">IF(OR($A4885="",D4885=""),0,IF(COUNTIF($D$2:D4885,D4885)=1,SUMIF($D$2:$D$5001,D4885,$H$2:$H$5001)+ROW()/10000000,0))</f>
        <v>0</v>
      </c>
      <c r="Q4885" s="47" t="n">
        <f aca="false">IF(OR($A4885="",C4885=""),0,IF(COUNTIF($C$2:C4885,C4885)=1,SUMIF($C$2:$C$5001,C4885,$H$2:$H$5001)+ROW()/10000000,0))</f>
        <v>0</v>
      </c>
    </row>
    <row r="4886" customFormat="false" ht="15" hidden="false" customHeight="false" outlineLevel="0" collapsed="false">
      <c r="A4886" s="43"/>
      <c r="B4886" s="44"/>
      <c r="C4886" s="44"/>
      <c r="D4886" s="44"/>
      <c r="E4886" s="44"/>
      <c r="F4886" s="44"/>
      <c r="G4886" s="44"/>
      <c r="H4886" s="46" t="str">
        <f aca="false">IF($A4886="","",IF(OR(NOT(ISNUMBER(E4886)),NOT(ISNUMBER(F4886))),"",MAX(0,E4886)*F4886))</f>
        <v/>
      </c>
      <c r="I4886" s="46" t="str">
        <f aca="false">IF($A4886="","",SUMIF($A$2:$A$5001,$A4886,$H$2:$H$5001))</f>
        <v/>
      </c>
      <c r="J4886" s="47" t="n">
        <f aca="false">IF($A4886="",0,IF(COUNTIF($A$2:A4886,$A4886)=1,1,0))</f>
        <v>0</v>
      </c>
      <c r="K4886" s="47" t="n">
        <f aca="false">IF(J4886=1,N(I4886)+ROW()/10000000,0)</f>
        <v>0</v>
      </c>
      <c r="L4886" s="47" t="str">
        <f aca="false">IF(AND(J4886=1,N(I4886)&gt;0),SUMIF($K$2:$K$5001,"&gt;="&amp;K4886,$I$2:$I$5001)/MAX(1,SUM($H$2:$H$5001)),"")</f>
        <v/>
      </c>
      <c r="M4886" s="47" t="str">
        <f aca="false">IF($A4886="","",INDEX($L$2:$L$5001,MATCH($A4886,$A$2:$A$5001,0)))</f>
        <v/>
      </c>
      <c r="N4886" s="48" t="str">
        <f aca="false">IF($A4886="","",IF(N(M4886)=0,"–",IF(M4886&lt;=Start!$D$20,"A",IF(M4886&lt;=Start!$D$21,"B","C"))))</f>
        <v/>
      </c>
      <c r="O4886" s="48" t="str">
        <f aca="false">IF($A4886="","",IF(NOT(ISNUMBER(F4886)),"Wert fehlt; ",IF(F4886&lt;=0,"Wert ist 0; ",""))&amp;IF(NOT(ISNUMBER(E4886)),"Bestand fehlt; ",IF(E4886&lt;0,"Bestand negativ; ",IF(E4886=0,"Nullbestand; ","")))&amp;IF(D4886="","Warengruppe fehlt; ","")&amp;IF(B4886="","Bezeichnung fehlt; ","")&amp;IF(COUNTIFS($A$2:$A$5001,$A4886,$C$2:$C$5001,C4886)&gt;1,"Artikel doppelt im selben Lager; ",""))</f>
        <v/>
      </c>
      <c r="P4886" s="47" t="n">
        <f aca="false">IF(OR($A4886="",D4886=""),0,IF(COUNTIF($D$2:D4886,D4886)=1,SUMIF($D$2:$D$5001,D4886,$H$2:$H$5001)+ROW()/10000000,0))</f>
        <v>0</v>
      </c>
      <c r="Q4886" s="47" t="n">
        <f aca="false">IF(OR($A4886="",C4886=""),0,IF(COUNTIF($C$2:C4886,C4886)=1,SUMIF($C$2:$C$5001,C4886,$H$2:$H$5001)+ROW()/10000000,0))</f>
        <v>0</v>
      </c>
    </row>
    <row r="4887" customFormat="false" ht="15" hidden="false" customHeight="false" outlineLevel="0" collapsed="false">
      <c r="A4887" s="43"/>
      <c r="B4887" s="44"/>
      <c r="C4887" s="44"/>
      <c r="D4887" s="44"/>
      <c r="E4887" s="44"/>
      <c r="F4887" s="44"/>
      <c r="G4887" s="44"/>
      <c r="H4887" s="46" t="str">
        <f aca="false">IF($A4887="","",IF(OR(NOT(ISNUMBER(E4887)),NOT(ISNUMBER(F4887))),"",MAX(0,E4887)*F4887))</f>
        <v/>
      </c>
      <c r="I4887" s="46" t="str">
        <f aca="false">IF($A4887="","",SUMIF($A$2:$A$5001,$A4887,$H$2:$H$5001))</f>
        <v/>
      </c>
      <c r="J4887" s="47" t="n">
        <f aca="false">IF($A4887="",0,IF(COUNTIF($A$2:A4887,$A4887)=1,1,0))</f>
        <v>0</v>
      </c>
      <c r="K4887" s="47" t="n">
        <f aca="false">IF(J4887=1,N(I4887)+ROW()/10000000,0)</f>
        <v>0</v>
      </c>
      <c r="L4887" s="47" t="str">
        <f aca="false">IF(AND(J4887=1,N(I4887)&gt;0),SUMIF($K$2:$K$5001,"&gt;="&amp;K4887,$I$2:$I$5001)/MAX(1,SUM($H$2:$H$5001)),"")</f>
        <v/>
      </c>
      <c r="M4887" s="47" t="str">
        <f aca="false">IF($A4887="","",INDEX($L$2:$L$5001,MATCH($A4887,$A$2:$A$5001,0)))</f>
        <v/>
      </c>
      <c r="N4887" s="48" t="str">
        <f aca="false">IF($A4887="","",IF(N(M4887)=0,"–",IF(M4887&lt;=Start!$D$20,"A",IF(M4887&lt;=Start!$D$21,"B","C"))))</f>
        <v/>
      </c>
      <c r="O4887" s="48" t="str">
        <f aca="false">IF($A4887="","",IF(NOT(ISNUMBER(F4887)),"Wert fehlt; ",IF(F4887&lt;=0,"Wert ist 0; ",""))&amp;IF(NOT(ISNUMBER(E4887)),"Bestand fehlt; ",IF(E4887&lt;0,"Bestand negativ; ",IF(E4887=0,"Nullbestand; ","")))&amp;IF(D4887="","Warengruppe fehlt; ","")&amp;IF(B4887="","Bezeichnung fehlt; ","")&amp;IF(COUNTIFS($A$2:$A$5001,$A4887,$C$2:$C$5001,C4887)&gt;1,"Artikel doppelt im selben Lager; ",""))</f>
        <v/>
      </c>
      <c r="P4887" s="47" t="n">
        <f aca="false">IF(OR($A4887="",D4887=""),0,IF(COUNTIF($D$2:D4887,D4887)=1,SUMIF($D$2:$D$5001,D4887,$H$2:$H$5001)+ROW()/10000000,0))</f>
        <v>0</v>
      </c>
      <c r="Q4887" s="47" t="n">
        <f aca="false">IF(OR($A4887="",C4887=""),0,IF(COUNTIF($C$2:C4887,C4887)=1,SUMIF($C$2:$C$5001,C4887,$H$2:$H$5001)+ROW()/10000000,0))</f>
        <v>0</v>
      </c>
    </row>
    <row r="4888" customFormat="false" ht="15" hidden="false" customHeight="false" outlineLevel="0" collapsed="false">
      <c r="A4888" s="43"/>
      <c r="B4888" s="44"/>
      <c r="C4888" s="44"/>
      <c r="D4888" s="44"/>
      <c r="E4888" s="44"/>
      <c r="F4888" s="44"/>
      <c r="G4888" s="44"/>
      <c r="H4888" s="46" t="str">
        <f aca="false">IF($A4888="","",IF(OR(NOT(ISNUMBER(E4888)),NOT(ISNUMBER(F4888))),"",MAX(0,E4888)*F4888))</f>
        <v/>
      </c>
      <c r="I4888" s="46" t="str">
        <f aca="false">IF($A4888="","",SUMIF($A$2:$A$5001,$A4888,$H$2:$H$5001))</f>
        <v/>
      </c>
      <c r="J4888" s="47" t="n">
        <f aca="false">IF($A4888="",0,IF(COUNTIF($A$2:A4888,$A4888)=1,1,0))</f>
        <v>0</v>
      </c>
      <c r="K4888" s="47" t="n">
        <f aca="false">IF(J4888=1,N(I4888)+ROW()/10000000,0)</f>
        <v>0</v>
      </c>
      <c r="L4888" s="47" t="str">
        <f aca="false">IF(AND(J4888=1,N(I4888)&gt;0),SUMIF($K$2:$K$5001,"&gt;="&amp;K4888,$I$2:$I$5001)/MAX(1,SUM($H$2:$H$5001)),"")</f>
        <v/>
      </c>
      <c r="M4888" s="47" t="str">
        <f aca="false">IF($A4888="","",INDEX($L$2:$L$5001,MATCH($A4888,$A$2:$A$5001,0)))</f>
        <v/>
      </c>
      <c r="N4888" s="48" t="str">
        <f aca="false">IF($A4888="","",IF(N(M4888)=0,"–",IF(M4888&lt;=Start!$D$20,"A",IF(M4888&lt;=Start!$D$21,"B","C"))))</f>
        <v/>
      </c>
      <c r="O4888" s="48" t="str">
        <f aca="false">IF($A4888="","",IF(NOT(ISNUMBER(F4888)),"Wert fehlt; ",IF(F4888&lt;=0,"Wert ist 0; ",""))&amp;IF(NOT(ISNUMBER(E4888)),"Bestand fehlt; ",IF(E4888&lt;0,"Bestand negativ; ",IF(E4888=0,"Nullbestand; ","")))&amp;IF(D4888="","Warengruppe fehlt; ","")&amp;IF(B4888="","Bezeichnung fehlt; ","")&amp;IF(COUNTIFS($A$2:$A$5001,$A4888,$C$2:$C$5001,C4888)&gt;1,"Artikel doppelt im selben Lager; ",""))</f>
        <v/>
      </c>
      <c r="P4888" s="47" t="n">
        <f aca="false">IF(OR($A4888="",D4888=""),0,IF(COUNTIF($D$2:D4888,D4888)=1,SUMIF($D$2:$D$5001,D4888,$H$2:$H$5001)+ROW()/10000000,0))</f>
        <v>0</v>
      </c>
      <c r="Q4888" s="47" t="n">
        <f aca="false">IF(OR($A4888="",C4888=""),0,IF(COUNTIF($C$2:C4888,C4888)=1,SUMIF($C$2:$C$5001,C4888,$H$2:$H$5001)+ROW()/10000000,0))</f>
        <v>0</v>
      </c>
    </row>
    <row r="4889" customFormat="false" ht="15" hidden="false" customHeight="false" outlineLevel="0" collapsed="false">
      <c r="A4889" s="43"/>
      <c r="B4889" s="44"/>
      <c r="C4889" s="44"/>
      <c r="D4889" s="44"/>
      <c r="E4889" s="44"/>
      <c r="F4889" s="44"/>
      <c r="G4889" s="44"/>
      <c r="H4889" s="46" t="str">
        <f aca="false">IF($A4889="","",IF(OR(NOT(ISNUMBER(E4889)),NOT(ISNUMBER(F4889))),"",MAX(0,E4889)*F4889))</f>
        <v/>
      </c>
      <c r="I4889" s="46" t="str">
        <f aca="false">IF($A4889="","",SUMIF($A$2:$A$5001,$A4889,$H$2:$H$5001))</f>
        <v/>
      </c>
      <c r="J4889" s="47" t="n">
        <f aca="false">IF($A4889="",0,IF(COUNTIF($A$2:A4889,$A4889)=1,1,0))</f>
        <v>0</v>
      </c>
      <c r="K4889" s="47" t="n">
        <f aca="false">IF(J4889=1,N(I4889)+ROW()/10000000,0)</f>
        <v>0</v>
      </c>
      <c r="L4889" s="47" t="str">
        <f aca="false">IF(AND(J4889=1,N(I4889)&gt;0),SUMIF($K$2:$K$5001,"&gt;="&amp;K4889,$I$2:$I$5001)/MAX(1,SUM($H$2:$H$5001)),"")</f>
        <v/>
      </c>
      <c r="M4889" s="47" t="str">
        <f aca="false">IF($A4889="","",INDEX($L$2:$L$5001,MATCH($A4889,$A$2:$A$5001,0)))</f>
        <v/>
      </c>
      <c r="N4889" s="48" t="str">
        <f aca="false">IF($A4889="","",IF(N(M4889)=0,"–",IF(M4889&lt;=Start!$D$20,"A",IF(M4889&lt;=Start!$D$21,"B","C"))))</f>
        <v/>
      </c>
      <c r="O4889" s="48" t="str">
        <f aca="false">IF($A4889="","",IF(NOT(ISNUMBER(F4889)),"Wert fehlt; ",IF(F4889&lt;=0,"Wert ist 0; ",""))&amp;IF(NOT(ISNUMBER(E4889)),"Bestand fehlt; ",IF(E4889&lt;0,"Bestand negativ; ",IF(E4889=0,"Nullbestand; ","")))&amp;IF(D4889="","Warengruppe fehlt; ","")&amp;IF(B4889="","Bezeichnung fehlt; ","")&amp;IF(COUNTIFS($A$2:$A$5001,$A4889,$C$2:$C$5001,C4889)&gt;1,"Artikel doppelt im selben Lager; ",""))</f>
        <v/>
      </c>
      <c r="P4889" s="47" t="n">
        <f aca="false">IF(OR($A4889="",D4889=""),0,IF(COUNTIF($D$2:D4889,D4889)=1,SUMIF($D$2:$D$5001,D4889,$H$2:$H$5001)+ROW()/10000000,0))</f>
        <v>0</v>
      </c>
      <c r="Q4889" s="47" t="n">
        <f aca="false">IF(OR($A4889="",C4889=""),0,IF(COUNTIF($C$2:C4889,C4889)=1,SUMIF($C$2:$C$5001,C4889,$H$2:$H$5001)+ROW()/10000000,0))</f>
        <v>0</v>
      </c>
    </row>
    <row r="4890" customFormat="false" ht="15" hidden="false" customHeight="false" outlineLevel="0" collapsed="false">
      <c r="A4890" s="43"/>
      <c r="B4890" s="44"/>
      <c r="C4890" s="44"/>
      <c r="D4890" s="44"/>
      <c r="E4890" s="44"/>
      <c r="F4890" s="44"/>
      <c r="G4890" s="44"/>
      <c r="H4890" s="46" t="str">
        <f aca="false">IF($A4890="","",IF(OR(NOT(ISNUMBER(E4890)),NOT(ISNUMBER(F4890))),"",MAX(0,E4890)*F4890))</f>
        <v/>
      </c>
      <c r="I4890" s="46" t="str">
        <f aca="false">IF($A4890="","",SUMIF($A$2:$A$5001,$A4890,$H$2:$H$5001))</f>
        <v/>
      </c>
      <c r="J4890" s="47" t="n">
        <f aca="false">IF($A4890="",0,IF(COUNTIF($A$2:A4890,$A4890)=1,1,0))</f>
        <v>0</v>
      </c>
      <c r="K4890" s="47" t="n">
        <f aca="false">IF(J4890=1,N(I4890)+ROW()/10000000,0)</f>
        <v>0</v>
      </c>
      <c r="L4890" s="47" t="str">
        <f aca="false">IF(AND(J4890=1,N(I4890)&gt;0),SUMIF($K$2:$K$5001,"&gt;="&amp;K4890,$I$2:$I$5001)/MAX(1,SUM($H$2:$H$5001)),"")</f>
        <v/>
      </c>
      <c r="M4890" s="47" t="str">
        <f aca="false">IF($A4890="","",INDEX($L$2:$L$5001,MATCH($A4890,$A$2:$A$5001,0)))</f>
        <v/>
      </c>
      <c r="N4890" s="48" t="str">
        <f aca="false">IF($A4890="","",IF(N(M4890)=0,"–",IF(M4890&lt;=Start!$D$20,"A",IF(M4890&lt;=Start!$D$21,"B","C"))))</f>
        <v/>
      </c>
      <c r="O4890" s="48" t="str">
        <f aca="false">IF($A4890="","",IF(NOT(ISNUMBER(F4890)),"Wert fehlt; ",IF(F4890&lt;=0,"Wert ist 0; ",""))&amp;IF(NOT(ISNUMBER(E4890)),"Bestand fehlt; ",IF(E4890&lt;0,"Bestand negativ; ",IF(E4890=0,"Nullbestand; ","")))&amp;IF(D4890="","Warengruppe fehlt; ","")&amp;IF(B4890="","Bezeichnung fehlt; ","")&amp;IF(COUNTIFS($A$2:$A$5001,$A4890,$C$2:$C$5001,C4890)&gt;1,"Artikel doppelt im selben Lager; ",""))</f>
        <v/>
      </c>
      <c r="P4890" s="47" t="n">
        <f aca="false">IF(OR($A4890="",D4890=""),0,IF(COUNTIF($D$2:D4890,D4890)=1,SUMIF($D$2:$D$5001,D4890,$H$2:$H$5001)+ROW()/10000000,0))</f>
        <v>0</v>
      </c>
      <c r="Q4890" s="47" t="n">
        <f aca="false">IF(OR($A4890="",C4890=""),0,IF(COUNTIF($C$2:C4890,C4890)=1,SUMIF($C$2:$C$5001,C4890,$H$2:$H$5001)+ROW()/10000000,0))</f>
        <v>0</v>
      </c>
    </row>
    <row r="4891" customFormat="false" ht="15" hidden="false" customHeight="false" outlineLevel="0" collapsed="false">
      <c r="A4891" s="43"/>
      <c r="B4891" s="44"/>
      <c r="C4891" s="44"/>
      <c r="D4891" s="44"/>
      <c r="E4891" s="44"/>
      <c r="F4891" s="44"/>
      <c r="G4891" s="44"/>
      <c r="H4891" s="46" t="str">
        <f aca="false">IF($A4891="","",IF(OR(NOT(ISNUMBER(E4891)),NOT(ISNUMBER(F4891))),"",MAX(0,E4891)*F4891))</f>
        <v/>
      </c>
      <c r="I4891" s="46" t="str">
        <f aca="false">IF($A4891="","",SUMIF($A$2:$A$5001,$A4891,$H$2:$H$5001))</f>
        <v/>
      </c>
      <c r="J4891" s="47" t="n">
        <f aca="false">IF($A4891="",0,IF(COUNTIF($A$2:A4891,$A4891)=1,1,0))</f>
        <v>0</v>
      </c>
      <c r="K4891" s="47" t="n">
        <f aca="false">IF(J4891=1,N(I4891)+ROW()/10000000,0)</f>
        <v>0</v>
      </c>
      <c r="L4891" s="47" t="str">
        <f aca="false">IF(AND(J4891=1,N(I4891)&gt;0),SUMIF($K$2:$K$5001,"&gt;="&amp;K4891,$I$2:$I$5001)/MAX(1,SUM($H$2:$H$5001)),"")</f>
        <v/>
      </c>
      <c r="M4891" s="47" t="str">
        <f aca="false">IF($A4891="","",INDEX($L$2:$L$5001,MATCH($A4891,$A$2:$A$5001,0)))</f>
        <v/>
      </c>
      <c r="N4891" s="48" t="str">
        <f aca="false">IF($A4891="","",IF(N(M4891)=0,"–",IF(M4891&lt;=Start!$D$20,"A",IF(M4891&lt;=Start!$D$21,"B","C"))))</f>
        <v/>
      </c>
      <c r="O4891" s="48" t="str">
        <f aca="false">IF($A4891="","",IF(NOT(ISNUMBER(F4891)),"Wert fehlt; ",IF(F4891&lt;=0,"Wert ist 0; ",""))&amp;IF(NOT(ISNUMBER(E4891)),"Bestand fehlt; ",IF(E4891&lt;0,"Bestand negativ; ",IF(E4891=0,"Nullbestand; ","")))&amp;IF(D4891="","Warengruppe fehlt; ","")&amp;IF(B4891="","Bezeichnung fehlt; ","")&amp;IF(COUNTIFS($A$2:$A$5001,$A4891,$C$2:$C$5001,C4891)&gt;1,"Artikel doppelt im selben Lager; ",""))</f>
        <v/>
      </c>
      <c r="P4891" s="47" t="n">
        <f aca="false">IF(OR($A4891="",D4891=""),0,IF(COUNTIF($D$2:D4891,D4891)=1,SUMIF($D$2:$D$5001,D4891,$H$2:$H$5001)+ROW()/10000000,0))</f>
        <v>0</v>
      </c>
      <c r="Q4891" s="47" t="n">
        <f aca="false">IF(OR($A4891="",C4891=""),0,IF(COUNTIF($C$2:C4891,C4891)=1,SUMIF($C$2:$C$5001,C4891,$H$2:$H$5001)+ROW()/10000000,0))</f>
        <v>0</v>
      </c>
    </row>
    <row r="4892" customFormat="false" ht="15" hidden="false" customHeight="false" outlineLevel="0" collapsed="false">
      <c r="A4892" s="43"/>
      <c r="B4892" s="44"/>
      <c r="C4892" s="44"/>
      <c r="D4892" s="44"/>
      <c r="E4892" s="44"/>
      <c r="F4892" s="44"/>
      <c r="G4892" s="44"/>
      <c r="H4892" s="46" t="str">
        <f aca="false">IF($A4892="","",IF(OR(NOT(ISNUMBER(E4892)),NOT(ISNUMBER(F4892))),"",MAX(0,E4892)*F4892))</f>
        <v/>
      </c>
      <c r="I4892" s="46" t="str">
        <f aca="false">IF($A4892="","",SUMIF($A$2:$A$5001,$A4892,$H$2:$H$5001))</f>
        <v/>
      </c>
      <c r="J4892" s="47" t="n">
        <f aca="false">IF($A4892="",0,IF(COUNTIF($A$2:A4892,$A4892)=1,1,0))</f>
        <v>0</v>
      </c>
      <c r="K4892" s="47" t="n">
        <f aca="false">IF(J4892=1,N(I4892)+ROW()/10000000,0)</f>
        <v>0</v>
      </c>
      <c r="L4892" s="47" t="str">
        <f aca="false">IF(AND(J4892=1,N(I4892)&gt;0),SUMIF($K$2:$K$5001,"&gt;="&amp;K4892,$I$2:$I$5001)/MAX(1,SUM($H$2:$H$5001)),"")</f>
        <v/>
      </c>
      <c r="M4892" s="47" t="str">
        <f aca="false">IF($A4892="","",INDEX($L$2:$L$5001,MATCH($A4892,$A$2:$A$5001,0)))</f>
        <v/>
      </c>
      <c r="N4892" s="48" t="str">
        <f aca="false">IF($A4892="","",IF(N(M4892)=0,"–",IF(M4892&lt;=Start!$D$20,"A",IF(M4892&lt;=Start!$D$21,"B","C"))))</f>
        <v/>
      </c>
      <c r="O4892" s="48" t="str">
        <f aca="false">IF($A4892="","",IF(NOT(ISNUMBER(F4892)),"Wert fehlt; ",IF(F4892&lt;=0,"Wert ist 0; ",""))&amp;IF(NOT(ISNUMBER(E4892)),"Bestand fehlt; ",IF(E4892&lt;0,"Bestand negativ; ",IF(E4892=0,"Nullbestand; ","")))&amp;IF(D4892="","Warengruppe fehlt; ","")&amp;IF(B4892="","Bezeichnung fehlt; ","")&amp;IF(COUNTIFS($A$2:$A$5001,$A4892,$C$2:$C$5001,C4892)&gt;1,"Artikel doppelt im selben Lager; ",""))</f>
        <v/>
      </c>
      <c r="P4892" s="47" t="n">
        <f aca="false">IF(OR($A4892="",D4892=""),0,IF(COUNTIF($D$2:D4892,D4892)=1,SUMIF($D$2:$D$5001,D4892,$H$2:$H$5001)+ROW()/10000000,0))</f>
        <v>0</v>
      </c>
      <c r="Q4892" s="47" t="n">
        <f aca="false">IF(OR($A4892="",C4892=""),0,IF(COUNTIF($C$2:C4892,C4892)=1,SUMIF($C$2:$C$5001,C4892,$H$2:$H$5001)+ROW()/10000000,0))</f>
        <v>0</v>
      </c>
    </row>
    <row r="4893" customFormat="false" ht="15" hidden="false" customHeight="false" outlineLevel="0" collapsed="false">
      <c r="A4893" s="43"/>
      <c r="B4893" s="44"/>
      <c r="C4893" s="44"/>
      <c r="D4893" s="44"/>
      <c r="E4893" s="44"/>
      <c r="F4893" s="44"/>
      <c r="G4893" s="44"/>
      <c r="H4893" s="46" t="str">
        <f aca="false">IF($A4893="","",IF(OR(NOT(ISNUMBER(E4893)),NOT(ISNUMBER(F4893))),"",MAX(0,E4893)*F4893))</f>
        <v/>
      </c>
      <c r="I4893" s="46" t="str">
        <f aca="false">IF($A4893="","",SUMIF($A$2:$A$5001,$A4893,$H$2:$H$5001))</f>
        <v/>
      </c>
      <c r="J4893" s="47" t="n">
        <f aca="false">IF($A4893="",0,IF(COUNTIF($A$2:A4893,$A4893)=1,1,0))</f>
        <v>0</v>
      </c>
      <c r="K4893" s="47" t="n">
        <f aca="false">IF(J4893=1,N(I4893)+ROW()/10000000,0)</f>
        <v>0</v>
      </c>
      <c r="L4893" s="47" t="str">
        <f aca="false">IF(AND(J4893=1,N(I4893)&gt;0),SUMIF($K$2:$K$5001,"&gt;="&amp;K4893,$I$2:$I$5001)/MAX(1,SUM($H$2:$H$5001)),"")</f>
        <v/>
      </c>
      <c r="M4893" s="47" t="str">
        <f aca="false">IF($A4893="","",INDEX($L$2:$L$5001,MATCH($A4893,$A$2:$A$5001,0)))</f>
        <v/>
      </c>
      <c r="N4893" s="48" t="str">
        <f aca="false">IF($A4893="","",IF(N(M4893)=0,"–",IF(M4893&lt;=Start!$D$20,"A",IF(M4893&lt;=Start!$D$21,"B","C"))))</f>
        <v/>
      </c>
      <c r="O4893" s="48" t="str">
        <f aca="false">IF($A4893="","",IF(NOT(ISNUMBER(F4893)),"Wert fehlt; ",IF(F4893&lt;=0,"Wert ist 0; ",""))&amp;IF(NOT(ISNUMBER(E4893)),"Bestand fehlt; ",IF(E4893&lt;0,"Bestand negativ; ",IF(E4893=0,"Nullbestand; ","")))&amp;IF(D4893="","Warengruppe fehlt; ","")&amp;IF(B4893="","Bezeichnung fehlt; ","")&amp;IF(COUNTIFS($A$2:$A$5001,$A4893,$C$2:$C$5001,C4893)&gt;1,"Artikel doppelt im selben Lager; ",""))</f>
        <v/>
      </c>
      <c r="P4893" s="47" t="n">
        <f aca="false">IF(OR($A4893="",D4893=""),0,IF(COUNTIF($D$2:D4893,D4893)=1,SUMIF($D$2:$D$5001,D4893,$H$2:$H$5001)+ROW()/10000000,0))</f>
        <v>0</v>
      </c>
      <c r="Q4893" s="47" t="n">
        <f aca="false">IF(OR($A4893="",C4893=""),0,IF(COUNTIF($C$2:C4893,C4893)=1,SUMIF($C$2:$C$5001,C4893,$H$2:$H$5001)+ROW()/10000000,0))</f>
        <v>0</v>
      </c>
    </row>
    <row r="4894" customFormat="false" ht="15" hidden="false" customHeight="false" outlineLevel="0" collapsed="false">
      <c r="A4894" s="43"/>
      <c r="B4894" s="44"/>
      <c r="C4894" s="44"/>
      <c r="D4894" s="44"/>
      <c r="E4894" s="44"/>
      <c r="F4894" s="44"/>
      <c r="G4894" s="44"/>
      <c r="H4894" s="46" t="str">
        <f aca="false">IF($A4894="","",IF(OR(NOT(ISNUMBER(E4894)),NOT(ISNUMBER(F4894))),"",MAX(0,E4894)*F4894))</f>
        <v/>
      </c>
      <c r="I4894" s="46" t="str">
        <f aca="false">IF($A4894="","",SUMIF($A$2:$A$5001,$A4894,$H$2:$H$5001))</f>
        <v/>
      </c>
      <c r="J4894" s="47" t="n">
        <f aca="false">IF($A4894="",0,IF(COUNTIF($A$2:A4894,$A4894)=1,1,0))</f>
        <v>0</v>
      </c>
      <c r="K4894" s="47" t="n">
        <f aca="false">IF(J4894=1,N(I4894)+ROW()/10000000,0)</f>
        <v>0</v>
      </c>
      <c r="L4894" s="47" t="str">
        <f aca="false">IF(AND(J4894=1,N(I4894)&gt;0),SUMIF($K$2:$K$5001,"&gt;="&amp;K4894,$I$2:$I$5001)/MAX(1,SUM($H$2:$H$5001)),"")</f>
        <v/>
      </c>
      <c r="M4894" s="47" t="str">
        <f aca="false">IF($A4894="","",INDEX($L$2:$L$5001,MATCH($A4894,$A$2:$A$5001,0)))</f>
        <v/>
      </c>
      <c r="N4894" s="48" t="str">
        <f aca="false">IF($A4894="","",IF(N(M4894)=0,"–",IF(M4894&lt;=Start!$D$20,"A",IF(M4894&lt;=Start!$D$21,"B","C"))))</f>
        <v/>
      </c>
      <c r="O4894" s="48" t="str">
        <f aca="false">IF($A4894="","",IF(NOT(ISNUMBER(F4894)),"Wert fehlt; ",IF(F4894&lt;=0,"Wert ist 0; ",""))&amp;IF(NOT(ISNUMBER(E4894)),"Bestand fehlt; ",IF(E4894&lt;0,"Bestand negativ; ",IF(E4894=0,"Nullbestand; ","")))&amp;IF(D4894="","Warengruppe fehlt; ","")&amp;IF(B4894="","Bezeichnung fehlt; ","")&amp;IF(COUNTIFS($A$2:$A$5001,$A4894,$C$2:$C$5001,C4894)&gt;1,"Artikel doppelt im selben Lager; ",""))</f>
        <v/>
      </c>
      <c r="P4894" s="47" t="n">
        <f aca="false">IF(OR($A4894="",D4894=""),0,IF(COUNTIF($D$2:D4894,D4894)=1,SUMIF($D$2:$D$5001,D4894,$H$2:$H$5001)+ROW()/10000000,0))</f>
        <v>0</v>
      </c>
      <c r="Q4894" s="47" t="n">
        <f aca="false">IF(OR($A4894="",C4894=""),0,IF(COUNTIF($C$2:C4894,C4894)=1,SUMIF($C$2:$C$5001,C4894,$H$2:$H$5001)+ROW()/10000000,0))</f>
        <v>0</v>
      </c>
    </row>
    <row r="4895" customFormat="false" ht="15" hidden="false" customHeight="false" outlineLevel="0" collapsed="false">
      <c r="A4895" s="43"/>
      <c r="B4895" s="44"/>
      <c r="C4895" s="44"/>
      <c r="D4895" s="44"/>
      <c r="E4895" s="44"/>
      <c r="F4895" s="44"/>
      <c r="G4895" s="44"/>
      <c r="H4895" s="46" t="str">
        <f aca="false">IF($A4895="","",IF(OR(NOT(ISNUMBER(E4895)),NOT(ISNUMBER(F4895))),"",MAX(0,E4895)*F4895))</f>
        <v/>
      </c>
      <c r="I4895" s="46" t="str">
        <f aca="false">IF($A4895="","",SUMIF($A$2:$A$5001,$A4895,$H$2:$H$5001))</f>
        <v/>
      </c>
      <c r="J4895" s="47" t="n">
        <f aca="false">IF($A4895="",0,IF(COUNTIF($A$2:A4895,$A4895)=1,1,0))</f>
        <v>0</v>
      </c>
      <c r="K4895" s="47" t="n">
        <f aca="false">IF(J4895=1,N(I4895)+ROW()/10000000,0)</f>
        <v>0</v>
      </c>
      <c r="L4895" s="47" t="str">
        <f aca="false">IF(AND(J4895=1,N(I4895)&gt;0),SUMIF($K$2:$K$5001,"&gt;="&amp;K4895,$I$2:$I$5001)/MAX(1,SUM($H$2:$H$5001)),"")</f>
        <v/>
      </c>
      <c r="M4895" s="47" t="str">
        <f aca="false">IF($A4895="","",INDEX($L$2:$L$5001,MATCH($A4895,$A$2:$A$5001,0)))</f>
        <v/>
      </c>
      <c r="N4895" s="48" t="str">
        <f aca="false">IF($A4895="","",IF(N(M4895)=0,"–",IF(M4895&lt;=Start!$D$20,"A",IF(M4895&lt;=Start!$D$21,"B","C"))))</f>
        <v/>
      </c>
      <c r="O4895" s="48" t="str">
        <f aca="false">IF($A4895="","",IF(NOT(ISNUMBER(F4895)),"Wert fehlt; ",IF(F4895&lt;=0,"Wert ist 0; ",""))&amp;IF(NOT(ISNUMBER(E4895)),"Bestand fehlt; ",IF(E4895&lt;0,"Bestand negativ; ",IF(E4895=0,"Nullbestand; ","")))&amp;IF(D4895="","Warengruppe fehlt; ","")&amp;IF(B4895="","Bezeichnung fehlt; ","")&amp;IF(COUNTIFS($A$2:$A$5001,$A4895,$C$2:$C$5001,C4895)&gt;1,"Artikel doppelt im selben Lager; ",""))</f>
        <v/>
      </c>
      <c r="P4895" s="47" t="n">
        <f aca="false">IF(OR($A4895="",D4895=""),0,IF(COUNTIF($D$2:D4895,D4895)=1,SUMIF($D$2:$D$5001,D4895,$H$2:$H$5001)+ROW()/10000000,0))</f>
        <v>0</v>
      </c>
      <c r="Q4895" s="47" t="n">
        <f aca="false">IF(OR($A4895="",C4895=""),0,IF(COUNTIF($C$2:C4895,C4895)=1,SUMIF($C$2:$C$5001,C4895,$H$2:$H$5001)+ROW()/10000000,0))</f>
        <v>0</v>
      </c>
    </row>
    <row r="4896" customFormat="false" ht="15" hidden="false" customHeight="false" outlineLevel="0" collapsed="false">
      <c r="A4896" s="43"/>
      <c r="B4896" s="44"/>
      <c r="C4896" s="44"/>
      <c r="D4896" s="44"/>
      <c r="E4896" s="44"/>
      <c r="F4896" s="44"/>
      <c r="G4896" s="44"/>
      <c r="H4896" s="46" t="str">
        <f aca="false">IF($A4896="","",IF(OR(NOT(ISNUMBER(E4896)),NOT(ISNUMBER(F4896))),"",MAX(0,E4896)*F4896))</f>
        <v/>
      </c>
      <c r="I4896" s="46" t="str">
        <f aca="false">IF($A4896="","",SUMIF($A$2:$A$5001,$A4896,$H$2:$H$5001))</f>
        <v/>
      </c>
      <c r="J4896" s="47" t="n">
        <f aca="false">IF($A4896="",0,IF(COUNTIF($A$2:A4896,$A4896)=1,1,0))</f>
        <v>0</v>
      </c>
      <c r="K4896" s="47" t="n">
        <f aca="false">IF(J4896=1,N(I4896)+ROW()/10000000,0)</f>
        <v>0</v>
      </c>
      <c r="L4896" s="47" t="str">
        <f aca="false">IF(AND(J4896=1,N(I4896)&gt;0),SUMIF($K$2:$K$5001,"&gt;="&amp;K4896,$I$2:$I$5001)/MAX(1,SUM($H$2:$H$5001)),"")</f>
        <v/>
      </c>
      <c r="M4896" s="47" t="str">
        <f aca="false">IF($A4896="","",INDEX($L$2:$L$5001,MATCH($A4896,$A$2:$A$5001,0)))</f>
        <v/>
      </c>
      <c r="N4896" s="48" t="str">
        <f aca="false">IF($A4896="","",IF(N(M4896)=0,"–",IF(M4896&lt;=Start!$D$20,"A",IF(M4896&lt;=Start!$D$21,"B","C"))))</f>
        <v/>
      </c>
      <c r="O4896" s="48" t="str">
        <f aca="false">IF($A4896="","",IF(NOT(ISNUMBER(F4896)),"Wert fehlt; ",IF(F4896&lt;=0,"Wert ist 0; ",""))&amp;IF(NOT(ISNUMBER(E4896)),"Bestand fehlt; ",IF(E4896&lt;0,"Bestand negativ; ",IF(E4896=0,"Nullbestand; ","")))&amp;IF(D4896="","Warengruppe fehlt; ","")&amp;IF(B4896="","Bezeichnung fehlt; ","")&amp;IF(COUNTIFS($A$2:$A$5001,$A4896,$C$2:$C$5001,C4896)&gt;1,"Artikel doppelt im selben Lager; ",""))</f>
        <v/>
      </c>
      <c r="P4896" s="47" t="n">
        <f aca="false">IF(OR($A4896="",D4896=""),0,IF(COUNTIF($D$2:D4896,D4896)=1,SUMIF($D$2:$D$5001,D4896,$H$2:$H$5001)+ROW()/10000000,0))</f>
        <v>0</v>
      </c>
      <c r="Q4896" s="47" t="n">
        <f aca="false">IF(OR($A4896="",C4896=""),0,IF(COUNTIF($C$2:C4896,C4896)=1,SUMIF($C$2:$C$5001,C4896,$H$2:$H$5001)+ROW()/10000000,0))</f>
        <v>0</v>
      </c>
    </row>
    <row r="4897" customFormat="false" ht="15" hidden="false" customHeight="false" outlineLevel="0" collapsed="false">
      <c r="A4897" s="43"/>
      <c r="B4897" s="44"/>
      <c r="C4897" s="44"/>
      <c r="D4897" s="44"/>
      <c r="E4897" s="44"/>
      <c r="F4897" s="44"/>
      <c r="G4897" s="44"/>
      <c r="H4897" s="46" t="str">
        <f aca="false">IF($A4897="","",IF(OR(NOT(ISNUMBER(E4897)),NOT(ISNUMBER(F4897))),"",MAX(0,E4897)*F4897))</f>
        <v/>
      </c>
      <c r="I4897" s="46" t="str">
        <f aca="false">IF($A4897="","",SUMIF($A$2:$A$5001,$A4897,$H$2:$H$5001))</f>
        <v/>
      </c>
      <c r="J4897" s="47" t="n">
        <f aca="false">IF($A4897="",0,IF(COUNTIF($A$2:A4897,$A4897)=1,1,0))</f>
        <v>0</v>
      </c>
      <c r="K4897" s="47" t="n">
        <f aca="false">IF(J4897=1,N(I4897)+ROW()/10000000,0)</f>
        <v>0</v>
      </c>
      <c r="L4897" s="47" t="str">
        <f aca="false">IF(AND(J4897=1,N(I4897)&gt;0),SUMIF($K$2:$K$5001,"&gt;="&amp;K4897,$I$2:$I$5001)/MAX(1,SUM($H$2:$H$5001)),"")</f>
        <v/>
      </c>
      <c r="M4897" s="47" t="str">
        <f aca="false">IF($A4897="","",INDEX($L$2:$L$5001,MATCH($A4897,$A$2:$A$5001,0)))</f>
        <v/>
      </c>
      <c r="N4897" s="48" t="str">
        <f aca="false">IF($A4897="","",IF(N(M4897)=0,"–",IF(M4897&lt;=Start!$D$20,"A",IF(M4897&lt;=Start!$D$21,"B","C"))))</f>
        <v/>
      </c>
      <c r="O4897" s="48" t="str">
        <f aca="false">IF($A4897="","",IF(NOT(ISNUMBER(F4897)),"Wert fehlt; ",IF(F4897&lt;=0,"Wert ist 0; ",""))&amp;IF(NOT(ISNUMBER(E4897)),"Bestand fehlt; ",IF(E4897&lt;0,"Bestand negativ; ",IF(E4897=0,"Nullbestand; ","")))&amp;IF(D4897="","Warengruppe fehlt; ","")&amp;IF(B4897="","Bezeichnung fehlt; ","")&amp;IF(COUNTIFS($A$2:$A$5001,$A4897,$C$2:$C$5001,C4897)&gt;1,"Artikel doppelt im selben Lager; ",""))</f>
        <v/>
      </c>
      <c r="P4897" s="47" t="n">
        <f aca="false">IF(OR($A4897="",D4897=""),0,IF(COUNTIF($D$2:D4897,D4897)=1,SUMIF($D$2:$D$5001,D4897,$H$2:$H$5001)+ROW()/10000000,0))</f>
        <v>0</v>
      </c>
      <c r="Q4897" s="47" t="n">
        <f aca="false">IF(OR($A4897="",C4897=""),0,IF(COUNTIF($C$2:C4897,C4897)=1,SUMIF($C$2:$C$5001,C4897,$H$2:$H$5001)+ROW()/10000000,0))</f>
        <v>0</v>
      </c>
    </row>
    <row r="4898" customFormat="false" ht="15" hidden="false" customHeight="false" outlineLevel="0" collapsed="false">
      <c r="A4898" s="43"/>
      <c r="B4898" s="44"/>
      <c r="C4898" s="44"/>
      <c r="D4898" s="44"/>
      <c r="E4898" s="44"/>
      <c r="F4898" s="44"/>
      <c r="G4898" s="44"/>
      <c r="H4898" s="46" t="str">
        <f aca="false">IF($A4898="","",IF(OR(NOT(ISNUMBER(E4898)),NOT(ISNUMBER(F4898))),"",MAX(0,E4898)*F4898))</f>
        <v/>
      </c>
      <c r="I4898" s="46" t="str">
        <f aca="false">IF($A4898="","",SUMIF($A$2:$A$5001,$A4898,$H$2:$H$5001))</f>
        <v/>
      </c>
      <c r="J4898" s="47" t="n">
        <f aca="false">IF($A4898="",0,IF(COUNTIF($A$2:A4898,$A4898)=1,1,0))</f>
        <v>0</v>
      </c>
      <c r="K4898" s="47" t="n">
        <f aca="false">IF(J4898=1,N(I4898)+ROW()/10000000,0)</f>
        <v>0</v>
      </c>
      <c r="L4898" s="47" t="str">
        <f aca="false">IF(AND(J4898=1,N(I4898)&gt;0),SUMIF($K$2:$K$5001,"&gt;="&amp;K4898,$I$2:$I$5001)/MAX(1,SUM($H$2:$H$5001)),"")</f>
        <v/>
      </c>
      <c r="M4898" s="47" t="str">
        <f aca="false">IF($A4898="","",INDEX($L$2:$L$5001,MATCH($A4898,$A$2:$A$5001,0)))</f>
        <v/>
      </c>
      <c r="N4898" s="48" t="str">
        <f aca="false">IF($A4898="","",IF(N(M4898)=0,"–",IF(M4898&lt;=Start!$D$20,"A",IF(M4898&lt;=Start!$D$21,"B","C"))))</f>
        <v/>
      </c>
      <c r="O4898" s="48" t="str">
        <f aca="false">IF($A4898="","",IF(NOT(ISNUMBER(F4898)),"Wert fehlt; ",IF(F4898&lt;=0,"Wert ist 0; ",""))&amp;IF(NOT(ISNUMBER(E4898)),"Bestand fehlt; ",IF(E4898&lt;0,"Bestand negativ; ",IF(E4898=0,"Nullbestand; ","")))&amp;IF(D4898="","Warengruppe fehlt; ","")&amp;IF(B4898="","Bezeichnung fehlt; ","")&amp;IF(COUNTIFS($A$2:$A$5001,$A4898,$C$2:$C$5001,C4898)&gt;1,"Artikel doppelt im selben Lager; ",""))</f>
        <v/>
      </c>
      <c r="P4898" s="47" t="n">
        <f aca="false">IF(OR($A4898="",D4898=""),0,IF(COUNTIF($D$2:D4898,D4898)=1,SUMIF($D$2:$D$5001,D4898,$H$2:$H$5001)+ROW()/10000000,0))</f>
        <v>0</v>
      </c>
      <c r="Q4898" s="47" t="n">
        <f aca="false">IF(OR($A4898="",C4898=""),0,IF(COUNTIF($C$2:C4898,C4898)=1,SUMIF($C$2:$C$5001,C4898,$H$2:$H$5001)+ROW()/10000000,0))</f>
        <v>0</v>
      </c>
    </row>
    <row r="4899" customFormat="false" ht="15" hidden="false" customHeight="false" outlineLevel="0" collapsed="false">
      <c r="A4899" s="43"/>
      <c r="B4899" s="44"/>
      <c r="C4899" s="44"/>
      <c r="D4899" s="44"/>
      <c r="E4899" s="44"/>
      <c r="F4899" s="44"/>
      <c r="G4899" s="44"/>
      <c r="H4899" s="46" t="str">
        <f aca="false">IF($A4899="","",IF(OR(NOT(ISNUMBER(E4899)),NOT(ISNUMBER(F4899))),"",MAX(0,E4899)*F4899))</f>
        <v/>
      </c>
      <c r="I4899" s="46" t="str">
        <f aca="false">IF($A4899="","",SUMIF($A$2:$A$5001,$A4899,$H$2:$H$5001))</f>
        <v/>
      </c>
      <c r="J4899" s="47" t="n">
        <f aca="false">IF($A4899="",0,IF(COUNTIF($A$2:A4899,$A4899)=1,1,0))</f>
        <v>0</v>
      </c>
      <c r="K4899" s="47" t="n">
        <f aca="false">IF(J4899=1,N(I4899)+ROW()/10000000,0)</f>
        <v>0</v>
      </c>
      <c r="L4899" s="47" t="str">
        <f aca="false">IF(AND(J4899=1,N(I4899)&gt;0),SUMIF($K$2:$K$5001,"&gt;="&amp;K4899,$I$2:$I$5001)/MAX(1,SUM($H$2:$H$5001)),"")</f>
        <v/>
      </c>
      <c r="M4899" s="47" t="str">
        <f aca="false">IF($A4899="","",INDEX($L$2:$L$5001,MATCH($A4899,$A$2:$A$5001,0)))</f>
        <v/>
      </c>
      <c r="N4899" s="48" t="str">
        <f aca="false">IF($A4899="","",IF(N(M4899)=0,"–",IF(M4899&lt;=Start!$D$20,"A",IF(M4899&lt;=Start!$D$21,"B","C"))))</f>
        <v/>
      </c>
      <c r="O4899" s="48" t="str">
        <f aca="false">IF($A4899="","",IF(NOT(ISNUMBER(F4899)),"Wert fehlt; ",IF(F4899&lt;=0,"Wert ist 0; ",""))&amp;IF(NOT(ISNUMBER(E4899)),"Bestand fehlt; ",IF(E4899&lt;0,"Bestand negativ; ",IF(E4899=0,"Nullbestand; ","")))&amp;IF(D4899="","Warengruppe fehlt; ","")&amp;IF(B4899="","Bezeichnung fehlt; ","")&amp;IF(COUNTIFS($A$2:$A$5001,$A4899,$C$2:$C$5001,C4899)&gt;1,"Artikel doppelt im selben Lager; ",""))</f>
        <v/>
      </c>
      <c r="P4899" s="47" t="n">
        <f aca="false">IF(OR($A4899="",D4899=""),0,IF(COUNTIF($D$2:D4899,D4899)=1,SUMIF($D$2:$D$5001,D4899,$H$2:$H$5001)+ROW()/10000000,0))</f>
        <v>0</v>
      </c>
      <c r="Q4899" s="47" t="n">
        <f aca="false">IF(OR($A4899="",C4899=""),0,IF(COUNTIF($C$2:C4899,C4899)=1,SUMIF($C$2:$C$5001,C4899,$H$2:$H$5001)+ROW()/10000000,0))</f>
        <v>0</v>
      </c>
    </row>
    <row r="4900" customFormat="false" ht="15" hidden="false" customHeight="false" outlineLevel="0" collapsed="false">
      <c r="A4900" s="43"/>
      <c r="B4900" s="44"/>
      <c r="C4900" s="44"/>
      <c r="D4900" s="44"/>
      <c r="E4900" s="44"/>
      <c r="F4900" s="44"/>
      <c r="G4900" s="44"/>
      <c r="H4900" s="46" t="str">
        <f aca="false">IF($A4900="","",IF(OR(NOT(ISNUMBER(E4900)),NOT(ISNUMBER(F4900))),"",MAX(0,E4900)*F4900))</f>
        <v/>
      </c>
      <c r="I4900" s="46" t="str">
        <f aca="false">IF($A4900="","",SUMIF($A$2:$A$5001,$A4900,$H$2:$H$5001))</f>
        <v/>
      </c>
      <c r="J4900" s="47" t="n">
        <f aca="false">IF($A4900="",0,IF(COUNTIF($A$2:A4900,$A4900)=1,1,0))</f>
        <v>0</v>
      </c>
      <c r="K4900" s="47" t="n">
        <f aca="false">IF(J4900=1,N(I4900)+ROW()/10000000,0)</f>
        <v>0</v>
      </c>
      <c r="L4900" s="47" t="str">
        <f aca="false">IF(AND(J4900=1,N(I4900)&gt;0),SUMIF($K$2:$K$5001,"&gt;="&amp;K4900,$I$2:$I$5001)/MAX(1,SUM($H$2:$H$5001)),"")</f>
        <v/>
      </c>
      <c r="M4900" s="47" t="str">
        <f aca="false">IF($A4900="","",INDEX($L$2:$L$5001,MATCH($A4900,$A$2:$A$5001,0)))</f>
        <v/>
      </c>
      <c r="N4900" s="48" t="str">
        <f aca="false">IF($A4900="","",IF(N(M4900)=0,"–",IF(M4900&lt;=Start!$D$20,"A",IF(M4900&lt;=Start!$D$21,"B","C"))))</f>
        <v/>
      </c>
      <c r="O4900" s="48" t="str">
        <f aca="false">IF($A4900="","",IF(NOT(ISNUMBER(F4900)),"Wert fehlt; ",IF(F4900&lt;=0,"Wert ist 0; ",""))&amp;IF(NOT(ISNUMBER(E4900)),"Bestand fehlt; ",IF(E4900&lt;0,"Bestand negativ; ",IF(E4900=0,"Nullbestand; ","")))&amp;IF(D4900="","Warengruppe fehlt; ","")&amp;IF(B4900="","Bezeichnung fehlt; ","")&amp;IF(COUNTIFS($A$2:$A$5001,$A4900,$C$2:$C$5001,C4900)&gt;1,"Artikel doppelt im selben Lager; ",""))</f>
        <v/>
      </c>
      <c r="P4900" s="47" t="n">
        <f aca="false">IF(OR($A4900="",D4900=""),0,IF(COUNTIF($D$2:D4900,D4900)=1,SUMIF($D$2:$D$5001,D4900,$H$2:$H$5001)+ROW()/10000000,0))</f>
        <v>0</v>
      </c>
      <c r="Q4900" s="47" t="n">
        <f aca="false">IF(OR($A4900="",C4900=""),0,IF(COUNTIF($C$2:C4900,C4900)=1,SUMIF($C$2:$C$5001,C4900,$H$2:$H$5001)+ROW()/10000000,0))</f>
        <v>0</v>
      </c>
    </row>
    <row r="4901" customFormat="false" ht="15" hidden="false" customHeight="false" outlineLevel="0" collapsed="false">
      <c r="A4901" s="43"/>
      <c r="B4901" s="44"/>
      <c r="C4901" s="44"/>
      <c r="D4901" s="44"/>
      <c r="E4901" s="44"/>
      <c r="F4901" s="44"/>
      <c r="G4901" s="44"/>
      <c r="H4901" s="46" t="str">
        <f aca="false">IF($A4901="","",IF(OR(NOT(ISNUMBER(E4901)),NOT(ISNUMBER(F4901))),"",MAX(0,E4901)*F4901))</f>
        <v/>
      </c>
      <c r="I4901" s="46" t="str">
        <f aca="false">IF($A4901="","",SUMIF($A$2:$A$5001,$A4901,$H$2:$H$5001))</f>
        <v/>
      </c>
      <c r="J4901" s="47" t="n">
        <f aca="false">IF($A4901="",0,IF(COUNTIF($A$2:A4901,$A4901)=1,1,0))</f>
        <v>0</v>
      </c>
      <c r="K4901" s="47" t="n">
        <f aca="false">IF(J4901=1,N(I4901)+ROW()/10000000,0)</f>
        <v>0</v>
      </c>
      <c r="L4901" s="47" t="str">
        <f aca="false">IF(AND(J4901=1,N(I4901)&gt;0),SUMIF($K$2:$K$5001,"&gt;="&amp;K4901,$I$2:$I$5001)/MAX(1,SUM($H$2:$H$5001)),"")</f>
        <v/>
      </c>
      <c r="M4901" s="47" t="str">
        <f aca="false">IF($A4901="","",INDEX($L$2:$L$5001,MATCH($A4901,$A$2:$A$5001,0)))</f>
        <v/>
      </c>
      <c r="N4901" s="48" t="str">
        <f aca="false">IF($A4901="","",IF(N(M4901)=0,"–",IF(M4901&lt;=Start!$D$20,"A",IF(M4901&lt;=Start!$D$21,"B","C"))))</f>
        <v/>
      </c>
      <c r="O4901" s="48" t="str">
        <f aca="false">IF($A4901="","",IF(NOT(ISNUMBER(F4901)),"Wert fehlt; ",IF(F4901&lt;=0,"Wert ist 0; ",""))&amp;IF(NOT(ISNUMBER(E4901)),"Bestand fehlt; ",IF(E4901&lt;0,"Bestand negativ; ",IF(E4901=0,"Nullbestand; ","")))&amp;IF(D4901="","Warengruppe fehlt; ","")&amp;IF(B4901="","Bezeichnung fehlt; ","")&amp;IF(COUNTIFS($A$2:$A$5001,$A4901,$C$2:$C$5001,C4901)&gt;1,"Artikel doppelt im selben Lager; ",""))</f>
        <v/>
      </c>
      <c r="P4901" s="47" t="n">
        <f aca="false">IF(OR($A4901="",D4901=""),0,IF(COUNTIF($D$2:D4901,D4901)=1,SUMIF($D$2:$D$5001,D4901,$H$2:$H$5001)+ROW()/10000000,0))</f>
        <v>0</v>
      </c>
      <c r="Q4901" s="47" t="n">
        <f aca="false">IF(OR($A4901="",C4901=""),0,IF(COUNTIF($C$2:C4901,C4901)=1,SUMIF($C$2:$C$5001,C4901,$H$2:$H$5001)+ROW()/10000000,0))</f>
        <v>0</v>
      </c>
    </row>
    <row r="4902" customFormat="false" ht="15" hidden="false" customHeight="false" outlineLevel="0" collapsed="false">
      <c r="A4902" s="43"/>
      <c r="B4902" s="44"/>
      <c r="C4902" s="44"/>
      <c r="D4902" s="44"/>
      <c r="E4902" s="44"/>
      <c r="F4902" s="44"/>
      <c r="G4902" s="44"/>
      <c r="H4902" s="46" t="str">
        <f aca="false">IF($A4902="","",IF(OR(NOT(ISNUMBER(E4902)),NOT(ISNUMBER(F4902))),"",MAX(0,E4902)*F4902))</f>
        <v/>
      </c>
      <c r="I4902" s="46" t="str">
        <f aca="false">IF($A4902="","",SUMIF($A$2:$A$5001,$A4902,$H$2:$H$5001))</f>
        <v/>
      </c>
      <c r="J4902" s="47" t="n">
        <f aca="false">IF($A4902="",0,IF(COUNTIF($A$2:A4902,$A4902)=1,1,0))</f>
        <v>0</v>
      </c>
      <c r="K4902" s="47" t="n">
        <f aca="false">IF(J4902=1,N(I4902)+ROW()/10000000,0)</f>
        <v>0</v>
      </c>
      <c r="L4902" s="47" t="str">
        <f aca="false">IF(AND(J4902=1,N(I4902)&gt;0),SUMIF($K$2:$K$5001,"&gt;="&amp;K4902,$I$2:$I$5001)/MAX(1,SUM($H$2:$H$5001)),"")</f>
        <v/>
      </c>
      <c r="M4902" s="47" t="str">
        <f aca="false">IF($A4902="","",INDEX($L$2:$L$5001,MATCH($A4902,$A$2:$A$5001,0)))</f>
        <v/>
      </c>
      <c r="N4902" s="48" t="str">
        <f aca="false">IF($A4902="","",IF(N(M4902)=0,"–",IF(M4902&lt;=Start!$D$20,"A",IF(M4902&lt;=Start!$D$21,"B","C"))))</f>
        <v/>
      </c>
      <c r="O4902" s="48" t="str">
        <f aca="false">IF($A4902="","",IF(NOT(ISNUMBER(F4902)),"Wert fehlt; ",IF(F4902&lt;=0,"Wert ist 0; ",""))&amp;IF(NOT(ISNUMBER(E4902)),"Bestand fehlt; ",IF(E4902&lt;0,"Bestand negativ; ",IF(E4902=0,"Nullbestand; ","")))&amp;IF(D4902="","Warengruppe fehlt; ","")&amp;IF(B4902="","Bezeichnung fehlt; ","")&amp;IF(COUNTIFS($A$2:$A$5001,$A4902,$C$2:$C$5001,C4902)&gt;1,"Artikel doppelt im selben Lager; ",""))</f>
        <v/>
      </c>
      <c r="P4902" s="47" t="n">
        <f aca="false">IF(OR($A4902="",D4902=""),0,IF(COUNTIF($D$2:D4902,D4902)=1,SUMIF($D$2:$D$5001,D4902,$H$2:$H$5001)+ROW()/10000000,0))</f>
        <v>0</v>
      </c>
      <c r="Q4902" s="47" t="n">
        <f aca="false">IF(OR($A4902="",C4902=""),0,IF(COUNTIF($C$2:C4902,C4902)=1,SUMIF($C$2:$C$5001,C4902,$H$2:$H$5001)+ROW()/10000000,0))</f>
        <v>0</v>
      </c>
    </row>
    <row r="4903" customFormat="false" ht="15" hidden="false" customHeight="false" outlineLevel="0" collapsed="false">
      <c r="A4903" s="43"/>
      <c r="B4903" s="44"/>
      <c r="C4903" s="44"/>
      <c r="D4903" s="44"/>
      <c r="E4903" s="44"/>
      <c r="F4903" s="44"/>
      <c r="G4903" s="44"/>
      <c r="H4903" s="46" t="str">
        <f aca="false">IF($A4903="","",IF(OR(NOT(ISNUMBER(E4903)),NOT(ISNUMBER(F4903))),"",MAX(0,E4903)*F4903))</f>
        <v/>
      </c>
      <c r="I4903" s="46" t="str">
        <f aca="false">IF($A4903="","",SUMIF($A$2:$A$5001,$A4903,$H$2:$H$5001))</f>
        <v/>
      </c>
      <c r="J4903" s="47" t="n">
        <f aca="false">IF($A4903="",0,IF(COUNTIF($A$2:A4903,$A4903)=1,1,0))</f>
        <v>0</v>
      </c>
      <c r="K4903" s="47" t="n">
        <f aca="false">IF(J4903=1,N(I4903)+ROW()/10000000,0)</f>
        <v>0</v>
      </c>
      <c r="L4903" s="47" t="str">
        <f aca="false">IF(AND(J4903=1,N(I4903)&gt;0),SUMIF($K$2:$K$5001,"&gt;="&amp;K4903,$I$2:$I$5001)/MAX(1,SUM($H$2:$H$5001)),"")</f>
        <v/>
      </c>
      <c r="M4903" s="47" t="str">
        <f aca="false">IF($A4903="","",INDEX($L$2:$L$5001,MATCH($A4903,$A$2:$A$5001,0)))</f>
        <v/>
      </c>
      <c r="N4903" s="48" t="str">
        <f aca="false">IF($A4903="","",IF(N(M4903)=0,"–",IF(M4903&lt;=Start!$D$20,"A",IF(M4903&lt;=Start!$D$21,"B","C"))))</f>
        <v/>
      </c>
      <c r="O4903" s="48" t="str">
        <f aca="false">IF($A4903="","",IF(NOT(ISNUMBER(F4903)),"Wert fehlt; ",IF(F4903&lt;=0,"Wert ist 0; ",""))&amp;IF(NOT(ISNUMBER(E4903)),"Bestand fehlt; ",IF(E4903&lt;0,"Bestand negativ; ",IF(E4903=0,"Nullbestand; ","")))&amp;IF(D4903="","Warengruppe fehlt; ","")&amp;IF(B4903="","Bezeichnung fehlt; ","")&amp;IF(COUNTIFS($A$2:$A$5001,$A4903,$C$2:$C$5001,C4903)&gt;1,"Artikel doppelt im selben Lager; ",""))</f>
        <v/>
      </c>
      <c r="P4903" s="47" t="n">
        <f aca="false">IF(OR($A4903="",D4903=""),0,IF(COUNTIF($D$2:D4903,D4903)=1,SUMIF($D$2:$D$5001,D4903,$H$2:$H$5001)+ROW()/10000000,0))</f>
        <v>0</v>
      </c>
      <c r="Q4903" s="47" t="n">
        <f aca="false">IF(OR($A4903="",C4903=""),0,IF(COUNTIF($C$2:C4903,C4903)=1,SUMIF($C$2:$C$5001,C4903,$H$2:$H$5001)+ROW()/10000000,0))</f>
        <v>0</v>
      </c>
    </row>
    <row r="4904" customFormat="false" ht="15" hidden="false" customHeight="false" outlineLevel="0" collapsed="false">
      <c r="A4904" s="43"/>
      <c r="B4904" s="44"/>
      <c r="C4904" s="44"/>
      <c r="D4904" s="44"/>
      <c r="E4904" s="44"/>
      <c r="F4904" s="44"/>
      <c r="G4904" s="44"/>
      <c r="H4904" s="46" t="str">
        <f aca="false">IF($A4904="","",IF(OR(NOT(ISNUMBER(E4904)),NOT(ISNUMBER(F4904))),"",MAX(0,E4904)*F4904))</f>
        <v/>
      </c>
      <c r="I4904" s="46" t="str">
        <f aca="false">IF($A4904="","",SUMIF($A$2:$A$5001,$A4904,$H$2:$H$5001))</f>
        <v/>
      </c>
      <c r="J4904" s="47" t="n">
        <f aca="false">IF($A4904="",0,IF(COUNTIF($A$2:A4904,$A4904)=1,1,0))</f>
        <v>0</v>
      </c>
      <c r="K4904" s="47" t="n">
        <f aca="false">IF(J4904=1,N(I4904)+ROW()/10000000,0)</f>
        <v>0</v>
      </c>
      <c r="L4904" s="47" t="str">
        <f aca="false">IF(AND(J4904=1,N(I4904)&gt;0),SUMIF($K$2:$K$5001,"&gt;="&amp;K4904,$I$2:$I$5001)/MAX(1,SUM($H$2:$H$5001)),"")</f>
        <v/>
      </c>
      <c r="M4904" s="47" t="str">
        <f aca="false">IF($A4904="","",INDEX($L$2:$L$5001,MATCH($A4904,$A$2:$A$5001,0)))</f>
        <v/>
      </c>
      <c r="N4904" s="48" t="str">
        <f aca="false">IF($A4904="","",IF(N(M4904)=0,"–",IF(M4904&lt;=Start!$D$20,"A",IF(M4904&lt;=Start!$D$21,"B","C"))))</f>
        <v/>
      </c>
      <c r="O4904" s="48" t="str">
        <f aca="false">IF($A4904="","",IF(NOT(ISNUMBER(F4904)),"Wert fehlt; ",IF(F4904&lt;=0,"Wert ist 0; ",""))&amp;IF(NOT(ISNUMBER(E4904)),"Bestand fehlt; ",IF(E4904&lt;0,"Bestand negativ; ",IF(E4904=0,"Nullbestand; ","")))&amp;IF(D4904="","Warengruppe fehlt; ","")&amp;IF(B4904="","Bezeichnung fehlt; ","")&amp;IF(COUNTIFS($A$2:$A$5001,$A4904,$C$2:$C$5001,C4904)&gt;1,"Artikel doppelt im selben Lager; ",""))</f>
        <v/>
      </c>
      <c r="P4904" s="47" t="n">
        <f aca="false">IF(OR($A4904="",D4904=""),0,IF(COUNTIF($D$2:D4904,D4904)=1,SUMIF($D$2:$D$5001,D4904,$H$2:$H$5001)+ROW()/10000000,0))</f>
        <v>0</v>
      </c>
      <c r="Q4904" s="47" t="n">
        <f aca="false">IF(OR($A4904="",C4904=""),0,IF(COUNTIF($C$2:C4904,C4904)=1,SUMIF($C$2:$C$5001,C4904,$H$2:$H$5001)+ROW()/10000000,0))</f>
        <v>0</v>
      </c>
    </row>
    <row r="4905" customFormat="false" ht="15" hidden="false" customHeight="false" outlineLevel="0" collapsed="false">
      <c r="A4905" s="43"/>
      <c r="B4905" s="44"/>
      <c r="C4905" s="44"/>
      <c r="D4905" s="44"/>
      <c r="E4905" s="44"/>
      <c r="F4905" s="44"/>
      <c r="G4905" s="44"/>
      <c r="H4905" s="46" t="str">
        <f aca="false">IF($A4905="","",IF(OR(NOT(ISNUMBER(E4905)),NOT(ISNUMBER(F4905))),"",MAX(0,E4905)*F4905))</f>
        <v/>
      </c>
      <c r="I4905" s="46" t="str">
        <f aca="false">IF($A4905="","",SUMIF($A$2:$A$5001,$A4905,$H$2:$H$5001))</f>
        <v/>
      </c>
      <c r="J4905" s="47" t="n">
        <f aca="false">IF($A4905="",0,IF(COUNTIF($A$2:A4905,$A4905)=1,1,0))</f>
        <v>0</v>
      </c>
      <c r="K4905" s="47" t="n">
        <f aca="false">IF(J4905=1,N(I4905)+ROW()/10000000,0)</f>
        <v>0</v>
      </c>
      <c r="L4905" s="47" t="str">
        <f aca="false">IF(AND(J4905=1,N(I4905)&gt;0),SUMIF($K$2:$K$5001,"&gt;="&amp;K4905,$I$2:$I$5001)/MAX(1,SUM($H$2:$H$5001)),"")</f>
        <v/>
      </c>
      <c r="M4905" s="47" t="str">
        <f aca="false">IF($A4905="","",INDEX($L$2:$L$5001,MATCH($A4905,$A$2:$A$5001,0)))</f>
        <v/>
      </c>
      <c r="N4905" s="48" t="str">
        <f aca="false">IF($A4905="","",IF(N(M4905)=0,"–",IF(M4905&lt;=Start!$D$20,"A",IF(M4905&lt;=Start!$D$21,"B","C"))))</f>
        <v/>
      </c>
      <c r="O4905" s="48" t="str">
        <f aca="false">IF($A4905="","",IF(NOT(ISNUMBER(F4905)),"Wert fehlt; ",IF(F4905&lt;=0,"Wert ist 0; ",""))&amp;IF(NOT(ISNUMBER(E4905)),"Bestand fehlt; ",IF(E4905&lt;0,"Bestand negativ; ",IF(E4905=0,"Nullbestand; ","")))&amp;IF(D4905="","Warengruppe fehlt; ","")&amp;IF(B4905="","Bezeichnung fehlt; ","")&amp;IF(COUNTIFS($A$2:$A$5001,$A4905,$C$2:$C$5001,C4905)&gt;1,"Artikel doppelt im selben Lager; ",""))</f>
        <v/>
      </c>
      <c r="P4905" s="47" t="n">
        <f aca="false">IF(OR($A4905="",D4905=""),0,IF(COUNTIF($D$2:D4905,D4905)=1,SUMIF($D$2:$D$5001,D4905,$H$2:$H$5001)+ROW()/10000000,0))</f>
        <v>0</v>
      </c>
      <c r="Q4905" s="47" t="n">
        <f aca="false">IF(OR($A4905="",C4905=""),0,IF(COUNTIF($C$2:C4905,C4905)=1,SUMIF($C$2:$C$5001,C4905,$H$2:$H$5001)+ROW()/10000000,0))</f>
        <v>0</v>
      </c>
    </row>
    <row r="4906" customFormat="false" ht="15" hidden="false" customHeight="false" outlineLevel="0" collapsed="false">
      <c r="A4906" s="43"/>
      <c r="B4906" s="44"/>
      <c r="C4906" s="44"/>
      <c r="D4906" s="44"/>
      <c r="E4906" s="44"/>
      <c r="F4906" s="44"/>
      <c r="G4906" s="44"/>
      <c r="H4906" s="46" t="str">
        <f aca="false">IF($A4906="","",IF(OR(NOT(ISNUMBER(E4906)),NOT(ISNUMBER(F4906))),"",MAX(0,E4906)*F4906))</f>
        <v/>
      </c>
      <c r="I4906" s="46" t="str">
        <f aca="false">IF($A4906="","",SUMIF($A$2:$A$5001,$A4906,$H$2:$H$5001))</f>
        <v/>
      </c>
      <c r="J4906" s="47" t="n">
        <f aca="false">IF($A4906="",0,IF(COUNTIF($A$2:A4906,$A4906)=1,1,0))</f>
        <v>0</v>
      </c>
      <c r="K4906" s="47" t="n">
        <f aca="false">IF(J4906=1,N(I4906)+ROW()/10000000,0)</f>
        <v>0</v>
      </c>
      <c r="L4906" s="47" t="str">
        <f aca="false">IF(AND(J4906=1,N(I4906)&gt;0),SUMIF($K$2:$K$5001,"&gt;="&amp;K4906,$I$2:$I$5001)/MAX(1,SUM($H$2:$H$5001)),"")</f>
        <v/>
      </c>
      <c r="M4906" s="47" t="str">
        <f aca="false">IF($A4906="","",INDEX($L$2:$L$5001,MATCH($A4906,$A$2:$A$5001,0)))</f>
        <v/>
      </c>
      <c r="N4906" s="48" t="str">
        <f aca="false">IF($A4906="","",IF(N(M4906)=0,"–",IF(M4906&lt;=Start!$D$20,"A",IF(M4906&lt;=Start!$D$21,"B","C"))))</f>
        <v/>
      </c>
      <c r="O4906" s="48" t="str">
        <f aca="false">IF($A4906="","",IF(NOT(ISNUMBER(F4906)),"Wert fehlt; ",IF(F4906&lt;=0,"Wert ist 0; ",""))&amp;IF(NOT(ISNUMBER(E4906)),"Bestand fehlt; ",IF(E4906&lt;0,"Bestand negativ; ",IF(E4906=0,"Nullbestand; ","")))&amp;IF(D4906="","Warengruppe fehlt; ","")&amp;IF(B4906="","Bezeichnung fehlt; ","")&amp;IF(COUNTIFS($A$2:$A$5001,$A4906,$C$2:$C$5001,C4906)&gt;1,"Artikel doppelt im selben Lager; ",""))</f>
        <v/>
      </c>
      <c r="P4906" s="47" t="n">
        <f aca="false">IF(OR($A4906="",D4906=""),0,IF(COUNTIF($D$2:D4906,D4906)=1,SUMIF($D$2:$D$5001,D4906,$H$2:$H$5001)+ROW()/10000000,0))</f>
        <v>0</v>
      </c>
      <c r="Q4906" s="47" t="n">
        <f aca="false">IF(OR($A4906="",C4906=""),0,IF(COUNTIF($C$2:C4906,C4906)=1,SUMIF($C$2:$C$5001,C4906,$H$2:$H$5001)+ROW()/10000000,0))</f>
        <v>0</v>
      </c>
    </row>
    <row r="4907" customFormat="false" ht="15" hidden="false" customHeight="false" outlineLevel="0" collapsed="false">
      <c r="A4907" s="43"/>
      <c r="B4907" s="44"/>
      <c r="C4907" s="44"/>
      <c r="D4907" s="44"/>
      <c r="E4907" s="44"/>
      <c r="F4907" s="44"/>
      <c r="G4907" s="44"/>
      <c r="H4907" s="46" t="str">
        <f aca="false">IF($A4907="","",IF(OR(NOT(ISNUMBER(E4907)),NOT(ISNUMBER(F4907))),"",MAX(0,E4907)*F4907))</f>
        <v/>
      </c>
      <c r="I4907" s="46" t="str">
        <f aca="false">IF($A4907="","",SUMIF($A$2:$A$5001,$A4907,$H$2:$H$5001))</f>
        <v/>
      </c>
      <c r="J4907" s="47" t="n">
        <f aca="false">IF($A4907="",0,IF(COUNTIF($A$2:A4907,$A4907)=1,1,0))</f>
        <v>0</v>
      </c>
      <c r="K4907" s="47" t="n">
        <f aca="false">IF(J4907=1,N(I4907)+ROW()/10000000,0)</f>
        <v>0</v>
      </c>
      <c r="L4907" s="47" t="str">
        <f aca="false">IF(AND(J4907=1,N(I4907)&gt;0),SUMIF($K$2:$K$5001,"&gt;="&amp;K4907,$I$2:$I$5001)/MAX(1,SUM($H$2:$H$5001)),"")</f>
        <v/>
      </c>
      <c r="M4907" s="47" t="str">
        <f aca="false">IF($A4907="","",INDEX($L$2:$L$5001,MATCH($A4907,$A$2:$A$5001,0)))</f>
        <v/>
      </c>
      <c r="N4907" s="48" t="str">
        <f aca="false">IF($A4907="","",IF(N(M4907)=0,"–",IF(M4907&lt;=Start!$D$20,"A",IF(M4907&lt;=Start!$D$21,"B","C"))))</f>
        <v/>
      </c>
      <c r="O4907" s="48" t="str">
        <f aca="false">IF($A4907="","",IF(NOT(ISNUMBER(F4907)),"Wert fehlt; ",IF(F4907&lt;=0,"Wert ist 0; ",""))&amp;IF(NOT(ISNUMBER(E4907)),"Bestand fehlt; ",IF(E4907&lt;0,"Bestand negativ; ",IF(E4907=0,"Nullbestand; ","")))&amp;IF(D4907="","Warengruppe fehlt; ","")&amp;IF(B4907="","Bezeichnung fehlt; ","")&amp;IF(COUNTIFS($A$2:$A$5001,$A4907,$C$2:$C$5001,C4907)&gt;1,"Artikel doppelt im selben Lager; ",""))</f>
        <v/>
      </c>
      <c r="P4907" s="47" t="n">
        <f aca="false">IF(OR($A4907="",D4907=""),0,IF(COUNTIF($D$2:D4907,D4907)=1,SUMIF($D$2:$D$5001,D4907,$H$2:$H$5001)+ROW()/10000000,0))</f>
        <v>0</v>
      </c>
      <c r="Q4907" s="47" t="n">
        <f aca="false">IF(OR($A4907="",C4907=""),0,IF(COUNTIF($C$2:C4907,C4907)=1,SUMIF($C$2:$C$5001,C4907,$H$2:$H$5001)+ROW()/10000000,0))</f>
        <v>0</v>
      </c>
    </row>
    <row r="4908" customFormat="false" ht="15" hidden="false" customHeight="false" outlineLevel="0" collapsed="false">
      <c r="A4908" s="43"/>
      <c r="B4908" s="44"/>
      <c r="C4908" s="44"/>
      <c r="D4908" s="44"/>
      <c r="E4908" s="44"/>
      <c r="F4908" s="44"/>
      <c r="G4908" s="44"/>
      <c r="H4908" s="46" t="str">
        <f aca="false">IF($A4908="","",IF(OR(NOT(ISNUMBER(E4908)),NOT(ISNUMBER(F4908))),"",MAX(0,E4908)*F4908))</f>
        <v/>
      </c>
      <c r="I4908" s="46" t="str">
        <f aca="false">IF($A4908="","",SUMIF($A$2:$A$5001,$A4908,$H$2:$H$5001))</f>
        <v/>
      </c>
      <c r="J4908" s="47" t="n">
        <f aca="false">IF($A4908="",0,IF(COUNTIF($A$2:A4908,$A4908)=1,1,0))</f>
        <v>0</v>
      </c>
      <c r="K4908" s="47" t="n">
        <f aca="false">IF(J4908=1,N(I4908)+ROW()/10000000,0)</f>
        <v>0</v>
      </c>
      <c r="L4908" s="47" t="str">
        <f aca="false">IF(AND(J4908=1,N(I4908)&gt;0),SUMIF($K$2:$K$5001,"&gt;="&amp;K4908,$I$2:$I$5001)/MAX(1,SUM($H$2:$H$5001)),"")</f>
        <v/>
      </c>
      <c r="M4908" s="47" t="str">
        <f aca="false">IF($A4908="","",INDEX($L$2:$L$5001,MATCH($A4908,$A$2:$A$5001,0)))</f>
        <v/>
      </c>
      <c r="N4908" s="48" t="str">
        <f aca="false">IF($A4908="","",IF(N(M4908)=0,"–",IF(M4908&lt;=Start!$D$20,"A",IF(M4908&lt;=Start!$D$21,"B","C"))))</f>
        <v/>
      </c>
      <c r="O4908" s="48" t="str">
        <f aca="false">IF($A4908="","",IF(NOT(ISNUMBER(F4908)),"Wert fehlt; ",IF(F4908&lt;=0,"Wert ist 0; ",""))&amp;IF(NOT(ISNUMBER(E4908)),"Bestand fehlt; ",IF(E4908&lt;0,"Bestand negativ; ",IF(E4908=0,"Nullbestand; ","")))&amp;IF(D4908="","Warengruppe fehlt; ","")&amp;IF(B4908="","Bezeichnung fehlt; ","")&amp;IF(COUNTIFS($A$2:$A$5001,$A4908,$C$2:$C$5001,C4908)&gt;1,"Artikel doppelt im selben Lager; ",""))</f>
        <v/>
      </c>
      <c r="P4908" s="47" t="n">
        <f aca="false">IF(OR($A4908="",D4908=""),0,IF(COUNTIF($D$2:D4908,D4908)=1,SUMIF($D$2:$D$5001,D4908,$H$2:$H$5001)+ROW()/10000000,0))</f>
        <v>0</v>
      </c>
      <c r="Q4908" s="47" t="n">
        <f aca="false">IF(OR($A4908="",C4908=""),0,IF(COUNTIF($C$2:C4908,C4908)=1,SUMIF($C$2:$C$5001,C4908,$H$2:$H$5001)+ROW()/10000000,0))</f>
        <v>0</v>
      </c>
    </row>
    <row r="4909" customFormat="false" ht="15" hidden="false" customHeight="false" outlineLevel="0" collapsed="false">
      <c r="A4909" s="43"/>
      <c r="B4909" s="44"/>
      <c r="C4909" s="44"/>
      <c r="D4909" s="44"/>
      <c r="E4909" s="44"/>
      <c r="F4909" s="44"/>
      <c r="G4909" s="44"/>
      <c r="H4909" s="46" t="str">
        <f aca="false">IF($A4909="","",IF(OR(NOT(ISNUMBER(E4909)),NOT(ISNUMBER(F4909))),"",MAX(0,E4909)*F4909))</f>
        <v/>
      </c>
      <c r="I4909" s="46" t="str">
        <f aca="false">IF($A4909="","",SUMIF($A$2:$A$5001,$A4909,$H$2:$H$5001))</f>
        <v/>
      </c>
      <c r="J4909" s="47" t="n">
        <f aca="false">IF($A4909="",0,IF(COUNTIF($A$2:A4909,$A4909)=1,1,0))</f>
        <v>0</v>
      </c>
      <c r="K4909" s="47" t="n">
        <f aca="false">IF(J4909=1,N(I4909)+ROW()/10000000,0)</f>
        <v>0</v>
      </c>
      <c r="L4909" s="47" t="str">
        <f aca="false">IF(AND(J4909=1,N(I4909)&gt;0),SUMIF($K$2:$K$5001,"&gt;="&amp;K4909,$I$2:$I$5001)/MAX(1,SUM($H$2:$H$5001)),"")</f>
        <v/>
      </c>
      <c r="M4909" s="47" t="str">
        <f aca="false">IF($A4909="","",INDEX($L$2:$L$5001,MATCH($A4909,$A$2:$A$5001,0)))</f>
        <v/>
      </c>
      <c r="N4909" s="48" t="str">
        <f aca="false">IF($A4909="","",IF(N(M4909)=0,"–",IF(M4909&lt;=Start!$D$20,"A",IF(M4909&lt;=Start!$D$21,"B","C"))))</f>
        <v/>
      </c>
      <c r="O4909" s="48" t="str">
        <f aca="false">IF($A4909="","",IF(NOT(ISNUMBER(F4909)),"Wert fehlt; ",IF(F4909&lt;=0,"Wert ist 0; ",""))&amp;IF(NOT(ISNUMBER(E4909)),"Bestand fehlt; ",IF(E4909&lt;0,"Bestand negativ; ",IF(E4909=0,"Nullbestand; ","")))&amp;IF(D4909="","Warengruppe fehlt; ","")&amp;IF(B4909="","Bezeichnung fehlt; ","")&amp;IF(COUNTIFS($A$2:$A$5001,$A4909,$C$2:$C$5001,C4909)&gt;1,"Artikel doppelt im selben Lager; ",""))</f>
        <v/>
      </c>
      <c r="P4909" s="47" t="n">
        <f aca="false">IF(OR($A4909="",D4909=""),0,IF(COUNTIF($D$2:D4909,D4909)=1,SUMIF($D$2:$D$5001,D4909,$H$2:$H$5001)+ROW()/10000000,0))</f>
        <v>0</v>
      </c>
      <c r="Q4909" s="47" t="n">
        <f aca="false">IF(OR($A4909="",C4909=""),0,IF(COUNTIF($C$2:C4909,C4909)=1,SUMIF($C$2:$C$5001,C4909,$H$2:$H$5001)+ROW()/10000000,0))</f>
        <v>0</v>
      </c>
    </row>
    <row r="4910" customFormat="false" ht="15" hidden="false" customHeight="false" outlineLevel="0" collapsed="false">
      <c r="A4910" s="43"/>
      <c r="B4910" s="44"/>
      <c r="C4910" s="44"/>
      <c r="D4910" s="44"/>
      <c r="E4910" s="44"/>
      <c r="F4910" s="44"/>
      <c r="G4910" s="44"/>
      <c r="H4910" s="46" t="str">
        <f aca="false">IF($A4910="","",IF(OR(NOT(ISNUMBER(E4910)),NOT(ISNUMBER(F4910))),"",MAX(0,E4910)*F4910))</f>
        <v/>
      </c>
      <c r="I4910" s="46" t="str">
        <f aca="false">IF($A4910="","",SUMIF($A$2:$A$5001,$A4910,$H$2:$H$5001))</f>
        <v/>
      </c>
      <c r="J4910" s="47" t="n">
        <f aca="false">IF($A4910="",0,IF(COUNTIF($A$2:A4910,$A4910)=1,1,0))</f>
        <v>0</v>
      </c>
      <c r="K4910" s="47" t="n">
        <f aca="false">IF(J4910=1,N(I4910)+ROW()/10000000,0)</f>
        <v>0</v>
      </c>
      <c r="L4910" s="47" t="str">
        <f aca="false">IF(AND(J4910=1,N(I4910)&gt;0),SUMIF($K$2:$K$5001,"&gt;="&amp;K4910,$I$2:$I$5001)/MAX(1,SUM($H$2:$H$5001)),"")</f>
        <v/>
      </c>
      <c r="M4910" s="47" t="str">
        <f aca="false">IF($A4910="","",INDEX($L$2:$L$5001,MATCH($A4910,$A$2:$A$5001,0)))</f>
        <v/>
      </c>
      <c r="N4910" s="48" t="str">
        <f aca="false">IF($A4910="","",IF(N(M4910)=0,"–",IF(M4910&lt;=Start!$D$20,"A",IF(M4910&lt;=Start!$D$21,"B","C"))))</f>
        <v/>
      </c>
      <c r="O4910" s="48" t="str">
        <f aca="false">IF($A4910="","",IF(NOT(ISNUMBER(F4910)),"Wert fehlt; ",IF(F4910&lt;=0,"Wert ist 0; ",""))&amp;IF(NOT(ISNUMBER(E4910)),"Bestand fehlt; ",IF(E4910&lt;0,"Bestand negativ; ",IF(E4910=0,"Nullbestand; ","")))&amp;IF(D4910="","Warengruppe fehlt; ","")&amp;IF(B4910="","Bezeichnung fehlt; ","")&amp;IF(COUNTIFS($A$2:$A$5001,$A4910,$C$2:$C$5001,C4910)&gt;1,"Artikel doppelt im selben Lager; ",""))</f>
        <v/>
      </c>
      <c r="P4910" s="47" t="n">
        <f aca="false">IF(OR($A4910="",D4910=""),0,IF(COUNTIF($D$2:D4910,D4910)=1,SUMIF($D$2:$D$5001,D4910,$H$2:$H$5001)+ROW()/10000000,0))</f>
        <v>0</v>
      </c>
      <c r="Q4910" s="47" t="n">
        <f aca="false">IF(OR($A4910="",C4910=""),0,IF(COUNTIF($C$2:C4910,C4910)=1,SUMIF($C$2:$C$5001,C4910,$H$2:$H$5001)+ROW()/10000000,0))</f>
        <v>0</v>
      </c>
    </row>
    <row r="4911" customFormat="false" ht="15" hidden="false" customHeight="false" outlineLevel="0" collapsed="false">
      <c r="A4911" s="43"/>
      <c r="B4911" s="44"/>
      <c r="C4911" s="44"/>
      <c r="D4911" s="44"/>
      <c r="E4911" s="44"/>
      <c r="F4911" s="44"/>
      <c r="G4911" s="44"/>
      <c r="H4911" s="46" t="str">
        <f aca="false">IF($A4911="","",IF(OR(NOT(ISNUMBER(E4911)),NOT(ISNUMBER(F4911))),"",MAX(0,E4911)*F4911))</f>
        <v/>
      </c>
      <c r="I4911" s="46" t="str">
        <f aca="false">IF($A4911="","",SUMIF($A$2:$A$5001,$A4911,$H$2:$H$5001))</f>
        <v/>
      </c>
      <c r="J4911" s="47" t="n">
        <f aca="false">IF($A4911="",0,IF(COUNTIF($A$2:A4911,$A4911)=1,1,0))</f>
        <v>0</v>
      </c>
      <c r="K4911" s="47" t="n">
        <f aca="false">IF(J4911=1,N(I4911)+ROW()/10000000,0)</f>
        <v>0</v>
      </c>
      <c r="L4911" s="47" t="str">
        <f aca="false">IF(AND(J4911=1,N(I4911)&gt;0),SUMIF($K$2:$K$5001,"&gt;="&amp;K4911,$I$2:$I$5001)/MAX(1,SUM($H$2:$H$5001)),"")</f>
        <v/>
      </c>
      <c r="M4911" s="47" t="str">
        <f aca="false">IF($A4911="","",INDEX($L$2:$L$5001,MATCH($A4911,$A$2:$A$5001,0)))</f>
        <v/>
      </c>
      <c r="N4911" s="48" t="str">
        <f aca="false">IF($A4911="","",IF(N(M4911)=0,"–",IF(M4911&lt;=Start!$D$20,"A",IF(M4911&lt;=Start!$D$21,"B","C"))))</f>
        <v/>
      </c>
      <c r="O4911" s="48" t="str">
        <f aca="false">IF($A4911="","",IF(NOT(ISNUMBER(F4911)),"Wert fehlt; ",IF(F4911&lt;=0,"Wert ist 0; ",""))&amp;IF(NOT(ISNUMBER(E4911)),"Bestand fehlt; ",IF(E4911&lt;0,"Bestand negativ; ",IF(E4911=0,"Nullbestand; ","")))&amp;IF(D4911="","Warengruppe fehlt; ","")&amp;IF(B4911="","Bezeichnung fehlt; ","")&amp;IF(COUNTIFS($A$2:$A$5001,$A4911,$C$2:$C$5001,C4911)&gt;1,"Artikel doppelt im selben Lager; ",""))</f>
        <v/>
      </c>
      <c r="P4911" s="47" t="n">
        <f aca="false">IF(OR($A4911="",D4911=""),0,IF(COUNTIF($D$2:D4911,D4911)=1,SUMIF($D$2:$D$5001,D4911,$H$2:$H$5001)+ROW()/10000000,0))</f>
        <v>0</v>
      </c>
      <c r="Q4911" s="47" t="n">
        <f aca="false">IF(OR($A4911="",C4911=""),0,IF(COUNTIF($C$2:C4911,C4911)=1,SUMIF($C$2:$C$5001,C4911,$H$2:$H$5001)+ROW()/10000000,0))</f>
        <v>0</v>
      </c>
    </row>
    <row r="4912" customFormat="false" ht="15" hidden="false" customHeight="false" outlineLevel="0" collapsed="false">
      <c r="A4912" s="43"/>
      <c r="B4912" s="44"/>
      <c r="C4912" s="44"/>
      <c r="D4912" s="44"/>
      <c r="E4912" s="44"/>
      <c r="F4912" s="44"/>
      <c r="G4912" s="44"/>
      <c r="H4912" s="46" t="str">
        <f aca="false">IF($A4912="","",IF(OR(NOT(ISNUMBER(E4912)),NOT(ISNUMBER(F4912))),"",MAX(0,E4912)*F4912))</f>
        <v/>
      </c>
      <c r="I4912" s="46" t="str">
        <f aca="false">IF($A4912="","",SUMIF($A$2:$A$5001,$A4912,$H$2:$H$5001))</f>
        <v/>
      </c>
      <c r="J4912" s="47" t="n">
        <f aca="false">IF($A4912="",0,IF(COUNTIF($A$2:A4912,$A4912)=1,1,0))</f>
        <v>0</v>
      </c>
      <c r="K4912" s="47" t="n">
        <f aca="false">IF(J4912=1,N(I4912)+ROW()/10000000,0)</f>
        <v>0</v>
      </c>
      <c r="L4912" s="47" t="str">
        <f aca="false">IF(AND(J4912=1,N(I4912)&gt;0),SUMIF($K$2:$K$5001,"&gt;="&amp;K4912,$I$2:$I$5001)/MAX(1,SUM($H$2:$H$5001)),"")</f>
        <v/>
      </c>
      <c r="M4912" s="47" t="str">
        <f aca="false">IF($A4912="","",INDEX($L$2:$L$5001,MATCH($A4912,$A$2:$A$5001,0)))</f>
        <v/>
      </c>
      <c r="N4912" s="48" t="str">
        <f aca="false">IF($A4912="","",IF(N(M4912)=0,"–",IF(M4912&lt;=Start!$D$20,"A",IF(M4912&lt;=Start!$D$21,"B","C"))))</f>
        <v/>
      </c>
      <c r="O4912" s="48" t="str">
        <f aca="false">IF($A4912="","",IF(NOT(ISNUMBER(F4912)),"Wert fehlt; ",IF(F4912&lt;=0,"Wert ist 0; ",""))&amp;IF(NOT(ISNUMBER(E4912)),"Bestand fehlt; ",IF(E4912&lt;0,"Bestand negativ; ",IF(E4912=0,"Nullbestand; ","")))&amp;IF(D4912="","Warengruppe fehlt; ","")&amp;IF(B4912="","Bezeichnung fehlt; ","")&amp;IF(COUNTIFS($A$2:$A$5001,$A4912,$C$2:$C$5001,C4912)&gt;1,"Artikel doppelt im selben Lager; ",""))</f>
        <v/>
      </c>
      <c r="P4912" s="47" t="n">
        <f aca="false">IF(OR($A4912="",D4912=""),0,IF(COUNTIF($D$2:D4912,D4912)=1,SUMIF($D$2:$D$5001,D4912,$H$2:$H$5001)+ROW()/10000000,0))</f>
        <v>0</v>
      </c>
      <c r="Q4912" s="47" t="n">
        <f aca="false">IF(OR($A4912="",C4912=""),0,IF(COUNTIF($C$2:C4912,C4912)=1,SUMIF($C$2:$C$5001,C4912,$H$2:$H$5001)+ROW()/10000000,0))</f>
        <v>0</v>
      </c>
    </row>
    <row r="4913" customFormat="false" ht="15" hidden="false" customHeight="false" outlineLevel="0" collapsed="false">
      <c r="A4913" s="43"/>
      <c r="B4913" s="44"/>
      <c r="C4913" s="44"/>
      <c r="D4913" s="44"/>
      <c r="E4913" s="44"/>
      <c r="F4913" s="44"/>
      <c r="G4913" s="44"/>
      <c r="H4913" s="46" t="str">
        <f aca="false">IF($A4913="","",IF(OR(NOT(ISNUMBER(E4913)),NOT(ISNUMBER(F4913))),"",MAX(0,E4913)*F4913))</f>
        <v/>
      </c>
      <c r="I4913" s="46" t="str">
        <f aca="false">IF($A4913="","",SUMIF($A$2:$A$5001,$A4913,$H$2:$H$5001))</f>
        <v/>
      </c>
      <c r="J4913" s="47" t="n">
        <f aca="false">IF($A4913="",0,IF(COUNTIF($A$2:A4913,$A4913)=1,1,0))</f>
        <v>0</v>
      </c>
      <c r="K4913" s="47" t="n">
        <f aca="false">IF(J4913=1,N(I4913)+ROW()/10000000,0)</f>
        <v>0</v>
      </c>
      <c r="L4913" s="47" t="str">
        <f aca="false">IF(AND(J4913=1,N(I4913)&gt;0),SUMIF($K$2:$K$5001,"&gt;="&amp;K4913,$I$2:$I$5001)/MAX(1,SUM($H$2:$H$5001)),"")</f>
        <v/>
      </c>
      <c r="M4913" s="47" t="str">
        <f aca="false">IF($A4913="","",INDEX($L$2:$L$5001,MATCH($A4913,$A$2:$A$5001,0)))</f>
        <v/>
      </c>
      <c r="N4913" s="48" t="str">
        <f aca="false">IF($A4913="","",IF(N(M4913)=0,"–",IF(M4913&lt;=Start!$D$20,"A",IF(M4913&lt;=Start!$D$21,"B","C"))))</f>
        <v/>
      </c>
      <c r="O4913" s="48" t="str">
        <f aca="false">IF($A4913="","",IF(NOT(ISNUMBER(F4913)),"Wert fehlt; ",IF(F4913&lt;=0,"Wert ist 0; ",""))&amp;IF(NOT(ISNUMBER(E4913)),"Bestand fehlt; ",IF(E4913&lt;0,"Bestand negativ; ",IF(E4913=0,"Nullbestand; ","")))&amp;IF(D4913="","Warengruppe fehlt; ","")&amp;IF(B4913="","Bezeichnung fehlt; ","")&amp;IF(COUNTIFS($A$2:$A$5001,$A4913,$C$2:$C$5001,C4913)&gt;1,"Artikel doppelt im selben Lager; ",""))</f>
        <v/>
      </c>
      <c r="P4913" s="47" t="n">
        <f aca="false">IF(OR($A4913="",D4913=""),0,IF(COUNTIF($D$2:D4913,D4913)=1,SUMIF($D$2:$D$5001,D4913,$H$2:$H$5001)+ROW()/10000000,0))</f>
        <v>0</v>
      </c>
      <c r="Q4913" s="47" t="n">
        <f aca="false">IF(OR($A4913="",C4913=""),0,IF(COUNTIF($C$2:C4913,C4913)=1,SUMIF($C$2:$C$5001,C4913,$H$2:$H$5001)+ROW()/10000000,0))</f>
        <v>0</v>
      </c>
    </row>
    <row r="4914" customFormat="false" ht="15" hidden="false" customHeight="false" outlineLevel="0" collapsed="false">
      <c r="A4914" s="43"/>
      <c r="B4914" s="44"/>
      <c r="C4914" s="44"/>
      <c r="D4914" s="44"/>
      <c r="E4914" s="44"/>
      <c r="F4914" s="44"/>
      <c r="G4914" s="44"/>
      <c r="H4914" s="46" t="str">
        <f aca="false">IF($A4914="","",IF(OR(NOT(ISNUMBER(E4914)),NOT(ISNUMBER(F4914))),"",MAX(0,E4914)*F4914))</f>
        <v/>
      </c>
      <c r="I4914" s="46" t="str">
        <f aca="false">IF($A4914="","",SUMIF($A$2:$A$5001,$A4914,$H$2:$H$5001))</f>
        <v/>
      </c>
      <c r="J4914" s="47" t="n">
        <f aca="false">IF($A4914="",0,IF(COUNTIF($A$2:A4914,$A4914)=1,1,0))</f>
        <v>0</v>
      </c>
      <c r="K4914" s="47" t="n">
        <f aca="false">IF(J4914=1,N(I4914)+ROW()/10000000,0)</f>
        <v>0</v>
      </c>
      <c r="L4914" s="47" t="str">
        <f aca="false">IF(AND(J4914=1,N(I4914)&gt;0),SUMIF($K$2:$K$5001,"&gt;="&amp;K4914,$I$2:$I$5001)/MAX(1,SUM($H$2:$H$5001)),"")</f>
        <v/>
      </c>
      <c r="M4914" s="47" t="str">
        <f aca="false">IF($A4914="","",INDEX($L$2:$L$5001,MATCH($A4914,$A$2:$A$5001,0)))</f>
        <v/>
      </c>
      <c r="N4914" s="48" t="str">
        <f aca="false">IF($A4914="","",IF(N(M4914)=0,"–",IF(M4914&lt;=Start!$D$20,"A",IF(M4914&lt;=Start!$D$21,"B","C"))))</f>
        <v/>
      </c>
      <c r="O4914" s="48" t="str">
        <f aca="false">IF($A4914="","",IF(NOT(ISNUMBER(F4914)),"Wert fehlt; ",IF(F4914&lt;=0,"Wert ist 0; ",""))&amp;IF(NOT(ISNUMBER(E4914)),"Bestand fehlt; ",IF(E4914&lt;0,"Bestand negativ; ",IF(E4914=0,"Nullbestand; ","")))&amp;IF(D4914="","Warengruppe fehlt; ","")&amp;IF(B4914="","Bezeichnung fehlt; ","")&amp;IF(COUNTIFS($A$2:$A$5001,$A4914,$C$2:$C$5001,C4914)&gt;1,"Artikel doppelt im selben Lager; ",""))</f>
        <v/>
      </c>
      <c r="P4914" s="47" t="n">
        <f aca="false">IF(OR($A4914="",D4914=""),0,IF(COUNTIF($D$2:D4914,D4914)=1,SUMIF($D$2:$D$5001,D4914,$H$2:$H$5001)+ROW()/10000000,0))</f>
        <v>0</v>
      </c>
      <c r="Q4914" s="47" t="n">
        <f aca="false">IF(OR($A4914="",C4914=""),0,IF(COUNTIF($C$2:C4914,C4914)=1,SUMIF($C$2:$C$5001,C4914,$H$2:$H$5001)+ROW()/10000000,0))</f>
        <v>0</v>
      </c>
    </row>
    <row r="4915" customFormat="false" ht="15" hidden="false" customHeight="false" outlineLevel="0" collapsed="false">
      <c r="A4915" s="43"/>
      <c r="B4915" s="44"/>
      <c r="C4915" s="44"/>
      <c r="D4915" s="44"/>
      <c r="E4915" s="44"/>
      <c r="F4915" s="44"/>
      <c r="G4915" s="44"/>
      <c r="H4915" s="46" t="str">
        <f aca="false">IF($A4915="","",IF(OR(NOT(ISNUMBER(E4915)),NOT(ISNUMBER(F4915))),"",MAX(0,E4915)*F4915))</f>
        <v/>
      </c>
      <c r="I4915" s="46" t="str">
        <f aca="false">IF($A4915="","",SUMIF($A$2:$A$5001,$A4915,$H$2:$H$5001))</f>
        <v/>
      </c>
      <c r="J4915" s="47" t="n">
        <f aca="false">IF($A4915="",0,IF(COUNTIF($A$2:A4915,$A4915)=1,1,0))</f>
        <v>0</v>
      </c>
      <c r="K4915" s="47" t="n">
        <f aca="false">IF(J4915=1,N(I4915)+ROW()/10000000,0)</f>
        <v>0</v>
      </c>
      <c r="L4915" s="47" t="str">
        <f aca="false">IF(AND(J4915=1,N(I4915)&gt;0),SUMIF($K$2:$K$5001,"&gt;="&amp;K4915,$I$2:$I$5001)/MAX(1,SUM($H$2:$H$5001)),"")</f>
        <v/>
      </c>
      <c r="M4915" s="47" t="str">
        <f aca="false">IF($A4915="","",INDEX($L$2:$L$5001,MATCH($A4915,$A$2:$A$5001,0)))</f>
        <v/>
      </c>
      <c r="N4915" s="48" t="str">
        <f aca="false">IF($A4915="","",IF(N(M4915)=0,"–",IF(M4915&lt;=Start!$D$20,"A",IF(M4915&lt;=Start!$D$21,"B","C"))))</f>
        <v/>
      </c>
      <c r="O4915" s="48" t="str">
        <f aca="false">IF($A4915="","",IF(NOT(ISNUMBER(F4915)),"Wert fehlt; ",IF(F4915&lt;=0,"Wert ist 0; ",""))&amp;IF(NOT(ISNUMBER(E4915)),"Bestand fehlt; ",IF(E4915&lt;0,"Bestand negativ; ",IF(E4915=0,"Nullbestand; ","")))&amp;IF(D4915="","Warengruppe fehlt; ","")&amp;IF(B4915="","Bezeichnung fehlt; ","")&amp;IF(COUNTIFS($A$2:$A$5001,$A4915,$C$2:$C$5001,C4915)&gt;1,"Artikel doppelt im selben Lager; ",""))</f>
        <v/>
      </c>
      <c r="P4915" s="47" t="n">
        <f aca="false">IF(OR($A4915="",D4915=""),0,IF(COUNTIF($D$2:D4915,D4915)=1,SUMIF($D$2:$D$5001,D4915,$H$2:$H$5001)+ROW()/10000000,0))</f>
        <v>0</v>
      </c>
      <c r="Q4915" s="47" t="n">
        <f aca="false">IF(OR($A4915="",C4915=""),0,IF(COUNTIF($C$2:C4915,C4915)=1,SUMIF($C$2:$C$5001,C4915,$H$2:$H$5001)+ROW()/10000000,0))</f>
        <v>0</v>
      </c>
    </row>
    <row r="4916" customFormat="false" ht="15" hidden="false" customHeight="false" outlineLevel="0" collapsed="false">
      <c r="A4916" s="43"/>
      <c r="B4916" s="44"/>
      <c r="C4916" s="44"/>
      <c r="D4916" s="44"/>
      <c r="E4916" s="44"/>
      <c r="F4916" s="44"/>
      <c r="G4916" s="44"/>
      <c r="H4916" s="46" t="str">
        <f aca="false">IF($A4916="","",IF(OR(NOT(ISNUMBER(E4916)),NOT(ISNUMBER(F4916))),"",MAX(0,E4916)*F4916))</f>
        <v/>
      </c>
      <c r="I4916" s="46" t="str">
        <f aca="false">IF($A4916="","",SUMIF($A$2:$A$5001,$A4916,$H$2:$H$5001))</f>
        <v/>
      </c>
      <c r="J4916" s="47" t="n">
        <f aca="false">IF($A4916="",0,IF(COUNTIF($A$2:A4916,$A4916)=1,1,0))</f>
        <v>0</v>
      </c>
      <c r="K4916" s="47" t="n">
        <f aca="false">IF(J4916=1,N(I4916)+ROW()/10000000,0)</f>
        <v>0</v>
      </c>
      <c r="L4916" s="47" t="str">
        <f aca="false">IF(AND(J4916=1,N(I4916)&gt;0),SUMIF($K$2:$K$5001,"&gt;="&amp;K4916,$I$2:$I$5001)/MAX(1,SUM($H$2:$H$5001)),"")</f>
        <v/>
      </c>
      <c r="M4916" s="47" t="str">
        <f aca="false">IF($A4916="","",INDEX($L$2:$L$5001,MATCH($A4916,$A$2:$A$5001,0)))</f>
        <v/>
      </c>
      <c r="N4916" s="48" t="str">
        <f aca="false">IF($A4916="","",IF(N(M4916)=0,"–",IF(M4916&lt;=Start!$D$20,"A",IF(M4916&lt;=Start!$D$21,"B","C"))))</f>
        <v/>
      </c>
      <c r="O4916" s="48" t="str">
        <f aca="false">IF($A4916="","",IF(NOT(ISNUMBER(F4916)),"Wert fehlt; ",IF(F4916&lt;=0,"Wert ist 0; ",""))&amp;IF(NOT(ISNUMBER(E4916)),"Bestand fehlt; ",IF(E4916&lt;0,"Bestand negativ; ",IF(E4916=0,"Nullbestand; ","")))&amp;IF(D4916="","Warengruppe fehlt; ","")&amp;IF(B4916="","Bezeichnung fehlt; ","")&amp;IF(COUNTIFS($A$2:$A$5001,$A4916,$C$2:$C$5001,C4916)&gt;1,"Artikel doppelt im selben Lager; ",""))</f>
        <v/>
      </c>
      <c r="P4916" s="47" t="n">
        <f aca="false">IF(OR($A4916="",D4916=""),0,IF(COUNTIF($D$2:D4916,D4916)=1,SUMIF($D$2:$D$5001,D4916,$H$2:$H$5001)+ROW()/10000000,0))</f>
        <v>0</v>
      </c>
      <c r="Q4916" s="47" t="n">
        <f aca="false">IF(OR($A4916="",C4916=""),0,IF(COUNTIF($C$2:C4916,C4916)=1,SUMIF($C$2:$C$5001,C4916,$H$2:$H$5001)+ROW()/10000000,0))</f>
        <v>0</v>
      </c>
    </row>
    <row r="4917" customFormat="false" ht="15" hidden="false" customHeight="false" outlineLevel="0" collapsed="false">
      <c r="A4917" s="43"/>
      <c r="B4917" s="44"/>
      <c r="C4917" s="44"/>
      <c r="D4917" s="44"/>
      <c r="E4917" s="44"/>
      <c r="F4917" s="44"/>
      <c r="G4917" s="44"/>
      <c r="H4917" s="46" t="str">
        <f aca="false">IF($A4917="","",IF(OR(NOT(ISNUMBER(E4917)),NOT(ISNUMBER(F4917))),"",MAX(0,E4917)*F4917))</f>
        <v/>
      </c>
      <c r="I4917" s="46" t="str">
        <f aca="false">IF($A4917="","",SUMIF($A$2:$A$5001,$A4917,$H$2:$H$5001))</f>
        <v/>
      </c>
      <c r="J4917" s="47" t="n">
        <f aca="false">IF($A4917="",0,IF(COUNTIF($A$2:A4917,$A4917)=1,1,0))</f>
        <v>0</v>
      </c>
      <c r="K4917" s="47" t="n">
        <f aca="false">IF(J4917=1,N(I4917)+ROW()/10000000,0)</f>
        <v>0</v>
      </c>
      <c r="L4917" s="47" t="str">
        <f aca="false">IF(AND(J4917=1,N(I4917)&gt;0),SUMIF($K$2:$K$5001,"&gt;="&amp;K4917,$I$2:$I$5001)/MAX(1,SUM($H$2:$H$5001)),"")</f>
        <v/>
      </c>
      <c r="M4917" s="47" t="str">
        <f aca="false">IF($A4917="","",INDEX($L$2:$L$5001,MATCH($A4917,$A$2:$A$5001,0)))</f>
        <v/>
      </c>
      <c r="N4917" s="48" t="str">
        <f aca="false">IF($A4917="","",IF(N(M4917)=0,"–",IF(M4917&lt;=Start!$D$20,"A",IF(M4917&lt;=Start!$D$21,"B","C"))))</f>
        <v/>
      </c>
      <c r="O4917" s="48" t="str">
        <f aca="false">IF($A4917="","",IF(NOT(ISNUMBER(F4917)),"Wert fehlt; ",IF(F4917&lt;=0,"Wert ist 0; ",""))&amp;IF(NOT(ISNUMBER(E4917)),"Bestand fehlt; ",IF(E4917&lt;0,"Bestand negativ; ",IF(E4917=0,"Nullbestand; ","")))&amp;IF(D4917="","Warengruppe fehlt; ","")&amp;IF(B4917="","Bezeichnung fehlt; ","")&amp;IF(COUNTIFS($A$2:$A$5001,$A4917,$C$2:$C$5001,C4917)&gt;1,"Artikel doppelt im selben Lager; ",""))</f>
        <v/>
      </c>
      <c r="P4917" s="47" t="n">
        <f aca="false">IF(OR($A4917="",D4917=""),0,IF(COUNTIF($D$2:D4917,D4917)=1,SUMIF($D$2:$D$5001,D4917,$H$2:$H$5001)+ROW()/10000000,0))</f>
        <v>0</v>
      </c>
      <c r="Q4917" s="47" t="n">
        <f aca="false">IF(OR($A4917="",C4917=""),0,IF(COUNTIF($C$2:C4917,C4917)=1,SUMIF($C$2:$C$5001,C4917,$H$2:$H$5001)+ROW()/10000000,0))</f>
        <v>0</v>
      </c>
    </row>
    <row r="4918" customFormat="false" ht="15" hidden="false" customHeight="false" outlineLevel="0" collapsed="false">
      <c r="A4918" s="43"/>
      <c r="B4918" s="44"/>
      <c r="C4918" s="44"/>
      <c r="D4918" s="44"/>
      <c r="E4918" s="44"/>
      <c r="F4918" s="44"/>
      <c r="G4918" s="44"/>
      <c r="H4918" s="46" t="str">
        <f aca="false">IF($A4918="","",IF(OR(NOT(ISNUMBER(E4918)),NOT(ISNUMBER(F4918))),"",MAX(0,E4918)*F4918))</f>
        <v/>
      </c>
      <c r="I4918" s="46" t="str">
        <f aca="false">IF($A4918="","",SUMIF($A$2:$A$5001,$A4918,$H$2:$H$5001))</f>
        <v/>
      </c>
      <c r="J4918" s="47" t="n">
        <f aca="false">IF($A4918="",0,IF(COUNTIF($A$2:A4918,$A4918)=1,1,0))</f>
        <v>0</v>
      </c>
      <c r="K4918" s="47" t="n">
        <f aca="false">IF(J4918=1,N(I4918)+ROW()/10000000,0)</f>
        <v>0</v>
      </c>
      <c r="L4918" s="47" t="str">
        <f aca="false">IF(AND(J4918=1,N(I4918)&gt;0),SUMIF($K$2:$K$5001,"&gt;="&amp;K4918,$I$2:$I$5001)/MAX(1,SUM($H$2:$H$5001)),"")</f>
        <v/>
      </c>
      <c r="M4918" s="47" t="str">
        <f aca="false">IF($A4918="","",INDEX($L$2:$L$5001,MATCH($A4918,$A$2:$A$5001,0)))</f>
        <v/>
      </c>
      <c r="N4918" s="48" t="str">
        <f aca="false">IF($A4918="","",IF(N(M4918)=0,"–",IF(M4918&lt;=Start!$D$20,"A",IF(M4918&lt;=Start!$D$21,"B","C"))))</f>
        <v/>
      </c>
      <c r="O4918" s="48" t="str">
        <f aca="false">IF($A4918="","",IF(NOT(ISNUMBER(F4918)),"Wert fehlt; ",IF(F4918&lt;=0,"Wert ist 0; ",""))&amp;IF(NOT(ISNUMBER(E4918)),"Bestand fehlt; ",IF(E4918&lt;0,"Bestand negativ; ",IF(E4918=0,"Nullbestand; ","")))&amp;IF(D4918="","Warengruppe fehlt; ","")&amp;IF(B4918="","Bezeichnung fehlt; ","")&amp;IF(COUNTIFS($A$2:$A$5001,$A4918,$C$2:$C$5001,C4918)&gt;1,"Artikel doppelt im selben Lager; ",""))</f>
        <v/>
      </c>
      <c r="P4918" s="47" t="n">
        <f aca="false">IF(OR($A4918="",D4918=""),0,IF(COUNTIF($D$2:D4918,D4918)=1,SUMIF($D$2:$D$5001,D4918,$H$2:$H$5001)+ROW()/10000000,0))</f>
        <v>0</v>
      </c>
      <c r="Q4918" s="47" t="n">
        <f aca="false">IF(OR($A4918="",C4918=""),0,IF(COUNTIF($C$2:C4918,C4918)=1,SUMIF($C$2:$C$5001,C4918,$H$2:$H$5001)+ROW()/10000000,0))</f>
        <v>0</v>
      </c>
    </row>
    <row r="4919" customFormat="false" ht="15" hidden="false" customHeight="false" outlineLevel="0" collapsed="false">
      <c r="A4919" s="43"/>
      <c r="B4919" s="44"/>
      <c r="C4919" s="44"/>
      <c r="D4919" s="44"/>
      <c r="E4919" s="44"/>
      <c r="F4919" s="44"/>
      <c r="G4919" s="44"/>
      <c r="H4919" s="46" t="str">
        <f aca="false">IF($A4919="","",IF(OR(NOT(ISNUMBER(E4919)),NOT(ISNUMBER(F4919))),"",MAX(0,E4919)*F4919))</f>
        <v/>
      </c>
      <c r="I4919" s="46" t="str">
        <f aca="false">IF($A4919="","",SUMIF($A$2:$A$5001,$A4919,$H$2:$H$5001))</f>
        <v/>
      </c>
      <c r="J4919" s="47" t="n">
        <f aca="false">IF($A4919="",0,IF(COUNTIF($A$2:A4919,$A4919)=1,1,0))</f>
        <v>0</v>
      </c>
      <c r="K4919" s="47" t="n">
        <f aca="false">IF(J4919=1,N(I4919)+ROW()/10000000,0)</f>
        <v>0</v>
      </c>
      <c r="L4919" s="47" t="str">
        <f aca="false">IF(AND(J4919=1,N(I4919)&gt;0),SUMIF($K$2:$K$5001,"&gt;="&amp;K4919,$I$2:$I$5001)/MAX(1,SUM($H$2:$H$5001)),"")</f>
        <v/>
      </c>
      <c r="M4919" s="47" t="str">
        <f aca="false">IF($A4919="","",INDEX($L$2:$L$5001,MATCH($A4919,$A$2:$A$5001,0)))</f>
        <v/>
      </c>
      <c r="N4919" s="48" t="str">
        <f aca="false">IF($A4919="","",IF(N(M4919)=0,"–",IF(M4919&lt;=Start!$D$20,"A",IF(M4919&lt;=Start!$D$21,"B","C"))))</f>
        <v/>
      </c>
      <c r="O4919" s="48" t="str">
        <f aca="false">IF($A4919="","",IF(NOT(ISNUMBER(F4919)),"Wert fehlt; ",IF(F4919&lt;=0,"Wert ist 0; ",""))&amp;IF(NOT(ISNUMBER(E4919)),"Bestand fehlt; ",IF(E4919&lt;0,"Bestand negativ; ",IF(E4919=0,"Nullbestand; ","")))&amp;IF(D4919="","Warengruppe fehlt; ","")&amp;IF(B4919="","Bezeichnung fehlt; ","")&amp;IF(COUNTIFS($A$2:$A$5001,$A4919,$C$2:$C$5001,C4919)&gt;1,"Artikel doppelt im selben Lager; ",""))</f>
        <v/>
      </c>
      <c r="P4919" s="47" t="n">
        <f aca="false">IF(OR($A4919="",D4919=""),0,IF(COUNTIF($D$2:D4919,D4919)=1,SUMIF($D$2:$D$5001,D4919,$H$2:$H$5001)+ROW()/10000000,0))</f>
        <v>0</v>
      </c>
      <c r="Q4919" s="47" t="n">
        <f aca="false">IF(OR($A4919="",C4919=""),0,IF(COUNTIF($C$2:C4919,C4919)=1,SUMIF($C$2:$C$5001,C4919,$H$2:$H$5001)+ROW()/10000000,0))</f>
        <v>0</v>
      </c>
    </row>
    <row r="4920" customFormat="false" ht="15" hidden="false" customHeight="false" outlineLevel="0" collapsed="false">
      <c r="A4920" s="43"/>
      <c r="B4920" s="44"/>
      <c r="C4920" s="44"/>
      <c r="D4920" s="44"/>
      <c r="E4920" s="44"/>
      <c r="F4920" s="44"/>
      <c r="G4920" s="44"/>
      <c r="H4920" s="46" t="str">
        <f aca="false">IF($A4920="","",IF(OR(NOT(ISNUMBER(E4920)),NOT(ISNUMBER(F4920))),"",MAX(0,E4920)*F4920))</f>
        <v/>
      </c>
      <c r="I4920" s="46" t="str">
        <f aca="false">IF($A4920="","",SUMIF($A$2:$A$5001,$A4920,$H$2:$H$5001))</f>
        <v/>
      </c>
      <c r="J4920" s="47" t="n">
        <f aca="false">IF($A4920="",0,IF(COUNTIF($A$2:A4920,$A4920)=1,1,0))</f>
        <v>0</v>
      </c>
      <c r="K4920" s="47" t="n">
        <f aca="false">IF(J4920=1,N(I4920)+ROW()/10000000,0)</f>
        <v>0</v>
      </c>
      <c r="L4920" s="47" t="str">
        <f aca="false">IF(AND(J4920=1,N(I4920)&gt;0),SUMIF($K$2:$K$5001,"&gt;="&amp;K4920,$I$2:$I$5001)/MAX(1,SUM($H$2:$H$5001)),"")</f>
        <v/>
      </c>
      <c r="M4920" s="47" t="str">
        <f aca="false">IF($A4920="","",INDEX($L$2:$L$5001,MATCH($A4920,$A$2:$A$5001,0)))</f>
        <v/>
      </c>
      <c r="N4920" s="48" t="str">
        <f aca="false">IF($A4920="","",IF(N(M4920)=0,"–",IF(M4920&lt;=Start!$D$20,"A",IF(M4920&lt;=Start!$D$21,"B","C"))))</f>
        <v/>
      </c>
      <c r="O4920" s="48" t="str">
        <f aca="false">IF($A4920="","",IF(NOT(ISNUMBER(F4920)),"Wert fehlt; ",IF(F4920&lt;=0,"Wert ist 0; ",""))&amp;IF(NOT(ISNUMBER(E4920)),"Bestand fehlt; ",IF(E4920&lt;0,"Bestand negativ; ",IF(E4920=0,"Nullbestand; ","")))&amp;IF(D4920="","Warengruppe fehlt; ","")&amp;IF(B4920="","Bezeichnung fehlt; ","")&amp;IF(COUNTIFS($A$2:$A$5001,$A4920,$C$2:$C$5001,C4920)&gt;1,"Artikel doppelt im selben Lager; ",""))</f>
        <v/>
      </c>
      <c r="P4920" s="47" t="n">
        <f aca="false">IF(OR($A4920="",D4920=""),0,IF(COUNTIF($D$2:D4920,D4920)=1,SUMIF($D$2:$D$5001,D4920,$H$2:$H$5001)+ROW()/10000000,0))</f>
        <v>0</v>
      </c>
      <c r="Q4920" s="47" t="n">
        <f aca="false">IF(OR($A4920="",C4920=""),0,IF(COUNTIF($C$2:C4920,C4920)=1,SUMIF($C$2:$C$5001,C4920,$H$2:$H$5001)+ROW()/10000000,0))</f>
        <v>0</v>
      </c>
    </row>
    <row r="4921" customFormat="false" ht="15" hidden="false" customHeight="false" outlineLevel="0" collapsed="false">
      <c r="A4921" s="43"/>
      <c r="B4921" s="44"/>
      <c r="C4921" s="44"/>
      <c r="D4921" s="44"/>
      <c r="E4921" s="44"/>
      <c r="F4921" s="44"/>
      <c r="G4921" s="44"/>
      <c r="H4921" s="46" t="str">
        <f aca="false">IF($A4921="","",IF(OR(NOT(ISNUMBER(E4921)),NOT(ISNUMBER(F4921))),"",MAX(0,E4921)*F4921))</f>
        <v/>
      </c>
      <c r="I4921" s="46" t="str">
        <f aca="false">IF($A4921="","",SUMIF($A$2:$A$5001,$A4921,$H$2:$H$5001))</f>
        <v/>
      </c>
      <c r="J4921" s="47" t="n">
        <f aca="false">IF($A4921="",0,IF(COUNTIF($A$2:A4921,$A4921)=1,1,0))</f>
        <v>0</v>
      </c>
      <c r="K4921" s="47" t="n">
        <f aca="false">IF(J4921=1,N(I4921)+ROW()/10000000,0)</f>
        <v>0</v>
      </c>
      <c r="L4921" s="47" t="str">
        <f aca="false">IF(AND(J4921=1,N(I4921)&gt;0),SUMIF($K$2:$K$5001,"&gt;="&amp;K4921,$I$2:$I$5001)/MAX(1,SUM($H$2:$H$5001)),"")</f>
        <v/>
      </c>
      <c r="M4921" s="47" t="str">
        <f aca="false">IF($A4921="","",INDEX($L$2:$L$5001,MATCH($A4921,$A$2:$A$5001,0)))</f>
        <v/>
      </c>
      <c r="N4921" s="48" t="str">
        <f aca="false">IF($A4921="","",IF(N(M4921)=0,"–",IF(M4921&lt;=Start!$D$20,"A",IF(M4921&lt;=Start!$D$21,"B","C"))))</f>
        <v/>
      </c>
      <c r="O4921" s="48" t="str">
        <f aca="false">IF($A4921="","",IF(NOT(ISNUMBER(F4921)),"Wert fehlt; ",IF(F4921&lt;=0,"Wert ist 0; ",""))&amp;IF(NOT(ISNUMBER(E4921)),"Bestand fehlt; ",IF(E4921&lt;0,"Bestand negativ; ",IF(E4921=0,"Nullbestand; ","")))&amp;IF(D4921="","Warengruppe fehlt; ","")&amp;IF(B4921="","Bezeichnung fehlt; ","")&amp;IF(COUNTIFS($A$2:$A$5001,$A4921,$C$2:$C$5001,C4921)&gt;1,"Artikel doppelt im selben Lager; ",""))</f>
        <v/>
      </c>
      <c r="P4921" s="47" t="n">
        <f aca="false">IF(OR($A4921="",D4921=""),0,IF(COUNTIF($D$2:D4921,D4921)=1,SUMIF($D$2:$D$5001,D4921,$H$2:$H$5001)+ROW()/10000000,0))</f>
        <v>0</v>
      </c>
      <c r="Q4921" s="47" t="n">
        <f aca="false">IF(OR($A4921="",C4921=""),0,IF(COUNTIF($C$2:C4921,C4921)=1,SUMIF($C$2:$C$5001,C4921,$H$2:$H$5001)+ROW()/10000000,0))</f>
        <v>0</v>
      </c>
    </row>
    <row r="4922" customFormat="false" ht="15" hidden="false" customHeight="false" outlineLevel="0" collapsed="false">
      <c r="A4922" s="43"/>
      <c r="B4922" s="44"/>
      <c r="C4922" s="44"/>
      <c r="D4922" s="44"/>
      <c r="E4922" s="44"/>
      <c r="F4922" s="44"/>
      <c r="G4922" s="44"/>
      <c r="H4922" s="46" t="str">
        <f aca="false">IF($A4922="","",IF(OR(NOT(ISNUMBER(E4922)),NOT(ISNUMBER(F4922))),"",MAX(0,E4922)*F4922))</f>
        <v/>
      </c>
      <c r="I4922" s="46" t="str">
        <f aca="false">IF($A4922="","",SUMIF($A$2:$A$5001,$A4922,$H$2:$H$5001))</f>
        <v/>
      </c>
      <c r="J4922" s="47" t="n">
        <f aca="false">IF($A4922="",0,IF(COUNTIF($A$2:A4922,$A4922)=1,1,0))</f>
        <v>0</v>
      </c>
      <c r="K4922" s="47" t="n">
        <f aca="false">IF(J4922=1,N(I4922)+ROW()/10000000,0)</f>
        <v>0</v>
      </c>
      <c r="L4922" s="47" t="str">
        <f aca="false">IF(AND(J4922=1,N(I4922)&gt;0),SUMIF($K$2:$K$5001,"&gt;="&amp;K4922,$I$2:$I$5001)/MAX(1,SUM($H$2:$H$5001)),"")</f>
        <v/>
      </c>
      <c r="M4922" s="47" t="str">
        <f aca="false">IF($A4922="","",INDEX($L$2:$L$5001,MATCH($A4922,$A$2:$A$5001,0)))</f>
        <v/>
      </c>
      <c r="N4922" s="48" t="str">
        <f aca="false">IF($A4922="","",IF(N(M4922)=0,"–",IF(M4922&lt;=Start!$D$20,"A",IF(M4922&lt;=Start!$D$21,"B","C"))))</f>
        <v/>
      </c>
      <c r="O4922" s="48" t="str">
        <f aca="false">IF($A4922="","",IF(NOT(ISNUMBER(F4922)),"Wert fehlt; ",IF(F4922&lt;=0,"Wert ist 0; ",""))&amp;IF(NOT(ISNUMBER(E4922)),"Bestand fehlt; ",IF(E4922&lt;0,"Bestand negativ; ",IF(E4922=0,"Nullbestand; ","")))&amp;IF(D4922="","Warengruppe fehlt; ","")&amp;IF(B4922="","Bezeichnung fehlt; ","")&amp;IF(COUNTIFS($A$2:$A$5001,$A4922,$C$2:$C$5001,C4922)&gt;1,"Artikel doppelt im selben Lager; ",""))</f>
        <v/>
      </c>
      <c r="P4922" s="47" t="n">
        <f aca="false">IF(OR($A4922="",D4922=""),0,IF(COUNTIF($D$2:D4922,D4922)=1,SUMIF($D$2:$D$5001,D4922,$H$2:$H$5001)+ROW()/10000000,0))</f>
        <v>0</v>
      </c>
      <c r="Q4922" s="47" t="n">
        <f aca="false">IF(OR($A4922="",C4922=""),0,IF(COUNTIF($C$2:C4922,C4922)=1,SUMIF($C$2:$C$5001,C4922,$H$2:$H$5001)+ROW()/10000000,0))</f>
        <v>0</v>
      </c>
    </row>
    <row r="4923" customFormat="false" ht="15" hidden="false" customHeight="false" outlineLevel="0" collapsed="false">
      <c r="A4923" s="43"/>
      <c r="B4923" s="44"/>
      <c r="C4923" s="44"/>
      <c r="D4923" s="44"/>
      <c r="E4923" s="44"/>
      <c r="F4923" s="44"/>
      <c r="G4923" s="44"/>
      <c r="H4923" s="46" t="str">
        <f aca="false">IF($A4923="","",IF(OR(NOT(ISNUMBER(E4923)),NOT(ISNUMBER(F4923))),"",MAX(0,E4923)*F4923))</f>
        <v/>
      </c>
      <c r="I4923" s="46" t="str">
        <f aca="false">IF($A4923="","",SUMIF($A$2:$A$5001,$A4923,$H$2:$H$5001))</f>
        <v/>
      </c>
      <c r="J4923" s="47" t="n">
        <f aca="false">IF($A4923="",0,IF(COUNTIF($A$2:A4923,$A4923)=1,1,0))</f>
        <v>0</v>
      </c>
      <c r="K4923" s="47" t="n">
        <f aca="false">IF(J4923=1,N(I4923)+ROW()/10000000,0)</f>
        <v>0</v>
      </c>
      <c r="L4923" s="47" t="str">
        <f aca="false">IF(AND(J4923=1,N(I4923)&gt;0),SUMIF($K$2:$K$5001,"&gt;="&amp;K4923,$I$2:$I$5001)/MAX(1,SUM($H$2:$H$5001)),"")</f>
        <v/>
      </c>
      <c r="M4923" s="47" t="str">
        <f aca="false">IF($A4923="","",INDEX($L$2:$L$5001,MATCH($A4923,$A$2:$A$5001,0)))</f>
        <v/>
      </c>
      <c r="N4923" s="48" t="str">
        <f aca="false">IF($A4923="","",IF(N(M4923)=0,"–",IF(M4923&lt;=Start!$D$20,"A",IF(M4923&lt;=Start!$D$21,"B","C"))))</f>
        <v/>
      </c>
      <c r="O4923" s="48" t="str">
        <f aca="false">IF($A4923="","",IF(NOT(ISNUMBER(F4923)),"Wert fehlt; ",IF(F4923&lt;=0,"Wert ist 0; ",""))&amp;IF(NOT(ISNUMBER(E4923)),"Bestand fehlt; ",IF(E4923&lt;0,"Bestand negativ; ",IF(E4923=0,"Nullbestand; ","")))&amp;IF(D4923="","Warengruppe fehlt; ","")&amp;IF(B4923="","Bezeichnung fehlt; ","")&amp;IF(COUNTIFS($A$2:$A$5001,$A4923,$C$2:$C$5001,C4923)&gt;1,"Artikel doppelt im selben Lager; ",""))</f>
        <v/>
      </c>
      <c r="P4923" s="47" t="n">
        <f aca="false">IF(OR($A4923="",D4923=""),0,IF(COUNTIF($D$2:D4923,D4923)=1,SUMIF($D$2:$D$5001,D4923,$H$2:$H$5001)+ROW()/10000000,0))</f>
        <v>0</v>
      </c>
      <c r="Q4923" s="47" t="n">
        <f aca="false">IF(OR($A4923="",C4923=""),0,IF(COUNTIF($C$2:C4923,C4923)=1,SUMIF($C$2:$C$5001,C4923,$H$2:$H$5001)+ROW()/10000000,0))</f>
        <v>0</v>
      </c>
    </row>
    <row r="4924" customFormat="false" ht="15" hidden="false" customHeight="false" outlineLevel="0" collapsed="false">
      <c r="A4924" s="43"/>
      <c r="B4924" s="44"/>
      <c r="C4924" s="44"/>
      <c r="D4924" s="44"/>
      <c r="E4924" s="44"/>
      <c r="F4924" s="44"/>
      <c r="G4924" s="44"/>
      <c r="H4924" s="46" t="str">
        <f aca="false">IF($A4924="","",IF(OR(NOT(ISNUMBER(E4924)),NOT(ISNUMBER(F4924))),"",MAX(0,E4924)*F4924))</f>
        <v/>
      </c>
      <c r="I4924" s="46" t="str">
        <f aca="false">IF($A4924="","",SUMIF($A$2:$A$5001,$A4924,$H$2:$H$5001))</f>
        <v/>
      </c>
      <c r="J4924" s="47" t="n">
        <f aca="false">IF($A4924="",0,IF(COUNTIF($A$2:A4924,$A4924)=1,1,0))</f>
        <v>0</v>
      </c>
      <c r="K4924" s="47" t="n">
        <f aca="false">IF(J4924=1,N(I4924)+ROW()/10000000,0)</f>
        <v>0</v>
      </c>
      <c r="L4924" s="47" t="str">
        <f aca="false">IF(AND(J4924=1,N(I4924)&gt;0),SUMIF($K$2:$K$5001,"&gt;="&amp;K4924,$I$2:$I$5001)/MAX(1,SUM($H$2:$H$5001)),"")</f>
        <v/>
      </c>
      <c r="M4924" s="47" t="str">
        <f aca="false">IF($A4924="","",INDEX($L$2:$L$5001,MATCH($A4924,$A$2:$A$5001,0)))</f>
        <v/>
      </c>
      <c r="N4924" s="48" t="str">
        <f aca="false">IF($A4924="","",IF(N(M4924)=0,"–",IF(M4924&lt;=Start!$D$20,"A",IF(M4924&lt;=Start!$D$21,"B","C"))))</f>
        <v/>
      </c>
      <c r="O4924" s="48" t="str">
        <f aca="false">IF($A4924="","",IF(NOT(ISNUMBER(F4924)),"Wert fehlt; ",IF(F4924&lt;=0,"Wert ist 0; ",""))&amp;IF(NOT(ISNUMBER(E4924)),"Bestand fehlt; ",IF(E4924&lt;0,"Bestand negativ; ",IF(E4924=0,"Nullbestand; ","")))&amp;IF(D4924="","Warengruppe fehlt; ","")&amp;IF(B4924="","Bezeichnung fehlt; ","")&amp;IF(COUNTIFS($A$2:$A$5001,$A4924,$C$2:$C$5001,C4924)&gt;1,"Artikel doppelt im selben Lager; ",""))</f>
        <v/>
      </c>
      <c r="P4924" s="47" t="n">
        <f aca="false">IF(OR($A4924="",D4924=""),0,IF(COUNTIF($D$2:D4924,D4924)=1,SUMIF($D$2:$D$5001,D4924,$H$2:$H$5001)+ROW()/10000000,0))</f>
        <v>0</v>
      </c>
      <c r="Q4924" s="47" t="n">
        <f aca="false">IF(OR($A4924="",C4924=""),0,IF(COUNTIF($C$2:C4924,C4924)=1,SUMIF($C$2:$C$5001,C4924,$H$2:$H$5001)+ROW()/10000000,0))</f>
        <v>0</v>
      </c>
    </row>
    <row r="4925" customFormat="false" ht="15" hidden="false" customHeight="false" outlineLevel="0" collapsed="false">
      <c r="A4925" s="43"/>
      <c r="B4925" s="44"/>
      <c r="C4925" s="44"/>
      <c r="D4925" s="44"/>
      <c r="E4925" s="44"/>
      <c r="F4925" s="44"/>
      <c r="G4925" s="44"/>
      <c r="H4925" s="46" t="str">
        <f aca="false">IF($A4925="","",IF(OR(NOT(ISNUMBER(E4925)),NOT(ISNUMBER(F4925))),"",MAX(0,E4925)*F4925))</f>
        <v/>
      </c>
      <c r="I4925" s="46" t="str">
        <f aca="false">IF($A4925="","",SUMIF($A$2:$A$5001,$A4925,$H$2:$H$5001))</f>
        <v/>
      </c>
      <c r="J4925" s="47" t="n">
        <f aca="false">IF($A4925="",0,IF(COUNTIF($A$2:A4925,$A4925)=1,1,0))</f>
        <v>0</v>
      </c>
      <c r="K4925" s="47" t="n">
        <f aca="false">IF(J4925=1,N(I4925)+ROW()/10000000,0)</f>
        <v>0</v>
      </c>
      <c r="L4925" s="47" t="str">
        <f aca="false">IF(AND(J4925=1,N(I4925)&gt;0),SUMIF($K$2:$K$5001,"&gt;="&amp;K4925,$I$2:$I$5001)/MAX(1,SUM($H$2:$H$5001)),"")</f>
        <v/>
      </c>
      <c r="M4925" s="47" t="str">
        <f aca="false">IF($A4925="","",INDEX($L$2:$L$5001,MATCH($A4925,$A$2:$A$5001,0)))</f>
        <v/>
      </c>
      <c r="N4925" s="48" t="str">
        <f aca="false">IF($A4925="","",IF(N(M4925)=0,"–",IF(M4925&lt;=Start!$D$20,"A",IF(M4925&lt;=Start!$D$21,"B","C"))))</f>
        <v/>
      </c>
      <c r="O4925" s="48" t="str">
        <f aca="false">IF($A4925="","",IF(NOT(ISNUMBER(F4925)),"Wert fehlt; ",IF(F4925&lt;=0,"Wert ist 0; ",""))&amp;IF(NOT(ISNUMBER(E4925)),"Bestand fehlt; ",IF(E4925&lt;0,"Bestand negativ; ",IF(E4925=0,"Nullbestand; ","")))&amp;IF(D4925="","Warengruppe fehlt; ","")&amp;IF(B4925="","Bezeichnung fehlt; ","")&amp;IF(COUNTIFS($A$2:$A$5001,$A4925,$C$2:$C$5001,C4925)&gt;1,"Artikel doppelt im selben Lager; ",""))</f>
        <v/>
      </c>
      <c r="P4925" s="47" t="n">
        <f aca="false">IF(OR($A4925="",D4925=""),0,IF(COUNTIF($D$2:D4925,D4925)=1,SUMIF($D$2:$D$5001,D4925,$H$2:$H$5001)+ROW()/10000000,0))</f>
        <v>0</v>
      </c>
      <c r="Q4925" s="47" t="n">
        <f aca="false">IF(OR($A4925="",C4925=""),0,IF(COUNTIF($C$2:C4925,C4925)=1,SUMIF($C$2:$C$5001,C4925,$H$2:$H$5001)+ROW()/10000000,0))</f>
        <v>0</v>
      </c>
    </row>
    <row r="4926" customFormat="false" ht="15" hidden="false" customHeight="false" outlineLevel="0" collapsed="false">
      <c r="A4926" s="43"/>
      <c r="B4926" s="44"/>
      <c r="C4926" s="44"/>
      <c r="D4926" s="44"/>
      <c r="E4926" s="44"/>
      <c r="F4926" s="44"/>
      <c r="G4926" s="44"/>
      <c r="H4926" s="46" t="str">
        <f aca="false">IF($A4926="","",IF(OR(NOT(ISNUMBER(E4926)),NOT(ISNUMBER(F4926))),"",MAX(0,E4926)*F4926))</f>
        <v/>
      </c>
      <c r="I4926" s="46" t="str">
        <f aca="false">IF($A4926="","",SUMIF($A$2:$A$5001,$A4926,$H$2:$H$5001))</f>
        <v/>
      </c>
      <c r="J4926" s="47" t="n">
        <f aca="false">IF($A4926="",0,IF(COUNTIF($A$2:A4926,$A4926)=1,1,0))</f>
        <v>0</v>
      </c>
      <c r="K4926" s="47" t="n">
        <f aca="false">IF(J4926=1,N(I4926)+ROW()/10000000,0)</f>
        <v>0</v>
      </c>
      <c r="L4926" s="47" t="str">
        <f aca="false">IF(AND(J4926=1,N(I4926)&gt;0),SUMIF($K$2:$K$5001,"&gt;="&amp;K4926,$I$2:$I$5001)/MAX(1,SUM($H$2:$H$5001)),"")</f>
        <v/>
      </c>
      <c r="M4926" s="47" t="str">
        <f aca="false">IF($A4926="","",INDEX($L$2:$L$5001,MATCH($A4926,$A$2:$A$5001,0)))</f>
        <v/>
      </c>
      <c r="N4926" s="48" t="str">
        <f aca="false">IF($A4926="","",IF(N(M4926)=0,"–",IF(M4926&lt;=Start!$D$20,"A",IF(M4926&lt;=Start!$D$21,"B","C"))))</f>
        <v/>
      </c>
      <c r="O4926" s="48" t="str">
        <f aca="false">IF($A4926="","",IF(NOT(ISNUMBER(F4926)),"Wert fehlt; ",IF(F4926&lt;=0,"Wert ist 0; ",""))&amp;IF(NOT(ISNUMBER(E4926)),"Bestand fehlt; ",IF(E4926&lt;0,"Bestand negativ; ",IF(E4926=0,"Nullbestand; ","")))&amp;IF(D4926="","Warengruppe fehlt; ","")&amp;IF(B4926="","Bezeichnung fehlt; ","")&amp;IF(COUNTIFS($A$2:$A$5001,$A4926,$C$2:$C$5001,C4926)&gt;1,"Artikel doppelt im selben Lager; ",""))</f>
        <v/>
      </c>
      <c r="P4926" s="47" t="n">
        <f aca="false">IF(OR($A4926="",D4926=""),0,IF(COUNTIF($D$2:D4926,D4926)=1,SUMIF($D$2:$D$5001,D4926,$H$2:$H$5001)+ROW()/10000000,0))</f>
        <v>0</v>
      </c>
      <c r="Q4926" s="47" t="n">
        <f aca="false">IF(OR($A4926="",C4926=""),0,IF(COUNTIF($C$2:C4926,C4926)=1,SUMIF($C$2:$C$5001,C4926,$H$2:$H$5001)+ROW()/10000000,0))</f>
        <v>0</v>
      </c>
    </row>
    <row r="4927" customFormat="false" ht="15" hidden="false" customHeight="false" outlineLevel="0" collapsed="false">
      <c r="A4927" s="43"/>
      <c r="B4927" s="44"/>
      <c r="C4927" s="44"/>
      <c r="D4927" s="44"/>
      <c r="E4927" s="44"/>
      <c r="F4927" s="44"/>
      <c r="G4927" s="44"/>
      <c r="H4927" s="46" t="str">
        <f aca="false">IF($A4927="","",IF(OR(NOT(ISNUMBER(E4927)),NOT(ISNUMBER(F4927))),"",MAX(0,E4927)*F4927))</f>
        <v/>
      </c>
      <c r="I4927" s="46" t="str">
        <f aca="false">IF($A4927="","",SUMIF($A$2:$A$5001,$A4927,$H$2:$H$5001))</f>
        <v/>
      </c>
      <c r="J4927" s="47" t="n">
        <f aca="false">IF($A4927="",0,IF(COUNTIF($A$2:A4927,$A4927)=1,1,0))</f>
        <v>0</v>
      </c>
      <c r="K4927" s="47" t="n">
        <f aca="false">IF(J4927=1,N(I4927)+ROW()/10000000,0)</f>
        <v>0</v>
      </c>
      <c r="L4927" s="47" t="str">
        <f aca="false">IF(AND(J4927=1,N(I4927)&gt;0),SUMIF($K$2:$K$5001,"&gt;="&amp;K4927,$I$2:$I$5001)/MAX(1,SUM($H$2:$H$5001)),"")</f>
        <v/>
      </c>
      <c r="M4927" s="47" t="str">
        <f aca="false">IF($A4927="","",INDEX($L$2:$L$5001,MATCH($A4927,$A$2:$A$5001,0)))</f>
        <v/>
      </c>
      <c r="N4927" s="48" t="str">
        <f aca="false">IF($A4927="","",IF(N(M4927)=0,"–",IF(M4927&lt;=Start!$D$20,"A",IF(M4927&lt;=Start!$D$21,"B","C"))))</f>
        <v/>
      </c>
      <c r="O4927" s="48" t="str">
        <f aca="false">IF($A4927="","",IF(NOT(ISNUMBER(F4927)),"Wert fehlt; ",IF(F4927&lt;=0,"Wert ist 0; ",""))&amp;IF(NOT(ISNUMBER(E4927)),"Bestand fehlt; ",IF(E4927&lt;0,"Bestand negativ; ",IF(E4927=0,"Nullbestand; ","")))&amp;IF(D4927="","Warengruppe fehlt; ","")&amp;IF(B4927="","Bezeichnung fehlt; ","")&amp;IF(COUNTIFS($A$2:$A$5001,$A4927,$C$2:$C$5001,C4927)&gt;1,"Artikel doppelt im selben Lager; ",""))</f>
        <v/>
      </c>
      <c r="P4927" s="47" t="n">
        <f aca="false">IF(OR($A4927="",D4927=""),0,IF(COUNTIF($D$2:D4927,D4927)=1,SUMIF($D$2:$D$5001,D4927,$H$2:$H$5001)+ROW()/10000000,0))</f>
        <v>0</v>
      </c>
      <c r="Q4927" s="47" t="n">
        <f aca="false">IF(OR($A4927="",C4927=""),0,IF(COUNTIF($C$2:C4927,C4927)=1,SUMIF($C$2:$C$5001,C4927,$H$2:$H$5001)+ROW()/10000000,0))</f>
        <v>0</v>
      </c>
    </row>
    <row r="4928" customFormat="false" ht="15" hidden="false" customHeight="false" outlineLevel="0" collapsed="false">
      <c r="A4928" s="43"/>
      <c r="B4928" s="44"/>
      <c r="C4928" s="44"/>
      <c r="D4928" s="44"/>
      <c r="E4928" s="44"/>
      <c r="F4928" s="44"/>
      <c r="G4928" s="44"/>
      <c r="H4928" s="46" t="str">
        <f aca="false">IF($A4928="","",IF(OR(NOT(ISNUMBER(E4928)),NOT(ISNUMBER(F4928))),"",MAX(0,E4928)*F4928))</f>
        <v/>
      </c>
      <c r="I4928" s="46" t="str">
        <f aca="false">IF($A4928="","",SUMIF($A$2:$A$5001,$A4928,$H$2:$H$5001))</f>
        <v/>
      </c>
      <c r="J4928" s="47" t="n">
        <f aca="false">IF($A4928="",0,IF(COUNTIF($A$2:A4928,$A4928)=1,1,0))</f>
        <v>0</v>
      </c>
      <c r="K4928" s="47" t="n">
        <f aca="false">IF(J4928=1,N(I4928)+ROW()/10000000,0)</f>
        <v>0</v>
      </c>
      <c r="L4928" s="47" t="str">
        <f aca="false">IF(AND(J4928=1,N(I4928)&gt;0),SUMIF($K$2:$K$5001,"&gt;="&amp;K4928,$I$2:$I$5001)/MAX(1,SUM($H$2:$H$5001)),"")</f>
        <v/>
      </c>
      <c r="M4928" s="47" t="str">
        <f aca="false">IF($A4928="","",INDEX($L$2:$L$5001,MATCH($A4928,$A$2:$A$5001,0)))</f>
        <v/>
      </c>
      <c r="N4928" s="48" t="str">
        <f aca="false">IF($A4928="","",IF(N(M4928)=0,"–",IF(M4928&lt;=Start!$D$20,"A",IF(M4928&lt;=Start!$D$21,"B","C"))))</f>
        <v/>
      </c>
      <c r="O4928" s="48" t="str">
        <f aca="false">IF($A4928="","",IF(NOT(ISNUMBER(F4928)),"Wert fehlt; ",IF(F4928&lt;=0,"Wert ist 0; ",""))&amp;IF(NOT(ISNUMBER(E4928)),"Bestand fehlt; ",IF(E4928&lt;0,"Bestand negativ; ",IF(E4928=0,"Nullbestand; ","")))&amp;IF(D4928="","Warengruppe fehlt; ","")&amp;IF(B4928="","Bezeichnung fehlt; ","")&amp;IF(COUNTIFS($A$2:$A$5001,$A4928,$C$2:$C$5001,C4928)&gt;1,"Artikel doppelt im selben Lager; ",""))</f>
        <v/>
      </c>
      <c r="P4928" s="47" t="n">
        <f aca="false">IF(OR($A4928="",D4928=""),0,IF(COUNTIF($D$2:D4928,D4928)=1,SUMIF($D$2:$D$5001,D4928,$H$2:$H$5001)+ROW()/10000000,0))</f>
        <v>0</v>
      </c>
      <c r="Q4928" s="47" t="n">
        <f aca="false">IF(OR($A4928="",C4928=""),0,IF(COUNTIF($C$2:C4928,C4928)=1,SUMIF($C$2:$C$5001,C4928,$H$2:$H$5001)+ROW()/10000000,0))</f>
        <v>0</v>
      </c>
    </row>
    <row r="4929" customFormat="false" ht="15" hidden="false" customHeight="false" outlineLevel="0" collapsed="false">
      <c r="A4929" s="43"/>
      <c r="B4929" s="44"/>
      <c r="C4929" s="44"/>
      <c r="D4929" s="44"/>
      <c r="E4929" s="44"/>
      <c r="F4929" s="44"/>
      <c r="G4929" s="44"/>
      <c r="H4929" s="46" t="str">
        <f aca="false">IF($A4929="","",IF(OR(NOT(ISNUMBER(E4929)),NOT(ISNUMBER(F4929))),"",MAX(0,E4929)*F4929))</f>
        <v/>
      </c>
      <c r="I4929" s="46" t="str">
        <f aca="false">IF($A4929="","",SUMIF($A$2:$A$5001,$A4929,$H$2:$H$5001))</f>
        <v/>
      </c>
      <c r="J4929" s="47" t="n">
        <f aca="false">IF($A4929="",0,IF(COUNTIF($A$2:A4929,$A4929)=1,1,0))</f>
        <v>0</v>
      </c>
      <c r="K4929" s="47" t="n">
        <f aca="false">IF(J4929=1,N(I4929)+ROW()/10000000,0)</f>
        <v>0</v>
      </c>
      <c r="L4929" s="47" t="str">
        <f aca="false">IF(AND(J4929=1,N(I4929)&gt;0),SUMIF($K$2:$K$5001,"&gt;="&amp;K4929,$I$2:$I$5001)/MAX(1,SUM($H$2:$H$5001)),"")</f>
        <v/>
      </c>
      <c r="M4929" s="47" t="str">
        <f aca="false">IF($A4929="","",INDEX($L$2:$L$5001,MATCH($A4929,$A$2:$A$5001,0)))</f>
        <v/>
      </c>
      <c r="N4929" s="48" t="str">
        <f aca="false">IF($A4929="","",IF(N(M4929)=0,"–",IF(M4929&lt;=Start!$D$20,"A",IF(M4929&lt;=Start!$D$21,"B","C"))))</f>
        <v/>
      </c>
      <c r="O4929" s="48" t="str">
        <f aca="false">IF($A4929="","",IF(NOT(ISNUMBER(F4929)),"Wert fehlt; ",IF(F4929&lt;=0,"Wert ist 0; ",""))&amp;IF(NOT(ISNUMBER(E4929)),"Bestand fehlt; ",IF(E4929&lt;0,"Bestand negativ; ",IF(E4929=0,"Nullbestand; ","")))&amp;IF(D4929="","Warengruppe fehlt; ","")&amp;IF(B4929="","Bezeichnung fehlt; ","")&amp;IF(COUNTIFS($A$2:$A$5001,$A4929,$C$2:$C$5001,C4929)&gt;1,"Artikel doppelt im selben Lager; ",""))</f>
        <v/>
      </c>
      <c r="P4929" s="47" t="n">
        <f aca="false">IF(OR($A4929="",D4929=""),0,IF(COUNTIF($D$2:D4929,D4929)=1,SUMIF($D$2:$D$5001,D4929,$H$2:$H$5001)+ROW()/10000000,0))</f>
        <v>0</v>
      </c>
      <c r="Q4929" s="47" t="n">
        <f aca="false">IF(OR($A4929="",C4929=""),0,IF(COUNTIF($C$2:C4929,C4929)=1,SUMIF($C$2:$C$5001,C4929,$H$2:$H$5001)+ROW()/10000000,0))</f>
        <v>0</v>
      </c>
    </row>
    <row r="4930" customFormat="false" ht="15" hidden="false" customHeight="false" outlineLevel="0" collapsed="false">
      <c r="A4930" s="43"/>
      <c r="B4930" s="44"/>
      <c r="C4930" s="44"/>
      <c r="D4930" s="44"/>
      <c r="E4930" s="44"/>
      <c r="F4930" s="44"/>
      <c r="G4930" s="44"/>
      <c r="H4930" s="46" t="str">
        <f aca="false">IF($A4930="","",IF(OR(NOT(ISNUMBER(E4930)),NOT(ISNUMBER(F4930))),"",MAX(0,E4930)*F4930))</f>
        <v/>
      </c>
      <c r="I4930" s="46" t="str">
        <f aca="false">IF($A4930="","",SUMIF($A$2:$A$5001,$A4930,$H$2:$H$5001))</f>
        <v/>
      </c>
      <c r="J4930" s="47" t="n">
        <f aca="false">IF($A4930="",0,IF(COUNTIF($A$2:A4930,$A4930)=1,1,0))</f>
        <v>0</v>
      </c>
      <c r="K4930" s="47" t="n">
        <f aca="false">IF(J4930=1,N(I4930)+ROW()/10000000,0)</f>
        <v>0</v>
      </c>
      <c r="L4930" s="47" t="str">
        <f aca="false">IF(AND(J4930=1,N(I4930)&gt;0),SUMIF($K$2:$K$5001,"&gt;="&amp;K4930,$I$2:$I$5001)/MAX(1,SUM($H$2:$H$5001)),"")</f>
        <v/>
      </c>
      <c r="M4930" s="47" t="str">
        <f aca="false">IF($A4930="","",INDEX($L$2:$L$5001,MATCH($A4930,$A$2:$A$5001,0)))</f>
        <v/>
      </c>
      <c r="N4930" s="48" t="str">
        <f aca="false">IF($A4930="","",IF(N(M4930)=0,"–",IF(M4930&lt;=Start!$D$20,"A",IF(M4930&lt;=Start!$D$21,"B","C"))))</f>
        <v/>
      </c>
      <c r="O4930" s="48" t="str">
        <f aca="false">IF($A4930="","",IF(NOT(ISNUMBER(F4930)),"Wert fehlt; ",IF(F4930&lt;=0,"Wert ist 0; ",""))&amp;IF(NOT(ISNUMBER(E4930)),"Bestand fehlt; ",IF(E4930&lt;0,"Bestand negativ; ",IF(E4930=0,"Nullbestand; ","")))&amp;IF(D4930="","Warengruppe fehlt; ","")&amp;IF(B4930="","Bezeichnung fehlt; ","")&amp;IF(COUNTIFS($A$2:$A$5001,$A4930,$C$2:$C$5001,C4930)&gt;1,"Artikel doppelt im selben Lager; ",""))</f>
        <v/>
      </c>
      <c r="P4930" s="47" t="n">
        <f aca="false">IF(OR($A4930="",D4930=""),0,IF(COUNTIF($D$2:D4930,D4930)=1,SUMIF($D$2:$D$5001,D4930,$H$2:$H$5001)+ROW()/10000000,0))</f>
        <v>0</v>
      </c>
      <c r="Q4930" s="47" t="n">
        <f aca="false">IF(OR($A4930="",C4930=""),0,IF(COUNTIF($C$2:C4930,C4930)=1,SUMIF($C$2:$C$5001,C4930,$H$2:$H$5001)+ROW()/10000000,0))</f>
        <v>0</v>
      </c>
    </row>
    <row r="4931" customFormat="false" ht="15" hidden="false" customHeight="false" outlineLevel="0" collapsed="false">
      <c r="A4931" s="43"/>
      <c r="B4931" s="44"/>
      <c r="C4931" s="44"/>
      <c r="D4931" s="44"/>
      <c r="E4931" s="44"/>
      <c r="F4931" s="44"/>
      <c r="G4931" s="44"/>
      <c r="H4931" s="46" t="str">
        <f aca="false">IF($A4931="","",IF(OR(NOT(ISNUMBER(E4931)),NOT(ISNUMBER(F4931))),"",MAX(0,E4931)*F4931))</f>
        <v/>
      </c>
      <c r="I4931" s="46" t="str">
        <f aca="false">IF($A4931="","",SUMIF($A$2:$A$5001,$A4931,$H$2:$H$5001))</f>
        <v/>
      </c>
      <c r="J4931" s="47" t="n">
        <f aca="false">IF($A4931="",0,IF(COUNTIF($A$2:A4931,$A4931)=1,1,0))</f>
        <v>0</v>
      </c>
      <c r="K4931" s="47" t="n">
        <f aca="false">IF(J4931=1,N(I4931)+ROW()/10000000,0)</f>
        <v>0</v>
      </c>
      <c r="L4931" s="47" t="str">
        <f aca="false">IF(AND(J4931=1,N(I4931)&gt;0),SUMIF($K$2:$K$5001,"&gt;="&amp;K4931,$I$2:$I$5001)/MAX(1,SUM($H$2:$H$5001)),"")</f>
        <v/>
      </c>
      <c r="M4931" s="47" t="str">
        <f aca="false">IF($A4931="","",INDEX($L$2:$L$5001,MATCH($A4931,$A$2:$A$5001,0)))</f>
        <v/>
      </c>
      <c r="N4931" s="48" t="str">
        <f aca="false">IF($A4931="","",IF(N(M4931)=0,"–",IF(M4931&lt;=Start!$D$20,"A",IF(M4931&lt;=Start!$D$21,"B","C"))))</f>
        <v/>
      </c>
      <c r="O4931" s="48" t="str">
        <f aca="false">IF($A4931="","",IF(NOT(ISNUMBER(F4931)),"Wert fehlt; ",IF(F4931&lt;=0,"Wert ist 0; ",""))&amp;IF(NOT(ISNUMBER(E4931)),"Bestand fehlt; ",IF(E4931&lt;0,"Bestand negativ; ",IF(E4931=0,"Nullbestand; ","")))&amp;IF(D4931="","Warengruppe fehlt; ","")&amp;IF(B4931="","Bezeichnung fehlt; ","")&amp;IF(COUNTIFS($A$2:$A$5001,$A4931,$C$2:$C$5001,C4931)&gt;1,"Artikel doppelt im selben Lager; ",""))</f>
        <v/>
      </c>
      <c r="P4931" s="47" t="n">
        <f aca="false">IF(OR($A4931="",D4931=""),0,IF(COUNTIF($D$2:D4931,D4931)=1,SUMIF($D$2:$D$5001,D4931,$H$2:$H$5001)+ROW()/10000000,0))</f>
        <v>0</v>
      </c>
      <c r="Q4931" s="47" t="n">
        <f aca="false">IF(OR($A4931="",C4931=""),0,IF(COUNTIF($C$2:C4931,C4931)=1,SUMIF($C$2:$C$5001,C4931,$H$2:$H$5001)+ROW()/10000000,0))</f>
        <v>0</v>
      </c>
    </row>
    <row r="4932" customFormat="false" ht="15" hidden="false" customHeight="false" outlineLevel="0" collapsed="false">
      <c r="A4932" s="43"/>
      <c r="B4932" s="44"/>
      <c r="C4932" s="44"/>
      <c r="D4932" s="44"/>
      <c r="E4932" s="44"/>
      <c r="F4932" s="44"/>
      <c r="G4932" s="44"/>
      <c r="H4932" s="46" t="str">
        <f aca="false">IF($A4932="","",IF(OR(NOT(ISNUMBER(E4932)),NOT(ISNUMBER(F4932))),"",MAX(0,E4932)*F4932))</f>
        <v/>
      </c>
      <c r="I4932" s="46" t="str">
        <f aca="false">IF($A4932="","",SUMIF($A$2:$A$5001,$A4932,$H$2:$H$5001))</f>
        <v/>
      </c>
      <c r="J4932" s="47" t="n">
        <f aca="false">IF($A4932="",0,IF(COUNTIF($A$2:A4932,$A4932)=1,1,0))</f>
        <v>0</v>
      </c>
      <c r="K4932" s="47" t="n">
        <f aca="false">IF(J4932=1,N(I4932)+ROW()/10000000,0)</f>
        <v>0</v>
      </c>
      <c r="L4932" s="47" t="str">
        <f aca="false">IF(AND(J4932=1,N(I4932)&gt;0),SUMIF($K$2:$K$5001,"&gt;="&amp;K4932,$I$2:$I$5001)/MAX(1,SUM($H$2:$H$5001)),"")</f>
        <v/>
      </c>
      <c r="M4932" s="47" t="str">
        <f aca="false">IF($A4932="","",INDEX($L$2:$L$5001,MATCH($A4932,$A$2:$A$5001,0)))</f>
        <v/>
      </c>
      <c r="N4932" s="48" t="str">
        <f aca="false">IF($A4932="","",IF(N(M4932)=0,"–",IF(M4932&lt;=Start!$D$20,"A",IF(M4932&lt;=Start!$D$21,"B","C"))))</f>
        <v/>
      </c>
      <c r="O4932" s="48" t="str">
        <f aca="false">IF($A4932="","",IF(NOT(ISNUMBER(F4932)),"Wert fehlt; ",IF(F4932&lt;=0,"Wert ist 0; ",""))&amp;IF(NOT(ISNUMBER(E4932)),"Bestand fehlt; ",IF(E4932&lt;0,"Bestand negativ; ",IF(E4932=0,"Nullbestand; ","")))&amp;IF(D4932="","Warengruppe fehlt; ","")&amp;IF(B4932="","Bezeichnung fehlt; ","")&amp;IF(COUNTIFS($A$2:$A$5001,$A4932,$C$2:$C$5001,C4932)&gt;1,"Artikel doppelt im selben Lager; ",""))</f>
        <v/>
      </c>
      <c r="P4932" s="47" t="n">
        <f aca="false">IF(OR($A4932="",D4932=""),0,IF(COUNTIF($D$2:D4932,D4932)=1,SUMIF($D$2:$D$5001,D4932,$H$2:$H$5001)+ROW()/10000000,0))</f>
        <v>0</v>
      </c>
      <c r="Q4932" s="47" t="n">
        <f aca="false">IF(OR($A4932="",C4932=""),0,IF(COUNTIF($C$2:C4932,C4932)=1,SUMIF($C$2:$C$5001,C4932,$H$2:$H$5001)+ROW()/10000000,0))</f>
        <v>0</v>
      </c>
    </row>
    <row r="4933" customFormat="false" ht="15" hidden="false" customHeight="false" outlineLevel="0" collapsed="false">
      <c r="A4933" s="43"/>
      <c r="B4933" s="44"/>
      <c r="C4933" s="44"/>
      <c r="D4933" s="44"/>
      <c r="E4933" s="44"/>
      <c r="F4933" s="44"/>
      <c r="G4933" s="44"/>
      <c r="H4933" s="46" t="str">
        <f aca="false">IF($A4933="","",IF(OR(NOT(ISNUMBER(E4933)),NOT(ISNUMBER(F4933))),"",MAX(0,E4933)*F4933))</f>
        <v/>
      </c>
      <c r="I4933" s="46" t="str">
        <f aca="false">IF($A4933="","",SUMIF($A$2:$A$5001,$A4933,$H$2:$H$5001))</f>
        <v/>
      </c>
      <c r="J4933" s="47" t="n">
        <f aca="false">IF($A4933="",0,IF(COUNTIF($A$2:A4933,$A4933)=1,1,0))</f>
        <v>0</v>
      </c>
      <c r="K4933" s="47" t="n">
        <f aca="false">IF(J4933=1,N(I4933)+ROW()/10000000,0)</f>
        <v>0</v>
      </c>
      <c r="L4933" s="47" t="str">
        <f aca="false">IF(AND(J4933=1,N(I4933)&gt;0),SUMIF($K$2:$K$5001,"&gt;="&amp;K4933,$I$2:$I$5001)/MAX(1,SUM($H$2:$H$5001)),"")</f>
        <v/>
      </c>
      <c r="M4933" s="47" t="str">
        <f aca="false">IF($A4933="","",INDEX($L$2:$L$5001,MATCH($A4933,$A$2:$A$5001,0)))</f>
        <v/>
      </c>
      <c r="N4933" s="48" t="str">
        <f aca="false">IF($A4933="","",IF(N(M4933)=0,"–",IF(M4933&lt;=Start!$D$20,"A",IF(M4933&lt;=Start!$D$21,"B","C"))))</f>
        <v/>
      </c>
      <c r="O4933" s="48" t="str">
        <f aca="false">IF($A4933="","",IF(NOT(ISNUMBER(F4933)),"Wert fehlt; ",IF(F4933&lt;=0,"Wert ist 0; ",""))&amp;IF(NOT(ISNUMBER(E4933)),"Bestand fehlt; ",IF(E4933&lt;0,"Bestand negativ; ",IF(E4933=0,"Nullbestand; ","")))&amp;IF(D4933="","Warengruppe fehlt; ","")&amp;IF(B4933="","Bezeichnung fehlt; ","")&amp;IF(COUNTIFS($A$2:$A$5001,$A4933,$C$2:$C$5001,C4933)&gt;1,"Artikel doppelt im selben Lager; ",""))</f>
        <v/>
      </c>
      <c r="P4933" s="47" t="n">
        <f aca="false">IF(OR($A4933="",D4933=""),0,IF(COUNTIF($D$2:D4933,D4933)=1,SUMIF($D$2:$D$5001,D4933,$H$2:$H$5001)+ROW()/10000000,0))</f>
        <v>0</v>
      </c>
      <c r="Q4933" s="47" t="n">
        <f aca="false">IF(OR($A4933="",C4933=""),0,IF(COUNTIF($C$2:C4933,C4933)=1,SUMIF($C$2:$C$5001,C4933,$H$2:$H$5001)+ROW()/10000000,0))</f>
        <v>0</v>
      </c>
    </row>
    <row r="4934" customFormat="false" ht="15" hidden="false" customHeight="false" outlineLevel="0" collapsed="false">
      <c r="A4934" s="43"/>
      <c r="B4934" s="44"/>
      <c r="C4934" s="44"/>
      <c r="D4934" s="44"/>
      <c r="E4934" s="44"/>
      <c r="F4934" s="44"/>
      <c r="G4934" s="44"/>
      <c r="H4934" s="46" t="str">
        <f aca="false">IF($A4934="","",IF(OR(NOT(ISNUMBER(E4934)),NOT(ISNUMBER(F4934))),"",MAX(0,E4934)*F4934))</f>
        <v/>
      </c>
      <c r="I4934" s="46" t="str">
        <f aca="false">IF($A4934="","",SUMIF($A$2:$A$5001,$A4934,$H$2:$H$5001))</f>
        <v/>
      </c>
      <c r="J4934" s="47" t="n">
        <f aca="false">IF($A4934="",0,IF(COUNTIF($A$2:A4934,$A4934)=1,1,0))</f>
        <v>0</v>
      </c>
      <c r="K4934" s="47" t="n">
        <f aca="false">IF(J4934=1,N(I4934)+ROW()/10000000,0)</f>
        <v>0</v>
      </c>
      <c r="L4934" s="47" t="str">
        <f aca="false">IF(AND(J4934=1,N(I4934)&gt;0),SUMIF($K$2:$K$5001,"&gt;="&amp;K4934,$I$2:$I$5001)/MAX(1,SUM($H$2:$H$5001)),"")</f>
        <v/>
      </c>
      <c r="M4934" s="47" t="str">
        <f aca="false">IF($A4934="","",INDEX($L$2:$L$5001,MATCH($A4934,$A$2:$A$5001,0)))</f>
        <v/>
      </c>
      <c r="N4934" s="48" t="str">
        <f aca="false">IF($A4934="","",IF(N(M4934)=0,"–",IF(M4934&lt;=Start!$D$20,"A",IF(M4934&lt;=Start!$D$21,"B","C"))))</f>
        <v/>
      </c>
      <c r="O4934" s="48" t="str">
        <f aca="false">IF($A4934="","",IF(NOT(ISNUMBER(F4934)),"Wert fehlt; ",IF(F4934&lt;=0,"Wert ist 0; ",""))&amp;IF(NOT(ISNUMBER(E4934)),"Bestand fehlt; ",IF(E4934&lt;0,"Bestand negativ; ",IF(E4934=0,"Nullbestand; ","")))&amp;IF(D4934="","Warengruppe fehlt; ","")&amp;IF(B4934="","Bezeichnung fehlt; ","")&amp;IF(COUNTIFS($A$2:$A$5001,$A4934,$C$2:$C$5001,C4934)&gt;1,"Artikel doppelt im selben Lager; ",""))</f>
        <v/>
      </c>
      <c r="P4934" s="47" t="n">
        <f aca="false">IF(OR($A4934="",D4934=""),0,IF(COUNTIF($D$2:D4934,D4934)=1,SUMIF($D$2:$D$5001,D4934,$H$2:$H$5001)+ROW()/10000000,0))</f>
        <v>0</v>
      </c>
      <c r="Q4934" s="47" t="n">
        <f aca="false">IF(OR($A4934="",C4934=""),0,IF(COUNTIF($C$2:C4934,C4934)=1,SUMIF($C$2:$C$5001,C4934,$H$2:$H$5001)+ROW()/10000000,0))</f>
        <v>0</v>
      </c>
    </row>
    <row r="4935" customFormat="false" ht="15" hidden="false" customHeight="false" outlineLevel="0" collapsed="false">
      <c r="A4935" s="43"/>
      <c r="B4935" s="44"/>
      <c r="C4935" s="44"/>
      <c r="D4935" s="44"/>
      <c r="E4935" s="44"/>
      <c r="F4935" s="44"/>
      <c r="G4935" s="44"/>
      <c r="H4935" s="46" t="str">
        <f aca="false">IF($A4935="","",IF(OR(NOT(ISNUMBER(E4935)),NOT(ISNUMBER(F4935))),"",MAX(0,E4935)*F4935))</f>
        <v/>
      </c>
      <c r="I4935" s="46" t="str">
        <f aca="false">IF($A4935="","",SUMIF($A$2:$A$5001,$A4935,$H$2:$H$5001))</f>
        <v/>
      </c>
      <c r="J4935" s="47" t="n">
        <f aca="false">IF($A4935="",0,IF(COUNTIF($A$2:A4935,$A4935)=1,1,0))</f>
        <v>0</v>
      </c>
      <c r="K4935" s="47" t="n">
        <f aca="false">IF(J4935=1,N(I4935)+ROW()/10000000,0)</f>
        <v>0</v>
      </c>
      <c r="L4935" s="47" t="str">
        <f aca="false">IF(AND(J4935=1,N(I4935)&gt;0),SUMIF($K$2:$K$5001,"&gt;="&amp;K4935,$I$2:$I$5001)/MAX(1,SUM($H$2:$H$5001)),"")</f>
        <v/>
      </c>
      <c r="M4935" s="47" t="str">
        <f aca="false">IF($A4935="","",INDEX($L$2:$L$5001,MATCH($A4935,$A$2:$A$5001,0)))</f>
        <v/>
      </c>
      <c r="N4935" s="48" t="str">
        <f aca="false">IF($A4935="","",IF(N(M4935)=0,"–",IF(M4935&lt;=Start!$D$20,"A",IF(M4935&lt;=Start!$D$21,"B","C"))))</f>
        <v/>
      </c>
      <c r="O4935" s="48" t="str">
        <f aca="false">IF($A4935="","",IF(NOT(ISNUMBER(F4935)),"Wert fehlt; ",IF(F4935&lt;=0,"Wert ist 0; ",""))&amp;IF(NOT(ISNUMBER(E4935)),"Bestand fehlt; ",IF(E4935&lt;0,"Bestand negativ; ",IF(E4935=0,"Nullbestand; ","")))&amp;IF(D4935="","Warengruppe fehlt; ","")&amp;IF(B4935="","Bezeichnung fehlt; ","")&amp;IF(COUNTIFS($A$2:$A$5001,$A4935,$C$2:$C$5001,C4935)&gt;1,"Artikel doppelt im selben Lager; ",""))</f>
        <v/>
      </c>
      <c r="P4935" s="47" t="n">
        <f aca="false">IF(OR($A4935="",D4935=""),0,IF(COUNTIF($D$2:D4935,D4935)=1,SUMIF($D$2:$D$5001,D4935,$H$2:$H$5001)+ROW()/10000000,0))</f>
        <v>0</v>
      </c>
      <c r="Q4935" s="47" t="n">
        <f aca="false">IF(OR($A4935="",C4935=""),0,IF(COUNTIF($C$2:C4935,C4935)=1,SUMIF($C$2:$C$5001,C4935,$H$2:$H$5001)+ROW()/10000000,0))</f>
        <v>0</v>
      </c>
    </row>
    <row r="4936" customFormat="false" ht="15" hidden="false" customHeight="false" outlineLevel="0" collapsed="false">
      <c r="A4936" s="43"/>
      <c r="B4936" s="44"/>
      <c r="C4936" s="44"/>
      <c r="D4936" s="44"/>
      <c r="E4936" s="44"/>
      <c r="F4936" s="44"/>
      <c r="G4936" s="44"/>
      <c r="H4936" s="46" t="str">
        <f aca="false">IF($A4936="","",IF(OR(NOT(ISNUMBER(E4936)),NOT(ISNUMBER(F4936))),"",MAX(0,E4936)*F4936))</f>
        <v/>
      </c>
      <c r="I4936" s="46" t="str">
        <f aca="false">IF($A4936="","",SUMIF($A$2:$A$5001,$A4936,$H$2:$H$5001))</f>
        <v/>
      </c>
      <c r="J4936" s="47" t="n">
        <f aca="false">IF($A4936="",0,IF(COUNTIF($A$2:A4936,$A4936)=1,1,0))</f>
        <v>0</v>
      </c>
      <c r="K4936" s="47" t="n">
        <f aca="false">IF(J4936=1,N(I4936)+ROW()/10000000,0)</f>
        <v>0</v>
      </c>
      <c r="L4936" s="47" t="str">
        <f aca="false">IF(AND(J4936=1,N(I4936)&gt;0),SUMIF($K$2:$K$5001,"&gt;="&amp;K4936,$I$2:$I$5001)/MAX(1,SUM($H$2:$H$5001)),"")</f>
        <v/>
      </c>
      <c r="M4936" s="47" t="str">
        <f aca="false">IF($A4936="","",INDEX($L$2:$L$5001,MATCH($A4936,$A$2:$A$5001,0)))</f>
        <v/>
      </c>
      <c r="N4936" s="48" t="str">
        <f aca="false">IF($A4936="","",IF(N(M4936)=0,"–",IF(M4936&lt;=Start!$D$20,"A",IF(M4936&lt;=Start!$D$21,"B","C"))))</f>
        <v/>
      </c>
      <c r="O4936" s="48" t="str">
        <f aca="false">IF($A4936="","",IF(NOT(ISNUMBER(F4936)),"Wert fehlt; ",IF(F4936&lt;=0,"Wert ist 0; ",""))&amp;IF(NOT(ISNUMBER(E4936)),"Bestand fehlt; ",IF(E4936&lt;0,"Bestand negativ; ",IF(E4936=0,"Nullbestand; ","")))&amp;IF(D4936="","Warengruppe fehlt; ","")&amp;IF(B4936="","Bezeichnung fehlt; ","")&amp;IF(COUNTIFS($A$2:$A$5001,$A4936,$C$2:$C$5001,C4936)&gt;1,"Artikel doppelt im selben Lager; ",""))</f>
        <v/>
      </c>
      <c r="P4936" s="47" t="n">
        <f aca="false">IF(OR($A4936="",D4936=""),0,IF(COUNTIF($D$2:D4936,D4936)=1,SUMIF($D$2:$D$5001,D4936,$H$2:$H$5001)+ROW()/10000000,0))</f>
        <v>0</v>
      </c>
      <c r="Q4936" s="47" t="n">
        <f aca="false">IF(OR($A4936="",C4936=""),0,IF(COUNTIF($C$2:C4936,C4936)=1,SUMIF($C$2:$C$5001,C4936,$H$2:$H$5001)+ROW()/10000000,0))</f>
        <v>0</v>
      </c>
    </row>
    <row r="4937" customFormat="false" ht="15" hidden="false" customHeight="false" outlineLevel="0" collapsed="false">
      <c r="A4937" s="43"/>
      <c r="B4937" s="44"/>
      <c r="C4937" s="44"/>
      <c r="D4937" s="44"/>
      <c r="E4937" s="44"/>
      <c r="F4937" s="44"/>
      <c r="G4937" s="44"/>
      <c r="H4937" s="46" t="str">
        <f aca="false">IF($A4937="","",IF(OR(NOT(ISNUMBER(E4937)),NOT(ISNUMBER(F4937))),"",MAX(0,E4937)*F4937))</f>
        <v/>
      </c>
      <c r="I4937" s="46" t="str">
        <f aca="false">IF($A4937="","",SUMIF($A$2:$A$5001,$A4937,$H$2:$H$5001))</f>
        <v/>
      </c>
      <c r="J4937" s="47" t="n">
        <f aca="false">IF($A4937="",0,IF(COUNTIF($A$2:A4937,$A4937)=1,1,0))</f>
        <v>0</v>
      </c>
      <c r="K4937" s="47" t="n">
        <f aca="false">IF(J4937=1,N(I4937)+ROW()/10000000,0)</f>
        <v>0</v>
      </c>
      <c r="L4937" s="47" t="str">
        <f aca="false">IF(AND(J4937=1,N(I4937)&gt;0),SUMIF($K$2:$K$5001,"&gt;="&amp;K4937,$I$2:$I$5001)/MAX(1,SUM($H$2:$H$5001)),"")</f>
        <v/>
      </c>
      <c r="M4937" s="47" t="str">
        <f aca="false">IF($A4937="","",INDEX($L$2:$L$5001,MATCH($A4937,$A$2:$A$5001,0)))</f>
        <v/>
      </c>
      <c r="N4937" s="48" t="str">
        <f aca="false">IF($A4937="","",IF(N(M4937)=0,"–",IF(M4937&lt;=Start!$D$20,"A",IF(M4937&lt;=Start!$D$21,"B","C"))))</f>
        <v/>
      </c>
      <c r="O4937" s="48" t="str">
        <f aca="false">IF($A4937="","",IF(NOT(ISNUMBER(F4937)),"Wert fehlt; ",IF(F4937&lt;=0,"Wert ist 0; ",""))&amp;IF(NOT(ISNUMBER(E4937)),"Bestand fehlt; ",IF(E4937&lt;0,"Bestand negativ; ",IF(E4937=0,"Nullbestand; ","")))&amp;IF(D4937="","Warengruppe fehlt; ","")&amp;IF(B4937="","Bezeichnung fehlt; ","")&amp;IF(COUNTIFS($A$2:$A$5001,$A4937,$C$2:$C$5001,C4937)&gt;1,"Artikel doppelt im selben Lager; ",""))</f>
        <v/>
      </c>
      <c r="P4937" s="47" t="n">
        <f aca="false">IF(OR($A4937="",D4937=""),0,IF(COUNTIF($D$2:D4937,D4937)=1,SUMIF($D$2:$D$5001,D4937,$H$2:$H$5001)+ROW()/10000000,0))</f>
        <v>0</v>
      </c>
      <c r="Q4937" s="47" t="n">
        <f aca="false">IF(OR($A4937="",C4937=""),0,IF(COUNTIF($C$2:C4937,C4937)=1,SUMIF($C$2:$C$5001,C4937,$H$2:$H$5001)+ROW()/10000000,0))</f>
        <v>0</v>
      </c>
    </row>
    <row r="4938" customFormat="false" ht="15" hidden="false" customHeight="false" outlineLevel="0" collapsed="false">
      <c r="A4938" s="43"/>
      <c r="B4938" s="44"/>
      <c r="C4938" s="44"/>
      <c r="D4938" s="44"/>
      <c r="E4938" s="44"/>
      <c r="F4938" s="44"/>
      <c r="G4938" s="44"/>
      <c r="H4938" s="46" t="str">
        <f aca="false">IF($A4938="","",IF(OR(NOT(ISNUMBER(E4938)),NOT(ISNUMBER(F4938))),"",MAX(0,E4938)*F4938))</f>
        <v/>
      </c>
      <c r="I4938" s="46" t="str">
        <f aca="false">IF($A4938="","",SUMIF($A$2:$A$5001,$A4938,$H$2:$H$5001))</f>
        <v/>
      </c>
      <c r="J4938" s="47" t="n">
        <f aca="false">IF($A4938="",0,IF(COUNTIF($A$2:A4938,$A4938)=1,1,0))</f>
        <v>0</v>
      </c>
      <c r="K4938" s="47" t="n">
        <f aca="false">IF(J4938=1,N(I4938)+ROW()/10000000,0)</f>
        <v>0</v>
      </c>
      <c r="L4938" s="47" t="str">
        <f aca="false">IF(AND(J4938=1,N(I4938)&gt;0),SUMIF($K$2:$K$5001,"&gt;="&amp;K4938,$I$2:$I$5001)/MAX(1,SUM($H$2:$H$5001)),"")</f>
        <v/>
      </c>
      <c r="M4938" s="47" t="str">
        <f aca="false">IF($A4938="","",INDEX($L$2:$L$5001,MATCH($A4938,$A$2:$A$5001,0)))</f>
        <v/>
      </c>
      <c r="N4938" s="48" t="str">
        <f aca="false">IF($A4938="","",IF(N(M4938)=0,"–",IF(M4938&lt;=Start!$D$20,"A",IF(M4938&lt;=Start!$D$21,"B","C"))))</f>
        <v/>
      </c>
      <c r="O4938" s="48" t="str">
        <f aca="false">IF($A4938="","",IF(NOT(ISNUMBER(F4938)),"Wert fehlt; ",IF(F4938&lt;=0,"Wert ist 0; ",""))&amp;IF(NOT(ISNUMBER(E4938)),"Bestand fehlt; ",IF(E4938&lt;0,"Bestand negativ; ",IF(E4938=0,"Nullbestand; ","")))&amp;IF(D4938="","Warengruppe fehlt; ","")&amp;IF(B4938="","Bezeichnung fehlt; ","")&amp;IF(COUNTIFS($A$2:$A$5001,$A4938,$C$2:$C$5001,C4938)&gt;1,"Artikel doppelt im selben Lager; ",""))</f>
        <v/>
      </c>
      <c r="P4938" s="47" t="n">
        <f aca="false">IF(OR($A4938="",D4938=""),0,IF(COUNTIF($D$2:D4938,D4938)=1,SUMIF($D$2:$D$5001,D4938,$H$2:$H$5001)+ROW()/10000000,0))</f>
        <v>0</v>
      </c>
      <c r="Q4938" s="47" t="n">
        <f aca="false">IF(OR($A4938="",C4938=""),0,IF(COUNTIF($C$2:C4938,C4938)=1,SUMIF($C$2:$C$5001,C4938,$H$2:$H$5001)+ROW()/10000000,0))</f>
        <v>0</v>
      </c>
    </row>
    <row r="4939" customFormat="false" ht="15" hidden="false" customHeight="false" outlineLevel="0" collapsed="false">
      <c r="A4939" s="43"/>
      <c r="B4939" s="44"/>
      <c r="C4939" s="44"/>
      <c r="D4939" s="44"/>
      <c r="E4939" s="44"/>
      <c r="F4939" s="44"/>
      <c r="G4939" s="44"/>
      <c r="H4939" s="46" t="str">
        <f aca="false">IF($A4939="","",IF(OR(NOT(ISNUMBER(E4939)),NOT(ISNUMBER(F4939))),"",MAX(0,E4939)*F4939))</f>
        <v/>
      </c>
      <c r="I4939" s="46" t="str">
        <f aca="false">IF($A4939="","",SUMIF($A$2:$A$5001,$A4939,$H$2:$H$5001))</f>
        <v/>
      </c>
      <c r="J4939" s="47" t="n">
        <f aca="false">IF($A4939="",0,IF(COUNTIF($A$2:A4939,$A4939)=1,1,0))</f>
        <v>0</v>
      </c>
      <c r="K4939" s="47" t="n">
        <f aca="false">IF(J4939=1,N(I4939)+ROW()/10000000,0)</f>
        <v>0</v>
      </c>
      <c r="L4939" s="47" t="str">
        <f aca="false">IF(AND(J4939=1,N(I4939)&gt;0),SUMIF($K$2:$K$5001,"&gt;="&amp;K4939,$I$2:$I$5001)/MAX(1,SUM($H$2:$H$5001)),"")</f>
        <v/>
      </c>
      <c r="M4939" s="47" t="str">
        <f aca="false">IF($A4939="","",INDEX($L$2:$L$5001,MATCH($A4939,$A$2:$A$5001,0)))</f>
        <v/>
      </c>
      <c r="N4939" s="48" t="str">
        <f aca="false">IF($A4939="","",IF(N(M4939)=0,"–",IF(M4939&lt;=Start!$D$20,"A",IF(M4939&lt;=Start!$D$21,"B","C"))))</f>
        <v/>
      </c>
      <c r="O4939" s="48" t="str">
        <f aca="false">IF($A4939="","",IF(NOT(ISNUMBER(F4939)),"Wert fehlt; ",IF(F4939&lt;=0,"Wert ist 0; ",""))&amp;IF(NOT(ISNUMBER(E4939)),"Bestand fehlt; ",IF(E4939&lt;0,"Bestand negativ; ",IF(E4939=0,"Nullbestand; ","")))&amp;IF(D4939="","Warengruppe fehlt; ","")&amp;IF(B4939="","Bezeichnung fehlt; ","")&amp;IF(COUNTIFS($A$2:$A$5001,$A4939,$C$2:$C$5001,C4939)&gt;1,"Artikel doppelt im selben Lager; ",""))</f>
        <v/>
      </c>
      <c r="P4939" s="47" t="n">
        <f aca="false">IF(OR($A4939="",D4939=""),0,IF(COUNTIF($D$2:D4939,D4939)=1,SUMIF($D$2:$D$5001,D4939,$H$2:$H$5001)+ROW()/10000000,0))</f>
        <v>0</v>
      </c>
      <c r="Q4939" s="47" t="n">
        <f aca="false">IF(OR($A4939="",C4939=""),0,IF(COUNTIF($C$2:C4939,C4939)=1,SUMIF($C$2:$C$5001,C4939,$H$2:$H$5001)+ROW()/10000000,0))</f>
        <v>0</v>
      </c>
    </row>
    <row r="4940" customFormat="false" ht="15" hidden="false" customHeight="false" outlineLevel="0" collapsed="false">
      <c r="A4940" s="43"/>
      <c r="B4940" s="44"/>
      <c r="C4940" s="44"/>
      <c r="D4940" s="44"/>
      <c r="E4940" s="44"/>
      <c r="F4940" s="44"/>
      <c r="G4940" s="44"/>
      <c r="H4940" s="46" t="str">
        <f aca="false">IF($A4940="","",IF(OR(NOT(ISNUMBER(E4940)),NOT(ISNUMBER(F4940))),"",MAX(0,E4940)*F4940))</f>
        <v/>
      </c>
      <c r="I4940" s="46" t="str">
        <f aca="false">IF($A4940="","",SUMIF($A$2:$A$5001,$A4940,$H$2:$H$5001))</f>
        <v/>
      </c>
      <c r="J4940" s="47" t="n">
        <f aca="false">IF($A4940="",0,IF(COUNTIF($A$2:A4940,$A4940)=1,1,0))</f>
        <v>0</v>
      </c>
      <c r="K4940" s="47" t="n">
        <f aca="false">IF(J4940=1,N(I4940)+ROW()/10000000,0)</f>
        <v>0</v>
      </c>
      <c r="L4940" s="47" t="str">
        <f aca="false">IF(AND(J4940=1,N(I4940)&gt;0),SUMIF($K$2:$K$5001,"&gt;="&amp;K4940,$I$2:$I$5001)/MAX(1,SUM($H$2:$H$5001)),"")</f>
        <v/>
      </c>
      <c r="M4940" s="47" t="str">
        <f aca="false">IF($A4940="","",INDEX($L$2:$L$5001,MATCH($A4940,$A$2:$A$5001,0)))</f>
        <v/>
      </c>
      <c r="N4940" s="48" t="str">
        <f aca="false">IF($A4940="","",IF(N(M4940)=0,"–",IF(M4940&lt;=Start!$D$20,"A",IF(M4940&lt;=Start!$D$21,"B","C"))))</f>
        <v/>
      </c>
      <c r="O4940" s="48" t="str">
        <f aca="false">IF($A4940="","",IF(NOT(ISNUMBER(F4940)),"Wert fehlt; ",IF(F4940&lt;=0,"Wert ist 0; ",""))&amp;IF(NOT(ISNUMBER(E4940)),"Bestand fehlt; ",IF(E4940&lt;0,"Bestand negativ; ",IF(E4940=0,"Nullbestand; ","")))&amp;IF(D4940="","Warengruppe fehlt; ","")&amp;IF(B4940="","Bezeichnung fehlt; ","")&amp;IF(COUNTIFS($A$2:$A$5001,$A4940,$C$2:$C$5001,C4940)&gt;1,"Artikel doppelt im selben Lager; ",""))</f>
        <v/>
      </c>
      <c r="P4940" s="47" t="n">
        <f aca="false">IF(OR($A4940="",D4940=""),0,IF(COUNTIF($D$2:D4940,D4940)=1,SUMIF($D$2:$D$5001,D4940,$H$2:$H$5001)+ROW()/10000000,0))</f>
        <v>0</v>
      </c>
      <c r="Q4940" s="47" t="n">
        <f aca="false">IF(OR($A4940="",C4940=""),0,IF(COUNTIF($C$2:C4940,C4940)=1,SUMIF($C$2:$C$5001,C4940,$H$2:$H$5001)+ROW()/10000000,0))</f>
        <v>0</v>
      </c>
    </row>
    <row r="4941" customFormat="false" ht="15" hidden="false" customHeight="false" outlineLevel="0" collapsed="false">
      <c r="A4941" s="43"/>
      <c r="B4941" s="44"/>
      <c r="C4941" s="44"/>
      <c r="D4941" s="44"/>
      <c r="E4941" s="44"/>
      <c r="F4941" s="44"/>
      <c r="G4941" s="44"/>
      <c r="H4941" s="46" t="str">
        <f aca="false">IF($A4941="","",IF(OR(NOT(ISNUMBER(E4941)),NOT(ISNUMBER(F4941))),"",MAX(0,E4941)*F4941))</f>
        <v/>
      </c>
      <c r="I4941" s="46" t="str">
        <f aca="false">IF($A4941="","",SUMIF($A$2:$A$5001,$A4941,$H$2:$H$5001))</f>
        <v/>
      </c>
      <c r="J4941" s="47" t="n">
        <f aca="false">IF($A4941="",0,IF(COUNTIF($A$2:A4941,$A4941)=1,1,0))</f>
        <v>0</v>
      </c>
      <c r="K4941" s="47" t="n">
        <f aca="false">IF(J4941=1,N(I4941)+ROW()/10000000,0)</f>
        <v>0</v>
      </c>
      <c r="L4941" s="47" t="str">
        <f aca="false">IF(AND(J4941=1,N(I4941)&gt;0),SUMIF($K$2:$K$5001,"&gt;="&amp;K4941,$I$2:$I$5001)/MAX(1,SUM($H$2:$H$5001)),"")</f>
        <v/>
      </c>
      <c r="M4941" s="47" t="str">
        <f aca="false">IF($A4941="","",INDEX($L$2:$L$5001,MATCH($A4941,$A$2:$A$5001,0)))</f>
        <v/>
      </c>
      <c r="N4941" s="48" t="str">
        <f aca="false">IF($A4941="","",IF(N(M4941)=0,"–",IF(M4941&lt;=Start!$D$20,"A",IF(M4941&lt;=Start!$D$21,"B","C"))))</f>
        <v/>
      </c>
      <c r="O4941" s="48" t="str">
        <f aca="false">IF($A4941="","",IF(NOT(ISNUMBER(F4941)),"Wert fehlt; ",IF(F4941&lt;=0,"Wert ist 0; ",""))&amp;IF(NOT(ISNUMBER(E4941)),"Bestand fehlt; ",IF(E4941&lt;0,"Bestand negativ; ",IF(E4941=0,"Nullbestand; ","")))&amp;IF(D4941="","Warengruppe fehlt; ","")&amp;IF(B4941="","Bezeichnung fehlt; ","")&amp;IF(COUNTIFS($A$2:$A$5001,$A4941,$C$2:$C$5001,C4941)&gt;1,"Artikel doppelt im selben Lager; ",""))</f>
        <v/>
      </c>
      <c r="P4941" s="47" t="n">
        <f aca="false">IF(OR($A4941="",D4941=""),0,IF(COUNTIF($D$2:D4941,D4941)=1,SUMIF($D$2:$D$5001,D4941,$H$2:$H$5001)+ROW()/10000000,0))</f>
        <v>0</v>
      </c>
      <c r="Q4941" s="47" t="n">
        <f aca="false">IF(OR($A4941="",C4941=""),0,IF(COUNTIF($C$2:C4941,C4941)=1,SUMIF($C$2:$C$5001,C4941,$H$2:$H$5001)+ROW()/10000000,0))</f>
        <v>0</v>
      </c>
    </row>
    <row r="4942" customFormat="false" ht="15" hidden="false" customHeight="false" outlineLevel="0" collapsed="false">
      <c r="A4942" s="43"/>
      <c r="B4942" s="44"/>
      <c r="C4942" s="44"/>
      <c r="D4942" s="44"/>
      <c r="E4942" s="44"/>
      <c r="F4942" s="44"/>
      <c r="G4942" s="44"/>
      <c r="H4942" s="46" t="str">
        <f aca="false">IF($A4942="","",IF(OR(NOT(ISNUMBER(E4942)),NOT(ISNUMBER(F4942))),"",MAX(0,E4942)*F4942))</f>
        <v/>
      </c>
      <c r="I4942" s="46" t="str">
        <f aca="false">IF($A4942="","",SUMIF($A$2:$A$5001,$A4942,$H$2:$H$5001))</f>
        <v/>
      </c>
      <c r="J4942" s="47" t="n">
        <f aca="false">IF($A4942="",0,IF(COUNTIF($A$2:A4942,$A4942)=1,1,0))</f>
        <v>0</v>
      </c>
      <c r="K4942" s="47" t="n">
        <f aca="false">IF(J4942=1,N(I4942)+ROW()/10000000,0)</f>
        <v>0</v>
      </c>
      <c r="L4942" s="47" t="str">
        <f aca="false">IF(AND(J4942=1,N(I4942)&gt;0),SUMIF($K$2:$K$5001,"&gt;="&amp;K4942,$I$2:$I$5001)/MAX(1,SUM($H$2:$H$5001)),"")</f>
        <v/>
      </c>
      <c r="M4942" s="47" t="str">
        <f aca="false">IF($A4942="","",INDEX($L$2:$L$5001,MATCH($A4942,$A$2:$A$5001,0)))</f>
        <v/>
      </c>
      <c r="N4942" s="48" t="str">
        <f aca="false">IF($A4942="","",IF(N(M4942)=0,"–",IF(M4942&lt;=Start!$D$20,"A",IF(M4942&lt;=Start!$D$21,"B","C"))))</f>
        <v/>
      </c>
      <c r="O4942" s="48" t="str">
        <f aca="false">IF($A4942="","",IF(NOT(ISNUMBER(F4942)),"Wert fehlt; ",IF(F4942&lt;=0,"Wert ist 0; ",""))&amp;IF(NOT(ISNUMBER(E4942)),"Bestand fehlt; ",IF(E4942&lt;0,"Bestand negativ; ",IF(E4942=0,"Nullbestand; ","")))&amp;IF(D4942="","Warengruppe fehlt; ","")&amp;IF(B4942="","Bezeichnung fehlt; ","")&amp;IF(COUNTIFS($A$2:$A$5001,$A4942,$C$2:$C$5001,C4942)&gt;1,"Artikel doppelt im selben Lager; ",""))</f>
        <v/>
      </c>
      <c r="P4942" s="47" t="n">
        <f aca="false">IF(OR($A4942="",D4942=""),0,IF(COUNTIF($D$2:D4942,D4942)=1,SUMIF($D$2:$D$5001,D4942,$H$2:$H$5001)+ROW()/10000000,0))</f>
        <v>0</v>
      </c>
      <c r="Q4942" s="47" t="n">
        <f aca="false">IF(OR($A4942="",C4942=""),0,IF(COUNTIF($C$2:C4942,C4942)=1,SUMIF($C$2:$C$5001,C4942,$H$2:$H$5001)+ROW()/10000000,0))</f>
        <v>0</v>
      </c>
    </row>
    <row r="4943" customFormat="false" ht="15" hidden="false" customHeight="false" outlineLevel="0" collapsed="false">
      <c r="A4943" s="43"/>
      <c r="B4943" s="44"/>
      <c r="C4943" s="44"/>
      <c r="D4943" s="44"/>
      <c r="E4943" s="44"/>
      <c r="F4943" s="44"/>
      <c r="G4943" s="44"/>
      <c r="H4943" s="46" t="str">
        <f aca="false">IF($A4943="","",IF(OR(NOT(ISNUMBER(E4943)),NOT(ISNUMBER(F4943))),"",MAX(0,E4943)*F4943))</f>
        <v/>
      </c>
      <c r="I4943" s="46" t="str">
        <f aca="false">IF($A4943="","",SUMIF($A$2:$A$5001,$A4943,$H$2:$H$5001))</f>
        <v/>
      </c>
      <c r="J4943" s="47" t="n">
        <f aca="false">IF($A4943="",0,IF(COUNTIF($A$2:A4943,$A4943)=1,1,0))</f>
        <v>0</v>
      </c>
      <c r="K4943" s="47" t="n">
        <f aca="false">IF(J4943=1,N(I4943)+ROW()/10000000,0)</f>
        <v>0</v>
      </c>
      <c r="L4943" s="47" t="str">
        <f aca="false">IF(AND(J4943=1,N(I4943)&gt;0),SUMIF($K$2:$K$5001,"&gt;="&amp;K4943,$I$2:$I$5001)/MAX(1,SUM($H$2:$H$5001)),"")</f>
        <v/>
      </c>
      <c r="M4943" s="47" t="str">
        <f aca="false">IF($A4943="","",INDEX($L$2:$L$5001,MATCH($A4943,$A$2:$A$5001,0)))</f>
        <v/>
      </c>
      <c r="N4943" s="48" t="str">
        <f aca="false">IF($A4943="","",IF(N(M4943)=0,"–",IF(M4943&lt;=Start!$D$20,"A",IF(M4943&lt;=Start!$D$21,"B","C"))))</f>
        <v/>
      </c>
      <c r="O4943" s="48" t="str">
        <f aca="false">IF($A4943="","",IF(NOT(ISNUMBER(F4943)),"Wert fehlt; ",IF(F4943&lt;=0,"Wert ist 0; ",""))&amp;IF(NOT(ISNUMBER(E4943)),"Bestand fehlt; ",IF(E4943&lt;0,"Bestand negativ; ",IF(E4943=0,"Nullbestand; ","")))&amp;IF(D4943="","Warengruppe fehlt; ","")&amp;IF(B4943="","Bezeichnung fehlt; ","")&amp;IF(COUNTIFS($A$2:$A$5001,$A4943,$C$2:$C$5001,C4943)&gt;1,"Artikel doppelt im selben Lager; ",""))</f>
        <v/>
      </c>
      <c r="P4943" s="47" t="n">
        <f aca="false">IF(OR($A4943="",D4943=""),0,IF(COUNTIF($D$2:D4943,D4943)=1,SUMIF($D$2:$D$5001,D4943,$H$2:$H$5001)+ROW()/10000000,0))</f>
        <v>0</v>
      </c>
      <c r="Q4943" s="47" t="n">
        <f aca="false">IF(OR($A4943="",C4943=""),0,IF(COUNTIF($C$2:C4943,C4943)=1,SUMIF($C$2:$C$5001,C4943,$H$2:$H$5001)+ROW()/10000000,0))</f>
        <v>0</v>
      </c>
    </row>
    <row r="4944" customFormat="false" ht="15" hidden="false" customHeight="false" outlineLevel="0" collapsed="false">
      <c r="A4944" s="43"/>
      <c r="B4944" s="44"/>
      <c r="C4944" s="44"/>
      <c r="D4944" s="44"/>
      <c r="E4944" s="44"/>
      <c r="F4944" s="44"/>
      <c r="G4944" s="44"/>
      <c r="H4944" s="46" t="str">
        <f aca="false">IF($A4944="","",IF(OR(NOT(ISNUMBER(E4944)),NOT(ISNUMBER(F4944))),"",MAX(0,E4944)*F4944))</f>
        <v/>
      </c>
      <c r="I4944" s="46" t="str">
        <f aca="false">IF($A4944="","",SUMIF($A$2:$A$5001,$A4944,$H$2:$H$5001))</f>
        <v/>
      </c>
      <c r="J4944" s="47" t="n">
        <f aca="false">IF($A4944="",0,IF(COUNTIF($A$2:A4944,$A4944)=1,1,0))</f>
        <v>0</v>
      </c>
      <c r="K4944" s="47" t="n">
        <f aca="false">IF(J4944=1,N(I4944)+ROW()/10000000,0)</f>
        <v>0</v>
      </c>
      <c r="L4944" s="47" t="str">
        <f aca="false">IF(AND(J4944=1,N(I4944)&gt;0),SUMIF($K$2:$K$5001,"&gt;="&amp;K4944,$I$2:$I$5001)/MAX(1,SUM($H$2:$H$5001)),"")</f>
        <v/>
      </c>
      <c r="M4944" s="47" t="str">
        <f aca="false">IF($A4944="","",INDEX($L$2:$L$5001,MATCH($A4944,$A$2:$A$5001,0)))</f>
        <v/>
      </c>
      <c r="N4944" s="48" t="str">
        <f aca="false">IF($A4944="","",IF(N(M4944)=0,"–",IF(M4944&lt;=Start!$D$20,"A",IF(M4944&lt;=Start!$D$21,"B","C"))))</f>
        <v/>
      </c>
      <c r="O4944" s="48" t="str">
        <f aca="false">IF($A4944="","",IF(NOT(ISNUMBER(F4944)),"Wert fehlt; ",IF(F4944&lt;=0,"Wert ist 0; ",""))&amp;IF(NOT(ISNUMBER(E4944)),"Bestand fehlt; ",IF(E4944&lt;0,"Bestand negativ; ",IF(E4944=0,"Nullbestand; ","")))&amp;IF(D4944="","Warengruppe fehlt; ","")&amp;IF(B4944="","Bezeichnung fehlt; ","")&amp;IF(COUNTIFS($A$2:$A$5001,$A4944,$C$2:$C$5001,C4944)&gt;1,"Artikel doppelt im selben Lager; ",""))</f>
        <v/>
      </c>
      <c r="P4944" s="47" t="n">
        <f aca="false">IF(OR($A4944="",D4944=""),0,IF(COUNTIF($D$2:D4944,D4944)=1,SUMIF($D$2:$D$5001,D4944,$H$2:$H$5001)+ROW()/10000000,0))</f>
        <v>0</v>
      </c>
      <c r="Q4944" s="47" t="n">
        <f aca="false">IF(OR($A4944="",C4944=""),0,IF(COUNTIF($C$2:C4944,C4944)=1,SUMIF($C$2:$C$5001,C4944,$H$2:$H$5001)+ROW()/10000000,0))</f>
        <v>0</v>
      </c>
    </row>
    <row r="4945" customFormat="false" ht="15" hidden="false" customHeight="false" outlineLevel="0" collapsed="false">
      <c r="A4945" s="43"/>
      <c r="B4945" s="44"/>
      <c r="C4945" s="44"/>
      <c r="D4945" s="44"/>
      <c r="E4945" s="44"/>
      <c r="F4945" s="44"/>
      <c r="G4945" s="44"/>
      <c r="H4945" s="46" t="str">
        <f aca="false">IF($A4945="","",IF(OR(NOT(ISNUMBER(E4945)),NOT(ISNUMBER(F4945))),"",MAX(0,E4945)*F4945))</f>
        <v/>
      </c>
      <c r="I4945" s="46" t="str">
        <f aca="false">IF($A4945="","",SUMIF($A$2:$A$5001,$A4945,$H$2:$H$5001))</f>
        <v/>
      </c>
      <c r="J4945" s="47" t="n">
        <f aca="false">IF($A4945="",0,IF(COUNTIF($A$2:A4945,$A4945)=1,1,0))</f>
        <v>0</v>
      </c>
      <c r="K4945" s="47" t="n">
        <f aca="false">IF(J4945=1,N(I4945)+ROW()/10000000,0)</f>
        <v>0</v>
      </c>
      <c r="L4945" s="47" t="str">
        <f aca="false">IF(AND(J4945=1,N(I4945)&gt;0),SUMIF($K$2:$K$5001,"&gt;="&amp;K4945,$I$2:$I$5001)/MAX(1,SUM($H$2:$H$5001)),"")</f>
        <v/>
      </c>
      <c r="M4945" s="47" t="str">
        <f aca="false">IF($A4945="","",INDEX($L$2:$L$5001,MATCH($A4945,$A$2:$A$5001,0)))</f>
        <v/>
      </c>
      <c r="N4945" s="48" t="str">
        <f aca="false">IF($A4945="","",IF(N(M4945)=0,"–",IF(M4945&lt;=Start!$D$20,"A",IF(M4945&lt;=Start!$D$21,"B","C"))))</f>
        <v/>
      </c>
      <c r="O4945" s="48" t="str">
        <f aca="false">IF($A4945="","",IF(NOT(ISNUMBER(F4945)),"Wert fehlt; ",IF(F4945&lt;=0,"Wert ist 0; ",""))&amp;IF(NOT(ISNUMBER(E4945)),"Bestand fehlt; ",IF(E4945&lt;0,"Bestand negativ; ",IF(E4945=0,"Nullbestand; ","")))&amp;IF(D4945="","Warengruppe fehlt; ","")&amp;IF(B4945="","Bezeichnung fehlt; ","")&amp;IF(COUNTIFS($A$2:$A$5001,$A4945,$C$2:$C$5001,C4945)&gt;1,"Artikel doppelt im selben Lager; ",""))</f>
        <v/>
      </c>
      <c r="P4945" s="47" t="n">
        <f aca="false">IF(OR($A4945="",D4945=""),0,IF(COUNTIF($D$2:D4945,D4945)=1,SUMIF($D$2:$D$5001,D4945,$H$2:$H$5001)+ROW()/10000000,0))</f>
        <v>0</v>
      </c>
      <c r="Q4945" s="47" t="n">
        <f aca="false">IF(OR($A4945="",C4945=""),0,IF(COUNTIF($C$2:C4945,C4945)=1,SUMIF($C$2:$C$5001,C4945,$H$2:$H$5001)+ROW()/10000000,0))</f>
        <v>0</v>
      </c>
    </row>
    <row r="4946" customFormat="false" ht="15" hidden="false" customHeight="false" outlineLevel="0" collapsed="false">
      <c r="A4946" s="43"/>
      <c r="B4946" s="44"/>
      <c r="C4946" s="44"/>
      <c r="D4946" s="44"/>
      <c r="E4946" s="44"/>
      <c r="F4946" s="44"/>
      <c r="G4946" s="44"/>
      <c r="H4946" s="46" t="str">
        <f aca="false">IF($A4946="","",IF(OR(NOT(ISNUMBER(E4946)),NOT(ISNUMBER(F4946))),"",MAX(0,E4946)*F4946))</f>
        <v/>
      </c>
      <c r="I4946" s="46" t="str">
        <f aca="false">IF($A4946="","",SUMIF($A$2:$A$5001,$A4946,$H$2:$H$5001))</f>
        <v/>
      </c>
      <c r="J4946" s="47" t="n">
        <f aca="false">IF($A4946="",0,IF(COUNTIF($A$2:A4946,$A4946)=1,1,0))</f>
        <v>0</v>
      </c>
      <c r="K4946" s="47" t="n">
        <f aca="false">IF(J4946=1,N(I4946)+ROW()/10000000,0)</f>
        <v>0</v>
      </c>
      <c r="L4946" s="47" t="str">
        <f aca="false">IF(AND(J4946=1,N(I4946)&gt;0),SUMIF($K$2:$K$5001,"&gt;="&amp;K4946,$I$2:$I$5001)/MAX(1,SUM($H$2:$H$5001)),"")</f>
        <v/>
      </c>
      <c r="M4946" s="47" t="str">
        <f aca="false">IF($A4946="","",INDEX($L$2:$L$5001,MATCH($A4946,$A$2:$A$5001,0)))</f>
        <v/>
      </c>
      <c r="N4946" s="48" t="str">
        <f aca="false">IF($A4946="","",IF(N(M4946)=0,"–",IF(M4946&lt;=Start!$D$20,"A",IF(M4946&lt;=Start!$D$21,"B","C"))))</f>
        <v/>
      </c>
      <c r="O4946" s="48" t="str">
        <f aca="false">IF($A4946="","",IF(NOT(ISNUMBER(F4946)),"Wert fehlt; ",IF(F4946&lt;=0,"Wert ist 0; ",""))&amp;IF(NOT(ISNUMBER(E4946)),"Bestand fehlt; ",IF(E4946&lt;0,"Bestand negativ; ",IF(E4946=0,"Nullbestand; ","")))&amp;IF(D4946="","Warengruppe fehlt; ","")&amp;IF(B4946="","Bezeichnung fehlt; ","")&amp;IF(COUNTIFS($A$2:$A$5001,$A4946,$C$2:$C$5001,C4946)&gt;1,"Artikel doppelt im selben Lager; ",""))</f>
        <v/>
      </c>
      <c r="P4946" s="47" t="n">
        <f aca="false">IF(OR($A4946="",D4946=""),0,IF(COUNTIF($D$2:D4946,D4946)=1,SUMIF($D$2:$D$5001,D4946,$H$2:$H$5001)+ROW()/10000000,0))</f>
        <v>0</v>
      </c>
      <c r="Q4946" s="47" t="n">
        <f aca="false">IF(OR($A4946="",C4946=""),0,IF(COUNTIF($C$2:C4946,C4946)=1,SUMIF($C$2:$C$5001,C4946,$H$2:$H$5001)+ROW()/10000000,0))</f>
        <v>0</v>
      </c>
    </row>
    <row r="4947" customFormat="false" ht="15" hidden="false" customHeight="false" outlineLevel="0" collapsed="false">
      <c r="A4947" s="43"/>
      <c r="B4947" s="44"/>
      <c r="C4947" s="44"/>
      <c r="D4947" s="44"/>
      <c r="E4947" s="44"/>
      <c r="F4947" s="44"/>
      <c r="G4947" s="44"/>
      <c r="H4947" s="46" t="str">
        <f aca="false">IF($A4947="","",IF(OR(NOT(ISNUMBER(E4947)),NOT(ISNUMBER(F4947))),"",MAX(0,E4947)*F4947))</f>
        <v/>
      </c>
      <c r="I4947" s="46" t="str">
        <f aca="false">IF($A4947="","",SUMIF($A$2:$A$5001,$A4947,$H$2:$H$5001))</f>
        <v/>
      </c>
      <c r="J4947" s="47" t="n">
        <f aca="false">IF($A4947="",0,IF(COUNTIF($A$2:A4947,$A4947)=1,1,0))</f>
        <v>0</v>
      </c>
      <c r="K4947" s="47" t="n">
        <f aca="false">IF(J4947=1,N(I4947)+ROW()/10000000,0)</f>
        <v>0</v>
      </c>
      <c r="L4947" s="47" t="str">
        <f aca="false">IF(AND(J4947=1,N(I4947)&gt;0),SUMIF($K$2:$K$5001,"&gt;="&amp;K4947,$I$2:$I$5001)/MAX(1,SUM($H$2:$H$5001)),"")</f>
        <v/>
      </c>
      <c r="M4947" s="47" t="str">
        <f aca="false">IF($A4947="","",INDEX($L$2:$L$5001,MATCH($A4947,$A$2:$A$5001,0)))</f>
        <v/>
      </c>
      <c r="N4947" s="48" t="str">
        <f aca="false">IF($A4947="","",IF(N(M4947)=0,"–",IF(M4947&lt;=Start!$D$20,"A",IF(M4947&lt;=Start!$D$21,"B","C"))))</f>
        <v/>
      </c>
      <c r="O4947" s="48" t="str">
        <f aca="false">IF($A4947="","",IF(NOT(ISNUMBER(F4947)),"Wert fehlt; ",IF(F4947&lt;=0,"Wert ist 0; ",""))&amp;IF(NOT(ISNUMBER(E4947)),"Bestand fehlt; ",IF(E4947&lt;0,"Bestand negativ; ",IF(E4947=0,"Nullbestand; ","")))&amp;IF(D4947="","Warengruppe fehlt; ","")&amp;IF(B4947="","Bezeichnung fehlt; ","")&amp;IF(COUNTIFS($A$2:$A$5001,$A4947,$C$2:$C$5001,C4947)&gt;1,"Artikel doppelt im selben Lager; ",""))</f>
        <v/>
      </c>
      <c r="P4947" s="47" t="n">
        <f aca="false">IF(OR($A4947="",D4947=""),0,IF(COUNTIF($D$2:D4947,D4947)=1,SUMIF($D$2:$D$5001,D4947,$H$2:$H$5001)+ROW()/10000000,0))</f>
        <v>0</v>
      </c>
      <c r="Q4947" s="47" t="n">
        <f aca="false">IF(OR($A4947="",C4947=""),0,IF(COUNTIF($C$2:C4947,C4947)=1,SUMIF($C$2:$C$5001,C4947,$H$2:$H$5001)+ROW()/10000000,0))</f>
        <v>0</v>
      </c>
    </row>
    <row r="4948" customFormat="false" ht="15" hidden="false" customHeight="false" outlineLevel="0" collapsed="false">
      <c r="A4948" s="43"/>
      <c r="B4948" s="44"/>
      <c r="C4948" s="44"/>
      <c r="D4948" s="44"/>
      <c r="E4948" s="44"/>
      <c r="F4948" s="44"/>
      <c r="G4948" s="44"/>
      <c r="H4948" s="46" t="str">
        <f aca="false">IF($A4948="","",IF(OR(NOT(ISNUMBER(E4948)),NOT(ISNUMBER(F4948))),"",MAX(0,E4948)*F4948))</f>
        <v/>
      </c>
      <c r="I4948" s="46" t="str">
        <f aca="false">IF($A4948="","",SUMIF($A$2:$A$5001,$A4948,$H$2:$H$5001))</f>
        <v/>
      </c>
      <c r="J4948" s="47" t="n">
        <f aca="false">IF($A4948="",0,IF(COUNTIF($A$2:A4948,$A4948)=1,1,0))</f>
        <v>0</v>
      </c>
      <c r="K4948" s="47" t="n">
        <f aca="false">IF(J4948=1,N(I4948)+ROW()/10000000,0)</f>
        <v>0</v>
      </c>
      <c r="L4948" s="47" t="str">
        <f aca="false">IF(AND(J4948=1,N(I4948)&gt;0),SUMIF($K$2:$K$5001,"&gt;="&amp;K4948,$I$2:$I$5001)/MAX(1,SUM($H$2:$H$5001)),"")</f>
        <v/>
      </c>
      <c r="M4948" s="47" t="str">
        <f aca="false">IF($A4948="","",INDEX($L$2:$L$5001,MATCH($A4948,$A$2:$A$5001,0)))</f>
        <v/>
      </c>
      <c r="N4948" s="48" t="str">
        <f aca="false">IF($A4948="","",IF(N(M4948)=0,"–",IF(M4948&lt;=Start!$D$20,"A",IF(M4948&lt;=Start!$D$21,"B","C"))))</f>
        <v/>
      </c>
      <c r="O4948" s="48" t="str">
        <f aca="false">IF($A4948="","",IF(NOT(ISNUMBER(F4948)),"Wert fehlt; ",IF(F4948&lt;=0,"Wert ist 0; ",""))&amp;IF(NOT(ISNUMBER(E4948)),"Bestand fehlt; ",IF(E4948&lt;0,"Bestand negativ; ",IF(E4948=0,"Nullbestand; ","")))&amp;IF(D4948="","Warengruppe fehlt; ","")&amp;IF(B4948="","Bezeichnung fehlt; ","")&amp;IF(COUNTIFS($A$2:$A$5001,$A4948,$C$2:$C$5001,C4948)&gt;1,"Artikel doppelt im selben Lager; ",""))</f>
        <v/>
      </c>
      <c r="P4948" s="47" t="n">
        <f aca="false">IF(OR($A4948="",D4948=""),0,IF(COUNTIF($D$2:D4948,D4948)=1,SUMIF($D$2:$D$5001,D4948,$H$2:$H$5001)+ROW()/10000000,0))</f>
        <v>0</v>
      </c>
      <c r="Q4948" s="47" t="n">
        <f aca="false">IF(OR($A4948="",C4948=""),0,IF(COUNTIF($C$2:C4948,C4948)=1,SUMIF($C$2:$C$5001,C4948,$H$2:$H$5001)+ROW()/10000000,0))</f>
        <v>0</v>
      </c>
    </row>
    <row r="4949" customFormat="false" ht="15" hidden="false" customHeight="false" outlineLevel="0" collapsed="false">
      <c r="A4949" s="43"/>
      <c r="B4949" s="44"/>
      <c r="C4949" s="44"/>
      <c r="D4949" s="44"/>
      <c r="E4949" s="44"/>
      <c r="F4949" s="44"/>
      <c r="G4949" s="44"/>
      <c r="H4949" s="46" t="str">
        <f aca="false">IF($A4949="","",IF(OR(NOT(ISNUMBER(E4949)),NOT(ISNUMBER(F4949))),"",MAX(0,E4949)*F4949))</f>
        <v/>
      </c>
      <c r="I4949" s="46" t="str">
        <f aca="false">IF($A4949="","",SUMIF($A$2:$A$5001,$A4949,$H$2:$H$5001))</f>
        <v/>
      </c>
      <c r="J4949" s="47" t="n">
        <f aca="false">IF($A4949="",0,IF(COUNTIF($A$2:A4949,$A4949)=1,1,0))</f>
        <v>0</v>
      </c>
      <c r="K4949" s="47" t="n">
        <f aca="false">IF(J4949=1,N(I4949)+ROW()/10000000,0)</f>
        <v>0</v>
      </c>
      <c r="L4949" s="47" t="str">
        <f aca="false">IF(AND(J4949=1,N(I4949)&gt;0),SUMIF($K$2:$K$5001,"&gt;="&amp;K4949,$I$2:$I$5001)/MAX(1,SUM($H$2:$H$5001)),"")</f>
        <v/>
      </c>
      <c r="M4949" s="47" t="str">
        <f aca="false">IF($A4949="","",INDEX($L$2:$L$5001,MATCH($A4949,$A$2:$A$5001,0)))</f>
        <v/>
      </c>
      <c r="N4949" s="48" t="str">
        <f aca="false">IF($A4949="","",IF(N(M4949)=0,"–",IF(M4949&lt;=Start!$D$20,"A",IF(M4949&lt;=Start!$D$21,"B","C"))))</f>
        <v/>
      </c>
      <c r="O4949" s="48" t="str">
        <f aca="false">IF($A4949="","",IF(NOT(ISNUMBER(F4949)),"Wert fehlt; ",IF(F4949&lt;=0,"Wert ist 0; ",""))&amp;IF(NOT(ISNUMBER(E4949)),"Bestand fehlt; ",IF(E4949&lt;0,"Bestand negativ; ",IF(E4949=0,"Nullbestand; ","")))&amp;IF(D4949="","Warengruppe fehlt; ","")&amp;IF(B4949="","Bezeichnung fehlt; ","")&amp;IF(COUNTIFS($A$2:$A$5001,$A4949,$C$2:$C$5001,C4949)&gt;1,"Artikel doppelt im selben Lager; ",""))</f>
        <v/>
      </c>
      <c r="P4949" s="47" t="n">
        <f aca="false">IF(OR($A4949="",D4949=""),0,IF(COUNTIF($D$2:D4949,D4949)=1,SUMIF($D$2:$D$5001,D4949,$H$2:$H$5001)+ROW()/10000000,0))</f>
        <v>0</v>
      </c>
      <c r="Q4949" s="47" t="n">
        <f aca="false">IF(OR($A4949="",C4949=""),0,IF(COUNTIF($C$2:C4949,C4949)=1,SUMIF($C$2:$C$5001,C4949,$H$2:$H$5001)+ROW()/10000000,0))</f>
        <v>0</v>
      </c>
    </row>
    <row r="4950" customFormat="false" ht="15" hidden="false" customHeight="false" outlineLevel="0" collapsed="false">
      <c r="A4950" s="43"/>
      <c r="B4950" s="44"/>
      <c r="C4950" s="44"/>
      <c r="D4950" s="44"/>
      <c r="E4950" s="44"/>
      <c r="F4950" s="44"/>
      <c r="G4950" s="44"/>
      <c r="H4950" s="46" t="str">
        <f aca="false">IF($A4950="","",IF(OR(NOT(ISNUMBER(E4950)),NOT(ISNUMBER(F4950))),"",MAX(0,E4950)*F4950))</f>
        <v/>
      </c>
      <c r="I4950" s="46" t="str">
        <f aca="false">IF($A4950="","",SUMIF($A$2:$A$5001,$A4950,$H$2:$H$5001))</f>
        <v/>
      </c>
      <c r="J4950" s="47" t="n">
        <f aca="false">IF($A4950="",0,IF(COUNTIF($A$2:A4950,$A4950)=1,1,0))</f>
        <v>0</v>
      </c>
      <c r="K4950" s="47" t="n">
        <f aca="false">IF(J4950=1,N(I4950)+ROW()/10000000,0)</f>
        <v>0</v>
      </c>
      <c r="L4950" s="47" t="str">
        <f aca="false">IF(AND(J4950=1,N(I4950)&gt;0),SUMIF($K$2:$K$5001,"&gt;="&amp;K4950,$I$2:$I$5001)/MAX(1,SUM($H$2:$H$5001)),"")</f>
        <v/>
      </c>
      <c r="M4950" s="47" t="str">
        <f aca="false">IF($A4950="","",INDEX($L$2:$L$5001,MATCH($A4950,$A$2:$A$5001,0)))</f>
        <v/>
      </c>
      <c r="N4950" s="48" t="str">
        <f aca="false">IF($A4950="","",IF(N(M4950)=0,"–",IF(M4950&lt;=Start!$D$20,"A",IF(M4950&lt;=Start!$D$21,"B","C"))))</f>
        <v/>
      </c>
      <c r="O4950" s="48" t="str">
        <f aca="false">IF($A4950="","",IF(NOT(ISNUMBER(F4950)),"Wert fehlt; ",IF(F4950&lt;=0,"Wert ist 0; ",""))&amp;IF(NOT(ISNUMBER(E4950)),"Bestand fehlt; ",IF(E4950&lt;0,"Bestand negativ; ",IF(E4950=0,"Nullbestand; ","")))&amp;IF(D4950="","Warengruppe fehlt; ","")&amp;IF(B4950="","Bezeichnung fehlt; ","")&amp;IF(COUNTIFS($A$2:$A$5001,$A4950,$C$2:$C$5001,C4950)&gt;1,"Artikel doppelt im selben Lager; ",""))</f>
        <v/>
      </c>
      <c r="P4950" s="47" t="n">
        <f aca="false">IF(OR($A4950="",D4950=""),0,IF(COUNTIF($D$2:D4950,D4950)=1,SUMIF($D$2:$D$5001,D4950,$H$2:$H$5001)+ROW()/10000000,0))</f>
        <v>0</v>
      </c>
      <c r="Q4950" s="47" t="n">
        <f aca="false">IF(OR($A4950="",C4950=""),0,IF(COUNTIF($C$2:C4950,C4950)=1,SUMIF($C$2:$C$5001,C4950,$H$2:$H$5001)+ROW()/10000000,0))</f>
        <v>0</v>
      </c>
    </row>
    <row r="4951" customFormat="false" ht="15" hidden="false" customHeight="false" outlineLevel="0" collapsed="false">
      <c r="A4951" s="43"/>
      <c r="B4951" s="44"/>
      <c r="C4951" s="44"/>
      <c r="D4951" s="44"/>
      <c r="E4951" s="44"/>
      <c r="F4951" s="44"/>
      <c r="G4951" s="44"/>
      <c r="H4951" s="46" t="str">
        <f aca="false">IF($A4951="","",IF(OR(NOT(ISNUMBER(E4951)),NOT(ISNUMBER(F4951))),"",MAX(0,E4951)*F4951))</f>
        <v/>
      </c>
      <c r="I4951" s="46" t="str">
        <f aca="false">IF($A4951="","",SUMIF($A$2:$A$5001,$A4951,$H$2:$H$5001))</f>
        <v/>
      </c>
      <c r="J4951" s="47" t="n">
        <f aca="false">IF($A4951="",0,IF(COUNTIF($A$2:A4951,$A4951)=1,1,0))</f>
        <v>0</v>
      </c>
      <c r="K4951" s="47" t="n">
        <f aca="false">IF(J4951=1,N(I4951)+ROW()/10000000,0)</f>
        <v>0</v>
      </c>
      <c r="L4951" s="47" t="str">
        <f aca="false">IF(AND(J4951=1,N(I4951)&gt;0),SUMIF($K$2:$K$5001,"&gt;="&amp;K4951,$I$2:$I$5001)/MAX(1,SUM($H$2:$H$5001)),"")</f>
        <v/>
      </c>
      <c r="M4951" s="47" t="str">
        <f aca="false">IF($A4951="","",INDEX($L$2:$L$5001,MATCH($A4951,$A$2:$A$5001,0)))</f>
        <v/>
      </c>
      <c r="N4951" s="48" t="str">
        <f aca="false">IF($A4951="","",IF(N(M4951)=0,"–",IF(M4951&lt;=Start!$D$20,"A",IF(M4951&lt;=Start!$D$21,"B","C"))))</f>
        <v/>
      </c>
      <c r="O4951" s="48" t="str">
        <f aca="false">IF($A4951="","",IF(NOT(ISNUMBER(F4951)),"Wert fehlt; ",IF(F4951&lt;=0,"Wert ist 0; ",""))&amp;IF(NOT(ISNUMBER(E4951)),"Bestand fehlt; ",IF(E4951&lt;0,"Bestand negativ; ",IF(E4951=0,"Nullbestand; ","")))&amp;IF(D4951="","Warengruppe fehlt; ","")&amp;IF(B4951="","Bezeichnung fehlt; ","")&amp;IF(COUNTIFS($A$2:$A$5001,$A4951,$C$2:$C$5001,C4951)&gt;1,"Artikel doppelt im selben Lager; ",""))</f>
        <v/>
      </c>
      <c r="P4951" s="47" t="n">
        <f aca="false">IF(OR($A4951="",D4951=""),0,IF(COUNTIF($D$2:D4951,D4951)=1,SUMIF($D$2:$D$5001,D4951,$H$2:$H$5001)+ROW()/10000000,0))</f>
        <v>0</v>
      </c>
      <c r="Q4951" s="47" t="n">
        <f aca="false">IF(OR($A4951="",C4951=""),0,IF(COUNTIF($C$2:C4951,C4951)=1,SUMIF($C$2:$C$5001,C4951,$H$2:$H$5001)+ROW()/10000000,0))</f>
        <v>0</v>
      </c>
    </row>
    <row r="4952" customFormat="false" ht="15" hidden="false" customHeight="false" outlineLevel="0" collapsed="false">
      <c r="A4952" s="43"/>
      <c r="B4952" s="44"/>
      <c r="C4952" s="44"/>
      <c r="D4952" s="44"/>
      <c r="E4952" s="44"/>
      <c r="F4952" s="44"/>
      <c r="G4952" s="44"/>
      <c r="H4952" s="46" t="str">
        <f aca="false">IF($A4952="","",IF(OR(NOT(ISNUMBER(E4952)),NOT(ISNUMBER(F4952))),"",MAX(0,E4952)*F4952))</f>
        <v/>
      </c>
      <c r="I4952" s="46" t="str">
        <f aca="false">IF($A4952="","",SUMIF($A$2:$A$5001,$A4952,$H$2:$H$5001))</f>
        <v/>
      </c>
      <c r="J4952" s="47" t="n">
        <f aca="false">IF($A4952="",0,IF(COUNTIF($A$2:A4952,$A4952)=1,1,0))</f>
        <v>0</v>
      </c>
      <c r="K4952" s="47" t="n">
        <f aca="false">IF(J4952=1,N(I4952)+ROW()/10000000,0)</f>
        <v>0</v>
      </c>
      <c r="L4952" s="47" t="str">
        <f aca="false">IF(AND(J4952=1,N(I4952)&gt;0),SUMIF($K$2:$K$5001,"&gt;="&amp;K4952,$I$2:$I$5001)/MAX(1,SUM($H$2:$H$5001)),"")</f>
        <v/>
      </c>
      <c r="M4952" s="47" t="str">
        <f aca="false">IF($A4952="","",INDEX($L$2:$L$5001,MATCH($A4952,$A$2:$A$5001,0)))</f>
        <v/>
      </c>
      <c r="N4952" s="48" t="str">
        <f aca="false">IF($A4952="","",IF(N(M4952)=0,"–",IF(M4952&lt;=Start!$D$20,"A",IF(M4952&lt;=Start!$D$21,"B","C"))))</f>
        <v/>
      </c>
      <c r="O4952" s="48" t="str">
        <f aca="false">IF($A4952="","",IF(NOT(ISNUMBER(F4952)),"Wert fehlt; ",IF(F4952&lt;=0,"Wert ist 0; ",""))&amp;IF(NOT(ISNUMBER(E4952)),"Bestand fehlt; ",IF(E4952&lt;0,"Bestand negativ; ",IF(E4952=0,"Nullbestand; ","")))&amp;IF(D4952="","Warengruppe fehlt; ","")&amp;IF(B4952="","Bezeichnung fehlt; ","")&amp;IF(COUNTIFS($A$2:$A$5001,$A4952,$C$2:$C$5001,C4952)&gt;1,"Artikel doppelt im selben Lager; ",""))</f>
        <v/>
      </c>
      <c r="P4952" s="47" t="n">
        <f aca="false">IF(OR($A4952="",D4952=""),0,IF(COUNTIF($D$2:D4952,D4952)=1,SUMIF($D$2:$D$5001,D4952,$H$2:$H$5001)+ROW()/10000000,0))</f>
        <v>0</v>
      </c>
      <c r="Q4952" s="47" t="n">
        <f aca="false">IF(OR($A4952="",C4952=""),0,IF(COUNTIF($C$2:C4952,C4952)=1,SUMIF($C$2:$C$5001,C4952,$H$2:$H$5001)+ROW()/10000000,0))</f>
        <v>0</v>
      </c>
    </row>
    <row r="4953" customFormat="false" ht="15" hidden="false" customHeight="false" outlineLevel="0" collapsed="false">
      <c r="A4953" s="43"/>
      <c r="B4953" s="44"/>
      <c r="C4953" s="44"/>
      <c r="D4953" s="44"/>
      <c r="E4953" s="44"/>
      <c r="F4953" s="44"/>
      <c r="G4953" s="44"/>
      <c r="H4953" s="46" t="str">
        <f aca="false">IF($A4953="","",IF(OR(NOT(ISNUMBER(E4953)),NOT(ISNUMBER(F4953))),"",MAX(0,E4953)*F4953))</f>
        <v/>
      </c>
      <c r="I4953" s="46" t="str">
        <f aca="false">IF($A4953="","",SUMIF($A$2:$A$5001,$A4953,$H$2:$H$5001))</f>
        <v/>
      </c>
      <c r="J4953" s="47" t="n">
        <f aca="false">IF($A4953="",0,IF(COUNTIF($A$2:A4953,$A4953)=1,1,0))</f>
        <v>0</v>
      </c>
      <c r="K4953" s="47" t="n">
        <f aca="false">IF(J4953=1,N(I4953)+ROW()/10000000,0)</f>
        <v>0</v>
      </c>
      <c r="L4953" s="47" t="str">
        <f aca="false">IF(AND(J4953=1,N(I4953)&gt;0),SUMIF($K$2:$K$5001,"&gt;="&amp;K4953,$I$2:$I$5001)/MAX(1,SUM($H$2:$H$5001)),"")</f>
        <v/>
      </c>
      <c r="M4953" s="47" t="str">
        <f aca="false">IF($A4953="","",INDEX($L$2:$L$5001,MATCH($A4953,$A$2:$A$5001,0)))</f>
        <v/>
      </c>
      <c r="N4953" s="48" t="str">
        <f aca="false">IF($A4953="","",IF(N(M4953)=0,"–",IF(M4953&lt;=Start!$D$20,"A",IF(M4953&lt;=Start!$D$21,"B","C"))))</f>
        <v/>
      </c>
      <c r="O4953" s="48" t="str">
        <f aca="false">IF($A4953="","",IF(NOT(ISNUMBER(F4953)),"Wert fehlt; ",IF(F4953&lt;=0,"Wert ist 0; ",""))&amp;IF(NOT(ISNUMBER(E4953)),"Bestand fehlt; ",IF(E4953&lt;0,"Bestand negativ; ",IF(E4953=0,"Nullbestand; ","")))&amp;IF(D4953="","Warengruppe fehlt; ","")&amp;IF(B4953="","Bezeichnung fehlt; ","")&amp;IF(COUNTIFS($A$2:$A$5001,$A4953,$C$2:$C$5001,C4953)&gt;1,"Artikel doppelt im selben Lager; ",""))</f>
        <v/>
      </c>
      <c r="P4953" s="47" t="n">
        <f aca="false">IF(OR($A4953="",D4953=""),0,IF(COUNTIF($D$2:D4953,D4953)=1,SUMIF($D$2:$D$5001,D4953,$H$2:$H$5001)+ROW()/10000000,0))</f>
        <v>0</v>
      </c>
      <c r="Q4953" s="47" t="n">
        <f aca="false">IF(OR($A4953="",C4953=""),0,IF(COUNTIF($C$2:C4953,C4953)=1,SUMIF($C$2:$C$5001,C4953,$H$2:$H$5001)+ROW()/10000000,0))</f>
        <v>0</v>
      </c>
    </row>
    <row r="4954" customFormat="false" ht="15" hidden="false" customHeight="false" outlineLevel="0" collapsed="false">
      <c r="A4954" s="43"/>
      <c r="B4954" s="44"/>
      <c r="C4954" s="44"/>
      <c r="D4954" s="44"/>
      <c r="E4954" s="44"/>
      <c r="F4954" s="44"/>
      <c r="G4954" s="44"/>
      <c r="H4954" s="46" t="str">
        <f aca="false">IF($A4954="","",IF(OR(NOT(ISNUMBER(E4954)),NOT(ISNUMBER(F4954))),"",MAX(0,E4954)*F4954))</f>
        <v/>
      </c>
      <c r="I4954" s="46" t="str">
        <f aca="false">IF($A4954="","",SUMIF($A$2:$A$5001,$A4954,$H$2:$H$5001))</f>
        <v/>
      </c>
      <c r="J4954" s="47" t="n">
        <f aca="false">IF($A4954="",0,IF(COUNTIF($A$2:A4954,$A4954)=1,1,0))</f>
        <v>0</v>
      </c>
      <c r="K4954" s="47" t="n">
        <f aca="false">IF(J4954=1,N(I4954)+ROW()/10000000,0)</f>
        <v>0</v>
      </c>
      <c r="L4954" s="47" t="str">
        <f aca="false">IF(AND(J4954=1,N(I4954)&gt;0),SUMIF($K$2:$K$5001,"&gt;="&amp;K4954,$I$2:$I$5001)/MAX(1,SUM($H$2:$H$5001)),"")</f>
        <v/>
      </c>
      <c r="M4954" s="47" t="str">
        <f aca="false">IF($A4954="","",INDEX($L$2:$L$5001,MATCH($A4954,$A$2:$A$5001,0)))</f>
        <v/>
      </c>
      <c r="N4954" s="48" t="str">
        <f aca="false">IF($A4954="","",IF(N(M4954)=0,"–",IF(M4954&lt;=Start!$D$20,"A",IF(M4954&lt;=Start!$D$21,"B","C"))))</f>
        <v/>
      </c>
      <c r="O4954" s="48" t="str">
        <f aca="false">IF($A4954="","",IF(NOT(ISNUMBER(F4954)),"Wert fehlt; ",IF(F4954&lt;=0,"Wert ist 0; ",""))&amp;IF(NOT(ISNUMBER(E4954)),"Bestand fehlt; ",IF(E4954&lt;0,"Bestand negativ; ",IF(E4954=0,"Nullbestand; ","")))&amp;IF(D4954="","Warengruppe fehlt; ","")&amp;IF(B4954="","Bezeichnung fehlt; ","")&amp;IF(COUNTIFS($A$2:$A$5001,$A4954,$C$2:$C$5001,C4954)&gt;1,"Artikel doppelt im selben Lager; ",""))</f>
        <v/>
      </c>
      <c r="P4954" s="47" t="n">
        <f aca="false">IF(OR($A4954="",D4954=""),0,IF(COUNTIF($D$2:D4954,D4954)=1,SUMIF($D$2:$D$5001,D4954,$H$2:$H$5001)+ROW()/10000000,0))</f>
        <v>0</v>
      </c>
      <c r="Q4954" s="47" t="n">
        <f aca="false">IF(OR($A4954="",C4954=""),0,IF(COUNTIF($C$2:C4954,C4954)=1,SUMIF($C$2:$C$5001,C4954,$H$2:$H$5001)+ROW()/10000000,0))</f>
        <v>0</v>
      </c>
    </row>
    <row r="4955" customFormat="false" ht="15" hidden="false" customHeight="false" outlineLevel="0" collapsed="false">
      <c r="A4955" s="43"/>
      <c r="B4955" s="44"/>
      <c r="C4955" s="44"/>
      <c r="D4955" s="44"/>
      <c r="E4955" s="44"/>
      <c r="F4955" s="44"/>
      <c r="G4955" s="44"/>
      <c r="H4955" s="46" t="str">
        <f aca="false">IF($A4955="","",IF(OR(NOT(ISNUMBER(E4955)),NOT(ISNUMBER(F4955))),"",MAX(0,E4955)*F4955))</f>
        <v/>
      </c>
      <c r="I4955" s="46" t="str">
        <f aca="false">IF($A4955="","",SUMIF($A$2:$A$5001,$A4955,$H$2:$H$5001))</f>
        <v/>
      </c>
      <c r="J4955" s="47" t="n">
        <f aca="false">IF($A4955="",0,IF(COUNTIF($A$2:A4955,$A4955)=1,1,0))</f>
        <v>0</v>
      </c>
      <c r="K4955" s="47" t="n">
        <f aca="false">IF(J4955=1,N(I4955)+ROW()/10000000,0)</f>
        <v>0</v>
      </c>
      <c r="L4955" s="47" t="str">
        <f aca="false">IF(AND(J4955=1,N(I4955)&gt;0),SUMIF($K$2:$K$5001,"&gt;="&amp;K4955,$I$2:$I$5001)/MAX(1,SUM($H$2:$H$5001)),"")</f>
        <v/>
      </c>
      <c r="M4955" s="47" t="str">
        <f aca="false">IF($A4955="","",INDEX($L$2:$L$5001,MATCH($A4955,$A$2:$A$5001,0)))</f>
        <v/>
      </c>
      <c r="N4955" s="48" t="str">
        <f aca="false">IF($A4955="","",IF(N(M4955)=0,"–",IF(M4955&lt;=Start!$D$20,"A",IF(M4955&lt;=Start!$D$21,"B","C"))))</f>
        <v/>
      </c>
      <c r="O4955" s="48" t="str">
        <f aca="false">IF($A4955="","",IF(NOT(ISNUMBER(F4955)),"Wert fehlt; ",IF(F4955&lt;=0,"Wert ist 0; ",""))&amp;IF(NOT(ISNUMBER(E4955)),"Bestand fehlt; ",IF(E4955&lt;0,"Bestand negativ; ",IF(E4955=0,"Nullbestand; ","")))&amp;IF(D4955="","Warengruppe fehlt; ","")&amp;IF(B4955="","Bezeichnung fehlt; ","")&amp;IF(COUNTIFS($A$2:$A$5001,$A4955,$C$2:$C$5001,C4955)&gt;1,"Artikel doppelt im selben Lager; ",""))</f>
        <v/>
      </c>
      <c r="P4955" s="47" t="n">
        <f aca="false">IF(OR($A4955="",D4955=""),0,IF(COUNTIF($D$2:D4955,D4955)=1,SUMIF($D$2:$D$5001,D4955,$H$2:$H$5001)+ROW()/10000000,0))</f>
        <v>0</v>
      </c>
      <c r="Q4955" s="47" t="n">
        <f aca="false">IF(OR($A4955="",C4955=""),0,IF(COUNTIF($C$2:C4955,C4955)=1,SUMIF($C$2:$C$5001,C4955,$H$2:$H$5001)+ROW()/10000000,0))</f>
        <v>0</v>
      </c>
    </row>
    <row r="4956" customFormat="false" ht="15" hidden="false" customHeight="false" outlineLevel="0" collapsed="false">
      <c r="A4956" s="43"/>
      <c r="B4956" s="44"/>
      <c r="C4956" s="44"/>
      <c r="D4956" s="44"/>
      <c r="E4956" s="44"/>
      <c r="F4956" s="44"/>
      <c r="G4956" s="44"/>
      <c r="H4956" s="46" t="str">
        <f aca="false">IF($A4956="","",IF(OR(NOT(ISNUMBER(E4956)),NOT(ISNUMBER(F4956))),"",MAX(0,E4956)*F4956))</f>
        <v/>
      </c>
      <c r="I4956" s="46" t="str">
        <f aca="false">IF($A4956="","",SUMIF($A$2:$A$5001,$A4956,$H$2:$H$5001))</f>
        <v/>
      </c>
      <c r="J4956" s="47" t="n">
        <f aca="false">IF($A4956="",0,IF(COUNTIF($A$2:A4956,$A4956)=1,1,0))</f>
        <v>0</v>
      </c>
      <c r="K4956" s="47" t="n">
        <f aca="false">IF(J4956=1,N(I4956)+ROW()/10000000,0)</f>
        <v>0</v>
      </c>
      <c r="L4956" s="47" t="str">
        <f aca="false">IF(AND(J4956=1,N(I4956)&gt;0),SUMIF($K$2:$K$5001,"&gt;="&amp;K4956,$I$2:$I$5001)/MAX(1,SUM($H$2:$H$5001)),"")</f>
        <v/>
      </c>
      <c r="M4956" s="47" t="str">
        <f aca="false">IF($A4956="","",INDEX($L$2:$L$5001,MATCH($A4956,$A$2:$A$5001,0)))</f>
        <v/>
      </c>
      <c r="N4956" s="48" t="str">
        <f aca="false">IF($A4956="","",IF(N(M4956)=0,"–",IF(M4956&lt;=Start!$D$20,"A",IF(M4956&lt;=Start!$D$21,"B","C"))))</f>
        <v/>
      </c>
      <c r="O4956" s="48" t="str">
        <f aca="false">IF($A4956="","",IF(NOT(ISNUMBER(F4956)),"Wert fehlt; ",IF(F4956&lt;=0,"Wert ist 0; ",""))&amp;IF(NOT(ISNUMBER(E4956)),"Bestand fehlt; ",IF(E4956&lt;0,"Bestand negativ; ",IF(E4956=0,"Nullbestand; ","")))&amp;IF(D4956="","Warengruppe fehlt; ","")&amp;IF(B4956="","Bezeichnung fehlt; ","")&amp;IF(COUNTIFS($A$2:$A$5001,$A4956,$C$2:$C$5001,C4956)&gt;1,"Artikel doppelt im selben Lager; ",""))</f>
        <v/>
      </c>
      <c r="P4956" s="47" t="n">
        <f aca="false">IF(OR($A4956="",D4956=""),0,IF(COUNTIF($D$2:D4956,D4956)=1,SUMIF($D$2:$D$5001,D4956,$H$2:$H$5001)+ROW()/10000000,0))</f>
        <v>0</v>
      </c>
      <c r="Q4956" s="47" t="n">
        <f aca="false">IF(OR($A4956="",C4956=""),0,IF(COUNTIF($C$2:C4956,C4956)=1,SUMIF($C$2:$C$5001,C4956,$H$2:$H$5001)+ROW()/10000000,0))</f>
        <v>0</v>
      </c>
    </row>
    <row r="4957" customFormat="false" ht="15" hidden="false" customHeight="false" outlineLevel="0" collapsed="false">
      <c r="A4957" s="43"/>
      <c r="B4957" s="44"/>
      <c r="C4957" s="44"/>
      <c r="D4957" s="44"/>
      <c r="E4957" s="44"/>
      <c r="F4957" s="44"/>
      <c r="G4957" s="44"/>
      <c r="H4957" s="46" t="str">
        <f aca="false">IF($A4957="","",IF(OR(NOT(ISNUMBER(E4957)),NOT(ISNUMBER(F4957))),"",MAX(0,E4957)*F4957))</f>
        <v/>
      </c>
      <c r="I4957" s="46" t="str">
        <f aca="false">IF($A4957="","",SUMIF($A$2:$A$5001,$A4957,$H$2:$H$5001))</f>
        <v/>
      </c>
      <c r="J4957" s="47" t="n">
        <f aca="false">IF($A4957="",0,IF(COUNTIF($A$2:A4957,$A4957)=1,1,0))</f>
        <v>0</v>
      </c>
      <c r="K4957" s="47" t="n">
        <f aca="false">IF(J4957=1,N(I4957)+ROW()/10000000,0)</f>
        <v>0</v>
      </c>
      <c r="L4957" s="47" t="str">
        <f aca="false">IF(AND(J4957=1,N(I4957)&gt;0),SUMIF($K$2:$K$5001,"&gt;="&amp;K4957,$I$2:$I$5001)/MAX(1,SUM($H$2:$H$5001)),"")</f>
        <v/>
      </c>
      <c r="M4957" s="47" t="str">
        <f aca="false">IF($A4957="","",INDEX($L$2:$L$5001,MATCH($A4957,$A$2:$A$5001,0)))</f>
        <v/>
      </c>
      <c r="N4957" s="48" t="str">
        <f aca="false">IF($A4957="","",IF(N(M4957)=0,"–",IF(M4957&lt;=Start!$D$20,"A",IF(M4957&lt;=Start!$D$21,"B","C"))))</f>
        <v/>
      </c>
      <c r="O4957" s="48" t="str">
        <f aca="false">IF($A4957="","",IF(NOT(ISNUMBER(F4957)),"Wert fehlt; ",IF(F4957&lt;=0,"Wert ist 0; ",""))&amp;IF(NOT(ISNUMBER(E4957)),"Bestand fehlt; ",IF(E4957&lt;0,"Bestand negativ; ",IF(E4957=0,"Nullbestand; ","")))&amp;IF(D4957="","Warengruppe fehlt; ","")&amp;IF(B4957="","Bezeichnung fehlt; ","")&amp;IF(COUNTIFS($A$2:$A$5001,$A4957,$C$2:$C$5001,C4957)&gt;1,"Artikel doppelt im selben Lager; ",""))</f>
        <v/>
      </c>
      <c r="P4957" s="47" t="n">
        <f aca="false">IF(OR($A4957="",D4957=""),0,IF(COUNTIF($D$2:D4957,D4957)=1,SUMIF($D$2:$D$5001,D4957,$H$2:$H$5001)+ROW()/10000000,0))</f>
        <v>0</v>
      </c>
      <c r="Q4957" s="47" t="n">
        <f aca="false">IF(OR($A4957="",C4957=""),0,IF(COUNTIF($C$2:C4957,C4957)=1,SUMIF($C$2:$C$5001,C4957,$H$2:$H$5001)+ROW()/10000000,0))</f>
        <v>0</v>
      </c>
    </row>
    <row r="4958" customFormat="false" ht="15" hidden="false" customHeight="false" outlineLevel="0" collapsed="false">
      <c r="A4958" s="43"/>
      <c r="B4958" s="44"/>
      <c r="C4958" s="44"/>
      <c r="D4958" s="44"/>
      <c r="E4958" s="44"/>
      <c r="F4958" s="44"/>
      <c r="G4958" s="44"/>
      <c r="H4958" s="46" t="str">
        <f aca="false">IF($A4958="","",IF(OR(NOT(ISNUMBER(E4958)),NOT(ISNUMBER(F4958))),"",MAX(0,E4958)*F4958))</f>
        <v/>
      </c>
      <c r="I4958" s="46" t="str">
        <f aca="false">IF($A4958="","",SUMIF($A$2:$A$5001,$A4958,$H$2:$H$5001))</f>
        <v/>
      </c>
      <c r="J4958" s="47" t="n">
        <f aca="false">IF($A4958="",0,IF(COUNTIF($A$2:A4958,$A4958)=1,1,0))</f>
        <v>0</v>
      </c>
      <c r="K4958" s="47" t="n">
        <f aca="false">IF(J4958=1,N(I4958)+ROW()/10000000,0)</f>
        <v>0</v>
      </c>
      <c r="L4958" s="47" t="str">
        <f aca="false">IF(AND(J4958=1,N(I4958)&gt;0),SUMIF($K$2:$K$5001,"&gt;="&amp;K4958,$I$2:$I$5001)/MAX(1,SUM($H$2:$H$5001)),"")</f>
        <v/>
      </c>
      <c r="M4958" s="47" t="str">
        <f aca="false">IF($A4958="","",INDEX($L$2:$L$5001,MATCH($A4958,$A$2:$A$5001,0)))</f>
        <v/>
      </c>
      <c r="N4958" s="48" t="str">
        <f aca="false">IF($A4958="","",IF(N(M4958)=0,"–",IF(M4958&lt;=Start!$D$20,"A",IF(M4958&lt;=Start!$D$21,"B","C"))))</f>
        <v/>
      </c>
      <c r="O4958" s="48" t="str">
        <f aca="false">IF($A4958="","",IF(NOT(ISNUMBER(F4958)),"Wert fehlt; ",IF(F4958&lt;=0,"Wert ist 0; ",""))&amp;IF(NOT(ISNUMBER(E4958)),"Bestand fehlt; ",IF(E4958&lt;0,"Bestand negativ; ",IF(E4958=0,"Nullbestand; ","")))&amp;IF(D4958="","Warengruppe fehlt; ","")&amp;IF(B4958="","Bezeichnung fehlt; ","")&amp;IF(COUNTIFS($A$2:$A$5001,$A4958,$C$2:$C$5001,C4958)&gt;1,"Artikel doppelt im selben Lager; ",""))</f>
        <v/>
      </c>
      <c r="P4958" s="47" t="n">
        <f aca="false">IF(OR($A4958="",D4958=""),0,IF(COUNTIF($D$2:D4958,D4958)=1,SUMIF($D$2:$D$5001,D4958,$H$2:$H$5001)+ROW()/10000000,0))</f>
        <v>0</v>
      </c>
      <c r="Q4958" s="47" t="n">
        <f aca="false">IF(OR($A4958="",C4958=""),0,IF(COUNTIF($C$2:C4958,C4958)=1,SUMIF($C$2:$C$5001,C4958,$H$2:$H$5001)+ROW()/10000000,0))</f>
        <v>0</v>
      </c>
    </row>
    <row r="4959" customFormat="false" ht="15" hidden="false" customHeight="false" outlineLevel="0" collapsed="false">
      <c r="A4959" s="43"/>
      <c r="B4959" s="44"/>
      <c r="C4959" s="44"/>
      <c r="D4959" s="44"/>
      <c r="E4959" s="44"/>
      <c r="F4959" s="44"/>
      <c r="G4959" s="44"/>
      <c r="H4959" s="46" t="str">
        <f aca="false">IF($A4959="","",IF(OR(NOT(ISNUMBER(E4959)),NOT(ISNUMBER(F4959))),"",MAX(0,E4959)*F4959))</f>
        <v/>
      </c>
      <c r="I4959" s="46" t="str">
        <f aca="false">IF($A4959="","",SUMIF($A$2:$A$5001,$A4959,$H$2:$H$5001))</f>
        <v/>
      </c>
      <c r="J4959" s="47" t="n">
        <f aca="false">IF($A4959="",0,IF(COUNTIF($A$2:A4959,$A4959)=1,1,0))</f>
        <v>0</v>
      </c>
      <c r="K4959" s="47" t="n">
        <f aca="false">IF(J4959=1,N(I4959)+ROW()/10000000,0)</f>
        <v>0</v>
      </c>
      <c r="L4959" s="47" t="str">
        <f aca="false">IF(AND(J4959=1,N(I4959)&gt;0),SUMIF($K$2:$K$5001,"&gt;="&amp;K4959,$I$2:$I$5001)/MAX(1,SUM($H$2:$H$5001)),"")</f>
        <v/>
      </c>
      <c r="M4959" s="47" t="str">
        <f aca="false">IF($A4959="","",INDEX($L$2:$L$5001,MATCH($A4959,$A$2:$A$5001,0)))</f>
        <v/>
      </c>
      <c r="N4959" s="48" t="str">
        <f aca="false">IF($A4959="","",IF(N(M4959)=0,"–",IF(M4959&lt;=Start!$D$20,"A",IF(M4959&lt;=Start!$D$21,"B","C"))))</f>
        <v/>
      </c>
      <c r="O4959" s="48" t="str">
        <f aca="false">IF($A4959="","",IF(NOT(ISNUMBER(F4959)),"Wert fehlt; ",IF(F4959&lt;=0,"Wert ist 0; ",""))&amp;IF(NOT(ISNUMBER(E4959)),"Bestand fehlt; ",IF(E4959&lt;0,"Bestand negativ; ",IF(E4959=0,"Nullbestand; ","")))&amp;IF(D4959="","Warengruppe fehlt; ","")&amp;IF(B4959="","Bezeichnung fehlt; ","")&amp;IF(COUNTIFS($A$2:$A$5001,$A4959,$C$2:$C$5001,C4959)&gt;1,"Artikel doppelt im selben Lager; ",""))</f>
        <v/>
      </c>
      <c r="P4959" s="47" t="n">
        <f aca="false">IF(OR($A4959="",D4959=""),0,IF(COUNTIF($D$2:D4959,D4959)=1,SUMIF($D$2:$D$5001,D4959,$H$2:$H$5001)+ROW()/10000000,0))</f>
        <v>0</v>
      </c>
      <c r="Q4959" s="47" t="n">
        <f aca="false">IF(OR($A4959="",C4959=""),0,IF(COUNTIF($C$2:C4959,C4959)=1,SUMIF($C$2:$C$5001,C4959,$H$2:$H$5001)+ROW()/10000000,0))</f>
        <v>0</v>
      </c>
    </row>
    <row r="4960" customFormat="false" ht="15" hidden="false" customHeight="false" outlineLevel="0" collapsed="false">
      <c r="A4960" s="43"/>
      <c r="B4960" s="44"/>
      <c r="C4960" s="44"/>
      <c r="D4960" s="44"/>
      <c r="E4960" s="44"/>
      <c r="F4960" s="44"/>
      <c r="G4960" s="44"/>
      <c r="H4960" s="46" t="str">
        <f aca="false">IF($A4960="","",IF(OR(NOT(ISNUMBER(E4960)),NOT(ISNUMBER(F4960))),"",MAX(0,E4960)*F4960))</f>
        <v/>
      </c>
      <c r="I4960" s="46" t="str">
        <f aca="false">IF($A4960="","",SUMIF($A$2:$A$5001,$A4960,$H$2:$H$5001))</f>
        <v/>
      </c>
      <c r="J4960" s="47" t="n">
        <f aca="false">IF($A4960="",0,IF(COUNTIF($A$2:A4960,$A4960)=1,1,0))</f>
        <v>0</v>
      </c>
      <c r="K4960" s="47" t="n">
        <f aca="false">IF(J4960=1,N(I4960)+ROW()/10000000,0)</f>
        <v>0</v>
      </c>
      <c r="L4960" s="47" t="str">
        <f aca="false">IF(AND(J4960=1,N(I4960)&gt;0),SUMIF($K$2:$K$5001,"&gt;="&amp;K4960,$I$2:$I$5001)/MAX(1,SUM($H$2:$H$5001)),"")</f>
        <v/>
      </c>
      <c r="M4960" s="47" t="str">
        <f aca="false">IF($A4960="","",INDEX($L$2:$L$5001,MATCH($A4960,$A$2:$A$5001,0)))</f>
        <v/>
      </c>
      <c r="N4960" s="48" t="str">
        <f aca="false">IF($A4960="","",IF(N(M4960)=0,"–",IF(M4960&lt;=Start!$D$20,"A",IF(M4960&lt;=Start!$D$21,"B","C"))))</f>
        <v/>
      </c>
      <c r="O4960" s="48" t="str">
        <f aca="false">IF($A4960="","",IF(NOT(ISNUMBER(F4960)),"Wert fehlt; ",IF(F4960&lt;=0,"Wert ist 0; ",""))&amp;IF(NOT(ISNUMBER(E4960)),"Bestand fehlt; ",IF(E4960&lt;0,"Bestand negativ; ",IF(E4960=0,"Nullbestand; ","")))&amp;IF(D4960="","Warengruppe fehlt; ","")&amp;IF(B4960="","Bezeichnung fehlt; ","")&amp;IF(COUNTIFS($A$2:$A$5001,$A4960,$C$2:$C$5001,C4960)&gt;1,"Artikel doppelt im selben Lager; ",""))</f>
        <v/>
      </c>
      <c r="P4960" s="47" t="n">
        <f aca="false">IF(OR($A4960="",D4960=""),0,IF(COUNTIF($D$2:D4960,D4960)=1,SUMIF($D$2:$D$5001,D4960,$H$2:$H$5001)+ROW()/10000000,0))</f>
        <v>0</v>
      </c>
      <c r="Q4960" s="47" t="n">
        <f aca="false">IF(OR($A4960="",C4960=""),0,IF(COUNTIF($C$2:C4960,C4960)=1,SUMIF($C$2:$C$5001,C4960,$H$2:$H$5001)+ROW()/10000000,0))</f>
        <v>0</v>
      </c>
    </row>
    <row r="4961" customFormat="false" ht="15" hidden="false" customHeight="false" outlineLevel="0" collapsed="false">
      <c r="A4961" s="43"/>
      <c r="B4961" s="44"/>
      <c r="C4961" s="44"/>
      <c r="D4961" s="44"/>
      <c r="E4961" s="44"/>
      <c r="F4961" s="44"/>
      <c r="G4961" s="44"/>
      <c r="H4961" s="46" t="str">
        <f aca="false">IF($A4961="","",IF(OR(NOT(ISNUMBER(E4961)),NOT(ISNUMBER(F4961))),"",MAX(0,E4961)*F4961))</f>
        <v/>
      </c>
      <c r="I4961" s="46" t="str">
        <f aca="false">IF($A4961="","",SUMIF($A$2:$A$5001,$A4961,$H$2:$H$5001))</f>
        <v/>
      </c>
      <c r="J4961" s="47" t="n">
        <f aca="false">IF($A4961="",0,IF(COUNTIF($A$2:A4961,$A4961)=1,1,0))</f>
        <v>0</v>
      </c>
      <c r="K4961" s="47" t="n">
        <f aca="false">IF(J4961=1,N(I4961)+ROW()/10000000,0)</f>
        <v>0</v>
      </c>
      <c r="L4961" s="47" t="str">
        <f aca="false">IF(AND(J4961=1,N(I4961)&gt;0),SUMIF($K$2:$K$5001,"&gt;="&amp;K4961,$I$2:$I$5001)/MAX(1,SUM($H$2:$H$5001)),"")</f>
        <v/>
      </c>
      <c r="M4961" s="47" t="str">
        <f aca="false">IF($A4961="","",INDEX($L$2:$L$5001,MATCH($A4961,$A$2:$A$5001,0)))</f>
        <v/>
      </c>
      <c r="N4961" s="48" t="str">
        <f aca="false">IF($A4961="","",IF(N(M4961)=0,"–",IF(M4961&lt;=Start!$D$20,"A",IF(M4961&lt;=Start!$D$21,"B","C"))))</f>
        <v/>
      </c>
      <c r="O4961" s="48" t="str">
        <f aca="false">IF($A4961="","",IF(NOT(ISNUMBER(F4961)),"Wert fehlt; ",IF(F4961&lt;=0,"Wert ist 0; ",""))&amp;IF(NOT(ISNUMBER(E4961)),"Bestand fehlt; ",IF(E4961&lt;0,"Bestand negativ; ",IF(E4961=0,"Nullbestand; ","")))&amp;IF(D4961="","Warengruppe fehlt; ","")&amp;IF(B4961="","Bezeichnung fehlt; ","")&amp;IF(COUNTIFS($A$2:$A$5001,$A4961,$C$2:$C$5001,C4961)&gt;1,"Artikel doppelt im selben Lager; ",""))</f>
        <v/>
      </c>
      <c r="P4961" s="47" t="n">
        <f aca="false">IF(OR($A4961="",D4961=""),0,IF(COUNTIF($D$2:D4961,D4961)=1,SUMIF($D$2:$D$5001,D4961,$H$2:$H$5001)+ROW()/10000000,0))</f>
        <v>0</v>
      </c>
      <c r="Q4961" s="47" t="n">
        <f aca="false">IF(OR($A4961="",C4961=""),0,IF(COUNTIF($C$2:C4961,C4961)=1,SUMIF($C$2:$C$5001,C4961,$H$2:$H$5001)+ROW()/10000000,0))</f>
        <v>0</v>
      </c>
    </row>
    <row r="4962" customFormat="false" ht="15" hidden="false" customHeight="false" outlineLevel="0" collapsed="false">
      <c r="A4962" s="43"/>
      <c r="B4962" s="44"/>
      <c r="C4962" s="44"/>
      <c r="D4962" s="44"/>
      <c r="E4962" s="44"/>
      <c r="F4962" s="44"/>
      <c r="G4962" s="44"/>
      <c r="H4962" s="46" t="str">
        <f aca="false">IF($A4962="","",IF(OR(NOT(ISNUMBER(E4962)),NOT(ISNUMBER(F4962))),"",MAX(0,E4962)*F4962))</f>
        <v/>
      </c>
      <c r="I4962" s="46" t="str">
        <f aca="false">IF($A4962="","",SUMIF($A$2:$A$5001,$A4962,$H$2:$H$5001))</f>
        <v/>
      </c>
      <c r="J4962" s="47" t="n">
        <f aca="false">IF($A4962="",0,IF(COUNTIF($A$2:A4962,$A4962)=1,1,0))</f>
        <v>0</v>
      </c>
      <c r="K4962" s="47" t="n">
        <f aca="false">IF(J4962=1,N(I4962)+ROW()/10000000,0)</f>
        <v>0</v>
      </c>
      <c r="L4962" s="47" t="str">
        <f aca="false">IF(AND(J4962=1,N(I4962)&gt;0),SUMIF($K$2:$K$5001,"&gt;="&amp;K4962,$I$2:$I$5001)/MAX(1,SUM($H$2:$H$5001)),"")</f>
        <v/>
      </c>
      <c r="M4962" s="47" t="str">
        <f aca="false">IF($A4962="","",INDEX($L$2:$L$5001,MATCH($A4962,$A$2:$A$5001,0)))</f>
        <v/>
      </c>
      <c r="N4962" s="48" t="str">
        <f aca="false">IF($A4962="","",IF(N(M4962)=0,"–",IF(M4962&lt;=Start!$D$20,"A",IF(M4962&lt;=Start!$D$21,"B","C"))))</f>
        <v/>
      </c>
      <c r="O4962" s="48" t="str">
        <f aca="false">IF($A4962="","",IF(NOT(ISNUMBER(F4962)),"Wert fehlt; ",IF(F4962&lt;=0,"Wert ist 0; ",""))&amp;IF(NOT(ISNUMBER(E4962)),"Bestand fehlt; ",IF(E4962&lt;0,"Bestand negativ; ",IF(E4962=0,"Nullbestand; ","")))&amp;IF(D4962="","Warengruppe fehlt; ","")&amp;IF(B4962="","Bezeichnung fehlt; ","")&amp;IF(COUNTIFS($A$2:$A$5001,$A4962,$C$2:$C$5001,C4962)&gt;1,"Artikel doppelt im selben Lager; ",""))</f>
        <v/>
      </c>
      <c r="P4962" s="47" t="n">
        <f aca="false">IF(OR($A4962="",D4962=""),0,IF(COUNTIF($D$2:D4962,D4962)=1,SUMIF($D$2:$D$5001,D4962,$H$2:$H$5001)+ROW()/10000000,0))</f>
        <v>0</v>
      </c>
      <c r="Q4962" s="47" t="n">
        <f aca="false">IF(OR($A4962="",C4962=""),0,IF(COUNTIF($C$2:C4962,C4962)=1,SUMIF($C$2:$C$5001,C4962,$H$2:$H$5001)+ROW()/10000000,0))</f>
        <v>0</v>
      </c>
    </row>
    <row r="4963" customFormat="false" ht="15" hidden="false" customHeight="false" outlineLevel="0" collapsed="false">
      <c r="A4963" s="43"/>
      <c r="B4963" s="44"/>
      <c r="C4963" s="44"/>
      <c r="D4963" s="44"/>
      <c r="E4963" s="44"/>
      <c r="F4963" s="44"/>
      <c r="G4963" s="44"/>
      <c r="H4963" s="46" t="str">
        <f aca="false">IF($A4963="","",IF(OR(NOT(ISNUMBER(E4963)),NOT(ISNUMBER(F4963))),"",MAX(0,E4963)*F4963))</f>
        <v/>
      </c>
      <c r="I4963" s="46" t="str">
        <f aca="false">IF($A4963="","",SUMIF($A$2:$A$5001,$A4963,$H$2:$H$5001))</f>
        <v/>
      </c>
      <c r="J4963" s="47" t="n">
        <f aca="false">IF($A4963="",0,IF(COUNTIF($A$2:A4963,$A4963)=1,1,0))</f>
        <v>0</v>
      </c>
      <c r="K4963" s="47" t="n">
        <f aca="false">IF(J4963=1,N(I4963)+ROW()/10000000,0)</f>
        <v>0</v>
      </c>
      <c r="L4963" s="47" t="str">
        <f aca="false">IF(AND(J4963=1,N(I4963)&gt;0),SUMIF($K$2:$K$5001,"&gt;="&amp;K4963,$I$2:$I$5001)/MAX(1,SUM($H$2:$H$5001)),"")</f>
        <v/>
      </c>
      <c r="M4963" s="47" t="str">
        <f aca="false">IF($A4963="","",INDEX($L$2:$L$5001,MATCH($A4963,$A$2:$A$5001,0)))</f>
        <v/>
      </c>
      <c r="N4963" s="48" t="str">
        <f aca="false">IF($A4963="","",IF(N(M4963)=0,"–",IF(M4963&lt;=Start!$D$20,"A",IF(M4963&lt;=Start!$D$21,"B","C"))))</f>
        <v/>
      </c>
      <c r="O4963" s="48" t="str">
        <f aca="false">IF($A4963="","",IF(NOT(ISNUMBER(F4963)),"Wert fehlt; ",IF(F4963&lt;=0,"Wert ist 0; ",""))&amp;IF(NOT(ISNUMBER(E4963)),"Bestand fehlt; ",IF(E4963&lt;0,"Bestand negativ; ",IF(E4963=0,"Nullbestand; ","")))&amp;IF(D4963="","Warengruppe fehlt; ","")&amp;IF(B4963="","Bezeichnung fehlt; ","")&amp;IF(COUNTIFS($A$2:$A$5001,$A4963,$C$2:$C$5001,C4963)&gt;1,"Artikel doppelt im selben Lager; ",""))</f>
        <v/>
      </c>
      <c r="P4963" s="47" t="n">
        <f aca="false">IF(OR($A4963="",D4963=""),0,IF(COUNTIF($D$2:D4963,D4963)=1,SUMIF($D$2:$D$5001,D4963,$H$2:$H$5001)+ROW()/10000000,0))</f>
        <v>0</v>
      </c>
      <c r="Q4963" s="47" t="n">
        <f aca="false">IF(OR($A4963="",C4963=""),0,IF(COUNTIF($C$2:C4963,C4963)=1,SUMIF($C$2:$C$5001,C4963,$H$2:$H$5001)+ROW()/10000000,0))</f>
        <v>0</v>
      </c>
    </row>
    <row r="4964" customFormat="false" ht="15" hidden="false" customHeight="false" outlineLevel="0" collapsed="false">
      <c r="A4964" s="43"/>
      <c r="B4964" s="44"/>
      <c r="C4964" s="44"/>
      <c r="D4964" s="44"/>
      <c r="E4964" s="44"/>
      <c r="F4964" s="44"/>
      <c r="G4964" s="44"/>
      <c r="H4964" s="46" t="str">
        <f aca="false">IF($A4964="","",IF(OR(NOT(ISNUMBER(E4964)),NOT(ISNUMBER(F4964))),"",MAX(0,E4964)*F4964))</f>
        <v/>
      </c>
      <c r="I4964" s="46" t="str">
        <f aca="false">IF($A4964="","",SUMIF($A$2:$A$5001,$A4964,$H$2:$H$5001))</f>
        <v/>
      </c>
      <c r="J4964" s="47" t="n">
        <f aca="false">IF($A4964="",0,IF(COUNTIF($A$2:A4964,$A4964)=1,1,0))</f>
        <v>0</v>
      </c>
      <c r="K4964" s="47" t="n">
        <f aca="false">IF(J4964=1,N(I4964)+ROW()/10000000,0)</f>
        <v>0</v>
      </c>
      <c r="L4964" s="47" t="str">
        <f aca="false">IF(AND(J4964=1,N(I4964)&gt;0),SUMIF($K$2:$K$5001,"&gt;="&amp;K4964,$I$2:$I$5001)/MAX(1,SUM($H$2:$H$5001)),"")</f>
        <v/>
      </c>
      <c r="M4964" s="47" t="str">
        <f aca="false">IF($A4964="","",INDEX($L$2:$L$5001,MATCH($A4964,$A$2:$A$5001,0)))</f>
        <v/>
      </c>
      <c r="N4964" s="48" t="str">
        <f aca="false">IF($A4964="","",IF(N(M4964)=0,"–",IF(M4964&lt;=Start!$D$20,"A",IF(M4964&lt;=Start!$D$21,"B","C"))))</f>
        <v/>
      </c>
      <c r="O4964" s="48" t="str">
        <f aca="false">IF($A4964="","",IF(NOT(ISNUMBER(F4964)),"Wert fehlt; ",IF(F4964&lt;=0,"Wert ist 0; ",""))&amp;IF(NOT(ISNUMBER(E4964)),"Bestand fehlt; ",IF(E4964&lt;0,"Bestand negativ; ",IF(E4964=0,"Nullbestand; ","")))&amp;IF(D4964="","Warengruppe fehlt; ","")&amp;IF(B4964="","Bezeichnung fehlt; ","")&amp;IF(COUNTIFS($A$2:$A$5001,$A4964,$C$2:$C$5001,C4964)&gt;1,"Artikel doppelt im selben Lager; ",""))</f>
        <v/>
      </c>
      <c r="P4964" s="47" t="n">
        <f aca="false">IF(OR($A4964="",D4964=""),0,IF(COUNTIF($D$2:D4964,D4964)=1,SUMIF($D$2:$D$5001,D4964,$H$2:$H$5001)+ROW()/10000000,0))</f>
        <v>0</v>
      </c>
      <c r="Q4964" s="47" t="n">
        <f aca="false">IF(OR($A4964="",C4964=""),0,IF(COUNTIF($C$2:C4964,C4964)=1,SUMIF($C$2:$C$5001,C4964,$H$2:$H$5001)+ROW()/10000000,0))</f>
        <v>0</v>
      </c>
    </row>
    <row r="4965" customFormat="false" ht="15" hidden="false" customHeight="false" outlineLevel="0" collapsed="false">
      <c r="A4965" s="43"/>
      <c r="B4965" s="44"/>
      <c r="C4965" s="44"/>
      <c r="D4965" s="44"/>
      <c r="E4965" s="44"/>
      <c r="F4965" s="44"/>
      <c r="G4965" s="44"/>
      <c r="H4965" s="46" t="str">
        <f aca="false">IF($A4965="","",IF(OR(NOT(ISNUMBER(E4965)),NOT(ISNUMBER(F4965))),"",MAX(0,E4965)*F4965))</f>
        <v/>
      </c>
      <c r="I4965" s="46" t="str">
        <f aca="false">IF($A4965="","",SUMIF($A$2:$A$5001,$A4965,$H$2:$H$5001))</f>
        <v/>
      </c>
      <c r="J4965" s="47" t="n">
        <f aca="false">IF($A4965="",0,IF(COUNTIF($A$2:A4965,$A4965)=1,1,0))</f>
        <v>0</v>
      </c>
      <c r="K4965" s="47" t="n">
        <f aca="false">IF(J4965=1,N(I4965)+ROW()/10000000,0)</f>
        <v>0</v>
      </c>
      <c r="L4965" s="47" t="str">
        <f aca="false">IF(AND(J4965=1,N(I4965)&gt;0),SUMIF($K$2:$K$5001,"&gt;="&amp;K4965,$I$2:$I$5001)/MAX(1,SUM($H$2:$H$5001)),"")</f>
        <v/>
      </c>
      <c r="M4965" s="47" t="str">
        <f aca="false">IF($A4965="","",INDEX($L$2:$L$5001,MATCH($A4965,$A$2:$A$5001,0)))</f>
        <v/>
      </c>
      <c r="N4965" s="48" t="str">
        <f aca="false">IF($A4965="","",IF(N(M4965)=0,"–",IF(M4965&lt;=Start!$D$20,"A",IF(M4965&lt;=Start!$D$21,"B","C"))))</f>
        <v/>
      </c>
      <c r="O4965" s="48" t="str">
        <f aca="false">IF($A4965="","",IF(NOT(ISNUMBER(F4965)),"Wert fehlt; ",IF(F4965&lt;=0,"Wert ist 0; ",""))&amp;IF(NOT(ISNUMBER(E4965)),"Bestand fehlt; ",IF(E4965&lt;0,"Bestand negativ; ",IF(E4965=0,"Nullbestand; ","")))&amp;IF(D4965="","Warengruppe fehlt; ","")&amp;IF(B4965="","Bezeichnung fehlt; ","")&amp;IF(COUNTIFS($A$2:$A$5001,$A4965,$C$2:$C$5001,C4965)&gt;1,"Artikel doppelt im selben Lager; ",""))</f>
        <v/>
      </c>
      <c r="P4965" s="47" t="n">
        <f aca="false">IF(OR($A4965="",D4965=""),0,IF(COUNTIF($D$2:D4965,D4965)=1,SUMIF($D$2:$D$5001,D4965,$H$2:$H$5001)+ROW()/10000000,0))</f>
        <v>0</v>
      </c>
      <c r="Q4965" s="47" t="n">
        <f aca="false">IF(OR($A4965="",C4965=""),0,IF(COUNTIF($C$2:C4965,C4965)=1,SUMIF($C$2:$C$5001,C4965,$H$2:$H$5001)+ROW()/10000000,0))</f>
        <v>0</v>
      </c>
    </row>
    <row r="4966" customFormat="false" ht="15" hidden="false" customHeight="false" outlineLevel="0" collapsed="false">
      <c r="A4966" s="43"/>
      <c r="B4966" s="44"/>
      <c r="C4966" s="44"/>
      <c r="D4966" s="44"/>
      <c r="E4966" s="44"/>
      <c r="F4966" s="44"/>
      <c r="G4966" s="44"/>
      <c r="H4966" s="46" t="str">
        <f aca="false">IF($A4966="","",IF(OR(NOT(ISNUMBER(E4966)),NOT(ISNUMBER(F4966))),"",MAX(0,E4966)*F4966))</f>
        <v/>
      </c>
      <c r="I4966" s="46" t="str">
        <f aca="false">IF($A4966="","",SUMIF($A$2:$A$5001,$A4966,$H$2:$H$5001))</f>
        <v/>
      </c>
      <c r="J4966" s="47" t="n">
        <f aca="false">IF($A4966="",0,IF(COUNTIF($A$2:A4966,$A4966)=1,1,0))</f>
        <v>0</v>
      </c>
      <c r="K4966" s="47" t="n">
        <f aca="false">IF(J4966=1,N(I4966)+ROW()/10000000,0)</f>
        <v>0</v>
      </c>
      <c r="L4966" s="47" t="str">
        <f aca="false">IF(AND(J4966=1,N(I4966)&gt;0),SUMIF($K$2:$K$5001,"&gt;="&amp;K4966,$I$2:$I$5001)/MAX(1,SUM($H$2:$H$5001)),"")</f>
        <v/>
      </c>
      <c r="M4966" s="47" t="str">
        <f aca="false">IF($A4966="","",INDEX($L$2:$L$5001,MATCH($A4966,$A$2:$A$5001,0)))</f>
        <v/>
      </c>
      <c r="N4966" s="48" t="str">
        <f aca="false">IF($A4966="","",IF(N(M4966)=0,"–",IF(M4966&lt;=Start!$D$20,"A",IF(M4966&lt;=Start!$D$21,"B","C"))))</f>
        <v/>
      </c>
      <c r="O4966" s="48" t="str">
        <f aca="false">IF($A4966="","",IF(NOT(ISNUMBER(F4966)),"Wert fehlt; ",IF(F4966&lt;=0,"Wert ist 0; ",""))&amp;IF(NOT(ISNUMBER(E4966)),"Bestand fehlt; ",IF(E4966&lt;0,"Bestand negativ; ",IF(E4966=0,"Nullbestand; ","")))&amp;IF(D4966="","Warengruppe fehlt; ","")&amp;IF(B4966="","Bezeichnung fehlt; ","")&amp;IF(COUNTIFS($A$2:$A$5001,$A4966,$C$2:$C$5001,C4966)&gt;1,"Artikel doppelt im selben Lager; ",""))</f>
        <v/>
      </c>
      <c r="P4966" s="47" t="n">
        <f aca="false">IF(OR($A4966="",D4966=""),0,IF(COUNTIF($D$2:D4966,D4966)=1,SUMIF($D$2:$D$5001,D4966,$H$2:$H$5001)+ROW()/10000000,0))</f>
        <v>0</v>
      </c>
      <c r="Q4966" s="47" t="n">
        <f aca="false">IF(OR($A4966="",C4966=""),0,IF(COUNTIF($C$2:C4966,C4966)=1,SUMIF($C$2:$C$5001,C4966,$H$2:$H$5001)+ROW()/10000000,0))</f>
        <v>0</v>
      </c>
    </row>
    <row r="4967" customFormat="false" ht="15" hidden="false" customHeight="false" outlineLevel="0" collapsed="false">
      <c r="A4967" s="43"/>
      <c r="B4967" s="44"/>
      <c r="C4967" s="44"/>
      <c r="D4967" s="44"/>
      <c r="E4967" s="44"/>
      <c r="F4967" s="44"/>
      <c r="G4967" s="44"/>
      <c r="H4967" s="46" t="str">
        <f aca="false">IF($A4967="","",IF(OR(NOT(ISNUMBER(E4967)),NOT(ISNUMBER(F4967))),"",MAX(0,E4967)*F4967))</f>
        <v/>
      </c>
      <c r="I4967" s="46" t="str">
        <f aca="false">IF($A4967="","",SUMIF($A$2:$A$5001,$A4967,$H$2:$H$5001))</f>
        <v/>
      </c>
      <c r="J4967" s="47" t="n">
        <f aca="false">IF($A4967="",0,IF(COUNTIF($A$2:A4967,$A4967)=1,1,0))</f>
        <v>0</v>
      </c>
      <c r="K4967" s="47" t="n">
        <f aca="false">IF(J4967=1,N(I4967)+ROW()/10000000,0)</f>
        <v>0</v>
      </c>
      <c r="L4967" s="47" t="str">
        <f aca="false">IF(AND(J4967=1,N(I4967)&gt;0),SUMIF($K$2:$K$5001,"&gt;="&amp;K4967,$I$2:$I$5001)/MAX(1,SUM($H$2:$H$5001)),"")</f>
        <v/>
      </c>
      <c r="M4967" s="47" t="str">
        <f aca="false">IF($A4967="","",INDEX($L$2:$L$5001,MATCH($A4967,$A$2:$A$5001,0)))</f>
        <v/>
      </c>
      <c r="N4967" s="48" t="str">
        <f aca="false">IF($A4967="","",IF(N(M4967)=0,"–",IF(M4967&lt;=Start!$D$20,"A",IF(M4967&lt;=Start!$D$21,"B","C"))))</f>
        <v/>
      </c>
      <c r="O4967" s="48" t="str">
        <f aca="false">IF($A4967="","",IF(NOT(ISNUMBER(F4967)),"Wert fehlt; ",IF(F4967&lt;=0,"Wert ist 0; ",""))&amp;IF(NOT(ISNUMBER(E4967)),"Bestand fehlt; ",IF(E4967&lt;0,"Bestand negativ; ",IF(E4967=0,"Nullbestand; ","")))&amp;IF(D4967="","Warengruppe fehlt; ","")&amp;IF(B4967="","Bezeichnung fehlt; ","")&amp;IF(COUNTIFS($A$2:$A$5001,$A4967,$C$2:$C$5001,C4967)&gt;1,"Artikel doppelt im selben Lager; ",""))</f>
        <v/>
      </c>
      <c r="P4967" s="47" t="n">
        <f aca="false">IF(OR($A4967="",D4967=""),0,IF(COUNTIF($D$2:D4967,D4967)=1,SUMIF($D$2:$D$5001,D4967,$H$2:$H$5001)+ROW()/10000000,0))</f>
        <v>0</v>
      </c>
      <c r="Q4967" s="47" t="n">
        <f aca="false">IF(OR($A4967="",C4967=""),0,IF(COUNTIF($C$2:C4967,C4967)=1,SUMIF($C$2:$C$5001,C4967,$H$2:$H$5001)+ROW()/10000000,0))</f>
        <v>0</v>
      </c>
    </row>
    <row r="4968" customFormat="false" ht="15" hidden="false" customHeight="false" outlineLevel="0" collapsed="false">
      <c r="A4968" s="43"/>
      <c r="B4968" s="44"/>
      <c r="C4968" s="44"/>
      <c r="D4968" s="44"/>
      <c r="E4968" s="44"/>
      <c r="F4968" s="44"/>
      <c r="G4968" s="44"/>
      <c r="H4968" s="46" t="str">
        <f aca="false">IF($A4968="","",IF(OR(NOT(ISNUMBER(E4968)),NOT(ISNUMBER(F4968))),"",MAX(0,E4968)*F4968))</f>
        <v/>
      </c>
      <c r="I4968" s="46" t="str">
        <f aca="false">IF($A4968="","",SUMIF($A$2:$A$5001,$A4968,$H$2:$H$5001))</f>
        <v/>
      </c>
      <c r="J4968" s="47" t="n">
        <f aca="false">IF($A4968="",0,IF(COUNTIF($A$2:A4968,$A4968)=1,1,0))</f>
        <v>0</v>
      </c>
      <c r="K4968" s="47" t="n">
        <f aca="false">IF(J4968=1,N(I4968)+ROW()/10000000,0)</f>
        <v>0</v>
      </c>
      <c r="L4968" s="47" t="str">
        <f aca="false">IF(AND(J4968=1,N(I4968)&gt;0),SUMIF($K$2:$K$5001,"&gt;="&amp;K4968,$I$2:$I$5001)/MAX(1,SUM($H$2:$H$5001)),"")</f>
        <v/>
      </c>
      <c r="M4968" s="47" t="str">
        <f aca="false">IF($A4968="","",INDEX($L$2:$L$5001,MATCH($A4968,$A$2:$A$5001,0)))</f>
        <v/>
      </c>
      <c r="N4968" s="48" t="str">
        <f aca="false">IF($A4968="","",IF(N(M4968)=0,"–",IF(M4968&lt;=Start!$D$20,"A",IF(M4968&lt;=Start!$D$21,"B","C"))))</f>
        <v/>
      </c>
      <c r="O4968" s="48" t="str">
        <f aca="false">IF($A4968="","",IF(NOT(ISNUMBER(F4968)),"Wert fehlt; ",IF(F4968&lt;=0,"Wert ist 0; ",""))&amp;IF(NOT(ISNUMBER(E4968)),"Bestand fehlt; ",IF(E4968&lt;0,"Bestand negativ; ",IF(E4968=0,"Nullbestand; ","")))&amp;IF(D4968="","Warengruppe fehlt; ","")&amp;IF(B4968="","Bezeichnung fehlt; ","")&amp;IF(COUNTIFS($A$2:$A$5001,$A4968,$C$2:$C$5001,C4968)&gt;1,"Artikel doppelt im selben Lager; ",""))</f>
        <v/>
      </c>
      <c r="P4968" s="47" t="n">
        <f aca="false">IF(OR($A4968="",D4968=""),0,IF(COUNTIF($D$2:D4968,D4968)=1,SUMIF($D$2:$D$5001,D4968,$H$2:$H$5001)+ROW()/10000000,0))</f>
        <v>0</v>
      </c>
      <c r="Q4968" s="47" t="n">
        <f aca="false">IF(OR($A4968="",C4968=""),0,IF(COUNTIF($C$2:C4968,C4968)=1,SUMIF($C$2:$C$5001,C4968,$H$2:$H$5001)+ROW()/10000000,0))</f>
        <v>0</v>
      </c>
    </row>
    <row r="4969" customFormat="false" ht="15" hidden="false" customHeight="false" outlineLevel="0" collapsed="false">
      <c r="A4969" s="43"/>
      <c r="B4969" s="44"/>
      <c r="C4969" s="44"/>
      <c r="D4969" s="44"/>
      <c r="E4969" s="44"/>
      <c r="F4969" s="44"/>
      <c r="G4969" s="44"/>
      <c r="H4969" s="46" t="str">
        <f aca="false">IF($A4969="","",IF(OR(NOT(ISNUMBER(E4969)),NOT(ISNUMBER(F4969))),"",MAX(0,E4969)*F4969))</f>
        <v/>
      </c>
      <c r="I4969" s="46" t="str">
        <f aca="false">IF($A4969="","",SUMIF($A$2:$A$5001,$A4969,$H$2:$H$5001))</f>
        <v/>
      </c>
      <c r="J4969" s="47" t="n">
        <f aca="false">IF($A4969="",0,IF(COUNTIF($A$2:A4969,$A4969)=1,1,0))</f>
        <v>0</v>
      </c>
      <c r="K4969" s="47" t="n">
        <f aca="false">IF(J4969=1,N(I4969)+ROW()/10000000,0)</f>
        <v>0</v>
      </c>
      <c r="L4969" s="47" t="str">
        <f aca="false">IF(AND(J4969=1,N(I4969)&gt;0),SUMIF($K$2:$K$5001,"&gt;="&amp;K4969,$I$2:$I$5001)/MAX(1,SUM($H$2:$H$5001)),"")</f>
        <v/>
      </c>
      <c r="M4969" s="47" t="str">
        <f aca="false">IF($A4969="","",INDEX($L$2:$L$5001,MATCH($A4969,$A$2:$A$5001,0)))</f>
        <v/>
      </c>
      <c r="N4969" s="48" t="str">
        <f aca="false">IF($A4969="","",IF(N(M4969)=0,"–",IF(M4969&lt;=Start!$D$20,"A",IF(M4969&lt;=Start!$D$21,"B","C"))))</f>
        <v/>
      </c>
      <c r="O4969" s="48" t="str">
        <f aca="false">IF($A4969="","",IF(NOT(ISNUMBER(F4969)),"Wert fehlt; ",IF(F4969&lt;=0,"Wert ist 0; ",""))&amp;IF(NOT(ISNUMBER(E4969)),"Bestand fehlt; ",IF(E4969&lt;0,"Bestand negativ; ",IF(E4969=0,"Nullbestand; ","")))&amp;IF(D4969="","Warengruppe fehlt; ","")&amp;IF(B4969="","Bezeichnung fehlt; ","")&amp;IF(COUNTIFS($A$2:$A$5001,$A4969,$C$2:$C$5001,C4969)&gt;1,"Artikel doppelt im selben Lager; ",""))</f>
        <v/>
      </c>
      <c r="P4969" s="47" t="n">
        <f aca="false">IF(OR($A4969="",D4969=""),0,IF(COUNTIF($D$2:D4969,D4969)=1,SUMIF($D$2:$D$5001,D4969,$H$2:$H$5001)+ROW()/10000000,0))</f>
        <v>0</v>
      </c>
      <c r="Q4969" s="47" t="n">
        <f aca="false">IF(OR($A4969="",C4969=""),0,IF(COUNTIF($C$2:C4969,C4969)=1,SUMIF($C$2:$C$5001,C4969,$H$2:$H$5001)+ROW()/10000000,0))</f>
        <v>0</v>
      </c>
    </row>
    <row r="4970" customFormat="false" ht="15" hidden="false" customHeight="false" outlineLevel="0" collapsed="false">
      <c r="A4970" s="43"/>
      <c r="B4970" s="44"/>
      <c r="C4970" s="44"/>
      <c r="D4970" s="44"/>
      <c r="E4970" s="44"/>
      <c r="F4970" s="44"/>
      <c r="G4970" s="44"/>
      <c r="H4970" s="46" t="str">
        <f aca="false">IF($A4970="","",IF(OR(NOT(ISNUMBER(E4970)),NOT(ISNUMBER(F4970))),"",MAX(0,E4970)*F4970))</f>
        <v/>
      </c>
      <c r="I4970" s="46" t="str">
        <f aca="false">IF($A4970="","",SUMIF($A$2:$A$5001,$A4970,$H$2:$H$5001))</f>
        <v/>
      </c>
      <c r="J4970" s="47" t="n">
        <f aca="false">IF($A4970="",0,IF(COUNTIF($A$2:A4970,$A4970)=1,1,0))</f>
        <v>0</v>
      </c>
      <c r="K4970" s="47" t="n">
        <f aca="false">IF(J4970=1,N(I4970)+ROW()/10000000,0)</f>
        <v>0</v>
      </c>
      <c r="L4970" s="47" t="str">
        <f aca="false">IF(AND(J4970=1,N(I4970)&gt;0),SUMIF($K$2:$K$5001,"&gt;="&amp;K4970,$I$2:$I$5001)/MAX(1,SUM($H$2:$H$5001)),"")</f>
        <v/>
      </c>
      <c r="M4970" s="47" t="str">
        <f aca="false">IF($A4970="","",INDEX($L$2:$L$5001,MATCH($A4970,$A$2:$A$5001,0)))</f>
        <v/>
      </c>
      <c r="N4970" s="48" t="str">
        <f aca="false">IF($A4970="","",IF(N(M4970)=0,"–",IF(M4970&lt;=Start!$D$20,"A",IF(M4970&lt;=Start!$D$21,"B","C"))))</f>
        <v/>
      </c>
      <c r="O4970" s="48" t="str">
        <f aca="false">IF($A4970="","",IF(NOT(ISNUMBER(F4970)),"Wert fehlt; ",IF(F4970&lt;=0,"Wert ist 0; ",""))&amp;IF(NOT(ISNUMBER(E4970)),"Bestand fehlt; ",IF(E4970&lt;0,"Bestand negativ; ",IF(E4970=0,"Nullbestand; ","")))&amp;IF(D4970="","Warengruppe fehlt; ","")&amp;IF(B4970="","Bezeichnung fehlt; ","")&amp;IF(COUNTIFS($A$2:$A$5001,$A4970,$C$2:$C$5001,C4970)&gt;1,"Artikel doppelt im selben Lager; ",""))</f>
        <v/>
      </c>
      <c r="P4970" s="47" t="n">
        <f aca="false">IF(OR($A4970="",D4970=""),0,IF(COUNTIF($D$2:D4970,D4970)=1,SUMIF($D$2:$D$5001,D4970,$H$2:$H$5001)+ROW()/10000000,0))</f>
        <v>0</v>
      </c>
      <c r="Q4970" s="47" t="n">
        <f aca="false">IF(OR($A4970="",C4970=""),0,IF(COUNTIF($C$2:C4970,C4970)=1,SUMIF($C$2:$C$5001,C4970,$H$2:$H$5001)+ROW()/10000000,0))</f>
        <v>0</v>
      </c>
    </row>
    <row r="4971" customFormat="false" ht="15" hidden="false" customHeight="false" outlineLevel="0" collapsed="false">
      <c r="A4971" s="43"/>
      <c r="B4971" s="44"/>
      <c r="C4971" s="44"/>
      <c r="D4971" s="44"/>
      <c r="E4971" s="44"/>
      <c r="F4971" s="44"/>
      <c r="G4971" s="44"/>
      <c r="H4971" s="46" t="str">
        <f aca="false">IF($A4971="","",IF(OR(NOT(ISNUMBER(E4971)),NOT(ISNUMBER(F4971))),"",MAX(0,E4971)*F4971))</f>
        <v/>
      </c>
      <c r="I4971" s="46" t="str">
        <f aca="false">IF($A4971="","",SUMIF($A$2:$A$5001,$A4971,$H$2:$H$5001))</f>
        <v/>
      </c>
      <c r="J4971" s="47" t="n">
        <f aca="false">IF($A4971="",0,IF(COUNTIF($A$2:A4971,$A4971)=1,1,0))</f>
        <v>0</v>
      </c>
      <c r="K4971" s="47" t="n">
        <f aca="false">IF(J4971=1,N(I4971)+ROW()/10000000,0)</f>
        <v>0</v>
      </c>
      <c r="L4971" s="47" t="str">
        <f aca="false">IF(AND(J4971=1,N(I4971)&gt;0),SUMIF($K$2:$K$5001,"&gt;="&amp;K4971,$I$2:$I$5001)/MAX(1,SUM($H$2:$H$5001)),"")</f>
        <v/>
      </c>
      <c r="M4971" s="47" t="str">
        <f aca="false">IF($A4971="","",INDEX($L$2:$L$5001,MATCH($A4971,$A$2:$A$5001,0)))</f>
        <v/>
      </c>
      <c r="N4971" s="48" t="str">
        <f aca="false">IF($A4971="","",IF(N(M4971)=0,"–",IF(M4971&lt;=Start!$D$20,"A",IF(M4971&lt;=Start!$D$21,"B","C"))))</f>
        <v/>
      </c>
      <c r="O4971" s="48" t="str">
        <f aca="false">IF($A4971="","",IF(NOT(ISNUMBER(F4971)),"Wert fehlt; ",IF(F4971&lt;=0,"Wert ist 0; ",""))&amp;IF(NOT(ISNUMBER(E4971)),"Bestand fehlt; ",IF(E4971&lt;0,"Bestand negativ; ",IF(E4971=0,"Nullbestand; ","")))&amp;IF(D4971="","Warengruppe fehlt; ","")&amp;IF(B4971="","Bezeichnung fehlt; ","")&amp;IF(COUNTIFS($A$2:$A$5001,$A4971,$C$2:$C$5001,C4971)&gt;1,"Artikel doppelt im selben Lager; ",""))</f>
        <v/>
      </c>
      <c r="P4971" s="47" t="n">
        <f aca="false">IF(OR($A4971="",D4971=""),0,IF(COUNTIF($D$2:D4971,D4971)=1,SUMIF($D$2:$D$5001,D4971,$H$2:$H$5001)+ROW()/10000000,0))</f>
        <v>0</v>
      </c>
      <c r="Q4971" s="47" t="n">
        <f aca="false">IF(OR($A4971="",C4971=""),0,IF(COUNTIF($C$2:C4971,C4971)=1,SUMIF($C$2:$C$5001,C4971,$H$2:$H$5001)+ROW()/10000000,0))</f>
        <v>0</v>
      </c>
    </row>
    <row r="4972" customFormat="false" ht="15" hidden="false" customHeight="false" outlineLevel="0" collapsed="false">
      <c r="A4972" s="43"/>
      <c r="B4972" s="44"/>
      <c r="C4972" s="44"/>
      <c r="D4972" s="44"/>
      <c r="E4972" s="44"/>
      <c r="F4972" s="44"/>
      <c r="G4972" s="44"/>
      <c r="H4972" s="46" t="str">
        <f aca="false">IF($A4972="","",IF(OR(NOT(ISNUMBER(E4972)),NOT(ISNUMBER(F4972))),"",MAX(0,E4972)*F4972))</f>
        <v/>
      </c>
      <c r="I4972" s="46" t="str">
        <f aca="false">IF($A4972="","",SUMIF($A$2:$A$5001,$A4972,$H$2:$H$5001))</f>
        <v/>
      </c>
      <c r="J4972" s="47" t="n">
        <f aca="false">IF($A4972="",0,IF(COUNTIF($A$2:A4972,$A4972)=1,1,0))</f>
        <v>0</v>
      </c>
      <c r="K4972" s="47" t="n">
        <f aca="false">IF(J4972=1,N(I4972)+ROW()/10000000,0)</f>
        <v>0</v>
      </c>
      <c r="L4972" s="47" t="str">
        <f aca="false">IF(AND(J4972=1,N(I4972)&gt;0),SUMIF($K$2:$K$5001,"&gt;="&amp;K4972,$I$2:$I$5001)/MAX(1,SUM($H$2:$H$5001)),"")</f>
        <v/>
      </c>
      <c r="M4972" s="47" t="str">
        <f aca="false">IF($A4972="","",INDEX($L$2:$L$5001,MATCH($A4972,$A$2:$A$5001,0)))</f>
        <v/>
      </c>
      <c r="N4972" s="48" t="str">
        <f aca="false">IF($A4972="","",IF(N(M4972)=0,"–",IF(M4972&lt;=Start!$D$20,"A",IF(M4972&lt;=Start!$D$21,"B","C"))))</f>
        <v/>
      </c>
      <c r="O4972" s="48" t="str">
        <f aca="false">IF($A4972="","",IF(NOT(ISNUMBER(F4972)),"Wert fehlt; ",IF(F4972&lt;=0,"Wert ist 0; ",""))&amp;IF(NOT(ISNUMBER(E4972)),"Bestand fehlt; ",IF(E4972&lt;0,"Bestand negativ; ",IF(E4972=0,"Nullbestand; ","")))&amp;IF(D4972="","Warengruppe fehlt; ","")&amp;IF(B4972="","Bezeichnung fehlt; ","")&amp;IF(COUNTIFS($A$2:$A$5001,$A4972,$C$2:$C$5001,C4972)&gt;1,"Artikel doppelt im selben Lager; ",""))</f>
        <v/>
      </c>
      <c r="P4972" s="47" t="n">
        <f aca="false">IF(OR($A4972="",D4972=""),0,IF(COUNTIF($D$2:D4972,D4972)=1,SUMIF($D$2:$D$5001,D4972,$H$2:$H$5001)+ROW()/10000000,0))</f>
        <v>0</v>
      </c>
      <c r="Q4972" s="47" t="n">
        <f aca="false">IF(OR($A4972="",C4972=""),0,IF(COUNTIF($C$2:C4972,C4972)=1,SUMIF($C$2:$C$5001,C4972,$H$2:$H$5001)+ROW()/10000000,0))</f>
        <v>0</v>
      </c>
    </row>
    <row r="4973" customFormat="false" ht="15" hidden="false" customHeight="false" outlineLevel="0" collapsed="false">
      <c r="A4973" s="43"/>
      <c r="B4973" s="44"/>
      <c r="C4973" s="44"/>
      <c r="D4973" s="44"/>
      <c r="E4973" s="44"/>
      <c r="F4973" s="44"/>
      <c r="G4973" s="44"/>
      <c r="H4973" s="46" t="str">
        <f aca="false">IF($A4973="","",IF(OR(NOT(ISNUMBER(E4973)),NOT(ISNUMBER(F4973))),"",MAX(0,E4973)*F4973))</f>
        <v/>
      </c>
      <c r="I4973" s="46" t="str">
        <f aca="false">IF($A4973="","",SUMIF($A$2:$A$5001,$A4973,$H$2:$H$5001))</f>
        <v/>
      </c>
      <c r="J4973" s="47" t="n">
        <f aca="false">IF($A4973="",0,IF(COUNTIF($A$2:A4973,$A4973)=1,1,0))</f>
        <v>0</v>
      </c>
      <c r="K4973" s="47" t="n">
        <f aca="false">IF(J4973=1,N(I4973)+ROW()/10000000,0)</f>
        <v>0</v>
      </c>
      <c r="L4973" s="47" t="str">
        <f aca="false">IF(AND(J4973=1,N(I4973)&gt;0),SUMIF($K$2:$K$5001,"&gt;="&amp;K4973,$I$2:$I$5001)/MAX(1,SUM($H$2:$H$5001)),"")</f>
        <v/>
      </c>
      <c r="M4973" s="47" t="str">
        <f aca="false">IF($A4973="","",INDEX($L$2:$L$5001,MATCH($A4973,$A$2:$A$5001,0)))</f>
        <v/>
      </c>
      <c r="N4973" s="48" t="str">
        <f aca="false">IF($A4973="","",IF(N(M4973)=0,"–",IF(M4973&lt;=Start!$D$20,"A",IF(M4973&lt;=Start!$D$21,"B","C"))))</f>
        <v/>
      </c>
      <c r="O4973" s="48" t="str">
        <f aca="false">IF($A4973="","",IF(NOT(ISNUMBER(F4973)),"Wert fehlt; ",IF(F4973&lt;=0,"Wert ist 0; ",""))&amp;IF(NOT(ISNUMBER(E4973)),"Bestand fehlt; ",IF(E4973&lt;0,"Bestand negativ; ",IF(E4973=0,"Nullbestand; ","")))&amp;IF(D4973="","Warengruppe fehlt; ","")&amp;IF(B4973="","Bezeichnung fehlt; ","")&amp;IF(COUNTIFS($A$2:$A$5001,$A4973,$C$2:$C$5001,C4973)&gt;1,"Artikel doppelt im selben Lager; ",""))</f>
        <v/>
      </c>
      <c r="P4973" s="47" t="n">
        <f aca="false">IF(OR($A4973="",D4973=""),0,IF(COUNTIF($D$2:D4973,D4973)=1,SUMIF($D$2:$D$5001,D4973,$H$2:$H$5001)+ROW()/10000000,0))</f>
        <v>0</v>
      </c>
      <c r="Q4973" s="47" t="n">
        <f aca="false">IF(OR($A4973="",C4973=""),0,IF(COUNTIF($C$2:C4973,C4973)=1,SUMIF($C$2:$C$5001,C4973,$H$2:$H$5001)+ROW()/10000000,0))</f>
        <v>0</v>
      </c>
    </row>
    <row r="4974" customFormat="false" ht="15" hidden="false" customHeight="false" outlineLevel="0" collapsed="false">
      <c r="A4974" s="43"/>
      <c r="B4974" s="44"/>
      <c r="C4974" s="44"/>
      <c r="D4974" s="44"/>
      <c r="E4974" s="44"/>
      <c r="F4974" s="44"/>
      <c r="G4974" s="44"/>
      <c r="H4974" s="46" t="str">
        <f aca="false">IF($A4974="","",IF(OR(NOT(ISNUMBER(E4974)),NOT(ISNUMBER(F4974))),"",MAX(0,E4974)*F4974))</f>
        <v/>
      </c>
      <c r="I4974" s="46" t="str">
        <f aca="false">IF($A4974="","",SUMIF($A$2:$A$5001,$A4974,$H$2:$H$5001))</f>
        <v/>
      </c>
      <c r="J4974" s="47" t="n">
        <f aca="false">IF($A4974="",0,IF(COUNTIF($A$2:A4974,$A4974)=1,1,0))</f>
        <v>0</v>
      </c>
      <c r="K4974" s="47" t="n">
        <f aca="false">IF(J4974=1,N(I4974)+ROW()/10000000,0)</f>
        <v>0</v>
      </c>
      <c r="L4974" s="47" t="str">
        <f aca="false">IF(AND(J4974=1,N(I4974)&gt;0),SUMIF($K$2:$K$5001,"&gt;="&amp;K4974,$I$2:$I$5001)/MAX(1,SUM($H$2:$H$5001)),"")</f>
        <v/>
      </c>
      <c r="M4974" s="47" t="str">
        <f aca="false">IF($A4974="","",INDEX($L$2:$L$5001,MATCH($A4974,$A$2:$A$5001,0)))</f>
        <v/>
      </c>
      <c r="N4974" s="48" t="str">
        <f aca="false">IF($A4974="","",IF(N(M4974)=0,"–",IF(M4974&lt;=Start!$D$20,"A",IF(M4974&lt;=Start!$D$21,"B","C"))))</f>
        <v/>
      </c>
      <c r="O4974" s="48" t="str">
        <f aca="false">IF($A4974="","",IF(NOT(ISNUMBER(F4974)),"Wert fehlt; ",IF(F4974&lt;=0,"Wert ist 0; ",""))&amp;IF(NOT(ISNUMBER(E4974)),"Bestand fehlt; ",IF(E4974&lt;0,"Bestand negativ; ",IF(E4974=0,"Nullbestand; ","")))&amp;IF(D4974="","Warengruppe fehlt; ","")&amp;IF(B4974="","Bezeichnung fehlt; ","")&amp;IF(COUNTIFS($A$2:$A$5001,$A4974,$C$2:$C$5001,C4974)&gt;1,"Artikel doppelt im selben Lager; ",""))</f>
        <v/>
      </c>
      <c r="P4974" s="47" t="n">
        <f aca="false">IF(OR($A4974="",D4974=""),0,IF(COUNTIF($D$2:D4974,D4974)=1,SUMIF($D$2:$D$5001,D4974,$H$2:$H$5001)+ROW()/10000000,0))</f>
        <v>0</v>
      </c>
      <c r="Q4974" s="47" t="n">
        <f aca="false">IF(OR($A4974="",C4974=""),0,IF(COUNTIF($C$2:C4974,C4974)=1,SUMIF($C$2:$C$5001,C4974,$H$2:$H$5001)+ROW()/10000000,0))</f>
        <v>0</v>
      </c>
    </row>
    <row r="4975" customFormat="false" ht="15" hidden="false" customHeight="false" outlineLevel="0" collapsed="false">
      <c r="A4975" s="43"/>
      <c r="B4975" s="44"/>
      <c r="C4975" s="44"/>
      <c r="D4975" s="44"/>
      <c r="E4975" s="44"/>
      <c r="F4975" s="44"/>
      <c r="G4975" s="44"/>
      <c r="H4975" s="46" t="str">
        <f aca="false">IF($A4975="","",IF(OR(NOT(ISNUMBER(E4975)),NOT(ISNUMBER(F4975))),"",MAX(0,E4975)*F4975))</f>
        <v/>
      </c>
      <c r="I4975" s="46" t="str">
        <f aca="false">IF($A4975="","",SUMIF($A$2:$A$5001,$A4975,$H$2:$H$5001))</f>
        <v/>
      </c>
      <c r="J4975" s="47" t="n">
        <f aca="false">IF($A4975="",0,IF(COUNTIF($A$2:A4975,$A4975)=1,1,0))</f>
        <v>0</v>
      </c>
      <c r="K4975" s="47" t="n">
        <f aca="false">IF(J4975=1,N(I4975)+ROW()/10000000,0)</f>
        <v>0</v>
      </c>
      <c r="L4975" s="47" t="str">
        <f aca="false">IF(AND(J4975=1,N(I4975)&gt;0),SUMIF($K$2:$K$5001,"&gt;="&amp;K4975,$I$2:$I$5001)/MAX(1,SUM($H$2:$H$5001)),"")</f>
        <v/>
      </c>
      <c r="M4975" s="47" t="str">
        <f aca="false">IF($A4975="","",INDEX($L$2:$L$5001,MATCH($A4975,$A$2:$A$5001,0)))</f>
        <v/>
      </c>
      <c r="N4975" s="48" t="str">
        <f aca="false">IF($A4975="","",IF(N(M4975)=0,"–",IF(M4975&lt;=Start!$D$20,"A",IF(M4975&lt;=Start!$D$21,"B","C"))))</f>
        <v/>
      </c>
      <c r="O4975" s="48" t="str">
        <f aca="false">IF($A4975="","",IF(NOT(ISNUMBER(F4975)),"Wert fehlt; ",IF(F4975&lt;=0,"Wert ist 0; ",""))&amp;IF(NOT(ISNUMBER(E4975)),"Bestand fehlt; ",IF(E4975&lt;0,"Bestand negativ; ",IF(E4975=0,"Nullbestand; ","")))&amp;IF(D4975="","Warengruppe fehlt; ","")&amp;IF(B4975="","Bezeichnung fehlt; ","")&amp;IF(COUNTIFS($A$2:$A$5001,$A4975,$C$2:$C$5001,C4975)&gt;1,"Artikel doppelt im selben Lager; ",""))</f>
        <v/>
      </c>
      <c r="P4975" s="47" t="n">
        <f aca="false">IF(OR($A4975="",D4975=""),0,IF(COUNTIF($D$2:D4975,D4975)=1,SUMIF($D$2:$D$5001,D4975,$H$2:$H$5001)+ROW()/10000000,0))</f>
        <v>0</v>
      </c>
      <c r="Q4975" s="47" t="n">
        <f aca="false">IF(OR($A4975="",C4975=""),0,IF(COUNTIF($C$2:C4975,C4975)=1,SUMIF($C$2:$C$5001,C4975,$H$2:$H$5001)+ROW()/10000000,0))</f>
        <v>0</v>
      </c>
    </row>
    <row r="4976" customFormat="false" ht="15" hidden="false" customHeight="false" outlineLevel="0" collapsed="false">
      <c r="A4976" s="43"/>
      <c r="B4976" s="44"/>
      <c r="C4976" s="44"/>
      <c r="D4976" s="44"/>
      <c r="E4976" s="44"/>
      <c r="F4976" s="44"/>
      <c r="G4976" s="44"/>
      <c r="H4976" s="46" t="str">
        <f aca="false">IF($A4976="","",IF(OR(NOT(ISNUMBER(E4976)),NOT(ISNUMBER(F4976))),"",MAX(0,E4976)*F4976))</f>
        <v/>
      </c>
      <c r="I4976" s="46" t="str">
        <f aca="false">IF($A4976="","",SUMIF($A$2:$A$5001,$A4976,$H$2:$H$5001))</f>
        <v/>
      </c>
      <c r="J4976" s="47" t="n">
        <f aca="false">IF($A4976="",0,IF(COUNTIF($A$2:A4976,$A4976)=1,1,0))</f>
        <v>0</v>
      </c>
      <c r="K4976" s="47" t="n">
        <f aca="false">IF(J4976=1,N(I4976)+ROW()/10000000,0)</f>
        <v>0</v>
      </c>
      <c r="L4976" s="47" t="str">
        <f aca="false">IF(AND(J4976=1,N(I4976)&gt;0),SUMIF($K$2:$K$5001,"&gt;="&amp;K4976,$I$2:$I$5001)/MAX(1,SUM($H$2:$H$5001)),"")</f>
        <v/>
      </c>
      <c r="M4976" s="47" t="str">
        <f aca="false">IF($A4976="","",INDEX($L$2:$L$5001,MATCH($A4976,$A$2:$A$5001,0)))</f>
        <v/>
      </c>
      <c r="N4976" s="48" t="str">
        <f aca="false">IF($A4976="","",IF(N(M4976)=0,"–",IF(M4976&lt;=Start!$D$20,"A",IF(M4976&lt;=Start!$D$21,"B","C"))))</f>
        <v/>
      </c>
      <c r="O4976" s="48" t="str">
        <f aca="false">IF($A4976="","",IF(NOT(ISNUMBER(F4976)),"Wert fehlt; ",IF(F4976&lt;=0,"Wert ist 0; ",""))&amp;IF(NOT(ISNUMBER(E4976)),"Bestand fehlt; ",IF(E4976&lt;0,"Bestand negativ; ",IF(E4976=0,"Nullbestand; ","")))&amp;IF(D4976="","Warengruppe fehlt; ","")&amp;IF(B4976="","Bezeichnung fehlt; ","")&amp;IF(COUNTIFS($A$2:$A$5001,$A4976,$C$2:$C$5001,C4976)&gt;1,"Artikel doppelt im selben Lager; ",""))</f>
        <v/>
      </c>
      <c r="P4976" s="47" t="n">
        <f aca="false">IF(OR($A4976="",D4976=""),0,IF(COUNTIF($D$2:D4976,D4976)=1,SUMIF($D$2:$D$5001,D4976,$H$2:$H$5001)+ROW()/10000000,0))</f>
        <v>0</v>
      </c>
      <c r="Q4976" s="47" t="n">
        <f aca="false">IF(OR($A4976="",C4976=""),0,IF(COUNTIF($C$2:C4976,C4976)=1,SUMIF($C$2:$C$5001,C4976,$H$2:$H$5001)+ROW()/10000000,0))</f>
        <v>0</v>
      </c>
    </row>
    <row r="4977" customFormat="false" ht="15" hidden="false" customHeight="false" outlineLevel="0" collapsed="false">
      <c r="A4977" s="43"/>
      <c r="B4977" s="44"/>
      <c r="C4977" s="44"/>
      <c r="D4977" s="44"/>
      <c r="E4977" s="44"/>
      <c r="F4977" s="44"/>
      <c r="G4977" s="44"/>
      <c r="H4977" s="46" t="str">
        <f aca="false">IF($A4977="","",IF(OR(NOT(ISNUMBER(E4977)),NOT(ISNUMBER(F4977))),"",MAX(0,E4977)*F4977))</f>
        <v/>
      </c>
      <c r="I4977" s="46" t="str">
        <f aca="false">IF($A4977="","",SUMIF($A$2:$A$5001,$A4977,$H$2:$H$5001))</f>
        <v/>
      </c>
      <c r="J4977" s="47" t="n">
        <f aca="false">IF($A4977="",0,IF(COUNTIF($A$2:A4977,$A4977)=1,1,0))</f>
        <v>0</v>
      </c>
      <c r="K4977" s="47" t="n">
        <f aca="false">IF(J4977=1,N(I4977)+ROW()/10000000,0)</f>
        <v>0</v>
      </c>
      <c r="L4977" s="47" t="str">
        <f aca="false">IF(AND(J4977=1,N(I4977)&gt;0),SUMIF($K$2:$K$5001,"&gt;="&amp;K4977,$I$2:$I$5001)/MAX(1,SUM($H$2:$H$5001)),"")</f>
        <v/>
      </c>
      <c r="M4977" s="47" t="str">
        <f aca="false">IF($A4977="","",INDEX($L$2:$L$5001,MATCH($A4977,$A$2:$A$5001,0)))</f>
        <v/>
      </c>
      <c r="N4977" s="48" t="str">
        <f aca="false">IF($A4977="","",IF(N(M4977)=0,"–",IF(M4977&lt;=Start!$D$20,"A",IF(M4977&lt;=Start!$D$21,"B","C"))))</f>
        <v/>
      </c>
      <c r="O4977" s="48" t="str">
        <f aca="false">IF($A4977="","",IF(NOT(ISNUMBER(F4977)),"Wert fehlt; ",IF(F4977&lt;=0,"Wert ist 0; ",""))&amp;IF(NOT(ISNUMBER(E4977)),"Bestand fehlt; ",IF(E4977&lt;0,"Bestand negativ; ",IF(E4977=0,"Nullbestand; ","")))&amp;IF(D4977="","Warengruppe fehlt; ","")&amp;IF(B4977="","Bezeichnung fehlt; ","")&amp;IF(COUNTIFS($A$2:$A$5001,$A4977,$C$2:$C$5001,C4977)&gt;1,"Artikel doppelt im selben Lager; ",""))</f>
        <v/>
      </c>
      <c r="P4977" s="47" t="n">
        <f aca="false">IF(OR($A4977="",D4977=""),0,IF(COUNTIF($D$2:D4977,D4977)=1,SUMIF($D$2:$D$5001,D4977,$H$2:$H$5001)+ROW()/10000000,0))</f>
        <v>0</v>
      </c>
      <c r="Q4977" s="47" t="n">
        <f aca="false">IF(OR($A4977="",C4977=""),0,IF(COUNTIF($C$2:C4977,C4977)=1,SUMIF($C$2:$C$5001,C4977,$H$2:$H$5001)+ROW()/10000000,0))</f>
        <v>0</v>
      </c>
    </row>
    <row r="4978" customFormat="false" ht="15" hidden="false" customHeight="false" outlineLevel="0" collapsed="false">
      <c r="A4978" s="43"/>
      <c r="B4978" s="44"/>
      <c r="C4978" s="44"/>
      <c r="D4978" s="44"/>
      <c r="E4978" s="44"/>
      <c r="F4978" s="44"/>
      <c r="G4978" s="44"/>
      <c r="H4978" s="46" t="str">
        <f aca="false">IF($A4978="","",IF(OR(NOT(ISNUMBER(E4978)),NOT(ISNUMBER(F4978))),"",MAX(0,E4978)*F4978))</f>
        <v/>
      </c>
      <c r="I4978" s="46" t="str">
        <f aca="false">IF($A4978="","",SUMIF($A$2:$A$5001,$A4978,$H$2:$H$5001))</f>
        <v/>
      </c>
      <c r="J4978" s="47" t="n">
        <f aca="false">IF($A4978="",0,IF(COUNTIF($A$2:A4978,$A4978)=1,1,0))</f>
        <v>0</v>
      </c>
      <c r="K4978" s="47" t="n">
        <f aca="false">IF(J4978=1,N(I4978)+ROW()/10000000,0)</f>
        <v>0</v>
      </c>
      <c r="L4978" s="47" t="str">
        <f aca="false">IF(AND(J4978=1,N(I4978)&gt;0),SUMIF($K$2:$K$5001,"&gt;="&amp;K4978,$I$2:$I$5001)/MAX(1,SUM($H$2:$H$5001)),"")</f>
        <v/>
      </c>
      <c r="M4978" s="47" t="str">
        <f aca="false">IF($A4978="","",INDEX($L$2:$L$5001,MATCH($A4978,$A$2:$A$5001,0)))</f>
        <v/>
      </c>
      <c r="N4978" s="48" t="str">
        <f aca="false">IF($A4978="","",IF(N(M4978)=0,"–",IF(M4978&lt;=Start!$D$20,"A",IF(M4978&lt;=Start!$D$21,"B","C"))))</f>
        <v/>
      </c>
      <c r="O4978" s="48" t="str">
        <f aca="false">IF($A4978="","",IF(NOT(ISNUMBER(F4978)),"Wert fehlt; ",IF(F4978&lt;=0,"Wert ist 0; ",""))&amp;IF(NOT(ISNUMBER(E4978)),"Bestand fehlt; ",IF(E4978&lt;0,"Bestand negativ; ",IF(E4978=0,"Nullbestand; ","")))&amp;IF(D4978="","Warengruppe fehlt; ","")&amp;IF(B4978="","Bezeichnung fehlt; ","")&amp;IF(COUNTIFS($A$2:$A$5001,$A4978,$C$2:$C$5001,C4978)&gt;1,"Artikel doppelt im selben Lager; ",""))</f>
        <v/>
      </c>
      <c r="P4978" s="47" t="n">
        <f aca="false">IF(OR($A4978="",D4978=""),0,IF(COUNTIF($D$2:D4978,D4978)=1,SUMIF($D$2:$D$5001,D4978,$H$2:$H$5001)+ROW()/10000000,0))</f>
        <v>0</v>
      </c>
      <c r="Q4978" s="47" t="n">
        <f aca="false">IF(OR($A4978="",C4978=""),0,IF(COUNTIF($C$2:C4978,C4978)=1,SUMIF($C$2:$C$5001,C4978,$H$2:$H$5001)+ROW()/10000000,0))</f>
        <v>0</v>
      </c>
    </row>
    <row r="4979" customFormat="false" ht="15" hidden="false" customHeight="false" outlineLevel="0" collapsed="false">
      <c r="A4979" s="43"/>
      <c r="B4979" s="44"/>
      <c r="C4979" s="44"/>
      <c r="D4979" s="44"/>
      <c r="E4979" s="44"/>
      <c r="F4979" s="44"/>
      <c r="G4979" s="44"/>
      <c r="H4979" s="46" t="str">
        <f aca="false">IF($A4979="","",IF(OR(NOT(ISNUMBER(E4979)),NOT(ISNUMBER(F4979))),"",MAX(0,E4979)*F4979))</f>
        <v/>
      </c>
      <c r="I4979" s="46" t="str">
        <f aca="false">IF($A4979="","",SUMIF($A$2:$A$5001,$A4979,$H$2:$H$5001))</f>
        <v/>
      </c>
      <c r="J4979" s="47" t="n">
        <f aca="false">IF($A4979="",0,IF(COUNTIF($A$2:A4979,$A4979)=1,1,0))</f>
        <v>0</v>
      </c>
      <c r="K4979" s="47" t="n">
        <f aca="false">IF(J4979=1,N(I4979)+ROW()/10000000,0)</f>
        <v>0</v>
      </c>
      <c r="L4979" s="47" t="str">
        <f aca="false">IF(AND(J4979=1,N(I4979)&gt;0),SUMIF($K$2:$K$5001,"&gt;="&amp;K4979,$I$2:$I$5001)/MAX(1,SUM($H$2:$H$5001)),"")</f>
        <v/>
      </c>
      <c r="M4979" s="47" t="str">
        <f aca="false">IF($A4979="","",INDEX($L$2:$L$5001,MATCH($A4979,$A$2:$A$5001,0)))</f>
        <v/>
      </c>
      <c r="N4979" s="48" t="str">
        <f aca="false">IF($A4979="","",IF(N(M4979)=0,"–",IF(M4979&lt;=Start!$D$20,"A",IF(M4979&lt;=Start!$D$21,"B","C"))))</f>
        <v/>
      </c>
      <c r="O4979" s="48" t="str">
        <f aca="false">IF($A4979="","",IF(NOT(ISNUMBER(F4979)),"Wert fehlt; ",IF(F4979&lt;=0,"Wert ist 0; ",""))&amp;IF(NOT(ISNUMBER(E4979)),"Bestand fehlt; ",IF(E4979&lt;0,"Bestand negativ; ",IF(E4979=0,"Nullbestand; ","")))&amp;IF(D4979="","Warengruppe fehlt; ","")&amp;IF(B4979="","Bezeichnung fehlt; ","")&amp;IF(COUNTIFS($A$2:$A$5001,$A4979,$C$2:$C$5001,C4979)&gt;1,"Artikel doppelt im selben Lager; ",""))</f>
        <v/>
      </c>
      <c r="P4979" s="47" t="n">
        <f aca="false">IF(OR($A4979="",D4979=""),0,IF(COUNTIF($D$2:D4979,D4979)=1,SUMIF($D$2:$D$5001,D4979,$H$2:$H$5001)+ROW()/10000000,0))</f>
        <v>0</v>
      </c>
      <c r="Q4979" s="47" t="n">
        <f aca="false">IF(OR($A4979="",C4979=""),0,IF(COUNTIF($C$2:C4979,C4979)=1,SUMIF($C$2:$C$5001,C4979,$H$2:$H$5001)+ROW()/10000000,0))</f>
        <v>0</v>
      </c>
    </row>
    <row r="4980" customFormat="false" ht="15" hidden="false" customHeight="false" outlineLevel="0" collapsed="false">
      <c r="A4980" s="43"/>
      <c r="B4980" s="44"/>
      <c r="C4980" s="44"/>
      <c r="D4980" s="44"/>
      <c r="E4980" s="44"/>
      <c r="F4980" s="44"/>
      <c r="G4980" s="44"/>
      <c r="H4980" s="46" t="str">
        <f aca="false">IF($A4980="","",IF(OR(NOT(ISNUMBER(E4980)),NOT(ISNUMBER(F4980))),"",MAX(0,E4980)*F4980))</f>
        <v/>
      </c>
      <c r="I4980" s="46" t="str">
        <f aca="false">IF($A4980="","",SUMIF($A$2:$A$5001,$A4980,$H$2:$H$5001))</f>
        <v/>
      </c>
      <c r="J4980" s="47" t="n">
        <f aca="false">IF($A4980="",0,IF(COUNTIF($A$2:A4980,$A4980)=1,1,0))</f>
        <v>0</v>
      </c>
      <c r="K4980" s="47" t="n">
        <f aca="false">IF(J4980=1,N(I4980)+ROW()/10000000,0)</f>
        <v>0</v>
      </c>
      <c r="L4980" s="47" t="str">
        <f aca="false">IF(AND(J4980=1,N(I4980)&gt;0),SUMIF($K$2:$K$5001,"&gt;="&amp;K4980,$I$2:$I$5001)/MAX(1,SUM($H$2:$H$5001)),"")</f>
        <v/>
      </c>
      <c r="M4980" s="47" t="str">
        <f aca="false">IF($A4980="","",INDEX($L$2:$L$5001,MATCH($A4980,$A$2:$A$5001,0)))</f>
        <v/>
      </c>
      <c r="N4980" s="48" t="str">
        <f aca="false">IF($A4980="","",IF(N(M4980)=0,"–",IF(M4980&lt;=Start!$D$20,"A",IF(M4980&lt;=Start!$D$21,"B","C"))))</f>
        <v/>
      </c>
      <c r="O4980" s="48" t="str">
        <f aca="false">IF($A4980="","",IF(NOT(ISNUMBER(F4980)),"Wert fehlt; ",IF(F4980&lt;=0,"Wert ist 0; ",""))&amp;IF(NOT(ISNUMBER(E4980)),"Bestand fehlt; ",IF(E4980&lt;0,"Bestand negativ; ",IF(E4980=0,"Nullbestand; ","")))&amp;IF(D4980="","Warengruppe fehlt; ","")&amp;IF(B4980="","Bezeichnung fehlt; ","")&amp;IF(COUNTIFS($A$2:$A$5001,$A4980,$C$2:$C$5001,C4980)&gt;1,"Artikel doppelt im selben Lager; ",""))</f>
        <v/>
      </c>
      <c r="P4980" s="47" t="n">
        <f aca="false">IF(OR($A4980="",D4980=""),0,IF(COUNTIF($D$2:D4980,D4980)=1,SUMIF($D$2:$D$5001,D4980,$H$2:$H$5001)+ROW()/10000000,0))</f>
        <v>0</v>
      </c>
      <c r="Q4980" s="47" t="n">
        <f aca="false">IF(OR($A4980="",C4980=""),0,IF(COUNTIF($C$2:C4980,C4980)=1,SUMIF($C$2:$C$5001,C4980,$H$2:$H$5001)+ROW()/10000000,0))</f>
        <v>0</v>
      </c>
    </row>
    <row r="4981" customFormat="false" ht="15" hidden="false" customHeight="false" outlineLevel="0" collapsed="false">
      <c r="A4981" s="43"/>
      <c r="B4981" s="44"/>
      <c r="C4981" s="44"/>
      <c r="D4981" s="44"/>
      <c r="E4981" s="44"/>
      <c r="F4981" s="44"/>
      <c r="G4981" s="44"/>
      <c r="H4981" s="46" t="str">
        <f aca="false">IF($A4981="","",IF(OR(NOT(ISNUMBER(E4981)),NOT(ISNUMBER(F4981))),"",MAX(0,E4981)*F4981))</f>
        <v/>
      </c>
      <c r="I4981" s="46" t="str">
        <f aca="false">IF($A4981="","",SUMIF($A$2:$A$5001,$A4981,$H$2:$H$5001))</f>
        <v/>
      </c>
      <c r="J4981" s="47" t="n">
        <f aca="false">IF($A4981="",0,IF(COUNTIF($A$2:A4981,$A4981)=1,1,0))</f>
        <v>0</v>
      </c>
      <c r="K4981" s="47" t="n">
        <f aca="false">IF(J4981=1,N(I4981)+ROW()/10000000,0)</f>
        <v>0</v>
      </c>
      <c r="L4981" s="47" t="str">
        <f aca="false">IF(AND(J4981=1,N(I4981)&gt;0),SUMIF($K$2:$K$5001,"&gt;="&amp;K4981,$I$2:$I$5001)/MAX(1,SUM($H$2:$H$5001)),"")</f>
        <v/>
      </c>
      <c r="M4981" s="47" t="str">
        <f aca="false">IF($A4981="","",INDEX($L$2:$L$5001,MATCH($A4981,$A$2:$A$5001,0)))</f>
        <v/>
      </c>
      <c r="N4981" s="48" t="str">
        <f aca="false">IF($A4981="","",IF(N(M4981)=0,"–",IF(M4981&lt;=Start!$D$20,"A",IF(M4981&lt;=Start!$D$21,"B","C"))))</f>
        <v/>
      </c>
      <c r="O4981" s="48" t="str">
        <f aca="false">IF($A4981="","",IF(NOT(ISNUMBER(F4981)),"Wert fehlt; ",IF(F4981&lt;=0,"Wert ist 0; ",""))&amp;IF(NOT(ISNUMBER(E4981)),"Bestand fehlt; ",IF(E4981&lt;0,"Bestand negativ; ",IF(E4981=0,"Nullbestand; ","")))&amp;IF(D4981="","Warengruppe fehlt; ","")&amp;IF(B4981="","Bezeichnung fehlt; ","")&amp;IF(COUNTIFS($A$2:$A$5001,$A4981,$C$2:$C$5001,C4981)&gt;1,"Artikel doppelt im selben Lager; ",""))</f>
        <v/>
      </c>
      <c r="P4981" s="47" t="n">
        <f aca="false">IF(OR($A4981="",D4981=""),0,IF(COUNTIF($D$2:D4981,D4981)=1,SUMIF($D$2:$D$5001,D4981,$H$2:$H$5001)+ROW()/10000000,0))</f>
        <v>0</v>
      </c>
      <c r="Q4981" s="47" t="n">
        <f aca="false">IF(OR($A4981="",C4981=""),0,IF(COUNTIF($C$2:C4981,C4981)=1,SUMIF($C$2:$C$5001,C4981,$H$2:$H$5001)+ROW()/10000000,0))</f>
        <v>0</v>
      </c>
    </row>
    <row r="4982" customFormat="false" ht="15" hidden="false" customHeight="false" outlineLevel="0" collapsed="false">
      <c r="A4982" s="43"/>
      <c r="B4982" s="44"/>
      <c r="C4982" s="44"/>
      <c r="D4982" s="44"/>
      <c r="E4982" s="44"/>
      <c r="F4982" s="44"/>
      <c r="G4982" s="44"/>
      <c r="H4982" s="46" t="str">
        <f aca="false">IF($A4982="","",IF(OR(NOT(ISNUMBER(E4982)),NOT(ISNUMBER(F4982))),"",MAX(0,E4982)*F4982))</f>
        <v/>
      </c>
      <c r="I4982" s="46" t="str">
        <f aca="false">IF($A4982="","",SUMIF($A$2:$A$5001,$A4982,$H$2:$H$5001))</f>
        <v/>
      </c>
      <c r="J4982" s="47" t="n">
        <f aca="false">IF($A4982="",0,IF(COUNTIF($A$2:A4982,$A4982)=1,1,0))</f>
        <v>0</v>
      </c>
      <c r="K4982" s="47" t="n">
        <f aca="false">IF(J4982=1,N(I4982)+ROW()/10000000,0)</f>
        <v>0</v>
      </c>
      <c r="L4982" s="47" t="str">
        <f aca="false">IF(AND(J4982=1,N(I4982)&gt;0),SUMIF($K$2:$K$5001,"&gt;="&amp;K4982,$I$2:$I$5001)/MAX(1,SUM($H$2:$H$5001)),"")</f>
        <v/>
      </c>
      <c r="M4982" s="47" t="str">
        <f aca="false">IF($A4982="","",INDEX($L$2:$L$5001,MATCH($A4982,$A$2:$A$5001,0)))</f>
        <v/>
      </c>
      <c r="N4982" s="48" t="str">
        <f aca="false">IF($A4982="","",IF(N(M4982)=0,"–",IF(M4982&lt;=Start!$D$20,"A",IF(M4982&lt;=Start!$D$21,"B","C"))))</f>
        <v/>
      </c>
      <c r="O4982" s="48" t="str">
        <f aca="false">IF($A4982="","",IF(NOT(ISNUMBER(F4982)),"Wert fehlt; ",IF(F4982&lt;=0,"Wert ist 0; ",""))&amp;IF(NOT(ISNUMBER(E4982)),"Bestand fehlt; ",IF(E4982&lt;0,"Bestand negativ; ",IF(E4982=0,"Nullbestand; ","")))&amp;IF(D4982="","Warengruppe fehlt; ","")&amp;IF(B4982="","Bezeichnung fehlt; ","")&amp;IF(COUNTIFS($A$2:$A$5001,$A4982,$C$2:$C$5001,C4982)&gt;1,"Artikel doppelt im selben Lager; ",""))</f>
        <v/>
      </c>
      <c r="P4982" s="47" t="n">
        <f aca="false">IF(OR($A4982="",D4982=""),0,IF(COUNTIF($D$2:D4982,D4982)=1,SUMIF($D$2:$D$5001,D4982,$H$2:$H$5001)+ROW()/10000000,0))</f>
        <v>0</v>
      </c>
      <c r="Q4982" s="47" t="n">
        <f aca="false">IF(OR($A4982="",C4982=""),0,IF(COUNTIF($C$2:C4982,C4982)=1,SUMIF($C$2:$C$5001,C4982,$H$2:$H$5001)+ROW()/10000000,0))</f>
        <v>0</v>
      </c>
    </row>
    <row r="4983" customFormat="false" ht="15" hidden="false" customHeight="false" outlineLevel="0" collapsed="false">
      <c r="A4983" s="43"/>
      <c r="B4983" s="44"/>
      <c r="C4983" s="44"/>
      <c r="D4983" s="44"/>
      <c r="E4983" s="44"/>
      <c r="F4983" s="44"/>
      <c r="G4983" s="44"/>
      <c r="H4983" s="46" t="str">
        <f aca="false">IF($A4983="","",IF(OR(NOT(ISNUMBER(E4983)),NOT(ISNUMBER(F4983))),"",MAX(0,E4983)*F4983))</f>
        <v/>
      </c>
      <c r="I4983" s="46" t="str">
        <f aca="false">IF($A4983="","",SUMIF($A$2:$A$5001,$A4983,$H$2:$H$5001))</f>
        <v/>
      </c>
      <c r="J4983" s="47" t="n">
        <f aca="false">IF($A4983="",0,IF(COUNTIF($A$2:A4983,$A4983)=1,1,0))</f>
        <v>0</v>
      </c>
      <c r="K4983" s="47" t="n">
        <f aca="false">IF(J4983=1,N(I4983)+ROW()/10000000,0)</f>
        <v>0</v>
      </c>
      <c r="L4983" s="47" t="str">
        <f aca="false">IF(AND(J4983=1,N(I4983)&gt;0),SUMIF($K$2:$K$5001,"&gt;="&amp;K4983,$I$2:$I$5001)/MAX(1,SUM($H$2:$H$5001)),"")</f>
        <v/>
      </c>
      <c r="M4983" s="47" t="str">
        <f aca="false">IF($A4983="","",INDEX($L$2:$L$5001,MATCH($A4983,$A$2:$A$5001,0)))</f>
        <v/>
      </c>
      <c r="N4983" s="48" t="str">
        <f aca="false">IF($A4983="","",IF(N(M4983)=0,"–",IF(M4983&lt;=Start!$D$20,"A",IF(M4983&lt;=Start!$D$21,"B","C"))))</f>
        <v/>
      </c>
      <c r="O4983" s="48" t="str">
        <f aca="false">IF($A4983="","",IF(NOT(ISNUMBER(F4983)),"Wert fehlt; ",IF(F4983&lt;=0,"Wert ist 0; ",""))&amp;IF(NOT(ISNUMBER(E4983)),"Bestand fehlt; ",IF(E4983&lt;0,"Bestand negativ; ",IF(E4983=0,"Nullbestand; ","")))&amp;IF(D4983="","Warengruppe fehlt; ","")&amp;IF(B4983="","Bezeichnung fehlt; ","")&amp;IF(COUNTIFS($A$2:$A$5001,$A4983,$C$2:$C$5001,C4983)&gt;1,"Artikel doppelt im selben Lager; ",""))</f>
        <v/>
      </c>
      <c r="P4983" s="47" t="n">
        <f aca="false">IF(OR($A4983="",D4983=""),0,IF(COUNTIF($D$2:D4983,D4983)=1,SUMIF($D$2:$D$5001,D4983,$H$2:$H$5001)+ROW()/10000000,0))</f>
        <v>0</v>
      </c>
      <c r="Q4983" s="47" t="n">
        <f aca="false">IF(OR($A4983="",C4983=""),0,IF(COUNTIF($C$2:C4983,C4983)=1,SUMIF($C$2:$C$5001,C4983,$H$2:$H$5001)+ROW()/10000000,0))</f>
        <v>0</v>
      </c>
    </row>
    <row r="4984" customFormat="false" ht="15" hidden="false" customHeight="false" outlineLevel="0" collapsed="false">
      <c r="A4984" s="43"/>
      <c r="B4984" s="44"/>
      <c r="C4984" s="44"/>
      <c r="D4984" s="44"/>
      <c r="E4984" s="44"/>
      <c r="F4984" s="44"/>
      <c r="G4984" s="44"/>
      <c r="H4984" s="46" t="str">
        <f aca="false">IF($A4984="","",IF(OR(NOT(ISNUMBER(E4984)),NOT(ISNUMBER(F4984))),"",MAX(0,E4984)*F4984))</f>
        <v/>
      </c>
      <c r="I4984" s="46" t="str">
        <f aca="false">IF($A4984="","",SUMIF($A$2:$A$5001,$A4984,$H$2:$H$5001))</f>
        <v/>
      </c>
      <c r="J4984" s="47" t="n">
        <f aca="false">IF($A4984="",0,IF(COUNTIF($A$2:A4984,$A4984)=1,1,0))</f>
        <v>0</v>
      </c>
      <c r="K4984" s="47" t="n">
        <f aca="false">IF(J4984=1,N(I4984)+ROW()/10000000,0)</f>
        <v>0</v>
      </c>
      <c r="L4984" s="47" t="str">
        <f aca="false">IF(AND(J4984=1,N(I4984)&gt;0),SUMIF($K$2:$K$5001,"&gt;="&amp;K4984,$I$2:$I$5001)/MAX(1,SUM($H$2:$H$5001)),"")</f>
        <v/>
      </c>
      <c r="M4984" s="47" t="str">
        <f aca="false">IF($A4984="","",INDEX($L$2:$L$5001,MATCH($A4984,$A$2:$A$5001,0)))</f>
        <v/>
      </c>
      <c r="N4984" s="48" t="str">
        <f aca="false">IF($A4984="","",IF(N(M4984)=0,"–",IF(M4984&lt;=Start!$D$20,"A",IF(M4984&lt;=Start!$D$21,"B","C"))))</f>
        <v/>
      </c>
      <c r="O4984" s="48" t="str">
        <f aca="false">IF($A4984="","",IF(NOT(ISNUMBER(F4984)),"Wert fehlt; ",IF(F4984&lt;=0,"Wert ist 0; ",""))&amp;IF(NOT(ISNUMBER(E4984)),"Bestand fehlt; ",IF(E4984&lt;0,"Bestand negativ; ",IF(E4984=0,"Nullbestand; ","")))&amp;IF(D4984="","Warengruppe fehlt; ","")&amp;IF(B4984="","Bezeichnung fehlt; ","")&amp;IF(COUNTIFS($A$2:$A$5001,$A4984,$C$2:$C$5001,C4984)&gt;1,"Artikel doppelt im selben Lager; ",""))</f>
        <v/>
      </c>
      <c r="P4984" s="47" t="n">
        <f aca="false">IF(OR($A4984="",D4984=""),0,IF(COUNTIF($D$2:D4984,D4984)=1,SUMIF($D$2:$D$5001,D4984,$H$2:$H$5001)+ROW()/10000000,0))</f>
        <v>0</v>
      </c>
      <c r="Q4984" s="47" t="n">
        <f aca="false">IF(OR($A4984="",C4984=""),0,IF(COUNTIF($C$2:C4984,C4984)=1,SUMIF($C$2:$C$5001,C4984,$H$2:$H$5001)+ROW()/10000000,0))</f>
        <v>0</v>
      </c>
    </row>
    <row r="4985" customFormat="false" ht="15" hidden="false" customHeight="false" outlineLevel="0" collapsed="false">
      <c r="A4985" s="43"/>
      <c r="B4985" s="44"/>
      <c r="C4985" s="44"/>
      <c r="D4985" s="44"/>
      <c r="E4985" s="44"/>
      <c r="F4985" s="44"/>
      <c r="G4985" s="44"/>
      <c r="H4985" s="46" t="str">
        <f aca="false">IF($A4985="","",IF(OR(NOT(ISNUMBER(E4985)),NOT(ISNUMBER(F4985))),"",MAX(0,E4985)*F4985))</f>
        <v/>
      </c>
      <c r="I4985" s="46" t="str">
        <f aca="false">IF($A4985="","",SUMIF($A$2:$A$5001,$A4985,$H$2:$H$5001))</f>
        <v/>
      </c>
      <c r="J4985" s="47" t="n">
        <f aca="false">IF($A4985="",0,IF(COUNTIF($A$2:A4985,$A4985)=1,1,0))</f>
        <v>0</v>
      </c>
      <c r="K4985" s="47" t="n">
        <f aca="false">IF(J4985=1,N(I4985)+ROW()/10000000,0)</f>
        <v>0</v>
      </c>
      <c r="L4985" s="47" t="str">
        <f aca="false">IF(AND(J4985=1,N(I4985)&gt;0),SUMIF($K$2:$K$5001,"&gt;="&amp;K4985,$I$2:$I$5001)/MAX(1,SUM($H$2:$H$5001)),"")</f>
        <v/>
      </c>
      <c r="M4985" s="47" t="str">
        <f aca="false">IF($A4985="","",INDEX($L$2:$L$5001,MATCH($A4985,$A$2:$A$5001,0)))</f>
        <v/>
      </c>
      <c r="N4985" s="48" t="str">
        <f aca="false">IF($A4985="","",IF(N(M4985)=0,"–",IF(M4985&lt;=Start!$D$20,"A",IF(M4985&lt;=Start!$D$21,"B","C"))))</f>
        <v/>
      </c>
      <c r="O4985" s="48" t="str">
        <f aca="false">IF($A4985="","",IF(NOT(ISNUMBER(F4985)),"Wert fehlt; ",IF(F4985&lt;=0,"Wert ist 0; ",""))&amp;IF(NOT(ISNUMBER(E4985)),"Bestand fehlt; ",IF(E4985&lt;0,"Bestand negativ; ",IF(E4985=0,"Nullbestand; ","")))&amp;IF(D4985="","Warengruppe fehlt; ","")&amp;IF(B4985="","Bezeichnung fehlt; ","")&amp;IF(COUNTIFS($A$2:$A$5001,$A4985,$C$2:$C$5001,C4985)&gt;1,"Artikel doppelt im selben Lager; ",""))</f>
        <v/>
      </c>
      <c r="P4985" s="47" t="n">
        <f aca="false">IF(OR($A4985="",D4985=""),0,IF(COUNTIF($D$2:D4985,D4985)=1,SUMIF($D$2:$D$5001,D4985,$H$2:$H$5001)+ROW()/10000000,0))</f>
        <v>0</v>
      </c>
      <c r="Q4985" s="47" t="n">
        <f aca="false">IF(OR($A4985="",C4985=""),0,IF(COUNTIF($C$2:C4985,C4985)=1,SUMIF($C$2:$C$5001,C4985,$H$2:$H$5001)+ROW()/10000000,0))</f>
        <v>0</v>
      </c>
    </row>
    <row r="4986" customFormat="false" ht="15" hidden="false" customHeight="false" outlineLevel="0" collapsed="false">
      <c r="A4986" s="43"/>
      <c r="B4986" s="44"/>
      <c r="C4986" s="44"/>
      <c r="D4986" s="44"/>
      <c r="E4986" s="44"/>
      <c r="F4986" s="44"/>
      <c r="G4986" s="44"/>
      <c r="H4986" s="46" t="str">
        <f aca="false">IF($A4986="","",IF(OR(NOT(ISNUMBER(E4986)),NOT(ISNUMBER(F4986))),"",MAX(0,E4986)*F4986))</f>
        <v/>
      </c>
      <c r="I4986" s="46" t="str">
        <f aca="false">IF($A4986="","",SUMIF($A$2:$A$5001,$A4986,$H$2:$H$5001))</f>
        <v/>
      </c>
      <c r="J4986" s="47" t="n">
        <f aca="false">IF($A4986="",0,IF(COUNTIF($A$2:A4986,$A4986)=1,1,0))</f>
        <v>0</v>
      </c>
      <c r="K4986" s="47" t="n">
        <f aca="false">IF(J4986=1,N(I4986)+ROW()/10000000,0)</f>
        <v>0</v>
      </c>
      <c r="L4986" s="47" t="str">
        <f aca="false">IF(AND(J4986=1,N(I4986)&gt;0),SUMIF($K$2:$K$5001,"&gt;="&amp;K4986,$I$2:$I$5001)/MAX(1,SUM($H$2:$H$5001)),"")</f>
        <v/>
      </c>
      <c r="M4986" s="47" t="str">
        <f aca="false">IF($A4986="","",INDEX($L$2:$L$5001,MATCH($A4986,$A$2:$A$5001,0)))</f>
        <v/>
      </c>
      <c r="N4986" s="48" t="str">
        <f aca="false">IF($A4986="","",IF(N(M4986)=0,"–",IF(M4986&lt;=Start!$D$20,"A",IF(M4986&lt;=Start!$D$21,"B","C"))))</f>
        <v/>
      </c>
      <c r="O4986" s="48" t="str">
        <f aca="false">IF($A4986="","",IF(NOT(ISNUMBER(F4986)),"Wert fehlt; ",IF(F4986&lt;=0,"Wert ist 0; ",""))&amp;IF(NOT(ISNUMBER(E4986)),"Bestand fehlt; ",IF(E4986&lt;0,"Bestand negativ; ",IF(E4986=0,"Nullbestand; ","")))&amp;IF(D4986="","Warengruppe fehlt; ","")&amp;IF(B4986="","Bezeichnung fehlt; ","")&amp;IF(COUNTIFS($A$2:$A$5001,$A4986,$C$2:$C$5001,C4986)&gt;1,"Artikel doppelt im selben Lager; ",""))</f>
        <v/>
      </c>
      <c r="P4986" s="47" t="n">
        <f aca="false">IF(OR($A4986="",D4986=""),0,IF(COUNTIF($D$2:D4986,D4986)=1,SUMIF($D$2:$D$5001,D4986,$H$2:$H$5001)+ROW()/10000000,0))</f>
        <v>0</v>
      </c>
      <c r="Q4986" s="47" t="n">
        <f aca="false">IF(OR($A4986="",C4986=""),0,IF(COUNTIF($C$2:C4986,C4986)=1,SUMIF($C$2:$C$5001,C4986,$H$2:$H$5001)+ROW()/10000000,0))</f>
        <v>0</v>
      </c>
    </row>
    <row r="4987" customFormat="false" ht="15" hidden="false" customHeight="false" outlineLevel="0" collapsed="false">
      <c r="A4987" s="43"/>
      <c r="B4987" s="44"/>
      <c r="C4987" s="44"/>
      <c r="D4987" s="44"/>
      <c r="E4987" s="44"/>
      <c r="F4987" s="44"/>
      <c r="G4987" s="44"/>
      <c r="H4987" s="46" t="str">
        <f aca="false">IF($A4987="","",IF(OR(NOT(ISNUMBER(E4987)),NOT(ISNUMBER(F4987))),"",MAX(0,E4987)*F4987))</f>
        <v/>
      </c>
      <c r="I4987" s="46" t="str">
        <f aca="false">IF($A4987="","",SUMIF($A$2:$A$5001,$A4987,$H$2:$H$5001))</f>
        <v/>
      </c>
      <c r="J4987" s="47" t="n">
        <f aca="false">IF($A4987="",0,IF(COUNTIF($A$2:A4987,$A4987)=1,1,0))</f>
        <v>0</v>
      </c>
      <c r="K4987" s="47" t="n">
        <f aca="false">IF(J4987=1,N(I4987)+ROW()/10000000,0)</f>
        <v>0</v>
      </c>
      <c r="L4987" s="47" t="str">
        <f aca="false">IF(AND(J4987=1,N(I4987)&gt;0),SUMIF($K$2:$K$5001,"&gt;="&amp;K4987,$I$2:$I$5001)/MAX(1,SUM($H$2:$H$5001)),"")</f>
        <v/>
      </c>
      <c r="M4987" s="47" t="str">
        <f aca="false">IF($A4987="","",INDEX($L$2:$L$5001,MATCH($A4987,$A$2:$A$5001,0)))</f>
        <v/>
      </c>
      <c r="N4987" s="48" t="str">
        <f aca="false">IF($A4987="","",IF(N(M4987)=0,"–",IF(M4987&lt;=Start!$D$20,"A",IF(M4987&lt;=Start!$D$21,"B","C"))))</f>
        <v/>
      </c>
      <c r="O4987" s="48" t="str">
        <f aca="false">IF($A4987="","",IF(NOT(ISNUMBER(F4987)),"Wert fehlt; ",IF(F4987&lt;=0,"Wert ist 0; ",""))&amp;IF(NOT(ISNUMBER(E4987)),"Bestand fehlt; ",IF(E4987&lt;0,"Bestand negativ; ",IF(E4987=0,"Nullbestand; ","")))&amp;IF(D4987="","Warengruppe fehlt; ","")&amp;IF(B4987="","Bezeichnung fehlt; ","")&amp;IF(COUNTIFS($A$2:$A$5001,$A4987,$C$2:$C$5001,C4987)&gt;1,"Artikel doppelt im selben Lager; ",""))</f>
        <v/>
      </c>
      <c r="P4987" s="47" t="n">
        <f aca="false">IF(OR($A4987="",D4987=""),0,IF(COUNTIF($D$2:D4987,D4987)=1,SUMIF($D$2:$D$5001,D4987,$H$2:$H$5001)+ROW()/10000000,0))</f>
        <v>0</v>
      </c>
      <c r="Q4987" s="47" t="n">
        <f aca="false">IF(OR($A4987="",C4987=""),0,IF(COUNTIF($C$2:C4987,C4987)=1,SUMIF($C$2:$C$5001,C4987,$H$2:$H$5001)+ROW()/10000000,0))</f>
        <v>0</v>
      </c>
    </row>
    <row r="4988" customFormat="false" ht="15" hidden="false" customHeight="false" outlineLevel="0" collapsed="false">
      <c r="A4988" s="43"/>
      <c r="B4988" s="44"/>
      <c r="C4988" s="44"/>
      <c r="D4988" s="44"/>
      <c r="E4988" s="44"/>
      <c r="F4988" s="44"/>
      <c r="G4988" s="44"/>
      <c r="H4988" s="46" t="str">
        <f aca="false">IF($A4988="","",IF(OR(NOT(ISNUMBER(E4988)),NOT(ISNUMBER(F4988))),"",MAX(0,E4988)*F4988))</f>
        <v/>
      </c>
      <c r="I4988" s="46" t="str">
        <f aca="false">IF($A4988="","",SUMIF($A$2:$A$5001,$A4988,$H$2:$H$5001))</f>
        <v/>
      </c>
      <c r="J4988" s="47" t="n">
        <f aca="false">IF($A4988="",0,IF(COUNTIF($A$2:A4988,$A4988)=1,1,0))</f>
        <v>0</v>
      </c>
      <c r="K4988" s="47" t="n">
        <f aca="false">IF(J4988=1,N(I4988)+ROW()/10000000,0)</f>
        <v>0</v>
      </c>
      <c r="L4988" s="47" t="str">
        <f aca="false">IF(AND(J4988=1,N(I4988)&gt;0),SUMIF($K$2:$K$5001,"&gt;="&amp;K4988,$I$2:$I$5001)/MAX(1,SUM($H$2:$H$5001)),"")</f>
        <v/>
      </c>
      <c r="M4988" s="47" t="str">
        <f aca="false">IF($A4988="","",INDEX($L$2:$L$5001,MATCH($A4988,$A$2:$A$5001,0)))</f>
        <v/>
      </c>
      <c r="N4988" s="48" t="str">
        <f aca="false">IF($A4988="","",IF(N(M4988)=0,"–",IF(M4988&lt;=Start!$D$20,"A",IF(M4988&lt;=Start!$D$21,"B","C"))))</f>
        <v/>
      </c>
      <c r="O4988" s="48" t="str">
        <f aca="false">IF($A4988="","",IF(NOT(ISNUMBER(F4988)),"Wert fehlt; ",IF(F4988&lt;=0,"Wert ist 0; ",""))&amp;IF(NOT(ISNUMBER(E4988)),"Bestand fehlt; ",IF(E4988&lt;0,"Bestand negativ; ",IF(E4988=0,"Nullbestand; ","")))&amp;IF(D4988="","Warengruppe fehlt; ","")&amp;IF(B4988="","Bezeichnung fehlt; ","")&amp;IF(COUNTIFS($A$2:$A$5001,$A4988,$C$2:$C$5001,C4988)&gt;1,"Artikel doppelt im selben Lager; ",""))</f>
        <v/>
      </c>
      <c r="P4988" s="47" t="n">
        <f aca="false">IF(OR($A4988="",D4988=""),0,IF(COUNTIF($D$2:D4988,D4988)=1,SUMIF($D$2:$D$5001,D4988,$H$2:$H$5001)+ROW()/10000000,0))</f>
        <v>0</v>
      </c>
      <c r="Q4988" s="47" t="n">
        <f aca="false">IF(OR($A4988="",C4988=""),0,IF(COUNTIF($C$2:C4988,C4988)=1,SUMIF($C$2:$C$5001,C4988,$H$2:$H$5001)+ROW()/10000000,0))</f>
        <v>0</v>
      </c>
    </row>
    <row r="4989" customFormat="false" ht="15" hidden="false" customHeight="false" outlineLevel="0" collapsed="false">
      <c r="A4989" s="43"/>
      <c r="B4989" s="44"/>
      <c r="C4989" s="44"/>
      <c r="D4989" s="44"/>
      <c r="E4989" s="44"/>
      <c r="F4989" s="44"/>
      <c r="G4989" s="44"/>
      <c r="H4989" s="46" t="str">
        <f aca="false">IF($A4989="","",IF(OR(NOT(ISNUMBER(E4989)),NOT(ISNUMBER(F4989))),"",MAX(0,E4989)*F4989))</f>
        <v/>
      </c>
      <c r="I4989" s="46" t="str">
        <f aca="false">IF($A4989="","",SUMIF($A$2:$A$5001,$A4989,$H$2:$H$5001))</f>
        <v/>
      </c>
      <c r="J4989" s="47" t="n">
        <f aca="false">IF($A4989="",0,IF(COUNTIF($A$2:A4989,$A4989)=1,1,0))</f>
        <v>0</v>
      </c>
      <c r="K4989" s="47" t="n">
        <f aca="false">IF(J4989=1,N(I4989)+ROW()/10000000,0)</f>
        <v>0</v>
      </c>
      <c r="L4989" s="47" t="str">
        <f aca="false">IF(AND(J4989=1,N(I4989)&gt;0),SUMIF($K$2:$K$5001,"&gt;="&amp;K4989,$I$2:$I$5001)/MAX(1,SUM($H$2:$H$5001)),"")</f>
        <v/>
      </c>
      <c r="M4989" s="47" t="str">
        <f aca="false">IF($A4989="","",INDEX($L$2:$L$5001,MATCH($A4989,$A$2:$A$5001,0)))</f>
        <v/>
      </c>
      <c r="N4989" s="48" t="str">
        <f aca="false">IF($A4989="","",IF(N(M4989)=0,"–",IF(M4989&lt;=Start!$D$20,"A",IF(M4989&lt;=Start!$D$21,"B","C"))))</f>
        <v/>
      </c>
      <c r="O4989" s="48" t="str">
        <f aca="false">IF($A4989="","",IF(NOT(ISNUMBER(F4989)),"Wert fehlt; ",IF(F4989&lt;=0,"Wert ist 0; ",""))&amp;IF(NOT(ISNUMBER(E4989)),"Bestand fehlt; ",IF(E4989&lt;0,"Bestand negativ; ",IF(E4989=0,"Nullbestand; ","")))&amp;IF(D4989="","Warengruppe fehlt; ","")&amp;IF(B4989="","Bezeichnung fehlt; ","")&amp;IF(COUNTIFS($A$2:$A$5001,$A4989,$C$2:$C$5001,C4989)&gt;1,"Artikel doppelt im selben Lager; ",""))</f>
        <v/>
      </c>
      <c r="P4989" s="47" t="n">
        <f aca="false">IF(OR($A4989="",D4989=""),0,IF(COUNTIF($D$2:D4989,D4989)=1,SUMIF($D$2:$D$5001,D4989,$H$2:$H$5001)+ROW()/10000000,0))</f>
        <v>0</v>
      </c>
      <c r="Q4989" s="47" t="n">
        <f aca="false">IF(OR($A4989="",C4989=""),0,IF(COUNTIF($C$2:C4989,C4989)=1,SUMIF($C$2:$C$5001,C4989,$H$2:$H$5001)+ROW()/10000000,0))</f>
        <v>0</v>
      </c>
    </row>
    <row r="4990" customFormat="false" ht="15" hidden="false" customHeight="false" outlineLevel="0" collapsed="false">
      <c r="A4990" s="43"/>
      <c r="B4990" s="44"/>
      <c r="C4990" s="44"/>
      <c r="D4990" s="44"/>
      <c r="E4990" s="44"/>
      <c r="F4990" s="44"/>
      <c r="G4990" s="44"/>
      <c r="H4990" s="46" t="str">
        <f aca="false">IF($A4990="","",IF(OR(NOT(ISNUMBER(E4990)),NOT(ISNUMBER(F4990))),"",MAX(0,E4990)*F4990))</f>
        <v/>
      </c>
      <c r="I4990" s="46" t="str">
        <f aca="false">IF($A4990="","",SUMIF($A$2:$A$5001,$A4990,$H$2:$H$5001))</f>
        <v/>
      </c>
      <c r="J4990" s="47" t="n">
        <f aca="false">IF($A4990="",0,IF(COUNTIF($A$2:A4990,$A4990)=1,1,0))</f>
        <v>0</v>
      </c>
      <c r="K4990" s="47" t="n">
        <f aca="false">IF(J4990=1,N(I4990)+ROW()/10000000,0)</f>
        <v>0</v>
      </c>
      <c r="L4990" s="47" t="str">
        <f aca="false">IF(AND(J4990=1,N(I4990)&gt;0),SUMIF($K$2:$K$5001,"&gt;="&amp;K4990,$I$2:$I$5001)/MAX(1,SUM($H$2:$H$5001)),"")</f>
        <v/>
      </c>
      <c r="M4990" s="47" t="str">
        <f aca="false">IF($A4990="","",INDEX($L$2:$L$5001,MATCH($A4990,$A$2:$A$5001,0)))</f>
        <v/>
      </c>
      <c r="N4990" s="48" t="str">
        <f aca="false">IF($A4990="","",IF(N(M4990)=0,"–",IF(M4990&lt;=Start!$D$20,"A",IF(M4990&lt;=Start!$D$21,"B","C"))))</f>
        <v/>
      </c>
      <c r="O4990" s="48" t="str">
        <f aca="false">IF($A4990="","",IF(NOT(ISNUMBER(F4990)),"Wert fehlt; ",IF(F4990&lt;=0,"Wert ist 0; ",""))&amp;IF(NOT(ISNUMBER(E4990)),"Bestand fehlt; ",IF(E4990&lt;0,"Bestand negativ; ",IF(E4990=0,"Nullbestand; ","")))&amp;IF(D4990="","Warengruppe fehlt; ","")&amp;IF(B4990="","Bezeichnung fehlt; ","")&amp;IF(COUNTIFS($A$2:$A$5001,$A4990,$C$2:$C$5001,C4990)&gt;1,"Artikel doppelt im selben Lager; ",""))</f>
        <v/>
      </c>
      <c r="P4990" s="47" t="n">
        <f aca="false">IF(OR($A4990="",D4990=""),0,IF(COUNTIF($D$2:D4990,D4990)=1,SUMIF($D$2:$D$5001,D4990,$H$2:$H$5001)+ROW()/10000000,0))</f>
        <v>0</v>
      </c>
      <c r="Q4990" s="47" t="n">
        <f aca="false">IF(OR($A4990="",C4990=""),0,IF(COUNTIF($C$2:C4990,C4990)=1,SUMIF($C$2:$C$5001,C4990,$H$2:$H$5001)+ROW()/10000000,0))</f>
        <v>0</v>
      </c>
    </row>
    <row r="4991" customFormat="false" ht="15" hidden="false" customHeight="false" outlineLevel="0" collapsed="false">
      <c r="A4991" s="43"/>
      <c r="B4991" s="44"/>
      <c r="C4991" s="44"/>
      <c r="D4991" s="44"/>
      <c r="E4991" s="44"/>
      <c r="F4991" s="44"/>
      <c r="G4991" s="44"/>
      <c r="H4991" s="46" t="str">
        <f aca="false">IF($A4991="","",IF(OR(NOT(ISNUMBER(E4991)),NOT(ISNUMBER(F4991))),"",MAX(0,E4991)*F4991))</f>
        <v/>
      </c>
      <c r="I4991" s="46" t="str">
        <f aca="false">IF($A4991="","",SUMIF($A$2:$A$5001,$A4991,$H$2:$H$5001))</f>
        <v/>
      </c>
      <c r="J4991" s="47" t="n">
        <f aca="false">IF($A4991="",0,IF(COUNTIF($A$2:A4991,$A4991)=1,1,0))</f>
        <v>0</v>
      </c>
      <c r="K4991" s="47" t="n">
        <f aca="false">IF(J4991=1,N(I4991)+ROW()/10000000,0)</f>
        <v>0</v>
      </c>
      <c r="L4991" s="47" t="str">
        <f aca="false">IF(AND(J4991=1,N(I4991)&gt;0),SUMIF($K$2:$K$5001,"&gt;="&amp;K4991,$I$2:$I$5001)/MAX(1,SUM($H$2:$H$5001)),"")</f>
        <v/>
      </c>
      <c r="M4991" s="47" t="str">
        <f aca="false">IF($A4991="","",INDEX($L$2:$L$5001,MATCH($A4991,$A$2:$A$5001,0)))</f>
        <v/>
      </c>
      <c r="N4991" s="48" t="str">
        <f aca="false">IF($A4991="","",IF(N(M4991)=0,"–",IF(M4991&lt;=Start!$D$20,"A",IF(M4991&lt;=Start!$D$21,"B","C"))))</f>
        <v/>
      </c>
      <c r="O4991" s="48" t="str">
        <f aca="false">IF($A4991="","",IF(NOT(ISNUMBER(F4991)),"Wert fehlt; ",IF(F4991&lt;=0,"Wert ist 0; ",""))&amp;IF(NOT(ISNUMBER(E4991)),"Bestand fehlt; ",IF(E4991&lt;0,"Bestand negativ; ",IF(E4991=0,"Nullbestand; ","")))&amp;IF(D4991="","Warengruppe fehlt; ","")&amp;IF(B4991="","Bezeichnung fehlt; ","")&amp;IF(COUNTIFS($A$2:$A$5001,$A4991,$C$2:$C$5001,C4991)&gt;1,"Artikel doppelt im selben Lager; ",""))</f>
        <v/>
      </c>
      <c r="P4991" s="47" t="n">
        <f aca="false">IF(OR($A4991="",D4991=""),0,IF(COUNTIF($D$2:D4991,D4991)=1,SUMIF($D$2:$D$5001,D4991,$H$2:$H$5001)+ROW()/10000000,0))</f>
        <v>0</v>
      </c>
      <c r="Q4991" s="47" t="n">
        <f aca="false">IF(OR($A4991="",C4991=""),0,IF(COUNTIF($C$2:C4991,C4991)=1,SUMIF($C$2:$C$5001,C4991,$H$2:$H$5001)+ROW()/10000000,0))</f>
        <v>0</v>
      </c>
    </row>
    <row r="4992" customFormat="false" ht="15" hidden="false" customHeight="false" outlineLevel="0" collapsed="false">
      <c r="A4992" s="43"/>
      <c r="B4992" s="44"/>
      <c r="C4992" s="44"/>
      <c r="D4992" s="44"/>
      <c r="E4992" s="44"/>
      <c r="F4992" s="44"/>
      <c r="G4992" s="44"/>
      <c r="H4992" s="46" t="str">
        <f aca="false">IF($A4992="","",IF(OR(NOT(ISNUMBER(E4992)),NOT(ISNUMBER(F4992))),"",MAX(0,E4992)*F4992))</f>
        <v/>
      </c>
      <c r="I4992" s="46" t="str">
        <f aca="false">IF($A4992="","",SUMIF($A$2:$A$5001,$A4992,$H$2:$H$5001))</f>
        <v/>
      </c>
      <c r="J4992" s="47" t="n">
        <f aca="false">IF($A4992="",0,IF(COUNTIF($A$2:A4992,$A4992)=1,1,0))</f>
        <v>0</v>
      </c>
      <c r="K4992" s="47" t="n">
        <f aca="false">IF(J4992=1,N(I4992)+ROW()/10000000,0)</f>
        <v>0</v>
      </c>
      <c r="L4992" s="47" t="str">
        <f aca="false">IF(AND(J4992=1,N(I4992)&gt;0),SUMIF($K$2:$K$5001,"&gt;="&amp;K4992,$I$2:$I$5001)/MAX(1,SUM($H$2:$H$5001)),"")</f>
        <v/>
      </c>
      <c r="M4992" s="47" t="str">
        <f aca="false">IF($A4992="","",INDEX($L$2:$L$5001,MATCH($A4992,$A$2:$A$5001,0)))</f>
        <v/>
      </c>
      <c r="N4992" s="48" t="str">
        <f aca="false">IF($A4992="","",IF(N(M4992)=0,"–",IF(M4992&lt;=Start!$D$20,"A",IF(M4992&lt;=Start!$D$21,"B","C"))))</f>
        <v/>
      </c>
      <c r="O4992" s="48" t="str">
        <f aca="false">IF($A4992="","",IF(NOT(ISNUMBER(F4992)),"Wert fehlt; ",IF(F4992&lt;=0,"Wert ist 0; ",""))&amp;IF(NOT(ISNUMBER(E4992)),"Bestand fehlt; ",IF(E4992&lt;0,"Bestand negativ; ",IF(E4992=0,"Nullbestand; ","")))&amp;IF(D4992="","Warengruppe fehlt; ","")&amp;IF(B4992="","Bezeichnung fehlt; ","")&amp;IF(COUNTIFS($A$2:$A$5001,$A4992,$C$2:$C$5001,C4992)&gt;1,"Artikel doppelt im selben Lager; ",""))</f>
        <v/>
      </c>
      <c r="P4992" s="47" t="n">
        <f aca="false">IF(OR($A4992="",D4992=""),0,IF(COUNTIF($D$2:D4992,D4992)=1,SUMIF($D$2:$D$5001,D4992,$H$2:$H$5001)+ROW()/10000000,0))</f>
        <v>0</v>
      </c>
      <c r="Q4992" s="47" t="n">
        <f aca="false">IF(OR($A4992="",C4992=""),0,IF(COUNTIF($C$2:C4992,C4992)=1,SUMIF($C$2:$C$5001,C4992,$H$2:$H$5001)+ROW()/10000000,0))</f>
        <v>0</v>
      </c>
    </row>
    <row r="4993" customFormat="false" ht="15" hidden="false" customHeight="false" outlineLevel="0" collapsed="false">
      <c r="A4993" s="43"/>
      <c r="B4993" s="44"/>
      <c r="C4993" s="44"/>
      <c r="D4993" s="44"/>
      <c r="E4993" s="44"/>
      <c r="F4993" s="44"/>
      <c r="G4993" s="44"/>
      <c r="H4993" s="46" t="str">
        <f aca="false">IF($A4993="","",IF(OR(NOT(ISNUMBER(E4993)),NOT(ISNUMBER(F4993))),"",MAX(0,E4993)*F4993))</f>
        <v/>
      </c>
      <c r="I4993" s="46" t="str">
        <f aca="false">IF($A4993="","",SUMIF($A$2:$A$5001,$A4993,$H$2:$H$5001))</f>
        <v/>
      </c>
      <c r="J4993" s="47" t="n">
        <f aca="false">IF($A4993="",0,IF(COUNTIF($A$2:A4993,$A4993)=1,1,0))</f>
        <v>0</v>
      </c>
      <c r="K4993" s="47" t="n">
        <f aca="false">IF(J4993=1,N(I4993)+ROW()/10000000,0)</f>
        <v>0</v>
      </c>
      <c r="L4993" s="47" t="str">
        <f aca="false">IF(AND(J4993=1,N(I4993)&gt;0),SUMIF($K$2:$K$5001,"&gt;="&amp;K4993,$I$2:$I$5001)/MAX(1,SUM($H$2:$H$5001)),"")</f>
        <v/>
      </c>
      <c r="M4993" s="47" t="str">
        <f aca="false">IF($A4993="","",INDEX($L$2:$L$5001,MATCH($A4993,$A$2:$A$5001,0)))</f>
        <v/>
      </c>
      <c r="N4993" s="48" t="str">
        <f aca="false">IF($A4993="","",IF(N(M4993)=0,"–",IF(M4993&lt;=Start!$D$20,"A",IF(M4993&lt;=Start!$D$21,"B","C"))))</f>
        <v/>
      </c>
      <c r="O4993" s="48" t="str">
        <f aca="false">IF($A4993="","",IF(NOT(ISNUMBER(F4993)),"Wert fehlt; ",IF(F4993&lt;=0,"Wert ist 0; ",""))&amp;IF(NOT(ISNUMBER(E4993)),"Bestand fehlt; ",IF(E4993&lt;0,"Bestand negativ; ",IF(E4993=0,"Nullbestand; ","")))&amp;IF(D4993="","Warengruppe fehlt; ","")&amp;IF(B4993="","Bezeichnung fehlt; ","")&amp;IF(COUNTIFS($A$2:$A$5001,$A4993,$C$2:$C$5001,C4993)&gt;1,"Artikel doppelt im selben Lager; ",""))</f>
        <v/>
      </c>
      <c r="P4993" s="47" t="n">
        <f aca="false">IF(OR($A4993="",D4993=""),0,IF(COUNTIF($D$2:D4993,D4993)=1,SUMIF($D$2:$D$5001,D4993,$H$2:$H$5001)+ROW()/10000000,0))</f>
        <v>0</v>
      </c>
      <c r="Q4993" s="47" t="n">
        <f aca="false">IF(OR($A4993="",C4993=""),0,IF(COUNTIF($C$2:C4993,C4993)=1,SUMIF($C$2:$C$5001,C4993,$H$2:$H$5001)+ROW()/10000000,0))</f>
        <v>0</v>
      </c>
    </row>
    <row r="4994" customFormat="false" ht="15" hidden="false" customHeight="false" outlineLevel="0" collapsed="false">
      <c r="A4994" s="43"/>
      <c r="B4994" s="44"/>
      <c r="C4994" s="44"/>
      <c r="D4994" s="44"/>
      <c r="E4994" s="44"/>
      <c r="F4994" s="44"/>
      <c r="G4994" s="44"/>
      <c r="H4994" s="46" t="str">
        <f aca="false">IF($A4994="","",IF(OR(NOT(ISNUMBER(E4994)),NOT(ISNUMBER(F4994))),"",MAX(0,E4994)*F4994))</f>
        <v/>
      </c>
      <c r="I4994" s="46" t="str">
        <f aca="false">IF($A4994="","",SUMIF($A$2:$A$5001,$A4994,$H$2:$H$5001))</f>
        <v/>
      </c>
      <c r="J4994" s="47" t="n">
        <f aca="false">IF($A4994="",0,IF(COUNTIF($A$2:A4994,$A4994)=1,1,0))</f>
        <v>0</v>
      </c>
      <c r="K4994" s="47" t="n">
        <f aca="false">IF(J4994=1,N(I4994)+ROW()/10000000,0)</f>
        <v>0</v>
      </c>
      <c r="L4994" s="47" t="str">
        <f aca="false">IF(AND(J4994=1,N(I4994)&gt;0),SUMIF($K$2:$K$5001,"&gt;="&amp;K4994,$I$2:$I$5001)/MAX(1,SUM($H$2:$H$5001)),"")</f>
        <v/>
      </c>
      <c r="M4994" s="47" t="str">
        <f aca="false">IF($A4994="","",INDEX($L$2:$L$5001,MATCH($A4994,$A$2:$A$5001,0)))</f>
        <v/>
      </c>
      <c r="N4994" s="48" t="str">
        <f aca="false">IF($A4994="","",IF(N(M4994)=0,"–",IF(M4994&lt;=Start!$D$20,"A",IF(M4994&lt;=Start!$D$21,"B","C"))))</f>
        <v/>
      </c>
      <c r="O4994" s="48" t="str">
        <f aca="false">IF($A4994="","",IF(NOT(ISNUMBER(F4994)),"Wert fehlt; ",IF(F4994&lt;=0,"Wert ist 0; ",""))&amp;IF(NOT(ISNUMBER(E4994)),"Bestand fehlt; ",IF(E4994&lt;0,"Bestand negativ; ",IF(E4994=0,"Nullbestand; ","")))&amp;IF(D4994="","Warengruppe fehlt; ","")&amp;IF(B4994="","Bezeichnung fehlt; ","")&amp;IF(COUNTIFS($A$2:$A$5001,$A4994,$C$2:$C$5001,C4994)&gt;1,"Artikel doppelt im selben Lager; ",""))</f>
        <v/>
      </c>
      <c r="P4994" s="47" t="n">
        <f aca="false">IF(OR($A4994="",D4994=""),0,IF(COUNTIF($D$2:D4994,D4994)=1,SUMIF($D$2:$D$5001,D4994,$H$2:$H$5001)+ROW()/10000000,0))</f>
        <v>0</v>
      </c>
      <c r="Q4994" s="47" t="n">
        <f aca="false">IF(OR($A4994="",C4994=""),0,IF(COUNTIF($C$2:C4994,C4994)=1,SUMIF($C$2:$C$5001,C4994,$H$2:$H$5001)+ROW()/10000000,0))</f>
        <v>0</v>
      </c>
    </row>
    <row r="4995" customFormat="false" ht="15" hidden="false" customHeight="false" outlineLevel="0" collapsed="false">
      <c r="A4995" s="43"/>
      <c r="B4995" s="44"/>
      <c r="C4995" s="44"/>
      <c r="D4995" s="44"/>
      <c r="E4995" s="44"/>
      <c r="F4995" s="44"/>
      <c r="G4995" s="44"/>
      <c r="H4995" s="46" t="str">
        <f aca="false">IF($A4995="","",IF(OR(NOT(ISNUMBER(E4995)),NOT(ISNUMBER(F4995))),"",MAX(0,E4995)*F4995))</f>
        <v/>
      </c>
      <c r="I4995" s="46" t="str">
        <f aca="false">IF($A4995="","",SUMIF($A$2:$A$5001,$A4995,$H$2:$H$5001))</f>
        <v/>
      </c>
      <c r="J4995" s="47" t="n">
        <f aca="false">IF($A4995="",0,IF(COUNTIF($A$2:A4995,$A4995)=1,1,0))</f>
        <v>0</v>
      </c>
      <c r="K4995" s="47" t="n">
        <f aca="false">IF(J4995=1,N(I4995)+ROW()/10000000,0)</f>
        <v>0</v>
      </c>
      <c r="L4995" s="47" t="str">
        <f aca="false">IF(AND(J4995=1,N(I4995)&gt;0),SUMIF($K$2:$K$5001,"&gt;="&amp;K4995,$I$2:$I$5001)/MAX(1,SUM($H$2:$H$5001)),"")</f>
        <v/>
      </c>
      <c r="M4995" s="47" t="str">
        <f aca="false">IF($A4995="","",INDEX($L$2:$L$5001,MATCH($A4995,$A$2:$A$5001,0)))</f>
        <v/>
      </c>
      <c r="N4995" s="48" t="str">
        <f aca="false">IF($A4995="","",IF(N(M4995)=0,"–",IF(M4995&lt;=Start!$D$20,"A",IF(M4995&lt;=Start!$D$21,"B","C"))))</f>
        <v/>
      </c>
      <c r="O4995" s="48" t="str">
        <f aca="false">IF($A4995="","",IF(NOT(ISNUMBER(F4995)),"Wert fehlt; ",IF(F4995&lt;=0,"Wert ist 0; ",""))&amp;IF(NOT(ISNUMBER(E4995)),"Bestand fehlt; ",IF(E4995&lt;0,"Bestand negativ; ",IF(E4995=0,"Nullbestand; ","")))&amp;IF(D4995="","Warengruppe fehlt; ","")&amp;IF(B4995="","Bezeichnung fehlt; ","")&amp;IF(COUNTIFS($A$2:$A$5001,$A4995,$C$2:$C$5001,C4995)&gt;1,"Artikel doppelt im selben Lager; ",""))</f>
        <v/>
      </c>
      <c r="P4995" s="47" t="n">
        <f aca="false">IF(OR($A4995="",D4995=""),0,IF(COUNTIF($D$2:D4995,D4995)=1,SUMIF($D$2:$D$5001,D4995,$H$2:$H$5001)+ROW()/10000000,0))</f>
        <v>0</v>
      </c>
      <c r="Q4995" s="47" t="n">
        <f aca="false">IF(OR($A4995="",C4995=""),0,IF(COUNTIF($C$2:C4995,C4995)=1,SUMIF($C$2:$C$5001,C4995,$H$2:$H$5001)+ROW()/10000000,0))</f>
        <v>0</v>
      </c>
    </row>
    <row r="4996" customFormat="false" ht="15" hidden="false" customHeight="false" outlineLevel="0" collapsed="false">
      <c r="A4996" s="43"/>
      <c r="B4996" s="44"/>
      <c r="C4996" s="44"/>
      <c r="D4996" s="44"/>
      <c r="E4996" s="44"/>
      <c r="F4996" s="44"/>
      <c r="G4996" s="44"/>
      <c r="H4996" s="46" t="str">
        <f aca="false">IF($A4996="","",IF(OR(NOT(ISNUMBER(E4996)),NOT(ISNUMBER(F4996))),"",MAX(0,E4996)*F4996))</f>
        <v/>
      </c>
      <c r="I4996" s="46" t="str">
        <f aca="false">IF($A4996="","",SUMIF($A$2:$A$5001,$A4996,$H$2:$H$5001))</f>
        <v/>
      </c>
      <c r="J4996" s="47" t="n">
        <f aca="false">IF($A4996="",0,IF(COUNTIF($A$2:A4996,$A4996)=1,1,0))</f>
        <v>0</v>
      </c>
      <c r="K4996" s="47" t="n">
        <f aca="false">IF(J4996=1,N(I4996)+ROW()/10000000,0)</f>
        <v>0</v>
      </c>
      <c r="L4996" s="47" t="str">
        <f aca="false">IF(AND(J4996=1,N(I4996)&gt;0),SUMIF($K$2:$K$5001,"&gt;="&amp;K4996,$I$2:$I$5001)/MAX(1,SUM($H$2:$H$5001)),"")</f>
        <v/>
      </c>
      <c r="M4996" s="47" t="str">
        <f aca="false">IF($A4996="","",INDEX($L$2:$L$5001,MATCH($A4996,$A$2:$A$5001,0)))</f>
        <v/>
      </c>
      <c r="N4996" s="48" t="str">
        <f aca="false">IF($A4996="","",IF(N(M4996)=0,"–",IF(M4996&lt;=Start!$D$20,"A",IF(M4996&lt;=Start!$D$21,"B","C"))))</f>
        <v/>
      </c>
      <c r="O4996" s="48" t="str">
        <f aca="false">IF($A4996="","",IF(NOT(ISNUMBER(F4996)),"Wert fehlt; ",IF(F4996&lt;=0,"Wert ist 0; ",""))&amp;IF(NOT(ISNUMBER(E4996)),"Bestand fehlt; ",IF(E4996&lt;0,"Bestand negativ; ",IF(E4996=0,"Nullbestand; ","")))&amp;IF(D4996="","Warengruppe fehlt; ","")&amp;IF(B4996="","Bezeichnung fehlt; ","")&amp;IF(COUNTIFS($A$2:$A$5001,$A4996,$C$2:$C$5001,C4996)&gt;1,"Artikel doppelt im selben Lager; ",""))</f>
        <v/>
      </c>
      <c r="P4996" s="47" t="n">
        <f aca="false">IF(OR($A4996="",D4996=""),0,IF(COUNTIF($D$2:D4996,D4996)=1,SUMIF($D$2:$D$5001,D4996,$H$2:$H$5001)+ROW()/10000000,0))</f>
        <v>0</v>
      </c>
      <c r="Q4996" s="47" t="n">
        <f aca="false">IF(OR($A4996="",C4996=""),0,IF(COUNTIF($C$2:C4996,C4996)=1,SUMIF($C$2:$C$5001,C4996,$H$2:$H$5001)+ROW()/10000000,0))</f>
        <v>0</v>
      </c>
    </row>
    <row r="4997" customFormat="false" ht="15" hidden="false" customHeight="false" outlineLevel="0" collapsed="false">
      <c r="A4997" s="43"/>
      <c r="B4997" s="44"/>
      <c r="C4997" s="44"/>
      <c r="D4997" s="44"/>
      <c r="E4997" s="44"/>
      <c r="F4997" s="44"/>
      <c r="G4997" s="44"/>
      <c r="H4997" s="46" t="str">
        <f aca="false">IF($A4997="","",IF(OR(NOT(ISNUMBER(E4997)),NOT(ISNUMBER(F4997))),"",MAX(0,E4997)*F4997))</f>
        <v/>
      </c>
      <c r="I4997" s="46" t="str">
        <f aca="false">IF($A4997="","",SUMIF($A$2:$A$5001,$A4997,$H$2:$H$5001))</f>
        <v/>
      </c>
      <c r="J4997" s="47" t="n">
        <f aca="false">IF($A4997="",0,IF(COUNTIF($A$2:A4997,$A4997)=1,1,0))</f>
        <v>0</v>
      </c>
      <c r="K4997" s="47" t="n">
        <f aca="false">IF(J4997=1,N(I4997)+ROW()/10000000,0)</f>
        <v>0</v>
      </c>
      <c r="L4997" s="47" t="str">
        <f aca="false">IF(AND(J4997=1,N(I4997)&gt;0),SUMIF($K$2:$K$5001,"&gt;="&amp;K4997,$I$2:$I$5001)/MAX(1,SUM($H$2:$H$5001)),"")</f>
        <v/>
      </c>
      <c r="M4997" s="47" t="str">
        <f aca="false">IF($A4997="","",INDEX($L$2:$L$5001,MATCH($A4997,$A$2:$A$5001,0)))</f>
        <v/>
      </c>
      <c r="N4997" s="48" t="str">
        <f aca="false">IF($A4997="","",IF(N(M4997)=0,"–",IF(M4997&lt;=Start!$D$20,"A",IF(M4997&lt;=Start!$D$21,"B","C"))))</f>
        <v/>
      </c>
      <c r="O4997" s="48" t="str">
        <f aca="false">IF($A4997="","",IF(NOT(ISNUMBER(F4997)),"Wert fehlt; ",IF(F4997&lt;=0,"Wert ist 0; ",""))&amp;IF(NOT(ISNUMBER(E4997)),"Bestand fehlt; ",IF(E4997&lt;0,"Bestand negativ; ",IF(E4997=0,"Nullbestand; ","")))&amp;IF(D4997="","Warengruppe fehlt; ","")&amp;IF(B4997="","Bezeichnung fehlt; ","")&amp;IF(COUNTIFS($A$2:$A$5001,$A4997,$C$2:$C$5001,C4997)&gt;1,"Artikel doppelt im selben Lager; ",""))</f>
        <v/>
      </c>
      <c r="P4997" s="47" t="n">
        <f aca="false">IF(OR($A4997="",D4997=""),0,IF(COUNTIF($D$2:D4997,D4997)=1,SUMIF($D$2:$D$5001,D4997,$H$2:$H$5001)+ROW()/10000000,0))</f>
        <v>0</v>
      </c>
      <c r="Q4997" s="47" t="n">
        <f aca="false">IF(OR($A4997="",C4997=""),0,IF(COUNTIF($C$2:C4997,C4997)=1,SUMIF($C$2:$C$5001,C4997,$H$2:$H$5001)+ROW()/10000000,0))</f>
        <v>0</v>
      </c>
    </row>
    <row r="4998" customFormat="false" ht="15" hidden="false" customHeight="false" outlineLevel="0" collapsed="false">
      <c r="A4998" s="43"/>
      <c r="B4998" s="44"/>
      <c r="C4998" s="44"/>
      <c r="D4998" s="44"/>
      <c r="E4998" s="44"/>
      <c r="F4998" s="44"/>
      <c r="G4998" s="44"/>
      <c r="H4998" s="46" t="str">
        <f aca="false">IF($A4998="","",IF(OR(NOT(ISNUMBER(E4998)),NOT(ISNUMBER(F4998))),"",MAX(0,E4998)*F4998))</f>
        <v/>
      </c>
      <c r="I4998" s="46" t="str">
        <f aca="false">IF($A4998="","",SUMIF($A$2:$A$5001,$A4998,$H$2:$H$5001))</f>
        <v/>
      </c>
      <c r="J4998" s="47" t="n">
        <f aca="false">IF($A4998="",0,IF(COUNTIF($A$2:A4998,$A4998)=1,1,0))</f>
        <v>0</v>
      </c>
      <c r="K4998" s="47" t="n">
        <f aca="false">IF(J4998=1,N(I4998)+ROW()/10000000,0)</f>
        <v>0</v>
      </c>
      <c r="L4998" s="47" t="str">
        <f aca="false">IF(AND(J4998=1,N(I4998)&gt;0),SUMIF($K$2:$K$5001,"&gt;="&amp;K4998,$I$2:$I$5001)/MAX(1,SUM($H$2:$H$5001)),"")</f>
        <v/>
      </c>
      <c r="M4998" s="47" t="str">
        <f aca="false">IF($A4998="","",INDEX($L$2:$L$5001,MATCH($A4998,$A$2:$A$5001,0)))</f>
        <v/>
      </c>
      <c r="N4998" s="48" t="str">
        <f aca="false">IF($A4998="","",IF(N(M4998)=0,"–",IF(M4998&lt;=Start!$D$20,"A",IF(M4998&lt;=Start!$D$21,"B","C"))))</f>
        <v/>
      </c>
      <c r="O4998" s="48" t="str">
        <f aca="false">IF($A4998="","",IF(NOT(ISNUMBER(F4998)),"Wert fehlt; ",IF(F4998&lt;=0,"Wert ist 0; ",""))&amp;IF(NOT(ISNUMBER(E4998)),"Bestand fehlt; ",IF(E4998&lt;0,"Bestand negativ; ",IF(E4998=0,"Nullbestand; ","")))&amp;IF(D4998="","Warengruppe fehlt; ","")&amp;IF(B4998="","Bezeichnung fehlt; ","")&amp;IF(COUNTIFS($A$2:$A$5001,$A4998,$C$2:$C$5001,C4998)&gt;1,"Artikel doppelt im selben Lager; ",""))</f>
        <v/>
      </c>
      <c r="P4998" s="47" t="n">
        <f aca="false">IF(OR($A4998="",D4998=""),0,IF(COUNTIF($D$2:D4998,D4998)=1,SUMIF($D$2:$D$5001,D4998,$H$2:$H$5001)+ROW()/10000000,0))</f>
        <v>0</v>
      </c>
      <c r="Q4998" s="47" t="n">
        <f aca="false">IF(OR($A4998="",C4998=""),0,IF(COUNTIF($C$2:C4998,C4998)=1,SUMIF($C$2:$C$5001,C4998,$H$2:$H$5001)+ROW()/10000000,0))</f>
        <v>0</v>
      </c>
    </row>
    <row r="4999" customFormat="false" ht="15" hidden="false" customHeight="false" outlineLevel="0" collapsed="false">
      <c r="A4999" s="43"/>
      <c r="B4999" s="44"/>
      <c r="C4999" s="44"/>
      <c r="D4999" s="44"/>
      <c r="E4999" s="44"/>
      <c r="F4999" s="44"/>
      <c r="G4999" s="44"/>
      <c r="H4999" s="46" t="str">
        <f aca="false">IF($A4999="","",IF(OR(NOT(ISNUMBER(E4999)),NOT(ISNUMBER(F4999))),"",MAX(0,E4999)*F4999))</f>
        <v/>
      </c>
      <c r="I4999" s="46" t="str">
        <f aca="false">IF($A4999="","",SUMIF($A$2:$A$5001,$A4999,$H$2:$H$5001))</f>
        <v/>
      </c>
      <c r="J4999" s="47" t="n">
        <f aca="false">IF($A4999="",0,IF(COUNTIF($A$2:A4999,$A4999)=1,1,0))</f>
        <v>0</v>
      </c>
      <c r="K4999" s="47" t="n">
        <f aca="false">IF(J4999=1,N(I4999)+ROW()/10000000,0)</f>
        <v>0</v>
      </c>
      <c r="L4999" s="47" t="str">
        <f aca="false">IF(AND(J4999=1,N(I4999)&gt;0),SUMIF($K$2:$K$5001,"&gt;="&amp;K4999,$I$2:$I$5001)/MAX(1,SUM($H$2:$H$5001)),"")</f>
        <v/>
      </c>
      <c r="M4999" s="47" t="str">
        <f aca="false">IF($A4999="","",INDEX($L$2:$L$5001,MATCH($A4999,$A$2:$A$5001,0)))</f>
        <v/>
      </c>
      <c r="N4999" s="48" t="str">
        <f aca="false">IF($A4999="","",IF(N(M4999)=0,"–",IF(M4999&lt;=Start!$D$20,"A",IF(M4999&lt;=Start!$D$21,"B","C"))))</f>
        <v/>
      </c>
      <c r="O4999" s="48" t="str">
        <f aca="false">IF($A4999="","",IF(NOT(ISNUMBER(F4999)),"Wert fehlt; ",IF(F4999&lt;=0,"Wert ist 0; ",""))&amp;IF(NOT(ISNUMBER(E4999)),"Bestand fehlt; ",IF(E4999&lt;0,"Bestand negativ; ",IF(E4999=0,"Nullbestand; ","")))&amp;IF(D4999="","Warengruppe fehlt; ","")&amp;IF(B4999="","Bezeichnung fehlt; ","")&amp;IF(COUNTIFS($A$2:$A$5001,$A4999,$C$2:$C$5001,C4999)&gt;1,"Artikel doppelt im selben Lager; ",""))</f>
        <v/>
      </c>
      <c r="P4999" s="47" t="n">
        <f aca="false">IF(OR($A4999="",D4999=""),0,IF(COUNTIF($D$2:D4999,D4999)=1,SUMIF($D$2:$D$5001,D4999,$H$2:$H$5001)+ROW()/10000000,0))</f>
        <v>0</v>
      </c>
      <c r="Q4999" s="47" t="n">
        <f aca="false">IF(OR($A4999="",C4999=""),0,IF(COUNTIF($C$2:C4999,C4999)=1,SUMIF($C$2:$C$5001,C4999,$H$2:$H$5001)+ROW()/10000000,0))</f>
        <v>0</v>
      </c>
    </row>
    <row r="5000" customFormat="false" ht="15" hidden="false" customHeight="false" outlineLevel="0" collapsed="false">
      <c r="A5000" s="43"/>
      <c r="B5000" s="44"/>
      <c r="C5000" s="44"/>
      <c r="D5000" s="44"/>
      <c r="E5000" s="44"/>
      <c r="F5000" s="44"/>
      <c r="G5000" s="44"/>
      <c r="H5000" s="46" t="str">
        <f aca="false">IF($A5000="","",IF(OR(NOT(ISNUMBER(E5000)),NOT(ISNUMBER(F5000))),"",MAX(0,E5000)*F5000))</f>
        <v/>
      </c>
      <c r="I5000" s="46" t="str">
        <f aca="false">IF($A5000="","",SUMIF($A$2:$A$5001,$A5000,$H$2:$H$5001))</f>
        <v/>
      </c>
      <c r="J5000" s="47" t="n">
        <f aca="false">IF($A5000="",0,IF(COUNTIF($A$2:A5000,$A5000)=1,1,0))</f>
        <v>0</v>
      </c>
      <c r="K5000" s="47" t="n">
        <f aca="false">IF(J5000=1,N(I5000)+ROW()/10000000,0)</f>
        <v>0</v>
      </c>
      <c r="L5000" s="47" t="str">
        <f aca="false">IF(AND(J5000=1,N(I5000)&gt;0),SUMIF($K$2:$K$5001,"&gt;="&amp;K5000,$I$2:$I$5001)/MAX(1,SUM($H$2:$H$5001)),"")</f>
        <v/>
      </c>
      <c r="M5000" s="47" t="str">
        <f aca="false">IF($A5000="","",INDEX($L$2:$L$5001,MATCH($A5000,$A$2:$A$5001,0)))</f>
        <v/>
      </c>
      <c r="N5000" s="48" t="str">
        <f aca="false">IF($A5000="","",IF(N(M5000)=0,"–",IF(M5000&lt;=Start!$D$20,"A",IF(M5000&lt;=Start!$D$21,"B","C"))))</f>
        <v/>
      </c>
      <c r="O5000" s="48" t="str">
        <f aca="false">IF($A5000="","",IF(NOT(ISNUMBER(F5000)),"Wert fehlt; ",IF(F5000&lt;=0,"Wert ist 0; ",""))&amp;IF(NOT(ISNUMBER(E5000)),"Bestand fehlt; ",IF(E5000&lt;0,"Bestand negativ; ",IF(E5000=0,"Nullbestand; ","")))&amp;IF(D5000="","Warengruppe fehlt; ","")&amp;IF(B5000="","Bezeichnung fehlt; ","")&amp;IF(COUNTIFS($A$2:$A$5001,$A5000,$C$2:$C$5001,C5000)&gt;1,"Artikel doppelt im selben Lager; ",""))</f>
        <v/>
      </c>
      <c r="P5000" s="47" t="n">
        <f aca="false">IF(OR($A5000="",D5000=""),0,IF(COUNTIF($D$2:D5000,D5000)=1,SUMIF($D$2:$D$5001,D5000,$H$2:$H$5001)+ROW()/10000000,0))</f>
        <v>0</v>
      </c>
      <c r="Q5000" s="47" t="n">
        <f aca="false">IF(OR($A5000="",C5000=""),0,IF(COUNTIF($C$2:C5000,C5000)=1,SUMIF($C$2:$C$5001,C5000,$H$2:$H$5001)+ROW()/10000000,0))</f>
        <v>0</v>
      </c>
    </row>
    <row r="5001" customFormat="false" ht="15" hidden="false" customHeight="false" outlineLevel="0" collapsed="false">
      <c r="A5001" s="43"/>
      <c r="B5001" s="44"/>
      <c r="C5001" s="44"/>
      <c r="D5001" s="44"/>
      <c r="E5001" s="44"/>
      <c r="F5001" s="44"/>
      <c r="G5001" s="44"/>
      <c r="H5001" s="46" t="str">
        <f aca="false">IF($A5001="","",IF(OR(NOT(ISNUMBER(E5001)),NOT(ISNUMBER(F5001))),"",MAX(0,E5001)*F5001))</f>
        <v/>
      </c>
      <c r="I5001" s="46" t="str">
        <f aca="false">IF($A5001="","",SUMIF($A$2:$A$5001,$A5001,$H$2:$H$5001))</f>
        <v/>
      </c>
      <c r="J5001" s="47" t="n">
        <f aca="false">IF($A5001="",0,IF(COUNTIF($A$2:A5001,$A5001)=1,1,0))</f>
        <v>0</v>
      </c>
      <c r="K5001" s="47" t="n">
        <f aca="false">IF(J5001=1,N(I5001)+ROW()/10000000,0)</f>
        <v>0</v>
      </c>
      <c r="L5001" s="47" t="str">
        <f aca="false">IF(AND(J5001=1,N(I5001)&gt;0),SUMIF($K$2:$K$5001,"&gt;="&amp;K5001,$I$2:$I$5001)/MAX(1,SUM($H$2:$H$5001)),"")</f>
        <v/>
      </c>
      <c r="M5001" s="47" t="str">
        <f aca="false">IF($A5001="","",INDEX($L$2:$L$5001,MATCH($A5001,$A$2:$A$5001,0)))</f>
        <v/>
      </c>
      <c r="N5001" s="48" t="str">
        <f aca="false">IF($A5001="","",IF(N(M5001)=0,"–",IF(M5001&lt;=Start!$D$20,"A",IF(M5001&lt;=Start!$D$21,"B","C"))))</f>
        <v/>
      </c>
      <c r="O5001" s="48" t="str">
        <f aca="false">IF($A5001="","",IF(NOT(ISNUMBER(F5001)),"Wert fehlt; ",IF(F5001&lt;=0,"Wert ist 0; ",""))&amp;IF(NOT(ISNUMBER(E5001)),"Bestand fehlt; ",IF(E5001&lt;0,"Bestand negativ; ",IF(E5001=0,"Nullbestand; ","")))&amp;IF(D5001="","Warengruppe fehlt; ","")&amp;IF(B5001="","Bezeichnung fehlt; ","")&amp;IF(COUNTIFS($A$2:$A$5001,$A5001,$C$2:$C$5001,C5001)&gt;1,"Artikel doppelt im selben Lager; ",""))</f>
        <v/>
      </c>
      <c r="P5001" s="47" t="n">
        <f aca="false">IF(OR($A5001="",D5001=""),0,IF(COUNTIF($D$2:D5001,D5001)=1,SUMIF($D$2:$D$5001,D5001,$H$2:$H$5001)+ROW()/10000000,0))</f>
        <v>0</v>
      </c>
      <c r="Q5001" s="47" t="n">
        <f aca="false">IF(OR($A5001="",C5001=""),0,IF(COUNTIF($C$2:C5001,C5001)=1,SUMIF($C$2:$C$5001,C5001,$H$2:$H$5001)+ROW()/10000000,0))</f>
        <v>0</v>
      </c>
    </row>
  </sheetData>
  <sheetProtection sheet="true" password="dc34" formatColumns="false" sort="false" autoFilter="false"/>
  <autoFilter ref="A1:O5001"/>
  <conditionalFormatting sqref="O2:O5001">
    <cfRule type="expression" priority="2" aboveAverage="0" equalAverage="0" bottom="0" percent="0" rank="0" text="" dxfId="7">
      <formula>LEN($O2)&gt;0</formula>
    </cfRule>
  </conditionalFormatting>
  <conditionalFormatting sqref="N2:N5001">
    <cfRule type="expression" priority="3" aboveAverage="0" equalAverage="0" bottom="0" percent="0" rank="0" text="" dxfId="8">
      <formula>$N2="A"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2026-10-23T18:10:10Z</dcterms:created>
  <dc:creator>Bernd Schäfer, Bestands-Manager.com</dc:creator>
  <dc:description>Kostenloses Werkzeug von Bestands-Manager.com. Weitergabe unverändert und mit Quellenangabe erlaubt.</dc:description>
  <dc:language>en-US</dc:language>
  <cp:lastModifiedBy/>
  <dcterms:modified xsi:type="dcterms:W3CDTF">2026-10-23T18:10:12Z</dcterms:modified>
  <cp:revision>0</cp:revision>
  <dc:subject/>
  <dc:title>Lagertransparenz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